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João Paulo\Downloads\"/>
    </mc:Choice>
  </mc:AlternateContent>
  <xr:revisionPtr revIDLastSave="0" documentId="13_ncr:1_{3FD08EEA-0ABD-49FD-9686-B0CFDDA7215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rmula" sheetId="4" r:id="rId1"/>
    <sheet name="Properties" sheetId="2" r:id="rId2"/>
    <sheet name="Feature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3" i="3" l="1"/>
  <c r="B3" i="3"/>
  <c r="C3" i="3"/>
  <c r="D3" i="3"/>
  <c r="E3" i="3"/>
  <c r="F3" i="3"/>
  <c r="H3" i="3"/>
  <c r="I3" i="3"/>
  <c r="J3" i="3"/>
  <c r="K3" i="3"/>
  <c r="L3" i="3"/>
  <c r="N3" i="3"/>
  <c r="O3" i="3"/>
  <c r="P3" i="3"/>
  <c r="Q3" i="3"/>
  <c r="R3" i="3"/>
  <c r="T3" i="3"/>
  <c r="U3" i="3"/>
  <c r="V3" i="3"/>
  <c r="W3" i="3"/>
  <c r="X3" i="3"/>
  <c r="Z3" i="3"/>
  <c r="AA3" i="3"/>
  <c r="AB3" i="3"/>
  <c r="AC3" i="3"/>
  <c r="AD3" i="3"/>
  <c r="AF3" i="3"/>
  <c r="AG3" i="3"/>
  <c r="AH3" i="3"/>
  <c r="AI3" i="3"/>
  <c r="AJ3" i="3"/>
  <c r="AL3" i="3"/>
  <c r="AM3" i="3"/>
  <c r="AN3" i="3"/>
  <c r="AO3" i="3"/>
  <c r="AP3" i="3"/>
  <c r="AR3" i="3"/>
  <c r="AS3" i="3"/>
  <c r="AT3" i="3"/>
  <c r="AU3" i="3"/>
  <c r="AV3" i="3"/>
  <c r="AX3" i="3"/>
  <c r="AY3" i="3"/>
  <c r="AZ3" i="3"/>
  <c r="BA3" i="3"/>
  <c r="BB3" i="3"/>
  <c r="BD3" i="3"/>
  <c r="BE3" i="3"/>
  <c r="BF3" i="3"/>
  <c r="BG3" i="3"/>
  <c r="BH3" i="3"/>
  <c r="BJ3" i="3"/>
  <c r="BK3" i="3"/>
  <c r="BL3" i="3"/>
  <c r="BM3" i="3"/>
  <c r="BN3" i="3"/>
  <c r="BP3" i="3"/>
  <c r="BQ3" i="3"/>
  <c r="BR3" i="3"/>
  <c r="BS3" i="3"/>
  <c r="BT3" i="3"/>
  <c r="BV3" i="3"/>
  <c r="BW3" i="3"/>
  <c r="BX3" i="3"/>
  <c r="BY3" i="3"/>
  <c r="BZ3" i="3"/>
  <c r="CB3" i="3"/>
  <c r="CC3" i="3"/>
  <c r="CD3" i="3"/>
  <c r="CE3" i="3"/>
  <c r="CF3" i="3"/>
  <c r="CH3" i="3"/>
  <c r="CI3" i="3"/>
  <c r="CJ3" i="3"/>
  <c r="CK3" i="3"/>
  <c r="CL3" i="3"/>
  <c r="CN3" i="3"/>
  <c r="CO3" i="3"/>
  <c r="CP3" i="3"/>
  <c r="CQ3" i="3"/>
  <c r="CR3" i="3"/>
  <c r="CT3" i="3"/>
  <c r="CU3" i="3"/>
  <c r="CV3" i="3"/>
  <c r="CW3" i="3"/>
  <c r="CX3" i="3"/>
  <c r="CZ3" i="3"/>
  <c r="DA3" i="3"/>
  <c r="DB3" i="3"/>
  <c r="DC3" i="3"/>
  <c r="DD3" i="3"/>
  <c r="DF3" i="3"/>
  <c r="DG3" i="3"/>
  <c r="DH3" i="3"/>
  <c r="DI3" i="3"/>
  <c r="DJ3" i="3"/>
  <c r="DL3" i="3"/>
  <c r="DM3" i="3"/>
  <c r="DN3" i="3"/>
  <c r="DO3" i="3"/>
  <c r="DP3" i="3"/>
  <c r="DR3" i="3"/>
  <c r="DS3" i="3"/>
  <c r="DT3" i="3"/>
  <c r="DU3" i="3"/>
  <c r="DV3" i="3"/>
  <c r="DX3" i="3"/>
  <c r="DY3" i="3"/>
  <c r="DZ3" i="3"/>
  <c r="EA3" i="3"/>
  <c r="EB3" i="3"/>
  <c r="ED3" i="3"/>
  <c r="EE3" i="3"/>
  <c r="EF3" i="3"/>
  <c r="EG3" i="3"/>
  <c r="EH3" i="3"/>
  <c r="EJ3" i="3"/>
  <c r="EK3" i="3"/>
  <c r="EL3" i="3"/>
  <c r="EM3" i="3"/>
  <c r="EN3" i="3"/>
  <c r="EP3" i="3"/>
  <c r="EQ3" i="3"/>
  <c r="ER3" i="3"/>
  <c r="ES3" i="3"/>
  <c r="ET3" i="3"/>
  <c r="EV3" i="3"/>
  <c r="EW3" i="3"/>
  <c r="EX3" i="3"/>
  <c r="EY3" i="3"/>
  <c r="EZ3" i="3"/>
  <c r="FB3" i="3"/>
  <c r="FC3" i="3"/>
  <c r="FD3" i="3"/>
  <c r="FE3" i="3"/>
  <c r="FF3" i="3"/>
  <c r="FH3" i="3"/>
  <c r="FI3" i="3"/>
  <c r="FJ3" i="3"/>
  <c r="FK3" i="3"/>
  <c r="FL3" i="3"/>
  <c r="FN3" i="3"/>
  <c r="FO3" i="3"/>
  <c r="FP3" i="3"/>
  <c r="FQ3" i="3"/>
  <c r="FR3" i="3"/>
  <c r="FT3" i="3"/>
  <c r="FU3" i="3"/>
  <c r="FV3" i="3"/>
  <c r="FW3" i="3"/>
  <c r="FX3" i="3"/>
  <c r="FZ3" i="3"/>
  <c r="GA3" i="3"/>
  <c r="GB3" i="3"/>
  <c r="GC3" i="3"/>
  <c r="GD3" i="3"/>
  <c r="GF3" i="3"/>
  <c r="GG3" i="3"/>
  <c r="GH3" i="3"/>
  <c r="GI3" i="3"/>
  <c r="GJ3" i="3"/>
  <c r="GL3" i="3"/>
  <c r="GM3" i="3"/>
  <c r="GN3" i="3"/>
  <c r="A4" i="3"/>
  <c r="B4" i="3"/>
  <c r="C4" i="3"/>
  <c r="D4" i="3"/>
  <c r="E4" i="3"/>
  <c r="F4" i="3"/>
  <c r="H4" i="3"/>
  <c r="I4" i="3"/>
  <c r="J4" i="3"/>
  <c r="K4" i="3"/>
  <c r="L4" i="3"/>
  <c r="N4" i="3"/>
  <c r="O4" i="3"/>
  <c r="P4" i="3"/>
  <c r="Q4" i="3"/>
  <c r="R4" i="3"/>
  <c r="T4" i="3"/>
  <c r="U4" i="3"/>
  <c r="V4" i="3"/>
  <c r="W4" i="3"/>
  <c r="X4" i="3"/>
  <c r="Z4" i="3"/>
  <c r="AA4" i="3"/>
  <c r="AB4" i="3"/>
  <c r="AC4" i="3"/>
  <c r="AD4" i="3"/>
  <c r="AF4" i="3"/>
  <c r="AG4" i="3"/>
  <c r="AH4" i="3"/>
  <c r="AI4" i="3"/>
  <c r="AJ4" i="3"/>
  <c r="AL4" i="3"/>
  <c r="AM4" i="3"/>
  <c r="AN4" i="3"/>
  <c r="AO4" i="3"/>
  <c r="AQ4" i="3" s="1"/>
  <c r="AP4" i="3"/>
  <c r="AR4" i="3"/>
  <c r="AS4" i="3"/>
  <c r="AT4" i="3"/>
  <c r="AU4" i="3"/>
  <c r="AV4" i="3"/>
  <c r="AX4" i="3"/>
  <c r="AY4" i="3"/>
  <c r="AZ4" i="3"/>
  <c r="BA4" i="3"/>
  <c r="BB4" i="3"/>
  <c r="BD4" i="3"/>
  <c r="BE4" i="3"/>
  <c r="BF4" i="3"/>
  <c r="BG4" i="3"/>
  <c r="BH4" i="3"/>
  <c r="BJ4" i="3"/>
  <c r="BK4" i="3"/>
  <c r="BL4" i="3"/>
  <c r="BM4" i="3"/>
  <c r="BN4" i="3"/>
  <c r="BP4" i="3"/>
  <c r="BQ4" i="3"/>
  <c r="BR4" i="3"/>
  <c r="BS4" i="3"/>
  <c r="BT4" i="3"/>
  <c r="BV4" i="3"/>
  <c r="BW4" i="3"/>
  <c r="BX4" i="3"/>
  <c r="BY4" i="3"/>
  <c r="BZ4" i="3"/>
  <c r="CB4" i="3"/>
  <c r="CC4" i="3"/>
  <c r="CD4" i="3"/>
  <c r="CE4" i="3"/>
  <c r="CF4" i="3"/>
  <c r="CH4" i="3"/>
  <c r="CI4" i="3"/>
  <c r="CJ4" i="3"/>
  <c r="CK4" i="3"/>
  <c r="CL4" i="3"/>
  <c r="CN4" i="3"/>
  <c r="CO4" i="3"/>
  <c r="CP4" i="3"/>
  <c r="CQ4" i="3"/>
  <c r="CR4" i="3"/>
  <c r="CT4" i="3"/>
  <c r="CU4" i="3"/>
  <c r="CV4" i="3"/>
  <c r="CW4" i="3"/>
  <c r="CX4" i="3"/>
  <c r="CZ4" i="3"/>
  <c r="DA4" i="3"/>
  <c r="DB4" i="3"/>
  <c r="DC4" i="3"/>
  <c r="DD4" i="3"/>
  <c r="DF4" i="3"/>
  <c r="DG4" i="3"/>
  <c r="DH4" i="3"/>
  <c r="DI4" i="3"/>
  <c r="DJ4" i="3"/>
  <c r="DL4" i="3"/>
  <c r="DM4" i="3"/>
  <c r="DN4" i="3"/>
  <c r="DO4" i="3"/>
  <c r="DP4" i="3"/>
  <c r="DR4" i="3"/>
  <c r="DS4" i="3"/>
  <c r="DT4" i="3"/>
  <c r="DU4" i="3"/>
  <c r="DV4" i="3"/>
  <c r="DX4" i="3"/>
  <c r="DY4" i="3"/>
  <c r="DZ4" i="3"/>
  <c r="EA4" i="3"/>
  <c r="EB4" i="3"/>
  <c r="ED4" i="3"/>
  <c r="EE4" i="3"/>
  <c r="EF4" i="3"/>
  <c r="EG4" i="3"/>
  <c r="EI4" i="3" s="1"/>
  <c r="EH4" i="3"/>
  <c r="EJ4" i="3"/>
  <c r="EK4" i="3"/>
  <c r="EL4" i="3"/>
  <c r="EM4" i="3"/>
  <c r="EN4" i="3"/>
  <c r="EP4" i="3"/>
  <c r="EQ4" i="3"/>
  <c r="ER4" i="3"/>
  <c r="ES4" i="3"/>
  <c r="ET4" i="3"/>
  <c r="EV4" i="3"/>
  <c r="EW4" i="3"/>
  <c r="EX4" i="3"/>
  <c r="EY4" i="3"/>
  <c r="EZ4" i="3"/>
  <c r="FB4" i="3"/>
  <c r="FC4" i="3"/>
  <c r="FD4" i="3"/>
  <c r="FE4" i="3"/>
  <c r="FF4" i="3"/>
  <c r="FH4" i="3"/>
  <c r="FI4" i="3"/>
  <c r="FJ4" i="3"/>
  <c r="FK4" i="3"/>
  <c r="FL4" i="3"/>
  <c r="FN4" i="3"/>
  <c r="FO4" i="3"/>
  <c r="FP4" i="3"/>
  <c r="FQ4" i="3"/>
  <c r="FR4" i="3"/>
  <c r="FT4" i="3"/>
  <c r="FU4" i="3"/>
  <c r="FV4" i="3"/>
  <c r="FW4" i="3"/>
  <c r="FX4" i="3"/>
  <c r="FZ4" i="3"/>
  <c r="GA4" i="3"/>
  <c r="GB4" i="3"/>
  <c r="GC4" i="3"/>
  <c r="GD4" i="3"/>
  <c r="GF4" i="3"/>
  <c r="GG4" i="3"/>
  <c r="GH4" i="3"/>
  <c r="GI4" i="3"/>
  <c r="GJ4" i="3"/>
  <c r="GL4" i="3"/>
  <c r="GM4" i="3"/>
  <c r="GN4" i="3"/>
  <c r="A5" i="3"/>
  <c r="B5" i="3"/>
  <c r="C5" i="3"/>
  <c r="D5" i="3"/>
  <c r="E5" i="3"/>
  <c r="F5" i="3"/>
  <c r="H5" i="3"/>
  <c r="I5" i="3"/>
  <c r="J5" i="3"/>
  <c r="K5" i="3"/>
  <c r="L5" i="3"/>
  <c r="N5" i="3"/>
  <c r="O5" i="3"/>
  <c r="P5" i="3"/>
  <c r="Q5" i="3"/>
  <c r="R5" i="3"/>
  <c r="T5" i="3"/>
  <c r="U5" i="3"/>
  <c r="V5" i="3"/>
  <c r="W5" i="3"/>
  <c r="X5" i="3"/>
  <c r="Y5" i="3" s="1"/>
  <c r="Z5" i="3"/>
  <c r="AA5" i="3"/>
  <c r="AB5" i="3"/>
  <c r="AC5" i="3"/>
  <c r="AD5" i="3"/>
  <c r="AF5" i="3"/>
  <c r="AG5" i="3"/>
  <c r="AH5" i="3"/>
  <c r="AI5" i="3"/>
  <c r="AJ5" i="3"/>
  <c r="AL5" i="3"/>
  <c r="AM5" i="3"/>
  <c r="AN5" i="3"/>
  <c r="AO5" i="3"/>
  <c r="AP5" i="3"/>
  <c r="AR5" i="3"/>
  <c r="AS5" i="3"/>
  <c r="AT5" i="3"/>
  <c r="AU5" i="3"/>
  <c r="AV5" i="3"/>
  <c r="AX5" i="3"/>
  <c r="AY5" i="3"/>
  <c r="AZ5" i="3"/>
  <c r="BA5" i="3"/>
  <c r="BB5" i="3"/>
  <c r="BD5" i="3"/>
  <c r="BE5" i="3"/>
  <c r="BF5" i="3"/>
  <c r="BG5" i="3"/>
  <c r="BH5" i="3"/>
  <c r="BJ5" i="3"/>
  <c r="BK5" i="3"/>
  <c r="BL5" i="3"/>
  <c r="BM5" i="3"/>
  <c r="BN5" i="3"/>
  <c r="BP5" i="3"/>
  <c r="BQ5" i="3"/>
  <c r="BR5" i="3"/>
  <c r="BS5" i="3"/>
  <c r="BT5" i="3"/>
  <c r="BV5" i="3"/>
  <c r="BW5" i="3"/>
  <c r="BX5" i="3"/>
  <c r="BY5" i="3"/>
  <c r="BZ5" i="3"/>
  <c r="CB5" i="3"/>
  <c r="CC5" i="3"/>
  <c r="CD5" i="3"/>
  <c r="CE5" i="3"/>
  <c r="CF5" i="3"/>
  <c r="CH5" i="3"/>
  <c r="CI5" i="3"/>
  <c r="CJ5" i="3"/>
  <c r="CK5" i="3"/>
  <c r="CL5" i="3"/>
  <c r="CN5" i="3"/>
  <c r="CO5" i="3"/>
  <c r="CP5" i="3"/>
  <c r="CQ5" i="3"/>
  <c r="CR5" i="3"/>
  <c r="CS5" i="3" s="1"/>
  <c r="CT5" i="3"/>
  <c r="CU5" i="3"/>
  <c r="CV5" i="3"/>
  <c r="CW5" i="3"/>
  <c r="CX5" i="3"/>
  <c r="CZ5" i="3"/>
  <c r="DA5" i="3"/>
  <c r="DB5" i="3"/>
  <c r="DC5" i="3"/>
  <c r="DD5" i="3"/>
  <c r="DF5" i="3"/>
  <c r="DG5" i="3"/>
  <c r="DH5" i="3"/>
  <c r="DI5" i="3"/>
  <c r="DJ5" i="3"/>
  <c r="DL5" i="3"/>
  <c r="DM5" i="3"/>
  <c r="DN5" i="3"/>
  <c r="DO5" i="3"/>
  <c r="DP5" i="3"/>
  <c r="DR5" i="3"/>
  <c r="DS5" i="3"/>
  <c r="DT5" i="3"/>
  <c r="DU5" i="3"/>
  <c r="DV5" i="3"/>
  <c r="DX5" i="3"/>
  <c r="DY5" i="3"/>
  <c r="DZ5" i="3"/>
  <c r="EA5" i="3"/>
  <c r="EB5" i="3"/>
  <c r="ED5" i="3"/>
  <c r="EE5" i="3"/>
  <c r="EF5" i="3"/>
  <c r="EG5" i="3"/>
  <c r="EH5" i="3"/>
  <c r="EJ5" i="3"/>
  <c r="EK5" i="3"/>
  <c r="EL5" i="3"/>
  <c r="EM5" i="3"/>
  <c r="EN5" i="3"/>
  <c r="EP5" i="3"/>
  <c r="EQ5" i="3"/>
  <c r="ER5" i="3"/>
  <c r="ES5" i="3"/>
  <c r="ET5" i="3"/>
  <c r="EV5" i="3"/>
  <c r="EW5" i="3"/>
  <c r="EX5" i="3"/>
  <c r="EY5" i="3"/>
  <c r="EZ5" i="3"/>
  <c r="FB5" i="3"/>
  <c r="FC5" i="3"/>
  <c r="FD5" i="3"/>
  <c r="FE5" i="3"/>
  <c r="FF5" i="3"/>
  <c r="FH5" i="3"/>
  <c r="FI5" i="3"/>
  <c r="FJ5" i="3"/>
  <c r="FK5" i="3"/>
  <c r="FL5" i="3"/>
  <c r="FM5" i="3" s="1"/>
  <c r="FN5" i="3"/>
  <c r="FO5" i="3"/>
  <c r="FP5" i="3"/>
  <c r="FQ5" i="3"/>
  <c r="FR5" i="3"/>
  <c r="FT5" i="3"/>
  <c r="FU5" i="3"/>
  <c r="FV5" i="3"/>
  <c r="FW5" i="3"/>
  <c r="FX5" i="3"/>
  <c r="FY5" i="3" s="1"/>
  <c r="FZ5" i="3"/>
  <c r="GA5" i="3"/>
  <c r="GB5" i="3"/>
  <c r="GC5" i="3"/>
  <c r="GD5" i="3"/>
  <c r="GF5" i="3"/>
  <c r="GG5" i="3"/>
  <c r="GH5" i="3"/>
  <c r="GI5" i="3"/>
  <c r="GJ5" i="3"/>
  <c r="GL5" i="3"/>
  <c r="GM5" i="3"/>
  <c r="GN5" i="3"/>
  <c r="A6" i="3"/>
  <c r="B6" i="3"/>
  <c r="C6" i="3"/>
  <c r="D6" i="3"/>
  <c r="E6" i="3"/>
  <c r="F6" i="3"/>
  <c r="H6" i="3"/>
  <c r="I6" i="3"/>
  <c r="J6" i="3"/>
  <c r="K6" i="3"/>
  <c r="L6" i="3"/>
  <c r="N6" i="3"/>
  <c r="O6" i="3"/>
  <c r="P6" i="3"/>
  <c r="Q6" i="3"/>
  <c r="R6" i="3"/>
  <c r="T6" i="3"/>
  <c r="U6" i="3"/>
  <c r="V6" i="3"/>
  <c r="W6" i="3"/>
  <c r="X6" i="3"/>
  <c r="Z6" i="3"/>
  <c r="AA6" i="3"/>
  <c r="AB6" i="3"/>
  <c r="AC6" i="3"/>
  <c r="AD6" i="3"/>
  <c r="AF6" i="3"/>
  <c r="AG6" i="3"/>
  <c r="AH6" i="3"/>
  <c r="AI6" i="3"/>
  <c r="AJ6" i="3"/>
  <c r="AL6" i="3"/>
  <c r="AM6" i="3"/>
  <c r="AN6" i="3"/>
  <c r="AO6" i="3"/>
  <c r="AP6" i="3"/>
  <c r="AR6" i="3"/>
  <c r="AS6" i="3"/>
  <c r="AT6" i="3"/>
  <c r="AU6" i="3"/>
  <c r="AV6" i="3"/>
  <c r="AX6" i="3"/>
  <c r="AY6" i="3"/>
  <c r="AZ6" i="3"/>
  <c r="BA6" i="3"/>
  <c r="BB6" i="3"/>
  <c r="BD6" i="3"/>
  <c r="BE6" i="3"/>
  <c r="BF6" i="3"/>
  <c r="BG6" i="3"/>
  <c r="BH6" i="3"/>
  <c r="BJ6" i="3"/>
  <c r="BK6" i="3"/>
  <c r="BL6" i="3"/>
  <c r="BM6" i="3"/>
  <c r="BN6" i="3"/>
  <c r="BP6" i="3"/>
  <c r="BQ6" i="3"/>
  <c r="BR6" i="3"/>
  <c r="BS6" i="3"/>
  <c r="BT6" i="3"/>
  <c r="BV6" i="3"/>
  <c r="BW6" i="3"/>
  <c r="BX6" i="3"/>
  <c r="BY6" i="3"/>
  <c r="BZ6" i="3"/>
  <c r="CB6" i="3"/>
  <c r="CC6" i="3"/>
  <c r="CD6" i="3"/>
  <c r="CE6" i="3"/>
  <c r="CF6" i="3"/>
  <c r="CH6" i="3"/>
  <c r="CI6" i="3"/>
  <c r="CJ6" i="3"/>
  <c r="CK6" i="3"/>
  <c r="CL6" i="3"/>
  <c r="CN6" i="3"/>
  <c r="CO6" i="3"/>
  <c r="CP6" i="3"/>
  <c r="CQ6" i="3"/>
  <c r="CR6" i="3"/>
  <c r="CT6" i="3"/>
  <c r="CU6" i="3"/>
  <c r="CV6" i="3"/>
  <c r="CW6" i="3"/>
  <c r="CX6" i="3"/>
  <c r="CZ6" i="3"/>
  <c r="DA6" i="3"/>
  <c r="DB6" i="3"/>
  <c r="DC6" i="3"/>
  <c r="DD6" i="3"/>
  <c r="DF6" i="3"/>
  <c r="DG6" i="3"/>
  <c r="DH6" i="3"/>
  <c r="DI6" i="3"/>
  <c r="DJ6" i="3"/>
  <c r="DL6" i="3"/>
  <c r="DM6" i="3"/>
  <c r="DN6" i="3"/>
  <c r="DO6" i="3"/>
  <c r="DP6" i="3"/>
  <c r="DR6" i="3"/>
  <c r="DS6" i="3"/>
  <c r="DT6" i="3"/>
  <c r="DU6" i="3"/>
  <c r="DV6" i="3"/>
  <c r="DX6" i="3"/>
  <c r="DY6" i="3"/>
  <c r="DZ6" i="3"/>
  <c r="EA6" i="3"/>
  <c r="EB6" i="3"/>
  <c r="ED6" i="3"/>
  <c r="EE6" i="3"/>
  <c r="EF6" i="3"/>
  <c r="EG6" i="3"/>
  <c r="EH6" i="3"/>
  <c r="EJ6" i="3"/>
  <c r="EK6" i="3"/>
  <c r="EL6" i="3"/>
  <c r="EM6" i="3"/>
  <c r="EN6" i="3"/>
  <c r="EP6" i="3"/>
  <c r="EQ6" i="3"/>
  <c r="ER6" i="3"/>
  <c r="ES6" i="3"/>
  <c r="ET6" i="3"/>
  <c r="EV6" i="3"/>
  <c r="EW6" i="3"/>
  <c r="EX6" i="3"/>
  <c r="EY6" i="3"/>
  <c r="EZ6" i="3"/>
  <c r="FB6" i="3"/>
  <c r="FC6" i="3"/>
  <c r="FD6" i="3"/>
  <c r="FE6" i="3"/>
  <c r="FF6" i="3"/>
  <c r="FH6" i="3"/>
  <c r="FI6" i="3"/>
  <c r="FJ6" i="3"/>
  <c r="FK6" i="3"/>
  <c r="FL6" i="3"/>
  <c r="FN6" i="3"/>
  <c r="FO6" i="3"/>
  <c r="FP6" i="3"/>
  <c r="FQ6" i="3"/>
  <c r="FR6" i="3"/>
  <c r="FT6" i="3"/>
  <c r="FU6" i="3"/>
  <c r="FV6" i="3"/>
  <c r="FW6" i="3"/>
  <c r="FX6" i="3"/>
  <c r="FZ6" i="3"/>
  <c r="GA6" i="3"/>
  <c r="GB6" i="3"/>
  <c r="GC6" i="3"/>
  <c r="GD6" i="3"/>
  <c r="GF6" i="3"/>
  <c r="GG6" i="3"/>
  <c r="GH6" i="3"/>
  <c r="GI6" i="3"/>
  <c r="GJ6" i="3"/>
  <c r="GL6" i="3"/>
  <c r="GM6" i="3"/>
  <c r="GN6" i="3"/>
  <c r="A7" i="3"/>
  <c r="B7" i="3"/>
  <c r="C7" i="3"/>
  <c r="D7" i="3"/>
  <c r="E7" i="3"/>
  <c r="F7" i="3"/>
  <c r="H7" i="3"/>
  <c r="I7" i="3"/>
  <c r="J7" i="3"/>
  <c r="K7" i="3"/>
  <c r="L7" i="3"/>
  <c r="N7" i="3"/>
  <c r="O7" i="3"/>
  <c r="P7" i="3"/>
  <c r="Q7" i="3"/>
  <c r="R7" i="3"/>
  <c r="T7" i="3"/>
  <c r="U7" i="3"/>
  <c r="V7" i="3"/>
  <c r="W7" i="3"/>
  <c r="X7" i="3"/>
  <c r="Z7" i="3"/>
  <c r="AA7" i="3"/>
  <c r="AB7" i="3"/>
  <c r="AC7" i="3"/>
  <c r="AD7" i="3"/>
  <c r="AF7" i="3"/>
  <c r="AG7" i="3"/>
  <c r="AH7" i="3"/>
  <c r="AI7" i="3"/>
  <c r="AJ7" i="3"/>
  <c r="AL7" i="3"/>
  <c r="AM7" i="3"/>
  <c r="AN7" i="3"/>
  <c r="AO7" i="3"/>
  <c r="AP7" i="3"/>
  <c r="AR7" i="3"/>
  <c r="AS7" i="3"/>
  <c r="AT7" i="3"/>
  <c r="AU7" i="3"/>
  <c r="AV7" i="3"/>
  <c r="AX7" i="3"/>
  <c r="AY7" i="3"/>
  <c r="AZ7" i="3"/>
  <c r="BA7" i="3"/>
  <c r="BB7" i="3"/>
  <c r="BD7" i="3"/>
  <c r="BE7" i="3"/>
  <c r="BF7" i="3"/>
  <c r="BG7" i="3"/>
  <c r="BH7" i="3"/>
  <c r="BJ7" i="3"/>
  <c r="BK7" i="3"/>
  <c r="BL7" i="3"/>
  <c r="BM7" i="3"/>
  <c r="BN7" i="3"/>
  <c r="BP7" i="3"/>
  <c r="BQ7" i="3"/>
  <c r="BR7" i="3"/>
  <c r="BS7" i="3"/>
  <c r="BT7" i="3"/>
  <c r="BV7" i="3"/>
  <c r="BW7" i="3"/>
  <c r="BX7" i="3"/>
  <c r="BY7" i="3"/>
  <c r="BZ7" i="3"/>
  <c r="CB7" i="3"/>
  <c r="CC7" i="3"/>
  <c r="CD7" i="3"/>
  <c r="CE7" i="3"/>
  <c r="CF7" i="3"/>
  <c r="CH7" i="3"/>
  <c r="CI7" i="3"/>
  <c r="CJ7" i="3"/>
  <c r="CK7" i="3"/>
  <c r="CL7" i="3"/>
  <c r="CN7" i="3"/>
  <c r="CO7" i="3"/>
  <c r="CP7" i="3"/>
  <c r="CQ7" i="3"/>
  <c r="CR7" i="3"/>
  <c r="CT7" i="3"/>
  <c r="CU7" i="3"/>
  <c r="CV7" i="3"/>
  <c r="CW7" i="3"/>
  <c r="CX7" i="3"/>
  <c r="CZ7" i="3"/>
  <c r="DA7" i="3"/>
  <c r="DB7" i="3"/>
  <c r="DC7" i="3"/>
  <c r="DD7" i="3"/>
  <c r="DF7" i="3"/>
  <c r="DG7" i="3"/>
  <c r="DH7" i="3"/>
  <c r="DI7" i="3"/>
  <c r="DJ7" i="3"/>
  <c r="DL7" i="3"/>
  <c r="DM7" i="3"/>
  <c r="DN7" i="3"/>
  <c r="DO7" i="3"/>
  <c r="DP7" i="3"/>
  <c r="DR7" i="3"/>
  <c r="DS7" i="3"/>
  <c r="DT7" i="3"/>
  <c r="DU7" i="3"/>
  <c r="DV7" i="3"/>
  <c r="DX7" i="3"/>
  <c r="DY7" i="3"/>
  <c r="DZ7" i="3"/>
  <c r="EA7" i="3"/>
  <c r="EB7" i="3"/>
  <c r="ED7" i="3"/>
  <c r="EE7" i="3"/>
  <c r="EF7" i="3"/>
  <c r="EG7" i="3"/>
  <c r="EH7" i="3"/>
  <c r="EJ7" i="3"/>
  <c r="EK7" i="3"/>
  <c r="EL7" i="3"/>
  <c r="EM7" i="3"/>
  <c r="EN7" i="3"/>
  <c r="EP7" i="3"/>
  <c r="EQ7" i="3"/>
  <c r="ER7" i="3"/>
  <c r="ES7" i="3"/>
  <c r="ET7" i="3"/>
  <c r="EV7" i="3"/>
  <c r="EW7" i="3"/>
  <c r="EX7" i="3"/>
  <c r="EY7" i="3"/>
  <c r="EZ7" i="3"/>
  <c r="FB7" i="3"/>
  <c r="FC7" i="3"/>
  <c r="FD7" i="3"/>
  <c r="FE7" i="3"/>
  <c r="FF7" i="3"/>
  <c r="FH7" i="3"/>
  <c r="FI7" i="3"/>
  <c r="FJ7" i="3"/>
  <c r="FK7" i="3"/>
  <c r="FL7" i="3"/>
  <c r="FN7" i="3"/>
  <c r="FO7" i="3"/>
  <c r="FP7" i="3"/>
  <c r="FQ7" i="3"/>
  <c r="FR7" i="3"/>
  <c r="FT7" i="3"/>
  <c r="FU7" i="3"/>
  <c r="FV7" i="3"/>
  <c r="FW7" i="3"/>
  <c r="FX7" i="3"/>
  <c r="FZ7" i="3"/>
  <c r="GA7" i="3"/>
  <c r="GB7" i="3"/>
  <c r="GC7" i="3"/>
  <c r="GD7" i="3"/>
  <c r="GF7" i="3"/>
  <c r="GG7" i="3"/>
  <c r="GH7" i="3"/>
  <c r="GI7" i="3"/>
  <c r="GJ7" i="3"/>
  <c r="GL7" i="3"/>
  <c r="GM7" i="3"/>
  <c r="GN7" i="3"/>
  <c r="A8" i="3"/>
  <c r="B8" i="3"/>
  <c r="C8" i="3"/>
  <c r="D8" i="3"/>
  <c r="E8" i="3"/>
  <c r="F8" i="3"/>
  <c r="H8" i="3"/>
  <c r="I8" i="3"/>
  <c r="J8" i="3"/>
  <c r="K8" i="3"/>
  <c r="L8" i="3"/>
  <c r="M8" i="3" s="1"/>
  <c r="N8" i="3"/>
  <c r="O8" i="3"/>
  <c r="P8" i="3"/>
  <c r="Q8" i="3"/>
  <c r="R8" i="3"/>
  <c r="T8" i="3"/>
  <c r="U8" i="3"/>
  <c r="V8" i="3"/>
  <c r="W8" i="3"/>
  <c r="X8" i="3"/>
  <c r="Y8" i="3" s="1"/>
  <c r="Z8" i="3"/>
  <c r="AA8" i="3"/>
  <c r="AB8" i="3"/>
  <c r="AC8" i="3"/>
  <c r="AD8" i="3"/>
  <c r="AF8" i="3"/>
  <c r="AG8" i="3"/>
  <c r="AH8" i="3"/>
  <c r="AI8" i="3"/>
  <c r="AJ8" i="3"/>
  <c r="AL8" i="3"/>
  <c r="AM8" i="3"/>
  <c r="AN8" i="3"/>
  <c r="AO8" i="3"/>
  <c r="AP8" i="3"/>
  <c r="AR8" i="3"/>
  <c r="AS8" i="3"/>
  <c r="AT8" i="3"/>
  <c r="AU8" i="3"/>
  <c r="AV8" i="3"/>
  <c r="AX8" i="3"/>
  <c r="AY8" i="3"/>
  <c r="AZ8" i="3"/>
  <c r="BA8" i="3"/>
  <c r="BB8" i="3"/>
  <c r="BD8" i="3"/>
  <c r="BE8" i="3"/>
  <c r="BF8" i="3"/>
  <c r="BG8" i="3"/>
  <c r="BH8" i="3"/>
  <c r="BJ8" i="3"/>
  <c r="BK8" i="3"/>
  <c r="BL8" i="3"/>
  <c r="BM8" i="3"/>
  <c r="BN8" i="3"/>
  <c r="BP8" i="3"/>
  <c r="BQ8" i="3"/>
  <c r="BR8" i="3"/>
  <c r="BS8" i="3"/>
  <c r="BT8" i="3"/>
  <c r="BV8" i="3"/>
  <c r="BW8" i="3"/>
  <c r="BX8" i="3"/>
  <c r="BY8" i="3"/>
  <c r="BZ8" i="3"/>
  <c r="CB8" i="3"/>
  <c r="CC8" i="3"/>
  <c r="CD8" i="3"/>
  <c r="CE8" i="3"/>
  <c r="CF8" i="3"/>
  <c r="CH8" i="3"/>
  <c r="CI8" i="3"/>
  <c r="CJ8" i="3"/>
  <c r="CK8" i="3"/>
  <c r="CL8" i="3"/>
  <c r="CN8" i="3"/>
  <c r="CO8" i="3"/>
  <c r="CP8" i="3"/>
  <c r="CQ8" i="3"/>
  <c r="CR8" i="3"/>
  <c r="CT8" i="3"/>
  <c r="CU8" i="3"/>
  <c r="CV8" i="3"/>
  <c r="CW8" i="3"/>
  <c r="CX8" i="3"/>
  <c r="CZ8" i="3"/>
  <c r="DA8" i="3"/>
  <c r="DB8" i="3"/>
  <c r="DC8" i="3"/>
  <c r="DD8" i="3"/>
  <c r="DE8" i="3" s="1"/>
  <c r="DF8" i="3"/>
  <c r="DG8" i="3"/>
  <c r="DH8" i="3"/>
  <c r="DI8" i="3"/>
  <c r="DJ8" i="3"/>
  <c r="DL8" i="3"/>
  <c r="DM8" i="3"/>
  <c r="DN8" i="3"/>
  <c r="DO8" i="3"/>
  <c r="DP8" i="3"/>
  <c r="DQ8" i="3" s="1"/>
  <c r="DR8" i="3"/>
  <c r="DS8" i="3"/>
  <c r="DT8" i="3"/>
  <c r="DU8" i="3"/>
  <c r="DV8" i="3"/>
  <c r="DX8" i="3"/>
  <c r="DY8" i="3"/>
  <c r="DZ8" i="3"/>
  <c r="EA8" i="3"/>
  <c r="EB8" i="3"/>
  <c r="ED8" i="3"/>
  <c r="EE8" i="3"/>
  <c r="EF8" i="3"/>
  <c r="EG8" i="3"/>
  <c r="EH8" i="3"/>
  <c r="EJ8" i="3"/>
  <c r="EK8" i="3"/>
  <c r="EL8" i="3"/>
  <c r="EM8" i="3"/>
  <c r="EN8" i="3"/>
  <c r="EP8" i="3"/>
  <c r="EQ8" i="3"/>
  <c r="ER8" i="3"/>
  <c r="ES8" i="3"/>
  <c r="ET8" i="3"/>
  <c r="EV8" i="3"/>
  <c r="EW8" i="3"/>
  <c r="EX8" i="3"/>
  <c r="EY8" i="3"/>
  <c r="EZ8" i="3"/>
  <c r="FA8" i="3" s="1"/>
  <c r="FB8" i="3"/>
  <c r="FC8" i="3"/>
  <c r="FD8" i="3"/>
  <c r="FE8" i="3"/>
  <c r="FF8" i="3"/>
  <c r="FH8" i="3"/>
  <c r="FI8" i="3"/>
  <c r="FJ8" i="3"/>
  <c r="FK8" i="3"/>
  <c r="FL8" i="3"/>
  <c r="FN8" i="3"/>
  <c r="FO8" i="3"/>
  <c r="FP8" i="3"/>
  <c r="FQ8" i="3"/>
  <c r="FR8" i="3"/>
  <c r="FT8" i="3"/>
  <c r="FU8" i="3"/>
  <c r="FV8" i="3"/>
  <c r="FW8" i="3"/>
  <c r="FX8" i="3"/>
  <c r="FZ8" i="3"/>
  <c r="GA8" i="3"/>
  <c r="GB8" i="3"/>
  <c r="GC8" i="3"/>
  <c r="GD8" i="3"/>
  <c r="GF8" i="3"/>
  <c r="GG8" i="3"/>
  <c r="GH8" i="3"/>
  <c r="GI8" i="3"/>
  <c r="GJ8" i="3"/>
  <c r="GL8" i="3"/>
  <c r="GM8" i="3"/>
  <c r="GN8" i="3"/>
  <c r="A9" i="3"/>
  <c r="B9" i="3"/>
  <c r="C9" i="3"/>
  <c r="D9" i="3"/>
  <c r="E9" i="3"/>
  <c r="F9" i="3"/>
  <c r="H9" i="3"/>
  <c r="I9" i="3"/>
  <c r="J9" i="3"/>
  <c r="K9" i="3"/>
  <c r="L9" i="3"/>
  <c r="N9" i="3"/>
  <c r="O9" i="3"/>
  <c r="P9" i="3"/>
  <c r="Q9" i="3"/>
  <c r="R9" i="3"/>
  <c r="T9" i="3"/>
  <c r="U9" i="3"/>
  <c r="V9" i="3"/>
  <c r="W9" i="3"/>
  <c r="X9" i="3"/>
  <c r="Z9" i="3"/>
  <c r="AA9" i="3"/>
  <c r="AB9" i="3"/>
  <c r="AC9" i="3"/>
  <c r="AD9" i="3"/>
  <c r="AF9" i="3"/>
  <c r="AG9" i="3"/>
  <c r="AH9" i="3"/>
  <c r="AI9" i="3"/>
  <c r="AJ9" i="3"/>
  <c r="AL9" i="3"/>
  <c r="AM9" i="3"/>
  <c r="AN9" i="3"/>
  <c r="AO9" i="3"/>
  <c r="AP9" i="3"/>
  <c r="AR9" i="3"/>
  <c r="AS9" i="3"/>
  <c r="AT9" i="3"/>
  <c r="AU9" i="3"/>
  <c r="AV9" i="3"/>
  <c r="AX9" i="3"/>
  <c r="AY9" i="3"/>
  <c r="AZ9" i="3"/>
  <c r="BA9" i="3"/>
  <c r="BB9" i="3"/>
  <c r="BD9" i="3"/>
  <c r="BE9" i="3"/>
  <c r="BF9" i="3"/>
  <c r="BG9" i="3"/>
  <c r="BH9" i="3"/>
  <c r="BJ9" i="3"/>
  <c r="BK9" i="3"/>
  <c r="BL9" i="3"/>
  <c r="BM9" i="3"/>
  <c r="BN9" i="3"/>
  <c r="BP9" i="3"/>
  <c r="BQ9" i="3"/>
  <c r="BR9" i="3"/>
  <c r="BS9" i="3"/>
  <c r="BT9" i="3"/>
  <c r="BV9" i="3"/>
  <c r="BW9" i="3"/>
  <c r="BX9" i="3"/>
  <c r="BY9" i="3"/>
  <c r="BZ9" i="3"/>
  <c r="CB9" i="3"/>
  <c r="CC9" i="3"/>
  <c r="CD9" i="3"/>
  <c r="CE9" i="3"/>
  <c r="CF9" i="3"/>
  <c r="CH9" i="3"/>
  <c r="CI9" i="3"/>
  <c r="CJ9" i="3"/>
  <c r="CK9" i="3"/>
  <c r="CL9" i="3"/>
  <c r="CN9" i="3"/>
  <c r="CO9" i="3"/>
  <c r="CP9" i="3"/>
  <c r="CQ9" i="3"/>
  <c r="CR9" i="3"/>
  <c r="CT9" i="3"/>
  <c r="CU9" i="3"/>
  <c r="CV9" i="3"/>
  <c r="CW9" i="3"/>
  <c r="CX9" i="3"/>
  <c r="CZ9" i="3"/>
  <c r="DA9" i="3"/>
  <c r="DB9" i="3"/>
  <c r="DC9" i="3"/>
  <c r="DD9" i="3"/>
  <c r="DF9" i="3"/>
  <c r="DG9" i="3"/>
  <c r="DH9" i="3"/>
  <c r="DI9" i="3"/>
  <c r="DJ9" i="3"/>
  <c r="DL9" i="3"/>
  <c r="DM9" i="3"/>
  <c r="DN9" i="3"/>
  <c r="DO9" i="3"/>
  <c r="DP9" i="3"/>
  <c r="DR9" i="3"/>
  <c r="DS9" i="3"/>
  <c r="DT9" i="3"/>
  <c r="DU9" i="3"/>
  <c r="DV9" i="3"/>
  <c r="DX9" i="3"/>
  <c r="DY9" i="3"/>
  <c r="DZ9" i="3"/>
  <c r="EA9" i="3"/>
  <c r="EB9" i="3"/>
  <c r="ED9" i="3"/>
  <c r="EE9" i="3"/>
  <c r="EF9" i="3"/>
  <c r="EG9" i="3"/>
  <c r="EH9" i="3"/>
  <c r="EJ9" i="3"/>
  <c r="EK9" i="3"/>
  <c r="EL9" i="3"/>
  <c r="EM9" i="3"/>
  <c r="EN9" i="3"/>
  <c r="EP9" i="3"/>
  <c r="EQ9" i="3"/>
  <c r="ER9" i="3"/>
  <c r="ES9" i="3"/>
  <c r="ET9" i="3"/>
  <c r="EV9" i="3"/>
  <c r="EW9" i="3"/>
  <c r="EX9" i="3"/>
  <c r="EY9" i="3"/>
  <c r="EZ9" i="3"/>
  <c r="FB9" i="3"/>
  <c r="FC9" i="3"/>
  <c r="FD9" i="3"/>
  <c r="FE9" i="3"/>
  <c r="FF9" i="3"/>
  <c r="FH9" i="3"/>
  <c r="FI9" i="3"/>
  <c r="FJ9" i="3"/>
  <c r="FK9" i="3"/>
  <c r="FL9" i="3"/>
  <c r="FN9" i="3"/>
  <c r="FO9" i="3"/>
  <c r="FP9" i="3"/>
  <c r="FQ9" i="3"/>
  <c r="FR9" i="3"/>
  <c r="FT9" i="3"/>
  <c r="FU9" i="3"/>
  <c r="FV9" i="3"/>
  <c r="FW9" i="3"/>
  <c r="FX9" i="3"/>
  <c r="FZ9" i="3"/>
  <c r="GA9" i="3"/>
  <c r="GB9" i="3"/>
  <c r="GC9" i="3"/>
  <c r="GD9" i="3"/>
  <c r="GF9" i="3"/>
  <c r="GG9" i="3"/>
  <c r="GH9" i="3"/>
  <c r="GI9" i="3"/>
  <c r="GJ9" i="3"/>
  <c r="GL9" i="3"/>
  <c r="GM9" i="3"/>
  <c r="GN9" i="3"/>
  <c r="A10" i="3"/>
  <c r="B10" i="3"/>
  <c r="C10" i="3"/>
  <c r="D10" i="3"/>
  <c r="E10" i="3"/>
  <c r="F10" i="3"/>
  <c r="H10" i="3"/>
  <c r="I10" i="3"/>
  <c r="J10" i="3"/>
  <c r="K10" i="3"/>
  <c r="L10" i="3"/>
  <c r="N10" i="3"/>
  <c r="O10" i="3"/>
  <c r="P10" i="3"/>
  <c r="Q10" i="3"/>
  <c r="R10" i="3"/>
  <c r="T10" i="3"/>
  <c r="U10" i="3"/>
  <c r="V10" i="3"/>
  <c r="W10" i="3"/>
  <c r="X10" i="3"/>
  <c r="Z10" i="3"/>
  <c r="AA10" i="3"/>
  <c r="AB10" i="3"/>
  <c r="AC10" i="3"/>
  <c r="AD10" i="3"/>
  <c r="AF10" i="3"/>
  <c r="AG10" i="3"/>
  <c r="AH10" i="3"/>
  <c r="AI10" i="3"/>
  <c r="AJ10" i="3"/>
  <c r="AL10" i="3"/>
  <c r="AM10" i="3"/>
  <c r="AN10" i="3"/>
  <c r="AO10" i="3"/>
  <c r="AP10" i="3"/>
  <c r="AR10" i="3"/>
  <c r="AS10" i="3"/>
  <c r="AT10" i="3"/>
  <c r="AU10" i="3"/>
  <c r="AV10" i="3"/>
  <c r="AX10" i="3"/>
  <c r="AY10" i="3"/>
  <c r="AZ10" i="3"/>
  <c r="BA10" i="3"/>
  <c r="BB10" i="3"/>
  <c r="BD10" i="3"/>
  <c r="BE10" i="3"/>
  <c r="BF10" i="3"/>
  <c r="BG10" i="3"/>
  <c r="BH10" i="3"/>
  <c r="BJ10" i="3"/>
  <c r="BK10" i="3"/>
  <c r="BL10" i="3"/>
  <c r="BM10" i="3"/>
  <c r="BN10" i="3"/>
  <c r="BP10" i="3"/>
  <c r="BQ10" i="3"/>
  <c r="BR10" i="3"/>
  <c r="BS10" i="3"/>
  <c r="BT10" i="3"/>
  <c r="BV10" i="3"/>
  <c r="BW10" i="3"/>
  <c r="BX10" i="3"/>
  <c r="BY10" i="3"/>
  <c r="BZ10" i="3"/>
  <c r="CB10" i="3"/>
  <c r="CC10" i="3"/>
  <c r="CD10" i="3"/>
  <c r="CE10" i="3"/>
  <c r="CF10" i="3"/>
  <c r="CH10" i="3"/>
  <c r="CI10" i="3"/>
  <c r="CJ10" i="3"/>
  <c r="CK10" i="3"/>
  <c r="CL10" i="3"/>
  <c r="CN10" i="3"/>
  <c r="CO10" i="3"/>
  <c r="CP10" i="3"/>
  <c r="CQ10" i="3"/>
  <c r="CR10" i="3"/>
  <c r="CT10" i="3"/>
  <c r="CU10" i="3"/>
  <c r="CV10" i="3"/>
  <c r="CW10" i="3"/>
  <c r="CX10" i="3"/>
  <c r="CZ10" i="3"/>
  <c r="DA10" i="3"/>
  <c r="DB10" i="3"/>
  <c r="DC10" i="3"/>
  <c r="DD10" i="3"/>
  <c r="DF10" i="3"/>
  <c r="DG10" i="3"/>
  <c r="DH10" i="3"/>
  <c r="DI10" i="3"/>
  <c r="DJ10" i="3"/>
  <c r="DL10" i="3"/>
  <c r="DM10" i="3"/>
  <c r="DN10" i="3"/>
  <c r="DO10" i="3"/>
  <c r="DP10" i="3"/>
  <c r="DR10" i="3"/>
  <c r="DS10" i="3"/>
  <c r="DT10" i="3"/>
  <c r="DU10" i="3"/>
  <c r="DV10" i="3"/>
  <c r="DX10" i="3"/>
  <c r="DY10" i="3"/>
  <c r="DZ10" i="3"/>
  <c r="EA10" i="3"/>
  <c r="EB10" i="3"/>
  <c r="ED10" i="3"/>
  <c r="EE10" i="3"/>
  <c r="EF10" i="3"/>
  <c r="EG10" i="3"/>
  <c r="EH10" i="3"/>
  <c r="EJ10" i="3"/>
  <c r="EK10" i="3"/>
  <c r="EL10" i="3"/>
  <c r="EM10" i="3"/>
  <c r="EN10" i="3"/>
  <c r="EP10" i="3"/>
  <c r="EQ10" i="3"/>
  <c r="ER10" i="3"/>
  <c r="ES10" i="3"/>
  <c r="ET10" i="3"/>
  <c r="EV10" i="3"/>
  <c r="EW10" i="3"/>
  <c r="EX10" i="3"/>
  <c r="EY10" i="3"/>
  <c r="EZ10" i="3"/>
  <c r="FB10" i="3"/>
  <c r="FC10" i="3"/>
  <c r="FD10" i="3"/>
  <c r="FE10" i="3"/>
  <c r="FF10" i="3"/>
  <c r="FH10" i="3"/>
  <c r="FI10" i="3"/>
  <c r="FJ10" i="3"/>
  <c r="FK10" i="3"/>
  <c r="FL10" i="3"/>
  <c r="FN10" i="3"/>
  <c r="FO10" i="3"/>
  <c r="FP10" i="3"/>
  <c r="FQ10" i="3"/>
  <c r="FR10" i="3"/>
  <c r="FT10" i="3"/>
  <c r="FU10" i="3"/>
  <c r="FV10" i="3"/>
  <c r="FW10" i="3"/>
  <c r="FX10" i="3"/>
  <c r="FZ10" i="3"/>
  <c r="GA10" i="3"/>
  <c r="GB10" i="3"/>
  <c r="GC10" i="3"/>
  <c r="GD10" i="3"/>
  <c r="GF10" i="3"/>
  <c r="GG10" i="3"/>
  <c r="GH10" i="3"/>
  <c r="GI10" i="3"/>
  <c r="GJ10" i="3"/>
  <c r="GL10" i="3"/>
  <c r="GM10" i="3"/>
  <c r="GN10" i="3"/>
  <c r="A11" i="3"/>
  <c r="B11" i="3"/>
  <c r="C11" i="3"/>
  <c r="D11" i="3"/>
  <c r="E11" i="3"/>
  <c r="F11" i="3"/>
  <c r="H11" i="3"/>
  <c r="I11" i="3"/>
  <c r="J11" i="3"/>
  <c r="K11" i="3"/>
  <c r="L11" i="3"/>
  <c r="N11" i="3"/>
  <c r="O11" i="3"/>
  <c r="P11" i="3"/>
  <c r="Q11" i="3"/>
  <c r="R11" i="3"/>
  <c r="T11" i="3"/>
  <c r="U11" i="3"/>
  <c r="V11" i="3"/>
  <c r="W11" i="3"/>
  <c r="X11" i="3"/>
  <c r="Z11" i="3"/>
  <c r="AA11" i="3"/>
  <c r="AB11" i="3"/>
  <c r="AC11" i="3"/>
  <c r="AD11" i="3"/>
  <c r="AF11" i="3"/>
  <c r="AG11" i="3"/>
  <c r="AH11" i="3"/>
  <c r="AI11" i="3"/>
  <c r="AJ11" i="3"/>
  <c r="AL11" i="3"/>
  <c r="AM11" i="3"/>
  <c r="AN11" i="3"/>
  <c r="AO11" i="3"/>
  <c r="AP11" i="3"/>
  <c r="AR11" i="3"/>
  <c r="AS11" i="3"/>
  <c r="AT11" i="3"/>
  <c r="AU11" i="3"/>
  <c r="AV11" i="3"/>
  <c r="AX11" i="3"/>
  <c r="AY11" i="3"/>
  <c r="AZ11" i="3"/>
  <c r="BA11" i="3"/>
  <c r="BB11" i="3"/>
  <c r="BD11" i="3"/>
  <c r="BE11" i="3"/>
  <c r="BF11" i="3"/>
  <c r="BG11" i="3"/>
  <c r="BH11" i="3"/>
  <c r="BJ11" i="3"/>
  <c r="BK11" i="3"/>
  <c r="BL11" i="3"/>
  <c r="BM11" i="3"/>
  <c r="BN11" i="3"/>
  <c r="BP11" i="3"/>
  <c r="BQ11" i="3"/>
  <c r="BR11" i="3"/>
  <c r="BS11" i="3"/>
  <c r="BT11" i="3"/>
  <c r="BV11" i="3"/>
  <c r="BW11" i="3"/>
  <c r="BX11" i="3"/>
  <c r="BY11" i="3"/>
  <c r="BZ11" i="3"/>
  <c r="CA11" i="3" s="1"/>
  <c r="CB11" i="3"/>
  <c r="CC11" i="3"/>
  <c r="CD11" i="3"/>
  <c r="CE11" i="3"/>
  <c r="CF11" i="3"/>
  <c r="CH11" i="3"/>
  <c r="CI11" i="3"/>
  <c r="CJ11" i="3"/>
  <c r="CK11" i="3"/>
  <c r="CL11" i="3"/>
  <c r="CN11" i="3"/>
  <c r="CO11" i="3"/>
  <c r="CP11" i="3"/>
  <c r="CQ11" i="3"/>
  <c r="CR11" i="3"/>
  <c r="CT11" i="3"/>
  <c r="CU11" i="3"/>
  <c r="CV11" i="3"/>
  <c r="CW11" i="3"/>
  <c r="CX11" i="3"/>
  <c r="CZ11" i="3"/>
  <c r="DA11" i="3"/>
  <c r="DB11" i="3"/>
  <c r="DC11" i="3"/>
  <c r="DD11" i="3"/>
  <c r="DF11" i="3"/>
  <c r="DG11" i="3"/>
  <c r="DH11" i="3"/>
  <c r="DI11" i="3"/>
  <c r="DJ11" i="3"/>
  <c r="DL11" i="3"/>
  <c r="DM11" i="3"/>
  <c r="DN11" i="3"/>
  <c r="DO11" i="3"/>
  <c r="DP11" i="3"/>
  <c r="DR11" i="3"/>
  <c r="DS11" i="3"/>
  <c r="DT11" i="3"/>
  <c r="DU11" i="3"/>
  <c r="DV11" i="3"/>
  <c r="DX11" i="3"/>
  <c r="DY11" i="3"/>
  <c r="DZ11" i="3"/>
  <c r="EA11" i="3"/>
  <c r="EB11" i="3"/>
  <c r="ED11" i="3"/>
  <c r="EE11" i="3"/>
  <c r="EF11" i="3"/>
  <c r="EG11" i="3"/>
  <c r="EH11" i="3"/>
  <c r="EJ11" i="3"/>
  <c r="EK11" i="3"/>
  <c r="EL11" i="3"/>
  <c r="EM11" i="3"/>
  <c r="EN11" i="3"/>
  <c r="EP11" i="3"/>
  <c r="EQ11" i="3"/>
  <c r="ER11" i="3"/>
  <c r="ES11" i="3"/>
  <c r="ET11" i="3"/>
  <c r="EV11" i="3"/>
  <c r="EW11" i="3"/>
  <c r="EX11" i="3"/>
  <c r="EY11" i="3"/>
  <c r="EZ11" i="3"/>
  <c r="FB11" i="3"/>
  <c r="FC11" i="3"/>
  <c r="FD11" i="3"/>
  <c r="FE11" i="3"/>
  <c r="FF11" i="3"/>
  <c r="FH11" i="3"/>
  <c r="FI11" i="3"/>
  <c r="FJ11" i="3"/>
  <c r="FK11" i="3"/>
  <c r="FL11" i="3"/>
  <c r="FN11" i="3"/>
  <c r="FO11" i="3"/>
  <c r="FP11" i="3"/>
  <c r="FQ11" i="3"/>
  <c r="FR11" i="3"/>
  <c r="FT11" i="3"/>
  <c r="FU11" i="3"/>
  <c r="FV11" i="3"/>
  <c r="FW11" i="3"/>
  <c r="FX11" i="3"/>
  <c r="FZ11" i="3"/>
  <c r="GA11" i="3"/>
  <c r="GB11" i="3"/>
  <c r="GC11" i="3"/>
  <c r="GD11" i="3"/>
  <c r="GF11" i="3"/>
  <c r="GG11" i="3"/>
  <c r="GH11" i="3"/>
  <c r="GI11" i="3"/>
  <c r="GJ11" i="3"/>
  <c r="GL11" i="3"/>
  <c r="GM11" i="3"/>
  <c r="GN11" i="3"/>
  <c r="A12" i="3"/>
  <c r="B12" i="3"/>
  <c r="C12" i="3"/>
  <c r="D12" i="3"/>
  <c r="E12" i="3"/>
  <c r="F12" i="3"/>
  <c r="H12" i="3"/>
  <c r="I12" i="3"/>
  <c r="J12" i="3"/>
  <c r="K12" i="3"/>
  <c r="L12" i="3"/>
  <c r="N12" i="3"/>
  <c r="O12" i="3"/>
  <c r="P12" i="3"/>
  <c r="Q12" i="3"/>
  <c r="R12" i="3"/>
  <c r="T12" i="3"/>
  <c r="U12" i="3"/>
  <c r="V12" i="3"/>
  <c r="W12" i="3"/>
  <c r="X12" i="3"/>
  <c r="Z12" i="3"/>
  <c r="AA12" i="3"/>
  <c r="AB12" i="3"/>
  <c r="AC12" i="3"/>
  <c r="AD12" i="3"/>
  <c r="AF12" i="3"/>
  <c r="AG12" i="3"/>
  <c r="AH12" i="3"/>
  <c r="AI12" i="3"/>
  <c r="AJ12" i="3"/>
  <c r="AL12" i="3"/>
  <c r="AM12" i="3"/>
  <c r="AN12" i="3"/>
  <c r="AO12" i="3"/>
  <c r="AP12" i="3"/>
  <c r="AR12" i="3"/>
  <c r="AS12" i="3"/>
  <c r="AT12" i="3"/>
  <c r="AU12" i="3"/>
  <c r="AV12" i="3"/>
  <c r="AX12" i="3"/>
  <c r="AY12" i="3"/>
  <c r="AZ12" i="3"/>
  <c r="BA12" i="3"/>
  <c r="BB12" i="3"/>
  <c r="BD12" i="3"/>
  <c r="BE12" i="3"/>
  <c r="BF12" i="3"/>
  <c r="BG12" i="3"/>
  <c r="BH12" i="3"/>
  <c r="BJ12" i="3"/>
  <c r="BK12" i="3"/>
  <c r="BL12" i="3"/>
  <c r="BM12" i="3"/>
  <c r="BN12" i="3"/>
  <c r="BP12" i="3"/>
  <c r="BQ12" i="3"/>
  <c r="BR12" i="3"/>
  <c r="BS12" i="3"/>
  <c r="BT12" i="3"/>
  <c r="BV12" i="3"/>
  <c r="BW12" i="3"/>
  <c r="BX12" i="3"/>
  <c r="BY12" i="3"/>
  <c r="BZ12" i="3"/>
  <c r="CB12" i="3"/>
  <c r="CC12" i="3"/>
  <c r="CD12" i="3"/>
  <c r="CE12" i="3"/>
  <c r="CF12" i="3"/>
  <c r="CH12" i="3"/>
  <c r="CI12" i="3"/>
  <c r="CJ12" i="3"/>
  <c r="CK12" i="3"/>
  <c r="CL12" i="3"/>
  <c r="CN12" i="3"/>
  <c r="CO12" i="3"/>
  <c r="CP12" i="3"/>
  <c r="CQ12" i="3"/>
  <c r="CR12" i="3"/>
  <c r="CT12" i="3"/>
  <c r="CU12" i="3"/>
  <c r="CV12" i="3"/>
  <c r="CW12" i="3"/>
  <c r="CX12" i="3"/>
  <c r="CZ12" i="3"/>
  <c r="DA12" i="3"/>
  <c r="DB12" i="3"/>
  <c r="DC12" i="3"/>
  <c r="DD12" i="3"/>
  <c r="DF12" i="3"/>
  <c r="DG12" i="3"/>
  <c r="DH12" i="3"/>
  <c r="DI12" i="3"/>
  <c r="DJ12" i="3"/>
  <c r="DL12" i="3"/>
  <c r="DM12" i="3"/>
  <c r="DN12" i="3"/>
  <c r="DO12" i="3"/>
  <c r="DP12" i="3"/>
  <c r="DR12" i="3"/>
  <c r="DS12" i="3"/>
  <c r="DT12" i="3"/>
  <c r="DU12" i="3"/>
  <c r="DV12" i="3"/>
  <c r="DX12" i="3"/>
  <c r="DY12" i="3"/>
  <c r="DZ12" i="3"/>
  <c r="EA12" i="3"/>
  <c r="EB12" i="3"/>
  <c r="ED12" i="3"/>
  <c r="EE12" i="3"/>
  <c r="EF12" i="3"/>
  <c r="EG12" i="3"/>
  <c r="EH12" i="3"/>
  <c r="EJ12" i="3"/>
  <c r="EK12" i="3"/>
  <c r="EL12" i="3"/>
  <c r="EM12" i="3"/>
  <c r="EN12" i="3"/>
  <c r="EP12" i="3"/>
  <c r="EQ12" i="3"/>
  <c r="ER12" i="3"/>
  <c r="ES12" i="3"/>
  <c r="ET12" i="3"/>
  <c r="EV12" i="3"/>
  <c r="EW12" i="3"/>
  <c r="EX12" i="3"/>
  <c r="EY12" i="3"/>
  <c r="EZ12" i="3"/>
  <c r="FB12" i="3"/>
  <c r="FC12" i="3"/>
  <c r="FD12" i="3"/>
  <c r="FE12" i="3"/>
  <c r="FF12" i="3"/>
  <c r="FH12" i="3"/>
  <c r="FI12" i="3"/>
  <c r="FJ12" i="3"/>
  <c r="FK12" i="3"/>
  <c r="FL12" i="3"/>
  <c r="FN12" i="3"/>
  <c r="FO12" i="3"/>
  <c r="FP12" i="3"/>
  <c r="FQ12" i="3"/>
  <c r="FR12" i="3"/>
  <c r="FT12" i="3"/>
  <c r="FU12" i="3"/>
  <c r="FV12" i="3"/>
  <c r="FW12" i="3"/>
  <c r="FX12" i="3"/>
  <c r="FZ12" i="3"/>
  <c r="GA12" i="3"/>
  <c r="GB12" i="3"/>
  <c r="GC12" i="3"/>
  <c r="GD12" i="3"/>
  <c r="GF12" i="3"/>
  <c r="GG12" i="3"/>
  <c r="GH12" i="3"/>
  <c r="GI12" i="3"/>
  <c r="GJ12" i="3"/>
  <c r="GL12" i="3"/>
  <c r="GM12" i="3"/>
  <c r="GN12" i="3"/>
  <c r="A13" i="3"/>
  <c r="B13" i="3"/>
  <c r="C13" i="3"/>
  <c r="D13" i="3"/>
  <c r="E13" i="3"/>
  <c r="F13" i="3"/>
  <c r="H13" i="3"/>
  <c r="I13" i="3"/>
  <c r="J13" i="3"/>
  <c r="K13" i="3"/>
  <c r="L13" i="3"/>
  <c r="N13" i="3"/>
  <c r="O13" i="3"/>
  <c r="P13" i="3"/>
  <c r="Q13" i="3"/>
  <c r="R13" i="3"/>
  <c r="T13" i="3"/>
  <c r="U13" i="3"/>
  <c r="V13" i="3"/>
  <c r="W13" i="3"/>
  <c r="X13" i="3"/>
  <c r="Z13" i="3"/>
  <c r="AA13" i="3"/>
  <c r="AB13" i="3"/>
  <c r="AC13" i="3"/>
  <c r="AD13" i="3"/>
  <c r="AF13" i="3"/>
  <c r="AG13" i="3"/>
  <c r="AH13" i="3"/>
  <c r="AI13" i="3"/>
  <c r="AJ13" i="3"/>
  <c r="AL13" i="3"/>
  <c r="AM13" i="3"/>
  <c r="AN13" i="3"/>
  <c r="AO13" i="3"/>
  <c r="AP13" i="3"/>
  <c r="AR13" i="3"/>
  <c r="AS13" i="3"/>
  <c r="AT13" i="3"/>
  <c r="AU13" i="3"/>
  <c r="AV13" i="3"/>
  <c r="AX13" i="3"/>
  <c r="AY13" i="3"/>
  <c r="AZ13" i="3"/>
  <c r="BA13" i="3"/>
  <c r="BB13" i="3"/>
  <c r="BD13" i="3"/>
  <c r="BE13" i="3"/>
  <c r="BF13" i="3"/>
  <c r="BG13" i="3"/>
  <c r="BH13" i="3"/>
  <c r="BJ13" i="3"/>
  <c r="BK13" i="3"/>
  <c r="BL13" i="3"/>
  <c r="BM13" i="3"/>
  <c r="BN13" i="3"/>
  <c r="BP13" i="3"/>
  <c r="BQ13" i="3"/>
  <c r="BR13" i="3"/>
  <c r="BS13" i="3"/>
  <c r="BT13" i="3"/>
  <c r="BV13" i="3"/>
  <c r="BW13" i="3"/>
  <c r="BX13" i="3"/>
  <c r="BY13" i="3"/>
  <c r="BZ13" i="3"/>
  <c r="CB13" i="3"/>
  <c r="CC13" i="3"/>
  <c r="CD13" i="3"/>
  <c r="CE13" i="3"/>
  <c r="CF13" i="3"/>
  <c r="CH13" i="3"/>
  <c r="CI13" i="3"/>
  <c r="CJ13" i="3"/>
  <c r="CK13" i="3"/>
  <c r="CL13" i="3"/>
  <c r="CN13" i="3"/>
  <c r="CO13" i="3"/>
  <c r="CP13" i="3"/>
  <c r="CQ13" i="3"/>
  <c r="CR13" i="3"/>
  <c r="CT13" i="3"/>
  <c r="CU13" i="3"/>
  <c r="CV13" i="3"/>
  <c r="CW13" i="3"/>
  <c r="CX13" i="3"/>
  <c r="CZ13" i="3"/>
  <c r="DA13" i="3"/>
  <c r="DB13" i="3"/>
  <c r="DC13" i="3"/>
  <c r="DD13" i="3"/>
  <c r="DF13" i="3"/>
  <c r="DG13" i="3"/>
  <c r="DH13" i="3"/>
  <c r="DI13" i="3"/>
  <c r="DJ13" i="3"/>
  <c r="DL13" i="3"/>
  <c r="DM13" i="3"/>
  <c r="DN13" i="3"/>
  <c r="DO13" i="3"/>
  <c r="DP13" i="3"/>
  <c r="DR13" i="3"/>
  <c r="DS13" i="3"/>
  <c r="DT13" i="3"/>
  <c r="DU13" i="3"/>
  <c r="DV13" i="3"/>
  <c r="DX13" i="3"/>
  <c r="DY13" i="3"/>
  <c r="DZ13" i="3"/>
  <c r="EA13" i="3"/>
  <c r="EB13" i="3"/>
  <c r="ED13" i="3"/>
  <c r="EE13" i="3"/>
  <c r="EF13" i="3"/>
  <c r="EG13" i="3"/>
  <c r="EH13" i="3"/>
  <c r="EJ13" i="3"/>
  <c r="EK13" i="3"/>
  <c r="EL13" i="3"/>
  <c r="EM13" i="3"/>
  <c r="EN13" i="3"/>
  <c r="EP13" i="3"/>
  <c r="EQ13" i="3"/>
  <c r="ER13" i="3"/>
  <c r="ES13" i="3"/>
  <c r="ET13" i="3"/>
  <c r="EV13" i="3"/>
  <c r="EW13" i="3"/>
  <c r="EX13" i="3"/>
  <c r="EY13" i="3"/>
  <c r="EZ13" i="3"/>
  <c r="FB13" i="3"/>
  <c r="FC13" i="3"/>
  <c r="FD13" i="3"/>
  <c r="FE13" i="3"/>
  <c r="FF13" i="3"/>
  <c r="FH13" i="3"/>
  <c r="FI13" i="3"/>
  <c r="FJ13" i="3"/>
  <c r="FK13" i="3"/>
  <c r="FL13" i="3"/>
  <c r="FN13" i="3"/>
  <c r="FO13" i="3"/>
  <c r="FP13" i="3"/>
  <c r="FQ13" i="3"/>
  <c r="FR13" i="3"/>
  <c r="FT13" i="3"/>
  <c r="FU13" i="3"/>
  <c r="FV13" i="3"/>
  <c r="FW13" i="3"/>
  <c r="FX13" i="3"/>
  <c r="FZ13" i="3"/>
  <c r="GA13" i="3"/>
  <c r="GB13" i="3"/>
  <c r="GC13" i="3"/>
  <c r="GD13" i="3"/>
  <c r="GF13" i="3"/>
  <c r="GG13" i="3"/>
  <c r="GH13" i="3"/>
  <c r="GI13" i="3"/>
  <c r="GJ13" i="3"/>
  <c r="GL13" i="3"/>
  <c r="GM13" i="3"/>
  <c r="GN13" i="3"/>
  <c r="A14" i="3"/>
  <c r="B14" i="3"/>
  <c r="C14" i="3"/>
  <c r="D14" i="3"/>
  <c r="E14" i="3"/>
  <c r="F14" i="3"/>
  <c r="H14" i="3"/>
  <c r="I14" i="3"/>
  <c r="J14" i="3"/>
  <c r="K14" i="3"/>
  <c r="L14" i="3"/>
  <c r="N14" i="3"/>
  <c r="O14" i="3"/>
  <c r="P14" i="3"/>
  <c r="Q14" i="3"/>
  <c r="R14" i="3"/>
  <c r="T14" i="3"/>
  <c r="U14" i="3"/>
  <c r="V14" i="3"/>
  <c r="W14" i="3"/>
  <c r="X14" i="3"/>
  <c r="Z14" i="3"/>
  <c r="AA14" i="3"/>
  <c r="AB14" i="3"/>
  <c r="AC14" i="3"/>
  <c r="AD14" i="3"/>
  <c r="AF14" i="3"/>
  <c r="AG14" i="3"/>
  <c r="AH14" i="3"/>
  <c r="AI14" i="3"/>
  <c r="AJ14" i="3"/>
  <c r="AL14" i="3"/>
  <c r="AM14" i="3"/>
  <c r="AN14" i="3"/>
  <c r="AO14" i="3"/>
  <c r="AP14" i="3"/>
  <c r="AR14" i="3"/>
  <c r="AS14" i="3"/>
  <c r="AT14" i="3"/>
  <c r="AU14" i="3"/>
  <c r="AV14" i="3"/>
  <c r="AX14" i="3"/>
  <c r="AY14" i="3"/>
  <c r="AZ14" i="3"/>
  <c r="BA14" i="3"/>
  <c r="BB14" i="3"/>
  <c r="BD14" i="3"/>
  <c r="BE14" i="3"/>
  <c r="BF14" i="3"/>
  <c r="BG14" i="3"/>
  <c r="BH14" i="3"/>
  <c r="BJ14" i="3"/>
  <c r="BK14" i="3"/>
  <c r="BL14" i="3"/>
  <c r="BM14" i="3"/>
  <c r="BN14" i="3"/>
  <c r="BP14" i="3"/>
  <c r="BQ14" i="3"/>
  <c r="BR14" i="3"/>
  <c r="BS14" i="3"/>
  <c r="BT14" i="3"/>
  <c r="BU14" i="3" s="1"/>
  <c r="BV14" i="3"/>
  <c r="BW14" i="3"/>
  <c r="BX14" i="3"/>
  <c r="BY14" i="3"/>
  <c r="BZ14" i="3"/>
  <c r="CB14" i="3"/>
  <c r="CC14" i="3"/>
  <c r="CD14" i="3"/>
  <c r="CE14" i="3"/>
  <c r="CF14" i="3"/>
  <c r="CH14" i="3"/>
  <c r="CI14" i="3"/>
  <c r="CJ14" i="3"/>
  <c r="CK14" i="3"/>
  <c r="CL14" i="3"/>
  <c r="CN14" i="3"/>
  <c r="CO14" i="3"/>
  <c r="CP14" i="3"/>
  <c r="CQ14" i="3"/>
  <c r="CR14" i="3"/>
  <c r="CT14" i="3"/>
  <c r="CU14" i="3"/>
  <c r="CV14" i="3"/>
  <c r="CW14" i="3"/>
  <c r="CX14" i="3"/>
  <c r="CZ14" i="3"/>
  <c r="DA14" i="3"/>
  <c r="DB14" i="3"/>
  <c r="DC14" i="3"/>
  <c r="DD14" i="3"/>
  <c r="DF14" i="3"/>
  <c r="DG14" i="3"/>
  <c r="DH14" i="3"/>
  <c r="DI14" i="3"/>
  <c r="DJ14" i="3"/>
  <c r="DL14" i="3"/>
  <c r="DM14" i="3"/>
  <c r="DN14" i="3"/>
  <c r="DO14" i="3"/>
  <c r="DP14" i="3"/>
  <c r="DR14" i="3"/>
  <c r="DS14" i="3"/>
  <c r="DT14" i="3"/>
  <c r="DU14" i="3"/>
  <c r="DV14" i="3"/>
  <c r="DX14" i="3"/>
  <c r="DY14" i="3"/>
  <c r="DZ14" i="3"/>
  <c r="EA14" i="3"/>
  <c r="EB14" i="3"/>
  <c r="ED14" i="3"/>
  <c r="EE14" i="3"/>
  <c r="EF14" i="3"/>
  <c r="EG14" i="3"/>
  <c r="EH14" i="3"/>
  <c r="EJ14" i="3"/>
  <c r="EK14" i="3"/>
  <c r="EL14" i="3"/>
  <c r="EM14" i="3"/>
  <c r="EN14" i="3"/>
  <c r="EP14" i="3"/>
  <c r="EQ14" i="3"/>
  <c r="ER14" i="3"/>
  <c r="ES14" i="3"/>
  <c r="ET14" i="3"/>
  <c r="EV14" i="3"/>
  <c r="EW14" i="3"/>
  <c r="EX14" i="3"/>
  <c r="EY14" i="3"/>
  <c r="EZ14" i="3"/>
  <c r="FA14" i="3" s="1"/>
  <c r="FB14" i="3"/>
  <c r="FC14" i="3"/>
  <c r="FD14" i="3"/>
  <c r="FE14" i="3"/>
  <c r="FF14" i="3"/>
  <c r="FH14" i="3"/>
  <c r="FI14" i="3"/>
  <c r="FJ14" i="3"/>
  <c r="FK14" i="3"/>
  <c r="FL14" i="3"/>
  <c r="FN14" i="3"/>
  <c r="FO14" i="3"/>
  <c r="FP14" i="3"/>
  <c r="FQ14" i="3"/>
  <c r="FR14" i="3"/>
  <c r="FT14" i="3"/>
  <c r="FU14" i="3"/>
  <c r="FV14" i="3"/>
  <c r="FW14" i="3"/>
  <c r="FX14" i="3"/>
  <c r="FZ14" i="3"/>
  <c r="GA14" i="3"/>
  <c r="GB14" i="3"/>
  <c r="GC14" i="3"/>
  <c r="GD14" i="3"/>
  <c r="GF14" i="3"/>
  <c r="GG14" i="3"/>
  <c r="GH14" i="3"/>
  <c r="GI14" i="3"/>
  <c r="GJ14" i="3"/>
  <c r="GL14" i="3"/>
  <c r="GM14" i="3"/>
  <c r="GN14" i="3"/>
  <c r="A15" i="3"/>
  <c r="B15" i="3"/>
  <c r="C15" i="3"/>
  <c r="D15" i="3"/>
  <c r="E15" i="3"/>
  <c r="F15" i="3"/>
  <c r="H15" i="3"/>
  <c r="I15" i="3"/>
  <c r="J15" i="3"/>
  <c r="K15" i="3"/>
  <c r="L15" i="3"/>
  <c r="N15" i="3"/>
  <c r="O15" i="3"/>
  <c r="P15" i="3"/>
  <c r="Q15" i="3"/>
  <c r="R15" i="3"/>
  <c r="T15" i="3"/>
  <c r="U15" i="3"/>
  <c r="V15" i="3"/>
  <c r="W15" i="3"/>
  <c r="X15" i="3"/>
  <c r="Z15" i="3"/>
  <c r="AA15" i="3"/>
  <c r="AB15" i="3"/>
  <c r="AC15" i="3"/>
  <c r="AD15" i="3"/>
  <c r="AF15" i="3"/>
  <c r="AG15" i="3"/>
  <c r="AH15" i="3"/>
  <c r="AI15" i="3"/>
  <c r="AJ15" i="3"/>
  <c r="AL15" i="3"/>
  <c r="AM15" i="3"/>
  <c r="AN15" i="3"/>
  <c r="AO15" i="3"/>
  <c r="AP15" i="3"/>
  <c r="AR15" i="3"/>
  <c r="AS15" i="3"/>
  <c r="AT15" i="3"/>
  <c r="AU15" i="3"/>
  <c r="AV15" i="3"/>
  <c r="AX15" i="3"/>
  <c r="AY15" i="3"/>
  <c r="AZ15" i="3"/>
  <c r="BA15" i="3"/>
  <c r="BB15" i="3"/>
  <c r="BD15" i="3"/>
  <c r="BE15" i="3"/>
  <c r="BF15" i="3"/>
  <c r="BG15" i="3"/>
  <c r="BH15" i="3"/>
  <c r="BJ15" i="3"/>
  <c r="BK15" i="3"/>
  <c r="BL15" i="3"/>
  <c r="BM15" i="3"/>
  <c r="BN15" i="3"/>
  <c r="BP15" i="3"/>
  <c r="BQ15" i="3"/>
  <c r="BR15" i="3"/>
  <c r="BS15" i="3"/>
  <c r="BT15" i="3"/>
  <c r="BV15" i="3"/>
  <c r="BW15" i="3"/>
  <c r="BX15" i="3"/>
  <c r="BY15" i="3"/>
  <c r="BZ15" i="3"/>
  <c r="CB15" i="3"/>
  <c r="CC15" i="3"/>
  <c r="CD15" i="3"/>
  <c r="CE15" i="3"/>
  <c r="CF15" i="3"/>
  <c r="CH15" i="3"/>
  <c r="CI15" i="3"/>
  <c r="CJ15" i="3"/>
  <c r="CK15" i="3"/>
  <c r="CL15" i="3"/>
  <c r="CN15" i="3"/>
  <c r="CO15" i="3"/>
  <c r="CP15" i="3"/>
  <c r="CQ15" i="3"/>
  <c r="CR15" i="3"/>
  <c r="CT15" i="3"/>
  <c r="CU15" i="3"/>
  <c r="CV15" i="3"/>
  <c r="CW15" i="3"/>
  <c r="CX15" i="3"/>
  <c r="CZ15" i="3"/>
  <c r="DA15" i="3"/>
  <c r="DB15" i="3"/>
  <c r="DC15" i="3"/>
  <c r="DD15" i="3"/>
  <c r="DF15" i="3"/>
  <c r="DG15" i="3"/>
  <c r="DH15" i="3"/>
  <c r="DI15" i="3"/>
  <c r="DJ15" i="3"/>
  <c r="DL15" i="3"/>
  <c r="DM15" i="3"/>
  <c r="DN15" i="3"/>
  <c r="DO15" i="3"/>
  <c r="DP15" i="3"/>
  <c r="DR15" i="3"/>
  <c r="DS15" i="3"/>
  <c r="DT15" i="3"/>
  <c r="DU15" i="3"/>
  <c r="DV15" i="3"/>
  <c r="DX15" i="3"/>
  <c r="DY15" i="3"/>
  <c r="DZ15" i="3"/>
  <c r="EA15" i="3"/>
  <c r="EB15" i="3"/>
  <c r="ED15" i="3"/>
  <c r="EE15" i="3"/>
  <c r="EF15" i="3"/>
  <c r="EG15" i="3"/>
  <c r="EH15" i="3"/>
  <c r="EJ15" i="3"/>
  <c r="EK15" i="3"/>
  <c r="EL15" i="3"/>
  <c r="EM15" i="3"/>
  <c r="EN15" i="3"/>
  <c r="EP15" i="3"/>
  <c r="EQ15" i="3"/>
  <c r="ER15" i="3"/>
  <c r="ES15" i="3"/>
  <c r="ET15" i="3"/>
  <c r="EV15" i="3"/>
  <c r="EW15" i="3"/>
  <c r="EX15" i="3"/>
  <c r="EY15" i="3"/>
  <c r="EZ15" i="3"/>
  <c r="FB15" i="3"/>
  <c r="FC15" i="3"/>
  <c r="FD15" i="3"/>
  <c r="FE15" i="3"/>
  <c r="FF15" i="3"/>
  <c r="FH15" i="3"/>
  <c r="FI15" i="3"/>
  <c r="FJ15" i="3"/>
  <c r="FK15" i="3"/>
  <c r="FL15" i="3"/>
  <c r="FN15" i="3"/>
  <c r="FO15" i="3"/>
  <c r="FP15" i="3"/>
  <c r="FQ15" i="3"/>
  <c r="FR15" i="3"/>
  <c r="FT15" i="3"/>
  <c r="FU15" i="3"/>
  <c r="FV15" i="3"/>
  <c r="FW15" i="3"/>
  <c r="FX15" i="3"/>
  <c r="FZ15" i="3"/>
  <c r="GA15" i="3"/>
  <c r="GB15" i="3"/>
  <c r="GC15" i="3"/>
  <c r="GD15" i="3"/>
  <c r="GF15" i="3"/>
  <c r="GG15" i="3"/>
  <c r="GH15" i="3"/>
  <c r="GI15" i="3"/>
  <c r="GJ15" i="3"/>
  <c r="GL15" i="3"/>
  <c r="GM15" i="3"/>
  <c r="GN15" i="3"/>
  <c r="A16" i="3"/>
  <c r="B16" i="3"/>
  <c r="C16" i="3"/>
  <c r="D16" i="3"/>
  <c r="E16" i="3"/>
  <c r="F16" i="3"/>
  <c r="H16" i="3"/>
  <c r="I16" i="3"/>
  <c r="J16" i="3"/>
  <c r="K16" i="3"/>
  <c r="L16" i="3"/>
  <c r="N16" i="3"/>
  <c r="O16" i="3"/>
  <c r="P16" i="3"/>
  <c r="Q16" i="3"/>
  <c r="R16" i="3"/>
  <c r="T16" i="3"/>
  <c r="U16" i="3"/>
  <c r="V16" i="3"/>
  <c r="W16" i="3"/>
  <c r="X16" i="3"/>
  <c r="Z16" i="3"/>
  <c r="AA16" i="3"/>
  <c r="AB16" i="3"/>
  <c r="AC16" i="3"/>
  <c r="AD16" i="3"/>
  <c r="AF16" i="3"/>
  <c r="AG16" i="3"/>
  <c r="AH16" i="3"/>
  <c r="AI16" i="3"/>
  <c r="AJ16" i="3"/>
  <c r="AL16" i="3"/>
  <c r="AM16" i="3"/>
  <c r="AN16" i="3"/>
  <c r="AO16" i="3"/>
  <c r="AP16" i="3"/>
  <c r="AR16" i="3"/>
  <c r="AS16" i="3"/>
  <c r="AT16" i="3"/>
  <c r="AU16" i="3"/>
  <c r="AV16" i="3"/>
  <c r="AW16" i="3" s="1"/>
  <c r="AX16" i="3"/>
  <c r="AY16" i="3"/>
  <c r="AZ16" i="3"/>
  <c r="BA16" i="3"/>
  <c r="BB16" i="3"/>
  <c r="BD16" i="3"/>
  <c r="BE16" i="3"/>
  <c r="BF16" i="3"/>
  <c r="BG16" i="3"/>
  <c r="BH16" i="3"/>
  <c r="BJ16" i="3"/>
  <c r="BK16" i="3"/>
  <c r="BL16" i="3"/>
  <c r="BM16" i="3"/>
  <c r="BN16" i="3"/>
  <c r="BP16" i="3"/>
  <c r="BQ16" i="3"/>
  <c r="BR16" i="3"/>
  <c r="BS16" i="3"/>
  <c r="BT16" i="3"/>
  <c r="BV16" i="3"/>
  <c r="BW16" i="3"/>
  <c r="BX16" i="3"/>
  <c r="BY16" i="3"/>
  <c r="BZ16" i="3"/>
  <c r="CB16" i="3"/>
  <c r="CC16" i="3"/>
  <c r="CD16" i="3"/>
  <c r="CE16" i="3"/>
  <c r="CF16" i="3"/>
  <c r="CH16" i="3"/>
  <c r="CI16" i="3"/>
  <c r="CJ16" i="3"/>
  <c r="CK16" i="3"/>
  <c r="CL16" i="3"/>
  <c r="CN16" i="3"/>
  <c r="CO16" i="3"/>
  <c r="CP16" i="3"/>
  <c r="CQ16" i="3"/>
  <c r="CR16" i="3"/>
  <c r="CT16" i="3"/>
  <c r="CU16" i="3"/>
  <c r="CV16" i="3"/>
  <c r="CW16" i="3"/>
  <c r="CX16" i="3"/>
  <c r="CZ16" i="3"/>
  <c r="DA16" i="3"/>
  <c r="DB16" i="3"/>
  <c r="DC16" i="3"/>
  <c r="DD16" i="3"/>
  <c r="DF16" i="3"/>
  <c r="DG16" i="3"/>
  <c r="DH16" i="3"/>
  <c r="DI16" i="3"/>
  <c r="DJ16" i="3"/>
  <c r="DL16" i="3"/>
  <c r="DM16" i="3"/>
  <c r="DN16" i="3"/>
  <c r="DO16" i="3"/>
  <c r="DP16" i="3"/>
  <c r="DR16" i="3"/>
  <c r="DS16" i="3"/>
  <c r="DT16" i="3"/>
  <c r="DU16" i="3"/>
  <c r="DV16" i="3"/>
  <c r="DX16" i="3"/>
  <c r="DY16" i="3"/>
  <c r="DZ16" i="3"/>
  <c r="EA16" i="3"/>
  <c r="EB16" i="3"/>
  <c r="ED16" i="3"/>
  <c r="EE16" i="3"/>
  <c r="EF16" i="3"/>
  <c r="EG16" i="3"/>
  <c r="EH16" i="3"/>
  <c r="EJ16" i="3"/>
  <c r="EK16" i="3"/>
  <c r="EL16" i="3"/>
  <c r="EM16" i="3"/>
  <c r="EN16" i="3"/>
  <c r="EP16" i="3"/>
  <c r="EQ16" i="3"/>
  <c r="ER16" i="3"/>
  <c r="ES16" i="3"/>
  <c r="ET16" i="3"/>
  <c r="EV16" i="3"/>
  <c r="EW16" i="3"/>
  <c r="EX16" i="3"/>
  <c r="EY16" i="3"/>
  <c r="EZ16" i="3"/>
  <c r="FB16" i="3"/>
  <c r="FC16" i="3"/>
  <c r="FD16" i="3"/>
  <c r="FE16" i="3"/>
  <c r="FF16" i="3"/>
  <c r="FH16" i="3"/>
  <c r="FI16" i="3"/>
  <c r="FJ16" i="3"/>
  <c r="FK16" i="3"/>
  <c r="FL16" i="3"/>
  <c r="FN16" i="3"/>
  <c r="FO16" i="3"/>
  <c r="FP16" i="3"/>
  <c r="FQ16" i="3"/>
  <c r="FR16" i="3"/>
  <c r="FT16" i="3"/>
  <c r="FU16" i="3"/>
  <c r="FV16" i="3"/>
  <c r="FW16" i="3"/>
  <c r="FX16" i="3"/>
  <c r="FZ16" i="3"/>
  <c r="GA16" i="3"/>
  <c r="GB16" i="3"/>
  <c r="GC16" i="3"/>
  <c r="GD16" i="3"/>
  <c r="GF16" i="3"/>
  <c r="GG16" i="3"/>
  <c r="GH16" i="3"/>
  <c r="GI16" i="3"/>
  <c r="GJ16" i="3"/>
  <c r="GL16" i="3"/>
  <c r="GM16" i="3"/>
  <c r="GN16" i="3"/>
  <c r="A17" i="3"/>
  <c r="B17" i="3"/>
  <c r="C17" i="3"/>
  <c r="D17" i="3"/>
  <c r="E17" i="3"/>
  <c r="F17" i="3"/>
  <c r="H17" i="3"/>
  <c r="I17" i="3"/>
  <c r="J17" i="3"/>
  <c r="K17" i="3"/>
  <c r="L17" i="3"/>
  <c r="N17" i="3"/>
  <c r="O17" i="3"/>
  <c r="P17" i="3"/>
  <c r="Q17" i="3"/>
  <c r="R17" i="3"/>
  <c r="T17" i="3"/>
  <c r="U17" i="3"/>
  <c r="V17" i="3"/>
  <c r="W17" i="3"/>
  <c r="X17" i="3"/>
  <c r="Z17" i="3"/>
  <c r="AA17" i="3"/>
  <c r="AB17" i="3"/>
  <c r="AC17" i="3"/>
  <c r="AD17" i="3"/>
  <c r="AF17" i="3"/>
  <c r="AG17" i="3"/>
  <c r="AH17" i="3"/>
  <c r="AI17" i="3"/>
  <c r="AJ17" i="3"/>
  <c r="AL17" i="3"/>
  <c r="AM17" i="3"/>
  <c r="AN17" i="3"/>
  <c r="AO17" i="3"/>
  <c r="AP17" i="3"/>
  <c r="AR17" i="3"/>
  <c r="AS17" i="3"/>
  <c r="AT17" i="3"/>
  <c r="AU17" i="3"/>
  <c r="AV17" i="3"/>
  <c r="AX17" i="3"/>
  <c r="AY17" i="3"/>
  <c r="AZ17" i="3"/>
  <c r="BA17" i="3"/>
  <c r="BB17" i="3"/>
  <c r="BD17" i="3"/>
  <c r="BE17" i="3"/>
  <c r="BF17" i="3"/>
  <c r="BG17" i="3"/>
  <c r="BH17" i="3"/>
  <c r="BJ17" i="3"/>
  <c r="BK17" i="3"/>
  <c r="BL17" i="3"/>
  <c r="BM17" i="3"/>
  <c r="BN17" i="3"/>
  <c r="BP17" i="3"/>
  <c r="BQ17" i="3"/>
  <c r="BR17" i="3"/>
  <c r="BS17" i="3"/>
  <c r="BT17" i="3"/>
  <c r="BV17" i="3"/>
  <c r="BW17" i="3"/>
  <c r="BX17" i="3"/>
  <c r="BY17" i="3"/>
  <c r="BZ17" i="3"/>
  <c r="CB17" i="3"/>
  <c r="CC17" i="3"/>
  <c r="CD17" i="3"/>
  <c r="CE17" i="3"/>
  <c r="CF17" i="3"/>
  <c r="CH17" i="3"/>
  <c r="CI17" i="3"/>
  <c r="CJ17" i="3"/>
  <c r="CK17" i="3"/>
  <c r="CL17" i="3"/>
  <c r="CN17" i="3"/>
  <c r="CO17" i="3"/>
  <c r="CP17" i="3"/>
  <c r="CQ17" i="3"/>
  <c r="CR17" i="3"/>
  <c r="CT17" i="3"/>
  <c r="CU17" i="3"/>
  <c r="CV17" i="3"/>
  <c r="CW17" i="3"/>
  <c r="CX17" i="3"/>
  <c r="CZ17" i="3"/>
  <c r="DA17" i="3"/>
  <c r="DB17" i="3"/>
  <c r="DC17" i="3"/>
  <c r="DD17" i="3"/>
  <c r="DF17" i="3"/>
  <c r="DG17" i="3"/>
  <c r="DH17" i="3"/>
  <c r="DI17" i="3"/>
  <c r="DJ17" i="3"/>
  <c r="DL17" i="3"/>
  <c r="DM17" i="3"/>
  <c r="DN17" i="3"/>
  <c r="DO17" i="3"/>
  <c r="DP17" i="3"/>
  <c r="DR17" i="3"/>
  <c r="DS17" i="3"/>
  <c r="DT17" i="3"/>
  <c r="DU17" i="3"/>
  <c r="DV17" i="3"/>
  <c r="DX17" i="3"/>
  <c r="DY17" i="3"/>
  <c r="DZ17" i="3"/>
  <c r="EA17" i="3"/>
  <c r="EB17" i="3"/>
  <c r="ED17" i="3"/>
  <c r="EE17" i="3"/>
  <c r="EF17" i="3"/>
  <c r="EG17" i="3"/>
  <c r="EH17" i="3"/>
  <c r="EJ17" i="3"/>
  <c r="EK17" i="3"/>
  <c r="EL17" i="3"/>
  <c r="EM17" i="3"/>
  <c r="EN17" i="3"/>
  <c r="EP17" i="3"/>
  <c r="EQ17" i="3"/>
  <c r="ER17" i="3"/>
  <c r="ES17" i="3"/>
  <c r="ET17" i="3"/>
  <c r="EV17" i="3"/>
  <c r="EW17" i="3"/>
  <c r="EX17" i="3"/>
  <c r="EY17" i="3"/>
  <c r="EZ17" i="3"/>
  <c r="FB17" i="3"/>
  <c r="FC17" i="3"/>
  <c r="FD17" i="3"/>
  <c r="FE17" i="3"/>
  <c r="FF17" i="3"/>
  <c r="FH17" i="3"/>
  <c r="FI17" i="3"/>
  <c r="FJ17" i="3"/>
  <c r="FK17" i="3"/>
  <c r="FL17" i="3"/>
  <c r="FN17" i="3"/>
  <c r="FO17" i="3"/>
  <c r="FP17" i="3"/>
  <c r="FQ17" i="3"/>
  <c r="FR17" i="3"/>
  <c r="FT17" i="3"/>
  <c r="FU17" i="3"/>
  <c r="FV17" i="3"/>
  <c r="FW17" i="3"/>
  <c r="FX17" i="3"/>
  <c r="FZ17" i="3"/>
  <c r="GA17" i="3"/>
  <c r="GB17" i="3"/>
  <c r="GC17" i="3"/>
  <c r="GD17" i="3"/>
  <c r="GF17" i="3"/>
  <c r="GG17" i="3"/>
  <c r="GH17" i="3"/>
  <c r="GI17" i="3"/>
  <c r="GJ17" i="3"/>
  <c r="GL17" i="3"/>
  <c r="GM17" i="3"/>
  <c r="GN17" i="3"/>
  <c r="A18" i="3"/>
  <c r="B18" i="3"/>
  <c r="C18" i="3"/>
  <c r="D18" i="3"/>
  <c r="E18" i="3"/>
  <c r="F18" i="3"/>
  <c r="H18" i="3"/>
  <c r="I18" i="3"/>
  <c r="J18" i="3"/>
  <c r="K18" i="3"/>
  <c r="L18" i="3"/>
  <c r="N18" i="3"/>
  <c r="O18" i="3"/>
  <c r="P18" i="3"/>
  <c r="Q18" i="3"/>
  <c r="R18" i="3"/>
  <c r="T18" i="3"/>
  <c r="U18" i="3"/>
  <c r="V18" i="3"/>
  <c r="W18" i="3"/>
  <c r="X18" i="3"/>
  <c r="Z18" i="3"/>
  <c r="AA18" i="3"/>
  <c r="AB18" i="3"/>
  <c r="AC18" i="3"/>
  <c r="AD18" i="3"/>
  <c r="AF18" i="3"/>
  <c r="AG18" i="3"/>
  <c r="AH18" i="3"/>
  <c r="AI18" i="3"/>
  <c r="AJ18" i="3"/>
  <c r="AL18" i="3"/>
  <c r="AM18" i="3"/>
  <c r="AN18" i="3"/>
  <c r="AO18" i="3"/>
  <c r="AP18" i="3"/>
  <c r="AR18" i="3"/>
  <c r="AS18" i="3"/>
  <c r="AT18" i="3"/>
  <c r="AU18" i="3"/>
  <c r="AV18" i="3"/>
  <c r="AX18" i="3"/>
  <c r="AY18" i="3"/>
  <c r="AZ18" i="3"/>
  <c r="BA18" i="3"/>
  <c r="BB18" i="3"/>
  <c r="BD18" i="3"/>
  <c r="BE18" i="3"/>
  <c r="BF18" i="3"/>
  <c r="BG18" i="3"/>
  <c r="BH18" i="3"/>
  <c r="BJ18" i="3"/>
  <c r="BK18" i="3"/>
  <c r="BL18" i="3"/>
  <c r="BM18" i="3"/>
  <c r="BN18" i="3"/>
  <c r="BP18" i="3"/>
  <c r="BQ18" i="3"/>
  <c r="BR18" i="3"/>
  <c r="BS18" i="3"/>
  <c r="BT18" i="3"/>
  <c r="BV18" i="3"/>
  <c r="BW18" i="3"/>
  <c r="BX18" i="3"/>
  <c r="BY18" i="3"/>
  <c r="BZ18" i="3"/>
  <c r="CB18" i="3"/>
  <c r="CC18" i="3"/>
  <c r="CD18" i="3"/>
  <c r="CE18" i="3"/>
  <c r="CF18" i="3"/>
  <c r="CH18" i="3"/>
  <c r="CI18" i="3"/>
  <c r="CJ18" i="3"/>
  <c r="CK18" i="3"/>
  <c r="CM18" i="3" s="1"/>
  <c r="CL18" i="3"/>
  <c r="CN18" i="3"/>
  <c r="CO18" i="3"/>
  <c r="CP18" i="3"/>
  <c r="CQ18" i="3"/>
  <c r="CR18" i="3"/>
  <c r="CT18" i="3"/>
  <c r="CU18" i="3"/>
  <c r="CV18" i="3"/>
  <c r="CW18" i="3"/>
  <c r="CX18" i="3"/>
  <c r="CZ18" i="3"/>
  <c r="DA18" i="3"/>
  <c r="DB18" i="3"/>
  <c r="DC18" i="3"/>
  <c r="DD18" i="3"/>
  <c r="DF18" i="3"/>
  <c r="DG18" i="3"/>
  <c r="DH18" i="3"/>
  <c r="DI18" i="3"/>
  <c r="DJ18" i="3"/>
  <c r="DL18" i="3"/>
  <c r="DM18" i="3"/>
  <c r="DN18" i="3"/>
  <c r="DO18" i="3"/>
  <c r="DP18" i="3"/>
  <c r="DR18" i="3"/>
  <c r="DS18" i="3"/>
  <c r="DT18" i="3"/>
  <c r="DU18" i="3"/>
  <c r="DV18" i="3"/>
  <c r="DX18" i="3"/>
  <c r="DY18" i="3"/>
  <c r="DZ18" i="3"/>
  <c r="EA18" i="3"/>
  <c r="EB18" i="3"/>
  <c r="ED18" i="3"/>
  <c r="EE18" i="3"/>
  <c r="EF18" i="3"/>
  <c r="EG18" i="3"/>
  <c r="EH18" i="3"/>
  <c r="EJ18" i="3"/>
  <c r="EK18" i="3"/>
  <c r="EL18" i="3"/>
  <c r="EM18" i="3"/>
  <c r="EN18" i="3"/>
  <c r="EP18" i="3"/>
  <c r="EQ18" i="3"/>
  <c r="ER18" i="3"/>
  <c r="ES18" i="3"/>
  <c r="ET18" i="3"/>
  <c r="EV18" i="3"/>
  <c r="EW18" i="3"/>
  <c r="EX18" i="3"/>
  <c r="EY18" i="3"/>
  <c r="EZ18" i="3"/>
  <c r="FB18" i="3"/>
  <c r="FC18" i="3"/>
  <c r="FD18" i="3"/>
  <c r="FE18" i="3"/>
  <c r="FF18" i="3"/>
  <c r="FH18" i="3"/>
  <c r="FI18" i="3"/>
  <c r="FJ18" i="3"/>
  <c r="FK18" i="3"/>
  <c r="FL18" i="3"/>
  <c r="FN18" i="3"/>
  <c r="FO18" i="3"/>
  <c r="FP18" i="3"/>
  <c r="FQ18" i="3"/>
  <c r="FR18" i="3"/>
  <c r="FT18" i="3"/>
  <c r="FU18" i="3"/>
  <c r="FV18" i="3"/>
  <c r="FW18" i="3"/>
  <c r="FX18" i="3"/>
  <c r="FZ18" i="3"/>
  <c r="GA18" i="3"/>
  <c r="GB18" i="3"/>
  <c r="GC18" i="3"/>
  <c r="GD18" i="3"/>
  <c r="GF18" i="3"/>
  <c r="GG18" i="3"/>
  <c r="GH18" i="3"/>
  <c r="GI18" i="3"/>
  <c r="GJ18" i="3"/>
  <c r="GL18" i="3"/>
  <c r="GM18" i="3"/>
  <c r="GN18" i="3"/>
  <c r="A19" i="3"/>
  <c r="B19" i="3"/>
  <c r="C19" i="3"/>
  <c r="D19" i="3"/>
  <c r="E19" i="3"/>
  <c r="F19" i="3"/>
  <c r="H19" i="3"/>
  <c r="I19" i="3"/>
  <c r="J19" i="3"/>
  <c r="K19" i="3"/>
  <c r="L19" i="3"/>
  <c r="N19" i="3"/>
  <c r="O19" i="3"/>
  <c r="P19" i="3"/>
  <c r="Q19" i="3"/>
  <c r="R19" i="3"/>
  <c r="T19" i="3"/>
  <c r="U19" i="3"/>
  <c r="V19" i="3"/>
  <c r="W19" i="3"/>
  <c r="X19" i="3"/>
  <c r="Z19" i="3"/>
  <c r="AA19" i="3"/>
  <c r="AB19" i="3"/>
  <c r="AC19" i="3"/>
  <c r="AD19" i="3"/>
  <c r="AF19" i="3"/>
  <c r="AG19" i="3"/>
  <c r="AH19" i="3"/>
  <c r="AI19" i="3"/>
  <c r="AJ19" i="3"/>
  <c r="AL19" i="3"/>
  <c r="AM19" i="3"/>
  <c r="AN19" i="3"/>
  <c r="AO19" i="3"/>
  <c r="AP19" i="3"/>
  <c r="AR19" i="3"/>
  <c r="AS19" i="3"/>
  <c r="AT19" i="3"/>
  <c r="AU19" i="3"/>
  <c r="AV19" i="3"/>
  <c r="AX19" i="3"/>
  <c r="AY19" i="3"/>
  <c r="AZ19" i="3"/>
  <c r="BA19" i="3"/>
  <c r="BB19" i="3"/>
  <c r="BD19" i="3"/>
  <c r="BE19" i="3"/>
  <c r="BF19" i="3"/>
  <c r="BG19" i="3"/>
  <c r="BH19" i="3"/>
  <c r="BJ19" i="3"/>
  <c r="BK19" i="3"/>
  <c r="BL19" i="3"/>
  <c r="BM19" i="3"/>
  <c r="BN19" i="3"/>
  <c r="BP19" i="3"/>
  <c r="BQ19" i="3"/>
  <c r="BR19" i="3"/>
  <c r="BS19" i="3"/>
  <c r="BT19" i="3"/>
  <c r="BV19" i="3"/>
  <c r="BW19" i="3"/>
  <c r="BX19" i="3"/>
  <c r="BY19" i="3"/>
  <c r="BZ19" i="3"/>
  <c r="CB19" i="3"/>
  <c r="CC19" i="3"/>
  <c r="CD19" i="3"/>
  <c r="CE19" i="3"/>
  <c r="CF19" i="3"/>
  <c r="CH19" i="3"/>
  <c r="CI19" i="3"/>
  <c r="CJ19" i="3"/>
  <c r="CK19" i="3"/>
  <c r="CL19" i="3"/>
  <c r="CN19" i="3"/>
  <c r="CO19" i="3"/>
  <c r="CP19" i="3"/>
  <c r="CQ19" i="3"/>
  <c r="CR19" i="3"/>
  <c r="CT19" i="3"/>
  <c r="CU19" i="3"/>
  <c r="CV19" i="3"/>
  <c r="CW19" i="3"/>
  <c r="CX19" i="3"/>
  <c r="CZ19" i="3"/>
  <c r="DA19" i="3"/>
  <c r="DB19" i="3"/>
  <c r="DC19" i="3"/>
  <c r="DD19" i="3"/>
  <c r="DF19" i="3"/>
  <c r="DG19" i="3"/>
  <c r="DH19" i="3"/>
  <c r="DI19" i="3"/>
  <c r="DJ19" i="3"/>
  <c r="DL19" i="3"/>
  <c r="DM19" i="3"/>
  <c r="DN19" i="3"/>
  <c r="DO19" i="3"/>
  <c r="DP19" i="3"/>
  <c r="DR19" i="3"/>
  <c r="DS19" i="3"/>
  <c r="DT19" i="3"/>
  <c r="DU19" i="3"/>
  <c r="DV19" i="3"/>
  <c r="DX19" i="3"/>
  <c r="DY19" i="3"/>
  <c r="DZ19" i="3"/>
  <c r="EA19" i="3"/>
  <c r="EB19" i="3"/>
  <c r="ED19" i="3"/>
  <c r="EE19" i="3"/>
  <c r="EF19" i="3"/>
  <c r="EG19" i="3"/>
  <c r="EH19" i="3"/>
  <c r="EJ19" i="3"/>
  <c r="EK19" i="3"/>
  <c r="EL19" i="3"/>
  <c r="EM19" i="3"/>
  <c r="EN19" i="3"/>
  <c r="EP19" i="3"/>
  <c r="EQ19" i="3"/>
  <c r="ER19" i="3"/>
  <c r="ES19" i="3"/>
  <c r="ET19" i="3"/>
  <c r="EV19" i="3"/>
  <c r="EW19" i="3"/>
  <c r="EX19" i="3"/>
  <c r="EY19" i="3"/>
  <c r="EZ19" i="3"/>
  <c r="FB19" i="3"/>
  <c r="FC19" i="3"/>
  <c r="FD19" i="3"/>
  <c r="FE19" i="3"/>
  <c r="FF19" i="3"/>
  <c r="FH19" i="3"/>
  <c r="FI19" i="3"/>
  <c r="FJ19" i="3"/>
  <c r="FK19" i="3"/>
  <c r="FL19" i="3"/>
  <c r="FN19" i="3"/>
  <c r="FO19" i="3"/>
  <c r="FP19" i="3"/>
  <c r="FQ19" i="3"/>
  <c r="FR19" i="3"/>
  <c r="FT19" i="3"/>
  <c r="FU19" i="3"/>
  <c r="FV19" i="3"/>
  <c r="FW19" i="3"/>
  <c r="FX19" i="3"/>
  <c r="FZ19" i="3"/>
  <c r="GA19" i="3"/>
  <c r="GB19" i="3"/>
  <c r="GC19" i="3"/>
  <c r="GD19" i="3"/>
  <c r="GF19" i="3"/>
  <c r="GG19" i="3"/>
  <c r="GH19" i="3"/>
  <c r="GI19" i="3"/>
  <c r="GJ19" i="3"/>
  <c r="GL19" i="3"/>
  <c r="GM19" i="3"/>
  <c r="GN19" i="3"/>
  <c r="A20" i="3"/>
  <c r="B20" i="3"/>
  <c r="C20" i="3"/>
  <c r="D20" i="3"/>
  <c r="E20" i="3"/>
  <c r="F20" i="3"/>
  <c r="H20" i="3"/>
  <c r="I20" i="3"/>
  <c r="J20" i="3"/>
  <c r="K20" i="3"/>
  <c r="L20" i="3"/>
  <c r="M20" i="3" s="1"/>
  <c r="N20" i="3"/>
  <c r="O20" i="3"/>
  <c r="P20" i="3"/>
  <c r="Q20" i="3"/>
  <c r="R20" i="3"/>
  <c r="T20" i="3"/>
  <c r="U20" i="3"/>
  <c r="V20" i="3"/>
  <c r="W20" i="3"/>
  <c r="X20" i="3"/>
  <c r="Y20" i="3" s="1"/>
  <c r="Z20" i="3"/>
  <c r="AA20" i="3"/>
  <c r="AB20" i="3"/>
  <c r="AC20" i="3"/>
  <c r="AD20" i="3"/>
  <c r="AF20" i="3"/>
  <c r="AG20" i="3"/>
  <c r="AH20" i="3"/>
  <c r="AI20" i="3"/>
  <c r="AJ20" i="3"/>
  <c r="AL20" i="3"/>
  <c r="AM20" i="3"/>
  <c r="AN20" i="3"/>
  <c r="AO20" i="3"/>
  <c r="AP20" i="3"/>
  <c r="AR20" i="3"/>
  <c r="AS20" i="3"/>
  <c r="AT20" i="3"/>
  <c r="AU20" i="3"/>
  <c r="AV20" i="3"/>
  <c r="AX20" i="3"/>
  <c r="AY20" i="3"/>
  <c r="AZ20" i="3"/>
  <c r="BA20" i="3"/>
  <c r="BB20" i="3"/>
  <c r="BD20" i="3"/>
  <c r="BE20" i="3"/>
  <c r="BF20" i="3"/>
  <c r="BG20" i="3"/>
  <c r="BH20" i="3"/>
  <c r="BJ20" i="3"/>
  <c r="BK20" i="3"/>
  <c r="BL20" i="3"/>
  <c r="BM20" i="3"/>
  <c r="BN20" i="3"/>
  <c r="BP20" i="3"/>
  <c r="BQ20" i="3"/>
  <c r="BR20" i="3"/>
  <c r="BS20" i="3"/>
  <c r="BT20" i="3"/>
  <c r="BV20" i="3"/>
  <c r="BW20" i="3"/>
  <c r="BX20" i="3"/>
  <c r="BY20" i="3"/>
  <c r="BZ20" i="3"/>
  <c r="CB20" i="3"/>
  <c r="CC20" i="3"/>
  <c r="CD20" i="3"/>
  <c r="CE20" i="3"/>
  <c r="CF20" i="3"/>
  <c r="CH20" i="3"/>
  <c r="CI20" i="3"/>
  <c r="CJ20" i="3"/>
  <c r="CK20" i="3"/>
  <c r="CL20" i="3"/>
  <c r="CN20" i="3"/>
  <c r="CO20" i="3"/>
  <c r="CP20" i="3"/>
  <c r="CQ20" i="3"/>
  <c r="CR20" i="3"/>
  <c r="CT20" i="3"/>
  <c r="CU20" i="3"/>
  <c r="CV20" i="3"/>
  <c r="CW20" i="3"/>
  <c r="CX20" i="3"/>
  <c r="CZ20" i="3"/>
  <c r="DA20" i="3"/>
  <c r="DB20" i="3"/>
  <c r="DC20" i="3"/>
  <c r="DD20" i="3"/>
  <c r="DF20" i="3"/>
  <c r="DG20" i="3"/>
  <c r="DH20" i="3"/>
  <c r="DI20" i="3"/>
  <c r="DJ20" i="3"/>
  <c r="DL20" i="3"/>
  <c r="DM20" i="3"/>
  <c r="DN20" i="3"/>
  <c r="DO20" i="3"/>
  <c r="DP20" i="3"/>
  <c r="DR20" i="3"/>
  <c r="DS20" i="3"/>
  <c r="DT20" i="3"/>
  <c r="DU20" i="3"/>
  <c r="DV20" i="3"/>
  <c r="DX20" i="3"/>
  <c r="DY20" i="3"/>
  <c r="DZ20" i="3"/>
  <c r="EA20" i="3"/>
  <c r="EB20" i="3"/>
  <c r="ED20" i="3"/>
  <c r="EE20" i="3"/>
  <c r="EF20" i="3"/>
  <c r="EG20" i="3"/>
  <c r="EH20" i="3"/>
  <c r="EJ20" i="3"/>
  <c r="EK20" i="3"/>
  <c r="EL20" i="3"/>
  <c r="EM20" i="3"/>
  <c r="EN20" i="3"/>
  <c r="EP20" i="3"/>
  <c r="EQ20" i="3"/>
  <c r="ER20" i="3"/>
  <c r="ES20" i="3"/>
  <c r="ET20" i="3"/>
  <c r="EV20" i="3"/>
  <c r="EW20" i="3"/>
  <c r="EX20" i="3"/>
  <c r="EY20" i="3"/>
  <c r="EZ20" i="3"/>
  <c r="FB20" i="3"/>
  <c r="FC20" i="3"/>
  <c r="FD20" i="3"/>
  <c r="FE20" i="3"/>
  <c r="FF20" i="3"/>
  <c r="FH20" i="3"/>
  <c r="FI20" i="3"/>
  <c r="FJ20" i="3"/>
  <c r="FK20" i="3"/>
  <c r="FL20" i="3"/>
  <c r="FN20" i="3"/>
  <c r="FO20" i="3"/>
  <c r="FP20" i="3"/>
  <c r="FQ20" i="3"/>
  <c r="FR20" i="3"/>
  <c r="FT20" i="3"/>
  <c r="FU20" i="3"/>
  <c r="FV20" i="3"/>
  <c r="FW20" i="3"/>
  <c r="FX20" i="3"/>
  <c r="FZ20" i="3"/>
  <c r="GA20" i="3"/>
  <c r="GB20" i="3"/>
  <c r="GC20" i="3"/>
  <c r="GD20" i="3"/>
  <c r="GF20" i="3"/>
  <c r="GG20" i="3"/>
  <c r="GH20" i="3"/>
  <c r="GI20" i="3"/>
  <c r="GJ20" i="3"/>
  <c r="GL20" i="3"/>
  <c r="GM20" i="3"/>
  <c r="GN20" i="3"/>
  <c r="A21" i="3"/>
  <c r="B21" i="3"/>
  <c r="C21" i="3"/>
  <c r="D21" i="3"/>
  <c r="E21" i="3"/>
  <c r="F21" i="3"/>
  <c r="H21" i="3"/>
  <c r="I21" i="3"/>
  <c r="J21" i="3"/>
  <c r="K21" i="3"/>
  <c r="L21" i="3"/>
  <c r="N21" i="3"/>
  <c r="O21" i="3"/>
  <c r="P21" i="3"/>
  <c r="Q21" i="3"/>
  <c r="R21" i="3"/>
  <c r="T21" i="3"/>
  <c r="U21" i="3"/>
  <c r="V21" i="3"/>
  <c r="W21" i="3"/>
  <c r="X21" i="3"/>
  <c r="Z21" i="3"/>
  <c r="AA21" i="3"/>
  <c r="AB21" i="3"/>
  <c r="AC21" i="3"/>
  <c r="AD21" i="3"/>
  <c r="AF21" i="3"/>
  <c r="AG21" i="3"/>
  <c r="AH21" i="3"/>
  <c r="AI21" i="3"/>
  <c r="AJ21" i="3"/>
  <c r="AL21" i="3"/>
  <c r="AM21" i="3"/>
  <c r="AN21" i="3"/>
  <c r="AO21" i="3"/>
  <c r="AP21" i="3"/>
  <c r="AR21" i="3"/>
  <c r="AS21" i="3"/>
  <c r="AT21" i="3"/>
  <c r="AU21" i="3"/>
  <c r="AV21" i="3"/>
  <c r="AX21" i="3"/>
  <c r="AY21" i="3"/>
  <c r="AZ21" i="3"/>
  <c r="BA21" i="3"/>
  <c r="BB21" i="3"/>
  <c r="BD21" i="3"/>
  <c r="BE21" i="3"/>
  <c r="BF21" i="3"/>
  <c r="BG21" i="3"/>
  <c r="BH21" i="3"/>
  <c r="BJ21" i="3"/>
  <c r="BK21" i="3"/>
  <c r="BL21" i="3"/>
  <c r="BM21" i="3"/>
  <c r="BN21" i="3"/>
  <c r="BP21" i="3"/>
  <c r="BQ21" i="3"/>
  <c r="BR21" i="3"/>
  <c r="BS21" i="3"/>
  <c r="BT21" i="3"/>
  <c r="BV21" i="3"/>
  <c r="BW21" i="3"/>
  <c r="BX21" i="3"/>
  <c r="BY21" i="3"/>
  <c r="BZ21" i="3"/>
  <c r="CB21" i="3"/>
  <c r="CC21" i="3"/>
  <c r="CD21" i="3"/>
  <c r="CE21" i="3"/>
  <c r="CF21" i="3"/>
  <c r="CH21" i="3"/>
  <c r="CI21" i="3"/>
  <c r="CJ21" i="3"/>
  <c r="CK21" i="3"/>
  <c r="CL21" i="3"/>
  <c r="CN21" i="3"/>
  <c r="CO21" i="3"/>
  <c r="CP21" i="3"/>
  <c r="CQ21" i="3"/>
  <c r="CR21" i="3"/>
  <c r="CT21" i="3"/>
  <c r="CU21" i="3"/>
  <c r="CV21" i="3"/>
  <c r="CW21" i="3"/>
  <c r="CX21" i="3"/>
  <c r="CZ21" i="3"/>
  <c r="DA21" i="3"/>
  <c r="DB21" i="3"/>
  <c r="DC21" i="3"/>
  <c r="DD21" i="3"/>
  <c r="DF21" i="3"/>
  <c r="DG21" i="3"/>
  <c r="DH21" i="3"/>
  <c r="DI21" i="3"/>
  <c r="DJ21" i="3"/>
  <c r="DL21" i="3"/>
  <c r="DM21" i="3"/>
  <c r="DN21" i="3"/>
  <c r="DO21" i="3"/>
  <c r="DP21" i="3"/>
  <c r="DR21" i="3"/>
  <c r="DS21" i="3"/>
  <c r="DT21" i="3"/>
  <c r="DU21" i="3"/>
  <c r="DV21" i="3"/>
  <c r="DX21" i="3"/>
  <c r="DY21" i="3"/>
  <c r="DZ21" i="3"/>
  <c r="EA21" i="3"/>
  <c r="EB21" i="3"/>
  <c r="ED21" i="3"/>
  <c r="EE21" i="3"/>
  <c r="EF21" i="3"/>
  <c r="EG21" i="3"/>
  <c r="EH21" i="3"/>
  <c r="EJ21" i="3"/>
  <c r="EK21" i="3"/>
  <c r="EL21" i="3"/>
  <c r="EM21" i="3"/>
  <c r="EN21" i="3"/>
  <c r="EP21" i="3"/>
  <c r="EQ21" i="3"/>
  <c r="ER21" i="3"/>
  <c r="ES21" i="3"/>
  <c r="ET21" i="3"/>
  <c r="EV21" i="3"/>
  <c r="EW21" i="3"/>
  <c r="EX21" i="3"/>
  <c r="EY21" i="3"/>
  <c r="EZ21" i="3"/>
  <c r="FB21" i="3"/>
  <c r="FC21" i="3"/>
  <c r="FD21" i="3"/>
  <c r="FE21" i="3"/>
  <c r="FF21" i="3"/>
  <c r="FH21" i="3"/>
  <c r="FI21" i="3"/>
  <c r="FJ21" i="3"/>
  <c r="FK21" i="3"/>
  <c r="FL21" i="3"/>
  <c r="FN21" i="3"/>
  <c r="FO21" i="3"/>
  <c r="FP21" i="3"/>
  <c r="FQ21" i="3"/>
  <c r="FR21" i="3"/>
  <c r="FT21" i="3"/>
  <c r="FU21" i="3"/>
  <c r="FV21" i="3"/>
  <c r="FW21" i="3"/>
  <c r="FX21" i="3"/>
  <c r="FZ21" i="3"/>
  <c r="GA21" i="3"/>
  <c r="GB21" i="3"/>
  <c r="GC21" i="3"/>
  <c r="GD21" i="3"/>
  <c r="GF21" i="3"/>
  <c r="GG21" i="3"/>
  <c r="GH21" i="3"/>
  <c r="GI21" i="3"/>
  <c r="GJ21" i="3"/>
  <c r="GL21" i="3"/>
  <c r="GM21" i="3"/>
  <c r="GN21" i="3"/>
  <c r="A22" i="3"/>
  <c r="B22" i="3"/>
  <c r="C22" i="3"/>
  <c r="D22" i="3"/>
  <c r="E22" i="3"/>
  <c r="F22" i="3"/>
  <c r="H22" i="3"/>
  <c r="I22" i="3"/>
  <c r="J22" i="3"/>
  <c r="K22" i="3"/>
  <c r="L22" i="3"/>
  <c r="N22" i="3"/>
  <c r="O22" i="3"/>
  <c r="P22" i="3"/>
  <c r="Q22" i="3"/>
  <c r="R22" i="3"/>
  <c r="T22" i="3"/>
  <c r="U22" i="3"/>
  <c r="V22" i="3"/>
  <c r="W22" i="3"/>
  <c r="X22" i="3"/>
  <c r="Z22" i="3"/>
  <c r="AA22" i="3"/>
  <c r="AB22" i="3"/>
  <c r="AC22" i="3"/>
  <c r="AD22" i="3"/>
  <c r="AF22" i="3"/>
  <c r="AG22" i="3"/>
  <c r="AH22" i="3"/>
  <c r="AI22" i="3"/>
  <c r="AJ22" i="3"/>
  <c r="AL22" i="3"/>
  <c r="AM22" i="3"/>
  <c r="AN22" i="3"/>
  <c r="AO22" i="3"/>
  <c r="AP22" i="3"/>
  <c r="AR22" i="3"/>
  <c r="AS22" i="3"/>
  <c r="AT22" i="3"/>
  <c r="AU22" i="3"/>
  <c r="AV22" i="3"/>
  <c r="AX22" i="3"/>
  <c r="AY22" i="3"/>
  <c r="AZ22" i="3"/>
  <c r="BA22" i="3"/>
  <c r="BB22" i="3"/>
  <c r="BD22" i="3"/>
  <c r="BE22" i="3"/>
  <c r="BF22" i="3"/>
  <c r="BG22" i="3"/>
  <c r="BH22" i="3"/>
  <c r="BJ22" i="3"/>
  <c r="BK22" i="3"/>
  <c r="BL22" i="3"/>
  <c r="BM22" i="3"/>
  <c r="BN22" i="3"/>
  <c r="BP22" i="3"/>
  <c r="BQ22" i="3"/>
  <c r="BR22" i="3"/>
  <c r="BS22" i="3"/>
  <c r="BT22" i="3"/>
  <c r="BV22" i="3"/>
  <c r="BW22" i="3"/>
  <c r="BX22" i="3"/>
  <c r="BY22" i="3"/>
  <c r="BZ22" i="3"/>
  <c r="CB22" i="3"/>
  <c r="CC22" i="3"/>
  <c r="CD22" i="3"/>
  <c r="CE22" i="3"/>
  <c r="CF22" i="3"/>
  <c r="CH22" i="3"/>
  <c r="CI22" i="3"/>
  <c r="CJ22" i="3"/>
  <c r="CK22" i="3"/>
  <c r="CL22" i="3"/>
  <c r="CN22" i="3"/>
  <c r="CO22" i="3"/>
  <c r="CP22" i="3"/>
  <c r="CQ22" i="3"/>
  <c r="CR22" i="3"/>
  <c r="CT22" i="3"/>
  <c r="CU22" i="3"/>
  <c r="CV22" i="3"/>
  <c r="CW22" i="3"/>
  <c r="CX22" i="3"/>
  <c r="CZ22" i="3"/>
  <c r="DA22" i="3"/>
  <c r="DB22" i="3"/>
  <c r="DC22" i="3"/>
  <c r="DD22" i="3"/>
  <c r="DF22" i="3"/>
  <c r="DG22" i="3"/>
  <c r="DH22" i="3"/>
  <c r="DI22" i="3"/>
  <c r="DJ22" i="3"/>
  <c r="DL22" i="3"/>
  <c r="DM22" i="3"/>
  <c r="DN22" i="3"/>
  <c r="DO22" i="3"/>
  <c r="DP22" i="3"/>
  <c r="DR22" i="3"/>
  <c r="DS22" i="3"/>
  <c r="DT22" i="3"/>
  <c r="DU22" i="3"/>
  <c r="DV22" i="3"/>
  <c r="DX22" i="3"/>
  <c r="DY22" i="3"/>
  <c r="DZ22" i="3"/>
  <c r="EA22" i="3"/>
  <c r="EB22" i="3"/>
  <c r="ED22" i="3"/>
  <c r="EE22" i="3"/>
  <c r="EF22" i="3"/>
  <c r="EG22" i="3"/>
  <c r="EH22" i="3"/>
  <c r="EJ22" i="3"/>
  <c r="EK22" i="3"/>
  <c r="EL22" i="3"/>
  <c r="EM22" i="3"/>
  <c r="EN22" i="3"/>
  <c r="EP22" i="3"/>
  <c r="EQ22" i="3"/>
  <c r="ER22" i="3"/>
  <c r="ES22" i="3"/>
  <c r="ET22" i="3"/>
  <c r="EV22" i="3"/>
  <c r="EW22" i="3"/>
  <c r="EX22" i="3"/>
  <c r="EY22" i="3"/>
  <c r="EZ22" i="3"/>
  <c r="FB22" i="3"/>
  <c r="FC22" i="3"/>
  <c r="FD22" i="3"/>
  <c r="FE22" i="3"/>
  <c r="FF22" i="3"/>
  <c r="FH22" i="3"/>
  <c r="FI22" i="3"/>
  <c r="FJ22" i="3"/>
  <c r="FK22" i="3"/>
  <c r="FL22" i="3"/>
  <c r="FN22" i="3"/>
  <c r="FO22" i="3"/>
  <c r="FP22" i="3"/>
  <c r="FQ22" i="3"/>
  <c r="FR22" i="3"/>
  <c r="FT22" i="3"/>
  <c r="FU22" i="3"/>
  <c r="FV22" i="3"/>
  <c r="FW22" i="3"/>
  <c r="FX22" i="3"/>
  <c r="FZ22" i="3"/>
  <c r="GA22" i="3"/>
  <c r="GB22" i="3"/>
  <c r="GC22" i="3"/>
  <c r="GD22" i="3"/>
  <c r="GF22" i="3"/>
  <c r="GG22" i="3"/>
  <c r="GH22" i="3"/>
  <c r="GI22" i="3"/>
  <c r="GJ22" i="3"/>
  <c r="GL22" i="3"/>
  <c r="GM22" i="3"/>
  <c r="GN22" i="3"/>
  <c r="A23" i="3"/>
  <c r="B23" i="3"/>
  <c r="C23" i="3"/>
  <c r="D23" i="3"/>
  <c r="E23" i="3"/>
  <c r="F23" i="3"/>
  <c r="H23" i="3"/>
  <c r="I23" i="3"/>
  <c r="J23" i="3"/>
  <c r="K23" i="3"/>
  <c r="L23" i="3"/>
  <c r="N23" i="3"/>
  <c r="O23" i="3"/>
  <c r="P23" i="3"/>
  <c r="Q23" i="3"/>
  <c r="R23" i="3"/>
  <c r="T23" i="3"/>
  <c r="U23" i="3"/>
  <c r="V23" i="3"/>
  <c r="W23" i="3"/>
  <c r="X23" i="3"/>
  <c r="Z23" i="3"/>
  <c r="AA23" i="3"/>
  <c r="AB23" i="3"/>
  <c r="AC23" i="3"/>
  <c r="AD23" i="3"/>
  <c r="AF23" i="3"/>
  <c r="AG23" i="3"/>
  <c r="AH23" i="3"/>
  <c r="AI23" i="3"/>
  <c r="AJ23" i="3"/>
  <c r="AL23" i="3"/>
  <c r="AM23" i="3"/>
  <c r="AN23" i="3"/>
  <c r="AO23" i="3"/>
  <c r="AP23" i="3"/>
  <c r="AR23" i="3"/>
  <c r="AS23" i="3"/>
  <c r="AT23" i="3"/>
  <c r="AU23" i="3"/>
  <c r="AV23" i="3"/>
  <c r="AX23" i="3"/>
  <c r="AY23" i="3"/>
  <c r="AZ23" i="3"/>
  <c r="BA23" i="3"/>
  <c r="BB23" i="3"/>
  <c r="BD23" i="3"/>
  <c r="BE23" i="3"/>
  <c r="BF23" i="3"/>
  <c r="BG23" i="3"/>
  <c r="BH23" i="3"/>
  <c r="BJ23" i="3"/>
  <c r="BK23" i="3"/>
  <c r="BL23" i="3"/>
  <c r="BM23" i="3"/>
  <c r="BN23" i="3"/>
  <c r="BP23" i="3"/>
  <c r="BQ23" i="3"/>
  <c r="BR23" i="3"/>
  <c r="BS23" i="3"/>
  <c r="BT23" i="3"/>
  <c r="BV23" i="3"/>
  <c r="BW23" i="3"/>
  <c r="BX23" i="3"/>
  <c r="BY23" i="3"/>
  <c r="BZ23" i="3"/>
  <c r="CB23" i="3"/>
  <c r="CC23" i="3"/>
  <c r="CD23" i="3"/>
  <c r="CE23" i="3"/>
  <c r="CF23" i="3"/>
  <c r="CH23" i="3"/>
  <c r="CI23" i="3"/>
  <c r="CJ23" i="3"/>
  <c r="CK23" i="3"/>
  <c r="CL23" i="3"/>
  <c r="CN23" i="3"/>
  <c r="CO23" i="3"/>
  <c r="CP23" i="3"/>
  <c r="CQ23" i="3"/>
  <c r="CR23" i="3"/>
  <c r="CT23" i="3"/>
  <c r="CU23" i="3"/>
  <c r="CV23" i="3"/>
  <c r="CW23" i="3"/>
  <c r="CX23" i="3"/>
  <c r="CZ23" i="3"/>
  <c r="DA23" i="3"/>
  <c r="DB23" i="3"/>
  <c r="DC23" i="3"/>
  <c r="DD23" i="3"/>
  <c r="DF23" i="3"/>
  <c r="DG23" i="3"/>
  <c r="DH23" i="3"/>
  <c r="DI23" i="3"/>
  <c r="DJ23" i="3"/>
  <c r="DL23" i="3"/>
  <c r="DM23" i="3"/>
  <c r="DN23" i="3"/>
  <c r="DO23" i="3"/>
  <c r="DP23" i="3"/>
  <c r="DR23" i="3"/>
  <c r="DS23" i="3"/>
  <c r="DT23" i="3"/>
  <c r="DU23" i="3"/>
  <c r="DV23" i="3"/>
  <c r="DX23" i="3"/>
  <c r="DY23" i="3"/>
  <c r="DZ23" i="3"/>
  <c r="EA23" i="3"/>
  <c r="EB23" i="3"/>
  <c r="ED23" i="3"/>
  <c r="EE23" i="3"/>
  <c r="EF23" i="3"/>
  <c r="EG23" i="3"/>
  <c r="EH23" i="3"/>
  <c r="EJ23" i="3"/>
  <c r="EK23" i="3"/>
  <c r="EL23" i="3"/>
  <c r="EM23" i="3"/>
  <c r="EN23" i="3"/>
  <c r="EP23" i="3"/>
  <c r="EQ23" i="3"/>
  <c r="ER23" i="3"/>
  <c r="ES23" i="3"/>
  <c r="ET23" i="3"/>
  <c r="EV23" i="3"/>
  <c r="EW23" i="3"/>
  <c r="EX23" i="3"/>
  <c r="EY23" i="3"/>
  <c r="EZ23" i="3"/>
  <c r="FB23" i="3"/>
  <c r="FC23" i="3"/>
  <c r="FD23" i="3"/>
  <c r="FE23" i="3"/>
  <c r="FF23" i="3"/>
  <c r="FH23" i="3"/>
  <c r="FI23" i="3"/>
  <c r="FJ23" i="3"/>
  <c r="FK23" i="3"/>
  <c r="FL23" i="3"/>
  <c r="FN23" i="3"/>
  <c r="FO23" i="3"/>
  <c r="FP23" i="3"/>
  <c r="FQ23" i="3"/>
  <c r="FR23" i="3"/>
  <c r="FT23" i="3"/>
  <c r="FU23" i="3"/>
  <c r="FV23" i="3"/>
  <c r="FW23" i="3"/>
  <c r="FX23" i="3"/>
  <c r="FZ23" i="3"/>
  <c r="GA23" i="3"/>
  <c r="GB23" i="3"/>
  <c r="GC23" i="3"/>
  <c r="GD23" i="3"/>
  <c r="GF23" i="3"/>
  <c r="GG23" i="3"/>
  <c r="GH23" i="3"/>
  <c r="GI23" i="3"/>
  <c r="GJ23" i="3"/>
  <c r="GL23" i="3"/>
  <c r="GM23" i="3"/>
  <c r="GN23" i="3"/>
  <c r="A24" i="3"/>
  <c r="B24" i="3"/>
  <c r="C24" i="3"/>
  <c r="D24" i="3"/>
  <c r="E24" i="3"/>
  <c r="F24" i="3"/>
  <c r="H24" i="3"/>
  <c r="I24" i="3"/>
  <c r="J24" i="3"/>
  <c r="K24" i="3"/>
  <c r="L24" i="3"/>
  <c r="N24" i="3"/>
  <c r="O24" i="3"/>
  <c r="P24" i="3"/>
  <c r="Q24" i="3"/>
  <c r="R24" i="3"/>
  <c r="T24" i="3"/>
  <c r="U24" i="3"/>
  <c r="V24" i="3"/>
  <c r="W24" i="3"/>
  <c r="X24" i="3"/>
  <c r="Z24" i="3"/>
  <c r="AA24" i="3"/>
  <c r="AB24" i="3"/>
  <c r="AC24" i="3"/>
  <c r="AD24" i="3"/>
  <c r="AF24" i="3"/>
  <c r="AG24" i="3"/>
  <c r="AH24" i="3"/>
  <c r="AI24" i="3"/>
  <c r="AJ24" i="3"/>
  <c r="AL24" i="3"/>
  <c r="AM24" i="3"/>
  <c r="AN24" i="3"/>
  <c r="AO24" i="3"/>
  <c r="AP24" i="3"/>
  <c r="AR24" i="3"/>
  <c r="AS24" i="3"/>
  <c r="AT24" i="3"/>
  <c r="AU24" i="3"/>
  <c r="AV24" i="3"/>
  <c r="AW24" i="3" s="1"/>
  <c r="AX24" i="3"/>
  <c r="AY24" i="3"/>
  <c r="AZ24" i="3"/>
  <c r="BA24" i="3"/>
  <c r="BB24" i="3"/>
  <c r="BD24" i="3"/>
  <c r="BE24" i="3"/>
  <c r="BF24" i="3"/>
  <c r="BG24" i="3"/>
  <c r="BH24" i="3"/>
  <c r="BJ24" i="3"/>
  <c r="BK24" i="3"/>
  <c r="BL24" i="3"/>
  <c r="BM24" i="3"/>
  <c r="BN24" i="3"/>
  <c r="BP24" i="3"/>
  <c r="BQ24" i="3"/>
  <c r="BR24" i="3"/>
  <c r="BS24" i="3"/>
  <c r="BT24" i="3"/>
  <c r="BV24" i="3"/>
  <c r="BW24" i="3"/>
  <c r="BX24" i="3"/>
  <c r="BY24" i="3"/>
  <c r="BZ24" i="3"/>
  <c r="CB24" i="3"/>
  <c r="CC24" i="3"/>
  <c r="CD24" i="3"/>
  <c r="CE24" i="3"/>
  <c r="CF24" i="3"/>
  <c r="CH24" i="3"/>
  <c r="CI24" i="3"/>
  <c r="CJ24" i="3"/>
  <c r="CK24" i="3"/>
  <c r="CL24" i="3"/>
  <c r="CN24" i="3"/>
  <c r="CO24" i="3"/>
  <c r="CP24" i="3"/>
  <c r="CQ24" i="3"/>
  <c r="CR24" i="3"/>
  <c r="CT24" i="3"/>
  <c r="CU24" i="3"/>
  <c r="CV24" i="3"/>
  <c r="CW24" i="3"/>
  <c r="CX24" i="3"/>
  <c r="CZ24" i="3"/>
  <c r="DA24" i="3"/>
  <c r="DB24" i="3"/>
  <c r="DC24" i="3"/>
  <c r="DD24" i="3"/>
  <c r="DF24" i="3"/>
  <c r="DG24" i="3"/>
  <c r="DH24" i="3"/>
  <c r="DI24" i="3"/>
  <c r="DJ24" i="3"/>
  <c r="DL24" i="3"/>
  <c r="DM24" i="3"/>
  <c r="DN24" i="3"/>
  <c r="DO24" i="3"/>
  <c r="DP24" i="3"/>
  <c r="DR24" i="3"/>
  <c r="DS24" i="3"/>
  <c r="DT24" i="3"/>
  <c r="DU24" i="3"/>
  <c r="DV24" i="3"/>
  <c r="DX24" i="3"/>
  <c r="DY24" i="3"/>
  <c r="DZ24" i="3"/>
  <c r="EA24" i="3"/>
  <c r="EB24" i="3"/>
  <c r="ED24" i="3"/>
  <c r="EE24" i="3"/>
  <c r="EF24" i="3"/>
  <c r="EG24" i="3"/>
  <c r="EH24" i="3"/>
  <c r="EJ24" i="3"/>
  <c r="EK24" i="3"/>
  <c r="EL24" i="3"/>
  <c r="EM24" i="3"/>
  <c r="EN24" i="3"/>
  <c r="EP24" i="3"/>
  <c r="EQ24" i="3"/>
  <c r="ER24" i="3"/>
  <c r="ES24" i="3"/>
  <c r="ET24" i="3"/>
  <c r="EV24" i="3"/>
  <c r="EW24" i="3"/>
  <c r="EX24" i="3"/>
  <c r="EY24" i="3"/>
  <c r="EZ24" i="3"/>
  <c r="FB24" i="3"/>
  <c r="FC24" i="3"/>
  <c r="FD24" i="3"/>
  <c r="FE24" i="3"/>
  <c r="FF24" i="3"/>
  <c r="FH24" i="3"/>
  <c r="FI24" i="3"/>
  <c r="FJ24" i="3"/>
  <c r="FK24" i="3"/>
  <c r="FL24" i="3"/>
  <c r="FN24" i="3"/>
  <c r="FO24" i="3"/>
  <c r="FP24" i="3"/>
  <c r="FQ24" i="3"/>
  <c r="FR24" i="3"/>
  <c r="FT24" i="3"/>
  <c r="FU24" i="3"/>
  <c r="FV24" i="3"/>
  <c r="FW24" i="3"/>
  <c r="FX24" i="3"/>
  <c r="FZ24" i="3"/>
  <c r="GA24" i="3"/>
  <c r="GB24" i="3"/>
  <c r="GC24" i="3"/>
  <c r="GD24" i="3"/>
  <c r="GF24" i="3"/>
  <c r="GG24" i="3"/>
  <c r="GH24" i="3"/>
  <c r="GI24" i="3"/>
  <c r="GJ24" i="3"/>
  <c r="GL24" i="3"/>
  <c r="GM24" i="3"/>
  <c r="GN24" i="3"/>
  <c r="A25" i="3"/>
  <c r="B25" i="3"/>
  <c r="C25" i="3"/>
  <c r="D25" i="3"/>
  <c r="E25" i="3"/>
  <c r="F25" i="3"/>
  <c r="H25" i="3"/>
  <c r="I25" i="3"/>
  <c r="J25" i="3"/>
  <c r="K25" i="3"/>
  <c r="L25" i="3"/>
  <c r="N25" i="3"/>
  <c r="O25" i="3"/>
  <c r="P25" i="3"/>
  <c r="Q25" i="3"/>
  <c r="R25" i="3"/>
  <c r="T25" i="3"/>
  <c r="U25" i="3"/>
  <c r="V25" i="3"/>
  <c r="W25" i="3"/>
  <c r="X25" i="3"/>
  <c r="Z25" i="3"/>
  <c r="AA25" i="3"/>
  <c r="AB25" i="3"/>
  <c r="AC25" i="3"/>
  <c r="AD25" i="3"/>
  <c r="AF25" i="3"/>
  <c r="AG25" i="3"/>
  <c r="AH25" i="3"/>
  <c r="AI25" i="3"/>
  <c r="AJ25" i="3"/>
  <c r="AL25" i="3"/>
  <c r="AM25" i="3"/>
  <c r="AN25" i="3"/>
  <c r="AO25" i="3"/>
  <c r="AP25" i="3"/>
  <c r="AR25" i="3"/>
  <c r="AS25" i="3"/>
  <c r="AT25" i="3"/>
  <c r="AU25" i="3"/>
  <c r="AV25" i="3"/>
  <c r="AX25" i="3"/>
  <c r="AY25" i="3"/>
  <c r="AZ25" i="3"/>
  <c r="BA25" i="3"/>
  <c r="BB25" i="3"/>
  <c r="BD25" i="3"/>
  <c r="BE25" i="3"/>
  <c r="BF25" i="3"/>
  <c r="BG25" i="3"/>
  <c r="BH25" i="3"/>
  <c r="BJ25" i="3"/>
  <c r="BK25" i="3"/>
  <c r="BL25" i="3"/>
  <c r="BM25" i="3"/>
  <c r="BN25" i="3"/>
  <c r="BP25" i="3"/>
  <c r="BQ25" i="3"/>
  <c r="BR25" i="3"/>
  <c r="BS25" i="3"/>
  <c r="BT25" i="3"/>
  <c r="BV25" i="3"/>
  <c r="BW25" i="3"/>
  <c r="BX25" i="3"/>
  <c r="BY25" i="3"/>
  <c r="BZ25" i="3"/>
  <c r="CB25" i="3"/>
  <c r="CC25" i="3"/>
  <c r="CD25" i="3"/>
  <c r="CE25" i="3"/>
  <c r="CF25" i="3"/>
  <c r="CH25" i="3"/>
  <c r="CI25" i="3"/>
  <c r="CJ25" i="3"/>
  <c r="CK25" i="3"/>
  <c r="CL25" i="3"/>
  <c r="CN25" i="3"/>
  <c r="CO25" i="3"/>
  <c r="CP25" i="3"/>
  <c r="CQ25" i="3"/>
  <c r="CR25" i="3"/>
  <c r="CT25" i="3"/>
  <c r="CU25" i="3"/>
  <c r="CV25" i="3"/>
  <c r="CW25" i="3"/>
  <c r="CX25" i="3"/>
  <c r="CZ25" i="3"/>
  <c r="DA25" i="3"/>
  <c r="DB25" i="3"/>
  <c r="DC25" i="3"/>
  <c r="DD25" i="3"/>
  <c r="DF25" i="3"/>
  <c r="DG25" i="3"/>
  <c r="DH25" i="3"/>
  <c r="DI25" i="3"/>
  <c r="DJ25" i="3"/>
  <c r="DL25" i="3"/>
  <c r="DM25" i="3"/>
  <c r="DN25" i="3"/>
  <c r="DO25" i="3"/>
  <c r="DP25" i="3"/>
  <c r="DR25" i="3"/>
  <c r="DS25" i="3"/>
  <c r="DT25" i="3"/>
  <c r="DU25" i="3"/>
  <c r="DV25" i="3"/>
  <c r="DX25" i="3"/>
  <c r="DY25" i="3"/>
  <c r="DZ25" i="3"/>
  <c r="EA25" i="3"/>
  <c r="EB25" i="3"/>
  <c r="ED25" i="3"/>
  <c r="EE25" i="3"/>
  <c r="EF25" i="3"/>
  <c r="EG25" i="3"/>
  <c r="EH25" i="3"/>
  <c r="EJ25" i="3"/>
  <c r="EK25" i="3"/>
  <c r="EL25" i="3"/>
  <c r="EM25" i="3"/>
  <c r="EN25" i="3"/>
  <c r="EP25" i="3"/>
  <c r="EQ25" i="3"/>
  <c r="ER25" i="3"/>
  <c r="ES25" i="3"/>
  <c r="ET25" i="3"/>
  <c r="EV25" i="3"/>
  <c r="EW25" i="3"/>
  <c r="EX25" i="3"/>
  <c r="EY25" i="3"/>
  <c r="EZ25" i="3"/>
  <c r="FB25" i="3"/>
  <c r="FC25" i="3"/>
  <c r="FD25" i="3"/>
  <c r="FE25" i="3"/>
  <c r="FF25" i="3"/>
  <c r="FH25" i="3"/>
  <c r="FI25" i="3"/>
  <c r="FJ25" i="3"/>
  <c r="FK25" i="3"/>
  <c r="FL25" i="3"/>
  <c r="FN25" i="3"/>
  <c r="FO25" i="3"/>
  <c r="FP25" i="3"/>
  <c r="FQ25" i="3"/>
  <c r="FR25" i="3"/>
  <c r="FT25" i="3"/>
  <c r="FU25" i="3"/>
  <c r="FV25" i="3"/>
  <c r="FW25" i="3"/>
  <c r="FX25" i="3"/>
  <c r="FZ25" i="3"/>
  <c r="GA25" i="3"/>
  <c r="GB25" i="3"/>
  <c r="GC25" i="3"/>
  <c r="GD25" i="3"/>
  <c r="GF25" i="3"/>
  <c r="GG25" i="3"/>
  <c r="GH25" i="3"/>
  <c r="GI25" i="3"/>
  <c r="GJ25" i="3"/>
  <c r="GL25" i="3"/>
  <c r="GM25" i="3"/>
  <c r="GN25" i="3"/>
  <c r="A26" i="3"/>
  <c r="B26" i="3"/>
  <c r="C26" i="3"/>
  <c r="D26" i="3"/>
  <c r="E26" i="3"/>
  <c r="F26" i="3"/>
  <c r="H26" i="3"/>
  <c r="I26" i="3"/>
  <c r="J26" i="3"/>
  <c r="K26" i="3"/>
  <c r="L26" i="3"/>
  <c r="M26" i="3" s="1"/>
  <c r="N26" i="3"/>
  <c r="O26" i="3"/>
  <c r="P26" i="3"/>
  <c r="Q26" i="3"/>
  <c r="R26" i="3"/>
  <c r="T26" i="3"/>
  <c r="U26" i="3"/>
  <c r="V26" i="3"/>
  <c r="W26" i="3"/>
  <c r="X26" i="3"/>
  <c r="Z26" i="3"/>
  <c r="AA26" i="3"/>
  <c r="AB26" i="3"/>
  <c r="AC26" i="3"/>
  <c r="AD26" i="3"/>
  <c r="AF26" i="3"/>
  <c r="AG26" i="3"/>
  <c r="AH26" i="3"/>
  <c r="AI26" i="3"/>
  <c r="AJ26" i="3"/>
  <c r="AL26" i="3"/>
  <c r="AM26" i="3"/>
  <c r="AN26" i="3"/>
  <c r="AO26" i="3"/>
  <c r="AP26" i="3"/>
  <c r="AR26" i="3"/>
  <c r="AS26" i="3"/>
  <c r="AT26" i="3"/>
  <c r="AU26" i="3"/>
  <c r="AV26" i="3"/>
  <c r="AX26" i="3"/>
  <c r="AY26" i="3"/>
  <c r="AZ26" i="3"/>
  <c r="BA26" i="3"/>
  <c r="BB26" i="3"/>
  <c r="BD26" i="3"/>
  <c r="BE26" i="3"/>
  <c r="BF26" i="3"/>
  <c r="BG26" i="3"/>
  <c r="BH26" i="3"/>
  <c r="BJ26" i="3"/>
  <c r="BK26" i="3"/>
  <c r="BL26" i="3"/>
  <c r="BM26" i="3"/>
  <c r="BN26" i="3"/>
  <c r="BP26" i="3"/>
  <c r="BQ26" i="3"/>
  <c r="BR26" i="3"/>
  <c r="BS26" i="3"/>
  <c r="BT26" i="3"/>
  <c r="BV26" i="3"/>
  <c r="BW26" i="3"/>
  <c r="BX26" i="3"/>
  <c r="BY26" i="3"/>
  <c r="BZ26" i="3"/>
  <c r="CB26" i="3"/>
  <c r="CC26" i="3"/>
  <c r="CD26" i="3"/>
  <c r="CE26" i="3"/>
  <c r="CF26" i="3"/>
  <c r="CH26" i="3"/>
  <c r="CI26" i="3"/>
  <c r="CJ26" i="3"/>
  <c r="CK26" i="3"/>
  <c r="CL26" i="3"/>
  <c r="CN26" i="3"/>
  <c r="CO26" i="3"/>
  <c r="CP26" i="3"/>
  <c r="CQ26" i="3"/>
  <c r="CR26" i="3"/>
  <c r="CT26" i="3"/>
  <c r="CU26" i="3"/>
  <c r="CV26" i="3"/>
  <c r="CW26" i="3"/>
  <c r="CX26" i="3"/>
  <c r="CZ26" i="3"/>
  <c r="DA26" i="3"/>
  <c r="DB26" i="3"/>
  <c r="DC26" i="3"/>
  <c r="DD26" i="3"/>
  <c r="DF26" i="3"/>
  <c r="DG26" i="3"/>
  <c r="DH26" i="3"/>
  <c r="DI26" i="3"/>
  <c r="DJ26" i="3"/>
  <c r="DL26" i="3"/>
  <c r="DM26" i="3"/>
  <c r="DN26" i="3"/>
  <c r="DO26" i="3"/>
  <c r="DP26" i="3"/>
  <c r="DR26" i="3"/>
  <c r="DS26" i="3"/>
  <c r="DT26" i="3"/>
  <c r="DU26" i="3"/>
  <c r="DV26" i="3"/>
  <c r="DX26" i="3"/>
  <c r="DY26" i="3"/>
  <c r="DZ26" i="3"/>
  <c r="EA26" i="3"/>
  <c r="EB26" i="3"/>
  <c r="ED26" i="3"/>
  <c r="EE26" i="3"/>
  <c r="EF26" i="3"/>
  <c r="EG26" i="3"/>
  <c r="EH26" i="3"/>
  <c r="EJ26" i="3"/>
  <c r="EK26" i="3"/>
  <c r="EL26" i="3"/>
  <c r="EM26" i="3"/>
  <c r="EN26" i="3"/>
  <c r="EP26" i="3"/>
  <c r="EQ26" i="3"/>
  <c r="ER26" i="3"/>
  <c r="ES26" i="3"/>
  <c r="ET26" i="3"/>
  <c r="EV26" i="3"/>
  <c r="EW26" i="3"/>
  <c r="EX26" i="3"/>
  <c r="EY26" i="3"/>
  <c r="EZ26" i="3"/>
  <c r="FB26" i="3"/>
  <c r="FC26" i="3"/>
  <c r="FD26" i="3"/>
  <c r="FE26" i="3"/>
  <c r="FF26" i="3"/>
  <c r="FH26" i="3"/>
  <c r="FI26" i="3"/>
  <c r="FJ26" i="3"/>
  <c r="FK26" i="3"/>
  <c r="FL26" i="3"/>
  <c r="FN26" i="3"/>
  <c r="FO26" i="3"/>
  <c r="FP26" i="3"/>
  <c r="FQ26" i="3"/>
  <c r="FR26" i="3"/>
  <c r="FT26" i="3"/>
  <c r="FU26" i="3"/>
  <c r="FV26" i="3"/>
  <c r="FW26" i="3"/>
  <c r="FX26" i="3"/>
  <c r="FZ26" i="3"/>
  <c r="GA26" i="3"/>
  <c r="GB26" i="3"/>
  <c r="GC26" i="3"/>
  <c r="GD26" i="3"/>
  <c r="GF26" i="3"/>
  <c r="GG26" i="3"/>
  <c r="GH26" i="3"/>
  <c r="GI26" i="3"/>
  <c r="GJ26" i="3"/>
  <c r="GL26" i="3"/>
  <c r="GM26" i="3"/>
  <c r="GN26" i="3"/>
  <c r="A27" i="3"/>
  <c r="B27" i="3"/>
  <c r="C27" i="3"/>
  <c r="D27" i="3"/>
  <c r="E27" i="3"/>
  <c r="F27" i="3"/>
  <c r="H27" i="3"/>
  <c r="I27" i="3"/>
  <c r="J27" i="3"/>
  <c r="K27" i="3"/>
  <c r="L27" i="3"/>
  <c r="N27" i="3"/>
  <c r="O27" i="3"/>
  <c r="P27" i="3"/>
  <c r="Q27" i="3"/>
  <c r="R27" i="3"/>
  <c r="T27" i="3"/>
  <c r="U27" i="3"/>
  <c r="V27" i="3"/>
  <c r="W27" i="3"/>
  <c r="X27" i="3"/>
  <c r="Z27" i="3"/>
  <c r="AA27" i="3"/>
  <c r="AB27" i="3"/>
  <c r="AC27" i="3"/>
  <c r="AD27" i="3"/>
  <c r="AF27" i="3"/>
  <c r="AG27" i="3"/>
  <c r="AH27" i="3"/>
  <c r="AI27" i="3"/>
  <c r="AJ27" i="3"/>
  <c r="AL27" i="3"/>
  <c r="AM27" i="3"/>
  <c r="AN27" i="3"/>
  <c r="AO27" i="3"/>
  <c r="AP27" i="3"/>
  <c r="AR27" i="3"/>
  <c r="AS27" i="3"/>
  <c r="AT27" i="3"/>
  <c r="AU27" i="3"/>
  <c r="AV27" i="3"/>
  <c r="AX27" i="3"/>
  <c r="AY27" i="3"/>
  <c r="AZ27" i="3"/>
  <c r="BA27" i="3"/>
  <c r="BB27" i="3"/>
  <c r="BD27" i="3"/>
  <c r="BE27" i="3"/>
  <c r="BF27" i="3"/>
  <c r="BG27" i="3"/>
  <c r="BH27" i="3"/>
  <c r="BJ27" i="3"/>
  <c r="BK27" i="3"/>
  <c r="BL27" i="3"/>
  <c r="BM27" i="3"/>
  <c r="BN27" i="3"/>
  <c r="BP27" i="3"/>
  <c r="BQ27" i="3"/>
  <c r="BR27" i="3"/>
  <c r="BS27" i="3"/>
  <c r="BT27" i="3"/>
  <c r="BV27" i="3"/>
  <c r="BW27" i="3"/>
  <c r="BX27" i="3"/>
  <c r="BY27" i="3"/>
  <c r="BZ27" i="3"/>
  <c r="CB27" i="3"/>
  <c r="CC27" i="3"/>
  <c r="CD27" i="3"/>
  <c r="CE27" i="3"/>
  <c r="CF27" i="3"/>
  <c r="CG27" i="3" s="1"/>
  <c r="CH27" i="3"/>
  <c r="CI27" i="3"/>
  <c r="CJ27" i="3"/>
  <c r="CK27" i="3"/>
  <c r="CL27" i="3"/>
  <c r="CN27" i="3"/>
  <c r="CO27" i="3"/>
  <c r="CP27" i="3"/>
  <c r="CQ27" i="3"/>
  <c r="CR27" i="3"/>
  <c r="CT27" i="3"/>
  <c r="CU27" i="3"/>
  <c r="CV27" i="3"/>
  <c r="CW27" i="3"/>
  <c r="CX27" i="3"/>
  <c r="CZ27" i="3"/>
  <c r="DA27" i="3"/>
  <c r="DB27" i="3"/>
  <c r="DC27" i="3"/>
  <c r="DD27" i="3"/>
  <c r="DF27" i="3"/>
  <c r="DG27" i="3"/>
  <c r="DH27" i="3"/>
  <c r="DI27" i="3"/>
  <c r="DJ27" i="3"/>
  <c r="DL27" i="3"/>
  <c r="DM27" i="3"/>
  <c r="DN27" i="3"/>
  <c r="DO27" i="3"/>
  <c r="DP27" i="3"/>
  <c r="DR27" i="3"/>
  <c r="DS27" i="3"/>
  <c r="DT27" i="3"/>
  <c r="DU27" i="3"/>
  <c r="DV27" i="3"/>
  <c r="DX27" i="3"/>
  <c r="DY27" i="3"/>
  <c r="DZ27" i="3"/>
  <c r="EA27" i="3"/>
  <c r="EB27" i="3"/>
  <c r="ED27" i="3"/>
  <c r="EE27" i="3"/>
  <c r="EF27" i="3"/>
  <c r="EG27" i="3"/>
  <c r="EH27" i="3"/>
  <c r="EJ27" i="3"/>
  <c r="EK27" i="3"/>
  <c r="EL27" i="3"/>
  <c r="EM27" i="3"/>
  <c r="EN27" i="3"/>
  <c r="EP27" i="3"/>
  <c r="EQ27" i="3"/>
  <c r="ER27" i="3"/>
  <c r="ES27" i="3"/>
  <c r="ET27" i="3"/>
  <c r="EV27" i="3"/>
  <c r="EW27" i="3"/>
  <c r="EX27" i="3"/>
  <c r="EY27" i="3"/>
  <c r="EZ27" i="3"/>
  <c r="FB27" i="3"/>
  <c r="FC27" i="3"/>
  <c r="FD27" i="3"/>
  <c r="FE27" i="3"/>
  <c r="FF27" i="3"/>
  <c r="FH27" i="3"/>
  <c r="FI27" i="3"/>
  <c r="FJ27" i="3"/>
  <c r="FK27" i="3"/>
  <c r="FL27" i="3"/>
  <c r="FN27" i="3"/>
  <c r="FO27" i="3"/>
  <c r="FP27" i="3"/>
  <c r="FQ27" i="3"/>
  <c r="FR27" i="3"/>
  <c r="FT27" i="3"/>
  <c r="FU27" i="3"/>
  <c r="FV27" i="3"/>
  <c r="FW27" i="3"/>
  <c r="FX27" i="3"/>
  <c r="FZ27" i="3"/>
  <c r="GA27" i="3"/>
  <c r="GB27" i="3"/>
  <c r="GC27" i="3"/>
  <c r="GD27" i="3"/>
  <c r="GF27" i="3"/>
  <c r="GG27" i="3"/>
  <c r="GH27" i="3"/>
  <c r="GI27" i="3"/>
  <c r="GJ27" i="3"/>
  <c r="GL27" i="3"/>
  <c r="GM27" i="3"/>
  <c r="GN27" i="3"/>
  <c r="A28" i="3"/>
  <c r="B28" i="3"/>
  <c r="C28" i="3"/>
  <c r="D28" i="3"/>
  <c r="E28" i="3"/>
  <c r="F28" i="3"/>
  <c r="H28" i="3"/>
  <c r="I28" i="3"/>
  <c r="J28" i="3"/>
  <c r="K28" i="3"/>
  <c r="L28" i="3"/>
  <c r="N28" i="3"/>
  <c r="O28" i="3"/>
  <c r="P28" i="3"/>
  <c r="Q28" i="3"/>
  <c r="R28" i="3"/>
  <c r="T28" i="3"/>
  <c r="U28" i="3"/>
  <c r="V28" i="3"/>
  <c r="W28" i="3"/>
  <c r="X28" i="3"/>
  <c r="Z28" i="3"/>
  <c r="AA28" i="3"/>
  <c r="AB28" i="3"/>
  <c r="AC28" i="3"/>
  <c r="AD28" i="3"/>
  <c r="AF28" i="3"/>
  <c r="AG28" i="3"/>
  <c r="AH28" i="3"/>
  <c r="AI28" i="3"/>
  <c r="AJ28" i="3"/>
  <c r="AL28" i="3"/>
  <c r="AM28" i="3"/>
  <c r="AN28" i="3"/>
  <c r="AO28" i="3"/>
  <c r="AP28" i="3"/>
  <c r="AR28" i="3"/>
  <c r="AS28" i="3"/>
  <c r="AT28" i="3"/>
  <c r="AU28" i="3"/>
  <c r="AV28" i="3"/>
  <c r="AX28" i="3"/>
  <c r="AY28" i="3"/>
  <c r="AZ28" i="3"/>
  <c r="BA28" i="3"/>
  <c r="BB28" i="3"/>
  <c r="BD28" i="3"/>
  <c r="BE28" i="3"/>
  <c r="BF28" i="3"/>
  <c r="BG28" i="3"/>
  <c r="BH28" i="3"/>
  <c r="BJ28" i="3"/>
  <c r="BK28" i="3"/>
  <c r="BL28" i="3"/>
  <c r="BM28" i="3"/>
  <c r="BN28" i="3"/>
  <c r="BP28" i="3"/>
  <c r="BQ28" i="3"/>
  <c r="BR28" i="3"/>
  <c r="BS28" i="3"/>
  <c r="BT28" i="3"/>
  <c r="BV28" i="3"/>
  <c r="BW28" i="3"/>
  <c r="BX28" i="3"/>
  <c r="BY28" i="3"/>
  <c r="BZ28" i="3"/>
  <c r="CB28" i="3"/>
  <c r="CC28" i="3"/>
  <c r="CD28" i="3"/>
  <c r="CE28" i="3"/>
  <c r="CF28" i="3"/>
  <c r="CH28" i="3"/>
  <c r="CI28" i="3"/>
  <c r="CJ28" i="3"/>
  <c r="CK28" i="3"/>
  <c r="CL28" i="3"/>
  <c r="CN28" i="3"/>
  <c r="CO28" i="3"/>
  <c r="CP28" i="3"/>
  <c r="CQ28" i="3"/>
  <c r="CR28" i="3"/>
  <c r="CT28" i="3"/>
  <c r="CU28" i="3"/>
  <c r="CV28" i="3"/>
  <c r="CW28" i="3"/>
  <c r="CX28" i="3"/>
  <c r="CZ28" i="3"/>
  <c r="DA28" i="3"/>
  <c r="DB28" i="3"/>
  <c r="DC28" i="3"/>
  <c r="DD28" i="3"/>
  <c r="DF28" i="3"/>
  <c r="DG28" i="3"/>
  <c r="DH28" i="3"/>
  <c r="DI28" i="3"/>
  <c r="DJ28" i="3"/>
  <c r="DL28" i="3"/>
  <c r="DM28" i="3"/>
  <c r="DN28" i="3"/>
  <c r="DO28" i="3"/>
  <c r="DP28" i="3"/>
  <c r="DR28" i="3"/>
  <c r="DS28" i="3"/>
  <c r="DT28" i="3"/>
  <c r="DU28" i="3"/>
  <c r="DV28" i="3"/>
  <c r="DX28" i="3"/>
  <c r="DY28" i="3"/>
  <c r="DZ28" i="3"/>
  <c r="EA28" i="3"/>
  <c r="EB28" i="3"/>
  <c r="ED28" i="3"/>
  <c r="EE28" i="3"/>
  <c r="EF28" i="3"/>
  <c r="EG28" i="3"/>
  <c r="EH28" i="3"/>
  <c r="EJ28" i="3"/>
  <c r="EK28" i="3"/>
  <c r="EL28" i="3"/>
  <c r="EM28" i="3"/>
  <c r="EN28" i="3"/>
  <c r="EP28" i="3"/>
  <c r="EQ28" i="3"/>
  <c r="ER28" i="3"/>
  <c r="ES28" i="3"/>
  <c r="ET28" i="3"/>
  <c r="EV28" i="3"/>
  <c r="EW28" i="3"/>
  <c r="EX28" i="3"/>
  <c r="EY28" i="3"/>
  <c r="EZ28" i="3"/>
  <c r="FB28" i="3"/>
  <c r="FC28" i="3"/>
  <c r="FD28" i="3"/>
  <c r="FE28" i="3"/>
  <c r="FF28" i="3"/>
  <c r="FH28" i="3"/>
  <c r="FI28" i="3"/>
  <c r="FJ28" i="3"/>
  <c r="FK28" i="3"/>
  <c r="FL28" i="3"/>
  <c r="FN28" i="3"/>
  <c r="FO28" i="3"/>
  <c r="FP28" i="3"/>
  <c r="FQ28" i="3"/>
  <c r="FR28" i="3"/>
  <c r="FT28" i="3"/>
  <c r="FU28" i="3"/>
  <c r="FV28" i="3"/>
  <c r="FW28" i="3"/>
  <c r="FX28" i="3"/>
  <c r="FZ28" i="3"/>
  <c r="GA28" i="3"/>
  <c r="GB28" i="3"/>
  <c r="GC28" i="3"/>
  <c r="GD28" i="3"/>
  <c r="GF28" i="3"/>
  <c r="GG28" i="3"/>
  <c r="GH28" i="3"/>
  <c r="GI28" i="3"/>
  <c r="GJ28" i="3"/>
  <c r="GL28" i="3"/>
  <c r="GM28" i="3"/>
  <c r="GN28" i="3"/>
  <c r="A29" i="3"/>
  <c r="B29" i="3"/>
  <c r="C29" i="3"/>
  <c r="D29" i="3"/>
  <c r="E29" i="3"/>
  <c r="F29" i="3"/>
  <c r="H29" i="3"/>
  <c r="I29" i="3"/>
  <c r="J29" i="3"/>
  <c r="K29" i="3"/>
  <c r="L29" i="3"/>
  <c r="N29" i="3"/>
  <c r="O29" i="3"/>
  <c r="P29" i="3"/>
  <c r="Q29" i="3"/>
  <c r="R29" i="3"/>
  <c r="T29" i="3"/>
  <c r="U29" i="3"/>
  <c r="V29" i="3"/>
  <c r="W29" i="3"/>
  <c r="X29" i="3"/>
  <c r="Z29" i="3"/>
  <c r="AA29" i="3"/>
  <c r="AB29" i="3"/>
  <c r="AC29" i="3"/>
  <c r="AD29" i="3"/>
  <c r="AF29" i="3"/>
  <c r="AG29" i="3"/>
  <c r="AH29" i="3"/>
  <c r="AI29" i="3"/>
  <c r="AJ29" i="3"/>
  <c r="AL29" i="3"/>
  <c r="AM29" i="3"/>
  <c r="AN29" i="3"/>
  <c r="AO29" i="3"/>
  <c r="AP29" i="3"/>
  <c r="AR29" i="3"/>
  <c r="AS29" i="3"/>
  <c r="AT29" i="3"/>
  <c r="AU29" i="3"/>
  <c r="AV29" i="3"/>
  <c r="AX29" i="3"/>
  <c r="AY29" i="3"/>
  <c r="AZ29" i="3"/>
  <c r="BA29" i="3"/>
  <c r="BB29" i="3"/>
  <c r="BD29" i="3"/>
  <c r="BE29" i="3"/>
  <c r="BF29" i="3"/>
  <c r="BG29" i="3"/>
  <c r="BH29" i="3"/>
  <c r="BJ29" i="3"/>
  <c r="BK29" i="3"/>
  <c r="BL29" i="3"/>
  <c r="BM29" i="3"/>
  <c r="BN29" i="3"/>
  <c r="BP29" i="3"/>
  <c r="BQ29" i="3"/>
  <c r="BR29" i="3"/>
  <c r="BS29" i="3"/>
  <c r="BT29" i="3"/>
  <c r="BV29" i="3"/>
  <c r="BW29" i="3"/>
  <c r="BX29" i="3"/>
  <c r="BY29" i="3"/>
  <c r="BZ29" i="3"/>
  <c r="CB29" i="3"/>
  <c r="CC29" i="3"/>
  <c r="CD29" i="3"/>
  <c r="CE29" i="3"/>
  <c r="CF29" i="3"/>
  <c r="CH29" i="3"/>
  <c r="CI29" i="3"/>
  <c r="CJ29" i="3"/>
  <c r="CK29" i="3"/>
  <c r="CL29" i="3"/>
  <c r="CN29" i="3"/>
  <c r="CO29" i="3"/>
  <c r="CP29" i="3"/>
  <c r="CQ29" i="3"/>
  <c r="CR29" i="3"/>
  <c r="CT29" i="3"/>
  <c r="CU29" i="3"/>
  <c r="CV29" i="3"/>
  <c r="CW29" i="3"/>
  <c r="CX29" i="3"/>
  <c r="CZ29" i="3"/>
  <c r="DA29" i="3"/>
  <c r="DB29" i="3"/>
  <c r="DC29" i="3"/>
  <c r="DD29" i="3"/>
  <c r="DF29" i="3"/>
  <c r="DG29" i="3"/>
  <c r="DH29" i="3"/>
  <c r="DI29" i="3"/>
  <c r="DK29" i="3" s="1"/>
  <c r="DJ29" i="3"/>
  <c r="DL29" i="3"/>
  <c r="DM29" i="3"/>
  <c r="DN29" i="3"/>
  <c r="DO29" i="3"/>
  <c r="DP29" i="3"/>
  <c r="DR29" i="3"/>
  <c r="DS29" i="3"/>
  <c r="DT29" i="3"/>
  <c r="DU29" i="3"/>
  <c r="DV29" i="3"/>
  <c r="DX29" i="3"/>
  <c r="DY29" i="3"/>
  <c r="DZ29" i="3"/>
  <c r="EA29" i="3"/>
  <c r="EB29" i="3"/>
  <c r="ED29" i="3"/>
  <c r="EE29" i="3"/>
  <c r="EF29" i="3"/>
  <c r="EG29" i="3"/>
  <c r="EH29" i="3"/>
  <c r="EJ29" i="3"/>
  <c r="EK29" i="3"/>
  <c r="EL29" i="3"/>
  <c r="EM29" i="3"/>
  <c r="EN29" i="3"/>
  <c r="EP29" i="3"/>
  <c r="EQ29" i="3"/>
  <c r="ER29" i="3"/>
  <c r="ES29" i="3"/>
  <c r="ET29" i="3"/>
  <c r="EV29" i="3"/>
  <c r="EW29" i="3"/>
  <c r="EX29" i="3"/>
  <c r="EY29" i="3"/>
  <c r="EZ29" i="3"/>
  <c r="FB29" i="3"/>
  <c r="FC29" i="3"/>
  <c r="FD29" i="3"/>
  <c r="FE29" i="3"/>
  <c r="FF29" i="3"/>
  <c r="FH29" i="3"/>
  <c r="FI29" i="3"/>
  <c r="FJ29" i="3"/>
  <c r="FK29" i="3"/>
  <c r="FL29" i="3"/>
  <c r="FN29" i="3"/>
  <c r="FO29" i="3"/>
  <c r="FP29" i="3"/>
  <c r="FQ29" i="3"/>
  <c r="FR29" i="3"/>
  <c r="FT29" i="3"/>
  <c r="FU29" i="3"/>
  <c r="FV29" i="3"/>
  <c r="FW29" i="3"/>
  <c r="FX29" i="3"/>
  <c r="FZ29" i="3"/>
  <c r="GA29" i="3"/>
  <c r="GB29" i="3"/>
  <c r="GC29" i="3"/>
  <c r="GD29" i="3"/>
  <c r="GF29" i="3"/>
  <c r="GG29" i="3"/>
  <c r="GH29" i="3"/>
  <c r="GI29" i="3"/>
  <c r="GJ29" i="3"/>
  <c r="GL29" i="3"/>
  <c r="GM29" i="3"/>
  <c r="GN29" i="3"/>
  <c r="A30" i="3"/>
  <c r="B30" i="3"/>
  <c r="C30" i="3"/>
  <c r="D30" i="3"/>
  <c r="E30" i="3"/>
  <c r="F30" i="3"/>
  <c r="H30" i="3"/>
  <c r="I30" i="3"/>
  <c r="J30" i="3"/>
  <c r="K30" i="3"/>
  <c r="L30" i="3"/>
  <c r="M30" i="3" s="1"/>
  <c r="N30" i="3"/>
  <c r="O30" i="3"/>
  <c r="P30" i="3"/>
  <c r="Q30" i="3"/>
  <c r="R30" i="3"/>
  <c r="T30" i="3"/>
  <c r="U30" i="3"/>
  <c r="V30" i="3"/>
  <c r="W30" i="3"/>
  <c r="X30" i="3"/>
  <c r="Z30" i="3"/>
  <c r="AA30" i="3"/>
  <c r="AB30" i="3"/>
  <c r="AC30" i="3"/>
  <c r="AD30" i="3"/>
  <c r="AF30" i="3"/>
  <c r="AG30" i="3"/>
  <c r="AH30" i="3"/>
  <c r="AI30" i="3"/>
  <c r="AJ30" i="3"/>
  <c r="AL30" i="3"/>
  <c r="AM30" i="3"/>
  <c r="AN30" i="3"/>
  <c r="AO30" i="3"/>
  <c r="AP30" i="3"/>
  <c r="AR30" i="3"/>
  <c r="AS30" i="3"/>
  <c r="AT30" i="3"/>
  <c r="AU30" i="3"/>
  <c r="AV30" i="3"/>
  <c r="AX30" i="3"/>
  <c r="AY30" i="3"/>
  <c r="AZ30" i="3"/>
  <c r="BA30" i="3"/>
  <c r="BB30" i="3"/>
  <c r="BD30" i="3"/>
  <c r="BE30" i="3"/>
  <c r="BF30" i="3"/>
  <c r="BG30" i="3"/>
  <c r="BH30" i="3"/>
  <c r="BJ30" i="3"/>
  <c r="BK30" i="3"/>
  <c r="BL30" i="3"/>
  <c r="BM30" i="3"/>
  <c r="BN30" i="3"/>
  <c r="BP30" i="3"/>
  <c r="BQ30" i="3"/>
  <c r="BR30" i="3"/>
  <c r="BS30" i="3"/>
  <c r="BT30" i="3"/>
  <c r="BV30" i="3"/>
  <c r="BW30" i="3"/>
  <c r="BX30" i="3"/>
  <c r="BY30" i="3"/>
  <c r="BZ30" i="3"/>
  <c r="CB30" i="3"/>
  <c r="CC30" i="3"/>
  <c r="CD30" i="3"/>
  <c r="CE30" i="3"/>
  <c r="CF30" i="3"/>
  <c r="CH30" i="3"/>
  <c r="CI30" i="3"/>
  <c r="CJ30" i="3"/>
  <c r="CK30" i="3"/>
  <c r="CL30" i="3"/>
  <c r="CN30" i="3"/>
  <c r="CO30" i="3"/>
  <c r="CP30" i="3"/>
  <c r="CQ30" i="3"/>
  <c r="CR30" i="3"/>
  <c r="CT30" i="3"/>
  <c r="CU30" i="3"/>
  <c r="CV30" i="3"/>
  <c r="CW30" i="3"/>
  <c r="CX30" i="3"/>
  <c r="CZ30" i="3"/>
  <c r="DA30" i="3"/>
  <c r="DB30" i="3"/>
  <c r="DC30" i="3"/>
  <c r="DD30" i="3"/>
  <c r="DF30" i="3"/>
  <c r="DG30" i="3"/>
  <c r="DH30" i="3"/>
  <c r="DI30" i="3"/>
  <c r="DJ30" i="3"/>
  <c r="DL30" i="3"/>
  <c r="DM30" i="3"/>
  <c r="DN30" i="3"/>
  <c r="DO30" i="3"/>
  <c r="DP30" i="3"/>
  <c r="DR30" i="3"/>
  <c r="DS30" i="3"/>
  <c r="DT30" i="3"/>
  <c r="DU30" i="3"/>
  <c r="DV30" i="3"/>
  <c r="DX30" i="3"/>
  <c r="DY30" i="3"/>
  <c r="DZ30" i="3"/>
  <c r="EA30" i="3"/>
  <c r="EB30" i="3"/>
  <c r="ED30" i="3"/>
  <c r="EE30" i="3"/>
  <c r="EF30" i="3"/>
  <c r="EG30" i="3"/>
  <c r="EH30" i="3"/>
  <c r="EJ30" i="3"/>
  <c r="EK30" i="3"/>
  <c r="EL30" i="3"/>
  <c r="EM30" i="3"/>
  <c r="EN30" i="3"/>
  <c r="EP30" i="3"/>
  <c r="EQ30" i="3"/>
  <c r="ER30" i="3"/>
  <c r="ES30" i="3"/>
  <c r="ET30" i="3"/>
  <c r="EV30" i="3"/>
  <c r="EW30" i="3"/>
  <c r="EX30" i="3"/>
  <c r="EY30" i="3"/>
  <c r="EZ30" i="3"/>
  <c r="FB30" i="3"/>
  <c r="FC30" i="3"/>
  <c r="FD30" i="3"/>
  <c r="FE30" i="3"/>
  <c r="FF30" i="3"/>
  <c r="FH30" i="3"/>
  <c r="FI30" i="3"/>
  <c r="FJ30" i="3"/>
  <c r="FK30" i="3"/>
  <c r="FL30" i="3"/>
  <c r="FN30" i="3"/>
  <c r="FO30" i="3"/>
  <c r="FP30" i="3"/>
  <c r="FQ30" i="3"/>
  <c r="FR30" i="3"/>
  <c r="FT30" i="3"/>
  <c r="FU30" i="3"/>
  <c r="FV30" i="3"/>
  <c r="FW30" i="3"/>
  <c r="FX30" i="3"/>
  <c r="FZ30" i="3"/>
  <c r="GA30" i="3"/>
  <c r="GB30" i="3"/>
  <c r="GC30" i="3"/>
  <c r="GD30" i="3"/>
  <c r="GF30" i="3"/>
  <c r="GG30" i="3"/>
  <c r="GH30" i="3"/>
  <c r="GI30" i="3"/>
  <c r="GJ30" i="3"/>
  <c r="GL30" i="3"/>
  <c r="GM30" i="3"/>
  <c r="GN30" i="3"/>
  <c r="A31" i="3"/>
  <c r="B31" i="3"/>
  <c r="C31" i="3"/>
  <c r="D31" i="3"/>
  <c r="E31" i="3"/>
  <c r="F31" i="3"/>
  <c r="H31" i="3"/>
  <c r="I31" i="3"/>
  <c r="J31" i="3"/>
  <c r="K31" i="3"/>
  <c r="L31" i="3"/>
  <c r="N31" i="3"/>
  <c r="O31" i="3"/>
  <c r="P31" i="3"/>
  <c r="Q31" i="3"/>
  <c r="R31" i="3"/>
  <c r="T31" i="3"/>
  <c r="U31" i="3"/>
  <c r="V31" i="3"/>
  <c r="W31" i="3"/>
  <c r="X31" i="3"/>
  <c r="Z31" i="3"/>
  <c r="AA31" i="3"/>
  <c r="AB31" i="3"/>
  <c r="AC31" i="3"/>
  <c r="AD31" i="3"/>
  <c r="AF31" i="3"/>
  <c r="AG31" i="3"/>
  <c r="AH31" i="3"/>
  <c r="AI31" i="3"/>
  <c r="AJ31" i="3"/>
  <c r="AL31" i="3"/>
  <c r="AM31" i="3"/>
  <c r="AN31" i="3"/>
  <c r="AO31" i="3"/>
  <c r="AP31" i="3"/>
  <c r="AR31" i="3"/>
  <c r="AS31" i="3"/>
  <c r="AT31" i="3"/>
  <c r="AU31" i="3"/>
  <c r="AV31" i="3"/>
  <c r="AX31" i="3"/>
  <c r="AY31" i="3"/>
  <c r="AZ31" i="3"/>
  <c r="BA31" i="3"/>
  <c r="BB31" i="3"/>
  <c r="BD31" i="3"/>
  <c r="BE31" i="3"/>
  <c r="BF31" i="3"/>
  <c r="BG31" i="3"/>
  <c r="BH31" i="3"/>
  <c r="BJ31" i="3"/>
  <c r="BK31" i="3"/>
  <c r="BL31" i="3"/>
  <c r="BM31" i="3"/>
  <c r="BN31" i="3"/>
  <c r="BP31" i="3"/>
  <c r="BQ31" i="3"/>
  <c r="BR31" i="3"/>
  <c r="BS31" i="3"/>
  <c r="BT31" i="3"/>
  <c r="BV31" i="3"/>
  <c r="BW31" i="3"/>
  <c r="BX31" i="3"/>
  <c r="BY31" i="3"/>
  <c r="BZ31" i="3"/>
  <c r="CB31" i="3"/>
  <c r="CC31" i="3"/>
  <c r="CD31" i="3"/>
  <c r="CE31" i="3"/>
  <c r="CF31" i="3"/>
  <c r="CH31" i="3"/>
  <c r="CI31" i="3"/>
  <c r="CJ31" i="3"/>
  <c r="CK31" i="3"/>
  <c r="CL31" i="3"/>
  <c r="CN31" i="3"/>
  <c r="CO31" i="3"/>
  <c r="CP31" i="3"/>
  <c r="CQ31" i="3"/>
  <c r="CR31" i="3"/>
  <c r="CT31" i="3"/>
  <c r="CU31" i="3"/>
  <c r="CV31" i="3"/>
  <c r="CW31" i="3"/>
  <c r="CX31" i="3"/>
  <c r="CZ31" i="3"/>
  <c r="DA31" i="3"/>
  <c r="DB31" i="3"/>
  <c r="DC31" i="3"/>
  <c r="DD31" i="3"/>
  <c r="DF31" i="3"/>
  <c r="DG31" i="3"/>
  <c r="DH31" i="3"/>
  <c r="DI31" i="3"/>
  <c r="DJ31" i="3"/>
  <c r="DL31" i="3"/>
  <c r="DM31" i="3"/>
  <c r="DN31" i="3"/>
  <c r="DO31" i="3"/>
  <c r="DP31" i="3"/>
  <c r="DR31" i="3"/>
  <c r="DS31" i="3"/>
  <c r="DT31" i="3"/>
  <c r="DU31" i="3"/>
  <c r="DV31" i="3"/>
  <c r="DX31" i="3"/>
  <c r="DY31" i="3"/>
  <c r="DZ31" i="3"/>
  <c r="EA31" i="3"/>
  <c r="EB31" i="3"/>
  <c r="ED31" i="3"/>
  <c r="EE31" i="3"/>
  <c r="EF31" i="3"/>
  <c r="EG31" i="3"/>
  <c r="EH31" i="3"/>
  <c r="EJ31" i="3"/>
  <c r="EK31" i="3"/>
  <c r="EL31" i="3"/>
  <c r="EM31" i="3"/>
  <c r="EN31" i="3"/>
  <c r="EP31" i="3"/>
  <c r="EQ31" i="3"/>
  <c r="ER31" i="3"/>
  <c r="ES31" i="3"/>
  <c r="ET31" i="3"/>
  <c r="EV31" i="3"/>
  <c r="EW31" i="3"/>
  <c r="EX31" i="3"/>
  <c r="EY31" i="3"/>
  <c r="EZ31" i="3"/>
  <c r="FB31" i="3"/>
  <c r="FC31" i="3"/>
  <c r="FD31" i="3"/>
  <c r="FE31" i="3"/>
  <c r="FF31" i="3"/>
  <c r="FH31" i="3"/>
  <c r="FI31" i="3"/>
  <c r="FJ31" i="3"/>
  <c r="FK31" i="3"/>
  <c r="FL31" i="3"/>
  <c r="FN31" i="3"/>
  <c r="FO31" i="3"/>
  <c r="FP31" i="3"/>
  <c r="FQ31" i="3"/>
  <c r="FR31" i="3"/>
  <c r="FT31" i="3"/>
  <c r="FU31" i="3"/>
  <c r="FV31" i="3"/>
  <c r="FW31" i="3"/>
  <c r="FX31" i="3"/>
  <c r="FZ31" i="3"/>
  <c r="GA31" i="3"/>
  <c r="GB31" i="3"/>
  <c r="GC31" i="3"/>
  <c r="GD31" i="3"/>
  <c r="GF31" i="3"/>
  <c r="GG31" i="3"/>
  <c r="GH31" i="3"/>
  <c r="GI31" i="3"/>
  <c r="GJ31" i="3"/>
  <c r="GL31" i="3"/>
  <c r="GM31" i="3"/>
  <c r="GN31" i="3"/>
  <c r="A32" i="3"/>
  <c r="B32" i="3"/>
  <c r="C32" i="3"/>
  <c r="D32" i="3"/>
  <c r="E32" i="3"/>
  <c r="F32" i="3"/>
  <c r="H32" i="3"/>
  <c r="I32" i="3"/>
  <c r="J32" i="3"/>
  <c r="K32" i="3"/>
  <c r="L32" i="3"/>
  <c r="N32" i="3"/>
  <c r="O32" i="3"/>
  <c r="P32" i="3"/>
  <c r="Q32" i="3"/>
  <c r="R32" i="3"/>
  <c r="T32" i="3"/>
  <c r="U32" i="3"/>
  <c r="V32" i="3"/>
  <c r="W32" i="3"/>
  <c r="X32" i="3"/>
  <c r="Z32" i="3"/>
  <c r="AA32" i="3"/>
  <c r="AB32" i="3"/>
  <c r="AC32" i="3"/>
  <c r="AD32" i="3"/>
  <c r="AF32" i="3"/>
  <c r="AG32" i="3"/>
  <c r="AH32" i="3"/>
  <c r="AI32" i="3"/>
  <c r="AJ32" i="3"/>
  <c r="AL32" i="3"/>
  <c r="AM32" i="3"/>
  <c r="AN32" i="3"/>
  <c r="AO32" i="3"/>
  <c r="AP32" i="3"/>
  <c r="AR32" i="3"/>
  <c r="AS32" i="3"/>
  <c r="AT32" i="3"/>
  <c r="AU32" i="3"/>
  <c r="AV32" i="3"/>
  <c r="AX32" i="3"/>
  <c r="AY32" i="3"/>
  <c r="AZ32" i="3"/>
  <c r="BA32" i="3"/>
  <c r="BB32" i="3"/>
  <c r="BD32" i="3"/>
  <c r="BE32" i="3"/>
  <c r="BF32" i="3"/>
  <c r="BG32" i="3"/>
  <c r="BH32" i="3"/>
  <c r="BJ32" i="3"/>
  <c r="BK32" i="3"/>
  <c r="BL32" i="3"/>
  <c r="BM32" i="3"/>
  <c r="BN32" i="3"/>
  <c r="BP32" i="3"/>
  <c r="BQ32" i="3"/>
  <c r="BR32" i="3"/>
  <c r="BS32" i="3"/>
  <c r="BT32" i="3"/>
  <c r="BV32" i="3"/>
  <c r="BW32" i="3"/>
  <c r="BX32" i="3"/>
  <c r="BY32" i="3"/>
  <c r="BZ32" i="3"/>
  <c r="CB32" i="3"/>
  <c r="CC32" i="3"/>
  <c r="CD32" i="3"/>
  <c r="CE32" i="3"/>
  <c r="CF32" i="3"/>
  <c r="CH32" i="3"/>
  <c r="CI32" i="3"/>
  <c r="CJ32" i="3"/>
  <c r="CK32" i="3"/>
  <c r="CL32" i="3"/>
  <c r="CN32" i="3"/>
  <c r="CO32" i="3"/>
  <c r="CP32" i="3"/>
  <c r="CQ32" i="3"/>
  <c r="CR32" i="3"/>
  <c r="CT32" i="3"/>
  <c r="CU32" i="3"/>
  <c r="CV32" i="3"/>
  <c r="CW32" i="3"/>
  <c r="CX32" i="3"/>
  <c r="CZ32" i="3"/>
  <c r="DA32" i="3"/>
  <c r="DB32" i="3"/>
  <c r="DC32" i="3"/>
  <c r="DD32" i="3"/>
  <c r="DF32" i="3"/>
  <c r="DG32" i="3"/>
  <c r="DH32" i="3"/>
  <c r="DI32" i="3"/>
  <c r="DJ32" i="3"/>
  <c r="DL32" i="3"/>
  <c r="DM32" i="3"/>
  <c r="DN32" i="3"/>
  <c r="DO32" i="3"/>
  <c r="DP32" i="3"/>
  <c r="DR32" i="3"/>
  <c r="DS32" i="3"/>
  <c r="DT32" i="3"/>
  <c r="DU32" i="3"/>
  <c r="DV32" i="3"/>
  <c r="DX32" i="3"/>
  <c r="DY32" i="3"/>
  <c r="DZ32" i="3"/>
  <c r="EA32" i="3"/>
  <c r="EB32" i="3"/>
  <c r="ED32" i="3"/>
  <c r="EE32" i="3"/>
  <c r="EF32" i="3"/>
  <c r="EG32" i="3"/>
  <c r="EH32" i="3"/>
  <c r="EJ32" i="3"/>
  <c r="EK32" i="3"/>
  <c r="EL32" i="3"/>
  <c r="EM32" i="3"/>
  <c r="EN32" i="3"/>
  <c r="EP32" i="3"/>
  <c r="EQ32" i="3"/>
  <c r="ER32" i="3"/>
  <c r="ES32" i="3"/>
  <c r="ET32" i="3"/>
  <c r="EV32" i="3"/>
  <c r="EW32" i="3"/>
  <c r="EX32" i="3"/>
  <c r="EY32" i="3"/>
  <c r="EZ32" i="3"/>
  <c r="FB32" i="3"/>
  <c r="FC32" i="3"/>
  <c r="FD32" i="3"/>
  <c r="FE32" i="3"/>
  <c r="FF32" i="3"/>
  <c r="FH32" i="3"/>
  <c r="FI32" i="3"/>
  <c r="FJ32" i="3"/>
  <c r="FK32" i="3"/>
  <c r="FL32" i="3"/>
  <c r="FN32" i="3"/>
  <c r="FO32" i="3"/>
  <c r="FP32" i="3"/>
  <c r="FQ32" i="3"/>
  <c r="FR32" i="3"/>
  <c r="FT32" i="3"/>
  <c r="FU32" i="3"/>
  <c r="FV32" i="3"/>
  <c r="FW32" i="3"/>
  <c r="FX32" i="3"/>
  <c r="FZ32" i="3"/>
  <c r="GA32" i="3"/>
  <c r="GB32" i="3"/>
  <c r="GC32" i="3"/>
  <c r="GD32" i="3"/>
  <c r="GF32" i="3"/>
  <c r="GG32" i="3"/>
  <c r="GH32" i="3"/>
  <c r="GI32" i="3"/>
  <c r="GJ32" i="3"/>
  <c r="GL32" i="3"/>
  <c r="GM32" i="3"/>
  <c r="GN32" i="3"/>
  <c r="A33" i="3"/>
  <c r="B33" i="3"/>
  <c r="C33" i="3"/>
  <c r="D33" i="3"/>
  <c r="E33" i="3"/>
  <c r="F33" i="3"/>
  <c r="H33" i="3"/>
  <c r="I33" i="3"/>
  <c r="J33" i="3"/>
  <c r="K33" i="3"/>
  <c r="L33" i="3"/>
  <c r="N33" i="3"/>
  <c r="O33" i="3"/>
  <c r="P33" i="3"/>
  <c r="Q33" i="3"/>
  <c r="R33" i="3"/>
  <c r="T33" i="3"/>
  <c r="U33" i="3"/>
  <c r="V33" i="3"/>
  <c r="W33" i="3"/>
  <c r="X33" i="3"/>
  <c r="Z33" i="3"/>
  <c r="AA33" i="3"/>
  <c r="AB33" i="3"/>
  <c r="AC33" i="3"/>
  <c r="AD33" i="3"/>
  <c r="AF33" i="3"/>
  <c r="AG33" i="3"/>
  <c r="AH33" i="3"/>
  <c r="AI33" i="3"/>
  <c r="AJ33" i="3"/>
  <c r="AL33" i="3"/>
  <c r="AM33" i="3"/>
  <c r="AN33" i="3"/>
  <c r="AO33" i="3"/>
  <c r="AP33" i="3"/>
  <c r="AR33" i="3"/>
  <c r="AS33" i="3"/>
  <c r="AT33" i="3"/>
  <c r="AU33" i="3"/>
  <c r="AV33" i="3"/>
  <c r="AX33" i="3"/>
  <c r="AY33" i="3"/>
  <c r="AZ33" i="3"/>
  <c r="BA33" i="3"/>
  <c r="BB33" i="3"/>
  <c r="BD33" i="3"/>
  <c r="BE33" i="3"/>
  <c r="BF33" i="3"/>
  <c r="BG33" i="3"/>
  <c r="BH33" i="3"/>
  <c r="BJ33" i="3"/>
  <c r="BK33" i="3"/>
  <c r="BL33" i="3"/>
  <c r="BM33" i="3"/>
  <c r="BN33" i="3"/>
  <c r="BP33" i="3"/>
  <c r="BQ33" i="3"/>
  <c r="BR33" i="3"/>
  <c r="BS33" i="3"/>
  <c r="BT33" i="3"/>
  <c r="BV33" i="3"/>
  <c r="BW33" i="3"/>
  <c r="BX33" i="3"/>
  <c r="BY33" i="3"/>
  <c r="BZ33" i="3"/>
  <c r="CB33" i="3"/>
  <c r="CC33" i="3"/>
  <c r="CD33" i="3"/>
  <c r="CE33" i="3"/>
  <c r="CF33" i="3"/>
  <c r="CH33" i="3"/>
  <c r="CI33" i="3"/>
  <c r="CJ33" i="3"/>
  <c r="CK33" i="3"/>
  <c r="CL33" i="3"/>
  <c r="CN33" i="3"/>
  <c r="CO33" i="3"/>
  <c r="CP33" i="3"/>
  <c r="CQ33" i="3"/>
  <c r="CR33" i="3"/>
  <c r="CT33" i="3"/>
  <c r="CU33" i="3"/>
  <c r="CV33" i="3"/>
  <c r="CW33" i="3"/>
  <c r="CX33" i="3"/>
  <c r="CZ33" i="3"/>
  <c r="DA33" i="3"/>
  <c r="DB33" i="3"/>
  <c r="DC33" i="3"/>
  <c r="DD33" i="3"/>
  <c r="DF33" i="3"/>
  <c r="DG33" i="3"/>
  <c r="DH33" i="3"/>
  <c r="DI33" i="3"/>
  <c r="DJ33" i="3"/>
  <c r="DL33" i="3"/>
  <c r="DM33" i="3"/>
  <c r="DN33" i="3"/>
  <c r="DO33" i="3"/>
  <c r="DP33" i="3"/>
  <c r="DR33" i="3"/>
  <c r="DS33" i="3"/>
  <c r="DT33" i="3"/>
  <c r="DU33" i="3"/>
  <c r="DV33" i="3"/>
  <c r="DX33" i="3"/>
  <c r="DY33" i="3"/>
  <c r="DZ33" i="3"/>
  <c r="EA33" i="3"/>
  <c r="EB33" i="3"/>
  <c r="ED33" i="3"/>
  <c r="EE33" i="3"/>
  <c r="EF33" i="3"/>
  <c r="EG33" i="3"/>
  <c r="EH33" i="3"/>
  <c r="EJ33" i="3"/>
  <c r="EK33" i="3"/>
  <c r="EL33" i="3"/>
  <c r="EM33" i="3"/>
  <c r="EN33" i="3"/>
  <c r="EP33" i="3"/>
  <c r="EQ33" i="3"/>
  <c r="ER33" i="3"/>
  <c r="ES33" i="3"/>
  <c r="ET33" i="3"/>
  <c r="EV33" i="3"/>
  <c r="EW33" i="3"/>
  <c r="EX33" i="3"/>
  <c r="EY33" i="3"/>
  <c r="EZ33" i="3"/>
  <c r="FB33" i="3"/>
  <c r="FC33" i="3"/>
  <c r="FD33" i="3"/>
  <c r="FE33" i="3"/>
  <c r="FF33" i="3"/>
  <c r="FH33" i="3"/>
  <c r="FI33" i="3"/>
  <c r="FJ33" i="3"/>
  <c r="FK33" i="3"/>
  <c r="FL33" i="3"/>
  <c r="FN33" i="3"/>
  <c r="FO33" i="3"/>
  <c r="FP33" i="3"/>
  <c r="FQ33" i="3"/>
  <c r="FR33" i="3"/>
  <c r="FT33" i="3"/>
  <c r="FU33" i="3"/>
  <c r="FV33" i="3"/>
  <c r="FW33" i="3"/>
  <c r="FX33" i="3"/>
  <c r="FZ33" i="3"/>
  <c r="GA33" i="3"/>
  <c r="GB33" i="3"/>
  <c r="GC33" i="3"/>
  <c r="GD33" i="3"/>
  <c r="GF33" i="3"/>
  <c r="GG33" i="3"/>
  <c r="GH33" i="3"/>
  <c r="GI33" i="3"/>
  <c r="GJ33" i="3"/>
  <c r="GL33" i="3"/>
  <c r="GM33" i="3"/>
  <c r="GN33" i="3"/>
  <c r="A34" i="3"/>
  <c r="B34" i="3"/>
  <c r="C34" i="3"/>
  <c r="D34" i="3"/>
  <c r="E34" i="3"/>
  <c r="F34" i="3"/>
  <c r="H34" i="3"/>
  <c r="I34" i="3"/>
  <c r="J34" i="3"/>
  <c r="K34" i="3"/>
  <c r="L34" i="3"/>
  <c r="N34" i="3"/>
  <c r="O34" i="3"/>
  <c r="P34" i="3"/>
  <c r="Q34" i="3"/>
  <c r="R34" i="3"/>
  <c r="T34" i="3"/>
  <c r="U34" i="3"/>
  <c r="V34" i="3"/>
  <c r="W34" i="3"/>
  <c r="X34" i="3"/>
  <c r="Z34" i="3"/>
  <c r="AA34" i="3"/>
  <c r="AB34" i="3"/>
  <c r="AC34" i="3"/>
  <c r="AD34" i="3"/>
  <c r="AF34" i="3"/>
  <c r="AG34" i="3"/>
  <c r="AH34" i="3"/>
  <c r="AI34" i="3"/>
  <c r="AJ34" i="3"/>
  <c r="AL34" i="3"/>
  <c r="AM34" i="3"/>
  <c r="AN34" i="3"/>
  <c r="AO34" i="3"/>
  <c r="AP34" i="3"/>
  <c r="AR34" i="3"/>
  <c r="AS34" i="3"/>
  <c r="AT34" i="3"/>
  <c r="AU34" i="3"/>
  <c r="AV34" i="3"/>
  <c r="AX34" i="3"/>
  <c r="AY34" i="3"/>
  <c r="AZ34" i="3"/>
  <c r="BA34" i="3"/>
  <c r="BB34" i="3"/>
  <c r="BD34" i="3"/>
  <c r="BE34" i="3"/>
  <c r="BF34" i="3"/>
  <c r="BG34" i="3"/>
  <c r="BH34" i="3"/>
  <c r="BJ34" i="3"/>
  <c r="BK34" i="3"/>
  <c r="BL34" i="3"/>
  <c r="BM34" i="3"/>
  <c r="BN34" i="3"/>
  <c r="BP34" i="3"/>
  <c r="BQ34" i="3"/>
  <c r="BR34" i="3"/>
  <c r="BS34" i="3"/>
  <c r="BT34" i="3"/>
  <c r="BV34" i="3"/>
  <c r="BW34" i="3"/>
  <c r="BX34" i="3"/>
  <c r="BY34" i="3"/>
  <c r="BZ34" i="3"/>
  <c r="CB34" i="3"/>
  <c r="CC34" i="3"/>
  <c r="CD34" i="3"/>
  <c r="CE34" i="3"/>
  <c r="CF34" i="3"/>
  <c r="CH34" i="3"/>
  <c r="CI34" i="3"/>
  <c r="CJ34" i="3"/>
  <c r="CK34" i="3"/>
  <c r="CL34" i="3"/>
  <c r="CN34" i="3"/>
  <c r="CO34" i="3"/>
  <c r="CP34" i="3"/>
  <c r="CQ34" i="3"/>
  <c r="CR34" i="3"/>
  <c r="CT34" i="3"/>
  <c r="CU34" i="3"/>
  <c r="CV34" i="3"/>
  <c r="CW34" i="3"/>
  <c r="CX34" i="3"/>
  <c r="CZ34" i="3"/>
  <c r="DA34" i="3"/>
  <c r="DB34" i="3"/>
  <c r="DC34" i="3"/>
  <c r="DD34" i="3"/>
  <c r="DF34" i="3"/>
  <c r="DG34" i="3"/>
  <c r="DH34" i="3"/>
  <c r="DI34" i="3"/>
  <c r="DJ34" i="3"/>
  <c r="DL34" i="3"/>
  <c r="DM34" i="3"/>
  <c r="DN34" i="3"/>
  <c r="DO34" i="3"/>
  <c r="DP34" i="3"/>
  <c r="DR34" i="3"/>
  <c r="DS34" i="3"/>
  <c r="DT34" i="3"/>
  <c r="DU34" i="3"/>
  <c r="DV34" i="3"/>
  <c r="DX34" i="3"/>
  <c r="DY34" i="3"/>
  <c r="DZ34" i="3"/>
  <c r="EA34" i="3"/>
  <c r="EB34" i="3"/>
  <c r="ED34" i="3"/>
  <c r="EE34" i="3"/>
  <c r="EF34" i="3"/>
  <c r="EG34" i="3"/>
  <c r="EH34" i="3"/>
  <c r="EJ34" i="3"/>
  <c r="EK34" i="3"/>
  <c r="EL34" i="3"/>
  <c r="EM34" i="3"/>
  <c r="EN34" i="3"/>
  <c r="EP34" i="3"/>
  <c r="EQ34" i="3"/>
  <c r="ER34" i="3"/>
  <c r="ES34" i="3"/>
  <c r="ET34" i="3"/>
  <c r="EV34" i="3"/>
  <c r="EW34" i="3"/>
  <c r="EX34" i="3"/>
  <c r="EY34" i="3"/>
  <c r="EZ34" i="3"/>
  <c r="FB34" i="3"/>
  <c r="FC34" i="3"/>
  <c r="FD34" i="3"/>
  <c r="FE34" i="3"/>
  <c r="FF34" i="3"/>
  <c r="FH34" i="3"/>
  <c r="FI34" i="3"/>
  <c r="FJ34" i="3"/>
  <c r="FK34" i="3"/>
  <c r="FL34" i="3"/>
  <c r="FN34" i="3"/>
  <c r="FO34" i="3"/>
  <c r="FP34" i="3"/>
  <c r="FQ34" i="3"/>
  <c r="FR34" i="3"/>
  <c r="FT34" i="3"/>
  <c r="FU34" i="3"/>
  <c r="FV34" i="3"/>
  <c r="FW34" i="3"/>
  <c r="FX34" i="3"/>
  <c r="FZ34" i="3"/>
  <c r="GA34" i="3"/>
  <c r="GB34" i="3"/>
  <c r="GC34" i="3"/>
  <c r="GD34" i="3"/>
  <c r="GF34" i="3"/>
  <c r="GG34" i="3"/>
  <c r="GH34" i="3"/>
  <c r="GI34" i="3"/>
  <c r="GJ34" i="3"/>
  <c r="GL34" i="3"/>
  <c r="GM34" i="3"/>
  <c r="GN34" i="3"/>
  <c r="A35" i="3"/>
  <c r="B35" i="3"/>
  <c r="C35" i="3"/>
  <c r="D35" i="3"/>
  <c r="E35" i="3"/>
  <c r="F35" i="3"/>
  <c r="H35" i="3"/>
  <c r="I35" i="3"/>
  <c r="J35" i="3"/>
  <c r="K35" i="3"/>
  <c r="L35" i="3"/>
  <c r="N35" i="3"/>
  <c r="O35" i="3"/>
  <c r="P35" i="3"/>
  <c r="Q35" i="3"/>
  <c r="R35" i="3"/>
  <c r="T35" i="3"/>
  <c r="U35" i="3"/>
  <c r="V35" i="3"/>
  <c r="W35" i="3"/>
  <c r="X35" i="3"/>
  <c r="Z35" i="3"/>
  <c r="AA35" i="3"/>
  <c r="AB35" i="3"/>
  <c r="AC35" i="3"/>
  <c r="AD35" i="3"/>
  <c r="AF35" i="3"/>
  <c r="AG35" i="3"/>
  <c r="AH35" i="3"/>
  <c r="AI35" i="3"/>
  <c r="AJ35" i="3"/>
  <c r="AL35" i="3"/>
  <c r="AM35" i="3"/>
  <c r="AN35" i="3"/>
  <c r="AO35" i="3"/>
  <c r="AP35" i="3"/>
  <c r="AR35" i="3"/>
  <c r="AS35" i="3"/>
  <c r="AT35" i="3"/>
  <c r="AU35" i="3"/>
  <c r="AV35" i="3"/>
  <c r="AX35" i="3"/>
  <c r="AY35" i="3"/>
  <c r="AZ35" i="3"/>
  <c r="BA35" i="3"/>
  <c r="BB35" i="3"/>
  <c r="BD35" i="3"/>
  <c r="BE35" i="3"/>
  <c r="BF35" i="3"/>
  <c r="BG35" i="3"/>
  <c r="BH35" i="3"/>
  <c r="BJ35" i="3"/>
  <c r="BK35" i="3"/>
  <c r="BL35" i="3"/>
  <c r="BM35" i="3"/>
  <c r="BN35" i="3"/>
  <c r="BP35" i="3"/>
  <c r="BQ35" i="3"/>
  <c r="BR35" i="3"/>
  <c r="BS35" i="3"/>
  <c r="BT35" i="3"/>
  <c r="BV35" i="3"/>
  <c r="BW35" i="3"/>
  <c r="BX35" i="3"/>
  <c r="BY35" i="3"/>
  <c r="BZ35" i="3"/>
  <c r="CB35" i="3"/>
  <c r="CC35" i="3"/>
  <c r="CD35" i="3"/>
  <c r="CE35" i="3"/>
  <c r="CF35" i="3"/>
  <c r="CH35" i="3"/>
  <c r="CI35" i="3"/>
  <c r="CJ35" i="3"/>
  <c r="CK35" i="3"/>
  <c r="CL35" i="3"/>
  <c r="CN35" i="3"/>
  <c r="CO35" i="3"/>
  <c r="CP35" i="3"/>
  <c r="CQ35" i="3"/>
  <c r="CR35" i="3"/>
  <c r="CT35" i="3"/>
  <c r="CU35" i="3"/>
  <c r="CV35" i="3"/>
  <c r="CW35" i="3"/>
  <c r="CX35" i="3"/>
  <c r="CZ35" i="3"/>
  <c r="DA35" i="3"/>
  <c r="DB35" i="3"/>
  <c r="DC35" i="3"/>
  <c r="DD35" i="3"/>
  <c r="DF35" i="3"/>
  <c r="DG35" i="3"/>
  <c r="DH35" i="3"/>
  <c r="DI35" i="3"/>
  <c r="DJ35" i="3"/>
  <c r="DL35" i="3"/>
  <c r="DM35" i="3"/>
  <c r="DN35" i="3"/>
  <c r="DO35" i="3"/>
  <c r="DP35" i="3"/>
  <c r="DR35" i="3"/>
  <c r="DS35" i="3"/>
  <c r="DT35" i="3"/>
  <c r="DU35" i="3"/>
  <c r="DV35" i="3"/>
  <c r="DX35" i="3"/>
  <c r="DY35" i="3"/>
  <c r="DZ35" i="3"/>
  <c r="EA35" i="3"/>
  <c r="EB35" i="3"/>
  <c r="ED35" i="3"/>
  <c r="EE35" i="3"/>
  <c r="EF35" i="3"/>
  <c r="EG35" i="3"/>
  <c r="EH35" i="3"/>
  <c r="EJ35" i="3"/>
  <c r="EK35" i="3"/>
  <c r="EL35" i="3"/>
  <c r="EM35" i="3"/>
  <c r="EN35" i="3"/>
  <c r="EP35" i="3"/>
  <c r="EQ35" i="3"/>
  <c r="ER35" i="3"/>
  <c r="ES35" i="3"/>
  <c r="ET35" i="3"/>
  <c r="EV35" i="3"/>
  <c r="EW35" i="3"/>
  <c r="EX35" i="3"/>
  <c r="EY35" i="3"/>
  <c r="EZ35" i="3"/>
  <c r="FB35" i="3"/>
  <c r="FC35" i="3"/>
  <c r="FD35" i="3"/>
  <c r="FE35" i="3"/>
  <c r="FF35" i="3"/>
  <c r="FH35" i="3"/>
  <c r="FI35" i="3"/>
  <c r="FJ35" i="3"/>
  <c r="FK35" i="3"/>
  <c r="FL35" i="3"/>
  <c r="FN35" i="3"/>
  <c r="FO35" i="3"/>
  <c r="FP35" i="3"/>
  <c r="FQ35" i="3"/>
  <c r="FR35" i="3"/>
  <c r="FT35" i="3"/>
  <c r="FU35" i="3"/>
  <c r="FV35" i="3"/>
  <c r="FW35" i="3"/>
  <c r="FX35" i="3"/>
  <c r="FZ35" i="3"/>
  <c r="GA35" i="3"/>
  <c r="GB35" i="3"/>
  <c r="GC35" i="3"/>
  <c r="GD35" i="3"/>
  <c r="GF35" i="3"/>
  <c r="GG35" i="3"/>
  <c r="GH35" i="3"/>
  <c r="GI35" i="3"/>
  <c r="GJ35" i="3"/>
  <c r="GL35" i="3"/>
  <c r="GM35" i="3"/>
  <c r="GN35" i="3"/>
  <c r="A36" i="3"/>
  <c r="B36" i="3"/>
  <c r="C36" i="3"/>
  <c r="D36" i="3"/>
  <c r="E36" i="3"/>
  <c r="F36" i="3"/>
  <c r="H36" i="3"/>
  <c r="I36" i="3"/>
  <c r="J36" i="3"/>
  <c r="K36" i="3"/>
  <c r="L36" i="3"/>
  <c r="N36" i="3"/>
  <c r="O36" i="3"/>
  <c r="P36" i="3"/>
  <c r="Q36" i="3"/>
  <c r="R36" i="3"/>
  <c r="T36" i="3"/>
  <c r="U36" i="3"/>
  <c r="V36" i="3"/>
  <c r="W36" i="3"/>
  <c r="X36" i="3"/>
  <c r="Z36" i="3"/>
  <c r="AA36" i="3"/>
  <c r="AB36" i="3"/>
  <c r="AC36" i="3"/>
  <c r="AD36" i="3"/>
  <c r="AF36" i="3"/>
  <c r="AG36" i="3"/>
  <c r="AH36" i="3"/>
  <c r="AI36" i="3"/>
  <c r="AJ36" i="3"/>
  <c r="AL36" i="3"/>
  <c r="AM36" i="3"/>
  <c r="AN36" i="3"/>
  <c r="AO36" i="3"/>
  <c r="AP36" i="3"/>
  <c r="AR36" i="3"/>
  <c r="AS36" i="3"/>
  <c r="AT36" i="3"/>
  <c r="AU36" i="3"/>
  <c r="AV36" i="3"/>
  <c r="AX36" i="3"/>
  <c r="AY36" i="3"/>
  <c r="AZ36" i="3"/>
  <c r="BA36" i="3"/>
  <c r="BB36" i="3"/>
  <c r="BD36" i="3"/>
  <c r="BE36" i="3"/>
  <c r="BF36" i="3"/>
  <c r="BG36" i="3"/>
  <c r="BH36" i="3"/>
  <c r="BJ36" i="3"/>
  <c r="BK36" i="3"/>
  <c r="BL36" i="3"/>
  <c r="BM36" i="3"/>
  <c r="BN36" i="3"/>
  <c r="BP36" i="3"/>
  <c r="BQ36" i="3"/>
  <c r="BR36" i="3"/>
  <c r="BS36" i="3"/>
  <c r="BT36" i="3"/>
  <c r="BV36" i="3"/>
  <c r="BW36" i="3"/>
  <c r="BX36" i="3"/>
  <c r="BY36" i="3"/>
  <c r="BZ36" i="3"/>
  <c r="CB36" i="3"/>
  <c r="CC36" i="3"/>
  <c r="CD36" i="3"/>
  <c r="CE36" i="3"/>
  <c r="CF36" i="3"/>
  <c r="CH36" i="3"/>
  <c r="CI36" i="3"/>
  <c r="CJ36" i="3"/>
  <c r="CK36" i="3"/>
  <c r="CL36" i="3"/>
  <c r="CN36" i="3"/>
  <c r="CO36" i="3"/>
  <c r="CP36" i="3"/>
  <c r="CQ36" i="3"/>
  <c r="CR36" i="3"/>
  <c r="CT36" i="3"/>
  <c r="CU36" i="3"/>
  <c r="CV36" i="3"/>
  <c r="CW36" i="3"/>
  <c r="CX36" i="3"/>
  <c r="CZ36" i="3"/>
  <c r="DA36" i="3"/>
  <c r="DB36" i="3"/>
  <c r="DC36" i="3"/>
  <c r="DD36" i="3"/>
  <c r="DF36" i="3"/>
  <c r="DG36" i="3"/>
  <c r="DH36" i="3"/>
  <c r="DI36" i="3"/>
  <c r="DJ36" i="3"/>
  <c r="DL36" i="3"/>
  <c r="DM36" i="3"/>
  <c r="DN36" i="3"/>
  <c r="DO36" i="3"/>
  <c r="DP36" i="3"/>
  <c r="DR36" i="3"/>
  <c r="DS36" i="3"/>
  <c r="DT36" i="3"/>
  <c r="DU36" i="3"/>
  <c r="DV36" i="3"/>
  <c r="DX36" i="3"/>
  <c r="DY36" i="3"/>
  <c r="DZ36" i="3"/>
  <c r="EA36" i="3"/>
  <c r="EB36" i="3"/>
  <c r="ED36" i="3"/>
  <c r="EE36" i="3"/>
  <c r="EF36" i="3"/>
  <c r="EG36" i="3"/>
  <c r="EH36" i="3"/>
  <c r="EJ36" i="3"/>
  <c r="EK36" i="3"/>
  <c r="EL36" i="3"/>
  <c r="EM36" i="3"/>
  <c r="EN36" i="3"/>
  <c r="EP36" i="3"/>
  <c r="EQ36" i="3"/>
  <c r="ER36" i="3"/>
  <c r="ES36" i="3"/>
  <c r="ET36" i="3"/>
  <c r="EV36" i="3"/>
  <c r="EW36" i="3"/>
  <c r="EX36" i="3"/>
  <c r="EY36" i="3"/>
  <c r="EZ36" i="3"/>
  <c r="FB36" i="3"/>
  <c r="FC36" i="3"/>
  <c r="FD36" i="3"/>
  <c r="FE36" i="3"/>
  <c r="FF36" i="3"/>
  <c r="FH36" i="3"/>
  <c r="FI36" i="3"/>
  <c r="FJ36" i="3"/>
  <c r="FK36" i="3"/>
  <c r="FL36" i="3"/>
  <c r="FN36" i="3"/>
  <c r="FO36" i="3"/>
  <c r="FP36" i="3"/>
  <c r="FQ36" i="3"/>
  <c r="FR36" i="3"/>
  <c r="FT36" i="3"/>
  <c r="FU36" i="3"/>
  <c r="FV36" i="3"/>
  <c r="FW36" i="3"/>
  <c r="FX36" i="3"/>
  <c r="FZ36" i="3"/>
  <c r="GA36" i="3"/>
  <c r="GB36" i="3"/>
  <c r="GC36" i="3"/>
  <c r="GD36" i="3"/>
  <c r="GF36" i="3"/>
  <c r="GG36" i="3"/>
  <c r="GH36" i="3"/>
  <c r="GI36" i="3"/>
  <c r="GJ36" i="3"/>
  <c r="GL36" i="3"/>
  <c r="GM36" i="3"/>
  <c r="GN36" i="3"/>
  <c r="A37" i="3"/>
  <c r="B37" i="3"/>
  <c r="C37" i="3"/>
  <c r="D37" i="3"/>
  <c r="E37" i="3"/>
  <c r="F37" i="3"/>
  <c r="H37" i="3"/>
  <c r="I37" i="3"/>
  <c r="J37" i="3"/>
  <c r="K37" i="3"/>
  <c r="L37" i="3"/>
  <c r="N37" i="3"/>
  <c r="O37" i="3"/>
  <c r="P37" i="3"/>
  <c r="Q37" i="3"/>
  <c r="R37" i="3"/>
  <c r="T37" i="3"/>
  <c r="U37" i="3"/>
  <c r="V37" i="3"/>
  <c r="W37" i="3"/>
  <c r="X37" i="3"/>
  <c r="Z37" i="3"/>
  <c r="AA37" i="3"/>
  <c r="AB37" i="3"/>
  <c r="AC37" i="3"/>
  <c r="AD37" i="3"/>
  <c r="AF37" i="3"/>
  <c r="AG37" i="3"/>
  <c r="AH37" i="3"/>
  <c r="AI37" i="3"/>
  <c r="AJ37" i="3"/>
  <c r="AL37" i="3"/>
  <c r="AM37" i="3"/>
  <c r="AN37" i="3"/>
  <c r="AO37" i="3"/>
  <c r="AP37" i="3"/>
  <c r="AR37" i="3"/>
  <c r="AS37" i="3"/>
  <c r="AT37" i="3"/>
  <c r="AU37" i="3"/>
  <c r="AV37" i="3"/>
  <c r="AX37" i="3"/>
  <c r="AY37" i="3"/>
  <c r="AZ37" i="3"/>
  <c r="BA37" i="3"/>
  <c r="BB37" i="3"/>
  <c r="BD37" i="3"/>
  <c r="BE37" i="3"/>
  <c r="BF37" i="3"/>
  <c r="BG37" i="3"/>
  <c r="BH37" i="3"/>
  <c r="BJ37" i="3"/>
  <c r="BK37" i="3"/>
  <c r="BL37" i="3"/>
  <c r="BM37" i="3"/>
  <c r="BN37" i="3"/>
  <c r="BP37" i="3"/>
  <c r="BQ37" i="3"/>
  <c r="BR37" i="3"/>
  <c r="BS37" i="3"/>
  <c r="BT37" i="3"/>
  <c r="BV37" i="3"/>
  <c r="BW37" i="3"/>
  <c r="BX37" i="3"/>
  <c r="BY37" i="3"/>
  <c r="BZ37" i="3"/>
  <c r="CB37" i="3"/>
  <c r="CC37" i="3"/>
  <c r="CD37" i="3"/>
  <c r="CE37" i="3"/>
  <c r="CF37" i="3"/>
  <c r="CH37" i="3"/>
  <c r="CI37" i="3"/>
  <c r="CJ37" i="3"/>
  <c r="CK37" i="3"/>
  <c r="CL37" i="3"/>
  <c r="CN37" i="3"/>
  <c r="CO37" i="3"/>
  <c r="CP37" i="3"/>
  <c r="CQ37" i="3"/>
  <c r="CR37" i="3"/>
  <c r="CT37" i="3"/>
  <c r="CU37" i="3"/>
  <c r="CV37" i="3"/>
  <c r="CW37" i="3"/>
  <c r="CX37" i="3"/>
  <c r="CZ37" i="3"/>
  <c r="DA37" i="3"/>
  <c r="DB37" i="3"/>
  <c r="DC37" i="3"/>
  <c r="DD37" i="3"/>
  <c r="DF37" i="3"/>
  <c r="DG37" i="3"/>
  <c r="DH37" i="3"/>
  <c r="DI37" i="3"/>
  <c r="DJ37" i="3"/>
  <c r="DL37" i="3"/>
  <c r="DM37" i="3"/>
  <c r="DN37" i="3"/>
  <c r="DO37" i="3"/>
  <c r="DP37" i="3"/>
  <c r="DR37" i="3"/>
  <c r="DS37" i="3"/>
  <c r="DT37" i="3"/>
  <c r="DU37" i="3"/>
  <c r="DV37" i="3"/>
  <c r="DX37" i="3"/>
  <c r="DY37" i="3"/>
  <c r="DZ37" i="3"/>
  <c r="EA37" i="3"/>
  <c r="EB37" i="3"/>
  <c r="EC37" i="3" s="1"/>
  <c r="ED37" i="3"/>
  <c r="EE37" i="3"/>
  <c r="EF37" i="3"/>
  <c r="EG37" i="3"/>
  <c r="EH37" i="3"/>
  <c r="EJ37" i="3"/>
  <c r="EK37" i="3"/>
  <c r="EL37" i="3"/>
  <c r="EM37" i="3"/>
  <c r="EN37" i="3"/>
  <c r="EP37" i="3"/>
  <c r="EQ37" i="3"/>
  <c r="ER37" i="3"/>
  <c r="ES37" i="3"/>
  <c r="ET37" i="3"/>
  <c r="EV37" i="3"/>
  <c r="EW37" i="3"/>
  <c r="EX37" i="3"/>
  <c r="EY37" i="3"/>
  <c r="EZ37" i="3"/>
  <c r="FB37" i="3"/>
  <c r="FC37" i="3"/>
  <c r="FD37" i="3"/>
  <c r="FE37" i="3"/>
  <c r="FF37" i="3"/>
  <c r="FH37" i="3"/>
  <c r="FI37" i="3"/>
  <c r="FJ37" i="3"/>
  <c r="FK37" i="3"/>
  <c r="FL37" i="3"/>
  <c r="FN37" i="3"/>
  <c r="FO37" i="3"/>
  <c r="FP37" i="3"/>
  <c r="FQ37" i="3"/>
  <c r="FR37" i="3"/>
  <c r="FT37" i="3"/>
  <c r="FU37" i="3"/>
  <c r="FV37" i="3"/>
  <c r="FW37" i="3"/>
  <c r="FX37" i="3"/>
  <c r="FZ37" i="3"/>
  <c r="GA37" i="3"/>
  <c r="GB37" i="3"/>
  <c r="GC37" i="3"/>
  <c r="GD37" i="3"/>
  <c r="GF37" i="3"/>
  <c r="GG37" i="3"/>
  <c r="GH37" i="3"/>
  <c r="GI37" i="3"/>
  <c r="GJ37" i="3"/>
  <c r="GL37" i="3"/>
  <c r="GM37" i="3"/>
  <c r="GN37" i="3"/>
  <c r="A38" i="3"/>
  <c r="B38" i="3"/>
  <c r="C38" i="3"/>
  <c r="D38" i="3"/>
  <c r="E38" i="3"/>
  <c r="F38" i="3"/>
  <c r="H38" i="3"/>
  <c r="I38" i="3"/>
  <c r="J38" i="3"/>
  <c r="K38" i="3"/>
  <c r="L38" i="3"/>
  <c r="N38" i="3"/>
  <c r="O38" i="3"/>
  <c r="P38" i="3"/>
  <c r="Q38" i="3"/>
  <c r="R38" i="3"/>
  <c r="T38" i="3"/>
  <c r="U38" i="3"/>
  <c r="V38" i="3"/>
  <c r="W38" i="3"/>
  <c r="X38" i="3"/>
  <c r="Z38" i="3"/>
  <c r="AA38" i="3"/>
  <c r="AB38" i="3"/>
  <c r="AC38" i="3"/>
  <c r="AD38" i="3"/>
  <c r="AF38" i="3"/>
  <c r="AG38" i="3"/>
  <c r="AH38" i="3"/>
  <c r="AI38" i="3"/>
  <c r="AJ38" i="3"/>
  <c r="AL38" i="3"/>
  <c r="AM38" i="3"/>
  <c r="AN38" i="3"/>
  <c r="AO38" i="3"/>
  <c r="AP38" i="3"/>
  <c r="AR38" i="3"/>
  <c r="AS38" i="3"/>
  <c r="AT38" i="3"/>
  <c r="AU38" i="3"/>
  <c r="AV38" i="3"/>
  <c r="AX38" i="3"/>
  <c r="AY38" i="3"/>
  <c r="AZ38" i="3"/>
  <c r="BA38" i="3"/>
  <c r="BB38" i="3"/>
  <c r="BD38" i="3"/>
  <c r="BE38" i="3"/>
  <c r="BF38" i="3"/>
  <c r="BG38" i="3"/>
  <c r="BH38" i="3"/>
  <c r="BJ38" i="3"/>
  <c r="BK38" i="3"/>
  <c r="BL38" i="3"/>
  <c r="BM38" i="3"/>
  <c r="BN38" i="3"/>
  <c r="BP38" i="3"/>
  <c r="BQ38" i="3"/>
  <c r="BR38" i="3"/>
  <c r="BS38" i="3"/>
  <c r="BT38" i="3"/>
  <c r="BV38" i="3"/>
  <c r="BW38" i="3"/>
  <c r="BX38" i="3"/>
  <c r="BY38" i="3"/>
  <c r="BZ38" i="3"/>
  <c r="CB38" i="3"/>
  <c r="CC38" i="3"/>
  <c r="CD38" i="3"/>
  <c r="CE38" i="3"/>
  <c r="CF38" i="3"/>
  <c r="CH38" i="3"/>
  <c r="CI38" i="3"/>
  <c r="CJ38" i="3"/>
  <c r="CK38" i="3"/>
  <c r="CL38" i="3"/>
  <c r="CN38" i="3"/>
  <c r="CO38" i="3"/>
  <c r="CP38" i="3"/>
  <c r="CQ38" i="3"/>
  <c r="CR38" i="3"/>
  <c r="CT38" i="3"/>
  <c r="CU38" i="3"/>
  <c r="CV38" i="3"/>
  <c r="CW38" i="3"/>
  <c r="CX38" i="3"/>
  <c r="CZ38" i="3"/>
  <c r="DA38" i="3"/>
  <c r="DB38" i="3"/>
  <c r="DC38" i="3"/>
  <c r="DD38" i="3"/>
  <c r="DF38" i="3"/>
  <c r="DG38" i="3"/>
  <c r="DH38" i="3"/>
  <c r="DI38" i="3"/>
  <c r="DJ38" i="3"/>
  <c r="DL38" i="3"/>
  <c r="DM38" i="3"/>
  <c r="DN38" i="3"/>
  <c r="DO38" i="3"/>
  <c r="DP38" i="3"/>
  <c r="DR38" i="3"/>
  <c r="DS38" i="3"/>
  <c r="DT38" i="3"/>
  <c r="DU38" i="3"/>
  <c r="DV38" i="3"/>
  <c r="DX38" i="3"/>
  <c r="DY38" i="3"/>
  <c r="DZ38" i="3"/>
  <c r="EA38" i="3"/>
  <c r="EB38" i="3"/>
  <c r="ED38" i="3"/>
  <c r="EE38" i="3"/>
  <c r="EF38" i="3"/>
  <c r="EG38" i="3"/>
  <c r="EH38" i="3"/>
  <c r="EJ38" i="3"/>
  <c r="EK38" i="3"/>
  <c r="EL38" i="3"/>
  <c r="EM38" i="3"/>
  <c r="EN38" i="3"/>
  <c r="EP38" i="3"/>
  <c r="EQ38" i="3"/>
  <c r="ER38" i="3"/>
  <c r="ES38" i="3"/>
  <c r="ET38" i="3"/>
  <c r="EV38" i="3"/>
  <c r="EW38" i="3"/>
  <c r="EX38" i="3"/>
  <c r="EY38" i="3"/>
  <c r="EZ38" i="3"/>
  <c r="FB38" i="3"/>
  <c r="FC38" i="3"/>
  <c r="FD38" i="3"/>
  <c r="FE38" i="3"/>
  <c r="FF38" i="3"/>
  <c r="FH38" i="3"/>
  <c r="FI38" i="3"/>
  <c r="FJ38" i="3"/>
  <c r="FK38" i="3"/>
  <c r="FL38" i="3"/>
  <c r="FN38" i="3"/>
  <c r="FO38" i="3"/>
  <c r="FP38" i="3"/>
  <c r="FQ38" i="3"/>
  <c r="FR38" i="3"/>
  <c r="FT38" i="3"/>
  <c r="FU38" i="3"/>
  <c r="FV38" i="3"/>
  <c r="FW38" i="3"/>
  <c r="FX38" i="3"/>
  <c r="FZ38" i="3"/>
  <c r="GA38" i="3"/>
  <c r="GB38" i="3"/>
  <c r="GC38" i="3"/>
  <c r="GD38" i="3"/>
  <c r="GF38" i="3"/>
  <c r="GG38" i="3"/>
  <c r="GH38" i="3"/>
  <c r="GI38" i="3"/>
  <c r="GJ38" i="3"/>
  <c r="GL38" i="3"/>
  <c r="GM38" i="3"/>
  <c r="GN38" i="3"/>
  <c r="A39" i="3"/>
  <c r="B39" i="3"/>
  <c r="C39" i="3"/>
  <c r="D39" i="3"/>
  <c r="E39" i="3"/>
  <c r="F39" i="3"/>
  <c r="H39" i="3"/>
  <c r="I39" i="3"/>
  <c r="J39" i="3"/>
  <c r="K39" i="3"/>
  <c r="L39" i="3"/>
  <c r="N39" i="3"/>
  <c r="O39" i="3"/>
  <c r="P39" i="3"/>
  <c r="Q39" i="3"/>
  <c r="R39" i="3"/>
  <c r="T39" i="3"/>
  <c r="U39" i="3"/>
  <c r="V39" i="3"/>
  <c r="W39" i="3"/>
  <c r="X39" i="3"/>
  <c r="Z39" i="3"/>
  <c r="AA39" i="3"/>
  <c r="AB39" i="3"/>
  <c r="AC39" i="3"/>
  <c r="AD39" i="3"/>
  <c r="AF39" i="3"/>
  <c r="AG39" i="3"/>
  <c r="AH39" i="3"/>
  <c r="AI39" i="3"/>
  <c r="AJ39" i="3"/>
  <c r="AL39" i="3"/>
  <c r="AM39" i="3"/>
  <c r="AN39" i="3"/>
  <c r="AO39" i="3"/>
  <c r="AP39" i="3"/>
  <c r="AR39" i="3"/>
  <c r="AS39" i="3"/>
  <c r="AT39" i="3"/>
  <c r="AU39" i="3"/>
  <c r="AV39" i="3"/>
  <c r="AX39" i="3"/>
  <c r="AY39" i="3"/>
  <c r="AZ39" i="3"/>
  <c r="BA39" i="3"/>
  <c r="BB39" i="3"/>
  <c r="BD39" i="3"/>
  <c r="BE39" i="3"/>
  <c r="BF39" i="3"/>
  <c r="BG39" i="3"/>
  <c r="BH39" i="3"/>
  <c r="BJ39" i="3"/>
  <c r="BK39" i="3"/>
  <c r="BL39" i="3"/>
  <c r="BM39" i="3"/>
  <c r="BN39" i="3"/>
  <c r="BP39" i="3"/>
  <c r="BQ39" i="3"/>
  <c r="BR39" i="3"/>
  <c r="BS39" i="3"/>
  <c r="BT39" i="3"/>
  <c r="BV39" i="3"/>
  <c r="BW39" i="3"/>
  <c r="BX39" i="3"/>
  <c r="BY39" i="3"/>
  <c r="BZ39" i="3"/>
  <c r="CB39" i="3"/>
  <c r="CC39" i="3"/>
  <c r="CD39" i="3"/>
  <c r="CE39" i="3"/>
  <c r="CF39" i="3"/>
  <c r="CH39" i="3"/>
  <c r="CI39" i="3"/>
  <c r="CJ39" i="3"/>
  <c r="CK39" i="3"/>
  <c r="CL39" i="3"/>
  <c r="CN39" i="3"/>
  <c r="CO39" i="3"/>
  <c r="CP39" i="3"/>
  <c r="CQ39" i="3"/>
  <c r="CR39" i="3"/>
  <c r="CT39" i="3"/>
  <c r="CU39" i="3"/>
  <c r="CV39" i="3"/>
  <c r="CW39" i="3"/>
  <c r="CX39" i="3"/>
  <c r="CZ39" i="3"/>
  <c r="DA39" i="3"/>
  <c r="DB39" i="3"/>
  <c r="DC39" i="3"/>
  <c r="DD39" i="3"/>
  <c r="DF39" i="3"/>
  <c r="DG39" i="3"/>
  <c r="DH39" i="3"/>
  <c r="DI39" i="3"/>
  <c r="DJ39" i="3"/>
  <c r="DL39" i="3"/>
  <c r="DM39" i="3"/>
  <c r="DN39" i="3"/>
  <c r="DO39" i="3"/>
  <c r="DP39" i="3"/>
  <c r="DR39" i="3"/>
  <c r="DS39" i="3"/>
  <c r="DT39" i="3"/>
  <c r="DU39" i="3"/>
  <c r="DV39" i="3"/>
  <c r="DX39" i="3"/>
  <c r="DY39" i="3"/>
  <c r="DZ39" i="3"/>
  <c r="EA39" i="3"/>
  <c r="EB39" i="3"/>
  <c r="ED39" i="3"/>
  <c r="EE39" i="3"/>
  <c r="EF39" i="3"/>
  <c r="EG39" i="3"/>
  <c r="EH39" i="3"/>
  <c r="EJ39" i="3"/>
  <c r="EK39" i="3"/>
  <c r="EL39" i="3"/>
  <c r="EM39" i="3"/>
  <c r="EN39" i="3"/>
  <c r="EP39" i="3"/>
  <c r="EQ39" i="3"/>
  <c r="ER39" i="3"/>
  <c r="ES39" i="3"/>
  <c r="ET39" i="3"/>
  <c r="EV39" i="3"/>
  <c r="EW39" i="3"/>
  <c r="EX39" i="3"/>
  <c r="EY39" i="3"/>
  <c r="EZ39" i="3"/>
  <c r="FB39" i="3"/>
  <c r="FC39" i="3"/>
  <c r="FD39" i="3"/>
  <c r="FE39" i="3"/>
  <c r="FF39" i="3"/>
  <c r="FH39" i="3"/>
  <c r="FI39" i="3"/>
  <c r="FJ39" i="3"/>
  <c r="FK39" i="3"/>
  <c r="FL39" i="3"/>
  <c r="FN39" i="3"/>
  <c r="FO39" i="3"/>
  <c r="FP39" i="3"/>
  <c r="FQ39" i="3"/>
  <c r="FR39" i="3"/>
  <c r="FT39" i="3"/>
  <c r="FU39" i="3"/>
  <c r="FV39" i="3"/>
  <c r="FW39" i="3"/>
  <c r="FX39" i="3"/>
  <c r="FZ39" i="3"/>
  <c r="GA39" i="3"/>
  <c r="GB39" i="3"/>
  <c r="GC39" i="3"/>
  <c r="GD39" i="3"/>
  <c r="GF39" i="3"/>
  <c r="GG39" i="3"/>
  <c r="GH39" i="3"/>
  <c r="GI39" i="3"/>
  <c r="GJ39" i="3"/>
  <c r="GL39" i="3"/>
  <c r="GM39" i="3"/>
  <c r="GN39" i="3"/>
  <c r="A40" i="3"/>
  <c r="B40" i="3"/>
  <c r="C40" i="3"/>
  <c r="D40" i="3"/>
  <c r="E40" i="3"/>
  <c r="F40" i="3"/>
  <c r="H40" i="3"/>
  <c r="I40" i="3"/>
  <c r="J40" i="3"/>
  <c r="K40" i="3"/>
  <c r="L40" i="3"/>
  <c r="N40" i="3"/>
  <c r="O40" i="3"/>
  <c r="P40" i="3"/>
  <c r="Q40" i="3"/>
  <c r="R40" i="3"/>
  <c r="T40" i="3"/>
  <c r="U40" i="3"/>
  <c r="V40" i="3"/>
  <c r="W40" i="3"/>
  <c r="X40" i="3"/>
  <c r="Z40" i="3"/>
  <c r="AA40" i="3"/>
  <c r="AB40" i="3"/>
  <c r="AC40" i="3"/>
  <c r="AD40" i="3"/>
  <c r="AF40" i="3"/>
  <c r="AG40" i="3"/>
  <c r="AH40" i="3"/>
  <c r="AI40" i="3"/>
  <c r="AJ40" i="3"/>
  <c r="AL40" i="3"/>
  <c r="AM40" i="3"/>
  <c r="AN40" i="3"/>
  <c r="AO40" i="3"/>
  <c r="AP40" i="3"/>
  <c r="AR40" i="3"/>
  <c r="AS40" i="3"/>
  <c r="AT40" i="3"/>
  <c r="AU40" i="3"/>
  <c r="AV40" i="3"/>
  <c r="AX40" i="3"/>
  <c r="AY40" i="3"/>
  <c r="AZ40" i="3"/>
  <c r="BA40" i="3"/>
  <c r="BB40" i="3"/>
  <c r="BD40" i="3"/>
  <c r="BE40" i="3"/>
  <c r="BF40" i="3"/>
  <c r="BG40" i="3"/>
  <c r="BH40" i="3"/>
  <c r="BJ40" i="3"/>
  <c r="BK40" i="3"/>
  <c r="BL40" i="3"/>
  <c r="BM40" i="3"/>
  <c r="BN40" i="3"/>
  <c r="BP40" i="3"/>
  <c r="BQ40" i="3"/>
  <c r="BR40" i="3"/>
  <c r="BS40" i="3"/>
  <c r="BT40" i="3"/>
  <c r="BV40" i="3"/>
  <c r="BW40" i="3"/>
  <c r="BX40" i="3"/>
  <c r="BY40" i="3"/>
  <c r="BZ40" i="3"/>
  <c r="CB40" i="3"/>
  <c r="CC40" i="3"/>
  <c r="CD40" i="3"/>
  <c r="CE40" i="3"/>
  <c r="CF40" i="3"/>
  <c r="CH40" i="3"/>
  <c r="CI40" i="3"/>
  <c r="CJ40" i="3"/>
  <c r="CK40" i="3"/>
  <c r="CL40" i="3"/>
  <c r="CN40" i="3"/>
  <c r="CO40" i="3"/>
  <c r="CP40" i="3"/>
  <c r="CQ40" i="3"/>
  <c r="CR40" i="3"/>
  <c r="CT40" i="3"/>
  <c r="CU40" i="3"/>
  <c r="CV40" i="3"/>
  <c r="CW40" i="3"/>
  <c r="CX40" i="3"/>
  <c r="CZ40" i="3"/>
  <c r="DA40" i="3"/>
  <c r="DB40" i="3"/>
  <c r="DC40" i="3"/>
  <c r="DD40" i="3"/>
  <c r="DF40" i="3"/>
  <c r="DG40" i="3"/>
  <c r="DH40" i="3"/>
  <c r="DI40" i="3"/>
  <c r="DJ40" i="3"/>
  <c r="DL40" i="3"/>
  <c r="DM40" i="3"/>
  <c r="DN40" i="3"/>
  <c r="DO40" i="3"/>
  <c r="DP40" i="3"/>
  <c r="DR40" i="3"/>
  <c r="DS40" i="3"/>
  <c r="DT40" i="3"/>
  <c r="DU40" i="3"/>
  <c r="DV40" i="3"/>
  <c r="DX40" i="3"/>
  <c r="DY40" i="3"/>
  <c r="DZ40" i="3"/>
  <c r="EA40" i="3"/>
  <c r="EB40" i="3"/>
  <c r="ED40" i="3"/>
  <c r="EE40" i="3"/>
  <c r="EF40" i="3"/>
  <c r="EG40" i="3"/>
  <c r="EH40" i="3"/>
  <c r="EJ40" i="3"/>
  <c r="EK40" i="3"/>
  <c r="EL40" i="3"/>
  <c r="EM40" i="3"/>
  <c r="EN40" i="3"/>
  <c r="EP40" i="3"/>
  <c r="EQ40" i="3"/>
  <c r="ER40" i="3"/>
  <c r="ES40" i="3"/>
  <c r="ET40" i="3"/>
  <c r="EV40" i="3"/>
  <c r="EW40" i="3"/>
  <c r="EX40" i="3"/>
  <c r="EY40" i="3"/>
  <c r="EZ40" i="3"/>
  <c r="FB40" i="3"/>
  <c r="FC40" i="3"/>
  <c r="FD40" i="3"/>
  <c r="FE40" i="3"/>
  <c r="FF40" i="3"/>
  <c r="FH40" i="3"/>
  <c r="FI40" i="3"/>
  <c r="FJ40" i="3"/>
  <c r="FK40" i="3"/>
  <c r="FL40" i="3"/>
  <c r="FN40" i="3"/>
  <c r="FO40" i="3"/>
  <c r="FP40" i="3"/>
  <c r="FQ40" i="3"/>
  <c r="FR40" i="3"/>
  <c r="FT40" i="3"/>
  <c r="FU40" i="3"/>
  <c r="FV40" i="3"/>
  <c r="FW40" i="3"/>
  <c r="FX40" i="3"/>
  <c r="FZ40" i="3"/>
  <c r="GA40" i="3"/>
  <c r="GB40" i="3"/>
  <c r="GC40" i="3"/>
  <c r="GD40" i="3"/>
  <c r="GF40" i="3"/>
  <c r="GG40" i="3"/>
  <c r="GH40" i="3"/>
  <c r="GI40" i="3"/>
  <c r="GJ40" i="3"/>
  <c r="GL40" i="3"/>
  <c r="GM40" i="3"/>
  <c r="GN40" i="3"/>
  <c r="A41" i="3"/>
  <c r="B41" i="3"/>
  <c r="C41" i="3"/>
  <c r="D41" i="3"/>
  <c r="E41" i="3"/>
  <c r="F41" i="3"/>
  <c r="H41" i="3"/>
  <c r="I41" i="3"/>
  <c r="J41" i="3"/>
  <c r="K41" i="3"/>
  <c r="L41" i="3"/>
  <c r="N41" i="3"/>
  <c r="O41" i="3"/>
  <c r="P41" i="3"/>
  <c r="Q41" i="3"/>
  <c r="R41" i="3"/>
  <c r="T41" i="3"/>
  <c r="U41" i="3"/>
  <c r="V41" i="3"/>
  <c r="W41" i="3"/>
  <c r="X41" i="3"/>
  <c r="Z41" i="3"/>
  <c r="AA41" i="3"/>
  <c r="AB41" i="3"/>
  <c r="AC41" i="3"/>
  <c r="AD41" i="3"/>
  <c r="AF41" i="3"/>
  <c r="AG41" i="3"/>
  <c r="AH41" i="3"/>
  <c r="AI41" i="3"/>
  <c r="AJ41" i="3"/>
  <c r="AL41" i="3"/>
  <c r="AM41" i="3"/>
  <c r="AN41" i="3"/>
  <c r="AO41" i="3"/>
  <c r="AP41" i="3"/>
  <c r="AR41" i="3"/>
  <c r="AS41" i="3"/>
  <c r="AT41" i="3"/>
  <c r="AU41" i="3"/>
  <c r="AV41" i="3"/>
  <c r="AX41" i="3"/>
  <c r="AY41" i="3"/>
  <c r="AZ41" i="3"/>
  <c r="BA41" i="3"/>
  <c r="BB41" i="3"/>
  <c r="BD41" i="3"/>
  <c r="BE41" i="3"/>
  <c r="BF41" i="3"/>
  <c r="BG41" i="3"/>
  <c r="BH41" i="3"/>
  <c r="BJ41" i="3"/>
  <c r="BK41" i="3"/>
  <c r="BL41" i="3"/>
  <c r="BM41" i="3"/>
  <c r="BN41" i="3"/>
  <c r="BP41" i="3"/>
  <c r="BQ41" i="3"/>
  <c r="BR41" i="3"/>
  <c r="BS41" i="3"/>
  <c r="BT41" i="3"/>
  <c r="BV41" i="3"/>
  <c r="BW41" i="3"/>
  <c r="BX41" i="3"/>
  <c r="BY41" i="3"/>
  <c r="BZ41" i="3"/>
  <c r="CB41" i="3"/>
  <c r="CC41" i="3"/>
  <c r="CD41" i="3"/>
  <c r="CE41" i="3"/>
  <c r="CF41" i="3"/>
  <c r="CH41" i="3"/>
  <c r="CI41" i="3"/>
  <c r="CJ41" i="3"/>
  <c r="CK41" i="3"/>
  <c r="CL41" i="3"/>
  <c r="CN41" i="3"/>
  <c r="CO41" i="3"/>
  <c r="CP41" i="3"/>
  <c r="CQ41" i="3"/>
  <c r="CR41" i="3"/>
  <c r="CT41" i="3"/>
  <c r="CU41" i="3"/>
  <c r="CV41" i="3"/>
  <c r="CW41" i="3"/>
  <c r="CX41" i="3"/>
  <c r="CZ41" i="3"/>
  <c r="DA41" i="3"/>
  <c r="DB41" i="3"/>
  <c r="DC41" i="3"/>
  <c r="DD41" i="3"/>
  <c r="DF41" i="3"/>
  <c r="DG41" i="3"/>
  <c r="DH41" i="3"/>
  <c r="DI41" i="3"/>
  <c r="DJ41" i="3"/>
  <c r="DL41" i="3"/>
  <c r="DM41" i="3"/>
  <c r="DN41" i="3"/>
  <c r="DO41" i="3"/>
  <c r="DP41" i="3"/>
  <c r="DR41" i="3"/>
  <c r="DS41" i="3"/>
  <c r="DT41" i="3"/>
  <c r="DU41" i="3"/>
  <c r="DV41" i="3"/>
  <c r="DX41" i="3"/>
  <c r="DY41" i="3"/>
  <c r="DZ41" i="3"/>
  <c r="EA41" i="3"/>
  <c r="EB41" i="3"/>
  <c r="ED41" i="3"/>
  <c r="EE41" i="3"/>
  <c r="EF41" i="3"/>
  <c r="EG41" i="3"/>
  <c r="EH41" i="3"/>
  <c r="EJ41" i="3"/>
  <c r="EK41" i="3"/>
  <c r="EL41" i="3"/>
  <c r="EM41" i="3"/>
  <c r="EN41" i="3"/>
  <c r="EP41" i="3"/>
  <c r="EQ41" i="3"/>
  <c r="ER41" i="3"/>
  <c r="ES41" i="3"/>
  <c r="ET41" i="3"/>
  <c r="EV41" i="3"/>
  <c r="EW41" i="3"/>
  <c r="EX41" i="3"/>
  <c r="EY41" i="3"/>
  <c r="EZ41" i="3"/>
  <c r="FB41" i="3"/>
  <c r="FC41" i="3"/>
  <c r="FD41" i="3"/>
  <c r="FE41" i="3"/>
  <c r="FF41" i="3"/>
  <c r="FH41" i="3"/>
  <c r="FI41" i="3"/>
  <c r="FJ41" i="3"/>
  <c r="FK41" i="3"/>
  <c r="FL41" i="3"/>
  <c r="FN41" i="3"/>
  <c r="FO41" i="3"/>
  <c r="FP41" i="3"/>
  <c r="FQ41" i="3"/>
  <c r="FR41" i="3"/>
  <c r="FT41" i="3"/>
  <c r="FU41" i="3"/>
  <c r="FV41" i="3"/>
  <c r="FW41" i="3"/>
  <c r="FX41" i="3"/>
  <c r="FZ41" i="3"/>
  <c r="GA41" i="3"/>
  <c r="GB41" i="3"/>
  <c r="GC41" i="3"/>
  <c r="GD41" i="3"/>
  <c r="GF41" i="3"/>
  <c r="GG41" i="3"/>
  <c r="GH41" i="3"/>
  <c r="GI41" i="3"/>
  <c r="GJ41" i="3"/>
  <c r="GL41" i="3"/>
  <c r="GM41" i="3"/>
  <c r="GN41" i="3"/>
  <c r="A42" i="3"/>
  <c r="B42" i="3"/>
  <c r="C42" i="3"/>
  <c r="D42" i="3"/>
  <c r="E42" i="3"/>
  <c r="F42" i="3"/>
  <c r="H42" i="3"/>
  <c r="I42" i="3"/>
  <c r="J42" i="3"/>
  <c r="K42" i="3"/>
  <c r="L42" i="3"/>
  <c r="N42" i="3"/>
  <c r="O42" i="3"/>
  <c r="P42" i="3"/>
  <c r="Q42" i="3"/>
  <c r="R42" i="3"/>
  <c r="T42" i="3"/>
  <c r="U42" i="3"/>
  <c r="V42" i="3"/>
  <c r="W42" i="3"/>
  <c r="X42" i="3"/>
  <c r="Z42" i="3"/>
  <c r="AA42" i="3"/>
  <c r="AB42" i="3"/>
  <c r="AC42" i="3"/>
  <c r="AD42" i="3"/>
  <c r="AF42" i="3"/>
  <c r="AG42" i="3"/>
  <c r="AH42" i="3"/>
  <c r="AI42" i="3"/>
  <c r="AJ42" i="3"/>
  <c r="AL42" i="3"/>
  <c r="AM42" i="3"/>
  <c r="AN42" i="3"/>
  <c r="AO42" i="3"/>
  <c r="AP42" i="3"/>
  <c r="AR42" i="3"/>
  <c r="AS42" i="3"/>
  <c r="AT42" i="3"/>
  <c r="AU42" i="3"/>
  <c r="AV42" i="3"/>
  <c r="AX42" i="3"/>
  <c r="AY42" i="3"/>
  <c r="AZ42" i="3"/>
  <c r="BA42" i="3"/>
  <c r="BB42" i="3"/>
  <c r="BD42" i="3"/>
  <c r="BE42" i="3"/>
  <c r="BF42" i="3"/>
  <c r="BG42" i="3"/>
  <c r="BH42" i="3"/>
  <c r="BJ42" i="3"/>
  <c r="BK42" i="3"/>
  <c r="BL42" i="3"/>
  <c r="BM42" i="3"/>
  <c r="BN42" i="3"/>
  <c r="BP42" i="3"/>
  <c r="BQ42" i="3"/>
  <c r="BR42" i="3"/>
  <c r="BS42" i="3"/>
  <c r="BT42" i="3"/>
  <c r="BV42" i="3"/>
  <c r="BW42" i="3"/>
  <c r="BX42" i="3"/>
  <c r="BY42" i="3"/>
  <c r="BZ42" i="3"/>
  <c r="CB42" i="3"/>
  <c r="CC42" i="3"/>
  <c r="CD42" i="3"/>
  <c r="CE42" i="3"/>
  <c r="CF42" i="3"/>
  <c r="CH42" i="3"/>
  <c r="CI42" i="3"/>
  <c r="CJ42" i="3"/>
  <c r="CK42" i="3"/>
  <c r="CL42" i="3"/>
  <c r="CN42" i="3"/>
  <c r="CO42" i="3"/>
  <c r="CP42" i="3"/>
  <c r="CQ42" i="3"/>
  <c r="CR42" i="3"/>
  <c r="CT42" i="3"/>
  <c r="CU42" i="3"/>
  <c r="CV42" i="3"/>
  <c r="CW42" i="3"/>
  <c r="CX42" i="3"/>
  <c r="CZ42" i="3"/>
  <c r="DA42" i="3"/>
  <c r="DB42" i="3"/>
  <c r="DC42" i="3"/>
  <c r="DD42" i="3"/>
  <c r="DF42" i="3"/>
  <c r="DG42" i="3"/>
  <c r="DH42" i="3"/>
  <c r="DI42" i="3"/>
  <c r="DJ42" i="3"/>
  <c r="DL42" i="3"/>
  <c r="DM42" i="3"/>
  <c r="DN42" i="3"/>
  <c r="DO42" i="3"/>
  <c r="DP42" i="3"/>
  <c r="DR42" i="3"/>
  <c r="DS42" i="3"/>
  <c r="DT42" i="3"/>
  <c r="DU42" i="3"/>
  <c r="DV42" i="3"/>
  <c r="DX42" i="3"/>
  <c r="DY42" i="3"/>
  <c r="DZ42" i="3"/>
  <c r="EA42" i="3"/>
  <c r="EB42" i="3"/>
  <c r="ED42" i="3"/>
  <c r="EE42" i="3"/>
  <c r="EF42" i="3"/>
  <c r="EG42" i="3"/>
  <c r="EH42" i="3"/>
  <c r="EJ42" i="3"/>
  <c r="EK42" i="3"/>
  <c r="EL42" i="3"/>
  <c r="EM42" i="3"/>
  <c r="EN42" i="3"/>
  <c r="EP42" i="3"/>
  <c r="EQ42" i="3"/>
  <c r="ER42" i="3"/>
  <c r="ES42" i="3"/>
  <c r="ET42" i="3"/>
  <c r="EV42" i="3"/>
  <c r="EW42" i="3"/>
  <c r="EX42" i="3"/>
  <c r="EY42" i="3"/>
  <c r="EZ42" i="3"/>
  <c r="FB42" i="3"/>
  <c r="FC42" i="3"/>
  <c r="FD42" i="3"/>
  <c r="FE42" i="3"/>
  <c r="FF42" i="3"/>
  <c r="FH42" i="3"/>
  <c r="FI42" i="3"/>
  <c r="FJ42" i="3"/>
  <c r="FK42" i="3"/>
  <c r="FL42" i="3"/>
  <c r="FM42" i="3" s="1"/>
  <c r="FN42" i="3"/>
  <c r="FO42" i="3"/>
  <c r="FP42" i="3"/>
  <c r="FQ42" i="3"/>
  <c r="FR42" i="3"/>
  <c r="FT42" i="3"/>
  <c r="FU42" i="3"/>
  <c r="FV42" i="3"/>
  <c r="FW42" i="3"/>
  <c r="FX42" i="3"/>
  <c r="FZ42" i="3"/>
  <c r="GA42" i="3"/>
  <c r="GB42" i="3"/>
  <c r="GC42" i="3"/>
  <c r="GD42" i="3"/>
  <c r="GF42" i="3"/>
  <c r="GG42" i="3"/>
  <c r="GH42" i="3"/>
  <c r="GI42" i="3"/>
  <c r="GJ42" i="3"/>
  <c r="GL42" i="3"/>
  <c r="GM42" i="3"/>
  <c r="GN42" i="3"/>
  <c r="A43" i="3"/>
  <c r="B43" i="3"/>
  <c r="C43" i="3"/>
  <c r="D43" i="3"/>
  <c r="E43" i="3"/>
  <c r="F43" i="3"/>
  <c r="H43" i="3"/>
  <c r="I43" i="3"/>
  <c r="J43" i="3"/>
  <c r="K43" i="3"/>
  <c r="L43" i="3"/>
  <c r="N43" i="3"/>
  <c r="O43" i="3"/>
  <c r="P43" i="3"/>
  <c r="Q43" i="3"/>
  <c r="R43" i="3"/>
  <c r="T43" i="3"/>
  <c r="U43" i="3"/>
  <c r="V43" i="3"/>
  <c r="W43" i="3"/>
  <c r="X43" i="3"/>
  <c r="Z43" i="3"/>
  <c r="AA43" i="3"/>
  <c r="AB43" i="3"/>
  <c r="AC43" i="3"/>
  <c r="AD43" i="3"/>
  <c r="AF43" i="3"/>
  <c r="AG43" i="3"/>
  <c r="AH43" i="3"/>
  <c r="AI43" i="3"/>
  <c r="AJ43" i="3"/>
  <c r="AL43" i="3"/>
  <c r="AM43" i="3"/>
  <c r="AN43" i="3"/>
  <c r="AO43" i="3"/>
  <c r="AP43" i="3"/>
  <c r="AR43" i="3"/>
  <c r="AS43" i="3"/>
  <c r="AT43" i="3"/>
  <c r="AU43" i="3"/>
  <c r="AV43" i="3"/>
  <c r="AW43" i="3" s="1"/>
  <c r="AX43" i="3"/>
  <c r="AY43" i="3"/>
  <c r="AZ43" i="3"/>
  <c r="BA43" i="3"/>
  <c r="BB43" i="3"/>
  <c r="BD43" i="3"/>
  <c r="BE43" i="3"/>
  <c r="BF43" i="3"/>
  <c r="BG43" i="3"/>
  <c r="BH43" i="3"/>
  <c r="BJ43" i="3"/>
  <c r="BK43" i="3"/>
  <c r="BL43" i="3"/>
  <c r="BM43" i="3"/>
  <c r="BN43" i="3"/>
  <c r="BP43" i="3"/>
  <c r="BQ43" i="3"/>
  <c r="BR43" i="3"/>
  <c r="BS43" i="3"/>
  <c r="BT43" i="3"/>
  <c r="BV43" i="3"/>
  <c r="BW43" i="3"/>
  <c r="BX43" i="3"/>
  <c r="BY43" i="3"/>
  <c r="BZ43" i="3"/>
  <c r="CB43" i="3"/>
  <c r="CC43" i="3"/>
  <c r="CD43" i="3"/>
  <c r="CE43" i="3"/>
  <c r="CF43" i="3"/>
  <c r="CH43" i="3"/>
  <c r="CI43" i="3"/>
  <c r="CJ43" i="3"/>
  <c r="CK43" i="3"/>
  <c r="CL43" i="3"/>
  <c r="CN43" i="3"/>
  <c r="CO43" i="3"/>
  <c r="CP43" i="3"/>
  <c r="CQ43" i="3"/>
  <c r="CR43" i="3"/>
  <c r="CT43" i="3"/>
  <c r="CU43" i="3"/>
  <c r="CV43" i="3"/>
  <c r="CW43" i="3"/>
  <c r="CX43" i="3"/>
  <c r="CZ43" i="3"/>
  <c r="DA43" i="3"/>
  <c r="DB43" i="3"/>
  <c r="DC43" i="3"/>
  <c r="DD43" i="3"/>
  <c r="DF43" i="3"/>
  <c r="DG43" i="3"/>
  <c r="DH43" i="3"/>
  <c r="DI43" i="3"/>
  <c r="DJ43" i="3"/>
  <c r="DL43" i="3"/>
  <c r="DM43" i="3"/>
  <c r="DN43" i="3"/>
  <c r="DO43" i="3"/>
  <c r="DP43" i="3"/>
  <c r="DR43" i="3"/>
  <c r="DS43" i="3"/>
  <c r="DT43" i="3"/>
  <c r="DU43" i="3"/>
  <c r="DV43" i="3"/>
  <c r="DX43" i="3"/>
  <c r="DY43" i="3"/>
  <c r="DZ43" i="3"/>
  <c r="EA43" i="3"/>
  <c r="EB43" i="3"/>
  <c r="ED43" i="3"/>
  <c r="EE43" i="3"/>
  <c r="EF43" i="3"/>
  <c r="EG43" i="3"/>
  <c r="EH43" i="3"/>
  <c r="EJ43" i="3"/>
  <c r="EK43" i="3"/>
  <c r="EL43" i="3"/>
  <c r="EM43" i="3"/>
  <c r="EN43" i="3"/>
  <c r="EO43" i="3" s="1"/>
  <c r="EP43" i="3"/>
  <c r="EQ43" i="3"/>
  <c r="ER43" i="3"/>
  <c r="ES43" i="3"/>
  <c r="ET43" i="3"/>
  <c r="EV43" i="3"/>
  <c r="EW43" i="3"/>
  <c r="EX43" i="3"/>
  <c r="EY43" i="3"/>
  <c r="EZ43" i="3"/>
  <c r="FB43" i="3"/>
  <c r="FC43" i="3"/>
  <c r="FD43" i="3"/>
  <c r="FE43" i="3"/>
  <c r="FF43" i="3"/>
  <c r="FH43" i="3"/>
  <c r="FI43" i="3"/>
  <c r="FJ43" i="3"/>
  <c r="FK43" i="3"/>
  <c r="FL43" i="3"/>
  <c r="FN43" i="3"/>
  <c r="FO43" i="3"/>
  <c r="FP43" i="3"/>
  <c r="FQ43" i="3"/>
  <c r="FR43" i="3"/>
  <c r="FT43" i="3"/>
  <c r="FU43" i="3"/>
  <c r="FV43" i="3"/>
  <c r="FW43" i="3"/>
  <c r="FX43" i="3"/>
  <c r="FZ43" i="3"/>
  <c r="GA43" i="3"/>
  <c r="GB43" i="3"/>
  <c r="GC43" i="3"/>
  <c r="GD43" i="3"/>
  <c r="GF43" i="3"/>
  <c r="GG43" i="3"/>
  <c r="GH43" i="3"/>
  <c r="GI43" i="3"/>
  <c r="GJ43" i="3"/>
  <c r="GL43" i="3"/>
  <c r="GM43" i="3"/>
  <c r="GN43" i="3"/>
  <c r="A44" i="3"/>
  <c r="B44" i="3"/>
  <c r="C44" i="3"/>
  <c r="D44" i="3"/>
  <c r="E44" i="3"/>
  <c r="F44" i="3"/>
  <c r="H44" i="3"/>
  <c r="I44" i="3"/>
  <c r="J44" i="3"/>
  <c r="K44" i="3"/>
  <c r="L44" i="3"/>
  <c r="N44" i="3"/>
  <c r="O44" i="3"/>
  <c r="P44" i="3"/>
  <c r="Q44" i="3"/>
  <c r="R44" i="3"/>
  <c r="T44" i="3"/>
  <c r="U44" i="3"/>
  <c r="V44" i="3"/>
  <c r="W44" i="3"/>
  <c r="X44" i="3"/>
  <c r="Z44" i="3"/>
  <c r="AA44" i="3"/>
  <c r="AB44" i="3"/>
  <c r="AC44" i="3"/>
  <c r="AD44" i="3"/>
  <c r="AF44" i="3"/>
  <c r="AG44" i="3"/>
  <c r="AH44" i="3"/>
  <c r="AI44" i="3"/>
  <c r="AJ44" i="3"/>
  <c r="AL44" i="3"/>
  <c r="AM44" i="3"/>
  <c r="AN44" i="3"/>
  <c r="AO44" i="3"/>
  <c r="AP44" i="3"/>
  <c r="AR44" i="3"/>
  <c r="AS44" i="3"/>
  <c r="AT44" i="3"/>
  <c r="AU44" i="3"/>
  <c r="AV44" i="3"/>
  <c r="AX44" i="3"/>
  <c r="AY44" i="3"/>
  <c r="AZ44" i="3"/>
  <c r="BA44" i="3"/>
  <c r="BB44" i="3"/>
  <c r="BD44" i="3"/>
  <c r="BE44" i="3"/>
  <c r="BF44" i="3"/>
  <c r="BG44" i="3"/>
  <c r="BH44" i="3"/>
  <c r="BJ44" i="3"/>
  <c r="BK44" i="3"/>
  <c r="BL44" i="3"/>
  <c r="BM44" i="3"/>
  <c r="BN44" i="3"/>
  <c r="BP44" i="3"/>
  <c r="BQ44" i="3"/>
  <c r="BR44" i="3"/>
  <c r="BS44" i="3"/>
  <c r="BT44" i="3"/>
  <c r="BV44" i="3"/>
  <c r="BW44" i="3"/>
  <c r="BX44" i="3"/>
  <c r="BY44" i="3"/>
  <c r="BZ44" i="3"/>
  <c r="CB44" i="3"/>
  <c r="CC44" i="3"/>
  <c r="CD44" i="3"/>
  <c r="CE44" i="3"/>
  <c r="CF44" i="3"/>
  <c r="CH44" i="3"/>
  <c r="CI44" i="3"/>
  <c r="CJ44" i="3"/>
  <c r="CK44" i="3"/>
  <c r="CL44" i="3"/>
  <c r="CN44" i="3"/>
  <c r="CO44" i="3"/>
  <c r="CP44" i="3"/>
  <c r="CQ44" i="3"/>
  <c r="CR44" i="3"/>
  <c r="CT44" i="3"/>
  <c r="CU44" i="3"/>
  <c r="CV44" i="3"/>
  <c r="CW44" i="3"/>
  <c r="CX44" i="3"/>
  <c r="CZ44" i="3"/>
  <c r="DA44" i="3"/>
  <c r="DB44" i="3"/>
  <c r="DC44" i="3"/>
  <c r="DD44" i="3"/>
  <c r="DF44" i="3"/>
  <c r="DG44" i="3"/>
  <c r="DH44" i="3"/>
  <c r="DI44" i="3"/>
  <c r="DJ44" i="3"/>
  <c r="DL44" i="3"/>
  <c r="DM44" i="3"/>
  <c r="DN44" i="3"/>
  <c r="DO44" i="3"/>
  <c r="DP44" i="3"/>
  <c r="DR44" i="3"/>
  <c r="DS44" i="3"/>
  <c r="DT44" i="3"/>
  <c r="DU44" i="3"/>
  <c r="DV44" i="3"/>
  <c r="DX44" i="3"/>
  <c r="DY44" i="3"/>
  <c r="DZ44" i="3"/>
  <c r="EA44" i="3"/>
  <c r="EB44" i="3"/>
  <c r="ED44" i="3"/>
  <c r="EE44" i="3"/>
  <c r="EF44" i="3"/>
  <c r="EG44" i="3"/>
  <c r="EH44" i="3"/>
  <c r="EJ44" i="3"/>
  <c r="EK44" i="3"/>
  <c r="EL44" i="3"/>
  <c r="EM44" i="3"/>
  <c r="EN44" i="3"/>
  <c r="EP44" i="3"/>
  <c r="EQ44" i="3"/>
  <c r="ER44" i="3"/>
  <c r="ES44" i="3"/>
  <c r="ET44" i="3"/>
  <c r="EV44" i="3"/>
  <c r="EW44" i="3"/>
  <c r="EX44" i="3"/>
  <c r="EY44" i="3"/>
  <c r="EZ44" i="3"/>
  <c r="FB44" i="3"/>
  <c r="FC44" i="3"/>
  <c r="FD44" i="3"/>
  <c r="FE44" i="3"/>
  <c r="FF44" i="3"/>
  <c r="FH44" i="3"/>
  <c r="FI44" i="3"/>
  <c r="FJ44" i="3"/>
  <c r="FK44" i="3"/>
  <c r="FL44" i="3"/>
  <c r="FN44" i="3"/>
  <c r="FO44" i="3"/>
  <c r="FP44" i="3"/>
  <c r="FQ44" i="3"/>
  <c r="FR44" i="3"/>
  <c r="FT44" i="3"/>
  <c r="FU44" i="3"/>
  <c r="FV44" i="3"/>
  <c r="FW44" i="3"/>
  <c r="FX44" i="3"/>
  <c r="FZ44" i="3"/>
  <c r="GA44" i="3"/>
  <c r="GB44" i="3"/>
  <c r="GC44" i="3"/>
  <c r="GD44" i="3"/>
  <c r="GF44" i="3"/>
  <c r="GG44" i="3"/>
  <c r="GH44" i="3"/>
  <c r="GI44" i="3"/>
  <c r="GJ44" i="3"/>
  <c r="GL44" i="3"/>
  <c r="GM44" i="3"/>
  <c r="GN44" i="3"/>
  <c r="A45" i="3"/>
  <c r="B45" i="3"/>
  <c r="C45" i="3"/>
  <c r="D45" i="3"/>
  <c r="E45" i="3"/>
  <c r="F45" i="3"/>
  <c r="H45" i="3"/>
  <c r="I45" i="3"/>
  <c r="J45" i="3"/>
  <c r="K45" i="3"/>
  <c r="L45" i="3"/>
  <c r="N45" i="3"/>
  <c r="O45" i="3"/>
  <c r="P45" i="3"/>
  <c r="Q45" i="3"/>
  <c r="R45" i="3"/>
  <c r="T45" i="3"/>
  <c r="U45" i="3"/>
  <c r="V45" i="3"/>
  <c r="W45" i="3"/>
  <c r="X45" i="3"/>
  <c r="Z45" i="3"/>
  <c r="AA45" i="3"/>
  <c r="AB45" i="3"/>
  <c r="AC45" i="3"/>
  <c r="AD45" i="3"/>
  <c r="AF45" i="3"/>
  <c r="AG45" i="3"/>
  <c r="AH45" i="3"/>
  <c r="AI45" i="3"/>
  <c r="AJ45" i="3"/>
  <c r="AL45" i="3"/>
  <c r="AM45" i="3"/>
  <c r="AN45" i="3"/>
  <c r="AO45" i="3"/>
  <c r="AP45" i="3"/>
  <c r="AR45" i="3"/>
  <c r="AS45" i="3"/>
  <c r="AT45" i="3"/>
  <c r="AU45" i="3"/>
  <c r="AV45" i="3"/>
  <c r="AX45" i="3"/>
  <c r="AY45" i="3"/>
  <c r="AZ45" i="3"/>
  <c r="BA45" i="3"/>
  <c r="BB45" i="3"/>
  <c r="BD45" i="3"/>
  <c r="BE45" i="3"/>
  <c r="BF45" i="3"/>
  <c r="BG45" i="3"/>
  <c r="BH45" i="3"/>
  <c r="BJ45" i="3"/>
  <c r="BK45" i="3"/>
  <c r="BL45" i="3"/>
  <c r="BM45" i="3"/>
  <c r="BN45" i="3"/>
  <c r="BP45" i="3"/>
  <c r="BQ45" i="3"/>
  <c r="BR45" i="3"/>
  <c r="BS45" i="3"/>
  <c r="BT45" i="3"/>
  <c r="BV45" i="3"/>
  <c r="BW45" i="3"/>
  <c r="BX45" i="3"/>
  <c r="BY45" i="3"/>
  <c r="BZ45" i="3"/>
  <c r="CB45" i="3"/>
  <c r="CC45" i="3"/>
  <c r="CD45" i="3"/>
  <c r="CE45" i="3"/>
  <c r="CF45" i="3"/>
  <c r="CH45" i="3"/>
  <c r="CI45" i="3"/>
  <c r="CJ45" i="3"/>
  <c r="CK45" i="3"/>
  <c r="CL45" i="3"/>
  <c r="CN45" i="3"/>
  <c r="CO45" i="3"/>
  <c r="CP45" i="3"/>
  <c r="CQ45" i="3"/>
  <c r="CR45" i="3"/>
  <c r="CT45" i="3"/>
  <c r="CU45" i="3"/>
  <c r="CV45" i="3"/>
  <c r="CW45" i="3"/>
  <c r="CX45" i="3"/>
  <c r="CZ45" i="3"/>
  <c r="DA45" i="3"/>
  <c r="DB45" i="3"/>
  <c r="DC45" i="3"/>
  <c r="DD45" i="3"/>
  <c r="DF45" i="3"/>
  <c r="DG45" i="3"/>
  <c r="DH45" i="3"/>
  <c r="DI45" i="3"/>
  <c r="DJ45" i="3"/>
  <c r="DL45" i="3"/>
  <c r="DM45" i="3"/>
  <c r="DN45" i="3"/>
  <c r="DO45" i="3"/>
  <c r="DP45" i="3"/>
  <c r="DR45" i="3"/>
  <c r="DS45" i="3"/>
  <c r="DT45" i="3"/>
  <c r="DU45" i="3"/>
  <c r="DV45" i="3"/>
  <c r="DX45" i="3"/>
  <c r="DY45" i="3"/>
  <c r="DZ45" i="3"/>
  <c r="EA45" i="3"/>
  <c r="EB45" i="3"/>
  <c r="ED45" i="3"/>
  <c r="EE45" i="3"/>
  <c r="EF45" i="3"/>
  <c r="EG45" i="3"/>
  <c r="EH45" i="3"/>
  <c r="EJ45" i="3"/>
  <c r="EK45" i="3"/>
  <c r="EL45" i="3"/>
  <c r="EM45" i="3"/>
  <c r="EN45" i="3"/>
  <c r="EP45" i="3"/>
  <c r="EQ45" i="3"/>
  <c r="ER45" i="3"/>
  <c r="ES45" i="3"/>
  <c r="ET45" i="3"/>
  <c r="EV45" i="3"/>
  <c r="EW45" i="3"/>
  <c r="EX45" i="3"/>
  <c r="EY45" i="3"/>
  <c r="EZ45" i="3"/>
  <c r="FB45" i="3"/>
  <c r="FC45" i="3"/>
  <c r="FD45" i="3"/>
  <c r="FE45" i="3"/>
  <c r="FF45" i="3"/>
  <c r="FH45" i="3"/>
  <c r="FI45" i="3"/>
  <c r="FJ45" i="3"/>
  <c r="FK45" i="3"/>
  <c r="FL45" i="3"/>
  <c r="FN45" i="3"/>
  <c r="FO45" i="3"/>
  <c r="FP45" i="3"/>
  <c r="FQ45" i="3"/>
  <c r="FR45" i="3"/>
  <c r="FT45" i="3"/>
  <c r="FU45" i="3"/>
  <c r="FV45" i="3"/>
  <c r="FW45" i="3"/>
  <c r="FX45" i="3"/>
  <c r="FZ45" i="3"/>
  <c r="GA45" i="3"/>
  <c r="GB45" i="3"/>
  <c r="GC45" i="3"/>
  <c r="GD45" i="3"/>
  <c r="GF45" i="3"/>
  <c r="GG45" i="3"/>
  <c r="GH45" i="3"/>
  <c r="GI45" i="3"/>
  <c r="GJ45" i="3"/>
  <c r="GL45" i="3"/>
  <c r="GM45" i="3"/>
  <c r="GN45" i="3"/>
  <c r="A46" i="3"/>
  <c r="B46" i="3"/>
  <c r="C46" i="3"/>
  <c r="D46" i="3"/>
  <c r="E46" i="3"/>
  <c r="F46" i="3"/>
  <c r="H46" i="3"/>
  <c r="I46" i="3"/>
  <c r="J46" i="3"/>
  <c r="K46" i="3"/>
  <c r="L46" i="3"/>
  <c r="N46" i="3"/>
  <c r="O46" i="3"/>
  <c r="P46" i="3"/>
  <c r="Q46" i="3"/>
  <c r="R46" i="3"/>
  <c r="T46" i="3"/>
  <c r="U46" i="3"/>
  <c r="V46" i="3"/>
  <c r="W46" i="3"/>
  <c r="X46" i="3"/>
  <c r="Z46" i="3"/>
  <c r="AA46" i="3"/>
  <c r="AB46" i="3"/>
  <c r="AC46" i="3"/>
  <c r="AD46" i="3"/>
  <c r="AF46" i="3"/>
  <c r="AG46" i="3"/>
  <c r="AH46" i="3"/>
  <c r="AI46" i="3"/>
  <c r="AJ46" i="3"/>
  <c r="AL46" i="3"/>
  <c r="AM46" i="3"/>
  <c r="AN46" i="3"/>
  <c r="AO46" i="3"/>
  <c r="AP46" i="3"/>
  <c r="AR46" i="3"/>
  <c r="AS46" i="3"/>
  <c r="AT46" i="3"/>
  <c r="AU46" i="3"/>
  <c r="AV46" i="3"/>
  <c r="AX46" i="3"/>
  <c r="AY46" i="3"/>
  <c r="AZ46" i="3"/>
  <c r="BA46" i="3"/>
  <c r="BB46" i="3"/>
  <c r="BD46" i="3"/>
  <c r="BE46" i="3"/>
  <c r="BF46" i="3"/>
  <c r="BG46" i="3"/>
  <c r="BH46" i="3"/>
  <c r="BJ46" i="3"/>
  <c r="BK46" i="3"/>
  <c r="BL46" i="3"/>
  <c r="BM46" i="3"/>
  <c r="BN46" i="3"/>
  <c r="BP46" i="3"/>
  <c r="BQ46" i="3"/>
  <c r="BR46" i="3"/>
  <c r="BS46" i="3"/>
  <c r="BT46" i="3"/>
  <c r="BV46" i="3"/>
  <c r="BW46" i="3"/>
  <c r="BX46" i="3"/>
  <c r="BY46" i="3"/>
  <c r="BZ46" i="3"/>
  <c r="CB46" i="3"/>
  <c r="CC46" i="3"/>
  <c r="CD46" i="3"/>
  <c r="CE46" i="3"/>
  <c r="CF46" i="3"/>
  <c r="CH46" i="3"/>
  <c r="CI46" i="3"/>
  <c r="CJ46" i="3"/>
  <c r="CK46" i="3"/>
  <c r="CL46" i="3"/>
  <c r="CN46" i="3"/>
  <c r="CO46" i="3"/>
  <c r="CP46" i="3"/>
  <c r="CQ46" i="3"/>
  <c r="CR46" i="3"/>
  <c r="CT46" i="3"/>
  <c r="CU46" i="3"/>
  <c r="CV46" i="3"/>
  <c r="CW46" i="3"/>
  <c r="CX46" i="3"/>
  <c r="CZ46" i="3"/>
  <c r="DA46" i="3"/>
  <c r="DB46" i="3"/>
  <c r="DC46" i="3"/>
  <c r="DD46" i="3"/>
  <c r="DF46" i="3"/>
  <c r="DG46" i="3"/>
  <c r="DH46" i="3"/>
  <c r="DI46" i="3"/>
  <c r="DJ46" i="3"/>
  <c r="DL46" i="3"/>
  <c r="DM46" i="3"/>
  <c r="DN46" i="3"/>
  <c r="DO46" i="3"/>
  <c r="DP46" i="3"/>
  <c r="DR46" i="3"/>
  <c r="DS46" i="3"/>
  <c r="DT46" i="3"/>
  <c r="DU46" i="3"/>
  <c r="DV46" i="3"/>
  <c r="DX46" i="3"/>
  <c r="DY46" i="3"/>
  <c r="DZ46" i="3"/>
  <c r="EA46" i="3"/>
  <c r="EB46" i="3"/>
  <c r="ED46" i="3"/>
  <c r="EE46" i="3"/>
  <c r="EF46" i="3"/>
  <c r="EG46" i="3"/>
  <c r="EH46" i="3"/>
  <c r="EJ46" i="3"/>
  <c r="EK46" i="3"/>
  <c r="EL46" i="3"/>
  <c r="EM46" i="3"/>
  <c r="EN46" i="3"/>
  <c r="EP46" i="3"/>
  <c r="EQ46" i="3"/>
  <c r="ER46" i="3"/>
  <c r="ES46" i="3"/>
  <c r="ET46" i="3"/>
  <c r="EV46" i="3"/>
  <c r="EW46" i="3"/>
  <c r="EX46" i="3"/>
  <c r="EY46" i="3"/>
  <c r="EZ46" i="3"/>
  <c r="FB46" i="3"/>
  <c r="FC46" i="3"/>
  <c r="FD46" i="3"/>
  <c r="FE46" i="3"/>
  <c r="FF46" i="3"/>
  <c r="FH46" i="3"/>
  <c r="FI46" i="3"/>
  <c r="FJ46" i="3"/>
  <c r="FK46" i="3"/>
  <c r="FL46" i="3"/>
  <c r="FN46" i="3"/>
  <c r="FO46" i="3"/>
  <c r="FP46" i="3"/>
  <c r="FQ46" i="3"/>
  <c r="FR46" i="3"/>
  <c r="FT46" i="3"/>
  <c r="FU46" i="3"/>
  <c r="FV46" i="3"/>
  <c r="FW46" i="3"/>
  <c r="FX46" i="3"/>
  <c r="FZ46" i="3"/>
  <c r="GA46" i="3"/>
  <c r="GB46" i="3"/>
  <c r="GC46" i="3"/>
  <c r="GD46" i="3"/>
  <c r="GF46" i="3"/>
  <c r="GG46" i="3"/>
  <c r="GH46" i="3"/>
  <c r="GI46" i="3"/>
  <c r="GJ46" i="3"/>
  <c r="GL46" i="3"/>
  <c r="GM46" i="3"/>
  <c r="GN46" i="3"/>
  <c r="A47" i="3"/>
  <c r="B47" i="3"/>
  <c r="C47" i="3"/>
  <c r="D47" i="3"/>
  <c r="E47" i="3"/>
  <c r="F47" i="3"/>
  <c r="H47" i="3"/>
  <c r="I47" i="3"/>
  <c r="J47" i="3"/>
  <c r="K47" i="3"/>
  <c r="L47" i="3"/>
  <c r="N47" i="3"/>
  <c r="O47" i="3"/>
  <c r="P47" i="3"/>
  <c r="Q47" i="3"/>
  <c r="R47" i="3"/>
  <c r="T47" i="3"/>
  <c r="U47" i="3"/>
  <c r="V47" i="3"/>
  <c r="W47" i="3"/>
  <c r="X47" i="3"/>
  <c r="Z47" i="3"/>
  <c r="AA47" i="3"/>
  <c r="AB47" i="3"/>
  <c r="AC47" i="3"/>
  <c r="AD47" i="3"/>
  <c r="AF47" i="3"/>
  <c r="AG47" i="3"/>
  <c r="AH47" i="3"/>
  <c r="AI47" i="3"/>
  <c r="AJ47" i="3"/>
  <c r="AL47" i="3"/>
  <c r="AM47" i="3"/>
  <c r="AN47" i="3"/>
  <c r="AO47" i="3"/>
  <c r="AP47" i="3"/>
  <c r="AR47" i="3"/>
  <c r="AS47" i="3"/>
  <c r="AT47" i="3"/>
  <c r="AU47" i="3"/>
  <c r="AV47" i="3"/>
  <c r="AX47" i="3"/>
  <c r="AY47" i="3"/>
  <c r="AZ47" i="3"/>
  <c r="BA47" i="3"/>
  <c r="BB47" i="3"/>
  <c r="BD47" i="3"/>
  <c r="BE47" i="3"/>
  <c r="BF47" i="3"/>
  <c r="BG47" i="3"/>
  <c r="BH47" i="3"/>
  <c r="BJ47" i="3"/>
  <c r="BK47" i="3"/>
  <c r="BL47" i="3"/>
  <c r="BM47" i="3"/>
  <c r="BN47" i="3"/>
  <c r="BP47" i="3"/>
  <c r="BQ47" i="3"/>
  <c r="BR47" i="3"/>
  <c r="BS47" i="3"/>
  <c r="BT47" i="3"/>
  <c r="BV47" i="3"/>
  <c r="BW47" i="3"/>
  <c r="BX47" i="3"/>
  <c r="BY47" i="3"/>
  <c r="BZ47" i="3"/>
  <c r="CB47" i="3"/>
  <c r="CC47" i="3"/>
  <c r="CD47" i="3"/>
  <c r="CE47" i="3"/>
  <c r="CF47" i="3"/>
  <c r="CH47" i="3"/>
  <c r="CI47" i="3"/>
  <c r="CJ47" i="3"/>
  <c r="CK47" i="3"/>
  <c r="CL47" i="3"/>
  <c r="CN47" i="3"/>
  <c r="CO47" i="3"/>
  <c r="CP47" i="3"/>
  <c r="CQ47" i="3"/>
  <c r="CR47" i="3"/>
  <c r="CT47" i="3"/>
  <c r="CU47" i="3"/>
  <c r="CV47" i="3"/>
  <c r="CW47" i="3"/>
  <c r="CX47" i="3"/>
  <c r="CZ47" i="3"/>
  <c r="DA47" i="3"/>
  <c r="DB47" i="3"/>
  <c r="DC47" i="3"/>
  <c r="DD47" i="3"/>
  <c r="DF47" i="3"/>
  <c r="DG47" i="3"/>
  <c r="DH47" i="3"/>
  <c r="DI47" i="3"/>
  <c r="DJ47" i="3"/>
  <c r="DL47" i="3"/>
  <c r="DM47" i="3"/>
  <c r="DN47" i="3"/>
  <c r="DO47" i="3"/>
  <c r="DP47" i="3"/>
  <c r="DR47" i="3"/>
  <c r="DS47" i="3"/>
  <c r="DT47" i="3"/>
  <c r="DU47" i="3"/>
  <c r="DV47" i="3"/>
  <c r="DX47" i="3"/>
  <c r="DY47" i="3"/>
  <c r="DZ47" i="3"/>
  <c r="EA47" i="3"/>
  <c r="EB47" i="3"/>
  <c r="ED47" i="3"/>
  <c r="EE47" i="3"/>
  <c r="EF47" i="3"/>
  <c r="EG47" i="3"/>
  <c r="EH47" i="3"/>
  <c r="EJ47" i="3"/>
  <c r="EK47" i="3"/>
  <c r="EL47" i="3"/>
  <c r="EM47" i="3"/>
  <c r="EN47" i="3"/>
  <c r="EP47" i="3"/>
  <c r="EQ47" i="3"/>
  <c r="ER47" i="3"/>
  <c r="ES47" i="3"/>
  <c r="ET47" i="3"/>
  <c r="EV47" i="3"/>
  <c r="EW47" i="3"/>
  <c r="EX47" i="3"/>
  <c r="EY47" i="3"/>
  <c r="EZ47" i="3"/>
  <c r="FB47" i="3"/>
  <c r="FC47" i="3"/>
  <c r="FD47" i="3"/>
  <c r="FE47" i="3"/>
  <c r="FF47" i="3"/>
  <c r="FH47" i="3"/>
  <c r="FI47" i="3"/>
  <c r="FJ47" i="3"/>
  <c r="FK47" i="3"/>
  <c r="FL47" i="3"/>
  <c r="FN47" i="3"/>
  <c r="FO47" i="3"/>
  <c r="FP47" i="3"/>
  <c r="FQ47" i="3"/>
  <c r="FR47" i="3"/>
  <c r="FT47" i="3"/>
  <c r="FU47" i="3"/>
  <c r="FV47" i="3"/>
  <c r="FW47" i="3"/>
  <c r="FX47" i="3"/>
  <c r="FZ47" i="3"/>
  <c r="GA47" i="3"/>
  <c r="GB47" i="3"/>
  <c r="GC47" i="3"/>
  <c r="GD47" i="3"/>
  <c r="GF47" i="3"/>
  <c r="GG47" i="3"/>
  <c r="GH47" i="3"/>
  <c r="GI47" i="3"/>
  <c r="GJ47" i="3"/>
  <c r="GL47" i="3"/>
  <c r="GM47" i="3"/>
  <c r="GN47" i="3"/>
  <c r="A48" i="3"/>
  <c r="B48" i="3"/>
  <c r="C48" i="3"/>
  <c r="D48" i="3"/>
  <c r="E48" i="3"/>
  <c r="F48" i="3"/>
  <c r="H48" i="3"/>
  <c r="I48" i="3"/>
  <c r="J48" i="3"/>
  <c r="K48" i="3"/>
  <c r="L48" i="3"/>
  <c r="N48" i="3"/>
  <c r="O48" i="3"/>
  <c r="P48" i="3"/>
  <c r="Q48" i="3"/>
  <c r="R48" i="3"/>
  <c r="T48" i="3"/>
  <c r="U48" i="3"/>
  <c r="V48" i="3"/>
  <c r="W48" i="3"/>
  <c r="X48" i="3"/>
  <c r="Z48" i="3"/>
  <c r="AA48" i="3"/>
  <c r="AB48" i="3"/>
  <c r="AC48" i="3"/>
  <c r="AD48" i="3"/>
  <c r="AF48" i="3"/>
  <c r="AG48" i="3"/>
  <c r="AH48" i="3"/>
  <c r="AI48" i="3"/>
  <c r="AJ48" i="3"/>
  <c r="AL48" i="3"/>
  <c r="AM48" i="3"/>
  <c r="AN48" i="3"/>
  <c r="AO48" i="3"/>
  <c r="AP48" i="3"/>
  <c r="AR48" i="3"/>
  <c r="AS48" i="3"/>
  <c r="AT48" i="3"/>
  <c r="AU48" i="3"/>
  <c r="AV48" i="3"/>
  <c r="AX48" i="3"/>
  <c r="AY48" i="3"/>
  <c r="AZ48" i="3"/>
  <c r="BA48" i="3"/>
  <c r="BB48" i="3"/>
  <c r="BD48" i="3"/>
  <c r="BE48" i="3"/>
  <c r="BF48" i="3"/>
  <c r="BG48" i="3"/>
  <c r="BH48" i="3"/>
  <c r="BJ48" i="3"/>
  <c r="BK48" i="3"/>
  <c r="BL48" i="3"/>
  <c r="BM48" i="3"/>
  <c r="BN48" i="3"/>
  <c r="BP48" i="3"/>
  <c r="BQ48" i="3"/>
  <c r="BR48" i="3"/>
  <c r="BS48" i="3"/>
  <c r="BT48" i="3"/>
  <c r="BV48" i="3"/>
  <c r="BW48" i="3"/>
  <c r="BX48" i="3"/>
  <c r="BY48" i="3"/>
  <c r="BZ48" i="3"/>
  <c r="CB48" i="3"/>
  <c r="CC48" i="3"/>
  <c r="CD48" i="3"/>
  <c r="CE48" i="3"/>
  <c r="CF48" i="3"/>
  <c r="CH48" i="3"/>
  <c r="CI48" i="3"/>
  <c r="CJ48" i="3"/>
  <c r="CK48" i="3"/>
  <c r="CL48" i="3"/>
  <c r="CN48" i="3"/>
  <c r="CO48" i="3"/>
  <c r="CP48" i="3"/>
  <c r="CQ48" i="3"/>
  <c r="CR48" i="3"/>
  <c r="CT48" i="3"/>
  <c r="CU48" i="3"/>
  <c r="CV48" i="3"/>
  <c r="CW48" i="3"/>
  <c r="CX48" i="3"/>
  <c r="CZ48" i="3"/>
  <c r="DA48" i="3"/>
  <c r="DB48" i="3"/>
  <c r="DC48" i="3"/>
  <c r="DD48" i="3"/>
  <c r="DF48" i="3"/>
  <c r="DG48" i="3"/>
  <c r="DH48" i="3"/>
  <c r="DI48" i="3"/>
  <c r="DJ48" i="3"/>
  <c r="DL48" i="3"/>
  <c r="DM48" i="3"/>
  <c r="DN48" i="3"/>
  <c r="DO48" i="3"/>
  <c r="DP48" i="3"/>
  <c r="DR48" i="3"/>
  <c r="DS48" i="3"/>
  <c r="DT48" i="3"/>
  <c r="DU48" i="3"/>
  <c r="DV48" i="3"/>
  <c r="DX48" i="3"/>
  <c r="DY48" i="3"/>
  <c r="DZ48" i="3"/>
  <c r="EA48" i="3"/>
  <c r="EB48" i="3"/>
  <c r="ED48" i="3"/>
  <c r="EE48" i="3"/>
  <c r="EF48" i="3"/>
  <c r="EG48" i="3"/>
  <c r="EH48" i="3"/>
  <c r="EJ48" i="3"/>
  <c r="EK48" i="3"/>
  <c r="EL48" i="3"/>
  <c r="EM48" i="3"/>
  <c r="EN48" i="3"/>
  <c r="EP48" i="3"/>
  <c r="EQ48" i="3"/>
  <c r="ER48" i="3"/>
  <c r="ES48" i="3"/>
  <c r="ET48" i="3"/>
  <c r="EV48" i="3"/>
  <c r="EW48" i="3"/>
  <c r="EX48" i="3"/>
  <c r="EY48" i="3"/>
  <c r="EZ48" i="3"/>
  <c r="FB48" i="3"/>
  <c r="FC48" i="3"/>
  <c r="FD48" i="3"/>
  <c r="FE48" i="3"/>
  <c r="FF48" i="3"/>
  <c r="FH48" i="3"/>
  <c r="FI48" i="3"/>
  <c r="FJ48" i="3"/>
  <c r="FK48" i="3"/>
  <c r="FL48" i="3"/>
  <c r="FN48" i="3"/>
  <c r="FO48" i="3"/>
  <c r="FP48" i="3"/>
  <c r="FQ48" i="3"/>
  <c r="FR48" i="3"/>
  <c r="FT48" i="3"/>
  <c r="FU48" i="3"/>
  <c r="FV48" i="3"/>
  <c r="FW48" i="3"/>
  <c r="FX48" i="3"/>
  <c r="FZ48" i="3"/>
  <c r="GA48" i="3"/>
  <c r="GB48" i="3"/>
  <c r="GC48" i="3"/>
  <c r="GD48" i="3"/>
  <c r="GF48" i="3"/>
  <c r="GG48" i="3"/>
  <c r="GH48" i="3"/>
  <c r="GI48" i="3"/>
  <c r="GJ48" i="3"/>
  <c r="GL48" i="3"/>
  <c r="GM48" i="3"/>
  <c r="GN48" i="3"/>
  <c r="A49" i="3"/>
  <c r="B49" i="3"/>
  <c r="C49" i="3"/>
  <c r="D49" i="3"/>
  <c r="E49" i="3"/>
  <c r="F49" i="3"/>
  <c r="H49" i="3"/>
  <c r="I49" i="3"/>
  <c r="J49" i="3"/>
  <c r="K49" i="3"/>
  <c r="L49" i="3"/>
  <c r="N49" i="3"/>
  <c r="O49" i="3"/>
  <c r="P49" i="3"/>
  <c r="Q49" i="3"/>
  <c r="R49" i="3"/>
  <c r="T49" i="3"/>
  <c r="U49" i="3"/>
  <c r="V49" i="3"/>
  <c r="W49" i="3"/>
  <c r="X49" i="3"/>
  <c r="Z49" i="3"/>
  <c r="AA49" i="3"/>
  <c r="AB49" i="3"/>
  <c r="AC49" i="3"/>
  <c r="AD49" i="3"/>
  <c r="AF49" i="3"/>
  <c r="AG49" i="3"/>
  <c r="AH49" i="3"/>
  <c r="AI49" i="3"/>
  <c r="AJ49" i="3"/>
  <c r="AL49" i="3"/>
  <c r="AM49" i="3"/>
  <c r="AN49" i="3"/>
  <c r="AO49" i="3"/>
  <c r="AP49" i="3"/>
  <c r="AR49" i="3"/>
  <c r="AS49" i="3"/>
  <c r="AT49" i="3"/>
  <c r="AU49" i="3"/>
  <c r="AV49" i="3"/>
  <c r="AX49" i="3"/>
  <c r="AY49" i="3"/>
  <c r="AZ49" i="3"/>
  <c r="BA49" i="3"/>
  <c r="BB49" i="3"/>
  <c r="BD49" i="3"/>
  <c r="BE49" i="3"/>
  <c r="BF49" i="3"/>
  <c r="BG49" i="3"/>
  <c r="BH49" i="3"/>
  <c r="BJ49" i="3"/>
  <c r="BK49" i="3"/>
  <c r="BL49" i="3"/>
  <c r="BM49" i="3"/>
  <c r="BN49" i="3"/>
  <c r="BP49" i="3"/>
  <c r="BQ49" i="3"/>
  <c r="BR49" i="3"/>
  <c r="BS49" i="3"/>
  <c r="BT49" i="3"/>
  <c r="BV49" i="3"/>
  <c r="BW49" i="3"/>
  <c r="BX49" i="3"/>
  <c r="BY49" i="3"/>
  <c r="BZ49" i="3"/>
  <c r="CB49" i="3"/>
  <c r="CC49" i="3"/>
  <c r="CD49" i="3"/>
  <c r="CE49" i="3"/>
  <c r="CF49" i="3"/>
  <c r="CH49" i="3"/>
  <c r="CI49" i="3"/>
  <c r="CJ49" i="3"/>
  <c r="CK49" i="3"/>
  <c r="CL49" i="3"/>
  <c r="CN49" i="3"/>
  <c r="CO49" i="3"/>
  <c r="CP49" i="3"/>
  <c r="CQ49" i="3"/>
  <c r="CR49" i="3"/>
  <c r="CS49" i="3" s="1"/>
  <c r="CT49" i="3"/>
  <c r="CU49" i="3"/>
  <c r="CV49" i="3"/>
  <c r="CW49" i="3"/>
  <c r="CX49" i="3"/>
  <c r="CZ49" i="3"/>
  <c r="DA49" i="3"/>
  <c r="DB49" i="3"/>
  <c r="DC49" i="3"/>
  <c r="DD49" i="3"/>
  <c r="DF49" i="3"/>
  <c r="DG49" i="3"/>
  <c r="DH49" i="3"/>
  <c r="DI49" i="3"/>
  <c r="DJ49" i="3"/>
  <c r="DL49" i="3"/>
  <c r="DM49" i="3"/>
  <c r="DN49" i="3"/>
  <c r="DO49" i="3"/>
  <c r="DP49" i="3"/>
  <c r="DR49" i="3"/>
  <c r="DS49" i="3"/>
  <c r="DT49" i="3"/>
  <c r="DU49" i="3"/>
  <c r="DV49" i="3"/>
  <c r="DX49" i="3"/>
  <c r="DY49" i="3"/>
  <c r="DZ49" i="3"/>
  <c r="EA49" i="3"/>
  <c r="EB49" i="3"/>
  <c r="ED49" i="3"/>
  <c r="EE49" i="3"/>
  <c r="EF49" i="3"/>
  <c r="EG49" i="3"/>
  <c r="EH49" i="3"/>
  <c r="EJ49" i="3"/>
  <c r="EK49" i="3"/>
  <c r="EL49" i="3"/>
  <c r="EM49" i="3"/>
  <c r="EN49" i="3"/>
  <c r="EP49" i="3"/>
  <c r="EQ49" i="3"/>
  <c r="ER49" i="3"/>
  <c r="ES49" i="3"/>
  <c r="ET49" i="3"/>
  <c r="EV49" i="3"/>
  <c r="EW49" i="3"/>
  <c r="EX49" i="3"/>
  <c r="EY49" i="3"/>
  <c r="EZ49" i="3"/>
  <c r="FB49" i="3"/>
  <c r="FC49" i="3"/>
  <c r="FD49" i="3"/>
  <c r="FE49" i="3"/>
  <c r="FF49" i="3"/>
  <c r="FH49" i="3"/>
  <c r="FI49" i="3"/>
  <c r="FJ49" i="3"/>
  <c r="FK49" i="3"/>
  <c r="FL49" i="3"/>
  <c r="FN49" i="3"/>
  <c r="FO49" i="3"/>
  <c r="FP49" i="3"/>
  <c r="FQ49" i="3"/>
  <c r="FR49" i="3"/>
  <c r="FT49" i="3"/>
  <c r="FU49" i="3"/>
  <c r="FV49" i="3"/>
  <c r="FW49" i="3"/>
  <c r="FX49" i="3"/>
  <c r="FZ49" i="3"/>
  <c r="GA49" i="3"/>
  <c r="GB49" i="3"/>
  <c r="GC49" i="3"/>
  <c r="GD49" i="3"/>
  <c r="GF49" i="3"/>
  <c r="GG49" i="3"/>
  <c r="GH49" i="3"/>
  <c r="GI49" i="3"/>
  <c r="GJ49" i="3"/>
  <c r="GL49" i="3"/>
  <c r="GM49" i="3"/>
  <c r="GN49" i="3"/>
  <c r="A50" i="3"/>
  <c r="B50" i="3"/>
  <c r="C50" i="3"/>
  <c r="D50" i="3"/>
  <c r="E50" i="3"/>
  <c r="F50" i="3"/>
  <c r="H50" i="3"/>
  <c r="I50" i="3"/>
  <c r="J50" i="3"/>
  <c r="K50" i="3"/>
  <c r="L50" i="3"/>
  <c r="N50" i="3"/>
  <c r="O50" i="3"/>
  <c r="P50" i="3"/>
  <c r="Q50" i="3"/>
  <c r="R50" i="3"/>
  <c r="T50" i="3"/>
  <c r="U50" i="3"/>
  <c r="V50" i="3"/>
  <c r="W50" i="3"/>
  <c r="X50" i="3"/>
  <c r="Z50" i="3"/>
  <c r="AA50" i="3"/>
  <c r="AB50" i="3"/>
  <c r="AC50" i="3"/>
  <c r="AD50" i="3"/>
  <c r="AF50" i="3"/>
  <c r="AG50" i="3"/>
  <c r="AH50" i="3"/>
  <c r="AI50" i="3"/>
  <c r="AJ50" i="3"/>
  <c r="AL50" i="3"/>
  <c r="AM50" i="3"/>
  <c r="AN50" i="3"/>
  <c r="AO50" i="3"/>
  <c r="AP50" i="3"/>
  <c r="AR50" i="3"/>
  <c r="AS50" i="3"/>
  <c r="AT50" i="3"/>
  <c r="AU50" i="3"/>
  <c r="AV50" i="3"/>
  <c r="AX50" i="3"/>
  <c r="AY50" i="3"/>
  <c r="AZ50" i="3"/>
  <c r="BA50" i="3"/>
  <c r="BB50" i="3"/>
  <c r="BD50" i="3"/>
  <c r="BE50" i="3"/>
  <c r="BF50" i="3"/>
  <c r="BG50" i="3"/>
  <c r="BH50" i="3"/>
  <c r="BJ50" i="3"/>
  <c r="BK50" i="3"/>
  <c r="BL50" i="3"/>
  <c r="BM50" i="3"/>
  <c r="BN50" i="3"/>
  <c r="BP50" i="3"/>
  <c r="BQ50" i="3"/>
  <c r="BR50" i="3"/>
  <c r="BS50" i="3"/>
  <c r="BT50" i="3"/>
  <c r="BV50" i="3"/>
  <c r="BW50" i="3"/>
  <c r="BX50" i="3"/>
  <c r="BY50" i="3"/>
  <c r="BZ50" i="3"/>
  <c r="CB50" i="3"/>
  <c r="CC50" i="3"/>
  <c r="CD50" i="3"/>
  <c r="CE50" i="3"/>
  <c r="CF50" i="3"/>
  <c r="CH50" i="3"/>
  <c r="CI50" i="3"/>
  <c r="CJ50" i="3"/>
  <c r="CK50" i="3"/>
  <c r="CL50" i="3"/>
  <c r="CN50" i="3"/>
  <c r="CO50" i="3"/>
  <c r="CP50" i="3"/>
  <c r="CQ50" i="3"/>
  <c r="CR50" i="3"/>
  <c r="CT50" i="3"/>
  <c r="CU50" i="3"/>
  <c r="CV50" i="3"/>
  <c r="CW50" i="3"/>
  <c r="CX50" i="3"/>
  <c r="CZ50" i="3"/>
  <c r="DA50" i="3"/>
  <c r="DB50" i="3"/>
  <c r="DC50" i="3"/>
  <c r="DD50" i="3"/>
  <c r="DF50" i="3"/>
  <c r="DG50" i="3"/>
  <c r="DH50" i="3"/>
  <c r="DI50" i="3"/>
  <c r="DJ50" i="3"/>
  <c r="DL50" i="3"/>
  <c r="DM50" i="3"/>
  <c r="DN50" i="3"/>
  <c r="DO50" i="3"/>
  <c r="DP50" i="3"/>
  <c r="DR50" i="3"/>
  <c r="DS50" i="3"/>
  <c r="DT50" i="3"/>
  <c r="DU50" i="3"/>
  <c r="DV50" i="3"/>
  <c r="DX50" i="3"/>
  <c r="DY50" i="3"/>
  <c r="DZ50" i="3"/>
  <c r="EA50" i="3"/>
  <c r="EB50" i="3"/>
  <c r="ED50" i="3"/>
  <c r="EE50" i="3"/>
  <c r="EF50" i="3"/>
  <c r="EG50" i="3"/>
  <c r="EH50" i="3"/>
  <c r="EJ50" i="3"/>
  <c r="EK50" i="3"/>
  <c r="EL50" i="3"/>
  <c r="EM50" i="3"/>
  <c r="EN50" i="3"/>
  <c r="EP50" i="3"/>
  <c r="EQ50" i="3"/>
  <c r="ER50" i="3"/>
  <c r="ES50" i="3"/>
  <c r="ET50" i="3"/>
  <c r="EV50" i="3"/>
  <c r="EW50" i="3"/>
  <c r="EX50" i="3"/>
  <c r="EY50" i="3"/>
  <c r="EZ50" i="3"/>
  <c r="FB50" i="3"/>
  <c r="FC50" i="3"/>
  <c r="FD50" i="3"/>
  <c r="FE50" i="3"/>
  <c r="FF50" i="3"/>
  <c r="FH50" i="3"/>
  <c r="FI50" i="3"/>
  <c r="FJ50" i="3"/>
  <c r="FK50" i="3"/>
  <c r="FL50" i="3"/>
  <c r="FN50" i="3"/>
  <c r="FO50" i="3"/>
  <c r="FP50" i="3"/>
  <c r="FQ50" i="3"/>
  <c r="FR50" i="3"/>
  <c r="FT50" i="3"/>
  <c r="FU50" i="3"/>
  <c r="FV50" i="3"/>
  <c r="FW50" i="3"/>
  <c r="FX50" i="3"/>
  <c r="FZ50" i="3"/>
  <c r="GA50" i="3"/>
  <c r="GB50" i="3"/>
  <c r="GC50" i="3"/>
  <c r="GD50" i="3"/>
  <c r="GF50" i="3"/>
  <c r="GG50" i="3"/>
  <c r="GH50" i="3"/>
  <c r="GI50" i="3"/>
  <c r="GJ50" i="3"/>
  <c r="GL50" i="3"/>
  <c r="GM50" i="3"/>
  <c r="GN50" i="3"/>
  <c r="A51" i="3"/>
  <c r="B51" i="3"/>
  <c r="C51" i="3"/>
  <c r="D51" i="3"/>
  <c r="E51" i="3"/>
  <c r="F51" i="3"/>
  <c r="H51" i="3"/>
  <c r="I51" i="3"/>
  <c r="J51" i="3"/>
  <c r="K51" i="3"/>
  <c r="L51" i="3"/>
  <c r="N51" i="3"/>
  <c r="O51" i="3"/>
  <c r="P51" i="3"/>
  <c r="Q51" i="3"/>
  <c r="R51" i="3"/>
  <c r="T51" i="3"/>
  <c r="U51" i="3"/>
  <c r="V51" i="3"/>
  <c r="W51" i="3"/>
  <c r="X51" i="3"/>
  <c r="Z51" i="3"/>
  <c r="AA51" i="3"/>
  <c r="AB51" i="3"/>
  <c r="AC51" i="3"/>
  <c r="AD51" i="3"/>
  <c r="AF51" i="3"/>
  <c r="AG51" i="3"/>
  <c r="AH51" i="3"/>
  <c r="AI51" i="3"/>
  <c r="AJ51" i="3"/>
  <c r="AL51" i="3"/>
  <c r="AM51" i="3"/>
  <c r="AN51" i="3"/>
  <c r="AO51" i="3"/>
  <c r="AP51" i="3"/>
  <c r="AR51" i="3"/>
  <c r="AS51" i="3"/>
  <c r="AT51" i="3"/>
  <c r="AU51" i="3"/>
  <c r="AV51" i="3"/>
  <c r="AX51" i="3"/>
  <c r="AY51" i="3"/>
  <c r="AZ51" i="3"/>
  <c r="BA51" i="3"/>
  <c r="BB51" i="3"/>
  <c r="BD51" i="3"/>
  <c r="BE51" i="3"/>
  <c r="BF51" i="3"/>
  <c r="BG51" i="3"/>
  <c r="BH51" i="3"/>
  <c r="BJ51" i="3"/>
  <c r="BK51" i="3"/>
  <c r="BL51" i="3"/>
  <c r="BM51" i="3"/>
  <c r="BN51" i="3"/>
  <c r="BP51" i="3"/>
  <c r="BQ51" i="3"/>
  <c r="BR51" i="3"/>
  <c r="BS51" i="3"/>
  <c r="BT51" i="3"/>
  <c r="BV51" i="3"/>
  <c r="BW51" i="3"/>
  <c r="BX51" i="3"/>
  <c r="BY51" i="3"/>
  <c r="BZ51" i="3"/>
  <c r="CB51" i="3"/>
  <c r="CC51" i="3"/>
  <c r="CD51" i="3"/>
  <c r="CE51" i="3"/>
  <c r="CF51" i="3"/>
  <c r="CH51" i="3"/>
  <c r="CI51" i="3"/>
  <c r="CJ51" i="3"/>
  <c r="CK51" i="3"/>
  <c r="CL51" i="3"/>
  <c r="CN51" i="3"/>
  <c r="CO51" i="3"/>
  <c r="CP51" i="3"/>
  <c r="CQ51" i="3"/>
  <c r="CR51" i="3"/>
  <c r="CT51" i="3"/>
  <c r="CU51" i="3"/>
  <c r="CV51" i="3"/>
  <c r="CW51" i="3"/>
  <c r="CX51" i="3"/>
  <c r="CZ51" i="3"/>
  <c r="DA51" i="3"/>
  <c r="DB51" i="3"/>
  <c r="DC51" i="3"/>
  <c r="DD51" i="3"/>
  <c r="DF51" i="3"/>
  <c r="DG51" i="3"/>
  <c r="DH51" i="3"/>
  <c r="DI51" i="3"/>
  <c r="DJ51" i="3"/>
  <c r="DL51" i="3"/>
  <c r="DM51" i="3"/>
  <c r="DN51" i="3"/>
  <c r="DO51" i="3"/>
  <c r="DP51" i="3"/>
  <c r="DR51" i="3"/>
  <c r="DS51" i="3"/>
  <c r="DT51" i="3"/>
  <c r="DU51" i="3"/>
  <c r="DV51" i="3"/>
  <c r="DX51" i="3"/>
  <c r="DY51" i="3"/>
  <c r="DZ51" i="3"/>
  <c r="EA51" i="3"/>
  <c r="EB51" i="3"/>
  <c r="ED51" i="3"/>
  <c r="EE51" i="3"/>
  <c r="EF51" i="3"/>
  <c r="EG51" i="3"/>
  <c r="EH51" i="3"/>
  <c r="EJ51" i="3"/>
  <c r="EK51" i="3"/>
  <c r="EL51" i="3"/>
  <c r="EM51" i="3"/>
  <c r="EN51" i="3"/>
  <c r="EP51" i="3"/>
  <c r="EQ51" i="3"/>
  <c r="ER51" i="3"/>
  <c r="ES51" i="3"/>
  <c r="ET51" i="3"/>
  <c r="EV51" i="3"/>
  <c r="EW51" i="3"/>
  <c r="EX51" i="3"/>
  <c r="EY51" i="3"/>
  <c r="EZ51" i="3"/>
  <c r="FB51" i="3"/>
  <c r="FC51" i="3"/>
  <c r="FD51" i="3"/>
  <c r="FE51" i="3"/>
  <c r="FF51" i="3"/>
  <c r="FH51" i="3"/>
  <c r="FI51" i="3"/>
  <c r="FJ51" i="3"/>
  <c r="FK51" i="3"/>
  <c r="FL51" i="3"/>
  <c r="FN51" i="3"/>
  <c r="FO51" i="3"/>
  <c r="FP51" i="3"/>
  <c r="FQ51" i="3"/>
  <c r="FR51" i="3"/>
  <c r="FT51" i="3"/>
  <c r="FU51" i="3"/>
  <c r="FV51" i="3"/>
  <c r="FW51" i="3"/>
  <c r="FX51" i="3"/>
  <c r="FZ51" i="3"/>
  <c r="GA51" i="3"/>
  <c r="GB51" i="3"/>
  <c r="GC51" i="3"/>
  <c r="GD51" i="3"/>
  <c r="GF51" i="3"/>
  <c r="GG51" i="3"/>
  <c r="GH51" i="3"/>
  <c r="GI51" i="3"/>
  <c r="GJ51" i="3"/>
  <c r="GL51" i="3"/>
  <c r="GM51" i="3"/>
  <c r="GN51" i="3"/>
  <c r="A52" i="3"/>
  <c r="B52" i="3"/>
  <c r="C52" i="3"/>
  <c r="D52" i="3"/>
  <c r="E52" i="3"/>
  <c r="F52" i="3"/>
  <c r="H52" i="3"/>
  <c r="I52" i="3"/>
  <c r="J52" i="3"/>
  <c r="K52" i="3"/>
  <c r="L52" i="3"/>
  <c r="N52" i="3"/>
  <c r="O52" i="3"/>
  <c r="P52" i="3"/>
  <c r="Q52" i="3"/>
  <c r="R52" i="3"/>
  <c r="T52" i="3"/>
  <c r="U52" i="3"/>
  <c r="V52" i="3"/>
  <c r="W52" i="3"/>
  <c r="X52" i="3"/>
  <c r="Z52" i="3"/>
  <c r="AA52" i="3"/>
  <c r="AB52" i="3"/>
  <c r="AC52" i="3"/>
  <c r="AD52" i="3"/>
  <c r="AF52" i="3"/>
  <c r="AG52" i="3"/>
  <c r="AH52" i="3"/>
  <c r="AI52" i="3"/>
  <c r="AJ52" i="3"/>
  <c r="AL52" i="3"/>
  <c r="AM52" i="3"/>
  <c r="AN52" i="3"/>
  <c r="AO52" i="3"/>
  <c r="AP52" i="3"/>
  <c r="AR52" i="3"/>
  <c r="AS52" i="3"/>
  <c r="AT52" i="3"/>
  <c r="AU52" i="3"/>
  <c r="AV52" i="3"/>
  <c r="AX52" i="3"/>
  <c r="AY52" i="3"/>
  <c r="AZ52" i="3"/>
  <c r="BA52" i="3"/>
  <c r="BB52" i="3"/>
  <c r="BD52" i="3"/>
  <c r="BE52" i="3"/>
  <c r="BF52" i="3"/>
  <c r="BG52" i="3"/>
  <c r="BH52" i="3"/>
  <c r="BJ52" i="3"/>
  <c r="BK52" i="3"/>
  <c r="BL52" i="3"/>
  <c r="BM52" i="3"/>
  <c r="BN52" i="3"/>
  <c r="BP52" i="3"/>
  <c r="BQ52" i="3"/>
  <c r="BR52" i="3"/>
  <c r="BS52" i="3"/>
  <c r="BT52" i="3"/>
  <c r="BV52" i="3"/>
  <c r="BW52" i="3"/>
  <c r="BX52" i="3"/>
  <c r="BY52" i="3"/>
  <c r="BZ52" i="3"/>
  <c r="CB52" i="3"/>
  <c r="CC52" i="3"/>
  <c r="CD52" i="3"/>
  <c r="CE52" i="3"/>
  <c r="CF52" i="3"/>
  <c r="CH52" i="3"/>
  <c r="CI52" i="3"/>
  <c r="CJ52" i="3"/>
  <c r="CK52" i="3"/>
  <c r="CL52" i="3"/>
  <c r="CN52" i="3"/>
  <c r="CO52" i="3"/>
  <c r="CP52" i="3"/>
  <c r="CQ52" i="3"/>
  <c r="CR52" i="3"/>
  <c r="CT52" i="3"/>
  <c r="CU52" i="3"/>
  <c r="CV52" i="3"/>
  <c r="CW52" i="3"/>
  <c r="CX52" i="3"/>
  <c r="CZ52" i="3"/>
  <c r="DA52" i="3"/>
  <c r="DB52" i="3"/>
  <c r="DC52" i="3"/>
  <c r="DD52" i="3"/>
  <c r="DF52" i="3"/>
  <c r="DG52" i="3"/>
  <c r="DH52" i="3"/>
  <c r="DI52" i="3"/>
  <c r="DJ52" i="3"/>
  <c r="DL52" i="3"/>
  <c r="DM52" i="3"/>
  <c r="DN52" i="3"/>
  <c r="DO52" i="3"/>
  <c r="DP52" i="3"/>
  <c r="DR52" i="3"/>
  <c r="DS52" i="3"/>
  <c r="DT52" i="3"/>
  <c r="DU52" i="3"/>
  <c r="DV52" i="3"/>
  <c r="DX52" i="3"/>
  <c r="DY52" i="3"/>
  <c r="DZ52" i="3"/>
  <c r="EA52" i="3"/>
  <c r="EB52" i="3"/>
  <c r="ED52" i="3"/>
  <c r="EE52" i="3"/>
  <c r="EF52" i="3"/>
  <c r="EG52" i="3"/>
  <c r="EH52" i="3"/>
  <c r="EJ52" i="3"/>
  <c r="EK52" i="3"/>
  <c r="EL52" i="3"/>
  <c r="EM52" i="3"/>
  <c r="EN52" i="3"/>
  <c r="EP52" i="3"/>
  <c r="EQ52" i="3"/>
  <c r="ER52" i="3"/>
  <c r="ES52" i="3"/>
  <c r="ET52" i="3"/>
  <c r="EV52" i="3"/>
  <c r="EW52" i="3"/>
  <c r="EX52" i="3"/>
  <c r="EY52" i="3"/>
  <c r="EZ52" i="3"/>
  <c r="FB52" i="3"/>
  <c r="FC52" i="3"/>
  <c r="FD52" i="3"/>
  <c r="FE52" i="3"/>
  <c r="FF52" i="3"/>
  <c r="FH52" i="3"/>
  <c r="FI52" i="3"/>
  <c r="FJ52" i="3"/>
  <c r="FK52" i="3"/>
  <c r="FL52" i="3"/>
  <c r="FN52" i="3"/>
  <c r="FO52" i="3"/>
  <c r="FP52" i="3"/>
  <c r="FQ52" i="3"/>
  <c r="FR52" i="3"/>
  <c r="FT52" i="3"/>
  <c r="FU52" i="3"/>
  <c r="FV52" i="3"/>
  <c r="FW52" i="3"/>
  <c r="FX52" i="3"/>
  <c r="FZ52" i="3"/>
  <c r="GA52" i="3"/>
  <c r="GB52" i="3"/>
  <c r="GC52" i="3"/>
  <c r="GD52" i="3"/>
  <c r="GF52" i="3"/>
  <c r="GG52" i="3"/>
  <c r="GH52" i="3"/>
  <c r="GI52" i="3"/>
  <c r="GJ52" i="3"/>
  <c r="GL52" i="3"/>
  <c r="GM52" i="3"/>
  <c r="GN52" i="3"/>
  <c r="A53" i="3"/>
  <c r="B53" i="3"/>
  <c r="C53" i="3"/>
  <c r="D53" i="3"/>
  <c r="E53" i="3"/>
  <c r="F53" i="3"/>
  <c r="H53" i="3"/>
  <c r="I53" i="3"/>
  <c r="J53" i="3"/>
  <c r="K53" i="3"/>
  <c r="L53" i="3"/>
  <c r="N53" i="3"/>
  <c r="O53" i="3"/>
  <c r="P53" i="3"/>
  <c r="Q53" i="3"/>
  <c r="R53" i="3"/>
  <c r="T53" i="3"/>
  <c r="U53" i="3"/>
  <c r="V53" i="3"/>
  <c r="W53" i="3"/>
  <c r="X53" i="3"/>
  <c r="Z53" i="3"/>
  <c r="AA53" i="3"/>
  <c r="AB53" i="3"/>
  <c r="AC53" i="3"/>
  <c r="AD53" i="3"/>
  <c r="AF53" i="3"/>
  <c r="AG53" i="3"/>
  <c r="AH53" i="3"/>
  <c r="AI53" i="3"/>
  <c r="AJ53" i="3"/>
  <c r="AL53" i="3"/>
  <c r="AM53" i="3"/>
  <c r="AN53" i="3"/>
  <c r="AO53" i="3"/>
  <c r="AP53" i="3"/>
  <c r="AR53" i="3"/>
  <c r="AS53" i="3"/>
  <c r="AT53" i="3"/>
  <c r="AU53" i="3"/>
  <c r="AV53" i="3"/>
  <c r="AX53" i="3"/>
  <c r="AY53" i="3"/>
  <c r="AZ53" i="3"/>
  <c r="BA53" i="3"/>
  <c r="BB53" i="3"/>
  <c r="BD53" i="3"/>
  <c r="BE53" i="3"/>
  <c r="BF53" i="3"/>
  <c r="BG53" i="3"/>
  <c r="BH53" i="3"/>
  <c r="BJ53" i="3"/>
  <c r="BK53" i="3"/>
  <c r="BL53" i="3"/>
  <c r="BM53" i="3"/>
  <c r="BN53" i="3"/>
  <c r="BP53" i="3"/>
  <c r="BQ53" i="3"/>
  <c r="BR53" i="3"/>
  <c r="BS53" i="3"/>
  <c r="BT53" i="3"/>
  <c r="BV53" i="3"/>
  <c r="BW53" i="3"/>
  <c r="BX53" i="3"/>
  <c r="BY53" i="3"/>
  <c r="BZ53" i="3"/>
  <c r="CB53" i="3"/>
  <c r="CC53" i="3"/>
  <c r="CD53" i="3"/>
  <c r="CE53" i="3"/>
  <c r="CF53" i="3"/>
  <c r="CH53" i="3"/>
  <c r="CI53" i="3"/>
  <c r="CJ53" i="3"/>
  <c r="CK53" i="3"/>
  <c r="CL53" i="3"/>
  <c r="CN53" i="3"/>
  <c r="CO53" i="3"/>
  <c r="CP53" i="3"/>
  <c r="CQ53" i="3"/>
  <c r="CR53" i="3"/>
  <c r="CT53" i="3"/>
  <c r="CU53" i="3"/>
  <c r="CV53" i="3"/>
  <c r="CW53" i="3"/>
  <c r="CX53" i="3"/>
  <c r="CZ53" i="3"/>
  <c r="DA53" i="3"/>
  <c r="DB53" i="3"/>
  <c r="DC53" i="3"/>
  <c r="DD53" i="3"/>
  <c r="DF53" i="3"/>
  <c r="DG53" i="3"/>
  <c r="DH53" i="3"/>
  <c r="DI53" i="3"/>
  <c r="DJ53" i="3"/>
  <c r="DL53" i="3"/>
  <c r="DM53" i="3"/>
  <c r="DN53" i="3"/>
  <c r="DO53" i="3"/>
  <c r="DP53" i="3"/>
  <c r="DR53" i="3"/>
  <c r="DS53" i="3"/>
  <c r="DT53" i="3"/>
  <c r="DU53" i="3"/>
  <c r="DV53" i="3"/>
  <c r="DX53" i="3"/>
  <c r="DY53" i="3"/>
  <c r="DZ53" i="3"/>
  <c r="EA53" i="3"/>
  <c r="EB53" i="3"/>
  <c r="ED53" i="3"/>
  <c r="EE53" i="3"/>
  <c r="EF53" i="3"/>
  <c r="EG53" i="3"/>
  <c r="EH53" i="3"/>
  <c r="EJ53" i="3"/>
  <c r="EK53" i="3"/>
  <c r="EL53" i="3"/>
  <c r="EM53" i="3"/>
  <c r="EN53" i="3"/>
  <c r="EP53" i="3"/>
  <c r="EQ53" i="3"/>
  <c r="ER53" i="3"/>
  <c r="ES53" i="3"/>
  <c r="ET53" i="3"/>
  <c r="EV53" i="3"/>
  <c r="EW53" i="3"/>
  <c r="EX53" i="3"/>
  <c r="EY53" i="3"/>
  <c r="EZ53" i="3"/>
  <c r="FB53" i="3"/>
  <c r="FC53" i="3"/>
  <c r="FD53" i="3"/>
  <c r="FE53" i="3"/>
  <c r="FF53" i="3"/>
  <c r="FH53" i="3"/>
  <c r="FI53" i="3"/>
  <c r="FJ53" i="3"/>
  <c r="FK53" i="3"/>
  <c r="FL53" i="3"/>
  <c r="FN53" i="3"/>
  <c r="FO53" i="3"/>
  <c r="FP53" i="3"/>
  <c r="FQ53" i="3"/>
  <c r="FR53" i="3"/>
  <c r="FT53" i="3"/>
  <c r="FU53" i="3"/>
  <c r="FV53" i="3"/>
  <c r="FW53" i="3"/>
  <c r="FX53" i="3"/>
  <c r="FZ53" i="3"/>
  <c r="GA53" i="3"/>
  <c r="GB53" i="3"/>
  <c r="GC53" i="3"/>
  <c r="GD53" i="3"/>
  <c r="GF53" i="3"/>
  <c r="GG53" i="3"/>
  <c r="GH53" i="3"/>
  <c r="GI53" i="3"/>
  <c r="GJ53" i="3"/>
  <c r="GL53" i="3"/>
  <c r="GM53" i="3"/>
  <c r="GN53" i="3"/>
  <c r="A54" i="3"/>
  <c r="B54" i="3"/>
  <c r="C54" i="3"/>
  <c r="D54" i="3"/>
  <c r="E54" i="3"/>
  <c r="F54" i="3"/>
  <c r="H54" i="3"/>
  <c r="I54" i="3"/>
  <c r="J54" i="3"/>
  <c r="K54" i="3"/>
  <c r="L54" i="3"/>
  <c r="N54" i="3"/>
  <c r="O54" i="3"/>
  <c r="P54" i="3"/>
  <c r="Q54" i="3"/>
  <c r="R54" i="3"/>
  <c r="T54" i="3"/>
  <c r="U54" i="3"/>
  <c r="V54" i="3"/>
  <c r="W54" i="3"/>
  <c r="X54" i="3"/>
  <c r="Z54" i="3"/>
  <c r="AA54" i="3"/>
  <c r="AB54" i="3"/>
  <c r="AC54" i="3"/>
  <c r="AD54" i="3"/>
  <c r="AF54" i="3"/>
  <c r="AG54" i="3"/>
  <c r="AH54" i="3"/>
  <c r="AI54" i="3"/>
  <c r="AJ54" i="3"/>
  <c r="AL54" i="3"/>
  <c r="AM54" i="3"/>
  <c r="AN54" i="3"/>
  <c r="AO54" i="3"/>
  <c r="AP54" i="3"/>
  <c r="AR54" i="3"/>
  <c r="AS54" i="3"/>
  <c r="AT54" i="3"/>
  <c r="AU54" i="3"/>
  <c r="AV54" i="3"/>
  <c r="AX54" i="3"/>
  <c r="AY54" i="3"/>
  <c r="AZ54" i="3"/>
  <c r="BA54" i="3"/>
  <c r="BB54" i="3"/>
  <c r="BD54" i="3"/>
  <c r="BE54" i="3"/>
  <c r="BF54" i="3"/>
  <c r="BG54" i="3"/>
  <c r="BH54" i="3"/>
  <c r="BJ54" i="3"/>
  <c r="BK54" i="3"/>
  <c r="BL54" i="3"/>
  <c r="BM54" i="3"/>
  <c r="BN54" i="3"/>
  <c r="BP54" i="3"/>
  <c r="BQ54" i="3"/>
  <c r="BR54" i="3"/>
  <c r="BS54" i="3"/>
  <c r="BT54" i="3"/>
  <c r="BV54" i="3"/>
  <c r="BW54" i="3"/>
  <c r="BX54" i="3"/>
  <c r="BY54" i="3"/>
  <c r="BZ54" i="3"/>
  <c r="CB54" i="3"/>
  <c r="CC54" i="3"/>
  <c r="CD54" i="3"/>
  <c r="CE54" i="3"/>
  <c r="CF54" i="3"/>
  <c r="CH54" i="3"/>
  <c r="CI54" i="3"/>
  <c r="CJ54" i="3"/>
  <c r="CK54" i="3"/>
  <c r="CL54" i="3"/>
  <c r="CN54" i="3"/>
  <c r="CO54" i="3"/>
  <c r="CP54" i="3"/>
  <c r="CQ54" i="3"/>
  <c r="CR54" i="3"/>
  <c r="CT54" i="3"/>
  <c r="CU54" i="3"/>
  <c r="CV54" i="3"/>
  <c r="CW54" i="3"/>
  <c r="CX54" i="3"/>
  <c r="CZ54" i="3"/>
  <c r="DA54" i="3"/>
  <c r="DB54" i="3"/>
  <c r="DC54" i="3"/>
  <c r="DD54" i="3"/>
  <c r="DF54" i="3"/>
  <c r="DG54" i="3"/>
  <c r="DH54" i="3"/>
  <c r="DI54" i="3"/>
  <c r="DJ54" i="3"/>
  <c r="DL54" i="3"/>
  <c r="DM54" i="3"/>
  <c r="DN54" i="3"/>
  <c r="DO54" i="3"/>
  <c r="DP54" i="3"/>
  <c r="DR54" i="3"/>
  <c r="DS54" i="3"/>
  <c r="DT54" i="3"/>
  <c r="DU54" i="3"/>
  <c r="DV54" i="3"/>
  <c r="DX54" i="3"/>
  <c r="DY54" i="3"/>
  <c r="DZ54" i="3"/>
  <c r="EA54" i="3"/>
  <c r="EB54" i="3"/>
  <c r="ED54" i="3"/>
  <c r="EE54" i="3"/>
  <c r="EF54" i="3"/>
  <c r="EG54" i="3"/>
  <c r="EH54" i="3"/>
  <c r="EJ54" i="3"/>
  <c r="EK54" i="3"/>
  <c r="EL54" i="3"/>
  <c r="EM54" i="3"/>
  <c r="EN54" i="3"/>
  <c r="EP54" i="3"/>
  <c r="EQ54" i="3"/>
  <c r="ER54" i="3"/>
  <c r="ES54" i="3"/>
  <c r="ET54" i="3"/>
  <c r="EV54" i="3"/>
  <c r="EW54" i="3"/>
  <c r="EX54" i="3"/>
  <c r="EY54" i="3"/>
  <c r="EZ54" i="3"/>
  <c r="FB54" i="3"/>
  <c r="FC54" i="3"/>
  <c r="FD54" i="3"/>
  <c r="FE54" i="3"/>
  <c r="FF54" i="3"/>
  <c r="FH54" i="3"/>
  <c r="FI54" i="3"/>
  <c r="FJ54" i="3"/>
  <c r="FK54" i="3"/>
  <c r="FL54" i="3"/>
  <c r="FN54" i="3"/>
  <c r="FO54" i="3"/>
  <c r="FP54" i="3"/>
  <c r="FQ54" i="3"/>
  <c r="FR54" i="3"/>
  <c r="FT54" i="3"/>
  <c r="FU54" i="3"/>
  <c r="FV54" i="3"/>
  <c r="FW54" i="3"/>
  <c r="FX54" i="3"/>
  <c r="FZ54" i="3"/>
  <c r="GA54" i="3"/>
  <c r="GB54" i="3"/>
  <c r="GC54" i="3"/>
  <c r="GD54" i="3"/>
  <c r="GF54" i="3"/>
  <c r="GG54" i="3"/>
  <c r="GH54" i="3"/>
  <c r="GI54" i="3"/>
  <c r="GJ54" i="3"/>
  <c r="GL54" i="3"/>
  <c r="GM54" i="3"/>
  <c r="GN54" i="3"/>
  <c r="A55" i="3"/>
  <c r="B55" i="3"/>
  <c r="C55" i="3"/>
  <c r="D55" i="3"/>
  <c r="E55" i="3"/>
  <c r="F55" i="3"/>
  <c r="H55" i="3"/>
  <c r="I55" i="3"/>
  <c r="J55" i="3"/>
  <c r="K55" i="3"/>
  <c r="L55" i="3"/>
  <c r="N55" i="3"/>
  <c r="O55" i="3"/>
  <c r="P55" i="3"/>
  <c r="Q55" i="3"/>
  <c r="R55" i="3"/>
  <c r="T55" i="3"/>
  <c r="U55" i="3"/>
  <c r="V55" i="3"/>
  <c r="W55" i="3"/>
  <c r="X55" i="3"/>
  <c r="Z55" i="3"/>
  <c r="AA55" i="3"/>
  <c r="AB55" i="3"/>
  <c r="AC55" i="3"/>
  <c r="AD55" i="3"/>
  <c r="AF55" i="3"/>
  <c r="AG55" i="3"/>
  <c r="AH55" i="3"/>
  <c r="AI55" i="3"/>
  <c r="AJ55" i="3"/>
  <c r="AL55" i="3"/>
  <c r="AM55" i="3"/>
  <c r="AN55" i="3"/>
  <c r="AO55" i="3"/>
  <c r="AP55" i="3"/>
  <c r="AR55" i="3"/>
  <c r="AS55" i="3"/>
  <c r="AT55" i="3"/>
  <c r="AU55" i="3"/>
  <c r="AV55" i="3"/>
  <c r="AX55" i="3"/>
  <c r="AY55" i="3"/>
  <c r="AZ55" i="3"/>
  <c r="BA55" i="3"/>
  <c r="BB55" i="3"/>
  <c r="BD55" i="3"/>
  <c r="BE55" i="3"/>
  <c r="BF55" i="3"/>
  <c r="BG55" i="3"/>
  <c r="BH55" i="3"/>
  <c r="BJ55" i="3"/>
  <c r="BK55" i="3"/>
  <c r="BL55" i="3"/>
  <c r="BM55" i="3"/>
  <c r="BN55" i="3"/>
  <c r="BP55" i="3"/>
  <c r="BQ55" i="3"/>
  <c r="BR55" i="3"/>
  <c r="BS55" i="3"/>
  <c r="BT55" i="3"/>
  <c r="BV55" i="3"/>
  <c r="BW55" i="3"/>
  <c r="BX55" i="3"/>
  <c r="BY55" i="3"/>
  <c r="BZ55" i="3"/>
  <c r="CB55" i="3"/>
  <c r="CC55" i="3"/>
  <c r="CD55" i="3"/>
  <c r="CE55" i="3"/>
  <c r="CF55" i="3"/>
  <c r="CH55" i="3"/>
  <c r="CI55" i="3"/>
  <c r="CJ55" i="3"/>
  <c r="CK55" i="3"/>
  <c r="CL55" i="3"/>
  <c r="CN55" i="3"/>
  <c r="CO55" i="3"/>
  <c r="CP55" i="3"/>
  <c r="CQ55" i="3"/>
  <c r="CR55" i="3"/>
  <c r="CT55" i="3"/>
  <c r="CU55" i="3"/>
  <c r="CV55" i="3"/>
  <c r="CW55" i="3"/>
  <c r="CX55" i="3"/>
  <c r="CZ55" i="3"/>
  <c r="DA55" i="3"/>
  <c r="DB55" i="3"/>
  <c r="DC55" i="3"/>
  <c r="DD55" i="3"/>
  <c r="DF55" i="3"/>
  <c r="DG55" i="3"/>
  <c r="DH55" i="3"/>
  <c r="DI55" i="3"/>
  <c r="DJ55" i="3"/>
  <c r="DL55" i="3"/>
  <c r="DM55" i="3"/>
  <c r="DN55" i="3"/>
  <c r="DO55" i="3"/>
  <c r="DP55" i="3"/>
  <c r="DR55" i="3"/>
  <c r="DS55" i="3"/>
  <c r="DT55" i="3"/>
  <c r="DU55" i="3"/>
  <c r="DV55" i="3"/>
  <c r="DX55" i="3"/>
  <c r="DY55" i="3"/>
  <c r="DZ55" i="3"/>
  <c r="EA55" i="3"/>
  <c r="EB55" i="3"/>
  <c r="ED55" i="3"/>
  <c r="EE55" i="3"/>
  <c r="EF55" i="3"/>
  <c r="EG55" i="3"/>
  <c r="EH55" i="3"/>
  <c r="EJ55" i="3"/>
  <c r="EK55" i="3"/>
  <c r="EL55" i="3"/>
  <c r="EM55" i="3"/>
  <c r="EN55" i="3"/>
  <c r="EP55" i="3"/>
  <c r="EQ55" i="3"/>
  <c r="ER55" i="3"/>
  <c r="ES55" i="3"/>
  <c r="ET55" i="3"/>
  <c r="EV55" i="3"/>
  <c r="EW55" i="3"/>
  <c r="EX55" i="3"/>
  <c r="EY55" i="3"/>
  <c r="EZ55" i="3"/>
  <c r="FB55" i="3"/>
  <c r="FC55" i="3"/>
  <c r="FD55" i="3"/>
  <c r="FE55" i="3"/>
  <c r="FF55" i="3"/>
  <c r="FH55" i="3"/>
  <c r="FI55" i="3"/>
  <c r="FJ55" i="3"/>
  <c r="FK55" i="3"/>
  <c r="FL55" i="3"/>
  <c r="FN55" i="3"/>
  <c r="FO55" i="3"/>
  <c r="FP55" i="3"/>
  <c r="FQ55" i="3"/>
  <c r="FR55" i="3"/>
  <c r="FT55" i="3"/>
  <c r="FU55" i="3"/>
  <c r="FV55" i="3"/>
  <c r="FW55" i="3"/>
  <c r="FX55" i="3"/>
  <c r="FZ55" i="3"/>
  <c r="GA55" i="3"/>
  <c r="GB55" i="3"/>
  <c r="GC55" i="3"/>
  <c r="GD55" i="3"/>
  <c r="GF55" i="3"/>
  <c r="GG55" i="3"/>
  <c r="GH55" i="3"/>
  <c r="GI55" i="3"/>
  <c r="GJ55" i="3"/>
  <c r="GL55" i="3"/>
  <c r="GM55" i="3"/>
  <c r="GN55" i="3"/>
  <c r="A56" i="3"/>
  <c r="B56" i="3"/>
  <c r="C56" i="3"/>
  <c r="D56" i="3"/>
  <c r="E56" i="3"/>
  <c r="F56" i="3"/>
  <c r="H56" i="3"/>
  <c r="I56" i="3"/>
  <c r="J56" i="3"/>
  <c r="K56" i="3"/>
  <c r="L56" i="3"/>
  <c r="N56" i="3"/>
  <c r="O56" i="3"/>
  <c r="P56" i="3"/>
  <c r="Q56" i="3"/>
  <c r="R56" i="3"/>
  <c r="T56" i="3"/>
  <c r="U56" i="3"/>
  <c r="V56" i="3"/>
  <c r="W56" i="3"/>
  <c r="X56" i="3"/>
  <c r="Z56" i="3"/>
  <c r="AA56" i="3"/>
  <c r="AB56" i="3"/>
  <c r="AC56" i="3"/>
  <c r="AD56" i="3"/>
  <c r="AF56" i="3"/>
  <c r="AG56" i="3"/>
  <c r="AH56" i="3"/>
  <c r="AI56" i="3"/>
  <c r="AJ56" i="3"/>
  <c r="AL56" i="3"/>
  <c r="AM56" i="3"/>
  <c r="AN56" i="3"/>
  <c r="AO56" i="3"/>
  <c r="AP56" i="3"/>
  <c r="AR56" i="3"/>
  <c r="AS56" i="3"/>
  <c r="AT56" i="3"/>
  <c r="AU56" i="3"/>
  <c r="AV56" i="3"/>
  <c r="AX56" i="3"/>
  <c r="AY56" i="3"/>
  <c r="AZ56" i="3"/>
  <c r="BA56" i="3"/>
  <c r="BB56" i="3"/>
  <c r="BD56" i="3"/>
  <c r="BE56" i="3"/>
  <c r="BF56" i="3"/>
  <c r="BG56" i="3"/>
  <c r="BH56" i="3"/>
  <c r="BJ56" i="3"/>
  <c r="BK56" i="3"/>
  <c r="BL56" i="3"/>
  <c r="BM56" i="3"/>
  <c r="BN56" i="3"/>
  <c r="BP56" i="3"/>
  <c r="BQ56" i="3"/>
  <c r="BR56" i="3"/>
  <c r="BS56" i="3"/>
  <c r="BT56" i="3"/>
  <c r="BV56" i="3"/>
  <c r="BW56" i="3"/>
  <c r="BX56" i="3"/>
  <c r="BY56" i="3"/>
  <c r="BZ56" i="3"/>
  <c r="CB56" i="3"/>
  <c r="CC56" i="3"/>
  <c r="CD56" i="3"/>
  <c r="CE56" i="3"/>
  <c r="CF56" i="3"/>
  <c r="CH56" i="3"/>
  <c r="CI56" i="3"/>
  <c r="CJ56" i="3"/>
  <c r="CK56" i="3"/>
  <c r="CL56" i="3"/>
  <c r="CN56" i="3"/>
  <c r="CO56" i="3"/>
  <c r="CP56" i="3"/>
  <c r="CQ56" i="3"/>
  <c r="CR56" i="3"/>
  <c r="CT56" i="3"/>
  <c r="CU56" i="3"/>
  <c r="CV56" i="3"/>
  <c r="CW56" i="3"/>
  <c r="CX56" i="3"/>
  <c r="CZ56" i="3"/>
  <c r="DA56" i="3"/>
  <c r="DB56" i="3"/>
  <c r="DC56" i="3"/>
  <c r="DD56" i="3"/>
  <c r="DF56" i="3"/>
  <c r="DG56" i="3"/>
  <c r="DH56" i="3"/>
  <c r="DI56" i="3"/>
  <c r="DJ56" i="3"/>
  <c r="DL56" i="3"/>
  <c r="DM56" i="3"/>
  <c r="DN56" i="3"/>
  <c r="DO56" i="3"/>
  <c r="DP56" i="3"/>
  <c r="DR56" i="3"/>
  <c r="DS56" i="3"/>
  <c r="DT56" i="3"/>
  <c r="DU56" i="3"/>
  <c r="DV56" i="3"/>
  <c r="DX56" i="3"/>
  <c r="DY56" i="3"/>
  <c r="DZ56" i="3"/>
  <c r="EA56" i="3"/>
  <c r="EB56" i="3"/>
  <c r="ED56" i="3"/>
  <c r="EE56" i="3"/>
  <c r="EF56" i="3"/>
  <c r="EG56" i="3"/>
  <c r="EH56" i="3"/>
  <c r="EJ56" i="3"/>
  <c r="EK56" i="3"/>
  <c r="EL56" i="3"/>
  <c r="EM56" i="3"/>
  <c r="EN56" i="3"/>
  <c r="EP56" i="3"/>
  <c r="EQ56" i="3"/>
  <c r="ER56" i="3"/>
  <c r="ES56" i="3"/>
  <c r="ET56" i="3"/>
  <c r="EV56" i="3"/>
  <c r="EW56" i="3"/>
  <c r="EX56" i="3"/>
  <c r="EY56" i="3"/>
  <c r="EZ56" i="3"/>
  <c r="FB56" i="3"/>
  <c r="FC56" i="3"/>
  <c r="FD56" i="3"/>
  <c r="FE56" i="3"/>
  <c r="FF56" i="3"/>
  <c r="FH56" i="3"/>
  <c r="FI56" i="3"/>
  <c r="FJ56" i="3"/>
  <c r="FK56" i="3"/>
  <c r="FL56" i="3"/>
  <c r="FN56" i="3"/>
  <c r="FO56" i="3"/>
  <c r="FP56" i="3"/>
  <c r="FQ56" i="3"/>
  <c r="FR56" i="3"/>
  <c r="FT56" i="3"/>
  <c r="FU56" i="3"/>
  <c r="FV56" i="3"/>
  <c r="FW56" i="3"/>
  <c r="FX56" i="3"/>
  <c r="FZ56" i="3"/>
  <c r="GA56" i="3"/>
  <c r="GB56" i="3"/>
  <c r="GC56" i="3"/>
  <c r="GD56" i="3"/>
  <c r="GF56" i="3"/>
  <c r="GG56" i="3"/>
  <c r="GH56" i="3"/>
  <c r="GI56" i="3"/>
  <c r="GJ56" i="3"/>
  <c r="GL56" i="3"/>
  <c r="GM56" i="3"/>
  <c r="GN56" i="3"/>
  <c r="A57" i="3"/>
  <c r="B57" i="3"/>
  <c r="C57" i="3"/>
  <c r="D57" i="3"/>
  <c r="E57" i="3"/>
  <c r="F57" i="3"/>
  <c r="H57" i="3"/>
  <c r="I57" i="3"/>
  <c r="J57" i="3"/>
  <c r="K57" i="3"/>
  <c r="L57" i="3"/>
  <c r="N57" i="3"/>
  <c r="O57" i="3"/>
  <c r="P57" i="3"/>
  <c r="Q57" i="3"/>
  <c r="R57" i="3"/>
  <c r="T57" i="3"/>
  <c r="U57" i="3"/>
  <c r="V57" i="3"/>
  <c r="W57" i="3"/>
  <c r="X57" i="3"/>
  <c r="Z57" i="3"/>
  <c r="AA57" i="3"/>
  <c r="AB57" i="3"/>
  <c r="AC57" i="3"/>
  <c r="AD57" i="3"/>
  <c r="AF57" i="3"/>
  <c r="AG57" i="3"/>
  <c r="AH57" i="3"/>
  <c r="AI57" i="3"/>
  <c r="AJ57" i="3"/>
  <c r="AL57" i="3"/>
  <c r="AM57" i="3"/>
  <c r="AN57" i="3"/>
  <c r="AO57" i="3"/>
  <c r="AP57" i="3"/>
  <c r="AR57" i="3"/>
  <c r="AS57" i="3"/>
  <c r="AT57" i="3"/>
  <c r="AU57" i="3"/>
  <c r="AV57" i="3"/>
  <c r="AX57" i="3"/>
  <c r="AY57" i="3"/>
  <c r="AZ57" i="3"/>
  <c r="BA57" i="3"/>
  <c r="BB57" i="3"/>
  <c r="BD57" i="3"/>
  <c r="BE57" i="3"/>
  <c r="BF57" i="3"/>
  <c r="BG57" i="3"/>
  <c r="BH57" i="3"/>
  <c r="BJ57" i="3"/>
  <c r="BK57" i="3"/>
  <c r="BL57" i="3"/>
  <c r="BM57" i="3"/>
  <c r="BN57" i="3"/>
  <c r="BP57" i="3"/>
  <c r="BQ57" i="3"/>
  <c r="BR57" i="3"/>
  <c r="BS57" i="3"/>
  <c r="BT57" i="3"/>
  <c r="BV57" i="3"/>
  <c r="BW57" i="3"/>
  <c r="BX57" i="3"/>
  <c r="BY57" i="3"/>
  <c r="BZ57" i="3"/>
  <c r="CB57" i="3"/>
  <c r="CC57" i="3"/>
  <c r="CD57" i="3"/>
  <c r="CE57" i="3"/>
  <c r="CF57" i="3"/>
  <c r="CH57" i="3"/>
  <c r="CI57" i="3"/>
  <c r="CJ57" i="3"/>
  <c r="CK57" i="3"/>
  <c r="CL57" i="3"/>
  <c r="CN57" i="3"/>
  <c r="CO57" i="3"/>
  <c r="CP57" i="3"/>
  <c r="CQ57" i="3"/>
  <c r="CR57" i="3"/>
  <c r="CT57" i="3"/>
  <c r="CU57" i="3"/>
  <c r="CV57" i="3"/>
  <c r="CW57" i="3"/>
  <c r="CX57" i="3"/>
  <c r="CZ57" i="3"/>
  <c r="DA57" i="3"/>
  <c r="DB57" i="3"/>
  <c r="DC57" i="3"/>
  <c r="DD57" i="3"/>
  <c r="DF57" i="3"/>
  <c r="DG57" i="3"/>
  <c r="DH57" i="3"/>
  <c r="DI57" i="3"/>
  <c r="DJ57" i="3"/>
  <c r="DL57" i="3"/>
  <c r="DM57" i="3"/>
  <c r="DN57" i="3"/>
  <c r="DO57" i="3"/>
  <c r="DP57" i="3"/>
  <c r="DR57" i="3"/>
  <c r="DS57" i="3"/>
  <c r="DT57" i="3"/>
  <c r="DU57" i="3"/>
  <c r="DV57" i="3"/>
  <c r="DX57" i="3"/>
  <c r="DY57" i="3"/>
  <c r="DZ57" i="3"/>
  <c r="EA57" i="3"/>
  <c r="EB57" i="3"/>
  <c r="ED57" i="3"/>
  <c r="EE57" i="3"/>
  <c r="EF57" i="3"/>
  <c r="EG57" i="3"/>
  <c r="EH57" i="3"/>
  <c r="EJ57" i="3"/>
  <c r="EK57" i="3"/>
  <c r="EL57" i="3"/>
  <c r="EM57" i="3"/>
  <c r="EN57" i="3"/>
  <c r="EP57" i="3"/>
  <c r="EQ57" i="3"/>
  <c r="ER57" i="3"/>
  <c r="ES57" i="3"/>
  <c r="ET57" i="3"/>
  <c r="EV57" i="3"/>
  <c r="EW57" i="3"/>
  <c r="EX57" i="3"/>
  <c r="EY57" i="3"/>
  <c r="EZ57" i="3"/>
  <c r="FB57" i="3"/>
  <c r="FC57" i="3"/>
  <c r="FD57" i="3"/>
  <c r="FE57" i="3"/>
  <c r="FF57" i="3"/>
  <c r="FH57" i="3"/>
  <c r="FI57" i="3"/>
  <c r="FJ57" i="3"/>
  <c r="FK57" i="3"/>
  <c r="FL57" i="3"/>
  <c r="FN57" i="3"/>
  <c r="FO57" i="3"/>
  <c r="FP57" i="3"/>
  <c r="FQ57" i="3"/>
  <c r="FR57" i="3"/>
  <c r="FT57" i="3"/>
  <c r="FU57" i="3"/>
  <c r="FV57" i="3"/>
  <c r="FW57" i="3"/>
  <c r="FX57" i="3"/>
  <c r="FZ57" i="3"/>
  <c r="GA57" i="3"/>
  <c r="GB57" i="3"/>
  <c r="GC57" i="3"/>
  <c r="GD57" i="3"/>
  <c r="GF57" i="3"/>
  <c r="GG57" i="3"/>
  <c r="GH57" i="3"/>
  <c r="GI57" i="3"/>
  <c r="GJ57" i="3"/>
  <c r="GL57" i="3"/>
  <c r="GM57" i="3"/>
  <c r="GN57" i="3"/>
  <c r="A58" i="3"/>
  <c r="B58" i="3"/>
  <c r="C58" i="3"/>
  <c r="D58" i="3"/>
  <c r="E58" i="3"/>
  <c r="F58" i="3"/>
  <c r="H58" i="3"/>
  <c r="I58" i="3"/>
  <c r="J58" i="3"/>
  <c r="K58" i="3"/>
  <c r="L58" i="3"/>
  <c r="N58" i="3"/>
  <c r="O58" i="3"/>
  <c r="P58" i="3"/>
  <c r="Q58" i="3"/>
  <c r="R58" i="3"/>
  <c r="T58" i="3"/>
  <c r="U58" i="3"/>
  <c r="V58" i="3"/>
  <c r="W58" i="3"/>
  <c r="X58" i="3"/>
  <c r="Z58" i="3"/>
  <c r="AA58" i="3"/>
  <c r="AB58" i="3"/>
  <c r="AC58" i="3"/>
  <c r="AD58" i="3"/>
  <c r="AF58" i="3"/>
  <c r="AG58" i="3"/>
  <c r="AH58" i="3"/>
  <c r="AI58" i="3"/>
  <c r="AJ58" i="3"/>
  <c r="AL58" i="3"/>
  <c r="AM58" i="3"/>
  <c r="AN58" i="3"/>
  <c r="AO58" i="3"/>
  <c r="AP58" i="3"/>
  <c r="AR58" i="3"/>
  <c r="AS58" i="3"/>
  <c r="AT58" i="3"/>
  <c r="AU58" i="3"/>
  <c r="AV58" i="3"/>
  <c r="AX58" i="3"/>
  <c r="AY58" i="3"/>
  <c r="AZ58" i="3"/>
  <c r="BA58" i="3"/>
  <c r="BB58" i="3"/>
  <c r="BD58" i="3"/>
  <c r="BE58" i="3"/>
  <c r="BF58" i="3"/>
  <c r="BG58" i="3"/>
  <c r="BH58" i="3"/>
  <c r="BJ58" i="3"/>
  <c r="BK58" i="3"/>
  <c r="BL58" i="3"/>
  <c r="BM58" i="3"/>
  <c r="BN58" i="3"/>
  <c r="BP58" i="3"/>
  <c r="BQ58" i="3"/>
  <c r="BR58" i="3"/>
  <c r="BS58" i="3"/>
  <c r="BT58" i="3"/>
  <c r="BV58" i="3"/>
  <c r="BW58" i="3"/>
  <c r="BX58" i="3"/>
  <c r="BY58" i="3"/>
  <c r="BZ58" i="3"/>
  <c r="CB58" i="3"/>
  <c r="CC58" i="3"/>
  <c r="CD58" i="3"/>
  <c r="CE58" i="3"/>
  <c r="CF58" i="3"/>
  <c r="CH58" i="3"/>
  <c r="CI58" i="3"/>
  <c r="CJ58" i="3"/>
  <c r="CK58" i="3"/>
  <c r="CL58" i="3"/>
  <c r="CN58" i="3"/>
  <c r="CO58" i="3"/>
  <c r="CP58" i="3"/>
  <c r="CQ58" i="3"/>
  <c r="CR58" i="3"/>
  <c r="CT58" i="3"/>
  <c r="CU58" i="3"/>
  <c r="CV58" i="3"/>
  <c r="CW58" i="3"/>
  <c r="CX58" i="3"/>
  <c r="CZ58" i="3"/>
  <c r="DA58" i="3"/>
  <c r="DB58" i="3"/>
  <c r="DC58" i="3"/>
  <c r="DD58" i="3"/>
  <c r="DF58" i="3"/>
  <c r="DG58" i="3"/>
  <c r="DH58" i="3"/>
  <c r="DI58" i="3"/>
  <c r="DJ58" i="3"/>
  <c r="DL58" i="3"/>
  <c r="DM58" i="3"/>
  <c r="DN58" i="3"/>
  <c r="DO58" i="3"/>
  <c r="DP58" i="3"/>
  <c r="DR58" i="3"/>
  <c r="DS58" i="3"/>
  <c r="DT58" i="3"/>
  <c r="DU58" i="3"/>
  <c r="DV58" i="3"/>
  <c r="DX58" i="3"/>
  <c r="DY58" i="3"/>
  <c r="DZ58" i="3"/>
  <c r="EA58" i="3"/>
  <c r="EB58" i="3"/>
  <c r="ED58" i="3"/>
  <c r="EE58" i="3"/>
  <c r="EF58" i="3"/>
  <c r="EG58" i="3"/>
  <c r="EH58" i="3"/>
  <c r="EJ58" i="3"/>
  <c r="EK58" i="3"/>
  <c r="EL58" i="3"/>
  <c r="EM58" i="3"/>
  <c r="EN58" i="3"/>
  <c r="EP58" i="3"/>
  <c r="EQ58" i="3"/>
  <c r="ER58" i="3"/>
  <c r="ES58" i="3"/>
  <c r="ET58" i="3"/>
  <c r="EV58" i="3"/>
  <c r="EW58" i="3"/>
  <c r="EX58" i="3"/>
  <c r="EY58" i="3"/>
  <c r="EZ58" i="3"/>
  <c r="FB58" i="3"/>
  <c r="FC58" i="3"/>
  <c r="FD58" i="3"/>
  <c r="FE58" i="3"/>
  <c r="FF58" i="3"/>
  <c r="FH58" i="3"/>
  <c r="FI58" i="3"/>
  <c r="FJ58" i="3"/>
  <c r="FK58" i="3"/>
  <c r="FL58" i="3"/>
  <c r="FN58" i="3"/>
  <c r="FO58" i="3"/>
  <c r="FP58" i="3"/>
  <c r="FQ58" i="3"/>
  <c r="FR58" i="3"/>
  <c r="FT58" i="3"/>
  <c r="FU58" i="3"/>
  <c r="FV58" i="3"/>
  <c r="FW58" i="3"/>
  <c r="FX58" i="3"/>
  <c r="FZ58" i="3"/>
  <c r="GA58" i="3"/>
  <c r="GB58" i="3"/>
  <c r="GC58" i="3"/>
  <c r="GD58" i="3"/>
  <c r="GF58" i="3"/>
  <c r="GG58" i="3"/>
  <c r="GH58" i="3"/>
  <c r="GI58" i="3"/>
  <c r="GJ58" i="3"/>
  <c r="GL58" i="3"/>
  <c r="GM58" i="3"/>
  <c r="GN58" i="3"/>
  <c r="A59" i="3"/>
  <c r="B59" i="3"/>
  <c r="C59" i="3"/>
  <c r="D59" i="3"/>
  <c r="E59" i="3"/>
  <c r="F59" i="3"/>
  <c r="H59" i="3"/>
  <c r="I59" i="3"/>
  <c r="J59" i="3"/>
  <c r="K59" i="3"/>
  <c r="L59" i="3"/>
  <c r="N59" i="3"/>
  <c r="O59" i="3"/>
  <c r="P59" i="3"/>
  <c r="Q59" i="3"/>
  <c r="R59" i="3"/>
  <c r="T59" i="3"/>
  <c r="U59" i="3"/>
  <c r="V59" i="3"/>
  <c r="W59" i="3"/>
  <c r="X59" i="3"/>
  <c r="Z59" i="3"/>
  <c r="AA59" i="3"/>
  <c r="AB59" i="3"/>
  <c r="AC59" i="3"/>
  <c r="AD59" i="3"/>
  <c r="AF59" i="3"/>
  <c r="AG59" i="3"/>
  <c r="AH59" i="3"/>
  <c r="AI59" i="3"/>
  <c r="AJ59" i="3"/>
  <c r="AL59" i="3"/>
  <c r="AM59" i="3"/>
  <c r="AN59" i="3"/>
  <c r="AO59" i="3"/>
  <c r="AP59" i="3"/>
  <c r="AR59" i="3"/>
  <c r="AS59" i="3"/>
  <c r="AT59" i="3"/>
  <c r="AU59" i="3"/>
  <c r="AV59" i="3"/>
  <c r="AX59" i="3"/>
  <c r="AY59" i="3"/>
  <c r="AZ59" i="3"/>
  <c r="BA59" i="3"/>
  <c r="BB59" i="3"/>
  <c r="BD59" i="3"/>
  <c r="BE59" i="3"/>
  <c r="BF59" i="3"/>
  <c r="BG59" i="3"/>
  <c r="BH59" i="3"/>
  <c r="BJ59" i="3"/>
  <c r="BK59" i="3"/>
  <c r="BL59" i="3"/>
  <c r="BM59" i="3"/>
  <c r="BN59" i="3"/>
  <c r="BP59" i="3"/>
  <c r="BQ59" i="3"/>
  <c r="BR59" i="3"/>
  <c r="BS59" i="3"/>
  <c r="BT59" i="3"/>
  <c r="BV59" i="3"/>
  <c r="BW59" i="3"/>
  <c r="BX59" i="3"/>
  <c r="BY59" i="3"/>
  <c r="BZ59" i="3"/>
  <c r="CB59" i="3"/>
  <c r="CC59" i="3"/>
  <c r="CD59" i="3"/>
  <c r="CE59" i="3"/>
  <c r="CF59" i="3"/>
  <c r="CH59" i="3"/>
  <c r="CI59" i="3"/>
  <c r="CJ59" i="3"/>
  <c r="CK59" i="3"/>
  <c r="CL59" i="3"/>
  <c r="CN59" i="3"/>
  <c r="CO59" i="3"/>
  <c r="CP59" i="3"/>
  <c r="CQ59" i="3"/>
  <c r="CR59" i="3"/>
  <c r="CT59" i="3"/>
  <c r="CU59" i="3"/>
  <c r="CV59" i="3"/>
  <c r="CW59" i="3"/>
  <c r="CX59" i="3"/>
  <c r="CZ59" i="3"/>
  <c r="DA59" i="3"/>
  <c r="DB59" i="3"/>
  <c r="DC59" i="3"/>
  <c r="DD59" i="3"/>
  <c r="DF59" i="3"/>
  <c r="DG59" i="3"/>
  <c r="DH59" i="3"/>
  <c r="DI59" i="3"/>
  <c r="DJ59" i="3"/>
  <c r="DL59" i="3"/>
  <c r="DM59" i="3"/>
  <c r="DN59" i="3"/>
  <c r="DO59" i="3"/>
  <c r="DP59" i="3"/>
  <c r="DR59" i="3"/>
  <c r="DS59" i="3"/>
  <c r="DT59" i="3"/>
  <c r="DU59" i="3"/>
  <c r="DV59" i="3"/>
  <c r="DX59" i="3"/>
  <c r="DY59" i="3"/>
  <c r="DZ59" i="3"/>
  <c r="EA59" i="3"/>
  <c r="EB59" i="3"/>
  <c r="ED59" i="3"/>
  <c r="EE59" i="3"/>
  <c r="EF59" i="3"/>
  <c r="EG59" i="3"/>
  <c r="EH59" i="3"/>
  <c r="EJ59" i="3"/>
  <c r="EK59" i="3"/>
  <c r="EL59" i="3"/>
  <c r="EM59" i="3"/>
  <c r="EN59" i="3"/>
  <c r="EP59" i="3"/>
  <c r="EQ59" i="3"/>
  <c r="ER59" i="3"/>
  <c r="ES59" i="3"/>
  <c r="ET59" i="3"/>
  <c r="EV59" i="3"/>
  <c r="EW59" i="3"/>
  <c r="EX59" i="3"/>
  <c r="EY59" i="3"/>
  <c r="EZ59" i="3"/>
  <c r="FB59" i="3"/>
  <c r="FC59" i="3"/>
  <c r="FD59" i="3"/>
  <c r="FE59" i="3"/>
  <c r="FF59" i="3"/>
  <c r="FH59" i="3"/>
  <c r="FI59" i="3"/>
  <c r="FJ59" i="3"/>
  <c r="FK59" i="3"/>
  <c r="FL59" i="3"/>
  <c r="FN59" i="3"/>
  <c r="FO59" i="3"/>
  <c r="FP59" i="3"/>
  <c r="FQ59" i="3"/>
  <c r="FR59" i="3"/>
  <c r="FT59" i="3"/>
  <c r="FU59" i="3"/>
  <c r="FV59" i="3"/>
  <c r="FW59" i="3"/>
  <c r="FX59" i="3"/>
  <c r="FZ59" i="3"/>
  <c r="GA59" i="3"/>
  <c r="GB59" i="3"/>
  <c r="GC59" i="3"/>
  <c r="GD59" i="3"/>
  <c r="GF59" i="3"/>
  <c r="GG59" i="3"/>
  <c r="GH59" i="3"/>
  <c r="GI59" i="3"/>
  <c r="GJ59" i="3"/>
  <c r="GL59" i="3"/>
  <c r="GM59" i="3"/>
  <c r="GN59" i="3"/>
  <c r="A60" i="3"/>
  <c r="B60" i="3"/>
  <c r="C60" i="3"/>
  <c r="D60" i="3"/>
  <c r="E60" i="3"/>
  <c r="F60" i="3"/>
  <c r="H60" i="3"/>
  <c r="I60" i="3"/>
  <c r="J60" i="3"/>
  <c r="K60" i="3"/>
  <c r="L60" i="3"/>
  <c r="N60" i="3"/>
  <c r="O60" i="3"/>
  <c r="P60" i="3"/>
  <c r="Q60" i="3"/>
  <c r="R60" i="3"/>
  <c r="T60" i="3"/>
  <c r="U60" i="3"/>
  <c r="V60" i="3"/>
  <c r="W60" i="3"/>
  <c r="X60" i="3"/>
  <c r="Z60" i="3"/>
  <c r="AA60" i="3"/>
  <c r="AB60" i="3"/>
  <c r="AC60" i="3"/>
  <c r="AD60" i="3"/>
  <c r="AF60" i="3"/>
  <c r="AG60" i="3"/>
  <c r="AH60" i="3"/>
  <c r="AI60" i="3"/>
  <c r="AJ60" i="3"/>
  <c r="AL60" i="3"/>
  <c r="AM60" i="3"/>
  <c r="AN60" i="3"/>
  <c r="AO60" i="3"/>
  <c r="AP60" i="3"/>
  <c r="AR60" i="3"/>
  <c r="AS60" i="3"/>
  <c r="AT60" i="3"/>
  <c r="AU60" i="3"/>
  <c r="AV60" i="3"/>
  <c r="AX60" i="3"/>
  <c r="AY60" i="3"/>
  <c r="AZ60" i="3"/>
  <c r="BA60" i="3"/>
  <c r="BB60" i="3"/>
  <c r="BD60" i="3"/>
  <c r="BE60" i="3"/>
  <c r="BF60" i="3"/>
  <c r="BG60" i="3"/>
  <c r="BH60" i="3"/>
  <c r="BJ60" i="3"/>
  <c r="BK60" i="3"/>
  <c r="BL60" i="3"/>
  <c r="BM60" i="3"/>
  <c r="BN60" i="3"/>
  <c r="BP60" i="3"/>
  <c r="BQ60" i="3"/>
  <c r="BR60" i="3"/>
  <c r="BS60" i="3"/>
  <c r="BT60" i="3"/>
  <c r="BV60" i="3"/>
  <c r="BW60" i="3"/>
  <c r="BX60" i="3"/>
  <c r="BY60" i="3"/>
  <c r="BZ60" i="3"/>
  <c r="CB60" i="3"/>
  <c r="CC60" i="3"/>
  <c r="CD60" i="3"/>
  <c r="CE60" i="3"/>
  <c r="CF60" i="3"/>
  <c r="CH60" i="3"/>
  <c r="CI60" i="3"/>
  <c r="CJ60" i="3"/>
  <c r="CK60" i="3"/>
  <c r="CL60" i="3"/>
  <c r="CN60" i="3"/>
  <c r="CO60" i="3"/>
  <c r="CP60" i="3"/>
  <c r="CQ60" i="3"/>
  <c r="CR60" i="3"/>
  <c r="CT60" i="3"/>
  <c r="CU60" i="3"/>
  <c r="CV60" i="3"/>
  <c r="CW60" i="3"/>
  <c r="CX60" i="3"/>
  <c r="CZ60" i="3"/>
  <c r="DA60" i="3"/>
  <c r="DB60" i="3"/>
  <c r="DC60" i="3"/>
  <c r="DD60" i="3"/>
  <c r="DF60" i="3"/>
  <c r="DG60" i="3"/>
  <c r="DH60" i="3"/>
  <c r="DI60" i="3"/>
  <c r="DJ60" i="3"/>
  <c r="DL60" i="3"/>
  <c r="DM60" i="3"/>
  <c r="DN60" i="3"/>
  <c r="DO60" i="3"/>
  <c r="DP60" i="3"/>
  <c r="DR60" i="3"/>
  <c r="DS60" i="3"/>
  <c r="DT60" i="3"/>
  <c r="DU60" i="3"/>
  <c r="DV60" i="3"/>
  <c r="DX60" i="3"/>
  <c r="DY60" i="3"/>
  <c r="DZ60" i="3"/>
  <c r="EA60" i="3"/>
  <c r="EB60" i="3"/>
  <c r="ED60" i="3"/>
  <c r="EE60" i="3"/>
  <c r="EF60" i="3"/>
  <c r="EG60" i="3"/>
  <c r="EH60" i="3"/>
  <c r="EJ60" i="3"/>
  <c r="EK60" i="3"/>
  <c r="EL60" i="3"/>
  <c r="EM60" i="3"/>
  <c r="EN60" i="3"/>
  <c r="EP60" i="3"/>
  <c r="EQ60" i="3"/>
  <c r="ER60" i="3"/>
  <c r="ES60" i="3"/>
  <c r="ET60" i="3"/>
  <c r="EV60" i="3"/>
  <c r="EW60" i="3"/>
  <c r="EX60" i="3"/>
  <c r="EY60" i="3"/>
  <c r="EZ60" i="3"/>
  <c r="FB60" i="3"/>
  <c r="FC60" i="3"/>
  <c r="FD60" i="3"/>
  <c r="FE60" i="3"/>
  <c r="FF60" i="3"/>
  <c r="FH60" i="3"/>
  <c r="FI60" i="3"/>
  <c r="FJ60" i="3"/>
  <c r="FK60" i="3"/>
  <c r="FL60" i="3"/>
  <c r="FN60" i="3"/>
  <c r="FO60" i="3"/>
  <c r="FP60" i="3"/>
  <c r="FQ60" i="3"/>
  <c r="FR60" i="3"/>
  <c r="FT60" i="3"/>
  <c r="FU60" i="3"/>
  <c r="FV60" i="3"/>
  <c r="FW60" i="3"/>
  <c r="FX60" i="3"/>
  <c r="FZ60" i="3"/>
  <c r="GA60" i="3"/>
  <c r="GB60" i="3"/>
  <c r="GC60" i="3"/>
  <c r="GD60" i="3"/>
  <c r="GF60" i="3"/>
  <c r="GG60" i="3"/>
  <c r="GH60" i="3"/>
  <c r="GI60" i="3"/>
  <c r="GJ60" i="3"/>
  <c r="GL60" i="3"/>
  <c r="GM60" i="3"/>
  <c r="GN60" i="3"/>
  <c r="A61" i="3"/>
  <c r="B61" i="3"/>
  <c r="C61" i="3"/>
  <c r="D61" i="3"/>
  <c r="E61" i="3"/>
  <c r="F61" i="3"/>
  <c r="H61" i="3"/>
  <c r="I61" i="3"/>
  <c r="J61" i="3"/>
  <c r="K61" i="3"/>
  <c r="L61" i="3"/>
  <c r="N61" i="3"/>
  <c r="O61" i="3"/>
  <c r="P61" i="3"/>
  <c r="Q61" i="3"/>
  <c r="R61" i="3"/>
  <c r="T61" i="3"/>
  <c r="U61" i="3"/>
  <c r="V61" i="3"/>
  <c r="W61" i="3"/>
  <c r="X61" i="3"/>
  <c r="Z61" i="3"/>
  <c r="AA61" i="3"/>
  <c r="AB61" i="3"/>
  <c r="AC61" i="3"/>
  <c r="AD61" i="3"/>
  <c r="AF61" i="3"/>
  <c r="AG61" i="3"/>
  <c r="AH61" i="3"/>
  <c r="AI61" i="3"/>
  <c r="AJ61" i="3"/>
  <c r="AL61" i="3"/>
  <c r="AM61" i="3"/>
  <c r="AN61" i="3"/>
  <c r="AO61" i="3"/>
  <c r="AP61" i="3"/>
  <c r="AR61" i="3"/>
  <c r="AS61" i="3"/>
  <c r="AT61" i="3"/>
  <c r="AU61" i="3"/>
  <c r="AV61" i="3"/>
  <c r="AX61" i="3"/>
  <c r="AY61" i="3"/>
  <c r="AZ61" i="3"/>
  <c r="BA61" i="3"/>
  <c r="BB61" i="3"/>
  <c r="BD61" i="3"/>
  <c r="BE61" i="3"/>
  <c r="BF61" i="3"/>
  <c r="BG61" i="3"/>
  <c r="BH61" i="3"/>
  <c r="BJ61" i="3"/>
  <c r="BK61" i="3"/>
  <c r="BL61" i="3"/>
  <c r="BM61" i="3"/>
  <c r="BN61" i="3"/>
  <c r="BP61" i="3"/>
  <c r="BQ61" i="3"/>
  <c r="BR61" i="3"/>
  <c r="BS61" i="3"/>
  <c r="BT61" i="3"/>
  <c r="BV61" i="3"/>
  <c r="BW61" i="3"/>
  <c r="BX61" i="3"/>
  <c r="BY61" i="3"/>
  <c r="BZ61" i="3"/>
  <c r="CB61" i="3"/>
  <c r="CC61" i="3"/>
  <c r="CD61" i="3"/>
  <c r="CE61" i="3"/>
  <c r="CF61" i="3"/>
  <c r="CH61" i="3"/>
  <c r="CI61" i="3"/>
  <c r="CJ61" i="3"/>
  <c r="CK61" i="3"/>
  <c r="CL61" i="3"/>
  <c r="CN61" i="3"/>
  <c r="CO61" i="3"/>
  <c r="CP61" i="3"/>
  <c r="CQ61" i="3"/>
  <c r="CR61" i="3"/>
  <c r="CT61" i="3"/>
  <c r="CU61" i="3"/>
  <c r="CV61" i="3"/>
  <c r="CW61" i="3"/>
  <c r="CX61" i="3"/>
  <c r="CZ61" i="3"/>
  <c r="DA61" i="3"/>
  <c r="DB61" i="3"/>
  <c r="DC61" i="3"/>
  <c r="DD61" i="3"/>
  <c r="DF61" i="3"/>
  <c r="DG61" i="3"/>
  <c r="DH61" i="3"/>
  <c r="DI61" i="3"/>
  <c r="DJ61" i="3"/>
  <c r="DL61" i="3"/>
  <c r="DM61" i="3"/>
  <c r="DN61" i="3"/>
  <c r="DO61" i="3"/>
  <c r="DP61" i="3"/>
  <c r="DR61" i="3"/>
  <c r="DS61" i="3"/>
  <c r="DT61" i="3"/>
  <c r="DU61" i="3"/>
  <c r="DV61" i="3"/>
  <c r="DX61" i="3"/>
  <c r="DY61" i="3"/>
  <c r="DZ61" i="3"/>
  <c r="EA61" i="3"/>
  <c r="EB61" i="3"/>
  <c r="ED61" i="3"/>
  <c r="EE61" i="3"/>
  <c r="EF61" i="3"/>
  <c r="EG61" i="3"/>
  <c r="EH61" i="3"/>
  <c r="EJ61" i="3"/>
  <c r="EK61" i="3"/>
  <c r="EL61" i="3"/>
  <c r="EM61" i="3"/>
  <c r="EN61" i="3"/>
  <c r="EP61" i="3"/>
  <c r="EQ61" i="3"/>
  <c r="ER61" i="3"/>
  <c r="ES61" i="3"/>
  <c r="ET61" i="3"/>
  <c r="EV61" i="3"/>
  <c r="EW61" i="3"/>
  <c r="EX61" i="3"/>
  <c r="EY61" i="3"/>
  <c r="EZ61" i="3"/>
  <c r="FB61" i="3"/>
  <c r="FC61" i="3"/>
  <c r="FD61" i="3"/>
  <c r="FE61" i="3"/>
  <c r="FF61" i="3"/>
  <c r="FH61" i="3"/>
  <c r="FI61" i="3"/>
  <c r="FJ61" i="3"/>
  <c r="FK61" i="3"/>
  <c r="FL61" i="3"/>
  <c r="FN61" i="3"/>
  <c r="FO61" i="3"/>
  <c r="FP61" i="3"/>
  <c r="FQ61" i="3"/>
  <c r="FR61" i="3"/>
  <c r="FT61" i="3"/>
  <c r="FU61" i="3"/>
  <c r="FV61" i="3"/>
  <c r="FW61" i="3"/>
  <c r="FX61" i="3"/>
  <c r="FZ61" i="3"/>
  <c r="GA61" i="3"/>
  <c r="GB61" i="3"/>
  <c r="GC61" i="3"/>
  <c r="GD61" i="3"/>
  <c r="GF61" i="3"/>
  <c r="GG61" i="3"/>
  <c r="GH61" i="3"/>
  <c r="GI61" i="3"/>
  <c r="GJ61" i="3"/>
  <c r="GL61" i="3"/>
  <c r="GM61" i="3"/>
  <c r="GN61" i="3"/>
  <c r="A62" i="3"/>
  <c r="B62" i="3"/>
  <c r="C62" i="3"/>
  <c r="D62" i="3"/>
  <c r="E62" i="3"/>
  <c r="F62" i="3"/>
  <c r="H62" i="3"/>
  <c r="I62" i="3"/>
  <c r="J62" i="3"/>
  <c r="K62" i="3"/>
  <c r="L62" i="3"/>
  <c r="N62" i="3"/>
  <c r="O62" i="3"/>
  <c r="P62" i="3"/>
  <c r="Q62" i="3"/>
  <c r="R62" i="3"/>
  <c r="T62" i="3"/>
  <c r="U62" i="3"/>
  <c r="V62" i="3"/>
  <c r="W62" i="3"/>
  <c r="X62" i="3"/>
  <c r="Z62" i="3"/>
  <c r="AA62" i="3"/>
  <c r="AB62" i="3"/>
  <c r="AC62" i="3"/>
  <c r="AD62" i="3"/>
  <c r="AF62" i="3"/>
  <c r="AG62" i="3"/>
  <c r="AH62" i="3"/>
  <c r="AI62" i="3"/>
  <c r="AJ62" i="3"/>
  <c r="AL62" i="3"/>
  <c r="AM62" i="3"/>
  <c r="AN62" i="3"/>
  <c r="AO62" i="3"/>
  <c r="AP62" i="3"/>
  <c r="AR62" i="3"/>
  <c r="AS62" i="3"/>
  <c r="AT62" i="3"/>
  <c r="AU62" i="3"/>
  <c r="AV62" i="3"/>
  <c r="AX62" i="3"/>
  <c r="AY62" i="3"/>
  <c r="AZ62" i="3"/>
  <c r="BA62" i="3"/>
  <c r="BB62" i="3"/>
  <c r="BD62" i="3"/>
  <c r="BE62" i="3"/>
  <c r="BF62" i="3"/>
  <c r="BG62" i="3"/>
  <c r="BH62" i="3"/>
  <c r="BJ62" i="3"/>
  <c r="BK62" i="3"/>
  <c r="BL62" i="3"/>
  <c r="BM62" i="3"/>
  <c r="BN62" i="3"/>
  <c r="BP62" i="3"/>
  <c r="BQ62" i="3"/>
  <c r="BR62" i="3"/>
  <c r="BS62" i="3"/>
  <c r="BT62" i="3"/>
  <c r="BV62" i="3"/>
  <c r="BW62" i="3"/>
  <c r="BX62" i="3"/>
  <c r="BY62" i="3"/>
  <c r="BZ62" i="3"/>
  <c r="CB62" i="3"/>
  <c r="CC62" i="3"/>
  <c r="CD62" i="3"/>
  <c r="CE62" i="3"/>
  <c r="CF62" i="3"/>
  <c r="CH62" i="3"/>
  <c r="CI62" i="3"/>
  <c r="CJ62" i="3"/>
  <c r="CK62" i="3"/>
  <c r="CL62" i="3"/>
  <c r="CN62" i="3"/>
  <c r="CO62" i="3"/>
  <c r="CP62" i="3"/>
  <c r="CQ62" i="3"/>
  <c r="CR62" i="3"/>
  <c r="CT62" i="3"/>
  <c r="CU62" i="3"/>
  <c r="CV62" i="3"/>
  <c r="CW62" i="3"/>
  <c r="CX62" i="3"/>
  <c r="CZ62" i="3"/>
  <c r="DA62" i="3"/>
  <c r="DB62" i="3"/>
  <c r="DC62" i="3"/>
  <c r="DD62" i="3"/>
  <c r="DF62" i="3"/>
  <c r="DG62" i="3"/>
  <c r="DH62" i="3"/>
  <c r="DI62" i="3"/>
  <c r="DJ62" i="3"/>
  <c r="DL62" i="3"/>
  <c r="DM62" i="3"/>
  <c r="DN62" i="3"/>
  <c r="DO62" i="3"/>
  <c r="DP62" i="3"/>
  <c r="DR62" i="3"/>
  <c r="DS62" i="3"/>
  <c r="DT62" i="3"/>
  <c r="DU62" i="3"/>
  <c r="DV62" i="3"/>
  <c r="DX62" i="3"/>
  <c r="DY62" i="3"/>
  <c r="DZ62" i="3"/>
  <c r="EA62" i="3"/>
  <c r="EB62" i="3"/>
  <c r="ED62" i="3"/>
  <c r="EE62" i="3"/>
  <c r="EF62" i="3"/>
  <c r="EG62" i="3"/>
  <c r="EH62" i="3"/>
  <c r="EJ62" i="3"/>
  <c r="EK62" i="3"/>
  <c r="EL62" i="3"/>
  <c r="EM62" i="3"/>
  <c r="EN62" i="3"/>
  <c r="EP62" i="3"/>
  <c r="EQ62" i="3"/>
  <c r="ER62" i="3"/>
  <c r="ES62" i="3"/>
  <c r="ET62" i="3"/>
  <c r="EV62" i="3"/>
  <c r="EW62" i="3"/>
  <c r="EX62" i="3"/>
  <c r="EY62" i="3"/>
  <c r="EZ62" i="3"/>
  <c r="FB62" i="3"/>
  <c r="FC62" i="3"/>
  <c r="FD62" i="3"/>
  <c r="FE62" i="3"/>
  <c r="FF62" i="3"/>
  <c r="FH62" i="3"/>
  <c r="FI62" i="3"/>
  <c r="FJ62" i="3"/>
  <c r="FK62" i="3"/>
  <c r="FL62" i="3"/>
  <c r="FN62" i="3"/>
  <c r="FO62" i="3"/>
  <c r="FP62" i="3"/>
  <c r="FQ62" i="3"/>
  <c r="FR62" i="3"/>
  <c r="FT62" i="3"/>
  <c r="FU62" i="3"/>
  <c r="FV62" i="3"/>
  <c r="FW62" i="3"/>
  <c r="FX62" i="3"/>
  <c r="FZ62" i="3"/>
  <c r="GA62" i="3"/>
  <c r="GB62" i="3"/>
  <c r="GC62" i="3"/>
  <c r="GD62" i="3"/>
  <c r="GF62" i="3"/>
  <c r="GG62" i="3"/>
  <c r="GH62" i="3"/>
  <c r="GI62" i="3"/>
  <c r="GJ62" i="3"/>
  <c r="GL62" i="3"/>
  <c r="GM62" i="3"/>
  <c r="GN62" i="3"/>
  <c r="A63" i="3"/>
  <c r="B63" i="3"/>
  <c r="C63" i="3"/>
  <c r="D63" i="3"/>
  <c r="E63" i="3"/>
  <c r="F63" i="3"/>
  <c r="H63" i="3"/>
  <c r="I63" i="3"/>
  <c r="J63" i="3"/>
  <c r="K63" i="3"/>
  <c r="L63" i="3"/>
  <c r="N63" i="3"/>
  <c r="O63" i="3"/>
  <c r="P63" i="3"/>
  <c r="Q63" i="3"/>
  <c r="R63" i="3"/>
  <c r="T63" i="3"/>
  <c r="U63" i="3"/>
  <c r="V63" i="3"/>
  <c r="W63" i="3"/>
  <c r="X63" i="3"/>
  <c r="Z63" i="3"/>
  <c r="AA63" i="3"/>
  <c r="AB63" i="3"/>
  <c r="AC63" i="3"/>
  <c r="AD63" i="3"/>
  <c r="AF63" i="3"/>
  <c r="AG63" i="3"/>
  <c r="AH63" i="3"/>
  <c r="AI63" i="3"/>
  <c r="AJ63" i="3"/>
  <c r="AL63" i="3"/>
  <c r="AM63" i="3"/>
  <c r="AN63" i="3"/>
  <c r="AO63" i="3"/>
  <c r="AP63" i="3"/>
  <c r="AR63" i="3"/>
  <c r="AS63" i="3"/>
  <c r="AT63" i="3"/>
  <c r="AU63" i="3"/>
  <c r="AV63" i="3"/>
  <c r="AX63" i="3"/>
  <c r="AY63" i="3"/>
  <c r="AZ63" i="3"/>
  <c r="BA63" i="3"/>
  <c r="BB63" i="3"/>
  <c r="BD63" i="3"/>
  <c r="BE63" i="3"/>
  <c r="BF63" i="3"/>
  <c r="BG63" i="3"/>
  <c r="BH63" i="3"/>
  <c r="BJ63" i="3"/>
  <c r="BK63" i="3"/>
  <c r="BL63" i="3"/>
  <c r="BM63" i="3"/>
  <c r="BN63" i="3"/>
  <c r="BP63" i="3"/>
  <c r="BQ63" i="3"/>
  <c r="BR63" i="3"/>
  <c r="BS63" i="3"/>
  <c r="BT63" i="3"/>
  <c r="BV63" i="3"/>
  <c r="BW63" i="3"/>
  <c r="BX63" i="3"/>
  <c r="BY63" i="3"/>
  <c r="BZ63" i="3"/>
  <c r="CB63" i="3"/>
  <c r="CC63" i="3"/>
  <c r="CD63" i="3"/>
  <c r="CE63" i="3"/>
  <c r="CF63" i="3"/>
  <c r="CH63" i="3"/>
  <c r="CI63" i="3"/>
  <c r="CJ63" i="3"/>
  <c r="CK63" i="3"/>
  <c r="CL63" i="3"/>
  <c r="CN63" i="3"/>
  <c r="CO63" i="3"/>
  <c r="CP63" i="3"/>
  <c r="CQ63" i="3"/>
  <c r="CR63" i="3"/>
  <c r="CT63" i="3"/>
  <c r="CU63" i="3"/>
  <c r="CV63" i="3"/>
  <c r="CW63" i="3"/>
  <c r="CX63" i="3"/>
  <c r="CZ63" i="3"/>
  <c r="DA63" i="3"/>
  <c r="DB63" i="3"/>
  <c r="DC63" i="3"/>
  <c r="DD63" i="3"/>
  <c r="DF63" i="3"/>
  <c r="DG63" i="3"/>
  <c r="DH63" i="3"/>
  <c r="DI63" i="3"/>
  <c r="DJ63" i="3"/>
  <c r="DL63" i="3"/>
  <c r="DM63" i="3"/>
  <c r="DN63" i="3"/>
  <c r="DO63" i="3"/>
  <c r="DP63" i="3"/>
  <c r="DR63" i="3"/>
  <c r="DS63" i="3"/>
  <c r="DT63" i="3"/>
  <c r="DU63" i="3"/>
  <c r="DV63" i="3"/>
  <c r="DX63" i="3"/>
  <c r="DY63" i="3"/>
  <c r="DZ63" i="3"/>
  <c r="EA63" i="3"/>
  <c r="EB63" i="3"/>
  <c r="ED63" i="3"/>
  <c r="EE63" i="3"/>
  <c r="EF63" i="3"/>
  <c r="EG63" i="3"/>
  <c r="EH63" i="3"/>
  <c r="EJ63" i="3"/>
  <c r="EK63" i="3"/>
  <c r="EL63" i="3"/>
  <c r="EM63" i="3"/>
  <c r="EN63" i="3"/>
  <c r="EP63" i="3"/>
  <c r="EQ63" i="3"/>
  <c r="ER63" i="3"/>
  <c r="ES63" i="3"/>
  <c r="ET63" i="3"/>
  <c r="EV63" i="3"/>
  <c r="EW63" i="3"/>
  <c r="EX63" i="3"/>
  <c r="EY63" i="3"/>
  <c r="EZ63" i="3"/>
  <c r="FB63" i="3"/>
  <c r="FC63" i="3"/>
  <c r="FD63" i="3"/>
  <c r="FE63" i="3"/>
  <c r="FF63" i="3"/>
  <c r="FH63" i="3"/>
  <c r="FI63" i="3"/>
  <c r="FJ63" i="3"/>
  <c r="FK63" i="3"/>
  <c r="FL63" i="3"/>
  <c r="FN63" i="3"/>
  <c r="FO63" i="3"/>
  <c r="FP63" i="3"/>
  <c r="FQ63" i="3"/>
  <c r="FR63" i="3"/>
  <c r="FT63" i="3"/>
  <c r="FU63" i="3"/>
  <c r="FV63" i="3"/>
  <c r="FW63" i="3"/>
  <c r="FX63" i="3"/>
  <c r="FZ63" i="3"/>
  <c r="GA63" i="3"/>
  <c r="GB63" i="3"/>
  <c r="GC63" i="3"/>
  <c r="GD63" i="3"/>
  <c r="GF63" i="3"/>
  <c r="GG63" i="3"/>
  <c r="GH63" i="3"/>
  <c r="GI63" i="3"/>
  <c r="GJ63" i="3"/>
  <c r="GL63" i="3"/>
  <c r="GM63" i="3"/>
  <c r="GN63" i="3"/>
  <c r="A64" i="3"/>
  <c r="B64" i="3"/>
  <c r="C64" i="3"/>
  <c r="D64" i="3"/>
  <c r="E64" i="3"/>
  <c r="F64" i="3"/>
  <c r="H64" i="3"/>
  <c r="I64" i="3"/>
  <c r="J64" i="3"/>
  <c r="K64" i="3"/>
  <c r="L64" i="3"/>
  <c r="N64" i="3"/>
  <c r="O64" i="3"/>
  <c r="P64" i="3"/>
  <c r="Q64" i="3"/>
  <c r="R64" i="3"/>
  <c r="T64" i="3"/>
  <c r="U64" i="3"/>
  <c r="V64" i="3"/>
  <c r="W64" i="3"/>
  <c r="X64" i="3"/>
  <c r="Z64" i="3"/>
  <c r="AA64" i="3"/>
  <c r="AB64" i="3"/>
  <c r="AC64" i="3"/>
  <c r="AD64" i="3"/>
  <c r="AF64" i="3"/>
  <c r="AG64" i="3"/>
  <c r="AH64" i="3"/>
  <c r="AI64" i="3"/>
  <c r="AJ64" i="3"/>
  <c r="AL64" i="3"/>
  <c r="AM64" i="3"/>
  <c r="AN64" i="3"/>
  <c r="AO64" i="3"/>
  <c r="AP64" i="3"/>
  <c r="AR64" i="3"/>
  <c r="AS64" i="3"/>
  <c r="AT64" i="3"/>
  <c r="AU64" i="3"/>
  <c r="AV64" i="3"/>
  <c r="AX64" i="3"/>
  <c r="AY64" i="3"/>
  <c r="AZ64" i="3"/>
  <c r="BA64" i="3"/>
  <c r="BB64" i="3"/>
  <c r="BD64" i="3"/>
  <c r="BE64" i="3"/>
  <c r="BF64" i="3"/>
  <c r="BG64" i="3"/>
  <c r="BH64" i="3"/>
  <c r="BJ64" i="3"/>
  <c r="BK64" i="3"/>
  <c r="BL64" i="3"/>
  <c r="BM64" i="3"/>
  <c r="BN64" i="3"/>
  <c r="BP64" i="3"/>
  <c r="BQ64" i="3"/>
  <c r="BR64" i="3"/>
  <c r="BS64" i="3"/>
  <c r="BT64" i="3"/>
  <c r="BV64" i="3"/>
  <c r="BW64" i="3"/>
  <c r="BX64" i="3"/>
  <c r="BY64" i="3"/>
  <c r="BZ64" i="3"/>
  <c r="CB64" i="3"/>
  <c r="CC64" i="3"/>
  <c r="CD64" i="3"/>
  <c r="CE64" i="3"/>
  <c r="CF64" i="3"/>
  <c r="CH64" i="3"/>
  <c r="CI64" i="3"/>
  <c r="CJ64" i="3"/>
  <c r="CK64" i="3"/>
  <c r="CL64" i="3"/>
  <c r="CN64" i="3"/>
  <c r="CO64" i="3"/>
  <c r="CP64" i="3"/>
  <c r="CQ64" i="3"/>
  <c r="CR64" i="3"/>
  <c r="CT64" i="3"/>
  <c r="CU64" i="3"/>
  <c r="CV64" i="3"/>
  <c r="CW64" i="3"/>
  <c r="CX64" i="3"/>
  <c r="CZ64" i="3"/>
  <c r="DA64" i="3"/>
  <c r="DB64" i="3"/>
  <c r="DC64" i="3"/>
  <c r="DD64" i="3"/>
  <c r="DF64" i="3"/>
  <c r="DG64" i="3"/>
  <c r="DH64" i="3"/>
  <c r="DI64" i="3"/>
  <c r="DJ64" i="3"/>
  <c r="DL64" i="3"/>
  <c r="DM64" i="3"/>
  <c r="DN64" i="3"/>
  <c r="DO64" i="3"/>
  <c r="DP64" i="3"/>
  <c r="DR64" i="3"/>
  <c r="DS64" i="3"/>
  <c r="DT64" i="3"/>
  <c r="DU64" i="3"/>
  <c r="DV64" i="3"/>
  <c r="DX64" i="3"/>
  <c r="DY64" i="3"/>
  <c r="DZ64" i="3"/>
  <c r="EA64" i="3"/>
  <c r="EB64" i="3"/>
  <c r="ED64" i="3"/>
  <c r="EE64" i="3"/>
  <c r="EF64" i="3"/>
  <c r="EG64" i="3"/>
  <c r="EH64" i="3"/>
  <c r="EJ64" i="3"/>
  <c r="EK64" i="3"/>
  <c r="EL64" i="3"/>
  <c r="EM64" i="3"/>
  <c r="EN64" i="3"/>
  <c r="EP64" i="3"/>
  <c r="EQ64" i="3"/>
  <c r="ER64" i="3"/>
  <c r="ES64" i="3"/>
  <c r="ET64" i="3"/>
  <c r="EV64" i="3"/>
  <c r="EW64" i="3"/>
  <c r="EX64" i="3"/>
  <c r="EY64" i="3"/>
  <c r="EZ64" i="3"/>
  <c r="FB64" i="3"/>
  <c r="FC64" i="3"/>
  <c r="FD64" i="3"/>
  <c r="FE64" i="3"/>
  <c r="FF64" i="3"/>
  <c r="FH64" i="3"/>
  <c r="FI64" i="3"/>
  <c r="FJ64" i="3"/>
  <c r="FK64" i="3"/>
  <c r="FL64" i="3"/>
  <c r="FN64" i="3"/>
  <c r="FO64" i="3"/>
  <c r="FP64" i="3"/>
  <c r="FQ64" i="3"/>
  <c r="FR64" i="3"/>
  <c r="FT64" i="3"/>
  <c r="FU64" i="3"/>
  <c r="FV64" i="3"/>
  <c r="FW64" i="3"/>
  <c r="FX64" i="3"/>
  <c r="FZ64" i="3"/>
  <c r="GA64" i="3"/>
  <c r="GB64" i="3"/>
  <c r="GC64" i="3"/>
  <c r="GD64" i="3"/>
  <c r="GF64" i="3"/>
  <c r="GG64" i="3"/>
  <c r="GH64" i="3"/>
  <c r="GI64" i="3"/>
  <c r="GJ64" i="3"/>
  <c r="GL64" i="3"/>
  <c r="GM64" i="3"/>
  <c r="GN64" i="3"/>
  <c r="A65" i="3"/>
  <c r="B65" i="3"/>
  <c r="C65" i="3"/>
  <c r="D65" i="3"/>
  <c r="E65" i="3"/>
  <c r="F65" i="3"/>
  <c r="H65" i="3"/>
  <c r="I65" i="3"/>
  <c r="J65" i="3"/>
  <c r="K65" i="3"/>
  <c r="L65" i="3"/>
  <c r="N65" i="3"/>
  <c r="O65" i="3"/>
  <c r="P65" i="3"/>
  <c r="Q65" i="3"/>
  <c r="R65" i="3"/>
  <c r="T65" i="3"/>
  <c r="U65" i="3"/>
  <c r="V65" i="3"/>
  <c r="W65" i="3"/>
  <c r="X65" i="3"/>
  <c r="Z65" i="3"/>
  <c r="AA65" i="3"/>
  <c r="AB65" i="3"/>
  <c r="AC65" i="3"/>
  <c r="AD65" i="3"/>
  <c r="AF65" i="3"/>
  <c r="AG65" i="3"/>
  <c r="AH65" i="3"/>
  <c r="AI65" i="3"/>
  <c r="AJ65" i="3"/>
  <c r="AL65" i="3"/>
  <c r="AM65" i="3"/>
  <c r="AN65" i="3"/>
  <c r="AO65" i="3"/>
  <c r="AP65" i="3"/>
  <c r="AR65" i="3"/>
  <c r="AS65" i="3"/>
  <c r="AT65" i="3"/>
  <c r="AU65" i="3"/>
  <c r="AV65" i="3"/>
  <c r="AX65" i="3"/>
  <c r="AY65" i="3"/>
  <c r="AZ65" i="3"/>
  <c r="BA65" i="3"/>
  <c r="BB65" i="3"/>
  <c r="BD65" i="3"/>
  <c r="BE65" i="3"/>
  <c r="BF65" i="3"/>
  <c r="BG65" i="3"/>
  <c r="BH65" i="3"/>
  <c r="BJ65" i="3"/>
  <c r="BK65" i="3"/>
  <c r="BL65" i="3"/>
  <c r="BM65" i="3"/>
  <c r="BN65" i="3"/>
  <c r="BP65" i="3"/>
  <c r="BQ65" i="3"/>
  <c r="BR65" i="3"/>
  <c r="BS65" i="3"/>
  <c r="BT65" i="3"/>
  <c r="BV65" i="3"/>
  <c r="BW65" i="3"/>
  <c r="BX65" i="3"/>
  <c r="BY65" i="3"/>
  <c r="BZ65" i="3"/>
  <c r="CB65" i="3"/>
  <c r="CC65" i="3"/>
  <c r="CD65" i="3"/>
  <c r="CE65" i="3"/>
  <c r="CF65" i="3"/>
  <c r="CH65" i="3"/>
  <c r="CI65" i="3"/>
  <c r="CJ65" i="3"/>
  <c r="CK65" i="3"/>
  <c r="CL65" i="3"/>
  <c r="CN65" i="3"/>
  <c r="CO65" i="3"/>
  <c r="CP65" i="3"/>
  <c r="CQ65" i="3"/>
  <c r="CR65" i="3"/>
  <c r="CT65" i="3"/>
  <c r="CU65" i="3"/>
  <c r="CV65" i="3"/>
  <c r="CW65" i="3"/>
  <c r="CX65" i="3"/>
  <c r="CZ65" i="3"/>
  <c r="DA65" i="3"/>
  <c r="DB65" i="3"/>
  <c r="DC65" i="3"/>
  <c r="DD65" i="3"/>
  <c r="DF65" i="3"/>
  <c r="DG65" i="3"/>
  <c r="DH65" i="3"/>
  <c r="DI65" i="3"/>
  <c r="DJ65" i="3"/>
  <c r="DL65" i="3"/>
  <c r="DM65" i="3"/>
  <c r="DN65" i="3"/>
  <c r="DO65" i="3"/>
  <c r="DP65" i="3"/>
  <c r="DR65" i="3"/>
  <c r="DS65" i="3"/>
  <c r="DT65" i="3"/>
  <c r="DU65" i="3"/>
  <c r="DV65" i="3"/>
  <c r="DX65" i="3"/>
  <c r="DY65" i="3"/>
  <c r="DZ65" i="3"/>
  <c r="EA65" i="3"/>
  <c r="EB65" i="3"/>
  <c r="ED65" i="3"/>
  <c r="EE65" i="3"/>
  <c r="EF65" i="3"/>
  <c r="EG65" i="3"/>
  <c r="EH65" i="3"/>
  <c r="EJ65" i="3"/>
  <c r="EK65" i="3"/>
  <c r="EL65" i="3"/>
  <c r="EM65" i="3"/>
  <c r="EN65" i="3"/>
  <c r="EP65" i="3"/>
  <c r="EQ65" i="3"/>
  <c r="ER65" i="3"/>
  <c r="ES65" i="3"/>
  <c r="ET65" i="3"/>
  <c r="EV65" i="3"/>
  <c r="EW65" i="3"/>
  <c r="EX65" i="3"/>
  <c r="EY65" i="3"/>
  <c r="EZ65" i="3"/>
  <c r="FB65" i="3"/>
  <c r="FC65" i="3"/>
  <c r="FD65" i="3"/>
  <c r="FE65" i="3"/>
  <c r="FF65" i="3"/>
  <c r="FH65" i="3"/>
  <c r="FI65" i="3"/>
  <c r="FJ65" i="3"/>
  <c r="FK65" i="3"/>
  <c r="FL65" i="3"/>
  <c r="FN65" i="3"/>
  <c r="FO65" i="3"/>
  <c r="FP65" i="3"/>
  <c r="FQ65" i="3"/>
  <c r="FR65" i="3"/>
  <c r="FT65" i="3"/>
  <c r="FU65" i="3"/>
  <c r="FV65" i="3"/>
  <c r="FW65" i="3"/>
  <c r="FX65" i="3"/>
  <c r="FZ65" i="3"/>
  <c r="GA65" i="3"/>
  <c r="GB65" i="3"/>
  <c r="GC65" i="3"/>
  <c r="GD65" i="3"/>
  <c r="GF65" i="3"/>
  <c r="GG65" i="3"/>
  <c r="GH65" i="3"/>
  <c r="GI65" i="3"/>
  <c r="GJ65" i="3"/>
  <c r="GL65" i="3"/>
  <c r="GM65" i="3"/>
  <c r="GN65" i="3"/>
  <c r="A66" i="3"/>
  <c r="B66" i="3"/>
  <c r="C66" i="3"/>
  <c r="D66" i="3"/>
  <c r="E66" i="3"/>
  <c r="F66" i="3"/>
  <c r="H66" i="3"/>
  <c r="I66" i="3"/>
  <c r="J66" i="3"/>
  <c r="K66" i="3"/>
  <c r="L66" i="3"/>
  <c r="N66" i="3"/>
  <c r="O66" i="3"/>
  <c r="P66" i="3"/>
  <c r="Q66" i="3"/>
  <c r="R66" i="3"/>
  <c r="T66" i="3"/>
  <c r="U66" i="3"/>
  <c r="V66" i="3"/>
  <c r="W66" i="3"/>
  <c r="X66" i="3"/>
  <c r="Z66" i="3"/>
  <c r="AA66" i="3"/>
  <c r="AB66" i="3"/>
  <c r="AC66" i="3"/>
  <c r="AD66" i="3"/>
  <c r="AF66" i="3"/>
  <c r="AG66" i="3"/>
  <c r="AH66" i="3"/>
  <c r="AI66" i="3"/>
  <c r="AJ66" i="3"/>
  <c r="AL66" i="3"/>
  <c r="AM66" i="3"/>
  <c r="AN66" i="3"/>
  <c r="AO66" i="3"/>
  <c r="AP66" i="3"/>
  <c r="AR66" i="3"/>
  <c r="AS66" i="3"/>
  <c r="AT66" i="3"/>
  <c r="AU66" i="3"/>
  <c r="AV66" i="3"/>
  <c r="AX66" i="3"/>
  <c r="AY66" i="3"/>
  <c r="AZ66" i="3"/>
  <c r="BA66" i="3"/>
  <c r="BB66" i="3"/>
  <c r="BD66" i="3"/>
  <c r="BE66" i="3"/>
  <c r="BF66" i="3"/>
  <c r="BG66" i="3"/>
  <c r="BH66" i="3"/>
  <c r="BJ66" i="3"/>
  <c r="BK66" i="3"/>
  <c r="BL66" i="3"/>
  <c r="BM66" i="3"/>
  <c r="BN66" i="3"/>
  <c r="BP66" i="3"/>
  <c r="BQ66" i="3"/>
  <c r="BR66" i="3"/>
  <c r="BS66" i="3"/>
  <c r="BT66" i="3"/>
  <c r="BV66" i="3"/>
  <c r="BW66" i="3"/>
  <c r="BX66" i="3"/>
  <c r="BY66" i="3"/>
  <c r="BZ66" i="3"/>
  <c r="CB66" i="3"/>
  <c r="CC66" i="3"/>
  <c r="CD66" i="3"/>
  <c r="CE66" i="3"/>
  <c r="CF66" i="3"/>
  <c r="CH66" i="3"/>
  <c r="CI66" i="3"/>
  <c r="CJ66" i="3"/>
  <c r="CK66" i="3"/>
  <c r="CL66" i="3"/>
  <c r="CN66" i="3"/>
  <c r="CO66" i="3"/>
  <c r="CP66" i="3"/>
  <c r="CQ66" i="3"/>
  <c r="CR66" i="3"/>
  <c r="CT66" i="3"/>
  <c r="CU66" i="3"/>
  <c r="CV66" i="3"/>
  <c r="CW66" i="3"/>
  <c r="CX66" i="3"/>
  <c r="CZ66" i="3"/>
  <c r="DA66" i="3"/>
  <c r="DB66" i="3"/>
  <c r="DC66" i="3"/>
  <c r="DD66" i="3"/>
  <c r="DF66" i="3"/>
  <c r="DG66" i="3"/>
  <c r="DH66" i="3"/>
  <c r="DI66" i="3"/>
  <c r="DJ66" i="3"/>
  <c r="DL66" i="3"/>
  <c r="DM66" i="3"/>
  <c r="DN66" i="3"/>
  <c r="DO66" i="3"/>
  <c r="DP66" i="3"/>
  <c r="DR66" i="3"/>
  <c r="DS66" i="3"/>
  <c r="DT66" i="3"/>
  <c r="DU66" i="3"/>
  <c r="DV66" i="3"/>
  <c r="DX66" i="3"/>
  <c r="DY66" i="3"/>
  <c r="DZ66" i="3"/>
  <c r="EA66" i="3"/>
  <c r="EB66" i="3"/>
  <c r="ED66" i="3"/>
  <c r="EE66" i="3"/>
  <c r="EF66" i="3"/>
  <c r="EG66" i="3"/>
  <c r="EH66" i="3"/>
  <c r="EJ66" i="3"/>
  <c r="EK66" i="3"/>
  <c r="EL66" i="3"/>
  <c r="EM66" i="3"/>
  <c r="EN66" i="3"/>
  <c r="EP66" i="3"/>
  <c r="EQ66" i="3"/>
  <c r="ER66" i="3"/>
  <c r="ES66" i="3"/>
  <c r="ET66" i="3"/>
  <c r="EV66" i="3"/>
  <c r="EW66" i="3"/>
  <c r="EX66" i="3"/>
  <c r="EY66" i="3"/>
  <c r="EZ66" i="3"/>
  <c r="FB66" i="3"/>
  <c r="FC66" i="3"/>
  <c r="FD66" i="3"/>
  <c r="FE66" i="3"/>
  <c r="FF66" i="3"/>
  <c r="FH66" i="3"/>
  <c r="FI66" i="3"/>
  <c r="FJ66" i="3"/>
  <c r="FK66" i="3"/>
  <c r="FL66" i="3"/>
  <c r="FN66" i="3"/>
  <c r="FO66" i="3"/>
  <c r="FP66" i="3"/>
  <c r="FQ66" i="3"/>
  <c r="FR66" i="3"/>
  <c r="FT66" i="3"/>
  <c r="FU66" i="3"/>
  <c r="FV66" i="3"/>
  <c r="FW66" i="3"/>
  <c r="FX66" i="3"/>
  <c r="FZ66" i="3"/>
  <c r="GA66" i="3"/>
  <c r="GB66" i="3"/>
  <c r="GC66" i="3"/>
  <c r="GD66" i="3"/>
  <c r="GF66" i="3"/>
  <c r="GG66" i="3"/>
  <c r="GH66" i="3"/>
  <c r="GI66" i="3"/>
  <c r="GJ66" i="3"/>
  <c r="GL66" i="3"/>
  <c r="GM66" i="3"/>
  <c r="GN66" i="3"/>
  <c r="A67" i="3"/>
  <c r="B67" i="3"/>
  <c r="C67" i="3"/>
  <c r="D67" i="3"/>
  <c r="E67" i="3"/>
  <c r="F67" i="3"/>
  <c r="H67" i="3"/>
  <c r="I67" i="3"/>
  <c r="J67" i="3"/>
  <c r="K67" i="3"/>
  <c r="L67" i="3"/>
  <c r="N67" i="3"/>
  <c r="O67" i="3"/>
  <c r="P67" i="3"/>
  <c r="Q67" i="3"/>
  <c r="R67" i="3"/>
  <c r="T67" i="3"/>
  <c r="U67" i="3"/>
  <c r="V67" i="3"/>
  <c r="W67" i="3"/>
  <c r="X67" i="3"/>
  <c r="Z67" i="3"/>
  <c r="AA67" i="3"/>
  <c r="AB67" i="3"/>
  <c r="AC67" i="3"/>
  <c r="AD67" i="3"/>
  <c r="AF67" i="3"/>
  <c r="AG67" i="3"/>
  <c r="AH67" i="3"/>
  <c r="AI67" i="3"/>
  <c r="AJ67" i="3"/>
  <c r="AL67" i="3"/>
  <c r="AM67" i="3"/>
  <c r="AN67" i="3"/>
  <c r="AO67" i="3"/>
  <c r="AP67" i="3"/>
  <c r="AR67" i="3"/>
  <c r="AS67" i="3"/>
  <c r="AT67" i="3"/>
  <c r="AU67" i="3"/>
  <c r="AV67" i="3"/>
  <c r="AX67" i="3"/>
  <c r="AY67" i="3"/>
  <c r="AZ67" i="3"/>
  <c r="BA67" i="3"/>
  <c r="BB67" i="3"/>
  <c r="BC67" i="3" s="1"/>
  <c r="BD67" i="3"/>
  <c r="BE67" i="3"/>
  <c r="BF67" i="3"/>
  <c r="BG67" i="3"/>
  <c r="BH67" i="3"/>
  <c r="BJ67" i="3"/>
  <c r="BK67" i="3"/>
  <c r="BL67" i="3"/>
  <c r="BM67" i="3"/>
  <c r="BN67" i="3"/>
  <c r="BP67" i="3"/>
  <c r="BQ67" i="3"/>
  <c r="BR67" i="3"/>
  <c r="BS67" i="3"/>
  <c r="BT67" i="3"/>
  <c r="BV67" i="3"/>
  <c r="BW67" i="3"/>
  <c r="BX67" i="3"/>
  <c r="BY67" i="3"/>
  <c r="BZ67" i="3"/>
  <c r="CB67" i="3"/>
  <c r="CC67" i="3"/>
  <c r="CD67" i="3"/>
  <c r="CE67" i="3"/>
  <c r="CF67" i="3"/>
  <c r="CH67" i="3"/>
  <c r="CI67" i="3"/>
  <c r="CJ67" i="3"/>
  <c r="CK67" i="3"/>
  <c r="CL67" i="3"/>
  <c r="CN67" i="3"/>
  <c r="CO67" i="3"/>
  <c r="CP67" i="3"/>
  <c r="CQ67" i="3"/>
  <c r="CR67" i="3"/>
  <c r="CT67" i="3"/>
  <c r="CU67" i="3"/>
  <c r="CV67" i="3"/>
  <c r="CW67" i="3"/>
  <c r="CX67" i="3"/>
  <c r="CZ67" i="3"/>
  <c r="DA67" i="3"/>
  <c r="DB67" i="3"/>
  <c r="DC67" i="3"/>
  <c r="DD67" i="3"/>
  <c r="DF67" i="3"/>
  <c r="DG67" i="3"/>
  <c r="DH67" i="3"/>
  <c r="DI67" i="3"/>
  <c r="DJ67" i="3"/>
  <c r="DL67" i="3"/>
  <c r="DM67" i="3"/>
  <c r="DN67" i="3"/>
  <c r="DO67" i="3"/>
  <c r="DP67" i="3"/>
  <c r="DR67" i="3"/>
  <c r="DS67" i="3"/>
  <c r="DT67" i="3"/>
  <c r="DU67" i="3"/>
  <c r="DV67" i="3"/>
  <c r="DX67" i="3"/>
  <c r="DY67" i="3"/>
  <c r="DZ67" i="3"/>
  <c r="EA67" i="3"/>
  <c r="EB67" i="3"/>
  <c r="ED67" i="3"/>
  <c r="EE67" i="3"/>
  <c r="EF67" i="3"/>
  <c r="EG67" i="3"/>
  <c r="EH67" i="3"/>
  <c r="EJ67" i="3"/>
  <c r="EK67" i="3"/>
  <c r="EL67" i="3"/>
  <c r="EM67" i="3"/>
  <c r="EN67" i="3"/>
  <c r="EP67" i="3"/>
  <c r="EQ67" i="3"/>
  <c r="ER67" i="3"/>
  <c r="ES67" i="3"/>
  <c r="ET67" i="3"/>
  <c r="EV67" i="3"/>
  <c r="EW67" i="3"/>
  <c r="EX67" i="3"/>
  <c r="EY67" i="3"/>
  <c r="EZ67" i="3"/>
  <c r="FB67" i="3"/>
  <c r="FC67" i="3"/>
  <c r="FD67" i="3"/>
  <c r="FE67" i="3"/>
  <c r="FF67" i="3"/>
  <c r="FH67" i="3"/>
  <c r="FI67" i="3"/>
  <c r="FJ67" i="3"/>
  <c r="FK67" i="3"/>
  <c r="FL67" i="3"/>
  <c r="FN67" i="3"/>
  <c r="FO67" i="3"/>
  <c r="FP67" i="3"/>
  <c r="FQ67" i="3"/>
  <c r="FR67" i="3"/>
  <c r="FT67" i="3"/>
  <c r="FU67" i="3"/>
  <c r="FV67" i="3"/>
  <c r="FW67" i="3"/>
  <c r="FX67" i="3"/>
  <c r="FZ67" i="3"/>
  <c r="GA67" i="3"/>
  <c r="GB67" i="3"/>
  <c r="GC67" i="3"/>
  <c r="GD67" i="3"/>
  <c r="GF67" i="3"/>
  <c r="GG67" i="3"/>
  <c r="GH67" i="3"/>
  <c r="GI67" i="3"/>
  <c r="GJ67" i="3"/>
  <c r="GL67" i="3"/>
  <c r="GM67" i="3"/>
  <c r="GN67" i="3"/>
  <c r="A68" i="3"/>
  <c r="B68" i="3"/>
  <c r="C68" i="3"/>
  <c r="D68" i="3"/>
  <c r="E68" i="3"/>
  <c r="F68" i="3"/>
  <c r="H68" i="3"/>
  <c r="I68" i="3"/>
  <c r="J68" i="3"/>
  <c r="K68" i="3"/>
  <c r="L68" i="3"/>
  <c r="N68" i="3"/>
  <c r="O68" i="3"/>
  <c r="P68" i="3"/>
  <c r="Q68" i="3"/>
  <c r="R68" i="3"/>
  <c r="T68" i="3"/>
  <c r="U68" i="3"/>
  <c r="V68" i="3"/>
  <c r="W68" i="3"/>
  <c r="X68" i="3"/>
  <c r="Z68" i="3"/>
  <c r="AA68" i="3"/>
  <c r="AB68" i="3"/>
  <c r="AC68" i="3"/>
  <c r="AD68" i="3"/>
  <c r="AF68" i="3"/>
  <c r="AG68" i="3"/>
  <c r="AH68" i="3"/>
  <c r="AI68" i="3"/>
  <c r="AJ68" i="3"/>
  <c r="AL68" i="3"/>
  <c r="AM68" i="3"/>
  <c r="AN68" i="3"/>
  <c r="AO68" i="3"/>
  <c r="AP68" i="3"/>
  <c r="AR68" i="3"/>
  <c r="AS68" i="3"/>
  <c r="AT68" i="3"/>
  <c r="AU68" i="3"/>
  <c r="AV68" i="3"/>
  <c r="AX68" i="3"/>
  <c r="AY68" i="3"/>
  <c r="AZ68" i="3"/>
  <c r="BA68" i="3"/>
  <c r="BB68" i="3"/>
  <c r="BD68" i="3"/>
  <c r="BE68" i="3"/>
  <c r="BF68" i="3"/>
  <c r="BG68" i="3"/>
  <c r="BH68" i="3"/>
  <c r="BJ68" i="3"/>
  <c r="BK68" i="3"/>
  <c r="BL68" i="3"/>
  <c r="BM68" i="3"/>
  <c r="BN68" i="3"/>
  <c r="BP68" i="3"/>
  <c r="BQ68" i="3"/>
  <c r="BR68" i="3"/>
  <c r="BS68" i="3"/>
  <c r="BT68" i="3"/>
  <c r="BV68" i="3"/>
  <c r="BW68" i="3"/>
  <c r="BX68" i="3"/>
  <c r="BY68" i="3"/>
  <c r="BZ68" i="3"/>
  <c r="CB68" i="3"/>
  <c r="CC68" i="3"/>
  <c r="CD68" i="3"/>
  <c r="CE68" i="3"/>
  <c r="CF68" i="3"/>
  <c r="CH68" i="3"/>
  <c r="CI68" i="3"/>
  <c r="CJ68" i="3"/>
  <c r="CK68" i="3"/>
  <c r="CL68" i="3"/>
  <c r="CN68" i="3"/>
  <c r="CO68" i="3"/>
  <c r="CP68" i="3"/>
  <c r="CQ68" i="3"/>
  <c r="CR68" i="3"/>
  <c r="CT68" i="3"/>
  <c r="CU68" i="3"/>
  <c r="CV68" i="3"/>
  <c r="CW68" i="3"/>
  <c r="CX68" i="3"/>
  <c r="CZ68" i="3"/>
  <c r="DA68" i="3"/>
  <c r="DB68" i="3"/>
  <c r="DC68" i="3"/>
  <c r="DD68" i="3"/>
  <c r="DF68" i="3"/>
  <c r="DG68" i="3"/>
  <c r="DH68" i="3"/>
  <c r="DI68" i="3"/>
  <c r="DJ68" i="3"/>
  <c r="DL68" i="3"/>
  <c r="DM68" i="3"/>
  <c r="DN68" i="3"/>
  <c r="DO68" i="3"/>
  <c r="DP68" i="3"/>
  <c r="DR68" i="3"/>
  <c r="DS68" i="3"/>
  <c r="DT68" i="3"/>
  <c r="DU68" i="3"/>
  <c r="DV68" i="3"/>
  <c r="DX68" i="3"/>
  <c r="DY68" i="3"/>
  <c r="DZ68" i="3"/>
  <c r="EA68" i="3"/>
  <c r="EB68" i="3"/>
  <c r="ED68" i="3"/>
  <c r="EE68" i="3"/>
  <c r="EF68" i="3"/>
  <c r="EG68" i="3"/>
  <c r="EH68" i="3"/>
  <c r="EJ68" i="3"/>
  <c r="EK68" i="3"/>
  <c r="EL68" i="3"/>
  <c r="EM68" i="3"/>
  <c r="EN68" i="3"/>
  <c r="EP68" i="3"/>
  <c r="EQ68" i="3"/>
  <c r="ER68" i="3"/>
  <c r="ES68" i="3"/>
  <c r="ET68" i="3"/>
  <c r="EV68" i="3"/>
  <c r="EW68" i="3"/>
  <c r="EX68" i="3"/>
  <c r="EY68" i="3"/>
  <c r="EZ68" i="3"/>
  <c r="FB68" i="3"/>
  <c r="FC68" i="3"/>
  <c r="FD68" i="3"/>
  <c r="FE68" i="3"/>
  <c r="FF68" i="3"/>
  <c r="FH68" i="3"/>
  <c r="FI68" i="3"/>
  <c r="FJ68" i="3"/>
  <c r="FK68" i="3"/>
  <c r="FL68" i="3"/>
  <c r="FN68" i="3"/>
  <c r="FO68" i="3"/>
  <c r="FP68" i="3"/>
  <c r="FQ68" i="3"/>
  <c r="FR68" i="3"/>
  <c r="FT68" i="3"/>
  <c r="FU68" i="3"/>
  <c r="FV68" i="3"/>
  <c r="FW68" i="3"/>
  <c r="FX68" i="3"/>
  <c r="FZ68" i="3"/>
  <c r="GA68" i="3"/>
  <c r="GB68" i="3"/>
  <c r="GC68" i="3"/>
  <c r="GD68" i="3"/>
  <c r="GF68" i="3"/>
  <c r="GG68" i="3"/>
  <c r="GH68" i="3"/>
  <c r="GI68" i="3"/>
  <c r="GJ68" i="3"/>
  <c r="GL68" i="3"/>
  <c r="GM68" i="3"/>
  <c r="GN68" i="3"/>
  <c r="A69" i="3"/>
  <c r="B69" i="3"/>
  <c r="C69" i="3"/>
  <c r="D69" i="3"/>
  <c r="E69" i="3"/>
  <c r="F69" i="3"/>
  <c r="H69" i="3"/>
  <c r="I69" i="3"/>
  <c r="J69" i="3"/>
  <c r="K69" i="3"/>
  <c r="L69" i="3"/>
  <c r="N69" i="3"/>
  <c r="O69" i="3"/>
  <c r="P69" i="3"/>
  <c r="Q69" i="3"/>
  <c r="R69" i="3"/>
  <c r="T69" i="3"/>
  <c r="U69" i="3"/>
  <c r="V69" i="3"/>
  <c r="W69" i="3"/>
  <c r="X69" i="3"/>
  <c r="Z69" i="3"/>
  <c r="AA69" i="3"/>
  <c r="AB69" i="3"/>
  <c r="AC69" i="3"/>
  <c r="AD69" i="3"/>
  <c r="AF69" i="3"/>
  <c r="AG69" i="3"/>
  <c r="AH69" i="3"/>
  <c r="AI69" i="3"/>
  <c r="AJ69" i="3"/>
  <c r="AL69" i="3"/>
  <c r="AM69" i="3"/>
  <c r="AN69" i="3"/>
  <c r="AO69" i="3"/>
  <c r="AP69" i="3"/>
  <c r="AR69" i="3"/>
  <c r="AS69" i="3"/>
  <c r="AT69" i="3"/>
  <c r="AU69" i="3"/>
  <c r="AV69" i="3"/>
  <c r="AX69" i="3"/>
  <c r="AY69" i="3"/>
  <c r="AZ69" i="3"/>
  <c r="BA69" i="3"/>
  <c r="BB69" i="3"/>
  <c r="BD69" i="3"/>
  <c r="BE69" i="3"/>
  <c r="BF69" i="3"/>
  <c r="BG69" i="3"/>
  <c r="BH69" i="3"/>
  <c r="BJ69" i="3"/>
  <c r="BK69" i="3"/>
  <c r="BL69" i="3"/>
  <c r="BM69" i="3"/>
  <c r="BN69" i="3"/>
  <c r="BP69" i="3"/>
  <c r="BQ69" i="3"/>
  <c r="BR69" i="3"/>
  <c r="BS69" i="3"/>
  <c r="BT69" i="3"/>
  <c r="BV69" i="3"/>
  <c r="BW69" i="3"/>
  <c r="BX69" i="3"/>
  <c r="BY69" i="3"/>
  <c r="BZ69" i="3"/>
  <c r="CB69" i="3"/>
  <c r="CC69" i="3"/>
  <c r="CD69" i="3"/>
  <c r="CE69" i="3"/>
  <c r="CF69" i="3"/>
  <c r="CH69" i="3"/>
  <c r="CI69" i="3"/>
  <c r="CJ69" i="3"/>
  <c r="CK69" i="3"/>
  <c r="CL69" i="3"/>
  <c r="CN69" i="3"/>
  <c r="CO69" i="3"/>
  <c r="CP69" i="3"/>
  <c r="CQ69" i="3"/>
  <c r="CR69" i="3"/>
  <c r="CT69" i="3"/>
  <c r="CU69" i="3"/>
  <c r="CV69" i="3"/>
  <c r="CW69" i="3"/>
  <c r="CX69" i="3"/>
  <c r="CZ69" i="3"/>
  <c r="DA69" i="3"/>
  <c r="DB69" i="3"/>
  <c r="DC69" i="3"/>
  <c r="DD69" i="3"/>
  <c r="DF69" i="3"/>
  <c r="DG69" i="3"/>
  <c r="DH69" i="3"/>
  <c r="DI69" i="3"/>
  <c r="DJ69" i="3"/>
  <c r="DL69" i="3"/>
  <c r="DM69" i="3"/>
  <c r="DN69" i="3"/>
  <c r="DO69" i="3"/>
  <c r="DP69" i="3"/>
  <c r="DR69" i="3"/>
  <c r="DS69" i="3"/>
  <c r="DT69" i="3"/>
  <c r="DU69" i="3"/>
  <c r="DV69" i="3"/>
  <c r="DX69" i="3"/>
  <c r="DY69" i="3"/>
  <c r="DZ69" i="3"/>
  <c r="EA69" i="3"/>
  <c r="EB69" i="3"/>
  <c r="ED69" i="3"/>
  <c r="EE69" i="3"/>
  <c r="EF69" i="3"/>
  <c r="EG69" i="3"/>
  <c r="EH69" i="3"/>
  <c r="EJ69" i="3"/>
  <c r="EK69" i="3"/>
  <c r="EL69" i="3"/>
  <c r="EM69" i="3"/>
  <c r="EN69" i="3"/>
  <c r="EP69" i="3"/>
  <c r="EQ69" i="3"/>
  <c r="ER69" i="3"/>
  <c r="ES69" i="3"/>
  <c r="ET69" i="3"/>
  <c r="EV69" i="3"/>
  <c r="EW69" i="3"/>
  <c r="EX69" i="3"/>
  <c r="EY69" i="3"/>
  <c r="EZ69" i="3"/>
  <c r="FB69" i="3"/>
  <c r="FC69" i="3"/>
  <c r="FD69" i="3"/>
  <c r="FE69" i="3"/>
  <c r="FF69" i="3"/>
  <c r="FH69" i="3"/>
  <c r="FI69" i="3"/>
  <c r="FJ69" i="3"/>
  <c r="FK69" i="3"/>
  <c r="FL69" i="3"/>
  <c r="FN69" i="3"/>
  <c r="FO69" i="3"/>
  <c r="FP69" i="3"/>
  <c r="FQ69" i="3"/>
  <c r="FR69" i="3"/>
  <c r="FT69" i="3"/>
  <c r="FU69" i="3"/>
  <c r="FV69" i="3"/>
  <c r="FW69" i="3"/>
  <c r="FX69" i="3"/>
  <c r="FZ69" i="3"/>
  <c r="GA69" i="3"/>
  <c r="GB69" i="3"/>
  <c r="GC69" i="3"/>
  <c r="GD69" i="3"/>
  <c r="GF69" i="3"/>
  <c r="GG69" i="3"/>
  <c r="GH69" i="3"/>
  <c r="GI69" i="3"/>
  <c r="GJ69" i="3"/>
  <c r="GL69" i="3"/>
  <c r="GM69" i="3"/>
  <c r="GN69" i="3"/>
  <c r="A70" i="3"/>
  <c r="B70" i="3"/>
  <c r="C70" i="3"/>
  <c r="D70" i="3"/>
  <c r="E70" i="3"/>
  <c r="F70" i="3"/>
  <c r="H70" i="3"/>
  <c r="I70" i="3"/>
  <c r="J70" i="3"/>
  <c r="K70" i="3"/>
  <c r="L70" i="3"/>
  <c r="N70" i="3"/>
  <c r="O70" i="3"/>
  <c r="P70" i="3"/>
  <c r="Q70" i="3"/>
  <c r="R70" i="3"/>
  <c r="T70" i="3"/>
  <c r="U70" i="3"/>
  <c r="V70" i="3"/>
  <c r="W70" i="3"/>
  <c r="X70" i="3"/>
  <c r="Z70" i="3"/>
  <c r="AA70" i="3"/>
  <c r="AB70" i="3"/>
  <c r="AC70" i="3"/>
  <c r="AD70" i="3"/>
  <c r="AF70" i="3"/>
  <c r="AG70" i="3"/>
  <c r="AH70" i="3"/>
  <c r="AI70" i="3"/>
  <c r="AJ70" i="3"/>
  <c r="AL70" i="3"/>
  <c r="AM70" i="3"/>
  <c r="AN70" i="3"/>
  <c r="AO70" i="3"/>
  <c r="AP70" i="3"/>
  <c r="AR70" i="3"/>
  <c r="AS70" i="3"/>
  <c r="AT70" i="3"/>
  <c r="AU70" i="3"/>
  <c r="AV70" i="3"/>
  <c r="AX70" i="3"/>
  <c r="AY70" i="3"/>
  <c r="AZ70" i="3"/>
  <c r="BA70" i="3"/>
  <c r="BB70" i="3"/>
  <c r="BD70" i="3"/>
  <c r="BE70" i="3"/>
  <c r="BF70" i="3"/>
  <c r="BG70" i="3"/>
  <c r="BH70" i="3"/>
  <c r="BJ70" i="3"/>
  <c r="BK70" i="3"/>
  <c r="BL70" i="3"/>
  <c r="BM70" i="3"/>
  <c r="BN70" i="3"/>
  <c r="BP70" i="3"/>
  <c r="BQ70" i="3"/>
  <c r="BR70" i="3"/>
  <c r="BS70" i="3"/>
  <c r="BT70" i="3"/>
  <c r="BV70" i="3"/>
  <c r="BW70" i="3"/>
  <c r="BX70" i="3"/>
  <c r="BY70" i="3"/>
  <c r="BZ70" i="3"/>
  <c r="CB70" i="3"/>
  <c r="CC70" i="3"/>
  <c r="CD70" i="3"/>
  <c r="CE70" i="3"/>
  <c r="CF70" i="3"/>
  <c r="CH70" i="3"/>
  <c r="CI70" i="3"/>
  <c r="CJ70" i="3"/>
  <c r="CK70" i="3"/>
  <c r="CL70" i="3"/>
  <c r="CN70" i="3"/>
  <c r="CO70" i="3"/>
  <c r="CP70" i="3"/>
  <c r="CQ70" i="3"/>
  <c r="CR70" i="3"/>
  <c r="CT70" i="3"/>
  <c r="CU70" i="3"/>
  <c r="CV70" i="3"/>
  <c r="CW70" i="3"/>
  <c r="CX70" i="3"/>
  <c r="CZ70" i="3"/>
  <c r="DA70" i="3"/>
  <c r="DB70" i="3"/>
  <c r="DC70" i="3"/>
  <c r="DD70" i="3"/>
  <c r="DF70" i="3"/>
  <c r="DG70" i="3"/>
  <c r="DH70" i="3"/>
  <c r="DI70" i="3"/>
  <c r="DJ70" i="3"/>
  <c r="DL70" i="3"/>
  <c r="DM70" i="3"/>
  <c r="DN70" i="3"/>
  <c r="DO70" i="3"/>
  <c r="DP70" i="3"/>
  <c r="DR70" i="3"/>
  <c r="DS70" i="3"/>
  <c r="DT70" i="3"/>
  <c r="DU70" i="3"/>
  <c r="DV70" i="3"/>
  <c r="DX70" i="3"/>
  <c r="DY70" i="3"/>
  <c r="DZ70" i="3"/>
  <c r="EA70" i="3"/>
  <c r="EB70" i="3"/>
  <c r="ED70" i="3"/>
  <c r="EE70" i="3"/>
  <c r="EF70" i="3"/>
  <c r="EG70" i="3"/>
  <c r="EH70" i="3"/>
  <c r="EJ70" i="3"/>
  <c r="EK70" i="3"/>
  <c r="EL70" i="3"/>
  <c r="EM70" i="3"/>
  <c r="EN70" i="3"/>
  <c r="EP70" i="3"/>
  <c r="EQ70" i="3"/>
  <c r="ER70" i="3"/>
  <c r="ES70" i="3"/>
  <c r="ET70" i="3"/>
  <c r="EV70" i="3"/>
  <c r="EW70" i="3"/>
  <c r="EX70" i="3"/>
  <c r="EY70" i="3"/>
  <c r="EZ70" i="3"/>
  <c r="FB70" i="3"/>
  <c r="FC70" i="3"/>
  <c r="FD70" i="3"/>
  <c r="FE70" i="3"/>
  <c r="FF70" i="3"/>
  <c r="FH70" i="3"/>
  <c r="FI70" i="3"/>
  <c r="FJ70" i="3"/>
  <c r="FK70" i="3"/>
  <c r="FL70" i="3"/>
  <c r="FN70" i="3"/>
  <c r="FO70" i="3"/>
  <c r="FP70" i="3"/>
  <c r="FQ70" i="3"/>
  <c r="FR70" i="3"/>
  <c r="FT70" i="3"/>
  <c r="FU70" i="3"/>
  <c r="FV70" i="3"/>
  <c r="FW70" i="3"/>
  <c r="FX70" i="3"/>
  <c r="FZ70" i="3"/>
  <c r="GA70" i="3"/>
  <c r="GB70" i="3"/>
  <c r="GC70" i="3"/>
  <c r="GD70" i="3"/>
  <c r="GF70" i="3"/>
  <c r="GG70" i="3"/>
  <c r="GH70" i="3"/>
  <c r="GI70" i="3"/>
  <c r="GJ70" i="3"/>
  <c r="GL70" i="3"/>
  <c r="GM70" i="3"/>
  <c r="GN70" i="3"/>
  <c r="A71" i="3"/>
  <c r="B71" i="3"/>
  <c r="C71" i="3"/>
  <c r="D71" i="3"/>
  <c r="E71" i="3"/>
  <c r="F71" i="3"/>
  <c r="H71" i="3"/>
  <c r="I71" i="3"/>
  <c r="J71" i="3"/>
  <c r="K71" i="3"/>
  <c r="L71" i="3"/>
  <c r="N71" i="3"/>
  <c r="O71" i="3"/>
  <c r="P71" i="3"/>
  <c r="Q71" i="3"/>
  <c r="R71" i="3"/>
  <c r="T71" i="3"/>
  <c r="U71" i="3"/>
  <c r="V71" i="3"/>
  <c r="W71" i="3"/>
  <c r="X71" i="3"/>
  <c r="Z71" i="3"/>
  <c r="AA71" i="3"/>
  <c r="AB71" i="3"/>
  <c r="AC71" i="3"/>
  <c r="AD71" i="3"/>
  <c r="AF71" i="3"/>
  <c r="AG71" i="3"/>
  <c r="AH71" i="3"/>
  <c r="AI71" i="3"/>
  <c r="AJ71" i="3"/>
  <c r="AL71" i="3"/>
  <c r="AM71" i="3"/>
  <c r="AN71" i="3"/>
  <c r="AO71" i="3"/>
  <c r="AP71" i="3"/>
  <c r="AR71" i="3"/>
  <c r="AS71" i="3"/>
  <c r="AT71" i="3"/>
  <c r="AU71" i="3"/>
  <c r="AV71" i="3"/>
  <c r="AX71" i="3"/>
  <c r="AY71" i="3"/>
  <c r="AZ71" i="3"/>
  <c r="BA71" i="3"/>
  <c r="BB71" i="3"/>
  <c r="BD71" i="3"/>
  <c r="BE71" i="3"/>
  <c r="BF71" i="3"/>
  <c r="BG71" i="3"/>
  <c r="BH71" i="3"/>
  <c r="BJ71" i="3"/>
  <c r="BK71" i="3"/>
  <c r="BL71" i="3"/>
  <c r="BM71" i="3"/>
  <c r="BN71" i="3"/>
  <c r="BP71" i="3"/>
  <c r="BQ71" i="3"/>
  <c r="BR71" i="3"/>
  <c r="BS71" i="3"/>
  <c r="BT71" i="3"/>
  <c r="BV71" i="3"/>
  <c r="BW71" i="3"/>
  <c r="BX71" i="3"/>
  <c r="BY71" i="3"/>
  <c r="BZ71" i="3"/>
  <c r="CB71" i="3"/>
  <c r="CC71" i="3"/>
  <c r="CD71" i="3"/>
  <c r="CE71" i="3"/>
  <c r="CF71" i="3"/>
  <c r="CH71" i="3"/>
  <c r="CI71" i="3"/>
  <c r="CJ71" i="3"/>
  <c r="CK71" i="3"/>
  <c r="CL71" i="3"/>
  <c r="CN71" i="3"/>
  <c r="CO71" i="3"/>
  <c r="CP71" i="3"/>
  <c r="CQ71" i="3"/>
  <c r="CR71" i="3"/>
  <c r="CT71" i="3"/>
  <c r="CU71" i="3"/>
  <c r="CV71" i="3"/>
  <c r="CW71" i="3"/>
  <c r="CX71" i="3"/>
  <c r="CZ71" i="3"/>
  <c r="DA71" i="3"/>
  <c r="DB71" i="3"/>
  <c r="DC71" i="3"/>
  <c r="DD71" i="3"/>
  <c r="DF71" i="3"/>
  <c r="DG71" i="3"/>
  <c r="DH71" i="3"/>
  <c r="DI71" i="3"/>
  <c r="DJ71" i="3"/>
  <c r="DL71" i="3"/>
  <c r="DM71" i="3"/>
  <c r="DN71" i="3"/>
  <c r="DO71" i="3"/>
  <c r="DP71" i="3"/>
  <c r="DR71" i="3"/>
  <c r="DS71" i="3"/>
  <c r="DT71" i="3"/>
  <c r="DU71" i="3"/>
  <c r="DV71" i="3"/>
  <c r="DX71" i="3"/>
  <c r="DY71" i="3"/>
  <c r="DZ71" i="3"/>
  <c r="EA71" i="3"/>
  <c r="EB71" i="3"/>
  <c r="ED71" i="3"/>
  <c r="EE71" i="3"/>
  <c r="EF71" i="3"/>
  <c r="EG71" i="3"/>
  <c r="EH71" i="3"/>
  <c r="EJ71" i="3"/>
  <c r="EK71" i="3"/>
  <c r="EL71" i="3"/>
  <c r="EM71" i="3"/>
  <c r="EN71" i="3"/>
  <c r="EP71" i="3"/>
  <c r="EQ71" i="3"/>
  <c r="ER71" i="3"/>
  <c r="ES71" i="3"/>
  <c r="ET71" i="3"/>
  <c r="EV71" i="3"/>
  <c r="EW71" i="3"/>
  <c r="EX71" i="3"/>
  <c r="EY71" i="3"/>
  <c r="EZ71" i="3"/>
  <c r="FB71" i="3"/>
  <c r="FC71" i="3"/>
  <c r="FD71" i="3"/>
  <c r="FE71" i="3"/>
  <c r="FF71" i="3"/>
  <c r="FH71" i="3"/>
  <c r="FI71" i="3"/>
  <c r="FJ71" i="3"/>
  <c r="FK71" i="3"/>
  <c r="FL71" i="3"/>
  <c r="FN71" i="3"/>
  <c r="FO71" i="3"/>
  <c r="FP71" i="3"/>
  <c r="FQ71" i="3"/>
  <c r="FR71" i="3"/>
  <c r="FT71" i="3"/>
  <c r="FU71" i="3"/>
  <c r="FV71" i="3"/>
  <c r="FW71" i="3"/>
  <c r="FX71" i="3"/>
  <c r="FZ71" i="3"/>
  <c r="GA71" i="3"/>
  <c r="GB71" i="3"/>
  <c r="GC71" i="3"/>
  <c r="GD71" i="3"/>
  <c r="GF71" i="3"/>
  <c r="GG71" i="3"/>
  <c r="GH71" i="3"/>
  <c r="GI71" i="3"/>
  <c r="GJ71" i="3"/>
  <c r="GL71" i="3"/>
  <c r="GM71" i="3"/>
  <c r="GN71" i="3"/>
  <c r="A72" i="3"/>
  <c r="B72" i="3"/>
  <c r="C72" i="3"/>
  <c r="D72" i="3"/>
  <c r="E72" i="3"/>
  <c r="F72" i="3"/>
  <c r="H72" i="3"/>
  <c r="I72" i="3"/>
  <c r="J72" i="3"/>
  <c r="K72" i="3"/>
  <c r="L72" i="3"/>
  <c r="N72" i="3"/>
  <c r="O72" i="3"/>
  <c r="P72" i="3"/>
  <c r="Q72" i="3"/>
  <c r="R72" i="3"/>
  <c r="T72" i="3"/>
  <c r="U72" i="3"/>
  <c r="V72" i="3"/>
  <c r="W72" i="3"/>
  <c r="X72" i="3"/>
  <c r="Z72" i="3"/>
  <c r="AA72" i="3"/>
  <c r="AB72" i="3"/>
  <c r="AC72" i="3"/>
  <c r="AD72" i="3"/>
  <c r="AF72" i="3"/>
  <c r="AG72" i="3"/>
  <c r="AH72" i="3"/>
  <c r="AI72" i="3"/>
  <c r="AJ72" i="3"/>
  <c r="AL72" i="3"/>
  <c r="AM72" i="3"/>
  <c r="AN72" i="3"/>
  <c r="AO72" i="3"/>
  <c r="AP72" i="3"/>
  <c r="AR72" i="3"/>
  <c r="AS72" i="3"/>
  <c r="AT72" i="3"/>
  <c r="AU72" i="3"/>
  <c r="AV72" i="3"/>
  <c r="AW72" i="3" s="1"/>
  <c r="AX72" i="3"/>
  <c r="AY72" i="3"/>
  <c r="AZ72" i="3"/>
  <c r="BA72" i="3"/>
  <c r="BB72" i="3"/>
  <c r="BD72" i="3"/>
  <c r="BE72" i="3"/>
  <c r="BF72" i="3"/>
  <c r="BG72" i="3"/>
  <c r="BH72" i="3"/>
  <c r="BJ72" i="3"/>
  <c r="BK72" i="3"/>
  <c r="BL72" i="3"/>
  <c r="BM72" i="3"/>
  <c r="BN72" i="3"/>
  <c r="BP72" i="3"/>
  <c r="BQ72" i="3"/>
  <c r="BR72" i="3"/>
  <c r="BS72" i="3"/>
  <c r="BT72" i="3"/>
  <c r="BV72" i="3"/>
  <c r="BW72" i="3"/>
  <c r="BX72" i="3"/>
  <c r="BY72" i="3"/>
  <c r="BZ72" i="3"/>
  <c r="CB72" i="3"/>
  <c r="CC72" i="3"/>
  <c r="CD72" i="3"/>
  <c r="CE72" i="3"/>
  <c r="CF72" i="3"/>
  <c r="CH72" i="3"/>
  <c r="CI72" i="3"/>
  <c r="CJ72" i="3"/>
  <c r="CK72" i="3"/>
  <c r="CL72" i="3"/>
  <c r="CN72" i="3"/>
  <c r="CO72" i="3"/>
  <c r="CP72" i="3"/>
  <c r="CQ72" i="3"/>
  <c r="CR72" i="3"/>
  <c r="CT72" i="3"/>
  <c r="CU72" i="3"/>
  <c r="CV72" i="3"/>
  <c r="CW72" i="3"/>
  <c r="CX72" i="3"/>
  <c r="CZ72" i="3"/>
  <c r="DA72" i="3"/>
  <c r="DB72" i="3"/>
  <c r="DC72" i="3"/>
  <c r="DD72" i="3"/>
  <c r="DF72" i="3"/>
  <c r="DG72" i="3"/>
  <c r="DH72" i="3"/>
  <c r="DI72" i="3"/>
  <c r="DJ72" i="3"/>
  <c r="DL72" i="3"/>
  <c r="DM72" i="3"/>
  <c r="DN72" i="3"/>
  <c r="DO72" i="3"/>
  <c r="DP72" i="3"/>
  <c r="DR72" i="3"/>
  <c r="DS72" i="3"/>
  <c r="DT72" i="3"/>
  <c r="DU72" i="3"/>
  <c r="DV72" i="3"/>
  <c r="DX72" i="3"/>
  <c r="DY72" i="3"/>
  <c r="DZ72" i="3"/>
  <c r="EA72" i="3"/>
  <c r="EB72" i="3"/>
  <c r="ED72" i="3"/>
  <c r="EE72" i="3"/>
  <c r="EF72" i="3"/>
  <c r="EG72" i="3"/>
  <c r="EH72" i="3"/>
  <c r="EJ72" i="3"/>
  <c r="EK72" i="3"/>
  <c r="EL72" i="3"/>
  <c r="EM72" i="3"/>
  <c r="EN72" i="3"/>
  <c r="EP72" i="3"/>
  <c r="EQ72" i="3"/>
  <c r="ER72" i="3"/>
  <c r="ES72" i="3"/>
  <c r="ET72" i="3"/>
  <c r="EV72" i="3"/>
  <c r="EW72" i="3"/>
  <c r="EX72" i="3"/>
  <c r="EY72" i="3"/>
  <c r="EZ72" i="3"/>
  <c r="FB72" i="3"/>
  <c r="FC72" i="3"/>
  <c r="FD72" i="3"/>
  <c r="FE72" i="3"/>
  <c r="FF72" i="3"/>
  <c r="FH72" i="3"/>
  <c r="FI72" i="3"/>
  <c r="FJ72" i="3"/>
  <c r="FK72" i="3"/>
  <c r="FL72" i="3"/>
  <c r="FN72" i="3"/>
  <c r="FO72" i="3"/>
  <c r="FP72" i="3"/>
  <c r="FQ72" i="3"/>
  <c r="FR72" i="3"/>
  <c r="FT72" i="3"/>
  <c r="FU72" i="3"/>
  <c r="FV72" i="3"/>
  <c r="FW72" i="3"/>
  <c r="FX72" i="3"/>
  <c r="FZ72" i="3"/>
  <c r="GA72" i="3"/>
  <c r="GB72" i="3"/>
  <c r="GC72" i="3"/>
  <c r="GD72" i="3"/>
  <c r="GF72" i="3"/>
  <c r="GG72" i="3"/>
  <c r="GH72" i="3"/>
  <c r="GI72" i="3"/>
  <c r="GJ72" i="3"/>
  <c r="GL72" i="3"/>
  <c r="GM72" i="3"/>
  <c r="GN72" i="3"/>
  <c r="A73" i="3"/>
  <c r="B73" i="3"/>
  <c r="C73" i="3"/>
  <c r="D73" i="3"/>
  <c r="E73" i="3"/>
  <c r="F73" i="3"/>
  <c r="H73" i="3"/>
  <c r="I73" i="3"/>
  <c r="J73" i="3"/>
  <c r="K73" i="3"/>
  <c r="L73" i="3"/>
  <c r="N73" i="3"/>
  <c r="O73" i="3"/>
  <c r="P73" i="3"/>
  <c r="Q73" i="3"/>
  <c r="R73" i="3"/>
  <c r="T73" i="3"/>
  <c r="U73" i="3"/>
  <c r="V73" i="3"/>
  <c r="W73" i="3"/>
  <c r="X73" i="3"/>
  <c r="Y73" i="3" s="1"/>
  <c r="Z73" i="3"/>
  <c r="AA73" i="3"/>
  <c r="AB73" i="3"/>
  <c r="AC73" i="3"/>
  <c r="AD73" i="3"/>
  <c r="AF73" i="3"/>
  <c r="AG73" i="3"/>
  <c r="AH73" i="3"/>
  <c r="AI73" i="3"/>
  <c r="AJ73" i="3"/>
  <c r="AL73" i="3"/>
  <c r="AM73" i="3"/>
  <c r="AN73" i="3"/>
  <c r="AO73" i="3"/>
  <c r="AP73" i="3"/>
  <c r="AR73" i="3"/>
  <c r="AS73" i="3"/>
  <c r="AT73" i="3"/>
  <c r="AU73" i="3"/>
  <c r="AV73" i="3"/>
  <c r="AX73" i="3"/>
  <c r="AY73" i="3"/>
  <c r="AZ73" i="3"/>
  <c r="BA73" i="3"/>
  <c r="BB73" i="3"/>
  <c r="BD73" i="3"/>
  <c r="BE73" i="3"/>
  <c r="BF73" i="3"/>
  <c r="BG73" i="3"/>
  <c r="BH73" i="3"/>
  <c r="BJ73" i="3"/>
  <c r="BK73" i="3"/>
  <c r="BL73" i="3"/>
  <c r="BM73" i="3"/>
  <c r="BN73" i="3"/>
  <c r="BP73" i="3"/>
  <c r="BQ73" i="3"/>
  <c r="BR73" i="3"/>
  <c r="BS73" i="3"/>
  <c r="BT73" i="3"/>
  <c r="BV73" i="3"/>
  <c r="BW73" i="3"/>
  <c r="BX73" i="3"/>
  <c r="BY73" i="3"/>
  <c r="BZ73" i="3"/>
  <c r="CB73" i="3"/>
  <c r="CC73" i="3"/>
  <c r="CD73" i="3"/>
  <c r="CE73" i="3"/>
  <c r="CF73" i="3"/>
  <c r="CH73" i="3"/>
  <c r="CI73" i="3"/>
  <c r="CJ73" i="3"/>
  <c r="CK73" i="3"/>
  <c r="CL73" i="3"/>
  <c r="CN73" i="3"/>
  <c r="CO73" i="3"/>
  <c r="CP73" i="3"/>
  <c r="CQ73" i="3"/>
  <c r="CR73" i="3"/>
  <c r="CT73" i="3"/>
  <c r="CU73" i="3"/>
  <c r="CV73" i="3"/>
  <c r="CW73" i="3"/>
  <c r="CX73" i="3"/>
  <c r="CZ73" i="3"/>
  <c r="DA73" i="3"/>
  <c r="DB73" i="3"/>
  <c r="DC73" i="3"/>
  <c r="DD73" i="3"/>
  <c r="DF73" i="3"/>
  <c r="DG73" i="3"/>
  <c r="DH73" i="3"/>
  <c r="DI73" i="3"/>
  <c r="DJ73" i="3"/>
  <c r="DL73" i="3"/>
  <c r="DM73" i="3"/>
  <c r="DN73" i="3"/>
  <c r="DO73" i="3"/>
  <c r="DP73" i="3"/>
  <c r="DR73" i="3"/>
  <c r="DS73" i="3"/>
  <c r="DT73" i="3"/>
  <c r="DU73" i="3"/>
  <c r="DV73" i="3"/>
  <c r="DX73" i="3"/>
  <c r="DY73" i="3"/>
  <c r="DZ73" i="3"/>
  <c r="EA73" i="3"/>
  <c r="EB73" i="3"/>
  <c r="ED73" i="3"/>
  <c r="EE73" i="3"/>
  <c r="EF73" i="3"/>
  <c r="EG73" i="3"/>
  <c r="EH73" i="3"/>
  <c r="EJ73" i="3"/>
  <c r="EK73" i="3"/>
  <c r="EL73" i="3"/>
  <c r="EM73" i="3"/>
  <c r="EN73" i="3"/>
  <c r="EP73" i="3"/>
  <c r="EQ73" i="3"/>
  <c r="ER73" i="3"/>
  <c r="ES73" i="3"/>
  <c r="ET73" i="3"/>
  <c r="EV73" i="3"/>
  <c r="EW73" i="3"/>
  <c r="EX73" i="3"/>
  <c r="EY73" i="3"/>
  <c r="EZ73" i="3"/>
  <c r="FB73" i="3"/>
  <c r="FC73" i="3"/>
  <c r="FD73" i="3"/>
  <c r="FE73" i="3"/>
  <c r="FF73" i="3"/>
  <c r="FH73" i="3"/>
  <c r="FI73" i="3"/>
  <c r="FJ73" i="3"/>
  <c r="FK73" i="3"/>
  <c r="FL73" i="3"/>
  <c r="FN73" i="3"/>
  <c r="FO73" i="3"/>
  <c r="FP73" i="3"/>
  <c r="FQ73" i="3"/>
  <c r="FR73" i="3"/>
  <c r="FT73" i="3"/>
  <c r="FU73" i="3"/>
  <c r="FV73" i="3"/>
  <c r="FW73" i="3"/>
  <c r="FX73" i="3"/>
  <c r="FZ73" i="3"/>
  <c r="GA73" i="3"/>
  <c r="GB73" i="3"/>
  <c r="GC73" i="3"/>
  <c r="GD73" i="3"/>
  <c r="GF73" i="3"/>
  <c r="GG73" i="3"/>
  <c r="GH73" i="3"/>
  <c r="GI73" i="3"/>
  <c r="GJ73" i="3"/>
  <c r="GL73" i="3"/>
  <c r="GM73" i="3"/>
  <c r="GN73" i="3"/>
  <c r="A74" i="3"/>
  <c r="B74" i="3"/>
  <c r="C74" i="3"/>
  <c r="D74" i="3"/>
  <c r="E74" i="3"/>
  <c r="F74" i="3"/>
  <c r="H74" i="3"/>
  <c r="I74" i="3"/>
  <c r="J74" i="3"/>
  <c r="K74" i="3"/>
  <c r="L74" i="3"/>
  <c r="N74" i="3"/>
  <c r="O74" i="3"/>
  <c r="P74" i="3"/>
  <c r="Q74" i="3"/>
  <c r="R74" i="3"/>
  <c r="T74" i="3"/>
  <c r="U74" i="3"/>
  <c r="V74" i="3"/>
  <c r="W74" i="3"/>
  <c r="X74" i="3"/>
  <c r="Z74" i="3"/>
  <c r="AA74" i="3"/>
  <c r="AB74" i="3"/>
  <c r="AC74" i="3"/>
  <c r="AD74" i="3"/>
  <c r="AF74" i="3"/>
  <c r="AG74" i="3"/>
  <c r="AH74" i="3"/>
  <c r="AI74" i="3"/>
  <c r="AJ74" i="3"/>
  <c r="AL74" i="3"/>
  <c r="AM74" i="3"/>
  <c r="AN74" i="3"/>
  <c r="AO74" i="3"/>
  <c r="AP74" i="3"/>
  <c r="AR74" i="3"/>
  <c r="AS74" i="3"/>
  <c r="AT74" i="3"/>
  <c r="AU74" i="3"/>
  <c r="AV74" i="3"/>
  <c r="AX74" i="3"/>
  <c r="AY74" i="3"/>
  <c r="AZ74" i="3"/>
  <c r="BA74" i="3"/>
  <c r="BB74" i="3"/>
  <c r="BD74" i="3"/>
  <c r="BE74" i="3"/>
  <c r="BF74" i="3"/>
  <c r="BG74" i="3"/>
  <c r="BH74" i="3"/>
  <c r="BJ74" i="3"/>
  <c r="BK74" i="3"/>
  <c r="BL74" i="3"/>
  <c r="BM74" i="3"/>
  <c r="BN74" i="3"/>
  <c r="BP74" i="3"/>
  <c r="BQ74" i="3"/>
  <c r="BR74" i="3"/>
  <c r="BS74" i="3"/>
  <c r="BT74" i="3"/>
  <c r="BV74" i="3"/>
  <c r="BW74" i="3"/>
  <c r="BX74" i="3"/>
  <c r="BY74" i="3"/>
  <c r="BZ74" i="3"/>
  <c r="CB74" i="3"/>
  <c r="CC74" i="3"/>
  <c r="CD74" i="3"/>
  <c r="CE74" i="3"/>
  <c r="CF74" i="3"/>
  <c r="CH74" i="3"/>
  <c r="CI74" i="3"/>
  <c r="CJ74" i="3"/>
  <c r="CK74" i="3"/>
  <c r="CL74" i="3"/>
  <c r="CN74" i="3"/>
  <c r="CO74" i="3"/>
  <c r="CP74" i="3"/>
  <c r="CQ74" i="3"/>
  <c r="CR74" i="3"/>
  <c r="CT74" i="3"/>
  <c r="CU74" i="3"/>
  <c r="CV74" i="3"/>
  <c r="CW74" i="3"/>
  <c r="CX74" i="3"/>
  <c r="CZ74" i="3"/>
  <c r="DA74" i="3"/>
  <c r="DB74" i="3"/>
  <c r="DC74" i="3"/>
  <c r="DD74" i="3"/>
  <c r="DF74" i="3"/>
  <c r="DG74" i="3"/>
  <c r="DH74" i="3"/>
  <c r="DI74" i="3"/>
  <c r="DJ74" i="3"/>
  <c r="DL74" i="3"/>
  <c r="DM74" i="3"/>
  <c r="DN74" i="3"/>
  <c r="DO74" i="3"/>
  <c r="DP74" i="3"/>
  <c r="DR74" i="3"/>
  <c r="DS74" i="3"/>
  <c r="DT74" i="3"/>
  <c r="DU74" i="3"/>
  <c r="DV74" i="3"/>
  <c r="DX74" i="3"/>
  <c r="DY74" i="3"/>
  <c r="DZ74" i="3"/>
  <c r="EA74" i="3"/>
  <c r="EB74" i="3"/>
  <c r="ED74" i="3"/>
  <c r="EE74" i="3"/>
  <c r="EF74" i="3"/>
  <c r="EG74" i="3"/>
  <c r="EH74" i="3"/>
  <c r="EJ74" i="3"/>
  <c r="EK74" i="3"/>
  <c r="EL74" i="3"/>
  <c r="EM74" i="3"/>
  <c r="EN74" i="3"/>
  <c r="EP74" i="3"/>
  <c r="EQ74" i="3"/>
  <c r="ER74" i="3"/>
  <c r="ES74" i="3"/>
  <c r="ET74" i="3"/>
  <c r="EV74" i="3"/>
  <c r="EW74" i="3"/>
  <c r="EX74" i="3"/>
  <c r="EY74" i="3"/>
  <c r="EZ74" i="3"/>
  <c r="FB74" i="3"/>
  <c r="FC74" i="3"/>
  <c r="FD74" i="3"/>
  <c r="FE74" i="3"/>
  <c r="FF74" i="3"/>
  <c r="FH74" i="3"/>
  <c r="FI74" i="3"/>
  <c r="FJ74" i="3"/>
  <c r="FK74" i="3"/>
  <c r="FL74" i="3"/>
  <c r="FN74" i="3"/>
  <c r="FO74" i="3"/>
  <c r="FP74" i="3"/>
  <c r="FQ74" i="3"/>
  <c r="FR74" i="3"/>
  <c r="FT74" i="3"/>
  <c r="FU74" i="3"/>
  <c r="FV74" i="3"/>
  <c r="FW74" i="3"/>
  <c r="FX74" i="3"/>
  <c r="FZ74" i="3"/>
  <c r="GA74" i="3"/>
  <c r="GB74" i="3"/>
  <c r="GC74" i="3"/>
  <c r="GD74" i="3"/>
  <c r="GF74" i="3"/>
  <c r="GG74" i="3"/>
  <c r="GH74" i="3"/>
  <c r="GI74" i="3"/>
  <c r="GJ74" i="3"/>
  <c r="GL74" i="3"/>
  <c r="GM74" i="3"/>
  <c r="GN74" i="3"/>
  <c r="A75" i="3"/>
  <c r="B75" i="3"/>
  <c r="C75" i="3"/>
  <c r="D75" i="3"/>
  <c r="E75" i="3"/>
  <c r="F75" i="3"/>
  <c r="H75" i="3"/>
  <c r="I75" i="3"/>
  <c r="J75" i="3"/>
  <c r="K75" i="3"/>
  <c r="L75" i="3"/>
  <c r="N75" i="3"/>
  <c r="O75" i="3"/>
  <c r="P75" i="3"/>
  <c r="Q75" i="3"/>
  <c r="R75" i="3"/>
  <c r="T75" i="3"/>
  <c r="U75" i="3"/>
  <c r="V75" i="3"/>
  <c r="W75" i="3"/>
  <c r="X75" i="3"/>
  <c r="Z75" i="3"/>
  <c r="AA75" i="3"/>
  <c r="AB75" i="3"/>
  <c r="AC75" i="3"/>
  <c r="AD75" i="3"/>
  <c r="AF75" i="3"/>
  <c r="AG75" i="3"/>
  <c r="AH75" i="3"/>
  <c r="AI75" i="3"/>
  <c r="AJ75" i="3"/>
  <c r="AL75" i="3"/>
  <c r="AM75" i="3"/>
  <c r="AN75" i="3"/>
  <c r="AO75" i="3"/>
  <c r="AP75" i="3"/>
  <c r="AR75" i="3"/>
  <c r="AS75" i="3"/>
  <c r="AT75" i="3"/>
  <c r="AU75" i="3"/>
  <c r="AV75" i="3"/>
  <c r="AX75" i="3"/>
  <c r="AY75" i="3"/>
  <c r="AZ75" i="3"/>
  <c r="BA75" i="3"/>
  <c r="BB75" i="3"/>
  <c r="BD75" i="3"/>
  <c r="BE75" i="3"/>
  <c r="BF75" i="3"/>
  <c r="BG75" i="3"/>
  <c r="BH75" i="3"/>
  <c r="BJ75" i="3"/>
  <c r="BK75" i="3"/>
  <c r="BL75" i="3"/>
  <c r="BM75" i="3"/>
  <c r="BN75" i="3"/>
  <c r="BP75" i="3"/>
  <c r="BQ75" i="3"/>
  <c r="BR75" i="3"/>
  <c r="BS75" i="3"/>
  <c r="BT75" i="3"/>
  <c r="BV75" i="3"/>
  <c r="BW75" i="3"/>
  <c r="BX75" i="3"/>
  <c r="BY75" i="3"/>
  <c r="BZ75" i="3"/>
  <c r="CB75" i="3"/>
  <c r="CC75" i="3"/>
  <c r="CD75" i="3"/>
  <c r="CE75" i="3"/>
  <c r="CF75" i="3"/>
  <c r="CH75" i="3"/>
  <c r="CI75" i="3"/>
  <c r="CJ75" i="3"/>
  <c r="CK75" i="3"/>
  <c r="CL75" i="3"/>
  <c r="CN75" i="3"/>
  <c r="CO75" i="3"/>
  <c r="CP75" i="3"/>
  <c r="CQ75" i="3"/>
  <c r="CR75" i="3"/>
  <c r="CT75" i="3"/>
  <c r="CU75" i="3"/>
  <c r="CV75" i="3"/>
  <c r="CW75" i="3"/>
  <c r="CX75" i="3"/>
  <c r="CZ75" i="3"/>
  <c r="DA75" i="3"/>
  <c r="DB75" i="3"/>
  <c r="DC75" i="3"/>
  <c r="DD75" i="3"/>
  <c r="DF75" i="3"/>
  <c r="DG75" i="3"/>
  <c r="DH75" i="3"/>
  <c r="DI75" i="3"/>
  <c r="DJ75" i="3"/>
  <c r="DL75" i="3"/>
  <c r="DM75" i="3"/>
  <c r="DN75" i="3"/>
  <c r="DO75" i="3"/>
  <c r="DP75" i="3"/>
  <c r="DR75" i="3"/>
  <c r="DS75" i="3"/>
  <c r="DT75" i="3"/>
  <c r="DU75" i="3"/>
  <c r="DV75" i="3"/>
  <c r="DX75" i="3"/>
  <c r="DY75" i="3"/>
  <c r="DZ75" i="3"/>
  <c r="EA75" i="3"/>
  <c r="EB75" i="3"/>
  <c r="ED75" i="3"/>
  <c r="EE75" i="3"/>
  <c r="EF75" i="3"/>
  <c r="EG75" i="3"/>
  <c r="EH75" i="3"/>
  <c r="EJ75" i="3"/>
  <c r="EK75" i="3"/>
  <c r="EL75" i="3"/>
  <c r="EM75" i="3"/>
  <c r="EN75" i="3"/>
  <c r="EP75" i="3"/>
  <c r="EQ75" i="3"/>
  <c r="ER75" i="3"/>
  <c r="ES75" i="3"/>
  <c r="ET75" i="3"/>
  <c r="EV75" i="3"/>
  <c r="EW75" i="3"/>
  <c r="EX75" i="3"/>
  <c r="EY75" i="3"/>
  <c r="EZ75" i="3"/>
  <c r="FB75" i="3"/>
  <c r="FC75" i="3"/>
  <c r="FD75" i="3"/>
  <c r="FE75" i="3"/>
  <c r="FF75" i="3"/>
  <c r="FH75" i="3"/>
  <c r="FI75" i="3"/>
  <c r="FJ75" i="3"/>
  <c r="FK75" i="3"/>
  <c r="FL75" i="3"/>
  <c r="FM75" i="3" s="1"/>
  <c r="FN75" i="3"/>
  <c r="FO75" i="3"/>
  <c r="FP75" i="3"/>
  <c r="FQ75" i="3"/>
  <c r="FR75" i="3"/>
  <c r="FT75" i="3"/>
  <c r="FU75" i="3"/>
  <c r="FV75" i="3"/>
  <c r="FW75" i="3"/>
  <c r="FX75" i="3"/>
  <c r="FZ75" i="3"/>
  <c r="GA75" i="3"/>
  <c r="GB75" i="3"/>
  <c r="GC75" i="3"/>
  <c r="GD75" i="3"/>
  <c r="GF75" i="3"/>
  <c r="GG75" i="3"/>
  <c r="GH75" i="3"/>
  <c r="GI75" i="3"/>
  <c r="GJ75" i="3"/>
  <c r="GL75" i="3"/>
  <c r="GM75" i="3"/>
  <c r="GN75" i="3"/>
  <c r="A76" i="3"/>
  <c r="B76" i="3"/>
  <c r="C76" i="3"/>
  <c r="D76" i="3"/>
  <c r="E76" i="3"/>
  <c r="F76" i="3"/>
  <c r="H76" i="3"/>
  <c r="I76" i="3"/>
  <c r="J76" i="3"/>
  <c r="K76" i="3"/>
  <c r="L76" i="3"/>
  <c r="N76" i="3"/>
  <c r="O76" i="3"/>
  <c r="P76" i="3"/>
  <c r="Q76" i="3"/>
  <c r="R76" i="3"/>
  <c r="T76" i="3"/>
  <c r="U76" i="3"/>
  <c r="V76" i="3"/>
  <c r="W76" i="3"/>
  <c r="X76" i="3"/>
  <c r="Z76" i="3"/>
  <c r="AA76" i="3"/>
  <c r="AB76" i="3"/>
  <c r="AC76" i="3"/>
  <c r="AD76" i="3"/>
  <c r="AF76" i="3"/>
  <c r="AG76" i="3"/>
  <c r="AH76" i="3"/>
  <c r="AI76" i="3"/>
  <c r="AJ76" i="3"/>
  <c r="AL76" i="3"/>
  <c r="AM76" i="3"/>
  <c r="AN76" i="3"/>
  <c r="AO76" i="3"/>
  <c r="AP76" i="3"/>
  <c r="AR76" i="3"/>
  <c r="AS76" i="3"/>
  <c r="AT76" i="3"/>
  <c r="AU76" i="3"/>
  <c r="AV76" i="3"/>
  <c r="AX76" i="3"/>
  <c r="AY76" i="3"/>
  <c r="AZ76" i="3"/>
  <c r="BA76" i="3"/>
  <c r="BB76" i="3"/>
  <c r="BD76" i="3"/>
  <c r="BE76" i="3"/>
  <c r="BF76" i="3"/>
  <c r="BG76" i="3"/>
  <c r="BH76" i="3"/>
  <c r="BJ76" i="3"/>
  <c r="BK76" i="3"/>
  <c r="BL76" i="3"/>
  <c r="BM76" i="3"/>
  <c r="BN76" i="3"/>
  <c r="BP76" i="3"/>
  <c r="BQ76" i="3"/>
  <c r="BR76" i="3"/>
  <c r="BS76" i="3"/>
  <c r="BT76" i="3"/>
  <c r="BV76" i="3"/>
  <c r="BW76" i="3"/>
  <c r="BX76" i="3"/>
  <c r="BY76" i="3"/>
  <c r="BZ76" i="3"/>
  <c r="CB76" i="3"/>
  <c r="CC76" i="3"/>
  <c r="CD76" i="3"/>
  <c r="CE76" i="3"/>
  <c r="CF76" i="3"/>
  <c r="CH76" i="3"/>
  <c r="CI76" i="3"/>
  <c r="CJ76" i="3"/>
  <c r="CK76" i="3"/>
  <c r="CL76" i="3"/>
  <c r="CN76" i="3"/>
  <c r="CO76" i="3"/>
  <c r="CP76" i="3"/>
  <c r="CQ76" i="3"/>
  <c r="CR76" i="3"/>
  <c r="CT76" i="3"/>
  <c r="CU76" i="3"/>
  <c r="CV76" i="3"/>
  <c r="CW76" i="3"/>
  <c r="CX76" i="3"/>
  <c r="CZ76" i="3"/>
  <c r="DA76" i="3"/>
  <c r="DB76" i="3"/>
  <c r="DC76" i="3"/>
  <c r="DD76" i="3"/>
  <c r="DF76" i="3"/>
  <c r="DG76" i="3"/>
  <c r="DH76" i="3"/>
  <c r="DI76" i="3"/>
  <c r="DJ76" i="3"/>
  <c r="DL76" i="3"/>
  <c r="DM76" i="3"/>
  <c r="DN76" i="3"/>
  <c r="DO76" i="3"/>
  <c r="DP76" i="3"/>
  <c r="DR76" i="3"/>
  <c r="DS76" i="3"/>
  <c r="DT76" i="3"/>
  <c r="DU76" i="3"/>
  <c r="DV76" i="3"/>
  <c r="DX76" i="3"/>
  <c r="DY76" i="3"/>
  <c r="DZ76" i="3"/>
  <c r="EA76" i="3"/>
  <c r="EB76" i="3"/>
  <c r="ED76" i="3"/>
  <c r="EE76" i="3"/>
  <c r="EF76" i="3"/>
  <c r="EG76" i="3"/>
  <c r="EH76" i="3"/>
  <c r="EJ76" i="3"/>
  <c r="EK76" i="3"/>
  <c r="EL76" i="3"/>
  <c r="EM76" i="3"/>
  <c r="EN76" i="3"/>
  <c r="EP76" i="3"/>
  <c r="EQ76" i="3"/>
  <c r="ER76" i="3"/>
  <c r="ES76" i="3"/>
  <c r="ET76" i="3"/>
  <c r="EV76" i="3"/>
  <c r="EW76" i="3"/>
  <c r="EX76" i="3"/>
  <c r="EY76" i="3"/>
  <c r="EZ76" i="3"/>
  <c r="FB76" i="3"/>
  <c r="FC76" i="3"/>
  <c r="FD76" i="3"/>
  <c r="FE76" i="3"/>
  <c r="FF76" i="3"/>
  <c r="FH76" i="3"/>
  <c r="FI76" i="3"/>
  <c r="FJ76" i="3"/>
  <c r="FK76" i="3"/>
  <c r="FL76" i="3"/>
  <c r="FN76" i="3"/>
  <c r="FO76" i="3"/>
  <c r="FP76" i="3"/>
  <c r="FQ76" i="3"/>
  <c r="FR76" i="3"/>
  <c r="FT76" i="3"/>
  <c r="FU76" i="3"/>
  <c r="FV76" i="3"/>
  <c r="FW76" i="3"/>
  <c r="FX76" i="3"/>
  <c r="FZ76" i="3"/>
  <c r="GA76" i="3"/>
  <c r="GB76" i="3"/>
  <c r="GC76" i="3"/>
  <c r="GD76" i="3"/>
  <c r="GF76" i="3"/>
  <c r="GG76" i="3"/>
  <c r="GH76" i="3"/>
  <c r="GI76" i="3"/>
  <c r="GJ76" i="3"/>
  <c r="GL76" i="3"/>
  <c r="GM76" i="3"/>
  <c r="GN76" i="3"/>
  <c r="A77" i="3"/>
  <c r="B77" i="3"/>
  <c r="C77" i="3"/>
  <c r="D77" i="3"/>
  <c r="E77" i="3"/>
  <c r="F77" i="3"/>
  <c r="H77" i="3"/>
  <c r="I77" i="3"/>
  <c r="J77" i="3"/>
  <c r="K77" i="3"/>
  <c r="L77" i="3"/>
  <c r="N77" i="3"/>
  <c r="O77" i="3"/>
  <c r="P77" i="3"/>
  <c r="Q77" i="3"/>
  <c r="R77" i="3"/>
  <c r="T77" i="3"/>
  <c r="U77" i="3"/>
  <c r="V77" i="3"/>
  <c r="W77" i="3"/>
  <c r="X77" i="3"/>
  <c r="Z77" i="3"/>
  <c r="AA77" i="3"/>
  <c r="AB77" i="3"/>
  <c r="AC77" i="3"/>
  <c r="AD77" i="3"/>
  <c r="AF77" i="3"/>
  <c r="AG77" i="3"/>
  <c r="AH77" i="3"/>
  <c r="AI77" i="3"/>
  <c r="AJ77" i="3"/>
  <c r="AL77" i="3"/>
  <c r="AM77" i="3"/>
  <c r="AN77" i="3"/>
  <c r="AO77" i="3"/>
  <c r="AP77" i="3"/>
  <c r="AR77" i="3"/>
  <c r="AS77" i="3"/>
  <c r="AT77" i="3"/>
  <c r="AU77" i="3"/>
  <c r="AV77" i="3"/>
  <c r="AX77" i="3"/>
  <c r="AY77" i="3"/>
  <c r="AZ77" i="3"/>
  <c r="BA77" i="3"/>
  <c r="BB77" i="3"/>
  <c r="BD77" i="3"/>
  <c r="BE77" i="3"/>
  <c r="BF77" i="3"/>
  <c r="BG77" i="3"/>
  <c r="BH77" i="3"/>
  <c r="BJ77" i="3"/>
  <c r="BK77" i="3"/>
  <c r="BL77" i="3"/>
  <c r="BM77" i="3"/>
  <c r="BN77" i="3"/>
  <c r="BP77" i="3"/>
  <c r="BQ77" i="3"/>
  <c r="BR77" i="3"/>
  <c r="BS77" i="3"/>
  <c r="BT77" i="3"/>
  <c r="BV77" i="3"/>
  <c r="BW77" i="3"/>
  <c r="BX77" i="3"/>
  <c r="BY77" i="3"/>
  <c r="BZ77" i="3"/>
  <c r="CB77" i="3"/>
  <c r="CC77" i="3"/>
  <c r="CD77" i="3"/>
  <c r="CE77" i="3"/>
  <c r="CF77" i="3"/>
  <c r="CH77" i="3"/>
  <c r="CI77" i="3"/>
  <c r="CJ77" i="3"/>
  <c r="CK77" i="3"/>
  <c r="CL77" i="3"/>
  <c r="CN77" i="3"/>
  <c r="CO77" i="3"/>
  <c r="CP77" i="3"/>
  <c r="CQ77" i="3"/>
  <c r="CR77" i="3"/>
  <c r="CT77" i="3"/>
  <c r="CU77" i="3"/>
  <c r="CV77" i="3"/>
  <c r="CW77" i="3"/>
  <c r="CX77" i="3"/>
  <c r="CZ77" i="3"/>
  <c r="DA77" i="3"/>
  <c r="DB77" i="3"/>
  <c r="DC77" i="3"/>
  <c r="DD77" i="3"/>
  <c r="DF77" i="3"/>
  <c r="DG77" i="3"/>
  <c r="DH77" i="3"/>
  <c r="DI77" i="3"/>
  <c r="DJ77" i="3"/>
  <c r="DL77" i="3"/>
  <c r="DM77" i="3"/>
  <c r="DN77" i="3"/>
  <c r="DO77" i="3"/>
  <c r="DP77" i="3"/>
  <c r="DQ77" i="3" s="1"/>
  <c r="DR77" i="3"/>
  <c r="DS77" i="3"/>
  <c r="DT77" i="3"/>
  <c r="DU77" i="3"/>
  <c r="DV77" i="3"/>
  <c r="DX77" i="3"/>
  <c r="DY77" i="3"/>
  <c r="DZ77" i="3"/>
  <c r="EA77" i="3"/>
  <c r="EB77" i="3"/>
  <c r="ED77" i="3"/>
  <c r="EE77" i="3"/>
  <c r="EF77" i="3"/>
  <c r="EG77" i="3"/>
  <c r="EH77" i="3"/>
  <c r="EJ77" i="3"/>
  <c r="EK77" i="3"/>
  <c r="EL77" i="3"/>
  <c r="EM77" i="3"/>
  <c r="EN77" i="3"/>
  <c r="EP77" i="3"/>
  <c r="EQ77" i="3"/>
  <c r="ER77" i="3"/>
  <c r="ES77" i="3"/>
  <c r="ET77" i="3"/>
  <c r="EV77" i="3"/>
  <c r="EW77" i="3"/>
  <c r="EX77" i="3"/>
  <c r="EY77" i="3"/>
  <c r="EZ77" i="3"/>
  <c r="FB77" i="3"/>
  <c r="FC77" i="3"/>
  <c r="FD77" i="3"/>
  <c r="FE77" i="3"/>
  <c r="FF77" i="3"/>
  <c r="FH77" i="3"/>
  <c r="FI77" i="3"/>
  <c r="FJ77" i="3"/>
  <c r="FK77" i="3"/>
  <c r="FL77" i="3"/>
  <c r="FN77" i="3"/>
  <c r="FO77" i="3"/>
  <c r="FP77" i="3"/>
  <c r="FQ77" i="3"/>
  <c r="FR77" i="3"/>
  <c r="FT77" i="3"/>
  <c r="FU77" i="3"/>
  <c r="FV77" i="3"/>
  <c r="FW77" i="3"/>
  <c r="FX77" i="3"/>
  <c r="FZ77" i="3"/>
  <c r="GA77" i="3"/>
  <c r="GB77" i="3"/>
  <c r="GC77" i="3"/>
  <c r="GD77" i="3"/>
  <c r="GF77" i="3"/>
  <c r="GG77" i="3"/>
  <c r="GH77" i="3"/>
  <c r="GI77" i="3"/>
  <c r="GJ77" i="3"/>
  <c r="GL77" i="3"/>
  <c r="GM77" i="3"/>
  <c r="GN77" i="3"/>
  <c r="A78" i="3"/>
  <c r="B78" i="3"/>
  <c r="C78" i="3"/>
  <c r="D78" i="3"/>
  <c r="E78" i="3"/>
  <c r="F78" i="3"/>
  <c r="H78" i="3"/>
  <c r="I78" i="3"/>
  <c r="J78" i="3"/>
  <c r="K78" i="3"/>
  <c r="L78" i="3"/>
  <c r="N78" i="3"/>
  <c r="O78" i="3"/>
  <c r="P78" i="3"/>
  <c r="Q78" i="3"/>
  <c r="R78" i="3"/>
  <c r="T78" i="3"/>
  <c r="U78" i="3"/>
  <c r="V78" i="3"/>
  <c r="W78" i="3"/>
  <c r="X78" i="3"/>
  <c r="Z78" i="3"/>
  <c r="AA78" i="3"/>
  <c r="AB78" i="3"/>
  <c r="AC78" i="3"/>
  <c r="AD78" i="3"/>
  <c r="AF78" i="3"/>
  <c r="AG78" i="3"/>
  <c r="AH78" i="3"/>
  <c r="AI78" i="3"/>
  <c r="AJ78" i="3"/>
  <c r="AL78" i="3"/>
  <c r="AM78" i="3"/>
  <c r="AN78" i="3"/>
  <c r="AO78" i="3"/>
  <c r="AP78" i="3"/>
  <c r="AR78" i="3"/>
  <c r="AS78" i="3"/>
  <c r="AT78" i="3"/>
  <c r="AU78" i="3"/>
  <c r="AV78" i="3"/>
  <c r="AX78" i="3"/>
  <c r="AY78" i="3"/>
  <c r="AZ78" i="3"/>
  <c r="BA78" i="3"/>
  <c r="BB78" i="3"/>
  <c r="BD78" i="3"/>
  <c r="BE78" i="3"/>
  <c r="BF78" i="3"/>
  <c r="BG78" i="3"/>
  <c r="BH78" i="3"/>
  <c r="BJ78" i="3"/>
  <c r="BK78" i="3"/>
  <c r="BL78" i="3"/>
  <c r="BM78" i="3"/>
  <c r="BN78" i="3"/>
  <c r="BP78" i="3"/>
  <c r="BQ78" i="3"/>
  <c r="BR78" i="3"/>
  <c r="BS78" i="3"/>
  <c r="BT78" i="3"/>
  <c r="BV78" i="3"/>
  <c r="BW78" i="3"/>
  <c r="BX78" i="3"/>
  <c r="BY78" i="3"/>
  <c r="BZ78" i="3"/>
  <c r="CB78" i="3"/>
  <c r="CC78" i="3"/>
  <c r="CD78" i="3"/>
  <c r="CE78" i="3"/>
  <c r="CF78" i="3"/>
  <c r="CH78" i="3"/>
  <c r="CI78" i="3"/>
  <c r="CJ78" i="3"/>
  <c r="CK78" i="3"/>
  <c r="CL78" i="3"/>
  <c r="CN78" i="3"/>
  <c r="CO78" i="3"/>
  <c r="CP78" i="3"/>
  <c r="CQ78" i="3"/>
  <c r="CR78" i="3"/>
  <c r="CT78" i="3"/>
  <c r="CU78" i="3"/>
  <c r="CV78" i="3"/>
  <c r="CW78" i="3"/>
  <c r="CX78" i="3"/>
  <c r="CZ78" i="3"/>
  <c r="DA78" i="3"/>
  <c r="DB78" i="3"/>
  <c r="DC78" i="3"/>
  <c r="DD78" i="3"/>
  <c r="DF78" i="3"/>
  <c r="DG78" i="3"/>
  <c r="DH78" i="3"/>
  <c r="DI78" i="3"/>
  <c r="DJ78" i="3"/>
  <c r="DL78" i="3"/>
  <c r="DM78" i="3"/>
  <c r="DN78" i="3"/>
  <c r="DO78" i="3"/>
  <c r="DP78" i="3"/>
  <c r="DR78" i="3"/>
  <c r="DS78" i="3"/>
  <c r="DT78" i="3"/>
  <c r="DU78" i="3"/>
  <c r="DV78" i="3"/>
  <c r="DX78" i="3"/>
  <c r="DY78" i="3"/>
  <c r="DZ78" i="3"/>
  <c r="EA78" i="3"/>
  <c r="EB78" i="3"/>
  <c r="ED78" i="3"/>
  <c r="EE78" i="3"/>
  <c r="EF78" i="3"/>
  <c r="EG78" i="3"/>
  <c r="EH78" i="3"/>
  <c r="EJ78" i="3"/>
  <c r="EK78" i="3"/>
  <c r="EL78" i="3"/>
  <c r="EM78" i="3"/>
  <c r="EN78" i="3"/>
  <c r="EP78" i="3"/>
  <c r="EQ78" i="3"/>
  <c r="ER78" i="3"/>
  <c r="ES78" i="3"/>
  <c r="ET78" i="3"/>
  <c r="EV78" i="3"/>
  <c r="EW78" i="3"/>
  <c r="EX78" i="3"/>
  <c r="EY78" i="3"/>
  <c r="EZ78" i="3"/>
  <c r="FB78" i="3"/>
  <c r="FC78" i="3"/>
  <c r="FD78" i="3"/>
  <c r="FE78" i="3"/>
  <c r="FF78" i="3"/>
  <c r="FH78" i="3"/>
  <c r="FI78" i="3"/>
  <c r="FJ78" i="3"/>
  <c r="FK78" i="3"/>
  <c r="FL78" i="3"/>
  <c r="FN78" i="3"/>
  <c r="FO78" i="3"/>
  <c r="FP78" i="3"/>
  <c r="FQ78" i="3"/>
  <c r="FR78" i="3"/>
  <c r="FT78" i="3"/>
  <c r="FU78" i="3"/>
  <c r="FV78" i="3"/>
  <c r="FW78" i="3"/>
  <c r="FX78" i="3"/>
  <c r="FZ78" i="3"/>
  <c r="GA78" i="3"/>
  <c r="GB78" i="3"/>
  <c r="GC78" i="3"/>
  <c r="GD78" i="3"/>
  <c r="GF78" i="3"/>
  <c r="GG78" i="3"/>
  <c r="GH78" i="3"/>
  <c r="GI78" i="3"/>
  <c r="GJ78" i="3"/>
  <c r="GL78" i="3"/>
  <c r="GM78" i="3"/>
  <c r="GN78" i="3"/>
  <c r="A79" i="3"/>
  <c r="B79" i="3"/>
  <c r="C79" i="3"/>
  <c r="D79" i="3"/>
  <c r="E79" i="3"/>
  <c r="F79" i="3"/>
  <c r="H79" i="3"/>
  <c r="I79" i="3"/>
  <c r="J79" i="3"/>
  <c r="K79" i="3"/>
  <c r="L79" i="3"/>
  <c r="N79" i="3"/>
  <c r="O79" i="3"/>
  <c r="P79" i="3"/>
  <c r="Q79" i="3"/>
  <c r="R79" i="3"/>
  <c r="T79" i="3"/>
  <c r="U79" i="3"/>
  <c r="V79" i="3"/>
  <c r="W79" i="3"/>
  <c r="X79" i="3"/>
  <c r="Z79" i="3"/>
  <c r="AA79" i="3"/>
  <c r="AB79" i="3"/>
  <c r="AC79" i="3"/>
  <c r="AD79" i="3"/>
  <c r="AF79" i="3"/>
  <c r="AG79" i="3"/>
  <c r="AH79" i="3"/>
  <c r="AI79" i="3"/>
  <c r="AJ79" i="3"/>
  <c r="AL79" i="3"/>
  <c r="AM79" i="3"/>
  <c r="AN79" i="3"/>
  <c r="AO79" i="3"/>
  <c r="AP79" i="3"/>
  <c r="AR79" i="3"/>
  <c r="AS79" i="3"/>
  <c r="AT79" i="3"/>
  <c r="AU79" i="3"/>
  <c r="AV79" i="3"/>
  <c r="AX79" i="3"/>
  <c r="AY79" i="3"/>
  <c r="AZ79" i="3"/>
  <c r="BA79" i="3"/>
  <c r="BB79" i="3"/>
  <c r="BD79" i="3"/>
  <c r="BE79" i="3"/>
  <c r="BF79" i="3"/>
  <c r="BG79" i="3"/>
  <c r="BH79" i="3"/>
  <c r="BJ79" i="3"/>
  <c r="BK79" i="3"/>
  <c r="BL79" i="3"/>
  <c r="BM79" i="3"/>
  <c r="BN79" i="3"/>
  <c r="BP79" i="3"/>
  <c r="BQ79" i="3"/>
  <c r="BR79" i="3"/>
  <c r="BS79" i="3"/>
  <c r="BT79" i="3"/>
  <c r="BV79" i="3"/>
  <c r="BW79" i="3"/>
  <c r="BX79" i="3"/>
  <c r="BY79" i="3"/>
  <c r="BZ79" i="3"/>
  <c r="CB79" i="3"/>
  <c r="CC79" i="3"/>
  <c r="CD79" i="3"/>
  <c r="CE79" i="3"/>
  <c r="CF79" i="3"/>
  <c r="CH79" i="3"/>
  <c r="CI79" i="3"/>
  <c r="CJ79" i="3"/>
  <c r="CK79" i="3"/>
  <c r="CL79" i="3"/>
  <c r="CN79" i="3"/>
  <c r="CO79" i="3"/>
  <c r="CP79" i="3"/>
  <c r="CQ79" i="3"/>
  <c r="CR79" i="3"/>
  <c r="CT79" i="3"/>
  <c r="CU79" i="3"/>
  <c r="CV79" i="3"/>
  <c r="CW79" i="3"/>
  <c r="CX79" i="3"/>
  <c r="CZ79" i="3"/>
  <c r="DA79" i="3"/>
  <c r="DB79" i="3"/>
  <c r="DC79" i="3"/>
  <c r="DD79" i="3"/>
  <c r="DF79" i="3"/>
  <c r="DG79" i="3"/>
  <c r="DH79" i="3"/>
  <c r="DI79" i="3"/>
  <c r="DJ79" i="3"/>
  <c r="DL79" i="3"/>
  <c r="DM79" i="3"/>
  <c r="DN79" i="3"/>
  <c r="DO79" i="3"/>
  <c r="DP79" i="3"/>
  <c r="DR79" i="3"/>
  <c r="DS79" i="3"/>
  <c r="DT79" i="3"/>
  <c r="DU79" i="3"/>
  <c r="DV79" i="3"/>
  <c r="DX79" i="3"/>
  <c r="DY79" i="3"/>
  <c r="DZ79" i="3"/>
  <c r="EA79" i="3"/>
  <c r="EB79" i="3"/>
  <c r="ED79" i="3"/>
  <c r="EE79" i="3"/>
  <c r="EF79" i="3"/>
  <c r="EG79" i="3"/>
  <c r="EH79" i="3"/>
  <c r="EJ79" i="3"/>
  <c r="EK79" i="3"/>
  <c r="EL79" i="3"/>
  <c r="EM79" i="3"/>
  <c r="EN79" i="3"/>
  <c r="EP79" i="3"/>
  <c r="EQ79" i="3"/>
  <c r="ER79" i="3"/>
  <c r="ES79" i="3"/>
  <c r="ET79" i="3"/>
  <c r="EV79" i="3"/>
  <c r="EW79" i="3"/>
  <c r="EX79" i="3"/>
  <c r="EY79" i="3"/>
  <c r="EZ79" i="3"/>
  <c r="FB79" i="3"/>
  <c r="FC79" i="3"/>
  <c r="FD79" i="3"/>
  <c r="FE79" i="3"/>
  <c r="FF79" i="3"/>
  <c r="FH79" i="3"/>
  <c r="FI79" i="3"/>
  <c r="FJ79" i="3"/>
  <c r="FK79" i="3"/>
  <c r="FL79" i="3"/>
  <c r="FN79" i="3"/>
  <c r="FO79" i="3"/>
  <c r="FP79" i="3"/>
  <c r="FQ79" i="3"/>
  <c r="FR79" i="3"/>
  <c r="FT79" i="3"/>
  <c r="FU79" i="3"/>
  <c r="FV79" i="3"/>
  <c r="FW79" i="3"/>
  <c r="FX79" i="3"/>
  <c r="FZ79" i="3"/>
  <c r="GA79" i="3"/>
  <c r="GB79" i="3"/>
  <c r="GC79" i="3"/>
  <c r="GD79" i="3"/>
  <c r="GF79" i="3"/>
  <c r="GG79" i="3"/>
  <c r="GH79" i="3"/>
  <c r="GI79" i="3"/>
  <c r="GJ79" i="3"/>
  <c r="GL79" i="3"/>
  <c r="GM79" i="3"/>
  <c r="GN79" i="3"/>
  <c r="A80" i="3"/>
  <c r="B80" i="3"/>
  <c r="C80" i="3"/>
  <c r="D80" i="3"/>
  <c r="E80" i="3"/>
  <c r="F80" i="3"/>
  <c r="H80" i="3"/>
  <c r="I80" i="3"/>
  <c r="J80" i="3"/>
  <c r="K80" i="3"/>
  <c r="L80" i="3"/>
  <c r="N80" i="3"/>
  <c r="O80" i="3"/>
  <c r="P80" i="3"/>
  <c r="Q80" i="3"/>
  <c r="R80" i="3"/>
  <c r="T80" i="3"/>
  <c r="U80" i="3"/>
  <c r="V80" i="3"/>
  <c r="W80" i="3"/>
  <c r="X80" i="3"/>
  <c r="Z80" i="3"/>
  <c r="AA80" i="3"/>
  <c r="AB80" i="3"/>
  <c r="AC80" i="3"/>
  <c r="AD80" i="3"/>
  <c r="AF80" i="3"/>
  <c r="AG80" i="3"/>
  <c r="AH80" i="3"/>
  <c r="AI80" i="3"/>
  <c r="AJ80" i="3"/>
  <c r="AL80" i="3"/>
  <c r="AM80" i="3"/>
  <c r="AN80" i="3"/>
  <c r="AO80" i="3"/>
  <c r="AP80" i="3"/>
  <c r="AR80" i="3"/>
  <c r="AS80" i="3"/>
  <c r="AT80" i="3"/>
  <c r="AU80" i="3"/>
  <c r="AV80" i="3"/>
  <c r="AX80" i="3"/>
  <c r="AY80" i="3"/>
  <c r="AZ80" i="3"/>
  <c r="BA80" i="3"/>
  <c r="BB80" i="3"/>
  <c r="BD80" i="3"/>
  <c r="BE80" i="3"/>
  <c r="BF80" i="3"/>
  <c r="BG80" i="3"/>
  <c r="BH80" i="3"/>
  <c r="BJ80" i="3"/>
  <c r="BK80" i="3"/>
  <c r="BL80" i="3"/>
  <c r="BM80" i="3"/>
  <c r="BN80" i="3"/>
  <c r="BP80" i="3"/>
  <c r="BQ80" i="3"/>
  <c r="BR80" i="3"/>
  <c r="BS80" i="3"/>
  <c r="BT80" i="3"/>
  <c r="BV80" i="3"/>
  <c r="BW80" i="3"/>
  <c r="BX80" i="3"/>
  <c r="BY80" i="3"/>
  <c r="BZ80" i="3"/>
  <c r="CB80" i="3"/>
  <c r="CC80" i="3"/>
  <c r="CD80" i="3"/>
  <c r="CE80" i="3"/>
  <c r="CF80" i="3"/>
  <c r="CH80" i="3"/>
  <c r="CI80" i="3"/>
  <c r="CJ80" i="3"/>
  <c r="CK80" i="3"/>
  <c r="CL80" i="3"/>
  <c r="CN80" i="3"/>
  <c r="CO80" i="3"/>
  <c r="CP80" i="3"/>
  <c r="CQ80" i="3"/>
  <c r="CR80" i="3"/>
  <c r="CT80" i="3"/>
  <c r="CU80" i="3"/>
  <c r="CV80" i="3"/>
  <c r="CW80" i="3"/>
  <c r="CX80" i="3"/>
  <c r="CZ80" i="3"/>
  <c r="DA80" i="3"/>
  <c r="DB80" i="3"/>
  <c r="DC80" i="3"/>
  <c r="DD80" i="3"/>
  <c r="DF80" i="3"/>
  <c r="DG80" i="3"/>
  <c r="DH80" i="3"/>
  <c r="DI80" i="3"/>
  <c r="DJ80" i="3"/>
  <c r="DL80" i="3"/>
  <c r="DM80" i="3"/>
  <c r="DN80" i="3"/>
  <c r="DO80" i="3"/>
  <c r="DP80" i="3"/>
  <c r="DR80" i="3"/>
  <c r="DS80" i="3"/>
  <c r="DT80" i="3"/>
  <c r="DU80" i="3"/>
  <c r="DV80" i="3"/>
  <c r="DX80" i="3"/>
  <c r="DY80" i="3"/>
  <c r="DZ80" i="3"/>
  <c r="EA80" i="3"/>
  <c r="EB80" i="3"/>
  <c r="ED80" i="3"/>
  <c r="EE80" i="3"/>
  <c r="EF80" i="3"/>
  <c r="EG80" i="3"/>
  <c r="EH80" i="3"/>
  <c r="EJ80" i="3"/>
  <c r="EK80" i="3"/>
  <c r="EL80" i="3"/>
  <c r="EM80" i="3"/>
  <c r="EN80" i="3"/>
  <c r="EP80" i="3"/>
  <c r="EQ80" i="3"/>
  <c r="ER80" i="3"/>
  <c r="ES80" i="3"/>
  <c r="ET80" i="3"/>
  <c r="EV80" i="3"/>
  <c r="EW80" i="3"/>
  <c r="EX80" i="3"/>
  <c r="EY80" i="3"/>
  <c r="EZ80" i="3"/>
  <c r="FB80" i="3"/>
  <c r="FC80" i="3"/>
  <c r="FD80" i="3"/>
  <c r="FE80" i="3"/>
  <c r="FF80" i="3"/>
  <c r="FH80" i="3"/>
  <c r="FI80" i="3"/>
  <c r="FJ80" i="3"/>
  <c r="FK80" i="3"/>
  <c r="FL80" i="3"/>
  <c r="FN80" i="3"/>
  <c r="FO80" i="3"/>
  <c r="FP80" i="3"/>
  <c r="FQ80" i="3"/>
  <c r="FR80" i="3"/>
  <c r="FT80" i="3"/>
  <c r="FU80" i="3"/>
  <c r="FV80" i="3"/>
  <c r="FW80" i="3"/>
  <c r="FX80" i="3"/>
  <c r="FZ80" i="3"/>
  <c r="GA80" i="3"/>
  <c r="GB80" i="3"/>
  <c r="GC80" i="3"/>
  <c r="GD80" i="3"/>
  <c r="GF80" i="3"/>
  <c r="GG80" i="3"/>
  <c r="GH80" i="3"/>
  <c r="GI80" i="3"/>
  <c r="GJ80" i="3"/>
  <c r="GL80" i="3"/>
  <c r="GM80" i="3"/>
  <c r="GN80" i="3"/>
  <c r="A81" i="3"/>
  <c r="B81" i="3"/>
  <c r="C81" i="3"/>
  <c r="D81" i="3"/>
  <c r="E81" i="3"/>
  <c r="F81" i="3"/>
  <c r="H81" i="3"/>
  <c r="I81" i="3"/>
  <c r="J81" i="3"/>
  <c r="K81" i="3"/>
  <c r="L81" i="3"/>
  <c r="N81" i="3"/>
  <c r="O81" i="3"/>
  <c r="P81" i="3"/>
  <c r="Q81" i="3"/>
  <c r="R81" i="3"/>
  <c r="T81" i="3"/>
  <c r="U81" i="3"/>
  <c r="V81" i="3"/>
  <c r="W81" i="3"/>
  <c r="X81" i="3"/>
  <c r="Z81" i="3"/>
  <c r="AA81" i="3"/>
  <c r="AB81" i="3"/>
  <c r="AC81" i="3"/>
  <c r="AD81" i="3"/>
  <c r="AF81" i="3"/>
  <c r="AG81" i="3"/>
  <c r="AH81" i="3"/>
  <c r="AI81" i="3"/>
  <c r="AJ81" i="3"/>
  <c r="AL81" i="3"/>
  <c r="AM81" i="3"/>
  <c r="AN81" i="3"/>
  <c r="AO81" i="3"/>
  <c r="AP81" i="3"/>
  <c r="AR81" i="3"/>
  <c r="AS81" i="3"/>
  <c r="AT81" i="3"/>
  <c r="AU81" i="3"/>
  <c r="AV81" i="3"/>
  <c r="AX81" i="3"/>
  <c r="AY81" i="3"/>
  <c r="AZ81" i="3"/>
  <c r="BA81" i="3"/>
  <c r="BB81" i="3"/>
  <c r="BD81" i="3"/>
  <c r="BE81" i="3"/>
  <c r="BF81" i="3"/>
  <c r="BG81" i="3"/>
  <c r="BH81" i="3"/>
  <c r="BJ81" i="3"/>
  <c r="BK81" i="3"/>
  <c r="BL81" i="3"/>
  <c r="BM81" i="3"/>
  <c r="BN81" i="3"/>
  <c r="BP81" i="3"/>
  <c r="BQ81" i="3"/>
  <c r="BR81" i="3"/>
  <c r="BS81" i="3"/>
  <c r="BT81" i="3"/>
  <c r="BV81" i="3"/>
  <c r="BW81" i="3"/>
  <c r="BX81" i="3"/>
  <c r="BY81" i="3"/>
  <c r="BZ81" i="3"/>
  <c r="CB81" i="3"/>
  <c r="CC81" i="3"/>
  <c r="CD81" i="3"/>
  <c r="CE81" i="3"/>
  <c r="CF81" i="3"/>
  <c r="CH81" i="3"/>
  <c r="CI81" i="3"/>
  <c r="CJ81" i="3"/>
  <c r="CK81" i="3"/>
  <c r="CL81" i="3"/>
  <c r="CN81" i="3"/>
  <c r="CO81" i="3"/>
  <c r="CP81" i="3"/>
  <c r="CQ81" i="3"/>
  <c r="CR81" i="3"/>
  <c r="CT81" i="3"/>
  <c r="CU81" i="3"/>
  <c r="CV81" i="3"/>
  <c r="CW81" i="3"/>
  <c r="CX81" i="3"/>
  <c r="CZ81" i="3"/>
  <c r="DA81" i="3"/>
  <c r="DB81" i="3"/>
  <c r="DC81" i="3"/>
  <c r="DD81" i="3"/>
  <c r="DF81" i="3"/>
  <c r="DG81" i="3"/>
  <c r="DH81" i="3"/>
  <c r="DI81" i="3"/>
  <c r="DJ81" i="3"/>
  <c r="DL81" i="3"/>
  <c r="DM81" i="3"/>
  <c r="DN81" i="3"/>
  <c r="DO81" i="3"/>
  <c r="DP81" i="3"/>
  <c r="DR81" i="3"/>
  <c r="DS81" i="3"/>
  <c r="DT81" i="3"/>
  <c r="DU81" i="3"/>
  <c r="DV81" i="3"/>
  <c r="DX81" i="3"/>
  <c r="DY81" i="3"/>
  <c r="DZ81" i="3"/>
  <c r="EA81" i="3"/>
  <c r="EB81" i="3"/>
  <c r="ED81" i="3"/>
  <c r="EE81" i="3"/>
  <c r="EF81" i="3"/>
  <c r="EG81" i="3"/>
  <c r="EH81" i="3"/>
  <c r="EJ81" i="3"/>
  <c r="EK81" i="3"/>
  <c r="EL81" i="3"/>
  <c r="EM81" i="3"/>
  <c r="EN81" i="3"/>
  <c r="EP81" i="3"/>
  <c r="EQ81" i="3"/>
  <c r="ER81" i="3"/>
  <c r="ES81" i="3"/>
  <c r="ET81" i="3"/>
  <c r="EV81" i="3"/>
  <c r="EW81" i="3"/>
  <c r="EX81" i="3"/>
  <c r="EY81" i="3"/>
  <c r="EZ81" i="3"/>
  <c r="FB81" i="3"/>
  <c r="FC81" i="3"/>
  <c r="FD81" i="3"/>
  <c r="FE81" i="3"/>
  <c r="FF81" i="3"/>
  <c r="FH81" i="3"/>
  <c r="FI81" i="3"/>
  <c r="FJ81" i="3"/>
  <c r="FK81" i="3"/>
  <c r="FL81" i="3"/>
  <c r="FN81" i="3"/>
  <c r="FO81" i="3"/>
  <c r="FP81" i="3"/>
  <c r="FQ81" i="3"/>
  <c r="FR81" i="3"/>
  <c r="FT81" i="3"/>
  <c r="FU81" i="3"/>
  <c r="FV81" i="3"/>
  <c r="FW81" i="3"/>
  <c r="FX81" i="3"/>
  <c r="FZ81" i="3"/>
  <c r="GA81" i="3"/>
  <c r="GB81" i="3"/>
  <c r="GC81" i="3"/>
  <c r="GD81" i="3"/>
  <c r="GF81" i="3"/>
  <c r="GG81" i="3"/>
  <c r="GH81" i="3"/>
  <c r="GI81" i="3"/>
  <c r="GJ81" i="3"/>
  <c r="GL81" i="3"/>
  <c r="GM81" i="3"/>
  <c r="GN81" i="3"/>
  <c r="A82" i="3"/>
  <c r="B82" i="3"/>
  <c r="C82" i="3"/>
  <c r="D82" i="3"/>
  <c r="E82" i="3"/>
  <c r="F82" i="3"/>
  <c r="H82" i="3"/>
  <c r="I82" i="3"/>
  <c r="J82" i="3"/>
  <c r="K82" i="3"/>
  <c r="L82" i="3"/>
  <c r="N82" i="3"/>
  <c r="O82" i="3"/>
  <c r="P82" i="3"/>
  <c r="Q82" i="3"/>
  <c r="R82" i="3"/>
  <c r="T82" i="3"/>
  <c r="U82" i="3"/>
  <c r="V82" i="3"/>
  <c r="W82" i="3"/>
  <c r="X82" i="3"/>
  <c r="Z82" i="3"/>
  <c r="AA82" i="3"/>
  <c r="AB82" i="3"/>
  <c r="AC82" i="3"/>
  <c r="AD82" i="3"/>
  <c r="AF82" i="3"/>
  <c r="AG82" i="3"/>
  <c r="AH82" i="3"/>
  <c r="AI82" i="3"/>
  <c r="AJ82" i="3"/>
  <c r="AL82" i="3"/>
  <c r="AM82" i="3"/>
  <c r="AN82" i="3"/>
  <c r="AO82" i="3"/>
  <c r="AP82" i="3"/>
  <c r="AR82" i="3"/>
  <c r="AS82" i="3"/>
  <c r="AT82" i="3"/>
  <c r="AU82" i="3"/>
  <c r="AV82" i="3"/>
  <c r="AX82" i="3"/>
  <c r="AY82" i="3"/>
  <c r="AZ82" i="3"/>
  <c r="BA82" i="3"/>
  <c r="BB82" i="3"/>
  <c r="BD82" i="3"/>
  <c r="BE82" i="3"/>
  <c r="BF82" i="3"/>
  <c r="BG82" i="3"/>
  <c r="BH82" i="3"/>
  <c r="BJ82" i="3"/>
  <c r="BK82" i="3"/>
  <c r="BL82" i="3"/>
  <c r="BM82" i="3"/>
  <c r="BN82" i="3"/>
  <c r="BP82" i="3"/>
  <c r="BQ82" i="3"/>
  <c r="BR82" i="3"/>
  <c r="BS82" i="3"/>
  <c r="BT82" i="3"/>
  <c r="BV82" i="3"/>
  <c r="BW82" i="3"/>
  <c r="BX82" i="3"/>
  <c r="BY82" i="3"/>
  <c r="BZ82" i="3"/>
  <c r="CB82" i="3"/>
  <c r="CC82" i="3"/>
  <c r="CD82" i="3"/>
  <c r="CE82" i="3"/>
  <c r="CF82" i="3"/>
  <c r="CH82" i="3"/>
  <c r="CI82" i="3"/>
  <c r="CJ82" i="3"/>
  <c r="CK82" i="3"/>
  <c r="CL82" i="3"/>
  <c r="CN82" i="3"/>
  <c r="CO82" i="3"/>
  <c r="CP82" i="3"/>
  <c r="CQ82" i="3"/>
  <c r="CR82" i="3"/>
  <c r="CT82" i="3"/>
  <c r="CU82" i="3"/>
  <c r="CV82" i="3"/>
  <c r="CW82" i="3"/>
  <c r="CX82" i="3"/>
  <c r="CZ82" i="3"/>
  <c r="DA82" i="3"/>
  <c r="DB82" i="3"/>
  <c r="DC82" i="3"/>
  <c r="DD82" i="3"/>
  <c r="DF82" i="3"/>
  <c r="DG82" i="3"/>
  <c r="DH82" i="3"/>
  <c r="DI82" i="3"/>
  <c r="DJ82" i="3"/>
  <c r="DL82" i="3"/>
  <c r="DM82" i="3"/>
  <c r="DN82" i="3"/>
  <c r="DO82" i="3"/>
  <c r="DP82" i="3"/>
  <c r="DR82" i="3"/>
  <c r="DS82" i="3"/>
  <c r="DT82" i="3"/>
  <c r="DU82" i="3"/>
  <c r="DV82" i="3"/>
  <c r="DX82" i="3"/>
  <c r="DY82" i="3"/>
  <c r="DZ82" i="3"/>
  <c r="EA82" i="3"/>
  <c r="EB82" i="3"/>
  <c r="ED82" i="3"/>
  <c r="EE82" i="3"/>
  <c r="EF82" i="3"/>
  <c r="EG82" i="3"/>
  <c r="EH82" i="3"/>
  <c r="EJ82" i="3"/>
  <c r="EK82" i="3"/>
  <c r="EL82" i="3"/>
  <c r="EM82" i="3"/>
  <c r="EN82" i="3"/>
  <c r="EP82" i="3"/>
  <c r="EQ82" i="3"/>
  <c r="ER82" i="3"/>
  <c r="ES82" i="3"/>
  <c r="ET82" i="3"/>
  <c r="EV82" i="3"/>
  <c r="EW82" i="3"/>
  <c r="EX82" i="3"/>
  <c r="EY82" i="3"/>
  <c r="EZ82" i="3"/>
  <c r="FB82" i="3"/>
  <c r="FC82" i="3"/>
  <c r="FD82" i="3"/>
  <c r="FE82" i="3"/>
  <c r="FF82" i="3"/>
  <c r="FH82" i="3"/>
  <c r="FI82" i="3"/>
  <c r="FJ82" i="3"/>
  <c r="FK82" i="3"/>
  <c r="FL82" i="3"/>
  <c r="FN82" i="3"/>
  <c r="FO82" i="3"/>
  <c r="FP82" i="3"/>
  <c r="FQ82" i="3"/>
  <c r="FR82" i="3"/>
  <c r="FT82" i="3"/>
  <c r="FU82" i="3"/>
  <c r="FV82" i="3"/>
  <c r="FW82" i="3"/>
  <c r="FX82" i="3"/>
  <c r="FZ82" i="3"/>
  <c r="GA82" i="3"/>
  <c r="GB82" i="3"/>
  <c r="GC82" i="3"/>
  <c r="GD82" i="3"/>
  <c r="GF82" i="3"/>
  <c r="GG82" i="3"/>
  <c r="GH82" i="3"/>
  <c r="GI82" i="3"/>
  <c r="GJ82" i="3"/>
  <c r="GL82" i="3"/>
  <c r="GM82" i="3"/>
  <c r="GN82" i="3"/>
  <c r="A83" i="3"/>
  <c r="B83" i="3"/>
  <c r="C83" i="3"/>
  <c r="D83" i="3"/>
  <c r="E83" i="3"/>
  <c r="F83" i="3"/>
  <c r="H83" i="3"/>
  <c r="I83" i="3"/>
  <c r="J83" i="3"/>
  <c r="K83" i="3"/>
  <c r="L83" i="3"/>
  <c r="N83" i="3"/>
  <c r="O83" i="3"/>
  <c r="P83" i="3"/>
  <c r="Q83" i="3"/>
  <c r="R83" i="3"/>
  <c r="T83" i="3"/>
  <c r="U83" i="3"/>
  <c r="V83" i="3"/>
  <c r="W83" i="3"/>
  <c r="X83" i="3"/>
  <c r="Z83" i="3"/>
  <c r="AA83" i="3"/>
  <c r="AB83" i="3"/>
  <c r="AC83" i="3"/>
  <c r="AD83" i="3"/>
  <c r="AF83" i="3"/>
  <c r="AG83" i="3"/>
  <c r="AH83" i="3"/>
  <c r="AI83" i="3"/>
  <c r="AJ83" i="3"/>
  <c r="AL83" i="3"/>
  <c r="AM83" i="3"/>
  <c r="AN83" i="3"/>
  <c r="AO83" i="3"/>
  <c r="AP83" i="3"/>
  <c r="AR83" i="3"/>
  <c r="AS83" i="3"/>
  <c r="AT83" i="3"/>
  <c r="AU83" i="3"/>
  <c r="AV83" i="3"/>
  <c r="AX83" i="3"/>
  <c r="AY83" i="3"/>
  <c r="AZ83" i="3"/>
  <c r="BA83" i="3"/>
  <c r="BB83" i="3"/>
  <c r="BD83" i="3"/>
  <c r="BE83" i="3"/>
  <c r="BF83" i="3"/>
  <c r="BG83" i="3"/>
  <c r="BH83" i="3"/>
  <c r="BJ83" i="3"/>
  <c r="BK83" i="3"/>
  <c r="BL83" i="3"/>
  <c r="BM83" i="3"/>
  <c r="BN83" i="3"/>
  <c r="BP83" i="3"/>
  <c r="BQ83" i="3"/>
  <c r="BR83" i="3"/>
  <c r="BS83" i="3"/>
  <c r="BT83" i="3"/>
  <c r="BV83" i="3"/>
  <c r="BW83" i="3"/>
  <c r="BX83" i="3"/>
  <c r="BY83" i="3"/>
  <c r="BZ83" i="3"/>
  <c r="CB83" i="3"/>
  <c r="CC83" i="3"/>
  <c r="CD83" i="3"/>
  <c r="CE83" i="3"/>
  <c r="CF83" i="3"/>
  <c r="CH83" i="3"/>
  <c r="CI83" i="3"/>
  <c r="CJ83" i="3"/>
  <c r="CK83" i="3"/>
  <c r="CL83" i="3"/>
  <c r="CN83" i="3"/>
  <c r="CO83" i="3"/>
  <c r="CP83" i="3"/>
  <c r="CQ83" i="3"/>
  <c r="CR83" i="3"/>
  <c r="CT83" i="3"/>
  <c r="CU83" i="3"/>
  <c r="CV83" i="3"/>
  <c r="CW83" i="3"/>
  <c r="CX83" i="3"/>
  <c r="CZ83" i="3"/>
  <c r="DA83" i="3"/>
  <c r="DB83" i="3"/>
  <c r="DC83" i="3"/>
  <c r="DD83" i="3"/>
  <c r="DF83" i="3"/>
  <c r="DG83" i="3"/>
  <c r="DH83" i="3"/>
  <c r="DI83" i="3"/>
  <c r="DJ83" i="3"/>
  <c r="DL83" i="3"/>
  <c r="DM83" i="3"/>
  <c r="DN83" i="3"/>
  <c r="DO83" i="3"/>
  <c r="DP83" i="3"/>
  <c r="DR83" i="3"/>
  <c r="DS83" i="3"/>
  <c r="DT83" i="3"/>
  <c r="DU83" i="3"/>
  <c r="DV83" i="3"/>
  <c r="DX83" i="3"/>
  <c r="DY83" i="3"/>
  <c r="DZ83" i="3"/>
  <c r="EA83" i="3"/>
  <c r="EB83" i="3"/>
  <c r="ED83" i="3"/>
  <c r="EE83" i="3"/>
  <c r="EF83" i="3"/>
  <c r="EG83" i="3"/>
  <c r="EH83" i="3"/>
  <c r="EJ83" i="3"/>
  <c r="EK83" i="3"/>
  <c r="EL83" i="3"/>
  <c r="EM83" i="3"/>
  <c r="EN83" i="3"/>
  <c r="EP83" i="3"/>
  <c r="EQ83" i="3"/>
  <c r="ER83" i="3"/>
  <c r="ES83" i="3"/>
  <c r="ET83" i="3"/>
  <c r="EV83" i="3"/>
  <c r="EW83" i="3"/>
  <c r="EX83" i="3"/>
  <c r="EY83" i="3"/>
  <c r="EZ83" i="3"/>
  <c r="FB83" i="3"/>
  <c r="FC83" i="3"/>
  <c r="FD83" i="3"/>
  <c r="FE83" i="3"/>
  <c r="FF83" i="3"/>
  <c r="FH83" i="3"/>
  <c r="FI83" i="3"/>
  <c r="FJ83" i="3"/>
  <c r="FK83" i="3"/>
  <c r="FL83" i="3"/>
  <c r="FN83" i="3"/>
  <c r="FO83" i="3"/>
  <c r="FP83" i="3"/>
  <c r="FQ83" i="3"/>
  <c r="FR83" i="3"/>
  <c r="FT83" i="3"/>
  <c r="FU83" i="3"/>
  <c r="FV83" i="3"/>
  <c r="FW83" i="3"/>
  <c r="FX83" i="3"/>
  <c r="FZ83" i="3"/>
  <c r="GA83" i="3"/>
  <c r="GB83" i="3"/>
  <c r="GC83" i="3"/>
  <c r="GD83" i="3"/>
  <c r="GF83" i="3"/>
  <c r="GG83" i="3"/>
  <c r="GH83" i="3"/>
  <c r="GI83" i="3"/>
  <c r="GJ83" i="3"/>
  <c r="GL83" i="3"/>
  <c r="GM83" i="3"/>
  <c r="GN83" i="3"/>
  <c r="A84" i="3"/>
  <c r="B84" i="3"/>
  <c r="C84" i="3"/>
  <c r="D84" i="3"/>
  <c r="E84" i="3"/>
  <c r="F84" i="3"/>
  <c r="H84" i="3"/>
  <c r="I84" i="3"/>
  <c r="J84" i="3"/>
  <c r="K84" i="3"/>
  <c r="L84" i="3"/>
  <c r="N84" i="3"/>
  <c r="O84" i="3"/>
  <c r="P84" i="3"/>
  <c r="Q84" i="3"/>
  <c r="R84" i="3"/>
  <c r="T84" i="3"/>
  <c r="U84" i="3"/>
  <c r="V84" i="3"/>
  <c r="W84" i="3"/>
  <c r="X84" i="3"/>
  <c r="Z84" i="3"/>
  <c r="AA84" i="3"/>
  <c r="AB84" i="3"/>
  <c r="AC84" i="3"/>
  <c r="AD84" i="3"/>
  <c r="AF84" i="3"/>
  <c r="AG84" i="3"/>
  <c r="AH84" i="3"/>
  <c r="AI84" i="3"/>
  <c r="AJ84" i="3"/>
  <c r="AL84" i="3"/>
  <c r="AM84" i="3"/>
  <c r="AN84" i="3"/>
  <c r="AO84" i="3"/>
  <c r="AP84" i="3"/>
  <c r="AR84" i="3"/>
  <c r="AS84" i="3"/>
  <c r="AT84" i="3"/>
  <c r="AU84" i="3"/>
  <c r="AV84" i="3"/>
  <c r="AX84" i="3"/>
  <c r="AY84" i="3"/>
  <c r="AZ84" i="3"/>
  <c r="BA84" i="3"/>
  <c r="BB84" i="3"/>
  <c r="BD84" i="3"/>
  <c r="BE84" i="3"/>
  <c r="BF84" i="3"/>
  <c r="BG84" i="3"/>
  <c r="BH84" i="3"/>
  <c r="BJ84" i="3"/>
  <c r="BK84" i="3"/>
  <c r="BL84" i="3"/>
  <c r="BM84" i="3"/>
  <c r="BN84" i="3"/>
  <c r="BP84" i="3"/>
  <c r="BQ84" i="3"/>
  <c r="BR84" i="3"/>
  <c r="BS84" i="3"/>
  <c r="BT84" i="3"/>
  <c r="BV84" i="3"/>
  <c r="BW84" i="3"/>
  <c r="BX84" i="3"/>
  <c r="BY84" i="3"/>
  <c r="BZ84" i="3"/>
  <c r="CB84" i="3"/>
  <c r="CC84" i="3"/>
  <c r="CD84" i="3"/>
  <c r="CE84" i="3"/>
  <c r="CF84" i="3"/>
  <c r="CH84" i="3"/>
  <c r="CI84" i="3"/>
  <c r="CJ84" i="3"/>
  <c r="CK84" i="3"/>
  <c r="CL84" i="3"/>
  <c r="CN84" i="3"/>
  <c r="CO84" i="3"/>
  <c r="CP84" i="3"/>
  <c r="CQ84" i="3"/>
  <c r="CR84" i="3"/>
  <c r="CT84" i="3"/>
  <c r="CU84" i="3"/>
  <c r="CV84" i="3"/>
  <c r="CW84" i="3"/>
  <c r="CX84" i="3"/>
  <c r="CZ84" i="3"/>
  <c r="DA84" i="3"/>
  <c r="DB84" i="3"/>
  <c r="DC84" i="3"/>
  <c r="DD84" i="3"/>
  <c r="DF84" i="3"/>
  <c r="DG84" i="3"/>
  <c r="DH84" i="3"/>
  <c r="DI84" i="3"/>
  <c r="DJ84" i="3"/>
  <c r="DL84" i="3"/>
  <c r="DM84" i="3"/>
  <c r="DN84" i="3"/>
  <c r="DO84" i="3"/>
  <c r="DP84" i="3"/>
  <c r="DR84" i="3"/>
  <c r="DS84" i="3"/>
  <c r="DT84" i="3"/>
  <c r="DU84" i="3"/>
  <c r="DV84" i="3"/>
  <c r="DX84" i="3"/>
  <c r="DY84" i="3"/>
  <c r="DZ84" i="3"/>
  <c r="EA84" i="3"/>
  <c r="EB84" i="3"/>
  <c r="ED84" i="3"/>
  <c r="EE84" i="3"/>
  <c r="EF84" i="3"/>
  <c r="EG84" i="3"/>
  <c r="EH84" i="3"/>
  <c r="EJ84" i="3"/>
  <c r="EK84" i="3"/>
  <c r="EL84" i="3"/>
  <c r="EM84" i="3"/>
  <c r="EN84" i="3"/>
  <c r="EP84" i="3"/>
  <c r="EQ84" i="3"/>
  <c r="ER84" i="3"/>
  <c r="ES84" i="3"/>
  <c r="ET84" i="3"/>
  <c r="EV84" i="3"/>
  <c r="EW84" i="3"/>
  <c r="EX84" i="3"/>
  <c r="EY84" i="3"/>
  <c r="EZ84" i="3"/>
  <c r="FB84" i="3"/>
  <c r="FC84" i="3"/>
  <c r="FD84" i="3"/>
  <c r="FE84" i="3"/>
  <c r="FF84" i="3"/>
  <c r="FH84" i="3"/>
  <c r="FI84" i="3"/>
  <c r="FJ84" i="3"/>
  <c r="FK84" i="3"/>
  <c r="FL84" i="3"/>
  <c r="FN84" i="3"/>
  <c r="FO84" i="3"/>
  <c r="FP84" i="3"/>
  <c r="FQ84" i="3"/>
  <c r="FR84" i="3"/>
  <c r="FT84" i="3"/>
  <c r="FU84" i="3"/>
  <c r="FV84" i="3"/>
  <c r="FW84" i="3"/>
  <c r="FX84" i="3"/>
  <c r="FZ84" i="3"/>
  <c r="GA84" i="3"/>
  <c r="GB84" i="3"/>
  <c r="GC84" i="3"/>
  <c r="GD84" i="3"/>
  <c r="GF84" i="3"/>
  <c r="GG84" i="3"/>
  <c r="GH84" i="3"/>
  <c r="GI84" i="3"/>
  <c r="GJ84" i="3"/>
  <c r="GL84" i="3"/>
  <c r="GM84" i="3"/>
  <c r="GN84" i="3"/>
  <c r="A85" i="3"/>
  <c r="B85" i="3"/>
  <c r="C85" i="3"/>
  <c r="D85" i="3"/>
  <c r="E85" i="3"/>
  <c r="F85" i="3"/>
  <c r="H85" i="3"/>
  <c r="I85" i="3"/>
  <c r="J85" i="3"/>
  <c r="K85" i="3"/>
  <c r="L85" i="3"/>
  <c r="N85" i="3"/>
  <c r="O85" i="3"/>
  <c r="P85" i="3"/>
  <c r="Q85" i="3"/>
  <c r="R85" i="3"/>
  <c r="T85" i="3"/>
  <c r="U85" i="3"/>
  <c r="V85" i="3"/>
  <c r="W85" i="3"/>
  <c r="X85" i="3"/>
  <c r="Z85" i="3"/>
  <c r="AA85" i="3"/>
  <c r="AB85" i="3"/>
  <c r="AC85" i="3"/>
  <c r="AD85" i="3"/>
  <c r="AF85" i="3"/>
  <c r="AG85" i="3"/>
  <c r="AH85" i="3"/>
  <c r="AI85" i="3"/>
  <c r="AJ85" i="3"/>
  <c r="AL85" i="3"/>
  <c r="AM85" i="3"/>
  <c r="AN85" i="3"/>
  <c r="AO85" i="3"/>
  <c r="AP85" i="3"/>
  <c r="AR85" i="3"/>
  <c r="AS85" i="3"/>
  <c r="AT85" i="3"/>
  <c r="AU85" i="3"/>
  <c r="AV85" i="3"/>
  <c r="AX85" i="3"/>
  <c r="AY85" i="3"/>
  <c r="AZ85" i="3"/>
  <c r="BA85" i="3"/>
  <c r="BB85" i="3"/>
  <c r="BD85" i="3"/>
  <c r="BE85" i="3"/>
  <c r="BF85" i="3"/>
  <c r="BG85" i="3"/>
  <c r="BH85" i="3"/>
  <c r="BJ85" i="3"/>
  <c r="BK85" i="3"/>
  <c r="BL85" i="3"/>
  <c r="BM85" i="3"/>
  <c r="BN85" i="3"/>
  <c r="BP85" i="3"/>
  <c r="BQ85" i="3"/>
  <c r="BR85" i="3"/>
  <c r="BS85" i="3"/>
  <c r="BT85" i="3"/>
  <c r="BV85" i="3"/>
  <c r="BW85" i="3"/>
  <c r="BX85" i="3"/>
  <c r="BY85" i="3"/>
  <c r="BZ85" i="3"/>
  <c r="CB85" i="3"/>
  <c r="CC85" i="3"/>
  <c r="CD85" i="3"/>
  <c r="CE85" i="3"/>
  <c r="CF85" i="3"/>
  <c r="CH85" i="3"/>
  <c r="CI85" i="3"/>
  <c r="CJ85" i="3"/>
  <c r="CK85" i="3"/>
  <c r="CL85" i="3"/>
  <c r="CN85" i="3"/>
  <c r="CO85" i="3"/>
  <c r="CP85" i="3"/>
  <c r="CQ85" i="3"/>
  <c r="CR85" i="3"/>
  <c r="CT85" i="3"/>
  <c r="CU85" i="3"/>
  <c r="CV85" i="3"/>
  <c r="CW85" i="3"/>
  <c r="CX85" i="3"/>
  <c r="CZ85" i="3"/>
  <c r="DA85" i="3"/>
  <c r="DB85" i="3"/>
  <c r="DC85" i="3"/>
  <c r="DD85" i="3"/>
  <c r="DF85" i="3"/>
  <c r="DG85" i="3"/>
  <c r="DH85" i="3"/>
  <c r="DI85" i="3"/>
  <c r="DJ85" i="3"/>
  <c r="DL85" i="3"/>
  <c r="DM85" i="3"/>
  <c r="DN85" i="3"/>
  <c r="DO85" i="3"/>
  <c r="DP85" i="3"/>
  <c r="DR85" i="3"/>
  <c r="DS85" i="3"/>
  <c r="DT85" i="3"/>
  <c r="DU85" i="3"/>
  <c r="DV85" i="3"/>
  <c r="DX85" i="3"/>
  <c r="DY85" i="3"/>
  <c r="DZ85" i="3"/>
  <c r="EA85" i="3"/>
  <c r="EB85" i="3"/>
  <c r="ED85" i="3"/>
  <c r="EE85" i="3"/>
  <c r="EF85" i="3"/>
  <c r="EG85" i="3"/>
  <c r="EH85" i="3"/>
  <c r="EJ85" i="3"/>
  <c r="EK85" i="3"/>
  <c r="EL85" i="3"/>
  <c r="EM85" i="3"/>
  <c r="EN85" i="3"/>
  <c r="EP85" i="3"/>
  <c r="EQ85" i="3"/>
  <c r="ER85" i="3"/>
  <c r="ES85" i="3"/>
  <c r="ET85" i="3"/>
  <c r="EV85" i="3"/>
  <c r="EW85" i="3"/>
  <c r="EX85" i="3"/>
  <c r="EY85" i="3"/>
  <c r="EZ85" i="3"/>
  <c r="FB85" i="3"/>
  <c r="FC85" i="3"/>
  <c r="FD85" i="3"/>
  <c r="FE85" i="3"/>
  <c r="FF85" i="3"/>
  <c r="FH85" i="3"/>
  <c r="FI85" i="3"/>
  <c r="FJ85" i="3"/>
  <c r="FK85" i="3"/>
  <c r="FL85" i="3"/>
  <c r="FN85" i="3"/>
  <c r="FO85" i="3"/>
  <c r="FP85" i="3"/>
  <c r="FQ85" i="3"/>
  <c r="FR85" i="3"/>
  <c r="FT85" i="3"/>
  <c r="FU85" i="3"/>
  <c r="FV85" i="3"/>
  <c r="FW85" i="3"/>
  <c r="FX85" i="3"/>
  <c r="FZ85" i="3"/>
  <c r="GA85" i="3"/>
  <c r="GB85" i="3"/>
  <c r="GC85" i="3"/>
  <c r="GD85" i="3"/>
  <c r="GF85" i="3"/>
  <c r="GG85" i="3"/>
  <c r="GH85" i="3"/>
  <c r="GI85" i="3"/>
  <c r="GJ85" i="3"/>
  <c r="GL85" i="3"/>
  <c r="GM85" i="3"/>
  <c r="GN85" i="3"/>
  <c r="A86" i="3"/>
  <c r="B86" i="3"/>
  <c r="C86" i="3"/>
  <c r="D86" i="3"/>
  <c r="E86" i="3"/>
  <c r="F86" i="3"/>
  <c r="H86" i="3"/>
  <c r="I86" i="3"/>
  <c r="J86" i="3"/>
  <c r="K86" i="3"/>
  <c r="L86" i="3"/>
  <c r="N86" i="3"/>
  <c r="O86" i="3"/>
  <c r="P86" i="3"/>
  <c r="Q86" i="3"/>
  <c r="R86" i="3"/>
  <c r="T86" i="3"/>
  <c r="U86" i="3"/>
  <c r="V86" i="3"/>
  <c r="W86" i="3"/>
  <c r="X86" i="3"/>
  <c r="Z86" i="3"/>
  <c r="AA86" i="3"/>
  <c r="AB86" i="3"/>
  <c r="AC86" i="3"/>
  <c r="AD86" i="3"/>
  <c r="AF86" i="3"/>
  <c r="AG86" i="3"/>
  <c r="AH86" i="3"/>
  <c r="AI86" i="3"/>
  <c r="AJ86" i="3"/>
  <c r="AL86" i="3"/>
  <c r="AM86" i="3"/>
  <c r="AN86" i="3"/>
  <c r="AO86" i="3"/>
  <c r="AP86" i="3"/>
  <c r="AR86" i="3"/>
  <c r="AS86" i="3"/>
  <c r="AT86" i="3"/>
  <c r="AU86" i="3"/>
  <c r="AV86" i="3"/>
  <c r="AX86" i="3"/>
  <c r="AY86" i="3"/>
  <c r="AZ86" i="3"/>
  <c r="BA86" i="3"/>
  <c r="BB86" i="3"/>
  <c r="BD86" i="3"/>
  <c r="BE86" i="3"/>
  <c r="BF86" i="3"/>
  <c r="BG86" i="3"/>
  <c r="BH86" i="3"/>
  <c r="BJ86" i="3"/>
  <c r="BK86" i="3"/>
  <c r="BL86" i="3"/>
  <c r="BM86" i="3"/>
  <c r="BN86" i="3"/>
  <c r="BP86" i="3"/>
  <c r="BQ86" i="3"/>
  <c r="BR86" i="3"/>
  <c r="BS86" i="3"/>
  <c r="BT86" i="3"/>
  <c r="BV86" i="3"/>
  <c r="BW86" i="3"/>
  <c r="BX86" i="3"/>
  <c r="BY86" i="3"/>
  <c r="BZ86" i="3"/>
  <c r="CB86" i="3"/>
  <c r="CC86" i="3"/>
  <c r="CD86" i="3"/>
  <c r="CE86" i="3"/>
  <c r="CF86" i="3"/>
  <c r="CH86" i="3"/>
  <c r="CI86" i="3"/>
  <c r="CJ86" i="3"/>
  <c r="CK86" i="3"/>
  <c r="CL86" i="3"/>
  <c r="CN86" i="3"/>
  <c r="CO86" i="3"/>
  <c r="CP86" i="3"/>
  <c r="CQ86" i="3"/>
  <c r="CR86" i="3"/>
  <c r="CT86" i="3"/>
  <c r="CU86" i="3"/>
  <c r="CV86" i="3"/>
  <c r="CW86" i="3"/>
  <c r="CX86" i="3"/>
  <c r="CZ86" i="3"/>
  <c r="DA86" i="3"/>
  <c r="DB86" i="3"/>
  <c r="DC86" i="3"/>
  <c r="DD86" i="3"/>
  <c r="DF86" i="3"/>
  <c r="DG86" i="3"/>
  <c r="DH86" i="3"/>
  <c r="DI86" i="3"/>
  <c r="DJ86" i="3"/>
  <c r="DL86" i="3"/>
  <c r="DM86" i="3"/>
  <c r="DN86" i="3"/>
  <c r="DO86" i="3"/>
  <c r="DP86" i="3"/>
  <c r="DR86" i="3"/>
  <c r="DS86" i="3"/>
  <c r="DT86" i="3"/>
  <c r="DU86" i="3"/>
  <c r="DV86" i="3"/>
  <c r="DX86" i="3"/>
  <c r="DY86" i="3"/>
  <c r="DZ86" i="3"/>
  <c r="EA86" i="3"/>
  <c r="EB86" i="3"/>
  <c r="ED86" i="3"/>
  <c r="EE86" i="3"/>
  <c r="EF86" i="3"/>
  <c r="EG86" i="3"/>
  <c r="EH86" i="3"/>
  <c r="EJ86" i="3"/>
  <c r="EK86" i="3"/>
  <c r="EL86" i="3"/>
  <c r="EM86" i="3"/>
  <c r="EN86" i="3"/>
  <c r="EP86" i="3"/>
  <c r="EQ86" i="3"/>
  <c r="ER86" i="3"/>
  <c r="ES86" i="3"/>
  <c r="ET86" i="3"/>
  <c r="EV86" i="3"/>
  <c r="EW86" i="3"/>
  <c r="EX86" i="3"/>
  <c r="EY86" i="3"/>
  <c r="EZ86" i="3"/>
  <c r="FB86" i="3"/>
  <c r="FC86" i="3"/>
  <c r="FD86" i="3"/>
  <c r="FE86" i="3"/>
  <c r="FF86" i="3"/>
  <c r="FH86" i="3"/>
  <c r="FI86" i="3"/>
  <c r="FJ86" i="3"/>
  <c r="FK86" i="3"/>
  <c r="FL86" i="3"/>
  <c r="FN86" i="3"/>
  <c r="FO86" i="3"/>
  <c r="FP86" i="3"/>
  <c r="FQ86" i="3"/>
  <c r="FR86" i="3"/>
  <c r="FT86" i="3"/>
  <c r="FU86" i="3"/>
  <c r="FV86" i="3"/>
  <c r="FW86" i="3"/>
  <c r="FX86" i="3"/>
  <c r="FZ86" i="3"/>
  <c r="GA86" i="3"/>
  <c r="GB86" i="3"/>
  <c r="GC86" i="3"/>
  <c r="GD86" i="3"/>
  <c r="GF86" i="3"/>
  <c r="GG86" i="3"/>
  <c r="GH86" i="3"/>
  <c r="GI86" i="3"/>
  <c r="GJ86" i="3"/>
  <c r="GL86" i="3"/>
  <c r="GM86" i="3"/>
  <c r="GN86" i="3"/>
  <c r="A87" i="3"/>
  <c r="B87" i="3"/>
  <c r="C87" i="3"/>
  <c r="D87" i="3"/>
  <c r="E87" i="3"/>
  <c r="F87" i="3"/>
  <c r="H87" i="3"/>
  <c r="I87" i="3"/>
  <c r="J87" i="3"/>
  <c r="K87" i="3"/>
  <c r="L87" i="3"/>
  <c r="N87" i="3"/>
  <c r="O87" i="3"/>
  <c r="P87" i="3"/>
  <c r="Q87" i="3"/>
  <c r="R87" i="3"/>
  <c r="T87" i="3"/>
  <c r="U87" i="3"/>
  <c r="V87" i="3"/>
  <c r="W87" i="3"/>
  <c r="X87" i="3"/>
  <c r="Z87" i="3"/>
  <c r="AA87" i="3"/>
  <c r="AB87" i="3"/>
  <c r="AC87" i="3"/>
  <c r="AD87" i="3"/>
  <c r="AF87" i="3"/>
  <c r="AG87" i="3"/>
  <c r="AH87" i="3"/>
  <c r="AI87" i="3"/>
  <c r="AJ87" i="3"/>
  <c r="AL87" i="3"/>
  <c r="AM87" i="3"/>
  <c r="AN87" i="3"/>
  <c r="AO87" i="3"/>
  <c r="AP87" i="3"/>
  <c r="AR87" i="3"/>
  <c r="AS87" i="3"/>
  <c r="AT87" i="3"/>
  <c r="AU87" i="3"/>
  <c r="AV87" i="3"/>
  <c r="AX87" i="3"/>
  <c r="AY87" i="3"/>
  <c r="AZ87" i="3"/>
  <c r="BA87" i="3"/>
  <c r="BB87" i="3"/>
  <c r="BD87" i="3"/>
  <c r="BE87" i="3"/>
  <c r="BF87" i="3"/>
  <c r="BG87" i="3"/>
  <c r="BH87" i="3"/>
  <c r="BJ87" i="3"/>
  <c r="BK87" i="3"/>
  <c r="BL87" i="3"/>
  <c r="BM87" i="3"/>
  <c r="BN87" i="3"/>
  <c r="BP87" i="3"/>
  <c r="BQ87" i="3"/>
  <c r="BR87" i="3"/>
  <c r="BS87" i="3"/>
  <c r="BT87" i="3"/>
  <c r="BV87" i="3"/>
  <c r="BW87" i="3"/>
  <c r="BX87" i="3"/>
  <c r="BY87" i="3"/>
  <c r="BZ87" i="3"/>
  <c r="CB87" i="3"/>
  <c r="CC87" i="3"/>
  <c r="CD87" i="3"/>
  <c r="CE87" i="3"/>
  <c r="CF87" i="3"/>
  <c r="CH87" i="3"/>
  <c r="CI87" i="3"/>
  <c r="CJ87" i="3"/>
  <c r="CK87" i="3"/>
  <c r="CL87" i="3"/>
  <c r="CN87" i="3"/>
  <c r="CO87" i="3"/>
  <c r="CP87" i="3"/>
  <c r="CQ87" i="3"/>
  <c r="CR87" i="3"/>
  <c r="CT87" i="3"/>
  <c r="CU87" i="3"/>
  <c r="CV87" i="3"/>
  <c r="CW87" i="3"/>
  <c r="CX87" i="3"/>
  <c r="CZ87" i="3"/>
  <c r="DA87" i="3"/>
  <c r="DB87" i="3"/>
  <c r="DC87" i="3"/>
  <c r="DD87" i="3"/>
  <c r="DF87" i="3"/>
  <c r="DG87" i="3"/>
  <c r="DH87" i="3"/>
  <c r="DI87" i="3"/>
  <c r="DJ87" i="3"/>
  <c r="DL87" i="3"/>
  <c r="DM87" i="3"/>
  <c r="DN87" i="3"/>
  <c r="DO87" i="3"/>
  <c r="DP87" i="3"/>
  <c r="DR87" i="3"/>
  <c r="DS87" i="3"/>
  <c r="DT87" i="3"/>
  <c r="DU87" i="3"/>
  <c r="DV87" i="3"/>
  <c r="DX87" i="3"/>
  <c r="DY87" i="3"/>
  <c r="DZ87" i="3"/>
  <c r="EA87" i="3"/>
  <c r="EB87" i="3"/>
  <c r="ED87" i="3"/>
  <c r="EE87" i="3"/>
  <c r="EF87" i="3"/>
  <c r="EG87" i="3"/>
  <c r="EH87" i="3"/>
  <c r="EJ87" i="3"/>
  <c r="EK87" i="3"/>
  <c r="EL87" i="3"/>
  <c r="EM87" i="3"/>
  <c r="EN87" i="3"/>
  <c r="EP87" i="3"/>
  <c r="EQ87" i="3"/>
  <c r="ER87" i="3"/>
  <c r="ES87" i="3"/>
  <c r="ET87" i="3"/>
  <c r="EV87" i="3"/>
  <c r="EW87" i="3"/>
  <c r="EX87" i="3"/>
  <c r="EY87" i="3"/>
  <c r="EZ87" i="3"/>
  <c r="FB87" i="3"/>
  <c r="FC87" i="3"/>
  <c r="FD87" i="3"/>
  <c r="FE87" i="3"/>
  <c r="FF87" i="3"/>
  <c r="FH87" i="3"/>
  <c r="FI87" i="3"/>
  <c r="FJ87" i="3"/>
  <c r="FK87" i="3"/>
  <c r="FL87" i="3"/>
  <c r="FN87" i="3"/>
  <c r="FO87" i="3"/>
  <c r="FP87" i="3"/>
  <c r="FQ87" i="3"/>
  <c r="FR87" i="3"/>
  <c r="FT87" i="3"/>
  <c r="FU87" i="3"/>
  <c r="FV87" i="3"/>
  <c r="FW87" i="3"/>
  <c r="FX87" i="3"/>
  <c r="FZ87" i="3"/>
  <c r="GA87" i="3"/>
  <c r="GB87" i="3"/>
  <c r="GC87" i="3"/>
  <c r="GD87" i="3"/>
  <c r="GF87" i="3"/>
  <c r="GG87" i="3"/>
  <c r="GH87" i="3"/>
  <c r="GI87" i="3"/>
  <c r="GJ87" i="3"/>
  <c r="GL87" i="3"/>
  <c r="GM87" i="3"/>
  <c r="GN87" i="3"/>
  <c r="A88" i="3"/>
  <c r="B88" i="3"/>
  <c r="C88" i="3"/>
  <c r="D88" i="3"/>
  <c r="E88" i="3"/>
  <c r="F88" i="3"/>
  <c r="H88" i="3"/>
  <c r="I88" i="3"/>
  <c r="J88" i="3"/>
  <c r="K88" i="3"/>
  <c r="L88" i="3"/>
  <c r="N88" i="3"/>
  <c r="O88" i="3"/>
  <c r="P88" i="3"/>
  <c r="Q88" i="3"/>
  <c r="R88" i="3"/>
  <c r="T88" i="3"/>
  <c r="U88" i="3"/>
  <c r="V88" i="3"/>
  <c r="W88" i="3"/>
  <c r="X88" i="3"/>
  <c r="Z88" i="3"/>
  <c r="AA88" i="3"/>
  <c r="AB88" i="3"/>
  <c r="AC88" i="3"/>
  <c r="AD88" i="3"/>
  <c r="AF88" i="3"/>
  <c r="AG88" i="3"/>
  <c r="AH88" i="3"/>
  <c r="AI88" i="3"/>
  <c r="AJ88" i="3"/>
  <c r="AL88" i="3"/>
  <c r="AM88" i="3"/>
  <c r="AN88" i="3"/>
  <c r="AO88" i="3"/>
  <c r="AP88" i="3"/>
  <c r="AR88" i="3"/>
  <c r="AS88" i="3"/>
  <c r="AT88" i="3"/>
  <c r="AU88" i="3"/>
  <c r="AV88" i="3"/>
  <c r="AX88" i="3"/>
  <c r="AY88" i="3"/>
  <c r="AZ88" i="3"/>
  <c r="BA88" i="3"/>
  <c r="BB88" i="3"/>
  <c r="BD88" i="3"/>
  <c r="BE88" i="3"/>
  <c r="BF88" i="3"/>
  <c r="BG88" i="3"/>
  <c r="BH88" i="3"/>
  <c r="BJ88" i="3"/>
  <c r="BK88" i="3"/>
  <c r="BL88" i="3"/>
  <c r="BM88" i="3"/>
  <c r="BN88" i="3"/>
  <c r="BP88" i="3"/>
  <c r="BQ88" i="3"/>
  <c r="BR88" i="3"/>
  <c r="BS88" i="3"/>
  <c r="BT88" i="3"/>
  <c r="BV88" i="3"/>
  <c r="BW88" i="3"/>
  <c r="BX88" i="3"/>
  <c r="BY88" i="3"/>
  <c r="BZ88" i="3"/>
  <c r="CB88" i="3"/>
  <c r="CC88" i="3"/>
  <c r="CD88" i="3"/>
  <c r="CE88" i="3"/>
  <c r="CF88" i="3"/>
  <c r="CH88" i="3"/>
  <c r="CI88" i="3"/>
  <c r="CJ88" i="3"/>
  <c r="CK88" i="3"/>
  <c r="CL88" i="3"/>
  <c r="CN88" i="3"/>
  <c r="CO88" i="3"/>
  <c r="CP88" i="3"/>
  <c r="CQ88" i="3"/>
  <c r="CR88" i="3"/>
  <c r="CT88" i="3"/>
  <c r="CU88" i="3"/>
  <c r="CV88" i="3"/>
  <c r="CW88" i="3"/>
  <c r="CX88" i="3"/>
  <c r="CZ88" i="3"/>
  <c r="DA88" i="3"/>
  <c r="DB88" i="3"/>
  <c r="DC88" i="3"/>
  <c r="DD88" i="3"/>
  <c r="DF88" i="3"/>
  <c r="DG88" i="3"/>
  <c r="DH88" i="3"/>
  <c r="DI88" i="3"/>
  <c r="DJ88" i="3"/>
  <c r="DL88" i="3"/>
  <c r="DM88" i="3"/>
  <c r="DN88" i="3"/>
  <c r="DO88" i="3"/>
  <c r="DP88" i="3"/>
  <c r="DR88" i="3"/>
  <c r="DS88" i="3"/>
  <c r="DT88" i="3"/>
  <c r="DU88" i="3"/>
  <c r="DV88" i="3"/>
  <c r="DX88" i="3"/>
  <c r="DY88" i="3"/>
  <c r="DZ88" i="3"/>
  <c r="EA88" i="3"/>
  <c r="EB88" i="3"/>
  <c r="ED88" i="3"/>
  <c r="EE88" i="3"/>
  <c r="EF88" i="3"/>
  <c r="EG88" i="3"/>
  <c r="EH88" i="3"/>
  <c r="EJ88" i="3"/>
  <c r="EK88" i="3"/>
  <c r="EL88" i="3"/>
  <c r="EM88" i="3"/>
  <c r="EN88" i="3"/>
  <c r="EO88" i="3" s="1"/>
  <c r="EP88" i="3"/>
  <c r="EQ88" i="3"/>
  <c r="ER88" i="3"/>
  <c r="ES88" i="3"/>
  <c r="ET88" i="3"/>
  <c r="EV88" i="3"/>
  <c r="EW88" i="3"/>
  <c r="EX88" i="3"/>
  <c r="EY88" i="3"/>
  <c r="EZ88" i="3"/>
  <c r="FB88" i="3"/>
  <c r="FC88" i="3"/>
  <c r="FD88" i="3"/>
  <c r="FE88" i="3"/>
  <c r="FF88" i="3"/>
  <c r="FH88" i="3"/>
  <c r="FI88" i="3"/>
  <c r="FJ88" i="3"/>
  <c r="FK88" i="3"/>
  <c r="FL88" i="3"/>
  <c r="FN88" i="3"/>
  <c r="FO88" i="3"/>
  <c r="FP88" i="3"/>
  <c r="FQ88" i="3"/>
  <c r="FR88" i="3"/>
  <c r="FT88" i="3"/>
  <c r="FU88" i="3"/>
  <c r="FV88" i="3"/>
  <c r="FW88" i="3"/>
  <c r="FX88" i="3"/>
  <c r="FZ88" i="3"/>
  <c r="GA88" i="3"/>
  <c r="GB88" i="3"/>
  <c r="GC88" i="3"/>
  <c r="GD88" i="3"/>
  <c r="GF88" i="3"/>
  <c r="GG88" i="3"/>
  <c r="GH88" i="3"/>
  <c r="GI88" i="3"/>
  <c r="GJ88" i="3"/>
  <c r="GL88" i="3"/>
  <c r="GM88" i="3"/>
  <c r="GN88" i="3"/>
  <c r="A89" i="3"/>
  <c r="B89" i="3"/>
  <c r="C89" i="3"/>
  <c r="D89" i="3"/>
  <c r="E89" i="3"/>
  <c r="F89" i="3"/>
  <c r="H89" i="3"/>
  <c r="I89" i="3"/>
  <c r="J89" i="3"/>
  <c r="K89" i="3"/>
  <c r="L89" i="3"/>
  <c r="N89" i="3"/>
  <c r="O89" i="3"/>
  <c r="P89" i="3"/>
  <c r="Q89" i="3"/>
  <c r="R89" i="3"/>
  <c r="T89" i="3"/>
  <c r="U89" i="3"/>
  <c r="V89" i="3"/>
  <c r="W89" i="3"/>
  <c r="X89" i="3"/>
  <c r="Z89" i="3"/>
  <c r="AA89" i="3"/>
  <c r="AB89" i="3"/>
  <c r="AC89" i="3"/>
  <c r="AD89" i="3"/>
  <c r="AF89" i="3"/>
  <c r="AG89" i="3"/>
  <c r="AH89" i="3"/>
  <c r="AI89" i="3"/>
  <c r="AJ89" i="3"/>
  <c r="AL89" i="3"/>
  <c r="AM89" i="3"/>
  <c r="AN89" i="3"/>
  <c r="AO89" i="3"/>
  <c r="AP89" i="3"/>
  <c r="AR89" i="3"/>
  <c r="AS89" i="3"/>
  <c r="AT89" i="3"/>
  <c r="AU89" i="3"/>
  <c r="AV89" i="3"/>
  <c r="AX89" i="3"/>
  <c r="AY89" i="3"/>
  <c r="AZ89" i="3"/>
  <c r="BA89" i="3"/>
  <c r="BB89" i="3"/>
  <c r="BD89" i="3"/>
  <c r="BE89" i="3"/>
  <c r="BF89" i="3"/>
  <c r="BG89" i="3"/>
  <c r="BH89" i="3"/>
  <c r="BJ89" i="3"/>
  <c r="BK89" i="3"/>
  <c r="BL89" i="3"/>
  <c r="BM89" i="3"/>
  <c r="BN89" i="3"/>
  <c r="BP89" i="3"/>
  <c r="BQ89" i="3"/>
  <c r="BR89" i="3"/>
  <c r="BS89" i="3"/>
  <c r="BT89" i="3"/>
  <c r="BV89" i="3"/>
  <c r="BW89" i="3"/>
  <c r="BX89" i="3"/>
  <c r="BY89" i="3"/>
  <c r="BZ89" i="3"/>
  <c r="CB89" i="3"/>
  <c r="CC89" i="3"/>
  <c r="CD89" i="3"/>
  <c r="CE89" i="3"/>
  <c r="CF89" i="3"/>
  <c r="CH89" i="3"/>
  <c r="CI89" i="3"/>
  <c r="CJ89" i="3"/>
  <c r="CK89" i="3"/>
  <c r="CL89" i="3"/>
  <c r="CN89" i="3"/>
  <c r="CO89" i="3"/>
  <c r="CP89" i="3"/>
  <c r="CQ89" i="3"/>
  <c r="CR89" i="3"/>
  <c r="CT89" i="3"/>
  <c r="CU89" i="3"/>
  <c r="CV89" i="3"/>
  <c r="CW89" i="3"/>
  <c r="CX89" i="3"/>
  <c r="CZ89" i="3"/>
  <c r="DA89" i="3"/>
  <c r="DB89" i="3"/>
  <c r="DC89" i="3"/>
  <c r="DD89" i="3"/>
  <c r="DF89" i="3"/>
  <c r="DG89" i="3"/>
  <c r="DH89" i="3"/>
  <c r="DI89" i="3"/>
  <c r="DJ89" i="3"/>
  <c r="DL89" i="3"/>
  <c r="DM89" i="3"/>
  <c r="DN89" i="3"/>
  <c r="DO89" i="3"/>
  <c r="DP89" i="3"/>
  <c r="DR89" i="3"/>
  <c r="DS89" i="3"/>
  <c r="DT89" i="3"/>
  <c r="DU89" i="3"/>
  <c r="DV89" i="3"/>
  <c r="DX89" i="3"/>
  <c r="DY89" i="3"/>
  <c r="DZ89" i="3"/>
  <c r="EA89" i="3"/>
  <c r="EB89" i="3"/>
  <c r="ED89" i="3"/>
  <c r="EE89" i="3"/>
  <c r="EF89" i="3"/>
  <c r="EG89" i="3"/>
  <c r="EH89" i="3"/>
  <c r="EJ89" i="3"/>
  <c r="EK89" i="3"/>
  <c r="EL89" i="3"/>
  <c r="EM89" i="3"/>
  <c r="EN89" i="3"/>
  <c r="EP89" i="3"/>
  <c r="EQ89" i="3"/>
  <c r="ER89" i="3"/>
  <c r="ES89" i="3"/>
  <c r="ET89" i="3"/>
  <c r="EV89" i="3"/>
  <c r="EW89" i="3"/>
  <c r="EX89" i="3"/>
  <c r="EY89" i="3"/>
  <c r="EZ89" i="3"/>
  <c r="FB89" i="3"/>
  <c r="FC89" i="3"/>
  <c r="FD89" i="3"/>
  <c r="FE89" i="3"/>
  <c r="FF89" i="3"/>
  <c r="FH89" i="3"/>
  <c r="FI89" i="3"/>
  <c r="FJ89" i="3"/>
  <c r="FK89" i="3"/>
  <c r="FL89" i="3"/>
  <c r="FN89" i="3"/>
  <c r="FO89" i="3"/>
  <c r="FP89" i="3"/>
  <c r="FQ89" i="3"/>
  <c r="FR89" i="3"/>
  <c r="FT89" i="3"/>
  <c r="FU89" i="3"/>
  <c r="FV89" i="3"/>
  <c r="FW89" i="3"/>
  <c r="FX89" i="3"/>
  <c r="FZ89" i="3"/>
  <c r="GA89" i="3"/>
  <c r="GB89" i="3"/>
  <c r="GC89" i="3"/>
  <c r="GD89" i="3"/>
  <c r="GF89" i="3"/>
  <c r="GG89" i="3"/>
  <c r="GH89" i="3"/>
  <c r="GI89" i="3"/>
  <c r="GJ89" i="3"/>
  <c r="GL89" i="3"/>
  <c r="GM89" i="3"/>
  <c r="GN89" i="3"/>
  <c r="A90" i="3"/>
  <c r="B90" i="3"/>
  <c r="C90" i="3"/>
  <c r="D90" i="3"/>
  <c r="E90" i="3"/>
  <c r="F90" i="3"/>
  <c r="H90" i="3"/>
  <c r="I90" i="3"/>
  <c r="J90" i="3"/>
  <c r="K90" i="3"/>
  <c r="L90" i="3"/>
  <c r="N90" i="3"/>
  <c r="O90" i="3"/>
  <c r="P90" i="3"/>
  <c r="Q90" i="3"/>
  <c r="R90" i="3"/>
  <c r="T90" i="3"/>
  <c r="U90" i="3"/>
  <c r="V90" i="3"/>
  <c r="W90" i="3"/>
  <c r="X90" i="3"/>
  <c r="Z90" i="3"/>
  <c r="AA90" i="3"/>
  <c r="AB90" i="3"/>
  <c r="AC90" i="3"/>
  <c r="AD90" i="3"/>
  <c r="AF90" i="3"/>
  <c r="AG90" i="3"/>
  <c r="AH90" i="3"/>
  <c r="AI90" i="3"/>
  <c r="AJ90" i="3"/>
  <c r="AL90" i="3"/>
  <c r="AM90" i="3"/>
  <c r="AN90" i="3"/>
  <c r="AO90" i="3"/>
  <c r="AP90" i="3"/>
  <c r="AR90" i="3"/>
  <c r="AS90" i="3"/>
  <c r="AT90" i="3"/>
  <c r="AU90" i="3"/>
  <c r="AV90" i="3"/>
  <c r="AX90" i="3"/>
  <c r="AY90" i="3"/>
  <c r="AZ90" i="3"/>
  <c r="BA90" i="3"/>
  <c r="BB90" i="3"/>
  <c r="BD90" i="3"/>
  <c r="BE90" i="3"/>
  <c r="BF90" i="3"/>
  <c r="BG90" i="3"/>
  <c r="BH90" i="3"/>
  <c r="BJ90" i="3"/>
  <c r="BK90" i="3"/>
  <c r="BL90" i="3"/>
  <c r="BM90" i="3"/>
  <c r="BN90" i="3"/>
  <c r="BP90" i="3"/>
  <c r="BQ90" i="3"/>
  <c r="BR90" i="3"/>
  <c r="BS90" i="3"/>
  <c r="BT90" i="3"/>
  <c r="BV90" i="3"/>
  <c r="BW90" i="3"/>
  <c r="BX90" i="3"/>
  <c r="BY90" i="3"/>
  <c r="BZ90" i="3"/>
  <c r="CB90" i="3"/>
  <c r="CC90" i="3"/>
  <c r="CD90" i="3"/>
  <c r="CE90" i="3"/>
  <c r="CF90" i="3"/>
  <c r="CH90" i="3"/>
  <c r="CI90" i="3"/>
  <c r="CJ90" i="3"/>
  <c r="CK90" i="3"/>
  <c r="CL90" i="3"/>
  <c r="CN90" i="3"/>
  <c r="CO90" i="3"/>
  <c r="CP90" i="3"/>
  <c r="CQ90" i="3"/>
  <c r="CR90" i="3"/>
  <c r="CT90" i="3"/>
  <c r="CU90" i="3"/>
  <c r="CV90" i="3"/>
  <c r="CW90" i="3"/>
  <c r="CX90" i="3"/>
  <c r="CZ90" i="3"/>
  <c r="DA90" i="3"/>
  <c r="DB90" i="3"/>
  <c r="DC90" i="3"/>
  <c r="DD90" i="3"/>
  <c r="DF90" i="3"/>
  <c r="DG90" i="3"/>
  <c r="DH90" i="3"/>
  <c r="DI90" i="3"/>
  <c r="DJ90" i="3"/>
  <c r="DL90" i="3"/>
  <c r="DM90" i="3"/>
  <c r="DN90" i="3"/>
  <c r="DO90" i="3"/>
  <c r="DP90" i="3"/>
  <c r="DR90" i="3"/>
  <c r="DS90" i="3"/>
  <c r="DT90" i="3"/>
  <c r="DU90" i="3"/>
  <c r="DV90" i="3"/>
  <c r="DX90" i="3"/>
  <c r="DY90" i="3"/>
  <c r="DZ90" i="3"/>
  <c r="EA90" i="3"/>
  <c r="EB90" i="3"/>
  <c r="ED90" i="3"/>
  <c r="EE90" i="3"/>
  <c r="EF90" i="3"/>
  <c r="EG90" i="3"/>
  <c r="EH90" i="3"/>
  <c r="EJ90" i="3"/>
  <c r="EK90" i="3"/>
  <c r="EL90" i="3"/>
  <c r="EM90" i="3"/>
  <c r="EN90" i="3"/>
  <c r="EP90" i="3"/>
  <c r="EQ90" i="3"/>
  <c r="ER90" i="3"/>
  <c r="ES90" i="3"/>
  <c r="ET90" i="3"/>
  <c r="EV90" i="3"/>
  <c r="EW90" i="3"/>
  <c r="EX90" i="3"/>
  <c r="EY90" i="3"/>
  <c r="EZ90" i="3"/>
  <c r="FB90" i="3"/>
  <c r="FC90" i="3"/>
  <c r="FD90" i="3"/>
  <c r="FE90" i="3"/>
  <c r="FF90" i="3"/>
  <c r="FH90" i="3"/>
  <c r="FI90" i="3"/>
  <c r="FJ90" i="3"/>
  <c r="FK90" i="3"/>
  <c r="FL90" i="3"/>
  <c r="FN90" i="3"/>
  <c r="FO90" i="3"/>
  <c r="FP90" i="3"/>
  <c r="FQ90" i="3"/>
  <c r="FR90" i="3"/>
  <c r="FT90" i="3"/>
  <c r="FU90" i="3"/>
  <c r="FV90" i="3"/>
  <c r="FW90" i="3"/>
  <c r="FX90" i="3"/>
  <c r="FZ90" i="3"/>
  <c r="GA90" i="3"/>
  <c r="GB90" i="3"/>
  <c r="GC90" i="3"/>
  <c r="GD90" i="3"/>
  <c r="GF90" i="3"/>
  <c r="GG90" i="3"/>
  <c r="GH90" i="3"/>
  <c r="GI90" i="3"/>
  <c r="GJ90" i="3"/>
  <c r="GL90" i="3"/>
  <c r="GM90" i="3"/>
  <c r="GN90" i="3"/>
  <c r="A91" i="3"/>
  <c r="B91" i="3"/>
  <c r="C91" i="3"/>
  <c r="D91" i="3"/>
  <c r="E91" i="3"/>
  <c r="F91" i="3"/>
  <c r="H91" i="3"/>
  <c r="I91" i="3"/>
  <c r="J91" i="3"/>
  <c r="K91" i="3"/>
  <c r="L91" i="3"/>
  <c r="N91" i="3"/>
  <c r="O91" i="3"/>
  <c r="P91" i="3"/>
  <c r="Q91" i="3"/>
  <c r="R91" i="3"/>
  <c r="T91" i="3"/>
  <c r="U91" i="3"/>
  <c r="V91" i="3"/>
  <c r="W91" i="3"/>
  <c r="X91" i="3"/>
  <c r="Z91" i="3"/>
  <c r="AA91" i="3"/>
  <c r="AB91" i="3"/>
  <c r="AC91" i="3"/>
  <c r="AD91" i="3"/>
  <c r="AF91" i="3"/>
  <c r="AG91" i="3"/>
  <c r="AH91" i="3"/>
  <c r="AI91" i="3"/>
  <c r="AJ91" i="3"/>
  <c r="AL91" i="3"/>
  <c r="AM91" i="3"/>
  <c r="AN91" i="3"/>
  <c r="AO91" i="3"/>
  <c r="AP91" i="3"/>
  <c r="AR91" i="3"/>
  <c r="AS91" i="3"/>
  <c r="AT91" i="3"/>
  <c r="AU91" i="3"/>
  <c r="AV91" i="3"/>
  <c r="AX91" i="3"/>
  <c r="AY91" i="3"/>
  <c r="AZ91" i="3"/>
  <c r="BA91" i="3"/>
  <c r="BB91" i="3"/>
  <c r="BD91" i="3"/>
  <c r="BE91" i="3"/>
  <c r="BF91" i="3"/>
  <c r="BG91" i="3"/>
  <c r="BH91" i="3"/>
  <c r="BJ91" i="3"/>
  <c r="BK91" i="3"/>
  <c r="BL91" i="3"/>
  <c r="BM91" i="3"/>
  <c r="BN91" i="3"/>
  <c r="BP91" i="3"/>
  <c r="BQ91" i="3"/>
  <c r="BR91" i="3"/>
  <c r="BS91" i="3"/>
  <c r="BT91" i="3"/>
  <c r="BV91" i="3"/>
  <c r="BW91" i="3"/>
  <c r="BX91" i="3"/>
  <c r="BY91" i="3"/>
  <c r="BZ91" i="3"/>
  <c r="CB91" i="3"/>
  <c r="CC91" i="3"/>
  <c r="CD91" i="3"/>
  <c r="CE91" i="3"/>
  <c r="CF91" i="3"/>
  <c r="CH91" i="3"/>
  <c r="CI91" i="3"/>
  <c r="CJ91" i="3"/>
  <c r="CK91" i="3"/>
  <c r="CL91" i="3"/>
  <c r="CN91" i="3"/>
  <c r="CO91" i="3"/>
  <c r="CP91" i="3"/>
  <c r="CQ91" i="3"/>
  <c r="CR91" i="3"/>
  <c r="CT91" i="3"/>
  <c r="CU91" i="3"/>
  <c r="CV91" i="3"/>
  <c r="CW91" i="3"/>
  <c r="CX91" i="3"/>
  <c r="CZ91" i="3"/>
  <c r="DA91" i="3"/>
  <c r="DB91" i="3"/>
  <c r="DC91" i="3"/>
  <c r="DD91" i="3"/>
  <c r="DF91" i="3"/>
  <c r="DG91" i="3"/>
  <c r="DH91" i="3"/>
  <c r="DI91" i="3"/>
  <c r="DJ91" i="3"/>
  <c r="DL91" i="3"/>
  <c r="DM91" i="3"/>
  <c r="DN91" i="3"/>
  <c r="DO91" i="3"/>
  <c r="DP91" i="3"/>
  <c r="DR91" i="3"/>
  <c r="DS91" i="3"/>
  <c r="DT91" i="3"/>
  <c r="DU91" i="3"/>
  <c r="DV91" i="3"/>
  <c r="DX91" i="3"/>
  <c r="DY91" i="3"/>
  <c r="DZ91" i="3"/>
  <c r="EA91" i="3"/>
  <c r="EB91" i="3"/>
  <c r="ED91" i="3"/>
  <c r="EE91" i="3"/>
  <c r="EF91" i="3"/>
  <c r="EG91" i="3"/>
  <c r="EH91" i="3"/>
  <c r="EJ91" i="3"/>
  <c r="EK91" i="3"/>
  <c r="EL91" i="3"/>
  <c r="EM91" i="3"/>
  <c r="EN91" i="3"/>
  <c r="EP91" i="3"/>
  <c r="EQ91" i="3"/>
  <c r="ER91" i="3"/>
  <c r="ES91" i="3"/>
  <c r="ET91" i="3"/>
  <c r="EV91" i="3"/>
  <c r="EW91" i="3"/>
  <c r="EX91" i="3"/>
  <c r="EY91" i="3"/>
  <c r="EZ91" i="3"/>
  <c r="FB91" i="3"/>
  <c r="FC91" i="3"/>
  <c r="FD91" i="3"/>
  <c r="FE91" i="3"/>
  <c r="FF91" i="3"/>
  <c r="FH91" i="3"/>
  <c r="FI91" i="3"/>
  <c r="FJ91" i="3"/>
  <c r="FK91" i="3"/>
  <c r="FL91" i="3"/>
  <c r="FN91" i="3"/>
  <c r="FO91" i="3"/>
  <c r="FP91" i="3"/>
  <c r="FQ91" i="3"/>
  <c r="FR91" i="3"/>
  <c r="FT91" i="3"/>
  <c r="FU91" i="3"/>
  <c r="FV91" i="3"/>
  <c r="FW91" i="3"/>
  <c r="FX91" i="3"/>
  <c r="FZ91" i="3"/>
  <c r="GA91" i="3"/>
  <c r="GB91" i="3"/>
  <c r="GC91" i="3"/>
  <c r="GD91" i="3"/>
  <c r="GF91" i="3"/>
  <c r="GG91" i="3"/>
  <c r="GH91" i="3"/>
  <c r="GI91" i="3"/>
  <c r="GJ91" i="3"/>
  <c r="GL91" i="3"/>
  <c r="GM91" i="3"/>
  <c r="GN91" i="3"/>
  <c r="A92" i="3"/>
  <c r="B92" i="3"/>
  <c r="C92" i="3"/>
  <c r="D92" i="3"/>
  <c r="E92" i="3"/>
  <c r="F92" i="3"/>
  <c r="H92" i="3"/>
  <c r="I92" i="3"/>
  <c r="J92" i="3"/>
  <c r="K92" i="3"/>
  <c r="L92" i="3"/>
  <c r="N92" i="3"/>
  <c r="O92" i="3"/>
  <c r="P92" i="3"/>
  <c r="Q92" i="3"/>
  <c r="R92" i="3"/>
  <c r="T92" i="3"/>
  <c r="U92" i="3"/>
  <c r="V92" i="3"/>
  <c r="W92" i="3"/>
  <c r="X92" i="3"/>
  <c r="Z92" i="3"/>
  <c r="AA92" i="3"/>
  <c r="AB92" i="3"/>
  <c r="AC92" i="3"/>
  <c r="AD92" i="3"/>
  <c r="AF92" i="3"/>
  <c r="AG92" i="3"/>
  <c r="AH92" i="3"/>
  <c r="AI92" i="3"/>
  <c r="AJ92" i="3"/>
  <c r="AL92" i="3"/>
  <c r="AM92" i="3"/>
  <c r="AN92" i="3"/>
  <c r="AO92" i="3"/>
  <c r="AP92" i="3"/>
  <c r="AR92" i="3"/>
  <c r="AS92" i="3"/>
  <c r="AT92" i="3"/>
  <c r="AU92" i="3"/>
  <c r="AV92" i="3"/>
  <c r="AX92" i="3"/>
  <c r="AY92" i="3"/>
  <c r="AZ92" i="3"/>
  <c r="BA92" i="3"/>
  <c r="BB92" i="3"/>
  <c r="BD92" i="3"/>
  <c r="BE92" i="3"/>
  <c r="BF92" i="3"/>
  <c r="BG92" i="3"/>
  <c r="BH92" i="3"/>
  <c r="BJ92" i="3"/>
  <c r="BK92" i="3"/>
  <c r="BL92" i="3"/>
  <c r="BM92" i="3"/>
  <c r="BN92" i="3"/>
  <c r="BP92" i="3"/>
  <c r="BQ92" i="3"/>
  <c r="BR92" i="3"/>
  <c r="BS92" i="3"/>
  <c r="BT92" i="3"/>
  <c r="BV92" i="3"/>
  <c r="BW92" i="3"/>
  <c r="BX92" i="3"/>
  <c r="BY92" i="3"/>
  <c r="BZ92" i="3"/>
  <c r="CB92" i="3"/>
  <c r="CC92" i="3"/>
  <c r="CD92" i="3"/>
  <c r="CE92" i="3"/>
  <c r="CF92" i="3"/>
  <c r="CH92" i="3"/>
  <c r="CI92" i="3"/>
  <c r="CJ92" i="3"/>
  <c r="CK92" i="3"/>
  <c r="CL92" i="3"/>
  <c r="CN92" i="3"/>
  <c r="CO92" i="3"/>
  <c r="CP92" i="3"/>
  <c r="CQ92" i="3"/>
  <c r="CR92" i="3"/>
  <c r="CT92" i="3"/>
  <c r="CU92" i="3"/>
  <c r="CV92" i="3"/>
  <c r="CW92" i="3"/>
  <c r="CX92" i="3"/>
  <c r="CZ92" i="3"/>
  <c r="DA92" i="3"/>
  <c r="DB92" i="3"/>
  <c r="DC92" i="3"/>
  <c r="DD92" i="3"/>
  <c r="DF92" i="3"/>
  <c r="DG92" i="3"/>
  <c r="DH92" i="3"/>
  <c r="DI92" i="3"/>
  <c r="DJ92" i="3"/>
  <c r="DL92" i="3"/>
  <c r="DM92" i="3"/>
  <c r="DN92" i="3"/>
  <c r="DO92" i="3"/>
  <c r="DP92" i="3"/>
  <c r="DR92" i="3"/>
  <c r="DS92" i="3"/>
  <c r="DT92" i="3"/>
  <c r="DU92" i="3"/>
  <c r="DV92" i="3"/>
  <c r="DX92" i="3"/>
  <c r="DY92" i="3"/>
  <c r="DZ92" i="3"/>
  <c r="EA92" i="3"/>
  <c r="EB92" i="3"/>
  <c r="ED92" i="3"/>
  <c r="EE92" i="3"/>
  <c r="EF92" i="3"/>
  <c r="EG92" i="3"/>
  <c r="EH92" i="3"/>
  <c r="EJ92" i="3"/>
  <c r="EK92" i="3"/>
  <c r="EL92" i="3"/>
  <c r="EM92" i="3"/>
  <c r="EN92" i="3"/>
  <c r="EP92" i="3"/>
  <c r="EQ92" i="3"/>
  <c r="ER92" i="3"/>
  <c r="ES92" i="3"/>
  <c r="ET92" i="3"/>
  <c r="EV92" i="3"/>
  <c r="EW92" i="3"/>
  <c r="EX92" i="3"/>
  <c r="EY92" i="3"/>
  <c r="EZ92" i="3"/>
  <c r="FB92" i="3"/>
  <c r="FC92" i="3"/>
  <c r="FD92" i="3"/>
  <c r="FE92" i="3"/>
  <c r="FF92" i="3"/>
  <c r="FH92" i="3"/>
  <c r="FI92" i="3"/>
  <c r="FJ92" i="3"/>
  <c r="FK92" i="3"/>
  <c r="FL92" i="3"/>
  <c r="FN92" i="3"/>
  <c r="FO92" i="3"/>
  <c r="FP92" i="3"/>
  <c r="FQ92" i="3"/>
  <c r="FR92" i="3"/>
  <c r="FT92" i="3"/>
  <c r="FU92" i="3"/>
  <c r="FV92" i="3"/>
  <c r="FW92" i="3"/>
  <c r="FX92" i="3"/>
  <c r="FZ92" i="3"/>
  <c r="GA92" i="3"/>
  <c r="GB92" i="3"/>
  <c r="GC92" i="3"/>
  <c r="GD92" i="3"/>
  <c r="GF92" i="3"/>
  <c r="GG92" i="3"/>
  <c r="GH92" i="3"/>
  <c r="GI92" i="3"/>
  <c r="GJ92" i="3"/>
  <c r="GL92" i="3"/>
  <c r="GM92" i="3"/>
  <c r="GN92" i="3"/>
  <c r="A93" i="3"/>
  <c r="B93" i="3"/>
  <c r="C93" i="3"/>
  <c r="D93" i="3"/>
  <c r="E93" i="3"/>
  <c r="F93" i="3"/>
  <c r="H93" i="3"/>
  <c r="I93" i="3"/>
  <c r="J93" i="3"/>
  <c r="K93" i="3"/>
  <c r="L93" i="3"/>
  <c r="N93" i="3"/>
  <c r="O93" i="3"/>
  <c r="P93" i="3"/>
  <c r="Q93" i="3"/>
  <c r="R93" i="3"/>
  <c r="T93" i="3"/>
  <c r="U93" i="3"/>
  <c r="V93" i="3"/>
  <c r="W93" i="3"/>
  <c r="X93" i="3"/>
  <c r="Z93" i="3"/>
  <c r="AA93" i="3"/>
  <c r="AB93" i="3"/>
  <c r="AC93" i="3"/>
  <c r="AD93" i="3"/>
  <c r="AF93" i="3"/>
  <c r="AG93" i="3"/>
  <c r="AH93" i="3"/>
  <c r="AI93" i="3"/>
  <c r="AJ93" i="3"/>
  <c r="AL93" i="3"/>
  <c r="AM93" i="3"/>
  <c r="AN93" i="3"/>
  <c r="AO93" i="3"/>
  <c r="AP93" i="3"/>
  <c r="AR93" i="3"/>
  <c r="AS93" i="3"/>
  <c r="AT93" i="3"/>
  <c r="AU93" i="3"/>
  <c r="AV93" i="3"/>
  <c r="AX93" i="3"/>
  <c r="AY93" i="3"/>
  <c r="AZ93" i="3"/>
  <c r="BA93" i="3"/>
  <c r="BB93" i="3"/>
  <c r="BD93" i="3"/>
  <c r="BE93" i="3"/>
  <c r="BF93" i="3"/>
  <c r="BG93" i="3"/>
  <c r="BH93" i="3"/>
  <c r="BJ93" i="3"/>
  <c r="BK93" i="3"/>
  <c r="BL93" i="3"/>
  <c r="BM93" i="3"/>
  <c r="BN93" i="3"/>
  <c r="BP93" i="3"/>
  <c r="BQ93" i="3"/>
  <c r="BR93" i="3"/>
  <c r="BS93" i="3"/>
  <c r="BT93" i="3"/>
  <c r="BV93" i="3"/>
  <c r="BW93" i="3"/>
  <c r="BX93" i="3"/>
  <c r="BY93" i="3"/>
  <c r="BZ93" i="3"/>
  <c r="CB93" i="3"/>
  <c r="CC93" i="3"/>
  <c r="CD93" i="3"/>
  <c r="CE93" i="3"/>
  <c r="CF93" i="3"/>
  <c r="CH93" i="3"/>
  <c r="CI93" i="3"/>
  <c r="CJ93" i="3"/>
  <c r="CK93" i="3"/>
  <c r="CL93" i="3"/>
  <c r="CN93" i="3"/>
  <c r="CO93" i="3"/>
  <c r="CP93" i="3"/>
  <c r="CQ93" i="3"/>
  <c r="CR93" i="3"/>
  <c r="CT93" i="3"/>
  <c r="CU93" i="3"/>
  <c r="CV93" i="3"/>
  <c r="CW93" i="3"/>
  <c r="CX93" i="3"/>
  <c r="CZ93" i="3"/>
  <c r="DA93" i="3"/>
  <c r="DB93" i="3"/>
  <c r="DC93" i="3"/>
  <c r="DD93" i="3"/>
  <c r="DF93" i="3"/>
  <c r="DG93" i="3"/>
  <c r="DH93" i="3"/>
  <c r="DI93" i="3"/>
  <c r="DJ93" i="3"/>
  <c r="DL93" i="3"/>
  <c r="DM93" i="3"/>
  <c r="DN93" i="3"/>
  <c r="DO93" i="3"/>
  <c r="DP93" i="3"/>
  <c r="DR93" i="3"/>
  <c r="DS93" i="3"/>
  <c r="DT93" i="3"/>
  <c r="DU93" i="3"/>
  <c r="DV93" i="3"/>
  <c r="DX93" i="3"/>
  <c r="DY93" i="3"/>
  <c r="DZ93" i="3"/>
  <c r="EA93" i="3"/>
  <c r="EB93" i="3"/>
  <c r="ED93" i="3"/>
  <c r="EE93" i="3"/>
  <c r="EF93" i="3"/>
  <c r="EG93" i="3"/>
  <c r="EH93" i="3"/>
  <c r="EJ93" i="3"/>
  <c r="EK93" i="3"/>
  <c r="EL93" i="3"/>
  <c r="EM93" i="3"/>
  <c r="EN93" i="3"/>
  <c r="EP93" i="3"/>
  <c r="EQ93" i="3"/>
  <c r="ER93" i="3"/>
  <c r="ES93" i="3"/>
  <c r="ET93" i="3"/>
  <c r="EV93" i="3"/>
  <c r="EW93" i="3"/>
  <c r="EX93" i="3"/>
  <c r="EY93" i="3"/>
  <c r="EZ93" i="3"/>
  <c r="FB93" i="3"/>
  <c r="FC93" i="3"/>
  <c r="FD93" i="3"/>
  <c r="FE93" i="3"/>
  <c r="FF93" i="3"/>
  <c r="FH93" i="3"/>
  <c r="FI93" i="3"/>
  <c r="FJ93" i="3"/>
  <c r="FK93" i="3"/>
  <c r="FL93" i="3"/>
  <c r="FN93" i="3"/>
  <c r="FO93" i="3"/>
  <c r="FP93" i="3"/>
  <c r="FQ93" i="3"/>
  <c r="FR93" i="3"/>
  <c r="FT93" i="3"/>
  <c r="FU93" i="3"/>
  <c r="FV93" i="3"/>
  <c r="FW93" i="3"/>
  <c r="FX93" i="3"/>
  <c r="FZ93" i="3"/>
  <c r="GA93" i="3"/>
  <c r="GB93" i="3"/>
  <c r="GC93" i="3"/>
  <c r="GD93" i="3"/>
  <c r="GF93" i="3"/>
  <c r="GG93" i="3"/>
  <c r="GH93" i="3"/>
  <c r="GI93" i="3"/>
  <c r="GJ93" i="3"/>
  <c r="GL93" i="3"/>
  <c r="GM93" i="3"/>
  <c r="GN93" i="3"/>
  <c r="A94" i="3"/>
  <c r="B94" i="3"/>
  <c r="C94" i="3"/>
  <c r="D94" i="3"/>
  <c r="E94" i="3"/>
  <c r="F94" i="3"/>
  <c r="H94" i="3"/>
  <c r="I94" i="3"/>
  <c r="J94" i="3"/>
  <c r="K94" i="3"/>
  <c r="L94" i="3"/>
  <c r="N94" i="3"/>
  <c r="O94" i="3"/>
  <c r="P94" i="3"/>
  <c r="Q94" i="3"/>
  <c r="R94" i="3"/>
  <c r="T94" i="3"/>
  <c r="U94" i="3"/>
  <c r="V94" i="3"/>
  <c r="W94" i="3"/>
  <c r="X94" i="3"/>
  <c r="Z94" i="3"/>
  <c r="AA94" i="3"/>
  <c r="AB94" i="3"/>
  <c r="AC94" i="3"/>
  <c r="AD94" i="3"/>
  <c r="AF94" i="3"/>
  <c r="AG94" i="3"/>
  <c r="AH94" i="3"/>
  <c r="AI94" i="3"/>
  <c r="AJ94" i="3"/>
  <c r="AL94" i="3"/>
  <c r="AM94" i="3"/>
  <c r="AN94" i="3"/>
  <c r="AO94" i="3"/>
  <c r="AP94" i="3"/>
  <c r="AR94" i="3"/>
  <c r="AS94" i="3"/>
  <c r="AT94" i="3"/>
  <c r="AU94" i="3"/>
  <c r="AV94" i="3"/>
  <c r="AX94" i="3"/>
  <c r="AY94" i="3"/>
  <c r="AZ94" i="3"/>
  <c r="BA94" i="3"/>
  <c r="BB94" i="3"/>
  <c r="BD94" i="3"/>
  <c r="BE94" i="3"/>
  <c r="BF94" i="3"/>
  <c r="BG94" i="3"/>
  <c r="BH94" i="3"/>
  <c r="BJ94" i="3"/>
  <c r="BK94" i="3"/>
  <c r="BL94" i="3"/>
  <c r="BM94" i="3"/>
  <c r="BN94" i="3"/>
  <c r="BP94" i="3"/>
  <c r="BQ94" i="3"/>
  <c r="BR94" i="3"/>
  <c r="BS94" i="3"/>
  <c r="BT94" i="3"/>
  <c r="BV94" i="3"/>
  <c r="BW94" i="3"/>
  <c r="BX94" i="3"/>
  <c r="BY94" i="3"/>
  <c r="BZ94" i="3"/>
  <c r="CB94" i="3"/>
  <c r="CC94" i="3"/>
  <c r="CD94" i="3"/>
  <c r="CE94" i="3"/>
  <c r="CF94" i="3"/>
  <c r="CH94" i="3"/>
  <c r="CI94" i="3"/>
  <c r="CJ94" i="3"/>
  <c r="CK94" i="3"/>
  <c r="CL94" i="3"/>
  <c r="CN94" i="3"/>
  <c r="CO94" i="3"/>
  <c r="CP94" i="3"/>
  <c r="CQ94" i="3"/>
  <c r="CR94" i="3"/>
  <c r="CT94" i="3"/>
  <c r="CU94" i="3"/>
  <c r="CV94" i="3"/>
  <c r="CW94" i="3"/>
  <c r="CX94" i="3"/>
  <c r="CZ94" i="3"/>
  <c r="DA94" i="3"/>
  <c r="DB94" i="3"/>
  <c r="DC94" i="3"/>
  <c r="DD94" i="3"/>
  <c r="DF94" i="3"/>
  <c r="DG94" i="3"/>
  <c r="DH94" i="3"/>
  <c r="DI94" i="3"/>
  <c r="DJ94" i="3"/>
  <c r="DL94" i="3"/>
  <c r="DM94" i="3"/>
  <c r="DN94" i="3"/>
  <c r="DO94" i="3"/>
  <c r="DP94" i="3"/>
  <c r="DR94" i="3"/>
  <c r="DS94" i="3"/>
  <c r="DT94" i="3"/>
  <c r="DU94" i="3"/>
  <c r="DV94" i="3"/>
  <c r="DX94" i="3"/>
  <c r="DY94" i="3"/>
  <c r="DZ94" i="3"/>
  <c r="EA94" i="3"/>
  <c r="EB94" i="3"/>
  <c r="ED94" i="3"/>
  <c r="EE94" i="3"/>
  <c r="EF94" i="3"/>
  <c r="EG94" i="3"/>
  <c r="EH94" i="3"/>
  <c r="EJ94" i="3"/>
  <c r="EK94" i="3"/>
  <c r="EL94" i="3"/>
  <c r="EM94" i="3"/>
  <c r="EN94" i="3"/>
  <c r="EP94" i="3"/>
  <c r="EQ94" i="3"/>
  <c r="ER94" i="3"/>
  <c r="ES94" i="3"/>
  <c r="ET94" i="3"/>
  <c r="EV94" i="3"/>
  <c r="EW94" i="3"/>
  <c r="EX94" i="3"/>
  <c r="EY94" i="3"/>
  <c r="EZ94" i="3"/>
  <c r="FB94" i="3"/>
  <c r="FC94" i="3"/>
  <c r="FD94" i="3"/>
  <c r="FE94" i="3"/>
  <c r="FF94" i="3"/>
  <c r="FH94" i="3"/>
  <c r="FI94" i="3"/>
  <c r="FJ94" i="3"/>
  <c r="FK94" i="3"/>
  <c r="FL94" i="3"/>
  <c r="FN94" i="3"/>
  <c r="FO94" i="3"/>
  <c r="FP94" i="3"/>
  <c r="FQ94" i="3"/>
  <c r="FR94" i="3"/>
  <c r="FT94" i="3"/>
  <c r="FU94" i="3"/>
  <c r="FV94" i="3"/>
  <c r="FW94" i="3"/>
  <c r="FX94" i="3"/>
  <c r="FZ94" i="3"/>
  <c r="GA94" i="3"/>
  <c r="GB94" i="3"/>
  <c r="GC94" i="3"/>
  <c r="GD94" i="3"/>
  <c r="GF94" i="3"/>
  <c r="GG94" i="3"/>
  <c r="GH94" i="3"/>
  <c r="GI94" i="3"/>
  <c r="GJ94" i="3"/>
  <c r="GL94" i="3"/>
  <c r="GM94" i="3"/>
  <c r="GN94" i="3"/>
  <c r="A95" i="3"/>
  <c r="B95" i="3"/>
  <c r="C95" i="3"/>
  <c r="D95" i="3"/>
  <c r="E95" i="3"/>
  <c r="F95" i="3"/>
  <c r="H95" i="3"/>
  <c r="I95" i="3"/>
  <c r="J95" i="3"/>
  <c r="K95" i="3"/>
  <c r="L95" i="3"/>
  <c r="N95" i="3"/>
  <c r="O95" i="3"/>
  <c r="P95" i="3"/>
  <c r="Q95" i="3"/>
  <c r="R95" i="3"/>
  <c r="T95" i="3"/>
  <c r="U95" i="3"/>
  <c r="V95" i="3"/>
  <c r="W95" i="3"/>
  <c r="X95" i="3"/>
  <c r="Z95" i="3"/>
  <c r="AA95" i="3"/>
  <c r="AB95" i="3"/>
  <c r="AC95" i="3"/>
  <c r="AD95" i="3"/>
  <c r="AF95" i="3"/>
  <c r="AG95" i="3"/>
  <c r="AH95" i="3"/>
  <c r="AI95" i="3"/>
  <c r="AJ95" i="3"/>
  <c r="AL95" i="3"/>
  <c r="AM95" i="3"/>
  <c r="AN95" i="3"/>
  <c r="AO95" i="3"/>
  <c r="AP95" i="3"/>
  <c r="AR95" i="3"/>
  <c r="AS95" i="3"/>
  <c r="AT95" i="3"/>
  <c r="AU95" i="3"/>
  <c r="AV95" i="3"/>
  <c r="AX95" i="3"/>
  <c r="AY95" i="3"/>
  <c r="AZ95" i="3"/>
  <c r="BA95" i="3"/>
  <c r="BB95" i="3"/>
  <c r="BD95" i="3"/>
  <c r="BE95" i="3"/>
  <c r="BF95" i="3"/>
  <c r="BG95" i="3"/>
  <c r="BH95" i="3"/>
  <c r="BJ95" i="3"/>
  <c r="BK95" i="3"/>
  <c r="BL95" i="3"/>
  <c r="BM95" i="3"/>
  <c r="BN95" i="3"/>
  <c r="BP95" i="3"/>
  <c r="BQ95" i="3"/>
  <c r="BR95" i="3"/>
  <c r="BS95" i="3"/>
  <c r="BT95" i="3"/>
  <c r="BV95" i="3"/>
  <c r="BW95" i="3"/>
  <c r="BX95" i="3"/>
  <c r="BY95" i="3"/>
  <c r="BZ95" i="3"/>
  <c r="CB95" i="3"/>
  <c r="CC95" i="3"/>
  <c r="CD95" i="3"/>
  <c r="CE95" i="3"/>
  <c r="CF95" i="3"/>
  <c r="CH95" i="3"/>
  <c r="CI95" i="3"/>
  <c r="CJ95" i="3"/>
  <c r="CK95" i="3"/>
  <c r="CL95" i="3"/>
  <c r="CN95" i="3"/>
  <c r="CO95" i="3"/>
  <c r="CP95" i="3"/>
  <c r="CQ95" i="3"/>
  <c r="CR95" i="3"/>
  <c r="CT95" i="3"/>
  <c r="CU95" i="3"/>
  <c r="CV95" i="3"/>
  <c r="CW95" i="3"/>
  <c r="CX95" i="3"/>
  <c r="CZ95" i="3"/>
  <c r="DA95" i="3"/>
  <c r="DB95" i="3"/>
  <c r="DC95" i="3"/>
  <c r="DD95" i="3"/>
  <c r="DF95" i="3"/>
  <c r="DG95" i="3"/>
  <c r="DH95" i="3"/>
  <c r="DI95" i="3"/>
  <c r="DJ95" i="3"/>
  <c r="DL95" i="3"/>
  <c r="DM95" i="3"/>
  <c r="DN95" i="3"/>
  <c r="DO95" i="3"/>
  <c r="DP95" i="3"/>
  <c r="DR95" i="3"/>
  <c r="DS95" i="3"/>
  <c r="DT95" i="3"/>
  <c r="DU95" i="3"/>
  <c r="DV95" i="3"/>
  <c r="DX95" i="3"/>
  <c r="DY95" i="3"/>
  <c r="DZ95" i="3"/>
  <c r="EA95" i="3"/>
  <c r="EB95" i="3"/>
  <c r="ED95" i="3"/>
  <c r="EE95" i="3"/>
  <c r="EF95" i="3"/>
  <c r="EG95" i="3"/>
  <c r="EH95" i="3"/>
  <c r="EJ95" i="3"/>
  <c r="EK95" i="3"/>
  <c r="EL95" i="3"/>
  <c r="EM95" i="3"/>
  <c r="EN95" i="3"/>
  <c r="EP95" i="3"/>
  <c r="EQ95" i="3"/>
  <c r="ER95" i="3"/>
  <c r="ES95" i="3"/>
  <c r="ET95" i="3"/>
  <c r="EV95" i="3"/>
  <c r="EW95" i="3"/>
  <c r="EX95" i="3"/>
  <c r="EY95" i="3"/>
  <c r="EZ95" i="3"/>
  <c r="FB95" i="3"/>
  <c r="FC95" i="3"/>
  <c r="FD95" i="3"/>
  <c r="FE95" i="3"/>
  <c r="FF95" i="3"/>
  <c r="FH95" i="3"/>
  <c r="FI95" i="3"/>
  <c r="FJ95" i="3"/>
  <c r="FK95" i="3"/>
  <c r="FL95" i="3"/>
  <c r="FN95" i="3"/>
  <c r="FO95" i="3"/>
  <c r="FP95" i="3"/>
  <c r="FQ95" i="3"/>
  <c r="FR95" i="3"/>
  <c r="FT95" i="3"/>
  <c r="FU95" i="3"/>
  <c r="FV95" i="3"/>
  <c r="FW95" i="3"/>
  <c r="FX95" i="3"/>
  <c r="FZ95" i="3"/>
  <c r="GA95" i="3"/>
  <c r="GB95" i="3"/>
  <c r="GC95" i="3"/>
  <c r="GD95" i="3"/>
  <c r="GF95" i="3"/>
  <c r="GG95" i="3"/>
  <c r="GH95" i="3"/>
  <c r="GI95" i="3"/>
  <c r="GJ95" i="3"/>
  <c r="GL95" i="3"/>
  <c r="GM95" i="3"/>
  <c r="GN95" i="3"/>
  <c r="A96" i="3"/>
  <c r="B96" i="3"/>
  <c r="C96" i="3"/>
  <c r="D96" i="3"/>
  <c r="E96" i="3"/>
  <c r="F96" i="3"/>
  <c r="H96" i="3"/>
  <c r="I96" i="3"/>
  <c r="J96" i="3"/>
  <c r="K96" i="3"/>
  <c r="L96" i="3"/>
  <c r="N96" i="3"/>
  <c r="O96" i="3"/>
  <c r="P96" i="3"/>
  <c r="Q96" i="3"/>
  <c r="R96" i="3"/>
  <c r="T96" i="3"/>
  <c r="U96" i="3"/>
  <c r="V96" i="3"/>
  <c r="W96" i="3"/>
  <c r="X96" i="3"/>
  <c r="Z96" i="3"/>
  <c r="AA96" i="3"/>
  <c r="AB96" i="3"/>
  <c r="AC96" i="3"/>
  <c r="AD96" i="3"/>
  <c r="AF96" i="3"/>
  <c r="AG96" i="3"/>
  <c r="AH96" i="3"/>
  <c r="AI96" i="3"/>
  <c r="AJ96" i="3"/>
  <c r="AL96" i="3"/>
  <c r="AM96" i="3"/>
  <c r="AN96" i="3"/>
  <c r="AO96" i="3"/>
  <c r="AP96" i="3"/>
  <c r="AR96" i="3"/>
  <c r="AS96" i="3"/>
  <c r="AT96" i="3"/>
  <c r="AU96" i="3"/>
  <c r="AV96" i="3"/>
  <c r="AX96" i="3"/>
  <c r="AY96" i="3"/>
  <c r="AZ96" i="3"/>
  <c r="BA96" i="3"/>
  <c r="BB96" i="3"/>
  <c r="BD96" i="3"/>
  <c r="BE96" i="3"/>
  <c r="BF96" i="3"/>
  <c r="BG96" i="3"/>
  <c r="BH96" i="3"/>
  <c r="BJ96" i="3"/>
  <c r="BK96" i="3"/>
  <c r="BL96" i="3"/>
  <c r="BM96" i="3"/>
  <c r="BN96" i="3"/>
  <c r="BP96" i="3"/>
  <c r="BQ96" i="3"/>
  <c r="BR96" i="3"/>
  <c r="BS96" i="3"/>
  <c r="BT96" i="3"/>
  <c r="BV96" i="3"/>
  <c r="BW96" i="3"/>
  <c r="BX96" i="3"/>
  <c r="BY96" i="3"/>
  <c r="BZ96" i="3"/>
  <c r="CB96" i="3"/>
  <c r="CC96" i="3"/>
  <c r="CD96" i="3"/>
  <c r="CE96" i="3"/>
  <c r="CF96" i="3"/>
  <c r="CH96" i="3"/>
  <c r="CI96" i="3"/>
  <c r="CJ96" i="3"/>
  <c r="CK96" i="3"/>
  <c r="CL96" i="3"/>
  <c r="CN96" i="3"/>
  <c r="CO96" i="3"/>
  <c r="CP96" i="3"/>
  <c r="CQ96" i="3"/>
  <c r="CR96" i="3"/>
  <c r="CT96" i="3"/>
  <c r="CU96" i="3"/>
  <c r="CV96" i="3"/>
  <c r="CW96" i="3"/>
  <c r="CX96" i="3"/>
  <c r="CZ96" i="3"/>
  <c r="DA96" i="3"/>
  <c r="DB96" i="3"/>
  <c r="DC96" i="3"/>
  <c r="DD96" i="3"/>
  <c r="DF96" i="3"/>
  <c r="DG96" i="3"/>
  <c r="DH96" i="3"/>
  <c r="DI96" i="3"/>
  <c r="DJ96" i="3"/>
  <c r="DL96" i="3"/>
  <c r="DM96" i="3"/>
  <c r="DN96" i="3"/>
  <c r="DO96" i="3"/>
  <c r="DP96" i="3"/>
  <c r="DR96" i="3"/>
  <c r="DS96" i="3"/>
  <c r="DT96" i="3"/>
  <c r="DU96" i="3"/>
  <c r="DV96" i="3"/>
  <c r="DX96" i="3"/>
  <c r="DY96" i="3"/>
  <c r="DZ96" i="3"/>
  <c r="EA96" i="3"/>
  <c r="EB96" i="3"/>
  <c r="ED96" i="3"/>
  <c r="EE96" i="3"/>
  <c r="EF96" i="3"/>
  <c r="EG96" i="3"/>
  <c r="EH96" i="3"/>
  <c r="EJ96" i="3"/>
  <c r="EK96" i="3"/>
  <c r="EL96" i="3"/>
  <c r="EM96" i="3"/>
  <c r="EN96" i="3"/>
  <c r="EP96" i="3"/>
  <c r="EQ96" i="3"/>
  <c r="ER96" i="3"/>
  <c r="ES96" i="3"/>
  <c r="ET96" i="3"/>
  <c r="EV96" i="3"/>
  <c r="EW96" i="3"/>
  <c r="EX96" i="3"/>
  <c r="EY96" i="3"/>
  <c r="EZ96" i="3"/>
  <c r="FB96" i="3"/>
  <c r="FC96" i="3"/>
  <c r="FD96" i="3"/>
  <c r="FE96" i="3"/>
  <c r="FF96" i="3"/>
  <c r="FH96" i="3"/>
  <c r="FI96" i="3"/>
  <c r="FJ96" i="3"/>
  <c r="FK96" i="3"/>
  <c r="FL96" i="3"/>
  <c r="FN96" i="3"/>
  <c r="FO96" i="3"/>
  <c r="FP96" i="3"/>
  <c r="FQ96" i="3"/>
  <c r="FR96" i="3"/>
  <c r="FT96" i="3"/>
  <c r="FU96" i="3"/>
  <c r="FV96" i="3"/>
  <c r="FW96" i="3"/>
  <c r="FX96" i="3"/>
  <c r="FZ96" i="3"/>
  <c r="GA96" i="3"/>
  <c r="GB96" i="3"/>
  <c r="GC96" i="3"/>
  <c r="GD96" i="3"/>
  <c r="GF96" i="3"/>
  <c r="GG96" i="3"/>
  <c r="GH96" i="3"/>
  <c r="GI96" i="3"/>
  <c r="GJ96" i="3"/>
  <c r="GL96" i="3"/>
  <c r="GM96" i="3"/>
  <c r="GN96" i="3"/>
  <c r="A97" i="3"/>
  <c r="B97" i="3"/>
  <c r="C97" i="3"/>
  <c r="D97" i="3"/>
  <c r="E97" i="3"/>
  <c r="F97" i="3"/>
  <c r="H97" i="3"/>
  <c r="I97" i="3"/>
  <c r="J97" i="3"/>
  <c r="K97" i="3"/>
  <c r="L97" i="3"/>
  <c r="N97" i="3"/>
  <c r="O97" i="3"/>
  <c r="P97" i="3"/>
  <c r="Q97" i="3"/>
  <c r="R97" i="3"/>
  <c r="T97" i="3"/>
  <c r="U97" i="3"/>
  <c r="V97" i="3"/>
  <c r="W97" i="3"/>
  <c r="X97" i="3"/>
  <c r="Y97" i="3" s="1"/>
  <c r="Z97" i="3"/>
  <c r="AA97" i="3"/>
  <c r="AB97" i="3"/>
  <c r="AC97" i="3"/>
  <c r="AD97" i="3"/>
  <c r="AF97" i="3"/>
  <c r="AG97" i="3"/>
  <c r="AH97" i="3"/>
  <c r="AI97" i="3"/>
  <c r="AJ97" i="3"/>
  <c r="AL97" i="3"/>
  <c r="AM97" i="3"/>
  <c r="AN97" i="3"/>
  <c r="AO97" i="3"/>
  <c r="AP97" i="3"/>
  <c r="AR97" i="3"/>
  <c r="AS97" i="3"/>
  <c r="AT97" i="3"/>
  <c r="AU97" i="3"/>
  <c r="AV97" i="3"/>
  <c r="AX97" i="3"/>
  <c r="AY97" i="3"/>
  <c r="AZ97" i="3"/>
  <c r="BA97" i="3"/>
  <c r="BB97" i="3"/>
  <c r="BD97" i="3"/>
  <c r="BE97" i="3"/>
  <c r="BF97" i="3"/>
  <c r="BG97" i="3"/>
  <c r="BH97" i="3"/>
  <c r="BJ97" i="3"/>
  <c r="BK97" i="3"/>
  <c r="BL97" i="3"/>
  <c r="BM97" i="3"/>
  <c r="BN97" i="3"/>
  <c r="BP97" i="3"/>
  <c r="BQ97" i="3"/>
  <c r="BR97" i="3"/>
  <c r="BS97" i="3"/>
  <c r="BT97" i="3"/>
  <c r="BV97" i="3"/>
  <c r="BW97" i="3"/>
  <c r="BX97" i="3"/>
  <c r="BY97" i="3"/>
  <c r="BZ97" i="3"/>
  <c r="CB97" i="3"/>
  <c r="CC97" i="3"/>
  <c r="CD97" i="3"/>
  <c r="CE97" i="3"/>
  <c r="CF97" i="3"/>
  <c r="CH97" i="3"/>
  <c r="CI97" i="3"/>
  <c r="CJ97" i="3"/>
  <c r="CK97" i="3"/>
  <c r="CL97" i="3"/>
  <c r="CN97" i="3"/>
  <c r="CO97" i="3"/>
  <c r="CP97" i="3"/>
  <c r="CQ97" i="3"/>
  <c r="CR97" i="3"/>
  <c r="CT97" i="3"/>
  <c r="CU97" i="3"/>
  <c r="CV97" i="3"/>
  <c r="CW97" i="3"/>
  <c r="CX97" i="3"/>
  <c r="CZ97" i="3"/>
  <c r="DA97" i="3"/>
  <c r="DB97" i="3"/>
  <c r="DC97" i="3"/>
  <c r="DD97" i="3"/>
  <c r="DF97" i="3"/>
  <c r="DG97" i="3"/>
  <c r="DH97" i="3"/>
  <c r="DI97" i="3"/>
  <c r="DJ97" i="3"/>
  <c r="DL97" i="3"/>
  <c r="DM97" i="3"/>
  <c r="DN97" i="3"/>
  <c r="DO97" i="3"/>
  <c r="DP97" i="3"/>
  <c r="DR97" i="3"/>
  <c r="DS97" i="3"/>
  <c r="DT97" i="3"/>
  <c r="DU97" i="3"/>
  <c r="DV97" i="3"/>
  <c r="DX97" i="3"/>
  <c r="DY97" i="3"/>
  <c r="DZ97" i="3"/>
  <c r="EA97" i="3"/>
  <c r="EB97" i="3"/>
  <c r="ED97" i="3"/>
  <c r="EE97" i="3"/>
  <c r="EF97" i="3"/>
  <c r="EG97" i="3"/>
  <c r="EH97" i="3"/>
  <c r="EJ97" i="3"/>
  <c r="EK97" i="3"/>
  <c r="EL97" i="3"/>
  <c r="EM97" i="3"/>
  <c r="EN97" i="3"/>
  <c r="EP97" i="3"/>
  <c r="EQ97" i="3"/>
  <c r="ER97" i="3"/>
  <c r="ES97" i="3"/>
  <c r="ET97" i="3"/>
  <c r="EV97" i="3"/>
  <c r="EW97" i="3"/>
  <c r="EX97" i="3"/>
  <c r="EY97" i="3"/>
  <c r="EZ97" i="3"/>
  <c r="FB97" i="3"/>
  <c r="FC97" i="3"/>
  <c r="FD97" i="3"/>
  <c r="FE97" i="3"/>
  <c r="FF97" i="3"/>
  <c r="FH97" i="3"/>
  <c r="FI97" i="3"/>
  <c r="FJ97" i="3"/>
  <c r="FK97" i="3"/>
  <c r="FL97" i="3"/>
  <c r="FN97" i="3"/>
  <c r="FO97" i="3"/>
  <c r="FP97" i="3"/>
  <c r="FQ97" i="3"/>
  <c r="FR97" i="3"/>
  <c r="FT97" i="3"/>
  <c r="FU97" i="3"/>
  <c r="FV97" i="3"/>
  <c r="FW97" i="3"/>
  <c r="FX97" i="3"/>
  <c r="FZ97" i="3"/>
  <c r="GA97" i="3"/>
  <c r="GB97" i="3"/>
  <c r="GC97" i="3"/>
  <c r="GD97" i="3"/>
  <c r="GF97" i="3"/>
  <c r="GG97" i="3"/>
  <c r="GH97" i="3"/>
  <c r="GI97" i="3"/>
  <c r="GJ97" i="3"/>
  <c r="GL97" i="3"/>
  <c r="GM97" i="3"/>
  <c r="GN97" i="3"/>
  <c r="A98" i="3"/>
  <c r="B98" i="3"/>
  <c r="C98" i="3"/>
  <c r="D98" i="3"/>
  <c r="E98" i="3"/>
  <c r="F98" i="3"/>
  <c r="H98" i="3"/>
  <c r="I98" i="3"/>
  <c r="J98" i="3"/>
  <c r="K98" i="3"/>
  <c r="L98" i="3"/>
  <c r="N98" i="3"/>
  <c r="O98" i="3"/>
  <c r="P98" i="3"/>
  <c r="Q98" i="3"/>
  <c r="R98" i="3"/>
  <c r="T98" i="3"/>
  <c r="U98" i="3"/>
  <c r="V98" i="3"/>
  <c r="W98" i="3"/>
  <c r="X98" i="3"/>
  <c r="Z98" i="3"/>
  <c r="AA98" i="3"/>
  <c r="AB98" i="3"/>
  <c r="AC98" i="3"/>
  <c r="AD98" i="3"/>
  <c r="AF98" i="3"/>
  <c r="AG98" i="3"/>
  <c r="AH98" i="3"/>
  <c r="AI98" i="3"/>
  <c r="AJ98" i="3"/>
  <c r="AL98" i="3"/>
  <c r="AM98" i="3"/>
  <c r="AN98" i="3"/>
  <c r="AO98" i="3"/>
  <c r="AP98" i="3"/>
  <c r="AR98" i="3"/>
  <c r="AS98" i="3"/>
  <c r="AT98" i="3"/>
  <c r="AU98" i="3"/>
  <c r="AV98" i="3"/>
  <c r="AX98" i="3"/>
  <c r="AY98" i="3"/>
  <c r="AZ98" i="3"/>
  <c r="BA98" i="3"/>
  <c r="BB98" i="3"/>
  <c r="BD98" i="3"/>
  <c r="BE98" i="3"/>
  <c r="BF98" i="3"/>
  <c r="BG98" i="3"/>
  <c r="BH98" i="3"/>
  <c r="BJ98" i="3"/>
  <c r="BK98" i="3"/>
  <c r="BL98" i="3"/>
  <c r="BM98" i="3"/>
  <c r="BN98" i="3"/>
  <c r="BP98" i="3"/>
  <c r="BQ98" i="3"/>
  <c r="BR98" i="3"/>
  <c r="BS98" i="3"/>
  <c r="BT98" i="3"/>
  <c r="BV98" i="3"/>
  <c r="BW98" i="3"/>
  <c r="BX98" i="3"/>
  <c r="BY98" i="3"/>
  <c r="BZ98" i="3"/>
  <c r="CB98" i="3"/>
  <c r="CC98" i="3"/>
  <c r="CD98" i="3"/>
  <c r="CE98" i="3"/>
  <c r="CF98" i="3"/>
  <c r="CH98" i="3"/>
  <c r="CI98" i="3"/>
  <c r="CJ98" i="3"/>
  <c r="CK98" i="3"/>
  <c r="CL98" i="3"/>
  <c r="CN98" i="3"/>
  <c r="CO98" i="3"/>
  <c r="CP98" i="3"/>
  <c r="CQ98" i="3"/>
  <c r="CR98" i="3"/>
  <c r="CT98" i="3"/>
  <c r="CU98" i="3"/>
  <c r="CV98" i="3"/>
  <c r="CW98" i="3"/>
  <c r="CX98" i="3"/>
  <c r="CZ98" i="3"/>
  <c r="DA98" i="3"/>
  <c r="DB98" i="3"/>
  <c r="DC98" i="3"/>
  <c r="DD98" i="3"/>
  <c r="DF98" i="3"/>
  <c r="DG98" i="3"/>
  <c r="DH98" i="3"/>
  <c r="DI98" i="3"/>
  <c r="DJ98" i="3"/>
  <c r="DL98" i="3"/>
  <c r="DM98" i="3"/>
  <c r="DN98" i="3"/>
  <c r="DO98" i="3"/>
  <c r="DP98" i="3"/>
  <c r="DR98" i="3"/>
  <c r="DS98" i="3"/>
  <c r="DT98" i="3"/>
  <c r="DU98" i="3"/>
  <c r="DV98" i="3"/>
  <c r="DX98" i="3"/>
  <c r="DY98" i="3"/>
  <c r="DZ98" i="3"/>
  <c r="EA98" i="3"/>
  <c r="EB98" i="3"/>
  <c r="ED98" i="3"/>
  <c r="EE98" i="3"/>
  <c r="EF98" i="3"/>
  <c r="EG98" i="3"/>
  <c r="EH98" i="3"/>
  <c r="EJ98" i="3"/>
  <c r="EK98" i="3"/>
  <c r="EL98" i="3"/>
  <c r="EM98" i="3"/>
  <c r="EN98" i="3"/>
  <c r="EP98" i="3"/>
  <c r="EQ98" i="3"/>
  <c r="ER98" i="3"/>
  <c r="ES98" i="3"/>
  <c r="ET98" i="3"/>
  <c r="EV98" i="3"/>
  <c r="EW98" i="3"/>
  <c r="EX98" i="3"/>
  <c r="EY98" i="3"/>
  <c r="EZ98" i="3"/>
  <c r="FB98" i="3"/>
  <c r="FC98" i="3"/>
  <c r="FD98" i="3"/>
  <c r="FE98" i="3"/>
  <c r="FF98" i="3"/>
  <c r="FH98" i="3"/>
  <c r="FI98" i="3"/>
  <c r="FJ98" i="3"/>
  <c r="FK98" i="3"/>
  <c r="FL98" i="3"/>
  <c r="FN98" i="3"/>
  <c r="FO98" i="3"/>
  <c r="FP98" i="3"/>
  <c r="FQ98" i="3"/>
  <c r="FR98" i="3"/>
  <c r="FT98" i="3"/>
  <c r="FU98" i="3"/>
  <c r="FV98" i="3"/>
  <c r="FW98" i="3"/>
  <c r="FX98" i="3"/>
  <c r="FZ98" i="3"/>
  <c r="GA98" i="3"/>
  <c r="GB98" i="3"/>
  <c r="GC98" i="3"/>
  <c r="GD98" i="3"/>
  <c r="GF98" i="3"/>
  <c r="GG98" i="3"/>
  <c r="GH98" i="3"/>
  <c r="GI98" i="3"/>
  <c r="GJ98" i="3"/>
  <c r="GL98" i="3"/>
  <c r="GM98" i="3"/>
  <c r="GN98" i="3"/>
  <c r="A99" i="3"/>
  <c r="B99" i="3"/>
  <c r="C99" i="3"/>
  <c r="D99" i="3"/>
  <c r="E99" i="3"/>
  <c r="F99" i="3"/>
  <c r="H99" i="3"/>
  <c r="I99" i="3"/>
  <c r="J99" i="3"/>
  <c r="K99" i="3"/>
  <c r="L99" i="3"/>
  <c r="N99" i="3"/>
  <c r="O99" i="3"/>
  <c r="P99" i="3"/>
  <c r="Q99" i="3"/>
  <c r="R99" i="3"/>
  <c r="T99" i="3"/>
  <c r="U99" i="3"/>
  <c r="V99" i="3"/>
  <c r="W99" i="3"/>
  <c r="X99" i="3"/>
  <c r="Z99" i="3"/>
  <c r="AA99" i="3"/>
  <c r="AB99" i="3"/>
  <c r="AC99" i="3"/>
  <c r="AD99" i="3"/>
  <c r="AF99" i="3"/>
  <c r="AG99" i="3"/>
  <c r="AH99" i="3"/>
  <c r="AI99" i="3"/>
  <c r="AJ99" i="3"/>
  <c r="AL99" i="3"/>
  <c r="AM99" i="3"/>
  <c r="AN99" i="3"/>
  <c r="AO99" i="3"/>
  <c r="AP99" i="3"/>
  <c r="AR99" i="3"/>
  <c r="AS99" i="3"/>
  <c r="AT99" i="3"/>
  <c r="AU99" i="3"/>
  <c r="AV99" i="3"/>
  <c r="AX99" i="3"/>
  <c r="AY99" i="3"/>
  <c r="AZ99" i="3"/>
  <c r="BA99" i="3"/>
  <c r="BB99" i="3"/>
  <c r="BD99" i="3"/>
  <c r="BE99" i="3"/>
  <c r="BF99" i="3"/>
  <c r="BG99" i="3"/>
  <c r="BH99" i="3"/>
  <c r="BJ99" i="3"/>
  <c r="BK99" i="3"/>
  <c r="BL99" i="3"/>
  <c r="BM99" i="3"/>
  <c r="BN99" i="3"/>
  <c r="BP99" i="3"/>
  <c r="BQ99" i="3"/>
  <c r="BR99" i="3"/>
  <c r="BS99" i="3"/>
  <c r="BT99" i="3"/>
  <c r="BV99" i="3"/>
  <c r="BW99" i="3"/>
  <c r="BX99" i="3"/>
  <c r="BY99" i="3"/>
  <c r="BZ99" i="3"/>
  <c r="CB99" i="3"/>
  <c r="CC99" i="3"/>
  <c r="CD99" i="3"/>
  <c r="CE99" i="3"/>
  <c r="CF99" i="3"/>
  <c r="CH99" i="3"/>
  <c r="CI99" i="3"/>
  <c r="CJ99" i="3"/>
  <c r="CK99" i="3"/>
  <c r="CL99" i="3"/>
  <c r="CN99" i="3"/>
  <c r="CO99" i="3"/>
  <c r="CP99" i="3"/>
  <c r="CQ99" i="3"/>
  <c r="CR99" i="3"/>
  <c r="CT99" i="3"/>
  <c r="CU99" i="3"/>
  <c r="CV99" i="3"/>
  <c r="CW99" i="3"/>
  <c r="CX99" i="3"/>
  <c r="CZ99" i="3"/>
  <c r="DA99" i="3"/>
  <c r="DB99" i="3"/>
  <c r="DC99" i="3"/>
  <c r="DD99" i="3"/>
  <c r="DF99" i="3"/>
  <c r="DG99" i="3"/>
  <c r="DH99" i="3"/>
  <c r="DI99" i="3"/>
  <c r="DJ99" i="3"/>
  <c r="DL99" i="3"/>
  <c r="DM99" i="3"/>
  <c r="DN99" i="3"/>
  <c r="DO99" i="3"/>
  <c r="DP99" i="3"/>
  <c r="DR99" i="3"/>
  <c r="DS99" i="3"/>
  <c r="DT99" i="3"/>
  <c r="DU99" i="3"/>
  <c r="DV99" i="3"/>
  <c r="DX99" i="3"/>
  <c r="DY99" i="3"/>
  <c r="DZ99" i="3"/>
  <c r="EA99" i="3"/>
  <c r="EB99" i="3"/>
  <c r="ED99" i="3"/>
  <c r="EE99" i="3"/>
  <c r="EF99" i="3"/>
  <c r="EG99" i="3"/>
  <c r="EH99" i="3"/>
  <c r="EJ99" i="3"/>
  <c r="EK99" i="3"/>
  <c r="EL99" i="3"/>
  <c r="EM99" i="3"/>
  <c r="EN99" i="3"/>
  <c r="EP99" i="3"/>
  <c r="EQ99" i="3"/>
  <c r="ER99" i="3"/>
  <c r="ES99" i="3"/>
  <c r="ET99" i="3"/>
  <c r="EV99" i="3"/>
  <c r="EW99" i="3"/>
  <c r="EX99" i="3"/>
  <c r="EY99" i="3"/>
  <c r="EZ99" i="3"/>
  <c r="FB99" i="3"/>
  <c r="FC99" i="3"/>
  <c r="FD99" i="3"/>
  <c r="FE99" i="3"/>
  <c r="FF99" i="3"/>
  <c r="FH99" i="3"/>
  <c r="FI99" i="3"/>
  <c r="FJ99" i="3"/>
  <c r="FK99" i="3"/>
  <c r="FL99" i="3"/>
  <c r="FN99" i="3"/>
  <c r="FO99" i="3"/>
  <c r="FP99" i="3"/>
  <c r="FQ99" i="3"/>
  <c r="FR99" i="3"/>
  <c r="FT99" i="3"/>
  <c r="FU99" i="3"/>
  <c r="FV99" i="3"/>
  <c r="FW99" i="3"/>
  <c r="FX99" i="3"/>
  <c r="FZ99" i="3"/>
  <c r="GA99" i="3"/>
  <c r="GB99" i="3"/>
  <c r="GC99" i="3"/>
  <c r="GD99" i="3"/>
  <c r="GF99" i="3"/>
  <c r="GG99" i="3"/>
  <c r="GH99" i="3"/>
  <c r="GI99" i="3"/>
  <c r="GJ99" i="3"/>
  <c r="GL99" i="3"/>
  <c r="GM99" i="3"/>
  <c r="GN99" i="3"/>
  <c r="A100" i="3"/>
  <c r="B100" i="3"/>
  <c r="C100" i="3"/>
  <c r="D100" i="3"/>
  <c r="E100" i="3"/>
  <c r="F100" i="3"/>
  <c r="H100" i="3"/>
  <c r="I100" i="3"/>
  <c r="J100" i="3"/>
  <c r="K100" i="3"/>
  <c r="L100" i="3"/>
  <c r="N100" i="3"/>
  <c r="O100" i="3"/>
  <c r="P100" i="3"/>
  <c r="Q100" i="3"/>
  <c r="R100" i="3"/>
  <c r="T100" i="3"/>
  <c r="U100" i="3"/>
  <c r="V100" i="3"/>
  <c r="W100" i="3"/>
  <c r="X100" i="3"/>
  <c r="Z100" i="3"/>
  <c r="AA100" i="3"/>
  <c r="AB100" i="3"/>
  <c r="AC100" i="3"/>
  <c r="AD100" i="3"/>
  <c r="AF100" i="3"/>
  <c r="AG100" i="3"/>
  <c r="AH100" i="3"/>
  <c r="AI100" i="3"/>
  <c r="AJ100" i="3"/>
  <c r="AL100" i="3"/>
  <c r="AM100" i="3"/>
  <c r="AN100" i="3"/>
  <c r="AO100" i="3"/>
  <c r="AP100" i="3"/>
  <c r="AR100" i="3"/>
  <c r="AS100" i="3"/>
  <c r="AT100" i="3"/>
  <c r="AU100" i="3"/>
  <c r="AV100" i="3"/>
  <c r="AX100" i="3"/>
  <c r="AY100" i="3"/>
  <c r="AZ100" i="3"/>
  <c r="BA100" i="3"/>
  <c r="BB100" i="3"/>
  <c r="BD100" i="3"/>
  <c r="BE100" i="3"/>
  <c r="BF100" i="3"/>
  <c r="BG100" i="3"/>
  <c r="BH100" i="3"/>
  <c r="BJ100" i="3"/>
  <c r="BK100" i="3"/>
  <c r="BL100" i="3"/>
  <c r="BM100" i="3"/>
  <c r="BN100" i="3"/>
  <c r="BP100" i="3"/>
  <c r="BQ100" i="3"/>
  <c r="BR100" i="3"/>
  <c r="BS100" i="3"/>
  <c r="BT100" i="3"/>
  <c r="BV100" i="3"/>
  <c r="BW100" i="3"/>
  <c r="BX100" i="3"/>
  <c r="BY100" i="3"/>
  <c r="BZ100" i="3"/>
  <c r="CB100" i="3"/>
  <c r="CC100" i="3"/>
  <c r="CD100" i="3"/>
  <c r="CE100" i="3"/>
  <c r="CF100" i="3"/>
  <c r="CH100" i="3"/>
  <c r="CI100" i="3"/>
  <c r="CJ100" i="3"/>
  <c r="CK100" i="3"/>
  <c r="CL100" i="3"/>
  <c r="CN100" i="3"/>
  <c r="CO100" i="3"/>
  <c r="CP100" i="3"/>
  <c r="CQ100" i="3"/>
  <c r="CR100" i="3"/>
  <c r="CT100" i="3"/>
  <c r="CU100" i="3"/>
  <c r="CV100" i="3"/>
  <c r="CW100" i="3"/>
  <c r="CX100" i="3"/>
  <c r="CZ100" i="3"/>
  <c r="DA100" i="3"/>
  <c r="DB100" i="3"/>
  <c r="DC100" i="3"/>
  <c r="DD100" i="3"/>
  <c r="DF100" i="3"/>
  <c r="DG100" i="3"/>
  <c r="DH100" i="3"/>
  <c r="DI100" i="3"/>
  <c r="DJ100" i="3"/>
  <c r="DL100" i="3"/>
  <c r="DM100" i="3"/>
  <c r="DN100" i="3"/>
  <c r="DO100" i="3"/>
  <c r="DP100" i="3"/>
  <c r="DR100" i="3"/>
  <c r="DS100" i="3"/>
  <c r="DT100" i="3"/>
  <c r="DU100" i="3"/>
  <c r="DV100" i="3"/>
  <c r="DX100" i="3"/>
  <c r="DY100" i="3"/>
  <c r="DZ100" i="3"/>
  <c r="EA100" i="3"/>
  <c r="EB100" i="3"/>
  <c r="ED100" i="3"/>
  <c r="EE100" i="3"/>
  <c r="EF100" i="3"/>
  <c r="EG100" i="3"/>
  <c r="EH100" i="3"/>
  <c r="EJ100" i="3"/>
  <c r="EK100" i="3"/>
  <c r="EL100" i="3"/>
  <c r="EM100" i="3"/>
  <c r="EN100" i="3"/>
  <c r="EP100" i="3"/>
  <c r="EQ100" i="3"/>
  <c r="ER100" i="3"/>
  <c r="ES100" i="3"/>
  <c r="ET100" i="3"/>
  <c r="EV100" i="3"/>
  <c r="EW100" i="3"/>
  <c r="EX100" i="3"/>
  <c r="EY100" i="3"/>
  <c r="EZ100" i="3"/>
  <c r="FB100" i="3"/>
  <c r="FC100" i="3"/>
  <c r="FD100" i="3"/>
  <c r="FE100" i="3"/>
  <c r="FF100" i="3"/>
  <c r="FH100" i="3"/>
  <c r="FI100" i="3"/>
  <c r="FJ100" i="3"/>
  <c r="FK100" i="3"/>
  <c r="FL100" i="3"/>
  <c r="FN100" i="3"/>
  <c r="FO100" i="3"/>
  <c r="FP100" i="3"/>
  <c r="FQ100" i="3"/>
  <c r="FR100" i="3"/>
  <c r="FT100" i="3"/>
  <c r="FU100" i="3"/>
  <c r="FV100" i="3"/>
  <c r="FW100" i="3"/>
  <c r="FX100" i="3"/>
  <c r="FZ100" i="3"/>
  <c r="GA100" i="3"/>
  <c r="GB100" i="3"/>
  <c r="GC100" i="3"/>
  <c r="GD100" i="3"/>
  <c r="GF100" i="3"/>
  <c r="GG100" i="3"/>
  <c r="GH100" i="3"/>
  <c r="GI100" i="3"/>
  <c r="GJ100" i="3"/>
  <c r="GL100" i="3"/>
  <c r="GM100" i="3"/>
  <c r="GN100" i="3"/>
  <c r="A101" i="3"/>
  <c r="B101" i="3"/>
  <c r="C101" i="3"/>
  <c r="D101" i="3"/>
  <c r="E101" i="3"/>
  <c r="F101" i="3"/>
  <c r="H101" i="3"/>
  <c r="I101" i="3"/>
  <c r="J101" i="3"/>
  <c r="K101" i="3"/>
  <c r="L101" i="3"/>
  <c r="N101" i="3"/>
  <c r="O101" i="3"/>
  <c r="P101" i="3"/>
  <c r="Q101" i="3"/>
  <c r="R101" i="3"/>
  <c r="T101" i="3"/>
  <c r="U101" i="3"/>
  <c r="V101" i="3"/>
  <c r="W101" i="3"/>
  <c r="X101" i="3"/>
  <c r="Z101" i="3"/>
  <c r="AA101" i="3"/>
  <c r="AB101" i="3"/>
  <c r="AC101" i="3"/>
  <c r="AD101" i="3"/>
  <c r="AF101" i="3"/>
  <c r="AG101" i="3"/>
  <c r="AH101" i="3"/>
  <c r="AI101" i="3"/>
  <c r="AJ101" i="3"/>
  <c r="AL101" i="3"/>
  <c r="AM101" i="3"/>
  <c r="AN101" i="3"/>
  <c r="AO101" i="3"/>
  <c r="AP101" i="3"/>
  <c r="AR101" i="3"/>
  <c r="AS101" i="3"/>
  <c r="AT101" i="3"/>
  <c r="AU101" i="3"/>
  <c r="AV101" i="3"/>
  <c r="AX101" i="3"/>
  <c r="AY101" i="3"/>
  <c r="AZ101" i="3"/>
  <c r="BA101" i="3"/>
  <c r="BB101" i="3"/>
  <c r="BD101" i="3"/>
  <c r="BE101" i="3"/>
  <c r="BF101" i="3"/>
  <c r="BG101" i="3"/>
  <c r="BH101" i="3"/>
  <c r="BJ101" i="3"/>
  <c r="BK101" i="3"/>
  <c r="BL101" i="3"/>
  <c r="BM101" i="3"/>
  <c r="BN101" i="3"/>
  <c r="BP101" i="3"/>
  <c r="BQ101" i="3"/>
  <c r="BR101" i="3"/>
  <c r="BS101" i="3"/>
  <c r="BT101" i="3"/>
  <c r="BV101" i="3"/>
  <c r="BW101" i="3"/>
  <c r="BX101" i="3"/>
  <c r="BY101" i="3"/>
  <c r="BZ101" i="3"/>
  <c r="CB101" i="3"/>
  <c r="CC101" i="3"/>
  <c r="CD101" i="3"/>
  <c r="CE101" i="3"/>
  <c r="CF101" i="3"/>
  <c r="CH101" i="3"/>
  <c r="CI101" i="3"/>
  <c r="CJ101" i="3"/>
  <c r="CK101" i="3"/>
  <c r="CL101" i="3"/>
  <c r="CN101" i="3"/>
  <c r="CO101" i="3"/>
  <c r="CP101" i="3"/>
  <c r="CQ101" i="3"/>
  <c r="CR101" i="3"/>
  <c r="CT101" i="3"/>
  <c r="CU101" i="3"/>
  <c r="CV101" i="3"/>
  <c r="CW101" i="3"/>
  <c r="CX101" i="3"/>
  <c r="CZ101" i="3"/>
  <c r="DA101" i="3"/>
  <c r="DB101" i="3"/>
  <c r="DC101" i="3"/>
  <c r="DD101" i="3"/>
  <c r="DF101" i="3"/>
  <c r="DG101" i="3"/>
  <c r="DH101" i="3"/>
  <c r="DI101" i="3"/>
  <c r="DJ101" i="3"/>
  <c r="DL101" i="3"/>
  <c r="DM101" i="3"/>
  <c r="DN101" i="3"/>
  <c r="DO101" i="3"/>
  <c r="DP101" i="3"/>
  <c r="DR101" i="3"/>
  <c r="DS101" i="3"/>
  <c r="DT101" i="3"/>
  <c r="DU101" i="3"/>
  <c r="DV101" i="3"/>
  <c r="DX101" i="3"/>
  <c r="DY101" i="3"/>
  <c r="DZ101" i="3"/>
  <c r="EA101" i="3"/>
  <c r="EB101" i="3"/>
  <c r="ED101" i="3"/>
  <c r="EE101" i="3"/>
  <c r="EF101" i="3"/>
  <c r="EG101" i="3"/>
  <c r="EH101" i="3"/>
  <c r="EJ101" i="3"/>
  <c r="EK101" i="3"/>
  <c r="EL101" i="3"/>
  <c r="EM101" i="3"/>
  <c r="EN101" i="3"/>
  <c r="EP101" i="3"/>
  <c r="EQ101" i="3"/>
  <c r="ER101" i="3"/>
  <c r="ES101" i="3"/>
  <c r="ET101" i="3"/>
  <c r="EV101" i="3"/>
  <c r="EW101" i="3"/>
  <c r="EX101" i="3"/>
  <c r="EY101" i="3"/>
  <c r="EZ101" i="3"/>
  <c r="FB101" i="3"/>
  <c r="FC101" i="3"/>
  <c r="FD101" i="3"/>
  <c r="FE101" i="3"/>
  <c r="FF101" i="3"/>
  <c r="FH101" i="3"/>
  <c r="FI101" i="3"/>
  <c r="FJ101" i="3"/>
  <c r="FK101" i="3"/>
  <c r="FL101" i="3"/>
  <c r="FN101" i="3"/>
  <c r="FO101" i="3"/>
  <c r="FP101" i="3"/>
  <c r="FQ101" i="3"/>
  <c r="FR101" i="3"/>
  <c r="FT101" i="3"/>
  <c r="FU101" i="3"/>
  <c r="FV101" i="3"/>
  <c r="FW101" i="3"/>
  <c r="FX101" i="3"/>
  <c r="FZ101" i="3"/>
  <c r="GA101" i="3"/>
  <c r="GB101" i="3"/>
  <c r="GC101" i="3"/>
  <c r="GD101" i="3"/>
  <c r="GF101" i="3"/>
  <c r="GG101" i="3"/>
  <c r="GH101" i="3"/>
  <c r="GI101" i="3"/>
  <c r="GJ101" i="3"/>
  <c r="GL101" i="3"/>
  <c r="GM101" i="3"/>
  <c r="GN101" i="3"/>
  <c r="A102" i="3"/>
  <c r="B102" i="3"/>
  <c r="C102" i="3"/>
  <c r="D102" i="3"/>
  <c r="E102" i="3"/>
  <c r="F102" i="3"/>
  <c r="H102" i="3"/>
  <c r="I102" i="3"/>
  <c r="J102" i="3"/>
  <c r="K102" i="3"/>
  <c r="L102" i="3"/>
  <c r="N102" i="3"/>
  <c r="O102" i="3"/>
  <c r="P102" i="3"/>
  <c r="Q102" i="3"/>
  <c r="R102" i="3"/>
  <c r="T102" i="3"/>
  <c r="U102" i="3"/>
  <c r="V102" i="3"/>
  <c r="W102" i="3"/>
  <c r="X102" i="3"/>
  <c r="Z102" i="3"/>
  <c r="AA102" i="3"/>
  <c r="AB102" i="3"/>
  <c r="AC102" i="3"/>
  <c r="AD102" i="3"/>
  <c r="AF102" i="3"/>
  <c r="AG102" i="3"/>
  <c r="AH102" i="3"/>
  <c r="AI102" i="3"/>
  <c r="AJ102" i="3"/>
  <c r="AL102" i="3"/>
  <c r="AM102" i="3"/>
  <c r="AN102" i="3"/>
  <c r="AO102" i="3"/>
  <c r="AP102" i="3"/>
  <c r="AR102" i="3"/>
  <c r="AS102" i="3"/>
  <c r="AT102" i="3"/>
  <c r="AU102" i="3"/>
  <c r="AV102" i="3"/>
  <c r="AX102" i="3"/>
  <c r="AY102" i="3"/>
  <c r="AZ102" i="3"/>
  <c r="BA102" i="3"/>
  <c r="BB102" i="3"/>
  <c r="BD102" i="3"/>
  <c r="BE102" i="3"/>
  <c r="BF102" i="3"/>
  <c r="BG102" i="3"/>
  <c r="BH102" i="3"/>
  <c r="BJ102" i="3"/>
  <c r="BK102" i="3"/>
  <c r="BL102" i="3"/>
  <c r="BM102" i="3"/>
  <c r="BN102" i="3"/>
  <c r="BP102" i="3"/>
  <c r="BQ102" i="3"/>
  <c r="BR102" i="3"/>
  <c r="BS102" i="3"/>
  <c r="BT102" i="3"/>
  <c r="BV102" i="3"/>
  <c r="BW102" i="3"/>
  <c r="BX102" i="3"/>
  <c r="BY102" i="3"/>
  <c r="BZ102" i="3"/>
  <c r="CB102" i="3"/>
  <c r="CC102" i="3"/>
  <c r="CD102" i="3"/>
  <c r="CE102" i="3"/>
  <c r="CF102" i="3"/>
  <c r="CH102" i="3"/>
  <c r="CI102" i="3"/>
  <c r="CJ102" i="3"/>
  <c r="CK102" i="3"/>
  <c r="CL102" i="3"/>
  <c r="CN102" i="3"/>
  <c r="CO102" i="3"/>
  <c r="CP102" i="3"/>
  <c r="CQ102" i="3"/>
  <c r="CR102" i="3"/>
  <c r="CT102" i="3"/>
  <c r="CU102" i="3"/>
  <c r="CV102" i="3"/>
  <c r="CW102" i="3"/>
  <c r="CX102" i="3"/>
  <c r="CZ102" i="3"/>
  <c r="DA102" i="3"/>
  <c r="DB102" i="3"/>
  <c r="DC102" i="3"/>
  <c r="DD102" i="3"/>
  <c r="DF102" i="3"/>
  <c r="DG102" i="3"/>
  <c r="DH102" i="3"/>
  <c r="DI102" i="3"/>
  <c r="DJ102" i="3"/>
  <c r="DL102" i="3"/>
  <c r="DM102" i="3"/>
  <c r="DN102" i="3"/>
  <c r="DO102" i="3"/>
  <c r="DP102" i="3"/>
  <c r="DR102" i="3"/>
  <c r="DS102" i="3"/>
  <c r="DT102" i="3"/>
  <c r="DU102" i="3"/>
  <c r="DV102" i="3"/>
  <c r="DX102" i="3"/>
  <c r="DY102" i="3"/>
  <c r="DZ102" i="3"/>
  <c r="EA102" i="3"/>
  <c r="EB102" i="3"/>
  <c r="ED102" i="3"/>
  <c r="EE102" i="3"/>
  <c r="EF102" i="3"/>
  <c r="EG102" i="3"/>
  <c r="EH102" i="3"/>
  <c r="EJ102" i="3"/>
  <c r="EK102" i="3"/>
  <c r="EL102" i="3"/>
  <c r="EM102" i="3"/>
  <c r="EN102" i="3"/>
  <c r="EP102" i="3"/>
  <c r="EQ102" i="3"/>
  <c r="ER102" i="3"/>
  <c r="ES102" i="3"/>
  <c r="ET102" i="3"/>
  <c r="EV102" i="3"/>
  <c r="EW102" i="3"/>
  <c r="EX102" i="3"/>
  <c r="EY102" i="3"/>
  <c r="EZ102" i="3"/>
  <c r="FB102" i="3"/>
  <c r="FC102" i="3"/>
  <c r="FD102" i="3"/>
  <c r="FE102" i="3"/>
  <c r="FF102" i="3"/>
  <c r="FH102" i="3"/>
  <c r="FI102" i="3"/>
  <c r="FJ102" i="3"/>
  <c r="FK102" i="3"/>
  <c r="FL102" i="3"/>
  <c r="FN102" i="3"/>
  <c r="FO102" i="3"/>
  <c r="FP102" i="3"/>
  <c r="FQ102" i="3"/>
  <c r="FR102" i="3"/>
  <c r="FT102" i="3"/>
  <c r="FU102" i="3"/>
  <c r="FV102" i="3"/>
  <c r="FW102" i="3"/>
  <c r="FX102" i="3"/>
  <c r="FZ102" i="3"/>
  <c r="GA102" i="3"/>
  <c r="GB102" i="3"/>
  <c r="GC102" i="3"/>
  <c r="GD102" i="3"/>
  <c r="GF102" i="3"/>
  <c r="GG102" i="3"/>
  <c r="GH102" i="3"/>
  <c r="GI102" i="3"/>
  <c r="GJ102" i="3"/>
  <c r="GL102" i="3"/>
  <c r="GM102" i="3"/>
  <c r="GN102" i="3"/>
  <c r="A103" i="3"/>
  <c r="B103" i="3"/>
  <c r="C103" i="3"/>
  <c r="D103" i="3"/>
  <c r="E103" i="3"/>
  <c r="F103" i="3"/>
  <c r="H103" i="3"/>
  <c r="I103" i="3"/>
  <c r="J103" i="3"/>
  <c r="K103" i="3"/>
  <c r="L103" i="3"/>
  <c r="N103" i="3"/>
  <c r="O103" i="3"/>
  <c r="P103" i="3"/>
  <c r="Q103" i="3"/>
  <c r="R103" i="3"/>
  <c r="T103" i="3"/>
  <c r="U103" i="3"/>
  <c r="V103" i="3"/>
  <c r="W103" i="3"/>
  <c r="X103" i="3"/>
  <c r="Z103" i="3"/>
  <c r="AA103" i="3"/>
  <c r="AB103" i="3"/>
  <c r="AC103" i="3"/>
  <c r="AD103" i="3"/>
  <c r="AF103" i="3"/>
  <c r="AG103" i="3"/>
  <c r="AH103" i="3"/>
  <c r="AI103" i="3"/>
  <c r="AJ103" i="3"/>
  <c r="AL103" i="3"/>
  <c r="AM103" i="3"/>
  <c r="AN103" i="3"/>
  <c r="AO103" i="3"/>
  <c r="AP103" i="3"/>
  <c r="AR103" i="3"/>
  <c r="AS103" i="3"/>
  <c r="AT103" i="3"/>
  <c r="AU103" i="3"/>
  <c r="AV103" i="3"/>
  <c r="AX103" i="3"/>
  <c r="AY103" i="3"/>
  <c r="AZ103" i="3"/>
  <c r="BA103" i="3"/>
  <c r="BB103" i="3"/>
  <c r="BD103" i="3"/>
  <c r="BE103" i="3"/>
  <c r="BF103" i="3"/>
  <c r="BG103" i="3"/>
  <c r="BH103" i="3"/>
  <c r="BJ103" i="3"/>
  <c r="BK103" i="3"/>
  <c r="BL103" i="3"/>
  <c r="BM103" i="3"/>
  <c r="BN103" i="3"/>
  <c r="BP103" i="3"/>
  <c r="BQ103" i="3"/>
  <c r="BR103" i="3"/>
  <c r="BS103" i="3"/>
  <c r="BT103" i="3"/>
  <c r="BV103" i="3"/>
  <c r="BW103" i="3"/>
  <c r="BX103" i="3"/>
  <c r="BY103" i="3"/>
  <c r="BZ103" i="3"/>
  <c r="CB103" i="3"/>
  <c r="CC103" i="3"/>
  <c r="CD103" i="3"/>
  <c r="CE103" i="3"/>
  <c r="CF103" i="3"/>
  <c r="CH103" i="3"/>
  <c r="CI103" i="3"/>
  <c r="CJ103" i="3"/>
  <c r="CK103" i="3"/>
  <c r="CL103" i="3"/>
  <c r="CN103" i="3"/>
  <c r="CO103" i="3"/>
  <c r="CP103" i="3"/>
  <c r="CQ103" i="3"/>
  <c r="CR103" i="3"/>
  <c r="CT103" i="3"/>
  <c r="CU103" i="3"/>
  <c r="CV103" i="3"/>
  <c r="CW103" i="3"/>
  <c r="CX103" i="3"/>
  <c r="CZ103" i="3"/>
  <c r="DA103" i="3"/>
  <c r="DB103" i="3"/>
  <c r="DC103" i="3"/>
  <c r="DD103" i="3"/>
  <c r="DF103" i="3"/>
  <c r="DG103" i="3"/>
  <c r="DH103" i="3"/>
  <c r="DI103" i="3"/>
  <c r="DJ103" i="3"/>
  <c r="DL103" i="3"/>
  <c r="DM103" i="3"/>
  <c r="DN103" i="3"/>
  <c r="DO103" i="3"/>
  <c r="DP103" i="3"/>
  <c r="DR103" i="3"/>
  <c r="DS103" i="3"/>
  <c r="DT103" i="3"/>
  <c r="DU103" i="3"/>
  <c r="DV103" i="3"/>
  <c r="DX103" i="3"/>
  <c r="DY103" i="3"/>
  <c r="DZ103" i="3"/>
  <c r="EA103" i="3"/>
  <c r="EB103" i="3"/>
  <c r="ED103" i="3"/>
  <c r="EE103" i="3"/>
  <c r="EF103" i="3"/>
  <c r="EG103" i="3"/>
  <c r="EH103" i="3"/>
  <c r="EJ103" i="3"/>
  <c r="EK103" i="3"/>
  <c r="EL103" i="3"/>
  <c r="EM103" i="3"/>
  <c r="EN103" i="3"/>
  <c r="EP103" i="3"/>
  <c r="EQ103" i="3"/>
  <c r="ER103" i="3"/>
  <c r="ES103" i="3"/>
  <c r="ET103" i="3"/>
  <c r="EV103" i="3"/>
  <c r="EW103" i="3"/>
  <c r="EX103" i="3"/>
  <c r="EY103" i="3"/>
  <c r="EZ103" i="3"/>
  <c r="FB103" i="3"/>
  <c r="FC103" i="3"/>
  <c r="FD103" i="3"/>
  <c r="FE103" i="3"/>
  <c r="FF103" i="3"/>
  <c r="FH103" i="3"/>
  <c r="FI103" i="3"/>
  <c r="FJ103" i="3"/>
  <c r="FK103" i="3"/>
  <c r="FL103" i="3"/>
  <c r="FN103" i="3"/>
  <c r="FO103" i="3"/>
  <c r="FP103" i="3"/>
  <c r="FQ103" i="3"/>
  <c r="FR103" i="3"/>
  <c r="FT103" i="3"/>
  <c r="FU103" i="3"/>
  <c r="FV103" i="3"/>
  <c r="FW103" i="3"/>
  <c r="FX103" i="3"/>
  <c r="FZ103" i="3"/>
  <c r="GA103" i="3"/>
  <c r="GB103" i="3"/>
  <c r="GC103" i="3"/>
  <c r="GD103" i="3"/>
  <c r="GF103" i="3"/>
  <c r="GG103" i="3"/>
  <c r="GH103" i="3"/>
  <c r="GI103" i="3"/>
  <c r="GJ103" i="3"/>
  <c r="GL103" i="3"/>
  <c r="GM103" i="3"/>
  <c r="GN103" i="3"/>
  <c r="A104" i="3"/>
  <c r="B104" i="3"/>
  <c r="C104" i="3"/>
  <c r="D104" i="3"/>
  <c r="E104" i="3"/>
  <c r="F104" i="3"/>
  <c r="H104" i="3"/>
  <c r="I104" i="3"/>
  <c r="J104" i="3"/>
  <c r="K104" i="3"/>
  <c r="L104" i="3"/>
  <c r="N104" i="3"/>
  <c r="O104" i="3"/>
  <c r="P104" i="3"/>
  <c r="Q104" i="3"/>
  <c r="R104" i="3"/>
  <c r="T104" i="3"/>
  <c r="U104" i="3"/>
  <c r="V104" i="3"/>
  <c r="W104" i="3"/>
  <c r="X104" i="3"/>
  <c r="Z104" i="3"/>
  <c r="AA104" i="3"/>
  <c r="AB104" i="3"/>
  <c r="AC104" i="3"/>
  <c r="AD104" i="3"/>
  <c r="AF104" i="3"/>
  <c r="AG104" i="3"/>
  <c r="AH104" i="3"/>
  <c r="AI104" i="3"/>
  <c r="AJ104" i="3"/>
  <c r="AL104" i="3"/>
  <c r="AM104" i="3"/>
  <c r="AN104" i="3"/>
  <c r="AO104" i="3"/>
  <c r="AP104" i="3"/>
  <c r="AR104" i="3"/>
  <c r="AS104" i="3"/>
  <c r="AT104" i="3"/>
  <c r="AU104" i="3"/>
  <c r="AV104" i="3"/>
  <c r="AX104" i="3"/>
  <c r="AY104" i="3"/>
  <c r="AZ104" i="3"/>
  <c r="BA104" i="3"/>
  <c r="BB104" i="3"/>
  <c r="BD104" i="3"/>
  <c r="BE104" i="3"/>
  <c r="BF104" i="3"/>
  <c r="BG104" i="3"/>
  <c r="BH104" i="3"/>
  <c r="BJ104" i="3"/>
  <c r="BK104" i="3"/>
  <c r="BL104" i="3"/>
  <c r="BM104" i="3"/>
  <c r="BN104" i="3"/>
  <c r="BP104" i="3"/>
  <c r="BQ104" i="3"/>
  <c r="BR104" i="3"/>
  <c r="BS104" i="3"/>
  <c r="BT104" i="3"/>
  <c r="BV104" i="3"/>
  <c r="BW104" i="3"/>
  <c r="BX104" i="3"/>
  <c r="BY104" i="3"/>
  <c r="BZ104" i="3"/>
  <c r="CB104" i="3"/>
  <c r="CC104" i="3"/>
  <c r="CD104" i="3"/>
  <c r="CE104" i="3"/>
  <c r="CF104" i="3"/>
  <c r="CH104" i="3"/>
  <c r="CI104" i="3"/>
  <c r="CJ104" i="3"/>
  <c r="CK104" i="3"/>
  <c r="CL104" i="3"/>
  <c r="CN104" i="3"/>
  <c r="CO104" i="3"/>
  <c r="CP104" i="3"/>
  <c r="CQ104" i="3"/>
  <c r="CR104" i="3"/>
  <c r="CT104" i="3"/>
  <c r="CU104" i="3"/>
  <c r="CV104" i="3"/>
  <c r="CW104" i="3"/>
  <c r="CX104" i="3"/>
  <c r="CZ104" i="3"/>
  <c r="DA104" i="3"/>
  <c r="DB104" i="3"/>
  <c r="DC104" i="3"/>
  <c r="DD104" i="3"/>
  <c r="DF104" i="3"/>
  <c r="DG104" i="3"/>
  <c r="DH104" i="3"/>
  <c r="DI104" i="3"/>
  <c r="DJ104" i="3"/>
  <c r="DL104" i="3"/>
  <c r="DM104" i="3"/>
  <c r="DN104" i="3"/>
  <c r="DO104" i="3"/>
  <c r="DP104" i="3"/>
  <c r="DR104" i="3"/>
  <c r="DS104" i="3"/>
  <c r="DT104" i="3"/>
  <c r="DU104" i="3"/>
  <c r="DV104" i="3"/>
  <c r="DX104" i="3"/>
  <c r="DY104" i="3"/>
  <c r="DZ104" i="3"/>
  <c r="EA104" i="3"/>
  <c r="EB104" i="3"/>
  <c r="ED104" i="3"/>
  <c r="EE104" i="3"/>
  <c r="EF104" i="3"/>
  <c r="EG104" i="3"/>
  <c r="EH104" i="3"/>
  <c r="EJ104" i="3"/>
  <c r="EK104" i="3"/>
  <c r="EL104" i="3"/>
  <c r="EM104" i="3"/>
  <c r="EN104" i="3"/>
  <c r="EP104" i="3"/>
  <c r="EQ104" i="3"/>
  <c r="ER104" i="3"/>
  <c r="ES104" i="3"/>
  <c r="ET104" i="3"/>
  <c r="EV104" i="3"/>
  <c r="EW104" i="3"/>
  <c r="EX104" i="3"/>
  <c r="EY104" i="3"/>
  <c r="EZ104" i="3"/>
  <c r="FB104" i="3"/>
  <c r="FC104" i="3"/>
  <c r="FD104" i="3"/>
  <c r="FE104" i="3"/>
  <c r="FF104" i="3"/>
  <c r="FH104" i="3"/>
  <c r="FI104" i="3"/>
  <c r="FJ104" i="3"/>
  <c r="FK104" i="3"/>
  <c r="FL104" i="3"/>
  <c r="FN104" i="3"/>
  <c r="FO104" i="3"/>
  <c r="FP104" i="3"/>
  <c r="FQ104" i="3"/>
  <c r="FR104" i="3"/>
  <c r="FT104" i="3"/>
  <c r="FU104" i="3"/>
  <c r="FV104" i="3"/>
  <c r="FW104" i="3"/>
  <c r="FX104" i="3"/>
  <c r="FZ104" i="3"/>
  <c r="GA104" i="3"/>
  <c r="GB104" i="3"/>
  <c r="GC104" i="3"/>
  <c r="GD104" i="3"/>
  <c r="GF104" i="3"/>
  <c r="GG104" i="3"/>
  <c r="GH104" i="3"/>
  <c r="GI104" i="3"/>
  <c r="GJ104" i="3"/>
  <c r="GL104" i="3"/>
  <c r="GM104" i="3"/>
  <c r="GN104" i="3"/>
  <c r="A105" i="3"/>
  <c r="B105" i="3"/>
  <c r="C105" i="3"/>
  <c r="D105" i="3"/>
  <c r="E105" i="3"/>
  <c r="F105" i="3"/>
  <c r="H105" i="3"/>
  <c r="I105" i="3"/>
  <c r="J105" i="3"/>
  <c r="K105" i="3"/>
  <c r="L105" i="3"/>
  <c r="N105" i="3"/>
  <c r="O105" i="3"/>
  <c r="P105" i="3"/>
  <c r="Q105" i="3"/>
  <c r="R105" i="3"/>
  <c r="T105" i="3"/>
  <c r="U105" i="3"/>
  <c r="V105" i="3"/>
  <c r="W105" i="3"/>
  <c r="X105" i="3"/>
  <c r="Z105" i="3"/>
  <c r="AA105" i="3"/>
  <c r="AB105" i="3"/>
  <c r="AC105" i="3"/>
  <c r="AD105" i="3"/>
  <c r="AF105" i="3"/>
  <c r="AG105" i="3"/>
  <c r="AH105" i="3"/>
  <c r="AI105" i="3"/>
  <c r="AJ105" i="3"/>
  <c r="AL105" i="3"/>
  <c r="AM105" i="3"/>
  <c r="AN105" i="3"/>
  <c r="AO105" i="3"/>
  <c r="AP105" i="3"/>
  <c r="AR105" i="3"/>
  <c r="AS105" i="3"/>
  <c r="AT105" i="3"/>
  <c r="AU105" i="3"/>
  <c r="AV105" i="3"/>
  <c r="AX105" i="3"/>
  <c r="AY105" i="3"/>
  <c r="AZ105" i="3"/>
  <c r="BA105" i="3"/>
  <c r="BB105" i="3"/>
  <c r="BD105" i="3"/>
  <c r="BE105" i="3"/>
  <c r="BF105" i="3"/>
  <c r="BG105" i="3"/>
  <c r="BH105" i="3"/>
  <c r="BJ105" i="3"/>
  <c r="BK105" i="3"/>
  <c r="BL105" i="3"/>
  <c r="BM105" i="3"/>
  <c r="BN105" i="3"/>
  <c r="BP105" i="3"/>
  <c r="BQ105" i="3"/>
  <c r="BR105" i="3"/>
  <c r="BS105" i="3"/>
  <c r="BT105" i="3"/>
  <c r="BV105" i="3"/>
  <c r="BW105" i="3"/>
  <c r="BX105" i="3"/>
  <c r="BY105" i="3"/>
  <c r="BZ105" i="3"/>
  <c r="CB105" i="3"/>
  <c r="CC105" i="3"/>
  <c r="CD105" i="3"/>
  <c r="CE105" i="3"/>
  <c r="CF105" i="3"/>
  <c r="CH105" i="3"/>
  <c r="CI105" i="3"/>
  <c r="CJ105" i="3"/>
  <c r="CK105" i="3"/>
  <c r="CL105" i="3"/>
  <c r="CN105" i="3"/>
  <c r="CO105" i="3"/>
  <c r="CP105" i="3"/>
  <c r="CQ105" i="3"/>
  <c r="CR105" i="3"/>
  <c r="CT105" i="3"/>
  <c r="CU105" i="3"/>
  <c r="CV105" i="3"/>
  <c r="CW105" i="3"/>
  <c r="CX105" i="3"/>
  <c r="CZ105" i="3"/>
  <c r="DA105" i="3"/>
  <c r="DB105" i="3"/>
  <c r="DC105" i="3"/>
  <c r="DD105" i="3"/>
  <c r="DF105" i="3"/>
  <c r="DG105" i="3"/>
  <c r="DH105" i="3"/>
  <c r="DI105" i="3"/>
  <c r="DJ105" i="3"/>
  <c r="DL105" i="3"/>
  <c r="DM105" i="3"/>
  <c r="DN105" i="3"/>
  <c r="DO105" i="3"/>
  <c r="DP105" i="3"/>
  <c r="DR105" i="3"/>
  <c r="DS105" i="3"/>
  <c r="DT105" i="3"/>
  <c r="DU105" i="3"/>
  <c r="DV105" i="3"/>
  <c r="DX105" i="3"/>
  <c r="DY105" i="3"/>
  <c r="DZ105" i="3"/>
  <c r="EA105" i="3"/>
  <c r="EB105" i="3"/>
  <c r="ED105" i="3"/>
  <c r="EE105" i="3"/>
  <c r="EF105" i="3"/>
  <c r="EG105" i="3"/>
  <c r="EH105" i="3"/>
  <c r="EJ105" i="3"/>
  <c r="EK105" i="3"/>
  <c r="EL105" i="3"/>
  <c r="EM105" i="3"/>
  <c r="EN105" i="3"/>
  <c r="EP105" i="3"/>
  <c r="EQ105" i="3"/>
  <c r="ER105" i="3"/>
  <c r="ES105" i="3"/>
  <c r="ET105" i="3"/>
  <c r="EV105" i="3"/>
  <c r="EW105" i="3"/>
  <c r="EX105" i="3"/>
  <c r="EY105" i="3"/>
  <c r="EZ105" i="3"/>
  <c r="FB105" i="3"/>
  <c r="FC105" i="3"/>
  <c r="FD105" i="3"/>
  <c r="FE105" i="3"/>
  <c r="FF105" i="3"/>
  <c r="FH105" i="3"/>
  <c r="FI105" i="3"/>
  <c r="FJ105" i="3"/>
  <c r="FK105" i="3"/>
  <c r="FL105" i="3"/>
  <c r="FN105" i="3"/>
  <c r="FO105" i="3"/>
  <c r="FP105" i="3"/>
  <c r="FQ105" i="3"/>
  <c r="FR105" i="3"/>
  <c r="FT105" i="3"/>
  <c r="FU105" i="3"/>
  <c r="FV105" i="3"/>
  <c r="FW105" i="3"/>
  <c r="FX105" i="3"/>
  <c r="FZ105" i="3"/>
  <c r="GA105" i="3"/>
  <c r="GB105" i="3"/>
  <c r="GC105" i="3"/>
  <c r="GD105" i="3"/>
  <c r="GF105" i="3"/>
  <c r="GG105" i="3"/>
  <c r="GH105" i="3"/>
  <c r="GI105" i="3"/>
  <c r="GJ105" i="3"/>
  <c r="GL105" i="3"/>
  <c r="GM105" i="3"/>
  <c r="GN105" i="3"/>
  <c r="A106" i="3"/>
  <c r="B106" i="3"/>
  <c r="C106" i="3"/>
  <c r="D106" i="3"/>
  <c r="E106" i="3"/>
  <c r="F106" i="3"/>
  <c r="H106" i="3"/>
  <c r="I106" i="3"/>
  <c r="J106" i="3"/>
  <c r="K106" i="3"/>
  <c r="L106" i="3"/>
  <c r="N106" i="3"/>
  <c r="O106" i="3"/>
  <c r="P106" i="3"/>
  <c r="Q106" i="3"/>
  <c r="R106" i="3"/>
  <c r="T106" i="3"/>
  <c r="U106" i="3"/>
  <c r="V106" i="3"/>
  <c r="W106" i="3"/>
  <c r="X106" i="3"/>
  <c r="Z106" i="3"/>
  <c r="AA106" i="3"/>
  <c r="AB106" i="3"/>
  <c r="AC106" i="3"/>
  <c r="AD106" i="3"/>
  <c r="AF106" i="3"/>
  <c r="AG106" i="3"/>
  <c r="AH106" i="3"/>
  <c r="AI106" i="3"/>
  <c r="AJ106" i="3"/>
  <c r="AL106" i="3"/>
  <c r="AM106" i="3"/>
  <c r="AN106" i="3"/>
  <c r="AO106" i="3"/>
  <c r="AP106" i="3"/>
  <c r="AR106" i="3"/>
  <c r="AS106" i="3"/>
  <c r="AT106" i="3"/>
  <c r="AU106" i="3"/>
  <c r="AV106" i="3"/>
  <c r="AX106" i="3"/>
  <c r="AY106" i="3"/>
  <c r="AZ106" i="3"/>
  <c r="BA106" i="3"/>
  <c r="BB106" i="3"/>
  <c r="BD106" i="3"/>
  <c r="BE106" i="3"/>
  <c r="BF106" i="3"/>
  <c r="BG106" i="3"/>
  <c r="BH106" i="3"/>
  <c r="BJ106" i="3"/>
  <c r="BK106" i="3"/>
  <c r="BL106" i="3"/>
  <c r="BM106" i="3"/>
  <c r="BN106" i="3"/>
  <c r="BP106" i="3"/>
  <c r="BQ106" i="3"/>
  <c r="BR106" i="3"/>
  <c r="BS106" i="3"/>
  <c r="BT106" i="3"/>
  <c r="BV106" i="3"/>
  <c r="BW106" i="3"/>
  <c r="BX106" i="3"/>
  <c r="BY106" i="3"/>
  <c r="BZ106" i="3"/>
  <c r="CB106" i="3"/>
  <c r="CC106" i="3"/>
  <c r="CD106" i="3"/>
  <c r="CE106" i="3"/>
  <c r="CF106" i="3"/>
  <c r="CH106" i="3"/>
  <c r="CI106" i="3"/>
  <c r="CJ106" i="3"/>
  <c r="CK106" i="3"/>
  <c r="CL106" i="3"/>
  <c r="CN106" i="3"/>
  <c r="CO106" i="3"/>
  <c r="CP106" i="3"/>
  <c r="CQ106" i="3"/>
  <c r="CR106" i="3"/>
  <c r="CT106" i="3"/>
  <c r="CU106" i="3"/>
  <c r="CV106" i="3"/>
  <c r="CW106" i="3"/>
  <c r="CX106" i="3"/>
  <c r="CZ106" i="3"/>
  <c r="DA106" i="3"/>
  <c r="DB106" i="3"/>
  <c r="DC106" i="3"/>
  <c r="DD106" i="3"/>
  <c r="DF106" i="3"/>
  <c r="DG106" i="3"/>
  <c r="DH106" i="3"/>
  <c r="DI106" i="3"/>
  <c r="DJ106" i="3"/>
  <c r="DL106" i="3"/>
  <c r="DM106" i="3"/>
  <c r="DN106" i="3"/>
  <c r="DO106" i="3"/>
  <c r="DP106" i="3"/>
  <c r="DR106" i="3"/>
  <c r="DS106" i="3"/>
  <c r="DT106" i="3"/>
  <c r="DU106" i="3"/>
  <c r="DV106" i="3"/>
  <c r="DX106" i="3"/>
  <c r="DY106" i="3"/>
  <c r="DZ106" i="3"/>
  <c r="EA106" i="3"/>
  <c r="EB106" i="3"/>
  <c r="ED106" i="3"/>
  <c r="EE106" i="3"/>
  <c r="EF106" i="3"/>
  <c r="EG106" i="3"/>
  <c r="EH106" i="3"/>
  <c r="EJ106" i="3"/>
  <c r="EK106" i="3"/>
  <c r="EL106" i="3"/>
  <c r="EM106" i="3"/>
  <c r="EN106" i="3"/>
  <c r="EP106" i="3"/>
  <c r="EQ106" i="3"/>
  <c r="ER106" i="3"/>
  <c r="ES106" i="3"/>
  <c r="ET106" i="3"/>
  <c r="EV106" i="3"/>
  <c r="EW106" i="3"/>
  <c r="EX106" i="3"/>
  <c r="EY106" i="3"/>
  <c r="EZ106" i="3"/>
  <c r="FB106" i="3"/>
  <c r="FC106" i="3"/>
  <c r="FD106" i="3"/>
  <c r="FE106" i="3"/>
  <c r="FF106" i="3"/>
  <c r="FH106" i="3"/>
  <c r="FI106" i="3"/>
  <c r="FJ106" i="3"/>
  <c r="FK106" i="3"/>
  <c r="FL106" i="3"/>
  <c r="FN106" i="3"/>
  <c r="FO106" i="3"/>
  <c r="FP106" i="3"/>
  <c r="FQ106" i="3"/>
  <c r="FR106" i="3"/>
  <c r="FT106" i="3"/>
  <c r="FU106" i="3"/>
  <c r="FV106" i="3"/>
  <c r="FW106" i="3"/>
  <c r="FX106" i="3"/>
  <c r="FZ106" i="3"/>
  <c r="GA106" i="3"/>
  <c r="GB106" i="3"/>
  <c r="GC106" i="3"/>
  <c r="GD106" i="3"/>
  <c r="GF106" i="3"/>
  <c r="GG106" i="3"/>
  <c r="GH106" i="3"/>
  <c r="GI106" i="3"/>
  <c r="GJ106" i="3"/>
  <c r="GL106" i="3"/>
  <c r="GM106" i="3"/>
  <c r="GN106" i="3"/>
  <c r="A107" i="3"/>
  <c r="B107" i="3"/>
  <c r="C107" i="3"/>
  <c r="D107" i="3"/>
  <c r="E107" i="3"/>
  <c r="F107" i="3"/>
  <c r="H107" i="3"/>
  <c r="I107" i="3"/>
  <c r="J107" i="3"/>
  <c r="K107" i="3"/>
  <c r="L107" i="3"/>
  <c r="N107" i="3"/>
  <c r="O107" i="3"/>
  <c r="P107" i="3"/>
  <c r="Q107" i="3"/>
  <c r="R107" i="3"/>
  <c r="T107" i="3"/>
  <c r="U107" i="3"/>
  <c r="V107" i="3"/>
  <c r="W107" i="3"/>
  <c r="X107" i="3"/>
  <c r="Z107" i="3"/>
  <c r="AA107" i="3"/>
  <c r="AB107" i="3"/>
  <c r="AC107" i="3"/>
  <c r="AD107" i="3"/>
  <c r="AF107" i="3"/>
  <c r="AG107" i="3"/>
  <c r="AH107" i="3"/>
  <c r="AI107" i="3"/>
  <c r="AJ107" i="3"/>
  <c r="AL107" i="3"/>
  <c r="AM107" i="3"/>
  <c r="AN107" i="3"/>
  <c r="AO107" i="3"/>
  <c r="AP107" i="3"/>
  <c r="AR107" i="3"/>
  <c r="AS107" i="3"/>
  <c r="AT107" i="3"/>
  <c r="AU107" i="3"/>
  <c r="AV107" i="3"/>
  <c r="AX107" i="3"/>
  <c r="AY107" i="3"/>
  <c r="AZ107" i="3"/>
  <c r="BA107" i="3"/>
  <c r="BB107" i="3"/>
  <c r="BD107" i="3"/>
  <c r="BE107" i="3"/>
  <c r="BF107" i="3"/>
  <c r="BG107" i="3"/>
  <c r="BH107" i="3"/>
  <c r="BJ107" i="3"/>
  <c r="BK107" i="3"/>
  <c r="BL107" i="3"/>
  <c r="BM107" i="3"/>
  <c r="BN107" i="3"/>
  <c r="BP107" i="3"/>
  <c r="BQ107" i="3"/>
  <c r="BR107" i="3"/>
  <c r="BS107" i="3"/>
  <c r="BT107" i="3"/>
  <c r="BV107" i="3"/>
  <c r="BW107" i="3"/>
  <c r="BX107" i="3"/>
  <c r="BY107" i="3"/>
  <c r="BZ107" i="3"/>
  <c r="CB107" i="3"/>
  <c r="CC107" i="3"/>
  <c r="CD107" i="3"/>
  <c r="CE107" i="3"/>
  <c r="CF107" i="3"/>
  <c r="CH107" i="3"/>
  <c r="CI107" i="3"/>
  <c r="CJ107" i="3"/>
  <c r="CK107" i="3"/>
  <c r="CL107" i="3"/>
  <c r="CN107" i="3"/>
  <c r="CO107" i="3"/>
  <c r="CP107" i="3"/>
  <c r="CQ107" i="3"/>
  <c r="CR107" i="3"/>
  <c r="CT107" i="3"/>
  <c r="CU107" i="3"/>
  <c r="CV107" i="3"/>
  <c r="CW107" i="3"/>
  <c r="CX107" i="3"/>
  <c r="CZ107" i="3"/>
  <c r="DA107" i="3"/>
  <c r="DB107" i="3"/>
  <c r="DC107" i="3"/>
  <c r="DD107" i="3"/>
  <c r="DF107" i="3"/>
  <c r="DG107" i="3"/>
  <c r="DH107" i="3"/>
  <c r="DI107" i="3"/>
  <c r="DJ107" i="3"/>
  <c r="DL107" i="3"/>
  <c r="DM107" i="3"/>
  <c r="DN107" i="3"/>
  <c r="DO107" i="3"/>
  <c r="DP107" i="3"/>
  <c r="DR107" i="3"/>
  <c r="DS107" i="3"/>
  <c r="DT107" i="3"/>
  <c r="DU107" i="3"/>
  <c r="DV107" i="3"/>
  <c r="DX107" i="3"/>
  <c r="DY107" i="3"/>
  <c r="DZ107" i="3"/>
  <c r="EA107" i="3"/>
  <c r="EB107" i="3"/>
  <c r="ED107" i="3"/>
  <c r="EE107" i="3"/>
  <c r="EF107" i="3"/>
  <c r="EG107" i="3"/>
  <c r="EH107" i="3"/>
  <c r="EJ107" i="3"/>
  <c r="EK107" i="3"/>
  <c r="EL107" i="3"/>
  <c r="EM107" i="3"/>
  <c r="EN107" i="3"/>
  <c r="EP107" i="3"/>
  <c r="EQ107" i="3"/>
  <c r="ER107" i="3"/>
  <c r="ES107" i="3"/>
  <c r="ET107" i="3"/>
  <c r="EV107" i="3"/>
  <c r="EW107" i="3"/>
  <c r="EX107" i="3"/>
  <c r="EY107" i="3"/>
  <c r="EZ107" i="3"/>
  <c r="FB107" i="3"/>
  <c r="FC107" i="3"/>
  <c r="FD107" i="3"/>
  <c r="FE107" i="3"/>
  <c r="FF107" i="3"/>
  <c r="FH107" i="3"/>
  <c r="FI107" i="3"/>
  <c r="FJ107" i="3"/>
  <c r="FK107" i="3"/>
  <c r="FL107" i="3"/>
  <c r="FN107" i="3"/>
  <c r="FO107" i="3"/>
  <c r="FP107" i="3"/>
  <c r="FQ107" i="3"/>
  <c r="FR107" i="3"/>
  <c r="FT107" i="3"/>
  <c r="FU107" i="3"/>
  <c r="FV107" i="3"/>
  <c r="FW107" i="3"/>
  <c r="FX107" i="3"/>
  <c r="FZ107" i="3"/>
  <c r="GA107" i="3"/>
  <c r="GB107" i="3"/>
  <c r="GC107" i="3"/>
  <c r="GD107" i="3"/>
  <c r="GF107" i="3"/>
  <c r="GG107" i="3"/>
  <c r="GH107" i="3"/>
  <c r="GI107" i="3"/>
  <c r="GJ107" i="3"/>
  <c r="GL107" i="3"/>
  <c r="GM107" i="3"/>
  <c r="GN107" i="3"/>
  <c r="A108" i="3"/>
  <c r="B108" i="3"/>
  <c r="C108" i="3"/>
  <c r="D108" i="3"/>
  <c r="E108" i="3"/>
  <c r="F108" i="3"/>
  <c r="H108" i="3"/>
  <c r="I108" i="3"/>
  <c r="J108" i="3"/>
  <c r="K108" i="3"/>
  <c r="L108" i="3"/>
  <c r="N108" i="3"/>
  <c r="O108" i="3"/>
  <c r="P108" i="3"/>
  <c r="Q108" i="3"/>
  <c r="R108" i="3"/>
  <c r="T108" i="3"/>
  <c r="U108" i="3"/>
  <c r="V108" i="3"/>
  <c r="W108" i="3"/>
  <c r="X108" i="3"/>
  <c r="Z108" i="3"/>
  <c r="AA108" i="3"/>
  <c r="AB108" i="3"/>
  <c r="AC108" i="3"/>
  <c r="AD108" i="3"/>
  <c r="AF108" i="3"/>
  <c r="AG108" i="3"/>
  <c r="AH108" i="3"/>
  <c r="AI108" i="3"/>
  <c r="AJ108" i="3"/>
  <c r="AL108" i="3"/>
  <c r="AM108" i="3"/>
  <c r="AN108" i="3"/>
  <c r="AO108" i="3"/>
  <c r="AP108" i="3"/>
  <c r="AR108" i="3"/>
  <c r="AS108" i="3"/>
  <c r="AT108" i="3"/>
  <c r="AU108" i="3"/>
  <c r="AV108" i="3"/>
  <c r="AX108" i="3"/>
  <c r="AY108" i="3"/>
  <c r="AZ108" i="3"/>
  <c r="BA108" i="3"/>
  <c r="BB108" i="3"/>
  <c r="BD108" i="3"/>
  <c r="BE108" i="3"/>
  <c r="BF108" i="3"/>
  <c r="BG108" i="3"/>
  <c r="BH108" i="3"/>
  <c r="BJ108" i="3"/>
  <c r="BK108" i="3"/>
  <c r="BL108" i="3"/>
  <c r="BM108" i="3"/>
  <c r="BN108" i="3"/>
  <c r="BP108" i="3"/>
  <c r="BQ108" i="3"/>
  <c r="BR108" i="3"/>
  <c r="BS108" i="3"/>
  <c r="BT108" i="3"/>
  <c r="BV108" i="3"/>
  <c r="BW108" i="3"/>
  <c r="BX108" i="3"/>
  <c r="BY108" i="3"/>
  <c r="BZ108" i="3"/>
  <c r="CB108" i="3"/>
  <c r="CC108" i="3"/>
  <c r="CD108" i="3"/>
  <c r="CE108" i="3"/>
  <c r="CF108" i="3"/>
  <c r="CH108" i="3"/>
  <c r="CI108" i="3"/>
  <c r="CJ108" i="3"/>
  <c r="CK108" i="3"/>
  <c r="CL108" i="3"/>
  <c r="CN108" i="3"/>
  <c r="CO108" i="3"/>
  <c r="CP108" i="3"/>
  <c r="CQ108" i="3"/>
  <c r="CR108" i="3"/>
  <c r="CT108" i="3"/>
  <c r="CU108" i="3"/>
  <c r="CV108" i="3"/>
  <c r="CW108" i="3"/>
  <c r="CX108" i="3"/>
  <c r="CZ108" i="3"/>
  <c r="DA108" i="3"/>
  <c r="DB108" i="3"/>
  <c r="DC108" i="3"/>
  <c r="DD108" i="3"/>
  <c r="DF108" i="3"/>
  <c r="DG108" i="3"/>
  <c r="DH108" i="3"/>
  <c r="DI108" i="3"/>
  <c r="DJ108" i="3"/>
  <c r="DL108" i="3"/>
  <c r="DM108" i="3"/>
  <c r="DN108" i="3"/>
  <c r="DO108" i="3"/>
  <c r="DP108" i="3"/>
  <c r="DR108" i="3"/>
  <c r="DS108" i="3"/>
  <c r="DT108" i="3"/>
  <c r="DU108" i="3"/>
  <c r="DV108" i="3"/>
  <c r="DX108" i="3"/>
  <c r="DY108" i="3"/>
  <c r="DZ108" i="3"/>
  <c r="EA108" i="3"/>
  <c r="EB108" i="3"/>
  <c r="ED108" i="3"/>
  <c r="EE108" i="3"/>
  <c r="EF108" i="3"/>
  <c r="EG108" i="3"/>
  <c r="EH108" i="3"/>
  <c r="EJ108" i="3"/>
  <c r="EK108" i="3"/>
  <c r="EL108" i="3"/>
  <c r="EM108" i="3"/>
  <c r="EN108" i="3"/>
  <c r="EP108" i="3"/>
  <c r="EQ108" i="3"/>
  <c r="ER108" i="3"/>
  <c r="ES108" i="3"/>
  <c r="ET108" i="3"/>
  <c r="EV108" i="3"/>
  <c r="EW108" i="3"/>
  <c r="EX108" i="3"/>
  <c r="EY108" i="3"/>
  <c r="EZ108" i="3"/>
  <c r="FB108" i="3"/>
  <c r="FC108" i="3"/>
  <c r="FD108" i="3"/>
  <c r="FE108" i="3"/>
  <c r="FF108" i="3"/>
  <c r="FH108" i="3"/>
  <c r="FI108" i="3"/>
  <c r="FJ108" i="3"/>
  <c r="FK108" i="3"/>
  <c r="FL108" i="3"/>
  <c r="FN108" i="3"/>
  <c r="FO108" i="3"/>
  <c r="FP108" i="3"/>
  <c r="FQ108" i="3"/>
  <c r="FR108" i="3"/>
  <c r="FT108" i="3"/>
  <c r="FU108" i="3"/>
  <c r="FV108" i="3"/>
  <c r="FW108" i="3"/>
  <c r="FX108" i="3"/>
  <c r="FZ108" i="3"/>
  <c r="GA108" i="3"/>
  <c r="GB108" i="3"/>
  <c r="GC108" i="3"/>
  <c r="GD108" i="3"/>
  <c r="GF108" i="3"/>
  <c r="GG108" i="3"/>
  <c r="GH108" i="3"/>
  <c r="GI108" i="3"/>
  <c r="GJ108" i="3"/>
  <c r="GL108" i="3"/>
  <c r="GM108" i="3"/>
  <c r="GN108" i="3"/>
  <c r="A109" i="3"/>
  <c r="B109" i="3"/>
  <c r="C109" i="3"/>
  <c r="D109" i="3"/>
  <c r="E109" i="3"/>
  <c r="F109" i="3"/>
  <c r="H109" i="3"/>
  <c r="I109" i="3"/>
  <c r="J109" i="3"/>
  <c r="K109" i="3"/>
  <c r="L109" i="3"/>
  <c r="N109" i="3"/>
  <c r="O109" i="3"/>
  <c r="P109" i="3"/>
  <c r="Q109" i="3"/>
  <c r="R109" i="3"/>
  <c r="T109" i="3"/>
  <c r="U109" i="3"/>
  <c r="V109" i="3"/>
  <c r="W109" i="3"/>
  <c r="X109" i="3"/>
  <c r="Z109" i="3"/>
  <c r="AA109" i="3"/>
  <c r="AB109" i="3"/>
  <c r="AC109" i="3"/>
  <c r="AD109" i="3"/>
  <c r="AF109" i="3"/>
  <c r="AG109" i="3"/>
  <c r="AH109" i="3"/>
  <c r="AI109" i="3"/>
  <c r="AJ109" i="3"/>
  <c r="AL109" i="3"/>
  <c r="AM109" i="3"/>
  <c r="AN109" i="3"/>
  <c r="AO109" i="3"/>
  <c r="AP109" i="3"/>
  <c r="AR109" i="3"/>
  <c r="AS109" i="3"/>
  <c r="AT109" i="3"/>
  <c r="AU109" i="3"/>
  <c r="AW109" i="3" s="1"/>
  <c r="AV109" i="3"/>
  <c r="AX109" i="3"/>
  <c r="AY109" i="3"/>
  <c r="AZ109" i="3"/>
  <c r="BA109" i="3"/>
  <c r="BB109" i="3"/>
  <c r="BD109" i="3"/>
  <c r="BE109" i="3"/>
  <c r="BF109" i="3"/>
  <c r="BG109" i="3"/>
  <c r="BH109" i="3"/>
  <c r="BJ109" i="3"/>
  <c r="BK109" i="3"/>
  <c r="BL109" i="3"/>
  <c r="BM109" i="3"/>
  <c r="BN109" i="3"/>
  <c r="BP109" i="3"/>
  <c r="BQ109" i="3"/>
  <c r="BR109" i="3"/>
  <c r="BS109" i="3"/>
  <c r="BT109" i="3"/>
  <c r="BV109" i="3"/>
  <c r="BW109" i="3"/>
  <c r="BX109" i="3"/>
  <c r="BY109" i="3"/>
  <c r="BZ109" i="3"/>
  <c r="CB109" i="3"/>
  <c r="CC109" i="3"/>
  <c r="CD109" i="3"/>
  <c r="CE109" i="3"/>
  <c r="CF109" i="3"/>
  <c r="CH109" i="3"/>
  <c r="CI109" i="3"/>
  <c r="CJ109" i="3"/>
  <c r="CK109" i="3"/>
  <c r="CL109" i="3"/>
  <c r="CN109" i="3"/>
  <c r="CO109" i="3"/>
  <c r="CP109" i="3"/>
  <c r="CQ109" i="3"/>
  <c r="CR109" i="3"/>
  <c r="CT109" i="3"/>
  <c r="CU109" i="3"/>
  <c r="CV109" i="3"/>
  <c r="CW109" i="3"/>
  <c r="CX109" i="3"/>
  <c r="CZ109" i="3"/>
  <c r="DA109" i="3"/>
  <c r="DB109" i="3"/>
  <c r="DC109" i="3"/>
  <c r="DD109" i="3"/>
  <c r="DF109" i="3"/>
  <c r="DG109" i="3"/>
  <c r="DH109" i="3"/>
  <c r="DI109" i="3"/>
  <c r="DJ109" i="3"/>
  <c r="DL109" i="3"/>
  <c r="DM109" i="3"/>
  <c r="DN109" i="3"/>
  <c r="DO109" i="3"/>
  <c r="DP109" i="3"/>
  <c r="DR109" i="3"/>
  <c r="DS109" i="3"/>
  <c r="DT109" i="3"/>
  <c r="DU109" i="3"/>
  <c r="DV109" i="3"/>
  <c r="DX109" i="3"/>
  <c r="DY109" i="3"/>
  <c r="DZ109" i="3"/>
  <c r="EA109" i="3"/>
  <c r="EB109" i="3"/>
  <c r="ED109" i="3"/>
  <c r="EE109" i="3"/>
  <c r="EF109" i="3"/>
  <c r="EG109" i="3"/>
  <c r="EH109" i="3"/>
  <c r="EJ109" i="3"/>
  <c r="EK109" i="3"/>
  <c r="EL109" i="3"/>
  <c r="EM109" i="3"/>
  <c r="EN109" i="3"/>
  <c r="EP109" i="3"/>
  <c r="EQ109" i="3"/>
  <c r="ER109" i="3"/>
  <c r="ES109" i="3"/>
  <c r="ET109" i="3"/>
  <c r="EV109" i="3"/>
  <c r="EW109" i="3"/>
  <c r="EX109" i="3"/>
  <c r="EY109" i="3"/>
  <c r="EZ109" i="3"/>
  <c r="FB109" i="3"/>
  <c r="FC109" i="3"/>
  <c r="FD109" i="3"/>
  <c r="FE109" i="3"/>
  <c r="FF109" i="3"/>
  <c r="FH109" i="3"/>
  <c r="FI109" i="3"/>
  <c r="FJ109" i="3"/>
  <c r="FK109" i="3"/>
  <c r="FL109" i="3"/>
  <c r="FN109" i="3"/>
  <c r="FO109" i="3"/>
  <c r="FP109" i="3"/>
  <c r="FQ109" i="3"/>
  <c r="FR109" i="3"/>
  <c r="FT109" i="3"/>
  <c r="FU109" i="3"/>
  <c r="FV109" i="3"/>
  <c r="FW109" i="3"/>
  <c r="FX109" i="3"/>
  <c r="FZ109" i="3"/>
  <c r="GA109" i="3"/>
  <c r="GB109" i="3"/>
  <c r="GC109" i="3"/>
  <c r="GD109" i="3"/>
  <c r="GF109" i="3"/>
  <c r="GG109" i="3"/>
  <c r="GH109" i="3"/>
  <c r="GI109" i="3"/>
  <c r="GJ109" i="3"/>
  <c r="GL109" i="3"/>
  <c r="GM109" i="3"/>
  <c r="GN109" i="3"/>
  <c r="A110" i="3"/>
  <c r="B110" i="3"/>
  <c r="C110" i="3"/>
  <c r="D110" i="3"/>
  <c r="E110" i="3"/>
  <c r="F110" i="3"/>
  <c r="H110" i="3"/>
  <c r="I110" i="3"/>
  <c r="J110" i="3"/>
  <c r="K110" i="3"/>
  <c r="L110" i="3"/>
  <c r="N110" i="3"/>
  <c r="O110" i="3"/>
  <c r="P110" i="3"/>
  <c r="Q110" i="3"/>
  <c r="R110" i="3"/>
  <c r="T110" i="3"/>
  <c r="U110" i="3"/>
  <c r="V110" i="3"/>
  <c r="W110" i="3"/>
  <c r="X110" i="3"/>
  <c r="Z110" i="3"/>
  <c r="AA110" i="3"/>
  <c r="AB110" i="3"/>
  <c r="AC110" i="3"/>
  <c r="AD110" i="3"/>
  <c r="AF110" i="3"/>
  <c r="AG110" i="3"/>
  <c r="AH110" i="3"/>
  <c r="AI110" i="3"/>
  <c r="AJ110" i="3"/>
  <c r="AL110" i="3"/>
  <c r="AM110" i="3"/>
  <c r="AN110" i="3"/>
  <c r="AO110" i="3"/>
  <c r="AP110" i="3"/>
  <c r="AR110" i="3"/>
  <c r="AS110" i="3"/>
  <c r="AT110" i="3"/>
  <c r="AU110" i="3"/>
  <c r="AV110" i="3"/>
  <c r="AX110" i="3"/>
  <c r="AY110" i="3"/>
  <c r="AZ110" i="3"/>
  <c r="BA110" i="3"/>
  <c r="BB110" i="3"/>
  <c r="BD110" i="3"/>
  <c r="BE110" i="3"/>
  <c r="BF110" i="3"/>
  <c r="BG110" i="3"/>
  <c r="BH110" i="3"/>
  <c r="BI110" i="3" s="1"/>
  <c r="BJ110" i="3"/>
  <c r="BK110" i="3"/>
  <c r="BL110" i="3"/>
  <c r="BM110" i="3"/>
  <c r="BN110" i="3"/>
  <c r="BP110" i="3"/>
  <c r="BQ110" i="3"/>
  <c r="BR110" i="3"/>
  <c r="BS110" i="3"/>
  <c r="BT110" i="3"/>
  <c r="BV110" i="3"/>
  <c r="BW110" i="3"/>
  <c r="BX110" i="3"/>
  <c r="BY110" i="3"/>
  <c r="BZ110" i="3"/>
  <c r="CB110" i="3"/>
  <c r="CC110" i="3"/>
  <c r="CD110" i="3"/>
  <c r="CE110" i="3"/>
  <c r="CF110" i="3"/>
  <c r="CH110" i="3"/>
  <c r="CI110" i="3"/>
  <c r="CJ110" i="3"/>
  <c r="CK110" i="3"/>
  <c r="CL110" i="3"/>
  <c r="CN110" i="3"/>
  <c r="CO110" i="3"/>
  <c r="CP110" i="3"/>
  <c r="CQ110" i="3"/>
  <c r="CR110" i="3"/>
  <c r="CT110" i="3"/>
  <c r="CU110" i="3"/>
  <c r="CV110" i="3"/>
  <c r="CW110" i="3"/>
  <c r="CX110" i="3"/>
  <c r="CZ110" i="3"/>
  <c r="DA110" i="3"/>
  <c r="DB110" i="3"/>
  <c r="DC110" i="3"/>
  <c r="DD110" i="3"/>
  <c r="DF110" i="3"/>
  <c r="DG110" i="3"/>
  <c r="DH110" i="3"/>
  <c r="DI110" i="3"/>
  <c r="DJ110" i="3"/>
  <c r="DL110" i="3"/>
  <c r="DM110" i="3"/>
  <c r="DN110" i="3"/>
  <c r="DO110" i="3"/>
  <c r="DP110" i="3"/>
  <c r="DR110" i="3"/>
  <c r="DS110" i="3"/>
  <c r="DT110" i="3"/>
  <c r="DU110" i="3"/>
  <c r="DV110" i="3"/>
  <c r="DX110" i="3"/>
  <c r="DY110" i="3"/>
  <c r="DZ110" i="3"/>
  <c r="EA110" i="3"/>
  <c r="EB110" i="3"/>
  <c r="ED110" i="3"/>
  <c r="EE110" i="3"/>
  <c r="EF110" i="3"/>
  <c r="EG110" i="3"/>
  <c r="EH110" i="3"/>
  <c r="EJ110" i="3"/>
  <c r="EK110" i="3"/>
  <c r="EL110" i="3"/>
  <c r="EM110" i="3"/>
  <c r="EN110" i="3"/>
  <c r="EP110" i="3"/>
  <c r="EQ110" i="3"/>
  <c r="ER110" i="3"/>
  <c r="ES110" i="3"/>
  <c r="ET110" i="3"/>
  <c r="EV110" i="3"/>
  <c r="EW110" i="3"/>
  <c r="EX110" i="3"/>
  <c r="EY110" i="3"/>
  <c r="EZ110" i="3"/>
  <c r="FB110" i="3"/>
  <c r="FC110" i="3"/>
  <c r="FD110" i="3"/>
  <c r="FE110" i="3"/>
  <c r="FF110" i="3"/>
  <c r="FH110" i="3"/>
  <c r="FI110" i="3"/>
  <c r="FJ110" i="3"/>
  <c r="FK110" i="3"/>
  <c r="FL110" i="3"/>
  <c r="FN110" i="3"/>
  <c r="FO110" i="3"/>
  <c r="FP110" i="3"/>
  <c r="FQ110" i="3"/>
  <c r="FR110" i="3"/>
  <c r="FT110" i="3"/>
  <c r="FU110" i="3"/>
  <c r="FV110" i="3"/>
  <c r="FW110" i="3"/>
  <c r="FX110" i="3"/>
  <c r="FZ110" i="3"/>
  <c r="GA110" i="3"/>
  <c r="GB110" i="3"/>
  <c r="GC110" i="3"/>
  <c r="GD110" i="3"/>
  <c r="GF110" i="3"/>
  <c r="GG110" i="3"/>
  <c r="GH110" i="3"/>
  <c r="GI110" i="3"/>
  <c r="GJ110" i="3"/>
  <c r="GL110" i="3"/>
  <c r="GM110" i="3"/>
  <c r="GN110" i="3"/>
  <c r="A111" i="3"/>
  <c r="B111" i="3"/>
  <c r="C111" i="3"/>
  <c r="D111" i="3"/>
  <c r="E111" i="3"/>
  <c r="F111" i="3"/>
  <c r="H111" i="3"/>
  <c r="I111" i="3"/>
  <c r="J111" i="3"/>
  <c r="K111" i="3"/>
  <c r="L111" i="3"/>
  <c r="N111" i="3"/>
  <c r="O111" i="3"/>
  <c r="P111" i="3"/>
  <c r="Q111" i="3"/>
  <c r="R111" i="3"/>
  <c r="T111" i="3"/>
  <c r="U111" i="3"/>
  <c r="V111" i="3"/>
  <c r="W111" i="3"/>
  <c r="X111" i="3"/>
  <c r="Z111" i="3"/>
  <c r="AA111" i="3"/>
  <c r="AB111" i="3"/>
  <c r="AC111" i="3"/>
  <c r="AD111" i="3"/>
  <c r="AF111" i="3"/>
  <c r="AG111" i="3"/>
  <c r="AH111" i="3"/>
  <c r="AI111" i="3"/>
  <c r="AJ111" i="3"/>
  <c r="AK111" i="3" s="1"/>
  <c r="AL111" i="3"/>
  <c r="AM111" i="3"/>
  <c r="AN111" i="3"/>
  <c r="AO111" i="3"/>
  <c r="AP111" i="3"/>
  <c r="AR111" i="3"/>
  <c r="AS111" i="3"/>
  <c r="AT111" i="3"/>
  <c r="AU111" i="3"/>
  <c r="AV111" i="3"/>
  <c r="AX111" i="3"/>
  <c r="AY111" i="3"/>
  <c r="AZ111" i="3"/>
  <c r="BA111" i="3"/>
  <c r="BB111" i="3"/>
  <c r="BD111" i="3"/>
  <c r="BE111" i="3"/>
  <c r="BF111" i="3"/>
  <c r="BG111" i="3"/>
  <c r="BH111" i="3"/>
  <c r="BJ111" i="3"/>
  <c r="BK111" i="3"/>
  <c r="BL111" i="3"/>
  <c r="BM111" i="3"/>
  <c r="BN111" i="3"/>
  <c r="BP111" i="3"/>
  <c r="BQ111" i="3"/>
  <c r="BR111" i="3"/>
  <c r="BS111" i="3"/>
  <c r="BT111" i="3"/>
  <c r="BV111" i="3"/>
  <c r="BW111" i="3"/>
  <c r="BX111" i="3"/>
  <c r="BY111" i="3"/>
  <c r="BZ111" i="3"/>
  <c r="CB111" i="3"/>
  <c r="CC111" i="3"/>
  <c r="CD111" i="3"/>
  <c r="CE111" i="3"/>
  <c r="CF111" i="3"/>
  <c r="CH111" i="3"/>
  <c r="CI111" i="3"/>
  <c r="CJ111" i="3"/>
  <c r="CK111" i="3"/>
  <c r="CL111" i="3"/>
  <c r="CN111" i="3"/>
  <c r="CO111" i="3"/>
  <c r="CP111" i="3"/>
  <c r="CQ111" i="3"/>
  <c r="CR111" i="3"/>
  <c r="CT111" i="3"/>
  <c r="CU111" i="3"/>
  <c r="CV111" i="3"/>
  <c r="CW111" i="3"/>
  <c r="CX111" i="3"/>
  <c r="CZ111" i="3"/>
  <c r="DA111" i="3"/>
  <c r="DB111" i="3"/>
  <c r="DC111" i="3"/>
  <c r="DD111" i="3"/>
  <c r="DF111" i="3"/>
  <c r="DG111" i="3"/>
  <c r="DH111" i="3"/>
  <c r="DI111" i="3"/>
  <c r="DJ111" i="3"/>
  <c r="DL111" i="3"/>
  <c r="DM111" i="3"/>
  <c r="DN111" i="3"/>
  <c r="DO111" i="3"/>
  <c r="DP111" i="3"/>
  <c r="DR111" i="3"/>
  <c r="DS111" i="3"/>
  <c r="DT111" i="3"/>
  <c r="DU111" i="3"/>
  <c r="DV111" i="3"/>
  <c r="DX111" i="3"/>
  <c r="DY111" i="3"/>
  <c r="DZ111" i="3"/>
  <c r="EA111" i="3"/>
  <c r="EB111" i="3"/>
  <c r="ED111" i="3"/>
  <c r="EE111" i="3"/>
  <c r="EF111" i="3"/>
  <c r="EG111" i="3"/>
  <c r="EH111" i="3"/>
  <c r="EJ111" i="3"/>
  <c r="EK111" i="3"/>
  <c r="EL111" i="3"/>
  <c r="EM111" i="3"/>
  <c r="EN111" i="3"/>
  <c r="EP111" i="3"/>
  <c r="EQ111" i="3"/>
  <c r="ER111" i="3"/>
  <c r="ES111" i="3"/>
  <c r="ET111" i="3"/>
  <c r="EV111" i="3"/>
  <c r="EW111" i="3"/>
  <c r="EX111" i="3"/>
  <c r="EY111" i="3"/>
  <c r="EZ111" i="3"/>
  <c r="FB111" i="3"/>
  <c r="FC111" i="3"/>
  <c r="FD111" i="3"/>
  <c r="FE111" i="3"/>
  <c r="FF111" i="3"/>
  <c r="FH111" i="3"/>
  <c r="FI111" i="3"/>
  <c r="FJ111" i="3"/>
  <c r="FK111" i="3"/>
  <c r="FL111" i="3"/>
  <c r="FN111" i="3"/>
  <c r="FO111" i="3"/>
  <c r="FP111" i="3"/>
  <c r="FQ111" i="3"/>
  <c r="FR111" i="3"/>
  <c r="FT111" i="3"/>
  <c r="FU111" i="3"/>
  <c r="FV111" i="3"/>
  <c r="FW111" i="3"/>
  <c r="FX111" i="3"/>
  <c r="FZ111" i="3"/>
  <c r="GA111" i="3"/>
  <c r="GB111" i="3"/>
  <c r="GC111" i="3"/>
  <c r="GD111" i="3"/>
  <c r="GF111" i="3"/>
  <c r="GG111" i="3"/>
  <c r="GH111" i="3"/>
  <c r="GI111" i="3"/>
  <c r="GJ111" i="3"/>
  <c r="GL111" i="3"/>
  <c r="GM111" i="3"/>
  <c r="GN111" i="3"/>
  <c r="A112" i="3"/>
  <c r="B112" i="3"/>
  <c r="C112" i="3"/>
  <c r="D112" i="3"/>
  <c r="E112" i="3"/>
  <c r="F112" i="3"/>
  <c r="H112" i="3"/>
  <c r="I112" i="3"/>
  <c r="J112" i="3"/>
  <c r="K112" i="3"/>
  <c r="L112" i="3"/>
  <c r="M112" i="3" s="1"/>
  <c r="N112" i="3"/>
  <c r="O112" i="3"/>
  <c r="P112" i="3"/>
  <c r="Q112" i="3"/>
  <c r="R112" i="3"/>
  <c r="T112" i="3"/>
  <c r="U112" i="3"/>
  <c r="V112" i="3"/>
  <c r="W112" i="3"/>
  <c r="X112" i="3"/>
  <c r="Z112" i="3"/>
  <c r="AA112" i="3"/>
  <c r="AB112" i="3"/>
  <c r="AC112" i="3"/>
  <c r="AD112" i="3"/>
  <c r="AF112" i="3"/>
  <c r="AG112" i="3"/>
  <c r="AH112" i="3"/>
  <c r="AI112" i="3"/>
  <c r="AJ112" i="3"/>
  <c r="AL112" i="3"/>
  <c r="AM112" i="3"/>
  <c r="AN112" i="3"/>
  <c r="AO112" i="3"/>
  <c r="AP112" i="3"/>
  <c r="AR112" i="3"/>
  <c r="AS112" i="3"/>
  <c r="AT112" i="3"/>
  <c r="AU112" i="3"/>
  <c r="AV112" i="3"/>
  <c r="AX112" i="3"/>
  <c r="AY112" i="3"/>
  <c r="AZ112" i="3"/>
  <c r="BA112" i="3"/>
  <c r="BB112" i="3"/>
  <c r="BD112" i="3"/>
  <c r="BE112" i="3"/>
  <c r="BF112" i="3"/>
  <c r="BG112" i="3"/>
  <c r="BH112" i="3"/>
  <c r="BJ112" i="3"/>
  <c r="BK112" i="3"/>
  <c r="BL112" i="3"/>
  <c r="BM112" i="3"/>
  <c r="BN112" i="3"/>
  <c r="BP112" i="3"/>
  <c r="BQ112" i="3"/>
  <c r="BR112" i="3"/>
  <c r="BS112" i="3"/>
  <c r="BU112" i="3" s="1"/>
  <c r="BT112" i="3"/>
  <c r="BV112" i="3"/>
  <c r="BW112" i="3"/>
  <c r="BX112" i="3"/>
  <c r="BY112" i="3"/>
  <c r="BZ112" i="3"/>
  <c r="CB112" i="3"/>
  <c r="CC112" i="3"/>
  <c r="CD112" i="3"/>
  <c r="CE112" i="3"/>
  <c r="CF112" i="3"/>
  <c r="CH112" i="3"/>
  <c r="CI112" i="3"/>
  <c r="CJ112" i="3"/>
  <c r="CK112" i="3"/>
  <c r="CL112" i="3"/>
  <c r="CN112" i="3"/>
  <c r="CO112" i="3"/>
  <c r="CP112" i="3"/>
  <c r="CQ112" i="3"/>
  <c r="CR112" i="3"/>
  <c r="CT112" i="3"/>
  <c r="CU112" i="3"/>
  <c r="CV112" i="3"/>
  <c r="CW112" i="3"/>
  <c r="CX112" i="3"/>
  <c r="CZ112" i="3"/>
  <c r="DA112" i="3"/>
  <c r="DB112" i="3"/>
  <c r="DC112" i="3"/>
  <c r="DD112" i="3"/>
  <c r="DE112" i="3" s="1"/>
  <c r="DF112" i="3"/>
  <c r="DG112" i="3"/>
  <c r="DH112" i="3"/>
  <c r="DI112" i="3"/>
  <c r="DJ112" i="3"/>
  <c r="DL112" i="3"/>
  <c r="DM112" i="3"/>
  <c r="DN112" i="3"/>
  <c r="DO112" i="3"/>
  <c r="DP112" i="3"/>
  <c r="DR112" i="3"/>
  <c r="DS112" i="3"/>
  <c r="DT112" i="3"/>
  <c r="DU112" i="3"/>
  <c r="DV112" i="3"/>
  <c r="DX112" i="3"/>
  <c r="DY112" i="3"/>
  <c r="DZ112" i="3"/>
  <c r="EA112" i="3"/>
  <c r="EB112" i="3"/>
  <c r="ED112" i="3"/>
  <c r="EE112" i="3"/>
  <c r="EF112" i="3"/>
  <c r="EG112" i="3"/>
  <c r="EH112" i="3"/>
  <c r="EJ112" i="3"/>
  <c r="EK112" i="3"/>
  <c r="EL112" i="3"/>
  <c r="EM112" i="3"/>
  <c r="EN112" i="3"/>
  <c r="EP112" i="3"/>
  <c r="EQ112" i="3"/>
  <c r="ER112" i="3"/>
  <c r="ES112" i="3"/>
  <c r="ET112" i="3"/>
  <c r="EV112" i="3"/>
  <c r="EW112" i="3"/>
  <c r="EX112" i="3"/>
  <c r="EY112" i="3"/>
  <c r="EZ112" i="3"/>
  <c r="FB112" i="3"/>
  <c r="FC112" i="3"/>
  <c r="FD112" i="3"/>
  <c r="FE112" i="3"/>
  <c r="FF112" i="3"/>
  <c r="FH112" i="3"/>
  <c r="FI112" i="3"/>
  <c r="FJ112" i="3"/>
  <c r="FK112" i="3"/>
  <c r="FM112" i="3" s="1"/>
  <c r="FL112" i="3"/>
  <c r="FN112" i="3"/>
  <c r="FO112" i="3"/>
  <c r="FP112" i="3"/>
  <c r="FQ112" i="3"/>
  <c r="FR112" i="3"/>
  <c r="FT112" i="3"/>
  <c r="FU112" i="3"/>
  <c r="FV112" i="3"/>
  <c r="FW112" i="3"/>
  <c r="FX112" i="3"/>
  <c r="FZ112" i="3"/>
  <c r="GA112" i="3"/>
  <c r="GB112" i="3"/>
  <c r="GC112" i="3"/>
  <c r="GD112" i="3"/>
  <c r="GF112" i="3"/>
  <c r="GG112" i="3"/>
  <c r="GH112" i="3"/>
  <c r="GI112" i="3"/>
  <c r="GJ112" i="3"/>
  <c r="GL112" i="3"/>
  <c r="GM112" i="3"/>
  <c r="GN112" i="3"/>
  <c r="A113" i="3"/>
  <c r="B113" i="3"/>
  <c r="C113" i="3"/>
  <c r="D113" i="3"/>
  <c r="E113" i="3"/>
  <c r="F113" i="3"/>
  <c r="H113" i="3"/>
  <c r="I113" i="3"/>
  <c r="J113" i="3"/>
  <c r="K113" i="3"/>
  <c r="L113" i="3"/>
  <c r="N113" i="3"/>
  <c r="O113" i="3"/>
  <c r="P113" i="3"/>
  <c r="Q113" i="3"/>
  <c r="R113" i="3"/>
  <c r="T113" i="3"/>
  <c r="U113" i="3"/>
  <c r="V113" i="3"/>
  <c r="W113" i="3"/>
  <c r="X113" i="3"/>
  <c r="Z113" i="3"/>
  <c r="AA113" i="3"/>
  <c r="AB113" i="3"/>
  <c r="AC113" i="3"/>
  <c r="AD113" i="3"/>
  <c r="AF113" i="3"/>
  <c r="AG113" i="3"/>
  <c r="AH113" i="3"/>
  <c r="AI113" i="3"/>
  <c r="AJ113" i="3"/>
  <c r="AL113" i="3"/>
  <c r="AM113" i="3"/>
  <c r="AN113" i="3"/>
  <c r="AO113" i="3"/>
  <c r="AP113" i="3"/>
  <c r="AR113" i="3"/>
  <c r="AS113" i="3"/>
  <c r="AT113" i="3"/>
  <c r="AU113" i="3"/>
  <c r="AV113" i="3"/>
  <c r="AX113" i="3"/>
  <c r="AY113" i="3"/>
  <c r="AZ113" i="3"/>
  <c r="BA113" i="3"/>
  <c r="BB113" i="3"/>
  <c r="BD113" i="3"/>
  <c r="BE113" i="3"/>
  <c r="BF113" i="3"/>
  <c r="BG113" i="3"/>
  <c r="BH113" i="3"/>
  <c r="BJ113" i="3"/>
  <c r="BK113" i="3"/>
  <c r="BL113" i="3"/>
  <c r="BM113" i="3"/>
  <c r="BN113" i="3"/>
  <c r="BP113" i="3"/>
  <c r="BQ113" i="3"/>
  <c r="BR113" i="3"/>
  <c r="BS113" i="3"/>
  <c r="BT113" i="3"/>
  <c r="BV113" i="3"/>
  <c r="BW113" i="3"/>
  <c r="BX113" i="3"/>
  <c r="BY113" i="3"/>
  <c r="BZ113" i="3"/>
  <c r="CB113" i="3"/>
  <c r="CC113" i="3"/>
  <c r="CD113" i="3"/>
  <c r="CE113" i="3"/>
  <c r="CF113" i="3"/>
  <c r="CH113" i="3"/>
  <c r="CI113" i="3"/>
  <c r="CJ113" i="3"/>
  <c r="CK113" i="3"/>
  <c r="CL113" i="3"/>
  <c r="CN113" i="3"/>
  <c r="CO113" i="3"/>
  <c r="CP113" i="3"/>
  <c r="CQ113" i="3"/>
  <c r="CR113" i="3"/>
  <c r="CT113" i="3"/>
  <c r="CU113" i="3"/>
  <c r="CV113" i="3"/>
  <c r="CW113" i="3"/>
  <c r="CX113" i="3"/>
  <c r="CZ113" i="3"/>
  <c r="DA113" i="3"/>
  <c r="DB113" i="3"/>
  <c r="DC113" i="3"/>
  <c r="DD113" i="3"/>
  <c r="DF113" i="3"/>
  <c r="DG113" i="3"/>
  <c r="DH113" i="3"/>
  <c r="DI113" i="3"/>
  <c r="DJ113" i="3"/>
  <c r="DL113" i="3"/>
  <c r="DM113" i="3"/>
  <c r="DN113" i="3"/>
  <c r="DO113" i="3"/>
  <c r="DP113" i="3"/>
  <c r="DR113" i="3"/>
  <c r="DS113" i="3"/>
  <c r="DT113" i="3"/>
  <c r="DU113" i="3"/>
  <c r="DV113" i="3"/>
  <c r="DX113" i="3"/>
  <c r="DY113" i="3"/>
  <c r="DZ113" i="3"/>
  <c r="EA113" i="3"/>
  <c r="EB113" i="3"/>
  <c r="ED113" i="3"/>
  <c r="EE113" i="3"/>
  <c r="EF113" i="3"/>
  <c r="EG113" i="3"/>
  <c r="EH113" i="3"/>
  <c r="EJ113" i="3"/>
  <c r="EK113" i="3"/>
  <c r="EL113" i="3"/>
  <c r="EM113" i="3"/>
  <c r="EN113" i="3"/>
  <c r="EP113" i="3"/>
  <c r="EQ113" i="3"/>
  <c r="ER113" i="3"/>
  <c r="ES113" i="3"/>
  <c r="ET113" i="3"/>
  <c r="EV113" i="3"/>
  <c r="EW113" i="3"/>
  <c r="EX113" i="3"/>
  <c r="EY113" i="3"/>
  <c r="EZ113" i="3"/>
  <c r="FB113" i="3"/>
  <c r="FC113" i="3"/>
  <c r="FD113" i="3"/>
  <c r="FE113" i="3"/>
  <c r="FF113" i="3"/>
  <c r="FH113" i="3"/>
  <c r="FI113" i="3"/>
  <c r="FJ113" i="3"/>
  <c r="FK113" i="3"/>
  <c r="FL113" i="3"/>
  <c r="FN113" i="3"/>
  <c r="FO113" i="3"/>
  <c r="FP113" i="3"/>
  <c r="FQ113" i="3"/>
  <c r="FR113" i="3"/>
  <c r="FT113" i="3"/>
  <c r="FU113" i="3"/>
  <c r="FV113" i="3"/>
  <c r="FW113" i="3"/>
  <c r="FX113" i="3"/>
  <c r="FZ113" i="3"/>
  <c r="GA113" i="3"/>
  <c r="GB113" i="3"/>
  <c r="GC113" i="3"/>
  <c r="GD113" i="3"/>
  <c r="GF113" i="3"/>
  <c r="GG113" i="3"/>
  <c r="GH113" i="3"/>
  <c r="GI113" i="3"/>
  <c r="GJ113" i="3"/>
  <c r="GL113" i="3"/>
  <c r="GM113" i="3"/>
  <c r="GN113" i="3"/>
  <c r="A114" i="3"/>
  <c r="B114" i="3"/>
  <c r="C114" i="3"/>
  <c r="D114" i="3"/>
  <c r="E114" i="3"/>
  <c r="F114" i="3"/>
  <c r="H114" i="3"/>
  <c r="I114" i="3"/>
  <c r="J114" i="3"/>
  <c r="K114" i="3"/>
  <c r="L114" i="3"/>
  <c r="N114" i="3"/>
  <c r="O114" i="3"/>
  <c r="P114" i="3"/>
  <c r="Q114" i="3"/>
  <c r="R114" i="3"/>
  <c r="T114" i="3"/>
  <c r="U114" i="3"/>
  <c r="V114" i="3"/>
  <c r="W114" i="3"/>
  <c r="X114" i="3"/>
  <c r="Z114" i="3"/>
  <c r="AA114" i="3"/>
  <c r="AB114" i="3"/>
  <c r="AC114" i="3"/>
  <c r="AD114" i="3"/>
  <c r="AF114" i="3"/>
  <c r="AG114" i="3"/>
  <c r="AH114" i="3"/>
  <c r="AI114" i="3"/>
  <c r="AJ114" i="3"/>
  <c r="AL114" i="3"/>
  <c r="AM114" i="3"/>
  <c r="AN114" i="3"/>
  <c r="AO114" i="3"/>
  <c r="AP114" i="3"/>
  <c r="AR114" i="3"/>
  <c r="AS114" i="3"/>
  <c r="AT114" i="3"/>
  <c r="AU114" i="3"/>
  <c r="AV114" i="3"/>
  <c r="AX114" i="3"/>
  <c r="AY114" i="3"/>
  <c r="AZ114" i="3"/>
  <c r="BA114" i="3"/>
  <c r="BB114" i="3"/>
  <c r="BD114" i="3"/>
  <c r="BE114" i="3"/>
  <c r="BF114" i="3"/>
  <c r="BG114" i="3"/>
  <c r="BH114" i="3"/>
  <c r="BJ114" i="3"/>
  <c r="BK114" i="3"/>
  <c r="BL114" i="3"/>
  <c r="BM114" i="3"/>
  <c r="BN114" i="3"/>
  <c r="BP114" i="3"/>
  <c r="BQ114" i="3"/>
  <c r="BR114" i="3"/>
  <c r="BS114" i="3"/>
  <c r="BT114" i="3"/>
  <c r="BV114" i="3"/>
  <c r="BW114" i="3"/>
  <c r="BX114" i="3"/>
  <c r="BY114" i="3"/>
  <c r="BZ114" i="3"/>
  <c r="CB114" i="3"/>
  <c r="CC114" i="3"/>
  <c r="CD114" i="3"/>
  <c r="CE114" i="3"/>
  <c r="CF114" i="3"/>
  <c r="CH114" i="3"/>
  <c r="CI114" i="3"/>
  <c r="CJ114" i="3"/>
  <c r="CK114" i="3"/>
  <c r="CL114" i="3"/>
  <c r="CN114" i="3"/>
  <c r="CO114" i="3"/>
  <c r="CP114" i="3"/>
  <c r="CQ114" i="3"/>
  <c r="CR114" i="3"/>
  <c r="CT114" i="3"/>
  <c r="CU114" i="3"/>
  <c r="CV114" i="3"/>
  <c r="CW114" i="3"/>
  <c r="CX114" i="3"/>
  <c r="CZ114" i="3"/>
  <c r="DA114" i="3"/>
  <c r="DB114" i="3"/>
  <c r="DC114" i="3"/>
  <c r="DD114" i="3"/>
  <c r="DF114" i="3"/>
  <c r="DG114" i="3"/>
  <c r="DH114" i="3"/>
  <c r="DI114" i="3"/>
  <c r="DJ114" i="3"/>
  <c r="DL114" i="3"/>
  <c r="DM114" i="3"/>
  <c r="DN114" i="3"/>
  <c r="DO114" i="3"/>
  <c r="DP114" i="3"/>
  <c r="DR114" i="3"/>
  <c r="DS114" i="3"/>
  <c r="DT114" i="3"/>
  <c r="DU114" i="3"/>
  <c r="DV114" i="3"/>
  <c r="DX114" i="3"/>
  <c r="DY114" i="3"/>
  <c r="DZ114" i="3"/>
  <c r="EA114" i="3"/>
  <c r="EB114" i="3"/>
  <c r="ED114" i="3"/>
  <c r="EE114" i="3"/>
  <c r="EF114" i="3"/>
  <c r="EG114" i="3"/>
  <c r="EH114" i="3"/>
  <c r="EJ114" i="3"/>
  <c r="EK114" i="3"/>
  <c r="EL114" i="3"/>
  <c r="EM114" i="3"/>
  <c r="EN114" i="3"/>
  <c r="EP114" i="3"/>
  <c r="EQ114" i="3"/>
  <c r="ER114" i="3"/>
  <c r="ES114" i="3"/>
  <c r="ET114" i="3"/>
  <c r="EV114" i="3"/>
  <c r="EW114" i="3"/>
  <c r="EX114" i="3"/>
  <c r="EY114" i="3"/>
  <c r="EZ114" i="3"/>
  <c r="FB114" i="3"/>
  <c r="FC114" i="3"/>
  <c r="FD114" i="3"/>
  <c r="FE114" i="3"/>
  <c r="FF114" i="3"/>
  <c r="FH114" i="3"/>
  <c r="FI114" i="3"/>
  <c r="FJ114" i="3"/>
  <c r="FK114" i="3"/>
  <c r="FL114" i="3"/>
  <c r="FN114" i="3"/>
  <c r="FO114" i="3"/>
  <c r="FP114" i="3"/>
  <c r="FQ114" i="3"/>
  <c r="FR114" i="3"/>
  <c r="FT114" i="3"/>
  <c r="FU114" i="3"/>
  <c r="FV114" i="3"/>
  <c r="FW114" i="3"/>
  <c r="FX114" i="3"/>
  <c r="FZ114" i="3"/>
  <c r="GA114" i="3"/>
  <c r="GB114" i="3"/>
  <c r="GC114" i="3"/>
  <c r="GD114" i="3"/>
  <c r="GF114" i="3"/>
  <c r="GG114" i="3"/>
  <c r="GH114" i="3"/>
  <c r="GI114" i="3"/>
  <c r="GJ114" i="3"/>
  <c r="GL114" i="3"/>
  <c r="GM114" i="3"/>
  <c r="GN114" i="3"/>
  <c r="A115" i="3"/>
  <c r="B115" i="3"/>
  <c r="C115" i="3"/>
  <c r="D115" i="3"/>
  <c r="E115" i="3"/>
  <c r="F115" i="3"/>
  <c r="H115" i="3"/>
  <c r="I115" i="3"/>
  <c r="J115" i="3"/>
  <c r="K115" i="3"/>
  <c r="L115" i="3"/>
  <c r="N115" i="3"/>
  <c r="O115" i="3"/>
  <c r="P115" i="3"/>
  <c r="Q115" i="3"/>
  <c r="R115" i="3"/>
  <c r="T115" i="3"/>
  <c r="U115" i="3"/>
  <c r="V115" i="3"/>
  <c r="W115" i="3"/>
  <c r="X115" i="3"/>
  <c r="Z115" i="3"/>
  <c r="AA115" i="3"/>
  <c r="AB115" i="3"/>
  <c r="AC115" i="3"/>
  <c r="AD115" i="3"/>
  <c r="AF115" i="3"/>
  <c r="AG115" i="3"/>
  <c r="AH115" i="3"/>
  <c r="AI115" i="3"/>
  <c r="AJ115" i="3"/>
  <c r="AL115" i="3"/>
  <c r="AM115" i="3"/>
  <c r="AN115" i="3"/>
  <c r="AO115" i="3"/>
  <c r="AP115" i="3"/>
  <c r="AR115" i="3"/>
  <c r="AS115" i="3"/>
  <c r="AT115" i="3"/>
  <c r="AU115" i="3"/>
  <c r="AV115" i="3"/>
  <c r="AX115" i="3"/>
  <c r="AY115" i="3"/>
  <c r="AZ115" i="3"/>
  <c r="BA115" i="3"/>
  <c r="BB115" i="3"/>
  <c r="BD115" i="3"/>
  <c r="BE115" i="3"/>
  <c r="BF115" i="3"/>
  <c r="BG115" i="3"/>
  <c r="BH115" i="3"/>
  <c r="BJ115" i="3"/>
  <c r="BK115" i="3"/>
  <c r="BL115" i="3"/>
  <c r="BM115" i="3"/>
  <c r="BN115" i="3"/>
  <c r="BP115" i="3"/>
  <c r="BQ115" i="3"/>
  <c r="BR115" i="3"/>
  <c r="BS115" i="3"/>
  <c r="BT115" i="3"/>
  <c r="BV115" i="3"/>
  <c r="BW115" i="3"/>
  <c r="BX115" i="3"/>
  <c r="BY115" i="3"/>
  <c r="BZ115" i="3"/>
  <c r="CB115" i="3"/>
  <c r="CC115" i="3"/>
  <c r="CD115" i="3"/>
  <c r="CE115" i="3"/>
  <c r="CF115" i="3"/>
  <c r="CH115" i="3"/>
  <c r="CI115" i="3"/>
  <c r="CJ115" i="3"/>
  <c r="CK115" i="3"/>
  <c r="CL115" i="3"/>
  <c r="CN115" i="3"/>
  <c r="CO115" i="3"/>
  <c r="CP115" i="3"/>
  <c r="CQ115" i="3"/>
  <c r="CR115" i="3"/>
  <c r="CT115" i="3"/>
  <c r="CU115" i="3"/>
  <c r="CV115" i="3"/>
  <c r="CW115" i="3"/>
  <c r="CX115" i="3"/>
  <c r="CZ115" i="3"/>
  <c r="DA115" i="3"/>
  <c r="DB115" i="3"/>
  <c r="DC115" i="3"/>
  <c r="DD115" i="3"/>
  <c r="DF115" i="3"/>
  <c r="DG115" i="3"/>
  <c r="DH115" i="3"/>
  <c r="DI115" i="3"/>
  <c r="DJ115" i="3"/>
  <c r="DL115" i="3"/>
  <c r="DM115" i="3"/>
  <c r="DN115" i="3"/>
  <c r="DO115" i="3"/>
  <c r="DP115" i="3"/>
  <c r="DR115" i="3"/>
  <c r="DS115" i="3"/>
  <c r="DT115" i="3"/>
  <c r="DU115" i="3"/>
  <c r="DV115" i="3"/>
  <c r="DX115" i="3"/>
  <c r="DY115" i="3"/>
  <c r="DZ115" i="3"/>
  <c r="EA115" i="3"/>
  <c r="EB115" i="3"/>
  <c r="ED115" i="3"/>
  <c r="EE115" i="3"/>
  <c r="EF115" i="3"/>
  <c r="EG115" i="3"/>
  <c r="EH115" i="3"/>
  <c r="EJ115" i="3"/>
  <c r="EK115" i="3"/>
  <c r="EL115" i="3"/>
  <c r="EM115" i="3"/>
  <c r="EN115" i="3"/>
  <c r="EP115" i="3"/>
  <c r="EQ115" i="3"/>
  <c r="ER115" i="3"/>
  <c r="ES115" i="3"/>
  <c r="ET115" i="3"/>
  <c r="EV115" i="3"/>
  <c r="EW115" i="3"/>
  <c r="EX115" i="3"/>
  <c r="EY115" i="3"/>
  <c r="EZ115" i="3"/>
  <c r="FB115" i="3"/>
  <c r="FC115" i="3"/>
  <c r="FD115" i="3"/>
  <c r="FE115" i="3"/>
  <c r="FF115" i="3"/>
  <c r="FH115" i="3"/>
  <c r="FI115" i="3"/>
  <c r="FJ115" i="3"/>
  <c r="FK115" i="3"/>
  <c r="FL115" i="3"/>
  <c r="FN115" i="3"/>
  <c r="FO115" i="3"/>
  <c r="FP115" i="3"/>
  <c r="FQ115" i="3"/>
  <c r="FR115" i="3"/>
  <c r="FT115" i="3"/>
  <c r="FU115" i="3"/>
  <c r="FV115" i="3"/>
  <c r="FW115" i="3"/>
  <c r="FX115" i="3"/>
  <c r="FZ115" i="3"/>
  <c r="GA115" i="3"/>
  <c r="GB115" i="3"/>
  <c r="GC115" i="3"/>
  <c r="GD115" i="3"/>
  <c r="GF115" i="3"/>
  <c r="GG115" i="3"/>
  <c r="GH115" i="3"/>
  <c r="GI115" i="3"/>
  <c r="GJ115" i="3"/>
  <c r="GL115" i="3"/>
  <c r="GM115" i="3"/>
  <c r="GN115" i="3"/>
  <c r="A116" i="3"/>
  <c r="B116" i="3"/>
  <c r="C116" i="3"/>
  <c r="D116" i="3"/>
  <c r="E116" i="3"/>
  <c r="F116" i="3"/>
  <c r="H116" i="3"/>
  <c r="I116" i="3"/>
  <c r="J116" i="3"/>
  <c r="K116" i="3"/>
  <c r="L116" i="3"/>
  <c r="M116" i="3" s="1"/>
  <c r="N116" i="3"/>
  <c r="O116" i="3"/>
  <c r="P116" i="3"/>
  <c r="Q116" i="3"/>
  <c r="R116" i="3"/>
  <c r="T116" i="3"/>
  <c r="U116" i="3"/>
  <c r="V116" i="3"/>
  <c r="W116" i="3"/>
  <c r="X116" i="3"/>
  <c r="Z116" i="3"/>
  <c r="AA116" i="3"/>
  <c r="AB116" i="3"/>
  <c r="AC116" i="3"/>
  <c r="AD116" i="3"/>
  <c r="AF116" i="3"/>
  <c r="AG116" i="3"/>
  <c r="AH116" i="3"/>
  <c r="AI116" i="3"/>
  <c r="AJ116" i="3"/>
  <c r="AK116" i="3" s="1"/>
  <c r="AL116" i="3"/>
  <c r="AM116" i="3"/>
  <c r="AN116" i="3"/>
  <c r="AO116" i="3"/>
  <c r="AP116" i="3"/>
  <c r="AR116" i="3"/>
  <c r="AS116" i="3"/>
  <c r="AT116" i="3"/>
  <c r="AU116" i="3"/>
  <c r="AV116" i="3"/>
  <c r="AX116" i="3"/>
  <c r="AY116" i="3"/>
  <c r="AZ116" i="3"/>
  <c r="BA116" i="3"/>
  <c r="BB116" i="3"/>
  <c r="BD116" i="3"/>
  <c r="BE116" i="3"/>
  <c r="BF116" i="3"/>
  <c r="BG116" i="3"/>
  <c r="BH116" i="3"/>
  <c r="BJ116" i="3"/>
  <c r="BK116" i="3"/>
  <c r="BL116" i="3"/>
  <c r="BM116" i="3"/>
  <c r="BN116" i="3"/>
  <c r="BP116" i="3"/>
  <c r="BQ116" i="3"/>
  <c r="BR116" i="3"/>
  <c r="BS116" i="3"/>
  <c r="BT116" i="3"/>
  <c r="BV116" i="3"/>
  <c r="BW116" i="3"/>
  <c r="BX116" i="3"/>
  <c r="BY116" i="3"/>
  <c r="BZ116" i="3"/>
  <c r="CB116" i="3"/>
  <c r="CC116" i="3"/>
  <c r="CD116" i="3"/>
  <c r="CE116" i="3"/>
  <c r="CF116" i="3"/>
  <c r="CH116" i="3"/>
  <c r="CI116" i="3"/>
  <c r="CJ116" i="3"/>
  <c r="CK116" i="3"/>
  <c r="CL116" i="3"/>
  <c r="CN116" i="3"/>
  <c r="CO116" i="3"/>
  <c r="CP116" i="3"/>
  <c r="CQ116" i="3"/>
  <c r="CR116" i="3"/>
  <c r="CT116" i="3"/>
  <c r="CU116" i="3"/>
  <c r="CV116" i="3"/>
  <c r="CW116" i="3"/>
  <c r="CX116" i="3"/>
  <c r="CZ116" i="3"/>
  <c r="DA116" i="3"/>
  <c r="DB116" i="3"/>
  <c r="DC116" i="3"/>
  <c r="DD116" i="3"/>
  <c r="DF116" i="3"/>
  <c r="DG116" i="3"/>
  <c r="DH116" i="3"/>
  <c r="DI116" i="3"/>
  <c r="DJ116" i="3"/>
  <c r="DL116" i="3"/>
  <c r="DM116" i="3"/>
  <c r="DN116" i="3"/>
  <c r="DO116" i="3"/>
  <c r="DP116" i="3"/>
  <c r="DR116" i="3"/>
  <c r="DS116" i="3"/>
  <c r="DT116" i="3"/>
  <c r="DU116" i="3"/>
  <c r="DV116" i="3"/>
  <c r="DX116" i="3"/>
  <c r="DY116" i="3"/>
  <c r="DZ116" i="3"/>
  <c r="EA116" i="3"/>
  <c r="EB116" i="3"/>
  <c r="ED116" i="3"/>
  <c r="EE116" i="3"/>
  <c r="EF116" i="3"/>
  <c r="EG116" i="3"/>
  <c r="EH116" i="3"/>
  <c r="EJ116" i="3"/>
  <c r="EK116" i="3"/>
  <c r="EL116" i="3"/>
  <c r="EM116" i="3"/>
  <c r="EN116" i="3"/>
  <c r="EP116" i="3"/>
  <c r="EQ116" i="3"/>
  <c r="ER116" i="3"/>
  <c r="ES116" i="3"/>
  <c r="ET116" i="3"/>
  <c r="EV116" i="3"/>
  <c r="EW116" i="3"/>
  <c r="EX116" i="3"/>
  <c r="EY116" i="3"/>
  <c r="EZ116" i="3"/>
  <c r="FB116" i="3"/>
  <c r="FC116" i="3"/>
  <c r="FD116" i="3"/>
  <c r="FE116" i="3"/>
  <c r="FF116" i="3"/>
  <c r="FH116" i="3"/>
  <c r="FI116" i="3"/>
  <c r="FJ116" i="3"/>
  <c r="FK116" i="3"/>
  <c r="FL116" i="3"/>
  <c r="FN116" i="3"/>
  <c r="FO116" i="3"/>
  <c r="FP116" i="3"/>
  <c r="FQ116" i="3"/>
  <c r="FR116" i="3"/>
  <c r="FT116" i="3"/>
  <c r="FU116" i="3"/>
  <c r="FV116" i="3"/>
  <c r="FW116" i="3"/>
  <c r="FX116" i="3"/>
  <c r="FZ116" i="3"/>
  <c r="GA116" i="3"/>
  <c r="GB116" i="3"/>
  <c r="GC116" i="3"/>
  <c r="GD116" i="3"/>
  <c r="GF116" i="3"/>
  <c r="GG116" i="3"/>
  <c r="GH116" i="3"/>
  <c r="GI116" i="3"/>
  <c r="GJ116" i="3"/>
  <c r="GL116" i="3"/>
  <c r="GM116" i="3"/>
  <c r="GN116" i="3"/>
  <c r="A117" i="3"/>
  <c r="B117" i="3"/>
  <c r="C117" i="3"/>
  <c r="D117" i="3"/>
  <c r="E117" i="3"/>
  <c r="F117" i="3"/>
  <c r="H117" i="3"/>
  <c r="I117" i="3"/>
  <c r="J117" i="3"/>
  <c r="K117" i="3"/>
  <c r="L117" i="3"/>
  <c r="N117" i="3"/>
  <c r="O117" i="3"/>
  <c r="P117" i="3"/>
  <c r="Q117" i="3"/>
  <c r="R117" i="3"/>
  <c r="T117" i="3"/>
  <c r="U117" i="3"/>
  <c r="V117" i="3"/>
  <c r="W117" i="3"/>
  <c r="X117" i="3"/>
  <c r="Z117" i="3"/>
  <c r="AA117" i="3"/>
  <c r="AB117" i="3"/>
  <c r="AC117" i="3"/>
  <c r="AD117" i="3"/>
  <c r="AF117" i="3"/>
  <c r="AG117" i="3"/>
  <c r="AH117" i="3"/>
  <c r="AI117" i="3"/>
  <c r="AJ117" i="3"/>
  <c r="AL117" i="3"/>
  <c r="AM117" i="3"/>
  <c r="AN117" i="3"/>
  <c r="AO117" i="3"/>
  <c r="AP117" i="3"/>
  <c r="AR117" i="3"/>
  <c r="AS117" i="3"/>
  <c r="AT117" i="3"/>
  <c r="AU117" i="3"/>
  <c r="AV117" i="3"/>
  <c r="AX117" i="3"/>
  <c r="AY117" i="3"/>
  <c r="AZ117" i="3"/>
  <c r="BA117" i="3"/>
  <c r="BB117" i="3"/>
  <c r="BD117" i="3"/>
  <c r="BE117" i="3"/>
  <c r="BF117" i="3"/>
  <c r="BG117" i="3"/>
  <c r="BH117" i="3"/>
  <c r="BJ117" i="3"/>
  <c r="BK117" i="3"/>
  <c r="BL117" i="3"/>
  <c r="BM117" i="3"/>
  <c r="BN117" i="3"/>
  <c r="BP117" i="3"/>
  <c r="BQ117" i="3"/>
  <c r="BR117" i="3"/>
  <c r="BS117" i="3"/>
  <c r="BT117" i="3"/>
  <c r="BV117" i="3"/>
  <c r="BW117" i="3"/>
  <c r="BX117" i="3"/>
  <c r="BY117" i="3"/>
  <c r="BZ117" i="3"/>
  <c r="CB117" i="3"/>
  <c r="CC117" i="3"/>
  <c r="CD117" i="3"/>
  <c r="CE117" i="3"/>
  <c r="CF117" i="3"/>
  <c r="CH117" i="3"/>
  <c r="CI117" i="3"/>
  <c r="CJ117" i="3"/>
  <c r="CK117" i="3"/>
  <c r="CL117" i="3"/>
  <c r="CN117" i="3"/>
  <c r="CO117" i="3"/>
  <c r="CP117" i="3"/>
  <c r="CQ117" i="3"/>
  <c r="CR117" i="3"/>
  <c r="CT117" i="3"/>
  <c r="CU117" i="3"/>
  <c r="CV117" i="3"/>
  <c r="CW117" i="3"/>
  <c r="CX117" i="3"/>
  <c r="CZ117" i="3"/>
  <c r="DA117" i="3"/>
  <c r="DB117" i="3"/>
  <c r="DC117" i="3"/>
  <c r="DD117" i="3"/>
  <c r="DF117" i="3"/>
  <c r="DG117" i="3"/>
  <c r="DH117" i="3"/>
  <c r="DI117" i="3"/>
  <c r="DJ117" i="3"/>
  <c r="DL117" i="3"/>
  <c r="DM117" i="3"/>
  <c r="DN117" i="3"/>
  <c r="DO117" i="3"/>
  <c r="DP117" i="3"/>
  <c r="DR117" i="3"/>
  <c r="DS117" i="3"/>
  <c r="DT117" i="3"/>
  <c r="DU117" i="3"/>
  <c r="DV117" i="3"/>
  <c r="DX117" i="3"/>
  <c r="DY117" i="3"/>
  <c r="DZ117" i="3"/>
  <c r="EA117" i="3"/>
  <c r="EB117" i="3"/>
  <c r="ED117" i="3"/>
  <c r="EE117" i="3"/>
  <c r="EF117" i="3"/>
  <c r="EG117" i="3"/>
  <c r="EH117" i="3"/>
  <c r="EJ117" i="3"/>
  <c r="EK117" i="3"/>
  <c r="EL117" i="3"/>
  <c r="EM117" i="3"/>
  <c r="EN117" i="3"/>
  <c r="EP117" i="3"/>
  <c r="EQ117" i="3"/>
  <c r="ER117" i="3"/>
  <c r="ES117" i="3"/>
  <c r="ET117" i="3"/>
  <c r="EV117" i="3"/>
  <c r="EW117" i="3"/>
  <c r="EX117" i="3"/>
  <c r="EY117" i="3"/>
  <c r="EZ117" i="3"/>
  <c r="FB117" i="3"/>
  <c r="FC117" i="3"/>
  <c r="FD117" i="3"/>
  <c r="FE117" i="3"/>
  <c r="FF117" i="3"/>
  <c r="FH117" i="3"/>
  <c r="FI117" i="3"/>
  <c r="FJ117" i="3"/>
  <c r="FK117" i="3"/>
  <c r="FL117" i="3"/>
  <c r="FN117" i="3"/>
  <c r="FO117" i="3"/>
  <c r="FP117" i="3"/>
  <c r="FQ117" i="3"/>
  <c r="FR117" i="3"/>
  <c r="FT117" i="3"/>
  <c r="FU117" i="3"/>
  <c r="FV117" i="3"/>
  <c r="FW117" i="3"/>
  <c r="FX117" i="3"/>
  <c r="FZ117" i="3"/>
  <c r="GA117" i="3"/>
  <c r="GB117" i="3"/>
  <c r="GC117" i="3"/>
  <c r="GD117" i="3"/>
  <c r="GF117" i="3"/>
  <c r="GG117" i="3"/>
  <c r="GH117" i="3"/>
  <c r="GI117" i="3"/>
  <c r="GJ117" i="3"/>
  <c r="GL117" i="3"/>
  <c r="GM117" i="3"/>
  <c r="GN117" i="3"/>
  <c r="A118" i="3"/>
  <c r="B118" i="3"/>
  <c r="C118" i="3"/>
  <c r="D118" i="3"/>
  <c r="E118" i="3"/>
  <c r="F118" i="3"/>
  <c r="H118" i="3"/>
  <c r="I118" i="3"/>
  <c r="J118" i="3"/>
  <c r="K118" i="3"/>
  <c r="L118" i="3"/>
  <c r="N118" i="3"/>
  <c r="O118" i="3"/>
  <c r="P118" i="3"/>
  <c r="Q118" i="3"/>
  <c r="R118" i="3"/>
  <c r="T118" i="3"/>
  <c r="U118" i="3"/>
  <c r="V118" i="3"/>
  <c r="W118" i="3"/>
  <c r="X118" i="3"/>
  <c r="Z118" i="3"/>
  <c r="AA118" i="3"/>
  <c r="AB118" i="3"/>
  <c r="AC118" i="3"/>
  <c r="AD118" i="3"/>
  <c r="AF118" i="3"/>
  <c r="AG118" i="3"/>
  <c r="AH118" i="3"/>
  <c r="AI118" i="3"/>
  <c r="AJ118" i="3"/>
  <c r="AL118" i="3"/>
  <c r="AM118" i="3"/>
  <c r="AN118" i="3"/>
  <c r="AO118" i="3"/>
  <c r="AP118" i="3"/>
  <c r="AR118" i="3"/>
  <c r="AS118" i="3"/>
  <c r="AT118" i="3"/>
  <c r="AU118" i="3"/>
  <c r="AV118" i="3"/>
  <c r="AX118" i="3"/>
  <c r="AY118" i="3"/>
  <c r="AZ118" i="3"/>
  <c r="BA118" i="3"/>
  <c r="BB118" i="3"/>
  <c r="BD118" i="3"/>
  <c r="BE118" i="3"/>
  <c r="BF118" i="3"/>
  <c r="BG118" i="3"/>
  <c r="BH118" i="3"/>
  <c r="BJ118" i="3"/>
  <c r="BK118" i="3"/>
  <c r="BL118" i="3"/>
  <c r="BM118" i="3"/>
  <c r="BN118" i="3"/>
  <c r="BP118" i="3"/>
  <c r="BQ118" i="3"/>
  <c r="BR118" i="3"/>
  <c r="BS118" i="3"/>
  <c r="BT118" i="3"/>
  <c r="BV118" i="3"/>
  <c r="BW118" i="3"/>
  <c r="BX118" i="3"/>
  <c r="BY118" i="3"/>
  <c r="BZ118" i="3"/>
  <c r="CB118" i="3"/>
  <c r="CC118" i="3"/>
  <c r="CD118" i="3"/>
  <c r="CE118" i="3"/>
  <c r="CF118" i="3"/>
  <c r="CH118" i="3"/>
  <c r="CI118" i="3"/>
  <c r="CJ118" i="3"/>
  <c r="CK118" i="3"/>
  <c r="CL118" i="3"/>
  <c r="CN118" i="3"/>
  <c r="CO118" i="3"/>
  <c r="CP118" i="3"/>
  <c r="CQ118" i="3"/>
  <c r="CR118" i="3"/>
  <c r="CT118" i="3"/>
  <c r="CU118" i="3"/>
  <c r="CV118" i="3"/>
  <c r="CW118" i="3"/>
  <c r="CX118" i="3"/>
  <c r="CZ118" i="3"/>
  <c r="DA118" i="3"/>
  <c r="DB118" i="3"/>
  <c r="DC118" i="3"/>
  <c r="DD118" i="3"/>
  <c r="DF118" i="3"/>
  <c r="DG118" i="3"/>
  <c r="DH118" i="3"/>
  <c r="DI118" i="3"/>
  <c r="DJ118" i="3"/>
  <c r="DL118" i="3"/>
  <c r="DM118" i="3"/>
  <c r="DN118" i="3"/>
  <c r="DO118" i="3"/>
  <c r="DP118" i="3"/>
  <c r="DR118" i="3"/>
  <c r="DS118" i="3"/>
  <c r="DT118" i="3"/>
  <c r="DU118" i="3"/>
  <c r="DV118" i="3"/>
  <c r="DX118" i="3"/>
  <c r="DY118" i="3"/>
  <c r="DZ118" i="3"/>
  <c r="EA118" i="3"/>
  <c r="EB118" i="3"/>
  <c r="ED118" i="3"/>
  <c r="EE118" i="3"/>
  <c r="EF118" i="3"/>
  <c r="EG118" i="3"/>
  <c r="EH118" i="3"/>
  <c r="EJ118" i="3"/>
  <c r="EK118" i="3"/>
  <c r="EL118" i="3"/>
  <c r="EM118" i="3"/>
  <c r="EN118" i="3"/>
  <c r="EP118" i="3"/>
  <c r="EQ118" i="3"/>
  <c r="ER118" i="3"/>
  <c r="ES118" i="3"/>
  <c r="ET118" i="3"/>
  <c r="EV118" i="3"/>
  <c r="EW118" i="3"/>
  <c r="EX118" i="3"/>
  <c r="EY118" i="3"/>
  <c r="EZ118" i="3"/>
  <c r="FB118" i="3"/>
  <c r="FC118" i="3"/>
  <c r="FD118" i="3"/>
  <c r="FE118" i="3"/>
  <c r="FF118" i="3"/>
  <c r="FH118" i="3"/>
  <c r="FI118" i="3"/>
  <c r="FJ118" i="3"/>
  <c r="FK118" i="3"/>
  <c r="FL118" i="3"/>
  <c r="FN118" i="3"/>
  <c r="FO118" i="3"/>
  <c r="FP118" i="3"/>
  <c r="FQ118" i="3"/>
  <c r="FR118" i="3"/>
  <c r="FT118" i="3"/>
  <c r="FU118" i="3"/>
  <c r="FV118" i="3"/>
  <c r="FW118" i="3"/>
  <c r="FX118" i="3"/>
  <c r="FY118" i="3" s="1"/>
  <c r="FZ118" i="3"/>
  <c r="GA118" i="3"/>
  <c r="GB118" i="3"/>
  <c r="GC118" i="3"/>
  <c r="GD118" i="3"/>
  <c r="GF118" i="3"/>
  <c r="GG118" i="3"/>
  <c r="GH118" i="3"/>
  <c r="GI118" i="3"/>
  <c r="GJ118" i="3"/>
  <c r="GL118" i="3"/>
  <c r="GM118" i="3"/>
  <c r="GN118" i="3"/>
  <c r="A119" i="3"/>
  <c r="B119" i="3"/>
  <c r="C119" i="3"/>
  <c r="D119" i="3"/>
  <c r="E119" i="3"/>
  <c r="F119" i="3"/>
  <c r="H119" i="3"/>
  <c r="I119" i="3"/>
  <c r="J119" i="3"/>
  <c r="K119" i="3"/>
  <c r="L119" i="3"/>
  <c r="N119" i="3"/>
  <c r="O119" i="3"/>
  <c r="P119" i="3"/>
  <c r="Q119" i="3"/>
  <c r="R119" i="3"/>
  <c r="T119" i="3"/>
  <c r="U119" i="3"/>
  <c r="V119" i="3"/>
  <c r="W119" i="3"/>
  <c r="X119" i="3"/>
  <c r="Z119" i="3"/>
  <c r="AA119" i="3"/>
  <c r="AB119" i="3"/>
  <c r="AC119" i="3"/>
  <c r="AD119" i="3"/>
  <c r="AF119" i="3"/>
  <c r="AG119" i="3"/>
  <c r="AH119" i="3"/>
  <c r="AI119" i="3"/>
  <c r="AJ119" i="3"/>
  <c r="AL119" i="3"/>
  <c r="AM119" i="3"/>
  <c r="AN119" i="3"/>
  <c r="AO119" i="3"/>
  <c r="AP119" i="3"/>
  <c r="AR119" i="3"/>
  <c r="AS119" i="3"/>
  <c r="AT119" i="3"/>
  <c r="AU119" i="3"/>
  <c r="AV119" i="3"/>
  <c r="AX119" i="3"/>
  <c r="AY119" i="3"/>
  <c r="AZ119" i="3"/>
  <c r="BA119" i="3"/>
  <c r="BB119" i="3"/>
  <c r="BD119" i="3"/>
  <c r="BE119" i="3"/>
  <c r="BF119" i="3"/>
  <c r="BG119" i="3"/>
  <c r="BH119" i="3"/>
  <c r="BI119" i="3" s="1"/>
  <c r="BJ119" i="3"/>
  <c r="BK119" i="3"/>
  <c r="BL119" i="3"/>
  <c r="BM119" i="3"/>
  <c r="BN119" i="3"/>
  <c r="BP119" i="3"/>
  <c r="BQ119" i="3"/>
  <c r="BR119" i="3"/>
  <c r="BS119" i="3"/>
  <c r="BT119" i="3"/>
  <c r="BV119" i="3"/>
  <c r="BW119" i="3"/>
  <c r="BX119" i="3"/>
  <c r="BY119" i="3"/>
  <c r="BZ119" i="3"/>
  <c r="CB119" i="3"/>
  <c r="CC119" i="3"/>
  <c r="CD119" i="3"/>
  <c r="CE119" i="3"/>
  <c r="CF119" i="3"/>
  <c r="CH119" i="3"/>
  <c r="CI119" i="3"/>
  <c r="CJ119" i="3"/>
  <c r="CK119" i="3"/>
  <c r="CL119" i="3"/>
  <c r="CN119" i="3"/>
  <c r="CO119" i="3"/>
  <c r="CP119" i="3"/>
  <c r="CQ119" i="3"/>
  <c r="CS119" i="3" s="1"/>
  <c r="CR119" i="3"/>
  <c r="CT119" i="3"/>
  <c r="CU119" i="3"/>
  <c r="CV119" i="3"/>
  <c r="CW119" i="3"/>
  <c r="CX119" i="3"/>
  <c r="CZ119" i="3"/>
  <c r="DA119" i="3"/>
  <c r="DB119" i="3"/>
  <c r="DC119" i="3"/>
  <c r="DD119" i="3"/>
  <c r="DF119" i="3"/>
  <c r="DG119" i="3"/>
  <c r="DH119" i="3"/>
  <c r="DI119" i="3"/>
  <c r="DJ119" i="3"/>
  <c r="DL119" i="3"/>
  <c r="DM119" i="3"/>
  <c r="DN119" i="3"/>
  <c r="DO119" i="3"/>
  <c r="DP119" i="3"/>
  <c r="DR119" i="3"/>
  <c r="DS119" i="3"/>
  <c r="DT119" i="3"/>
  <c r="DU119" i="3"/>
  <c r="DV119" i="3"/>
  <c r="DX119" i="3"/>
  <c r="DY119" i="3"/>
  <c r="DZ119" i="3"/>
  <c r="EA119" i="3"/>
  <c r="EB119" i="3"/>
  <c r="ED119" i="3"/>
  <c r="EE119" i="3"/>
  <c r="EF119" i="3"/>
  <c r="EG119" i="3"/>
  <c r="EH119" i="3"/>
  <c r="EJ119" i="3"/>
  <c r="EK119" i="3"/>
  <c r="EL119" i="3"/>
  <c r="EM119" i="3"/>
  <c r="EN119" i="3"/>
  <c r="EP119" i="3"/>
  <c r="EQ119" i="3"/>
  <c r="ER119" i="3"/>
  <c r="ES119" i="3"/>
  <c r="ET119" i="3"/>
  <c r="EV119" i="3"/>
  <c r="EW119" i="3"/>
  <c r="EX119" i="3"/>
  <c r="EY119" i="3"/>
  <c r="EZ119" i="3"/>
  <c r="FB119" i="3"/>
  <c r="FC119" i="3"/>
  <c r="FD119" i="3"/>
  <c r="FE119" i="3"/>
  <c r="FF119" i="3"/>
  <c r="FH119" i="3"/>
  <c r="FI119" i="3"/>
  <c r="FJ119" i="3"/>
  <c r="FK119" i="3"/>
  <c r="FL119" i="3"/>
  <c r="FN119" i="3"/>
  <c r="FO119" i="3"/>
  <c r="FP119" i="3"/>
  <c r="FQ119" i="3"/>
  <c r="FR119" i="3"/>
  <c r="FT119" i="3"/>
  <c r="FU119" i="3"/>
  <c r="FV119" i="3"/>
  <c r="FW119" i="3"/>
  <c r="FX119" i="3"/>
  <c r="FZ119" i="3"/>
  <c r="GA119" i="3"/>
  <c r="GB119" i="3"/>
  <c r="GC119" i="3"/>
  <c r="GD119" i="3"/>
  <c r="GF119" i="3"/>
  <c r="GG119" i="3"/>
  <c r="GH119" i="3"/>
  <c r="GI119" i="3"/>
  <c r="GJ119" i="3"/>
  <c r="GL119" i="3"/>
  <c r="GM119" i="3"/>
  <c r="GN119" i="3"/>
  <c r="A120" i="3"/>
  <c r="B120" i="3"/>
  <c r="C120" i="3"/>
  <c r="D120" i="3"/>
  <c r="E120" i="3"/>
  <c r="F120" i="3"/>
  <c r="H120" i="3"/>
  <c r="I120" i="3"/>
  <c r="J120" i="3"/>
  <c r="K120" i="3"/>
  <c r="L120" i="3"/>
  <c r="N120" i="3"/>
  <c r="O120" i="3"/>
  <c r="P120" i="3"/>
  <c r="Q120" i="3"/>
  <c r="R120" i="3"/>
  <c r="T120" i="3"/>
  <c r="U120" i="3"/>
  <c r="V120" i="3"/>
  <c r="W120" i="3"/>
  <c r="X120" i="3"/>
  <c r="Z120" i="3"/>
  <c r="AA120" i="3"/>
  <c r="AB120" i="3"/>
  <c r="AC120" i="3"/>
  <c r="AD120" i="3"/>
  <c r="AF120" i="3"/>
  <c r="AG120" i="3"/>
  <c r="AH120" i="3"/>
  <c r="AI120" i="3"/>
  <c r="AJ120" i="3"/>
  <c r="AL120" i="3"/>
  <c r="AM120" i="3"/>
  <c r="AN120" i="3"/>
  <c r="AO120" i="3"/>
  <c r="AP120" i="3"/>
  <c r="AR120" i="3"/>
  <c r="AS120" i="3"/>
  <c r="AT120" i="3"/>
  <c r="AU120" i="3"/>
  <c r="AV120" i="3"/>
  <c r="AX120" i="3"/>
  <c r="AY120" i="3"/>
  <c r="AZ120" i="3"/>
  <c r="BA120" i="3"/>
  <c r="BB120" i="3"/>
  <c r="BD120" i="3"/>
  <c r="BE120" i="3"/>
  <c r="BF120" i="3"/>
  <c r="BG120" i="3"/>
  <c r="BH120" i="3"/>
  <c r="BJ120" i="3"/>
  <c r="BK120" i="3"/>
  <c r="BL120" i="3"/>
  <c r="BM120" i="3"/>
  <c r="BN120" i="3"/>
  <c r="BP120" i="3"/>
  <c r="BQ120" i="3"/>
  <c r="BR120" i="3"/>
  <c r="BS120" i="3"/>
  <c r="BT120" i="3"/>
  <c r="BV120" i="3"/>
  <c r="BW120" i="3"/>
  <c r="BX120" i="3"/>
  <c r="BY120" i="3"/>
  <c r="BZ120" i="3"/>
  <c r="CB120" i="3"/>
  <c r="CC120" i="3"/>
  <c r="CD120" i="3"/>
  <c r="CE120" i="3"/>
  <c r="CF120" i="3"/>
  <c r="CH120" i="3"/>
  <c r="CI120" i="3"/>
  <c r="CJ120" i="3"/>
  <c r="CK120" i="3"/>
  <c r="CL120" i="3"/>
  <c r="CN120" i="3"/>
  <c r="CO120" i="3"/>
  <c r="CP120" i="3"/>
  <c r="CQ120" i="3"/>
  <c r="CR120" i="3"/>
  <c r="CT120" i="3"/>
  <c r="CU120" i="3"/>
  <c r="CV120" i="3"/>
  <c r="CW120" i="3"/>
  <c r="CX120" i="3"/>
  <c r="CZ120" i="3"/>
  <c r="DA120" i="3"/>
  <c r="DB120" i="3"/>
  <c r="DC120" i="3"/>
  <c r="DD120" i="3"/>
  <c r="DF120" i="3"/>
  <c r="DG120" i="3"/>
  <c r="DH120" i="3"/>
  <c r="DI120" i="3"/>
  <c r="DJ120" i="3"/>
  <c r="DL120" i="3"/>
  <c r="DM120" i="3"/>
  <c r="DN120" i="3"/>
  <c r="DO120" i="3"/>
  <c r="DP120" i="3"/>
  <c r="DR120" i="3"/>
  <c r="DS120" i="3"/>
  <c r="DT120" i="3"/>
  <c r="DU120" i="3"/>
  <c r="DV120" i="3"/>
  <c r="DX120" i="3"/>
  <c r="DY120" i="3"/>
  <c r="DZ120" i="3"/>
  <c r="EA120" i="3"/>
  <c r="EB120" i="3"/>
  <c r="ED120" i="3"/>
  <c r="EE120" i="3"/>
  <c r="EF120" i="3"/>
  <c r="EG120" i="3"/>
  <c r="EH120" i="3"/>
  <c r="EJ120" i="3"/>
  <c r="EK120" i="3"/>
  <c r="EL120" i="3"/>
  <c r="EM120" i="3"/>
  <c r="EN120" i="3"/>
  <c r="EO120" i="3" s="1"/>
  <c r="EP120" i="3"/>
  <c r="EQ120" i="3"/>
  <c r="ER120" i="3"/>
  <c r="ES120" i="3"/>
  <c r="ET120" i="3"/>
  <c r="EV120" i="3"/>
  <c r="EW120" i="3"/>
  <c r="EX120" i="3"/>
  <c r="EY120" i="3"/>
  <c r="EZ120" i="3"/>
  <c r="FB120" i="3"/>
  <c r="FC120" i="3"/>
  <c r="FD120" i="3"/>
  <c r="FE120" i="3"/>
  <c r="FF120" i="3"/>
  <c r="FH120" i="3"/>
  <c r="FI120" i="3"/>
  <c r="FJ120" i="3"/>
  <c r="FK120" i="3"/>
  <c r="FL120" i="3"/>
  <c r="FN120" i="3"/>
  <c r="FO120" i="3"/>
  <c r="FP120" i="3"/>
  <c r="FQ120" i="3"/>
  <c r="FR120" i="3"/>
  <c r="FT120" i="3"/>
  <c r="FU120" i="3"/>
  <c r="FV120" i="3"/>
  <c r="FW120" i="3"/>
  <c r="FX120" i="3"/>
  <c r="FZ120" i="3"/>
  <c r="GA120" i="3"/>
  <c r="GB120" i="3"/>
  <c r="GC120" i="3"/>
  <c r="GD120" i="3"/>
  <c r="GF120" i="3"/>
  <c r="GG120" i="3"/>
  <c r="GH120" i="3"/>
  <c r="GI120" i="3"/>
  <c r="GJ120" i="3"/>
  <c r="GL120" i="3"/>
  <c r="GM120" i="3"/>
  <c r="GN120" i="3"/>
  <c r="A121" i="3"/>
  <c r="B121" i="3"/>
  <c r="C121" i="3"/>
  <c r="D121" i="3"/>
  <c r="E121" i="3"/>
  <c r="F121" i="3"/>
  <c r="H121" i="3"/>
  <c r="I121" i="3"/>
  <c r="J121" i="3"/>
  <c r="K121" i="3"/>
  <c r="L121" i="3"/>
  <c r="M121" i="3" s="1"/>
  <c r="N121" i="3"/>
  <c r="O121" i="3"/>
  <c r="P121" i="3"/>
  <c r="Q121" i="3"/>
  <c r="R121" i="3"/>
  <c r="T121" i="3"/>
  <c r="U121" i="3"/>
  <c r="V121" i="3"/>
  <c r="W121" i="3"/>
  <c r="X121" i="3"/>
  <c r="Z121" i="3"/>
  <c r="AA121" i="3"/>
  <c r="AB121" i="3"/>
  <c r="AC121" i="3"/>
  <c r="AD121" i="3"/>
  <c r="AF121" i="3"/>
  <c r="AG121" i="3"/>
  <c r="AH121" i="3"/>
  <c r="AI121" i="3"/>
  <c r="AJ121" i="3"/>
  <c r="AL121" i="3"/>
  <c r="AM121" i="3"/>
  <c r="AN121" i="3"/>
  <c r="AO121" i="3"/>
  <c r="AP121" i="3"/>
  <c r="AR121" i="3"/>
  <c r="AS121" i="3"/>
  <c r="AT121" i="3"/>
  <c r="AU121" i="3"/>
  <c r="AV121" i="3"/>
  <c r="AX121" i="3"/>
  <c r="AY121" i="3"/>
  <c r="AZ121" i="3"/>
  <c r="BA121" i="3"/>
  <c r="BB121" i="3"/>
  <c r="BD121" i="3"/>
  <c r="BE121" i="3"/>
  <c r="BF121" i="3"/>
  <c r="BG121" i="3"/>
  <c r="BH121" i="3"/>
  <c r="BJ121" i="3"/>
  <c r="BK121" i="3"/>
  <c r="BL121" i="3"/>
  <c r="BM121" i="3"/>
  <c r="BN121" i="3"/>
  <c r="BP121" i="3"/>
  <c r="BQ121" i="3"/>
  <c r="BR121" i="3"/>
  <c r="BS121" i="3"/>
  <c r="BT121" i="3"/>
  <c r="BV121" i="3"/>
  <c r="BW121" i="3"/>
  <c r="BX121" i="3"/>
  <c r="BY121" i="3"/>
  <c r="BZ121" i="3"/>
  <c r="CB121" i="3"/>
  <c r="CC121" i="3"/>
  <c r="CD121" i="3"/>
  <c r="CE121" i="3"/>
  <c r="CF121" i="3"/>
  <c r="CH121" i="3"/>
  <c r="CI121" i="3"/>
  <c r="CJ121" i="3"/>
  <c r="CK121" i="3"/>
  <c r="CL121" i="3"/>
  <c r="CN121" i="3"/>
  <c r="CO121" i="3"/>
  <c r="CP121" i="3"/>
  <c r="CQ121" i="3"/>
  <c r="CR121" i="3"/>
  <c r="CT121" i="3"/>
  <c r="CU121" i="3"/>
  <c r="CV121" i="3"/>
  <c r="CW121" i="3"/>
  <c r="CX121" i="3"/>
  <c r="CZ121" i="3"/>
  <c r="DA121" i="3"/>
  <c r="DB121" i="3"/>
  <c r="DC121" i="3"/>
  <c r="DD121" i="3"/>
  <c r="DE121" i="3" s="1"/>
  <c r="DF121" i="3"/>
  <c r="DG121" i="3"/>
  <c r="DH121" i="3"/>
  <c r="DI121" i="3"/>
  <c r="DJ121" i="3"/>
  <c r="DL121" i="3"/>
  <c r="DM121" i="3"/>
  <c r="DN121" i="3"/>
  <c r="DO121" i="3"/>
  <c r="DP121" i="3"/>
  <c r="DR121" i="3"/>
  <c r="DS121" i="3"/>
  <c r="DT121" i="3"/>
  <c r="DU121" i="3"/>
  <c r="DV121" i="3"/>
  <c r="DX121" i="3"/>
  <c r="DY121" i="3"/>
  <c r="DZ121" i="3"/>
  <c r="EA121" i="3"/>
  <c r="EB121" i="3"/>
  <c r="ED121" i="3"/>
  <c r="EE121" i="3"/>
  <c r="EF121" i="3"/>
  <c r="EG121" i="3"/>
  <c r="EH121" i="3"/>
  <c r="EJ121" i="3"/>
  <c r="EK121" i="3"/>
  <c r="EL121" i="3"/>
  <c r="EM121" i="3"/>
  <c r="EN121" i="3"/>
  <c r="EP121" i="3"/>
  <c r="EQ121" i="3"/>
  <c r="ER121" i="3"/>
  <c r="ES121" i="3"/>
  <c r="ET121" i="3"/>
  <c r="EV121" i="3"/>
  <c r="EW121" i="3"/>
  <c r="EX121" i="3"/>
  <c r="EY121" i="3"/>
  <c r="EZ121" i="3"/>
  <c r="FB121" i="3"/>
  <c r="FC121" i="3"/>
  <c r="FD121" i="3"/>
  <c r="FE121" i="3"/>
  <c r="FF121" i="3"/>
  <c r="FH121" i="3"/>
  <c r="FI121" i="3"/>
  <c r="FJ121" i="3"/>
  <c r="FK121" i="3"/>
  <c r="FL121" i="3"/>
  <c r="FN121" i="3"/>
  <c r="FO121" i="3"/>
  <c r="FP121" i="3"/>
  <c r="FQ121" i="3"/>
  <c r="FR121" i="3"/>
  <c r="FT121" i="3"/>
  <c r="FU121" i="3"/>
  <c r="FV121" i="3"/>
  <c r="FW121" i="3"/>
  <c r="FX121" i="3"/>
  <c r="FZ121" i="3"/>
  <c r="GA121" i="3"/>
  <c r="GB121" i="3"/>
  <c r="GC121" i="3"/>
  <c r="GD121" i="3"/>
  <c r="GF121" i="3"/>
  <c r="GG121" i="3"/>
  <c r="GH121" i="3"/>
  <c r="GI121" i="3"/>
  <c r="GJ121" i="3"/>
  <c r="GL121" i="3"/>
  <c r="GM121" i="3"/>
  <c r="GN121" i="3"/>
  <c r="EV2" i="3"/>
  <c r="GH2" i="3"/>
  <c r="GB2" i="3"/>
  <c r="FV2" i="3"/>
  <c r="FP2" i="3"/>
  <c r="FJ2" i="3"/>
  <c r="FD2" i="3"/>
  <c r="EX2" i="3"/>
  <c r="ER2" i="3"/>
  <c r="EL2" i="3"/>
  <c r="EF2" i="3"/>
  <c r="DZ2" i="3"/>
  <c r="DT2" i="3"/>
  <c r="DN2" i="3"/>
  <c r="DH2" i="3"/>
  <c r="DB2" i="3"/>
  <c r="CU2" i="3"/>
  <c r="CV2" i="3"/>
  <c r="CP2" i="3"/>
  <c r="CJ2" i="3"/>
  <c r="CD2" i="3"/>
  <c r="BX2" i="3"/>
  <c r="BR2" i="3"/>
  <c r="BK2" i="3"/>
  <c r="BL2" i="3"/>
  <c r="BF2" i="3"/>
  <c r="AZ2" i="3"/>
  <c r="AT2" i="3"/>
  <c r="AN2" i="3"/>
  <c r="AH2" i="3"/>
  <c r="AB2" i="3"/>
  <c r="V2" i="3"/>
  <c r="P2" i="3"/>
  <c r="J2" i="3"/>
  <c r="D2" i="3"/>
  <c r="B2" i="3"/>
  <c r="C2" i="3"/>
  <c r="E2" i="3"/>
  <c r="F2" i="3"/>
  <c r="H2" i="3"/>
  <c r="I2" i="3"/>
  <c r="K2" i="3"/>
  <c r="L2" i="3"/>
  <c r="N2" i="3"/>
  <c r="O2" i="3"/>
  <c r="Q2" i="3"/>
  <c r="R2" i="3"/>
  <c r="T2" i="3"/>
  <c r="U2" i="3"/>
  <c r="W2" i="3"/>
  <c r="X2" i="3"/>
  <c r="Z2" i="3"/>
  <c r="AA2" i="3"/>
  <c r="AC2" i="3"/>
  <c r="AD2" i="3"/>
  <c r="AF2" i="3"/>
  <c r="AG2" i="3"/>
  <c r="AI2" i="3"/>
  <c r="AJ2" i="3"/>
  <c r="AL2" i="3"/>
  <c r="AM2" i="3"/>
  <c r="AO2" i="3"/>
  <c r="AP2" i="3"/>
  <c r="AR2" i="3"/>
  <c r="AS2" i="3"/>
  <c r="AU2" i="3"/>
  <c r="AV2" i="3"/>
  <c r="AX2" i="3"/>
  <c r="AY2" i="3"/>
  <c r="BA2" i="3"/>
  <c r="BB2" i="3"/>
  <c r="BD2" i="3"/>
  <c r="BE2" i="3"/>
  <c r="BG2" i="3"/>
  <c r="BH2" i="3"/>
  <c r="BJ2" i="3"/>
  <c r="BM2" i="3"/>
  <c r="BN2" i="3"/>
  <c r="BP2" i="3"/>
  <c r="BQ2" i="3"/>
  <c r="BS2" i="3"/>
  <c r="BT2" i="3"/>
  <c r="BV2" i="3"/>
  <c r="BW2" i="3"/>
  <c r="BY2" i="3"/>
  <c r="BZ2" i="3"/>
  <c r="CB2" i="3"/>
  <c r="CC2" i="3"/>
  <c r="CE2" i="3"/>
  <c r="CF2" i="3"/>
  <c r="CH2" i="3"/>
  <c r="CI2" i="3"/>
  <c r="CK2" i="3"/>
  <c r="CL2" i="3"/>
  <c r="CN2" i="3"/>
  <c r="CO2" i="3"/>
  <c r="CQ2" i="3"/>
  <c r="CR2" i="3"/>
  <c r="CT2" i="3"/>
  <c r="CW2" i="3"/>
  <c r="CX2" i="3"/>
  <c r="CZ2" i="3"/>
  <c r="DA2" i="3"/>
  <c r="DC2" i="3"/>
  <c r="DD2" i="3"/>
  <c r="DF2" i="3"/>
  <c r="DG2" i="3"/>
  <c r="DI2" i="3"/>
  <c r="DJ2" i="3"/>
  <c r="DL2" i="3"/>
  <c r="DM2" i="3"/>
  <c r="DO2" i="3"/>
  <c r="DP2" i="3"/>
  <c r="DR2" i="3"/>
  <c r="DS2" i="3"/>
  <c r="DU2" i="3"/>
  <c r="DV2" i="3"/>
  <c r="DX2" i="3"/>
  <c r="DY2" i="3"/>
  <c r="EA2" i="3"/>
  <c r="EB2" i="3"/>
  <c r="ED2" i="3"/>
  <c r="EE2" i="3"/>
  <c r="EG2" i="3"/>
  <c r="EH2" i="3"/>
  <c r="EJ2" i="3"/>
  <c r="EK2" i="3"/>
  <c r="EM2" i="3"/>
  <c r="EN2" i="3"/>
  <c r="EP2" i="3"/>
  <c r="EQ2" i="3"/>
  <c r="ES2" i="3"/>
  <c r="ET2" i="3"/>
  <c r="EW2" i="3"/>
  <c r="EY2" i="3"/>
  <c r="EZ2" i="3"/>
  <c r="FB2" i="3"/>
  <c r="FC2" i="3"/>
  <c r="FE2" i="3"/>
  <c r="FF2" i="3"/>
  <c r="FH2" i="3"/>
  <c r="FI2" i="3"/>
  <c r="FK2" i="3"/>
  <c r="FL2" i="3"/>
  <c r="FN2" i="3"/>
  <c r="FO2" i="3"/>
  <c r="FQ2" i="3"/>
  <c r="FR2" i="3"/>
  <c r="FT2" i="3"/>
  <c r="FU2" i="3"/>
  <c r="FW2" i="3"/>
  <c r="FX2" i="3"/>
  <c r="FZ2" i="3"/>
  <c r="GA2" i="3"/>
  <c r="GC2" i="3"/>
  <c r="GD2" i="3"/>
  <c r="GF2" i="3"/>
  <c r="GG2" i="3"/>
  <c r="GI2" i="3"/>
  <c r="GJ2" i="3"/>
  <c r="G55" i="3" l="1"/>
  <c r="AE54" i="3"/>
  <c r="CA52" i="3"/>
  <c r="BU121" i="3"/>
  <c r="AQ84" i="3"/>
  <c r="CM70" i="3"/>
  <c r="AQ64" i="3"/>
  <c r="GE54" i="3"/>
  <c r="CM54" i="3"/>
  <c r="EI52" i="3"/>
  <c r="AQ52" i="3"/>
  <c r="CG79" i="3"/>
  <c r="DE78" i="3"/>
  <c r="DE82" i="3"/>
  <c r="DE54" i="3"/>
  <c r="EC53" i="3"/>
  <c r="BI64" i="3"/>
  <c r="CG63" i="3"/>
  <c r="DE119" i="3"/>
  <c r="M67" i="3"/>
  <c r="BI65" i="3"/>
  <c r="DE55" i="3"/>
  <c r="BO48" i="3"/>
  <c r="EI45" i="3"/>
  <c r="GE43" i="3"/>
  <c r="EI29" i="3"/>
  <c r="EI21" i="3"/>
  <c r="DK14" i="3"/>
  <c r="S14" i="3"/>
  <c r="Y120" i="3"/>
  <c r="BU106" i="3"/>
  <c r="Y104" i="3"/>
  <c r="EO103" i="3"/>
  <c r="Y88" i="3"/>
  <c r="DQ68" i="3"/>
  <c r="Y68" i="3"/>
  <c r="GK65" i="3"/>
  <c r="EO51" i="3"/>
  <c r="G48" i="3"/>
  <c r="EU46" i="3"/>
  <c r="BC46" i="3"/>
  <c r="CY40" i="3"/>
  <c r="DE120" i="3"/>
  <c r="S104" i="3"/>
  <c r="AQ95" i="3"/>
  <c r="FG94" i="3"/>
  <c r="CG78" i="3"/>
  <c r="AK72" i="3"/>
  <c r="FA71" i="3"/>
  <c r="BI71" i="3"/>
  <c r="BI59" i="3"/>
  <c r="BO46" i="3"/>
  <c r="EO121" i="3"/>
  <c r="G94" i="3"/>
  <c r="AE93" i="3"/>
  <c r="EU92" i="3"/>
  <c r="AE73" i="3"/>
  <c r="EU72" i="3"/>
  <c r="DW69" i="3"/>
  <c r="BC68" i="3"/>
  <c r="FS67" i="3"/>
  <c r="AE61" i="3"/>
  <c r="FY42" i="3"/>
  <c r="AE29" i="3"/>
  <c r="M29" i="3"/>
  <c r="EU16" i="3"/>
  <c r="CY14" i="3"/>
  <c r="G14" i="3"/>
  <c r="DW13" i="3"/>
  <c r="AK12" i="3"/>
  <c r="FS11" i="3"/>
  <c r="CA7" i="3"/>
  <c r="DQ49" i="3"/>
  <c r="DK74" i="3"/>
  <c r="EU106" i="3"/>
  <c r="BC106" i="3"/>
  <c r="FS97" i="3"/>
  <c r="CA97" i="3"/>
  <c r="DW95" i="3"/>
  <c r="EU94" i="3"/>
  <c r="BC94" i="3"/>
  <c r="EU78" i="3"/>
  <c r="G64" i="3"/>
  <c r="FA45" i="3"/>
  <c r="AK18" i="3"/>
  <c r="BO45" i="3"/>
  <c r="GE4" i="3"/>
  <c r="BU63" i="3"/>
  <c r="BC47" i="3"/>
  <c r="FG96" i="3"/>
  <c r="BO96" i="3"/>
  <c r="CM67" i="3"/>
  <c r="AQ65" i="3"/>
  <c r="AE75" i="3"/>
  <c r="CA73" i="3"/>
  <c r="EU66" i="3"/>
  <c r="EC6" i="3"/>
  <c r="AK6" i="3"/>
  <c r="BI112" i="3"/>
  <c r="GE95" i="3"/>
  <c r="CM79" i="3"/>
  <c r="EI65" i="3"/>
  <c r="FA109" i="3"/>
  <c r="EO90" i="3"/>
  <c r="FS32" i="3"/>
  <c r="CA20" i="3"/>
  <c r="DK116" i="3"/>
  <c r="S7" i="3"/>
  <c r="FG84" i="3"/>
  <c r="EO44" i="3"/>
  <c r="EC118" i="3"/>
  <c r="FY116" i="3"/>
  <c r="GK88" i="3"/>
  <c r="DQ51" i="3"/>
  <c r="AW121" i="3"/>
  <c r="BO13" i="3"/>
  <c r="BU51" i="3"/>
  <c r="AE20" i="3"/>
  <c r="DK94" i="3"/>
  <c r="CM87" i="3"/>
  <c r="CS42" i="3"/>
  <c r="FS20" i="3"/>
  <c r="FM92" i="3"/>
  <c r="CS91" i="3"/>
  <c r="CY90" i="3"/>
  <c r="FM88" i="3"/>
  <c r="FS83" i="3"/>
  <c r="DW81" i="3"/>
  <c r="CA79" i="3"/>
  <c r="EC51" i="3"/>
  <c r="AQ97" i="3"/>
  <c r="AQ69" i="3"/>
  <c r="DQ41" i="3"/>
  <c r="BU93" i="3"/>
  <c r="GK92" i="3"/>
  <c r="CA40" i="3"/>
  <c r="DW34" i="3"/>
  <c r="S67" i="3"/>
  <c r="GE64" i="3"/>
  <c r="CM64" i="3"/>
  <c r="EI54" i="3"/>
  <c r="Y18" i="3"/>
  <c r="EO17" i="3"/>
  <c r="AW17" i="3"/>
  <c r="FM8" i="3"/>
  <c r="FM64" i="3"/>
  <c r="AE21" i="3"/>
  <c r="BC20" i="3"/>
  <c r="CY18" i="3"/>
  <c r="CG101" i="3"/>
  <c r="GE100" i="3"/>
  <c r="M100" i="3"/>
  <c r="FA98" i="3"/>
  <c r="FY97" i="3"/>
  <c r="FG93" i="3"/>
  <c r="BO93" i="3"/>
  <c r="EC91" i="3"/>
  <c r="AK91" i="3"/>
  <c r="EI90" i="3"/>
  <c r="GE84" i="3"/>
  <c r="CM84" i="3"/>
  <c r="BO81" i="3"/>
  <c r="CM80" i="3"/>
  <c r="DK79" i="3"/>
  <c r="EI78" i="3"/>
  <c r="BO77" i="3"/>
  <c r="DE68" i="3"/>
  <c r="CM68" i="3"/>
  <c r="BO37" i="3"/>
  <c r="CM20" i="3"/>
  <c r="BU120" i="3"/>
  <c r="FS98" i="3"/>
  <c r="CY97" i="3"/>
  <c r="CY93" i="3"/>
  <c r="G93" i="3"/>
  <c r="EU87" i="3"/>
  <c r="BC87" i="3"/>
  <c r="BC83" i="3"/>
  <c r="G81" i="3"/>
  <c r="AE80" i="3"/>
  <c r="CA58" i="3"/>
  <c r="BC55" i="3"/>
  <c r="FM51" i="3"/>
  <c r="EC39" i="3"/>
  <c r="AK39" i="3"/>
  <c r="FA38" i="3"/>
  <c r="DE36" i="3"/>
  <c r="EC35" i="3"/>
  <c r="FS34" i="3"/>
  <c r="M32" i="3"/>
  <c r="G17" i="3"/>
  <c r="G13" i="3"/>
  <c r="EU11" i="3"/>
  <c r="BC11" i="3"/>
  <c r="CG120" i="3"/>
  <c r="BU27" i="3"/>
  <c r="EC121" i="3"/>
  <c r="DK121" i="3"/>
  <c r="AK121" i="3"/>
  <c r="S121" i="3"/>
  <c r="BU114" i="3"/>
  <c r="GK113" i="3"/>
  <c r="CS113" i="3"/>
  <c r="DE79" i="3"/>
  <c r="DE67" i="3"/>
  <c r="AK54" i="3"/>
  <c r="BI53" i="3"/>
  <c r="FG40" i="3"/>
  <c r="AK38" i="3"/>
  <c r="BI37" i="3"/>
  <c r="DK34" i="3"/>
  <c r="AK34" i="3"/>
  <c r="S34" i="3"/>
  <c r="G16" i="3"/>
  <c r="EC109" i="3"/>
  <c r="S109" i="3"/>
  <c r="FG107" i="3"/>
  <c r="CM106" i="3"/>
  <c r="EI100" i="3"/>
  <c r="DK97" i="3"/>
  <c r="FY91" i="3"/>
  <c r="BI68" i="3"/>
  <c r="S61" i="3"/>
  <c r="GE58" i="3"/>
  <c r="FM46" i="3"/>
  <c r="BU46" i="3"/>
  <c r="CM114" i="3"/>
  <c r="AQ112" i="3"/>
  <c r="GK93" i="3"/>
  <c r="CS63" i="3"/>
  <c r="DK113" i="3"/>
  <c r="S113" i="3"/>
  <c r="DQ92" i="3"/>
  <c r="BC30" i="3"/>
  <c r="DW15" i="3"/>
  <c r="EU10" i="3"/>
  <c r="CA108" i="3"/>
  <c r="CS100" i="3"/>
  <c r="G99" i="3"/>
  <c r="AW98" i="3"/>
  <c r="CA84" i="3"/>
  <c r="CY83" i="3"/>
  <c r="BC81" i="3"/>
  <c r="FS80" i="3"/>
  <c r="CY79" i="3"/>
  <c r="AW78" i="3"/>
  <c r="FM77" i="3"/>
  <c r="BU77" i="3"/>
  <c r="DQ75" i="3"/>
  <c r="FM69" i="3"/>
  <c r="DW30" i="3"/>
  <c r="CY7" i="3"/>
  <c r="FY3" i="3"/>
  <c r="CG3" i="3"/>
  <c r="S84" i="3"/>
  <c r="EI83" i="3"/>
  <c r="GE73" i="3"/>
  <c r="EI55" i="3"/>
  <c r="FG121" i="3"/>
  <c r="DQ118" i="3"/>
  <c r="AW117" i="3"/>
  <c r="FM116" i="3"/>
  <c r="EO109" i="3"/>
  <c r="DW109" i="3"/>
  <c r="M109" i="3"/>
  <c r="FA107" i="3"/>
  <c r="BI107" i="3"/>
  <c r="DE105" i="3"/>
  <c r="FY102" i="3"/>
  <c r="CG102" i="3"/>
  <c r="AE65" i="3"/>
  <c r="BO34" i="3"/>
  <c r="CM21" i="3"/>
  <c r="S20" i="3"/>
  <c r="FG18" i="3"/>
  <c r="CM13" i="3"/>
  <c r="CM9" i="3"/>
  <c r="EI7" i="3"/>
  <c r="DE5" i="3"/>
  <c r="EU81" i="3"/>
  <c r="EC73" i="3"/>
  <c r="BC73" i="3"/>
  <c r="DW70" i="3"/>
  <c r="AK69" i="3"/>
  <c r="DE66" i="3"/>
  <c r="CM66" i="3"/>
  <c r="M66" i="3"/>
  <c r="AW63" i="3"/>
  <c r="GK61" i="3"/>
  <c r="DQ60" i="3"/>
  <c r="AE55" i="3"/>
  <c r="DE51" i="3"/>
  <c r="AW32" i="3"/>
  <c r="EU31" i="3"/>
  <c r="FS30" i="3"/>
  <c r="CG21" i="3"/>
  <c r="G21" i="3"/>
  <c r="GE16" i="3"/>
  <c r="DE16" i="3"/>
  <c r="DK11" i="3"/>
  <c r="S11" i="3"/>
  <c r="DQ10" i="3"/>
  <c r="CY120" i="3"/>
  <c r="DE116" i="3"/>
  <c r="EI114" i="3"/>
  <c r="FG113" i="3"/>
  <c r="GE112" i="3"/>
  <c r="CA99" i="3"/>
  <c r="CY98" i="3"/>
  <c r="CM97" i="3"/>
  <c r="S96" i="3"/>
  <c r="BO94" i="3"/>
  <c r="GK118" i="3"/>
  <c r="BO109" i="3"/>
  <c r="CS107" i="3"/>
  <c r="AW105" i="3"/>
  <c r="CM100" i="3"/>
  <c r="DW97" i="3"/>
  <c r="EC92" i="3"/>
  <c r="G90" i="3"/>
  <c r="CS88" i="3"/>
  <c r="EI87" i="3"/>
  <c r="CM85" i="3"/>
  <c r="EU65" i="3"/>
  <c r="BC65" i="3"/>
  <c r="DW58" i="3"/>
  <c r="EC57" i="3"/>
  <c r="FY55" i="3"/>
  <c r="CA45" i="3"/>
  <c r="CY44" i="3"/>
  <c r="FS41" i="3"/>
  <c r="DK30" i="3"/>
  <c r="Y21" i="3"/>
  <c r="CS18" i="3"/>
  <c r="AK3" i="3"/>
  <c r="GE69" i="3"/>
  <c r="EO66" i="3"/>
  <c r="AW66" i="3"/>
  <c r="EU34" i="3"/>
  <c r="BU34" i="3"/>
  <c r="AK30" i="3"/>
  <c r="M23" i="3"/>
  <c r="EO8" i="3"/>
  <c r="AW8" i="3"/>
  <c r="AE4" i="3"/>
  <c r="DE108" i="3"/>
  <c r="EC107" i="3"/>
  <c r="BC103" i="3"/>
  <c r="BU96" i="3"/>
  <c r="DW85" i="3"/>
  <c r="EC84" i="3"/>
  <c r="AE81" i="3"/>
  <c r="FA79" i="3"/>
  <c r="DK64" i="3"/>
  <c r="EI44" i="3"/>
  <c r="BO43" i="3"/>
  <c r="GE42" i="3"/>
  <c r="EU18" i="3"/>
  <c r="FA17" i="3"/>
  <c r="BI17" i="3"/>
  <c r="AQ13" i="3"/>
  <c r="GE11" i="3"/>
  <c r="CM11" i="3"/>
  <c r="FA63" i="3"/>
  <c r="FM57" i="3"/>
  <c r="BU57" i="3"/>
  <c r="AW54" i="3"/>
  <c r="FM53" i="3"/>
  <c r="BU53" i="3"/>
  <c r="FM49" i="3"/>
  <c r="FS21" i="3"/>
  <c r="CA21" i="3"/>
  <c r="CM15" i="3"/>
  <c r="M7" i="3"/>
  <c r="BO4" i="3"/>
  <c r="BI120" i="3"/>
  <c r="FM118" i="3"/>
  <c r="BU118" i="3"/>
  <c r="BU107" i="3"/>
  <c r="BU88" i="3"/>
  <c r="DQ82" i="3"/>
  <c r="GK79" i="3"/>
  <c r="Y78" i="3"/>
  <c r="AW77" i="3"/>
  <c r="GK75" i="3"/>
  <c r="AW73" i="3"/>
  <c r="DQ70" i="3"/>
  <c r="EO69" i="3"/>
  <c r="CA67" i="3"/>
  <c r="Y66" i="3"/>
  <c r="S56" i="3"/>
  <c r="BU49" i="3"/>
  <c r="AW46" i="3"/>
  <c r="DQ43" i="3"/>
  <c r="Y43" i="3"/>
  <c r="EO42" i="3"/>
  <c r="BU41" i="3"/>
  <c r="AK33" i="3"/>
  <c r="BI32" i="3"/>
  <c r="EI20" i="3"/>
  <c r="EC14" i="3"/>
  <c r="FY12" i="3"/>
  <c r="AE7" i="3"/>
  <c r="FS5" i="3"/>
  <c r="CA5" i="3"/>
  <c r="DQ119" i="3"/>
  <c r="Y112" i="3"/>
  <c r="FY108" i="3"/>
  <c r="CG108" i="3"/>
  <c r="DE107" i="3"/>
  <c r="G100" i="3"/>
  <c r="BC98" i="3"/>
  <c r="FA97" i="3"/>
  <c r="GE91" i="3"/>
  <c r="CM91" i="3"/>
  <c r="BI82" i="3"/>
  <c r="CG81" i="3"/>
  <c r="EC79" i="3"/>
  <c r="AK75" i="3"/>
  <c r="CY73" i="3"/>
  <c r="CG73" i="3"/>
  <c r="DE72" i="3"/>
  <c r="BI70" i="3"/>
  <c r="FY69" i="3"/>
  <c r="CG69" i="3"/>
  <c r="FY65" i="3"/>
  <c r="FG61" i="3"/>
  <c r="BO61" i="3"/>
  <c r="BU60" i="3"/>
  <c r="EI58" i="3"/>
  <c r="G58" i="3"/>
  <c r="EO57" i="3"/>
  <c r="DW57" i="3"/>
  <c r="BU52" i="3"/>
  <c r="BI51" i="3"/>
  <c r="CS36" i="3"/>
  <c r="DQ35" i="3"/>
  <c r="EU21" i="3"/>
  <c r="BI20" i="3"/>
  <c r="S13" i="3"/>
  <c r="FG11" i="3"/>
  <c r="BO11" i="3"/>
  <c r="BI8" i="3"/>
  <c r="DQ108" i="3"/>
  <c r="AQ100" i="3"/>
  <c r="EO99" i="3"/>
  <c r="AW99" i="3"/>
  <c r="FM98" i="3"/>
  <c r="AK90" i="3"/>
  <c r="AW84" i="3"/>
  <c r="Y69" i="3"/>
  <c r="AQ58" i="3"/>
  <c r="G34" i="3"/>
  <c r="M33" i="3"/>
  <c r="EC32" i="3"/>
  <c r="EI27" i="3"/>
  <c r="FG26" i="3"/>
  <c r="GE21" i="3"/>
  <c r="FM17" i="3"/>
  <c r="BU17" i="3"/>
  <c r="FS16" i="3"/>
  <c r="CA16" i="3"/>
  <c r="DW14" i="3"/>
  <c r="AE14" i="3"/>
  <c r="EU13" i="3"/>
  <c r="CY11" i="3"/>
  <c r="G11" i="3"/>
  <c r="DW10" i="3"/>
  <c r="CG103" i="3"/>
  <c r="EC82" i="3"/>
  <c r="M75" i="3"/>
  <c r="AK74" i="3"/>
  <c r="BI69" i="3"/>
  <c r="FM63" i="3"/>
  <c r="FM59" i="3"/>
  <c r="AK20" i="3"/>
  <c r="AE87" i="3"/>
  <c r="BC82" i="3"/>
  <c r="FS81" i="3"/>
  <c r="DQ7" i="3"/>
  <c r="AQ7" i="3"/>
  <c r="DW67" i="3"/>
  <c r="EI61" i="3"/>
  <c r="EO56" i="3"/>
  <c r="DK54" i="3"/>
  <c r="S54" i="3"/>
  <c r="FG52" i="3"/>
  <c r="CY45" i="3"/>
  <c r="G30" i="3"/>
  <c r="EC8" i="3"/>
  <c r="AK8" i="3"/>
  <c r="AE117" i="3"/>
  <c r="EC112" i="3"/>
  <c r="DQ107" i="3"/>
  <c r="Y107" i="3"/>
  <c r="FM105" i="3"/>
  <c r="EO102" i="3"/>
  <c r="CG95" i="3"/>
  <c r="BU82" i="3"/>
  <c r="GK77" i="3"/>
  <c r="CS77" i="3"/>
  <c r="GK73" i="3"/>
  <c r="GK69" i="3"/>
  <c r="CS46" i="3"/>
  <c r="AE40" i="3"/>
  <c r="CY37" i="3"/>
  <c r="G37" i="3"/>
  <c r="BC16" i="3"/>
  <c r="DE13" i="3"/>
  <c r="CY118" i="3"/>
  <c r="G118" i="3"/>
  <c r="FS111" i="3"/>
  <c r="G110" i="3"/>
  <c r="DK108" i="3"/>
  <c r="AK100" i="3"/>
  <c r="EI99" i="3"/>
  <c r="FG98" i="3"/>
  <c r="CG98" i="3"/>
  <c r="GE97" i="3"/>
  <c r="DW94" i="3"/>
  <c r="BC89" i="3"/>
  <c r="EI84" i="3"/>
  <c r="DK81" i="3"/>
  <c r="EI80" i="3"/>
  <c r="S69" i="3"/>
  <c r="EI68" i="3"/>
  <c r="FG67" i="3"/>
  <c r="CA61" i="3"/>
  <c r="AK58" i="3"/>
  <c r="AK31" i="3"/>
  <c r="BO21" i="3"/>
  <c r="AE13" i="3"/>
  <c r="G10" i="3"/>
  <c r="BU8" i="3"/>
  <c r="BC120" i="3"/>
  <c r="FA119" i="3"/>
  <c r="EU117" i="3"/>
  <c r="GK116" i="3"/>
  <c r="S106" i="3"/>
  <c r="GE103" i="3"/>
  <c r="FA101" i="3"/>
  <c r="S98" i="3"/>
  <c r="DQ94" i="3"/>
  <c r="CM93" i="3"/>
  <c r="BI91" i="3"/>
  <c r="FG90" i="3"/>
  <c r="BI88" i="3"/>
  <c r="FS84" i="3"/>
  <c r="BO83" i="3"/>
  <c r="CS81" i="3"/>
  <c r="CY80" i="3"/>
  <c r="AK78" i="3"/>
  <c r="FY76" i="3"/>
  <c r="CG76" i="3"/>
  <c r="DE75" i="3"/>
  <c r="EC70" i="3"/>
  <c r="BC70" i="3"/>
  <c r="FA69" i="3"/>
  <c r="FG68" i="3"/>
  <c r="BO68" i="3"/>
  <c r="GK66" i="3"/>
  <c r="BI66" i="3"/>
  <c r="BO65" i="3"/>
  <c r="EC60" i="3"/>
  <c r="CY58" i="3"/>
  <c r="CG58" i="3"/>
  <c r="BO58" i="3"/>
  <c r="Y55" i="3"/>
  <c r="CG51" i="3"/>
  <c r="DK49" i="3"/>
  <c r="CY48" i="3"/>
  <c r="DE43" i="3"/>
  <c r="M43" i="3"/>
  <c r="AK42" i="3"/>
  <c r="Y37" i="3"/>
  <c r="BU35" i="3"/>
  <c r="CA34" i="3"/>
  <c r="CG33" i="3"/>
  <c r="DE32" i="3"/>
  <c r="EI30" i="3"/>
  <c r="FG29" i="3"/>
  <c r="DE21" i="3"/>
  <c r="EC17" i="3"/>
  <c r="AK17" i="3"/>
  <c r="Y16" i="3"/>
  <c r="DK10" i="3"/>
  <c r="S10" i="3"/>
  <c r="CM7" i="3"/>
  <c r="CM4" i="3"/>
  <c r="M4" i="3"/>
  <c r="FS117" i="3"/>
  <c r="DQ115" i="3"/>
  <c r="Y115" i="3"/>
  <c r="AW114" i="3"/>
  <c r="FM113" i="3"/>
  <c r="BU113" i="3"/>
  <c r="GK112" i="3"/>
  <c r="CA101" i="3"/>
  <c r="CG100" i="3"/>
  <c r="EI97" i="3"/>
  <c r="G97" i="3"/>
  <c r="BU85" i="3"/>
  <c r="FM78" i="3"/>
  <c r="AW75" i="3"/>
  <c r="CY65" i="3"/>
  <c r="CS59" i="3"/>
  <c r="AE57" i="3"/>
  <c r="FA55" i="3"/>
  <c r="BI55" i="3"/>
  <c r="GE46" i="3"/>
  <c r="Y33" i="3"/>
  <c r="CA30" i="3"/>
  <c r="S23" i="3"/>
  <c r="M21" i="3"/>
  <c r="AW18" i="3"/>
  <c r="AQ16" i="3"/>
  <c r="FM14" i="3"/>
  <c r="EU14" i="3"/>
  <c r="BC14" i="3"/>
  <c r="DW11" i="3"/>
  <c r="AE11" i="3"/>
  <c r="FY8" i="3"/>
  <c r="CG8" i="3"/>
  <c r="CA13" i="3"/>
  <c r="EO4" i="3"/>
  <c r="FA121" i="3"/>
  <c r="BI121" i="3"/>
  <c r="FA115" i="3"/>
  <c r="BI115" i="3"/>
  <c r="DE113" i="3"/>
  <c r="FA108" i="3"/>
  <c r="FY107" i="3"/>
  <c r="AW107" i="3"/>
  <c r="BU102" i="3"/>
  <c r="S101" i="3"/>
  <c r="CY100" i="3"/>
  <c r="EO96" i="3"/>
  <c r="AW96" i="3"/>
  <c r="FM95" i="3"/>
  <c r="DK84" i="3"/>
  <c r="BO82" i="3"/>
  <c r="AW82" i="3"/>
  <c r="GE81" i="3"/>
  <c r="FM81" i="3"/>
  <c r="FY79" i="3"/>
  <c r="BO79" i="3"/>
  <c r="EI76" i="3"/>
  <c r="CG75" i="3"/>
  <c r="BI72" i="3"/>
  <c r="AQ72" i="3"/>
  <c r="EC59" i="3"/>
  <c r="FY54" i="3"/>
  <c r="FA51" i="3"/>
  <c r="AQ51" i="3"/>
  <c r="BU31" i="3"/>
  <c r="FY21" i="3"/>
  <c r="EU20" i="3"/>
  <c r="BO18" i="3"/>
  <c r="CM17" i="3"/>
  <c r="FG4" i="3"/>
  <c r="AW4" i="3"/>
  <c r="DK120" i="3"/>
  <c r="CM10" i="3"/>
  <c r="GK121" i="3"/>
  <c r="AW120" i="3"/>
  <c r="EU119" i="3"/>
  <c r="GK115" i="3"/>
  <c r="CY114" i="3"/>
  <c r="Y114" i="3"/>
  <c r="EO113" i="3"/>
  <c r="DW113" i="3"/>
  <c r="AW113" i="3"/>
  <c r="EC105" i="3"/>
  <c r="G103" i="3"/>
  <c r="DE102" i="3"/>
  <c r="M102" i="3"/>
  <c r="FS100" i="3"/>
  <c r="CA94" i="3"/>
  <c r="EU91" i="3"/>
  <c r="CA90" i="3"/>
  <c r="GE88" i="3"/>
  <c r="FS87" i="3"/>
  <c r="CA87" i="3"/>
  <c r="EU84" i="3"/>
  <c r="DQ79" i="3"/>
  <c r="G79" i="3"/>
  <c r="EU73" i="3"/>
  <c r="EU69" i="3"/>
  <c r="BC69" i="3"/>
  <c r="BO67" i="3"/>
  <c r="CY61" i="3"/>
  <c r="CM56" i="3"/>
  <c r="DK55" i="3"/>
  <c r="AQ54" i="3"/>
  <c r="GE52" i="3"/>
  <c r="CM52" i="3"/>
  <c r="Y47" i="3"/>
  <c r="EO46" i="3"/>
  <c r="AK45" i="3"/>
  <c r="EO39" i="3"/>
  <c r="FM38" i="3"/>
  <c r="Y36" i="3"/>
  <c r="CY32" i="3"/>
  <c r="CY21" i="3"/>
  <c r="S9" i="3"/>
  <c r="DE3" i="3"/>
  <c r="FA118" i="3"/>
  <c r="Y110" i="3"/>
  <c r="FG85" i="3"/>
  <c r="BO85" i="3"/>
  <c r="Y82" i="3"/>
  <c r="Y75" i="3"/>
  <c r="CS72" i="3"/>
  <c r="AW70" i="3"/>
  <c r="BU69" i="3"/>
  <c r="GK68" i="3"/>
  <c r="FS68" i="3"/>
  <c r="CS68" i="3"/>
  <c r="GE66" i="3"/>
  <c r="BU66" i="3"/>
  <c r="DK48" i="3"/>
  <c r="GE45" i="3"/>
  <c r="FS44" i="3"/>
  <c r="AQ40" i="3"/>
  <c r="BO35" i="3"/>
  <c r="GE34" i="3"/>
  <c r="Y32" i="3"/>
  <c r="BO28" i="3"/>
  <c r="EI25" i="3"/>
  <c r="S22" i="3"/>
  <c r="DE20" i="3"/>
  <c r="EI18" i="3"/>
  <c r="EC16" i="3"/>
  <c r="S16" i="3"/>
  <c r="BO7" i="3"/>
  <c r="G4" i="3"/>
  <c r="FS54" i="3"/>
  <c r="CA54" i="3"/>
  <c r="DW52" i="3"/>
  <c r="FG49" i="3"/>
  <c r="EO49" i="3"/>
  <c r="AE49" i="3"/>
  <c r="DE45" i="3"/>
  <c r="EU37" i="3"/>
  <c r="BC37" i="3"/>
  <c r="AE34" i="3"/>
  <c r="GE30" i="3"/>
  <c r="FS29" i="3"/>
  <c r="AQ21" i="3"/>
  <c r="DW20" i="3"/>
  <c r="AQ18" i="3"/>
  <c r="FY14" i="3"/>
  <c r="EO14" i="3"/>
  <c r="EI11" i="3"/>
  <c r="AQ11" i="3"/>
  <c r="FG10" i="3"/>
  <c r="BC9" i="3"/>
  <c r="GK8" i="3"/>
  <c r="CS8" i="3"/>
  <c r="AK5" i="3"/>
  <c r="EO3" i="3"/>
  <c r="AK115" i="3"/>
  <c r="DK111" i="3"/>
  <c r="S111" i="3"/>
  <c r="EI110" i="3"/>
  <c r="AQ110" i="3"/>
  <c r="EU108" i="3"/>
  <c r="EI103" i="3"/>
  <c r="EU97" i="3"/>
  <c r="S97" i="3"/>
  <c r="EI96" i="3"/>
  <c r="FG95" i="3"/>
  <c r="BO95" i="3"/>
  <c r="AW95" i="3"/>
  <c r="GE94" i="3"/>
  <c r="AK94" i="3"/>
  <c r="S94" i="3"/>
  <c r="FY92" i="3"/>
  <c r="DE91" i="3"/>
  <c r="DE88" i="3"/>
  <c r="FG81" i="3"/>
  <c r="CS79" i="3"/>
  <c r="BI79" i="3"/>
  <c r="M77" i="3"/>
  <c r="BC76" i="3"/>
  <c r="DW73" i="3"/>
  <c r="DE69" i="3"/>
  <c r="EC68" i="3"/>
  <c r="AK68" i="3"/>
  <c r="S68" i="3"/>
  <c r="EI67" i="3"/>
  <c r="DK65" i="3"/>
  <c r="EU58" i="3"/>
  <c r="FA57" i="3"/>
  <c r="EO34" i="3"/>
  <c r="FY31" i="3"/>
  <c r="AW27" i="3"/>
  <c r="Y24" i="3"/>
  <c r="FG20" i="3"/>
  <c r="CA18" i="3"/>
  <c r="CM16" i="3"/>
  <c r="BU16" i="3"/>
  <c r="CG14" i="3"/>
  <c r="EU5" i="3"/>
  <c r="BC5" i="3"/>
  <c r="CS118" i="3"/>
  <c r="EO116" i="3"/>
  <c r="EO77" i="3"/>
  <c r="AQ67" i="3"/>
  <c r="Y60" i="3"/>
  <c r="FY56" i="3"/>
  <c r="GK54" i="3"/>
  <c r="Y53" i="3"/>
  <c r="BO52" i="3"/>
  <c r="BC51" i="3"/>
  <c r="BU48" i="3"/>
  <c r="CS47" i="3"/>
  <c r="AQ46" i="3"/>
  <c r="Y46" i="3"/>
  <c r="GE37" i="3"/>
  <c r="M119" i="3"/>
  <c r="FG116" i="3"/>
  <c r="CG116" i="3"/>
  <c r="BU115" i="3"/>
  <c r="BC111" i="3"/>
  <c r="CS110" i="3"/>
  <c r="CA110" i="3"/>
  <c r="Y106" i="3"/>
  <c r="EO101" i="3"/>
  <c r="AW101" i="3"/>
  <c r="BC100" i="3"/>
  <c r="DE97" i="3"/>
  <c r="BU97" i="3"/>
  <c r="CY92" i="3"/>
  <c r="G92" i="3"/>
  <c r="CS86" i="3"/>
  <c r="EI85" i="3"/>
  <c r="GK82" i="3"/>
  <c r="CY81" i="3"/>
  <c r="AQ78" i="3"/>
  <c r="FM68" i="3"/>
  <c r="M55" i="3"/>
  <c r="EI28" i="3"/>
  <c r="BI24" i="3"/>
  <c r="CM22" i="3"/>
  <c r="DK21" i="3"/>
  <c r="FY20" i="3"/>
  <c r="CG20" i="3"/>
  <c r="BO20" i="3"/>
  <c r="DK18" i="3"/>
  <c r="DQ17" i="3"/>
  <c r="Y17" i="3"/>
  <c r="FS7" i="3"/>
  <c r="DQ98" i="3"/>
  <c r="EU79" i="3"/>
  <c r="DK67" i="3"/>
  <c r="CG66" i="3"/>
  <c r="S57" i="3"/>
  <c r="EO55" i="3"/>
  <c r="EU54" i="3"/>
  <c r="G52" i="3"/>
  <c r="CM51" i="3"/>
  <c r="GK43" i="3"/>
  <c r="S43" i="3"/>
  <c r="DQ42" i="3"/>
  <c r="Y42" i="3"/>
  <c r="GE40" i="3"/>
  <c r="EU40" i="3"/>
  <c r="BC40" i="3"/>
  <c r="BI39" i="3"/>
  <c r="DW37" i="3"/>
  <c r="AE37" i="3"/>
  <c r="EC36" i="3"/>
  <c r="AK36" i="3"/>
  <c r="FA35" i="3"/>
  <c r="CY34" i="3"/>
  <c r="S32" i="3"/>
  <c r="DQ31" i="3"/>
  <c r="EU29" i="3"/>
  <c r="DW16" i="3"/>
  <c r="S15" i="3"/>
  <c r="DQ3" i="3"/>
  <c r="Y3" i="3"/>
  <c r="DQ109" i="3"/>
  <c r="DK107" i="3"/>
  <c r="EC21" i="3"/>
  <c r="G20" i="3"/>
  <c r="S18" i="3"/>
  <c r="AE16" i="3"/>
  <c r="FG13" i="3"/>
  <c r="DK4" i="3"/>
  <c r="S4" i="3"/>
  <c r="AE121" i="3"/>
  <c r="BO119" i="3"/>
  <c r="AW119" i="3"/>
  <c r="AK107" i="3"/>
  <c r="FY105" i="3"/>
  <c r="AE97" i="3"/>
  <c r="M83" i="3"/>
  <c r="AK82" i="3"/>
  <c r="FA81" i="3"/>
  <c r="EI81" i="3"/>
  <c r="Y81" i="3"/>
  <c r="BC79" i="3"/>
  <c r="EU75" i="3"/>
  <c r="BC75" i="3"/>
  <c r="G73" i="3"/>
  <c r="DQ63" i="3"/>
  <c r="FA56" i="3"/>
  <c r="BO55" i="3"/>
  <c r="CS53" i="3"/>
  <c r="Y49" i="3"/>
  <c r="FA42" i="3"/>
  <c r="CG41" i="3"/>
  <c r="CM40" i="3"/>
  <c r="FM36" i="3"/>
  <c r="BU36" i="3"/>
  <c r="GK35" i="3"/>
  <c r="CS35" i="3"/>
  <c r="AE33" i="3"/>
  <c r="S21" i="3"/>
  <c r="FY16" i="3"/>
  <c r="FG16" i="3"/>
  <c r="BI14" i="3"/>
  <c r="DE12" i="3"/>
  <c r="FG9" i="3"/>
  <c r="EU4" i="3"/>
  <c r="FA3" i="3"/>
  <c r="AE119" i="3"/>
  <c r="CA117" i="3"/>
  <c r="DW121" i="3"/>
  <c r="FM120" i="3"/>
  <c r="DE118" i="3"/>
  <c r="M118" i="3"/>
  <c r="DK117" i="3"/>
  <c r="AK117" i="3"/>
  <c r="Y116" i="3"/>
  <c r="EO115" i="3"/>
  <c r="GK109" i="3"/>
  <c r="EU103" i="3"/>
  <c r="DQ101" i="3"/>
  <c r="Y101" i="3"/>
  <c r="EO100" i="3"/>
  <c r="FS92" i="3"/>
  <c r="CA92" i="3"/>
  <c r="Y91" i="3"/>
  <c r="G91" i="3"/>
  <c r="FM86" i="3"/>
  <c r="S85" i="3"/>
  <c r="DQ84" i="3"/>
  <c r="FM82" i="3"/>
  <c r="AQ81" i="3"/>
  <c r="FG80" i="3"/>
  <c r="BO80" i="3"/>
  <c r="BU79" i="3"/>
  <c r="FG76" i="3"/>
  <c r="EO76" i="3"/>
  <c r="EO72" i="3"/>
  <c r="GK70" i="3"/>
  <c r="S70" i="3"/>
  <c r="G69" i="3"/>
  <c r="DW68" i="3"/>
  <c r="AW68" i="3"/>
  <c r="AE68" i="3"/>
  <c r="EU67" i="3"/>
  <c r="FG65" i="3"/>
  <c r="AQ63" i="3"/>
  <c r="GE61" i="3"/>
  <c r="CS60" i="3"/>
  <c r="FY51" i="3"/>
  <c r="FG51" i="3"/>
  <c r="AW51" i="3"/>
  <c r="FM50" i="3"/>
  <c r="BI49" i="3"/>
  <c r="AK46" i="3"/>
  <c r="G45" i="3"/>
  <c r="EI34" i="3"/>
  <c r="AQ34" i="3"/>
  <c r="EO33" i="3"/>
  <c r="FM32" i="3"/>
  <c r="BU32" i="3"/>
  <c r="FS31" i="3"/>
  <c r="DW29" i="3"/>
  <c r="BC21" i="3"/>
  <c r="AQ20" i="3"/>
  <c r="GE18" i="3"/>
  <c r="BU18" i="3"/>
  <c r="GK17" i="3"/>
  <c r="CS17" i="3"/>
  <c r="CY16" i="3"/>
  <c r="CS14" i="3"/>
  <c r="Y13" i="3"/>
  <c r="BU11" i="3"/>
  <c r="FM4" i="3"/>
  <c r="DQ116" i="3"/>
  <c r="G116" i="3"/>
  <c r="DW115" i="3"/>
  <c r="DE115" i="3"/>
  <c r="M115" i="3"/>
  <c r="AK114" i="3"/>
  <c r="S114" i="3"/>
  <c r="BI113" i="3"/>
  <c r="AQ113" i="3"/>
  <c r="EC111" i="3"/>
  <c r="FG109" i="3"/>
  <c r="AE109" i="3"/>
  <c r="EI107" i="3"/>
  <c r="CG107" i="3"/>
  <c r="FM106" i="3"/>
  <c r="BI105" i="3"/>
  <c r="FA102" i="3"/>
  <c r="G101" i="3"/>
  <c r="GK99" i="3"/>
  <c r="AQ98" i="3"/>
  <c r="FY95" i="3"/>
  <c r="EO93" i="3"/>
  <c r="AW93" i="3"/>
  <c r="CA91" i="3"/>
  <c r="G87" i="3"/>
  <c r="BC85" i="3"/>
  <c r="GK119" i="3"/>
  <c r="Y119" i="3"/>
  <c r="FS121" i="3"/>
  <c r="BC114" i="3"/>
  <c r="CA113" i="3"/>
  <c r="FM111" i="3"/>
  <c r="CG109" i="3"/>
  <c r="FM108" i="3"/>
  <c r="GK107" i="3"/>
  <c r="GK105" i="3"/>
  <c r="CS105" i="3"/>
  <c r="CM103" i="3"/>
  <c r="M103" i="3"/>
  <c r="AW100" i="3"/>
  <c r="FG97" i="3"/>
  <c r="GK96" i="3"/>
  <c r="G95" i="3"/>
  <c r="AE120" i="3"/>
  <c r="M120" i="3"/>
  <c r="EC119" i="3"/>
  <c r="DK119" i="3"/>
  <c r="CG118" i="3"/>
  <c r="BO118" i="3"/>
  <c r="GE117" i="3"/>
  <c r="M117" i="3"/>
  <c r="FY115" i="3"/>
  <c r="CG115" i="3"/>
  <c r="DQ112" i="3"/>
  <c r="CY112" i="3"/>
  <c r="GE111" i="3"/>
  <c r="M111" i="3"/>
  <c r="EC110" i="3"/>
  <c r="DK110" i="3"/>
  <c r="AK110" i="3"/>
  <c r="S110" i="3"/>
  <c r="GE108" i="3"/>
  <c r="AQ107" i="3"/>
  <c r="EO106" i="3"/>
  <c r="DW106" i="3"/>
  <c r="G119" i="3"/>
  <c r="M114" i="3"/>
  <c r="EC113" i="3"/>
  <c r="AK113" i="3"/>
  <c r="AK105" i="3"/>
  <c r="FG103" i="3"/>
  <c r="AK102" i="3"/>
  <c r="BO100" i="3"/>
  <c r="BU99" i="3"/>
  <c r="FA95" i="3"/>
  <c r="DQ93" i="3"/>
  <c r="AQ90" i="3"/>
  <c r="EO89" i="3"/>
  <c r="EC88" i="3"/>
  <c r="G112" i="3"/>
  <c r="AW111" i="3"/>
  <c r="AE111" i="3"/>
  <c r="FM110" i="3"/>
  <c r="EU110" i="3"/>
  <c r="BU110" i="3"/>
  <c r="BC110" i="3"/>
  <c r="BI109" i="3"/>
  <c r="Y109" i="3"/>
  <c r="CA107" i="3"/>
  <c r="FG106" i="3"/>
  <c r="BO106" i="3"/>
  <c r="CS104" i="3"/>
  <c r="GK101" i="3"/>
  <c r="AK98" i="3"/>
  <c r="BO97" i="3"/>
  <c r="BI95" i="3"/>
  <c r="EO94" i="3"/>
  <c r="CM94" i="3"/>
  <c r="EI93" i="3"/>
  <c r="DW92" i="3"/>
  <c r="FM91" i="3"/>
  <c r="FS90" i="3"/>
  <c r="AQ121" i="3"/>
  <c r="FY120" i="3"/>
  <c r="DQ120" i="3"/>
  <c r="EU116" i="3"/>
  <c r="S116" i="3"/>
  <c r="G115" i="3"/>
  <c r="DW114" i="3"/>
  <c r="AE114" i="3"/>
  <c r="EU113" i="3"/>
  <c r="BC113" i="3"/>
  <c r="FS112" i="3"/>
  <c r="FS109" i="3"/>
  <c r="EO108" i="3"/>
  <c r="EU107" i="3"/>
  <c r="BC121" i="3"/>
  <c r="FS120" i="3"/>
  <c r="GK120" i="3"/>
  <c r="BC116" i="3"/>
  <c r="BO111" i="3"/>
  <c r="GE110" i="3"/>
  <c r="DE110" i="3"/>
  <c r="CM110" i="3"/>
  <c r="CA109" i="3"/>
  <c r="FM107" i="3"/>
  <c r="CY106" i="3"/>
  <c r="AK104" i="3"/>
  <c r="CM96" i="3"/>
  <c r="DK95" i="3"/>
  <c r="FS93" i="3"/>
  <c r="FA120" i="3"/>
  <c r="AK119" i="3"/>
  <c r="CM121" i="3"/>
  <c r="BI118" i="3"/>
  <c r="BO114" i="3"/>
  <c r="GE113" i="3"/>
  <c r="CM113" i="3"/>
  <c r="GE119" i="3"/>
  <c r="Y118" i="3"/>
  <c r="BO117" i="3"/>
  <c r="GE121" i="3"/>
  <c r="BU119" i="3"/>
  <c r="FS118" i="3"/>
  <c r="BU116" i="3"/>
  <c r="FG114" i="3"/>
  <c r="CS112" i="3"/>
  <c r="CS120" i="3"/>
  <c r="CA120" i="3"/>
  <c r="EO119" i="3"/>
  <c r="CM119" i="3"/>
  <c r="CY117" i="3"/>
  <c r="Y117" i="3"/>
  <c r="G117" i="3"/>
  <c r="CS115" i="3"/>
  <c r="CA115" i="3"/>
  <c r="DK112" i="3"/>
  <c r="CY111" i="3"/>
  <c r="EO110" i="3"/>
  <c r="DW110" i="3"/>
  <c r="DK109" i="3"/>
  <c r="G108" i="3"/>
  <c r="BC107" i="3"/>
  <c r="FA106" i="3"/>
  <c r="EI106" i="3"/>
  <c r="BI106" i="3"/>
  <c r="FM104" i="3"/>
  <c r="GK103" i="3"/>
  <c r="AQ103" i="3"/>
  <c r="BU101" i="3"/>
  <c r="GK100" i="3"/>
  <c r="CA100" i="3"/>
  <c r="BO99" i="3"/>
  <c r="DE98" i="3"/>
  <c r="M98" i="3"/>
  <c r="CS97" i="3"/>
  <c r="EC120" i="3"/>
  <c r="DK118" i="3"/>
  <c r="EI117" i="3"/>
  <c r="BI117" i="3"/>
  <c r="AQ117" i="3"/>
  <c r="AW116" i="3"/>
  <c r="EI111" i="3"/>
  <c r="AQ111" i="3"/>
  <c r="FY110" i="3"/>
  <c r="FG110" i="3"/>
  <c r="BO110" i="3"/>
  <c r="FM109" i="3"/>
  <c r="BC109" i="3"/>
  <c r="BI108" i="3"/>
  <c r="AQ108" i="3"/>
  <c r="EO107" i="3"/>
  <c r="CM107" i="3"/>
  <c r="FS106" i="3"/>
  <c r="DE104" i="3"/>
  <c r="CA103" i="3"/>
  <c r="M101" i="3"/>
  <c r="DK100" i="3"/>
  <c r="FY121" i="3"/>
  <c r="CG121" i="3"/>
  <c r="FY113" i="3"/>
  <c r="AE104" i="3"/>
  <c r="CS103" i="3"/>
  <c r="EU100" i="3"/>
  <c r="EC100" i="3"/>
  <c r="DQ99" i="3"/>
  <c r="FM97" i="3"/>
  <c r="CM90" i="3"/>
  <c r="DQ121" i="3"/>
  <c r="CY121" i="3"/>
  <c r="AK120" i="3"/>
  <c r="EI119" i="3"/>
  <c r="CG119" i="3"/>
  <c r="GE118" i="3"/>
  <c r="FS114" i="3"/>
  <c r="DQ113" i="3"/>
  <c r="Y113" i="3"/>
  <c r="G113" i="3"/>
  <c r="CS111" i="3"/>
  <c r="GK108" i="3"/>
  <c r="CS108" i="3"/>
  <c r="AE107" i="3"/>
  <c r="M107" i="3"/>
  <c r="EC106" i="3"/>
  <c r="DQ105" i="3"/>
  <c r="Y105" i="3"/>
  <c r="BO104" i="3"/>
  <c r="DK103" i="3"/>
  <c r="AK103" i="3"/>
  <c r="S103" i="3"/>
  <c r="BU100" i="3"/>
  <c r="AK97" i="3"/>
  <c r="DQ96" i="3"/>
  <c r="EO95" i="3"/>
  <c r="M95" i="3"/>
  <c r="AQ94" i="3"/>
  <c r="CY76" i="3"/>
  <c r="FG54" i="3"/>
  <c r="BO54" i="3"/>
  <c r="DK52" i="3"/>
  <c r="S52" i="3"/>
  <c r="DQ46" i="3"/>
  <c r="S45" i="3"/>
  <c r="BU42" i="3"/>
  <c r="GK41" i="3"/>
  <c r="CS41" i="3"/>
  <c r="DQ40" i="3"/>
  <c r="G40" i="3"/>
  <c r="DE39" i="3"/>
  <c r="EC38" i="3"/>
  <c r="FS37" i="3"/>
  <c r="CA37" i="3"/>
  <c r="FY36" i="3"/>
  <c r="EC34" i="3"/>
  <c r="AK32" i="3"/>
  <c r="GK3" i="3"/>
  <c r="CS3" i="3"/>
  <c r="DK88" i="3"/>
  <c r="FY87" i="3"/>
  <c r="AK85" i="3"/>
  <c r="CY84" i="3"/>
  <c r="CG84" i="3"/>
  <c r="BU83" i="3"/>
  <c r="CM81" i="3"/>
  <c r="EO79" i="3"/>
  <c r="Y76" i="3"/>
  <c r="FS74" i="3"/>
  <c r="CA74" i="3"/>
  <c r="EC72" i="3"/>
  <c r="DQ71" i="3"/>
  <c r="G71" i="3"/>
  <c r="CA69" i="3"/>
  <c r="GE67" i="3"/>
  <c r="FM67" i="3"/>
  <c r="EC67" i="3"/>
  <c r="FY66" i="3"/>
  <c r="AE66" i="3"/>
  <c r="CA65" i="3"/>
  <c r="AE64" i="3"/>
  <c r="CY62" i="3"/>
  <c r="CA60" i="3"/>
  <c r="BC58" i="3"/>
  <c r="CG57" i="3"/>
  <c r="AK52" i="3"/>
  <c r="DK47" i="3"/>
  <c r="S47" i="3"/>
  <c r="FA46" i="3"/>
  <c r="G46" i="3"/>
  <c r="BI44" i="3"/>
  <c r="FY43" i="3"/>
  <c r="CG43" i="3"/>
  <c r="M42" i="3"/>
  <c r="AK41" i="3"/>
  <c r="EI40" i="3"/>
  <c r="Y40" i="3"/>
  <c r="BU38" i="3"/>
  <c r="CS37" i="3"/>
  <c r="BI31" i="3"/>
  <c r="AE30" i="3"/>
  <c r="CY28" i="3"/>
  <c r="FS25" i="3"/>
  <c r="EU22" i="3"/>
  <c r="BC22" i="3"/>
  <c r="FG17" i="3"/>
  <c r="DK16" i="3"/>
  <c r="CS16" i="3"/>
  <c r="CY10" i="3"/>
  <c r="FM6" i="3"/>
  <c r="DK5" i="3"/>
  <c r="S5" i="3"/>
  <c r="CS82" i="3"/>
  <c r="M78" i="3"/>
  <c r="FG70" i="3"/>
  <c r="EC69" i="3"/>
  <c r="FY68" i="3"/>
  <c r="EC65" i="3"/>
  <c r="S63" i="3"/>
  <c r="Y59" i="3"/>
  <c r="G57" i="3"/>
  <c r="CY54" i="3"/>
  <c r="G54" i="3"/>
  <c r="EU52" i="3"/>
  <c r="BC52" i="3"/>
  <c r="AQ49" i="3"/>
  <c r="FS46" i="3"/>
  <c r="G43" i="3"/>
  <c r="FS40" i="3"/>
  <c r="DK37" i="3"/>
  <c r="BO30" i="3"/>
  <c r="AW30" i="3"/>
  <c r="EC29" i="3"/>
  <c r="S29" i="3"/>
  <c r="BO27" i="3"/>
  <c r="CM26" i="3"/>
  <c r="EI24" i="3"/>
  <c r="FG23" i="3"/>
  <c r="DK20" i="3"/>
  <c r="FY17" i="3"/>
  <c r="CG17" i="3"/>
  <c r="FA7" i="3"/>
  <c r="DE6" i="3"/>
  <c r="AQ87" i="3"/>
  <c r="G84" i="3"/>
  <c r="DW83" i="3"/>
  <c r="AE83" i="3"/>
  <c r="S80" i="3"/>
  <c r="FY78" i="3"/>
  <c r="EU77" i="3"/>
  <c r="DQ73" i="3"/>
  <c r="FM72" i="3"/>
  <c r="BU72" i="3"/>
  <c r="CY68" i="3"/>
  <c r="AK67" i="3"/>
  <c r="DQ66" i="3"/>
  <c r="GE65" i="3"/>
  <c r="CY64" i="3"/>
  <c r="AK63" i="3"/>
  <c r="FY61" i="3"/>
  <c r="FM60" i="3"/>
  <c r="AK60" i="3"/>
  <c r="Y57" i="3"/>
  <c r="EU55" i="3"/>
  <c r="DQ54" i="3"/>
  <c r="EO53" i="3"/>
  <c r="GK51" i="3"/>
  <c r="FG48" i="3"/>
  <c r="GK46" i="3"/>
  <c r="EO45" i="3"/>
  <c r="AW42" i="3"/>
  <c r="FM41" i="3"/>
  <c r="FY39" i="3"/>
  <c r="BI36" i="3"/>
  <c r="CG35" i="3"/>
  <c r="G33" i="3"/>
  <c r="CS31" i="3"/>
  <c r="BC29" i="3"/>
  <c r="FG15" i="3"/>
  <c r="AQ10" i="3"/>
  <c r="DW9" i="3"/>
  <c r="Y7" i="3"/>
  <c r="G7" i="3"/>
  <c r="DQ4" i="3"/>
  <c r="CY4" i="3"/>
  <c r="FM3" i="3"/>
  <c r="BU3" i="3"/>
  <c r="AK95" i="3"/>
  <c r="CG94" i="3"/>
  <c r="AW94" i="3"/>
  <c r="M94" i="3"/>
  <c r="S93" i="3"/>
  <c r="CS90" i="3"/>
  <c r="BC88" i="3"/>
  <c r="DE85" i="3"/>
  <c r="Y84" i="3"/>
  <c r="EO83" i="3"/>
  <c r="AW81" i="3"/>
  <c r="AK80" i="3"/>
  <c r="FS76" i="3"/>
  <c r="FY75" i="3"/>
  <c r="EU74" i="3"/>
  <c r="BU74" i="3"/>
  <c r="FS73" i="3"/>
  <c r="EI73" i="3"/>
  <c r="GK71" i="3"/>
  <c r="Y70" i="3"/>
  <c r="FA66" i="3"/>
  <c r="EI66" i="3"/>
  <c r="AK65" i="3"/>
  <c r="S65" i="3"/>
  <c r="DE63" i="3"/>
  <c r="FS62" i="3"/>
  <c r="BC60" i="3"/>
  <c r="GK57" i="3"/>
  <c r="BI57" i="3"/>
  <c r="AQ57" i="3"/>
  <c r="FG56" i="3"/>
  <c r="DE52" i="3"/>
  <c r="Y51" i="3"/>
  <c r="GE49" i="3"/>
  <c r="GE47" i="3"/>
  <c r="CM47" i="3"/>
  <c r="M45" i="3"/>
  <c r="AK44" i="3"/>
  <c r="FA43" i="3"/>
  <c r="EI43" i="3"/>
  <c r="BI43" i="3"/>
  <c r="CG42" i="3"/>
  <c r="FM37" i="3"/>
  <c r="DE34" i="3"/>
  <c r="CM34" i="3"/>
  <c r="BC34" i="3"/>
  <c r="FA33" i="3"/>
  <c r="DK31" i="3"/>
  <c r="FS28" i="3"/>
  <c r="Y27" i="3"/>
  <c r="BC25" i="3"/>
  <c r="Y23" i="3"/>
  <c r="DW22" i="3"/>
  <c r="AE22" i="3"/>
  <c r="BI21" i="3"/>
  <c r="GE20" i="3"/>
  <c r="Y19" i="3"/>
  <c r="DW18" i="3"/>
  <c r="DE14" i="3"/>
  <c r="CM14" i="3"/>
  <c r="M11" i="3"/>
  <c r="CA10" i="3"/>
  <c r="BI7" i="3"/>
  <c r="AW6" i="3"/>
  <c r="GE5" i="3"/>
  <c r="CM5" i="3"/>
  <c r="M3" i="3"/>
  <c r="CM95" i="3"/>
  <c r="BU95" i="3"/>
  <c r="GK94" i="3"/>
  <c r="FA94" i="3"/>
  <c r="EI94" i="3"/>
  <c r="CY94" i="3"/>
  <c r="FA92" i="3"/>
  <c r="Y92" i="3"/>
  <c r="FG91" i="3"/>
  <c r="EU90" i="3"/>
  <c r="S90" i="3"/>
  <c r="G86" i="3"/>
  <c r="EO85" i="3"/>
  <c r="CS84" i="3"/>
  <c r="CG83" i="3"/>
  <c r="DQ81" i="3"/>
  <c r="DK76" i="3"/>
  <c r="AK76" i="3"/>
  <c r="GE74" i="3"/>
  <c r="DE74" i="3"/>
  <c r="AQ73" i="3"/>
  <c r="EC71" i="3"/>
  <c r="FY67" i="3"/>
  <c r="EO67" i="3"/>
  <c r="DW65" i="3"/>
  <c r="DE65" i="3"/>
  <c r="CM65" i="3"/>
  <c r="DW63" i="3"/>
  <c r="M63" i="3"/>
  <c r="AK62" i="3"/>
  <c r="AQ61" i="3"/>
  <c r="DW55" i="3"/>
  <c r="G53" i="3"/>
  <c r="EO52" i="3"/>
  <c r="DK51" i="3"/>
  <c r="S49" i="3"/>
  <c r="DW47" i="3"/>
  <c r="S46" i="3"/>
  <c r="BC44" i="3"/>
  <c r="CS43" i="3"/>
  <c r="G42" i="3"/>
  <c r="AE41" i="3"/>
  <c r="FM40" i="3"/>
  <c r="AK40" i="3"/>
  <c r="S40" i="3"/>
  <c r="EI35" i="3"/>
  <c r="FY34" i="3"/>
  <c r="FG34" i="3"/>
  <c r="M34" i="3"/>
  <c r="GK33" i="3"/>
  <c r="FY32" i="3"/>
  <c r="CG32" i="3"/>
  <c r="BO32" i="3"/>
  <c r="BC31" i="3"/>
  <c r="BI27" i="3"/>
  <c r="AK24" i="3"/>
  <c r="FG22" i="3"/>
  <c r="BO22" i="3"/>
  <c r="BI19" i="3"/>
  <c r="CA17" i="3"/>
  <c r="M14" i="3"/>
  <c r="EO11" i="3"/>
  <c r="DW8" i="3"/>
  <c r="EU7" i="3"/>
  <c r="DK7" i="3"/>
  <c r="FY6" i="3"/>
  <c r="DW5" i="3"/>
  <c r="AE5" i="3"/>
  <c r="CA4" i="3"/>
  <c r="Y4" i="3"/>
  <c r="BI92" i="3"/>
  <c r="BC90" i="3"/>
  <c r="FG88" i="3"/>
  <c r="AE88" i="3"/>
  <c r="FY85" i="3"/>
  <c r="EO82" i="3"/>
  <c r="GK81" i="3"/>
  <c r="DE80" i="3"/>
  <c r="GK78" i="3"/>
  <c r="FA78" i="3"/>
  <c r="BI78" i="3"/>
  <c r="FA75" i="3"/>
  <c r="BI75" i="3"/>
  <c r="EO74" i="3"/>
  <c r="DK73" i="3"/>
  <c r="FY72" i="3"/>
  <c r="CG72" i="3"/>
  <c r="BU71" i="3"/>
  <c r="FG69" i="3"/>
  <c r="AE67" i="3"/>
  <c r="EC66" i="3"/>
  <c r="DK66" i="3"/>
  <c r="CS66" i="3"/>
  <c r="FY63" i="3"/>
  <c r="BU62" i="3"/>
  <c r="FS61" i="3"/>
  <c r="AE60" i="3"/>
  <c r="EU57" i="3"/>
  <c r="Y56" i="3"/>
  <c r="FG55" i="3"/>
  <c r="AW55" i="3"/>
  <c r="FY52" i="3"/>
  <c r="GE51" i="3"/>
  <c r="S51" i="3"/>
  <c r="Y50" i="3"/>
  <c r="DW49" i="3"/>
  <c r="CM49" i="3"/>
  <c r="CM46" i="3"/>
  <c r="CM44" i="3"/>
  <c r="M44" i="3"/>
  <c r="EC43" i="3"/>
  <c r="AK43" i="3"/>
  <c r="BI42" i="3"/>
  <c r="BU40" i="3"/>
  <c r="CG34" i="3"/>
  <c r="DQ32" i="3"/>
  <c r="DE31" i="3"/>
  <c r="BO29" i="3"/>
  <c r="BC28" i="3"/>
  <c r="DW25" i="3"/>
  <c r="AE25" i="3"/>
  <c r="CY22" i="3"/>
  <c r="G22" i="3"/>
  <c r="AK21" i="3"/>
  <c r="CS19" i="3"/>
  <c r="S17" i="3"/>
  <c r="AW14" i="3"/>
  <c r="BC13" i="3"/>
  <c r="CG11" i="3"/>
  <c r="GE10" i="3"/>
  <c r="BC10" i="3"/>
  <c r="BO8" i="3"/>
  <c r="GE7" i="3"/>
  <c r="FM7" i="3"/>
  <c r="BC7" i="3"/>
  <c r="DQ6" i="3"/>
  <c r="Y6" i="3"/>
  <c r="FG5" i="3"/>
  <c r="BO5" i="3"/>
  <c r="CS4" i="3"/>
  <c r="CS92" i="3"/>
  <c r="AQ91" i="3"/>
  <c r="DW90" i="3"/>
  <c r="CG88" i="3"/>
  <c r="GE87" i="3"/>
  <c r="CA86" i="3"/>
  <c r="BC84" i="3"/>
  <c r="FA83" i="3"/>
  <c r="AE82" i="3"/>
  <c r="M82" i="3"/>
  <c r="CA81" i="3"/>
  <c r="BI81" i="3"/>
  <c r="AW80" i="3"/>
  <c r="M79" i="3"/>
  <c r="CS78" i="3"/>
  <c r="CM76" i="3"/>
  <c r="M76" i="3"/>
  <c r="FY74" i="3"/>
  <c r="M71" i="3"/>
  <c r="AK70" i="3"/>
  <c r="AW69" i="3"/>
  <c r="M69" i="3"/>
  <c r="CY67" i="3"/>
  <c r="CG65" i="3"/>
  <c r="EU64" i="3"/>
  <c r="S64" i="3"/>
  <c r="DE62" i="3"/>
  <c r="DK61" i="3"/>
  <c r="CG60" i="3"/>
  <c r="GK56" i="3"/>
  <c r="CY55" i="3"/>
  <c r="CA53" i="3"/>
  <c r="G47" i="3"/>
  <c r="DE46" i="3"/>
  <c r="GK45" i="3"/>
  <c r="FS45" i="3"/>
  <c r="AQ45" i="3"/>
  <c r="DW44" i="3"/>
  <c r="AW44" i="3"/>
  <c r="FM43" i="3"/>
  <c r="BU43" i="3"/>
  <c r="CY41" i="3"/>
  <c r="DW40" i="3"/>
  <c r="AK35" i="3"/>
  <c r="FA34" i="3"/>
  <c r="BU33" i="3"/>
  <c r="FA32" i="3"/>
  <c r="AQ32" i="3"/>
  <c r="EO31" i="3"/>
  <c r="AW31" i="3"/>
  <c r="M31" i="3"/>
  <c r="EC30" i="3"/>
  <c r="S30" i="3"/>
  <c r="AK27" i="3"/>
  <c r="BO25" i="3"/>
  <c r="M24" i="3"/>
  <c r="AK23" i="3"/>
  <c r="EI22" i="3"/>
  <c r="FG21" i="3"/>
  <c r="DW21" i="3"/>
  <c r="EC19" i="3"/>
  <c r="FS18" i="3"/>
  <c r="DQ18" i="3"/>
  <c r="EU17" i="3"/>
  <c r="CG16" i="3"/>
  <c r="BO16" i="3"/>
  <c r="DQ14" i="3"/>
  <c r="BU13" i="3"/>
  <c r="BI6" i="3"/>
  <c r="CY5" i="3"/>
  <c r="G5" i="3"/>
  <c r="FY90" i="3"/>
  <c r="DQ88" i="3"/>
  <c r="G88" i="3"/>
  <c r="DW84" i="3"/>
  <c r="EI82" i="3"/>
  <c r="CY82" i="3"/>
  <c r="CG82" i="3"/>
  <c r="FY80" i="3"/>
  <c r="FM79" i="3"/>
  <c r="AW79" i="3"/>
  <c r="EC78" i="3"/>
  <c r="S78" i="3"/>
  <c r="Y77" i="3"/>
  <c r="G77" i="3"/>
  <c r="DW76" i="3"/>
  <c r="AE76" i="3"/>
  <c r="EC75" i="3"/>
  <c r="CY74" i="3"/>
  <c r="G74" i="3"/>
  <c r="FA72" i="3"/>
  <c r="Y72" i="3"/>
  <c r="EO71" i="3"/>
  <c r="AW71" i="3"/>
  <c r="DQ69" i="3"/>
  <c r="BC66" i="3"/>
  <c r="AK66" i="3"/>
  <c r="FS65" i="3"/>
  <c r="BC64" i="3"/>
  <c r="EO62" i="3"/>
  <c r="AE62" i="3"/>
  <c r="EU61" i="3"/>
  <c r="AK61" i="3"/>
  <c r="FA60" i="3"/>
  <c r="G60" i="3"/>
  <c r="BI58" i="3"/>
  <c r="DE57" i="3"/>
  <c r="CS56" i="3"/>
  <c r="CS50" i="3"/>
  <c r="BO49" i="3"/>
  <c r="S48" i="3"/>
  <c r="AQ47" i="3"/>
  <c r="BI45" i="3"/>
  <c r="FG44" i="3"/>
  <c r="BO44" i="3"/>
  <c r="GK32" i="3"/>
  <c r="CS32" i="3"/>
  <c r="G29" i="3"/>
  <c r="DW28" i="3"/>
  <c r="AE28" i="3"/>
  <c r="CY25" i="3"/>
  <c r="FS22" i="3"/>
  <c r="CA22" i="3"/>
  <c r="CY20" i="3"/>
  <c r="FM19" i="3"/>
  <c r="GK18" i="3"/>
  <c r="FA11" i="3"/>
  <c r="AE10" i="3"/>
  <c r="EI8" i="3"/>
  <c r="FG7" i="3"/>
  <c r="EO7" i="3"/>
  <c r="DW7" i="3"/>
  <c r="GK6" i="3"/>
  <c r="CS6" i="3"/>
  <c r="EI5" i="3"/>
  <c r="AQ5" i="3"/>
  <c r="BC4" i="3"/>
  <c r="EC45" i="3"/>
  <c r="AE43" i="3"/>
  <c r="FA41" i="3"/>
  <c r="CG40" i="3"/>
  <c r="BO40" i="3"/>
  <c r="BU39" i="3"/>
  <c r="CS38" i="3"/>
  <c r="EI37" i="3"/>
  <c r="AQ37" i="3"/>
  <c r="EO36" i="3"/>
  <c r="FM35" i="3"/>
  <c r="CG31" i="3"/>
  <c r="FA29" i="3"/>
  <c r="Y29" i="3"/>
  <c r="S26" i="3"/>
  <c r="BO24" i="3"/>
  <c r="CM23" i="3"/>
  <c r="FA20" i="3"/>
  <c r="DE17" i="3"/>
  <c r="M17" i="3"/>
  <c r="FA16" i="3"/>
  <c r="EI16" i="3"/>
  <c r="BC15" i="3"/>
  <c r="GK14" i="3"/>
  <c r="AQ14" i="3"/>
  <c r="DW4" i="3"/>
  <c r="DK91" i="3"/>
  <c r="S91" i="3"/>
  <c r="BU89" i="3"/>
  <c r="AQ88" i="3"/>
  <c r="AE84" i="3"/>
  <c r="M84" i="3"/>
  <c r="FS82" i="3"/>
  <c r="FA82" i="3"/>
  <c r="S81" i="3"/>
  <c r="DQ80" i="3"/>
  <c r="BU78" i="3"/>
  <c r="FA77" i="3"/>
  <c r="BO76" i="3"/>
  <c r="BU75" i="3"/>
  <c r="AQ74" i="3"/>
  <c r="CA72" i="3"/>
  <c r="CG71" i="3"/>
  <c r="M70" i="3"/>
  <c r="BI67" i="3"/>
  <c r="DW64" i="3"/>
  <c r="FY62" i="3"/>
  <c r="CM61" i="3"/>
  <c r="FS60" i="3"/>
  <c r="BI60" i="3"/>
  <c r="FY57" i="3"/>
  <c r="FM56" i="3"/>
  <c r="FS55" i="3"/>
  <c r="CA55" i="3"/>
  <c r="EU53" i="3"/>
  <c r="FS49" i="3"/>
  <c r="FA49" i="3"/>
  <c r="EI49" i="3"/>
  <c r="CG49" i="3"/>
  <c r="GE48" i="3"/>
  <c r="BC48" i="3"/>
  <c r="CA47" i="3"/>
  <c r="CY46" i="3"/>
  <c r="CG46" i="3"/>
  <c r="EU45" i="3"/>
  <c r="Y44" i="3"/>
  <c r="CA29" i="3"/>
  <c r="M27" i="3"/>
  <c r="BO10" i="3"/>
  <c r="AW7" i="3"/>
  <c r="AW106" i="3"/>
  <c r="G106" i="3"/>
  <c r="BC104" i="3"/>
  <c r="FY103" i="3"/>
  <c r="DW103" i="3"/>
  <c r="FY101" i="3"/>
  <c r="DE101" i="3"/>
  <c r="AK101" i="3"/>
  <c r="FG100" i="3"/>
  <c r="DQ100" i="3"/>
  <c r="Y100" i="3"/>
  <c r="EO98" i="3"/>
  <c r="BU98" i="3"/>
  <c r="EO97" i="3"/>
  <c r="M97" i="3"/>
  <c r="DE94" i="3"/>
  <c r="DE92" i="3"/>
  <c r="FG108" i="3"/>
  <c r="S108" i="3"/>
  <c r="EU121" i="3"/>
  <c r="G121" i="3"/>
  <c r="G120" i="3"/>
  <c r="FS119" i="3"/>
  <c r="S115" i="3"/>
  <c r="BO112" i="3"/>
  <c r="CA111" i="3"/>
  <c r="G111" i="3"/>
  <c r="FS110" i="3"/>
  <c r="CY110" i="3"/>
  <c r="AE110" i="3"/>
  <c r="EC108" i="3"/>
  <c r="GE107" i="3"/>
  <c r="EO105" i="3"/>
  <c r="BU105" i="3"/>
  <c r="DW102" i="3"/>
  <c r="BC102" i="3"/>
  <c r="EU101" i="3"/>
  <c r="AK96" i="3"/>
  <c r="EC95" i="3"/>
  <c r="DE93" i="3"/>
  <c r="AK93" i="3"/>
  <c r="CS69" i="3"/>
  <c r="DW120" i="3"/>
  <c r="EU112" i="3"/>
  <c r="CA121" i="3"/>
  <c r="EU120" i="3"/>
  <c r="FG120" i="3"/>
  <c r="S120" i="3"/>
  <c r="AQ118" i="3"/>
  <c r="FM117" i="3"/>
  <c r="CS117" i="3"/>
  <c r="CS116" i="3"/>
  <c r="FM115" i="3"/>
  <c r="DK115" i="3"/>
  <c r="CA112" i="3"/>
  <c r="AK112" i="3"/>
  <c r="GK111" i="3"/>
  <c r="DQ111" i="3"/>
  <c r="CY109" i="3"/>
  <c r="G109" i="3"/>
  <c r="FS108" i="3"/>
  <c r="CY108" i="3"/>
  <c r="BU108" i="3"/>
  <c r="AE108" i="3"/>
  <c r="BO107" i="3"/>
  <c r="DK106" i="3"/>
  <c r="AE106" i="3"/>
  <c r="FY104" i="3"/>
  <c r="FM102" i="3"/>
  <c r="CS102" i="3"/>
  <c r="Y102" i="3"/>
  <c r="EC99" i="3"/>
  <c r="BI99" i="3"/>
  <c r="FS94" i="3"/>
  <c r="DE111" i="3"/>
  <c r="FS107" i="3"/>
  <c r="BI111" i="3"/>
  <c r="FA110" i="3"/>
  <c r="CG110" i="3"/>
  <c r="M110" i="3"/>
  <c r="BU109" i="3"/>
  <c r="CG106" i="3"/>
  <c r="CA104" i="3"/>
  <c r="G104" i="3"/>
  <c r="DE103" i="3"/>
  <c r="BO103" i="3"/>
  <c r="Y103" i="3"/>
  <c r="EC101" i="3"/>
  <c r="BI101" i="3"/>
  <c r="FS99" i="3"/>
  <c r="CY99" i="3"/>
  <c r="AE99" i="3"/>
  <c r="DW98" i="3"/>
  <c r="CS98" i="3"/>
  <c r="Y98" i="3"/>
  <c r="GK97" i="3"/>
  <c r="FG119" i="3"/>
  <c r="AQ119" i="3"/>
  <c r="FY111" i="3"/>
  <c r="GE120" i="3"/>
  <c r="AQ120" i="3"/>
  <c r="CA119" i="3"/>
  <c r="EU118" i="3"/>
  <c r="EO112" i="3"/>
  <c r="AW112" i="3"/>
  <c r="FY109" i="3"/>
  <c r="M108" i="3"/>
  <c r="FY106" i="3"/>
  <c r="CS106" i="3"/>
  <c r="AQ106" i="3"/>
  <c r="GK104" i="3"/>
  <c r="DQ104" i="3"/>
  <c r="AW104" i="3"/>
  <c r="FS103" i="3"/>
  <c r="DQ103" i="3"/>
  <c r="AE101" i="3"/>
  <c r="FA100" i="3"/>
  <c r="BI100" i="3"/>
  <c r="S100" i="3"/>
  <c r="BI97" i="3"/>
  <c r="AE95" i="3"/>
  <c r="BO84" i="3"/>
  <c r="DW116" i="3"/>
  <c r="EI121" i="3"/>
  <c r="BO120" i="3"/>
  <c r="FM119" i="3"/>
  <c r="CY119" i="3"/>
  <c r="CA118" i="3"/>
  <c r="AK118" i="3"/>
  <c r="GK117" i="3"/>
  <c r="DQ117" i="3"/>
  <c r="EC116" i="3"/>
  <c r="CA116" i="3"/>
  <c r="EU115" i="3"/>
  <c r="BC115" i="3"/>
  <c r="FY114" i="3"/>
  <c r="DE114" i="3"/>
  <c r="FA112" i="3"/>
  <c r="EO111" i="3"/>
  <c r="BU111" i="3"/>
  <c r="EI109" i="3"/>
  <c r="CS109" i="3"/>
  <c r="AQ109" i="3"/>
  <c r="DW108" i="3"/>
  <c r="BC108" i="3"/>
  <c r="Y108" i="3"/>
  <c r="CY107" i="3"/>
  <c r="GK106" i="3"/>
  <c r="DE106" i="3"/>
  <c r="M106" i="3"/>
  <c r="EC104" i="3"/>
  <c r="BI104" i="3"/>
  <c r="EC103" i="3"/>
  <c r="AW103" i="3"/>
  <c r="GK102" i="3"/>
  <c r="DQ102" i="3"/>
  <c r="AW102" i="3"/>
  <c r="AQ101" i="3"/>
  <c r="FM100" i="3"/>
  <c r="DW100" i="3"/>
  <c r="AE100" i="3"/>
  <c r="FA99" i="3"/>
  <c r="CG99" i="3"/>
  <c r="FY98" i="3"/>
  <c r="G98" i="3"/>
  <c r="CG97" i="3"/>
  <c r="FS96" i="3"/>
  <c r="CY96" i="3"/>
  <c r="AE96" i="3"/>
  <c r="CS95" i="3"/>
  <c r="AW88" i="3"/>
  <c r="EI120" i="3"/>
  <c r="AE118" i="3"/>
  <c r="CM108" i="3"/>
  <c r="BO121" i="3"/>
  <c r="GE109" i="3"/>
  <c r="CM109" i="3"/>
  <c r="CM120" i="3"/>
  <c r="FY119" i="3"/>
  <c r="DW119" i="3"/>
  <c r="EO118" i="3"/>
  <c r="AW118" i="3"/>
  <c r="FG115" i="3"/>
  <c r="GK114" i="3"/>
  <c r="DQ114" i="3"/>
  <c r="CG112" i="3"/>
  <c r="AE112" i="3"/>
  <c r="FA111" i="3"/>
  <c r="CG111" i="3"/>
  <c r="EU109" i="3"/>
  <c r="DE109" i="3"/>
  <c r="EI108" i="3"/>
  <c r="BO108" i="3"/>
  <c r="AK108" i="3"/>
  <c r="DW107" i="3"/>
  <c r="DQ106" i="3"/>
  <c r="CA106" i="3"/>
  <c r="EU105" i="3"/>
  <c r="CA105" i="3"/>
  <c r="G105" i="3"/>
  <c r="FS104" i="3"/>
  <c r="EO104" i="3"/>
  <c r="CY104" i="3"/>
  <c r="BU104" i="3"/>
  <c r="FA103" i="3"/>
  <c r="CY103" i="3"/>
  <c r="BI103" i="3"/>
  <c r="BC101" i="3"/>
  <c r="FY100" i="3"/>
  <c r="FM99" i="3"/>
  <c r="CS99" i="3"/>
  <c r="Y99" i="3"/>
  <c r="GK98" i="3"/>
  <c r="FY94" i="3"/>
  <c r="AE94" i="3"/>
  <c r="DQ90" i="3"/>
  <c r="EO114" i="3"/>
  <c r="GE106" i="3"/>
  <c r="FM121" i="3"/>
  <c r="CS121" i="3"/>
  <c r="Y121" i="3"/>
  <c r="BU117" i="3"/>
  <c r="FA116" i="3"/>
  <c r="BI116" i="3"/>
  <c r="EC115" i="3"/>
  <c r="BI114" i="3"/>
  <c r="FA113" i="3"/>
  <c r="CG113" i="3"/>
  <c r="M113" i="3"/>
  <c r="FY112" i="3"/>
  <c r="Y111" i="3"/>
  <c r="GK110" i="3"/>
  <c r="DQ110" i="3"/>
  <c r="AW110" i="3"/>
  <c r="G107" i="3"/>
  <c r="AK106" i="3"/>
  <c r="AQ104" i="3"/>
  <c r="FM103" i="3"/>
  <c r="FM101" i="3"/>
  <c r="CS101" i="3"/>
  <c r="AW115" i="3"/>
  <c r="AK109" i="3"/>
  <c r="AW108" i="3"/>
  <c r="S107" i="3"/>
  <c r="FA104" i="3"/>
  <c r="CG104" i="3"/>
  <c r="M104" i="3"/>
  <c r="BU103" i="3"/>
  <c r="AE103" i="3"/>
  <c r="BO101" i="3"/>
  <c r="DE100" i="3"/>
  <c r="AE98" i="3"/>
  <c r="EC97" i="3"/>
  <c r="BC97" i="3"/>
  <c r="DW96" i="3"/>
  <c r="Y95" i="3"/>
  <c r="DQ78" i="3"/>
  <c r="EC98" i="3"/>
  <c r="CM98" i="3"/>
  <c r="BI98" i="3"/>
  <c r="DQ97" i="3"/>
  <c r="GE96" i="3"/>
  <c r="DK96" i="3"/>
  <c r="AQ96" i="3"/>
  <c r="EI95" i="3"/>
  <c r="DE95" i="3"/>
  <c r="BC95" i="3"/>
  <c r="EC94" i="3"/>
  <c r="GE93" i="3"/>
  <c r="DK93" i="3"/>
  <c r="AQ93" i="3"/>
  <c r="BU92" i="3"/>
  <c r="EI91" i="3"/>
  <c r="BO91" i="3"/>
  <c r="FM89" i="3"/>
  <c r="CS89" i="3"/>
  <c r="EU88" i="3"/>
  <c r="EO87" i="3"/>
  <c r="CY87" i="3"/>
  <c r="FS86" i="3"/>
  <c r="CY86" i="3"/>
  <c r="AE86" i="3"/>
  <c r="FM85" i="3"/>
  <c r="CS85" i="3"/>
  <c r="Y85" i="3"/>
  <c r="FY84" i="3"/>
  <c r="AK84" i="3"/>
  <c r="EU83" i="3"/>
  <c r="CA83" i="3"/>
  <c r="G83" i="3"/>
  <c r="AQ82" i="3"/>
  <c r="DE81" i="3"/>
  <c r="GE80" i="3"/>
  <c r="DK80" i="3"/>
  <c r="AQ80" i="3"/>
  <c r="AE79" i="3"/>
  <c r="EO78" i="3"/>
  <c r="CY78" i="3"/>
  <c r="AE78" i="3"/>
  <c r="FS77" i="3"/>
  <c r="EC77" i="3"/>
  <c r="AK77" i="3"/>
  <c r="EU76" i="3"/>
  <c r="DE76" i="3"/>
  <c r="DW75" i="3"/>
  <c r="FM74" i="3"/>
  <c r="CS74" i="3"/>
  <c r="Y74" i="3"/>
  <c r="GE72" i="3"/>
  <c r="GE70" i="3"/>
  <c r="EO70" i="3"/>
  <c r="DK70" i="3"/>
  <c r="BU70" i="3"/>
  <c r="AQ70" i="3"/>
  <c r="BO69" i="3"/>
  <c r="GK67" i="3"/>
  <c r="AW67" i="3"/>
  <c r="FM65" i="3"/>
  <c r="G65" i="3"/>
  <c r="FS64" i="3"/>
  <c r="EC64" i="3"/>
  <c r="CM55" i="3"/>
  <c r="FS48" i="3"/>
  <c r="FG43" i="3"/>
  <c r="CM43" i="3"/>
  <c r="BC96" i="3"/>
  <c r="EU95" i="3"/>
  <c r="DW93" i="3"/>
  <c r="BC93" i="3"/>
  <c r="CG92" i="3"/>
  <c r="M92" i="3"/>
  <c r="FA87" i="3"/>
  <c r="DK87" i="3"/>
  <c r="BI84" i="3"/>
  <c r="FG83" i="3"/>
  <c r="CM83" i="3"/>
  <c r="S83" i="3"/>
  <c r="GE82" i="3"/>
  <c r="EC81" i="3"/>
  <c r="DW80" i="3"/>
  <c r="BC80" i="3"/>
  <c r="AQ79" i="3"/>
  <c r="EI75" i="3"/>
  <c r="CS75" i="3"/>
  <c r="CM69" i="3"/>
  <c r="BU67" i="3"/>
  <c r="G67" i="3"/>
  <c r="FG66" i="3"/>
  <c r="AE48" i="3"/>
  <c r="FS43" i="3"/>
  <c r="CY43" i="3"/>
  <c r="GK95" i="3"/>
  <c r="DQ95" i="3"/>
  <c r="CA95" i="3"/>
  <c r="FM94" i="3"/>
  <c r="Y94" i="3"/>
  <c r="Y93" i="3"/>
  <c r="GK91" i="3"/>
  <c r="DQ91" i="3"/>
  <c r="AW91" i="3"/>
  <c r="DE90" i="3"/>
  <c r="BO90" i="3"/>
  <c r="EU89" i="3"/>
  <c r="CA89" i="3"/>
  <c r="G89" i="3"/>
  <c r="FS88" i="3"/>
  <c r="BO88" i="3"/>
  <c r="M88" i="3"/>
  <c r="DW87" i="3"/>
  <c r="CG87" i="3"/>
  <c r="EU85" i="3"/>
  <c r="CA85" i="3"/>
  <c r="G85" i="3"/>
  <c r="BU84" i="3"/>
  <c r="CA82" i="3"/>
  <c r="EO81" i="3"/>
  <c r="M81" i="3"/>
  <c r="DW79" i="3"/>
  <c r="DW78" i="3"/>
  <c r="BC78" i="3"/>
  <c r="CY77" i="3"/>
  <c r="BI77" i="3"/>
  <c r="EC76" i="3"/>
  <c r="BO75" i="3"/>
  <c r="FG73" i="3"/>
  <c r="M73" i="3"/>
  <c r="DK72" i="3"/>
  <c r="G72" i="3"/>
  <c r="FS71" i="3"/>
  <c r="CY71" i="3"/>
  <c r="AE71" i="3"/>
  <c r="CY69" i="3"/>
  <c r="EU68" i="3"/>
  <c r="CA68" i="3"/>
  <c r="G68" i="3"/>
  <c r="CG67" i="3"/>
  <c r="BC61" i="3"/>
  <c r="CA88" i="3"/>
  <c r="GK85" i="3"/>
  <c r="DQ85" i="3"/>
  <c r="AW85" i="3"/>
  <c r="CM82" i="3"/>
  <c r="EI79" i="3"/>
  <c r="Y79" i="3"/>
  <c r="G76" i="3"/>
  <c r="GK74" i="3"/>
  <c r="DQ74" i="3"/>
  <c r="AW74" i="3"/>
  <c r="BO73" i="3"/>
  <c r="EI70" i="3"/>
  <c r="BO70" i="3"/>
  <c r="DK69" i="3"/>
  <c r="CS67" i="3"/>
  <c r="FS66" i="3"/>
  <c r="CS65" i="3"/>
  <c r="DK43" i="3"/>
  <c r="AQ43" i="3"/>
  <c r="AW97" i="3"/>
  <c r="EU96" i="3"/>
  <c r="CA96" i="3"/>
  <c r="G96" i="3"/>
  <c r="FS95" i="3"/>
  <c r="CY95" i="3"/>
  <c r="BI94" i="3"/>
  <c r="EU93" i="3"/>
  <c r="CA93" i="3"/>
  <c r="AK92" i="3"/>
  <c r="FS91" i="3"/>
  <c r="CY91" i="3"/>
  <c r="AE91" i="3"/>
  <c r="GE90" i="3"/>
  <c r="CM88" i="3"/>
  <c r="AK88" i="3"/>
  <c r="BO87" i="3"/>
  <c r="M87" i="3"/>
  <c r="EI86" i="3"/>
  <c r="BO86" i="3"/>
  <c r="EC85" i="3"/>
  <c r="BI85" i="3"/>
  <c r="DE84" i="3"/>
  <c r="GE83" i="3"/>
  <c r="DK83" i="3"/>
  <c r="AQ83" i="3"/>
  <c r="FY82" i="3"/>
  <c r="DK82" i="3"/>
  <c r="FY81" i="3"/>
  <c r="AK81" i="3"/>
  <c r="EU80" i="3"/>
  <c r="CA80" i="3"/>
  <c r="G80" i="3"/>
  <c r="FG79" i="3"/>
  <c r="AK79" i="3"/>
  <c r="BO78" i="3"/>
  <c r="FY77" i="3"/>
  <c r="DW77" i="3"/>
  <c r="CG77" i="3"/>
  <c r="AE77" i="3"/>
  <c r="GE76" i="3"/>
  <c r="BI76" i="3"/>
  <c r="S76" i="3"/>
  <c r="FS75" i="3"/>
  <c r="EC74" i="3"/>
  <c r="BI74" i="3"/>
  <c r="AK73" i="3"/>
  <c r="GK72" i="3"/>
  <c r="FY70" i="3"/>
  <c r="EU70" i="3"/>
  <c r="DE70" i="3"/>
  <c r="CA70" i="3"/>
  <c r="G70" i="3"/>
  <c r="EI69" i="3"/>
  <c r="DQ67" i="3"/>
  <c r="G66" i="3"/>
  <c r="EI64" i="3"/>
  <c r="DE61" i="3"/>
  <c r="AE51" i="3"/>
  <c r="EC46" i="3"/>
  <c r="DW43" i="3"/>
  <c r="BC43" i="3"/>
  <c r="BU94" i="3"/>
  <c r="EO91" i="3"/>
  <c r="BU91" i="3"/>
  <c r="FA88" i="3"/>
  <c r="CY88" i="3"/>
  <c r="FS85" i="3"/>
  <c r="CY85" i="3"/>
  <c r="AE85" i="3"/>
  <c r="DW82" i="3"/>
  <c r="FS79" i="3"/>
  <c r="G75" i="3"/>
  <c r="CM73" i="3"/>
  <c r="FM71" i="3"/>
  <c r="CS71" i="3"/>
  <c r="Y71" i="3"/>
  <c r="EO68" i="3"/>
  <c r="BU68" i="3"/>
  <c r="Y65" i="3"/>
  <c r="S95" i="3"/>
  <c r="CS94" i="3"/>
  <c r="FA91" i="3"/>
  <c r="CG91" i="3"/>
  <c r="M91" i="3"/>
  <c r="AE90" i="3"/>
  <c r="GE89" i="3"/>
  <c r="DK89" i="3"/>
  <c r="AQ89" i="3"/>
  <c r="DW88" i="3"/>
  <c r="AK87" i="3"/>
  <c r="GE85" i="3"/>
  <c r="DK85" i="3"/>
  <c r="AQ85" i="3"/>
  <c r="CS83" i="3"/>
  <c r="Y83" i="3"/>
  <c r="EU82" i="3"/>
  <c r="G82" i="3"/>
  <c r="BU81" i="3"/>
  <c r="EC80" i="3"/>
  <c r="BI80" i="3"/>
  <c r="GE79" i="3"/>
  <c r="S79" i="3"/>
  <c r="FS78" i="3"/>
  <c r="DE77" i="3"/>
  <c r="BC77" i="3"/>
  <c r="AQ76" i="3"/>
  <c r="CY75" i="3"/>
  <c r="FA73" i="3"/>
  <c r="DQ72" i="3"/>
  <c r="BC72" i="3"/>
  <c r="M72" i="3"/>
  <c r="FY71" i="3"/>
  <c r="EI71" i="3"/>
  <c r="DE71" i="3"/>
  <c r="BO71" i="3"/>
  <c r="AK71" i="3"/>
  <c r="FS69" i="3"/>
  <c r="AE69" i="3"/>
  <c r="GE68" i="3"/>
  <c r="FA68" i="3"/>
  <c r="DK68" i="3"/>
  <c r="CG68" i="3"/>
  <c r="AQ68" i="3"/>
  <c r="M68" i="3"/>
  <c r="FA67" i="3"/>
  <c r="Y67" i="3"/>
  <c r="FM66" i="3"/>
  <c r="CY66" i="3"/>
  <c r="GK63" i="3"/>
  <c r="CS51" i="3"/>
  <c r="DW91" i="3"/>
  <c r="BC91" i="3"/>
  <c r="FY88" i="3"/>
  <c r="EI88" i="3"/>
  <c r="S88" i="3"/>
  <c r="FA85" i="3"/>
  <c r="CG85" i="3"/>
  <c r="M85" i="3"/>
  <c r="FG82" i="3"/>
  <c r="S82" i="3"/>
  <c r="G78" i="3"/>
  <c r="FA74" i="3"/>
  <c r="CG74" i="3"/>
  <c r="M74" i="3"/>
  <c r="S73" i="3"/>
  <c r="FS70" i="3"/>
  <c r="CY70" i="3"/>
  <c r="AE70" i="3"/>
  <c r="EU43" i="3"/>
  <c r="CA43" i="3"/>
  <c r="EO65" i="3"/>
  <c r="FS63" i="3"/>
  <c r="EC63" i="3"/>
  <c r="CM63" i="3"/>
  <c r="FG62" i="3"/>
  <c r="EC62" i="3"/>
  <c r="CM62" i="3"/>
  <c r="BI62" i="3"/>
  <c r="S62" i="3"/>
  <c r="EC61" i="3"/>
  <c r="GK59" i="3"/>
  <c r="EU59" i="3"/>
  <c r="DQ59" i="3"/>
  <c r="CA59" i="3"/>
  <c r="AW59" i="3"/>
  <c r="G59" i="3"/>
  <c r="FS58" i="3"/>
  <c r="DQ58" i="3"/>
  <c r="M57" i="3"/>
  <c r="CG56" i="3"/>
  <c r="M56" i="3"/>
  <c r="CG55" i="3"/>
  <c r="EI53" i="3"/>
  <c r="BO53" i="3"/>
  <c r="EC52" i="3"/>
  <c r="BI52" i="3"/>
  <c r="FS51" i="3"/>
  <c r="BC50" i="3"/>
  <c r="GK49" i="3"/>
  <c r="EU49" i="3"/>
  <c r="FA48" i="3"/>
  <c r="AQ48" i="3"/>
  <c r="CG47" i="3"/>
  <c r="M47" i="3"/>
  <c r="FY46" i="3"/>
  <c r="DW46" i="3"/>
  <c r="AE46" i="3"/>
  <c r="AW45" i="3"/>
  <c r="EC44" i="3"/>
  <c r="FG41" i="3"/>
  <c r="CM41" i="3"/>
  <c r="BI41" i="3"/>
  <c r="S41" i="3"/>
  <c r="EO40" i="3"/>
  <c r="BI40" i="3"/>
  <c r="Y38" i="3"/>
  <c r="GK37" i="3"/>
  <c r="DQ37" i="3"/>
  <c r="AW37" i="3"/>
  <c r="DW35" i="3"/>
  <c r="BC35" i="3"/>
  <c r="Y35" i="3"/>
  <c r="GK34" i="3"/>
  <c r="AW34" i="3"/>
  <c r="AQ66" i="3"/>
  <c r="FA65" i="3"/>
  <c r="M65" i="3"/>
  <c r="BI63" i="3"/>
  <c r="G63" i="3"/>
  <c r="AW61" i="3"/>
  <c r="G61" i="3"/>
  <c r="CM58" i="3"/>
  <c r="GK55" i="3"/>
  <c r="CS55" i="3"/>
  <c r="AQ55" i="3"/>
  <c r="DW54" i="3"/>
  <c r="BC54" i="3"/>
  <c r="FS52" i="3"/>
  <c r="CY52" i="3"/>
  <c r="AE52" i="3"/>
  <c r="DE49" i="3"/>
  <c r="BC49" i="3"/>
  <c r="M49" i="3"/>
  <c r="EI46" i="3"/>
  <c r="DK45" i="3"/>
  <c r="BU44" i="3"/>
  <c r="FA40" i="3"/>
  <c r="DK40" i="3"/>
  <c r="FG37" i="3"/>
  <c r="CM37" i="3"/>
  <c r="S37" i="3"/>
  <c r="BI34" i="3"/>
  <c r="CG64" i="3"/>
  <c r="FA61" i="3"/>
  <c r="FG57" i="3"/>
  <c r="EI56" i="3"/>
  <c r="FM54" i="3"/>
  <c r="CS54" i="3"/>
  <c r="Y54" i="3"/>
  <c r="BO51" i="3"/>
  <c r="FY50" i="3"/>
  <c r="DE50" i="3"/>
  <c r="AK50" i="3"/>
  <c r="EI48" i="3"/>
  <c r="EI47" i="3"/>
  <c r="BO47" i="3"/>
  <c r="BU45" i="3"/>
  <c r="GE44" i="3"/>
  <c r="DK44" i="3"/>
  <c r="FY38" i="3"/>
  <c r="DE38" i="3"/>
  <c r="FA36" i="3"/>
  <c r="CG36" i="3"/>
  <c r="M36" i="3"/>
  <c r="FY35" i="3"/>
  <c r="DE35" i="3"/>
  <c r="EC33" i="3"/>
  <c r="BI33" i="3"/>
  <c r="EO32" i="3"/>
  <c r="BO66" i="3"/>
  <c r="AW65" i="3"/>
  <c r="AE63" i="3"/>
  <c r="GE62" i="3"/>
  <c r="FA62" i="3"/>
  <c r="DK62" i="3"/>
  <c r="CG62" i="3"/>
  <c r="AQ62" i="3"/>
  <c r="M62" i="3"/>
  <c r="DW61" i="3"/>
  <c r="BU61" i="3"/>
  <c r="EO60" i="3"/>
  <c r="CY60" i="3"/>
  <c r="EO59" i="3"/>
  <c r="BU59" i="3"/>
  <c r="FA58" i="3"/>
  <c r="DK58" i="3"/>
  <c r="S58" i="3"/>
  <c r="DQ57" i="3"/>
  <c r="CA57" i="3"/>
  <c r="AK57" i="3"/>
  <c r="DE56" i="3"/>
  <c r="AK56" i="3"/>
  <c r="DQ55" i="3"/>
  <c r="FA52" i="3"/>
  <c r="CG52" i="3"/>
  <c r="M52" i="3"/>
  <c r="CA51" i="3"/>
  <c r="EC49" i="3"/>
  <c r="CA49" i="3"/>
  <c r="AK49" i="3"/>
  <c r="GK48" i="3"/>
  <c r="EU48" i="3"/>
  <c r="DE48" i="3"/>
  <c r="M48" i="3"/>
  <c r="DE47" i="3"/>
  <c r="AK47" i="3"/>
  <c r="FG46" i="3"/>
  <c r="M46" i="3"/>
  <c r="FM45" i="3"/>
  <c r="DW45" i="3"/>
  <c r="CG45" i="3"/>
  <c r="AE45" i="3"/>
  <c r="FA44" i="3"/>
  <c r="CG44" i="3"/>
  <c r="DK42" i="3"/>
  <c r="M41" i="3"/>
  <c r="FY40" i="3"/>
  <c r="CS40" i="3"/>
  <c r="DW39" i="3"/>
  <c r="BC39" i="3"/>
  <c r="AW38" i="3"/>
  <c r="EO37" i="3"/>
  <c r="BU37" i="3"/>
  <c r="EU35" i="3"/>
  <c r="CA35" i="3"/>
  <c r="AW35" i="3"/>
  <c r="G35" i="3"/>
  <c r="CS34" i="3"/>
  <c r="GE32" i="3"/>
  <c r="DK32" i="3"/>
  <c r="CA66" i="3"/>
  <c r="BU65" i="3"/>
  <c r="FG64" i="3"/>
  <c r="DE64" i="3"/>
  <c r="BO64" i="3"/>
  <c r="Y64" i="3"/>
  <c r="BC63" i="3"/>
  <c r="FM62" i="3"/>
  <c r="DW62" i="3"/>
  <c r="CS62" i="3"/>
  <c r="BC62" i="3"/>
  <c r="Y62" i="3"/>
  <c r="DK60" i="3"/>
  <c r="GE59" i="3"/>
  <c r="FA59" i="3"/>
  <c r="DK59" i="3"/>
  <c r="CG59" i="3"/>
  <c r="AQ59" i="3"/>
  <c r="M59" i="3"/>
  <c r="AE58" i="3"/>
  <c r="GE57" i="3"/>
  <c r="AW57" i="3"/>
  <c r="DQ56" i="3"/>
  <c r="AW56" i="3"/>
  <c r="GE55" i="3"/>
  <c r="EC55" i="3"/>
  <c r="AK55" i="3"/>
  <c r="FM52" i="3"/>
  <c r="CS52" i="3"/>
  <c r="Y52" i="3"/>
  <c r="CY51" i="3"/>
  <c r="FG50" i="3"/>
  <c r="CM50" i="3"/>
  <c r="S50" i="3"/>
  <c r="CY49" i="3"/>
  <c r="AW49" i="3"/>
  <c r="G49" i="3"/>
  <c r="CA48" i="3"/>
  <c r="AK48" i="3"/>
  <c r="GK47" i="3"/>
  <c r="DQ47" i="3"/>
  <c r="AW47" i="3"/>
  <c r="CA46" i="3"/>
  <c r="FY45" i="3"/>
  <c r="CS45" i="3"/>
  <c r="BC45" i="3"/>
  <c r="FM44" i="3"/>
  <c r="CS44" i="3"/>
  <c r="DW42" i="3"/>
  <c r="AQ42" i="3"/>
  <c r="DW41" i="3"/>
  <c r="BC41" i="3"/>
  <c r="Y41" i="3"/>
  <c r="GK40" i="3"/>
  <c r="DE40" i="3"/>
  <c r="M40" i="3"/>
  <c r="BI38" i="3"/>
  <c r="FA37" i="3"/>
  <c r="CG37" i="3"/>
  <c r="M37" i="3"/>
  <c r="FG35" i="3"/>
  <c r="CM35" i="3"/>
  <c r="BI35" i="3"/>
  <c r="S35" i="3"/>
  <c r="DQ34" i="3"/>
  <c r="DW59" i="3"/>
  <c r="BC59" i="3"/>
  <c r="FY58" i="3"/>
  <c r="CY57" i="3"/>
  <c r="GE56" i="3"/>
  <c r="EC56" i="3"/>
  <c r="DW51" i="3"/>
  <c r="G51" i="3"/>
  <c r="FS50" i="3"/>
  <c r="CY50" i="3"/>
  <c r="AE50" i="3"/>
  <c r="EC48" i="3"/>
  <c r="CM48" i="3"/>
  <c r="AW48" i="3"/>
  <c r="EC47" i="3"/>
  <c r="BI47" i="3"/>
  <c r="FY44" i="3"/>
  <c r="DE44" i="3"/>
  <c r="BC42" i="3"/>
  <c r="EI41" i="3"/>
  <c r="BO41" i="3"/>
  <c r="EU39" i="3"/>
  <c r="CA39" i="3"/>
  <c r="G39" i="3"/>
  <c r="FS38" i="3"/>
  <c r="CY38" i="3"/>
  <c r="FS35" i="3"/>
  <c r="CY35" i="3"/>
  <c r="AE35" i="3"/>
  <c r="FS4" i="3"/>
  <c r="EU63" i="3"/>
  <c r="BO63" i="3"/>
  <c r="M61" i="3"/>
  <c r="FY60" i="3"/>
  <c r="EI60" i="3"/>
  <c r="CS58" i="3"/>
  <c r="FA53" i="3"/>
  <c r="CG53" i="3"/>
  <c r="M53" i="3"/>
  <c r="EI51" i="3"/>
  <c r="CY47" i="3"/>
  <c r="AE47" i="3"/>
  <c r="FG45" i="3"/>
  <c r="DQ45" i="3"/>
  <c r="Y45" i="3"/>
  <c r="EU44" i="3"/>
  <c r="GK42" i="3"/>
  <c r="DE42" i="3"/>
  <c r="GK39" i="3"/>
  <c r="DQ39" i="3"/>
  <c r="AW39" i="3"/>
  <c r="EO38" i="3"/>
  <c r="GK36" i="3"/>
  <c r="DQ36" i="3"/>
  <c r="AW36" i="3"/>
  <c r="EO35" i="3"/>
  <c r="DW66" i="3"/>
  <c r="S66" i="3"/>
  <c r="DQ65" i="3"/>
  <c r="EO64" i="3"/>
  <c r="Y63" i="3"/>
  <c r="GK62" i="3"/>
  <c r="DQ62" i="3"/>
  <c r="AW62" i="3"/>
  <c r="DE60" i="3"/>
  <c r="M60" i="3"/>
  <c r="FY59" i="3"/>
  <c r="EI59" i="3"/>
  <c r="DE59" i="3"/>
  <c r="BO59" i="3"/>
  <c r="AK59" i="3"/>
  <c r="FG58" i="3"/>
  <c r="M58" i="3"/>
  <c r="BU56" i="3"/>
  <c r="FM55" i="3"/>
  <c r="BU55" i="3"/>
  <c r="S55" i="3"/>
  <c r="GK52" i="3"/>
  <c r="DQ52" i="3"/>
  <c r="AW52" i="3"/>
  <c r="EU51" i="3"/>
  <c r="GE50" i="3"/>
  <c r="DK50" i="3"/>
  <c r="AQ50" i="3"/>
  <c r="FY49" i="3"/>
  <c r="BU47" i="3"/>
  <c r="DK46" i="3"/>
  <c r="BI46" i="3"/>
  <c r="CM45" i="3"/>
  <c r="GK44" i="3"/>
  <c r="DQ44" i="3"/>
  <c r="EU42" i="3"/>
  <c r="BO42" i="3"/>
  <c r="AW41" i="3"/>
  <c r="EC40" i="3"/>
  <c r="AW40" i="3"/>
  <c r="CG38" i="3"/>
  <c r="M38" i="3"/>
  <c r="FY37" i="3"/>
  <c r="DE37" i="3"/>
  <c r="AK37" i="3"/>
  <c r="GE35" i="3"/>
  <c r="DK35" i="3"/>
  <c r="AQ35" i="3"/>
  <c r="M35" i="3"/>
  <c r="FM34" i="3"/>
  <c r="Y34" i="3"/>
  <c r="FM33" i="3"/>
  <c r="CS33" i="3"/>
  <c r="EI32" i="3"/>
  <c r="BC32" i="3"/>
  <c r="FA31" i="3"/>
  <c r="CY30" i="3"/>
  <c r="DE29" i="3"/>
  <c r="FY28" i="3"/>
  <c r="DE28" i="3"/>
  <c r="AK28" i="3"/>
  <c r="FS27" i="3"/>
  <c r="EC27" i="3"/>
  <c r="CY27" i="3"/>
  <c r="AE27" i="3"/>
  <c r="FA26" i="3"/>
  <c r="DW26" i="3"/>
  <c r="CG26" i="3"/>
  <c r="BC26" i="3"/>
  <c r="FY25" i="3"/>
  <c r="DE25" i="3"/>
  <c r="AK25" i="3"/>
  <c r="FS24" i="3"/>
  <c r="EC24" i="3"/>
  <c r="CY24" i="3"/>
  <c r="AE24" i="3"/>
  <c r="FA23" i="3"/>
  <c r="DW23" i="3"/>
  <c r="CG23" i="3"/>
  <c r="BC23" i="3"/>
  <c r="FY22" i="3"/>
  <c r="DE22" i="3"/>
  <c r="AK22" i="3"/>
  <c r="BU21" i="3"/>
  <c r="GK20" i="3"/>
  <c r="AW20" i="3"/>
  <c r="EI19" i="3"/>
  <c r="BO19" i="3"/>
  <c r="BI18" i="3"/>
  <c r="GE17" i="3"/>
  <c r="DK17" i="3"/>
  <c r="AQ17" i="3"/>
  <c r="EO16" i="3"/>
  <c r="M16" i="3"/>
  <c r="FM15" i="3"/>
  <c r="CS15" i="3"/>
  <c r="FG14" i="3"/>
  <c r="FM13" i="3"/>
  <c r="GE12" i="3"/>
  <c r="DK12" i="3"/>
  <c r="AQ12" i="3"/>
  <c r="FY11" i="3"/>
  <c r="DE11" i="3"/>
  <c r="AK11" i="3"/>
  <c r="CS10" i="3"/>
  <c r="M10" i="3"/>
  <c r="FM9" i="3"/>
  <c r="FG8" i="3"/>
  <c r="CM8" i="3"/>
  <c r="S8" i="3"/>
  <c r="EC7" i="3"/>
  <c r="EI6" i="3"/>
  <c r="BO6" i="3"/>
  <c r="EC5" i="3"/>
  <c r="BI5" i="3"/>
  <c r="DE4" i="3"/>
  <c r="GE3" i="3"/>
  <c r="DK3" i="3"/>
  <c r="AQ3" i="3"/>
  <c r="FY33" i="3"/>
  <c r="DE33" i="3"/>
  <c r="EU32" i="3"/>
  <c r="CA32" i="3"/>
  <c r="AE31" i="3"/>
  <c r="FA30" i="3"/>
  <c r="GE29" i="3"/>
  <c r="CM29" i="3"/>
  <c r="GK28" i="3"/>
  <c r="DQ28" i="3"/>
  <c r="AW28" i="3"/>
  <c r="GE27" i="3"/>
  <c r="EO27" i="3"/>
  <c r="DK27" i="3"/>
  <c r="AQ27" i="3"/>
  <c r="FM26" i="3"/>
  <c r="EI26" i="3"/>
  <c r="CS26" i="3"/>
  <c r="BO26" i="3"/>
  <c r="Y26" i="3"/>
  <c r="GK25" i="3"/>
  <c r="DQ25" i="3"/>
  <c r="AW25" i="3"/>
  <c r="GE24" i="3"/>
  <c r="EO24" i="3"/>
  <c r="DK24" i="3"/>
  <c r="BU24" i="3"/>
  <c r="AQ24" i="3"/>
  <c r="FM23" i="3"/>
  <c r="EI23" i="3"/>
  <c r="CS23" i="3"/>
  <c r="BO23" i="3"/>
  <c r="GK22" i="3"/>
  <c r="DQ22" i="3"/>
  <c r="AW22" i="3"/>
  <c r="CS21" i="3"/>
  <c r="BU20" i="3"/>
  <c r="EU19" i="3"/>
  <c r="CA19" i="3"/>
  <c r="G19" i="3"/>
  <c r="CG18" i="3"/>
  <c r="DW17" i="3"/>
  <c r="BC17" i="3"/>
  <c r="FM16" i="3"/>
  <c r="AK16" i="3"/>
  <c r="FY15" i="3"/>
  <c r="DE15" i="3"/>
  <c r="AK15" i="3"/>
  <c r="FS14" i="3"/>
  <c r="BO14" i="3"/>
  <c r="Y14" i="3"/>
  <c r="FY13" i="3"/>
  <c r="EI13" i="3"/>
  <c r="GK11" i="3"/>
  <c r="DQ11" i="3"/>
  <c r="AW11" i="3"/>
  <c r="FS10" i="3"/>
  <c r="Y10" i="3"/>
  <c r="FY9" i="3"/>
  <c r="DE9" i="3"/>
  <c r="AK9" i="3"/>
  <c r="FS8" i="3"/>
  <c r="CY8" i="3"/>
  <c r="AE8" i="3"/>
  <c r="AK7" i="3"/>
  <c r="EU6" i="3"/>
  <c r="CA6" i="3"/>
  <c r="G6" i="3"/>
  <c r="EO5" i="3"/>
  <c r="BU5" i="3"/>
  <c r="EC4" i="3"/>
  <c r="DW3" i="3"/>
  <c r="BC3" i="3"/>
  <c r="DQ33" i="3"/>
  <c r="AW33" i="3"/>
  <c r="FG32" i="3"/>
  <c r="CM32" i="3"/>
  <c r="GK31" i="3"/>
  <c r="FM30" i="3"/>
  <c r="CG30" i="3"/>
  <c r="AQ30" i="3"/>
  <c r="CY29" i="3"/>
  <c r="AW29" i="3"/>
  <c r="DW27" i="3"/>
  <c r="BC27" i="3"/>
  <c r="EU26" i="3"/>
  <c r="CA26" i="3"/>
  <c r="G26" i="3"/>
  <c r="FA24" i="3"/>
  <c r="DW24" i="3"/>
  <c r="CG24" i="3"/>
  <c r="BC24" i="3"/>
  <c r="EU23" i="3"/>
  <c r="CA23" i="3"/>
  <c r="G23" i="3"/>
  <c r="DQ21" i="3"/>
  <c r="CS20" i="3"/>
  <c r="FG19" i="3"/>
  <c r="CM19" i="3"/>
  <c r="S19" i="3"/>
  <c r="DE18" i="3"/>
  <c r="EI17" i="3"/>
  <c r="BO17" i="3"/>
  <c r="GK16" i="3"/>
  <c r="BI16" i="3"/>
  <c r="GK15" i="3"/>
  <c r="GE14" i="3"/>
  <c r="CA14" i="3"/>
  <c r="AK14" i="3"/>
  <c r="GK13" i="3"/>
  <c r="M13" i="3"/>
  <c r="EC11" i="3"/>
  <c r="BI11" i="3"/>
  <c r="EC10" i="3"/>
  <c r="GE8" i="3"/>
  <c r="DK8" i="3"/>
  <c r="AQ8" i="3"/>
  <c r="FG6" i="3"/>
  <c r="CM6" i="3"/>
  <c r="S6" i="3"/>
  <c r="FA5" i="3"/>
  <c r="CG5" i="3"/>
  <c r="M5" i="3"/>
  <c r="FA4" i="3"/>
  <c r="EI3" i="3"/>
  <c r="BO3" i="3"/>
  <c r="FM24" i="3"/>
  <c r="CS24" i="3"/>
  <c r="AW23" i="3"/>
  <c r="EO21" i="3"/>
  <c r="DQ20" i="3"/>
  <c r="FS19" i="3"/>
  <c r="CY19" i="3"/>
  <c r="AE19" i="3"/>
  <c r="EC18" i="3"/>
  <c r="EU12" i="3"/>
  <c r="CA12" i="3"/>
  <c r="G12" i="3"/>
  <c r="EO10" i="3"/>
  <c r="BC8" i="3"/>
  <c r="BU7" i="3"/>
  <c r="FS6" i="3"/>
  <c r="CY6" i="3"/>
  <c r="AE6" i="3"/>
  <c r="FY4" i="3"/>
  <c r="AK4" i="3"/>
  <c r="EU3" i="3"/>
  <c r="CA3" i="3"/>
  <c r="G3" i="3"/>
  <c r="GK30" i="3"/>
  <c r="EU30" i="3"/>
  <c r="FM29" i="3"/>
  <c r="GE28" i="3"/>
  <c r="DK28" i="3"/>
  <c r="AQ28" i="3"/>
  <c r="GE25" i="3"/>
  <c r="DK25" i="3"/>
  <c r="AQ25" i="3"/>
  <c r="GE22" i="3"/>
  <c r="DK22" i="3"/>
  <c r="AQ22" i="3"/>
  <c r="FA21" i="3"/>
  <c r="EC20" i="3"/>
  <c r="EO18" i="3"/>
  <c r="FS13" i="3"/>
  <c r="AK13" i="3"/>
  <c r="GK12" i="3"/>
  <c r="DQ12" i="3"/>
  <c r="AW12" i="3"/>
  <c r="BI10" i="3"/>
  <c r="FY7" i="3"/>
  <c r="CG7" i="3"/>
  <c r="EO6" i="3"/>
  <c r="BU6" i="3"/>
  <c r="GK4" i="3"/>
  <c r="AW3" i="3"/>
  <c r="G32" i="3"/>
  <c r="EC31" i="3"/>
  <c r="CA31" i="3"/>
  <c r="FG30" i="3"/>
  <c r="DE30" i="3"/>
  <c r="Y30" i="3"/>
  <c r="CG29" i="3"/>
  <c r="AQ29" i="3"/>
  <c r="EU27" i="3"/>
  <c r="CA27" i="3"/>
  <c r="G27" i="3"/>
  <c r="FS26" i="3"/>
  <c r="CY26" i="3"/>
  <c r="AE26" i="3"/>
  <c r="FY24" i="3"/>
  <c r="EU24" i="3"/>
  <c r="DE24" i="3"/>
  <c r="CA24" i="3"/>
  <c r="G24" i="3"/>
  <c r="FS23" i="3"/>
  <c r="CY23" i="3"/>
  <c r="BI23" i="3"/>
  <c r="AE23" i="3"/>
  <c r="FM21" i="3"/>
  <c r="EO20" i="3"/>
  <c r="GE19" i="3"/>
  <c r="DK19" i="3"/>
  <c r="AQ19" i="3"/>
  <c r="FA18" i="3"/>
  <c r="CY13" i="3"/>
  <c r="FM10" i="3"/>
  <c r="GK7" i="3"/>
  <c r="GE6" i="3"/>
  <c r="DK6" i="3"/>
  <c r="AQ6" i="3"/>
  <c r="BI4" i="3"/>
  <c r="FG3" i="3"/>
  <c r="CM3" i="3"/>
  <c r="S3" i="3"/>
  <c r="FA19" i="3"/>
  <c r="CG19" i="3"/>
  <c r="M19" i="3"/>
  <c r="FM18" i="3"/>
  <c r="AW13" i="3"/>
  <c r="EC12" i="3"/>
  <c r="BI12" i="3"/>
  <c r="CS7" i="3"/>
  <c r="FA6" i="3"/>
  <c r="CG6" i="3"/>
  <c r="M6" i="3"/>
  <c r="BU4" i="3"/>
  <c r="EC3" i="3"/>
  <c r="BI3" i="3"/>
  <c r="DW32" i="3"/>
  <c r="AE32" i="3"/>
  <c r="CM31" i="3"/>
  <c r="G31" i="3"/>
  <c r="CM30" i="3"/>
  <c r="GK29" i="3"/>
  <c r="FG27" i="3"/>
  <c r="CM27" i="3"/>
  <c r="S27" i="3"/>
  <c r="GE26" i="3"/>
  <c r="DK26" i="3"/>
  <c r="AQ26" i="3"/>
  <c r="GK24" i="3"/>
  <c r="FG24" i="3"/>
  <c r="DQ24" i="3"/>
  <c r="CM24" i="3"/>
  <c r="S24" i="3"/>
  <c r="GE23" i="3"/>
  <c r="DK23" i="3"/>
  <c r="BU23" i="3"/>
  <c r="AQ23" i="3"/>
  <c r="GK21" i="3"/>
  <c r="AW21" i="3"/>
  <c r="FM20" i="3"/>
  <c r="DW19" i="3"/>
  <c r="BC19" i="3"/>
  <c r="FY18" i="3"/>
  <c r="FS17" i="3"/>
  <c r="CY17" i="3"/>
  <c r="AE17" i="3"/>
  <c r="DQ16" i="3"/>
  <c r="FA15" i="3"/>
  <c r="CG15" i="3"/>
  <c r="M15" i="3"/>
  <c r="EI14" i="3"/>
  <c r="DK13" i="3"/>
  <c r="FM11" i="3"/>
  <c r="CS11" i="3"/>
  <c r="Y11" i="3"/>
  <c r="EI10" i="3"/>
  <c r="FA9" i="3"/>
  <c r="CG9" i="3"/>
  <c r="M9" i="3"/>
  <c r="EU8" i="3"/>
  <c r="CA8" i="3"/>
  <c r="G8" i="3"/>
  <c r="DE7" i="3"/>
  <c r="DW6" i="3"/>
  <c r="BC6" i="3"/>
  <c r="GK5" i="3"/>
  <c r="DQ5" i="3"/>
  <c r="AW5" i="3"/>
  <c r="CG4" i="3"/>
  <c r="FS3" i="3"/>
  <c r="CY3" i="3"/>
  <c r="AE3" i="3"/>
  <c r="CM118" i="3"/>
  <c r="FY117" i="3"/>
  <c r="DE117" i="3"/>
  <c r="EI116" i="3"/>
  <c r="EI115" i="3"/>
  <c r="EC114" i="3"/>
  <c r="CM112" i="3"/>
  <c r="EU111" i="3"/>
  <c r="DW118" i="3"/>
  <c r="FG117" i="3"/>
  <c r="CM117" i="3"/>
  <c r="S117" i="3"/>
  <c r="FS116" i="3"/>
  <c r="AE116" i="3"/>
  <c r="FS115" i="3"/>
  <c r="AE115" i="3"/>
  <c r="GE114" i="3"/>
  <c r="DK114" i="3"/>
  <c r="AQ114" i="3"/>
  <c r="EI113" i="3"/>
  <c r="BO113" i="3"/>
  <c r="DW112" i="3"/>
  <c r="FG111" i="3"/>
  <c r="CM111" i="3"/>
  <c r="GE105" i="3"/>
  <c r="DK105" i="3"/>
  <c r="AQ105" i="3"/>
  <c r="EI104" i="3"/>
  <c r="EI118" i="3"/>
  <c r="EC117" i="3"/>
  <c r="GE116" i="3"/>
  <c r="AQ116" i="3"/>
  <c r="GE115" i="3"/>
  <c r="AQ115" i="3"/>
  <c r="FA114" i="3"/>
  <c r="CG114" i="3"/>
  <c r="EI112" i="3"/>
  <c r="S119" i="3"/>
  <c r="FG118" i="3"/>
  <c r="S118" i="3"/>
  <c r="EO117" i="3"/>
  <c r="BO116" i="3"/>
  <c r="BO115" i="3"/>
  <c r="FM114" i="3"/>
  <c r="CS114" i="3"/>
  <c r="FG112" i="3"/>
  <c r="S112" i="3"/>
  <c r="FA117" i="3"/>
  <c r="CG117" i="3"/>
  <c r="CM116" i="3"/>
  <c r="CM115" i="3"/>
  <c r="FG102" i="3"/>
  <c r="CM102" i="3"/>
  <c r="S102" i="3"/>
  <c r="GE101" i="3"/>
  <c r="DK101" i="3"/>
  <c r="BC119" i="3"/>
  <c r="BC118" i="3"/>
  <c r="DW117" i="3"/>
  <c r="BC117" i="3"/>
  <c r="CY116" i="3"/>
  <c r="CY115" i="3"/>
  <c r="EU114" i="3"/>
  <c r="CA114" i="3"/>
  <c r="G114" i="3"/>
  <c r="FS113" i="3"/>
  <c r="CY113" i="3"/>
  <c r="AE113" i="3"/>
  <c r="BC112" i="3"/>
  <c r="DW111" i="3"/>
  <c r="FA105" i="3"/>
  <c r="CG105" i="3"/>
  <c r="M105" i="3"/>
  <c r="EC102" i="3"/>
  <c r="BI102" i="3"/>
  <c r="FY99" i="3"/>
  <c r="DE99" i="3"/>
  <c r="AK99" i="3"/>
  <c r="FA96" i="3"/>
  <c r="CG96" i="3"/>
  <c r="M96" i="3"/>
  <c r="FA93" i="3"/>
  <c r="CG93" i="3"/>
  <c r="M93" i="3"/>
  <c r="S87" i="3"/>
  <c r="DW105" i="3"/>
  <c r="BC105" i="3"/>
  <c r="EU104" i="3"/>
  <c r="FS102" i="3"/>
  <c r="CY102" i="3"/>
  <c r="AE102" i="3"/>
  <c r="DW101" i="3"/>
  <c r="EU99" i="3"/>
  <c r="FM96" i="3"/>
  <c r="CS96" i="3"/>
  <c r="Y96" i="3"/>
  <c r="FM93" i="3"/>
  <c r="CS93" i="3"/>
  <c r="EI105" i="3"/>
  <c r="BO105" i="3"/>
  <c r="FG104" i="3"/>
  <c r="CM104" i="3"/>
  <c r="GE102" i="3"/>
  <c r="DK102" i="3"/>
  <c r="AQ102" i="3"/>
  <c r="EI101" i="3"/>
  <c r="FG99" i="3"/>
  <c r="CM99" i="3"/>
  <c r="S99" i="3"/>
  <c r="GE98" i="3"/>
  <c r="DK98" i="3"/>
  <c r="FY96" i="3"/>
  <c r="DE96" i="3"/>
  <c r="FY93" i="3"/>
  <c r="FG105" i="3"/>
  <c r="CM105" i="3"/>
  <c r="S105" i="3"/>
  <c r="GE104" i="3"/>
  <c r="DK104" i="3"/>
  <c r="EI102" i="3"/>
  <c r="BO102" i="3"/>
  <c r="FG101" i="3"/>
  <c r="CM101" i="3"/>
  <c r="GE99" i="3"/>
  <c r="DK99" i="3"/>
  <c r="AQ99" i="3"/>
  <c r="EI98" i="3"/>
  <c r="BO98" i="3"/>
  <c r="M99" i="3"/>
  <c r="EC96" i="3"/>
  <c r="BI96" i="3"/>
  <c r="EC93" i="3"/>
  <c r="BI93" i="3"/>
  <c r="FG87" i="3"/>
  <c r="FS105" i="3"/>
  <c r="CY105" i="3"/>
  <c r="AE105" i="3"/>
  <c r="DW104" i="3"/>
  <c r="EU102" i="3"/>
  <c r="CA102" i="3"/>
  <c r="G102" i="3"/>
  <c r="FS101" i="3"/>
  <c r="CY101" i="3"/>
  <c r="DW99" i="3"/>
  <c r="BC99" i="3"/>
  <c r="EU98" i="3"/>
  <c r="CA98" i="3"/>
  <c r="EO92" i="3"/>
  <c r="DK90" i="3"/>
  <c r="FM90" i="3"/>
  <c r="Y90" i="3"/>
  <c r="FY89" i="3"/>
  <c r="DE89" i="3"/>
  <c r="AK89" i="3"/>
  <c r="BU87" i="3"/>
  <c r="EC86" i="3"/>
  <c r="BI86" i="3"/>
  <c r="FM84" i="3"/>
  <c r="FY83" i="3"/>
  <c r="DE83" i="3"/>
  <c r="AK83" i="3"/>
  <c r="EO80" i="3"/>
  <c r="BU80" i="3"/>
  <c r="AW92" i="3"/>
  <c r="GK90" i="3"/>
  <c r="AW90" i="3"/>
  <c r="GK89" i="3"/>
  <c r="DQ89" i="3"/>
  <c r="AW89" i="3"/>
  <c r="CS87" i="3"/>
  <c r="EO86" i="3"/>
  <c r="BU86" i="3"/>
  <c r="GK84" i="3"/>
  <c r="GK83" i="3"/>
  <c r="DQ83" i="3"/>
  <c r="AW83" i="3"/>
  <c r="FA80" i="3"/>
  <c r="CG80" i="3"/>
  <c r="M80" i="3"/>
  <c r="CM92" i="3"/>
  <c r="S92" i="3"/>
  <c r="BI90" i="3"/>
  <c r="FG89" i="3"/>
  <c r="CM89" i="3"/>
  <c r="S89" i="3"/>
  <c r="DE87" i="3"/>
  <c r="GE86" i="3"/>
  <c r="DK86" i="3"/>
  <c r="AQ86" i="3"/>
  <c r="BU90" i="3"/>
  <c r="EC89" i="3"/>
  <c r="BI89" i="3"/>
  <c r="DQ87" i="3"/>
  <c r="FA86" i="3"/>
  <c r="CG86" i="3"/>
  <c r="M86" i="3"/>
  <c r="EC83" i="3"/>
  <c r="BI83" i="3"/>
  <c r="FM80" i="3"/>
  <c r="CS80" i="3"/>
  <c r="Y80" i="3"/>
  <c r="CA76" i="3"/>
  <c r="DK92" i="3"/>
  <c r="AE92" i="3"/>
  <c r="CG90" i="3"/>
  <c r="FS89" i="3"/>
  <c r="CY89" i="3"/>
  <c r="AE89" i="3"/>
  <c r="EC87" i="3"/>
  <c r="DW86" i="3"/>
  <c r="BC86" i="3"/>
  <c r="Y86" i="3"/>
  <c r="EI92" i="3"/>
  <c r="AQ92" i="3"/>
  <c r="FA89" i="3"/>
  <c r="CG89" i="3"/>
  <c r="M89" i="3"/>
  <c r="FM87" i="3"/>
  <c r="Y87" i="3"/>
  <c r="FY86" i="3"/>
  <c r="DE86" i="3"/>
  <c r="AK86" i="3"/>
  <c r="GK80" i="3"/>
  <c r="FG92" i="3"/>
  <c r="BC92" i="3"/>
  <c r="EC90" i="3"/>
  <c r="DW89" i="3"/>
  <c r="EU86" i="3"/>
  <c r="CA78" i="3"/>
  <c r="Y89" i="3"/>
  <c r="GK87" i="3"/>
  <c r="AW87" i="3"/>
  <c r="GK86" i="3"/>
  <c r="DQ86" i="3"/>
  <c r="AW86" i="3"/>
  <c r="EO84" i="3"/>
  <c r="FM83" i="3"/>
  <c r="EO75" i="3"/>
  <c r="GE92" i="3"/>
  <c r="BO92" i="3"/>
  <c r="FA90" i="3"/>
  <c r="M90" i="3"/>
  <c r="EI89" i="3"/>
  <c r="BO89" i="3"/>
  <c r="BI87" i="3"/>
  <c r="FG86" i="3"/>
  <c r="CM86" i="3"/>
  <c r="S86" i="3"/>
  <c r="FA84" i="3"/>
  <c r="DW74" i="3"/>
  <c r="BC74" i="3"/>
  <c r="FY73" i="3"/>
  <c r="CY72" i="3"/>
  <c r="EU71" i="3"/>
  <c r="CA71" i="3"/>
  <c r="CA64" i="3"/>
  <c r="CA77" i="3"/>
  <c r="FA76" i="3"/>
  <c r="CA75" i="3"/>
  <c r="EI74" i="3"/>
  <c r="BO74" i="3"/>
  <c r="BI73" i="3"/>
  <c r="DW72" i="3"/>
  <c r="FG71" i="3"/>
  <c r="CM71" i="3"/>
  <c r="S71" i="3"/>
  <c r="CM78" i="3"/>
  <c r="CM77" i="3"/>
  <c r="FM76" i="3"/>
  <c r="CM75" i="3"/>
  <c r="BU73" i="3"/>
  <c r="EI72" i="3"/>
  <c r="FA70" i="3"/>
  <c r="CG70" i="3"/>
  <c r="GK60" i="3"/>
  <c r="DK78" i="3"/>
  <c r="DK77" i="3"/>
  <c r="GK76" i="3"/>
  <c r="AW76" i="3"/>
  <c r="DK75" i="3"/>
  <c r="CS73" i="3"/>
  <c r="FG72" i="3"/>
  <c r="S72" i="3"/>
  <c r="FM70" i="3"/>
  <c r="CS70" i="3"/>
  <c r="CS57" i="3"/>
  <c r="FG74" i="3"/>
  <c r="CM74" i="3"/>
  <c r="S74" i="3"/>
  <c r="DE73" i="3"/>
  <c r="FS72" i="3"/>
  <c r="AE72" i="3"/>
  <c r="GE71" i="3"/>
  <c r="DK71" i="3"/>
  <c r="AQ71" i="3"/>
  <c r="EO63" i="3"/>
  <c r="EI77" i="3"/>
  <c r="BU76" i="3"/>
  <c r="AE74" i="3"/>
  <c r="DW71" i="3"/>
  <c r="BC71" i="3"/>
  <c r="AW60" i="3"/>
  <c r="FG78" i="3"/>
  <c r="FG77" i="3"/>
  <c r="S77" i="3"/>
  <c r="CS76" i="3"/>
  <c r="FG75" i="3"/>
  <c r="S75" i="3"/>
  <c r="EO73" i="3"/>
  <c r="BO72" i="3"/>
  <c r="GE78" i="3"/>
  <c r="GE77" i="3"/>
  <c r="AQ77" i="3"/>
  <c r="DQ76" i="3"/>
  <c r="GE75" i="3"/>
  <c r="AQ75" i="3"/>
  <c r="FM73" i="3"/>
  <c r="CM72" i="3"/>
  <c r="EC54" i="3"/>
  <c r="BI54" i="3"/>
  <c r="FA64" i="3"/>
  <c r="M64" i="3"/>
  <c r="CA63" i="3"/>
  <c r="EI62" i="3"/>
  <c r="BO62" i="3"/>
  <c r="BI61" i="3"/>
  <c r="DW60" i="3"/>
  <c r="FG59" i="3"/>
  <c r="CM59" i="3"/>
  <c r="S59" i="3"/>
  <c r="DE58" i="3"/>
  <c r="FS57" i="3"/>
  <c r="EO54" i="3"/>
  <c r="BU54" i="3"/>
  <c r="FY64" i="3"/>
  <c r="AK64" i="3"/>
  <c r="CY63" i="3"/>
  <c r="EU62" i="3"/>
  <c r="CA62" i="3"/>
  <c r="G62" i="3"/>
  <c r="CG61" i="3"/>
  <c r="EU60" i="3"/>
  <c r="FS59" i="3"/>
  <c r="CY59" i="3"/>
  <c r="AE59" i="3"/>
  <c r="EC58" i="3"/>
  <c r="BC57" i="3"/>
  <c r="BI56" i="3"/>
  <c r="FA54" i="3"/>
  <c r="CG54" i="3"/>
  <c r="M54" i="3"/>
  <c r="GK64" i="3"/>
  <c r="AW64" i="3"/>
  <c r="DK63" i="3"/>
  <c r="CS61" i="3"/>
  <c r="FG60" i="3"/>
  <c r="S60" i="3"/>
  <c r="EO58" i="3"/>
  <c r="BO57" i="3"/>
  <c r="CY56" i="3"/>
  <c r="AE56" i="3"/>
  <c r="DW48" i="3"/>
  <c r="BU64" i="3"/>
  <c r="EI63" i="3"/>
  <c r="DQ61" i="3"/>
  <c r="GE60" i="3"/>
  <c r="AQ60" i="3"/>
  <c r="FM58" i="3"/>
  <c r="Y58" i="3"/>
  <c r="CM57" i="3"/>
  <c r="CS64" i="3"/>
  <c r="FG63" i="3"/>
  <c r="EO61" i="3"/>
  <c r="BO60" i="3"/>
  <c r="GK58" i="3"/>
  <c r="AW58" i="3"/>
  <c r="DK57" i="3"/>
  <c r="DQ64" i="3"/>
  <c r="GE63" i="3"/>
  <c r="FM61" i="3"/>
  <c r="Y61" i="3"/>
  <c r="CM60" i="3"/>
  <c r="BU58" i="3"/>
  <c r="EI57" i="3"/>
  <c r="DW50" i="3"/>
  <c r="FY48" i="3"/>
  <c r="EU47" i="3"/>
  <c r="CA42" i="3"/>
  <c r="FY53" i="3"/>
  <c r="DE53" i="3"/>
  <c r="AK53" i="3"/>
  <c r="M51" i="3"/>
  <c r="EI50" i="3"/>
  <c r="BO50" i="3"/>
  <c r="BI48" i="3"/>
  <c r="FG47" i="3"/>
  <c r="EC42" i="3"/>
  <c r="CM42" i="3"/>
  <c r="FG39" i="3"/>
  <c r="CM39" i="3"/>
  <c r="S39" i="3"/>
  <c r="GE38" i="3"/>
  <c r="DK38" i="3"/>
  <c r="AQ38" i="3"/>
  <c r="FG36" i="3"/>
  <c r="CM36" i="3"/>
  <c r="S36" i="3"/>
  <c r="EI33" i="3"/>
  <c r="BO33" i="3"/>
  <c r="GK53" i="3"/>
  <c r="DQ53" i="3"/>
  <c r="AW53" i="3"/>
  <c r="AK51" i="3"/>
  <c r="EU50" i="3"/>
  <c r="CA50" i="3"/>
  <c r="G50" i="3"/>
  <c r="CG48" i="3"/>
  <c r="FS47" i="3"/>
  <c r="DK56" i="3"/>
  <c r="AQ56" i="3"/>
  <c r="FG53" i="3"/>
  <c r="CM53" i="3"/>
  <c r="S53" i="3"/>
  <c r="GK50" i="3"/>
  <c r="DQ50" i="3"/>
  <c r="AW50" i="3"/>
  <c r="CS48" i="3"/>
  <c r="EO47" i="3"/>
  <c r="DW56" i="3"/>
  <c r="BC56" i="3"/>
  <c r="FS53" i="3"/>
  <c r="CY53" i="3"/>
  <c r="AE53" i="3"/>
  <c r="EC50" i="3"/>
  <c r="BI50" i="3"/>
  <c r="DQ48" i="3"/>
  <c r="FA47" i="3"/>
  <c r="EU56" i="3"/>
  <c r="BO56" i="3"/>
  <c r="GE53" i="3"/>
  <c r="DK53" i="3"/>
  <c r="AQ53" i="3"/>
  <c r="EO50" i="3"/>
  <c r="BU50" i="3"/>
  <c r="EO48" i="3"/>
  <c r="FM47" i="3"/>
  <c r="FS56" i="3"/>
  <c r="CA56" i="3"/>
  <c r="G56" i="3"/>
  <c r="DW53" i="3"/>
  <c r="BC53" i="3"/>
  <c r="FA50" i="3"/>
  <c r="CG50" i="3"/>
  <c r="M50" i="3"/>
  <c r="FM48" i="3"/>
  <c r="Y48" i="3"/>
  <c r="FY47" i="3"/>
  <c r="FY41" i="3"/>
  <c r="DE41" i="3"/>
  <c r="AE38" i="3"/>
  <c r="EU36" i="3"/>
  <c r="CA36" i="3"/>
  <c r="G36" i="3"/>
  <c r="DW33" i="3"/>
  <c r="BC33" i="3"/>
  <c r="FM31" i="3"/>
  <c r="CA44" i="3"/>
  <c r="G44" i="3"/>
  <c r="CY42" i="3"/>
  <c r="EU41" i="3"/>
  <c r="CA41" i="3"/>
  <c r="G41" i="3"/>
  <c r="FS39" i="3"/>
  <c r="CY39" i="3"/>
  <c r="AE39" i="3"/>
  <c r="DW38" i="3"/>
  <c r="BC38" i="3"/>
  <c r="FS36" i="3"/>
  <c r="CY36" i="3"/>
  <c r="AE36" i="3"/>
  <c r="EU33" i="3"/>
  <c r="CA33" i="3"/>
  <c r="S44" i="3"/>
  <c r="GE39" i="3"/>
  <c r="DK39" i="3"/>
  <c r="AQ39" i="3"/>
  <c r="EI38" i="3"/>
  <c r="BO38" i="3"/>
  <c r="GE36" i="3"/>
  <c r="DK36" i="3"/>
  <c r="AQ36" i="3"/>
  <c r="FG33" i="3"/>
  <c r="CM33" i="3"/>
  <c r="EI42" i="3"/>
  <c r="EC41" i="3"/>
  <c r="FA39" i="3"/>
  <c r="CG39" i="3"/>
  <c r="M39" i="3"/>
  <c r="AE44" i="3"/>
  <c r="EU38" i="3"/>
  <c r="CA38" i="3"/>
  <c r="G38" i="3"/>
  <c r="DW36" i="3"/>
  <c r="BC36" i="3"/>
  <c r="FS33" i="3"/>
  <c r="CY33" i="3"/>
  <c r="S33" i="3"/>
  <c r="Y31" i="3"/>
  <c r="FG42" i="3"/>
  <c r="S42" i="3"/>
  <c r="EO41" i="3"/>
  <c r="FM39" i="3"/>
  <c r="CS39" i="3"/>
  <c r="Y39" i="3"/>
  <c r="GK38" i="3"/>
  <c r="DQ38" i="3"/>
  <c r="AQ44" i="3"/>
  <c r="FS42" i="3"/>
  <c r="AE42" i="3"/>
  <c r="GE41" i="3"/>
  <c r="DK41" i="3"/>
  <c r="AQ41" i="3"/>
  <c r="EI39" i="3"/>
  <c r="BO39" i="3"/>
  <c r="FG38" i="3"/>
  <c r="CM38" i="3"/>
  <c r="S38" i="3"/>
  <c r="EI36" i="3"/>
  <c r="BO36" i="3"/>
  <c r="GE33" i="3"/>
  <c r="DK33" i="3"/>
  <c r="AQ33" i="3"/>
  <c r="CY31" i="3"/>
  <c r="FY30" i="3"/>
  <c r="FY29" i="3"/>
  <c r="AK29" i="3"/>
  <c r="EU28" i="3"/>
  <c r="CA28" i="3"/>
  <c r="G28" i="3"/>
  <c r="EU25" i="3"/>
  <c r="CA25" i="3"/>
  <c r="G25" i="3"/>
  <c r="FY19" i="3"/>
  <c r="DE19" i="3"/>
  <c r="AK19" i="3"/>
  <c r="DW31" i="3"/>
  <c r="BI30" i="3"/>
  <c r="BI29" i="3"/>
  <c r="FG28" i="3"/>
  <c r="CM28" i="3"/>
  <c r="S28" i="3"/>
  <c r="FG25" i="3"/>
  <c r="CM25" i="3"/>
  <c r="S25" i="3"/>
  <c r="GK19" i="3"/>
  <c r="DQ19" i="3"/>
  <c r="AW19" i="3"/>
  <c r="EI31" i="3"/>
  <c r="BU30" i="3"/>
  <c r="BU29" i="3"/>
  <c r="EC28" i="3"/>
  <c r="BI28" i="3"/>
  <c r="FA27" i="3"/>
  <c r="FY26" i="3"/>
  <c r="DE26" i="3"/>
  <c r="AK26" i="3"/>
  <c r="EC25" i="3"/>
  <c r="BI25" i="3"/>
  <c r="FY23" i="3"/>
  <c r="DE23" i="3"/>
  <c r="EC22" i="3"/>
  <c r="BI22" i="3"/>
  <c r="FG31" i="3"/>
  <c r="S31" i="3"/>
  <c r="CS30" i="3"/>
  <c r="CS29" i="3"/>
  <c r="EO28" i="3"/>
  <c r="BU28" i="3"/>
  <c r="FM27" i="3"/>
  <c r="CS27" i="3"/>
  <c r="GK26" i="3"/>
  <c r="DQ26" i="3"/>
  <c r="AW26" i="3"/>
  <c r="EO25" i="3"/>
  <c r="BU25" i="3"/>
  <c r="GK23" i="3"/>
  <c r="DQ23" i="3"/>
  <c r="EO22" i="3"/>
  <c r="BU22" i="3"/>
  <c r="M18" i="3"/>
  <c r="EO19" i="3"/>
  <c r="BU19" i="3"/>
  <c r="GE31" i="3"/>
  <c r="AQ31" i="3"/>
  <c r="DQ30" i="3"/>
  <c r="DQ29" i="3"/>
  <c r="FA28" i="3"/>
  <c r="CG28" i="3"/>
  <c r="M28" i="3"/>
  <c r="FY27" i="3"/>
  <c r="DE27" i="3"/>
  <c r="EC26" i="3"/>
  <c r="BI26" i="3"/>
  <c r="FA25" i="3"/>
  <c r="CG25" i="3"/>
  <c r="M25" i="3"/>
  <c r="EC23" i="3"/>
  <c r="FA22" i="3"/>
  <c r="CG22" i="3"/>
  <c r="M22" i="3"/>
  <c r="GE13" i="3"/>
  <c r="BO31" i="3"/>
  <c r="EO30" i="3"/>
  <c r="EO29" i="3"/>
  <c r="FM28" i="3"/>
  <c r="CS28" i="3"/>
  <c r="Y28" i="3"/>
  <c r="GK27" i="3"/>
  <c r="DQ27" i="3"/>
  <c r="EO26" i="3"/>
  <c r="BU26" i="3"/>
  <c r="FM25" i="3"/>
  <c r="CS25" i="3"/>
  <c r="Y25" i="3"/>
  <c r="EO23" i="3"/>
  <c r="FM22" i="3"/>
  <c r="CS22" i="3"/>
  <c r="Y22" i="3"/>
  <c r="DQ15" i="3"/>
  <c r="AW15" i="3"/>
  <c r="CS13" i="3"/>
  <c r="EO12" i="3"/>
  <c r="BU12" i="3"/>
  <c r="GK10" i="3"/>
  <c r="AW10" i="3"/>
  <c r="GK9" i="3"/>
  <c r="DQ9" i="3"/>
  <c r="AW9" i="3"/>
  <c r="EC15" i="3"/>
  <c r="BI15" i="3"/>
  <c r="DQ13" i="3"/>
  <c r="FA12" i="3"/>
  <c r="CG12" i="3"/>
  <c r="M12" i="3"/>
  <c r="BU10" i="3"/>
  <c r="EC9" i="3"/>
  <c r="BI9" i="3"/>
  <c r="FS15" i="3"/>
  <c r="CY15" i="3"/>
  <c r="AE15" i="3"/>
  <c r="EC13" i="3"/>
  <c r="DW12" i="3"/>
  <c r="BC12" i="3"/>
  <c r="CG10" i="3"/>
  <c r="FS9" i="3"/>
  <c r="CY9" i="3"/>
  <c r="AE9" i="3"/>
  <c r="EO15" i="3"/>
  <c r="BU15" i="3"/>
  <c r="EO13" i="3"/>
  <c r="FM12" i="3"/>
  <c r="CS12" i="3"/>
  <c r="Y12" i="3"/>
  <c r="EO9" i="3"/>
  <c r="BU9" i="3"/>
  <c r="GE15" i="3"/>
  <c r="DK15" i="3"/>
  <c r="AQ15" i="3"/>
  <c r="FA13" i="3"/>
  <c r="EI12" i="3"/>
  <c r="BO12" i="3"/>
  <c r="DE10" i="3"/>
  <c r="GE9" i="3"/>
  <c r="DK9" i="3"/>
  <c r="AQ9" i="3"/>
  <c r="G18" i="3"/>
  <c r="Y15" i="3"/>
  <c r="CS9" i="3"/>
  <c r="Y9" i="3"/>
  <c r="AE18" i="3"/>
  <c r="EI15" i="3"/>
  <c r="BO15" i="3"/>
  <c r="BI13" i="3"/>
  <c r="FG12" i="3"/>
  <c r="CM12" i="3"/>
  <c r="S12" i="3"/>
  <c r="FA10" i="3"/>
  <c r="EI9" i="3"/>
  <c r="BO9" i="3"/>
  <c r="BC18" i="3"/>
  <c r="EU15" i="3"/>
  <c r="CA15" i="3"/>
  <c r="G15" i="3"/>
  <c r="CG13" i="3"/>
  <c r="FS12" i="3"/>
  <c r="CY12" i="3"/>
  <c r="AE12" i="3"/>
  <c r="FY10" i="3"/>
  <c r="AK10" i="3"/>
  <c r="EU9" i="3"/>
  <c r="CA9" i="3"/>
  <c r="G9" i="3"/>
  <c r="GE2" i="3"/>
  <c r="CY2" i="3"/>
  <c r="CA2" i="3"/>
  <c r="DQ2" i="3"/>
  <c r="GK2" i="3"/>
  <c r="AW2" i="3"/>
  <c r="M2" i="3"/>
  <c r="CG2" i="3"/>
  <c r="BO2" i="3"/>
  <c r="AQ2" i="3"/>
  <c r="G2" i="3"/>
  <c r="FY2" i="3"/>
  <c r="DW2" i="3"/>
  <c r="FS2" i="3"/>
  <c r="EU2" i="3"/>
  <c r="EC2" i="3"/>
  <c r="BI2" i="3"/>
  <c r="CS2" i="3"/>
  <c r="DK2" i="3"/>
  <c r="BC2" i="3"/>
  <c r="AK2" i="3"/>
  <c r="DE2" i="3"/>
  <c r="BU2" i="3"/>
  <c r="FA2" i="3"/>
  <c r="AE2" i="3"/>
  <c r="EI2" i="3"/>
  <c r="Y2" i="3"/>
  <c r="FM2" i="3"/>
  <c r="CM2" i="3"/>
  <c r="S2" i="3"/>
  <c r="FG2" i="3"/>
  <c r="EO2" i="3"/>
  <c r="GL2" i="3" l="1"/>
  <c r="GM2" i="3"/>
  <c r="GN2" i="3"/>
  <c r="A2" i="3" l="1"/>
</calcChain>
</file>

<file path=xl/sharedStrings.xml><?xml version="1.0" encoding="utf-8"?>
<sst xmlns="http://schemas.openxmlformats.org/spreadsheetml/2006/main" count="1158" uniqueCount="698">
  <si>
    <t>Symbol</t>
  </si>
  <si>
    <r>
      <t>1s</t>
    </r>
    <r>
      <rPr>
        <vertAlign val="superscript"/>
        <sz val="12"/>
        <color rgb="FF000000"/>
        <rFont val="Calibri"/>
        <family val="2"/>
      </rPr>
      <t>1</t>
    </r>
  </si>
  <si>
    <t>H</t>
  </si>
  <si>
    <r>
      <t>1s</t>
    </r>
    <r>
      <rPr>
        <vertAlign val="superscript"/>
        <sz val="12"/>
        <color rgb="FF000000"/>
        <rFont val="Calibri"/>
        <family val="2"/>
      </rPr>
      <t>2</t>
    </r>
  </si>
  <si>
    <t>He</t>
  </si>
  <si>
    <r>
      <t>[He]2s</t>
    </r>
    <r>
      <rPr>
        <vertAlign val="superscript"/>
        <sz val="12"/>
        <color rgb="FF000000"/>
        <rFont val="Calibri"/>
        <family val="2"/>
      </rPr>
      <t>1</t>
    </r>
  </si>
  <si>
    <t>Li</t>
  </si>
  <si>
    <r>
      <t>[He]2s</t>
    </r>
    <r>
      <rPr>
        <vertAlign val="superscript"/>
        <sz val="12"/>
        <color rgb="FF000000"/>
        <rFont val="Calibri"/>
        <family val="2"/>
      </rPr>
      <t>2</t>
    </r>
  </si>
  <si>
    <t>Be</t>
  </si>
  <si>
    <r>
      <t>[He]2s</t>
    </r>
    <r>
      <rPr>
        <vertAlign val="superscript"/>
        <sz val="12"/>
        <color rgb="FF000000"/>
        <rFont val="Calibri"/>
        <family val="2"/>
      </rPr>
      <t>2</t>
    </r>
    <r>
      <rPr>
        <sz val="12"/>
        <color rgb="FF000000"/>
        <rFont val="Calibri"/>
        <family val="2"/>
      </rPr>
      <t>2p</t>
    </r>
    <r>
      <rPr>
        <vertAlign val="superscript"/>
        <sz val="12"/>
        <color rgb="FF000000"/>
        <rFont val="Calibri"/>
        <family val="2"/>
      </rPr>
      <t>1</t>
    </r>
  </si>
  <si>
    <t>B</t>
  </si>
  <si>
    <r>
      <t>[He]2s</t>
    </r>
    <r>
      <rPr>
        <vertAlign val="superscript"/>
        <sz val="12"/>
        <color rgb="FF000000"/>
        <rFont val="Calibri"/>
        <family val="2"/>
      </rPr>
      <t>2</t>
    </r>
    <r>
      <rPr>
        <sz val="12"/>
        <color rgb="FF000000"/>
        <rFont val="Calibri"/>
        <family val="2"/>
      </rPr>
      <t>2p</t>
    </r>
    <r>
      <rPr>
        <vertAlign val="superscript"/>
        <sz val="12"/>
        <color rgb="FF000000"/>
        <rFont val="Calibri"/>
        <family val="2"/>
      </rPr>
      <t>2</t>
    </r>
  </si>
  <si>
    <t>C</t>
  </si>
  <si>
    <r>
      <t>[He]2s</t>
    </r>
    <r>
      <rPr>
        <vertAlign val="superscript"/>
        <sz val="12"/>
        <color rgb="FF000000"/>
        <rFont val="Calibri"/>
        <family val="2"/>
      </rPr>
      <t>2</t>
    </r>
    <r>
      <rPr>
        <sz val="12"/>
        <color rgb="FF000000"/>
        <rFont val="Calibri"/>
        <family val="2"/>
      </rPr>
      <t>2p</t>
    </r>
    <r>
      <rPr>
        <vertAlign val="superscript"/>
        <sz val="12"/>
        <color rgb="FF000000"/>
        <rFont val="Calibri"/>
        <family val="2"/>
      </rPr>
      <t>3</t>
    </r>
  </si>
  <si>
    <t>N</t>
  </si>
  <si>
    <r>
      <t>[He]2s</t>
    </r>
    <r>
      <rPr>
        <vertAlign val="superscript"/>
        <sz val="12"/>
        <color rgb="FF000000"/>
        <rFont val="Calibri"/>
        <family val="2"/>
      </rPr>
      <t>2</t>
    </r>
    <r>
      <rPr>
        <sz val="12"/>
        <color rgb="FF000000"/>
        <rFont val="Calibri"/>
        <family val="2"/>
      </rPr>
      <t>2p</t>
    </r>
    <r>
      <rPr>
        <vertAlign val="superscript"/>
        <sz val="12"/>
        <color rgb="FF000000"/>
        <rFont val="Calibri"/>
        <family val="2"/>
      </rPr>
      <t>4</t>
    </r>
  </si>
  <si>
    <t>O</t>
  </si>
  <si>
    <r>
      <t>[He]2s</t>
    </r>
    <r>
      <rPr>
        <vertAlign val="superscript"/>
        <sz val="12"/>
        <color rgb="FF000000"/>
        <rFont val="Calibri"/>
        <family val="2"/>
      </rPr>
      <t>2</t>
    </r>
    <r>
      <rPr>
        <sz val="12"/>
        <color rgb="FF000000"/>
        <rFont val="Calibri"/>
        <family val="2"/>
      </rPr>
      <t>2p</t>
    </r>
    <r>
      <rPr>
        <vertAlign val="superscript"/>
        <sz val="12"/>
        <color rgb="FF000000"/>
        <rFont val="Calibri"/>
        <family val="2"/>
      </rPr>
      <t>5</t>
    </r>
  </si>
  <si>
    <t>F</t>
  </si>
  <si>
    <r>
      <t>[He]2s</t>
    </r>
    <r>
      <rPr>
        <vertAlign val="superscript"/>
        <sz val="12"/>
        <color rgb="FF000000"/>
        <rFont val="Calibri"/>
        <family val="2"/>
      </rPr>
      <t>2</t>
    </r>
    <r>
      <rPr>
        <sz val="12"/>
        <color rgb="FF000000"/>
        <rFont val="Calibri"/>
        <family val="2"/>
      </rPr>
      <t>2p</t>
    </r>
    <r>
      <rPr>
        <vertAlign val="superscript"/>
        <sz val="12"/>
        <color rgb="FF000000"/>
        <rFont val="Calibri"/>
        <family val="2"/>
      </rPr>
      <t>6</t>
    </r>
  </si>
  <si>
    <t>Ne</t>
  </si>
  <si>
    <r>
      <t>[Ne]3s</t>
    </r>
    <r>
      <rPr>
        <vertAlign val="superscript"/>
        <sz val="12"/>
        <color rgb="FF000000"/>
        <rFont val="Calibri"/>
        <family val="2"/>
      </rPr>
      <t>1</t>
    </r>
  </si>
  <si>
    <t>Na</t>
  </si>
  <si>
    <r>
      <t>[Ne]3s</t>
    </r>
    <r>
      <rPr>
        <vertAlign val="superscript"/>
        <sz val="12"/>
        <color rgb="FF000000"/>
        <rFont val="Calibri"/>
        <family val="2"/>
      </rPr>
      <t>2</t>
    </r>
  </si>
  <si>
    <t>Mg</t>
  </si>
  <si>
    <r>
      <t>[Ne]3s</t>
    </r>
    <r>
      <rPr>
        <vertAlign val="superscript"/>
        <sz val="12"/>
        <color rgb="FF000000"/>
        <rFont val="Calibri"/>
        <family val="2"/>
      </rPr>
      <t>2</t>
    </r>
    <r>
      <rPr>
        <sz val="12"/>
        <color rgb="FF000000"/>
        <rFont val="Calibri"/>
        <family val="2"/>
      </rPr>
      <t>3p</t>
    </r>
    <r>
      <rPr>
        <vertAlign val="superscript"/>
        <sz val="12"/>
        <color rgb="FF000000"/>
        <rFont val="Calibri"/>
        <family val="2"/>
      </rPr>
      <t>1</t>
    </r>
  </si>
  <si>
    <t>Al</t>
  </si>
  <si>
    <r>
      <t>[Ne]3s</t>
    </r>
    <r>
      <rPr>
        <vertAlign val="superscript"/>
        <sz val="12"/>
        <color rgb="FF000000"/>
        <rFont val="Calibri"/>
        <family val="2"/>
      </rPr>
      <t>2</t>
    </r>
    <r>
      <rPr>
        <sz val="12"/>
        <color rgb="FF000000"/>
        <rFont val="Calibri"/>
        <family val="2"/>
      </rPr>
      <t>3p</t>
    </r>
    <r>
      <rPr>
        <vertAlign val="superscript"/>
        <sz val="12"/>
        <color rgb="FF000000"/>
        <rFont val="Calibri"/>
        <family val="2"/>
      </rPr>
      <t>2</t>
    </r>
  </si>
  <si>
    <t>Si</t>
  </si>
  <si>
    <r>
      <t>[Ne]3s</t>
    </r>
    <r>
      <rPr>
        <vertAlign val="superscript"/>
        <sz val="12"/>
        <color rgb="FF000000"/>
        <rFont val="Calibri"/>
        <family val="2"/>
      </rPr>
      <t>2</t>
    </r>
    <r>
      <rPr>
        <sz val="12"/>
        <color rgb="FF000000"/>
        <rFont val="Calibri"/>
        <family val="2"/>
      </rPr>
      <t>3p</t>
    </r>
    <r>
      <rPr>
        <vertAlign val="superscript"/>
        <sz val="12"/>
        <color rgb="FF000000"/>
        <rFont val="Calibri"/>
        <family val="2"/>
      </rPr>
      <t>3</t>
    </r>
  </si>
  <si>
    <t>P</t>
  </si>
  <si>
    <r>
      <t>[Ne]3s</t>
    </r>
    <r>
      <rPr>
        <vertAlign val="superscript"/>
        <sz val="12"/>
        <color rgb="FF000000"/>
        <rFont val="Calibri"/>
        <family val="2"/>
      </rPr>
      <t>2</t>
    </r>
    <r>
      <rPr>
        <sz val="12"/>
        <color rgb="FF000000"/>
        <rFont val="Calibri"/>
        <family val="2"/>
      </rPr>
      <t>3p</t>
    </r>
    <r>
      <rPr>
        <vertAlign val="superscript"/>
        <sz val="12"/>
        <color rgb="FF000000"/>
        <rFont val="Calibri"/>
        <family val="2"/>
      </rPr>
      <t>4</t>
    </r>
  </si>
  <si>
    <t>S</t>
  </si>
  <si>
    <r>
      <t>[Ne]3s</t>
    </r>
    <r>
      <rPr>
        <vertAlign val="superscript"/>
        <sz val="12"/>
        <color rgb="FF000000"/>
        <rFont val="Calibri"/>
        <family val="2"/>
      </rPr>
      <t>2</t>
    </r>
    <r>
      <rPr>
        <sz val="12"/>
        <color rgb="FF000000"/>
        <rFont val="Calibri"/>
        <family val="2"/>
      </rPr>
      <t>3p</t>
    </r>
    <r>
      <rPr>
        <vertAlign val="superscript"/>
        <sz val="12"/>
        <color rgb="FF000000"/>
        <rFont val="Calibri"/>
        <family val="2"/>
      </rPr>
      <t>5</t>
    </r>
  </si>
  <si>
    <t>Cl</t>
  </si>
  <si>
    <r>
      <t>[Ne]3s</t>
    </r>
    <r>
      <rPr>
        <vertAlign val="superscript"/>
        <sz val="12"/>
        <color rgb="FF000000"/>
        <rFont val="Calibri"/>
        <family val="2"/>
      </rPr>
      <t>2</t>
    </r>
    <r>
      <rPr>
        <sz val="12"/>
        <color rgb="FF000000"/>
        <rFont val="Calibri"/>
        <family val="2"/>
      </rPr>
      <t>3p</t>
    </r>
    <r>
      <rPr>
        <vertAlign val="superscript"/>
        <sz val="12"/>
        <color rgb="FF000000"/>
        <rFont val="Calibri"/>
        <family val="2"/>
      </rPr>
      <t>6</t>
    </r>
  </si>
  <si>
    <t>Ar</t>
  </si>
  <si>
    <r>
      <t>[Ar]4s</t>
    </r>
    <r>
      <rPr>
        <vertAlign val="superscript"/>
        <sz val="12"/>
        <color rgb="FF000000"/>
        <rFont val="Calibri"/>
        <family val="2"/>
      </rPr>
      <t>1</t>
    </r>
  </si>
  <si>
    <t>K</t>
  </si>
  <si>
    <r>
      <t>[Ar]4s</t>
    </r>
    <r>
      <rPr>
        <vertAlign val="superscript"/>
        <sz val="12"/>
        <color rgb="FF000000"/>
        <rFont val="Calibri"/>
        <family val="2"/>
      </rPr>
      <t>2</t>
    </r>
  </si>
  <si>
    <t>Ca</t>
  </si>
  <si>
    <r>
      <t>[Ar]4s</t>
    </r>
    <r>
      <rPr>
        <vertAlign val="superscript"/>
        <sz val="12"/>
        <color rgb="FF000000"/>
        <rFont val="Calibri"/>
        <family val="2"/>
      </rPr>
      <t>2</t>
    </r>
    <r>
      <rPr>
        <sz val="12"/>
        <color rgb="FF000000"/>
        <rFont val="Calibri"/>
        <family val="2"/>
      </rPr>
      <t>3d</t>
    </r>
    <r>
      <rPr>
        <vertAlign val="superscript"/>
        <sz val="12"/>
        <color rgb="FF000000"/>
        <rFont val="Calibri"/>
        <family val="2"/>
      </rPr>
      <t>1</t>
    </r>
  </si>
  <si>
    <t>Sc</t>
  </si>
  <si>
    <r>
      <t>[Ar]4s</t>
    </r>
    <r>
      <rPr>
        <vertAlign val="superscript"/>
        <sz val="12"/>
        <color rgb="FF000000"/>
        <rFont val="Calibri"/>
        <family val="2"/>
      </rPr>
      <t>2</t>
    </r>
    <r>
      <rPr>
        <sz val="12"/>
        <color rgb="FF000000"/>
        <rFont val="Calibri"/>
        <family val="2"/>
      </rPr>
      <t>3d</t>
    </r>
    <r>
      <rPr>
        <vertAlign val="superscript"/>
        <sz val="12"/>
        <color rgb="FF000000"/>
        <rFont val="Calibri"/>
        <family val="2"/>
      </rPr>
      <t>2</t>
    </r>
  </si>
  <si>
    <t>Ti</t>
  </si>
  <si>
    <r>
      <t>[Ar]4s</t>
    </r>
    <r>
      <rPr>
        <vertAlign val="superscript"/>
        <sz val="12"/>
        <color rgb="FF000000"/>
        <rFont val="Calibri"/>
        <family val="2"/>
      </rPr>
      <t>2</t>
    </r>
    <r>
      <rPr>
        <sz val="12"/>
        <color rgb="FF000000"/>
        <rFont val="Calibri"/>
        <family val="2"/>
      </rPr>
      <t>3d</t>
    </r>
    <r>
      <rPr>
        <vertAlign val="superscript"/>
        <sz val="12"/>
        <color rgb="FF000000"/>
        <rFont val="Calibri"/>
        <family val="2"/>
      </rPr>
      <t>3</t>
    </r>
  </si>
  <si>
    <t>V</t>
  </si>
  <si>
    <r>
      <t>[Ar]4s</t>
    </r>
    <r>
      <rPr>
        <vertAlign val="superscript"/>
        <sz val="12"/>
        <color rgb="FF000000"/>
        <rFont val="Calibri"/>
        <family val="2"/>
      </rPr>
      <t>1</t>
    </r>
    <r>
      <rPr>
        <sz val="12"/>
        <color rgb="FF000000"/>
        <rFont val="Calibri"/>
        <family val="2"/>
      </rPr>
      <t>3d</t>
    </r>
    <r>
      <rPr>
        <vertAlign val="superscript"/>
        <sz val="12"/>
        <color rgb="FF000000"/>
        <rFont val="Calibri"/>
        <family val="2"/>
      </rPr>
      <t>5</t>
    </r>
  </si>
  <si>
    <t>Cr</t>
  </si>
  <si>
    <r>
      <t>[Ar]4s</t>
    </r>
    <r>
      <rPr>
        <vertAlign val="superscript"/>
        <sz val="12"/>
        <color rgb="FF000000"/>
        <rFont val="Calibri"/>
        <family val="2"/>
      </rPr>
      <t>2</t>
    </r>
    <r>
      <rPr>
        <sz val="12"/>
        <color rgb="FF000000"/>
        <rFont val="Calibri"/>
        <family val="2"/>
      </rPr>
      <t>3d</t>
    </r>
    <r>
      <rPr>
        <vertAlign val="superscript"/>
        <sz val="12"/>
        <color rgb="FF000000"/>
        <rFont val="Calibri"/>
        <family val="2"/>
      </rPr>
      <t>5</t>
    </r>
  </si>
  <si>
    <t>Mn</t>
  </si>
  <si>
    <r>
      <t>[Ar]4s</t>
    </r>
    <r>
      <rPr>
        <vertAlign val="superscript"/>
        <sz val="12"/>
        <color rgb="FF000000"/>
        <rFont val="Calibri"/>
        <family val="2"/>
      </rPr>
      <t>2</t>
    </r>
    <r>
      <rPr>
        <sz val="12"/>
        <color rgb="FF000000"/>
        <rFont val="Calibri"/>
        <family val="2"/>
      </rPr>
      <t>3d</t>
    </r>
    <r>
      <rPr>
        <vertAlign val="superscript"/>
        <sz val="12"/>
        <color rgb="FF000000"/>
        <rFont val="Calibri"/>
        <family val="2"/>
      </rPr>
      <t>6</t>
    </r>
  </si>
  <si>
    <t>Fe</t>
  </si>
  <si>
    <r>
      <t>[Ar]4s</t>
    </r>
    <r>
      <rPr>
        <vertAlign val="superscript"/>
        <sz val="12"/>
        <color rgb="FF000000"/>
        <rFont val="Calibri"/>
        <family val="2"/>
      </rPr>
      <t>2</t>
    </r>
    <r>
      <rPr>
        <sz val="12"/>
        <color rgb="FF000000"/>
        <rFont val="Calibri"/>
        <family val="2"/>
      </rPr>
      <t>3d</t>
    </r>
    <r>
      <rPr>
        <vertAlign val="superscript"/>
        <sz val="12"/>
        <color rgb="FF000000"/>
        <rFont val="Calibri"/>
        <family val="2"/>
      </rPr>
      <t>7</t>
    </r>
  </si>
  <si>
    <t>Co</t>
  </si>
  <si>
    <r>
      <t>[Ar]4s</t>
    </r>
    <r>
      <rPr>
        <vertAlign val="superscript"/>
        <sz val="12"/>
        <color rgb="FF000000"/>
        <rFont val="Calibri"/>
        <family val="2"/>
      </rPr>
      <t>2</t>
    </r>
    <r>
      <rPr>
        <sz val="12"/>
        <color rgb="FF000000"/>
        <rFont val="Calibri"/>
        <family val="2"/>
      </rPr>
      <t>3d</t>
    </r>
    <r>
      <rPr>
        <vertAlign val="superscript"/>
        <sz val="12"/>
        <color rgb="FF000000"/>
        <rFont val="Calibri"/>
        <family val="2"/>
      </rPr>
      <t>8</t>
    </r>
  </si>
  <si>
    <t>Ni</t>
  </si>
  <si>
    <r>
      <t>[Ar]4s</t>
    </r>
    <r>
      <rPr>
        <vertAlign val="superscript"/>
        <sz val="12"/>
        <color rgb="FF000000"/>
        <rFont val="Calibri"/>
        <family val="2"/>
      </rPr>
      <t>1</t>
    </r>
    <r>
      <rPr>
        <sz val="12"/>
        <color rgb="FF000000"/>
        <rFont val="Calibri"/>
        <family val="2"/>
      </rPr>
      <t>3d</t>
    </r>
    <r>
      <rPr>
        <vertAlign val="superscript"/>
        <sz val="12"/>
        <color rgb="FF000000"/>
        <rFont val="Calibri"/>
        <family val="2"/>
      </rPr>
      <t>10</t>
    </r>
  </si>
  <si>
    <t>Cu</t>
  </si>
  <si>
    <r>
      <t>[Ar]4s</t>
    </r>
    <r>
      <rPr>
        <vertAlign val="superscript"/>
        <sz val="12"/>
        <color rgb="FF000000"/>
        <rFont val="Calibri"/>
        <family val="2"/>
      </rPr>
      <t>2</t>
    </r>
    <r>
      <rPr>
        <sz val="12"/>
        <color rgb="FF000000"/>
        <rFont val="Calibri"/>
        <family val="2"/>
      </rPr>
      <t>3d</t>
    </r>
    <r>
      <rPr>
        <vertAlign val="superscript"/>
        <sz val="12"/>
        <color rgb="FF000000"/>
        <rFont val="Calibri"/>
        <family val="2"/>
      </rPr>
      <t>10</t>
    </r>
  </si>
  <si>
    <t>Zn</t>
  </si>
  <si>
    <r>
      <t>[Ar]4s</t>
    </r>
    <r>
      <rPr>
        <vertAlign val="superscript"/>
        <sz val="12"/>
        <color rgb="FF000000"/>
        <rFont val="Calibri"/>
        <family val="2"/>
      </rPr>
      <t>2</t>
    </r>
    <r>
      <rPr>
        <sz val="12"/>
        <color rgb="FF000000"/>
        <rFont val="Calibri"/>
        <family val="2"/>
      </rPr>
      <t>3d</t>
    </r>
    <r>
      <rPr>
        <vertAlign val="superscript"/>
        <sz val="12"/>
        <color rgb="FF000000"/>
        <rFont val="Calibri"/>
        <family val="2"/>
      </rPr>
      <t>10</t>
    </r>
    <r>
      <rPr>
        <sz val="12"/>
        <color rgb="FF000000"/>
        <rFont val="Calibri"/>
        <family val="2"/>
      </rPr>
      <t>4p</t>
    </r>
    <r>
      <rPr>
        <vertAlign val="superscript"/>
        <sz val="12"/>
        <color rgb="FF000000"/>
        <rFont val="Calibri"/>
        <family val="2"/>
      </rPr>
      <t>1</t>
    </r>
  </si>
  <si>
    <t>Ga</t>
  </si>
  <si>
    <r>
      <t>[Ar]4s</t>
    </r>
    <r>
      <rPr>
        <vertAlign val="superscript"/>
        <sz val="12"/>
        <color rgb="FF000000"/>
        <rFont val="Calibri"/>
        <family val="2"/>
      </rPr>
      <t>2</t>
    </r>
    <r>
      <rPr>
        <sz val="12"/>
        <color rgb="FF000000"/>
        <rFont val="Calibri"/>
        <family val="2"/>
      </rPr>
      <t>3d</t>
    </r>
    <r>
      <rPr>
        <vertAlign val="superscript"/>
        <sz val="12"/>
        <color rgb="FF000000"/>
        <rFont val="Calibri"/>
        <family val="2"/>
      </rPr>
      <t>10</t>
    </r>
    <r>
      <rPr>
        <sz val="12"/>
        <color rgb="FF000000"/>
        <rFont val="Calibri"/>
        <family val="2"/>
      </rPr>
      <t>4p</t>
    </r>
    <r>
      <rPr>
        <vertAlign val="superscript"/>
        <sz val="12"/>
        <color rgb="FF000000"/>
        <rFont val="Calibri"/>
        <family val="2"/>
      </rPr>
      <t>2</t>
    </r>
  </si>
  <si>
    <t>Ge</t>
  </si>
  <si>
    <r>
      <t>[Ar]4s</t>
    </r>
    <r>
      <rPr>
        <vertAlign val="superscript"/>
        <sz val="12"/>
        <color rgb="FF000000"/>
        <rFont val="Calibri"/>
        <family val="2"/>
      </rPr>
      <t>2</t>
    </r>
    <r>
      <rPr>
        <sz val="12"/>
        <color rgb="FF000000"/>
        <rFont val="Calibri"/>
        <family val="2"/>
      </rPr>
      <t>3d</t>
    </r>
    <r>
      <rPr>
        <vertAlign val="superscript"/>
        <sz val="12"/>
        <color rgb="FF000000"/>
        <rFont val="Calibri"/>
        <family val="2"/>
      </rPr>
      <t>10</t>
    </r>
    <r>
      <rPr>
        <sz val="12"/>
        <color rgb="FF000000"/>
        <rFont val="Calibri"/>
        <family val="2"/>
      </rPr>
      <t>4p</t>
    </r>
    <r>
      <rPr>
        <vertAlign val="superscript"/>
        <sz val="12"/>
        <color rgb="FF000000"/>
        <rFont val="Calibri"/>
        <family val="2"/>
      </rPr>
      <t>3</t>
    </r>
  </si>
  <si>
    <t>As</t>
  </si>
  <si>
    <r>
      <t>[Ar]4s</t>
    </r>
    <r>
      <rPr>
        <vertAlign val="superscript"/>
        <sz val="12"/>
        <color rgb="FF000000"/>
        <rFont val="Calibri"/>
        <family val="2"/>
      </rPr>
      <t>2</t>
    </r>
    <r>
      <rPr>
        <sz val="12"/>
        <color rgb="FF000000"/>
        <rFont val="Calibri"/>
        <family val="2"/>
      </rPr>
      <t>3d</t>
    </r>
    <r>
      <rPr>
        <vertAlign val="superscript"/>
        <sz val="12"/>
        <color rgb="FF000000"/>
        <rFont val="Calibri"/>
        <family val="2"/>
      </rPr>
      <t>10</t>
    </r>
    <r>
      <rPr>
        <sz val="12"/>
        <color rgb="FF000000"/>
        <rFont val="Calibri"/>
        <family val="2"/>
      </rPr>
      <t>4p</t>
    </r>
    <r>
      <rPr>
        <vertAlign val="superscript"/>
        <sz val="12"/>
        <color rgb="FF000000"/>
        <rFont val="Calibri"/>
        <family val="2"/>
      </rPr>
      <t>4</t>
    </r>
  </si>
  <si>
    <t>Se</t>
  </si>
  <si>
    <r>
      <t>[Ar]4s</t>
    </r>
    <r>
      <rPr>
        <vertAlign val="superscript"/>
        <sz val="12"/>
        <color rgb="FF000000"/>
        <rFont val="Calibri"/>
        <family val="2"/>
      </rPr>
      <t>2</t>
    </r>
    <r>
      <rPr>
        <sz val="12"/>
        <color rgb="FF000000"/>
        <rFont val="Calibri"/>
        <family val="2"/>
      </rPr>
      <t>3d</t>
    </r>
    <r>
      <rPr>
        <vertAlign val="superscript"/>
        <sz val="12"/>
        <color rgb="FF000000"/>
        <rFont val="Calibri"/>
        <family val="2"/>
      </rPr>
      <t>10</t>
    </r>
    <r>
      <rPr>
        <sz val="12"/>
        <color rgb="FF000000"/>
        <rFont val="Calibri"/>
        <family val="2"/>
      </rPr>
      <t>4p</t>
    </r>
    <r>
      <rPr>
        <vertAlign val="superscript"/>
        <sz val="12"/>
        <color rgb="FF000000"/>
        <rFont val="Calibri"/>
        <family val="2"/>
      </rPr>
      <t>5</t>
    </r>
  </si>
  <si>
    <t>Br</t>
  </si>
  <si>
    <r>
      <t>[Ar]4s</t>
    </r>
    <r>
      <rPr>
        <vertAlign val="superscript"/>
        <sz val="12"/>
        <color rgb="FF000000"/>
        <rFont val="Calibri"/>
        <family val="2"/>
      </rPr>
      <t>2</t>
    </r>
    <r>
      <rPr>
        <sz val="12"/>
        <color rgb="FF000000"/>
        <rFont val="Calibri"/>
        <family val="2"/>
      </rPr>
      <t>3d</t>
    </r>
    <r>
      <rPr>
        <vertAlign val="superscript"/>
        <sz val="12"/>
        <color rgb="FF000000"/>
        <rFont val="Calibri"/>
        <family val="2"/>
      </rPr>
      <t>10</t>
    </r>
    <r>
      <rPr>
        <sz val="12"/>
        <color rgb="FF000000"/>
        <rFont val="Calibri"/>
        <family val="2"/>
      </rPr>
      <t>4p</t>
    </r>
    <r>
      <rPr>
        <vertAlign val="superscript"/>
        <sz val="12"/>
        <color rgb="FF000000"/>
        <rFont val="Calibri"/>
        <family val="2"/>
      </rPr>
      <t>6</t>
    </r>
  </si>
  <si>
    <t>Kr</t>
  </si>
  <si>
    <r>
      <t>[Kr]5s</t>
    </r>
    <r>
      <rPr>
        <vertAlign val="superscript"/>
        <sz val="12"/>
        <color rgb="FF000000"/>
        <rFont val="Calibri"/>
        <family val="2"/>
      </rPr>
      <t>1</t>
    </r>
  </si>
  <si>
    <t>Rb</t>
  </si>
  <si>
    <r>
      <t>[Kr]5s</t>
    </r>
    <r>
      <rPr>
        <vertAlign val="superscript"/>
        <sz val="12"/>
        <color rgb="FF000000"/>
        <rFont val="Calibri"/>
        <family val="2"/>
      </rPr>
      <t>2</t>
    </r>
  </si>
  <si>
    <t>Sr</t>
  </si>
  <si>
    <r>
      <t>[Kr]5s</t>
    </r>
    <r>
      <rPr>
        <vertAlign val="superscript"/>
        <sz val="12"/>
        <color rgb="FF000000"/>
        <rFont val="Calibri"/>
        <family val="2"/>
      </rPr>
      <t>2</t>
    </r>
    <r>
      <rPr>
        <sz val="12"/>
        <color rgb="FF000000"/>
        <rFont val="Calibri"/>
        <family val="2"/>
      </rPr>
      <t>4d</t>
    </r>
    <r>
      <rPr>
        <vertAlign val="superscript"/>
        <sz val="12"/>
        <color rgb="FF000000"/>
        <rFont val="Calibri"/>
        <family val="2"/>
      </rPr>
      <t>1</t>
    </r>
  </si>
  <si>
    <t>Y</t>
  </si>
  <si>
    <r>
      <t>[Kr]5s</t>
    </r>
    <r>
      <rPr>
        <vertAlign val="superscript"/>
        <sz val="12"/>
        <color rgb="FF000000"/>
        <rFont val="Calibri"/>
        <family val="2"/>
      </rPr>
      <t>2</t>
    </r>
    <r>
      <rPr>
        <sz val="12"/>
        <color rgb="FF000000"/>
        <rFont val="Calibri"/>
        <family val="2"/>
      </rPr>
      <t>4d</t>
    </r>
    <r>
      <rPr>
        <vertAlign val="superscript"/>
        <sz val="12"/>
        <color rgb="FF000000"/>
        <rFont val="Calibri"/>
        <family val="2"/>
      </rPr>
      <t>2</t>
    </r>
  </si>
  <si>
    <t>Zr</t>
  </si>
  <si>
    <r>
      <t>[Kr]5s</t>
    </r>
    <r>
      <rPr>
        <vertAlign val="superscript"/>
        <sz val="12"/>
        <color rgb="FF000000"/>
        <rFont val="Calibri"/>
        <family val="2"/>
      </rPr>
      <t>1</t>
    </r>
    <r>
      <rPr>
        <sz val="12"/>
        <color rgb="FF000000"/>
        <rFont val="Calibri"/>
        <family val="2"/>
      </rPr>
      <t>4d</t>
    </r>
    <r>
      <rPr>
        <vertAlign val="superscript"/>
        <sz val="12"/>
        <color rgb="FF000000"/>
        <rFont val="Calibri"/>
        <family val="2"/>
      </rPr>
      <t>4</t>
    </r>
  </si>
  <si>
    <t>Nb</t>
  </si>
  <si>
    <r>
      <t>[Kr]5s</t>
    </r>
    <r>
      <rPr>
        <vertAlign val="superscript"/>
        <sz val="12"/>
        <color rgb="FF000000"/>
        <rFont val="Calibri"/>
        <family val="2"/>
      </rPr>
      <t>1</t>
    </r>
    <r>
      <rPr>
        <sz val="12"/>
        <color rgb="FF000000"/>
        <rFont val="Calibri"/>
        <family val="2"/>
      </rPr>
      <t>4d</t>
    </r>
    <r>
      <rPr>
        <vertAlign val="superscript"/>
        <sz val="12"/>
        <color rgb="FF000000"/>
        <rFont val="Calibri"/>
        <family val="2"/>
      </rPr>
      <t>5</t>
    </r>
  </si>
  <si>
    <t>Mo</t>
  </si>
  <si>
    <r>
      <t>[Kr]5s</t>
    </r>
    <r>
      <rPr>
        <vertAlign val="superscript"/>
        <sz val="12"/>
        <color rgb="FF000000"/>
        <rFont val="Calibri"/>
        <family val="2"/>
      </rPr>
      <t>2</t>
    </r>
    <r>
      <rPr>
        <sz val="12"/>
        <color rgb="FF000000"/>
        <rFont val="Calibri"/>
        <family val="2"/>
      </rPr>
      <t>4d</t>
    </r>
    <r>
      <rPr>
        <vertAlign val="superscript"/>
        <sz val="12"/>
        <color rgb="FF000000"/>
        <rFont val="Calibri"/>
        <family val="2"/>
      </rPr>
      <t>5</t>
    </r>
  </si>
  <si>
    <t>Tc</t>
  </si>
  <si>
    <r>
      <t>[Kr]5s</t>
    </r>
    <r>
      <rPr>
        <vertAlign val="superscript"/>
        <sz val="12"/>
        <color rgb="FF000000"/>
        <rFont val="Calibri"/>
        <family val="2"/>
      </rPr>
      <t>1</t>
    </r>
    <r>
      <rPr>
        <sz val="12"/>
        <color rgb="FF000000"/>
        <rFont val="Calibri"/>
        <family val="2"/>
      </rPr>
      <t>4d</t>
    </r>
    <r>
      <rPr>
        <vertAlign val="superscript"/>
        <sz val="12"/>
        <color rgb="FF000000"/>
        <rFont val="Calibri"/>
        <family val="2"/>
      </rPr>
      <t>7</t>
    </r>
  </si>
  <si>
    <t>Ru</t>
  </si>
  <si>
    <r>
      <t>[Kr]5s</t>
    </r>
    <r>
      <rPr>
        <vertAlign val="superscript"/>
        <sz val="12"/>
        <color rgb="FF000000"/>
        <rFont val="Calibri"/>
        <family val="2"/>
      </rPr>
      <t>1</t>
    </r>
    <r>
      <rPr>
        <sz val="12"/>
        <color rgb="FF000000"/>
        <rFont val="Calibri"/>
        <family val="2"/>
      </rPr>
      <t>4d</t>
    </r>
    <r>
      <rPr>
        <vertAlign val="superscript"/>
        <sz val="12"/>
        <color rgb="FF000000"/>
        <rFont val="Calibri"/>
        <family val="2"/>
      </rPr>
      <t>8</t>
    </r>
  </si>
  <si>
    <t>Rh</t>
  </si>
  <si>
    <r>
      <t>[Kr]4d</t>
    </r>
    <r>
      <rPr>
        <vertAlign val="superscript"/>
        <sz val="12"/>
        <color rgb="FF000000"/>
        <rFont val="Calibri"/>
        <family val="2"/>
      </rPr>
      <t>10</t>
    </r>
  </si>
  <si>
    <t>Pd</t>
  </si>
  <si>
    <r>
      <t>[Kr]5s</t>
    </r>
    <r>
      <rPr>
        <vertAlign val="superscript"/>
        <sz val="12"/>
        <color rgb="FF000000"/>
        <rFont val="Calibri"/>
        <family val="2"/>
      </rPr>
      <t>1</t>
    </r>
    <r>
      <rPr>
        <sz val="12"/>
        <color rgb="FF000000"/>
        <rFont val="Calibri"/>
        <family val="2"/>
      </rPr>
      <t>4d</t>
    </r>
    <r>
      <rPr>
        <vertAlign val="superscript"/>
        <sz val="12"/>
        <color rgb="FF000000"/>
        <rFont val="Calibri"/>
        <family val="2"/>
      </rPr>
      <t>10</t>
    </r>
  </si>
  <si>
    <t>Ag</t>
  </si>
  <si>
    <r>
      <t>[Kr]5s</t>
    </r>
    <r>
      <rPr>
        <vertAlign val="superscript"/>
        <sz val="12"/>
        <color rgb="FF000000"/>
        <rFont val="Calibri"/>
        <family val="2"/>
      </rPr>
      <t>2</t>
    </r>
    <r>
      <rPr>
        <sz val="12"/>
        <color rgb="FF000000"/>
        <rFont val="Calibri"/>
        <family val="2"/>
      </rPr>
      <t>4d</t>
    </r>
    <r>
      <rPr>
        <vertAlign val="superscript"/>
        <sz val="12"/>
        <color rgb="FF000000"/>
        <rFont val="Calibri"/>
        <family val="2"/>
      </rPr>
      <t>10</t>
    </r>
  </si>
  <si>
    <t>Cd</t>
  </si>
  <si>
    <r>
      <t>[Kr]5s</t>
    </r>
    <r>
      <rPr>
        <vertAlign val="superscript"/>
        <sz val="12"/>
        <color rgb="FF000000"/>
        <rFont val="Calibri"/>
        <family val="2"/>
      </rPr>
      <t>2</t>
    </r>
    <r>
      <rPr>
        <sz val="12"/>
        <color rgb="FF000000"/>
        <rFont val="Calibri"/>
        <family val="2"/>
      </rPr>
      <t>4d</t>
    </r>
    <r>
      <rPr>
        <vertAlign val="superscript"/>
        <sz val="12"/>
        <color rgb="FF000000"/>
        <rFont val="Calibri"/>
        <family val="2"/>
      </rPr>
      <t>10</t>
    </r>
    <r>
      <rPr>
        <sz val="12"/>
        <color rgb="FF000000"/>
        <rFont val="Calibri"/>
        <family val="2"/>
      </rPr>
      <t>5p</t>
    </r>
    <r>
      <rPr>
        <vertAlign val="superscript"/>
        <sz val="12"/>
        <color rgb="FF000000"/>
        <rFont val="Calibri"/>
        <family val="2"/>
      </rPr>
      <t>1</t>
    </r>
  </si>
  <si>
    <t>In</t>
  </si>
  <si>
    <r>
      <t>[Kr]5s</t>
    </r>
    <r>
      <rPr>
        <vertAlign val="superscript"/>
        <sz val="12"/>
        <color rgb="FF000000"/>
        <rFont val="Calibri"/>
        <family val="2"/>
      </rPr>
      <t>2</t>
    </r>
    <r>
      <rPr>
        <sz val="12"/>
        <color rgb="FF000000"/>
        <rFont val="Calibri"/>
        <family val="2"/>
      </rPr>
      <t>4d</t>
    </r>
    <r>
      <rPr>
        <vertAlign val="superscript"/>
        <sz val="12"/>
        <color rgb="FF000000"/>
        <rFont val="Calibri"/>
        <family val="2"/>
      </rPr>
      <t>10</t>
    </r>
    <r>
      <rPr>
        <sz val="12"/>
        <color rgb="FF000000"/>
        <rFont val="Calibri"/>
        <family val="2"/>
      </rPr>
      <t>5p</t>
    </r>
    <r>
      <rPr>
        <vertAlign val="superscript"/>
        <sz val="12"/>
        <color rgb="FF000000"/>
        <rFont val="Calibri"/>
        <family val="2"/>
      </rPr>
      <t>2</t>
    </r>
  </si>
  <si>
    <t>Sn</t>
  </si>
  <si>
    <r>
      <t>[Kr]5s</t>
    </r>
    <r>
      <rPr>
        <vertAlign val="superscript"/>
        <sz val="12"/>
        <color rgb="FF000000"/>
        <rFont val="Calibri"/>
        <family val="2"/>
      </rPr>
      <t>2</t>
    </r>
    <r>
      <rPr>
        <sz val="12"/>
        <color rgb="FF000000"/>
        <rFont val="Calibri"/>
        <family val="2"/>
      </rPr>
      <t>4d</t>
    </r>
    <r>
      <rPr>
        <vertAlign val="superscript"/>
        <sz val="12"/>
        <color rgb="FF000000"/>
        <rFont val="Calibri"/>
        <family val="2"/>
      </rPr>
      <t>10</t>
    </r>
    <r>
      <rPr>
        <sz val="12"/>
        <color rgb="FF000000"/>
        <rFont val="Calibri"/>
        <family val="2"/>
      </rPr>
      <t>5p</t>
    </r>
    <r>
      <rPr>
        <vertAlign val="superscript"/>
        <sz val="12"/>
        <color rgb="FF000000"/>
        <rFont val="Calibri"/>
        <family val="2"/>
      </rPr>
      <t>3</t>
    </r>
  </si>
  <si>
    <t>Sb</t>
  </si>
  <si>
    <r>
      <t>[Kr]5s</t>
    </r>
    <r>
      <rPr>
        <vertAlign val="superscript"/>
        <sz val="12"/>
        <color rgb="FF000000"/>
        <rFont val="Calibri"/>
        <family val="2"/>
      </rPr>
      <t>2</t>
    </r>
    <r>
      <rPr>
        <sz val="12"/>
        <color rgb="FF000000"/>
        <rFont val="Calibri"/>
        <family val="2"/>
      </rPr>
      <t>4d</t>
    </r>
    <r>
      <rPr>
        <vertAlign val="superscript"/>
        <sz val="12"/>
        <color rgb="FF000000"/>
        <rFont val="Calibri"/>
        <family val="2"/>
      </rPr>
      <t>10</t>
    </r>
    <r>
      <rPr>
        <sz val="12"/>
        <color rgb="FF000000"/>
        <rFont val="Calibri"/>
        <family val="2"/>
      </rPr>
      <t>5p</t>
    </r>
    <r>
      <rPr>
        <vertAlign val="superscript"/>
        <sz val="12"/>
        <color rgb="FF000000"/>
        <rFont val="Calibri"/>
        <family val="2"/>
      </rPr>
      <t>4</t>
    </r>
  </si>
  <si>
    <t>Te</t>
  </si>
  <si>
    <r>
      <t>[Kr]5s</t>
    </r>
    <r>
      <rPr>
        <vertAlign val="superscript"/>
        <sz val="12"/>
        <color rgb="FF000000"/>
        <rFont val="Calibri"/>
        <family val="2"/>
      </rPr>
      <t>2</t>
    </r>
    <r>
      <rPr>
        <sz val="12"/>
        <color rgb="FF000000"/>
        <rFont val="Calibri"/>
        <family val="2"/>
      </rPr>
      <t>4d</t>
    </r>
    <r>
      <rPr>
        <vertAlign val="superscript"/>
        <sz val="12"/>
        <color rgb="FF000000"/>
        <rFont val="Calibri"/>
        <family val="2"/>
      </rPr>
      <t>10</t>
    </r>
    <r>
      <rPr>
        <sz val="12"/>
        <color rgb="FF000000"/>
        <rFont val="Calibri"/>
        <family val="2"/>
      </rPr>
      <t>5p</t>
    </r>
    <r>
      <rPr>
        <vertAlign val="superscript"/>
        <sz val="12"/>
        <color rgb="FF000000"/>
        <rFont val="Calibri"/>
        <family val="2"/>
      </rPr>
      <t>5</t>
    </r>
  </si>
  <si>
    <t>I</t>
  </si>
  <si>
    <r>
      <t>[Kr]5s</t>
    </r>
    <r>
      <rPr>
        <vertAlign val="superscript"/>
        <sz val="12"/>
        <color rgb="FF000000"/>
        <rFont val="Calibri"/>
        <family val="2"/>
      </rPr>
      <t>2</t>
    </r>
    <r>
      <rPr>
        <sz val="12"/>
        <color rgb="FF000000"/>
        <rFont val="Calibri"/>
        <family val="2"/>
      </rPr>
      <t>4d</t>
    </r>
    <r>
      <rPr>
        <vertAlign val="superscript"/>
        <sz val="12"/>
        <color rgb="FF000000"/>
        <rFont val="Calibri"/>
        <family val="2"/>
      </rPr>
      <t>10</t>
    </r>
    <r>
      <rPr>
        <sz val="12"/>
        <color rgb="FF000000"/>
        <rFont val="Calibri"/>
        <family val="2"/>
      </rPr>
      <t>5p</t>
    </r>
    <r>
      <rPr>
        <vertAlign val="superscript"/>
        <sz val="12"/>
        <color rgb="FF000000"/>
        <rFont val="Calibri"/>
        <family val="2"/>
      </rPr>
      <t>6</t>
    </r>
  </si>
  <si>
    <t>Xe</t>
  </si>
  <si>
    <r>
      <t>[Xe]6s</t>
    </r>
    <r>
      <rPr>
        <vertAlign val="superscript"/>
        <sz val="12"/>
        <color rgb="FF000000"/>
        <rFont val="Calibri"/>
        <family val="2"/>
      </rPr>
      <t>1</t>
    </r>
  </si>
  <si>
    <t>Cs</t>
  </si>
  <si>
    <r>
      <t>[Xe]6s</t>
    </r>
    <r>
      <rPr>
        <vertAlign val="superscript"/>
        <sz val="12"/>
        <color rgb="FF000000"/>
        <rFont val="Calibri"/>
        <family val="2"/>
      </rPr>
      <t>2</t>
    </r>
  </si>
  <si>
    <t>Ba</t>
  </si>
  <si>
    <r>
      <t>[Xe]6s</t>
    </r>
    <r>
      <rPr>
        <vertAlign val="superscript"/>
        <sz val="12"/>
        <color rgb="FF000000"/>
        <rFont val="Calibri"/>
        <family val="2"/>
      </rPr>
      <t>2</t>
    </r>
    <r>
      <rPr>
        <sz val="12"/>
        <color rgb="FF000000"/>
        <rFont val="Calibri"/>
        <family val="2"/>
      </rPr>
      <t>5d</t>
    </r>
    <r>
      <rPr>
        <vertAlign val="superscript"/>
        <sz val="12"/>
        <color rgb="FF000000"/>
        <rFont val="Calibri"/>
        <family val="2"/>
      </rPr>
      <t>1</t>
    </r>
  </si>
  <si>
    <t>La</t>
  </si>
  <si>
    <r>
      <t>[Xe]6s</t>
    </r>
    <r>
      <rPr>
        <vertAlign val="superscript"/>
        <sz val="12"/>
        <color rgb="FF000000"/>
        <rFont val="Calibri"/>
        <family val="2"/>
      </rPr>
      <t>2</t>
    </r>
    <r>
      <rPr>
        <sz val="12"/>
        <color rgb="FF000000"/>
        <rFont val="Calibri"/>
        <family val="2"/>
      </rPr>
      <t>4f</t>
    </r>
    <r>
      <rPr>
        <vertAlign val="superscript"/>
        <sz val="12"/>
        <color rgb="FF000000"/>
        <rFont val="Calibri"/>
        <family val="2"/>
      </rPr>
      <t>1</t>
    </r>
    <r>
      <rPr>
        <sz val="12"/>
        <color rgb="FF000000"/>
        <rFont val="Calibri"/>
        <family val="2"/>
      </rPr>
      <t>5d</t>
    </r>
    <r>
      <rPr>
        <vertAlign val="superscript"/>
        <sz val="12"/>
        <color rgb="FF000000"/>
        <rFont val="Calibri"/>
        <family val="2"/>
      </rPr>
      <t>1</t>
    </r>
  </si>
  <si>
    <t>Ce</t>
  </si>
  <si>
    <r>
      <t>[Xe]6s</t>
    </r>
    <r>
      <rPr>
        <vertAlign val="superscript"/>
        <sz val="12"/>
        <color rgb="FF000000"/>
        <rFont val="Calibri"/>
        <family val="2"/>
      </rPr>
      <t>2</t>
    </r>
    <r>
      <rPr>
        <sz val="12"/>
        <color rgb="FF000000"/>
        <rFont val="Calibri"/>
        <family val="2"/>
      </rPr>
      <t>4f</t>
    </r>
    <r>
      <rPr>
        <vertAlign val="superscript"/>
        <sz val="12"/>
        <color rgb="FF000000"/>
        <rFont val="Calibri"/>
        <family val="2"/>
      </rPr>
      <t>3</t>
    </r>
  </si>
  <si>
    <t>Pr</t>
  </si>
  <si>
    <r>
      <t>[Xe]6s</t>
    </r>
    <r>
      <rPr>
        <vertAlign val="super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4f</t>
    </r>
    <r>
      <rPr>
        <vertAlign val="superscript"/>
        <sz val="11"/>
        <color rgb="FF000000"/>
        <rFont val="Calibri"/>
        <family val="2"/>
        <scheme val="minor"/>
      </rPr>
      <t>4</t>
    </r>
  </si>
  <si>
    <t>Nd</t>
  </si>
  <si>
    <r>
      <t>[Xe]6s</t>
    </r>
    <r>
      <rPr>
        <vertAlign val="super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4f</t>
    </r>
    <r>
      <rPr>
        <vertAlign val="superscript"/>
        <sz val="11"/>
        <color rgb="FF000000"/>
        <rFont val="Calibri"/>
        <family val="2"/>
        <scheme val="minor"/>
      </rPr>
      <t>5</t>
    </r>
  </si>
  <si>
    <t>Pm</t>
  </si>
  <si>
    <r>
      <t>[Xe]6s</t>
    </r>
    <r>
      <rPr>
        <vertAlign val="super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4f</t>
    </r>
    <r>
      <rPr>
        <vertAlign val="superscript"/>
        <sz val="11"/>
        <color rgb="FF000000"/>
        <rFont val="Calibri"/>
        <family val="2"/>
        <scheme val="minor"/>
      </rPr>
      <t>6</t>
    </r>
  </si>
  <si>
    <t>Sm</t>
  </si>
  <si>
    <r>
      <t>[Xe]6s</t>
    </r>
    <r>
      <rPr>
        <vertAlign val="super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4f</t>
    </r>
    <r>
      <rPr>
        <vertAlign val="superscript"/>
        <sz val="11"/>
        <color rgb="FF000000"/>
        <rFont val="Calibri"/>
        <family val="2"/>
        <scheme val="minor"/>
      </rPr>
      <t>7</t>
    </r>
  </si>
  <si>
    <t>Eu</t>
  </si>
  <si>
    <r>
      <t>[Xe]6s</t>
    </r>
    <r>
      <rPr>
        <vertAlign val="super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4f</t>
    </r>
    <r>
      <rPr>
        <vertAlign val="superscript"/>
        <sz val="11"/>
        <color rgb="FF000000"/>
        <rFont val="Calibri"/>
        <family val="2"/>
        <scheme val="minor"/>
      </rPr>
      <t>7</t>
    </r>
    <r>
      <rPr>
        <sz val="11"/>
        <color rgb="FF000000"/>
        <rFont val="Calibri"/>
        <family val="2"/>
        <scheme val="minor"/>
      </rPr>
      <t>5d</t>
    </r>
    <r>
      <rPr>
        <vertAlign val="superscript"/>
        <sz val="11"/>
        <color rgb="FF000000"/>
        <rFont val="Calibri"/>
        <family val="2"/>
        <scheme val="minor"/>
      </rPr>
      <t>1</t>
    </r>
  </si>
  <si>
    <t>Gd</t>
  </si>
  <si>
    <r>
      <t>[Xe]6s</t>
    </r>
    <r>
      <rPr>
        <vertAlign val="super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4f</t>
    </r>
    <r>
      <rPr>
        <vertAlign val="superscript"/>
        <sz val="11"/>
        <color rgb="FF000000"/>
        <rFont val="Calibri"/>
        <family val="2"/>
        <scheme val="minor"/>
      </rPr>
      <t>9</t>
    </r>
  </si>
  <si>
    <t>Tb</t>
  </si>
  <si>
    <r>
      <t>[Xe]6s</t>
    </r>
    <r>
      <rPr>
        <vertAlign val="super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4f</t>
    </r>
    <r>
      <rPr>
        <vertAlign val="superscript"/>
        <sz val="11"/>
        <color rgb="FF000000"/>
        <rFont val="Calibri"/>
        <family val="2"/>
        <scheme val="minor"/>
      </rPr>
      <t>10</t>
    </r>
  </si>
  <si>
    <t>Dy</t>
  </si>
  <si>
    <r>
      <t>[Xe]6s</t>
    </r>
    <r>
      <rPr>
        <vertAlign val="super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4f</t>
    </r>
    <r>
      <rPr>
        <vertAlign val="superscript"/>
        <sz val="11"/>
        <color rgb="FF000000"/>
        <rFont val="Calibri"/>
        <family val="2"/>
        <scheme val="minor"/>
      </rPr>
      <t>11</t>
    </r>
  </si>
  <si>
    <t>Ho</t>
  </si>
  <si>
    <r>
      <t>[Xe]6s</t>
    </r>
    <r>
      <rPr>
        <vertAlign val="super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4f</t>
    </r>
    <r>
      <rPr>
        <vertAlign val="superscript"/>
        <sz val="11"/>
        <color rgb="FF000000"/>
        <rFont val="Calibri"/>
        <family val="2"/>
        <scheme val="minor"/>
      </rPr>
      <t>12</t>
    </r>
  </si>
  <si>
    <t>Er</t>
  </si>
  <si>
    <r>
      <t>[Xe]6s</t>
    </r>
    <r>
      <rPr>
        <vertAlign val="super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4f</t>
    </r>
    <r>
      <rPr>
        <vertAlign val="superscript"/>
        <sz val="11"/>
        <color rgb="FF000000"/>
        <rFont val="Calibri"/>
        <family val="2"/>
        <scheme val="minor"/>
      </rPr>
      <t>13</t>
    </r>
  </si>
  <si>
    <t>Tm</t>
  </si>
  <si>
    <r>
      <t>[Xe]6s</t>
    </r>
    <r>
      <rPr>
        <vertAlign val="super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4f</t>
    </r>
    <r>
      <rPr>
        <vertAlign val="superscript"/>
        <sz val="11"/>
        <color rgb="FF000000"/>
        <rFont val="Calibri"/>
        <family val="2"/>
        <scheme val="minor"/>
      </rPr>
      <t>14</t>
    </r>
  </si>
  <si>
    <t>Yb</t>
  </si>
  <si>
    <r>
      <t>[Xe]6s</t>
    </r>
    <r>
      <rPr>
        <vertAlign val="super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4f</t>
    </r>
    <r>
      <rPr>
        <vertAlign val="superscript"/>
        <sz val="11"/>
        <color rgb="FF000000"/>
        <rFont val="Calibri"/>
        <family val="2"/>
        <scheme val="minor"/>
      </rPr>
      <t>14</t>
    </r>
    <r>
      <rPr>
        <sz val="11"/>
        <color rgb="FF000000"/>
        <rFont val="Calibri"/>
        <family val="2"/>
        <scheme val="minor"/>
      </rPr>
      <t>5d</t>
    </r>
    <r>
      <rPr>
        <vertAlign val="superscript"/>
        <sz val="11"/>
        <color rgb="FF000000"/>
        <rFont val="Calibri"/>
        <family val="2"/>
        <scheme val="minor"/>
      </rPr>
      <t>1</t>
    </r>
  </si>
  <si>
    <t>Lu</t>
  </si>
  <si>
    <r>
      <t>[Xe]6s</t>
    </r>
    <r>
      <rPr>
        <vertAlign val="super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4f</t>
    </r>
    <r>
      <rPr>
        <vertAlign val="superscript"/>
        <sz val="11"/>
        <color rgb="FF000000"/>
        <rFont val="Calibri"/>
        <family val="2"/>
        <scheme val="minor"/>
      </rPr>
      <t>14</t>
    </r>
    <r>
      <rPr>
        <sz val="11"/>
        <color rgb="FF000000"/>
        <rFont val="Calibri"/>
        <family val="2"/>
        <scheme val="minor"/>
      </rPr>
      <t>5d</t>
    </r>
    <r>
      <rPr>
        <vertAlign val="superscript"/>
        <sz val="11"/>
        <color rgb="FF000000"/>
        <rFont val="Calibri"/>
        <family val="2"/>
        <scheme val="minor"/>
      </rPr>
      <t>2</t>
    </r>
  </si>
  <si>
    <t>Hf</t>
  </si>
  <si>
    <r>
      <t>[Xe]6s</t>
    </r>
    <r>
      <rPr>
        <vertAlign val="super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4f</t>
    </r>
    <r>
      <rPr>
        <vertAlign val="superscript"/>
        <sz val="11"/>
        <color rgb="FF000000"/>
        <rFont val="Calibri"/>
        <family val="2"/>
        <scheme val="minor"/>
      </rPr>
      <t>14</t>
    </r>
    <r>
      <rPr>
        <sz val="11"/>
        <color rgb="FF000000"/>
        <rFont val="Calibri"/>
        <family val="2"/>
        <scheme val="minor"/>
      </rPr>
      <t>5d</t>
    </r>
    <r>
      <rPr>
        <vertAlign val="superscript"/>
        <sz val="11"/>
        <color rgb="FF000000"/>
        <rFont val="Calibri"/>
        <family val="2"/>
        <scheme val="minor"/>
      </rPr>
      <t>3</t>
    </r>
  </si>
  <si>
    <t>Ta</t>
  </si>
  <si>
    <r>
      <t>[Xe]6s</t>
    </r>
    <r>
      <rPr>
        <vertAlign val="super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4f</t>
    </r>
    <r>
      <rPr>
        <vertAlign val="superscript"/>
        <sz val="11"/>
        <color rgb="FF000000"/>
        <rFont val="Calibri"/>
        <family val="2"/>
        <scheme val="minor"/>
      </rPr>
      <t>14</t>
    </r>
    <r>
      <rPr>
        <sz val="11"/>
        <color rgb="FF000000"/>
        <rFont val="Calibri"/>
        <family val="2"/>
        <scheme val="minor"/>
      </rPr>
      <t>5d</t>
    </r>
    <r>
      <rPr>
        <vertAlign val="superscript"/>
        <sz val="11"/>
        <color rgb="FF000000"/>
        <rFont val="Calibri"/>
        <family val="2"/>
        <scheme val="minor"/>
      </rPr>
      <t>4</t>
    </r>
  </si>
  <si>
    <t>W</t>
  </si>
  <si>
    <r>
      <t>[Xe]6s</t>
    </r>
    <r>
      <rPr>
        <vertAlign val="super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4f</t>
    </r>
    <r>
      <rPr>
        <vertAlign val="superscript"/>
        <sz val="11"/>
        <color rgb="FF000000"/>
        <rFont val="Calibri"/>
        <family val="2"/>
        <scheme val="minor"/>
      </rPr>
      <t>14</t>
    </r>
    <r>
      <rPr>
        <sz val="11"/>
        <color rgb="FF000000"/>
        <rFont val="Calibri"/>
        <family val="2"/>
        <scheme val="minor"/>
      </rPr>
      <t>5d</t>
    </r>
    <r>
      <rPr>
        <vertAlign val="superscript"/>
        <sz val="11"/>
        <color rgb="FF000000"/>
        <rFont val="Calibri"/>
        <family val="2"/>
        <scheme val="minor"/>
      </rPr>
      <t>5</t>
    </r>
  </si>
  <si>
    <t>Re</t>
  </si>
  <si>
    <r>
      <t>[Xe]6s</t>
    </r>
    <r>
      <rPr>
        <vertAlign val="super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4f</t>
    </r>
    <r>
      <rPr>
        <vertAlign val="superscript"/>
        <sz val="11"/>
        <color rgb="FF000000"/>
        <rFont val="Calibri"/>
        <family val="2"/>
        <scheme val="minor"/>
      </rPr>
      <t>14</t>
    </r>
    <r>
      <rPr>
        <sz val="11"/>
        <color rgb="FF000000"/>
        <rFont val="Calibri"/>
        <family val="2"/>
        <scheme val="minor"/>
      </rPr>
      <t>5d</t>
    </r>
    <r>
      <rPr>
        <vertAlign val="superscript"/>
        <sz val="11"/>
        <color rgb="FF000000"/>
        <rFont val="Calibri"/>
        <family val="2"/>
        <scheme val="minor"/>
      </rPr>
      <t>6</t>
    </r>
  </si>
  <si>
    <t>Os</t>
  </si>
  <si>
    <r>
      <t>[Xe]6s</t>
    </r>
    <r>
      <rPr>
        <vertAlign val="super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4f</t>
    </r>
    <r>
      <rPr>
        <vertAlign val="superscript"/>
        <sz val="11"/>
        <color rgb="FF000000"/>
        <rFont val="Calibri"/>
        <family val="2"/>
        <scheme val="minor"/>
      </rPr>
      <t>14</t>
    </r>
    <r>
      <rPr>
        <sz val="11"/>
        <color rgb="FF000000"/>
        <rFont val="Calibri"/>
        <family val="2"/>
        <scheme val="minor"/>
      </rPr>
      <t>5d</t>
    </r>
    <r>
      <rPr>
        <vertAlign val="superscript"/>
        <sz val="11"/>
        <color rgb="FF000000"/>
        <rFont val="Calibri"/>
        <family val="2"/>
        <scheme val="minor"/>
      </rPr>
      <t>7</t>
    </r>
  </si>
  <si>
    <t>Ir</t>
  </si>
  <si>
    <r>
      <t>[Xe]6s</t>
    </r>
    <r>
      <rPr>
        <vertAlign val="superscript"/>
        <sz val="11"/>
        <color rgb="FF000000"/>
        <rFont val="Calibri"/>
        <family val="2"/>
        <scheme val="minor"/>
      </rPr>
      <t>1</t>
    </r>
    <r>
      <rPr>
        <sz val="11"/>
        <color rgb="FF000000"/>
        <rFont val="Calibri"/>
        <family val="2"/>
        <scheme val="minor"/>
      </rPr>
      <t>4f</t>
    </r>
    <r>
      <rPr>
        <vertAlign val="superscript"/>
        <sz val="11"/>
        <color rgb="FF000000"/>
        <rFont val="Calibri"/>
        <family val="2"/>
        <scheme val="minor"/>
      </rPr>
      <t>14</t>
    </r>
    <r>
      <rPr>
        <sz val="11"/>
        <color rgb="FF000000"/>
        <rFont val="Calibri"/>
        <family val="2"/>
        <scheme val="minor"/>
      </rPr>
      <t>5d</t>
    </r>
    <r>
      <rPr>
        <vertAlign val="superscript"/>
        <sz val="11"/>
        <color rgb="FF000000"/>
        <rFont val="Calibri"/>
        <family val="2"/>
        <scheme val="minor"/>
      </rPr>
      <t>9</t>
    </r>
  </si>
  <si>
    <t>Pt</t>
  </si>
  <si>
    <r>
      <t>[Xe]6s</t>
    </r>
    <r>
      <rPr>
        <vertAlign val="superscript"/>
        <sz val="11"/>
        <color rgb="FF000000"/>
        <rFont val="Calibri"/>
        <family val="2"/>
        <scheme val="minor"/>
      </rPr>
      <t>1</t>
    </r>
    <r>
      <rPr>
        <sz val="11"/>
        <color rgb="FF000000"/>
        <rFont val="Calibri"/>
        <family val="2"/>
        <scheme val="minor"/>
      </rPr>
      <t>4f</t>
    </r>
    <r>
      <rPr>
        <vertAlign val="superscript"/>
        <sz val="11"/>
        <color rgb="FF000000"/>
        <rFont val="Calibri"/>
        <family val="2"/>
        <scheme val="minor"/>
      </rPr>
      <t>14</t>
    </r>
    <r>
      <rPr>
        <sz val="11"/>
        <color rgb="FF000000"/>
        <rFont val="Calibri"/>
        <family val="2"/>
        <scheme val="minor"/>
      </rPr>
      <t>5d</t>
    </r>
    <r>
      <rPr>
        <vertAlign val="superscript"/>
        <sz val="11"/>
        <color rgb="FF000000"/>
        <rFont val="Calibri"/>
        <family val="2"/>
        <scheme val="minor"/>
      </rPr>
      <t>10</t>
    </r>
  </si>
  <si>
    <t>Au</t>
  </si>
  <si>
    <r>
      <t>[Xe]6s</t>
    </r>
    <r>
      <rPr>
        <vertAlign val="super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4f</t>
    </r>
    <r>
      <rPr>
        <vertAlign val="superscript"/>
        <sz val="11"/>
        <color rgb="FF000000"/>
        <rFont val="Calibri"/>
        <family val="2"/>
        <scheme val="minor"/>
      </rPr>
      <t>14</t>
    </r>
    <r>
      <rPr>
        <sz val="11"/>
        <color rgb="FF000000"/>
        <rFont val="Calibri"/>
        <family val="2"/>
        <scheme val="minor"/>
      </rPr>
      <t>5d</t>
    </r>
    <r>
      <rPr>
        <vertAlign val="superscript"/>
        <sz val="11"/>
        <color rgb="FF000000"/>
        <rFont val="Calibri"/>
        <family val="2"/>
        <scheme val="minor"/>
      </rPr>
      <t>10</t>
    </r>
  </si>
  <si>
    <t>Hg</t>
  </si>
  <si>
    <r>
      <t>[Xe]6s</t>
    </r>
    <r>
      <rPr>
        <vertAlign val="super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4f</t>
    </r>
    <r>
      <rPr>
        <vertAlign val="superscript"/>
        <sz val="11"/>
        <color rgb="FF000000"/>
        <rFont val="Calibri"/>
        <family val="2"/>
        <scheme val="minor"/>
      </rPr>
      <t>14</t>
    </r>
    <r>
      <rPr>
        <sz val="11"/>
        <color rgb="FF000000"/>
        <rFont val="Calibri"/>
        <family val="2"/>
        <scheme val="minor"/>
      </rPr>
      <t>5d</t>
    </r>
    <r>
      <rPr>
        <vertAlign val="superscript"/>
        <sz val="11"/>
        <color rgb="FF000000"/>
        <rFont val="Calibri"/>
        <family val="2"/>
        <scheme val="minor"/>
      </rPr>
      <t>10</t>
    </r>
    <r>
      <rPr>
        <sz val="11"/>
        <color rgb="FF000000"/>
        <rFont val="Calibri"/>
        <family val="2"/>
        <scheme val="minor"/>
      </rPr>
      <t>6p</t>
    </r>
    <r>
      <rPr>
        <vertAlign val="superscript"/>
        <sz val="11"/>
        <color rgb="FF000000"/>
        <rFont val="Calibri"/>
        <family val="2"/>
        <scheme val="minor"/>
      </rPr>
      <t>1</t>
    </r>
  </si>
  <si>
    <t>Tl</t>
  </si>
  <si>
    <r>
      <t>[Xe]6s</t>
    </r>
    <r>
      <rPr>
        <vertAlign val="super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4f</t>
    </r>
    <r>
      <rPr>
        <vertAlign val="superscript"/>
        <sz val="11"/>
        <color rgb="FF000000"/>
        <rFont val="Calibri"/>
        <family val="2"/>
        <scheme val="minor"/>
      </rPr>
      <t>14</t>
    </r>
    <r>
      <rPr>
        <sz val="11"/>
        <color rgb="FF000000"/>
        <rFont val="Calibri"/>
        <family val="2"/>
        <scheme val="minor"/>
      </rPr>
      <t>5d</t>
    </r>
    <r>
      <rPr>
        <vertAlign val="superscript"/>
        <sz val="11"/>
        <color rgb="FF000000"/>
        <rFont val="Calibri"/>
        <family val="2"/>
        <scheme val="minor"/>
      </rPr>
      <t>10</t>
    </r>
    <r>
      <rPr>
        <sz val="11"/>
        <color rgb="FF000000"/>
        <rFont val="Calibri"/>
        <family val="2"/>
        <scheme val="minor"/>
      </rPr>
      <t>6p</t>
    </r>
    <r>
      <rPr>
        <vertAlign val="superscript"/>
        <sz val="11"/>
        <color rgb="FF000000"/>
        <rFont val="Calibri"/>
        <family val="2"/>
        <scheme val="minor"/>
      </rPr>
      <t>2</t>
    </r>
  </si>
  <si>
    <t>Pb</t>
  </si>
  <si>
    <r>
      <t>[Xe]6s</t>
    </r>
    <r>
      <rPr>
        <vertAlign val="super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4f</t>
    </r>
    <r>
      <rPr>
        <vertAlign val="superscript"/>
        <sz val="11"/>
        <color rgb="FF000000"/>
        <rFont val="Calibri"/>
        <family val="2"/>
        <scheme val="minor"/>
      </rPr>
      <t>14</t>
    </r>
    <r>
      <rPr>
        <sz val="11"/>
        <color rgb="FF000000"/>
        <rFont val="Calibri"/>
        <family val="2"/>
        <scheme val="minor"/>
      </rPr>
      <t>5d</t>
    </r>
    <r>
      <rPr>
        <vertAlign val="superscript"/>
        <sz val="11"/>
        <color rgb="FF000000"/>
        <rFont val="Calibri"/>
        <family val="2"/>
        <scheme val="minor"/>
      </rPr>
      <t>10</t>
    </r>
    <r>
      <rPr>
        <sz val="11"/>
        <color rgb="FF000000"/>
        <rFont val="Calibri"/>
        <family val="2"/>
        <scheme val="minor"/>
      </rPr>
      <t>6p</t>
    </r>
    <r>
      <rPr>
        <vertAlign val="superscript"/>
        <sz val="11"/>
        <color rgb="FF000000"/>
        <rFont val="Calibri"/>
        <family val="2"/>
        <scheme val="minor"/>
      </rPr>
      <t>3</t>
    </r>
  </si>
  <si>
    <t>Bi</t>
  </si>
  <si>
    <r>
      <t>[Rn]7s</t>
    </r>
    <r>
      <rPr>
        <vertAlign val="super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6d</t>
    </r>
    <r>
      <rPr>
        <vertAlign val="superscript"/>
        <sz val="11"/>
        <color rgb="FF000000"/>
        <rFont val="Calibri"/>
        <family val="2"/>
        <scheme val="minor"/>
      </rPr>
      <t>2</t>
    </r>
  </si>
  <si>
    <t>Th</t>
  </si>
  <si>
    <r>
      <t>[Rn]7s</t>
    </r>
    <r>
      <rPr>
        <vertAlign val="super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5f</t>
    </r>
    <r>
      <rPr>
        <vertAlign val="superscript"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>6d</t>
    </r>
    <r>
      <rPr>
        <vertAlign val="superscript"/>
        <sz val="11"/>
        <color rgb="FF000000"/>
        <rFont val="Calibri"/>
        <family val="2"/>
        <scheme val="minor"/>
      </rPr>
      <t>1</t>
    </r>
  </si>
  <si>
    <t>U</t>
  </si>
  <si>
    <t>Electron 
configuration</t>
  </si>
  <si>
    <t>Atomic 
weight</t>
  </si>
  <si>
    <t>Atomic 
number</t>
  </si>
  <si>
    <t>Period</t>
  </si>
  <si>
    <t>Group</t>
  </si>
  <si>
    <t>Families</t>
  </si>
  <si>
    <t>Metal(1)/
metalloid(2)/
nonmetal(3)</t>
  </si>
  <si>
    <t>quantum 
number l</t>
  </si>
  <si>
    <t>Metallic 
valence</t>
  </si>
  <si>
    <t>no. of 
valence 
electrons</t>
  </si>
  <si>
    <t>Gilman no.
of valence
electrons</t>
  </si>
  <si>
    <t>unfilled
f</t>
  </si>
  <si>
    <t>outer
shell
electrons</t>
  </si>
  <si>
    <t>Zeff</t>
  </si>
  <si>
    <t>1st Bohr
radius (a0)</t>
  </si>
  <si>
    <t>Ionization
energy (eV)</t>
  </si>
  <si>
    <t>Electron 
affinity (ev)</t>
  </si>
  <si>
    <t>Pauling 
EN</t>
  </si>
  <si>
    <t>Martynov 
Batsanov EN</t>
  </si>
  <si>
    <t>Mulliken
EN</t>
  </si>
  <si>
    <t>Allred
EN</t>
  </si>
  <si>
    <t>Pearson
absolute (eV)</t>
  </si>
  <si>
    <t>N/A</t>
  </si>
  <si>
    <t>Allred
Rockow EN</t>
  </si>
  <si>
    <t>Ghosh
Gupta (eV)</t>
  </si>
  <si>
    <t>Nagle
EN</t>
  </si>
  <si>
    <t>Putz
Russo
Sicillia
EN</t>
  </si>
  <si>
    <t>Gordy
EN</t>
  </si>
  <si>
    <t>Ghosh
EN</t>
  </si>
  <si>
    <t>Atomic
radius calculated</t>
  </si>
  <si>
    <t>Covalent
radius</t>
  </si>
  <si>
    <t>Ionic
radius</t>
  </si>
  <si>
    <t>Effective 
ionic radius</t>
  </si>
  <si>
    <t>Miracle
radius</t>
  </si>
  <si>
    <t>van der Waals
radius</t>
  </si>
  <si>
    <t>Zunger
radii sum</t>
  </si>
  <si>
    <t>Crystal
radius</t>
  </si>
  <si>
    <t>Covalent CSD
radius</t>
  </si>
  <si>
    <t>Slater
radius</t>
  </si>
  <si>
    <t>Orbital 
radius</t>
  </si>
  <si>
    <t>polarizability,
 A^3</t>
  </si>
  <si>
    <t>Melting point,
K</t>
  </si>
  <si>
    <t>Boiling point,
K</t>
  </si>
  <si>
    <t>Density, 
g/mL</t>
  </si>
  <si>
    <t>Specific heat,
J/g K</t>
  </si>
  <si>
    <t>Heat of fusion, 
kJ/mol</t>
  </si>
  <si>
    <t>Heat of vaporization, 
kJ/mol</t>
  </si>
  <si>
    <t>Heat of atomization, 
kJ/mol</t>
  </si>
  <si>
    <t>Thermal conductivity,
W/m K</t>
  </si>
  <si>
    <t>Thermal expansion, 
K^-1</t>
  </si>
  <si>
    <t>Cohesive 
energy</t>
  </si>
  <si>
    <t>Bulk modulus,
GPa</t>
  </si>
  <si>
    <t>Sheer modulus,
GPa</t>
  </si>
  <si>
    <t>Young modulus,
GPa</t>
  </si>
  <si>
    <t>Hardness Vickers,
GPa</t>
  </si>
  <si>
    <t>Hardness Brinell,
GPa</t>
  </si>
  <si>
    <t>Resistivity (mΩ)</t>
  </si>
  <si>
    <t>Electrical Conductivity 
(S/m)</t>
  </si>
  <si>
    <t xml:space="preserve">Neutron 
Cross 
Section </t>
  </si>
  <si>
    <t>Neutron 
Mass 
Absorption</t>
  </si>
  <si>
    <t>no. of Known 
Isotopes</t>
  </si>
  <si>
    <t>no. of Stable 
Isotopes</t>
  </si>
  <si>
    <t xml:space="preserve">fraction of stable 
isotopes </t>
  </si>
  <si>
    <t xml:space="preserve">fraction abundance of stable 
isotopes </t>
  </si>
  <si>
    <t>Pauling valence, 
v</t>
  </si>
  <si>
    <t>Pauling, 
R(CN12)</t>
  </si>
  <si>
    <t>Pauling, 
R(1)</t>
  </si>
  <si>
    <t>Mendeleev number</t>
  </si>
  <si>
    <t>Abundance in Earth's 
crust</t>
  </si>
  <si>
    <t>Abundance 
in solar system 
(log)</t>
  </si>
  <si>
    <t>cost, 
pure
($/100g)</t>
  </si>
  <si>
    <t>HHI production</t>
  </si>
  <si>
    <t>HHI reserve</t>
  </si>
  <si>
    <t>valence s</t>
  </si>
  <si>
    <t>valence p</t>
  </si>
  <si>
    <t>valence d</t>
  </si>
  <si>
    <t>valence f</t>
  </si>
  <si>
    <t>unfilled s</t>
  </si>
  <si>
    <t>unfilled p</t>
  </si>
  <si>
    <t>unfilled d</t>
  </si>
  <si>
    <t>Composition</t>
  </si>
  <si>
    <t>index 1</t>
  </si>
  <si>
    <t>index 2</t>
  </si>
  <si>
    <t>index 4</t>
  </si>
  <si>
    <t>index 3</t>
  </si>
  <si>
    <t>index 5</t>
  </si>
  <si>
    <t>Feature 2 Atomic weight Sum</t>
  </si>
  <si>
    <t>Feature 3 Atomic weight variance</t>
  </si>
  <si>
    <t>Feature 4 Atomic weight max</t>
  </si>
  <si>
    <t>Feature 5 Atomic weight mim</t>
  </si>
  <si>
    <t>Feature 6 Atomic weight diference</t>
  </si>
  <si>
    <t>Feature 1 Atomic weight average</t>
  </si>
  <si>
    <t>Element 2 (line)</t>
  </si>
  <si>
    <t>Element 4 (line)</t>
  </si>
  <si>
    <t>Element 5(line)</t>
  </si>
  <si>
    <t>Feature 7 Atomic 
number average</t>
  </si>
  <si>
    <t>Feature 8 Atomic 
number sum</t>
  </si>
  <si>
    <t>Feature 9 Atomic 
number variance</t>
  </si>
  <si>
    <t>Feature 10 Atomic 
number max</t>
  </si>
  <si>
    <t>Feature 11 Atomic 
number mim</t>
  </si>
  <si>
    <t>Feature 12 Atomic 
number diference</t>
  </si>
  <si>
    <t>Element 1 (line)*</t>
  </si>
  <si>
    <t>ZERO</t>
  </si>
  <si>
    <t>Element 3 (line)**</t>
  </si>
  <si>
    <t>Feature 13 Period avarage</t>
  </si>
  <si>
    <t>Feature 14 Period sum</t>
  </si>
  <si>
    <t>Feature 15 Period variance</t>
  </si>
  <si>
    <t>Feature 16 Period max</t>
  </si>
  <si>
    <t>Feature 17 Period mim</t>
  </si>
  <si>
    <t>Feature 18 Period diference</t>
  </si>
  <si>
    <t>Feature 19 Group avarage</t>
  </si>
  <si>
    <t>Feature 21 Group variance</t>
  </si>
  <si>
    <t>Feature 20 Group sum</t>
  </si>
  <si>
    <t>Feature 22 Group max</t>
  </si>
  <si>
    <t>Feature 23 Group mim</t>
  </si>
  <si>
    <t>Feature 24 Group diference</t>
  </si>
  <si>
    <t>Feature 25 Mendeleev number avarage</t>
  </si>
  <si>
    <t>Feature 26 Mendeleev number sum</t>
  </si>
  <si>
    <t>Feature 27 Mendeleev number variance</t>
  </si>
  <si>
    <t>Feature 28 Mendeleev number max</t>
  </si>
  <si>
    <t>Feature 29 Mendeleev number mim</t>
  </si>
  <si>
    <t>Feature 30 Mendeleev number diference</t>
  </si>
  <si>
    <t>Feature 31 Families avarage</t>
  </si>
  <si>
    <t>Feature 32 Families   sum</t>
  </si>
  <si>
    <t>Feature 33 Families variance</t>
  </si>
  <si>
    <t>Feature 34 Families    max</t>
  </si>
  <si>
    <t>Feature 35     Families   mim</t>
  </si>
  <si>
    <t>Feature 36 Families diference</t>
  </si>
  <si>
    <t>Feature 37 valence s avarage</t>
  </si>
  <si>
    <t>Feature 38 valence s   sum</t>
  </si>
  <si>
    <t>Feature 39 valence s variance</t>
  </si>
  <si>
    <t>Feature 40 valence s    max</t>
  </si>
  <si>
    <t>Feature 41     valence s   mim</t>
  </si>
  <si>
    <t>Feature 42 valence s diference</t>
  </si>
  <si>
    <t>Feature 43 valence p avarage</t>
  </si>
  <si>
    <t>Feature 44 valence p   sum</t>
  </si>
  <si>
    <t>Feature 45 valence s variance</t>
  </si>
  <si>
    <t>Feature 46 valence p    max</t>
  </si>
  <si>
    <t>Feature 47     valence p   mim</t>
  </si>
  <si>
    <t>Feature 48 valence p diference</t>
  </si>
  <si>
    <t>Feature 49 valence d avarage</t>
  </si>
  <si>
    <t>Feature 50 valence d   sum</t>
  </si>
  <si>
    <t>Feature 51 valence d variance</t>
  </si>
  <si>
    <t>Feature 52 valence d    max</t>
  </si>
  <si>
    <t>Feature 53     valence d   mim</t>
  </si>
  <si>
    <t>Feature 54 valence d diference</t>
  </si>
  <si>
    <t>Feature 55 valence f avarage</t>
  </si>
  <si>
    <t>Feature 56 valence f   sum</t>
  </si>
  <si>
    <t>Feature 57 valence f variance</t>
  </si>
  <si>
    <t>Feature 58 valence f     max</t>
  </si>
  <si>
    <t>Feature 59     valence f    mim</t>
  </si>
  <si>
    <t>Feature 60 valence f diference</t>
  </si>
  <si>
    <t>Feature 61 no. of 
valence 
electrons avarage</t>
  </si>
  <si>
    <t>Feature 62 no. of 
valence 
electrons  sum</t>
  </si>
  <si>
    <t>Feature 63 no. of 
valence 
electrons variance</t>
  </si>
  <si>
    <t>Feature 64 no. of 
valence 
electrons     max</t>
  </si>
  <si>
    <t>Feature 65     no. of 
valence 
electrons     mim</t>
  </si>
  <si>
    <t>Feature 66 no. of 
valence 
electrons diference</t>
  </si>
  <si>
    <t>Feature 67 outer
shell
electrons avarage</t>
  </si>
  <si>
    <t>Feature 69 outer
shell
electrons variance</t>
  </si>
  <si>
    <t>Feature 70 outer
shell
electrons    max</t>
  </si>
  <si>
    <t>Feature 71     outer
shell
electrons     mim</t>
  </si>
  <si>
    <t>Feature 72 no. of 
valence 
electrons diference</t>
  </si>
  <si>
    <t>Feature 68 outer
shell
electrons
sum</t>
  </si>
  <si>
    <t>Feature 73 Gilman no.
of valence
electrons avarage</t>
  </si>
  <si>
    <t>Feature 74 Gilman no.
of valence
electrons
sum</t>
  </si>
  <si>
    <t>Feature 75 Gilman no.
of valence
electrons variance</t>
  </si>
  <si>
    <t>Feature 76 Gilman no.
of valence
electrons    max</t>
  </si>
  <si>
    <t>Feature 77     Gilman no.
of valence
electrons     mim</t>
  </si>
  <si>
    <t>Feature 78 Gilman no.
of valence
electrons diference</t>
  </si>
  <si>
    <t>Feature 79 Metallic 
valence avarage</t>
  </si>
  <si>
    <t>Feature 80 Metallic 
valence
sum</t>
  </si>
  <si>
    <t>Feature 81 Metallic 
valencevariance</t>
  </si>
  <si>
    <t>Feature 82 Metallic 
valence    max</t>
  </si>
  <si>
    <t>Feature 83     Metallic 
valence      mim</t>
  </si>
  <si>
    <t>Feature 84 Metallic 
valence diference</t>
  </si>
  <si>
    <t>Feature 85 Ionization
energy (eV) avarage</t>
  </si>
  <si>
    <t>Feature 86 Ionization
energy (eV)
sum</t>
  </si>
  <si>
    <t>Feature 87 Ionization
energy (eV) variance</t>
  </si>
  <si>
    <t>Feature 89     Ionization
energy (eV)      mim</t>
  </si>
  <si>
    <t>Feature 90 Ionization
energy (eV) diference</t>
  </si>
  <si>
    <t>Feature 88 Ionization
energy (eV) max</t>
  </si>
  <si>
    <t>Feature 91 Pauling 
EM avarage</t>
  </si>
  <si>
    <t>Feature 92 Pauling 
EN
sum</t>
  </si>
  <si>
    <t>Feature 93 Pauling 
EN variance</t>
  </si>
  <si>
    <t>Feature 94 Pauling 
EM         max</t>
  </si>
  <si>
    <t>Feature 95     Pauling 
EM           mim</t>
  </si>
  <si>
    <t>Feature 96 Pauling 
EN diference</t>
  </si>
  <si>
    <t>Feature 97 Martynov 
Batsanov EN avarage</t>
  </si>
  <si>
    <t>Feature 98 Martynov 
Batsanov EN
sum</t>
  </si>
  <si>
    <t>Feature 99 Martynov 
Batsanov EN variance</t>
  </si>
  <si>
    <t>Feature 101     Martynov 
Batsanov EN           mim</t>
  </si>
  <si>
    <t>Feature 102 Martynov 
Batsanov EN diference</t>
  </si>
  <si>
    <t>Feature 100 Martynov 
Batsanov   EN           max</t>
  </si>
  <si>
    <t>Feature 103 Mulliken
EM     avarage</t>
  </si>
  <si>
    <t>Feature 104 Mulliken
EN
sum</t>
  </si>
  <si>
    <t>Feature 105 Mulliken
EM   variance</t>
  </si>
  <si>
    <t>Feature 106 Mulliken
EM           max</t>
  </si>
  <si>
    <t>Feature 107     Mulliken
EM            mim</t>
  </si>
  <si>
    <t>Feature 108 Mulliken
EM  diference</t>
  </si>
  <si>
    <t>Feature 109 Allred
Rockow EN   avarage</t>
  </si>
  <si>
    <t>Feature 110 Allred
Rockow EN
sum</t>
  </si>
  <si>
    <t>Feature 111 Allred
Rockow EN   variance</t>
  </si>
  <si>
    <t>Feature 112 Allred
Rockow EN         max</t>
  </si>
  <si>
    <t>Feature 113     Allred
Rockow EN           mim</t>
  </si>
  <si>
    <t>Feature 114 Allred
Rockow EN   diference</t>
  </si>
  <si>
    <t>Feature 121 Atomic
radius calculated     avarage</t>
  </si>
  <si>
    <t>Feature 122 Atomic
radius calculated
sum</t>
  </si>
  <si>
    <t>Feature 123 Atomic
radius calculated variance</t>
  </si>
  <si>
    <t>Feature 124 Atomic
radius calculated            max</t>
  </si>
  <si>
    <t>Feature 125     Atomic
radius calculated           mim</t>
  </si>
  <si>
    <t>Feature 126 Atomic
radius calculated  diference</t>
  </si>
  <si>
    <t>Feature 127 Covalent
radius    avarage</t>
  </si>
  <si>
    <t>Feature 128 Covalent
radius
sum</t>
  </si>
  <si>
    <t>Feature 129 Covalent
radius variance</t>
  </si>
  <si>
    <t>Feature 130 Covalent
radius            max</t>
  </si>
  <si>
    <t>Feature 131     Covalent
radius          mim</t>
  </si>
  <si>
    <t>Feature 132 Covalent
radius  diference</t>
  </si>
  <si>
    <t>Feature 133 Ionic
radius    avarage</t>
  </si>
  <si>
    <t>Feature 134 Ionic
radius
sum</t>
  </si>
  <si>
    <t>Feature 135 Ionic
radius variance</t>
  </si>
  <si>
    <t>Feature 136 Ionic
radius           max</t>
  </si>
  <si>
    <t>Feature 137     Ionic
radius        mim</t>
  </si>
  <si>
    <t>Feature 138 Ionic
radius  diference</t>
  </si>
  <si>
    <t>Feature 139 Zunger
radii sum    avarage</t>
  </si>
  <si>
    <t>Feature 140 Zunger
radii sum
sum</t>
  </si>
  <si>
    <t>Feature 141 Zunger
radii sum variance</t>
  </si>
  <si>
    <t>Feature 142 Zunger
radii sum          max</t>
  </si>
  <si>
    <t>Feature 143     Zunger
radii sum      mim</t>
  </si>
  <si>
    <t>Feature 144 Zunger
radii sum  diference</t>
  </si>
  <si>
    <t>Feature 145 Crystal
radius    avarage</t>
  </si>
  <si>
    <t>Feature 146 Crystal
radius
sum</t>
  </si>
  <si>
    <t>Feature 147 Crystal
radius variance</t>
  </si>
  <si>
    <t>Feature 148 Crystal
radius         max</t>
  </si>
  <si>
    <t>Feature 149     Crystal
radius      mim</t>
  </si>
  <si>
    <t>Feature 150 Crystal
radius  diference</t>
  </si>
  <si>
    <t>Feature 151 polarizability,
 A^3   avarage</t>
  </si>
  <si>
    <t>Feature 152 polarizability,
 A^3
sum</t>
  </si>
  <si>
    <t>Feature 153 polarizability,
 A^3 variance</t>
  </si>
  <si>
    <t>Feature 154 polarizability,
 A^3         max</t>
  </si>
  <si>
    <t>Feature 155     polarizability,
 A^3         mim</t>
  </si>
  <si>
    <t>Feature 156 polarizability,
 A^3  diference</t>
  </si>
  <si>
    <t>Feature 157 Melting point,
K       avarage</t>
  </si>
  <si>
    <t>Feature 158 Melting point,
K
sum</t>
  </si>
  <si>
    <t>Feature 159 Melting point,
K        variance</t>
  </si>
  <si>
    <t>Feature 160 Melting point,
K               max</t>
  </si>
  <si>
    <t>Feature 161     pMelting point,
K              mim</t>
  </si>
  <si>
    <t>Feature 162 Melting point,
K      diference</t>
  </si>
  <si>
    <t>Feature 163 Boiling point,
K        avarage</t>
  </si>
  <si>
    <t>Feature 164 Boiling point,
K
sum</t>
  </si>
  <si>
    <t>Feature 165 Boiling point,
K        variance</t>
  </si>
  <si>
    <t>Feature 166 Boiling point,
K               max</t>
  </si>
  <si>
    <t>Feature 167     Boiling point,
K                                       mim</t>
  </si>
  <si>
    <t>Feature 168 Boiling point,
K      diference</t>
  </si>
  <si>
    <t>Feature 169 Density, 
g/mL      avarage</t>
  </si>
  <si>
    <t>Feature 170 Density, 
g/mL
sum</t>
  </si>
  <si>
    <t>Feature 171 Density, 
g/mL        variance</t>
  </si>
  <si>
    <t>Feature 172 Density, 
g/mL               max</t>
  </si>
  <si>
    <t>Feature 173     Density, 
g/mL                                      mim</t>
  </si>
  <si>
    <t>Feature 174 Density, 
g/mL      diference</t>
  </si>
  <si>
    <t>Feature 175 Specific heat,
J/g K      avarage</t>
  </si>
  <si>
    <t>Feature 176 Specific heat,
J/g K
sum</t>
  </si>
  <si>
    <t>Feature 177 Specific heat,
J/g K        variance</t>
  </si>
  <si>
    <t>Feature 178 Specific heat,
J/g K              max</t>
  </si>
  <si>
    <t>Feature 179     Specific heat,
J/g K                                      mim</t>
  </si>
  <si>
    <t>Feature 180 Specific heat,
J/g K      diference</t>
  </si>
  <si>
    <t>Feature 181 Heat of fusion, 
kJ/mol      avarage</t>
  </si>
  <si>
    <t>Feature 182 Heat of fusion, 
kJ/mol
sum</t>
  </si>
  <si>
    <t>Feature 183 Heat of fusion, 
kJ/mol       variance</t>
  </si>
  <si>
    <t>Feature 184 Heat of fusion, 
kJ/mol             max</t>
  </si>
  <si>
    <t>Feature 185     Heat of fusion, 
kJ/mol                                      mim</t>
  </si>
  <si>
    <t>Feature 186 Heat of fusion, 
kJ/mol     diference</t>
  </si>
  <si>
    <t>Feature 187 Thermal conductivity,
W/m K      avarage</t>
  </si>
  <si>
    <t>Feature 188 Thermal conductivity,
W/m K
sum</t>
  </si>
  <si>
    <t>Feature 189 Thermal conductivity,
W/m K       variance</t>
  </si>
  <si>
    <t>Feature 190 Thermal conductivity,
W/m K           max</t>
  </si>
  <si>
    <t>Feature 191     Thermal conductivity,
W/m K                                    mim</t>
  </si>
  <si>
    <t>Feature 192 Thermal conductivity,
W/m K    diference</t>
  </si>
  <si>
    <t>Feature 193 Cohesive 
energy     avarage</t>
  </si>
  <si>
    <t>Feature 194 Cohesive 
energy
sum</t>
  </si>
  <si>
    <t>Feature 195 Cohesive 
energy       variance</t>
  </si>
  <si>
    <t>Feature 196 Cohesive 
energy          max</t>
  </si>
  <si>
    <t>Feature 197     Cohesive 
energy                                    mim</t>
  </si>
  <si>
    <t>Feature 198 Cohesive 
energy    diference</t>
  </si>
  <si>
    <t xml:space="preserve">Feature 199 Space group number </t>
  </si>
  <si>
    <t xml:space="preserve">Feature 200 Crystal system </t>
  </si>
  <si>
    <t>DOI</t>
  </si>
  <si>
    <t xml:space="preserve">Dopant 1(line) </t>
  </si>
  <si>
    <t>Dopants</t>
  </si>
  <si>
    <t xml:space="preserve">Feature 216   Concentration 2 </t>
  </si>
  <si>
    <t xml:space="preserve">Space Group </t>
  </si>
  <si>
    <t>Crystal System</t>
  </si>
  <si>
    <t>YBO3</t>
  </si>
  <si>
    <t>CaTiO3</t>
  </si>
  <si>
    <t>Ca3Y2Ge3O12</t>
  </si>
  <si>
    <t>Ca2SiO4</t>
  </si>
  <si>
    <t>YPO4</t>
  </si>
  <si>
    <t>ZnO</t>
  </si>
  <si>
    <t>Lu3Al5O12</t>
  </si>
  <si>
    <t>Na4Ca(PO3)6</t>
  </si>
  <si>
    <t>Eu3+</t>
  </si>
  <si>
    <t>https://doi.org/10.1016/j.chphi.2024.10071</t>
  </si>
  <si>
    <t>PbZrO3</t>
  </si>
  <si>
    <t>Ca3Al2O6</t>
  </si>
  <si>
    <t>CaLa4Si3O13</t>
  </si>
  <si>
    <t>SnO2</t>
  </si>
  <si>
    <t>HfO2</t>
  </si>
  <si>
    <t>Ca3Si2O7</t>
  </si>
  <si>
    <t>Sr3Ga2Ge4O14</t>
  </si>
  <si>
    <t>Ba2Si4O10</t>
  </si>
  <si>
    <t>Ca19Mg2(PO4)14</t>
  </si>
  <si>
    <t>Ca19Zn2(PO4)14</t>
  </si>
  <si>
    <t>BaLa2ZnO5</t>
  </si>
  <si>
    <t>Mg2SiO4</t>
  </si>
  <si>
    <t xml:space="preserve">GdBO3 </t>
  </si>
  <si>
    <t>Sr2SiO4</t>
  </si>
  <si>
    <t>Cd2V2O7</t>
  </si>
  <si>
    <t xml:space="preserve"> ZrO2</t>
  </si>
  <si>
    <t>ZnWO4</t>
  </si>
  <si>
    <t>NaMg6SiO8</t>
  </si>
  <si>
    <t>CaMoO4</t>
  </si>
  <si>
    <t>https://doi.org/10.1016/j.saa.2023.123005</t>
  </si>
  <si>
    <t>https://doi.org/10.1016/S1002-0721(16)60153-9</t>
  </si>
  <si>
    <t>https://doi.org/10.1016/j.ceramint.2022.06.036</t>
  </si>
  <si>
    <t>https://doi.org/10.1016/j.matpr.2022.04.055</t>
  </si>
  <si>
    <t>https://doi.org/10.1016/j.jallcom.2020.153640</t>
  </si>
  <si>
    <t>https://doi.org/10.1016/j.ceramint.2018.01.250</t>
  </si>
  <si>
    <t>https://doi.org/10.1016/j.jallcom.2021.162265</t>
  </si>
  <si>
    <t>https://doi.org/10.1016/j.optmat.2023.113528</t>
  </si>
  <si>
    <t>http://dx.doi.org/10.1016/j.spmi.2013.12.026</t>
  </si>
  <si>
    <t>http://dx.doi.org/10.1016/j.jlumin.2016.07.013</t>
  </si>
  <si>
    <t>https://doi.org/10.1016/j.jallcom.2020.156070</t>
  </si>
  <si>
    <t>https://doi.org/10.1016/j.ceramint.2024.02.047</t>
  </si>
  <si>
    <t>https://doi.org/10.1016/j.physb.2010.12.027</t>
  </si>
  <si>
    <t>http://dx.doi.org/10.1016/j.jlumin.2013.10.045</t>
  </si>
  <si>
    <t>http://dx.doi.org/10.1016/j.jre.2017.05.013</t>
  </si>
  <si>
    <t>https://doi.org/10.1016/j.optmat.2020.110339</t>
  </si>
  <si>
    <t>https://doi.org/10.1016/j.jlumin.2011.11.006</t>
  </si>
  <si>
    <t>https://doi.org/10.1016/j.ceramint.2018.02.173</t>
  </si>
  <si>
    <t>http://dx.doi.org/10.1016/j.ceramint.2014.10.091</t>
  </si>
  <si>
    <t>http://dx.doi.org/10.1016/j.materresbull.2016.01.038</t>
  </si>
  <si>
    <t xml:space="preserve">https://doi.org/10.1016/j.ijleo.2018.10.015 </t>
  </si>
  <si>
    <t>https://doi.org/10.1016/j.jphotochem.2018.09.048</t>
  </si>
  <si>
    <t>https://doi.org/10.1016/j.ijleo.2025.172325</t>
  </si>
  <si>
    <t>https://doi.org/10.1016/j.solidstatesciences.2025.107902</t>
  </si>
  <si>
    <t>Sr2GdTaO6</t>
  </si>
  <si>
    <t>https://doi.org/10.1016/j.rinp.2023.107238</t>
  </si>
  <si>
    <t>MoO3</t>
  </si>
  <si>
    <t>https://doi.org/10.1016/j.chphi.2025.100867</t>
  </si>
  <si>
    <t>ZnAl2O4</t>
  </si>
  <si>
    <t>https://doi.org/10.1016/j.mssp.2025.109315</t>
  </si>
  <si>
    <t>Zn2GeO4</t>
  </si>
  <si>
    <t>https://doi.org/10.1016/j.jallcom.2025.180457</t>
  </si>
  <si>
    <t>NaY2Ge2O12</t>
  </si>
  <si>
    <t>https://doi.org/10.1016/j.mtchem.2024.101979</t>
  </si>
  <si>
    <t>YVO4</t>
  </si>
  <si>
    <t>https://doi.org/10.1016/j.jallcom.2024.177664</t>
  </si>
  <si>
    <t>Gd2TiO5</t>
  </si>
  <si>
    <t>https://doi.org/10.1016/j.optmat.2023.114059</t>
  </si>
  <si>
    <t>Sr2GdSbO6</t>
  </si>
  <si>
    <t>https://doi.org/10.1016/j.jre.2023.06.009</t>
  </si>
  <si>
    <t>Y2(MoO4)3</t>
  </si>
  <si>
    <t>https://doi.org/10.1016/j.jallcom.2025.179327</t>
  </si>
  <si>
    <t>Ba3Y4O9</t>
  </si>
  <si>
    <t>https://doi.org/10.1016/j.jlumin.2025.121220</t>
  </si>
  <si>
    <t>GdCa4O(BO3)3</t>
  </si>
  <si>
    <t>https://doi.org/10.1016/j.ceramint.2025.03.348</t>
  </si>
  <si>
    <t>YNb2VO9</t>
  </si>
  <si>
    <t>https://doi.org/10.1016/j.jlumin.2025.121274</t>
  </si>
  <si>
    <t>SrAlBO4</t>
  </si>
  <si>
    <t>https://doi.org/10.1016/j.optmat.2023.113893</t>
  </si>
  <si>
    <t>NaGdMgWO6</t>
  </si>
  <si>
    <t>https://doi.org/10.1016/j.jallcom.2015.04.109</t>
  </si>
  <si>
    <t>BaZrO3</t>
  </si>
  <si>
    <t>https://doi.org/10.1016/j.optmat.2023.114740</t>
  </si>
  <si>
    <t>Y2TiO5</t>
  </si>
  <si>
    <t>https://doi.org/10.1016/j.molstruc.2023.135795</t>
  </si>
  <si>
    <t>SrLaZnNbO6</t>
  </si>
  <si>
    <t>https://doi.org/10.1016/j.ceramint.2025.05.204</t>
  </si>
  <si>
    <t>SrLaGaO4</t>
  </si>
  <si>
    <t>https://doi.org/10.1016/j.jallcom.2023.170507</t>
  </si>
  <si>
    <t>K2MgP2O7</t>
  </si>
  <si>
    <t>https://doi.org/10.1016/j.physb.2024.416750</t>
  </si>
  <si>
    <t>Sr3NaSbO6</t>
  </si>
  <si>
    <t>https://doi.org/10.1016/j.ijleo.2021.166809</t>
  </si>
  <si>
    <t>Y2Sn2O7</t>
  </si>
  <si>
    <t>https://doi.org/10.1016/j.materresbull.2024.112756</t>
  </si>
  <si>
    <t>Ba3(PO4)2</t>
  </si>
  <si>
    <t>https://doi.org/10.1016/j.cdc.2022.100979</t>
  </si>
  <si>
    <t>Sr2InTaO6</t>
  </si>
  <si>
    <t>https://doi.org/10.1016/j.jlumin.2024.120748</t>
  </si>
  <si>
    <t>K2Zr(PO4)2</t>
  </si>
  <si>
    <t>https://doi.org/10.1016/j.optmat.2022.112459</t>
  </si>
  <si>
    <t>ZrO2</t>
  </si>
  <si>
    <t>https://doi.org/10.1016/j.jphotochem.2025.116408</t>
  </si>
  <si>
    <t>CaAl2Si2O8</t>
  </si>
  <si>
    <t>https://doi.org/10.1016/j.ceramint.2024.02.086</t>
  </si>
  <si>
    <t>Y4Al2O9</t>
  </si>
  <si>
    <t>https://doi.org/10.1016/j.optmat.2025.117090</t>
  </si>
  <si>
    <t>Bi4Ge3O12</t>
  </si>
  <si>
    <t>https://doi.org/10.1016/j.jlumin.2023.120002</t>
  </si>
  <si>
    <t>LaCa4O(BO3)3</t>
  </si>
  <si>
    <t>https://doi.org/10.1016/j.apradiso.2024.111308</t>
  </si>
  <si>
    <t>CaAl4O7</t>
  </si>
  <si>
    <t>https://doi.org/10.1016/j.jallcom.2023.171879</t>
  </si>
  <si>
    <t>Y2MoO6</t>
  </si>
  <si>
    <t>https://doi.org/10.1016/j.jlumin.2014.01.018</t>
  </si>
  <si>
    <t>NaLaP2O7</t>
  </si>
  <si>
    <t>https://doi.org/10.1016/j.jlumin.2023.120398</t>
  </si>
  <si>
    <t>BaZr(PO4)2</t>
  </si>
  <si>
    <t>https://doi.org/10.1016/j.physb.2024.416522</t>
  </si>
  <si>
    <t>SmCa4O(BO3)3</t>
  </si>
  <si>
    <t>https://doi.org/10.1016/j.jallcom.2025.179766</t>
  </si>
  <si>
    <t>LiYGeO4</t>
  </si>
  <si>
    <t>https://doi.org/10.1016/j.jlumin.2021.118193</t>
  </si>
  <si>
    <t>MgP2O6</t>
  </si>
  <si>
    <t>https://doi.org/10.1016/j.ijleo.2022.169611</t>
  </si>
  <si>
    <t>ZnGa2O4</t>
  </si>
  <si>
    <t>https://doi.org/10.1016/j.jallcom.2021.162786</t>
  </si>
  <si>
    <t>Ba2YMoO6</t>
  </si>
  <si>
    <t>https://doi.org/10.1016/j.materresbull.2021.111554</t>
  </si>
  <si>
    <t>MgAl2O4</t>
  </si>
  <si>
    <t>https://doi.org/10.1016/j.jallcom.2015.09.122</t>
  </si>
  <si>
    <t>https://doi.org/10.1016/j.ceramint.2024.01.366</t>
  </si>
  <si>
    <t>Ca3Bi(PO4)3</t>
  </si>
  <si>
    <t>https://doi.org/10.1016/j.jlumin.2023.119731</t>
  </si>
  <si>
    <t>Ca3LiSbO6</t>
  </si>
  <si>
    <t>https://doi.org/10.1016/j.jssc.2024.124871</t>
  </si>
  <si>
    <t>LiAlSiO4</t>
  </si>
  <si>
    <t>https://doi.org/10.1016/j.jlumin.2025.121240</t>
  </si>
  <si>
    <t>KMgPO4</t>
  </si>
  <si>
    <t>https://doi.org/10.1016/j.matpr.2020.05.101</t>
  </si>
  <si>
    <t>Lu2MoO6</t>
  </si>
  <si>
    <t>https://doi.org/10.1016/S1003-6326(16)64276-0</t>
  </si>
  <si>
    <t>Na3Bi5(PO4)6</t>
  </si>
  <si>
    <t>https://doi.org/10.1016/j.ceramint.2022.02.046</t>
  </si>
  <si>
    <t>SrAl2O4</t>
  </si>
  <si>
    <t>SrMg2La2W2O12</t>
  </si>
  <si>
    <t>https://doi.org/10.1016/j.jpcs.2021.110569</t>
  </si>
  <si>
    <t>GdSr2AlO5</t>
  </si>
  <si>
    <t>https://doi.org/10.1016/j.jallcom.2023.171410</t>
  </si>
  <si>
    <t>Ba2La8(GeO4)6O2</t>
  </si>
  <si>
    <t>https://doi.org/10.1016/j.jre.2020.10.019</t>
  </si>
  <si>
    <t>LaCaAl3O7</t>
  </si>
  <si>
    <t>https://doi.org/10.1016/j.jtice.2025.106145</t>
  </si>
  <si>
    <t>Bi2Mo3O12</t>
  </si>
  <si>
    <t>https://doi.org/10.1016/j.jallcom.2024.175566</t>
  </si>
  <si>
    <t>Ca9MgLi(PO4)7</t>
  </si>
  <si>
    <t>https://doi.org/10.1016/j.jlumin.2022.119397</t>
  </si>
  <si>
    <t>ZnTiO3</t>
  </si>
  <si>
    <t>https://doi.org/10.1016/S1002-0721(14)60408-7</t>
  </si>
  <si>
    <t>NaCa4(BO3)3</t>
  </si>
  <si>
    <t>https://doi.org/10.1016/j.jallcom.2010.04.242</t>
  </si>
  <si>
    <t>LiCaBO3</t>
  </si>
  <si>
    <t>https://doi.org/10.1016/S1002-0721(08)60257-4</t>
  </si>
  <si>
    <t>LaAlO3</t>
  </si>
  <si>
    <t>CaZnV2O7</t>
  </si>
  <si>
    <t>https://doi.org/10.1016/j.jlumin.2019.116530</t>
  </si>
  <si>
    <t>Ca3La6Si6O24</t>
  </si>
  <si>
    <t>https://doi.org/10.1016/j.materresbull.2019.110651</t>
  </si>
  <si>
    <t>Sr2CaTeO6</t>
  </si>
  <si>
    <t>https://doi.org/10.1016/j.optcom.2025.131618</t>
  </si>
  <si>
    <t>MgO</t>
  </si>
  <si>
    <t>https://doi.org/10.1016/j.ijleo.2018.08.047</t>
  </si>
  <si>
    <t>Gd2O3</t>
  </si>
  <si>
    <t>https://doi.org/10.1016/j.jlumin.2006.03.016</t>
  </si>
  <si>
    <t>CaSiO3</t>
  </si>
  <si>
    <t>https://doi.org/10.1016/j.inoche.2024.113435</t>
  </si>
  <si>
    <t>La2Zr2O7</t>
  </si>
  <si>
    <t>https://doi.org/10.1016/j.jallcom.2016.09.218</t>
  </si>
  <si>
    <t>CaTiO(SiO4)</t>
  </si>
  <si>
    <t>https://doi.org/10.1016/j.ceramint.2023.01.121</t>
  </si>
  <si>
    <t>Ba2ZnMoO6</t>
  </si>
  <si>
    <t>https://doi.org/10.1016/j.materresbull.2014.12.041</t>
  </si>
  <si>
    <t>InGaZnO4</t>
  </si>
  <si>
    <t>https://doi.org/10.1016/j.solidstatesciences.2024.107702</t>
  </si>
  <si>
    <t>Y2O3</t>
  </si>
  <si>
    <t>https://doi.org/10.1016/j.ceramint.2025.04.370</t>
  </si>
  <si>
    <t>KBaScSi3O9</t>
  </si>
  <si>
    <t>https://doi.org/10.1016/j.jallcom.2020.154289</t>
  </si>
  <si>
    <t>SrZrO3</t>
  </si>
  <si>
    <t>https://doi.org/10.1016/j.molstruc.2023.135192</t>
  </si>
  <si>
    <t>Ba2GdTaO6</t>
  </si>
  <si>
    <t>https://doi.org/10.1016/j.ijleo.2019.163536</t>
  </si>
  <si>
    <t>SrGe(PO4)2</t>
  </si>
  <si>
    <t>https://doi.org/10.1016/S1002-0721(17)60892-5</t>
  </si>
  <si>
    <t>https://doi.org/10.1016/j.molstruc.2024.139331</t>
  </si>
  <si>
    <t>Ba2La4Zn2O10</t>
  </si>
  <si>
    <t>https://doi.org/10.1016/j.mseb.2023.117131</t>
  </si>
  <si>
    <t>Ba2SiO4</t>
  </si>
  <si>
    <t>https://doi.org/10.1016/j.jlumin.2023.120039</t>
  </si>
  <si>
    <t>CaZrO3</t>
  </si>
  <si>
    <t>https://doi.org/10.1016/j.jlumin.2022.119305</t>
  </si>
  <si>
    <t>Bi2O2CO3</t>
  </si>
  <si>
    <t>https://doi.org/10.1016/j.apsusc.2015.09.058</t>
  </si>
  <si>
    <t>BaTiSi2GeO9</t>
  </si>
  <si>
    <t>https://doi.org/10.1016/j.materresbull.2024.113035</t>
  </si>
  <si>
    <t>CaGa2O4</t>
  </si>
  <si>
    <t>https://doi.org/10.1016/j.optmat.2014.04.028</t>
  </si>
  <si>
    <t>Y2Gd2O3</t>
  </si>
  <si>
    <t>https://doi.org/10.1016/j.mtsust.2024.100766</t>
  </si>
  <si>
    <t>Lu2Sn2O7</t>
  </si>
  <si>
    <t>https://doi.org/10.1016/j.optmat.2020.110357</t>
  </si>
  <si>
    <t>Sr3Gd(PO4)3</t>
  </si>
  <si>
    <t>https://doi.org/10.1016/j.ijleo.2022.169141</t>
  </si>
  <si>
    <t>Li3Ba2Gd3(WO4)8</t>
  </si>
  <si>
    <t>https://doi.org/10.1016/j.inoche.2024.112230</t>
  </si>
  <si>
    <t>Ba6Gd2W3O18</t>
  </si>
  <si>
    <t>https://doi.org/10.1016/j.jphotochem.2022.113939</t>
  </si>
  <si>
    <t>KCaPO4</t>
  </si>
  <si>
    <t>https://doi.org/10.1016/j.mlblux.2023.100202</t>
  </si>
  <si>
    <t>https://doi.org/10.1016/j.jallcom.2024.177504</t>
  </si>
  <si>
    <t>LiAl4O8</t>
  </si>
  <si>
    <t>https://doi.org/10.1016/j.optmat.2022.112420</t>
  </si>
  <si>
    <t>Ba2MgSi2O7</t>
  </si>
  <si>
    <t>https://doi.org/10.1016/j.jlumin.2024.120524</t>
  </si>
  <si>
    <t>SrGd2O4</t>
  </si>
  <si>
    <t>https://doi.org/10.1016/j.ceramint.2016.08.192</t>
  </si>
  <si>
    <t>NaSr(BO3)2</t>
  </si>
  <si>
    <t>https://doi.org/10.1016/j.materresbull.2025.113562</t>
  </si>
  <si>
    <t>SrCaSiO4</t>
  </si>
  <si>
    <t>https://doi.org/10.1016/S1002-0721(10)60474-7</t>
  </si>
  <si>
    <t>Li2ZnTi3O8</t>
  </si>
  <si>
    <t>https://doi.org/10.1016/j.molstruc.2024.137713</t>
  </si>
  <si>
    <t>PbMoO4</t>
  </si>
  <si>
    <t>https://doi.org/10.1016/j.jphotochem.2015.08.009</t>
  </si>
  <si>
    <t>Best Concentration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</si>
</sst>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color rgb="FF000000"/>
      <name val="Calibri"/>
      <family val="2"/>
    </font>
    <font>
      <vertAlign val="superscript"/>
      <sz val="12"/>
      <color rgb="FF000000"/>
      <name val="Calibri"/>
      <family val="2"/>
    </font>
    <font>
      <sz val="11"/>
      <color rgb="FF000000"/>
      <name val="Calibri"/>
      <family val="2"/>
      <scheme val="minor"/>
    </font>
    <font>
      <vertAlign val="superscript"/>
      <sz val="11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u/>
      <sz val="11"/>
      <color rgb="FF0070C0"/>
      <name val="Calibri"/>
      <family val="2"/>
    </font>
    <font>
      <sz val="11"/>
      <color rgb="FF0070C0"/>
      <name val="Calibri"/>
      <family val="2"/>
    </font>
    <font>
      <u/>
      <sz val="11"/>
      <color theme="1"/>
      <name val="Calibri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5E0B3"/>
        <bgColor indexed="64"/>
      </patternFill>
    </fill>
    <fill>
      <patternFill patternType="solid">
        <fgColor rgb="FFECECEC"/>
        <bgColor indexed="64"/>
      </patternFill>
    </fill>
    <fill>
      <patternFill patternType="solid">
        <fgColor rgb="FFC8C8C8"/>
        <bgColor indexed="64"/>
      </patternFill>
    </fill>
    <fill>
      <patternFill patternType="solid">
        <fgColor rgb="FFC5E0B3"/>
        <bgColor rgb="FFC5E0B3"/>
      </patternFill>
    </fill>
    <fill>
      <patternFill patternType="solid">
        <fgColor rgb="FFECECEC"/>
        <bgColor rgb="FFECECEC"/>
      </patternFill>
    </fill>
    <fill>
      <patternFill patternType="solid">
        <fgColor rgb="FFC8C8C8"/>
        <bgColor rgb="FFC8C8C8"/>
      </patternFill>
    </fill>
    <fill>
      <patternFill patternType="solid">
        <fgColor rgb="FFF7CAAC"/>
        <bgColor indexed="64"/>
      </patternFill>
    </fill>
    <fill>
      <patternFill patternType="solid">
        <fgColor rgb="FFF7CAAC"/>
        <bgColor rgb="FFF7CAAC"/>
      </patternFill>
    </fill>
    <fill>
      <patternFill patternType="solid">
        <fgColor theme="4" tint="0.39997558519241921"/>
        <bgColor rgb="FF8EAADB"/>
      </patternFill>
    </fill>
    <fill>
      <patternFill patternType="solid">
        <fgColor theme="4" tint="0.39997558519241921"/>
        <bgColor rgb="FF70AD47"/>
      </patternFill>
    </fill>
    <fill>
      <patternFill patternType="solid">
        <fgColor theme="9" tint="0.39997558519241921"/>
        <bgColor rgb="FFC5E0B3"/>
      </patternFill>
    </fill>
    <fill>
      <patternFill patternType="solid">
        <fgColor theme="6" tint="0.39997558519241921"/>
        <bgColor rgb="FFC8C8C8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9">
    <xf numFmtId="0" fontId="0" fillId="0" borderId="0"/>
    <xf numFmtId="0" fontId="9" fillId="21" borderId="0" applyNumberFormat="0" applyBorder="0" applyAlignment="0" applyProtection="0"/>
    <xf numFmtId="0" fontId="9" fillId="22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6" borderId="0" applyNumberFormat="0" applyBorder="0" applyAlignment="0" applyProtection="0"/>
    <xf numFmtId="0" fontId="10" fillId="0" borderId="0" applyNumberFormat="0" applyFill="0" applyBorder="0" applyAlignment="0" applyProtection="0"/>
    <xf numFmtId="0" fontId="9" fillId="0" borderId="0"/>
  </cellStyleXfs>
  <cellXfs count="150">
    <xf numFmtId="0" fontId="0" fillId="0" borderId="0" xfId="0"/>
    <xf numFmtId="164" fontId="0" fillId="0" borderId="0" xfId="0" applyNumberFormat="1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1" fillId="3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 wrapText="1"/>
    </xf>
    <xf numFmtId="164" fontId="1" fillId="8" borderId="1" xfId="0" applyNumberFormat="1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164" fontId="0" fillId="2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164" fontId="0" fillId="8" borderId="1" xfId="0" applyNumberFormat="1" applyFill="1" applyBorder="1" applyAlignment="1">
      <alignment horizontal="center"/>
    </xf>
    <xf numFmtId="164" fontId="0" fillId="4" borderId="1" xfId="0" applyNumberFormat="1" applyFill="1" applyBorder="1" applyAlignment="1">
      <alignment horizontal="center"/>
    </xf>
    <xf numFmtId="164" fontId="0" fillId="6" borderId="1" xfId="0" applyNumberForma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7" fillId="6" borderId="1" xfId="0" applyFont="1" applyFill="1" applyBorder="1" applyAlignment="1">
      <alignment horizontal="center" wrapText="1"/>
    </xf>
    <xf numFmtId="0" fontId="7" fillId="0" borderId="1" xfId="0" applyFont="1" applyBorder="1" applyAlignment="1">
      <alignment horizontal="center" wrapText="1"/>
    </xf>
    <xf numFmtId="11" fontId="0" fillId="7" borderId="1" xfId="0" applyNumberForma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4" fontId="1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165" fontId="1" fillId="7" borderId="1" xfId="0" applyNumberFormat="1" applyFont="1" applyFill="1" applyBorder="1" applyAlignment="1">
      <alignment horizontal="center" vertical="center" wrapText="1"/>
    </xf>
    <xf numFmtId="0" fontId="0" fillId="7" borderId="1" xfId="0" applyFill="1" applyBorder="1"/>
    <xf numFmtId="0" fontId="0" fillId="7" borderId="0" xfId="0" applyFill="1"/>
    <xf numFmtId="165" fontId="1" fillId="8" borderId="1" xfId="0" applyNumberFormat="1" applyFont="1" applyFill="1" applyBorder="1" applyAlignment="1">
      <alignment horizontal="center" vertical="center" wrapText="1"/>
    </xf>
    <xf numFmtId="0" fontId="0" fillId="8" borderId="1" xfId="0" applyFill="1" applyBorder="1"/>
    <xf numFmtId="0" fontId="0" fillId="8" borderId="0" xfId="0" applyFill="1"/>
    <xf numFmtId="165" fontId="1" fillId="5" borderId="1" xfId="0" applyNumberFormat="1" applyFont="1" applyFill="1" applyBorder="1" applyAlignment="1">
      <alignment horizontal="center" vertical="center" wrapText="1"/>
    </xf>
    <xf numFmtId="0" fontId="0" fillId="5" borderId="1" xfId="0" applyFill="1" applyBorder="1"/>
    <xf numFmtId="0" fontId="0" fillId="5" borderId="0" xfId="0" applyFill="1"/>
    <xf numFmtId="165" fontId="1" fillId="3" borderId="1" xfId="0" applyNumberFormat="1" applyFont="1" applyFill="1" applyBorder="1" applyAlignment="1">
      <alignment horizontal="center" vertical="center" wrapText="1"/>
    </xf>
    <xf numFmtId="0" fontId="0" fillId="3" borderId="1" xfId="0" applyFill="1" applyBorder="1"/>
    <xf numFmtId="0" fontId="0" fillId="3" borderId="0" xfId="0" applyFill="1"/>
    <xf numFmtId="165" fontId="1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/>
    <xf numFmtId="0" fontId="0" fillId="2" borderId="0" xfId="0" applyFill="1"/>
    <xf numFmtId="165" fontId="1" fillId="10" borderId="1" xfId="0" applyNumberFormat="1" applyFont="1" applyFill="1" applyBorder="1" applyAlignment="1">
      <alignment horizontal="center" vertical="center" wrapText="1"/>
    </xf>
    <xf numFmtId="0" fontId="0" fillId="10" borderId="1" xfId="0" applyFill="1" applyBorder="1"/>
    <xf numFmtId="0" fontId="0" fillId="10" borderId="0" xfId="0" applyFill="1"/>
    <xf numFmtId="165" fontId="1" fillId="11" borderId="1" xfId="0" applyNumberFormat="1" applyFont="1" applyFill="1" applyBorder="1" applyAlignment="1">
      <alignment horizontal="center" vertical="center" wrapText="1"/>
    </xf>
    <xf numFmtId="0" fontId="0" fillId="11" borderId="1" xfId="0" applyFill="1" applyBorder="1"/>
    <xf numFmtId="0" fontId="0" fillId="11" borderId="0" xfId="0" applyFill="1"/>
    <xf numFmtId="165" fontId="1" fillId="12" borderId="1" xfId="0" applyNumberFormat="1" applyFont="1" applyFill="1" applyBorder="1" applyAlignment="1">
      <alignment horizontal="center" vertical="center" wrapText="1"/>
    </xf>
    <xf numFmtId="0" fontId="0" fillId="12" borderId="1" xfId="0" applyFill="1" applyBorder="1"/>
    <xf numFmtId="0" fontId="0" fillId="12" borderId="0" xfId="0" applyFill="1"/>
    <xf numFmtId="165" fontId="1" fillId="13" borderId="1" xfId="0" applyNumberFormat="1" applyFont="1" applyFill="1" applyBorder="1" applyAlignment="1">
      <alignment horizontal="center" vertical="center" wrapText="1"/>
    </xf>
    <xf numFmtId="0" fontId="0" fillId="13" borderId="1" xfId="0" applyFill="1" applyBorder="1"/>
    <xf numFmtId="0" fontId="0" fillId="13" borderId="0" xfId="0" applyFill="1"/>
    <xf numFmtId="165" fontId="1" fillId="14" borderId="1" xfId="0" applyNumberFormat="1" applyFont="1" applyFill="1" applyBorder="1" applyAlignment="1">
      <alignment horizontal="center" vertical="center" wrapText="1"/>
    </xf>
    <xf numFmtId="0" fontId="0" fillId="14" borderId="1" xfId="0" applyFill="1" applyBorder="1"/>
    <xf numFmtId="0" fontId="0" fillId="14" borderId="0" xfId="0" applyFill="1"/>
    <xf numFmtId="165" fontId="1" fillId="16" borderId="1" xfId="0" applyNumberFormat="1" applyFont="1" applyFill="1" applyBorder="1" applyAlignment="1">
      <alignment horizontal="center" vertical="center" wrapText="1"/>
    </xf>
    <xf numFmtId="0" fontId="0" fillId="16" borderId="1" xfId="0" applyFill="1" applyBorder="1"/>
    <xf numFmtId="0" fontId="0" fillId="16" borderId="0" xfId="0" applyFill="1"/>
    <xf numFmtId="165" fontId="1" fillId="17" borderId="1" xfId="0" applyNumberFormat="1" applyFont="1" applyFill="1" applyBorder="1" applyAlignment="1">
      <alignment horizontal="center" vertical="center" wrapText="1"/>
    </xf>
    <xf numFmtId="0" fontId="0" fillId="17" borderId="1" xfId="0" applyFill="1" applyBorder="1"/>
    <xf numFmtId="0" fontId="0" fillId="17" borderId="0" xfId="0" applyFill="1"/>
    <xf numFmtId="165" fontId="1" fillId="18" borderId="1" xfId="0" applyNumberFormat="1" applyFont="1" applyFill="1" applyBorder="1" applyAlignment="1">
      <alignment horizontal="center" vertical="center" wrapText="1"/>
    </xf>
    <xf numFmtId="0" fontId="0" fillId="18" borderId="1" xfId="0" applyFill="1" applyBorder="1"/>
    <xf numFmtId="0" fontId="0" fillId="18" borderId="0" xfId="0" applyFill="1"/>
    <xf numFmtId="165" fontId="1" fillId="19" borderId="1" xfId="0" applyNumberFormat="1" applyFont="1" applyFill="1" applyBorder="1" applyAlignment="1">
      <alignment horizontal="center" vertical="center" wrapText="1"/>
    </xf>
    <xf numFmtId="0" fontId="0" fillId="19" borderId="1" xfId="0" applyFill="1" applyBorder="1"/>
    <xf numFmtId="0" fontId="0" fillId="19" borderId="0" xfId="0" applyFill="1"/>
    <xf numFmtId="165" fontId="1" fillId="20" borderId="1" xfId="0" applyNumberFormat="1" applyFont="1" applyFill="1" applyBorder="1" applyAlignment="1">
      <alignment horizontal="center" vertical="center" wrapText="1"/>
    </xf>
    <xf numFmtId="0" fontId="0" fillId="20" borderId="1" xfId="0" applyFill="1" applyBorder="1"/>
    <xf numFmtId="0" fontId="0" fillId="20" borderId="0" xfId="0" applyFill="1"/>
    <xf numFmtId="0" fontId="1" fillId="0" borderId="1" xfId="0" applyFont="1" applyBorder="1" applyAlignment="1">
      <alignment vertical="center" wrapText="1"/>
    </xf>
    <xf numFmtId="165" fontId="0" fillId="7" borderId="1" xfId="0" applyNumberFormat="1" applyFill="1" applyBorder="1" applyAlignment="1">
      <alignment horizontal="center"/>
    </xf>
    <xf numFmtId="165" fontId="0" fillId="10" borderId="1" xfId="0" applyNumberFormat="1" applyFill="1" applyBorder="1" applyAlignment="1">
      <alignment horizontal="center"/>
    </xf>
    <xf numFmtId="0" fontId="0" fillId="10" borderId="0" xfId="0" applyFill="1" applyAlignment="1">
      <alignment horizontal="center"/>
    </xf>
    <xf numFmtId="165" fontId="0" fillId="16" borderId="1" xfId="0" applyNumberFormat="1" applyFill="1" applyBorder="1" applyAlignment="1">
      <alignment horizontal="center"/>
    </xf>
    <xf numFmtId="0" fontId="0" fillId="16" borderId="0" xfId="0" applyFill="1" applyAlignment="1">
      <alignment horizontal="center"/>
    </xf>
    <xf numFmtId="165" fontId="0" fillId="8" borderId="1" xfId="0" applyNumberFormat="1" applyFill="1" applyBorder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9" fillId="24" borderId="1" xfId="4" applyBorder="1" applyAlignment="1">
      <alignment horizontal="center"/>
    </xf>
    <xf numFmtId="0" fontId="9" fillId="24" borderId="0" xfId="4" applyAlignment="1">
      <alignment horizontal="center"/>
    </xf>
    <xf numFmtId="0" fontId="9" fillId="23" borderId="1" xfId="3" applyBorder="1" applyAlignment="1">
      <alignment horizontal="center"/>
    </xf>
    <xf numFmtId="0" fontId="9" fillId="23" borderId="0" xfId="3" applyAlignment="1">
      <alignment horizontal="center"/>
    </xf>
    <xf numFmtId="0" fontId="1" fillId="23" borderId="1" xfId="3" applyFont="1" applyBorder="1" applyAlignment="1">
      <alignment horizontal="center"/>
    </xf>
    <xf numFmtId="0" fontId="1" fillId="24" borderId="1" xfId="4" applyFont="1" applyBorder="1" applyAlignment="1">
      <alignment horizontal="center"/>
    </xf>
    <xf numFmtId="0" fontId="9" fillId="24" borderId="2" xfId="4" applyBorder="1" applyAlignment="1">
      <alignment horizontal="center"/>
    </xf>
    <xf numFmtId="0" fontId="9" fillId="25" borderId="2" xfId="5" applyBorder="1" applyAlignment="1">
      <alignment horizontal="center"/>
    </xf>
    <xf numFmtId="0" fontId="9" fillId="23" borderId="2" xfId="3" applyBorder="1" applyAlignment="1">
      <alignment horizontal="center"/>
    </xf>
    <xf numFmtId="0" fontId="9" fillId="22" borderId="2" xfId="2" applyBorder="1" applyAlignment="1">
      <alignment horizontal="center"/>
    </xf>
    <xf numFmtId="0" fontId="1" fillId="25" borderId="2" xfId="5" applyFont="1" applyBorder="1" applyAlignment="1">
      <alignment horizontal="center"/>
    </xf>
    <xf numFmtId="0" fontId="1" fillId="23" borderId="2" xfId="3" applyFont="1" applyBorder="1" applyAlignment="1">
      <alignment horizontal="center"/>
    </xf>
    <xf numFmtId="0" fontId="1" fillId="22" borderId="2" xfId="2" applyFont="1" applyBorder="1" applyAlignment="1">
      <alignment horizontal="center"/>
    </xf>
    <xf numFmtId="0" fontId="9" fillId="26" borderId="2" xfId="6" applyBorder="1" applyAlignment="1">
      <alignment horizontal="center"/>
    </xf>
    <xf numFmtId="0" fontId="1" fillId="26" borderId="2" xfId="6" applyFont="1" applyBorder="1" applyAlignment="1">
      <alignment horizontal="center"/>
    </xf>
    <xf numFmtId="0" fontId="11" fillId="27" borderId="1" xfId="0" applyFont="1" applyFill="1" applyBorder="1" applyAlignment="1">
      <alignment horizontal="center" wrapText="1"/>
    </xf>
    <xf numFmtId="0" fontId="11" fillId="28" borderId="1" xfId="0" applyFont="1" applyFill="1" applyBorder="1" applyAlignment="1">
      <alignment horizontal="center" wrapText="1"/>
    </xf>
    <xf numFmtId="0" fontId="11" fillId="29" borderId="1" xfId="0" applyFont="1" applyFill="1" applyBorder="1" applyAlignment="1">
      <alignment horizontal="center" wrapText="1"/>
    </xf>
    <xf numFmtId="0" fontId="0" fillId="26" borderId="2" xfId="6" applyFont="1" applyBorder="1" applyAlignment="1">
      <alignment horizontal="center"/>
    </xf>
    <xf numFmtId="0" fontId="0" fillId="22" borderId="2" xfId="2" applyFont="1" applyBorder="1" applyAlignment="1">
      <alignment horizontal="center"/>
    </xf>
    <xf numFmtId="0" fontId="12" fillId="15" borderId="1" xfId="7" applyFont="1" applyFill="1" applyBorder="1" applyAlignment="1">
      <alignment horizontal="center" wrapText="1"/>
    </xf>
    <xf numFmtId="0" fontId="11" fillId="33" borderId="1" xfId="0" applyFont="1" applyFill="1" applyBorder="1" applyAlignment="1">
      <alignment horizontal="center" wrapText="1"/>
    </xf>
    <xf numFmtId="0" fontId="11" fillId="23" borderId="1" xfId="3" applyFont="1" applyBorder="1" applyAlignment="1">
      <alignment horizontal="center"/>
    </xf>
    <xf numFmtId="0" fontId="11" fillId="24" borderId="1" xfId="4" applyFont="1" applyBorder="1" applyAlignment="1">
      <alignment horizontal="center"/>
    </xf>
    <xf numFmtId="0" fontId="11" fillId="34" borderId="1" xfId="0" applyFont="1" applyFill="1" applyBorder="1" applyAlignment="1">
      <alignment horizontal="center"/>
    </xf>
    <xf numFmtId="0" fontId="12" fillId="15" borderId="1" xfId="7" applyFont="1" applyFill="1" applyBorder="1" applyAlignment="1">
      <alignment horizontal="center"/>
    </xf>
    <xf numFmtId="0" fontId="12" fillId="21" borderId="1" xfId="7" applyFont="1" applyFill="1" applyBorder="1" applyAlignment="1">
      <alignment horizontal="center"/>
    </xf>
    <xf numFmtId="0" fontId="10" fillId="21" borderId="1" xfId="7" applyFill="1" applyBorder="1" applyAlignment="1">
      <alignment horizontal="center"/>
    </xf>
    <xf numFmtId="0" fontId="11" fillId="30" borderId="1" xfId="8" applyFont="1" applyFill="1" applyBorder="1" applyAlignment="1">
      <alignment horizontal="center"/>
    </xf>
    <xf numFmtId="0" fontId="11" fillId="31" borderId="1" xfId="8" applyFont="1" applyFill="1" applyBorder="1" applyAlignment="1">
      <alignment horizontal="center"/>
    </xf>
    <xf numFmtId="0" fontId="11" fillId="32" borderId="1" xfId="8" applyFont="1" applyFill="1" applyBorder="1" applyAlignment="1">
      <alignment horizontal="center"/>
    </xf>
    <xf numFmtId="0" fontId="11" fillId="31" borderId="1" xfId="0" applyFont="1" applyFill="1" applyBorder="1" applyAlignment="1">
      <alignment horizontal="center"/>
    </xf>
    <xf numFmtId="0" fontId="11" fillId="32" borderId="1" xfId="0" applyFont="1" applyFill="1" applyBorder="1" applyAlignment="1">
      <alignment horizontal="center"/>
    </xf>
    <xf numFmtId="0" fontId="10" fillId="35" borderId="1" xfId="7" applyFill="1" applyBorder="1" applyAlignment="1">
      <alignment horizontal="center"/>
    </xf>
    <xf numFmtId="0" fontId="10" fillId="36" borderId="1" xfId="7" applyFill="1" applyBorder="1" applyAlignment="1">
      <alignment horizontal="center"/>
    </xf>
    <xf numFmtId="0" fontId="0" fillId="20" borderId="1" xfId="0" applyFill="1" applyBorder="1" applyAlignment="1">
      <alignment horizontal="center"/>
    </xf>
    <xf numFmtId="0" fontId="13" fillId="21" borderId="1" xfId="1" applyFont="1" applyFill="1" applyBorder="1" applyAlignment="1">
      <alignment horizontal="center"/>
    </xf>
    <xf numFmtId="0" fontId="12" fillId="35" borderId="1" xfId="8" applyFont="1" applyFill="1" applyBorder="1" applyAlignment="1">
      <alignment horizontal="center"/>
    </xf>
    <xf numFmtId="0" fontId="10" fillId="15" borderId="1" xfId="7" applyFill="1" applyBorder="1" applyAlignment="1">
      <alignment horizontal="center"/>
    </xf>
    <xf numFmtId="0" fontId="10" fillId="15" borderId="1" xfId="7" applyFill="1" applyBorder="1" applyAlignment="1"/>
    <xf numFmtId="0" fontId="1" fillId="15" borderId="1" xfId="1" applyFont="1" applyFill="1" applyBorder="1" applyAlignment="1">
      <alignment horizontal="center"/>
    </xf>
    <xf numFmtId="0" fontId="10" fillId="15" borderId="1" xfId="7" applyFill="1" applyBorder="1"/>
    <xf numFmtId="0" fontId="9" fillId="21" borderId="1" xfId="1" applyFill="1" applyBorder="1" applyAlignment="1">
      <alignment horizontal="center"/>
    </xf>
    <xf numFmtId="0" fontId="1" fillId="26" borderId="1" xfId="5" applyFont="1" applyFill="1" applyBorder="1" applyAlignment="1">
      <alignment horizontal="center"/>
    </xf>
    <xf numFmtId="0" fontId="11" fillId="20" borderId="1" xfId="0" applyFont="1" applyFill="1" applyBorder="1" applyAlignment="1">
      <alignment horizontal="center" wrapText="1"/>
    </xf>
    <xf numFmtId="0" fontId="11" fillId="20" borderId="1" xfId="0" applyFont="1" applyFill="1" applyBorder="1" applyAlignment="1">
      <alignment horizontal="center"/>
    </xf>
    <xf numFmtId="0" fontId="11" fillId="26" borderId="1" xfId="5" applyFont="1" applyFill="1" applyBorder="1" applyAlignment="1">
      <alignment horizontal="center"/>
    </xf>
    <xf numFmtId="0" fontId="11" fillId="37" borderId="1" xfId="8" applyFont="1" applyFill="1" applyBorder="1" applyAlignment="1">
      <alignment horizontal="center"/>
    </xf>
    <xf numFmtId="0" fontId="11" fillId="37" borderId="1" xfId="0" applyFont="1" applyFill="1" applyBorder="1" applyAlignment="1">
      <alignment horizontal="center"/>
    </xf>
    <xf numFmtId="0" fontId="9" fillId="26" borderId="1" xfId="5" applyFill="1" applyBorder="1" applyAlignment="1">
      <alignment horizontal="center"/>
    </xf>
    <xf numFmtId="0" fontId="9" fillId="26" borderId="0" xfId="5" applyFill="1" applyAlignment="1">
      <alignment horizontal="center"/>
    </xf>
    <xf numFmtId="0" fontId="1" fillId="24" borderId="1" xfId="4" applyFont="1" applyFill="1" applyBorder="1" applyAlignment="1">
      <alignment horizontal="center"/>
    </xf>
    <xf numFmtId="0" fontId="11" fillId="17" borderId="1" xfId="0" applyFont="1" applyFill="1" applyBorder="1" applyAlignment="1">
      <alignment horizontal="center" wrapText="1"/>
    </xf>
    <xf numFmtId="0" fontId="11" fillId="24" borderId="1" xfId="4" applyFont="1" applyFill="1" applyBorder="1" applyAlignment="1">
      <alignment horizontal="center"/>
    </xf>
    <xf numFmtId="0" fontId="11" fillId="38" borderId="1" xfId="8" applyFont="1" applyFill="1" applyBorder="1" applyAlignment="1">
      <alignment horizontal="center"/>
    </xf>
    <xf numFmtId="0" fontId="11" fillId="38" borderId="1" xfId="0" applyFont="1" applyFill="1" applyBorder="1" applyAlignment="1">
      <alignment horizontal="center"/>
    </xf>
    <xf numFmtId="0" fontId="9" fillId="24" borderId="1" xfId="4" applyFill="1" applyBorder="1" applyAlignment="1">
      <alignment horizontal="center"/>
    </xf>
    <xf numFmtId="0" fontId="9" fillId="24" borderId="0" xfId="4" applyFill="1" applyAlignment="1">
      <alignment horizontal="center"/>
    </xf>
    <xf numFmtId="0" fontId="14" fillId="0" borderId="0" xfId="0" applyFont="1"/>
  </cellXfs>
  <cellStyles count="9">
    <cellStyle name="20% - Ênfase3" xfId="3" builtinId="38"/>
    <cellStyle name="40% - Ênfase2" xfId="2" builtinId="35"/>
    <cellStyle name="40% - Ênfase6" xfId="5" builtinId="51"/>
    <cellStyle name="60% - Ênfase1" xfId="1" builtinId="32"/>
    <cellStyle name="60% - Ênfase3" xfId="4" builtinId="40"/>
    <cellStyle name="60% - Ênfase6" xfId="6" builtinId="52"/>
    <cellStyle name="Hiperlink" xfId="7" builtinId="8"/>
    <cellStyle name="Normal" xfId="0" builtinId="0"/>
    <cellStyle name="Normal 2" xfId="8" xr:uid="{0ED679B0-4AA7-40EC-AC95-D1A2A2D1B0E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doi.org/10.1016/j.rinp.2023.107238" TargetMode="External"/><Relationship Id="rId117" Type="http://schemas.openxmlformats.org/officeDocument/2006/relationships/hyperlink" Target="https://doi.org/10.1016/j.molstruc.2024.137713" TargetMode="External"/><Relationship Id="rId21" Type="http://schemas.openxmlformats.org/officeDocument/2006/relationships/hyperlink" Target="https://doi.org/10.1016/j.ijleo.2018.10.015" TargetMode="External"/><Relationship Id="rId42" Type="http://schemas.openxmlformats.org/officeDocument/2006/relationships/hyperlink" Target="https://doi.org/10.1016/j.ceramint.2025.05.204" TargetMode="External"/><Relationship Id="rId47" Type="http://schemas.openxmlformats.org/officeDocument/2006/relationships/hyperlink" Target="https://doi.org/10.1016/j.cdc.2022.100979" TargetMode="External"/><Relationship Id="rId63" Type="http://schemas.openxmlformats.org/officeDocument/2006/relationships/hyperlink" Target="https://doi.org/10.1016/j.jallcom.2021.162786" TargetMode="External"/><Relationship Id="rId68" Type="http://schemas.openxmlformats.org/officeDocument/2006/relationships/hyperlink" Target="https://doi.org/10.1016/j.jssc.2024.124871" TargetMode="External"/><Relationship Id="rId84" Type="http://schemas.openxmlformats.org/officeDocument/2006/relationships/hyperlink" Target="https://doi.org/10.1016/j.optcom.2025.131618" TargetMode="External"/><Relationship Id="rId89" Type="http://schemas.openxmlformats.org/officeDocument/2006/relationships/hyperlink" Target="https://doi.org/10.1016/j.ceramint.2023.01.121" TargetMode="External"/><Relationship Id="rId112" Type="http://schemas.openxmlformats.org/officeDocument/2006/relationships/hyperlink" Target="https://doi.org/10.1016/j.optmat.2022.112420" TargetMode="External"/><Relationship Id="rId16" Type="http://schemas.openxmlformats.org/officeDocument/2006/relationships/hyperlink" Target="http://dx.doi.org/10.1016/j.jre.2017.05.013" TargetMode="External"/><Relationship Id="rId107" Type="http://schemas.openxmlformats.org/officeDocument/2006/relationships/hyperlink" Target="https://doi.org/10.1016/j.ijleo.2022.169141" TargetMode="External"/><Relationship Id="rId11" Type="http://schemas.openxmlformats.org/officeDocument/2006/relationships/hyperlink" Target="http://dx.doi.org/10.1016/j.jlumin.2016.07.013" TargetMode="External"/><Relationship Id="rId32" Type="http://schemas.openxmlformats.org/officeDocument/2006/relationships/hyperlink" Target="https://doi.org/10.1016/j.optmat.2023.114059" TargetMode="External"/><Relationship Id="rId37" Type="http://schemas.openxmlformats.org/officeDocument/2006/relationships/hyperlink" Target="https://doi.org/10.1016/j.jlumin.2025.121274" TargetMode="External"/><Relationship Id="rId53" Type="http://schemas.openxmlformats.org/officeDocument/2006/relationships/hyperlink" Target="https://doi.org/10.1016/j.jlumin.2023.120002" TargetMode="External"/><Relationship Id="rId58" Type="http://schemas.openxmlformats.org/officeDocument/2006/relationships/hyperlink" Target="https://doi.org/10.1016/j.physb.2024.416522" TargetMode="External"/><Relationship Id="rId74" Type="http://schemas.openxmlformats.org/officeDocument/2006/relationships/hyperlink" Target="https://doi.org/10.1016/j.jallcom.2023.171410" TargetMode="External"/><Relationship Id="rId79" Type="http://schemas.openxmlformats.org/officeDocument/2006/relationships/hyperlink" Target="https://doi.org/10.1016/S1002-0721(14)60408-7" TargetMode="External"/><Relationship Id="rId102" Type="http://schemas.openxmlformats.org/officeDocument/2006/relationships/hyperlink" Target="https://doi.org/10.1016/j.materresbull.2024.113035" TargetMode="External"/><Relationship Id="rId5" Type="http://schemas.openxmlformats.org/officeDocument/2006/relationships/hyperlink" Target="https://doi.org/10.1016/j.matpr.2022.04.055" TargetMode="External"/><Relationship Id="rId90" Type="http://schemas.openxmlformats.org/officeDocument/2006/relationships/hyperlink" Target="https://doi.org/10.1016/j.materresbull.2014.12.041" TargetMode="External"/><Relationship Id="rId95" Type="http://schemas.openxmlformats.org/officeDocument/2006/relationships/hyperlink" Target="https://doi.org/10.1016/j.ijleo.2019.163536" TargetMode="External"/><Relationship Id="rId22" Type="http://schemas.openxmlformats.org/officeDocument/2006/relationships/hyperlink" Target="https://doi.org/10.1016/j.jphotochem.2018.09.048" TargetMode="External"/><Relationship Id="rId27" Type="http://schemas.openxmlformats.org/officeDocument/2006/relationships/hyperlink" Target="https://doi.org/10.1016/j.chphi.2025.100867" TargetMode="External"/><Relationship Id="rId43" Type="http://schemas.openxmlformats.org/officeDocument/2006/relationships/hyperlink" Target="https://doi.org/10.1016/j.jallcom.2023.170507" TargetMode="External"/><Relationship Id="rId48" Type="http://schemas.openxmlformats.org/officeDocument/2006/relationships/hyperlink" Target="https://doi.org/10.1016/j.jlumin.2024.120748" TargetMode="External"/><Relationship Id="rId64" Type="http://schemas.openxmlformats.org/officeDocument/2006/relationships/hyperlink" Target="https://doi.org/10.1016/j.materresbull.2021.111554" TargetMode="External"/><Relationship Id="rId69" Type="http://schemas.openxmlformats.org/officeDocument/2006/relationships/hyperlink" Target="https://doi.org/10.1016/j.jlumin.2025.121240" TargetMode="External"/><Relationship Id="rId113" Type="http://schemas.openxmlformats.org/officeDocument/2006/relationships/hyperlink" Target="https://doi.org/10.1016/j.jlumin.2024.120524" TargetMode="External"/><Relationship Id="rId118" Type="http://schemas.openxmlformats.org/officeDocument/2006/relationships/hyperlink" Target="https://doi.org/10.1016/j.jphotochem.2015.08.009" TargetMode="External"/><Relationship Id="rId80" Type="http://schemas.openxmlformats.org/officeDocument/2006/relationships/hyperlink" Target="https://doi.org/10.1016/j.jallcom.2010.04.242" TargetMode="External"/><Relationship Id="rId85" Type="http://schemas.openxmlformats.org/officeDocument/2006/relationships/hyperlink" Target="https://doi.org/10.1016/j.ijleo.2018.08.047" TargetMode="External"/><Relationship Id="rId12" Type="http://schemas.openxmlformats.org/officeDocument/2006/relationships/hyperlink" Target="https://doi.org/10.1016/j.jallcom.2020.156070" TargetMode="External"/><Relationship Id="rId17" Type="http://schemas.openxmlformats.org/officeDocument/2006/relationships/hyperlink" Target="https://doi.org/10.1016/j.optmat.2020.110339" TargetMode="External"/><Relationship Id="rId33" Type="http://schemas.openxmlformats.org/officeDocument/2006/relationships/hyperlink" Target="https://doi.org/10.1016/j.jre.2023.06.009" TargetMode="External"/><Relationship Id="rId38" Type="http://schemas.openxmlformats.org/officeDocument/2006/relationships/hyperlink" Target="https://doi.org/10.1016/j.optmat.2023.113893" TargetMode="External"/><Relationship Id="rId59" Type="http://schemas.openxmlformats.org/officeDocument/2006/relationships/hyperlink" Target="https://doi.org/10.1016/j.jallcom.2025.179766" TargetMode="External"/><Relationship Id="rId103" Type="http://schemas.openxmlformats.org/officeDocument/2006/relationships/hyperlink" Target="https://doi.org/10.1016/j.optmat.2014.04.028" TargetMode="External"/><Relationship Id="rId108" Type="http://schemas.openxmlformats.org/officeDocument/2006/relationships/hyperlink" Target="https://doi.org/10.1016/j.inoche.2024.112230" TargetMode="External"/><Relationship Id="rId54" Type="http://schemas.openxmlformats.org/officeDocument/2006/relationships/hyperlink" Target="https://doi.org/10.1016/j.apradiso.2024.111308" TargetMode="External"/><Relationship Id="rId70" Type="http://schemas.openxmlformats.org/officeDocument/2006/relationships/hyperlink" Target="https://doi.org/10.1016/j.matpr.2020.05.101" TargetMode="External"/><Relationship Id="rId75" Type="http://schemas.openxmlformats.org/officeDocument/2006/relationships/hyperlink" Target="https://doi.org/10.1016/j.jre.2020.10.019" TargetMode="External"/><Relationship Id="rId91" Type="http://schemas.openxmlformats.org/officeDocument/2006/relationships/hyperlink" Target="https://doi.org/10.1016/j.solidstatesciences.2024.107702" TargetMode="External"/><Relationship Id="rId96" Type="http://schemas.openxmlformats.org/officeDocument/2006/relationships/hyperlink" Target="https://doi.org/10.1016/S1002-0721(17)60892-5" TargetMode="External"/><Relationship Id="rId1" Type="http://schemas.openxmlformats.org/officeDocument/2006/relationships/hyperlink" Target="https://doi.org/10.1016/j.chphi.2024.100718" TargetMode="External"/><Relationship Id="rId6" Type="http://schemas.openxmlformats.org/officeDocument/2006/relationships/hyperlink" Target="https://doi.org/10.1016/j.jallcom.2020.153640" TargetMode="External"/><Relationship Id="rId23" Type="http://schemas.openxmlformats.org/officeDocument/2006/relationships/hyperlink" Target="https://doi.org/10.1016/j.ijleo.2025.172325" TargetMode="External"/><Relationship Id="rId28" Type="http://schemas.openxmlformats.org/officeDocument/2006/relationships/hyperlink" Target="https://doi.org/10.1016/j.mssp.2025.109315" TargetMode="External"/><Relationship Id="rId49" Type="http://schemas.openxmlformats.org/officeDocument/2006/relationships/hyperlink" Target="https://doi.org/10.1016/j.optmat.2022.112459" TargetMode="External"/><Relationship Id="rId114" Type="http://schemas.openxmlformats.org/officeDocument/2006/relationships/hyperlink" Target="https://doi.org/10.1016/j.ceramint.2016.08.192" TargetMode="External"/><Relationship Id="rId119" Type="http://schemas.openxmlformats.org/officeDocument/2006/relationships/printerSettings" Target="../printerSettings/printerSettings1.bin"/><Relationship Id="rId10" Type="http://schemas.openxmlformats.org/officeDocument/2006/relationships/hyperlink" Target="http://dx.doi.org/10.1016/j.spmi.2013.12.026" TargetMode="External"/><Relationship Id="rId31" Type="http://schemas.openxmlformats.org/officeDocument/2006/relationships/hyperlink" Target="https://doi.org/10.1016/j.jallcom.2024.177664" TargetMode="External"/><Relationship Id="rId44" Type="http://schemas.openxmlformats.org/officeDocument/2006/relationships/hyperlink" Target="https://doi.org/10.1016/j.physb.2024.416750" TargetMode="External"/><Relationship Id="rId52" Type="http://schemas.openxmlformats.org/officeDocument/2006/relationships/hyperlink" Target="https://doi.org/10.1016/j.optmat.2025.117090" TargetMode="External"/><Relationship Id="rId60" Type="http://schemas.openxmlformats.org/officeDocument/2006/relationships/hyperlink" Target="https://doi.org/10.1016/j.ceramint.2022.06.036" TargetMode="External"/><Relationship Id="rId65" Type="http://schemas.openxmlformats.org/officeDocument/2006/relationships/hyperlink" Target="https://doi.org/10.1016/j.jallcom.2015.09.122" TargetMode="External"/><Relationship Id="rId73" Type="http://schemas.openxmlformats.org/officeDocument/2006/relationships/hyperlink" Target="https://doi.org/10.1016/j.jpcs.2021.110569" TargetMode="External"/><Relationship Id="rId78" Type="http://schemas.openxmlformats.org/officeDocument/2006/relationships/hyperlink" Target="https://doi.org/10.1016/j.jlumin.2022.119397" TargetMode="External"/><Relationship Id="rId81" Type="http://schemas.openxmlformats.org/officeDocument/2006/relationships/hyperlink" Target="https://doi.org/10.1016/S1002-0721(08)60257-4" TargetMode="External"/><Relationship Id="rId86" Type="http://schemas.openxmlformats.org/officeDocument/2006/relationships/hyperlink" Target="https://doi.org/10.1016/j.jlumin.2006.03.016" TargetMode="External"/><Relationship Id="rId94" Type="http://schemas.openxmlformats.org/officeDocument/2006/relationships/hyperlink" Target="https://doi.org/10.1016/j.molstruc.2023.135192" TargetMode="External"/><Relationship Id="rId99" Type="http://schemas.openxmlformats.org/officeDocument/2006/relationships/hyperlink" Target="https://doi.org/10.1016/j.jlumin.2023.120039" TargetMode="External"/><Relationship Id="rId101" Type="http://schemas.openxmlformats.org/officeDocument/2006/relationships/hyperlink" Target="https://doi.org/10.1016/j.apsusc.2015.09.058" TargetMode="External"/><Relationship Id="rId4" Type="http://schemas.openxmlformats.org/officeDocument/2006/relationships/hyperlink" Target="https://doi.org/10.1016/j.ceramint.2022.06.036" TargetMode="External"/><Relationship Id="rId9" Type="http://schemas.openxmlformats.org/officeDocument/2006/relationships/hyperlink" Target="https://doi.org/10.1016/j.optmat.2023.113528" TargetMode="External"/><Relationship Id="rId13" Type="http://schemas.openxmlformats.org/officeDocument/2006/relationships/hyperlink" Target="https://doi.org/10.1016/j.ceramint.2024.02.047" TargetMode="External"/><Relationship Id="rId18" Type="http://schemas.openxmlformats.org/officeDocument/2006/relationships/hyperlink" Target="https://doi.org/10.1016/j.jlumin.2011.11.006" TargetMode="External"/><Relationship Id="rId39" Type="http://schemas.openxmlformats.org/officeDocument/2006/relationships/hyperlink" Target="https://doi.org/10.1016/j.jallcom.2015.04.109" TargetMode="External"/><Relationship Id="rId109" Type="http://schemas.openxmlformats.org/officeDocument/2006/relationships/hyperlink" Target="https://doi.org/10.1016/j.jphotochem.2022.113939" TargetMode="External"/><Relationship Id="rId34" Type="http://schemas.openxmlformats.org/officeDocument/2006/relationships/hyperlink" Target="https://doi.org/10.1016/j.jallcom.2025.179327" TargetMode="External"/><Relationship Id="rId50" Type="http://schemas.openxmlformats.org/officeDocument/2006/relationships/hyperlink" Target="https://doi.org/10.1016/j.jphotochem.2025.116408" TargetMode="External"/><Relationship Id="rId55" Type="http://schemas.openxmlformats.org/officeDocument/2006/relationships/hyperlink" Target="https://doi.org/10.1016/j.jallcom.2023.171879" TargetMode="External"/><Relationship Id="rId76" Type="http://schemas.openxmlformats.org/officeDocument/2006/relationships/hyperlink" Target="https://doi.org/10.1016/j.jtice.2025.106145" TargetMode="External"/><Relationship Id="rId97" Type="http://schemas.openxmlformats.org/officeDocument/2006/relationships/hyperlink" Target="https://doi.org/10.1016/j.molstruc.2024.139331" TargetMode="External"/><Relationship Id="rId104" Type="http://schemas.openxmlformats.org/officeDocument/2006/relationships/hyperlink" Target="https://doi.org/10.1016/j.mtsust.2024.100766" TargetMode="External"/><Relationship Id="rId7" Type="http://schemas.openxmlformats.org/officeDocument/2006/relationships/hyperlink" Target="https://doi.org/10.1016/j.ceramint.2018.01.250" TargetMode="External"/><Relationship Id="rId71" Type="http://schemas.openxmlformats.org/officeDocument/2006/relationships/hyperlink" Target="https://doi.org/10.1016/S1003-6326(16)64276-0" TargetMode="External"/><Relationship Id="rId92" Type="http://schemas.openxmlformats.org/officeDocument/2006/relationships/hyperlink" Target="https://doi.org/10.1016/j.ceramint.2025.04.370" TargetMode="External"/><Relationship Id="rId2" Type="http://schemas.openxmlformats.org/officeDocument/2006/relationships/hyperlink" Target="https://doi.org/10.1016/j.saa.2023.123005" TargetMode="External"/><Relationship Id="rId29" Type="http://schemas.openxmlformats.org/officeDocument/2006/relationships/hyperlink" Target="https://doi.org/10.1016/j.jallcom.2025.180457" TargetMode="External"/><Relationship Id="rId24" Type="http://schemas.openxmlformats.org/officeDocument/2006/relationships/hyperlink" Target="https://doi.org/10.1016/j.solidstatesciences.2025.107902" TargetMode="External"/><Relationship Id="rId40" Type="http://schemas.openxmlformats.org/officeDocument/2006/relationships/hyperlink" Target="https://doi.org/10.1016/j.optmat.2023.114740" TargetMode="External"/><Relationship Id="rId45" Type="http://schemas.openxmlformats.org/officeDocument/2006/relationships/hyperlink" Target="https://doi.org/10.1016/j.ijleo.2021.166809" TargetMode="External"/><Relationship Id="rId66" Type="http://schemas.openxmlformats.org/officeDocument/2006/relationships/hyperlink" Target="https://doi.org/10.1016/j.ceramint.2024.01.366" TargetMode="External"/><Relationship Id="rId87" Type="http://schemas.openxmlformats.org/officeDocument/2006/relationships/hyperlink" Target="https://doi.org/10.1016/j.inoche.2024.113435" TargetMode="External"/><Relationship Id="rId110" Type="http://schemas.openxmlformats.org/officeDocument/2006/relationships/hyperlink" Target="https://doi.org/10.1016/j.mlblux.2023.100202" TargetMode="External"/><Relationship Id="rId115" Type="http://schemas.openxmlformats.org/officeDocument/2006/relationships/hyperlink" Target="https://doi.org/10.1016/j.materresbull.2025.113562" TargetMode="External"/><Relationship Id="rId61" Type="http://schemas.openxmlformats.org/officeDocument/2006/relationships/hyperlink" Target="https://doi.org/10.1016/j.jlumin.2021.118193" TargetMode="External"/><Relationship Id="rId82" Type="http://schemas.openxmlformats.org/officeDocument/2006/relationships/hyperlink" Target="https://doi.org/10.1016/j.jlumin.2019.116530" TargetMode="External"/><Relationship Id="rId19" Type="http://schemas.openxmlformats.org/officeDocument/2006/relationships/hyperlink" Target="https://doi.org/10.1016/j.ceramint.2018.02.173" TargetMode="External"/><Relationship Id="rId14" Type="http://schemas.openxmlformats.org/officeDocument/2006/relationships/hyperlink" Target="http://dx.doi.org/10.1016/j.jlumin.2013.10.045" TargetMode="External"/><Relationship Id="rId30" Type="http://schemas.openxmlformats.org/officeDocument/2006/relationships/hyperlink" Target="https://doi.org/10.1016/j.mtchem.2024.101979" TargetMode="External"/><Relationship Id="rId35" Type="http://schemas.openxmlformats.org/officeDocument/2006/relationships/hyperlink" Target="https://doi.org/10.1016/j.jlumin.2025.121220" TargetMode="External"/><Relationship Id="rId56" Type="http://schemas.openxmlformats.org/officeDocument/2006/relationships/hyperlink" Target="https://doi.org/10.1016/j.jlumin.2014.01.018" TargetMode="External"/><Relationship Id="rId77" Type="http://schemas.openxmlformats.org/officeDocument/2006/relationships/hyperlink" Target="https://doi.org/10.1016/j.jallcom.2024.175566" TargetMode="External"/><Relationship Id="rId100" Type="http://schemas.openxmlformats.org/officeDocument/2006/relationships/hyperlink" Target="https://doi.org/10.1016/j.jlumin.2022.119305" TargetMode="External"/><Relationship Id="rId105" Type="http://schemas.openxmlformats.org/officeDocument/2006/relationships/hyperlink" Target="https://doi.org/10.1016/j.optmat.2020.110357" TargetMode="External"/><Relationship Id="rId8" Type="http://schemas.openxmlformats.org/officeDocument/2006/relationships/hyperlink" Target="https://doi.org/10.1016/j.jallcom.2021.162265" TargetMode="External"/><Relationship Id="rId51" Type="http://schemas.openxmlformats.org/officeDocument/2006/relationships/hyperlink" Target="https://doi.org/10.1016/j.ceramint.2024.02.086" TargetMode="External"/><Relationship Id="rId72" Type="http://schemas.openxmlformats.org/officeDocument/2006/relationships/hyperlink" Target="https://doi.org/10.1016/j.ceramint.2022.02.046" TargetMode="External"/><Relationship Id="rId93" Type="http://schemas.openxmlformats.org/officeDocument/2006/relationships/hyperlink" Target="https://doi.org/10.1016/j.jallcom.2020.154289" TargetMode="External"/><Relationship Id="rId98" Type="http://schemas.openxmlformats.org/officeDocument/2006/relationships/hyperlink" Target="https://doi.org/10.1016/j.mseb.2023.117131" TargetMode="External"/><Relationship Id="rId3" Type="http://schemas.openxmlformats.org/officeDocument/2006/relationships/hyperlink" Target="https://doi.org/10.1016/S1002-0721(16)60153-9" TargetMode="External"/><Relationship Id="rId25" Type="http://schemas.openxmlformats.org/officeDocument/2006/relationships/hyperlink" Target="http://dx.doi.org/10.1016/j.materresbull.2016.01.038" TargetMode="External"/><Relationship Id="rId46" Type="http://schemas.openxmlformats.org/officeDocument/2006/relationships/hyperlink" Target="https://doi.org/10.1016/j.materresbull.2024.112756" TargetMode="External"/><Relationship Id="rId67" Type="http://schemas.openxmlformats.org/officeDocument/2006/relationships/hyperlink" Target="https://doi.org/10.1016/j.jlumin.2023.119731" TargetMode="External"/><Relationship Id="rId116" Type="http://schemas.openxmlformats.org/officeDocument/2006/relationships/hyperlink" Target="https://doi.org/10.1016/S1002-0721(10)60474-7" TargetMode="External"/><Relationship Id="rId20" Type="http://schemas.openxmlformats.org/officeDocument/2006/relationships/hyperlink" Target="http://dx.doi.org/10.1016/j.ceramint.2014.10.091" TargetMode="External"/><Relationship Id="rId41" Type="http://schemas.openxmlformats.org/officeDocument/2006/relationships/hyperlink" Target="https://doi.org/10.1016/j.molstruc.2023.135795" TargetMode="External"/><Relationship Id="rId62" Type="http://schemas.openxmlformats.org/officeDocument/2006/relationships/hyperlink" Target="https://doi.org/10.1016/j.ijleo.2022.169611" TargetMode="External"/><Relationship Id="rId83" Type="http://schemas.openxmlformats.org/officeDocument/2006/relationships/hyperlink" Target="https://doi.org/10.1016/j.materresbull.2019.110651" TargetMode="External"/><Relationship Id="rId88" Type="http://schemas.openxmlformats.org/officeDocument/2006/relationships/hyperlink" Target="https://doi.org/10.1016/j.jallcom.2016.09.218" TargetMode="External"/><Relationship Id="rId111" Type="http://schemas.openxmlformats.org/officeDocument/2006/relationships/hyperlink" Target="https://doi.org/10.1016/j.jallcom.2024.177504" TargetMode="External"/><Relationship Id="rId15" Type="http://schemas.openxmlformats.org/officeDocument/2006/relationships/hyperlink" Target="https://doi.org/10.1016/j.physb.2010.12.027" TargetMode="External"/><Relationship Id="rId36" Type="http://schemas.openxmlformats.org/officeDocument/2006/relationships/hyperlink" Target="https://doi.org/10.1016/j.ceramint.2025.03.348" TargetMode="External"/><Relationship Id="rId57" Type="http://schemas.openxmlformats.org/officeDocument/2006/relationships/hyperlink" Target="https://doi.org/10.1016/j.jlumin.2023.120398" TargetMode="External"/><Relationship Id="rId106" Type="http://schemas.openxmlformats.org/officeDocument/2006/relationships/hyperlink" Target="https://doi.org/10.1016/j.ceramint.2018.02.173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21"/>
  <sheetViews>
    <sheetView tabSelected="1" topLeftCell="E1" zoomScaleNormal="100" workbookViewId="0">
      <selection activeCell="R20" sqref="R20"/>
    </sheetView>
  </sheetViews>
  <sheetFormatPr defaultRowHeight="14.4" x14ac:dyDescent="0.3"/>
  <cols>
    <col min="1" max="1" width="37" style="141" customWidth="1"/>
    <col min="2" max="2" width="16.44140625" style="94" customWidth="1"/>
    <col min="3" max="3" width="10.77734375" style="148" customWidth="1"/>
    <col min="4" max="4" width="14" style="94" bestFit="1" customWidth="1"/>
    <col min="5" max="5" width="9.88671875" style="148" customWidth="1"/>
    <col min="6" max="6" width="16.5546875" style="94" customWidth="1"/>
    <col min="7" max="7" width="10.88671875" style="92" customWidth="1"/>
    <col min="8" max="8" width="13.77734375" style="94" customWidth="1"/>
    <col min="9" max="9" width="10.21875" style="92" customWidth="1"/>
    <col min="10" max="10" width="13.21875" style="94" customWidth="1"/>
    <col min="11" max="11" width="10.109375" style="92" customWidth="1"/>
    <col min="12" max="12" width="11.109375" style="98" customWidth="1"/>
    <col min="13" max="13" width="14.88671875" style="99" customWidth="1"/>
    <col min="14" max="14" width="15.88671875" style="97" customWidth="1"/>
    <col min="15" max="15" width="26.77734375" style="104" customWidth="1"/>
    <col min="16" max="16" width="22" style="100" customWidth="1"/>
    <col min="20" max="20" width="45.6640625" style="133" customWidth="1"/>
  </cols>
  <sheetData>
    <row r="1" spans="1:20" x14ac:dyDescent="0.3">
      <c r="A1" s="134" t="s">
        <v>251</v>
      </c>
      <c r="B1" s="95" t="s">
        <v>272</v>
      </c>
      <c r="C1" s="142" t="s">
        <v>252</v>
      </c>
      <c r="D1" s="95" t="s">
        <v>263</v>
      </c>
      <c r="E1" s="142" t="s">
        <v>253</v>
      </c>
      <c r="F1" s="95" t="s">
        <v>274</v>
      </c>
      <c r="G1" s="96" t="s">
        <v>255</v>
      </c>
      <c r="H1" s="95" t="s">
        <v>264</v>
      </c>
      <c r="I1" s="96" t="s">
        <v>254</v>
      </c>
      <c r="J1" s="95" t="s">
        <v>265</v>
      </c>
      <c r="K1" s="96" t="s">
        <v>256</v>
      </c>
      <c r="L1" s="101" t="s">
        <v>459</v>
      </c>
      <c r="M1" s="102" t="s">
        <v>458</v>
      </c>
      <c r="N1" s="97" t="s">
        <v>697</v>
      </c>
      <c r="O1" s="105" t="s">
        <v>462</v>
      </c>
      <c r="P1" s="103" t="s">
        <v>461</v>
      </c>
      <c r="T1" s="131" t="s">
        <v>457</v>
      </c>
    </row>
    <row r="2" spans="1:20" x14ac:dyDescent="0.3">
      <c r="A2" s="135" t="s">
        <v>470</v>
      </c>
      <c r="B2" s="107">
        <v>12</v>
      </c>
      <c r="C2" s="143">
        <v>4</v>
      </c>
      <c r="D2" s="107">
        <v>21</v>
      </c>
      <c r="E2" s="143">
        <v>1</v>
      </c>
      <c r="F2" s="107">
        <v>16</v>
      </c>
      <c r="G2" s="108">
        <v>6</v>
      </c>
      <c r="H2" s="107">
        <v>9</v>
      </c>
      <c r="I2" s="108">
        <v>18</v>
      </c>
      <c r="J2" s="107">
        <v>87</v>
      </c>
      <c r="K2" s="108">
        <v>0</v>
      </c>
      <c r="L2" s="106" t="s">
        <v>471</v>
      </c>
      <c r="M2" s="107">
        <v>64</v>
      </c>
      <c r="N2" s="108">
        <v>0.04</v>
      </c>
      <c r="O2" s="109">
        <v>2</v>
      </c>
      <c r="P2" s="110">
        <v>15</v>
      </c>
      <c r="T2" s="111" t="s">
        <v>472</v>
      </c>
    </row>
    <row r="3" spans="1:20" x14ac:dyDescent="0.3">
      <c r="A3" s="135" t="s">
        <v>473</v>
      </c>
      <c r="B3" s="107">
        <v>83</v>
      </c>
      <c r="C3" s="143">
        <v>1</v>
      </c>
      <c r="D3" s="107">
        <v>41</v>
      </c>
      <c r="E3" s="143">
        <v>1</v>
      </c>
      <c r="F3" s="107">
        <v>9</v>
      </c>
      <c r="G3" s="108">
        <v>3</v>
      </c>
      <c r="H3" s="107">
        <v>87</v>
      </c>
      <c r="I3" s="108">
        <v>0</v>
      </c>
      <c r="J3" s="107">
        <v>87</v>
      </c>
      <c r="K3" s="108">
        <v>0</v>
      </c>
      <c r="L3" s="106" t="s">
        <v>471</v>
      </c>
      <c r="M3" s="107">
        <v>64</v>
      </c>
      <c r="N3" s="108">
        <v>7.0000000000000007E-2</v>
      </c>
      <c r="O3" s="109">
        <v>3</v>
      </c>
      <c r="P3" s="112">
        <v>55</v>
      </c>
      <c r="T3" s="111" t="s">
        <v>492</v>
      </c>
    </row>
    <row r="4" spans="1:20" ht="15" customHeight="1" x14ac:dyDescent="0.3">
      <c r="A4" s="135" t="s">
        <v>474</v>
      </c>
      <c r="B4" s="107">
        <v>21</v>
      </c>
      <c r="C4" s="143">
        <v>3</v>
      </c>
      <c r="D4" s="107">
        <v>14</v>
      </c>
      <c r="E4" s="143">
        <v>2</v>
      </c>
      <c r="F4" s="107">
        <v>9</v>
      </c>
      <c r="G4" s="108">
        <v>6</v>
      </c>
      <c r="H4" s="107">
        <v>87</v>
      </c>
      <c r="I4" s="108">
        <v>0</v>
      </c>
      <c r="J4" s="107">
        <v>87</v>
      </c>
      <c r="K4" s="108">
        <v>0</v>
      </c>
      <c r="L4" s="106" t="s">
        <v>471</v>
      </c>
      <c r="M4" s="107">
        <v>64</v>
      </c>
      <c r="N4" s="108">
        <v>0.04</v>
      </c>
      <c r="O4" s="109">
        <v>7</v>
      </c>
      <c r="P4" s="112">
        <v>221</v>
      </c>
      <c r="T4" s="111" t="s">
        <v>493</v>
      </c>
    </row>
    <row r="5" spans="1:20" x14ac:dyDescent="0.3">
      <c r="A5" s="135" t="s">
        <v>475</v>
      </c>
      <c r="B5" s="107">
        <v>21</v>
      </c>
      <c r="C5" s="143">
        <v>1</v>
      </c>
      <c r="D5" s="107">
        <v>58</v>
      </c>
      <c r="E5" s="143">
        <v>4</v>
      </c>
      <c r="F5" s="107">
        <v>15</v>
      </c>
      <c r="G5" s="108">
        <v>3</v>
      </c>
      <c r="H5" s="107">
        <v>9</v>
      </c>
      <c r="I5" s="108">
        <v>13</v>
      </c>
      <c r="J5" s="107">
        <v>87</v>
      </c>
      <c r="K5" s="108">
        <v>0</v>
      </c>
      <c r="L5" s="106" t="s">
        <v>471</v>
      </c>
      <c r="M5" s="107">
        <v>64</v>
      </c>
      <c r="N5" s="108">
        <v>0.04</v>
      </c>
      <c r="O5" s="109">
        <v>6</v>
      </c>
      <c r="P5" s="112">
        <v>176</v>
      </c>
      <c r="T5" s="111" t="s">
        <v>494</v>
      </c>
    </row>
    <row r="6" spans="1:20" x14ac:dyDescent="0.3">
      <c r="A6" s="135" t="s">
        <v>467</v>
      </c>
      <c r="B6" s="107">
        <v>40</v>
      </c>
      <c r="C6" s="143">
        <v>1</v>
      </c>
      <c r="D6" s="107">
        <v>16</v>
      </c>
      <c r="E6" s="143">
        <v>1</v>
      </c>
      <c r="F6" s="107">
        <v>9</v>
      </c>
      <c r="G6" s="108">
        <v>4</v>
      </c>
      <c r="H6" s="107">
        <v>87</v>
      </c>
      <c r="I6" s="108">
        <v>0</v>
      </c>
      <c r="J6" s="107">
        <v>87</v>
      </c>
      <c r="K6" s="108">
        <v>0</v>
      </c>
      <c r="L6" s="106" t="s">
        <v>471</v>
      </c>
      <c r="M6" s="107">
        <v>64</v>
      </c>
      <c r="N6" s="108">
        <v>0.05</v>
      </c>
      <c r="O6" s="109">
        <v>4</v>
      </c>
      <c r="P6" s="112">
        <v>141</v>
      </c>
      <c r="T6" s="111" t="s">
        <v>495</v>
      </c>
    </row>
    <row r="7" spans="1:20" x14ac:dyDescent="0.3">
      <c r="A7" s="135" t="s">
        <v>476</v>
      </c>
      <c r="B7" s="107">
        <v>51</v>
      </c>
      <c r="C7" s="143">
        <v>1</v>
      </c>
      <c r="D7" s="107">
        <v>9</v>
      </c>
      <c r="E7" s="143">
        <v>2</v>
      </c>
      <c r="F7" s="107">
        <v>87</v>
      </c>
      <c r="G7" s="108">
        <v>0</v>
      </c>
      <c r="H7" s="107">
        <v>87</v>
      </c>
      <c r="I7" s="108">
        <v>0</v>
      </c>
      <c r="J7" s="107">
        <v>87</v>
      </c>
      <c r="K7" s="108">
        <v>0</v>
      </c>
      <c r="L7" s="106" t="s">
        <v>471</v>
      </c>
      <c r="M7" s="107">
        <v>64</v>
      </c>
      <c r="N7" s="108">
        <v>0.03</v>
      </c>
      <c r="O7" s="109">
        <v>4</v>
      </c>
      <c r="P7" s="112">
        <v>136</v>
      </c>
      <c r="T7" s="111" t="s">
        <v>496</v>
      </c>
    </row>
    <row r="8" spans="1:20" x14ac:dyDescent="0.3">
      <c r="A8" s="135" t="s">
        <v>477</v>
      </c>
      <c r="B8" s="107">
        <v>73</v>
      </c>
      <c r="C8" s="143">
        <v>1</v>
      </c>
      <c r="D8" s="107">
        <v>9</v>
      </c>
      <c r="E8" s="143">
        <v>2</v>
      </c>
      <c r="F8" s="107">
        <v>87</v>
      </c>
      <c r="G8" s="108">
        <v>0</v>
      </c>
      <c r="H8" s="107">
        <v>87</v>
      </c>
      <c r="I8" s="108">
        <v>0</v>
      </c>
      <c r="J8" s="107">
        <v>87</v>
      </c>
      <c r="K8" s="108">
        <v>0</v>
      </c>
      <c r="L8" s="106" t="s">
        <v>471</v>
      </c>
      <c r="M8" s="107">
        <v>64</v>
      </c>
      <c r="N8" s="108">
        <v>0.05</v>
      </c>
      <c r="O8" s="109">
        <v>2</v>
      </c>
      <c r="P8" s="112">
        <v>14</v>
      </c>
      <c r="T8" s="111" t="s">
        <v>497</v>
      </c>
    </row>
    <row r="9" spans="1:20" x14ac:dyDescent="0.3">
      <c r="A9" s="136" t="s">
        <v>478</v>
      </c>
      <c r="B9" s="113">
        <v>21</v>
      </c>
      <c r="C9" s="144">
        <v>3</v>
      </c>
      <c r="D9" s="113">
        <v>15</v>
      </c>
      <c r="E9" s="144">
        <v>2</v>
      </c>
      <c r="F9" s="113">
        <v>9</v>
      </c>
      <c r="G9" s="114">
        <v>7</v>
      </c>
      <c r="H9" s="107">
        <v>87</v>
      </c>
      <c r="I9" s="108">
        <v>0</v>
      </c>
      <c r="J9" s="107">
        <v>87</v>
      </c>
      <c r="K9" s="108">
        <v>0</v>
      </c>
      <c r="L9" s="106" t="s">
        <v>471</v>
      </c>
      <c r="M9" s="107">
        <v>64</v>
      </c>
      <c r="N9" s="108">
        <v>0.09</v>
      </c>
      <c r="O9" s="109">
        <v>2</v>
      </c>
      <c r="P9" s="115">
        <v>14</v>
      </c>
      <c r="T9" s="116" t="s">
        <v>498</v>
      </c>
    </row>
    <row r="10" spans="1:20" x14ac:dyDescent="0.3">
      <c r="A10" s="136" t="s">
        <v>479</v>
      </c>
      <c r="B10" s="113">
        <v>39</v>
      </c>
      <c r="C10" s="144">
        <v>3</v>
      </c>
      <c r="D10" s="113">
        <v>32</v>
      </c>
      <c r="E10" s="144">
        <v>2</v>
      </c>
      <c r="F10" s="113">
        <v>33</v>
      </c>
      <c r="G10" s="114">
        <v>4</v>
      </c>
      <c r="H10" s="113">
        <v>9</v>
      </c>
      <c r="I10" s="114">
        <v>14</v>
      </c>
      <c r="J10" s="107">
        <v>87</v>
      </c>
      <c r="K10" s="108">
        <v>0</v>
      </c>
      <c r="L10" s="106" t="s">
        <v>471</v>
      </c>
      <c r="M10" s="107">
        <v>64</v>
      </c>
      <c r="N10" s="114">
        <v>0.05</v>
      </c>
      <c r="O10" s="109">
        <v>5</v>
      </c>
      <c r="P10" s="115">
        <v>150</v>
      </c>
      <c r="T10" s="117" t="s">
        <v>499</v>
      </c>
    </row>
    <row r="11" spans="1:20" x14ac:dyDescent="0.3">
      <c r="A11" s="137" t="s">
        <v>463</v>
      </c>
      <c r="B11" s="113">
        <v>40</v>
      </c>
      <c r="C11" s="144">
        <v>1</v>
      </c>
      <c r="D11" s="113">
        <v>6</v>
      </c>
      <c r="E11" s="144">
        <v>1</v>
      </c>
      <c r="F11" s="113">
        <v>9</v>
      </c>
      <c r="G11" s="114">
        <v>1</v>
      </c>
      <c r="H11" s="107">
        <v>87</v>
      </c>
      <c r="I11" s="108">
        <v>0</v>
      </c>
      <c r="J11" s="107">
        <v>87</v>
      </c>
      <c r="K11" s="108">
        <v>0</v>
      </c>
      <c r="L11" s="106" t="s">
        <v>471</v>
      </c>
      <c r="M11" s="107">
        <v>64</v>
      </c>
      <c r="N11" s="114">
        <v>0.02</v>
      </c>
      <c r="O11" s="109">
        <v>2</v>
      </c>
      <c r="P11" s="115">
        <v>15</v>
      </c>
      <c r="T11" s="117" t="s">
        <v>500</v>
      </c>
    </row>
    <row r="12" spans="1:20" x14ac:dyDescent="0.3">
      <c r="A12" s="137" t="s">
        <v>480</v>
      </c>
      <c r="B12" s="113">
        <v>57</v>
      </c>
      <c r="C12" s="144">
        <v>2</v>
      </c>
      <c r="D12" s="113">
        <v>15</v>
      </c>
      <c r="E12" s="144">
        <v>4</v>
      </c>
      <c r="F12" s="113">
        <v>9</v>
      </c>
      <c r="G12" s="114">
        <v>10</v>
      </c>
      <c r="H12" s="113">
        <v>87</v>
      </c>
      <c r="I12" s="114">
        <v>0</v>
      </c>
      <c r="J12" s="113">
        <v>87</v>
      </c>
      <c r="K12" s="114">
        <v>0</v>
      </c>
      <c r="L12" s="106" t="s">
        <v>471</v>
      </c>
      <c r="M12" s="107">
        <v>64</v>
      </c>
      <c r="N12" s="114">
        <v>0.02</v>
      </c>
      <c r="O12" s="109">
        <v>3</v>
      </c>
      <c r="P12" s="115">
        <v>62</v>
      </c>
      <c r="T12" s="118" t="s">
        <v>501</v>
      </c>
    </row>
    <row r="13" spans="1:20" x14ac:dyDescent="0.3">
      <c r="A13" s="136" t="s">
        <v>481</v>
      </c>
      <c r="B13" s="113">
        <v>21</v>
      </c>
      <c r="C13" s="144">
        <v>19</v>
      </c>
      <c r="D13" s="113">
        <v>13</v>
      </c>
      <c r="E13" s="144">
        <v>2</v>
      </c>
      <c r="F13" s="113">
        <v>16</v>
      </c>
      <c r="G13" s="114">
        <v>14</v>
      </c>
      <c r="H13" s="113">
        <v>9</v>
      </c>
      <c r="I13" s="114">
        <v>56</v>
      </c>
      <c r="J13" s="113">
        <v>87</v>
      </c>
      <c r="K13" s="114">
        <v>0</v>
      </c>
      <c r="L13" s="106" t="s">
        <v>471</v>
      </c>
      <c r="M13" s="107">
        <v>64</v>
      </c>
      <c r="N13" s="114">
        <v>0.1</v>
      </c>
      <c r="O13" s="109">
        <v>5</v>
      </c>
      <c r="P13" s="115">
        <v>161</v>
      </c>
      <c r="T13" s="117" t="s">
        <v>502</v>
      </c>
    </row>
    <row r="14" spans="1:20" x14ac:dyDescent="0.3">
      <c r="A14" s="137" t="s">
        <v>482</v>
      </c>
      <c r="B14" s="113">
        <v>21</v>
      </c>
      <c r="C14" s="144">
        <v>19</v>
      </c>
      <c r="D14" s="113">
        <v>31</v>
      </c>
      <c r="E14" s="144">
        <v>2</v>
      </c>
      <c r="F14" s="113">
        <v>16</v>
      </c>
      <c r="G14" s="114">
        <v>14</v>
      </c>
      <c r="H14" s="113">
        <v>9</v>
      </c>
      <c r="I14" s="114">
        <v>56</v>
      </c>
      <c r="J14" s="113">
        <v>87</v>
      </c>
      <c r="K14" s="114">
        <v>0</v>
      </c>
      <c r="L14" s="106" t="s">
        <v>471</v>
      </c>
      <c r="M14" s="107">
        <v>64</v>
      </c>
      <c r="N14" s="114">
        <v>0.1</v>
      </c>
      <c r="O14" s="109">
        <v>5</v>
      </c>
      <c r="P14" s="115">
        <v>161</v>
      </c>
      <c r="T14" s="127" t="s">
        <v>502</v>
      </c>
    </row>
    <row r="15" spans="1:20" x14ac:dyDescent="0.3">
      <c r="A15" s="136" t="s">
        <v>465</v>
      </c>
      <c r="B15" s="113">
        <v>21</v>
      </c>
      <c r="C15" s="144">
        <v>3</v>
      </c>
      <c r="D15" s="113">
        <v>40</v>
      </c>
      <c r="E15" s="144">
        <v>2</v>
      </c>
      <c r="F15" s="113">
        <v>33</v>
      </c>
      <c r="G15" s="114">
        <v>3</v>
      </c>
      <c r="H15" s="113">
        <v>9</v>
      </c>
      <c r="I15" s="114">
        <v>12</v>
      </c>
      <c r="J15" s="113">
        <v>87</v>
      </c>
      <c r="K15" s="114">
        <v>0</v>
      </c>
      <c r="L15" s="106" t="s">
        <v>471</v>
      </c>
      <c r="M15" s="107">
        <v>64</v>
      </c>
      <c r="N15" s="114">
        <v>0.08</v>
      </c>
      <c r="O15" s="109">
        <v>7</v>
      </c>
      <c r="P15" s="115">
        <v>230</v>
      </c>
      <c r="T15" s="116" t="s">
        <v>503</v>
      </c>
    </row>
    <row r="16" spans="1:20" x14ac:dyDescent="0.3">
      <c r="A16" s="136" t="s">
        <v>483</v>
      </c>
      <c r="B16" s="113">
        <v>57</v>
      </c>
      <c r="C16" s="144">
        <v>1</v>
      </c>
      <c r="D16" s="113">
        <v>59</v>
      </c>
      <c r="E16" s="144">
        <v>2</v>
      </c>
      <c r="F16" s="113">
        <v>31</v>
      </c>
      <c r="G16" s="114">
        <v>1</v>
      </c>
      <c r="H16" s="113">
        <v>9</v>
      </c>
      <c r="I16" s="114">
        <v>5</v>
      </c>
      <c r="J16" s="113">
        <v>87</v>
      </c>
      <c r="K16" s="114">
        <v>0</v>
      </c>
      <c r="L16" s="106" t="s">
        <v>471</v>
      </c>
      <c r="M16" s="107">
        <v>64</v>
      </c>
      <c r="N16" s="108">
        <v>0.05</v>
      </c>
      <c r="O16" s="109">
        <v>4</v>
      </c>
      <c r="P16" s="115">
        <v>140</v>
      </c>
      <c r="T16" s="116" t="s">
        <v>504</v>
      </c>
    </row>
    <row r="17" spans="1:20" x14ac:dyDescent="0.3">
      <c r="A17" s="136" t="s">
        <v>468</v>
      </c>
      <c r="B17" s="113">
        <v>31</v>
      </c>
      <c r="C17" s="144">
        <v>2</v>
      </c>
      <c r="D17" s="113">
        <v>9</v>
      </c>
      <c r="E17" s="144">
        <v>1</v>
      </c>
      <c r="F17" s="113">
        <v>87</v>
      </c>
      <c r="G17" s="114">
        <v>0</v>
      </c>
      <c r="H17" s="113">
        <v>87</v>
      </c>
      <c r="I17" s="114">
        <v>0</v>
      </c>
      <c r="J17" s="113">
        <v>87</v>
      </c>
      <c r="K17" s="114">
        <v>0</v>
      </c>
      <c r="L17" s="106" t="s">
        <v>471</v>
      </c>
      <c r="M17" s="107">
        <v>64</v>
      </c>
      <c r="N17" s="114">
        <v>0.03</v>
      </c>
      <c r="O17" s="109">
        <v>6</v>
      </c>
      <c r="P17" s="115">
        <v>186</v>
      </c>
      <c r="T17" s="116" t="s">
        <v>505</v>
      </c>
    </row>
    <row r="18" spans="1:20" x14ac:dyDescent="0.3">
      <c r="A18" s="137" t="s">
        <v>484</v>
      </c>
      <c r="B18" s="113">
        <v>13</v>
      </c>
      <c r="C18" s="144">
        <v>2</v>
      </c>
      <c r="D18" s="113">
        <v>15</v>
      </c>
      <c r="E18" s="144">
        <v>1</v>
      </c>
      <c r="F18" s="113">
        <v>9</v>
      </c>
      <c r="G18" s="114">
        <v>4</v>
      </c>
      <c r="H18" s="113">
        <v>87</v>
      </c>
      <c r="I18" s="114">
        <v>0</v>
      </c>
      <c r="J18" s="113">
        <v>87</v>
      </c>
      <c r="K18" s="114">
        <v>0</v>
      </c>
      <c r="L18" s="106" t="s">
        <v>471</v>
      </c>
      <c r="M18" s="107">
        <v>64</v>
      </c>
      <c r="N18" s="114">
        <v>0.04</v>
      </c>
      <c r="O18" s="109">
        <v>3</v>
      </c>
      <c r="P18" s="115">
        <v>62</v>
      </c>
      <c r="T18" s="116" t="s">
        <v>506</v>
      </c>
    </row>
    <row r="19" spans="1:20" x14ac:dyDescent="0.3">
      <c r="A19" s="138" t="s">
        <v>485</v>
      </c>
      <c r="B19" s="120">
        <v>65</v>
      </c>
      <c r="C19" s="145">
        <v>1</v>
      </c>
      <c r="D19" s="120">
        <v>6</v>
      </c>
      <c r="E19" s="145">
        <v>1</v>
      </c>
      <c r="F19" s="120">
        <v>9</v>
      </c>
      <c r="G19" s="121">
        <v>3</v>
      </c>
      <c r="H19" s="113">
        <v>87</v>
      </c>
      <c r="I19" s="114">
        <v>0</v>
      </c>
      <c r="J19" s="113">
        <v>87</v>
      </c>
      <c r="K19" s="114">
        <v>0</v>
      </c>
      <c r="L19" s="119" t="s">
        <v>471</v>
      </c>
      <c r="M19" s="120">
        <v>64</v>
      </c>
      <c r="N19" s="121">
        <v>0.1</v>
      </c>
      <c r="O19" s="109">
        <v>2</v>
      </c>
      <c r="P19" s="115">
        <v>15</v>
      </c>
      <c r="T19" s="128" t="s">
        <v>507</v>
      </c>
    </row>
    <row r="20" spans="1:20" x14ac:dyDescent="0.3">
      <c r="A20" s="138" t="s">
        <v>516</v>
      </c>
      <c r="B20" s="120">
        <v>39</v>
      </c>
      <c r="C20" s="145">
        <v>2</v>
      </c>
      <c r="D20" s="120">
        <v>65</v>
      </c>
      <c r="E20" s="145">
        <v>1</v>
      </c>
      <c r="F20" s="120">
        <v>74</v>
      </c>
      <c r="G20" s="121">
        <v>1</v>
      </c>
      <c r="H20" s="113">
        <v>9</v>
      </c>
      <c r="I20" s="114">
        <v>6</v>
      </c>
      <c r="J20" s="113">
        <v>87</v>
      </c>
      <c r="K20" s="114">
        <v>0</v>
      </c>
      <c r="L20" s="119" t="s">
        <v>471</v>
      </c>
      <c r="M20" s="120">
        <v>64</v>
      </c>
      <c r="N20" s="121">
        <v>0.1</v>
      </c>
      <c r="O20" s="109">
        <v>2</v>
      </c>
      <c r="P20" s="115">
        <v>15</v>
      </c>
      <c r="R20" s="149"/>
      <c r="T20" s="132" t="s">
        <v>517</v>
      </c>
    </row>
    <row r="21" spans="1:20" x14ac:dyDescent="0.3">
      <c r="A21" s="138" t="s">
        <v>518</v>
      </c>
      <c r="B21" s="120">
        <v>43</v>
      </c>
      <c r="C21" s="145">
        <v>1</v>
      </c>
      <c r="D21" s="120">
        <v>9</v>
      </c>
      <c r="E21" s="145">
        <v>3</v>
      </c>
      <c r="F21" s="120">
        <v>87</v>
      </c>
      <c r="G21" s="121">
        <v>0</v>
      </c>
      <c r="H21" s="113">
        <v>87</v>
      </c>
      <c r="I21" s="114">
        <v>0</v>
      </c>
      <c r="J21" s="113">
        <v>87</v>
      </c>
      <c r="K21" s="114">
        <v>0</v>
      </c>
      <c r="L21" s="119" t="s">
        <v>471</v>
      </c>
      <c r="M21" s="120">
        <v>64</v>
      </c>
      <c r="N21" s="121">
        <v>0.03</v>
      </c>
      <c r="O21" s="109">
        <v>3</v>
      </c>
      <c r="P21" s="115">
        <v>62</v>
      </c>
      <c r="T21" s="132" t="s">
        <v>519</v>
      </c>
    </row>
    <row r="22" spans="1:20" x14ac:dyDescent="0.3">
      <c r="A22" s="126" t="s">
        <v>486</v>
      </c>
      <c r="B22" s="122">
        <v>39</v>
      </c>
      <c r="C22" s="146">
        <v>2</v>
      </c>
      <c r="D22" s="122">
        <v>15</v>
      </c>
      <c r="E22" s="146">
        <v>1</v>
      </c>
      <c r="F22" s="122">
        <v>9</v>
      </c>
      <c r="G22" s="123">
        <v>4</v>
      </c>
      <c r="H22" s="113">
        <v>87</v>
      </c>
      <c r="I22" s="114">
        <v>0</v>
      </c>
      <c r="J22" s="113">
        <v>87</v>
      </c>
      <c r="K22" s="114">
        <v>0</v>
      </c>
      <c r="L22" s="119" t="s">
        <v>471</v>
      </c>
      <c r="M22" s="120">
        <v>64</v>
      </c>
      <c r="N22" s="123">
        <v>0.1</v>
      </c>
      <c r="O22" s="109">
        <v>3</v>
      </c>
      <c r="P22" s="115">
        <v>62</v>
      </c>
      <c r="T22" s="124" t="s">
        <v>508</v>
      </c>
    </row>
    <row r="23" spans="1:20" x14ac:dyDescent="0.3">
      <c r="A23" s="126" t="s">
        <v>487</v>
      </c>
      <c r="B23" s="122">
        <v>49</v>
      </c>
      <c r="C23" s="146">
        <v>2</v>
      </c>
      <c r="D23" s="122">
        <v>24</v>
      </c>
      <c r="E23" s="146">
        <v>2</v>
      </c>
      <c r="F23" s="122">
        <v>9</v>
      </c>
      <c r="G23" s="123">
        <v>7</v>
      </c>
      <c r="H23" s="113">
        <v>87</v>
      </c>
      <c r="I23" s="114">
        <v>0</v>
      </c>
      <c r="J23" s="113">
        <v>87</v>
      </c>
      <c r="K23" s="114">
        <v>0</v>
      </c>
      <c r="L23" s="119" t="s">
        <v>471</v>
      </c>
      <c r="M23" s="120">
        <v>64</v>
      </c>
      <c r="N23" s="123">
        <v>0.02</v>
      </c>
      <c r="O23" s="109">
        <v>2</v>
      </c>
      <c r="P23" s="115">
        <v>12</v>
      </c>
      <c r="T23" s="125" t="s">
        <v>509</v>
      </c>
    </row>
    <row r="24" spans="1:20" x14ac:dyDescent="0.3">
      <c r="A24" s="139" t="s">
        <v>488</v>
      </c>
      <c r="B24" s="122">
        <v>41</v>
      </c>
      <c r="C24" s="146">
        <v>1</v>
      </c>
      <c r="D24" s="122">
        <v>9</v>
      </c>
      <c r="E24" s="146">
        <v>2</v>
      </c>
      <c r="F24" s="113">
        <v>87</v>
      </c>
      <c r="G24" s="114">
        <v>0</v>
      </c>
      <c r="H24" s="113">
        <v>87</v>
      </c>
      <c r="I24" s="114">
        <v>0</v>
      </c>
      <c r="J24" s="113">
        <v>87</v>
      </c>
      <c r="K24" s="114">
        <v>0</v>
      </c>
      <c r="L24" s="119" t="s">
        <v>471</v>
      </c>
      <c r="M24" s="120">
        <v>64</v>
      </c>
      <c r="N24" s="123">
        <v>7.0000000000000007E-2</v>
      </c>
      <c r="O24" s="109">
        <v>2</v>
      </c>
      <c r="P24" s="115">
        <v>14</v>
      </c>
      <c r="T24" s="124" t="s">
        <v>510</v>
      </c>
    </row>
    <row r="25" spans="1:20" x14ac:dyDescent="0.3">
      <c r="A25" s="126" t="s">
        <v>464</v>
      </c>
      <c r="B25" s="122">
        <v>21</v>
      </c>
      <c r="C25" s="146">
        <v>1</v>
      </c>
      <c r="D25" s="122">
        <v>23</v>
      </c>
      <c r="E25" s="146">
        <v>1</v>
      </c>
      <c r="F25" s="122">
        <v>9</v>
      </c>
      <c r="G25" s="123">
        <v>3</v>
      </c>
      <c r="H25" s="113">
        <v>87</v>
      </c>
      <c r="I25" s="114">
        <v>0</v>
      </c>
      <c r="J25" s="113">
        <v>87</v>
      </c>
      <c r="K25" s="114">
        <v>0</v>
      </c>
      <c r="L25" s="119" t="s">
        <v>471</v>
      </c>
      <c r="M25" s="120">
        <v>64</v>
      </c>
      <c r="N25" s="123">
        <v>0.03</v>
      </c>
      <c r="O25" s="109">
        <v>3</v>
      </c>
      <c r="P25" s="115">
        <v>62</v>
      </c>
      <c r="T25" s="124" t="s">
        <v>511</v>
      </c>
    </row>
    <row r="26" spans="1:20" x14ac:dyDescent="0.3">
      <c r="A26" s="126" t="s">
        <v>466</v>
      </c>
      <c r="B26" s="122">
        <v>21</v>
      </c>
      <c r="C26" s="146">
        <v>2</v>
      </c>
      <c r="D26" s="122">
        <v>15</v>
      </c>
      <c r="E26" s="146">
        <v>1</v>
      </c>
      <c r="F26" s="122">
        <v>9</v>
      </c>
      <c r="G26" s="123">
        <v>4</v>
      </c>
      <c r="H26" s="113">
        <v>87</v>
      </c>
      <c r="I26" s="114">
        <v>0</v>
      </c>
      <c r="J26" s="113">
        <v>87</v>
      </c>
      <c r="K26" s="114">
        <v>0</v>
      </c>
      <c r="L26" s="119" t="s">
        <v>471</v>
      </c>
      <c r="M26" s="120">
        <v>64</v>
      </c>
      <c r="N26" s="123">
        <v>0.05</v>
      </c>
      <c r="O26" s="109">
        <v>3</v>
      </c>
      <c r="P26" s="115">
        <v>62</v>
      </c>
      <c r="T26" s="129" t="s">
        <v>512</v>
      </c>
    </row>
    <row r="27" spans="1:20" x14ac:dyDescent="0.3">
      <c r="A27" s="126" t="s">
        <v>489</v>
      </c>
      <c r="B27" s="122">
        <v>31</v>
      </c>
      <c r="C27" s="146">
        <v>1</v>
      </c>
      <c r="D27" s="122">
        <v>75</v>
      </c>
      <c r="E27" s="146">
        <v>1</v>
      </c>
      <c r="F27" s="122">
        <v>9</v>
      </c>
      <c r="G27" s="123">
        <v>7</v>
      </c>
      <c r="H27" s="113">
        <v>87</v>
      </c>
      <c r="I27" s="114">
        <v>0</v>
      </c>
      <c r="J27" s="113">
        <v>87</v>
      </c>
      <c r="K27" s="114">
        <v>0</v>
      </c>
      <c r="L27" s="119" t="s">
        <v>471</v>
      </c>
      <c r="M27" s="120">
        <v>64</v>
      </c>
      <c r="N27" s="123">
        <v>0.02</v>
      </c>
      <c r="O27" s="109">
        <v>2</v>
      </c>
      <c r="P27" s="115">
        <v>13</v>
      </c>
      <c r="T27" s="130" t="s">
        <v>513</v>
      </c>
    </row>
    <row r="28" spans="1:20" x14ac:dyDescent="0.3">
      <c r="A28" s="126" t="s">
        <v>490</v>
      </c>
      <c r="B28" s="122">
        <v>12</v>
      </c>
      <c r="C28" s="146">
        <v>1</v>
      </c>
      <c r="D28" s="122">
        <v>13</v>
      </c>
      <c r="E28" s="146">
        <v>6</v>
      </c>
      <c r="F28" s="122">
        <v>15</v>
      </c>
      <c r="G28" s="123">
        <v>1</v>
      </c>
      <c r="H28" s="122">
        <v>9</v>
      </c>
      <c r="I28" s="123">
        <v>0</v>
      </c>
      <c r="J28" s="113">
        <v>87</v>
      </c>
      <c r="K28" s="114">
        <v>0</v>
      </c>
      <c r="L28" s="119" t="s">
        <v>471</v>
      </c>
      <c r="M28" s="120">
        <v>64</v>
      </c>
      <c r="N28" s="123">
        <v>0.1</v>
      </c>
      <c r="O28" s="109">
        <v>4</v>
      </c>
      <c r="P28" s="115">
        <v>123</v>
      </c>
      <c r="T28" s="130" t="s">
        <v>514</v>
      </c>
    </row>
    <row r="29" spans="1:20" x14ac:dyDescent="0.3">
      <c r="A29" s="126" t="s">
        <v>469</v>
      </c>
      <c r="B29" s="122">
        <v>72</v>
      </c>
      <c r="C29" s="146">
        <v>3</v>
      </c>
      <c r="D29" s="122">
        <v>14</v>
      </c>
      <c r="E29" s="146">
        <v>5</v>
      </c>
      <c r="F29" s="122">
        <v>9</v>
      </c>
      <c r="G29" s="123">
        <v>12</v>
      </c>
      <c r="H29" s="113">
        <v>87</v>
      </c>
      <c r="I29" s="114">
        <v>0</v>
      </c>
      <c r="J29" s="113">
        <v>87</v>
      </c>
      <c r="K29" s="114">
        <v>0</v>
      </c>
      <c r="L29" s="119" t="s">
        <v>471</v>
      </c>
      <c r="M29" s="120">
        <v>64</v>
      </c>
      <c r="N29" s="123">
        <v>0.1</v>
      </c>
      <c r="O29" s="109">
        <v>7</v>
      </c>
      <c r="P29" s="115">
        <v>230</v>
      </c>
      <c r="T29" s="130" t="s">
        <v>515</v>
      </c>
    </row>
    <row r="30" spans="1:20" x14ac:dyDescent="0.3">
      <c r="A30" s="126" t="s">
        <v>491</v>
      </c>
      <c r="B30" s="122">
        <v>21</v>
      </c>
      <c r="C30" s="146">
        <v>1</v>
      </c>
      <c r="D30" s="122">
        <v>43</v>
      </c>
      <c r="E30" s="146">
        <v>1</v>
      </c>
      <c r="F30" s="122">
        <v>9</v>
      </c>
      <c r="G30" s="123">
        <v>4</v>
      </c>
      <c r="H30" s="113">
        <v>87</v>
      </c>
      <c r="I30" s="114">
        <v>0</v>
      </c>
      <c r="J30" s="113">
        <v>87</v>
      </c>
      <c r="K30" s="114">
        <v>0</v>
      </c>
      <c r="L30" s="119" t="s">
        <v>471</v>
      </c>
      <c r="M30" s="120">
        <v>64</v>
      </c>
      <c r="N30" s="123">
        <v>0.05</v>
      </c>
      <c r="O30" s="109">
        <v>4</v>
      </c>
      <c r="P30" s="115">
        <v>88</v>
      </c>
      <c r="T30" s="132" t="s">
        <v>657</v>
      </c>
    </row>
    <row r="31" spans="1:20" x14ac:dyDescent="0.3">
      <c r="A31" s="140" t="s">
        <v>520</v>
      </c>
      <c r="B31" s="93">
        <v>31</v>
      </c>
      <c r="C31" s="147">
        <v>1</v>
      </c>
      <c r="D31" s="93">
        <v>14</v>
      </c>
      <c r="E31" s="147">
        <v>2</v>
      </c>
      <c r="F31" s="93">
        <v>9</v>
      </c>
      <c r="G31" s="91">
        <v>4</v>
      </c>
      <c r="H31" s="93">
        <v>87</v>
      </c>
      <c r="I31" s="91">
        <v>0</v>
      </c>
      <c r="J31" s="93">
        <v>87</v>
      </c>
      <c r="K31" s="91">
        <v>0</v>
      </c>
      <c r="L31" s="98" t="s">
        <v>471</v>
      </c>
      <c r="M31" s="99">
        <v>64</v>
      </c>
      <c r="N31" s="97">
        <v>0.01</v>
      </c>
      <c r="O31" s="104">
        <v>7</v>
      </c>
      <c r="P31" s="100">
        <v>227</v>
      </c>
      <c r="T31" s="132" t="s">
        <v>521</v>
      </c>
    </row>
    <row r="32" spans="1:20" x14ac:dyDescent="0.3">
      <c r="A32" s="140" t="s">
        <v>522</v>
      </c>
      <c r="B32" s="93">
        <v>31</v>
      </c>
      <c r="C32" s="147">
        <v>2</v>
      </c>
      <c r="D32" s="93">
        <v>33</v>
      </c>
      <c r="E32" s="147">
        <v>1</v>
      </c>
      <c r="F32" s="93">
        <v>9</v>
      </c>
      <c r="G32" s="91">
        <v>4</v>
      </c>
      <c r="H32" s="93">
        <v>87</v>
      </c>
      <c r="I32" s="91">
        <v>0</v>
      </c>
      <c r="J32" s="93">
        <v>87</v>
      </c>
      <c r="K32" s="91">
        <v>0</v>
      </c>
      <c r="L32" s="98" t="s">
        <v>471</v>
      </c>
      <c r="M32" s="99">
        <v>64</v>
      </c>
      <c r="N32" s="97">
        <v>0.02</v>
      </c>
      <c r="O32" s="104">
        <v>5</v>
      </c>
      <c r="P32" s="100">
        <v>148</v>
      </c>
      <c r="T32" s="132" t="s">
        <v>523</v>
      </c>
    </row>
    <row r="33" spans="1:20" x14ac:dyDescent="0.3">
      <c r="A33" s="140" t="s">
        <v>524</v>
      </c>
      <c r="B33" s="93">
        <v>12</v>
      </c>
      <c r="C33" s="147">
        <v>1</v>
      </c>
      <c r="D33" s="93">
        <v>40</v>
      </c>
      <c r="E33" s="147">
        <v>2</v>
      </c>
      <c r="F33" s="93">
        <v>33</v>
      </c>
      <c r="G33" s="91">
        <v>2</v>
      </c>
      <c r="H33" s="93">
        <v>9</v>
      </c>
      <c r="I33" s="91">
        <v>12</v>
      </c>
      <c r="J33" s="93">
        <v>87</v>
      </c>
      <c r="K33" s="91">
        <v>0</v>
      </c>
      <c r="L33" s="98" t="s">
        <v>471</v>
      </c>
      <c r="M33" s="99">
        <v>64</v>
      </c>
      <c r="N33" s="97">
        <v>1.2E-2</v>
      </c>
      <c r="O33" s="104">
        <v>7</v>
      </c>
      <c r="P33" s="100">
        <v>230</v>
      </c>
      <c r="T33" s="132" t="s">
        <v>525</v>
      </c>
    </row>
    <row r="34" spans="1:20" x14ac:dyDescent="0.3">
      <c r="A34" s="140" t="s">
        <v>526</v>
      </c>
      <c r="B34" s="93">
        <v>40</v>
      </c>
      <c r="C34" s="147">
        <v>1</v>
      </c>
      <c r="D34" s="93">
        <v>24</v>
      </c>
      <c r="E34" s="147">
        <v>1</v>
      </c>
      <c r="F34" s="93">
        <v>9</v>
      </c>
      <c r="G34" s="91">
        <v>4</v>
      </c>
      <c r="H34" s="93">
        <v>87</v>
      </c>
      <c r="I34" s="91">
        <v>0</v>
      </c>
      <c r="J34" s="93">
        <v>87</v>
      </c>
      <c r="K34" s="91">
        <v>0</v>
      </c>
      <c r="L34" s="98" t="s">
        <v>471</v>
      </c>
      <c r="M34" s="99">
        <v>64</v>
      </c>
      <c r="N34" s="97">
        <v>0.05</v>
      </c>
      <c r="O34" s="104">
        <v>4</v>
      </c>
      <c r="P34" s="100">
        <v>141</v>
      </c>
      <c r="T34" s="132" t="s">
        <v>527</v>
      </c>
    </row>
    <row r="35" spans="1:20" x14ac:dyDescent="0.3">
      <c r="A35" s="140" t="s">
        <v>528</v>
      </c>
      <c r="B35" s="93">
        <v>65</v>
      </c>
      <c r="C35" s="147">
        <v>2</v>
      </c>
      <c r="D35" s="93">
        <v>23</v>
      </c>
      <c r="E35" s="147">
        <v>1</v>
      </c>
      <c r="F35" s="93">
        <v>9</v>
      </c>
      <c r="G35" s="91">
        <v>5</v>
      </c>
      <c r="H35" s="93">
        <v>87</v>
      </c>
      <c r="I35" s="91">
        <v>0</v>
      </c>
      <c r="J35" s="93">
        <v>87</v>
      </c>
      <c r="K35" s="91">
        <v>0</v>
      </c>
      <c r="L35" s="98" t="s">
        <v>471</v>
      </c>
      <c r="M35" s="99">
        <v>64</v>
      </c>
      <c r="N35" s="97">
        <v>0.1</v>
      </c>
      <c r="O35" s="104">
        <v>3</v>
      </c>
      <c r="P35" s="100">
        <v>62</v>
      </c>
      <c r="T35" s="132" t="s">
        <v>529</v>
      </c>
    </row>
    <row r="36" spans="1:20" x14ac:dyDescent="0.3">
      <c r="A36" s="140" t="s">
        <v>530</v>
      </c>
      <c r="B36" s="93">
        <v>39</v>
      </c>
      <c r="C36" s="147">
        <v>2</v>
      </c>
      <c r="D36" s="93">
        <v>65</v>
      </c>
      <c r="E36" s="147">
        <v>1</v>
      </c>
      <c r="F36" s="93">
        <v>52</v>
      </c>
      <c r="G36" s="91">
        <v>1</v>
      </c>
      <c r="H36" s="93">
        <v>9</v>
      </c>
      <c r="I36" s="91">
        <v>6</v>
      </c>
      <c r="J36" s="93">
        <v>87</v>
      </c>
      <c r="K36" s="91">
        <v>0</v>
      </c>
      <c r="L36" s="98" t="s">
        <v>471</v>
      </c>
      <c r="M36" s="99">
        <v>64</v>
      </c>
      <c r="N36" s="97">
        <v>0.02</v>
      </c>
      <c r="O36" s="104">
        <v>2</v>
      </c>
      <c r="P36" s="100">
        <v>14</v>
      </c>
      <c r="T36" s="132" t="s">
        <v>531</v>
      </c>
    </row>
    <row r="37" spans="1:20" x14ac:dyDescent="0.3">
      <c r="A37" s="140" t="s">
        <v>532</v>
      </c>
      <c r="B37" s="93">
        <v>40</v>
      </c>
      <c r="C37" s="147">
        <v>2</v>
      </c>
      <c r="D37" s="93">
        <v>43</v>
      </c>
      <c r="E37" s="147">
        <v>3</v>
      </c>
      <c r="F37" s="93">
        <v>9</v>
      </c>
      <c r="G37" s="91">
        <v>12</v>
      </c>
      <c r="H37" s="93">
        <v>87</v>
      </c>
      <c r="I37" s="91">
        <v>0</v>
      </c>
      <c r="J37" s="93">
        <v>87</v>
      </c>
      <c r="K37" s="91">
        <v>0</v>
      </c>
      <c r="L37" s="98" t="s">
        <v>471</v>
      </c>
      <c r="M37" s="99">
        <v>64</v>
      </c>
      <c r="N37" s="97">
        <v>7.0000000000000007E-2</v>
      </c>
      <c r="O37" s="104">
        <v>4</v>
      </c>
      <c r="P37" s="100">
        <v>113</v>
      </c>
      <c r="T37" s="132" t="s">
        <v>533</v>
      </c>
    </row>
    <row r="38" spans="1:20" x14ac:dyDescent="0.3">
      <c r="A38" s="140" t="s">
        <v>534</v>
      </c>
      <c r="B38" s="93">
        <v>57</v>
      </c>
      <c r="C38" s="147">
        <v>3</v>
      </c>
      <c r="D38" s="93">
        <v>40</v>
      </c>
      <c r="E38" s="147">
        <v>4</v>
      </c>
      <c r="F38" s="93">
        <v>9</v>
      </c>
      <c r="G38" s="91">
        <v>9</v>
      </c>
      <c r="H38" s="93">
        <v>87</v>
      </c>
      <c r="I38" s="91">
        <v>0</v>
      </c>
      <c r="J38" s="93">
        <v>87</v>
      </c>
      <c r="K38" s="91">
        <v>0</v>
      </c>
      <c r="L38" s="98" t="s">
        <v>471</v>
      </c>
      <c r="M38" s="99">
        <v>64</v>
      </c>
      <c r="N38" s="97">
        <v>0.03</v>
      </c>
      <c r="O38" s="104">
        <v>5</v>
      </c>
      <c r="P38" s="100">
        <v>146</v>
      </c>
      <c r="T38" s="132" t="s">
        <v>535</v>
      </c>
    </row>
    <row r="39" spans="1:20" x14ac:dyDescent="0.3">
      <c r="A39" s="140" t="s">
        <v>536</v>
      </c>
      <c r="B39" s="93">
        <v>65</v>
      </c>
      <c r="C39" s="147">
        <v>1</v>
      </c>
      <c r="D39" s="93">
        <v>21</v>
      </c>
      <c r="E39" s="147">
        <v>4</v>
      </c>
      <c r="F39" s="93">
        <v>6</v>
      </c>
      <c r="G39" s="91">
        <v>3</v>
      </c>
      <c r="H39" s="93">
        <v>9</v>
      </c>
      <c r="I39" s="91">
        <v>10</v>
      </c>
      <c r="J39" s="93">
        <v>87</v>
      </c>
      <c r="K39" s="91">
        <v>0</v>
      </c>
      <c r="L39" s="98" t="s">
        <v>471</v>
      </c>
      <c r="M39" s="99">
        <v>64</v>
      </c>
      <c r="N39" s="97">
        <v>0.05</v>
      </c>
      <c r="O39" s="104">
        <v>2</v>
      </c>
      <c r="P39" s="100">
        <v>8</v>
      </c>
      <c r="T39" s="132" t="s">
        <v>537</v>
      </c>
    </row>
    <row r="40" spans="1:20" x14ac:dyDescent="0.3">
      <c r="A40" s="140" t="s">
        <v>538</v>
      </c>
      <c r="B40" s="93">
        <v>40</v>
      </c>
      <c r="C40" s="147">
        <v>1</v>
      </c>
      <c r="D40" s="93">
        <v>42</v>
      </c>
      <c r="E40" s="147">
        <v>2</v>
      </c>
      <c r="F40" s="93">
        <v>24</v>
      </c>
      <c r="G40" s="91">
        <v>1</v>
      </c>
      <c r="H40" s="93">
        <v>9</v>
      </c>
      <c r="I40" s="91">
        <v>9</v>
      </c>
      <c r="J40" s="93">
        <v>87</v>
      </c>
      <c r="K40" s="91">
        <v>0</v>
      </c>
      <c r="L40" s="98" t="s">
        <v>471</v>
      </c>
      <c r="M40" s="99">
        <v>64</v>
      </c>
      <c r="N40" s="97">
        <v>0.05</v>
      </c>
      <c r="O40" s="104">
        <v>3</v>
      </c>
      <c r="P40" s="100">
        <v>62</v>
      </c>
      <c r="T40" s="132" t="s">
        <v>539</v>
      </c>
    </row>
    <row r="41" spans="1:20" x14ac:dyDescent="0.3">
      <c r="A41" s="140" t="s">
        <v>540</v>
      </c>
      <c r="B41" s="93">
        <v>39</v>
      </c>
      <c r="C41" s="147">
        <v>1</v>
      </c>
      <c r="D41" s="93">
        <v>14</v>
      </c>
      <c r="E41" s="147">
        <v>1</v>
      </c>
      <c r="F41" s="93">
        <v>6</v>
      </c>
      <c r="G41" s="91">
        <v>1</v>
      </c>
      <c r="H41" s="93">
        <v>9</v>
      </c>
      <c r="I41" s="91">
        <v>4</v>
      </c>
      <c r="J41" s="93">
        <v>87</v>
      </c>
      <c r="K41" s="91">
        <v>0</v>
      </c>
      <c r="L41" s="98" t="s">
        <v>471</v>
      </c>
      <c r="M41" s="99">
        <v>64</v>
      </c>
      <c r="N41" s="97">
        <v>5.0000000000000001E-3</v>
      </c>
      <c r="O41" s="104">
        <v>3</v>
      </c>
      <c r="P41" s="100">
        <v>56</v>
      </c>
      <c r="T41" s="132" t="s">
        <v>541</v>
      </c>
    </row>
    <row r="42" spans="1:20" x14ac:dyDescent="0.3">
      <c r="A42" s="140" t="s">
        <v>542</v>
      </c>
      <c r="B42" s="93">
        <v>12</v>
      </c>
      <c r="C42" s="147">
        <v>1</v>
      </c>
      <c r="D42" s="93">
        <v>65</v>
      </c>
      <c r="E42" s="147">
        <v>1</v>
      </c>
      <c r="F42" s="93">
        <v>13</v>
      </c>
      <c r="G42" s="91">
        <v>1</v>
      </c>
      <c r="H42" s="93">
        <v>75</v>
      </c>
      <c r="I42" s="91">
        <v>1</v>
      </c>
      <c r="J42" s="93">
        <v>9</v>
      </c>
      <c r="K42" s="91">
        <v>6</v>
      </c>
      <c r="L42" s="98" t="s">
        <v>471</v>
      </c>
      <c r="M42" s="99">
        <v>64</v>
      </c>
      <c r="N42" s="97">
        <v>5.0000000000000001E-3</v>
      </c>
      <c r="O42" s="104">
        <v>2</v>
      </c>
      <c r="P42" s="100">
        <v>4</v>
      </c>
      <c r="T42" s="132" t="s">
        <v>543</v>
      </c>
    </row>
    <row r="43" spans="1:20" x14ac:dyDescent="0.3">
      <c r="A43" s="140" t="s">
        <v>544</v>
      </c>
      <c r="B43" s="93">
        <v>57</v>
      </c>
      <c r="C43" s="147">
        <v>1</v>
      </c>
      <c r="D43" s="93">
        <v>41</v>
      </c>
      <c r="E43" s="147">
        <v>1</v>
      </c>
      <c r="F43" s="93">
        <v>9</v>
      </c>
      <c r="G43" s="91">
        <v>3</v>
      </c>
      <c r="H43" s="93">
        <v>87</v>
      </c>
      <c r="I43" s="91">
        <v>0</v>
      </c>
      <c r="J43" s="93">
        <v>87</v>
      </c>
      <c r="K43" s="91">
        <v>0</v>
      </c>
      <c r="L43" s="98" t="s">
        <v>471</v>
      </c>
      <c r="M43" s="99">
        <v>64</v>
      </c>
      <c r="N43" s="97">
        <v>0.05</v>
      </c>
      <c r="O43" s="104">
        <v>7</v>
      </c>
      <c r="P43" s="100">
        <v>221</v>
      </c>
      <c r="T43" s="132" t="s">
        <v>545</v>
      </c>
    </row>
    <row r="44" spans="1:20" x14ac:dyDescent="0.3">
      <c r="A44" s="140" t="s">
        <v>546</v>
      </c>
      <c r="B44" s="93">
        <v>40</v>
      </c>
      <c r="C44" s="147">
        <v>2</v>
      </c>
      <c r="D44" s="93">
        <v>23</v>
      </c>
      <c r="E44" s="147">
        <v>1</v>
      </c>
      <c r="F44" s="93">
        <v>9</v>
      </c>
      <c r="G44" s="91">
        <v>5</v>
      </c>
      <c r="H44" s="93">
        <v>87</v>
      </c>
      <c r="I44" s="91">
        <v>0</v>
      </c>
      <c r="J44" s="93">
        <v>87</v>
      </c>
      <c r="K44" s="91">
        <v>0</v>
      </c>
      <c r="L44" s="98" t="s">
        <v>471</v>
      </c>
      <c r="M44" s="99">
        <v>64</v>
      </c>
      <c r="N44" s="97">
        <v>0.1</v>
      </c>
      <c r="O44" s="104">
        <v>3</v>
      </c>
      <c r="P44" s="100">
        <v>62</v>
      </c>
      <c r="T44" s="132" t="s">
        <v>547</v>
      </c>
    </row>
    <row r="45" spans="1:20" x14ac:dyDescent="0.3">
      <c r="A45" s="140" t="s">
        <v>548</v>
      </c>
      <c r="B45" s="93">
        <v>39</v>
      </c>
      <c r="C45" s="147">
        <v>1</v>
      </c>
      <c r="D45" s="93">
        <v>58</v>
      </c>
      <c r="E45" s="147">
        <v>1</v>
      </c>
      <c r="F45" s="93">
        <v>31</v>
      </c>
      <c r="G45" s="91">
        <v>1</v>
      </c>
      <c r="H45" s="93">
        <v>42</v>
      </c>
      <c r="I45" s="91">
        <v>1</v>
      </c>
      <c r="J45" s="93">
        <v>9</v>
      </c>
      <c r="K45" s="91">
        <v>6</v>
      </c>
      <c r="L45" s="98" t="s">
        <v>471</v>
      </c>
      <c r="M45" s="99">
        <v>64</v>
      </c>
      <c r="N45" s="97">
        <v>0.05</v>
      </c>
      <c r="O45" s="104">
        <v>7</v>
      </c>
      <c r="P45" s="100">
        <v>225</v>
      </c>
      <c r="T45" s="132" t="s">
        <v>549</v>
      </c>
    </row>
    <row r="46" spans="1:20" x14ac:dyDescent="0.3">
      <c r="A46" s="140" t="s">
        <v>550</v>
      </c>
      <c r="B46" s="93">
        <v>39</v>
      </c>
      <c r="C46" s="147">
        <v>1</v>
      </c>
      <c r="D46" s="93">
        <v>58</v>
      </c>
      <c r="E46" s="147">
        <v>1</v>
      </c>
      <c r="F46" s="93">
        <v>32</v>
      </c>
      <c r="G46" s="91">
        <v>1</v>
      </c>
      <c r="H46" s="93">
        <v>9</v>
      </c>
      <c r="I46" s="91">
        <v>4</v>
      </c>
      <c r="J46" s="93">
        <v>87</v>
      </c>
      <c r="K46" s="91">
        <v>0</v>
      </c>
      <c r="L46" s="98" t="s">
        <v>471</v>
      </c>
      <c r="M46" s="99">
        <v>64</v>
      </c>
      <c r="N46" s="97">
        <v>0.1</v>
      </c>
      <c r="O46" s="104">
        <v>4</v>
      </c>
      <c r="P46" s="100">
        <v>139</v>
      </c>
      <c r="T46" s="132" t="s">
        <v>551</v>
      </c>
    </row>
    <row r="47" spans="1:20" x14ac:dyDescent="0.3">
      <c r="A47" s="140" t="s">
        <v>552</v>
      </c>
      <c r="B47" s="93">
        <v>20</v>
      </c>
      <c r="C47" s="147">
        <v>2</v>
      </c>
      <c r="D47" s="93">
        <v>13</v>
      </c>
      <c r="E47" s="147">
        <v>1</v>
      </c>
      <c r="F47" s="93">
        <v>16</v>
      </c>
      <c r="G47" s="91">
        <v>2</v>
      </c>
      <c r="H47" s="93">
        <v>9</v>
      </c>
      <c r="I47" s="91">
        <v>7</v>
      </c>
      <c r="J47" s="93">
        <v>87</v>
      </c>
      <c r="K47" s="91">
        <v>0</v>
      </c>
      <c r="L47" s="98" t="s">
        <v>471</v>
      </c>
      <c r="M47" s="99">
        <v>64</v>
      </c>
      <c r="N47" s="97">
        <v>0.02</v>
      </c>
      <c r="O47" s="104">
        <v>3</v>
      </c>
      <c r="P47" s="100">
        <v>62</v>
      </c>
      <c r="T47" s="132" t="s">
        <v>553</v>
      </c>
    </row>
    <row r="48" spans="1:20" x14ac:dyDescent="0.3">
      <c r="A48" s="140" t="s">
        <v>554</v>
      </c>
      <c r="B48" s="93">
        <v>39</v>
      </c>
      <c r="C48" s="147">
        <v>3</v>
      </c>
      <c r="D48" s="93">
        <v>12</v>
      </c>
      <c r="E48" s="147">
        <v>1</v>
      </c>
      <c r="F48" s="93">
        <v>52</v>
      </c>
      <c r="G48" s="91">
        <v>1</v>
      </c>
      <c r="H48" s="93">
        <v>9</v>
      </c>
      <c r="I48" s="91">
        <v>6</v>
      </c>
      <c r="J48" s="93">
        <v>87</v>
      </c>
      <c r="K48" s="91">
        <v>0</v>
      </c>
      <c r="L48" s="98" t="s">
        <v>471</v>
      </c>
      <c r="M48" s="99">
        <v>64</v>
      </c>
      <c r="N48" s="97">
        <v>0.03</v>
      </c>
      <c r="O48" s="104">
        <v>5</v>
      </c>
      <c r="P48" s="100">
        <v>167</v>
      </c>
      <c r="T48" s="132" t="s">
        <v>555</v>
      </c>
    </row>
    <row r="49" spans="1:20" x14ac:dyDescent="0.3">
      <c r="A49" s="140" t="s">
        <v>556</v>
      </c>
      <c r="B49" s="93">
        <v>40</v>
      </c>
      <c r="C49" s="147">
        <v>2</v>
      </c>
      <c r="D49" s="93">
        <v>51</v>
      </c>
      <c r="E49" s="147">
        <v>2</v>
      </c>
      <c r="F49" s="93">
        <v>9</v>
      </c>
      <c r="G49" s="91">
        <v>7</v>
      </c>
      <c r="H49" s="93">
        <v>87</v>
      </c>
      <c r="I49" s="91">
        <v>0</v>
      </c>
      <c r="J49" s="93">
        <v>87</v>
      </c>
      <c r="K49" s="91">
        <v>0</v>
      </c>
      <c r="L49" s="98" t="s">
        <v>471</v>
      </c>
      <c r="M49" s="99">
        <v>64</v>
      </c>
      <c r="N49" s="97">
        <v>7.0000000000000007E-2</v>
      </c>
      <c r="O49" s="104">
        <v>7</v>
      </c>
      <c r="P49" s="100">
        <v>227</v>
      </c>
      <c r="T49" s="132" t="s">
        <v>557</v>
      </c>
    </row>
    <row r="50" spans="1:20" x14ac:dyDescent="0.3">
      <c r="A50" s="140" t="s">
        <v>558</v>
      </c>
      <c r="B50" s="93">
        <v>58</v>
      </c>
      <c r="C50" s="147">
        <v>3</v>
      </c>
      <c r="D50" s="93">
        <v>16</v>
      </c>
      <c r="E50" s="147">
        <v>2</v>
      </c>
      <c r="F50" s="93">
        <v>9</v>
      </c>
      <c r="G50" s="91">
        <v>8</v>
      </c>
      <c r="H50" s="93">
        <v>87</v>
      </c>
      <c r="I50" s="91">
        <v>0</v>
      </c>
      <c r="J50" s="93">
        <v>87</v>
      </c>
      <c r="K50" s="91">
        <v>0</v>
      </c>
      <c r="L50" s="98" t="s">
        <v>471</v>
      </c>
      <c r="M50" s="99">
        <v>64</v>
      </c>
      <c r="N50" s="97">
        <v>5.0000000000000001E-3</v>
      </c>
      <c r="O50" s="104">
        <v>5</v>
      </c>
      <c r="P50" s="100">
        <v>166</v>
      </c>
      <c r="T50" s="132" t="s">
        <v>559</v>
      </c>
    </row>
    <row r="51" spans="1:20" x14ac:dyDescent="0.3">
      <c r="A51" s="140" t="s">
        <v>560</v>
      </c>
      <c r="B51" s="93">
        <v>39</v>
      </c>
      <c r="C51" s="147">
        <v>2</v>
      </c>
      <c r="D51" s="93">
        <v>50</v>
      </c>
      <c r="E51" s="147">
        <v>1</v>
      </c>
      <c r="F51" s="93">
        <v>74</v>
      </c>
      <c r="G51" s="91">
        <v>1</v>
      </c>
      <c r="H51" s="93">
        <v>9</v>
      </c>
      <c r="I51" s="91">
        <v>6</v>
      </c>
      <c r="J51" s="93">
        <v>87</v>
      </c>
      <c r="K51" s="91">
        <v>0</v>
      </c>
      <c r="L51" s="98" t="s">
        <v>471</v>
      </c>
      <c r="M51" s="99">
        <v>64</v>
      </c>
      <c r="N51" s="97">
        <v>0.1</v>
      </c>
      <c r="O51" s="104">
        <v>2</v>
      </c>
      <c r="P51" s="100">
        <v>14</v>
      </c>
      <c r="T51" s="132" t="s">
        <v>561</v>
      </c>
    </row>
    <row r="52" spans="1:20" x14ac:dyDescent="0.3">
      <c r="A52" s="140" t="s">
        <v>562</v>
      </c>
      <c r="B52" s="93">
        <v>20</v>
      </c>
      <c r="C52" s="147">
        <v>2</v>
      </c>
      <c r="D52" s="93">
        <v>41</v>
      </c>
      <c r="E52" s="147">
        <v>1</v>
      </c>
      <c r="F52" s="93">
        <v>16</v>
      </c>
      <c r="G52" s="91">
        <v>2</v>
      </c>
      <c r="H52" s="93">
        <v>9</v>
      </c>
      <c r="I52" s="91">
        <v>8</v>
      </c>
      <c r="J52" s="93">
        <v>87</v>
      </c>
      <c r="K52" s="91">
        <v>0</v>
      </c>
      <c r="L52" s="98" t="s">
        <v>471</v>
      </c>
      <c r="M52" s="99">
        <v>64</v>
      </c>
      <c r="N52" s="97">
        <v>0.02</v>
      </c>
      <c r="O52" s="104">
        <v>5</v>
      </c>
      <c r="P52" s="100">
        <v>147</v>
      </c>
      <c r="T52" s="132" t="s">
        <v>563</v>
      </c>
    </row>
    <row r="53" spans="1:20" x14ac:dyDescent="0.3">
      <c r="A53" s="140" t="s">
        <v>564</v>
      </c>
      <c r="B53" s="93">
        <v>41</v>
      </c>
      <c r="C53" s="147">
        <v>1</v>
      </c>
      <c r="D53" s="93">
        <v>9</v>
      </c>
      <c r="E53" s="147">
        <v>2</v>
      </c>
      <c r="F53" s="93">
        <v>87</v>
      </c>
      <c r="G53" s="91">
        <v>0</v>
      </c>
      <c r="H53" s="93">
        <v>87</v>
      </c>
      <c r="I53" s="91">
        <v>0</v>
      </c>
      <c r="J53" s="93">
        <v>87</v>
      </c>
      <c r="K53" s="91">
        <v>0</v>
      </c>
      <c r="L53" s="98" t="s">
        <v>471</v>
      </c>
      <c r="M53" s="99">
        <v>64</v>
      </c>
      <c r="N53" s="97">
        <v>0.02</v>
      </c>
      <c r="O53" s="104">
        <v>4</v>
      </c>
      <c r="P53" s="100">
        <v>137</v>
      </c>
      <c r="T53" s="132" t="s">
        <v>565</v>
      </c>
    </row>
    <row r="54" spans="1:20" x14ac:dyDescent="0.3">
      <c r="A54" s="140" t="s">
        <v>566</v>
      </c>
      <c r="B54" s="93">
        <v>21</v>
      </c>
      <c r="C54" s="147">
        <v>1</v>
      </c>
      <c r="D54" s="93">
        <v>14</v>
      </c>
      <c r="E54" s="147">
        <v>2</v>
      </c>
      <c r="F54" s="93">
        <v>15</v>
      </c>
      <c r="G54" s="91">
        <v>2</v>
      </c>
      <c r="H54" s="93">
        <v>9</v>
      </c>
      <c r="I54" s="91">
        <v>8</v>
      </c>
      <c r="J54" s="93">
        <v>87</v>
      </c>
      <c r="K54" s="91">
        <v>0</v>
      </c>
      <c r="L54" s="98" t="s">
        <v>471</v>
      </c>
      <c r="M54" s="99">
        <v>64</v>
      </c>
      <c r="N54" s="97">
        <v>0.03</v>
      </c>
      <c r="O54" s="104">
        <v>1</v>
      </c>
      <c r="P54" s="100">
        <v>2</v>
      </c>
      <c r="T54" s="132" t="s">
        <v>567</v>
      </c>
    </row>
    <row r="55" spans="1:20" x14ac:dyDescent="0.3">
      <c r="A55" s="140" t="s">
        <v>568</v>
      </c>
      <c r="B55" s="93">
        <v>40</v>
      </c>
      <c r="C55" s="147">
        <v>4</v>
      </c>
      <c r="D55" s="93">
        <v>14</v>
      </c>
      <c r="E55" s="147">
        <v>2</v>
      </c>
      <c r="F55" s="93">
        <v>9</v>
      </c>
      <c r="G55" s="91">
        <v>9</v>
      </c>
      <c r="H55" s="93">
        <v>87</v>
      </c>
      <c r="I55" s="91">
        <v>0</v>
      </c>
      <c r="J55" s="93">
        <v>87</v>
      </c>
      <c r="K55" s="91">
        <v>0</v>
      </c>
      <c r="L55" s="98" t="s">
        <v>471</v>
      </c>
      <c r="M55" s="99">
        <v>64</v>
      </c>
      <c r="N55" s="97">
        <v>0.05</v>
      </c>
      <c r="O55" s="104">
        <v>2</v>
      </c>
      <c r="P55" s="100">
        <v>14</v>
      </c>
      <c r="T55" s="132" t="s">
        <v>569</v>
      </c>
    </row>
    <row r="56" spans="1:20" x14ac:dyDescent="0.3">
      <c r="A56" s="140" t="s">
        <v>570</v>
      </c>
      <c r="B56" s="93">
        <v>84</v>
      </c>
      <c r="C56" s="147">
        <v>4</v>
      </c>
      <c r="D56" s="93">
        <v>33</v>
      </c>
      <c r="E56" s="147">
        <v>3</v>
      </c>
      <c r="F56" s="93">
        <v>9</v>
      </c>
      <c r="G56" s="91">
        <v>12</v>
      </c>
      <c r="H56" s="93">
        <v>87</v>
      </c>
      <c r="I56" s="91">
        <v>0</v>
      </c>
      <c r="J56" s="93">
        <v>87</v>
      </c>
      <c r="K56" s="91">
        <v>0</v>
      </c>
      <c r="L56" s="98" t="s">
        <v>471</v>
      </c>
      <c r="M56" s="99">
        <v>64</v>
      </c>
      <c r="N56" s="97">
        <v>0.03</v>
      </c>
      <c r="O56" s="104">
        <v>7</v>
      </c>
      <c r="P56" s="100">
        <v>220</v>
      </c>
      <c r="T56" s="132" t="s">
        <v>571</v>
      </c>
    </row>
    <row r="57" spans="1:20" x14ac:dyDescent="0.3">
      <c r="A57" s="140" t="s">
        <v>572</v>
      </c>
      <c r="B57" s="93">
        <v>58</v>
      </c>
      <c r="C57" s="147">
        <v>1</v>
      </c>
      <c r="D57" s="93">
        <v>21</v>
      </c>
      <c r="E57" s="147">
        <v>4</v>
      </c>
      <c r="F57" s="93">
        <v>6</v>
      </c>
      <c r="G57" s="91">
        <v>3</v>
      </c>
      <c r="H57" s="93">
        <v>9</v>
      </c>
      <c r="I57" s="91">
        <v>10</v>
      </c>
      <c r="J57" s="93">
        <v>87</v>
      </c>
      <c r="K57" s="91">
        <v>0</v>
      </c>
      <c r="L57" s="98" t="s">
        <v>471</v>
      </c>
      <c r="M57" s="99">
        <v>64</v>
      </c>
      <c r="N57" s="97">
        <v>0.05</v>
      </c>
      <c r="O57" s="104">
        <v>2</v>
      </c>
      <c r="P57" s="100">
        <v>8</v>
      </c>
      <c r="T57" s="132" t="s">
        <v>573</v>
      </c>
    </row>
    <row r="58" spans="1:20" x14ac:dyDescent="0.3">
      <c r="A58" s="140" t="s">
        <v>574</v>
      </c>
      <c r="B58" s="93">
        <v>21</v>
      </c>
      <c r="C58" s="147">
        <v>1</v>
      </c>
      <c r="D58" s="93">
        <v>14</v>
      </c>
      <c r="E58" s="147">
        <v>4</v>
      </c>
      <c r="F58" s="93">
        <v>9</v>
      </c>
      <c r="G58" s="91">
        <v>7</v>
      </c>
      <c r="H58" s="93">
        <v>87</v>
      </c>
      <c r="I58" s="91">
        <v>0</v>
      </c>
      <c r="J58" s="93">
        <v>87</v>
      </c>
      <c r="K58" s="91">
        <v>0</v>
      </c>
      <c r="L58" s="98" t="s">
        <v>471</v>
      </c>
      <c r="M58" s="99">
        <v>64</v>
      </c>
      <c r="N58" s="97">
        <v>7.0000000000000007E-2</v>
      </c>
      <c r="O58" s="104">
        <v>2</v>
      </c>
      <c r="P58" s="100">
        <v>15</v>
      </c>
      <c r="T58" s="132" t="s">
        <v>575</v>
      </c>
    </row>
    <row r="59" spans="1:20" x14ac:dyDescent="0.3">
      <c r="A59" s="140" t="s">
        <v>576</v>
      </c>
      <c r="B59" s="93">
        <v>40</v>
      </c>
      <c r="C59" s="147">
        <v>2</v>
      </c>
      <c r="D59" s="93">
        <v>43</v>
      </c>
      <c r="E59" s="147">
        <v>1</v>
      </c>
      <c r="F59" s="93">
        <v>9</v>
      </c>
      <c r="G59" s="91">
        <v>6</v>
      </c>
      <c r="H59" s="93">
        <v>87</v>
      </c>
      <c r="I59" s="91">
        <v>0</v>
      </c>
      <c r="J59" s="93">
        <v>87</v>
      </c>
      <c r="K59" s="91">
        <v>0</v>
      </c>
      <c r="L59" s="98" t="s">
        <v>471</v>
      </c>
      <c r="M59" s="99">
        <v>64</v>
      </c>
      <c r="N59" s="97">
        <v>0.03</v>
      </c>
      <c r="O59" s="104">
        <v>2</v>
      </c>
      <c r="P59" s="100">
        <v>15</v>
      </c>
      <c r="T59" s="132" t="s">
        <v>577</v>
      </c>
    </row>
    <row r="60" spans="1:20" x14ac:dyDescent="0.3">
      <c r="A60" s="140" t="s">
        <v>578</v>
      </c>
      <c r="B60" s="93">
        <v>12</v>
      </c>
      <c r="C60" s="147">
        <v>1</v>
      </c>
      <c r="D60" s="93">
        <v>58</v>
      </c>
      <c r="E60" s="147">
        <v>1</v>
      </c>
      <c r="F60" s="93">
        <v>16</v>
      </c>
      <c r="G60" s="91">
        <v>2</v>
      </c>
      <c r="H60" s="93">
        <v>9</v>
      </c>
      <c r="I60" s="91">
        <v>7</v>
      </c>
      <c r="J60" s="93">
        <v>87</v>
      </c>
      <c r="K60" s="91">
        <v>0</v>
      </c>
      <c r="L60" s="98" t="s">
        <v>471</v>
      </c>
      <c r="M60" s="99">
        <v>64</v>
      </c>
      <c r="N60" s="97">
        <v>0.1</v>
      </c>
      <c r="O60" s="104">
        <v>2</v>
      </c>
      <c r="P60" s="100">
        <v>14</v>
      </c>
      <c r="T60" s="132" t="s">
        <v>579</v>
      </c>
    </row>
    <row r="61" spans="1:20" x14ac:dyDescent="0.3">
      <c r="A61" s="140" t="s">
        <v>580</v>
      </c>
      <c r="B61" s="93">
        <v>57</v>
      </c>
      <c r="C61" s="147">
        <v>1</v>
      </c>
      <c r="D61" s="93">
        <v>41</v>
      </c>
      <c r="E61" s="147">
        <v>1</v>
      </c>
      <c r="F61" s="93">
        <v>16</v>
      </c>
      <c r="G61" s="91">
        <v>2</v>
      </c>
      <c r="H61" s="93">
        <v>9</v>
      </c>
      <c r="I61" s="91">
        <v>8</v>
      </c>
      <c r="J61" s="93">
        <v>87</v>
      </c>
      <c r="K61" s="91">
        <v>0</v>
      </c>
      <c r="L61" s="98" t="s">
        <v>471</v>
      </c>
      <c r="M61" s="99">
        <v>64</v>
      </c>
      <c r="N61" s="97">
        <v>0.03</v>
      </c>
      <c r="O61" s="104">
        <v>2</v>
      </c>
      <c r="P61" s="100">
        <v>12</v>
      </c>
      <c r="T61" s="132" t="s">
        <v>581</v>
      </c>
    </row>
    <row r="62" spans="1:20" x14ac:dyDescent="0.3">
      <c r="A62" s="140" t="s">
        <v>582</v>
      </c>
      <c r="B62" s="93">
        <v>21</v>
      </c>
      <c r="C62" s="147">
        <v>4</v>
      </c>
      <c r="D62" s="93">
        <v>63</v>
      </c>
      <c r="E62" s="147">
        <v>1</v>
      </c>
      <c r="F62" s="93">
        <v>6</v>
      </c>
      <c r="G62" s="91">
        <v>3</v>
      </c>
      <c r="H62" s="93">
        <v>9</v>
      </c>
      <c r="I62" s="91">
        <v>10</v>
      </c>
      <c r="J62" s="93">
        <v>87</v>
      </c>
      <c r="K62" s="91">
        <v>0</v>
      </c>
      <c r="L62" s="98" t="s">
        <v>471</v>
      </c>
      <c r="M62" s="99">
        <v>64</v>
      </c>
      <c r="N62" s="97">
        <v>0.03</v>
      </c>
      <c r="O62" s="104">
        <v>2</v>
      </c>
      <c r="P62" s="100">
        <v>8</v>
      </c>
      <c r="T62" s="132" t="s">
        <v>583</v>
      </c>
    </row>
    <row r="63" spans="1:20" x14ac:dyDescent="0.3">
      <c r="A63" s="140" t="s">
        <v>475</v>
      </c>
      <c r="B63" s="93">
        <v>21</v>
      </c>
      <c r="C63" s="147">
        <v>1</v>
      </c>
      <c r="D63" s="93">
        <v>58</v>
      </c>
      <c r="E63" s="147">
        <v>4</v>
      </c>
      <c r="F63" s="93">
        <v>15</v>
      </c>
      <c r="G63" s="91">
        <v>3</v>
      </c>
      <c r="H63" s="93">
        <v>9</v>
      </c>
      <c r="I63" s="91">
        <v>13</v>
      </c>
      <c r="J63" s="93">
        <v>87</v>
      </c>
      <c r="K63" s="91">
        <v>0</v>
      </c>
      <c r="L63" s="98" t="s">
        <v>471</v>
      </c>
      <c r="M63" s="99">
        <v>64</v>
      </c>
      <c r="N63" s="97">
        <v>0.04</v>
      </c>
      <c r="O63" s="104">
        <v>6</v>
      </c>
      <c r="P63" s="100">
        <v>176</v>
      </c>
      <c r="T63" s="132" t="s">
        <v>494</v>
      </c>
    </row>
    <row r="64" spans="1:20" x14ac:dyDescent="0.3">
      <c r="A64" s="140" t="s">
        <v>584</v>
      </c>
      <c r="B64" s="93">
        <v>4</v>
      </c>
      <c r="C64" s="147">
        <v>1</v>
      </c>
      <c r="D64" s="93">
        <v>40</v>
      </c>
      <c r="E64" s="147">
        <v>1</v>
      </c>
      <c r="F64" s="93">
        <v>33</v>
      </c>
      <c r="G64" s="91">
        <v>1</v>
      </c>
      <c r="H64" s="93">
        <v>9</v>
      </c>
      <c r="I64" s="91">
        <v>4</v>
      </c>
      <c r="J64" s="93">
        <v>87</v>
      </c>
      <c r="K64" s="91">
        <v>0</v>
      </c>
      <c r="L64" s="98" t="s">
        <v>471</v>
      </c>
      <c r="M64" s="99">
        <v>64</v>
      </c>
      <c r="N64" s="97">
        <v>0.1</v>
      </c>
      <c r="O64" s="104">
        <v>3</v>
      </c>
      <c r="P64" s="100">
        <v>62</v>
      </c>
      <c r="T64" s="132" t="s">
        <v>585</v>
      </c>
    </row>
    <row r="65" spans="1:20" x14ac:dyDescent="0.3">
      <c r="A65" s="140" t="s">
        <v>586</v>
      </c>
      <c r="B65" s="93">
        <v>13</v>
      </c>
      <c r="C65" s="147">
        <v>1</v>
      </c>
      <c r="D65" s="93">
        <v>16</v>
      </c>
      <c r="E65" s="147">
        <v>2</v>
      </c>
      <c r="F65" s="93">
        <v>9</v>
      </c>
      <c r="G65" s="91">
        <v>6</v>
      </c>
      <c r="H65" s="93">
        <v>87</v>
      </c>
      <c r="I65" s="91">
        <v>0</v>
      </c>
      <c r="J65" s="93">
        <v>87</v>
      </c>
      <c r="K65" s="91">
        <v>0</v>
      </c>
      <c r="L65" s="98" t="s">
        <v>471</v>
      </c>
      <c r="M65" s="99">
        <v>64</v>
      </c>
      <c r="N65" s="97">
        <v>2.5000000000000001E-2</v>
      </c>
      <c r="O65" s="104">
        <v>2</v>
      </c>
      <c r="P65" s="100">
        <v>14</v>
      </c>
      <c r="T65" s="132" t="s">
        <v>587</v>
      </c>
    </row>
    <row r="66" spans="1:20" x14ac:dyDescent="0.3">
      <c r="A66" s="140" t="s">
        <v>588</v>
      </c>
      <c r="B66" s="93">
        <v>31</v>
      </c>
      <c r="C66" s="147">
        <v>1</v>
      </c>
      <c r="D66" s="93">
        <v>32</v>
      </c>
      <c r="E66" s="147">
        <v>2</v>
      </c>
      <c r="F66" s="93">
        <v>9</v>
      </c>
      <c r="G66" s="91">
        <v>4</v>
      </c>
      <c r="H66" s="93">
        <v>87</v>
      </c>
      <c r="I66" s="91">
        <v>0</v>
      </c>
      <c r="J66" s="93">
        <v>87</v>
      </c>
      <c r="K66" s="91">
        <v>0</v>
      </c>
      <c r="L66" s="98" t="s">
        <v>471</v>
      </c>
      <c r="M66" s="99">
        <v>64</v>
      </c>
      <c r="N66" s="97">
        <v>0.02</v>
      </c>
      <c r="O66" s="104">
        <v>7</v>
      </c>
      <c r="P66" s="100">
        <v>227</v>
      </c>
      <c r="T66" s="132" t="s">
        <v>589</v>
      </c>
    </row>
    <row r="67" spans="1:20" x14ac:dyDescent="0.3">
      <c r="A67" s="140" t="s">
        <v>590</v>
      </c>
      <c r="B67" s="93">
        <v>57</v>
      </c>
      <c r="C67" s="147">
        <v>2</v>
      </c>
      <c r="D67" s="93">
        <v>40</v>
      </c>
      <c r="E67" s="147">
        <v>1</v>
      </c>
      <c r="F67" s="93">
        <v>43</v>
      </c>
      <c r="G67" s="91">
        <v>1</v>
      </c>
      <c r="H67" s="93">
        <v>9</v>
      </c>
      <c r="I67" s="91">
        <v>6</v>
      </c>
      <c r="J67" s="93">
        <v>87</v>
      </c>
      <c r="K67" s="91">
        <v>0</v>
      </c>
      <c r="L67" s="98" t="s">
        <v>471</v>
      </c>
      <c r="M67" s="99">
        <v>64</v>
      </c>
      <c r="N67" s="97">
        <v>4.4999999999999998E-2</v>
      </c>
      <c r="O67" s="104">
        <v>7</v>
      </c>
      <c r="P67" s="100">
        <v>225</v>
      </c>
      <c r="T67" s="132" t="s">
        <v>591</v>
      </c>
    </row>
    <row r="68" spans="1:20" x14ac:dyDescent="0.3">
      <c r="A68" s="140" t="s">
        <v>592</v>
      </c>
      <c r="B68" s="93">
        <v>13</v>
      </c>
      <c r="C68" s="147">
        <v>1</v>
      </c>
      <c r="D68" s="93">
        <v>14</v>
      </c>
      <c r="E68" s="147">
        <v>2</v>
      </c>
      <c r="F68" s="93">
        <v>9</v>
      </c>
      <c r="G68" s="91">
        <v>4</v>
      </c>
      <c r="H68" s="93">
        <v>87</v>
      </c>
      <c r="I68" s="91">
        <v>0</v>
      </c>
      <c r="J68" s="93">
        <v>87</v>
      </c>
      <c r="K68" s="91">
        <v>0</v>
      </c>
      <c r="L68" s="98" t="s">
        <v>471</v>
      </c>
      <c r="M68" s="99">
        <v>64</v>
      </c>
      <c r="N68" s="97">
        <v>0.1</v>
      </c>
      <c r="O68" s="104">
        <v>7</v>
      </c>
      <c r="P68" s="100">
        <v>227</v>
      </c>
      <c r="T68" s="132" t="s">
        <v>593</v>
      </c>
    </row>
    <row r="69" spans="1:20" x14ac:dyDescent="0.3">
      <c r="A69" s="140" t="s">
        <v>468</v>
      </c>
      <c r="B69" s="93">
        <v>31</v>
      </c>
      <c r="C69" s="147">
        <v>1</v>
      </c>
      <c r="D69" s="93">
        <v>9</v>
      </c>
      <c r="E69" s="147">
        <v>1</v>
      </c>
      <c r="F69" s="93">
        <v>87</v>
      </c>
      <c r="G69" s="91">
        <v>0</v>
      </c>
      <c r="H69" s="93">
        <v>87</v>
      </c>
      <c r="I69" s="91">
        <v>0</v>
      </c>
      <c r="J69" s="93">
        <v>87</v>
      </c>
      <c r="K69" s="91">
        <v>0</v>
      </c>
      <c r="L69" s="98" t="s">
        <v>471</v>
      </c>
      <c r="M69" s="99">
        <v>64</v>
      </c>
      <c r="N69" s="97">
        <v>7.0000000000000007E-2</v>
      </c>
      <c r="O69" s="104">
        <v>6</v>
      </c>
      <c r="P69" s="100">
        <v>186</v>
      </c>
      <c r="T69" s="132" t="s">
        <v>594</v>
      </c>
    </row>
    <row r="70" spans="1:20" x14ac:dyDescent="0.3">
      <c r="A70" s="140" t="s">
        <v>595</v>
      </c>
      <c r="B70" s="93">
        <v>21</v>
      </c>
      <c r="C70" s="147">
        <v>3</v>
      </c>
      <c r="D70" s="93">
        <v>84</v>
      </c>
      <c r="E70" s="147">
        <v>1</v>
      </c>
      <c r="F70" s="93">
        <v>16</v>
      </c>
      <c r="G70" s="91">
        <v>3</v>
      </c>
      <c r="H70" s="93">
        <v>9</v>
      </c>
      <c r="I70" s="91">
        <v>12</v>
      </c>
      <c r="J70" s="93">
        <v>87</v>
      </c>
      <c r="K70" s="91">
        <v>0</v>
      </c>
      <c r="L70" s="98" t="s">
        <v>471</v>
      </c>
      <c r="M70" s="99">
        <v>64</v>
      </c>
      <c r="N70" s="97">
        <v>0.06</v>
      </c>
      <c r="O70" s="104">
        <v>7</v>
      </c>
      <c r="P70" s="100">
        <v>220</v>
      </c>
      <c r="T70" s="132" t="s">
        <v>596</v>
      </c>
    </row>
    <row r="71" spans="1:20" x14ac:dyDescent="0.3">
      <c r="A71" s="140" t="s">
        <v>597</v>
      </c>
      <c r="B71" s="93">
        <v>21</v>
      </c>
      <c r="C71" s="147">
        <v>3</v>
      </c>
      <c r="D71" s="93">
        <v>4</v>
      </c>
      <c r="E71" s="147">
        <v>1</v>
      </c>
      <c r="F71" s="93">
        <v>52</v>
      </c>
      <c r="G71" s="91">
        <v>1</v>
      </c>
      <c r="H71" s="93">
        <v>9</v>
      </c>
      <c r="I71" s="91">
        <v>6</v>
      </c>
      <c r="J71" s="93">
        <v>87</v>
      </c>
      <c r="K71" s="91">
        <v>0</v>
      </c>
      <c r="L71" s="98" t="s">
        <v>471</v>
      </c>
      <c r="M71" s="99">
        <v>64</v>
      </c>
      <c r="N71" s="97">
        <v>0.05</v>
      </c>
      <c r="O71" s="104">
        <v>5</v>
      </c>
      <c r="P71" s="100">
        <v>163</v>
      </c>
      <c r="T71" s="132" t="s">
        <v>598</v>
      </c>
    </row>
    <row r="72" spans="1:20" x14ac:dyDescent="0.3">
      <c r="A72" s="140" t="s">
        <v>599</v>
      </c>
      <c r="B72" s="93">
        <v>4</v>
      </c>
      <c r="C72" s="147">
        <v>1</v>
      </c>
      <c r="D72" s="93">
        <v>14</v>
      </c>
      <c r="E72" s="147">
        <v>1</v>
      </c>
      <c r="F72" s="93">
        <v>15</v>
      </c>
      <c r="G72" s="91">
        <v>1</v>
      </c>
      <c r="H72" s="93">
        <v>9</v>
      </c>
      <c r="I72" s="91">
        <v>4</v>
      </c>
      <c r="J72" s="93">
        <v>87</v>
      </c>
      <c r="K72" s="91">
        <v>0</v>
      </c>
      <c r="L72" s="98" t="s">
        <v>471</v>
      </c>
      <c r="M72" s="99">
        <v>64</v>
      </c>
      <c r="N72" s="97">
        <v>7.0000000000000007E-2</v>
      </c>
      <c r="O72" s="104">
        <v>6</v>
      </c>
      <c r="P72" s="100">
        <v>180</v>
      </c>
      <c r="T72" s="132" t="s">
        <v>600</v>
      </c>
    </row>
    <row r="73" spans="1:20" x14ac:dyDescent="0.3">
      <c r="A73" s="140" t="s">
        <v>601</v>
      </c>
      <c r="B73" s="93">
        <v>20</v>
      </c>
      <c r="C73" s="147">
        <v>1</v>
      </c>
      <c r="D73" s="93">
        <v>13</v>
      </c>
      <c r="E73" s="147">
        <v>1</v>
      </c>
      <c r="F73" s="93">
        <v>16</v>
      </c>
      <c r="G73" s="91">
        <v>1</v>
      </c>
      <c r="H73" s="93">
        <v>9</v>
      </c>
      <c r="I73" s="91">
        <v>4</v>
      </c>
      <c r="J73" s="93">
        <v>87</v>
      </c>
      <c r="K73" s="91">
        <v>0</v>
      </c>
      <c r="L73" s="98" t="s">
        <v>471</v>
      </c>
      <c r="M73" s="99">
        <v>64</v>
      </c>
      <c r="N73" s="97">
        <v>0.01</v>
      </c>
      <c r="O73" s="104">
        <v>2</v>
      </c>
      <c r="P73" s="100">
        <v>14</v>
      </c>
      <c r="T73" s="132" t="s">
        <v>602</v>
      </c>
    </row>
    <row r="74" spans="1:20" x14ac:dyDescent="0.3">
      <c r="A74" s="140" t="s">
        <v>603</v>
      </c>
      <c r="B74" s="93">
        <v>72</v>
      </c>
      <c r="C74" s="147">
        <v>2</v>
      </c>
      <c r="D74" s="93">
        <v>43</v>
      </c>
      <c r="E74" s="147">
        <v>1</v>
      </c>
      <c r="F74" s="93">
        <v>9</v>
      </c>
      <c r="G74" s="91">
        <v>6</v>
      </c>
      <c r="H74" s="93">
        <v>87</v>
      </c>
      <c r="I74" s="91">
        <v>0</v>
      </c>
      <c r="J74" s="93">
        <v>87</v>
      </c>
      <c r="K74" s="91">
        <v>0</v>
      </c>
      <c r="L74" s="98" t="s">
        <v>471</v>
      </c>
      <c r="M74" s="99">
        <v>64</v>
      </c>
      <c r="N74" s="97">
        <v>0.1</v>
      </c>
      <c r="O74" s="104">
        <v>2</v>
      </c>
      <c r="P74" s="100">
        <v>15</v>
      </c>
      <c r="T74" s="132" t="s">
        <v>604</v>
      </c>
    </row>
    <row r="75" spans="1:20" x14ac:dyDescent="0.3">
      <c r="A75" s="140" t="s">
        <v>605</v>
      </c>
      <c r="B75" s="93">
        <v>12</v>
      </c>
      <c r="C75" s="147">
        <v>3</v>
      </c>
      <c r="D75" s="93">
        <v>84</v>
      </c>
      <c r="E75" s="147">
        <v>5</v>
      </c>
      <c r="F75" s="93">
        <v>16</v>
      </c>
      <c r="G75" s="91">
        <v>6</v>
      </c>
      <c r="H75" s="93">
        <v>9</v>
      </c>
      <c r="I75" s="91">
        <v>24</v>
      </c>
      <c r="J75" s="93">
        <v>87</v>
      </c>
      <c r="K75" s="91">
        <v>0</v>
      </c>
      <c r="L75" s="98" t="s">
        <v>471</v>
      </c>
      <c r="M75" s="99">
        <v>64</v>
      </c>
      <c r="N75" s="97">
        <v>0.05</v>
      </c>
      <c r="O75" s="104">
        <v>7</v>
      </c>
      <c r="P75" s="100">
        <v>220</v>
      </c>
      <c r="T75" s="132" t="s">
        <v>606</v>
      </c>
    </row>
    <row r="76" spans="1:20" x14ac:dyDescent="0.3">
      <c r="A76" s="140" t="s">
        <v>607</v>
      </c>
      <c r="B76" s="93">
        <v>39</v>
      </c>
      <c r="C76" s="147">
        <v>1</v>
      </c>
      <c r="D76" s="93">
        <v>14</v>
      </c>
      <c r="E76" s="147">
        <v>2</v>
      </c>
      <c r="F76" s="93">
        <v>9</v>
      </c>
      <c r="G76" s="91">
        <v>4</v>
      </c>
      <c r="H76" s="93">
        <v>87</v>
      </c>
      <c r="I76" s="91">
        <v>0</v>
      </c>
      <c r="J76" s="93">
        <v>87</v>
      </c>
      <c r="K76" s="91">
        <v>0</v>
      </c>
      <c r="L76" s="98" t="s">
        <v>471</v>
      </c>
      <c r="M76" s="99">
        <v>64</v>
      </c>
      <c r="N76" s="97">
        <v>0.01</v>
      </c>
      <c r="O76" s="104">
        <v>2</v>
      </c>
      <c r="P76" s="100">
        <v>4</v>
      </c>
      <c r="T76" s="132"/>
    </row>
    <row r="77" spans="1:20" x14ac:dyDescent="0.3">
      <c r="A77" s="140" t="s">
        <v>608</v>
      </c>
      <c r="B77" s="93">
        <v>39</v>
      </c>
      <c r="C77" s="147">
        <v>1</v>
      </c>
      <c r="D77" s="93">
        <v>13</v>
      </c>
      <c r="E77" s="147">
        <v>2</v>
      </c>
      <c r="F77" s="93">
        <v>58</v>
      </c>
      <c r="G77" s="91">
        <v>2</v>
      </c>
      <c r="H77" s="93">
        <v>75</v>
      </c>
      <c r="I77" s="91">
        <v>2</v>
      </c>
      <c r="J77" s="93">
        <v>9</v>
      </c>
      <c r="K77" s="91">
        <v>12</v>
      </c>
      <c r="L77" s="98" t="s">
        <v>471</v>
      </c>
      <c r="M77" s="99">
        <v>64</v>
      </c>
      <c r="N77" s="97">
        <v>0.08</v>
      </c>
      <c r="O77" s="104">
        <v>3</v>
      </c>
      <c r="P77" s="100">
        <v>16</v>
      </c>
      <c r="T77" s="132" t="s">
        <v>609</v>
      </c>
    </row>
    <row r="78" spans="1:20" x14ac:dyDescent="0.3">
      <c r="A78" s="140" t="s">
        <v>610</v>
      </c>
      <c r="B78" s="93">
        <v>65</v>
      </c>
      <c r="C78" s="147">
        <v>1</v>
      </c>
      <c r="D78" s="93">
        <v>39</v>
      </c>
      <c r="E78" s="147">
        <v>2</v>
      </c>
      <c r="F78" s="93">
        <v>14</v>
      </c>
      <c r="G78" s="91">
        <v>1</v>
      </c>
      <c r="H78" s="93">
        <v>9</v>
      </c>
      <c r="I78" s="91">
        <v>5</v>
      </c>
      <c r="J78" s="93">
        <v>87</v>
      </c>
      <c r="K78" s="91">
        <v>0</v>
      </c>
      <c r="L78" s="98" t="s">
        <v>471</v>
      </c>
      <c r="M78" s="99">
        <v>64</v>
      </c>
      <c r="N78" s="97">
        <v>0.03</v>
      </c>
      <c r="O78" s="104">
        <v>4</v>
      </c>
      <c r="P78" s="100">
        <v>140</v>
      </c>
      <c r="T78" s="132" t="s">
        <v>611</v>
      </c>
    </row>
    <row r="79" spans="1:20" x14ac:dyDescent="0.3">
      <c r="A79" s="140" t="s">
        <v>612</v>
      </c>
      <c r="B79" s="93">
        <v>57</v>
      </c>
      <c r="C79" s="147">
        <v>2</v>
      </c>
      <c r="D79" s="93">
        <v>58</v>
      </c>
      <c r="E79" s="147">
        <v>8</v>
      </c>
      <c r="F79" s="93">
        <v>33</v>
      </c>
      <c r="G79" s="91">
        <v>6</v>
      </c>
      <c r="H79" s="93">
        <v>9</v>
      </c>
      <c r="I79" s="91">
        <v>26</v>
      </c>
      <c r="J79" s="93">
        <v>87</v>
      </c>
      <c r="K79" s="91">
        <v>0</v>
      </c>
      <c r="L79" s="98" t="s">
        <v>471</v>
      </c>
      <c r="M79" s="99">
        <v>64</v>
      </c>
      <c r="N79" s="97">
        <v>0.08</v>
      </c>
      <c r="O79" s="104">
        <v>6</v>
      </c>
      <c r="P79" s="100">
        <v>176</v>
      </c>
      <c r="T79" s="132" t="s">
        <v>613</v>
      </c>
    </row>
    <row r="80" spans="1:20" x14ac:dyDescent="0.3">
      <c r="A80" s="140" t="s">
        <v>614</v>
      </c>
      <c r="B80" s="93">
        <v>58</v>
      </c>
      <c r="C80" s="147">
        <v>1</v>
      </c>
      <c r="D80" s="93">
        <v>21</v>
      </c>
      <c r="E80" s="147">
        <v>1</v>
      </c>
      <c r="F80" s="93">
        <v>14</v>
      </c>
      <c r="G80" s="91">
        <v>3</v>
      </c>
      <c r="H80" s="93">
        <v>9</v>
      </c>
      <c r="I80" s="91">
        <v>7</v>
      </c>
      <c r="J80" s="93">
        <v>87</v>
      </c>
      <c r="K80" s="91">
        <v>0</v>
      </c>
      <c r="L80" s="98" t="s">
        <v>471</v>
      </c>
      <c r="M80" s="99">
        <v>64</v>
      </c>
      <c r="N80" s="97">
        <v>0.03</v>
      </c>
      <c r="O80" s="104">
        <v>2</v>
      </c>
      <c r="P80" s="100">
        <v>11</v>
      </c>
      <c r="T80" s="132" t="s">
        <v>615</v>
      </c>
    </row>
    <row r="81" spans="1:20" x14ac:dyDescent="0.3">
      <c r="A81" s="140" t="s">
        <v>616</v>
      </c>
      <c r="B81" s="93">
        <v>84</v>
      </c>
      <c r="C81" s="147">
        <v>2</v>
      </c>
      <c r="D81" s="93">
        <v>43</v>
      </c>
      <c r="E81" s="147">
        <v>3</v>
      </c>
      <c r="F81" s="93">
        <v>9</v>
      </c>
      <c r="G81" s="91">
        <v>12</v>
      </c>
      <c r="H81" s="93">
        <v>87</v>
      </c>
      <c r="I81" s="91">
        <v>0</v>
      </c>
      <c r="J81" s="93">
        <v>87</v>
      </c>
      <c r="K81" s="91">
        <v>0</v>
      </c>
      <c r="L81" s="98" t="s">
        <v>471</v>
      </c>
      <c r="M81" s="99">
        <v>64</v>
      </c>
      <c r="N81" s="97">
        <v>0.04</v>
      </c>
      <c r="O81" s="104">
        <v>2</v>
      </c>
      <c r="P81" s="100">
        <v>14</v>
      </c>
      <c r="T81" s="132" t="s">
        <v>617</v>
      </c>
    </row>
    <row r="82" spans="1:20" x14ac:dyDescent="0.3">
      <c r="A82" s="140" t="s">
        <v>618</v>
      </c>
      <c r="B82" s="93">
        <v>21</v>
      </c>
      <c r="C82" s="147">
        <v>9</v>
      </c>
      <c r="D82" s="93">
        <v>13</v>
      </c>
      <c r="E82" s="147">
        <v>1</v>
      </c>
      <c r="F82" s="93">
        <v>4</v>
      </c>
      <c r="G82" s="91">
        <v>1</v>
      </c>
      <c r="H82" s="93">
        <v>16</v>
      </c>
      <c r="I82" s="91">
        <v>7</v>
      </c>
      <c r="J82" s="93">
        <v>9</v>
      </c>
      <c r="K82" s="91">
        <v>28</v>
      </c>
      <c r="L82" s="98" t="s">
        <v>471</v>
      </c>
      <c r="M82" s="99">
        <v>64</v>
      </c>
      <c r="N82" s="97">
        <v>0.08</v>
      </c>
      <c r="O82" s="104">
        <v>5</v>
      </c>
      <c r="P82" s="100">
        <v>161</v>
      </c>
      <c r="T82" s="132" t="s">
        <v>619</v>
      </c>
    </row>
    <row r="83" spans="1:20" x14ac:dyDescent="0.3">
      <c r="A83" s="140" t="s">
        <v>620</v>
      </c>
      <c r="B83" s="93">
        <v>31</v>
      </c>
      <c r="C83" s="147">
        <v>1</v>
      </c>
      <c r="D83" s="93">
        <v>23</v>
      </c>
      <c r="E83" s="147">
        <v>1</v>
      </c>
      <c r="F83" s="93">
        <v>9</v>
      </c>
      <c r="G83" s="91">
        <v>3</v>
      </c>
      <c r="H83" s="93">
        <v>87</v>
      </c>
      <c r="I83" s="91">
        <v>0</v>
      </c>
      <c r="J83" s="93">
        <v>87</v>
      </c>
      <c r="K83" s="91">
        <v>0</v>
      </c>
      <c r="L83" s="98" t="s">
        <v>471</v>
      </c>
      <c r="M83" s="99">
        <v>64</v>
      </c>
      <c r="N83" s="97">
        <v>0.02</v>
      </c>
      <c r="O83" s="104">
        <v>5</v>
      </c>
      <c r="P83" s="100">
        <v>161</v>
      </c>
      <c r="T83" s="132" t="s">
        <v>621</v>
      </c>
    </row>
    <row r="84" spans="1:20" x14ac:dyDescent="0.3">
      <c r="A84" s="140" t="s">
        <v>622</v>
      </c>
      <c r="B84" s="93">
        <v>12</v>
      </c>
      <c r="C84" s="147">
        <v>1</v>
      </c>
      <c r="D84" s="93">
        <v>21</v>
      </c>
      <c r="E84" s="147">
        <v>4</v>
      </c>
      <c r="F84" s="93">
        <v>6</v>
      </c>
      <c r="G84" s="91">
        <v>3</v>
      </c>
      <c r="H84" s="93">
        <v>9</v>
      </c>
      <c r="I84" s="91">
        <v>9</v>
      </c>
      <c r="J84" s="93">
        <v>87</v>
      </c>
      <c r="K84" s="91">
        <v>0</v>
      </c>
      <c r="L84" s="98" t="s">
        <v>471</v>
      </c>
      <c r="M84" s="99">
        <v>64</v>
      </c>
      <c r="N84" s="97">
        <v>0.08</v>
      </c>
      <c r="O84" s="104">
        <v>3</v>
      </c>
      <c r="P84" s="100">
        <v>40</v>
      </c>
      <c r="T84" s="132" t="s">
        <v>623</v>
      </c>
    </row>
    <row r="85" spans="1:20" x14ac:dyDescent="0.3">
      <c r="A85" s="140" t="s">
        <v>624</v>
      </c>
      <c r="B85" s="93">
        <v>4</v>
      </c>
      <c r="C85" s="147">
        <v>1</v>
      </c>
      <c r="D85" s="93">
        <v>21</v>
      </c>
      <c r="E85" s="147">
        <v>1</v>
      </c>
      <c r="F85" s="93">
        <v>6</v>
      </c>
      <c r="G85" s="91">
        <v>1</v>
      </c>
      <c r="H85" s="93">
        <v>9</v>
      </c>
      <c r="I85" s="91">
        <v>3</v>
      </c>
      <c r="J85" s="93">
        <v>87</v>
      </c>
      <c r="K85" s="91">
        <v>0</v>
      </c>
      <c r="L85" s="98" t="s">
        <v>471</v>
      </c>
      <c r="M85" s="99">
        <v>64</v>
      </c>
      <c r="N85" s="97">
        <v>0.03</v>
      </c>
      <c r="O85" s="104">
        <v>3</v>
      </c>
      <c r="P85" s="100">
        <v>61</v>
      </c>
      <c r="T85" s="132" t="s">
        <v>625</v>
      </c>
    </row>
    <row r="86" spans="1:20" x14ac:dyDescent="0.3">
      <c r="A86" s="140" t="s">
        <v>626</v>
      </c>
      <c r="B86" s="93">
        <v>58</v>
      </c>
      <c r="C86" s="147">
        <v>1</v>
      </c>
      <c r="D86" s="93">
        <v>14</v>
      </c>
      <c r="E86" s="147">
        <v>1</v>
      </c>
      <c r="F86" s="93">
        <v>9</v>
      </c>
      <c r="G86" s="91">
        <v>3</v>
      </c>
      <c r="H86" s="93">
        <v>87</v>
      </c>
      <c r="I86" s="91">
        <v>0</v>
      </c>
      <c r="J86" s="93">
        <v>87</v>
      </c>
      <c r="K86" s="91">
        <v>0</v>
      </c>
      <c r="L86" s="98" t="s">
        <v>471</v>
      </c>
      <c r="M86" s="99">
        <v>64</v>
      </c>
      <c r="N86" s="97">
        <v>0.02</v>
      </c>
      <c r="O86" s="104">
        <v>5</v>
      </c>
      <c r="P86" s="100">
        <v>160</v>
      </c>
      <c r="T86" s="132" t="s">
        <v>682</v>
      </c>
    </row>
    <row r="87" spans="1:20" x14ac:dyDescent="0.3">
      <c r="A87" s="140" t="s">
        <v>627</v>
      </c>
      <c r="B87" s="93">
        <v>21</v>
      </c>
      <c r="C87" s="147">
        <v>1</v>
      </c>
      <c r="D87" s="93">
        <v>31</v>
      </c>
      <c r="E87" s="147">
        <v>1</v>
      </c>
      <c r="F87" s="93">
        <v>25</v>
      </c>
      <c r="G87" s="91">
        <v>2</v>
      </c>
      <c r="H87" s="93">
        <v>9</v>
      </c>
      <c r="I87" s="91">
        <v>7</v>
      </c>
      <c r="J87" s="93">
        <v>87</v>
      </c>
      <c r="K87" s="91">
        <v>0</v>
      </c>
      <c r="L87" s="98" t="s">
        <v>471</v>
      </c>
      <c r="M87" s="99">
        <v>64</v>
      </c>
      <c r="N87" s="97">
        <v>0.02</v>
      </c>
      <c r="O87" s="104">
        <v>2</v>
      </c>
      <c r="P87" s="100">
        <v>14</v>
      </c>
      <c r="T87" s="132" t="s">
        <v>628</v>
      </c>
    </row>
    <row r="88" spans="1:20" x14ac:dyDescent="0.3">
      <c r="A88" s="140" t="s">
        <v>629</v>
      </c>
      <c r="B88" s="93">
        <v>21</v>
      </c>
      <c r="C88" s="147">
        <v>3</v>
      </c>
      <c r="D88" s="93">
        <v>58</v>
      </c>
      <c r="E88" s="147">
        <v>6</v>
      </c>
      <c r="F88" s="93">
        <v>15</v>
      </c>
      <c r="G88" s="91">
        <v>6</v>
      </c>
      <c r="H88" s="93">
        <v>9</v>
      </c>
      <c r="I88" s="91">
        <v>24</v>
      </c>
      <c r="J88" s="93">
        <v>87</v>
      </c>
      <c r="K88" s="91">
        <v>0</v>
      </c>
      <c r="L88" s="98" t="s">
        <v>471</v>
      </c>
      <c r="M88" s="99">
        <v>64</v>
      </c>
      <c r="N88" s="97">
        <v>0.08</v>
      </c>
      <c r="O88" s="104">
        <v>6</v>
      </c>
      <c r="P88" s="100">
        <v>176</v>
      </c>
      <c r="T88" s="132" t="s">
        <v>630</v>
      </c>
    </row>
    <row r="89" spans="1:20" x14ac:dyDescent="0.3">
      <c r="A89" s="140" t="s">
        <v>631</v>
      </c>
      <c r="B89" s="93">
        <v>39</v>
      </c>
      <c r="C89" s="147">
        <v>2</v>
      </c>
      <c r="D89" s="93">
        <v>21</v>
      </c>
      <c r="E89" s="147">
        <v>1</v>
      </c>
      <c r="F89" s="93">
        <v>53</v>
      </c>
      <c r="G89" s="91">
        <v>1</v>
      </c>
      <c r="H89" s="93">
        <v>9</v>
      </c>
      <c r="I89" s="91">
        <v>6</v>
      </c>
      <c r="J89" s="93">
        <v>87</v>
      </c>
      <c r="K89" s="91">
        <v>0</v>
      </c>
      <c r="L89" s="98" t="s">
        <v>471</v>
      </c>
      <c r="M89" s="99">
        <v>64</v>
      </c>
      <c r="N89" s="97">
        <v>0.04</v>
      </c>
      <c r="O89" s="104">
        <v>2</v>
      </c>
      <c r="P89" s="100">
        <v>14</v>
      </c>
      <c r="T89" s="132" t="s">
        <v>632</v>
      </c>
    </row>
    <row r="90" spans="1:20" x14ac:dyDescent="0.3">
      <c r="A90" s="140" t="s">
        <v>633</v>
      </c>
      <c r="B90" s="93">
        <v>13</v>
      </c>
      <c r="C90" s="147">
        <v>1</v>
      </c>
      <c r="D90" s="93">
        <v>9</v>
      </c>
      <c r="E90" s="147">
        <v>1</v>
      </c>
      <c r="F90" s="93">
        <v>87</v>
      </c>
      <c r="G90" s="91">
        <v>0</v>
      </c>
      <c r="H90" s="93">
        <v>87</v>
      </c>
      <c r="I90" s="91">
        <v>0</v>
      </c>
      <c r="J90" s="93">
        <v>87</v>
      </c>
      <c r="K90" s="91">
        <v>0</v>
      </c>
      <c r="L90" s="98" t="s">
        <v>471</v>
      </c>
      <c r="M90" s="99">
        <v>64</v>
      </c>
      <c r="N90" s="97">
        <v>0.05</v>
      </c>
      <c r="O90" s="104">
        <v>7</v>
      </c>
      <c r="P90" s="100">
        <v>225</v>
      </c>
      <c r="T90" s="132" t="s">
        <v>634</v>
      </c>
    </row>
    <row r="91" spans="1:20" x14ac:dyDescent="0.3">
      <c r="A91" s="140" t="s">
        <v>635</v>
      </c>
      <c r="B91" s="93">
        <v>65</v>
      </c>
      <c r="C91" s="147">
        <v>2</v>
      </c>
      <c r="D91" s="93">
        <v>9</v>
      </c>
      <c r="E91" s="147">
        <v>3</v>
      </c>
      <c r="F91" s="93">
        <v>87</v>
      </c>
      <c r="G91" s="91">
        <v>0</v>
      </c>
      <c r="H91" s="93">
        <v>87</v>
      </c>
      <c r="I91" s="91">
        <v>0</v>
      </c>
      <c r="J91" s="93">
        <v>87</v>
      </c>
      <c r="K91" s="91">
        <v>0</v>
      </c>
      <c r="L91" s="98" t="s">
        <v>471</v>
      </c>
      <c r="M91" s="99">
        <v>64</v>
      </c>
      <c r="N91" s="97">
        <v>0.08</v>
      </c>
      <c r="O91" s="104">
        <v>7</v>
      </c>
      <c r="P91" s="100">
        <v>206</v>
      </c>
      <c r="T91" s="132" t="s">
        <v>636</v>
      </c>
    </row>
    <row r="92" spans="1:20" x14ac:dyDescent="0.3">
      <c r="A92" s="140" t="s">
        <v>637</v>
      </c>
      <c r="B92" s="93">
        <v>21</v>
      </c>
      <c r="C92" s="147">
        <v>1</v>
      </c>
      <c r="D92" s="93">
        <v>15</v>
      </c>
      <c r="E92" s="147">
        <v>1</v>
      </c>
      <c r="F92" s="93">
        <v>9</v>
      </c>
      <c r="G92" s="91">
        <v>3</v>
      </c>
      <c r="H92" s="93">
        <v>87</v>
      </c>
      <c r="I92" s="91">
        <v>0</v>
      </c>
      <c r="J92" s="93">
        <v>87</v>
      </c>
      <c r="K92" s="91">
        <v>0</v>
      </c>
      <c r="L92" s="98" t="s">
        <v>471</v>
      </c>
      <c r="M92" s="99">
        <v>64</v>
      </c>
      <c r="N92" s="97">
        <v>0.03</v>
      </c>
      <c r="O92" s="104">
        <v>2</v>
      </c>
      <c r="P92" s="100">
        <v>14</v>
      </c>
      <c r="T92" s="132" t="s">
        <v>638</v>
      </c>
    </row>
    <row r="93" spans="1:20" x14ac:dyDescent="0.3">
      <c r="A93" s="140" t="s">
        <v>639</v>
      </c>
      <c r="B93" s="93">
        <v>58</v>
      </c>
      <c r="C93" s="147">
        <v>2</v>
      </c>
      <c r="D93" s="93">
        <v>41</v>
      </c>
      <c r="E93" s="147">
        <v>2</v>
      </c>
      <c r="F93" s="93">
        <v>9</v>
      </c>
      <c r="G93" s="91">
        <v>7</v>
      </c>
      <c r="H93" s="93">
        <v>87</v>
      </c>
      <c r="I93" s="91">
        <v>0</v>
      </c>
      <c r="J93" s="93">
        <v>87</v>
      </c>
      <c r="K93" s="91">
        <v>0</v>
      </c>
      <c r="L93" s="98" t="s">
        <v>471</v>
      </c>
      <c r="M93" s="99">
        <v>64</v>
      </c>
      <c r="N93" s="97">
        <v>0.05</v>
      </c>
      <c r="O93" s="104">
        <v>7</v>
      </c>
      <c r="P93" s="100">
        <v>227</v>
      </c>
      <c r="T93" s="132" t="s">
        <v>640</v>
      </c>
    </row>
    <row r="94" spans="1:20" x14ac:dyDescent="0.3">
      <c r="A94" s="140" t="s">
        <v>641</v>
      </c>
      <c r="B94" s="93">
        <v>21</v>
      </c>
      <c r="C94" s="147">
        <v>1</v>
      </c>
      <c r="D94" s="93">
        <v>23</v>
      </c>
      <c r="E94" s="147">
        <v>1</v>
      </c>
      <c r="F94" s="93">
        <v>15</v>
      </c>
      <c r="G94" s="91">
        <v>4</v>
      </c>
      <c r="H94" s="93">
        <v>9</v>
      </c>
      <c r="I94" s="91">
        <v>5</v>
      </c>
      <c r="J94" s="93">
        <v>87</v>
      </c>
      <c r="K94" s="91">
        <v>0</v>
      </c>
      <c r="L94" s="98" t="s">
        <v>471</v>
      </c>
      <c r="M94" s="99">
        <v>64</v>
      </c>
      <c r="N94" s="97">
        <v>0.02</v>
      </c>
      <c r="O94" s="104">
        <v>2</v>
      </c>
      <c r="P94" s="100">
        <v>15</v>
      </c>
      <c r="T94" s="132" t="s">
        <v>642</v>
      </c>
    </row>
    <row r="95" spans="1:20" x14ac:dyDescent="0.3">
      <c r="A95" s="140" t="s">
        <v>643</v>
      </c>
      <c r="B95" s="93">
        <v>57</v>
      </c>
      <c r="C95" s="147">
        <v>2</v>
      </c>
      <c r="D95" s="93">
        <v>31</v>
      </c>
      <c r="E95" s="147">
        <v>1</v>
      </c>
      <c r="F95" s="93">
        <v>43</v>
      </c>
      <c r="G95" s="91">
        <v>1</v>
      </c>
      <c r="H95" s="93">
        <v>9</v>
      </c>
      <c r="I95" s="91">
        <v>6</v>
      </c>
      <c r="J95" s="93">
        <v>87</v>
      </c>
      <c r="K95" s="91">
        <v>0</v>
      </c>
      <c r="L95" s="98" t="s">
        <v>471</v>
      </c>
      <c r="M95" s="99">
        <v>64</v>
      </c>
      <c r="N95" s="97">
        <v>0.06</v>
      </c>
      <c r="O95" s="104">
        <v>7</v>
      </c>
      <c r="P95" s="100">
        <v>225</v>
      </c>
      <c r="T95" s="132" t="s">
        <v>644</v>
      </c>
    </row>
    <row r="96" spans="1:20" x14ac:dyDescent="0.3">
      <c r="A96" s="140" t="s">
        <v>645</v>
      </c>
      <c r="B96" s="93">
        <v>50</v>
      </c>
      <c r="C96" s="147">
        <v>1</v>
      </c>
      <c r="D96" s="93">
        <v>32</v>
      </c>
      <c r="E96" s="147">
        <v>1</v>
      </c>
      <c r="F96" s="93">
        <v>31</v>
      </c>
      <c r="G96" s="91">
        <v>1</v>
      </c>
      <c r="H96" s="93">
        <v>9</v>
      </c>
      <c r="I96" s="91">
        <v>4</v>
      </c>
      <c r="J96" s="93">
        <v>87</v>
      </c>
      <c r="K96" s="91">
        <v>0</v>
      </c>
      <c r="L96" s="98" t="s">
        <v>471</v>
      </c>
      <c r="M96" s="99">
        <v>64</v>
      </c>
      <c r="N96" s="97">
        <v>0.02</v>
      </c>
      <c r="O96" s="104">
        <v>5</v>
      </c>
      <c r="P96" s="100">
        <v>166</v>
      </c>
      <c r="T96" s="132" t="s">
        <v>646</v>
      </c>
    </row>
    <row r="97" spans="1:20" x14ac:dyDescent="0.3">
      <c r="A97" s="140" t="s">
        <v>647</v>
      </c>
      <c r="B97" s="93">
        <v>40</v>
      </c>
      <c r="C97" s="147">
        <v>2</v>
      </c>
      <c r="D97" s="93">
        <v>9</v>
      </c>
      <c r="E97" s="147">
        <v>3</v>
      </c>
      <c r="F97" s="93">
        <v>87</v>
      </c>
      <c r="G97" s="91">
        <v>0</v>
      </c>
      <c r="H97" s="93">
        <v>87</v>
      </c>
      <c r="I97" s="91">
        <v>0</v>
      </c>
      <c r="J97" s="93">
        <v>87</v>
      </c>
      <c r="K97" s="91">
        <v>0</v>
      </c>
      <c r="L97" s="98" t="s">
        <v>471</v>
      </c>
      <c r="M97" s="99">
        <v>64</v>
      </c>
      <c r="N97" s="97">
        <v>7.0000000000000007E-2</v>
      </c>
      <c r="O97" s="104">
        <v>7</v>
      </c>
      <c r="P97" s="100">
        <v>230</v>
      </c>
      <c r="T97" s="132" t="s">
        <v>648</v>
      </c>
    </row>
    <row r="98" spans="1:20" x14ac:dyDescent="0.3">
      <c r="A98" s="140" t="s">
        <v>649</v>
      </c>
      <c r="B98" s="93">
        <v>20</v>
      </c>
      <c r="C98" s="147">
        <v>1</v>
      </c>
      <c r="D98" s="93">
        <v>57</v>
      </c>
      <c r="E98" s="147">
        <v>1</v>
      </c>
      <c r="F98" s="93">
        <v>22</v>
      </c>
      <c r="G98" s="91">
        <v>1</v>
      </c>
      <c r="H98" s="93">
        <v>15</v>
      </c>
      <c r="I98" s="91">
        <v>3</v>
      </c>
      <c r="J98" s="93">
        <v>9</v>
      </c>
      <c r="K98" s="91">
        <v>9</v>
      </c>
      <c r="L98" s="98" t="s">
        <v>471</v>
      </c>
      <c r="M98" s="99">
        <v>64</v>
      </c>
      <c r="N98" s="97">
        <v>7.0000000000000007E-2</v>
      </c>
      <c r="O98" s="104">
        <v>2</v>
      </c>
      <c r="P98" s="100">
        <v>14</v>
      </c>
      <c r="T98" s="132" t="s">
        <v>650</v>
      </c>
    </row>
    <row r="99" spans="1:20" x14ac:dyDescent="0.3">
      <c r="A99" s="140" t="s">
        <v>651</v>
      </c>
      <c r="B99" s="93">
        <v>39</v>
      </c>
      <c r="C99" s="147">
        <v>1</v>
      </c>
      <c r="D99" s="93">
        <v>41</v>
      </c>
      <c r="E99" s="147">
        <v>1</v>
      </c>
      <c r="F99" s="93">
        <v>9</v>
      </c>
      <c r="G99" s="91">
        <v>3</v>
      </c>
      <c r="H99" s="93">
        <v>87</v>
      </c>
      <c r="I99" s="91">
        <v>0</v>
      </c>
      <c r="J99" s="93">
        <v>87</v>
      </c>
      <c r="K99" s="91">
        <v>0</v>
      </c>
      <c r="L99" s="98" t="s">
        <v>471</v>
      </c>
      <c r="M99" s="99">
        <v>64</v>
      </c>
      <c r="N99" s="97">
        <v>0.05</v>
      </c>
      <c r="O99" s="104">
        <v>3</v>
      </c>
      <c r="P99" s="100">
        <v>62</v>
      </c>
      <c r="T99" s="132" t="s">
        <v>652</v>
      </c>
    </row>
    <row r="100" spans="1:20" x14ac:dyDescent="0.3">
      <c r="A100" s="140" t="s">
        <v>653</v>
      </c>
      <c r="B100" s="93">
        <v>57</v>
      </c>
      <c r="C100" s="147">
        <v>2</v>
      </c>
      <c r="D100" s="93">
        <v>65</v>
      </c>
      <c r="E100" s="147">
        <v>1</v>
      </c>
      <c r="F100" s="93">
        <v>74</v>
      </c>
      <c r="G100" s="91">
        <v>1</v>
      </c>
      <c r="H100" s="93">
        <v>9</v>
      </c>
      <c r="I100" s="91">
        <v>6</v>
      </c>
      <c r="J100" s="93">
        <v>87</v>
      </c>
      <c r="K100" s="91">
        <v>0</v>
      </c>
      <c r="L100" s="98" t="s">
        <v>471</v>
      </c>
      <c r="M100" s="99">
        <v>64</v>
      </c>
      <c r="N100" s="97">
        <v>0.1</v>
      </c>
      <c r="O100" s="104">
        <v>7</v>
      </c>
      <c r="P100" s="100">
        <v>225</v>
      </c>
      <c r="T100" s="132" t="s">
        <v>654</v>
      </c>
    </row>
    <row r="101" spans="1:20" x14ac:dyDescent="0.3">
      <c r="A101" s="140" t="s">
        <v>655</v>
      </c>
      <c r="B101" s="93">
        <v>39</v>
      </c>
      <c r="C101" s="147">
        <v>1</v>
      </c>
      <c r="D101" s="93">
        <v>33</v>
      </c>
      <c r="E101" s="147">
        <v>1</v>
      </c>
      <c r="F101" s="93">
        <v>16</v>
      </c>
      <c r="G101" s="91">
        <v>2</v>
      </c>
      <c r="H101" s="93">
        <v>9</v>
      </c>
      <c r="I101" s="91">
        <v>8</v>
      </c>
      <c r="J101" s="93">
        <v>87</v>
      </c>
      <c r="K101" s="91">
        <v>0</v>
      </c>
      <c r="L101" s="98" t="s">
        <v>471</v>
      </c>
      <c r="M101" s="99">
        <v>64</v>
      </c>
      <c r="N101" s="97">
        <v>0.05</v>
      </c>
      <c r="O101" s="104">
        <v>2</v>
      </c>
      <c r="P101" s="100">
        <v>15</v>
      </c>
      <c r="T101" s="132" t="s">
        <v>656</v>
      </c>
    </row>
    <row r="102" spans="1:20" x14ac:dyDescent="0.3">
      <c r="A102" s="140" t="s">
        <v>658</v>
      </c>
      <c r="B102" s="93">
        <v>57</v>
      </c>
      <c r="C102" s="147">
        <v>2</v>
      </c>
      <c r="D102" s="93">
        <v>58</v>
      </c>
      <c r="E102" s="147">
        <v>4</v>
      </c>
      <c r="F102" s="93">
        <v>31</v>
      </c>
      <c r="G102" s="91">
        <v>2</v>
      </c>
      <c r="H102" s="93">
        <v>9</v>
      </c>
      <c r="I102" s="91">
        <v>10</v>
      </c>
      <c r="J102" s="93">
        <v>87</v>
      </c>
      <c r="K102" s="91">
        <v>0</v>
      </c>
      <c r="L102" s="98" t="s">
        <v>471</v>
      </c>
      <c r="M102" s="99">
        <v>64</v>
      </c>
      <c r="N102" s="97">
        <v>0.05</v>
      </c>
      <c r="O102" s="104">
        <v>4</v>
      </c>
      <c r="P102" s="100">
        <v>140</v>
      </c>
      <c r="T102" s="132" t="s">
        <v>659</v>
      </c>
    </row>
    <row r="103" spans="1:20" x14ac:dyDescent="0.3">
      <c r="A103" s="140" t="s">
        <v>660</v>
      </c>
      <c r="B103" s="93">
        <v>57</v>
      </c>
      <c r="C103" s="147">
        <v>2</v>
      </c>
      <c r="D103" s="93">
        <v>15</v>
      </c>
      <c r="E103" s="147">
        <v>1</v>
      </c>
      <c r="F103" s="93">
        <v>9</v>
      </c>
      <c r="G103" s="91">
        <v>4</v>
      </c>
      <c r="H103" s="93">
        <v>87</v>
      </c>
      <c r="I103" s="91">
        <v>0</v>
      </c>
      <c r="J103" s="93">
        <v>87</v>
      </c>
      <c r="K103" s="91">
        <v>0</v>
      </c>
      <c r="L103" s="98" t="s">
        <v>471</v>
      </c>
      <c r="M103" s="99">
        <v>64</v>
      </c>
      <c r="N103" s="97">
        <v>0.04</v>
      </c>
      <c r="O103" s="104">
        <v>3</v>
      </c>
      <c r="P103" s="100">
        <v>62</v>
      </c>
      <c r="T103" s="132" t="s">
        <v>661</v>
      </c>
    </row>
    <row r="104" spans="1:20" x14ac:dyDescent="0.3">
      <c r="A104" s="140" t="s">
        <v>662</v>
      </c>
      <c r="B104" s="93">
        <v>21</v>
      </c>
      <c r="C104" s="147">
        <v>1</v>
      </c>
      <c r="D104" s="93">
        <v>41</v>
      </c>
      <c r="E104" s="147">
        <v>1</v>
      </c>
      <c r="F104" s="93">
        <v>9</v>
      </c>
      <c r="G104" s="91">
        <v>3</v>
      </c>
      <c r="H104" s="93">
        <v>87</v>
      </c>
      <c r="I104" s="91">
        <v>0</v>
      </c>
      <c r="J104" s="93">
        <v>87</v>
      </c>
      <c r="K104" s="91">
        <v>0</v>
      </c>
      <c r="L104" s="98" t="s">
        <v>471</v>
      </c>
      <c r="M104" s="99">
        <v>64</v>
      </c>
      <c r="N104" s="97">
        <v>0.09</v>
      </c>
      <c r="O104" s="104">
        <v>3</v>
      </c>
      <c r="P104" s="100">
        <v>62</v>
      </c>
      <c r="T104" s="132" t="s">
        <v>663</v>
      </c>
    </row>
    <row r="105" spans="1:20" x14ac:dyDescent="0.3">
      <c r="A105" s="140" t="s">
        <v>664</v>
      </c>
      <c r="B105" s="93">
        <v>84</v>
      </c>
      <c r="C105" s="147">
        <v>2</v>
      </c>
      <c r="D105" s="93">
        <v>7</v>
      </c>
      <c r="E105" s="147">
        <v>1</v>
      </c>
      <c r="F105" s="93">
        <v>9</v>
      </c>
      <c r="G105" s="91">
        <v>5</v>
      </c>
      <c r="H105" s="93">
        <v>87</v>
      </c>
      <c r="I105" s="91">
        <v>0</v>
      </c>
      <c r="J105" s="93">
        <v>87</v>
      </c>
      <c r="K105" s="91">
        <v>0</v>
      </c>
      <c r="L105" s="98" t="s">
        <v>471</v>
      </c>
      <c r="M105" s="99">
        <v>64</v>
      </c>
      <c r="N105" s="97">
        <v>0.08</v>
      </c>
      <c r="O105" s="104">
        <v>3</v>
      </c>
      <c r="P105" s="100">
        <v>44</v>
      </c>
      <c r="T105" s="132" t="s">
        <v>665</v>
      </c>
    </row>
    <row r="106" spans="1:20" x14ac:dyDescent="0.3">
      <c r="A106" s="140" t="s">
        <v>666</v>
      </c>
      <c r="B106" s="93">
        <v>57</v>
      </c>
      <c r="C106" s="147">
        <v>1</v>
      </c>
      <c r="D106" s="93">
        <v>23</v>
      </c>
      <c r="E106" s="147">
        <v>1</v>
      </c>
      <c r="F106" s="93">
        <v>15</v>
      </c>
      <c r="G106" s="91">
        <v>2</v>
      </c>
      <c r="H106" s="93">
        <v>33</v>
      </c>
      <c r="I106" s="91">
        <v>1</v>
      </c>
      <c r="J106" s="93">
        <v>9</v>
      </c>
      <c r="K106" s="91">
        <v>9</v>
      </c>
      <c r="L106" s="98" t="s">
        <v>471</v>
      </c>
      <c r="M106" s="99">
        <v>64</v>
      </c>
      <c r="N106" s="97">
        <v>7.0000000000000007E-2</v>
      </c>
      <c r="O106" s="104">
        <v>6</v>
      </c>
      <c r="P106" s="100">
        <v>188</v>
      </c>
      <c r="T106" s="132" t="s">
        <v>667</v>
      </c>
    </row>
    <row r="107" spans="1:20" x14ac:dyDescent="0.3">
      <c r="A107" s="140" t="s">
        <v>668</v>
      </c>
      <c r="B107" s="93">
        <v>21</v>
      </c>
      <c r="C107" s="147">
        <v>1</v>
      </c>
      <c r="D107" s="93">
        <v>32</v>
      </c>
      <c r="E107" s="147">
        <v>2</v>
      </c>
      <c r="F107" s="93">
        <v>9</v>
      </c>
      <c r="G107" s="91">
        <v>4</v>
      </c>
      <c r="H107" s="93">
        <v>87</v>
      </c>
      <c r="I107" s="91">
        <v>0</v>
      </c>
      <c r="J107" s="93">
        <v>87</v>
      </c>
      <c r="K107" s="91">
        <v>0</v>
      </c>
      <c r="L107" s="98" t="s">
        <v>471</v>
      </c>
      <c r="M107" s="99">
        <v>64</v>
      </c>
      <c r="N107" s="97">
        <v>0.04</v>
      </c>
      <c r="O107" s="104">
        <v>3</v>
      </c>
      <c r="P107" s="100">
        <v>33</v>
      </c>
      <c r="T107" s="132" t="s">
        <v>669</v>
      </c>
    </row>
    <row r="108" spans="1:20" x14ac:dyDescent="0.3">
      <c r="A108" s="140" t="s">
        <v>670</v>
      </c>
      <c r="B108" s="93">
        <v>40</v>
      </c>
      <c r="C108" s="147">
        <v>2</v>
      </c>
      <c r="D108" s="93">
        <v>65</v>
      </c>
      <c r="E108" s="147">
        <v>2</v>
      </c>
      <c r="F108" s="93">
        <v>9</v>
      </c>
      <c r="G108" s="91">
        <v>3</v>
      </c>
      <c r="H108" s="93">
        <v>87</v>
      </c>
      <c r="I108" s="91">
        <v>0</v>
      </c>
      <c r="J108" s="93">
        <v>87</v>
      </c>
      <c r="K108" s="91">
        <v>0</v>
      </c>
      <c r="L108" s="98" t="s">
        <v>471</v>
      </c>
      <c r="M108" s="99">
        <v>64</v>
      </c>
      <c r="N108" s="97">
        <v>7.0000000000000007E-2</v>
      </c>
      <c r="O108" s="104">
        <v>7</v>
      </c>
      <c r="P108" s="100">
        <v>199</v>
      </c>
      <c r="T108" s="132" t="s">
        <v>671</v>
      </c>
    </row>
    <row r="109" spans="1:20" x14ac:dyDescent="0.3">
      <c r="A109" s="140" t="s">
        <v>672</v>
      </c>
      <c r="B109" s="93">
        <v>72</v>
      </c>
      <c r="C109" s="147">
        <v>2</v>
      </c>
      <c r="D109" s="93">
        <v>51</v>
      </c>
      <c r="E109" s="147">
        <v>2</v>
      </c>
      <c r="F109" s="93">
        <v>9</v>
      </c>
      <c r="G109" s="91">
        <v>7</v>
      </c>
      <c r="H109" s="93">
        <v>87</v>
      </c>
      <c r="I109" s="91">
        <v>0</v>
      </c>
      <c r="J109" s="93">
        <v>87</v>
      </c>
      <c r="K109" s="91">
        <v>0</v>
      </c>
      <c r="L109" s="98" t="s">
        <v>471</v>
      </c>
      <c r="M109" s="99">
        <v>64</v>
      </c>
      <c r="N109" s="97">
        <v>0.05</v>
      </c>
      <c r="O109" s="104">
        <v>7</v>
      </c>
      <c r="P109" s="100">
        <v>227</v>
      </c>
      <c r="T109" s="132" t="s">
        <v>673</v>
      </c>
    </row>
    <row r="110" spans="1:20" x14ac:dyDescent="0.3">
      <c r="A110" s="140" t="s">
        <v>487</v>
      </c>
      <c r="B110" s="93">
        <v>49</v>
      </c>
      <c r="C110" s="147">
        <v>2</v>
      </c>
      <c r="D110" s="93">
        <v>24</v>
      </c>
      <c r="E110" s="147">
        <v>2</v>
      </c>
      <c r="F110" s="93">
        <v>9</v>
      </c>
      <c r="G110" s="91">
        <v>7</v>
      </c>
      <c r="H110" s="93">
        <v>87</v>
      </c>
      <c r="I110" s="91">
        <v>0</v>
      </c>
      <c r="J110" s="93">
        <v>87</v>
      </c>
      <c r="K110" s="91">
        <v>0</v>
      </c>
      <c r="L110" s="98" t="s">
        <v>471</v>
      </c>
      <c r="M110" s="99">
        <v>64</v>
      </c>
      <c r="N110" s="97">
        <v>0.02</v>
      </c>
      <c r="O110" s="104">
        <v>2</v>
      </c>
      <c r="P110" s="100">
        <v>12</v>
      </c>
      <c r="T110" s="132" t="s">
        <v>509</v>
      </c>
    </row>
    <row r="111" spans="1:20" x14ac:dyDescent="0.3">
      <c r="A111" s="140" t="s">
        <v>674</v>
      </c>
      <c r="B111" s="93">
        <v>39</v>
      </c>
      <c r="C111" s="147">
        <v>3</v>
      </c>
      <c r="D111" s="93">
        <v>65</v>
      </c>
      <c r="E111" s="147">
        <v>1</v>
      </c>
      <c r="F111" s="93">
        <v>15</v>
      </c>
      <c r="G111" s="91">
        <v>3</v>
      </c>
      <c r="H111" s="93">
        <v>9</v>
      </c>
      <c r="I111" s="91">
        <v>12</v>
      </c>
      <c r="J111" s="93">
        <v>87</v>
      </c>
      <c r="K111" s="91">
        <v>0</v>
      </c>
      <c r="L111" s="98" t="s">
        <v>471</v>
      </c>
      <c r="M111" s="99">
        <v>64</v>
      </c>
      <c r="N111" s="97">
        <v>0.02</v>
      </c>
      <c r="O111" s="104">
        <v>7</v>
      </c>
      <c r="P111" s="100">
        <v>220</v>
      </c>
      <c r="T111" s="132" t="s">
        <v>675</v>
      </c>
    </row>
    <row r="112" spans="1:20" x14ac:dyDescent="0.3">
      <c r="A112" s="140" t="s">
        <v>676</v>
      </c>
      <c r="B112" s="93">
        <v>4</v>
      </c>
      <c r="C112" s="147">
        <v>3</v>
      </c>
      <c r="D112" s="93">
        <v>57</v>
      </c>
      <c r="E112" s="147">
        <v>2</v>
      </c>
      <c r="F112" s="93">
        <v>65</v>
      </c>
      <c r="G112" s="91">
        <v>3</v>
      </c>
      <c r="H112" s="93">
        <v>75</v>
      </c>
      <c r="I112" s="91">
        <v>8</v>
      </c>
      <c r="J112" s="93">
        <v>9</v>
      </c>
      <c r="K112" s="91">
        <v>32</v>
      </c>
      <c r="L112" s="98" t="s">
        <v>471</v>
      </c>
      <c r="M112" s="99">
        <v>64</v>
      </c>
      <c r="N112" s="97">
        <v>0.03</v>
      </c>
      <c r="O112" s="104">
        <v>2</v>
      </c>
      <c r="P112" s="100">
        <v>15</v>
      </c>
      <c r="T112" s="132" t="s">
        <v>677</v>
      </c>
    </row>
    <row r="113" spans="1:20" x14ac:dyDescent="0.3">
      <c r="A113" s="140" t="s">
        <v>678</v>
      </c>
      <c r="B113" s="93">
        <v>57</v>
      </c>
      <c r="C113" s="147">
        <v>6</v>
      </c>
      <c r="D113" s="93">
        <v>65</v>
      </c>
      <c r="E113" s="147">
        <v>2</v>
      </c>
      <c r="F113" s="93">
        <v>75</v>
      </c>
      <c r="G113" s="91">
        <v>3</v>
      </c>
      <c r="H113" s="93">
        <v>9</v>
      </c>
      <c r="I113" s="91">
        <v>18</v>
      </c>
      <c r="J113" s="93">
        <v>87</v>
      </c>
      <c r="K113" s="91">
        <v>0</v>
      </c>
      <c r="L113" s="98" t="s">
        <v>471</v>
      </c>
      <c r="M113" s="99">
        <v>64</v>
      </c>
      <c r="N113" s="97">
        <v>0.1</v>
      </c>
      <c r="O113" s="104">
        <v>7</v>
      </c>
      <c r="P113" s="100">
        <v>225</v>
      </c>
      <c r="T113" s="132" t="s">
        <v>679</v>
      </c>
    </row>
    <row r="114" spans="1:20" x14ac:dyDescent="0.3">
      <c r="A114" s="140" t="s">
        <v>680</v>
      </c>
      <c r="B114" s="93">
        <v>20</v>
      </c>
      <c r="C114" s="147">
        <v>1</v>
      </c>
      <c r="D114" s="93">
        <v>21</v>
      </c>
      <c r="E114" s="147">
        <v>1</v>
      </c>
      <c r="F114" s="93">
        <v>16</v>
      </c>
      <c r="G114" s="91">
        <v>1</v>
      </c>
      <c r="H114" s="93">
        <v>9</v>
      </c>
      <c r="I114" s="91">
        <v>4</v>
      </c>
      <c r="J114" s="93">
        <v>87</v>
      </c>
      <c r="K114" s="91">
        <v>0</v>
      </c>
      <c r="L114" s="98" t="s">
        <v>471</v>
      </c>
      <c r="M114" s="99">
        <v>64</v>
      </c>
      <c r="N114" s="97">
        <v>5.0000000000000001E-3</v>
      </c>
      <c r="O114" s="104">
        <v>5</v>
      </c>
      <c r="P114" s="100">
        <v>164</v>
      </c>
      <c r="T114" s="132" t="s">
        <v>681</v>
      </c>
    </row>
    <row r="115" spans="1:20" x14ac:dyDescent="0.3">
      <c r="A115" s="140" t="s">
        <v>683</v>
      </c>
      <c r="B115" s="93">
        <v>4</v>
      </c>
      <c r="C115" s="147">
        <v>1</v>
      </c>
      <c r="D115" s="93">
        <v>14</v>
      </c>
      <c r="E115" s="147">
        <v>4</v>
      </c>
      <c r="F115" s="93">
        <v>9</v>
      </c>
      <c r="G115" s="91">
        <v>8</v>
      </c>
      <c r="H115" s="93">
        <v>87</v>
      </c>
      <c r="I115" s="91">
        <v>0</v>
      </c>
      <c r="J115" s="93">
        <v>87</v>
      </c>
      <c r="K115" s="91">
        <v>0</v>
      </c>
      <c r="L115" s="98" t="s">
        <v>471</v>
      </c>
      <c r="M115" s="99">
        <v>64</v>
      </c>
      <c r="N115" s="97">
        <v>0.03</v>
      </c>
      <c r="O115" s="104">
        <v>3</v>
      </c>
      <c r="P115" s="100">
        <v>62</v>
      </c>
      <c r="T115" s="132" t="s">
        <v>684</v>
      </c>
    </row>
    <row r="116" spans="1:20" x14ac:dyDescent="0.3">
      <c r="A116" s="140" t="s">
        <v>685</v>
      </c>
      <c r="B116" s="93">
        <v>57</v>
      </c>
      <c r="C116" s="147">
        <v>2</v>
      </c>
      <c r="D116" s="93">
        <v>13</v>
      </c>
      <c r="E116" s="147">
        <v>1</v>
      </c>
      <c r="F116" s="93">
        <v>15</v>
      </c>
      <c r="G116" s="91">
        <v>2</v>
      </c>
      <c r="H116" s="93">
        <v>9</v>
      </c>
      <c r="I116" s="91">
        <v>7</v>
      </c>
      <c r="J116" s="93">
        <v>87</v>
      </c>
      <c r="K116" s="91">
        <v>0</v>
      </c>
      <c r="L116" s="98" t="s">
        <v>471</v>
      </c>
      <c r="M116" s="99">
        <v>64</v>
      </c>
      <c r="N116" s="97">
        <v>0.05</v>
      </c>
      <c r="O116" s="104">
        <v>2</v>
      </c>
      <c r="P116" s="100">
        <v>15</v>
      </c>
      <c r="T116" s="132" t="s">
        <v>686</v>
      </c>
    </row>
    <row r="117" spans="1:20" x14ac:dyDescent="0.3">
      <c r="A117" s="140" t="s">
        <v>687</v>
      </c>
      <c r="B117" s="93">
        <v>39</v>
      </c>
      <c r="C117" s="147">
        <v>1</v>
      </c>
      <c r="D117" s="93">
        <v>65</v>
      </c>
      <c r="E117" s="147">
        <v>2</v>
      </c>
      <c r="F117" s="93">
        <v>9</v>
      </c>
      <c r="G117" s="91">
        <v>4</v>
      </c>
      <c r="H117" s="93">
        <v>87</v>
      </c>
      <c r="I117" s="91">
        <v>0</v>
      </c>
      <c r="J117" s="93">
        <v>87</v>
      </c>
      <c r="K117" s="91">
        <v>0</v>
      </c>
      <c r="L117" s="98" t="s">
        <v>471</v>
      </c>
      <c r="M117" s="99">
        <v>64</v>
      </c>
      <c r="N117" s="97">
        <v>0.04</v>
      </c>
      <c r="O117" s="104">
        <v>3</v>
      </c>
      <c r="P117" s="100">
        <v>62</v>
      </c>
      <c r="T117" s="132" t="s">
        <v>688</v>
      </c>
    </row>
    <row r="118" spans="1:20" x14ac:dyDescent="0.3">
      <c r="A118" s="140" t="s">
        <v>689</v>
      </c>
      <c r="B118" s="93">
        <v>12</v>
      </c>
      <c r="C118" s="147">
        <v>1</v>
      </c>
      <c r="D118" s="93">
        <v>39</v>
      </c>
      <c r="E118" s="147">
        <v>1</v>
      </c>
      <c r="F118" s="93">
        <v>6</v>
      </c>
      <c r="G118" s="91">
        <v>2</v>
      </c>
      <c r="H118" s="93">
        <v>9</v>
      </c>
      <c r="I118" s="91">
        <v>6</v>
      </c>
      <c r="J118" s="93">
        <v>87</v>
      </c>
      <c r="K118" s="91">
        <v>0</v>
      </c>
      <c r="L118" s="98" t="s">
        <v>471</v>
      </c>
      <c r="M118" s="99">
        <v>64</v>
      </c>
      <c r="N118" s="97">
        <v>5.0000000000000001E-3</v>
      </c>
      <c r="O118" s="104">
        <v>1</v>
      </c>
      <c r="P118" s="100">
        <v>1</v>
      </c>
      <c r="T118" s="132" t="s">
        <v>690</v>
      </c>
    </row>
    <row r="119" spans="1:20" x14ac:dyDescent="0.3">
      <c r="A119" s="140" t="s">
        <v>691</v>
      </c>
      <c r="B119" s="93">
        <v>39</v>
      </c>
      <c r="C119" s="147">
        <v>1</v>
      </c>
      <c r="D119" s="93">
        <v>21</v>
      </c>
      <c r="E119" s="147">
        <v>1</v>
      </c>
      <c r="F119" s="93">
        <v>15</v>
      </c>
      <c r="G119" s="91">
        <v>1</v>
      </c>
      <c r="H119" s="93">
        <v>9</v>
      </c>
      <c r="I119" s="91">
        <v>4</v>
      </c>
      <c r="J119" s="93">
        <v>87</v>
      </c>
      <c r="K119" s="91">
        <v>0</v>
      </c>
      <c r="L119" s="98" t="s">
        <v>471</v>
      </c>
      <c r="M119" s="99">
        <v>64</v>
      </c>
      <c r="N119" s="97">
        <v>0.1</v>
      </c>
      <c r="O119" s="104">
        <v>3</v>
      </c>
      <c r="P119" s="100">
        <v>62</v>
      </c>
      <c r="T119" s="132" t="s">
        <v>692</v>
      </c>
    </row>
    <row r="120" spans="1:20" x14ac:dyDescent="0.3">
      <c r="A120" s="140" t="s">
        <v>693</v>
      </c>
      <c r="B120" s="93">
        <v>4</v>
      </c>
      <c r="C120" s="147">
        <v>2</v>
      </c>
      <c r="D120" s="93">
        <v>31</v>
      </c>
      <c r="E120" s="147">
        <v>1</v>
      </c>
      <c r="F120" s="93">
        <v>23</v>
      </c>
      <c r="G120" s="91">
        <v>3</v>
      </c>
      <c r="H120" s="93">
        <v>9</v>
      </c>
      <c r="I120" s="91">
        <v>8</v>
      </c>
      <c r="J120" s="93">
        <v>87</v>
      </c>
      <c r="K120" s="91">
        <v>0</v>
      </c>
      <c r="L120" s="98" t="s">
        <v>471</v>
      </c>
      <c r="M120" s="99">
        <v>64</v>
      </c>
      <c r="N120" s="97">
        <v>0.08</v>
      </c>
      <c r="O120" s="104">
        <v>7</v>
      </c>
      <c r="P120" s="100">
        <v>212</v>
      </c>
      <c r="T120" s="132" t="s">
        <v>694</v>
      </c>
    </row>
    <row r="121" spans="1:20" x14ac:dyDescent="0.3">
      <c r="A121" s="140" t="s">
        <v>695</v>
      </c>
      <c r="B121" s="93">
        <v>83</v>
      </c>
      <c r="C121" s="147">
        <v>1</v>
      </c>
      <c r="D121" s="93">
        <v>43</v>
      </c>
      <c r="E121" s="147">
        <v>1</v>
      </c>
      <c r="F121" s="93">
        <v>9</v>
      </c>
      <c r="G121" s="91">
        <v>4</v>
      </c>
      <c r="H121" s="93">
        <v>87</v>
      </c>
      <c r="I121" s="91">
        <v>0</v>
      </c>
      <c r="J121" s="93">
        <v>87</v>
      </c>
      <c r="K121" s="91">
        <v>0</v>
      </c>
      <c r="L121" s="98" t="s">
        <v>471</v>
      </c>
      <c r="M121" s="99">
        <v>64</v>
      </c>
      <c r="N121" s="97">
        <v>0.05</v>
      </c>
      <c r="O121" s="104">
        <v>4</v>
      </c>
      <c r="P121" s="100">
        <v>88</v>
      </c>
      <c r="T121" s="132" t="s">
        <v>696</v>
      </c>
    </row>
  </sheetData>
  <phoneticPr fontId="8" type="noConversion"/>
  <conditionalFormatting sqref="A11:A12 A14 A18:A21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31:A1048576 A1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24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hyperlinks>
    <hyperlink ref="T2" r:id="rId1" display="https://doi.org/10.1016/j.chphi.2024.100718" xr:uid="{D6D05D64-C575-463A-BB0A-057388E5F342}"/>
    <hyperlink ref="T3" r:id="rId2" xr:uid="{62B5F21F-49C7-4989-AC4D-7B4F03CC78AE}"/>
    <hyperlink ref="T4" r:id="rId3" xr:uid="{F51EFC02-4A49-4677-8783-B05216E4D9E9}"/>
    <hyperlink ref="T5" r:id="rId4" xr:uid="{C6602DE2-4359-4871-AFE7-3F5B14326757}"/>
    <hyperlink ref="T6" r:id="rId5" xr:uid="{86A4C58C-784E-475D-BCAD-B101BD9CDFA7}"/>
    <hyperlink ref="T7" r:id="rId6" xr:uid="{62CEFD93-0310-4056-9715-82567209DB4A}"/>
    <hyperlink ref="T8" r:id="rId7" xr:uid="{1C31C953-4E30-4D1B-81DC-B85D1624B661}"/>
    <hyperlink ref="T9" r:id="rId8" xr:uid="{DDAC6D90-91FD-47F5-800D-347E336D83CE}"/>
    <hyperlink ref="T10" r:id="rId9" xr:uid="{73368965-AA8B-41A1-A869-8AD71D8439BA}"/>
    <hyperlink ref="T11" r:id="rId10" xr:uid="{D444E384-DAAC-4E2A-843C-02AF68CFFB29}"/>
    <hyperlink ref="T12" r:id="rId11" xr:uid="{CC9AD0B1-AE9F-4367-9235-AB68BAB6C445}"/>
    <hyperlink ref="T13" r:id="rId12" xr:uid="{4AF6DB96-04B2-40D0-AEBB-411F4A33EA4F}"/>
    <hyperlink ref="T15" r:id="rId13" xr:uid="{E870C671-E226-418F-AF7D-38DD43366D16}"/>
    <hyperlink ref="T17" r:id="rId14" xr:uid="{86E7CB27-CD4C-449D-9FF0-6AE880588144}"/>
    <hyperlink ref="T16" r:id="rId15" xr:uid="{9F731992-4F57-4203-8057-E19F3B4537A6}"/>
    <hyperlink ref="T18" r:id="rId16" xr:uid="{CEB76244-B630-4F4A-A43B-7376CED60ADE}"/>
    <hyperlink ref="T19" r:id="rId17" xr:uid="{A1AF5FAE-9EE9-401D-8BCB-DF295604278B}"/>
    <hyperlink ref="T22" r:id="rId18" xr:uid="{16B481DA-7DFF-43B5-9377-358812B114BA}"/>
    <hyperlink ref="T23" r:id="rId19" xr:uid="{1D098A47-DB19-4611-B398-05DF4DE31B7E}"/>
    <hyperlink ref="T24" r:id="rId20" xr:uid="{091EF730-88D8-45DC-94FC-5F86AC320ED2}"/>
    <hyperlink ref="T26" r:id="rId21" xr:uid="{2EACAB77-2796-4CFA-B33B-C973DCE3058B}"/>
    <hyperlink ref="T27" r:id="rId22" xr:uid="{7A8927D8-7CAF-420C-B9CE-AB71AAB2E924}"/>
    <hyperlink ref="T28" r:id="rId23" xr:uid="{59876123-4531-4814-981D-0512EF4B42E7}"/>
    <hyperlink ref="T29" r:id="rId24" xr:uid="{4EF611C2-1969-4BD9-9E42-389BBC86A277}"/>
    <hyperlink ref="T25" r:id="rId25" xr:uid="{5EEF2A38-BE25-4B5A-9FA2-FDA1B7EB2A79}"/>
    <hyperlink ref="T20" r:id="rId26" tooltip="Link persistente usando identificador de objeto digital" xr:uid="{E3B9C521-D8EA-491B-9097-6DE845BD63D8}"/>
    <hyperlink ref="T21" r:id="rId27" tooltip="Link persistente usando identificador de objeto digital" xr:uid="{7A6B1F9B-3230-4E18-BEA3-FD6E14D889F6}"/>
    <hyperlink ref="T31" r:id="rId28" tooltip="Link persistente usando identificador de objeto digital" xr:uid="{5093EFA6-05FF-4076-A769-F0D4FD80CC82}"/>
    <hyperlink ref="T32" r:id="rId29" tooltip="Link persistente usando identificador de objeto digital" xr:uid="{C02B0D0A-32AC-4CB4-82BA-BEB0487B7CAA}"/>
    <hyperlink ref="T33" r:id="rId30" tooltip="Link persistente usando identificador de objeto digital" xr:uid="{5AE58988-691F-4A77-B285-8923D8F513CF}"/>
    <hyperlink ref="T34" r:id="rId31" tooltip="Link persistente usando identificador de objeto digital" xr:uid="{2DB3C5D5-6DDC-4D38-87E2-7A3455AAEE19}"/>
    <hyperlink ref="T35" r:id="rId32" tooltip="Link persistente usando identificador de objeto digital" xr:uid="{604230B4-4243-4B1F-8266-BAD536AAB2E6}"/>
    <hyperlink ref="T36" r:id="rId33" tooltip="Link persistente usando identificador de objeto digital" xr:uid="{ED4A38EC-2A32-48FF-87DF-5F6142E58BB8}"/>
    <hyperlink ref="T37" r:id="rId34" tooltip="Link persistente usando identificador de objeto digital" xr:uid="{5383BCA7-C94B-4354-A931-D605120B4435}"/>
    <hyperlink ref="T38" r:id="rId35" tooltip="Link persistente usando identificador de objeto digital" xr:uid="{2B5B1488-E55A-4572-A38C-1A30A38E9DEA}"/>
    <hyperlink ref="T39" r:id="rId36" tooltip="Link persistente usando identificador de objeto digital" xr:uid="{399DBFC9-2FF6-4354-879D-A74381862C97}"/>
    <hyperlink ref="T40" r:id="rId37" tooltip="Link persistente usando identificador de objeto digital" xr:uid="{7E261055-7FCC-49F7-B02F-ABA4216E07F9}"/>
    <hyperlink ref="T41" r:id="rId38" tooltip="Link persistente usando identificador de objeto digital" xr:uid="{F996FE50-5D48-4E0D-B5F0-428008AC8FC6}"/>
    <hyperlink ref="T42" r:id="rId39" tooltip="Link persistente usando identificador de objeto digital" xr:uid="{8CA6C2CD-ACD4-4218-B0AC-0C6F276C6589}"/>
    <hyperlink ref="T43" r:id="rId40" tooltip="Link persistente usando identificador de objeto digital" xr:uid="{F89CE58A-4DA2-4D2F-851C-3CC3C6BFD25A}"/>
    <hyperlink ref="T44" r:id="rId41" tooltip="Link persistente usando identificador de objeto digital" xr:uid="{F22C00F4-A428-40EE-8B91-B5ED47768406}"/>
    <hyperlink ref="T45" r:id="rId42" tooltip="Link persistente usando identificador de objeto digital" xr:uid="{1D296B6D-FC54-49BA-92AB-D4F26180A393}"/>
    <hyperlink ref="T46" r:id="rId43" tooltip="Link persistente usando identificador de objeto digital" xr:uid="{C4418F3A-5B1A-4185-8959-FD905C28EFDE}"/>
    <hyperlink ref="T47" r:id="rId44" tooltip="Link persistente usando identificador de objeto digital" xr:uid="{B50BC3FF-B01A-41C4-AD53-E5D2BC9B7B3B}"/>
    <hyperlink ref="T48" r:id="rId45" tooltip="Link persistente usando identificador de objeto digital" xr:uid="{CC4452CD-62CE-4713-89D7-A4D42B05D661}"/>
    <hyperlink ref="T49" r:id="rId46" tooltip="Link persistente usando identificador de objeto digital" xr:uid="{40B2A440-84FE-435C-85CF-FAB197994336}"/>
    <hyperlink ref="T50" r:id="rId47" tooltip="Link persistente usando identificador de objeto digital" xr:uid="{BAEC0F53-17EB-4949-9F65-D6B42EA3840E}"/>
    <hyperlink ref="T51" r:id="rId48" tooltip="Persistent link using digital object identifier" xr:uid="{425DDB91-C973-46A0-88C2-69D0ABCF2591}"/>
    <hyperlink ref="T52" r:id="rId49" tooltip="Link persistente usando identificador de objeto digital" xr:uid="{944C1F11-51DE-40BE-B31E-E14BBCAD4DCD}"/>
    <hyperlink ref="T53" r:id="rId50" tooltip="Link persistente usando identificador de objeto digital" xr:uid="{51244A66-1A70-474C-BBA1-F2457F9EBA49}"/>
    <hyperlink ref="T54" r:id="rId51" tooltip="Link persistente usando identificador de objeto digital" xr:uid="{79984DF1-BF94-4A50-8EAF-5B36E9163D22}"/>
    <hyperlink ref="T55" r:id="rId52" tooltip="Link persistente usando identificador de objeto digital" xr:uid="{AF0D4A32-CCF0-4B6D-87AC-4AE0F8C4F744}"/>
    <hyperlink ref="T56" r:id="rId53" tooltip="Link persistente usando identificador de objeto digital" xr:uid="{0A1E9D96-35C9-490A-A848-4CC3872BD720}"/>
    <hyperlink ref="T57" r:id="rId54" tooltip="Link persistente usando identificador de objeto digital" xr:uid="{92D6FAB5-4EB5-4ED4-B712-B322436DC8DE}"/>
    <hyperlink ref="T58" r:id="rId55" tooltip="Link persistente usando identificador de objeto digital" xr:uid="{F5340ACB-B8F8-4A01-9735-C151EF6946C5}"/>
    <hyperlink ref="T59" r:id="rId56" tooltip="Link persistente usando identificador de objeto digital" xr:uid="{942A3309-0BF1-4395-88D6-FBD17F635298}"/>
    <hyperlink ref="T60" r:id="rId57" tooltip="Link persistente usando identificador de objeto digital" xr:uid="{D41B52ED-7178-4147-A77D-219D796CDB0B}"/>
    <hyperlink ref="T61" r:id="rId58" tooltip="Link persistente usando identificador de objeto digital" xr:uid="{3FEC13B9-E745-4770-AC00-D0D62343EBA6}"/>
    <hyperlink ref="T62" r:id="rId59" tooltip="Link persistente usando identificador de objeto digital" xr:uid="{62ED312A-50B0-4366-873C-C1D28CB6118D}"/>
    <hyperlink ref="T63" r:id="rId60" tooltip="Link persistente usando identificador de objeto digital" xr:uid="{B7C5039C-7E34-46F1-B5E0-4770437D4CDE}"/>
    <hyperlink ref="T64" r:id="rId61" tooltip="Link persistente usando identificador de objeto digital" xr:uid="{63519395-7E97-4190-BF9F-8ACC00F2BBBC}"/>
    <hyperlink ref="T65" r:id="rId62" tooltip="Link persistente usando identificador de objeto digital" xr:uid="{6718D6B2-FC07-4E77-A3C4-664E806CBEB6}"/>
    <hyperlink ref="T66" r:id="rId63" tooltip="Link persistente usando identificador de objeto digital" xr:uid="{F6A0CEA6-8D59-4387-8B7C-F85A3F275BF6}"/>
    <hyperlink ref="T67" r:id="rId64" tooltip="Link persistente usando identificador de objeto digital" xr:uid="{73736E61-BC2F-472F-8D4E-71BD95EF7464}"/>
    <hyperlink ref="T68" r:id="rId65" tooltip="Link persistente usando identificador de objeto digital" xr:uid="{160F511D-B976-4F8C-89A3-A35FB39CFBBF}"/>
    <hyperlink ref="T69" r:id="rId66" tooltip="Link persistente usando identificador de objeto digital" xr:uid="{20DC70A0-9640-4579-A415-B0C2E052F48E}"/>
    <hyperlink ref="T70" r:id="rId67" tooltip="Link persistente usando identificador de objeto digital" xr:uid="{A676699B-246D-4464-8112-902C5F6B6522}"/>
    <hyperlink ref="T71" r:id="rId68" tooltip="Link persistente usando identificador de objeto digital" xr:uid="{3A9EE857-A2E6-4708-A2B4-7F37DCAC6B23}"/>
    <hyperlink ref="T72" r:id="rId69" tooltip="Link persistente usando identificador de objeto digital" xr:uid="{EB97CE5D-F229-4C42-BFC1-B032A54D29F9}"/>
    <hyperlink ref="T73" r:id="rId70" tooltip="Link persistente usando identificador de objeto digital" xr:uid="{DC402BB8-8F59-400E-BCAF-60413AD63C05}"/>
    <hyperlink ref="T74" r:id="rId71" tooltip="Link persistente usando identificador de objeto digital" xr:uid="{74325135-78F4-4E89-93BB-A3030FC3885C}"/>
    <hyperlink ref="T75" r:id="rId72" tooltip="Link persistente usando identificador de objeto digital" xr:uid="{4281A579-23FD-4F9F-9A7F-E6E66E8C29B2}"/>
    <hyperlink ref="T77" r:id="rId73" tooltip="Link persistente usando identificador de objeto digital" xr:uid="{730C628F-C5F3-45A3-9AA4-91990B107EEB}"/>
    <hyperlink ref="T78" r:id="rId74" tooltip="Link persistente usando identificador de objeto digital" xr:uid="{5FC5D7C5-B16B-484D-A189-E20B0CA8E4FB}"/>
    <hyperlink ref="T79" r:id="rId75" tooltip="Persistent link using digital object identifier" xr:uid="{78519880-1BF6-4EDA-8691-D6B3D69FD9DE}"/>
    <hyperlink ref="T80" r:id="rId76" tooltip="Persistent link using digital object identifier" xr:uid="{3E2FD6A2-0A87-4125-8DC0-D04A16354B22}"/>
    <hyperlink ref="T81" r:id="rId77" tooltip="Link persistente usando identificador de objeto digital" xr:uid="{3E6CE3E0-0F9D-4AB4-AA4C-D2B724B57157}"/>
    <hyperlink ref="T82" r:id="rId78" tooltip="Link persistente usando identificador de objeto digital" xr:uid="{AEDB971C-7014-456A-BA93-9C9DE681E588}"/>
    <hyperlink ref="T83" r:id="rId79" tooltip="Link persistente usando identificador de objeto digital" xr:uid="{2CBB55B6-16F9-4D48-93A3-666A0CC26F8A}"/>
    <hyperlink ref="T84" r:id="rId80" tooltip="Persistent link using digital object identifier" xr:uid="{827EC1B7-7AAF-4983-A1A3-03C61C93E793}"/>
    <hyperlink ref="T85" r:id="rId81" tooltip="Link persistente usando identificador de objeto digital" xr:uid="{0B9CF4BA-8CE9-4215-855E-648ACDD52D49}"/>
    <hyperlink ref="T87" r:id="rId82" tooltip="Link persistente usando identificador de objeto digital" xr:uid="{5CF7BFBD-50BB-4E7A-BF83-E9EA531096B5}"/>
    <hyperlink ref="T88" r:id="rId83" tooltip="Link persistente usando identificador de objeto digital" xr:uid="{BC26B72E-BDA5-4B19-A156-659BAC808E1C}"/>
    <hyperlink ref="T89" r:id="rId84" tooltip="Link persistente usando identificador de objeto digital" xr:uid="{3FF3F2AA-900D-4624-B814-7F7F4470FA3D}"/>
    <hyperlink ref="T90" r:id="rId85" xr:uid="{9CD3CC60-CD98-4941-9E5E-26C0004F0EC0}"/>
    <hyperlink ref="T91" r:id="rId86" tooltip="Link persistente usando identificador de objeto digital" xr:uid="{1AC4359E-2156-46AB-8562-39CCFDD5B015}"/>
    <hyperlink ref="T92" r:id="rId87" tooltip="Link persistente usando identificador de objeto digital" xr:uid="{EB871FD3-942D-498C-84E7-9BE9560B92D8}"/>
    <hyperlink ref="T93" r:id="rId88" tooltip="Link persistente usando identificador de objeto digital" xr:uid="{C19B332C-743F-4483-BA1B-45C4D553687F}"/>
    <hyperlink ref="T94" r:id="rId89" tooltip="Link persistente usando identificador de objeto digital" xr:uid="{3512B5B5-645F-4D91-84F3-5FAC109F8170}"/>
    <hyperlink ref="T95" r:id="rId90" tooltip="Link persistente usando identificador de objeto digital" xr:uid="{3EF72ED6-458E-4A73-9ABC-AC29203F38B2}"/>
    <hyperlink ref="T96" r:id="rId91" tooltip="Link persistente usando identificador de objeto digital" xr:uid="{CDE548A3-F1D7-40D3-8963-15600C4F1259}"/>
    <hyperlink ref="T97" r:id="rId92" tooltip="Link persistente usando identificador de objeto digital" xr:uid="{534F8AAC-C8B2-4240-844B-172C232FFFF8}"/>
    <hyperlink ref="T98" r:id="rId93" tooltip="Link persistente usando identificador de objeto digital" xr:uid="{1464AB7F-9773-4B9A-A325-C2657F6B9629}"/>
    <hyperlink ref="T99" r:id="rId94" tooltip="Link persistente usando identificador de objeto digital" xr:uid="{A540B89F-7DC0-4774-94AD-74D4F2424182}"/>
    <hyperlink ref="T100" r:id="rId95" tooltip="Link persistente usando identificador de objeto digital" xr:uid="{AD8C79BA-B86E-46A5-8E31-374797CBADB9}"/>
    <hyperlink ref="T101" r:id="rId96" tooltip="Link persistente usando identificador de objeto digital" xr:uid="{C548841F-40B7-4576-8CE6-2E619822A2CF}"/>
    <hyperlink ref="T30" r:id="rId97" tooltip="Link persistente usando identificador de objeto digital" xr:uid="{8C4A7EC3-85A2-4725-A4F3-F2382AB25FC4}"/>
    <hyperlink ref="T102" r:id="rId98" tooltip="Link persistente usando identificador de objeto digital" xr:uid="{E46E2108-3D51-40B5-A264-6EBE7F3AED39}"/>
    <hyperlink ref="T103" r:id="rId99" tooltip="Link persistente usando identificador de objeto digital" xr:uid="{A2F36F4E-DA05-4153-967A-DCFD32CEAE31}"/>
    <hyperlink ref="T104" r:id="rId100" tooltip="Link persistente usando identificador de objeto digital" xr:uid="{E99C9320-5183-4693-9878-D077BACCA028}"/>
    <hyperlink ref="T105" r:id="rId101" tooltip="Link persistente usando identificador de objeto digital" xr:uid="{1A8159D9-D867-4CF5-960C-25EDB5DA4781}"/>
    <hyperlink ref="T106" r:id="rId102" tooltip="Link persistente usando identificador de objeto digital" xr:uid="{E3F23B55-0903-4E13-A9D8-071561DA536D}"/>
    <hyperlink ref="T107" r:id="rId103" tooltip="Link persistente usando identificador de objeto digital" xr:uid="{CD453576-F154-45AA-9FAC-027FC3C06363}"/>
    <hyperlink ref="T108" r:id="rId104" tooltip="Link persistente usando identificador de objeto digital" xr:uid="{0A9120B9-D0CF-42E1-BFB8-BE18FBDF3933}"/>
    <hyperlink ref="T109" r:id="rId105" tooltip="Link persistente usando identificador de objeto digital" xr:uid="{B1640642-7194-4326-B968-54E2447B9FC8}"/>
    <hyperlink ref="T110" r:id="rId106" tooltip="Link persistente usando identificador de objeto digital" xr:uid="{526C8E8B-4669-4D00-A822-B80688056494}"/>
    <hyperlink ref="T111" r:id="rId107" tooltip="Link persistente usando identificador de objeto digital" xr:uid="{AE7A35CD-96AA-4189-8CE5-7E36699C57F8}"/>
    <hyperlink ref="T112" r:id="rId108" tooltip="Link persistente usando identificador de objeto digital" xr:uid="{DC9D3C03-08BD-46C8-8C7E-79FD23B8D588}"/>
    <hyperlink ref="T113" r:id="rId109" tooltip="Link persistente usando identificador de objeto digital" xr:uid="{B368322A-07FD-4E26-AB03-1F6AB918D6FF}"/>
    <hyperlink ref="T114" r:id="rId110" tooltip="Link persistente usando identificador de objeto digital" xr:uid="{2D08189B-6104-4FE3-B71C-8A13CAF0B79A}"/>
    <hyperlink ref="T86" r:id="rId111" tooltip="Link persistente usando identificador de objeto digital" xr:uid="{BA2B979E-83FD-45F5-B10E-67D91B877141}"/>
    <hyperlink ref="T115" r:id="rId112" tooltip="Link persistente usando identificador de objeto digital" xr:uid="{463A07C8-81E0-4957-BA79-101D28D8855A}"/>
    <hyperlink ref="T116" r:id="rId113" tooltip="Link persistente usando identificador de objeto digital" xr:uid="{9D2341D5-8014-45E9-AC1A-771669812F59}"/>
    <hyperlink ref="T117" r:id="rId114" tooltip="Link persistente usando identificador de objeto digital" xr:uid="{7B78C42E-7F47-41C8-B5A4-9F377FC7AC4E}"/>
    <hyperlink ref="T118" r:id="rId115" tooltip="Link persistente usando identificador de objeto digital" xr:uid="{E7C8E9DA-9F18-4AD2-9D22-5BFAE5F44711}"/>
    <hyperlink ref="T119" r:id="rId116" tooltip="Link persistente usando identificador de objeto digital" xr:uid="{AE0440AC-6435-4F7B-812A-CDBD20AB6819}"/>
    <hyperlink ref="T120" r:id="rId117" tooltip="Persistent link using digital object identifier" xr:uid="{CF119120-4112-4148-AEA5-9437A160B5A1}"/>
    <hyperlink ref="T121" r:id="rId118" tooltip="Link persistente usando identificador de objeto digital" xr:uid="{C71F90FF-0D7D-4C6C-9969-43A95D30DD71}"/>
  </hyperlinks>
  <pageMargins left="0.511811024" right="0.511811024" top="0.78740157499999996" bottom="0.78740157499999996" header="0.31496062000000002" footer="0.31496062000000002"/>
  <pageSetup paperSize="9" orientation="portrait" r:id="rId11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B90"/>
  <sheetViews>
    <sheetView zoomScale="98" zoomScaleNormal="98" workbookViewId="0">
      <pane xSplit="1" topLeftCell="B1" activePane="topRight" state="frozen"/>
      <selection pane="topRight" activeCell="G89" sqref="G89"/>
    </sheetView>
  </sheetViews>
  <sheetFormatPr defaultColWidth="9.21875" defaultRowHeight="14.4" x14ac:dyDescent="0.3"/>
  <cols>
    <col min="1" max="1" width="7" style="3" customWidth="1"/>
    <col min="2" max="2" width="19.33203125" customWidth="1"/>
    <col min="4" max="4" width="8.77734375" style="5"/>
    <col min="5" max="7" width="8.77734375"/>
    <col min="8" max="9" width="11.88671875" customWidth="1"/>
    <col min="10" max="10" width="8.77734375"/>
    <col min="11" max="11" width="9.6640625" customWidth="1"/>
    <col min="12" max="28" width="8.77734375"/>
    <col min="29" max="29" width="9.21875" style="1"/>
    <col min="30" max="34" width="8.77734375"/>
    <col min="36" max="38" width="8.77734375"/>
    <col min="39" max="51" width="9.21875" style="1"/>
    <col min="76" max="76" width="8.77734375" customWidth="1"/>
  </cols>
  <sheetData>
    <row r="1" spans="1:80" s="2" customFormat="1" ht="59.55" customHeight="1" x14ac:dyDescent="0.3">
      <c r="A1" s="6" t="s">
        <v>0</v>
      </c>
      <c r="B1" s="7" t="s">
        <v>171</v>
      </c>
      <c r="C1" s="7" t="s">
        <v>172</v>
      </c>
      <c r="D1" s="7" t="s">
        <v>173</v>
      </c>
      <c r="E1" s="6" t="s">
        <v>174</v>
      </c>
      <c r="F1" s="6" t="s">
        <v>175</v>
      </c>
      <c r="G1" s="4" t="s">
        <v>178</v>
      </c>
      <c r="H1" s="4" t="s">
        <v>177</v>
      </c>
      <c r="I1" s="7" t="s">
        <v>238</v>
      </c>
      <c r="J1" s="6" t="s">
        <v>176</v>
      </c>
      <c r="K1" s="7" t="s">
        <v>244</v>
      </c>
      <c r="L1" s="7" t="s">
        <v>245</v>
      </c>
      <c r="M1" s="7" t="s">
        <v>246</v>
      </c>
      <c r="N1" s="7" t="s">
        <v>247</v>
      </c>
      <c r="O1" s="9" t="s">
        <v>248</v>
      </c>
      <c r="P1" s="9" t="s">
        <v>249</v>
      </c>
      <c r="Q1" s="9" t="s">
        <v>250</v>
      </c>
      <c r="R1" s="9" t="s">
        <v>182</v>
      </c>
      <c r="S1" s="7" t="s">
        <v>180</v>
      </c>
      <c r="T1" s="7" t="s">
        <v>183</v>
      </c>
      <c r="U1" s="7" t="s">
        <v>181</v>
      </c>
      <c r="V1" s="9" t="s">
        <v>235</v>
      </c>
      <c r="W1" s="7" t="s">
        <v>179</v>
      </c>
      <c r="X1" s="10" t="s">
        <v>184</v>
      </c>
      <c r="Y1" s="11" t="s">
        <v>185</v>
      </c>
      <c r="Z1" s="7" t="s">
        <v>186</v>
      </c>
      <c r="AA1" s="11" t="s">
        <v>187</v>
      </c>
      <c r="AB1" s="11" t="s">
        <v>192</v>
      </c>
      <c r="AC1" s="12" t="s">
        <v>195</v>
      </c>
      <c r="AD1" s="7" t="s">
        <v>188</v>
      </c>
      <c r="AE1" s="7" t="s">
        <v>189</v>
      </c>
      <c r="AF1" s="7" t="s">
        <v>190</v>
      </c>
      <c r="AG1" s="11" t="s">
        <v>191</v>
      </c>
      <c r="AH1" s="7" t="s">
        <v>194</v>
      </c>
      <c r="AI1" s="11" t="s">
        <v>196</v>
      </c>
      <c r="AJ1" s="11" t="s">
        <v>197</v>
      </c>
      <c r="AK1" s="7" t="s">
        <v>198</v>
      </c>
      <c r="AL1" s="11" t="s">
        <v>199</v>
      </c>
      <c r="AM1" s="36" t="s">
        <v>200</v>
      </c>
      <c r="AN1" s="36" t="s">
        <v>201</v>
      </c>
      <c r="AO1" s="36" t="s">
        <v>202</v>
      </c>
      <c r="AP1" s="13" t="s">
        <v>203</v>
      </c>
      <c r="AQ1" s="13" t="s">
        <v>204</v>
      </c>
      <c r="AR1" s="13" t="s">
        <v>205</v>
      </c>
      <c r="AS1" s="36" t="s">
        <v>206</v>
      </c>
      <c r="AT1" s="36" t="s">
        <v>207</v>
      </c>
      <c r="AU1" s="13" t="s">
        <v>208</v>
      </c>
      <c r="AV1" s="13" t="s">
        <v>209</v>
      </c>
      <c r="AW1" s="13" t="s">
        <v>210</v>
      </c>
      <c r="AX1" s="13" t="s">
        <v>236</v>
      </c>
      <c r="AY1" s="13" t="s">
        <v>237</v>
      </c>
      <c r="AZ1" s="7" t="s">
        <v>211</v>
      </c>
      <c r="BA1" s="7" t="s">
        <v>212</v>
      </c>
      <c r="BB1" s="7" t="s">
        <v>213</v>
      </c>
      <c r="BC1" s="7" t="s">
        <v>214</v>
      </c>
      <c r="BD1" s="7" t="s">
        <v>215</v>
      </c>
      <c r="BE1" s="7" t="s">
        <v>216</v>
      </c>
      <c r="BF1" s="14" t="s">
        <v>217</v>
      </c>
      <c r="BG1" s="14" t="s">
        <v>218</v>
      </c>
      <c r="BH1" s="7" t="s">
        <v>219</v>
      </c>
      <c r="BI1" s="14" t="s">
        <v>220</v>
      </c>
      <c r="BJ1" s="7" t="s">
        <v>221</v>
      </c>
      <c r="BK1" s="14" t="s">
        <v>222</v>
      </c>
      <c r="BL1" s="14" t="s">
        <v>223</v>
      </c>
      <c r="BM1" s="14" t="s">
        <v>224</v>
      </c>
      <c r="BN1" s="14" t="s">
        <v>225</v>
      </c>
      <c r="BO1" s="14" t="s">
        <v>226</v>
      </c>
      <c r="BP1" s="14" t="s">
        <v>227</v>
      </c>
      <c r="BQ1" s="14" t="s">
        <v>228</v>
      </c>
      <c r="BR1" s="8" t="s">
        <v>229</v>
      </c>
      <c r="BS1" s="8" t="s">
        <v>230</v>
      </c>
      <c r="BT1" s="8" t="s">
        <v>231</v>
      </c>
      <c r="BU1" s="8" t="s">
        <v>232</v>
      </c>
      <c r="BV1" s="8" t="s">
        <v>233</v>
      </c>
      <c r="BW1" s="8" t="s">
        <v>234</v>
      </c>
      <c r="BX1" s="7" t="s">
        <v>239</v>
      </c>
      <c r="BY1" s="7" t="s">
        <v>240</v>
      </c>
      <c r="BZ1" s="7" t="s">
        <v>242</v>
      </c>
      <c r="CA1" s="7" t="s">
        <v>243</v>
      </c>
      <c r="CB1" s="7" t="s">
        <v>241</v>
      </c>
    </row>
    <row r="2" spans="1:80" ht="17.399999999999999" x14ac:dyDescent="0.3">
      <c r="A2" s="15" t="s">
        <v>2</v>
      </c>
      <c r="B2" s="16" t="s">
        <v>1</v>
      </c>
      <c r="C2" s="35">
        <v>1.0079400000000001</v>
      </c>
      <c r="D2" s="28">
        <v>1</v>
      </c>
      <c r="E2" s="28">
        <v>1</v>
      </c>
      <c r="F2" s="28">
        <v>1</v>
      </c>
      <c r="G2" s="18">
        <v>0</v>
      </c>
      <c r="H2" s="17">
        <v>3</v>
      </c>
      <c r="I2" s="28">
        <v>92</v>
      </c>
      <c r="J2" s="28">
        <v>7</v>
      </c>
      <c r="K2" s="28">
        <v>1</v>
      </c>
      <c r="L2" s="28">
        <v>0</v>
      </c>
      <c r="M2" s="28">
        <v>0</v>
      </c>
      <c r="N2" s="28">
        <v>0</v>
      </c>
      <c r="O2" s="19">
        <v>1</v>
      </c>
      <c r="P2" s="19">
        <v>6</v>
      </c>
      <c r="Q2" s="19">
        <v>10</v>
      </c>
      <c r="R2" s="19">
        <v>14</v>
      </c>
      <c r="S2" s="28">
        <v>1</v>
      </c>
      <c r="T2" s="28">
        <v>1</v>
      </c>
      <c r="U2" s="28">
        <v>1</v>
      </c>
      <c r="V2" s="20" t="s">
        <v>193</v>
      </c>
      <c r="W2" s="28">
        <v>0</v>
      </c>
      <c r="X2" s="21">
        <v>1</v>
      </c>
      <c r="Y2" s="21">
        <v>0.52900000000000003</v>
      </c>
      <c r="Z2" s="35">
        <v>13.5984</v>
      </c>
      <c r="AA2" s="21">
        <v>0.7566182926829268</v>
      </c>
      <c r="AB2" s="22">
        <v>7.18</v>
      </c>
      <c r="AC2" s="21">
        <v>7.1862000000000004</v>
      </c>
      <c r="AD2" s="28">
        <v>2.2000000000000002</v>
      </c>
      <c r="AE2" s="28">
        <v>2.1</v>
      </c>
      <c r="AF2" s="28">
        <v>7.18</v>
      </c>
      <c r="AG2" s="22">
        <v>2.2000000000000002</v>
      </c>
      <c r="AH2" s="28">
        <v>2.2999999999999998</v>
      </c>
      <c r="AI2" s="22">
        <v>2.27</v>
      </c>
      <c r="AJ2" s="20" t="s">
        <v>193</v>
      </c>
      <c r="AK2" s="28">
        <v>2.13</v>
      </c>
      <c r="AL2" s="22">
        <v>8.2200000000000006</v>
      </c>
      <c r="AM2" s="35">
        <v>0.53</v>
      </c>
      <c r="AN2" s="35">
        <v>0.37</v>
      </c>
      <c r="AO2" s="35">
        <v>0.11</v>
      </c>
      <c r="AP2" s="23">
        <v>0.1</v>
      </c>
      <c r="AQ2" s="24">
        <v>0.51</v>
      </c>
      <c r="AR2" s="23">
        <v>1.2</v>
      </c>
      <c r="AS2" s="35">
        <v>1.25</v>
      </c>
      <c r="AT2" s="35">
        <v>0.1</v>
      </c>
      <c r="AU2" s="23">
        <v>0.31</v>
      </c>
      <c r="AV2" s="23">
        <v>0.25</v>
      </c>
      <c r="AW2" s="23">
        <v>0.52900000000000003</v>
      </c>
      <c r="AX2" s="25" t="s">
        <v>193</v>
      </c>
      <c r="AY2" s="25" t="s">
        <v>193</v>
      </c>
      <c r="AZ2" s="28">
        <v>0.7</v>
      </c>
      <c r="BA2" s="28">
        <v>14.049999999999955</v>
      </c>
      <c r="BB2" s="28">
        <v>20.249999999999972</v>
      </c>
      <c r="BC2" s="28">
        <v>8.9899999999999994E-2</v>
      </c>
      <c r="BD2" s="28">
        <v>14.304</v>
      </c>
      <c r="BE2" s="28">
        <v>0.58679999999999999</v>
      </c>
      <c r="BF2" s="26">
        <v>0.44935999999999998</v>
      </c>
      <c r="BG2" s="26">
        <v>218</v>
      </c>
      <c r="BH2" s="28">
        <v>0.18149999999999999</v>
      </c>
      <c r="BI2" s="20" t="s">
        <v>193</v>
      </c>
      <c r="BJ2" s="28" t="s">
        <v>193</v>
      </c>
      <c r="BK2" s="26">
        <v>0.2</v>
      </c>
      <c r="BL2" s="20" t="s">
        <v>193</v>
      </c>
      <c r="BM2" s="20" t="s">
        <v>193</v>
      </c>
      <c r="BN2" s="20" t="s">
        <v>193</v>
      </c>
      <c r="BO2" s="20" t="s">
        <v>193</v>
      </c>
      <c r="BP2" s="20" t="s">
        <v>193</v>
      </c>
      <c r="BQ2" s="20" t="s">
        <v>193</v>
      </c>
      <c r="BR2" s="27">
        <v>0.33200000000000002</v>
      </c>
      <c r="BS2" s="27">
        <v>1.0999999999999999E-2</v>
      </c>
      <c r="BT2" s="27">
        <v>7</v>
      </c>
      <c r="BU2" s="27">
        <v>2</v>
      </c>
      <c r="BV2" s="27">
        <v>0.2857142857142857</v>
      </c>
      <c r="BW2" s="27">
        <v>1</v>
      </c>
      <c r="BX2" s="28">
        <v>1.4292853098168835E-3</v>
      </c>
      <c r="BY2" s="28">
        <v>0.90985095001048077</v>
      </c>
      <c r="BZ2" s="29" t="s">
        <v>193</v>
      </c>
      <c r="CA2" s="29" t="s">
        <v>193</v>
      </c>
      <c r="CB2" s="28">
        <v>12</v>
      </c>
    </row>
    <row r="3" spans="1:80" ht="17.399999999999999" x14ac:dyDescent="0.3">
      <c r="A3" s="15" t="s">
        <v>4</v>
      </c>
      <c r="B3" s="16" t="s">
        <v>3</v>
      </c>
      <c r="C3" s="35">
        <v>4.0026020000000004</v>
      </c>
      <c r="D3" s="28">
        <v>2</v>
      </c>
      <c r="E3" s="28">
        <v>1</v>
      </c>
      <c r="F3" s="28">
        <v>18</v>
      </c>
      <c r="G3" s="18">
        <v>0</v>
      </c>
      <c r="H3" s="17">
        <v>3</v>
      </c>
      <c r="I3" s="28">
        <v>98</v>
      </c>
      <c r="J3" s="28">
        <v>9</v>
      </c>
      <c r="K3" s="28">
        <v>2</v>
      </c>
      <c r="L3" s="28">
        <v>0</v>
      </c>
      <c r="M3" s="28">
        <v>0</v>
      </c>
      <c r="N3" s="28">
        <v>0</v>
      </c>
      <c r="O3" s="19">
        <v>0</v>
      </c>
      <c r="P3" s="19">
        <v>6</v>
      </c>
      <c r="Q3" s="19">
        <v>10</v>
      </c>
      <c r="R3" s="19">
        <v>14</v>
      </c>
      <c r="S3" s="28">
        <v>2</v>
      </c>
      <c r="T3" s="28">
        <v>2</v>
      </c>
      <c r="U3" s="28">
        <v>2</v>
      </c>
      <c r="V3" s="20" t="s">
        <v>193</v>
      </c>
      <c r="W3" s="28">
        <v>0</v>
      </c>
      <c r="X3" s="21">
        <v>1.3440000000000001</v>
      </c>
      <c r="Y3" s="21">
        <v>0.39400000000000002</v>
      </c>
      <c r="Z3" s="35">
        <v>24.587399999999999</v>
      </c>
      <c r="AA3" s="21">
        <v>-0.51828414839797643</v>
      </c>
      <c r="AB3" s="20" t="s">
        <v>193</v>
      </c>
      <c r="AC3" s="21">
        <v>12.056800000000001</v>
      </c>
      <c r="AD3" s="28" t="s">
        <v>193</v>
      </c>
      <c r="AE3" s="28" t="s">
        <v>193</v>
      </c>
      <c r="AF3" s="28" t="s">
        <v>193</v>
      </c>
      <c r="AG3" s="20" t="s">
        <v>193</v>
      </c>
      <c r="AH3" s="28">
        <v>4.16</v>
      </c>
      <c r="AI3" s="22">
        <v>3.92</v>
      </c>
      <c r="AJ3" s="20" t="s">
        <v>193</v>
      </c>
      <c r="AK3" s="28" t="s">
        <v>193</v>
      </c>
      <c r="AL3" s="22">
        <v>40.4</v>
      </c>
      <c r="AM3" s="35">
        <v>0.31</v>
      </c>
      <c r="AN3" s="35">
        <v>0.32</v>
      </c>
      <c r="AO3" s="35">
        <v>0.57999999999999996</v>
      </c>
      <c r="AP3" s="24">
        <v>0.56000000000000005</v>
      </c>
      <c r="AQ3" s="24">
        <v>1.19</v>
      </c>
      <c r="AR3" s="23">
        <v>1.4</v>
      </c>
      <c r="AS3" s="35">
        <v>1.69</v>
      </c>
      <c r="AT3" s="35">
        <v>0.56999999999999995</v>
      </c>
      <c r="AU3" s="23">
        <v>0.28000000000000003</v>
      </c>
      <c r="AV3" s="23">
        <v>0.31</v>
      </c>
      <c r="AW3" s="23">
        <v>0.29100000000000004</v>
      </c>
      <c r="AX3" s="25" t="s">
        <v>193</v>
      </c>
      <c r="AY3" s="25" t="s">
        <v>193</v>
      </c>
      <c r="AZ3" s="28">
        <v>0.19800000000000001</v>
      </c>
      <c r="BA3" s="28">
        <v>0.94999999999998863</v>
      </c>
      <c r="BB3" s="28">
        <v>4.25</v>
      </c>
      <c r="BC3" s="28">
        <v>0.17849999999999999</v>
      </c>
      <c r="BD3" s="28">
        <v>5.1929999999999996</v>
      </c>
      <c r="BE3" s="28">
        <v>0.02</v>
      </c>
      <c r="BF3" s="26">
        <v>8.4500000000000006E-2</v>
      </c>
      <c r="BG3" s="26">
        <v>0</v>
      </c>
      <c r="BH3" s="28">
        <v>0.152</v>
      </c>
      <c r="BI3" s="20" t="s">
        <v>193</v>
      </c>
      <c r="BJ3" s="28" t="s">
        <v>193</v>
      </c>
      <c r="BK3" s="20" t="s">
        <v>193</v>
      </c>
      <c r="BL3" s="20" t="s">
        <v>193</v>
      </c>
      <c r="BM3" s="20" t="s">
        <v>193</v>
      </c>
      <c r="BN3" s="20" t="s">
        <v>193</v>
      </c>
      <c r="BO3" s="20" t="s">
        <v>193</v>
      </c>
      <c r="BP3" s="20" t="s">
        <v>193</v>
      </c>
      <c r="BQ3" s="20" t="s">
        <v>193</v>
      </c>
      <c r="BR3" s="27">
        <v>7.0000000000000001E-3</v>
      </c>
      <c r="BS3" s="27">
        <v>1.0000000000000001E-5</v>
      </c>
      <c r="BT3" s="27">
        <v>9</v>
      </c>
      <c r="BU3" s="27">
        <v>2</v>
      </c>
      <c r="BV3" s="27">
        <v>0.22222222222222221</v>
      </c>
      <c r="BW3" s="27">
        <v>1</v>
      </c>
      <c r="BX3" s="28">
        <v>8.1673446275250489E-9</v>
      </c>
      <c r="BY3" s="28">
        <v>8.8702314839731497E-2</v>
      </c>
      <c r="BZ3" s="29" t="s">
        <v>193</v>
      </c>
      <c r="CA3" s="29" t="s">
        <v>193</v>
      </c>
      <c r="CB3" s="28">
        <v>5.2</v>
      </c>
    </row>
    <row r="4" spans="1:80" ht="17.399999999999999" x14ac:dyDescent="0.3">
      <c r="A4" s="15" t="s">
        <v>6</v>
      </c>
      <c r="B4" s="16" t="s">
        <v>5</v>
      </c>
      <c r="C4" s="35">
        <v>6.9409999999999998</v>
      </c>
      <c r="D4" s="28">
        <v>3</v>
      </c>
      <c r="E4" s="28">
        <v>2</v>
      </c>
      <c r="F4" s="28">
        <v>1</v>
      </c>
      <c r="G4" s="18">
        <v>0</v>
      </c>
      <c r="H4" s="17">
        <v>1</v>
      </c>
      <c r="I4" s="28">
        <v>1</v>
      </c>
      <c r="J4" s="28">
        <v>1</v>
      </c>
      <c r="K4" s="28">
        <v>1</v>
      </c>
      <c r="L4" s="28">
        <v>0</v>
      </c>
      <c r="M4" s="28">
        <v>0</v>
      </c>
      <c r="N4" s="28">
        <v>0</v>
      </c>
      <c r="O4" s="19">
        <v>1</v>
      </c>
      <c r="P4" s="19">
        <v>6</v>
      </c>
      <c r="Q4" s="19">
        <v>10</v>
      </c>
      <c r="R4" s="19">
        <v>14</v>
      </c>
      <c r="S4" s="28">
        <v>1</v>
      </c>
      <c r="T4" s="28">
        <v>1</v>
      </c>
      <c r="U4" s="28">
        <v>1</v>
      </c>
      <c r="V4" s="19">
        <v>1</v>
      </c>
      <c r="W4" s="28">
        <v>1</v>
      </c>
      <c r="X4" s="21">
        <v>1.2589999999999999</v>
      </c>
      <c r="Y4" s="21">
        <v>1.681</v>
      </c>
      <c r="Z4" s="35">
        <v>5.3917000000000002</v>
      </c>
      <c r="AA4" s="21">
        <v>0.62211923076923081</v>
      </c>
      <c r="AB4" s="22">
        <v>3.01</v>
      </c>
      <c r="AC4" s="21">
        <v>2.4434999999999998</v>
      </c>
      <c r="AD4" s="28">
        <v>0.98</v>
      </c>
      <c r="AE4" s="28">
        <v>0.9</v>
      </c>
      <c r="AF4" s="28">
        <v>3.01</v>
      </c>
      <c r="AG4" s="22">
        <v>0.98</v>
      </c>
      <c r="AH4" s="28">
        <v>0.91200000000000003</v>
      </c>
      <c r="AI4" s="22">
        <v>0.94</v>
      </c>
      <c r="AJ4" s="22">
        <v>3.02</v>
      </c>
      <c r="AK4" s="28">
        <v>0.95</v>
      </c>
      <c r="AL4" s="22">
        <v>1.1299999999999999</v>
      </c>
      <c r="AM4" s="35">
        <v>1.67</v>
      </c>
      <c r="AN4" s="35">
        <v>1.34</v>
      </c>
      <c r="AO4" s="35">
        <v>0.9</v>
      </c>
      <c r="AP4" s="23">
        <v>0.76</v>
      </c>
      <c r="AQ4" s="23">
        <v>1.52</v>
      </c>
      <c r="AR4" s="23">
        <v>1.82</v>
      </c>
      <c r="AS4" s="35">
        <v>1.61</v>
      </c>
      <c r="AT4" s="35">
        <v>0.9</v>
      </c>
      <c r="AU4" s="23">
        <v>1.28</v>
      </c>
      <c r="AV4" s="23">
        <v>1.45</v>
      </c>
      <c r="AW4" s="23">
        <v>1.5859999999999999</v>
      </c>
      <c r="AX4" s="23">
        <v>1.5489999999999999</v>
      </c>
      <c r="AY4" s="23">
        <v>1.2250000000000001</v>
      </c>
      <c r="AZ4" s="28">
        <v>24.3</v>
      </c>
      <c r="BA4" s="28">
        <v>453.65</v>
      </c>
      <c r="BB4" s="28">
        <v>1615.15</v>
      </c>
      <c r="BC4" s="28">
        <v>0.53500000000000003</v>
      </c>
      <c r="BD4" s="28">
        <v>3.6</v>
      </c>
      <c r="BE4" s="28">
        <v>3</v>
      </c>
      <c r="BF4" s="26">
        <v>145.91999999999999</v>
      </c>
      <c r="BG4" s="26">
        <v>161</v>
      </c>
      <c r="BH4" s="28">
        <v>84.7</v>
      </c>
      <c r="BI4" s="26">
        <v>4.6E-5</v>
      </c>
      <c r="BJ4" s="28">
        <v>1.63</v>
      </c>
      <c r="BK4" s="26">
        <v>11.6</v>
      </c>
      <c r="BL4" s="26">
        <v>4.2</v>
      </c>
      <c r="BM4" s="26">
        <v>4.9000000000000004</v>
      </c>
      <c r="BN4" s="20" t="s">
        <v>193</v>
      </c>
      <c r="BO4" s="26">
        <v>5.0000000000000001E-3</v>
      </c>
      <c r="BP4" s="26">
        <v>9.4000000000020006E-8</v>
      </c>
      <c r="BQ4" s="26">
        <v>11000000</v>
      </c>
      <c r="BR4" s="27">
        <v>71</v>
      </c>
      <c r="BS4" s="20" t="s">
        <v>193</v>
      </c>
      <c r="BT4" s="27">
        <v>10</v>
      </c>
      <c r="BU4" s="27">
        <v>2</v>
      </c>
      <c r="BV4" s="27">
        <v>0.2</v>
      </c>
      <c r="BW4" s="27">
        <v>1</v>
      </c>
      <c r="BX4" s="28">
        <v>2.041836156881262E-5</v>
      </c>
      <c r="BY4" s="28">
        <v>1.862096388731128E-9</v>
      </c>
      <c r="BZ4" s="30">
        <v>2850</v>
      </c>
      <c r="CA4" s="30">
        <v>4180</v>
      </c>
      <c r="CB4" s="28">
        <v>27</v>
      </c>
    </row>
    <row r="5" spans="1:80" ht="17.399999999999999" x14ac:dyDescent="0.3">
      <c r="A5" s="15" t="s">
        <v>8</v>
      </c>
      <c r="B5" s="16" t="s">
        <v>7</v>
      </c>
      <c r="C5" s="35">
        <v>9.0121800000000007</v>
      </c>
      <c r="D5" s="28">
        <v>4</v>
      </c>
      <c r="E5" s="28">
        <v>2</v>
      </c>
      <c r="F5" s="28">
        <v>2</v>
      </c>
      <c r="G5" s="18">
        <v>0</v>
      </c>
      <c r="H5" s="17">
        <v>1</v>
      </c>
      <c r="I5" s="28">
        <v>67</v>
      </c>
      <c r="J5" s="28">
        <v>2</v>
      </c>
      <c r="K5" s="28">
        <v>2</v>
      </c>
      <c r="L5" s="28">
        <v>0</v>
      </c>
      <c r="M5" s="28">
        <v>0</v>
      </c>
      <c r="N5" s="28">
        <v>0</v>
      </c>
      <c r="O5" s="19">
        <v>0</v>
      </c>
      <c r="P5" s="19">
        <v>6</v>
      </c>
      <c r="Q5" s="19">
        <v>10</v>
      </c>
      <c r="R5" s="19">
        <v>14</v>
      </c>
      <c r="S5" s="28">
        <v>2</v>
      </c>
      <c r="T5" s="28">
        <v>2</v>
      </c>
      <c r="U5" s="28">
        <v>2</v>
      </c>
      <c r="V5" s="19">
        <v>2</v>
      </c>
      <c r="W5" s="28">
        <v>2</v>
      </c>
      <c r="X5" s="21">
        <v>1.6559999999999999</v>
      </c>
      <c r="Y5" s="21">
        <v>1.278</v>
      </c>
      <c r="Z5" s="35">
        <v>9.3226999999999993</v>
      </c>
      <c r="AA5" s="21">
        <v>-0.51850389321468293</v>
      </c>
      <c r="AB5" s="22">
        <v>4.9000000000000004</v>
      </c>
      <c r="AC5" s="21">
        <v>3.706</v>
      </c>
      <c r="AD5" s="28">
        <v>1.57</v>
      </c>
      <c r="AE5" s="28">
        <v>1.45</v>
      </c>
      <c r="AF5" s="28">
        <v>4.9000000000000004</v>
      </c>
      <c r="AG5" s="22">
        <v>1.57</v>
      </c>
      <c r="AH5" s="28">
        <v>1.5760000000000001</v>
      </c>
      <c r="AI5" s="22">
        <v>1.55</v>
      </c>
      <c r="AJ5" s="22">
        <v>3.4</v>
      </c>
      <c r="AK5" s="28">
        <v>1.45</v>
      </c>
      <c r="AL5" s="22">
        <v>3.81</v>
      </c>
      <c r="AM5" s="35">
        <v>1.1200000000000001</v>
      </c>
      <c r="AN5" s="35">
        <v>0.9</v>
      </c>
      <c r="AO5" s="35">
        <v>0.59</v>
      </c>
      <c r="AP5" s="23">
        <v>0.45</v>
      </c>
      <c r="AQ5" s="23">
        <v>1.1200000000000001</v>
      </c>
      <c r="AR5" s="23">
        <v>1.53</v>
      </c>
      <c r="AS5" s="35">
        <v>1.08</v>
      </c>
      <c r="AT5" s="35">
        <v>0.41</v>
      </c>
      <c r="AU5" s="23">
        <v>0.96</v>
      </c>
      <c r="AV5" s="23">
        <v>1.05</v>
      </c>
      <c r="AW5" s="23">
        <v>1.04</v>
      </c>
      <c r="AX5" s="23">
        <v>1.123</v>
      </c>
      <c r="AY5" s="23">
        <v>0.88900000000000001</v>
      </c>
      <c r="AZ5" s="28">
        <v>5.6</v>
      </c>
      <c r="BA5" s="28">
        <v>1551.15</v>
      </c>
      <c r="BB5" s="28">
        <v>3243.15</v>
      </c>
      <c r="BC5" s="28">
        <v>1.85</v>
      </c>
      <c r="BD5" s="28">
        <v>1.82</v>
      </c>
      <c r="BE5" s="28">
        <v>7.95</v>
      </c>
      <c r="BF5" s="26">
        <v>292.39999999999998</v>
      </c>
      <c r="BG5" s="26">
        <v>324</v>
      </c>
      <c r="BH5" s="28">
        <v>200</v>
      </c>
      <c r="BI5" s="26">
        <v>1.13E-5</v>
      </c>
      <c r="BJ5" s="28">
        <v>3.32</v>
      </c>
      <c r="BK5" s="26">
        <v>110</v>
      </c>
      <c r="BL5" s="26">
        <v>132</v>
      </c>
      <c r="BM5" s="26">
        <v>287</v>
      </c>
      <c r="BN5" s="26">
        <v>1.67</v>
      </c>
      <c r="BO5" s="26">
        <v>0.6</v>
      </c>
      <c r="BP5" s="26">
        <v>3.9999999999980003E-8</v>
      </c>
      <c r="BQ5" s="26">
        <v>25000000</v>
      </c>
      <c r="BR5" s="27">
        <v>9.1999999999999998E-3</v>
      </c>
      <c r="BS5" s="27">
        <v>3.0000000000000001E-5</v>
      </c>
      <c r="BT5" s="27">
        <v>12</v>
      </c>
      <c r="BU5" s="27">
        <v>1</v>
      </c>
      <c r="BV5" s="27">
        <v>8.3333333333333329E-2</v>
      </c>
      <c r="BW5" s="27">
        <v>1</v>
      </c>
      <c r="BX5" s="28">
        <v>2.8585706196337669E-6</v>
      </c>
      <c r="BY5" s="28">
        <v>2.3806135968016175E-11</v>
      </c>
      <c r="BZ5" s="30">
        <v>8074</v>
      </c>
      <c r="CA5" s="30">
        <v>4000</v>
      </c>
      <c r="CB5" s="28">
        <v>530</v>
      </c>
    </row>
    <row r="6" spans="1:80" ht="17.399999999999999" x14ac:dyDescent="0.3">
      <c r="A6" s="15" t="s">
        <v>10</v>
      </c>
      <c r="B6" s="16" t="s">
        <v>9</v>
      </c>
      <c r="C6" s="35">
        <v>10.811</v>
      </c>
      <c r="D6" s="28">
        <v>5</v>
      </c>
      <c r="E6" s="28">
        <v>2</v>
      </c>
      <c r="F6" s="28">
        <v>13</v>
      </c>
      <c r="G6" s="18">
        <v>1</v>
      </c>
      <c r="H6" s="17">
        <v>2</v>
      </c>
      <c r="I6" s="28">
        <v>72</v>
      </c>
      <c r="J6" s="28">
        <v>6</v>
      </c>
      <c r="K6" s="28">
        <v>2</v>
      </c>
      <c r="L6" s="28">
        <v>1</v>
      </c>
      <c r="M6" s="28">
        <v>0</v>
      </c>
      <c r="N6" s="28">
        <v>0</v>
      </c>
      <c r="O6" s="19">
        <v>0</v>
      </c>
      <c r="P6" s="19">
        <v>5</v>
      </c>
      <c r="Q6" s="19">
        <v>10</v>
      </c>
      <c r="R6" s="19">
        <v>14</v>
      </c>
      <c r="S6" s="28">
        <v>3</v>
      </c>
      <c r="T6" s="28">
        <v>3</v>
      </c>
      <c r="U6" s="28">
        <v>3</v>
      </c>
      <c r="V6" s="19">
        <v>3</v>
      </c>
      <c r="W6" s="28">
        <v>3</v>
      </c>
      <c r="X6" s="21">
        <v>1.5609999999999999</v>
      </c>
      <c r="Y6" s="21">
        <v>1.355</v>
      </c>
      <c r="Z6" s="35">
        <v>8.298</v>
      </c>
      <c r="AA6" s="21">
        <v>0.27970786516853929</v>
      </c>
      <c r="AB6" s="22">
        <v>4.29</v>
      </c>
      <c r="AC6" s="21">
        <v>4.9686000000000003</v>
      </c>
      <c r="AD6" s="28">
        <v>2.04</v>
      </c>
      <c r="AE6" s="28">
        <v>1.9</v>
      </c>
      <c r="AF6" s="28">
        <v>4.29</v>
      </c>
      <c r="AG6" s="22">
        <v>2.04</v>
      </c>
      <c r="AH6" s="28">
        <v>2.0510000000000002</v>
      </c>
      <c r="AI6" s="22">
        <v>2.02</v>
      </c>
      <c r="AJ6" s="22">
        <v>5.66</v>
      </c>
      <c r="AK6" s="28">
        <v>1.9</v>
      </c>
      <c r="AL6" s="22">
        <v>9.0399999999999991</v>
      </c>
      <c r="AM6" s="35">
        <v>0.87</v>
      </c>
      <c r="AN6" s="35">
        <v>0.82</v>
      </c>
      <c r="AO6" s="35">
        <v>0.41</v>
      </c>
      <c r="AP6" s="23">
        <v>0.27</v>
      </c>
      <c r="AQ6" s="23">
        <v>0.78</v>
      </c>
      <c r="AR6" s="23">
        <v>1.8</v>
      </c>
      <c r="AS6" s="35">
        <v>0.8</v>
      </c>
      <c r="AT6" s="35">
        <v>0.25</v>
      </c>
      <c r="AU6" s="23">
        <v>0.84</v>
      </c>
      <c r="AV6" s="23">
        <v>0.85</v>
      </c>
      <c r="AW6" s="23">
        <v>0.77599999999999991</v>
      </c>
      <c r="AX6" s="23">
        <v>0.98</v>
      </c>
      <c r="AY6" s="23">
        <v>0.8</v>
      </c>
      <c r="AZ6" s="28">
        <v>3</v>
      </c>
      <c r="BA6" s="28">
        <v>2352.15</v>
      </c>
      <c r="BB6" s="28">
        <v>4275</v>
      </c>
      <c r="BC6" s="28">
        <v>2.34</v>
      </c>
      <c r="BD6" s="28">
        <v>1.02</v>
      </c>
      <c r="BE6" s="28">
        <v>50.2</v>
      </c>
      <c r="BF6" s="26">
        <v>489.7</v>
      </c>
      <c r="BG6" s="26">
        <v>573</v>
      </c>
      <c r="BH6" s="28">
        <v>27</v>
      </c>
      <c r="BI6" s="26">
        <v>6.0000000000000002E-6</v>
      </c>
      <c r="BJ6" s="28">
        <v>5.81</v>
      </c>
      <c r="BK6" s="26">
        <v>178</v>
      </c>
      <c r="BL6" s="20" t="s">
        <v>193</v>
      </c>
      <c r="BM6" s="20" t="s">
        <v>193</v>
      </c>
      <c r="BN6" s="26">
        <v>49</v>
      </c>
      <c r="BO6" s="20" t="s">
        <v>193</v>
      </c>
      <c r="BP6" s="26">
        <v>10000</v>
      </c>
      <c r="BQ6" s="26">
        <v>1E-4</v>
      </c>
      <c r="BR6" s="27">
        <v>760</v>
      </c>
      <c r="BS6" s="27">
        <v>2.4</v>
      </c>
      <c r="BT6" s="27">
        <v>14</v>
      </c>
      <c r="BU6" s="27">
        <v>2</v>
      </c>
      <c r="BV6" s="27">
        <v>0.14285714285714285</v>
      </c>
      <c r="BW6" s="27">
        <v>1</v>
      </c>
      <c r="BX6" s="28">
        <v>1.020918078440631E-5</v>
      </c>
      <c r="BY6" s="28">
        <v>6.9135627742731904E-10</v>
      </c>
      <c r="BZ6" s="30">
        <v>2929</v>
      </c>
      <c r="CA6" s="30">
        <v>1980</v>
      </c>
      <c r="CB6" s="28">
        <v>250</v>
      </c>
    </row>
    <row r="7" spans="1:80" ht="17.399999999999999" x14ac:dyDescent="0.3">
      <c r="A7" s="15" t="s">
        <v>12</v>
      </c>
      <c r="B7" s="16" t="s">
        <v>11</v>
      </c>
      <c r="C7" s="35">
        <v>12.010999999999999</v>
      </c>
      <c r="D7" s="28">
        <v>6</v>
      </c>
      <c r="E7" s="28">
        <v>2</v>
      </c>
      <c r="F7" s="28">
        <v>14</v>
      </c>
      <c r="G7" s="18">
        <v>1</v>
      </c>
      <c r="H7" s="17">
        <v>3</v>
      </c>
      <c r="I7" s="28">
        <v>77</v>
      </c>
      <c r="J7" s="28">
        <v>7</v>
      </c>
      <c r="K7" s="28">
        <v>2</v>
      </c>
      <c r="L7" s="28">
        <v>2</v>
      </c>
      <c r="M7" s="28">
        <v>0</v>
      </c>
      <c r="N7" s="28">
        <v>0</v>
      </c>
      <c r="O7" s="19">
        <v>0</v>
      </c>
      <c r="P7" s="19">
        <v>4</v>
      </c>
      <c r="Q7" s="19">
        <v>10</v>
      </c>
      <c r="R7" s="19">
        <v>14</v>
      </c>
      <c r="S7" s="28">
        <v>4</v>
      </c>
      <c r="T7" s="28">
        <v>4</v>
      </c>
      <c r="U7" s="28">
        <v>4</v>
      </c>
      <c r="V7" s="19">
        <v>4</v>
      </c>
      <c r="W7" s="28">
        <v>4</v>
      </c>
      <c r="X7" s="21">
        <v>1.8192999999999999</v>
      </c>
      <c r="Y7" s="21">
        <v>1.163</v>
      </c>
      <c r="Z7" s="35">
        <v>11.260300000000001</v>
      </c>
      <c r="AA7" s="21">
        <v>1.2649692449355434</v>
      </c>
      <c r="AB7" s="22">
        <v>6.27</v>
      </c>
      <c r="AC7" s="21">
        <v>6.2337999999999996</v>
      </c>
      <c r="AD7" s="28">
        <v>2.5499999999999998</v>
      </c>
      <c r="AE7" s="28">
        <v>2.37</v>
      </c>
      <c r="AF7" s="28">
        <v>6.27</v>
      </c>
      <c r="AG7" s="22">
        <v>2.5499999999999998</v>
      </c>
      <c r="AH7" s="28">
        <v>2.544</v>
      </c>
      <c r="AI7" s="22">
        <v>2.5499999999999998</v>
      </c>
      <c r="AJ7" s="22">
        <v>8.58</v>
      </c>
      <c r="AK7" s="28">
        <v>2.5499999999999998</v>
      </c>
      <c r="AL7" s="22">
        <v>17.600000000000001</v>
      </c>
      <c r="AM7" s="35">
        <v>0.67</v>
      </c>
      <c r="AN7" s="35">
        <v>0.77</v>
      </c>
      <c r="AO7" s="35">
        <v>0.4</v>
      </c>
      <c r="AP7" s="23">
        <v>0.16</v>
      </c>
      <c r="AQ7" s="23">
        <v>0.77</v>
      </c>
      <c r="AR7" s="23">
        <v>1.7</v>
      </c>
      <c r="AS7" s="35">
        <v>0.64</v>
      </c>
      <c r="AT7" s="35">
        <v>0.28999999999999998</v>
      </c>
      <c r="AU7" s="23">
        <v>0.76</v>
      </c>
      <c r="AV7" s="23">
        <v>0.7</v>
      </c>
      <c r="AW7" s="23">
        <v>0.62</v>
      </c>
      <c r="AX7" s="23">
        <v>0.91400000000000003</v>
      </c>
      <c r="AY7" s="23">
        <v>0.77100000000000002</v>
      </c>
      <c r="AZ7" s="28">
        <v>1.8</v>
      </c>
      <c r="BA7" s="28">
        <v>3640.15</v>
      </c>
      <c r="BB7" s="28">
        <v>5100.1499999999996</v>
      </c>
      <c r="BC7" s="28">
        <v>2.25</v>
      </c>
      <c r="BD7" s="28">
        <v>0.71</v>
      </c>
      <c r="BE7" s="28">
        <v>105</v>
      </c>
      <c r="BF7" s="26">
        <v>355.8</v>
      </c>
      <c r="BG7" s="26">
        <v>717</v>
      </c>
      <c r="BH7" s="28">
        <v>129</v>
      </c>
      <c r="BI7" s="26">
        <v>7.0999999999999998E-6</v>
      </c>
      <c r="BJ7" s="28">
        <v>7.37</v>
      </c>
      <c r="BK7" s="26">
        <v>443</v>
      </c>
      <c r="BL7" s="20" t="s">
        <v>193</v>
      </c>
      <c r="BM7" s="20" t="s">
        <v>193</v>
      </c>
      <c r="BN7" s="20" t="s">
        <v>193</v>
      </c>
      <c r="BO7" s="20" t="s">
        <v>193</v>
      </c>
      <c r="BP7" s="26">
        <v>1.0000000000000001E-5</v>
      </c>
      <c r="BQ7" s="26">
        <v>100000</v>
      </c>
      <c r="BR7" s="27">
        <v>3.5000000000000001E-3</v>
      </c>
      <c r="BS7" s="27">
        <v>1.5E-5</v>
      </c>
      <c r="BT7" s="27">
        <v>15</v>
      </c>
      <c r="BU7" s="27">
        <v>2</v>
      </c>
      <c r="BV7" s="27">
        <v>0.13333333333333333</v>
      </c>
      <c r="BW7" s="27">
        <v>1</v>
      </c>
      <c r="BX7" s="28">
        <v>2.0418361568812622E-4</v>
      </c>
      <c r="BY7" s="28">
        <v>3.293725661328269E-4</v>
      </c>
      <c r="BZ7" s="30">
        <v>500</v>
      </c>
      <c r="CA7" s="30">
        <v>500</v>
      </c>
      <c r="CB7" s="28">
        <v>2.4</v>
      </c>
    </row>
    <row r="8" spans="1:80" ht="17.399999999999999" x14ac:dyDescent="0.3">
      <c r="A8" s="15" t="s">
        <v>14</v>
      </c>
      <c r="B8" s="16" t="s">
        <v>13</v>
      </c>
      <c r="C8" s="35">
        <v>14.006740000000001</v>
      </c>
      <c r="D8" s="28">
        <v>7</v>
      </c>
      <c r="E8" s="28">
        <v>2</v>
      </c>
      <c r="F8" s="28">
        <v>15</v>
      </c>
      <c r="G8" s="18">
        <v>1</v>
      </c>
      <c r="H8" s="17">
        <v>3</v>
      </c>
      <c r="I8" s="28">
        <v>82</v>
      </c>
      <c r="J8" s="28">
        <v>7</v>
      </c>
      <c r="K8" s="28">
        <v>2</v>
      </c>
      <c r="L8" s="28">
        <v>3</v>
      </c>
      <c r="M8" s="28">
        <v>0</v>
      </c>
      <c r="N8" s="28">
        <v>0</v>
      </c>
      <c r="O8" s="19">
        <v>0</v>
      </c>
      <c r="P8" s="19">
        <v>3</v>
      </c>
      <c r="Q8" s="19">
        <v>10</v>
      </c>
      <c r="R8" s="19">
        <v>14</v>
      </c>
      <c r="S8" s="28">
        <v>5</v>
      </c>
      <c r="T8" s="28">
        <v>5</v>
      </c>
      <c r="U8" s="28">
        <v>5</v>
      </c>
      <c r="V8" s="19">
        <v>3</v>
      </c>
      <c r="W8" s="28">
        <v>3</v>
      </c>
      <c r="X8" s="21">
        <v>2.0680000000000001</v>
      </c>
      <c r="Y8" s="21">
        <v>1.0229999999999999</v>
      </c>
      <c r="Z8" s="35">
        <v>14.5341</v>
      </c>
      <c r="AA8" s="21">
        <v>-7.2566833095577749E-4</v>
      </c>
      <c r="AB8" s="22">
        <v>7.3</v>
      </c>
      <c r="AC8" s="21">
        <v>7.4964000000000004</v>
      </c>
      <c r="AD8" s="28">
        <v>3.04</v>
      </c>
      <c r="AE8" s="28">
        <v>2.85</v>
      </c>
      <c r="AF8" s="28">
        <v>7.3</v>
      </c>
      <c r="AG8" s="22">
        <v>3.04</v>
      </c>
      <c r="AH8" s="28">
        <v>3.0659999999999998</v>
      </c>
      <c r="AI8" s="22">
        <v>3.12</v>
      </c>
      <c r="AJ8" s="22">
        <v>9.77</v>
      </c>
      <c r="AK8" s="28">
        <v>2.98</v>
      </c>
      <c r="AL8" s="22">
        <v>30.5</v>
      </c>
      <c r="AM8" s="35">
        <v>0.56000000000000005</v>
      </c>
      <c r="AN8" s="35">
        <v>0.75</v>
      </c>
      <c r="AO8" s="35">
        <v>1.32</v>
      </c>
      <c r="AP8" s="23">
        <v>1.46</v>
      </c>
      <c r="AQ8" s="23">
        <v>0.72</v>
      </c>
      <c r="AR8" s="23">
        <v>1.55</v>
      </c>
      <c r="AS8" s="35">
        <v>0.54</v>
      </c>
      <c r="AT8" s="35">
        <v>0.3</v>
      </c>
      <c r="AU8" s="23">
        <v>0.71</v>
      </c>
      <c r="AV8" s="23">
        <v>0.65</v>
      </c>
      <c r="AW8" s="23">
        <v>0.52100000000000002</v>
      </c>
      <c r="AX8" s="23">
        <v>0.88</v>
      </c>
      <c r="AY8" s="23">
        <v>0.7</v>
      </c>
      <c r="AZ8" s="28">
        <v>1.1000000000000001</v>
      </c>
      <c r="BA8" s="28">
        <v>63.249999999999972</v>
      </c>
      <c r="BB8" s="28">
        <v>77.349999999999966</v>
      </c>
      <c r="BC8" s="28">
        <v>1.25E-3</v>
      </c>
      <c r="BD8" s="28">
        <v>1.04</v>
      </c>
      <c r="BE8" s="28">
        <v>0.3604</v>
      </c>
      <c r="BF8" s="26">
        <v>2.7928000000000002</v>
      </c>
      <c r="BG8" s="26">
        <v>473</v>
      </c>
      <c r="BH8" s="28">
        <v>2.598E-2</v>
      </c>
      <c r="BI8" s="20" t="s">
        <v>193</v>
      </c>
      <c r="BJ8" s="28">
        <v>4.92</v>
      </c>
      <c r="BK8" s="26">
        <v>1.2</v>
      </c>
      <c r="BL8" s="20" t="s">
        <v>193</v>
      </c>
      <c r="BM8" s="20" t="s">
        <v>193</v>
      </c>
      <c r="BN8" s="20" t="s">
        <v>193</v>
      </c>
      <c r="BO8" s="20" t="s">
        <v>193</v>
      </c>
      <c r="BP8" s="20" t="s">
        <v>193</v>
      </c>
      <c r="BQ8" s="20" t="s">
        <v>193</v>
      </c>
      <c r="BR8" s="27">
        <v>1.91</v>
      </c>
      <c r="BS8" s="27">
        <v>4.7999999999999996E-3</v>
      </c>
      <c r="BT8" s="27">
        <v>16</v>
      </c>
      <c r="BU8" s="27">
        <v>2</v>
      </c>
      <c r="BV8" s="27">
        <v>0.125</v>
      </c>
      <c r="BW8" s="27">
        <v>1</v>
      </c>
      <c r="BX8" s="28">
        <v>1.9397443490371991E-5</v>
      </c>
      <c r="BY8" s="28">
        <v>1.0207288435601451E-4</v>
      </c>
      <c r="BZ8" s="30">
        <v>1329</v>
      </c>
      <c r="CA8" s="30">
        <v>500</v>
      </c>
      <c r="CB8" s="28">
        <v>0.4</v>
      </c>
    </row>
    <row r="9" spans="1:80" ht="17.399999999999999" x14ac:dyDescent="0.3">
      <c r="A9" s="15" t="s">
        <v>16</v>
      </c>
      <c r="B9" s="16" t="s">
        <v>15</v>
      </c>
      <c r="C9" s="35">
        <v>15.9994</v>
      </c>
      <c r="D9" s="28">
        <v>8</v>
      </c>
      <c r="E9" s="28">
        <v>2</v>
      </c>
      <c r="F9" s="28">
        <v>16</v>
      </c>
      <c r="G9" s="18">
        <v>1</v>
      </c>
      <c r="H9" s="17">
        <v>3</v>
      </c>
      <c r="I9" s="28">
        <v>87</v>
      </c>
      <c r="J9" s="28">
        <v>7</v>
      </c>
      <c r="K9" s="28">
        <v>2</v>
      </c>
      <c r="L9" s="28">
        <v>4</v>
      </c>
      <c r="M9" s="28">
        <v>0</v>
      </c>
      <c r="N9" s="28">
        <v>0</v>
      </c>
      <c r="O9" s="19">
        <v>0</v>
      </c>
      <c r="P9" s="19">
        <v>2</v>
      </c>
      <c r="Q9" s="19">
        <v>10</v>
      </c>
      <c r="R9" s="19">
        <v>14</v>
      </c>
      <c r="S9" s="28">
        <v>6</v>
      </c>
      <c r="T9" s="28">
        <v>6</v>
      </c>
      <c r="U9" s="28">
        <v>6</v>
      </c>
      <c r="V9" s="19">
        <v>2</v>
      </c>
      <c r="W9" s="28">
        <v>0</v>
      </c>
      <c r="X9" s="21">
        <v>2.0009999999999999</v>
      </c>
      <c r="Y9" s="21">
        <v>1.0580000000000001</v>
      </c>
      <c r="Z9" s="35">
        <v>13.6181</v>
      </c>
      <c r="AA9" s="21">
        <v>1.4613029680365297</v>
      </c>
      <c r="AB9" s="22">
        <v>7.54</v>
      </c>
      <c r="AC9" s="21">
        <v>8.7860999999999994</v>
      </c>
      <c r="AD9" s="28">
        <v>3.44</v>
      </c>
      <c r="AE9" s="28">
        <v>3.32</v>
      </c>
      <c r="AF9" s="28">
        <v>7.54</v>
      </c>
      <c r="AG9" s="22">
        <v>3.44</v>
      </c>
      <c r="AH9" s="28">
        <v>3.61</v>
      </c>
      <c r="AI9" s="22">
        <v>3.62</v>
      </c>
      <c r="AJ9" s="22">
        <v>12.41</v>
      </c>
      <c r="AK9" s="28">
        <v>3.45</v>
      </c>
      <c r="AL9" s="22">
        <v>48.4</v>
      </c>
      <c r="AM9" s="35">
        <v>0.48</v>
      </c>
      <c r="AN9" s="35">
        <v>0.73</v>
      </c>
      <c r="AO9" s="35">
        <v>1.26</v>
      </c>
      <c r="AP9" s="23">
        <v>1.4</v>
      </c>
      <c r="AQ9" s="23">
        <v>0.64</v>
      </c>
      <c r="AR9" s="23">
        <v>1.52</v>
      </c>
      <c r="AS9" s="35">
        <v>0.47</v>
      </c>
      <c r="AT9" s="35">
        <v>1.21</v>
      </c>
      <c r="AU9" s="23">
        <v>0.66</v>
      </c>
      <c r="AV9" s="23">
        <v>0.6</v>
      </c>
      <c r="AW9" s="23">
        <v>0.45</v>
      </c>
      <c r="AX9" s="25" t="s">
        <v>193</v>
      </c>
      <c r="AY9" s="23">
        <v>0.66</v>
      </c>
      <c r="AZ9" s="28">
        <v>0.79300000000000004</v>
      </c>
      <c r="BA9" s="28">
        <v>54.749999999999972</v>
      </c>
      <c r="BB9" s="28">
        <v>90.149999999999977</v>
      </c>
      <c r="BC9" s="28">
        <v>1.4300000000000001E-3</v>
      </c>
      <c r="BD9" s="28">
        <v>0.92</v>
      </c>
      <c r="BE9" s="28">
        <v>0.22259000000000001</v>
      </c>
      <c r="BF9" s="26">
        <v>3.4098999999999999</v>
      </c>
      <c r="BG9" s="26">
        <v>249</v>
      </c>
      <c r="BH9" s="28">
        <v>2.674E-2</v>
      </c>
      <c r="BI9" s="20" t="s">
        <v>193</v>
      </c>
      <c r="BJ9" s="28">
        <v>2.62</v>
      </c>
      <c r="BK9" s="26">
        <v>2.2469486797245701</v>
      </c>
      <c r="BL9" s="20" t="s">
        <v>193</v>
      </c>
      <c r="BM9" s="20" t="s">
        <v>193</v>
      </c>
      <c r="BN9" s="20" t="s">
        <v>193</v>
      </c>
      <c r="BO9" s="20" t="s">
        <v>193</v>
      </c>
      <c r="BP9" s="20" t="s">
        <v>193</v>
      </c>
      <c r="BQ9" s="20" t="s">
        <v>193</v>
      </c>
      <c r="BR9" s="27">
        <v>2.7999999999999998E-4</v>
      </c>
      <c r="BS9" s="27">
        <v>9.9999999999999995E-7</v>
      </c>
      <c r="BT9" s="27">
        <v>17</v>
      </c>
      <c r="BU9" s="27">
        <v>3</v>
      </c>
      <c r="BV9" s="27">
        <v>0.17647058823529413</v>
      </c>
      <c r="BW9" s="27">
        <v>1</v>
      </c>
      <c r="BX9" s="28">
        <v>0.47064323416113091</v>
      </c>
      <c r="BY9" s="28">
        <v>7.7614525484765156E-4</v>
      </c>
      <c r="BZ9" s="30">
        <v>500</v>
      </c>
      <c r="CA9" s="30">
        <v>500</v>
      </c>
      <c r="CB9" s="28">
        <v>0.3</v>
      </c>
    </row>
    <row r="10" spans="1:80" ht="17.399999999999999" x14ac:dyDescent="0.3">
      <c r="A10" s="15" t="s">
        <v>18</v>
      </c>
      <c r="B10" s="16" t="s">
        <v>17</v>
      </c>
      <c r="C10" s="35">
        <v>18.998403</v>
      </c>
      <c r="D10" s="28">
        <v>9</v>
      </c>
      <c r="E10" s="28">
        <v>2</v>
      </c>
      <c r="F10" s="28">
        <v>17</v>
      </c>
      <c r="G10" s="18">
        <v>1</v>
      </c>
      <c r="H10" s="17">
        <v>3</v>
      </c>
      <c r="I10" s="28">
        <v>93</v>
      </c>
      <c r="J10" s="28">
        <v>8</v>
      </c>
      <c r="K10" s="28">
        <v>2</v>
      </c>
      <c r="L10" s="28">
        <v>5</v>
      </c>
      <c r="M10" s="28">
        <v>0</v>
      </c>
      <c r="N10" s="28">
        <v>0</v>
      </c>
      <c r="O10" s="19">
        <v>0</v>
      </c>
      <c r="P10" s="19">
        <v>1</v>
      </c>
      <c r="Q10" s="19">
        <v>10</v>
      </c>
      <c r="R10" s="19">
        <v>14</v>
      </c>
      <c r="S10" s="28">
        <v>7</v>
      </c>
      <c r="T10" s="28">
        <v>7</v>
      </c>
      <c r="U10" s="28">
        <v>7</v>
      </c>
      <c r="V10" s="19">
        <v>1</v>
      </c>
      <c r="W10" s="28">
        <v>0</v>
      </c>
      <c r="X10" s="21">
        <v>2.2629999999999999</v>
      </c>
      <c r="Y10" s="21">
        <v>0.83499999999999996</v>
      </c>
      <c r="Z10" s="35">
        <v>17.422799999999999</v>
      </c>
      <c r="AA10" s="21">
        <v>3.3995707317073167</v>
      </c>
      <c r="AB10" s="22">
        <v>10.41</v>
      </c>
      <c r="AC10" s="21">
        <v>10.037800000000001</v>
      </c>
      <c r="AD10" s="28">
        <v>3.98</v>
      </c>
      <c r="AE10" s="28">
        <v>3.78</v>
      </c>
      <c r="AF10" s="28">
        <v>10.41</v>
      </c>
      <c r="AG10" s="22">
        <v>3.98</v>
      </c>
      <c r="AH10" s="28">
        <v>4.1929999999999996</v>
      </c>
      <c r="AI10" s="22">
        <v>4.2300000000000004</v>
      </c>
      <c r="AJ10" s="22">
        <v>15.6</v>
      </c>
      <c r="AK10" s="28">
        <v>3.95</v>
      </c>
      <c r="AL10" s="22">
        <v>72.3</v>
      </c>
      <c r="AM10" s="35">
        <v>0.42</v>
      </c>
      <c r="AN10" s="35">
        <v>0.71</v>
      </c>
      <c r="AO10" s="35">
        <v>1.19</v>
      </c>
      <c r="AP10" s="23">
        <v>1.33</v>
      </c>
      <c r="AQ10" s="23">
        <v>0.66</v>
      </c>
      <c r="AR10" s="23">
        <v>1.47</v>
      </c>
      <c r="AS10" s="35">
        <v>0.41</v>
      </c>
      <c r="AT10" s="35">
        <v>1.19</v>
      </c>
      <c r="AU10" s="23">
        <v>0.56999999999999995</v>
      </c>
      <c r="AV10" s="23">
        <v>0.5</v>
      </c>
      <c r="AW10" s="23">
        <v>0.39600000000000002</v>
      </c>
      <c r="AX10" s="25" t="s">
        <v>193</v>
      </c>
      <c r="AY10" s="23">
        <v>0.64</v>
      </c>
      <c r="AZ10" s="28">
        <v>0.63400000000000001</v>
      </c>
      <c r="BA10" s="28">
        <v>53.349999999999966</v>
      </c>
      <c r="BB10" s="28">
        <v>85.049999999999983</v>
      </c>
      <c r="BC10" s="28">
        <v>1.6999999999999999E-3</v>
      </c>
      <c r="BD10" s="28">
        <v>0.82</v>
      </c>
      <c r="BE10" s="28">
        <v>0.25519999999999998</v>
      </c>
      <c r="BF10" s="26">
        <v>3.2698</v>
      </c>
      <c r="BG10" s="26">
        <v>79</v>
      </c>
      <c r="BH10" s="28">
        <v>2.7900000000000001E-2</v>
      </c>
      <c r="BI10" s="20" t="s">
        <v>193</v>
      </c>
      <c r="BJ10" s="28">
        <v>0.84</v>
      </c>
      <c r="BK10" s="26">
        <v>2.2000000000000002</v>
      </c>
      <c r="BL10" s="20" t="s">
        <v>193</v>
      </c>
      <c r="BM10" s="20" t="s">
        <v>193</v>
      </c>
      <c r="BN10" s="20" t="s">
        <v>193</v>
      </c>
      <c r="BO10" s="20" t="s">
        <v>193</v>
      </c>
      <c r="BP10" s="20" t="s">
        <v>193</v>
      </c>
      <c r="BQ10" s="20" t="s">
        <v>193</v>
      </c>
      <c r="BR10" s="27">
        <v>9.5999999999999992E-3</v>
      </c>
      <c r="BS10" s="27">
        <v>2.0000000000000002E-5</v>
      </c>
      <c r="BT10" s="27">
        <v>18</v>
      </c>
      <c r="BU10" s="27">
        <v>1</v>
      </c>
      <c r="BV10" s="27">
        <v>5.5555555555555552E-2</v>
      </c>
      <c r="BW10" s="27">
        <v>1</v>
      </c>
      <c r="BX10" s="28">
        <v>5.9723707588776919E-4</v>
      </c>
      <c r="BY10" s="28">
        <v>2.7491195371284429E-8</v>
      </c>
      <c r="BZ10" s="30">
        <v>1500</v>
      </c>
      <c r="CA10" s="30">
        <v>1500</v>
      </c>
      <c r="CB10" s="28">
        <v>190</v>
      </c>
    </row>
    <row r="11" spans="1:80" ht="17.399999999999999" x14ac:dyDescent="0.3">
      <c r="A11" s="15" t="s">
        <v>20</v>
      </c>
      <c r="B11" s="16" t="s">
        <v>19</v>
      </c>
      <c r="C11" s="35">
        <v>20.1797</v>
      </c>
      <c r="D11" s="28">
        <v>10</v>
      </c>
      <c r="E11" s="28">
        <v>2</v>
      </c>
      <c r="F11" s="28">
        <v>18</v>
      </c>
      <c r="G11" s="18">
        <v>1</v>
      </c>
      <c r="H11" s="17">
        <v>3</v>
      </c>
      <c r="I11" s="28">
        <v>99</v>
      </c>
      <c r="J11" s="28">
        <v>9</v>
      </c>
      <c r="K11" s="28">
        <v>2</v>
      </c>
      <c r="L11" s="28">
        <v>6</v>
      </c>
      <c r="M11" s="28">
        <v>0</v>
      </c>
      <c r="N11" s="28">
        <v>0</v>
      </c>
      <c r="O11" s="19">
        <v>0</v>
      </c>
      <c r="P11" s="19">
        <v>0</v>
      </c>
      <c r="Q11" s="19">
        <v>10</v>
      </c>
      <c r="R11" s="19">
        <v>14</v>
      </c>
      <c r="S11" s="28">
        <v>8</v>
      </c>
      <c r="T11" s="28">
        <v>8</v>
      </c>
      <c r="U11" s="28">
        <v>8</v>
      </c>
      <c r="V11" s="20" t="s">
        <v>193</v>
      </c>
      <c r="W11" s="28">
        <v>0</v>
      </c>
      <c r="X11" s="21">
        <v>2.5179999999999998</v>
      </c>
      <c r="Y11" s="21">
        <v>0.84</v>
      </c>
      <c r="Z11" s="35">
        <v>21.564499999999999</v>
      </c>
      <c r="AA11" s="21">
        <v>-1.2435079288803459</v>
      </c>
      <c r="AB11" s="20" t="s">
        <v>193</v>
      </c>
      <c r="AC11" s="21">
        <v>11.3003</v>
      </c>
      <c r="AD11" s="28" t="s">
        <v>193</v>
      </c>
      <c r="AE11" s="28" t="s">
        <v>193</v>
      </c>
      <c r="AF11" s="28" t="s">
        <v>193</v>
      </c>
      <c r="AG11" s="20" t="s">
        <v>193</v>
      </c>
      <c r="AH11" s="28">
        <v>4.7889999999999997</v>
      </c>
      <c r="AI11" s="22">
        <v>4.8899999999999997</v>
      </c>
      <c r="AJ11" s="22">
        <v>13.37</v>
      </c>
      <c r="AK11" s="28" t="s">
        <v>193</v>
      </c>
      <c r="AL11" s="22">
        <v>98</v>
      </c>
      <c r="AM11" s="35">
        <v>0.38</v>
      </c>
      <c r="AN11" s="35">
        <v>0.69</v>
      </c>
      <c r="AO11" s="35">
        <v>1.1399999999999999</v>
      </c>
      <c r="AP11" s="24">
        <v>1.02</v>
      </c>
      <c r="AQ11" s="24">
        <v>1.31</v>
      </c>
      <c r="AR11" s="23">
        <v>1.54</v>
      </c>
      <c r="AS11" s="35">
        <v>1.67</v>
      </c>
      <c r="AT11" s="35">
        <v>0.96</v>
      </c>
      <c r="AU11" s="23">
        <v>0.57999999999999996</v>
      </c>
      <c r="AV11" s="23">
        <v>0.38</v>
      </c>
      <c r="AW11" s="23">
        <v>0.35399999999999998</v>
      </c>
      <c r="AX11" s="25" t="s">
        <v>193</v>
      </c>
      <c r="AY11" s="25" t="s">
        <v>193</v>
      </c>
      <c r="AZ11" s="28">
        <v>0.39600000000000002</v>
      </c>
      <c r="BA11" s="28">
        <v>24.45</v>
      </c>
      <c r="BB11" s="28">
        <v>25.15</v>
      </c>
      <c r="BC11" s="28">
        <v>8.9999999999999998E-4</v>
      </c>
      <c r="BD11" s="28">
        <v>0.90400000000000003</v>
      </c>
      <c r="BE11" s="28">
        <v>0.33169999999999999</v>
      </c>
      <c r="BF11" s="26">
        <v>1.7325999999999999</v>
      </c>
      <c r="BG11" s="26">
        <v>0</v>
      </c>
      <c r="BH11" s="28">
        <v>4.9299999999999997E-2</v>
      </c>
      <c r="BI11" s="20" t="s">
        <v>193</v>
      </c>
      <c r="BJ11" s="28">
        <v>0.02</v>
      </c>
      <c r="BK11" s="20" t="s">
        <v>193</v>
      </c>
      <c r="BL11" s="20" t="s">
        <v>193</v>
      </c>
      <c r="BM11" s="20" t="s">
        <v>193</v>
      </c>
      <c r="BN11" s="20" t="s">
        <v>193</v>
      </c>
      <c r="BO11" s="20" t="s">
        <v>193</v>
      </c>
      <c r="BP11" s="20" t="s">
        <v>193</v>
      </c>
      <c r="BQ11" s="20" t="s">
        <v>193</v>
      </c>
      <c r="BR11" s="27">
        <v>0.04</v>
      </c>
      <c r="BS11" s="27">
        <v>5.9000000000000003E-4</v>
      </c>
      <c r="BT11" s="27">
        <v>19</v>
      </c>
      <c r="BU11" s="27">
        <v>3</v>
      </c>
      <c r="BV11" s="27">
        <v>0.15789473684210525</v>
      </c>
      <c r="BW11" s="27">
        <v>1</v>
      </c>
      <c r="BX11" s="28">
        <v>5.1045903922031554E-9</v>
      </c>
      <c r="BY11" s="28">
        <v>1.1218233935613108E-4</v>
      </c>
      <c r="BZ11" s="29" t="s">
        <v>193</v>
      </c>
      <c r="CA11" s="29" t="s">
        <v>193</v>
      </c>
      <c r="CB11" s="28">
        <v>33</v>
      </c>
    </row>
    <row r="12" spans="1:80" ht="17.399999999999999" x14ac:dyDescent="0.3">
      <c r="A12" s="15" t="s">
        <v>22</v>
      </c>
      <c r="B12" s="16" t="s">
        <v>21</v>
      </c>
      <c r="C12" s="35">
        <v>22.989768000000002</v>
      </c>
      <c r="D12" s="28">
        <v>11</v>
      </c>
      <c r="E12" s="28">
        <v>3</v>
      </c>
      <c r="F12" s="28">
        <v>1</v>
      </c>
      <c r="G12" s="18">
        <v>0</v>
      </c>
      <c r="H12" s="17">
        <v>1</v>
      </c>
      <c r="I12" s="28">
        <v>2</v>
      </c>
      <c r="J12" s="28">
        <v>1</v>
      </c>
      <c r="K12" s="28">
        <v>1</v>
      </c>
      <c r="L12" s="28">
        <v>0</v>
      </c>
      <c r="M12" s="28">
        <v>0</v>
      </c>
      <c r="N12" s="28">
        <v>0</v>
      </c>
      <c r="O12" s="19">
        <v>1</v>
      </c>
      <c r="P12" s="19">
        <v>6</v>
      </c>
      <c r="Q12" s="19">
        <v>10</v>
      </c>
      <c r="R12" s="19">
        <v>14</v>
      </c>
      <c r="S12" s="28">
        <v>1</v>
      </c>
      <c r="T12" s="28">
        <v>1</v>
      </c>
      <c r="U12" s="28">
        <v>1</v>
      </c>
      <c r="V12" s="19">
        <v>1</v>
      </c>
      <c r="W12" s="28">
        <v>1</v>
      </c>
      <c r="X12" s="21">
        <v>1.8420000000000001</v>
      </c>
      <c r="Y12" s="21">
        <v>2.5840000000000001</v>
      </c>
      <c r="Z12" s="35">
        <v>5.1391</v>
      </c>
      <c r="AA12" s="21">
        <v>0.54913770161290321</v>
      </c>
      <c r="AB12" s="22">
        <v>2.85</v>
      </c>
      <c r="AC12" s="21">
        <v>2.4380000000000002</v>
      </c>
      <c r="AD12" s="28">
        <v>0.93</v>
      </c>
      <c r="AE12" s="28">
        <v>0.89</v>
      </c>
      <c r="AF12" s="28">
        <v>2.85</v>
      </c>
      <c r="AG12" s="22">
        <v>0.93</v>
      </c>
      <c r="AH12" s="28">
        <v>0.86899999999999999</v>
      </c>
      <c r="AI12" s="22">
        <v>0.95</v>
      </c>
      <c r="AJ12" s="22">
        <v>2.64</v>
      </c>
      <c r="AK12" s="28">
        <v>0.9</v>
      </c>
      <c r="AL12" s="22">
        <v>1.08</v>
      </c>
      <c r="AM12" s="35">
        <v>1.9</v>
      </c>
      <c r="AN12" s="35">
        <v>1.54</v>
      </c>
      <c r="AO12" s="35">
        <v>1.1599999999999999</v>
      </c>
      <c r="AP12" s="23">
        <v>0.72</v>
      </c>
      <c r="AQ12" s="23">
        <v>1.8</v>
      </c>
      <c r="AR12" s="23">
        <v>2.27</v>
      </c>
      <c r="AS12" s="35">
        <v>2.65</v>
      </c>
      <c r="AT12" s="35">
        <v>1.1599999999999999</v>
      </c>
      <c r="AU12" s="23">
        <v>1.66</v>
      </c>
      <c r="AV12" s="23">
        <v>1.8</v>
      </c>
      <c r="AW12" s="23">
        <v>1.7130000000000001</v>
      </c>
      <c r="AX12" s="23">
        <v>1.8959999999999999</v>
      </c>
      <c r="AY12" s="23">
        <v>1.5720000000000001</v>
      </c>
      <c r="AZ12" s="28">
        <v>23.6</v>
      </c>
      <c r="BA12" s="28">
        <v>370.95</v>
      </c>
      <c r="BB12" s="28">
        <v>1156.1500000000001</v>
      </c>
      <c r="BC12" s="28">
        <v>0.97099999999999997</v>
      </c>
      <c r="BD12" s="28">
        <v>1.23</v>
      </c>
      <c r="BE12" s="28">
        <v>2.5979999999999999</v>
      </c>
      <c r="BF12" s="26">
        <v>96.96</v>
      </c>
      <c r="BG12" s="26">
        <v>109</v>
      </c>
      <c r="BH12" s="28">
        <v>141</v>
      </c>
      <c r="BI12" s="26">
        <v>6.9999999999999994E-5</v>
      </c>
      <c r="BJ12" s="28">
        <v>1.113</v>
      </c>
      <c r="BK12" s="26">
        <v>6.8</v>
      </c>
      <c r="BL12" s="26">
        <v>3.3</v>
      </c>
      <c r="BM12" s="26">
        <v>10</v>
      </c>
      <c r="BN12" s="20" t="s">
        <v>193</v>
      </c>
      <c r="BO12" s="26">
        <v>6.8999999999999997E-4</v>
      </c>
      <c r="BP12" s="26">
        <v>4.6999999999979999E-8</v>
      </c>
      <c r="BQ12" s="26">
        <v>21000000</v>
      </c>
      <c r="BR12" s="27">
        <v>0.53</v>
      </c>
      <c r="BS12" s="27">
        <v>6.9999999999999999E-4</v>
      </c>
      <c r="BT12" s="27">
        <v>20</v>
      </c>
      <c r="BU12" s="27">
        <v>1</v>
      </c>
      <c r="BV12" s="27">
        <v>0.05</v>
      </c>
      <c r="BW12" s="27">
        <v>1</v>
      </c>
      <c r="BX12" s="28">
        <v>2.4093666651198894E-10</v>
      </c>
      <c r="BY12" s="28">
        <v>1.8718797322796274E-6</v>
      </c>
      <c r="BZ12" s="30">
        <v>1102</v>
      </c>
      <c r="CA12" s="30">
        <v>500</v>
      </c>
      <c r="CB12" s="28">
        <v>7</v>
      </c>
    </row>
    <row r="13" spans="1:80" ht="17.399999999999999" x14ac:dyDescent="0.3">
      <c r="A13" s="15" t="s">
        <v>24</v>
      </c>
      <c r="B13" s="16" t="s">
        <v>23</v>
      </c>
      <c r="C13" s="35">
        <v>24.305</v>
      </c>
      <c r="D13" s="28">
        <v>12</v>
      </c>
      <c r="E13" s="28">
        <v>3</v>
      </c>
      <c r="F13" s="28">
        <v>2</v>
      </c>
      <c r="G13" s="18">
        <v>0</v>
      </c>
      <c r="H13" s="17">
        <v>1</v>
      </c>
      <c r="I13" s="28">
        <v>68</v>
      </c>
      <c r="J13" s="28">
        <v>2</v>
      </c>
      <c r="K13" s="28">
        <v>2</v>
      </c>
      <c r="L13" s="28">
        <v>0</v>
      </c>
      <c r="M13" s="28">
        <v>0</v>
      </c>
      <c r="N13" s="28">
        <v>0</v>
      </c>
      <c r="O13" s="19">
        <v>0</v>
      </c>
      <c r="P13" s="19">
        <v>6</v>
      </c>
      <c r="Q13" s="19">
        <v>10</v>
      </c>
      <c r="R13" s="19">
        <v>14</v>
      </c>
      <c r="S13" s="28">
        <v>2</v>
      </c>
      <c r="T13" s="28">
        <v>2</v>
      </c>
      <c r="U13" s="28">
        <v>2</v>
      </c>
      <c r="V13" s="19">
        <v>2</v>
      </c>
      <c r="W13" s="28">
        <v>2</v>
      </c>
      <c r="X13" s="21">
        <v>2.2480000000000002</v>
      </c>
      <c r="Y13" s="21">
        <v>0.67400000000000004</v>
      </c>
      <c r="Z13" s="35">
        <v>7.6462000000000003</v>
      </c>
      <c r="AA13" s="21">
        <v>-0.41442818428184286</v>
      </c>
      <c r="AB13" s="22">
        <v>3.75</v>
      </c>
      <c r="AC13" s="21">
        <v>3.6107999999999998</v>
      </c>
      <c r="AD13" s="28">
        <v>1.31</v>
      </c>
      <c r="AE13" s="28">
        <v>1.31</v>
      </c>
      <c r="AF13" s="28">
        <v>3.75</v>
      </c>
      <c r="AG13" s="22">
        <v>1.31</v>
      </c>
      <c r="AH13" s="28">
        <v>1.2929999999999999</v>
      </c>
      <c r="AI13" s="22">
        <v>1.32</v>
      </c>
      <c r="AJ13" s="22">
        <v>3.93</v>
      </c>
      <c r="AK13" s="28">
        <v>1.2</v>
      </c>
      <c r="AL13" s="22">
        <v>2.35</v>
      </c>
      <c r="AM13" s="35">
        <v>1.45</v>
      </c>
      <c r="AN13" s="35">
        <v>1.3</v>
      </c>
      <c r="AO13" s="35">
        <v>0.86</v>
      </c>
      <c r="AP13" s="23">
        <v>0.54</v>
      </c>
      <c r="AQ13" s="23">
        <v>1.6</v>
      </c>
      <c r="AR13" s="23">
        <v>1.73</v>
      </c>
      <c r="AS13" s="35">
        <v>2.0299999999999998</v>
      </c>
      <c r="AT13" s="35">
        <v>0.86</v>
      </c>
      <c r="AU13" s="23">
        <v>1.41</v>
      </c>
      <c r="AV13" s="23">
        <v>1.5</v>
      </c>
      <c r="AW13" s="23">
        <v>1.2790000000000001</v>
      </c>
      <c r="AX13" s="23">
        <v>1.5980000000000001</v>
      </c>
      <c r="AY13" s="23">
        <v>1.3640000000000001</v>
      </c>
      <c r="AZ13" s="28">
        <v>10.6</v>
      </c>
      <c r="BA13" s="28">
        <v>922.15</v>
      </c>
      <c r="BB13" s="28">
        <v>1363.15</v>
      </c>
      <c r="BC13" s="28">
        <v>1.74</v>
      </c>
      <c r="BD13" s="28">
        <v>1.02</v>
      </c>
      <c r="BE13" s="28">
        <v>8.9540000000000006</v>
      </c>
      <c r="BF13" s="26">
        <v>127.4</v>
      </c>
      <c r="BG13" s="26">
        <v>148</v>
      </c>
      <c r="BH13" s="28">
        <v>156</v>
      </c>
      <c r="BI13" s="26">
        <v>2.48E-5</v>
      </c>
      <c r="BJ13" s="28">
        <v>1.51</v>
      </c>
      <c r="BK13" s="26">
        <v>35.6</v>
      </c>
      <c r="BL13" s="26">
        <v>17</v>
      </c>
      <c r="BM13" s="26">
        <v>45</v>
      </c>
      <c r="BN13" s="20" t="s">
        <v>193</v>
      </c>
      <c r="BO13" s="26">
        <v>0.26</v>
      </c>
      <c r="BP13" s="26">
        <v>4.3999999999989998E-8</v>
      </c>
      <c r="BQ13" s="26">
        <v>23000000</v>
      </c>
      <c r="BR13" s="27">
        <v>6.3E-2</v>
      </c>
      <c r="BS13" s="27">
        <v>1E-4</v>
      </c>
      <c r="BT13" s="27">
        <v>22</v>
      </c>
      <c r="BU13" s="27">
        <v>3</v>
      </c>
      <c r="BV13" s="27">
        <v>0.13636363636363635</v>
      </c>
      <c r="BW13" s="27">
        <v>1</v>
      </c>
      <c r="BX13" s="28">
        <v>2.3787391227666703E-2</v>
      </c>
      <c r="BY13" s="28">
        <v>3.5024369903629308E-5</v>
      </c>
      <c r="BZ13" s="30">
        <v>5259</v>
      </c>
      <c r="CA13" s="30">
        <v>500</v>
      </c>
      <c r="CB13" s="28">
        <v>3.7</v>
      </c>
    </row>
    <row r="14" spans="1:80" ht="17.399999999999999" x14ac:dyDescent="0.3">
      <c r="A14" s="15" t="s">
        <v>26</v>
      </c>
      <c r="B14" s="16" t="s">
        <v>25</v>
      </c>
      <c r="C14" s="35">
        <v>26.981539000000001</v>
      </c>
      <c r="D14" s="28">
        <v>13</v>
      </c>
      <c r="E14" s="28">
        <v>3</v>
      </c>
      <c r="F14" s="28">
        <v>13</v>
      </c>
      <c r="G14" s="18">
        <v>1</v>
      </c>
      <c r="H14" s="17">
        <v>1</v>
      </c>
      <c r="I14" s="28">
        <v>73</v>
      </c>
      <c r="J14" s="28">
        <v>5</v>
      </c>
      <c r="K14" s="28">
        <v>2</v>
      </c>
      <c r="L14" s="28">
        <v>1</v>
      </c>
      <c r="M14" s="28">
        <v>0</v>
      </c>
      <c r="N14" s="28">
        <v>0</v>
      </c>
      <c r="O14" s="19">
        <v>0</v>
      </c>
      <c r="P14" s="19">
        <v>5</v>
      </c>
      <c r="Q14" s="19">
        <v>10</v>
      </c>
      <c r="R14" s="19">
        <v>14</v>
      </c>
      <c r="S14" s="28">
        <v>3</v>
      </c>
      <c r="T14" s="28">
        <v>3</v>
      </c>
      <c r="U14" s="28">
        <v>3</v>
      </c>
      <c r="V14" s="19">
        <v>3</v>
      </c>
      <c r="W14" s="28">
        <v>3</v>
      </c>
      <c r="X14" s="21">
        <v>1.9890000000000001</v>
      </c>
      <c r="Y14" s="21">
        <v>0.76100000000000001</v>
      </c>
      <c r="Z14" s="35">
        <v>5.9858000000000002</v>
      </c>
      <c r="AA14" s="21">
        <v>0.43495432525951555</v>
      </c>
      <c r="AB14" s="22">
        <v>3.23</v>
      </c>
      <c r="AC14" s="21">
        <v>4.6393000000000004</v>
      </c>
      <c r="AD14" s="28">
        <v>1.61</v>
      </c>
      <c r="AE14" s="28">
        <v>1.64</v>
      </c>
      <c r="AF14" s="28">
        <v>3.23</v>
      </c>
      <c r="AG14" s="22">
        <v>1.61</v>
      </c>
      <c r="AH14" s="28">
        <v>1.613</v>
      </c>
      <c r="AI14" s="22">
        <v>1.55</v>
      </c>
      <c r="AJ14" s="22">
        <v>5.89</v>
      </c>
      <c r="AK14" s="28">
        <v>1.5</v>
      </c>
      <c r="AL14" s="22">
        <v>4.3499999999999996</v>
      </c>
      <c r="AM14" s="35">
        <v>1.18</v>
      </c>
      <c r="AN14" s="35">
        <v>1.18</v>
      </c>
      <c r="AO14" s="35">
        <v>0.68</v>
      </c>
      <c r="AP14" s="23">
        <v>0.4</v>
      </c>
      <c r="AQ14" s="23">
        <v>1.41</v>
      </c>
      <c r="AR14" s="23">
        <v>1.84</v>
      </c>
      <c r="AS14" s="35">
        <v>1.68</v>
      </c>
      <c r="AT14" s="35">
        <v>0.53</v>
      </c>
      <c r="AU14" s="23">
        <v>1.21</v>
      </c>
      <c r="AV14" s="23">
        <v>1.25</v>
      </c>
      <c r="AW14" s="23">
        <v>1.3119999999999998</v>
      </c>
      <c r="AX14" s="23">
        <v>1.429</v>
      </c>
      <c r="AY14" s="23">
        <v>1.248</v>
      </c>
      <c r="AZ14" s="28">
        <v>8.3000000000000007</v>
      </c>
      <c r="BA14" s="28">
        <v>933.15</v>
      </c>
      <c r="BB14" s="28">
        <v>2740.15</v>
      </c>
      <c r="BC14" s="28">
        <v>2.7</v>
      </c>
      <c r="BD14" s="28">
        <v>0.9</v>
      </c>
      <c r="BE14" s="28">
        <v>10.79</v>
      </c>
      <c r="BF14" s="26">
        <v>293.39999999999998</v>
      </c>
      <c r="BG14" s="26">
        <v>326</v>
      </c>
      <c r="BH14" s="28">
        <v>237</v>
      </c>
      <c r="BI14" s="26">
        <v>2.3099999999999999E-5</v>
      </c>
      <c r="BJ14" s="28">
        <v>3.39</v>
      </c>
      <c r="BK14" s="26">
        <v>75.2</v>
      </c>
      <c r="BL14" s="26">
        <v>26</v>
      </c>
      <c r="BM14" s="26">
        <v>70</v>
      </c>
      <c r="BN14" s="26">
        <v>0.16700000000000001</v>
      </c>
      <c r="BO14" s="26">
        <v>0.245</v>
      </c>
      <c r="BP14" s="26">
        <v>2.6000000000000001E-8</v>
      </c>
      <c r="BQ14" s="26">
        <v>38000000</v>
      </c>
      <c r="BR14" s="27">
        <v>0.23300000000000001</v>
      </c>
      <c r="BS14" s="27">
        <v>0.03</v>
      </c>
      <c r="BT14" s="27">
        <v>22</v>
      </c>
      <c r="BU14" s="27">
        <v>1</v>
      </c>
      <c r="BV14" s="27">
        <v>4.5454545454545456E-2</v>
      </c>
      <c r="BW14" s="27">
        <v>1</v>
      </c>
      <c r="BX14" s="28">
        <v>8.4021557855663939E-2</v>
      </c>
      <c r="BY14" s="28">
        <v>2.7686862242254423E-6</v>
      </c>
      <c r="BZ14" s="30">
        <v>1569</v>
      </c>
      <c r="CA14" s="30">
        <v>1000</v>
      </c>
      <c r="CB14" s="28">
        <v>1.8</v>
      </c>
    </row>
    <row r="15" spans="1:80" ht="17.399999999999999" x14ac:dyDescent="0.3">
      <c r="A15" s="15" t="s">
        <v>28</v>
      </c>
      <c r="B15" s="16" t="s">
        <v>27</v>
      </c>
      <c r="C15" s="35">
        <v>28.0855</v>
      </c>
      <c r="D15" s="28">
        <v>14</v>
      </c>
      <c r="E15" s="28">
        <v>3</v>
      </c>
      <c r="F15" s="28">
        <v>14</v>
      </c>
      <c r="G15" s="18">
        <v>1</v>
      </c>
      <c r="H15" s="17">
        <v>3</v>
      </c>
      <c r="I15" s="28">
        <v>78</v>
      </c>
      <c r="J15" s="28">
        <v>6</v>
      </c>
      <c r="K15" s="28">
        <v>2</v>
      </c>
      <c r="L15" s="28">
        <v>2</v>
      </c>
      <c r="M15" s="28">
        <v>0</v>
      </c>
      <c r="N15" s="28">
        <v>0</v>
      </c>
      <c r="O15" s="19">
        <v>0</v>
      </c>
      <c r="P15" s="19">
        <v>4</v>
      </c>
      <c r="Q15" s="19">
        <v>10</v>
      </c>
      <c r="R15" s="19">
        <v>14</v>
      </c>
      <c r="S15" s="28">
        <v>4</v>
      </c>
      <c r="T15" s="28">
        <v>4</v>
      </c>
      <c r="U15" s="28">
        <v>4</v>
      </c>
      <c r="V15" s="19">
        <v>4</v>
      </c>
      <c r="W15" s="28">
        <v>4</v>
      </c>
      <c r="X15" s="21">
        <v>2.3210000000000002</v>
      </c>
      <c r="Y15" s="21">
        <v>0.65200000000000002</v>
      </c>
      <c r="Z15" s="35">
        <v>8.1516999999999999</v>
      </c>
      <c r="AA15" s="21">
        <v>1.3879641677255401</v>
      </c>
      <c r="AB15" s="22">
        <v>4.7699999999999996</v>
      </c>
      <c r="AC15" s="21">
        <v>5.5236000000000001</v>
      </c>
      <c r="AD15" s="28">
        <v>1.9</v>
      </c>
      <c r="AE15" s="28">
        <v>1.98</v>
      </c>
      <c r="AF15" s="28">
        <v>4.7699999999999996</v>
      </c>
      <c r="AG15" s="22">
        <v>1.9</v>
      </c>
      <c r="AH15" s="28">
        <v>1.9159999999999999</v>
      </c>
      <c r="AI15" s="22">
        <v>1.87</v>
      </c>
      <c r="AJ15" s="22">
        <v>6.8</v>
      </c>
      <c r="AK15" s="28">
        <v>1.8</v>
      </c>
      <c r="AL15" s="22">
        <v>7.26</v>
      </c>
      <c r="AM15" s="35">
        <v>1.1100000000000001</v>
      </c>
      <c r="AN15" s="35">
        <v>1.1100000000000001</v>
      </c>
      <c r="AO15" s="35">
        <v>0.54</v>
      </c>
      <c r="AP15" s="23">
        <v>0.44</v>
      </c>
      <c r="AQ15" s="23">
        <v>1.1000000000000001</v>
      </c>
      <c r="AR15" s="23">
        <v>2.1</v>
      </c>
      <c r="AS15" s="35">
        <v>1.42</v>
      </c>
      <c r="AT15" s="35">
        <v>0.4</v>
      </c>
      <c r="AU15" s="23">
        <v>0.11</v>
      </c>
      <c r="AV15" s="23">
        <v>1.1000000000000001</v>
      </c>
      <c r="AW15" s="23">
        <v>1.0680000000000001</v>
      </c>
      <c r="AX15" s="23">
        <v>1.3160000000000001</v>
      </c>
      <c r="AY15" s="23">
        <v>1.173</v>
      </c>
      <c r="AZ15" s="28">
        <v>5.4</v>
      </c>
      <c r="BA15" s="28">
        <v>1683.15</v>
      </c>
      <c r="BB15" s="28">
        <v>2628.15</v>
      </c>
      <c r="BC15" s="28">
        <v>2.33</v>
      </c>
      <c r="BD15" s="28">
        <v>0.71</v>
      </c>
      <c r="BE15" s="28">
        <v>50.55</v>
      </c>
      <c r="BF15" s="26">
        <v>384.22</v>
      </c>
      <c r="BG15" s="26">
        <v>452</v>
      </c>
      <c r="BH15" s="28">
        <v>148</v>
      </c>
      <c r="BI15" s="26">
        <v>2.6000000000000001E-6</v>
      </c>
      <c r="BJ15" s="28">
        <v>4.63</v>
      </c>
      <c r="BK15" s="26">
        <v>98</v>
      </c>
      <c r="BL15" s="26">
        <v>60</v>
      </c>
      <c r="BM15" s="26">
        <v>47</v>
      </c>
      <c r="BN15" s="26">
        <v>9.6301303000000011</v>
      </c>
      <c r="BO15" s="26">
        <v>2.2999999999999998</v>
      </c>
      <c r="BP15" s="26">
        <v>1E-3</v>
      </c>
      <c r="BQ15" s="26">
        <v>1000</v>
      </c>
      <c r="BR15" s="27">
        <v>0.16600000000000001</v>
      </c>
      <c r="BS15" s="27">
        <v>2.0000000000000001E-4</v>
      </c>
      <c r="BT15" s="27">
        <v>23</v>
      </c>
      <c r="BU15" s="27">
        <v>3</v>
      </c>
      <c r="BV15" s="27">
        <v>0.13043478260869565</v>
      </c>
      <c r="BW15" s="27">
        <v>1</v>
      </c>
      <c r="BX15" s="28">
        <v>0.28789889812025798</v>
      </c>
      <c r="BY15" s="28">
        <v>3.2611145161665989E-5</v>
      </c>
      <c r="BZ15" s="30">
        <v>4708</v>
      </c>
      <c r="CA15" s="30">
        <v>1000</v>
      </c>
      <c r="CB15" s="28">
        <v>5.4</v>
      </c>
    </row>
    <row r="16" spans="1:80" ht="17.399999999999999" x14ac:dyDescent="0.3">
      <c r="A16" s="15" t="s">
        <v>30</v>
      </c>
      <c r="B16" s="16" t="s">
        <v>29</v>
      </c>
      <c r="C16" s="35">
        <v>30.973762000000001</v>
      </c>
      <c r="D16" s="28">
        <v>15</v>
      </c>
      <c r="E16" s="28">
        <v>3</v>
      </c>
      <c r="F16" s="28">
        <v>15</v>
      </c>
      <c r="G16" s="18">
        <v>1</v>
      </c>
      <c r="H16" s="17">
        <v>3</v>
      </c>
      <c r="I16" s="28">
        <v>83</v>
      </c>
      <c r="J16" s="28">
        <v>7</v>
      </c>
      <c r="K16" s="28">
        <v>2</v>
      </c>
      <c r="L16" s="28">
        <v>3</v>
      </c>
      <c r="M16" s="28">
        <v>0</v>
      </c>
      <c r="N16" s="28">
        <v>0</v>
      </c>
      <c r="O16" s="19">
        <v>0</v>
      </c>
      <c r="P16" s="19">
        <v>3</v>
      </c>
      <c r="Q16" s="19">
        <v>10</v>
      </c>
      <c r="R16" s="19">
        <v>14</v>
      </c>
      <c r="S16" s="28">
        <v>5</v>
      </c>
      <c r="T16" s="28">
        <v>5</v>
      </c>
      <c r="U16" s="28">
        <v>5</v>
      </c>
      <c r="V16" s="19">
        <v>3</v>
      </c>
      <c r="W16" s="28">
        <v>3</v>
      </c>
      <c r="X16" s="21">
        <v>3.4119999999999999</v>
      </c>
      <c r="Y16" s="21">
        <v>5.7519999999999998</v>
      </c>
      <c r="Z16" s="35">
        <v>10.486700000000001</v>
      </c>
      <c r="AA16" s="21">
        <v>0.74608932806324124</v>
      </c>
      <c r="AB16" s="22">
        <v>5.62</v>
      </c>
      <c r="AC16" s="21">
        <v>6.3404999999999996</v>
      </c>
      <c r="AD16" s="28">
        <v>2.19</v>
      </c>
      <c r="AE16" s="28">
        <v>2.3199999999999998</v>
      </c>
      <c r="AF16" s="28">
        <v>5.62</v>
      </c>
      <c r="AG16" s="22">
        <v>2.19</v>
      </c>
      <c r="AH16" s="28">
        <v>2.2530000000000001</v>
      </c>
      <c r="AI16" s="22">
        <v>2.2200000000000002</v>
      </c>
      <c r="AJ16" s="22">
        <v>8.33</v>
      </c>
      <c r="AK16" s="28">
        <v>2.1</v>
      </c>
      <c r="AL16" s="22">
        <v>11.2</v>
      </c>
      <c r="AM16" s="35">
        <v>0.98</v>
      </c>
      <c r="AN16" s="35">
        <v>1.06</v>
      </c>
      <c r="AO16" s="35">
        <v>0.57999999999999996</v>
      </c>
      <c r="AP16" s="23">
        <v>1.84</v>
      </c>
      <c r="AQ16" s="23">
        <v>1.02</v>
      </c>
      <c r="AR16" s="23">
        <v>1.8</v>
      </c>
      <c r="AS16" s="35">
        <v>1.24</v>
      </c>
      <c r="AT16" s="35">
        <v>0.31</v>
      </c>
      <c r="AU16" s="23">
        <v>1.07</v>
      </c>
      <c r="AV16" s="23">
        <v>1</v>
      </c>
      <c r="AW16" s="23">
        <v>0.91900000000000004</v>
      </c>
      <c r="AX16" s="23">
        <v>1.28</v>
      </c>
      <c r="AY16" s="23">
        <v>1.1000000000000001</v>
      </c>
      <c r="AZ16" s="28">
        <v>3.6</v>
      </c>
      <c r="BA16" s="28">
        <v>317.25</v>
      </c>
      <c r="BB16" s="28">
        <v>553.15</v>
      </c>
      <c r="BC16" s="28">
        <v>1.82</v>
      </c>
      <c r="BD16" s="28">
        <v>0.77</v>
      </c>
      <c r="BE16" s="28">
        <v>0.65700000000000003</v>
      </c>
      <c r="BF16" s="26">
        <v>12.129</v>
      </c>
      <c r="BG16" s="26">
        <v>315</v>
      </c>
      <c r="BH16" s="28">
        <v>0.23499999999999999</v>
      </c>
      <c r="BI16" s="20" t="s">
        <v>193</v>
      </c>
      <c r="BJ16" s="28">
        <v>3.43</v>
      </c>
      <c r="BK16" s="26">
        <v>30.4</v>
      </c>
      <c r="BL16" s="20" t="s">
        <v>193</v>
      </c>
      <c r="BM16" s="20" t="s">
        <v>193</v>
      </c>
      <c r="BN16" s="20" t="s">
        <v>193</v>
      </c>
      <c r="BO16" s="20" t="s">
        <v>193</v>
      </c>
      <c r="BP16" s="26">
        <v>9.9999999999999995E-8</v>
      </c>
      <c r="BQ16" s="26">
        <v>10000000</v>
      </c>
      <c r="BR16" s="27">
        <v>0.18</v>
      </c>
      <c r="BS16" s="27">
        <v>2.0000000000000001E-4</v>
      </c>
      <c r="BT16" s="27">
        <v>23</v>
      </c>
      <c r="BU16" s="27">
        <v>1</v>
      </c>
      <c r="BV16" s="27">
        <v>4.3478260869565216E-2</v>
      </c>
      <c r="BW16" s="27">
        <v>1</v>
      </c>
      <c r="BX16" s="28">
        <v>1.0719639823626626E-3</v>
      </c>
      <c r="BY16" s="28">
        <v>3.3915590968132631E-7</v>
      </c>
      <c r="BZ16" s="30">
        <v>1951</v>
      </c>
      <c r="CA16" s="30">
        <v>5063</v>
      </c>
      <c r="CB16" s="28">
        <v>4</v>
      </c>
    </row>
    <row r="17" spans="1:80" ht="17.399999999999999" x14ac:dyDescent="0.3">
      <c r="A17" s="15" t="s">
        <v>32</v>
      </c>
      <c r="B17" s="16" t="s">
        <v>31</v>
      </c>
      <c r="C17" s="35">
        <v>32.066000000000003</v>
      </c>
      <c r="D17" s="28">
        <v>16</v>
      </c>
      <c r="E17" s="28">
        <v>3</v>
      </c>
      <c r="F17" s="28">
        <v>16</v>
      </c>
      <c r="G17" s="18">
        <v>1</v>
      </c>
      <c r="H17" s="17">
        <v>3</v>
      </c>
      <c r="I17" s="28">
        <v>88</v>
      </c>
      <c r="J17" s="28">
        <v>7</v>
      </c>
      <c r="K17" s="28">
        <v>2</v>
      </c>
      <c r="L17" s="28">
        <v>4</v>
      </c>
      <c r="M17" s="28">
        <v>0</v>
      </c>
      <c r="N17" s="28">
        <v>0</v>
      </c>
      <c r="O17" s="19">
        <v>0</v>
      </c>
      <c r="P17" s="19">
        <v>2</v>
      </c>
      <c r="Q17" s="19">
        <v>10</v>
      </c>
      <c r="R17" s="19">
        <v>14</v>
      </c>
      <c r="S17" s="28">
        <v>6</v>
      </c>
      <c r="T17" s="28">
        <v>6</v>
      </c>
      <c r="U17" s="28">
        <v>6</v>
      </c>
      <c r="V17" s="19">
        <v>2</v>
      </c>
      <c r="W17" s="28">
        <v>2</v>
      </c>
      <c r="X17" s="21">
        <v>2.617</v>
      </c>
      <c r="Y17" s="21">
        <v>5.7869999999999999</v>
      </c>
      <c r="Z17" s="35">
        <v>10.36</v>
      </c>
      <c r="AA17" s="21">
        <v>2.0720000000000001</v>
      </c>
      <c r="AB17" s="22">
        <v>6.22</v>
      </c>
      <c r="AC17" s="21">
        <v>6.8379000000000003</v>
      </c>
      <c r="AD17" s="28">
        <v>2.58</v>
      </c>
      <c r="AE17" s="28">
        <v>2.65</v>
      </c>
      <c r="AF17" s="28">
        <v>6.22</v>
      </c>
      <c r="AG17" s="22">
        <v>2.58</v>
      </c>
      <c r="AH17" s="28">
        <v>2.589</v>
      </c>
      <c r="AI17" s="22">
        <v>2.4900000000000002</v>
      </c>
      <c r="AJ17" s="22">
        <v>11.88</v>
      </c>
      <c r="AK17" s="28">
        <v>2.5299999999999998</v>
      </c>
      <c r="AL17" s="22">
        <v>16.399999999999999</v>
      </c>
      <c r="AM17" s="35">
        <v>0.88</v>
      </c>
      <c r="AN17" s="35">
        <v>1.02</v>
      </c>
      <c r="AO17" s="35">
        <v>1.7</v>
      </c>
      <c r="AP17" s="23">
        <v>1.81</v>
      </c>
      <c r="AQ17" s="23">
        <v>1.03</v>
      </c>
      <c r="AR17" s="23">
        <v>1.8</v>
      </c>
      <c r="AS17" s="35">
        <v>1.1000000000000001</v>
      </c>
      <c r="AT17" s="35">
        <v>0.43</v>
      </c>
      <c r="AU17" s="23">
        <v>1.05</v>
      </c>
      <c r="AV17" s="23">
        <v>1</v>
      </c>
      <c r="AW17" s="23">
        <v>0.81</v>
      </c>
      <c r="AX17" s="23">
        <v>1.27</v>
      </c>
      <c r="AY17" s="23">
        <v>1.04</v>
      </c>
      <c r="AZ17" s="28">
        <v>2.9</v>
      </c>
      <c r="BA17" s="28">
        <v>385.95</v>
      </c>
      <c r="BB17" s="28">
        <v>717.84999999999991</v>
      </c>
      <c r="BC17" s="28">
        <v>2.0699999999999998</v>
      </c>
      <c r="BD17" s="28">
        <v>0.71</v>
      </c>
      <c r="BE17" s="28">
        <v>1.7175</v>
      </c>
      <c r="BF17" s="26">
        <v>9.8000000000000007</v>
      </c>
      <c r="BG17" s="26">
        <v>279</v>
      </c>
      <c r="BH17" s="28">
        <v>0.26900000000000002</v>
      </c>
      <c r="BI17" s="20" t="s">
        <v>193</v>
      </c>
      <c r="BJ17" s="28">
        <v>2.85</v>
      </c>
      <c r="BK17" s="26">
        <v>7.7</v>
      </c>
      <c r="BL17" s="20" t="s">
        <v>193</v>
      </c>
      <c r="BM17" s="20" t="s">
        <v>193</v>
      </c>
      <c r="BN17" s="20" t="s">
        <v>193</v>
      </c>
      <c r="BO17" s="20" t="s">
        <v>193</v>
      </c>
      <c r="BP17" s="26">
        <v>1000000000000000</v>
      </c>
      <c r="BQ17" s="26">
        <v>1.0000000000000001E-15</v>
      </c>
      <c r="BR17" s="27">
        <v>0.52</v>
      </c>
      <c r="BS17" s="27">
        <v>5.5000000000000003E-4</v>
      </c>
      <c r="BT17" s="27">
        <v>24</v>
      </c>
      <c r="BU17" s="27">
        <v>4</v>
      </c>
      <c r="BV17" s="27">
        <v>0.16666666666666666</v>
      </c>
      <c r="BW17" s="27">
        <v>1</v>
      </c>
      <c r="BX17" s="28">
        <v>3.5732132745422087E-4</v>
      </c>
      <c r="BY17" s="28">
        <v>1.6794739758257999E-5</v>
      </c>
      <c r="BZ17" s="30">
        <v>737</v>
      </c>
      <c r="CA17" s="30">
        <v>1000</v>
      </c>
      <c r="CB17" s="28">
        <v>24</v>
      </c>
    </row>
    <row r="18" spans="1:80" ht="17.399999999999999" x14ac:dyDescent="0.3">
      <c r="A18" s="15" t="s">
        <v>34</v>
      </c>
      <c r="B18" s="16" t="s">
        <v>33</v>
      </c>
      <c r="C18" s="35">
        <v>35.4527</v>
      </c>
      <c r="D18" s="28">
        <v>17</v>
      </c>
      <c r="E18" s="28">
        <v>3</v>
      </c>
      <c r="F18" s="28">
        <v>17</v>
      </c>
      <c r="G18" s="18">
        <v>1</v>
      </c>
      <c r="H18" s="17">
        <v>3</v>
      </c>
      <c r="I18" s="28">
        <v>94</v>
      </c>
      <c r="J18" s="28">
        <v>8</v>
      </c>
      <c r="K18" s="28">
        <v>2</v>
      </c>
      <c r="L18" s="28">
        <v>5</v>
      </c>
      <c r="M18" s="28">
        <v>0</v>
      </c>
      <c r="N18" s="28">
        <v>0</v>
      </c>
      <c r="O18" s="19">
        <v>0</v>
      </c>
      <c r="P18" s="19">
        <v>1</v>
      </c>
      <c r="Q18" s="19">
        <v>10</v>
      </c>
      <c r="R18" s="19">
        <v>14</v>
      </c>
      <c r="S18" s="28">
        <v>7</v>
      </c>
      <c r="T18" s="28">
        <v>7</v>
      </c>
      <c r="U18" s="28">
        <v>7</v>
      </c>
      <c r="V18" s="19">
        <v>1</v>
      </c>
      <c r="W18" s="28">
        <v>0</v>
      </c>
      <c r="X18" s="21">
        <v>2.9279999999999999</v>
      </c>
      <c r="Y18" s="21">
        <v>0.51700000000000002</v>
      </c>
      <c r="Z18" s="35">
        <v>12.967599999999999</v>
      </c>
      <c r="AA18" s="21">
        <v>3.6176597921662665</v>
      </c>
      <c r="AB18" s="22">
        <v>8.3000000000000007</v>
      </c>
      <c r="AC18" s="21">
        <v>7.2923</v>
      </c>
      <c r="AD18" s="28">
        <v>3.16</v>
      </c>
      <c r="AE18" s="28">
        <v>2.98</v>
      </c>
      <c r="AF18" s="28">
        <v>8.3000000000000007</v>
      </c>
      <c r="AG18" s="22">
        <v>3.16</v>
      </c>
      <c r="AH18" s="28">
        <v>2.8690000000000002</v>
      </c>
      <c r="AI18" s="22">
        <v>2.82</v>
      </c>
      <c r="AJ18" s="22">
        <v>14.06</v>
      </c>
      <c r="AK18" s="28">
        <v>2.97</v>
      </c>
      <c r="AL18" s="22">
        <v>23</v>
      </c>
      <c r="AM18" s="35">
        <v>0.79</v>
      </c>
      <c r="AN18" s="35">
        <v>0.99</v>
      </c>
      <c r="AO18" s="35">
        <v>1.67</v>
      </c>
      <c r="AP18" s="23">
        <v>1.38</v>
      </c>
      <c r="AQ18" s="23">
        <v>1.05</v>
      </c>
      <c r="AR18" s="23">
        <v>1.75</v>
      </c>
      <c r="AS18" s="35">
        <v>1.01</v>
      </c>
      <c r="AT18" s="35">
        <v>1.67</v>
      </c>
      <c r="AU18" s="23">
        <v>1.02</v>
      </c>
      <c r="AV18" s="23">
        <v>1</v>
      </c>
      <c r="AW18" s="23">
        <v>0.72499999999999998</v>
      </c>
      <c r="AX18" s="25" t="s">
        <v>193</v>
      </c>
      <c r="AY18" s="23">
        <v>0.99399999999999999</v>
      </c>
      <c r="AZ18" s="28">
        <v>2.2000000000000002</v>
      </c>
      <c r="BA18" s="28">
        <v>172.14999999999998</v>
      </c>
      <c r="BB18" s="28">
        <v>238.54999999999998</v>
      </c>
      <c r="BC18" s="28">
        <v>3.2100000000000002E-3</v>
      </c>
      <c r="BD18" s="28">
        <v>0.48</v>
      </c>
      <c r="BE18" s="28">
        <v>3.23</v>
      </c>
      <c r="BF18" s="26">
        <v>10.199999999999999</v>
      </c>
      <c r="BG18" s="26">
        <v>121</v>
      </c>
      <c r="BH18" s="28">
        <v>8.8999999999999999E-3</v>
      </c>
      <c r="BI18" s="20" t="s">
        <v>193</v>
      </c>
      <c r="BJ18" s="28">
        <v>1.4</v>
      </c>
      <c r="BK18" s="26">
        <v>1.1000000000000001</v>
      </c>
      <c r="BL18" s="20" t="s">
        <v>193</v>
      </c>
      <c r="BM18" s="20" t="s">
        <v>193</v>
      </c>
      <c r="BN18" s="20" t="s">
        <v>193</v>
      </c>
      <c r="BO18" s="20" t="s">
        <v>193</v>
      </c>
      <c r="BP18" s="26">
        <v>100</v>
      </c>
      <c r="BQ18" s="26">
        <v>0.01</v>
      </c>
      <c r="BR18" s="27">
        <v>35.299999999999997</v>
      </c>
      <c r="BS18" s="27">
        <v>3.3000000000000002E-2</v>
      </c>
      <c r="BT18" s="27">
        <v>24</v>
      </c>
      <c r="BU18" s="27">
        <v>2</v>
      </c>
      <c r="BV18" s="27">
        <v>8.3333333333333329E-2</v>
      </c>
      <c r="BW18" s="27">
        <v>1</v>
      </c>
      <c r="BX18" s="28">
        <v>1.4803312137389151E-4</v>
      </c>
      <c r="BY18" s="28">
        <v>1.7088240064712963E-7</v>
      </c>
      <c r="BZ18" s="30">
        <v>1500</v>
      </c>
      <c r="CA18" s="30">
        <v>1500</v>
      </c>
      <c r="CB18" s="28">
        <v>0.15</v>
      </c>
    </row>
    <row r="19" spans="1:80" ht="17.399999999999999" x14ac:dyDescent="0.3">
      <c r="A19" s="15" t="s">
        <v>36</v>
      </c>
      <c r="B19" s="16" t="s">
        <v>35</v>
      </c>
      <c r="C19" s="35">
        <v>39.948</v>
      </c>
      <c r="D19" s="28">
        <v>18</v>
      </c>
      <c r="E19" s="28">
        <v>3</v>
      </c>
      <c r="F19" s="28">
        <v>18</v>
      </c>
      <c r="G19" s="18">
        <v>1</v>
      </c>
      <c r="H19" s="17">
        <v>3</v>
      </c>
      <c r="I19" s="28">
        <v>100</v>
      </c>
      <c r="J19" s="28">
        <v>9</v>
      </c>
      <c r="K19" s="28">
        <v>2</v>
      </c>
      <c r="L19" s="28">
        <v>6</v>
      </c>
      <c r="M19" s="28">
        <v>0</v>
      </c>
      <c r="N19" s="28">
        <v>0</v>
      </c>
      <c r="O19" s="19">
        <v>0</v>
      </c>
      <c r="P19" s="19">
        <v>0</v>
      </c>
      <c r="Q19" s="19">
        <v>10</v>
      </c>
      <c r="R19" s="19">
        <v>14</v>
      </c>
      <c r="S19" s="28">
        <v>8</v>
      </c>
      <c r="T19" s="28">
        <v>8</v>
      </c>
      <c r="U19" s="28">
        <v>8</v>
      </c>
      <c r="V19" s="20" t="s">
        <v>193</v>
      </c>
      <c r="W19" s="28">
        <v>0</v>
      </c>
      <c r="X19" s="21">
        <v>3.2280000000000002</v>
      </c>
      <c r="Y19" s="21">
        <v>0.46899999999999997</v>
      </c>
      <c r="Z19" s="35">
        <v>15.759600000000001</v>
      </c>
      <c r="AA19" s="21">
        <v>-0.99468875739644969</v>
      </c>
      <c r="AB19" s="20" t="s">
        <v>193</v>
      </c>
      <c r="AC19" s="21">
        <v>7.6515000000000004</v>
      </c>
      <c r="AD19" s="28" t="s">
        <v>193</v>
      </c>
      <c r="AE19" s="28" t="s">
        <v>193</v>
      </c>
      <c r="AF19" s="28" t="s">
        <v>193</v>
      </c>
      <c r="AG19" s="20" t="s">
        <v>193</v>
      </c>
      <c r="AH19" s="28">
        <v>3.242</v>
      </c>
      <c r="AI19" s="22">
        <v>3.18</v>
      </c>
      <c r="AJ19" s="22">
        <v>12.55</v>
      </c>
      <c r="AK19" s="28" t="s">
        <v>193</v>
      </c>
      <c r="AL19" s="22">
        <v>31.2</v>
      </c>
      <c r="AM19" s="35">
        <v>0.71</v>
      </c>
      <c r="AN19" s="35">
        <v>0.97</v>
      </c>
      <c r="AO19" s="35">
        <v>1.88</v>
      </c>
      <c r="AP19" s="24">
        <v>1.3</v>
      </c>
      <c r="AQ19" s="24">
        <v>1.75</v>
      </c>
      <c r="AR19" s="23">
        <v>1.88</v>
      </c>
      <c r="AS19" s="35">
        <v>2.57</v>
      </c>
      <c r="AT19" s="35">
        <v>1.88</v>
      </c>
      <c r="AU19" s="23">
        <v>1.06</v>
      </c>
      <c r="AV19" s="23">
        <v>0.71</v>
      </c>
      <c r="AW19" s="23">
        <v>0.65900000000000003</v>
      </c>
      <c r="AX19" s="25" t="s">
        <v>193</v>
      </c>
      <c r="AY19" s="25" t="s">
        <v>193</v>
      </c>
      <c r="AZ19" s="28">
        <v>1.5860000000000001</v>
      </c>
      <c r="BA19" s="28">
        <v>83.949999999999989</v>
      </c>
      <c r="BB19" s="28">
        <v>87.449999999999989</v>
      </c>
      <c r="BC19" s="28">
        <v>1.7799999999999999E-3</v>
      </c>
      <c r="BD19" s="28">
        <v>0.52</v>
      </c>
      <c r="BE19" s="28">
        <v>1.1879999999999999</v>
      </c>
      <c r="BF19" s="26">
        <v>6.4470000000000001</v>
      </c>
      <c r="BG19" s="26">
        <v>0</v>
      </c>
      <c r="BH19" s="28">
        <v>1.772E-2</v>
      </c>
      <c r="BI19" s="20" t="s">
        <v>193</v>
      </c>
      <c r="BJ19" s="28">
        <v>0.08</v>
      </c>
      <c r="BK19" s="20" t="s">
        <v>193</v>
      </c>
      <c r="BL19" s="20" t="s">
        <v>193</v>
      </c>
      <c r="BM19" s="20" t="s">
        <v>193</v>
      </c>
      <c r="BN19" s="20" t="s">
        <v>193</v>
      </c>
      <c r="BO19" s="20" t="s">
        <v>193</v>
      </c>
      <c r="BP19" s="20" t="s">
        <v>193</v>
      </c>
      <c r="BQ19" s="20" t="s">
        <v>193</v>
      </c>
      <c r="BR19" s="27">
        <v>0.66</v>
      </c>
      <c r="BS19" s="27">
        <v>5.9000000000000003E-4</v>
      </c>
      <c r="BT19" s="27">
        <v>24</v>
      </c>
      <c r="BU19" s="27">
        <v>3</v>
      </c>
      <c r="BV19" s="27">
        <v>0.125</v>
      </c>
      <c r="BW19" s="27">
        <v>1</v>
      </c>
      <c r="BX19" s="28">
        <v>3.5732132745422087E-6</v>
      </c>
      <c r="BY19" s="28">
        <v>3.2937256613282678E-6</v>
      </c>
      <c r="BZ19" s="29" t="s">
        <v>193</v>
      </c>
      <c r="CA19" s="29" t="s">
        <v>193</v>
      </c>
      <c r="CB19" s="28">
        <v>0.5</v>
      </c>
    </row>
    <row r="20" spans="1:80" ht="17.399999999999999" x14ac:dyDescent="0.3">
      <c r="A20" s="15" t="s">
        <v>38</v>
      </c>
      <c r="B20" s="16" t="s">
        <v>37</v>
      </c>
      <c r="C20" s="35">
        <v>39.098300000000002</v>
      </c>
      <c r="D20" s="28">
        <v>19</v>
      </c>
      <c r="E20" s="28">
        <v>4</v>
      </c>
      <c r="F20" s="28">
        <v>1</v>
      </c>
      <c r="G20" s="18">
        <v>0</v>
      </c>
      <c r="H20" s="17">
        <v>1</v>
      </c>
      <c r="I20" s="28">
        <v>3</v>
      </c>
      <c r="J20" s="28">
        <v>1</v>
      </c>
      <c r="K20" s="28">
        <v>1</v>
      </c>
      <c r="L20" s="28">
        <v>0</v>
      </c>
      <c r="M20" s="28">
        <v>0</v>
      </c>
      <c r="N20" s="28">
        <v>0</v>
      </c>
      <c r="O20" s="19">
        <v>1</v>
      </c>
      <c r="P20" s="19">
        <v>6</v>
      </c>
      <c r="Q20" s="19">
        <v>10</v>
      </c>
      <c r="R20" s="19">
        <v>14</v>
      </c>
      <c r="S20" s="28">
        <v>1</v>
      </c>
      <c r="T20" s="28">
        <v>1</v>
      </c>
      <c r="U20" s="28">
        <v>1</v>
      </c>
      <c r="V20" s="19">
        <v>1</v>
      </c>
      <c r="W20" s="28">
        <v>1</v>
      </c>
      <c r="X20" s="21">
        <v>1.694</v>
      </c>
      <c r="Y20" s="21">
        <v>0.89400000000000002</v>
      </c>
      <c r="Z20" s="35">
        <v>4.3407</v>
      </c>
      <c r="AA20" s="21">
        <v>0.49726396181384247</v>
      </c>
      <c r="AB20" s="22">
        <v>2.42</v>
      </c>
      <c r="AC20" s="21">
        <v>2.0026999999999999</v>
      </c>
      <c r="AD20" s="28">
        <v>0.82</v>
      </c>
      <c r="AE20" s="28">
        <v>0.8</v>
      </c>
      <c r="AF20" s="28">
        <v>2.42</v>
      </c>
      <c r="AG20" s="22">
        <v>0.82</v>
      </c>
      <c r="AH20" s="28">
        <v>0.73399999999999999</v>
      </c>
      <c r="AI20" s="22">
        <v>0.84</v>
      </c>
      <c r="AJ20" s="22">
        <v>2.48</v>
      </c>
      <c r="AK20" s="28">
        <v>0.8</v>
      </c>
      <c r="AL20" s="22">
        <v>0.46700000000000003</v>
      </c>
      <c r="AM20" s="35">
        <v>2.4300000000000002</v>
      </c>
      <c r="AN20" s="35">
        <v>1.96</v>
      </c>
      <c r="AO20" s="35">
        <v>1.52</v>
      </c>
      <c r="AP20" s="23">
        <v>1.38</v>
      </c>
      <c r="AQ20" s="23">
        <v>2.2999999999999998</v>
      </c>
      <c r="AR20" s="23">
        <v>2.75</v>
      </c>
      <c r="AS20" s="35">
        <v>3.69</v>
      </c>
      <c r="AT20" s="35">
        <v>1.52</v>
      </c>
      <c r="AU20" s="23">
        <v>2.0299999999999998</v>
      </c>
      <c r="AV20" s="23">
        <v>2.2000000000000002</v>
      </c>
      <c r="AW20" s="23">
        <v>2.1619999999999999</v>
      </c>
      <c r="AX20" s="23">
        <v>2.3490000000000002</v>
      </c>
      <c r="AY20" s="23">
        <v>2.0249999999999999</v>
      </c>
      <c r="AZ20" s="28">
        <v>43.4</v>
      </c>
      <c r="BA20" s="28">
        <v>336.4</v>
      </c>
      <c r="BB20" s="28">
        <v>1033.1500000000001</v>
      </c>
      <c r="BC20" s="28">
        <v>0.86</v>
      </c>
      <c r="BD20" s="28">
        <v>0.75</v>
      </c>
      <c r="BE20" s="28">
        <v>2.3340000000000001</v>
      </c>
      <c r="BF20" s="26">
        <v>79.87</v>
      </c>
      <c r="BG20" s="26">
        <v>90</v>
      </c>
      <c r="BH20" s="28">
        <v>102.4</v>
      </c>
      <c r="BI20" s="31">
        <v>8.2999999999999998E-5</v>
      </c>
      <c r="BJ20" s="28">
        <v>0.93400000000000005</v>
      </c>
      <c r="BK20" s="26">
        <v>3.2</v>
      </c>
      <c r="BL20" s="26">
        <v>1.3</v>
      </c>
      <c r="BM20" s="26">
        <v>3.53</v>
      </c>
      <c r="BN20" s="20" t="s">
        <v>193</v>
      </c>
      <c r="BO20" s="26">
        <v>3.6299999999999999E-4</v>
      </c>
      <c r="BP20" s="26">
        <v>7.0000000000020003E-8</v>
      </c>
      <c r="BQ20" s="26">
        <v>14000000</v>
      </c>
      <c r="BR20" s="27">
        <v>2.1</v>
      </c>
      <c r="BS20" s="27">
        <v>1.8E-3</v>
      </c>
      <c r="BT20" s="27">
        <v>24</v>
      </c>
      <c r="BU20" s="27">
        <v>2</v>
      </c>
      <c r="BV20" s="27">
        <v>8.3333333333333329E-2</v>
      </c>
      <c r="BW20" s="27">
        <v>0.99988299999999997</v>
      </c>
      <c r="BX20" s="28">
        <v>2.1337187839409189E-2</v>
      </c>
      <c r="BY20" s="28">
        <v>1.2294401725948071E-7</v>
      </c>
      <c r="BZ20" s="30">
        <v>1738</v>
      </c>
      <c r="CA20" s="30">
        <v>7201</v>
      </c>
      <c r="CB20" s="28">
        <v>85</v>
      </c>
    </row>
    <row r="21" spans="1:80" ht="17.399999999999999" x14ac:dyDescent="0.3">
      <c r="A21" s="15" t="s">
        <v>40</v>
      </c>
      <c r="B21" s="16" t="s">
        <v>39</v>
      </c>
      <c r="C21" s="35">
        <v>40.078000000000003</v>
      </c>
      <c r="D21" s="28">
        <v>20</v>
      </c>
      <c r="E21" s="28">
        <v>4</v>
      </c>
      <c r="F21" s="28">
        <v>2</v>
      </c>
      <c r="G21" s="18">
        <v>0</v>
      </c>
      <c r="H21" s="17">
        <v>1</v>
      </c>
      <c r="I21" s="28">
        <v>7</v>
      </c>
      <c r="J21" s="28">
        <v>2</v>
      </c>
      <c r="K21" s="28">
        <v>2</v>
      </c>
      <c r="L21" s="28">
        <v>0</v>
      </c>
      <c r="M21" s="28">
        <v>0</v>
      </c>
      <c r="N21" s="28">
        <v>0</v>
      </c>
      <c r="O21" s="19">
        <v>0</v>
      </c>
      <c r="P21" s="19">
        <v>6</v>
      </c>
      <c r="Q21" s="19">
        <v>10</v>
      </c>
      <c r="R21" s="19">
        <v>14</v>
      </c>
      <c r="S21" s="28">
        <v>2</v>
      </c>
      <c r="T21" s="28">
        <v>2</v>
      </c>
      <c r="U21" s="28">
        <v>2</v>
      </c>
      <c r="V21" s="19">
        <v>2</v>
      </c>
      <c r="W21" s="28">
        <v>2</v>
      </c>
      <c r="X21" s="21">
        <v>2.68</v>
      </c>
      <c r="Y21" s="21">
        <v>1.004</v>
      </c>
      <c r="Z21" s="35">
        <v>6.1132</v>
      </c>
      <c r="AA21" s="21">
        <v>2.072271186440678E-2</v>
      </c>
      <c r="AB21" s="22">
        <v>2.2000000000000002</v>
      </c>
      <c r="AC21" s="21">
        <v>2.6964999999999999</v>
      </c>
      <c r="AD21" s="28">
        <v>1</v>
      </c>
      <c r="AE21" s="28">
        <v>1.17</v>
      </c>
      <c r="AF21" s="28">
        <v>2.2000000000000002</v>
      </c>
      <c r="AG21" s="22">
        <v>1</v>
      </c>
      <c r="AH21" s="28">
        <v>1.034</v>
      </c>
      <c r="AI21" s="22">
        <v>1.1100000000000001</v>
      </c>
      <c r="AJ21" s="22">
        <v>2.19</v>
      </c>
      <c r="AK21" s="28">
        <v>1</v>
      </c>
      <c r="AL21" s="22">
        <v>1.02</v>
      </c>
      <c r="AM21" s="35">
        <v>1.94</v>
      </c>
      <c r="AN21" s="35">
        <v>1.74</v>
      </c>
      <c r="AO21" s="35">
        <v>1.1399999999999999</v>
      </c>
      <c r="AP21" s="23">
        <v>1</v>
      </c>
      <c r="AQ21" s="23">
        <v>2.0099999999999998</v>
      </c>
      <c r="AR21" s="23">
        <v>2.31</v>
      </c>
      <c r="AS21" s="35">
        <v>3</v>
      </c>
      <c r="AT21" s="35">
        <v>1.1399999999999999</v>
      </c>
      <c r="AU21" s="23">
        <v>1.76</v>
      </c>
      <c r="AV21" s="23">
        <v>1.8</v>
      </c>
      <c r="AW21" s="23">
        <v>1.69</v>
      </c>
      <c r="AX21" s="23">
        <v>1.97</v>
      </c>
      <c r="AY21" s="23">
        <v>1.736</v>
      </c>
      <c r="AZ21" s="28">
        <v>22.8</v>
      </c>
      <c r="BA21" s="28">
        <v>1112.1500000000001</v>
      </c>
      <c r="BB21" s="28">
        <v>1757.15</v>
      </c>
      <c r="BC21" s="28">
        <v>1.55</v>
      </c>
      <c r="BD21" s="28">
        <v>0.63</v>
      </c>
      <c r="BE21" s="28">
        <v>8.5399999999999991</v>
      </c>
      <c r="BF21" s="26">
        <v>153.30000000000001</v>
      </c>
      <c r="BG21" s="26">
        <v>178</v>
      </c>
      <c r="BH21" s="28">
        <v>200</v>
      </c>
      <c r="BI21" s="26">
        <v>2.23E-5</v>
      </c>
      <c r="BJ21" s="28">
        <v>1.84</v>
      </c>
      <c r="BK21" s="26">
        <v>17.2</v>
      </c>
      <c r="BL21" s="26">
        <v>7.4</v>
      </c>
      <c r="BM21" s="26">
        <v>20</v>
      </c>
      <c r="BN21" s="20" t="s">
        <v>193</v>
      </c>
      <c r="BO21" s="26">
        <v>0.16700000000000001</v>
      </c>
      <c r="BP21" s="26">
        <v>3.3999999999990001E-8</v>
      </c>
      <c r="BQ21" s="26">
        <v>29000000</v>
      </c>
      <c r="BR21" s="27">
        <v>0.43</v>
      </c>
      <c r="BS21" s="27">
        <v>3.6999999999999999E-4</v>
      </c>
      <c r="BT21" s="27">
        <v>24</v>
      </c>
      <c r="BU21" s="27">
        <v>5</v>
      </c>
      <c r="BV21" s="27">
        <v>0.20833333333333334</v>
      </c>
      <c r="BW21" s="27">
        <v>0.99812999999999996</v>
      </c>
      <c r="BX21" s="28">
        <v>4.2368100255286187E-2</v>
      </c>
      <c r="BY21" s="28">
        <v>1.9925409693777935E-6</v>
      </c>
      <c r="BZ21" s="30">
        <v>3860</v>
      </c>
      <c r="CA21" s="30">
        <v>1500</v>
      </c>
      <c r="CB21" s="28">
        <v>11</v>
      </c>
    </row>
    <row r="22" spans="1:80" ht="17.399999999999999" x14ac:dyDescent="0.3">
      <c r="A22" s="15" t="s">
        <v>42</v>
      </c>
      <c r="B22" s="16" t="s">
        <v>41</v>
      </c>
      <c r="C22" s="35">
        <v>44.955910000000003</v>
      </c>
      <c r="D22" s="28">
        <v>21</v>
      </c>
      <c r="E22" s="28">
        <v>4</v>
      </c>
      <c r="F22" s="28">
        <v>3</v>
      </c>
      <c r="G22" s="18">
        <v>2</v>
      </c>
      <c r="H22" s="17">
        <v>1</v>
      </c>
      <c r="I22" s="28">
        <v>11</v>
      </c>
      <c r="J22" s="28">
        <v>3</v>
      </c>
      <c r="K22" s="28">
        <v>2</v>
      </c>
      <c r="L22" s="28">
        <v>0</v>
      </c>
      <c r="M22" s="28">
        <v>1</v>
      </c>
      <c r="N22" s="28">
        <v>0</v>
      </c>
      <c r="O22" s="19">
        <v>0</v>
      </c>
      <c r="P22" s="19">
        <v>6</v>
      </c>
      <c r="Q22" s="19">
        <v>9</v>
      </c>
      <c r="R22" s="19">
        <v>14</v>
      </c>
      <c r="S22" s="28">
        <v>3</v>
      </c>
      <c r="T22" s="28">
        <v>2</v>
      </c>
      <c r="U22" s="28">
        <v>1</v>
      </c>
      <c r="V22" s="19">
        <v>3</v>
      </c>
      <c r="W22" s="28">
        <v>3</v>
      </c>
      <c r="X22" s="21">
        <v>2.7770000000000001</v>
      </c>
      <c r="Y22" s="21">
        <v>0.96899999999999997</v>
      </c>
      <c r="Z22" s="35">
        <v>6.5614999999999997</v>
      </c>
      <c r="AA22" s="21">
        <v>0.18658293838862558</v>
      </c>
      <c r="AB22" s="22">
        <v>3.34</v>
      </c>
      <c r="AC22" s="21">
        <v>2.8571</v>
      </c>
      <c r="AD22" s="28">
        <v>1.36</v>
      </c>
      <c r="AE22" s="28">
        <v>1.5</v>
      </c>
      <c r="AF22" s="28">
        <v>3.34</v>
      </c>
      <c r="AG22" s="22">
        <v>1.36</v>
      </c>
      <c r="AH22" s="28">
        <v>1.19</v>
      </c>
      <c r="AI22" s="22">
        <v>1.17</v>
      </c>
      <c r="AJ22" s="22">
        <v>1.83</v>
      </c>
      <c r="AK22" s="28">
        <v>1.3</v>
      </c>
      <c r="AL22" s="22">
        <v>1.18</v>
      </c>
      <c r="AM22" s="35">
        <v>1.84</v>
      </c>
      <c r="AN22" s="35">
        <v>1.44</v>
      </c>
      <c r="AO22" s="35">
        <v>0.89</v>
      </c>
      <c r="AP22" s="23">
        <v>0.75</v>
      </c>
      <c r="AQ22" s="23">
        <v>1.62</v>
      </c>
      <c r="AR22" s="23">
        <v>2.2999999999999998</v>
      </c>
      <c r="AS22" s="35">
        <v>2.75</v>
      </c>
      <c r="AT22" s="35">
        <v>0.89</v>
      </c>
      <c r="AU22" s="23">
        <v>1.7</v>
      </c>
      <c r="AV22" s="23">
        <v>1.6</v>
      </c>
      <c r="AW22" s="23">
        <v>1.57</v>
      </c>
      <c r="AX22" s="23">
        <v>1.62</v>
      </c>
      <c r="AY22" s="23">
        <v>1.4390000000000001</v>
      </c>
      <c r="AZ22" s="28">
        <v>17.8</v>
      </c>
      <c r="BA22" s="28">
        <v>1814.15</v>
      </c>
      <c r="BB22" s="28">
        <v>3105.15</v>
      </c>
      <c r="BC22" s="28">
        <v>2.99</v>
      </c>
      <c r="BD22" s="28">
        <v>0.6</v>
      </c>
      <c r="BE22" s="28">
        <v>14.1</v>
      </c>
      <c r="BF22" s="26">
        <v>314.2</v>
      </c>
      <c r="BG22" s="26">
        <v>378</v>
      </c>
      <c r="BH22" s="28">
        <v>15.8</v>
      </c>
      <c r="BI22" s="26">
        <v>1.0200000000000001E-5</v>
      </c>
      <c r="BJ22" s="28">
        <v>3.9</v>
      </c>
      <c r="BK22" s="26">
        <v>56.6</v>
      </c>
      <c r="BL22" s="26">
        <v>29</v>
      </c>
      <c r="BM22" s="26">
        <v>74</v>
      </c>
      <c r="BN22" s="20" t="s">
        <v>193</v>
      </c>
      <c r="BO22" s="26">
        <v>0.75</v>
      </c>
      <c r="BP22" s="26">
        <v>5.5000000000000003E-7</v>
      </c>
      <c r="BQ22" s="26">
        <v>1800000</v>
      </c>
      <c r="BR22" s="27">
        <v>27.2</v>
      </c>
      <c r="BS22" s="27">
        <v>2.5000000000000001E-2</v>
      </c>
      <c r="BT22" s="27">
        <v>25</v>
      </c>
      <c r="BU22" s="27">
        <v>1</v>
      </c>
      <c r="BV22" s="27">
        <v>0.04</v>
      </c>
      <c r="BW22" s="27">
        <v>1</v>
      </c>
      <c r="BX22" s="28">
        <v>2.2460197725693882E-5</v>
      </c>
      <c r="BY22" s="28">
        <v>1.1153011645289771E-9</v>
      </c>
      <c r="BZ22" s="30">
        <v>5500</v>
      </c>
      <c r="CA22" s="30">
        <v>4500</v>
      </c>
      <c r="CB22" s="28">
        <v>1400</v>
      </c>
    </row>
    <row r="23" spans="1:80" ht="17.399999999999999" x14ac:dyDescent="0.3">
      <c r="A23" s="15" t="s">
        <v>44</v>
      </c>
      <c r="B23" s="16" t="s">
        <v>43</v>
      </c>
      <c r="C23" s="35">
        <v>47.866999999999997</v>
      </c>
      <c r="D23" s="28">
        <v>22</v>
      </c>
      <c r="E23" s="28">
        <v>4</v>
      </c>
      <c r="F23" s="28">
        <v>4</v>
      </c>
      <c r="G23" s="18">
        <v>2</v>
      </c>
      <c r="H23" s="17">
        <v>1</v>
      </c>
      <c r="I23" s="28">
        <v>43</v>
      </c>
      <c r="J23" s="28">
        <v>4</v>
      </c>
      <c r="K23" s="28">
        <v>2</v>
      </c>
      <c r="L23" s="28">
        <v>0</v>
      </c>
      <c r="M23" s="28">
        <v>2</v>
      </c>
      <c r="N23" s="28">
        <v>0</v>
      </c>
      <c r="O23" s="19">
        <v>0</v>
      </c>
      <c r="P23" s="19">
        <v>6</v>
      </c>
      <c r="Q23" s="19">
        <v>8</v>
      </c>
      <c r="R23" s="19">
        <v>14</v>
      </c>
      <c r="S23" s="28">
        <v>4</v>
      </c>
      <c r="T23" s="28">
        <v>2</v>
      </c>
      <c r="U23" s="28">
        <v>2</v>
      </c>
      <c r="V23" s="19">
        <v>4</v>
      </c>
      <c r="W23" s="28">
        <v>4</v>
      </c>
      <c r="X23" s="21">
        <v>2.8330000000000002</v>
      </c>
      <c r="Y23" s="21">
        <v>0.95</v>
      </c>
      <c r="Z23" s="35">
        <v>6.8281000000000001</v>
      </c>
      <c r="AA23" s="21">
        <v>8.2890440060698026E-2</v>
      </c>
      <c r="AB23" s="22">
        <v>3.45</v>
      </c>
      <c r="AC23" s="21">
        <v>3.004</v>
      </c>
      <c r="AD23" s="28">
        <v>1.54</v>
      </c>
      <c r="AE23" s="28">
        <v>1.86</v>
      </c>
      <c r="AF23" s="28">
        <v>3.45</v>
      </c>
      <c r="AG23" s="22">
        <v>1.54</v>
      </c>
      <c r="AH23" s="28">
        <v>1.38</v>
      </c>
      <c r="AI23" s="22">
        <v>1.23</v>
      </c>
      <c r="AJ23" s="22">
        <v>2.2799999999999998</v>
      </c>
      <c r="AK23" s="28">
        <v>1.6</v>
      </c>
      <c r="AL23" s="22">
        <v>1.37</v>
      </c>
      <c r="AM23" s="35">
        <v>1.76</v>
      </c>
      <c r="AN23" s="35">
        <v>1.36</v>
      </c>
      <c r="AO23" s="35">
        <v>1</v>
      </c>
      <c r="AP23" s="23">
        <v>0.86</v>
      </c>
      <c r="AQ23" s="23">
        <v>1.42</v>
      </c>
      <c r="AR23" s="23">
        <v>2.15</v>
      </c>
      <c r="AS23" s="35">
        <v>2.58</v>
      </c>
      <c r="AT23" s="35">
        <v>0.75</v>
      </c>
      <c r="AU23" s="23">
        <v>1.6</v>
      </c>
      <c r="AV23" s="23">
        <v>1.4</v>
      </c>
      <c r="AW23" s="23">
        <v>1.4769999999999999</v>
      </c>
      <c r="AX23" s="23">
        <v>1.4670000000000001</v>
      </c>
      <c r="AY23" s="23">
        <v>1.3240000000000001</v>
      </c>
      <c r="AZ23" s="28">
        <v>14.6</v>
      </c>
      <c r="BA23" s="28">
        <v>1933.15</v>
      </c>
      <c r="BB23" s="28">
        <v>3560.15</v>
      </c>
      <c r="BC23" s="28">
        <v>4.54</v>
      </c>
      <c r="BD23" s="28">
        <v>0.52</v>
      </c>
      <c r="BE23" s="28">
        <v>15.45</v>
      </c>
      <c r="BF23" s="26">
        <v>421</v>
      </c>
      <c r="BG23" s="26">
        <v>470</v>
      </c>
      <c r="BH23" s="28">
        <v>21.9</v>
      </c>
      <c r="BI23" s="26">
        <v>8.6000000000000007E-6</v>
      </c>
      <c r="BJ23" s="28">
        <v>4.8499999999999996</v>
      </c>
      <c r="BK23" s="26">
        <v>108</v>
      </c>
      <c r="BL23" s="26">
        <v>44</v>
      </c>
      <c r="BM23" s="26">
        <v>116</v>
      </c>
      <c r="BN23" s="26">
        <v>0.97</v>
      </c>
      <c r="BO23" s="26">
        <v>0.71499999999999997</v>
      </c>
      <c r="BP23" s="26">
        <v>3.9999999999999998E-7</v>
      </c>
      <c r="BQ23" s="26">
        <v>2500000</v>
      </c>
      <c r="BR23" s="27">
        <v>6.1</v>
      </c>
      <c r="BS23" s="27">
        <v>4.4000000000000003E-3</v>
      </c>
      <c r="BT23" s="27">
        <v>26</v>
      </c>
      <c r="BU23" s="27">
        <v>5</v>
      </c>
      <c r="BV23" s="27">
        <v>0.19230769230769232</v>
      </c>
      <c r="BW23" s="27">
        <v>1</v>
      </c>
      <c r="BX23" s="28">
        <v>5.7681871431895654E-3</v>
      </c>
      <c r="BY23" s="28">
        <v>7.8266748387998391E-8</v>
      </c>
      <c r="BZ23" s="30">
        <v>1119</v>
      </c>
      <c r="CA23" s="30">
        <v>1552</v>
      </c>
      <c r="CB23" s="28">
        <v>6.1</v>
      </c>
    </row>
    <row r="24" spans="1:80" ht="17.399999999999999" x14ac:dyDescent="0.3">
      <c r="A24" s="15" t="s">
        <v>46</v>
      </c>
      <c r="B24" s="16" t="s">
        <v>45</v>
      </c>
      <c r="C24" s="35">
        <v>50.941499999999998</v>
      </c>
      <c r="D24" s="28">
        <v>23</v>
      </c>
      <c r="E24" s="28">
        <v>4</v>
      </c>
      <c r="F24" s="28">
        <v>5</v>
      </c>
      <c r="G24" s="18">
        <v>2</v>
      </c>
      <c r="H24" s="17">
        <v>1</v>
      </c>
      <c r="I24" s="28">
        <v>46</v>
      </c>
      <c r="J24" s="28">
        <v>4</v>
      </c>
      <c r="K24" s="28">
        <v>2</v>
      </c>
      <c r="L24" s="28">
        <v>0</v>
      </c>
      <c r="M24" s="28">
        <v>3</v>
      </c>
      <c r="N24" s="28">
        <v>0</v>
      </c>
      <c r="O24" s="19">
        <v>0</v>
      </c>
      <c r="P24" s="19">
        <v>6</v>
      </c>
      <c r="Q24" s="19">
        <v>7</v>
      </c>
      <c r="R24" s="19">
        <v>14</v>
      </c>
      <c r="S24" s="28">
        <v>5</v>
      </c>
      <c r="T24" s="28">
        <v>2</v>
      </c>
      <c r="U24" s="28">
        <v>3</v>
      </c>
      <c r="V24" s="19">
        <v>5</v>
      </c>
      <c r="W24" s="28">
        <v>5</v>
      </c>
      <c r="X24" s="21">
        <v>2.8159999999999998</v>
      </c>
      <c r="Y24" s="21">
        <v>0.95599999999999996</v>
      </c>
      <c r="Z24" s="35">
        <v>6.7462</v>
      </c>
      <c r="AA24" s="21">
        <v>0.52850414746543783</v>
      </c>
      <c r="AB24" s="22">
        <v>3.6</v>
      </c>
      <c r="AC24" s="21">
        <v>3.1482000000000001</v>
      </c>
      <c r="AD24" s="28">
        <v>1.63</v>
      </c>
      <c r="AE24" s="28">
        <v>2.2200000000000002</v>
      </c>
      <c r="AF24" s="28">
        <v>3.6</v>
      </c>
      <c r="AG24" s="22">
        <v>1.63</v>
      </c>
      <c r="AH24" s="28">
        <v>1.53</v>
      </c>
      <c r="AI24" s="22">
        <v>1.27</v>
      </c>
      <c r="AJ24" s="22">
        <v>2.42</v>
      </c>
      <c r="AK24" s="28">
        <v>1.9</v>
      </c>
      <c r="AL24" s="22">
        <v>1.58</v>
      </c>
      <c r="AM24" s="35">
        <v>1.71</v>
      </c>
      <c r="AN24" s="35">
        <v>1.25</v>
      </c>
      <c r="AO24" s="35">
        <v>0.93</v>
      </c>
      <c r="AP24" s="23">
        <v>0.79</v>
      </c>
      <c r="AQ24" s="23">
        <v>1.34</v>
      </c>
      <c r="AR24" s="23">
        <v>2.0499999999999998</v>
      </c>
      <c r="AS24" s="35">
        <v>2.4300000000000002</v>
      </c>
      <c r="AT24" s="35">
        <v>0.68</v>
      </c>
      <c r="AU24" s="23">
        <v>1.53</v>
      </c>
      <c r="AV24" s="23">
        <v>1.35</v>
      </c>
      <c r="AW24" s="23">
        <v>1.401</v>
      </c>
      <c r="AX24" s="23">
        <v>1.3380000000000001</v>
      </c>
      <c r="AY24" s="23">
        <v>1.224</v>
      </c>
      <c r="AZ24" s="28">
        <v>12.4</v>
      </c>
      <c r="BA24" s="28">
        <v>2163.15</v>
      </c>
      <c r="BB24" s="28">
        <v>3653.15</v>
      </c>
      <c r="BC24" s="28">
        <v>6.11</v>
      </c>
      <c r="BD24" s="28">
        <v>0.49</v>
      </c>
      <c r="BE24" s="28">
        <v>20.9</v>
      </c>
      <c r="BF24" s="26">
        <v>453</v>
      </c>
      <c r="BG24" s="26">
        <v>514</v>
      </c>
      <c r="BH24" s="28">
        <v>30.7</v>
      </c>
      <c r="BI24" s="26">
        <v>8.3999999999999992E-6</v>
      </c>
      <c r="BJ24" s="28">
        <v>5.31</v>
      </c>
      <c r="BK24" s="26">
        <v>158</v>
      </c>
      <c r="BL24" s="26">
        <v>47</v>
      </c>
      <c r="BM24" s="26">
        <v>128</v>
      </c>
      <c r="BN24" s="26">
        <v>0.628</v>
      </c>
      <c r="BO24" s="26">
        <v>0.628</v>
      </c>
      <c r="BP24" s="26">
        <v>1.9999999999999999E-7</v>
      </c>
      <c r="BQ24" s="26">
        <v>5000000</v>
      </c>
      <c r="BR24" s="27">
        <v>5.0599999999999996</v>
      </c>
      <c r="BS24" s="27">
        <v>3.3E-3</v>
      </c>
      <c r="BT24" s="27">
        <v>26</v>
      </c>
      <c r="BU24" s="27">
        <v>1</v>
      </c>
      <c r="BV24" s="27">
        <v>3.8461538461538464E-2</v>
      </c>
      <c r="BW24" s="27">
        <v>0.99750000000000005</v>
      </c>
      <c r="BX24" s="28">
        <v>1.2251016941287573E-4</v>
      </c>
      <c r="BY24" s="28">
        <v>9.5550655323681378E-9</v>
      </c>
      <c r="BZ24" s="30">
        <v>3266</v>
      </c>
      <c r="CA24" s="30">
        <v>3397</v>
      </c>
      <c r="CB24" s="28">
        <v>220</v>
      </c>
    </row>
    <row r="25" spans="1:80" ht="17.399999999999999" x14ac:dyDescent="0.3">
      <c r="A25" s="15" t="s">
        <v>48</v>
      </c>
      <c r="B25" s="16" t="s">
        <v>47</v>
      </c>
      <c r="C25" s="35">
        <v>51.996099999999998</v>
      </c>
      <c r="D25" s="28">
        <v>24</v>
      </c>
      <c r="E25" s="28">
        <v>4</v>
      </c>
      <c r="F25" s="28">
        <v>6</v>
      </c>
      <c r="G25" s="18">
        <v>2</v>
      </c>
      <c r="H25" s="17">
        <v>1</v>
      </c>
      <c r="I25" s="28">
        <v>49</v>
      </c>
      <c r="J25" s="28">
        <v>4</v>
      </c>
      <c r="K25" s="28">
        <v>1</v>
      </c>
      <c r="L25" s="28">
        <v>0</v>
      </c>
      <c r="M25" s="28">
        <v>5</v>
      </c>
      <c r="N25" s="28">
        <v>0</v>
      </c>
      <c r="O25" s="19">
        <v>1</v>
      </c>
      <c r="P25" s="19">
        <v>6</v>
      </c>
      <c r="Q25" s="19">
        <v>5</v>
      </c>
      <c r="R25" s="19">
        <v>14</v>
      </c>
      <c r="S25" s="28">
        <v>6</v>
      </c>
      <c r="T25" s="28">
        <v>1</v>
      </c>
      <c r="U25" s="28">
        <v>4</v>
      </c>
      <c r="V25" s="19">
        <v>2.9</v>
      </c>
      <c r="W25" s="28">
        <v>5.78</v>
      </c>
      <c r="X25" s="21">
        <v>2.82</v>
      </c>
      <c r="Y25" s="21">
        <v>0.95499999999999996</v>
      </c>
      <c r="Z25" s="35">
        <v>6.7664999999999997</v>
      </c>
      <c r="AA25" s="21">
        <v>0.67354134762633999</v>
      </c>
      <c r="AB25" s="22">
        <v>3.72</v>
      </c>
      <c r="AC25" s="21">
        <v>3.2951000000000001</v>
      </c>
      <c r="AD25" s="28">
        <v>1.66</v>
      </c>
      <c r="AE25" s="28">
        <v>2</v>
      </c>
      <c r="AF25" s="28">
        <v>3.72</v>
      </c>
      <c r="AG25" s="22">
        <v>1.66</v>
      </c>
      <c r="AH25" s="28">
        <v>1.65</v>
      </c>
      <c r="AI25" s="22">
        <v>1.29</v>
      </c>
      <c r="AJ25" s="22">
        <v>2.72</v>
      </c>
      <c r="AK25" s="28">
        <v>2.2000000000000002</v>
      </c>
      <c r="AL25" s="22">
        <v>1.8</v>
      </c>
      <c r="AM25" s="35">
        <v>1.66</v>
      </c>
      <c r="AN25" s="35">
        <v>1.27</v>
      </c>
      <c r="AO25" s="35">
        <v>0.87</v>
      </c>
      <c r="AP25" s="23">
        <v>0.8</v>
      </c>
      <c r="AQ25" s="23">
        <v>1.3</v>
      </c>
      <c r="AR25" s="23">
        <v>2</v>
      </c>
      <c r="AS25" s="35">
        <v>2.44</v>
      </c>
      <c r="AT25" s="35">
        <v>0.76</v>
      </c>
      <c r="AU25" s="23">
        <v>1.39</v>
      </c>
      <c r="AV25" s="23">
        <v>1.4</v>
      </c>
      <c r="AW25" s="23">
        <v>1.4530000000000001</v>
      </c>
      <c r="AX25" s="23">
        <v>1.357</v>
      </c>
      <c r="AY25" s="23">
        <v>1.1719999999999999</v>
      </c>
      <c r="AZ25" s="28">
        <v>11.6</v>
      </c>
      <c r="BA25" s="28">
        <v>2130.15</v>
      </c>
      <c r="BB25" s="28">
        <v>2945.15</v>
      </c>
      <c r="BC25" s="28">
        <v>7.19</v>
      </c>
      <c r="BD25" s="28">
        <v>0.45</v>
      </c>
      <c r="BE25" s="28">
        <v>16.899999999999999</v>
      </c>
      <c r="BF25" s="26">
        <v>344.3</v>
      </c>
      <c r="BG25" s="26">
        <v>397</v>
      </c>
      <c r="BH25" s="28">
        <v>93.7</v>
      </c>
      <c r="BI25" s="26">
        <v>4.8999999999999997E-6</v>
      </c>
      <c r="BJ25" s="28">
        <v>4.0999999999999996</v>
      </c>
      <c r="BK25" s="26">
        <v>160</v>
      </c>
      <c r="BL25" s="26">
        <v>115</v>
      </c>
      <c r="BM25" s="26">
        <v>279</v>
      </c>
      <c r="BN25" s="26">
        <v>1.06</v>
      </c>
      <c r="BO25" s="26">
        <v>1.1200000000000001</v>
      </c>
      <c r="BP25" s="26">
        <v>1.3E-7</v>
      </c>
      <c r="BQ25" s="26">
        <v>7900000</v>
      </c>
      <c r="BR25" s="27">
        <v>3.1</v>
      </c>
      <c r="BS25" s="27">
        <v>2.0999999999999999E-3</v>
      </c>
      <c r="BT25" s="27">
        <v>26</v>
      </c>
      <c r="BU25" s="27">
        <v>4</v>
      </c>
      <c r="BV25" s="27">
        <v>0.15384615384615385</v>
      </c>
      <c r="BW25" s="27">
        <v>1</v>
      </c>
      <c r="BX25" s="28">
        <v>1.0413364400094437E-4</v>
      </c>
      <c r="BY25" s="28">
        <v>4.4025045968249072E-7</v>
      </c>
      <c r="BZ25" s="30">
        <v>3103</v>
      </c>
      <c r="CA25" s="30">
        <v>4053</v>
      </c>
      <c r="CB25" s="28">
        <v>10</v>
      </c>
    </row>
    <row r="26" spans="1:80" ht="17.399999999999999" x14ac:dyDescent="0.3">
      <c r="A26" s="15" t="s">
        <v>50</v>
      </c>
      <c r="B26" s="16" t="s">
        <v>49</v>
      </c>
      <c r="C26" s="35">
        <v>54.938049999999997</v>
      </c>
      <c r="D26" s="28">
        <v>25</v>
      </c>
      <c r="E26" s="28">
        <v>4</v>
      </c>
      <c r="F26" s="28">
        <v>7</v>
      </c>
      <c r="G26" s="18">
        <v>2</v>
      </c>
      <c r="H26" s="17">
        <v>1</v>
      </c>
      <c r="I26" s="28">
        <v>52</v>
      </c>
      <c r="J26" s="28">
        <v>4</v>
      </c>
      <c r="K26" s="28">
        <v>2</v>
      </c>
      <c r="L26" s="28">
        <v>0</v>
      </c>
      <c r="M26" s="28">
        <v>5</v>
      </c>
      <c r="N26" s="28">
        <v>0</v>
      </c>
      <c r="O26" s="19">
        <v>0</v>
      </c>
      <c r="P26" s="19">
        <v>6</v>
      </c>
      <c r="Q26" s="19">
        <v>5</v>
      </c>
      <c r="R26" s="19">
        <v>14</v>
      </c>
      <c r="S26" s="28">
        <v>7</v>
      </c>
      <c r="T26" s="28">
        <v>2</v>
      </c>
      <c r="U26" s="28">
        <v>5</v>
      </c>
      <c r="V26" s="19">
        <v>4.16</v>
      </c>
      <c r="W26" s="28">
        <v>5.78</v>
      </c>
      <c r="X26" s="21">
        <v>2.956</v>
      </c>
      <c r="Y26" s="21">
        <v>0.91100000000000003</v>
      </c>
      <c r="Z26" s="35">
        <v>7.4340000000000002</v>
      </c>
      <c r="AA26" s="21">
        <v>-0.51841004184100414</v>
      </c>
      <c r="AB26" s="22">
        <v>3.72</v>
      </c>
      <c r="AC26" s="21">
        <v>3.4348999999999998</v>
      </c>
      <c r="AD26" s="28">
        <v>1.55</v>
      </c>
      <c r="AE26" s="28">
        <v>2.04</v>
      </c>
      <c r="AF26" s="28">
        <v>3.72</v>
      </c>
      <c r="AG26" s="22">
        <v>1.55</v>
      </c>
      <c r="AH26" s="28">
        <v>1.75</v>
      </c>
      <c r="AI26" s="22">
        <v>1.36</v>
      </c>
      <c r="AJ26" s="22">
        <v>2.0099999999999998</v>
      </c>
      <c r="AK26" s="28">
        <v>2.6</v>
      </c>
      <c r="AL26" s="22">
        <v>2.0499999999999998</v>
      </c>
      <c r="AM26" s="35">
        <v>1.61</v>
      </c>
      <c r="AN26" s="35">
        <v>1.39</v>
      </c>
      <c r="AO26" s="35">
        <v>0.81</v>
      </c>
      <c r="AP26" s="23">
        <v>0.83</v>
      </c>
      <c r="AQ26" s="23">
        <v>1.32</v>
      </c>
      <c r="AR26" s="23">
        <v>1.96</v>
      </c>
      <c r="AS26" s="35">
        <v>2.2200000000000002</v>
      </c>
      <c r="AT26" s="35">
        <v>0.81</v>
      </c>
      <c r="AU26" s="23">
        <v>1.32</v>
      </c>
      <c r="AV26" s="23">
        <v>1.4</v>
      </c>
      <c r="AW26" s="23">
        <v>1.278</v>
      </c>
      <c r="AX26" s="23">
        <v>1.306</v>
      </c>
      <c r="AY26" s="23">
        <v>1.1679999999999999</v>
      </c>
      <c r="AZ26" s="28">
        <v>9.4</v>
      </c>
      <c r="BA26" s="28">
        <v>1517.15</v>
      </c>
      <c r="BB26" s="28">
        <v>2235.15</v>
      </c>
      <c r="BC26" s="28">
        <v>7.43</v>
      </c>
      <c r="BD26" s="28">
        <v>0.48</v>
      </c>
      <c r="BE26" s="28">
        <v>12.05</v>
      </c>
      <c r="BF26" s="26">
        <v>226</v>
      </c>
      <c r="BG26" s="26">
        <v>281</v>
      </c>
      <c r="BH26" s="28">
        <v>7.82</v>
      </c>
      <c r="BI26" s="26">
        <v>2.1699999999999999E-5</v>
      </c>
      <c r="BJ26" s="28">
        <v>2.92</v>
      </c>
      <c r="BK26" s="26">
        <v>92.6</v>
      </c>
      <c r="BL26" s="26">
        <v>76.400000000000006</v>
      </c>
      <c r="BM26" s="26">
        <v>198</v>
      </c>
      <c r="BN26" s="20" t="s">
        <v>193</v>
      </c>
      <c r="BO26" s="26">
        <v>0.19600000000000001</v>
      </c>
      <c r="BP26" s="26">
        <v>1.5999999999999999E-6</v>
      </c>
      <c r="BQ26" s="26">
        <v>620000</v>
      </c>
      <c r="BR26" s="27">
        <v>13.3</v>
      </c>
      <c r="BS26" s="27">
        <v>8.3000000000000001E-3</v>
      </c>
      <c r="BT26" s="27">
        <v>26</v>
      </c>
      <c r="BU26" s="27">
        <v>1</v>
      </c>
      <c r="BV26" s="27">
        <v>3.8461538461538464E-2</v>
      </c>
      <c r="BW26" s="27">
        <v>1</v>
      </c>
      <c r="BX26" s="28">
        <v>9.6987217451859954E-4</v>
      </c>
      <c r="BY26" s="28">
        <v>3.114364362939103E-7</v>
      </c>
      <c r="BZ26" s="30">
        <v>1593</v>
      </c>
      <c r="CA26" s="30">
        <v>1790</v>
      </c>
      <c r="CB26" s="28">
        <v>1.7</v>
      </c>
    </row>
    <row r="27" spans="1:80" ht="17.399999999999999" x14ac:dyDescent="0.3">
      <c r="A27" s="15" t="s">
        <v>52</v>
      </c>
      <c r="B27" s="16" t="s">
        <v>51</v>
      </c>
      <c r="C27" s="35">
        <v>55.847000000000001</v>
      </c>
      <c r="D27" s="28">
        <v>26</v>
      </c>
      <c r="E27" s="28">
        <v>4</v>
      </c>
      <c r="F27" s="28">
        <v>8</v>
      </c>
      <c r="G27" s="18">
        <v>2</v>
      </c>
      <c r="H27" s="17">
        <v>1</v>
      </c>
      <c r="I27" s="28">
        <v>55</v>
      </c>
      <c r="J27" s="28">
        <v>4</v>
      </c>
      <c r="K27" s="28">
        <v>2</v>
      </c>
      <c r="L27" s="28">
        <v>0</v>
      </c>
      <c r="M27" s="28">
        <v>6</v>
      </c>
      <c r="N27" s="28">
        <v>0</v>
      </c>
      <c r="O27" s="19">
        <v>0</v>
      </c>
      <c r="P27" s="19">
        <v>6</v>
      </c>
      <c r="Q27" s="19">
        <v>4</v>
      </c>
      <c r="R27" s="19">
        <v>14</v>
      </c>
      <c r="S27" s="28">
        <v>8</v>
      </c>
      <c r="T27" s="28">
        <v>2</v>
      </c>
      <c r="U27" s="28">
        <v>5</v>
      </c>
      <c r="V27" s="19">
        <v>5.78</v>
      </c>
      <c r="W27" s="28">
        <v>5.78</v>
      </c>
      <c r="X27" s="21">
        <v>3.0478000000000001</v>
      </c>
      <c r="Y27" s="21">
        <v>2.7770000000000001</v>
      </c>
      <c r="Z27" s="35">
        <v>7.9024000000000001</v>
      </c>
      <c r="AA27" s="21">
        <v>0.15555905511811025</v>
      </c>
      <c r="AB27" s="22">
        <v>4.0599999999999996</v>
      </c>
      <c r="AC27" s="21">
        <v>3.5836000000000001</v>
      </c>
      <c r="AD27" s="28">
        <v>1.83</v>
      </c>
      <c r="AE27" s="28">
        <v>1.67</v>
      </c>
      <c r="AF27" s="28">
        <v>4.0599999999999996</v>
      </c>
      <c r="AG27" s="22">
        <v>1.83</v>
      </c>
      <c r="AH27" s="28">
        <v>1.8</v>
      </c>
      <c r="AI27" s="22">
        <v>1.4</v>
      </c>
      <c r="AJ27" s="22">
        <v>3.9</v>
      </c>
      <c r="AK27" s="28">
        <v>2.76</v>
      </c>
      <c r="AL27" s="22">
        <v>2.31</v>
      </c>
      <c r="AM27" s="35">
        <v>1.56</v>
      </c>
      <c r="AN27" s="35">
        <v>1.25</v>
      </c>
      <c r="AO27" s="35">
        <v>0.75</v>
      </c>
      <c r="AP27" s="23">
        <v>0.78</v>
      </c>
      <c r="AQ27" s="23">
        <v>1.25</v>
      </c>
      <c r="AR27" s="24">
        <v>1.59</v>
      </c>
      <c r="AS27" s="35">
        <v>2.11</v>
      </c>
      <c r="AT27" s="35">
        <v>0.69</v>
      </c>
      <c r="AU27" s="23">
        <v>1.32</v>
      </c>
      <c r="AV27" s="23">
        <v>1.4</v>
      </c>
      <c r="AW27" s="23">
        <v>1.2270000000000001</v>
      </c>
      <c r="AX27" s="23">
        <v>1.26</v>
      </c>
      <c r="AY27" s="23">
        <v>1.165</v>
      </c>
      <c r="AZ27" s="28">
        <v>8.4</v>
      </c>
      <c r="BA27" s="28">
        <v>1808.15</v>
      </c>
      <c r="BB27" s="28">
        <v>3023.15</v>
      </c>
      <c r="BC27" s="28">
        <v>7.86</v>
      </c>
      <c r="BD27" s="28">
        <v>0.44</v>
      </c>
      <c r="BE27" s="28">
        <v>13.8</v>
      </c>
      <c r="BF27" s="26">
        <v>349.6</v>
      </c>
      <c r="BG27" s="26">
        <v>418</v>
      </c>
      <c r="BH27" s="28">
        <v>80.2</v>
      </c>
      <c r="BI27" s="26">
        <v>1.1800000000000001E-5</v>
      </c>
      <c r="BJ27" s="28">
        <v>4.28</v>
      </c>
      <c r="BK27" s="26">
        <v>166</v>
      </c>
      <c r="BL27" s="26">
        <v>82</v>
      </c>
      <c r="BM27" s="26">
        <v>211</v>
      </c>
      <c r="BN27" s="26">
        <v>0.60799999999999998</v>
      </c>
      <c r="BO27" s="26">
        <v>0.49</v>
      </c>
      <c r="BP27" s="26">
        <v>9.7000000000010001E-8</v>
      </c>
      <c r="BQ27" s="26">
        <v>10000000</v>
      </c>
      <c r="BR27" s="27">
        <v>2.56</v>
      </c>
      <c r="BS27" s="27">
        <v>1.5E-3</v>
      </c>
      <c r="BT27" s="27">
        <v>28</v>
      </c>
      <c r="BU27" s="27">
        <v>4</v>
      </c>
      <c r="BV27" s="27">
        <v>0.14285714285714285</v>
      </c>
      <c r="BW27" s="27">
        <v>1</v>
      </c>
      <c r="BX27" s="28">
        <v>5.7477687816207532E-2</v>
      </c>
      <c r="BY27" s="28">
        <v>2.9350030645499412E-5</v>
      </c>
      <c r="BZ27" s="30">
        <v>2424</v>
      </c>
      <c r="CA27" s="30">
        <v>1373</v>
      </c>
      <c r="CB27" s="28">
        <v>6.7</v>
      </c>
    </row>
    <row r="28" spans="1:80" ht="17.399999999999999" x14ac:dyDescent="0.3">
      <c r="A28" s="15" t="s">
        <v>54</v>
      </c>
      <c r="B28" s="16" t="s">
        <v>53</v>
      </c>
      <c r="C28" s="35">
        <v>58.933199999999999</v>
      </c>
      <c r="D28" s="28">
        <v>27</v>
      </c>
      <c r="E28" s="28">
        <v>4</v>
      </c>
      <c r="F28" s="28">
        <v>9</v>
      </c>
      <c r="G28" s="18">
        <v>2</v>
      </c>
      <c r="H28" s="17">
        <v>1</v>
      </c>
      <c r="I28" s="28">
        <v>58</v>
      </c>
      <c r="J28" s="28">
        <v>4</v>
      </c>
      <c r="K28" s="28">
        <v>2</v>
      </c>
      <c r="L28" s="28">
        <v>0</v>
      </c>
      <c r="M28" s="28">
        <v>7</v>
      </c>
      <c r="N28" s="28">
        <v>0</v>
      </c>
      <c r="O28" s="19">
        <v>0</v>
      </c>
      <c r="P28" s="19">
        <v>6</v>
      </c>
      <c r="Q28" s="19">
        <v>3</v>
      </c>
      <c r="R28" s="19">
        <v>14</v>
      </c>
      <c r="S28" s="28">
        <v>9</v>
      </c>
      <c r="T28" s="28">
        <v>2</v>
      </c>
      <c r="U28" s="28">
        <v>4</v>
      </c>
      <c r="V28" s="19">
        <v>5.78</v>
      </c>
      <c r="W28" s="28">
        <v>5.78</v>
      </c>
      <c r="X28" s="21">
        <v>3.0459999999999998</v>
      </c>
      <c r="Y28" s="21">
        <v>0.88500000000000001</v>
      </c>
      <c r="Z28" s="35">
        <v>7.8810000000000002</v>
      </c>
      <c r="AA28" s="21">
        <v>0.66366315789473684</v>
      </c>
      <c r="AB28" s="22">
        <v>4.3</v>
      </c>
      <c r="AC28" s="21">
        <v>3.7305000000000001</v>
      </c>
      <c r="AD28" s="28">
        <v>1.88</v>
      </c>
      <c r="AE28" s="28">
        <v>1.72</v>
      </c>
      <c r="AF28" s="28">
        <v>4.3</v>
      </c>
      <c r="AG28" s="22">
        <v>1.88</v>
      </c>
      <c r="AH28" s="28">
        <v>1.84</v>
      </c>
      <c r="AI28" s="22">
        <v>1.44</v>
      </c>
      <c r="AJ28" s="22">
        <v>3.03</v>
      </c>
      <c r="AK28" s="28">
        <v>3.13</v>
      </c>
      <c r="AL28" s="22">
        <v>2.6</v>
      </c>
      <c r="AM28" s="35">
        <v>1.52</v>
      </c>
      <c r="AN28" s="35">
        <v>1.26</v>
      </c>
      <c r="AO28" s="35">
        <v>0.79</v>
      </c>
      <c r="AP28" s="23">
        <v>0.75</v>
      </c>
      <c r="AQ28" s="23">
        <v>1.25</v>
      </c>
      <c r="AR28" s="23">
        <v>2</v>
      </c>
      <c r="AS28" s="35">
        <v>2.02</v>
      </c>
      <c r="AT28" s="35">
        <v>0.54</v>
      </c>
      <c r="AU28" s="23">
        <v>1.26</v>
      </c>
      <c r="AV28" s="23">
        <v>1.35</v>
      </c>
      <c r="AW28" s="23">
        <v>1.181</v>
      </c>
      <c r="AX28" s="23">
        <v>1.252</v>
      </c>
      <c r="AY28" s="23">
        <v>1.157</v>
      </c>
      <c r="AZ28" s="28">
        <v>7.5</v>
      </c>
      <c r="BA28" s="28">
        <v>1768.15</v>
      </c>
      <c r="BB28" s="28">
        <v>3143.15</v>
      </c>
      <c r="BC28" s="28">
        <v>8.9</v>
      </c>
      <c r="BD28" s="28">
        <v>0.42</v>
      </c>
      <c r="BE28" s="28">
        <v>16.190000000000001</v>
      </c>
      <c r="BF28" s="26">
        <v>376.5</v>
      </c>
      <c r="BG28" s="26">
        <v>425</v>
      </c>
      <c r="BH28" s="28">
        <v>100</v>
      </c>
      <c r="BI28" s="26">
        <v>1.2999999999999999E-5</v>
      </c>
      <c r="BJ28" s="28">
        <v>4.3899999999999997</v>
      </c>
      <c r="BK28" s="26">
        <v>182</v>
      </c>
      <c r="BL28" s="26">
        <v>76</v>
      </c>
      <c r="BM28" s="26">
        <v>209</v>
      </c>
      <c r="BN28" s="26">
        <v>1.0429999999999999</v>
      </c>
      <c r="BO28" s="26">
        <v>0.7</v>
      </c>
      <c r="BP28" s="26">
        <v>6.0000000000020006E-8</v>
      </c>
      <c r="BQ28" s="26">
        <v>17000000</v>
      </c>
      <c r="BR28" s="27">
        <v>37.200000000000003</v>
      </c>
      <c r="BS28" s="27">
        <v>2.1000000000000001E-2</v>
      </c>
      <c r="BT28" s="27">
        <v>29</v>
      </c>
      <c r="BU28" s="27">
        <v>1</v>
      </c>
      <c r="BV28" s="27">
        <v>3.4482758620689655E-2</v>
      </c>
      <c r="BW28" s="27">
        <v>1</v>
      </c>
      <c r="BX28" s="28">
        <v>2.5522951961015778E-5</v>
      </c>
      <c r="BY28" s="28">
        <v>7.3375076613748484E-8</v>
      </c>
      <c r="BZ28" s="30">
        <v>3052</v>
      </c>
      <c r="CA28" s="30">
        <v>2655</v>
      </c>
      <c r="CB28" s="28">
        <v>21</v>
      </c>
    </row>
    <row r="29" spans="1:80" ht="17.399999999999999" x14ac:dyDescent="0.3">
      <c r="A29" s="15" t="s">
        <v>56</v>
      </c>
      <c r="B29" s="16" t="s">
        <v>55</v>
      </c>
      <c r="C29" s="35">
        <v>58.693399999999997</v>
      </c>
      <c r="D29" s="28">
        <v>28</v>
      </c>
      <c r="E29" s="28">
        <v>4</v>
      </c>
      <c r="F29" s="28">
        <v>10</v>
      </c>
      <c r="G29" s="18">
        <v>2</v>
      </c>
      <c r="H29" s="17">
        <v>1</v>
      </c>
      <c r="I29" s="28">
        <v>61</v>
      </c>
      <c r="J29" s="28">
        <v>4</v>
      </c>
      <c r="K29" s="28">
        <v>2</v>
      </c>
      <c r="L29" s="28">
        <v>0</v>
      </c>
      <c r="M29" s="28">
        <v>8</v>
      </c>
      <c r="N29" s="28">
        <v>0</v>
      </c>
      <c r="O29" s="19">
        <v>0</v>
      </c>
      <c r="P29" s="19">
        <v>6</v>
      </c>
      <c r="Q29" s="19">
        <v>2</v>
      </c>
      <c r="R29" s="19">
        <v>14</v>
      </c>
      <c r="S29" s="28">
        <v>10</v>
      </c>
      <c r="T29" s="28">
        <v>2</v>
      </c>
      <c r="U29" s="28">
        <v>3</v>
      </c>
      <c r="V29" s="19">
        <v>5.78</v>
      </c>
      <c r="W29" s="28">
        <v>5.78</v>
      </c>
      <c r="X29" s="21">
        <v>2.996</v>
      </c>
      <c r="Y29" s="21">
        <v>0.89800000000000002</v>
      </c>
      <c r="Z29" s="35">
        <v>7.6398000000000001</v>
      </c>
      <c r="AA29" s="21">
        <v>1.161000814111262</v>
      </c>
      <c r="AB29" s="22">
        <v>4.4000000000000004</v>
      </c>
      <c r="AC29" s="21">
        <v>3.8584000000000001</v>
      </c>
      <c r="AD29" s="28">
        <v>1.91</v>
      </c>
      <c r="AE29" s="28">
        <v>1.76</v>
      </c>
      <c r="AF29" s="28">
        <v>4.4000000000000004</v>
      </c>
      <c r="AG29" s="22">
        <v>1.91</v>
      </c>
      <c r="AH29" s="28">
        <v>1.88</v>
      </c>
      <c r="AI29" s="22">
        <v>1.47</v>
      </c>
      <c r="AJ29" s="22">
        <v>3.48</v>
      </c>
      <c r="AK29" s="28">
        <v>3.33</v>
      </c>
      <c r="AL29" s="22">
        <v>2.92</v>
      </c>
      <c r="AM29" s="35">
        <v>1.49</v>
      </c>
      <c r="AN29" s="35">
        <v>1.21</v>
      </c>
      <c r="AO29" s="35">
        <v>0.74</v>
      </c>
      <c r="AP29" s="23">
        <v>0.6</v>
      </c>
      <c r="AQ29" s="23">
        <v>1.28</v>
      </c>
      <c r="AR29" s="23">
        <v>1.63</v>
      </c>
      <c r="AS29" s="35">
        <v>2.1800000000000002</v>
      </c>
      <c r="AT29" s="35">
        <v>0.7</v>
      </c>
      <c r="AU29" s="23">
        <v>1.24</v>
      </c>
      <c r="AV29" s="23">
        <v>1.35</v>
      </c>
      <c r="AW29" s="23">
        <v>1.139</v>
      </c>
      <c r="AX29" s="23">
        <v>1.244</v>
      </c>
      <c r="AY29" s="23">
        <v>1.149</v>
      </c>
      <c r="AZ29" s="28">
        <v>6.8</v>
      </c>
      <c r="BA29" s="28">
        <v>1726.15</v>
      </c>
      <c r="BB29" s="28">
        <v>3003.15</v>
      </c>
      <c r="BC29" s="28">
        <v>8.9</v>
      </c>
      <c r="BD29" s="28">
        <v>0.44</v>
      </c>
      <c r="BE29" s="28">
        <v>17.47</v>
      </c>
      <c r="BF29" s="26">
        <v>370.4</v>
      </c>
      <c r="BG29" s="26">
        <v>430</v>
      </c>
      <c r="BH29" s="28">
        <v>90.7</v>
      </c>
      <c r="BI29" s="26">
        <v>1.34E-5</v>
      </c>
      <c r="BJ29" s="28">
        <v>4.4400000000000004</v>
      </c>
      <c r="BK29" s="26">
        <v>177</v>
      </c>
      <c r="BL29" s="26">
        <v>76</v>
      </c>
      <c r="BM29" s="26">
        <v>200</v>
      </c>
      <c r="BN29" s="26">
        <v>0.63800000000000001</v>
      </c>
      <c r="BO29" s="26">
        <v>0.7</v>
      </c>
      <c r="BP29" s="26">
        <v>7.0000000000020003E-8</v>
      </c>
      <c r="BQ29" s="26">
        <v>14000000</v>
      </c>
      <c r="BR29" s="27">
        <v>4.5</v>
      </c>
      <c r="BS29" s="27">
        <v>2.5999999999999999E-3</v>
      </c>
      <c r="BT29" s="27">
        <v>31</v>
      </c>
      <c r="BU29" s="27">
        <v>5</v>
      </c>
      <c r="BV29" s="27">
        <v>0.16129032258064516</v>
      </c>
      <c r="BW29" s="27">
        <v>1</v>
      </c>
      <c r="BX29" s="28">
        <v>8.5757118589013012E-5</v>
      </c>
      <c r="BY29" s="28">
        <v>1.6077294564701334E-6</v>
      </c>
      <c r="BZ29" s="30">
        <v>988</v>
      </c>
      <c r="CA29" s="30">
        <v>1479</v>
      </c>
      <c r="CB29" s="28">
        <v>7.7</v>
      </c>
    </row>
    <row r="30" spans="1:80" ht="17.399999999999999" x14ac:dyDescent="0.3">
      <c r="A30" s="15" t="s">
        <v>58</v>
      </c>
      <c r="B30" s="16" t="s">
        <v>57</v>
      </c>
      <c r="C30" s="35">
        <v>63.545999999999999</v>
      </c>
      <c r="D30" s="28">
        <v>29</v>
      </c>
      <c r="E30" s="28">
        <v>4</v>
      </c>
      <c r="F30" s="28">
        <v>11</v>
      </c>
      <c r="G30" s="18">
        <v>2</v>
      </c>
      <c r="H30" s="17">
        <v>1</v>
      </c>
      <c r="I30" s="28">
        <v>64</v>
      </c>
      <c r="J30" s="28">
        <v>4</v>
      </c>
      <c r="K30" s="28">
        <v>1</v>
      </c>
      <c r="L30" s="28">
        <v>0</v>
      </c>
      <c r="M30" s="28">
        <v>10</v>
      </c>
      <c r="N30" s="28">
        <v>0</v>
      </c>
      <c r="O30" s="19">
        <v>1</v>
      </c>
      <c r="P30" s="19">
        <v>6</v>
      </c>
      <c r="Q30" s="19">
        <v>0</v>
      </c>
      <c r="R30" s="19">
        <v>14</v>
      </c>
      <c r="S30" s="28">
        <v>11</v>
      </c>
      <c r="T30" s="28">
        <v>1</v>
      </c>
      <c r="U30" s="28">
        <v>2</v>
      </c>
      <c r="V30" s="19">
        <v>5.44</v>
      </c>
      <c r="W30" s="28">
        <v>5.44</v>
      </c>
      <c r="X30" s="21">
        <v>3.0129999999999999</v>
      </c>
      <c r="Y30" s="21">
        <v>0.89300000000000002</v>
      </c>
      <c r="Z30" s="35">
        <v>7.7263999999999999</v>
      </c>
      <c r="AA30" s="21">
        <v>1.2341497986577181</v>
      </c>
      <c r="AB30" s="22">
        <v>4.4800000000000004</v>
      </c>
      <c r="AC30" s="21">
        <v>4.0026000000000002</v>
      </c>
      <c r="AD30" s="28">
        <v>1.9</v>
      </c>
      <c r="AE30" s="28">
        <v>1.08</v>
      </c>
      <c r="AF30" s="28">
        <v>4.4800000000000004</v>
      </c>
      <c r="AG30" s="22">
        <v>1.9</v>
      </c>
      <c r="AH30" s="28">
        <v>1.85</v>
      </c>
      <c r="AI30" s="22">
        <v>1.51</v>
      </c>
      <c r="AJ30" s="22">
        <v>2.91</v>
      </c>
      <c r="AK30" s="28">
        <v>2.2000000000000002</v>
      </c>
      <c r="AL30" s="22">
        <v>3.25</v>
      </c>
      <c r="AM30" s="35">
        <v>1.45</v>
      </c>
      <c r="AN30" s="35">
        <v>1.38</v>
      </c>
      <c r="AO30" s="35">
        <v>0.87</v>
      </c>
      <c r="AP30" s="23">
        <v>0.77</v>
      </c>
      <c r="AQ30" s="23">
        <v>1.27</v>
      </c>
      <c r="AR30" s="23">
        <v>1.4</v>
      </c>
      <c r="AS30" s="35">
        <v>2.04</v>
      </c>
      <c r="AT30" s="35">
        <v>0.71</v>
      </c>
      <c r="AU30" s="23">
        <v>1.32</v>
      </c>
      <c r="AV30" s="23">
        <v>1.35</v>
      </c>
      <c r="AW30" s="23">
        <v>1.1909999999999998</v>
      </c>
      <c r="AX30" s="23">
        <v>1.276</v>
      </c>
      <c r="AY30" s="23">
        <v>1.173</v>
      </c>
      <c r="AZ30" s="28">
        <v>6.7</v>
      </c>
      <c r="BA30" s="28">
        <v>1356.15</v>
      </c>
      <c r="BB30" s="28">
        <v>2840.15</v>
      </c>
      <c r="BC30" s="28">
        <v>8.9600000000000009</v>
      </c>
      <c r="BD30" s="28">
        <v>0.38</v>
      </c>
      <c r="BE30" s="28">
        <v>13.05</v>
      </c>
      <c r="BF30" s="26">
        <v>300.3</v>
      </c>
      <c r="BG30" s="26">
        <v>338</v>
      </c>
      <c r="BH30" s="28">
        <v>401</v>
      </c>
      <c r="BI30" s="26">
        <v>1.6500000000000001E-5</v>
      </c>
      <c r="BJ30" s="28">
        <v>3.49</v>
      </c>
      <c r="BK30" s="26">
        <v>138</v>
      </c>
      <c r="BL30" s="26">
        <v>48</v>
      </c>
      <c r="BM30" s="26">
        <v>130</v>
      </c>
      <c r="BN30" s="26">
        <v>0.36899999999999999</v>
      </c>
      <c r="BO30" s="26">
        <v>0.874</v>
      </c>
      <c r="BP30" s="26">
        <v>1.7E-8</v>
      </c>
      <c r="BQ30" s="26">
        <v>59000000</v>
      </c>
      <c r="BR30" s="27">
        <v>3.78</v>
      </c>
      <c r="BS30" s="27">
        <v>2.0999999999999999E-3</v>
      </c>
      <c r="BT30" s="27">
        <v>29</v>
      </c>
      <c r="BU30" s="27">
        <v>2</v>
      </c>
      <c r="BV30" s="27">
        <v>6.8965517241379309E-2</v>
      </c>
      <c r="BW30" s="27">
        <v>1</v>
      </c>
      <c r="BX30" s="28">
        <v>6.1255084706437864E-5</v>
      </c>
      <c r="BY30" s="28">
        <v>1.7023017774389653E-8</v>
      </c>
      <c r="BZ30" s="30">
        <v>1576</v>
      </c>
      <c r="CA30" s="30">
        <v>1524</v>
      </c>
      <c r="CB30" s="28">
        <v>2.7</v>
      </c>
    </row>
    <row r="31" spans="1:80" ht="17.399999999999999" x14ac:dyDescent="0.3">
      <c r="A31" s="15" t="s">
        <v>60</v>
      </c>
      <c r="B31" s="16" t="s">
        <v>59</v>
      </c>
      <c r="C31" s="35">
        <v>65.38</v>
      </c>
      <c r="D31" s="28">
        <v>30</v>
      </c>
      <c r="E31" s="28">
        <v>4</v>
      </c>
      <c r="F31" s="28">
        <v>12</v>
      </c>
      <c r="G31" s="18">
        <v>2</v>
      </c>
      <c r="H31" s="17">
        <v>1</v>
      </c>
      <c r="I31" s="28">
        <v>69</v>
      </c>
      <c r="J31" s="28">
        <v>4</v>
      </c>
      <c r="K31" s="28">
        <v>2</v>
      </c>
      <c r="L31" s="28">
        <v>0</v>
      </c>
      <c r="M31" s="28">
        <v>10</v>
      </c>
      <c r="N31" s="28">
        <v>0</v>
      </c>
      <c r="O31" s="19">
        <v>0</v>
      </c>
      <c r="P31" s="19">
        <v>6</v>
      </c>
      <c r="Q31" s="19">
        <v>0</v>
      </c>
      <c r="R31" s="19">
        <v>14</v>
      </c>
      <c r="S31" s="28">
        <v>12</v>
      </c>
      <c r="T31" s="28">
        <v>2</v>
      </c>
      <c r="U31" s="28">
        <v>1</v>
      </c>
      <c r="V31" s="19">
        <v>4.4400000000000004</v>
      </c>
      <c r="W31" s="28">
        <v>4.4400000000000004</v>
      </c>
      <c r="X31" s="21">
        <v>3.3220000000000001</v>
      </c>
      <c r="Y31" s="21">
        <v>0.81</v>
      </c>
      <c r="Z31" s="35">
        <v>9.3941999999999997</v>
      </c>
      <c r="AA31" s="21">
        <v>-0.62213245033112585</v>
      </c>
      <c r="AB31" s="22">
        <v>4.45</v>
      </c>
      <c r="AC31" s="21">
        <v>4.1332000000000004</v>
      </c>
      <c r="AD31" s="28">
        <v>1.65</v>
      </c>
      <c r="AE31" s="28">
        <v>1.44</v>
      </c>
      <c r="AF31" s="28">
        <v>4.45</v>
      </c>
      <c r="AG31" s="22">
        <v>1.65</v>
      </c>
      <c r="AH31" s="28">
        <v>1.59</v>
      </c>
      <c r="AI31" s="22">
        <v>1.46</v>
      </c>
      <c r="AJ31" s="22">
        <v>3.13</v>
      </c>
      <c r="AK31" s="28">
        <v>1.2</v>
      </c>
      <c r="AL31" s="22">
        <v>3.61</v>
      </c>
      <c r="AM31" s="35">
        <v>1.42</v>
      </c>
      <c r="AN31" s="35">
        <v>1.31</v>
      </c>
      <c r="AO31" s="35">
        <v>0.88</v>
      </c>
      <c r="AP31" s="23">
        <v>0.74</v>
      </c>
      <c r="AQ31" s="23">
        <v>1.4</v>
      </c>
      <c r="AR31" s="23">
        <v>1.39</v>
      </c>
      <c r="AS31" s="35">
        <v>1.88</v>
      </c>
      <c r="AT31" s="35">
        <v>0.74</v>
      </c>
      <c r="AU31" s="23">
        <v>1.22</v>
      </c>
      <c r="AV31" s="23">
        <v>1.35</v>
      </c>
      <c r="AW31" s="23">
        <v>1.0649999999999999</v>
      </c>
      <c r="AX31" s="23">
        <v>1.379</v>
      </c>
      <c r="AY31" s="23">
        <v>1.2490000000000001</v>
      </c>
      <c r="AZ31" s="28">
        <v>6.4</v>
      </c>
      <c r="BA31" s="28">
        <v>692.75</v>
      </c>
      <c r="BB31" s="28">
        <v>1179.1500000000001</v>
      </c>
      <c r="BC31" s="28">
        <v>7.13</v>
      </c>
      <c r="BD31" s="28">
        <v>0.39</v>
      </c>
      <c r="BE31" s="28">
        <v>7.3220000000000001</v>
      </c>
      <c r="BF31" s="26">
        <v>115.3</v>
      </c>
      <c r="BG31" s="26">
        <v>131</v>
      </c>
      <c r="BH31" s="28">
        <v>116</v>
      </c>
      <c r="BI31" s="26">
        <v>3.0199999999999999E-5</v>
      </c>
      <c r="BJ31" s="28">
        <v>1.35</v>
      </c>
      <c r="BK31" s="26">
        <v>69.400000000000006</v>
      </c>
      <c r="BL31" s="26">
        <v>43</v>
      </c>
      <c r="BM31" s="26">
        <v>108</v>
      </c>
      <c r="BN31" s="26">
        <v>8.0120330499999994</v>
      </c>
      <c r="BO31" s="26">
        <v>0.41199999999999998</v>
      </c>
      <c r="BP31" s="26">
        <v>5.9000000000009998E-8</v>
      </c>
      <c r="BQ31" s="26">
        <v>17000000</v>
      </c>
      <c r="BR31" s="27">
        <v>1.1000000000000001</v>
      </c>
      <c r="BS31" s="27">
        <v>5.5000000000000003E-4</v>
      </c>
      <c r="BT31" s="27">
        <v>30</v>
      </c>
      <c r="BU31" s="27">
        <v>5</v>
      </c>
      <c r="BV31" s="27">
        <v>0.16666666666666666</v>
      </c>
      <c r="BW31" s="27">
        <v>1</v>
      </c>
      <c r="BX31" s="28">
        <v>7.1464265490844172E-5</v>
      </c>
      <c r="BY31" s="28">
        <v>4.1090042903699113E-8</v>
      </c>
      <c r="BZ31" s="30">
        <v>1574</v>
      </c>
      <c r="CA31" s="30">
        <v>1895</v>
      </c>
      <c r="CB31" s="28">
        <v>3.7</v>
      </c>
    </row>
    <row r="32" spans="1:80" ht="17.399999999999999" x14ac:dyDescent="0.3">
      <c r="A32" s="15" t="s">
        <v>62</v>
      </c>
      <c r="B32" s="16" t="s">
        <v>61</v>
      </c>
      <c r="C32" s="35">
        <v>69.722999999999999</v>
      </c>
      <c r="D32" s="28">
        <v>31</v>
      </c>
      <c r="E32" s="28">
        <v>4</v>
      </c>
      <c r="F32" s="28">
        <v>13</v>
      </c>
      <c r="G32" s="18">
        <v>1</v>
      </c>
      <c r="H32" s="17">
        <v>1</v>
      </c>
      <c r="I32" s="28">
        <v>74</v>
      </c>
      <c r="J32" s="28">
        <v>5</v>
      </c>
      <c r="K32" s="28">
        <v>2</v>
      </c>
      <c r="L32" s="28">
        <v>1</v>
      </c>
      <c r="M32" s="28">
        <v>10</v>
      </c>
      <c r="N32" s="28">
        <v>0</v>
      </c>
      <c r="O32" s="19">
        <v>0</v>
      </c>
      <c r="P32" s="19">
        <v>5</v>
      </c>
      <c r="Q32" s="19">
        <v>0</v>
      </c>
      <c r="R32" s="19">
        <v>14</v>
      </c>
      <c r="S32" s="28">
        <v>13</v>
      </c>
      <c r="T32" s="28">
        <v>3</v>
      </c>
      <c r="U32" s="28">
        <v>3</v>
      </c>
      <c r="V32" s="19">
        <v>3.44</v>
      </c>
      <c r="W32" s="28">
        <v>3.44</v>
      </c>
      <c r="X32" s="21">
        <v>2.6549999999999998</v>
      </c>
      <c r="Y32" s="21">
        <v>1.014</v>
      </c>
      <c r="Z32" s="35">
        <v>5.9992999999999999</v>
      </c>
      <c r="AA32" s="21">
        <v>0.42482089810017265</v>
      </c>
      <c r="AB32" s="22">
        <v>3.2</v>
      </c>
      <c r="AC32" s="21">
        <v>4.6638000000000002</v>
      </c>
      <c r="AD32" s="28">
        <v>1.81</v>
      </c>
      <c r="AE32" s="28">
        <v>1.7</v>
      </c>
      <c r="AF32" s="28">
        <v>3.2</v>
      </c>
      <c r="AG32" s="22">
        <v>1.81</v>
      </c>
      <c r="AH32" s="28">
        <v>1.756</v>
      </c>
      <c r="AI32" s="22">
        <v>1.56</v>
      </c>
      <c r="AJ32" s="22">
        <v>3.3</v>
      </c>
      <c r="AK32" s="28">
        <v>1.4</v>
      </c>
      <c r="AL32" s="22">
        <v>5.49</v>
      </c>
      <c r="AM32" s="35">
        <v>1.36</v>
      </c>
      <c r="AN32" s="35">
        <v>1.26</v>
      </c>
      <c r="AO32" s="35">
        <v>0.76</v>
      </c>
      <c r="AP32" s="23">
        <v>0.62</v>
      </c>
      <c r="AQ32" s="23">
        <v>1.34</v>
      </c>
      <c r="AR32" s="23">
        <v>1.87</v>
      </c>
      <c r="AS32" s="35">
        <v>1.7</v>
      </c>
      <c r="AT32" s="35">
        <v>0.76</v>
      </c>
      <c r="AU32" s="23">
        <v>1.22</v>
      </c>
      <c r="AV32" s="23">
        <v>1.3</v>
      </c>
      <c r="AW32" s="23">
        <v>1.254</v>
      </c>
      <c r="AX32" s="23">
        <v>1.4079999999999999</v>
      </c>
      <c r="AY32" s="23">
        <v>1.2450000000000001</v>
      </c>
      <c r="AZ32" s="28">
        <v>8.1</v>
      </c>
      <c r="BA32" s="28">
        <v>302.95</v>
      </c>
      <c r="BB32" s="28">
        <v>2676.15</v>
      </c>
      <c r="BC32" s="28">
        <v>5.9</v>
      </c>
      <c r="BD32" s="28">
        <v>0.37</v>
      </c>
      <c r="BE32" s="28">
        <v>5.59</v>
      </c>
      <c r="BF32" s="26">
        <v>258.7</v>
      </c>
      <c r="BG32" s="26">
        <v>286</v>
      </c>
      <c r="BH32" s="28">
        <v>40.6</v>
      </c>
      <c r="BI32" s="26">
        <v>1.1999999999999999E-6</v>
      </c>
      <c r="BJ32" s="28">
        <v>2.81</v>
      </c>
      <c r="BK32" s="26">
        <v>56.9</v>
      </c>
      <c r="BL32" s="20" t="s">
        <v>193</v>
      </c>
      <c r="BM32" s="20" t="s">
        <v>193</v>
      </c>
      <c r="BN32" s="20" t="s">
        <v>193</v>
      </c>
      <c r="BO32" s="26">
        <v>0.06</v>
      </c>
      <c r="BP32" s="26">
        <v>1.4000000000000001E-7</v>
      </c>
      <c r="BQ32" s="26">
        <v>7100000</v>
      </c>
      <c r="BR32" s="27">
        <v>2.9</v>
      </c>
      <c r="BS32" s="27">
        <v>1.5E-3</v>
      </c>
      <c r="BT32" s="27">
        <v>31</v>
      </c>
      <c r="BU32" s="27">
        <v>2</v>
      </c>
      <c r="BV32" s="27">
        <v>6.4516129032258063E-2</v>
      </c>
      <c r="BW32" s="27">
        <v>1</v>
      </c>
      <c r="BX32" s="28">
        <v>1.9397443490371991E-5</v>
      </c>
      <c r="BY32" s="28">
        <v>1.232701287110975E-9</v>
      </c>
      <c r="BZ32" s="30">
        <v>5500</v>
      </c>
      <c r="CA32" s="30">
        <v>1895</v>
      </c>
      <c r="CB32" s="28">
        <v>220</v>
      </c>
    </row>
    <row r="33" spans="1:80" ht="17.399999999999999" x14ac:dyDescent="0.3">
      <c r="A33" s="15" t="s">
        <v>64</v>
      </c>
      <c r="B33" s="16" t="s">
        <v>63</v>
      </c>
      <c r="C33" s="35">
        <v>72.63</v>
      </c>
      <c r="D33" s="28">
        <v>32</v>
      </c>
      <c r="E33" s="28">
        <v>4</v>
      </c>
      <c r="F33" s="28">
        <v>14</v>
      </c>
      <c r="G33" s="18">
        <v>1</v>
      </c>
      <c r="H33" s="17">
        <v>2</v>
      </c>
      <c r="I33" s="28">
        <v>79</v>
      </c>
      <c r="J33" s="28">
        <v>6</v>
      </c>
      <c r="K33" s="28">
        <v>2</v>
      </c>
      <c r="L33" s="28">
        <v>2</v>
      </c>
      <c r="M33" s="28">
        <v>10</v>
      </c>
      <c r="N33" s="28">
        <v>0</v>
      </c>
      <c r="O33" s="19">
        <v>0</v>
      </c>
      <c r="P33" s="19">
        <v>4</v>
      </c>
      <c r="Q33" s="19">
        <v>0</v>
      </c>
      <c r="R33" s="19">
        <v>14</v>
      </c>
      <c r="S33" s="28">
        <v>14</v>
      </c>
      <c r="T33" s="28">
        <v>4</v>
      </c>
      <c r="U33" s="28">
        <v>4</v>
      </c>
      <c r="V33" s="19">
        <v>4</v>
      </c>
      <c r="W33" s="28">
        <v>4</v>
      </c>
      <c r="X33" s="21">
        <v>3.0459999999999998</v>
      </c>
      <c r="Y33" s="21">
        <v>0.88400000000000001</v>
      </c>
      <c r="Z33" s="35">
        <v>7.8994</v>
      </c>
      <c r="AA33" s="21">
        <v>1.2336333333333334</v>
      </c>
      <c r="AB33" s="22">
        <v>4.5999999999999996</v>
      </c>
      <c r="AC33" s="21">
        <v>5.1318000000000001</v>
      </c>
      <c r="AD33" s="28">
        <v>2.0099999999999998</v>
      </c>
      <c r="AE33" s="28">
        <v>1.99</v>
      </c>
      <c r="AF33" s="28">
        <v>4.5999999999999996</v>
      </c>
      <c r="AG33" s="22">
        <v>2.0099999999999998</v>
      </c>
      <c r="AH33" s="28">
        <v>1.994</v>
      </c>
      <c r="AI33" s="22">
        <v>1.81</v>
      </c>
      <c r="AJ33" s="22">
        <v>4.24</v>
      </c>
      <c r="AK33" s="28">
        <v>1.7</v>
      </c>
      <c r="AL33" s="22">
        <v>7.92</v>
      </c>
      <c r="AM33" s="35">
        <v>1.25</v>
      </c>
      <c r="AN33" s="35">
        <v>1.22</v>
      </c>
      <c r="AO33" s="35">
        <v>0.87</v>
      </c>
      <c r="AP33" s="23">
        <v>0.73</v>
      </c>
      <c r="AQ33" s="23">
        <v>1.1399999999999999</v>
      </c>
      <c r="AR33" s="23">
        <v>2.11</v>
      </c>
      <c r="AS33" s="35">
        <v>1.56</v>
      </c>
      <c r="AT33" s="35">
        <v>0.53</v>
      </c>
      <c r="AU33" s="23">
        <v>1.2</v>
      </c>
      <c r="AV33" s="23">
        <v>1.25</v>
      </c>
      <c r="AW33" s="23">
        <v>1.0900000000000001</v>
      </c>
      <c r="AX33" s="23">
        <v>1.3660000000000001</v>
      </c>
      <c r="AY33" s="23">
        <v>1.2230000000000001</v>
      </c>
      <c r="AZ33" s="28">
        <v>6.1</v>
      </c>
      <c r="BA33" s="28">
        <v>1220.55</v>
      </c>
      <c r="BB33" s="28">
        <v>3103.15</v>
      </c>
      <c r="BC33" s="28">
        <v>5.32</v>
      </c>
      <c r="BD33" s="28">
        <v>0.32</v>
      </c>
      <c r="BE33" s="28">
        <v>36.94</v>
      </c>
      <c r="BF33" s="26">
        <v>330.9</v>
      </c>
      <c r="BG33" s="26">
        <v>377</v>
      </c>
      <c r="BH33" s="28">
        <v>59.9</v>
      </c>
      <c r="BI33" s="26">
        <v>6.0000000000000002E-6</v>
      </c>
      <c r="BJ33" s="28">
        <v>3.85</v>
      </c>
      <c r="BK33" s="26">
        <v>77.2</v>
      </c>
      <c r="BL33" s="20" t="s">
        <v>193</v>
      </c>
      <c r="BM33" s="20" t="s">
        <v>193</v>
      </c>
      <c r="BN33" s="20" t="s">
        <v>193</v>
      </c>
      <c r="BO33" s="26">
        <v>7.2734024988709995</v>
      </c>
      <c r="BP33" s="26">
        <v>5.0000000000000001E-4</v>
      </c>
      <c r="BQ33" s="26">
        <v>2000</v>
      </c>
      <c r="BR33" s="27">
        <v>2.2000000000000002</v>
      </c>
      <c r="BS33" s="27">
        <v>1.1000000000000001E-3</v>
      </c>
      <c r="BT33" s="27">
        <v>32</v>
      </c>
      <c r="BU33" s="27">
        <v>4</v>
      </c>
      <c r="BV33" s="27">
        <v>0.125</v>
      </c>
      <c r="BW33" s="27">
        <v>0.92390000000000005</v>
      </c>
      <c r="BX33" s="28">
        <v>1.5313771176609465E-6</v>
      </c>
      <c r="BY33" s="28">
        <v>3.8807262742382537E-9</v>
      </c>
      <c r="BZ33" s="30">
        <v>5267</v>
      </c>
      <c r="CA33" s="30">
        <v>1895</v>
      </c>
      <c r="CB33" s="28">
        <v>360</v>
      </c>
    </row>
    <row r="34" spans="1:80" ht="17.399999999999999" x14ac:dyDescent="0.3">
      <c r="A34" s="15" t="s">
        <v>66</v>
      </c>
      <c r="B34" s="16" t="s">
        <v>65</v>
      </c>
      <c r="C34" s="35">
        <v>74.921589999999995</v>
      </c>
      <c r="D34" s="28">
        <v>33</v>
      </c>
      <c r="E34" s="28">
        <v>4</v>
      </c>
      <c r="F34" s="28">
        <v>15</v>
      </c>
      <c r="G34" s="18">
        <v>1</v>
      </c>
      <c r="H34" s="17">
        <v>2</v>
      </c>
      <c r="I34" s="28">
        <v>84</v>
      </c>
      <c r="J34" s="28">
        <v>6</v>
      </c>
      <c r="K34" s="28">
        <v>2</v>
      </c>
      <c r="L34" s="28">
        <v>3</v>
      </c>
      <c r="M34" s="28">
        <v>10</v>
      </c>
      <c r="N34" s="28">
        <v>0</v>
      </c>
      <c r="O34" s="19">
        <v>0</v>
      </c>
      <c r="P34" s="19">
        <v>3</v>
      </c>
      <c r="Q34" s="19">
        <v>0</v>
      </c>
      <c r="R34" s="19">
        <v>14</v>
      </c>
      <c r="S34" s="28">
        <v>15</v>
      </c>
      <c r="T34" s="28">
        <v>5</v>
      </c>
      <c r="U34" s="28">
        <v>5</v>
      </c>
      <c r="V34" s="19">
        <v>3</v>
      </c>
      <c r="W34" s="28">
        <v>3</v>
      </c>
      <c r="X34" s="21">
        <v>3.3959999999999999</v>
      </c>
      <c r="Y34" s="21">
        <v>0.88400000000000001</v>
      </c>
      <c r="Z34" s="35">
        <v>9.7886000000000006</v>
      </c>
      <c r="AA34" s="21">
        <v>0.80624160506863785</v>
      </c>
      <c r="AB34" s="22">
        <v>5.3</v>
      </c>
      <c r="AC34" s="21">
        <v>5.5372000000000003</v>
      </c>
      <c r="AD34" s="28">
        <v>2.1800000000000002</v>
      </c>
      <c r="AE34" s="28">
        <v>2.27</v>
      </c>
      <c r="AF34" s="28">
        <v>5.3</v>
      </c>
      <c r="AG34" s="22">
        <v>2.1800000000000002</v>
      </c>
      <c r="AH34" s="28">
        <v>2.2109999999999999</v>
      </c>
      <c r="AI34" s="22">
        <v>2.11</v>
      </c>
      <c r="AJ34" s="22">
        <v>4.9400000000000004</v>
      </c>
      <c r="AK34" s="28">
        <v>2</v>
      </c>
      <c r="AL34" s="22">
        <v>11.1</v>
      </c>
      <c r="AM34" s="35">
        <v>1.1399999999999999</v>
      </c>
      <c r="AN34" s="35">
        <v>1.19</v>
      </c>
      <c r="AO34" s="35">
        <v>0.72</v>
      </c>
      <c r="AP34" s="23">
        <v>0.57999999999999996</v>
      </c>
      <c r="AQ34" s="23">
        <v>1.1499999999999999</v>
      </c>
      <c r="AR34" s="23">
        <v>1.85</v>
      </c>
      <c r="AS34" s="35">
        <v>1.42</v>
      </c>
      <c r="AT34" s="35">
        <v>0.72</v>
      </c>
      <c r="AU34" s="23">
        <v>1.19</v>
      </c>
      <c r="AV34" s="23">
        <v>1.1499999999999999</v>
      </c>
      <c r="AW34" s="23">
        <v>1.0009999999999999</v>
      </c>
      <c r="AX34" s="23">
        <v>1.39</v>
      </c>
      <c r="AY34" s="23">
        <v>1.21</v>
      </c>
      <c r="AZ34" s="28">
        <v>4.3</v>
      </c>
      <c r="BA34" s="28">
        <v>1090.1500000000001</v>
      </c>
      <c r="BB34" s="28">
        <v>890.15</v>
      </c>
      <c r="BC34" s="28">
        <v>5.73</v>
      </c>
      <c r="BD34" s="28">
        <v>0.33</v>
      </c>
      <c r="BE34" s="28">
        <v>27.7</v>
      </c>
      <c r="BF34" s="26">
        <v>34.76</v>
      </c>
      <c r="BG34" s="26">
        <v>302</v>
      </c>
      <c r="BH34" s="28">
        <v>50</v>
      </c>
      <c r="BI34" s="20" t="s">
        <v>193</v>
      </c>
      <c r="BJ34" s="28">
        <v>2.96</v>
      </c>
      <c r="BK34" s="26">
        <v>38.299999999999997</v>
      </c>
      <c r="BL34" s="20" t="s">
        <v>193</v>
      </c>
      <c r="BM34" s="26">
        <v>8</v>
      </c>
      <c r="BN34" s="20" t="s">
        <v>193</v>
      </c>
      <c r="BO34" s="26">
        <v>1.44</v>
      </c>
      <c r="BP34" s="26">
        <v>2.9999999999999999E-7</v>
      </c>
      <c r="BQ34" s="26">
        <v>3300000</v>
      </c>
      <c r="BR34" s="27">
        <v>4.2</v>
      </c>
      <c r="BS34" s="27">
        <v>2E-3</v>
      </c>
      <c r="BT34" s="27">
        <v>33</v>
      </c>
      <c r="BU34" s="27">
        <v>1</v>
      </c>
      <c r="BV34" s="27">
        <v>3.0303030303030304E-2</v>
      </c>
      <c r="BW34" s="27">
        <v>1</v>
      </c>
      <c r="BX34" s="28">
        <v>1.8376525411931359E-6</v>
      </c>
      <c r="BY34" s="28">
        <v>2.1392911226052884E-10</v>
      </c>
      <c r="BZ34" s="30">
        <v>3337</v>
      </c>
      <c r="CA34" s="30">
        <v>4000</v>
      </c>
      <c r="CB34" s="28">
        <v>320</v>
      </c>
    </row>
    <row r="35" spans="1:80" ht="17.399999999999999" x14ac:dyDescent="0.3">
      <c r="A35" s="15" t="s">
        <v>68</v>
      </c>
      <c r="B35" s="16" t="s">
        <v>67</v>
      </c>
      <c r="C35" s="35">
        <v>78.971000000000004</v>
      </c>
      <c r="D35" s="28">
        <v>34</v>
      </c>
      <c r="E35" s="28">
        <v>4</v>
      </c>
      <c r="F35" s="28">
        <v>16</v>
      </c>
      <c r="G35" s="18">
        <v>1</v>
      </c>
      <c r="H35" s="17">
        <v>3</v>
      </c>
      <c r="I35" s="28">
        <v>89</v>
      </c>
      <c r="J35" s="28">
        <v>7</v>
      </c>
      <c r="K35" s="28">
        <v>2</v>
      </c>
      <c r="L35" s="28">
        <v>4</v>
      </c>
      <c r="M35" s="28">
        <v>10</v>
      </c>
      <c r="N35" s="28">
        <v>0</v>
      </c>
      <c r="O35" s="19">
        <v>0</v>
      </c>
      <c r="P35" s="19">
        <v>2</v>
      </c>
      <c r="Q35" s="19">
        <v>0</v>
      </c>
      <c r="R35" s="19">
        <v>14</v>
      </c>
      <c r="S35" s="28">
        <v>16</v>
      </c>
      <c r="T35" s="28">
        <v>6</v>
      </c>
      <c r="U35" s="28">
        <v>6</v>
      </c>
      <c r="V35" s="19">
        <v>2</v>
      </c>
      <c r="W35" s="28">
        <v>2</v>
      </c>
      <c r="X35" s="21">
        <v>3.3849999999999998</v>
      </c>
      <c r="Y35" s="21">
        <v>0.79500000000000004</v>
      </c>
      <c r="Z35" s="35">
        <v>9.7523999999999997</v>
      </c>
      <c r="AA35" s="21">
        <v>2.0209543039319873</v>
      </c>
      <c r="AB35" s="22">
        <v>5.89</v>
      </c>
      <c r="AC35" s="21">
        <v>5.8746</v>
      </c>
      <c r="AD35" s="28">
        <v>2.5499999999999998</v>
      </c>
      <c r="AE35" s="28">
        <v>2.54</v>
      </c>
      <c r="AF35" s="28">
        <v>5.89</v>
      </c>
      <c r="AG35" s="22">
        <v>2.5499999999999998</v>
      </c>
      <c r="AH35" s="28">
        <v>2.4340000000000002</v>
      </c>
      <c r="AI35" s="22">
        <v>2.31</v>
      </c>
      <c r="AJ35" s="22">
        <v>4.82</v>
      </c>
      <c r="AK35" s="28">
        <v>2.4</v>
      </c>
      <c r="AL35" s="22">
        <v>14.7</v>
      </c>
      <c r="AM35" s="35">
        <v>1.03</v>
      </c>
      <c r="AN35" s="35">
        <v>1.1599999999999999</v>
      </c>
      <c r="AO35" s="35">
        <v>1.84</v>
      </c>
      <c r="AP35" s="23">
        <v>1.98</v>
      </c>
      <c r="AQ35" s="23">
        <v>1.18</v>
      </c>
      <c r="AR35" s="23">
        <v>1.9</v>
      </c>
      <c r="AS35" s="35">
        <v>1.29</v>
      </c>
      <c r="AT35" s="35">
        <v>0.56000000000000005</v>
      </c>
      <c r="AU35" s="23">
        <v>1.2</v>
      </c>
      <c r="AV35" s="23">
        <v>1.1499999999999999</v>
      </c>
      <c r="AW35" s="23">
        <v>0.91799999999999993</v>
      </c>
      <c r="AX35" s="23">
        <v>1.4</v>
      </c>
      <c r="AY35" s="23">
        <v>1.17</v>
      </c>
      <c r="AZ35" s="28">
        <v>3.8</v>
      </c>
      <c r="BA35" s="28">
        <v>490.15</v>
      </c>
      <c r="BB35" s="28">
        <v>958.15</v>
      </c>
      <c r="BC35" s="28">
        <v>4.79</v>
      </c>
      <c r="BD35" s="28">
        <v>0.32</v>
      </c>
      <c r="BE35" s="28">
        <v>6.694</v>
      </c>
      <c r="BF35" s="26">
        <v>37.700000000000003</v>
      </c>
      <c r="BG35" s="26">
        <v>227</v>
      </c>
      <c r="BH35" s="28">
        <v>0.52</v>
      </c>
      <c r="BI35" s="20" t="s">
        <v>193</v>
      </c>
      <c r="BJ35" s="28">
        <v>2.46</v>
      </c>
      <c r="BK35" s="26">
        <v>8.3000000000000007</v>
      </c>
      <c r="BL35" s="26">
        <v>3.7</v>
      </c>
      <c r="BM35" s="26">
        <v>10</v>
      </c>
      <c r="BN35" s="20" t="s">
        <v>193</v>
      </c>
      <c r="BO35" s="26">
        <v>0.73599999999999999</v>
      </c>
      <c r="BP35" s="20" t="s">
        <v>193</v>
      </c>
      <c r="BQ35" s="20" t="s">
        <v>193</v>
      </c>
      <c r="BR35" s="27">
        <v>11.7</v>
      </c>
      <c r="BS35" s="27">
        <v>5.5999999999999999E-3</v>
      </c>
      <c r="BT35" s="27">
        <v>30</v>
      </c>
      <c r="BU35" s="27">
        <v>5</v>
      </c>
      <c r="BV35" s="27">
        <v>0.16666666666666666</v>
      </c>
      <c r="BW35" s="27">
        <v>0.91269999999999996</v>
      </c>
      <c r="BX35" s="28">
        <v>5.1045903922031559E-8</v>
      </c>
      <c r="BY35" s="28">
        <v>2.0251521145394575E-9</v>
      </c>
      <c r="BZ35" s="30">
        <v>2225</v>
      </c>
      <c r="CA35" s="30">
        <v>1910</v>
      </c>
      <c r="CB35" s="28">
        <v>14</v>
      </c>
    </row>
    <row r="36" spans="1:80" ht="17.399999999999999" x14ac:dyDescent="0.3">
      <c r="A36" s="15" t="s">
        <v>70</v>
      </c>
      <c r="B36" s="16" t="s">
        <v>69</v>
      </c>
      <c r="C36" s="35">
        <v>79.903999999999996</v>
      </c>
      <c r="D36" s="28">
        <v>35</v>
      </c>
      <c r="E36" s="28">
        <v>4</v>
      </c>
      <c r="F36" s="28">
        <v>17</v>
      </c>
      <c r="G36" s="18">
        <v>1</v>
      </c>
      <c r="H36" s="17">
        <v>3</v>
      </c>
      <c r="I36" s="28">
        <v>95</v>
      </c>
      <c r="J36" s="28">
        <v>8</v>
      </c>
      <c r="K36" s="28">
        <v>2</v>
      </c>
      <c r="L36" s="28">
        <v>5</v>
      </c>
      <c r="M36" s="28">
        <v>10</v>
      </c>
      <c r="N36" s="28">
        <v>0</v>
      </c>
      <c r="O36" s="19">
        <v>0</v>
      </c>
      <c r="P36" s="19">
        <v>1</v>
      </c>
      <c r="Q36" s="19">
        <v>0</v>
      </c>
      <c r="R36" s="19">
        <v>14</v>
      </c>
      <c r="S36" s="28">
        <v>17</v>
      </c>
      <c r="T36" s="28">
        <v>7</v>
      </c>
      <c r="U36" s="28">
        <v>7</v>
      </c>
      <c r="V36" s="19">
        <v>1</v>
      </c>
      <c r="W36" s="28">
        <v>0</v>
      </c>
      <c r="X36" s="21">
        <v>3.726</v>
      </c>
      <c r="Y36" s="21">
        <v>0.72299999999999998</v>
      </c>
      <c r="Z36" s="35">
        <v>11.813800000000001</v>
      </c>
      <c r="AA36" s="21">
        <v>3.3679692982456144</v>
      </c>
      <c r="AB36" s="22">
        <v>7.59</v>
      </c>
      <c r="AC36" s="21">
        <v>6.1657999999999999</v>
      </c>
      <c r="AD36" s="28">
        <v>2.96</v>
      </c>
      <c r="AE36" s="28">
        <v>2.83</v>
      </c>
      <c r="AF36" s="28">
        <v>7.59</v>
      </c>
      <c r="AG36" s="22">
        <v>2.96</v>
      </c>
      <c r="AH36" s="28">
        <v>2.6850000000000001</v>
      </c>
      <c r="AI36" s="22">
        <v>2.56</v>
      </c>
      <c r="AJ36" s="22">
        <v>7.35</v>
      </c>
      <c r="AK36" s="28">
        <v>2.75</v>
      </c>
      <c r="AL36" s="22">
        <v>19.3</v>
      </c>
      <c r="AM36" s="35">
        <v>0.94</v>
      </c>
      <c r="AN36" s="35">
        <v>1.1399999999999999</v>
      </c>
      <c r="AO36" s="35">
        <v>1.82</v>
      </c>
      <c r="AP36" s="23">
        <v>1.96</v>
      </c>
      <c r="AQ36" s="23">
        <v>1.2</v>
      </c>
      <c r="AR36" s="23">
        <v>1.85</v>
      </c>
      <c r="AS36" s="35">
        <v>1.2</v>
      </c>
      <c r="AT36" s="35">
        <v>1.82</v>
      </c>
      <c r="AU36" s="23">
        <v>1.2</v>
      </c>
      <c r="AV36" s="23">
        <v>1.1499999999999999</v>
      </c>
      <c r="AW36" s="23">
        <v>0.85099999999999998</v>
      </c>
      <c r="AX36" s="25" t="s">
        <v>193</v>
      </c>
      <c r="AY36" s="23">
        <v>1.1419999999999999</v>
      </c>
      <c r="AZ36" s="28">
        <v>3.1</v>
      </c>
      <c r="BA36" s="28">
        <v>265.95</v>
      </c>
      <c r="BB36" s="28">
        <v>331.95</v>
      </c>
      <c r="BC36" s="28">
        <v>3.12</v>
      </c>
      <c r="BD36" s="28">
        <v>0.47299999999999998</v>
      </c>
      <c r="BE36" s="28">
        <v>5.2859999999999996</v>
      </c>
      <c r="BF36" s="26">
        <v>15.438000000000001</v>
      </c>
      <c r="BG36" s="26">
        <v>112</v>
      </c>
      <c r="BH36" s="28">
        <v>0.122</v>
      </c>
      <c r="BI36" s="20" t="s">
        <v>193</v>
      </c>
      <c r="BJ36" s="28">
        <v>1.22</v>
      </c>
      <c r="BK36" s="26">
        <v>1.9</v>
      </c>
      <c r="BL36" s="20" t="s">
        <v>193</v>
      </c>
      <c r="BM36" s="20" t="s">
        <v>193</v>
      </c>
      <c r="BN36" s="20" t="s">
        <v>193</v>
      </c>
      <c r="BO36" s="20" t="s">
        <v>193</v>
      </c>
      <c r="BP36" s="26">
        <v>10000000000</v>
      </c>
      <c r="BQ36" s="26">
        <v>1E-10</v>
      </c>
      <c r="BR36" s="27">
        <v>6.8</v>
      </c>
      <c r="BS36" s="27">
        <v>2E-3</v>
      </c>
      <c r="BT36" s="27">
        <v>31</v>
      </c>
      <c r="BU36" s="27">
        <v>2</v>
      </c>
      <c r="BV36" s="27">
        <v>6.4516129032258063E-2</v>
      </c>
      <c r="BW36" s="27">
        <v>1</v>
      </c>
      <c r="BX36" s="28">
        <v>2.4502033882575144E-6</v>
      </c>
      <c r="BY36" s="28">
        <v>3.848115129076587E-10</v>
      </c>
      <c r="BZ36" s="30">
        <v>3299</v>
      </c>
      <c r="CA36" s="30">
        <v>6880</v>
      </c>
      <c r="CB36" s="28">
        <v>4.9000000000000004</v>
      </c>
    </row>
    <row r="37" spans="1:80" ht="17.399999999999999" x14ac:dyDescent="0.3">
      <c r="A37" s="15" t="s">
        <v>72</v>
      </c>
      <c r="B37" s="16" t="s">
        <v>71</v>
      </c>
      <c r="C37" s="35">
        <v>83.798000000000002</v>
      </c>
      <c r="D37" s="28">
        <v>36</v>
      </c>
      <c r="E37" s="28">
        <v>4</v>
      </c>
      <c r="F37" s="28">
        <v>18</v>
      </c>
      <c r="G37" s="18">
        <v>1</v>
      </c>
      <c r="H37" s="17">
        <v>3</v>
      </c>
      <c r="I37" s="28">
        <v>101</v>
      </c>
      <c r="J37" s="28">
        <v>9</v>
      </c>
      <c r="K37" s="28">
        <v>2</v>
      </c>
      <c r="L37" s="28">
        <v>6</v>
      </c>
      <c r="M37" s="28">
        <v>10</v>
      </c>
      <c r="N37" s="28">
        <v>0</v>
      </c>
      <c r="O37" s="19">
        <v>0</v>
      </c>
      <c r="P37" s="19">
        <v>0</v>
      </c>
      <c r="Q37" s="19">
        <v>0</v>
      </c>
      <c r="R37" s="19">
        <v>14</v>
      </c>
      <c r="S37" s="28">
        <v>18</v>
      </c>
      <c r="T37" s="28">
        <v>8</v>
      </c>
      <c r="U37" s="28">
        <v>8</v>
      </c>
      <c r="V37" s="20" t="s">
        <v>193</v>
      </c>
      <c r="W37" s="28">
        <v>0</v>
      </c>
      <c r="X37" s="21">
        <v>4.056</v>
      </c>
      <c r="Y37" s="21">
        <v>0.66400000000000003</v>
      </c>
      <c r="Z37" s="35">
        <v>13.999599999999999</v>
      </c>
      <c r="AA37" s="21">
        <v>-0.6217438934122872</v>
      </c>
      <c r="AB37" s="20" t="s">
        <v>193</v>
      </c>
      <c r="AC37" s="21">
        <v>6.3916000000000004</v>
      </c>
      <c r="AD37" s="28">
        <v>3</v>
      </c>
      <c r="AE37" s="28" t="s">
        <v>193</v>
      </c>
      <c r="AF37" s="28" t="s">
        <v>193</v>
      </c>
      <c r="AG37" s="20" t="s">
        <v>193</v>
      </c>
      <c r="AH37" s="28">
        <v>2.9660000000000002</v>
      </c>
      <c r="AI37" s="22">
        <v>2.82</v>
      </c>
      <c r="AJ37" s="22">
        <v>9.59</v>
      </c>
      <c r="AK37" s="28" t="s">
        <v>193</v>
      </c>
      <c r="AL37" s="22">
        <v>24.6</v>
      </c>
      <c r="AM37" s="35">
        <v>0.88</v>
      </c>
      <c r="AN37" s="35">
        <v>1.1000000000000001</v>
      </c>
      <c r="AO37" s="35">
        <v>1.66</v>
      </c>
      <c r="AP37" s="24">
        <v>1.36</v>
      </c>
      <c r="AQ37" s="24">
        <v>1.88</v>
      </c>
      <c r="AR37" s="23">
        <v>2.02</v>
      </c>
      <c r="AS37" s="35">
        <v>2.91</v>
      </c>
      <c r="AT37" s="35">
        <v>2.1</v>
      </c>
      <c r="AU37" s="23">
        <v>1.1599999999999999</v>
      </c>
      <c r="AV37" s="23">
        <v>0.88</v>
      </c>
      <c r="AW37" s="23">
        <v>0.79500000000000004</v>
      </c>
      <c r="AX37" s="25" t="s">
        <v>193</v>
      </c>
      <c r="AY37" s="25" t="s">
        <v>193</v>
      </c>
      <c r="AZ37" s="28">
        <v>2.5</v>
      </c>
      <c r="BA37" s="28">
        <v>116.14999999999998</v>
      </c>
      <c r="BB37" s="28">
        <v>121.14999999999998</v>
      </c>
      <c r="BC37" s="28">
        <v>3.7399999999999998E-3</v>
      </c>
      <c r="BD37" s="28">
        <v>0.248</v>
      </c>
      <c r="BE37" s="28">
        <v>1.6379999999999999</v>
      </c>
      <c r="BF37" s="26">
        <v>9.0289999999999999</v>
      </c>
      <c r="BG37" s="26">
        <v>0</v>
      </c>
      <c r="BH37" s="28">
        <v>9.4900000000000002E-3</v>
      </c>
      <c r="BI37" s="20" t="s">
        <v>193</v>
      </c>
      <c r="BJ37" s="28">
        <v>0.11600000000000001</v>
      </c>
      <c r="BK37" s="20" t="s">
        <v>193</v>
      </c>
      <c r="BL37" s="20" t="s">
        <v>193</v>
      </c>
      <c r="BM37" s="20" t="s">
        <v>193</v>
      </c>
      <c r="BN37" s="20" t="s">
        <v>193</v>
      </c>
      <c r="BO37" s="20" t="s">
        <v>193</v>
      </c>
      <c r="BP37" s="20" t="s">
        <v>193</v>
      </c>
      <c r="BQ37" s="20" t="s">
        <v>193</v>
      </c>
      <c r="BR37" s="27">
        <v>25</v>
      </c>
      <c r="BS37" s="27">
        <v>1.2999999999999999E-2</v>
      </c>
      <c r="BT37" s="27">
        <v>32</v>
      </c>
      <c r="BU37" s="27">
        <v>6</v>
      </c>
      <c r="BV37" s="27">
        <v>0.1875</v>
      </c>
      <c r="BW37" s="27">
        <v>1</v>
      </c>
      <c r="BX37" s="28">
        <v>1.0209180784406311E-10</v>
      </c>
      <c r="BY37" s="28">
        <v>1.4675015322749691E-9</v>
      </c>
      <c r="BZ37" s="29" t="s">
        <v>193</v>
      </c>
      <c r="CA37" s="29" t="s">
        <v>193</v>
      </c>
      <c r="CB37" s="28">
        <v>33</v>
      </c>
    </row>
    <row r="38" spans="1:80" ht="17.399999999999999" x14ac:dyDescent="0.3">
      <c r="A38" s="15" t="s">
        <v>74</v>
      </c>
      <c r="B38" s="16" t="s">
        <v>73</v>
      </c>
      <c r="C38" s="35">
        <v>85.467799999999997</v>
      </c>
      <c r="D38" s="28">
        <v>37</v>
      </c>
      <c r="E38" s="28">
        <v>5</v>
      </c>
      <c r="F38" s="28">
        <v>1</v>
      </c>
      <c r="G38" s="18">
        <v>0</v>
      </c>
      <c r="H38" s="17">
        <v>1</v>
      </c>
      <c r="I38" s="28">
        <v>4</v>
      </c>
      <c r="J38" s="28">
        <v>1</v>
      </c>
      <c r="K38" s="28">
        <v>1</v>
      </c>
      <c r="L38" s="28">
        <v>0</v>
      </c>
      <c r="M38" s="28">
        <v>0</v>
      </c>
      <c r="N38" s="28">
        <v>0</v>
      </c>
      <c r="O38" s="19">
        <v>1</v>
      </c>
      <c r="P38" s="19">
        <v>6</v>
      </c>
      <c r="Q38" s="19">
        <v>10</v>
      </c>
      <c r="R38" s="19">
        <v>14</v>
      </c>
      <c r="S38" s="28">
        <v>1</v>
      </c>
      <c r="T38" s="28">
        <v>1</v>
      </c>
      <c r="U38" s="28">
        <v>1</v>
      </c>
      <c r="V38" s="19">
        <v>1</v>
      </c>
      <c r="W38" s="28">
        <v>1</v>
      </c>
      <c r="X38" s="21">
        <v>2.7690000000000001</v>
      </c>
      <c r="Y38" s="21">
        <v>1.5189999999999999</v>
      </c>
      <c r="Z38" s="35">
        <v>4.1771000000000003</v>
      </c>
      <c r="AA38" s="21">
        <v>0.48715558312655088</v>
      </c>
      <c r="AB38" s="22">
        <v>2.34</v>
      </c>
      <c r="AC38" s="21">
        <v>2.0135000000000001</v>
      </c>
      <c r="AD38" s="28">
        <v>0.82</v>
      </c>
      <c r="AE38" s="28">
        <v>0.8</v>
      </c>
      <c r="AF38" s="28">
        <v>2.34</v>
      </c>
      <c r="AG38" s="22">
        <v>0.82</v>
      </c>
      <c r="AH38" s="28">
        <v>0.70599999999999996</v>
      </c>
      <c r="AI38" s="22">
        <v>0.83</v>
      </c>
      <c r="AJ38" s="22">
        <v>1.05</v>
      </c>
      <c r="AK38" s="28">
        <v>0.78</v>
      </c>
      <c r="AL38" s="22">
        <v>0.34200000000000003</v>
      </c>
      <c r="AM38" s="35">
        <v>2.65</v>
      </c>
      <c r="AN38" s="35">
        <v>2.11</v>
      </c>
      <c r="AO38" s="35">
        <v>1.66</v>
      </c>
      <c r="AP38" s="23">
        <v>1.52</v>
      </c>
      <c r="AQ38" s="23">
        <v>2.44</v>
      </c>
      <c r="AR38" s="23">
        <v>2.9</v>
      </c>
      <c r="AS38" s="35">
        <v>4.0999999999999996</v>
      </c>
      <c r="AT38" s="35">
        <v>1.66</v>
      </c>
      <c r="AU38" s="23">
        <v>2.2000000000000002</v>
      </c>
      <c r="AV38" s="23">
        <v>2.35</v>
      </c>
      <c r="AW38" s="23">
        <v>2.2869999999999999</v>
      </c>
      <c r="AX38" s="23">
        <v>2.48</v>
      </c>
      <c r="AY38" s="23">
        <v>2.16</v>
      </c>
      <c r="AZ38" s="28">
        <v>47.3</v>
      </c>
      <c r="BA38" s="28">
        <v>312.04999999999995</v>
      </c>
      <c r="BB38" s="28">
        <v>959.15</v>
      </c>
      <c r="BC38" s="28">
        <v>1.53</v>
      </c>
      <c r="BD38" s="28">
        <v>0.36299999999999999</v>
      </c>
      <c r="BE38" s="28">
        <v>2.1920000000000002</v>
      </c>
      <c r="BF38" s="26">
        <v>72.215999999999994</v>
      </c>
      <c r="BG38" s="26">
        <v>86</v>
      </c>
      <c r="BH38" s="28">
        <v>58.2</v>
      </c>
      <c r="BI38" s="26">
        <v>9.0000000000000002E-6</v>
      </c>
      <c r="BJ38" s="28">
        <v>0.85199999999999998</v>
      </c>
      <c r="BK38" s="26">
        <v>3.1</v>
      </c>
      <c r="BL38" s="20" t="s">
        <v>193</v>
      </c>
      <c r="BM38" s="26">
        <v>2.4</v>
      </c>
      <c r="BN38" s="20" t="s">
        <v>193</v>
      </c>
      <c r="BO38" s="26">
        <v>2.1599999999999999E-4</v>
      </c>
      <c r="BP38" s="26">
        <v>1.1999999999999999E-7</v>
      </c>
      <c r="BQ38" s="26">
        <v>8300000</v>
      </c>
      <c r="BR38" s="27">
        <v>0.38</v>
      </c>
      <c r="BS38" s="27">
        <v>2.9999999999999997E-4</v>
      </c>
      <c r="BT38" s="27">
        <v>32</v>
      </c>
      <c r="BU38" s="27">
        <v>1</v>
      </c>
      <c r="BV38" s="27">
        <v>3.125E-2</v>
      </c>
      <c r="BW38" s="27">
        <v>1</v>
      </c>
      <c r="BX38" s="28">
        <v>9.1882627059656802E-5</v>
      </c>
      <c r="BY38" s="28">
        <v>2.3121301919621186E-10</v>
      </c>
      <c r="BZ38" s="30">
        <v>6000</v>
      </c>
      <c r="CA38" s="30">
        <v>6000</v>
      </c>
      <c r="CB38" s="28">
        <v>1200</v>
      </c>
    </row>
    <row r="39" spans="1:80" ht="17.399999999999999" x14ac:dyDescent="0.3">
      <c r="A39" s="15" t="s">
        <v>76</v>
      </c>
      <c r="B39" s="16" t="s">
        <v>75</v>
      </c>
      <c r="C39" s="35">
        <v>87.62</v>
      </c>
      <c r="D39" s="28">
        <v>38</v>
      </c>
      <c r="E39" s="28">
        <v>5</v>
      </c>
      <c r="F39" s="28">
        <v>2</v>
      </c>
      <c r="G39" s="18">
        <v>0</v>
      </c>
      <c r="H39" s="17">
        <v>1</v>
      </c>
      <c r="I39" s="28">
        <v>8</v>
      </c>
      <c r="J39" s="28">
        <v>2</v>
      </c>
      <c r="K39" s="28">
        <v>2</v>
      </c>
      <c r="L39" s="28">
        <v>0</v>
      </c>
      <c r="M39" s="28">
        <v>0</v>
      </c>
      <c r="N39" s="28">
        <v>0</v>
      </c>
      <c r="O39" s="19">
        <v>0</v>
      </c>
      <c r="P39" s="19">
        <v>6</v>
      </c>
      <c r="Q39" s="19">
        <v>10</v>
      </c>
      <c r="R39" s="19">
        <v>14</v>
      </c>
      <c r="S39" s="28">
        <v>2</v>
      </c>
      <c r="T39" s="28">
        <v>2</v>
      </c>
      <c r="U39" s="28">
        <v>2</v>
      </c>
      <c r="V39" s="19">
        <v>2</v>
      </c>
      <c r="W39" s="28">
        <v>2</v>
      </c>
      <c r="X39" s="21">
        <v>3.234</v>
      </c>
      <c r="Y39" s="21">
        <v>1.3009999999999999</v>
      </c>
      <c r="Z39" s="35">
        <v>5.6948999999999996</v>
      </c>
      <c r="AA39" s="21">
        <v>5.1866120218579233E-2</v>
      </c>
      <c r="AB39" s="22">
        <v>2</v>
      </c>
      <c r="AC39" s="21">
        <v>2.5849000000000002</v>
      </c>
      <c r="AD39" s="28">
        <v>0.95</v>
      </c>
      <c r="AE39" s="28">
        <v>1.1299999999999999</v>
      </c>
      <c r="AF39" s="28">
        <v>2</v>
      </c>
      <c r="AG39" s="22">
        <v>0.95</v>
      </c>
      <c r="AH39" s="28">
        <v>0.96299999999999997</v>
      </c>
      <c r="AI39" s="22">
        <v>1.06</v>
      </c>
      <c r="AJ39" s="22">
        <v>1.63</v>
      </c>
      <c r="AK39" s="28">
        <v>1</v>
      </c>
      <c r="AL39" s="22">
        <v>0.74399999999999999</v>
      </c>
      <c r="AM39" s="35">
        <v>2.19</v>
      </c>
      <c r="AN39" s="35">
        <v>1.92</v>
      </c>
      <c r="AO39" s="35">
        <v>1.32</v>
      </c>
      <c r="AP39" s="23">
        <v>1.18</v>
      </c>
      <c r="AQ39" s="23">
        <v>2.12</v>
      </c>
      <c r="AR39" s="23">
        <v>2.5499999999999998</v>
      </c>
      <c r="AS39" s="35">
        <v>3.21</v>
      </c>
      <c r="AT39" s="35">
        <v>1.32</v>
      </c>
      <c r="AU39" s="23">
        <v>1.95</v>
      </c>
      <c r="AV39" s="23">
        <v>2</v>
      </c>
      <c r="AW39" s="23">
        <v>1.8359999999999999</v>
      </c>
      <c r="AX39" s="23">
        <v>2.1480000000000001</v>
      </c>
      <c r="AY39" s="23">
        <v>1.9139999999999999</v>
      </c>
      <c r="AZ39" s="28">
        <v>27.6</v>
      </c>
      <c r="BA39" s="28">
        <v>1042.1500000000001</v>
      </c>
      <c r="BB39" s="28">
        <v>1657.15</v>
      </c>
      <c r="BC39" s="28">
        <v>2.63</v>
      </c>
      <c r="BD39" s="28">
        <v>0.3</v>
      </c>
      <c r="BE39" s="28">
        <v>8.3000000000000007</v>
      </c>
      <c r="BF39" s="26">
        <v>144</v>
      </c>
      <c r="BG39" s="26">
        <v>164</v>
      </c>
      <c r="BH39" s="28">
        <v>35.299999999999997</v>
      </c>
      <c r="BI39" s="26">
        <v>2.2500000000000001E-5</v>
      </c>
      <c r="BJ39" s="28">
        <v>1.72</v>
      </c>
      <c r="BK39" s="26">
        <v>12</v>
      </c>
      <c r="BL39" s="26">
        <v>6.1</v>
      </c>
      <c r="BM39" s="20" t="s">
        <v>193</v>
      </c>
      <c r="BN39" s="20" t="s">
        <v>193</v>
      </c>
      <c r="BO39" s="20" t="s">
        <v>193</v>
      </c>
      <c r="BP39" s="26">
        <v>1.3E-7</v>
      </c>
      <c r="BQ39" s="26">
        <v>7700000</v>
      </c>
      <c r="BR39" s="27">
        <v>1.2</v>
      </c>
      <c r="BS39" s="27">
        <v>5.0000000000000001E-4</v>
      </c>
      <c r="BT39" s="27">
        <v>33</v>
      </c>
      <c r="BU39" s="27">
        <v>4</v>
      </c>
      <c r="BV39" s="27">
        <v>0.12121212121212122</v>
      </c>
      <c r="BW39" s="27">
        <v>1</v>
      </c>
      <c r="BX39" s="28">
        <v>3.7773968902303349E-4</v>
      </c>
      <c r="BY39" s="28">
        <v>7.663619112991508E-10</v>
      </c>
      <c r="BZ39" s="30">
        <v>4179</v>
      </c>
      <c r="CA39" s="30">
        <v>3000</v>
      </c>
      <c r="CB39" s="28">
        <v>100</v>
      </c>
    </row>
    <row r="40" spans="1:80" ht="17.399999999999999" x14ac:dyDescent="0.3">
      <c r="A40" s="15" t="s">
        <v>78</v>
      </c>
      <c r="B40" s="16" t="s">
        <v>77</v>
      </c>
      <c r="C40" s="35">
        <v>88.905839999999998</v>
      </c>
      <c r="D40" s="28">
        <v>39</v>
      </c>
      <c r="E40" s="28">
        <v>5</v>
      </c>
      <c r="F40" s="28">
        <v>3</v>
      </c>
      <c r="G40" s="18">
        <v>2</v>
      </c>
      <c r="H40" s="17">
        <v>1</v>
      </c>
      <c r="I40" s="28">
        <v>12</v>
      </c>
      <c r="J40" s="28">
        <v>3</v>
      </c>
      <c r="K40" s="28">
        <v>2</v>
      </c>
      <c r="L40" s="28">
        <v>0</v>
      </c>
      <c r="M40" s="28">
        <v>1</v>
      </c>
      <c r="N40" s="28">
        <v>0</v>
      </c>
      <c r="O40" s="19">
        <v>0</v>
      </c>
      <c r="P40" s="19">
        <v>6</v>
      </c>
      <c r="Q40" s="19">
        <v>9</v>
      </c>
      <c r="R40" s="19">
        <v>14</v>
      </c>
      <c r="S40" s="28">
        <v>3</v>
      </c>
      <c r="T40" s="28">
        <v>2</v>
      </c>
      <c r="U40" s="28">
        <v>1</v>
      </c>
      <c r="V40" s="19">
        <v>3</v>
      </c>
      <c r="W40" s="28">
        <v>3</v>
      </c>
      <c r="X40" s="21">
        <v>3.379</v>
      </c>
      <c r="Y40" s="21">
        <v>1.2450000000000001</v>
      </c>
      <c r="Z40" s="35">
        <v>6.2172999999999998</v>
      </c>
      <c r="AA40" s="21">
        <v>0.310865</v>
      </c>
      <c r="AB40" s="22">
        <v>3.19</v>
      </c>
      <c r="AC40" s="21">
        <v>2.7237</v>
      </c>
      <c r="AD40" s="28">
        <v>1.22</v>
      </c>
      <c r="AE40" s="28">
        <v>1.41</v>
      </c>
      <c r="AF40" s="28">
        <v>3.19</v>
      </c>
      <c r="AG40" s="22">
        <v>1.22</v>
      </c>
      <c r="AH40" s="28">
        <v>1.1200000000000001</v>
      </c>
      <c r="AI40" s="22">
        <v>1.1100000000000001</v>
      </c>
      <c r="AJ40" s="22">
        <v>1.76</v>
      </c>
      <c r="AK40" s="28">
        <v>1.3</v>
      </c>
      <c r="AL40" s="22">
        <v>0.86799999999999999</v>
      </c>
      <c r="AM40" s="35">
        <v>2.12</v>
      </c>
      <c r="AN40" s="35">
        <v>1.62</v>
      </c>
      <c r="AO40" s="35">
        <v>1.04</v>
      </c>
      <c r="AP40" s="23">
        <v>0.9</v>
      </c>
      <c r="AQ40" s="23">
        <v>1.79</v>
      </c>
      <c r="AR40" s="23">
        <v>2.4</v>
      </c>
      <c r="AS40" s="35">
        <v>2.94</v>
      </c>
      <c r="AT40" s="35">
        <v>1.04</v>
      </c>
      <c r="AU40" s="23">
        <v>1.9</v>
      </c>
      <c r="AV40" s="23">
        <v>1.85</v>
      </c>
      <c r="AW40" s="23">
        <v>1.6930000000000001</v>
      </c>
      <c r="AX40" s="23">
        <v>1.7969999999999999</v>
      </c>
      <c r="AY40" s="23">
        <v>1.6160000000000001</v>
      </c>
      <c r="AZ40" s="28">
        <v>22.7</v>
      </c>
      <c r="BA40" s="28">
        <v>1796.15</v>
      </c>
      <c r="BB40" s="28">
        <v>3610.15</v>
      </c>
      <c r="BC40" s="28">
        <v>4.47</v>
      </c>
      <c r="BD40" s="28">
        <v>0.3</v>
      </c>
      <c r="BE40" s="28">
        <v>11.4</v>
      </c>
      <c r="BF40" s="26">
        <v>363</v>
      </c>
      <c r="BG40" s="26">
        <v>423</v>
      </c>
      <c r="BH40" s="28">
        <v>17.2</v>
      </c>
      <c r="BI40" s="26">
        <v>1.06E-5</v>
      </c>
      <c r="BJ40" s="28">
        <v>4.37</v>
      </c>
      <c r="BK40" s="26">
        <v>41.2</v>
      </c>
      <c r="BL40" s="26">
        <v>26</v>
      </c>
      <c r="BM40" s="26">
        <v>64</v>
      </c>
      <c r="BN40" s="20" t="s">
        <v>193</v>
      </c>
      <c r="BO40" s="26">
        <v>0.58799999999999997</v>
      </c>
      <c r="BP40" s="26">
        <v>5.7000000000000005E-7</v>
      </c>
      <c r="BQ40" s="26">
        <v>1800000</v>
      </c>
      <c r="BR40" s="27">
        <v>1.28</v>
      </c>
      <c r="BS40" s="27">
        <v>5.9000000000000003E-4</v>
      </c>
      <c r="BT40" s="27">
        <v>33</v>
      </c>
      <c r="BU40" s="27">
        <v>1</v>
      </c>
      <c r="BV40" s="27">
        <v>3.0303030303030304E-2</v>
      </c>
      <c r="BW40" s="27">
        <v>1</v>
      </c>
      <c r="BX40" s="28">
        <v>3.3690296588540827E-5</v>
      </c>
      <c r="BY40" s="28">
        <v>1.5131571355013022E-10</v>
      </c>
      <c r="BZ40" s="30">
        <v>9834</v>
      </c>
      <c r="CA40" s="30">
        <v>2646</v>
      </c>
      <c r="CB40" s="28">
        <v>220</v>
      </c>
    </row>
    <row r="41" spans="1:80" ht="17.399999999999999" x14ac:dyDescent="0.3">
      <c r="A41" s="15" t="s">
        <v>80</v>
      </c>
      <c r="B41" s="16" t="s">
        <v>79</v>
      </c>
      <c r="C41" s="35">
        <v>91.224000000000004</v>
      </c>
      <c r="D41" s="28">
        <v>40</v>
      </c>
      <c r="E41" s="28">
        <v>5</v>
      </c>
      <c r="F41" s="28">
        <v>4</v>
      </c>
      <c r="G41" s="18">
        <v>2</v>
      </c>
      <c r="H41" s="17">
        <v>1</v>
      </c>
      <c r="I41" s="28">
        <v>44</v>
      </c>
      <c r="J41" s="28">
        <v>4</v>
      </c>
      <c r="K41" s="28">
        <v>2</v>
      </c>
      <c r="L41" s="28">
        <v>0</v>
      </c>
      <c r="M41" s="28">
        <v>2</v>
      </c>
      <c r="N41" s="28">
        <v>0</v>
      </c>
      <c r="O41" s="19">
        <v>0</v>
      </c>
      <c r="P41" s="19">
        <v>6</v>
      </c>
      <c r="Q41" s="19">
        <v>8</v>
      </c>
      <c r="R41" s="19">
        <v>14</v>
      </c>
      <c r="S41" s="28">
        <v>4</v>
      </c>
      <c r="T41" s="28">
        <v>2</v>
      </c>
      <c r="U41" s="28">
        <v>2</v>
      </c>
      <c r="V41" s="19">
        <v>4</v>
      </c>
      <c r="W41" s="28">
        <v>4</v>
      </c>
      <c r="X41" s="21">
        <v>3.4009999999999998</v>
      </c>
      <c r="Y41" s="21">
        <v>1.2050000000000001</v>
      </c>
      <c r="Z41" s="35">
        <v>6.6338999999999997</v>
      </c>
      <c r="AA41" s="21">
        <v>0.42498421874999998</v>
      </c>
      <c r="AB41" s="22">
        <v>3.64</v>
      </c>
      <c r="AC41" s="21">
        <v>2.8489</v>
      </c>
      <c r="AD41" s="28">
        <v>1.33</v>
      </c>
      <c r="AE41" s="28">
        <v>1.7</v>
      </c>
      <c r="AF41" s="28">
        <v>3.64</v>
      </c>
      <c r="AG41" s="22">
        <v>1.33</v>
      </c>
      <c r="AH41" s="28">
        <v>1.32</v>
      </c>
      <c r="AI41" s="22">
        <v>1.17</v>
      </c>
      <c r="AJ41" s="22">
        <v>1.73</v>
      </c>
      <c r="AK41" s="28">
        <v>1.6</v>
      </c>
      <c r="AL41" s="22">
        <v>1</v>
      </c>
      <c r="AM41" s="35">
        <v>2.06</v>
      </c>
      <c r="AN41" s="35">
        <v>1.48</v>
      </c>
      <c r="AO41" s="35">
        <v>0.86</v>
      </c>
      <c r="AP41" s="23">
        <v>0.72</v>
      </c>
      <c r="AQ41" s="23">
        <v>1.58</v>
      </c>
      <c r="AR41" s="24">
        <v>2.379847066</v>
      </c>
      <c r="AS41" s="35">
        <v>2.83</v>
      </c>
      <c r="AT41" s="35">
        <v>0.86</v>
      </c>
      <c r="AU41" s="23">
        <v>1.75</v>
      </c>
      <c r="AV41" s="23">
        <v>1.55</v>
      </c>
      <c r="AW41" s="23">
        <v>1.5930000000000002</v>
      </c>
      <c r="AX41" s="23">
        <v>1.597</v>
      </c>
      <c r="AY41" s="23">
        <v>1.454</v>
      </c>
      <c r="AZ41" s="28">
        <v>17.899999999999999</v>
      </c>
      <c r="BA41" s="28">
        <v>2125.15</v>
      </c>
      <c r="BB41" s="28">
        <v>4650.1499999999996</v>
      </c>
      <c r="BC41" s="28">
        <v>6.51</v>
      </c>
      <c r="BD41" s="28">
        <v>0.27</v>
      </c>
      <c r="BE41" s="28">
        <v>16.899999999999999</v>
      </c>
      <c r="BF41" s="26">
        <v>582</v>
      </c>
      <c r="BG41" s="26">
        <v>609</v>
      </c>
      <c r="BH41" s="28">
        <v>22.7</v>
      </c>
      <c r="BI41" s="26">
        <v>5.6999999999999996E-6</v>
      </c>
      <c r="BJ41" s="28">
        <v>6.25</v>
      </c>
      <c r="BK41" s="26">
        <v>89.8</v>
      </c>
      <c r="BL41" s="26">
        <v>33</v>
      </c>
      <c r="BM41" s="26">
        <v>67</v>
      </c>
      <c r="BN41" s="26">
        <v>0.90400000000000003</v>
      </c>
      <c r="BO41" s="26">
        <v>0.65</v>
      </c>
      <c r="BP41" s="26">
        <v>4.2E-7</v>
      </c>
      <c r="BQ41" s="26">
        <v>2400000</v>
      </c>
      <c r="BR41" s="27">
        <v>0.184</v>
      </c>
      <c r="BS41" s="27">
        <v>6.6E-4</v>
      </c>
      <c r="BT41" s="27">
        <v>33</v>
      </c>
      <c r="BU41" s="27">
        <v>4</v>
      </c>
      <c r="BV41" s="27">
        <v>0.12121212121212122</v>
      </c>
      <c r="BW41" s="27">
        <v>0.97199999999999998</v>
      </c>
      <c r="BX41" s="28">
        <v>1.6845148294270413E-4</v>
      </c>
      <c r="BY41" s="28">
        <v>3.7176705484299229E-10</v>
      </c>
      <c r="BZ41" s="30">
        <v>3410</v>
      </c>
      <c r="CA41" s="30">
        <v>2595</v>
      </c>
      <c r="CB41" s="28">
        <v>16</v>
      </c>
    </row>
    <row r="42" spans="1:80" ht="17.399999999999999" x14ac:dyDescent="0.3">
      <c r="A42" s="15" t="s">
        <v>82</v>
      </c>
      <c r="B42" s="16" t="s">
        <v>81</v>
      </c>
      <c r="C42" s="35">
        <v>92.906379999999999</v>
      </c>
      <c r="D42" s="28">
        <v>41</v>
      </c>
      <c r="E42" s="28">
        <v>5</v>
      </c>
      <c r="F42" s="28">
        <v>5</v>
      </c>
      <c r="G42" s="18">
        <v>2</v>
      </c>
      <c r="H42" s="17">
        <v>1</v>
      </c>
      <c r="I42" s="28">
        <v>47</v>
      </c>
      <c r="J42" s="28">
        <v>4</v>
      </c>
      <c r="K42" s="28">
        <v>1</v>
      </c>
      <c r="L42" s="28">
        <v>0</v>
      </c>
      <c r="M42" s="28">
        <v>4</v>
      </c>
      <c r="N42" s="28">
        <v>0</v>
      </c>
      <c r="O42" s="19">
        <v>1</v>
      </c>
      <c r="P42" s="19">
        <v>6</v>
      </c>
      <c r="Q42" s="19">
        <v>6</v>
      </c>
      <c r="R42" s="19">
        <v>14</v>
      </c>
      <c r="S42" s="28">
        <v>5</v>
      </c>
      <c r="T42" s="28">
        <v>1</v>
      </c>
      <c r="U42" s="28">
        <v>3</v>
      </c>
      <c r="V42" s="19">
        <v>5</v>
      </c>
      <c r="W42" s="28">
        <v>5</v>
      </c>
      <c r="X42" s="21">
        <v>3.5230000000000001</v>
      </c>
      <c r="Y42" s="21">
        <v>1.1950000000000001</v>
      </c>
      <c r="Z42" s="35">
        <v>6.7588999999999997</v>
      </c>
      <c r="AA42" s="21">
        <v>0.92261058282208586</v>
      </c>
      <c r="AB42" s="22">
        <v>4</v>
      </c>
      <c r="AC42" s="21">
        <v>2.9740000000000002</v>
      </c>
      <c r="AD42" s="28">
        <v>1.6</v>
      </c>
      <c r="AE42" s="28">
        <v>2.0299999999999998</v>
      </c>
      <c r="AF42" s="28">
        <v>4</v>
      </c>
      <c r="AG42" s="32">
        <v>1.83</v>
      </c>
      <c r="AH42" s="28">
        <v>1.41</v>
      </c>
      <c r="AI42" s="22">
        <v>1.21</v>
      </c>
      <c r="AJ42" s="22">
        <v>1.68</v>
      </c>
      <c r="AK42" s="28">
        <v>1.8</v>
      </c>
      <c r="AL42" s="22">
        <v>1.1499999999999999</v>
      </c>
      <c r="AM42" s="35">
        <v>1.98</v>
      </c>
      <c r="AN42" s="35">
        <v>1.37</v>
      </c>
      <c r="AO42" s="35">
        <v>0.86</v>
      </c>
      <c r="AP42" s="23">
        <v>0.72</v>
      </c>
      <c r="AQ42" s="23">
        <v>1.43</v>
      </c>
      <c r="AR42" s="23">
        <v>2.15</v>
      </c>
      <c r="AS42" s="35">
        <v>2.76</v>
      </c>
      <c r="AT42" s="35">
        <v>0.78</v>
      </c>
      <c r="AU42" s="23">
        <v>1.64</v>
      </c>
      <c r="AV42" s="23">
        <v>1.45</v>
      </c>
      <c r="AW42" s="23">
        <v>1.589</v>
      </c>
      <c r="AX42" s="23">
        <v>1.456</v>
      </c>
      <c r="AY42" s="23">
        <v>1.3420000000000001</v>
      </c>
      <c r="AZ42" s="28">
        <v>15.7</v>
      </c>
      <c r="BA42" s="28">
        <v>2741.15</v>
      </c>
      <c r="BB42" s="28">
        <v>5015.1499999999996</v>
      </c>
      <c r="BC42" s="28">
        <v>8.57</v>
      </c>
      <c r="BD42" s="28">
        <v>0.26</v>
      </c>
      <c r="BE42" s="28">
        <v>26.4</v>
      </c>
      <c r="BF42" s="26">
        <v>682</v>
      </c>
      <c r="BG42" s="26">
        <v>726</v>
      </c>
      <c r="BH42" s="28">
        <v>53.7</v>
      </c>
      <c r="BI42" s="26">
        <v>7.3000000000000004E-6</v>
      </c>
      <c r="BJ42" s="28">
        <v>7.57</v>
      </c>
      <c r="BK42" s="26">
        <v>170</v>
      </c>
      <c r="BL42" s="26">
        <v>38</v>
      </c>
      <c r="BM42" s="26">
        <v>105</v>
      </c>
      <c r="BN42" s="26">
        <v>1.32</v>
      </c>
      <c r="BO42" s="26">
        <v>0.73599999999999999</v>
      </c>
      <c r="BP42" s="26">
        <v>1.4999999999999999E-7</v>
      </c>
      <c r="BQ42" s="26">
        <v>6700000</v>
      </c>
      <c r="BR42" s="27">
        <v>1.1499999999999999</v>
      </c>
      <c r="BS42" s="27">
        <v>4.0000000000000002E-4</v>
      </c>
      <c r="BT42" s="27">
        <v>33</v>
      </c>
      <c r="BU42" s="27">
        <v>1</v>
      </c>
      <c r="BV42" s="27">
        <v>3.0303030303030304E-2</v>
      </c>
      <c r="BW42" s="27">
        <v>1</v>
      </c>
      <c r="BX42" s="28">
        <v>2.041836156881262E-5</v>
      </c>
      <c r="BY42" s="28">
        <v>2.2762579322842858E-11</v>
      </c>
      <c r="BZ42" s="30">
        <v>8525</v>
      </c>
      <c r="CA42" s="30">
        <v>8792</v>
      </c>
      <c r="CB42" s="28">
        <v>18</v>
      </c>
    </row>
    <row r="43" spans="1:80" ht="17.399999999999999" x14ac:dyDescent="0.3">
      <c r="A43" s="15" t="s">
        <v>84</v>
      </c>
      <c r="B43" s="16" t="s">
        <v>83</v>
      </c>
      <c r="C43" s="35">
        <v>95.95</v>
      </c>
      <c r="D43" s="28">
        <v>42</v>
      </c>
      <c r="E43" s="28">
        <v>5</v>
      </c>
      <c r="F43" s="28">
        <v>6</v>
      </c>
      <c r="G43" s="18">
        <v>2</v>
      </c>
      <c r="H43" s="17">
        <v>1</v>
      </c>
      <c r="I43" s="28">
        <v>50</v>
      </c>
      <c r="J43" s="28">
        <v>4</v>
      </c>
      <c r="K43" s="28">
        <v>1</v>
      </c>
      <c r="L43" s="28">
        <v>0</v>
      </c>
      <c r="M43" s="28">
        <v>5</v>
      </c>
      <c r="N43" s="28">
        <v>0</v>
      </c>
      <c r="O43" s="19">
        <v>1</v>
      </c>
      <c r="P43" s="19">
        <v>6</v>
      </c>
      <c r="Q43" s="19">
        <v>5</v>
      </c>
      <c r="R43" s="19">
        <v>14</v>
      </c>
      <c r="S43" s="28">
        <v>6</v>
      </c>
      <c r="T43" s="28">
        <v>1</v>
      </c>
      <c r="U43" s="28">
        <v>4</v>
      </c>
      <c r="V43" s="19">
        <v>5.78</v>
      </c>
      <c r="W43" s="28">
        <v>5.78</v>
      </c>
      <c r="X43" s="21">
        <v>3.609</v>
      </c>
      <c r="Y43" s="21">
        <v>1.1659999999999999</v>
      </c>
      <c r="Z43" s="35">
        <v>7.0923999999999996</v>
      </c>
      <c r="AA43" s="21">
        <v>0.74656842105263155</v>
      </c>
      <c r="AB43" s="22">
        <v>3.9</v>
      </c>
      <c r="AC43" s="21">
        <v>3.0992000000000002</v>
      </c>
      <c r="AD43" s="28">
        <v>2.16</v>
      </c>
      <c r="AE43" s="28">
        <v>1.94</v>
      </c>
      <c r="AF43" s="28">
        <v>3.9</v>
      </c>
      <c r="AG43" s="22">
        <v>2.16</v>
      </c>
      <c r="AH43" s="28">
        <v>1.47</v>
      </c>
      <c r="AI43" s="22">
        <v>1.26</v>
      </c>
      <c r="AJ43" s="22">
        <v>2.0699999999999998</v>
      </c>
      <c r="AK43" s="28">
        <v>2.1</v>
      </c>
      <c r="AL43" s="22">
        <v>1.32</v>
      </c>
      <c r="AM43" s="35">
        <v>1.9</v>
      </c>
      <c r="AN43" s="35">
        <v>1.45</v>
      </c>
      <c r="AO43" s="35">
        <v>0.83</v>
      </c>
      <c r="AP43" s="23">
        <v>0.69</v>
      </c>
      <c r="AQ43" s="23">
        <v>1.39</v>
      </c>
      <c r="AR43" s="24">
        <v>2.07527215</v>
      </c>
      <c r="AS43" s="35">
        <v>2.72</v>
      </c>
      <c r="AT43" s="35">
        <v>0.79</v>
      </c>
      <c r="AU43" s="23">
        <v>1.54</v>
      </c>
      <c r="AV43" s="23">
        <v>1.45</v>
      </c>
      <c r="AW43" s="23">
        <v>1.52</v>
      </c>
      <c r="AX43" s="23">
        <v>1.3859999999999999</v>
      </c>
      <c r="AY43" s="23">
        <v>1.2909999999999999</v>
      </c>
      <c r="AZ43" s="28">
        <v>12.8</v>
      </c>
      <c r="BA43" s="28">
        <v>2890.15</v>
      </c>
      <c r="BB43" s="28">
        <v>4885.1499999999996</v>
      </c>
      <c r="BC43" s="28">
        <v>10.199999999999999</v>
      </c>
      <c r="BD43" s="28">
        <v>0.25</v>
      </c>
      <c r="BE43" s="28">
        <v>32</v>
      </c>
      <c r="BF43" s="26">
        <v>598</v>
      </c>
      <c r="BG43" s="26">
        <v>658</v>
      </c>
      <c r="BH43" s="28">
        <v>138</v>
      </c>
      <c r="BI43" s="26">
        <v>4.7999999999999998E-6</v>
      </c>
      <c r="BJ43" s="28">
        <v>6.82</v>
      </c>
      <c r="BK43" s="26">
        <v>261</v>
      </c>
      <c r="BL43" s="26">
        <v>20</v>
      </c>
      <c r="BM43" s="26">
        <v>329</v>
      </c>
      <c r="BN43" s="26">
        <v>1.53</v>
      </c>
      <c r="BO43" s="26">
        <v>1.5</v>
      </c>
      <c r="BP43" s="26">
        <v>4.9999999999970001E-8</v>
      </c>
      <c r="BQ43" s="26">
        <v>20000000</v>
      </c>
      <c r="BR43" s="27">
        <v>2.6</v>
      </c>
      <c r="BS43" s="27">
        <v>8.9999999999999998E-4</v>
      </c>
      <c r="BT43" s="27">
        <v>33</v>
      </c>
      <c r="BU43" s="27">
        <v>6</v>
      </c>
      <c r="BV43" s="27">
        <v>0.18181818181818182</v>
      </c>
      <c r="BW43" s="27">
        <v>0.90369999999999995</v>
      </c>
      <c r="BX43" s="28">
        <v>1.2251016941287572E-6</v>
      </c>
      <c r="BY43" s="28">
        <v>8.3158420162248265E-11</v>
      </c>
      <c r="BZ43" s="30">
        <v>2410</v>
      </c>
      <c r="CA43" s="30">
        <v>5260</v>
      </c>
      <c r="CB43" s="28">
        <v>11</v>
      </c>
    </row>
    <row r="44" spans="1:80" ht="17.399999999999999" x14ac:dyDescent="0.3">
      <c r="A44" s="15" t="s">
        <v>86</v>
      </c>
      <c r="B44" s="16" t="s">
        <v>85</v>
      </c>
      <c r="C44" s="35">
        <v>97.907200000000003</v>
      </c>
      <c r="D44" s="28">
        <v>43</v>
      </c>
      <c r="E44" s="28">
        <v>5</v>
      </c>
      <c r="F44" s="28">
        <v>7</v>
      </c>
      <c r="G44" s="18">
        <v>2</v>
      </c>
      <c r="H44" s="17">
        <v>1</v>
      </c>
      <c r="I44" s="28">
        <v>53</v>
      </c>
      <c r="J44" s="28">
        <v>4</v>
      </c>
      <c r="K44" s="28">
        <v>2</v>
      </c>
      <c r="L44" s="28">
        <v>0</v>
      </c>
      <c r="M44" s="28">
        <v>5</v>
      </c>
      <c r="N44" s="28">
        <v>0</v>
      </c>
      <c r="O44" s="19">
        <v>0</v>
      </c>
      <c r="P44" s="19">
        <v>6</v>
      </c>
      <c r="Q44" s="19">
        <v>5</v>
      </c>
      <c r="R44" s="19">
        <v>14</v>
      </c>
      <c r="S44" s="28">
        <v>7</v>
      </c>
      <c r="T44" s="28">
        <v>2</v>
      </c>
      <c r="U44" s="28">
        <v>5</v>
      </c>
      <c r="V44" s="19">
        <v>5.78</v>
      </c>
      <c r="W44" s="28">
        <v>5.78</v>
      </c>
      <c r="X44" s="21">
        <v>3.6549999999999998</v>
      </c>
      <c r="Y44" s="21">
        <v>1.151</v>
      </c>
      <c r="Z44" s="35">
        <v>7.28</v>
      </c>
      <c r="AA44" s="21">
        <v>0.54962962962962958</v>
      </c>
      <c r="AB44" s="32">
        <v>4.4000000000000004</v>
      </c>
      <c r="AC44" s="21">
        <v>3.2244000000000002</v>
      </c>
      <c r="AD44" s="28">
        <v>1.9</v>
      </c>
      <c r="AE44" s="28">
        <v>2.1800000000000002</v>
      </c>
      <c r="AF44" s="28">
        <v>4</v>
      </c>
      <c r="AG44" s="32">
        <v>2.12</v>
      </c>
      <c r="AH44" s="28">
        <v>1.51</v>
      </c>
      <c r="AI44" s="22">
        <v>1.3</v>
      </c>
      <c r="AJ44" s="22">
        <v>1.96</v>
      </c>
      <c r="AK44" s="28">
        <v>2.27</v>
      </c>
      <c r="AL44" s="22">
        <v>1.5</v>
      </c>
      <c r="AM44" s="35">
        <v>1.83</v>
      </c>
      <c r="AN44" s="35">
        <v>1.56</v>
      </c>
      <c r="AO44" s="35">
        <v>0.79</v>
      </c>
      <c r="AP44" s="23">
        <v>0.65</v>
      </c>
      <c r="AQ44" s="23">
        <v>1.36</v>
      </c>
      <c r="AR44" s="23">
        <v>2.0499999999999998</v>
      </c>
      <c r="AS44" s="35">
        <v>2.65</v>
      </c>
      <c r="AT44" s="35">
        <v>0.79</v>
      </c>
      <c r="AU44" s="23">
        <v>1.47</v>
      </c>
      <c r="AV44" s="23">
        <v>1.35</v>
      </c>
      <c r="AW44" s="23">
        <v>1.391</v>
      </c>
      <c r="AX44" s="25" t="s">
        <v>193</v>
      </c>
      <c r="AY44" s="25" t="s">
        <v>193</v>
      </c>
      <c r="AZ44" s="28">
        <v>11.4</v>
      </c>
      <c r="BA44" s="28">
        <v>2445.15</v>
      </c>
      <c r="BB44" s="28">
        <v>5150.1499999999996</v>
      </c>
      <c r="BC44" s="28">
        <v>11.5</v>
      </c>
      <c r="BD44" s="28">
        <v>0.21</v>
      </c>
      <c r="BE44" s="28">
        <v>24</v>
      </c>
      <c r="BF44" s="26">
        <v>660</v>
      </c>
      <c r="BG44" s="26">
        <v>677</v>
      </c>
      <c r="BH44" s="28">
        <v>50.6</v>
      </c>
      <c r="BI44" s="20" t="s">
        <v>193</v>
      </c>
      <c r="BJ44" s="28">
        <v>6.85</v>
      </c>
      <c r="BK44" s="26">
        <v>281</v>
      </c>
      <c r="BL44" s="20" t="s">
        <v>193</v>
      </c>
      <c r="BM44" s="20" t="s">
        <v>193</v>
      </c>
      <c r="BN44" s="20" t="s">
        <v>193</v>
      </c>
      <c r="BO44" s="20" t="s">
        <v>193</v>
      </c>
      <c r="BP44" s="26">
        <v>1.9999999999999999E-7</v>
      </c>
      <c r="BQ44" s="26">
        <v>5000000</v>
      </c>
      <c r="BR44" s="27">
        <v>22</v>
      </c>
      <c r="BS44" s="20" t="s">
        <v>193</v>
      </c>
      <c r="BT44" s="27">
        <v>34</v>
      </c>
      <c r="BU44" s="27">
        <v>0</v>
      </c>
      <c r="BV44" s="27">
        <v>0</v>
      </c>
      <c r="BW44" s="27">
        <v>0</v>
      </c>
      <c r="BX44" s="20" t="s">
        <v>193</v>
      </c>
      <c r="BY44" s="28">
        <v>3.2611145161665988E-11</v>
      </c>
      <c r="BZ44" s="29" t="s">
        <v>193</v>
      </c>
      <c r="CA44" s="29" t="s">
        <v>193</v>
      </c>
      <c r="CB44" s="20" t="s">
        <v>193</v>
      </c>
    </row>
    <row r="45" spans="1:80" ht="17.399999999999999" x14ac:dyDescent="0.3">
      <c r="A45" s="15" t="s">
        <v>88</v>
      </c>
      <c r="B45" s="16" t="s">
        <v>87</v>
      </c>
      <c r="C45" s="35">
        <v>101.07</v>
      </c>
      <c r="D45" s="28">
        <v>44</v>
      </c>
      <c r="E45" s="28">
        <v>5</v>
      </c>
      <c r="F45" s="28">
        <v>8</v>
      </c>
      <c r="G45" s="18">
        <v>2</v>
      </c>
      <c r="H45" s="17">
        <v>1</v>
      </c>
      <c r="I45" s="28">
        <v>56</v>
      </c>
      <c r="J45" s="28">
        <v>4</v>
      </c>
      <c r="K45" s="28">
        <v>1</v>
      </c>
      <c r="L45" s="28">
        <v>0</v>
      </c>
      <c r="M45" s="28">
        <v>7</v>
      </c>
      <c r="N45" s="28">
        <v>0</v>
      </c>
      <c r="O45" s="19">
        <v>1</v>
      </c>
      <c r="P45" s="19">
        <v>6</v>
      </c>
      <c r="Q45" s="19">
        <v>3</v>
      </c>
      <c r="R45" s="19">
        <v>14</v>
      </c>
      <c r="S45" s="28">
        <v>8</v>
      </c>
      <c r="T45" s="28">
        <v>1</v>
      </c>
      <c r="U45" s="28">
        <v>5</v>
      </c>
      <c r="V45" s="19">
        <v>5.78</v>
      </c>
      <c r="W45" s="28">
        <v>5.78</v>
      </c>
      <c r="X45" s="21">
        <v>3.6760000000000002</v>
      </c>
      <c r="Y45" s="21">
        <v>1.1439999999999999</v>
      </c>
      <c r="Z45" s="35">
        <v>7.3605</v>
      </c>
      <c r="AA45" s="21">
        <v>1.047057042253521</v>
      </c>
      <c r="AB45" s="22">
        <v>4.5</v>
      </c>
      <c r="AC45" s="21">
        <v>3.3359999999999999</v>
      </c>
      <c r="AD45" s="28">
        <v>2.2000000000000002</v>
      </c>
      <c r="AE45" s="28">
        <v>1.97</v>
      </c>
      <c r="AF45" s="28">
        <v>4.5</v>
      </c>
      <c r="AG45" s="32">
        <v>2.15</v>
      </c>
      <c r="AH45" s="28">
        <v>1.54</v>
      </c>
      <c r="AI45" s="22">
        <v>1.35</v>
      </c>
      <c r="AJ45" s="22">
        <v>1.93</v>
      </c>
      <c r="AK45" s="28">
        <v>2</v>
      </c>
      <c r="AL45" s="22">
        <v>1.69</v>
      </c>
      <c r="AM45" s="35">
        <v>1.78</v>
      </c>
      <c r="AN45" s="35">
        <v>1.26</v>
      </c>
      <c r="AO45" s="35">
        <v>0.82</v>
      </c>
      <c r="AP45" s="23">
        <v>0.68</v>
      </c>
      <c r="AQ45" s="23">
        <v>1.34</v>
      </c>
      <c r="AR45" s="23">
        <v>2.0499999999999998</v>
      </c>
      <c r="AS45" s="35">
        <v>2.61</v>
      </c>
      <c r="AT45" s="35">
        <v>0.82</v>
      </c>
      <c r="AU45" s="23">
        <v>1.46</v>
      </c>
      <c r="AV45" s="23">
        <v>1.3</v>
      </c>
      <c r="AW45" s="23">
        <v>1.41</v>
      </c>
      <c r="AX45" s="23">
        <v>1.3360000000000001</v>
      </c>
      <c r="AY45" s="23">
        <v>1.2410000000000001</v>
      </c>
      <c r="AZ45" s="28">
        <v>9.6</v>
      </c>
      <c r="BA45" s="28">
        <v>2583.15</v>
      </c>
      <c r="BB45" s="28">
        <v>4173.1499999999996</v>
      </c>
      <c r="BC45" s="28">
        <v>12.4</v>
      </c>
      <c r="BD45" s="28">
        <v>0.23799999999999999</v>
      </c>
      <c r="BE45" s="28">
        <v>24</v>
      </c>
      <c r="BF45" s="26">
        <v>595</v>
      </c>
      <c r="BG45" s="26">
        <v>643</v>
      </c>
      <c r="BH45" s="28">
        <v>117</v>
      </c>
      <c r="BI45" s="26">
        <v>6.3999999999999997E-6</v>
      </c>
      <c r="BJ45" s="28">
        <v>6.74</v>
      </c>
      <c r="BK45" s="26">
        <v>286</v>
      </c>
      <c r="BL45" s="26">
        <v>173</v>
      </c>
      <c r="BM45" s="26">
        <v>447</v>
      </c>
      <c r="BN45" s="26">
        <v>2.2981387666669999</v>
      </c>
      <c r="BO45" s="26">
        <v>2.16</v>
      </c>
      <c r="BP45" s="26">
        <v>7.0000000000020003E-8</v>
      </c>
      <c r="BQ45" s="26">
        <v>14000000</v>
      </c>
      <c r="BR45" s="27">
        <v>2.6</v>
      </c>
      <c r="BS45" s="27">
        <v>8.9999999999999998E-4</v>
      </c>
      <c r="BT45" s="27">
        <v>34</v>
      </c>
      <c r="BU45" s="27">
        <v>7</v>
      </c>
      <c r="BV45" s="27">
        <v>0.20588235294117646</v>
      </c>
      <c r="BW45" s="27">
        <v>1</v>
      </c>
      <c r="BX45" s="28">
        <v>1.0209180784406311E-9</v>
      </c>
      <c r="BY45" s="28">
        <v>6.0656730000698735E-11</v>
      </c>
      <c r="BZ45" s="30">
        <v>3239</v>
      </c>
      <c r="CA45" s="30">
        <v>8000</v>
      </c>
      <c r="CB45" s="28">
        <v>1400</v>
      </c>
    </row>
    <row r="46" spans="1:80" ht="17.399999999999999" x14ac:dyDescent="0.3">
      <c r="A46" s="15" t="s">
        <v>90</v>
      </c>
      <c r="B46" s="16" t="s">
        <v>89</v>
      </c>
      <c r="C46" s="35">
        <v>102.9055</v>
      </c>
      <c r="D46" s="28">
        <v>45</v>
      </c>
      <c r="E46" s="28">
        <v>5</v>
      </c>
      <c r="F46" s="28">
        <v>9</v>
      </c>
      <c r="G46" s="18">
        <v>2</v>
      </c>
      <c r="H46" s="17">
        <v>1</v>
      </c>
      <c r="I46" s="28">
        <v>59</v>
      </c>
      <c r="J46" s="28">
        <v>4</v>
      </c>
      <c r="K46" s="28">
        <v>1</v>
      </c>
      <c r="L46" s="28">
        <v>0</v>
      </c>
      <c r="M46" s="28">
        <v>8</v>
      </c>
      <c r="N46" s="28">
        <v>0</v>
      </c>
      <c r="O46" s="19">
        <v>1</v>
      </c>
      <c r="P46" s="19">
        <v>6</v>
      </c>
      <c r="Q46" s="19">
        <v>2</v>
      </c>
      <c r="R46" s="19">
        <v>14</v>
      </c>
      <c r="S46" s="28">
        <v>9</v>
      </c>
      <c r="T46" s="28">
        <v>1</v>
      </c>
      <c r="U46" s="28">
        <v>4</v>
      </c>
      <c r="V46" s="19">
        <v>5.78</v>
      </c>
      <c r="W46" s="28">
        <v>5.78</v>
      </c>
      <c r="X46" s="21">
        <v>3.7010000000000001</v>
      </c>
      <c r="Y46" s="21">
        <v>1.137</v>
      </c>
      <c r="Z46" s="35">
        <v>7.4588999999999999</v>
      </c>
      <c r="AA46" s="21">
        <v>1.1395541666666666</v>
      </c>
      <c r="AB46" s="22">
        <v>4.3</v>
      </c>
      <c r="AC46" s="21">
        <v>3.4611000000000001</v>
      </c>
      <c r="AD46" s="28">
        <v>2.2799999999999998</v>
      </c>
      <c r="AE46" s="28">
        <v>1.99</v>
      </c>
      <c r="AF46" s="28">
        <v>4.3</v>
      </c>
      <c r="AG46" s="22">
        <v>2.2799999999999998</v>
      </c>
      <c r="AH46" s="28">
        <v>1.56</v>
      </c>
      <c r="AI46" s="22">
        <v>1.39</v>
      </c>
      <c r="AJ46" s="22">
        <v>1.72</v>
      </c>
      <c r="AK46" s="28">
        <v>2.2599999999999998</v>
      </c>
      <c r="AL46" s="22">
        <v>1.9</v>
      </c>
      <c r="AM46" s="35">
        <v>1.73</v>
      </c>
      <c r="AN46" s="35">
        <v>1.35</v>
      </c>
      <c r="AO46" s="35">
        <v>0.81</v>
      </c>
      <c r="AP46" s="23">
        <v>0.67</v>
      </c>
      <c r="AQ46" s="23">
        <v>1.32</v>
      </c>
      <c r="AR46" s="23">
        <v>2</v>
      </c>
      <c r="AS46" s="35">
        <v>2.52</v>
      </c>
      <c r="AT46" s="35">
        <v>0.81</v>
      </c>
      <c r="AU46" s="23">
        <v>1.42</v>
      </c>
      <c r="AV46" s="23">
        <v>1.35</v>
      </c>
      <c r="AW46" s="23">
        <v>1.3640000000000001</v>
      </c>
      <c r="AX46" s="23">
        <v>1.3420000000000001</v>
      </c>
      <c r="AY46" s="23">
        <v>1.2470000000000001</v>
      </c>
      <c r="AZ46" s="28">
        <v>8.6</v>
      </c>
      <c r="BA46" s="28">
        <v>2239.15</v>
      </c>
      <c r="BB46" s="28">
        <v>4000.15</v>
      </c>
      <c r="BC46" s="28">
        <v>12.4</v>
      </c>
      <c r="BD46" s="28">
        <v>0.24199999999999999</v>
      </c>
      <c r="BE46" s="28">
        <v>21.5</v>
      </c>
      <c r="BF46" s="26">
        <v>493</v>
      </c>
      <c r="BG46" s="26">
        <v>556</v>
      </c>
      <c r="BH46" s="28">
        <v>150</v>
      </c>
      <c r="BI46" s="26">
        <v>7.9999999999999996E-6</v>
      </c>
      <c r="BJ46" s="28">
        <v>5.75</v>
      </c>
      <c r="BK46" s="26">
        <v>276</v>
      </c>
      <c r="BL46" s="26">
        <v>150</v>
      </c>
      <c r="BM46" s="26">
        <v>275</v>
      </c>
      <c r="BN46" s="26">
        <v>1.246</v>
      </c>
      <c r="BO46" s="26">
        <v>1.1000000000000001</v>
      </c>
      <c r="BP46" s="26">
        <v>4.3000000000029998E-8</v>
      </c>
      <c r="BQ46" s="26">
        <v>23000000</v>
      </c>
      <c r="BR46" s="27">
        <v>145</v>
      </c>
      <c r="BS46" s="27">
        <v>6.3E-2</v>
      </c>
      <c r="BT46" s="27">
        <v>34</v>
      </c>
      <c r="BU46" s="27">
        <v>1</v>
      </c>
      <c r="BV46" s="27">
        <v>2.9411764705882353E-2</v>
      </c>
      <c r="BW46" s="27">
        <v>1</v>
      </c>
      <c r="BX46" s="28">
        <v>1.0209180784406311E-9</v>
      </c>
      <c r="BY46" s="28">
        <v>1.1218233935613101E-11</v>
      </c>
      <c r="BZ46" s="30">
        <v>3239</v>
      </c>
      <c r="CA46" s="30">
        <v>8000</v>
      </c>
      <c r="CB46" s="28">
        <v>13000</v>
      </c>
    </row>
    <row r="47" spans="1:80" ht="17.399999999999999" x14ac:dyDescent="0.3">
      <c r="A47" s="15" t="s">
        <v>92</v>
      </c>
      <c r="B47" s="16" t="s">
        <v>91</v>
      </c>
      <c r="C47" s="35">
        <v>106.42</v>
      </c>
      <c r="D47" s="28">
        <v>46</v>
      </c>
      <c r="E47" s="28">
        <v>5</v>
      </c>
      <c r="F47" s="28">
        <v>10</v>
      </c>
      <c r="G47" s="18">
        <v>2</v>
      </c>
      <c r="H47" s="17">
        <v>1</v>
      </c>
      <c r="I47" s="28">
        <v>62</v>
      </c>
      <c r="J47" s="28">
        <v>4</v>
      </c>
      <c r="K47" s="28">
        <v>0</v>
      </c>
      <c r="L47" s="28">
        <v>0</v>
      </c>
      <c r="M47" s="28">
        <v>10</v>
      </c>
      <c r="N47" s="28">
        <v>0</v>
      </c>
      <c r="O47" s="19">
        <v>2</v>
      </c>
      <c r="P47" s="19">
        <v>6</v>
      </c>
      <c r="Q47" s="19">
        <v>0</v>
      </c>
      <c r="R47" s="19">
        <v>14</v>
      </c>
      <c r="S47" s="28">
        <v>10</v>
      </c>
      <c r="T47" s="28">
        <v>10</v>
      </c>
      <c r="U47" s="28">
        <v>3</v>
      </c>
      <c r="V47" s="19">
        <v>5.78</v>
      </c>
      <c r="W47" s="28">
        <v>5.78</v>
      </c>
      <c r="X47" s="21">
        <v>3.101</v>
      </c>
      <c r="Y47" s="21">
        <v>0.86</v>
      </c>
      <c r="Z47" s="35">
        <v>8.3369</v>
      </c>
      <c r="AA47" s="21">
        <v>0.55994104477611939</v>
      </c>
      <c r="AB47" s="22">
        <v>4.45</v>
      </c>
      <c r="AC47" s="21">
        <v>3.5727000000000002</v>
      </c>
      <c r="AD47" s="28">
        <v>2.2000000000000002</v>
      </c>
      <c r="AE47" s="28">
        <v>2.08</v>
      </c>
      <c r="AF47" s="28">
        <v>4.45</v>
      </c>
      <c r="AG47" s="22">
        <v>2.2000000000000002</v>
      </c>
      <c r="AH47" s="28">
        <v>1.59</v>
      </c>
      <c r="AI47" s="22">
        <v>1.61</v>
      </c>
      <c r="AJ47" s="22">
        <v>1.98</v>
      </c>
      <c r="AK47" s="28">
        <v>6.68</v>
      </c>
      <c r="AL47" s="22">
        <v>2.13</v>
      </c>
      <c r="AM47" s="35">
        <v>1.69</v>
      </c>
      <c r="AN47" s="35">
        <v>1.31</v>
      </c>
      <c r="AO47" s="35">
        <v>0.73</v>
      </c>
      <c r="AP47" s="23">
        <v>0.59</v>
      </c>
      <c r="AQ47" s="23">
        <v>1.42</v>
      </c>
      <c r="AR47" s="23">
        <v>1.63</v>
      </c>
      <c r="AS47" s="35">
        <v>2.4500000000000002</v>
      </c>
      <c r="AT47" s="35">
        <v>0.78</v>
      </c>
      <c r="AU47" s="23">
        <v>1.39</v>
      </c>
      <c r="AV47" s="23">
        <v>1.4</v>
      </c>
      <c r="AW47" s="23">
        <v>0.56700000000000006</v>
      </c>
      <c r="AX47" s="23">
        <v>1.373</v>
      </c>
      <c r="AY47" s="23">
        <v>1.278</v>
      </c>
      <c r="AZ47" s="28">
        <v>4.8</v>
      </c>
      <c r="BA47" s="28">
        <v>1827.15</v>
      </c>
      <c r="BB47" s="28">
        <v>3413.15</v>
      </c>
      <c r="BC47" s="28">
        <v>12</v>
      </c>
      <c r="BD47" s="28">
        <v>0.24</v>
      </c>
      <c r="BE47" s="28">
        <v>17.600000000000001</v>
      </c>
      <c r="BF47" s="26">
        <v>357</v>
      </c>
      <c r="BG47" s="26">
        <v>378</v>
      </c>
      <c r="BH47" s="28">
        <v>71.8</v>
      </c>
      <c r="BI47" s="26">
        <v>1.1800000000000001E-5</v>
      </c>
      <c r="BJ47" s="28">
        <v>3.89</v>
      </c>
      <c r="BK47" s="26">
        <v>187</v>
      </c>
      <c r="BL47" s="26">
        <v>44</v>
      </c>
      <c r="BM47" s="26">
        <v>121</v>
      </c>
      <c r="BN47" s="26">
        <v>0.46100000000000002</v>
      </c>
      <c r="BO47" s="26">
        <v>3.7200000000000004E-2</v>
      </c>
      <c r="BP47" s="26">
        <v>9.9999999999999995E-8</v>
      </c>
      <c r="BQ47" s="26">
        <v>10000000</v>
      </c>
      <c r="BR47" s="27">
        <v>6.9</v>
      </c>
      <c r="BS47" s="27">
        <v>2.3E-3</v>
      </c>
      <c r="BT47" s="27">
        <v>34</v>
      </c>
      <c r="BU47" s="27">
        <v>6</v>
      </c>
      <c r="BV47" s="27">
        <v>0.17647058823529413</v>
      </c>
      <c r="BW47" s="27">
        <v>1</v>
      </c>
      <c r="BX47" s="28">
        <v>1.5313771176609467E-8</v>
      </c>
      <c r="BY47" s="28">
        <v>4.5329491774715723E-11</v>
      </c>
      <c r="BZ47" s="30">
        <v>3239</v>
      </c>
      <c r="CA47" s="30">
        <v>8000</v>
      </c>
      <c r="CB47" s="28">
        <v>15</v>
      </c>
    </row>
    <row r="48" spans="1:80" ht="17.399999999999999" x14ac:dyDescent="0.3">
      <c r="A48" s="15" t="s">
        <v>94</v>
      </c>
      <c r="B48" s="16" t="s">
        <v>93</v>
      </c>
      <c r="C48" s="35">
        <v>107.8682</v>
      </c>
      <c r="D48" s="28">
        <v>47</v>
      </c>
      <c r="E48" s="28">
        <v>5</v>
      </c>
      <c r="F48" s="28">
        <v>11</v>
      </c>
      <c r="G48" s="18">
        <v>0</v>
      </c>
      <c r="H48" s="17">
        <v>1</v>
      </c>
      <c r="I48" s="28">
        <v>65</v>
      </c>
      <c r="J48" s="28">
        <v>4</v>
      </c>
      <c r="K48" s="28">
        <v>1</v>
      </c>
      <c r="L48" s="28">
        <v>0</v>
      </c>
      <c r="M48" s="28">
        <v>10</v>
      </c>
      <c r="N48" s="28">
        <v>0</v>
      </c>
      <c r="O48" s="19">
        <v>1</v>
      </c>
      <c r="P48" s="19">
        <v>6</v>
      </c>
      <c r="Q48" s="19">
        <v>0</v>
      </c>
      <c r="R48" s="19">
        <v>14</v>
      </c>
      <c r="S48" s="28">
        <v>11</v>
      </c>
      <c r="T48" s="28">
        <v>1</v>
      </c>
      <c r="U48" s="28">
        <v>2</v>
      </c>
      <c r="V48" s="19">
        <v>5.44</v>
      </c>
      <c r="W48" s="28">
        <v>5.44</v>
      </c>
      <c r="X48" s="21">
        <v>3.73</v>
      </c>
      <c r="Y48" s="21">
        <v>1.1279999999999999</v>
      </c>
      <c r="Z48" s="35">
        <v>7.5762</v>
      </c>
      <c r="AA48" s="21">
        <v>1.3058839945280436</v>
      </c>
      <c r="AB48" s="22">
        <v>4.4400000000000004</v>
      </c>
      <c r="AC48" s="21">
        <v>3.6842000000000001</v>
      </c>
      <c r="AD48" s="28">
        <v>1.93</v>
      </c>
      <c r="AE48" s="28">
        <v>1.07</v>
      </c>
      <c r="AF48" s="28">
        <v>4.4400000000000004</v>
      </c>
      <c r="AG48" s="22">
        <v>1.93</v>
      </c>
      <c r="AH48" s="28">
        <v>1.87</v>
      </c>
      <c r="AI48" s="22">
        <v>1.45</v>
      </c>
      <c r="AJ48" s="22">
        <v>2.1800000000000002</v>
      </c>
      <c r="AK48" s="28">
        <v>1.9</v>
      </c>
      <c r="AL48" s="22">
        <v>2.38</v>
      </c>
      <c r="AM48" s="35">
        <v>1.65</v>
      </c>
      <c r="AN48" s="35">
        <v>1.53</v>
      </c>
      <c r="AO48" s="35">
        <v>1.29</v>
      </c>
      <c r="AP48" s="23">
        <v>1.1499999999999999</v>
      </c>
      <c r="AQ48" s="23">
        <v>1.44</v>
      </c>
      <c r="AR48" s="23">
        <v>1.72</v>
      </c>
      <c r="AS48" s="35">
        <v>2.38</v>
      </c>
      <c r="AT48" s="35">
        <v>1.29</v>
      </c>
      <c r="AU48" s="23">
        <v>1.45</v>
      </c>
      <c r="AV48" s="23">
        <v>1.6</v>
      </c>
      <c r="AW48" s="23">
        <v>1.286</v>
      </c>
      <c r="AX48" s="23">
        <v>1.4419999999999999</v>
      </c>
      <c r="AY48" s="23">
        <v>1.339</v>
      </c>
      <c r="AZ48" s="28">
        <v>7.9</v>
      </c>
      <c r="BA48" s="28">
        <v>1235.1500000000001</v>
      </c>
      <c r="BB48" s="28">
        <v>2485.15</v>
      </c>
      <c r="BC48" s="28">
        <v>10.5</v>
      </c>
      <c r="BD48" s="28">
        <v>0.23499999999999999</v>
      </c>
      <c r="BE48" s="28">
        <v>11.3</v>
      </c>
      <c r="BF48" s="26">
        <v>250.58</v>
      </c>
      <c r="BG48" s="26">
        <v>284</v>
      </c>
      <c r="BH48" s="28">
        <v>429</v>
      </c>
      <c r="BI48" s="26">
        <v>1.8899999999999999E-5</v>
      </c>
      <c r="BJ48" s="28">
        <v>2.95</v>
      </c>
      <c r="BK48" s="26">
        <v>104</v>
      </c>
      <c r="BL48" s="26">
        <v>30</v>
      </c>
      <c r="BM48" s="26">
        <v>85</v>
      </c>
      <c r="BN48" s="26">
        <v>0.251</v>
      </c>
      <c r="BO48" s="26">
        <v>2.4500000000000001E-2</v>
      </c>
      <c r="BP48" s="26">
        <v>1.6000000000000001E-8</v>
      </c>
      <c r="BQ48" s="26">
        <v>62000000</v>
      </c>
      <c r="BR48" s="27">
        <v>63.6</v>
      </c>
      <c r="BS48" s="27">
        <v>0.02</v>
      </c>
      <c r="BT48" s="27">
        <v>38</v>
      </c>
      <c r="BU48" s="27">
        <v>2</v>
      </c>
      <c r="BV48" s="27">
        <v>5.2631578947368418E-2</v>
      </c>
      <c r="BW48" s="27">
        <v>1</v>
      </c>
      <c r="BX48" s="28">
        <v>7.6568855883047325E-8</v>
      </c>
      <c r="BY48" s="28">
        <v>1.5849016548569671E-11</v>
      </c>
      <c r="BZ48" s="30">
        <v>1229</v>
      </c>
      <c r="CA48" s="30">
        <v>1368</v>
      </c>
      <c r="CB48" s="28">
        <v>120</v>
      </c>
    </row>
    <row r="49" spans="1:80" ht="17.399999999999999" x14ac:dyDescent="0.3">
      <c r="A49" s="15" t="s">
        <v>96</v>
      </c>
      <c r="B49" s="16" t="s">
        <v>95</v>
      </c>
      <c r="C49" s="35">
        <v>112.411</v>
      </c>
      <c r="D49" s="28">
        <v>48</v>
      </c>
      <c r="E49" s="28">
        <v>5</v>
      </c>
      <c r="F49" s="28">
        <v>12</v>
      </c>
      <c r="G49" s="18">
        <v>0</v>
      </c>
      <c r="H49" s="17">
        <v>1</v>
      </c>
      <c r="I49" s="28">
        <v>70</v>
      </c>
      <c r="J49" s="28">
        <v>4</v>
      </c>
      <c r="K49" s="28">
        <v>2</v>
      </c>
      <c r="L49" s="28">
        <v>0</v>
      </c>
      <c r="M49" s="28">
        <v>10</v>
      </c>
      <c r="N49" s="28">
        <v>0</v>
      </c>
      <c r="O49" s="19">
        <v>0</v>
      </c>
      <c r="P49" s="19">
        <v>6</v>
      </c>
      <c r="Q49" s="19">
        <v>0</v>
      </c>
      <c r="R49" s="19">
        <v>14</v>
      </c>
      <c r="S49" s="28">
        <v>12</v>
      </c>
      <c r="T49" s="28">
        <v>2</v>
      </c>
      <c r="U49" s="28">
        <v>1</v>
      </c>
      <c r="V49" s="19">
        <v>4.4400000000000004</v>
      </c>
      <c r="W49" s="28">
        <v>4.4400000000000004</v>
      </c>
      <c r="X49" s="21">
        <v>4.0640000000000001</v>
      </c>
      <c r="Y49" s="21">
        <v>1.0349999999999999</v>
      </c>
      <c r="Z49" s="35">
        <v>8.9938000000000002</v>
      </c>
      <c r="AA49" s="21">
        <v>-0.7253064516129033</v>
      </c>
      <c r="AB49" s="22">
        <v>4.33</v>
      </c>
      <c r="AC49" s="21">
        <v>3.7957999999999998</v>
      </c>
      <c r="AD49" s="28">
        <v>1.69</v>
      </c>
      <c r="AE49" s="28">
        <v>1.4</v>
      </c>
      <c r="AF49" s="28">
        <v>4.33</v>
      </c>
      <c r="AG49" s="22">
        <v>1.69</v>
      </c>
      <c r="AH49" s="28">
        <v>1.52</v>
      </c>
      <c r="AI49" s="22">
        <v>1.45</v>
      </c>
      <c r="AJ49" s="22">
        <v>2.36</v>
      </c>
      <c r="AK49" s="28">
        <v>1.1000000000000001</v>
      </c>
      <c r="AL49" s="22">
        <v>2.64</v>
      </c>
      <c r="AM49" s="35">
        <v>1.61</v>
      </c>
      <c r="AN49" s="35">
        <v>1.48</v>
      </c>
      <c r="AO49" s="35">
        <v>1.0900000000000001</v>
      </c>
      <c r="AP49" s="23">
        <v>0.95</v>
      </c>
      <c r="AQ49" s="23">
        <v>1.57</v>
      </c>
      <c r="AR49" s="23">
        <v>1.58</v>
      </c>
      <c r="AS49" s="35">
        <v>2.2200000000000002</v>
      </c>
      <c r="AT49" s="35">
        <v>0.92</v>
      </c>
      <c r="AU49" s="23">
        <v>1.44</v>
      </c>
      <c r="AV49" s="23">
        <v>1.55</v>
      </c>
      <c r="AW49" s="23">
        <v>1.1840000000000002</v>
      </c>
      <c r="AX49" s="23">
        <v>1.5429999999999999</v>
      </c>
      <c r="AY49" s="23">
        <v>1.413</v>
      </c>
      <c r="AZ49" s="28">
        <v>7.2</v>
      </c>
      <c r="BA49" s="28">
        <v>594.04999999999995</v>
      </c>
      <c r="BB49" s="28">
        <v>1038.1500000000001</v>
      </c>
      <c r="BC49" s="28">
        <v>8.65</v>
      </c>
      <c r="BD49" s="28">
        <v>0.23</v>
      </c>
      <c r="BE49" s="28">
        <v>6.1920000000000002</v>
      </c>
      <c r="BF49" s="26">
        <v>99.57</v>
      </c>
      <c r="BG49" s="26">
        <v>112</v>
      </c>
      <c r="BH49" s="28">
        <v>96.8</v>
      </c>
      <c r="BI49" s="26">
        <v>3.0800000000000003E-5</v>
      </c>
      <c r="BJ49" s="28">
        <v>1.1599999999999999</v>
      </c>
      <c r="BK49" s="26">
        <v>51</v>
      </c>
      <c r="BL49" s="26">
        <v>19</v>
      </c>
      <c r="BM49" s="26">
        <v>50</v>
      </c>
      <c r="BN49" s="20" t="s">
        <v>193</v>
      </c>
      <c r="BO49" s="26">
        <v>0.20300000000000001</v>
      </c>
      <c r="BP49" s="26">
        <v>7.0000000000020003E-8</v>
      </c>
      <c r="BQ49" s="26">
        <v>14000000</v>
      </c>
      <c r="BR49" s="27">
        <v>2450</v>
      </c>
      <c r="BS49" s="27">
        <v>1.4</v>
      </c>
      <c r="BT49" s="27">
        <v>38</v>
      </c>
      <c r="BU49" s="27">
        <v>6</v>
      </c>
      <c r="BV49" s="27">
        <v>0.15789473684210525</v>
      </c>
      <c r="BW49" s="27">
        <v>0.80289999999999995</v>
      </c>
      <c r="BX49" s="28">
        <v>1.5313771176609465E-7</v>
      </c>
      <c r="BY49" s="28">
        <v>5.2503943710282241E-11</v>
      </c>
      <c r="BZ49" s="30">
        <v>1676</v>
      </c>
      <c r="CA49" s="30">
        <v>1341</v>
      </c>
      <c r="CB49" s="28">
        <v>6</v>
      </c>
    </row>
    <row r="50" spans="1:80" ht="17.399999999999999" x14ac:dyDescent="0.3">
      <c r="A50" s="15" t="s">
        <v>98</v>
      </c>
      <c r="B50" s="16" t="s">
        <v>97</v>
      </c>
      <c r="C50" s="35">
        <v>114.818</v>
      </c>
      <c r="D50" s="28">
        <v>49</v>
      </c>
      <c r="E50" s="28">
        <v>5</v>
      </c>
      <c r="F50" s="28">
        <v>13</v>
      </c>
      <c r="G50" s="18">
        <v>1</v>
      </c>
      <c r="H50" s="17">
        <v>1</v>
      </c>
      <c r="I50" s="28">
        <v>75</v>
      </c>
      <c r="J50" s="28">
        <v>5</v>
      </c>
      <c r="K50" s="28">
        <v>2</v>
      </c>
      <c r="L50" s="28">
        <v>1</v>
      </c>
      <c r="M50" s="28">
        <v>10</v>
      </c>
      <c r="N50" s="28">
        <v>0</v>
      </c>
      <c r="O50" s="19">
        <v>0</v>
      </c>
      <c r="P50" s="19">
        <v>5</v>
      </c>
      <c r="Q50" s="19">
        <v>0</v>
      </c>
      <c r="R50" s="19">
        <v>14</v>
      </c>
      <c r="S50" s="28">
        <v>13</v>
      </c>
      <c r="T50" s="28">
        <v>3</v>
      </c>
      <c r="U50" s="28">
        <v>3</v>
      </c>
      <c r="V50" s="19">
        <v>3.44</v>
      </c>
      <c r="W50" s="28">
        <v>3.44</v>
      </c>
      <c r="X50" s="21">
        <v>3.2589999999999999</v>
      </c>
      <c r="Y50" s="21">
        <v>1.29</v>
      </c>
      <c r="Z50" s="35">
        <v>5.7864000000000004</v>
      </c>
      <c r="AA50" s="21">
        <v>0.30072688172043016</v>
      </c>
      <c r="AB50" s="22">
        <v>3.1</v>
      </c>
      <c r="AC50" s="21">
        <v>4.2530000000000001</v>
      </c>
      <c r="AD50" s="28">
        <v>1.78</v>
      </c>
      <c r="AE50" s="28">
        <v>1.63</v>
      </c>
      <c r="AF50" s="28">
        <v>3.1</v>
      </c>
      <c r="AG50" s="22">
        <v>1.78</v>
      </c>
      <c r="AH50" s="28">
        <v>1.6559999999999999</v>
      </c>
      <c r="AI50" s="22">
        <v>1.52</v>
      </c>
      <c r="AJ50" s="22">
        <v>2.48</v>
      </c>
      <c r="AK50" s="28">
        <v>1.4</v>
      </c>
      <c r="AL50" s="22">
        <v>4.0199999999999996</v>
      </c>
      <c r="AM50" s="35">
        <v>1.56</v>
      </c>
      <c r="AN50" s="35">
        <v>1.44</v>
      </c>
      <c r="AO50" s="35">
        <v>0.94</v>
      </c>
      <c r="AP50" s="23">
        <v>0.8</v>
      </c>
      <c r="AQ50" s="23">
        <v>1.55</v>
      </c>
      <c r="AR50" s="23">
        <v>1.93</v>
      </c>
      <c r="AS50" s="35">
        <v>2.0499999999999998</v>
      </c>
      <c r="AT50" s="35">
        <v>0.94</v>
      </c>
      <c r="AU50" s="23">
        <v>1.42</v>
      </c>
      <c r="AV50" s="23">
        <v>1.55</v>
      </c>
      <c r="AW50" s="23">
        <v>1.3819999999999999</v>
      </c>
      <c r="AX50" s="23">
        <v>1.66</v>
      </c>
      <c r="AY50" s="23">
        <v>1.4970000000000001</v>
      </c>
      <c r="AZ50" s="28">
        <v>9.6999999999999993</v>
      </c>
      <c r="BA50" s="28">
        <v>429.75</v>
      </c>
      <c r="BB50" s="28">
        <v>2353.15</v>
      </c>
      <c r="BC50" s="28">
        <v>7.31</v>
      </c>
      <c r="BD50" s="28">
        <v>0.23</v>
      </c>
      <c r="BE50" s="28">
        <v>3.2629999999999999</v>
      </c>
      <c r="BF50" s="26">
        <v>231.5</v>
      </c>
      <c r="BG50" s="26">
        <v>243</v>
      </c>
      <c r="BH50" s="28">
        <v>81.599999999999994</v>
      </c>
      <c r="BI50" s="26">
        <v>3.2100000000000001E-5</v>
      </c>
      <c r="BJ50" s="28">
        <v>2.52</v>
      </c>
      <c r="BK50" s="26">
        <v>41.1</v>
      </c>
      <c r="BL50" s="20" t="s">
        <v>193</v>
      </c>
      <c r="BM50" s="26">
        <v>11</v>
      </c>
      <c r="BN50" s="20" t="s">
        <v>193</v>
      </c>
      <c r="BO50" s="26">
        <v>8.8299999999999993E-3</v>
      </c>
      <c r="BP50" s="26">
        <v>8.0000000000009994E-8</v>
      </c>
      <c r="BQ50" s="26">
        <v>12000000</v>
      </c>
      <c r="BR50" s="27">
        <v>194</v>
      </c>
      <c r="BS50" s="27">
        <v>0.06</v>
      </c>
      <c r="BT50" s="27">
        <v>39</v>
      </c>
      <c r="BU50" s="27">
        <v>1</v>
      </c>
      <c r="BV50" s="27">
        <v>2.564102564102564E-2</v>
      </c>
      <c r="BW50" s="27">
        <v>0.95709999999999995</v>
      </c>
      <c r="BX50" s="28">
        <v>2.5522951961015779E-7</v>
      </c>
      <c r="BY50" s="28">
        <v>6.0004507097465435E-12</v>
      </c>
      <c r="BZ50" s="30">
        <v>3333</v>
      </c>
      <c r="CA50" s="30">
        <v>2000</v>
      </c>
      <c r="CB50" s="28">
        <v>120</v>
      </c>
    </row>
    <row r="51" spans="1:80" ht="17.399999999999999" x14ac:dyDescent="0.3">
      <c r="A51" s="15" t="s">
        <v>100</v>
      </c>
      <c r="B51" s="16" t="s">
        <v>99</v>
      </c>
      <c r="C51" s="35">
        <v>118.71</v>
      </c>
      <c r="D51" s="28">
        <v>50</v>
      </c>
      <c r="E51" s="28">
        <v>5</v>
      </c>
      <c r="F51" s="28">
        <v>14</v>
      </c>
      <c r="G51" s="18">
        <v>1</v>
      </c>
      <c r="H51" s="17">
        <v>1</v>
      </c>
      <c r="I51" s="28">
        <v>80</v>
      </c>
      <c r="J51" s="28">
        <v>5</v>
      </c>
      <c r="K51" s="28">
        <v>2</v>
      </c>
      <c r="L51" s="28">
        <v>2</v>
      </c>
      <c r="M51" s="28">
        <v>10</v>
      </c>
      <c r="N51" s="28">
        <v>0</v>
      </c>
      <c r="O51" s="19">
        <v>0</v>
      </c>
      <c r="P51" s="19">
        <v>4</v>
      </c>
      <c r="Q51" s="19">
        <v>0</v>
      </c>
      <c r="R51" s="19">
        <v>14</v>
      </c>
      <c r="S51" s="28">
        <v>14</v>
      </c>
      <c r="T51" s="28">
        <v>4</v>
      </c>
      <c r="U51" s="28">
        <v>4</v>
      </c>
      <c r="V51" s="19">
        <v>2.44</v>
      </c>
      <c r="W51" s="28">
        <v>4</v>
      </c>
      <c r="X51" s="21">
        <v>3.6720000000000002</v>
      </c>
      <c r="Y51" s="21">
        <v>1.145</v>
      </c>
      <c r="Z51" s="35">
        <v>7.3438999999999997</v>
      </c>
      <c r="AA51" s="21">
        <v>1.1083177715091679</v>
      </c>
      <c r="AB51" s="22">
        <v>4.3</v>
      </c>
      <c r="AC51" s="21">
        <v>4.6719999999999997</v>
      </c>
      <c r="AD51" s="28">
        <v>1.96</v>
      </c>
      <c r="AE51" s="28">
        <v>1.88</v>
      </c>
      <c r="AF51" s="28">
        <v>4.3</v>
      </c>
      <c r="AG51" s="22">
        <v>1.96</v>
      </c>
      <c r="AH51" s="28">
        <v>1.8240000000000001</v>
      </c>
      <c r="AI51" s="22">
        <v>1.7</v>
      </c>
      <c r="AJ51" s="22">
        <v>2.74</v>
      </c>
      <c r="AK51" s="28">
        <v>1.7</v>
      </c>
      <c r="AL51" s="22">
        <v>5.8</v>
      </c>
      <c r="AM51" s="35">
        <v>1.45</v>
      </c>
      <c r="AN51" s="35">
        <v>1.41</v>
      </c>
      <c r="AO51" s="35">
        <v>0.83</v>
      </c>
      <c r="AP51" s="23">
        <v>0.69</v>
      </c>
      <c r="AQ51" s="23">
        <v>1.55</v>
      </c>
      <c r="AR51" s="23">
        <v>2.17</v>
      </c>
      <c r="AS51" s="35">
        <v>1.88</v>
      </c>
      <c r="AT51" s="35">
        <v>0.69</v>
      </c>
      <c r="AU51" s="23">
        <v>1.39</v>
      </c>
      <c r="AV51" s="23">
        <v>1.45</v>
      </c>
      <c r="AW51" s="23">
        <v>1.24</v>
      </c>
      <c r="AX51" s="23">
        <v>1.62</v>
      </c>
      <c r="AY51" s="23">
        <v>1.4119999999999999</v>
      </c>
      <c r="AZ51" s="28">
        <v>7.7</v>
      </c>
      <c r="BA51" s="28">
        <v>505.15</v>
      </c>
      <c r="BB51" s="28">
        <v>2543.15</v>
      </c>
      <c r="BC51" s="28">
        <v>7.31</v>
      </c>
      <c r="BD51" s="28">
        <v>0.22700000000000001</v>
      </c>
      <c r="BE51" s="28">
        <v>7.0289999999999999</v>
      </c>
      <c r="BF51" s="26">
        <v>295.8</v>
      </c>
      <c r="BG51" s="26">
        <v>302</v>
      </c>
      <c r="BH51" s="28">
        <v>66.599999999999994</v>
      </c>
      <c r="BI51" s="26">
        <v>2.1999999999999999E-5</v>
      </c>
      <c r="BJ51" s="28">
        <v>3.14</v>
      </c>
      <c r="BK51" s="26">
        <v>58.2</v>
      </c>
      <c r="BL51" s="26">
        <v>18</v>
      </c>
      <c r="BM51" s="26">
        <v>50</v>
      </c>
      <c r="BN51" s="20" t="s">
        <v>193</v>
      </c>
      <c r="BO51" s="26">
        <v>5.0999999999999997E-2</v>
      </c>
      <c r="BP51" s="26">
        <v>1.1000000000000001E-7</v>
      </c>
      <c r="BQ51" s="26">
        <v>9100000</v>
      </c>
      <c r="BR51" s="27">
        <v>0.62</v>
      </c>
      <c r="BS51" s="27">
        <v>2.0000000000000001E-4</v>
      </c>
      <c r="BT51" s="27">
        <v>39</v>
      </c>
      <c r="BU51" s="27">
        <v>10</v>
      </c>
      <c r="BV51" s="27">
        <v>0.25641025641025639</v>
      </c>
      <c r="BW51" s="27">
        <v>1</v>
      </c>
      <c r="BX51" s="28">
        <v>2.3481115804134513E-6</v>
      </c>
      <c r="BY51" s="28">
        <v>1.2457457451756407E-10</v>
      </c>
      <c r="BZ51" s="30">
        <v>2591</v>
      </c>
      <c r="CA51" s="30">
        <v>1639</v>
      </c>
      <c r="CB51" s="28">
        <v>8</v>
      </c>
    </row>
    <row r="52" spans="1:80" ht="17.399999999999999" x14ac:dyDescent="0.3">
      <c r="A52" s="15" t="s">
        <v>102</v>
      </c>
      <c r="B52" s="16" t="s">
        <v>101</v>
      </c>
      <c r="C52" s="35">
        <v>121.76</v>
      </c>
      <c r="D52" s="28">
        <v>51</v>
      </c>
      <c r="E52" s="28">
        <v>5</v>
      </c>
      <c r="F52" s="28">
        <v>15</v>
      </c>
      <c r="G52" s="18">
        <v>1</v>
      </c>
      <c r="H52" s="17">
        <v>3</v>
      </c>
      <c r="I52" s="28">
        <v>85</v>
      </c>
      <c r="J52" s="28">
        <v>6</v>
      </c>
      <c r="K52" s="28">
        <v>2</v>
      </c>
      <c r="L52" s="28">
        <v>3</v>
      </c>
      <c r="M52" s="28">
        <v>10</v>
      </c>
      <c r="N52" s="28">
        <v>0</v>
      </c>
      <c r="O52" s="19">
        <v>0</v>
      </c>
      <c r="P52" s="19">
        <v>3</v>
      </c>
      <c r="Q52" s="19">
        <v>0</v>
      </c>
      <c r="R52" s="19">
        <v>14</v>
      </c>
      <c r="S52" s="28">
        <v>15</v>
      </c>
      <c r="T52" s="28">
        <v>5</v>
      </c>
      <c r="U52" s="28">
        <v>5</v>
      </c>
      <c r="V52" s="19">
        <v>3</v>
      </c>
      <c r="W52" s="28">
        <v>3</v>
      </c>
      <c r="X52" s="21">
        <v>3.984</v>
      </c>
      <c r="Y52" s="21">
        <v>1.1830000000000001</v>
      </c>
      <c r="Z52" s="35">
        <v>8.6083999999999996</v>
      </c>
      <c r="AA52" s="21">
        <v>1.0425040767386091</v>
      </c>
      <c r="AB52" s="22">
        <v>4.8499999999999996</v>
      </c>
      <c r="AC52" s="21">
        <v>5.0202999999999998</v>
      </c>
      <c r="AD52" s="28">
        <v>2.0499999999999998</v>
      </c>
      <c r="AE52" s="28">
        <v>2.14</v>
      </c>
      <c r="AF52" s="28">
        <v>4.8499999999999996</v>
      </c>
      <c r="AG52" s="22">
        <v>2.0499999999999998</v>
      </c>
      <c r="AH52" s="28">
        <v>1.984</v>
      </c>
      <c r="AI52" s="22">
        <v>1.88</v>
      </c>
      <c r="AJ52" s="22">
        <v>6.29</v>
      </c>
      <c r="AK52" s="28">
        <v>1.8</v>
      </c>
      <c r="AL52" s="22">
        <v>8.0399999999999991</v>
      </c>
      <c r="AM52" s="35">
        <v>1.33</v>
      </c>
      <c r="AN52" s="35">
        <v>1.38</v>
      </c>
      <c r="AO52" s="35">
        <v>0.9</v>
      </c>
      <c r="AP52" s="23">
        <v>0.76</v>
      </c>
      <c r="AQ52" s="23">
        <v>1.55</v>
      </c>
      <c r="AR52" s="23">
        <v>2.06</v>
      </c>
      <c r="AS52" s="35">
        <v>1.77</v>
      </c>
      <c r="AT52" s="35">
        <v>0.9</v>
      </c>
      <c r="AU52" s="23">
        <v>1.39</v>
      </c>
      <c r="AV52" s="23">
        <v>1.45</v>
      </c>
      <c r="AW52" s="23">
        <v>1.1930000000000001</v>
      </c>
      <c r="AX52" s="23">
        <v>1.59</v>
      </c>
      <c r="AY52" s="23">
        <v>1.41</v>
      </c>
      <c r="AZ52" s="28">
        <v>6.6</v>
      </c>
      <c r="BA52" s="28">
        <v>904.15</v>
      </c>
      <c r="BB52" s="28">
        <v>2223.15</v>
      </c>
      <c r="BC52" s="28">
        <v>6.69</v>
      </c>
      <c r="BD52" s="28">
        <v>0.21</v>
      </c>
      <c r="BE52" s="28">
        <v>19.87</v>
      </c>
      <c r="BF52" s="26">
        <v>77.14</v>
      </c>
      <c r="BG52" s="26">
        <v>262</v>
      </c>
      <c r="BH52" s="28">
        <v>24.3</v>
      </c>
      <c r="BI52" s="26">
        <v>1.1E-5</v>
      </c>
      <c r="BJ52" s="28">
        <v>2.75</v>
      </c>
      <c r="BK52" s="26">
        <v>38.299999999999997</v>
      </c>
      <c r="BL52" s="26">
        <v>20</v>
      </c>
      <c r="BM52" s="26">
        <v>55</v>
      </c>
      <c r="BN52" s="20" t="s">
        <v>193</v>
      </c>
      <c r="BO52" s="26">
        <v>0.29399999999999998</v>
      </c>
      <c r="BP52" s="26">
        <v>3.9999999999999998E-7</v>
      </c>
      <c r="BQ52" s="26">
        <v>2500000</v>
      </c>
      <c r="BR52" s="27">
        <v>5.4</v>
      </c>
      <c r="BS52" s="27">
        <v>1.6000000000000001E-3</v>
      </c>
      <c r="BT52" s="27">
        <v>37</v>
      </c>
      <c r="BU52" s="27">
        <v>2</v>
      </c>
      <c r="BV52" s="27">
        <v>5.4054054054054057E-2</v>
      </c>
      <c r="BW52" s="27">
        <v>1</v>
      </c>
      <c r="BX52" s="28">
        <v>2.0418361568812623E-7</v>
      </c>
      <c r="BY52" s="28">
        <v>1.007684385495479E-11</v>
      </c>
      <c r="BZ52" s="30">
        <v>7906</v>
      </c>
      <c r="CA52" s="30">
        <v>3419</v>
      </c>
      <c r="CB52" s="28">
        <v>4.5</v>
      </c>
    </row>
    <row r="53" spans="1:80" ht="17.399999999999999" x14ac:dyDescent="0.3">
      <c r="A53" s="15" t="s">
        <v>104</v>
      </c>
      <c r="B53" s="16" t="s">
        <v>103</v>
      </c>
      <c r="C53" s="35">
        <v>127.6</v>
      </c>
      <c r="D53" s="28">
        <v>52</v>
      </c>
      <c r="E53" s="28">
        <v>5</v>
      </c>
      <c r="F53" s="28">
        <v>16</v>
      </c>
      <c r="G53" s="18">
        <v>1</v>
      </c>
      <c r="H53" s="17">
        <v>3</v>
      </c>
      <c r="I53" s="28">
        <v>90</v>
      </c>
      <c r="J53" s="28">
        <v>6</v>
      </c>
      <c r="K53" s="28">
        <v>2</v>
      </c>
      <c r="L53" s="28">
        <v>4</v>
      </c>
      <c r="M53" s="28">
        <v>10</v>
      </c>
      <c r="N53" s="28">
        <v>0</v>
      </c>
      <c r="O53" s="19">
        <v>0</v>
      </c>
      <c r="P53" s="19">
        <v>2</v>
      </c>
      <c r="Q53" s="19">
        <v>0</v>
      </c>
      <c r="R53" s="19">
        <v>14</v>
      </c>
      <c r="S53" s="28">
        <v>16</v>
      </c>
      <c r="T53" s="28">
        <v>6</v>
      </c>
      <c r="U53" s="28">
        <v>6</v>
      </c>
      <c r="V53" s="19">
        <v>2</v>
      </c>
      <c r="W53" s="28">
        <v>2</v>
      </c>
      <c r="X53" s="21">
        <v>4.0670000000000002</v>
      </c>
      <c r="Y53" s="21">
        <v>1.034</v>
      </c>
      <c r="Z53" s="35">
        <v>9.0096000000000007</v>
      </c>
      <c r="AA53" s="21">
        <v>1.9698780207134641</v>
      </c>
      <c r="AB53" s="22">
        <v>5.49</v>
      </c>
      <c r="AC53" s="21">
        <v>5.3250000000000002</v>
      </c>
      <c r="AD53" s="28">
        <v>2.1</v>
      </c>
      <c r="AE53" s="28">
        <v>2.38</v>
      </c>
      <c r="AF53" s="28">
        <v>5.49</v>
      </c>
      <c r="AG53" s="32">
        <v>2.52</v>
      </c>
      <c r="AH53" s="28">
        <v>2.1579999999999999</v>
      </c>
      <c r="AI53" s="22">
        <v>2.08</v>
      </c>
      <c r="AJ53" s="22">
        <v>4.9800000000000004</v>
      </c>
      <c r="AK53" s="28">
        <v>2.1</v>
      </c>
      <c r="AL53" s="22">
        <v>10.8</v>
      </c>
      <c r="AM53" s="35">
        <v>1.23</v>
      </c>
      <c r="AN53" s="35">
        <v>1.35</v>
      </c>
      <c r="AO53" s="35">
        <v>2.0699999999999998</v>
      </c>
      <c r="AP53" s="23">
        <v>2.21</v>
      </c>
      <c r="AQ53" s="23">
        <v>1.4</v>
      </c>
      <c r="AR53" s="23">
        <v>2.06</v>
      </c>
      <c r="AS53" s="35">
        <v>1.67</v>
      </c>
      <c r="AT53" s="35">
        <v>1.1100000000000001</v>
      </c>
      <c r="AU53" s="23">
        <v>1.38</v>
      </c>
      <c r="AV53" s="23">
        <v>1.4</v>
      </c>
      <c r="AW53" s="23">
        <v>1.111</v>
      </c>
      <c r="AX53" s="23">
        <v>1.6</v>
      </c>
      <c r="AY53" s="23">
        <v>1.37</v>
      </c>
      <c r="AZ53" s="28">
        <v>5.5</v>
      </c>
      <c r="BA53" s="28">
        <v>722.65</v>
      </c>
      <c r="BB53" s="28">
        <v>1262.9499999999998</v>
      </c>
      <c r="BC53" s="28">
        <v>6.24</v>
      </c>
      <c r="BD53" s="28">
        <v>0.2</v>
      </c>
      <c r="BE53" s="28">
        <v>17.489999999999998</v>
      </c>
      <c r="BF53" s="26">
        <v>52.55</v>
      </c>
      <c r="BG53" s="26">
        <v>197</v>
      </c>
      <c r="BH53" s="28">
        <v>2.35</v>
      </c>
      <c r="BI53" s="26">
        <v>1.8E-5</v>
      </c>
      <c r="BJ53" s="28">
        <v>2.19</v>
      </c>
      <c r="BK53" s="26">
        <v>65</v>
      </c>
      <c r="BL53" s="26">
        <v>16</v>
      </c>
      <c r="BM53" s="26">
        <v>43</v>
      </c>
      <c r="BN53" s="20" t="s">
        <v>193</v>
      </c>
      <c r="BO53" s="26">
        <v>0.18</v>
      </c>
      <c r="BP53" s="26">
        <v>1E-4</v>
      </c>
      <c r="BQ53" s="26">
        <v>10000</v>
      </c>
      <c r="BR53" s="27">
        <v>5.4</v>
      </c>
      <c r="BS53" s="27">
        <v>1.2999999999999999E-3</v>
      </c>
      <c r="BT53" s="27">
        <v>38</v>
      </c>
      <c r="BU53" s="27">
        <v>5</v>
      </c>
      <c r="BV53" s="27">
        <v>0.13157894736842105</v>
      </c>
      <c r="BW53" s="27">
        <v>0.33289999999999997</v>
      </c>
      <c r="BX53" s="28">
        <v>1.0209180784406311E-9</v>
      </c>
      <c r="BY53" s="28">
        <v>1.568596082276134E-10</v>
      </c>
      <c r="BZ53" s="30">
        <v>2892</v>
      </c>
      <c r="CA53" s="30">
        <v>4934</v>
      </c>
      <c r="CB53" s="28">
        <v>24</v>
      </c>
    </row>
    <row r="54" spans="1:80" ht="17.399999999999999" x14ac:dyDescent="0.3">
      <c r="A54" s="15" t="s">
        <v>106</v>
      </c>
      <c r="B54" s="16" t="s">
        <v>105</v>
      </c>
      <c r="C54" s="35">
        <v>126.90447</v>
      </c>
      <c r="D54" s="28">
        <v>53</v>
      </c>
      <c r="E54" s="28">
        <v>5</v>
      </c>
      <c r="F54" s="28">
        <v>17</v>
      </c>
      <c r="G54" s="18">
        <v>1</v>
      </c>
      <c r="H54" s="17">
        <v>3</v>
      </c>
      <c r="I54" s="28">
        <v>96</v>
      </c>
      <c r="J54" s="28">
        <v>8</v>
      </c>
      <c r="K54" s="28">
        <v>2</v>
      </c>
      <c r="L54" s="28">
        <v>5</v>
      </c>
      <c r="M54" s="28">
        <v>10</v>
      </c>
      <c r="N54" s="28">
        <v>0</v>
      </c>
      <c r="O54" s="19">
        <v>0</v>
      </c>
      <c r="P54" s="19">
        <v>1</v>
      </c>
      <c r="Q54" s="19">
        <v>0</v>
      </c>
      <c r="R54" s="19">
        <v>14</v>
      </c>
      <c r="S54" s="28">
        <v>17</v>
      </c>
      <c r="T54" s="28">
        <v>7</v>
      </c>
      <c r="U54" s="28">
        <v>7</v>
      </c>
      <c r="V54" s="19">
        <v>1</v>
      </c>
      <c r="W54" s="28">
        <v>0</v>
      </c>
      <c r="X54" s="21">
        <v>4.3810000000000002</v>
      </c>
      <c r="Y54" s="21">
        <v>0.96</v>
      </c>
      <c r="Z54" s="35">
        <v>10.4513</v>
      </c>
      <c r="AA54" s="21">
        <v>3.058664186507936</v>
      </c>
      <c r="AB54" s="22">
        <v>6.76</v>
      </c>
      <c r="AC54" s="21">
        <v>5.5915999999999997</v>
      </c>
      <c r="AD54" s="28">
        <v>2.66</v>
      </c>
      <c r="AE54" s="28">
        <v>2.76</v>
      </c>
      <c r="AF54" s="28">
        <v>6.76</v>
      </c>
      <c r="AG54" s="22">
        <v>2.66</v>
      </c>
      <c r="AH54" s="28">
        <v>2.359</v>
      </c>
      <c r="AI54" s="22">
        <v>2.27</v>
      </c>
      <c r="AJ54" s="22">
        <v>6.7</v>
      </c>
      <c r="AK54" s="28">
        <v>2.4500000000000002</v>
      </c>
      <c r="AL54" s="22">
        <v>14.1</v>
      </c>
      <c r="AM54" s="35">
        <v>1.1499999999999999</v>
      </c>
      <c r="AN54" s="35">
        <v>1.33</v>
      </c>
      <c r="AO54" s="35">
        <v>2.06</v>
      </c>
      <c r="AP54" s="23">
        <v>2.2000000000000002</v>
      </c>
      <c r="AQ54" s="23">
        <v>1.6</v>
      </c>
      <c r="AR54" s="23">
        <v>1.98</v>
      </c>
      <c r="AS54" s="35">
        <v>1.59</v>
      </c>
      <c r="AT54" s="35">
        <v>2.06</v>
      </c>
      <c r="AU54" s="23">
        <v>1.39</v>
      </c>
      <c r="AV54" s="23">
        <v>1.4</v>
      </c>
      <c r="AW54" s="23">
        <v>1.044</v>
      </c>
      <c r="AX54" s="25" t="s">
        <v>193</v>
      </c>
      <c r="AY54" s="23">
        <v>1.3340000000000001</v>
      </c>
      <c r="AZ54" s="28">
        <v>5</v>
      </c>
      <c r="BA54" s="28">
        <v>386.65</v>
      </c>
      <c r="BB54" s="28">
        <v>457.15</v>
      </c>
      <c r="BC54" s="28">
        <v>4.93</v>
      </c>
      <c r="BD54" s="28">
        <v>0.214</v>
      </c>
      <c r="BE54" s="28">
        <v>7.8239999999999998</v>
      </c>
      <c r="BF54" s="26">
        <v>20.751999999999999</v>
      </c>
      <c r="BG54" s="26">
        <v>107</v>
      </c>
      <c r="BH54" s="28">
        <v>0.44900000000000001</v>
      </c>
      <c r="BI54" s="20" t="s">
        <v>193</v>
      </c>
      <c r="BJ54" s="28">
        <v>1.1100000000000001</v>
      </c>
      <c r="BK54" s="26">
        <v>7.7</v>
      </c>
      <c r="BL54" s="20" t="s">
        <v>193</v>
      </c>
      <c r="BM54" s="20" t="s">
        <v>193</v>
      </c>
      <c r="BN54" s="20" t="s">
        <v>193</v>
      </c>
      <c r="BO54" s="20" t="s">
        <v>193</v>
      </c>
      <c r="BP54" s="26">
        <v>10000000</v>
      </c>
      <c r="BQ54" s="26">
        <v>9.9999999999999995E-8</v>
      </c>
      <c r="BR54" s="27">
        <v>6.3</v>
      </c>
      <c r="BS54" s="27">
        <v>1.8E-3</v>
      </c>
      <c r="BT54" s="27">
        <v>37</v>
      </c>
      <c r="BU54" s="27">
        <v>1</v>
      </c>
      <c r="BV54" s="27">
        <v>2.7027027027027029E-2</v>
      </c>
      <c r="BW54" s="27">
        <v>1</v>
      </c>
      <c r="BX54" s="28">
        <v>4.5941313529828398E-7</v>
      </c>
      <c r="BY54" s="28">
        <v>2.9350030645499385E-11</v>
      </c>
      <c r="BZ54" s="30">
        <v>4887</v>
      </c>
      <c r="CA54" s="30">
        <v>4836</v>
      </c>
      <c r="CB54" s="28">
        <v>8.3000000000000007</v>
      </c>
    </row>
    <row r="55" spans="1:80" ht="17.399999999999999" x14ac:dyDescent="0.3">
      <c r="A55" s="15" t="s">
        <v>108</v>
      </c>
      <c r="B55" s="16" t="s">
        <v>107</v>
      </c>
      <c r="C55" s="35">
        <v>131.29300000000001</v>
      </c>
      <c r="D55" s="28">
        <v>54</v>
      </c>
      <c r="E55" s="28">
        <v>5</v>
      </c>
      <c r="F55" s="28">
        <v>18</v>
      </c>
      <c r="G55" s="18">
        <v>1</v>
      </c>
      <c r="H55" s="17">
        <v>3</v>
      </c>
      <c r="I55" s="28">
        <v>102</v>
      </c>
      <c r="J55" s="28">
        <v>9</v>
      </c>
      <c r="K55" s="28">
        <v>2</v>
      </c>
      <c r="L55" s="28">
        <v>6</v>
      </c>
      <c r="M55" s="28">
        <v>10</v>
      </c>
      <c r="N55" s="28">
        <v>0</v>
      </c>
      <c r="O55" s="19">
        <v>0</v>
      </c>
      <c r="P55" s="19">
        <v>0</v>
      </c>
      <c r="Q55" s="19">
        <v>0</v>
      </c>
      <c r="R55" s="19">
        <v>14</v>
      </c>
      <c r="S55" s="28">
        <v>18</v>
      </c>
      <c r="T55" s="28">
        <v>8</v>
      </c>
      <c r="U55" s="28">
        <v>8</v>
      </c>
      <c r="V55" s="20" t="s">
        <v>193</v>
      </c>
      <c r="W55" s="28">
        <v>0</v>
      </c>
      <c r="X55" s="21">
        <v>4.7190000000000003</v>
      </c>
      <c r="Y55" s="21">
        <v>0.89100000000000001</v>
      </c>
      <c r="Z55" s="35">
        <v>12.129799999999999</v>
      </c>
      <c r="AA55" s="21">
        <v>-0.82938803418803408</v>
      </c>
      <c r="AB55" s="20" t="s">
        <v>193</v>
      </c>
      <c r="AC55" s="21">
        <v>5.8121</v>
      </c>
      <c r="AD55" s="28">
        <v>2.6</v>
      </c>
      <c r="AE55" s="28" t="s">
        <v>193</v>
      </c>
      <c r="AF55" s="28" t="s">
        <v>193</v>
      </c>
      <c r="AG55" s="20" t="s">
        <v>193</v>
      </c>
      <c r="AH55" s="28">
        <v>2.5819999999999999</v>
      </c>
      <c r="AI55" s="22">
        <v>2.4500000000000002</v>
      </c>
      <c r="AJ55" s="22">
        <v>6.27</v>
      </c>
      <c r="AK55" s="28" t="s">
        <v>193</v>
      </c>
      <c r="AL55" s="22">
        <v>18</v>
      </c>
      <c r="AM55" s="35">
        <v>1.08</v>
      </c>
      <c r="AN55" s="35">
        <v>1.3</v>
      </c>
      <c r="AO55" s="35">
        <v>0.62</v>
      </c>
      <c r="AP55" s="24">
        <v>1.52</v>
      </c>
      <c r="AQ55" s="24">
        <v>2.3199999999999998</v>
      </c>
      <c r="AR55" s="23">
        <v>2.16</v>
      </c>
      <c r="AS55" s="35">
        <v>2.82</v>
      </c>
      <c r="AT55" s="35">
        <v>0.62</v>
      </c>
      <c r="AU55" s="23">
        <v>1.4</v>
      </c>
      <c r="AV55" s="23">
        <v>1.08</v>
      </c>
      <c r="AW55" s="23">
        <v>0.98599999999999999</v>
      </c>
      <c r="AX55" s="25" t="s">
        <v>193</v>
      </c>
      <c r="AY55" s="25" t="s">
        <v>193</v>
      </c>
      <c r="AZ55" s="28">
        <v>4</v>
      </c>
      <c r="BA55" s="28">
        <v>161.34999999999997</v>
      </c>
      <c r="BB55" s="28">
        <v>166.04999999999998</v>
      </c>
      <c r="BC55" s="28">
        <v>5.8900000000000003E-3</v>
      </c>
      <c r="BD55" s="28">
        <v>0.158</v>
      </c>
      <c r="BE55" s="28">
        <v>2.2970000000000002</v>
      </c>
      <c r="BF55" s="26">
        <v>12.635999999999999</v>
      </c>
      <c r="BG55" s="26">
        <v>0</v>
      </c>
      <c r="BH55" s="28">
        <v>5.6899999999999997E-3</v>
      </c>
      <c r="BI55" s="20" t="s">
        <v>193</v>
      </c>
      <c r="BJ55" s="28">
        <v>0.16</v>
      </c>
      <c r="BK55" s="20" t="s">
        <v>193</v>
      </c>
      <c r="BL55" s="20" t="s">
        <v>193</v>
      </c>
      <c r="BM55" s="20" t="s">
        <v>193</v>
      </c>
      <c r="BN55" s="20" t="s">
        <v>193</v>
      </c>
      <c r="BO55" s="20" t="s">
        <v>193</v>
      </c>
      <c r="BP55" s="20" t="s">
        <v>193</v>
      </c>
      <c r="BQ55" s="20" t="s">
        <v>193</v>
      </c>
      <c r="BR55" s="27">
        <v>25</v>
      </c>
      <c r="BS55" s="27">
        <v>8.3000000000000001E-3</v>
      </c>
      <c r="BT55" s="27">
        <v>38</v>
      </c>
      <c r="BU55" s="27">
        <v>9</v>
      </c>
      <c r="BV55" s="27">
        <v>0.23684210526315788</v>
      </c>
      <c r="BW55" s="27">
        <v>1</v>
      </c>
      <c r="BX55" s="28">
        <v>3.0627542353218934E-11</v>
      </c>
      <c r="BY55" s="28">
        <v>1.5327238225983014E-10</v>
      </c>
      <c r="BZ55" s="29" t="s">
        <v>193</v>
      </c>
      <c r="CA55" s="29" t="s">
        <v>193</v>
      </c>
      <c r="CB55" s="28">
        <v>120</v>
      </c>
    </row>
    <row r="56" spans="1:80" ht="17.399999999999999" x14ac:dyDescent="0.3">
      <c r="A56" s="15" t="s">
        <v>110</v>
      </c>
      <c r="B56" s="16" t="s">
        <v>109</v>
      </c>
      <c r="C56" s="35">
        <v>132.90543</v>
      </c>
      <c r="D56" s="28">
        <v>55</v>
      </c>
      <c r="E56" s="28">
        <v>6</v>
      </c>
      <c r="F56" s="28">
        <v>1</v>
      </c>
      <c r="G56" s="18">
        <v>0</v>
      </c>
      <c r="H56" s="17">
        <v>1</v>
      </c>
      <c r="I56" s="28">
        <v>5</v>
      </c>
      <c r="J56" s="28">
        <v>1</v>
      </c>
      <c r="K56" s="28">
        <v>1</v>
      </c>
      <c r="L56" s="28">
        <v>0</v>
      </c>
      <c r="M56" s="28">
        <v>0</v>
      </c>
      <c r="N56" s="28">
        <v>0</v>
      </c>
      <c r="O56" s="19">
        <v>1</v>
      </c>
      <c r="P56" s="19">
        <v>6</v>
      </c>
      <c r="Q56" s="19">
        <v>10</v>
      </c>
      <c r="R56" s="19">
        <v>14</v>
      </c>
      <c r="S56" s="28">
        <v>1</v>
      </c>
      <c r="T56" s="28">
        <v>1</v>
      </c>
      <c r="U56" s="28">
        <v>1</v>
      </c>
      <c r="V56" s="19">
        <v>1</v>
      </c>
      <c r="W56" s="28">
        <v>1</v>
      </c>
      <c r="X56" s="21">
        <v>3.2090000000000001</v>
      </c>
      <c r="Y56" s="21">
        <v>1.8879999999999999</v>
      </c>
      <c r="Z56" s="35">
        <v>3.8938999999999999</v>
      </c>
      <c r="AA56" s="21">
        <v>0.4763813829787234</v>
      </c>
      <c r="AB56" s="22">
        <v>2.1800000000000002</v>
      </c>
      <c r="AC56" s="25" t="s">
        <v>193</v>
      </c>
      <c r="AD56" s="28">
        <v>0.79</v>
      </c>
      <c r="AE56" s="28">
        <v>0.77</v>
      </c>
      <c r="AF56" s="28">
        <v>2.1800000000000002</v>
      </c>
      <c r="AG56" s="22">
        <v>0.79</v>
      </c>
      <c r="AH56" s="28">
        <v>0.65900000000000003</v>
      </c>
      <c r="AI56" s="22">
        <v>0.79</v>
      </c>
      <c r="AJ56" s="20" t="s">
        <v>193</v>
      </c>
      <c r="AK56" s="28">
        <v>0.75</v>
      </c>
      <c r="AL56" s="22">
        <v>0.28100000000000003</v>
      </c>
      <c r="AM56" s="35">
        <v>2.98</v>
      </c>
      <c r="AN56" s="35">
        <v>2.25</v>
      </c>
      <c r="AO56" s="35">
        <v>1.81</v>
      </c>
      <c r="AP56" s="23">
        <v>1.67</v>
      </c>
      <c r="AQ56" s="23">
        <v>2.64</v>
      </c>
      <c r="AR56" s="23">
        <v>3.43</v>
      </c>
      <c r="AS56" s="35">
        <v>4.3099999999999996</v>
      </c>
      <c r="AT56" s="35">
        <v>1.81</v>
      </c>
      <c r="AU56" s="23">
        <v>2.44</v>
      </c>
      <c r="AV56" s="23">
        <v>2.6</v>
      </c>
      <c r="AW56" s="23">
        <v>2.5180000000000002</v>
      </c>
      <c r="AX56" s="23">
        <v>2.67</v>
      </c>
      <c r="AY56" s="23">
        <v>2.35</v>
      </c>
      <c r="AZ56" s="28">
        <v>59.6</v>
      </c>
      <c r="BA56" s="28">
        <v>301.54999999999995</v>
      </c>
      <c r="BB56" s="28">
        <v>942.15</v>
      </c>
      <c r="BC56" s="28">
        <v>1.87</v>
      </c>
      <c r="BD56" s="28">
        <v>0.24</v>
      </c>
      <c r="BE56" s="28">
        <v>2.0920000000000001</v>
      </c>
      <c r="BF56" s="26">
        <v>67.739999999999995</v>
      </c>
      <c r="BG56" s="26">
        <v>79</v>
      </c>
      <c r="BH56" s="28">
        <v>35.9</v>
      </c>
      <c r="BI56" s="26">
        <v>9.7E-5</v>
      </c>
      <c r="BJ56" s="28">
        <v>0.80400000000000005</v>
      </c>
      <c r="BK56" s="26">
        <v>1.57</v>
      </c>
      <c r="BL56" s="20" t="s">
        <v>193</v>
      </c>
      <c r="BM56" s="26">
        <v>1.7</v>
      </c>
      <c r="BN56" s="20" t="s">
        <v>193</v>
      </c>
      <c r="BO56" s="26">
        <v>1.4000000000000001E-4</v>
      </c>
      <c r="BP56" s="26">
        <v>1.9999999999999999E-7</v>
      </c>
      <c r="BQ56" s="26">
        <v>5000000</v>
      </c>
      <c r="BR56" s="27">
        <v>29</v>
      </c>
      <c r="BS56" s="27">
        <v>7.7000000000000002E-3</v>
      </c>
      <c r="BT56" s="27">
        <v>40</v>
      </c>
      <c r="BU56" s="27">
        <v>1</v>
      </c>
      <c r="BV56" s="27">
        <v>2.5000000000000001E-2</v>
      </c>
      <c r="BW56" s="27">
        <v>1</v>
      </c>
      <c r="BX56" s="28">
        <v>3.0627542353218931E-6</v>
      </c>
      <c r="BY56" s="28">
        <v>1.2131346000139746E-11</v>
      </c>
      <c r="BZ56" s="30">
        <v>6000</v>
      </c>
      <c r="CA56" s="30">
        <v>6000</v>
      </c>
      <c r="CB56" s="28">
        <v>1100</v>
      </c>
    </row>
    <row r="57" spans="1:80" ht="17.399999999999999" x14ac:dyDescent="0.3">
      <c r="A57" s="15" t="s">
        <v>112</v>
      </c>
      <c r="B57" s="16" t="s">
        <v>111</v>
      </c>
      <c r="C57" s="35">
        <v>137.327</v>
      </c>
      <c r="D57" s="28">
        <v>56</v>
      </c>
      <c r="E57" s="28">
        <v>6</v>
      </c>
      <c r="F57" s="28">
        <v>2</v>
      </c>
      <c r="G57" s="18">
        <v>0</v>
      </c>
      <c r="H57" s="17">
        <v>1</v>
      </c>
      <c r="I57" s="28">
        <v>9</v>
      </c>
      <c r="J57" s="28">
        <v>2</v>
      </c>
      <c r="K57" s="28">
        <v>2</v>
      </c>
      <c r="L57" s="28">
        <v>0</v>
      </c>
      <c r="M57" s="28">
        <v>0</v>
      </c>
      <c r="N57" s="28">
        <v>0</v>
      </c>
      <c r="O57" s="19">
        <v>0</v>
      </c>
      <c r="P57" s="19">
        <v>6</v>
      </c>
      <c r="Q57" s="19">
        <v>10</v>
      </c>
      <c r="R57" s="19">
        <v>14</v>
      </c>
      <c r="S57" s="28">
        <v>2</v>
      </c>
      <c r="T57" s="28">
        <v>2</v>
      </c>
      <c r="U57" s="28">
        <v>2</v>
      </c>
      <c r="V57" s="19">
        <v>2</v>
      </c>
      <c r="W57" s="28">
        <v>2</v>
      </c>
      <c r="X57" s="21">
        <v>3.7120000000000002</v>
      </c>
      <c r="Y57" s="21">
        <v>1.6319999999999999</v>
      </c>
      <c r="Z57" s="35">
        <v>5.2117000000000004</v>
      </c>
      <c r="AA57" s="21">
        <v>0.14505725646123263</v>
      </c>
      <c r="AB57" s="22">
        <v>2.4</v>
      </c>
      <c r="AC57" s="25" t="s">
        <v>193</v>
      </c>
      <c r="AD57" s="28">
        <v>0.89</v>
      </c>
      <c r="AE57" s="28">
        <v>1.08</v>
      </c>
      <c r="AF57" s="28">
        <v>2.4</v>
      </c>
      <c r="AG57" s="22">
        <v>0.89</v>
      </c>
      <c r="AH57" s="28">
        <v>0.88100000000000001</v>
      </c>
      <c r="AI57" s="22">
        <v>0.98</v>
      </c>
      <c r="AJ57" s="20" t="s">
        <v>193</v>
      </c>
      <c r="AK57" s="28">
        <v>0.9</v>
      </c>
      <c r="AL57" s="22">
        <v>0.61199999999999999</v>
      </c>
      <c r="AM57" s="35">
        <v>2.5299999999999998</v>
      </c>
      <c r="AN57" s="35">
        <v>1.98</v>
      </c>
      <c r="AO57" s="35">
        <v>1.49</v>
      </c>
      <c r="AP57" s="23">
        <v>1.35</v>
      </c>
      <c r="AQ57" s="23">
        <v>2.23</v>
      </c>
      <c r="AR57" s="23">
        <v>2.68</v>
      </c>
      <c r="AS57" s="35">
        <v>3.4</v>
      </c>
      <c r="AT57" s="35">
        <v>1.49</v>
      </c>
      <c r="AU57" s="23">
        <v>2.15</v>
      </c>
      <c r="AV57" s="23">
        <v>2.15</v>
      </c>
      <c r="AW57" s="23">
        <v>2.06</v>
      </c>
      <c r="AX57" s="23">
        <v>2.2149999999999999</v>
      </c>
      <c r="AY57" s="23">
        <v>1.9810000000000001</v>
      </c>
      <c r="AZ57" s="28">
        <v>39.700000000000003</v>
      </c>
      <c r="BA57" s="28">
        <v>998.15</v>
      </c>
      <c r="BB57" s="28">
        <v>1913.15</v>
      </c>
      <c r="BC57" s="28">
        <v>3.5</v>
      </c>
      <c r="BD57" s="28">
        <v>0.20399999999999999</v>
      </c>
      <c r="BE57" s="28">
        <v>7.75</v>
      </c>
      <c r="BF57" s="26">
        <v>142</v>
      </c>
      <c r="BG57" s="26">
        <v>180</v>
      </c>
      <c r="BH57" s="28">
        <v>18.399999999999999</v>
      </c>
      <c r="BI57" s="26">
        <v>2.0599999999999999E-5</v>
      </c>
      <c r="BJ57" s="28">
        <v>1.9</v>
      </c>
      <c r="BK57" s="26">
        <v>10.199999999999999</v>
      </c>
      <c r="BL57" s="26">
        <v>4.9000000000000004</v>
      </c>
      <c r="BM57" s="26">
        <v>13</v>
      </c>
      <c r="BN57" s="20" t="s">
        <v>193</v>
      </c>
      <c r="BO57" s="20" t="s">
        <v>193</v>
      </c>
      <c r="BP57" s="26">
        <v>3.4999999999999998E-7</v>
      </c>
      <c r="BQ57" s="26">
        <v>2900000</v>
      </c>
      <c r="BR57" s="27">
        <v>1.3</v>
      </c>
      <c r="BS57" s="27">
        <v>2.7E-4</v>
      </c>
      <c r="BT57" s="27">
        <v>40</v>
      </c>
      <c r="BU57" s="27">
        <v>7</v>
      </c>
      <c r="BV57" s="27">
        <v>0.17499999999999999</v>
      </c>
      <c r="BW57" s="27">
        <v>1</v>
      </c>
      <c r="BX57" s="28">
        <v>4.338901833372682E-4</v>
      </c>
      <c r="BY57" s="28">
        <v>1.4642404177588029E-10</v>
      </c>
      <c r="BZ57" s="30">
        <v>2973</v>
      </c>
      <c r="CA57" s="30">
        <v>2347</v>
      </c>
      <c r="CB57" s="28">
        <v>55</v>
      </c>
    </row>
    <row r="58" spans="1:80" ht="17.399999999999999" x14ac:dyDescent="0.3">
      <c r="A58" s="15" t="s">
        <v>114</v>
      </c>
      <c r="B58" s="16" t="s">
        <v>113</v>
      </c>
      <c r="C58" s="35">
        <v>138.90549999999999</v>
      </c>
      <c r="D58" s="28">
        <v>57</v>
      </c>
      <c r="E58" s="28">
        <v>6</v>
      </c>
      <c r="F58" s="28">
        <v>3</v>
      </c>
      <c r="G58" s="18">
        <v>2</v>
      </c>
      <c r="H58" s="17">
        <v>1</v>
      </c>
      <c r="I58" s="28">
        <v>13</v>
      </c>
      <c r="J58" s="28">
        <v>3</v>
      </c>
      <c r="K58" s="28">
        <v>2</v>
      </c>
      <c r="L58" s="28">
        <v>0</v>
      </c>
      <c r="M58" s="28">
        <v>1</v>
      </c>
      <c r="N58" s="28">
        <v>0</v>
      </c>
      <c r="O58" s="19">
        <v>0</v>
      </c>
      <c r="P58" s="19">
        <v>6</v>
      </c>
      <c r="Q58" s="19">
        <v>9</v>
      </c>
      <c r="R58" s="19">
        <v>14</v>
      </c>
      <c r="S58" s="28">
        <v>3</v>
      </c>
      <c r="T58" s="28">
        <v>2</v>
      </c>
      <c r="U58" s="28">
        <v>1</v>
      </c>
      <c r="V58" s="19">
        <v>3</v>
      </c>
      <c r="W58" s="28">
        <v>3</v>
      </c>
      <c r="X58" s="21">
        <v>3.84</v>
      </c>
      <c r="Y58" s="21">
        <v>1.577</v>
      </c>
      <c r="Z58" s="35">
        <v>5.5769000000000002</v>
      </c>
      <c r="AA58" s="21">
        <v>0.46646933085501857</v>
      </c>
      <c r="AB58" s="22">
        <v>3.1</v>
      </c>
      <c r="AC58" s="25" t="s">
        <v>193</v>
      </c>
      <c r="AD58" s="28">
        <v>1.1000000000000001</v>
      </c>
      <c r="AE58" s="28">
        <v>1.35</v>
      </c>
      <c r="AF58" s="28">
        <v>3.1</v>
      </c>
      <c r="AG58" s="22">
        <v>1.1000000000000001</v>
      </c>
      <c r="AH58" s="28">
        <v>1.0900000000000001</v>
      </c>
      <c r="AI58" s="22">
        <v>1.04</v>
      </c>
      <c r="AJ58" s="20" t="s">
        <v>193</v>
      </c>
      <c r="AK58" s="28">
        <v>1.2</v>
      </c>
      <c r="AL58" s="22">
        <v>1.1299999999999999</v>
      </c>
      <c r="AM58" s="35">
        <v>1.95</v>
      </c>
      <c r="AN58" s="35">
        <v>1.69</v>
      </c>
      <c r="AO58" s="35">
        <v>1.17</v>
      </c>
      <c r="AP58" s="23">
        <v>1.03</v>
      </c>
      <c r="AQ58" s="23">
        <v>1.87</v>
      </c>
      <c r="AR58" s="23">
        <v>2.5</v>
      </c>
      <c r="AS58" s="35">
        <v>3.08</v>
      </c>
      <c r="AT58" s="35">
        <v>1.36</v>
      </c>
      <c r="AU58" s="23">
        <v>2.0699999999999998</v>
      </c>
      <c r="AV58" s="23">
        <v>1.95</v>
      </c>
      <c r="AW58" s="23">
        <v>1.915</v>
      </c>
      <c r="AX58" s="23">
        <v>1.871</v>
      </c>
      <c r="AY58" s="23">
        <v>1.69</v>
      </c>
      <c r="AZ58" s="28">
        <v>31.1</v>
      </c>
      <c r="BA58" s="28">
        <v>1193.1500000000001</v>
      </c>
      <c r="BB58" s="28">
        <v>3727.15</v>
      </c>
      <c r="BC58" s="28">
        <v>6.15</v>
      </c>
      <c r="BD58" s="28">
        <v>0.19</v>
      </c>
      <c r="BE58" s="28">
        <v>6.2</v>
      </c>
      <c r="BF58" s="26">
        <v>414</v>
      </c>
      <c r="BG58" s="26">
        <v>423</v>
      </c>
      <c r="BH58" s="28">
        <v>13.5</v>
      </c>
      <c r="BI58" s="26">
        <v>1.2099999999999999E-5</v>
      </c>
      <c r="BJ58" s="28">
        <v>4.47</v>
      </c>
      <c r="BK58" s="26">
        <v>27.9</v>
      </c>
      <c r="BL58" s="26">
        <v>14</v>
      </c>
      <c r="BM58" s="26">
        <v>37</v>
      </c>
      <c r="BN58" s="26">
        <v>0.49099999999999999</v>
      </c>
      <c r="BO58" s="26">
        <v>0.36299999999999999</v>
      </c>
      <c r="BP58" s="26">
        <v>6.0999999999999998E-7</v>
      </c>
      <c r="BQ58" s="26">
        <v>1600000</v>
      </c>
      <c r="BR58" s="27">
        <v>8.98</v>
      </c>
      <c r="BS58" s="27">
        <v>2.3E-3</v>
      </c>
      <c r="BT58" s="27">
        <v>39</v>
      </c>
      <c r="BU58" s="27">
        <v>1</v>
      </c>
      <c r="BV58" s="27">
        <v>2.564102564102564E-2</v>
      </c>
      <c r="BW58" s="27">
        <v>0.99909999999999999</v>
      </c>
      <c r="BX58" s="28">
        <v>3.9815805059184611E-5</v>
      </c>
      <c r="BY58" s="28">
        <v>1.4544570742103032E-11</v>
      </c>
      <c r="BZ58" s="30">
        <v>9476</v>
      </c>
      <c r="CA58" s="30">
        <v>3129</v>
      </c>
      <c r="CB58" s="28">
        <v>64</v>
      </c>
    </row>
    <row r="59" spans="1:80" ht="17.399999999999999" x14ac:dyDescent="0.3">
      <c r="A59" s="15" t="s">
        <v>116</v>
      </c>
      <c r="B59" s="16" t="s">
        <v>115</v>
      </c>
      <c r="C59" s="35">
        <v>140.11500000000001</v>
      </c>
      <c r="D59" s="28">
        <v>58</v>
      </c>
      <c r="E59" s="28">
        <v>6</v>
      </c>
      <c r="F59" s="28">
        <v>3</v>
      </c>
      <c r="G59" s="18">
        <v>3</v>
      </c>
      <c r="H59" s="17">
        <v>1</v>
      </c>
      <c r="I59" s="28">
        <v>15</v>
      </c>
      <c r="J59" s="28">
        <v>3</v>
      </c>
      <c r="K59" s="28">
        <v>2</v>
      </c>
      <c r="L59" s="28">
        <v>0</v>
      </c>
      <c r="M59" s="28">
        <v>1</v>
      </c>
      <c r="N59" s="28">
        <v>1</v>
      </c>
      <c r="O59" s="19">
        <v>0</v>
      </c>
      <c r="P59" s="19">
        <v>6</v>
      </c>
      <c r="Q59" s="19">
        <v>9</v>
      </c>
      <c r="R59" s="19">
        <v>13</v>
      </c>
      <c r="S59" s="28">
        <v>4</v>
      </c>
      <c r="T59" s="28">
        <v>2</v>
      </c>
      <c r="U59" s="28">
        <v>3</v>
      </c>
      <c r="V59" s="19">
        <v>3.2</v>
      </c>
      <c r="W59" s="28">
        <v>3.2</v>
      </c>
      <c r="X59" s="21">
        <v>3.774</v>
      </c>
      <c r="Y59" s="21">
        <v>1.583</v>
      </c>
      <c r="Z59" s="35">
        <v>5.5387000000000004</v>
      </c>
      <c r="AA59" s="21">
        <v>6.5862818352059929</v>
      </c>
      <c r="AB59" s="20" t="s">
        <v>193</v>
      </c>
      <c r="AC59" s="25" t="s">
        <v>193</v>
      </c>
      <c r="AD59" s="28">
        <v>1.1200000000000001</v>
      </c>
      <c r="AE59" s="28">
        <v>1.1000000000000001</v>
      </c>
      <c r="AF59" s="28">
        <v>3.1</v>
      </c>
      <c r="AG59" s="22">
        <v>1.1200000000000001</v>
      </c>
      <c r="AH59" s="28">
        <v>1.0900000000000001</v>
      </c>
      <c r="AI59" s="22">
        <v>1.05</v>
      </c>
      <c r="AJ59" s="20" t="s">
        <v>193</v>
      </c>
      <c r="AK59" s="28" t="s">
        <v>193</v>
      </c>
      <c r="AL59" s="22">
        <v>1.89</v>
      </c>
      <c r="AM59" s="35">
        <v>1.85</v>
      </c>
      <c r="AN59" s="35">
        <v>1.65</v>
      </c>
      <c r="AO59" s="35">
        <v>1.1499999999999999</v>
      </c>
      <c r="AP59" s="23">
        <v>1.01</v>
      </c>
      <c r="AQ59" s="23">
        <v>1.82</v>
      </c>
      <c r="AR59" s="23">
        <v>2.48</v>
      </c>
      <c r="AS59" s="35">
        <v>4.5</v>
      </c>
      <c r="AT59" s="35">
        <v>1.1499999999999999</v>
      </c>
      <c r="AU59" s="23">
        <v>2.04</v>
      </c>
      <c r="AV59" s="23">
        <v>1.85</v>
      </c>
      <c r="AW59" s="23">
        <v>1.9780000000000002</v>
      </c>
      <c r="AX59" s="23">
        <v>1.8180000000000001</v>
      </c>
      <c r="AY59" s="23">
        <v>1.6459999999999999</v>
      </c>
      <c r="AZ59" s="28">
        <v>29.6</v>
      </c>
      <c r="BA59" s="28">
        <v>1071.1500000000001</v>
      </c>
      <c r="BB59" s="28">
        <v>3530.15</v>
      </c>
      <c r="BC59" s="28">
        <v>6.66</v>
      </c>
      <c r="BD59" s="28">
        <v>0.19</v>
      </c>
      <c r="BE59" s="28">
        <v>5.46</v>
      </c>
      <c r="BF59" s="26">
        <v>414</v>
      </c>
      <c r="BG59" s="26">
        <v>419</v>
      </c>
      <c r="BH59" s="28">
        <v>11.4</v>
      </c>
      <c r="BI59" s="26">
        <v>6.2999999999999998E-6</v>
      </c>
      <c r="BJ59" s="28">
        <v>4.32</v>
      </c>
      <c r="BK59" s="26">
        <v>21.5</v>
      </c>
      <c r="BL59" s="26">
        <v>14</v>
      </c>
      <c r="BM59" s="26">
        <v>34</v>
      </c>
      <c r="BN59" s="26">
        <v>0.27</v>
      </c>
      <c r="BO59" s="26">
        <v>0.41199999999999998</v>
      </c>
      <c r="BP59" s="26">
        <v>7.5000000000000002E-7</v>
      </c>
      <c r="BQ59" s="26">
        <v>1400000</v>
      </c>
      <c r="BR59" s="27">
        <v>0.6</v>
      </c>
      <c r="BS59" s="27">
        <v>2.1000000000000001E-4</v>
      </c>
      <c r="BT59" s="27">
        <v>39</v>
      </c>
      <c r="BU59" s="27">
        <v>4</v>
      </c>
      <c r="BV59" s="27">
        <v>0.10256410256410256</v>
      </c>
      <c r="BW59" s="27">
        <v>1</v>
      </c>
      <c r="BX59" s="28">
        <v>6.7891052216301965E-5</v>
      </c>
      <c r="BY59" s="28">
        <v>3.7046260903652559E-11</v>
      </c>
      <c r="BZ59" s="30">
        <v>9476</v>
      </c>
      <c r="CA59" s="30">
        <v>3129</v>
      </c>
      <c r="CB59" s="28">
        <v>57</v>
      </c>
    </row>
    <row r="60" spans="1:80" ht="17.399999999999999" x14ac:dyDescent="0.3">
      <c r="A60" s="15" t="s">
        <v>118</v>
      </c>
      <c r="B60" s="16" t="s">
        <v>117</v>
      </c>
      <c r="C60" s="35">
        <v>140.90764999999999</v>
      </c>
      <c r="D60" s="28">
        <v>59</v>
      </c>
      <c r="E60" s="28">
        <v>6</v>
      </c>
      <c r="F60" s="28">
        <v>3</v>
      </c>
      <c r="G60" s="18">
        <v>3</v>
      </c>
      <c r="H60" s="17">
        <v>1</v>
      </c>
      <c r="I60" s="28">
        <v>17</v>
      </c>
      <c r="J60" s="28">
        <v>3</v>
      </c>
      <c r="K60" s="28">
        <v>2</v>
      </c>
      <c r="L60" s="28">
        <v>0</v>
      </c>
      <c r="M60" s="28">
        <v>0</v>
      </c>
      <c r="N60" s="28">
        <v>3</v>
      </c>
      <c r="O60" s="19">
        <v>0</v>
      </c>
      <c r="P60" s="19">
        <v>6</v>
      </c>
      <c r="Q60" s="19">
        <v>10</v>
      </c>
      <c r="R60" s="19">
        <v>11</v>
      </c>
      <c r="S60" s="28">
        <v>5</v>
      </c>
      <c r="T60" s="28">
        <v>2</v>
      </c>
      <c r="U60" s="28">
        <v>3</v>
      </c>
      <c r="V60" s="19">
        <v>3.1</v>
      </c>
      <c r="W60" s="28">
        <v>3.1</v>
      </c>
      <c r="X60" s="21">
        <v>3.8</v>
      </c>
      <c r="Y60" s="21">
        <v>1.5940000000000001</v>
      </c>
      <c r="Z60" s="35">
        <v>5.4729999999999999</v>
      </c>
      <c r="AA60" s="21">
        <v>0.96582352941176464</v>
      </c>
      <c r="AB60" s="20" t="s">
        <v>193</v>
      </c>
      <c r="AC60" s="25" t="s">
        <v>193</v>
      </c>
      <c r="AD60" s="28">
        <v>1.1299999999999999</v>
      </c>
      <c r="AE60" s="28">
        <v>1.1000000000000001</v>
      </c>
      <c r="AF60" s="28">
        <v>3.1</v>
      </c>
      <c r="AG60" s="22">
        <v>1.1299999999999999</v>
      </c>
      <c r="AH60" s="28">
        <v>1.0900000000000001</v>
      </c>
      <c r="AI60" s="22">
        <v>1.06</v>
      </c>
      <c r="AJ60" s="20" t="s">
        <v>193</v>
      </c>
      <c r="AK60" s="28" t="s">
        <v>193</v>
      </c>
      <c r="AL60" s="22">
        <v>2.92</v>
      </c>
      <c r="AM60" s="35">
        <v>2.4700000000000002</v>
      </c>
      <c r="AN60" s="35">
        <v>1.65</v>
      </c>
      <c r="AO60" s="35">
        <v>1.1299999999999999</v>
      </c>
      <c r="AP60" s="23">
        <v>0.99</v>
      </c>
      <c r="AQ60" s="23">
        <v>1.83</v>
      </c>
      <c r="AR60" s="23">
        <v>2.4700000000000002</v>
      </c>
      <c r="AS60" s="35">
        <v>4.4800000000000004</v>
      </c>
      <c r="AT60" s="35">
        <v>1.32</v>
      </c>
      <c r="AU60" s="23">
        <v>2.0299999999999998</v>
      </c>
      <c r="AV60" s="23">
        <v>1.85</v>
      </c>
      <c r="AW60" s="23">
        <v>1.9419999999999999</v>
      </c>
      <c r="AX60" s="23">
        <v>1.8240000000000001</v>
      </c>
      <c r="AY60" s="23">
        <v>1.6479999999999999</v>
      </c>
      <c r="AZ60" s="28">
        <v>28.2</v>
      </c>
      <c r="BA60" s="28">
        <v>1204.1500000000001</v>
      </c>
      <c r="BB60" s="28">
        <v>3290.15</v>
      </c>
      <c r="BC60" s="28">
        <v>6.77</v>
      </c>
      <c r="BD60" s="28">
        <v>0.19</v>
      </c>
      <c r="BE60" s="28">
        <v>6.89</v>
      </c>
      <c r="BF60" s="26">
        <v>296.8</v>
      </c>
      <c r="BG60" s="26">
        <v>356</v>
      </c>
      <c r="BH60" s="28">
        <v>12.5</v>
      </c>
      <c r="BI60" s="26">
        <v>6.7000000000000002E-6</v>
      </c>
      <c r="BJ60" s="28">
        <v>3.7</v>
      </c>
      <c r="BK60" s="26">
        <v>28.8</v>
      </c>
      <c r="BL60" s="26">
        <v>15</v>
      </c>
      <c r="BM60" s="26">
        <v>37</v>
      </c>
      <c r="BN60" s="26">
        <v>0.4</v>
      </c>
      <c r="BO60" s="26">
        <v>0.48099999999999998</v>
      </c>
      <c r="BP60" s="26">
        <v>6.9999999999999997E-7</v>
      </c>
      <c r="BQ60" s="26">
        <v>1400000</v>
      </c>
      <c r="BR60" s="27">
        <v>11.4</v>
      </c>
      <c r="BS60" s="27">
        <v>2.8999999999999998E-3</v>
      </c>
      <c r="BT60" s="27">
        <v>39</v>
      </c>
      <c r="BU60" s="27">
        <v>1</v>
      </c>
      <c r="BV60" s="27">
        <v>2.564102564102564E-2</v>
      </c>
      <c r="BW60" s="27">
        <v>1</v>
      </c>
      <c r="BX60" s="28">
        <v>9.3924463216538051E-6</v>
      </c>
      <c r="BY60" s="28">
        <v>5.4428001274820542E-12</v>
      </c>
      <c r="BZ60" s="30">
        <v>9476</v>
      </c>
      <c r="CA60" s="30">
        <v>3129</v>
      </c>
      <c r="CB60" s="28">
        <v>170</v>
      </c>
    </row>
    <row r="61" spans="1:80" ht="16.2" x14ac:dyDescent="0.3">
      <c r="A61" s="15" t="s">
        <v>120</v>
      </c>
      <c r="B61" s="33" t="s">
        <v>119</v>
      </c>
      <c r="C61" s="35">
        <v>144.24199999999999</v>
      </c>
      <c r="D61" s="28">
        <v>60</v>
      </c>
      <c r="E61" s="28">
        <v>6</v>
      </c>
      <c r="F61" s="28">
        <v>3</v>
      </c>
      <c r="G61" s="18">
        <v>3</v>
      </c>
      <c r="H61" s="17">
        <v>1</v>
      </c>
      <c r="I61" s="28">
        <v>19</v>
      </c>
      <c r="J61" s="28">
        <v>3</v>
      </c>
      <c r="K61" s="28">
        <v>2</v>
      </c>
      <c r="L61" s="28">
        <v>0</v>
      </c>
      <c r="M61" s="28">
        <v>0</v>
      </c>
      <c r="N61" s="28">
        <v>4</v>
      </c>
      <c r="O61" s="19">
        <v>0</v>
      </c>
      <c r="P61" s="19">
        <v>6</v>
      </c>
      <c r="Q61" s="19">
        <v>10</v>
      </c>
      <c r="R61" s="19">
        <v>10</v>
      </c>
      <c r="S61" s="28">
        <v>6</v>
      </c>
      <c r="T61" s="28">
        <v>2</v>
      </c>
      <c r="U61" s="28">
        <v>3</v>
      </c>
      <c r="V61" s="19">
        <v>3.1</v>
      </c>
      <c r="W61" s="28">
        <v>3.1</v>
      </c>
      <c r="X61" s="21">
        <v>3.8220000000000001</v>
      </c>
      <c r="Y61" s="21">
        <v>1.585</v>
      </c>
      <c r="Z61" s="35">
        <v>5.5250000000000004</v>
      </c>
      <c r="AA61" s="21">
        <v>1.9176829268292683</v>
      </c>
      <c r="AB61" s="20" t="s">
        <v>193</v>
      </c>
      <c r="AC61" s="25" t="s">
        <v>193</v>
      </c>
      <c r="AD61" s="28">
        <v>1.1399999999999999</v>
      </c>
      <c r="AE61" s="28">
        <v>1.2</v>
      </c>
      <c r="AF61" s="28">
        <v>3.1</v>
      </c>
      <c r="AG61" s="22">
        <v>1.1399999999999999</v>
      </c>
      <c r="AH61" s="28">
        <v>1.0900000000000001</v>
      </c>
      <c r="AI61" s="22">
        <v>1.03</v>
      </c>
      <c r="AJ61" s="20" t="s">
        <v>193</v>
      </c>
      <c r="AK61" s="28" t="s">
        <v>193</v>
      </c>
      <c r="AL61" s="22">
        <v>4.28</v>
      </c>
      <c r="AM61" s="35">
        <v>2.06</v>
      </c>
      <c r="AN61" s="35">
        <v>1.84</v>
      </c>
      <c r="AO61" s="35">
        <v>1.43</v>
      </c>
      <c r="AP61" s="23">
        <v>1.29</v>
      </c>
      <c r="AQ61" s="23">
        <v>1.82</v>
      </c>
      <c r="AR61" s="23">
        <v>2.29</v>
      </c>
      <c r="AS61" s="35">
        <v>3.99</v>
      </c>
      <c r="AT61" s="35">
        <v>1.3</v>
      </c>
      <c r="AU61" s="23">
        <v>2.0099999999999998</v>
      </c>
      <c r="AV61" s="23">
        <v>1.85</v>
      </c>
      <c r="AW61" s="23">
        <v>1.9119999999999999</v>
      </c>
      <c r="AX61" s="23">
        <v>1.8180000000000001</v>
      </c>
      <c r="AY61" s="23">
        <v>1.6419999999999999</v>
      </c>
      <c r="AZ61" s="28">
        <v>31.4</v>
      </c>
      <c r="BA61" s="28">
        <v>1289.1500000000001</v>
      </c>
      <c r="BB61" s="28">
        <v>3400.15</v>
      </c>
      <c r="BC61" s="28">
        <v>7</v>
      </c>
      <c r="BD61" s="28">
        <v>0.19</v>
      </c>
      <c r="BE61" s="28">
        <v>7.14</v>
      </c>
      <c r="BF61" s="26">
        <v>273</v>
      </c>
      <c r="BG61" s="26">
        <v>328</v>
      </c>
      <c r="BH61" s="28">
        <v>16.5</v>
      </c>
      <c r="BI61" s="26">
        <v>9.5999999999999996E-6</v>
      </c>
      <c r="BJ61" s="28">
        <v>3.4</v>
      </c>
      <c r="BK61" s="26">
        <v>31.8</v>
      </c>
      <c r="BL61" s="26">
        <v>16</v>
      </c>
      <c r="BM61" s="26">
        <v>41</v>
      </c>
      <c r="BN61" s="26">
        <v>0.34300000000000003</v>
      </c>
      <c r="BO61" s="26">
        <v>0.26500000000000001</v>
      </c>
      <c r="BP61" s="26">
        <v>6.4000000000000001E-7</v>
      </c>
      <c r="BQ61" s="26">
        <v>1600000</v>
      </c>
      <c r="BR61" s="27">
        <v>49</v>
      </c>
      <c r="BS61" s="27">
        <v>1.0999999999999999E-2</v>
      </c>
      <c r="BT61" s="27">
        <v>38</v>
      </c>
      <c r="BU61" s="27">
        <v>5</v>
      </c>
      <c r="BV61" s="27">
        <v>0.13157894736842105</v>
      </c>
      <c r="BW61" s="27">
        <v>0.70599999999999996</v>
      </c>
      <c r="BX61" s="28">
        <v>4.2368100255286188E-5</v>
      </c>
      <c r="BY61" s="28">
        <v>2.6998767079343271E-11</v>
      </c>
      <c r="BZ61" s="30">
        <v>9476</v>
      </c>
      <c r="CA61" s="30">
        <v>3129</v>
      </c>
      <c r="CB61" s="28">
        <v>110</v>
      </c>
    </row>
    <row r="62" spans="1:80" ht="16.2" x14ac:dyDescent="0.3">
      <c r="A62" s="15" t="s">
        <v>122</v>
      </c>
      <c r="B62" s="33" t="s">
        <v>121</v>
      </c>
      <c r="C62" s="35">
        <v>144.9127</v>
      </c>
      <c r="D62" s="28">
        <v>61</v>
      </c>
      <c r="E62" s="28">
        <v>6</v>
      </c>
      <c r="F62" s="28">
        <v>3</v>
      </c>
      <c r="G62" s="18">
        <v>3</v>
      </c>
      <c r="H62" s="17">
        <v>1</v>
      </c>
      <c r="I62" s="28">
        <v>21</v>
      </c>
      <c r="J62" s="28">
        <v>3</v>
      </c>
      <c r="K62" s="28">
        <v>2</v>
      </c>
      <c r="L62" s="28">
        <v>0</v>
      </c>
      <c r="M62" s="28">
        <v>0</v>
      </c>
      <c r="N62" s="28">
        <v>5</v>
      </c>
      <c r="O62" s="19">
        <v>0</v>
      </c>
      <c r="P62" s="19">
        <v>6</v>
      </c>
      <c r="Q62" s="19">
        <v>10</v>
      </c>
      <c r="R62" s="19">
        <v>9</v>
      </c>
      <c r="S62" s="28">
        <v>7</v>
      </c>
      <c r="T62" s="28">
        <v>2</v>
      </c>
      <c r="U62" s="28">
        <v>3</v>
      </c>
      <c r="V62" s="20" t="s">
        <v>193</v>
      </c>
      <c r="W62" s="28">
        <v>3</v>
      </c>
      <c r="X62" s="21">
        <v>3.794</v>
      </c>
      <c r="Y62" s="21">
        <v>1.573</v>
      </c>
      <c r="Z62" s="35">
        <v>5.5819999999999999</v>
      </c>
      <c r="AA62" s="21">
        <v>0.125203738317757</v>
      </c>
      <c r="AB62" s="20" t="s">
        <v>193</v>
      </c>
      <c r="AC62" s="25" t="s">
        <v>193</v>
      </c>
      <c r="AD62" s="28">
        <v>1.1299999999999999</v>
      </c>
      <c r="AE62" s="28">
        <v>1.1499999999999999</v>
      </c>
      <c r="AF62" s="28">
        <v>3.1</v>
      </c>
      <c r="AG62" s="32">
        <v>1.1599999999999999</v>
      </c>
      <c r="AH62" s="28">
        <v>1.0900000000000001</v>
      </c>
      <c r="AI62" s="22">
        <v>1.04</v>
      </c>
      <c r="AJ62" s="20" t="s">
        <v>193</v>
      </c>
      <c r="AK62" s="28" t="s">
        <v>193</v>
      </c>
      <c r="AL62" s="22">
        <v>6</v>
      </c>
      <c r="AM62" s="35">
        <v>2.0499999999999998</v>
      </c>
      <c r="AN62" s="35">
        <v>1.63</v>
      </c>
      <c r="AO62" s="35">
        <v>1.1100000000000001</v>
      </c>
      <c r="AP62" s="23">
        <v>0.97</v>
      </c>
      <c r="AQ62" s="23">
        <v>1.85</v>
      </c>
      <c r="AR62" s="23">
        <v>2.4300000000000002</v>
      </c>
      <c r="AS62" s="35">
        <v>3.99</v>
      </c>
      <c r="AT62" s="35">
        <v>1.28</v>
      </c>
      <c r="AU62" s="23">
        <v>1.99</v>
      </c>
      <c r="AV62" s="23">
        <v>1.85</v>
      </c>
      <c r="AW62" s="23">
        <v>1.8819999999999999</v>
      </c>
      <c r="AX62" s="25" t="s">
        <v>193</v>
      </c>
      <c r="AY62" s="25" t="s">
        <v>193</v>
      </c>
      <c r="AZ62" s="28">
        <v>30.1</v>
      </c>
      <c r="BA62" s="28">
        <v>1315.15</v>
      </c>
      <c r="BB62" s="28">
        <v>3273.15</v>
      </c>
      <c r="BC62" s="28">
        <v>7.26</v>
      </c>
      <c r="BD62" s="28">
        <v>0.18</v>
      </c>
      <c r="BE62" s="28">
        <v>7.88</v>
      </c>
      <c r="BF62" s="26">
        <v>214</v>
      </c>
      <c r="BG62" s="26">
        <v>301</v>
      </c>
      <c r="BH62" s="28">
        <v>15</v>
      </c>
      <c r="BI62" s="26">
        <v>1.1E-5</v>
      </c>
      <c r="BJ62" s="28">
        <v>3.2</v>
      </c>
      <c r="BK62" s="26">
        <v>33</v>
      </c>
      <c r="BL62" s="26">
        <v>18</v>
      </c>
      <c r="BM62" s="26">
        <v>46</v>
      </c>
      <c r="BN62" s="26">
        <v>0.41</v>
      </c>
      <c r="BO62" s="26">
        <v>0.44</v>
      </c>
      <c r="BP62" s="26">
        <v>7.5000000000000002E-7</v>
      </c>
      <c r="BQ62" s="26">
        <v>1300000</v>
      </c>
      <c r="BR62" s="27">
        <v>8400</v>
      </c>
      <c r="BS62" s="20" t="s">
        <v>193</v>
      </c>
      <c r="BT62" s="27">
        <v>38</v>
      </c>
      <c r="BU62" s="27">
        <v>0</v>
      </c>
      <c r="BV62" s="27">
        <v>0</v>
      </c>
      <c r="BW62" s="27">
        <v>0</v>
      </c>
      <c r="BX62" s="20" t="s">
        <v>193</v>
      </c>
      <c r="BY62" s="28">
        <v>3.2611145161665988E-11</v>
      </c>
      <c r="BZ62" s="30">
        <v>9476</v>
      </c>
      <c r="CA62" s="30">
        <v>3129</v>
      </c>
      <c r="CB62" s="20" t="s">
        <v>193</v>
      </c>
    </row>
    <row r="63" spans="1:80" ht="16.2" x14ac:dyDescent="0.3">
      <c r="A63" s="15" t="s">
        <v>124</v>
      </c>
      <c r="B63" s="33" t="s">
        <v>123</v>
      </c>
      <c r="C63" s="35">
        <v>150.36000000000001</v>
      </c>
      <c r="D63" s="28">
        <v>62</v>
      </c>
      <c r="E63" s="28">
        <v>6</v>
      </c>
      <c r="F63" s="28">
        <v>3</v>
      </c>
      <c r="G63" s="18">
        <v>3</v>
      </c>
      <c r="H63" s="17">
        <v>1</v>
      </c>
      <c r="I63" s="28">
        <v>23</v>
      </c>
      <c r="J63" s="28">
        <v>3</v>
      </c>
      <c r="K63" s="28">
        <v>2</v>
      </c>
      <c r="L63" s="28">
        <v>0</v>
      </c>
      <c r="M63" s="28">
        <v>0</v>
      </c>
      <c r="N63" s="28">
        <v>6</v>
      </c>
      <c r="O63" s="19">
        <v>0</v>
      </c>
      <c r="P63" s="19">
        <v>6</v>
      </c>
      <c r="Q63" s="19">
        <v>10</v>
      </c>
      <c r="R63" s="19">
        <v>8</v>
      </c>
      <c r="S63" s="28">
        <v>8</v>
      </c>
      <c r="T63" s="28">
        <v>2</v>
      </c>
      <c r="U63" s="28">
        <v>3</v>
      </c>
      <c r="V63" s="19">
        <v>2.8</v>
      </c>
      <c r="W63" s="28">
        <v>2.8</v>
      </c>
      <c r="X63" s="21">
        <v>3.847</v>
      </c>
      <c r="Y63" s="21">
        <v>1.575</v>
      </c>
      <c r="Z63" s="35">
        <v>5.6436999999999999</v>
      </c>
      <c r="AA63" s="21">
        <v>0.16568660550458716</v>
      </c>
      <c r="AB63" s="20" t="s">
        <v>193</v>
      </c>
      <c r="AC63" s="25" t="s">
        <v>193</v>
      </c>
      <c r="AD63" s="28">
        <v>1.17</v>
      </c>
      <c r="AE63" s="28">
        <v>1.2</v>
      </c>
      <c r="AF63" s="28">
        <v>3.1</v>
      </c>
      <c r="AG63" s="22">
        <v>1.17</v>
      </c>
      <c r="AH63" s="28">
        <v>1.0900000000000001</v>
      </c>
      <c r="AI63" s="22">
        <v>1.05</v>
      </c>
      <c r="AJ63" s="20" t="s">
        <v>193</v>
      </c>
      <c r="AK63" s="28" t="s">
        <v>193</v>
      </c>
      <c r="AL63" s="22">
        <v>8.1300000000000008</v>
      </c>
      <c r="AM63" s="35">
        <v>2.38</v>
      </c>
      <c r="AN63" s="35">
        <v>1.62</v>
      </c>
      <c r="AO63" s="35">
        <v>1.36</v>
      </c>
      <c r="AP63" s="23">
        <v>1.22</v>
      </c>
      <c r="AQ63" s="23">
        <v>1.85</v>
      </c>
      <c r="AR63" s="23">
        <v>2.42</v>
      </c>
      <c r="AS63" s="35">
        <v>4.1399999999999997</v>
      </c>
      <c r="AT63" s="35">
        <v>1.1000000000000001</v>
      </c>
      <c r="AU63" s="23">
        <v>1.98</v>
      </c>
      <c r="AV63" s="23">
        <v>1.85</v>
      </c>
      <c r="AW63" s="23">
        <v>1.8540000000000001</v>
      </c>
      <c r="AX63" s="23">
        <v>1.85</v>
      </c>
      <c r="AY63" s="23">
        <v>1.66</v>
      </c>
      <c r="AZ63" s="28">
        <v>28.8</v>
      </c>
      <c r="BA63" s="28">
        <v>1347.15</v>
      </c>
      <c r="BB63" s="28">
        <v>2067.15</v>
      </c>
      <c r="BC63" s="28">
        <v>7.52</v>
      </c>
      <c r="BD63" s="28">
        <v>0.2</v>
      </c>
      <c r="BE63" s="28">
        <v>8.6300000000000008</v>
      </c>
      <c r="BF63" s="26">
        <v>166.4</v>
      </c>
      <c r="BG63" s="26">
        <v>207</v>
      </c>
      <c r="BH63" s="28">
        <v>13.3</v>
      </c>
      <c r="BI63" s="26">
        <v>1.27E-5</v>
      </c>
      <c r="BJ63" s="28">
        <v>2.14</v>
      </c>
      <c r="BK63" s="26">
        <v>37.799999999999997</v>
      </c>
      <c r="BL63" s="26">
        <v>20</v>
      </c>
      <c r="BM63" s="26">
        <v>50</v>
      </c>
      <c r="BN63" s="26">
        <v>0.41199999999999998</v>
      </c>
      <c r="BO63" s="26">
        <v>0.441</v>
      </c>
      <c r="BP63" s="26">
        <v>9.4E-7</v>
      </c>
      <c r="BQ63" s="26">
        <v>1100000</v>
      </c>
      <c r="BR63" s="27">
        <v>5900</v>
      </c>
      <c r="BS63" s="27">
        <v>4.7</v>
      </c>
      <c r="BT63" s="27">
        <v>38</v>
      </c>
      <c r="BU63" s="27">
        <v>5</v>
      </c>
      <c r="BV63" s="27">
        <v>0.13157894736842105</v>
      </c>
      <c r="BW63" s="27">
        <v>0.73770000000000002</v>
      </c>
      <c r="BX63" s="28">
        <v>7.1974724530064485E-6</v>
      </c>
      <c r="BY63" s="28">
        <v>8.4201976807421572E-12</v>
      </c>
      <c r="BZ63" s="30">
        <v>9476</v>
      </c>
      <c r="CA63" s="30">
        <v>3129</v>
      </c>
      <c r="CB63" s="28">
        <v>130</v>
      </c>
    </row>
    <row r="64" spans="1:80" ht="16.2" x14ac:dyDescent="0.3">
      <c r="A64" s="15" t="s">
        <v>126</v>
      </c>
      <c r="B64" s="33" t="s">
        <v>125</v>
      </c>
      <c r="C64" s="35">
        <v>151.965</v>
      </c>
      <c r="D64" s="28">
        <v>63</v>
      </c>
      <c r="E64" s="28">
        <v>6</v>
      </c>
      <c r="F64" s="28">
        <v>3</v>
      </c>
      <c r="G64" s="18">
        <v>3</v>
      </c>
      <c r="H64" s="17">
        <v>1</v>
      </c>
      <c r="I64" s="28">
        <v>25</v>
      </c>
      <c r="J64" s="28">
        <v>3</v>
      </c>
      <c r="K64" s="28">
        <v>2</v>
      </c>
      <c r="L64" s="28">
        <v>0</v>
      </c>
      <c r="M64" s="28">
        <v>0</v>
      </c>
      <c r="N64" s="28">
        <v>7</v>
      </c>
      <c r="O64" s="19">
        <v>0</v>
      </c>
      <c r="P64" s="19">
        <v>6</v>
      </c>
      <c r="Q64" s="19">
        <v>10</v>
      </c>
      <c r="R64" s="19">
        <v>7</v>
      </c>
      <c r="S64" s="28">
        <v>9</v>
      </c>
      <c r="T64" s="28">
        <v>2</v>
      </c>
      <c r="U64" s="28">
        <v>3</v>
      </c>
      <c r="V64" s="19">
        <v>2</v>
      </c>
      <c r="W64" s="28">
        <v>2</v>
      </c>
      <c r="X64" s="21">
        <v>3.871</v>
      </c>
      <c r="Y64" s="21">
        <v>1.5649999999999999</v>
      </c>
      <c r="Z64" s="35">
        <v>5.6703999999999999</v>
      </c>
      <c r="AA64" s="21">
        <v>0.86040804387568548</v>
      </c>
      <c r="AB64" s="20" t="s">
        <v>193</v>
      </c>
      <c r="AC64" s="25" t="s">
        <v>193</v>
      </c>
      <c r="AD64" s="28">
        <v>1.2</v>
      </c>
      <c r="AE64" s="28">
        <v>1.1499999999999999</v>
      </c>
      <c r="AF64" s="28">
        <v>3.1</v>
      </c>
      <c r="AG64" s="32">
        <v>1.18</v>
      </c>
      <c r="AH64" s="28">
        <v>1.0900000000000001</v>
      </c>
      <c r="AI64" s="22">
        <v>1.06</v>
      </c>
      <c r="AJ64" s="20" t="s">
        <v>193</v>
      </c>
      <c r="AK64" s="28" t="s">
        <v>193</v>
      </c>
      <c r="AL64" s="22">
        <v>10.7</v>
      </c>
      <c r="AM64" s="35">
        <v>2.31</v>
      </c>
      <c r="AN64" s="35">
        <v>1.85</v>
      </c>
      <c r="AO64" s="35">
        <v>1.31</v>
      </c>
      <c r="AP64" s="23">
        <v>1.17</v>
      </c>
      <c r="AQ64" s="23">
        <v>1.96</v>
      </c>
      <c r="AR64" s="23">
        <v>2.4</v>
      </c>
      <c r="AS64" s="35">
        <v>3.94</v>
      </c>
      <c r="AT64" s="35">
        <v>1.31</v>
      </c>
      <c r="AU64" s="23">
        <v>1.98</v>
      </c>
      <c r="AV64" s="23">
        <v>1.85</v>
      </c>
      <c r="AW64" s="23">
        <v>1.8259999999999998</v>
      </c>
      <c r="AX64" s="23">
        <v>2.0840000000000001</v>
      </c>
      <c r="AY64" s="23">
        <v>1.85</v>
      </c>
      <c r="AZ64" s="28">
        <v>27.7</v>
      </c>
      <c r="BA64" s="28">
        <v>1095.1500000000001</v>
      </c>
      <c r="BB64" s="28">
        <v>1802.15</v>
      </c>
      <c r="BC64" s="28">
        <v>5.24</v>
      </c>
      <c r="BD64" s="28">
        <v>0.18</v>
      </c>
      <c r="BE64" s="28">
        <v>9.2100000000000009</v>
      </c>
      <c r="BF64" s="26">
        <v>143.5</v>
      </c>
      <c r="BG64" s="26">
        <v>178</v>
      </c>
      <c r="BH64" s="28">
        <v>13.9</v>
      </c>
      <c r="BI64" s="26">
        <v>3.4999999999999997E-5</v>
      </c>
      <c r="BJ64" s="28">
        <v>1.86</v>
      </c>
      <c r="BK64" s="26">
        <v>14.7</v>
      </c>
      <c r="BL64" s="26">
        <v>7.9</v>
      </c>
      <c r="BM64" s="26">
        <v>18</v>
      </c>
      <c r="BN64" s="26">
        <v>0.16700000000000001</v>
      </c>
      <c r="BO64" s="20" t="s">
        <v>193</v>
      </c>
      <c r="BP64" s="26">
        <v>8.9999999999999996E-7</v>
      </c>
      <c r="BQ64" s="26">
        <v>1100000</v>
      </c>
      <c r="BR64" s="27">
        <v>4570</v>
      </c>
      <c r="BS64" s="27">
        <v>0.6</v>
      </c>
      <c r="BT64" s="27">
        <v>38</v>
      </c>
      <c r="BU64" s="27">
        <v>2</v>
      </c>
      <c r="BV64" s="27">
        <v>5.2631578947368418E-2</v>
      </c>
      <c r="BW64" s="27">
        <v>1</v>
      </c>
      <c r="BX64" s="28">
        <v>2.0418361568812623E-6</v>
      </c>
      <c r="BY64" s="28">
        <v>3.1730644242301004E-12</v>
      </c>
      <c r="BZ64" s="30">
        <v>9476</v>
      </c>
      <c r="CA64" s="30">
        <v>3129</v>
      </c>
      <c r="CB64" s="28">
        <v>3600</v>
      </c>
    </row>
    <row r="65" spans="1:80" ht="16.2" x14ac:dyDescent="0.3">
      <c r="A65" s="15" t="s">
        <v>128</v>
      </c>
      <c r="B65" s="33" t="s">
        <v>127</v>
      </c>
      <c r="C65" s="35">
        <v>157.25</v>
      </c>
      <c r="D65" s="28">
        <v>64</v>
      </c>
      <c r="E65" s="28">
        <v>6</v>
      </c>
      <c r="F65" s="28">
        <v>3</v>
      </c>
      <c r="G65" s="18">
        <v>3</v>
      </c>
      <c r="H65" s="17">
        <v>1</v>
      </c>
      <c r="I65" s="28">
        <v>27</v>
      </c>
      <c r="J65" s="28">
        <v>3</v>
      </c>
      <c r="K65" s="28">
        <v>2</v>
      </c>
      <c r="L65" s="28">
        <v>0</v>
      </c>
      <c r="M65" s="28">
        <v>1</v>
      </c>
      <c r="N65" s="28">
        <v>7</v>
      </c>
      <c r="O65" s="19">
        <v>0</v>
      </c>
      <c r="P65" s="19">
        <v>6</v>
      </c>
      <c r="Q65" s="19">
        <v>9</v>
      </c>
      <c r="R65" s="19">
        <v>7</v>
      </c>
      <c r="S65" s="28">
        <v>10</v>
      </c>
      <c r="T65" s="28">
        <v>2</v>
      </c>
      <c r="U65" s="28">
        <v>3</v>
      </c>
      <c r="V65" s="19">
        <v>3</v>
      </c>
      <c r="W65" s="28">
        <v>3</v>
      </c>
      <c r="X65" s="21">
        <v>4.0339999999999998</v>
      </c>
      <c r="Y65" s="21">
        <v>1.5009999999999999</v>
      </c>
      <c r="Z65" s="35">
        <v>6.1497999999999999</v>
      </c>
      <c r="AA65" s="21">
        <v>0.1348185497470489</v>
      </c>
      <c r="AB65" s="20" t="s">
        <v>193</v>
      </c>
      <c r="AC65" s="25" t="s">
        <v>193</v>
      </c>
      <c r="AD65" s="28">
        <v>1.2</v>
      </c>
      <c r="AE65" s="28">
        <v>1.1000000000000001</v>
      </c>
      <c r="AF65" s="28">
        <v>3.1</v>
      </c>
      <c r="AG65" s="22">
        <v>1.2</v>
      </c>
      <c r="AH65" s="28">
        <v>1.0900000000000001</v>
      </c>
      <c r="AI65" s="22">
        <v>1.1000000000000001</v>
      </c>
      <c r="AJ65" s="20" t="s">
        <v>193</v>
      </c>
      <c r="AK65" s="28" t="s">
        <v>193</v>
      </c>
      <c r="AL65" s="22">
        <v>13.8</v>
      </c>
      <c r="AM65" s="35">
        <v>2.33</v>
      </c>
      <c r="AN65" s="35">
        <v>1.61</v>
      </c>
      <c r="AO65" s="35">
        <v>1.08</v>
      </c>
      <c r="AP65" s="23">
        <v>0.94</v>
      </c>
      <c r="AQ65" s="23">
        <v>1.76</v>
      </c>
      <c r="AR65" s="23">
        <v>2.38</v>
      </c>
      <c r="AS65" s="35">
        <v>3.91</v>
      </c>
      <c r="AT65" s="35">
        <v>1.08</v>
      </c>
      <c r="AU65" s="23">
        <v>1.96</v>
      </c>
      <c r="AV65" s="23">
        <v>1.8</v>
      </c>
      <c r="AW65" s="23">
        <v>1.7130000000000001</v>
      </c>
      <c r="AX65" s="23">
        <v>1.7949999999999999</v>
      </c>
      <c r="AY65" s="23">
        <v>1.6140000000000001</v>
      </c>
      <c r="AZ65" s="28">
        <v>23.5</v>
      </c>
      <c r="BA65" s="28">
        <v>1586.15</v>
      </c>
      <c r="BB65" s="28">
        <v>3546.15</v>
      </c>
      <c r="BC65" s="28">
        <v>7.9</v>
      </c>
      <c r="BD65" s="28">
        <v>0.23</v>
      </c>
      <c r="BE65" s="28">
        <v>10.050000000000001</v>
      </c>
      <c r="BF65" s="26">
        <v>359.4</v>
      </c>
      <c r="BG65" s="26">
        <v>398</v>
      </c>
      <c r="BH65" s="28">
        <v>10.6</v>
      </c>
      <c r="BI65" s="26">
        <v>9.3999999999999998E-6</v>
      </c>
      <c r="BJ65" s="28">
        <v>4.1399999999999997</v>
      </c>
      <c r="BK65" s="26">
        <v>37.9</v>
      </c>
      <c r="BL65" s="26">
        <v>22</v>
      </c>
      <c r="BM65" s="26">
        <v>55</v>
      </c>
      <c r="BN65" s="26">
        <v>0.56999999999999995</v>
      </c>
      <c r="BO65" s="26">
        <v>0.18</v>
      </c>
      <c r="BP65" s="26">
        <v>1.3E-6</v>
      </c>
      <c r="BQ65" s="26">
        <v>770000</v>
      </c>
      <c r="BR65" s="27">
        <v>49000</v>
      </c>
      <c r="BS65" s="27">
        <v>7.3</v>
      </c>
      <c r="BT65" s="27">
        <v>36</v>
      </c>
      <c r="BU65" s="27">
        <v>6</v>
      </c>
      <c r="BV65" s="27">
        <v>0.16666666666666666</v>
      </c>
      <c r="BW65" s="27">
        <v>0.998</v>
      </c>
      <c r="BX65" s="28">
        <v>6.3296920863319124E-6</v>
      </c>
      <c r="BY65" s="28">
        <v>1.0761677903349777E-11</v>
      </c>
      <c r="BZ65" s="30">
        <v>9476</v>
      </c>
      <c r="CA65" s="30">
        <v>3129</v>
      </c>
      <c r="CB65" s="28">
        <v>191</v>
      </c>
    </row>
    <row r="66" spans="1:80" ht="16.2" x14ac:dyDescent="0.3">
      <c r="A66" s="15" t="s">
        <v>130</v>
      </c>
      <c r="B66" s="33" t="s">
        <v>129</v>
      </c>
      <c r="C66" s="35">
        <v>158.92534000000001</v>
      </c>
      <c r="D66" s="28">
        <v>65</v>
      </c>
      <c r="E66" s="28">
        <v>6</v>
      </c>
      <c r="F66" s="28">
        <v>3</v>
      </c>
      <c r="G66" s="18">
        <v>3</v>
      </c>
      <c r="H66" s="17">
        <v>1</v>
      </c>
      <c r="I66" s="28">
        <v>29</v>
      </c>
      <c r="J66" s="28">
        <v>3</v>
      </c>
      <c r="K66" s="28">
        <v>2</v>
      </c>
      <c r="L66" s="28">
        <v>0</v>
      </c>
      <c r="M66" s="28">
        <v>0</v>
      </c>
      <c r="N66" s="28">
        <v>9</v>
      </c>
      <c r="O66" s="19">
        <v>0</v>
      </c>
      <c r="P66" s="19">
        <v>6</v>
      </c>
      <c r="Q66" s="19">
        <v>10</v>
      </c>
      <c r="R66" s="19">
        <v>5</v>
      </c>
      <c r="S66" s="28">
        <v>11</v>
      </c>
      <c r="T66" s="28">
        <v>2</v>
      </c>
      <c r="U66" s="28">
        <v>3</v>
      </c>
      <c r="V66" s="19">
        <v>3</v>
      </c>
      <c r="W66" s="28">
        <v>3</v>
      </c>
      <c r="X66" s="21">
        <v>3.976</v>
      </c>
      <c r="Y66" s="21">
        <v>1.5229999999999999</v>
      </c>
      <c r="Z66" s="35">
        <v>5.8638000000000003</v>
      </c>
      <c r="AA66" s="21">
        <v>1.1542101933216169</v>
      </c>
      <c r="AB66" s="20" t="s">
        <v>193</v>
      </c>
      <c r="AC66" s="25" t="s">
        <v>193</v>
      </c>
      <c r="AD66" s="28">
        <v>1.2</v>
      </c>
      <c r="AE66" s="28">
        <v>1.2</v>
      </c>
      <c r="AF66" s="28">
        <v>3.1</v>
      </c>
      <c r="AG66" s="32">
        <v>1.21</v>
      </c>
      <c r="AH66" s="28">
        <v>1.0900000000000001</v>
      </c>
      <c r="AI66" s="22">
        <v>1.08</v>
      </c>
      <c r="AJ66" s="20" t="s">
        <v>193</v>
      </c>
      <c r="AK66" s="28" t="s">
        <v>193</v>
      </c>
      <c r="AL66" s="22">
        <v>17.399999999999999</v>
      </c>
      <c r="AM66" s="35">
        <v>2.25</v>
      </c>
      <c r="AN66" s="35">
        <v>1.59</v>
      </c>
      <c r="AO66" s="35">
        <v>1.06</v>
      </c>
      <c r="AP66" s="23">
        <v>0.92</v>
      </c>
      <c r="AQ66" s="23">
        <v>1.76</v>
      </c>
      <c r="AR66" s="23">
        <v>2.37</v>
      </c>
      <c r="AS66" s="35">
        <v>3.89</v>
      </c>
      <c r="AT66" s="35">
        <v>1.18</v>
      </c>
      <c r="AU66" s="23">
        <v>1.94</v>
      </c>
      <c r="AV66" s="23">
        <v>1.75</v>
      </c>
      <c r="AW66" s="23">
        <v>1.7749999999999999</v>
      </c>
      <c r="AX66" s="23">
        <v>1.7729999999999999</v>
      </c>
      <c r="AY66" s="23">
        <v>1.5920000000000001</v>
      </c>
      <c r="AZ66" s="28">
        <v>25.5</v>
      </c>
      <c r="BA66" s="28">
        <v>1638.15</v>
      </c>
      <c r="BB66" s="28">
        <v>3503.15</v>
      </c>
      <c r="BC66" s="28">
        <v>8.23</v>
      </c>
      <c r="BD66" s="28">
        <v>0.18</v>
      </c>
      <c r="BE66" s="28">
        <v>10.8</v>
      </c>
      <c r="BF66" s="26">
        <v>330.9</v>
      </c>
      <c r="BG66" s="26">
        <v>389</v>
      </c>
      <c r="BH66" s="28">
        <v>11.1</v>
      </c>
      <c r="BI66" s="26">
        <v>1.03E-5</v>
      </c>
      <c r="BJ66" s="28">
        <v>4.05</v>
      </c>
      <c r="BK66" s="26">
        <v>38.700000000000003</v>
      </c>
      <c r="BL66" s="26">
        <v>22</v>
      </c>
      <c r="BM66" s="26">
        <v>56</v>
      </c>
      <c r="BN66" s="26">
        <v>0.86299999999999999</v>
      </c>
      <c r="BO66" s="26">
        <v>0.67700000000000005</v>
      </c>
      <c r="BP66" s="26">
        <v>1.1999999999999999E-6</v>
      </c>
      <c r="BQ66" s="26">
        <v>830000</v>
      </c>
      <c r="BR66" s="27">
        <v>23</v>
      </c>
      <c r="BS66" s="27">
        <v>8.9999999999999993E-3</v>
      </c>
      <c r="BT66" s="27">
        <v>36</v>
      </c>
      <c r="BU66" s="27">
        <v>1</v>
      </c>
      <c r="BV66" s="27">
        <v>2.7777777777777776E-2</v>
      </c>
      <c r="BW66" s="27">
        <v>1</v>
      </c>
      <c r="BX66" s="28">
        <v>1.2251016941287572E-6</v>
      </c>
      <c r="BY66" s="28">
        <v>1.966452053248459E-12</v>
      </c>
      <c r="BZ66" s="30">
        <v>9476</v>
      </c>
      <c r="CA66" s="30">
        <v>3129</v>
      </c>
      <c r="CB66" s="28">
        <v>1800</v>
      </c>
    </row>
    <row r="67" spans="1:80" ht="16.2" x14ac:dyDescent="0.3">
      <c r="A67" s="15" t="s">
        <v>132</v>
      </c>
      <c r="B67" s="33" t="s">
        <v>131</v>
      </c>
      <c r="C67" s="35">
        <v>162.5</v>
      </c>
      <c r="D67" s="28">
        <v>66</v>
      </c>
      <c r="E67" s="28">
        <v>6</v>
      </c>
      <c r="F67" s="28">
        <v>3</v>
      </c>
      <c r="G67" s="18">
        <v>3</v>
      </c>
      <c r="H67" s="17">
        <v>1</v>
      </c>
      <c r="I67" s="28">
        <v>31</v>
      </c>
      <c r="J67" s="28">
        <v>3</v>
      </c>
      <c r="K67" s="28">
        <v>2</v>
      </c>
      <c r="L67" s="28">
        <v>0</v>
      </c>
      <c r="M67" s="28">
        <v>0</v>
      </c>
      <c r="N67" s="28">
        <v>10</v>
      </c>
      <c r="O67" s="19">
        <v>0</v>
      </c>
      <c r="P67" s="19">
        <v>6</v>
      </c>
      <c r="Q67" s="19">
        <v>10</v>
      </c>
      <c r="R67" s="19">
        <v>4</v>
      </c>
      <c r="S67" s="28">
        <v>12</v>
      </c>
      <c r="T67" s="28">
        <v>2</v>
      </c>
      <c r="U67" s="28">
        <v>3</v>
      </c>
      <c r="V67" s="19">
        <v>3</v>
      </c>
      <c r="W67" s="28">
        <v>3</v>
      </c>
      <c r="X67" s="21">
        <v>3.9630000000000001</v>
      </c>
      <c r="Y67" s="21">
        <v>1.5289999999999999</v>
      </c>
      <c r="Z67" s="35">
        <v>5.9389000000000003</v>
      </c>
      <c r="AA67" s="21">
        <v>0.35239546247818498</v>
      </c>
      <c r="AB67" s="20" t="s">
        <v>193</v>
      </c>
      <c r="AC67" s="25" t="s">
        <v>193</v>
      </c>
      <c r="AD67" s="28">
        <v>1.22</v>
      </c>
      <c r="AE67" s="28">
        <v>1.1499999999999999</v>
      </c>
      <c r="AF67" s="28">
        <v>3.1</v>
      </c>
      <c r="AG67" s="22">
        <v>1.22</v>
      </c>
      <c r="AH67" s="28">
        <v>1.0900000000000001</v>
      </c>
      <c r="AI67" s="22">
        <v>1.0900000000000001</v>
      </c>
      <c r="AJ67" s="20" t="s">
        <v>193</v>
      </c>
      <c r="AK67" s="28" t="s">
        <v>193</v>
      </c>
      <c r="AL67" s="22">
        <v>21.6</v>
      </c>
      <c r="AM67" s="35">
        <v>2.2799999999999998</v>
      </c>
      <c r="AN67" s="35">
        <v>1.59</v>
      </c>
      <c r="AO67" s="35">
        <v>1.05</v>
      </c>
      <c r="AP67" s="23">
        <v>1.07</v>
      </c>
      <c r="AQ67" s="23">
        <v>1.75</v>
      </c>
      <c r="AR67" s="23">
        <v>2.35</v>
      </c>
      <c r="AS67" s="35">
        <v>3.67</v>
      </c>
      <c r="AT67" s="35">
        <v>1.05</v>
      </c>
      <c r="AU67" s="23">
        <v>1.92</v>
      </c>
      <c r="AV67" s="23">
        <v>1.75</v>
      </c>
      <c r="AW67" s="23">
        <v>1.75</v>
      </c>
      <c r="AX67" s="23">
        <v>1.77</v>
      </c>
      <c r="AY67" s="23">
        <v>1.589</v>
      </c>
      <c r="AZ67" s="28">
        <v>24.5</v>
      </c>
      <c r="BA67" s="28">
        <v>1685.15</v>
      </c>
      <c r="BB67" s="28">
        <v>2840.15</v>
      </c>
      <c r="BC67" s="28">
        <v>8.5500000000000007</v>
      </c>
      <c r="BD67" s="28">
        <v>0.17</v>
      </c>
      <c r="BE67" s="28">
        <v>11.06</v>
      </c>
      <c r="BF67" s="26">
        <v>230.1</v>
      </c>
      <c r="BG67" s="26">
        <v>291</v>
      </c>
      <c r="BH67" s="28">
        <v>10.7</v>
      </c>
      <c r="BI67" s="26">
        <v>1.0000000000000001E-5</v>
      </c>
      <c r="BJ67" s="28">
        <v>3.04</v>
      </c>
      <c r="BK67" s="26">
        <v>40.5</v>
      </c>
      <c r="BL67" s="26">
        <v>25</v>
      </c>
      <c r="BM67" s="26">
        <v>61</v>
      </c>
      <c r="BN67" s="26">
        <v>0.54</v>
      </c>
      <c r="BO67" s="26">
        <v>0.5</v>
      </c>
      <c r="BP67" s="26">
        <v>9.0999999999999997E-7</v>
      </c>
      <c r="BQ67" s="26">
        <v>1100000</v>
      </c>
      <c r="BR67" s="27">
        <v>950</v>
      </c>
      <c r="BS67" s="27">
        <v>0.2</v>
      </c>
      <c r="BT67" s="27">
        <v>36</v>
      </c>
      <c r="BU67" s="27">
        <v>7</v>
      </c>
      <c r="BV67" s="27">
        <v>0.19444444444444445</v>
      </c>
      <c r="BW67" s="27">
        <v>1</v>
      </c>
      <c r="BX67" s="28">
        <v>5.3087740078912821E-6</v>
      </c>
      <c r="BY67" s="28">
        <v>1.2855313422728733E-11</v>
      </c>
      <c r="BZ67" s="30">
        <v>9476</v>
      </c>
      <c r="CA67" s="30">
        <v>3129</v>
      </c>
      <c r="CB67" s="28">
        <v>210</v>
      </c>
    </row>
    <row r="68" spans="1:80" ht="16.2" x14ac:dyDescent="0.3">
      <c r="A68" s="15" t="s">
        <v>134</v>
      </c>
      <c r="B68" s="33" t="s">
        <v>133</v>
      </c>
      <c r="C68" s="35">
        <v>164.93031999999999</v>
      </c>
      <c r="D68" s="28">
        <v>67</v>
      </c>
      <c r="E68" s="28">
        <v>6</v>
      </c>
      <c r="F68" s="28">
        <v>3</v>
      </c>
      <c r="G68" s="18">
        <v>3</v>
      </c>
      <c r="H68" s="17">
        <v>1</v>
      </c>
      <c r="I68" s="28">
        <v>33</v>
      </c>
      <c r="J68" s="28">
        <v>3</v>
      </c>
      <c r="K68" s="28">
        <v>2</v>
      </c>
      <c r="L68" s="28">
        <v>0</v>
      </c>
      <c r="M68" s="28">
        <v>0</v>
      </c>
      <c r="N68" s="28">
        <v>11</v>
      </c>
      <c r="O68" s="19">
        <v>0</v>
      </c>
      <c r="P68" s="19">
        <v>6</v>
      </c>
      <c r="Q68" s="19">
        <v>10</v>
      </c>
      <c r="R68" s="19">
        <v>3</v>
      </c>
      <c r="S68" s="28">
        <v>13</v>
      </c>
      <c r="T68" s="28">
        <v>2</v>
      </c>
      <c r="U68" s="28">
        <v>3</v>
      </c>
      <c r="V68" s="19">
        <v>3</v>
      </c>
      <c r="W68" s="28">
        <v>3</v>
      </c>
      <c r="X68" s="21">
        <v>3.9940000000000002</v>
      </c>
      <c r="Y68" s="21">
        <v>1.5169999999999999</v>
      </c>
      <c r="Z68" s="35">
        <v>6.0214999999999996</v>
      </c>
      <c r="AA68" s="21">
        <v>0.34201290877796897</v>
      </c>
      <c r="AB68" s="20" t="s">
        <v>193</v>
      </c>
      <c r="AC68" s="25" t="s">
        <v>193</v>
      </c>
      <c r="AD68" s="28">
        <v>1.23</v>
      </c>
      <c r="AE68" s="28">
        <v>1.2</v>
      </c>
      <c r="AF68" s="28">
        <v>3.1</v>
      </c>
      <c r="AG68" s="22">
        <v>1.23</v>
      </c>
      <c r="AH68" s="28">
        <v>1.0900000000000001</v>
      </c>
      <c r="AI68" s="22">
        <v>1.1000000000000001</v>
      </c>
      <c r="AJ68" s="20" t="s">
        <v>193</v>
      </c>
      <c r="AK68" s="28" t="s">
        <v>193</v>
      </c>
      <c r="AL68" s="22">
        <v>26.4</v>
      </c>
      <c r="AM68" s="35">
        <v>2.2599999999999998</v>
      </c>
      <c r="AN68" s="35">
        <v>1.58</v>
      </c>
      <c r="AO68" s="35">
        <v>1.04</v>
      </c>
      <c r="AP68" s="23">
        <v>0.9</v>
      </c>
      <c r="AQ68" s="23">
        <v>1.77</v>
      </c>
      <c r="AR68" s="23">
        <v>2.33</v>
      </c>
      <c r="AS68" s="35">
        <v>3.65</v>
      </c>
      <c r="AT68" s="35">
        <v>1.04</v>
      </c>
      <c r="AU68" s="23">
        <v>1.92</v>
      </c>
      <c r="AV68" s="23">
        <v>1.75</v>
      </c>
      <c r="AW68" s="23">
        <v>1.7269999999999999</v>
      </c>
      <c r="AX68" s="23">
        <v>1.7609999999999999</v>
      </c>
      <c r="AY68" s="23">
        <v>1.58</v>
      </c>
      <c r="AZ68" s="28">
        <v>23.6</v>
      </c>
      <c r="BA68" s="28">
        <v>1747.15</v>
      </c>
      <c r="BB68" s="28">
        <v>2973.15</v>
      </c>
      <c r="BC68" s="28">
        <v>8.8000000000000007</v>
      </c>
      <c r="BD68" s="28">
        <v>0.16</v>
      </c>
      <c r="BE68" s="28">
        <v>12.2</v>
      </c>
      <c r="BF68" s="26">
        <v>241</v>
      </c>
      <c r="BG68" s="26">
        <v>301</v>
      </c>
      <c r="BH68" s="28">
        <v>16.2</v>
      </c>
      <c r="BI68" s="26">
        <v>1.1199999999999999E-5</v>
      </c>
      <c r="BJ68" s="28">
        <v>3.14</v>
      </c>
      <c r="BK68" s="26">
        <v>40.200000000000003</v>
      </c>
      <c r="BL68" s="26">
        <v>26</v>
      </c>
      <c r="BM68" s="26">
        <v>64</v>
      </c>
      <c r="BN68" s="26">
        <v>0.48099999999999998</v>
      </c>
      <c r="BO68" s="26">
        <v>0.746</v>
      </c>
      <c r="BP68" s="26">
        <v>9.4E-7</v>
      </c>
      <c r="BQ68" s="26">
        <v>1100000</v>
      </c>
      <c r="BR68" s="27">
        <v>64</v>
      </c>
      <c r="BS68" s="27">
        <v>1.4999999999999999E-2</v>
      </c>
      <c r="BT68" s="27">
        <v>36</v>
      </c>
      <c r="BU68" s="27">
        <v>1</v>
      </c>
      <c r="BV68" s="27">
        <v>2.7777777777777776E-2</v>
      </c>
      <c r="BW68" s="27">
        <v>1</v>
      </c>
      <c r="BX68" s="28">
        <v>1.3271935019728205E-6</v>
      </c>
      <c r="BY68" s="28">
        <v>2.8991308048721052E-12</v>
      </c>
      <c r="BZ68" s="30">
        <v>9476</v>
      </c>
      <c r="CA68" s="30">
        <v>3129</v>
      </c>
      <c r="CB68" s="28">
        <v>740</v>
      </c>
    </row>
    <row r="69" spans="1:80" ht="16.2" x14ac:dyDescent="0.3">
      <c r="A69" s="15" t="s">
        <v>136</v>
      </c>
      <c r="B69" s="33" t="s">
        <v>135</v>
      </c>
      <c r="C69" s="35">
        <v>167.25899999999999</v>
      </c>
      <c r="D69" s="28">
        <v>68</v>
      </c>
      <c r="E69" s="28">
        <v>6</v>
      </c>
      <c r="F69" s="28">
        <v>3</v>
      </c>
      <c r="G69" s="18">
        <v>3</v>
      </c>
      <c r="H69" s="17">
        <v>1</v>
      </c>
      <c r="I69" s="28">
        <v>35</v>
      </c>
      <c r="J69" s="28">
        <v>3</v>
      </c>
      <c r="K69" s="28">
        <v>2</v>
      </c>
      <c r="L69" s="28">
        <v>0</v>
      </c>
      <c r="M69" s="28">
        <v>0</v>
      </c>
      <c r="N69" s="28">
        <v>12</v>
      </c>
      <c r="O69" s="19">
        <v>0</v>
      </c>
      <c r="P69" s="19">
        <v>6</v>
      </c>
      <c r="Q69" s="19">
        <v>10</v>
      </c>
      <c r="R69" s="19">
        <v>2</v>
      </c>
      <c r="S69" s="28">
        <v>14</v>
      </c>
      <c r="T69" s="28">
        <v>2</v>
      </c>
      <c r="U69" s="28">
        <v>3</v>
      </c>
      <c r="V69" s="19">
        <v>3</v>
      </c>
      <c r="W69" s="28">
        <v>3</v>
      </c>
      <c r="X69" s="21">
        <v>4.0179999999999998</v>
      </c>
      <c r="Y69" s="21">
        <v>1.5069999999999999</v>
      </c>
      <c r="Z69" s="35">
        <v>6.1077000000000004</v>
      </c>
      <c r="AA69" s="21">
        <v>0.31108828522920201</v>
      </c>
      <c r="AB69" s="20" t="s">
        <v>193</v>
      </c>
      <c r="AC69" s="25" t="s">
        <v>193</v>
      </c>
      <c r="AD69" s="28">
        <v>1.24</v>
      </c>
      <c r="AE69" s="28">
        <v>1.2</v>
      </c>
      <c r="AF69" s="28">
        <v>3.1</v>
      </c>
      <c r="AG69" s="22">
        <v>1.24</v>
      </c>
      <c r="AH69" s="28">
        <v>1.0900000000000001</v>
      </c>
      <c r="AI69" s="22">
        <v>1.1100000000000001</v>
      </c>
      <c r="AJ69" s="20" t="s">
        <v>193</v>
      </c>
      <c r="AK69" s="28" t="s">
        <v>193</v>
      </c>
      <c r="AL69" s="22">
        <v>31.9</v>
      </c>
      <c r="AM69" s="35">
        <v>2.2599999999999998</v>
      </c>
      <c r="AN69" s="35">
        <v>1.57</v>
      </c>
      <c r="AO69" s="35">
        <v>1.03</v>
      </c>
      <c r="AP69" s="23">
        <v>0.89</v>
      </c>
      <c r="AQ69" s="23">
        <v>1.75</v>
      </c>
      <c r="AR69" s="23">
        <v>2.3199999999999998</v>
      </c>
      <c r="AS69" s="35">
        <v>3.63</v>
      </c>
      <c r="AT69" s="35">
        <v>1.03</v>
      </c>
      <c r="AU69" s="23">
        <v>1.89</v>
      </c>
      <c r="AV69" s="23">
        <v>1.75</v>
      </c>
      <c r="AW69" s="23">
        <v>1.7030000000000001</v>
      </c>
      <c r="AX69" s="23">
        <v>1.748</v>
      </c>
      <c r="AY69" s="23">
        <v>1.5669999999999999</v>
      </c>
      <c r="AZ69" s="28">
        <v>22.7</v>
      </c>
      <c r="BA69" s="28">
        <v>1802.15</v>
      </c>
      <c r="BB69" s="28">
        <v>3141.15</v>
      </c>
      <c r="BC69" s="28">
        <v>9.07</v>
      </c>
      <c r="BD69" s="28">
        <v>0.17</v>
      </c>
      <c r="BE69" s="28">
        <v>19.899999999999999</v>
      </c>
      <c r="BF69" s="26">
        <v>261</v>
      </c>
      <c r="BG69" s="26">
        <v>317</v>
      </c>
      <c r="BH69" s="28">
        <v>14.3</v>
      </c>
      <c r="BI69" s="26">
        <v>1.22E-5</v>
      </c>
      <c r="BJ69" s="28">
        <v>3.29</v>
      </c>
      <c r="BK69" s="26">
        <v>44.4</v>
      </c>
      <c r="BL69" s="26">
        <v>28</v>
      </c>
      <c r="BM69" s="26">
        <v>70</v>
      </c>
      <c r="BN69" s="26">
        <v>0.58799999999999997</v>
      </c>
      <c r="BO69" s="26">
        <v>0.81399999999999995</v>
      </c>
      <c r="BP69" s="26">
        <v>8.6000000000000002E-7</v>
      </c>
      <c r="BQ69" s="26">
        <v>1200000</v>
      </c>
      <c r="BR69" s="27">
        <v>165</v>
      </c>
      <c r="BS69" s="27">
        <v>3.5999999999999997E-2</v>
      </c>
      <c r="BT69" s="27">
        <v>35</v>
      </c>
      <c r="BU69" s="27">
        <v>6</v>
      </c>
      <c r="BV69" s="27">
        <v>0.17142857142857143</v>
      </c>
      <c r="BW69" s="27">
        <v>1</v>
      </c>
      <c r="BX69" s="28">
        <v>3.5732132745422087E-6</v>
      </c>
      <c r="BY69" s="28">
        <v>8.1788752065458288E-12</v>
      </c>
      <c r="BZ69" s="30">
        <v>9476</v>
      </c>
      <c r="CA69" s="30">
        <v>3129</v>
      </c>
      <c r="CB69" s="28">
        <v>270</v>
      </c>
    </row>
    <row r="70" spans="1:80" ht="16.2" x14ac:dyDescent="0.3">
      <c r="A70" s="15" t="s">
        <v>138</v>
      </c>
      <c r="B70" s="33" t="s">
        <v>137</v>
      </c>
      <c r="C70" s="35">
        <v>168.93421000000001</v>
      </c>
      <c r="D70" s="28">
        <v>69</v>
      </c>
      <c r="E70" s="28">
        <v>6</v>
      </c>
      <c r="F70" s="28">
        <v>3</v>
      </c>
      <c r="G70" s="18">
        <v>3</v>
      </c>
      <c r="H70" s="17">
        <v>1</v>
      </c>
      <c r="I70" s="28">
        <v>37</v>
      </c>
      <c r="J70" s="28">
        <v>3</v>
      </c>
      <c r="K70" s="28">
        <v>2</v>
      </c>
      <c r="L70" s="28">
        <v>0</v>
      </c>
      <c r="M70" s="28">
        <v>0</v>
      </c>
      <c r="N70" s="28">
        <v>13</v>
      </c>
      <c r="O70" s="19">
        <v>0</v>
      </c>
      <c r="P70" s="19">
        <v>6</v>
      </c>
      <c r="Q70" s="19">
        <v>10</v>
      </c>
      <c r="R70" s="19">
        <v>1</v>
      </c>
      <c r="S70" s="28">
        <v>15</v>
      </c>
      <c r="T70" s="28">
        <v>2</v>
      </c>
      <c r="U70" s="28">
        <v>3</v>
      </c>
      <c r="V70" s="19">
        <v>3</v>
      </c>
      <c r="W70" s="28">
        <v>3</v>
      </c>
      <c r="X70" s="21">
        <v>3.9209999999999998</v>
      </c>
      <c r="Y70" s="21">
        <v>1.5449999999999999</v>
      </c>
      <c r="Z70" s="35">
        <v>6.1843000000000004</v>
      </c>
      <c r="AA70" s="21">
        <v>1.0255371859296483</v>
      </c>
      <c r="AB70" s="20" t="s">
        <v>193</v>
      </c>
      <c r="AC70" s="25" t="s">
        <v>193</v>
      </c>
      <c r="AD70" s="28">
        <v>1.25</v>
      </c>
      <c r="AE70" s="28">
        <v>1.2</v>
      </c>
      <c r="AF70" s="28">
        <v>3.1</v>
      </c>
      <c r="AG70" s="22">
        <v>1.25</v>
      </c>
      <c r="AH70" s="28">
        <v>1.0900000000000001</v>
      </c>
      <c r="AI70" s="22">
        <v>1.1200000000000001</v>
      </c>
      <c r="AJ70" s="20" t="s">
        <v>193</v>
      </c>
      <c r="AK70" s="28" t="s">
        <v>193</v>
      </c>
      <c r="AL70" s="22">
        <v>38.1</v>
      </c>
      <c r="AM70" s="35">
        <v>2.2200000000000002</v>
      </c>
      <c r="AN70" s="35">
        <v>1.56</v>
      </c>
      <c r="AO70" s="35">
        <v>1.17</v>
      </c>
      <c r="AP70" s="23">
        <v>1.03</v>
      </c>
      <c r="AQ70" s="23">
        <v>1.75</v>
      </c>
      <c r="AR70" s="23">
        <v>2.2999999999999998</v>
      </c>
      <c r="AS70" s="35">
        <v>3.6</v>
      </c>
      <c r="AT70" s="35">
        <v>1.02</v>
      </c>
      <c r="AU70" s="23">
        <v>1.9</v>
      </c>
      <c r="AV70" s="23">
        <v>1.75</v>
      </c>
      <c r="AW70" s="23">
        <v>1.681</v>
      </c>
      <c r="AX70" s="23">
        <v>1.7430000000000001</v>
      </c>
      <c r="AY70" s="23">
        <v>1.5620000000000001</v>
      </c>
      <c r="AZ70" s="28">
        <v>21.8</v>
      </c>
      <c r="BA70" s="28">
        <v>1818.15</v>
      </c>
      <c r="BB70" s="28">
        <v>2223.15</v>
      </c>
      <c r="BC70" s="28">
        <v>9.32</v>
      </c>
      <c r="BD70" s="28">
        <v>0.16</v>
      </c>
      <c r="BE70" s="28">
        <v>16.84</v>
      </c>
      <c r="BF70" s="26">
        <v>191</v>
      </c>
      <c r="BG70" s="26">
        <v>232</v>
      </c>
      <c r="BH70" s="28">
        <v>16.8</v>
      </c>
      <c r="BI70" s="26">
        <v>1.33E-5</v>
      </c>
      <c r="BJ70" s="28">
        <v>2.42</v>
      </c>
      <c r="BK70" s="26">
        <v>44.5</v>
      </c>
      <c r="BL70" s="26">
        <v>31</v>
      </c>
      <c r="BM70" s="26">
        <v>74</v>
      </c>
      <c r="BN70" s="26">
        <v>0.52</v>
      </c>
      <c r="BO70" s="26">
        <v>0.47099999999999997</v>
      </c>
      <c r="BP70" s="26">
        <v>6.9999999999999997E-7</v>
      </c>
      <c r="BQ70" s="26">
        <v>1400000</v>
      </c>
      <c r="BR70" s="27">
        <v>105</v>
      </c>
      <c r="BS70" s="27">
        <v>2.5000000000000001E-2</v>
      </c>
      <c r="BT70" s="27">
        <v>35</v>
      </c>
      <c r="BU70" s="27">
        <v>1</v>
      </c>
      <c r="BV70" s="27">
        <v>2.8571428571428571E-2</v>
      </c>
      <c r="BW70" s="27">
        <v>1</v>
      </c>
      <c r="BX70" s="28">
        <v>5.3087740078912813E-7</v>
      </c>
      <c r="BY70" s="28">
        <v>1.2327012871109742E-12</v>
      </c>
      <c r="BZ70" s="30">
        <v>9476</v>
      </c>
      <c r="CA70" s="30">
        <v>3129</v>
      </c>
      <c r="CB70" s="28">
        <v>4100</v>
      </c>
    </row>
    <row r="71" spans="1:80" ht="16.2" x14ac:dyDescent="0.3">
      <c r="A71" s="15" t="s">
        <v>140</v>
      </c>
      <c r="B71" s="33" t="s">
        <v>139</v>
      </c>
      <c r="C71" s="35">
        <v>173.04499999999999</v>
      </c>
      <c r="D71" s="28">
        <v>70</v>
      </c>
      <c r="E71" s="28">
        <v>6</v>
      </c>
      <c r="F71" s="28">
        <v>3</v>
      </c>
      <c r="G71" s="18">
        <v>3</v>
      </c>
      <c r="H71" s="17">
        <v>1</v>
      </c>
      <c r="I71" s="28">
        <v>39</v>
      </c>
      <c r="J71" s="28">
        <v>3</v>
      </c>
      <c r="K71" s="28">
        <v>2</v>
      </c>
      <c r="L71" s="28">
        <v>0</v>
      </c>
      <c r="M71" s="28">
        <v>0</v>
      </c>
      <c r="N71" s="28">
        <v>14</v>
      </c>
      <c r="O71" s="19">
        <v>0</v>
      </c>
      <c r="P71" s="19">
        <v>6</v>
      </c>
      <c r="Q71" s="19">
        <v>10</v>
      </c>
      <c r="R71" s="19">
        <v>0</v>
      </c>
      <c r="S71" s="28">
        <v>16</v>
      </c>
      <c r="T71" s="28">
        <v>2</v>
      </c>
      <c r="U71" s="28">
        <v>3</v>
      </c>
      <c r="V71" s="19">
        <v>2</v>
      </c>
      <c r="W71" s="28">
        <v>2</v>
      </c>
      <c r="X71" s="21">
        <v>4.048</v>
      </c>
      <c r="Y71" s="21">
        <v>1.494</v>
      </c>
      <c r="Z71" s="35">
        <v>6.2542</v>
      </c>
      <c r="AA71" s="21">
        <v>-2.0743615257048091E-2</v>
      </c>
      <c r="AB71" s="20" t="s">
        <v>193</v>
      </c>
      <c r="AC71" s="25" t="s">
        <v>193</v>
      </c>
      <c r="AD71" s="28">
        <v>1.1000000000000001</v>
      </c>
      <c r="AE71" s="28">
        <v>1.1000000000000001</v>
      </c>
      <c r="AF71" s="28">
        <v>3.1</v>
      </c>
      <c r="AG71" s="32">
        <v>1.26</v>
      </c>
      <c r="AH71" s="28">
        <v>1.0900000000000001</v>
      </c>
      <c r="AI71" s="22">
        <v>1.1299999999999999</v>
      </c>
      <c r="AJ71" s="20" t="s">
        <v>193</v>
      </c>
      <c r="AK71" s="28" t="s">
        <v>193</v>
      </c>
      <c r="AL71" s="22">
        <v>45.1</v>
      </c>
      <c r="AM71" s="35">
        <v>2.2200000000000002</v>
      </c>
      <c r="AN71" s="35">
        <v>1.56</v>
      </c>
      <c r="AO71" s="35">
        <v>1.1599999999999999</v>
      </c>
      <c r="AP71" s="23">
        <v>1.02</v>
      </c>
      <c r="AQ71" s="23">
        <v>1.9</v>
      </c>
      <c r="AR71" s="23">
        <v>2.2799999999999998</v>
      </c>
      <c r="AS71" s="35">
        <v>3.59</v>
      </c>
      <c r="AT71" s="35">
        <v>1.1299999999999999</v>
      </c>
      <c r="AU71" s="23">
        <v>1.97</v>
      </c>
      <c r="AV71" s="23">
        <v>1.75</v>
      </c>
      <c r="AW71" s="23">
        <v>1.6580000000000001</v>
      </c>
      <c r="AX71" s="23">
        <v>1.9330000000000001</v>
      </c>
      <c r="AY71" s="23">
        <v>1.6990000000000001</v>
      </c>
      <c r="AZ71" s="28">
        <v>21</v>
      </c>
      <c r="BA71" s="28">
        <v>1092.1500000000001</v>
      </c>
      <c r="BB71" s="28">
        <v>1469.15</v>
      </c>
      <c r="BC71" s="28">
        <v>6.97</v>
      </c>
      <c r="BD71" s="28">
        <v>0.15</v>
      </c>
      <c r="BE71" s="28">
        <v>7.66</v>
      </c>
      <c r="BF71" s="26">
        <v>128.9</v>
      </c>
      <c r="BG71" s="26">
        <v>152</v>
      </c>
      <c r="BH71" s="28">
        <v>34.9</v>
      </c>
      <c r="BI71" s="26">
        <v>2.6299999999999999E-5</v>
      </c>
      <c r="BJ71" s="28">
        <v>1.6</v>
      </c>
      <c r="BK71" s="26">
        <v>30.5</v>
      </c>
      <c r="BL71" s="26">
        <v>10</v>
      </c>
      <c r="BM71" s="26">
        <v>24</v>
      </c>
      <c r="BN71" s="26">
        <v>0.20599999999999999</v>
      </c>
      <c r="BO71" s="26">
        <v>0.34300000000000003</v>
      </c>
      <c r="BP71" s="26">
        <v>2.8000000000000002E-7</v>
      </c>
      <c r="BQ71" s="26">
        <v>3600000</v>
      </c>
      <c r="BR71" s="27">
        <v>35</v>
      </c>
      <c r="BS71" s="27">
        <v>7.6E-3</v>
      </c>
      <c r="BT71" s="27">
        <v>35</v>
      </c>
      <c r="BU71" s="27">
        <v>7</v>
      </c>
      <c r="BV71" s="27">
        <v>0.2</v>
      </c>
      <c r="BW71" s="27">
        <v>1</v>
      </c>
      <c r="BX71" s="28">
        <v>3.2669378510100198E-6</v>
      </c>
      <c r="BY71" s="28">
        <v>8.084302885576998E-12</v>
      </c>
      <c r="BZ71" s="30">
        <v>9476</v>
      </c>
      <c r="CA71" s="30">
        <v>3129</v>
      </c>
      <c r="CB71" s="28">
        <v>530</v>
      </c>
    </row>
    <row r="72" spans="1:80" ht="16.2" x14ac:dyDescent="0.3">
      <c r="A72" s="15" t="s">
        <v>142</v>
      </c>
      <c r="B72" s="33" t="s">
        <v>141</v>
      </c>
      <c r="C72" s="35">
        <v>174.96700000000001</v>
      </c>
      <c r="D72" s="28">
        <v>71</v>
      </c>
      <c r="E72" s="28">
        <v>6</v>
      </c>
      <c r="F72" s="28">
        <v>3</v>
      </c>
      <c r="G72" s="18">
        <v>2</v>
      </c>
      <c r="H72" s="17">
        <v>1</v>
      </c>
      <c r="I72" s="28">
        <v>41</v>
      </c>
      <c r="J72" s="28">
        <v>3</v>
      </c>
      <c r="K72" s="28">
        <v>2</v>
      </c>
      <c r="L72" s="28">
        <v>0</v>
      </c>
      <c r="M72" s="28">
        <v>1</v>
      </c>
      <c r="N72" s="28">
        <v>14</v>
      </c>
      <c r="O72" s="19">
        <v>0</v>
      </c>
      <c r="P72" s="19">
        <v>6</v>
      </c>
      <c r="Q72" s="19">
        <v>9</v>
      </c>
      <c r="R72" s="19">
        <v>0</v>
      </c>
      <c r="S72" s="28">
        <v>17</v>
      </c>
      <c r="T72" s="28">
        <v>2</v>
      </c>
      <c r="U72" s="28">
        <v>1</v>
      </c>
      <c r="V72" s="19">
        <v>3</v>
      </c>
      <c r="W72" s="28">
        <v>3</v>
      </c>
      <c r="X72" s="21">
        <v>4.0339999999999998</v>
      </c>
      <c r="Y72" s="21">
        <v>1.5009999999999999</v>
      </c>
      <c r="Z72" s="35">
        <v>5.4259000000000004</v>
      </c>
      <c r="AA72" s="21">
        <v>0.34170744274809162</v>
      </c>
      <c r="AB72" s="20" t="s">
        <v>193</v>
      </c>
      <c r="AC72" s="25" t="s">
        <v>193</v>
      </c>
      <c r="AD72" s="28">
        <v>1.27</v>
      </c>
      <c r="AE72" s="28">
        <v>1.2</v>
      </c>
      <c r="AF72" s="28">
        <v>3.1</v>
      </c>
      <c r="AG72" s="22">
        <v>1.27</v>
      </c>
      <c r="AH72" s="28">
        <v>1.0900000000000001</v>
      </c>
      <c r="AI72" s="22">
        <v>1.1200000000000001</v>
      </c>
      <c r="AJ72" s="20" t="s">
        <v>193</v>
      </c>
      <c r="AK72" s="28" t="s">
        <v>193</v>
      </c>
      <c r="AL72" s="22">
        <v>52.9</v>
      </c>
      <c r="AM72" s="35">
        <v>2.17</v>
      </c>
      <c r="AN72" s="35">
        <v>1.6</v>
      </c>
      <c r="AO72" s="35">
        <v>1</v>
      </c>
      <c r="AP72" s="23">
        <v>0.86</v>
      </c>
      <c r="AQ72" s="23">
        <v>1.75</v>
      </c>
      <c r="AR72" s="23">
        <v>2.27</v>
      </c>
      <c r="AS72" s="35">
        <v>3.37</v>
      </c>
      <c r="AT72" s="35">
        <v>1</v>
      </c>
      <c r="AU72" s="23">
        <v>1.87</v>
      </c>
      <c r="AV72" s="23">
        <v>1.75</v>
      </c>
      <c r="AW72" s="23">
        <v>1.5530000000000002</v>
      </c>
      <c r="AX72" s="23">
        <v>1.738</v>
      </c>
      <c r="AY72" s="23">
        <v>1.5569999999999999</v>
      </c>
      <c r="AZ72" s="28">
        <v>21.9</v>
      </c>
      <c r="BA72" s="28">
        <v>1936.15</v>
      </c>
      <c r="BB72" s="28">
        <v>3675.15</v>
      </c>
      <c r="BC72" s="28">
        <v>9.84</v>
      </c>
      <c r="BD72" s="28">
        <v>0.15</v>
      </c>
      <c r="BE72" s="28">
        <v>18.600000000000001</v>
      </c>
      <c r="BF72" s="26">
        <v>355.9</v>
      </c>
      <c r="BG72" s="26">
        <v>427</v>
      </c>
      <c r="BH72" s="28">
        <v>16.399999999999999</v>
      </c>
      <c r="BI72" s="26">
        <v>1.0000000000000001E-5</v>
      </c>
      <c r="BJ72" s="28">
        <v>4.43</v>
      </c>
      <c r="BK72" s="26">
        <v>47.6</v>
      </c>
      <c r="BL72" s="26">
        <v>27</v>
      </c>
      <c r="BM72" s="26">
        <v>67</v>
      </c>
      <c r="BN72" s="26">
        <v>1.1599999999999999</v>
      </c>
      <c r="BO72" s="26">
        <v>0.89300000000000002</v>
      </c>
      <c r="BP72" s="26">
        <v>5.7000000000000005E-7</v>
      </c>
      <c r="BQ72" s="26">
        <v>1800000</v>
      </c>
      <c r="BR72" s="27">
        <v>85</v>
      </c>
      <c r="BS72" s="27">
        <v>2.1999999999999999E-2</v>
      </c>
      <c r="BT72" s="27">
        <v>35</v>
      </c>
      <c r="BU72" s="27">
        <v>1</v>
      </c>
      <c r="BV72" s="27">
        <v>2.8571428571428571E-2</v>
      </c>
      <c r="BW72" s="27">
        <v>0.97409999999999997</v>
      </c>
      <c r="BX72" s="28">
        <v>8.1673446275250494E-7</v>
      </c>
      <c r="BY72" s="28">
        <v>1.1968290274331416E-12</v>
      </c>
      <c r="BZ72" s="30">
        <v>9476</v>
      </c>
      <c r="CA72" s="30">
        <v>3129</v>
      </c>
      <c r="CB72" s="28">
        <v>6900</v>
      </c>
    </row>
    <row r="73" spans="1:80" ht="16.2" x14ac:dyDescent="0.3">
      <c r="A73" s="15" t="s">
        <v>144</v>
      </c>
      <c r="B73" s="33" t="s">
        <v>143</v>
      </c>
      <c r="C73" s="35">
        <v>178.49</v>
      </c>
      <c r="D73" s="28">
        <v>72</v>
      </c>
      <c r="E73" s="28">
        <v>6</v>
      </c>
      <c r="F73" s="28">
        <v>4</v>
      </c>
      <c r="G73" s="18">
        <v>2</v>
      </c>
      <c r="H73" s="17">
        <v>1</v>
      </c>
      <c r="I73" s="28">
        <v>45</v>
      </c>
      <c r="J73" s="28">
        <v>4</v>
      </c>
      <c r="K73" s="28">
        <v>2</v>
      </c>
      <c r="L73" s="28">
        <v>0</v>
      </c>
      <c r="M73" s="28">
        <v>2</v>
      </c>
      <c r="N73" s="28">
        <v>14</v>
      </c>
      <c r="O73" s="19">
        <v>0</v>
      </c>
      <c r="P73" s="19">
        <v>6</v>
      </c>
      <c r="Q73" s="19">
        <v>8</v>
      </c>
      <c r="R73" s="19">
        <v>0</v>
      </c>
      <c r="S73" s="28">
        <v>18</v>
      </c>
      <c r="T73" s="28">
        <v>2</v>
      </c>
      <c r="U73" s="28">
        <v>2</v>
      </c>
      <c r="V73" s="19">
        <v>4</v>
      </c>
      <c r="W73" s="28">
        <v>4</v>
      </c>
      <c r="X73" s="21">
        <v>4.298</v>
      </c>
      <c r="Y73" s="21">
        <v>1.0900000000000001</v>
      </c>
      <c r="Z73" s="35">
        <v>6.8250999999999999</v>
      </c>
      <c r="AA73" s="21">
        <v>2.071350531107739E-2</v>
      </c>
      <c r="AB73" s="22">
        <v>3.8</v>
      </c>
      <c r="AC73" s="25" t="s">
        <v>193</v>
      </c>
      <c r="AD73" s="28">
        <v>1.3</v>
      </c>
      <c r="AE73" s="28">
        <v>1.73</v>
      </c>
      <c r="AF73" s="28">
        <v>3.8</v>
      </c>
      <c r="AG73" s="32">
        <v>1.39</v>
      </c>
      <c r="AH73" s="28">
        <v>1.1599999999999999</v>
      </c>
      <c r="AI73" s="22">
        <v>1.2</v>
      </c>
      <c r="AJ73" s="20" t="s">
        <v>193</v>
      </c>
      <c r="AK73" s="28" t="s">
        <v>193</v>
      </c>
      <c r="AL73" s="22">
        <v>61.3</v>
      </c>
      <c r="AM73" s="35">
        <v>2.08</v>
      </c>
      <c r="AN73" s="35">
        <v>1.5</v>
      </c>
      <c r="AO73" s="35">
        <v>0.85</v>
      </c>
      <c r="AP73" s="23">
        <v>0.71</v>
      </c>
      <c r="AQ73" s="23">
        <v>1.58</v>
      </c>
      <c r="AR73" s="23">
        <v>2.25</v>
      </c>
      <c r="AS73" s="35">
        <v>2.91</v>
      </c>
      <c r="AT73" s="35">
        <v>0.85</v>
      </c>
      <c r="AU73" s="23">
        <v>1.75</v>
      </c>
      <c r="AV73" s="23">
        <v>1.55</v>
      </c>
      <c r="AW73" s="23">
        <v>1.476</v>
      </c>
      <c r="AX73" s="23">
        <v>1.585</v>
      </c>
      <c r="AY73" s="23">
        <v>1.4419999999999999</v>
      </c>
      <c r="AZ73" s="28">
        <v>16.2</v>
      </c>
      <c r="BA73" s="28">
        <v>2500.15</v>
      </c>
      <c r="BB73" s="28">
        <v>4873.1499999999996</v>
      </c>
      <c r="BC73" s="28">
        <v>13.3</v>
      </c>
      <c r="BD73" s="28">
        <v>0.14000000000000001</v>
      </c>
      <c r="BE73" s="28">
        <v>24.06</v>
      </c>
      <c r="BF73" s="26">
        <v>575</v>
      </c>
      <c r="BG73" s="26">
        <v>619</v>
      </c>
      <c r="BH73" s="28">
        <v>23</v>
      </c>
      <c r="BI73" s="26">
        <v>5.9000000000000003E-6</v>
      </c>
      <c r="BJ73" s="28">
        <v>6.44</v>
      </c>
      <c r="BK73" s="26">
        <v>109</v>
      </c>
      <c r="BL73" s="26">
        <v>30</v>
      </c>
      <c r="BM73" s="26">
        <v>78</v>
      </c>
      <c r="BN73" s="26">
        <v>1.76</v>
      </c>
      <c r="BO73" s="26">
        <v>1.7</v>
      </c>
      <c r="BP73" s="26">
        <v>2.9999999999999999E-7</v>
      </c>
      <c r="BQ73" s="26">
        <v>3300000</v>
      </c>
      <c r="BR73" s="27">
        <v>104</v>
      </c>
      <c r="BS73" s="27">
        <v>0.02</v>
      </c>
      <c r="BT73" s="27">
        <v>36</v>
      </c>
      <c r="BU73" s="27">
        <v>5</v>
      </c>
      <c r="BV73" s="27">
        <v>0.1388888888888889</v>
      </c>
      <c r="BW73" s="27">
        <v>0.99839999999999995</v>
      </c>
      <c r="BX73" s="28">
        <v>3.0627542353218931E-6</v>
      </c>
      <c r="BY73" s="28">
        <v>5.0221163548965614E-12</v>
      </c>
      <c r="BZ73" s="30">
        <v>3410</v>
      </c>
      <c r="CA73" s="30">
        <v>2595</v>
      </c>
      <c r="CB73" s="28">
        <v>120</v>
      </c>
    </row>
    <row r="74" spans="1:80" ht="16.2" x14ac:dyDescent="0.3">
      <c r="A74" s="15" t="s">
        <v>146</v>
      </c>
      <c r="B74" s="33" t="s">
        <v>145</v>
      </c>
      <c r="C74" s="35">
        <v>180.9479</v>
      </c>
      <c r="D74" s="28">
        <v>73</v>
      </c>
      <c r="E74" s="28">
        <v>6</v>
      </c>
      <c r="F74" s="28">
        <v>5</v>
      </c>
      <c r="G74" s="18">
        <v>2</v>
      </c>
      <c r="H74" s="17">
        <v>1</v>
      </c>
      <c r="I74" s="28">
        <v>48</v>
      </c>
      <c r="J74" s="28">
        <v>4</v>
      </c>
      <c r="K74" s="28">
        <v>2</v>
      </c>
      <c r="L74" s="28">
        <v>0</v>
      </c>
      <c r="M74" s="28">
        <v>3</v>
      </c>
      <c r="N74" s="28">
        <v>14</v>
      </c>
      <c r="O74" s="19">
        <v>0</v>
      </c>
      <c r="P74" s="19">
        <v>6</v>
      </c>
      <c r="Q74" s="19">
        <v>7</v>
      </c>
      <c r="R74" s="19">
        <v>0</v>
      </c>
      <c r="S74" s="28">
        <v>19</v>
      </c>
      <c r="T74" s="28">
        <v>2</v>
      </c>
      <c r="U74" s="28">
        <v>3</v>
      </c>
      <c r="V74" s="19">
        <v>5</v>
      </c>
      <c r="W74" s="28">
        <v>5</v>
      </c>
      <c r="X74" s="21">
        <v>4.593</v>
      </c>
      <c r="Y74" s="21">
        <v>1.341</v>
      </c>
      <c r="Z74" s="35">
        <v>7.5495999999999999</v>
      </c>
      <c r="AA74" s="21">
        <v>0.30753955321944809</v>
      </c>
      <c r="AB74" s="22">
        <v>4.1100000000000003</v>
      </c>
      <c r="AC74" s="25" t="s">
        <v>193</v>
      </c>
      <c r="AD74" s="28">
        <v>1.5</v>
      </c>
      <c r="AE74" s="28">
        <v>1.94</v>
      </c>
      <c r="AF74" s="28">
        <v>4.1100000000000003</v>
      </c>
      <c r="AG74" s="32">
        <v>1.79</v>
      </c>
      <c r="AH74" s="28">
        <v>1.34</v>
      </c>
      <c r="AI74" s="22">
        <v>1.26</v>
      </c>
      <c r="AJ74" s="20" t="s">
        <v>193</v>
      </c>
      <c r="AK74" s="28" t="s">
        <v>193</v>
      </c>
      <c r="AL74" s="22">
        <v>71</v>
      </c>
      <c r="AM74" s="35">
        <v>2</v>
      </c>
      <c r="AN74" s="35">
        <v>1.38</v>
      </c>
      <c r="AO74" s="35">
        <v>0.86</v>
      </c>
      <c r="AP74" s="23">
        <v>0.72</v>
      </c>
      <c r="AQ74" s="23">
        <v>1.45</v>
      </c>
      <c r="AR74" s="23">
        <v>2.2000000000000002</v>
      </c>
      <c r="AS74" s="35">
        <v>2.79</v>
      </c>
      <c r="AT74" s="35">
        <v>0.78</v>
      </c>
      <c r="AU74" s="23">
        <v>1.7</v>
      </c>
      <c r="AV74" s="23">
        <v>1.45</v>
      </c>
      <c r="AW74" s="23">
        <v>1.413</v>
      </c>
      <c r="AX74" s="23">
        <v>1.4570000000000001</v>
      </c>
      <c r="AY74" s="23">
        <v>1.343</v>
      </c>
      <c r="AZ74" s="28">
        <v>13.1</v>
      </c>
      <c r="BA74" s="28">
        <v>3269.15</v>
      </c>
      <c r="BB74" s="28">
        <v>5698.15</v>
      </c>
      <c r="BC74" s="28">
        <v>16.600000000000001</v>
      </c>
      <c r="BD74" s="28">
        <v>0.14000000000000001</v>
      </c>
      <c r="BE74" s="28">
        <v>31.6</v>
      </c>
      <c r="BF74" s="26">
        <v>743</v>
      </c>
      <c r="BG74" s="26">
        <v>782</v>
      </c>
      <c r="BH74" s="28">
        <v>57.5</v>
      </c>
      <c r="BI74" s="26">
        <v>6.2999999999999998E-6</v>
      </c>
      <c r="BJ74" s="28">
        <v>8.1</v>
      </c>
      <c r="BK74" s="26">
        <v>196</v>
      </c>
      <c r="BL74" s="26">
        <v>67</v>
      </c>
      <c r="BM74" s="26">
        <v>186</v>
      </c>
      <c r="BN74" s="26">
        <v>0.873</v>
      </c>
      <c r="BO74" s="26">
        <v>0.8</v>
      </c>
      <c r="BP74" s="26">
        <v>1.3E-7</v>
      </c>
      <c r="BQ74" s="26">
        <v>7700000</v>
      </c>
      <c r="BR74" s="27">
        <v>20.5</v>
      </c>
      <c r="BS74" s="27">
        <v>4.1000000000000003E-3</v>
      </c>
      <c r="BT74" s="27">
        <v>36</v>
      </c>
      <c r="BU74" s="27">
        <v>1</v>
      </c>
      <c r="BV74" s="27">
        <v>2.7777777777777776E-2</v>
      </c>
      <c r="BW74" s="27">
        <v>1</v>
      </c>
      <c r="BX74" s="28">
        <v>2.0418361568812623E-6</v>
      </c>
      <c r="BY74" s="28">
        <v>6.7505070484648608E-13</v>
      </c>
      <c r="BZ74" s="30">
        <v>2252</v>
      </c>
      <c r="CA74" s="30">
        <v>4811</v>
      </c>
      <c r="CB74" s="28">
        <v>120</v>
      </c>
    </row>
    <row r="75" spans="1:80" ht="16.2" x14ac:dyDescent="0.3">
      <c r="A75" s="15" t="s">
        <v>148</v>
      </c>
      <c r="B75" s="33" t="s">
        <v>147</v>
      </c>
      <c r="C75" s="35">
        <v>183.84</v>
      </c>
      <c r="D75" s="28">
        <v>74</v>
      </c>
      <c r="E75" s="28">
        <v>6</v>
      </c>
      <c r="F75" s="28">
        <v>6</v>
      </c>
      <c r="G75" s="18">
        <v>2</v>
      </c>
      <c r="H75" s="17">
        <v>1</v>
      </c>
      <c r="I75" s="28">
        <v>51</v>
      </c>
      <c r="J75" s="28">
        <v>4</v>
      </c>
      <c r="K75" s="28">
        <v>2</v>
      </c>
      <c r="L75" s="28">
        <v>0</v>
      </c>
      <c r="M75" s="28">
        <v>4</v>
      </c>
      <c r="N75" s="28">
        <v>14</v>
      </c>
      <c r="O75" s="19">
        <v>0</v>
      </c>
      <c r="P75" s="19">
        <v>6</v>
      </c>
      <c r="Q75" s="19">
        <v>6</v>
      </c>
      <c r="R75" s="19">
        <v>0</v>
      </c>
      <c r="S75" s="28">
        <v>20</v>
      </c>
      <c r="T75" s="28">
        <v>2</v>
      </c>
      <c r="U75" s="28">
        <v>4</v>
      </c>
      <c r="V75" s="19">
        <v>5.78</v>
      </c>
      <c r="W75" s="28">
        <v>5.78</v>
      </c>
      <c r="X75" s="21">
        <v>4.593</v>
      </c>
      <c r="Y75" s="21">
        <v>1.319</v>
      </c>
      <c r="Z75" s="35">
        <v>7.8639999999999999</v>
      </c>
      <c r="AA75" s="21">
        <v>0.806825974025974</v>
      </c>
      <c r="AB75" s="22">
        <v>4.4000000000000004</v>
      </c>
      <c r="AC75" s="25" t="s">
        <v>193</v>
      </c>
      <c r="AD75" s="28">
        <v>2.36</v>
      </c>
      <c r="AE75" s="28">
        <v>1.79</v>
      </c>
      <c r="AF75" s="28">
        <v>4.4000000000000004</v>
      </c>
      <c r="AG75" s="22">
        <v>2.36</v>
      </c>
      <c r="AH75" s="28">
        <v>1.47</v>
      </c>
      <c r="AI75" s="22">
        <v>1.31</v>
      </c>
      <c r="AJ75" s="20" t="s">
        <v>193</v>
      </c>
      <c r="AK75" s="28" t="s">
        <v>193</v>
      </c>
      <c r="AL75" s="22">
        <v>81.400000000000006</v>
      </c>
      <c r="AM75" s="35">
        <v>1.93</v>
      </c>
      <c r="AN75" s="35">
        <v>1.46</v>
      </c>
      <c r="AO75" s="35">
        <v>0.8</v>
      </c>
      <c r="AP75" s="23">
        <v>0.66</v>
      </c>
      <c r="AQ75" s="23">
        <v>1.35</v>
      </c>
      <c r="AR75" s="23">
        <v>2.1</v>
      </c>
      <c r="AS75" s="35">
        <v>2.74</v>
      </c>
      <c r="AT75" s="35">
        <v>0.74</v>
      </c>
      <c r="AU75" s="23">
        <v>1.62</v>
      </c>
      <c r="AV75" s="23">
        <v>1.35</v>
      </c>
      <c r="AW75" s="23">
        <v>1.36</v>
      </c>
      <c r="AX75" s="23">
        <v>1.3939999999999999</v>
      </c>
      <c r="AY75" s="23">
        <v>1.2989999999999999</v>
      </c>
      <c r="AZ75" s="28">
        <v>11.1</v>
      </c>
      <c r="BA75" s="28">
        <v>3683.15</v>
      </c>
      <c r="BB75" s="28">
        <v>5933.15</v>
      </c>
      <c r="BC75" s="28">
        <v>19.3</v>
      </c>
      <c r="BD75" s="28">
        <v>0.13</v>
      </c>
      <c r="BE75" s="28">
        <v>35.4</v>
      </c>
      <c r="BF75" s="26">
        <v>824</v>
      </c>
      <c r="BG75" s="26">
        <v>849</v>
      </c>
      <c r="BH75" s="28">
        <v>174</v>
      </c>
      <c r="BI75" s="26">
        <v>4.5000000000000001E-6</v>
      </c>
      <c r="BJ75" s="28">
        <v>8.9</v>
      </c>
      <c r="BK75" s="26">
        <v>311</v>
      </c>
      <c r="BL75" s="26">
        <v>161</v>
      </c>
      <c r="BM75" s="26">
        <v>411</v>
      </c>
      <c r="BN75" s="26">
        <v>3.43</v>
      </c>
      <c r="BO75" s="26">
        <v>2.57</v>
      </c>
      <c r="BP75" s="26">
        <v>4.9999999999970001E-8</v>
      </c>
      <c r="BQ75" s="26">
        <v>20000000</v>
      </c>
      <c r="BR75" s="27">
        <v>18.399999999999999</v>
      </c>
      <c r="BS75" s="27">
        <v>3.5999999999999999E-3</v>
      </c>
      <c r="BT75" s="27">
        <v>35</v>
      </c>
      <c r="BU75" s="27">
        <v>5</v>
      </c>
      <c r="BV75" s="27">
        <v>0.14285714285714285</v>
      </c>
      <c r="BW75" s="27">
        <v>1</v>
      </c>
      <c r="BX75" s="28">
        <v>1.2761475980507888E-6</v>
      </c>
      <c r="BY75" s="28">
        <v>4.3372823065015778E-12</v>
      </c>
      <c r="BZ75" s="30">
        <v>6981</v>
      </c>
      <c r="CA75" s="30">
        <v>4297</v>
      </c>
      <c r="CB75" s="28">
        <v>11</v>
      </c>
    </row>
    <row r="76" spans="1:80" ht="16.2" x14ac:dyDescent="0.3">
      <c r="A76" s="15" t="s">
        <v>150</v>
      </c>
      <c r="B76" s="33" t="s">
        <v>149</v>
      </c>
      <c r="C76" s="35">
        <v>186.20699999999999</v>
      </c>
      <c r="D76" s="28">
        <v>75</v>
      </c>
      <c r="E76" s="28">
        <v>6</v>
      </c>
      <c r="F76" s="28">
        <v>7</v>
      </c>
      <c r="G76" s="18">
        <v>2</v>
      </c>
      <c r="H76" s="17">
        <v>1</v>
      </c>
      <c r="I76" s="28">
        <v>54</v>
      </c>
      <c r="J76" s="28">
        <v>4</v>
      </c>
      <c r="K76" s="28">
        <v>2</v>
      </c>
      <c r="L76" s="28">
        <v>0</v>
      </c>
      <c r="M76" s="28">
        <v>5</v>
      </c>
      <c r="N76" s="28">
        <v>14</v>
      </c>
      <c r="O76" s="19">
        <v>0</v>
      </c>
      <c r="P76" s="19">
        <v>6</v>
      </c>
      <c r="Q76" s="19">
        <v>5</v>
      </c>
      <c r="R76" s="19">
        <v>0</v>
      </c>
      <c r="S76" s="28">
        <v>21</v>
      </c>
      <c r="T76" s="28">
        <v>2</v>
      </c>
      <c r="U76" s="28">
        <v>5</v>
      </c>
      <c r="V76" s="19">
        <v>5.78</v>
      </c>
      <c r="W76" s="28">
        <v>5.78</v>
      </c>
      <c r="X76" s="21">
        <v>4.5640000000000001</v>
      </c>
      <c r="Y76" s="21">
        <v>1.3260000000000001</v>
      </c>
      <c r="Z76" s="35">
        <v>7.8334999999999999</v>
      </c>
      <c r="AA76" s="21">
        <v>0.14430131578947369</v>
      </c>
      <c r="AB76" s="22">
        <v>4.0199999999999996</v>
      </c>
      <c r="AC76" s="25" t="s">
        <v>193</v>
      </c>
      <c r="AD76" s="28">
        <v>1.9</v>
      </c>
      <c r="AE76" s="28">
        <v>2.06</v>
      </c>
      <c r="AF76" s="28">
        <v>4.0199999999999996</v>
      </c>
      <c r="AG76" s="32">
        <v>2.83</v>
      </c>
      <c r="AH76" s="28">
        <v>1.6</v>
      </c>
      <c r="AI76" s="22">
        <v>1.35</v>
      </c>
      <c r="AJ76" s="20" t="s">
        <v>193</v>
      </c>
      <c r="AK76" s="28" t="s">
        <v>193</v>
      </c>
      <c r="AL76" s="22">
        <v>92.9</v>
      </c>
      <c r="AM76" s="35">
        <v>1.88</v>
      </c>
      <c r="AN76" s="35">
        <v>1.59</v>
      </c>
      <c r="AO76" s="35">
        <v>0.77</v>
      </c>
      <c r="AP76" s="23">
        <v>0.63</v>
      </c>
      <c r="AQ76" s="23">
        <v>1.37</v>
      </c>
      <c r="AR76" s="23">
        <v>2.0499999999999998</v>
      </c>
      <c r="AS76" s="35">
        <v>2.68</v>
      </c>
      <c r="AT76" s="35">
        <v>0.77</v>
      </c>
      <c r="AU76" s="23">
        <v>1.51</v>
      </c>
      <c r="AV76" s="23">
        <v>1.35</v>
      </c>
      <c r="AW76" s="23">
        <v>1.31</v>
      </c>
      <c r="AX76" s="23">
        <v>1.373</v>
      </c>
      <c r="AY76" s="23">
        <v>1.278</v>
      </c>
      <c r="AZ76" s="28">
        <v>9.6999999999999993</v>
      </c>
      <c r="BA76" s="28">
        <v>3453.15</v>
      </c>
      <c r="BB76" s="28">
        <v>5873.15</v>
      </c>
      <c r="BC76" s="28">
        <v>21</v>
      </c>
      <c r="BD76" s="28">
        <v>0.13</v>
      </c>
      <c r="BE76" s="28">
        <v>33.200000000000003</v>
      </c>
      <c r="BF76" s="26">
        <v>715</v>
      </c>
      <c r="BG76" s="26">
        <v>770</v>
      </c>
      <c r="BH76" s="28">
        <v>47.9</v>
      </c>
      <c r="BI76" s="26">
        <v>6.1999999999999999E-6</v>
      </c>
      <c r="BJ76" s="28">
        <v>8.0299999999999994</v>
      </c>
      <c r="BK76" s="26">
        <v>334</v>
      </c>
      <c r="BL76" s="26">
        <v>178</v>
      </c>
      <c r="BM76" s="26">
        <v>463</v>
      </c>
      <c r="BN76" s="26">
        <v>2.4500000000000002</v>
      </c>
      <c r="BO76" s="26">
        <v>1.32</v>
      </c>
      <c r="BP76" s="26">
        <v>1.8E-7</v>
      </c>
      <c r="BQ76" s="26">
        <v>5600000</v>
      </c>
      <c r="BR76" s="27">
        <v>90</v>
      </c>
      <c r="BS76" s="27">
        <v>1.6E-2</v>
      </c>
      <c r="BT76" s="27">
        <v>35</v>
      </c>
      <c r="BU76" s="27">
        <v>1</v>
      </c>
      <c r="BV76" s="27">
        <v>2.8571428571428571E-2</v>
      </c>
      <c r="BW76" s="27">
        <v>0.374</v>
      </c>
      <c r="BX76" s="28">
        <v>7.1464265490844172E-10</v>
      </c>
      <c r="BY76" s="28">
        <v>1.6859962048581316E-12</v>
      </c>
      <c r="BZ76" s="30">
        <v>3258</v>
      </c>
      <c r="CA76" s="30">
        <v>3314</v>
      </c>
      <c r="CB76" s="28">
        <v>540</v>
      </c>
    </row>
    <row r="77" spans="1:80" ht="16.2" x14ac:dyDescent="0.3">
      <c r="A77" s="15" t="s">
        <v>152</v>
      </c>
      <c r="B77" s="33" t="s">
        <v>151</v>
      </c>
      <c r="C77" s="35">
        <v>190.23</v>
      </c>
      <c r="D77" s="28">
        <v>76</v>
      </c>
      <c r="E77" s="28">
        <v>6</v>
      </c>
      <c r="F77" s="28">
        <v>8</v>
      </c>
      <c r="G77" s="18">
        <v>2</v>
      </c>
      <c r="H77" s="17">
        <v>1</v>
      </c>
      <c r="I77" s="28">
        <v>57</v>
      </c>
      <c r="J77" s="28">
        <v>4</v>
      </c>
      <c r="K77" s="28">
        <v>2</v>
      </c>
      <c r="L77" s="28">
        <v>0</v>
      </c>
      <c r="M77" s="28">
        <v>6</v>
      </c>
      <c r="N77" s="28">
        <v>14</v>
      </c>
      <c r="O77" s="19">
        <v>0</v>
      </c>
      <c r="P77" s="19">
        <v>6</v>
      </c>
      <c r="Q77" s="19">
        <v>4</v>
      </c>
      <c r="R77" s="19">
        <v>0</v>
      </c>
      <c r="S77" s="28">
        <v>22</v>
      </c>
      <c r="T77" s="28">
        <v>2</v>
      </c>
      <c r="U77" s="28">
        <v>5</v>
      </c>
      <c r="V77" s="19">
        <v>5.78</v>
      </c>
      <c r="W77" s="28">
        <v>5.78</v>
      </c>
      <c r="X77" s="21">
        <v>5.6479999999999997</v>
      </c>
      <c r="Y77" s="21">
        <v>1.2649999999999999</v>
      </c>
      <c r="Z77" s="35">
        <v>8.4382000000000001</v>
      </c>
      <c r="AA77" s="21">
        <v>1.0660896305125149</v>
      </c>
      <c r="AB77" s="22">
        <v>4.9000000000000004</v>
      </c>
      <c r="AC77" s="25" t="s">
        <v>193</v>
      </c>
      <c r="AD77" s="28">
        <v>2.2000000000000002</v>
      </c>
      <c r="AE77" s="28">
        <v>1.85</v>
      </c>
      <c r="AF77" s="28">
        <v>4.9000000000000004</v>
      </c>
      <c r="AG77" s="32">
        <v>2.78</v>
      </c>
      <c r="AH77" s="28">
        <v>1.65</v>
      </c>
      <c r="AI77" s="22">
        <v>1.39</v>
      </c>
      <c r="AJ77" s="20" t="s">
        <v>193</v>
      </c>
      <c r="AK77" s="28" t="s">
        <v>193</v>
      </c>
      <c r="AL77" s="22">
        <v>105.3</v>
      </c>
      <c r="AM77" s="35">
        <v>1.85</v>
      </c>
      <c r="AN77" s="35">
        <v>1.28</v>
      </c>
      <c r="AO77" s="35">
        <v>0.77</v>
      </c>
      <c r="AP77" s="23">
        <v>0.63</v>
      </c>
      <c r="AQ77" s="23">
        <v>1.35</v>
      </c>
      <c r="AR77" s="23">
        <v>2</v>
      </c>
      <c r="AS77" s="35">
        <v>2.65</v>
      </c>
      <c r="AT77" s="35">
        <v>0.77</v>
      </c>
      <c r="AU77" s="23">
        <v>1.44</v>
      </c>
      <c r="AV77" s="23">
        <v>1.3</v>
      </c>
      <c r="AW77" s="23">
        <v>1.266</v>
      </c>
      <c r="AX77" s="23">
        <v>1.35</v>
      </c>
      <c r="AY77" s="23">
        <v>1.2549999999999999</v>
      </c>
      <c r="AZ77" s="28">
        <v>8.5</v>
      </c>
      <c r="BA77" s="28">
        <v>3318.15</v>
      </c>
      <c r="BB77" s="28">
        <v>5303.15</v>
      </c>
      <c r="BC77" s="28">
        <v>22.6</v>
      </c>
      <c r="BD77" s="28">
        <v>0.13</v>
      </c>
      <c r="BE77" s="28">
        <v>31.8</v>
      </c>
      <c r="BF77" s="26">
        <v>746</v>
      </c>
      <c r="BG77" s="26">
        <v>791</v>
      </c>
      <c r="BH77" s="28">
        <v>87.6</v>
      </c>
      <c r="BI77" s="26">
        <v>5.1000000000000003E-6</v>
      </c>
      <c r="BJ77" s="28">
        <v>8.17</v>
      </c>
      <c r="BK77" s="26">
        <v>373</v>
      </c>
      <c r="BL77" s="26">
        <v>222</v>
      </c>
      <c r="BM77" s="26"/>
      <c r="BN77" s="26">
        <v>4.137063913415</v>
      </c>
      <c r="BO77" s="26">
        <v>3.92</v>
      </c>
      <c r="BP77" s="26">
        <v>8.0000000000009994E-8</v>
      </c>
      <c r="BQ77" s="26">
        <v>12000000</v>
      </c>
      <c r="BR77" s="27">
        <v>15</v>
      </c>
      <c r="BS77" s="27">
        <v>2.3E-3</v>
      </c>
      <c r="BT77" s="27">
        <v>35</v>
      </c>
      <c r="BU77" s="27">
        <v>6</v>
      </c>
      <c r="BV77" s="27">
        <v>0.17142857142857143</v>
      </c>
      <c r="BW77" s="27">
        <v>0.98409999999999997</v>
      </c>
      <c r="BX77" s="28">
        <v>1.5313771176609466E-9</v>
      </c>
      <c r="BY77" s="28">
        <v>2.2012522984124542E-11</v>
      </c>
      <c r="BZ77" s="30">
        <v>5504</v>
      </c>
      <c r="CA77" s="30">
        <v>9087</v>
      </c>
      <c r="CB77" s="28">
        <v>7700</v>
      </c>
    </row>
    <row r="78" spans="1:80" ht="16.2" x14ac:dyDescent="0.3">
      <c r="A78" s="15" t="s">
        <v>154</v>
      </c>
      <c r="B78" s="33" t="s">
        <v>153</v>
      </c>
      <c r="C78" s="35">
        <v>192.21700000000001</v>
      </c>
      <c r="D78" s="28">
        <v>77</v>
      </c>
      <c r="E78" s="28">
        <v>6</v>
      </c>
      <c r="F78" s="28">
        <v>9</v>
      </c>
      <c r="G78" s="18">
        <v>2</v>
      </c>
      <c r="H78" s="17">
        <v>1</v>
      </c>
      <c r="I78" s="28">
        <v>60</v>
      </c>
      <c r="J78" s="28">
        <v>4</v>
      </c>
      <c r="K78" s="28">
        <v>2</v>
      </c>
      <c r="L78" s="28">
        <v>0</v>
      </c>
      <c r="M78" s="28">
        <v>7</v>
      </c>
      <c r="N78" s="28">
        <v>14</v>
      </c>
      <c r="O78" s="19">
        <v>0</v>
      </c>
      <c r="P78" s="19">
        <v>6</v>
      </c>
      <c r="Q78" s="19">
        <v>3</v>
      </c>
      <c r="R78" s="19">
        <v>0</v>
      </c>
      <c r="S78" s="28">
        <v>23</v>
      </c>
      <c r="T78" s="28">
        <v>2</v>
      </c>
      <c r="U78" s="28">
        <v>4</v>
      </c>
      <c r="V78" s="19">
        <v>5.78</v>
      </c>
      <c r="W78" s="28">
        <v>5.78</v>
      </c>
      <c r="X78" s="21">
        <v>4.9080000000000004</v>
      </c>
      <c r="Y78" s="21">
        <v>1.234</v>
      </c>
      <c r="Z78" s="35">
        <v>8.9670000000000005</v>
      </c>
      <c r="AA78" s="21">
        <v>1.5421605922551254</v>
      </c>
      <c r="AB78" s="22">
        <v>5.4</v>
      </c>
      <c r="AC78" s="25" t="s">
        <v>193</v>
      </c>
      <c r="AD78" s="28">
        <v>2.2000000000000002</v>
      </c>
      <c r="AE78" s="28">
        <v>1.87</v>
      </c>
      <c r="AF78" s="28">
        <v>5.4</v>
      </c>
      <c r="AG78" s="22">
        <v>2.2000000000000002</v>
      </c>
      <c r="AH78" s="28">
        <v>1.68</v>
      </c>
      <c r="AI78" s="22">
        <v>1.43</v>
      </c>
      <c r="AJ78" s="20" t="s">
        <v>193</v>
      </c>
      <c r="AK78" s="28" t="s">
        <v>193</v>
      </c>
      <c r="AL78" s="22">
        <v>118.8</v>
      </c>
      <c r="AM78" s="35">
        <v>1.8</v>
      </c>
      <c r="AN78" s="35">
        <v>1.37</v>
      </c>
      <c r="AO78" s="35">
        <v>0.82</v>
      </c>
      <c r="AP78" s="23">
        <v>0.68</v>
      </c>
      <c r="AQ78" s="23">
        <v>1.36</v>
      </c>
      <c r="AR78" s="23">
        <v>2</v>
      </c>
      <c r="AS78" s="35">
        <v>2.63</v>
      </c>
      <c r="AT78" s="35">
        <v>0.77</v>
      </c>
      <c r="AU78" s="23">
        <v>1.41</v>
      </c>
      <c r="AV78" s="23">
        <v>1.35</v>
      </c>
      <c r="AW78" s="23">
        <v>1.2270000000000001</v>
      </c>
      <c r="AX78" s="23">
        <v>1.355</v>
      </c>
      <c r="AY78" s="23">
        <v>1.26</v>
      </c>
      <c r="AZ78" s="28">
        <v>7.6</v>
      </c>
      <c r="BA78" s="28">
        <v>2683.15</v>
      </c>
      <c r="BB78" s="28">
        <v>4403.1499999999996</v>
      </c>
      <c r="BC78" s="28">
        <v>22.4</v>
      </c>
      <c r="BD78" s="28">
        <v>0.13</v>
      </c>
      <c r="BE78" s="28">
        <v>26.1</v>
      </c>
      <c r="BF78" s="26">
        <v>604</v>
      </c>
      <c r="BG78" s="26">
        <v>665</v>
      </c>
      <c r="BH78" s="28">
        <v>147</v>
      </c>
      <c r="BI78" s="26">
        <v>6.3999999999999997E-6</v>
      </c>
      <c r="BJ78" s="28">
        <v>6.94</v>
      </c>
      <c r="BK78" s="26">
        <v>371</v>
      </c>
      <c r="BL78" s="26">
        <v>210</v>
      </c>
      <c r="BM78" s="26">
        <v>528</v>
      </c>
      <c r="BN78" s="26">
        <v>1.76</v>
      </c>
      <c r="BO78" s="26">
        <v>1.67</v>
      </c>
      <c r="BP78" s="26">
        <v>4.6999999999979999E-8</v>
      </c>
      <c r="BQ78" s="26">
        <v>21000000</v>
      </c>
      <c r="BR78" s="27">
        <v>425</v>
      </c>
      <c r="BS78" s="27">
        <v>8.1000000000000003E-2</v>
      </c>
      <c r="BT78" s="27">
        <v>36</v>
      </c>
      <c r="BU78" s="27">
        <v>2</v>
      </c>
      <c r="BV78" s="27">
        <v>5.5555555555555552E-2</v>
      </c>
      <c r="BW78" s="27">
        <v>1</v>
      </c>
      <c r="BX78" s="28">
        <v>1.0209180784406311E-9</v>
      </c>
      <c r="BY78" s="28">
        <v>2.1555966951861219E-11</v>
      </c>
      <c r="BZ78" s="30">
        <v>5504</v>
      </c>
      <c r="CA78" s="30">
        <v>9087</v>
      </c>
      <c r="CB78" s="28">
        <v>4200</v>
      </c>
    </row>
    <row r="79" spans="1:80" ht="16.2" x14ac:dyDescent="0.3">
      <c r="A79" s="15" t="s">
        <v>156</v>
      </c>
      <c r="B79" s="33" t="s">
        <v>155</v>
      </c>
      <c r="C79" s="35">
        <v>195.084</v>
      </c>
      <c r="D79" s="28">
        <v>78</v>
      </c>
      <c r="E79" s="28">
        <v>6</v>
      </c>
      <c r="F79" s="28">
        <v>10</v>
      </c>
      <c r="G79" s="18">
        <v>2</v>
      </c>
      <c r="H79" s="17">
        <v>1</v>
      </c>
      <c r="I79" s="28">
        <v>63</v>
      </c>
      <c r="J79" s="28">
        <v>4</v>
      </c>
      <c r="K79" s="28">
        <v>1</v>
      </c>
      <c r="L79" s="28">
        <v>0</v>
      </c>
      <c r="M79" s="28">
        <v>9</v>
      </c>
      <c r="N79" s="28">
        <v>14</v>
      </c>
      <c r="O79" s="19">
        <v>1</v>
      </c>
      <c r="P79" s="19">
        <v>6</v>
      </c>
      <c r="Q79" s="19">
        <v>1</v>
      </c>
      <c r="R79" s="19">
        <v>0</v>
      </c>
      <c r="S79" s="28">
        <v>24</v>
      </c>
      <c r="T79" s="28">
        <v>1</v>
      </c>
      <c r="U79" s="28">
        <v>3</v>
      </c>
      <c r="V79" s="19">
        <v>5.78</v>
      </c>
      <c r="W79" s="28">
        <v>5.78</v>
      </c>
      <c r="X79" s="21">
        <v>4.883</v>
      </c>
      <c r="Y79" s="21">
        <v>1.2410000000000001</v>
      </c>
      <c r="Z79" s="35">
        <v>8.9588000000000001</v>
      </c>
      <c r="AA79" s="21">
        <v>2.1158456221198159</v>
      </c>
      <c r="AB79" s="22">
        <v>5.6</v>
      </c>
      <c r="AC79" s="25" t="s">
        <v>193</v>
      </c>
      <c r="AD79" s="28">
        <v>2.2799999999999998</v>
      </c>
      <c r="AE79" s="28">
        <v>1.91</v>
      </c>
      <c r="AF79" s="28">
        <v>5.6</v>
      </c>
      <c r="AG79" s="22">
        <v>2.2799999999999998</v>
      </c>
      <c r="AH79" s="28">
        <v>1.72</v>
      </c>
      <c r="AI79" s="22">
        <v>1.49</v>
      </c>
      <c r="AJ79" s="20" t="s">
        <v>193</v>
      </c>
      <c r="AK79" s="28" t="s">
        <v>193</v>
      </c>
      <c r="AL79" s="22">
        <v>133.4</v>
      </c>
      <c r="AM79" s="35">
        <v>1.77</v>
      </c>
      <c r="AN79" s="35">
        <v>1.28</v>
      </c>
      <c r="AO79" s="35">
        <v>0.94</v>
      </c>
      <c r="AP79" s="23">
        <v>0.8</v>
      </c>
      <c r="AQ79" s="23">
        <v>1.39</v>
      </c>
      <c r="AR79" s="23">
        <v>1.75</v>
      </c>
      <c r="AS79" s="35">
        <v>2.7</v>
      </c>
      <c r="AT79" s="35">
        <v>0.74</v>
      </c>
      <c r="AU79" s="23">
        <v>1.36</v>
      </c>
      <c r="AV79" s="23">
        <v>1.35</v>
      </c>
      <c r="AW79" s="23">
        <v>1.2209999999999999</v>
      </c>
      <c r="AX79" s="23">
        <v>1.385</v>
      </c>
      <c r="AY79" s="23">
        <v>1.29</v>
      </c>
      <c r="AZ79" s="28">
        <v>6.5</v>
      </c>
      <c r="BA79" s="28">
        <v>2045.15</v>
      </c>
      <c r="BB79" s="28">
        <v>4100.1499999999996</v>
      </c>
      <c r="BC79" s="28">
        <v>21.4</v>
      </c>
      <c r="BD79" s="28">
        <v>0.13</v>
      </c>
      <c r="BE79" s="28">
        <v>19.600000000000001</v>
      </c>
      <c r="BF79" s="26">
        <v>510</v>
      </c>
      <c r="BG79" s="26">
        <v>565</v>
      </c>
      <c r="BH79" s="28">
        <v>71.599999999999994</v>
      </c>
      <c r="BI79" s="26">
        <v>8.8999999999999995E-6</v>
      </c>
      <c r="BJ79" s="28">
        <v>5.84</v>
      </c>
      <c r="BK79" s="26">
        <v>276</v>
      </c>
      <c r="BL79" s="26">
        <v>61</v>
      </c>
      <c r="BM79" s="26">
        <v>168</v>
      </c>
      <c r="BN79" s="26">
        <v>0.54900000000000004</v>
      </c>
      <c r="BO79" s="26">
        <v>0.39200000000000002</v>
      </c>
      <c r="BP79" s="26">
        <v>1.1000000000000001E-7</v>
      </c>
      <c r="BQ79" s="26">
        <v>9400000</v>
      </c>
      <c r="BR79" s="27">
        <v>10</v>
      </c>
      <c r="BS79" s="27">
        <v>2E-3</v>
      </c>
      <c r="BT79" s="27">
        <v>37</v>
      </c>
      <c r="BU79" s="27">
        <v>5</v>
      </c>
      <c r="BV79" s="27">
        <v>0.13513513513513514</v>
      </c>
      <c r="BW79" s="27">
        <v>0.99990000000000001</v>
      </c>
      <c r="BX79" s="28">
        <v>5.1045903922031554E-9</v>
      </c>
      <c r="BY79" s="28">
        <v>4.3698934516632428E-11</v>
      </c>
      <c r="BZ79" s="30">
        <v>5504</v>
      </c>
      <c r="CA79" s="30">
        <v>9087</v>
      </c>
      <c r="CB79" s="28">
        <v>4700</v>
      </c>
    </row>
    <row r="80" spans="1:80" ht="16.2" x14ac:dyDescent="0.3">
      <c r="A80" s="15" t="s">
        <v>158</v>
      </c>
      <c r="B80" s="33" t="s">
        <v>157</v>
      </c>
      <c r="C80" s="35">
        <v>196.96654000000001</v>
      </c>
      <c r="D80" s="28">
        <v>79</v>
      </c>
      <c r="E80" s="28">
        <v>6</v>
      </c>
      <c r="F80" s="28">
        <v>11</v>
      </c>
      <c r="G80" s="18">
        <v>2</v>
      </c>
      <c r="H80" s="17">
        <v>1</v>
      </c>
      <c r="I80" s="28">
        <v>66</v>
      </c>
      <c r="J80" s="28">
        <v>4</v>
      </c>
      <c r="K80" s="28">
        <v>1</v>
      </c>
      <c r="L80" s="28">
        <v>0</v>
      </c>
      <c r="M80" s="28">
        <v>10</v>
      </c>
      <c r="N80" s="28">
        <v>14</v>
      </c>
      <c r="O80" s="19">
        <v>1</v>
      </c>
      <c r="P80" s="19">
        <v>6</v>
      </c>
      <c r="Q80" s="19">
        <v>0</v>
      </c>
      <c r="R80" s="19">
        <v>0</v>
      </c>
      <c r="S80" s="28">
        <v>25</v>
      </c>
      <c r="T80" s="28">
        <v>1</v>
      </c>
      <c r="U80" s="28">
        <v>2</v>
      </c>
      <c r="V80" s="19">
        <v>5.44</v>
      </c>
      <c r="W80" s="28">
        <v>5.44</v>
      </c>
      <c r="X80" s="21">
        <v>4.9379999999999997</v>
      </c>
      <c r="Y80" s="21">
        <v>1.2270000000000001</v>
      </c>
      <c r="Z80" s="35">
        <v>9.2255000000000003</v>
      </c>
      <c r="AA80" s="21">
        <v>2.3115578651685396</v>
      </c>
      <c r="AB80" s="22">
        <v>5.77</v>
      </c>
      <c r="AC80" s="25" t="s">
        <v>193</v>
      </c>
      <c r="AD80" s="28">
        <v>2.54</v>
      </c>
      <c r="AE80" s="28">
        <v>1.19</v>
      </c>
      <c r="AF80" s="28">
        <v>5.77</v>
      </c>
      <c r="AG80" s="22">
        <v>2.54</v>
      </c>
      <c r="AH80" s="28">
        <v>1.92</v>
      </c>
      <c r="AI80" s="22">
        <v>1.53</v>
      </c>
      <c r="AJ80" s="20" t="s">
        <v>193</v>
      </c>
      <c r="AK80" s="28">
        <v>3.1</v>
      </c>
      <c r="AL80" s="22">
        <v>149.1</v>
      </c>
      <c r="AM80" s="35">
        <v>1.74</v>
      </c>
      <c r="AN80" s="35">
        <v>1.44</v>
      </c>
      <c r="AO80" s="35">
        <v>1.51</v>
      </c>
      <c r="AP80" s="23">
        <v>1.37</v>
      </c>
      <c r="AQ80" s="23">
        <v>1.43</v>
      </c>
      <c r="AR80" s="23">
        <v>1.66</v>
      </c>
      <c r="AS80" s="35">
        <v>2.66</v>
      </c>
      <c r="AT80" s="35">
        <v>1.51</v>
      </c>
      <c r="AU80" s="23">
        <v>1.36</v>
      </c>
      <c r="AV80" s="23">
        <v>1.35</v>
      </c>
      <c r="AW80" s="23">
        <v>1.1870000000000001</v>
      </c>
      <c r="AX80" s="23">
        <v>1.4390000000000001</v>
      </c>
      <c r="AY80" s="23">
        <v>1.3360000000000001</v>
      </c>
      <c r="AZ80" s="28">
        <v>6.1</v>
      </c>
      <c r="BA80" s="28">
        <v>1337.15</v>
      </c>
      <c r="BB80" s="28">
        <v>3353.15</v>
      </c>
      <c r="BC80" s="28">
        <v>19.3</v>
      </c>
      <c r="BD80" s="28">
        <v>0.128</v>
      </c>
      <c r="BE80" s="28">
        <v>12.55</v>
      </c>
      <c r="BF80" s="26">
        <v>334.4</v>
      </c>
      <c r="BG80" s="26">
        <v>366</v>
      </c>
      <c r="BH80" s="28">
        <v>317</v>
      </c>
      <c r="BI80" s="26">
        <v>1.42E-5</v>
      </c>
      <c r="BJ80" s="28">
        <v>3.81</v>
      </c>
      <c r="BK80" s="26">
        <v>171</v>
      </c>
      <c r="BL80" s="26">
        <v>27</v>
      </c>
      <c r="BM80" s="26">
        <v>78</v>
      </c>
      <c r="BN80" s="26">
        <v>0.216</v>
      </c>
      <c r="BO80" s="26">
        <v>2.4500000000000002</v>
      </c>
      <c r="BP80" s="26">
        <v>2.1999999999999998E-8</v>
      </c>
      <c r="BQ80" s="26">
        <v>45000000</v>
      </c>
      <c r="BR80" s="27">
        <v>98.7</v>
      </c>
      <c r="BS80" s="27">
        <v>1.7000000000000001E-2</v>
      </c>
      <c r="BT80" s="27">
        <v>37</v>
      </c>
      <c r="BU80" s="27">
        <v>1</v>
      </c>
      <c r="BV80" s="27">
        <v>2.7027027027027029E-2</v>
      </c>
      <c r="BW80" s="27">
        <v>1</v>
      </c>
      <c r="BX80" s="28">
        <v>4.0836723137625245E-9</v>
      </c>
      <c r="BY80" s="28">
        <v>6.0982841452315398E-12</v>
      </c>
      <c r="BZ80" s="30">
        <v>1119</v>
      </c>
      <c r="CA80" s="30">
        <v>1040</v>
      </c>
      <c r="CB80" s="28">
        <v>4400</v>
      </c>
    </row>
    <row r="81" spans="1:80" ht="16.2" x14ac:dyDescent="0.3">
      <c r="A81" s="15" t="s">
        <v>160</v>
      </c>
      <c r="B81" s="33" t="s">
        <v>159</v>
      </c>
      <c r="C81" s="35">
        <v>200.59200000000001</v>
      </c>
      <c r="D81" s="28">
        <v>80</v>
      </c>
      <c r="E81" s="28">
        <v>6</v>
      </c>
      <c r="F81" s="28">
        <v>12</v>
      </c>
      <c r="G81" s="18">
        <v>2</v>
      </c>
      <c r="H81" s="17">
        <v>1</v>
      </c>
      <c r="I81" s="28">
        <v>71</v>
      </c>
      <c r="J81" s="28">
        <v>4</v>
      </c>
      <c r="K81" s="28">
        <v>2</v>
      </c>
      <c r="L81" s="28">
        <v>0</v>
      </c>
      <c r="M81" s="28">
        <v>10</v>
      </c>
      <c r="N81" s="28">
        <v>14</v>
      </c>
      <c r="O81" s="19">
        <v>0</v>
      </c>
      <c r="P81" s="19">
        <v>6</v>
      </c>
      <c r="Q81" s="19">
        <v>0</v>
      </c>
      <c r="R81" s="19">
        <v>0</v>
      </c>
      <c r="S81" s="28">
        <v>26</v>
      </c>
      <c r="T81" s="28">
        <v>2</v>
      </c>
      <c r="U81" s="28">
        <v>1</v>
      </c>
      <c r="V81" s="19">
        <v>4.4400000000000004</v>
      </c>
      <c r="W81" s="28">
        <v>4.4400000000000004</v>
      </c>
      <c r="X81" s="21">
        <v>4.04</v>
      </c>
      <c r="Y81" s="21">
        <v>1.506</v>
      </c>
      <c r="Z81" s="35">
        <v>10.4375</v>
      </c>
      <c r="AA81" s="21">
        <v>-0.51824726911618668</v>
      </c>
      <c r="AB81" s="22">
        <v>4.91</v>
      </c>
      <c r="AC81" s="25" t="s">
        <v>193</v>
      </c>
      <c r="AD81" s="28">
        <v>2</v>
      </c>
      <c r="AE81" s="28">
        <v>1.49</v>
      </c>
      <c r="AF81" s="28">
        <v>4.91</v>
      </c>
      <c r="AG81" s="22">
        <v>2</v>
      </c>
      <c r="AH81" s="28">
        <v>1.76</v>
      </c>
      <c r="AI81" s="22">
        <v>1.54</v>
      </c>
      <c r="AJ81" s="20" t="s">
        <v>193</v>
      </c>
      <c r="AK81" s="28">
        <v>1</v>
      </c>
      <c r="AL81" s="22">
        <v>166</v>
      </c>
      <c r="AM81" s="35">
        <v>1.71</v>
      </c>
      <c r="AN81" s="35">
        <v>1.49</v>
      </c>
      <c r="AO81" s="35">
        <v>1.33</v>
      </c>
      <c r="AP81" s="23">
        <v>1.19</v>
      </c>
      <c r="AQ81" s="23">
        <v>1.52</v>
      </c>
      <c r="AR81" s="23">
        <v>1.55</v>
      </c>
      <c r="AS81" s="35">
        <v>2.41</v>
      </c>
      <c r="AT81" s="35">
        <v>0.83</v>
      </c>
      <c r="AU81" s="23">
        <v>1.32</v>
      </c>
      <c r="AV81" s="23">
        <v>1.5</v>
      </c>
      <c r="AW81" s="23">
        <v>1.1259999999999999</v>
      </c>
      <c r="AX81" s="23">
        <v>1.57</v>
      </c>
      <c r="AY81" s="23">
        <v>1.44</v>
      </c>
      <c r="AZ81" s="28">
        <v>5.4</v>
      </c>
      <c r="BA81" s="28">
        <v>234.24999999999997</v>
      </c>
      <c r="BB81" s="28">
        <v>630.15</v>
      </c>
      <c r="BC81" s="28">
        <v>13.5</v>
      </c>
      <c r="BD81" s="28">
        <v>0.13900000000000001</v>
      </c>
      <c r="BE81" s="28">
        <v>2.2949999999999999</v>
      </c>
      <c r="BF81" s="26">
        <v>59.228999999999999</v>
      </c>
      <c r="BG81" s="26">
        <v>61</v>
      </c>
      <c r="BH81" s="28">
        <v>8.34</v>
      </c>
      <c r="BI81" s="26">
        <v>1.8100000000000001E-4</v>
      </c>
      <c r="BJ81" s="28">
        <v>0.67</v>
      </c>
      <c r="BK81" s="26">
        <v>38.200000000000003</v>
      </c>
      <c r="BL81" s="20" t="s">
        <v>193</v>
      </c>
      <c r="BM81" s="20" t="s">
        <v>193</v>
      </c>
      <c r="BN81" s="20" t="s">
        <v>193</v>
      </c>
      <c r="BO81" s="20" t="s">
        <v>193</v>
      </c>
      <c r="BP81" s="26">
        <v>9.5999999999999991E-7</v>
      </c>
      <c r="BQ81" s="26">
        <v>1000000</v>
      </c>
      <c r="BR81" s="27">
        <v>374</v>
      </c>
      <c r="BS81" s="27">
        <v>6.3E-2</v>
      </c>
      <c r="BT81" s="27">
        <v>40</v>
      </c>
      <c r="BU81" s="27">
        <v>7</v>
      </c>
      <c r="BV81" s="27">
        <v>0.17499999999999999</v>
      </c>
      <c r="BW81" s="27">
        <v>0.374</v>
      </c>
      <c r="BX81" s="28">
        <v>8.6778036667453647E-8</v>
      </c>
      <c r="BY81" s="28">
        <v>1.1087789354966438E-11</v>
      </c>
      <c r="BZ81" s="30">
        <v>5505</v>
      </c>
      <c r="CA81" s="30">
        <v>3054</v>
      </c>
      <c r="CB81" s="28">
        <v>5</v>
      </c>
    </row>
    <row r="82" spans="1:80" ht="16.2" x14ac:dyDescent="0.3">
      <c r="A82" s="15" t="s">
        <v>162</v>
      </c>
      <c r="B82" s="33" t="s">
        <v>161</v>
      </c>
      <c r="C82" s="35">
        <v>204.38329999999999</v>
      </c>
      <c r="D82" s="28">
        <v>81</v>
      </c>
      <c r="E82" s="28">
        <v>6</v>
      </c>
      <c r="F82" s="28">
        <v>13</v>
      </c>
      <c r="G82" s="18">
        <v>1</v>
      </c>
      <c r="H82" s="17">
        <v>1</v>
      </c>
      <c r="I82" s="28">
        <v>76</v>
      </c>
      <c r="J82" s="28">
        <v>5</v>
      </c>
      <c r="K82" s="28">
        <v>2</v>
      </c>
      <c r="L82" s="28">
        <v>1</v>
      </c>
      <c r="M82" s="28">
        <v>10</v>
      </c>
      <c r="N82" s="28">
        <v>14</v>
      </c>
      <c r="O82" s="19">
        <v>0</v>
      </c>
      <c r="P82" s="19">
        <v>5</v>
      </c>
      <c r="Q82" s="19">
        <v>0</v>
      </c>
      <c r="R82" s="19">
        <v>0</v>
      </c>
      <c r="S82" s="28">
        <v>27</v>
      </c>
      <c r="T82" s="28">
        <v>3</v>
      </c>
      <c r="U82" s="28">
        <v>3</v>
      </c>
      <c r="V82" s="19">
        <v>3.44</v>
      </c>
      <c r="W82" s="28">
        <v>3.44</v>
      </c>
      <c r="X82" s="21">
        <v>4.07</v>
      </c>
      <c r="Y82" s="21">
        <v>1.506</v>
      </c>
      <c r="Z82" s="35">
        <v>6.1082000000000001</v>
      </c>
      <c r="AA82" s="21">
        <v>0.37333650254668932</v>
      </c>
      <c r="AB82" s="22">
        <v>3.2</v>
      </c>
      <c r="AC82" s="25" t="s">
        <v>193</v>
      </c>
      <c r="AD82" s="28">
        <v>1.62</v>
      </c>
      <c r="AE82" s="28">
        <v>1.69</v>
      </c>
      <c r="AF82" s="28">
        <v>3.2</v>
      </c>
      <c r="AG82" s="22">
        <v>2.04</v>
      </c>
      <c r="AH82" s="28">
        <v>1.7889999999999999</v>
      </c>
      <c r="AI82" s="22">
        <v>1.59</v>
      </c>
      <c r="AJ82" s="20" t="s">
        <v>193</v>
      </c>
      <c r="AK82" s="28">
        <v>1.3</v>
      </c>
      <c r="AL82" s="22">
        <v>3.3</v>
      </c>
      <c r="AM82" s="35">
        <v>1.56</v>
      </c>
      <c r="AN82" s="35">
        <v>1.48</v>
      </c>
      <c r="AO82" s="35">
        <v>1.64</v>
      </c>
      <c r="AP82" s="23">
        <v>1.5</v>
      </c>
      <c r="AQ82" s="23">
        <v>1.72</v>
      </c>
      <c r="AR82" s="23">
        <v>1.96</v>
      </c>
      <c r="AS82" s="35">
        <v>2.2400000000000002</v>
      </c>
      <c r="AT82" s="35">
        <v>1.03</v>
      </c>
      <c r="AU82" s="23">
        <v>1.45</v>
      </c>
      <c r="AV82" s="23">
        <v>1.9</v>
      </c>
      <c r="AW82" s="23">
        <v>1.319</v>
      </c>
      <c r="AX82" s="23">
        <v>1.712</v>
      </c>
      <c r="AY82" s="23">
        <v>1.5489999999999999</v>
      </c>
      <c r="AZ82" s="28">
        <v>7.6</v>
      </c>
      <c r="BA82" s="28">
        <v>576.15</v>
      </c>
      <c r="BB82" s="28">
        <v>1730.15</v>
      </c>
      <c r="BC82" s="28">
        <v>11.9</v>
      </c>
      <c r="BD82" s="28">
        <v>0.13</v>
      </c>
      <c r="BE82" s="28">
        <v>4.1420000000000003</v>
      </c>
      <c r="BF82" s="26">
        <v>164.1</v>
      </c>
      <c r="BG82" s="26">
        <v>182</v>
      </c>
      <c r="BH82" s="28">
        <v>46.1</v>
      </c>
      <c r="BI82" s="26">
        <v>2.9899999999999998E-5</v>
      </c>
      <c r="BJ82" s="28">
        <v>1.88</v>
      </c>
      <c r="BK82" s="26">
        <v>28.5</v>
      </c>
      <c r="BL82" s="26">
        <v>2.8</v>
      </c>
      <c r="BM82" s="26">
        <v>8</v>
      </c>
      <c r="BN82" s="20" t="s">
        <v>193</v>
      </c>
      <c r="BO82" s="26">
        <v>2.64E-2</v>
      </c>
      <c r="BP82" s="26">
        <v>1.4999999999999999E-7</v>
      </c>
      <c r="BQ82" s="26">
        <v>6700000</v>
      </c>
      <c r="BR82" s="27">
        <v>3.4</v>
      </c>
      <c r="BS82" s="27">
        <v>5.9000000000000003E-4</v>
      </c>
      <c r="BT82" s="27">
        <v>37</v>
      </c>
      <c r="BU82" s="27">
        <v>2</v>
      </c>
      <c r="BV82" s="27">
        <v>5.4054054054054057E-2</v>
      </c>
      <c r="BW82" s="27">
        <v>-0.252</v>
      </c>
      <c r="BX82" s="28">
        <v>8.6778036667453639E-7</v>
      </c>
      <c r="BY82" s="28">
        <v>6.0004507097465435E-12</v>
      </c>
      <c r="BZ82" s="30">
        <v>6500</v>
      </c>
      <c r="CA82" s="30">
        <v>6500</v>
      </c>
      <c r="CB82" s="28">
        <v>48</v>
      </c>
    </row>
    <row r="83" spans="1:80" ht="16.2" x14ac:dyDescent="0.3">
      <c r="A83" s="15" t="s">
        <v>164</v>
      </c>
      <c r="B83" s="33" t="s">
        <v>163</v>
      </c>
      <c r="C83" s="35">
        <v>207.2</v>
      </c>
      <c r="D83" s="28">
        <v>82</v>
      </c>
      <c r="E83" s="28">
        <v>6</v>
      </c>
      <c r="F83" s="28">
        <v>14</v>
      </c>
      <c r="G83" s="18">
        <v>1</v>
      </c>
      <c r="H83" s="17">
        <v>1</v>
      </c>
      <c r="I83" s="28">
        <v>81</v>
      </c>
      <c r="J83" s="28">
        <v>5</v>
      </c>
      <c r="K83" s="28">
        <v>2</v>
      </c>
      <c r="L83" s="28">
        <v>2</v>
      </c>
      <c r="M83" s="28">
        <v>10</v>
      </c>
      <c r="N83" s="28">
        <v>14</v>
      </c>
      <c r="O83" s="19">
        <v>0</v>
      </c>
      <c r="P83" s="19">
        <v>4</v>
      </c>
      <c r="Q83" s="19">
        <v>0</v>
      </c>
      <c r="R83" s="19">
        <v>0</v>
      </c>
      <c r="S83" s="28">
        <v>28</v>
      </c>
      <c r="T83" s="28">
        <v>4</v>
      </c>
      <c r="U83" s="28">
        <v>4</v>
      </c>
      <c r="V83" s="19">
        <v>2.44</v>
      </c>
      <c r="W83" s="28">
        <v>2.44</v>
      </c>
      <c r="X83" s="21">
        <v>4.4260000000000002</v>
      </c>
      <c r="Y83" s="21">
        <v>1.3680000000000001</v>
      </c>
      <c r="Z83" s="35">
        <v>7.4166999999999996</v>
      </c>
      <c r="AA83" s="21">
        <v>0.35218966480446928</v>
      </c>
      <c r="AB83" s="22">
        <v>3.9</v>
      </c>
      <c r="AC83" s="25" t="s">
        <v>193</v>
      </c>
      <c r="AD83" s="28">
        <v>1.87</v>
      </c>
      <c r="AE83" s="28">
        <v>1.92</v>
      </c>
      <c r="AF83" s="28">
        <v>3.9</v>
      </c>
      <c r="AG83" s="22">
        <v>2.33</v>
      </c>
      <c r="AH83" s="28">
        <v>1.8540000000000001</v>
      </c>
      <c r="AI83" s="22">
        <v>1.76</v>
      </c>
      <c r="AJ83" s="20" t="s">
        <v>193</v>
      </c>
      <c r="AK83" s="28">
        <v>1.5</v>
      </c>
      <c r="AL83" s="22">
        <v>4.7699999999999996</v>
      </c>
      <c r="AM83" s="35">
        <v>1.54</v>
      </c>
      <c r="AN83" s="35">
        <v>1.47</v>
      </c>
      <c r="AO83" s="35">
        <v>1.33</v>
      </c>
      <c r="AP83" s="23">
        <v>1.19</v>
      </c>
      <c r="AQ83" s="23">
        <v>1.74</v>
      </c>
      <c r="AR83" s="23">
        <v>2.02</v>
      </c>
      <c r="AS83" s="35">
        <v>2.09</v>
      </c>
      <c r="AT83" s="35">
        <v>1.49</v>
      </c>
      <c r="AU83" s="23">
        <v>1.46</v>
      </c>
      <c r="AV83" s="23">
        <v>1.8</v>
      </c>
      <c r="AW83" s="23">
        <v>1.2150000000000001</v>
      </c>
      <c r="AX83" s="23">
        <v>1.746</v>
      </c>
      <c r="AY83" s="23">
        <v>1.538</v>
      </c>
      <c r="AZ83" s="28">
        <v>6.8</v>
      </c>
      <c r="BA83" s="28">
        <v>600.65</v>
      </c>
      <c r="BB83" s="28">
        <v>2013.15</v>
      </c>
      <c r="BC83" s="28">
        <v>11.4</v>
      </c>
      <c r="BD83" s="28">
        <v>0.13</v>
      </c>
      <c r="BE83" s="28">
        <v>4.7990000000000004</v>
      </c>
      <c r="BF83" s="26">
        <v>177.7</v>
      </c>
      <c r="BG83" s="26">
        <v>196</v>
      </c>
      <c r="BH83" s="28">
        <v>35.299999999999997</v>
      </c>
      <c r="BI83" s="26">
        <v>2.8900000000000001E-5</v>
      </c>
      <c r="BJ83" s="28">
        <v>2.0299999999999998</v>
      </c>
      <c r="BK83" s="26">
        <v>45.8</v>
      </c>
      <c r="BL83" s="26">
        <v>5.6</v>
      </c>
      <c r="BM83" s="26">
        <v>16</v>
      </c>
      <c r="BN83" s="20" t="s">
        <v>193</v>
      </c>
      <c r="BO83" s="26">
        <v>3.8299999999999994E-2</v>
      </c>
      <c r="BP83" s="26">
        <v>2.1E-7</v>
      </c>
      <c r="BQ83" s="26">
        <v>4800000</v>
      </c>
      <c r="BR83" s="27">
        <v>0.17100000000000001</v>
      </c>
      <c r="BS83" s="27">
        <v>3.0000000000000001E-5</v>
      </c>
      <c r="BT83" s="27">
        <v>38</v>
      </c>
      <c r="BU83" s="27">
        <v>4</v>
      </c>
      <c r="BV83" s="27">
        <v>0.10526315789473684</v>
      </c>
      <c r="BW83" s="27">
        <v>-0.878</v>
      </c>
      <c r="BX83" s="28">
        <v>1.4292853098168835E-7</v>
      </c>
      <c r="BY83" s="28">
        <v>1.0272510725924785E-10</v>
      </c>
      <c r="BZ83" s="30">
        <v>2716</v>
      </c>
      <c r="CA83" s="30">
        <v>1781</v>
      </c>
      <c r="CB83" s="28">
        <v>1.5</v>
      </c>
    </row>
    <row r="84" spans="1:80" ht="16.2" x14ac:dyDescent="0.3">
      <c r="A84" s="15" t="s">
        <v>166</v>
      </c>
      <c r="B84" s="33" t="s">
        <v>165</v>
      </c>
      <c r="C84" s="35">
        <v>208.98036999999999</v>
      </c>
      <c r="D84" s="28">
        <v>83</v>
      </c>
      <c r="E84" s="28">
        <v>6</v>
      </c>
      <c r="F84" s="28">
        <v>15</v>
      </c>
      <c r="G84" s="18">
        <v>1</v>
      </c>
      <c r="H84" s="17">
        <v>1</v>
      </c>
      <c r="I84" s="28">
        <v>86</v>
      </c>
      <c r="J84" s="28">
        <v>5</v>
      </c>
      <c r="K84" s="28">
        <v>2</v>
      </c>
      <c r="L84" s="28">
        <v>3</v>
      </c>
      <c r="M84" s="28">
        <v>10</v>
      </c>
      <c r="N84" s="28">
        <v>14</v>
      </c>
      <c r="O84" s="19">
        <v>0</v>
      </c>
      <c r="P84" s="19">
        <v>3</v>
      </c>
      <c r="Q84" s="19">
        <v>0</v>
      </c>
      <c r="R84" s="19">
        <v>0</v>
      </c>
      <c r="S84" s="28">
        <v>29</v>
      </c>
      <c r="T84" s="28">
        <v>5</v>
      </c>
      <c r="U84" s="28">
        <v>5</v>
      </c>
      <c r="V84" s="19">
        <v>3</v>
      </c>
      <c r="W84" s="28">
        <v>3</v>
      </c>
      <c r="X84" s="21">
        <v>4.3890000000000002</v>
      </c>
      <c r="Y84" s="21">
        <v>1.3680000000000001</v>
      </c>
      <c r="Z84" s="35">
        <v>7.2854999999999999</v>
      </c>
      <c r="AA84" s="21">
        <v>0.9430732574679942</v>
      </c>
      <c r="AB84" s="22">
        <v>4.6900000000000004</v>
      </c>
      <c r="AC84" s="25" t="s">
        <v>193</v>
      </c>
      <c r="AD84" s="28">
        <v>2.02</v>
      </c>
      <c r="AE84" s="28">
        <v>2.14</v>
      </c>
      <c r="AF84" s="28">
        <v>4.6900000000000004</v>
      </c>
      <c r="AG84" s="22">
        <v>2.02</v>
      </c>
      <c r="AH84" s="28">
        <v>2.0099999999999998</v>
      </c>
      <c r="AI84" s="22">
        <v>1.83</v>
      </c>
      <c r="AJ84" s="20" t="s">
        <v>193</v>
      </c>
      <c r="AK84" s="28">
        <v>1.8</v>
      </c>
      <c r="AL84" s="22">
        <v>6.61</v>
      </c>
      <c r="AM84" s="35">
        <v>1.43</v>
      </c>
      <c r="AN84" s="35">
        <v>1.46</v>
      </c>
      <c r="AO84" s="35">
        <v>1.17</v>
      </c>
      <c r="AP84" s="23">
        <v>1.03</v>
      </c>
      <c r="AQ84" s="23">
        <v>1.62</v>
      </c>
      <c r="AR84" s="23">
        <v>2.2999999999999998</v>
      </c>
      <c r="AS84" s="35">
        <v>2</v>
      </c>
      <c r="AT84" s="35">
        <v>1.17</v>
      </c>
      <c r="AU84" s="23">
        <v>1.48</v>
      </c>
      <c r="AV84" s="23">
        <v>1.6</v>
      </c>
      <c r="AW84" s="23">
        <v>1.2949999999999999</v>
      </c>
      <c r="AX84" s="23">
        <v>1.7</v>
      </c>
      <c r="AY84" s="23">
        <v>1.52</v>
      </c>
      <c r="AZ84" s="28">
        <v>7.4</v>
      </c>
      <c r="BA84" s="28">
        <v>544.15</v>
      </c>
      <c r="BB84" s="28">
        <v>1833.15</v>
      </c>
      <c r="BC84" s="28">
        <v>9.75</v>
      </c>
      <c r="BD84" s="28">
        <v>0.12</v>
      </c>
      <c r="BE84" s="28">
        <v>11.3</v>
      </c>
      <c r="BF84" s="26">
        <v>104.8</v>
      </c>
      <c r="BG84" s="26">
        <v>207</v>
      </c>
      <c r="BH84" s="28">
        <v>7.87</v>
      </c>
      <c r="BI84" s="26">
        <v>1.34E-5</v>
      </c>
      <c r="BJ84" s="28">
        <v>2.1800000000000002</v>
      </c>
      <c r="BK84" s="26">
        <v>31.5</v>
      </c>
      <c r="BL84" s="26">
        <v>12</v>
      </c>
      <c r="BM84" s="26">
        <v>32</v>
      </c>
      <c r="BN84" s="20" t="s">
        <v>193</v>
      </c>
      <c r="BO84" s="26">
        <v>9.4200000000000006E-2</v>
      </c>
      <c r="BP84" s="26">
        <v>1.3E-6</v>
      </c>
      <c r="BQ84" s="26">
        <v>770000</v>
      </c>
      <c r="BR84" s="27">
        <v>3.4000000000000002E-2</v>
      </c>
      <c r="BS84" s="27">
        <v>6.0000000000000002E-6</v>
      </c>
      <c r="BT84" s="27">
        <v>36</v>
      </c>
      <c r="BU84" s="27">
        <v>0</v>
      </c>
      <c r="BV84" s="27">
        <v>0</v>
      </c>
      <c r="BW84" s="27">
        <v>0</v>
      </c>
      <c r="BX84" s="28">
        <v>8.6778036667453644E-9</v>
      </c>
      <c r="BY84" s="28">
        <v>4.6960049032799018E-12</v>
      </c>
      <c r="BZ84" s="30">
        <v>5296</v>
      </c>
      <c r="CA84" s="30">
        <v>5993</v>
      </c>
      <c r="CB84" s="28">
        <v>11</v>
      </c>
    </row>
    <row r="85" spans="1:80" ht="16.2" x14ac:dyDescent="0.3">
      <c r="A85" s="15" t="s">
        <v>168</v>
      </c>
      <c r="B85" s="33" t="s">
        <v>167</v>
      </c>
      <c r="C85" s="35">
        <v>232.03809999999999</v>
      </c>
      <c r="D85" s="28">
        <v>90</v>
      </c>
      <c r="E85" s="28">
        <v>7</v>
      </c>
      <c r="F85" s="28">
        <v>3</v>
      </c>
      <c r="G85" s="18">
        <v>2</v>
      </c>
      <c r="H85" s="17">
        <v>1</v>
      </c>
      <c r="I85" s="28">
        <v>16</v>
      </c>
      <c r="J85" s="28">
        <v>3</v>
      </c>
      <c r="K85" s="28">
        <v>2</v>
      </c>
      <c r="L85" s="28">
        <v>0</v>
      </c>
      <c r="M85" s="28">
        <v>2</v>
      </c>
      <c r="N85" s="28">
        <v>0</v>
      </c>
      <c r="O85" s="19">
        <v>0</v>
      </c>
      <c r="P85" s="19">
        <v>6</v>
      </c>
      <c r="Q85" s="19">
        <v>8</v>
      </c>
      <c r="R85" s="19">
        <v>14</v>
      </c>
      <c r="S85" s="28">
        <v>4</v>
      </c>
      <c r="T85" s="28">
        <v>2</v>
      </c>
      <c r="U85" s="28">
        <v>2</v>
      </c>
      <c r="V85" s="19">
        <v>4</v>
      </c>
      <c r="W85" s="28">
        <v>4</v>
      </c>
      <c r="X85" s="21">
        <v>4.6790000000000003</v>
      </c>
      <c r="Y85" s="21">
        <v>1.762</v>
      </c>
      <c r="Z85" s="35">
        <v>6.3067000000000002</v>
      </c>
      <c r="AA85" s="21">
        <v>1.2140666098807495</v>
      </c>
      <c r="AB85" s="20" t="s">
        <v>193</v>
      </c>
      <c r="AC85" s="25" t="s">
        <v>193</v>
      </c>
      <c r="AD85" s="35">
        <v>1.3</v>
      </c>
      <c r="AE85" s="35">
        <v>1.3</v>
      </c>
      <c r="AF85" s="28">
        <v>2.8784000000000001</v>
      </c>
      <c r="AG85" s="22">
        <v>3.2</v>
      </c>
      <c r="AH85" s="28">
        <v>1.1100000000000001</v>
      </c>
      <c r="AI85" s="22">
        <v>1.03</v>
      </c>
      <c r="AJ85" s="20" t="s">
        <v>193</v>
      </c>
      <c r="AK85" s="28" t="s">
        <v>193</v>
      </c>
      <c r="AL85" s="22">
        <v>0.752</v>
      </c>
      <c r="AM85" s="35">
        <v>1.8</v>
      </c>
      <c r="AN85" s="35">
        <v>2.06</v>
      </c>
      <c r="AO85" s="35">
        <v>1.08</v>
      </c>
      <c r="AP85" s="23">
        <v>0.94</v>
      </c>
      <c r="AQ85" s="23">
        <v>1.78</v>
      </c>
      <c r="AR85" s="23">
        <v>2.4</v>
      </c>
      <c r="AS85" s="35">
        <v>4.9800000000000004</v>
      </c>
      <c r="AT85" s="35">
        <v>1.19</v>
      </c>
      <c r="AU85" s="23">
        <v>2.06</v>
      </c>
      <c r="AV85" s="23">
        <v>1.8</v>
      </c>
      <c r="AW85" s="23">
        <v>1.788</v>
      </c>
      <c r="AX85" s="23">
        <v>1.7949999999999999</v>
      </c>
      <c r="AY85" s="23">
        <v>1.6519999999999999</v>
      </c>
      <c r="AZ85" s="28">
        <v>32.1</v>
      </c>
      <c r="BA85" s="28">
        <v>2023.15</v>
      </c>
      <c r="BB85" s="28">
        <v>5063.1499999999996</v>
      </c>
      <c r="BC85" s="28">
        <v>11.7</v>
      </c>
      <c r="BD85" s="28">
        <v>0.12</v>
      </c>
      <c r="BE85" s="37">
        <v>16.100000000000001</v>
      </c>
      <c r="BF85" s="34">
        <v>514.4</v>
      </c>
      <c r="BG85" s="34">
        <v>576</v>
      </c>
      <c r="BH85" s="37">
        <v>54</v>
      </c>
      <c r="BI85" s="26">
        <v>1.1E-5</v>
      </c>
      <c r="BJ85" s="37">
        <v>6.2</v>
      </c>
      <c r="BK85" s="34">
        <v>54</v>
      </c>
      <c r="BL85" s="34">
        <v>31</v>
      </c>
      <c r="BM85" s="34">
        <v>79</v>
      </c>
      <c r="BN85" s="26">
        <v>0.35</v>
      </c>
      <c r="BO85" s="26">
        <v>0.4</v>
      </c>
      <c r="BP85" s="26">
        <v>1.4999999999999999E-7</v>
      </c>
      <c r="BQ85" s="26">
        <v>6700000</v>
      </c>
      <c r="BR85" s="27">
        <v>7.4</v>
      </c>
      <c r="BS85" s="27">
        <v>1E-3</v>
      </c>
      <c r="BT85" s="27">
        <v>30</v>
      </c>
      <c r="BU85" s="27">
        <v>1</v>
      </c>
      <c r="BV85" s="27">
        <v>3.3333333333333333E-2</v>
      </c>
      <c r="BW85" s="27">
        <v>1</v>
      </c>
      <c r="BX85" s="28">
        <v>9.8008135530300576E-6</v>
      </c>
      <c r="BY85" s="28">
        <v>1.0924733629158109E-12</v>
      </c>
      <c r="BZ85" s="29" t="s">
        <v>193</v>
      </c>
      <c r="CA85" s="29" t="s">
        <v>193</v>
      </c>
      <c r="CB85" s="28">
        <v>9000</v>
      </c>
    </row>
    <row r="86" spans="1:80" ht="16.2" x14ac:dyDescent="0.3">
      <c r="A86" s="15" t="s">
        <v>170</v>
      </c>
      <c r="B86" s="33" t="s">
        <v>169</v>
      </c>
      <c r="C86" s="35">
        <v>238.02889999999999</v>
      </c>
      <c r="D86" s="28">
        <v>92</v>
      </c>
      <c r="E86" s="28">
        <v>7</v>
      </c>
      <c r="F86" s="28">
        <v>3</v>
      </c>
      <c r="G86" s="18">
        <v>3</v>
      </c>
      <c r="H86" s="17">
        <v>1</v>
      </c>
      <c r="I86" s="28">
        <v>20</v>
      </c>
      <c r="J86" s="28">
        <v>3</v>
      </c>
      <c r="K86" s="28">
        <v>2</v>
      </c>
      <c r="L86" s="28">
        <v>0</v>
      </c>
      <c r="M86" s="28">
        <v>1</v>
      </c>
      <c r="N86" s="28">
        <v>3</v>
      </c>
      <c r="O86" s="19">
        <v>0</v>
      </c>
      <c r="P86" s="19">
        <v>6</v>
      </c>
      <c r="Q86" s="19">
        <v>9</v>
      </c>
      <c r="R86" s="19">
        <v>11</v>
      </c>
      <c r="S86" s="28">
        <v>6</v>
      </c>
      <c r="T86" s="28">
        <v>2</v>
      </c>
      <c r="U86" s="28">
        <v>3</v>
      </c>
      <c r="V86" s="19">
        <v>5.78</v>
      </c>
      <c r="W86" s="28">
        <v>5.78</v>
      </c>
      <c r="X86" s="21">
        <v>4.7210000000000001</v>
      </c>
      <c r="Y86" s="21">
        <v>1.746</v>
      </c>
      <c r="Z86" s="35">
        <v>6.1940999999999997</v>
      </c>
      <c r="AA86" s="21">
        <v>0.52825936454849498</v>
      </c>
      <c r="AB86" s="20" t="s">
        <v>193</v>
      </c>
      <c r="AC86" s="25" t="s">
        <v>193</v>
      </c>
      <c r="AD86" s="35">
        <v>1.38</v>
      </c>
      <c r="AE86" s="35">
        <v>1.7</v>
      </c>
      <c r="AF86" s="28">
        <v>3.3168000000000002</v>
      </c>
      <c r="AG86" s="22">
        <v>3.4</v>
      </c>
      <c r="AH86" s="28">
        <v>1.22</v>
      </c>
      <c r="AI86" s="22">
        <v>1.06</v>
      </c>
      <c r="AJ86" s="20" t="s">
        <v>193</v>
      </c>
      <c r="AK86" s="28" t="s">
        <v>193</v>
      </c>
      <c r="AL86" s="22">
        <v>2.92</v>
      </c>
      <c r="AM86" s="35">
        <v>1.75</v>
      </c>
      <c r="AN86" s="35">
        <v>1.96</v>
      </c>
      <c r="AO86" s="35">
        <v>1.17</v>
      </c>
      <c r="AP86" s="23">
        <v>1.0249999999999999</v>
      </c>
      <c r="AQ86" s="23">
        <v>1.58</v>
      </c>
      <c r="AR86" s="23">
        <v>1.86</v>
      </c>
      <c r="AS86" s="35">
        <v>4.72</v>
      </c>
      <c r="AT86" s="35">
        <v>0.87</v>
      </c>
      <c r="AU86" s="23">
        <v>1.96</v>
      </c>
      <c r="AV86" s="23">
        <v>1.75</v>
      </c>
      <c r="AW86" s="23">
        <v>1.7749999999999999</v>
      </c>
      <c r="AX86" s="23">
        <v>1.516</v>
      </c>
      <c r="AY86" s="23">
        <v>1.421</v>
      </c>
      <c r="AZ86" s="28">
        <v>27.4</v>
      </c>
      <c r="BA86" s="28">
        <v>1405.15</v>
      </c>
      <c r="BB86" s="28">
        <v>4091.15</v>
      </c>
      <c r="BC86" s="28">
        <v>19</v>
      </c>
      <c r="BD86" s="28">
        <v>0.12</v>
      </c>
      <c r="BE86" s="37">
        <v>14</v>
      </c>
      <c r="BF86" s="34">
        <v>477</v>
      </c>
      <c r="BG86" s="34">
        <v>490</v>
      </c>
      <c r="BH86" s="37">
        <v>27.6</v>
      </c>
      <c r="BI86" s="26">
        <v>1.3900000000000001E-5</v>
      </c>
      <c r="BJ86" s="37">
        <v>5.55</v>
      </c>
      <c r="BK86" s="34">
        <v>97.9</v>
      </c>
      <c r="BL86" s="34">
        <v>111</v>
      </c>
      <c r="BM86" s="34">
        <v>208</v>
      </c>
      <c r="BN86" s="26">
        <v>1.96</v>
      </c>
      <c r="BO86" s="26">
        <v>2.4</v>
      </c>
      <c r="BP86" s="26">
        <v>2.8000000000000002E-7</v>
      </c>
      <c r="BQ86" s="26">
        <v>3600000</v>
      </c>
      <c r="BR86" s="27">
        <v>7.57</v>
      </c>
      <c r="BS86" s="27">
        <v>5.0000000000000001E-4</v>
      </c>
      <c r="BT86" s="27">
        <v>26</v>
      </c>
      <c r="BU86" s="27">
        <v>0</v>
      </c>
      <c r="BV86" s="27">
        <v>0</v>
      </c>
      <c r="BW86" s="27">
        <v>0</v>
      </c>
      <c r="BX86" s="28">
        <v>2.7564788117897042E-6</v>
      </c>
      <c r="BY86" s="28">
        <v>2.9350030645499386E-13</v>
      </c>
      <c r="BZ86" s="29" t="s">
        <v>193</v>
      </c>
      <c r="CA86" s="29" t="s">
        <v>193</v>
      </c>
      <c r="CB86" s="28">
        <v>6000</v>
      </c>
    </row>
    <row r="87" spans="1:80" x14ac:dyDescent="0.3">
      <c r="A87" s="3" t="s">
        <v>273</v>
      </c>
      <c r="B87">
        <v>0</v>
      </c>
      <c r="C87">
        <v>0</v>
      </c>
      <c r="D87" s="5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 s="1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0</v>
      </c>
      <c r="CA87" s="1">
        <v>0</v>
      </c>
      <c r="CB87" s="1">
        <v>0</v>
      </c>
    </row>
    <row r="90" spans="1:80" x14ac:dyDescent="0.3"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</row>
  </sheetData>
  <pageMargins left="0.7" right="0.7" top="0.75" bottom="0.75" header="0.3" footer="0.3"/>
  <pageSetup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N121"/>
  <sheetViews>
    <sheetView zoomScale="94" zoomScaleNormal="94" workbookViewId="0">
      <selection activeCell="GN1" sqref="GN1"/>
    </sheetView>
  </sheetViews>
  <sheetFormatPr defaultRowHeight="14.4" x14ac:dyDescent="0.3"/>
  <cols>
    <col min="1" max="1" width="11.5546875" style="40" customWidth="1"/>
    <col min="2" max="2" width="10.109375" style="86" customWidth="1"/>
    <col min="3" max="3" width="12.109375" style="86" customWidth="1"/>
    <col min="4" max="4" width="13.44140625" style="86" customWidth="1"/>
    <col min="5" max="5" width="9.5546875" style="86" customWidth="1"/>
    <col min="6" max="6" width="9.77734375" style="86" customWidth="1"/>
    <col min="7" max="7" width="9.6640625" style="86" customWidth="1"/>
    <col min="8" max="8" width="8.77734375" style="88" bestFit="1" customWidth="1"/>
    <col min="9" max="9" width="11.44140625" style="88" customWidth="1"/>
    <col min="10" max="10" width="14.21875" style="88" customWidth="1"/>
    <col min="11" max="11" width="9.77734375" style="88" bestFit="1" customWidth="1"/>
    <col min="12" max="12" width="9.77734375" style="88" customWidth="1"/>
    <col min="13" max="13" width="10.33203125" style="88" customWidth="1"/>
    <col min="14" max="14" width="10.44140625" style="90" customWidth="1"/>
    <col min="15" max="15" width="9.5546875" style="90" customWidth="1"/>
    <col min="16" max="16" width="9.6640625" style="90" customWidth="1"/>
    <col min="17" max="18" width="9.88671875" style="90" customWidth="1"/>
    <col min="19" max="19" width="9.5546875" style="90" customWidth="1"/>
    <col min="20" max="20" width="9.77734375" style="61" customWidth="1"/>
    <col min="21" max="21" width="9.6640625" style="61" customWidth="1"/>
    <col min="22" max="22" width="9.77734375" style="61" customWidth="1"/>
    <col min="23" max="23" width="9.6640625" style="61" customWidth="1"/>
    <col min="24" max="24" width="10" style="61" customWidth="1"/>
    <col min="25" max="25" width="9.88671875" style="61" customWidth="1"/>
    <col min="26" max="26" width="9.88671875" style="73" customWidth="1"/>
    <col min="27" max="27" width="10.44140625" style="73" customWidth="1"/>
    <col min="28" max="28" width="10.109375" style="73" customWidth="1"/>
    <col min="29" max="30" width="9.88671875" style="73" customWidth="1"/>
    <col min="31" max="31" width="10.33203125" style="73" customWidth="1"/>
    <col min="32" max="32" width="9.77734375" style="52" bestFit="1" customWidth="1"/>
    <col min="33" max="33" width="10.33203125" style="52" customWidth="1"/>
    <col min="34" max="34" width="10" style="52" customWidth="1"/>
    <col min="35" max="35" width="10.88671875" style="52" customWidth="1"/>
    <col min="36" max="36" width="10.77734375" style="52" customWidth="1"/>
    <col min="37" max="37" width="11.5546875" style="52" customWidth="1"/>
    <col min="38" max="38" width="10.44140625" style="58" customWidth="1"/>
    <col min="39" max="39" width="10.21875" style="58" customWidth="1"/>
    <col min="40" max="40" width="10.44140625" style="58" customWidth="1"/>
    <col min="41" max="41" width="10.21875" style="58" customWidth="1"/>
    <col min="42" max="43" width="10.5546875" style="58" customWidth="1"/>
    <col min="44" max="44" width="11.33203125" style="79" customWidth="1"/>
    <col min="45" max="45" width="10.6640625" style="79" customWidth="1"/>
    <col min="46" max="46" width="10.88671875" style="79" customWidth="1"/>
    <col min="47" max="47" width="11" style="79" customWidth="1"/>
    <col min="48" max="48" width="10.44140625" style="79" customWidth="1"/>
    <col min="49" max="49" width="12.33203125" style="79" customWidth="1"/>
    <col min="50" max="50" width="12.77734375" style="46" customWidth="1"/>
    <col min="51" max="51" width="12.44140625" style="46" customWidth="1"/>
    <col min="52" max="52" width="12.33203125" style="46" customWidth="1"/>
    <col min="53" max="53" width="11.44140625" style="46" customWidth="1"/>
    <col min="54" max="54" width="12.44140625" style="46" customWidth="1"/>
    <col min="55" max="55" width="11.77734375" style="46" customWidth="1"/>
    <col min="56" max="56" width="12" style="64" customWidth="1"/>
    <col min="57" max="57" width="12.109375" style="64" customWidth="1"/>
    <col min="58" max="58" width="11.6640625" style="64" customWidth="1"/>
    <col min="59" max="59" width="13" style="64" customWidth="1"/>
    <col min="60" max="60" width="12.5546875" style="64" customWidth="1"/>
    <col min="61" max="61" width="11.77734375" style="64" customWidth="1"/>
    <col min="62" max="62" width="11.88671875" style="76" customWidth="1"/>
    <col min="63" max="63" width="11.6640625" style="76" customWidth="1"/>
    <col min="64" max="64" width="11.21875" style="76" customWidth="1"/>
    <col min="65" max="65" width="10.77734375" style="76" customWidth="1"/>
    <col min="66" max="66" width="13.44140625" style="76" customWidth="1"/>
    <col min="67" max="67" width="11.33203125" style="76" customWidth="1"/>
    <col min="68" max="68" width="10.5546875" style="49" customWidth="1"/>
    <col min="69" max="69" width="10.33203125" style="49" customWidth="1"/>
    <col min="70" max="70" width="10.21875" style="49" customWidth="1"/>
    <col min="71" max="71" width="10" style="49" customWidth="1"/>
    <col min="72" max="72" width="9.77734375" style="49" customWidth="1"/>
    <col min="73" max="73" width="10.33203125" style="49" customWidth="1"/>
    <col min="74" max="74" width="10.44140625" style="67" customWidth="1"/>
    <col min="75" max="75" width="10.77734375" style="67" customWidth="1"/>
    <col min="76" max="76" width="12" style="67" customWidth="1"/>
    <col min="77" max="77" width="10.5546875" style="67" customWidth="1"/>
    <col min="78" max="78" width="11" style="67" customWidth="1"/>
    <col min="79" max="79" width="9.88671875" style="67" customWidth="1"/>
    <col min="80" max="81" width="10.21875" style="82" customWidth="1"/>
    <col min="82" max="83" width="10.109375" style="82" customWidth="1"/>
    <col min="84" max="84" width="10.5546875" style="82" customWidth="1"/>
    <col min="85" max="85" width="10.33203125" style="82" customWidth="1"/>
    <col min="86" max="86" width="10.33203125" style="40" customWidth="1"/>
    <col min="87" max="87" width="10.21875" style="40" customWidth="1"/>
    <col min="88" max="88" width="10.5546875" style="40" customWidth="1"/>
    <col min="89" max="89" width="10.33203125" style="40" customWidth="1"/>
    <col min="90" max="90" width="10.6640625" style="40" customWidth="1"/>
    <col min="91" max="91" width="10.33203125" style="40" customWidth="1"/>
    <col min="92" max="92" width="10" style="55" customWidth="1"/>
    <col min="93" max="93" width="10.5546875" style="55" customWidth="1"/>
    <col min="94" max="94" width="9.88671875" style="55" customWidth="1"/>
    <col min="95" max="95" width="10.109375" style="55" customWidth="1"/>
    <col min="96" max="96" width="11.109375" style="55" customWidth="1"/>
    <col min="97" max="97" width="10.21875" style="55" customWidth="1"/>
    <col min="98" max="98" width="9.77734375" style="70" customWidth="1"/>
    <col min="99" max="99" width="10.21875" style="70" customWidth="1"/>
    <col min="100" max="100" width="10.109375" style="70" customWidth="1"/>
    <col min="101" max="101" width="10.77734375" style="70" customWidth="1"/>
    <col min="102" max="102" width="10.88671875" style="70" customWidth="1"/>
    <col min="103" max="103" width="10.6640625" style="70" customWidth="1"/>
    <col min="104" max="105" width="11.21875" style="43" customWidth="1"/>
    <col min="106" max="106" width="10.88671875" style="43" customWidth="1"/>
    <col min="107" max="107" width="11.109375" style="43" customWidth="1"/>
    <col min="108" max="108" width="11.77734375" style="43" customWidth="1"/>
    <col min="109" max="109" width="11.109375" style="43" customWidth="1"/>
    <col min="110" max="111" width="11.21875" style="61" customWidth="1"/>
    <col min="112" max="112" width="10.88671875" style="61" customWidth="1"/>
    <col min="113" max="113" width="11.109375" style="61" customWidth="1"/>
    <col min="114" max="114" width="11.77734375" style="61" customWidth="1"/>
    <col min="115" max="115" width="11.109375" style="61" customWidth="1"/>
    <col min="116" max="116" width="11.21875" style="46" customWidth="1"/>
    <col min="117" max="117" width="10.77734375" style="46" customWidth="1"/>
    <col min="118" max="118" width="11" style="46" customWidth="1"/>
    <col min="119" max="119" width="11.21875" style="46" customWidth="1"/>
    <col min="120" max="121" width="10.77734375" style="46" customWidth="1"/>
    <col min="122" max="122" width="10.88671875" style="64" customWidth="1"/>
    <col min="123" max="123" width="11.21875" style="64" customWidth="1"/>
    <col min="124" max="124" width="10.5546875" style="64" customWidth="1"/>
    <col min="125" max="125" width="11.21875" style="64" customWidth="1"/>
    <col min="126" max="126" width="11.6640625" style="64" customWidth="1"/>
    <col min="127" max="127" width="11.5546875" style="64" customWidth="1"/>
    <col min="128" max="128" width="11.44140625" style="76" customWidth="1"/>
    <col min="129" max="129" width="11.5546875" style="76" customWidth="1"/>
    <col min="130" max="130" width="11.21875" style="76" customWidth="1"/>
    <col min="131" max="133" width="10.77734375" style="76" customWidth="1"/>
    <col min="134" max="138" width="10.77734375" style="49" customWidth="1"/>
    <col min="139" max="139" width="11.21875" style="49" customWidth="1"/>
    <col min="140" max="140" width="11.109375" style="67" customWidth="1"/>
    <col min="141" max="141" width="10.5546875" style="67" customWidth="1"/>
    <col min="142" max="142" width="10.6640625" style="67" customWidth="1"/>
    <col min="143" max="143" width="10.88671875" style="67" customWidth="1"/>
    <col min="144" max="144" width="11.33203125" style="67" customWidth="1"/>
    <col min="145" max="145" width="11.21875" style="67" customWidth="1"/>
    <col min="146" max="146" width="11.109375" style="82" customWidth="1"/>
    <col min="147" max="147" width="10.5546875" style="82" customWidth="1"/>
    <col min="148" max="148" width="10.6640625" style="82" customWidth="1"/>
    <col min="149" max="149" width="10.88671875" style="82" customWidth="1"/>
    <col min="150" max="150" width="10.77734375" style="82" customWidth="1"/>
    <col min="151" max="151" width="11.21875" style="82" customWidth="1"/>
    <col min="152" max="152" width="10.6640625" style="40" customWidth="1"/>
    <col min="153" max="153" width="10.5546875" style="40" customWidth="1"/>
    <col min="154" max="154" width="11.33203125" style="40" customWidth="1"/>
    <col min="155" max="155" width="11.21875" style="40" customWidth="1"/>
    <col min="156" max="156" width="10.88671875" style="40" customWidth="1"/>
    <col min="157" max="157" width="11.21875" style="40" customWidth="1"/>
    <col min="158" max="158" width="10.88671875" style="55" customWidth="1"/>
    <col min="159" max="159" width="11" style="55" customWidth="1"/>
    <col min="160" max="162" width="10.77734375" style="55" customWidth="1"/>
    <col min="163" max="163" width="10.6640625" style="55" customWidth="1"/>
    <col min="164" max="164" width="10.88671875" style="70" customWidth="1"/>
    <col min="165" max="165" width="10.5546875" style="70" customWidth="1"/>
    <col min="166" max="166" width="11.21875" style="70" customWidth="1"/>
    <col min="167" max="167" width="10.6640625" style="70" customWidth="1"/>
    <col min="168" max="168" width="11" style="70" customWidth="1"/>
    <col min="169" max="169" width="11.21875" style="70" customWidth="1"/>
    <col min="170" max="170" width="11.21875" style="43" customWidth="1"/>
    <col min="171" max="171" width="10.77734375" style="43" customWidth="1"/>
    <col min="172" max="172" width="11" style="43" customWidth="1"/>
    <col min="173" max="174" width="10.77734375" style="43" customWidth="1"/>
    <col min="175" max="175" width="10.5546875" style="43" customWidth="1"/>
    <col min="176" max="177" width="10.77734375" style="61" customWidth="1"/>
    <col min="178" max="178" width="10.6640625" style="61" customWidth="1"/>
    <col min="179" max="179" width="10.77734375" style="61" customWidth="1"/>
    <col min="180" max="180" width="11" style="61" customWidth="1"/>
    <col min="181" max="181" width="10.6640625" style="61" customWidth="1"/>
    <col min="182" max="182" width="10.77734375" style="73" customWidth="1"/>
    <col min="183" max="183" width="11" style="73" customWidth="1"/>
    <col min="184" max="184" width="11.21875" style="73" customWidth="1"/>
    <col min="185" max="185" width="10.88671875" style="73" customWidth="1"/>
    <col min="186" max="186" width="10.5546875" style="73" customWidth="1"/>
    <col min="187" max="187" width="10.6640625" style="73" customWidth="1"/>
    <col min="188" max="188" width="10.77734375" style="52" customWidth="1"/>
    <col min="189" max="189" width="10.88671875" style="52" customWidth="1"/>
    <col min="190" max="190" width="11.5546875" style="52" customWidth="1"/>
    <col min="191" max="191" width="11.21875" style="52" customWidth="1"/>
    <col min="192" max="192" width="11" style="52" customWidth="1"/>
    <col min="193" max="193" width="11.21875" style="52" customWidth="1"/>
    <col min="194" max="194" width="10.6640625" style="52" customWidth="1"/>
    <col min="195" max="195" width="11.77734375" style="58" customWidth="1"/>
    <col min="196" max="196" width="12.109375" style="52" customWidth="1"/>
    <col min="197" max="197" width="17.77734375" customWidth="1"/>
  </cols>
  <sheetData>
    <row r="1" spans="1:196" s="83" customFormat="1" ht="100.8" x14ac:dyDescent="0.3">
      <c r="A1" s="38" t="s">
        <v>251</v>
      </c>
      <c r="B1" s="53" t="s">
        <v>262</v>
      </c>
      <c r="C1" s="53" t="s">
        <v>257</v>
      </c>
      <c r="D1" s="53" t="s">
        <v>258</v>
      </c>
      <c r="E1" s="53" t="s">
        <v>259</v>
      </c>
      <c r="F1" s="53" t="s">
        <v>260</v>
      </c>
      <c r="G1" s="53" t="s">
        <v>261</v>
      </c>
      <c r="H1" s="68" t="s">
        <v>266</v>
      </c>
      <c r="I1" s="68" t="s">
        <v>267</v>
      </c>
      <c r="J1" s="68" t="s">
        <v>268</v>
      </c>
      <c r="K1" s="68" t="s">
        <v>269</v>
      </c>
      <c r="L1" s="68" t="s">
        <v>270</v>
      </c>
      <c r="M1" s="68" t="s">
        <v>271</v>
      </c>
      <c r="N1" s="41" t="s">
        <v>275</v>
      </c>
      <c r="O1" s="41" t="s">
        <v>276</v>
      </c>
      <c r="P1" s="41" t="s">
        <v>277</v>
      </c>
      <c r="Q1" s="41" t="s">
        <v>278</v>
      </c>
      <c r="R1" s="41" t="s">
        <v>279</v>
      </c>
      <c r="S1" s="41" t="s">
        <v>280</v>
      </c>
      <c r="T1" s="59" t="s">
        <v>281</v>
      </c>
      <c r="U1" s="59" t="s">
        <v>283</v>
      </c>
      <c r="V1" s="59" t="s">
        <v>282</v>
      </c>
      <c r="W1" s="59" t="s">
        <v>284</v>
      </c>
      <c r="X1" s="59" t="s">
        <v>285</v>
      </c>
      <c r="Y1" s="59" t="s">
        <v>286</v>
      </c>
      <c r="Z1" s="71" t="s">
        <v>287</v>
      </c>
      <c r="AA1" s="71" t="s">
        <v>288</v>
      </c>
      <c r="AB1" s="71" t="s">
        <v>289</v>
      </c>
      <c r="AC1" s="71" t="s">
        <v>290</v>
      </c>
      <c r="AD1" s="71" t="s">
        <v>291</v>
      </c>
      <c r="AE1" s="71" t="s">
        <v>292</v>
      </c>
      <c r="AF1" s="50" t="s">
        <v>293</v>
      </c>
      <c r="AG1" s="50" t="s">
        <v>294</v>
      </c>
      <c r="AH1" s="50" t="s">
        <v>295</v>
      </c>
      <c r="AI1" s="50" t="s">
        <v>296</v>
      </c>
      <c r="AJ1" s="50" t="s">
        <v>297</v>
      </c>
      <c r="AK1" s="50" t="s">
        <v>298</v>
      </c>
      <c r="AL1" s="56" t="s">
        <v>299</v>
      </c>
      <c r="AM1" s="56" t="s">
        <v>300</v>
      </c>
      <c r="AN1" s="56" t="s">
        <v>301</v>
      </c>
      <c r="AO1" s="56" t="s">
        <v>302</v>
      </c>
      <c r="AP1" s="56" t="s">
        <v>303</v>
      </c>
      <c r="AQ1" s="56" t="s">
        <v>304</v>
      </c>
      <c r="AR1" s="77" t="s">
        <v>305</v>
      </c>
      <c r="AS1" s="77" t="s">
        <v>306</v>
      </c>
      <c r="AT1" s="77" t="s">
        <v>307</v>
      </c>
      <c r="AU1" s="77" t="s">
        <v>308</v>
      </c>
      <c r="AV1" s="77" t="s">
        <v>309</v>
      </c>
      <c r="AW1" s="77" t="s">
        <v>310</v>
      </c>
      <c r="AX1" s="44" t="s">
        <v>311</v>
      </c>
      <c r="AY1" s="44" t="s">
        <v>312</v>
      </c>
      <c r="AZ1" s="44" t="s">
        <v>313</v>
      </c>
      <c r="BA1" s="44" t="s">
        <v>314</v>
      </c>
      <c r="BB1" s="44" t="s">
        <v>315</v>
      </c>
      <c r="BC1" s="44" t="s">
        <v>316</v>
      </c>
      <c r="BD1" s="62" t="s">
        <v>317</v>
      </c>
      <c r="BE1" s="62" t="s">
        <v>318</v>
      </c>
      <c r="BF1" s="62" t="s">
        <v>319</v>
      </c>
      <c r="BG1" s="62" t="s">
        <v>320</v>
      </c>
      <c r="BH1" s="62" t="s">
        <v>321</v>
      </c>
      <c r="BI1" s="62" t="s">
        <v>322</v>
      </c>
      <c r="BJ1" s="74" t="s">
        <v>323</v>
      </c>
      <c r="BK1" s="74" t="s">
        <v>324</v>
      </c>
      <c r="BL1" s="74" t="s">
        <v>325</v>
      </c>
      <c r="BM1" s="74" t="s">
        <v>326</v>
      </c>
      <c r="BN1" s="74" t="s">
        <v>327</v>
      </c>
      <c r="BO1" s="74" t="s">
        <v>328</v>
      </c>
      <c r="BP1" s="47" t="s">
        <v>329</v>
      </c>
      <c r="BQ1" s="47" t="s">
        <v>334</v>
      </c>
      <c r="BR1" s="47" t="s">
        <v>330</v>
      </c>
      <c r="BS1" s="47" t="s">
        <v>331</v>
      </c>
      <c r="BT1" s="47" t="s">
        <v>332</v>
      </c>
      <c r="BU1" s="47" t="s">
        <v>333</v>
      </c>
      <c r="BV1" s="65" t="s">
        <v>335</v>
      </c>
      <c r="BW1" s="65" t="s">
        <v>336</v>
      </c>
      <c r="BX1" s="65" t="s">
        <v>337</v>
      </c>
      <c r="BY1" s="65" t="s">
        <v>338</v>
      </c>
      <c r="BZ1" s="65" t="s">
        <v>339</v>
      </c>
      <c r="CA1" s="65" t="s">
        <v>340</v>
      </c>
      <c r="CB1" s="80" t="s">
        <v>341</v>
      </c>
      <c r="CC1" s="80" t="s">
        <v>342</v>
      </c>
      <c r="CD1" s="80" t="s">
        <v>343</v>
      </c>
      <c r="CE1" s="80" t="s">
        <v>344</v>
      </c>
      <c r="CF1" s="80" t="s">
        <v>345</v>
      </c>
      <c r="CG1" s="80" t="s">
        <v>346</v>
      </c>
      <c r="CH1" s="38" t="s">
        <v>347</v>
      </c>
      <c r="CI1" s="38" t="s">
        <v>348</v>
      </c>
      <c r="CJ1" s="38" t="s">
        <v>349</v>
      </c>
      <c r="CK1" s="38" t="s">
        <v>352</v>
      </c>
      <c r="CL1" s="38" t="s">
        <v>350</v>
      </c>
      <c r="CM1" s="38" t="s">
        <v>351</v>
      </c>
      <c r="CN1" s="53" t="s">
        <v>353</v>
      </c>
      <c r="CO1" s="53" t="s">
        <v>354</v>
      </c>
      <c r="CP1" s="53" t="s">
        <v>355</v>
      </c>
      <c r="CQ1" s="53" t="s">
        <v>356</v>
      </c>
      <c r="CR1" s="53" t="s">
        <v>357</v>
      </c>
      <c r="CS1" s="53" t="s">
        <v>358</v>
      </c>
      <c r="CT1" s="68" t="s">
        <v>359</v>
      </c>
      <c r="CU1" s="68" t="s">
        <v>360</v>
      </c>
      <c r="CV1" s="68" t="s">
        <v>361</v>
      </c>
      <c r="CW1" s="68" t="s">
        <v>364</v>
      </c>
      <c r="CX1" s="68" t="s">
        <v>362</v>
      </c>
      <c r="CY1" s="68" t="s">
        <v>363</v>
      </c>
      <c r="CZ1" s="41" t="s">
        <v>365</v>
      </c>
      <c r="DA1" s="41" t="s">
        <v>366</v>
      </c>
      <c r="DB1" s="41" t="s">
        <v>367</v>
      </c>
      <c r="DC1" s="41" t="s">
        <v>368</v>
      </c>
      <c r="DD1" s="41" t="s">
        <v>369</v>
      </c>
      <c r="DE1" s="41" t="s">
        <v>370</v>
      </c>
      <c r="DF1" s="59" t="s">
        <v>371</v>
      </c>
      <c r="DG1" s="59" t="s">
        <v>372</v>
      </c>
      <c r="DH1" s="59" t="s">
        <v>373</v>
      </c>
      <c r="DI1" s="59" t="s">
        <v>374</v>
      </c>
      <c r="DJ1" s="59" t="s">
        <v>375</v>
      </c>
      <c r="DK1" s="59" t="s">
        <v>376</v>
      </c>
      <c r="DL1" s="44" t="s">
        <v>377</v>
      </c>
      <c r="DM1" s="44" t="s">
        <v>378</v>
      </c>
      <c r="DN1" s="44" t="s">
        <v>379</v>
      </c>
      <c r="DO1" s="44" t="s">
        <v>380</v>
      </c>
      <c r="DP1" s="44" t="s">
        <v>381</v>
      </c>
      <c r="DQ1" s="44" t="s">
        <v>382</v>
      </c>
      <c r="DR1" s="62" t="s">
        <v>383</v>
      </c>
      <c r="DS1" s="62" t="s">
        <v>384</v>
      </c>
      <c r="DT1" s="62" t="s">
        <v>385</v>
      </c>
      <c r="DU1" s="62" t="s">
        <v>386</v>
      </c>
      <c r="DV1" s="62" t="s">
        <v>387</v>
      </c>
      <c r="DW1" s="62" t="s">
        <v>388</v>
      </c>
      <c r="DX1" s="74" t="s">
        <v>389</v>
      </c>
      <c r="DY1" s="74" t="s">
        <v>390</v>
      </c>
      <c r="DZ1" s="74" t="s">
        <v>391</v>
      </c>
      <c r="EA1" s="74" t="s">
        <v>392</v>
      </c>
      <c r="EB1" s="74" t="s">
        <v>393</v>
      </c>
      <c r="EC1" s="74" t="s">
        <v>394</v>
      </c>
      <c r="ED1" s="47" t="s">
        <v>395</v>
      </c>
      <c r="EE1" s="47" t="s">
        <v>396</v>
      </c>
      <c r="EF1" s="47" t="s">
        <v>397</v>
      </c>
      <c r="EG1" s="47" t="s">
        <v>398</v>
      </c>
      <c r="EH1" s="47" t="s">
        <v>399</v>
      </c>
      <c r="EI1" s="47" t="s">
        <v>400</v>
      </c>
      <c r="EJ1" s="65" t="s">
        <v>401</v>
      </c>
      <c r="EK1" s="65" t="s">
        <v>402</v>
      </c>
      <c r="EL1" s="65" t="s">
        <v>403</v>
      </c>
      <c r="EM1" s="65" t="s">
        <v>404</v>
      </c>
      <c r="EN1" s="65" t="s">
        <v>405</v>
      </c>
      <c r="EO1" s="65" t="s">
        <v>406</v>
      </c>
      <c r="EP1" s="80" t="s">
        <v>407</v>
      </c>
      <c r="EQ1" s="80" t="s">
        <v>408</v>
      </c>
      <c r="ER1" s="80" t="s">
        <v>409</v>
      </c>
      <c r="ES1" s="80" t="s">
        <v>410</v>
      </c>
      <c r="ET1" s="80" t="s">
        <v>411</v>
      </c>
      <c r="EU1" s="80" t="s">
        <v>412</v>
      </c>
      <c r="EV1" s="38" t="s">
        <v>413</v>
      </c>
      <c r="EW1" s="38" t="s">
        <v>414</v>
      </c>
      <c r="EX1" s="38" t="s">
        <v>415</v>
      </c>
      <c r="EY1" s="38" t="s">
        <v>416</v>
      </c>
      <c r="EZ1" s="38" t="s">
        <v>417</v>
      </c>
      <c r="FA1" s="38" t="s">
        <v>418</v>
      </c>
      <c r="FB1" s="53" t="s">
        <v>419</v>
      </c>
      <c r="FC1" s="53" t="s">
        <v>420</v>
      </c>
      <c r="FD1" s="53" t="s">
        <v>421</v>
      </c>
      <c r="FE1" s="53" t="s">
        <v>422</v>
      </c>
      <c r="FF1" s="53" t="s">
        <v>423</v>
      </c>
      <c r="FG1" s="53" t="s">
        <v>424</v>
      </c>
      <c r="FH1" s="68" t="s">
        <v>425</v>
      </c>
      <c r="FI1" s="68" t="s">
        <v>426</v>
      </c>
      <c r="FJ1" s="68" t="s">
        <v>427</v>
      </c>
      <c r="FK1" s="68" t="s">
        <v>428</v>
      </c>
      <c r="FL1" s="68" t="s">
        <v>429</v>
      </c>
      <c r="FM1" s="68" t="s">
        <v>430</v>
      </c>
      <c r="FN1" s="41" t="s">
        <v>431</v>
      </c>
      <c r="FO1" s="41" t="s">
        <v>432</v>
      </c>
      <c r="FP1" s="41" t="s">
        <v>433</v>
      </c>
      <c r="FQ1" s="41" t="s">
        <v>434</v>
      </c>
      <c r="FR1" s="41" t="s">
        <v>435</v>
      </c>
      <c r="FS1" s="41" t="s">
        <v>436</v>
      </c>
      <c r="FT1" s="59" t="s">
        <v>437</v>
      </c>
      <c r="FU1" s="59" t="s">
        <v>438</v>
      </c>
      <c r="FV1" s="59" t="s">
        <v>439</v>
      </c>
      <c r="FW1" s="59" t="s">
        <v>440</v>
      </c>
      <c r="FX1" s="59" t="s">
        <v>441</v>
      </c>
      <c r="FY1" s="59" t="s">
        <v>442</v>
      </c>
      <c r="FZ1" s="71" t="s">
        <v>443</v>
      </c>
      <c r="GA1" s="71" t="s">
        <v>444</v>
      </c>
      <c r="GB1" s="71" t="s">
        <v>445</v>
      </c>
      <c r="GC1" s="71" t="s">
        <v>446</v>
      </c>
      <c r="GD1" s="71" t="s">
        <v>447</v>
      </c>
      <c r="GE1" s="71" t="s">
        <v>448</v>
      </c>
      <c r="GF1" s="50" t="s">
        <v>449</v>
      </c>
      <c r="GG1" s="50" t="s">
        <v>450</v>
      </c>
      <c r="GH1" s="50" t="s">
        <v>451</v>
      </c>
      <c r="GI1" s="50" t="s">
        <v>452</v>
      </c>
      <c r="GJ1" s="50" t="s">
        <v>453</v>
      </c>
      <c r="GK1" s="50" t="s">
        <v>454</v>
      </c>
      <c r="GL1" s="50" t="s">
        <v>455</v>
      </c>
      <c r="GM1" s="56" t="s">
        <v>456</v>
      </c>
      <c r="GN1" s="50" t="s">
        <v>460</v>
      </c>
    </row>
    <row r="2" spans="1:196" s="5" customFormat="1" x14ac:dyDescent="0.3">
      <c r="A2" s="84" t="str">
        <f>Formula!A2</f>
        <v>Na4Ca(PO3)6</v>
      </c>
      <c r="B2" s="89">
        <f>((Formula!C2)/(Formula!C2+Formula!E2+Formula!G2+Formula!I2+Formula!K2))*(INDEX(Properties!A$1:CB$87,Formula!B2,3))+((Formula!E2)/(Formula!C2+Formula!E2+Formula!G2+Formula!I2+Formula!K2))*(INDEX(Properties!A$1:CB$87,Formula!D2,3))+((Formula!G2)/(Formula!C2+Formula!E2+Formula!G2+Formula!I2+Formula!K2))*(INDEX(Properties!A$1:CB$87,Formula!F2,3))+((Formula!I2)/(Formula!C2+Formula!E2+Formula!G2+Formula!I2+Formula!K2))*(INDEX(Properties!A$1:CB$87,Formula!H2,3))+((Formula!K2)/(Formula!C2+Formula!E2+Formula!G2+Formula!I2+Formula!K2))*(INDEX(Properties!A$1:CB$87,Formula!J2,3))</f>
        <v>20.892029103448277</v>
      </c>
      <c r="C2" s="85">
        <f>Formula!C2*(INDEX(Properties!A$1:CB$87,Formula!B2,3))+Formula!E2*(INDEX(Properties!A$1:CB$87,Formula!D2,3))+Formula!G2*(INDEX(Properties!A$1:CB$87,Formula!F2,3))+Formula!I2*(INDEX(Properties!A$1:CB$87,Formula!H2,3))+Formula!K2*(INDEX(Properties!A$1:CB$87,Formula!J2,3))</f>
        <v>605.86884400000008</v>
      </c>
      <c r="D2" s="85">
        <f>VARP(IF(INDEX(Properties!A$1:CB$87,Formula!B2,3)&lt;&gt;"",INDEX(Properties!A$1:CB$87,Formula!B2,3)),IF(INDEX(Properties!A$1:CB$87,Formula!D2,3)&lt;&gt;"",INDEX(Properties!A$1:CB$87,Formula!D2,3)),IF(INDEX(Properties!A$1:CB$87,Formula!F2,3)&lt;&gt;"",INDEX(Properties!A$1:CB$87,Formula!F2,3)),IF(INDEX(Properties!A$1:CB$87,Formula!H2,3)&lt;&gt;"",INDEX(Properties!A$1:CB$87,Formula!H2,3)),IF(INDEX(Properties!A$1:CB$87,Formula!J2,3)&lt;&gt;"",INDEX(Properties!A$1:CB$87,Formula!J2,3)))</f>
        <v>185.66579888669781</v>
      </c>
      <c r="E2" s="85">
        <f>MAX(INDEX(Properties!A$1:CB$87,Formula!B2,3),INDEX(Properties!A$1:CB$87,Formula!D2,3),INDEX(Properties!A$1:CB$87,Formula!F2,3),INDEX(Properties!A$1:CB$87,Formula!H2,3),INDEX(Properties!A$1:CB$87,Formula!J2,3))</f>
        <v>40.078000000000003</v>
      </c>
      <c r="F2" s="85">
        <f>MIN(IF(INDEX(Properties!A$1:CB$87,Formula!B2,3)=0,10^6,INDEX(Properties!A$1:CB$87,Formula!B2,3)),IF(INDEX(Properties!A$1:CB$87,Formula!D2,3)=0,10^6,INDEX(Properties!A$1:CB$87,Formula!D2,3)),IF(INDEX(Properties!A$1:CB$87,Formula!F2,3)=0,10^6,INDEX(Properties!A$1:CB$87,Formula!F2,3)),IF(INDEX(Properties!A$1:CB$87,Formula!H2,3)=0,10^6,INDEX(Properties!A$1:CB$87,Formula!H2,3)),IF(INDEX(Properties!A$1:CB$87,Formula!J2,3)=0,10^6,INDEX(Properties!A$1:CB$87,Formula!J2,3)))</f>
        <v>15.9994</v>
      </c>
      <c r="G2" s="85">
        <f>ABS(E2-F2)</f>
        <v>24.078600000000002</v>
      </c>
      <c r="H2" s="87">
        <f>((Formula!C2)/(Formula!C2+Formula!E2+Formula!G2+Formula!I2+Formula!K2))*(INDEX(Properties!A$1:CB$87,Formula!B2,4))+((Formula!E2)/(Formula!C2+Formula!E2+Formula!G2+Formula!I2+Formula!K2))*(INDEX(Properties!A$1:CB$87,Formula!D2,4))+((Formula!G2)/(Formula!C2+Formula!E2+Formula!G2+Formula!I2+Formula!K2))*(INDEX(Properties!A$1:CB$87,Formula!F2,4))+((Formula!I2)/(Formula!C2+Formula!E2+Formula!G2+Formula!I2+Formula!K2))*(INDEX(Properties!A$1:CB$87,Formula!H2,4))+((Formula!K2)/(Formula!C2+Formula!E2+Formula!G2+Formula!I2+Formula!K2))*(INDEX(Properties!A$1:CB$87,Formula!J2,4))</f>
        <v>10.275862068965516</v>
      </c>
      <c r="I2" s="87">
        <f>Formula!C2*(INDEX(Properties!A$1:CB$87,Formula!B2,4))+Formula!E2*(INDEX(Properties!A$1:CB$87,Formula!D2,4))+Formula!G2*(INDEX(Properties!A$1:CB$87,Formula!F2,4))+Formula!I2*(INDEX(Properties!A$1:CB$87,Formula!H2,4))+Formula!K2*(INDEX(Properties!A$1:CB$87,Formula!J2,4))</f>
        <v>298</v>
      </c>
      <c r="J2" s="87">
        <f>VARP(IF(INDEX(Properties!A$1:CB$87,Formula!B2,4)&lt;&gt;"",INDEX(Properties!A$1:CB$87,Formula!B2,4)),IF(INDEX(Properties!A$1:CB$87,Formula!D2,4)&lt;&gt;"",INDEX(Properties!A$1:CB$87,Formula!D2,4)),IF(INDEX(Properties!A$1:CB$87,Formula!F2,4)&lt;&gt;"",INDEX(Properties!A$1:CB$87,Formula!F2,4)),IF(INDEX(Properties!A$1:CB$87,Formula!H2,4)&lt;&gt;"",INDEX(Properties!A$1:CB$87,Formula!H2,4)),IF(INDEX(Properties!A$1:CB$87,Formula!J2,4)&lt;&gt;"",INDEX(Properties!A$1:CB$87,Formula!J2,4)))</f>
        <v>45.36</v>
      </c>
      <c r="K2" s="87">
        <f>MAX(INDEX(Properties!A$1:CB$87,Formula!B2,4),INDEX(Properties!A$1:CB$87,Formula!D2,4),INDEX(Properties!A$1:CB$87,Formula!F2,4),INDEX(Properties!A$1:CB$87,Formula!H2,4),INDEX(Properties!A$1:CB$87,Formula!J2,4))</f>
        <v>20</v>
      </c>
      <c r="L2" s="87">
        <f>MIN(IF(INDEX(Properties!A$1:CB$87,Formula!B2,4)=0,10^6,INDEX(Properties!A$1:CB$87,Formula!B2,4)),IF(INDEX(Properties!A$1:CB$87,Formula!D2,4)=0,10^6,INDEX(Properties!A$1:CB$87,Formula!D2,4)),IF(INDEX(Properties!A$1:CB$87,Formula!F2,4)=0,10^6,INDEX(Properties!A$1:CB$87,Formula!F2,4)),IF(INDEX(Properties!A$1:CB$87,Formula!H2,4)=0,10^6,INDEX(Properties!A$1:CB$87,Formula!H2,4)),IF(INDEX(Properties!A$1:CB$87,Formula!J2,4)=0,10^6,INDEX(Properties!A$1:CB$87,Formula!J2,4)))</f>
        <v>8</v>
      </c>
      <c r="M2" s="87">
        <f>ABS(K2-L2)</f>
        <v>12</v>
      </c>
      <c r="N2" s="89">
        <f>((Formula!C2)/(Formula!C2+Formula!E2+Formula!G2+Formula!I2+Formula!K2))*(INDEX(Properties!A$1:CB$87,Formula!B2,5))+((Formula!E2)/(Formula!C2+Formula!E2+Formula!G2+Formula!I2+Formula!K2))*(INDEX(Properties!A$1:CB$87,Formula!D2,5))+((Formula!G2)/(Formula!C2+Formula!E2+Formula!G2+Formula!I2+Formula!K2))*(INDEX(Properties!A$1:CB$87,Formula!F2,5))+((Formula!I2)/(Formula!C2+Formula!E2+Formula!G2+Formula!I2+Formula!K2))*(INDEX(Properties!A$1:CB$87,Formula!H2,5))+((Formula!K2)/(Formula!C2+Formula!E2+Formula!G2+Formula!I2+Formula!K2))*(INDEX(Properties!A$1:CB$87,Formula!J2,5))</f>
        <v>2.4137931034482758</v>
      </c>
      <c r="O2" s="89">
        <f>Formula!C2*(INDEX(Properties!A$1:CB$87,Formula!B2,5))+Formula!E2*(INDEX(Properties!A$1:CB$87,Formula!D2,5))+Formula!G2*(INDEX(Properties!A$1:CB$87,Formula!F2,5))+Formula!I2*(INDEX(Properties!A$1:CB$87,Formula!H2,5))+Formula!K2*(INDEX(Properties!A$1:CB$87,Formula!J2,5))</f>
        <v>70</v>
      </c>
      <c r="P2" s="89">
        <f>VARP(IF(INDEX(Properties!A$1:CB$87,Formula!B2,5)&lt;&gt;"",INDEX(Properties!A$1:CB$87,Formula!B2,5)),IF(INDEX(Properties!A$1:CB$87,Formula!D2,5)&lt;&gt;"",INDEX(Properties!A$1:CB$87,Formula!D2,5)),IF(INDEX(Properties!A$1:CB$87,Formula!F2,5)&lt;&gt;"",INDEX(Properties!A$1:CB$87,Formula!F2,5)),IF(INDEX(Properties!A$1:CB$87,Formula!H2,5)&lt;&gt;"",INDEX(Properties!A$1:CB$87,Formula!H2,5)),IF(INDEX(Properties!A$1:CB$87,Formula!J2,5)&lt;&gt;"",INDEX(Properties!A$1:CB$87,Formula!J2,5)))</f>
        <v>1.84</v>
      </c>
      <c r="Q2" s="89">
        <f>MAX(INDEX(Properties!A$1:CB$87,Formula!B2,5),INDEX(Properties!A$1:CB$87,Formula!D2,5),INDEX(Properties!A$1:CB$87,Formula!F2,5),INDEX(Properties!A$1:CB$87,Formula!H2,5),INDEX(Properties!A$1:CB$87,Formula!J2,5))</f>
        <v>4</v>
      </c>
      <c r="R2" s="89">
        <f>MIN(IF(INDEX(Properties!A$1:CB$87,Formula!B2,5)=0,10^6,INDEX(Properties!A$1:CB$87,Formula!B2,5)),IF(INDEX(Properties!A$1:CB$87,Formula!D2,5)=0,10^6,INDEX(Properties!A$1:CB$87,Formula!D2,5)),IF(INDEX(Properties!A$1:CB$87,Formula!F2,5)=0,10^6,INDEX(Properties!A$1:CB$87,Formula!F2,5)),IF(INDEX(Properties!A$1:CB$87,Formula!H2,5)=0,10^6,INDEX(Properties!A$1:CB$87,Formula!H2,5)),IF(INDEX(Properties!A$1:CB$87,Formula!J2,5)=0,10^6,INDEX(Properties!A$1:CB$87,Formula!J2,5)))</f>
        <v>2</v>
      </c>
      <c r="S2" s="89">
        <f>ABS(Q2-R2)</f>
        <v>2</v>
      </c>
      <c r="T2" s="60">
        <f>((Formula!C2)/(Formula!C2+Formula!E2+Formula!G2+Formula!I2+Formula!K2))*(INDEX(Properties!A$1:CB$87,Formula!B2,6))+((Formula!E2)/(Formula!C2+Formula!E2+Formula!G2+Formula!I2+Formula!K2))*(INDEX(Properties!A$1:CB$87,Formula!D2,6))+((Formula!G2)/(Formula!C2+Formula!E2+Formula!G2+Formula!I2+Formula!K2))*(INDEX(Properties!A$1:CB$87,Formula!F2,6))+((Formula!I2)/(Formula!C2+Formula!E2+Formula!G2+Formula!I2+Formula!K2))*(INDEX(Properties!A$1:CB$87,Formula!H2,6))+((Formula!K2)/(Formula!C2+Formula!E2+Formula!G2+Formula!I2+Formula!K2))*(INDEX(Properties!A$1:CB$87,Formula!J2,6))</f>
        <v>13.241379310344827</v>
      </c>
      <c r="U2" s="60">
        <f>Formula!C2*(INDEX(Properties!A$1:CB$87,Formula!B2,6))+Formula!E2*(INDEX(Properties!A$1:CB$87,Formula!D2,6))+Formula!G2*(INDEX(Properties!A$1:CB$87,Formula!F2,6))+Formula!I2*(INDEX(Properties!A$1:CB$87,Formula!H2,6))+Formula!K2*(INDEX(Properties!A$1:CB$87,Formula!J2,6))</f>
        <v>384</v>
      </c>
      <c r="V2" s="89">
        <f>VARP(IF(INDEX(Properties!A$1:CB$87,Formula!B2,6)&lt;&gt;"",INDEX(Properties!A$1:CB$87,Formula!B2,6)),IF(INDEX(Properties!A$1:CB$87,Formula!D2,6)&lt;&gt;"",INDEX(Properties!A$1:CB$87,Formula!D2,6)),IF(INDEX(Properties!A$1:CB$87,Formula!F2,6)&lt;&gt;"",INDEX(Properties!A$1:CB$87,Formula!F2,6)),IF(INDEX(Properties!A$1:CB$87,Formula!H2,6)&lt;&gt;"",INDEX(Properties!A$1:CB$87,Formula!H2,6)),IF(INDEX(Properties!A$1:CB$87,Formula!J2,6)&lt;&gt;"",INDEX(Properties!A$1:CB$87,Formula!J2,6)))</f>
        <v>50.96</v>
      </c>
      <c r="W2" s="60">
        <f>MAX(INDEX(Properties!A$1:CB$87,Formula!B2,6),INDEX(Properties!A$1:CB$87,Formula!D2,6),INDEX(Properties!A$1:CB$87,Formula!F2,6),INDEX(Properties!A$1:CB$87,Formula!H2,4),INDEX(Properties!A$1:CB$87,Formula!J2,6))</f>
        <v>15</v>
      </c>
      <c r="X2" s="60">
        <f>MIN(IF(INDEX(Properties!A$1:CB$87,Formula!B2,6)=0,10^6,INDEX(Properties!A$1:CB$87,Formula!B2,6)),IF(INDEX(Properties!A$1:CB$87,Formula!D2,6)=0,10^6,INDEX(Properties!A$1:CB$87,Formula!D2,6)),IF(INDEX(Properties!A$1:CB$87,Formula!F2,6)=0,10^6,INDEX(Properties!A$1:CB$87,Formula!F2,6)),IF(INDEX(Properties!A$1:CB$87,Formula!H2,6)=0,10^6,INDEX(Properties!A$1:CB$87,Formula!H2,6)),IF(INDEX(Properties!A$1:CB$87,Formula!J2,6)=0,10^6,INDEX(Properties!A$1:CB$87,Formula!J2,6)))</f>
        <v>1</v>
      </c>
      <c r="Y2" s="60">
        <f>ABS(W2-X2)</f>
        <v>14</v>
      </c>
      <c r="Z2" s="72">
        <f>((Formula!C2)/(Formula!C2+Formula!E2+Formula!G2+Formula!I2+Formula!K2))*(INDEX(Properties!A$1:CB$87,Formula!B2,9))+((Formula!E2)/(Formula!C2+Formula!E2+Formula!G2+Formula!I2+Formula!K2))*(INDEX(Properties!A$1:CB$87,Formula!D2,9))+((Formula!G2)/(Formula!C2+Formula!E2+Formula!G2+Formula!I2+Formula!K2))*(INDEX(Properties!A$1:CB$87,Formula!F2,9))+((Formula!I2)/(Formula!C2+Formula!E2+Formula!G2+Formula!I2+Formula!K2))*(INDEX(Properties!A$1:CB$87,Formula!H2,9))+((Formula!K2)/(Formula!C2+Formula!E2+Formula!G2+Formula!I2+Formula!K2))*(INDEX(Properties!A$1:CB$87,Formula!J2,9))</f>
        <v>71.689655172413794</v>
      </c>
      <c r="AA2" s="72">
        <f>Formula!C2*(INDEX(Properties!A$1:CB$87,Formula!B2,9))+Formula!E2*(INDEX(Properties!A$1:CB$87,Formula!D2,9))+Formula!G2*(INDEX(Properties!A$1:CB$87,Formula!F2,9))+Formula!I2*(INDEX(Properties!A$1:CB$87,Formula!H2,9))+Formula!K2*(INDEX(Properties!A$1:CB$87,Formula!J2,9))</f>
        <v>2079</v>
      </c>
      <c r="AB2" s="72">
        <f>VARP(IF(INDEX(Properties!A$1:CB$87,Formula!B2,9)&lt;&gt;"",INDEX(Properties!A$1:CB$87,Formula!B2,9)),IF(INDEX(Properties!A$1:CB$87,Formula!D2,9)&lt;&gt;"",INDEX(Properties!A$1:CB$87,Formula!D2,9)),IF(INDEX(Properties!A$1:CB$87,Formula!F2,9)&lt;&gt;"",INDEX(Properties!A$1:CB$87,Formula!F2,9)),IF(INDEX(Properties!A$1:CB$87,Formula!H2,9)&lt;&gt;"",INDEX(Properties!A$1:CB$87,Formula!H2,9)),IF(INDEX(Properties!A$1:CB$87,Formula!J2,9)&lt;&gt;"",INDEX(Properties!A$1:CB$87,Formula!J2,9)))</f>
        <v>1620.56</v>
      </c>
      <c r="AC2" s="72">
        <f>MAX(INDEX(Properties!A$1:CB$87,Formula!B2,9),INDEX(Properties!A$1:CB$87,Formula!D2,9),INDEX(Properties!A$1:CB$87,Formula!F2,9),INDEX(Properties!A$1:CB$87,Formula!H2,9),INDEX(Properties!A$1:CB$87,Formula!J2,9))</f>
        <v>87</v>
      </c>
      <c r="AD2" s="72">
        <f>MIN(IF(INDEX(Properties!A$1:CB$87,Formula!B2,9)=0,10^6,INDEX(Properties!A$1:CB$87,Formula!B2,9)),IF(INDEX(Properties!A$1:CB$87,Formula!D2,9)=0,10^6,INDEX(Properties!A$1:CB$87,Formula!D2,9)),IF(INDEX(Properties!A$1:CB$87,Formula!F2,9)=0,10^6,INDEX(Properties!A$1:CB$87,Formula!F2,9)),IF(INDEX(Properties!A$1:CB$87,Formula!H2,9)=0,10^6,INDEX(Properties!A$1:CB$87,Formula!H2,9)),IF(INDEX(Properties!A$1:CB$87,Formula!J2,9)=0,10^6,INDEX(Properties!A$1:CB$87,Formula!J2,9)))</f>
        <v>2</v>
      </c>
      <c r="AE2" s="72">
        <f>ABS(AC2-AD2)</f>
        <v>85</v>
      </c>
      <c r="AF2" s="51">
        <f>((Formula!C2)/(Formula!C2+Formula!E2+Formula!G2+Formula!I2+Formula!K2))*(INDEX(Properties!A$1:CB$87,Formula!B2,10))+((Formula!E2)/(Formula!C2+Formula!E2+Formula!G2+Formula!I2+Formula!K2))*(INDEX(Properties!A$1:CB$87,Formula!D2,10))+((Formula!G2)/(Formula!C2+Formula!E2+Formula!G2+Formula!I2+Formula!K2))*(INDEX(Properties!A$1:CB$87,Formula!F2,10))+((Formula!I2)/(Formula!C2+Formula!E2+Formula!G2+Formula!I2+Formula!K2))*(INDEX(Properties!A$1:CB$87,Formula!H2,10))+((Formula!K2)/(Formula!C2+Formula!E2+Formula!G2+Formula!I2+Formula!K2))*(INDEX(Properties!A$1:CB$87,Formula!J2,10))</f>
        <v>6</v>
      </c>
      <c r="AG2" s="51">
        <f>Formula!C2*(INDEX(Properties!A$1:CB$87,Formula!B2,10))+Formula!E2*(INDEX(Properties!A$1:CB$87,Formula!D2,10))+Formula!G2*(INDEX(Properties!A$1:CB$87,Formula!F2,10))+Formula!I2*(INDEX(Properties!A$1:CB$87,Formula!H2,10))+Formula!K2*(INDEX(Properties!A$1:CB$87,Formula!J2,10))</f>
        <v>174</v>
      </c>
      <c r="AH2" s="51">
        <f>VARP(IF(INDEX(Properties!A$1:CB$87,Formula!B2,10)&lt;&gt;"",INDEX(Properties!A$1:CB$87,Formula!B2,10)),IF(INDEX(Properties!A$1:CB$87,Formula!D2,10)&lt;&gt;"",INDEX(Properties!A$1:CB$87,Formula!D2,10)),IF(INDEX(Properties!A$1:CB$87,Formula!F2,10)&lt;&gt;"",INDEX(Properties!A$1:CB$87,Formula!F2,10)),IF(INDEX(Properties!A$1:CB$87,Formula!H2,10)&lt;&gt;"",INDEX(Properties!A$1:CB$87,Formula!H2,10)),IF(INDEX(Properties!A$1:CB$87,Formula!J2,10)&lt;&gt;"",INDEX(Properties!A$1:CB$87,Formula!J2,10)))</f>
        <v>9.0399999999999991</v>
      </c>
      <c r="AI2" s="51">
        <f>MAX(INDEX(Properties!A$1:CB$87,Formula!B2,10),INDEX(Properties!A$1:CB$87,Formula!D2,10),INDEX(Properties!A$1:CB$87,Formula!F2,10),INDEX(Properties!A$1:CB$87,Formula!H2,10),INDEX(Properties!A$1:CB$87,Formula!J2,10))</f>
        <v>7</v>
      </c>
      <c r="AJ2" s="51">
        <f>MIN(IF(INDEX(Properties!A$1:CB$87,Formula!B2,10)=0,10^6,INDEX(Properties!A$1:CB$87,Formula!B2,10)),IF(INDEX(Properties!A$1:CB$87,Formula!D2,10)=0,10^6,INDEX(Properties!A$1:CB$87,Formula!D2,10)),IF(INDEX(Properties!A$1:CB$87,Formula!F2,10)=0,10^6,INDEX(Properties!A$1:CB$87,Formula!F2,10)),IF(INDEX(Properties!A$1:CB$87,Formula!H2,10)=0,10^6,INDEX(Properties!A$1:CB$87,Formula!H2,10)),IF(INDEX(Properties!A$1:CB$87,Formula!J2,10)=0,10^6,INDEX(Properties!A$1:CB$87,Formula!J2,10)))</f>
        <v>1</v>
      </c>
      <c r="AK2" s="51">
        <f>ABS(AI2-AJ2)</f>
        <v>6</v>
      </c>
      <c r="AL2" s="57">
        <f>((Formula!C2)/(Formula!C2+Formula!E2+Formula!G2+Formula!I2+Formula!K2))*(INDEX(Properties!A$1:CB$87,Formula!B2,11))+((Formula!E2)/(Formula!C2+Formula!E2+Formula!G2+Formula!I2+Formula!K2))*(INDEX(Properties!A$1:CB$87,Formula!D2,11))+((Formula!G2)/(Formula!C2+Formula!E2+Formula!G2+Formula!I2+Formula!K2))*(INDEX(Properties!A$1:CB$87,Formula!F2,11))+((Formula!I2)/(Formula!C2+Formula!E2+Formula!G2+Formula!I2+Formula!K2))*(INDEX(Properties!A$1:CB$87,Formula!H2,11))+((Formula!K2)/(Formula!C2+Formula!E2+Formula!G2+Formula!I2+Formula!K2))*(INDEX(Properties!A$1:CB$87,Formula!J2,11))</f>
        <v>1.8620689655172415</v>
      </c>
      <c r="AM2" s="57">
        <f>Formula!C2*(INDEX(Properties!A$1:CB$87,Formula!B2,11))+Formula!E2*(INDEX(Properties!A$1:CB$87,Formula!D2,11))+Formula!G2*(INDEX(Properties!A$1:CB$87,Formula!F2,11))+Formula!I2*(INDEX(Properties!A$1:CB$87,Formula!H2,11))+Formula!K2*(INDEX(Properties!A$1:CB$87,Formula!J2,11))</f>
        <v>54</v>
      </c>
      <c r="AN2" s="57">
        <f>VARP(IF(INDEX(Properties!A$1:CB$87,Formula!B2,11)&lt;&gt;"",INDEX(Properties!A$1:CB$87,Formula!B2,11)),IF(INDEX(Properties!A$1:CB$87,Formula!D2,11)&lt;&gt;"",INDEX(Properties!A$1:CB$87,Formula!D2,11)),IF(INDEX(Properties!A$1:CB$87,Formula!F2,11)&lt;&gt;"",INDEX(Properties!A$1:CB$87,Formula!F2,11)),IF(INDEX(Properties!A$1:CB$87,Formula!H2,11)&lt;&gt;"",INDEX(Properties!A$1:CB$87,Formula!H2,11)),IF(INDEX(Properties!A$1:CB$87,Formula!J2,11)&lt;&gt;"",INDEX(Properties!A$1:CB$87,Formula!J2,11)))</f>
        <v>0.64</v>
      </c>
      <c r="AO2" s="57">
        <f>MAX(INDEX(Properties!A$1:CB$87,Formula!B2,11),INDEX(Properties!A$1:CB$87,Formula!D2,11),INDEX(Properties!A$1:CB$87,Formula!F2,11),INDEX(Properties!A$1:CB$87,Formula!H2,11),INDEX(Properties!A$1:CB$87,Formula!J2,11))</f>
        <v>2</v>
      </c>
      <c r="AP2" s="57">
        <f>MIN(IF(Formula!B2=87,10^6,INDEX(Properties!A$1:CB$87,Formula!B2,11)),IF((Formula!D2)=87,10^6,INDEX(Properties!A$1:CB$87,Formula!D2,11)),IF((Formula!F2)=87,10^6,INDEX(Properties!A$1:CB$87,Formula!F2,11)),IF((Formula!H2)=87,10^6,INDEX(Properties!A$1:CB$87,Formula!H2,11)),IF(Formula!J2=87,10^6,INDEX(Properties!A$1:CB$87,Formula!J2,11)))</f>
        <v>1</v>
      </c>
      <c r="AQ2" s="57">
        <f>ABS(AO2-AP2)</f>
        <v>1</v>
      </c>
      <c r="AR2" s="78">
        <f>((Formula!C2)/(Formula!C2+Formula!E2+Formula!G2+Formula!I2+Formula!K2))*(INDEX(Properties!A$1:CB$87,Formula!B2,12))+((Formula!E2)/(Formula!C2+Formula!E2+Formula!G2+Formula!I2+Formula!K2))*(INDEX(Properties!A$1:CB$87,Formula!D2,12))+((Formula!G2)/(Formula!C2+Formula!E2+Formula!G2+Formula!I2+Formula!K2))*(INDEX(Properties!A$1:CB$87,Formula!F2,12))+((Formula!I2)/(Formula!C2+Formula!E2+Formula!G2+Formula!I2+Formula!K2))*(INDEX(Properties!A$1:CB$87,Formula!H2,12))+((Formula!K2)/(Formula!C2+Formula!E2+Formula!G2+Formula!I2+Formula!K2))*(INDEX(Properties!A$1:CB$87,Formula!J2,12))</f>
        <v>3.103448275862069</v>
      </c>
      <c r="AS2" s="78">
        <f>Formula!C2*(INDEX(Properties!A$1:CB$87,Formula!B2,12))+Formula!E2*(INDEX(Properties!A$1:CB$87,Formula!D2,12))+Formula!G2*(INDEX(Properties!A$1:CB$87,Formula!F2,12))+Formula!I2*(INDEX(Properties!A$1:CB$87,Formula!H2,12))+Formula!K2*(INDEX(Properties!A$1:CB$87,Formula!J2,12))</f>
        <v>90</v>
      </c>
      <c r="AT2" s="78">
        <f>VARP(IF(INDEX(Properties!A$1:CB$87,Formula!B2,12)&lt;&gt;"",INDEX(Properties!A$1:CB$87,Formula!B2,12)),IF(INDEX(Properties!A$1:CB$87,Formula!D2,12)&lt;&gt;"",INDEX(Properties!A$1:CB$87,Formula!D2,12)),IF(INDEX(Properties!A$1:CB$87,Formula!F2,12)&lt;&gt;"",INDEX(Properties!A$1:CB$87,Formula!F2,12)),IF(INDEX(Properties!A$1:CB$87,Formula!H2,12)&lt;&gt;"",INDEX(Properties!A$1:CB$87,Formula!H2,12)),IF(INDEX(Properties!A$1:CB$87,Formula!J2,12)&lt;&gt;"",INDEX(Properties!A$1:CB$87,Formula!J2,12)))</f>
        <v>3.04</v>
      </c>
      <c r="AU2" s="78">
        <f>MAX(INDEX(Properties!A$1:CB$87,Formula!B2,12),INDEX(Properties!A$1:CB$87,Formula!D2,12),INDEX(Properties!A$1:CB$87,Formula!F2,12),INDEX(Properties!A$1:CB$87,Formula!H2,12),INDEX(Properties!A$1:CB$87,Formula!J2,12))</f>
        <v>4</v>
      </c>
      <c r="AV2" s="78">
        <f>MIN(IF(Formula!B2=87,10^6,INDEX(Properties!A$1:CB$87,Formula!B2,12)),IF((Formula!D2)=87,10^6,INDEX(Properties!A$1:CB$87,Formula!D2,12)),IF((Formula!F2)=87,10^6,INDEX(Properties!A$1:CB$87,Formula!F2,12)),IF((Formula!H2)=87,10^6,INDEX(Properties!A$1:CB$87,Formula!H2,12)),IF(Formula!J2=87,10^6,INDEX(Properties!A$1:CB$87,Formula!J2,12)))</f>
        <v>0</v>
      </c>
      <c r="AW2" s="78">
        <f>ABS(AU2-AV2)</f>
        <v>4</v>
      </c>
      <c r="AX2" s="45">
        <f>((Formula!C2)/(Formula!C2+Formula!E2+Formula!G2+Formula!I2+Formula!K2))*(INDEX(Properties!A$1:CB$87,Formula!B2,13))+((Formula!E2)/(Formula!C2+Formula!E2+Formula!G2+Formula!I2+Formula!K2))*(INDEX(Properties!A$1:CB$87,Formula!D2,13))+((Formula!G2)/(Formula!C2+Formula!E2+Formula!G2+Formula!I2+Formula!K2))*(INDEX(Properties!A$1:CB$87,Formula!F2,13))+((Formula!I2)/(Formula!C2+Formula!E2+Formula!G2+Formula!I2+Formula!K2))*(INDEX(Properties!A$1:CB$87,Formula!H2,13))+((Formula!K2)/(Formula!C2+Formula!E2+Formula!G2+Formula!I2+Formula!K2))*(INDEX(Properties!A$1:CB$87,Formula!J2,13))</f>
        <v>0</v>
      </c>
      <c r="AY2" s="45">
        <f>Formula!C2*(INDEX(Properties!A$1:CB$87,Formula!B2,13))+Formula!E2*(INDEX(Properties!A$1:CB$87,Formula!D2,13))+Formula!G2*(INDEX(Properties!A$1:CB$87,Formula!F2,13))+Formula!I2*(INDEX(Properties!A$1:CB$87,Formula!H2,13))+Formula!K2*(INDEX(Properties!A$1:CB$87,Formula!J2,13))</f>
        <v>0</v>
      </c>
      <c r="AZ2" s="45">
        <f>VARP(IF(INDEX(Properties!A$1:CB$87,Formula!B2,13)&lt;&gt;"",INDEX(Properties!A$1:CB$87,Formula!B2,13)),IF(INDEX(Properties!A$1:CB$87,Formula!D2,13)&lt;&gt;"",INDEX(Properties!A$1:CB$87,Formula!D2,13)),IF(INDEX(Properties!A$1:CB$87,Formula!F2,13)&lt;&gt;"",INDEX(Properties!A$1:CB$87,Formula!F2,13)),IF(INDEX(Properties!A$1:CB$87,Formula!H2,13)&lt;&gt;"",INDEX(Properties!A$1:CB$87,Formula!H2,13)),IF(INDEX(Properties!A$1:CB$87,Formula!J2,13)&lt;&gt;"",INDEX(Properties!A$1:CB$87,Formula!J2,13)))</f>
        <v>0</v>
      </c>
      <c r="BA2" s="45">
        <f>MAX(INDEX(Properties!A$1:CB$87,Formula!B2,13),INDEX(Properties!A$1:CB$87,Formula!D2,13),INDEX(Properties!A$1:CB$87,Formula!F2,13),INDEX(Properties!A$1:CB$87,Formula!H2,13),INDEX(Properties!A$1:CB$87,Formula!J2,13))</f>
        <v>0</v>
      </c>
      <c r="BB2" s="45">
        <f>MIN(IF(Formula!B2=87,10^6,INDEX(Properties!A$1:CB$87,Formula!B2,13)),IF((Formula!D2)=87,10^6,INDEX(Properties!A$1:CB$87,Formula!D2,13)),IF((Formula!F2)=87,10^6,INDEX(Properties!A$1:CB$87,Formula!F2,13)),IF((Formula!H2)=87,10^6,INDEX(Properties!A$1:CB$87,Formula!H2,13)),IF(Formula!J2=87,10^6,INDEX(Properties!A$1:CB$87,Formula!J2,13)))</f>
        <v>0</v>
      </c>
      <c r="BC2" s="45">
        <f>ABS(BA2-BB2)</f>
        <v>0</v>
      </c>
      <c r="BD2" s="63">
        <f>((Formula!C2)/(Formula!C2+Formula!E2+Formula!G2+Formula!I2+Formula!K2))*(INDEX(Properties!A$1:CB$87,Formula!B2,14))+((Formula!E2)/(Formula!C2+Formula!E2+Formula!G2+Formula!I2+Formula!K2))*(INDEX(Properties!A$1:CB$87,Formula!D2,14))+((Formula!G2)/(Formula!C2+Formula!E2+Formula!G2+Formula!I2+Formula!K2))*(INDEX(Properties!A$1:CB$87,Formula!F2,14))+((Formula!I2)/(Formula!C2+Formula!E2+Formula!G2+Formula!I2+Formula!K2))*(INDEX(Properties!A$1:CB$87,Formula!H2,14))+((Formula!K2)/(Formula!C2+Formula!E2+Formula!G2+Formula!I2+Formula!K2))*(INDEX(Properties!A$1:CB$87,Formula!J2,14))</f>
        <v>0</v>
      </c>
      <c r="BE2" s="63">
        <f>Formula!C2*(INDEX(Properties!A$1:CB$87,Formula!B2,14))+Formula!E2*(INDEX(Properties!A$1:CB$87,Formula!D2,14))+Formula!G2*(INDEX(Properties!A$1:CB$87,Formula!F2,14))+Formula!I2*(INDEX(Properties!A$1:CB$87,Formula!H2,14))+Formula!K2*(INDEX(Properties!A$1:CB$87,Formula!J2,14))</f>
        <v>0</v>
      </c>
      <c r="BF2" s="63">
        <f>VARP(IF(INDEX(Properties!A$1:CB$87,Formula!B2,14)&lt;&gt;"",INDEX(Properties!A$1:CB$87,Formula!B2,14)),IF(INDEX(Properties!A$1:CB$87,Formula!D2,14)&lt;&gt;"",INDEX(Properties!A$1:CB$87,Formula!D2,14)),IF(INDEX(Properties!A$1:CB$87,Formula!F2,14)&lt;&gt;"",INDEX(Properties!A$1:CB$87,Formula!F2,14)),IF(INDEX(Properties!A$1:CB$87,Formula!H2,14)&lt;&gt;"",INDEX(Properties!A$1:CB$87,Formula!H2,14)),IF(INDEX(Properties!A$1:CB$87,Formula!J2,14)&lt;&gt;"",INDEX(Properties!A$1:CB$87,Formula!J2,14)))</f>
        <v>0</v>
      </c>
      <c r="BG2" s="63">
        <f>MAX(INDEX(Properties!A$1:CB$87,Formula!B2,14),INDEX(Properties!A$1:CB$87,Formula!D2,14),INDEX(Properties!A$1:CB$87,Formula!F2,14),INDEX(Properties!A$1:CB$87,Formula!H2,14),INDEX(Properties!A$1:CB$87,Formula!J2,14))</f>
        <v>0</v>
      </c>
      <c r="BH2" s="63">
        <f>MIN(IF(Formula!B2=87,10^6,INDEX(Properties!A$1:CB$87,Formula!B2,14)),IF((Formula!D2)=87,10^6,INDEX(Properties!A$1:CB$87,Formula!D2,14)),IF((Formula!F2)=87,10^6,INDEX(Properties!A$1:CB$87,Formula!F2,14)),IF((Formula!H2)=87,10^6,INDEX(Properties!A$1:CB$87,Formula!H2,14)),IF(Formula!J2=87,10^6,INDEX(Properties!A$1:CB$87,Formula!J2,14)))</f>
        <v>0</v>
      </c>
      <c r="BI2" s="63">
        <f>ABS(BG2-BH2)</f>
        <v>0</v>
      </c>
      <c r="BJ2" s="75">
        <f>((Formula!C2)/(Formula!C2+Formula!E2+Formula!G2+Formula!I2+Formula!K2))*(INDEX(Properties!A$1:CB$87,Formula!B2,19))+((Formula!E2)/(Formula!C2+Formula!E2+Formula!G2+Formula!I2+Formula!K2))*(INDEX(Properties!A$1:CB$87,Formula!D2,19))+((Formula!G2)/(Formula!C2+Formula!E2+Formula!G2+Formula!I2+Formula!K2))*(INDEX(Properties!A$1:CB$87,Formula!F2,19))+((Formula!I2)/(Formula!C2+Formula!E2+Formula!G2+Formula!I2+Formula!K2))*(INDEX(Properties!A$1:CB$87,Formula!H2,19))+((Formula!K2)/(Formula!C2+Formula!E2+Formula!G2+Formula!I2+Formula!K2))*(INDEX(Properties!A$1:CB$87,Formula!J2,19))</f>
        <v>4.9655172413793105</v>
      </c>
      <c r="BK2" s="75">
        <f>Formula!C2*(INDEX(Properties!A$1:CB$87,Formula!B2,19))+Formula!E2*(INDEX(Properties!A$1:CB$87,Formula!D2,19))+Formula!G2*(INDEX(Properties!A$1:CB$87,Formula!F2,19))+Formula!I2*(INDEX(Properties!A$1:CB$87,Formula!H2,19))+Formula!K2*(INDEX(Properties!A$1:CB$87,Formula!J2,19))</f>
        <v>144</v>
      </c>
      <c r="BL2" s="75">
        <f>VARP(IF(INDEX(Properties!A$1:CB$87,Formula!B2,19)&lt;&gt;"",INDEX(Properties!A$1:CB$87,Formula!B2,19)),IF(INDEX(Properties!A$1:CB$87,Formula!D2,19)&lt;&gt;"",INDEX(Properties!A$1:CB$87,Formula!D2,19)),IF(INDEX(Properties!A$1:CB$87,Formula!F2,19)&lt;&gt;"",INDEX(Properties!A$1:CB$87,Formula!F2,19)),IF(INDEX(Properties!A$1:CB$87,Formula!H2,19)&lt;&gt;"",INDEX(Properties!A$1:CB$87,Formula!H2,19)),IF(INDEX(Properties!A$1:CB$87,Formula!J2,19)&lt;&gt;"",INDEX(Properties!A$1:CB$87,Formula!J2,19)))</f>
        <v>5.36</v>
      </c>
      <c r="BM2" s="75">
        <f>MAX(INDEX(Properties!A$1:CB$87,Formula!B2,19),INDEX(Properties!A$1:CB$87,Formula!D2,19),INDEX(Properties!A$1:CB$87,Formula!F2,19),INDEX(Properties!A$1:CB$87,Formula!H2,19),INDEX(Properties!A$1:CB$87,Formula!J2,19))</f>
        <v>6</v>
      </c>
      <c r="BN2" s="75">
        <f>MIN(IF(INDEX(Properties!A$1:CB$87,Formula!B2,19)=0,10^6,INDEX(Properties!A$1:CB$87,Formula!B2,19)),IF(INDEX(Properties!A$1:CB$87,Formula!D2,19)=0,10^6,INDEX(Properties!A$1:CB$87,Formula!D2,19)),IF(INDEX(Properties!A$1:CB$87,Formula!F2,19)=0,10^6,INDEX(Properties!A$1:CB$87,Formula!F2,19)),IF(INDEX(Properties!A$1:CB$87,Formula!H2,19)=0,10^6,INDEX(Properties!A$1:CB$87,Formula!H2,19)),IF(INDEX(Properties!A$1:CB$87,Formula!J2,19)=0,10^6,INDEX(Properties!A$1:CB$87,Formula!J2,19)))</f>
        <v>1</v>
      </c>
      <c r="BO2" s="75">
        <f>ABS(BM2-BN2)</f>
        <v>5</v>
      </c>
      <c r="BP2" s="48">
        <f>((Formula!C2)/(Formula!C2+Formula!E2+Formula!G2+Formula!I2+Formula!K2))*(INDEX(Properties!A$1:CB$87,Formula!B2,20))+((Formula!E2)/(Formula!C2+Formula!E2+Formula!G2+Formula!I2+Formula!K2))*(INDEX(Properties!A$1:CB$87,Formula!D2,20))+((Formula!G2)/(Formula!C2+Formula!E2+Formula!G2+Formula!I2+Formula!K2))*(INDEX(Properties!A$1:CB$87,Formula!F2,20))+((Formula!I2)/(Formula!C2+Formula!E2+Formula!G2+Formula!I2+Formula!K2))*(INDEX(Properties!A$1:CB$87,Formula!H2,20))+((Formula!K2)/(Formula!C2+Formula!E2+Formula!G2+Formula!I2+Formula!K2))*(INDEX(Properties!A$1:CB$87,Formula!J2,20))</f>
        <v>4.9655172413793105</v>
      </c>
      <c r="BQ2" s="48">
        <f>Formula!C2*(INDEX(Properties!A$1:CB$87,Formula!B2,20))+Formula!E2*(INDEX(Properties!A$1:CB$87,Formula!D2,20))+Formula!G2*(INDEX(Properties!A$1:CB$87,Formula!F2,20))+Formula!I2*(INDEX(Properties!A$1:CB$87,Formula!H2,20))+Formula!K2*(INDEX(Properties!A$1:CB$87,Formula!J2,20))</f>
        <v>144</v>
      </c>
      <c r="BR2" s="48">
        <f>VARP(IF(INDEX(Properties!A$1:CB$87,Formula!B2,20)&lt;&gt;"",INDEX(Properties!A$1:CB$87,Formula!B2,20)),IF(INDEX(Properties!A$1:CB$87,Formula!D2,20)&lt;&gt;"",INDEX(Properties!A$1:CB$87,Formula!D2,20)),IF(INDEX(Properties!A$1:CB$87,Formula!F2,20)&lt;&gt;"",INDEX(Properties!A$1:CB$87,Formula!F2,20)),IF(INDEX(Properties!A$1:CB$87,Formula!H2,20)&lt;&gt;"",INDEX(Properties!A$1:CB$87,Formula!H2,20)),IF(INDEX(Properties!A$1:CB$87,Formula!J2,20)&lt;&gt;"",INDEX(Properties!A$1:CB$87,Formula!J2,20)))</f>
        <v>5.36</v>
      </c>
      <c r="BS2" s="48">
        <f>MAX(INDEX(Properties!A$1:CB$87,Formula!B2,20),INDEX(Properties!A$1:CB$87,Formula!D2,20),INDEX(Properties!A$1:CB$87,Formula!F2,20),INDEX(Properties!A$1:CB$87,Formula!H2,20),INDEX(Properties!A$1:CB$87,Formula!J2,20))</f>
        <v>6</v>
      </c>
      <c r="BT2" s="48">
        <f>MIN(IF(INDEX(Properties!A$1:CB$87,Formula!B2,20)=0,10^6,INDEX(Properties!A$1:CB$87,Formula!B2,20)),IF(INDEX(Properties!A$1:CB$87,Formula!D2,20)=0,10^6,INDEX(Properties!A$1:CB$87,Formula!D2,20)),IF(INDEX(Properties!A$1:CB$87,Formula!F2,20)=0,10^6,INDEX(Properties!A$1:CB$87,Formula!F2,20)),IF(INDEX(Properties!A$1:CB$87,Formula!H2,20)=0,10^6,INDEX(Properties!A$1:CB$87,Formula!H2,20)),IF(INDEX(Properties!A$1:CB$87,Formula!J2,20)=0,10^6,INDEX(Properties!A$1:CB$87,Formula!J2,20)))</f>
        <v>1</v>
      </c>
      <c r="BU2" s="48">
        <f>ABS(BS2-BT2)</f>
        <v>5</v>
      </c>
      <c r="BV2" s="66">
        <f>((Formula!C2)/(Formula!C2+Formula!E2+Formula!G2+Formula!I2+Formula!K2))*(INDEX(Properties!A$1:CB$87,Formula!B2,21))+((Formula!E2)/(Formula!C2+Formula!E2+Formula!G2+Formula!I2+Formula!K2))*(INDEX(Properties!A$1:CB$87,Formula!D2,21))+((Formula!G2)/(Formula!C2+Formula!E2+Formula!G2+Formula!I2+Formula!K2))*(INDEX(Properties!A$1:CB$87,Formula!F2,21))+((Formula!I2)/(Formula!C2+Formula!E2+Formula!G2+Formula!I2+Formula!K2))*(INDEX(Properties!A$1:CB$87,Formula!H2,21))+((Formula!K2)/(Formula!C2+Formula!E2+Formula!G2+Formula!I2+Formula!K2))*(INDEX(Properties!A$1:CB$87,Formula!J2,21))</f>
        <v>4.9655172413793105</v>
      </c>
      <c r="BW2" s="66">
        <f>Formula!C2*(INDEX(Properties!A$1:CB$87,Formula!B2,21))+Formula!E2*(INDEX(Properties!A$1:CB$87,Formula!D2,21))+Formula!G2*(INDEX(Properties!A$1:CB$87,Formula!F2,21))+Formula!I2*(INDEX(Properties!A$1:CB$87,Formula!H2,21))+Formula!K2*(INDEX(Properties!A$1:CB$87,Formula!J2,21))</f>
        <v>144</v>
      </c>
      <c r="BX2" s="66">
        <f>VARP(IF(INDEX(Properties!A$1:CB$87,Formula!B2,21)&lt;&gt;"",INDEX(Properties!A$1:CB$87,Formula!B2,21)),IF(INDEX(Properties!A$1:CB$87,Formula!D2,21)&lt;&gt;"",INDEX(Properties!A$1:CB$87,Formula!D2,21)),IF(INDEX(Properties!A$1:CB$87,Formula!F2,21)&lt;&gt;"",INDEX(Properties!A$1:CB$87,Formula!F2,21)),IF(INDEX(Properties!A$1:CB$87,Formula!H2,21)&lt;&gt;"",INDEX(Properties!A$1:CB$87,Formula!H2,21)),IF(INDEX(Properties!A$1:CB$87,Formula!J2,21)&lt;&gt;"",INDEX(Properties!A$1:CB$87,Formula!J2,21)))</f>
        <v>5.36</v>
      </c>
      <c r="BY2" s="66">
        <f>MAX(INDEX(Properties!A$1:CB$87,Formula!B2,21),INDEX(Properties!A$1:CB$87,Formula!D2,21),INDEX(Properties!A$1:CB$87,Formula!F2,21),INDEX(Properties!A$1:CB$87,Formula!H2,21),INDEX(Properties!A$1:CB$87,Formula!J2,21))</f>
        <v>6</v>
      </c>
      <c r="BZ2" s="66">
        <f>MIN(IF(INDEX(Properties!A$1:CB$87,Formula!B2,21)=0,10^6,INDEX(Properties!A$1:CB$87,Formula!B2,21)),IF(INDEX(Properties!A$1:CB$87,Formula!D2,21)=0,10^6,INDEX(Properties!A$1:CB$87,Formula!D2,21)),IF(INDEX(Properties!A$1:CB$87,Formula!F2,21)=0,10^6,INDEX(Properties!A$1:CB$87,Formula!F2,21)),IF(INDEX(Properties!A$1:CB$87,Formula!H2,21)=0,10^6,INDEX(Properties!A$1:CB$87,Formula!H2,21)),IF(INDEX(Properties!A$1:CB$87,Formula!J2,21)=0,10^6,INDEX(Properties!A$1:CB$87,Formula!J2,21)))</f>
        <v>1</v>
      </c>
      <c r="CA2" s="66">
        <f>ABS(BY2-BZ2)</f>
        <v>5</v>
      </c>
      <c r="CB2" s="81">
        <f>((Formula!C2)/(Formula!C2+Formula!E2+Formula!G2+Formula!I2+Formula!K2))*(INDEX(Properties!A$1:CB$87,Formula!B2,23))+((Formula!E2)/(Formula!C2+Formula!E2+Formula!G2+Formula!I2+Formula!K2))*(INDEX(Properties!A$1:CB$87,Formula!D2,23))+((Formula!G2)/(Formula!C2+Formula!E2+Formula!G2+Formula!I2+Formula!K2))*(INDEX(Properties!A$1:CB$87,Formula!F2,23))+((Formula!I2)/(Formula!C2+Formula!E2+Formula!G2+Formula!I2+Formula!K2))*(INDEX(Properties!A$1:CB$87,Formula!H2,23))+((Formula!K2)/(Formula!C2+Formula!E2+Formula!G2+Formula!I2+Formula!K2))*(INDEX(Properties!A$1:CB$87,Formula!J2,23))</f>
        <v>0.82758620689655171</v>
      </c>
      <c r="CC2" s="81">
        <f>Formula!C2*(INDEX(Properties!A$1:CB$87,Formula!B2,23))+Formula!E2*(INDEX(Properties!A$1:CB$87,Formula!D2,23))+Formula!G2*(INDEX(Properties!A$1:CB$87,Formula!F2,23))+Formula!I2*(INDEX(Properties!A$1:CB$87,Formula!H2,23))+Formula!K2*(INDEX(Properties!A$1:CB$87,Formula!J2,23))</f>
        <v>24</v>
      </c>
      <c r="CD2" s="81">
        <f>VARP(IF(INDEX(Properties!A$1:CB$87,Formula!B2,23)&lt;&gt;"",INDEX(Properties!A$1:CB$87,Formula!B2,23)),IF(INDEX(Properties!A$1:CB$87,Formula!D2,23)&lt;&gt;"",INDEX(Properties!A$1:CB$87,Formula!D2,23)),IF(INDEX(Properties!A$1:CB$87,Formula!F2,23)&lt;&gt;"",INDEX(Properties!A$1:CB$87,Formula!F2,23)),IF(INDEX(Properties!A$1:CB$87,Formula!H2,23)&lt;&gt;"",INDEX(Properties!A$1:CB$87,Formula!H2,23)),IF(INDEX(Properties!A$1:CB$87,Formula!J2,23)&lt;&gt;"",INDEX(Properties!A$1:CB$87,Formula!J2,23)))</f>
        <v>1.36</v>
      </c>
      <c r="CE2" s="81">
        <f>MAX(INDEX(Properties!A$1:CB$87,Formula!B2,23),INDEX(Properties!A$1:CB$87,Formula!D2,23),INDEX(Properties!A$1:CB$87,Formula!F2,23),INDEX(Properties!A$1:CB$87,Formula!H2,23),INDEX(Properties!A$1:CB$87,Formula!J2,23))</f>
        <v>3</v>
      </c>
      <c r="CF2" s="81">
        <f>MIN(IF(Formula!B2=87,10^6,INDEX(Properties!A$1:CB$87,Formula!B2,23)),IF((Formula!D2)=87,10^6,INDEX(Properties!A$1:CB$87,Formula!D2,23)),IF((Formula!F2)=87,10^6,INDEX(Properties!A$1:CB$87,Formula!F2,23)),IF((Formula!H2)=87,10^6,INDEX(Properties!A$1:CB$87,Formula!H2,23)),IF(Formula!J2=87,10^6,INDEX(Properties!A$1:CB$87,Formula!J2,23)))</f>
        <v>0</v>
      </c>
      <c r="CG2" s="81">
        <f>ABS(CE2-CF2)</f>
        <v>3</v>
      </c>
      <c r="CH2" s="39">
        <f>((Formula!C2)/(Formula!C2+Formula!E2+Formula!G2+Formula!I2+Formula!K2))*(INDEX(Properties!A$1:CB$87,Formula!B2,26))+((Formula!E2)/(Formula!C2+Formula!E2+Formula!G2+Formula!I2+Formula!K2))*(INDEX(Properties!A$1:CB$87,Formula!D2,26))+((Formula!G2)/(Formula!C2+Formula!E2+Formula!G2+Formula!I2+Formula!K2))*(INDEX(Properties!A$1:CB$87,Formula!F2,26))+((Formula!I2)/(Formula!C2+Formula!E2+Formula!G2+Formula!I2+Formula!K2))*(INDEX(Properties!A$1:CB$87,Formula!H2,26))+((Formula!K2)/(Formula!C2+Formula!E2+Formula!G2+Formula!I2+Formula!K2))*(INDEX(Properties!A$1:CB$87,Formula!J2,26))</f>
        <v>11.541917241379311</v>
      </c>
      <c r="CI2" s="39">
        <f>Formula!C2*(INDEX(Properties!A$1:CB$87,Formula!B2,26))+Formula!E2*(INDEX(Properties!A$1:CB$87,Formula!D2,26))+Formula!G2*(INDEX(Properties!A$1:CB$87,Formula!F2,26))+Formula!I2*(INDEX(Properties!A$1:CB$87,Formula!H2,26))+Formula!K2*(INDEX(Properties!A$1:CB$87,Formula!J2,26))</f>
        <v>334.71559999999999</v>
      </c>
      <c r="CJ2" s="39">
        <f>VARP(IF(INDEX(Properties!A$1:CB$87,Formula!B2,26)&lt;&gt;"",INDEX(Properties!A$1:CB$87,Formula!B2,26)),IF(INDEX(Properties!A$1:CB$87,Formula!D2,26)&lt;&gt;"",INDEX(Properties!A$1:CB$87,Formula!D2,26)),IF(INDEX(Properties!A$1:CB$87,Formula!F2,26)&lt;&gt;"",INDEX(Properties!A$1:CB$87,Formula!F2,26)),IF(INDEX(Properties!A$1:CB$87,Formula!H2,26)&lt;&gt;"",INDEX(Properties!A$1:CB$87,Formula!H2,26)),IF(INDEX(Properties!A$1:CB$87,Formula!J2,26)&lt;&gt;"",INDEX(Properties!A$1:CB$87,Formula!J2,26)))</f>
        <v>21.83603669359999</v>
      </c>
      <c r="CK2" s="39">
        <f>MAX(INDEX(Properties!A$1:CB$87,Formula!B2,26),INDEX(Properties!A$1:CB$87,Formula!D2,26),INDEX(Properties!A$1:CB$87,Formula!F2,26),INDEX(Properties!A$1:CB$87,Formula!H2,26),INDEX(Properties!A$1:CB$87,Formula!J2,26))</f>
        <v>13.6181</v>
      </c>
      <c r="CL2" s="39">
        <f>MIN(IF(INDEX(Properties!A$1:CB$87,Formula!B2,26)=0,10^6,INDEX(Properties!A$1:CB$87,Formula!B2,26)),IF(INDEX(Properties!A$1:CB$87,Formula!D2,26)=0,10^6,INDEX(Properties!A$1:CB$87,Formula!D2,26)),IF(INDEX(Properties!A$1:CB$87,Formula!F2,26)=0,10^6,INDEX(Properties!A$1:CB$87,Formula!F2,26)),IF(INDEX(Properties!A$1:CB$87,Formula!H2,26)=0,10^6,INDEX(Properties!A$1:CB$87,Formula!H2,26)),IF(INDEX(Properties!A$1:CB$87,Formula!J2,26)=0,10^6,INDEX(Properties!A$1:CB$87,Formula!J2,26)))</f>
        <v>5.1391</v>
      </c>
      <c r="CM2" s="39">
        <f>ABS(CK2-CL2)</f>
        <v>8.4789999999999992</v>
      </c>
      <c r="CN2" s="54">
        <f>((Formula!C2)/(Formula!C2+Formula!E2+Formula!G2+Formula!I2+Formula!K2))*(INDEX(Properties!A$1:CB$87,Formula!B2,30))+((Formula!E2)/(Formula!C2+Formula!E2+Formula!G2+Formula!I2+Formula!K2))*(INDEX(Properties!A$1:CB$87,Formula!D2,30))+((Formula!G2)/(Formula!C2+Formula!E2+Formula!G2+Formula!I2+Formula!K2))*(INDEX(Properties!A$1:CB$87,Formula!F2,30))+((Formula!I2)/(Formula!C2+Formula!E2+Formula!G2+Formula!I2+Formula!K2))*(INDEX(Properties!A$1:CB$87,Formula!H2,30))+((Formula!K2)/(Formula!C2+Formula!E2+Formula!G2+Formula!I2+Formula!K2))*(INDEX(Properties!A$1:CB$87,Formula!J2,30))</f>
        <v>2.7510344827586208</v>
      </c>
      <c r="CO2" s="54">
        <f>Formula!C2*(INDEX(Properties!A$1:CB$87,Formula!B2,30))+Formula!E2*(INDEX(Properties!A$1:CB$87,Formula!D2,30))+Formula!G2*(INDEX(Properties!A$1:CB$87,Formula!F2,30))+Formula!I2*(INDEX(Properties!A$1:CB$87,Formula!H2,30))+Formula!K2*(INDEX(Properties!A$1:CB$87,Formula!J2,30))</f>
        <v>79.78</v>
      </c>
      <c r="CP2" s="54">
        <f>VARP(IF(INDEX(Properties!A$1:CB$87,Formula!B2,30)&lt;&gt;"",INDEX(Properties!A$1:CB$87,Formula!B2,30)),IF(INDEX(Properties!A$1:CB$87,Formula!D2,30)&lt;&gt;"",INDEX(Properties!A$1:CB$87,Formula!D2,30)),IF(INDEX(Properties!A$1:CB$87,Formula!F2,30)&lt;&gt;"",INDEX(Properties!A$1:CB$87,Formula!F2,30)),IF(INDEX(Properties!A$1:CB$87,Formula!H2,30)&lt;&gt;"",INDEX(Properties!A$1:CB$87,Formula!H2,30)),IF(INDEX(Properties!A$1:CB$87,Formula!J2,30)&lt;&gt;"",INDEX(Properties!A$1:CB$87,Formula!J2,30)))</f>
        <v>1.4127759999999991</v>
      </c>
      <c r="CQ2" s="54">
        <f>MAX(INDEX(Properties!A$1:CB$87,Formula!B2,30),INDEX(Properties!A$1:CB$87,Formula!D2,30),INDEX(Properties!A$1:CB$87,Formula!F2,30),INDEX(Properties!A$1:CB$87,Formula!H2,30),INDEX(Properties!A$1:CB$87,Formula!J2,30))</f>
        <v>3.44</v>
      </c>
      <c r="CR2" s="54">
        <f>MIN(IF(INDEX(Properties!A$1:CB$87,Formula!B2,30)=0,10^6,INDEX(Properties!A$1:CB$87,Formula!B2,30)),IF(INDEX(Properties!A$1:CB$87,Formula!D2,30)=0,10^6,INDEX(Properties!A$1:CB$87,Formula!D2,30)),IF(INDEX(Properties!A$1:CB$87,Formula!F2,30)=0,10^6,INDEX(Properties!A$1:CB$87,Formula!F2,30)),IF(INDEX(Properties!A$1:CB$87,Formula!H2,30)=0,10^6,INDEX(Properties!A$1:CB$87,Formula!H2,30)),IF(INDEX(Properties!A$1:CB$87,Formula!J2,30)=0,10^6,INDEX(Properties!A$1:CB$87,Formula!J2,30)))</f>
        <v>0.93</v>
      </c>
      <c r="CS2" s="54">
        <f>ABS(CQ2-CR2)</f>
        <v>2.5099999999999998</v>
      </c>
      <c r="CT2" s="69">
        <f>((Formula!C2)/(Formula!C2+Formula!E2+Formula!G2+Formula!I2+Formula!K2))*(INDEX(Properties!A$1:CB$87,Formula!B2,31))+((Formula!E2)/(Formula!C2+Formula!E2+Formula!G2+Formula!I2+Formula!K2))*(INDEX(Properties!A$1:CB$87,Formula!D2,31))+((Formula!G2)/(Formula!C2+Formula!E2+Formula!G2+Formula!I2+Formula!K2))*(INDEX(Properties!A$1:CB$87,Formula!F2,31))+((Formula!I2)/(Formula!C2+Formula!E2+Formula!G2+Formula!I2+Formula!K2))*(INDEX(Properties!A$1:CB$87,Formula!H2,31))+((Formula!K2)/(Formula!C2+Formula!E2+Formula!G2+Formula!I2+Formula!K2))*(INDEX(Properties!A$1:CB$87,Formula!J2,31))</f>
        <v>2.7037931034482758</v>
      </c>
      <c r="CU2" s="69">
        <f>Formula!C2*(INDEX(Properties!A$1:CB$87,Formula!B2,31))+Formula!E2*(INDEX(Properties!A$1:CB$87,Formula!D2,31))+Formula!G2*(INDEX(Properties!A$1:CB$87,Formula!F2,31))+Formula!I2*(INDEX(Properties!A$1:CB$87,Formula!H2,31))+Formula!K2*(INDEX(Properties!A$1:CB$87,Formula!J2,31))</f>
        <v>78.41</v>
      </c>
      <c r="CV2" s="69">
        <f>VARP(IF(INDEX(Properties!A$1:CB$87,Formula!B2,31)&lt;&gt;"",INDEX(Properties!A$1:CB$87,Formula!B2,31)),IF(INDEX(Properties!A$1:CB$87,Formula!D2,31)&lt;&gt;"",INDEX(Properties!A$1:CB$87,Formula!D2,31)),IF(INDEX(Properties!A$1:CB$87,Formula!F2,31)&lt;&gt;"",INDEX(Properties!A$1:CB$87,Formula!F2,31)),IF(INDEX(Properties!A$1:CB$87,Formula!H2,31)&lt;&gt;"",INDEX(Properties!A$1:CB$87,Formula!H2,31)),IF(INDEX(Properties!A$1:CB$87,Formula!J2,31)&lt;&gt;"",INDEX(Properties!A$1:CB$87,Formula!J2,31)))</f>
        <v>1.3415600000000001</v>
      </c>
      <c r="CW2" s="69">
        <f>MAX(INDEX(Properties!A$1:CB$87,Formula!B2,31),INDEX(Properties!A$1:CB$87,Formula!D2,31),INDEX(Properties!A$1:CB$87,Formula!F2,31),INDEX(Properties!A$1:CB$87,Formula!H2,31),INDEX(Properties!A$1:CB$87,Formula!J2,31))</f>
        <v>3.32</v>
      </c>
      <c r="CX2" s="69">
        <f>MIN(IF(INDEX(Properties!A$1:CB$87,Formula!B2,31)=0,10^6,INDEX(Properties!A$1:CB$87,Formula!B2,31)),IF(INDEX(Properties!A$1:CB$87,Formula!D2,31)=0,10^6,INDEX(Properties!A$1:CB$87,Formula!D2,31)),IF(INDEX(Properties!A$1:CB$87,Formula!F2,31)=0,10^6,INDEX(Properties!A$1:CB$87,Formula!F2,31)),IF(INDEX(Properties!A$1:CB$87,Formula!H2,31)=0,10^6,INDEX(Properties!A$1:CB$87,Formula!H2,31)),IF(INDEX(Properties!A$1:CB$87,Formula!J2,31)=0,10^6,INDEX(Properties!A$1:CB$87,Formula!J2,31)))</f>
        <v>0.89</v>
      </c>
      <c r="CY2" s="69">
        <f>ABS(CW2-CX2)</f>
        <v>2.4299999999999997</v>
      </c>
      <c r="CZ2" s="42">
        <f>((Formula!C2)/(Formula!C2+Formula!E2+Formula!G2+Formula!I2+Formula!K2))*(INDEX(Properties!A$1:CB$87,Formula!B2,32))+((Formula!E2)/(Formula!C2+Formula!E2+Formula!G2+Formula!I2+Formula!K2))*(INDEX(Properties!A$1:CB$87,Formula!D2,32))+((Formula!G2)/(Formula!C2+Formula!E2+Formula!G2+Formula!I2+Formula!K2))*(INDEX(Properties!A$1:CB$87,Formula!F2,32))+((Formula!I2)/(Formula!C2+Formula!E2+Formula!G2+Formula!I2+Formula!K2))*(INDEX(Properties!A$1:CB$87,Formula!H2,32))+((Formula!K2)/(Formula!C2+Formula!E2+Formula!G2+Formula!I2+Formula!K2))*(INDEX(Properties!A$1:CB$87,Formula!J2,32))</f>
        <v>6.3117241379310354</v>
      </c>
      <c r="DA2" s="42">
        <f>Formula!C2*(INDEX(Properties!A$1:CB$87,Formula!B2,32))+Formula!E2*(INDEX(Properties!A$1:CB$87,Formula!D2,32))+Formula!G2*(INDEX(Properties!A$1:CB$87,Formula!F2,32))+Formula!I2*(INDEX(Properties!A$1:CB$87,Formula!H2,32))+Formula!K2*(INDEX(Properties!A$1:CB$87,Formula!J2,32))</f>
        <v>183.04</v>
      </c>
      <c r="DB2" s="42">
        <f>VARP(IF(INDEX(Properties!A$1:CB$87,Formula!B2,32)&lt;&gt;"",INDEX(Properties!A$1:CB$87,Formula!B2,32)),IF(INDEX(Properties!A$1:CB$87,Formula!D2,32)&lt;&gt;"",INDEX(Properties!A$1:CB$87,Formula!D2,32)),IF(INDEX(Properties!A$1:CB$87,Formula!F2,32)&lt;&gt;"",INDEX(Properties!A$1:CB$87,Formula!F2,32)),IF(INDEX(Properties!A$1:CB$87,Formula!H2,32)&lt;&gt;"",INDEX(Properties!A$1:CB$87,Formula!H2,32)),IF(INDEX(Properties!A$1:CB$87,Formula!J2,32)&lt;&gt;"",INDEX(Properties!A$1:CB$87,Formula!J2,32)))</f>
        <v>7.0155360000000018</v>
      </c>
      <c r="DC2" s="42">
        <f>MAX(INDEX(Properties!A$1:CB$87,Formula!B2,32),INDEX(Properties!A$1:CB$87,Formula!D2,32),INDEX(Properties!A$1:CB$87,Formula!F2,32),INDEX(Properties!A$1:CB$87,Formula!H2,32),INDEX(Properties!A$1:CB$87,Formula!J2,32))</f>
        <v>7.54</v>
      </c>
      <c r="DD2" s="42">
        <f>MIN(IF(INDEX(Properties!A$1:CB$87,Formula!B2,32)=0,10^6,INDEX(Properties!A$1:CB$87,Formula!B2,32)),IF(INDEX(Properties!A$1:CB$87,Formula!D2,32)=0,10^6,INDEX(Properties!A$1:CB$87,Formula!D2,32)),IF(INDEX(Properties!A$1:CB$87,Formula!F2,32)=0,10^6,INDEX(Properties!A$1:CB$87,Formula!F2,32)),IF(INDEX(Properties!A$1:CB$87,Formula!H2,32)=0,10^6,INDEX(Properties!A$1:CB$87,Formula!H2,32)),IF(INDEX(Properties!A$1:CB$87,Formula!J2,32)=0,10^6,INDEX(Properties!A$1:CB$87,Formula!J2,32)))</f>
        <v>2.2000000000000002</v>
      </c>
      <c r="DE2" s="42">
        <f>ABS(DC2-DD2)</f>
        <v>5.34</v>
      </c>
      <c r="DF2" s="60">
        <f>((Formula!C2)/(Formula!C2+Formula!E2+Formula!G2+Formula!I2+Formula!K2))*(INDEX(Properties!A$1:CB$87,Formula!B2,34))+((Formula!E2)/(Formula!C2+Formula!E2+Formula!G2+Formula!I2+Formula!K2))*(INDEX(Properties!A$1:CB$87,Formula!D2,34))+((Formula!G2)/(Formula!C2+Formula!E2+Formula!G2+Formula!I2+Formula!K2))*(INDEX(Properties!A$1:CB$87,Formula!F2,34))+((Formula!I2)/(Formula!C2+Formula!E2+Formula!G2+Formula!I2+Formula!K2))*(INDEX(Properties!A$1:CB$87,Formula!H2,34))+((Formula!K2)/(Formula!C2+Formula!E2+Formula!G2+Formula!I2+Formula!K2))*(INDEX(Properties!A$1:CB$87,Formula!J2,34))</f>
        <v>2.8623448275862069</v>
      </c>
      <c r="DG2" s="60">
        <f>Formula!C2*(INDEX(Properties!A$1:CB$87,Formula!B2,34))+Formula!E2*(INDEX(Properties!A$1:CB$87,Formula!D2,34))+Formula!G2*(INDEX(Properties!A$1:CB$87,Formula!F2,34))+Formula!I2*(INDEX(Properties!A$1:CB$87,Formula!H2,34))+Formula!K2*(INDEX(Properties!A$1:CB$87,Formula!J2,34))</f>
        <v>83.00800000000001</v>
      </c>
      <c r="DH2" s="60">
        <f>VARP(IF(INDEX(Properties!A$1:CB$87,Formula!B2,34)&lt;&gt;"",INDEX(Properties!A$1:CB$87,Formula!B2,34)),IF(INDEX(Properties!A$1:CB$87,Formula!D2,34)&lt;&gt;"",INDEX(Properties!A$1:CB$87,Formula!D2,34)),IF(INDEX(Properties!A$1:CB$87,Formula!F2,34)&lt;&gt;"",INDEX(Properties!A$1:CB$87,Formula!F2,34)),IF(INDEX(Properties!A$1:CB$87,Formula!H2,34)&lt;&gt;"",INDEX(Properties!A$1:CB$87,Formula!H2,34)),IF(INDEX(Properties!A$1:CB$87,Formula!J2,34)&lt;&gt;"",INDEX(Properties!A$1:CB$87,Formula!J2,34)))</f>
        <v>1.5740549599999998</v>
      </c>
      <c r="DI2" s="60">
        <f>MAX(INDEX(Properties!A$1:CB$87,Formula!B2,34),INDEX(Properties!A$1:CB$87,Formula!D2,34),INDEX(Properties!A$1:CB$87,Formula!F2,34),INDEX(Properties!A$1:CB$87,Formula!H2,34),INDEX(Properties!A$1:CB$87,Formula!J2,34))</f>
        <v>3.61</v>
      </c>
      <c r="DJ2" s="60">
        <f>MIN(IF(INDEX(Properties!A$1:CB$87,Formula!B2,34)=0,10^6,INDEX(Properties!A$1:CB$87,Formula!B2,34)),IF(INDEX(Properties!A$1:CB$87,Formula!D2,34)=0,10^6,INDEX(Properties!A$1:CB$87,Formula!D2,34)),IF(INDEX(Properties!A$1:CB$87,Formula!F2,34)=0,10^6,INDEX(Properties!A$1:CB$87,Formula!F2,34)),IF(INDEX(Properties!A$1:CB$87,Formula!H2,34)=0,10^6,INDEX(Properties!A$1:CB$87,Formula!H2,34)),IF(INDEX(Properties!A$1:CB$87,Formula!J2,34)=0,10^6,INDEX(Properties!A$1:CB$87,Formula!J2,34)))</f>
        <v>0.86899999999999999</v>
      </c>
      <c r="DK2" s="60">
        <f>ABS(DI2-DJ2)</f>
        <v>2.7409999999999997</v>
      </c>
      <c r="DL2" s="45">
        <f>((Formula!C2)/(Formula!C2+Formula!E2+Formula!G2+Formula!I2+Formula!K2))*(INDEX(Properties!A$1:CB$87,Formula!B2,39))+((Formula!E2)/(Formula!C2+Formula!E2+Formula!G2+Formula!I2+Formula!K2))*(INDEX(Properties!A$1:CB$87,Formula!D2,39))+((Formula!G2)/(Formula!C2+Formula!E2+Formula!G2+Formula!I2+Formula!K2))*(INDEX(Properties!A$1:CB$87,Formula!F2,39))+((Formula!I2)/(Formula!C2+Formula!E2+Formula!G2+Formula!I2+Formula!K2))*(INDEX(Properties!A$1:CB$87,Formula!H2,39))+((Formula!K2)/(Formula!C2+Formula!E2+Formula!G2+Formula!I2+Formula!K2))*(INDEX(Properties!A$1:CB$87,Formula!J2,39))</f>
        <v>0.82965517241379305</v>
      </c>
      <c r="DM2" s="45">
        <f>Formula!C2*(INDEX(Properties!A$1:CB$87,Formula!B2,39))+Formula!E2*(INDEX(Properties!A$1:CB$87,Formula!D2,39))+Formula!G2*(INDEX(Properties!A$1:CB$87,Formula!F2,39))+Formula!I2*(INDEX(Properties!A$1:CB$87,Formula!H2,39))+Formula!K2*(INDEX(Properties!A$1:CB$87,Formula!J2,39))</f>
        <v>24.06</v>
      </c>
      <c r="DN2" s="45">
        <f>VARP(IF(INDEX(Properties!A$1:CB$87,Formula!B2,39)&lt;&gt;"",INDEX(Properties!A$1:CB$87,Formula!B2,39)),IF(INDEX(Properties!A$1:CB$87,Formula!D2,39)&lt;&gt;"",INDEX(Properties!A$1:CB$87,Formula!D2,39)),IF(INDEX(Properties!A$1:CB$87,Formula!F2,39)&lt;&gt;"",INDEX(Properties!A$1:CB$87,Formula!F2,39)),IF(INDEX(Properties!A$1:CB$87,Formula!H2,39)&lt;&gt;"",INDEX(Properties!A$1:CB$87,Formula!H2,39)),IF(INDEX(Properties!A$1:CB$87,Formula!J2,39)&lt;&gt;"",INDEX(Properties!A$1:CB$87,Formula!J2,39)))</f>
        <v>0.58927999999999958</v>
      </c>
      <c r="DO2" s="45">
        <f>MAX(INDEX(Properties!A$1:CB$87,Formula!B2,39),INDEX(Properties!A$1:CB$87,Formula!D2,39),INDEX(Properties!A$1:CB$87,Formula!F2,39),INDEX(Properties!A$1:CB$87,Formula!H2,39),INDEX(Properties!A$1:CB$87,Formula!J2,39))</f>
        <v>1.94</v>
      </c>
      <c r="DP2" s="45">
        <f>MIN(IF(INDEX(Properties!A$1:CB$87,Formula!B2,39)=0,10^6,INDEX(Properties!A$1:CB$87,Formula!B2,39)),IF(INDEX(Properties!A$1:CB$87,Formula!D2,39)=0,10^6,INDEX(Properties!A$1:CB$87,Formula!D2,39)),IF(INDEX(Properties!A$1:CB$87,Formula!F2,39)=0,10^6,INDEX(Properties!A$1:CB$87,Formula!F2,39)),IF(INDEX(Properties!A$1:CB$87,Formula!H2,39)=0,10^6,INDEX(Properties!A$1:CB$87,Formula!H2,39)),IF(INDEX(Properties!A$1:CB$87,Formula!J2,39)=0,10^6,INDEX(Properties!A$1:CB$87,Formula!J2,39)))</f>
        <v>0.48</v>
      </c>
      <c r="DQ2" s="45">
        <f>ABS(DO2-DP2)</f>
        <v>1.46</v>
      </c>
      <c r="DR2" s="63">
        <f>((Formula!C2)/(Formula!C2+Formula!E2+Formula!G2+Formula!I2+Formula!K2))*(INDEX(Properties!A$1:CB$87,Formula!B2,40))+((Formula!E2)/(Formula!C2+Formula!E2+Formula!G2+Formula!I2+Formula!K2))*(INDEX(Properties!A$1:CB$87,Formula!D2,40))+((Formula!G2)/(Formula!C2+Formula!E2+Formula!G2+Formula!I2+Formula!K2))*(INDEX(Properties!A$1:CB$87,Formula!F2,40))+((Formula!I2)/(Formula!C2+Formula!E2+Formula!G2+Formula!I2+Formula!K2))*(INDEX(Properties!A$1:CB$87,Formula!H2,40))+((Formula!K2)/(Formula!C2+Formula!E2+Formula!G2+Formula!I2+Formula!K2))*(INDEX(Properties!A$1:CB$87,Formula!J2,40))</f>
        <v>0.94482758620689655</v>
      </c>
      <c r="DS2" s="63">
        <f>Formula!C2*(INDEX(Properties!A$1:CB$87,Formula!B2,40))+Formula!E2*(INDEX(Properties!A$1:CB$87,Formula!D2,40))+Formula!G2*(INDEX(Properties!A$1:CB$87,Formula!F2,40))+Formula!I2*(INDEX(Properties!A$1:CB$87,Formula!H2,40))+Formula!K2*(INDEX(Properties!A$1:CB$87,Formula!J2,40))</f>
        <v>27.400000000000002</v>
      </c>
      <c r="DT2" s="63">
        <f>VARP(IF(INDEX(Properties!A$1:CB$87,Formula!B2,40)&lt;&gt;"",INDEX(Properties!A$1:CB$87,Formula!B2,40)),IF(INDEX(Properties!A$1:CB$87,Formula!D2,40)&lt;&gt;"",INDEX(Properties!A$1:CB$87,Formula!D2,40)),IF(INDEX(Properties!A$1:CB$87,Formula!F2,40)&lt;&gt;"",INDEX(Properties!A$1:CB$87,Formula!F2,40)),IF(INDEX(Properties!A$1:CB$87,Formula!H2,40)&lt;&gt;"",INDEX(Properties!A$1:CB$87,Formula!H2,40)),IF(INDEX(Properties!A$1:CB$87,Formula!J2,40)&lt;&gt;"",INDEX(Properties!A$1:CB$87,Formula!J2,40)))</f>
        <v>0.38294399999999995</v>
      </c>
      <c r="DU2" s="63">
        <f>MAX(INDEX(Properties!A$1:CB$87,Formula!B2,40),INDEX(Properties!A$1:CB$87,Formula!D2,40),INDEX(Properties!A$1:CB$87,Formula!F2,40),INDEX(Properties!A$1:CB$87,Formula!H2,40),INDEX(Properties!A$1:CB$87,Formula!J2,40))</f>
        <v>1.74</v>
      </c>
      <c r="DV2" s="63">
        <f>MIN(IF(INDEX(Properties!A$1:CB$87,Formula!B2,40)=0,10^6,INDEX(Properties!A$1:CB$87,Formula!B2,40)),IF(INDEX(Properties!A$1:CB$87,Formula!D2,40)=0,10^6,INDEX(Properties!A$1:CB$87,Formula!D2,40)),IF(INDEX(Properties!A$1:CB$87,Formula!F2,40)=0,10^6,INDEX(Properties!A$1:CB$87,Formula!F2,40)),IF(INDEX(Properties!A$1:CB$87,Formula!H2,40)=0,10^6,INDEX(Properties!A$1:CB$87,Formula!H2,40)),IF(INDEX(Properties!A$1:CB$87,Formula!J2,40)=0,10^6,INDEX(Properties!A$1:CB$87,Formula!J2,40)))</f>
        <v>0.73</v>
      </c>
      <c r="DW2" s="63">
        <f>ABS(DU2-DV2)</f>
        <v>1.01</v>
      </c>
      <c r="DX2" s="75">
        <f>((Formula!C2)/(Formula!C2+Formula!E2+Formula!G2+Formula!I2+Formula!K2))*(INDEX(Properties!A$1:CB$87,Formula!B2,41))+((Formula!E2)/(Formula!C2+Formula!E2+Formula!G2+Formula!I2+Formula!K2))*(INDEX(Properties!A$1:CB$87,Formula!D2,41))+((Formula!G2)/(Formula!C2+Formula!E2+Formula!G2+Formula!I2+Formula!K2))*(INDEX(Properties!A$1:CB$87,Formula!F2,41))+((Formula!I2)/(Formula!C2+Formula!E2+Formula!G2+Formula!I2+Formula!K2))*(INDEX(Properties!A$1:CB$87,Formula!H2,41))+((Formula!K2)/(Formula!C2+Formula!E2+Formula!G2+Formula!I2+Formula!K2))*(INDEX(Properties!A$1:CB$87,Formula!J2,41))</f>
        <v>1.1013793103448275</v>
      </c>
      <c r="DY2" s="75">
        <f>Formula!C2*(INDEX(Properties!A$1:CB$87,Formula!B2,41))+Formula!E2*(INDEX(Properties!A$1:CB$87,Formula!D2,41))+Formula!G2*(INDEX(Properties!A$1:CB$87,Formula!F2,41))+Formula!I2*(INDEX(Properties!A$1:CB$87,Formula!H2,41))+Formula!K2*(INDEX(Properties!A$1:CB$87,Formula!J2,41))</f>
        <v>31.939999999999998</v>
      </c>
      <c r="DZ2" s="75">
        <f>VARP(IF(INDEX(Properties!A$1:CB$87,Formula!B2,41)&lt;&gt;"",INDEX(Properties!A$1:CB$87,Formula!B2,41)),IF(INDEX(Properties!A$1:CB$87,Formula!D2,41)&lt;&gt;"",INDEX(Properties!A$1:CB$87,Formula!D2,41)),IF(INDEX(Properties!A$1:CB$87,Formula!F2,41)&lt;&gt;"",INDEX(Properties!A$1:CB$87,Formula!F2,41)),IF(INDEX(Properties!A$1:CB$87,Formula!H2,41)&lt;&gt;"",INDEX(Properties!A$1:CB$87,Formula!H2,41)),IF(INDEX(Properties!A$1:CB$87,Formula!J2,41)&lt;&gt;"",INDEX(Properties!A$1:CB$87,Formula!J2,41)))</f>
        <v>0.22825600000000024</v>
      </c>
      <c r="EA2" s="75">
        <f>MAX(INDEX(Properties!A$1:CB$87,Formula!B2,41),INDEX(Properties!A$1:CB$87,Formula!D2,41),INDEX(Properties!A$1:CB$87,Formula!F2,41),INDEX(Properties!A$1:CB$87,Formula!H2,41),INDEX(Properties!A$1:CB$87,Formula!J2,41))</f>
        <v>1.26</v>
      </c>
      <c r="EB2" s="75">
        <f>MIN(IF(INDEX(Properties!A$1:CB$87,Formula!B2,41)=0,10^6,INDEX(Properties!A$1:CB$87,Formula!B2,41)),IF(INDEX(Properties!A$1:CB$87,Formula!D2,41)=0,10^6,INDEX(Properties!A$1:CB$87,Formula!D2,41)),IF(INDEX(Properties!A$1:CB$87,Formula!F2,41)=0,10^6,INDEX(Properties!A$1:CB$87,Formula!F2,41)),IF(INDEX(Properties!A$1:CB$87,Formula!H2,41)=0,10^6,INDEX(Properties!A$1:CB$87,Formula!H2,41)),IF(INDEX(Properties!A$1:CB$87,Formula!J2,41)=0,10^6,INDEX(Properties!A$1:CB$87,Formula!J2,41)))</f>
        <v>0.57999999999999996</v>
      </c>
      <c r="EC2" s="75">
        <f>ABS(EA2-EB2)</f>
        <v>0.68</v>
      </c>
      <c r="ED2" s="48">
        <f>((Formula!C2)/(Formula!C2+Formula!E2+Formula!G2+Formula!I2+Formula!K2))*(INDEX(Properties!A$1:CB$87,Formula!B2,45))+((Formula!E2)/(Formula!C2+Formula!E2+Formula!G2+Formula!I2+Formula!K2))*(INDEX(Properties!A$1:CB$87,Formula!D2,45))+((Formula!G2)/(Formula!C2+Formula!E2+Formula!G2+Formula!I2+Formula!K2))*(INDEX(Properties!A$1:CB$87,Formula!F2,45))+((Formula!I2)/(Formula!C2+Formula!E2+Formula!G2+Formula!I2+Formula!K2))*(INDEX(Properties!A$1:CB$87,Formula!H2,45))+((Formula!K2)/(Formula!C2+Formula!E2+Formula!G2+Formula!I2+Formula!K2))*(INDEX(Properties!A$1:CB$87,Formula!J2,45))</f>
        <v>1.0172413793103448</v>
      </c>
      <c r="EE2" s="48">
        <f>Formula!C2*(INDEX(Properties!A$1:CB$87,Formula!B2,45))+Formula!E2*(INDEX(Properties!A$1:CB$87,Formula!D2,45))+Formula!G2*(INDEX(Properties!A$1:CB$87,Formula!F2,45))+Formula!I2*(INDEX(Properties!A$1:CB$87,Formula!H2,45))+Formula!K2*(INDEX(Properties!A$1:CB$87,Formula!J2,45))</f>
        <v>29.5</v>
      </c>
      <c r="EF2" s="48">
        <f>VARP(IF(INDEX(Properties!A$1:CB$87,Formula!B2,45)&lt;&gt;"",INDEX(Properties!A$1:CB$87,Formula!B2,45)),IF(INDEX(Properties!A$1:CB$87,Formula!D2,45)&lt;&gt;"",INDEX(Properties!A$1:CB$87,Formula!D2,45)),IF(INDEX(Properties!A$1:CB$87,Formula!F2,45)&lt;&gt;"",INDEX(Properties!A$1:CB$87,Formula!F2,45)),IF(INDEX(Properties!A$1:CB$87,Formula!H2,45)&lt;&gt;"",INDEX(Properties!A$1:CB$87,Formula!H2,45)),IF(INDEX(Properties!A$1:CB$87,Formula!J2,45)&lt;&gt;"",INDEX(Properties!A$1:CB$87,Formula!J2,45)))</f>
        <v>1.3894160000000004</v>
      </c>
      <c r="EG2" s="48">
        <f>MAX(INDEX(Properties!A$1:CB$87,Formula!B2,45),INDEX(Properties!A$1:CB$87,Formula!D2,45),INDEX(Properties!A$1:CB$87,Formula!F2,45),INDEX(Properties!A$1:CB$87,Formula!H2,45),INDEX(Properties!A$1:CB$87,Formula!J2,45))</f>
        <v>3</v>
      </c>
      <c r="EH2" s="48">
        <f>MIN(IF(INDEX(Properties!A$1:CB$87,Formula!B2,45)=0,10^6,INDEX(Properties!A$1:CB$87,Formula!B2,45)),IF(INDEX(Properties!A$1:CB$87,Formula!D2,45)=0,10^6,INDEX(Properties!A$1:CB$87,Formula!D2,45)),IF(INDEX(Properties!A$1:CB$87,Formula!F2,45)=0,10^6,INDEX(Properties!A$1:CB$87,Formula!F2,45)),IF(INDEX(Properties!A$1:CB$87,Formula!H2,45)=0,10^6,INDEX(Properties!A$1:CB$87,Formula!H2,45)),IF(INDEX(Properties!A$1:CB$87,Formula!J2,45)=0,10^6,INDEX(Properties!A$1:CB$87,Formula!J2,45)))</f>
        <v>0.47</v>
      </c>
      <c r="EI2" s="48">
        <f>ABS(EG2-EH2)</f>
        <v>2.5300000000000002</v>
      </c>
      <c r="EJ2" s="66">
        <f>((Formula!C2)/(Formula!C2+Formula!E2+Formula!G2+Formula!I2+Formula!K2))*(INDEX(Properties!A$1:CB$87,Formula!B2,46))+((Formula!E2)/(Formula!C2+Formula!E2+Formula!G2+Formula!I2+Formula!K2))*(INDEX(Properties!A$1:CB$87,Formula!D2,46))+((Formula!G2)/(Formula!C2+Formula!E2+Formula!G2+Formula!I2+Formula!K2))*(INDEX(Properties!A$1:CB$87,Formula!F2,46))+((Formula!I2)/(Formula!C2+Formula!E2+Formula!G2+Formula!I2+Formula!K2))*(INDEX(Properties!A$1:CB$87,Formula!H2,46))+((Formula!K2)/(Formula!C2+Formula!E2+Formula!G2+Formula!I2+Formula!K2))*(INDEX(Properties!A$1:CB$87,Formula!J2,46))</f>
        <v>1.0144827586206897</v>
      </c>
      <c r="EK2" s="66">
        <f>Formula!C2*(INDEX(Properties!A$1:CB$87,Formula!B2,46))+Formula!E2*(INDEX(Properties!A$1:CB$87,Formula!D2,46))+Formula!G2*(INDEX(Properties!A$1:CB$87,Formula!F2,46))+Formula!I2*(INDEX(Properties!A$1:CB$87,Formula!H2,46))+Formula!K2*(INDEX(Properties!A$1:CB$87,Formula!J2,46))</f>
        <v>29.42</v>
      </c>
      <c r="EL2" s="66">
        <f>VARP(IF(INDEX(Properties!A$1:CB$87,Formula!B2,46)&lt;&gt;"",INDEX(Properties!A$1:CB$87,Formula!B2,46)),IF(INDEX(Properties!A$1:CB$87,Formula!D2,46)&lt;&gt;"",INDEX(Properties!A$1:CB$87,Formula!D2,46)),IF(INDEX(Properties!A$1:CB$87,Formula!F2,46)&lt;&gt;"",INDEX(Properties!A$1:CB$87,Formula!F2,46)),IF(INDEX(Properties!A$1:CB$87,Formula!H2,46)&lt;&gt;"",INDEX(Properties!A$1:CB$87,Formula!H2,46)),IF(INDEX(Properties!A$1:CB$87,Formula!J2,46)&lt;&gt;"",INDEX(Properties!A$1:CB$87,Formula!J2,46)))</f>
        <v>0.25738400000000006</v>
      </c>
      <c r="EM2" s="66">
        <f>MAX(INDEX(Properties!A$1:CB$87,Formula!B2,46),INDEX(Properties!A$1:CB$87,Formula!D2,46),INDEX(Properties!A$1:CB$87,Formula!F2,46),INDEX(Properties!A$1:CB$87,Formula!H2,46),INDEX(Properties!A$1:CB$87,Formula!J2,46))</f>
        <v>1.21</v>
      </c>
      <c r="EN2" s="66">
        <f>MIN(IF(INDEX(Properties!A$1:CB$87,Formula!B2,46)=0,10^6,INDEX(Properties!A$1:CB$87,Formula!B2,46)),IF(INDEX(Properties!A$1:CB$87,Formula!D2,46)=0,10^6,INDEX(Properties!A$1:CB$87,Formula!D2,46)),IF(INDEX(Properties!A$1:CB$87,Formula!F2,46)=0,10^6,INDEX(Properties!A$1:CB$87,Formula!F2,46)),IF(INDEX(Properties!A$1:CB$87,Formula!H2,46)=0,10^6,INDEX(Properties!A$1:CB$87,Formula!H2,46)),IF(INDEX(Properties!A$1:CB$87,Formula!J2,46)=0,10^6,INDEX(Properties!A$1:CB$87,Formula!J2,46)))</f>
        <v>0.31</v>
      </c>
      <c r="EO2" s="66">
        <f>ABS(EM2-EN2)</f>
        <v>0.89999999999999991</v>
      </c>
      <c r="EP2" s="81">
        <f>((Formula!C2)/(Formula!C2+Formula!E2+Formula!G2+Formula!I2+Formula!K2))*(INDEX(Properties!A$1:CB$87,Formula!B2,52))+((Formula!E2)/(Formula!C2+Formula!E2+Formula!G2+Formula!I2+Formula!K2))*(INDEX(Properties!A$1:CB$87,Formula!D2,52))+((Formula!G2)/(Formula!C2+Formula!E2+Formula!G2+Formula!I2+Formula!K2))*(INDEX(Properties!A$1:CB$87,Formula!F2,52))+((Formula!I2)/(Formula!C2+Formula!E2+Formula!G2+Formula!I2+Formula!K2))*(INDEX(Properties!A$1:CB$87,Formula!H2,52))+((Formula!K2)/(Formula!C2+Formula!E2+Formula!G2+Formula!I2+Formula!K2))*(INDEX(Properties!A$1:CB$87,Formula!J2,52))</f>
        <v>5.2784137931034483</v>
      </c>
      <c r="EQ2" s="81">
        <f>Formula!C2*(INDEX(Properties!A$1:CB$87,Formula!B2,52))+Formula!E2*(INDEX(Properties!A$1:CB$87,Formula!D2,52))+Formula!G2*(INDEX(Properties!A$1:CB$87,Formula!F2,52))+Formula!I2*(INDEX(Properties!A$1:CB$87,Formula!H2,52))+Formula!K2*(INDEX(Properties!A$1:CB$87,Formula!J2,52))</f>
        <v>153.07400000000001</v>
      </c>
      <c r="ER2" s="81">
        <f>VARP(IF(INDEX(Properties!A$1:CB$87,Formula!B2,52)&lt;&gt;"",INDEX(Properties!A$1:CB$87,Formula!B2,52)),IF(INDEX(Properties!A$1:CB$87,Formula!D2,52)&lt;&gt;"",INDEX(Properties!A$1:CB$87,Formula!D2,52)),IF(INDEX(Properties!A$1:CB$87,Formula!F2,52)&lt;&gt;"",INDEX(Properties!A$1:CB$87,Formula!F2,52)),IF(INDEX(Properties!A$1:CB$87,Formula!H2,52)&lt;&gt;"",INDEX(Properties!A$1:CB$87,Formula!H2,52)),IF(INDEX(Properties!A$1:CB$87,Formula!J2,52)&lt;&gt;"",INDEX(Properties!A$1:CB$87,Formula!J2,52)))</f>
        <v>114.88061583999999</v>
      </c>
      <c r="ES2" s="81">
        <f>MAX(INDEX(Properties!A$1:CB$87,Formula!B2,52),INDEX(Properties!A$1:CB$87,Formula!D2,52),INDEX(Properties!A$1:CB$87,Formula!F2,52),INDEX(Properties!A$1:CB$87,Formula!H2,52),INDEX(Properties!A$1:CB$87,Formula!J2,52))</f>
        <v>23.6</v>
      </c>
      <c r="ET2" s="81">
        <f>MIN(IF(INDEX(Properties!A$1:CB$87,Formula!B2,52)=0,10^6,INDEX(Properties!A$1:CB$87,Formula!B2,52)),IF(INDEX(Properties!A$1:CB$87,Formula!D2,52)=0,10^6,INDEX(Properties!A$1:CB$87,Formula!D2,52)),IF(INDEX(Properties!A$1:CB$87,Formula!F2,52)=0,10^6,INDEX(Properties!A$1:CB$87,Formula!F2,52)),IF(INDEX(Properties!A$1:CB$87,Formula!H2,52)=0,10^6,INDEX(Properties!A$1:CB$87,Formula!H2,52)),IF(INDEX(Properties!A$1:CB$87,Formula!J2,52)=0,10^6,INDEX(Properties!A$1:CB$87,Formula!J2,52)))</f>
        <v>0.79300000000000004</v>
      </c>
      <c r="EU2" s="81">
        <f>ABS(ES2-ET2)</f>
        <v>22.807000000000002</v>
      </c>
      <c r="EV2" s="39">
        <f>((Formula!C2)/(Formula!C2+Formula!E2+Formula!G2+Formula!I2+Formula!K2))*(INDEX(Properties!A$1:CB$87,Formula!B2,53))+((Formula!E2)/(Formula!C2+Formula!E2+Formula!G2+Formula!I2+Formula!K2))*(INDEX(Properties!A$1:CB$87,Formula!D2,53))+((Formula!G2)/(Formula!C2+Formula!E2+Formula!G2+Formula!I2+Formula!K2))*(INDEX(Properties!A$1:CB$87,Formula!F2,53))+((Formula!I2)/(Formula!C2+Formula!E2+Formula!G2+Formula!I2+Formula!K2))*(INDEX(Properties!A$1:CB$87,Formula!H2,53))+((Formula!K2)/(Formula!C2+Formula!E2+Formula!G2+Formula!I2+Formula!K2))*(INDEX(Properties!A$1:CB$87,Formula!J2,53))</f>
        <v>189.1362068965517</v>
      </c>
      <c r="EW2" s="39">
        <f>Formula!C2*(INDEX(Properties!A$1:CB$87,Formula!B2,53))+Formula!E2*(INDEX(Properties!A$1:CB$87,Formula!D2,53))+Formula!G2*(INDEX(Properties!A$1:CB$87,Formula!F2,53))+Formula!I2*(INDEX(Properties!A$1:CB$87,Formula!H2,53))+Formula!K2*(INDEX(Properties!A$1:CB$87,Formula!J2,53))</f>
        <v>5484.9499999999989</v>
      </c>
      <c r="EX2" s="39">
        <f>VARP(IF(INDEX(Properties!A$1:CB$87,Formula!B2,53)&lt;&gt;"",INDEX(Properties!A$1:CB$87,Formula!B2,53)),IF(INDEX(Properties!A$1:CB$87,Formula!D2,53)&lt;&gt;"",INDEX(Properties!A$1:CB$87,Formula!D2,53)),IF(INDEX(Properties!A$1:CB$87,Formula!F2,53)&lt;&gt;"",INDEX(Properties!A$1:CB$87,Formula!F2,53)),IF(INDEX(Properties!A$1:CB$87,Formula!H2,53)&lt;&gt;"",INDEX(Properties!A$1:CB$87,Formula!H2,53)),IF(INDEX(Properties!A$1:CB$87,Formula!J2,53)&lt;&gt;"",INDEX(Properties!A$1:CB$87,Formula!J2,53)))</f>
        <v>157969.48960000006</v>
      </c>
      <c r="EY2" s="39">
        <f>MAX(INDEX(Properties!A$1:CB$87,Formula!B2,53),INDEX(Properties!A$1:CB$87,Formula!D2,53),INDEX(Properties!A$1:CB$87,Formula!F2,53),INDEX(Properties!A$1:CB$87,Formula!H2,53),INDEX(Properties!A$1:CB$87,Formula!J2,53))</f>
        <v>1112.1500000000001</v>
      </c>
      <c r="EZ2" s="39">
        <f>MIN(IF(INDEX(Properties!A$1:CB$87,Formula!B2,53)=0,10^6,INDEX(Properties!A$1:CB$87,Formula!B2,53)),IF(INDEX(Properties!A$1:CB$87,Formula!D2,53)=0,10^6,INDEX(Properties!A$1:CB$87,Formula!D2,53)),IF(INDEX(Properties!A$1:CB$87,Formula!F2,53)=0,10^6,INDEX(Properties!A$1:CB$87,Formula!F2,53)),IF(INDEX(Properties!A$1:CB$87,Formula!H2,53)=0,10^6,INDEX(Properties!A$1:CB$87,Formula!H2,53)),IF(INDEX(Properties!A$1:CB$87,Formula!J2,53)=0,10^6,INDEX(Properties!A$1:CB$87,Formula!J2,53)))</f>
        <v>54.749999999999972</v>
      </c>
      <c r="FA2" s="39">
        <f>ABS(EY2-EZ2)</f>
        <v>1057.4000000000001</v>
      </c>
      <c r="FB2" s="54">
        <f>((Formula!C2)/(Formula!C2+Formula!E2+Formula!G2+Formula!I2+Formula!K2))*(INDEX(Properties!A$1:CB$87,Formula!B2,54))+((Formula!E2)/(Formula!C2+Formula!E2+Formula!G2+Formula!I2+Formula!K2))*(INDEX(Properties!A$1:CB$87,Formula!D2,54))+((Formula!G2)/(Formula!C2+Formula!E2+Formula!G2+Formula!I2+Formula!K2))*(INDEX(Properties!A$1:CB$87,Formula!F2,54))+((Formula!I2)/(Formula!C2+Formula!E2+Formula!G2+Formula!I2+Formula!K2))*(INDEX(Properties!A$1:CB$87,Formula!H2,54))+((Formula!K2)/(Formula!C2+Formula!E2+Formula!G2+Formula!I2+Formula!K2))*(INDEX(Properties!A$1:CB$87,Formula!J2,54))</f>
        <v>390.4603448275862</v>
      </c>
      <c r="FC2" s="54">
        <f>Formula!C2*(INDEX(Properties!A$1:CB$87,Formula!B2,54))+Formula!E2*(INDEX(Properties!A$1:CB$87,Formula!D2,54))+Formula!G2*(INDEX(Properties!A$1:CB$87,Formula!F2,54))+Formula!I2*(INDEX(Properties!A$1:CB$87,Formula!H2,54))+Formula!K2*(INDEX(Properties!A$1:CB$87,Formula!J2,54))</f>
        <v>11323.349999999999</v>
      </c>
      <c r="FD2" s="54">
        <f>VARP(IF(INDEX(Properties!A$1:CB$87,Formula!B2,54)&lt;&gt;"",INDEX(Properties!A$1:CB$87,Formula!B2,54)),IF(INDEX(Properties!A$1:CB$87,Formula!D2,54)&lt;&gt;"",INDEX(Properties!A$1:CB$87,Formula!D2,54)),IF(INDEX(Properties!A$1:CB$87,Formula!F2,54)&lt;&gt;"",INDEX(Properties!A$1:CB$87,Formula!F2,54)),IF(INDEX(Properties!A$1:CB$87,Formula!H2,54)&lt;&gt;"",INDEX(Properties!A$1:CB$87,Formula!H2,54)),IF(INDEX(Properties!A$1:CB$87,Formula!J2,54)&lt;&gt;"",INDEX(Properties!A$1:CB$87,Formula!J2,54)))</f>
        <v>441696.0356</v>
      </c>
      <c r="FE2" s="54">
        <f>MAX(INDEX(Properties!A$1:CB$87,Formula!B2,54),INDEX(Properties!A$1:CB$87,Formula!D2,54),INDEX(Properties!A$1:CB$87,Formula!F2,54),INDEX(Properties!A$1:CB$87,Formula!H2,54),INDEX(Properties!A$1:CB$87,Formula!J2,54))</f>
        <v>1757.15</v>
      </c>
      <c r="FF2" s="54">
        <f>MIN(IF(INDEX(Properties!A$1:CB$87,Formula!B2,54)=0,10^6,INDEX(Properties!A$1:CB$87,Formula!B2,54)),IF(INDEX(Properties!A$1:CB$87,Formula!D2,54)=0,10^6,INDEX(Properties!A$1:CB$87,Formula!D2,54)),IF(INDEX(Properties!A$1:CB$87,Formula!F2,54)=0,10^6,INDEX(Properties!A$1:CB$87,Formula!F2,54)),IF(INDEX(Properties!A$1:CB$87,Formula!H2,54)=0,10^6,INDEX(Properties!A$1:CB$87,Formula!H2,54)),IF(INDEX(Properties!A$1:CB$87,Formula!J2,54)=0,10^6,INDEX(Properties!A$1:CB$87,Formula!J2,54)))</f>
        <v>90.149999999999977</v>
      </c>
      <c r="FG2" s="54">
        <f>ABS(FE2-FF2)</f>
        <v>1667</v>
      </c>
      <c r="FH2" s="69">
        <f>((Formula!C2)/(Formula!C2+Formula!E2+Formula!G2+Formula!I2+Formula!K2))*(INDEX(Properties!A$1:CB$87,Formula!B2,55))+((Formula!E2)/(Formula!C2+Formula!E2+Formula!G2+Formula!I2+Formula!K2))*(INDEX(Properties!A$1:CB$87,Formula!D2,55))+((Formula!G2)/(Formula!C2+Formula!E2+Formula!G2+Formula!I2+Formula!K2))*(INDEX(Properties!A$1:CB$87,Formula!F2,55))+((Formula!I2)/(Formula!C2+Formula!E2+Formula!G2+Formula!I2+Formula!K2))*(INDEX(Properties!A$1:CB$87,Formula!H2,55))+((Formula!K2)/(Formula!C2+Formula!E2+Formula!G2+Formula!I2+Formula!K2))*(INDEX(Properties!A$1:CB$87,Formula!J2,55))</f>
        <v>0.56481862068965516</v>
      </c>
      <c r="FI2" s="69">
        <f>Formula!C2*(INDEX(Properties!A$1:CB$87,Formula!B2,55))+Formula!E2*(INDEX(Properties!A$1:CB$87,Formula!D2,54))+Formula!G2*(INDEX(Properties!A$1:CB$87,Formula!F2,55))+Formula!I2*(INDEX(Properties!A$1:CB$87,Formula!H2,55))+Formula!K2*(INDEX(Properties!A$1:CB$87,Formula!J2,55))</f>
        <v>1771.9797400000002</v>
      </c>
      <c r="FJ2" s="69">
        <f>VARP(IF(INDEX(Properties!A$1:CB$87,Formula!B2,55)&lt;&gt;"",INDEX(Properties!A$1:CB$87,Formula!B2,55)),IF(INDEX(Properties!A$1:CB$87,Formula!D2,55)&lt;&gt;"",INDEX(Properties!A$1:CB$87,Formula!D2,55)),IF(INDEX(Properties!A$1:CB$87,Formula!F2,55)&lt;&gt;"",INDEX(Properties!A$1:CB$87,Formula!F2,55)),IF(INDEX(Properties!A$1:CB$87,Formula!H2,55)&lt;&gt;"",INDEX(Properties!A$1:CB$87,Formula!H2,55)),IF(INDEX(Properties!A$1:CB$87,Formula!J2,55)&lt;&gt;"",INDEX(Properties!A$1:CB$87,Formula!J2,55)))</f>
        <v>0.57728067678399997</v>
      </c>
      <c r="FK2" s="69">
        <f>MAX(INDEX(Properties!A$1:CB$87,Formula!B2,55),INDEX(Properties!A$1:CB$87,Formula!D2,55),INDEX(Properties!A$1:CB$87,Formula!F2,55),INDEX(Properties!A$1:CB$87,Formula!H2,55),INDEX(Properties!A$1:CB$87,Formula!J2,55))</f>
        <v>1.82</v>
      </c>
      <c r="FL2" s="69">
        <f>MIN(IF(INDEX(Properties!A$1:CB$87,Formula!B2,55)=0,10^6,INDEX(Properties!A$1:CB$87,Formula!B2,55)),IF(INDEX(Properties!A$1:CB$87,Formula!D2,55)=0,10^6,INDEX(Properties!A$1:CB$87,Formula!D2,55)),IF(INDEX(Properties!A$1:CB$87,Formula!F2,55)=0,10^6,INDEX(Properties!A$1:CB$87,Formula!F2,55)),IF(INDEX(Properties!A$1:CB$87,Formula!H2,55)=0,10^6,INDEX(Properties!A$1:CB$87,Formula!H2,55)),IF(INDEX(Properties!A$1:CB$87,Formula!J2,55)=0,10^6,INDEX(Properties!A$1:CB$87,Formula!J2,55)))</f>
        <v>1.4300000000000001E-3</v>
      </c>
      <c r="FM2" s="69">
        <f>ABS(FK2-FL2)</f>
        <v>1.81857</v>
      </c>
      <c r="FN2" s="42">
        <f>((Formula!C2)/(Formula!C2+Formula!E2+Formula!G2+Formula!I2+Formula!K2))*(INDEX(Properties!A$1:CB$87,Formula!B2,56))+((Formula!E2)/(Formula!C2+Formula!E2+Formula!G2+Formula!I2+Formula!K2))*(INDEX(Properties!A$1:CB$87,Formula!D2,56))+((Formula!G2)/(Formula!C2+Formula!E2+Formula!G2+Formula!I2+Formula!K2))*(INDEX(Properties!A$1:CB$87,Formula!F2,56))+((Formula!I2)/(Formula!C2+Formula!E2+Formula!G2+Formula!I2+Formula!K2))*(INDEX(Properties!A$1:CB$87,Formula!H2,56))+((Formula!K2)/(Formula!C2+Formula!E2+Formula!G2+Formula!I2+Formula!K2))*(INDEX(Properties!A$1:CB$87,Formula!J2,56))</f>
        <v>0.92172413793103458</v>
      </c>
      <c r="FO2" s="42">
        <f>Formula!C2*(INDEX(Properties!A$1:CB$87,Formula!B2,56))+Formula!E2*(INDEX(Properties!A$1:CB$87,Formula!D2,56))+Formula!G2*(INDEX(Properties!A$1:CB$87,Formula!F2,56))+Formula!I2*(INDEX(Properties!A$1:CB$87,Formula!H2,56))+Formula!K2*(INDEX(Properties!A$1:CB$87,Formula!J2,56))</f>
        <v>26.730000000000004</v>
      </c>
      <c r="FP2" s="42">
        <f>VARP(IF(INDEX(Properties!A$1:CB$87,Formula!B2,56)&lt;&gt;"",INDEX(Properties!A$1:CB$87,Formula!B2,56)),IF(INDEX(Properties!A$1:CB$87,Formula!D2,56)&lt;&gt;"",INDEX(Properties!A$1:CB$87,Formula!D2,56)),IF(INDEX(Properties!A$1:CB$87,Formula!F2,56)&lt;&gt;"",INDEX(Properties!A$1:CB$87,Formula!F2,56)),IF(INDEX(Properties!A$1:CB$87,Formula!H2,56)&lt;&gt;"",INDEX(Properties!A$1:CB$87,Formula!H2,56)),IF(INDEX(Properties!A$1:CB$87,Formula!J2,56)&lt;&gt;"",INDEX(Properties!A$1:CB$87,Formula!J2,56)))</f>
        <v>0.16572000000000003</v>
      </c>
      <c r="FQ2" s="42">
        <f>MAX(INDEX(Properties!A$1:CB$87,Formula!B2,56),INDEX(Properties!A$1:CB$87,Formula!D2,56),INDEX(Properties!A$1:CB$87,Formula!F2,56),INDEX(Properties!A$1:CB$87,Formula!H2,56),INDEX(Properties!A$1:CB$87,Formula!J2,56))</f>
        <v>1.23</v>
      </c>
      <c r="FR2" s="42">
        <f>MIN(IF(INDEX(Properties!A$1:CB$87,Formula!B2,56)=0,10^6,INDEX(Properties!A$1:CB$87,Formula!B2,56)),IF(INDEX(Properties!A$1:CB$87,Formula!D2,56)=0,10^6,INDEX(Properties!A$1:CB$87,Formula!D2,56)),IF(INDEX(Properties!A$1:CB$87,Formula!F2,56)=0,10^6,INDEX(Properties!A$1:CB$87,Formula!F2,56)),IF(INDEX(Properties!A$1:CB$87,Formula!H2,56)=0,10^6,INDEX(Properties!A$1:CB$87,Formula!H2,56)),IF(INDEX(Properties!A$1:CB$87,Formula!J2,56)=0,10^6,INDEX(Properties!A$1:CB$87,Formula!J2,56)))</f>
        <v>0.63</v>
      </c>
      <c r="FS2" s="42">
        <f>ABS(FQ2-FR2)</f>
        <v>0.6</v>
      </c>
      <c r="FT2" s="60">
        <f>((Formula!C2)/(Formula!C2+Formula!E2+Formula!G2+Formula!I2+Formula!K2))*(INDEX(Properties!A$1:CB$87,Formula!B2,57))+((Formula!E2)/(Formula!C2+Formula!E2+Formula!G2+Formula!I2+Formula!K2))*(INDEX(Properties!A$1:CB$87,Formula!D2,57))+((Formula!G2)/(Formula!C2+Formula!E2+Formula!G2+Formula!I2+Formula!K2))*(INDEX(Properties!A$1:CB$87,Formula!F2,57))+((Formula!I2)/(Formula!C2+Formula!E2+Formula!G2+Formula!I2+Formula!K2))*(INDEX(Properties!A$1:CB$87,Formula!H2,57))+((Formula!K2)/(Formula!C2+Formula!E2+Formula!G2+Formula!I2+Formula!K2))*(INDEX(Properties!A$1:CB$87,Formula!J2,57))</f>
        <v>0.92691793103448261</v>
      </c>
      <c r="FU2" s="60">
        <f>Formula!C2*(INDEX(Properties!A$1:CB$87,Formula!B2,57))+Formula!E2*(INDEX(Properties!A$1:CB$87,Formula!D2,57))+Formula!G2*(INDEX(Properties!A$1:CB$87,Formula!F2,57))+Formula!I2*(INDEX(Properties!A$1:CB$87,Formula!H2,57))+Formula!K2*(INDEX(Properties!A$1:CB$87,Formula!J2,57))</f>
        <v>26.88062</v>
      </c>
      <c r="FV2" s="60">
        <f>VARP(IF(INDEX(Properties!A$1:CB$87,Formula!B2,57)&lt;&gt;"",INDEX(Properties!A$1:CB$87,Formula!B2,57)),IF(INDEX(Properties!A$1:CB$87,Formula!D2,57)&lt;&gt;"",INDEX(Properties!A$1:CB$87,Formula!D2,57)),IF(INDEX(Properties!A$1:CB$87,Formula!F2,57)&lt;&gt;"",INDEX(Properties!A$1:CB$87,Formula!F2,57)),IF(INDEX(Properties!A$1:CB$87,Formula!H2,57)&lt;&gt;"",INDEX(Properties!A$1:CB$87,Formula!H2,57)),IF(INDEX(Properties!A$1:CB$87,Formula!J2,57)&lt;&gt;"",INDEX(Properties!A$1:CB$87,Formula!J2,57)))</f>
        <v>10.255581085296001</v>
      </c>
      <c r="FW2" s="60">
        <f>MAX(INDEX(Properties!A$1:CB$87,Formula!B2,57),INDEX(Properties!A$1:CB$87,Formula!D2,57),INDEX(Properties!A$1:CB$87,Formula!F2,57),INDEX(Properties!A$1:CB$87,Formula!H2,57),INDEX(Properties!A$1:CB$87,Formula!J2,57))</f>
        <v>8.5399999999999991</v>
      </c>
      <c r="FX2" s="60">
        <f>MIN(IF(INDEX(Properties!A$1:CB$87,Formula!B2,57)=0,10^6,INDEX(Properties!A$1:CB$87,Formula!B2,57)),IF(INDEX(Properties!A$1:CB$87,Formula!D2,57)=0,10^6,INDEX(Properties!A$1:CB$87,Formula!D2,57)),IF(INDEX(Properties!A$1:CB$87,Formula!F2,57)=0,10^6,INDEX(Properties!A$1:CB$87,Formula!F2,57)),IF(INDEX(Properties!A$1:CB$87,Formula!H2,57)=0,10^6,INDEX(Properties!A$1:CB$87,Formula!H2,57)),IF(INDEX(Properties!A$1:CB$87,Formula!J2,57)=0,10^6,INDEX(Properties!A$1:CB$87,Formula!J2,57)))</f>
        <v>0.22259000000000001</v>
      </c>
      <c r="FY2" s="60">
        <f>ABS(FW2-FX2)</f>
        <v>8.3174099999999989</v>
      </c>
      <c r="FZ2" s="72">
        <f>((Formula!C2)/(Formula!C2+Formula!E2+Formula!G2+Formula!I2+Formula!K2))*(INDEX(Properties!A$1:CB$87,Formula!B2,60))+((Formula!E2)/(Formula!C2+Formula!E2+Formula!G2+Formula!I2+Formula!K2))*(INDEX(Properties!A$1:CB$87,Formula!D2,60))+((Formula!G2)/(Formula!C2+Formula!E2+Formula!G2+Formula!I2+Formula!K2))*(INDEX(Properties!A$1:CB$87,Formula!F2,60))+((Formula!I2)/(Formula!C2+Formula!E2+Formula!G2+Formula!I2+Formula!K2))*(INDEX(Properties!A$1:CB$87,Formula!H2,60))+((Formula!K2)/(Formula!C2+Formula!E2+Formula!G2+Formula!I2+Formula!K2))*(INDEX(Properties!A$1:CB$87,Formula!J2,60))</f>
        <v>26.410045517241382</v>
      </c>
      <c r="GA2" s="72">
        <f>Formula!C2*(INDEX(Properties!A$1:CB$87,Formula!B2,60))+Formula!E2*(INDEX(Properties!A$1:CB$87,Formula!D2,60))+Formula!G2*(INDEX(Properties!A$1:CB$87,Formula!F2,60))+Formula!I2*(INDEX(Properties!A$1:CB$87,Formula!H2,60))+Formula!K2*(INDEX(Properties!A$1:CB$87,Formula!J2,60))</f>
        <v>765.89131999999995</v>
      </c>
      <c r="GB2" s="72">
        <f>VARP(IF(INDEX(Properties!A$1:CB$87,Formula!B2,60)&lt;&gt;"",INDEX(Properties!A$1:CB$87,Formula!B2,60)),IF(INDEX(Properties!A$1:CB$87,Formula!D2,60)&lt;&gt;"",INDEX(Properties!A$1:CB$87,Formula!D2,60)),IF(INDEX(Properties!A$1:CB$87,Formula!F2,60)&lt;&gt;"",INDEX(Properties!A$1:CB$87,Formula!F2,60)),IF(INDEX(Properties!A$1:CB$87,Formula!H2,60)&lt;&gt;"",INDEX(Properties!A$1:CB$87,Formula!H2,60)),IF(INDEX(Properties!A$1:CB$87,Formula!J2,60)&lt;&gt;"",INDEX(Properties!A$1:CB$87,Formula!J2,60)))</f>
        <v>7317.8281804924136</v>
      </c>
      <c r="GC2" s="72">
        <f>MAX(INDEX(Properties!A$1:CB$87,Formula!B2,60),INDEX(Properties!A$1:CB$87,Formula!D2,60),INDEX(Properties!A$1:CB$87,Formula!F2,60),INDEX(Properties!A$1:CB$87,Formula!H2,60),INDEX(Properties!A$1:CB$87,Formula!J2,60))</f>
        <v>200</v>
      </c>
      <c r="GD2" s="72">
        <f>MIN(IF(INDEX(Properties!A$1:CB$87,Formula!B2,60)=0,10^6,INDEX(Properties!A$1:CB$87,Formula!B2,60)),IF(INDEX(Properties!A$1:CB$87,Formula!D2,60)=0,10^6,INDEX(Properties!A$1:CB$87,Formula!D2,60)),IF(INDEX(Properties!A$1:CB$87,Formula!F2,60)=0,10^6,INDEX(Properties!A$1:CB$87,Formula!F2,60)),IF(INDEX(Properties!A$1:CB$87,Formula!H2,60)=0,10^6,INDEX(Properties!A$1:CB$87,Formula!H2,60)),IF(INDEX(Properties!A$1:CB$87,Formula!J2,60)=0,10^6,INDEX(Properties!A$1:CB$87,Formula!J2,60)))</f>
        <v>2.674E-2</v>
      </c>
      <c r="GE2" s="72">
        <f>ABS(GC2-GD2)</f>
        <v>199.97326000000001</v>
      </c>
      <c r="GF2" s="51">
        <f>((Formula!C2)/(Formula!C2+Formula!E2+Formula!G2+Formula!I2+Formula!K2))*(INDEX(Properties!A$1:CB$87,Formula!B2,62))+((Formula!E2)/(Formula!C2+Formula!E2+Formula!G2+Formula!I2+Formula!K2))*(INDEX(Properties!A$1:CB$87,Formula!D2,62))+((Formula!G2)/(Formula!C2+Formula!E2+Formula!G2+Formula!I2+Formula!K2))*(INDEX(Properties!A$1:CB$87,Formula!F2,62))+((Formula!I2)/(Formula!C2+Formula!E2+Formula!G2+Formula!I2+Formula!K2))*(INDEX(Properties!A$1:CB$87,Formula!H2,62))+((Formula!K2)/(Formula!C2+Formula!E2+Formula!G2+Formula!I2+Formula!K2))*(INDEX(Properties!A$1:CB$87,Formula!J2,62))</f>
        <v>2.552827586206897</v>
      </c>
      <c r="GG2" s="51">
        <f>Formula!C2*(INDEX(Properties!A$1:CB$87,Formula!B2,62))+Formula!E2*(INDEX(Properties!A$1:CB$87,Formula!D2,62))+Formula!G2*(INDEX(Properties!A$1:CB$87,Formula!F2,62))+Formula!I2*(INDEX(Properties!A$1:CB$87,Formula!H2,62))+Formula!K2*(INDEX(Properties!A$1:CB$87,Formula!J2,62))</f>
        <v>74.032000000000011</v>
      </c>
      <c r="GH2" s="51">
        <f>VARP(IF(INDEX(Properties!A$1:CB$87,Formula!B2,62)&lt;&gt;"",INDEX(Properties!A$1:CB$87,Formula!B2,62)),IF(INDEX(Properties!A$1:CB$87,Formula!D2,62)&lt;&gt;"",INDEX(Properties!A$1:CB$87,Formula!D2,62)),IF(INDEX(Properties!A$1:CB$87,Formula!F2,62)&lt;&gt;"",INDEX(Properties!A$1:CB$87,Formula!F2,62)),IF(INDEX(Properties!A$1:CB$87,Formula!H2,62)&lt;&gt;"",INDEX(Properties!A$1:CB$87,Formula!H2,62)),IF(INDEX(Properties!A$1:CB$87,Formula!J2,62)&lt;&gt;"",INDEX(Properties!A$1:CB$87,Formula!J2,62)))</f>
        <v>1.4085734399999996</v>
      </c>
      <c r="GI2" s="51">
        <f>MAX(INDEX(Properties!A$1:CB$87,Formula!B2,62),INDEX(Properties!A$1:CB$87,Formula!D2,62),INDEX(Properties!A$1:CB$87,Formula!F2,62),INDEX(Properties!A$1:CB$87,Formula!H2,62),INDEX(Properties!A$1:CB$87,Formula!J2,62))</f>
        <v>3.43</v>
      </c>
      <c r="GJ2" s="51">
        <f>MIN(IF(INDEX(Properties!A$1:CB$87,Formula!B2,62)=0,10^6,INDEX(Properties!A$1:CB$87,Formula!B2,62)),IF(INDEX(Properties!A$1:CB$87,Formula!D2,62)=0,10^6,INDEX(Properties!A$1:CB$87,Formula!D2,62)),IF(INDEX(Properties!A$1:CB$87,Formula!F2,62)=0,10^6,INDEX(Properties!A$1:CB$87,Formula!F2,62)),IF(INDEX(Properties!A$1:CB$87,Formula!H2,62)=0,10^6,INDEX(Properties!A$1:CB$87,Formula!H2,62)),IF(INDEX(Properties!A$1:CB$87,Formula!J2,62)=0,10^6,INDEX(Properties!A$1:CB$87,Formula!J2,62)))</f>
        <v>1.113</v>
      </c>
      <c r="GK2" s="51">
        <f>ABS(GI2-GJ2)</f>
        <v>2.3170000000000002</v>
      </c>
      <c r="GL2" s="51">
        <f>Formula!P2</f>
        <v>15</v>
      </c>
      <c r="GM2" s="57">
        <f>Formula!O2</f>
        <v>2</v>
      </c>
      <c r="GN2" s="51">
        <f>Formula!N2</f>
        <v>0.04</v>
      </c>
    </row>
    <row r="3" spans="1:196" s="5" customFormat="1" x14ac:dyDescent="0.3">
      <c r="A3" s="84" t="str">
        <f>Formula!A3</f>
        <v>PbZrO3</v>
      </c>
      <c r="B3" s="89">
        <f>((Formula!C3)/(Formula!C3+Formula!E3+Formula!G3+Formula!I3+Formula!K3))*(INDEX(Properties!A$1:CB$87,Formula!B3,3))+((Formula!E3)/(Formula!C3+Formula!E3+Formula!G3+Formula!I3+Formula!K3))*(INDEX(Properties!A$1:CB$87,Formula!D3,3))+((Formula!G3)/(Formula!C3+Formula!E3+Formula!G3+Formula!I3+Formula!K3))*(INDEX(Properties!A$1:CB$87,Formula!F3,3))+((Formula!I3)/(Formula!C3+Formula!E3+Formula!G3+Formula!I3+Formula!K3))*(INDEX(Properties!A$1:CB$87,Formula!H3,3))+((Formula!K3)/(Formula!C3+Formula!E3+Formula!G3+Formula!I3+Formula!K3))*(INDEX(Properties!A$1:CB$87,Formula!J3,3))</f>
        <v>69.284439999999989</v>
      </c>
      <c r="C3" s="85">
        <f>Formula!C3*(INDEX(Properties!A$1:CB$87,Formula!B3,3))+Formula!E3*(INDEX(Properties!A$1:CB$87,Formula!D3,3))+Formula!G3*(INDEX(Properties!A$1:CB$87,Formula!F3,3))+Formula!I3*(INDEX(Properties!A$1:CB$87,Formula!H3,3))+Formula!K3*(INDEX(Properties!A$1:CB$87,Formula!J3,3))</f>
        <v>346.42219999999998</v>
      </c>
      <c r="D3" s="85">
        <f>VARP(IF(INDEX(Properties!A$1:CB$87,Formula!B3,3)&lt;&gt;"",INDEX(Properties!A$1:CB$87,Formula!B3,3)),IF(INDEX(Properties!A$1:CB$87,Formula!D3,3)&lt;&gt;"",INDEX(Properties!A$1:CB$87,Formula!D3,3)),IF(INDEX(Properties!A$1:CB$87,Formula!F3,3)&lt;&gt;"",INDEX(Properties!A$1:CB$87,Formula!F3,3)),IF(INDEX(Properties!A$1:CB$87,Formula!H3,3)&lt;&gt;"",INDEX(Properties!A$1:CB$87,Formula!H3,3)),IF(INDEX(Properties!A$1:CB$87,Formula!J3,3)&lt;&gt;"",INDEX(Properties!A$1:CB$87,Formula!J3,3)))</f>
        <v>6347.4448165695994</v>
      </c>
      <c r="E3" s="85">
        <f>MAX(INDEX(Properties!A$1:CB$87,Formula!B3,3),INDEX(Properties!A$1:CB$87,Formula!D3,3),INDEX(Properties!A$1:CB$87,Formula!F3,3),INDEX(Properties!A$1:CB$87,Formula!H3,3),INDEX(Properties!A$1:CB$87,Formula!J3,3))</f>
        <v>207.2</v>
      </c>
      <c r="F3" s="85">
        <f>MIN(IF(INDEX(Properties!A$1:CB$87,Formula!B3,3)=0,10^6,INDEX(Properties!A$1:CB$87,Formula!B3,3)),IF(INDEX(Properties!A$1:CB$87,Formula!D3,3)=0,10^6,INDEX(Properties!A$1:CB$87,Formula!D3,3)),IF(INDEX(Properties!A$1:CB$87,Formula!F3,3)=0,10^6,INDEX(Properties!A$1:CB$87,Formula!F3,3)),IF(INDEX(Properties!A$1:CB$87,Formula!H3,3)=0,10^6,INDEX(Properties!A$1:CB$87,Formula!H3,3)),IF(INDEX(Properties!A$1:CB$87,Formula!J3,3)=0,10^6,INDEX(Properties!A$1:CB$87,Formula!J3,3)))</f>
        <v>15.9994</v>
      </c>
      <c r="G3" s="85">
        <f t="shared" ref="G3:G66" si="0">ABS(E3-F3)</f>
        <v>191.20059999999998</v>
      </c>
      <c r="H3" s="87">
        <f>((Formula!C3)/(Formula!C3+Formula!E3+Formula!G3+Formula!I3+Formula!K3))*(INDEX(Properties!A$1:CB$87,Formula!B3,4))+((Formula!E3)/(Formula!C3+Formula!E3+Formula!G3+Formula!I3+Formula!K3))*(INDEX(Properties!A$1:CB$87,Formula!D3,4))+((Formula!G3)/(Formula!C3+Formula!E3+Formula!G3+Formula!I3+Formula!K3))*(INDEX(Properties!A$1:CB$87,Formula!F3,4))+((Formula!I3)/(Formula!C3+Formula!E3+Formula!G3+Formula!I3+Formula!K3))*(INDEX(Properties!A$1:CB$87,Formula!H3,4))+((Formula!K3)/(Formula!C3+Formula!E3+Formula!G3+Formula!I3+Formula!K3))*(INDEX(Properties!A$1:CB$87,Formula!J3,4))</f>
        <v>29.200000000000003</v>
      </c>
      <c r="I3" s="87">
        <f>Formula!C3*(INDEX(Properties!A$1:CB$87,Formula!B3,4))+Formula!E3*(INDEX(Properties!A$1:CB$87,Formula!D3,4))+Formula!G3*(INDEX(Properties!A$1:CB$87,Formula!F3,4))+Formula!I3*(INDEX(Properties!A$1:CB$87,Formula!H3,4))+Formula!K3*(INDEX(Properties!A$1:CB$87,Formula!J3,4))</f>
        <v>146</v>
      </c>
      <c r="J3" s="87">
        <f>VARP(IF(INDEX(Properties!A$1:CB$87,Formula!B3,4)&lt;&gt;"",INDEX(Properties!A$1:CB$87,Formula!B3,4)),IF(INDEX(Properties!A$1:CB$87,Formula!D3,4)&lt;&gt;"",INDEX(Properties!A$1:CB$87,Formula!D3,4)),IF(INDEX(Properties!A$1:CB$87,Formula!F3,4)&lt;&gt;"",INDEX(Properties!A$1:CB$87,Formula!F3,4)),IF(INDEX(Properties!A$1:CB$87,Formula!H3,4)&lt;&gt;"",INDEX(Properties!A$1:CB$87,Formula!H3,4)),IF(INDEX(Properties!A$1:CB$87,Formula!J3,4)&lt;&gt;"",INDEX(Properties!A$1:CB$87,Formula!J3,4)))</f>
        <v>1001.6</v>
      </c>
      <c r="K3" s="87">
        <f>MAX(INDEX(Properties!A$1:CB$87,Formula!B3,4),INDEX(Properties!A$1:CB$87,Formula!D3,4),INDEX(Properties!A$1:CB$87,Formula!F3,4),INDEX(Properties!A$1:CB$87,Formula!H3,4),INDEX(Properties!A$1:CB$87,Formula!J3,4))</f>
        <v>82</v>
      </c>
      <c r="L3" s="87">
        <f>MIN(IF(INDEX(Properties!A$1:CB$87,Formula!B3,4)=0,10^6,INDEX(Properties!A$1:CB$87,Formula!B3,4)),IF(INDEX(Properties!A$1:CB$87,Formula!D3,4)=0,10^6,INDEX(Properties!A$1:CB$87,Formula!D3,4)),IF(INDEX(Properties!A$1:CB$87,Formula!F3,4)=0,10^6,INDEX(Properties!A$1:CB$87,Formula!F3,4)),IF(INDEX(Properties!A$1:CB$87,Formula!H3,4)=0,10^6,INDEX(Properties!A$1:CB$87,Formula!H3,4)),IF(INDEX(Properties!A$1:CB$87,Formula!J3,4)=0,10^6,INDEX(Properties!A$1:CB$87,Formula!J3,4)))</f>
        <v>8</v>
      </c>
      <c r="M3" s="87">
        <f t="shared" ref="M3:M66" si="1">ABS(K3-L3)</f>
        <v>74</v>
      </c>
      <c r="N3" s="89">
        <f>((Formula!C3)/(Formula!C3+Formula!E3+Formula!G3+Formula!I3+Formula!K3))*(INDEX(Properties!A$1:CB$87,Formula!B3,5))+((Formula!E3)/(Formula!C3+Formula!E3+Formula!G3+Formula!I3+Formula!K3))*(INDEX(Properties!A$1:CB$87,Formula!D3,5))+((Formula!G3)/(Formula!C3+Formula!E3+Formula!G3+Formula!I3+Formula!K3))*(INDEX(Properties!A$1:CB$87,Formula!F3,5))+((Formula!I3)/(Formula!C3+Formula!E3+Formula!G3+Formula!I3+Formula!K3))*(INDEX(Properties!A$1:CB$87,Formula!H3,5))+((Formula!K3)/(Formula!C3+Formula!E3+Formula!G3+Formula!I3+Formula!K3))*(INDEX(Properties!A$1:CB$87,Formula!J3,5))</f>
        <v>3.4000000000000004</v>
      </c>
      <c r="O3" s="89">
        <f>Formula!C3*(INDEX(Properties!A$1:CB$87,Formula!B3,5))+Formula!E3*(INDEX(Properties!A$1:CB$87,Formula!D3,5))+Formula!G3*(INDEX(Properties!A$1:CB$87,Formula!F3,5))+Formula!I3*(INDEX(Properties!A$1:CB$87,Formula!H3,5))+Formula!K3*(INDEX(Properties!A$1:CB$87,Formula!J3,5))</f>
        <v>17</v>
      </c>
      <c r="P3" s="89">
        <f>VARP(IF(INDEX(Properties!A$1:CB$87,Formula!B3,5)&lt;&gt;"",INDEX(Properties!A$1:CB$87,Formula!B3,5)),IF(INDEX(Properties!A$1:CB$87,Formula!D3,5)&lt;&gt;"",INDEX(Properties!A$1:CB$87,Formula!D3,5)),IF(INDEX(Properties!A$1:CB$87,Formula!F3,5)&lt;&gt;"",INDEX(Properties!A$1:CB$87,Formula!F3,5)),IF(INDEX(Properties!A$1:CB$87,Formula!H3,5)&lt;&gt;"",INDEX(Properties!A$1:CB$87,Formula!H3,5)),IF(INDEX(Properties!A$1:CB$87,Formula!J3,5)&lt;&gt;"",INDEX(Properties!A$1:CB$87,Formula!J3,5)))</f>
        <v>6.24</v>
      </c>
      <c r="Q3" s="89">
        <f>MAX(INDEX(Properties!A$1:CB$87,Formula!B3,5),INDEX(Properties!A$1:CB$87,Formula!D3,5),INDEX(Properties!A$1:CB$87,Formula!F3,5),INDEX(Properties!A$1:CB$87,Formula!H3,5),INDEX(Properties!A$1:CB$87,Formula!J3,5))</f>
        <v>6</v>
      </c>
      <c r="R3" s="89">
        <f>MIN(IF(INDEX(Properties!A$1:CB$87,Formula!B3,5)=0,10^6,INDEX(Properties!A$1:CB$87,Formula!B3,5)),IF(INDEX(Properties!A$1:CB$87,Formula!D3,5)=0,10^6,INDEX(Properties!A$1:CB$87,Formula!D3,5)),IF(INDEX(Properties!A$1:CB$87,Formula!F3,5)=0,10^6,INDEX(Properties!A$1:CB$87,Formula!F3,5)),IF(INDEX(Properties!A$1:CB$87,Formula!H3,5)=0,10^6,INDEX(Properties!A$1:CB$87,Formula!H3,5)),IF(INDEX(Properties!A$1:CB$87,Formula!J3,5)=0,10^6,INDEX(Properties!A$1:CB$87,Formula!J3,5)))</f>
        <v>2</v>
      </c>
      <c r="S3" s="89">
        <f t="shared" ref="S3:S66" si="2">ABS(Q3-R3)</f>
        <v>4</v>
      </c>
      <c r="T3" s="60">
        <f>((Formula!C3)/(Formula!C3+Formula!E3+Formula!G3+Formula!I3+Formula!K3))*(INDEX(Properties!A$1:CB$87,Formula!B3,6))+((Formula!E3)/(Formula!C3+Formula!E3+Formula!G3+Formula!I3+Formula!K3))*(INDEX(Properties!A$1:CB$87,Formula!D3,6))+((Formula!G3)/(Formula!C3+Formula!E3+Formula!G3+Formula!I3+Formula!K3))*(INDEX(Properties!A$1:CB$87,Formula!F3,6))+((Formula!I3)/(Formula!C3+Formula!E3+Formula!G3+Formula!I3+Formula!K3))*(INDEX(Properties!A$1:CB$87,Formula!H3,6))+((Formula!K3)/(Formula!C3+Formula!E3+Formula!G3+Formula!I3+Formula!K3))*(INDEX(Properties!A$1:CB$87,Formula!J3,6))</f>
        <v>13.2</v>
      </c>
      <c r="U3" s="60">
        <f>Formula!C3*(INDEX(Properties!A$1:CB$87,Formula!B3,6))+Formula!E3*(INDEX(Properties!A$1:CB$87,Formula!D3,6))+Formula!G3*(INDEX(Properties!A$1:CB$87,Formula!F3,6))+Formula!I3*(INDEX(Properties!A$1:CB$87,Formula!H3,6))+Formula!K3*(INDEX(Properties!A$1:CB$87,Formula!J3,6))</f>
        <v>66</v>
      </c>
      <c r="V3" s="89">
        <f>VARP(IF(INDEX(Properties!A$1:CB$87,Formula!B3,6)&lt;&gt;"",INDEX(Properties!A$1:CB$87,Formula!B3,6)),IF(INDEX(Properties!A$1:CB$87,Formula!D3,6)&lt;&gt;"",INDEX(Properties!A$1:CB$87,Formula!D3,6)),IF(INDEX(Properties!A$1:CB$87,Formula!F3,6)&lt;&gt;"",INDEX(Properties!A$1:CB$87,Formula!F3,6)),IF(INDEX(Properties!A$1:CB$87,Formula!H3,6)&lt;&gt;"",INDEX(Properties!A$1:CB$87,Formula!H3,6)),IF(INDEX(Properties!A$1:CB$87,Formula!J3,6)&lt;&gt;"",INDEX(Properties!A$1:CB$87,Formula!J3,6)))</f>
        <v>47.36</v>
      </c>
      <c r="W3" s="60">
        <f>MAX(INDEX(Properties!A$1:CB$87,Formula!B3,6),INDEX(Properties!A$1:CB$87,Formula!D3,6),INDEX(Properties!A$1:CB$87,Formula!F3,6),INDEX(Properties!A$1:CB$87,Formula!H3,4),INDEX(Properties!A$1:CB$87,Formula!J3,6))</f>
        <v>16</v>
      </c>
      <c r="X3" s="60">
        <f>MIN(IF(INDEX(Properties!A$1:CB$87,Formula!B3,6)=0,10^6,INDEX(Properties!A$1:CB$87,Formula!B3,6)),IF(INDEX(Properties!A$1:CB$87,Formula!D3,6)=0,10^6,INDEX(Properties!A$1:CB$87,Formula!D3,6)),IF(INDEX(Properties!A$1:CB$87,Formula!F3,6)=0,10^6,INDEX(Properties!A$1:CB$87,Formula!F3,6)),IF(INDEX(Properties!A$1:CB$87,Formula!H3,6)=0,10^6,INDEX(Properties!A$1:CB$87,Formula!H3,6)),IF(INDEX(Properties!A$1:CB$87,Formula!J3,6)=0,10^6,INDEX(Properties!A$1:CB$87,Formula!J3,6)))</f>
        <v>4</v>
      </c>
      <c r="Y3" s="60">
        <f t="shared" ref="Y3:Y66" si="3">ABS(W3-X3)</f>
        <v>12</v>
      </c>
      <c r="Z3" s="72">
        <f>((Formula!C3)/(Formula!C3+Formula!E3+Formula!G3+Formula!I3+Formula!K3))*(INDEX(Properties!A$1:CB$87,Formula!B3,9))+((Formula!E3)/(Formula!C3+Formula!E3+Formula!G3+Formula!I3+Formula!K3))*(INDEX(Properties!A$1:CB$87,Formula!D3,9))+((Formula!G3)/(Formula!C3+Formula!E3+Formula!G3+Formula!I3+Formula!K3))*(INDEX(Properties!A$1:CB$87,Formula!F3,9))+((Formula!I3)/(Formula!C3+Formula!E3+Formula!G3+Formula!I3+Formula!K3))*(INDEX(Properties!A$1:CB$87,Formula!H3,9))+((Formula!K3)/(Formula!C3+Formula!E3+Formula!G3+Formula!I3+Formula!K3))*(INDEX(Properties!A$1:CB$87,Formula!J3,9))</f>
        <v>77.199999999999989</v>
      </c>
      <c r="AA3" s="72">
        <f>Formula!C3*(INDEX(Properties!A$1:CB$87,Formula!B3,9))+Formula!E3*(INDEX(Properties!A$1:CB$87,Formula!D3,9))+Formula!G3*(INDEX(Properties!A$1:CB$87,Formula!F3,9))+Formula!I3*(INDEX(Properties!A$1:CB$87,Formula!H3,9))+Formula!K3*(INDEX(Properties!A$1:CB$87,Formula!J3,9))</f>
        <v>386</v>
      </c>
      <c r="AB3" s="72">
        <f>VARP(IF(INDEX(Properties!A$1:CB$87,Formula!B3,9)&lt;&gt;"",INDEX(Properties!A$1:CB$87,Formula!B3,9)),IF(INDEX(Properties!A$1:CB$87,Formula!D3,9)&lt;&gt;"",INDEX(Properties!A$1:CB$87,Formula!D3,9)),IF(INDEX(Properties!A$1:CB$87,Formula!F3,9)&lt;&gt;"",INDEX(Properties!A$1:CB$87,Formula!F3,9)),IF(INDEX(Properties!A$1:CB$87,Formula!H3,9)&lt;&gt;"",INDEX(Properties!A$1:CB$87,Formula!H3,9)),IF(INDEX(Properties!A$1:CB$87,Formula!J3,9)&lt;&gt;"",INDEX(Properties!A$1:CB$87,Formula!J3,9)))</f>
        <v>1415.44</v>
      </c>
      <c r="AC3" s="72">
        <f>MAX(INDEX(Properties!A$1:CB$87,Formula!B3,9),INDEX(Properties!A$1:CB$87,Formula!D3,9),INDEX(Properties!A$1:CB$87,Formula!F3,9),INDEX(Properties!A$1:CB$87,Formula!H3,9),INDEX(Properties!A$1:CB$87,Formula!J3,9))</f>
        <v>87</v>
      </c>
      <c r="AD3" s="72">
        <f>MIN(IF(INDEX(Properties!A$1:CB$87,Formula!B3,9)=0,10^6,INDEX(Properties!A$1:CB$87,Formula!B3,9)),IF(INDEX(Properties!A$1:CB$87,Formula!D3,9)=0,10^6,INDEX(Properties!A$1:CB$87,Formula!D3,9)),IF(INDEX(Properties!A$1:CB$87,Formula!F3,9)=0,10^6,INDEX(Properties!A$1:CB$87,Formula!F3,9)),IF(INDEX(Properties!A$1:CB$87,Formula!H3,9)=0,10^6,INDEX(Properties!A$1:CB$87,Formula!H3,9)),IF(INDEX(Properties!A$1:CB$87,Formula!J3,9)=0,10^6,INDEX(Properties!A$1:CB$87,Formula!J3,9)))</f>
        <v>44</v>
      </c>
      <c r="AE3" s="72">
        <f t="shared" ref="AE3:AE66" si="4">ABS(AC3-AD3)</f>
        <v>43</v>
      </c>
      <c r="AF3" s="51">
        <f>((Formula!C3)/(Formula!C3+Formula!E3+Formula!G3+Formula!I3+Formula!K3))*(INDEX(Properties!A$1:CB$87,Formula!B3,10))+((Formula!E3)/(Formula!C3+Formula!E3+Formula!G3+Formula!I3+Formula!K3))*(INDEX(Properties!A$1:CB$87,Formula!D3,10))+((Formula!G3)/(Formula!C3+Formula!E3+Formula!G3+Formula!I3+Formula!K3))*(INDEX(Properties!A$1:CB$87,Formula!F3,10))+((Formula!I3)/(Formula!C3+Formula!E3+Formula!G3+Formula!I3+Formula!K3))*(INDEX(Properties!A$1:CB$87,Formula!H3,10))+((Formula!K3)/(Formula!C3+Formula!E3+Formula!G3+Formula!I3+Formula!K3))*(INDEX(Properties!A$1:CB$87,Formula!J3,10))</f>
        <v>6</v>
      </c>
      <c r="AG3" s="51">
        <f>Formula!C3*(INDEX(Properties!A$1:CB$87,Formula!B3,10))+Formula!E3*(INDEX(Properties!A$1:CB$87,Formula!D3,10))+Formula!G3*(INDEX(Properties!A$1:CB$87,Formula!F3,10))+Formula!I3*(INDEX(Properties!A$1:CB$87,Formula!H3,10))+Formula!K3*(INDEX(Properties!A$1:CB$87,Formula!J3,10))</f>
        <v>30</v>
      </c>
      <c r="AH3" s="51">
        <f>VARP(IF(INDEX(Properties!A$1:CB$87,Formula!B3,10)&lt;&gt;"",INDEX(Properties!A$1:CB$87,Formula!B3,10)),IF(INDEX(Properties!A$1:CB$87,Formula!D3,10)&lt;&gt;"",INDEX(Properties!A$1:CB$87,Formula!D3,10)),IF(INDEX(Properties!A$1:CB$87,Formula!F3,10)&lt;&gt;"",INDEX(Properties!A$1:CB$87,Formula!F3,10)),IF(INDEX(Properties!A$1:CB$87,Formula!H3,10)&lt;&gt;"",INDEX(Properties!A$1:CB$87,Formula!H3,10)),IF(INDEX(Properties!A$1:CB$87,Formula!J3,10)&lt;&gt;"",INDEX(Properties!A$1:CB$87,Formula!J3,10)))</f>
        <v>7.76</v>
      </c>
      <c r="AI3" s="51">
        <f>MAX(INDEX(Properties!A$1:CB$87,Formula!B3,10),INDEX(Properties!A$1:CB$87,Formula!D3,10),INDEX(Properties!A$1:CB$87,Formula!F3,10),INDEX(Properties!A$1:CB$87,Formula!H3,10),INDEX(Properties!A$1:CB$87,Formula!J3,10))</f>
        <v>7</v>
      </c>
      <c r="AJ3" s="51">
        <f>MIN(IF(INDEX(Properties!A$1:CB$87,Formula!B3,10)=0,10^6,INDEX(Properties!A$1:CB$87,Formula!B3,10)),IF(INDEX(Properties!A$1:CB$87,Formula!D3,10)=0,10^6,INDEX(Properties!A$1:CB$87,Formula!D3,10)),IF(INDEX(Properties!A$1:CB$87,Formula!F3,10)=0,10^6,INDEX(Properties!A$1:CB$87,Formula!F3,10)),IF(INDEX(Properties!A$1:CB$87,Formula!H3,10)=0,10^6,INDEX(Properties!A$1:CB$87,Formula!H3,10)),IF(INDEX(Properties!A$1:CB$87,Formula!J3,10)=0,10^6,INDEX(Properties!A$1:CB$87,Formula!J3,10)))</f>
        <v>4</v>
      </c>
      <c r="AK3" s="51">
        <f t="shared" ref="AK3:AK66" si="5">ABS(AI3-AJ3)</f>
        <v>3</v>
      </c>
      <c r="AL3" s="57">
        <f>((Formula!C3)/(Formula!C3+Formula!E3+Formula!G3+Formula!I3+Formula!K3))*(INDEX(Properties!A$1:CB$87,Formula!B3,11))+((Formula!E3)/(Formula!C3+Formula!E3+Formula!G3+Formula!I3+Formula!K3))*(INDEX(Properties!A$1:CB$87,Formula!D3,11))+((Formula!G3)/(Formula!C3+Formula!E3+Formula!G3+Formula!I3+Formula!K3))*(INDEX(Properties!A$1:CB$87,Formula!F3,11))+((Formula!I3)/(Formula!C3+Formula!E3+Formula!G3+Formula!I3+Formula!K3))*(INDEX(Properties!A$1:CB$87,Formula!H3,11))+((Formula!K3)/(Formula!C3+Formula!E3+Formula!G3+Formula!I3+Formula!K3))*(INDEX(Properties!A$1:CB$87,Formula!J3,11))</f>
        <v>2</v>
      </c>
      <c r="AM3" s="57">
        <f>Formula!C3*(INDEX(Properties!A$1:CB$87,Formula!B3,11))+Formula!E3*(INDEX(Properties!A$1:CB$87,Formula!D3,11))+Formula!G3*(INDEX(Properties!A$1:CB$87,Formula!F3,11))+Formula!I3*(INDEX(Properties!A$1:CB$87,Formula!H3,11))+Formula!K3*(INDEX(Properties!A$1:CB$87,Formula!J3,11))</f>
        <v>10</v>
      </c>
      <c r="AN3" s="57">
        <f>VARP(IF(INDEX(Properties!A$1:CB$87,Formula!B3,11)&lt;&gt;"",INDEX(Properties!A$1:CB$87,Formula!B3,11)),IF(INDEX(Properties!A$1:CB$87,Formula!D3,11)&lt;&gt;"",INDEX(Properties!A$1:CB$87,Formula!D3,11)),IF(INDEX(Properties!A$1:CB$87,Formula!F3,11)&lt;&gt;"",INDEX(Properties!A$1:CB$87,Formula!F3,11)),IF(INDEX(Properties!A$1:CB$87,Formula!H3,11)&lt;&gt;"",INDEX(Properties!A$1:CB$87,Formula!H3,11)),IF(INDEX(Properties!A$1:CB$87,Formula!J3,11)&lt;&gt;"",INDEX(Properties!A$1:CB$87,Formula!J3,11)))</f>
        <v>0.96</v>
      </c>
      <c r="AO3" s="57">
        <f>MAX(INDEX(Properties!A$1:CB$87,Formula!B3,11),INDEX(Properties!A$1:CB$87,Formula!D3,11),INDEX(Properties!A$1:CB$87,Formula!F3,11),INDEX(Properties!A$1:CB$87,Formula!H3,11),INDEX(Properties!A$1:CB$87,Formula!J3,11))</f>
        <v>2</v>
      </c>
      <c r="AP3" s="57">
        <f>MIN(IF(Formula!B3=87,10^6,INDEX(Properties!A$1:CB$87,Formula!B3,11)),IF((Formula!D3)=87,10^6,INDEX(Properties!A$1:CB$87,Formula!D3,11)),IF((Formula!F3)=87,10^6,INDEX(Properties!A$1:CB$87,Formula!F3,11)),IF((Formula!H3)=87,10^6,INDEX(Properties!A$1:CB$87,Formula!H3,11)),IF(Formula!J3=87,10^6,INDEX(Properties!A$1:CB$87,Formula!J3,11)))</f>
        <v>2</v>
      </c>
      <c r="AQ3" s="57">
        <f t="shared" ref="AQ3:AQ66" si="6">ABS(AO3-AP3)</f>
        <v>0</v>
      </c>
      <c r="AR3" s="78">
        <f>((Formula!C3)/(Formula!C3+Formula!E3+Formula!G3+Formula!I3+Formula!K3))*(INDEX(Properties!A$1:CB$87,Formula!B3,12))+((Formula!E3)/(Formula!C3+Formula!E3+Formula!G3+Formula!I3+Formula!K3))*(INDEX(Properties!A$1:CB$87,Formula!D3,12))+((Formula!G3)/(Formula!C3+Formula!E3+Formula!G3+Formula!I3+Formula!K3))*(INDEX(Properties!A$1:CB$87,Formula!F3,12))+((Formula!I3)/(Formula!C3+Formula!E3+Formula!G3+Formula!I3+Formula!K3))*(INDEX(Properties!A$1:CB$87,Formula!H3,12))+((Formula!K3)/(Formula!C3+Formula!E3+Formula!G3+Formula!I3+Formula!K3))*(INDEX(Properties!A$1:CB$87,Formula!J3,12))</f>
        <v>2.8</v>
      </c>
      <c r="AS3" s="78">
        <f>Formula!C3*(INDEX(Properties!A$1:CB$87,Formula!B3,12))+Formula!E3*(INDEX(Properties!A$1:CB$87,Formula!D3,12))+Formula!G3*(INDEX(Properties!A$1:CB$87,Formula!F3,12))+Formula!I3*(INDEX(Properties!A$1:CB$87,Formula!H3,12))+Formula!K3*(INDEX(Properties!A$1:CB$87,Formula!J3,12))</f>
        <v>14</v>
      </c>
      <c r="AT3" s="78">
        <f>VARP(IF(INDEX(Properties!A$1:CB$87,Formula!B3,12)&lt;&gt;"",INDEX(Properties!A$1:CB$87,Formula!B3,12)),IF(INDEX(Properties!A$1:CB$87,Formula!D3,12)&lt;&gt;"",INDEX(Properties!A$1:CB$87,Formula!D3,12)),IF(INDEX(Properties!A$1:CB$87,Formula!F3,12)&lt;&gt;"",INDEX(Properties!A$1:CB$87,Formula!F3,12)),IF(INDEX(Properties!A$1:CB$87,Formula!H3,12)&lt;&gt;"",INDEX(Properties!A$1:CB$87,Formula!H3,12)),IF(INDEX(Properties!A$1:CB$87,Formula!J3,12)&lt;&gt;"",INDEX(Properties!A$1:CB$87,Formula!J3,12)))</f>
        <v>2.56</v>
      </c>
      <c r="AU3" s="78">
        <f>MAX(INDEX(Properties!A$1:CB$87,Formula!B3,12),INDEX(Properties!A$1:CB$87,Formula!D3,12),INDEX(Properties!A$1:CB$87,Formula!F3,12),INDEX(Properties!A$1:CB$87,Formula!H3,12),INDEX(Properties!A$1:CB$87,Formula!J3,12))</f>
        <v>4</v>
      </c>
      <c r="AV3" s="78">
        <f>MIN(IF(Formula!B3=87,10^6,INDEX(Properties!A$1:CB$87,Formula!B3,12)),IF((Formula!D3)=87,10^6,INDEX(Properties!A$1:CB$87,Formula!D3,12)),IF((Formula!F3)=87,10^6,INDEX(Properties!A$1:CB$87,Formula!F3,12)),IF((Formula!H3)=87,10^6,INDEX(Properties!A$1:CB$87,Formula!H3,12)),IF(Formula!J3=87,10^6,INDEX(Properties!A$1:CB$87,Formula!J3,12)))</f>
        <v>0</v>
      </c>
      <c r="AW3" s="78">
        <f t="shared" ref="AW3:AW66" si="7">ABS(AU3-AV3)</f>
        <v>4</v>
      </c>
      <c r="AX3" s="45">
        <f>((Formula!C3)/(Formula!C3+Formula!E3+Formula!G3+Formula!I3+Formula!K3))*(INDEX(Properties!A$1:CB$87,Formula!B3,13))+((Formula!E3)/(Formula!C3+Formula!E3+Formula!G3+Formula!I3+Formula!K3))*(INDEX(Properties!A$1:CB$87,Formula!D3,13))+((Formula!G3)/(Formula!C3+Formula!E3+Formula!G3+Formula!I3+Formula!K3))*(INDEX(Properties!A$1:CB$87,Formula!F3,13))+((Formula!I3)/(Formula!C3+Formula!E3+Formula!G3+Formula!I3+Formula!K3))*(INDEX(Properties!A$1:CB$87,Formula!H3,13))+((Formula!K3)/(Formula!C3+Formula!E3+Formula!G3+Formula!I3+Formula!K3))*(INDEX(Properties!A$1:CB$87,Formula!J3,13))</f>
        <v>2.4</v>
      </c>
      <c r="AY3" s="45">
        <f>Formula!C3*(INDEX(Properties!A$1:CB$87,Formula!B3,13))+Formula!E3*(INDEX(Properties!A$1:CB$87,Formula!D3,13))+Formula!G3*(INDEX(Properties!A$1:CB$87,Formula!F3,13))+Formula!I3*(INDEX(Properties!A$1:CB$87,Formula!H3,13))+Formula!K3*(INDEX(Properties!A$1:CB$87,Formula!J3,13))</f>
        <v>12</v>
      </c>
      <c r="AZ3" s="45">
        <f>VARP(IF(INDEX(Properties!A$1:CB$87,Formula!B3,13)&lt;&gt;"",INDEX(Properties!A$1:CB$87,Formula!B3,13)),IF(INDEX(Properties!A$1:CB$87,Formula!D3,13)&lt;&gt;"",INDEX(Properties!A$1:CB$87,Formula!D3,13)),IF(INDEX(Properties!A$1:CB$87,Formula!F3,13)&lt;&gt;"",INDEX(Properties!A$1:CB$87,Formula!F3,13)),IF(INDEX(Properties!A$1:CB$87,Formula!H3,13)&lt;&gt;"",INDEX(Properties!A$1:CB$87,Formula!H3,13)),IF(INDEX(Properties!A$1:CB$87,Formula!J3,13)&lt;&gt;"",INDEX(Properties!A$1:CB$87,Formula!J3,13)))</f>
        <v>15.04</v>
      </c>
      <c r="BA3" s="45">
        <f>MAX(INDEX(Properties!A$1:CB$87,Formula!B3,13),INDEX(Properties!A$1:CB$87,Formula!D3,13),INDEX(Properties!A$1:CB$87,Formula!F3,13),INDEX(Properties!A$1:CB$87,Formula!H3,13),INDEX(Properties!A$1:CB$87,Formula!J3,13))</f>
        <v>10</v>
      </c>
      <c r="BB3" s="45">
        <f>MIN(IF(Formula!B3=87,10^6,INDEX(Properties!A$1:CB$87,Formula!B3,13)),IF((Formula!D3)=87,10^6,INDEX(Properties!A$1:CB$87,Formula!D3,13)),IF((Formula!F3)=87,10^6,INDEX(Properties!A$1:CB$87,Formula!F3,13)),IF((Formula!H3)=87,10^6,INDEX(Properties!A$1:CB$87,Formula!H3,13)),IF(Formula!J3=87,10^6,INDEX(Properties!A$1:CB$87,Formula!J3,13)))</f>
        <v>0</v>
      </c>
      <c r="BC3" s="45">
        <f t="shared" ref="BC3:BC66" si="8">ABS(BA3-BB3)</f>
        <v>10</v>
      </c>
      <c r="BD3" s="63">
        <f>((Formula!C3)/(Formula!C3+Formula!E3+Formula!G3+Formula!I3+Formula!K3))*(INDEX(Properties!A$1:CB$87,Formula!B3,14))+((Formula!E3)/(Formula!C3+Formula!E3+Formula!G3+Formula!I3+Formula!K3))*(INDEX(Properties!A$1:CB$87,Formula!D3,14))+((Formula!G3)/(Formula!C3+Formula!E3+Formula!G3+Formula!I3+Formula!K3))*(INDEX(Properties!A$1:CB$87,Formula!F3,14))+((Formula!I3)/(Formula!C3+Formula!E3+Formula!G3+Formula!I3+Formula!K3))*(INDEX(Properties!A$1:CB$87,Formula!H3,14))+((Formula!K3)/(Formula!C3+Formula!E3+Formula!G3+Formula!I3+Formula!K3))*(INDEX(Properties!A$1:CB$87,Formula!J3,14))</f>
        <v>2.8000000000000003</v>
      </c>
      <c r="BE3" s="63">
        <f>Formula!C3*(INDEX(Properties!A$1:CB$87,Formula!B3,14))+Formula!E3*(INDEX(Properties!A$1:CB$87,Formula!D3,14))+Formula!G3*(INDEX(Properties!A$1:CB$87,Formula!F3,14))+Formula!I3*(INDEX(Properties!A$1:CB$87,Formula!H3,14))+Formula!K3*(INDEX(Properties!A$1:CB$87,Formula!J3,14))</f>
        <v>14</v>
      </c>
      <c r="BF3" s="63">
        <f>VARP(IF(INDEX(Properties!A$1:CB$87,Formula!B3,14)&lt;&gt;"",INDEX(Properties!A$1:CB$87,Formula!B3,14)),IF(INDEX(Properties!A$1:CB$87,Formula!D3,14)&lt;&gt;"",INDEX(Properties!A$1:CB$87,Formula!D3,14)),IF(INDEX(Properties!A$1:CB$87,Formula!F3,14)&lt;&gt;"",INDEX(Properties!A$1:CB$87,Formula!F3,14)),IF(INDEX(Properties!A$1:CB$87,Formula!H3,14)&lt;&gt;"",INDEX(Properties!A$1:CB$87,Formula!H3,14)),IF(INDEX(Properties!A$1:CB$87,Formula!J3,14)&lt;&gt;"",INDEX(Properties!A$1:CB$87,Formula!J3,14)))</f>
        <v>31.36</v>
      </c>
      <c r="BG3" s="63">
        <f>MAX(INDEX(Properties!A$1:CB$87,Formula!B3,14),INDEX(Properties!A$1:CB$87,Formula!D3,14),INDEX(Properties!A$1:CB$87,Formula!F3,14),INDEX(Properties!A$1:CB$87,Formula!H3,14),INDEX(Properties!A$1:CB$87,Formula!J3,14))</f>
        <v>14</v>
      </c>
      <c r="BH3" s="63">
        <f>MIN(IF(Formula!B3=87,10^6,INDEX(Properties!A$1:CB$87,Formula!B3,14)),IF((Formula!D3)=87,10^6,INDEX(Properties!A$1:CB$87,Formula!D3,14)),IF((Formula!F3)=87,10^6,INDEX(Properties!A$1:CB$87,Formula!F3,14)),IF((Formula!H3)=87,10^6,INDEX(Properties!A$1:CB$87,Formula!H3,14)),IF(Formula!J3=87,10^6,INDEX(Properties!A$1:CB$87,Formula!J3,14)))</f>
        <v>0</v>
      </c>
      <c r="BI3" s="63">
        <f t="shared" ref="BI3:BI66" si="9">ABS(BG3-BH3)</f>
        <v>14</v>
      </c>
      <c r="BJ3" s="75">
        <f>((Formula!C3)/(Formula!C3+Formula!E3+Formula!G3+Formula!I3+Formula!K3))*(INDEX(Properties!A$1:CB$87,Formula!B3,19))+((Formula!E3)/(Formula!C3+Formula!E3+Formula!G3+Formula!I3+Formula!K3))*(INDEX(Properties!A$1:CB$87,Formula!D3,19))+((Formula!G3)/(Formula!C3+Formula!E3+Formula!G3+Formula!I3+Formula!K3))*(INDEX(Properties!A$1:CB$87,Formula!F3,19))+((Formula!I3)/(Formula!C3+Formula!E3+Formula!G3+Formula!I3+Formula!K3))*(INDEX(Properties!A$1:CB$87,Formula!H3,19))+((Formula!K3)/(Formula!C3+Formula!E3+Formula!G3+Formula!I3+Formula!K3))*(INDEX(Properties!A$1:CB$87,Formula!J3,19))</f>
        <v>10</v>
      </c>
      <c r="BK3" s="75">
        <f>Formula!C3*(INDEX(Properties!A$1:CB$87,Formula!B3,19))+Formula!E3*(INDEX(Properties!A$1:CB$87,Formula!D3,19))+Formula!G3*(INDEX(Properties!A$1:CB$87,Formula!F3,19))+Formula!I3*(INDEX(Properties!A$1:CB$87,Formula!H3,19))+Formula!K3*(INDEX(Properties!A$1:CB$87,Formula!J3,19))</f>
        <v>50</v>
      </c>
      <c r="BL3" s="75">
        <f>VARP(IF(INDEX(Properties!A$1:CB$87,Formula!B3,19)&lt;&gt;"",INDEX(Properties!A$1:CB$87,Formula!B3,19)),IF(INDEX(Properties!A$1:CB$87,Formula!D3,19)&lt;&gt;"",INDEX(Properties!A$1:CB$87,Formula!D3,19)),IF(INDEX(Properties!A$1:CB$87,Formula!F3,19)&lt;&gt;"",INDEX(Properties!A$1:CB$87,Formula!F3,19)),IF(INDEX(Properties!A$1:CB$87,Formula!H3,19)&lt;&gt;"",INDEX(Properties!A$1:CB$87,Formula!H3,19)),IF(INDEX(Properties!A$1:CB$87,Formula!J3,19)&lt;&gt;"",INDEX(Properties!A$1:CB$87,Formula!J3,19)))</f>
        <v>109.44</v>
      </c>
      <c r="BM3" s="75">
        <f>MAX(INDEX(Properties!A$1:CB$87,Formula!B3,19),INDEX(Properties!A$1:CB$87,Formula!D3,19),INDEX(Properties!A$1:CB$87,Formula!F3,19),INDEX(Properties!A$1:CB$87,Formula!H3,19),INDEX(Properties!A$1:CB$87,Formula!J3,19))</f>
        <v>28</v>
      </c>
      <c r="BN3" s="75">
        <f>MIN(IF(INDEX(Properties!A$1:CB$87,Formula!B3,19)=0,10^6,INDEX(Properties!A$1:CB$87,Formula!B3,19)),IF(INDEX(Properties!A$1:CB$87,Formula!D3,19)=0,10^6,INDEX(Properties!A$1:CB$87,Formula!D3,19)),IF(INDEX(Properties!A$1:CB$87,Formula!F3,19)=0,10^6,INDEX(Properties!A$1:CB$87,Formula!F3,19)),IF(INDEX(Properties!A$1:CB$87,Formula!H3,19)=0,10^6,INDEX(Properties!A$1:CB$87,Formula!H3,19)),IF(INDEX(Properties!A$1:CB$87,Formula!J3,19)=0,10^6,INDEX(Properties!A$1:CB$87,Formula!J3,19)))</f>
        <v>4</v>
      </c>
      <c r="BO3" s="75">
        <f t="shared" ref="BO3:BO66" si="10">ABS(BM3-BN3)</f>
        <v>24</v>
      </c>
      <c r="BP3" s="48">
        <f>((Formula!C3)/(Formula!C3+Formula!E3+Formula!G3+Formula!I3+Formula!K3))*(INDEX(Properties!A$1:CB$87,Formula!B3,20))+((Formula!E3)/(Formula!C3+Formula!E3+Formula!G3+Formula!I3+Formula!K3))*(INDEX(Properties!A$1:CB$87,Formula!D3,20))+((Formula!G3)/(Formula!C3+Formula!E3+Formula!G3+Formula!I3+Formula!K3))*(INDEX(Properties!A$1:CB$87,Formula!F3,20))+((Formula!I3)/(Formula!C3+Formula!E3+Formula!G3+Formula!I3+Formula!K3))*(INDEX(Properties!A$1:CB$87,Formula!H3,20))+((Formula!K3)/(Formula!C3+Formula!E3+Formula!G3+Formula!I3+Formula!K3))*(INDEX(Properties!A$1:CB$87,Formula!J3,20))</f>
        <v>4.8</v>
      </c>
      <c r="BQ3" s="48">
        <f>Formula!C3*(INDEX(Properties!A$1:CB$87,Formula!B3,20))+Formula!E3*(INDEX(Properties!A$1:CB$87,Formula!D3,20))+Formula!G3*(INDEX(Properties!A$1:CB$87,Formula!F3,20))+Formula!I3*(INDEX(Properties!A$1:CB$87,Formula!H3,20))+Formula!K3*(INDEX(Properties!A$1:CB$87,Formula!J3,20))</f>
        <v>24</v>
      </c>
      <c r="BR3" s="48">
        <f>VARP(IF(INDEX(Properties!A$1:CB$87,Formula!B3,20)&lt;&gt;"",INDEX(Properties!A$1:CB$87,Formula!B3,20)),IF(INDEX(Properties!A$1:CB$87,Formula!D3,20)&lt;&gt;"",INDEX(Properties!A$1:CB$87,Formula!D3,20)),IF(INDEX(Properties!A$1:CB$87,Formula!F3,20)&lt;&gt;"",INDEX(Properties!A$1:CB$87,Formula!F3,20)),IF(INDEX(Properties!A$1:CB$87,Formula!H3,20)&lt;&gt;"",INDEX(Properties!A$1:CB$87,Formula!H3,20)),IF(INDEX(Properties!A$1:CB$87,Formula!J3,20)&lt;&gt;"",INDEX(Properties!A$1:CB$87,Formula!J3,20)))</f>
        <v>5.44</v>
      </c>
      <c r="BS3" s="48">
        <f>MAX(INDEX(Properties!A$1:CB$87,Formula!B3,20),INDEX(Properties!A$1:CB$87,Formula!D3,20),INDEX(Properties!A$1:CB$87,Formula!F3,20),INDEX(Properties!A$1:CB$87,Formula!H3,20),INDEX(Properties!A$1:CB$87,Formula!J3,20))</f>
        <v>6</v>
      </c>
      <c r="BT3" s="48">
        <f>MIN(IF(INDEX(Properties!A$1:CB$87,Formula!B3,20)=0,10^6,INDEX(Properties!A$1:CB$87,Formula!B3,20)),IF(INDEX(Properties!A$1:CB$87,Formula!D3,20)=0,10^6,INDEX(Properties!A$1:CB$87,Formula!D3,20)),IF(INDEX(Properties!A$1:CB$87,Formula!F3,20)=0,10^6,INDEX(Properties!A$1:CB$87,Formula!F3,20)),IF(INDEX(Properties!A$1:CB$87,Formula!H3,20)=0,10^6,INDEX(Properties!A$1:CB$87,Formula!H3,20)),IF(INDEX(Properties!A$1:CB$87,Formula!J3,20)=0,10^6,INDEX(Properties!A$1:CB$87,Formula!J3,20)))</f>
        <v>2</v>
      </c>
      <c r="BU3" s="48">
        <f t="shared" ref="BU3:BU66" si="11">ABS(BS3-BT3)</f>
        <v>4</v>
      </c>
      <c r="BV3" s="66">
        <f>((Formula!C3)/(Formula!C3+Formula!E3+Formula!G3+Formula!I3+Formula!K3))*(INDEX(Properties!A$1:CB$87,Formula!B3,21))+((Formula!E3)/(Formula!C3+Formula!E3+Formula!G3+Formula!I3+Formula!K3))*(INDEX(Properties!A$1:CB$87,Formula!D3,21))+((Formula!G3)/(Formula!C3+Formula!E3+Formula!G3+Formula!I3+Formula!K3))*(INDEX(Properties!A$1:CB$87,Formula!F3,21))+((Formula!I3)/(Formula!C3+Formula!E3+Formula!G3+Formula!I3+Formula!K3))*(INDEX(Properties!A$1:CB$87,Formula!H3,21))+((Formula!K3)/(Formula!C3+Formula!E3+Formula!G3+Formula!I3+Formula!K3))*(INDEX(Properties!A$1:CB$87,Formula!J3,21))</f>
        <v>4.8</v>
      </c>
      <c r="BW3" s="66">
        <f>Formula!C3*(INDEX(Properties!A$1:CB$87,Formula!B3,21))+Formula!E3*(INDEX(Properties!A$1:CB$87,Formula!D3,21))+Formula!G3*(INDEX(Properties!A$1:CB$87,Formula!F3,21))+Formula!I3*(INDEX(Properties!A$1:CB$87,Formula!H3,21))+Formula!K3*(INDEX(Properties!A$1:CB$87,Formula!J3,21))</f>
        <v>24</v>
      </c>
      <c r="BX3" s="66">
        <f>VARP(IF(INDEX(Properties!A$1:CB$87,Formula!B3,21)&lt;&gt;"",INDEX(Properties!A$1:CB$87,Formula!B3,21)),IF(INDEX(Properties!A$1:CB$87,Formula!D3,21)&lt;&gt;"",INDEX(Properties!A$1:CB$87,Formula!D3,21)),IF(INDEX(Properties!A$1:CB$87,Formula!F3,21)&lt;&gt;"",INDEX(Properties!A$1:CB$87,Formula!F3,21)),IF(INDEX(Properties!A$1:CB$87,Formula!H3,21)&lt;&gt;"",INDEX(Properties!A$1:CB$87,Formula!H3,21)),IF(INDEX(Properties!A$1:CB$87,Formula!J3,21)&lt;&gt;"",INDEX(Properties!A$1:CB$87,Formula!J3,21)))</f>
        <v>5.44</v>
      </c>
      <c r="BY3" s="66">
        <f>MAX(INDEX(Properties!A$1:CB$87,Formula!B3,21),INDEX(Properties!A$1:CB$87,Formula!D3,21),INDEX(Properties!A$1:CB$87,Formula!F3,21),INDEX(Properties!A$1:CB$87,Formula!H3,21),INDEX(Properties!A$1:CB$87,Formula!J3,21))</f>
        <v>6</v>
      </c>
      <c r="BZ3" s="66">
        <f>MIN(IF(INDEX(Properties!A$1:CB$87,Formula!B3,21)=0,10^6,INDEX(Properties!A$1:CB$87,Formula!B3,21)),IF(INDEX(Properties!A$1:CB$87,Formula!D3,21)=0,10^6,INDEX(Properties!A$1:CB$87,Formula!D3,21)),IF(INDEX(Properties!A$1:CB$87,Formula!F3,21)=0,10^6,INDEX(Properties!A$1:CB$87,Formula!F3,21)),IF(INDEX(Properties!A$1:CB$87,Formula!H3,21)=0,10^6,INDEX(Properties!A$1:CB$87,Formula!H3,21)),IF(INDEX(Properties!A$1:CB$87,Formula!J3,21)=0,10^6,INDEX(Properties!A$1:CB$87,Formula!J3,21)))</f>
        <v>2</v>
      </c>
      <c r="CA3" s="66">
        <f t="shared" ref="CA3:CA66" si="12">ABS(BY3-BZ3)</f>
        <v>4</v>
      </c>
      <c r="CB3" s="81">
        <f>((Formula!C3)/(Formula!C3+Formula!E3+Formula!G3+Formula!I3+Formula!K3))*(INDEX(Properties!A$1:CB$87,Formula!B3,23))+((Formula!E3)/(Formula!C3+Formula!E3+Formula!G3+Formula!I3+Formula!K3))*(INDEX(Properties!A$1:CB$87,Formula!D3,23))+((Formula!G3)/(Formula!C3+Formula!E3+Formula!G3+Formula!I3+Formula!K3))*(INDEX(Properties!A$1:CB$87,Formula!F3,23))+((Formula!I3)/(Formula!C3+Formula!E3+Formula!G3+Formula!I3+Formula!K3))*(INDEX(Properties!A$1:CB$87,Formula!H3,23))+((Formula!K3)/(Formula!C3+Formula!E3+Formula!G3+Formula!I3+Formula!K3))*(INDEX(Properties!A$1:CB$87,Formula!J3,23))</f>
        <v>1.288</v>
      </c>
      <c r="CC3" s="81">
        <f>Formula!C3*(INDEX(Properties!A$1:CB$87,Formula!B3,23))+Formula!E3*(INDEX(Properties!A$1:CB$87,Formula!D3,23))+Formula!G3*(INDEX(Properties!A$1:CB$87,Formula!F3,23))+Formula!I3*(INDEX(Properties!A$1:CB$87,Formula!H3,23))+Formula!K3*(INDEX(Properties!A$1:CB$87,Formula!J3,23))</f>
        <v>6.4399999999999995</v>
      </c>
      <c r="CD3" s="81">
        <f>VARP(IF(INDEX(Properties!A$1:CB$87,Formula!B3,23)&lt;&gt;"",INDEX(Properties!A$1:CB$87,Formula!B3,23)),IF(INDEX(Properties!A$1:CB$87,Formula!D3,23)&lt;&gt;"",INDEX(Properties!A$1:CB$87,Formula!D3,23)),IF(INDEX(Properties!A$1:CB$87,Formula!F3,23)&lt;&gt;"",INDEX(Properties!A$1:CB$87,Formula!F3,23)),IF(INDEX(Properties!A$1:CB$87,Formula!H3,23)&lt;&gt;"",INDEX(Properties!A$1:CB$87,Formula!H3,23)),IF(INDEX(Properties!A$1:CB$87,Formula!J3,23)&lt;&gt;"",INDEX(Properties!A$1:CB$87,Formula!J3,23)))</f>
        <v>2.7317760000000004</v>
      </c>
      <c r="CE3" s="81">
        <f>MAX(INDEX(Properties!A$1:CB$87,Formula!B3,23),INDEX(Properties!A$1:CB$87,Formula!D3,23),INDEX(Properties!A$1:CB$87,Formula!F3,23),INDEX(Properties!A$1:CB$87,Formula!H3,23),INDEX(Properties!A$1:CB$87,Formula!J3,23))</f>
        <v>4</v>
      </c>
      <c r="CF3" s="81">
        <f>MIN(IF(Formula!B3=87,10^6,INDEX(Properties!A$1:CB$87,Formula!B3,23)),IF((Formula!D3)=87,10^6,INDEX(Properties!A$1:CB$87,Formula!D3,23)),IF((Formula!F3)=87,10^6,INDEX(Properties!A$1:CB$87,Formula!F3,23)),IF((Formula!H3)=87,10^6,INDEX(Properties!A$1:CB$87,Formula!H3,23)),IF(Formula!J3=87,10^6,INDEX(Properties!A$1:CB$87,Formula!J3,23)))</f>
        <v>0</v>
      </c>
      <c r="CG3" s="81">
        <f t="shared" ref="CG3:CG66" si="13">ABS(CE3-CF3)</f>
        <v>4</v>
      </c>
      <c r="CH3" s="39">
        <f>((Formula!C3)/(Formula!C3+Formula!E3+Formula!G3+Formula!I3+Formula!K3))*(INDEX(Properties!A$1:CB$87,Formula!B3,26))+((Formula!E3)/(Formula!C3+Formula!E3+Formula!G3+Formula!I3+Formula!K3))*(INDEX(Properties!A$1:CB$87,Formula!D3,26))+((Formula!G3)/(Formula!C3+Formula!E3+Formula!G3+Formula!I3+Formula!K3))*(INDEX(Properties!A$1:CB$87,Formula!F3,26))+((Formula!I3)/(Formula!C3+Formula!E3+Formula!G3+Formula!I3+Formula!K3))*(INDEX(Properties!A$1:CB$87,Formula!H3,26))+((Formula!K3)/(Formula!C3+Formula!E3+Formula!G3+Formula!I3+Formula!K3))*(INDEX(Properties!A$1:CB$87,Formula!J3,26))</f>
        <v>10.980979999999999</v>
      </c>
      <c r="CI3" s="39">
        <f>Formula!C3*(INDEX(Properties!A$1:CB$87,Formula!B3,26))+Formula!E3*(INDEX(Properties!A$1:CB$87,Formula!D3,26))+Formula!G3*(INDEX(Properties!A$1:CB$87,Formula!F3,26))+Formula!I3*(INDEX(Properties!A$1:CB$87,Formula!H3,26))+Formula!K3*(INDEX(Properties!A$1:CB$87,Formula!J3,26))</f>
        <v>54.904899999999998</v>
      </c>
      <c r="CJ3" s="39">
        <f>VARP(IF(INDEX(Properties!A$1:CB$87,Formula!B3,26)&lt;&gt;"",INDEX(Properties!A$1:CB$87,Formula!B3,26)),IF(INDEX(Properties!A$1:CB$87,Formula!D3,26)&lt;&gt;"",INDEX(Properties!A$1:CB$87,Formula!D3,26)),IF(INDEX(Properties!A$1:CB$87,Formula!F3,26)&lt;&gt;"",INDEX(Properties!A$1:CB$87,Formula!F3,26)),IF(INDEX(Properties!A$1:CB$87,Formula!H3,26)&lt;&gt;"",INDEX(Properties!A$1:CB$87,Formula!H3,26)),IF(INDEX(Properties!A$1:CB$87,Formula!J3,26)&lt;&gt;"",INDEX(Properties!A$1:CB$87,Formula!J3,26)))</f>
        <v>26.27146475439999</v>
      </c>
      <c r="CK3" s="39">
        <f>MAX(INDEX(Properties!A$1:CB$87,Formula!B3,26),INDEX(Properties!A$1:CB$87,Formula!D3,26),INDEX(Properties!A$1:CB$87,Formula!F3,26),INDEX(Properties!A$1:CB$87,Formula!H3,26),INDEX(Properties!A$1:CB$87,Formula!J3,26))</f>
        <v>13.6181</v>
      </c>
      <c r="CL3" s="39">
        <f>MIN(IF(INDEX(Properties!A$1:CB$87,Formula!B3,26)=0,10^6,INDEX(Properties!A$1:CB$87,Formula!B3,26)),IF(INDEX(Properties!A$1:CB$87,Formula!D3,26)=0,10^6,INDEX(Properties!A$1:CB$87,Formula!D3,26)),IF(INDEX(Properties!A$1:CB$87,Formula!F3,26)=0,10^6,INDEX(Properties!A$1:CB$87,Formula!F3,26)),IF(INDEX(Properties!A$1:CB$87,Formula!H3,26)=0,10^6,INDEX(Properties!A$1:CB$87,Formula!H3,26)),IF(INDEX(Properties!A$1:CB$87,Formula!J3,26)=0,10^6,INDEX(Properties!A$1:CB$87,Formula!J3,26)))</f>
        <v>6.6338999999999997</v>
      </c>
      <c r="CM3" s="39">
        <f t="shared" ref="CM3:CM66" si="14">ABS(CK3-CL3)</f>
        <v>6.9842000000000004</v>
      </c>
      <c r="CN3" s="54">
        <f>((Formula!C3)/(Formula!C3+Formula!E3+Formula!G3+Formula!I3+Formula!K3))*(INDEX(Properties!A$1:CB$87,Formula!B3,30))+((Formula!E3)/(Formula!C3+Formula!E3+Formula!G3+Formula!I3+Formula!K3))*(INDEX(Properties!A$1:CB$87,Formula!D3,30))+((Formula!G3)/(Formula!C3+Formula!E3+Formula!G3+Formula!I3+Formula!K3))*(INDEX(Properties!A$1:CB$87,Formula!F3,30))+((Formula!I3)/(Formula!C3+Formula!E3+Formula!G3+Formula!I3+Formula!K3))*(INDEX(Properties!A$1:CB$87,Formula!H3,30))+((Formula!K3)/(Formula!C3+Formula!E3+Formula!G3+Formula!I3+Formula!K3))*(INDEX(Properties!A$1:CB$87,Formula!J3,30))</f>
        <v>2.7040000000000002</v>
      </c>
      <c r="CO3" s="54">
        <f>Formula!C3*(INDEX(Properties!A$1:CB$87,Formula!B3,30))+Formula!E3*(INDEX(Properties!A$1:CB$87,Formula!D3,30))+Formula!G3*(INDEX(Properties!A$1:CB$87,Formula!F3,30))+Formula!I3*(INDEX(Properties!A$1:CB$87,Formula!H3,30))+Formula!K3*(INDEX(Properties!A$1:CB$87,Formula!J3,30))</f>
        <v>13.52</v>
      </c>
      <c r="CP3" s="54">
        <f>VARP(IF(INDEX(Properties!A$1:CB$87,Formula!B3,30)&lt;&gt;"",INDEX(Properties!A$1:CB$87,Formula!B3,30)),IF(INDEX(Properties!A$1:CB$87,Formula!D3,30)&lt;&gt;"",INDEX(Properties!A$1:CB$87,Formula!D3,30)),IF(INDEX(Properties!A$1:CB$87,Formula!F3,30)&lt;&gt;"",INDEX(Properties!A$1:CB$87,Formula!F3,30)),IF(INDEX(Properties!A$1:CB$87,Formula!H3,30)&lt;&gt;"",INDEX(Properties!A$1:CB$87,Formula!H3,30)),IF(INDEX(Properties!A$1:CB$87,Formula!J3,30)&lt;&gt;"",INDEX(Properties!A$1:CB$87,Formula!J3,30)))</f>
        <v>1.6562959999999998</v>
      </c>
      <c r="CQ3" s="54">
        <f>MAX(INDEX(Properties!A$1:CB$87,Formula!B3,30),INDEX(Properties!A$1:CB$87,Formula!D3,30),INDEX(Properties!A$1:CB$87,Formula!F3,30),INDEX(Properties!A$1:CB$87,Formula!H3,30),INDEX(Properties!A$1:CB$87,Formula!J3,30))</f>
        <v>3.44</v>
      </c>
      <c r="CR3" s="54">
        <f>MIN(IF(INDEX(Properties!A$1:CB$87,Formula!B3,30)=0,10^6,INDEX(Properties!A$1:CB$87,Formula!B3,30)),IF(INDEX(Properties!A$1:CB$87,Formula!D3,30)=0,10^6,INDEX(Properties!A$1:CB$87,Formula!D3,30)),IF(INDEX(Properties!A$1:CB$87,Formula!F3,30)=0,10^6,INDEX(Properties!A$1:CB$87,Formula!F3,30)),IF(INDEX(Properties!A$1:CB$87,Formula!H3,30)=0,10^6,INDEX(Properties!A$1:CB$87,Formula!H3,30)),IF(INDEX(Properties!A$1:CB$87,Formula!J3,30)=0,10^6,INDEX(Properties!A$1:CB$87,Formula!J3,30)))</f>
        <v>1.33</v>
      </c>
      <c r="CS3" s="54">
        <f t="shared" ref="CS3:CS66" si="15">ABS(CQ3-CR3)</f>
        <v>2.11</v>
      </c>
      <c r="CT3" s="69">
        <f>((Formula!C3)/(Formula!C3+Formula!E3+Formula!G3+Formula!I3+Formula!K3))*(INDEX(Properties!A$1:CB$87,Formula!B3,31))+((Formula!E3)/(Formula!C3+Formula!E3+Formula!G3+Formula!I3+Formula!K3))*(INDEX(Properties!A$1:CB$87,Formula!D3,31))+((Formula!G3)/(Formula!C3+Formula!E3+Formula!G3+Formula!I3+Formula!K3))*(INDEX(Properties!A$1:CB$87,Formula!F3,31))+((Formula!I3)/(Formula!C3+Formula!E3+Formula!G3+Formula!I3+Formula!K3))*(INDEX(Properties!A$1:CB$87,Formula!H3,31))+((Formula!K3)/(Formula!C3+Formula!E3+Formula!G3+Formula!I3+Formula!K3))*(INDEX(Properties!A$1:CB$87,Formula!J3,31))</f>
        <v>2.7159999999999997</v>
      </c>
      <c r="CU3" s="69">
        <f>Formula!C3*(INDEX(Properties!A$1:CB$87,Formula!B3,31))+Formula!E3*(INDEX(Properties!A$1:CB$87,Formula!D3,31))+Formula!G3*(INDEX(Properties!A$1:CB$87,Formula!F3,31))+Formula!I3*(INDEX(Properties!A$1:CB$87,Formula!H3,31))+Formula!K3*(INDEX(Properties!A$1:CB$87,Formula!J3,31))</f>
        <v>13.579999999999998</v>
      </c>
      <c r="CV3" s="69">
        <f>VARP(IF(INDEX(Properties!A$1:CB$87,Formula!B3,31)&lt;&gt;"",INDEX(Properties!A$1:CB$87,Formula!B3,31)),IF(INDEX(Properties!A$1:CB$87,Formula!D3,31)&lt;&gt;"",INDEX(Properties!A$1:CB$87,Formula!D3,31)),IF(INDEX(Properties!A$1:CB$87,Formula!F3,31)&lt;&gt;"",INDEX(Properties!A$1:CB$87,Formula!F3,31)),IF(INDEX(Properties!A$1:CB$87,Formula!H3,31)&lt;&gt;"",INDEX(Properties!A$1:CB$87,Formula!H3,31)),IF(INDEX(Properties!A$1:CB$87,Formula!J3,31)&lt;&gt;"",INDEX(Properties!A$1:CB$87,Formula!J3,31)))</f>
        <v>1.5932159999999995</v>
      </c>
      <c r="CW3" s="69">
        <f>MAX(INDEX(Properties!A$1:CB$87,Formula!B3,31),INDEX(Properties!A$1:CB$87,Formula!D3,31),INDEX(Properties!A$1:CB$87,Formula!F3,31),INDEX(Properties!A$1:CB$87,Formula!H3,31),INDEX(Properties!A$1:CB$87,Formula!J3,31))</f>
        <v>3.32</v>
      </c>
      <c r="CX3" s="69">
        <f>MIN(IF(INDEX(Properties!A$1:CB$87,Formula!B3,31)=0,10^6,INDEX(Properties!A$1:CB$87,Formula!B3,31)),IF(INDEX(Properties!A$1:CB$87,Formula!D3,31)=0,10^6,INDEX(Properties!A$1:CB$87,Formula!D3,31)),IF(INDEX(Properties!A$1:CB$87,Formula!F3,31)=0,10^6,INDEX(Properties!A$1:CB$87,Formula!F3,31)),IF(INDEX(Properties!A$1:CB$87,Formula!H3,31)=0,10^6,INDEX(Properties!A$1:CB$87,Formula!H3,31)),IF(INDEX(Properties!A$1:CB$87,Formula!J3,31)=0,10^6,INDEX(Properties!A$1:CB$87,Formula!J3,31)))</f>
        <v>1.7</v>
      </c>
      <c r="CY3" s="69">
        <f t="shared" ref="CY3:CY66" si="16">ABS(CW3-CX3)</f>
        <v>1.6199999999999999</v>
      </c>
      <c r="CZ3" s="42">
        <f>((Formula!C3)/(Formula!C3+Formula!E3+Formula!G3+Formula!I3+Formula!K3))*(INDEX(Properties!A$1:CB$87,Formula!B3,32))+((Formula!E3)/(Formula!C3+Formula!E3+Formula!G3+Formula!I3+Formula!K3))*(INDEX(Properties!A$1:CB$87,Formula!D3,32))+((Formula!G3)/(Formula!C3+Formula!E3+Formula!G3+Formula!I3+Formula!K3))*(INDEX(Properties!A$1:CB$87,Formula!F3,32))+((Formula!I3)/(Formula!C3+Formula!E3+Formula!G3+Formula!I3+Formula!K3))*(INDEX(Properties!A$1:CB$87,Formula!H3,32))+((Formula!K3)/(Formula!C3+Formula!E3+Formula!G3+Formula!I3+Formula!K3))*(INDEX(Properties!A$1:CB$87,Formula!J3,32))</f>
        <v>6.032</v>
      </c>
      <c r="DA3" s="42">
        <f>Formula!C3*(INDEX(Properties!A$1:CB$87,Formula!B3,32))+Formula!E3*(INDEX(Properties!A$1:CB$87,Formula!D3,32))+Formula!G3*(INDEX(Properties!A$1:CB$87,Formula!F3,32))+Formula!I3*(INDEX(Properties!A$1:CB$87,Formula!H3,32))+Formula!K3*(INDEX(Properties!A$1:CB$87,Formula!J3,32))</f>
        <v>30.16</v>
      </c>
      <c r="DB3" s="42">
        <f>VARP(IF(INDEX(Properties!A$1:CB$87,Formula!B3,32)&lt;&gt;"",INDEX(Properties!A$1:CB$87,Formula!B3,32)),IF(INDEX(Properties!A$1:CB$87,Formula!D3,32)&lt;&gt;"",INDEX(Properties!A$1:CB$87,Formula!D3,32)),IF(INDEX(Properties!A$1:CB$87,Formula!F3,32)&lt;&gt;"",INDEX(Properties!A$1:CB$87,Formula!F3,32)),IF(INDEX(Properties!A$1:CB$87,Formula!H3,32)&lt;&gt;"",INDEX(Properties!A$1:CB$87,Formula!H3,32)),IF(INDEX(Properties!A$1:CB$87,Formula!J3,32)&lt;&gt;"",INDEX(Properties!A$1:CB$87,Formula!J3,32)))</f>
        <v>7.9659839999999997</v>
      </c>
      <c r="DC3" s="42">
        <f>MAX(INDEX(Properties!A$1:CB$87,Formula!B3,32),INDEX(Properties!A$1:CB$87,Formula!D3,32),INDEX(Properties!A$1:CB$87,Formula!F3,32),INDEX(Properties!A$1:CB$87,Formula!H3,32),INDEX(Properties!A$1:CB$87,Formula!J3,32))</f>
        <v>7.54</v>
      </c>
      <c r="DD3" s="42">
        <f>MIN(IF(INDEX(Properties!A$1:CB$87,Formula!B3,32)=0,10^6,INDEX(Properties!A$1:CB$87,Formula!B3,32)),IF(INDEX(Properties!A$1:CB$87,Formula!D3,32)=0,10^6,INDEX(Properties!A$1:CB$87,Formula!D3,32)),IF(INDEX(Properties!A$1:CB$87,Formula!F3,32)=0,10^6,INDEX(Properties!A$1:CB$87,Formula!F3,32)),IF(INDEX(Properties!A$1:CB$87,Formula!H3,32)=0,10^6,INDEX(Properties!A$1:CB$87,Formula!H3,32)),IF(INDEX(Properties!A$1:CB$87,Formula!J3,32)=0,10^6,INDEX(Properties!A$1:CB$87,Formula!J3,32)))</f>
        <v>3.64</v>
      </c>
      <c r="DE3" s="42">
        <f t="shared" ref="DE3:DE66" si="17">ABS(DC3-DD3)</f>
        <v>3.9</v>
      </c>
      <c r="DF3" s="60">
        <f>((Formula!C3)/(Formula!C3+Formula!E3+Formula!G3+Formula!I3+Formula!K3))*(INDEX(Properties!A$1:CB$87,Formula!B3,34))+((Formula!E3)/(Formula!C3+Formula!E3+Formula!G3+Formula!I3+Formula!K3))*(INDEX(Properties!A$1:CB$87,Formula!D3,34))+((Formula!G3)/(Formula!C3+Formula!E3+Formula!G3+Formula!I3+Formula!K3))*(INDEX(Properties!A$1:CB$87,Formula!F3,34))+((Formula!I3)/(Formula!C3+Formula!E3+Formula!G3+Formula!I3+Formula!K3))*(INDEX(Properties!A$1:CB$87,Formula!H3,34))+((Formula!K3)/(Formula!C3+Formula!E3+Formula!G3+Formula!I3+Formula!K3))*(INDEX(Properties!A$1:CB$87,Formula!J3,34))</f>
        <v>2.8007999999999997</v>
      </c>
      <c r="DG3" s="60">
        <f>Formula!C3*(INDEX(Properties!A$1:CB$87,Formula!B3,34))+Formula!E3*(INDEX(Properties!A$1:CB$87,Formula!D3,34))+Formula!G3*(INDEX(Properties!A$1:CB$87,Formula!F3,34))+Formula!I3*(INDEX(Properties!A$1:CB$87,Formula!H3,34))+Formula!K3*(INDEX(Properties!A$1:CB$87,Formula!J3,34))</f>
        <v>14.004000000000001</v>
      </c>
      <c r="DH3" s="60">
        <f>VARP(IF(INDEX(Properties!A$1:CB$87,Formula!B3,34)&lt;&gt;"",INDEX(Properties!A$1:CB$87,Formula!B3,34)),IF(INDEX(Properties!A$1:CB$87,Formula!D3,34)&lt;&gt;"",INDEX(Properties!A$1:CB$87,Formula!D3,34)),IF(INDEX(Properties!A$1:CB$87,Formula!F3,34)&lt;&gt;"",INDEX(Properties!A$1:CB$87,Formula!F3,34)),IF(INDEX(Properties!A$1:CB$87,Formula!H3,34)&lt;&gt;"",INDEX(Properties!A$1:CB$87,Formula!H3,34)),IF(INDEX(Properties!A$1:CB$87,Formula!J3,34)&lt;&gt;"",INDEX(Properties!A$1:CB$87,Formula!J3,34)))</f>
        <v>1.8014569599999992</v>
      </c>
      <c r="DI3" s="60">
        <f>MAX(INDEX(Properties!A$1:CB$87,Formula!B3,34),INDEX(Properties!A$1:CB$87,Formula!D3,34),INDEX(Properties!A$1:CB$87,Formula!F3,34),INDEX(Properties!A$1:CB$87,Formula!H3,34),INDEX(Properties!A$1:CB$87,Formula!J3,34))</f>
        <v>3.61</v>
      </c>
      <c r="DJ3" s="60">
        <f>MIN(IF(INDEX(Properties!A$1:CB$87,Formula!B3,34)=0,10^6,INDEX(Properties!A$1:CB$87,Formula!B3,34)),IF(INDEX(Properties!A$1:CB$87,Formula!D3,34)=0,10^6,INDEX(Properties!A$1:CB$87,Formula!D3,34)),IF(INDEX(Properties!A$1:CB$87,Formula!F3,34)=0,10^6,INDEX(Properties!A$1:CB$87,Formula!F3,34)),IF(INDEX(Properties!A$1:CB$87,Formula!H3,34)=0,10^6,INDEX(Properties!A$1:CB$87,Formula!H3,34)),IF(INDEX(Properties!A$1:CB$87,Formula!J3,34)=0,10^6,INDEX(Properties!A$1:CB$87,Formula!J3,34)))</f>
        <v>1.32</v>
      </c>
      <c r="DK3" s="60">
        <f t="shared" ref="DK3:DK66" si="18">ABS(DI3-DJ3)</f>
        <v>2.29</v>
      </c>
      <c r="DL3" s="45">
        <f>((Formula!C3)/(Formula!C3+Formula!E3+Formula!G3+Formula!I3+Formula!K3))*(INDEX(Properties!A$1:CB$87,Formula!B3,39))+((Formula!E3)/(Formula!C3+Formula!E3+Formula!G3+Formula!I3+Formula!K3))*(INDEX(Properties!A$1:CB$87,Formula!D3,39))+((Formula!G3)/(Formula!C3+Formula!E3+Formula!G3+Formula!I3+Formula!K3))*(INDEX(Properties!A$1:CB$87,Formula!F3,39))+((Formula!I3)/(Formula!C3+Formula!E3+Formula!G3+Formula!I3+Formula!K3))*(INDEX(Properties!A$1:CB$87,Formula!H3,39))+((Formula!K3)/(Formula!C3+Formula!E3+Formula!G3+Formula!I3+Formula!K3))*(INDEX(Properties!A$1:CB$87,Formula!J3,39))</f>
        <v>1.008</v>
      </c>
      <c r="DM3" s="45">
        <f>Formula!C3*(INDEX(Properties!A$1:CB$87,Formula!B3,39))+Formula!E3*(INDEX(Properties!A$1:CB$87,Formula!D3,39))+Formula!G3*(INDEX(Properties!A$1:CB$87,Formula!F3,39))+Formula!I3*(INDEX(Properties!A$1:CB$87,Formula!H3,39))+Formula!K3*(INDEX(Properties!A$1:CB$87,Formula!J3,39))</f>
        <v>5.04</v>
      </c>
      <c r="DN3" s="45">
        <f>VARP(IF(INDEX(Properties!A$1:CB$87,Formula!B3,39)&lt;&gt;"",INDEX(Properties!A$1:CB$87,Formula!B3,39)),IF(INDEX(Properties!A$1:CB$87,Formula!D3,39)&lt;&gt;"",INDEX(Properties!A$1:CB$87,Formula!D3,39)),IF(INDEX(Properties!A$1:CB$87,Formula!F3,39)&lt;&gt;"",INDEX(Properties!A$1:CB$87,Formula!F3,39)),IF(INDEX(Properties!A$1:CB$87,Formula!H3,39)&lt;&gt;"",INDEX(Properties!A$1:CB$87,Formula!H3,39)),IF(INDEX(Properties!A$1:CB$87,Formula!J3,39)&lt;&gt;"",INDEX(Properties!A$1:CB$87,Formula!J3,39)))</f>
        <v>0.70326400000000011</v>
      </c>
      <c r="DO3" s="45">
        <f>MAX(INDEX(Properties!A$1:CB$87,Formula!B3,39),INDEX(Properties!A$1:CB$87,Formula!D3,39),INDEX(Properties!A$1:CB$87,Formula!F3,39),INDEX(Properties!A$1:CB$87,Formula!H3,39),INDEX(Properties!A$1:CB$87,Formula!J3,39))</f>
        <v>2.06</v>
      </c>
      <c r="DP3" s="45">
        <f>MIN(IF(INDEX(Properties!A$1:CB$87,Formula!B3,39)=0,10^6,INDEX(Properties!A$1:CB$87,Formula!B3,39)),IF(INDEX(Properties!A$1:CB$87,Formula!D3,39)=0,10^6,INDEX(Properties!A$1:CB$87,Formula!D3,39)),IF(INDEX(Properties!A$1:CB$87,Formula!F3,39)=0,10^6,INDEX(Properties!A$1:CB$87,Formula!F3,39)),IF(INDEX(Properties!A$1:CB$87,Formula!H3,39)=0,10^6,INDEX(Properties!A$1:CB$87,Formula!H3,39)),IF(INDEX(Properties!A$1:CB$87,Formula!J3,39)=0,10^6,INDEX(Properties!A$1:CB$87,Formula!J3,39)))</f>
        <v>0.48</v>
      </c>
      <c r="DQ3" s="45">
        <f t="shared" ref="DQ3:DQ66" si="19">ABS(DO3-DP3)</f>
        <v>1.58</v>
      </c>
      <c r="DR3" s="63">
        <f>((Formula!C3)/(Formula!C3+Formula!E3+Formula!G3+Formula!I3+Formula!K3))*(INDEX(Properties!A$1:CB$87,Formula!B3,40))+((Formula!E3)/(Formula!C3+Formula!E3+Formula!G3+Formula!I3+Formula!K3))*(INDEX(Properties!A$1:CB$87,Formula!D3,40))+((Formula!G3)/(Formula!C3+Formula!E3+Formula!G3+Formula!I3+Formula!K3))*(INDEX(Properties!A$1:CB$87,Formula!F3,40))+((Formula!I3)/(Formula!C3+Formula!E3+Formula!G3+Formula!I3+Formula!K3))*(INDEX(Properties!A$1:CB$87,Formula!H3,40))+((Formula!K3)/(Formula!C3+Formula!E3+Formula!G3+Formula!I3+Formula!K3))*(INDEX(Properties!A$1:CB$87,Formula!J3,40))</f>
        <v>1.028</v>
      </c>
      <c r="DS3" s="63">
        <f>Formula!C3*(INDEX(Properties!A$1:CB$87,Formula!B3,40))+Formula!E3*(INDEX(Properties!A$1:CB$87,Formula!D3,40))+Formula!G3*(INDEX(Properties!A$1:CB$87,Formula!F3,40))+Formula!I3*(INDEX(Properties!A$1:CB$87,Formula!H3,40))+Formula!K3*(INDEX(Properties!A$1:CB$87,Formula!J3,40))</f>
        <v>5.1400000000000006</v>
      </c>
      <c r="DT3" s="63">
        <f>VARP(IF(INDEX(Properties!A$1:CB$87,Formula!B3,40)&lt;&gt;"",INDEX(Properties!A$1:CB$87,Formula!B3,40)),IF(INDEX(Properties!A$1:CB$87,Formula!D3,40)&lt;&gt;"",INDEX(Properties!A$1:CB$87,Formula!D3,40)),IF(INDEX(Properties!A$1:CB$87,Formula!F3,40)&lt;&gt;"",INDEX(Properties!A$1:CB$87,Formula!F3,40)),IF(INDEX(Properties!A$1:CB$87,Formula!H3,40)&lt;&gt;"",INDEX(Properties!A$1:CB$87,Formula!H3,40)),IF(INDEX(Properties!A$1:CB$87,Formula!J3,40)&lt;&gt;"",INDEX(Properties!A$1:CB$87,Formula!J3,40)))</f>
        <v>0.43514399999999998</v>
      </c>
      <c r="DU3" s="63">
        <f>MAX(INDEX(Properties!A$1:CB$87,Formula!B3,40),INDEX(Properties!A$1:CB$87,Formula!D3,40),INDEX(Properties!A$1:CB$87,Formula!F3,40),INDEX(Properties!A$1:CB$87,Formula!H3,40),INDEX(Properties!A$1:CB$87,Formula!J3,40))</f>
        <v>1.48</v>
      </c>
      <c r="DV3" s="63">
        <f>MIN(IF(INDEX(Properties!A$1:CB$87,Formula!B3,40)=0,10^6,INDEX(Properties!A$1:CB$87,Formula!B3,40)),IF(INDEX(Properties!A$1:CB$87,Formula!D3,40)=0,10^6,INDEX(Properties!A$1:CB$87,Formula!D3,40)),IF(INDEX(Properties!A$1:CB$87,Formula!F3,40)=0,10^6,INDEX(Properties!A$1:CB$87,Formula!F3,40)),IF(INDEX(Properties!A$1:CB$87,Formula!H3,40)=0,10^6,INDEX(Properties!A$1:CB$87,Formula!H3,40)),IF(INDEX(Properties!A$1:CB$87,Formula!J3,40)=0,10^6,INDEX(Properties!A$1:CB$87,Formula!J3,40)))</f>
        <v>0.73</v>
      </c>
      <c r="DW3" s="63">
        <f t="shared" ref="DW3:DW66" si="20">ABS(DU3-DV3)</f>
        <v>0.75</v>
      </c>
      <c r="DX3" s="75">
        <f>((Formula!C3)/(Formula!C3+Formula!E3+Formula!G3+Formula!I3+Formula!K3))*(INDEX(Properties!A$1:CB$87,Formula!B3,41))+((Formula!E3)/(Formula!C3+Formula!E3+Formula!G3+Formula!I3+Formula!K3))*(INDEX(Properties!A$1:CB$87,Formula!D3,41))+((Formula!G3)/(Formula!C3+Formula!E3+Formula!G3+Formula!I3+Formula!K3))*(INDEX(Properties!A$1:CB$87,Formula!F3,41))+((Formula!I3)/(Formula!C3+Formula!E3+Formula!G3+Formula!I3+Formula!K3))*(INDEX(Properties!A$1:CB$87,Formula!H3,41))+((Formula!K3)/(Formula!C3+Formula!E3+Formula!G3+Formula!I3+Formula!K3))*(INDEX(Properties!A$1:CB$87,Formula!J3,41))</f>
        <v>1.194</v>
      </c>
      <c r="DY3" s="75">
        <f>Formula!C3*(INDEX(Properties!A$1:CB$87,Formula!B3,41))+Formula!E3*(INDEX(Properties!A$1:CB$87,Formula!D3,41))+Formula!G3*(INDEX(Properties!A$1:CB$87,Formula!F3,41))+Formula!I3*(INDEX(Properties!A$1:CB$87,Formula!H3,41))+Formula!K3*(INDEX(Properties!A$1:CB$87,Formula!J3,41))</f>
        <v>5.9700000000000006</v>
      </c>
      <c r="DZ3" s="75">
        <f>VARP(IF(INDEX(Properties!A$1:CB$87,Formula!B3,41)&lt;&gt;"",INDEX(Properties!A$1:CB$87,Formula!B3,41)),IF(INDEX(Properties!A$1:CB$87,Formula!D3,41)&lt;&gt;"",INDEX(Properties!A$1:CB$87,Formula!D3,41)),IF(INDEX(Properties!A$1:CB$87,Formula!F3,41)&lt;&gt;"",INDEX(Properties!A$1:CB$87,Formula!F3,41)),IF(INDEX(Properties!A$1:CB$87,Formula!H3,41)&lt;&gt;"",INDEX(Properties!A$1:CB$87,Formula!H3,41)),IF(INDEX(Properties!A$1:CB$87,Formula!J3,41)&lt;&gt;"",INDEX(Properties!A$1:CB$87,Formula!J3,41)))</f>
        <v>0.34311999999999993</v>
      </c>
      <c r="EA3" s="75">
        <f>MAX(INDEX(Properties!A$1:CB$87,Formula!B3,41),INDEX(Properties!A$1:CB$87,Formula!D3,41),INDEX(Properties!A$1:CB$87,Formula!F3,41),INDEX(Properties!A$1:CB$87,Formula!H3,41),INDEX(Properties!A$1:CB$87,Formula!J3,41))</f>
        <v>1.33</v>
      </c>
      <c r="EB3" s="75">
        <f>MIN(IF(INDEX(Properties!A$1:CB$87,Formula!B3,41)=0,10^6,INDEX(Properties!A$1:CB$87,Formula!B3,41)),IF(INDEX(Properties!A$1:CB$87,Formula!D3,41)=0,10^6,INDEX(Properties!A$1:CB$87,Formula!D3,41)),IF(INDEX(Properties!A$1:CB$87,Formula!F3,41)=0,10^6,INDEX(Properties!A$1:CB$87,Formula!F3,41)),IF(INDEX(Properties!A$1:CB$87,Formula!H3,41)=0,10^6,INDEX(Properties!A$1:CB$87,Formula!H3,41)),IF(INDEX(Properties!A$1:CB$87,Formula!J3,41)=0,10^6,INDEX(Properties!A$1:CB$87,Formula!J3,41)))</f>
        <v>0.86</v>
      </c>
      <c r="EC3" s="75">
        <f t="shared" ref="EC3:EC66" si="21">ABS(EA3-EB3)</f>
        <v>0.47000000000000008</v>
      </c>
      <c r="ED3" s="48">
        <f>((Formula!C3)/(Formula!C3+Formula!E3+Formula!G3+Formula!I3+Formula!K3))*(INDEX(Properties!A$1:CB$87,Formula!B3,45))+((Formula!E3)/(Formula!C3+Formula!E3+Formula!G3+Formula!I3+Formula!K3))*(INDEX(Properties!A$1:CB$87,Formula!D3,45))+((Formula!G3)/(Formula!C3+Formula!E3+Formula!G3+Formula!I3+Formula!K3))*(INDEX(Properties!A$1:CB$87,Formula!F3,45))+((Formula!I3)/(Formula!C3+Formula!E3+Formula!G3+Formula!I3+Formula!K3))*(INDEX(Properties!A$1:CB$87,Formula!H3,45))+((Formula!K3)/(Formula!C3+Formula!E3+Formula!G3+Formula!I3+Formula!K3))*(INDEX(Properties!A$1:CB$87,Formula!J3,45))</f>
        <v>1.266</v>
      </c>
      <c r="EE3" s="48">
        <f>Formula!C3*(INDEX(Properties!A$1:CB$87,Formula!B3,45))+Formula!E3*(INDEX(Properties!A$1:CB$87,Formula!D3,45))+Formula!G3*(INDEX(Properties!A$1:CB$87,Formula!F3,45))+Formula!I3*(INDEX(Properties!A$1:CB$87,Formula!H3,45))+Formula!K3*(INDEX(Properties!A$1:CB$87,Formula!J3,45))</f>
        <v>6.33</v>
      </c>
      <c r="EF3" s="48">
        <f>VARP(IF(INDEX(Properties!A$1:CB$87,Formula!B3,45)&lt;&gt;"",INDEX(Properties!A$1:CB$87,Formula!B3,45)),IF(INDEX(Properties!A$1:CB$87,Formula!D3,45)&lt;&gt;"",INDEX(Properties!A$1:CB$87,Formula!D3,45)),IF(INDEX(Properties!A$1:CB$87,Formula!F3,45)&lt;&gt;"",INDEX(Properties!A$1:CB$87,Formula!F3,45)),IF(INDEX(Properties!A$1:CB$87,Formula!H3,45)&lt;&gt;"",INDEX(Properties!A$1:CB$87,Formula!H3,45)),IF(INDEX(Properties!A$1:CB$87,Formula!J3,45)&lt;&gt;"",INDEX(Properties!A$1:CB$87,Formula!J3,45)))</f>
        <v>1.3574959999999998</v>
      </c>
      <c r="EG3" s="48">
        <f>MAX(INDEX(Properties!A$1:CB$87,Formula!B3,45),INDEX(Properties!A$1:CB$87,Formula!D3,45),INDEX(Properties!A$1:CB$87,Formula!F3,45),INDEX(Properties!A$1:CB$87,Formula!H3,45),INDEX(Properties!A$1:CB$87,Formula!J3,45))</f>
        <v>2.83</v>
      </c>
      <c r="EH3" s="48">
        <f>MIN(IF(INDEX(Properties!A$1:CB$87,Formula!B3,45)=0,10^6,INDEX(Properties!A$1:CB$87,Formula!B3,45)),IF(INDEX(Properties!A$1:CB$87,Formula!D3,45)=0,10^6,INDEX(Properties!A$1:CB$87,Formula!D3,45)),IF(INDEX(Properties!A$1:CB$87,Formula!F3,45)=0,10^6,INDEX(Properties!A$1:CB$87,Formula!F3,45)),IF(INDEX(Properties!A$1:CB$87,Formula!H3,45)=0,10^6,INDEX(Properties!A$1:CB$87,Formula!H3,45)),IF(INDEX(Properties!A$1:CB$87,Formula!J3,45)=0,10^6,INDEX(Properties!A$1:CB$87,Formula!J3,45)))</f>
        <v>0.47</v>
      </c>
      <c r="EI3" s="48">
        <f t="shared" ref="EI3:EI66" si="22">ABS(EG3-EH3)</f>
        <v>2.3600000000000003</v>
      </c>
      <c r="EJ3" s="66">
        <f>((Formula!C3)/(Formula!C3+Formula!E3+Formula!G3+Formula!I3+Formula!K3))*(INDEX(Properties!A$1:CB$87,Formula!B3,46))+((Formula!E3)/(Formula!C3+Formula!E3+Formula!G3+Formula!I3+Formula!K3))*(INDEX(Properties!A$1:CB$87,Formula!D3,46))+((Formula!G3)/(Formula!C3+Formula!E3+Formula!G3+Formula!I3+Formula!K3))*(INDEX(Properties!A$1:CB$87,Formula!F3,46))+((Formula!I3)/(Formula!C3+Formula!E3+Formula!G3+Formula!I3+Formula!K3))*(INDEX(Properties!A$1:CB$87,Formula!H3,46))+((Formula!K3)/(Formula!C3+Formula!E3+Formula!G3+Formula!I3+Formula!K3))*(INDEX(Properties!A$1:CB$87,Formula!J3,46))</f>
        <v>1.196</v>
      </c>
      <c r="EK3" s="66">
        <f>Formula!C3*(INDEX(Properties!A$1:CB$87,Formula!B3,46))+Formula!E3*(INDEX(Properties!A$1:CB$87,Formula!D3,46))+Formula!G3*(INDEX(Properties!A$1:CB$87,Formula!F3,46))+Formula!I3*(INDEX(Properties!A$1:CB$87,Formula!H3,46))+Formula!K3*(INDEX(Properties!A$1:CB$87,Formula!J3,46))</f>
        <v>5.98</v>
      </c>
      <c r="EL3" s="66">
        <f>VARP(IF(INDEX(Properties!A$1:CB$87,Formula!B3,46)&lt;&gt;"",INDEX(Properties!A$1:CB$87,Formula!B3,46)),IF(INDEX(Properties!A$1:CB$87,Formula!D3,46)&lt;&gt;"",INDEX(Properties!A$1:CB$87,Formula!D3,46)),IF(INDEX(Properties!A$1:CB$87,Formula!F3,46)&lt;&gt;"",INDEX(Properties!A$1:CB$87,Formula!F3,46)),IF(INDEX(Properties!A$1:CB$87,Formula!H3,46)&lt;&gt;"",INDEX(Properties!A$1:CB$87,Formula!H3,46)),IF(INDEX(Properties!A$1:CB$87,Formula!J3,46)&lt;&gt;"",INDEX(Properties!A$1:CB$87,Formula!J3,46)))</f>
        <v>0.37781599999999999</v>
      </c>
      <c r="EM3" s="66">
        <f>MAX(INDEX(Properties!A$1:CB$87,Formula!B3,46),INDEX(Properties!A$1:CB$87,Formula!D3,46),INDEX(Properties!A$1:CB$87,Formula!F3,46),INDEX(Properties!A$1:CB$87,Formula!H3,46),INDEX(Properties!A$1:CB$87,Formula!J3,46))</f>
        <v>1.49</v>
      </c>
      <c r="EN3" s="66">
        <f>MIN(IF(INDEX(Properties!A$1:CB$87,Formula!B3,46)=0,10^6,INDEX(Properties!A$1:CB$87,Formula!B3,46)),IF(INDEX(Properties!A$1:CB$87,Formula!D3,46)=0,10^6,INDEX(Properties!A$1:CB$87,Formula!D3,46)),IF(INDEX(Properties!A$1:CB$87,Formula!F3,46)=0,10^6,INDEX(Properties!A$1:CB$87,Formula!F3,46)),IF(INDEX(Properties!A$1:CB$87,Formula!H3,46)=0,10^6,INDEX(Properties!A$1:CB$87,Formula!H3,46)),IF(INDEX(Properties!A$1:CB$87,Formula!J3,46)=0,10^6,INDEX(Properties!A$1:CB$87,Formula!J3,46)))</f>
        <v>0.86</v>
      </c>
      <c r="EO3" s="66">
        <f t="shared" ref="EO3:EO66" si="23">ABS(EM3-EN3)</f>
        <v>0.63</v>
      </c>
      <c r="EP3" s="81">
        <f>((Formula!C3)/(Formula!C3+Formula!E3+Formula!G3+Formula!I3+Formula!K3))*(INDEX(Properties!A$1:CB$87,Formula!B3,52))+((Formula!E3)/(Formula!C3+Formula!E3+Formula!G3+Formula!I3+Formula!K3))*(INDEX(Properties!A$1:CB$87,Formula!D3,52))+((Formula!G3)/(Formula!C3+Formula!E3+Formula!G3+Formula!I3+Formula!K3))*(INDEX(Properties!A$1:CB$87,Formula!F3,52))+((Formula!I3)/(Formula!C3+Formula!E3+Formula!G3+Formula!I3+Formula!K3))*(INDEX(Properties!A$1:CB$87,Formula!H3,52))+((Formula!K3)/(Formula!C3+Formula!E3+Formula!G3+Formula!I3+Formula!K3))*(INDEX(Properties!A$1:CB$87,Formula!J3,52))</f>
        <v>5.4158000000000008</v>
      </c>
      <c r="EQ3" s="81">
        <f>Formula!C3*(INDEX(Properties!A$1:CB$87,Formula!B3,52))+Formula!E3*(INDEX(Properties!A$1:CB$87,Formula!D3,52))+Formula!G3*(INDEX(Properties!A$1:CB$87,Formula!F3,52))+Formula!I3*(INDEX(Properties!A$1:CB$87,Formula!H3,52))+Formula!K3*(INDEX(Properties!A$1:CB$87,Formula!J3,52))</f>
        <v>27.079000000000001</v>
      </c>
      <c r="ER3" s="81">
        <f>VARP(IF(INDEX(Properties!A$1:CB$87,Formula!B3,52)&lt;&gt;"",INDEX(Properties!A$1:CB$87,Formula!B3,52)),IF(INDEX(Properties!A$1:CB$87,Formula!D3,52)&lt;&gt;"",INDEX(Properties!A$1:CB$87,Formula!D3,52)),IF(INDEX(Properties!A$1:CB$87,Formula!F3,52)&lt;&gt;"",INDEX(Properties!A$1:CB$87,Formula!F3,52)),IF(INDEX(Properties!A$1:CB$87,Formula!H3,52)&lt;&gt;"",INDEX(Properties!A$1:CB$87,Formula!H3,52)),IF(INDEX(Properties!A$1:CB$87,Formula!J3,52)&lt;&gt;"",INDEX(Properties!A$1:CB$87,Formula!J3,52)))</f>
        <v>47.460047840000009</v>
      </c>
      <c r="ES3" s="81">
        <f>MAX(INDEX(Properties!A$1:CB$87,Formula!B3,52),INDEX(Properties!A$1:CB$87,Formula!D3,52),INDEX(Properties!A$1:CB$87,Formula!F3,52),INDEX(Properties!A$1:CB$87,Formula!H3,52),INDEX(Properties!A$1:CB$87,Formula!J3,52))</f>
        <v>17.899999999999999</v>
      </c>
      <c r="ET3" s="81">
        <f>MIN(IF(INDEX(Properties!A$1:CB$87,Formula!B3,52)=0,10^6,INDEX(Properties!A$1:CB$87,Formula!B3,52)),IF(INDEX(Properties!A$1:CB$87,Formula!D3,52)=0,10^6,INDEX(Properties!A$1:CB$87,Formula!D3,52)),IF(INDEX(Properties!A$1:CB$87,Formula!F3,52)=0,10^6,INDEX(Properties!A$1:CB$87,Formula!F3,52)),IF(INDEX(Properties!A$1:CB$87,Formula!H3,52)=0,10^6,INDEX(Properties!A$1:CB$87,Formula!H3,52)),IF(INDEX(Properties!A$1:CB$87,Formula!J3,52)=0,10^6,INDEX(Properties!A$1:CB$87,Formula!J3,52)))</f>
        <v>0.79300000000000004</v>
      </c>
      <c r="EU3" s="81">
        <f t="shared" ref="EU3:EU66" si="24">ABS(ES3-ET3)</f>
        <v>17.106999999999999</v>
      </c>
      <c r="EV3" s="39">
        <f>((Formula!C3)/(Formula!C3+Formula!E3+Formula!G3+Formula!I3+Formula!K3))*(INDEX(Properties!A$1:CB$87,Formula!B3,53))+((Formula!E3)/(Formula!C3+Formula!E3+Formula!G3+Formula!I3+Formula!K3))*(INDEX(Properties!A$1:CB$87,Formula!D3,53))+((Formula!G3)/(Formula!C3+Formula!E3+Formula!G3+Formula!I3+Formula!K3))*(INDEX(Properties!A$1:CB$87,Formula!F3,53))+((Formula!I3)/(Formula!C3+Formula!E3+Formula!G3+Formula!I3+Formula!K3))*(INDEX(Properties!A$1:CB$87,Formula!H3,53))+((Formula!K3)/(Formula!C3+Formula!E3+Formula!G3+Formula!I3+Formula!K3))*(INDEX(Properties!A$1:CB$87,Formula!J3,53))</f>
        <v>578.0100000000001</v>
      </c>
      <c r="EW3" s="39">
        <f>Formula!C3*(INDEX(Properties!A$1:CB$87,Formula!B3,53))+Formula!E3*(INDEX(Properties!A$1:CB$87,Formula!D3,53))+Formula!G3*(INDEX(Properties!A$1:CB$87,Formula!F3,53))+Formula!I3*(INDEX(Properties!A$1:CB$87,Formula!H3,53))+Formula!K3*(INDEX(Properties!A$1:CB$87,Formula!J3,53))</f>
        <v>2890.05</v>
      </c>
      <c r="EX3" s="39">
        <f>VARP(IF(INDEX(Properties!A$1:CB$87,Formula!B3,53)&lt;&gt;"",INDEX(Properties!A$1:CB$87,Formula!B3,53)),IF(INDEX(Properties!A$1:CB$87,Formula!D3,53)&lt;&gt;"",INDEX(Properties!A$1:CB$87,Formula!D3,53)),IF(INDEX(Properties!A$1:CB$87,Formula!F3,53)&lt;&gt;"",INDEX(Properties!A$1:CB$87,Formula!F3,53)),IF(INDEX(Properties!A$1:CB$87,Formula!H3,53)&lt;&gt;"",INDEX(Properties!A$1:CB$87,Formula!H3,53)),IF(INDEX(Properties!A$1:CB$87,Formula!J3,53)&lt;&gt;"",INDEX(Properties!A$1:CB$87,Formula!J3,53)))</f>
        <v>666749.76939999999</v>
      </c>
      <c r="EY3" s="39">
        <f>MAX(INDEX(Properties!A$1:CB$87,Formula!B3,53),INDEX(Properties!A$1:CB$87,Formula!D3,53),INDEX(Properties!A$1:CB$87,Formula!F3,53),INDEX(Properties!A$1:CB$87,Formula!H3,53),INDEX(Properties!A$1:CB$87,Formula!J3,53))</f>
        <v>2125.15</v>
      </c>
      <c r="EZ3" s="39">
        <f>MIN(IF(INDEX(Properties!A$1:CB$87,Formula!B3,53)=0,10^6,INDEX(Properties!A$1:CB$87,Formula!B3,53)),IF(INDEX(Properties!A$1:CB$87,Formula!D3,53)=0,10^6,INDEX(Properties!A$1:CB$87,Formula!D3,53)),IF(INDEX(Properties!A$1:CB$87,Formula!F3,53)=0,10^6,INDEX(Properties!A$1:CB$87,Formula!F3,53)),IF(INDEX(Properties!A$1:CB$87,Formula!H3,53)=0,10^6,INDEX(Properties!A$1:CB$87,Formula!H3,53)),IF(INDEX(Properties!A$1:CB$87,Formula!J3,53)=0,10^6,INDEX(Properties!A$1:CB$87,Formula!J3,53)))</f>
        <v>54.749999999999972</v>
      </c>
      <c r="FA3" s="39">
        <f t="shared" ref="FA3:FA66" si="25">ABS(EY3-EZ3)</f>
        <v>2070.4</v>
      </c>
      <c r="FB3" s="54">
        <f>((Formula!C3)/(Formula!C3+Formula!E3+Formula!G3+Formula!I3+Formula!K3))*(INDEX(Properties!A$1:CB$87,Formula!B3,54))+((Formula!E3)/(Formula!C3+Formula!E3+Formula!G3+Formula!I3+Formula!K3))*(INDEX(Properties!A$1:CB$87,Formula!D3,54))+((Formula!G3)/(Formula!C3+Formula!E3+Formula!G3+Formula!I3+Formula!K3))*(INDEX(Properties!A$1:CB$87,Formula!F3,54))+((Formula!I3)/(Formula!C3+Formula!E3+Formula!G3+Formula!I3+Formula!K3))*(INDEX(Properties!A$1:CB$87,Formula!H3,54))+((Formula!K3)/(Formula!C3+Formula!E3+Formula!G3+Formula!I3+Formula!K3))*(INDEX(Properties!A$1:CB$87,Formula!J3,54))</f>
        <v>1386.75</v>
      </c>
      <c r="FC3" s="54">
        <f>Formula!C3*(INDEX(Properties!A$1:CB$87,Formula!B3,54))+Formula!E3*(INDEX(Properties!A$1:CB$87,Formula!D3,54))+Formula!G3*(INDEX(Properties!A$1:CB$87,Formula!F3,54))+Formula!I3*(INDEX(Properties!A$1:CB$87,Formula!H3,54))+Formula!K3*(INDEX(Properties!A$1:CB$87,Formula!J3,54))</f>
        <v>6933.7499999999991</v>
      </c>
      <c r="FD3" s="54">
        <f>VARP(IF(INDEX(Properties!A$1:CB$87,Formula!B3,54)&lt;&gt;"",INDEX(Properties!A$1:CB$87,Formula!B3,54)),IF(INDEX(Properties!A$1:CB$87,Formula!D3,54)&lt;&gt;"",INDEX(Properties!A$1:CB$87,Formula!D3,54)),IF(INDEX(Properties!A$1:CB$87,Formula!F3,54)&lt;&gt;"",INDEX(Properties!A$1:CB$87,Formula!F3,54)),IF(INDEX(Properties!A$1:CB$87,Formula!H3,54)&lt;&gt;"",INDEX(Properties!A$1:CB$87,Formula!H3,54)),IF(INDEX(Properties!A$1:CB$87,Formula!J3,54)&lt;&gt;"",INDEX(Properties!A$1:CB$87,Formula!J3,54)))</f>
        <v>3312595.5174000002</v>
      </c>
      <c r="FE3" s="54">
        <f>MAX(INDEX(Properties!A$1:CB$87,Formula!B3,54),INDEX(Properties!A$1:CB$87,Formula!D3,54),INDEX(Properties!A$1:CB$87,Formula!F3,54),INDEX(Properties!A$1:CB$87,Formula!H3,54),INDEX(Properties!A$1:CB$87,Formula!J3,54))</f>
        <v>4650.1499999999996</v>
      </c>
      <c r="FF3" s="54">
        <f>MIN(IF(INDEX(Properties!A$1:CB$87,Formula!B3,54)=0,10^6,INDEX(Properties!A$1:CB$87,Formula!B3,54)),IF(INDEX(Properties!A$1:CB$87,Formula!D3,54)=0,10^6,INDEX(Properties!A$1:CB$87,Formula!D3,54)),IF(INDEX(Properties!A$1:CB$87,Formula!F3,54)=0,10^6,INDEX(Properties!A$1:CB$87,Formula!F3,54)),IF(INDEX(Properties!A$1:CB$87,Formula!H3,54)=0,10^6,INDEX(Properties!A$1:CB$87,Formula!H3,54)),IF(INDEX(Properties!A$1:CB$87,Formula!J3,54)=0,10^6,INDEX(Properties!A$1:CB$87,Formula!J3,54)))</f>
        <v>90.149999999999977</v>
      </c>
      <c r="FG3" s="54">
        <f t="shared" ref="FG3:FG66" si="26">ABS(FE3-FF3)</f>
        <v>4560</v>
      </c>
      <c r="FH3" s="69">
        <f>((Formula!C3)/(Formula!C3+Formula!E3+Formula!G3+Formula!I3+Formula!K3))*(INDEX(Properties!A$1:CB$87,Formula!B3,55))+((Formula!E3)/(Formula!C3+Formula!E3+Formula!G3+Formula!I3+Formula!K3))*(INDEX(Properties!A$1:CB$87,Formula!D3,55))+((Formula!G3)/(Formula!C3+Formula!E3+Formula!G3+Formula!I3+Formula!K3))*(INDEX(Properties!A$1:CB$87,Formula!F3,55))+((Formula!I3)/(Formula!C3+Formula!E3+Formula!G3+Formula!I3+Formula!K3))*(INDEX(Properties!A$1:CB$87,Formula!H3,55))+((Formula!K3)/(Formula!C3+Formula!E3+Formula!G3+Formula!I3+Formula!K3))*(INDEX(Properties!A$1:CB$87,Formula!J3,55))</f>
        <v>3.5828580000000003</v>
      </c>
      <c r="FI3" s="69">
        <f>Formula!C3*(INDEX(Properties!A$1:CB$87,Formula!B3,55))+Formula!E3*(INDEX(Properties!A$1:CB$87,Formula!D3,54))+Formula!G3*(INDEX(Properties!A$1:CB$87,Formula!F3,55))+Formula!I3*(INDEX(Properties!A$1:CB$87,Formula!H3,55))+Formula!K3*(INDEX(Properties!A$1:CB$87,Formula!J3,55))</f>
        <v>4661.5542899999991</v>
      </c>
      <c r="FJ3" s="69">
        <f>VARP(IF(INDEX(Properties!A$1:CB$87,Formula!B3,55)&lt;&gt;"",INDEX(Properties!A$1:CB$87,Formula!B3,55)),IF(INDEX(Properties!A$1:CB$87,Formula!D3,55)&lt;&gt;"",INDEX(Properties!A$1:CB$87,Formula!D3,55)),IF(INDEX(Properties!A$1:CB$87,Formula!F3,55)&lt;&gt;"",INDEX(Properties!A$1:CB$87,Formula!F3,55)),IF(INDEX(Properties!A$1:CB$87,Formula!H3,55)&lt;&gt;"",INDEX(Properties!A$1:CB$87,Formula!H3,55)),IF(INDEX(Properties!A$1:CB$87,Formula!J3,55)&lt;&gt;"",INDEX(Properties!A$1:CB$87,Formula!J3,55)))</f>
        <v>21.635247423184001</v>
      </c>
      <c r="FK3" s="69">
        <f>MAX(INDEX(Properties!A$1:CB$87,Formula!B3,55),INDEX(Properties!A$1:CB$87,Formula!D3,55),INDEX(Properties!A$1:CB$87,Formula!F3,55),INDEX(Properties!A$1:CB$87,Formula!H3,55),INDEX(Properties!A$1:CB$87,Formula!J3,55))</f>
        <v>11.4</v>
      </c>
      <c r="FL3" s="69">
        <f>MIN(IF(INDEX(Properties!A$1:CB$87,Formula!B3,55)=0,10^6,INDEX(Properties!A$1:CB$87,Formula!B3,55)),IF(INDEX(Properties!A$1:CB$87,Formula!D3,55)=0,10^6,INDEX(Properties!A$1:CB$87,Formula!D3,55)),IF(INDEX(Properties!A$1:CB$87,Formula!F3,55)=0,10^6,INDEX(Properties!A$1:CB$87,Formula!F3,55)),IF(INDEX(Properties!A$1:CB$87,Formula!H3,55)=0,10^6,INDEX(Properties!A$1:CB$87,Formula!H3,55)),IF(INDEX(Properties!A$1:CB$87,Formula!J3,55)=0,10^6,INDEX(Properties!A$1:CB$87,Formula!J3,55)))</f>
        <v>1.4300000000000001E-3</v>
      </c>
      <c r="FM3" s="69">
        <f t="shared" ref="FM3:FM66" si="27">ABS(FK3-FL3)</f>
        <v>11.398570000000001</v>
      </c>
      <c r="FN3" s="42">
        <f>((Formula!C3)/(Formula!C3+Formula!E3+Formula!G3+Formula!I3+Formula!K3))*(INDEX(Properties!A$1:CB$87,Formula!B3,56))+((Formula!E3)/(Formula!C3+Formula!E3+Formula!G3+Formula!I3+Formula!K3))*(INDEX(Properties!A$1:CB$87,Formula!D3,56))+((Formula!G3)/(Formula!C3+Formula!E3+Formula!G3+Formula!I3+Formula!K3))*(INDEX(Properties!A$1:CB$87,Formula!F3,56))+((Formula!I3)/(Formula!C3+Formula!E3+Formula!G3+Formula!I3+Formula!K3))*(INDEX(Properties!A$1:CB$87,Formula!H3,56))+((Formula!K3)/(Formula!C3+Formula!E3+Formula!G3+Formula!I3+Formula!K3))*(INDEX(Properties!A$1:CB$87,Formula!J3,56))</f>
        <v>0.63200000000000012</v>
      </c>
      <c r="FO3" s="42">
        <f>Formula!C3*(INDEX(Properties!A$1:CB$87,Formula!B3,56))+Formula!E3*(INDEX(Properties!A$1:CB$87,Formula!D3,56))+Formula!G3*(INDEX(Properties!A$1:CB$87,Formula!F3,56))+Formula!I3*(INDEX(Properties!A$1:CB$87,Formula!H3,56))+Formula!K3*(INDEX(Properties!A$1:CB$87,Formula!J3,56))</f>
        <v>3.16</v>
      </c>
      <c r="FP3" s="42">
        <f>VARP(IF(INDEX(Properties!A$1:CB$87,Formula!B3,56)&lt;&gt;"",INDEX(Properties!A$1:CB$87,Formula!B3,56)),IF(INDEX(Properties!A$1:CB$87,Formula!D3,56)&lt;&gt;"",INDEX(Properties!A$1:CB$87,Formula!D3,56)),IF(INDEX(Properties!A$1:CB$87,Formula!F3,56)&lt;&gt;"",INDEX(Properties!A$1:CB$87,Formula!F3,56)),IF(INDEX(Properties!A$1:CB$87,Formula!H3,56)&lt;&gt;"",INDEX(Properties!A$1:CB$87,Formula!H3,56)),IF(INDEX(Properties!A$1:CB$87,Formula!J3,56)&lt;&gt;"",INDEX(Properties!A$1:CB$87,Formula!J3,56)))</f>
        <v>0.11754400000000001</v>
      </c>
      <c r="FQ3" s="42">
        <f>MAX(INDEX(Properties!A$1:CB$87,Formula!B3,56),INDEX(Properties!A$1:CB$87,Formula!D3,56),INDEX(Properties!A$1:CB$87,Formula!F3,56),INDEX(Properties!A$1:CB$87,Formula!H3,56),INDEX(Properties!A$1:CB$87,Formula!J3,56))</f>
        <v>0.92</v>
      </c>
      <c r="FR3" s="42">
        <f>MIN(IF(INDEX(Properties!A$1:CB$87,Formula!B3,56)=0,10^6,INDEX(Properties!A$1:CB$87,Formula!B3,56)),IF(INDEX(Properties!A$1:CB$87,Formula!D3,56)=0,10^6,INDEX(Properties!A$1:CB$87,Formula!D3,56)),IF(INDEX(Properties!A$1:CB$87,Formula!F3,56)=0,10^6,INDEX(Properties!A$1:CB$87,Formula!F3,56)),IF(INDEX(Properties!A$1:CB$87,Formula!H3,56)=0,10^6,INDEX(Properties!A$1:CB$87,Formula!H3,56)),IF(INDEX(Properties!A$1:CB$87,Formula!J3,56)=0,10^6,INDEX(Properties!A$1:CB$87,Formula!J3,56)))</f>
        <v>0.13</v>
      </c>
      <c r="FS3" s="42">
        <f t="shared" ref="FS3:FS66" si="28">ABS(FQ3-FR3)</f>
        <v>0.79</v>
      </c>
      <c r="FT3" s="60">
        <f>((Formula!C3)/(Formula!C3+Formula!E3+Formula!G3+Formula!I3+Formula!K3))*(INDEX(Properties!A$1:CB$87,Formula!B3,57))+((Formula!E3)/(Formula!C3+Formula!E3+Formula!G3+Formula!I3+Formula!K3))*(INDEX(Properties!A$1:CB$87,Formula!D3,57))+((Formula!G3)/(Formula!C3+Formula!E3+Formula!G3+Formula!I3+Formula!K3))*(INDEX(Properties!A$1:CB$87,Formula!F3,57))+((Formula!I3)/(Formula!C3+Formula!E3+Formula!G3+Formula!I3+Formula!K3))*(INDEX(Properties!A$1:CB$87,Formula!H3,57))+((Formula!K3)/(Formula!C3+Formula!E3+Formula!G3+Formula!I3+Formula!K3))*(INDEX(Properties!A$1:CB$87,Formula!J3,57))</f>
        <v>4.4733540000000005</v>
      </c>
      <c r="FU3" s="60">
        <f>Formula!C3*(INDEX(Properties!A$1:CB$87,Formula!B3,57))+Formula!E3*(INDEX(Properties!A$1:CB$87,Formula!D3,57))+Formula!G3*(INDEX(Properties!A$1:CB$87,Formula!F3,57))+Formula!I3*(INDEX(Properties!A$1:CB$87,Formula!H3,57))+Formula!K3*(INDEX(Properties!A$1:CB$87,Formula!J3,57))</f>
        <v>22.366769999999999</v>
      </c>
      <c r="FV3" s="60">
        <f>VARP(IF(INDEX(Properties!A$1:CB$87,Formula!B3,57)&lt;&gt;"",INDEX(Properties!A$1:CB$87,Formula!B3,57)),IF(INDEX(Properties!A$1:CB$87,Formula!D3,57)&lt;&gt;"",INDEX(Properties!A$1:CB$87,Formula!D3,57)),IF(INDEX(Properties!A$1:CB$87,Formula!F3,57)&lt;&gt;"",INDEX(Properties!A$1:CB$87,Formula!F3,57)),IF(INDEX(Properties!A$1:CB$87,Formula!H3,57)&lt;&gt;"",INDEX(Properties!A$1:CB$87,Formula!H3,57)),IF(INDEX(Properties!A$1:CB$87,Formula!J3,57)&lt;&gt;"",INDEX(Properties!A$1:CB$87,Formula!J3,57)))</f>
        <v>42.515745136495987</v>
      </c>
      <c r="FW3" s="60">
        <f>MAX(INDEX(Properties!A$1:CB$87,Formula!B3,57),INDEX(Properties!A$1:CB$87,Formula!D3,57),INDEX(Properties!A$1:CB$87,Formula!F3,57),INDEX(Properties!A$1:CB$87,Formula!H3,57),INDEX(Properties!A$1:CB$87,Formula!J3,57))</f>
        <v>16.899999999999999</v>
      </c>
      <c r="FX3" s="60">
        <f>MIN(IF(INDEX(Properties!A$1:CB$87,Formula!B3,57)=0,10^6,INDEX(Properties!A$1:CB$87,Formula!B3,57)),IF(INDEX(Properties!A$1:CB$87,Formula!D3,57)=0,10^6,INDEX(Properties!A$1:CB$87,Formula!D3,57)),IF(INDEX(Properties!A$1:CB$87,Formula!F3,57)=0,10^6,INDEX(Properties!A$1:CB$87,Formula!F3,57)),IF(INDEX(Properties!A$1:CB$87,Formula!H3,57)=0,10^6,INDEX(Properties!A$1:CB$87,Formula!H3,57)),IF(INDEX(Properties!A$1:CB$87,Formula!J3,57)=0,10^6,INDEX(Properties!A$1:CB$87,Formula!J3,57)))</f>
        <v>0.22259000000000001</v>
      </c>
      <c r="FY3" s="60">
        <f t="shared" ref="FY3:FY66" si="29">ABS(FW3-FX3)</f>
        <v>16.677409999999998</v>
      </c>
      <c r="FZ3" s="72">
        <f>((Formula!C3)/(Formula!C3+Formula!E3+Formula!G3+Formula!I3+Formula!K3))*(INDEX(Properties!A$1:CB$87,Formula!B3,60))+((Formula!E3)/(Formula!C3+Formula!E3+Formula!G3+Formula!I3+Formula!K3))*(INDEX(Properties!A$1:CB$87,Formula!D3,60))+((Formula!G3)/(Formula!C3+Formula!E3+Formula!G3+Formula!I3+Formula!K3))*(INDEX(Properties!A$1:CB$87,Formula!F3,60))+((Formula!I3)/(Formula!C3+Formula!E3+Formula!G3+Formula!I3+Formula!K3))*(INDEX(Properties!A$1:CB$87,Formula!H3,60))+((Formula!K3)/(Formula!C3+Formula!E3+Formula!G3+Formula!I3+Formula!K3))*(INDEX(Properties!A$1:CB$87,Formula!J3,60))</f>
        <v>11.616044</v>
      </c>
      <c r="GA3" s="72">
        <f>Formula!C3*(INDEX(Properties!A$1:CB$87,Formula!B3,60))+Formula!E3*(INDEX(Properties!A$1:CB$87,Formula!D3,60))+Formula!G3*(INDEX(Properties!A$1:CB$87,Formula!F3,60))+Formula!I3*(INDEX(Properties!A$1:CB$87,Formula!H3,60))+Formula!K3*(INDEX(Properties!A$1:CB$87,Formula!J3,60))</f>
        <v>58.080219999999997</v>
      </c>
      <c r="GB3" s="72">
        <f>VARP(IF(INDEX(Properties!A$1:CB$87,Formula!B3,60)&lt;&gt;"",INDEX(Properties!A$1:CB$87,Formula!B3,60)),IF(INDEX(Properties!A$1:CB$87,Formula!D3,60)&lt;&gt;"",INDEX(Properties!A$1:CB$87,Formula!D3,60)),IF(INDEX(Properties!A$1:CB$87,Formula!F3,60)&lt;&gt;"",INDEX(Properties!A$1:CB$87,Formula!F3,60)),IF(INDEX(Properties!A$1:CB$87,Formula!H3,60)&lt;&gt;"",INDEX(Properties!A$1:CB$87,Formula!H3,60)),IF(INDEX(Properties!A$1:CB$87,Formula!J3,60)&lt;&gt;"",INDEX(Properties!A$1:CB$87,Formula!J3,60)))</f>
        <v>217.59204080441603</v>
      </c>
      <c r="GC3" s="72">
        <f>MAX(INDEX(Properties!A$1:CB$87,Formula!B3,60),INDEX(Properties!A$1:CB$87,Formula!D3,60),INDEX(Properties!A$1:CB$87,Formula!F3,60),INDEX(Properties!A$1:CB$87,Formula!H3,60),INDEX(Properties!A$1:CB$87,Formula!J3,60))</f>
        <v>35.299999999999997</v>
      </c>
      <c r="GD3" s="72">
        <f>MIN(IF(INDEX(Properties!A$1:CB$87,Formula!B3,60)=0,10^6,INDEX(Properties!A$1:CB$87,Formula!B3,60)),IF(INDEX(Properties!A$1:CB$87,Formula!D3,60)=0,10^6,INDEX(Properties!A$1:CB$87,Formula!D3,60)),IF(INDEX(Properties!A$1:CB$87,Formula!F3,60)=0,10^6,INDEX(Properties!A$1:CB$87,Formula!F3,60)),IF(INDEX(Properties!A$1:CB$87,Formula!H3,60)=0,10^6,INDEX(Properties!A$1:CB$87,Formula!H3,60)),IF(INDEX(Properties!A$1:CB$87,Formula!J3,60)=0,10^6,INDEX(Properties!A$1:CB$87,Formula!J3,60)))</f>
        <v>2.674E-2</v>
      </c>
      <c r="GE3" s="72">
        <f t="shared" ref="GE3:GE66" si="30">ABS(GC3-GD3)</f>
        <v>35.273260000000001</v>
      </c>
      <c r="GF3" s="51">
        <f>((Formula!C3)/(Formula!C3+Formula!E3+Formula!G3+Formula!I3+Formula!K3))*(INDEX(Properties!A$1:CB$87,Formula!B3,62))+((Formula!E3)/(Formula!C3+Formula!E3+Formula!G3+Formula!I3+Formula!K3))*(INDEX(Properties!A$1:CB$87,Formula!D3,62))+((Formula!G3)/(Formula!C3+Formula!E3+Formula!G3+Formula!I3+Formula!K3))*(INDEX(Properties!A$1:CB$87,Formula!F3,62))+((Formula!I3)/(Formula!C3+Formula!E3+Formula!G3+Formula!I3+Formula!K3))*(INDEX(Properties!A$1:CB$87,Formula!H3,62))+((Formula!K3)/(Formula!C3+Formula!E3+Formula!G3+Formula!I3+Formula!K3))*(INDEX(Properties!A$1:CB$87,Formula!J3,62))</f>
        <v>3.2279999999999998</v>
      </c>
      <c r="GG3" s="51">
        <f>Formula!C3*(INDEX(Properties!A$1:CB$87,Formula!B3,62))+Formula!E3*(INDEX(Properties!A$1:CB$87,Formula!D3,62))+Formula!G3*(INDEX(Properties!A$1:CB$87,Formula!F3,62))+Formula!I3*(INDEX(Properties!A$1:CB$87,Formula!H3,62))+Formula!K3*(INDEX(Properties!A$1:CB$87,Formula!J3,62))</f>
        <v>16.14</v>
      </c>
      <c r="GH3" s="51">
        <f>VARP(IF(INDEX(Properties!A$1:CB$87,Formula!B3,62)&lt;&gt;"",INDEX(Properties!A$1:CB$87,Formula!B3,62)),IF(INDEX(Properties!A$1:CB$87,Formula!D3,62)&lt;&gt;"",INDEX(Properties!A$1:CB$87,Formula!D3,62)),IF(INDEX(Properties!A$1:CB$87,Formula!F3,62)&lt;&gt;"",INDEX(Properties!A$1:CB$87,Formula!F3,62)),IF(INDEX(Properties!A$1:CB$87,Formula!H3,62)&lt;&gt;"",INDEX(Properties!A$1:CB$87,Formula!H3,62)),IF(INDEX(Properties!A$1:CB$87,Formula!J3,62)&lt;&gt;"",INDEX(Properties!A$1:CB$87,Formula!J3,62)))</f>
        <v>5.2571600000000016</v>
      </c>
      <c r="GI3" s="51">
        <f>MAX(INDEX(Properties!A$1:CB$87,Formula!B3,62),INDEX(Properties!A$1:CB$87,Formula!D3,62),INDEX(Properties!A$1:CB$87,Formula!F3,62),INDEX(Properties!A$1:CB$87,Formula!H3,62),INDEX(Properties!A$1:CB$87,Formula!J3,62))</f>
        <v>6.25</v>
      </c>
      <c r="GJ3" s="51">
        <f>MIN(IF(INDEX(Properties!A$1:CB$87,Formula!B3,62)=0,10^6,INDEX(Properties!A$1:CB$87,Formula!B3,62)),IF(INDEX(Properties!A$1:CB$87,Formula!D3,62)=0,10^6,INDEX(Properties!A$1:CB$87,Formula!D3,62)),IF(INDEX(Properties!A$1:CB$87,Formula!F3,62)=0,10^6,INDEX(Properties!A$1:CB$87,Formula!F3,62)),IF(INDEX(Properties!A$1:CB$87,Formula!H3,62)=0,10^6,INDEX(Properties!A$1:CB$87,Formula!H3,62)),IF(INDEX(Properties!A$1:CB$87,Formula!J3,62)=0,10^6,INDEX(Properties!A$1:CB$87,Formula!J3,62)))</f>
        <v>2.0299999999999998</v>
      </c>
      <c r="GK3" s="51">
        <f t="shared" ref="GK3:GK66" si="31">ABS(GI3-GJ3)</f>
        <v>4.2200000000000006</v>
      </c>
      <c r="GL3" s="51">
        <f>Formula!P3</f>
        <v>55</v>
      </c>
      <c r="GM3" s="57">
        <f>Formula!O3</f>
        <v>3</v>
      </c>
      <c r="GN3" s="51">
        <f>Formula!N3</f>
        <v>7.0000000000000007E-2</v>
      </c>
    </row>
    <row r="4" spans="1:196" s="5" customFormat="1" x14ac:dyDescent="0.3">
      <c r="A4" s="84" t="str">
        <f>Formula!A4</f>
        <v>Ca3Al2O6</v>
      </c>
      <c r="B4" s="89">
        <f>((Formula!C4)/(Formula!C4+Formula!E4+Formula!G4+Formula!I4+Formula!K4))*(INDEX(Properties!A$1:CB$87,Formula!B4,3))+((Formula!E4)/(Formula!C4+Formula!E4+Formula!G4+Formula!I4+Formula!K4))*(INDEX(Properties!A$1:CB$87,Formula!D4,3))+((Formula!G4)/(Formula!C4+Formula!E4+Formula!G4+Formula!I4+Formula!K4))*(INDEX(Properties!A$1:CB$87,Formula!F4,3))+((Formula!I4)/(Formula!C4+Formula!E4+Formula!G4+Formula!I4+Formula!K4))*(INDEX(Properties!A$1:CB$87,Formula!H4,3))+((Formula!K4)/(Formula!C4+Formula!E4+Formula!G4+Formula!I4+Formula!K4))*(INDEX(Properties!A$1:CB$87,Formula!J4,3))</f>
        <v>24.563043454545458</v>
      </c>
      <c r="C4" s="85">
        <f>Formula!C4*(INDEX(Properties!A$1:CB$87,Formula!B4,3))+Formula!E4*(INDEX(Properties!A$1:CB$87,Formula!D4,3))+Formula!G4*(INDEX(Properties!A$1:CB$87,Formula!F4,3))+Formula!I4*(INDEX(Properties!A$1:CB$87,Formula!H4,3))+Formula!K4*(INDEX(Properties!A$1:CB$87,Formula!J4,3))</f>
        <v>270.19347800000003</v>
      </c>
      <c r="D4" s="85">
        <f>VARP(IF(INDEX(Properties!A$1:CB$87,Formula!B4,3)&lt;&gt;"",INDEX(Properties!A$1:CB$87,Formula!B4,3)),IF(INDEX(Properties!A$1:CB$87,Formula!D4,3)&lt;&gt;"",INDEX(Properties!A$1:CB$87,Formula!D4,3)),IF(INDEX(Properties!A$1:CB$87,Formula!F4,3)&lt;&gt;"",INDEX(Properties!A$1:CB$87,Formula!F4,3)),IF(INDEX(Properties!A$1:CB$87,Formula!H4,3)&lt;&gt;"",INDEX(Properties!A$1:CB$87,Formula!H4,3)),IF(INDEX(Properties!A$1:CB$87,Formula!J4,3)&lt;&gt;"",INDEX(Properties!A$1:CB$87,Formula!J4,3)))</f>
        <v>242.09457232147545</v>
      </c>
      <c r="E4" s="85">
        <f>MAX(INDEX(Properties!A$1:CB$87,Formula!B4,3),INDEX(Properties!A$1:CB$87,Formula!D4,3),INDEX(Properties!A$1:CB$87,Formula!F4,3),INDEX(Properties!A$1:CB$87,Formula!H4,3),INDEX(Properties!A$1:CB$87,Formula!J4,3))</f>
        <v>40.078000000000003</v>
      </c>
      <c r="F4" s="85">
        <f>MIN(IF(INDEX(Properties!A$1:CB$87,Formula!B4,3)=0,10^6,INDEX(Properties!A$1:CB$87,Formula!B4,3)),IF(INDEX(Properties!A$1:CB$87,Formula!D4,3)=0,10^6,INDEX(Properties!A$1:CB$87,Formula!D4,3)),IF(INDEX(Properties!A$1:CB$87,Formula!F4,3)=0,10^6,INDEX(Properties!A$1:CB$87,Formula!F4,3)),IF(INDEX(Properties!A$1:CB$87,Formula!H4,3)=0,10^6,INDEX(Properties!A$1:CB$87,Formula!H4,3)),IF(INDEX(Properties!A$1:CB$87,Formula!J4,3)=0,10^6,INDEX(Properties!A$1:CB$87,Formula!J4,3)))</f>
        <v>15.9994</v>
      </c>
      <c r="G4" s="85">
        <f t="shared" si="0"/>
        <v>24.078600000000002</v>
      </c>
      <c r="H4" s="87">
        <f>((Formula!C4)/(Formula!C4+Formula!E4+Formula!G4+Formula!I4+Formula!K4))*(INDEX(Properties!A$1:CB$87,Formula!B4,4))+((Formula!E4)/(Formula!C4+Formula!E4+Formula!G4+Formula!I4+Formula!K4))*(INDEX(Properties!A$1:CB$87,Formula!D4,4))+((Formula!G4)/(Formula!C4+Formula!E4+Formula!G4+Formula!I4+Formula!K4))*(INDEX(Properties!A$1:CB$87,Formula!F4,4))+((Formula!I4)/(Formula!C4+Formula!E4+Formula!G4+Formula!I4+Formula!K4))*(INDEX(Properties!A$1:CB$87,Formula!H4,4))+((Formula!K4)/(Formula!C4+Formula!E4+Formula!G4+Formula!I4+Formula!K4))*(INDEX(Properties!A$1:CB$87,Formula!J4,4))</f>
        <v>12.181818181818182</v>
      </c>
      <c r="I4" s="87">
        <f>Formula!C4*(INDEX(Properties!A$1:CB$87,Formula!B4,4))+Formula!E4*(INDEX(Properties!A$1:CB$87,Formula!D4,4))+Formula!G4*(INDEX(Properties!A$1:CB$87,Formula!F4,4))+Formula!I4*(INDEX(Properties!A$1:CB$87,Formula!H4,4))+Formula!K4*(INDEX(Properties!A$1:CB$87,Formula!J4,4))</f>
        <v>134</v>
      </c>
      <c r="J4" s="87">
        <f>VARP(IF(INDEX(Properties!A$1:CB$87,Formula!B4,4)&lt;&gt;"",INDEX(Properties!A$1:CB$87,Formula!B4,4)),IF(INDEX(Properties!A$1:CB$87,Formula!D4,4)&lt;&gt;"",INDEX(Properties!A$1:CB$87,Formula!D4,4)),IF(INDEX(Properties!A$1:CB$87,Formula!F4,4)&lt;&gt;"",INDEX(Properties!A$1:CB$87,Formula!F4,4)),IF(INDEX(Properties!A$1:CB$87,Formula!H4,4)&lt;&gt;"",INDEX(Properties!A$1:CB$87,Formula!H4,4)),IF(INDEX(Properties!A$1:CB$87,Formula!J4,4)&lt;&gt;"",INDEX(Properties!A$1:CB$87,Formula!J4,4)))</f>
        <v>59.36</v>
      </c>
      <c r="K4" s="87">
        <f>MAX(INDEX(Properties!A$1:CB$87,Formula!B4,4),INDEX(Properties!A$1:CB$87,Formula!D4,4),INDEX(Properties!A$1:CB$87,Formula!F4,4),INDEX(Properties!A$1:CB$87,Formula!H4,4),INDEX(Properties!A$1:CB$87,Formula!J4,4))</f>
        <v>20</v>
      </c>
      <c r="L4" s="87">
        <f>MIN(IF(INDEX(Properties!A$1:CB$87,Formula!B4,4)=0,10^6,INDEX(Properties!A$1:CB$87,Formula!B4,4)),IF(INDEX(Properties!A$1:CB$87,Formula!D4,4)=0,10^6,INDEX(Properties!A$1:CB$87,Formula!D4,4)),IF(INDEX(Properties!A$1:CB$87,Formula!F4,4)=0,10^6,INDEX(Properties!A$1:CB$87,Formula!F4,4)),IF(INDEX(Properties!A$1:CB$87,Formula!H4,4)=0,10^6,INDEX(Properties!A$1:CB$87,Formula!H4,4)),IF(INDEX(Properties!A$1:CB$87,Formula!J4,4)=0,10^6,INDEX(Properties!A$1:CB$87,Formula!J4,4)))</f>
        <v>8</v>
      </c>
      <c r="M4" s="87">
        <f t="shared" si="1"/>
        <v>12</v>
      </c>
      <c r="N4" s="89">
        <f>((Formula!C4)/(Formula!C4+Formula!E4+Formula!G4+Formula!I4+Formula!K4))*(INDEX(Properties!A$1:CB$87,Formula!B4,5))+((Formula!E4)/(Formula!C4+Formula!E4+Formula!G4+Formula!I4+Formula!K4))*(INDEX(Properties!A$1:CB$87,Formula!D4,5))+((Formula!G4)/(Formula!C4+Formula!E4+Formula!G4+Formula!I4+Formula!K4))*(INDEX(Properties!A$1:CB$87,Formula!F4,5))+((Formula!I4)/(Formula!C4+Formula!E4+Formula!G4+Formula!I4+Formula!K4))*(INDEX(Properties!A$1:CB$87,Formula!H4,5))+((Formula!K4)/(Formula!C4+Formula!E4+Formula!G4+Formula!I4+Formula!K4))*(INDEX(Properties!A$1:CB$87,Formula!J4,5))</f>
        <v>2.7272727272727271</v>
      </c>
      <c r="O4" s="89">
        <f>Formula!C4*(INDEX(Properties!A$1:CB$87,Formula!B4,5))+Formula!E4*(INDEX(Properties!A$1:CB$87,Formula!D4,5))+Formula!G4*(INDEX(Properties!A$1:CB$87,Formula!F4,5))+Formula!I4*(INDEX(Properties!A$1:CB$87,Formula!H4,5))+Formula!K4*(INDEX(Properties!A$1:CB$87,Formula!J4,5))</f>
        <v>30</v>
      </c>
      <c r="P4" s="89">
        <f>VARP(IF(INDEX(Properties!A$1:CB$87,Formula!B4,5)&lt;&gt;"",INDEX(Properties!A$1:CB$87,Formula!B4,5)),IF(INDEX(Properties!A$1:CB$87,Formula!D4,5)&lt;&gt;"",INDEX(Properties!A$1:CB$87,Formula!D4,5)),IF(INDEX(Properties!A$1:CB$87,Formula!F4,5)&lt;&gt;"",INDEX(Properties!A$1:CB$87,Formula!F4,5)),IF(INDEX(Properties!A$1:CB$87,Formula!H4,5)&lt;&gt;"",INDEX(Properties!A$1:CB$87,Formula!H4,5)),IF(INDEX(Properties!A$1:CB$87,Formula!J4,5)&lt;&gt;"",INDEX(Properties!A$1:CB$87,Formula!J4,5)))</f>
        <v>2.56</v>
      </c>
      <c r="Q4" s="89">
        <f>MAX(INDEX(Properties!A$1:CB$87,Formula!B4,5),INDEX(Properties!A$1:CB$87,Formula!D4,5),INDEX(Properties!A$1:CB$87,Formula!F4,5),INDEX(Properties!A$1:CB$87,Formula!H4,5),INDEX(Properties!A$1:CB$87,Formula!J4,5))</f>
        <v>4</v>
      </c>
      <c r="R4" s="89">
        <f>MIN(IF(INDEX(Properties!A$1:CB$87,Formula!B4,5)=0,10^6,INDEX(Properties!A$1:CB$87,Formula!B4,5)),IF(INDEX(Properties!A$1:CB$87,Formula!D4,5)=0,10^6,INDEX(Properties!A$1:CB$87,Formula!D4,5)),IF(INDEX(Properties!A$1:CB$87,Formula!F4,5)=0,10^6,INDEX(Properties!A$1:CB$87,Formula!F4,5)),IF(INDEX(Properties!A$1:CB$87,Formula!H4,5)=0,10^6,INDEX(Properties!A$1:CB$87,Formula!H4,5)),IF(INDEX(Properties!A$1:CB$87,Formula!J4,5)=0,10^6,INDEX(Properties!A$1:CB$87,Formula!J4,5)))</f>
        <v>2</v>
      </c>
      <c r="S4" s="89">
        <f t="shared" si="2"/>
        <v>2</v>
      </c>
      <c r="T4" s="60">
        <f>((Formula!C4)/(Formula!C4+Formula!E4+Formula!G4+Formula!I4+Formula!K4))*(INDEX(Properties!A$1:CB$87,Formula!B4,6))+((Formula!E4)/(Formula!C4+Formula!E4+Formula!G4+Formula!I4+Formula!K4))*(INDEX(Properties!A$1:CB$87,Formula!D4,6))+((Formula!G4)/(Formula!C4+Formula!E4+Formula!G4+Formula!I4+Formula!K4))*(INDEX(Properties!A$1:CB$87,Formula!F4,6))+((Formula!I4)/(Formula!C4+Formula!E4+Formula!G4+Formula!I4+Formula!K4))*(INDEX(Properties!A$1:CB$87,Formula!H4,6))+((Formula!K4)/(Formula!C4+Formula!E4+Formula!G4+Formula!I4+Formula!K4))*(INDEX(Properties!A$1:CB$87,Formula!J4,6))</f>
        <v>11.636363636363637</v>
      </c>
      <c r="U4" s="60">
        <f>Formula!C4*(INDEX(Properties!A$1:CB$87,Formula!B4,6))+Formula!E4*(INDEX(Properties!A$1:CB$87,Formula!D4,6))+Formula!G4*(INDEX(Properties!A$1:CB$87,Formula!F4,6))+Formula!I4*(INDEX(Properties!A$1:CB$87,Formula!H4,6))+Formula!K4*(INDEX(Properties!A$1:CB$87,Formula!J4,6))</f>
        <v>128</v>
      </c>
      <c r="V4" s="89">
        <f>VARP(IF(INDEX(Properties!A$1:CB$87,Formula!B4,6)&lt;&gt;"",INDEX(Properties!A$1:CB$87,Formula!B4,6)),IF(INDEX(Properties!A$1:CB$87,Formula!D4,6)&lt;&gt;"",INDEX(Properties!A$1:CB$87,Formula!D4,6)),IF(INDEX(Properties!A$1:CB$87,Formula!F4,6)&lt;&gt;"",INDEX(Properties!A$1:CB$87,Formula!F4,6)),IF(INDEX(Properties!A$1:CB$87,Formula!H4,6)&lt;&gt;"",INDEX(Properties!A$1:CB$87,Formula!H4,6)),IF(INDEX(Properties!A$1:CB$87,Formula!J4,6)&lt;&gt;"",INDEX(Properties!A$1:CB$87,Formula!J4,6)))</f>
        <v>47.36</v>
      </c>
      <c r="W4" s="60">
        <f>MAX(INDEX(Properties!A$1:CB$87,Formula!B4,6),INDEX(Properties!A$1:CB$87,Formula!D4,6),INDEX(Properties!A$1:CB$87,Formula!F4,6),INDEX(Properties!A$1:CB$87,Formula!H4,4),INDEX(Properties!A$1:CB$87,Formula!J4,6))</f>
        <v>16</v>
      </c>
      <c r="X4" s="60">
        <f>MIN(IF(INDEX(Properties!A$1:CB$87,Formula!B4,6)=0,10^6,INDEX(Properties!A$1:CB$87,Formula!B4,6)),IF(INDEX(Properties!A$1:CB$87,Formula!D4,6)=0,10^6,INDEX(Properties!A$1:CB$87,Formula!D4,6)),IF(INDEX(Properties!A$1:CB$87,Formula!F4,6)=0,10^6,INDEX(Properties!A$1:CB$87,Formula!F4,6)),IF(INDEX(Properties!A$1:CB$87,Formula!H4,6)=0,10^6,INDEX(Properties!A$1:CB$87,Formula!H4,6)),IF(INDEX(Properties!A$1:CB$87,Formula!J4,6)=0,10^6,INDEX(Properties!A$1:CB$87,Formula!J4,6)))</f>
        <v>2</v>
      </c>
      <c r="Y4" s="60">
        <f t="shared" si="3"/>
        <v>14</v>
      </c>
      <c r="Z4" s="72">
        <f>((Formula!C4)/(Formula!C4+Formula!E4+Formula!G4+Formula!I4+Formula!K4))*(INDEX(Properties!A$1:CB$87,Formula!B4,9))+((Formula!E4)/(Formula!C4+Formula!E4+Formula!G4+Formula!I4+Formula!K4))*(INDEX(Properties!A$1:CB$87,Formula!D4,9))+((Formula!G4)/(Formula!C4+Formula!E4+Formula!G4+Formula!I4+Formula!K4))*(INDEX(Properties!A$1:CB$87,Formula!F4,9))+((Formula!I4)/(Formula!C4+Formula!E4+Formula!G4+Formula!I4+Formula!K4))*(INDEX(Properties!A$1:CB$87,Formula!H4,9))+((Formula!K4)/(Formula!C4+Formula!E4+Formula!G4+Formula!I4+Formula!K4))*(INDEX(Properties!A$1:CB$87,Formula!J4,9))</f>
        <v>62.636363636363633</v>
      </c>
      <c r="AA4" s="72">
        <f>Formula!C4*(INDEX(Properties!A$1:CB$87,Formula!B4,9))+Formula!E4*(INDEX(Properties!A$1:CB$87,Formula!D4,9))+Formula!G4*(INDEX(Properties!A$1:CB$87,Formula!F4,9))+Formula!I4*(INDEX(Properties!A$1:CB$87,Formula!H4,9))+Formula!K4*(INDEX(Properties!A$1:CB$87,Formula!J4,9))</f>
        <v>689</v>
      </c>
      <c r="AB4" s="72">
        <f>VARP(IF(INDEX(Properties!A$1:CB$87,Formula!B4,9)&lt;&gt;"",INDEX(Properties!A$1:CB$87,Formula!B4,9)),IF(INDEX(Properties!A$1:CB$87,Formula!D4,9)&lt;&gt;"",INDEX(Properties!A$1:CB$87,Formula!D4,9)),IF(INDEX(Properties!A$1:CB$87,Formula!F4,9)&lt;&gt;"",INDEX(Properties!A$1:CB$87,Formula!F4,9)),IF(INDEX(Properties!A$1:CB$87,Formula!H4,9)&lt;&gt;"",INDEX(Properties!A$1:CB$87,Formula!H4,9)),IF(INDEX(Properties!A$1:CB$87,Formula!J4,9)&lt;&gt;"",INDEX(Properties!A$1:CB$87,Formula!J4,9)))</f>
        <v>1473.84</v>
      </c>
      <c r="AC4" s="72">
        <f>MAX(INDEX(Properties!A$1:CB$87,Formula!B4,9),INDEX(Properties!A$1:CB$87,Formula!D4,9),INDEX(Properties!A$1:CB$87,Formula!F4,9),INDEX(Properties!A$1:CB$87,Formula!H4,9),INDEX(Properties!A$1:CB$87,Formula!J4,9))</f>
        <v>87</v>
      </c>
      <c r="AD4" s="72">
        <f>MIN(IF(INDEX(Properties!A$1:CB$87,Formula!B4,9)=0,10^6,INDEX(Properties!A$1:CB$87,Formula!B4,9)),IF(INDEX(Properties!A$1:CB$87,Formula!D4,9)=0,10^6,INDEX(Properties!A$1:CB$87,Formula!D4,9)),IF(INDEX(Properties!A$1:CB$87,Formula!F4,9)=0,10^6,INDEX(Properties!A$1:CB$87,Formula!F4,9)),IF(INDEX(Properties!A$1:CB$87,Formula!H4,9)=0,10^6,INDEX(Properties!A$1:CB$87,Formula!H4,9)),IF(INDEX(Properties!A$1:CB$87,Formula!J4,9)=0,10^6,INDEX(Properties!A$1:CB$87,Formula!J4,9)))</f>
        <v>7</v>
      </c>
      <c r="AE4" s="72">
        <f t="shared" si="4"/>
        <v>80</v>
      </c>
      <c r="AF4" s="51">
        <f>((Formula!C4)/(Formula!C4+Formula!E4+Formula!G4+Formula!I4+Formula!K4))*(INDEX(Properties!A$1:CB$87,Formula!B4,10))+((Formula!E4)/(Formula!C4+Formula!E4+Formula!G4+Formula!I4+Formula!K4))*(INDEX(Properties!A$1:CB$87,Formula!D4,10))+((Formula!G4)/(Formula!C4+Formula!E4+Formula!G4+Formula!I4+Formula!K4))*(INDEX(Properties!A$1:CB$87,Formula!F4,10))+((Formula!I4)/(Formula!C4+Formula!E4+Formula!G4+Formula!I4+Formula!K4))*(INDEX(Properties!A$1:CB$87,Formula!H4,10))+((Formula!K4)/(Formula!C4+Formula!E4+Formula!G4+Formula!I4+Formula!K4))*(INDEX(Properties!A$1:CB$87,Formula!J4,10))</f>
        <v>5.2727272727272725</v>
      </c>
      <c r="AG4" s="51">
        <f>Formula!C4*(INDEX(Properties!A$1:CB$87,Formula!B4,10))+Formula!E4*(INDEX(Properties!A$1:CB$87,Formula!D4,10))+Formula!G4*(INDEX(Properties!A$1:CB$87,Formula!F4,10))+Formula!I4*(INDEX(Properties!A$1:CB$87,Formula!H4,10))+Formula!K4*(INDEX(Properties!A$1:CB$87,Formula!J4,10))</f>
        <v>58</v>
      </c>
      <c r="AH4" s="51">
        <f>VARP(IF(INDEX(Properties!A$1:CB$87,Formula!B4,10)&lt;&gt;"",INDEX(Properties!A$1:CB$87,Formula!B4,10)),IF(INDEX(Properties!A$1:CB$87,Formula!D4,10)&lt;&gt;"",INDEX(Properties!A$1:CB$87,Formula!D4,10)),IF(INDEX(Properties!A$1:CB$87,Formula!F4,10)&lt;&gt;"",INDEX(Properties!A$1:CB$87,Formula!F4,10)),IF(INDEX(Properties!A$1:CB$87,Formula!H4,10)&lt;&gt;"",INDEX(Properties!A$1:CB$87,Formula!H4,10)),IF(INDEX(Properties!A$1:CB$87,Formula!J4,10)&lt;&gt;"",INDEX(Properties!A$1:CB$87,Formula!J4,10)))</f>
        <v>7.76</v>
      </c>
      <c r="AI4" s="51">
        <f>MAX(INDEX(Properties!A$1:CB$87,Formula!B4,10),INDEX(Properties!A$1:CB$87,Formula!D4,10),INDEX(Properties!A$1:CB$87,Formula!F4,10),INDEX(Properties!A$1:CB$87,Formula!H4,10),INDEX(Properties!A$1:CB$87,Formula!J4,10))</f>
        <v>7</v>
      </c>
      <c r="AJ4" s="51">
        <f>MIN(IF(INDEX(Properties!A$1:CB$87,Formula!B4,10)=0,10^6,INDEX(Properties!A$1:CB$87,Formula!B4,10)),IF(INDEX(Properties!A$1:CB$87,Formula!D4,10)=0,10^6,INDEX(Properties!A$1:CB$87,Formula!D4,10)),IF(INDEX(Properties!A$1:CB$87,Formula!F4,10)=0,10^6,INDEX(Properties!A$1:CB$87,Formula!F4,10)),IF(INDEX(Properties!A$1:CB$87,Formula!H4,10)=0,10^6,INDEX(Properties!A$1:CB$87,Formula!H4,10)),IF(INDEX(Properties!A$1:CB$87,Formula!J4,10)=0,10^6,INDEX(Properties!A$1:CB$87,Formula!J4,10)))</f>
        <v>2</v>
      </c>
      <c r="AK4" s="51">
        <f t="shared" si="5"/>
        <v>5</v>
      </c>
      <c r="AL4" s="57">
        <f>((Formula!C4)/(Formula!C4+Formula!E4+Formula!G4+Formula!I4+Formula!K4))*(INDEX(Properties!A$1:CB$87,Formula!B4,11))+((Formula!E4)/(Formula!C4+Formula!E4+Formula!G4+Formula!I4+Formula!K4))*(INDEX(Properties!A$1:CB$87,Formula!D4,11))+((Formula!G4)/(Formula!C4+Formula!E4+Formula!G4+Formula!I4+Formula!K4))*(INDEX(Properties!A$1:CB$87,Formula!F4,11))+((Formula!I4)/(Formula!C4+Formula!E4+Formula!G4+Formula!I4+Formula!K4))*(INDEX(Properties!A$1:CB$87,Formula!H4,11))+((Formula!K4)/(Formula!C4+Formula!E4+Formula!G4+Formula!I4+Formula!K4))*(INDEX(Properties!A$1:CB$87,Formula!J4,11))</f>
        <v>2</v>
      </c>
      <c r="AM4" s="57">
        <f>Formula!C4*(INDEX(Properties!A$1:CB$87,Formula!B4,11))+Formula!E4*(INDEX(Properties!A$1:CB$87,Formula!D4,11))+Formula!G4*(INDEX(Properties!A$1:CB$87,Formula!F4,11))+Formula!I4*(INDEX(Properties!A$1:CB$87,Formula!H4,11))+Formula!K4*(INDEX(Properties!A$1:CB$87,Formula!J4,11))</f>
        <v>22</v>
      </c>
      <c r="AN4" s="57">
        <f>VARP(IF(INDEX(Properties!A$1:CB$87,Formula!B4,11)&lt;&gt;"",INDEX(Properties!A$1:CB$87,Formula!B4,11)),IF(INDEX(Properties!A$1:CB$87,Formula!D4,11)&lt;&gt;"",INDEX(Properties!A$1:CB$87,Formula!D4,11)),IF(INDEX(Properties!A$1:CB$87,Formula!F4,11)&lt;&gt;"",INDEX(Properties!A$1:CB$87,Formula!F4,11)),IF(INDEX(Properties!A$1:CB$87,Formula!H4,11)&lt;&gt;"",INDEX(Properties!A$1:CB$87,Formula!H4,11)),IF(INDEX(Properties!A$1:CB$87,Formula!J4,11)&lt;&gt;"",INDEX(Properties!A$1:CB$87,Formula!J4,11)))</f>
        <v>0.96</v>
      </c>
      <c r="AO4" s="57">
        <f>MAX(INDEX(Properties!A$1:CB$87,Formula!B4,11),INDEX(Properties!A$1:CB$87,Formula!D4,11),INDEX(Properties!A$1:CB$87,Formula!F4,11),INDEX(Properties!A$1:CB$87,Formula!H4,11),INDEX(Properties!A$1:CB$87,Formula!J4,11))</f>
        <v>2</v>
      </c>
      <c r="AP4" s="57">
        <f>MIN(IF(Formula!B4=87,10^6,INDEX(Properties!A$1:CB$87,Formula!B4,11)),IF((Formula!D4)=87,10^6,INDEX(Properties!A$1:CB$87,Formula!D4,11)),IF((Formula!F4)=87,10^6,INDEX(Properties!A$1:CB$87,Formula!F4,11)),IF((Formula!H4)=87,10^6,INDEX(Properties!A$1:CB$87,Formula!H4,11)),IF(Formula!J4=87,10^6,INDEX(Properties!A$1:CB$87,Formula!J4,11)))</f>
        <v>2</v>
      </c>
      <c r="AQ4" s="57">
        <f t="shared" si="6"/>
        <v>0</v>
      </c>
      <c r="AR4" s="78">
        <f>((Formula!C4)/(Formula!C4+Formula!E4+Formula!G4+Formula!I4+Formula!K4))*(INDEX(Properties!A$1:CB$87,Formula!B4,12))+((Formula!E4)/(Formula!C4+Formula!E4+Formula!G4+Formula!I4+Formula!K4))*(INDEX(Properties!A$1:CB$87,Formula!D4,12))+((Formula!G4)/(Formula!C4+Formula!E4+Formula!G4+Formula!I4+Formula!K4))*(INDEX(Properties!A$1:CB$87,Formula!F4,12))+((Formula!I4)/(Formula!C4+Formula!E4+Formula!G4+Formula!I4+Formula!K4))*(INDEX(Properties!A$1:CB$87,Formula!H4,12))+((Formula!K4)/(Formula!C4+Formula!E4+Formula!G4+Formula!I4+Formula!K4))*(INDEX(Properties!A$1:CB$87,Formula!J4,12))</f>
        <v>2.3636363636363633</v>
      </c>
      <c r="AS4" s="78">
        <f>Formula!C4*(INDEX(Properties!A$1:CB$87,Formula!B4,12))+Formula!E4*(INDEX(Properties!A$1:CB$87,Formula!D4,12))+Formula!G4*(INDEX(Properties!A$1:CB$87,Formula!F4,12))+Formula!I4*(INDEX(Properties!A$1:CB$87,Formula!H4,12))+Formula!K4*(INDEX(Properties!A$1:CB$87,Formula!J4,12))</f>
        <v>26</v>
      </c>
      <c r="AT4" s="78">
        <f>VARP(IF(INDEX(Properties!A$1:CB$87,Formula!B4,12)&lt;&gt;"",INDEX(Properties!A$1:CB$87,Formula!B4,12)),IF(INDEX(Properties!A$1:CB$87,Formula!D4,12)&lt;&gt;"",INDEX(Properties!A$1:CB$87,Formula!D4,12)),IF(INDEX(Properties!A$1:CB$87,Formula!F4,12)&lt;&gt;"",INDEX(Properties!A$1:CB$87,Formula!F4,12)),IF(INDEX(Properties!A$1:CB$87,Formula!H4,12)&lt;&gt;"",INDEX(Properties!A$1:CB$87,Formula!H4,12)),IF(INDEX(Properties!A$1:CB$87,Formula!J4,12)&lt;&gt;"",INDEX(Properties!A$1:CB$87,Formula!J4,12)))</f>
        <v>2.4</v>
      </c>
      <c r="AU4" s="78">
        <f>MAX(INDEX(Properties!A$1:CB$87,Formula!B4,12),INDEX(Properties!A$1:CB$87,Formula!D4,12),INDEX(Properties!A$1:CB$87,Formula!F4,12),INDEX(Properties!A$1:CB$87,Formula!H4,12),INDEX(Properties!A$1:CB$87,Formula!J4,12))</f>
        <v>4</v>
      </c>
      <c r="AV4" s="78">
        <f>MIN(IF(Formula!B4=87,10^6,INDEX(Properties!A$1:CB$87,Formula!B4,12)),IF((Formula!D4)=87,10^6,INDEX(Properties!A$1:CB$87,Formula!D4,12)),IF((Formula!F4)=87,10^6,INDEX(Properties!A$1:CB$87,Formula!F4,12)),IF((Formula!H4)=87,10^6,INDEX(Properties!A$1:CB$87,Formula!H4,12)),IF(Formula!J4=87,10^6,INDEX(Properties!A$1:CB$87,Formula!J4,12)))</f>
        <v>0</v>
      </c>
      <c r="AW4" s="78">
        <f t="shared" si="7"/>
        <v>4</v>
      </c>
      <c r="AX4" s="45">
        <f>((Formula!C4)/(Formula!C4+Formula!E4+Formula!G4+Formula!I4+Formula!K4))*(INDEX(Properties!A$1:CB$87,Formula!B4,13))+((Formula!E4)/(Formula!C4+Formula!E4+Formula!G4+Formula!I4+Formula!K4))*(INDEX(Properties!A$1:CB$87,Formula!D4,13))+((Formula!G4)/(Formula!C4+Formula!E4+Formula!G4+Formula!I4+Formula!K4))*(INDEX(Properties!A$1:CB$87,Formula!F4,13))+((Formula!I4)/(Formula!C4+Formula!E4+Formula!G4+Formula!I4+Formula!K4))*(INDEX(Properties!A$1:CB$87,Formula!H4,13))+((Formula!K4)/(Formula!C4+Formula!E4+Formula!G4+Formula!I4+Formula!K4))*(INDEX(Properties!A$1:CB$87,Formula!J4,13))</f>
        <v>0</v>
      </c>
      <c r="AY4" s="45">
        <f>Formula!C4*(INDEX(Properties!A$1:CB$87,Formula!B4,13))+Formula!E4*(INDEX(Properties!A$1:CB$87,Formula!D4,13))+Formula!G4*(INDEX(Properties!A$1:CB$87,Formula!F4,13))+Formula!I4*(INDEX(Properties!A$1:CB$87,Formula!H4,13))+Formula!K4*(INDEX(Properties!A$1:CB$87,Formula!J4,13))</f>
        <v>0</v>
      </c>
      <c r="AZ4" s="45">
        <f>VARP(IF(INDEX(Properties!A$1:CB$87,Formula!B4,13)&lt;&gt;"",INDEX(Properties!A$1:CB$87,Formula!B4,13)),IF(INDEX(Properties!A$1:CB$87,Formula!D4,13)&lt;&gt;"",INDEX(Properties!A$1:CB$87,Formula!D4,13)),IF(INDEX(Properties!A$1:CB$87,Formula!F4,13)&lt;&gt;"",INDEX(Properties!A$1:CB$87,Formula!F4,13)),IF(INDEX(Properties!A$1:CB$87,Formula!H4,13)&lt;&gt;"",INDEX(Properties!A$1:CB$87,Formula!H4,13)),IF(INDEX(Properties!A$1:CB$87,Formula!J4,13)&lt;&gt;"",INDEX(Properties!A$1:CB$87,Formula!J4,13)))</f>
        <v>0</v>
      </c>
      <c r="BA4" s="45">
        <f>MAX(INDEX(Properties!A$1:CB$87,Formula!B4,13),INDEX(Properties!A$1:CB$87,Formula!D4,13),INDEX(Properties!A$1:CB$87,Formula!F4,13),INDEX(Properties!A$1:CB$87,Formula!H4,13),INDEX(Properties!A$1:CB$87,Formula!J4,13))</f>
        <v>0</v>
      </c>
      <c r="BB4" s="45">
        <f>MIN(IF(Formula!B4=87,10^6,INDEX(Properties!A$1:CB$87,Formula!B4,13)),IF((Formula!D4)=87,10^6,INDEX(Properties!A$1:CB$87,Formula!D4,13)),IF((Formula!F4)=87,10^6,INDEX(Properties!A$1:CB$87,Formula!F4,13)),IF((Formula!H4)=87,10^6,INDEX(Properties!A$1:CB$87,Formula!H4,13)),IF(Formula!J4=87,10^6,INDEX(Properties!A$1:CB$87,Formula!J4,13)))</f>
        <v>0</v>
      </c>
      <c r="BC4" s="45">
        <f t="shared" si="8"/>
        <v>0</v>
      </c>
      <c r="BD4" s="63">
        <f>((Formula!C4)/(Formula!C4+Formula!E4+Formula!G4+Formula!I4+Formula!K4))*(INDEX(Properties!A$1:CB$87,Formula!B4,14))+((Formula!E4)/(Formula!C4+Formula!E4+Formula!G4+Formula!I4+Formula!K4))*(INDEX(Properties!A$1:CB$87,Formula!D4,14))+((Formula!G4)/(Formula!C4+Formula!E4+Formula!G4+Formula!I4+Formula!K4))*(INDEX(Properties!A$1:CB$87,Formula!F4,14))+((Formula!I4)/(Formula!C4+Formula!E4+Formula!G4+Formula!I4+Formula!K4))*(INDEX(Properties!A$1:CB$87,Formula!H4,14))+((Formula!K4)/(Formula!C4+Formula!E4+Formula!G4+Formula!I4+Formula!K4))*(INDEX(Properties!A$1:CB$87,Formula!J4,14))</f>
        <v>0</v>
      </c>
      <c r="BE4" s="63">
        <f>Formula!C4*(INDEX(Properties!A$1:CB$87,Formula!B4,14))+Formula!E4*(INDEX(Properties!A$1:CB$87,Formula!D4,14))+Formula!G4*(INDEX(Properties!A$1:CB$87,Formula!F4,14))+Formula!I4*(INDEX(Properties!A$1:CB$87,Formula!H4,14))+Formula!K4*(INDEX(Properties!A$1:CB$87,Formula!J4,14))</f>
        <v>0</v>
      </c>
      <c r="BF4" s="63">
        <f>VARP(IF(INDEX(Properties!A$1:CB$87,Formula!B4,14)&lt;&gt;"",INDEX(Properties!A$1:CB$87,Formula!B4,14)),IF(INDEX(Properties!A$1:CB$87,Formula!D4,14)&lt;&gt;"",INDEX(Properties!A$1:CB$87,Formula!D4,14)),IF(INDEX(Properties!A$1:CB$87,Formula!F4,14)&lt;&gt;"",INDEX(Properties!A$1:CB$87,Formula!F4,14)),IF(INDEX(Properties!A$1:CB$87,Formula!H4,14)&lt;&gt;"",INDEX(Properties!A$1:CB$87,Formula!H4,14)),IF(INDEX(Properties!A$1:CB$87,Formula!J4,14)&lt;&gt;"",INDEX(Properties!A$1:CB$87,Formula!J4,14)))</f>
        <v>0</v>
      </c>
      <c r="BG4" s="63">
        <f>MAX(INDEX(Properties!A$1:CB$87,Formula!B4,14),INDEX(Properties!A$1:CB$87,Formula!D4,14),INDEX(Properties!A$1:CB$87,Formula!F4,14),INDEX(Properties!A$1:CB$87,Formula!H4,14),INDEX(Properties!A$1:CB$87,Formula!J4,14))</f>
        <v>0</v>
      </c>
      <c r="BH4" s="63">
        <f>MIN(IF(Formula!B4=87,10^6,INDEX(Properties!A$1:CB$87,Formula!B4,14)),IF((Formula!D4)=87,10^6,INDEX(Properties!A$1:CB$87,Formula!D4,14)),IF((Formula!F4)=87,10^6,INDEX(Properties!A$1:CB$87,Formula!F4,14)),IF((Formula!H4)=87,10^6,INDEX(Properties!A$1:CB$87,Formula!H4,14)),IF(Formula!J4=87,10^6,INDEX(Properties!A$1:CB$87,Formula!J4,14)))</f>
        <v>0</v>
      </c>
      <c r="BI4" s="63">
        <f t="shared" si="9"/>
        <v>0</v>
      </c>
      <c r="BJ4" s="75">
        <f>((Formula!C4)/(Formula!C4+Formula!E4+Formula!G4+Formula!I4+Formula!K4))*(INDEX(Properties!A$1:CB$87,Formula!B4,19))+((Formula!E4)/(Formula!C4+Formula!E4+Formula!G4+Formula!I4+Formula!K4))*(INDEX(Properties!A$1:CB$87,Formula!D4,19))+((Formula!G4)/(Formula!C4+Formula!E4+Formula!G4+Formula!I4+Formula!K4))*(INDEX(Properties!A$1:CB$87,Formula!F4,19))+((Formula!I4)/(Formula!C4+Formula!E4+Formula!G4+Formula!I4+Formula!K4))*(INDEX(Properties!A$1:CB$87,Formula!H4,19))+((Formula!K4)/(Formula!C4+Formula!E4+Formula!G4+Formula!I4+Formula!K4))*(INDEX(Properties!A$1:CB$87,Formula!J4,19))</f>
        <v>4.3636363636363633</v>
      </c>
      <c r="BK4" s="75">
        <f>Formula!C4*(INDEX(Properties!A$1:CB$87,Formula!B4,19))+Formula!E4*(INDEX(Properties!A$1:CB$87,Formula!D4,19))+Formula!G4*(INDEX(Properties!A$1:CB$87,Formula!F4,19))+Formula!I4*(INDEX(Properties!A$1:CB$87,Formula!H4,19))+Formula!K4*(INDEX(Properties!A$1:CB$87,Formula!J4,19))</f>
        <v>48</v>
      </c>
      <c r="BL4" s="75">
        <f>VARP(IF(INDEX(Properties!A$1:CB$87,Formula!B4,19)&lt;&gt;"",INDEX(Properties!A$1:CB$87,Formula!B4,19)),IF(INDEX(Properties!A$1:CB$87,Formula!D4,19)&lt;&gt;"",INDEX(Properties!A$1:CB$87,Formula!D4,19)),IF(INDEX(Properties!A$1:CB$87,Formula!F4,19)&lt;&gt;"",INDEX(Properties!A$1:CB$87,Formula!F4,19)),IF(INDEX(Properties!A$1:CB$87,Formula!H4,19)&lt;&gt;"",INDEX(Properties!A$1:CB$87,Formula!H4,19)),IF(INDEX(Properties!A$1:CB$87,Formula!J4,19)&lt;&gt;"",INDEX(Properties!A$1:CB$87,Formula!J4,19)))</f>
        <v>4.96</v>
      </c>
      <c r="BM4" s="75">
        <f>MAX(INDEX(Properties!A$1:CB$87,Formula!B4,19),INDEX(Properties!A$1:CB$87,Formula!D4,19),INDEX(Properties!A$1:CB$87,Formula!F4,19),INDEX(Properties!A$1:CB$87,Formula!H4,19),INDEX(Properties!A$1:CB$87,Formula!J4,19))</f>
        <v>6</v>
      </c>
      <c r="BN4" s="75">
        <f>MIN(IF(INDEX(Properties!A$1:CB$87,Formula!B4,19)=0,10^6,INDEX(Properties!A$1:CB$87,Formula!B4,19)),IF(INDEX(Properties!A$1:CB$87,Formula!D4,19)=0,10^6,INDEX(Properties!A$1:CB$87,Formula!D4,19)),IF(INDEX(Properties!A$1:CB$87,Formula!F4,19)=0,10^6,INDEX(Properties!A$1:CB$87,Formula!F4,19)),IF(INDEX(Properties!A$1:CB$87,Formula!H4,19)=0,10^6,INDEX(Properties!A$1:CB$87,Formula!H4,19)),IF(INDEX(Properties!A$1:CB$87,Formula!J4,19)=0,10^6,INDEX(Properties!A$1:CB$87,Formula!J4,19)))</f>
        <v>2</v>
      </c>
      <c r="BO4" s="75">
        <f t="shared" si="10"/>
        <v>4</v>
      </c>
      <c r="BP4" s="48">
        <f>((Formula!C4)/(Formula!C4+Formula!E4+Formula!G4+Formula!I4+Formula!K4))*(INDEX(Properties!A$1:CB$87,Formula!B4,20))+((Formula!E4)/(Formula!C4+Formula!E4+Formula!G4+Formula!I4+Formula!K4))*(INDEX(Properties!A$1:CB$87,Formula!D4,20))+((Formula!G4)/(Formula!C4+Formula!E4+Formula!G4+Formula!I4+Formula!K4))*(INDEX(Properties!A$1:CB$87,Formula!F4,20))+((Formula!I4)/(Formula!C4+Formula!E4+Formula!G4+Formula!I4+Formula!K4))*(INDEX(Properties!A$1:CB$87,Formula!H4,20))+((Formula!K4)/(Formula!C4+Formula!E4+Formula!G4+Formula!I4+Formula!K4))*(INDEX(Properties!A$1:CB$87,Formula!J4,20))</f>
        <v>4.3636363636363633</v>
      </c>
      <c r="BQ4" s="48">
        <f>Formula!C4*(INDEX(Properties!A$1:CB$87,Formula!B4,20))+Formula!E4*(INDEX(Properties!A$1:CB$87,Formula!D4,20))+Formula!G4*(INDEX(Properties!A$1:CB$87,Formula!F4,20))+Formula!I4*(INDEX(Properties!A$1:CB$87,Formula!H4,20))+Formula!K4*(INDEX(Properties!A$1:CB$87,Formula!J4,20))</f>
        <v>48</v>
      </c>
      <c r="BR4" s="48">
        <f>VARP(IF(INDEX(Properties!A$1:CB$87,Formula!B4,20)&lt;&gt;"",INDEX(Properties!A$1:CB$87,Formula!B4,20)),IF(INDEX(Properties!A$1:CB$87,Formula!D4,20)&lt;&gt;"",INDEX(Properties!A$1:CB$87,Formula!D4,20)),IF(INDEX(Properties!A$1:CB$87,Formula!F4,20)&lt;&gt;"",INDEX(Properties!A$1:CB$87,Formula!F4,20)),IF(INDEX(Properties!A$1:CB$87,Formula!H4,20)&lt;&gt;"",INDEX(Properties!A$1:CB$87,Formula!H4,20)),IF(INDEX(Properties!A$1:CB$87,Formula!J4,20)&lt;&gt;"",INDEX(Properties!A$1:CB$87,Formula!J4,20)))</f>
        <v>4.96</v>
      </c>
      <c r="BS4" s="48">
        <f>MAX(INDEX(Properties!A$1:CB$87,Formula!B4,20),INDEX(Properties!A$1:CB$87,Formula!D4,20),INDEX(Properties!A$1:CB$87,Formula!F4,20),INDEX(Properties!A$1:CB$87,Formula!H4,20),INDEX(Properties!A$1:CB$87,Formula!J4,20))</f>
        <v>6</v>
      </c>
      <c r="BT4" s="48">
        <f>MIN(IF(INDEX(Properties!A$1:CB$87,Formula!B4,20)=0,10^6,INDEX(Properties!A$1:CB$87,Formula!B4,20)),IF(INDEX(Properties!A$1:CB$87,Formula!D4,20)=0,10^6,INDEX(Properties!A$1:CB$87,Formula!D4,20)),IF(INDEX(Properties!A$1:CB$87,Formula!F4,20)=0,10^6,INDEX(Properties!A$1:CB$87,Formula!F4,20)),IF(INDEX(Properties!A$1:CB$87,Formula!H4,20)=0,10^6,INDEX(Properties!A$1:CB$87,Formula!H4,20)),IF(INDEX(Properties!A$1:CB$87,Formula!J4,20)=0,10^6,INDEX(Properties!A$1:CB$87,Formula!J4,20)))</f>
        <v>2</v>
      </c>
      <c r="BU4" s="48">
        <f t="shared" si="11"/>
        <v>4</v>
      </c>
      <c r="BV4" s="66">
        <f>((Formula!C4)/(Formula!C4+Formula!E4+Formula!G4+Formula!I4+Formula!K4))*(INDEX(Properties!A$1:CB$87,Formula!B4,21))+((Formula!E4)/(Formula!C4+Formula!E4+Formula!G4+Formula!I4+Formula!K4))*(INDEX(Properties!A$1:CB$87,Formula!D4,21))+((Formula!G4)/(Formula!C4+Formula!E4+Formula!G4+Formula!I4+Formula!K4))*(INDEX(Properties!A$1:CB$87,Formula!F4,21))+((Formula!I4)/(Formula!C4+Formula!E4+Formula!G4+Formula!I4+Formula!K4))*(INDEX(Properties!A$1:CB$87,Formula!H4,21))+((Formula!K4)/(Formula!C4+Formula!E4+Formula!G4+Formula!I4+Formula!K4))*(INDEX(Properties!A$1:CB$87,Formula!J4,21))</f>
        <v>4.3636363636363633</v>
      </c>
      <c r="BW4" s="66">
        <f>Formula!C4*(INDEX(Properties!A$1:CB$87,Formula!B4,21))+Formula!E4*(INDEX(Properties!A$1:CB$87,Formula!D4,21))+Formula!G4*(INDEX(Properties!A$1:CB$87,Formula!F4,21))+Formula!I4*(INDEX(Properties!A$1:CB$87,Formula!H4,21))+Formula!K4*(INDEX(Properties!A$1:CB$87,Formula!J4,21))</f>
        <v>48</v>
      </c>
      <c r="BX4" s="66">
        <f>VARP(IF(INDEX(Properties!A$1:CB$87,Formula!B4,21)&lt;&gt;"",INDEX(Properties!A$1:CB$87,Formula!B4,21)),IF(INDEX(Properties!A$1:CB$87,Formula!D4,21)&lt;&gt;"",INDEX(Properties!A$1:CB$87,Formula!D4,21)),IF(INDEX(Properties!A$1:CB$87,Formula!F4,21)&lt;&gt;"",INDEX(Properties!A$1:CB$87,Formula!F4,21)),IF(INDEX(Properties!A$1:CB$87,Formula!H4,21)&lt;&gt;"",INDEX(Properties!A$1:CB$87,Formula!H4,21)),IF(INDEX(Properties!A$1:CB$87,Formula!J4,21)&lt;&gt;"",INDEX(Properties!A$1:CB$87,Formula!J4,21)))</f>
        <v>4.96</v>
      </c>
      <c r="BY4" s="66">
        <f>MAX(INDEX(Properties!A$1:CB$87,Formula!B4,21),INDEX(Properties!A$1:CB$87,Formula!D4,21),INDEX(Properties!A$1:CB$87,Formula!F4,21),INDEX(Properties!A$1:CB$87,Formula!H4,21),INDEX(Properties!A$1:CB$87,Formula!J4,21))</f>
        <v>6</v>
      </c>
      <c r="BZ4" s="66">
        <f>MIN(IF(INDEX(Properties!A$1:CB$87,Formula!B4,21)=0,10^6,INDEX(Properties!A$1:CB$87,Formula!B4,21)),IF(INDEX(Properties!A$1:CB$87,Formula!D4,21)=0,10^6,INDEX(Properties!A$1:CB$87,Formula!D4,21)),IF(INDEX(Properties!A$1:CB$87,Formula!F4,21)=0,10^6,INDEX(Properties!A$1:CB$87,Formula!F4,21)),IF(INDEX(Properties!A$1:CB$87,Formula!H4,21)=0,10^6,INDEX(Properties!A$1:CB$87,Formula!H4,21)),IF(INDEX(Properties!A$1:CB$87,Formula!J4,21)=0,10^6,INDEX(Properties!A$1:CB$87,Formula!J4,21)))</f>
        <v>2</v>
      </c>
      <c r="CA4" s="66">
        <f t="shared" si="12"/>
        <v>4</v>
      </c>
      <c r="CB4" s="81">
        <f>((Formula!C4)/(Formula!C4+Formula!E4+Formula!G4+Formula!I4+Formula!K4))*(INDEX(Properties!A$1:CB$87,Formula!B4,23))+((Formula!E4)/(Formula!C4+Formula!E4+Formula!G4+Formula!I4+Formula!K4))*(INDEX(Properties!A$1:CB$87,Formula!D4,23))+((Formula!G4)/(Formula!C4+Formula!E4+Formula!G4+Formula!I4+Formula!K4))*(INDEX(Properties!A$1:CB$87,Formula!F4,23))+((Formula!I4)/(Formula!C4+Formula!E4+Formula!G4+Formula!I4+Formula!K4))*(INDEX(Properties!A$1:CB$87,Formula!H4,23))+((Formula!K4)/(Formula!C4+Formula!E4+Formula!G4+Formula!I4+Formula!K4))*(INDEX(Properties!A$1:CB$87,Formula!J4,23))</f>
        <v>1.0909090909090908</v>
      </c>
      <c r="CC4" s="81">
        <f>Formula!C4*(INDEX(Properties!A$1:CB$87,Formula!B4,23))+Formula!E4*(INDEX(Properties!A$1:CB$87,Formula!D4,23))+Formula!G4*(INDEX(Properties!A$1:CB$87,Formula!F4,23))+Formula!I4*(INDEX(Properties!A$1:CB$87,Formula!H4,23))+Formula!K4*(INDEX(Properties!A$1:CB$87,Formula!J4,23))</f>
        <v>12</v>
      </c>
      <c r="CD4" s="81">
        <f>VARP(IF(INDEX(Properties!A$1:CB$87,Formula!B4,23)&lt;&gt;"",INDEX(Properties!A$1:CB$87,Formula!B4,23)),IF(INDEX(Properties!A$1:CB$87,Formula!D4,23)&lt;&gt;"",INDEX(Properties!A$1:CB$87,Formula!D4,23)),IF(INDEX(Properties!A$1:CB$87,Formula!F4,23)&lt;&gt;"",INDEX(Properties!A$1:CB$87,Formula!F4,23)),IF(INDEX(Properties!A$1:CB$87,Formula!H4,23)&lt;&gt;"",INDEX(Properties!A$1:CB$87,Formula!H4,23)),IF(INDEX(Properties!A$1:CB$87,Formula!J4,23)&lt;&gt;"",INDEX(Properties!A$1:CB$87,Formula!J4,23)))</f>
        <v>1.6</v>
      </c>
      <c r="CE4" s="81">
        <f>MAX(INDEX(Properties!A$1:CB$87,Formula!B4,23),INDEX(Properties!A$1:CB$87,Formula!D4,23),INDEX(Properties!A$1:CB$87,Formula!F4,23),INDEX(Properties!A$1:CB$87,Formula!H4,23),INDEX(Properties!A$1:CB$87,Formula!J4,23))</f>
        <v>3</v>
      </c>
      <c r="CF4" s="81">
        <f>MIN(IF(Formula!B4=87,10^6,INDEX(Properties!A$1:CB$87,Formula!B4,23)),IF((Formula!D4)=87,10^6,INDEX(Properties!A$1:CB$87,Formula!D4,23)),IF((Formula!F4)=87,10^6,INDEX(Properties!A$1:CB$87,Formula!F4,23)),IF((Formula!H4)=87,10^6,INDEX(Properties!A$1:CB$87,Formula!H4,23)),IF(Formula!J4=87,10^6,INDEX(Properties!A$1:CB$87,Formula!J4,23)))</f>
        <v>0</v>
      </c>
      <c r="CG4" s="81">
        <f t="shared" si="13"/>
        <v>3</v>
      </c>
      <c r="CH4" s="39">
        <f>((Formula!C4)/(Formula!C4+Formula!E4+Formula!G4+Formula!I4+Formula!K4))*(INDEX(Properties!A$1:CB$87,Formula!B4,26))+((Formula!E4)/(Formula!C4+Formula!E4+Formula!G4+Formula!I4+Formula!K4))*(INDEX(Properties!A$1:CB$87,Formula!D4,26))+((Formula!G4)/(Formula!C4+Formula!E4+Formula!G4+Formula!I4+Formula!K4))*(INDEX(Properties!A$1:CB$87,Formula!F4,26))+((Formula!I4)/(Formula!C4+Formula!E4+Formula!G4+Formula!I4+Formula!K4))*(INDEX(Properties!A$1:CB$87,Formula!H4,26))+((Formula!K4)/(Formula!C4+Formula!E4+Formula!G4+Formula!I4+Formula!K4))*(INDEX(Properties!A$1:CB$87,Formula!J4,26))</f>
        <v>10.183618181818181</v>
      </c>
      <c r="CI4" s="39">
        <f>Formula!C4*(INDEX(Properties!A$1:CB$87,Formula!B4,26))+Formula!E4*(INDEX(Properties!A$1:CB$87,Formula!D4,26))+Formula!G4*(INDEX(Properties!A$1:CB$87,Formula!F4,26))+Formula!I4*(INDEX(Properties!A$1:CB$87,Formula!H4,26))+Formula!K4*(INDEX(Properties!A$1:CB$87,Formula!J4,26))</f>
        <v>112.0198</v>
      </c>
      <c r="CJ4" s="39">
        <f>VARP(IF(INDEX(Properties!A$1:CB$87,Formula!B4,26)&lt;&gt;"",INDEX(Properties!A$1:CB$87,Formula!B4,26)),IF(INDEX(Properties!A$1:CB$87,Formula!D4,26)&lt;&gt;"",INDEX(Properties!A$1:CB$87,Formula!D4,26)),IF(INDEX(Properties!A$1:CB$87,Formula!F4,26)&lt;&gt;"",INDEX(Properties!A$1:CB$87,Formula!F4,26)),IF(INDEX(Properties!A$1:CB$87,Formula!H4,26)&lt;&gt;"",INDEX(Properties!A$1:CB$87,Formula!H4,26)),IF(INDEX(Properties!A$1:CB$87,Formula!J4,26)&lt;&gt;"",INDEX(Properties!A$1:CB$87,Formula!J4,26)))</f>
        <v>25.275963401599988</v>
      </c>
      <c r="CK4" s="39">
        <f>MAX(INDEX(Properties!A$1:CB$87,Formula!B4,26),INDEX(Properties!A$1:CB$87,Formula!D4,26),INDEX(Properties!A$1:CB$87,Formula!F4,26),INDEX(Properties!A$1:CB$87,Formula!H4,26),INDEX(Properties!A$1:CB$87,Formula!J4,26))</f>
        <v>13.6181</v>
      </c>
      <c r="CL4" s="39">
        <f>MIN(IF(INDEX(Properties!A$1:CB$87,Formula!B4,26)=0,10^6,INDEX(Properties!A$1:CB$87,Formula!B4,26)),IF(INDEX(Properties!A$1:CB$87,Formula!D4,26)=0,10^6,INDEX(Properties!A$1:CB$87,Formula!D4,26)),IF(INDEX(Properties!A$1:CB$87,Formula!F4,26)=0,10^6,INDEX(Properties!A$1:CB$87,Formula!F4,26)),IF(INDEX(Properties!A$1:CB$87,Formula!H4,26)=0,10^6,INDEX(Properties!A$1:CB$87,Formula!H4,26)),IF(INDEX(Properties!A$1:CB$87,Formula!J4,26)=0,10^6,INDEX(Properties!A$1:CB$87,Formula!J4,26)))</f>
        <v>5.9858000000000002</v>
      </c>
      <c r="CM4" s="39">
        <f t="shared" si="14"/>
        <v>7.6322999999999999</v>
      </c>
      <c r="CN4" s="54">
        <f>((Formula!C4)/(Formula!C4+Formula!E4+Formula!G4+Formula!I4+Formula!K4))*(INDEX(Properties!A$1:CB$87,Formula!B4,30))+((Formula!E4)/(Formula!C4+Formula!E4+Formula!G4+Formula!I4+Formula!K4))*(INDEX(Properties!A$1:CB$87,Formula!D4,30))+((Formula!G4)/(Formula!C4+Formula!E4+Formula!G4+Formula!I4+Formula!K4))*(INDEX(Properties!A$1:CB$87,Formula!F4,30))+((Formula!I4)/(Formula!C4+Formula!E4+Formula!G4+Formula!I4+Formula!K4))*(INDEX(Properties!A$1:CB$87,Formula!H4,30))+((Formula!K4)/(Formula!C4+Formula!E4+Formula!G4+Formula!I4+Formula!K4))*(INDEX(Properties!A$1:CB$87,Formula!J4,30))</f>
        <v>2.4418181818181814</v>
      </c>
      <c r="CO4" s="54">
        <f>Formula!C4*(INDEX(Properties!A$1:CB$87,Formula!B4,30))+Formula!E4*(INDEX(Properties!A$1:CB$87,Formula!D4,30))+Formula!G4*(INDEX(Properties!A$1:CB$87,Formula!F4,30))+Formula!I4*(INDEX(Properties!A$1:CB$87,Formula!H4,30))+Formula!K4*(INDEX(Properties!A$1:CB$87,Formula!J4,30))</f>
        <v>26.86</v>
      </c>
      <c r="CP4" s="54">
        <f>VARP(IF(INDEX(Properties!A$1:CB$87,Formula!B4,30)&lt;&gt;"",INDEX(Properties!A$1:CB$87,Formula!B4,30)),IF(INDEX(Properties!A$1:CB$87,Formula!D4,30)&lt;&gt;"",INDEX(Properties!A$1:CB$87,Formula!D4,30)),IF(INDEX(Properties!A$1:CB$87,Formula!F4,30)&lt;&gt;"",INDEX(Properties!A$1:CB$87,Formula!F4,30)),IF(INDEX(Properties!A$1:CB$87,Formula!H4,30)&lt;&gt;"",INDEX(Properties!A$1:CB$87,Formula!H4,30)),IF(INDEX(Properties!A$1:CB$87,Formula!J4,30)&lt;&gt;"",INDEX(Properties!A$1:CB$87,Formula!J4,30)))</f>
        <v>1.6210399999999998</v>
      </c>
      <c r="CQ4" s="54">
        <f>MAX(INDEX(Properties!A$1:CB$87,Formula!B4,30),INDEX(Properties!A$1:CB$87,Formula!D4,30),INDEX(Properties!A$1:CB$87,Formula!F4,30),INDEX(Properties!A$1:CB$87,Formula!H4,30),INDEX(Properties!A$1:CB$87,Formula!J4,30))</f>
        <v>3.44</v>
      </c>
      <c r="CR4" s="54">
        <f>MIN(IF(INDEX(Properties!A$1:CB$87,Formula!B4,30)=0,10^6,INDEX(Properties!A$1:CB$87,Formula!B4,30)),IF(INDEX(Properties!A$1:CB$87,Formula!D4,30)=0,10^6,INDEX(Properties!A$1:CB$87,Formula!D4,30)),IF(INDEX(Properties!A$1:CB$87,Formula!F4,30)=0,10^6,INDEX(Properties!A$1:CB$87,Formula!F4,30)),IF(INDEX(Properties!A$1:CB$87,Formula!H4,30)=0,10^6,INDEX(Properties!A$1:CB$87,Formula!H4,30)),IF(INDEX(Properties!A$1:CB$87,Formula!J4,30)=0,10^6,INDEX(Properties!A$1:CB$87,Formula!J4,30)))</f>
        <v>1</v>
      </c>
      <c r="CS4" s="54">
        <f t="shared" si="15"/>
        <v>2.44</v>
      </c>
      <c r="CT4" s="69">
        <f>((Formula!C4)/(Formula!C4+Formula!E4+Formula!G4+Formula!I4+Formula!K4))*(INDEX(Properties!A$1:CB$87,Formula!B4,31))+((Formula!E4)/(Formula!C4+Formula!E4+Formula!G4+Formula!I4+Formula!K4))*(INDEX(Properties!A$1:CB$87,Formula!D4,31))+((Formula!G4)/(Formula!C4+Formula!E4+Formula!G4+Formula!I4+Formula!K4))*(INDEX(Properties!A$1:CB$87,Formula!F4,31))+((Formula!I4)/(Formula!C4+Formula!E4+Formula!G4+Formula!I4+Formula!K4))*(INDEX(Properties!A$1:CB$87,Formula!H4,31))+((Formula!K4)/(Formula!C4+Formula!E4+Formula!G4+Formula!I4+Formula!K4))*(INDEX(Properties!A$1:CB$87,Formula!J4,31))</f>
        <v>2.4281818181818178</v>
      </c>
      <c r="CU4" s="69">
        <f>Formula!C4*(INDEX(Properties!A$1:CB$87,Formula!B4,31))+Formula!E4*(INDEX(Properties!A$1:CB$87,Formula!D4,31))+Formula!G4*(INDEX(Properties!A$1:CB$87,Formula!F4,31))+Formula!I4*(INDEX(Properties!A$1:CB$87,Formula!H4,31))+Formula!K4*(INDEX(Properties!A$1:CB$87,Formula!J4,31))</f>
        <v>26.709999999999997</v>
      </c>
      <c r="CV4" s="69">
        <f>VARP(IF(INDEX(Properties!A$1:CB$87,Formula!B4,31)&lt;&gt;"",INDEX(Properties!A$1:CB$87,Formula!B4,31)),IF(INDEX(Properties!A$1:CB$87,Formula!D4,31)&lt;&gt;"",INDEX(Properties!A$1:CB$87,Formula!D4,31)),IF(INDEX(Properties!A$1:CB$87,Formula!F4,31)&lt;&gt;"",INDEX(Properties!A$1:CB$87,Formula!F4,31)),IF(INDEX(Properties!A$1:CB$87,Formula!H4,31)&lt;&gt;"",INDEX(Properties!A$1:CB$87,Formula!H4,31)),IF(INDEX(Properties!A$1:CB$87,Formula!J4,31)&lt;&gt;"",INDEX(Properties!A$1:CB$87,Formula!J4,31)))</f>
        <v>1.5131040000000004</v>
      </c>
      <c r="CW4" s="69">
        <f>MAX(INDEX(Properties!A$1:CB$87,Formula!B4,31),INDEX(Properties!A$1:CB$87,Formula!D4,31),INDEX(Properties!A$1:CB$87,Formula!F4,31),INDEX(Properties!A$1:CB$87,Formula!H4,31),INDEX(Properties!A$1:CB$87,Formula!J4,31))</f>
        <v>3.32</v>
      </c>
      <c r="CX4" s="69">
        <f>MIN(IF(INDEX(Properties!A$1:CB$87,Formula!B4,31)=0,10^6,INDEX(Properties!A$1:CB$87,Formula!B4,31)),IF(INDEX(Properties!A$1:CB$87,Formula!D4,31)=0,10^6,INDEX(Properties!A$1:CB$87,Formula!D4,31)),IF(INDEX(Properties!A$1:CB$87,Formula!F4,31)=0,10^6,INDEX(Properties!A$1:CB$87,Formula!F4,31)),IF(INDEX(Properties!A$1:CB$87,Formula!H4,31)=0,10^6,INDEX(Properties!A$1:CB$87,Formula!H4,31)),IF(INDEX(Properties!A$1:CB$87,Formula!J4,31)=0,10^6,INDEX(Properties!A$1:CB$87,Formula!J4,31)))</f>
        <v>1.17</v>
      </c>
      <c r="CY4" s="69">
        <f t="shared" si="16"/>
        <v>2.15</v>
      </c>
      <c r="CZ4" s="42">
        <f>((Formula!C4)/(Formula!C4+Formula!E4+Formula!G4+Formula!I4+Formula!K4))*(INDEX(Properties!A$1:CB$87,Formula!B4,32))+((Formula!E4)/(Formula!C4+Formula!E4+Formula!G4+Formula!I4+Formula!K4))*(INDEX(Properties!A$1:CB$87,Formula!D4,32))+((Formula!G4)/(Formula!C4+Formula!E4+Formula!G4+Formula!I4+Formula!K4))*(INDEX(Properties!A$1:CB$87,Formula!F4,32))+((Formula!I4)/(Formula!C4+Formula!E4+Formula!G4+Formula!I4+Formula!K4))*(INDEX(Properties!A$1:CB$87,Formula!H4,32))+((Formula!K4)/(Formula!C4+Formula!E4+Formula!G4+Formula!I4+Formula!K4))*(INDEX(Properties!A$1:CB$87,Formula!J4,32))</f>
        <v>5.3</v>
      </c>
      <c r="DA4" s="42">
        <f>Formula!C4*(INDEX(Properties!A$1:CB$87,Formula!B4,32))+Formula!E4*(INDEX(Properties!A$1:CB$87,Formula!D4,32))+Formula!G4*(INDEX(Properties!A$1:CB$87,Formula!F4,32))+Formula!I4*(INDEX(Properties!A$1:CB$87,Formula!H4,32))+Formula!K4*(INDEX(Properties!A$1:CB$87,Formula!J4,32))</f>
        <v>58.300000000000004</v>
      </c>
      <c r="DB4" s="42">
        <f>VARP(IF(INDEX(Properties!A$1:CB$87,Formula!B4,32)&lt;&gt;"",INDEX(Properties!A$1:CB$87,Formula!B4,32)),IF(INDEX(Properties!A$1:CB$87,Formula!D4,32)&lt;&gt;"",INDEX(Properties!A$1:CB$87,Formula!D4,32)),IF(INDEX(Properties!A$1:CB$87,Formula!F4,32)&lt;&gt;"",INDEX(Properties!A$1:CB$87,Formula!F4,32)),IF(INDEX(Properties!A$1:CB$87,Formula!H4,32)&lt;&gt;"",INDEX(Properties!A$1:CB$87,Formula!H4,32)),IF(INDEX(Properties!A$1:CB$87,Formula!J4,32)&lt;&gt;"",INDEX(Properties!A$1:CB$87,Formula!J4,32)))</f>
        <v>7.6960640000000016</v>
      </c>
      <c r="DC4" s="42">
        <f>MAX(INDEX(Properties!A$1:CB$87,Formula!B4,32),INDEX(Properties!A$1:CB$87,Formula!D4,32),INDEX(Properties!A$1:CB$87,Formula!F4,32),INDEX(Properties!A$1:CB$87,Formula!H4,32),INDEX(Properties!A$1:CB$87,Formula!J4,32))</f>
        <v>7.54</v>
      </c>
      <c r="DD4" s="42">
        <f>MIN(IF(INDEX(Properties!A$1:CB$87,Formula!B4,32)=0,10^6,INDEX(Properties!A$1:CB$87,Formula!B4,32)),IF(INDEX(Properties!A$1:CB$87,Formula!D4,32)=0,10^6,INDEX(Properties!A$1:CB$87,Formula!D4,32)),IF(INDEX(Properties!A$1:CB$87,Formula!F4,32)=0,10^6,INDEX(Properties!A$1:CB$87,Formula!F4,32)),IF(INDEX(Properties!A$1:CB$87,Formula!H4,32)=0,10^6,INDEX(Properties!A$1:CB$87,Formula!H4,32)),IF(INDEX(Properties!A$1:CB$87,Formula!J4,32)=0,10^6,INDEX(Properties!A$1:CB$87,Formula!J4,32)))</f>
        <v>2.2000000000000002</v>
      </c>
      <c r="DE4" s="42">
        <f t="shared" si="17"/>
        <v>5.34</v>
      </c>
      <c r="DF4" s="60">
        <f>((Formula!C4)/(Formula!C4+Formula!E4+Formula!G4+Formula!I4+Formula!K4))*(INDEX(Properties!A$1:CB$87,Formula!B4,34))+((Formula!E4)/(Formula!C4+Formula!E4+Formula!G4+Formula!I4+Formula!K4))*(INDEX(Properties!A$1:CB$87,Formula!D4,34))+((Formula!G4)/(Formula!C4+Formula!E4+Formula!G4+Formula!I4+Formula!K4))*(INDEX(Properties!A$1:CB$87,Formula!F4,34))+((Formula!I4)/(Formula!C4+Formula!E4+Formula!G4+Formula!I4+Formula!K4))*(INDEX(Properties!A$1:CB$87,Formula!H4,34))+((Formula!K4)/(Formula!C4+Formula!E4+Formula!G4+Formula!I4+Formula!K4))*(INDEX(Properties!A$1:CB$87,Formula!J4,34))</f>
        <v>2.5443636363636362</v>
      </c>
      <c r="DG4" s="60">
        <f>Formula!C4*(INDEX(Properties!A$1:CB$87,Formula!B4,34))+Formula!E4*(INDEX(Properties!A$1:CB$87,Formula!D4,34))+Formula!G4*(INDEX(Properties!A$1:CB$87,Formula!F4,34))+Formula!I4*(INDEX(Properties!A$1:CB$87,Formula!H4,34))+Formula!K4*(INDEX(Properties!A$1:CB$87,Formula!J4,34))</f>
        <v>27.988</v>
      </c>
      <c r="DH4" s="60">
        <f>VARP(IF(INDEX(Properties!A$1:CB$87,Formula!B4,34)&lt;&gt;"",INDEX(Properties!A$1:CB$87,Formula!B4,34)),IF(INDEX(Properties!A$1:CB$87,Formula!D4,34)&lt;&gt;"",INDEX(Properties!A$1:CB$87,Formula!D4,34)),IF(INDEX(Properties!A$1:CB$87,Formula!F4,34)&lt;&gt;"",INDEX(Properties!A$1:CB$87,Formula!F4,34)),IF(INDEX(Properties!A$1:CB$87,Formula!H4,34)&lt;&gt;"",INDEX(Properties!A$1:CB$87,Formula!H4,34)),IF(INDEX(Properties!A$1:CB$87,Formula!J4,34)&lt;&gt;"",INDEX(Properties!A$1:CB$87,Formula!J4,34)))</f>
        <v>1.7746030400000001</v>
      </c>
      <c r="DI4" s="60">
        <f>MAX(INDEX(Properties!A$1:CB$87,Formula!B4,34),INDEX(Properties!A$1:CB$87,Formula!D4,34),INDEX(Properties!A$1:CB$87,Formula!F4,34),INDEX(Properties!A$1:CB$87,Formula!H4,34),INDEX(Properties!A$1:CB$87,Formula!J4,34))</f>
        <v>3.61</v>
      </c>
      <c r="DJ4" s="60">
        <f>MIN(IF(INDEX(Properties!A$1:CB$87,Formula!B4,34)=0,10^6,INDEX(Properties!A$1:CB$87,Formula!B4,34)),IF(INDEX(Properties!A$1:CB$87,Formula!D4,34)=0,10^6,INDEX(Properties!A$1:CB$87,Formula!D4,34)),IF(INDEX(Properties!A$1:CB$87,Formula!F4,34)=0,10^6,INDEX(Properties!A$1:CB$87,Formula!F4,34)),IF(INDEX(Properties!A$1:CB$87,Formula!H4,34)=0,10^6,INDEX(Properties!A$1:CB$87,Formula!H4,34)),IF(INDEX(Properties!A$1:CB$87,Formula!J4,34)=0,10^6,INDEX(Properties!A$1:CB$87,Formula!J4,34)))</f>
        <v>1.034</v>
      </c>
      <c r="DK4" s="60">
        <f t="shared" si="18"/>
        <v>2.5759999999999996</v>
      </c>
      <c r="DL4" s="45">
        <f>((Formula!C4)/(Formula!C4+Formula!E4+Formula!G4+Formula!I4+Formula!K4))*(INDEX(Properties!A$1:CB$87,Formula!B4,39))+((Formula!E4)/(Formula!C4+Formula!E4+Formula!G4+Formula!I4+Formula!K4))*(INDEX(Properties!A$1:CB$87,Formula!D4,39))+((Formula!G4)/(Formula!C4+Formula!E4+Formula!G4+Formula!I4+Formula!K4))*(INDEX(Properties!A$1:CB$87,Formula!F4,39))+((Formula!I4)/(Formula!C4+Formula!E4+Formula!G4+Formula!I4+Formula!K4))*(INDEX(Properties!A$1:CB$87,Formula!H4,39))+((Formula!K4)/(Formula!C4+Formula!E4+Formula!G4+Formula!I4+Formula!K4))*(INDEX(Properties!A$1:CB$87,Formula!J4,39))</f>
        <v>1.0054545454545454</v>
      </c>
      <c r="DM4" s="45">
        <f>Formula!C4*(INDEX(Properties!A$1:CB$87,Formula!B4,39))+Formula!E4*(INDEX(Properties!A$1:CB$87,Formula!D4,39))+Formula!G4*(INDEX(Properties!A$1:CB$87,Formula!F4,39))+Formula!I4*(INDEX(Properties!A$1:CB$87,Formula!H4,39))+Formula!K4*(INDEX(Properties!A$1:CB$87,Formula!J4,39))</f>
        <v>11.059999999999999</v>
      </c>
      <c r="DN4" s="45">
        <f>VARP(IF(INDEX(Properties!A$1:CB$87,Formula!B4,39)&lt;&gt;"",INDEX(Properties!A$1:CB$87,Formula!B4,39)),IF(INDEX(Properties!A$1:CB$87,Formula!D4,39)&lt;&gt;"",INDEX(Properties!A$1:CB$87,Formula!D4,39)),IF(INDEX(Properties!A$1:CB$87,Formula!F4,39)&lt;&gt;"",INDEX(Properties!A$1:CB$87,Formula!F4,39)),IF(INDEX(Properties!A$1:CB$87,Formula!H4,39)&lt;&gt;"",INDEX(Properties!A$1:CB$87,Formula!H4,39)),IF(INDEX(Properties!A$1:CB$87,Formula!J4,39)&lt;&gt;"",INDEX(Properties!A$1:CB$87,Formula!J4,39)))</f>
        <v>0.55888000000000004</v>
      </c>
      <c r="DO4" s="45">
        <f>MAX(INDEX(Properties!A$1:CB$87,Formula!B4,39),INDEX(Properties!A$1:CB$87,Formula!D4,39),INDEX(Properties!A$1:CB$87,Formula!F4,39),INDEX(Properties!A$1:CB$87,Formula!H4,39),INDEX(Properties!A$1:CB$87,Formula!J4,39))</f>
        <v>1.94</v>
      </c>
      <c r="DP4" s="45">
        <f>MIN(IF(INDEX(Properties!A$1:CB$87,Formula!B4,39)=0,10^6,INDEX(Properties!A$1:CB$87,Formula!B4,39)),IF(INDEX(Properties!A$1:CB$87,Formula!D4,39)=0,10^6,INDEX(Properties!A$1:CB$87,Formula!D4,39)),IF(INDEX(Properties!A$1:CB$87,Formula!F4,39)=0,10^6,INDEX(Properties!A$1:CB$87,Formula!F4,39)),IF(INDEX(Properties!A$1:CB$87,Formula!H4,39)=0,10^6,INDEX(Properties!A$1:CB$87,Formula!H4,39)),IF(INDEX(Properties!A$1:CB$87,Formula!J4,39)=0,10^6,INDEX(Properties!A$1:CB$87,Formula!J4,39)))</f>
        <v>0.48</v>
      </c>
      <c r="DQ4" s="45">
        <f t="shared" si="19"/>
        <v>1.46</v>
      </c>
      <c r="DR4" s="63">
        <f>((Formula!C4)/(Formula!C4+Formula!E4+Formula!G4+Formula!I4+Formula!K4))*(INDEX(Properties!A$1:CB$87,Formula!B4,40))+((Formula!E4)/(Formula!C4+Formula!E4+Formula!G4+Formula!I4+Formula!K4))*(INDEX(Properties!A$1:CB$87,Formula!D4,40))+((Formula!G4)/(Formula!C4+Formula!E4+Formula!G4+Formula!I4+Formula!K4))*(INDEX(Properties!A$1:CB$87,Formula!F4,40))+((Formula!I4)/(Formula!C4+Formula!E4+Formula!G4+Formula!I4+Formula!K4))*(INDEX(Properties!A$1:CB$87,Formula!H4,40))+((Formula!K4)/(Formula!C4+Formula!E4+Formula!G4+Formula!I4+Formula!K4))*(INDEX(Properties!A$1:CB$87,Formula!J4,40))</f>
        <v>1.0872727272727272</v>
      </c>
      <c r="DS4" s="63">
        <f>Formula!C4*(INDEX(Properties!A$1:CB$87,Formula!B4,40))+Formula!E4*(INDEX(Properties!A$1:CB$87,Formula!D4,40))+Formula!G4*(INDEX(Properties!A$1:CB$87,Formula!F4,40))+Formula!I4*(INDEX(Properties!A$1:CB$87,Formula!H4,40))+Formula!K4*(INDEX(Properties!A$1:CB$87,Formula!J4,40))</f>
        <v>11.96</v>
      </c>
      <c r="DT4" s="63">
        <f>VARP(IF(INDEX(Properties!A$1:CB$87,Formula!B4,40)&lt;&gt;"",INDEX(Properties!A$1:CB$87,Formula!B4,40)),IF(INDEX(Properties!A$1:CB$87,Formula!D4,40)&lt;&gt;"",INDEX(Properties!A$1:CB$87,Formula!D4,40)),IF(INDEX(Properties!A$1:CB$87,Formula!F4,40)&lt;&gt;"",INDEX(Properties!A$1:CB$87,Formula!F4,40)),IF(INDEX(Properties!A$1:CB$87,Formula!H4,40)&lt;&gt;"",INDEX(Properties!A$1:CB$87,Formula!H4,40)),IF(INDEX(Properties!A$1:CB$87,Formula!J4,40)&lt;&gt;"",INDEX(Properties!A$1:CB$87,Formula!J4,40)))</f>
        <v>0.45767999999999992</v>
      </c>
      <c r="DU4" s="63">
        <f>MAX(INDEX(Properties!A$1:CB$87,Formula!B4,40),INDEX(Properties!A$1:CB$87,Formula!D4,40),INDEX(Properties!A$1:CB$87,Formula!F4,40),INDEX(Properties!A$1:CB$87,Formula!H4,40),INDEX(Properties!A$1:CB$87,Formula!J4,40))</f>
        <v>1.74</v>
      </c>
      <c r="DV4" s="63">
        <f>MIN(IF(INDEX(Properties!A$1:CB$87,Formula!B4,40)=0,10^6,INDEX(Properties!A$1:CB$87,Formula!B4,40)),IF(INDEX(Properties!A$1:CB$87,Formula!D4,40)=0,10^6,INDEX(Properties!A$1:CB$87,Formula!D4,40)),IF(INDEX(Properties!A$1:CB$87,Formula!F4,40)=0,10^6,INDEX(Properties!A$1:CB$87,Formula!F4,40)),IF(INDEX(Properties!A$1:CB$87,Formula!H4,40)=0,10^6,INDEX(Properties!A$1:CB$87,Formula!H4,40)),IF(INDEX(Properties!A$1:CB$87,Formula!J4,40)=0,10^6,INDEX(Properties!A$1:CB$87,Formula!J4,40)))</f>
        <v>0.73</v>
      </c>
      <c r="DW4" s="63">
        <f t="shared" si="20"/>
        <v>1.01</v>
      </c>
      <c r="DX4" s="75">
        <f>((Formula!C4)/(Formula!C4+Formula!E4+Formula!G4+Formula!I4+Formula!K4))*(INDEX(Properties!A$1:CB$87,Formula!B4,41))+((Formula!E4)/(Formula!C4+Formula!E4+Formula!G4+Formula!I4+Formula!K4))*(INDEX(Properties!A$1:CB$87,Formula!D4,41))+((Formula!G4)/(Formula!C4+Formula!E4+Formula!G4+Formula!I4+Formula!K4))*(INDEX(Properties!A$1:CB$87,Formula!F4,41))+((Formula!I4)/(Formula!C4+Formula!E4+Formula!G4+Formula!I4+Formula!K4))*(INDEX(Properties!A$1:CB$87,Formula!H4,41))+((Formula!K4)/(Formula!C4+Formula!E4+Formula!G4+Formula!I4+Formula!K4))*(INDEX(Properties!A$1:CB$87,Formula!J4,41))</f>
        <v>1.1218181818181818</v>
      </c>
      <c r="DY4" s="75">
        <f>Formula!C4*(INDEX(Properties!A$1:CB$87,Formula!B4,41))+Formula!E4*(INDEX(Properties!A$1:CB$87,Formula!D4,41))+Formula!G4*(INDEX(Properties!A$1:CB$87,Formula!F4,41))+Formula!I4*(INDEX(Properties!A$1:CB$87,Formula!H4,41))+Formula!K4*(INDEX(Properties!A$1:CB$87,Formula!J4,41))</f>
        <v>12.34</v>
      </c>
      <c r="DZ4" s="75">
        <f>VARP(IF(INDEX(Properties!A$1:CB$87,Formula!B4,41)&lt;&gt;"",INDEX(Properties!A$1:CB$87,Formula!B4,41)),IF(INDEX(Properties!A$1:CB$87,Formula!D4,41)&lt;&gt;"",INDEX(Properties!A$1:CB$87,Formula!D4,41)),IF(INDEX(Properties!A$1:CB$87,Formula!F4,41)&lt;&gt;"",INDEX(Properties!A$1:CB$87,Formula!F4,41)),IF(INDEX(Properties!A$1:CB$87,Formula!H4,41)&lt;&gt;"",INDEX(Properties!A$1:CB$87,Formula!H4,41)),IF(INDEX(Properties!A$1:CB$87,Formula!J4,41)&lt;&gt;"",INDEX(Properties!A$1:CB$87,Formula!J4,41)))</f>
        <v>0.29046400000000006</v>
      </c>
      <c r="EA4" s="75">
        <f>MAX(INDEX(Properties!A$1:CB$87,Formula!B4,41),INDEX(Properties!A$1:CB$87,Formula!D4,41),INDEX(Properties!A$1:CB$87,Formula!F4,41),INDEX(Properties!A$1:CB$87,Formula!H4,41),INDEX(Properties!A$1:CB$87,Formula!J4,41))</f>
        <v>1.26</v>
      </c>
      <c r="EB4" s="75">
        <f>MIN(IF(INDEX(Properties!A$1:CB$87,Formula!B4,41)=0,10^6,INDEX(Properties!A$1:CB$87,Formula!B4,41)),IF(INDEX(Properties!A$1:CB$87,Formula!D4,41)=0,10^6,INDEX(Properties!A$1:CB$87,Formula!D4,41)),IF(INDEX(Properties!A$1:CB$87,Formula!F4,41)=0,10^6,INDEX(Properties!A$1:CB$87,Formula!F4,41)),IF(INDEX(Properties!A$1:CB$87,Formula!H4,41)=0,10^6,INDEX(Properties!A$1:CB$87,Formula!H4,41)),IF(INDEX(Properties!A$1:CB$87,Formula!J4,41)=0,10^6,INDEX(Properties!A$1:CB$87,Formula!J4,41)))</f>
        <v>0.68</v>
      </c>
      <c r="EC4" s="75">
        <f t="shared" si="21"/>
        <v>0.57999999999999996</v>
      </c>
      <c r="ED4" s="48">
        <f>((Formula!C4)/(Formula!C4+Formula!E4+Formula!G4+Formula!I4+Formula!K4))*(INDEX(Properties!A$1:CB$87,Formula!B4,45))+((Formula!E4)/(Formula!C4+Formula!E4+Formula!G4+Formula!I4+Formula!K4))*(INDEX(Properties!A$1:CB$87,Formula!D4,45))+((Formula!G4)/(Formula!C4+Formula!E4+Formula!G4+Formula!I4+Formula!K4))*(INDEX(Properties!A$1:CB$87,Formula!F4,45))+((Formula!I4)/(Formula!C4+Formula!E4+Formula!G4+Formula!I4+Formula!K4))*(INDEX(Properties!A$1:CB$87,Formula!H4,45))+((Formula!K4)/(Formula!C4+Formula!E4+Formula!G4+Formula!I4+Formula!K4))*(INDEX(Properties!A$1:CB$87,Formula!J4,45))</f>
        <v>1.38</v>
      </c>
      <c r="EE4" s="48">
        <f>Formula!C4*(INDEX(Properties!A$1:CB$87,Formula!B4,45))+Formula!E4*(INDEX(Properties!A$1:CB$87,Formula!D4,45))+Formula!G4*(INDEX(Properties!A$1:CB$87,Formula!F4,45))+Formula!I4*(INDEX(Properties!A$1:CB$87,Formula!H4,45))+Formula!K4*(INDEX(Properties!A$1:CB$87,Formula!J4,45))</f>
        <v>15.18</v>
      </c>
      <c r="EF4" s="48">
        <f>VARP(IF(INDEX(Properties!A$1:CB$87,Formula!B4,45)&lt;&gt;"",INDEX(Properties!A$1:CB$87,Formula!B4,45)),IF(INDEX(Properties!A$1:CB$87,Formula!D4,45)&lt;&gt;"",INDEX(Properties!A$1:CB$87,Formula!D4,45)),IF(INDEX(Properties!A$1:CB$87,Formula!F4,45)&lt;&gt;"",INDEX(Properties!A$1:CB$87,Formula!F4,45)),IF(INDEX(Properties!A$1:CB$87,Formula!H4,45)&lt;&gt;"",INDEX(Properties!A$1:CB$87,Formula!H4,45)),IF(INDEX(Properties!A$1:CB$87,Formula!J4,45)&lt;&gt;"",INDEX(Properties!A$1:CB$87,Formula!J4,45)))</f>
        <v>1.3477600000000003</v>
      </c>
      <c r="EG4" s="48">
        <f>MAX(INDEX(Properties!A$1:CB$87,Formula!B4,45),INDEX(Properties!A$1:CB$87,Formula!D4,45),INDEX(Properties!A$1:CB$87,Formula!F4,45),INDEX(Properties!A$1:CB$87,Formula!H4,45),INDEX(Properties!A$1:CB$87,Formula!J4,45))</f>
        <v>3</v>
      </c>
      <c r="EH4" s="48">
        <f>MIN(IF(INDEX(Properties!A$1:CB$87,Formula!B4,45)=0,10^6,INDEX(Properties!A$1:CB$87,Formula!B4,45)),IF(INDEX(Properties!A$1:CB$87,Formula!D4,45)=0,10^6,INDEX(Properties!A$1:CB$87,Formula!D4,45)),IF(INDEX(Properties!A$1:CB$87,Formula!F4,45)=0,10^6,INDEX(Properties!A$1:CB$87,Formula!F4,45)),IF(INDEX(Properties!A$1:CB$87,Formula!H4,45)=0,10^6,INDEX(Properties!A$1:CB$87,Formula!H4,45)),IF(INDEX(Properties!A$1:CB$87,Formula!J4,45)=0,10^6,INDEX(Properties!A$1:CB$87,Formula!J4,45)))</f>
        <v>0.47</v>
      </c>
      <c r="EI4" s="48">
        <f t="shared" si="22"/>
        <v>2.5300000000000002</v>
      </c>
      <c r="EJ4" s="66">
        <f>((Formula!C4)/(Formula!C4+Formula!E4+Formula!G4+Formula!I4+Formula!K4))*(INDEX(Properties!A$1:CB$87,Formula!B4,46))+((Formula!E4)/(Formula!C4+Formula!E4+Formula!G4+Formula!I4+Formula!K4))*(INDEX(Properties!A$1:CB$87,Formula!D4,46))+((Formula!G4)/(Formula!C4+Formula!E4+Formula!G4+Formula!I4+Formula!K4))*(INDEX(Properties!A$1:CB$87,Formula!F4,46))+((Formula!I4)/(Formula!C4+Formula!E4+Formula!G4+Formula!I4+Formula!K4))*(INDEX(Properties!A$1:CB$87,Formula!H4,46))+((Formula!K4)/(Formula!C4+Formula!E4+Formula!G4+Formula!I4+Formula!K4))*(INDEX(Properties!A$1:CB$87,Formula!J4,46))</f>
        <v>1.0672727272727272</v>
      </c>
      <c r="EK4" s="66">
        <f>Formula!C4*(INDEX(Properties!A$1:CB$87,Formula!B4,46))+Formula!E4*(INDEX(Properties!A$1:CB$87,Formula!D4,46))+Formula!G4*(INDEX(Properties!A$1:CB$87,Formula!F4,46))+Formula!I4*(INDEX(Properties!A$1:CB$87,Formula!H4,46))+Formula!K4*(INDEX(Properties!A$1:CB$87,Formula!J4,46))</f>
        <v>11.74</v>
      </c>
      <c r="EL4" s="66">
        <f>VARP(IF(INDEX(Properties!A$1:CB$87,Formula!B4,46)&lt;&gt;"",INDEX(Properties!A$1:CB$87,Formula!B4,46)),IF(INDEX(Properties!A$1:CB$87,Formula!D4,46)&lt;&gt;"",INDEX(Properties!A$1:CB$87,Formula!D4,46)),IF(INDEX(Properties!A$1:CB$87,Formula!F4,46)&lt;&gt;"",INDEX(Properties!A$1:CB$87,Formula!F4,46)),IF(INDEX(Properties!A$1:CB$87,Formula!H4,46)&lt;&gt;"",INDEX(Properties!A$1:CB$87,Formula!H4,46)),IF(INDEX(Properties!A$1:CB$87,Formula!J4,46)&lt;&gt;"",INDEX(Properties!A$1:CB$87,Formula!J4,46)))</f>
        <v>0.277144</v>
      </c>
      <c r="EM4" s="66">
        <f>MAX(INDEX(Properties!A$1:CB$87,Formula!B4,46),INDEX(Properties!A$1:CB$87,Formula!D4,46),INDEX(Properties!A$1:CB$87,Formula!F4,46),INDEX(Properties!A$1:CB$87,Formula!H4,46),INDEX(Properties!A$1:CB$87,Formula!J4,46))</f>
        <v>1.21</v>
      </c>
      <c r="EN4" s="66">
        <f>MIN(IF(INDEX(Properties!A$1:CB$87,Formula!B4,46)=0,10^6,INDEX(Properties!A$1:CB$87,Formula!B4,46)),IF(INDEX(Properties!A$1:CB$87,Formula!D4,46)=0,10^6,INDEX(Properties!A$1:CB$87,Formula!D4,46)),IF(INDEX(Properties!A$1:CB$87,Formula!F4,46)=0,10^6,INDEX(Properties!A$1:CB$87,Formula!F4,46)),IF(INDEX(Properties!A$1:CB$87,Formula!H4,46)=0,10^6,INDEX(Properties!A$1:CB$87,Formula!H4,46)),IF(INDEX(Properties!A$1:CB$87,Formula!J4,46)=0,10^6,INDEX(Properties!A$1:CB$87,Formula!J4,46)))</f>
        <v>0.53</v>
      </c>
      <c r="EO4" s="66">
        <f t="shared" si="23"/>
        <v>0.67999999999999994</v>
      </c>
      <c r="EP4" s="81">
        <f>((Formula!C4)/(Formula!C4+Formula!E4+Formula!G4+Formula!I4+Formula!K4))*(INDEX(Properties!A$1:CB$87,Formula!B4,52))+((Formula!E4)/(Formula!C4+Formula!E4+Formula!G4+Formula!I4+Formula!K4))*(INDEX(Properties!A$1:CB$87,Formula!D4,52))+((Formula!G4)/(Formula!C4+Formula!E4+Formula!G4+Formula!I4+Formula!K4))*(INDEX(Properties!A$1:CB$87,Formula!F4,52))+((Formula!I4)/(Formula!C4+Formula!E4+Formula!G4+Formula!I4+Formula!K4))*(INDEX(Properties!A$1:CB$87,Formula!H4,52))+((Formula!K4)/(Formula!C4+Formula!E4+Formula!G4+Formula!I4+Formula!K4))*(INDEX(Properties!A$1:CB$87,Formula!J4,52))</f>
        <v>8.1598181818181814</v>
      </c>
      <c r="EQ4" s="81">
        <f>Formula!C4*(INDEX(Properties!A$1:CB$87,Formula!B4,52))+Formula!E4*(INDEX(Properties!A$1:CB$87,Formula!D4,52))+Formula!G4*(INDEX(Properties!A$1:CB$87,Formula!F4,52))+Formula!I4*(INDEX(Properties!A$1:CB$87,Formula!H4,52))+Formula!K4*(INDEX(Properties!A$1:CB$87,Formula!J4,52))</f>
        <v>89.757999999999996</v>
      </c>
      <c r="ER4" s="81">
        <f>VARP(IF(INDEX(Properties!A$1:CB$87,Formula!B4,52)&lt;&gt;"",INDEX(Properties!A$1:CB$87,Formula!B4,52)),IF(INDEX(Properties!A$1:CB$87,Formula!D4,52)&lt;&gt;"",INDEX(Properties!A$1:CB$87,Formula!D4,52)),IF(INDEX(Properties!A$1:CB$87,Formula!F4,52)&lt;&gt;"",INDEX(Properties!A$1:CB$87,Formula!F4,52)),IF(INDEX(Properties!A$1:CB$87,Formula!H4,52)&lt;&gt;"",INDEX(Properties!A$1:CB$87,Formula!H4,52)),IF(INDEX(Properties!A$1:CB$87,Formula!J4,52)&lt;&gt;"",INDEX(Properties!A$1:CB$87,Formula!J4,52)))</f>
        <v>77.18523184</v>
      </c>
      <c r="ES4" s="81">
        <f>MAX(INDEX(Properties!A$1:CB$87,Formula!B4,52),INDEX(Properties!A$1:CB$87,Formula!D4,52),INDEX(Properties!A$1:CB$87,Formula!F4,52),INDEX(Properties!A$1:CB$87,Formula!H4,52),INDEX(Properties!A$1:CB$87,Formula!J4,52))</f>
        <v>22.8</v>
      </c>
      <c r="ET4" s="81">
        <f>MIN(IF(INDEX(Properties!A$1:CB$87,Formula!B4,52)=0,10^6,INDEX(Properties!A$1:CB$87,Formula!B4,52)),IF(INDEX(Properties!A$1:CB$87,Formula!D4,52)=0,10^6,INDEX(Properties!A$1:CB$87,Formula!D4,52)),IF(INDEX(Properties!A$1:CB$87,Formula!F4,52)=0,10^6,INDEX(Properties!A$1:CB$87,Formula!F4,52)),IF(INDEX(Properties!A$1:CB$87,Formula!H4,52)=0,10^6,INDEX(Properties!A$1:CB$87,Formula!H4,52)),IF(INDEX(Properties!A$1:CB$87,Formula!J4,52)=0,10^6,INDEX(Properties!A$1:CB$87,Formula!J4,52)))</f>
        <v>0.79300000000000004</v>
      </c>
      <c r="EU4" s="81">
        <f t="shared" si="24"/>
        <v>22.007000000000001</v>
      </c>
      <c r="EV4" s="39">
        <f>((Formula!C4)/(Formula!C4+Formula!E4+Formula!G4+Formula!I4+Formula!K4))*(INDEX(Properties!A$1:CB$87,Formula!B4,53))+((Formula!E4)/(Formula!C4+Formula!E4+Formula!G4+Formula!I4+Formula!K4))*(INDEX(Properties!A$1:CB$87,Formula!D4,53))+((Formula!G4)/(Formula!C4+Formula!E4+Formula!G4+Formula!I4+Formula!K4))*(INDEX(Properties!A$1:CB$87,Formula!F4,53))+((Formula!I4)/(Formula!C4+Formula!E4+Formula!G4+Formula!I4+Formula!K4))*(INDEX(Properties!A$1:CB$87,Formula!H4,53))+((Formula!K4)/(Formula!C4+Formula!E4+Formula!G4+Formula!I4+Formula!K4))*(INDEX(Properties!A$1:CB$87,Formula!J4,53))</f>
        <v>502.84090909090912</v>
      </c>
      <c r="EW4" s="39">
        <f>Formula!C4*(INDEX(Properties!A$1:CB$87,Formula!B4,53))+Formula!E4*(INDEX(Properties!A$1:CB$87,Formula!D4,53))+Formula!G4*(INDEX(Properties!A$1:CB$87,Formula!F4,53))+Formula!I4*(INDEX(Properties!A$1:CB$87,Formula!H4,53))+Formula!K4*(INDEX(Properties!A$1:CB$87,Formula!J4,53))</f>
        <v>5531.25</v>
      </c>
      <c r="EX4" s="39">
        <f>VARP(IF(INDEX(Properties!A$1:CB$87,Formula!B4,53)&lt;&gt;"",INDEX(Properties!A$1:CB$87,Formula!B4,53)),IF(INDEX(Properties!A$1:CB$87,Formula!D4,53)&lt;&gt;"",INDEX(Properties!A$1:CB$87,Formula!D4,53)),IF(INDEX(Properties!A$1:CB$87,Formula!F4,53)&lt;&gt;"",INDEX(Properties!A$1:CB$87,Formula!F4,53)),IF(INDEX(Properties!A$1:CB$87,Formula!H4,53)&lt;&gt;"",INDEX(Properties!A$1:CB$87,Formula!H4,53)),IF(INDEX(Properties!A$1:CB$87,Formula!J4,53)&lt;&gt;"",INDEX(Properties!A$1:CB$87,Formula!J4,53)))</f>
        <v>245720.42140000005</v>
      </c>
      <c r="EY4" s="39">
        <f>MAX(INDEX(Properties!A$1:CB$87,Formula!B4,53),INDEX(Properties!A$1:CB$87,Formula!D4,53),INDEX(Properties!A$1:CB$87,Formula!F4,53),INDEX(Properties!A$1:CB$87,Formula!H4,53),INDEX(Properties!A$1:CB$87,Formula!J4,53))</f>
        <v>1112.1500000000001</v>
      </c>
      <c r="EZ4" s="39">
        <f>MIN(IF(INDEX(Properties!A$1:CB$87,Formula!B4,53)=0,10^6,INDEX(Properties!A$1:CB$87,Formula!B4,53)),IF(INDEX(Properties!A$1:CB$87,Formula!D4,53)=0,10^6,INDEX(Properties!A$1:CB$87,Formula!D4,53)),IF(INDEX(Properties!A$1:CB$87,Formula!F4,53)=0,10^6,INDEX(Properties!A$1:CB$87,Formula!F4,53)),IF(INDEX(Properties!A$1:CB$87,Formula!H4,53)=0,10^6,INDEX(Properties!A$1:CB$87,Formula!H4,53)),IF(INDEX(Properties!A$1:CB$87,Formula!J4,53)=0,10^6,INDEX(Properties!A$1:CB$87,Formula!J4,53)))</f>
        <v>54.749999999999972</v>
      </c>
      <c r="FA4" s="39">
        <f t="shared" si="25"/>
        <v>1057.4000000000001</v>
      </c>
      <c r="FB4" s="54">
        <f>((Formula!C4)/(Formula!C4+Formula!E4+Formula!G4+Formula!I4+Formula!K4))*(INDEX(Properties!A$1:CB$87,Formula!B4,54))+((Formula!E4)/(Formula!C4+Formula!E4+Formula!G4+Formula!I4+Formula!K4))*(INDEX(Properties!A$1:CB$87,Formula!D4,54))+((Formula!G4)/(Formula!C4+Formula!E4+Formula!G4+Formula!I4+Formula!K4))*(INDEX(Properties!A$1:CB$87,Formula!F4,54))+((Formula!I4)/(Formula!C4+Formula!E4+Formula!G4+Formula!I4+Formula!K4))*(INDEX(Properties!A$1:CB$87,Formula!H4,54))+((Formula!K4)/(Formula!C4+Formula!E4+Formula!G4+Formula!I4+Formula!K4))*(INDEX(Properties!A$1:CB$87,Formula!J4,54))</f>
        <v>1026.6045454545456</v>
      </c>
      <c r="FC4" s="54">
        <f>Formula!C4*(INDEX(Properties!A$1:CB$87,Formula!B4,54))+Formula!E4*(INDEX(Properties!A$1:CB$87,Formula!D4,54))+Formula!G4*(INDEX(Properties!A$1:CB$87,Formula!F4,54))+Formula!I4*(INDEX(Properties!A$1:CB$87,Formula!H4,54))+Formula!K4*(INDEX(Properties!A$1:CB$87,Formula!J4,54))</f>
        <v>11292.65</v>
      </c>
      <c r="FD4" s="54">
        <f>VARP(IF(INDEX(Properties!A$1:CB$87,Formula!B4,54)&lt;&gt;"",INDEX(Properties!A$1:CB$87,Formula!B4,54)),IF(INDEX(Properties!A$1:CB$87,Formula!D4,54)&lt;&gt;"",INDEX(Properties!A$1:CB$87,Formula!D4,54)),IF(INDEX(Properties!A$1:CB$87,Formula!F4,54)&lt;&gt;"",INDEX(Properties!A$1:CB$87,Formula!F4,54)),IF(INDEX(Properties!A$1:CB$87,Formula!H4,54)&lt;&gt;"",INDEX(Properties!A$1:CB$87,Formula!H4,54)),IF(INDEX(Properties!A$1:CB$87,Formula!J4,54)&lt;&gt;"",INDEX(Properties!A$1:CB$87,Formula!J4,54)))</f>
        <v>1279037.1334000006</v>
      </c>
      <c r="FE4" s="54">
        <f>MAX(INDEX(Properties!A$1:CB$87,Formula!B4,54),INDEX(Properties!A$1:CB$87,Formula!D4,54),INDEX(Properties!A$1:CB$87,Formula!F4,54),INDEX(Properties!A$1:CB$87,Formula!H4,54),INDEX(Properties!A$1:CB$87,Formula!J4,54))</f>
        <v>2740.15</v>
      </c>
      <c r="FF4" s="54">
        <f>MIN(IF(INDEX(Properties!A$1:CB$87,Formula!B4,54)=0,10^6,INDEX(Properties!A$1:CB$87,Formula!B4,54)),IF(INDEX(Properties!A$1:CB$87,Formula!D4,54)=0,10^6,INDEX(Properties!A$1:CB$87,Formula!D4,54)),IF(INDEX(Properties!A$1:CB$87,Formula!F4,54)=0,10^6,INDEX(Properties!A$1:CB$87,Formula!F4,54)),IF(INDEX(Properties!A$1:CB$87,Formula!H4,54)=0,10^6,INDEX(Properties!A$1:CB$87,Formula!H4,54)),IF(INDEX(Properties!A$1:CB$87,Formula!J4,54)=0,10^6,INDEX(Properties!A$1:CB$87,Formula!J4,54)))</f>
        <v>90.149999999999977</v>
      </c>
      <c r="FG4" s="54">
        <f t="shared" si="26"/>
        <v>2650</v>
      </c>
      <c r="FH4" s="69">
        <f>((Formula!C4)/(Formula!C4+Formula!E4+Formula!G4+Formula!I4+Formula!K4))*(INDEX(Properties!A$1:CB$87,Formula!B4,55))+((Formula!E4)/(Formula!C4+Formula!E4+Formula!G4+Formula!I4+Formula!K4))*(INDEX(Properties!A$1:CB$87,Formula!D4,55))+((Formula!G4)/(Formula!C4+Formula!E4+Formula!G4+Formula!I4+Formula!K4))*(INDEX(Properties!A$1:CB$87,Formula!F4,55))+((Formula!I4)/(Formula!C4+Formula!E4+Formula!G4+Formula!I4+Formula!K4))*(INDEX(Properties!A$1:CB$87,Formula!H4,55))+((Formula!K4)/(Formula!C4+Formula!E4+Formula!G4+Formula!I4+Formula!K4))*(INDEX(Properties!A$1:CB$87,Formula!J4,55))</f>
        <v>0.91441636363636369</v>
      </c>
      <c r="FI4" s="69">
        <f>Formula!C4*(INDEX(Properties!A$1:CB$87,Formula!B4,55))+Formula!E4*(INDEX(Properties!A$1:CB$87,Formula!D4,54))+Formula!G4*(INDEX(Properties!A$1:CB$87,Formula!F4,55))+Formula!I4*(INDEX(Properties!A$1:CB$87,Formula!H4,55))+Formula!K4*(INDEX(Properties!A$1:CB$87,Formula!J4,55))</f>
        <v>5484.9585799999995</v>
      </c>
      <c r="FJ4" s="69">
        <f>VARP(IF(INDEX(Properties!A$1:CB$87,Formula!B4,55)&lt;&gt;"",INDEX(Properties!A$1:CB$87,Formula!B4,55)),IF(INDEX(Properties!A$1:CB$87,Formula!D4,55)&lt;&gt;"",INDEX(Properties!A$1:CB$87,Formula!D4,55)),IF(INDEX(Properties!A$1:CB$87,Formula!F4,55)&lt;&gt;"",INDEX(Properties!A$1:CB$87,Formula!F4,55)),IF(INDEX(Properties!A$1:CB$87,Formula!H4,55)&lt;&gt;"",INDEX(Properties!A$1:CB$87,Formula!H4,55)),IF(INDEX(Properties!A$1:CB$87,Formula!J4,55)&lt;&gt;"",INDEX(Properties!A$1:CB$87,Formula!J4,55)))</f>
        <v>1.2155141271840002</v>
      </c>
      <c r="FK4" s="69">
        <f>MAX(INDEX(Properties!A$1:CB$87,Formula!B4,55),INDEX(Properties!A$1:CB$87,Formula!D4,55),INDEX(Properties!A$1:CB$87,Formula!F4,55),INDEX(Properties!A$1:CB$87,Formula!H4,55),INDEX(Properties!A$1:CB$87,Formula!J4,55))</f>
        <v>2.7</v>
      </c>
      <c r="FL4" s="69">
        <f>MIN(IF(INDEX(Properties!A$1:CB$87,Formula!B4,55)=0,10^6,INDEX(Properties!A$1:CB$87,Formula!B4,55)),IF(INDEX(Properties!A$1:CB$87,Formula!D4,55)=0,10^6,INDEX(Properties!A$1:CB$87,Formula!D4,55)),IF(INDEX(Properties!A$1:CB$87,Formula!F4,55)=0,10^6,INDEX(Properties!A$1:CB$87,Formula!F4,55)),IF(INDEX(Properties!A$1:CB$87,Formula!H4,55)=0,10^6,INDEX(Properties!A$1:CB$87,Formula!H4,55)),IF(INDEX(Properties!A$1:CB$87,Formula!J4,55)=0,10^6,INDEX(Properties!A$1:CB$87,Formula!J4,55)))</f>
        <v>1.4300000000000001E-3</v>
      </c>
      <c r="FM4" s="69">
        <f t="shared" si="27"/>
        <v>2.6985700000000001</v>
      </c>
      <c r="FN4" s="42">
        <f>((Formula!C4)/(Formula!C4+Formula!E4+Formula!G4+Formula!I4+Formula!K4))*(INDEX(Properties!A$1:CB$87,Formula!B4,56))+((Formula!E4)/(Formula!C4+Formula!E4+Formula!G4+Formula!I4+Formula!K4))*(INDEX(Properties!A$1:CB$87,Formula!D4,56))+((Formula!G4)/(Formula!C4+Formula!E4+Formula!G4+Formula!I4+Formula!K4))*(INDEX(Properties!A$1:CB$87,Formula!F4,56))+((Formula!I4)/(Formula!C4+Formula!E4+Formula!G4+Formula!I4+Formula!K4))*(INDEX(Properties!A$1:CB$87,Formula!H4,56))+((Formula!K4)/(Formula!C4+Formula!E4+Formula!G4+Formula!I4+Formula!K4))*(INDEX(Properties!A$1:CB$87,Formula!J4,56))</f>
        <v>0.83727272727272728</v>
      </c>
      <c r="FO4" s="42">
        <f>Formula!C4*(INDEX(Properties!A$1:CB$87,Formula!B4,56))+Formula!E4*(INDEX(Properties!A$1:CB$87,Formula!D4,56))+Formula!G4*(INDEX(Properties!A$1:CB$87,Formula!F4,56))+Formula!I4*(INDEX(Properties!A$1:CB$87,Formula!H4,56))+Formula!K4*(INDEX(Properties!A$1:CB$87,Formula!J4,56))</f>
        <v>9.2100000000000009</v>
      </c>
      <c r="FP4" s="42">
        <f>VARP(IF(INDEX(Properties!A$1:CB$87,Formula!B4,56)&lt;&gt;"",INDEX(Properties!A$1:CB$87,Formula!B4,56)),IF(INDEX(Properties!A$1:CB$87,Formula!D4,56)&lt;&gt;"",INDEX(Properties!A$1:CB$87,Formula!D4,56)),IF(INDEX(Properties!A$1:CB$87,Formula!F4,56)&lt;&gt;"",INDEX(Properties!A$1:CB$87,Formula!F4,56)),IF(INDEX(Properties!A$1:CB$87,Formula!H4,56)&lt;&gt;"",INDEX(Properties!A$1:CB$87,Formula!H4,56)),IF(INDEX(Properties!A$1:CB$87,Formula!J4,56)&lt;&gt;"",INDEX(Properties!A$1:CB$87,Formula!J4,56)))</f>
        <v>0.17055999999999996</v>
      </c>
      <c r="FQ4" s="42">
        <f>MAX(INDEX(Properties!A$1:CB$87,Formula!B4,56),INDEX(Properties!A$1:CB$87,Formula!D4,56),INDEX(Properties!A$1:CB$87,Formula!F4,56),INDEX(Properties!A$1:CB$87,Formula!H4,56),INDEX(Properties!A$1:CB$87,Formula!J4,56))</f>
        <v>0.92</v>
      </c>
      <c r="FR4" s="42">
        <f>MIN(IF(INDEX(Properties!A$1:CB$87,Formula!B4,56)=0,10^6,INDEX(Properties!A$1:CB$87,Formula!B4,56)),IF(INDEX(Properties!A$1:CB$87,Formula!D4,56)=0,10^6,INDEX(Properties!A$1:CB$87,Formula!D4,56)),IF(INDEX(Properties!A$1:CB$87,Formula!F4,56)=0,10^6,INDEX(Properties!A$1:CB$87,Formula!F4,56)),IF(INDEX(Properties!A$1:CB$87,Formula!H4,56)=0,10^6,INDEX(Properties!A$1:CB$87,Formula!H4,56)),IF(INDEX(Properties!A$1:CB$87,Formula!J4,56)=0,10^6,INDEX(Properties!A$1:CB$87,Formula!J4,56)))</f>
        <v>0.63</v>
      </c>
      <c r="FS4" s="42">
        <f t="shared" si="28"/>
        <v>0.29000000000000004</v>
      </c>
      <c r="FT4" s="60">
        <f>((Formula!C4)/(Formula!C4+Formula!E4+Formula!G4+Formula!I4+Formula!K4))*(INDEX(Properties!A$1:CB$87,Formula!B4,57))+((Formula!E4)/(Formula!C4+Formula!E4+Formula!G4+Formula!I4+Formula!K4))*(INDEX(Properties!A$1:CB$87,Formula!D4,57))+((Formula!G4)/(Formula!C4+Formula!E4+Formula!G4+Formula!I4+Formula!K4))*(INDEX(Properties!A$1:CB$87,Formula!F4,57))+((Formula!I4)/(Formula!C4+Formula!E4+Formula!G4+Formula!I4+Formula!K4))*(INDEX(Properties!A$1:CB$87,Formula!H4,57))+((Formula!K4)/(Formula!C4+Formula!E4+Formula!G4+Formula!I4+Formula!K4))*(INDEX(Properties!A$1:CB$87,Formula!J4,57))</f>
        <v>4.4123218181818178</v>
      </c>
      <c r="FU4" s="60">
        <f>Formula!C4*(INDEX(Properties!A$1:CB$87,Formula!B4,57))+Formula!E4*(INDEX(Properties!A$1:CB$87,Formula!D4,57))+Formula!G4*(INDEX(Properties!A$1:CB$87,Formula!F4,57))+Formula!I4*(INDEX(Properties!A$1:CB$87,Formula!H4,57))+Formula!K4*(INDEX(Properties!A$1:CB$87,Formula!J4,57))</f>
        <v>48.535539999999997</v>
      </c>
      <c r="FV4" s="60">
        <f>VARP(IF(INDEX(Properties!A$1:CB$87,Formula!B4,57)&lt;&gt;"",INDEX(Properties!A$1:CB$87,Formula!B4,57)),IF(INDEX(Properties!A$1:CB$87,Formula!D4,57)&lt;&gt;"",INDEX(Properties!A$1:CB$87,Formula!D4,57)),IF(INDEX(Properties!A$1:CB$87,Formula!F4,57)&lt;&gt;"",INDEX(Properties!A$1:CB$87,Formula!F4,57)),IF(INDEX(Properties!A$1:CB$87,Formula!H4,57)&lt;&gt;"",INDEX(Properties!A$1:CB$87,Formula!H4,57)),IF(INDEX(Properties!A$1:CB$87,Formula!J4,57)&lt;&gt;"",INDEX(Properties!A$1:CB$87,Formula!J4,57)))</f>
        <v>22.588898233295996</v>
      </c>
      <c r="FW4" s="60">
        <f>MAX(INDEX(Properties!A$1:CB$87,Formula!B4,57),INDEX(Properties!A$1:CB$87,Formula!D4,57),INDEX(Properties!A$1:CB$87,Formula!F4,57),INDEX(Properties!A$1:CB$87,Formula!H4,57),INDEX(Properties!A$1:CB$87,Formula!J4,57))</f>
        <v>10.79</v>
      </c>
      <c r="FX4" s="60">
        <f>MIN(IF(INDEX(Properties!A$1:CB$87,Formula!B4,57)=0,10^6,INDEX(Properties!A$1:CB$87,Formula!B4,57)),IF(INDEX(Properties!A$1:CB$87,Formula!D4,57)=0,10^6,INDEX(Properties!A$1:CB$87,Formula!D4,57)),IF(INDEX(Properties!A$1:CB$87,Formula!F4,57)=0,10^6,INDEX(Properties!A$1:CB$87,Formula!F4,57)),IF(INDEX(Properties!A$1:CB$87,Formula!H4,57)=0,10^6,INDEX(Properties!A$1:CB$87,Formula!H4,57)),IF(INDEX(Properties!A$1:CB$87,Formula!J4,57)=0,10^6,INDEX(Properties!A$1:CB$87,Formula!J4,57)))</f>
        <v>0.22259000000000001</v>
      </c>
      <c r="FY4" s="60">
        <f t="shared" si="29"/>
        <v>10.567409999999999</v>
      </c>
      <c r="FZ4" s="72">
        <f>((Formula!C4)/(Formula!C4+Formula!E4+Formula!G4+Formula!I4+Formula!K4))*(INDEX(Properties!A$1:CB$87,Formula!B4,60))+((Formula!E4)/(Formula!C4+Formula!E4+Formula!G4+Formula!I4+Formula!K4))*(INDEX(Properties!A$1:CB$87,Formula!D4,60))+((Formula!G4)/(Formula!C4+Formula!E4+Formula!G4+Formula!I4+Formula!K4))*(INDEX(Properties!A$1:CB$87,Formula!F4,60))+((Formula!I4)/(Formula!C4+Formula!E4+Formula!G4+Formula!I4+Formula!K4))*(INDEX(Properties!A$1:CB$87,Formula!H4,60))+((Formula!K4)/(Formula!C4+Formula!E4+Formula!G4+Formula!I4+Formula!K4))*(INDEX(Properties!A$1:CB$87,Formula!J4,60))</f>
        <v>97.65094909090908</v>
      </c>
      <c r="GA4" s="72">
        <f>Formula!C4*(INDEX(Properties!A$1:CB$87,Formula!B4,60))+Formula!E4*(INDEX(Properties!A$1:CB$87,Formula!D4,60))+Formula!G4*(INDEX(Properties!A$1:CB$87,Formula!F4,60))+Formula!I4*(INDEX(Properties!A$1:CB$87,Formula!H4,60))+Formula!K4*(INDEX(Properties!A$1:CB$87,Formula!J4,60))</f>
        <v>1074.1604400000001</v>
      </c>
      <c r="GB4" s="72">
        <f>VARP(IF(INDEX(Properties!A$1:CB$87,Formula!B4,60)&lt;&gt;"",INDEX(Properties!A$1:CB$87,Formula!B4,60)),IF(INDEX(Properties!A$1:CB$87,Formula!D4,60)&lt;&gt;"",INDEX(Properties!A$1:CB$87,Formula!D4,60)),IF(INDEX(Properties!A$1:CB$87,Formula!F4,60)&lt;&gt;"",INDEX(Properties!A$1:CB$87,Formula!F4,60)),IF(INDEX(Properties!A$1:CB$87,Formula!H4,60)&lt;&gt;"",INDEX(Properties!A$1:CB$87,Formula!H4,60)),IF(INDEX(Properties!A$1:CB$87,Formula!J4,60)&lt;&gt;"",INDEX(Properties!A$1:CB$87,Formula!J4,60)))</f>
        <v>11594.105284004416</v>
      </c>
      <c r="GC4" s="72">
        <f>MAX(INDEX(Properties!A$1:CB$87,Formula!B4,60),INDEX(Properties!A$1:CB$87,Formula!D4,60),INDEX(Properties!A$1:CB$87,Formula!F4,60),INDEX(Properties!A$1:CB$87,Formula!H4,60),INDEX(Properties!A$1:CB$87,Formula!J4,60))</f>
        <v>237</v>
      </c>
      <c r="GD4" s="72">
        <f>MIN(IF(INDEX(Properties!A$1:CB$87,Formula!B4,60)=0,10^6,INDEX(Properties!A$1:CB$87,Formula!B4,60)),IF(INDEX(Properties!A$1:CB$87,Formula!D4,60)=0,10^6,INDEX(Properties!A$1:CB$87,Formula!D4,60)),IF(INDEX(Properties!A$1:CB$87,Formula!F4,60)=0,10^6,INDEX(Properties!A$1:CB$87,Formula!F4,60)),IF(INDEX(Properties!A$1:CB$87,Formula!H4,60)=0,10^6,INDEX(Properties!A$1:CB$87,Formula!H4,60)),IF(INDEX(Properties!A$1:CB$87,Formula!J4,60)=0,10^6,INDEX(Properties!A$1:CB$87,Formula!J4,60)))</f>
        <v>2.674E-2</v>
      </c>
      <c r="GE4" s="72">
        <f t="shared" si="30"/>
        <v>236.97326000000001</v>
      </c>
      <c r="GF4" s="51">
        <f>((Formula!C4)/(Formula!C4+Formula!E4+Formula!G4+Formula!I4+Formula!K4))*(INDEX(Properties!A$1:CB$87,Formula!B4,62))+((Formula!E4)/(Formula!C4+Formula!E4+Formula!G4+Formula!I4+Formula!K4))*(INDEX(Properties!A$1:CB$87,Formula!D4,62))+((Formula!G4)/(Formula!C4+Formula!E4+Formula!G4+Formula!I4+Formula!K4))*(INDEX(Properties!A$1:CB$87,Formula!F4,62))+((Formula!I4)/(Formula!C4+Formula!E4+Formula!G4+Formula!I4+Formula!K4))*(INDEX(Properties!A$1:CB$87,Formula!H4,62))+((Formula!K4)/(Formula!C4+Formula!E4+Formula!G4+Formula!I4+Formula!K4))*(INDEX(Properties!A$1:CB$87,Formula!J4,62))</f>
        <v>2.5472727272727269</v>
      </c>
      <c r="GG4" s="51">
        <f>Formula!C4*(INDEX(Properties!A$1:CB$87,Formula!B4,62))+Formula!E4*(INDEX(Properties!A$1:CB$87,Formula!D4,62))+Formula!G4*(INDEX(Properties!A$1:CB$87,Formula!F4,62))+Formula!I4*(INDEX(Properties!A$1:CB$87,Formula!H4,62))+Formula!K4*(INDEX(Properties!A$1:CB$87,Formula!J4,62))</f>
        <v>28.020000000000003</v>
      </c>
      <c r="GH4" s="51">
        <f>VARP(IF(INDEX(Properties!A$1:CB$87,Formula!B4,62)&lt;&gt;"",INDEX(Properties!A$1:CB$87,Formula!B4,62)),IF(INDEX(Properties!A$1:CB$87,Formula!D4,62)&lt;&gt;"",INDEX(Properties!A$1:CB$87,Formula!D4,62)),IF(INDEX(Properties!A$1:CB$87,Formula!F4,62)&lt;&gt;"",INDEX(Properties!A$1:CB$87,Formula!F4,62)),IF(INDEX(Properties!A$1:CB$87,Formula!H4,62)&lt;&gt;"",INDEX(Properties!A$1:CB$87,Formula!H4,62)),IF(INDEX(Properties!A$1:CB$87,Formula!J4,62)&lt;&gt;"",INDEX(Properties!A$1:CB$87,Formula!J4,62)))</f>
        <v>1.8835199999999994</v>
      </c>
      <c r="GI4" s="51">
        <f>MAX(INDEX(Properties!A$1:CB$87,Formula!B4,62),INDEX(Properties!A$1:CB$87,Formula!D4,62),INDEX(Properties!A$1:CB$87,Formula!F4,62),INDEX(Properties!A$1:CB$87,Formula!H4,62),INDEX(Properties!A$1:CB$87,Formula!J4,62))</f>
        <v>3.39</v>
      </c>
      <c r="GJ4" s="51">
        <f>MIN(IF(INDEX(Properties!A$1:CB$87,Formula!B4,62)=0,10^6,INDEX(Properties!A$1:CB$87,Formula!B4,62)),IF(INDEX(Properties!A$1:CB$87,Formula!D4,62)=0,10^6,INDEX(Properties!A$1:CB$87,Formula!D4,62)),IF(INDEX(Properties!A$1:CB$87,Formula!F4,62)=0,10^6,INDEX(Properties!A$1:CB$87,Formula!F4,62)),IF(INDEX(Properties!A$1:CB$87,Formula!H4,62)=0,10^6,INDEX(Properties!A$1:CB$87,Formula!H4,62)),IF(INDEX(Properties!A$1:CB$87,Formula!J4,62)=0,10^6,INDEX(Properties!A$1:CB$87,Formula!J4,62)))</f>
        <v>1.84</v>
      </c>
      <c r="GK4" s="51">
        <f t="shared" si="31"/>
        <v>1.55</v>
      </c>
      <c r="GL4" s="51">
        <f>Formula!P4</f>
        <v>221</v>
      </c>
      <c r="GM4" s="57">
        <f>Formula!O4</f>
        <v>7</v>
      </c>
      <c r="GN4" s="51">
        <f>Formula!N4</f>
        <v>0.04</v>
      </c>
    </row>
    <row r="5" spans="1:196" s="5" customFormat="1" x14ac:dyDescent="0.3">
      <c r="A5" s="84" t="str">
        <f>Formula!A5</f>
        <v>CaLa4Si3O13</v>
      </c>
      <c r="B5" s="89">
        <f>((Formula!C5)/(Formula!C5+Formula!E5+Formula!G5+Formula!I5+Formula!K5))*(INDEX(Properties!A$1:CB$87,Formula!B5,3))+((Formula!E5)/(Formula!C5+Formula!E5+Formula!G5+Formula!I5+Formula!K5))*(INDEX(Properties!A$1:CB$87,Formula!D5,3))+((Formula!G5)/(Formula!C5+Formula!E5+Formula!G5+Formula!I5+Formula!K5))*(INDEX(Properties!A$1:CB$87,Formula!F5,3))+((Formula!I5)/(Formula!C5+Formula!E5+Formula!G5+Formula!I5+Formula!K5))*(INDEX(Properties!A$1:CB$87,Formula!H5,3))+((Formula!K5)/(Formula!C5+Formula!E5+Formula!G5+Formula!I5+Formula!K5))*(INDEX(Properties!A$1:CB$87,Formula!J5,3))</f>
        <v>42.283271428571425</v>
      </c>
      <c r="C5" s="85">
        <f>Formula!C5*(INDEX(Properties!A$1:CB$87,Formula!B5,3))+Formula!E5*(INDEX(Properties!A$1:CB$87,Formula!D5,3))+Formula!G5*(INDEX(Properties!A$1:CB$87,Formula!F5,3))+Formula!I5*(INDEX(Properties!A$1:CB$87,Formula!H5,3))+Formula!K5*(INDEX(Properties!A$1:CB$87,Formula!J5,3))</f>
        <v>887.94869999999992</v>
      </c>
      <c r="D5" s="85">
        <f>VARP(IF(INDEX(Properties!A$1:CB$87,Formula!B5,3)&lt;&gt;"",INDEX(Properties!A$1:CB$87,Formula!B5,3)),IF(INDEX(Properties!A$1:CB$87,Formula!D5,3)&lt;&gt;"",INDEX(Properties!A$1:CB$87,Formula!D5,3)),IF(INDEX(Properties!A$1:CB$87,Formula!F5,3)&lt;&gt;"",INDEX(Properties!A$1:CB$87,Formula!F5,3)),IF(INDEX(Properties!A$1:CB$87,Formula!H5,3)&lt;&gt;"",INDEX(Properties!A$1:CB$87,Formula!H5,3)),IF(INDEX(Properties!A$1:CB$87,Formula!J5,3)&lt;&gt;"",INDEX(Properties!A$1:CB$87,Formula!J5,3)))</f>
        <v>2398.7715818295997</v>
      </c>
      <c r="E5" s="85">
        <f>MAX(INDEX(Properties!A$1:CB$87,Formula!B5,3),INDEX(Properties!A$1:CB$87,Formula!D5,3),INDEX(Properties!A$1:CB$87,Formula!F5,3),INDEX(Properties!A$1:CB$87,Formula!H5,3),INDEX(Properties!A$1:CB$87,Formula!J5,3))</f>
        <v>138.90549999999999</v>
      </c>
      <c r="F5" s="85">
        <f>MIN(IF(INDEX(Properties!A$1:CB$87,Formula!B5,3)=0,10^6,INDEX(Properties!A$1:CB$87,Formula!B5,3)),IF(INDEX(Properties!A$1:CB$87,Formula!D5,3)=0,10^6,INDEX(Properties!A$1:CB$87,Formula!D5,3)),IF(INDEX(Properties!A$1:CB$87,Formula!F5,3)=0,10^6,INDEX(Properties!A$1:CB$87,Formula!F5,3)),IF(INDEX(Properties!A$1:CB$87,Formula!H5,3)=0,10^6,INDEX(Properties!A$1:CB$87,Formula!H5,3)),IF(INDEX(Properties!A$1:CB$87,Formula!J5,3)=0,10^6,INDEX(Properties!A$1:CB$87,Formula!J5,3)))</f>
        <v>15.9994</v>
      </c>
      <c r="G5" s="85">
        <f t="shared" si="0"/>
        <v>122.9061</v>
      </c>
      <c r="H5" s="87">
        <f>((Formula!C5)/(Formula!C5+Formula!E5+Formula!G5+Formula!I5+Formula!K5))*(INDEX(Properties!A$1:CB$87,Formula!B5,4))+((Formula!E5)/(Formula!C5+Formula!E5+Formula!G5+Formula!I5+Formula!K5))*(INDEX(Properties!A$1:CB$87,Formula!D5,4))+((Formula!G5)/(Formula!C5+Formula!E5+Formula!G5+Formula!I5+Formula!K5))*(INDEX(Properties!A$1:CB$87,Formula!F5,4))+((Formula!I5)/(Formula!C5+Formula!E5+Formula!G5+Formula!I5+Formula!K5))*(INDEX(Properties!A$1:CB$87,Formula!H5,4))+((Formula!K5)/(Formula!C5+Formula!E5+Formula!G5+Formula!I5+Formula!K5))*(INDEX(Properties!A$1:CB$87,Formula!J5,4))</f>
        <v>18.761904761904759</v>
      </c>
      <c r="I5" s="87">
        <f>Formula!C5*(INDEX(Properties!A$1:CB$87,Formula!B5,4))+Formula!E5*(INDEX(Properties!A$1:CB$87,Formula!D5,4))+Formula!G5*(INDEX(Properties!A$1:CB$87,Formula!F5,4))+Formula!I5*(INDEX(Properties!A$1:CB$87,Formula!H5,4))+Formula!K5*(INDEX(Properties!A$1:CB$87,Formula!J5,4))</f>
        <v>394</v>
      </c>
      <c r="J5" s="87">
        <f>VARP(IF(INDEX(Properties!A$1:CB$87,Formula!B5,4)&lt;&gt;"",INDEX(Properties!A$1:CB$87,Formula!B5,4)),IF(INDEX(Properties!A$1:CB$87,Formula!D5,4)&lt;&gt;"",INDEX(Properties!A$1:CB$87,Formula!D5,4)),IF(INDEX(Properties!A$1:CB$87,Formula!F5,4)&lt;&gt;"",INDEX(Properties!A$1:CB$87,Formula!F5,4)),IF(INDEX(Properties!A$1:CB$87,Formula!H5,4)&lt;&gt;"",INDEX(Properties!A$1:CB$87,Formula!H5,4)),IF(INDEX(Properties!A$1:CB$87,Formula!J5,4)&lt;&gt;"",INDEX(Properties!A$1:CB$87,Formula!J5,4)))</f>
        <v>389.76</v>
      </c>
      <c r="K5" s="87">
        <f>MAX(INDEX(Properties!A$1:CB$87,Formula!B5,4),INDEX(Properties!A$1:CB$87,Formula!D5,4),INDEX(Properties!A$1:CB$87,Formula!F5,4),INDEX(Properties!A$1:CB$87,Formula!H5,4),INDEX(Properties!A$1:CB$87,Formula!J5,4))</f>
        <v>57</v>
      </c>
      <c r="L5" s="87">
        <f>MIN(IF(INDEX(Properties!A$1:CB$87,Formula!B5,4)=0,10^6,INDEX(Properties!A$1:CB$87,Formula!B5,4)),IF(INDEX(Properties!A$1:CB$87,Formula!D5,4)=0,10^6,INDEX(Properties!A$1:CB$87,Formula!D5,4)),IF(INDEX(Properties!A$1:CB$87,Formula!F5,4)=0,10^6,INDEX(Properties!A$1:CB$87,Formula!F5,4)),IF(INDEX(Properties!A$1:CB$87,Formula!H5,4)=0,10^6,INDEX(Properties!A$1:CB$87,Formula!H5,4)),IF(INDEX(Properties!A$1:CB$87,Formula!J5,4)=0,10^6,INDEX(Properties!A$1:CB$87,Formula!J5,4)))</f>
        <v>8</v>
      </c>
      <c r="M5" s="87">
        <f t="shared" si="1"/>
        <v>49</v>
      </c>
      <c r="N5" s="89">
        <f>((Formula!C5)/(Formula!C5+Formula!E5+Formula!G5+Formula!I5+Formula!K5))*(INDEX(Properties!A$1:CB$87,Formula!B5,5))+((Formula!E5)/(Formula!C5+Formula!E5+Formula!G5+Formula!I5+Formula!K5))*(INDEX(Properties!A$1:CB$87,Formula!D5,5))+((Formula!G5)/(Formula!C5+Formula!E5+Formula!G5+Formula!I5+Formula!K5))*(INDEX(Properties!A$1:CB$87,Formula!F5,5))+((Formula!I5)/(Formula!C5+Formula!E5+Formula!G5+Formula!I5+Formula!K5))*(INDEX(Properties!A$1:CB$87,Formula!H5,5))+((Formula!K5)/(Formula!C5+Formula!E5+Formula!G5+Formula!I5+Formula!K5))*(INDEX(Properties!A$1:CB$87,Formula!J5,5))</f>
        <v>3</v>
      </c>
      <c r="O5" s="89">
        <f>Formula!C5*(INDEX(Properties!A$1:CB$87,Formula!B5,5))+Formula!E5*(INDEX(Properties!A$1:CB$87,Formula!D5,5))+Formula!G5*(INDEX(Properties!A$1:CB$87,Formula!F5,5))+Formula!I5*(INDEX(Properties!A$1:CB$87,Formula!H5,5))+Formula!K5*(INDEX(Properties!A$1:CB$87,Formula!J5,5))</f>
        <v>63</v>
      </c>
      <c r="P5" s="89">
        <f>VARP(IF(INDEX(Properties!A$1:CB$87,Formula!B5,5)&lt;&gt;"",INDEX(Properties!A$1:CB$87,Formula!B5,5)),IF(INDEX(Properties!A$1:CB$87,Formula!D5,5)&lt;&gt;"",INDEX(Properties!A$1:CB$87,Formula!D5,5)),IF(INDEX(Properties!A$1:CB$87,Formula!F5,5)&lt;&gt;"",INDEX(Properties!A$1:CB$87,Formula!F5,5)),IF(INDEX(Properties!A$1:CB$87,Formula!H5,5)&lt;&gt;"",INDEX(Properties!A$1:CB$87,Formula!H5,5)),IF(INDEX(Properties!A$1:CB$87,Formula!J5,5)&lt;&gt;"",INDEX(Properties!A$1:CB$87,Formula!J5,5)))</f>
        <v>4</v>
      </c>
      <c r="Q5" s="89">
        <f>MAX(INDEX(Properties!A$1:CB$87,Formula!B5,5),INDEX(Properties!A$1:CB$87,Formula!D5,5),INDEX(Properties!A$1:CB$87,Formula!F5,5),INDEX(Properties!A$1:CB$87,Formula!H5,5),INDEX(Properties!A$1:CB$87,Formula!J5,5))</f>
        <v>6</v>
      </c>
      <c r="R5" s="89">
        <f>MIN(IF(INDEX(Properties!A$1:CB$87,Formula!B5,5)=0,10^6,INDEX(Properties!A$1:CB$87,Formula!B5,5)),IF(INDEX(Properties!A$1:CB$87,Formula!D5,5)=0,10^6,INDEX(Properties!A$1:CB$87,Formula!D5,5)),IF(INDEX(Properties!A$1:CB$87,Formula!F5,5)=0,10^6,INDEX(Properties!A$1:CB$87,Formula!F5,5)),IF(INDEX(Properties!A$1:CB$87,Formula!H5,5)=0,10^6,INDEX(Properties!A$1:CB$87,Formula!H5,5)),IF(INDEX(Properties!A$1:CB$87,Formula!J5,5)=0,10^6,INDEX(Properties!A$1:CB$87,Formula!J5,5)))</f>
        <v>2</v>
      </c>
      <c r="S5" s="89">
        <f t="shared" si="2"/>
        <v>4</v>
      </c>
      <c r="T5" s="60">
        <f>((Formula!C5)/(Formula!C5+Formula!E5+Formula!G5+Formula!I5+Formula!K5))*(INDEX(Properties!A$1:CB$87,Formula!B5,6))+((Formula!E5)/(Formula!C5+Formula!E5+Formula!G5+Formula!I5+Formula!K5))*(INDEX(Properties!A$1:CB$87,Formula!D5,6))+((Formula!G5)/(Formula!C5+Formula!E5+Formula!G5+Formula!I5+Formula!K5))*(INDEX(Properties!A$1:CB$87,Formula!F5,6))+((Formula!I5)/(Formula!C5+Formula!E5+Formula!G5+Formula!I5+Formula!K5))*(INDEX(Properties!A$1:CB$87,Formula!H5,6))+((Formula!K5)/(Formula!C5+Formula!E5+Formula!G5+Formula!I5+Formula!K5))*(INDEX(Properties!A$1:CB$87,Formula!J5,6))</f>
        <v>12.571428571428571</v>
      </c>
      <c r="U5" s="60">
        <f>Formula!C5*(INDEX(Properties!A$1:CB$87,Formula!B5,6))+Formula!E5*(INDEX(Properties!A$1:CB$87,Formula!D5,6))+Formula!G5*(INDEX(Properties!A$1:CB$87,Formula!F5,6))+Formula!I5*(INDEX(Properties!A$1:CB$87,Formula!H5,6))+Formula!K5*(INDEX(Properties!A$1:CB$87,Formula!J5,6))</f>
        <v>264</v>
      </c>
      <c r="V5" s="89">
        <f>VARP(IF(INDEX(Properties!A$1:CB$87,Formula!B5,6)&lt;&gt;"",INDEX(Properties!A$1:CB$87,Formula!B5,6)),IF(INDEX(Properties!A$1:CB$87,Formula!D5,6)&lt;&gt;"",INDEX(Properties!A$1:CB$87,Formula!D5,6)),IF(INDEX(Properties!A$1:CB$87,Formula!F5,6)&lt;&gt;"",INDEX(Properties!A$1:CB$87,Formula!F5,6)),IF(INDEX(Properties!A$1:CB$87,Formula!H5,6)&lt;&gt;"",INDEX(Properties!A$1:CB$87,Formula!H5,6)),IF(INDEX(Properties!A$1:CB$87,Formula!J5,6)&lt;&gt;"",INDEX(Properties!A$1:CB$87,Formula!J5,6)))</f>
        <v>44</v>
      </c>
      <c r="W5" s="60">
        <f>MAX(INDEX(Properties!A$1:CB$87,Formula!B5,6),INDEX(Properties!A$1:CB$87,Formula!D5,6),INDEX(Properties!A$1:CB$87,Formula!F5,6),INDEX(Properties!A$1:CB$87,Formula!H5,4),INDEX(Properties!A$1:CB$87,Formula!J5,6))</f>
        <v>14</v>
      </c>
      <c r="X5" s="60">
        <f>MIN(IF(INDEX(Properties!A$1:CB$87,Formula!B5,6)=0,10^6,INDEX(Properties!A$1:CB$87,Formula!B5,6)),IF(INDEX(Properties!A$1:CB$87,Formula!D5,6)=0,10^6,INDEX(Properties!A$1:CB$87,Formula!D5,6)),IF(INDEX(Properties!A$1:CB$87,Formula!F5,6)=0,10^6,INDEX(Properties!A$1:CB$87,Formula!F5,6)),IF(INDEX(Properties!A$1:CB$87,Formula!H5,6)=0,10^6,INDEX(Properties!A$1:CB$87,Formula!H5,6)),IF(INDEX(Properties!A$1:CB$87,Formula!J5,6)=0,10^6,INDEX(Properties!A$1:CB$87,Formula!J5,6)))</f>
        <v>2</v>
      </c>
      <c r="Y5" s="60">
        <f t="shared" si="3"/>
        <v>12</v>
      </c>
      <c r="Z5" s="72">
        <f>((Formula!C5)/(Formula!C5+Formula!E5+Formula!G5+Formula!I5+Formula!K5))*(INDEX(Properties!A$1:CB$87,Formula!B5,9))+((Formula!E5)/(Formula!C5+Formula!E5+Formula!G5+Formula!I5+Formula!K5))*(INDEX(Properties!A$1:CB$87,Formula!D5,9))+((Formula!G5)/(Formula!C5+Formula!E5+Formula!G5+Formula!I5+Formula!K5))*(INDEX(Properties!A$1:CB$87,Formula!F5,9))+((Formula!I5)/(Formula!C5+Formula!E5+Formula!G5+Formula!I5+Formula!K5))*(INDEX(Properties!A$1:CB$87,Formula!H5,9))+((Formula!K5)/(Formula!C5+Formula!E5+Formula!G5+Formula!I5+Formula!K5))*(INDEX(Properties!A$1:CB$87,Formula!J5,9))</f>
        <v>67.80952380952381</v>
      </c>
      <c r="AA5" s="72">
        <f>Formula!C5*(INDEX(Properties!A$1:CB$87,Formula!B5,9))+Formula!E5*(INDEX(Properties!A$1:CB$87,Formula!D5,9))+Formula!G5*(INDEX(Properties!A$1:CB$87,Formula!F5,9))+Formula!I5*(INDEX(Properties!A$1:CB$87,Formula!H5,9))+Formula!K5*(INDEX(Properties!A$1:CB$87,Formula!J5,9))</f>
        <v>1424</v>
      </c>
      <c r="AB5" s="72">
        <f>VARP(IF(INDEX(Properties!A$1:CB$87,Formula!B5,9)&lt;&gt;"",INDEX(Properties!A$1:CB$87,Formula!B5,9)),IF(INDEX(Properties!A$1:CB$87,Formula!D5,9)&lt;&gt;"",INDEX(Properties!A$1:CB$87,Formula!D5,9)),IF(INDEX(Properties!A$1:CB$87,Formula!F5,9)&lt;&gt;"",INDEX(Properties!A$1:CB$87,Formula!F5,9)),IF(INDEX(Properties!A$1:CB$87,Formula!H5,9)&lt;&gt;"",INDEX(Properties!A$1:CB$87,Formula!H5,9)),IF(INDEX(Properties!A$1:CB$87,Formula!J5,9)&lt;&gt;"",INDEX(Properties!A$1:CB$87,Formula!J5,9)))</f>
        <v>1405.2</v>
      </c>
      <c r="AC5" s="72">
        <f>MAX(INDEX(Properties!A$1:CB$87,Formula!B5,9),INDEX(Properties!A$1:CB$87,Formula!D5,9),INDEX(Properties!A$1:CB$87,Formula!F5,9),INDEX(Properties!A$1:CB$87,Formula!H5,9),INDEX(Properties!A$1:CB$87,Formula!J5,9))</f>
        <v>87</v>
      </c>
      <c r="AD5" s="72">
        <f>MIN(IF(INDEX(Properties!A$1:CB$87,Formula!B5,9)=0,10^6,INDEX(Properties!A$1:CB$87,Formula!B5,9)),IF(INDEX(Properties!A$1:CB$87,Formula!D5,9)=0,10^6,INDEX(Properties!A$1:CB$87,Formula!D5,9)),IF(INDEX(Properties!A$1:CB$87,Formula!F5,9)=0,10^6,INDEX(Properties!A$1:CB$87,Formula!F5,9)),IF(INDEX(Properties!A$1:CB$87,Formula!H5,9)=0,10^6,INDEX(Properties!A$1:CB$87,Formula!H5,9)),IF(INDEX(Properties!A$1:CB$87,Formula!J5,9)=0,10^6,INDEX(Properties!A$1:CB$87,Formula!J5,9)))</f>
        <v>7</v>
      </c>
      <c r="AE5" s="72">
        <f t="shared" si="4"/>
        <v>80</v>
      </c>
      <c r="AF5" s="51">
        <f>((Formula!C5)/(Formula!C5+Formula!E5+Formula!G5+Formula!I5+Formula!K5))*(INDEX(Properties!A$1:CB$87,Formula!B5,10))+((Formula!E5)/(Formula!C5+Formula!E5+Formula!G5+Formula!I5+Formula!K5))*(INDEX(Properties!A$1:CB$87,Formula!D5,10))+((Formula!G5)/(Formula!C5+Formula!E5+Formula!G5+Formula!I5+Formula!K5))*(INDEX(Properties!A$1:CB$87,Formula!F5,10))+((Formula!I5)/(Formula!C5+Formula!E5+Formula!G5+Formula!I5+Formula!K5))*(INDEX(Properties!A$1:CB$87,Formula!H5,10))+((Formula!K5)/(Formula!C5+Formula!E5+Formula!G5+Formula!I5+Formula!K5))*(INDEX(Properties!A$1:CB$87,Formula!J5,10))</f>
        <v>5.8571428571428577</v>
      </c>
      <c r="AG5" s="51">
        <f>Formula!C5*(INDEX(Properties!A$1:CB$87,Formula!B5,10))+Formula!E5*(INDEX(Properties!A$1:CB$87,Formula!D5,10))+Formula!G5*(INDEX(Properties!A$1:CB$87,Formula!F5,10))+Formula!I5*(INDEX(Properties!A$1:CB$87,Formula!H5,10))+Formula!K5*(INDEX(Properties!A$1:CB$87,Formula!J5,10))</f>
        <v>123</v>
      </c>
      <c r="AH5" s="51">
        <f>VARP(IF(INDEX(Properties!A$1:CB$87,Formula!B5,10)&lt;&gt;"",INDEX(Properties!A$1:CB$87,Formula!B5,10)),IF(INDEX(Properties!A$1:CB$87,Formula!D5,10)&lt;&gt;"",INDEX(Properties!A$1:CB$87,Formula!D5,10)),IF(INDEX(Properties!A$1:CB$87,Formula!F5,10)&lt;&gt;"",INDEX(Properties!A$1:CB$87,Formula!F5,10)),IF(INDEX(Properties!A$1:CB$87,Formula!H5,10)&lt;&gt;"",INDEX(Properties!A$1:CB$87,Formula!H5,10)),IF(INDEX(Properties!A$1:CB$87,Formula!J5,10)&lt;&gt;"",INDEX(Properties!A$1:CB$87,Formula!J5,10)))</f>
        <v>6.64</v>
      </c>
      <c r="AI5" s="51">
        <f>MAX(INDEX(Properties!A$1:CB$87,Formula!B5,10),INDEX(Properties!A$1:CB$87,Formula!D5,10),INDEX(Properties!A$1:CB$87,Formula!F5,10),INDEX(Properties!A$1:CB$87,Formula!H5,10),INDEX(Properties!A$1:CB$87,Formula!J5,10))</f>
        <v>7</v>
      </c>
      <c r="AJ5" s="51">
        <f>MIN(IF(INDEX(Properties!A$1:CB$87,Formula!B5,10)=0,10^6,INDEX(Properties!A$1:CB$87,Formula!B5,10)),IF(INDEX(Properties!A$1:CB$87,Formula!D5,10)=0,10^6,INDEX(Properties!A$1:CB$87,Formula!D5,10)),IF(INDEX(Properties!A$1:CB$87,Formula!F5,10)=0,10^6,INDEX(Properties!A$1:CB$87,Formula!F5,10)),IF(INDEX(Properties!A$1:CB$87,Formula!H5,10)=0,10^6,INDEX(Properties!A$1:CB$87,Formula!H5,10)),IF(INDEX(Properties!A$1:CB$87,Formula!J5,10)=0,10^6,INDEX(Properties!A$1:CB$87,Formula!J5,10)))</f>
        <v>2</v>
      </c>
      <c r="AK5" s="51">
        <f t="shared" si="5"/>
        <v>5</v>
      </c>
      <c r="AL5" s="57">
        <f>((Formula!C5)/(Formula!C5+Formula!E5+Formula!G5+Formula!I5+Formula!K5))*(INDEX(Properties!A$1:CB$87,Formula!B5,11))+((Formula!E5)/(Formula!C5+Formula!E5+Formula!G5+Formula!I5+Formula!K5))*(INDEX(Properties!A$1:CB$87,Formula!D5,11))+((Formula!G5)/(Formula!C5+Formula!E5+Formula!G5+Formula!I5+Formula!K5))*(INDEX(Properties!A$1:CB$87,Formula!F5,11))+((Formula!I5)/(Formula!C5+Formula!E5+Formula!G5+Formula!I5+Formula!K5))*(INDEX(Properties!A$1:CB$87,Formula!H5,11))+((Formula!K5)/(Formula!C5+Formula!E5+Formula!G5+Formula!I5+Formula!K5))*(INDEX(Properties!A$1:CB$87,Formula!J5,11))</f>
        <v>2</v>
      </c>
      <c r="AM5" s="57">
        <f>Formula!C5*(INDEX(Properties!A$1:CB$87,Formula!B5,11))+Formula!E5*(INDEX(Properties!A$1:CB$87,Formula!D5,11))+Formula!G5*(INDEX(Properties!A$1:CB$87,Formula!F5,11))+Formula!I5*(INDEX(Properties!A$1:CB$87,Formula!H5,11))+Formula!K5*(INDEX(Properties!A$1:CB$87,Formula!J5,11))</f>
        <v>42</v>
      </c>
      <c r="AN5" s="57">
        <f>VARP(IF(INDEX(Properties!A$1:CB$87,Formula!B5,11)&lt;&gt;"",INDEX(Properties!A$1:CB$87,Formula!B5,11)),IF(INDEX(Properties!A$1:CB$87,Formula!D5,11)&lt;&gt;"",INDEX(Properties!A$1:CB$87,Formula!D5,11)),IF(INDEX(Properties!A$1:CB$87,Formula!F5,11)&lt;&gt;"",INDEX(Properties!A$1:CB$87,Formula!F5,11)),IF(INDEX(Properties!A$1:CB$87,Formula!H5,11)&lt;&gt;"",INDEX(Properties!A$1:CB$87,Formula!H5,11)),IF(INDEX(Properties!A$1:CB$87,Formula!J5,11)&lt;&gt;"",INDEX(Properties!A$1:CB$87,Formula!J5,11)))</f>
        <v>0.64</v>
      </c>
      <c r="AO5" s="57">
        <f>MAX(INDEX(Properties!A$1:CB$87,Formula!B5,11),INDEX(Properties!A$1:CB$87,Formula!D5,11),INDEX(Properties!A$1:CB$87,Formula!F5,11),INDEX(Properties!A$1:CB$87,Formula!H5,11),INDEX(Properties!A$1:CB$87,Formula!J5,11))</f>
        <v>2</v>
      </c>
      <c r="AP5" s="57">
        <f>MIN(IF(Formula!B5=87,10^6,INDEX(Properties!A$1:CB$87,Formula!B5,11)),IF((Formula!D5)=87,10^6,INDEX(Properties!A$1:CB$87,Formula!D5,11)),IF((Formula!F5)=87,10^6,INDEX(Properties!A$1:CB$87,Formula!F5,11)),IF((Formula!H5)=87,10^6,INDEX(Properties!A$1:CB$87,Formula!H5,11)),IF(Formula!J5=87,10^6,INDEX(Properties!A$1:CB$87,Formula!J5,11)))</f>
        <v>2</v>
      </c>
      <c r="AQ5" s="57">
        <f t="shared" si="6"/>
        <v>0</v>
      </c>
      <c r="AR5" s="78">
        <f>((Formula!C5)/(Formula!C5+Formula!E5+Formula!G5+Formula!I5+Formula!K5))*(INDEX(Properties!A$1:CB$87,Formula!B5,12))+((Formula!E5)/(Formula!C5+Formula!E5+Formula!G5+Formula!I5+Formula!K5))*(INDEX(Properties!A$1:CB$87,Formula!D5,12))+((Formula!G5)/(Formula!C5+Formula!E5+Formula!G5+Formula!I5+Formula!K5))*(INDEX(Properties!A$1:CB$87,Formula!F5,12))+((Formula!I5)/(Formula!C5+Formula!E5+Formula!G5+Formula!I5+Formula!K5))*(INDEX(Properties!A$1:CB$87,Formula!H5,12))+((Formula!K5)/(Formula!C5+Formula!E5+Formula!G5+Formula!I5+Formula!K5))*(INDEX(Properties!A$1:CB$87,Formula!J5,12))</f>
        <v>2.7619047619047619</v>
      </c>
      <c r="AS5" s="78">
        <f>Formula!C5*(INDEX(Properties!A$1:CB$87,Formula!B5,12))+Formula!E5*(INDEX(Properties!A$1:CB$87,Formula!D5,12))+Formula!G5*(INDEX(Properties!A$1:CB$87,Formula!F5,12))+Formula!I5*(INDEX(Properties!A$1:CB$87,Formula!H5,12))+Formula!K5*(INDEX(Properties!A$1:CB$87,Formula!J5,12))</f>
        <v>58</v>
      </c>
      <c r="AT5" s="78">
        <f>VARP(IF(INDEX(Properties!A$1:CB$87,Formula!B5,12)&lt;&gt;"",INDEX(Properties!A$1:CB$87,Formula!B5,12)),IF(INDEX(Properties!A$1:CB$87,Formula!D5,12)&lt;&gt;"",INDEX(Properties!A$1:CB$87,Formula!D5,12)),IF(INDEX(Properties!A$1:CB$87,Formula!F5,12)&lt;&gt;"",INDEX(Properties!A$1:CB$87,Formula!F5,12)),IF(INDEX(Properties!A$1:CB$87,Formula!H5,12)&lt;&gt;"",INDEX(Properties!A$1:CB$87,Formula!H5,12)),IF(INDEX(Properties!A$1:CB$87,Formula!J5,12)&lt;&gt;"",INDEX(Properties!A$1:CB$87,Formula!J5,12)))</f>
        <v>2.56</v>
      </c>
      <c r="AU5" s="78">
        <f>MAX(INDEX(Properties!A$1:CB$87,Formula!B5,12),INDEX(Properties!A$1:CB$87,Formula!D5,12),INDEX(Properties!A$1:CB$87,Formula!F5,12),INDEX(Properties!A$1:CB$87,Formula!H5,12),INDEX(Properties!A$1:CB$87,Formula!J5,12))</f>
        <v>4</v>
      </c>
      <c r="AV5" s="78">
        <f>MIN(IF(Formula!B5=87,10^6,INDEX(Properties!A$1:CB$87,Formula!B5,12)),IF((Formula!D5)=87,10^6,INDEX(Properties!A$1:CB$87,Formula!D5,12)),IF((Formula!F5)=87,10^6,INDEX(Properties!A$1:CB$87,Formula!F5,12)),IF((Formula!H5)=87,10^6,INDEX(Properties!A$1:CB$87,Formula!H5,12)),IF(Formula!J5=87,10^6,INDEX(Properties!A$1:CB$87,Formula!J5,12)))</f>
        <v>0</v>
      </c>
      <c r="AW5" s="78">
        <f t="shared" si="7"/>
        <v>4</v>
      </c>
      <c r="AX5" s="45">
        <f>((Formula!C5)/(Formula!C5+Formula!E5+Formula!G5+Formula!I5+Formula!K5))*(INDEX(Properties!A$1:CB$87,Formula!B5,13))+((Formula!E5)/(Formula!C5+Formula!E5+Formula!G5+Formula!I5+Formula!K5))*(INDEX(Properties!A$1:CB$87,Formula!D5,13))+((Formula!G5)/(Formula!C5+Formula!E5+Formula!G5+Formula!I5+Formula!K5))*(INDEX(Properties!A$1:CB$87,Formula!F5,13))+((Formula!I5)/(Formula!C5+Formula!E5+Formula!G5+Formula!I5+Formula!K5))*(INDEX(Properties!A$1:CB$87,Formula!H5,13))+((Formula!K5)/(Formula!C5+Formula!E5+Formula!G5+Formula!I5+Formula!K5))*(INDEX(Properties!A$1:CB$87,Formula!J5,13))</f>
        <v>0.19047619047619047</v>
      </c>
      <c r="AY5" s="45">
        <f>Formula!C5*(INDEX(Properties!A$1:CB$87,Formula!B5,13))+Formula!E5*(INDEX(Properties!A$1:CB$87,Formula!D5,13))+Formula!G5*(INDEX(Properties!A$1:CB$87,Formula!F5,13))+Formula!I5*(INDEX(Properties!A$1:CB$87,Formula!H5,13))+Formula!K5*(INDEX(Properties!A$1:CB$87,Formula!J5,13))</f>
        <v>4</v>
      </c>
      <c r="AZ5" s="45">
        <f>VARP(IF(INDEX(Properties!A$1:CB$87,Formula!B5,13)&lt;&gt;"",INDEX(Properties!A$1:CB$87,Formula!B5,13)),IF(INDEX(Properties!A$1:CB$87,Formula!D5,13)&lt;&gt;"",INDEX(Properties!A$1:CB$87,Formula!D5,13)),IF(INDEX(Properties!A$1:CB$87,Formula!F5,13)&lt;&gt;"",INDEX(Properties!A$1:CB$87,Formula!F5,13)),IF(INDEX(Properties!A$1:CB$87,Formula!H5,13)&lt;&gt;"",INDEX(Properties!A$1:CB$87,Formula!H5,13)),IF(INDEX(Properties!A$1:CB$87,Formula!J5,13)&lt;&gt;"",INDEX(Properties!A$1:CB$87,Formula!J5,13)))</f>
        <v>0.16</v>
      </c>
      <c r="BA5" s="45">
        <f>MAX(INDEX(Properties!A$1:CB$87,Formula!B5,13),INDEX(Properties!A$1:CB$87,Formula!D5,13),INDEX(Properties!A$1:CB$87,Formula!F5,13),INDEX(Properties!A$1:CB$87,Formula!H5,13),INDEX(Properties!A$1:CB$87,Formula!J5,13))</f>
        <v>1</v>
      </c>
      <c r="BB5" s="45">
        <f>MIN(IF(Formula!B5=87,10^6,INDEX(Properties!A$1:CB$87,Formula!B5,13)),IF((Formula!D5)=87,10^6,INDEX(Properties!A$1:CB$87,Formula!D5,13)),IF((Formula!F5)=87,10^6,INDEX(Properties!A$1:CB$87,Formula!F5,13)),IF((Formula!H5)=87,10^6,INDEX(Properties!A$1:CB$87,Formula!H5,13)),IF(Formula!J5=87,10^6,INDEX(Properties!A$1:CB$87,Formula!J5,13)))</f>
        <v>0</v>
      </c>
      <c r="BC5" s="45">
        <f t="shared" si="8"/>
        <v>1</v>
      </c>
      <c r="BD5" s="63">
        <f>((Formula!C5)/(Formula!C5+Formula!E5+Formula!G5+Formula!I5+Formula!K5))*(INDEX(Properties!A$1:CB$87,Formula!B5,14))+((Formula!E5)/(Formula!C5+Formula!E5+Formula!G5+Formula!I5+Formula!K5))*(INDEX(Properties!A$1:CB$87,Formula!D5,14))+((Formula!G5)/(Formula!C5+Formula!E5+Formula!G5+Formula!I5+Formula!K5))*(INDEX(Properties!A$1:CB$87,Formula!F5,14))+((Formula!I5)/(Formula!C5+Formula!E5+Formula!G5+Formula!I5+Formula!K5))*(INDEX(Properties!A$1:CB$87,Formula!H5,14))+((Formula!K5)/(Formula!C5+Formula!E5+Formula!G5+Formula!I5+Formula!K5))*(INDEX(Properties!A$1:CB$87,Formula!J5,14))</f>
        <v>0</v>
      </c>
      <c r="BE5" s="63">
        <f>Formula!C5*(INDEX(Properties!A$1:CB$87,Formula!B5,14))+Formula!E5*(INDEX(Properties!A$1:CB$87,Formula!D5,14))+Formula!G5*(INDEX(Properties!A$1:CB$87,Formula!F5,14))+Formula!I5*(INDEX(Properties!A$1:CB$87,Formula!H5,14))+Formula!K5*(INDEX(Properties!A$1:CB$87,Formula!J5,14))</f>
        <v>0</v>
      </c>
      <c r="BF5" s="63">
        <f>VARP(IF(INDEX(Properties!A$1:CB$87,Formula!B5,14)&lt;&gt;"",INDEX(Properties!A$1:CB$87,Formula!B5,14)),IF(INDEX(Properties!A$1:CB$87,Formula!D5,14)&lt;&gt;"",INDEX(Properties!A$1:CB$87,Formula!D5,14)),IF(INDEX(Properties!A$1:CB$87,Formula!F5,14)&lt;&gt;"",INDEX(Properties!A$1:CB$87,Formula!F5,14)),IF(INDEX(Properties!A$1:CB$87,Formula!H5,14)&lt;&gt;"",INDEX(Properties!A$1:CB$87,Formula!H5,14)),IF(INDEX(Properties!A$1:CB$87,Formula!J5,14)&lt;&gt;"",INDEX(Properties!A$1:CB$87,Formula!J5,14)))</f>
        <v>0</v>
      </c>
      <c r="BG5" s="63">
        <f>MAX(INDEX(Properties!A$1:CB$87,Formula!B5,14),INDEX(Properties!A$1:CB$87,Formula!D5,14),INDEX(Properties!A$1:CB$87,Formula!F5,14),INDEX(Properties!A$1:CB$87,Formula!H5,14),INDEX(Properties!A$1:CB$87,Formula!J5,14))</f>
        <v>0</v>
      </c>
      <c r="BH5" s="63">
        <f>MIN(IF(Formula!B5=87,10^6,INDEX(Properties!A$1:CB$87,Formula!B5,14)),IF((Formula!D5)=87,10^6,INDEX(Properties!A$1:CB$87,Formula!D5,14)),IF((Formula!F5)=87,10^6,INDEX(Properties!A$1:CB$87,Formula!F5,14)),IF((Formula!H5)=87,10^6,INDEX(Properties!A$1:CB$87,Formula!H5,14)),IF(Formula!J5=87,10^6,INDEX(Properties!A$1:CB$87,Formula!J5,14)))</f>
        <v>0</v>
      </c>
      <c r="BI5" s="63">
        <f t="shared" si="9"/>
        <v>0</v>
      </c>
      <c r="BJ5" s="75">
        <f>((Formula!C5)/(Formula!C5+Formula!E5+Formula!G5+Formula!I5+Formula!K5))*(INDEX(Properties!A$1:CB$87,Formula!B5,19))+((Formula!E5)/(Formula!C5+Formula!E5+Formula!G5+Formula!I5+Formula!K5))*(INDEX(Properties!A$1:CB$87,Formula!D5,19))+((Formula!G5)/(Formula!C5+Formula!E5+Formula!G5+Formula!I5+Formula!K5))*(INDEX(Properties!A$1:CB$87,Formula!F5,19))+((Formula!I5)/(Formula!C5+Formula!E5+Formula!G5+Formula!I5+Formula!K5))*(INDEX(Properties!A$1:CB$87,Formula!H5,19))+((Formula!K5)/(Formula!C5+Formula!E5+Formula!G5+Formula!I5+Formula!K5))*(INDEX(Properties!A$1:CB$87,Formula!J5,19))</f>
        <v>4.9523809523809526</v>
      </c>
      <c r="BK5" s="75">
        <f>Formula!C5*(INDEX(Properties!A$1:CB$87,Formula!B5,19))+Formula!E5*(INDEX(Properties!A$1:CB$87,Formula!D5,19))+Formula!G5*(INDEX(Properties!A$1:CB$87,Formula!F5,19))+Formula!I5*(INDEX(Properties!A$1:CB$87,Formula!H5,19))+Formula!K5*(INDEX(Properties!A$1:CB$87,Formula!J5,19))</f>
        <v>104</v>
      </c>
      <c r="BL5" s="75">
        <f>VARP(IF(INDEX(Properties!A$1:CB$87,Formula!B5,19)&lt;&gt;"",INDEX(Properties!A$1:CB$87,Formula!B5,19)),IF(INDEX(Properties!A$1:CB$87,Formula!D5,19)&lt;&gt;"",INDEX(Properties!A$1:CB$87,Formula!D5,19)),IF(INDEX(Properties!A$1:CB$87,Formula!F5,19)&lt;&gt;"",INDEX(Properties!A$1:CB$87,Formula!F5,19)),IF(INDEX(Properties!A$1:CB$87,Formula!H5,19)&lt;&gt;"",INDEX(Properties!A$1:CB$87,Formula!H5,19)),IF(INDEX(Properties!A$1:CB$87,Formula!J5,19)&lt;&gt;"",INDEX(Properties!A$1:CB$87,Formula!J5,19)))</f>
        <v>4</v>
      </c>
      <c r="BM5" s="75">
        <f>MAX(INDEX(Properties!A$1:CB$87,Formula!B5,19),INDEX(Properties!A$1:CB$87,Formula!D5,19),INDEX(Properties!A$1:CB$87,Formula!F5,19),INDEX(Properties!A$1:CB$87,Formula!H5,19),INDEX(Properties!A$1:CB$87,Formula!J5,19))</f>
        <v>6</v>
      </c>
      <c r="BN5" s="75">
        <f>MIN(IF(INDEX(Properties!A$1:CB$87,Formula!B5,19)=0,10^6,INDEX(Properties!A$1:CB$87,Formula!B5,19)),IF(INDEX(Properties!A$1:CB$87,Formula!D5,19)=0,10^6,INDEX(Properties!A$1:CB$87,Formula!D5,19)),IF(INDEX(Properties!A$1:CB$87,Formula!F5,19)=0,10^6,INDEX(Properties!A$1:CB$87,Formula!F5,19)),IF(INDEX(Properties!A$1:CB$87,Formula!H5,19)=0,10^6,INDEX(Properties!A$1:CB$87,Formula!H5,19)),IF(INDEX(Properties!A$1:CB$87,Formula!J5,19)=0,10^6,INDEX(Properties!A$1:CB$87,Formula!J5,19)))</f>
        <v>2</v>
      </c>
      <c r="BO5" s="75">
        <f t="shared" si="10"/>
        <v>4</v>
      </c>
      <c r="BP5" s="48">
        <f>((Formula!C5)/(Formula!C5+Formula!E5+Formula!G5+Formula!I5+Formula!K5))*(INDEX(Properties!A$1:CB$87,Formula!B5,20))+((Formula!E5)/(Formula!C5+Formula!E5+Formula!G5+Formula!I5+Formula!K5))*(INDEX(Properties!A$1:CB$87,Formula!D5,20))+((Formula!G5)/(Formula!C5+Formula!E5+Formula!G5+Formula!I5+Formula!K5))*(INDEX(Properties!A$1:CB$87,Formula!F5,20))+((Formula!I5)/(Formula!C5+Formula!E5+Formula!G5+Formula!I5+Formula!K5))*(INDEX(Properties!A$1:CB$87,Formula!H5,20))+((Formula!K5)/(Formula!C5+Formula!E5+Formula!G5+Formula!I5+Formula!K5))*(INDEX(Properties!A$1:CB$87,Formula!J5,20))</f>
        <v>4.7619047619047619</v>
      </c>
      <c r="BQ5" s="48">
        <f>Formula!C5*(INDEX(Properties!A$1:CB$87,Formula!B5,20))+Formula!E5*(INDEX(Properties!A$1:CB$87,Formula!D5,20))+Formula!G5*(INDEX(Properties!A$1:CB$87,Formula!F5,20))+Formula!I5*(INDEX(Properties!A$1:CB$87,Formula!H5,20))+Formula!K5*(INDEX(Properties!A$1:CB$87,Formula!J5,20))</f>
        <v>100</v>
      </c>
      <c r="BR5" s="48">
        <f>VARP(IF(INDEX(Properties!A$1:CB$87,Formula!B5,20)&lt;&gt;"",INDEX(Properties!A$1:CB$87,Formula!B5,20)),IF(INDEX(Properties!A$1:CB$87,Formula!D5,20)&lt;&gt;"",INDEX(Properties!A$1:CB$87,Formula!D5,20)),IF(INDEX(Properties!A$1:CB$87,Formula!F5,20)&lt;&gt;"",INDEX(Properties!A$1:CB$87,Formula!F5,20)),IF(INDEX(Properties!A$1:CB$87,Formula!H5,20)&lt;&gt;"",INDEX(Properties!A$1:CB$87,Formula!H5,20)),IF(INDEX(Properties!A$1:CB$87,Formula!J5,20)&lt;&gt;"",INDEX(Properties!A$1:CB$87,Formula!J5,20)))</f>
        <v>4.16</v>
      </c>
      <c r="BS5" s="48">
        <f>MAX(INDEX(Properties!A$1:CB$87,Formula!B5,20),INDEX(Properties!A$1:CB$87,Formula!D5,20),INDEX(Properties!A$1:CB$87,Formula!F5,20),INDEX(Properties!A$1:CB$87,Formula!H5,20),INDEX(Properties!A$1:CB$87,Formula!J5,20))</f>
        <v>6</v>
      </c>
      <c r="BT5" s="48">
        <f>MIN(IF(INDEX(Properties!A$1:CB$87,Formula!B5,20)=0,10^6,INDEX(Properties!A$1:CB$87,Formula!B5,20)),IF(INDEX(Properties!A$1:CB$87,Formula!D5,20)=0,10^6,INDEX(Properties!A$1:CB$87,Formula!D5,20)),IF(INDEX(Properties!A$1:CB$87,Formula!F5,20)=0,10^6,INDEX(Properties!A$1:CB$87,Formula!F5,20)),IF(INDEX(Properties!A$1:CB$87,Formula!H5,20)=0,10^6,INDEX(Properties!A$1:CB$87,Formula!H5,20)),IF(INDEX(Properties!A$1:CB$87,Formula!J5,20)=0,10^6,INDEX(Properties!A$1:CB$87,Formula!J5,20)))</f>
        <v>2</v>
      </c>
      <c r="BU5" s="48">
        <f t="shared" si="11"/>
        <v>4</v>
      </c>
      <c r="BV5" s="66">
        <f>((Formula!C5)/(Formula!C5+Formula!E5+Formula!G5+Formula!I5+Formula!K5))*(INDEX(Properties!A$1:CB$87,Formula!B5,21))+((Formula!E5)/(Formula!C5+Formula!E5+Formula!G5+Formula!I5+Formula!K5))*(INDEX(Properties!A$1:CB$87,Formula!D5,21))+((Formula!G5)/(Formula!C5+Formula!E5+Formula!G5+Formula!I5+Formula!K5))*(INDEX(Properties!A$1:CB$87,Formula!F5,21))+((Formula!I5)/(Formula!C5+Formula!E5+Formula!G5+Formula!I5+Formula!K5))*(INDEX(Properties!A$1:CB$87,Formula!H5,21))+((Formula!K5)/(Formula!C5+Formula!E5+Formula!G5+Formula!I5+Formula!K5))*(INDEX(Properties!A$1:CB$87,Formula!J5,21))</f>
        <v>4.5714285714285712</v>
      </c>
      <c r="BW5" s="66">
        <f>Formula!C5*(INDEX(Properties!A$1:CB$87,Formula!B5,21))+Formula!E5*(INDEX(Properties!A$1:CB$87,Formula!D5,21))+Formula!G5*(INDEX(Properties!A$1:CB$87,Formula!F5,21))+Formula!I5*(INDEX(Properties!A$1:CB$87,Formula!H5,21))+Formula!K5*(INDEX(Properties!A$1:CB$87,Formula!J5,21))</f>
        <v>96</v>
      </c>
      <c r="BX5" s="66">
        <f>VARP(IF(INDEX(Properties!A$1:CB$87,Formula!B5,21)&lt;&gt;"",INDEX(Properties!A$1:CB$87,Formula!B5,21)),IF(INDEX(Properties!A$1:CB$87,Formula!D5,21)&lt;&gt;"",INDEX(Properties!A$1:CB$87,Formula!D5,21)),IF(INDEX(Properties!A$1:CB$87,Formula!F5,21)&lt;&gt;"",INDEX(Properties!A$1:CB$87,Formula!F5,21)),IF(INDEX(Properties!A$1:CB$87,Formula!H5,21)&lt;&gt;"",INDEX(Properties!A$1:CB$87,Formula!H5,21)),IF(INDEX(Properties!A$1:CB$87,Formula!J5,21)&lt;&gt;"",INDEX(Properties!A$1:CB$87,Formula!J5,21)))</f>
        <v>4.6399999999999997</v>
      </c>
      <c r="BY5" s="66">
        <f>MAX(INDEX(Properties!A$1:CB$87,Formula!B5,21),INDEX(Properties!A$1:CB$87,Formula!D5,21),INDEX(Properties!A$1:CB$87,Formula!F5,21),INDEX(Properties!A$1:CB$87,Formula!H5,21),INDEX(Properties!A$1:CB$87,Formula!J5,21))</f>
        <v>6</v>
      </c>
      <c r="BZ5" s="66">
        <f>MIN(IF(INDEX(Properties!A$1:CB$87,Formula!B5,21)=0,10^6,INDEX(Properties!A$1:CB$87,Formula!B5,21)),IF(INDEX(Properties!A$1:CB$87,Formula!D5,21)=0,10^6,INDEX(Properties!A$1:CB$87,Formula!D5,21)),IF(INDEX(Properties!A$1:CB$87,Formula!F5,21)=0,10^6,INDEX(Properties!A$1:CB$87,Formula!F5,21)),IF(INDEX(Properties!A$1:CB$87,Formula!H5,21)=0,10^6,INDEX(Properties!A$1:CB$87,Formula!H5,21)),IF(INDEX(Properties!A$1:CB$87,Formula!J5,21)=0,10^6,INDEX(Properties!A$1:CB$87,Formula!J5,21)))</f>
        <v>1</v>
      </c>
      <c r="CA5" s="66">
        <f t="shared" si="12"/>
        <v>5</v>
      </c>
      <c r="CB5" s="81">
        <f>((Formula!C5)/(Formula!C5+Formula!E5+Formula!G5+Formula!I5+Formula!K5))*(INDEX(Properties!A$1:CB$87,Formula!B5,23))+((Formula!E5)/(Formula!C5+Formula!E5+Formula!G5+Formula!I5+Formula!K5))*(INDEX(Properties!A$1:CB$87,Formula!D5,23))+((Formula!G5)/(Formula!C5+Formula!E5+Formula!G5+Formula!I5+Formula!K5))*(INDEX(Properties!A$1:CB$87,Formula!F5,23))+((Formula!I5)/(Formula!C5+Formula!E5+Formula!G5+Formula!I5+Formula!K5))*(INDEX(Properties!A$1:CB$87,Formula!H5,23))+((Formula!K5)/(Formula!C5+Formula!E5+Formula!G5+Formula!I5+Formula!K5))*(INDEX(Properties!A$1:CB$87,Formula!J5,23))</f>
        <v>1.2380952380952381</v>
      </c>
      <c r="CC5" s="81">
        <f>Formula!C5*(INDEX(Properties!A$1:CB$87,Formula!B5,23))+Formula!E5*(INDEX(Properties!A$1:CB$87,Formula!D5,23))+Formula!G5*(INDEX(Properties!A$1:CB$87,Formula!F5,23))+Formula!I5*(INDEX(Properties!A$1:CB$87,Formula!H5,23))+Formula!K5*(INDEX(Properties!A$1:CB$87,Formula!J5,23))</f>
        <v>26</v>
      </c>
      <c r="CD5" s="81">
        <f>VARP(IF(INDEX(Properties!A$1:CB$87,Formula!B5,23)&lt;&gt;"",INDEX(Properties!A$1:CB$87,Formula!B5,23)),IF(INDEX(Properties!A$1:CB$87,Formula!D5,23)&lt;&gt;"",INDEX(Properties!A$1:CB$87,Formula!D5,23)),IF(INDEX(Properties!A$1:CB$87,Formula!F5,23)&lt;&gt;"",INDEX(Properties!A$1:CB$87,Formula!F5,23)),IF(INDEX(Properties!A$1:CB$87,Formula!H5,23)&lt;&gt;"",INDEX(Properties!A$1:CB$87,Formula!H5,23)),IF(INDEX(Properties!A$1:CB$87,Formula!J5,23)&lt;&gt;"",INDEX(Properties!A$1:CB$87,Formula!J5,23)))</f>
        <v>2.56</v>
      </c>
      <c r="CE5" s="81">
        <f>MAX(INDEX(Properties!A$1:CB$87,Formula!B5,23),INDEX(Properties!A$1:CB$87,Formula!D5,23),INDEX(Properties!A$1:CB$87,Formula!F5,23),INDEX(Properties!A$1:CB$87,Formula!H5,23),INDEX(Properties!A$1:CB$87,Formula!J5,23))</f>
        <v>4</v>
      </c>
      <c r="CF5" s="81">
        <f>MIN(IF(Formula!B5=87,10^6,INDEX(Properties!A$1:CB$87,Formula!B5,23)),IF((Formula!D5)=87,10^6,INDEX(Properties!A$1:CB$87,Formula!D5,23)),IF((Formula!F5)=87,10^6,INDEX(Properties!A$1:CB$87,Formula!F5,23)),IF((Formula!H5)=87,10^6,INDEX(Properties!A$1:CB$87,Formula!H5,23)),IF(Formula!J5=87,10^6,INDEX(Properties!A$1:CB$87,Formula!J5,23)))</f>
        <v>0</v>
      </c>
      <c r="CG5" s="81">
        <f t="shared" si="13"/>
        <v>4</v>
      </c>
      <c r="CH5" s="39">
        <f>((Formula!C5)/(Formula!C5+Formula!E5+Formula!G5+Formula!I5+Formula!K5))*(INDEX(Properties!A$1:CB$87,Formula!B5,26))+((Formula!E5)/(Formula!C5+Formula!E5+Formula!G5+Formula!I5+Formula!K5))*(INDEX(Properties!A$1:CB$87,Formula!D5,26))+((Formula!G5)/(Formula!C5+Formula!E5+Formula!G5+Formula!I5+Formula!K5))*(INDEX(Properties!A$1:CB$87,Formula!F5,26))+((Formula!I5)/(Formula!C5+Formula!E5+Formula!G5+Formula!I5+Formula!K5))*(INDEX(Properties!A$1:CB$87,Formula!H5,26))+((Formula!K5)/(Formula!C5+Formula!E5+Formula!G5+Formula!I5+Formula!K5))*(INDEX(Properties!A$1:CB$87,Formula!J5,26))</f>
        <v>10.948152380952383</v>
      </c>
      <c r="CI5" s="39">
        <f>Formula!C5*(INDEX(Properties!A$1:CB$87,Formula!B5,26))+Formula!E5*(INDEX(Properties!A$1:CB$87,Formula!D5,26))+Formula!G5*(INDEX(Properties!A$1:CB$87,Formula!F5,26))+Formula!I5*(INDEX(Properties!A$1:CB$87,Formula!H5,26))+Formula!K5*(INDEX(Properties!A$1:CB$87,Formula!J5,26))</f>
        <v>229.91120000000001</v>
      </c>
      <c r="CJ5" s="39">
        <f>VARP(IF(INDEX(Properties!A$1:CB$87,Formula!B5,26)&lt;&gt;"",INDEX(Properties!A$1:CB$87,Formula!B5,26)),IF(INDEX(Properties!A$1:CB$87,Formula!D5,26)&lt;&gt;"",INDEX(Properties!A$1:CB$87,Formula!D5,26)),IF(INDEX(Properties!A$1:CB$87,Formula!F5,26)&lt;&gt;"",INDEX(Properties!A$1:CB$87,Formula!F5,26)),IF(INDEX(Properties!A$1:CB$87,Formula!H5,26)&lt;&gt;"",INDEX(Properties!A$1:CB$87,Formula!H5,26)),IF(INDEX(Properties!A$1:CB$87,Formula!J5,26)&lt;&gt;"",INDEX(Properties!A$1:CB$87,Formula!J5,26)))</f>
        <v>19.292581349600006</v>
      </c>
      <c r="CK5" s="39">
        <f>MAX(INDEX(Properties!A$1:CB$87,Formula!B5,26),INDEX(Properties!A$1:CB$87,Formula!D5,26),INDEX(Properties!A$1:CB$87,Formula!F5,26),INDEX(Properties!A$1:CB$87,Formula!H5,26),INDEX(Properties!A$1:CB$87,Formula!J5,26))</f>
        <v>13.6181</v>
      </c>
      <c r="CL5" s="39">
        <f>MIN(IF(INDEX(Properties!A$1:CB$87,Formula!B5,26)=0,10^6,INDEX(Properties!A$1:CB$87,Formula!B5,26)),IF(INDEX(Properties!A$1:CB$87,Formula!D5,26)=0,10^6,INDEX(Properties!A$1:CB$87,Formula!D5,26)),IF(INDEX(Properties!A$1:CB$87,Formula!F5,26)=0,10^6,INDEX(Properties!A$1:CB$87,Formula!F5,26)),IF(INDEX(Properties!A$1:CB$87,Formula!H5,26)=0,10^6,INDEX(Properties!A$1:CB$87,Formula!H5,26)),IF(INDEX(Properties!A$1:CB$87,Formula!J5,26)=0,10^6,INDEX(Properties!A$1:CB$87,Formula!J5,26)))</f>
        <v>5.5769000000000002</v>
      </c>
      <c r="CM5" s="39">
        <f t="shared" si="14"/>
        <v>8.0411999999999999</v>
      </c>
      <c r="CN5" s="54">
        <f>((Formula!C5)/(Formula!C5+Formula!E5+Formula!G5+Formula!I5+Formula!K5))*(INDEX(Properties!A$1:CB$87,Formula!B5,30))+((Formula!E5)/(Formula!C5+Formula!E5+Formula!G5+Formula!I5+Formula!K5))*(INDEX(Properties!A$1:CB$87,Formula!D5,30))+((Formula!G5)/(Formula!C5+Formula!E5+Formula!G5+Formula!I5+Formula!K5))*(INDEX(Properties!A$1:CB$87,Formula!F5,30))+((Formula!I5)/(Formula!C5+Formula!E5+Formula!G5+Formula!I5+Formula!K5))*(INDEX(Properties!A$1:CB$87,Formula!H5,30))+((Formula!K5)/(Formula!C5+Formula!E5+Formula!G5+Formula!I5+Formula!K5))*(INDEX(Properties!A$1:CB$87,Formula!J5,30))</f>
        <v>2.6580952380952381</v>
      </c>
      <c r="CO5" s="54">
        <f>Formula!C5*(INDEX(Properties!A$1:CB$87,Formula!B5,30))+Formula!E5*(INDEX(Properties!A$1:CB$87,Formula!D5,30))+Formula!G5*(INDEX(Properties!A$1:CB$87,Formula!F5,30))+Formula!I5*(INDEX(Properties!A$1:CB$87,Formula!H5,30))+Formula!K5*(INDEX(Properties!A$1:CB$87,Formula!J5,30))</f>
        <v>55.82</v>
      </c>
      <c r="CP5" s="54">
        <f>VARP(IF(INDEX(Properties!A$1:CB$87,Formula!B5,30)&lt;&gt;"",INDEX(Properties!A$1:CB$87,Formula!B5,30)),IF(INDEX(Properties!A$1:CB$87,Formula!D5,30)&lt;&gt;"",INDEX(Properties!A$1:CB$87,Formula!D5,30)),IF(INDEX(Properties!A$1:CB$87,Formula!F5,30)&lt;&gt;"",INDEX(Properties!A$1:CB$87,Formula!F5,30)),IF(INDEX(Properties!A$1:CB$87,Formula!H5,30)&lt;&gt;"",INDEX(Properties!A$1:CB$87,Formula!H5,30)),IF(INDEX(Properties!A$1:CB$87,Formula!J5,30)&lt;&gt;"",INDEX(Properties!A$1:CB$87,Formula!J5,30)))</f>
        <v>1.3165759999999997</v>
      </c>
      <c r="CQ5" s="54">
        <f>MAX(INDEX(Properties!A$1:CB$87,Formula!B5,30),INDEX(Properties!A$1:CB$87,Formula!D5,30),INDEX(Properties!A$1:CB$87,Formula!F5,30),INDEX(Properties!A$1:CB$87,Formula!H5,30),INDEX(Properties!A$1:CB$87,Formula!J5,30))</f>
        <v>3.44</v>
      </c>
      <c r="CR5" s="54">
        <f>MIN(IF(INDEX(Properties!A$1:CB$87,Formula!B5,30)=0,10^6,INDEX(Properties!A$1:CB$87,Formula!B5,30)),IF(INDEX(Properties!A$1:CB$87,Formula!D5,30)=0,10^6,INDEX(Properties!A$1:CB$87,Formula!D5,30)),IF(INDEX(Properties!A$1:CB$87,Formula!F5,30)=0,10^6,INDEX(Properties!A$1:CB$87,Formula!F5,30)),IF(INDEX(Properties!A$1:CB$87,Formula!H5,30)=0,10^6,INDEX(Properties!A$1:CB$87,Formula!H5,30)),IF(INDEX(Properties!A$1:CB$87,Formula!J5,30)=0,10^6,INDEX(Properties!A$1:CB$87,Formula!J5,30)))</f>
        <v>1</v>
      </c>
      <c r="CS5" s="54">
        <f t="shared" si="15"/>
        <v>2.44</v>
      </c>
      <c r="CT5" s="69">
        <f>((Formula!C5)/(Formula!C5+Formula!E5+Formula!G5+Formula!I5+Formula!K5))*(INDEX(Properties!A$1:CB$87,Formula!B5,31))+((Formula!E5)/(Formula!C5+Formula!E5+Formula!G5+Formula!I5+Formula!K5))*(INDEX(Properties!A$1:CB$87,Formula!D5,31))+((Formula!G5)/(Formula!C5+Formula!E5+Formula!G5+Formula!I5+Formula!K5))*(INDEX(Properties!A$1:CB$87,Formula!F5,31))+((Formula!I5)/(Formula!C5+Formula!E5+Formula!G5+Formula!I5+Formula!K5))*(INDEX(Properties!A$1:CB$87,Formula!H5,31))+((Formula!K5)/(Formula!C5+Formula!E5+Formula!G5+Formula!I5+Formula!K5))*(INDEX(Properties!A$1:CB$87,Formula!J5,31))</f>
        <v>2.6509523809523809</v>
      </c>
      <c r="CU5" s="69">
        <f>Formula!C5*(INDEX(Properties!A$1:CB$87,Formula!B5,31))+Formula!E5*(INDEX(Properties!A$1:CB$87,Formula!D5,31))+Formula!G5*(INDEX(Properties!A$1:CB$87,Formula!F5,31))+Formula!I5*(INDEX(Properties!A$1:CB$87,Formula!H5,31))+Formula!K5*(INDEX(Properties!A$1:CB$87,Formula!J5,31))</f>
        <v>55.669999999999995</v>
      </c>
      <c r="CV5" s="69">
        <f>VARP(IF(INDEX(Properties!A$1:CB$87,Formula!B5,31)&lt;&gt;"",INDEX(Properties!A$1:CB$87,Formula!B5,31)),IF(INDEX(Properties!A$1:CB$87,Formula!D5,31)&lt;&gt;"",INDEX(Properties!A$1:CB$87,Formula!D5,31)),IF(INDEX(Properties!A$1:CB$87,Formula!F5,31)&lt;&gt;"",INDEX(Properties!A$1:CB$87,Formula!F5,31)),IF(INDEX(Properties!A$1:CB$87,Formula!H5,31)&lt;&gt;"",INDEX(Properties!A$1:CB$87,Formula!H5,31)),IF(INDEX(Properties!A$1:CB$87,Formula!J5,31)&lt;&gt;"",INDEX(Properties!A$1:CB$87,Formula!J5,31)))</f>
        <v>1.1807439999999993</v>
      </c>
      <c r="CW5" s="69">
        <f>MAX(INDEX(Properties!A$1:CB$87,Formula!B5,31),INDEX(Properties!A$1:CB$87,Formula!D5,31),INDEX(Properties!A$1:CB$87,Formula!F5,31),INDEX(Properties!A$1:CB$87,Formula!H5,31),INDEX(Properties!A$1:CB$87,Formula!J5,31))</f>
        <v>3.32</v>
      </c>
      <c r="CX5" s="69">
        <f>MIN(IF(INDEX(Properties!A$1:CB$87,Formula!B5,31)=0,10^6,INDEX(Properties!A$1:CB$87,Formula!B5,31)),IF(INDEX(Properties!A$1:CB$87,Formula!D5,31)=0,10^6,INDEX(Properties!A$1:CB$87,Formula!D5,31)),IF(INDEX(Properties!A$1:CB$87,Formula!F5,31)=0,10^6,INDEX(Properties!A$1:CB$87,Formula!F5,31)),IF(INDEX(Properties!A$1:CB$87,Formula!H5,31)=0,10^6,INDEX(Properties!A$1:CB$87,Formula!H5,31)),IF(INDEX(Properties!A$1:CB$87,Formula!J5,31)=0,10^6,INDEX(Properties!A$1:CB$87,Formula!J5,31)))</f>
        <v>1.17</v>
      </c>
      <c r="CY5" s="69">
        <f t="shared" si="16"/>
        <v>2.15</v>
      </c>
      <c r="CZ5" s="42">
        <f>((Formula!C5)/(Formula!C5+Formula!E5+Formula!G5+Formula!I5+Formula!K5))*(INDEX(Properties!A$1:CB$87,Formula!B5,32))+((Formula!E5)/(Formula!C5+Formula!E5+Formula!G5+Formula!I5+Formula!K5))*(INDEX(Properties!A$1:CB$87,Formula!D5,32))+((Formula!G5)/(Formula!C5+Formula!E5+Formula!G5+Formula!I5+Formula!K5))*(INDEX(Properties!A$1:CB$87,Formula!F5,32))+((Formula!I5)/(Formula!C5+Formula!E5+Formula!G5+Formula!I5+Formula!K5))*(INDEX(Properties!A$1:CB$87,Formula!H5,32))+((Formula!K5)/(Formula!C5+Formula!E5+Formula!G5+Formula!I5+Formula!K5))*(INDEX(Properties!A$1:CB$87,Formula!J5,32))</f>
        <v>6.0442857142857136</v>
      </c>
      <c r="DA5" s="42">
        <f>Formula!C5*(INDEX(Properties!A$1:CB$87,Formula!B5,32))+Formula!E5*(INDEX(Properties!A$1:CB$87,Formula!D5,32))+Formula!G5*(INDEX(Properties!A$1:CB$87,Formula!F5,32))+Formula!I5*(INDEX(Properties!A$1:CB$87,Formula!H5,32))+Formula!K5*(INDEX(Properties!A$1:CB$87,Formula!J5,32))</f>
        <v>126.92999999999999</v>
      </c>
      <c r="DB5" s="42">
        <f>VARP(IF(INDEX(Properties!A$1:CB$87,Formula!B5,32)&lt;&gt;"",INDEX(Properties!A$1:CB$87,Formula!B5,32)),IF(INDEX(Properties!A$1:CB$87,Formula!D5,32)&lt;&gt;"",INDEX(Properties!A$1:CB$87,Formula!D5,32)),IF(INDEX(Properties!A$1:CB$87,Formula!F5,32)&lt;&gt;"",INDEX(Properties!A$1:CB$87,Formula!F5,32)),IF(INDEX(Properties!A$1:CB$87,Formula!H5,32)&lt;&gt;"",INDEX(Properties!A$1:CB$87,Formula!H5,32)),IF(INDEX(Properties!A$1:CB$87,Formula!J5,32)&lt;&gt;"",INDEX(Properties!A$1:CB$87,Formula!J5,32)))</f>
        <v>6.4064159999999966</v>
      </c>
      <c r="DC5" s="42">
        <f>MAX(INDEX(Properties!A$1:CB$87,Formula!B5,32),INDEX(Properties!A$1:CB$87,Formula!D5,32),INDEX(Properties!A$1:CB$87,Formula!F5,32),INDEX(Properties!A$1:CB$87,Formula!H5,32),INDEX(Properties!A$1:CB$87,Formula!J5,32))</f>
        <v>7.54</v>
      </c>
      <c r="DD5" s="42">
        <f>MIN(IF(INDEX(Properties!A$1:CB$87,Formula!B5,32)=0,10^6,INDEX(Properties!A$1:CB$87,Formula!B5,32)),IF(INDEX(Properties!A$1:CB$87,Formula!D5,32)=0,10^6,INDEX(Properties!A$1:CB$87,Formula!D5,32)),IF(INDEX(Properties!A$1:CB$87,Formula!F5,32)=0,10^6,INDEX(Properties!A$1:CB$87,Formula!F5,32)),IF(INDEX(Properties!A$1:CB$87,Formula!H5,32)=0,10^6,INDEX(Properties!A$1:CB$87,Formula!H5,32)),IF(INDEX(Properties!A$1:CB$87,Formula!J5,32)=0,10^6,INDEX(Properties!A$1:CB$87,Formula!J5,32)))</f>
        <v>2.2000000000000002</v>
      </c>
      <c r="DE5" s="42">
        <f t="shared" si="17"/>
        <v>5.34</v>
      </c>
      <c r="DF5" s="60">
        <f>((Formula!C5)/(Formula!C5+Formula!E5+Formula!G5+Formula!I5+Formula!K5))*(INDEX(Properties!A$1:CB$87,Formula!B5,34))+((Formula!E5)/(Formula!C5+Formula!E5+Formula!G5+Formula!I5+Formula!K5))*(INDEX(Properties!A$1:CB$87,Formula!D5,34))+((Formula!G5)/(Formula!C5+Formula!E5+Formula!G5+Formula!I5+Formula!K5))*(INDEX(Properties!A$1:CB$87,Formula!F5,34))+((Formula!I5)/(Formula!C5+Formula!E5+Formula!G5+Formula!I5+Formula!K5))*(INDEX(Properties!A$1:CB$87,Formula!H5,34))+((Formula!K5)/(Formula!C5+Formula!E5+Formula!G5+Formula!I5+Formula!K5))*(INDEX(Properties!A$1:CB$87,Formula!J5,34))</f>
        <v>2.7653333333333334</v>
      </c>
      <c r="DG5" s="60">
        <f>Formula!C5*(INDEX(Properties!A$1:CB$87,Formula!B5,34))+Formula!E5*(INDEX(Properties!A$1:CB$87,Formula!D5,34))+Formula!G5*(INDEX(Properties!A$1:CB$87,Formula!F5,34))+Formula!I5*(INDEX(Properties!A$1:CB$87,Formula!H5,34))+Formula!K5*(INDEX(Properties!A$1:CB$87,Formula!J5,34))</f>
        <v>58.072000000000003</v>
      </c>
      <c r="DH5" s="60">
        <f>VARP(IF(INDEX(Properties!A$1:CB$87,Formula!B5,34)&lt;&gt;"",INDEX(Properties!A$1:CB$87,Formula!B5,34)),IF(INDEX(Properties!A$1:CB$87,Formula!D5,34)&lt;&gt;"",INDEX(Properties!A$1:CB$87,Formula!D5,34)),IF(INDEX(Properties!A$1:CB$87,Formula!F5,34)&lt;&gt;"",INDEX(Properties!A$1:CB$87,Formula!F5,34)),IF(INDEX(Properties!A$1:CB$87,Formula!H5,34)&lt;&gt;"",INDEX(Properties!A$1:CB$87,Formula!H5,34)),IF(INDEX(Properties!A$1:CB$87,Formula!J5,34)&lt;&gt;"",INDEX(Properties!A$1:CB$87,Formula!J5,34)))</f>
        <v>1.4511823999999991</v>
      </c>
      <c r="DI5" s="60">
        <f>MAX(INDEX(Properties!A$1:CB$87,Formula!B5,34),INDEX(Properties!A$1:CB$87,Formula!D5,34),INDEX(Properties!A$1:CB$87,Formula!F5,34),INDEX(Properties!A$1:CB$87,Formula!H5,34),INDEX(Properties!A$1:CB$87,Formula!J5,34))</f>
        <v>3.61</v>
      </c>
      <c r="DJ5" s="60">
        <f>MIN(IF(INDEX(Properties!A$1:CB$87,Formula!B5,34)=0,10^6,INDEX(Properties!A$1:CB$87,Formula!B5,34)),IF(INDEX(Properties!A$1:CB$87,Formula!D5,34)=0,10^6,INDEX(Properties!A$1:CB$87,Formula!D5,34)),IF(INDEX(Properties!A$1:CB$87,Formula!F5,34)=0,10^6,INDEX(Properties!A$1:CB$87,Formula!F5,34)),IF(INDEX(Properties!A$1:CB$87,Formula!H5,34)=0,10^6,INDEX(Properties!A$1:CB$87,Formula!H5,34)),IF(INDEX(Properties!A$1:CB$87,Formula!J5,34)=0,10^6,INDEX(Properties!A$1:CB$87,Formula!J5,34)))</f>
        <v>1.034</v>
      </c>
      <c r="DK5" s="60">
        <f t="shared" si="18"/>
        <v>2.5759999999999996</v>
      </c>
      <c r="DL5" s="45">
        <f>((Formula!C5)/(Formula!C5+Formula!E5+Formula!G5+Formula!I5+Formula!K5))*(INDEX(Properties!A$1:CB$87,Formula!B5,39))+((Formula!E5)/(Formula!C5+Formula!E5+Formula!G5+Formula!I5+Formula!K5))*(INDEX(Properties!A$1:CB$87,Formula!D5,39))+((Formula!G5)/(Formula!C5+Formula!E5+Formula!G5+Formula!I5+Formula!K5))*(INDEX(Properties!A$1:CB$87,Formula!F5,39))+((Formula!I5)/(Formula!C5+Formula!E5+Formula!G5+Formula!I5+Formula!K5))*(INDEX(Properties!A$1:CB$87,Formula!H5,39))+((Formula!K5)/(Formula!C5+Formula!E5+Formula!G5+Formula!I5+Formula!K5))*(INDEX(Properties!A$1:CB$87,Formula!J5,39))</f>
        <v>0.91952380952380952</v>
      </c>
      <c r="DM5" s="45">
        <f>Formula!C5*(INDEX(Properties!A$1:CB$87,Formula!B5,39))+Formula!E5*(INDEX(Properties!A$1:CB$87,Formula!D5,39))+Formula!G5*(INDEX(Properties!A$1:CB$87,Formula!F5,39))+Formula!I5*(INDEX(Properties!A$1:CB$87,Formula!H5,39))+Formula!K5*(INDEX(Properties!A$1:CB$87,Formula!J5,39))</f>
        <v>19.310000000000002</v>
      </c>
      <c r="DN5" s="45">
        <f>VARP(IF(INDEX(Properties!A$1:CB$87,Formula!B5,39)&lt;&gt;"",INDEX(Properties!A$1:CB$87,Formula!B5,39)),IF(INDEX(Properties!A$1:CB$87,Formula!D5,39)&lt;&gt;"",INDEX(Properties!A$1:CB$87,Formula!D5,39)),IF(INDEX(Properties!A$1:CB$87,Formula!F5,39)&lt;&gt;"",INDEX(Properties!A$1:CB$87,Formula!F5,39)),IF(INDEX(Properties!A$1:CB$87,Formula!H5,39)&lt;&gt;"",INDEX(Properties!A$1:CB$87,Formula!H5,39)),IF(INDEX(Properties!A$1:CB$87,Formula!J5,39)&lt;&gt;"",INDEX(Properties!A$1:CB$87,Formula!J5,39)))</f>
        <v>0.6045039999999996</v>
      </c>
      <c r="DO5" s="45">
        <f>MAX(INDEX(Properties!A$1:CB$87,Formula!B5,39),INDEX(Properties!A$1:CB$87,Formula!D5,39),INDEX(Properties!A$1:CB$87,Formula!F5,39),INDEX(Properties!A$1:CB$87,Formula!H5,39),INDEX(Properties!A$1:CB$87,Formula!J5,39))</f>
        <v>1.95</v>
      </c>
      <c r="DP5" s="45">
        <f>MIN(IF(INDEX(Properties!A$1:CB$87,Formula!B5,39)=0,10^6,INDEX(Properties!A$1:CB$87,Formula!B5,39)),IF(INDEX(Properties!A$1:CB$87,Formula!D5,39)=0,10^6,INDEX(Properties!A$1:CB$87,Formula!D5,39)),IF(INDEX(Properties!A$1:CB$87,Formula!F5,39)=0,10^6,INDEX(Properties!A$1:CB$87,Formula!F5,39)),IF(INDEX(Properties!A$1:CB$87,Formula!H5,39)=0,10^6,INDEX(Properties!A$1:CB$87,Formula!H5,39)),IF(INDEX(Properties!A$1:CB$87,Formula!J5,39)=0,10^6,INDEX(Properties!A$1:CB$87,Formula!J5,39)))</f>
        <v>0.48</v>
      </c>
      <c r="DQ5" s="45">
        <f t="shared" si="19"/>
        <v>1.47</v>
      </c>
      <c r="DR5" s="63">
        <f>((Formula!C5)/(Formula!C5+Formula!E5+Formula!G5+Formula!I5+Formula!K5))*(INDEX(Properties!A$1:CB$87,Formula!B5,40))+((Formula!E5)/(Formula!C5+Formula!E5+Formula!G5+Formula!I5+Formula!K5))*(INDEX(Properties!A$1:CB$87,Formula!D5,40))+((Formula!G5)/(Formula!C5+Formula!E5+Formula!G5+Formula!I5+Formula!K5))*(INDEX(Properties!A$1:CB$87,Formula!F5,40))+((Formula!I5)/(Formula!C5+Formula!E5+Formula!G5+Formula!I5+Formula!K5))*(INDEX(Properties!A$1:CB$87,Formula!H5,40))+((Formula!K5)/(Formula!C5+Formula!E5+Formula!G5+Formula!I5+Formula!K5))*(INDEX(Properties!A$1:CB$87,Formula!J5,40))</f>
        <v>1.0152380952380953</v>
      </c>
      <c r="DS5" s="63">
        <f>Formula!C5*(INDEX(Properties!A$1:CB$87,Formula!B5,40))+Formula!E5*(INDEX(Properties!A$1:CB$87,Formula!D5,40))+Formula!G5*(INDEX(Properties!A$1:CB$87,Formula!F5,40))+Formula!I5*(INDEX(Properties!A$1:CB$87,Formula!H5,40))+Formula!K5*(INDEX(Properties!A$1:CB$87,Formula!J5,40))</f>
        <v>21.32</v>
      </c>
      <c r="DT5" s="63">
        <f>VARP(IF(INDEX(Properties!A$1:CB$87,Formula!B5,40)&lt;&gt;"",INDEX(Properties!A$1:CB$87,Formula!B5,40)),IF(INDEX(Properties!A$1:CB$87,Formula!D5,40)&lt;&gt;"",INDEX(Properties!A$1:CB$87,Formula!D5,40)),IF(INDEX(Properties!A$1:CB$87,Formula!F5,40)&lt;&gt;"",INDEX(Properties!A$1:CB$87,Formula!F5,40)),IF(INDEX(Properties!A$1:CB$87,Formula!H5,40)&lt;&gt;"",INDEX(Properties!A$1:CB$87,Formula!H5,40)),IF(INDEX(Properties!A$1:CB$87,Formula!J5,40)&lt;&gt;"",INDEX(Properties!A$1:CB$87,Formula!J5,40)))</f>
        <v>0.41882400000000003</v>
      </c>
      <c r="DU5" s="63">
        <f>MAX(INDEX(Properties!A$1:CB$87,Formula!B5,40),INDEX(Properties!A$1:CB$87,Formula!D5,40),INDEX(Properties!A$1:CB$87,Formula!F5,40),INDEX(Properties!A$1:CB$87,Formula!H5,40),INDEX(Properties!A$1:CB$87,Formula!J5,40))</f>
        <v>1.74</v>
      </c>
      <c r="DV5" s="63">
        <f>MIN(IF(INDEX(Properties!A$1:CB$87,Formula!B5,40)=0,10^6,INDEX(Properties!A$1:CB$87,Formula!B5,40)),IF(INDEX(Properties!A$1:CB$87,Formula!D5,40)=0,10^6,INDEX(Properties!A$1:CB$87,Formula!D5,40)),IF(INDEX(Properties!A$1:CB$87,Formula!F5,40)=0,10^6,INDEX(Properties!A$1:CB$87,Formula!F5,40)),IF(INDEX(Properties!A$1:CB$87,Formula!H5,40)=0,10^6,INDEX(Properties!A$1:CB$87,Formula!H5,40)),IF(INDEX(Properties!A$1:CB$87,Formula!J5,40)=0,10^6,INDEX(Properties!A$1:CB$87,Formula!J5,40)))</f>
        <v>0.73</v>
      </c>
      <c r="DW5" s="63">
        <f t="shared" si="20"/>
        <v>1.01</v>
      </c>
      <c r="DX5" s="75">
        <f>((Formula!C5)/(Formula!C5+Formula!E5+Formula!G5+Formula!I5+Formula!K5))*(INDEX(Properties!A$1:CB$87,Formula!B5,41))+((Formula!E5)/(Formula!C5+Formula!E5+Formula!G5+Formula!I5+Formula!K5))*(INDEX(Properties!A$1:CB$87,Formula!D5,41))+((Formula!G5)/(Formula!C5+Formula!E5+Formula!G5+Formula!I5+Formula!K5))*(INDEX(Properties!A$1:CB$87,Formula!F5,41))+((Formula!I5)/(Formula!C5+Formula!E5+Formula!G5+Formula!I5+Formula!K5))*(INDEX(Properties!A$1:CB$87,Formula!H5,41))+((Formula!K5)/(Formula!C5+Formula!E5+Formula!G5+Formula!I5+Formula!K5))*(INDEX(Properties!A$1:CB$87,Formula!J5,41))</f>
        <v>1.1342857142857143</v>
      </c>
      <c r="DY5" s="75">
        <f>Formula!C5*(INDEX(Properties!A$1:CB$87,Formula!B5,41))+Formula!E5*(INDEX(Properties!A$1:CB$87,Formula!D5,41))+Formula!G5*(INDEX(Properties!A$1:CB$87,Formula!F5,41))+Formula!I5*(INDEX(Properties!A$1:CB$87,Formula!H5,41))+Formula!K5*(INDEX(Properties!A$1:CB$87,Formula!J5,41))</f>
        <v>23.82</v>
      </c>
      <c r="DZ5" s="75">
        <f>VARP(IF(INDEX(Properties!A$1:CB$87,Formula!B5,41)&lt;&gt;"",INDEX(Properties!A$1:CB$87,Formula!B5,41)),IF(INDEX(Properties!A$1:CB$87,Formula!D5,41)&lt;&gt;"",INDEX(Properties!A$1:CB$87,Formula!D5,41)),IF(INDEX(Properties!A$1:CB$87,Formula!F5,41)&lt;&gt;"",INDEX(Properties!A$1:CB$87,Formula!F5,41)),IF(INDEX(Properties!A$1:CB$87,Formula!H5,41)&lt;&gt;"",INDEX(Properties!A$1:CB$87,Formula!H5,41)),IF(INDEX(Properties!A$1:CB$87,Formula!J5,41)&lt;&gt;"",INDEX(Properties!A$1:CB$87,Formula!J5,41)))</f>
        <v>0.23385600000000012</v>
      </c>
      <c r="EA5" s="75">
        <f>MAX(INDEX(Properties!A$1:CB$87,Formula!B5,41),INDEX(Properties!A$1:CB$87,Formula!D5,41),INDEX(Properties!A$1:CB$87,Formula!F5,41),INDEX(Properties!A$1:CB$87,Formula!H5,41),INDEX(Properties!A$1:CB$87,Formula!J5,41))</f>
        <v>1.26</v>
      </c>
      <c r="EB5" s="75">
        <f>MIN(IF(INDEX(Properties!A$1:CB$87,Formula!B5,41)=0,10^6,INDEX(Properties!A$1:CB$87,Formula!B5,41)),IF(INDEX(Properties!A$1:CB$87,Formula!D5,41)=0,10^6,INDEX(Properties!A$1:CB$87,Formula!D5,41)),IF(INDEX(Properties!A$1:CB$87,Formula!F5,41)=0,10^6,INDEX(Properties!A$1:CB$87,Formula!F5,41)),IF(INDEX(Properties!A$1:CB$87,Formula!H5,41)=0,10^6,INDEX(Properties!A$1:CB$87,Formula!H5,41)),IF(INDEX(Properties!A$1:CB$87,Formula!J5,41)=0,10^6,INDEX(Properties!A$1:CB$87,Formula!J5,41)))</f>
        <v>0.54</v>
      </c>
      <c r="EC5" s="75">
        <f t="shared" si="21"/>
        <v>0.72</v>
      </c>
      <c r="ED5" s="48">
        <f>((Formula!C5)/(Formula!C5+Formula!E5+Formula!G5+Formula!I5+Formula!K5))*(INDEX(Properties!A$1:CB$87,Formula!B5,45))+((Formula!E5)/(Formula!C5+Formula!E5+Formula!G5+Formula!I5+Formula!K5))*(INDEX(Properties!A$1:CB$87,Formula!D5,45))+((Formula!G5)/(Formula!C5+Formula!E5+Formula!G5+Formula!I5+Formula!K5))*(INDEX(Properties!A$1:CB$87,Formula!F5,45))+((Formula!I5)/(Formula!C5+Formula!E5+Formula!G5+Formula!I5+Formula!K5))*(INDEX(Properties!A$1:CB$87,Formula!H5,45))+((Formula!K5)/(Formula!C5+Formula!E5+Formula!G5+Formula!I5+Formula!K5))*(INDEX(Properties!A$1:CB$87,Formula!J5,45))</f>
        <v>1.2233333333333332</v>
      </c>
      <c r="EE5" s="48">
        <f>Formula!C5*(INDEX(Properties!A$1:CB$87,Formula!B5,45))+Formula!E5*(INDEX(Properties!A$1:CB$87,Formula!D5,45))+Formula!G5*(INDEX(Properties!A$1:CB$87,Formula!F5,45))+Formula!I5*(INDEX(Properties!A$1:CB$87,Formula!H5,45))+Formula!K5*(INDEX(Properties!A$1:CB$87,Formula!J5,45))</f>
        <v>25.689999999999998</v>
      </c>
      <c r="EF5" s="48">
        <f>VARP(IF(INDEX(Properties!A$1:CB$87,Formula!B5,45)&lt;&gt;"",INDEX(Properties!A$1:CB$87,Formula!B5,45)),IF(INDEX(Properties!A$1:CB$87,Formula!D5,45)&lt;&gt;"",INDEX(Properties!A$1:CB$87,Formula!D5,45)),IF(INDEX(Properties!A$1:CB$87,Formula!F5,45)&lt;&gt;"",INDEX(Properties!A$1:CB$87,Formula!F5,45)),IF(INDEX(Properties!A$1:CB$87,Formula!H5,45)&lt;&gt;"",INDEX(Properties!A$1:CB$87,Formula!H5,45)),IF(INDEX(Properties!A$1:CB$87,Formula!J5,45)&lt;&gt;"",INDEX(Properties!A$1:CB$87,Formula!J5,45)))</f>
        <v>1.6039040000000007</v>
      </c>
      <c r="EG5" s="48">
        <f>MAX(INDEX(Properties!A$1:CB$87,Formula!B5,45),INDEX(Properties!A$1:CB$87,Formula!D5,45),INDEX(Properties!A$1:CB$87,Formula!F5,45),INDEX(Properties!A$1:CB$87,Formula!H5,45),INDEX(Properties!A$1:CB$87,Formula!J5,45))</f>
        <v>3.08</v>
      </c>
      <c r="EH5" s="48">
        <f>MIN(IF(INDEX(Properties!A$1:CB$87,Formula!B5,45)=0,10^6,INDEX(Properties!A$1:CB$87,Formula!B5,45)),IF(INDEX(Properties!A$1:CB$87,Formula!D5,45)=0,10^6,INDEX(Properties!A$1:CB$87,Formula!D5,45)),IF(INDEX(Properties!A$1:CB$87,Formula!F5,45)=0,10^6,INDEX(Properties!A$1:CB$87,Formula!F5,45)),IF(INDEX(Properties!A$1:CB$87,Formula!H5,45)=0,10^6,INDEX(Properties!A$1:CB$87,Formula!H5,45)),IF(INDEX(Properties!A$1:CB$87,Formula!J5,45)=0,10^6,INDEX(Properties!A$1:CB$87,Formula!J5,45)))</f>
        <v>0.47</v>
      </c>
      <c r="EI5" s="48">
        <f t="shared" si="22"/>
        <v>2.6100000000000003</v>
      </c>
      <c r="EJ5" s="66">
        <f>((Formula!C5)/(Formula!C5+Formula!E5+Formula!G5+Formula!I5+Formula!K5))*(INDEX(Properties!A$1:CB$87,Formula!B5,46))+((Formula!E5)/(Formula!C5+Formula!E5+Formula!G5+Formula!I5+Formula!K5))*(INDEX(Properties!A$1:CB$87,Formula!D5,46))+((Formula!G5)/(Formula!C5+Formula!E5+Formula!G5+Formula!I5+Formula!K5))*(INDEX(Properties!A$1:CB$87,Formula!F5,46))+((Formula!I5)/(Formula!C5+Formula!E5+Formula!G5+Formula!I5+Formula!K5))*(INDEX(Properties!A$1:CB$87,Formula!H5,46))+((Formula!K5)/(Formula!C5+Formula!E5+Formula!G5+Formula!I5+Formula!K5))*(INDEX(Properties!A$1:CB$87,Formula!J5,46))</f>
        <v>1.1195238095238096</v>
      </c>
      <c r="EK5" s="66">
        <f>Formula!C5*(INDEX(Properties!A$1:CB$87,Formula!B5,46))+Formula!E5*(INDEX(Properties!A$1:CB$87,Formula!D5,46))+Formula!G5*(INDEX(Properties!A$1:CB$87,Formula!F5,46))+Formula!I5*(INDEX(Properties!A$1:CB$87,Formula!H5,46))+Formula!K5*(INDEX(Properties!A$1:CB$87,Formula!J5,46))</f>
        <v>23.51</v>
      </c>
      <c r="EL5" s="66">
        <f>VARP(IF(INDEX(Properties!A$1:CB$87,Formula!B5,46)&lt;&gt;"",INDEX(Properties!A$1:CB$87,Formula!B5,46)),IF(INDEX(Properties!A$1:CB$87,Formula!D5,46)&lt;&gt;"",INDEX(Properties!A$1:CB$87,Formula!D5,46)),IF(INDEX(Properties!A$1:CB$87,Formula!F5,46)&lt;&gt;"",INDEX(Properties!A$1:CB$87,Formula!F5,46)),IF(INDEX(Properties!A$1:CB$87,Formula!H5,46)&lt;&gt;"",INDEX(Properties!A$1:CB$87,Formula!H5,46)),IF(INDEX(Properties!A$1:CB$87,Formula!J5,46)&lt;&gt;"",INDEX(Properties!A$1:CB$87,Formula!J5,46)))</f>
        <v>0.27897600000000028</v>
      </c>
      <c r="EM5" s="66">
        <f>MAX(INDEX(Properties!A$1:CB$87,Formula!B5,46),INDEX(Properties!A$1:CB$87,Formula!D5,46),INDEX(Properties!A$1:CB$87,Formula!F5,46),INDEX(Properties!A$1:CB$87,Formula!H5,46),INDEX(Properties!A$1:CB$87,Formula!J5,46))</f>
        <v>1.36</v>
      </c>
      <c r="EN5" s="66">
        <f>MIN(IF(INDEX(Properties!A$1:CB$87,Formula!B5,46)=0,10^6,INDEX(Properties!A$1:CB$87,Formula!B5,46)),IF(INDEX(Properties!A$1:CB$87,Formula!D5,46)=0,10^6,INDEX(Properties!A$1:CB$87,Formula!D5,46)),IF(INDEX(Properties!A$1:CB$87,Formula!F5,46)=0,10^6,INDEX(Properties!A$1:CB$87,Formula!F5,46)),IF(INDEX(Properties!A$1:CB$87,Formula!H5,46)=0,10^6,INDEX(Properties!A$1:CB$87,Formula!H5,46)),IF(INDEX(Properties!A$1:CB$87,Formula!J5,46)=0,10^6,INDEX(Properties!A$1:CB$87,Formula!J5,46)))</f>
        <v>0.4</v>
      </c>
      <c r="EO5" s="66">
        <f t="shared" si="23"/>
        <v>0.96000000000000008</v>
      </c>
      <c r="EP5" s="81">
        <f>((Formula!C5)/(Formula!C5+Formula!E5+Formula!G5+Formula!I5+Formula!K5))*(INDEX(Properties!A$1:CB$87,Formula!B5,52))+((Formula!E5)/(Formula!C5+Formula!E5+Formula!G5+Formula!I5+Formula!K5))*(INDEX(Properties!A$1:CB$87,Formula!D5,52))+((Formula!G5)/(Formula!C5+Formula!E5+Formula!G5+Formula!I5+Formula!K5))*(INDEX(Properties!A$1:CB$87,Formula!F5,52))+((Formula!I5)/(Formula!C5+Formula!E5+Formula!G5+Formula!I5+Formula!K5))*(INDEX(Properties!A$1:CB$87,Formula!H5,52))+((Formula!K5)/(Formula!C5+Formula!E5+Formula!G5+Formula!I5+Formula!K5))*(INDEX(Properties!A$1:CB$87,Formula!J5,52))</f>
        <v>8.2718571428571437</v>
      </c>
      <c r="EQ5" s="81">
        <f>Formula!C5*(INDEX(Properties!A$1:CB$87,Formula!B5,52))+Formula!E5*(INDEX(Properties!A$1:CB$87,Formula!D5,52))+Formula!G5*(INDEX(Properties!A$1:CB$87,Formula!F5,52))+Formula!I5*(INDEX(Properties!A$1:CB$87,Formula!H5,52))+Formula!K5*(INDEX(Properties!A$1:CB$87,Formula!J5,52))</f>
        <v>173.70900000000003</v>
      </c>
      <c r="ER5" s="81">
        <f>VARP(IF(INDEX(Properties!A$1:CB$87,Formula!B5,52)&lt;&gt;"",INDEX(Properties!A$1:CB$87,Formula!B5,52)),IF(INDEX(Properties!A$1:CB$87,Formula!D5,52)&lt;&gt;"",INDEX(Properties!A$1:CB$87,Formula!D5,52)),IF(INDEX(Properties!A$1:CB$87,Formula!F5,52)&lt;&gt;"",INDEX(Properties!A$1:CB$87,Formula!F5,52)),IF(INDEX(Properties!A$1:CB$87,Formula!H5,52)&lt;&gt;"",INDEX(Properties!A$1:CB$87,Formula!H5,52)),IF(INDEX(Properties!A$1:CB$87,Formula!J5,52)&lt;&gt;"",INDEX(Properties!A$1:CB$87,Formula!J5,52)))</f>
        <v>158.92102384</v>
      </c>
      <c r="ES5" s="81">
        <f>MAX(INDEX(Properties!A$1:CB$87,Formula!B5,52),INDEX(Properties!A$1:CB$87,Formula!D5,52),INDEX(Properties!A$1:CB$87,Formula!F5,52),INDEX(Properties!A$1:CB$87,Formula!H5,52),INDEX(Properties!A$1:CB$87,Formula!J5,52))</f>
        <v>31.1</v>
      </c>
      <c r="ET5" s="81">
        <f>MIN(IF(INDEX(Properties!A$1:CB$87,Formula!B5,52)=0,10^6,INDEX(Properties!A$1:CB$87,Formula!B5,52)),IF(INDEX(Properties!A$1:CB$87,Formula!D5,52)=0,10^6,INDEX(Properties!A$1:CB$87,Formula!D5,52)),IF(INDEX(Properties!A$1:CB$87,Formula!F5,52)=0,10^6,INDEX(Properties!A$1:CB$87,Formula!F5,52)),IF(INDEX(Properties!A$1:CB$87,Formula!H5,52)=0,10^6,INDEX(Properties!A$1:CB$87,Formula!H5,52)),IF(INDEX(Properties!A$1:CB$87,Formula!J5,52)=0,10^6,INDEX(Properties!A$1:CB$87,Formula!J5,52)))</f>
        <v>0.79300000000000004</v>
      </c>
      <c r="EU5" s="81">
        <f t="shared" si="24"/>
        <v>30.307000000000002</v>
      </c>
      <c r="EV5" s="39">
        <f>((Formula!C5)/(Formula!C5+Formula!E5+Formula!G5+Formula!I5+Formula!K5))*(INDEX(Properties!A$1:CB$87,Formula!B5,53))+((Formula!E5)/(Formula!C5+Formula!E5+Formula!G5+Formula!I5+Formula!K5))*(INDEX(Properties!A$1:CB$87,Formula!D5,53))+((Formula!G5)/(Formula!C5+Formula!E5+Formula!G5+Formula!I5+Formula!K5))*(INDEX(Properties!A$1:CB$87,Formula!F5,53))+((Formula!I5)/(Formula!C5+Formula!E5+Formula!G5+Formula!I5+Formula!K5))*(INDEX(Properties!A$1:CB$87,Formula!H5,53))+((Formula!K5)/(Formula!C5+Formula!E5+Formula!G5+Formula!I5+Formula!K5))*(INDEX(Properties!A$1:CB$87,Formula!J5,53))</f>
        <v>554.56904761904752</v>
      </c>
      <c r="EW5" s="39">
        <f>Formula!C5*(INDEX(Properties!A$1:CB$87,Formula!B5,53))+Formula!E5*(INDEX(Properties!A$1:CB$87,Formula!D5,53))+Formula!G5*(INDEX(Properties!A$1:CB$87,Formula!F5,53))+Formula!I5*(INDEX(Properties!A$1:CB$87,Formula!H5,53))+Formula!K5*(INDEX(Properties!A$1:CB$87,Formula!J5,53))</f>
        <v>11645.95</v>
      </c>
      <c r="EX5" s="39">
        <f>VARP(IF(INDEX(Properties!A$1:CB$87,Formula!B5,53)&lt;&gt;"",INDEX(Properties!A$1:CB$87,Formula!B5,53)),IF(INDEX(Properties!A$1:CB$87,Formula!D5,53)&lt;&gt;"",INDEX(Properties!A$1:CB$87,Formula!D5,53)),IF(INDEX(Properties!A$1:CB$87,Formula!F5,53)&lt;&gt;"",INDEX(Properties!A$1:CB$87,Formula!F5,53)),IF(INDEX(Properties!A$1:CB$87,Formula!H5,53)&lt;&gt;"",INDEX(Properties!A$1:CB$87,Formula!H5,53)),IF(INDEX(Properties!A$1:CB$87,Formula!J5,53)&lt;&gt;"",INDEX(Properties!A$1:CB$87,Formula!J5,53)))</f>
        <v>445396.55640000018</v>
      </c>
      <c r="EY5" s="39">
        <f>MAX(INDEX(Properties!A$1:CB$87,Formula!B5,53),INDEX(Properties!A$1:CB$87,Formula!D5,53),INDEX(Properties!A$1:CB$87,Formula!F5,53),INDEX(Properties!A$1:CB$87,Formula!H5,53),INDEX(Properties!A$1:CB$87,Formula!J5,53))</f>
        <v>1683.15</v>
      </c>
      <c r="EZ5" s="39">
        <f>MIN(IF(INDEX(Properties!A$1:CB$87,Formula!B5,53)=0,10^6,INDEX(Properties!A$1:CB$87,Formula!B5,53)),IF(INDEX(Properties!A$1:CB$87,Formula!D5,53)=0,10^6,INDEX(Properties!A$1:CB$87,Formula!D5,53)),IF(INDEX(Properties!A$1:CB$87,Formula!F5,53)=0,10^6,INDEX(Properties!A$1:CB$87,Formula!F5,53)),IF(INDEX(Properties!A$1:CB$87,Formula!H5,53)=0,10^6,INDEX(Properties!A$1:CB$87,Formula!H5,53)),IF(INDEX(Properties!A$1:CB$87,Formula!J5,53)=0,10^6,INDEX(Properties!A$1:CB$87,Formula!J5,53)))</f>
        <v>54.749999999999972</v>
      </c>
      <c r="FA5" s="39">
        <f t="shared" si="25"/>
        <v>1628.4</v>
      </c>
      <c r="FB5" s="54">
        <f>((Formula!C5)/(Formula!C5+Formula!E5+Formula!G5+Formula!I5+Formula!K5))*(INDEX(Properties!A$1:CB$87,Formula!B5,54))+((Formula!E5)/(Formula!C5+Formula!E5+Formula!G5+Formula!I5+Formula!K5))*(INDEX(Properties!A$1:CB$87,Formula!D5,54))+((Formula!G5)/(Formula!C5+Formula!E5+Formula!G5+Formula!I5+Formula!K5))*(INDEX(Properties!A$1:CB$87,Formula!F5,54))+((Formula!I5)/(Formula!C5+Formula!E5+Formula!G5+Formula!I5+Formula!K5))*(INDEX(Properties!A$1:CB$87,Formula!H5,54))+((Formula!K5)/(Formula!C5+Formula!E5+Formula!G5+Formula!I5+Formula!K5))*(INDEX(Properties!A$1:CB$87,Formula!J5,54))</f>
        <v>1224.8642857142856</v>
      </c>
      <c r="FC5" s="54">
        <f>Formula!C5*(INDEX(Properties!A$1:CB$87,Formula!B5,54))+Formula!E5*(INDEX(Properties!A$1:CB$87,Formula!D5,54))+Formula!G5*(INDEX(Properties!A$1:CB$87,Formula!F5,54))+Formula!I5*(INDEX(Properties!A$1:CB$87,Formula!H5,54))+Formula!K5*(INDEX(Properties!A$1:CB$87,Formula!J5,54))</f>
        <v>25722.15</v>
      </c>
      <c r="FD5" s="54">
        <f>VARP(IF(INDEX(Properties!A$1:CB$87,Formula!B5,54)&lt;&gt;"",INDEX(Properties!A$1:CB$87,Formula!B5,54)),IF(INDEX(Properties!A$1:CB$87,Formula!D5,54)&lt;&gt;"",INDEX(Properties!A$1:CB$87,Formula!D5,54)),IF(INDEX(Properties!A$1:CB$87,Formula!F5,54)&lt;&gt;"",INDEX(Properties!A$1:CB$87,Formula!F5,54)),IF(INDEX(Properties!A$1:CB$87,Formula!H5,54)&lt;&gt;"",INDEX(Properties!A$1:CB$87,Formula!H5,54)),IF(INDEX(Properties!A$1:CB$87,Formula!J5,54)&lt;&gt;"",INDEX(Properties!A$1:CB$87,Formula!J5,54)))</f>
        <v>2087598.6675999998</v>
      </c>
      <c r="FE5" s="54">
        <f>MAX(INDEX(Properties!A$1:CB$87,Formula!B5,54),INDEX(Properties!A$1:CB$87,Formula!D5,54),INDEX(Properties!A$1:CB$87,Formula!F5,54),INDEX(Properties!A$1:CB$87,Formula!H5,54),INDEX(Properties!A$1:CB$87,Formula!J5,54))</f>
        <v>3727.15</v>
      </c>
      <c r="FF5" s="54">
        <f>MIN(IF(INDEX(Properties!A$1:CB$87,Formula!B5,54)=0,10^6,INDEX(Properties!A$1:CB$87,Formula!B5,54)),IF(INDEX(Properties!A$1:CB$87,Formula!D5,54)=0,10^6,INDEX(Properties!A$1:CB$87,Formula!D5,54)),IF(INDEX(Properties!A$1:CB$87,Formula!F5,54)=0,10^6,INDEX(Properties!A$1:CB$87,Formula!F5,54)),IF(INDEX(Properties!A$1:CB$87,Formula!H5,54)=0,10^6,INDEX(Properties!A$1:CB$87,Formula!H5,54)),IF(INDEX(Properties!A$1:CB$87,Formula!J5,54)=0,10^6,INDEX(Properties!A$1:CB$87,Formula!J5,54)))</f>
        <v>90.149999999999977</v>
      </c>
      <c r="FG5" s="54">
        <f t="shared" si="26"/>
        <v>3637</v>
      </c>
      <c r="FH5" s="69">
        <f>((Formula!C5)/(Formula!C5+Formula!E5+Formula!G5+Formula!I5+Formula!K5))*(INDEX(Properties!A$1:CB$87,Formula!B5,55))+((Formula!E5)/(Formula!C5+Formula!E5+Formula!G5+Formula!I5+Formula!K5))*(INDEX(Properties!A$1:CB$87,Formula!D5,55))+((Formula!G5)/(Formula!C5+Formula!E5+Formula!G5+Formula!I5+Formula!K5))*(INDEX(Properties!A$1:CB$87,Formula!F5,55))+((Formula!I5)/(Formula!C5+Formula!E5+Formula!G5+Formula!I5+Formula!K5))*(INDEX(Properties!A$1:CB$87,Formula!H5,55))+((Formula!K5)/(Formula!C5+Formula!E5+Formula!G5+Formula!I5+Formula!K5))*(INDEX(Properties!A$1:CB$87,Formula!J5,55))</f>
        <v>1.578980476190476</v>
      </c>
      <c r="FI5" s="69">
        <f>Formula!C5*(INDEX(Properties!A$1:CB$87,Formula!B5,55))+Formula!E5*(INDEX(Properties!A$1:CB$87,Formula!D5,54))+Formula!G5*(INDEX(Properties!A$1:CB$87,Formula!F5,55))+Formula!I5*(INDEX(Properties!A$1:CB$87,Formula!H5,55))+Formula!K5*(INDEX(Properties!A$1:CB$87,Formula!J5,55))</f>
        <v>14917.158589999999</v>
      </c>
      <c r="FJ5" s="69">
        <f>VARP(IF(INDEX(Properties!A$1:CB$87,Formula!B5,55)&lt;&gt;"",INDEX(Properties!A$1:CB$87,Formula!B5,55)),IF(INDEX(Properties!A$1:CB$87,Formula!D5,55)&lt;&gt;"",INDEX(Properties!A$1:CB$87,Formula!D5,55)),IF(INDEX(Properties!A$1:CB$87,Formula!F5,55)&lt;&gt;"",INDEX(Properties!A$1:CB$87,Formula!F5,55)),IF(INDEX(Properties!A$1:CB$87,Formula!H5,55)&lt;&gt;"",INDEX(Properties!A$1:CB$87,Formula!H5,55)),IF(INDEX(Properties!A$1:CB$87,Formula!J5,55)&lt;&gt;"",INDEX(Properties!A$1:CB$87,Formula!J5,55)))</f>
        <v>5.1055968951840018</v>
      </c>
      <c r="FK5" s="69">
        <f>MAX(INDEX(Properties!A$1:CB$87,Formula!B5,55),INDEX(Properties!A$1:CB$87,Formula!D5,55),INDEX(Properties!A$1:CB$87,Formula!F5,55),INDEX(Properties!A$1:CB$87,Formula!H5,55),INDEX(Properties!A$1:CB$87,Formula!J5,55))</f>
        <v>6.15</v>
      </c>
      <c r="FL5" s="69">
        <f>MIN(IF(INDEX(Properties!A$1:CB$87,Formula!B5,55)=0,10^6,INDEX(Properties!A$1:CB$87,Formula!B5,55)),IF(INDEX(Properties!A$1:CB$87,Formula!D5,55)=0,10^6,INDEX(Properties!A$1:CB$87,Formula!D5,55)),IF(INDEX(Properties!A$1:CB$87,Formula!F5,55)=0,10^6,INDEX(Properties!A$1:CB$87,Formula!F5,55)),IF(INDEX(Properties!A$1:CB$87,Formula!H5,55)=0,10^6,INDEX(Properties!A$1:CB$87,Formula!H5,55)),IF(INDEX(Properties!A$1:CB$87,Formula!J5,55)=0,10^6,INDEX(Properties!A$1:CB$87,Formula!J5,55)))</f>
        <v>1.4300000000000001E-3</v>
      </c>
      <c r="FM5" s="69">
        <f t="shared" si="27"/>
        <v>6.1485700000000003</v>
      </c>
      <c r="FN5" s="42">
        <f>((Formula!C5)/(Formula!C5+Formula!E5+Formula!G5+Formula!I5+Formula!K5))*(INDEX(Properties!A$1:CB$87,Formula!B5,56))+((Formula!E5)/(Formula!C5+Formula!E5+Formula!G5+Formula!I5+Formula!K5))*(INDEX(Properties!A$1:CB$87,Formula!D5,56))+((Formula!G5)/(Formula!C5+Formula!E5+Formula!G5+Formula!I5+Formula!K5))*(INDEX(Properties!A$1:CB$87,Formula!F5,56))+((Formula!I5)/(Formula!C5+Formula!E5+Formula!G5+Formula!I5+Formula!K5))*(INDEX(Properties!A$1:CB$87,Formula!H5,56))+((Formula!K5)/(Formula!C5+Formula!E5+Formula!G5+Formula!I5+Formula!K5))*(INDEX(Properties!A$1:CB$87,Formula!J5,56))</f>
        <v>0.7371428571428571</v>
      </c>
      <c r="FO5" s="42">
        <f>Formula!C5*(INDEX(Properties!A$1:CB$87,Formula!B5,56))+Formula!E5*(INDEX(Properties!A$1:CB$87,Formula!D5,56))+Formula!G5*(INDEX(Properties!A$1:CB$87,Formula!F5,56))+Formula!I5*(INDEX(Properties!A$1:CB$87,Formula!H5,56))+Formula!K5*(INDEX(Properties!A$1:CB$87,Formula!J5,56))</f>
        <v>15.48</v>
      </c>
      <c r="FP5" s="42">
        <f>VARP(IF(INDEX(Properties!A$1:CB$87,Formula!B5,56)&lt;&gt;"",INDEX(Properties!A$1:CB$87,Formula!B5,56)),IF(INDEX(Properties!A$1:CB$87,Formula!D5,56)&lt;&gt;"",INDEX(Properties!A$1:CB$87,Formula!D5,56)),IF(INDEX(Properties!A$1:CB$87,Formula!F5,56)&lt;&gt;"",INDEX(Properties!A$1:CB$87,Formula!F5,56)),IF(INDEX(Properties!A$1:CB$87,Formula!H5,56)&lt;&gt;"",INDEX(Properties!A$1:CB$87,Formula!H5,56)),IF(INDEX(Properties!A$1:CB$87,Formula!J5,56)&lt;&gt;"",INDEX(Properties!A$1:CB$87,Formula!J5,56)))</f>
        <v>0.11659999999999997</v>
      </c>
      <c r="FQ5" s="42">
        <f>MAX(INDEX(Properties!A$1:CB$87,Formula!B5,56),INDEX(Properties!A$1:CB$87,Formula!D5,56),INDEX(Properties!A$1:CB$87,Formula!F5,56),INDEX(Properties!A$1:CB$87,Formula!H5,56),INDEX(Properties!A$1:CB$87,Formula!J5,56))</f>
        <v>0.92</v>
      </c>
      <c r="FR5" s="42">
        <f>MIN(IF(INDEX(Properties!A$1:CB$87,Formula!B5,56)=0,10^6,INDEX(Properties!A$1:CB$87,Formula!B5,56)),IF(INDEX(Properties!A$1:CB$87,Formula!D5,56)=0,10^6,INDEX(Properties!A$1:CB$87,Formula!D5,56)),IF(INDEX(Properties!A$1:CB$87,Formula!F5,56)=0,10^6,INDEX(Properties!A$1:CB$87,Formula!F5,56)),IF(INDEX(Properties!A$1:CB$87,Formula!H5,56)=0,10^6,INDEX(Properties!A$1:CB$87,Formula!H5,56)),IF(INDEX(Properties!A$1:CB$87,Formula!J5,56)=0,10^6,INDEX(Properties!A$1:CB$87,Formula!J5,56)))</f>
        <v>0.19</v>
      </c>
      <c r="FS5" s="42">
        <f t="shared" si="28"/>
        <v>0.73</v>
      </c>
      <c r="FT5" s="60">
        <f>((Formula!C5)/(Formula!C5+Formula!E5+Formula!G5+Formula!I5+Formula!K5))*(INDEX(Properties!A$1:CB$87,Formula!B5,57))+((Formula!E5)/(Formula!C5+Formula!E5+Formula!G5+Formula!I5+Formula!K5))*(INDEX(Properties!A$1:CB$87,Formula!D5,57))+((Formula!G5)/(Formula!C5+Formula!E5+Formula!G5+Formula!I5+Formula!K5))*(INDEX(Properties!A$1:CB$87,Formula!F5,57))+((Formula!I5)/(Formula!C5+Formula!E5+Formula!G5+Formula!I5+Formula!K5))*(INDEX(Properties!A$1:CB$87,Formula!H5,57))+((Formula!K5)/(Formula!C5+Formula!E5+Formula!G5+Formula!I5+Formula!K5))*(INDEX(Properties!A$1:CB$87,Formula!J5,57))</f>
        <v>8.9468414285714282</v>
      </c>
      <c r="FU5" s="60">
        <f>Formula!C5*(INDEX(Properties!A$1:CB$87,Formula!B5,57))+Formula!E5*(INDEX(Properties!A$1:CB$87,Formula!D5,57))+Formula!G5*(INDEX(Properties!A$1:CB$87,Formula!F5,57))+Formula!I5*(INDEX(Properties!A$1:CB$87,Formula!H5,57))+Formula!K5*(INDEX(Properties!A$1:CB$87,Formula!J5,57))</f>
        <v>187.88367</v>
      </c>
      <c r="FV5" s="60">
        <f>VARP(IF(INDEX(Properties!A$1:CB$87,Formula!B5,57)&lt;&gt;"",INDEX(Properties!A$1:CB$87,Formula!B5,57)),IF(INDEX(Properties!A$1:CB$87,Formula!D5,57)&lt;&gt;"",INDEX(Properties!A$1:CB$87,Formula!D5,57)),IF(INDEX(Properties!A$1:CB$87,Formula!F5,57)&lt;&gt;"",INDEX(Properties!A$1:CB$87,Formula!F5,57)),IF(INDEX(Properties!A$1:CB$87,Formula!H5,57)&lt;&gt;"",INDEX(Properties!A$1:CB$87,Formula!H5,57)),IF(INDEX(Properties!A$1:CB$87,Formula!J5,57)&lt;&gt;"",INDEX(Properties!A$1:CB$87,Formula!J5,57)))</f>
        <v>361.66875132129599</v>
      </c>
      <c r="FW5" s="60">
        <f>MAX(INDEX(Properties!A$1:CB$87,Formula!B5,57),INDEX(Properties!A$1:CB$87,Formula!D5,57),INDEX(Properties!A$1:CB$87,Formula!F5,57),INDEX(Properties!A$1:CB$87,Formula!H5,57),INDEX(Properties!A$1:CB$87,Formula!J5,57))</f>
        <v>50.55</v>
      </c>
      <c r="FX5" s="60">
        <f>MIN(IF(INDEX(Properties!A$1:CB$87,Formula!B5,57)=0,10^6,INDEX(Properties!A$1:CB$87,Formula!B5,57)),IF(INDEX(Properties!A$1:CB$87,Formula!D5,57)=0,10^6,INDEX(Properties!A$1:CB$87,Formula!D5,57)),IF(INDEX(Properties!A$1:CB$87,Formula!F5,57)=0,10^6,INDEX(Properties!A$1:CB$87,Formula!F5,57)),IF(INDEX(Properties!A$1:CB$87,Formula!H5,57)=0,10^6,INDEX(Properties!A$1:CB$87,Formula!H5,57)),IF(INDEX(Properties!A$1:CB$87,Formula!J5,57)=0,10^6,INDEX(Properties!A$1:CB$87,Formula!J5,57)))</f>
        <v>0.22259000000000001</v>
      </c>
      <c r="FY5" s="60">
        <f t="shared" si="29"/>
        <v>50.32741</v>
      </c>
      <c r="FZ5" s="72">
        <f>((Formula!C5)/(Formula!C5+Formula!E5+Formula!G5+Formula!I5+Formula!K5))*(INDEX(Properties!A$1:CB$87,Formula!B5,60))+((Formula!E5)/(Formula!C5+Formula!E5+Formula!G5+Formula!I5+Formula!K5))*(INDEX(Properties!A$1:CB$87,Formula!D5,60))+((Formula!G5)/(Formula!C5+Formula!E5+Formula!G5+Formula!I5+Formula!K5))*(INDEX(Properties!A$1:CB$87,Formula!F5,60))+((Formula!I5)/(Formula!C5+Formula!E5+Formula!G5+Formula!I5+Formula!K5))*(INDEX(Properties!A$1:CB$87,Formula!H5,60))+((Formula!K5)/(Formula!C5+Formula!E5+Formula!G5+Formula!I5+Formula!K5))*(INDEX(Properties!A$1:CB$87,Formula!J5,60))</f>
        <v>33.254648571428575</v>
      </c>
      <c r="GA5" s="72">
        <f>Formula!C5*(INDEX(Properties!A$1:CB$87,Formula!B5,60))+Formula!E5*(INDEX(Properties!A$1:CB$87,Formula!D5,60))+Formula!G5*(INDEX(Properties!A$1:CB$87,Formula!F5,60))+Formula!I5*(INDEX(Properties!A$1:CB$87,Formula!H5,60))+Formula!K5*(INDEX(Properties!A$1:CB$87,Formula!J5,60))</f>
        <v>698.34762000000001</v>
      </c>
      <c r="GB5" s="72">
        <f>VARP(IF(INDEX(Properties!A$1:CB$87,Formula!B5,60)&lt;&gt;"",INDEX(Properties!A$1:CB$87,Formula!B5,60)),IF(INDEX(Properties!A$1:CB$87,Formula!D5,60)&lt;&gt;"",INDEX(Properties!A$1:CB$87,Formula!D5,60)),IF(INDEX(Properties!A$1:CB$87,Formula!F5,60)&lt;&gt;"",INDEX(Properties!A$1:CB$87,Formula!F5,60)),IF(INDEX(Properties!A$1:CB$87,Formula!H5,60)&lt;&gt;"",INDEX(Properties!A$1:CB$87,Formula!H5,60)),IF(INDEX(Properties!A$1:CB$87,Formula!J5,60)&lt;&gt;"",INDEX(Properties!A$1:CB$87,Formula!J5,60)))</f>
        <v>7189.1867936044155</v>
      </c>
      <c r="GC5" s="72">
        <f>MAX(INDEX(Properties!A$1:CB$87,Formula!B5,60),INDEX(Properties!A$1:CB$87,Formula!D5,60),INDEX(Properties!A$1:CB$87,Formula!F5,60),INDEX(Properties!A$1:CB$87,Formula!H5,60),INDEX(Properties!A$1:CB$87,Formula!J5,60))</f>
        <v>200</v>
      </c>
      <c r="GD5" s="72">
        <f>MIN(IF(INDEX(Properties!A$1:CB$87,Formula!B5,60)=0,10^6,INDEX(Properties!A$1:CB$87,Formula!B5,60)),IF(INDEX(Properties!A$1:CB$87,Formula!D5,60)=0,10^6,INDEX(Properties!A$1:CB$87,Formula!D5,60)),IF(INDEX(Properties!A$1:CB$87,Formula!F5,60)=0,10^6,INDEX(Properties!A$1:CB$87,Formula!F5,60)),IF(INDEX(Properties!A$1:CB$87,Formula!H5,60)=0,10^6,INDEX(Properties!A$1:CB$87,Formula!H5,60)),IF(INDEX(Properties!A$1:CB$87,Formula!J5,60)=0,10^6,INDEX(Properties!A$1:CB$87,Formula!J5,60)))</f>
        <v>2.674E-2</v>
      </c>
      <c r="GE5" s="72">
        <f t="shared" si="30"/>
        <v>199.97326000000001</v>
      </c>
      <c r="GF5" s="51">
        <f>((Formula!C5)/(Formula!C5+Formula!E5+Formula!G5+Formula!I5+Formula!K5))*(INDEX(Properties!A$1:CB$87,Formula!B5,62))+((Formula!E5)/(Formula!C5+Formula!E5+Formula!G5+Formula!I5+Formula!K5))*(INDEX(Properties!A$1:CB$87,Formula!D5,62))+((Formula!G5)/(Formula!C5+Formula!E5+Formula!G5+Formula!I5+Formula!K5))*(INDEX(Properties!A$1:CB$87,Formula!F5,62))+((Formula!I5)/(Formula!C5+Formula!E5+Formula!G5+Formula!I5+Formula!K5))*(INDEX(Properties!A$1:CB$87,Formula!H5,62))+((Formula!K5)/(Formula!C5+Formula!E5+Formula!G5+Formula!I5+Formula!K5))*(INDEX(Properties!A$1:CB$87,Formula!J5,62))</f>
        <v>3.2223809523809521</v>
      </c>
      <c r="GG5" s="51">
        <f>Formula!C5*(INDEX(Properties!A$1:CB$87,Formula!B5,62))+Formula!E5*(INDEX(Properties!A$1:CB$87,Formula!D5,62))+Formula!G5*(INDEX(Properties!A$1:CB$87,Formula!F5,62))+Formula!I5*(INDEX(Properties!A$1:CB$87,Formula!H5,62))+Formula!K5*(INDEX(Properties!A$1:CB$87,Formula!J5,62))</f>
        <v>67.67</v>
      </c>
      <c r="GH5" s="51">
        <f>VARP(IF(INDEX(Properties!A$1:CB$87,Formula!B5,62)&lt;&gt;"",INDEX(Properties!A$1:CB$87,Formula!B5,62)),IF(INDEX(Properties!A$1:CB$87,Formula!D5,62)&lt;&gt;"",INDEX(Properties!A$1:CB$87,Formula!D5,62)),IF(INDEX(Properties!A$1:CB$87,Formula!F5,62)&lt;&gt;"",INDEX(Properties!A$1:CB$87,Formula!F5,62)),IF(INDEX(Properties!A$1:CB$87,Formula!H5,62)&lt;&gt;"",INDEX(Properties!A$1:CB$87,Formula!H5,62)),IF(INDEX(Properties!A$1:CB$87,Formula!J5,62)&lt;&gt;"",INDEX(Properties!A$1:CB$87,Formula!J5,62)))</f>
        <v>2.9786160000000019</v>
      </c>
      <c r="GI5" s="51">
        <f>MAX(INDEX(Properties!A$1:CB$87,Formula!B5,62),INDEX(Properties!A$1:CB$87,Formula!D5,62),INDEX(Properties!A$1:CB$87,Formula!F5,62),INDEX(Properties!A$1:CB$87,Formula!H5,62),INDEX(Properties!A$1:CB$87,Formula!J5,62))</f>
        <v>4.63</v>
      </c>
      <c r="GJ5" s="51">
        <f>MIN(IF(INDEX(Properties!A$1:CB$87,Formula!B5,62)=0,10^6,INDEX(Properties!A$1:CB$87,Formula!B5,62)),IF(INDEX(Properties!A$1:CB$87,Formula!D5,62)=0,10^6,INDEX(Properties!A$1:CB$87,Formula!D5,62)),IF(INDEX(Properties!A$1:CB$87,Formula!F5,62)=0,10^6,INDEX(Properties!A$1:CB$87,Formula!F5,62)),IF(INDEX(Properties!A$1:CB$87,Formula!H5,62)=0,10^6,INDEX(Properties!A$1:CB$87,Formula!H5,62)),IF(INDEX(Properties!A$1:CB$87,Formula!J5,62)=0,10^6,INDEX(Properties!A$1:CB$87,Formula!J5,62)))</f>
        <v>1.84</v>
      </c>
      <c r="GK5" s="51">
        <f t="shared" si="31"/>
        <v>2.79</v>
      </c>
      <c r="GL5" s="51">
        <f>Formula!P5</f>
        <v>176</v>
      </c>
      <c r="GM5" s="57">
        <f>Formula!O5</f>
        <v>6</v>
      </c>
      <c r="GN5" s="51">
        <f>Formula!N5</f>
        <v>0.04</v>
      </c>
    </row>
    <row r="6" spans="1:196" s="5" customFormat="1" x14ac:dyDescent="0.3">
      <c r="A6" s="84" t="str">
        <f>Formula!A6</f>
        <v>YPO4</v>
      </c>
      <c r="B6" s="89">
        <f>((Formula!C6)/(Formula!C6+Formula!E6+Formula!G6+Formula!I6+Formula!K6))*(INDEX(Properties!A$1:CB$87,Formula!B6,3))+((Formula!E6)/(Formula!C6+Formula!E6+Formula!G6+Formula!I6+Formula!K6))*(INDEX(Properties!A$1:CB$87,Formula!D6,3))+((Formula!G6)/(Formula!C6+Formula!E6+Formula!G6+Formula!I6+Formula!K6))*(INDEX(Properties!A$1:CB$87,Formula!F6,3))+((Formula!I6)/(Formula!C6+Formula!E6+Formula!G6+Formula!I6+Formula!K6))*(INDEX(Properties!A$1:CB$87,Formula!H6,3))+((Formula!K6)/(Formula!C6+Formula!E6+Formula!G6+Formula!I6+Formula!K6))*(INDEX(Properties!A$1:CB$87,Formula!J6,3))</f>
        <v>30.646200333333333</v>
      </c>
      <c r="C6" s="85">
        <f>Formula!C6*(INDEX(Properties!A$1:CB$87,Formula!B6,3))+Formula!E6*(INDEX(Properties!A$1:CB$87,Formula!D6,3))+Formula!G6*(INDEX(Properties!A$1:CB$87,Formula!F6,3))+Formula!I6*(INDEX(Properties!A$1:CB$87,Formula!H6,3))+Formula!K6*(INDEX(Properties!A$1:CB$87,Formula!J6,3))</f>
        <v>183.87720200000001</v>
      </c>
      <c r="D6" s="85">
        <f>VARP(IF(INDEX(Properties!A$1:CB$87,Formula!B6,3)&lt;&gt;"",INDEX(Properties!A$1:CB$87,Formula!B6,3)),IF(INDEX(Properties!A$1:CB$87,Formula!D6,3)&lt;&gt;"",INDEX(Properties!A$1:CB$87,Formula!D6,3)),IF(INDEX(Properties!A$1:CB$87,Formula!F6,3)&lt;&gt;"",INDEX(Properties!A$1:CB$87,Formula!F6,3)),IF(INDEX(Properties!A$1:CB$87,Formula!H6,3)&lt;&gt;"",INDEX(Properties!A$1:CB$87,Formula!H6,3)),IF(INDEX(Properties!A$1:CB$87,Formula!J6,3)&lt;&gt;"",INDEX(Properties!A$1:CB$87,Formula!J6,3)))</f>
        <v>1085.3964963990084</v>
      </c>
      <c r="E6" s="85">
        <f>MAX(INDEX(Properties!A$1:CB$87,Formula!B6,3),INDEX(Properties!A$1:CB$87,Formula!D6,3),INDEX(Properties!A$1:CB$87,Formula!F6,3),INDEX(Properties!A$1:CB$87,Formula!H6,3),INDEX(Properties!A$1:CB$87,Formula!J6,3))</f>
        <v>88.905839999999998</v>
      </c>
      <c r="F6" s="85">
        <f>MIN(IF(INDEX(Properties!A$1:CB$87,Formula!B6,3)=0,10^6,INDEX(Properties!A$1:CB$87,Formula!B6,3)),IF(INDEX(Properties!A$1:CB$87,Formula!D6,3)=0,10^6,INDEX(Properties!A$1:CB$87,Formula!D6,3)),IF(INDEX(Properties!A$1:CB$87,Formula!F6,3)=0,10^6,INDEX(Properties!A$1:CB$87,Formula!F6,3)),IF(INDEX(Properties!A$1:CB$87,Formula!H6,3)=0,10^6,INDEX(Properties!A$1:CB$87,Formula!H6,3)),IF(INDEX(Properties!A$1:CB$87,Formula!J6,3)=0,10^6,INDEX(Properties!A$1:CB$87,Formula!J6,3)))</f>
        <v>15.9994</v>
      </c>
      <c r="G6" s="85">
        <f t="shared" si="0"/>
        <v>72.906440000000003</v>
      </c>
      <c r="H6" s="87">
        <f>((Formula!C6)/(Formula!C6+Formula!E6+Formula!G6+Formula!I6+Formula!K6))*(INDEX(Properties!A$1:CB$87,Formula!B6,4))+((Formula!E6)/(Formula!C6+Formula!E6+Formula!G6+Formula!I6+Formula!K6))*(INDEX(Properties!A$1:CB$87,Formula!D6,4))+((Formula!G6)/(Formula!C6+Formula!E6+Formula!G6+Formula!I6+Formula!K6))*(INDEX(Properties!A$1:CB$87,Formula!F6,4))+((Formula!I6)/(Formula!C6+Formula!E6+Formula!G6+Formula!I6+Formula!K6))*(INDEX(Properties!A$1:CB$87,Formula!H6,4))+((Formula!K6)/(Formula!C6+Formula!E6+Formula!G6+Formula!I6+Formula!K6))*(INDEX(Properties!A$1:CB$87,Formula!J6,4))</f>
        <v>14.333333333333332</v>
      </c>
      <c r="I6" s="87">
        <f>Formula!C6*(INDEX(Properties!A$1:CB$87,Formula!B6,4))+Formula!E6*(INDEX(Properties!A$1:CB$87,Formula!D6,4))+Formula!G6*(INDEX(Properties!A$1:CB$87,Formula!F6,4))+Formula!I6*(INDEX(Properties!A$1:CB$87,Formula!H6,4))+Formula!K6*(INDEX(Properties!A$1:CB$87,Formula!J6,4))</f>
        <v>86</v>
      </c>
      <c r="J6" s="87">
        <f>VARP(IF(INDEX(Properties!A$1:CB$87,Formula!B6,4)&lt;&gt;"",INDEX(Properties!A$1:CB$87,Formula!B6,4)),IF(INDEX(Properties!A$1:CB$87,Formula!D6,4)&lt;&gt;"",INDEX(Properties!A$1:CB$87,Formula!D6,4)),IF(INDEX(Properties!A$1:CB$87,Formula!F6,4)&lt;&gt;"",INDEX(Properties!A$1:CB$87,Formula!F6,4)),IF(INDEX(Properties!A$1:CB$87,Formula!H6,4)&lt;&gt;"",INDEX(Properties!A$1:CB$87,Formula!H6,4)),IF(INDEX(Properties!A$1:CB$87,Formula!J6,4)&lt;&gt;"",INDEX(Properties!A$1:CB$87,Formula!J6,4)))</f>
        <v>208.24</v>
      </c>
      <c r="K6" s="87">
        <f>MAX(INDEX(Properties!A$1:CB$87,Formula!B6,4),INDEX(Properties!A$1:CB$87,Formula!D6,4),INDEX(Properties!A$1:CB$87,Formula!F6,4),INDEX(Properties!A$1:CB$87,Formula!H6,4),INDEX(Properties!A$1:CB$87,Formula!J6,4))</f>
        <v>39</v>
      </c>
      <c r="L6" s="87">
        <f>MIN(IF(INDEX(Properties!A$1:CB$87,Formula!B6,4)=0,10^6,INDEX(Properties!A$1:CB$87,Formula!B6,4)),IF(INDEX(Properties!A$1:CB$87,Formula!D6,4)=0,10^6,INDEX(Properties!A$1:CB$87,Formula!D6,4)),IF(INDEX(Properties!A$1:CB$87,Formula!F6,4)=0,10^6,INDEX(Properties!A$1:CB$87,Formula!F6,4)),IF(INDEX(Properties!A$1:CB$87,Formula!H6,4)=0,10^6,INDEX(Properties!A$1:CB$87,Formula!H6,4)),IF(INDEX(Properties!A$1:CB$87,Formula!J6,4)=0,10^6,INDEX(Properties!A$1:CB$87,Formula!J6,4)))</f>
        <v>8</v>
      </c>
      <c r="M6" s="87">
        <f t="shared" si="1"/>
        <v>31</v>
      </c>
      <c r="N6" s="89">
        <f>((Formula!C6)/(Formula!C6+Formula!E6+Formula!G6+Formula!I6+Formula!K6))*(INDEX(Properties!A$1:CB$87,Formula!B6,5))+((Formula!E6)/(Formula!C6+Formula!E6+Formula!G6+Formula!I6+Formula!K6))*(INDEX(Properties!A$1:CB$87,Formula!D6,5))+((Formula!G6)/(Formula!C6+Formula!E6+Formula!G6+Formula!I6+Formula!K6))*(INDEX(Properties!A$1:CB$87,Formula!F6,5))+((Formula!I6)/(Formula!C6+Formula!E6+Formula!G6+Formula!I6+Formula!K6))*(INDEX(Properties!A$1:CB$87,Formula!H6,5))+((Formula!K6)/(Formula!C6+Formula!E6+Formula!G6+Formula!I6+Formula!K6))*(INDEX(Properties!A$1:CB$87,Formula!J6,5))</f>
        <v>2.6666666666666665</v>
      </c>
      <c r="O6" s="89">
        <f>Formula!C6*(INDEX(Properties!A$1:CB$87,Formula!B6,5))+Formula!E6*(INDEX(Properties!A$1:CB$87,Formula!D6,5))+Formula!G6*(INDEX(Properties!A$1:CB$87,Formula!F6,5))+Formula!I6*(INDEX(Properties!A$1:CB$87,Formula!H6,5))+Formula!K6*(INDEX(Properties!A$1:CB$87,Formula!J6,5))</f>
        <v>16</v>
      </c>
      <c r="P6" s="89">
        <f>VARP(IF(INDEX(Properties!A$1:CB$87,Formula!B6,5)&lt;&gt;"",INDEX(Properties!A$1:CB$87,Formula!B6,5)),IF(INDEX(Properties!A$1:CB$87,Formula!D6,5)&lt;&gt;"",INDEX(Properties!A$1:CB$87,Formula!D6,5)),IF(INDEX(Properties!A$1:CB$87,Formula!F6,5)&lt;&gt;"",INDEX(Properties!A$1:CB$87,Formula!F6,5)),IF(INDEX(Properties!A$1:CB$87,Formula!H6,5)&lt;&gt;"",INDEX(Properties!A$1:CB$87,Formula!H6,5)),IF(INDEX(Properties!A$1:CB$87,Formula!J6,5)&lt;&gt;"",INDEX(Properties!A$1:CB$87,Formula!J6,5)))</f>
        <v>3.6</v>
      </c>
      <c r="Q6" s="89">
        <f>MAX(INDEX(Properties!A$1:CB$87,Formula!B6,5),INDEX(Properties!A$1:CB$87,Formula!D6,5),INDEX(Properties!A$1:CB$87,Formula!F6,5),INDEX(Properties!A$1:CB$87,Formula!H6,5),INDEX(Properties!A$1:CB$87,Formula!J6,5))</f>
        <v>5</v>
      </c>
      <c r="R6" s="89">
        <f>MIN(IF(INDEX(Properties!A$1:CB$87,Formula!B6,5)=0,10^6,INDEX(Properties!A$1:CB$87,Formula!B6,5)),IF(INDEX(Properties!A$1:CB$87,Formula!D6,5)=0,10^6,INDEX(Properties!A$1:CB$87,Formula!D6,5)),IF(INDEX(Properties!A$1:CB$87,Formula!F6,5)=0,10^6,INDEX(Properties!A$1:CB$87,Formula!F6,5)),IF(INDEX(Properties!A$1:CB$87,Formula!H6,5)=0,10^6,INDEX(Properties!A$1:CB$87,Formula!H6,5)),IF(INDEX(Properties!A$1:CB$87,Formula!J6,5)=0,10^6,INDEX(Properties!A$1:CB$87,Formula!J6,5)))</f>
        <v>2</v>
      </c>
      <c r="S6" s="89">
        <f t="shared" si="2"/>
        <v>3</v>
      </c>
      <c r="T6" s="60">
        <f>((Formula!C6)/(Formula!C6+Formula!E6+Formula!G6+Formula!I6+Formula!K6))*(INDEX(Properties!A$1:CB$87,Formula!B6,6))+((Formula!E6)/(Formula!C6+Formula!E6+Formula!G6+Formula!I6+Formula!K6))*(INDEX(Properties!A$1:CB$87,Formula!D6,6))+((Formula!G6)/(Formula!C6+Formula!E6+Formula!G6+Formula!I6+Formula!K6))*(INDEX(Properties!A$1:CB$87,Formula!F6,6))+((Formula!I6)/(Formula!C6+Formula!E6+Formula!G6+Formula!I6+Formula!K6))*(INDEX(Properties!A$1:CB$87,Formula!H6,6))+((Formula!K6)/(Formula!C6+Formula!E6+Formula!G6+Formula!I6+Formula!K6))*(INDEX(Properties!A$1:CB$87,Formula!J6,6))</f>
        <v>13.666666666666666</v>
      </c>
      <c r="U6" s="60">
        <f>Formula!C6*(INDEX(Properties!A$1:CB$87,Formula!B6,6))+Formula!E6*(INDEX(Properties!A$1:CB$87,Formula!D6,6))+Formula!G6*(INDEX(Properties!A$1:CB$87,Formula!F6,6))+Formula!I6*(INDEX(Properties!A$1:CB$87,Formula!H6,6))+Formula!K6*(INDEX(Properties!A$1:CB$87,Formula!J6,6))</f>
        <v>82</v>
      </c>
      <c r="V6" s="89">
        <f>VARP(IF(INDEX(Properties!A$1:CB$87,Formula!B6,6)&lt;&gt;"",INDEX(Properties!A$1:CB$87,Formula!B6,6)),IF(INDEX(Properties!A$1:CB$87,Formula!D6,6)&lt;&gt;"",INDEX(Properties!A$1:CB$87,Formula!D6,6)),IF(INDEX(Properties!A$1:CB$87,Formula!F6,6)&lt;&gt;"",INDEX(Properties!A$1:CB$87,Formula!F6,6)),IF(INDEX(Properties!A$1:CB$87,Formula!H6,6)&lt;&gt;"",INDEX(Properties!A$1:CB$87,Formula!H6,6)),IF(INDEX(Properties!A$1:CB$87,Formula!J6,6)&lt;&gt;"",INDEX(Properties!A$1:CB$87,Formula!J6,6)))</f>
        <v>51.76</v>
      </c>
      <c r="W6" s="60">
        <f>MAX(INDEX(Properties!A$1:CB$87,Formula!B6,6),INDEX(Properties!A$1:CB$87,Formula!D6,6),INDEX(Properties!A$1:CB$87,Formula!F6,6),INDEX(Properties!A$1:CB$87,Formula!H6,4),INDEX(Properties!A$1:CB$87,Formula!J6,6))</f>
        <v>16</v>
      </c>
      <c r="X6" s="60">
        <f>MIN(IF(INDEX(Properties!A$1:CB$87,Formula!B6,6)=0,10^6,INDEX(Properties!A$1:CB$87,Formula!B6,6)),IF(INDEX(Properties!A$1:CB$87,Formula!D6,6)=0,10^6,INDEX(Properties!A$1:CB$87,Formula!D6,6)),IF(INDEX(Properties!A$1:CB$87,Formula!F6,6)=0,10^6,INDEX(Properties!A$1:CB$87,Formula!F6,6)),IF(INDEX(Properties!A$1:CB$87,Formula!H6,6)=0,10^6,INDEX(Properties!A$1:CB$87,Formula!H6,6)),IF(INDEX(Properties!A$1:CB$87,Formula!J6,6)=0,10^6,INDEX(Properties!A$1:CB$87,Formula!J6,6)))</f>
        <v>3</v>
      </c>
      <c r="Y6" s="60">
        <f t="shared" si="3"/>
        <v>13</v>
      </c>
      <c r="Z6" s="72">
        <f>((Formula!C6)/(Formula!C6+Formula!E6+Formula!G6+Formula!I6+Formula!K6))*(INDEX(Properties!A$1:CB$87,Formula!B6,9))+((Formula!E6)/(Formula!C6+Formula!E6+Formula!G6+Formula!I6+Formula!K6))*(INDEX(Properties!A$1:CB$87,Formula!D6,9))+((Formula!G6)/(Formula!C6+Formula!E6+Formula!G6+Formula!I6+Formula!K6))*(INDEX(Properties!A$1:CB$87,Formula!F6,9))+((Formula!I6)/(Formula!C6+Formula!E6+Formula!G6+Formula!I6+Formula!K6))*(INDEX(Properties!A$1:CB$87,Formula!H6,9))+((Formula!K6)/(Formula!C6+Formula!E6+Formula!G6+Formula!I6+Formula!K6))*(INDEX(Properties!A$1:CB$87,Formula!J6,9))</f>
        <v>73.833333333333329</v>
      </c>
      <c r="AA6" s="72">
        <f>Formula!C6*(INDEX(Properties!A$1:CB$87,Formula!B6,9))+Formula!E6*(INDEX(Properties!A$1:CB$87,Formula!D6,9))+Formula!G6*(INDEX(Properties!A$1:CB$87,Formula!F6,9))+Formula!I6*(INDEX(Properties!A$1:CB$87,Formula!H6,9))+Formula!K6*(INDEX(Properties!A$1:CB$87,Formula!J6,9))</f>
        <v>443</v>
      </c>
      <c r="AB6" s="72">
        <f>VARP(IF(INDEX(Properties!A$1:CB$87,Formula!B6,9)&lt;&gt;"",INDEX(Properties!A$1:CB$87,Formula!B6,9)),IF(INDEX(Properties!A$1:CB$87,Formula!D6,9)&lt;&gt;"",INDEX(Properties!A$1:CB$87,Formula!D6,9)),IF(INDEX(Properties!A$1:CB$87,Formula!F6,9)&lt;&gt;"",INDEX(Properties!A$1:CB$87,Formula!F6,9)),IF(INDEX(Properties!A$1:CB$87,Formula!H6,9)&lt;&gt;"",INDEX(Properties!A$1:CB$87,Formula!H6,9)),IF(INDEX(Properties!A$1:CB$87,Formula!J6,9)&lt;&gt;"",INDEX(Properties!A$1:CB$87,Formula!J6,9)))</f>
        <v>1595.44</v>
      </c>
      <c r="AC6" s="72">
        <f>MAX(INDEX(Properties!A$1:CB$87,Formula!B6,9),INDEX(Properties!A$1:CB$87,Formula!D6,9),INDEX(Properties!A$1:CB$87,Formula!F6,9),INDEX(Properties!A$1:CB$87,Formula!H6,9),INDEX(Properties!A$1:CB$87,Formula!J6,9))</f>
        <v>87</v>
      </c>
      <c r="AD6" s="72">
        <f>MIN(IF(INDEX(Properties!A$1:CB$87,Formula!B6,9)=0,10^6,INDEX(Properties!A$1:CB$87,Formula!B6,9)),IF(INDEX(Properties!A$1:CB$87,Formula!D6,9)=0,10^6,INDEX(Properties!A$1:CB$87,Formula!D6,9)),IF(INDEX(Properties!A$1:CB$87,Formula!F6,9)=0,10^6,INDEX(Properties!A$1:CB$87,Formula!F6,9)),IF(INDEX(Properties!A$1:CB$87,Formula!H6,9)=0,10^6,INDEX(Properties!A$1:CB$87,Formula!H6,9)),IF(INDEX(Properties!A$1:CB$87,Formula!J6,9)=0,10^6,INDEX(Properties!A$1:CB$87,Formula!J6,9)))</f>
        <v>12</v>
      </c>
      <c r="AE6" s="72">
        <f t="shared" si="4"/>
        <v>75</v>
      </c>
      <c r="AF6" s="51">
        <f>((Formula!C6)/(Formula!C6+Formula!E6+Formula!G6+Formula!I6+Formula!K6))*(INDEX(Properties!A$1:CB$87,Formula!B6,10))+((Formula!E6)/(Formula!C6+Formula!E6+Formula!G6+Formula!I6+Formula!K6))*(INDEX(Properties!A$1:CB$87,Formula!D6,10))+((Formula!G6)/(Formula!C6+Formula!E6+Formula!G6+Formula!I6+Formula!K6))*(INDEX(Properties!A$1:CB$87,Formula!F6,10))+((Formula!I6)/(Formula!C6+Formula!E6+Formula!G6+Formula!I6+Formula!K6))*(INDEX(Properties!A$1:CB$87,Formula!H6,10))+((Formula!K6)/(Formula!C6+Formula!E6+Formula!G6+Formula!I6+Formula!K6))*(INDEX(Properties!A$1:CB$87,Formula!J6,10))</f>
        <v>6.3333333333333321</v>
      </c>
      <c r="AG6" s="51">
        <f>Formula!C6*(INDEX(Properties!A$1:CB$87,Formula!B6,10))+Formula!E6*(INDEX(Properties!A$1:CB$87,Formula!D6,10))+Formula!G6*(INDEX(Properties!A$1:CB$87,Formula!F6,10))+Formula!I6*(INDEX(Properties!A$1:CB$87,Formula!H6,10))+Formula!K6*(INDEX(Properties!A$1:CB$87,Formula!J6,10))</f>
        <v>38</v>
      </c>
      <c r="AH6" s="51">
        <f>VARP(IF(INDEX(Properties!A$1:CB$87,Formula!B6,10)&lt;&gt;"",INDEX(Properties!A$1:CB$87,Formula!B6,10)),IF(INDEX(Properties!A$1:CB$87,Formula!D6,10)&lt;&gt;"",INDEX(Properties!A$1:CB$87,Formula!D6,10)),IF(INDEX(Properties!A$1:CB$87,Formula!F6,10)&lt;&gt;"",INDEX(Properties!A$1:CB$87,Formula!F6,10)),IF(INDEX(Properties!A$1:CB$87,Formula!H6,10)&lt;&gt;"",INDEX(Properties!A$1:CB$87,Formula!H6,10)),IF(INDEX(Properties!A$1:CB$87,Formula!J6,10)&lt;&gt;"",INDEX(Properties!A$1:CB$87,Formula!J6,10)))</f>
        <v>9.84</v>
      </c>
      <c r="AI6" s="51">
        <f>MAX(INDEX(Properties!A$1:CB$87,Formula!B6,10),INDEX(Properties!A$1:CB$87,Formula!D6,10),INDEX(Properties!A$1:CB$87,Formula!F6,10),INDEX(Properties!A$1:CB$87,Formula!H6,10),INDEX(Properties!A$1:CB$87,Formula!J6,10))</f>
        <v>7</v>
      </c>
      <c r="AJ6" s="51">
        <f>MIN(IF(INDEX(Properties!A$1:CB$87,Formula!B6,10)=0,10^6,INDEX(Properties!A$1:CB$87,Formula!B6,10)),IF(INDEX(Properties!A$1:CB$87,Formula!D6,10)=0,10^6,INDEX(Properties!A$1:CB$87,Formula!D6,10)),IF(INDEX(Properties!A$1:CB$87,Formula!F6,10)=0,10^6,INDEX(Properties!A$1:CB$87,Formula!F6,10)),IF(INDEX(Properties!A$1:CB$87,Formula!H6,10)=0,10^6,INDEX(Properties!A$1:CB$87,Formula!H6,10)),IF(INDEX(Properties!A$1:CB$87,Formula!J6,10)=0,10^6,INDEX(Properties!A$1:CB$87,Formula!J6,10)))</f>
        <v>3</v>
      </c>
      <c r="AK6" s="51">
        <f t="shared" si="5"/>
        <v>4</v>
      </c>
      <c r="AL6" s="57">
        <f>((Formula!C6)/(Formula!C6+Formula!E6+Formula!G6+Formula!I6+Formula!K6))*(INDEX(Properties!A$1:CB$87,Formula!B6,11))+((Formula!E6)/(Formula!C6+Formula!E6+Formula!G6+Formula!I6+Formula!K6))*(INDEX(Properties!A$1:CB$87,Formula!D6,11))+((Formula!G6)/(Formula!C6+Formula!E6+Formula!G6+Formula!I6+Formula!K6))*(INDEX(Properties!A$1:CB$87,Formula!F6,11))+((Formula!I6)/(Formula!C6+Formula!E6+Formula!G6+Formula!I6+Formula!K6))*(INDEX(Properties!A$1:CB$87,Formula!H6,11))+((Formula!K6)/(Formula!C6+Formula!E6+Formula!G6+Formula!I6+Formula!K6))*(INDEX(Properties!A$1:CB$87,Formula!J6,11))</f>
        <v>2</v>
      </c>
      <c r="AM6" s="57">
        <f>Formula!C6*(INDEX(Properties!A$1:CB$87,Formula!B6,11))+Formula!E6*(INDEX(Properties!A$1:CB$87,Formula!D6,11))+Formula!G6*(INDEX(Properties!A$1:CB$87,Formula!F6,11))+Formula!I6*(INDEX(Properties!A$1:CB$87,Formula!H6,11))+Formula!K6*(INDEX(Properties!A$1:CB$87,Formula!J6,11))</f>
        <v>12</v>
      </c>
      <c r="AN6" s="57">
        <f>VARP(IF(INDEX(Properties!A$1:CB$87,Formula!B6,11)&lt;&gt;"",INDEX(Properties!A$1:CB$87,Formula!B6,11)),IF(INDEX(Properties!A$1:CB$87,Formula!D6,11)&lt;&gt;"",INDEX(Properties!A$1:CB$87,Formula!D6,11)),IF(INDEX(Properties!A$1:CB$87,Formula!F6,11)&lt;&gt;"",INDEX(Properties!A$1:CB$87,Formula!F6,11)),IF(INDEX(Properties!A$1:CB$87,Formula!H6,11)&lt;&gt;"",INDEX(Properties!A$1:CB$87,Formula!H6,11)),IF(INDEX(Properties!A$1:CB$87,Formula!J6,11)&lt;&gt;"",INDEX(Properties!A$1:CB$87,Formula!J6,11)))</f>
        <v>0.96</v>
      </c>
      <c r="AO6" s="57">
        <f>MAX(INDEX(Properties!A$1:CB$87,Formula!B6,11),INDEX(Properties!A$1:CB$87,Formula!D6,11),INDEX(Properties!A$1:CB$87,Formula!F6,11),INDEX(Properties!A$1:CB$87,Formula!H6,11),INDEX(Properties!A$1:CB$87,Formula!J6,11))</f>
        <v>2</v>
      </c>
      <c r="AP6" s="57">
        <f>MIN(IF(Formula!B6=87,10^6,INDEX(Properties!A$1:CB$87,Formula!B6,11)),IF((Formula!D6)=87,10^6,INDEX(Properties!A$1:CB$87,Formula!D6,11)),IF((Formula!F6)=87,10^6,INDEX(Properties!A$1:CB$87,Formula!F6,11)),IF((Formula!H6)=87,10^6,INDEX(Properties!A$1:CB$87,Formula!H6,11)),IF(Formula!J6=87,10^6,INDEX(Properties!A$1:CB$87,Formula!J6,11)))</f>
        <v>2</v>
      </c>
      <c r="AQ6" s="57">
        <f t="shared" si="6"/>
        <v>0</v>
      </c>
      <c r="AR6" s="78">
        <f>((Formula!C6)/(Formula!C6+Formula!E6+Formula!G6+Formula!I6+Formula!K6))*(INDEX(Properties!A$1:CB$87,Formula!B6,12))+((Formula!E6)/(Formula!C6+Formula!E6+Formula!G6+Formula!I6+Formula!K6))*(INDEX(Properties!A$1:CB$87,Formula!D6,12))+((Formula!G6)/(Formula!C6+Formula!E6+Formula!G6+Formula!I6+Formula!K6))*(INDEX(Properties!A$1:CB$87,Formula!F6,12))+((Formula!I6)/(Formula!C6+Formula!E6+Formula!G6+Formula!I6+Formula!K6))*(INDEX(Properties!A$1:CB$87,Formula!H6,12))+((Formula!K6)/(Formula!C6+Formula!E6+Formula!G6+Formula!I6+Formula!K6))*(INDEX(Properties!A$1:CB$87,Formula!J6,12))</f>
        <v>3.1666666666666665</v>
      </c>
      <c r="AS6" s="78">
        <f>Formula!C6*(INDEX(Properties!A$1:CB$87,Formula!B6,12))+Formula!E6*(INDEX(Properties!A$1:CB$87,Formula!D6,12))+Formula!G6*(INDEX(Properties!A$1:CB$87,Formula!F6,12))+Formula!I6*(INDEX(Properties!A$1:CB$87,Formula!H6,12))+Formula!K6*(INDEX(Properties!A$1:CB$87,Formula!J6,12))</f>
        <v>19</v>
      </c>
      <c r="AT6" s="78">
        <f>VARP(IF(INDEX(Properties!A$1:CB$87,Formula!B6,12)&lt;&gt;"",INDEX(Properties!A$1:CB$87,Formula!B6,12)),IF(INDEX(Properties!A$1:CB$87,Formula!D6,12)&lt;&gt;"",INDEX(Properties!A$1:CB$87,Formula!D6,12)),IF(INDEX(Properties!A$1:CB$87,Formula!F6,12)&lt;&gt;"",INDEX(Properties!A$1:CB$87,Formula!F6,12)),IF(INDEX(Properties!A$1:CB$87,Formula!H6,12)&lt;&gt;"",INDEX(Properties!A$1:CB$87,Formula!H6,12)),IF(INDEX(Properties!A$1:CB$87,Formula!J6,12)&lt;&gt;"",INDEX(Properties!A$1:CB$87,Formula!J6,12)))</f>
        <v>3.04</v>
      </c>
      <c r="AU6" s="78">
        <f>MAX(INDEX(Properties!A$1:CB$87,Formula!B6,12),INDEX(Properties!A$1:CB$87,Formula!D6,12),INDEX(Properties!A$1:CB$87,Formula!F6,12),INDEX(Properties!A$1:CB$87,Formula!H6,12),INDEX(Properties!A$1:CB$87,Formula!J6,12))</f>
        <v>4</v>
      </c>
      <c r="AV6" s="78">
        <f>MIN(IF(Formula!B6=87,10^6,INDEX(Properties!A$1:CB$87,Formula!B6,12)),IF((Formula!D6)=87,10^6,INDEX(Properties!A$1:CB$87,Formula!D6,12)),IF((Formula!F6)=87,10^6,INDEX(Properties!A$1:CB$87,Formula!F6,12)),IF((Formula!H6)=87,10^6,INDEX(Properties!A$1:CB$87,Formula!H6,12)),IF(Formula!J6=87,10^6,INDEX(Properties!A$1:CB$87,Formula!J6,12)))</f>
        <v>0</v>
      </c>
      <c r="AW6" s="78">
        <f t="shared" si="7"/>
        <v>4</v>
      </c>
      <c r="AX6" s="45">
        <f>((Formula!C6)/(Formula!C6+Formula!E6+Formula!G6+Formula!I6+Formula!K6))*(INDEX(Properties!A$1:CB$87,Formula!B6,13))+((Formula!E6)/(Formula!C6+Formula!E6+Formula!G6+Formula!I6+Formula!K6))*(INDEX(Properties!A$1:CB$87,Formula!D6,13))+((Formula!G6)/(Formula!C6+Formula!E6+Formula!G6+Formula!I6+Formula!K6))*(INDEX(Properties!A$1:CB$87,Formula!F6,13))+((Formula!I6)/(Formula!C6+Formula!E6+Formula!G6+Formula!I6+Formula!K6))*(INDEX(Properties!A$1:CB$87,Formula!H6,13))+((Formula!K6)/(Formula!C6+Formula!E6+Formula!G6+Formula!I6+Formula!K6))*(INDEX(Properties!A$1:CB$87,Formula!J6,13))</f>
        <v>0.16666666666666666</v>
      </c>
      <c r="AY6" s="45">
        <f>Formula!C6*(INDEX(Properties!A$1:CB$87,Formula!B6,13))+Formula!E6*(INDEX(Properties!A$1:CB$87,Formula!D6,13))+Formula!G6*(INDEX(Properties!A$1:CB$87,Formula!F6,13))+Formula!I6*(INDEX(Properties!A$1:CB$87,Formula!H6,13))+Formula!K6*(INDEX(Properties!A$1:CB$87,Formula!J6,13))</f>
        <v>1</v>
      </c>
      <c r="AZ6" s="45">
        <f>VARP(IF(INDEX(Properties!A$1:CB$87,Formula!B6,13)&lt;&gt;"",INDEX(Properties!A$1:CB$87,Formula!B6,13)),IF(INDEX(Properties!A$1:CB$87,Formula!D6,13)&lt;&gt;"",INDEX(Properties!A$1:CB$87,Formula!D6,13)),IF(INDEX(Properties!A$1:CB$87,Formula!F6,13)&lt;&gt;"",INDEX(Properties!A$1:CB$87,Formula!F6,13)),IF(INDEX(Properties!A$1:CB$87,Formula!H6,13)&lt;&gt;"",INDEX(Properties!A$1:CB$87,Formula!H6,13)),IF(INDEX(Properties!A$1:CB$87,Formula!J6,13)&lt;&gt;"",INDEX(Properties!A$1:CB$87,Formula!J6,13)))</f>
        <v>0.16</v>
      </c>
      <c r="BA6" s="45">
        <f>MAX(INDEX(Properties!A$1:CB$87,Formula!B6,13),INDEX(Properties!A$1:CB$87,Formula!D6,13),INDEX(Properties!A$1:CB$87,Formula!F6,13),INDEX(Properties!A$1:CB$87,Formula!H6,13),INDEX(Properties!A$1:CB$87,Formula!J6,13))</f>
        <v>1</v>
      </c>
      <c r="BB6" s="45">
        <f>MIN(IF(Formula!B6=87,10^6,INDEX(Properties!A$1:CB$87,Formula!B6,13)),IF((Formula!D6)=87,10^6,INDEX(Properties!A$1:CB$87,Formula!D6,13)),IF((Formula!F6)=87,10^6,INDEX(Properties!A$1:CB$87,Formula!F6,13)),IF((Formula!H6)=87,10^6,INDEX(Properties!A$1:CB$87,Formula!H6,13)),IF(Formula!J6=87,10^6,INDEX(Properties!A$1:CB$87,Formula!J6,13)))</f>
        <v>0</v>
      </c>
      <c r="BC6" s="45">
        <f t="shared" si="8"/>
        <v>1</v>
      </c>
      <c r="BD6" s="63">
        <f>((Formula!C6)/(Formula!C6+Formula!E6+Formula!G6+Formula!I6+Formula!K6))*(INDEX(Properties!A$1:CB$87,Formula!B6,14))+((Formula!E6)/(Formula!C6+Formula!E6+Formula!G6+Formula!I6+Formula!K6))*(INDEX(Properties!A$1:CB$87,Formula!D6,14))+((Formula!G6)/(Formula!C6+Formula!E6+Formula!G6+Formula!I6+Formula!K6))*(INDEX(Properties!A$1:CB$87,Formula!F6,14))+((Formula!I6)/(Formula!C6+Formula!E6+Formula!G6+Formula!I6+Formula!K6))*(INDEX(Properties!A$1:CB$87,Formula!H6,14))+((Formula!K6)/(Formula!C6+Formula!E6+Formula!G6+Formula!I6+Formula!K6))*(INDEX(Properties!A$1:CB$87,Formula!J6,14))</f>
        <v>0</v>
      </c>
      <c r="BE6" s="63">
        <f>Formula!C6*(INDEX(Properties!A$1:CB$87,Formula!B6,14))+Formula!E6*(INDEX(Properties!A$1:CB$87,Formula!D6,14))+Formula!G6*(INDEX(Properties!A$1:CB$87,Formula!F6,14))+Formula!I6*(INDEX(Properties!A$1:CB$87,Formula!H6,14))+Formula!K6*(INDEX(Properties!A$1:CB$87,Formula!J6,14))</f>
        <v>0</v>
      </c>
      <c r="BF6" s="63">
        <f>VARP(IF(INDEX(Properties!A$1:CB$87,Formula!B6,14)&lt;&gt;"",INDEX(Properties!A$1:CB$87,Formula!B6,14)),IF(INDEX(Properties!A$1:CB$87,Formula!D6,14)&lt;&gt;"",INDEX(Properties!A$1:CB$87,Formula!D6,14)),IF(INDEX(Properties!A$1:CB$87,Formula!F6,14)&lt;&gt;"",INDEX(Properties!A$1:CB$87,Formula!F6,14)),IF(INDEX(Properties!A$1:CB$87,Formula!H6,14)&lt;&gt;"",INDEX(Properties!A$1:CB$87,Formula!H6,14)),IF(INDEX(Properties!A$1:CB$87,Formula!J6,14)&lt;&gt;"",INDEX(Properties!A$1:CB$87,Formula!J6,14)))</f>
        <v>0</v>
      </c>
      <c r="BG6" s="63">
        <f>MAX(INDEX(Properties!A$1:CB$87,Formula!B6,14),INDEX(Properties!A$1:CB$87,Formula!D6,14),INDEX(Properties!A$1:CB$87,Formula!F6,14),INDEX(Properties!A$1:CB$87,Formula!H6,14),INDEX(Properties!A$1:CB$87,Formula!J6,14))</f>
        <v>0</v>
      </c>
      <c r="BH6" s="63">
        <f>MIN(IF(Formula!B6=87,10^6,INDEX(Properties!A$1:CB$87,Formula!B6,14)),IF((Formula!D6)=87,10^6,INDEX(Properties!A$1:CB$87,Formula!D6,14)),IF((Formula!F6)=87,10^6,INDEX(Properties!A$1:CB$87,Formula!F6,14)),IF((Formula!H6)=87,10^6,INDEX(Properties!A$1:CB$87,Formula!H6,14)),IF(Formula!J6=87,10^6,INDEX(Properties!A$1:CB$87,Formula!J6,14)))</f>
        <v>0</v>
      </c>
      <c r="BI6" s="63">
        <f t="shared" si="9"/>
        <v>0</v>
      </c>
      <c r="BJ6" s="75">
        <f>((Formula!C6)/(Formula!C6+Formula!E6+Formula!G6+Formula!I6+Formula!K6))*(INDEX(Properties!A$1:CB$87,Formula!B6,19))+((Formula!E6)/(Formula!C6+Formula!E6+Formula!G6+Formula!I6+Formula!K6))*(INDEX(Properties!A$1:CB$87,Formula!D6,19))+((Formula!G6)/(Formula!C6+Formula!E6+Formula!G6+Formula!I6+Formula!K6))*(INDEX(Properties!A$1:CB$87,Formula!F6,19))+((Formula!I6)/(Formula!C6+Formula!E6+Formula!G6+Formula!I6+Formula!K6))*(INDEX(Properties!A$1:CB$87,Formula!H6,19))+((Formula!K6)/(Formula!C6+Formula!E6+Formula!G6+Formula!I6+Formula!K6))*(INDEX(Properties!A$1:CB$87,Formula!J6,19))</f>
        <v>5.333333333333333</v>
      </c>
      <c r="BK6" s="75">
        <f>Formula!C6*(INDEX(Properties!A$1:CB$87,Formula!B6,19))+Formula!E6*(INDEX(Properties!A$1:CB$87,Formula!D6,19))+Formula!G6*(INDEX(Properties!A$1:CB$87,Formula!F6,19))+Formula!I6*(INDEX(Properties!A$1:CB$87,Formula!H6,19))+Formula!K6*(INDEX(Properties!A$1:CB$87,Formula!J6,19))</f>
        <v>32</v>
      </c>
      <c r="BL6" s="75">
        <f>VARP(IF(INDEX(Properties!A$1:CB$87,Formula!B6,19)&lt;&gt;"",INDEX(Properties!A$1:CB$87,Formula!B6,19)),IF(INDEX(Properties!A$1:CB$87,Formula!D6,19)&lt;&gt;"",INDEX(Properties!A$1:CB$87,Formula!D6,19)),IF(INDEX(Properties!A$1:CB$87,Formula!F6,19)&lt;&gt;"",INDEX(Properties!A$1:CB$87,Formula!F6,19)),IF(INDEX(Properties!A$1:CB$87,Formula!H6,19)&lt;&gt;"",INDEX(Properties!A$1:CB$87,Formula!H6,19)),IF(INDEX(Properties!A$1:CB$87,Formula!J6,19)&lt;&gt;"",INDEX(Properties!A$1:CB$87,Formula!J6,19)))</f>
        <v>6.16</v>
      </c>
      <c r="BM6" s="75">
        <f>MAX(INDEX(Properties!A$1:CB$87,Formula!B6,19),INDEX(Properties!A$1:CB$87,Formula!D6,19),INDEX(Properties!A$1:CB$87,Formula!F6,19),INDEX(Properties!A$1:CB$87,Formula!H6,19),INDEX(Properties!A$1:CB$87,Formula!J6,19))</f>
        <v>6</v>
      </c>
      <c r="BN6" s="75">
        <f>MIN(IF(INDEX(Properties!A$1:CB$87,Formula!B6,19)=0,10^6,INDEX(Properties!A$1:CB$87,Formula!B6,19)),IF(INDEX(Properties!A$1:CB$87,Formula!D6,19)=0,10^6,INDEX(Properties!A$1:CB$87,Formula!D6,19)),IF(INDEX(Properties!A$1:CB$87,Formula!F6,19)=0,10^6,INDEX(Properties!A$1:CB$87,Formula!F6,19)),IF(INDEX(Properties!A$1:CB$87,Formula!H6,19)=0,10^6,INDEX(Properties!A$1:CB$87,Formula!H6,19)),IF(INDEX(Properties!A$1:CB$87,Formula!J6,19)=0,10^6,INDEX(Properties!A$1:CB$87,Formula!J6,19)))</f>
        <v>3</v>
      </c>
      <c r="BO6" s="75">
        <f t="shared" si="10"/>
        <v>3</v>
      </c>
      <c r="BP6" s="48">
        <f>((Formula!C6)/(Formula!C6+Formula!E6+Formula!G6+Formula!I6+Formula!K6))*(INDEX(Properties!A$1:CB$87,Formula!B6,20))+((Formula!E6)/(Formula!C6+Formula!E6+Formula!G6+Formula!I6+Formula!K6))*(INDEX(Properties!A$1:CB$87,Formula!D6,20))+((Formula!G6)/(Formula!C6+Formula!E6+Formula!G6+Formula!I6+Formula!K6))*(INDEX(Properties!A$1:CB$87,Formula!F6,20))+((Formula!I6)/(Formula!C6+Formula!E6+Formula!G6+Formula!I6+Formula!K6))*(INDEX(Properties!A$1:CB$87,Formula!H6,20))+((Formula!K6)/(Formula!C6+Formula!E6+Formula!G6+Formula!I6+Formula!K6))*(INDEX(Properties!A$1:CB$87,Formula!J6,20))</f>
        <v>5.1666666666666661</v>
      </c>
      <c r="BQ6" s="48">
        <f>Formula!C6*(INDEX(Properties!A$1:CB$87,Formula!B6,20))+Formula!E6*(INDEX(Properties!A$1:CB$87,Formula!D6,20))+Formula!G6*(INDEX(Properties!A$1:CB$87,Formula!F6,20))+Formula!I6*(INDEX(Properties!A$1:CB$87,Formula!H6,20))+Formula!K6*(INDEX(Properties!A$1:CB$87,Formula!J6,20))</f>
        <v>31</v>
      </c>
      <c r="BR6" s="48">
        <f>VARP(IF(INDEX(Properties!A$1:CB$87,Formula!B6,20)&lt;&gt;"",INDEX(Properties!A$1:CB$87,Formula!B6,20)),IF(INDEX(Properties!A$1:CB$87,Formula!D6,20)&lt;&gt;"",INDEX(Properties!A$1:CB$87,Formula!D6,20)),IF(INDEX(Properties!A$1:CB$87,Formula!F6,20)&lt;&gt;"",INDEX(Properties!A$1:CB$87,Formula!F6,20)),IF(INDEX(Properties!A$1:CB$87,Formula!H6,20)&lt;&gt;"",INDEX(Properties!A$1:CB$87,Formula!H6,20)),IF(INDEX(Properties!A$1:CB$87,Formula!J6,20)&lt;&gt;"",INDEX(Properties!A$1:CB$87,Formula!J6,20)))</f>
        <v>6.24</v>
      </c>
      <c r="BS6" s="48">
        <f>MAX(INDEX(Properties!A$1:CB$87,Formula!B6,20),INDEX(Properties!A$1:CB$87,Formula!D6,20),INDEX(Properties!A$1:CB$87,Formula!F6,20),INDEX(Properties!A$1:CB$87,Formula!H6,20),INDEX(Properties!A$1:CB$87,Formula!J6,20))</f>
        <v>6</v>
      </c>
      <c r="BT6" s="48">
        <f>MIN(IF(INDEX(Properties!A$1:CB$87,Formula!B6,20)=0,10^6,INDEX(Properties!A$1:CB$87,Formula!B6,20)),IF(INDEX(Properties!A$1:CB$87,Formula!D6,20)=0,10^6,INDEX(Properties!A$1:CB$87,Formula!D6,20)),IF(INDEX(Properties!A$1:CB$87,Formula!F6,20)=0,10^6,INDEX(Properties!A$1:CB$87,Formula!F6,20)),IF(INDEX(Properties!A$1:CB$87,Formula!H6,20)=0,10^6,INDEX(Properties!A$1:CB$87,Formula!H6,20)),IF(INDEX(Properties!A$1:CB$87,Formula!J6,20)=0,10^6,INDEX(Properties!A$1:CB$87,Formula!J6,20)))</f>
        <v>2</v>
      </c>
      <c r="BU6" s="48">
        <f t="shared" si="11"/>
        <v>4</v>
      </c>
      <c r="BV6" s="66">
        <f>((Formula!C6)/(Formula!C6+Formula!E6+Formula!G6+Formula!I6+Formula!K6))*(INDEX(Properties!A$1:CB$87,Formula!B6,21))+((Formula!E6)/(Formula!C6+Formula!E6+Formula!G6+Formula!I6+Formula!K6))*(INDEX(Properties!A$1:CB$87,Formula!D6,21))+((Formula!G6)/(Formula!C6+Formula!E6+Formula!G6+Formula!I6+Formula!K6))*(INDEX(Properties!A$1:CB$87,Formula!F6,21))+((Formula!I6)/(Formula!C6+Formula!E6+Formula!G6+Formula!I6+Formula!K6))*(INDEX(Properties!A$1:CB$87,Formula!H6,21))+((Formula!K6)/(Formula!C6+Formula!E6+Formula!G6+Formula!I6+Formula!K6))*(INDEX(Properties!A$1:CB$87,Formula!J6,21))</f>
        <v>5</v>
      </c>
      <c r="BW6" s="66">
        <f>Formula!C6*(INDEX(Properties!A$1:CB$87,Formula!B6,21))+Formula!E6*(INDEX(Properties!A$1:CB$87,Formula!D6,21))+Formula!G6*(INDEX(Properties!A$1:CB$87,Formula!F6,21))+Formula!I6*(INDEX(Properties!A$1:CB$87,Formula!H6,21))+Formula!K6*(INDEX(Properties!A$1:CB$87,Formula!J6,21))</f>
        <v>30</v>
      </c>
      <c r="BX6" s="66">
        <f>VARP(IF(INDEX(Properties!A$1:CB$87,Formula!B6,21)&lt;&gt;"",INDEX(Properties!A$1:CB$87,Formula!B6,21)),IF(INDEX(Properties!A$1:CB$87,Formula!D6,21)&lt;&gt;"",INDEX(Properties!A$1:CB$87,Formula!D6,21)),IF(INDEX(Properties!A$1:CB$87,Formula!F6,21)&lt;&gt;"",INDEX(Properties!A$1:CB$87,Formula!F6,21)),IF(INDEX(Properties!A$1:CB$87,Formula!H6,21)&lt;&gt;"",INDEX(Properties!A$1:CB$87,Formula!H6,21)),IF(INDEX(Properties!A$1:CB$87,Formula!J6,21)&lt;&gt;"",INDEX(Properties!A$1:CB$87,Formula!J6,21)))</f>
        <v>6.64</v>
      </c>
      <c r="BY6" s="66">
        <f>MAX(INDEX(Properties!A$1:CB$87,Formula!B6,21),INDEX(Properties!A$1:CB$87,Formula!D6,21),INDEX(Properties!A$1:CB$87,Formula!F6,21),INDEX(Properties!A$1:CB$87,Formula!H6,21),INDEX(Properties!A$1:CB$87,Formula!J6,21))</f>
        <v>6</v>
      </c>
      <c r="BZ6" s="66">
        <f>MIN(IF(INDEX(Properties!A$1:CB$87,Formula!B6,21)=0,10^6,INDEX(Properties!A$1:CB$87,Formula!B6,21)),IF(INDEX(Properties!A$1:CB$87,Formula!D6,21)=0,10^6,INDEX(Properties!A$1:CB$87,Formula!D6,21)),IF(INDEX(Properties!A$1:CB$87,Formula!F6,21)=0,10^6,INDEX(Properties!A$1:CB$87,Formula!F6,21)),IF(INDEX(Properties!A$1:CB$87,Formula!H6,21)=0,10^6,INDEX(Properties!A$1:CB$87,Formula!H6,21)),IF(INDEX(Properties!A$1:CB$87,Formula!J6,21)=0,10^6,INDEX(Properties!A$1:CB$87,Formula!J6,21)))</f>
        <v>1</v>
      </c>
      <c r="CA6" s="66">
        <f t="shared" si="12"/>
        <v>5</v>
      </c>
      <c r="CB6" s="81">
        <f>((Formula!C6)/(Formula!C6+Formula!E6+Formula!G6+Formula!I6+Formula!K6))*(INDEX(Properties!A$1:CB$87,Formula!B6,23))+((Formula!E6)/(Formula!C6+Formula!E6+Formula!G6+Formula!I6+Formula!K6))*(INDEX(Properties!A$1:CB$87,Formula!D6,23))+((Formula!G6)/(Formula!C6+Formula!E6+Formula!G6+Formula!I6+Formula!K6))*(INDEX(Properties!A$1:CB$87,Formula!F6,23))+((Formula!I6)/(Formula!C6+Formula!E6+Formula!G6+Formula!I6+Formula!K6))*(INDEX(Properties!A$1:CB$87,Formula!H6,23))+((Formula!K6)/(Formula!C6+Formula!E6+Formula!G6+Formula!I6+Formula!K6))*(INDEX(Properties!A$1:CB$87,Formula!J6,23))</f>
        <v>1</v>
      </c>
      <c r="CC6" s="81">
        <f>Formula!C6*(INDEX(Properties!A$1:CB$87,Formula!B6,23))+Formula!E6*(INDEX(Properties!A$1:CB$87,Formula!D6,23))+Formula!G6*(INDEX(Properties!A$1:CB$87,Formula!F6,23))+Formula!I6*(INDEX(Properties!A$1:CB$87,Formula!H6,23))+Formula!K6*(INDEX(Properties!A$1:CB$87,Formula!J6,23))</f>
        <v>6</v>
      </c>
      <c r="CD6" s="81">
        <f>VARP(IF(INDEX(Properties!A$1:CB$87,Formula!B6,23)&lt;&gt;"",INDEX(Properties!A$1:CB$87,Formula!B6,23)),IF(INDEX(Properties!A$1:CB$87,Formula!D6,23)&lt;&gt;"",INDEX(Properties!A$1:CB$87,Formula!D6,23)),IF(INDEX(Properties!A$1:CB$87,Formula!F6,23)&lt;&gt;"",INDEX(Properties!A$1:CB$87,Formula!F6,23)),IF(INDEX(Properties!A$1:CB$87,Formula!H6,23)&lt;&gt;"",INDEX(Properties!A$1:CB$87,Formula!H6,23)),IF(INDEX(Properties!A$1:CB$87,Formula!J6,23)&lt;&gt;"",INDEX(Properties!A$1:CB$87,Formula!J6,23)))</f>
        <v>2.16</v>
      </c>
      <c r="CE6" s="81">
        <f>MAX(INDEX(Properties!A$1:CB$87,Formula!B6,23),INDEX(Properties!A$1:CB$87,Formula!D6,23),INDEX(Properties!A$1:CB$87,Formula!F6,23),INDEX(Properties!A$1:CB$87,Formula!H6,23),INDEX(Properties!A$1:CB$87,Formula!J6,23))</f>
        <v>3</v>
      </c>
      <c r="CF6" s="81">
        <f>MIN(IF(Formula!B6=87,10^6,INDEX(Properties!A$1:CB$87,Formula!B6,23)),IF((Formula!D6)=87,10^6,INDEX(Properties!A$1:CB$87,Formula!D6,23)),IF((Formula!F6)=87,10^6,INDEX(Properties!A$1:CB$87,Formula!F6,23)),IF((Formula!H6)=87,10^6,INDEX(Properties!A$1:CB$87,Formula!H6,23)),IF(Formula!J6=87,10^6,INDEX(Properties!A$1:CB$87,Formula!J6,23)))</f>
        <v>0</v>
      </c>
      <c r="CG6" s="81">
        <f t="shared" si="13"/>
        <v>3</v>
      </c>
      <c r="CH6" s="39">
        <f>((Formula!C6)/(Formula!C6+Formula!E6+Formula!G6+Formula!I6+Formula!K6))*(INDEX(Properties!A$1:CB$87,Formula!B6,26))+((Formula!E6)/(Formula!C6+Formula!E6+Formula!G6+Formula!I6+Formula!K6))*(INDEX(Properties!A$1:CB$87,Formula!D6,26))+((Formula!G6)/(Formula!C6+Formula!E6+Formula!G6+Formula!I6+Formula!K6))*(INDEX(Properties!A$1:CB$87,Formula!F6,26))+((Formula!I6)/(Formula!C6+Formula!E6+Formula!G6+Formula!I6+Formula!K6))*(INDEX(Properties!A$1:CB$87,Formula!H6,26))+((Formula!K6)/(Formula!C6+Formula!E6+Formula!G6+Formula!I6+Formula!K6))*(INDEX(Properties!A$1:CB$87,Formula!J6,26))</f>
        <v>11.862733333333331</v>
      </c>
      <c r="CI6" s="39">
        <f>Formula!C6*(INDEX(Properties!A$1:CB$87,Formula!B6,26))+Formula!E6*(INDEX(Properties!A$1:CB$87,Formula!D6,26))+Formula!G6*(INDEX(Properties!A$1:CB$87,Formula!F6,26))+Formula!I6*(INDEX(Properties!A$1:CB$87,Formula!H6,26))+Formula!K6*(INDEX(Properties!A$1:CB$87,Formula!J6,26))</f>
        <v>71.176400000000001</v>
      </c>
      <c r="CJ6" s="39">
        <f>VARP(IF(INDEX(Properties!A$1:CB$87,Formula!B6,26)&lt;&gt;"",INDEX(Properties!A$1:CB$87,Formula!B6,26)),IF(INDEX(Properties!A$1:CB$87,Formula!D6,26)&lt;&gt;"",INDEX(Properties!A$1:CB$87,Formula!D6,26)),IF(INDEX(Properties!A$1:CB$87,Formula!F6,26)&lt;&gt;"",INDEX(Properties!A$1:CB$87,Formula!F6,26)),IF(INDEX(Properties!A$1:CB$87,Formula!H6,26)&lt;&gt;"",INDEX(Properties!A$1:CB$87,Formula!H6,26)),IF(INDEX(Properties!A$1:CB$87,Formula!J6,26)&lt;&gt;"",INDEX(Properties!A$1:CB$87,Formula!J6,26)))</f>
        <v>30.038478821600005</v>
      </c>
      <c r="CK6" s="39">
        <f>MAX(INDEX(Properties!A$1:CB$87,Formula!B6,26),INDEX(Properties!A$1:CB$87,Formula!D6,26),INDEX(Properties!A$1:CB$87,Formula!F6,26),INDEX(Properties!A$1:CB$87,Formula!H6,26),INDEX(Properties!A$1:CB$87,Formula!J6,26))</f>
        <v>13.6181</v>
      </c>
      <c r="CL6" s="39">
        <f>MIN(IF(INDEX(Properties!A$1:CB$87,Formula!B6,26)=0,10^6,INDEX(Properties!A$1:CB$87,Formula!B6,26)),IF(INDEX(Properties!A$1:CB$87,Formula!D6,26)=0,10^6,INDEX(Properties!A$1:CB$87,Formula!D6,26)),IF(INDEX(Properties!A$1:CB$87,Formula!F6,26)=0,10^6,INDEX(Properties!A$1:CB$87,Formula!F6,26)),IF(INDEX(Properties!A$1:CB$87,Formula!H6,26)=0,10^6,INDEX(Properties!A$1:CB$87,Formula!H6,26)),IF(INDEX(Properties!A$1:CB$87,Formula!J6,26)=0,10^6,INDEX(Properties!A$1:CB$87,Formula!J6,26)))</f>
        <v>6.2172999999999998</v>
      </c>
      <c r="CM6" s="39">
        <f t="shared" si="14"/>
        <v>7.4008000000000003</v>
      </c>
      <c r="CN6" s="54">
        <f>((Formula!C6)/(Formula!C6+Formula!E6+Formula!G6+Formula!I6+Formula!K6))*(INDEX(Properties!A$1:CB$87,Formula!B6,30))+((Formula!E6)/(Formula!C6+Formula!E6+Formula!G6+Formula!I6+Formula!K6))*(INDEX(Properties!A$1:CB$87,Formula!D6,30))+((Formula!G6)/(Formula!C6+Formula!E6+Formula!G6+Formula!I6+Formula!K6))*(INDEX(Properties!A$1:CB$87,Formula!F6,30))+((Formula!I6)/(Formula!C6+Formula!E6+Formula!G6+Formula!I6+Formula!K6))*(INDEX(Properties!A$1:CB$87,Formula!H6,30))+((Formula!K6)/(Formula!C6+Formula!E6+Formula!G6+Formula!I6+Formula!K6))*(INDEX(Properties!A$1:CB$87,Formula!J6,30))</f>
        <v>2.8616666666666664</v>
      </c>
      <c r="CO6" s="54">
        <f>Formula!C6*(INDEX(Properties!A$1:CB$87,Formula!B6,30))+Formula!E6*(INDEX(Properties!A$1:CB$87,Formula!D6,30))+Formula!G6*(INDEX(Properties!A$1:CB$87,Formula!F6,30))+Formula!I6*(INDEX(Properties!A$1:CB$87,Formula!H6,30))+Formula!K6*(INDEX(Properties!A$1:CB$87,Formula!J6,30))</f>
        <v>17.170000000000002</v>
      </c>
      <c r="CP6" s="54">
        <f>VARP(IF(INDEX(Properties!A$1:CB$87,Formula!B6,30)&lt;&gt;"",INDEX(Properties!A$1:CB$87,Formula!B6,30)),IF(INDEX(Properties!A$1:CB$87,Formula!D6,30)&lt;&gt;"",INDEX(Properties!A$1:CB$87,Formula!D6,30)),IF(INDEX(Properties!A$1:CB$87,Formula!F6,30)&lt;&gt;"",INDEX(Properties!A$1:CB$87,Formula!F6,30)),IF(INDEX(Properties!A$1:CB$87,Formula!H6,30)&lt;&gt;"",INDEX(Properties!A$1:CB$87,Formula!H6,30)),IF(INDEX(Properties!A$1:CB$87,Formula!J6,30)&lt;&gt;"",INDEX(Properties!A$1:CB$87,Formula!J6,30)))</f>
        <v>1.7467200000000001</v>
      </c>
      <c r="CQ6" s="54">
        <f>MAX(INDEX(Properties!A$1:CB$87,Formula!B6,30),INDEX(Properties!A$1:CB$87,Formula!D6,30),INDEX(Properties!A$1:CB$87,Formula!F6,30),INDEX(Properties!A$1:CB$87,Formula!H6,30),INDEX(Properties!A$1:CB$87,Formula!J6,30))</f>
        <v>3.44</v>
      </c>
      <c r="CR6" s="54">
        <f>MIN(IF(INDEX(Properties!A$1:CB$87,Formula!B6,30)=0,10^6,INDEX(Properties!A$1:CB$87,Formula!B6,30)),IF(INDEX(Properties!A$1:CB$87,Formula!D6,30)=0,10^6,INDEX(Properties!A$1:CB$87,Formula!D6,30)),IF(INDEX(Properties!A$1:CB$87,Formula!F6,30)=0,10^6,INDEX(Properties!A$1:CB$87,Formula!F6,30)),IF(INDEX(Properties!A$1:CB$87,Formula!H6,30)=0,10^6,INDEX(Properties!A$1:CB$87,Formula!H6,30)),IF(INDEX(Properties!A$1:CB$87,Formula!J6,30)=0,10^6,INDEX(Properties!A$1:CB$87,Formula!J6,30)))</f>
        <v>1.22</v>
      </c>
      <c r="CS6" s="54">
        <f t="shared" si="15"/>
        <v>2.2199999999999998</v>
      </c>
      <c r="CT6" s="69">
        <f>((Formula!C6)/(Formula!C6+Formula!E6+Formula!G6+Formula!I6+Formula!K6))*(INDEX(Properties!A$1:CB$87,Formula!B6,31))+((Formula!E6)/(Formula!C6+Formula!E6+Formula!G6+Formula!I6+Formula!K6))*(INDEX(Properties!A$1:CB$87,Formula!D6,31))+((Formula!G6)/(Formula!C6+Formula!E6+Formula!G6+Formula!I6+Formula!K6))*(INDEX(Properties!A$1:CB$87,Formula!F6,31))+((Formula!I6)/(Formula!C6+Formula!E6+Formula!G6+Formula!I6+Formula!K6))*(INDEX(Properties!A$1:CB$87,Formula!H6,31))+((Formula!K6)/(Formula!C6+Formula!E6+Formula!G6+Formula!I6+Formula!K6))*(INDEX(Properties!A$1:CB$87,Formula!J6,31))</f>
        <v>2.8349999999999995</v>
      </c>
      <c r="CU6" s="69">
        <f>Formula!C6*(INDEX(Properties!A$1:CB$87,Formula!B6,31))+Formula!E6*(INDEX(Properties!A$1:CB$87,Formula!D6,31))+Formula!G6*(INDEX(Properties!A$1:CB$87,Formula!F6,31))+Formula!I6*(INDEX(Properties!A$1:CB$87,Formula!H6,31))+Formula!K6*(INDEX(Properties!A$1:CB$87,Formula!J6,31))</f>
        <v>17.009999999999998</v>
      </c>
      <c r="CV6" s="69">
        <f>VARP(IF(INDEX(Properties!A$1:CB$87,Formula!B6,31)&lt;&gt;"",INDEX(Properties!A$1:CB$87,Formula!B6,31)),IF(INDEX(Properties!A$1:CB$87,Formula!D6,31)&lt;&gt;"",INDEX(Properties!A$1:CB$87,Formula!D6,31)),IF(INDEX(Properties!A$1:CB$87,Formula!F6,31)&lt;&gt;"",INDEX(Properties!A$1:CB$87,Formula!F6,31)),IF(INDEX(Properties!A$1:CB$87,Formula!H6,31)&lt;&gt;"",INDEX(Properties!A$1:CB$87,Formula!H6,31)),IF(INDEX(Properties!A$1:CB$87,Formula!J6,31)&lt;&gt;"",INDEX(Properties!A$1:CB$87,Formula!J6,31)))</f>
        <v>1.69048</v>
      </c>
      <c r="CW6" s="69">
        <f>MAX(INDEX(Properties!A$1:CB$87,Formula!B6,31),INDEX(Properties!A$1:CB$87,Formula!D6,31),INDEX(Properties!A$1:CB$87,Formula!F6,31),INDEX(Properties!A$1:CB$87,Formula!H6,31),INDEX(Properties!A$1:CB$87,Formula!J6,31))</f>
        <v>3.32</v>
      </c>
      <c r="CX6" s="69">
        <f>MIN(IF(INDEX(Properties!A$1:CB$87,Formula!B6,31)=0,10^6,INDEX(Properties!A$1:CB$87,Formula!B6,31)),IF(INDEX(Properties!A$1:CB$87,Formula!D6,31)=0,10^6,INDEX(Properties!A$1:CB$87,Formula!D6,31)),IF(INDEX(Properties!A$1:CB$87,Formula!F6,31)=0,10^6,INDEX(Properties!A$1:CB$87,Formula!F6,31)),IF(INDEX(Properties!A$1:CB$87,Formula!H6,31)=0,10^6,INDEX(Properties!A$1:CB$87,Formula!H6,31)),IF(INDEX(Properties!A$1:CB$87,Formula!J6,31)=0,10^6,INDEX(Properties!A$1:CB$87,Formula!J6,31)))</f>
        <v>1.41</v>
      </c>
      <c r="CY6" s="69">
        <f t="shared" si="16"/>
        <v>1.91</v>
      </c>
      <c r="CZ6" s="42">
        <f>((Formula!C6)/(Formula!C6+Formula!E6+Formula!G6+Formula!I6+Formula!K6))*(INDEX(Properties!A$1:CB$87,Formula!B6,32))+((Formula!E6)/(Formula!C6+Formula!E6+Formula!G6+Formula!I6+Formula!K6))*(INDEX(Properties!A$1:CB$87,Formula!D6,32))+((Formula!G6)/(Formula!C6+Formula!E6+Formula!G6+Formula!I6+Formula!K6))*(INDEX(Properties!A$1:CB$87,Formula!F6,32))+((Formula!I6)/(Formula!C6+Formula!E6+Formula!G6+Formula!I6+Formula!K6))*(INDEX(Properties!A$1:CB$87,Formula!H6,32))+((Formula!K6)/(Formula!C6+Formula!E6+Formula!G6+Formula!I6+Formula!K6))*(INDEX(Properties!A$1:CB$87,Formula!J6,32))</f>
        <v>6.4949999999999992</v>
      </c>
      <c r="DA6" s="42">
        <f>Formula!C6*(INDEX(Properties!A$1:CB$87,Formula!B6,32))+Formula!E6*(INDEX(Properties!A$1:CB$87,Formula!D6,32))+Formula!G6*(INDEX(Properties!A$1:CB$87,Formula!F6,32))+Formula!I6*(INDEX(Properties!A$1:CB$87,Formula!H6,32))+Formula!K6*(INDEX(Properties!A$1:CB$87,Formula!J6,32))</f>
        <v>38.97</v>
      </c>
      <c r="DB6" s="42">
        <f>VARP(IF(INDEX(Properties!A$1:CB$87,Formula!B6,32)&lt;&gt;"",INDEX(Properties!A$1:CB$87,Formula!B6,32)),IF(INDEX(Properties!A$1:CB$87,Formula!D6,32)&lt;&gt;"",INDEX(Properties!A$1:CB$87,Formula!D6,32)),IF(INDEX(Properties!A$1:CB$87,Formula!F6,32)&lt;&gt;"",INDEX(Properties!A$1:CB$87,Formula!F6,32)),IF(INDEX(Properties!A$1:CB$87,Formula!H6,32)&lt;&gt;"",INDEX(Properties!A$1:CB$87,Formula!H6,32)),IF(INDEX(Properties!A$1:CB$87,Formula!J6,32)&lt;&gt;"",INDEX(Properties!A$1:CB$87,Formula!J6,32)))</f>
        <v>9.029519999999998</v>
      </c>
      <c r="DC6" s="42">
        <f>MAX(INDEX(Properties!A$1:CB$87,Formula!B6,32),INDEX(Properties!A$1:CB$87,Formula!D6,32),INDEX(Properties!A$1:CB$87,Formula!F6,32),INDEX(Properties!A$1:CB$87,Formula!H6,32),INDEX(Properties!A$1:CB$87,Formula!J6,32))</f>
        <v>7.54</v>
      </c>
      <c r="DD6" s="42">
        <f>MIN(IF(INDEX(Properties!A$1:CB$87,Formula!B6,32)=0,10^6,INDEX(Properties!A$1:CB$87,Formula!B6,32)),IF(INDEX(Properties!A$1:CB$87,Formula!D6,32)=0,10^6,INDEX(Properties!A$1:CB$87,Formula!D6,32)),IF(INDEX(Properties!A$1:CB$87,Formula!F6,32)=0,10^6,INDEX(Properties!A$1:CB$87,Formula!F6,32)),IF(INDEX(Properties!A$1:CB$87,Formula!H6,32)=0,10^6,INDEX(Properties!A$1:CB$87,Formula!H6,32)),IF(INDEX(Properties!A$1:CB$87,Formula!J6,32)=0,10^6,INDEX(Properties!A$1:CB$87,Formula!J6,32)))</f>
        <v>3.19</v>
      </c>
      <c r="DE6" s="42">
        <f t="shared" si="17"/>
        <v>4.3499999999999996</v>
      </c>
      <c r="DF6" s="60">
        <f>((Formula!C6)/(Formula!C6+Formula!E6+Formula!G6+Formula!I6+Formula!K6))*(INDEX(Properties!A$1:CB$87,Formula!B6,34))+((Formula!E6)/(Formula!C6+Formula!E6+Formula!G6+Formula!I6+Formula!K6))*(INDEX(Properties!A$1:CB$87,Formula!D6,34))+((Formula!G6)/(Formula!C6+Formula!E6+Formula!G6+Formula!I6+Formula!K6))*(INDEX(Properties!A$1:CB$87,Formula!F6,34))+((Formula!I6)/(Formula!C6+Formula!E6+Formula!G6+Formula!I6+Formula!K6))*(INDEX(Properties!A$1:CB$87,Formula!H6,34))+((Formula!K6)/(Formula!C6+Formula!E6+Formula!G6+Formula!I6+Formula!K6))*(INDEX(Properties!A$1:CB$87,Formula!J6,34))</f>
        <v>2.968833333333333</v>
      </c>
      <c r="DG6" s="60">
        <f>Formula!C6*(INDEX(Properties!A$1:CB$87,Formula!B6,34))+Formula!E6*(INDEX(Properties!A$1:CB$87,Formula!D6,34))+Formula!G6*(INDEX(Properties!A$1:CB$87,Formula!F6,34))+Formula!I6*(INDEX(Properties!A$1:CB$87,Formula!H6,34))+Formula!K6*(INDEX(Properties!A$1:CB$87,Formula!J6,34))</f>
        <v>17.812999999999999</v>
      </c>
      <c r="DH6" s="60">
        <f>VARP(IF(INDEX(Properties!A$1:CB$87,Formula!B6,34)&lt;&gt;"",INDEX(Properties!A$1:CB$87,Formula!B6,34)),IF(INDEX(Properties!A$1:CB$87,Formula!D6,34)&lt;&gt;"",INDEX(Properties!A$1:CB$87,Formula!D6,34)),IF(INDEX(Properties!A$1:CB$87,Formula!F6,34)&lt;&gt;"",INDEX(Properties!A$1:CB$87,Formula!F6,34)),IF(INDEX(Properties!A$1:CB$87,Formula!H6,34)&lt;&gt;"",INDEX(Properties!A$1:CB$87,Formula!H6,34)),IF(INDEX(Properties!A$1:CB$87,Formula!J6,34)&lt;&gt;"",INDEX(Properties!A$1:CB$87,Formula!J6,34)))</f>
        <v>1.9220102400000001</v>
      </c>
      <c r="DI6" s="60">
        <f>MAX(INDEX(Properties!A$1:CB$87,Formula!B6,34),INDEX(Properties!A$1:CB$87,Formula!D6,34),INDEX(Properties!A$1:CB$87,Formula!F6,34),INDEX(Properties!A$1:CB$87,Formula!H6,34),INDEX(Properties!A$1:CB$87,Formula!J6,34))</f>
        <v>3.61</v>
      </c>
      <c r="DJ6" s="60">
        <f>MIN(IF(INDEX(Properties!A$1:CB$87,Formula!B6,34)=0,10^6,INDEX(Properties!A$1:CB$87,Formula!B6,34)),IF(INDEX(Properties!A$1:CB$87,Formula!D6,34)=0,10^6,INDEX(Properties!A$1:CB$87,Formula!D6,34)),IF(INDEX(Properties!A$1:CB$87,Formula!F6,34)=0,10^6,INDEX(Properties!A$1:CB$87,Formula!F6,34)),IF(INDEX(Properties!A$1:CB$87,Formula!H6,34)=0,10^6,INDEX(Properties!A$1:CB$87,Formula!H6,34)),IF(INDEX(Properties!A$1:CB$87,Formula!J6,34)=0,10^6,INDEX(Properties!A$1:CB$87,Formula!J6,34)))</f>
        <v>1.1200000000000001</v>
      </c>
      <c r="DK6" s="60">
        <f t="shared" si="18"/>
        <v>2.4899999999999998</v>
      </c>
      <c r="DL6" s="45">
        <f>((Formula!C6)/(Formula!C6+Formula!E6+Formula!G6+Formula!I6+Formula!K6))*(INDEX(Properties!A$1:CB$87,Formula!B6,39))+((Formula!E6)/(Formula!C6+Formula!E6+Formula!G6+Formula!I6+Formula!K6))*(INDEX(Properties!A$1:CB$87,Formula!D6,39))+((Formula!G6)/(Formula!C6+Formula!E6+Formula!G6+Formula!I6+Formula!K6))*(INDEX(Properties!A$1:CB$87,Formula!F6,39))+((Formula!I6)/(Formula!C6+Formula!E6+Formula!G6+Formula!I6+Formula!K6))*(INDEX(Properties!A$1:CB$87,Formula!H6,39))+((Formula!K6)/(Formula!C6+Formula!E6+Formula!G6+Formula!I6+Formula!K6))*(INDEX(Properties!A$1:CB$87,Formula!J6,39))</f>
        <v>0.83666666666666656</v>
      </c>
      <c r="DM6" s="45">
        <f>Formula!C6*(INDEX(Properties!A$1:CB$87,Formula!B6,39))+Formula!E6*(INDEX(Properties!A$1:CB$87,Formula!D6,39))+Formula!G6*(INDEX(Properties!A$1:CB$87,Formula!F6,39))+Formula!I6*(INDEX(Properties!A$1:CB$87,Formula!H6,39))+Formula!K6*(INDEX(Properties!A$1:CB$87,Formula!J6,39))</f>
        <v>5.0199999999999996</v>
      </c>
      <c r="DN6" s="45">
        <f>VARP(IF(INDEX(Properties!A$1:CB$87,Formula!B6,39)&lt;&gt;"",INDEX(Properties!A$1:CB$87,Formula!B6,39)),IF(INDEX(Properties!A$1:CB$87,Formula!D6,39)&lt;&gt;"",INDEX(Properties!A$1:CB$87,Formula!D6,39)),IF(INDEX(Properties!A$1:CB$87,Formula!F6,39)&lt;&gt;"",INDEX(Properties!A$1:CB$87,Formula!F6,39)),IF(INDEX(Properties!A$1:CB$87,Formula!H6,39)&lt;&gt;"",INDEX(Properties!A$1:CB$87,Formula!H6,39)),IF(INDEX(Properties!A$1:CB$87,Formula!J6,39)&lt;&gt;"",INDEX(Properties!A$1:CB$87,Formula!J6,39)))</f>
        <v>0.62438400000000027</v>
      </c>
      <c r="DO6" s="45">
        <f>MAX(INDEX(Properties!A$1:CB$87,Formula!B6,39),INDEX(Properties!A$1:CB$87,Formula!D6,39),INDEX(Properties!A$1:CB$87,Formula!F6,39),INDEX(Properties!A$1:CB$87,Formula!H6,39),INDEX(Properties!A$1:CB$87,Formula!J6,39))</f>
        <v>2.12</v>
      </c>
      <c r="DP6" s="45">
        <f>MIN(IF(INDEX(Properties!A$1:CB$87,Formula!B6,39)=0,10^6,INDEX(Properties!A$1:CB$87,Formula!B6,39)),IF(INDEX(Properties!A$1:CB$87,Formula!D6,39)=0,10^6,INDEX(Properties!A$1:CB$87,Formula!D6,39)),IF(INDEX(Properties!A$1:CB$87,Formula!F6,39)=0,10^6,INDEX(Properties!A$1:CB$87,Formula!F6,39)),IF(INDEX(Properties!A$1:CB$87,Formula!H6,39)=0,10^6,INDEX(Properties!A$1:CB$87,Formula!H6,39)),IF(INDEX(Properties!A$1:CB$87,Formula!J6,39)=0,10^6,INDEX(Properties!A$1:CB$87,Formula!J6,39)))</f>
        <v>0.48</v>
      </c>
      <c r="DQ6" s="45">
        <f t="shared" si="19"/>
        <v>1.6400000000000001</v>
      </c>
      <c r="DR6" s="63">
        <f>((Formula!C6)/(Formula!C6+Formula!E6+Formula!G6+Formula!I6+Formula!K6))*(INDEX(Properties!A$1:CB$87,Formula!B6,40))+((Formula!E6)/(Formula!C6+Formula!E6+Formula!G6+Formula!I6+Formula!K6))*(INDEX(Properties!A$1:CB$87,Formula!D6,40))+((Formula!G6)/(Formula!C6+Formula!E6+Formula!G6+Formula!I6+Formula!K6))*(INDEX(Properties!A$1:CB$87,Formula!F6,40))+((Formula!I6)/(Formula!C6+Formula!E6+Formula!G6+Formula!I6+Formula!K6))*(INDEX(Properties!A$1:CB$87,Formula!H6,40))+((Formula!K6)/(Formula!C6+Formula!E6+Formula!G6+Formula!I6+Formula!K6))*(INDEX(Properties!A$1:CB$87,Formula!J6,40))</f>
        <v>0.93333333333333335</v>
      </c>
      <c r="DS6" s="63">
        <f>Formula!C6*(INDEX(Properties!A$1:CB$87,Formula!B6,40))+Formula!E6*(INDEX(Properties!A$1:CB$87,Formula!D6,40))+Formula!G6*(INDEX(Properties!A$1:CB$87,Formula!F6,40))+Formula!I6*(INDEX(Properties!A$1:CB$87,Formula!H6,40))+Formula!K6*(INDEX(Properties!A$1:CB$87,Formula!J6,40))</f>
        <v>5.6</v>
      </c>
      <c r="DT6" s="63">
        <f>VARP(IF(INDEX(Properties!A$1:CB$87,Formula!B6,40)&lt;&gt;"",INDEX(Properties!A$1:CB$87,Formula!B6,40)),IF(INDEX(Properties!A$1:CB$87,Formula!D6,40)&lt;&gt;"",INDEX(Properties!A$1:CB$87,Formula!D6,40)),IF(INDEX(Properties!A$1:CB$87,Formula!F6,40)&lt;&gt;"",INDEX(Properties!A$1:CB$87,Formula!F6,40)),IF(INDEX(Properties!A$1:CB$87,Formula!H6,40)&lt;&gt;"",INDEX(Properties!A$1:CB$87,Formula!H6,40)),IF(INDEX(Properties!A$1:CB$87,Formula!J6,40)&lt;&gt;"",INDEX(Properties!A$1:CB$87,Formula!J6,40)))</f>
        <v>0.39105600000000018</v>
      </c>
      <c r="DU6" s="63">
        <f>MAX(INDEX(Properties!A$1:CB$87,Formula!B6,40),INDEX(Properties!A$1:CB$87,Formula!D6,40),INDEX(Properties!A$1:CB$87,Formula!F6,40),INDEX(Properties!A$1:CB$87,Formula!H6,40),INDEX(Properties!A$1:CB$87,Formula!J6,40))</f>
        <v>1.62</v>
      </c>
      <c r="DV6" s="63">
        <f>MIN(IF(INDEX(Properties!A$1:CB$87,Formula!B6,40)=0,10^6,INDEX(Properties!A$1:CB$87,Formula!B6,40)),IF(INDEX(Properties!A$1:CB$87,Formula!D6,40)=0,10^6,INDEX(Properties!A$1:CB$87,Formula!D6,40)),IF(INDEX(Properties!A$1:CB$87,Formula!F6,40)=0,10^6,INDEX(Properties!A$1:CB$87,Formula!F6,40)),IF(INDEX(Properties!A$1:CB$87,Formula!H6,40)=0,10^6,INDEX(Properties!A$1:CB$87,Formula!H6,40)),IF(INDEX(Properties!A$1:CB$87,Formula!J6,40)=0,10^6,INDEX(Properties!A$1:CB$87,Formula!J6,40)))</f>
        <v>0.73</v>
      </c>
      <c r="DW6" s="63">
        <f t="shared" si="20"/>
        <v>0.89000000000000012</v>
      </c>
      <c r="DX6" s="75">
        <f>((Formula!C6)/(Formula!C6+Formula!E6+Formula!G6+Formula!I6+Formula!K6))*(INDEX(Properties!A$1:CB$87,Formula!B6,41))+((Formula!E6)/(Formula!C6+Formula!E6+Formula!G6+Formula!I6+Formula!K6))*(INDEX(Properties!A$1:CB$87,Formula!D6,41))+((Formula!G6)/(Formula!C6+Formula!E6+Formula!G6+Formula!I6+Formula!K6))*(INDEX(Properties!A$1:CB$87,Formula!F6,41))+((Formula!I6)/(Formula!C6+Formula!E6+Formula!G6+Formula!I6+Formula!K6))*(INDEX(Properties!A$1:CB$87,Formula!H6,41))+((Formula!K6)/(Formula!C6+Formula!E6+Formula!G6+Formula!I6+Formula!K6))*(INDEX(Properties!A$1:CB$87,Formula!J6,41))</f>
        <v>1.1099999999999999</v>
      </c>
      <c r="DY6" s="75">
        <f>Formula!C6*(INDEX(Properties!A$1:CB$87,Formula!B6,41))+Formula!E6*(INDEX(Properties!A$1:CB$87,Formula!D6,41))+Formula!G6*(INDEX(Properties!A$1:CB$87,Formula!F6,41))+Formula!I6*(INDEX(Properties!A$1:CB$87,Formula!H6,41))+Formula!K6*(INDEX(Properties!A$1:CB$87,Formula!J6,41))</f>
        <v>6.66</v>
      </c>
      <c r="DZ6" s="75">
        <f>VARP(IF(INDEX(Properties!A$1:CB$87,Formula!B6,41)&lt;&gt;"",INDEX(Properties!A$1:CB$87,Formula!B6,41)),IF(INDEX(Properties!A$1:CB$87,Formula!D6,41)&lt;&gt;"",INDEX(Properties!A$1:CB$87,Formula!D6,41)),IF(INDEX(Properties!A$1:CB$87,Formula!F6,41)&lt;&gt;"",INDEX(Properties!A$1:CB$87,Formula!F6,41)),IF(INDEX(Properties!A$1:CB$87,Formula!H6,41)&lt;&gt;"",INDEX(Properties!A$1:CB$87,Formula!H6,41)),IF(INDEX(Properties!A$1:CB$87,Formula!J6,41)&lt;&gt;"",INDEX(Properties!A$1:CB$87,Formula!J6,41)))</f>
        <v>0.26934400000000008</v>
      </c>
      <c r="EA6" s="75">
        <f>MAX(INDEX(Properties!A$1:CB$87,Formula!B6,41),INDEX(Properties!A$1:CB$87,Formula!D6,41),INDEX(Properties!A$1:CB$87,Formula!F6,41),INDEX(Properties!A$1:CB$87,Formula!H6,41),INDEX(Properties!A$1:CB$87,Formula!J6,41))</f>
        <v>1.26</v>
      </c>
      <c r="EB6" s="75">
        <f>MIN(IF(INDEX(Properties!A$1:CB$87,Formula!B6,41)=0,10^6,INDEX(Properties!A$1:CB$87,Formula!B6,41)),IF(INDEX(Properties!A$1:CB$87,Formula!D6,41)=0,10^6,INDEX(Properties!A$1:CB$87,Formula!D6,41)),IF(INDEX(Properties!A$1:CB$87,Formula!F6,41)=0,10^6,INDEX(Properties!A$1:CB$87,Formula!F6,41)),IF(INDEX(Properties!A$1:CB$87,Formula!H6,41)=0,10^6,INDEX(Properties!A$1:CB$87,Formula!H6,41)),IF(INDEX(Properties!A$1:CB$87,Formula!J6,41)=0,10^6,INDEX(Properties!A$1:CB$87,Formula!J6,41)))</f>
        <v>0.57999999999999996</v>
      </c>
      <c r="EC6" s="75">
        <f t="shared" si="21"/>
        <v>0.68</v>
      </c>
      <c r="ED6" s="48">
        <f>((Formula!C6)/(Formula!C6+Formula!E6+Formula!G6+Formula!I6+Formula!K6))*(INDEX(Properties!A$1:CB$87,Formula!B6,45))+((Formula!E6)/(Formula!C6+Formula!E6+Formula!G6+Formula!I6+Formula!K6))*(INDEX(Properties!A$1:CB$87,Formula!D6,45))+((Formula!G6)/(Formula!C6+Formula!E6+Formula!G6+Formula!I6+Formula!K6))*(INDEX(Properties!A$1:CB$87,Formula!F6,45))+((Formula!I6)/(Formula!C6+Formula!E6+Formula!G6+Formula!I6+Formula!K6))*(INDEX(Properties!A$1:CB$87,Formula!H6,45))+((Formula!K6)/(Formula!C6+Formula!E6+Formula!G6+Formula!I6+Formula!K6))*(INDEX(Properties!A$1:CB$87,Formula!J6,45))</f>
        <v>1.01</v>
      </c>
      <c r="EE6" s="48">
        <f>Formula!C6*(INDEX(Properties!A$1:CB$87,Formula!B6,45))+Formula!E6*(INDEX(Properties!A$1:CB$87,Formula!D6,45))+Formula!G6*(INDEX(Properties!A$1:CB$87,Formula!F6,45))+Formula!I6*(INDEX(Properties!A$1:CB$87,Formula!H6,45))+Formula!K6*(INDEX(Properties!A$1:CB$87,Formula!J6,45))</f>
        <v>6.06</v>
      </c>
      <c r="EF6" s="48">
        <f>VARP(IF(INDEX(Properties!A$1:CB$87,Formula!B6,45)&lt;&gt;"",INDEX(Properties!A$1:CB$87,Formula!B6,45)),IF(INDEX(Properties!A$1:CB$87,Formula!D6,45)&lt;&gt;"",INDEX(Properties!A$1:CB$87,Formula!D6,45)),IF(INDEX(Properties!A$1:CB$87,Formula!F6,45)&lt;&gt;"",INDEX(Properties!A$1:CB$87,Formula!F6,45)),IF(INDEX(Properties!A$1:CB$87,Formula!H6,45)&lt;&gt;"",INDEX(Properties!A$1:CB$87,Formula!H6,45)),IF(INDEX(Properties!A$1:CB$87,Formula!J6,45)&lt;&gt;"",INDEX(Properties!A$1:CB$87,Formula!J6,45)))</f>
        <v>1.2155199999999999</v>
      </c>
      <c r="EG6" s="48">
        <f>MAX(INDEX(Properties!A$1:CB$87,Formula!B6,45),INDEX(Properties!A$1:CB$87,Formula!D6,45),INDEX(Properties!A$1:CB$87,Formula!F6,45),INDEX(Properties!A$1:CB$87,Formula!H6,45),INDEX(Properties!A$1:CB$87,Formula!J6,45))</f>
        <v>2.94</v>
      </c>
      <c r="EH6" s="48">
        <f>MIN(IF(INDEX(Properties!A$1:CB$87,Formula!B6,45)=0,10^6,INDEX(Properties!A$1:CB$87,Formula!B6,45)),IF(INDEX(Properties!A$1:CB$87,Formula!D6,45)=0,10^6,INDEX(Properties!A$1:CB$87,Formula!D6,45)),IF(INDEX(Properties!A$1:CB$87,Formula!F6,45)=0,10^6,INDEX(Properties!A$1:CB$87,Formula!F6,45)),IF(INDEX(Properties!A$1:CB$87,Formula!H6,45)=0,10^6,INDEX(Properties!A$1:CB$87,Formula!H6,45)),IF(INDEX(Properties!A$1:CB$87,Formula!J6,45)=0,10^6,INDEX(Properties!A$1:CB$87,Formula!J6,45)))</f>
        <v>0.47</v>
      </c>
      <c r="EI6" s="48">
        <f t="shared" si="22"/>
        <v>2.4699999999999998</v>
      </c>
      <c r="EJ6" s="66">
        <f>((Formula!C6)/(Formula!C6+Formula!E6+Formula!G6+Formula!I6+Formula!K6))*(INDEX(Properties!A$1:CB$87,Formula!B6,46))+((Formula!E6)/(Formula!C6+Formula!E6+Formula!G6+Formula!I6+Formula!K6))*(INDEX(Properties!A$1:CB$87,Formula!D6,46))+((Formula!G6)/(Formula!C6+Formula!E6+Formula!G6+Formula!I6+Formula!K6))*(INDEX(Properties!A$1:CB$87,Formula!F6,46))+((Formula!I6)/(Formula!C6+Formula!E6+Formula!G6+Formula!I6+Formula!K6))*(INDEX(Properties!A$1:CB$87,Formula!H6,46))+((Formula!K6)/(Formula!C6+Formula!E6+Formula!G6+Formula!I6+Formula!K6))*(INDEX(Properties!A$1:CB$87,Formula!J6,46))</f>
        <v>1.0316666666666667</v>
      </c>
      <c r="EK6" s="66">
        <f>Formula!C6*(INDEX(Properties!A$1:CB$87,Formula!B6,46))+Formula!E6*(INDEX(Properties!A$1:CB$87,Formula!D6,46))+Formula!G6*(INDEX(Properties!A$1:CB$87,Formula!F6,46))+Formula!I6*(INDEX(Properties!A$1:CB$87,Formula!H6,46))+Formula!K6*(INDEX(Properties!A$1:CB$87,Formula!J6,46))</f>
        <v>6.1899999999999995</v>
      </c>
      <c r="EL6" s="66">
        <f>VARP(IF(INDEX(Properties!A$1:CB$87,Formula!B6,46)&lt;&gt;"",INDEX(Properties!A$1:CB$87,Formula!B6,46)),IF(INDEX(Properties!A$1:CB$87,Formula!D6,46)&lt;&gt;"",INDEX(Properties!A$1:CB$87,Formula!D6,46)),IF(INDEX(Properties!A$1:CB$87,Formula!F6,46)&lt;&gt;"",INDEX(Properties!A$1:CB$87,Formula!F6,46)),IF(INDEX(Properties!A$1:CB$87,Formula!H6,46)&lt;&gt;"",INDEX(Properties!A$1:CB$87,Formula!H6,46)),IF(INDEX(Properties!A$1:CB$87,Formula!J6,46)&lt;&gt;"",INDEX(Properties!A$1:CB$87,Formula!J6,46)))</f>
        <v>0.26621599999999995</v>
      </c>
      <c r="EM6" s="66">
        <f>MAX(INDEX(Properties!A$1:CB$87,Formula!B6,46),INDEX(Properties!A$1:CB$87,Formula!D6,46),INDEX(Properties!A$1:CB$87,Formula!F6,46),INDEX(Properties!A$1:CB$87,Formula!H6,46),INDEX(Properties!A$1:CB$87,Formula!J6,46))</f>
        <v>1.21</v>
      </c>
      <c r="EN6" s="66">
        <f>MIN(IF(INDEX(Properties!A$1:CB$87,Formula!B6,46)=0,10^6,INDEX(Properties!A$1:CB$87,Formula!B6,46)),IF(INDEX(Properties!A$1:CB$87,Formula!D6,46)=0,10^6,INDEX(Properties!A$1:CB$87,Formula!D6,46)),IF(INDEX(Properties!A$1:CB$87,Formula!F6,46)=0,10^6,INDEX(Properties!A$1:CB$87,Formula!F6,46)),IF(INDEX(Properties!A$1:CB$87,Formula!H6,46)=0,10^6,INDEX(Properties!A$1:CB$87,Formula!H6,46)),IF(INDEX(Properties!A$1:CB$87,Formula!J6,46)=0,10^6,INDEX(Properties!A$1:CB$87,Formula!J6,46)))</f>
        <v>0.31</v>
      </c>
      <c r="EO6" s="66">
        <f t="shared" si="23"/>
        <v>0.89999999999999991</v>
      </c>
      <c r="EP6" s="81">
        <f>((Formula!C6)/(Formula!C6+Formula!E6+Formula!G6+Formula!I6+Formula!K6))*(INDEX(Properties!A$1:CB$87,Formula!B6,52))+((Formula!E6)/(Formula!C6+Formula!E6+Formula!G6+Formula!I6+Formula!K6))*(INDEX(Properties!A$1:CB$87,Formula!D6,52))+((Formula!G6)/(Formula!C6+Formula!E6+Formula!G6+Formula!I6+Formula!K6))*(INDEX(Properties!A$1:CB$87,Formula!F6,52))+((Formula!I6)/(Formula!C6+Formula!E6+Formula!G6+Formula!I6+Formula!K6))*(INDEX(Properties!A$1:CB$87,Formula!H6,52))+((Formula!K6)/(Formula!C6+Formula!E6+Formula!G6+Formula!I6+Formula!K6))*(INDEX(Properties!A$1:CB$87,Formula!J6,52))</f>
        <v>4.911999999999999</v>
      </c>
      <c r="EQ6" s="81">
        <f>Formula!C6*(INDEX(Properties!A$1:CB$87,Formula!B6,52))+Formula!E6*(INDEX(Properties!A$1:CB$87,Formula!D6,52))+Formula!G6*(INDEX(Properties!A$1:CB$87,Formula!F6,52))+Formula!I6*(INDEX(Properties!A$1:CB$87,Formula!H6,52))+Formula!K6*(INDEX(Properties!A$1:CB$87,Formula!J6,52))</f>
        <v>29.472000000000001</v>
      </c>
      <c r="ER6" s="81">
        <f>VARP(IF(INDEX(Properties!A$1:CB$87,Formula!B6,52)&lt;&gt;"",INDEX(Properties!A$1:CB$87,Formula!B6,52)),IF(INDEX(Properties!A$1:CB$87,Formula!D6,52)&lt;&gt;"",INDEX(Properties!A$1:CB$87,Formula!D6,52)),IF(INDEX(Properties!A$1:CB$87,Formula!F6,52)&lt;&gt;"",INDEX(Properties!A$1:CB$87,Formula!F6,52)),IF(INDEX(Properties!A$1:CB$87,Formula!H6,52)&lt;&gt;"",INDEX(Properties!A$1:CB$87,Formula!H6,52)),IF(INDEX(Properties!A$1:CB$87,Formula!J6,52)&lt;&gt;"",INDEX(Properties!A$1:CB$87,Formula!J6,52)))</f>
        <v>76.414543839999979</v>
      </c>
      <c r="ES6" s="81">
        <f>MAX(INDEX(Properties!A$1:CB$87,Formula!B6,52),INDEX(Properties!A$1:CB$87,Formula!D6,52),INDEX(Properties!A$1:CB$87,Formula!F6,52),INDEX(Properties!A$1:CB$87,Formula!H6,52),INDEX(Properties!A$1:CB$87,Formula!J6,52))</f>
        <v>22.7</v>
      </c>
      <c r="ET6" s="81">
        <f>MIN(IF(INDEX(Properties!A$1:CB$87,Formula!B6,52)=0,10^6,INDEX(Properties!A$1:CB$87,Formula!B6,52)),IF(INDEX(Properties!A$1:CB$87,Formula!D6,52)=0,10^6,INDEX(Properties!A$1:CB$87,Formula!D6,52)),IF(INDEX(Properties!A$1:CB$87,Formula!F6,52)=0,10^6,INDEX(Properties!A$1:CB$87,Formula!F6,52)),IF(INDEX(Properties!A$1:CB$87,Formula!H6,52)=0,10^6,INDEX(Properties!A$1:CB$87,Formula!H6,52)),IF(INDEX(Properties!A$1:CB$87,Formula!J6,52)=0,10^6,INDEX(Properties!A$1:CB$87,Formula!J6,52)))</f>
        <v>0.79300000000000004</v>
      </c>
      <c r="EU6" s="81">
        <f t="shared" si="24"/>
        <v>21.907</v>
      </c>
      <c r="EV6" s="39">
        <f>((Formula!C6)/(Formula!C6+Formula!E6+Formula!G6+Formula!I6+Formula!K6))*(INDEX(Properties!A$1:CB$87,Formula!B6,53))+((Formula!E6)/(Formula!C6+Formula!E6+Formula!G6+Formula!I6+Formula!K6))*(INDEX(Properties!A$1:CB$87,Formula!D6,53))+((Formula!G6)/(Formula!C6+Formula!E6+Formula!G6+Formula!I6+Formula!K6))*(INDEX(Properties!A$1:CB$87,Formula!F6,53))+((Formula!I6)/(Formula!C6+Formula!E6+Formula!G6+Formula!I6+Formula!K6))*(INDEX(Properties!A$1:CB$87,Formula!H6,53))+((Formula!K6)/(Formula!C6+Formula!E6+Formula!G6+Formula!I6+Formula!K6))*(INDEX(Properties!A$1:CB$87,Formula!J6,53))</f>
        <v>388.73333333333335</v>
      </c>
      <c r="EW6" s="39">
        <f>Formula!C6*(INDEX(Properties!A$1:CB$87,Formula!B6,53))+Formula!E6*(INDEX(Properties!A$1:CB$87,Formula!D6,53))+Formula!G6*(INDEX(Properties!A$1:CB$87,Formula!F6,53))+Formula!I6*(INDEX(Properties!A$1:CB$87,Formula!H6,53))+Formula!K6*(INDEX(Properties!A$1:CB$87,Formula!J6,53))</f>
        <v>2332.4</v>
      </c>
      <c r="EX6" s="39">
        <f>VARP(IF(INDEX(Properties!A$1:CB$87,Formula!B6,53)&lt;&gt;"",INDEX(Properties!A$1:CB$87,Formula!B6,53)),IF(INDEX(Properties!A$1:CB$87,Formula!D6,53)&lt;&gt;"",INDEX(Properties!A$1:CB$87,Formula!D6,53)),IF(INDEX(Properties!A$1:CB$87,Formula!F6,53)&lt;&gt;"",INDEX(Properties!A$1:CB$87,Formula!F6,53)),IF(INDEX(Properties!A$1:CB$87,Formula!H6,53)&lt;&gt;"",INDEX(Properties!A$1:CB$87,Formula!H6,53)),IF(INDEX(Properties!A$1:CB$87,Formula!J6,53)&lt;&gt;"",INDEX(Properties!A$1:CB$87,Formula!J6,53)))</f>
        <v>477925.01260000007</v>
      </c>
      <c r="EY6" s="39">
        <f>MAX(INDEX(Properties!A$1:CB$87,Formula!B6,53),INDEX(Properties!A$1:CB$87,Formula!D6,53),INDEX(Properties!A$1:CB$87,Formula!F6,53),INDEX(Properties!A$1:CB$87,Formula!H6,53),INDEX(Properties!A$1:CB$87,Formula!J6,53))</f>
        <v>1796.15</v>
      </c>
      <c r="EZ6" s="39">
        <f>MIN(IF(INDEX(Properties!A$1:CB$87,Formula!B6,53)=0,10^6,INDEX(Properties!A$1:CB$87,Formula!B6,53)),IF(INDEX(Properties!A$1:CB$87,Formula!D6,53)=0,10^6,INDEX(Properties!A$1:CB$87,Formula!D6,53)),IF(INDEX(Properties!A$1:CB$87,Formula!F6,53)=0,10^6,INDEX(Properties!A$1:CB$87,Formula!F6,53)),IF(INDEX(Properties!A$1:CB$87,Formula!H6,53)=0,10^6,INDEX(Properties!A$1:CB$87,Formula!H6,53)),IF(INDEX(Properties!A$1:CB$87,Formula!J6,53)=0,10^6,INDEX(Properties!A$1:CB$87,Formula!J6,53)))</f>
        <v>54.749999999999972</v>
      </c>
      <c r="FA6" s="39">
        <f t="shared" si="25"/>
        <v>1741.4</v>
      </c>
      <c r="FB6" s="54">
        <f>((Formula!C6)/(Formula!C6+Formula!E6+Formula!G6+Formula!I6+Formula!K6))*(INDEX(Properties!A$1:CB$87,Formula!B6,54))+((Formula!E6)/(Formula!C6+Formula!E6+Formula!G6+Formula!I6+Formula!K6))*(INDEX(Properties!A$1:CB$87,Formula!D6,54))+((Formula!G6)/(Formula!C6+Formula!E6+Formula!G6+Formula!I6+Formula!K6))*(INDEX(Properties!A$1:CB$87,Formula!F6,54))+((Formula!I6)/(Formula!C6+Formula!E6+Formula!G6+Formula!I6+Formula!K6))*(INDEX(Properties!A$1:CB$87,Formula!H6,54))+((Formula!K6)/(Formula!C6+Formula!E6+Formula!G6+Formula!I6+Formula!K6))*(INDEX(Properties!A$1:CB$87,Formula!J6,54))</f>
        <v>753.98333333333323</v>
      </c>
      <c r="FC6" s="54">
        <f>Formula!C6*(INDEX(Properties!A$1:CB$87,Formula!B6,54))+Formula!E6*(INDEX(Properties!A$1:CB$87,Formula!D6,54))+Formula!G6*(INDEX(Properties!A$1:CB$87,Formula!F6,54))+Formula!I6*(INDEX(Properties!A$1:CB$87,Formula!H6,54))+Formula!K6*(INDEX(Properties!A$1:CB$87,Formula!J6,54))</f>
        <v>4523.8999999999996</v>
      </c>
      <c r="FD6" s="54">
        <f>VARP(IF(INDEX(Properties!A$1:CB$87,Formula!B6,54)&lt;&gt;"",INDEX(Properties!A$1:CB$87,Formula!B6,54)),IF(INDEX(Properties!A$1:CB$87,Formula!D6,54)&lt;&gt;"",INDEX(Properties!A$1:CB$87,Formula!D6,54)),IF(INDEX(Properties!A$1:CB$87,Formula!F6,54)&lt;&gt;"",INDEX(Properties!A$1:CB$87,Formula!F6,54)),IF(INDEX(Properties!A$1:CB$87,Formula!H6,54)&lt;&gt;"",INDEX(Properties!A$1:CB$87,Formula!H6,54)),IF(INDEX(Properties!A$1:CB$87,Formula!J6,54)&lt;&gt;"",INDEX(Properties!A$1:CB$87,Formula!J6,54)))</f>
        <v>1945783.5174</v>
      </c>
      <c r="FE6" s="54">
        <f>MAX(INDEX(Properties!A$1:CB$87,Formula!B6,54),INDEX(Properties!A$1:CB$87,Formula!D6,54),INDEX(Properties!A$1:CB$87,Formula!F6,54),INDEX(Properties!A$1:CB$87,Formula!H6,54),INDEX(Properties!A$1:CB$87,Formula!J6,54))</f>
        <v>3610.15</v>
      </c>
      <c r="FF6" s="54">
        <f>MIN(IF(INDEX(Properties!A$1:CB$87,Formula!B6,54)=0,10^6,INDEX(Properties!A$1:CB$87,Formula!B6,54)),IF(INDEX(Properties!A$1:CB$87,Formula!D6,54)=0,10^6,INDEX(Properties!A$1:CB$87,Formula!D6,54)),IF(INDEX(Properties!A$1:CB$87,Formula!F6,54)=0,10^6,INDEX(Properties!A$1:CB$87,Formula!F6,54)),IF(INDEX(Properties!A$1:CB$87,Formula!H6,54)=0,10^6,INDEX(Properties!A$1:CB$87,Formula!H6,54)),IF(INDEX(Properties!A$1:CB$87,Formula!J6,54)=0,10^6,INDEX(Properties!A$1:CB$87,Formula!J6,54)))</f>
        <v>90.149999999999977</v>
      </c>
      <c r="FG6" s="54">
        <f t="shared" si="26"/>
        <v>3520</v>
      </c>
      <c r="FH6" s="69">
        <f>((Formula!C6)/(Formula!C6+Formula!E6+Formula!G6+Formula!I6+Formula!K6))*(INDEX(Properties!A$1:CB$87,Formula!B6,55))+((Formula!E6)/(Formula!C6+Formula!E6+Formula!G6+Formula!I6+Formula!K6))*(INDEX(Properties!A$1:CB$87,Formula!D6,55))+((Formula!G6)/(Formula!C6+Formula!E6+Formula!G6+Formula!I6+Formula!K6))*(INDEX(Properties!A$1:CB$87,Formula!F6,55))+((Formula!I6)/(Formula!C6+Formula!E6+Formula!G6+Formula!I6+Formula!K6))*(INDEX(Properties!A$1:CB$87,Formula!H6,55))+((Formula!K6)/(Formula!C6+Formula!E6+Formula!G6+Formula!I6+Formula!K6))*(INDEX(Properties!A$1:CB$87,Formula!J6,55))</f>
        <v>1.0492866666666667</v>
      </c>
      <c r="FI6" s="69">
        <f>Formula!C6*(INDEX(Properties!A$1:CB$87,Formula!B6,55))+Formula!E6*(INDEX(Properties!A$1:CB$87,Formula!D6,54))+Formula!G6*(INDEX(Properties!A$1:CB$87,Formula!F6,55))+Formula!I6*(INDEX(Properties!A$1:CB$87,Formula!H6,55))+Formula!K6*(INDEX(Properties!A$1:CB$87,Formula!J6,55))</f>
        <v>557.62572</v>
      </c>
      <c r="FJ6" s="69">
        <f>VARP(IF(INDEX(Properties!A$1:CB$87,Formula!B6,55)&lt;&gt;"",INDEX(Properties!A$1:CB$87,Formula!B6,55)),IF(INDEX(Properties!A$1:CB$87,Formula!D6,55)&lt;&gt;"",INDEX(Properties!A$1:CB$87,Formula!D6,55)),IF(INDEX(Properties!A$1:CB$87,Formula!F6,55)&lt;&gt;"",INDEX(Properties!A$1:CB$87,Formula!F6,55)),IF(INDEX(Properties!A$1:CB$87,Formula!H6,55)&lt;&gt;"",INDEX(Properties!A$1:CB$87,Formula!H6,55)),IF(INDEX(Properties!A$1:CB$87,Formula!J6,55)&lt;&gt;"",INDEX(Properties!A$1:CB$87,Formula!J6,55)))</f>
        <v>3.0753767511839998</v>
      </c>
      <c r="FK6" s="69">
        <f>MAX(INDEX(Properties!A$1:CB$87,Formula!B6,55),INDEX(Properties!A$1:CB$87,Formula!D6,55),INDEX(Properties!A$1:CB$87,Formula!F6,55),INDEX(Properties!A$1:CB$87,Formula!H6,55),INDEX(Properties!A$1:CB$87,Formula!J6,55))</f>
        <v>4.47</v>
      </c>
      <c r="FL6" s="69">
        <f>MIN(IF(INDEX(Properties!A$1:CB$87,Formula!B6,55)=0,10^6,INDEX(Properties!A$1:CB$87,Formula!B6,55)),IF(INDEX(Properties!A$1:CB$87,Formula!D6,55)=0,10^6,INDEX(Properties!A$1:CB$87,Formula!D6,55)),IF(INDEX(Properties!A$1:CB$87,Formula!F6,55)=0,10^6,INDEX(Properties!A$1:CB$87,Formula!F6,55)),IF(INDEX(Properties!A$1:CB$87,Formula!H6,55)=0,10^6,INDEX(Properties!A$1:CB$87,Formula!H6,55)),IF(INDEX(Properties!A$1:CB$87,Formula!J6,55)=0,10^6,INDEX(Properties!A$1:CB$87,Formula!J6,55)))</f>
        <v>1.4300000000000001E-3</v>
      </c>
      <c r="FM6" s="69">
        <f t="shared" si="27"/>
        <v>4.4685699999999997</v>
      </c>
      <c r="FN6" s="42">
        <f>((Formula!C6)/(Formula!C6+Formula!E6+Formula!G6+Formula!I6+Formula!K6))*(INDEX(Properties!A$1:CB$87,Formula!B6,56))+((Formula!E6)/(Formula!C6+Formula!E6+Formula!G6+Formula!I6+Formula!K6))*(INDEX(Properties!A$1:CB$87,Formula!D6,56))+((Formula!G6)/(Formula!C6+Formula!E6+Formula!G6+Formula!I6+Formula!K6))*(INDEX(Properties!A$1:CB$87,Formula!F6,56))+((Formula!I6)/(Formula!C6+Formula!E6+Formula!G6+Formula!I6+Formula!K6))*(INDEX(Properties!A$1:CB$87,Formula!H6,56))+((Formula!K6)/(Formula!C6+Formula!E6+Formula!G6+Formula!I6+Formula!K6))*(INDEX(Properties!A$1:CB$87,Formula!J6,56))</f>
        <v>0.79166666666666663</v>
      </c>
      <c r="FO6" s="42">
        <f>Formula!C6*(INDEX(Properties!A$1:CB$87,Formula!B6,56))+Formula!E6*(INDEX(Properties!A$1:CB$87,Formula!D6,56))+Formula!G6*(INDEX(Properties!A$1:CB$87,Formula!F6,56))+Formula!I6*(INDEX(Properties!A$1:CB$87,Formula!H6,56))+Formula!K6*(INDEX(Properties!A$1:CB$87,Formula!J6,56))</f>
        <v>4.75</v>
      </c>
      <c r="FP6" s="42">
        <f>VARP(IF(INDEX(Properties!A$1:CB$87,Formula!B6,56)&lt;&gt;"",INDEX(Properties!A$1:CB$87,Formula!B6,56)),IF(INDEX(Properties!A$1:CB$87,Formula!D6,56)&lt;&gt;"",INDEX(Properties!A$1:CB$87,Formula!D6,56)),IF(INDEX(Properties!A$1:CB$87,Formula!F6,56)&lt;&gt;"",INDEX(Properties!A$1:CB$87,Formula!F6,56)),IF(INDEX(Properties!A$1:CB$87,Formula!H6,56)&lt;&gt;"",INDEX(Properties!A$1:CB$87,Formula!H6,56)),IF(INDEX(Properties!A$1:CB$87,Formula!J6,56)&lt;&gt;"",INDEX(Properties!A$1:CB$87,Formula!J6,56)))</f>
        <v>0.14745599999999998</v>
      </c>
      <c r="FQ6" s="42">
        <f>MAX(INDEX(Properties!A$1:CB$87,Formula!B6,56),INDEX(Properties!A$1:CB$87,Formula!D6,56),INDEX(Properties!A$1:CB$87,Formula!F6,56),INDEX(Properties!A$1:CB$87,Formula!H6,56),INDEX(Properties!A$1:CB$87,Formula!J6,56))</f>
        <v>0.92</v>
      </c>
      <c r="FR6" s="42">
        <f>MIN(IF(INDEX(Properties!A$1:CB$87,Formula!B6,56)=0,10^6,INDEX(Properties!A$1:CB$87,Formula!B6,56)),IF(INDEX(Properties!A$1:CB$87,Formula!D6,56)=0,10^6,INDEX(Properties!A$1:CB$87,Formula!D6,56)),IF(INDEX(Properties!A$1:CB$87,Formula!F6,56)=0,10^6,INDEX(Properties!A$1:CB$87,Formula!F6,56)),IF(INDEX(Properties!A$1:CB$87,Formula!H6,56)=0,10^6,INDEX(Properties!A$1:CB$87,Formula!H6,56)),IF(INDEX(Properties!A$1:CB$87,Formula!J6,56)=0,10^6,INDEX(Properties!A$1:CB$87,Formula!J6,56)))</f>
        <v>0.3</v>
      </c>
      <c r="FS6" s="42">
        <f t="shared" si="28"/>
        <v>0.62000000000000011</v>
      </c>
      <c r="FT6" s="60">
        <f>((Formula!C6)/(Formula!C6+Formula!E6+Formula!G6+Formula!I6+Formula!K6))*(INDEX(Properties!A$1:CB$87,Formula!B6,57))+((Formula!E6)/(Formula!C6+Formula!E6+Formula!G6+Formula!I6+Formula!K6))*(INDEX(Properties!A$1:CB$87,Formula!D6,57))+((Formula!G6)/(Formula!C6+Formula!E6+Formula!G6+Formula!I6+Formula!K6))*(INDEX(Properties!A$1:CB$87,Formula!F6,57))+((Formula!I6)/(Formula!C6+Formula!E6+Formula!G6+Formula!I6+Formula!K6))*(INDEX(Properties!A$1:CB$87,Formula!H6,57))+((Formula!K6)/(Formula!C6+Formula!E6+Formula!G6+Formula!I6+Formula!K6))*(INDEX(Properties!A$1:CB$87,Formula!J6,57))</f>
        <v>2.1578933333333334</v>
      </c>
      <c r="FU6" s="60">
        <f>Formula!C6*(INDEX(Properties!A$1:CB$87,Formula!B6,57))+Formula!E6*(INDEX(Properties!A$1:CB$87,Formula!D6,57))+Formula!G6*(INDEX(Properties!A$1:CB$87,Formula!F6,57))+Formula!I6*(INDEX(Properties!A$1:CB$87,Formula!H6,57))+Formula!K6*(INDEX(Properties!A$1:CB$87,Formula!J6,57))</f>
        <v>12.94736</v>
      </c>
      <c r="FV6" s="60">
        <f>VARP(IF(INDEX(Properties!A$1:CB$87,Formula!B6,57)&lt;&gt;"",INDEX(Properties!A$1:CB$87,Formula!B6,57)),IF(INDEX(Properties!A$1:CB$87,Formula!D6,57)&lt;&gt;"",INDEX(Properties!A$1:CB$87,Formula!D6,57)),IF(INDEX(Properties!A$1:CB$87,Formula!F6,57)&lt;&gt;"",INDEX(Properties!A$1:CB$87,Formula!F6,57)),IF(INDEX(Properties!A$1:CB$87,Formula!H6,57)&lt;&gt;"",INDEX(Properties!A$1:CB$87,Formula!H6,57)),IF(INDEX(Properties!A$1:CB$87,Formula!J6,57)&lt;&gt;"",INDEX(Properties!A$1:CB$87,Formula!J6,57)))</f>
        <v>20.056705838895997</v>
      </c>
      <c r="FW6" s="60">
        <f>MAX(INDEX(Properties!A$1:CB$87,Formula!B6,57),INDEX(Properties!A$1:CB$87,Formula!D6,57),INDEX(Properties!A$1:CB$87,Formula!F6,57),INDEX(Properties!A$1:CB$87,Formula!H6,57),INDEX(Properties!A$1:CB$87,Formula!J6,57))</f>
        <v>11.4</v>
      </c>
      <c r="FX6" s="60">
        <f>MIN(IF(INDEX(Properties!A$1:CB$87,Formula!B6,57)=0,10^6,INDEX(Properties!A$1:CB$87,Formula!B6,57)),IF(INDEX(Properties!A$1:CB$87,Formula!D6,57)=0,10^6,INDEX(Properties!A$1:CB$87,Formula!D6,57)),IF(INDEX(Properties!A$1:CB$87,Formula!F6,57)=0,10^6,INDEX(Properties!A$1:CB$87,Formula!F6,57)),IF(INDEX(Properties!A$1:CB$87,Formula!H6,57)=0,10^6,INDEX(Properties!A$1:CB$87,Formula!H6,57)),IF(INDEX(Properties!A$1:CB$87,Formula!J6,57)=0,10^6,INDEX(Properties!A$1:CB$87,Formula!J6,57)))</f>
        <v>0.22259000000000001</v>
      </c>
      <c r="FY6" s="60">
        <f t="shared" si="29"/>
        <v>11.17741</v>
      </c>
      <c r="FZ6" s="72">
        <f>((Formula!C6)/(Formula!C6+Formula!E6+Formula!G6+Formula!I6+Formula!K6))*(INDEX(Properties!A$1:CB$87,Formula!B6,60))+((Formula!E6)/(Formula!C6+Formula!E6+Formula!G6+Formula!I6+Formula!K6))*(INDEX(Properties!A$1:CB$87,Formula!D6,60))+((Formula!G6)/(Formula!C6+Formula!E6+Formula!G6+Formula!I6+Formula!K6))*(INDEX(Properties!A$1:CB$87,Formula!F6,60))+((Formula!I6)/(Formula!C6+Formula!E6+Formula!G6+Formula!I6+Formula!K6))*(INDEX(Properties!A$1:CB$87,Formula!H6,60))+((Formula!K6)/(Formula!C6+Formula!E6+Formula!G6+Formula!I6+Formula!K6))*(INDEX(Properties!A$1:CB$87,Formula!J6,60))</f>
        <v>2.9236599999999995</v>
      </c>
      <c r="GA6" s="72">
        <f>Formula!C6*(INDEX(Properties!A$1:CB$87,Formula!B6,60))+Formula!E6*(INDEX(Properties!A$1:CB$87,Formula!D6,60))+Formula!G6*(INDEX(Properties!A$1:CB$87,Formula!F6,60))+Formula!I6*(INDEX(Properties!A$1:CB$87,Formula!H6,60))+Formula!K6*(INDEX(Properties!A$1:CB$87,Formula!J6,60))</f>
        <v>17.54196</v>
      </c>
      <c r="GB6" s="72">
        <f>VARP(IF(INDEX(Properties!A$1:CB$87,Formula!B6,60)&lt;&gt;"",INDEX(Properties!A$1:CB$87,Formula!B6,60)),IF(INDEX(Properties!A$1:CB$87,Formula!D6,60)&lt;&gt;"",INDEX(Properties!A$1:CB$87,Formula!D6,60)),IF(INDEX(Properties!A$1:CB$87,Formula!F6,60)&lt;&gt;"",INDEX(Properties!A$1:CB$87,Formula!F6,60)),IF(INDEX(Properties!A$1:CB$87,Formula!H6,60)&lt;&gt;"",INDEX(Properties!A$1:CB$87,Formula!H6,60)),IF(INDEX(Properties!A$1:CB$87,Formula!J6,60)&lt;&gt;"",INDEX(Properties!A$1:CB$87,Formula!J6,60)))</f>
        <v>46.982693452415987</v>
      </c>
      <c r="GC6" s="72">
        <f>MAX(INDEX(Properties!A$1:CB$87,Formula!B6,60),INDEX(Properties!A$1:CB$87,Formula!D6,60),INDEX(Properties!A$1:CB$87,Formula!F6,60),INDEX(Properties!A$1:CB$87,Formula!H6,60),INDEX(Properties!A$1:CB$87,Formula!J6,60))</f>
        <v>17.2</v>
      </c>
      <c r="GD6" s="72">
        <f>MIN(IF(INDEX(Properties!A$1:CB$87,Formula!B6,60)=0,10^6,INDEX(Properties!A$1:CB$87,Formula!B6,60)),IF(INDEX(Properties!A$1:CB$87,Formula!D6,60)=0,10^6,INDEX(Properties!A$1:CB$87,Formula!D6,60)),IF(INDEX(Properties!A$1:CB$87,Formula!F6,60)=0,10^6,INDEX(Properties!A$1:CB$87,Formula!F6,60)),IF(INDEX(Properties!A$1:CB$87,Formula!H6,60)=0,10^6,INDEX(Properties!A$1:CB$87,Formula!H6,60)),IF(INDEX(Properties!A$1:CB$87,Formula!J6,60)=0,10^6,INDEX(Properties!A$1:CB$87,Formula!J6,60)))</f>
        <v>2.674E-2</v>
      </c>
      <c r="GE6" s="72">
        <f t="shared" si="30"/>
        <v>17.173259999999999</v>
      </c>
      <c r="GF6" s="51">
        <f>((Formula!C6)/(Formula!C6+Formula!E6+Formula!G6+Formula!I6+Formula!K6))*(INDEX(Properties!A$1:CB$87,Formula!B6,62))+((Formula!E6)/(Formula!C6+Formula!E6+Formula!G6+Formula!I6+Formula!K6))*(INDEX(Properties!A$1:CB$87,Formula!D6,62))+((Formula!G6)/(Formula!C6+Formula!E6+Formula!G6+Formula!I6+Formula!K6))*(INDEX(Properties!A$1:CB$87,Formula!F6,62))+((Formula!I6)/(Formula!C6+Formula!E6+Formula!G6+Formula!I6+Formula!K6))*(INDEX(Properties!A$1:CB$87,Formula!H6,62))+((Formula!K6)/(Formula!C6+Formula!E6+Formula!G6+Formula!I6+Formula!K6))*(INDEX(Properties!A$1:CB$87,Formula!J6,62))</f>
        <v>3.0466666666666664</v>
      </c>
      <c r="GG6" s="51">
        <f>Formula!C6*(INDEX(Properties!A$1:CB$87,Formula!B6,62))+Formula!E6*(INDEX(Properties!A$1:CB$87,Formula!D6,62))+Formula!G6*(INDEX(Properties!A$1:CB$87,Formula!F6,62))+Formula!I6*(INDEX(Properties!A$1:CB$87,Formula!H6,62))+Formula!K6*(INDEX(Properties!A$1:CB$87,Formula!J6,62))</f>
        <v>18.28</v>
      </c>
      <c r="GH6" s="51">
        <f>VARP(IF(INDEX(Properties!A$1:CB$87,Formula!B6,62)&lt;&gt;"",INDEX(Properties!A$1:CB$87,Formula!B6,62)),IF(INDEX(Properties!A$1:CB$87,Formula!D6,62)&lt;&gt;"",INDEX(Properties!A$1:CB$87,Formula!D6,62)),IF(INDEX(Properties!A$1:CB$87,Formula!F6,62)&lt;&gt;"",INDEX(Properties!A$1:CB$87,Formula!F6,62)),IF(INDEX(Properties!A$1:CB$87,Formula!H6,62)&lt;&gt;"",INDEX(Properties!A$1:CB$87,Formula!H6,62)),IF(INDEX(Properties!A$1:CB$87,Formula!J6,62)&lt;&gt;"",INDEX(Properties!A$1:CB$87,Formula!J6,62)))</f>
        <v>3.2021839999999999</v>
      </c>
      <c r="GI6" s="51">
        <f>MAX(INDEX(Properties!A$1:CB$87,Formula!B6,62),INDEX(Properties!A$1:CB$87,Formula!D6,62),INDEX(Properties!A$1:CB$87,Formula!F6,62),INDEX(Properties!A$1:CB$87,Formula!H6,62),INDEX(Properties!A$1:CB$87,Formula!J6,62))</f>
        <v>4.37</v>
      </c>
      <c r="GJ6" s="51">
        <f>MIN(IF(INDEX(Properties!A$1:CB$87,Formula!B6,62)=0,10^6,INDEX(Properties!A$1:CB$87,Formula!B6,62)),IF(INDEX(Properties!A$1:CB$87,Formula!D6,62)=0,10^6,INDEX(Properties!A$1:CB$87,Formula!D6,62)),IF(INDEX(Properties!A$1:CB$87,Formula!F6,62)=0,10^6,INDEX(Properties!A$1:CB$87,Formula!F6,62)),IF(INDEX(Properties!A$1:CB$87,Formula!H6,62)=0,10^6,INDEX(Properties!A$1:CB$87,Formula!H6,62)),IF(INDEX(Properties!A$1:CB$87,Formula!J6,62)=0,10^6,INDEX(Properties!A$1:CB$87,Formula!J6,62)))</f>
        <v>2.62</v>
      </c>
      <c r="GK6" s="51">
        <f t="shared" si="31"/>
        <v>1.75</v>
      </c>
      <c r="GL6" s="51">
        <f>Formula!P6</f>
        <v>141</v>
      </c>
      <c r="GM6" s="57">
        <f>Formula!O6</f>
        <v>4</v>
      </c>
      <c r="GN6" s="51">
        <f>Formula!N6</f>
        <v>0.05</v>
      </c>
    </row>
    <row r="7" spans="1:196" s="5" customFormat="1" x14ac:dyDescent="0.3">
      <c r="A7" s="84" t="str">
        <f>Formula!A7</f>
        <v>SnO2</v>
      </c>
      <c r="B7" s="89">
        <f>((Formula!C7)/(Formula!C7+Formula!E7+Formula!G7+Formula!I7+Formula!K7))*(INDEX(Properties!A$1:CB$87,Formula!B7,3))+((Formula!E7)/(Formula!C7+Formula!E7+Formula!G7+Formula!I7+Formula!K7))*(INDEX(Properties!A$1:CB$87,Formula!D7,3))+((Formula!G7)/(Formula!C7+Formula!E7+Formula!G7+Formula!I7+Formula!K7))*(INDEX(Properties!A$1:CB$87,Formula!F7,3))+((Formula!I7)/(Formula!C7+Formula!E7+Formula!G7+Formula!I7+Formula!K7))*(INDEX(Properties!A$1:CB$87,Formula!H7,3))+((Formula!K7)/(Formula!C7+Formula!E7+Formula!G7+Formula!I7+Formula!K7))*(INDEX(Properties!A$1:CB$87,Formula!J7,3))</f>
        <v>50.236266666666658</v>
      </c>
      <c r="C7" s="85">
        <f>Formula!C7*(INDEX(Properties!A$1:CB$87,Formula!B7,3))+Formula!E7*(INDEX(Properties!A$1:CB$87,Formula!D7,3))+Formula!G7*(INDEX(Properties!A$1:CB$87,Formula!F7,3))+Formula!I7*(INDEX(Properties!A$1:CB$87,Formula!H7,3))+Formula!K7*(INDEX(Properties!A$1:CB$87,Formula!J7,3))</f>
        <v>150.7088</v>
      </c>
      <c r="D7" s="85">
        <f>VARP(IF(INDEX(Properties!A$1:CB$87,Formula!B7,3)&lt;&gt;"",INDEX(Properties!A$1:CB$87,Formula!B7,3)),IF(INDEX(Properties!A$1:CB$87,Formula!D7,3)&lt;&gt;"",INDEX(Properties!A$1:CB$87,Formula!D7,3)),IF(INDEX(Properties!A$1:CB$87,Formula!F7,3)&lt;&gt;"",INDEX(Properties!A$1:CB$87,Formula!F7,3)),IF(INDEX(Properties!A$1:CB$87,Formula!H7,3)&lt;&gt;"",INDEX(Properties!A$1:CB$87,Formula!H7,3)),IF(INDEX(Properties!A$1:CB$87,Formula!J7,3)&lt;&gt;"",INDEX(Properties!A$1:CB$87,Formula!J7,3)))</f>
        <v>2143.7440821375994</v>
      </c>
      <c r="E7" s="85">
        <f>MAX(INDEX(Properties!A$1:CB$87,Formula!B7,3),INDEX(Properties!A$1:CB$87,Formula!D7,3),INDEX(Properties!A$1:CB$87,Formula!F7,3),INDEX(Properties!A$1:CB$87,Formula!H7,3),INDEX(Properties!A$1:CB$87,Formula!J7,3))</f>
        <v>118.71</v>
      </c>
      <c r="F7" s="85">
        <f>MIN(IF(INDEX(Properties!A$1:CB$87,Formula!B7,3)=0,10^6,INDEX(Properties!A$1:CB$87,Formula!B7,3)),IF(INDEX(Properties!A$1:CB$87,Formula!D7,3)=0,10^6,INDEX(Properties!A$1:CB$87,Formula!D7,3)),IF(INDEX(Properties!A$1:CB$87,Formula!F7,3)=0,10^6,INDEX(Properties!A$1:CB$87,Formula!F7,3)),IF(INDEX(Properties!A$1:CB$87,Formula!H7,3)=0,10^6,INDEX(Properties!A$1:CB$87,Formula!H7,3)),IF(INDEX(Properties!A$1:CB$87,Formula!J7,3)=0,10^6,INDEX(Properties!A$1:CB$87,Formula!J7,3)))</f>
        <v>15.9994</v>
      </c>
      <c r="G7" s="85">
        <f t="shared" si="0"/>
        <v>102.7106</v>
      </c>
      <c r="H7" s="87">
        <f>((Formula!C7)/(Formula!C7+Formula!E7+Formula!G7+Formula!I7+Formula!K7))*(INDEX(Properties!A$1:CB$87,Formula!B7,4))+((Formula!E7)/(Formula!C7+Formula!E7+Formula!G7+Formula!I7+Formula!K7))*(INDEX(Properties!A$1:CB$87,Formula!D7,4))+((Formula!G7)/(Formula!C7+Formula!E7+Formula!G7+Formula!I7+Formula!K7))*(INDEX(Properties!A$1:CB$87,Formula!F7,4))+((Formula!I7)/(Formula!C7+Formula!E7+Formula!G7+Formula!I7+Formula!K7))*(INDEX(Properties!A$1:CB$87,Formula!H7,4))+((Formula!K7)/(Formula!C7+Formula!E7+Formula!G7+Formula!I7+Formula!K7))*(INDEX(Properties!A$1:CB$87,Formula!J7,4))</f>
        <v>21.999999999999996</v>
      </c>
      <c r="I7" s="87">
        <f>Formula!C7*(INDEX(Properties!A$1:CB$87,Formula!B7,4))+Formula!E7*(INDEX(Properties!A$1:CB$87,Formula!D7,4))+Formula!G7*(INDEX(Properties!A$1:CB$87,Formula!F7,4))+Formula!I7*(INDEX(Properties!A$1:CB$87,Formula!H7,4))+Formula!K7*(INDEX(Properties!A$1:CB$87,Formula!J7,4))</f>
        <v>66</v>
      </c>
      <c r="J7" s="87">
        <f>VARP(IF(INDEX(Properties!A$1:CB$87,Formula!B7,4)&lt;&gt;"",INDEX(Properties!A$1:CB$87,Formula!B7,4)),IF(INDEX(Properties!A$1:CB$87,Formula!D7,4)&lt;&gt;"",INDEX(Properties!A$1:CB$87,Formula!D7,4)),IF(INDEX(Properties!A$1:CB$87,Formula!F7,4)&lt;&gt;"",INDEX(Properties!A$1:CB$87,Formula!F7,4)),IF(INDEX(Properties!A$1:CB$87,Formula!H7,4)&lt;&gt;"",INDEX(Properties!A$1:CB$87,Formula!H7,4)),IF(INDEX(Properties!A$1:CB$87,Formula!J7,4)&lt;&gt;"",INDEX(Properties!A$1:CB$87,Formula!J7,4)))</f>
        <v>378.24</v>
      </c>
      <c r="K7" s="87">
        <f>MAX(INDEX(Properties!A$1:CB$87,Formula!B7,4),INDEX(Properties!A$1:CB$87,Formula!D7,4),INDEX(Properties!A$1:CB$87,Formula!F7,4),INDEX(Properties!A$1:CB$87,Formula!H7,4),INDEX(Properties!A$1:CB$87,Formula!J7,4))</f>
        <v>50</v>
      </c>
      <c r="L7" s="87">
        <f>MIN(IF(INDEX(Properties!A$1:CB$87,Formula!B7,4)=0,10^6,INDEX(Properties!A$1:CB$87,Formula!B7,4)),IF(INDEX(Properties!A$1:CB$87,Formula!D7,4)=0,10^6,INDEX(Properties!A$1:CB$87,Formula!D7,4)),IF(INDEX(Properties!A$1:CB$87,Formula!F7,4)=0,10^6,INDEX(Properties!A$1:CB$87,Formula!F7,4)),IF(INDEX(Properties!A$1:CB$87,Formula!H7,4)=0,10^6,INDEX(Properties!A$1:CB$87,Formula!H7,4)),IF(INDEX(Properties!A$1:CB$87,Formula!J7,4)=0,10^6,INDEX(Properties!A$1:CB$87,Formula!J7,4)))</f>
        <v>8</v>
      </c>
      <c r="M7" s="87">
        <f t="shared" si="1"/>
        <v>42</v>
      </c>
      <c r="N7" s="89">
        <f>((Formula!C7)/(Formula!C7+Formula!E7+Formula!G7+Formula!I7+Formula!K7))*(INDEX(Properties!A$1:CB$87,Formula!B7,5))+((Formula!E7)/(Formula!C7+Formula!E7+Formula!G7+Formula!I7+Formula!K7))*(INDEX(Properties!A$1:CB$87,Formula!D7,5))+((Formula!G7)/(Formula!C7+Formula!E7+Formula!G7+Formula!I7+Formula!K7))*(INDEX(Properties!A$1:CB$87,Formula!F7,5))+((Formula!I7)/(Formula!C7+Formula!E7+Formula!G7+Formula!I7+Formula!K7))*(INDEX(Properties!A$1:CB$87,Formula!H7,5))+((Formula!K7)/(Formula!C7+Formula!E7+Formula!G7+Formula!I7+Formula!K7))*(INDEX(Properties!A$1:CB$87,Formula!J7,5))</f>
        <v>3</v>
      </c>
      <c r="O7" s="89">
        <f>Formula!C7*(INDEX(Properties!A$1:CB$87,Formula!B7,5))+Formula!E7*(INDEX(Properties!A$1:CB$87,Formula!D7,5))+Formula!G7*(INDEX(Properties!A$1:CB$87,Formula!F7,5))+Formula!I7*(INDEX(Properties!A$1:CB$87,Formula!H7,5))+Formula!K7*(INDEX(Properties!A$1:CB$87,Formula!J7,5))</f>
        <v>9</v>
      </c>
      <c r="P7" s="89">
        <f>VARP(IF(INDEX(Properties!A$1:CB$87,Formula!B7,5)&lt;&gt;"",INDEX(Properties!A$1:CB$87,Formula!B7,5)),IF(INDEX(Properties!A$1:CB$87,Formula!D7,5)&lt;&gt;"",INDEX(Properties!A$1:CB$87,Formula!D7,5)),IF(INDEX(Properties!A$1:CB$87,Formula!F7,5)&lt;&gt;"",INDEX(Properties!A$1:CB$87,Formula!F7,5)),IF(INDEX(Properties!A$1:CB$87,Formula!H7,5)&lt;&gt;"",INDEX(Properties!A$1:CB$87,Formula!H7,5)),IF(INDEX(Properties!A$1:CB$87,Formula!J7,5)&lt;&gt;"",INDEX(Properties!A$1:CB$87,Formula!J7,5)))</f>
        <v>3.84</v>
      </c>
      <c r="Q7" s="89">
        <f>MAX(INDEX(Properties!A$1:CB$87,Formula!B7,5),INDEX(Properties!A$1:CB$87,Formula!D7,5),INDEX(Properties!A$1:CB$87,Formula!F7,5),INDEX(Properties!A$1:CB$87,Formula!H7,5),INDEX(Properties!A$1:CB$87,Formula!J7,5))</f>
        <v>5</v>
      </c>
      <c r="R7" s="89">
        <f>MIN(IF(INDEX(Properties!A$1:CB$87,Formula!B7,5)=0,10^6,INDEX(Properties!A$1:CB$87,Formula!B7,5)),IF(INDEX(Properties!A$1:CB$87,Formula!D7,5)=0,10^6,INDEX(Properties!A$1:CB$87,Formula!D7,5)),IF(INDEX(Properties!A$1:CB$87,Formula!F7,5)=0,10^6,INDEX(Properties!A$1:CB$87,Formula!F7,5)),IF(INDEX(Properties!A$1:CB$87,Formula!H7,5)=0,10^6,INDEX(Properties!A$1:CB$87,Formula!H7,5)),IF(INDEX(Properties!A$1:CB$87,Formula!J7,5)=0,10^6,INDEX(Properties!A$1:CB$87,Formula!J7,5)))</f>
        <v>2</v>
      </c>
      <c r="S7" s="89">
        <f t="shared" si="2"/>
        <v>3</v>
      </c>
      <c r="T7" s="60">
        <f>((Formula!C7)/(Formula!C7+Formula!E7+Formula!G7+Formula!I7+Formula!K7))*(INDEX(Properties!A$1:CB$87,Formula!B7,6))+((Formula!E7)/(Formula!C7+Formula!E7+Formula!G7+Formula!I7+Formula!K7))*(INDEX(Properties!A$1:CB$87,Formula!D7,6))+((Formula!G7)/(Formula!C7+Formula!E7+Formula!G7+Formula!I7+Formula!K7))*(INDEX(Properties!A$1:CB$87,Formula!F7,6))+((Formula!I7)/(Formula!C7+Formula!E7+Formula!G7+Formula!I7+Formula!K7))*(INDEX(Properties!A$1:CB$87,Formula!H7,6))+((Formula!K7)/(Formula!C7+Formula!E7+Formula!G7+Formula!I7+Formula!K7))*(INDEX(Properties!A$1:CB$87,Formula!J7,6))</f>
        <v>15.333333333333332</v>
      </c>
      <c r="U7" s="60">
        <f>Formula!C7*(INDEX(Properties!A$1:CB$87,Formula!B7,6))+Formula!E7*(INDEX(Properties!A$1:CB$87,Formula!D7,6))+Formula!G7*(INDEX(Properties!A$1:CB$87,Formula!F7,6))+Formula!I7*(INDEX(Properties!A$1:CB$87,Formula!H7,6))+Formula!K7*(INDEX(Properties!A$1:CB$87,Formula!J7,6))</f>
        <v>46</v>
      </c>
      <c r="V7" s="89">
        <f>VARP(IF(INDEX(Properties!A$1:CB$87,Formula!B7,6)&lt;&gt;"",INDEX(Properties!A$1:CB$87,Formula!B7,6)),IF(INDEX(Properties!A$1:CB$87,Formula!D7,6)&lt;&gt;"",INDEX(Properties!A$1:CB$87,Formula!D7,6)),IF(INDEX(Properties!A$1:CB$87,Formula!F7,6)&lt;&gt;"",INDEX(Properties!A$1:CB$87,Formula!F7,6)),IF(INDEX(Properties!A$1:CB$87,Formula!H7,6)&lt;&gt;"",INDEX(Properties!A$1:CB$87,Formula!H7,6)),IF(INDEX(Properties!A$1:CB$87,Formula!J7,6)&lt;&gt;"",INDEX(Properties!A$1:CB$87,Formula!J7,6)))</f>
        <v>54.4</v>
      </c>
      <c r="W7" s="60">
        <f>MAX(INDEX(Properties!A$1:CB$87,Formula!B7,6),INDEX(Properties!A$1:CB$87,Formula!D7,6),INDEX(Properties!A$1:CB$87,Formula!F7,6),INDEX(Properties!A$1:CB$87,Formula!H7,4),INDEX(Properties!A$1:CB$87,Formula!J7,6))</f>
        <v>16</v>
      </c>
      <c r="X7" s="60">
        <f>MIN(IF(INDEX(Properties!A$1:CB$87,Formula!B7,6)=0,10^6,INDEX(Properties!A$1:CB$87,Formula!B7,6)),IF(INDEX(Properties!A$1:CB$87,Formula!D7,6)=0,10^6,INDEX(Properties!A$1:CB$87,Formula!D7,6)),IF(INDEX(Properties!A$1:CB$87,Formula!F7,6)=0,10^6,INDEX(Properties!A$1:CB$87,Formula!F7,6)),IF(INDEX(Properties!A$1:CB$87,Formula!H7,6)=0,10^6,INDEX(Properties!A$1:CB$87,Formula!H7,6)),IF(INDEX(Properties!A$1:CB$87,Formula!J7,6)=0,10^6,INDEX(Properties!A$1:CB$87,Formula!J7,6)))</f>
        <v>14</v>
      </c>
      <c r="Y7" s="60">
        <f t="shared" si="3"/>
        <v>2</v>
      </c>
      <c r="Z7" s="72">
        <f>((Formula!C7)/(Formula!C7+Formula!E7+Formula!G7+Formula!I7+Formula!K7))*(INDEX(Properties!A$1:CB$87,Formula!B7,9))+((Formula!E7)/(Formula!C7+Formula!E7+Formula!G7+Formula!I7+Formula!K7))*(INDEX(Properties!A$1:CB$87,Formula!D7,9))+((Formula!G7)/(Formula!C7+Formula!E7+Formula!G7+Formula!I7+Formula!K7))*(INDEX(Properties!A$1:CB$87,Formula!F7,9))+((Formula!I7)/(Formula!C7+Formula!E7+Formula!G7+Formula!I7+Formula!K7))*(INDEX(Properties!A$1:CB$87,Formula!H7,9))+((Formula!K7)/(Formula!C7+Formula!E7+Formula!G7+Formula!I7+Formula!K7))*(INDEX(Properties!A$1:CB$87,Formula!J7,9))</f>
        <v>84.666666666666657</v>
      </c>
      <c r="AA7" s="72">
        <f>Formula!C7*(INDEX(Properties!A$1:CB$87,Formula!B7,9))+Formula!E7*(INDEX(Properties!A$1:CB$87,Formula!D7,9))+Formula!G7*(INDEX(Properties!A$1:CB$87,Formula!F7,9))+Formula!I7*(INDEX(Properties!A$1:CB$87,Formula!H7,9))+Formula!K7*(INDEX(Properties!A$1:CB$87,Formula!J7,9))</f>
        <v>254</v>
      </c>
      <c r="AB7" s="72">
        <f>VARP(IF(INDEX(Properties!A$1:CB$87,Formula!B7,9)&lt;&gt;"",INDEX(Properties!A$1:CB$87,Formula!B7,9)),IF(INDEX(Properties!A$1:CB$87,Formula!D7,9)&lt;&gt;"",INDEX(Properties!A$1:CB$87,Formula!D7,9)),IF(INDEX(Properties!A$1:CB$87,Formula!F7,9)&lt;&gt;"",INDEX(Properties!A$1:CB$87,Formula!F7,9)),IF(INDEX(Properties!A$1:CB$87,Formula!H7,9)&lt;&gt;"",INDEX(Properties!A$1:CB$87,Formula!H7,9)),IF(INDEX(Properties!A$1:CB$87,Formula!J7,9)&lt;&gt;"",INDEX(Properties!A$1:CB$87,Formula!J7,9)))</f>
        <v>1678.24</v>
      </c>
      <c r="AC7" s="72">
        <f>MAX(INDEX(Properties!A$1:CB$87,Formula!B7,9),INDEX(Properties!A$1:CB$87,Formula!D7,9),INDEX(Properties!A$1:CB$87,Formula!F7,9),INDEX(Properties!A$1:CB$87,Formula!H7,9),INDEX(Properties!A$1:CB$87,Formula!J7,9))</f>
        <v>87</v>
      </c>
      <c r="AD7" s="72">
        <f>MIN(IF(INDEX(Properties!A$1:CB$87,Formula!B7,9)=0,10^6,INDEX(Properties!A$1:CB$87,Formula!B7,9)),IF(INDEX(Properties!A$1:CB$87,Formula!D7,9)=0,10^6,INDEX(Properties!A$1:CB$87,Formula!D7,9)),IF(INDEX(Properties!A$1:CB$87,Formula!F7,9)=0,10^6,INDEX(Properties!A$1:CB$87,Formula!F7,9)),IF(INDEX(Properties!A$1:CB$87,Formula!H7,9)=0,10^6,INDEX(Properties!A$1:CB$87,Formula!H7,9)),IF(INDEX(Properties!A$1:CB$87,Formula!J7,9)=0,10^6,INDEX(Properties!A$1:CB$87,Formula!J7,9)))</f>
        <v>80</v>
      </c>
      <c r="AE7" s="72">
        <f t="shared" si="4"/>
        <v>7</v>
      </c>
      <c r="AF7" s="51">
        <f>((Formula!C7)/(Formula!C7+Formula!E7+Formula!G7+Formula!I7+Formula!K7))*(INDEX(Properties!A$1:CB$87,Formula!B7,10))+((Formula!E7)/(Formula!C7+Formula!E7+Formula!G7+Formula!I7+Formula!K7))*(INDEX(Properties!A$1:CB$87,Formula!D7,10))+((Formula!G7)/(Formula!C7+Formula!E7+Formula!G7+Formula!I7+Formula!K7))*(INDEX(Properties!A$1:CB$87,Formula!F7,10))+((Formula!I7)/(Formula!C7+Formula!E7+Formula!G7+Formula!I7+Formula!K7))*(INDEX(Properties!A$1:CB$87,Formula!H7,10))+((Formula!K7)/(Formula!C7+Formula!E7+Formula!G7+Formula!I7+Formula!K7))*(INDEX(Properties!A$1:CB$87,Formula!J7,10))</f>
        <v>6.3333333333333321</v>
      </c>
      <c r="AG7" s="51">
        <f>Formula!C7*(INDEX(Properties!A$1:CB$87,Formula!B7,10))+Formula!E7*(INDEX(Properties!A$1:CB$87,Formula!D7,10))+Formula!G7*(INDEX(Properties!A$1:CB$87,Formula!F7,10))+Formula!I7*(INDEX(Properties!A$1:CB$87,Formula!H7,10))+Formula!K7*(INDEX(Properties!A$1:CB$87,Formula!J7,10))</f>
        <v>19</v>
      </c>
      <c r="AH7" s="51">
        <f>VARP(IF(INDEX(Properties!A$1:CB$87,Formula!B7,10)&lt;&gt;"",INDEX(Properties!A$1:CB$87,Formula!B7,10)),IF(INDEX(Properties!A$1:CB$87,Formula!D7,10)&lt;&gt;"",INDEX(Properties!A$1:CB$87,Formula!D7,10)),IF(INDEX(Properties!A$1:CB$87,Formula!F7,10)&lt;&gt;"",INDEX(Properties!A$1:CB$87,Formula!F7,10)),IF(INDEX(Properties!A$1:CB$87,Formula!H7,10)&lt;&gt;"",INDEX(Properties!A$1:CB$87,Formula!H7,10)),IF(INDEX(Properties!A$1:CB$87,Formula!J7,10)&lt;&gt;"",INDEX(Properties!A$1:CB$87,Formula!J7,10)))</f>
        <v>9.0399999999999991</v>
      </c>
      <c r="AI7" s="51">
        <f>MAX(INDEX(Properties!A$1:CB$87,Formula!B7,10),INDEX(Properties!A$1:CB$87,Formula!D7,10),INDEX(Properties!A$1:CB$87,Formula!F7,10),INDEX(Properties!A$1:CB$87,Formula!H7,10),INDEX(Properties!A$1:CB$87,Formula!J7,10))</f>
        <v>7</v>
      </c>
      <c r="AJ7" s="51">
        <f>MIN(IF(INDEX(Properties!A$1:CB$87,Formula!B7,10)=0,10^6,INDEX(Properties!A$1:CB$87,Formula!B7,10)),IF(INDEX(Properties!A$1:CB$87,Formula!D7,10)=0,10^6,INDEX(Properties!A$1:CB$87,Formula!D7,10)),IF(INDEX(Properties!A$1:CB$87,Formula!F7,10)=0,10^6,INDEX(Properties!A$1:CB$87,Formula!F7,10)),IF(INDEX(Properties!A$1:CB$87,Formula!H7,10)=0,10^6,INDEX(Properties!A$1:CB$87,Formula!H7,10)),IF(INDEX(Properties!A$1:CB$87,Formula!J7,10)=0,10^6,INDEX(Properties!A$1:CB$87,Formula!J7,10)))</f>
        <v>5</v>
      </c>
      <c r="AK7" s="51">
        <f t="shared" si="5"/>
        <v>2</v>
      </c>
      <c r="AL7" s="57">
        <f>((Formula!C7)/(Formula!C7+Formula!E7+Formula!G7+Formula!I7+Formula!K7))*(INDEX(Properties!A$1:CB$87,Formula!B7,11))+((Formula!E7)/(Formula!C7+Formula!E7+Formula!G7+Formula!I7+Formula!K7))*(INDEX(Properties!A$1:CB$87,Formula!D7,11))+((Formula!G7)/(Formula!C7+Formula!E7+Formula!G7+Formula!I7+Formula!K7))*(INDEX(Properties!A$1:CB$87,Formula!F7,11))+((Formula!I7)/(Formula!C7+Formula!E7+Formula!G7+Formula!I7+Formula!K7))*(INDEX(Properties!A$1:CB$87,Formula!H7,11))+((Formula!K7)/(Formula!C7+Formula!E7+Formula!G7+Formula!I7+Formula!K7))*(INDEX(Properties!A$1:CB$87,Formula!J7,11))</f>
        <v>2</v>
      </c>
      <c r="AM7" s="57">
        <f>Formula!C7*(INDEX(Properties!A$1:CB$87,Formula!B7,11))+Formula!E7*(INDEX(Properties!A$1:CB$87,Formula!D7,11))+Formula!G7*(INDEX(Properties!A$1:CB$87,Formula!F7,11))+Formula!I7*(INDEX(Properties!A$1:CB$87,Formula!H7,11))+Formula!K7*(INDEX(Properties!A$1:CB$87,Formula!J7,11))</f>
        <v>6</v>
      </c>
      <c r="AN7" s="57">
        <f>VARP(IF(INDEX(Properties!A$1:CB$87,Formula!B7,11)&lt;&gt;"",INDEX(Properties!A$1:CB$87,Formula!B7,11)),IF(INDEX(Properties!A$1:CB$87,Formula!D7,11)&lt;&gt;"",INDEX(Properties!A$1:CB$87,Formula!D7,11)),IF(INDEX(Properties!A$1:CB$87,Formula!F7,11)&lt;&gt;"",INDEX(Properties!A$1:CB$87,Formula!F7,11)),IF(INDEX(Properties!A$1:CB$87,Formula!H7,11)&lt;&gt;"",INDEX(Properties!A$1:CB$87,Formula!H7,11)),IF(INDEX(Properties!A$1:CB$87,Formula!J7,11)&lt;&gt;"",INDEX(Properties!A$1:CB$87,Formula!J7,11)))</f>
        <v>0.96</v>
      </c>
      <c r="AO7" s="57">
        <f>MAX(INDEX(Properties!A$1:CB$87,Formula!B7,11),INDEX(Properties!A$1:CB$87,Formula!D7,11),INDEX(Properties!A$1:CB$87,Formula!F7,11),INDEX(Properties!A$1:CB$87,Formula!H7,11),INDEX(Properties!A$1:CB$87,Formula!J7,11))</f>
        <v>2</v>
      </c>
      <c r="AP7" s="57">
        <f>MIN(IF(Formula!B7=87,10^6,INDEX(Properties!A$1:CB$87,Formula!B7,11)),IF((Formula!D7)=87,10^6,INDEX(Properties!A$1:CB$87,Formula!D7,11)),IF((Formula!F7)=87,10^6,INDEX(Properties!A$1:CB$87,Formula!F7,11)),IF((Formula!H7)=87,10^6,INDEX(Properties!A$1:CB$87,Formula!H7,11)),IF(Formula!J7=87,10^6,INDEX(Properties!A$1:CB$87,Formula!J7,11)))</f>
        <v>2</v>
      </c>
      <c r="AQ7" s="57">
        <f t="shared" si="6"/>
        <v>0</v>
      </c>
      <c r="AR7" s="78">
        <f>((Formula!C7)/(Formula!C7+Formula!E7+Formula!G7+Formula!I7+Formula!K7))*(INDEX(Properties!A$1:CB$87,Formula!B7,12))+((Formula!E7)/(Formula!C7+Formula!E7+Formula!G7+Formula!I7+Formula!K7))*(INDEX(Properties!A$1:CB$87,Formula!D7,12))+((Formula!G7)/(Formula!C7+Formula!E7+Formula!G7+Formula!I7+Formula!K7))*(INDEX(Properties!A$1:CB$87,Formula!F7,12))+((Formula!I7)/(Formula!C7+Formula!E7+Formula!G7+Formula!I7+Formula!K7))*(INDEX(Properties!A$1:CB$87,Formula!H7,12))+((Formula!K7)/(Formula!C7+Formula!E7+Formula!G7+Formula!I7+Formula!K7))*(INDEX(Properties!A$1:CB$87,Formula!J7,12))</f>
        <v>3.333333333333333</v>
      </c>
      <c r="AS7" s="78">
        <f>Formula!C7*(INDEX(Properties!A$1:CB$87,Formula!B7,12))+Formula!E7*(INDEX(Properties!A$1:CB$87,Formula!D7,12))+Formula!G7*(INDEX(Properties!A$1:CB$87,Formula!F7,12))+Formula!I7*(INDEX(Properties!A$1:CB$87,Formula!H7,12))+Formula!K7*(INDEX(Properties!A$1:CB$87,Formula!J7,12))</f>
        <v>10</v>
      </c>
      <c r="AT7" s="78">
        <f>VARP(IF(INDEX(Properties!A$1:CB$87,Formula!B7,12)&lt;&gt;"",INDEX(Properties!A$1:CB$87,Formula!B7,12)),IF(INDEX(Properties!A$1:CB$87,Formula!D7,12)&lt;&gt;"",INDEX(Properties!A$1:CB$87,Formula!D7,12)),IF(INDEX(Properties!A$1:CB$87,Formula!F7,12)&lt;&gt;"",INDEX(Properties!A$1:CB$87,Formula!F7,12)),IF(INDEX(Properties!A$1:CB$87,Formula!H7,12)&lt;&gt;"",INDEX(Properties!A$1:CB$87,Formula!H7,12)),IF(INDEX(Properties!A$1:CB$87,Formula!J7,12)&lt;&gt;"",INDEX(Properties!A$1:CB$87,Formula!J7,12)))</f>
        <v>2.56</v>
      </c>
      <c r="AU7" s="78">
        <f>MAX(INDEX(Properties!A$1:CB$87,Formula!B7,12),INDEX(Properties!A$1:CB$87,Formula!D7,12),INDEX(Properties!A$1:CB$87,Formula!F7,12),INDEX(Properties!A$1:CB$87,Formula!H7,12),INDEX(Properties!A$1:CB$87,Formula!J7,12))</f>
        <v>4</v>
      </c>
      <c r="AV7" s="78">
        <f>MIN(IF(Formula!B7=87,10^6,INDEX(Properties!A$1:CB$87,Formula!B7,12)),IF((Formula!D7)=87,10^6,INDEX(Properties!A$1:CB$87,Formula!D7,12)),IF((Formula!F7)=87,10^6,INDEX(Properties!A$1:CB$87,Formula!F7,12)),IF((Formula!H7)=87,10^6,INDEX(Properties!A$1:CB$87,Formula!H7,12)),IF(Formula!J7=87,10^6,INDEX(Properties!A$1:CB$87,Formula!J7,12)))</f>
        <v>2</v>
      </c>
      <c r="AW7" s="78">
        <f t="shared" si="7"/>
        <v>2</v>
      </c>
      <c r="AX7" s="45">
        <f>((Formula!C7)/(Formula!C7+Formula!E7+Formula!G7+Formula!I7+Formula!K7))*(INDEX(Properties!A$1:CB$87,Formula!B7,13))+((Formula!E7)/(Formula!C7+Formula!E7+Formula!G7+Formula!I7+Formula!K7))*(INDEX(Properties!A$1:CB$87,Formula!D7,13))+((Formula!G7)/(Formula!C7+Formula!E7+Formula!G7+Formula!I7+Formula!K7))*(INDEX(Properties!A$1:CB$87,Formula!F7,13))+((Formula!I7)/(Formula!C7+Formula!E7+Formula!G7+Formula!I7+Formula!K7))*(INDEX(Properties!A$1:CB$87,Formula!H7,13))+((Formula!K7)/(Formula!C7+Formula!E7+Formula!G7+Formula!I7+Formula!K7))*(INDEX(Properties!A$1:CB$87,Formula!J7,13))</f>
        <v>3.333333333333333</v>
      </c>
      <c r="AY7" s="45">
        <f>Formula!C7*(INDEX(Properties!A$1:CB$87,Formula!B7,13))+Formula!E7*(INDEX(Properties!A$1:CB$87,Formula!D7,13))+Formula!G7*(INDEX(Properties!A$1:CB$87,Formula!F7,13))+Formula!I7*(INDEX(Properties!A$1:CB$87,Formula!H7,13))+Formula!K7*(INDEX(Properties!A$1:CB$87,Formula!J7,13))</f>
        <v>10</v>
      </c>
      <c r="AZ7" s="45">
        <f>VARP(IF(INDEX(Properties!A$1:CB$87,Formula!B7,13)&lt;&gt;"",INDEX(Properties!A$1:CB$87,Formula!B7,13)),IF(INDEX(Properties!A$1:CB$87,Formula!D7,13)&lt;&gt;"",INDEX(Properties!A$1:CB$87,Formula!D7,13)),IF(INDEX(Properties!A$1:CB$87,Formula!F7,13)&lt;&gt;"",INDEX(Properties!A$1:CB$87,Formula!F7,13)),IF(INDEX(Properties!A$1:CB$87,Formula!H7,13)&lt;&gt;"",INDEX(Properties!A$1:CB$87,Formula!H7,13)),IF(INDEX(Properties!A$1:CB$87,Formula!J7,13)&lt;&gt;"",INDEX(Properties!A$1:CB$87,Formula!J7,13)))</f>
        <v>16</v>
      </c>
      <c r="BA7" s="45">
        <f>MAX(INDEX(Properties!A$1:CB$87,Formula!B7,13),INDEX(Properties!A$1:CB$87,Formula!D7,13),INDEX(Properties!A$1:CB$87,Formula!F7,13),INDEX(Properties!A$1:CB$87,Formula!H7,13),INDEX(Properties!A$1:CB$87,Formula!J7,13))</f>
        <v>10</v>
      </c>
      <c r="BB7" s="45">
        <f>MIN(IF(Formula!B7=87,10^6,INDEX(Properties!A$1:CB$87,Formula!B7,13)),IF((Formula!D7)=87,10^6,INDEX(Properties!A$1:CB$87,Formula!D7,13)),IF((Formula!F7)=87,10^6,INDEX(Properties!A$1:CB$87,Formula!F7,13)),IF((Formula!H7)=87,10^6,INDEX(Properties!A$1:CB$87,Formula!H7,13)),IF(Formula!J7=87,10^6,INDEX(Properties!A$1:CB$87,Formula!J7,13)))</f>
        <v>0</v>
      </c>
      <c r="BC7" s="45">
        <f t="shared" si="8"/>
        <v>10</v>
      </c>
      <c r="BD7" s="63">
        <f>((Formula!C7)/(Formula!C7+Formula!E7+Formula!G7+Formula!I7+Formula!K7))*(INDEX(Properties!A$1:CB$87,Formula!B7,14))+((Formula!E7)/(Formula!C7+Formula!E7+Formula!G7+Formula!I7+Formula!K7))*(INDEX(Properties!A$1:CB$87,Formula!D7,14))+((Formula!G7)/(Formula!C7+Formula!E7+Formula!G7+Formula!I7+Formula!K7))*(INDEX(Properties!A$1:CB$87,Formula!F7,14))+((Formula!I7)/(Formula!C7+Formula!E7+Formula!G7+Formula!I7+Formula!K7))*(INDEX(Properties!A$1:CB$87,Formula!H7,14))+((Formula!K7)/(Formula!C7+Formula!E7+Formula!G7+Formula!I7+Formula!K7))*(INDEX(Properties!A$1:CB$87,Formula!J7,14))</f>
        <v>0</v>
      </c>
      <c r="BE7" s="63">
        <f>Formula!C7*(INDEX(Properties!A$1:CB$87,Formula!B7,14))+Formula!E7*(INDEX(Properties!A$1:CB$87,Formula!D7,14))+Formula!G7*(INDEX(Properties!A$1:CB$87,Formula!F7,14))+Formula!I7*(INDEX(Properties!A$1:CB$87,Formula!H7,14))+Formula!K7*(INDEX(Properties!A$1:CB$87,Formula!J7,14))</f>
        <v>0</v>
      </c>
      <c r="BF7" s="63">
        <f>VARP(IF(INDEX(Properties!A$1:CB$87,Formula!B7,14)&lt;&gt;"",INDEX(Properties!A$1:CB$87,Formula!B7,14)),IF(INDEX(Properties!A$1:CB$87,Formula!D7,14)&lt;&gt;"",INDEX(Properties!A$1:CB$87,Formula!D7,14)),IF(INDEX(Properties!A$1:CB$87,Formula!F7,14)&lt;&gt;"",INDEX(Properties!A$1:CB$87,Formula!F7,14)),IF(INDEX(Properties!A$1:CB$87,Formula!H7,14)&lt;&gt;"",INDEX(Properties!A$1:CB$87,Formula!H7,14)),IF(INDEX(Properties!A$1:CB$87,Formula!J7,14)&lt;&gt;"",INDEX(Properties!A$1:CB$87,Formula!J7,14)))</f>
        <v>0</v>
      </c>
      <c r="BG7" s="63">
        <f>MAX(INDEX(Properties!A$1:CB$87,Formula!B7,14),INDEX(Properties!A$1:CB$87,Formula!D7,14),INDEX(Properties!A$1:CB$87,Formula!F7,14),INDEX(Properties!A$1:CB$87,Formula!H7,14),INDEX(Properties!A$1:CB$87,Formula!J7,14))</f>
        <v>0</v>
      </c>
      <c r="BH7" s="63">
        <f>MIN(IF(Formula!B7=87,10^6,INDEX(Properties!A$1:CB$87,Formula!B7,14)),IF((Formula!D7)=87,10^6,INDEX(Properties!A$1:CB$87,Formula!D7,14)),IF((Formula!F7)=87,10^6,INDEX(Properties!A$1:CB$87,Formula!F7,14)),IF((Formula!H7)=87,10^6,INDEX(Properties!A$1:CB$87,Formula!H7,14)),IF(Formula!J7=87,10^6,INDEX(Properties!A$1:CB$87,Formula!J7,14)))</f>
        <v>0</v>
      </c>
      <c r="BI7" s="63">
        <f t="shared" si="9"/>
        <v>0</v>
      </c>
      <c r="BJ7" s="75">
        <f>((Formula!C7)/(Formula!C7+Formula!E7+Formula!G7+Formula!I7+Formula!K7))*(INDEX(Properties!A$1:CB$87,Formula!B7,19))+((Formula!E7)/(Formula!C7+Formula!E7+Formula!G7+Formula!I7+Formula!K7))*(INDEX(Properties!A$1:CB$87,Formula!D7,19))+((Formula!G7)/(Formula!C7+Formula!E7+Formula!G7+Formula!I7+Formula!K7))*(INDEX(Properties!A$1:CB$87,Formula!F7,19))+((Formula!I7)/(Formula!C7+Formula!E7+Formula!G7+Formula!I7+Formula!K7))*(INDEX(Properties!A$1:CB$87,Formula!H7,19))+((Formula!K7)/(Formula!C7+Formula!E7+Formula!G7+Formula!I7+Formula!K7))*(INDEX(Properties!A$1:CB$87,Formula!J7,19))</f>
        <v>8.6666666666666661</v>
      </c>
      <c r="BK7" s="75">
        <f>Formula!C7*(INDEX(Properties!A$1:CB$87,Formula!B7,19))+Formula!E7*(INDEX(Properties!A$1:CB$87,Formula!D7,19))+Formula!G7*(INDEX(Properties!A$1:CB$87,Formula!F7,19))+Formula!I7*(INDEX(Properties!A$1:CB$87,Formula!H7,19))+Formula!K7*(INDEX(Properties!A$1:CB$87,Formula!J7,19))</f>
        <v>26</v>
      </c>
      <c r="BL7" s="75">
        <f>VARP(IF(INDEX(Properties!A$1:CB$87,Formula!B7,19)&lt;&gt;"",INDEX(Properties!A$1:CB$87,Formula!B7,19)),IF(INDEX(Properties!A$1:CB$87,Formula!D7,19)&lt;&gt;"",INDEX(Properties!A$1:CB$87,Formula!D7,19)),IF(INDEX(Properties!A$1:CB$87,Formula!F7,19)&lt;&gt;"",INDEX(Properties!A$1:CB$87,Formula!F7,19)),IF(INDEX(Properties!A$1:CB$87,Formula!H7,19)&lt;&gt;"",INDEX(Properties!A$1:CB$87,Formula!H7,19)),IF(INDEX(Properties!A$1:CB$87,Formula!J7,19)&lt;&gt;"",INDEX(Properties!A$1:CB$87,Formula!J7,19)))</f>
        <v>30.4</v>
      </c>
      <c r="BM7" s="75">
        <f>MAX(INDEX(Properties!A$1:CB$87,Formula!B7,19),INDEX(Properties!A$1:CB$87,Formula!D7,19),INDEX(Properties!A$1:CB$87,Formula!F7,19),INDEX(Properties!A$1:CB$87,Formula!H7,19),INDEX(Properties!A$1:CB$87,Formula!J7,19))</f>
        <v>14</v>
      </c>
      <c r="BN7" s="75">
        <f>MIN(IF(INDEX(Properties!A$1:CB$87,Formula!B7,19)=0,10^6,INDEX(Properties!A$1:CB$87,Formula!B7,19)),IF(INDEX(Properties!A$1:CB$87,Formula!D7,19)=0,10^6,INDEX(Properties!A$1:CB$87,Formula!D7,19)),IF(INDEX(Properties!A$1:CB$87,Formula!F7,19)=0,10^6,INDEX(Properties!A$1:CB$87,Formula!F7,19)),IF(INDEX(Properties!A$1:CB$87,Formula!H7,19)=0,10^6,INDEX(Properties!A$1:CB$87,Formula!H7,19)),IF(INDEX(Properties!A$1:CB$87,Formula!J7,19)=0,10^6,INDEX(Properties!A$1:CB$87,Formula!J7,19)))</f>
        <v>6</v>
      </c>
      <c r="BO7" s="75">
        <f t="shared" si="10"/>
        <v>8</v>
      </c>
      <c r="BP7" s="48">
        <f>((Formula!C7)/(Formula!C7+Formula!E7+Formula!G7+Formula!I7+Formula!K7))*(INDEX(Properties!A$1:CB$87,Formula!B7,20))+((Formula!E7)/(Formula!C7+Formula!E7+Formula!G7+Formula!I7+Formula!K7))*(INDEX(Properties!A$1:CB$87,Formula!D7,20))+((Formula!G7)/(Formula!C7+Formula!E7+Formula!G7+Formula!I7+Formula!K7))*(INDEX(Properties!A$1:CB$87,Formula!F7,20))+((Formula!I7)/(Formula!C7+Formula!E7+Formula!G7+Formula!I7+Formula!K7))*(INDEX(Properties!A$1:CB$87,Formula!H7,20))+((Formula!K7)/(Formula!C7+Formula!E7+Formula!G7+Formula!I7+Formula!K7))*(INDEX(Properties!A$1:CB$87,Formula!J7,20))</f>
        <v>5.333333333333333</v>
      </c>
      <c r="BQ7" s="48">
        <f>Formula!C7*(INDEX(Properties!A$1:CB$87,Formula!B7,20))+Formula!E7*(INDEX(Properties!A$1:CB$87,Formula!D7,20))+Formula!G7*(INDEX(Properties!A$1:CB$87,Formula!F7,20))+Formula!I7*(INDEX(Properties!A$1:CB$87,Formula!H7,20))+Formula!K7*(INDEX(Properties!A$1:CB$87,Formula!J7,20))</f>
        <v>16</v>
      </c>
      <c r="BR7" s="48">
        <f>VARP(IF(INDEX(Properties!A$1:CB$87,Formula!B7,20)&lt;&gt;"",INDEX(Properties!A$1:CB$87,Formula!B7,20)),IF(INDEX(Properties!A$1:CB$87,Formula!D7,20)&lt;&gt;"",INDEX(Properties!A$1:CB$87,Formula!D7,20)),IF(INDEX(Properties!A$1:CB$87,Formula!F7,20)&lt;&gt;"",INDEX(Properties!A$1:CB$87,Formula!F7,20)),IF(INDEX(Properties!A$1:CB$87,Formula!H7,20)&lt;&gt;"",INDEX(Properties!A$1:CB$87,Formula!H7,20)),IF(INDEX(Properties!A$1:CB$87,Formula!J7,20)&lt;&gt;"",INDEX(Properties!A$1:CB$87,Formula!J7,20)))</f>
        <v>6.4</v>
      </c>
      <c r="BS7" s="48">
        <f>MAX(INDEX(Properties!A$1:CB$87,Formula!B7,20),INDEX(Properties!A$1:CB$87,Formula!D7,20),INDEX(Properties!A$1:CB$87,Formula!F7,20),INDEX(Properties!A$1:CB$87,Formula!H7,20),INDEX(Properties!A$1:CB$87,Formula!J7,20))</f>
        <v>6</v>
      </c>
      <c r="BT7" s="48">
        <f>MIN(IF(INDEX(Properties!A$1:CB$87,Formula!B7,20)=0,10^6,INDEX(Properties!A$1:CB$87,Formula!B7,20)),IF(INDEX(Properties!A$1:CB$87,Formula!D7,20)=0,10^6,INDEX(Properties!A$1:CB$87,Formula!D7,20)),IF(INDEX(Properties!A$1:CB$87,Formula!F7,20)=0,10^6,INDEX(Properties!A$1:CB$87,Formula!F7,20)),IF(INDEX(Properties!A$1:CB$87,Formula!H7,20)=0,10^6,INDEX(Properties!A$1:CB$87,Formula!H7,20)),IF(INDEX(Properties!A$1:CB$87,Formula!J7,20)=0,10^6,INDEX(Properties!A$1:CB$87,Formula!J7,20)))</f>
        <v>4</v>
      </c>
      <c r="BU7" s="48">
        <f t="shared" si="11"/>
        <v>2</v>
      </c>
      <c r="BV7" s="66">
        <f>((Formula!C7)/(Formula!C7+Formula!E7+Formula!G7+Formula!I7+Formula!K7))*(INDEX(Properties!A$1:CB$87,Formula!B7,21))+((Formula!E7)/(Formula!C7+Formula!E7+Formula!G7+Formula!I7+Formula!K7))*(INDEX(Properties!A$1:CB$87,Formula!D7,21))+((Formula!G7)/(Formula!C7+Formula!E7+Formula!G7+Formula!I7+Formula!K7))*(INDEX(Properties!A$1:CB$87,Formula!F7,21))+((Formula!I7)/(Formula!C7+Formula!E7+Formula!G7+Formula!I7+Formula!K7))*(INDEX(Properties!A$1:CB$87,Formula!H7,21))+((Formula!K7)/(Formula!C7+Formula!E7+Formula!G7+Formula!I7+Formula!K7))*(INDEX(Properties!A$1:CB$87,Formula!J7,21))</f>
        <v>5.333333333333333</v>
      </c>
      <c r="BW7" s="66">
        <f>Formula!C7*(INDEX(Properties!A$1:CB$87,Formula!B7,21))+Formula!E7*(INDEX(Properties!A$1:CB$87,Formula!D7,21))+Formula!G7*(INDEX(Properties!A$1:CB$87,Formula!F7,21))+Formula!I7*(INDEX(Properties!A$1:CB$87,Formula!H7,21))+Formula!K7*(INDEX(Properties!A$1:CB$87,Formula!J7,21))</f>
        <v>16</v>
      </c>
      <c r="BX7" s="66">
        <f>VARP(IF(INDEX(Properties!A$1:CB$87,Formula!B7,21)&lt;&gt;"",INDEX(Properties!A$1:CB$87,Formula!B7,21)),IF(INDEX(Properties!A$1:CB$87,Formula!D7,21)&lt;&gt;"",INDEX(Properties!A$1:CB$87,Formula!D7,21)),IF(INDEX(Properties!A$1:CB$87,Formula!F7,21)&lt;&gt;"",INDEX(Properties!A$1:CB$87,Formula!F7,21)),IF(INDEX(Properties!A$1:CB$87,Formula!H7,21)&lt;&gt;"",INDEX(Properties!A$1:CB$87,Formula!H7,21)),IF(INDEX(Properties!A$1:CB$87,Formula!J7,21)&lt;&gt;"",INDEX(Properties!A$1:CB$87,Formula!J7,21)))</f>
        <v>6.4</v>
      </c>
      <c r="BY7" s="66">
        <f>MAX(INDEX(Properties!A$1:CB$87,Formula!B7,21),INDEX(Properties!A$1:CB$87,Formula!D7,21),INDEX(Properties!A$1:CB$87,Formula!F7,21),INDEX(Properties!A$1:CB$87,Formula!H7,21),INDEX(Properties!A$1:CB$87,Formula!J7,21))</f>
        <v>6</v>
      </c>
      <c r="BZ7" s="66">
        <f>MIN(IF(INDEX(Properties!A$1:CB$87,Formula!B7,21)=0,10^6,INDEX(Properties!A$1:CB$87,Formula!B7,21)),IF(INDEX(Properties!A$1:CB$87,Formula!D7,21)=0,10^6,INDEX(Properties!A$1:CB$87,Formula!D7,21)),IF(INDEX(Properties!A$1:CB$87,Formula!F7,21)=0,10^6,INDEX(Properties!A$1:CB$87,Formula!F7,21)),IF(INDEX(Properties!A$1:CB$87,Formula!H7,21)=0,10^6,INDEX(Properties!A$1:CB$87,Formula!H7,21)),IF(INDEX(Properties!A$1:CB$87,Formula!J7,21)=0,10^6,INDEX(Properties!A$1:CB$87,Formula!J7,21)))</f>
        <v>4</v>
      </c>
      <c r="CA7" s="66">
        <f t="shared" si="12"/>
        <v>2</v>
      </c>
      <c r="CB7" s="81">
        <f>((Formula!C7)/(Formula!C7+Formula!E7+Formula!G7+Formula!I7+Formula!K7))*(INDEX(Properties!A$1:CB$87,Formula!B7,23))+((Formula!E7)/(Formula!C7+Formula!E7+Formula!G7+Formula!I7+Formula!K7))*(INDEX(Properties!A$1:CB$87,Formula!D7,23))+((Formula!G7)/(Formula!C7+Formula!E7+Formula!G7+Formula!I7+Formula!K7))*(INDEX(Properties!A$1:CB$87,Formula!F7,23))+((Formula!I7)/(Formula!C7+Formula!E7+Formula!G7+Formula!I7+Formula!K7))*(INDEX(Properties!A$1:CB$87,Formula!H7,23))+((Formula!K7)/(Formula!C7+Formula!E7+Formula!G7+Formula!I7+Formula!K7))*(INDEX(Properties!A$1:CB$87,Formula!J7,23))</f>
        <v>1.3333333333333333</v>
      </c>
      <c r="CC7" s="81">
        <f>Formula!C7*(INDEX(Properties!A$1:CB$87,Formula!B7,23))+Formula!E7*(INDEX(Properties!A$1:CB$87,Formula!D7,23))+Formula!G7*(INDEX(Properties!A$1:CB$87,Formula!F7,23))+Formula!I7*(INDEX(Properties!A$1:CB$87,Formula!H7,23))+Formula!K7*(INDEX(Properties!A$1:CB$87,Formula!J7,23))</f>
        <v>4</v>
      </c>
      <c r="CD7" s="81">
        <f>VARP(IF(INDEX(Properties!A$1:CB$87,Formula!B7,23)&lt;&gt;"",INDEX(Properties!A$1:CB$87,Formula!B7,23)),IF(INDEX(Properties!A$1:CB$87,Formula!D7,23)&lt;&gt;"",INDEX(Properties!A$1:CB$87,Formula!D7,23)),IF(INDEX(Properties!A$1:CB$87,Formula!F7,23)&lt;&gt;"",INDEX(Properties!A$1:CB$87,Formula!F7,23)),IF(INDEX(Properties!A$1:CB$87,Formula!H7,23)&lt;&gt;"",INDEX(Properties!A$1:CB$87,Formula!H7,23)),IF(INDEX(Properties!A$1:CB$87,Formula!J7,23)&lt;&gt;"",INDEX(Properties!A$1:CB$87,Formula!J7,23)))</f>
        <v>2.56</v>
      </c>
      <c r="CE7" s="81">
        <f>MAX(INDEX(Properties!A$1:CB$87,Formula!B7,23),INDEX(Properties!A$1:CB$87,Formula!D7,23),INDEX(Properties!A$1:CB$87,Formula!F7,23),INDEX(Properties!A$1:CB$87,Formula!H7,23),INDEX(Properties!A$1:CB$87,Formula!J7,23))</f>
        <v>4</v>
      </c>
      <c r="CF7" s="81">
        <f>MIN(IF(Formula!B7=87,10^6,INDEX(Properties!A$1:CB$87,Formula!B7,23)),IF((Formula!D7)=87,10^6,INDEX(Properties!A$1:CB$87,Formula!D7,23)),IF((Formula!F7)=87,10^6,INDEX(Properties!A$1:CB$87,Formula!F7,23)),IF((Formula!H7)=87,10^6,INDEX(Properties!A$1:CB$87,Formula!H7,23)),IF(Formula!J7=87,10^6,INDEX(Properties!A$1:CB$87,Formula!J7,23)))</f>
        <v>0</v>
      </c>
      <c r="CG7" s="81">
        <f t="shared" si="13"/>
        <v>4</v>
      </c>
      <c r="CH7" s="39">
        <f>((Formula!C7)/(Formula!C7+Formula!E7+Formula!G7+Formula!I7+Formula!K7))*(INDEX(Properties!A$1:CB$87,Formula!B7,26))+((Formula!E7)/(Formula!C7+Formula!E7+Formula!G7+Formula!I7+Formula!K7))*(INDEX(Properties!A$1:CB$87,Formula!D7,26))+((Formula!G7)/(Formula!C7+Formula!E7+Formula!G7+Formula!I7+Formula!K7))*(INDEX(Properties!A$1:CB$87,Formula!F7,26))+((Formula!I7)/(Formula!C7+Formula!E7+Formula!G7+Formula!I7+Formula!K7))*(INDEX(Properties!A$1:CB$87,Formula!H7,26))+((Formula!K7)/(Formula!C7+Formula!E7+Formula!G7+Formula!I7+Formula!K7))*(INDEX(Properties!A$1:CB$87,Formula!J7,26))</f>
        <v>11.526699999999998</v>
      </c>
      <c r="CI7" s="39">
        <f>Formula!C7*(INDEX(Properties!A$1:CB$87,Formula!B7,26))+Formula!E7*(INDEX(Properties!A$1:CB$87,Formula!D7,26))+Formula!G7*(INDEX(Properties!A$1:CB$87,Formula!F7,26))+Formula!I7*(INDEX(Properties!A$1:CB$87,Formula!H7,26))+Formula!K7*(INDEX(Properties!A$1:CB$87,Formula!J7,26))</f>
        <v>34.580100000000002</v>
      </c>
      <c r="CJ7" s="39">
        <f>VARP(IF(INDEX(Properties!A$1:CB$87,Formula!B7,26)&lt;&gt;"",INDEX(Properties!A$1:CB$87,Formula!B7,26)),IF(INDEX(Properties!A$1:CB$87,Formula!D7,26)&lt;&gt;"",INDEX(Properties!A$1:CB$87,Formula!D7,26)),IF(INDEX(Properties!A$1:CB$87,Formula!F7,26)&lt;&gt;"",INDEX(Properties!A$1:CB$87,Formula!F7,26)),IF(INDEX(Properties!A$1:CB$87,Formula!H7,26)&lt;&gt;"",INDEX(Properties!A$1:CB$87,Formula!H7,26)),IF(INDEX(Properties!A$1:CB$87,Formula!J7,26)&lt;&gt;"",INDEX(Properties!A$1:CB$87,Formula!J7,26)))</f>
        <v>30.300885204000007</v>
      </c>
      <c r="CK7" s="39">
        <f>MAX(INDEX(Properties!A$1:CB$87,Formula!B7,26),INDEX(Properties!A$1:CB$87,Formula!D7,26),INDEX(Properties!A$1:CB$87,Formula!F7,26),INDEX(Properties!A$1:CB$87,Formula!H7,26),INDEX(Properties!A$1:CB$87,Formula!J7,26))</f>
        <v>13.6181</v>
      </c>
      <c r="CL7" s="39">
        <f>MIN(IF(INDEX(Properties!A$1:CB$87,Formula!B7,26)=0,10^6,INDEX(Properties!A$1:CB$87,Formula!B7,26)),IF(INDEX(Properties!A$1:CB$87,Formula!D7,26)=0,10^6,INDEX(Properties!A$1:CB$87,Formula!D7,26)),IF(INDEX(Properties!A$1:CB$87,Formula!F7,26)=0,10^6,INDEX(Properties!A$1:CB$87,Formula!F7,26)),IF(INDEX(Properties!A$1:CB$87,Formula!H7,26)=0,10^6,INDEX(Properties!A$1:CB$87,Formula!H7,26)),IF(INDEX(Properties!A$1:CB$87,Formula!J7,26)=0,10^6,INDEX(Properties!A$1:CB$87,Formula!J7,26)))</f>
        <v>7.3438999999999997</v>
      </c>
      <c r="CM7" s="39">
        <f t="shared" si="14"/>
        <v>6.2742000000000004</v>
      </c>
      <c r="CN7" s="54">
        <f>((Formula!C7)/(Formula!C7+Formula!E7+Formula!G7+Formula!I7+Formula!K7))*(INDEX(Properties!A$1:CB$87,Formula!B7,30))+((Formula!E7)/(Formula!C7+Formula!E7+Formula!G7+Formula!I7+Formula!K7))*(INDEX(Properties!A$1:CB$87,Formula!D7,30))+((Formula!G7)/(Formula!C7+Formula!E7+Formula!G7+Formula!I7+Formula!K7))*(INDEX(Properties!A$1:CB$87,Formula!F7,30))+((Formula!I7)/(Formula!C7+Formula!E7+Formula!G7+Formula!I7+Formula!K7))*(INDEX(Properties!A$1:CB$87,Formula!H7,30))+((Formula!K7)/(Formula!C7+Formula!E7+Formula!G7+Formula!I7+Formula!K7))*(INDEX(Properties!A$1:CB$87,Formula!J7,30))</f>
        <v>2.9466666666666663</v>
      </c>
      <c r="CO7" s="54">
        <f>Formula!C7*(INDEX(Properties!A$1:CB$87,Formula!B7,30))+Formula!E7*(INDEX(Properties!A$1:CB$87,Formula!D7,30))+Formula!G7*(INDEX(Properties!A$1:CB$87,Formula!F7,30))+Formula!I7*(INDEX(Properties!A$1:CB$87,Formula!H7,30))+Formula!K7*(INDEX(Properties!A$1:CB$87,Formula!J7,30))</f>
        <v>8.84</v>
      </c>
      <c r="CP7" s="54">
        <f>VARP(IF(INDEX(Properties!A$1:CB$87,Formula!B7,30)&lt;&gt;"",INDEX(Properties!A$1:CB$87,Formula!B7,30)),IF(INDEX(Properties!A$1:CB$87,Formula!D7,30)&lt;&gt;"",INDEX(Properties!A$1:CB$87,Formula!D7,30)),IF(INDEX(Properties!A$1:CB$87,Formula!F7,30)&lt;&gt;"",INDEX(Properties!A$1:CB$87,Formula!F7,30)),IF(INDEX(Properties!A$1:CB$87,Formula!H7,30)&lt;&gt;"",INDEX(Properties!A$1:CB$87,Formula!H7,30)),IF(INDEX(Properties!A$1:CB$87,Formula!J7,30)&lt;&gt;"",INDEX(Properties!A$1:CB$87,Formula!J7,30)))</f>
        <v>1.9686399999999995</v>
      </c>
      <c r="CQ7" s="54">
        <f>MAX(INDEX(Properties!A$1:CB$87,Formula!B7,30),INDEX(Properties!A$1:CB$87,Formula!D7,30),INDEX(Properties!A$1:CB$87,Formula!F7,30),INDEX(Properties!A$1:CB$87,Formula!H7,30),INDEX(Properties!A$1:CB$87,Formula!J7,30))</f>
        <v>3.44</v>
      </c>
      <c r="CR7" s="54">
        <f>MIN(IF(INDEX(Properties!A$1:CB$87,Formula!B7,30)=0,10^6,INDEX(Properties!A$1:CB$87,Formula!B7,30)),IF(INDEX(Properties!A$1:CB$87,Formula!D7,30)=0,10^6,INDEX(Properties!A$1:CB$87,Formula!D7,30)),IF(INDEX(Properties!A$1:CB$87,Formula!F7,30)=0,10^6,INDEX(Properties!A$1:CB$87,Formula!F7,30)),IF(INDEX(Properties!A$1:CB$87,Formula!H7,30)=0,10^6,INDEX(Properties!A$1:CB$87,Formula!H7,30)),IF(INDEX(Properties!A$1:CB$87,Formula!J7,30)=0,10^6,INDEX(Properties!A$1:CB$87,Formula!J7,30)))</f>
        <v>1.96</v>
      </c>
      <c r="CS7" s="54">
        <f t="shared" si="15"/>
        <v>1.48</v>
      </c>
      <c r="CT7" s="69">
        <f>((Formula!C7)/(Formula!C7+Formula!E7+Formula!G7+Formula!I7+Formula!K7))*(INDEX(Properties!A$1:CB$87,Formula!B7,31))+((Formula!E7)/(Formula!C7+Formula!E7+Formula!G7+Formula!I7+Formula!K7))*(INDEX(Properties!A$1:CB$87,Formula!D7,31))+((Formula!G7)/(Formula!C7+Formula!E7+Formula!G7+Formula!I7+Formula!K7))*(INDEX(Properties!A$1:CB$87,Formula!F7,31))+((Formula!I7)/(Formula!C7+Formula!E7+Formula!G7+Formula!I7+Formula!K7))*(INDEX(Properties!A$1:CB$87,Formula!H7,31))+((Formula!K7)/(Formula!C7+Formula!E7+Formula!G7+Formula!I7+Formula!K7))*(INDEX(Properties!A$1:CB$87,Formula!J7,31))</f>
        <v>2.8399999999999994</v>
      </c>
      <c r="CU7" s="69">
        <f>Formula!C7*(INDEX(Properties!A$1:CB$87,Formula!B7,31))+Formula!E7*(INDEX(Properties!A$1:CB$87,Formula!D7,31))+Formula!G7*(INDEX(Properties!A$1:CB$87,Formula!F7,31))+Formula!I7*(INDEX(Properties!A$1:CB$87,Formula!H7,31))+Formula!K7*(INDEX(Properties!A$1:CB$87,Formula!J7,31))</f>
        <v>8.52</v>
      </c>
      <c r="CV7" s="69">
        <f>VARP(IF(INDEX(Properties!A$1:CB$87,Formula!B7,31)&lt;&gt;"",INDEX(Properties!A$1:CB$87,Formula!B7,31)),IF(INDEX(Properties!A$1:CB$87,Formula!D7,31)&lt;&gt;"",INDEX(Properties!A$1:CB$87,Formula!D7,31)),IF(INDEX(Properties!A$1:CB$87,Formula!F7,31)&lt;&gt;"",INDEX(Properties!A$1:CB$87,Formula!F7,31)),IF(INDEX(Properties!A$1:CB$87,Formula!H7,31)&lt;&gt;"",INDEX(Properties!A$1:CB$87,Formula!H7,31)),IF(INDEX(Properties!A$1:CB$87,Formula!J7,31)&lt;&gt;"",INDEX(Properties!A$1:CB$87,Formula!J7,31)))</f>
        <v>1.8297600000000001</v>
      </c>
      <c r="CW7" s="69">
        <f>MAX(INDEX(Properties!A$1:CB$87,Formula!B7,31),INDEX(Properties!A$1:CB$87,Formula!D7,31),INDEX(Properties!A$1:CB$87,Formula!F7,31),INDEX(Properties!A$1:CB$87,Formula!H7,31),INDEX(Properties!A$1:CB$87,Formula!J7,31))</f>
        <v>3.32</v>
      </c>
      <c r="CX7" s="69">
        <f>MIN(IF(INDEX(Properties!A$1:CB$87,Formula!B7,31)=0,10^6,INDEX(Properties!A$1:CB$87,Formula!B7,31)),IF(INDEX(Properties!A$1:CB$87,Formula!D7,31)=0,10^6,INDEX(Properties!A$1:CB$87,Formula!D7,31)),IF(INDEX(Properties!A$1:CB$87,Formula!F7,31)=0,10^6,INDEX(Properties!A$1:CB$87,Formula!F7,31)),IF(INDEX(Properties!A$1:CB$87,Formula!H7,31)=0,10^6,INDEX(Properties!A$1:CB$87,Formula!H7,31)),IF(INDEX(Properties!A$1:CB$87,Formula!J7,31)=0,10^6,INDEX(Properties!A$1:CB$87,Formula!J7,31)))</f>
        <v>1.88</v>
      </c>
      <c r="CY7" s="69">
        <f t="shared" si="16"/>
        <v>1.44</v>
      </c>
      <c r="CZ7" s="42">
        <f>((Formula!C7)/(Formula!C7+Formula!E7+Formula!G7+Formula!I7+Formula!K7))*(INDEX(Properties!A$1:CB$87,Formula!B7,32))+((Formula!E7)/(Formula!C7+Formula!E7+Formula!G7+Formula!I7+Formula!K7))*(INDEX(Properties!A$1:CB$87,Formula!D7,32))+((Formula!G7)/(Formula!C7+Formula!E7+Formula!G7+Formula!I7+Formula!K7))*(INDEX(Properties!A$1:CB$87,Formula!F7,32))+((Formula!I7)/(Formula!C7+Formula!E7+Formula!G7+Formula!I7+Formula!K7))*(INDEX(Properties!A$1:CB$87,Formula!H7,32))+((Formula!K7)/(Formula!C7+Formula!E7+Formula!G7+Formula!I7+Formula!K7))*(INDEX(Properties!A$1:CB$87,Formula!J7,32))</f>
        <v>6.4599999999999991</v>
      </c>
      <c r="DA7" s="42">
        <f>Formula!C7*(INDEX(Properties!A$1:CB$87,Formula!B7,32))+Formula!E7*(INDEX(Properties!A$1:CB$87,Formula!D7,32))+Formula!G7*(INDEX(Properties!A$1:CB$87,Formula!F7,32))+Formula!I7*(INDEX(Properties!A$1:CB$87,Formula!H7,32))+Formula!K7*(INDEX(Properties!A$1:CB$87,Formula!J7,32))</f>
        <v>19.38</v>
      </c>
      <c r="DB7" s="42">
        <f>VARP(IF(INDEX(Properties!A$1:CB$87,Formula!B7,32)&lt;&gt;"",INDEX(Properties!A$1:CB$87,Formula!B7,32)),IF(INDEX(Properties!A$1:CB$87,Formula!D7,32)&lt;&gt;"",INDEX(Properties!A$1:CB$87,Formula!D7,32)),IF(INDEX(Properties!A$1:CB$87,Formula!F7,32)&lt;&gt;"",INDEX(Properties!A$1:CB$87,Formula!F7,32)),IF(INDEX(Properties!A$1:CB$87,Formula!H7,32)&lt;&gt;"",INDEX(Properties!A$1:CB$87,Formula!H7,32)),IF(INDEX(Properties!A$1:CB$87,Formula!J7,32)&lt;&gt;"",INDEX(Properties!A$1:CB$87,Formula!J7,32)))</f>
        <v>9.4608959999999982</v>
      </c>
      <c r="DC7" s="42">
        <f>MAX(INDEX(Properties!A$1:CB$87,Formula!B7,32),INDEX(Properties!A$1:CB$87,Formula!D7,32),INDEX(Properties!A$1:CB$87,Formula!F7,32),INDEX(Properties!A$1:CB$87,Formula!H7,32),INDEX(Properties!A$1:CB$87,Formula!J7,32))</f>
        <v>7.54</v>
      </c>
      <c r="DD7" s="42">
        <f>MIN(IF(INDEX(Properties!A$1:CB$87,Formula!B7,32)=0,10^6,INDEX(Properties!A$1:CB$87,Formula!B7,32)),IF(INDEX(Properties!A$1:CB$87,Formula!D7,32)=0,10^6,INDEX(Properties!A$1:CB$87,Formula!D7,32)),IF(INDEX(Properties!A$1:CB$87,Formula!F7,32)=0,10^6,INDEX(Properties!A$1:CB$87,Formula!F7,32)),IF(INDEX(Properties!A$1:CB$87,Formula!H7,32)=0,10^6,INDEX(Properties!A$1:CB$87,Formula!H7,32)),IF(INDEX(Properties!A$1:CB$87,Formula!J7,32)=0,10^6,INDEX(Properties!A$1:CB$87,Formula!J7,32)))</f>
        <v>4.3</v>
      </c>
      <c r="DE7" s="42">
        <f t="shared" si="17"/>
        <v>3.24</v>
      </c>
      <c r="DF7" s="60">
        <f>((Formula!C7)/(Formula!C7+Formula!E7+Formula!G7+Formula!I7+Formula!K7))*(INDEX(Properties!A$1:CB$87,Formula!B7,34))+((Formula!E7)/(Formula!C7+Formula!E7+Formula!G7+Formula!I7+Formula!K7))*(INDEX(Properties!A$1:CB$87,Formula!D7,34))+((Formula!G7)/(Formula!C7+Formula!E7+Formula!G7+Formula!I7+Formula!K7))*(INDEX(Properties!A$1:CB$87,Formula!F7,34))+((Formula!I7)/(Formula!C7+Formula!E7+Formula!G7+Formula!I7+Formula!K7))*(INDEX(Properties!A$1:CB$87,Formula!H7,34))+((Formula!K7)/(Formula!C7+Formula!E7+Formula!G7+Formula!I7+Formula!K7))*(INDEX(Properties!A$1:CB$87,Formula!J7,34))</f>
        <v>3.0146666666666664</v>
      </c>
      <c r="DG7" s="60">
        <f>Formula!C7*(INDEX(Properties!A$1:CB$87,Formula!B7,34))+Formula!E7*(INDEX(Properties!A$1:CB$87,Formula!D7,34))+Formula!G7*(INDEX(Properties!A$1:CB$87,Formula!F7,34))+Formula!I7*(INDEX(Properties!A$1:CB$87,Formula!H7,34))+Formula!K7*(INDEX(Properties!A$1:CB$87,Formula!J7,34))</f>
        <v>9.0440000000000005</v>
      </c>
      <c r="DH7" s="60">
        <f>VARP(IF(INDEX(Properties!A$1:CB$87,Formula!B7,34)&lt;&gt;"",INDEX(Properties!A$1:CB$87,Formula!B7,34)),IF(INDEX(Properties!A$1:CB$87,Formula!D7,34)&lt;&gt;"",INDEX(Properties!A$1:CB$87,Formula!D7,34)),IF(INDEX(Properties!A$1:CB$87,Formula!F7,34)&lt;&gt;"",INDEX(Properties!A$1:CB$87,Formula!F7,34)),IF(INDEX(Properties!A$1:CB$87,Formula!H7,34)&lt;&gt;"",INDEX(Properties!A$1:CB$87,Formula!H7,34)),IF(INDEX(Properties!A$1:CB$87,Formula!J7,34)&lt;&gt;"",INDEX(Properties!A$1:CB$87,Formula!J7,34)))</f>
        <v>2.0906809600000003</v>
      </c>
      <c r="DI7" s="60">
        <f>MAX(INDEX(Properties!A$1:CB$87,Formula!B7,34),INDEX(Properties!A$1:CB$87,Formula!D7,34),INDEX(Properties!A$1:CB$87,Formula!F7,34),INDEX(Properties!A$1:CB$87,Formula!H7,34),INDEX(Properties!A$1:CB$87,Formula!J7,34))</f>
        <v>3.61</v>
      </c>
      <c r="DJ7" s="60">
        <f>MIN(IF(INDEX(Properties!A$1:CB$87,Formula!B7,34)=0,10^6,INDEX(Properties!A$1:CB$87,Formula!B7,34)),IF(INDEX(Properties!A$1:CB$87,Formula!D7,34)=0,10^6,INDEX(Properties!A$1:CB$87,Formula!D7,34)),IF(INDEX(Properties!A$1:CB$87,Formula!F7,34)=0,10^6,INDEX(Properties!A$1:CB$87,Formula!F7,34)),IF(INDEX(Properties!A$1:CB$87,Formula!H7,34)=0,10^6,INDEX(Properties!A$1:CB$87,Formula!H7,34)),IF(INDEX(Properties!A$1:CB$87,Formula!J7,34)=0,10^6,INDEX(Properties!A$1:CB$87,Formula!J7,34)))</f>
        <v>1.8240000000000001</v>
      </c>
      <c r="DK7" s="60">
        <f t="shared" si="18"/>
        <v>1.7859999999999998</v>
      </c>
      <c r="DL7" s="45">
        <f>((Formula!C7)/(Formula!C7+Formula!E7+Formula!G7+Formula!I7+Formula!K7))*(INDEX(Properties!A$1:CB$87,Formula!B7,39))+((Formula!E7)/(Formula!C7+Formula!E7+Formula!G7+Formula!I7+Formula!K7))*(INDEX(Properties!A$1:CB$87,Formula!D7,39))+((Formula!G7)/(Formula!C7+Formula!E7+Formula!G7+Formula!I7+Formula!K7))*(INDEX(Properties!A$1:CB$87,Formula!F7,39))+((Formula!I7)/(Formula!C7+Formula!E7+Formula!G7+Formula!I7+Formula!K7))*(INDEX(Properties!A$1:CB$87,Formula!H7,39))+((Formula!K7)/(Formula!C7+Formula!E7+Formula!G7+Formula!I7+Formula!K7))*(INDEX(Properties!A$1:CB$87,Formula!J7,39))</f>
        <v>0.80333333333333323</v>
      </c>
      <c r="DM7" s="45">
        <f>Formula!C7*(INDEX(Properties!A$1:CB$87,Formula!B7,39))+Formula!E7*(INDEX(Properties!A$1:CB$87,Formula!D7,39))+Formula!G7*(INDEX(Properties!A$1:CB$87,Formula!F7,39))+Formula!I7*(INDEX(Properties!A$1:CB$87,Formula!H7,39))+Formula!K7*(INDEX(Properties!A$1:CB$87,Formula!J7,39))</f>
        <v>2.41</v>
      </c>
      <c r="DN7" s="45">
        <f>VARP(IF(INDEX(Properties!A$1:CB$87,Formula!B7,39)&lt;&gt;"",INDEX(Properties!A$1:CB$87,Formula!B7,39)),IF(INDEX(Properties!A$1:CB$87,Formula!D7,39)&lt;&gt;"",INDEX(Properties!A$1:CB$87,Formula!D7,39)),IF(INDEX(Properties!A$1:CB$87,Formula!F7,39)&lt;&gt;"",INDEX(Properties!A$1:CB$87,Formula!F7,39)),IF(INDEX(Properties!A$1:CB$87,Formula!H7,39)&lt;&gt;"",INDEX(Properties!A$1:CB$87,Formula!H7,39)),IF(INDEX(Properties!A$1:CB$87,Formula!J7,39)&lt;&gt;"",INDEX(Properties!A$1:CB$87,Formula!J7,39)))</f>
        <v>0.31758400000000003</v>
      </c>
      <c r="DO7" s="45">
        <f>MAX(INDEX(Properties!A$1:CB$87,Formula!B7,39),INDEX(Properties!A$1:CB$87,Formula!D7,39),INDEX(Properties!A$1:CB$87,Formula!F7,39),INDEX(Properties!A$1:CB$87,Formula!H7,39),INDEX(Properties!A$1:CB$87,Formula!J7,39))</f>
        <v>1.45</v>
      </c>
      <c r="DP7" s="45">
        <f>MIN(IF(INDEX(Properties!A$1:CB$87,Formula!B7,39)=0,10^6,INDEX(Properties!A$1:CB$87,Formula!B7,39)),IF(INDEX(Properties!A$1:CB$87,Formula!D7,39)=0,10^6,INDEX(Properties!A$1:CB$87,Formula!D7,39)),IF(INDEX(Properties!A$1:CB$87,Formula!F7,39)=0,10^6,INDEX(Properties!A$1:CB$87,Formula!F7,39)),IF(INDEX(Properties!A$1:CB$87,Formula!H7,39)=0,10^6,INDEX(Properties!A$1:CB$87,Formula!H7,39)),IF(INDEX(Properties!A$1:CB$87,Formula!J7,39)=0,10^6,INDEX(Properties!A$1:CB$87,Formula!J7,39)))</f>
        <v>0.48</v>
      </c>
      <c r="DQ7" s="45">
        <f t="shared" si="19"/>
        <v>0.97</v>
      </c>
      <c r="DR7" s="63">
        <f>((Formula!C7)/(Formula!C7+Formula!E7+Formula!G7+Formula!I7+Formula!K7))*(INDEX(Properties!A$1:CB$87,Formula!B7,40))+((Formula!E7)/(Formula!C7+Formula!E7+Formula!G7+Formula!I7+Formula!K7))*(INDEX(Properties!A$1:CB$87,Formula!D7,40))+((Formula!G7)/(Formula!C7+Formula!E7+Formula!G7+Formula!I7+Formula!K7))*(INDEX(Properties!A$1:CB$87,Formula!F7,40))+((Formula!I7)/(Formula!C7+Formula!E7+Formula!G7+Formula!I7+Formula!K7))*(INDEX(Properties!A$1:CB$87,Formula!H7,40))+((Formula!K7)/(Formula!C7+Formula!E7+Formula!G7+Formula!I7+Formula!K7))*(INDEX(Properties!A$1:CB$87,Formula!J7,40))</f>
        <v>0.95666666666666655</v>
      </c>
      <c r="DS7" s="63">
        <f>Formula!C7*(INDEX(Properties!A$1:CB$87,Formula!B7,40))+Formula!E7*(INDEX(Properties!A$1:CB$87,Formula!D7,40))+Formula!G7*(INDEX(Properties!A$1:CB$87,Formula!F7,40))+Formula!I7*(INDEX(Properties!A$1:CB$87,Formula!H7,40))+Formula!K7*(INDEX(Properties!A$1:CB$87,Formula!J7,40))</f>
        <v>2.87</v>
      </c>
      <c r="DT7" s="63">
        <f>VARP(IF(INDEX(Properties!A$1:CB$87,Formula!B7,40)&lt;&gt;"",INDEX(Properties!A$1:CB$87,Formula!B7,40)),IF(INDEX(Properties!A$1:CB$87,Formula!D7,40)&lt;&gt;"",INDEX(Properties!A$1:CB$87,Formula!D7,40)),IF(INDEX(Properties!A$1:CB$87,Formula!F7,40)&lt;&gt;"",INDEX(Properties!A$1:CB$87,Formula!F7,40)),IF(INDEX(Properties!A$1:CB$87,Formula!H7,40)&lt;&gt;"",INDEX(Properties!A$1:CB$87,Formula!H7,40)),IF(INDEX(Properties!A$1:CB$87,Formula!J7,40)&lt;&gt;"",INDEX(Properties!A$1:CB$87,Formula!J7,40)))</f>
        <v>0.32101600000000002</v>
      </c>
      <c r="DU7" s="63">
        <f>MAX(INDEX(Properties!A$1:CB$87,Formula!B7,40),INDEX(Properties!A$1:CB$87,Formula!D7,40),INDEX(Properties!A$1:CB$87,Formula!F7,40),INDEX(Properties!A$1:CB$87,Formula!H7,40),INDEX(Properties!A$1:CB$87,Formula!J7,40))</f>
        <v>1.41</v>
      </c>
      <c r="DV7" s="63">
        <f>MIN(IF(INDEX(Properties!A$1:CB$87,Formula!B7,40)=0,10^6,INDEX(Properties!A$1:CB$87,Formula!B7,40)),IF(INDEX(Properties!A$1:CB$87,Formula!D7,40)=0,10^6,INDEX(Properties!A$1:CB$87,Formula!D7,40)),IF(INDEX(Properties!A$1:CB$87,Formula!F7,40)=0,10^6,INDEX(Properties!A$1:CB$87,Formula!F7,40)),IF(INDEX(Properties!A$1:CB$87,Formula!H7,40)=0,10^6,INDEX(Properties!A$1:CB$87,Formula!H7,40)),IF(INDEX(Properties!A$1:CB$87,Formula!J7,40)=0,10^6,INDEX(Properties!A$1:CB$87,Formula!J7,40)))</f>
        <v>0.73</v>
      </c>
      <c r="DW7" s="63">
        <f t="shared" si="20"/>
        <v>0.67999999999999994</v>
      </c>
      <c r="DX7" s="75">
        <f>((Formula!C7)/(Formula!C7+Formula!E7+Formula!G7+Formula!I7+Formula!K7))*(INDEX(Properties!A$1:CB$87,Formula!B7,41))+((Formula!E7)/(Formula!C7+Formula!E7+Formula!G7+Formula!I7+Formula!K7))*(INDEX(Properties!A$1:CB$87,Formula!D7,41))+((Formula!G7)/(Formula!C7+Formula!E7+Formula!G7+Formula!I7+Formula!K7))*(INDEX(Properties!A$1:CB$87,Formula!F7,41))+((Formula!I7)/(Formula!C7+Formula!E7+Formula!G7+Formula!I7+Formula!K7))*(INDEX(Properties!A$1:CB$87,Formula!H7,41))+((Formula!K7)/(Formula!C7+Formula!E7+Formula!G7+Formula!I7+Formula!K7))*(INDEX(Properties!A$1:CB$87,Formula!J7,41))</f>
        <v>1.1166666666666667</v>
      </c>
      <c r="DY7" s="75">
        <f>Formula!C7*(INDEX(Properties!A$1:CB$87,Formula!B7,41))+Formula!E7*(INDEX(Properties!A$1:CB$87,Formula!D7,41))+Formula!G7*(INDEX(Properties!A$1:CB$87,Formula!F7,41))+Formula!I7*(INDEX(Properties!A$1:CB$87,Formula!H7,41))+Formula!K7*(INDEX(Properties!A$1:CB$87,Formula!J7,41))</f>
        <v>3.35</v>
      </c>
      <c r="DZ7" s="75">
        <f>VARP(IF(INDEX(Properties!A$1:CB$87,Formula!B7,41)&lt;&gt;"",INDEX(Properties!A$1:CB$87,Formula!B7,41)),IF(INDEX(Properties!A$1:CB$87,Formula!D7,41)&lt;&gt;"",INDEX(Properties!A$1:CB$87,Formula!D7,41)),IF(INDEX(Properties!A$1:CB$87,Formula!F7,41)&lt;&gt;"",INDEX(Properties!A$1:CB$87,Formula!F7,41)),IF(INDEX(Properties!A$1:CB$87,Formula!H7,41)&lt;&gt;"",INDEX(Properties!A$1:CB$87,Formula!H7,41)),IF(INDEX(Properties!A$1:CB$87,Formula!J7,41)&lt;&gt;"",INDEX(Properties!A$1:CB$87,Formula!J7,41)))</f>
        <v>0.28057600000000005</v>
      </c>
      <c r="EA7" s="75">
        <f>MAX(INDEX(Properties!A$1:CB$87,Formula!B7,41),INDEX(Properties!A$1:CB$87,Formula!D7,41),INDEX(Properties!A$1:CB$87,Formula!F7,41),INDEX(Properties!A$1:CB$87,Formula!H7,41),INDEX(Properties!A$1:CB$87,Formula!J7,41))</f>
        <v>1.26</v>
      </c>
      <c r="EB7" s="75">
        <f>MIN(IF(INDEX(Properties!A$1:CB$87,Formula!B7,41)=0,10^6,INDEX(Properties!A$1:CB$87,Formula!B7,41)),IF(INDEX(Properties!A$1:CB$87,Formula!D7,41)=0,10^6,INDEX(Properties!A$1:CB$87,Formula!D7,41)),IF(INDEX(Properties!A$1:CB$87,Formula!F7,41)=0,10^6,INDEX(Properties!A$1:CB$87,Formula!F7,41)),IF(INDEX(Properties!A$1:CB$87,Formula!H7,41)=0,10^6,INDEX(Properties!A$1:CB$87,Formula!H7,41)),IF(INDEX(Properties!A$1:CB$87,Formula!J7,41)=0,10^6,INDEX(Properties!A$1:CB$87,Formula!J7,41)))</f>
        <v>0.83</v>
      </c>
      <c r="EC7" s="75">
        <f t="shared" si="21"/>
        <v>0.43000000000000005</v>
      </c>
      <c r="ED7" s="48">
        <f>((Formula!C7)/(Formula!C7+Formula!E7+Formula!G7+Formula!I7+Formula!K7))*(INDEX(Properties!A$1:CB$87,Formula!B7,45))+((Formula!E7)/(Formula!C7+Formula!E7+Formula!G7+Formula!I7+Formula!K7))*(INDEX(Properties!A$1:CB$87,Formula!D7,45))+((Formula!G7)/(Formula!C7+Formula!E7+Formula!G7+Formula!I7+Formula!K7))*(INDEX(Properties!A$1:CB$87,Formula!F7,45))+((Formula!I7)/(Formula!C7+Formula!E7+Formula!G7+Formula!I7+Formula!K7))*(INDEX(Properties!A$1:CB$87,Formula!H7,45))+((Formula!K7)/(Formula!C7+Formula!E7+Formula!G7+Formula!I7+Formula!K7))*(INDEX(Properties!A$1:CB$87,Formula!J7,45))</f>
        <v>0.94</v>
      </c>
      <c r="EE7" s="48">
        <f>Formula!C7*(INDEX(Properties!A$1:CB$87,Formula!B7,45))+Formula!E7*(INDEX(Properties!A$1:CB$87,Formula!D7,45))+Formula!G7*(INDEX(Properties!A$1:CB$87,Formula!F7,45))+Formula!I7*(INDEX(Properties!A$1:CB$87,Formula!H7,45))+Formula!K7*(INDEX(Properties!A$1:CB$87,Formula!J7,45))</f>
        <v>2.82</v>
      </c>
      <c r="EF7" s="48">
        <f>VARP(IF(INDEX(Properties!A$1:CB$87,Formula!B7,45)&lt;&gt;"",INDEX(Properties!A$1:CB$87,Formula!B7,45)),IF(INDEX(Properties!A$1:CB$87,Formula!D7,45)&lt;&gt;"",INDEX(Properties!A$1:CB$87,Formula!D7,45)),IF(INDEX(Properties!A$1:CB$87,Formula!F7,45)&lt;&gt;"",INDEX(Properties!A$1:CB$87,Formula!F7,45)),IF(INDEX(Properties!A$1:CB$87,Formula!H7,45)&lt;&gt;"",INDEX(Properties!A$1:CB$87,Formula!H7,45)),IF(INDEX(Properties!A$1:CB$87,Formula!J7,45)&lt;&gt;"",INDEX(Properties!A$1:CB$87,Formula!J7,45)))</f>
        <v>0.53016000000000008</v>
      </c>
      <c r="EG7" s="48">
        <f>MAX(INDEX(Properties!A$1:CB$87,Formula!B7,45),INDEX(Properties!A$1:CB$87,Formula!D7,45),INDEX(Properties!A$1:CB$87,Formula!F7,45),INDEX(Properties!A$1:CB$87,Formula!H7,45),INDEX(Properties!A$1:CB$87,Formula!J7,45))</f>
        <v>1.88</v>
      </c>
      <c r="EH7" s="48">
        <f>MIN(IF(INDEX(Properties!A$1:CB$87,Formula!B7,45)=0,10^6,INDEX(Properties!A$1:CB$87,Formula!B7,45)),IF(INDEX(Properties!A$1:CB$87,Formula!D7,45)=0,10^6,INDEX(Properties!A$1:CB$87,Formula!D7,45)),IF(INDEX(Properties!A$1:CB$87,Formula!F7,45)=0,10^6,INDEX(Properties!A$1:CB$87,Formula!F7,45)),IF(INDEX(Properties!A$1:CB$87,Formula!H7,45)=0,10^6,INDEX(Properties!A$1:CB$87,Formula!H7,45)),IF(INDEX(Properties!A$1:CB$87,Formula!J7,45)=0,10^6,INDEX(Properties!A$1:CB$87,Formula!J7,45)))</f>
        <v>0.47</v>
      </c>
      <c r="EI7" s="48">
        <f t="shared" si="22"/>
        <v>1.41</v>
      </c>
      <c r="EJ7" s="66">
        <f>((Formula!C7)/(Formula!C7+Formula!E7+Formula!G7+Formula!I7+Formula!K7))*(INDEX(Properties!A$1:CB$87,Formula!B7,46))+((Formula!E7)/(Formula!C7+Formula!E7+Formula!G7+Formula!I7+Formula!K7))*(INDEX(Properties!A$1:CB$87,Formula!D7,46))+((Formula!G7)/(Formula!C7+Formula!E7+Formula!G7+Formula!I7+Formula!K7))*(INDEX(Properties!A$1:CB$87,Formula!F7,46))+((Formula!I7)/(Formula!C7+Formula!E7+Formula!G7+Formula!I7+Formula!K7))*(INDEX(Properties!A$1:CB$87,Formula!H7,46))+((Formula!K7)/(Formula!C7+Formula!E7+Formula!G7+Formula!I7+Formula!K7))*(INDEX(Properties!A$1:CB$87,Formula!J7,46))</f>
        <v>1.0366666666666666</v>
      </c>
      <c r="EK7" s="66">
        <f>Formula!C7*(INDEX(Properties!A$1:CB$87,Formula!B7,46))+Formula!E7*(INDEX(Properties!A$1:CB$87,Formula!D7,46))+Formula!G7*(INDEX(Properties!A$1:CB$87,Formula!F7,46))+Formula!I7*(INDEX(Properties!A$1:CB$87,Formula!H7,46))+Formula!K7*(INDEX(Properties!A$1:CB$87,Formula!J7,46))</f>
        <v>3.11</v>
      </c>
      <c r="EL7" s="66">
        <f>VARP(IF(INDEX(Properties!A$1:CB$87,Formula!B7,46)&lt;&gt;"",INDEX(Properties!A$1:CB$87,Formula!B7,46)),IF(INDEX(Properties!A$1:CB$87,Formula!D7,46)&lt;&gt;"",INDEX(Properties!A$1:CB$87,Formula!D7,46)),IF(INDEX(Properties!A$1:CB$87,Formula!F7,46)&lt;&gt;"",INDEX(Properties!A$1:CB$87,Formula!F7,46)),IF(INDEX(Properties!A$1:CB$87,Formula!H7,46)&lt;&gt;"",INDEX(Properties!A$1:CB$87,Formula!H7,46)),IF(INDEX(Properties!A$1:CB$87,Formula!J7,46)&lt;&gt;"",INDEX(Properties!A$1:CB$87,Formula!J7,46)))</f>
        <v>0.24364000000000005</v>
      </c>
      <c r="EM7" s="66">
        <f>MAX(INDEX(Properties!A$1:CB$87,Formula!B7,46),INDEX(Properties!A$1:CB$87,Formula!D7,46),INDEX(Properties!A$1:CB$87,Formula!F7,46),INDEX(Properties!A$1:CB$87,Formula!H7,46),INDEX(Properties!A$1:CB$87,Formula!J7,46))</f>
        <v>1.21</v>
      </c>
      <c r="EN7" s="66">
        <f>MIN(IF(INDEX(Properties!A$1:CB$87,Formula!B7,46)=0,10^6,INDEX(Properties!A$1:CB$87,Formula!B7,46)),IF(INDEX(Properties!A$1:CB$87,Formula!D7,46)=0,10^6,INDEX(Properties!A$1:CB$87,Formula!D7,46)),IF(INDEX(Properties!A$1:CB$87,Formula!F7,46)=0,10^6,INDEX(Properties!A$1:CB$87,Formula!F7,46)),IF(INDEX(Properties!A$1:CB$87,Formula!H7,46)=0,10^6,INDEX(Properties!A$1:CB$87,Formula!H7,46)),IF(INDEX(Properties!A$1:CB$87,Formula!J7,46)=0,10^6,INDEX(Properties!A$1:CB$87,Formula!J7,46)))</f>
        <v>0.69</v>
      </c>
      <c r="EO7" s="66">
        <f t="shared" si="23"/>
        <v>0.52</v>
      </c>
      <c r="EP7" s="81">
        <f>((Formula!C7)/(Formula!C7+Formula!E7+Formula!G7+Formula!I7+Formula!K7))*(INDEX(Properties!A$1:CB$87,Formula!B7,52))+((Formula!E7)/(Formula!C7+Formula!E7+Formula!G7+Formula!I7+Formula!K7))*(INDEX(Properties!A$1:CB$87,Formula!D7,52))+((Formula!G7)/(Formula!C7+Formula!E7+Formula!G7+Formula!I7+Formula!K7))*(INDEX(Properties!A$1:CB$87,Formula!F7,52))+((Formula!I7)/(Formula!C7+Formula!E7+Formula!G7+Formula!I7+Formula!K7))*(INDEX(Properties!A$1:CB$87,Formula!H7,52))+((Formula!K7)/(Formula!C7+Formula!E7+Formula!G7+Formula!I7+Formula!K7))*(INDEX(Properties!A$1:CB$87,Formula!J7,52))</f>
        <v>3.095333333333333</v>
      </c>
      <c r="EQ7" s="81">
        <f>Formula!C7*(INDEX(Properties!A$1:CB$87,Formula!B7,52))+Formula!E7*(INDEX(Properties!A$1:CB$87,Formula!D7,52))+Formula!G7*(INDEX(Properties!A$1:CB$87,Formula!F7,52))+Formula!I7*(INDEX(Properties!A$1:CB$87,Formula!H7,52))+Formula!K7*(INDEX(Properties!A$1:CB$87,Formula!J7,52))</f>
        <v>9.2859999999999996</v>
      </c>
      <c r="ER7" s="81">
        <f>VARP(IF(INDEX(Properties!A$1:CB$87,Formula!B7,52)&lt;&gt;"",INDEX(Properties!A$1:CB$87,Formula!B7,52)),IF(INDEX(Properties!A$1:CB$87,Formula!D7,52)&lt;&gt;"",INDEX(Properties!A$1:CB$87,Formula!D7,52)),IF(INDEX(Properties!A$1:CB$87,Formula!F7,52)&lt;&gt;"",INDEX(Properties!A$1:CB$87,Formula!F7,52)),IF(INDEX(Properties!A$1:CB$87,Formula!H7,52)&lt;&gt;"",INDEX(Properties!A$1:CB$87,Formula!H7,52)),IF(INDEX(Properties!A$1:CB$87,Formula!J7,52)&lt;&gt;"",INDEX(Properties!A$1:CB$87,Formula!J7,52)))</f>
        <v>9.0985278400000009</v>
      </c>
      <c r="ES7" s="81">
        <f>MAX(INDEX(Properties!A$1:CB$87,Formula!B7,52),INDEX(Properties!A$1:CB$87,Formula!D7,52),INDEX(Properties!A$1:CB$87,Formula!F7,52),INDEX(Properties!A$1:CB$87,Formula!H7,52),INDEX(Properties!A$1:CB$87,Formula!J7,52))</f>
        <v>7.7</v>
      </c>
      <c r="ET7" s="81">
        <f>MIN(IF(INDEX(Properties!A$1:CB$87,Formula!B7,52)=0,10^6,INDEX(Properties!A$1:CB$87,Formula!B7,52)),IF(INDEX(Properties!A$1:CB$87,Formula!D7,52)=0,10^6,INDEX(Properties!A$1:CB$87,Formula!D7,52)),IF(INDEX(Properties!A$1:CB$87,Formula!F7,52)=0,10^6,INDEX(Properties!A$1:CB$87,Formula!F7,52)),IF(INDEX(Properties!A$1:CB$87,Formula!H7,52)=0,10^6,INDEX(Properties!A$1:CB$87,Formula!H7,52)),IF(INDEX(Properties!A$1:CB$87,Formula!J7,52)=0,10^6,INDEX(Properties!A$1:CB$87,Formula!J7,52)))</f>
        <v>0.79300000000000004</v>
      </c>
      <c r="EU7" s="81">
        <f t="shared" si="24"/>
        <v>6.907</v>
      </c>
      <c r="EV7" s="39">
        <f>((Formula!C7)/(Formula!C7+Formula!E7+Formula!G7+Formula!I7+Formula!K7))*(INDEX(Properties!A$1:CB$87,Formula!B7,53))+((Formula!E7)/(Formula!C7+Formula!E7+Formula!G7+Formula!I7+Formula!K7))*(INDEX(Properties!A$1:CB$87,Formula!D7,53))+((Formula!G7)/(Formula!C7+Formula!E7+Formula!G7+Formula!I7+Formula!K7))*(INDEX(Properties!A$1:CB$87,Formula!F7,53))+((Formula!I7)/(Formula!C7+Formula!E7+Formula!G7+Formula!I7+Formula!K7))*(INDEX(Properties!A$1:CB$87,Formula!H7,53))+((Formula!K7)/(Formula!C7+Formula!E7+Formula!G7+Formula!I7+Formula!K7))*(INDEX(Properties!A$1:CB$87,Formula!J7,53))</f>
        <v>204.8833333333333</v>
      </c>
      <c r="EW7" s="39">
        <f>Formula!C7*(INDEX(Properties!A$1:CB$87,Formula!B7,53))+Formula!E7*(INDEX(Properties!A$1:CB$87,Formula!D7,53))+Formula!G7*(INDEX(Properties!A$1:CB$87,Formula!F7,53))+Formula!I7*(INDEX(Properties!A$1:CB$87,Formula!H7,53))+Formula!K7*(INDEX(Properties!A$1:CB$87,Formula!J7,53))</f>
        <v>614.64999999999986</v>
      </c>
      <c r="EX7" s="39">
        <f>VARP(IF(INDEX(Properties!A$1:CB$87,Formula!B7,53)&lt;&gt;"",INDEX(Properties!A$1:CB$87,Formula!B7,53)),IF(INDEX(Properties!A$1:CB$87,Formula!D7,53)&lt;&gt;"",INDEX(Properties!A$1:CB$87,Formula!D7,53)),IF(INDEX(Properties!A$1:CB$87,Formula!F7,53)&lt;&gt;"",INDEX(Properties!A$1:CB$87,Formula!F7,53)),IF(INDEX(Properties!A$1:CB$87,Formula!H7,53)&lt;&gt;"",INDEX(Properties!A$1:CB$87,Formula!H7,53)),IF(INDEX(Properties!A$1:CB$87,Formula!J7,53)&lt;&gt;"",INDEX(Properties!A$1:CB$87,Formula!J7,53)))</f>
        <v>39095.296599999994</v>
      </c>
      <c r="EY7" s="39">
        <f>MAX(INDEX(Properties!A$1:CB$87,Formula!B7,53),INDEX(Properties!A$1:CB$87,Formula!D7,53),INDEX(Properties!A$1:CB$87,Formula!F7,53),INDEX(Properties!A$1:CB$87,Formula!H7,53),INDEX(Properties!A$1:CB$87,Formula!J7,53))</f>
        <v>505.15</v>
      </c>
      <c r="EZ7" s="39">
        <f>MIN(IF(INDEX(Properties!A$1:CB$87,Formula!B7,53)=0,10^6,INDEX(Properties!A$1:CB$87,Formula!B7,53)),IF(INDEX(Properties!A$1:CB$87,Formula!D7,53)=0,10^6,INDEX(Properties!A$1:CB$87,Formula!D7,53)),IF(INDEX(Properties!A$1:CB$87,Formula!F7,53)=0,10^6,INDEX(Properties!A$1:CB$87,Formula!F7,53)),IF(INDEX(Properties!A$1:CB$87,Formula!H7,53)=0,10^6,INDEX(Properties!A$1:CB$87,Formula!H7,53)),IF(INDEX(Properties!A$1:CB$87,Formula!J7,53)=0,10^6,INDEX(Properties!A$1:CB$87,Formula!J7,53)))</f>
        <v>54.749999999999972</v>
      </c>
      <c r="FA7" s="39">
        <f t="shared" si="25"/>
        <v>450.4</v>
      </c>
      <c r="FB7" s="54">
        <f>((Formula!C7)/(Formula!C7+Formula!E7+Formula!G7+Formula!I7+Formula!K7))*(INDEX(Properties!A$1:CB$87,Formula!B7,54))+((Formula!E7)/(Formula!C7+Formula!E7+Formula!G7+Formula!I7+Formula!K7))*(INDEX(Properties!A$1:CB$87,Formula!D7,54))+((Formula!G7)/(Formula!C7+Formula!E7+Formula!G7+Formula!I7+Formula!K7))*(INDEX(Properties!A$1:CB$87,Formula!F7,54))+((Formula!I7)/(Formula!C7+Formula!E7+Formula!G7+Formula!I7+Formula!K7))*(INDEX(Properties!A$1:CB$87,Formula!H7,54))+((Formula!K7)/(Formula!C7+Formula!E7+Formula!G7+Formula!I7+Formula!K7))*(INDEX(Properties!A$1:CB$87,Formula!J7,54))</f>
        <v>907.81666666666672</v>
      </c>
      <c r="FC7" s="54">
        <f>Formula!C7*(INDEX(Properties!A$1:CB$87,Formula!B7,54))+Formula!E7*(INDEX(Properties!A$1:CB$87,Formula!D7,54))+Formula!G7*(INDEX(Properties!A$1:CB$87,Formula!F7,54))+Formula!I7*(INDEX(Properties!A$1:CB$87,Formula!H7,54))+Formula!K7*(INDEX(Properties!A$1:CB$87,Formula!J7,54))</f>
        <v>2723.45</v>
      </c>
      <c r="FD7" s="54">
        <f>VARP(IF(INDEX(Properties!A$1:CB$87,Formula!B7,54)&lt;&gt;"",INDEX(Properties!A$1:CB$87,Formula!B7,54)),IF(INDEX(Properties!A$1:CB$87,Formula!D7,54)&lt;&gt;"",INDEX(Properties!A$1:CB$87,Formula!D7,54)),IF(INDEX(Properties!A$1:CB$87,Formula!F7,54)&lt;&gt;"",INDEX(Properties!A$1:CB$87,Formula!F7,54)),IF(INDEX(Properties!A$1:CB$87,Formula!H7,54)&lt;&gt;"",INDEX(Properties!A$1:CB$87,Formula!H7,54)),IF(INDEX(Properties!A$1:CB$87,Formula!J7,54)&lt;&gt;"",INDEX(Properties!A$1:CB$87,Formula!J7,54)))</f>
        <v>1017777.0334000001</v>
      </c>
      <c r="FE7" s="54">
        <f>MAX(INDEX(Properties!A$1:CB$87,Formula!B7,54),INDEX(Properties!A$1:CB$87,Formula!D7,54),INDEX(Properties!A$1:CB$87,Formula!F7,54),INDEX(Properties!A$1:CB$87,Formula!H7,54),INDEX(Properties!A$1:CB$87,Formula!J7,54))</f>
        <v>2543.15</v>
      </c>
      <c r="FF7" s="54">
        <f>MIN(IF(INDEX(Properties!A$1:CB$87,Formula!B7,54)=0,10^6,INDEX(Properties!A$1:CB$87,Formula!B7,54)),IF(INDEX(Properties!A$1:CB$87,Formula!D7,54)=0,10^6,INDEX(Properties!A$1:CB$87,Formula!D7,54)),IF(INDEX(Properties!A$1:CB$87,Formula!F7,54)=0,10^6,INDEX(Properties!A$1:CB$87,Formula!F7,54)),IF(INDEX(Properties!A$1:CB$87,Formula!H7,54)=0,10^6,INDEX(Properties!A$1:CB$87,Formula!H7,54)),IF(INDEX(Properties!A$1:CB$87,Formula!J7,54)=0,10^6,INDEX(Properties!A$1:CB$87,Formula!J7,54)))</f>
        <v>90.149999999999977</v>
      </c>
      <c r="FG7" s="54">
        <f t="shared" si="26"/>
        <v>2453</v>
      </c>
      <c r="FH7" s="69">
        <f>((Formula!C7)/(Formula!C7+Formula!E7+Formula!G7+Formula!I7+Formula!K7))*(INDEX(Properties!A$1:CB$87,Formula!B7,55))+((Formula!E7)/(Formula!C7+Formula!E7+Formula!G7+Formula!I7+Formula!K7))*(INDEX(Properties!A$1:CB$87,Formula!D7,55))+((Formula!G7)/(Formula!C7+Formula!E7+Formula!G7+Formula!I7+Formula!K7))*(INDEX(Properties!A$1:CB$87,Formula!F7,55))+((Formula!I7)/(Formula!C7+Formula!E7+Formula!G7+Formula!I7+Formula!K7))*(INDEX(Properties!A$1:CB$87,Formula!H7,55))+((Formula!K7)/(Formula!C7+Formula!E7+Formula!G7+Formula!I7+Formula!K7))*(INDEX(Properties!A$1:CB$87,Formula!J7,55))</f>
        <v>2.4376199999999999</v>
      </c>
      <c r="FI7" s="69">
        <f>Formula!C7*(INDEX(Properties!A$1:CB$87,Formula!B7,55))+Formula!E7*(INDEX(Properties!A$1:CB$87,Formula!D7,54))+Formula!G7*(INDEX(Properties!A$1:CB$87,Formula!F7,55))+Formula!I7*(INDEX(Properties!A$1:CB$87,Formula!H7,55))+Formula!K7*(INDEX(Properties!A$1:CB$87,Formula!J7,55))</f>
        <v>187.60999999999996</v>
      </c>
      <c r="FJ7" s="69">
        <f>VARP(IF(INDEX(Properties!A$1:CB$87,Formula!B7,55)&lt;&gt;"",INDEX(Properties!A$1:CB$87,Formula!B7,55)),IF(INDEX(Properties!A$1:CB$87,Formula!D7,55)&lt;&gt;"",INDEX(Properties!A$1:CB$87,Formula!D7,55)),IF(INDEX(Properties!A$1:CB$87,Formula!F7,55)&lt;&gt;"",INDEX(Properties!A$1:CB$87,Formula!F7,55)),IF(INDEX(Properties!A$1:CB$87,Formula!H7,55)&lt;&gt;"",INDEX(Properties!A$1:CB$87,Formula!H7,55)),IF(INDEX(Properties!A$1:CB$87,Formula!J7,55)&lt;&gt;"",INDEX(Properties!A$1:CB$87,Formula!J7,55)))</f>
        <v>8.5489400631840002</v>
      </c>
      <c r="FK7" s="69">
        <f>MAX(INDEX(Properties!A$1:CB$87,Formula!B7,55),INDEX(Properties!A$1:CB$87,Formula!D7,55),INDEX(Properties!A$1:CB$87,Formula!F7,55),INDEX(Properties!A$1:CB$87,Formula!H7,55),INDEX(Properties!A$1:CB$87,Formula!J7,55))</f>
        <v>7.31</v>
      </c>
      <c r="FL7" s="69">
        <f>MIN(IF(INDEX(Properties!A$1:CB$87,Formula!B7,55)=0,10^6,INDEX(Properties!A$1:CB$87,Formula!B7,55)),IF(INDEX(Properties!A$1:CB$87,Formula!D7,55)=0,10^6,INDEX(Properties!A$1:CB$87,Formula!D7,55)),IF(INDEX(Properties!A$1:CB$87,Formula!F7,55)=0,10^6,INDEX(Properties!A$1:CB$87,Formula!F7,55)),IF(INDEX(Properties!A$1:CB$87,Formula!H7,55)=0,10^6,INDEX(Properties!A$1:CB$87,Formula!H7,55)),IF(INDEX(Properties!A$1:CB$87,Formula!J7,55)=0,10^6,INDEX(Properties!A$1:CB$87,Formula!J7,55)))</f>
        <v>1.4300000000000001E-3</v>
      </c>
      <c r="FM7" s="69">
        <f t="shared" si="27"/>
        <v>7.3085699999999996</v>
      </c>
      <c r="FN7" s="42">
        <f>((Formula!C7)/(Formula!C7+Formula!E7+Formula!G7+Formula!I7+Formula!K7))*(INDEX(Properties!A$1:CB$87,Formula!B7,56))+((Formula!E7)/(Formula!C7+Formula!E7+Formula!G7+Formula!I7+Formula!K7))*(INDEX(Properties!A$1:CB$87,Formula!D7,56))+((Formula!G7)/(Formula!C7+Formula!E7+Formula!G7+Formula!I7+Formula!K7))*(INDEX(Properties!A$1:CB$87,Formula!F7,56))+((Formula!I7)/(Formula!C7+Formula!E7+Formula!G7+Formula!I7+Formula!K7))*(INDEX(Properties!A$1:CB$87,Formula!H7,56))+((Formula!K7)/(Formula!C7+Formula!E7+Formula!G7+Formula!I7+Formula!K7))*(INDEX(Properties!A$1:CB$87,Formula!J7,56))</f>
        <v>0.68899999999999995</v>
      </c>
      <c r="FO7" s="42">
        <f>Formula!C7*(INDEX(Properties!A$1:CB$87,Formula!B7,56))+Formula!E7*(INDEX(Properties!A$1:CB$87,Formula!D7,56))+Formula!G7*(INDEX(Properties!A$1:CB$87,Formula!F7,56))+Formula!I7*(INDEX(Properties!A$1:CB$87,Formula!H7,56))+Formula!K7*(INDEX(Properties!A$1:CB$87,Formula!J7,56))</f>
        <v>2.0670000000000002</v>
      </c>
      <c r="FP7" s="42">
        <f>VARP(IF(INDEX(Properties!A$1:CB$87,Formula!B7,56)&lt;&gt;"",INDEX(Properties!A$1:CB$87,Formula!B7,56)),IF(INDEX(Properties!A$1:CB$87,Formula!D7,56)&lt;&gt;"",INDEX(Properties!A$1:CB$87,Formula!D7,56)),IF(INDEX(Properties!A$1:CB$87,Formula!F7,56)&lt;&gt;"",INDEX(Properties!A$1:CB$87,Formula!F7,56)),IF(INDEX(Properties!A$1:CB$87,Formula!H7,56)&lt;&gt;"",INDEX(Properties!A$1:CB$87,Formula!H7,56)),IF(INDEX(Properties!A$1:CB$87,Formula!J7,56)&lt;&gt;"",INDEX(Properties!A$1:CB$87,Formula!J7,56)))</f>
        <v>0.12696144000000001</v>
      </c>
      <c r="FQ7" s="42">
        <f>MAX(INDEX(Properties!A$1:CB$87,Formula!B7,56),INDEX(Properties!A$1:CB$87,Formula!D7,56),INDEX(Properties!A$1:CB$87,Formula!F7,56),INDEX(Properties!A$1:CB$87,Formula!H7,56),INDEX(Properties!A$1:CB$87,Formula!J7,56))</f>
        <v>0.92</v>
      </c>
      <c r="FR7" s="42">
        <f>MIN(IF(INDEX(Properties!A$1:CB$87,Formula!B7,56)=0,10^6,INDEX(Properties!A$1:CB$87,Formula!B7,56)),IF(INDEX(Properties!A$1:CB$87,Formula!D7,56)=0,10^6,INDEX(Properties!A$1:CB$87,Formula!D7,56)),IF(INDEX(Properties!A$1:CB$87,Formula!F7,56)=0,10^6,INDEX(Properties!A$1:CB$87,Formula!F7,56)),IF(INDEX(Properties!A$1:CB$87,Formula!H7,56)=0,10^6,INDEX(Properties!A$1:CB$87,Formula!H7,56)),IF(INDEX(Properties!A$1:CB$87,Formula!J7,56)=0,10^6,INDEX(Properties!A$1:CB$87,Formula!J7,56)))</f>
        <v>0.22700000000000001</v>
      </c>
      <c r="FS7" s="42">
        <f t="shared" si="28"/>
        <v>0.69300000000000006</v>
      </c>
      <c r="FT7" s="60">
        <f>((Formula!C7)/(Formula!C7+Formula!E7+Formula!G7+Formula!I7+Formula!K7))*(INDEX(Properties!A$1:CB$87,Formula!B7,57))+((Formula!E7)/(Formula!C7+Formula!E7+Formula!G7+Formula!I7+Formula!K7))*(INDEX(Properties!A$1:CB$87,Formula!D7,57))+((Formula!G7)/(Formula!C7+Formula!E7+Formula!G7+Formula!I7+Formula!K7))*(INDEX(Properties!A$1:CB$87,Formula!F7,57))+((Formula!I7)/(Formula!C7+Formula!E7+Formula!G7+Formula!I7+Formula!K7))*(INDEX(Properties!A$1:CB$87,Formula!H7,57))+((Formula!K7)/(Formula!C7+Formula!E7+Formula!G7+Formula!I7+Formula!K7))*(INDEX(Properties!A$1:CB$87,Formula!J7,57))</f>
        <v>2.4913933333333333</v>
      </c>
      <c r="FU7" s="60">
        <f>Formula!C7*(INDEX(Properties!A$1:CB$87,Formula!B7,57))+Formula!E7*(INDEX(Properties!A$1:CB$87,Formula!D7,57))+Formula!G7*(INDEX(Properties!A$1:CB$87,Formula!F7,57))+Formula!I7*(INDEX(Properties!A$1:CB$87,Formula!H7,57))+Formula!K7*(INDEX(Properties!A$1:CB$87,Formula!J7,57))</f>
        <v>7.4741799999999996</v>
      </c>
      <c r="FV7" s="60">
        <f>VARP(IF(INDEX(Properties!A$1:CB$87,Formula!B7,57)&lt;&gt;"",INDEX(Properties!A$1:CB$87,Formula!B7,57)),IF(INDEX(Properties!A$1:CB$87,Formula!D7,57)&lt;&gt;"",INDEX(Properties!A$1:CB$87,Formula!D7,57)),IF(INDEX(Properties!A$1:CB$87,Formula!F7,57)&lt;&gt;"",INDEX(Properties!A$1:CB$87,Formula!F7,57)),IF(INDEX(Properties!A$1:CB$87,Formula!H7,57)&lt;&gt;"",INDEX(Properties!A$1:CB$87,Formula!H7,57)),IF(INDEX(Properties!A$1:CB$87,Formula!J7,57)&lt;&gt;"",INDEX(Properties!A$1:CB$87,Formula!J7,57)))</f>
        <v>7.787855160496</v>
      </c>
      <c r="FW7" s="60">
        <f>MAX(INDEX(Properties!A$1:CB$87,Formula!B7,57),INDEX(Properties!A$1:CB$87,Formula!D7,57),INDEX(Properties!A$1:CB$87,Formula!F7,57),INDEX(Properties!A$1:CB$87,Formula!H7,57),INDEX(Properties!A$1:CB$87,Formula!J7,57))</f>
        <v>7.0289999999999999</v>
      </c>
      <c r="FX7" s="60">
        <f>MIN(IF(INDEX(Properties!A$1:CB$87,Formula!B7,57)=0,10^6,INDEX(Properties!A$1:CB$87,Formula!B7,57)),IF(INDEX(Properties!A$1:CB$87,Formula!D7,57)=0,10^6,INDEX(Properties!A$1:CB$87,Formula!D7,57)),IF(INDEX(Properties!A$1:CB$87,Formula!F7,57)=0,10^6,INDEX(Properties!A$1:CB$87,Formula!F7,57)),IF(INDEX(Properties!A$1:CB$87,Formula!H7,57)=0,10^6,INDEX(Properties!A$1:CB$87,Formula!H7,57)),IF(INDEX(Properties!A$1:CB$87,Formula!J7,57)=0,10^6,INDEX(Properties!A$1:CB$87,Formula!J7,57)))</f>
        <v>0.22259000000000001</v>
      </c>
      <c r="FY7" s="60">
        <f t="shared" si="29"/>
        <v>6.8064099999999996</v>
      </c>
      <c r="FZ7" s="72">
        <f>((Formula!C7)/(Formula!C7+Formula!E7+Formula!G7+Formula!I7+Formula!K7))*(INDEX(Properties!A$1:CB$87,Formula!B7,60))+((Formula!E7)/(Formula!C7+Formula!E7+Formula!G7+Formula!I7+Formula!K7))*(INDEX(Properties!A$1:CB$87,Formula!D7,60))+((Formula!G7)/(Formula!C7+Formula!E7+Formula!G7+Formula!I7+Formula!K7))*(INDEX(Properties!A$1:CB$87,Formula!F7,60))+((Formula!I7)/(Formula!C7+Formula!E7+Formula!G7+Formula!I7+Formula!K7))*(INDEX(Properties!A$1:CB$87,Formula!H7,60))+((Formula!K7)/(Formula!C7+Formula!E7+Formula!G7+Formula!I7+Formula!K7))*(INDEX(Properties!A$1:CB$87,Formula!J7,60))</f>
        <v>22.217826666666664</v>
      </c>
      <c r="GA7" s="72">
        <f>Formula!C7*(INDEX(Properties!A$1:CB$87,Formula!B7,60))+Formula!E7*(INDEX(Properties!A$1:CB$87,Formula!D7,60))+Formula!G7*(INDEX(Properties!A$1:CB$87,Formula!F7,60))+Formula!I7*(INDEX(Properties!A$1:CB$87,Formula!H7,60))+Formula!K7*(INDEX(Properties!A$1:CB$87,Formula!J7,60))</f>
        <v>66.653479999999988</v>
      </c>
      <c r="GB7" s="72">
        <f>VARP(IF(INDEX(Properties!A$1:CB$87,Formula!B7,60)&lt;&gt;"",INDEX(Properties!A$1:CB$87,Formula!B7,60)),IF(INDEX(Properties!A$1:CB$87,Formula!D7,60)&lt;&gt;"",INDEX(Properties!A$1:CB$87,Formula!D7,60)),IF(INDEX(Properties!A$1:CB$87,Formula!F7,60)&lt;&gt;"",INDEX(Properties!A$1:CB$87,Formula!F7,60)),IF(INDEX(Properties!A$1:CB$87,Formula!H7,60)&lt;&gt;"",INDEX(Properties!A$1:CB$87,Formula!H7,60)),IF(INDEX(Properties!A$1:CB$87,Formula!J7,60)&lt;&gt;"",INDEX(Properties!A$1:CB$87,Formula!J7,60)))</f>
        <v>709.54724368441578</v>
      </c>
      <c r="GC7" s="72">
        <f>MAX(INDEX(Properties!A$1:CB$87,Formula!B7,60),INDEX(Properties!A$1:CB$87,Formula!D7,60),INDEX(Properties!A$1:CB$87,Formula!F7,60),INDEX(Properties!A$1:CB$87,Formula!H7,60),INDEX(Properties!A$1:CB$87,Formula!J7,60))</f>
        <v>66.599999999999994</v>
      </c>
      <c r="GD7" s="72">
        <f>MIN(IF(INDEX(Properties!A$1:CB$87,Formula!B7,60)=0,10^6,INDEX(Properties!A$1:CB$87,Formula!B7,60)),IF(INDEX(Properties!A$1:CB$87,Formula!D7,60)=0,10^6,INDEX(Properties!A$1:CB$87,Formula!D7,60)),IF(INDEX(Properties!A$1:CB$87,Formula!F7,60)=0,10^6,INDEX(Properties!A$1:CB$87,Formula!F7,60)),IF(INDEX(Properties!A$1:CB$87,Formula!H7,60)=0,10^6,INDEX(Properties!A$1:CB$87,Formula!H7,60)),IF(INDEX(Properties!A$1:CB$87,Formula!J7,60)=0,10^6,INDEX(Properties!A$1:CB$87,Formula!J7,60)))</f>
        <v>2.674E-2</v>
      </c>
      <c r="GE7" s="72">
        <f t="shared" si="30"/>
        <v>66.573259999999991</v>
      </c>
      <c r="GF7" s="51">
        <f>((Formula!C7)/(Formula!C7+Formula!E7+Formula!G7+Formula!I7+Formula!K7))*(INDEX(Properties!A$1:CB$87,Formula!B7,62))+((Formula!E7)/(Formula!C7+Formula!E7+Formula!G7+Formula!I7+Formula!K7))*(INDEX(Properties!A$1:CB$87,Formula!D7,62))+((Formula!G7)/(Formula!C7+Formula!E7+Formula!G7+Formula!I7+Formula!K7))*(INDEX(Properties!A$1:CB$87,Formula!F7,62))+((Formula!I7)/(Formula!C7+Formula!E7+Formula!G7+Formula!I7+Formula!K7))*(INDEX(Properties!A$1:CB$87,Formula!H7,62))+((Formula!K7)/(Formula!C7+Formula!E7+Formula!G7+Formula!I7+Formula!K7))*(INDEX(Properties!A$1:CB$87,Formula!J7,62))</f>
        <v>2.793333333333333</v>
      </c>
      <c r="GG7" s="51">
        <f>Formula!C7*(INDEX(Properties!A$1:CB$87,Formula!B7,62))+Formula!E7*(INDEX(Properties!A$1:CB$87,Formula!D7,62))+Formula!G7*(INDEX(Properties!A$1:CB$87,Formula!F7,62))+Formula!I7*(INDEX(Properties!A$1:CB$87,Formula!H7,62))+Formula!K7*(INDEX(Properties!A$1:CB$87,Formula!J7,62))</f>
        <v>8.3800000000000008</v>
      </c>
      <c r="GH7" s="51">
        <f>VARP(IF(INDEX(Properties!A$1:CB$87,Formula!B7,62)&lt;&gt;"",INDEX(Properties!A$1:CB$87,Formula!B7,62)),IF(INDEX(Properties!A$1:CB$87,Formula!D7,62)&lt;&gt;"",INDEX(Properties!A$1:CB$87,Formula!D7,62)),IF(INDEX(Properties!A$1:CB$87,Formula!F7,62)&lt;&gt;"",INDEX(Properties!A$1:CB$87,Formula!F7,62)),IF(INDEX(Properties!A$1:CB$87,Formula!H7,62)&lt;&gt;"",INDEX(Properties!A$1:CB$87,Formula!H7,62)),IF(INDEX(Properties!A$1:CB$87,Formula!J7,62)&lt;&gt;"",INDEX(Properties!A$1:CB$87,Formula!J7,62)))</f>
        <v>2.0176960000000004</v>
      </c>
      <c r="GI7" s="51">
        <f>MAX(INDEX(Properties!A$1:CB$87,Formula!B7,62),INDEX(Properties!A$1:CB$87,Formula!D7,62),INDEX(Properties!A$1:CB$87,Formula!F7,62),INDEX(Properties!A$1:CB$87,Formula!H7,62),INDEX(Properties!A$1:CB$87,Formula!J7,62))</f>
        <v>3.14</v>
      </c>
      <c r="GJ7" s="51">
        <f>MIN(IF(INDEX(Properties!A$1:CB$87,Formula!B7,62)=0,10^6,INDEX(Properties!A$1:CB$87,Formula!B7,62)),IF(INDEX(Properties!A$1:CB$87,Formula!D7,62)=0,10^6,INDEX(Properties!A$1:CB$87,Formula!D7,62)),IF(INDEX(Properties!A$1:CB$87,Formula!F7,62)=0,10^6,INDEX(Properties!A$1:CB$87,Formula!F7,62)),IF(INDEX(Properties!A$1:CB$87,Formula!H7,62)=0,10^6,INDEX(Properties!A$1:CB$87,Formula!H7,62)),IF(INDEX(Properties!A$1:CB$87,Formula!J7,62)=0,10^6,INDEX(Properties!A$1:CB$87,Formula!J7,62)))</f>
        <v>2.62</v>
      </c>
      <c r="GK7" s="51">
        <f t="shared" si="31"/>
        <v>0.52</v>
      </c>
      <c r="GL7" s="51">
        <f>Formula!P7</f>
        <v>136</v>
      </c>
      <c r="GM7" s="57">
        <f>Formula!O7</f>
        <v>4</v>
      </c>
      <c r="GN7" s="51">
        <f>Formula!N7</f>
        <v>0.03</v>
      </c>
    </row>
    <row r="8" spans="1:196" s="5" customFormat="1" x14ac:dyDescent="0.3">
      <c r="A8" s="84" t="str">
        <f>Formula!A8</f>
        <v>HfO2</v>
      </c>
      <c r="B8" s="89">
        <f>((Formula!C8)/(Formula!C8+Formula!E8+Formula!G8+Formula!I8+Formula!K8))*(INDEX(Properties!A$1:CB$87,Formula!B8,3))+((Formula!E8)/(Formula!C8+Formula!E8+Formula!G8+Formula!I8+Formula!K8))*(INDEX(Properties!A$1:CB$87,Formula!D8,3))+((Formula!G8)/(Formula!C8+Formula!E8+Formula!G8+Formula!I8+Formula!K8))*(INDEX(Properties!A$1:CB$87,Formula!F8,3))+((Formula!I8)/(Formula!C8+Formula!E8+Formula!G8+Formula!I8+Formula!K8))*(INDEX(Properties!A$1:CB$87,Formula!H8,3))+((Formula!K8)/(Formula!C8+Formula!E8+Formula!G8+Formula!I8+Formula!K8))*(INDEX(Properties!A$1:CB$87,Formula!J8,3))</f>
        <v>70.162933333333342</v>
      </c>
      <c r="C8" s="85">
        <f>Formula!C8*(INDEX(Properties!A$1:CB$87,Formula!B8,3))+Formula!E8*(INDEX(Properties!A$1:CB$87,Formula!D8,3))+Formula!G8*(INDEX(Properties!A$1:CB$87,Formula!F8,3))+Formula!I8*(INDEX(Properties!A$1:CB$87,Formula!H8,3))+Formula!K8*(INDEX(Properties!A$1:CB$87,Formula!J8,3))</f>
        <v>210.4888</v>
      </c>
      <c r="D8" s="85">
        <f>VARP(IF(INDEX(Properties!A$1:CB$87,Formula!B8,3)&lt;&gt;"",INDEX(Properties!A$1:CB$87,Formula!B8,3)),IF(INDEX(Properties!A$1:CB$87,Formula!D8,3)&lt;&gt;"",INDEX(Properties!A$1:CB$87,Formula!D8,3)),IF(INDEX(Properties!A$1:CB$87,Formula!F8,3)&lt;&gt;"",INDEX(Properties!A$1:CB$87,Formula!F8,3)),IF(INDEX(Properties!A$1:CB$87,Formula!H8,3)&lt;&gt;"",INDEX(Properties!A$1:CB$87,Formula!H8,3)),IF(INDEX(Properties!A$1:CB$87,Formula!J8,3)&lt;&gt;"",INDEX(Properties!A$1:CB$87,Formula!J8,3)))</f>
        <v>4909.887111577601</v>
      </c>
      <c r="E8" s="85">
        <f>MAX(INDEX(Properties!A$1:CB$87,Formula!B8,3),INDEX(Properties!A$1:CB$87,Formula!D8,3),INDEX(Properties!A$1:CB$87,Formula!F8,3),INDEX(Properties!A$1:CB$87,Formula!H8,3),INDEX(Properties!A$1:CB$87,Formula!J8,3))</f>
        <v>178.49</v>
      </c>
      <c r="F8" s="85">
        <f>MIN(IF(INDEX(Properties!A$1:CB$87,Formula!B8,3)=0,10^6,INDEX(Properties!A$1:CB$87,Formula!B8,3)),IF(INDEX(Properties!A$1:CB$87,Formula!D8,3)=0,10^6,INDEX(Properties!A$1:CB$87,Formula!D8,3)),IF(INDEX(Properties!A$1:CB$87,Formula!F8,3)=0,10^6,INDEX(Properties!A$1:CB$87,Formula!F8,3)),IF(INDEX(Properties!A$1:CB$87,Formula!H8,3)=0,10^6,INDEX(Properties!A$1:CB$87,Formula!H8,3)),IF(INDEX(Properties!A$1:CB$87,Formula!J8,3)=0,10^6,INDEX(Properties!A$1:CB$87,Formula!J8,3)))</f>
        <v>15.9994</v>
      </c>
      <c r="G8" s="85">
        <f t="shared" si="0"/>
        <v>162.4906</v>
      </c>
      <c r="H8" s="87">
        <f>((Formula!C8)/(Formula!C8+Formula!E8+Formula!G8+Formula!I8+Formula!K8))*(INDEX(Properties!A$1:CB$87,Formula!B8,4))+((Formula!E8)/(Formula!C8+Formula!E8+Formula!G8+Formula!I8+Formula!K8))*(INDEX(Properties!A$1:CB$87,Formula!D8,4))+((Formula!G8)/(Formula!C8+Formula!E8+Formula!G8+Formula!I8+Formula!K8))*(INDEX(Properties!A$1:CB$87,Formula!F8,4))+((Formula!I8)/(Formula!C8+Formula!E8+Formula!G8+Formula!I8+Formula!K8))*(INDEX(Properties!A$1:CB$87,Formula!H8,4))+((Formula!K8)/(Formula!C8+Formula!E8+Formula!G8+Formula!I8+Formula!K8))*(INDEX(Properties!A$1:CB$87,Formula!J8,4))</f>
        <v>29.333333333333332</v>
      </c>
      <c r="I8" s="87">
        <f>Formula!C8*(INDEX(Properties!A$1:CB$87,Formula!B8,4))+Formula!E8*(INDEX(Properties!A$1:CB$87,Formula!D8,4))+Formula!G8*(INDEX(Properties!A$1:CB$87,Formula!F8,4))+Formula!I8*(INDEX(Properties!A$1:CB$87,Formula!H8,4))+Formula!K8*(INDEX(Properties!A$1:CB$87,Formula!J8,4))</f>
        <v>88</v>
      </c>
      <c r="J8" s="87">
        <f>VARP(IF(INDEX(Properties!A$1:CB$87,Formula!B8,4)&lt;&gt;"",INDEX(Properties!A$1:CB$87,Formula!B8,4)),IF(INDEX(Properties!A$1:CB$87,Formula!D8,4)&lt;&gt;"",INDEX(Properties!A$1:CB$87,Formula!D8,4)),IF(INDEX(Properties!A$1:CB$87,Formula!F8,4)&lt;&gt;"",INDEX(Properties!A$1:CB$87,Formula!F8,4)),IF(INDEX(Properties!A$1:CB$87,Formula!H8,4)&lt;&gt;"",INDEX(Properties!A$1:CB$87,Formula!H8,4)),IF(INDEX(Properties!A$1:CB$87,Formula!J8,4)&lt;&gt;"",INDEX(Properties!A$1:CB$87,Formula!J8,4)))</f>
        <v>793.6</v>
      </c>
      <c r="K8" s="87">
        <f>MAX(INDEX(Properties!A$1:CB$87,Formula!B8,4),INDEX(Properties!A$1:CB$87,Formula!D8,4),INDEX(Properties!A$1:CB$87,Formula!F8,4),INDEX(Properties!A$1:CB$87,Formula!H8,4),INDEX(Properties!A$1:CB$87,Formula!J8,4))</f>
        <v>72</v>
      </c>
      <c r="L8" s="87">
        <f>MIN(IF(INDEX(Properties!A$1:CB$87,Formula!B8,4)=0,10^6,INDEX(Properties!A$1:CB$87,Formula!B8,4)),IF(INDEX(Properties!A$1:CB$87,Formula!D8,4)=0,10^6,INDEX(Properties!A$1:CB$87,Formula!D8,4)),IF(INDEX(Properties!A$1:CB$87,Formula!F8,4)=0,10^6,INDEX(Properties!A$1:CB$87,Formula!F8,4)),IF(INDEX(Properties!A$1:CB$87,Formula!H8,4)=0,10^6,INDEX(Properties!A$1:CB$87,Formula!H8,4)),IF(INDEX(Properties!A$1:CB$87,Formula!J8,4)=0,10^6,INDEX(Properties!A$1:CB$87,Formula!J8,4)))</f>
        <v>8</v>
      </c>
      <c r="M8" s="87">
        <f t="shared" si="1"/>
        <v>64</v>
      </c>
      <c r="N8" s="89">
        <f>((Formula!C8)/(Formula!C8+Formula!E8+Formula!G8+Formula!I8+Formula!K8))*(INDEX(Properties!A$1:CB$87,Formula!B8,5))+((Formula!E8)/(Formula!C8+Formula!E8+Formula!G8+Formula!I8+Formula!K8))*(INDEX(Properties!A$1:CB$87,Formula!D8,5))+((Formula!G8)/(Formula!C8+Formula!E8+Formula!G8+Formula!I8+Formula!K8))*(INDEX(Properties!A$1:CB$87,Formula!F8,5))+((Formula!I8)/(Formula!C8+Formula!E8+Formula!G8+Formula!I8+Formula!K8))*(INDEX(Properties!A$1:CB$87,Formula!H8,5))+((Formula!K8)/(Formula!C8+Formula!E8+Formula!G8+Formula!I8+Formula!K8))*(INDEX(Properties!A$1:CB$87,Formula!J8,5))</f>
        <v>3.333333333333333</v>
      </c>
      <c r="O8" s="89">
        <f>Formula!C8*(INDEX(Properties!A$1:CB$87,Formula!B8,5))+Formula!E8*(INDEX(Properties!A$1:CB$87,Formula!D8,5))+Formula!G8*(INDEX(Properties!A$1:CB$87,Formula!F8,5))+Formula!I8*(INDEX(Properties!A$1:CB$87,Formula!H8,5))+Formula!K8*(INDEX(Properties!A$1:CB$87,Formula!J8,5))</f>
        <v>10</v>
      </c>
      <c r="P8" s="89">
        <f>VARP(IF(INDEX(Properties!A$1:CB$87,Formula!B8,5)&lt;&gt;"",INDEX(Properties!A$1:CB$87,Formula!B8,5)),IF(INDEX(Properties!A$1:CB$87,Formula!D8,5)&lt;&gt;"",INDEX(Properties!A$1:CB$87,Formula!D8,5)),IF(INDEX(Properties!A$1:CB$87,Formula!F8,5)&lt;&gt;"",INDEX(Properties!A$1:CB$87,Formula!F8,5)),IF(INDEX(Properties!A$1:CB$87,Formula!H8,5)&lt;&gt;"",INDEX(Properties!A$1:CB$87,Formula!H8,5)),IF(INDEX(Properties!A$1:CB$87,Formula!J8,5)&lt;&gt;"",INDEX(Properties!A$1:CB$87,Formula!J8,5)))</f>
        <v>5.44</v>
      </c>
      <c r="Q8" s="89">
        <f>MAX(INDEX(Properties!A$1:CB$87,Formula!B8,5),INDEX(Properties!A$1:CB$87,Formula!D8,5),INDEX(Properties!A$1:CB$87,Formula!F8,5),INDEX(Properties!A$1:CB$87,Formula!H8,5),INDEX(Properties!A$1:CB$87,Formula!J8,5))</f>
        <v>6</v>
      </c>
      <c r="R8" s="89">
        <f>MIN(IF(INDEX(Properties!A$1:CB$87,Formula!B8,5)=0,10^6,INDEX(Properties!A$1:CB$87,Formula!B8,5)),IF(INDEX(Properties!A$1:CB$87,Formula!D8,5)=0,10^6,INDEX(Properties!A$1:CB$87,Formula!D8,5)),IF(INDEX(Properties!A$1:CB$87,Formula!F8,5)=0,10^6,INDEX(Properties!A$1:CB$87,Formula!F8,5)),IF(INDEX(Properties!A$1:CB$87,Formula!H8,5)=0,10^6,INDEX(Properties!A$1:CB$87,Formula!H8,5)),IF(INDEX(Properties!A$1:CB$87,Formula!J8,5)=0,10^6,INDEX(Properties!A$1:CB$87,Formula!J8,5)))</f>
        <v>2</v>
      </c>
      <c r="S8" s="89">
        <f t="shared" si="2"/>
        <v>4</v>
      </c>
      <c r="T8" s="60">
        <f>((Formula!C8)/(Formula!C8+Formula!E8+Formula!G8+Formula!I8+Formula!K8))*(INDEX(Properties!A$1:CB$87,Formula!B8,6))+((Formula!E8)/(Formula!C8+Formula!E8+Formula!G8+Formula!I8+Formula!K8))*(INDEX(Properties!A$1:CB$87,Formula!D8,6))+((Formula!G8)/(Formula!C8+Formula!E8+Formula!G8+Formula!I8+Formula!K8))*(INDEX(Properties!A$1:CB$87,Formula!F8,6))+((Formula!I8)/(Formula!C8+Formula!E8+Formula!G8+Formula!I8+Formula!K8))*(INDEX(Properties!A$1:CB$87,Formula!H8,6))+((Formula!K8)/(Formula!C8+Formula!E8+Formula!G8+Formula!I8+Formula!K8))*(INDEX(Properties!A$1:CB$87,Formula!J8,6))</f>
        <v>12</v>
      </c>
      <c r="U8" s="60">
        <f>Formula!C8*(INDEX(Properties!A$1:CB$87,Formula!B8,6))+Formula!E8*(INDEX(Properties!A$1:CB$87,Formula!D8,6))+Formula!G8*(INDEX(Properties!A$1:CB$87,Formula!F8,6))+Formula!I8*(INDEX(Properties!A$1:CB$87,Formula!H8,6))+Formula!K8*(INDEX(Properties!A$1:CB$87,Formula!J8,6))</f>
        <v>36</v>
      </c>
      <c r="V8" s="89">
        <f>VARP(IF(INDEX(Properties!A$1:CB$87,Formula!B8,6)&lt;&gt;"",INDEX(Properties!A$1:CB$87,Formula!B8,6)),IF(INDEX(Properties!A$1:CB$87,Formula!D8,6)&lt;&gt;"",INDEX(Properties!A$1:CB$87,Formula!D8,6)),IF(INDEX(Properties!A$1:CB$87,Formula!F8,6)&lt;&gt;"",INDEX(Properties!A$1:CB$87,Formula!F8,6)),IF(INDEX(Properties!A$1:CB$87,Formula!H8,6)&lt;&gt;"",INDEX(Properties!A$1:CB$87,Formula!H8,6)),IF(INDEX(Properties!A$1:CB$87,Formula!J8,6)&lt;&gt;"",INDEX(Properties!A$1:CB$87,Formula!J8,6)))</f>
        <v>38.4</v>
      </c>
      <c r="W8" s="60">
        <f>MAX(INDEX(Properties!A$1:CB$87,Formula!B8,6),INDEX(Properties!A$1:CB$87,Formula!D8,6),INDEX(Properties!A$1:CB$87,Formula!F8,6),INDEX(Properties!A$1:CB$87,Formula!H8,4),INDEX(Properties!A$1:CB$87,Formula!J8,6))</f>
        <v>16</v>
      </c>
      <c r="X8" s="60">
        <f>MIN(IF(INDEX(Properties!A$1:CB$87,Formula!B8,6)=0,10^6,INDEX(Properties!A$1:CB$87,Formula!B8,6)),IF(INDEX(Properties!A$1:CB$87,Formula!D8,6)=0,10^6,INDEX(Properties!A$1:CB$87,Formula!D8,6)),IF(INDEX(Properties!A$1:CB$87,Formula!F8,6)=0,10^6,INDEX(Properties!A$1:CB$87,Formula!F8,6)),IF(INDEX(Properties!A$1:CB$87,Formula!H8,6)=0,10^6,INDEX(Properties!A$1:CB$87,Formula!H8,6)),IF(INDEX(Properties!A$1:CB$87,Formula!J8,6)=0,10^6,INDEX(Properties!A$1:CB$87,Formula!J8,6)))</f>
        <v>4</v>
      </c>
      <c r="Y8" s="60">
        <f t="shared" si="3"/>
        <v>12</v>
      </c>
      <c r="Z8" s="72">
        <f>((Formula!C8)/(Formula!C8+Formula!E8+Formula!G8+Formula!I8+Formula!K8))*(INDEX(Properties!A$1:CB$87,Formula!B8,9))+((Formula!E8)/(Formula!C8+Formula!E8+Formula!G8+Formula!I8+Formula!K8))*(INDEX(Properties!A$1:CB$87,Formula!D8,9))+((Formula!G8)/(Formula!C8+Formula!E8+Formula!G8+Formula!I8+Formula!K8))*(INDEX(Properties!A$1:CB$87,Formula!F8,9))+((Formula!I8)/(Formula!C8+Formula!E8+Formula!G8+Formula!I8+Formula!K8))*(INDEX(Properties!A$1:CB$87,Formula!H8,9))+((Formula!K8)/(Formula!C8+Formula!E8+Formula!G8+Formula!I8+Formula!K8))*(INDEX(Properties!A$1:CB$87,Formula!J8,9))</f>
        <v>73</v>
      </c>
      <c r="AA8" s="72">
        <f>Formula!C8*(INDEX(Properties!A$1:CB$87,Formula!B8,9))+Formula!E8*(INDEX(Properties!A$1:CB$87,Formula!D8,9))+Formula!G8*(INDEX(Properties!A$1:CB$87,Formula!F8,9))+Formula!I8*(INDEX(Properties!A$1:CB$87,Formula!H8,9))+Formula!K8*(INDEX(Properties!A$1:CB$87,Formula!J8,9))</f>
        <v>219</v>
      </c>
      <c r="AB8" s="72">
        <f>VARP(IF(INDEX(Properties!A$1:CB$87,Formula!B8,9)&lt;&gt;"",INDEX(Properties!A$1:CB$87,Formula!B8,9)),IF(INDEX(Properties!A$1:CB$87,Formula!D8,9)&lt;&gt;"",INDEX(Properties!A$1:CB$87,Formula!D8,9)),IF(INDEX(Properties!A$1:CB$87,Formula!F8,9)&lt;&gt;"",INDEX(Properties!A$1:CB$87,Formula!F8,9)),IF(INDEX(Properties!A$1:CB$87,Formula!H8,9)&lt;&gt;"",INDEX(Properties!A$1:CB$87,Formula!H8,9)),IF(INDEX(Properties!A$1:CB$87,Formula!J8,9)&lt;&gt;"",INDEX(Properties!A$1:CB$87,Formula!J8,9)))</f>
        <v>1221.8399999999999</v>
      </c>
      <c r="AC8" s="72">
        <f>MAX(INDEX(Properties!A$1:CB$87,Formula!B8,9),INDEX(Properties!A$1:CB$87,Formula!D8,9),INDEX(Properties!A$1:CB$87,Formula!F8,9),INDEX(Properties!A$1:CB$87,Formula!H8,9),INDEX(Properties!A$1:CB$87,Formula!J8,9))</f>
        <v>87</v>
      </c>
      <c r="AD8" s="72">
        <f>MIN(IF(INDEX(Properties!A$1:CB$87,Formula!B8,9)=0,10^6,INDEX(Properties!A$1:CB$87,Formula!B8,9)),IF(INDEX(Properties!A$1:CB$87,Formula!D8,9)=0,10^6,INDEX(Properties!A$1:CB$87,Formula!D8,9)),IF(INDEX(Properties!A$1:CB$87,Formula!F8,9)=0,10^6,INDEX(Properties!A$1:CB$87,Formula!F8,9)),IF(INDEX(Properties!A$1:CB$87,Formula!H8,9)=0,10^6,INDEX(Properties!A$1:CB$87,Formula!H8,9)),IF(INDEX(Properties!A$1:CB$87,Formula!J8,9)=0,10^6,INDEX(Properties!A$1:CB$87,Formula!J8,9)))</f>
        <v>45</v>
      </c>
      <c r="AE8" s="72">
        <f t="shared" si="4"/>
        <v>42</v>
      </c>
      <c r="AF8" s="51">
        <f>((Formula!C8)/(Formula!C8+Formula!E8+Formula!G8+Formula!I8+Formula!K8))*(INDEX(Properties!A$1:CB$87,Formula!B8,10))+((Formula!E8)/(Formula!C8+Formula!E8+Formula!G8+Formula!I8+Formula!K8))*(INDEX(Properties!A$1:CB$87,Formula!D8,10))+((Formula!G8)/(Formula!C8+Formula!E8+Formula!G8+Formula!I8+Formula!K8))*(INDEX(Properties!A$1:CB$87,Formula!F8,10))+((Formula!I8)/(Formula!C8+Formula!E8+Formula!G8+Formula!I8+Formula!K8))*(INDEX(Properties!A$1:CB$87,Formula!H8,10))+((Formula!K8)/(Formula!C8+Formula!E8+Formula!G8+Formula!I8+Formula!K8))*(INDEX(Properties!A$1:CB$87,Formula!J8,10))</f>
        <v>5.9999999999999991</v>
      </c>
      <c r="AG8" s="51">
        <f>Formula!C8*(INDEX(Properties!A$1:CB$87,Formula!B8,10))+Formula!E8*(INDEX(Properties!A$1:CB$87,Formula!D8,10))+Formula!G8*(INDEX(Properties!A$1:CB$87,Formula!F8,10))+Formula!I8*(INDEX(Properties!A$1:CB$87,Formula!H8,10))+Formula!K8*(INDEX(Properties!A$1:CB$87,Formula!J8,10))</f>
        <v>18</v>
      </c>
      <c r="AH8" s="51">
        <f>VARP(IF(INDEX(Properties!A$1:CB$87,Formula!B8,10)&lt;&gt;"",INDEX(Properties!A$1:CB$87,Formula!B8,10)),IF(INDEX(Properties!A$1:CB$87,Formula!D8,10)&lt;&gt;"",INDEX(Properties!A$1:CB$87,Formula!D8,10)),IF(INDEX(Properties!A$1:CB$87,Formula!F8,10)&lt;&gt;"",INDEX(Properties!A$1:CB$87,Formula!F8,10)),IF(INDEX(Properties!A$1:CB$87,Formula!H8,10)&lt;&gt;"",INDEX(Properties!A$1:CB$87,Formula!H8,10)),IF(INDEX(Properties!A$1:CB$87,Formula!J8,10)&lt;&gt;"",INDEX(Properties!A$1:CB$87,Formula!J8,10)))</f>
        <v>8.16</v>
      </c>
      <c r="AI8" s="51">
        <f>MAX(INDEX(Properties!A$1:CB$87,Formula!B8,10),INDEX(Properties!A$1:CB$87,Formula!D8,10),INDEX(Properties!A$1:CB$87,Formula!F8,10),INDEX(Properties!A$1:CB$87,Formula!H8,10),INDEX(Properties!A$1:CB$87,Formula!J8,10))</f>
        <v>7</v>
      </c>
      <c r="AJ8" s="51">
        <f>MIN(IF(INDEX(Properties!A$1:CB$87,Formula!B8,10)=0,10^6,INDEX(Properties!A$1:CB$87,Formula!B8,10)),IF(INDEX(Properties!A$1:CB$87,Formula!D8,10)=0,10^6,INDEX(Properties!A$1:CB$87,Formula!D8,10)),IF(INDEX(Properties!A$1:CB$87,Formula!F8,10)=0,10^6,INDEX(Properties!A$1:CB$87,Formula!F8,10)),IF(INDEX(Properties!A$1:CB$87,Formula!H8,10)=0,10^6,INDEX(Properties!A$1:CB$87,Formula!H8,10)),IF(INDEX(Properties!A$1:CB$87,Formula!J8,10)=0,10^6,INDEX(Properties!A$1:CB$87,Formula!J8,10)))</f>
        <v>4</v>
      </c>
      <c r="AK8" s="51">
        <f t="shared" si="5"/>
        <v>3</v>
      </c>
      <c r="AL8" s="57">
        <f>((Formula!C8)/(Formula!C8+Formula!E8+Formula!G8+Formula!I8+Formula!K8))*(INDEX(Properties!A$1:CB$87,Formula!B8,11))+((Formula!E8)/(Formula!C8+Formula!E8+Formula!G8+Formula!I8+Formula!K8))*(INDEX(Properties!A$1:CB$87,Formula!D8,11))+((Formula!G8)/(Formula!C8+Formula!E8+Formula!G8+Formula!I8+Formula!K8))*(INDEX(Properties!A$1:CB$87,Formula!F8,11))+((Formula!I8)/(Formula!C8+Formula!E8+Formula!G8+Formula!I8+Formula!K8))*(INDEX(Properties!A$1:CB$87,Formula!H8,11))+((Formula!K8)/(Formula!C8+Formula!E8+Formula!G8+Formula!I8+Formula!K8))*(INDEX(Properties!A$1:CB$87,Formula!J8,11))</f>
        <v>2</v>
      </c>
      <c r="AM8" s="57">
        <f>Formula!C8*(INDEX(Properties!A$1:CB$87,Formula!B8,11))+Formula!E8*(INDEX(Properties!A$1:CB$87,Formula!D8,11))+Formula!G8*(INDEX(Properties!A$1:CB$87,Formula!F8,11))+Formula!I8*(INDEX(Properties!A$1:CB$87,Formula!H8,11))+Formula!K8*(INDEX(Properties!A$1:CB$87,Formula!J8,11))</f>
        <v>6</v>
      </c>
      <c r="AN8" s="57">
        <f>VARP(IF(INDEX(Properties!A$1:CB$87,Formula!B8,11)&lt;&gt;"",INDEX(Properties!A$1:CB$87,Formula!B8,11)),IF(INDEX(Properties!A$1:CB$87,Formula!D8,11)&lt;&gt;"",INDEX(Properties!A$1:CB$87,Formula!D8,11)),IF(INDEX(Properties!A$1:CB$87,Formula!F8,11)&lt;&gt;"",INDEX(Properties!A$1:CB$87,Formula!F8,11)),IF(INDEX(Properties!A$1:CB$87,Formula!H8,11)&lt;&gt;"",INDEX(Properties!A$1:CB$87,Formula!H8,11)),IF(INDEX(Properties!A$1:CB$87,Formula!J8,11)&lt;&gt;"",INDEX(Properties!A$1:CB$87,Formula!J8,11)))</f>
        <v>0.96</v>
      </c>
      <c r="AO8" s="57">
        <f>MAX(INDEX(Properties!A$1:CB$87,Formula!B8,11),INDEX(Properties!A$1:CB$87,Formula!D8,11),INDEX(Properties!A$1:CB$87,Formula!F8,11),INDEX(Properties!A$1:CB$87,Formula!H8,11),INDEX(Properties!A$1:CB$87,Formula!J8,11))</f>
        <v>2</v>
      </c>
      <c r="AP8" s="57">
        <f>MIN(IF(Formula!B8=87,10^6,INDEX(Properties!A$1:CB$87,Formula!B8,11)),IF((Formula!D8)=87,10^6,INDEX(Properties!A$1:CB$87,Formula!D8,11)),IF((Formula!F8)=87,10^6,INDEX(Properties!A$1:CB$87,Formula!F8,11)),IF((Formula!H8)=87,10^6,INDEX(Properties!A$1:CB$87,Formula!H8,11)),IF(Formula!J8=87,10^6,INDEX(Properties!A$1:CB$87,Formula!J8,11)))</f>
        <v>2</v>
      </c>
      <c r="AQ8" s="57">
        <f t="shared" si="6"/>
        <v>0</v>
      </c>
      <c r="AR8" s="78">
        <f>((Formula!C8)/(Formula!C8+Formula!E8+Formula!G8+Formula!I8+Formula!K8))*(INDEX(Properties!A$1:CB$87,Formula!B8,12))+((Formula!E8)/(Formula!C8+Formula!E8+Formula!G8+Formula!I8+Formula!K8))*(INDEX(Properties!A$1:CB$87,Formula!D8,12))+((Formula!G8)/(Formula!C8+Formula!E8+Formula!G8+Formula!I8+Formula!K8))*(INDEX(Properties!A$1:CB$87,Formula!F8,12))+((Formula!I8)/(Formula!C8+Formula!E8+Formula!G8+Formula!I8+Formula!K8))*(INDEX(Properties!A$1:CB$87,Formula!H8,12))+((Formula!K8)/(Formula!C8+Formula!E8+Formula!G8+Formula!I8+Formula!K8))*(INDEX(Properties!A$1:CB$87,Formula!J8,12))</f>
        <v>2.6666666666666665</v>
      </c>
      <c r="AS8" s="78">
        <f>Formula!C8*(INDEX(Properties!A$1:CB$87,Formula!B8,12))+Formula!E8*(INDEX(Properties!A$1:CB$87,Formula!D8,12))+Formula!G8*(INDEX(Properties!A$1:CB$87,Formula!F8,12))+Formula!I8*(INDEX(Properties!A$1:CB$87,Formula!H8,12))+Formula!K8*(INDEX(Properties!A$1:CB$87,Formula!J8,12))</f>
        <v>8</v>
      </c>
      <c r="AT8" s="78">
        <f>VARP(IF(INDEX(Properties!A$1:CB$87,Formula!B8,12)&lt;&gt;"",INDEX(Properties!A$1:CB$87,Formula!B8,12)),IF(INDEX(Properties!A$1:CB$87,Formula!D8,12)&lt;&gt;"",INDEX(Properties!A$1:CB$87,Formula!D8,12)),IF(INDEX(Properties!A$1:CB$87,Formula!F8,12)&lt;&gt;"",INDEX(Properties!A$1:CB$87,Formula!F8,12)),IF(INDEX(Properties!A$1:CB$87,Formula!H8,12)&lt;&gt;"",INDEX(Properties!A$1:CB$87,Formula!H8,12)),IF(INDEX(Properties!A$1:CB$87,Formula!J8,12)&lt;&gt;"",INDEX(Properties!A$1:CB$87,Formula!J8,12)))</f>
        <v>2.56</v>
      </c>
      <c r="AU8" s="78">
        <f>MAX(INDEX(Properties!A$1:CB$87,Formula!B8,12),INDEX(Properties!A$1:CB$87,Formula!D8,12),INDEX(Properties!A$1:CB$87,Formula!F8,12),INDEX(Properties!A$1:CB$87,Formula!H8,12),INDEX(Properties!A$1:CB$87,Formula!J8,12))</f>
        <v>4</v>
      </c>
      <c r="AV8" s="78">
        <f>MIN(IF(Formula!B8=87,10^6,INDEX(Properties!A$1:CB$87,Formula!B8,12)),IF((Formula!D8)=87,10^6,INDEX(Properties!A$1:CB$87,Formula!D8,12)),IF((Formula!F8)=87,10^6,INDEX(Properties!A$1:CB$87,Formula!F8,12)),IF((Formula!H8)=87,10^6,INDEX(Properties!A$1:CB$87,Formula!H8,12)),IF(Formula!J8=87,10^6,INDEX(Properties!A$1:CB$87,Formula!J8,12)))</f>
        <v>0</v>
      </c>
      <c r="AW8" s="78">
        <f t="shared" si="7"/>
        <v>4</v>
      </c>
      <c r="AX8" s="45">
        <f>((Formula!C8)/(Formula!C8+Formula!E8+Formula!G8+Formula!I8+Formula!K8))*(INDEX(Properties!A$1:CB$87,Formula!B8,13))+((Formula!E8)/(Formula!C8+Formula!E8+Formula!G8+Formula!I8+Formula!K8))*(INDEX(Properties!A$1:CB$87,Formula!D8,13))+((Formula!G8)/(Formula!C8+Formula!E8+Formula!G8+Formula!I8+Formula!K8))*(INDEX(Properties!A$1:CB$87,Formula!F8,13))+((Formula!I8)/(Formula!C8+Formula!E8+Formula!G8+Formula!I8+Formula!K8))*(INDEX(Properties!A$1:CB$87,Formula!H8,13))+((Formula!K8)/(Formula!C8+Formula!E8+Formula!G8+Formula!I8+Formula!K8))*(INDEX(Properties!A$1:CB$87,Formula!J8,13))</f>
        <v>0.66666666666666663</v>
      </c>
      <c r="AY8" s="45">
        <f>Formula!C8*(INDEX(Properties!A$1:CB$87,Formula!B8,13))+Formula!E8*(INDEX(Properties!A$1:CB$87,Formula!D8,13))+Formula!G8*(INDEX(Properties!A$1:CB$87,Formula!F8,13))+Formula!I8*(INDEX(Properties!A$1:CB$87,Formula!H8,13))+Formula!K8*(INDEX(Properties!A$1:CB$87,Formula!J8,13))</f>
        <v>2</v>
      </c>
      <c r="AZ8" s="45">
        <f>VARP(IF(INDEX(Properties!A$1:CB$87,Formula!B8,13)&lt;&gt;"",INDEX(Properties!A$1:CB$87,Formula!B8,13)),IF(INDEX(Properties!A$1:CB$87,Formula!D8,13)&lt;&gt;"",INDEX(Properties!A$1:CB$87,Formula!D8,13)),IF(INDEX(Properties!A$1:CB$87,Formula!F8,13)&lt;&gt;"",INDEX(Properties!A$1:CB$87,Formula!F8,13)),IF(INDEX(Properties!A$1:CB$87,Formula!H8,13)&lt;&gt;"",INDEX(Properties!A$1:CB$87,Formula!H8,13)),IF(INDEX(Properties!A$1:CB$87,Formula!J8,13)&lt;&gt;"",INDEX(Properties!A$1:CB$87,Formula!J8,13)))</f>
        <v>0.64</v>
      </c>
      <c r="BA8" s="45">
        <f>MAX(INDEX(Properties!A$1:CB$87,Formula!B8,13),INDEX(Properties!A$1:CB$87,Formula!D8,13),INDEX(Properties!A$1:CB$87,Formula!F8,13),INDEX(Properties!A$1:CB$87,Formula!H8,13),INDEX(Properties!A$1:CB$87,Formula!J8,13))</f>
        <v>2</v>
      </c>
      <c r="BB8" s="45">
        <f>MIN(IF(Formula!B8=87,10^6,INDEX(Properties!A$1:CB$87,Formula!B8,13)),IF((Formula!D8)=87,10^6,INDEX(Properties!A$1:CB$87,Formula!D8,13)),IF((Formula!F8)=87,10^6,INDEX(Properties!A$1:CB$87,Formula!F8,13)),IF((Formula!H8)=87,10^6,INDEX(Properties!A$1:CB$87,Formula!H8,13)),IF(Formula!J8=87,10^6,INDEX(Properties!A$1:CB$87,Formula!J8,13)))</f>
        <v>0</v>
      </c>
      <c r="BC8" s="45">
        <f t="shared" si="8"/>
        <v>2</v>
      </c>
      <c r="BD8" s="63">
        <f>((Formula!C8)/(Formula!C8+Formula!E8+Formula!G8+Formula!I8+Formula!K8))*(INDEX(Properties!A$1:CB$87,Formula!B8,14))+((Formula!E8)/(Formula!C8+Formula!E8+Formula!G8+Formula!I8+Formula!K8))*(INDEX(Properties!A$1:CB$87,Formula!D8,14))+((Formula!G8)/(Formula!C8+Formula!E8+Formula!G8+Formula!I8+Formula!K8))*(INDEX(Properties!A$1:CB$87,Formula!F8,14))+((Formula!I8)/(Formula!C8+Formula!E8+Formula!G8+Formula!I8+Formula!K8))*(INDEX(Properties!A$1:CB$87,Formula!H8,14))+((Formula!K8)/(Formula!C8+Formula!E8+Formula!G8+Formula!I8+Formula!K8))*(INDEX(Properties!A$1:CB$87,Formula!J8,14))</f>
        <v>4.6666666666666661</v>
      </c>
      <c r="BE8" s="63">
        <f>Formula!C8*(INDEX(Properties!A$1:CB$87,Formula!B8,14))+Formula!E8*(INDEX(Properties!A$1:CB$87,Formula!D8,14))+Formula!G8*(INDEX(Properties!A$1:CB$87,Formula!F8,14))+Formula!I8*(INDEX(Properties!A$1:CB$87,Formula!H8,14))+Formula!K8*(INDEX(Properties!A$1:CB$87,Formula!J8,14))</f>
        <v>14</v>
      </c>
      <c r="BF8" s="63">
        <f>VARP(IF(INDEX(Properties!A$1:CB$87,Formula!B8,14)&lt;&gt;"",INDEX(Properties!A$1:CB$87,Formula!B8,14)),IF(INDEX(Properties!A$1:CB$87,Formula!D8,14)&lt;&gt;"",INDEX(Properties!A$1:CB$87,Formula!D8,14)),IF(INDEX(Properties!A$1:CB$87,Formula!F8,14)&lt;&gt;"",INDEX(Properties!A$1:CB$87,Formula!F8,14)),IF(INDEX(Properties!A$1:CB$87,Formula!H8,14)&lt;&gt;"",INDEX(Properties!A$1:CB$87,Formula!H8,14)),IF(INDEX(Properties!A$1:CB$87,Formula!J8,14)&lt;&gt;"",INDEX(Properties!A$1:CB$87,Formula!J8,14)))</f>
        <v>31.36</v>
      </c>
      <c r="BG8" s="63">
        <f>MAX(INDEX(Properties!A$1:CB$87,Formula!B8,14),INDEX(Properties!A$1:CB$87,Formula!D8,14),INDEX(Properties!A$1:CB$87,Formula!F8,14),INDEX(Properties!A$1:CB$87,Formula!H8,14),INDEX(Properties!A$1:CB$87,Formula!J8,14))</f>
        <v>14</v>
      </c>
      <c r="BH8" s="63">
        <f>MIN(IF(Formula!B8=87,10^6,INDEX(Properties!A$1:CB$87,Formula!B8,14)),IF((Formula!D8)=87,10^6,INDEX(Properties!A$1:CB$87,Formula!D8,14)),IF((Formula!F8)=87,10^6,INDEX(Properties!A$1:CB$87,Formula!F8,14)),IF((Formula!H8)=87,10^6,INDEX(Properties!A$1:CB$87,Formula!H8,14)),IF(Formula!J8=87,10^6,INDEX(Properties!A$1:CB$87,Formula!J8,14)))</f>
        <v>0</v>
      </c>
      <c r="BI8" s="63">
        <f t="shared" si="9"/>
        <v>14</v>
      </c>
      <c r="BJ8" s="75">
        <f>((Formula!C8)/(Formula!C8+Formula!E8+Formula!G8+Formula!I8+Formula!K8))*(INDEX(Properties!A$1:CB$87,Formula!B8,19))+((Formula!E8)/(Formula!C8+Formula!E8+Formula!G8+Formula!I8+Formula!K8))*(INDEX(Properties!A$1:CB$87,Formula!D8,19))+((Formula!G8)/(Formula!C8+Formula!E8+Formula!G8+Formula!I8+Formula!K8))*(INDEX(Properties!A$1:CB$87,Formula!F8,19))+((Formula!I8)/(Formula!C8+Formula!E8+Formula!G8+Formula!I8+Formula!K8))*(INDEX(Properties!A$1:CB$87,Formula!H8,19))+((Formula!K8)/(Formula!C8+Formula!E8+Formula!G8+Formula!I8+Formula!K8))*(INDEX(Properties!A$1:CB$87,Formula!J8,19))</f>
        <v>10</v>
      </c>
      <c r="BK8" s="75">
        <f>Formula!C8*(INDEX(Properties!A$1:CB$87,Formula!B8,19))+Formula!E8*(INDEX(Properties!A$1:CB$87,Formula!D8,19))+Formula!G8*(INDEX(Properties!A$1:CB$87,Formula!F8,19))+Formula!I8*(INDEX(Properties!A$1:CB$87,Formula!H8,19))+Formula!K8*(INDEX(Properties!A$1:CB$87,Formula!J8,19))</f>
        <v>30</v>
      </c>
      <c r="BL8" s="75">
        <f>VARP(IF(INDEX(Properties!A$1:CB$87,Formula!B8,19)&lt;&gt;"",INDEX(Properties!A$1:CB$87,Formula!B8,19)),IF(INDEX(Properties!A$1:CB$87,Formula!D8,19)&lt;&gt;"",INDEX(Properties!A$1:CB$87,Formula!D8,19)),IF(INDEX(Properties!A$1:CB$87,Formula!F8,19)&lt;&gt;"",INDEX(Properties!A$1:CB$87,Formula!F8,19)),IF(INDEX(Properties!A$1:CB$87,Formula!H8,19)&lt;&gt;"",INDEX(Properties!A$1:CB$87,Formula!H8,19)),IF(INDEX(Properties!A$1:CB$87,Formula!J8,19)&lt;&gt;"",INDEX(Properties!A$1:CB$87,Formula!J8,19)))</f>
        <v>48.96</v>
      </c>
      <c r="BM8" s="75">
        <f>MAX(INDEX(Properties!A$1:CB$87,Formula!B8,19),INDEX(Properties!A$1:CB$87,Formula!D8,19),INDEX(Properties!A$1:CB$87,Formula!F8,19),INDEX(Properties!A$1:CB$87,Formula!H8,19),INDEX(Properties!A$1:CB$87,Formula!J8,19))</f>
        <v>18</v>
      </c>
      <c r="BN8" s="75">
        <f>MIN(IF(INDEX(Properties!A$1:CB$87,Formula!B8,19)=0,10^6,INDEX(Properties!A$1:CB$87,Formula!B8,19)),IF(INDEX(Properties!A$1:CB$87,Formula!D8,19)=0,10^6,INDEX(Properties!A$1:CB$87,Formula!D8,19)),IF(INDEX(Properties!A$1:CB$87,Formula!F8,19)=0,10^6,INDEX(Properties!A$1:CB$87,Formula!F8,19)),IF(INDEX(Properties!A$1:CB$87,Formula!H8,19)=0,10^6,INDEX(Properties!A$1:CB$87,Formula!H8,19)),IF(INDEX(Properties!A$1:CB$87,Formula!J8,19)=0,10^6,INDEX(Properties!A$1:CB$87,Formula!J8,19)))</f>
        <v>6</v>
      </c>
      <c r="BO8" s="75">
        <f t="shared" si="10"/>
        <v>12</v>
      </c>
      <c r="BP8" s="48">
        <f>((Formula!C8)/(Formula!C8+Formula!E8+Formula!G8+Formula!I8+Formula!K8))*(INDEX(Properties!A$1:CB$87,Formula!B8,20))+((Formula!E8)/(Formula!C8+Formula!E8+Formula!G8+Formula!I8+Formula!K8))*(INDEX(Properties!A$1:CB$87,Formula!D8,20))+((Formula!G8)/(Formula!C8+Formula!E8+Formula!G8+Formula!I8+Formula!K8))*(INDEX(Properties!A$1:CB$87,Formula!F8,20))+((Formula!I8)/(Formula!C8+Formula!E8+Formula!G8+Formula!I8+Formula!K8))*(INDEX(Properties!A$1:CB$87,Formula!H8,20))+((Formula!K8)/(Formula!C8+Formula!E8+Formula!G8+Formula!I8+Formula!K8))*(INDEX(Properties!A$1:CB$87,Formula!J8,20))</f>
        <v>4.666666666666667</v>
      </c>
      <c r="BQ8" s="48">
        <f>Formula!C8*(INDEX(Properties!A$1:CB$87,Formula!B8,20))+Formula!E8*(INDEX(Properties!A$1:CB$87,Formula!D8,20))+Formula!G8*(INDEX(Properties!A$1:CB$87,Formula!F8,20))+Formula!I8*(INDEX(Properties!A$1:CB$87,Formula!H8,20))+Formula!K8*(INDEX(Properties!A$1:CB$87,Formula!J8,20))</f>
        <v>14</v>
      </c>
      <c r="BR8" s="48">
        <f>VARP(IF(INDEX(Properties!A$1:CB$87,Formula!B8,20)&lt;&gt;"",INDEX(Properties!A$1:CB$87,Formula!B8,20)),IF(INDEX(Properties!A$1:CB$87,Formula!D8,20)&lt;&gt;"",INDEX(Properties!A$1:CB$87,Formula!D8,20)),IF(INDEX(Properties!A$1:CB$87,Formula!F8,20)&lt;&gt;"",INDEX(Properties!A$1:CB$87,Formula!F8,20)),IF(INDEX(Properties!A$1:CB$87,Formula!H8,20)&lt;&gt;"",INDEX(Properties!A$1:CB$87,Formula!H8,20)),IF(INDEX(Properties!A$1:CB$87,Formula!J8,20)&lt;&gt;"",INDEX(Properties!A$1:CB$87,Formula!J8,20)))</f>
        <v>5.44</v>
      </c>
      <c r="BS8" s="48">
        <f>MAX(INDEX(Properties!A$1:CB$87,Formula!B8,20),INDEX(Properties!A$1:CB$87,Formula!D8,20),INDEX(Properties!A$1:CB$87,Formula!F8,20),INDEX(Properties!A$1:CB$87,Formula!H8,20),INDEX(Properties!A$1:CB$87,Formula!J8,20))</f>
        <v>6</v>
      </c>
      <c r="BT8" s="48">
        <f>MIN(IF(INDEX(Properties!A$1:CB$87,Formula!B8,20)=0,10^6,INDEX(Properties!A$1:CB$87,Formula!B8,20)),IF(INDEX(Properties!A$1:CB$87,Formula!D8,20)=0,10^6,INDEX(Properties!A$1:CB$87,Formula!D8,20)),IF(INDEX(Properties!A$1:CB$87,Formula!F8,20)=0,10^6,INDEX(Properties!A$1:CB$87,Formula!F8,20)),IF(INDEX(Properties!A$1:CB$87,Formula!H8,20)=0,10^6,INDEX(Properties!A$1:CB$87,Formula!H8,20)),IF(INDEX(Properties!A$1:CB$87,Formula!J8,20)=0,10^6,INDEX(Properties!A$1:CB$87,Formula!J8,20)))</f>
        <v>2</v>
      </c>
      <c r="BU8" s="48">
        <f t="shared" si="11"/>
        <v>4</v>
      </c>
      <c r="BV8" s="66">
        <f>((Formula!C8)/(Formula!C8+Formula!E8+Formula!G8+Formula!I8+Formula!K8))*(INDEX(Properties!A$1:CB$87,Formula!B8,21))+((Formula!E8)/(Formula!C8+Formula!E8+Formula!G8+Formula!I8+Formula!K8))*(INDEX(Properties!A$1:CB$87,Formula!D8,21))+((Formula!G8)/(Formula!C8+Formula!E8+Formula!G8+Formula!I8+Formula!K8))*(INDEX(Properties!A$1:CB$87,Formula!F8,21))+((Formula!I8)/(Formula!C8+Formula!E8+Formula!G8+Formula!I8+Formula!K8))*(INDEX(Properties!A$1:CB$87,Formula!H8,21))+((Formula!K8)/(Formula!C8+Formula!E8+Formula!G8+Formula!I8+Formula!K8))*(INDEX(Properties!A$1:CB$87,Formula!J8,21))</f>
        <v>4.666666666666667</v>
      </c>
      <c r="BW8" s="66">
        <f>Formula!C8*(INDEX(Properties!A$1:CB$87,Formula!B8,21))+Formula!E8*(INDEX(Properties!A$1:CB$87,Formula!D8,21))+Formula!G8*(INDEX(Properties!A$1:CB$87,Formula!F8,21))+Formula!I8*(INDEX(Properties!A$1:CB$87,Formula!H8,21))+Formula!K8*(INDEX(Properties!A$1:CB$87,Formula!J8,21))</f>
        <v>14</v>
      </c>
      <c r="BX8" s="66">
        <f>VARP(IF(INDEX(Properties!A$1:CB$87,Formula!B8,21)&lt;&gt;"",INDEX(Properties!A$1:CB$87,Formula!B8,21)),IF(INDEX(Properties!A$1:CB$87,Formula!D8,21)&lt;&gt;"",INDEX(Properties!A$1:CB$87,Formula!D8,21)),IF(INDEX(Properties!A$1:CB$87,Formula!F8,21)&lt;&gt;"",INDEX(Properties!A$1:CB$87,Formula!F8,21)),IF(INDEX(Properties!A$1:CB$87,Formula!H8,21)&lt;&gt;"",INDEX(Properties!A$1:CB$87,Formula!H8,21)),IF(INDEX(Properties!A$1:CB$87,Formula!J8,21)&lt;&gt;"",INDEX(Properties!A$1:CB$87,Formula!J8,21)))</f>
        <v>5.44</v>
      </c>
      <c r="BY8" s="66">
        <f>MAX(INDEX(Properties!A$1:CB$87,Formula!B8,21),INDEX(Properties!A$1:CB$87,Formula!D8,21),INDEX(Properties!A$1:CB$87,Formula!F8,21),INDEX(Properties!A$1:CB$87,Formula!H8,21),INDEX(Properties!A$1:CB$87,Formula!J8,21))</f>
        <v>6</v>
      </c>
      <c r="BZ8" s="66">
        <f>MIN(IF(INDEX(Properties!A$1:CB$87,Formula!B8,21)=0,10^6,INDEX(Properties!A$1:CB$87,Formula!B8,21)),IF(INDEX(Properties!A$1:CB$87,Formula!D8,21)=0,10^6,INDEX(Properties!A$1:CB$87,Formula!D8,21)),IF(INDEX(Properties!A$1:CB$87,Formula!F8,21)=0,10^6,INDEX(Properties!A$1:CB$87,Formula!F8,21)),IF(INDEX(Properties!A$1:CB$87,Formula!H8,21)=0,10^6,INDEX(Properties!A$1:CB$87,Formula!H8,21)),IF(INDEX(Properties!A$1:CB$87,Formula!J8,21)=0,10^6,INDEX(Properties!A$1:CB$87,Formula!J8,21)))</f>
        <v>2</v>
      </c>
      <c r="CA8" s="66">
        <f t="shared" si="12"/>
        <v>4</v>
      </c>
      <c r="CB8" s="81">
        <f>((Formula!C8)/(Formula!C8+Formula!E8+Formula!G8+Formula!I8+Formula!K8))*(INDEX(Properties!A$1:CB$87,Formula!B8,23))+((Formula!E8)/(Formula!C8+Formula!E8+Formula!G8+Formula!I8+Formula!K8))*(INDEX(Properties!A$1:CB$87,Formula!D8,23))+((Formula!G8)/(Formula!C8+Formula!E8+Formula!G8+Formula!I8+Formula!K8))*(INDEX(Properties!A$1:CB$87,Formula!F8,23))+((Formula!I8)/(Formula!C8+Formula!E8+Formula!G8+Formula!I8+Formula!K8))*(INDEX(Properties!A$1:CB$87,Formula!H8,23))+((Formula!K8)/(Formula!C8+Formula!E8+Formula!G8+Formula!I8+Formula!K8))*(INDEX(Properties!A$1:CB$87,Formula!J8,23))</f>
        <v>1.3333333333333333</v>
      </c>
      <c r="CC8" s="81">
        <f>Formula!C8*(INDEX(Properties!A$1:CB$87,Formula!B8,23))+Formula!E8*(INDEX(Properties!A$1:CB$87,Formula!D8,23))+Formula!G8*(INDEX(Properties!A$1:CB$87,Formula!F8,23))+Formula!I8*(INDEX(Properties!A$1:CB$87,Formula!H8,23))+Formula!K8*(INDEX(Properties!A$1:CB$87,Formula!J8,23))</f>
        <v>4</v>
      </c>
      <c r="CD8" s="81">
        <f>VARP(IF(INDEX(Properties!A$1:CB$87,Formula!B8,23)&lt;&gt;"",INDEX(Properties!A$1:CB$87,Formula!B8,23)),IF(INDEX(Properties!A$1:CB$87,Formula!D8,23)&lt;&gt;"",INDEX(Properties!A$1:CB$87,Formula!D8,23)),IF(INDEX(Properties!A$1:CB$87,Formula!F8,23)&lt;&gt;"",INDEX(Properties!A$1:CB$87,Formula!F8,23)),IF(INDEX(Properties!A$1:CB$87,Formula!H8,23)&lt;&gt;"",INDEX(Properties!A$1:CB$87,Formula!H8,23)),IF(INDEX(Properties!A$1:CB$87,Formula!J8,23)&lt;&gt;"",INDEX(Properties!A$1:CB$87,Formula!J8,23)))</f>
        <v>2.56</v>
      </c>
      <c r="CE8" s="81">
        <f>MAX(INDEX(Properties!A$1:CB$87,Formula!B8,23),INDEX(Properties!A$1:CB$87,Formula!D8,23),INDEX(Properties!A$1:CB$87,Formula!F8,23),INDEX(Properties!A$1:CB$87,Formula!H8,23),INDEX(Properties!A$1:CB$87,Formula!J8,23))</f>
        <v>4</v>
      </c>
      <c r="CF8" s="81">
        <f>MIN(IF(Formula!B8=87,10^6,INDEX(Properties!A$1:CB$87,Formula!B8,23)),IF((Formula!D8)=87,10^6,INDEX(Properties!A$1:CB$87,Formula!D8,23)),IF((Formula!F8)=87,10^6,INDEX(Properties!A$1:CB$87,Formula!F8,23)),IF((Formula!H8)=87,10^6,INDEX(Properties!A$1:CB$87,Formula!H8,23)),IF(Formula!J8=87,10^6,INDEX(Properties!A$1:CB$87,Formula!J8,23)))</f>
        <v>0</v>
      </c>
      <c r="CG8" s="81">
        <f t="shared" si="13"/>
        <v>4</v>
      </c>
      <c r="CH8" s="39">
        <f>((Formula!C8)/(Formula!C8+Formula!E8+Formula!G8+Formula!I8+Formula!K8))*(INDEX(Properties!A$1:CB$87,Formula!B8,26))+((Formula!E8)/(Formula!C8+Formula!E8+Formula!G8+Formula!I8+Formula!K8))*(INDEX(Properties!A$1:CB$87,Formula!D8,26))+((Formula!G8)/(Formula!C8+Formula!E8+Formula!G8+Formula!I8+Formula!K8))*(INDEX(Properties!A$1:CB$87,Formula!F8,26))+((Formula!I8)/(Formula!C8+Formula!E8+Formula!G8+Formula!I8+Formula!K8))*(INDEX(Properties!A$1:CB$87,Formula!H8,26))+((Formula!K8)/(Formula!C8+Formula!E8+Formula!G8+Formula!I8+Formula!K8))*(INDEX(Properties!A$1:CB$87,Formula!J8,26))</f>
        <v>11.353766666666665</v>
      </c>
      <c r="CI8" s="39">
        <f>Formula!C8*(INDEX(Properties!A$1:CB$87,Formula!B8,26))+Formula!E8*(INDEX(Properties!A$1:CB$87,Formula!D8,26))+Formula!G8*(INDEX(Properties!A$1:CB$87,Formula!F8,26))+Formula!I8*(INDEX(Properties!A$1:CB$87,Formula!H8,26))+Formula!K8*(INDEX(Properties!A$1:CB$87,Formula!J8,26))</f>
        <v>34.061300000000003</v>
      </c>
      <c r="CJ8" s="39">
        <f>VARP(IF(INDEX(Properties!A$1:CB$87,Formula!B8,26)&lt;&gt;"",INDEX(Properties!A$1:CB$87,Formula!B8,26)),IF(INDEX(Properties!A$1:CB$87,Formula!D8,26)&lt;&gt;"",INDEX(Properties!A$1:CB$87,Formula!D8,26)),IF(INDEX(Properties!A$1:CB$87,Formula!F8,26)&lt;&gt;"",INDEX(Properties!A$1:CB$87,Formula!F8,26)),IF(INDEX(Properties!A$1:CB$87,Formula!H8,26)&lt;&gt;"",INDEX(Properties!A$1:CB$87,Formula!H8,26)),IF(INDEX(Properties!A$1:CB$87,Formula!J8,26)&lt;&gt;"",INDEX(Properties!A$1:CB$87,Formula!J8,26)))</f>
        <v>29.689950474400003</v>
      </c>
      <c r="CK8" s="39">
        <f>MAX(INDEX(Properties!A$1:CB$87,Formula!B8,26),INDEX(Properties!A$1:CB$87,Formula!D8,26),INDEX(Properties!A$1:CB$87,Formula!F8,26),INDEX(Properties!A$1:CB$87,Formula!H8,26),INDEX(Properties!A$1:CB$87,Formula!J8,26))</f>
        <v>13.6181</v>
      </c>
      <c r="CL8" s="39">
        <f>MIN(IF(INDEX(Properties!A$1:CB$87,Formula!B8,26)=0,10^6,INDEX(Properties!A$1:CB$87,Formula!B8,26)),IF(INDEX(Properties!A$1:CB$87,Formula!D8,26)=0,10^6,INDEX(Properties!A$1:CB$87,Formula!D8,26)),IF(INDEX(Properties!A$1:CB$87,Formula!F8,26)=0,10^6,INDEX(Properties!A$1:CB$87,Formula!F8,26)),IF(INDEX(Properties!A$1:CB$87,Formula!H8,26)=0,10^6,INDEX(Properties!A$1:CB$87,Formula!H8,26)),IF(INDEX(Properties!A$1:CB$87,Formula!J8,26)=0,10^6,INDEX(Properties!A$1:CB$87,Formula!J8,26)))</f>
        <v>6.8250999999999999</v>
      </c>
      <c r="CM8" s="39">
        <f t="shared" si="14"/>
        <v>6.7930000000000001</v>
      </c>
      <c r="CN8" s="54">
        <f>((Formula!C8)/(Formula!C8+Formula!E8+Formula!G8+Formula!I8+Formula!K8))*(INDEX(Properties!A$1:CB$87,Formula!B8,30))+((Formula!E8)/(Formula!C8+Formula!E8+Formula!G8+Formula!I8+Formula!K8))*(INDEX(Properties!A$1:CB$87,Formula!D8,30))+((Formula!G8)/(Formula!C8+Formula!E8+Formula!G8+Formula!I8+Formula!K8))*(INDEX(Properties!A$1:CB$87,Formula!F8,30))+((Formula!I8)/(Formula!C8+Formula!E8+Formula!G8+Formula!I8+Formula!K8))*(INDEX(Properties!A$1:CB$87,Formula!H8,30))+((Formula!K8)/(Formula!C8+Formula!E8+Formula!G8+Formula!I8+Formula!K8))*(INDEX(Properties!A$1:CB$87,Formula!J8,30))</f>
        <v>2.7266666666666666</v>
      </c>
      <c r="CO8" s="54">
        <f>Formula!C8*(INDEX(Properties!A$1:CB$87,Formula!B8,30))+Formula!E8*(INDEX(Properties!A$1:CB$87,Formula!D8,30))+Formula!G8*(INDEX(Properties!A$1:CB$87,Formula!F8,30))+Formula!I8*(INDEX(Properties!A$1:CB$87,Formula!H8,30))+Formula!K8*(INDEX(Properties!A$1:CB$87,Formula!J8,30))</f>
        <v>8.18</v>
      </c>
      <c r="CP8" s="54">
        <f>VARP(IF(INDEX(Properties!A$1:CB$87,Formula!B8,30)&lt;&gt;"",INDEX(Properties!A$1:CB$87,Formula!B8,30)),IF(INDEX(Properties!A$1:CB$87,Formula!D8,30)&lt;&gt;"",INDEX(Properties!A$1:CB$87,Formula!D8,30)),IF(INDEX(Properties!A$1:CB$87,Formula!F8,30)&lt;&gt;"",INDEX(Properties!A$1:CB$87,Formula!F8,30)),IF(INDEX(Properties!A$1:CB$87,Formula!H8,30)&lt;&gt;"",INDEX(Properties!A$1:CB$87,Formula!H8,30)),IF(INDEX(Properties!A$1:CB$87,Formula!J8,30)&lt;&gt;"",INDEX(Properties!A$1:CB$87,Formula!J8,30)))</f>
        <v>1.8060159999999996</v>
      </c>
      <c r="CQ8" s="54">
        <f>MAX(INDEX(Properties!A$1:CB$87,Formula!B8,30),INDEX(Properties!A$1:CB$87,Formula!D8,30),INDEX(Properties!A$1:CB$87,Formula!F8,30),INDEX(Properties!A$1:CB$87,Formula!H8,30),INDEX(Properties!A$1:CB$87,Formula!J8,30))</f>
        <v>3.44</v>
      </c>
      <c r="CR8" s="54">
        <f>MIN(IF(INDEX(Properties!A$1:CB$87,Formula!B8,30)=0,10^6,INDEX(Properties!A$1:CB$87,Formula!B8,30)),IF(INDEX(Properties!A$1:CB$87,Formula!D8,30)=0,10^6,INDEX(Properties!A$1:CB$87,Formula!D8,30)),IF(INDEX(Properties!A$1:CB$87,Formula!F8,30)=0,10^6,INDEX(Properties!A$1:CB$87,Formula!F8,30)),IF(INDEX(Properties!A$1:CB$87,Formula!H8,30)=0,10^6,INDEX(Properties!A$1:CB$87,Formula!H8,30)),IF(INDEX(Properties!A$1:CB$87,Formula!J8,30)=0,10^6,INDEX(Properties!A$1:CB$87,Formula!J8,30)))</f>
        <v>1.3</v>
      </c>
      <c r="CS8" s="54">
        <f t="shared" si="15"/>
        <v>2.1399999999999997</v>
      </c>
      <c r="CT8" s="69">
        <f>((Formula!C8)/(Formula!C8+Formula!E8+Formula!G8+Formula!I8+Formula!K8))*(INDEX(Properties!A$1:CB$87,Formula!B8,31))+((Formula!E8)/(Formula!C8+Formula!E8+Formula!G8+Formula!I8+Formula!K8))*(INDEX(Properties!A$1:CB$87,Formula!D8,31))+((Formula!G8)/(Formula!C8+Formula!E8+Formula!G8+Formula!I8+Formula!K8))*(INDEX(Properties!A$1:CB$87,Formula!F8,31))+((Formula!I8)/(Formula!C8+Formula!E8+Formula!G8+Formula!I8+Formula!K8))*(INDEX(Properties!A$1:CB$87,Formula!H8,31))+((Formula!K8)/(Formula!C8+Formula!E8+Formula!G8+Formula!I8+Formula!K8))*(INDEX(Properties!A$1:CB$87,Formula!J8,31))</f>
        <v>2.7899999999999996</v>
      </c>
      <c r="CU8" s="69">
        <f>Formula!C8*(INDEX(Properties!A$1:CB$87,Formula!B8,31))+Formula!E8*(INDEX(Properties!A$1:CB$87,Formula!D8,31))+Formula!G8*(INDEX(Properties!A$1:CB$87,Formula!F8,31))+Formula!I8*(INDEX(Properties!A$1:CB$87,Formula!H8,31))+Formula!K8*(INDEX(Properties!A$1:CB$87,Formula!J8,31))</f>
        <v>8.3699999999999992</v>
      </c>
      <c r="CV8" s="69">
        <f>VARP(IF(INDEX(Properties!A$1:CB$87,Formula!B8,31)&lt;&gt;"",INDEX(Properties!A$1:CB$87,Formula!B8,31)),IF(INDEX(Properties!A$1:CB$87,Formula!D8,31)&lt;&gt;"",INDEX(Properties!A$1:CB$87,Formula!D8,31)),IF(INDEX(Properties!A$1:CB$87,Formula!F8,31)&lt;&gt;"",INDEX(Properties!A$1:CB$87,Formula!F8,31)),IF(INDEX(Properties!A$1:CB$87,Formula!H8,31)&lt;&gt;"",INDEX(Properties!A$1:CB$87,Formula!H8,31)),IF(INDEX(Properties!A$1:CB$87,Formula!J8,31)&lt;&gt;"",INDEX(Properties!A$1:CB$87,Formula!J8,31)))</f>
        <v>1.7829599999999999</v>
      </c>
      <c r="CW8" s="69">
        <f>MAX(INDEX(Properties!A$1:CB$87,Formula!B8,31),INDEX(Properties!A$1:CB$87,Formula!D8,31),INDEX(Properties!A$1:CB$87,Formula!F8,31),INDEX(Properties!A$1:CB$87,Formula!H8,31),INDEX(Properties!A$1:CB$87,Formula!J8,31))</f>
        <v>3.32</v>
      </c>
      <c r="CX8" s="69">
        <f>MIN(IF(INDEX(Properties!A$1:CB$87,Formula!B8,31)=0,10^6,INDEX(Properties!A$1:CB$87,Formula!B8,31)),IF(INDEX(Properties!A$1:CB$87,Formula!D8,31)=0,10^6,INDEX(Properties!A$1:CB$87,Formula!D8,31)),IF(INDEX(Properties!A$1:CB$87,Formula!F8,31)=0,10^6,INDEX(Properties!A$1:CB$87,Formula!F8,31)),IF(INDEX(Properties!A$1:CB$87,Formula!H8,31)=0,10^6,INDEX(Properties!A$1:CB$87,Formula!H8,31)),IF(INDEX(Properties!A$1:CB$87,Formula!J8,31)=0,10^6,INDEX(Properties!A$1:CB$87,Formula!J8,31)))</f>
        <v>1.73</v>
      </c>
      <c r="CY8" s="69">
        <f t="shared" si="16"/>
        <v>1.5899999999999999</v>
      </c>
      <c r="CZ8" s="42">
        <f>((Formula!C8)/(Formula!C8+Formula!E8+Formula!G8+Formula!I8+Formula!K8))*(INDEX(Properties!A$1:CB$87,Formula!B8,32))+((Formula!E8)/(Formula!C8+Formula!E8+Formula!G8+Formula!I8+Formula!K8))*(INDEX(Properties!A$1:CB$87,Formula!D8,32))+((Formula!G8)/(Formula!C8+Formula!E8+Formula!G8+Formula!I8+Formula!K8))*(INDEX(Properties!A$1:CB$87,Formula!F8,32))+((Formula!I8)/(Formula!C8+Formula!E8+Formula!G8+Formula!I8+Formula!K8))*(INDEX(Properties!A$1:CB$87,Formula!H8,32))+((Formula!K8)/(Formula!C8+Formula!E8+Formula!G8+Formula!I8+Formula!K8))*(INDEX(Properties!A$1:CB$87,Formula!J8,32))</f>
        <v>6.293333333333333</v>
      </c>
      <c r="DA8" s="42">
        <f>Formula!C8*(INDEX(Properties!A$1:CB$87,Formula!B8,32))+Formula!E8*(INDEX(Properties!A$1:CB$87,Formula!D8,32))+Formula!G8*(INDEX(Properties!A$1:CB$87,Formula!F8,32))+Formula!I8*(INDEX(Properties!A$1:CB$87,Formula!H8,32))+Formula!K8*(INDEX(Properties!A$1:CB$87,Formula!J8,32))</f>
        <v>18.88</v>
      </c>
      <c r="DB8" s="42">
        <f>VARP(IF(INDEX(Properties!A$1:CB$87,Formula!B8,32)&lt;&gt;"",INDEX(Properties!A$1:CB$87,Formula!B8,32)),IF(INDEX(Properties!A$1:CB$87,Formula!D8,32)&lt;&gt;"",INDEX(Properties!A$1:CB$87,Formula!D8,32)),IF(INDEX(Properties!A$1:CB$87,Formula!F8,32)&lt;&gt;"",INDEX(Properties!A$1:CB$87,Formula!F8,32)),IF(INDEX(Properties!A$1:CB$87,Formula!H8,32)&lt;&gt;"",INDEX(Properties!A$1:CB$87,Formula!H8,32)),IF(INDEX(Properties!A$1:CB$87,Formula!J8,32)&lt;&gt;"",INDEX(Properties!A$1:CB$87,Formula!J8,32)))</f>
        <v>9.1144960000000008</v>
      </c>
      <c r="DC8" s="42">
        <f>MAX(INDEX(Properties!A$1:CB$87,Formula!B8,32),INDEX(Properties!A$1:CB$87,Formula!D8,32),INDEX(Properties!A$1:CB$87,Formula!F8,32),INDEX(Properties!A$1:CB$87,Formula!H8,32),INDEX(Properties!A$1:CB$87,Formula!J8,32))</f>
        <v>7.54</v>
      </c>
      <c r="DD8" s="42">
        <f>MIN(IF(INDEX(Properties!A$1:CB$87,Formula!B8,32)=0,10^6,INDEX(Properties!A$1:CB$87,Formula!B8,32)),IF(INDEX(Properties!A$1:CB$87,Formula!D8,32)=0,10^6,INDEX(Properties!A$1:CB$87,Formula!D8,32)),IF(INDEX(Properties!A$1:CB$87,Formula!F8,32)=0,10^6,INDEX(Properties!A$1:CB$87,Formula!F8,32)),IF(INDEX(Properties!A$1:CB$87,Formula!H8,32)=0,10^6,INDEX(Properties!A$1:CB$87,Formula!H8,32)),IF(INDEX(Properties!A$1:CB$87,Formula!J8,32)=0,10^6,INDEX(Properties!A$1:CB$87,Formula!J8,32)))</f>
        <v>3.8</v>
      </c>
      <c r="DE8" s="42">
        <f t="shared" si="17"/>
        <v>3.74</v>
      </c>
      <c r="DF8" s="60">
        <f>((Formula!C8)/(Formula!C8+Formula!E8+Formula!G8+Formula!I8+Formula!K8))*(INDEX(Properties!A$1:CB$87,Formula!B8,34))+((Formula!E8)/(Formula!C8+Formula!E8+Formula!G8+Formula!I8+Formula!K8))*(INDEX(Properties!A$1:CB$87,Formula!D8,34))+((Formula!G8)/(Formula!C8+Formula!E8+Formula!G8+Formula!I8+Formula!K8))*(INDEX(Properties!A$1:CB$87,Formula!F8,34))+((Formula!I8)/(Formula!C8+Formula!E8+Formula!G8+Formula!I8+Formula!K8))*(INDEX(Properties!A$1:CB$87,Formula!H8,34))+((Formula!K8)/(Formula!C8+Formula!E8+Formula!G8+Formula!I8+Formula!K8))*(INDEX(Properties!A$1:CB$87,Formula!J8,34))</f>
        <v>2.793333333333333</v>
      </c>
      <c r="DG8" s="60">
        <f>Formula!C8*(INDEX(Properties!A$1:CB$87,Formula!B8,34))+Formula!E8*(INDEX(Properties!A$1:CB$87,Formula!D8,34))+Formula!G8*(INDEX(Properties!A$1:CB$87,Formula!F8,34))+Formula!I8*(INDEX(Properties!A$1:CB$87,Formula!H8,34))+Formula!K8*(INDEX(Properties!A$1:CB$87,Formula!J8,34))</f>
        <v>8.379999999999999</v>
      </c>
      <c r="DH8" s="60">
        <f>VARP(IF(INDEX(Properties!A$1:CB$87,Formula!B8,34)&lt;&gt;"",INDEX(Properties!A$1:CB$87,Formula!B8,34)),IF(INDEX(Properties!A$1:CB$87,Formula!D8,34)&lt;&gt;"",INDEX(Properties!A$1:CB$87,Formula!D8,34)),IF(INDEX(Properties!A$1:CB$87,Formula!F8,34)&lt;&gt;"",INDEX(Properties!A$1:CB$87,Formula!F8,34)),IF(INDEX(Properties!A$1:CB$87,Formula!H8,34)&lt;&gt;"",INDEX(Properties!A$1:CB$87,Formula!H8,34)),IF(INDEX(Properties!A$1:CB$87,Formula!J8,34)&lt;&gt;"",INDEX(Properties!A$1:CB$87,Formula!J8,34)))</f>
        <v>1.9654239999999998</v>
      </c>
      <c r="DI8" s="60">
        <f>MAX(INDEX(Properties!A$1:CB$87,Formula!B8,34),INDEX(Properties!A$1:CB$87,Formula!D8,34),INDEX(Properties!A$1:CB$87,Formula!F8,34),INDEX(Properties!A$1:CB$87,Formula!H8,34),INDEX(Properties!A$1:CB$87,Formula!J8,34))</f>
        <v>3.61</v>
      </c>
      <c r="DJ8" s="60">
        <f>MIN(IF(INDEX(Properties!A$1:CB$87,Formula!B8,34)=0,10^6,INDEX(Properties!A$1:CB$87,Formula!B8,34)),IF(INDEX(Properties!A$1:CB$87,Formula!D8,34)=0,10^6,INDEX(Properties!A$1:CB$87,Formula!D8,34)),IF(INDEX(Properties!A$1:CB$87,Formula!F8,34)=0,10^6,INDEX(Properties!A$1:CB$87,Formula!F8,34)),IF(INDEX(Properties!A$1:CB$87,Formula!H8,34)=0,10^6,INDEX(Properties!A$1:CB$87,Formula!H8,34)),IF(INDEX(Properties!A$1:CB$87,Formula!J8,34)=0,10^6,INDEX(Properties!A$1:CB$87,Formula!J8,34)))</f>
        <v>1.1599999999999999</v>
      </c>
      <c r="DK8" s="60">
        <f t="shared" si="18"/>
        <v>2.4500000000000002</v>
      </c>
      <c r="DL8" s="45">
        <f>((Formula!C8)/(Formula!C8+Formula!E8+Formula!G8+Formula!I8+Formula!K8))*(INDEX(Properties!A$1:CB$87,Formula!B8,39))+((Formula!E8)/(Formula!C8+Formula!E8+Formula!G8+Formula!I8+Formula!K8))*(INDEX(Properties!A$1:CB$87,Formula!D8,39))+((Formula!G8)/(Formula!C8+Formula!E8+Formula!G8+Formula!I8+Formula!K8))*(INDEX(Properties!A$1:CB$87,Formula!F8,39))+((Formula!I8)/(Formula!C8+Formula!E8+Formula!G8+Formula!I8+Formula!K8))*(INDEX(Properties!A$1:CB$87,Formula!H8,39))+((Formula!K8)/(Formula!C8+Formula!E8+Formula!G8+Formula!I8+Formula!K8))*(INDEX(Properties!A$1:CB$87,Formula!J8,39))</f>
        <v>1.0133333333333332</v>
      </c>
      <c r="DM8" s="45">
        <f>Formula!C8*(INDEX(Properties!A$1:CB$87,Formula!B8,39))+Formula!E8*(INDEX(Properties!A$1:CB$87,Formula!D8,39))+Formula!G8*(INDEX(Properties!A$1:CB$87,Formula!F8,39))+Formula!I8*(INDEX(Properties!A$1:CB$87,Formula!H8,39))+Formula!K8*(INDEX(Properties!A$1:CB$87,Formula!J8,39))</f>
        <v>3.04</v>
      </c>
      <c r="DN8" s="45">
        <f>VARP(IF(INDEX(Properties!A$1:CB$87,Formula!B8,39)&lt;&gt;"",INDEX(Properties!A$1:CB$87,Formula!B8,39)),IF(INDEX(Properties!A$1:CB$87,Formula!D8,39)&lt;&gt;"",INDEX(Properties!A$1:CB$87,Formula!D8,39)),IF(INDEX(Properties!A$1:CB$87,Formula!F8,39)&lt;&gt;"",INDEX(Properties!A$1:CB$87,Formula!F8,39)),IF(INDEX(Properties!A$1:CB$87,Formula!H8,39)&lt;&gt;"",INDEX(Properties!A$1:CB$87,Formula!H8,39)),IF(INDEX(Properties!A$1:CB$87,Formula!J8,39)&lt;&gt;"",INDEX(Properties!A$1:CB$87,Formula!J8,39)))</f>
        <v>0.64921600000000024</v>
      </c>
      <c r="DO8" s="45">
        <f>MAX(INDEX(Properties!A$1:CB$87,Formula!B8,39),INDEX(Properties!A$1:CB$87,Formula!D8,39),INDEX(Properties!A$1:CB$87,Formula!F8,39),INDEX(Properties!A$1:CB$87,Formula!H8,39),INDEX(Properties!A$1:CB$87,Formula!J8,39))</f>
        <v>2.08</v>
      </c>
      <c r="DP8" s="45">
        <f>MIN(IF(INDEX(Properties!A$1:CB$87,Formula!B8,39)=0,10^6,INDEX(Properties!A$1:CB$87,Formula!B8,39)),IF(INDEX(Properties!A$1:CB$87,Formula!D8,39)=0,10^6,INDEX(Properties!A$1:CB$87,Formula!D8,39)),IF(INDEX(Properties!A$1:CB$87,Formula!F8,39)=0,10^6,INDEX(Properties!A$1:CB$87,Formula!F8,39)),IF(INDEX(Properties!A$1:CB$87,Formula!H8,39)=0,10^6,INDEX(Properties!A$1:CB$87,Formula!H8,39)),IF(INDEX(Properties!A$1:CB$87,Formula!J8,39)=0,10^6,INDEX(Properties!A$1:CB$87,Formula!J8,39)))</f>
        <v>0.48</v>
      </c>
      <c r="DQ8" s="45">
        <f t="shared" si="19"/>
        <v>1.6</v>
      </c>
      <c r="DR8" s="63">
        <f>((Formula!C8)/(Formula!C8+Formula!E8+Formula!G8+Formula!I8+Formula!K8))*(INDEX(Properties!A$1:CB$87,Formula!B8,40))+((Formula!E8)/(Formula!C8+Formula!E8+Formula!G8+Formula!I8+Formula!K8))*(INDEX(Properties!A$1:CB$87,Formula!D8,40))+((Formula!G8)/(Formula!C8+Formula!E8+Formula!G8+Formula!I8+Formula!K8))*(INDEX(Properties!A$1:CB$87,Formula!F8,40))+((Formula!I8)/(Formula!C8+Formula!E8+Formula!G8+Formula!I8+Formula!K8))*(INDEX(Properties!A$1:CB$87,Formula!H8,40))+((Formula!K8)/(Formula!C8+Formula!E8+Formula!G8+Formula!I8+Formula!K8))*(INDEX(Properties!A$1:CB$87,Formula!J8,40))</f>
        <v>0.98666666666666658</v>
      </c>
      <c r="DS8" s="63">
        <f>Formula!C8*(INDEX(Properties!A$1:CB$87,Formula!B8,40))+Formula!E8*(INDEX(Properties!A$1:CB$87,Formula!D8,40))+Formula!G8*(INDEX(Properties!A$1:CB$87,Formula!F8,40))+Formula!I8*(INDEX(Properties!A$1:CB$87,Formula!H8,40))+Formula!K8*(INDEX(Properties!A$1:CB$87,Formula!J8,40))</f>
        <v>2.96</v>
      </c>
      <c r="DT8" s="63">
        <f>VARP(IF(INDEX(Properties!A$1:CB$87,Formula!B8,40)&lt;&gt;"",INDEX(Properties!A$1:CB$87,Formula!B8,40)),IF(INDEX(Properties!A$1:CB$87,Formula!D8,40)&lt;&gt;"",INDEX(Properties!A$1:CB$87,Formula!D8,40)),IF(INDEX(Properties!A$1:CB$87,Formula!F8,40)&lt;&gt;"",INDEX(Properties!A$1:CB$87,Formula!F8,40)),IF(INDEX(Properties!A$1:CB$87,Formula!H8,40)&lt;&gt;"",INDEX(Properties!A$1:CB$87,Formula!H8,40)),IF(INDEX(Properties!A$1:CB$87,Formula!J8,40)&lt;&gt;"",INDEX(Properties!A$1:CB$87,Formula!J8,40)))</f>
        <v>0.35766399999999993</v>
      </c>
      <c r="DU8" s="63">
        <f>MAX(INDEX(Properties!A$1:CB$87,Formula!B8,40),INDEX(Properties!A$1:CB$87,Formula!D8,40),INDEX(Properties!A$1:CB$87,Formula!F8,40),INDEX(Properties!A$1:CB$87,Formula!H8,40),INDEX(Properties!A$1:CB$87,Formula!J8,40))</f>
        <v>1.5</v>
      </c>
      <c r="DV8" s="63">
        <f>MIN(IF(INDEX(Properties!A$1:CB$87,Formula!B8,40)=0,10^6,INDEX(Properties!A$1:CB$87,Formula!B8,40)),IF(INDEX(Properties!A$1:CB$87,Formula!D8,40)=0,10^6,INDEX(Properties!A$1:CB$87,Formula!D8,40)),IF(INDEX(Properties!A$1:CB$87,Formula!F8,40)=0,10^6,INDEX(Properties!A$1:CB$87,Formula!F8,40)),IF(INDEX(Properties!A$1:CB$87,Formula!H8,40)=0,10^6,INDEX(Properties!A$1:CB$87,Formula!H8,40)),IF(INDEX(Properties!A$1:CB$87,Formula!J8,40)=0,10^6,INDEX(Properties!A$1:CB$87,Formula!J8,40)))</f>
        <v>0.73</v>
      </c>
      <c r="DW8" s="63">
        <f t="shared" si="20"/>
        <v>0.77</v>
      </c>
      <c r="DX8" s="75">
        <f>((Formula!C8)/(Formula!C8+Formula!E8+Formula!G8+Formula!I8+Formula!K8))*(INDEX(Properties!A$1:CB$87,Formula!B8,41))+((Formula!E8)/(Formula!C8+Formula!E8+Formula!G8+Formula!I8+Formula!K8))*(INDEX(Properties!A$1:CB$87,Formula!D8,41))+((Formula!G8)/(Formula!C8+Formula!E8+Formula!G8+Formula!I8+Formula!K8))*(INDEX(Properties!A$1:CB$87,Formula!F8,41))+((Formula!I8)/(Formula!C8+Formula!E8+Formula!G8+Formula!I8+Formula!K8))*(INDEX(Properties!A$1:CB$87,Formula!H8,41))+((Formula!K8)/(Formula!C8+Formula!E8+Formula!G8+Formula!I8+Formula!K8))*(INDEX(Properties!A$1:CB$87,Formula!J8,41))</f>
        <v>1.1233333333333333</v>
      </c>
      <c r="DY8" s="75">
        <f>Formula!C8*(INDEX(Properties!A$1:CB$87,Formula!B8,41))+Formula!E8*(INDEX(Properties!A$1:CB$87,Formula!D8,41))+Formula!G8*(INDEX(Properties!A$1:CB$87,Formula!F8,41))+Formula!I8*(INDEX(Properties!A$1:CB$87,Formula!H8,41))+Formula!K8*(INDEX(Properties!A$1:CB$87,Formula!J8,41))</f>
        <v>3.37</v>
      </c>
      <c r="DZ8" s="75">
        <f>VARP(IF(INDEX(Properties!A$1:CB$87,Formula!B8,41)&lt;&gt;"",INDEX(Properties!A$1:CB$87,Formula!B8,41)),IF(INDEX(Properties!A$1:CB$87,Formula!D8,41)&lt;&gt;"",INDEX(Properties!A$1:CB$87,Formula!D8,41)),IF(INDEX(Properties!A$1:CB$87,Formula!F8,41)&lt;&gt;"",INDEX(Properties!A$1:CB$87,Formula!F8,41)),IF(INDEX(Properties!A$1:CB$87,Formula!H8,41)&lt;&gt;"",INDEX(Properties!A$1:CB$87,Formula!H8,41)),IF(INDEX(Properties!A$1:CB$87,Formula!J8,41)&lt;&gt;"",INDEX(Properties!A$1:CB$87,Formula!J8,41)))</f>
        <v>0.28393600000000008</v>
      </c>
      <c r="EA8" s="75">
        <f>MAX(INDEX(Properties!A$1:CB$87,Formula!B8,41),INDEX(Properties!A$1:CB$87,Formula!D8,41),INDEX(Properties!A$1:CB$87,Formula!F8,41),INDEX(Properties!A$1:CB$87,Formula!H8,41),INDEX(Properties!A$1:CB$87,Formula!J8,41))</f>
        <v>1.26</v>
      </c>
      <c r="EB8" s="75">
        <f>MIN(IF(INDEX(Properties!A$1:CB$87,Formula!B8,41)=0,10^6,INDEX(Properties!A$1:CB$87,Formula!B8,41)),IF(INDEX(Properties!A$1:CB$87,Formula!D8,41)=0,10^6,INDEX(Properties!A$1:CB$87,Formula!D8,41)),IF(INDEX(Properties!A$1:CB$87,Formula!F8,41)=0,10^6,INDEX(Properties!A$1:CB$87,Formula!F8,41)),IF(INDEX(Properties!A$1:CB$87,Formula!H8,41)=0,10^6,INDEX(Properties!A$1:CB$87,Formula!H8,41)),IF(INDEX(Properties!A$1:CB$87,Formula!J8,41)=0,10^6,INDEX(Properties!A$1:CB$87,Formula!J8,41)))</f>
        <v>0.85</v>
      </c>
      <c r="EC8" s="75">
        <f t="shared" si="21"/>
        <v>0.41000000000000003</v>
      </c>
      <c r="ED8" s="48">
        <f>((Formula!C8)/(Formula!C8+Formula!E8+Formula!G8+Formula!I8+Formula!K8))*(INDEX(Properties!A$1:CB$87,Formula!B8,45))+((Formula!E8)/(Formula!C8+Formula!E8+Formula!G8+Formula!I8+Formula!K8))*(INDEX(Properties!A$1:CB$87,Formula!D8,45))+((Formula!G8)/(Formula!C8+Formula!E8+Formula!G8+Formula!I8+Formula!K8))*(INDEX(Properties!A$1:CB$87,Formula!F8,45))+((Formula!I8)/(Formula!C8+Formula!E8+Formula!G8+Formula!I8+Formula!K8))*(INDEX(Properties!A$1:CB$87,Formula!H8,45))+((Formula!K8)/(Formula!C8+Formula!E8+Formula!G8+Formula!I8+Formula!K8))*(INDEX(Properties!A$1:CB$87,Formula!J8,45))</f>
        <v>1.2833333333333332</v>
      </c>
      <c r="EE8" s="48">
        <f>Formula!C8*(INDEX(Properties!A$1:CB$87,Formula!B8,45))+Formula!E8*(INDEX(Properties!A$1:CB$87,Formula!D8,45))+Formula!G8*(INDEX(Properties!A$1:CB$87,Formula!F8,45))+Formula!I8*(INDEX(Properties!A$1:CB$87,Formula!H8,45))+Formula!K8*(INDEX(Properties!A$1:CB$87,Formula!J8,45))</f>
        <v>3.85</v>
      </c>
      <c r="EF8" s="48">
        <f>VARP(IF(INDEX(Properties!A$1:CB$87,Formula!B8,45)&lt;&gt;"",INDEX(Properties!A$1:CB$87,Formula!B8,45)),IF(INDEX(Properties!A$1:CB$87,Formula!D8,45)&lt;&gt;"",INDEX(Properties!A$1:CB$87,Formula!D8,45)),IF(INDEX(Properties!A$1:CB$87,Formula!F8,45)&lt;&gt;"",INDEX(Properties!A$1:CB$87,Formula!F8,45)),IF(INDEX(Properties!A$1:CB$87,Formula!H8,45)&lt;&gt;"",INDEX(Properties!A$1:CB$87,Formula!H8,45)),IF(INDEX(Properties!A$1:CB$87,Formula!J8,45)&lt;&gt;"",INDEX(Properties!A$1:CB$87,Formula!J8,45)))</f>
        <v>1.2808240000000004</v>
      </c>
      <c r="EG8" s="48">
        <f>MAX(INDEX(Properties!A$1:CB$87,Formula!B8,45),INDEX(Properties!A$1:CB$87,Formula!D8,45),INDEX(Properties!A$1:CB$87,Formula!F8,45),INDEX(Properties!A$1:CB$87,Formula!H8,45),INDEX(Properties!A$1:CB$87,Formula!J8,45))</f>
        <v>2.91</v>
      </c>
      <c r="EH8" s="48">
        <f>MIN(IF(INDEX(Properties!A$1:CB$87,Formula!B8,45)=0,10^6,INDEX(Properties!A$1:CB$87,Formula!B8,45)),IF(INDEX(Properties!A$1:CB$87,Formula!D8,45)=0,10^6,INDEX(Properties!A$1:CB$87,Formula!D8,45)),IF(INDEX(Properties!A$1:CB$87,Formula!F8,45)=0,10^6,INDEX(Properties!A$1:CB$87,Formula!F8,45)),IF(INDEX(Properties!A$1:CB$87,Formula!H8,45)=0,10^6,INDEX(Properties!A$1:CB$87,Formula!H8,45)),IF(INDEX(Properties!A$1:CB$87,Formula!J8,45)=0,10^6,INDEX(Properties!A$1:CB$87,Formula!J8,45)))</f>
        <v>0.47</v>
      </c>
      <c r="EI8" s="48">
        <f t="shared" si="22"/>
        <v>2.4400000000000004</v>
      </c>
      <c r="EJ8" s="66">
        <f>((Formula!C8)/(Formula!C8+Formula!E8+Formula!G8+Formula!I8+Formula!K8))*(INDEX(Properties!A$1:CB$87,Formula!B8,46))+((Formula!E8)/(Formula!C8+Formula!E8+Formula!G8+Formula!I8+Formula!K8))*(INDEX(Properties!A$1:CB$87,Formula!D8,46))+((Formula!G8)/(Formula!C8+Formula!E8+Formula!G8+Formula!I8+Formula!K8))*(INDEX(Properties!A$1:CB$87,Formula!F8,46))+((Formula!I8)/(Formula!C8+Formula!E8+Formula!G8+Formula!I8+Formula!K8))*(INDEX(Properties!A$1:CB$87,Formula!H8,46))+((Formula!K8)/(Formula!C8+Formula!E8+Formula!G8+Formula!I8+Formula!K8))*(INDEX(Properties!A$1:CB$87,Formula!J8,46))</f>
        <v>1.0899999999999999</v>
      </c>
      <c r="EK8" s="66">
        <f>Formula!C8*(INDEX(Properties!A$1:CB$87,Formula!B8,46))+Formula!E8*(INDEX(Properties!A$1:CB$87,Formula!D8,46))+Formula!G8*(INDEX(Properties!A$1:CB$87,Formula!F8,46))+Formula!I8*(INDEX(Properties!A$1:CB$87,Formula!H8,46))+Formula!K8*(INDEX(Properties!A$1:CB$87,Formula!J8,46))</f>
        <v>3.27</v>
      </c>
      <c r="EL8" s="66">
        <f>VARP(IF(INDEX(Properties!A$1:CB$87,Formula!B8,46)&lt;&gt;"",INDEX(Properties!A$1:CB$87,Formula!B8,46)),IF(INDEX(Properties!A$1:CB$87,Formula!D8,46)&lt;&gt;"",INDEX(Properties!A$1:CB$87,Formula!D8,46)),IF(INDEX(Properties!A$1:CB$87,Formula!F8,46)&lt;&gt;"",INDEX(Properties!A$1:CB$87,Formula!F8,46)),IF(INDEX(Properties!A$1:CB$87,Formula!H8,46)&lt;&gt;"",INDEX(Properties!A$1:CB$87,Formula!H8,46)),IF(INDEX(Properties!A$1:CB$87,Formula!J8,46)&lt;&gt;"",INDEX(Properties!A$1:CB$87,Formula!J8,46)))</f>
        <v>0.26757599999999998</v>
      </c>
      <c r="EM8" s="66">
        <f>MAX(INDEX(Properties!A$1:CB$87,Formula!B8,46),INDEX(Properties!A$1:CB$87,Formula!D8,46),INDEX(Properties!A$1:CB$87,Formula!F8,46),INDEX(Properties!A$1:CB$87,Formula!H8,46),INDEX(Properties!A$1:CB$87,Formula!J8,46))</f>
        <v>1.21</v>
      </c>
      <c r="EN8" s="66">
        <f>MIN(IF(INDEX(Properties!A$1:CB$87,Formula!B8,46)=0,10^6,INDEX(Properties!A$1:CB$87,Formula!B8,46)),IF(INDEX(Properties!A$1:CB$87,Formula!D8,46)=0,10^6,INDEX(Properties!A$1:CB$87,Formula!D8,46)),IF(INDEX(Properties!A$1:CB$87,Formula!F8,46)=0,10^6,INDEX(Properties!A$1:CB$87,Formula!F8,46)),IF(INDEX(Properties!A$1:CB$87,Formula!H8,46)=0,10^6,INDEX(Properties!A$1:CB$87,Formula!H8,46)),IF(INDEX(Properties!A$1:CB$87,Formula!J8,46)=0,10^6,INDEX(Properties!A$1:CB$87,Formula!J8,46)))</f>
        <v>0.85</v>
      </c>
      <c r="EO8" s="66">
        <f t="shared" si="23"/>
        <v>0.36</v>
      </c>
      <c r="EP8" s="81">
        <f>((Formula!C8)/(Formula!C8+Formula!E8+Formula!G8+Formula!I8+Formula!K8))*(INDEX(Properties!A$1:CB$87,Formula!B8,52))+((Formula!E8)/(Formula!C8+Formula!E8+Formula!G8+Formula!I8+Formula!K8))*(INDEX(Properties!A$1:CB$87,Formula!D8,52))+((Formula!G8)/(Formula!C8+Formula!E8+Formula!G8+Formula!I8+Formula!K8))*(INDEX(Properties!A$1:CB$87,Formula!F8,52))+((Formula!I8)/(Formula!C8+Formula!E8+Formula!G8+Formula!I8+Formula!K8))*(INDEX(Properties!A$1:CB$87,Formula!H8,52))+((Formula!K8)/(Formula!C8+Formula!E8+Formula!G8+Formula!I8+Formula!K8))*(INDEX(Properties!A$1:CB$87,Formula!J8,52))</f>
        <v>5.9286666666666665</v>
      </c>
      <c r="EQ8" s="81">
        <f>Formula!C8*(INDEX(Properties!A$1:CB$87,Formula!B8,52))+Formula!E8*(INDEX(Properties!A$1:CB$87,Formula!D8,52))+Formula!G8*(INDEX(Properties!A$1:CB$87,Formula!F8,52))+Formula!I8*(INDEX(Properties!A$1:CB$87,Formula!H8,52))+Formula!K8*(INDEX(Properties!A$1:CB$87,Formula!J8,52))</f>
        <v>17.785999999999998</v>
      </c>
      <c r="ER8" s="81">
        <f>VARP(IF(INDEX(Properties!A$1:CB$87,Formula!B8,52)&lt;&gt;"",INDEX(Properties!A$1:CB$87,Formula!B8,52)),IF(INDEX(Properties!A$1:CB$87,Formula!D8,52)&lt;&gt;"",INDEX(Properties!A$1:CB$87,Formula!D8,52)),IF(INDEX(Properties!A$1:CB$87,Formula!F8,52)&lt;&gt;"",INDEX(Properties!A$1:CB$87,Formula!F8,52)),IF(INDEX(Properties!A$1:CB$87,Formula!H8,52)&lt;&gt;"",INDEX(Properties!A$1:CB$87,Formula!H8,52)),IF(INDEX(Properties!A$1:CB$87,Formula!J8,52)&lt;&gt;"",INDEX(Properties!A$1:CB$87,Formula!J8,52)))</f>
        <v>41.063287840000001</v>
      </c>
      <c r="ES8" s="81">
        <f>MAX(INDEX(Properties!A$1:CB$87,Formula!B8,52),INDEX(Properties!A$1:CB$87,Formula!D8,52),INDEX(Properties!A$1:CB$87,Formula!F8,52),INDEX(Properties!A$1:CB$87,Formula!H8,52),INDEX(Properties!A$1:CB$87,Formula!J8,52))</f>
        <v>16.2</v>
      </c>
      <c r="ET8" s="81">
        <f>MIN(IF(INDEX(Properties!A$1:CB$87,Formula!B8,52)=0,10^6,INDEX(Properties!A$1:CB$87,Formula!B8,52)),IF(INDEX(Properties!A$1:CB$87,Formula!D8,52)=0,10^6,INDEX(Properties!A$1:CB$87,Formula!D8,52)),IF(INDEX(Properties!A$1:CB$87,Formula!F8,52)=0,10^6,INDEX(Properties!A$1:CB$87,Formula!F8,52)),IF(INDEX(Properties!A$1:CB$87,Formula!H8,52)=0,10^6,INDEX(Properties!A$1:CB$87,Formula!H8,52)),IF(INDEX(Properties!A$1:CB$87,Formula!J8,52)=0,10^6,INDEX(Properties!A$1:CB$87,Formula!J8,52)))</f>
        <v>0.79300000000000004</v>
      </c>
      <c r="EU8" s="81">
        <f t="shared" si="24"/>
        <v>15.407</v>
      </c>
      <c r="EV8" s="39">
        <f>((Formula!C8)/(Formula!C8+Formula!E8+Formula!G8+Formula!I8+Formula!K8))*(INDEX(Properties!A$1:CB$87,Formula!B8,53))+((Formula!E8)/(Formula!C8+Formula!E8+Formula!G8+Formula!I8+Formula!K8))*(INDEX(Properties!A$1:CB$87,Formula!D8,53))+((Formula!G8)/(Formula!C8+Formula!E8+Formula!G8+Formula!I8+Formula!K8))*(INDEX(Properties!A$1:CB$87,Formula!F8,53))+((Formula!I8)/(Formula!C8+Formula!E8+Formula!G8+Formula!I8+Formula!K8))*(INDEX(Properties!A$1:CB$87,Formula!H8,53))+((Formula!K8)/(Formula!C8+Formula!E8+Formula!G8+Formula!I8+Formula!K8))*(INDEX(Properties!A$1:CB$87,Formula!J8,53))</f>
        <v>869.88333333333333</v>
      </c>
      <c r="EW8" s="39">
        <f>Formula!C8*(INDEX(Properties!A$1:CB$87,Formula!B8,53))+Formula!E8*(INDEX(Properties!A$1:CB$87,Formula!D8,53))+Formula!G8*(INDEX(Properties!A$1:CB$87,Formula!F8,53))+Formula!I8*(INDEX(Properties!A$1:CB$87,Formula!H8,53))+Formula!K8*(INDEX(Properties!A$1:CB$87,Formula!J8,53))</f>
        <v>2609.65</v>
      </c>
      <c r="EX8" s="39">
        <f>VARP(IF(INDEX(Properties!A$1:CB$87,Formula!B8,53)&lt;&gt;"",INDEX(Properties!A$1:CB$87,Formula!B8,53)),IF(INDEX(Properties!A$1:CB$87,Formula!D8,53)&lt;&gt;"",INDEX(Properties!A$1:CB$87,Formula!D8,53)),IF(INDEX(Properties!A$1:CB$87,Formula!F8,53)&lt;&gt;"",INDEX(Properties!A$1:CB$87,Formula!F8,53)),IF(INDEX(Properties!A$1:CB$87,Formula!H8,53)&lt;&gt;"",INDEX(Properties!A$1:CB$87,Formula!H8,53)),IF(INDEX(Properties!A$1:CB$87,Formula!J8,53)&lt;&gt;"",INDEX(Properties!A$1:CB$87,Formula!J8,53)))</f>
        <v>989648.95660000015</v>
      </c>
      <c r="EY8" s="39">
        <f>MAX(INDEX(Properties!A$1:CB$87,Formula!B8,53),INDEX(Properties!A$1:CB$87,Formula!D8,53),INDEX(Properties!A$1:CB$87,Formula!F8,53),INDEX(Properties!A$1:CB$87,Formula!H8,53),INDEX(Properties!A$1:CB$87,Formula!J8,53))</f>
        <v>2500.15</v>
      </c>
      <c r="EZ8" s="39">
        <f>MIN(IF(INDEX(Properties!A$1:CB$87,Formula!B8,53)=0,10^6,INDEX(Properties!A$1:CB$87,Formula!B8,53)),IF(INDEX(Properties!A$1:CB$87,Formula!D8,53)=0,10^6,INDEX(Properties!A$1:CB$87,Formula!D8,53)),IF(INDEX(Properties!A$1:CB$87,Formula!F8,53)=0,10^6,INDEX(Properties!A$1:CB$87,Formula!F8,53)),IF(INDEX(Properties!A$1:CB$87,Formula!H8,53)=0,10^6,INDEX(Properties!A$1:CB$87,Formula!H8,53)),IF(INDEX(Properties!A$1:CB$87,Formula!J8,53)=0,10^6,INDEX(Properties!A$1:CB$87,Formula!J8,53)))</f>
        <v>54.749999999999972</v>
      </c>
      <c r="FA8" s="39">
        <f t="shared" si="25"/>
        <v>2445.4</v>
      </c>
      <c r="FB8" s="54">
        <f>((Formula!C8)/(Formula!C8+Formula!E8+Formula!G8+Formula!I8+Formula!K8))*(INDEX(Properties!A$1:CB$87,Formula!B8,54))+((Formula!E8)/(Formula!C8+Formula!E8+Formula!G8+Formula!I8+Formula!K8))*(INDEX(Properties!A$1:CB$87,Formula!D8,54))+((Formula!G8)/(Formula!C8+Formula!E8+Formula!G8+Formula!I8+Formula!K8))*(INDEX(Properties!A$1:CB$87,Formula!F8,54))+((Formula!I8)/(Formula!C8+Formula!E8+Formula!G8+Formula!I8+Formula!K8))*(INDEX(Properties!A$1:CB$87,Formula!H8,54))+((Formula!K8)/(Formula!C8+Formula!E8+Formula!G8+Formula!I8+Formula!K8))*(INDEX(Properties!A$1:CB$87,Formula!J8,54))</f>
        <v>1684.4833333333331</v>
      </c>
      <c r="FC8" s="54">
        <f>Formula!C8*(INDEX(Properties!A$1:CB$87,Formula!B8,54))+Formula!E8*(INDEX(Properties!A$1:CB$87,Formula!D8,54))+Formula!G8*(INDEX(Properties!A$1:CB$87,Formula!F8,54))+Formula!I8*(INDEX(Properties!A$1:CB$87,Formula!H8,54))+Formula!K8*(INDEX(Properties!A$1:CB$87,Formula!J8,54))</f>
        <v>5053.45</v>
      </c>
      <c r="FD8" s="54">
        <f>VARP(IF(INDEX(Properties!A$1:CB$87,Formula!B8,54)&lt;&gt;"",INDEX(Properties!A$1:CB$87,Formula!B8,54)),IF(INDEX(Properties!A$1:CB$87,Formula!D8,54)&lt;&gt;"",INDEX(Properties!A$1:CB$87,Formula!D8,54)),IF(INDEX(Properties!A$1:CB$87,Formula!F8,54)&lt;&gt;"",INDEX(Properties!A$1:CB$87,Formula!F8,54)),IF(INDEX(Properties!A$1:CB$87,Formula!H8,54)&lt;&gt;"",INDEX(Properties!A$1:CB$87,Formula!H8,54)),IF(INDEX(Properties!A$1:CB$87,Formula!J8,54)&lt;&gt;"",INDEX(Properties!A$1:CB$87,Formula!J8,54)))</f>
        <v>3765769.7133999993</v>
      </c>
      <c r="FE8" s="54">
        <f>MAX(INDEX(Properties!A$1:CB$87,Formula!B8,54),INDEX(Properties!A$1:CB$87,Formula!D8,54),INDEX(Properties!A$1:CB$87,Formula!F8,54),INDEX(Properties!A$1:CB$87,Formula!H8,54),INDEX(Properties!A$1:CB$87,Formula!J8,54))</f>
        <v>4873.1499999999996</v>
      </c>
      <c r="FF8" s="54">
        <f>MIN(IF(INDEX(Properties!A$1:CB$87,Formula!B8,54)=0,10^6,INDEX(Properties!A$1:CB$87,Formula!B8,54)),IF(INDEX(Properties!A$1:CB$87,Formula!D8,54)=0,10^6,INDEX(Properties!A$1:CB$87,Formula!D8,54)),IF(INDEX(Properties!A$1:CB$87,Formula!F8,54)=0,10^6,INDEX(Properties!A$1:CB$87,Formula!F8,54)),IF(INDEX(Properties!A$1:CB$87,Formula!H8,54)=0,10^6,INDEX(Properties!A$1:CB$87,Formula!H8,54)),IF(INDEX(Properties!A$1:CB$87,Formula!J8,54)=0,10^6,INDEX(Properties!A$1:CB$87,Formula!J8,54)))</f>
        <v>90.149999999999977</v>
      </c>
      <c r="FG8" s="54">
        <f t="shared" si="26"/>
        <v>4783</v>
      </c>
      <c r="FH8" s="69">
        <f>((Formula!C8)/(Formula!C8+Formula!E8+Formula!G8+Formula!I8+Formula!K8))*(INDEX(Properties!A$1:CB$87,Formula!B8,55))+((Formula!E8)/(Formula!C8+Formula!E8+Formula!G8+Formula!I8+Formula!K8))*(INDEX(Properties!A$1:CB$87,Formula!D8,55))+((Formula!G8)/(Formula!C8+Formula!E8+Formula!G8+Formula!I8+Formula!K8))*(INDEX(Properties!A$1:CB$87,Formula!F8,55))+((Formula!I8)/(Formula!C8+Formula!E8+Formula!G8+Formula!I8+Formula!K8))*(INDEX(Properties!A$1:CB$87,Formula!H8,55))+((Formula!K8)/(Formula!C8+Formula!E8+Formula!G8+Formula!I8+Formula!K8))*(INDEX(Properties!A$1:CB$87,Formula!J8,55))</f>
        <v>4.4342866666666669</v>
      </c>
      <c r="FI8" s="69">
        <f>Formula!C8*(INDEX(Properties!A$1:CB$87,Formula!B8,55))+Formula!E8*(INDEX(Properties!A$1:CB$87,Formula!D8,54))+Formula!G8*(INDEX(Properties!A$1:CB$87,Formula!F8,55))+Formula!I8*(INDEX(Properties!A$1:CB$87,Formula!H8,55))+Formula!K8*(INDEX(Properties!A$1:CB$87,Formula!J8,55))</f>
        <v>193.59999999999997</v>
      </c>
      <c r="FJ8" s="69">
        <f>VARP(IF(INDEX(Properties!A$1:CB$87,Formula!B8,55)&lt;&gt;"",INDEX(Properties!A$1:CB$87,Formula!B8,55)),IF(INDEX(Properties!A$1:CB$87,Formula!D8,55)&lt;&gt;"",INDEX(Properties!A$1:CB$87,Formula!D8,55)),IF(INDEX(Properties!A$1:CB$87,Formula!F8,55)&lt;&gt;"",INDEX(Properties!A$1:CB$87,Formula!F8,55)),IF(INDEX(Properties!A$1:CB$87,Formula!H8,55)&lt;&gt;"",INDEX(Properties!A$1:CB$87,Formula!H8,55)),IF(INDEX(Properties!A$1:CB$87,Formula!J8,55)&lt;&gt;"",INDEX(Properties!A$1:CB$87,Formula!J8,55)))</f>
        <v>28.300878807183999</v>
      </c>
      <c r="FK8" s="69">
        <f>MAX(INDEX(Properties!A$1:CB$87,Formula!B8,55),INDEX(Properties!A$1:CB$87,Formula!D8,55),INDEX(Properties!A$1:CB$87,Formula!F8,55),INDEX(Properties!A$1:CB$87,Formula!H8,55),INDEX(Properties!A$1:CB$87,Formula!J8,55))</f>
        <v>13.3</v>
      </c>
      <c r="FL8" s="69">
        <f>MIN(IF(INDEX(Properties!A$1:CB$87,Formula!B8,55)=0,10^6,INDEX(Properties!A$1:CB$87,Formula!B8,55)),IF(INDEX(Properties!A$1:CB$87,Formula!D8,55)=0,10^6,INDEX(Properties!A$1:CB$87,Formula!D8,55)),IF(INDEX(Properties!A$1:CB$87,Formula!F8,55)=0,10^6,INDEX(Properties!A$1:CB$87,Formula!F8,55)),IF(INDEX(Properties!A$1:CB$87,Formula!H8,55)=0,10^6,INDEX(Properties!A$1:CB$87,Formula!H8,55)),IF(INDEX(Properties!A$1:CB$87,Formula!J8,55)=0,10^6,INDEX(Properties!A$1:CB$87,Formula!J8,55)))</f>
        <v>1.4300000000000001E-3</v>
      </c>
      <c r="FM8" s="69">
        <f t="shared" si="27"/>
        <v>13.298570000000002</v>
      </c>
      <c r="FN8" s="42">
        <f>((Formula!C8)/(Formula!C8+Formula!E8+Formula!G8+Formula!I8+Formula!K8))*(INDEX(Properties!A$1:CB$87,Formula!B8,56))+((Formula!E8)/(Formula!C8+Formula!E8+Formula!G8+Formula!I8+Formula!K8))*(INDEX(Properties!A$1:CB$87,Formula!D8,56))+((Formula!G8)/(Formula!C8+Formula!E8+Formula!G8+Formula!I8+Formula!K8))*(INDEX(Properties!A$1:CB$87,Formula!F8,56))+((Formula!I8)/(Formula!C8+Formula!E8+Formula!G8+Formula!I8+Formula!K8))*(INDEX(Properties!A$1:CB$87,Formula!H8,56))+((Formula!K8)/(Formula!C8+Formula!E8+Formula!G8+Formula!I8+Formula!K8))*(INDEX(Properties!A$1:CB$87,Formula!J8,56))</f>
        <v>0.65999999999999992</v>
      </c>
      <c r="FO8" s="42">
        <f>Formula!C8*(INDEX(Properties!A$1:CB$87,Formula!B8,56))+Formula!E8*(INDEX(Properties!A$1:CB$87,Formula!D8,56))+Formula!G8*(INDEX(Properties!A$1:CB$87,Formula!F8,56))+Formula!I8*(INDEX(Properties!A$1:CB$87,Formula!H8,56))+Formula!K8*(INDEX(Properties!A$1:CB$87,Formula!J8,56))</f>
        <v>1.98</v>
      </c>
      <c r="FP8" s="42">
        <f>VARP(IF(INDEX(Properties!A$1:CB$87,Formula!B8,56)&lt;&gt;"",INDEX(Properties!A$1:CB$87,Formula!B8,56)),IF(INDEX(Properties!A$1:CB$87,Formula!D8,56)&lt;&gt;"",INDEX(Properties!A$1:CB$87,Formula!D8,56)),IF(INDEX(Properties!A$1:CB$87,Formula!F8,56)&lt;&gt;"",INDEX(Properties!A$1:CB$87,Formula!F8,56)),IF(INDEX(Properties!A$1:CB$87,Formula!H8,56)&lt;&gt;"",INDEX(Properties!A$1:CB$87,Formula!H8,56)),IF(INDEX(Properties!A$1:CB$87,Formula!J8,56)&lt;&gt;"",INDEX(Properties!A$1:CB$87,Formula!J8,56)))</f>
        <v>0.12825600000000001</v>
      </c>
      <c r="FQ8" s="42">
        <f>MAX(INDEX(Properties!A$1:CB$87,Formula!B8,56),INDEX(Properties!A$1:CB$87,Formula!D8,56),INDEX(Properties!A$1:CB$87,Formula!F8,56),INDEX(Properties!A$1:CB$87,Formula!H8,56),INDEX(Properties!A$1:CB$87,Formula!J8,56))</f>
        <v>0.92</v>
      </c>
      <c r="FR8" s="42">
        <f>MIN(IF(INDEX(Properties!A$1:CB$87,Formula!B8,56)=0,10^6,INDEX(Properties!A$1:CB$87,Formula!B8,56)),IF(INDEX(Properties!A$1:CB$87,Formula!D8,56)=0,10^6,INDEX(Properties!A$1:CB$87,Formula!D8,56)),IF(INDEX(Properties!A$1:CB$87,Formula!F8,56)=0,10^6,INDEX(Properties!A$1:CB$87,Formula!F8,56)),IF(INDEX(Properties!A$1:CB$87,Formula!H8,56)=0,10^6,INDEX(Properties!A$1:CB$87,Formula!H8,56)),IF(INDEX(Properties!A$1:CB$87,Formula!J8,56)=0,10^6,INDEX(Properties!A$1:CB$87,Formula!J8,56)))</f>
        <v>0.14000000000000001</v>
      </c>
      <c r="FS8" s="42">
        <f t="shared" si="28"/>
        <v>0.78</v>
      </c>
      <c r="FT8" s="60">
        <f>((Formula!C8)/(Formula!C8+Formula!E8+Formula!G8+Formula!I8+Formula!K8))*(INDEX(Properties!A$1:CB$87,Formula!B8,57))+((Formula!E8)/(Formula!C8+Formula!E8+Formula!G8+Formula!I8+Formula!K8))*(INDEX(Properties!A$1:CB$87,Formula!D8,57))+((Formula!G8)/(Formula!C8+Formula!E8+Formula!G8+Formula!I8+Formula!K8))*(INDEX(Properties!A$1:CB$87,Formula!F8,57))+((Formula!I8)/(Formula!C8+Formula!E8+Formula!G8+Formula!I8+Formula!K8))*(INDEX(Properties!A$1:CB$87,Formula!H8,57))+((Formula!K8)/(Formula!C8+Formula!E8+Formula!G8+Formula!I8+Formula!K8))*(INDEX(Properties!A$1:CB$87,Formula!J8,57))</f>
        <v>8.1683933333333325</v>
      </c>
      <c r="FU8" s="60">
        <f>Formula!C8*(INDEX(Properties!A$1:CB$87,Formula!B8,57))+Formula!E8*(INDEX(Properties!A$1:CB$87,Formula!D8,57))+Formula!G8*(INDEX(Properties!A$1:CB$87,Formula!F8,57))+Formula!I8*(INDEX(Properties!A$1:CB$87,Formula!H8,57))+Formula!K8*(INDEX(Properties!A$1:CB$87,Formula!J8,57))</f>
        <v>24.505179999999999</v>
      </c>
      <c r="FV8" s="60">
        <f>VARP(IF(INDEX(Properties!A$1:CB$87,Formula!B8,57)&lt;&gt;"",INDEX(Properties!A$1:CB$87,Formula!B8,57)),IF(INDEX(Properties!A$1:CB$87,Formula!D8,57)&lt;&gt;"",INDEX(Properties!A$1:CB$87,Formula!D8,57)),IF(INDEX(Properties!A$1:CB$87,Formula!F8,57)&lt;&gt;"",INDEX(Properties!A$1:CB$87,Formula!F8,57)),IF(INDEX(Properties!A$1:CB$87,Formula!H8,57)&lt;&gt;"",INDEX(Properties!A$1:CB$87,Formula!H8,57)),IF(INDEX(Properties!A$1:CB$87,Formula!J8,57)&lt;&gt;"",INDEX(Properties!A$1:CB$87,Formula!J8,57)))</f>
        <v>92.200862177295988</v>
      </c>
      <c r="FW8" s="60">
        <f>MAX(INDEX(Properties!A$1:CB$87,Formula!B8,57),INDEX(Properties!A$1:CB$87,Formula!D8,57),INDEX(Properties!A$1:CB$87,Formula!F8,57),INDEX(Properties!A$1:CB$87,Formula!H8,57),INDEX(Properties!A$1:CB$87,Formula!J8,57))</f>
        <v>24.06</v>
      </c>
      <c r="FX8" s="60">
        <f>MIN(IF(INDEX(Properties!A$1:CB$87,Formula!B8,57)=0,10^6,INDEX(Properties!A$1:CB$87,Formula!B8,57)),IF(INDEX(Properties!A$1:CB$87,Formula!D8,57)=0,10^6,INDEX(Properties!A$1:CB$87,Formula!D8,57)),IF(INDEX(Properties!A$1:CB$87,Formula!F8,57)=0,10^6,INDEX(Properties!A$1:CB$87,Formula!F8,57)),IF(INDEX(Properties!A$1:CB$87,Formula!H8,57)=0,10^6,INDEX(Properties!A$1:CB$87,Formula!H8,57)),IF(INDEX(Properties!A$1:CB$87,Formula!J8,57)=0,10^6,INDEX(Properties!A$1:CB$87,Formula!J8,57)))</f>
        <v>0.22259000000000001</v>
      </c>
      <c r="FY8" s="60">
        <f t="shared" si="29"/>
        <v>23.837409999999998</v>
      </c>
      <c r="FZ8" s="72">
        <f>((Formula!C8)/(Formula!C8+Formula!E8+Formula!G8+Formula!I8+Formula!K8))*(INDEX(Properties!A$1:CB$87,Formula!B8,60))+((Formula!E8)/(Formula!C8+Formula!E8+Formula!G8+Formula!I8+Formula!K8))*(INDEX(Properties!A$1:CB$87,Formula!D8,60))+((Formula!G8)/(Formula!C8+Formula!E8+Formula!G8+Formula!I8+Formula!K8))*(INDEX(Properties!A$1:CB$87,Formula!F8,60))+((Formula!I8)/(Formula!C8+Formula!E8+Formula!G8+Formula!I8+Formula!K8))*(INDEX(Properties!A$1:CB$87,Formula!H8,60))+((Formula!K8)/(Formula!C8+Formula!E8+Formula!G8+Formula!I8+Formula!K8))*(INDEX(Properties!A$1:CB$87,Formula!J8,60))</f>
        <v>7.6844933333333332</v>
      </c>
      <c r="GA8" s="72">
        <f>Formula!C8*(INDEX(Properties!A$1:CB$87,Formula!B8,60))+Formula!E8*(INDEX(Properties!A$1:CB$87,Formula!D8,60))+Formula!G8*(INDEX(Properties!A$1:CB$87,Formula!F8,60))+Formula!I8*(INDEX(Properties!A$1:CB$87,Formula!H8,60))+Formula!K8*(INDEX(Properties!A$1:CB$87,Formula!J8,60))</f>
        <v>23.05348</v>
      </c>
      <c r="GB8" s="72">
        <f>VARP(IF(INDEX(Properties!A$1:CB$87,Formula!B8,60)&lt;&gt;"",INDEX(Properties!A$1:CB$87,Formula!B8,60)),IF(INDEX(Properties!A$1:CB$87,Formula!D8,60)&lt;&gt;"",INDEX(Properties!A$1:CB$87,Formula!D8,60)),IF(INDEX(Properties!A$1:CB$87,Formula!F8,60)&lt;&gt;"",INDEX(Properties!A$1:CB$87,Formula!F8,60)),IF(INDEX(Properties!A$1:CB$87,Formula!H8,60)&lt;&gt;"",INDEX(Properties!A$1:CB$87,Formula!H8,60)),IF(INDEX(Properties!A$1:CB$87,Formula!J8,60)&lt;&gt;"",INDEX(Properties!A$1:CB$87,Formula!J8,60)))</f>
        <v>84.590912804416007</v>
      </c>
      <c r="GC8" s="72">
        <f>MAX(INDEX(Properties!A$1:CB$87,Formula!B8,60),INDEX(Properties!A$1:CB$87,Formula!D8,60),INDEX(Properties!A$1:CB$87,Formula!F8,60),INDEX(Properties!A$1:CB$87,Formula!H8,60),INDEX(Properties!A$1:CB$87,Formula!J8,60))</f>
        <v>23</v>
      </c>
      <c r="GD8" s="72">
        <f>MIN(IF(INDEX(Properties!A$1:CB$87,Formula!B8,60)=0,10^6,INDEX(Properties!A$1:CB$87,Formula!B8,60)),IF(INDEX(Properties!A$1:CB$87,Formula!D8,60)=0,10^6,INDEX(Properties!A$1:CB$87,Formula!D8,60)),IF(INDEX(Properties!A$1:CB$87,Formula!F8,60)=0,10^6,INDEX(Properties!A$1:CB$87,Formula!F8,60)),IF(INDEX(Properties!A$1:CB$87,Formula!H8,60)=0,10^6,INDEX(Properties!A$1:CB$87,Formula!H8,60)),IF(INDEX(Properties!A$1:CB$87,Formula!J8,60)=0,10^6,INDEX(Properties!A$1:CB$87,Formula!J8,60)))</f>
        <v>2.674E-2</v>
      </c>
      <c r="GE8" s="72">
        <f t="shared" si="30"/>
        <v>22.97326</v>
      </c>
      <c r="GF8" s="51">
        <f>((Formula!C8)/(Formula!C8+Formula!E8+Formula!G8+Formula!I8+Formula!K8))*(INDEX(Properties!A$1:CB$87,Formula!B8,62))+((Formula!E8)/(Formula!C8+Formula!E8+Formula!G8+Formula!I8+Formula!K8))*(INDEX(Properties!A$1:CB$87,Formula!D8,62))+((Formula!G8)/(Formula!C8+Formula!E8+Formula!G8+Formula!I8+Formula!K8))*(INDEX(Properties!A$1:CB$87,Formula!F8,62))+((Formula!I8)/(Formula!C8+Formula!E8+Formula!G8+Formula!I8+Formula!K8))*(INDEX(Properties!A$1:CB$87,Formula!H8,62))+((Formula!K8)/(Formula!C8+Formula!E8+Formula!G8+Formula!I8+Formula!K8))*(INDEX(Properties!A$1:CB$87,Formula!J8,62))</f>
        <v>3.8933333333333331</v>
      </c>
      <c r="GG8" s="51">
        <f>Formula!C8*(INDEX(Properties!A$1:CB$87,Formula!B8,62))+Formula!E8*(INDEX(Properties!A$1:CB$87,Formula!D8,62))+Formula!G8*(INDEX(Properties!A$1:CB$87,Formula!F8,62))+Formula!I8*(INDEX(Properties!A$1:CB$87,Formula!H8,62))+Formula!K8*(INDEX(Properties!A$1:CB$87,Formula!J8,62))</f>
        <v>11.68</v>
      </c>
      <c r="GH8" s="51">
        <f>VARP(IF(INDEX(Properties!A$1:CB$87,Formula!B8,62)&lt;&gt;"",INDEX(Properties!A$1:CB$87,Formula!B8,62)),IF(INDEX(Properties!A$1:CB$87,Formula!D8,62)&lt;&gt;"",INDEX(Properties!A$1:CB$87,Formula!D8,62)),IF(INDEX(Properties!A$1:CB$87,Formula!F8,62)&lt;&gt;"",INDEX(Properties!A$1:CB$87,Formula!F8,62)),IF(INDEX(Properties!A$1:CB$87,Formula!H8,62)&lt;&gt;"",INDEX(Properties!A$1:CB$87,Formula!H8,62)),IF(INDEX(Properties!A$1:CB$87,Formula!J8,62)&lt;&gt;"",INDEX(Properties!A$1:CB$87,Formula!J8,62)))</f>
        <v>6.3842560000000024</v>
      </c>
      <c r="GI8" s="51">
        <f>MAX(INDEX(Properties!A$1:CB$87,Formula!B8,62),INDEX(Properties!A$1:CB$87,Formula!D8,62),INDEX(Properties!A$1:CB$87,Formula!F8,62),INDEX(Properties!A$1:CB$87,Formula!H8,62),INDEX(Properties!A$1:CB$87,Formula!J8,62))</f>
        <v>6.44</v>
      </c>
      <c r="GJ8" s="51">
        <f>MIN(IF(INDEX(Properties!A$1:CB$87,Formula!B8,62)=0,10^6,INDEX(Properties!A$1:CB$87,Formula!B8,62)),IF(INDEX(Properties!A$1:CB$87,Formula!D8,62)=0,10^6,INDEX(Properties!A$1:CB$87,Formula!D8,62)),IF(INDEX(Properties!A$1:CB$87,Formula!F8,62)=0,10^6,INDEX(Properties!A$1:CB$87,Formula!F8,62)),IF(INDEX(Properties!A$1:CB$87,Formula!H8,62)=0,10^6,INDEX(Properties!A$1:CB$87,Formula!H8,62)),IF(INDEX(Properties!A$1:CB$87,Formula!J8,62)=0,10^6,INDEX(Properties!A$1:CB$87,Formula!J8,62)))</f>
        <v>2.62</v>
      </c>
      <c r="GK8" s="51">
        <f t="shared" si="31"/>
        <v>3.8200000000000003</v>
      </c>
      <c r="GL8" s="51">
        <f>Formula!P8</f>
        <v>14</v>
      </c>
      <c r="GM8" s="57">
        <f>Formula!O8</f>
        <v>2</v>
      </c>
      <c r="GN8" s="51">
        <f>Formula!N8</f>
        <v>0.05</v>
      </c>
    </row>
    <row r="9" spans="1:196" s="5" customFormat="1" x14ac:dyDescent="0.3">
      <c r="A9" s="84" t="str">
        <f>Formula!A9</f>
        <v>Ca3Si2O7</v>
      </c>
      <c r="B9" s="89">
        <f>((Formula!C9)/(Formula!C9+Formula!E9+Formula!G9+Formula!I9+Formula!K9))*(INDEX(Properties!A$1:CB$87,Formula!B9,3))+((Formula!E9)/(Formula!C9+Formula!E9+Formula!G9+Formula!I9+Formula!K9))*(INDEX(Properties!A$1:CB$87,Formula!D9,3))+((Formula!G9)/(Formula!C9+Formula!E9+Formula!G9+Formula!I9+Formula!K9))*(INDEX(Properties!A$1:CB$87,Formula!F9,3))+((Formula!I9)/(Formula!C9+Formula!E9+Formula!G9+Formula!I9+Formula!K9))*(INDEX(Properties!A$1:CB$87,Formula!H9,3))+((Formula!K9)/(Formula!C9+Formula!E9+Formula!G9+Formula!I9+Formula!K9))*(INDEX(Properties!A$1:CB$87,Formula!J9,3))</f>
        <v>24.0334</v>
      </c>
      <c r="C9" s="85">
        <f>Formula!C9*(INDEX(Properties!A$1:CB$87,Formula!B9,3))+Formula!E9*(INDEX(Properties!A$1:CB$87,Formula!D9,3))+Formula!G9*(INDEX(Properties!A$1:CB$87,Formula!F9,3))+Formula!I9*(INDEX(Properties!A$1:CB$87,Formula!H9,3))+Formula!K9*(INDEX(Properties!A$1:CB$87,Formula!J9,3))</f>
        <v>288.4008</v>
      </c>
      <c r="D9" s="85">
        <f>VARP(IF(INDEX(Properties!A$1:CB$87,Formula!B9,3)&lt;&gt;"",INDEX(Properties!A$1:CB$87,Formula!B9,3)),IF(INDEX(Properties!A$1:CB$87,Formula!D9,3)&lt;&gt;"",INDEX(Properties!A$1:CB$87,Formula!D9,3)),IF(INDEX(Properties!A$1:CB$87,Formula!F9,3)&lt;&gt;"",INDEX(Properties!A$1:CB$87,Formula!F9,3)),IF(INDEX(Properties!A$1:CB$87,Formula!H9,3)&lt;&gt;"",INDEX(Properties!A$1:CB$87,Formula!H9,3)),IF(INDEX(Properties!A$1:CB$87,Formula!J9,3)&lt;&gt;"",INDEX(Properties!A$1:CB$87,Formula!J9,3)))</f>
        <v>246.86868946560014</v>
      </c>
      <c r="E9" s="85">
        <f>MAX(INDEX(Properties!A$1:CB$87,Formula!B9,3),INDEX(Properties!A$1:CB$87,Formula!D9,3),INDEX(Properties!A$1:CB$87,Formula!F9,3),INDEX(Properties!A$1:CB$87,Formula!H9,3),INDEX(Properties!A$1:CB$87,Formula!J9,3))</f>
        <v>40.078000000000003</v>
      </c>
      <c r="F9" s="85">
        <f>MIN(IF(INDEX(Properties!A$1:CB$87,Formula!B9,3)=0,10^6,INDEX(Properties!A$1:CB$87,Formula!B9,3)),IF(INDEX(Properties!A$1:CB$87,Formula!D9,3)=0,10^6,INDEX(Properties!A$1:CB$87,Formula!D9,3)),IF(INDEX(Properties!A$1:CB$87,Formula!F9,3)=0,10^6,INDEX(Properties!A$1:CB$87,Formula!F9,3)),IF(INDEX(Properties!A$1:CB$87,Formula!H9,3)=0,10^6,INDEX(Properties!A$1:CB$87,Formula!H9,3)),IF(INDEX(Properties!A$1:CB$87,Formula!J9,3)=0,10^6,INDEX(Properties!A$1:CB$87,Formula!J9,3)))</f>
        <v>15.9994</v>
      </c>
      <c r="G9" s="85">
        <f t="shared" si="0"/>
        <v>24.078600000000002</v>
      </c>
      <c r="H9" s="87">
        <f>((Formula!C9)/(Formula!C9+Formula!E9+Formula!G9+Formula!I9+Formula!K9))*(INDEX(Properties!A$1:CB$87,Formula!B9,4))+((Formula!E9)/(Formula!C9+Formula!E9+Formula!G9+Formula!I9+Formula!K9))*(INDEX(Properties!A$1:CB$87,Formula!D9,4))+((Formula!G9)/(Formula!C9+Formula!E9+Formula!G9+Formula!I9+Formula!K9))*(INDEX(Properties!A$1:CB$87,Formula!F9,4))+((Formula!I9)/(Formula!C9+Formula!E9+Formula!G9+Formula!I9+Formula!K9))*(INDEX(Properties!A$1:CB$87,Formula!H9,4))+((Formula!K9)/(Formula!C9+Formula!E9+Formula!G9+Formula!I9+Formula!K9))*(INDEX(Properties!A$1:CB$87,Formula!J9,4))</f>
        <v>12</v>
      </c>
      <c r="I9" s="87">
        <f>Formula!C9*(INDEX(Properties!A$1:CB$87,Formula!B9,4))+Formula!E9*(INDEX(Properties!A$1:CB$87,Formula!D9,4))+Formula!G9*(INDEX(Properties!A$1:CB$87,Formula!F9,4))+Formula!I9*(INDEX(Properties!A$1:CB$87,Formula!H9,4))+Formula!K9*(INDEX(Properties!A$1:CB$87,Formula!J9,4))</f>
        <v>144</v>
      </c>
      <c r="J9" s="87">
        <f>VARP(IF(INDEX(Properties!A$1:CB$87,Formula!B9,4)&lt;&gt;"",INDEX(Properties!A$1:CB$87,Formula!B9,4)),IF(INDEX(Properties!A$1:CB$87,Formula!D9,4)&lt;&gt;"",INDEX(Properties!A$1:CB$87,Formula!D9,4)),IF(INDEX(Properties!A$1:CB$87,Formula!F9,4)&lt;&gt;"",INDEX(Properties!A$1:CB$87,Formula!F9,4)),IF(INDEX(Properties!A$1:CB$87,Formula!H9,4)&lt;&gt;"",INDEX(Properties!A$1:CB$87,Formula!H9,4)),IF(INDEX(Properties!A$1:CB$87,Formula!J9,4)&lt;&gt;"",INDEX(Properties!A$1:CB$87,Formula!J9,4)))</f>
        <v>61.44</v>
      </c>
      <c r="K9" s="87">
        <f>MAX(INDEX(Properties!A$1:CB$87,Formula!B9,4),INDEX(Properties!A$1:CB$87,Formula!D9,4),INDEX(Properties!A$1:CB$87,Formula!F9,4),INDEX(Properties!A$1:CB$87,Formula!H9,4),INDEX(Properties!A$1:CB$87,Formula!J9,4))</f>
        <v>20</v>
      </c>
      <c r="L9" s="87">
        <f>MIN(IF(INDEX(Properties!A$1:CB$87,Formula!B9,4)=0,10^6,INDEX(Properties!A$1:CB$87,Formula!B9,4)),IF(INDEX(Properties!A$1:CB$87,Formula!D9,4)=0,10^6,INDEX(Properties!A$1:CB$87,Formula!D9,4)),IF(INDEX(Properties!A$1:CB$87,Formula!F9,4)=0,10^6,INDEX(Properties!A$1:CB$87,Formula!F9,4)),IF(INDEX(Properties!A$1:CB$87,Formula!H9,4)=0,10^6,INDEX(Properties!A$1:CB$87,Formula!H9,4)),IF(INDEX(Properties!A$1:CB$87,Formula!J9,4)=0,10^6,INDEX(Properties!A$1:CB$87,Formula!J9,4)))</f>
        <v>8</v>
      </c>
      <c r="M9" s="87">
        <f t="shared" si="1"/>
        <v>12</v>
      </c>
      <c r="N9" s="89">
        <f>((Formula!C9)/(Formula!C9+Formula!E9+Formula!G9+Formula!I9+Formula!K9))*(INDEX(Properties!A$1:CB$87,Formula!B9,5))+((Formula!E9)/(Formula!C9+Formula!E9+Formula!G9+Formula!I9+Formula!K9))*(INDEX(Properties!A$1:CB$87,Formula!D9,5))+((Formula!G9)/(Formula!C9+Formula!E9+Formula!G9+Formula!I9+Formula!K9))*(INDEX(Properties!A$1:CB$87,Formula!F9,5))+((Formula!I9)/(Formula!C9+Formula!E9+Formula!G9+Formula!I9+Formula!K9))*(INDEX(Properties!A$1:CB$87,Formula!H9,5))+((Formula!K9)/(Formula!C9+Formula!E9+Formula!G9+Formula!I9+Formula!K9))*(INDEX(Properties!A$1:CB$87,Formula!J9,5))</f>
        <v>2.666666666666667</v>
      </c>
      <c r="O9" s="89">
        <f>Formula!C9*(INDEX(Properties!A$1:CB$87,Formula!B9,5))+Formula!E9*(INDEX(Properties!A$1:CB$87,Formula!D9,5))+Formula!G9*(INDEX(Properties!A$1:CB$87,Formula!F9,5))+Formula!I9*(INDEX(Properties!A$1:CB$87,Formula!H9,5))+Formula!K9*(INDEX(Properties!A$1:CB$87,Formula!J9,5))</f>
        <v>32</v>
      </c>
      <c r="P9" s="89">
        <f>VARP(IF(INDEX(Properties!A$1:CB$87,Formula!B9,5)&lt;&gt;"",INDEX(Properties!A$1:CB$87,Formula!B9,5)),IF(INDEX(Properties!A$1:CB$87,Formula!D9,5)&lt;&gt;"",INDEX(Properties!A$1:CB$87,Formula!D9,5)),IF(INDEX(Properties!A$1:CB$87,Formula!F9,5)&lt;&gt;"",INDEX(Properties!A$1:CB$87,Formula!F9,5)),IF(INDEX(Properties!A$1:CB$87,Formula!H9,5)&lt;&gt;"",INDEX(Properties!A$1:CB$87,Formula!H9,5)),IF(INDEX(Properties!A$1:CB$87,Formula!J9,5)&lt;&gt;"",INDEX(Properties!A$1:CB$87,Formula!J9,5)))</f>
        <v>2.56</v>
      </c>
      <c r="Q9" s="89">
        <f>MAX(INDEX(Properties!A$1:CB$87,Formula!B9,5),INDEX(Properties!A$1:CB$87,Formula!D9,5),INDEX(Properties!A$1:CB$87,Formula!F9,5),INDEX(Properties!A$1:CB$87,Formula!H9,5),INDEX(Properties!A$1:CB$87,Formula!J9,5))</f>
        <v>4</v>
      </c>
      <c r="R9" s="89">
        <f>MIN(IF(INDEX(Properties!A$1:CB$87,Formula!B9,5)=0,10^6,INDEX(Properties!A$1:CB$87,Formula!B9,5)),IF(INDEX(Properties!A$1:CB$87,Formula!D9,5)=0,10^6,INDEX(Properties!A$1:CB$87,Formula!D9,5)),IF(INDEX(Properties!A$1:CB$87,Formula!F9,5)=0,10^6,INDEX(Properties!A$1:CB$87,Formula!F9,5)),IF(INDEX(Properties!A$1:CB$87,Formula!H9,5)=0,10^6,INDEX(Properties!A$1:CB$87,Formula!H9,5)),IF(INDEX(Properties!A$1:CB$87,Formula!J9,5)=0,10^6,INDEX(Properties!A$1:CB$87,Formula!J9,5)))</f>
        <v>2</v>
      </c>
      <c r="S9" s="89">
        <f t="shared" si="2"/>
        <v>2</v>
      </c>
      <c r="T9" s="60">
        <f>((Formula!C9)/(Formula!C9+Formula!E9+Formula!G9+Formula!I9+Formula!K9))*(INDEX(Properties!A$1:CB$87,Formula!B9,6))+((Formula!E9)/(Formula!C9+Formula!E9+Formula!G9+Formula!I9+Formula!K9))*(INDEX(Properties!A$1:CB$87,Formula!D9,6))+((Formula!G9)/(Formula!C9+Formula!E9+Formula!G9+Formula!I9+Formula!K9))*(INDEX(Properties!A$1:CB$87,Formula!F9,6))+((Formula!I9)/(Formula!C9+Formula!E9+Formula!G9+Formula!I9+Formula!K9))*(INDEX(Properties!A$1:CB$87,Formula!H9,6))+((Formula!K9)/(Formula!C9+Formula!E9+Formula!G9+Formula!I9+Formula!K9))*(INDEX(Properties!A$1:CB$87,Formula!J9,6))</f>
        <v>12.166666666666668</v>
      </c>
      <c r="U9" s="60">
        <f>Formula!C9*(INDEX(Properties!A$1:CB$87,Formula!B9,6))+Formula!E9*(INDEX(Properties!A$1:CB$87,Formula!D9,6))+Formula!G9*(INDEX(Properties!A$1:CB$87,Formula!F9,6))+Formula!I9*(INDEX(Properties!A$1:CB$87,Formula!H9,6))+Formula!K9*(INDEX(Properties!A$1:CB$87,Formula!J9,6))</f>
        <v>146</v>
      </c>
      <c r="V9" s="89">
        <f>VARP(IF(INDEX(Properties!A$1:CB$87,Formula!B9,6)&lt;&gt;"",INDEX(Properties!A$1:CB$87,Formula!B9,6)),IF(INDEX(Properties!A$1:CB$87,Formula!D9,6)&lt;&gt;"",INDEX(Properties!A$1:CB$87,Formula!D9,6)),IF(INDEX(Properties!A$1:CB$87,Formula!F9,6)&lt;&gt;"",INDEX(Properties!A$1:CB$87,Formula!F9,6)),IF(INDEX(Properties!A$1:CB$87,Formula!H9,6)&lt;&gt;"",INDEX(Properties!A$1:CB$87,Formula!H9,6)),IF(INDEX(Properties!A$1:CB$87,Formula!J9,6)&lt;&gt;"",INDEX(Properties!A$1:CB$87,Formula!J9,6)))</f>
        <v>50.24</v>
      </c>
      <c r="W9" s="60">
        <f>MAX(INDEX(Properties!A$1:CB$87,Formula!B9,6),INDEX(Properties!A$1:CB$87,Formula!D9,6),INDEX(Properties!A$1:CB$87,Formula!F9,6),INDEX(Properties!A$1:CB$87,Formula!H9,4),INDEX(Properties!A$1:CB$87,Formula!J9,6))</f>
        <v>16</v>
      </c>
      <c r="X9" s="60">
        <f>MIN(IF(INDEX(Properties!A$1:CB$87,Formula!B9,6)=0,10^6,INDEX(Properties!A$1:CB$87,Formula!B9,6)),IF(INDEX(Properties!A$1:CB$87,Formula!D9,6)=0,10^6,INDEX(Properties!A$1:CB$87,Formula!D9,6)),IF(INDEX(Properties!A$1:CB$87,Formula!F9,6)=0,10^6,INDEX(Properties!A$1:CB$87,Formula!F9,6)),IF(INDEX(Properties!A$1:CB$87,Formula!H9,6)=0,10^6,INDEX(Properties!A$1:CB$87,Formula!H9,6)),IF(INDEX(Properties!A$1:CB$87,Formula!J9,6)=0,10^6,INDEX(Properties!A$1:CB$87,Formula!J9,6)))</f>
        <v>2</v>
      </c>
      <c r="Y9" s="60">
        <f t="shared" si="3"/>
        <v>14</v>
      </c>
      <c r="Z9" s="72">
        <f>((Formula!C9)/(Formula!C9+Formula!E9+Formula!G9+Formula!I9+Formula!K9))*(INDEX(Properties!A$1:CB$87,Formula!B9,9))+((Formula!E9)/(Formula!C9+Formula!E9+Formula!G9+Formula!I9+Formula!K9))*(INDEX(Properties!A$1:CB$87,Formula!D9,9))+((Formula!G9)/(Formula!C9+Formula!E9+Formula!G9+Formula!I9+Formula!K9))*(INDEX(Properties!A$1:CB$87,Formula!F9,9))+((Formula!I9)/(Formula!C9+Formula!E9+Formula!G9+Formula!I9+Formula!K9))*(INDEX(Properties!A$1:CB$87,Formula!H9,9))+((Formula!K9)/(Formula!C9+Formula!E9+Formula!G9+Formula!I9+Formula!K9))*(INDEX(Properties!A$1:CB$87,Formula!J9,9))</f>
        <v>65.5</v>
      </c>
      <c r="AA9" s="72">
        <f>Formula!C9*(INDEX(Properties!A$1:CB$87,Formula!B9,9))+Formula!E9*(INDEX(Properties!A$1:CB$87,Formula!D9,9))+Formula!G9*(INDEX(Properties!A$1:CB$87,Formula!F9,9))+Formula!I9*(INDEX(Properties!A$1:CB$87,Formula!H9,9))+Formula!K9*(INDEX(Properties!A$1:CB$87,Formula!J9,9))</f>
        <v>786</v>
      </c>
      <c r="AB9" s="72">
        <f>VARP(IF(INDEX(Properties!A$1:CB$87,Formula!B9,9)&lt;&gt;"",INDEX(Properties!A$1:CB$87,Formula!B9,9)),IF(INDEX(Properties!A$1:CB$87,Formula!D9,9)&lt;&gt;"",INDEX(Properties!A$1:CB$87,Formula!D9,9)),IF(INDEX(Properties!A$1:CB$87,Formula!F9,9)&lt;&gt;"",INDEX(Properties!A$1:CB$87,Formula!F9,9)),IF(INDEX(Properties!A$1:CB$87,Formula!H9,9)&lt;&gt;"",INDEX(Properties!A$1:CB$87,Formula!H9,9)),IF(INDEX(Properties!A$1:CB$87,Formula!J9,9)&lt;&gt;"",INDEX(Properties!A$1:CB$87,Formula!J9,9)))</f>
        <v>1557.04</v>
      </c>
      <c r="AC9" s="72">
        <f>MAX(INDEX(Properties!A$1:CB$87,Formula!B9,9),INDEX(Properties!A$1:CB$87,Formula!D9,9),INDEX(Properties!A$1:CB$87,Formula!F9,9),INDEX(Properties!A$1:CB$87,Formula!H9,9),INDEX(Properties!A$1:CB$87,Formula!J9,9))</f>
        <v>87</v>
      </c>
      <c r="AD9" s="72">
        <f>MIN(IF(INDEX(Properties!A$1:CB$87,Formula!B9,9)=0,10^6,INDEX(Properties!A$1:CB$87,Formula!B9,9)),IF(INDEX(Properties!A$1:CB$87,Formula!D9,9)=0,10^6,INDEX(Properties!A$1:CB$87,Formula!D9,9)),IF(INDEX(Properties!A$1:CB$87,Formula!F9,9)=0,10^6,INDEX(Properties!A$1:CB$87,Formula!F9,9)),IF(INDEX(Properties!A$1:CB$87,Formula!H9,9)=0,10^6,INDEX(Properties!A$1:CB$87,Formula!H9,9)),IF(INDEX(Properties!A$1:CB$87,Formula!J9,9)=0,10^6,INDEX(Properties!A$1:CB$87,Formula!J9,9)))</f>
        <v>7</v>
      </c>
      <c r="AE9" s="72">
        <f t="shared" si="4"/>
        <v>80</v>
      </c>
      <c r="AF9" s="51">
        <f>((Formula!C9)/(Formula!C9+Formula!E9+Formula!G9+Formula!I9+Formula!K9))*(INDEX(Properties!A$1:CB$87,Formula!B9,10))+((Formula!E9)/(Formula!C9+Formula!E9+Formula!G9+Formula!I9+Formula!K9))*(INDEX(Properties!A$1:CB$87,Formula!D9,10))+((Formula!G9)/(Formula!C9+Formula!E9+Formula!G9+Formula!I9+Formula!K9))*(INDEX(Properties!A$1:CB$87,Formula!F9,10))+((Formula!I9)/(Formula!C9+Formula!E9+Formula!G9+Formula!I9+Formula!K9))*(INDEX(Properties!A$1:CB$87,Formula!H9,10))+((Formula!K9)/(Formula!C9+Formula!E9+Formula!G9+Formula!I9+Formula!K9))*(INDEX(Properties!A$1:CB$87,Formula!J9,10))</f>
        <v>5.5833333333333339</v>
      </c>
      <c r="AG9" s="51">
        <f>Formula!C9*(INDEX(Properties!A$1:CB$87,Formula!B9,10))+Formula!E9*(INDEX(Properties!A$1:CB$87,Formula!D9,10))+Formula!G9*(INDEX(Properties!A$1:CB$87,Formula!F9,10))+Formula!I9*(INDEX(Properties!A$1:CB$87,Formula!H9,10))+Formula!K9*(INDEX(Properties!A$1:CB$87,Formula!J9,10))</f>
        <v>67</v>
      </c>
      <c r="AH9" s="51">
        <f>VARP(IF(INDEX(Properties!A$1:CB$87,Formula!B9,10)&lt;&gt;"",INDEX(Properties!A$1:CB$87,Formula!B9,10)),IF(INDEX(Properties!A$1:CB$87,Formula!D9,10)&lt;&gt;"",INDEX(Properties!A$1:CB$87,Formula!D9,10)),IF(INDEX(Properties!A$1:CB$87,Formula!F9,10)&lt;&gt;"",INDEX(Properties!A$1:CB$87,Formula!F9,10)),IF(INDEX(Properties!A$1:CB$87,Formula!H9,10)&lt;&gt;"",INDEX(Properties!A$1:CB$87,Formula!H9,10)),IF(INDEX(Properties!A$1:CB$87,Formula!J9,10)&lt;&gt;"",INDEX(Properties!A$1:CB$87,Formula!J9,10)))</f>
        <v>8.8000000000000007</v>
      </c>
      <c r="AI9" s="51">
        <f>MAX(INDEX(Properties!A$1:CB$87,Formula!B9,10),INDEX(Properties!A$1:CB$87,Formula!D9,10),INDEX(Properties!A$1:CB$87,Formula!F9,10),INDEX(Properties!A$1:CB$87,Formula!H9,10),INDEX(Properties!A$1:CB$87,Formula!J9,10))</f>
        <v>7</v>
      </c>
      <c r="AJ9" s="51">
        <f>MIN(IF(INDEX(Properties!A$1:CB$87,Formula!B9,10)=0,10^6,INDEX(Properties!A$1:CB$87,Formula!B9,10)),IF(INDEX(Properties!A$1:CB$87,Formula!D9,10)=0,10^6,INDEX(Properties!A$1:CB$87,Formula!D9,10)),IF(INDEX(Properties!A$1:CB$87,Formula!F9,10)=0,10^6,INDEX(Properties!A$1:CB$87,Formula!F9,10)),IF(INDEX(Properties!A$1:CB$87,Formula!H9,10)=0,10^6,INDEX(Properties!A$1:CB$87,Formula!H9,10)),IF(INDEX(Properties!A$1:CB$87,Formula!J9,10)=0,10^6,INDEX(Properties!A$1:CB$87,Formula!J9,10)))</f>
        <v>2</v>
      </c>
      <c r="AK9" s="51">
        <f t="shared" si="5"/>
        <v>5</v>
      </c>
      <c r="AL9" s="57">
        <f>((Formula!C9)/(Formula!C9+Formula!E9+Formula!G9+Formula!I9+Formula!K9))*(INDEX(Properties!A$1:CB$87,Formula!B9,11))+((Formula!E9)/(Formula!C9+Formula!E9+Formula!G9+Formula!I9+Formula!K9))*(INDEX(Properties!A$1:CB$87,Formula!D9,11))+((Formula!G9)/(Formula!C9+Formula!E9+Formula!G9+Formula!I9+Formula!K9))*(INDEX(Properties!A$1:CB$87,Formula!F9,11))+((Formula!I9)/(Formula!C9+Formula!E9+Formula!G9+Formula!I9+Formula!K9))*(INDEX(Properties!A$1:CB$87,Formula!H9,11))+((Formula!K9)/(Formula!C9+Formula!E9+Formula!G9+Formula!I9+Formula!K9))*(INDEX(Properties!A$1:CB$87,Formula!J9,11))</f>
        <v>2</v>
      </c>
      <c r="AM9" s="57">
        <f>Formula!C9*(INDEX(Properties!A$1:CB$87,Formula!B9,11))+Formula!E9*(INDEX(Properties!A$1:CB$87,Formula!D9,11))+Formula!G9*(INDEX(Properties!A$1:CB$87,Formula!F9,11))+Formula!I9*(INDEX(Properties!A$1:CB$87,Formula!H9,11))+Formula!K9*(INDEX(Properties!A$1:CB$87,Formula!J9,11))</f>
        <v>24</v>
      </c>
      <c r="AN9" s="57">
        <f>VARP(IF(INDEX(Properties!A$1:CB$87,Formula!B9,11)&lt;&gt;"",INDEX(Properties!A$1:CB$87,Formula!B9,11)),IF(INDEX(Properties!A$1:CB$87,Formula!D9,11)&lt;&gt;"",INDEX(Properties!A$1:CB$87,Formula!D9,11)),IF(INDEX(Properties!A$1:CB$87,Formula!F9,11)&lt;&gt;"",INDEX(Properties!A$1:CB$87,Formula!F9,11)),IF(INDEX(Properties!A$1:CB$87,Formula!H9,11)&lt;&gt;"",INDEX(Properties!A$1:CB$87,Formula!H9,11)),IF(INDEX(Properties!A$1:CB$87,Formula!J9,11)&lt;&gt;"",INDEX(Properties!A$1:CB$87,Formula!J9,11)))</f>
        <v>0.96</v>
      </c>
      <c r="AO9" s="57">
        <f>MAX(INDEX(Properties!A$1:CB$87,Formula!B9,11),INDEX(Properties!A$1:CB$87,Formula!D9,11),INDEX(Properties!A$1:CB$87,Formula!F9,11),INDEX(Properties!A$1:CB$87,Formula!H9,11),INDEX(Properties!A$1:CB$87,Formula!J9,11))</f>
        <v>2</v>
      </c>
      <c r="AP9" s="57">
        <f>MIN(IF(Formula!B9=87,10^6,INDEX(Properties!A$1:CB$87,Formula!B9,11)),IF((Formula!D9)=87,10^6,INDEX(Properties!A$1:CB$87,Formula!D9,11)),IF((Formula!F9)=87,10^6,INDEX(Properties!A$1:CB$87,Formula!F9,11)),IF((Formula!H9)=87,10^6,INDEX(Properties!A$1:CB$87,Formula!H9,11)),IF(Formula!J9=87,10^6,INDEX(Properties!A$1:CB$87,Formula!J9,11)))</f>
        <v>2</v>
      </c>
      <c r="AQ9" s="57">
        <f t="shared" si="6"/>
        <v>0</v>
      </c>
      <c r="AR9" s="78">
        <f>((Formula!C9)/(Formula!C9+Formula!E9+Formula!G9+Formula!I9+Formula!K9))*(INDEX(Properties!A$1:CB$87,Formula!B9,12))+((Formula!E9)/(Formula!C9+Formula!E9+Formula!G9+Formula!I9+Formula!K9))*(INDEX(Properties!A$1:CB$87,Formula!D9,12))+((Formula!G9)/(Formula!C9+Formula!E9+Formula!G9+Formula!I9+Formula!K9))*(INDEX(Properties!A$1:CB$87,Formula!F9,12))+((Formula!I9)/(Formula!C9+Formula!E9+Formula!G9+Formula!I9+Formula!K9))*(INDEX(Properties!A$1:CB$87,Formula!H9,12))+((Formula!K9)/(Formula!C9+Formula!E9+Formula!G9+Formula!I9+Formula!K9))*(INDEX(Properties!A$1:CB$87,Formula!J9,12))</f>
        <v>2.666666666666667</v>
      </c>
      <c r="AS9" s="78">
        <f>Formula!C9*(INDEX(Properties!A$1:CB$87,Formula!B9,12))+Formula!E9*(INDEX(Properties!A$1:CB$87,Formula!D9,12))+Formula!G9*(INDEX(Properties!A$1:CB$87,Formula!F9,12))+Formula!I9*(INDEX(Properties!A$1:CB$87,Formula!H9,12))+Formula!K9*(INDEX(Properties!A$1:CB$87,Formula!J9,12))</f>
        <v>32</v>
      </c>
      <c r="AT9" s="78">
        <f>VARP(IF(INDEX(Properties!A$1:CB$87,Formula!B9,12)&lt;&gt;"",INDEX(Properties!A$1:CB$87,Formula!B9,12)),IF(INDEX(Properties!A$1:CB$87,Formula!D9,12)&lt;&gt;"",INDEX(Properties!A$1:CB$87,Formula!D9,12)),IF(INDEX(Properties!A$1:CB$87,Formula!F9,12)&lt;&gt;"",INDEX(Properties!A$1:CB$87,Formula!F9,12)),IF(INDEX(Properties!A$1:CB$87,Formula!H9,12)&lt;&gt;"",INDEX(Properties!A$1:CB$87,Formula!H9,12)),IF(INDEX(Properties!A$1:CB$87,Formula!J9,12)&lt;&gt;"",INDEX(Properties!A$1:CB$87,Formula!J9,12)))</f>
        <v>2.56</v>
      </c>
      <c r="AU9" s="78">
        <f>MAX(INDEX(Properties!A$1:CB$87,Formula!B9,12),INDEX(Properties!A$1:CB$87,Formula!D9,12),INDEX(Properties!A$1:CB$87,Formula!F9,12),INDEX(Properties!A$1:CB$87,Formula!H9,12),INDEX(Properties!A$1:CB$87,Formula!J9,12))</f>
        <v>4</v>
      </c>
      <c r="AV9" s="78">
        <f>MIN(IF(Formula!B9=87,10^6,INDEX(Properties!A$1:CB$87,Formula!B9,12)),IF((Formula!D9)=87,10^6,INDEX(Properties!A$1:CB$87,Formula!D9,12)),IF((Formula!F9)=87,10^6,INDEX(Properties!A$1:CB$87,Formula!F9,12)),IF((Formula!H9)=87,10^6,INDEX(Properties!A$1:CB$87,Formula!H9,12)),IF(Formula!J9=87,10^6,INDEX(Properties!A$1:CB$87,Formula!J9,12)))</f>
        <v>0</v>
      </c>
      <c r="AW9" s="78">
        <f t="shared" si="7"/>
        <v>4</v>
      </c>
      <c r="AX9" s="45">
        <f>((Formula!C9)/(Formula!C9+Formula!E9+Formula!G9+Formula!I9+Formula!K9))*(INDEX(Properties!A$1:CB$87,Formula!B9,13))+((Formula!E9)/(Formula!C9+Formula!E9+Formula!G9+Formula!I9+Formula!K9))*(INDEX(Properties!A$1:CB$87,Formula!D9,13))+((Formula!G9)/(Formula!C9+Formula!E9+Formula!G9+Formula!I9+Formula!K9))*(INDEX(Properties!A$1:CB$87,Formula!F9,13))+((Formula!I9)/(Formula!C9+Formula!E9+Formula!G9+Formula!I9+Formula!K9))*(INDEX(Properties!A$1:CB$87,Formula!H9,13))+((Formula!K9)/(Formula!C9+Formula!E9+Formula!G9+Formula!I9+Formula!K9))*(INDEX(Properties!A$1:CB$87,Formula!J9,13))</f>
        <v>0</v>
      </c>
      <c r="AY9" s="45">
        <f>Formula!C9*(INDEX(Properties!A$1:CB$87,Formula!B9,13))+Formula!E9*(INDEX(Properties!A$1:CB$87,Formula!D9,13))+Formula!G9*(INDEX(Properties!A$1:CB$87,Formula!F9,13))+Formula!I9*(INDEX(Properties!A$1:CB$87,Formula!H9,13))+Formula!K9*(INDEX(Properties!A$1:CB$87,Formula!J9,13))</f>
        <v>0</v>
      </c>
      <c r="AZ9" s="45">
        <f>VARP(IF(INDEX(Properties!A$1:CB$87,Formula!B9,13)&lt;&gt;"",INDEX(Properties!A$1:CB$87,Formula!B9,13)),IF(INDEX(Properties!A$1:CB$87,Formula!D9,13)&lt;&gt;"",INDEX(Properties!A$1:CB$87,Formula!D9,13)),IF(INDEX(Properties!A$1:CB$87,Formula!F9,13)&lt;&gt;"",INDEX(Properties!A$1:CB$87,Formula!F9,13)),IF(INDEX(Properties!A$1:CB$87,Formula!H9,13)&lt;&gt;"",INDEX(Properties!A$1:CB$87,Formula!H9,13)),IF(INDEX(Properties!A$1:CB$87,Formula!J9,13)&lt;&gt;"",INDEX(Properties!A$1:CB$87,Formula!J9,13)))</f>
        <v>0</v>
      </c>
      <c r="BA9" s="45">
        <f>MAX(INDEX(Properties!A$1:CB$87,Formula!B9,13),INDEX(Properties!A$1:CB$87,Formula!D9,13),INDEX(Properties!A$1:CB$87,Formula!F9,13),INDEX(Properties!A$1:CB$87,Formula!H9,13),INDEX(Properties!A$1:CB$87,Formula!J9,13))</f>
        <v>0</v>
      </c>
      <c r="BB9" s="45">
        <f>MIN(IF(Formula!B9=87,10^6,INDEX(Properties!A$1:CB$87,Formula!B9,13)),IF((Formula!D9)=87,10^6,INDEX(Properties!A$1:CB$87,Formula!D9,13)),IF((Formula!F9)=87,10^6,INDEX(Properties!A$1:CB$87,Formula!F9,13)),IF((Formula!H9)=87,10^6,INDEX(Properties!A$1:CB$87,Formula!H9,13)),IF(Formula!J9=87,10^6,INDEX(Properties!A$1:CB$87,Formula!J9,13)))</f>
        <v>0</v>
      </c>
      <c r="BC9" s="45">
        <f t="shared" si="8"/>
        <v>0</v>
      </c>
      <c r="BD9" s="63">
        <f>((Formula!C9)/(Formula!C9+Formula!E9+Formula!G9+Formula!I9+Formula!K9))*(INDEX(Properties!A$1:CB$87,Formula!B9,14))+((Formula!E9)/(Formula!C9+Formula!E9+Formula!G9+Formula!I9+Formula!K9))*(INDEX(Properties!A$1:CB$87,Formula!D9,14))+((Formula!G9)/(Formula!C9+Formula!E9+Formula!G9+Formula!I9+Formula!K9))*(INDEX(Properties!A$1:CB$87,Formula!F9,14))+((Formula!I9)/(Formula!C9+Formula!E9+Formula!G9+Formula!I9+Formula!K9))*(INDEX(Properties!A$1:CB$87,Formula!H9,14))+((Formula!K9)/(Formula!C9+Formula!E9+Formula!G9+Formula!I9+Formula!K9))*(INDEX(Properties!A$1:CB$87,Formula!J9,14))</f>
        <v>0</v>
      </c>
      <c r="BE9" s="63">
        <f>Formula!C9*(INDEX(Properties!A$1:CB$87,Formula!B9,14))+Formula!E9*(INDEX(Properties!A$1:CB$87,Formula!D9,14))+Formula!G9*(INDEX(Properties!A$1:CB$87,Formula!F9,14))+Formula!I9*(INDEX(Properties!A$1:CB$87,Formula!H9,14))+Formula!K9*(INDEX(Properties!A$1:CB$87,Formula!J9,14))</f>
        <v>0</v>
      </c>
      <c r="BF9" s="63">
        <f>VARP(IF(INDEX(Properties!A$1:CB$87,Formula!B9,14)&lt;&gt;"",INDEX(Properties!A$1:CB$87,Formula!B9,14)),IF(INDEX(Properties!A$1:CB$87,Formula!D9,14)&lt;&gt;"",INDEX(Properties!A$1:CB$87,Formula!D9,14)),IF(INDEX(Properties!A$1:CB$87,Formula!F9,14)&lt;&gt;"",INDEX(Properties!A$1:CB$87,Formula!F9,14)),IF(INDEX(Properties!A$1:CB$87,Formula!H9,14)&lt;&gt;"",INDEX(Properties!A$1:CB$87,Formula!H9,14)),IF(INDEX(Properties!A$1:CB$87,Formula!J9,14)&lt;&gt;"",INDEX(Properties!A$1:CB$87,Formula!J9,14)))</f>
        <v>0</v>
      </c>
      <c r="BG9" s="63">
        <f>MAX(INDEX(Properties!A$1:CB$87,Formula!B9,14),INDEX(Properties!A$1:CB$87,Formula!D9,14),INDEX(Properties!A$1:CB$87,Formula!F9,14),INDEX(Properties!A$1:CB$87,Formula!H9,14),INDEX(Properties!A$1:CB$87,Formula!J9,14))</f>
        <v>0</v>
      </c>
      <c r="BH9" s="63">
        <f>MIN(IF(Formula!B9=87,10^6,INDEX(Properties!A$1:CB$87,Formula!B9,14)),IF((Formula!D9)=87,10^6,INDEX(Properties!A$1:CB$87,Formula!D9,14)),IF((Formula!F9)=87,10^6,INDEX(Properties!A$1:CB$87,Formula!F9,14)),IF((Formula!H9)=87,10^6,INDEX(Properties!A$1:CB$87,Formula!H9,14)),IF(Formula!J9=87,10^6,INDEX(Properties!A$1:CB$87,Formula!J9,14)))</f>
        <v>0</v>
      </c>
      <c r="BI9" s="63">
        <f t="shared" si="9"/>
        <v>0</v>
      </c>
      <c r="BJ9" s="75">
        <f>((Formula!C9)/(Formula!C9+Formula!E9+Formula!G9+Formula!I9+Formula!K9))*(INDEX(Properties!A$1:CB$87,Formula!B9,19))+((Formula!E9)/(Formula!C9+Formula!E9+Formula!G9+Formula!I9+Formula!K9))*(INDEX(Properties!A$1:CB$87,Formula!D9,19))+((Formula!G9)/(Formula!C9+Formula!E9+Formula!G9+Formula!I9+Formula!K9))*(INDEX(Properties!A$1:CB$87,Formula!F9,19))+((Formula!I9)/(Formula!C9+Formula!E9+Formula!G9+Formula!I9+Formula!K9))*(INDEX(Properties!A$1:CB$87,Formula!H9,19))+((Formula!K9)/(Formula!C9+Formula!E9+Formula!G9+Formula!I9+Formula!K9))*(INDEX(Properties!A$1:CB$87,Formula!J9,19))</f>
        <v>4.6666666666666661</v>
      </c>
      <c r="BK9" s="75">
        <f>Formula!C9*(INDEX(Properties!A$1:CB$87,Formula!B9,19))+Formula!E9*(INDEX(Properties!A$1:CB$87,Formula!D9,19))+Formula!G9*(INDEX(Properties!A$1:CB$87,Formula!F9,19))+Formula!I9*(INDEX(Properties!A$1:CB$87,Formula!H9,19))+Formula!K9*(INDEX(Properties!A$1:CB$87,Formula!J9,19))</f>
        <v>56</v>
      </c>
      <c r="BL9" s="75">
        <f>VARP(IF(INDEX(Properties!A$1:CB$87,Formula!B9,19)&lt;&gt;"",INDEX(Properties!A$1:CB$87,Formula!B9,19)),IF(INDEX(Properties!A$1:CB$87,Formula!D9,19)&lt;&gt;"",INDEX(Properties!A$1:CB$87,Formula!D9,19)),IF(INDEX(Properties!A$1:CB$87,Formula!F9,19)&lt;&gt;"",INDEX(Properties!A$1:CB$87,Formula!F9,19)),IF(INDEX(Properties!A$1:CB$87,Formula!H9,19)&lt;&gt;"",INDEX(Properties!A$1:CB$87,Formula!H9,19)),IF(INDEX(Properties!A$1:CB$87,Formula!J9,19)&lt;&gt;"",INDEX(Properties!A$1:CB$87,Formula!J9,19)))</f>
        <v>5.44</v>
      </c>
      <c r="BM9" s="75">
        <f>MAX(INDEX(Properties!A$1:CB$87,Formula!B9,19),INDEX(Properties!A$1:CB$87,Formula!D9,19),INDEX(Properties!A$1:CB$87,Formula!F9,19),INDEX(Properties!A$1:CB$87,Formula!H9,19),INDEX(Properties!A$1:CB$87,Formula!J9,19))</f>
        <v>6</v>
      </c>
      <c r="BN9" s="75">
        <f>MIN(IF(INDEX(Properties!A$1:CB$87,Formula!B9,19)=0,10^6,INDEX(Properties!A$1:CB$87,Formula!B9,19)),IF(INDEX(Properties!A$1:CB$87,Formula!D9,19)=0,10^6,INDEX(Properties!A$1:CB$87,Formula!D9,19)),IF(INDEX(Properties!A$1:CB$87,Formula!F9,19)=0,10^6,INDEX(Properties!A$1:CB$87,Formula!F9,19)),IF(INDEX(Properties!A$1:CB$87,Formula!H9,19)=0,10^6,INDEX(Properties!A$1:CB$87,Formula!H9,19)),IF(INDEX(Properties!A$1:CB$87,Formula!J9,19)=0,10^6,INDEX(Properties!A$1:CB$87,Formula!J9,19)))</f>
        <v>2</v>
      </c>
      <c r="BO9" s="75">
        <f t="shared" si="10"/>
        <v>4</v>
      </c>
      <c r="BP9" s="48">
        <f>((Formula!C9)/(Formula!C9+Formula!E9+Formula!G9+Formula!I9+Formula!K9))*(INDEX(Properties!A$1:CB$87,Formula!B9,20))+((Formula!E9)/(Formula!C9+Formula!E9+Formula!G9+Formula!I9+Formula!K9))*(INDEX(Properties!A$1:CB$87,Formula!D9,20))+((Formula!G9)/(Formula!C9+Formula!E9+Formula!G9+Formula!I9+Formula!K9))*(INDEX(Properties!A$1:CB$87,Formula!F9,20))+((Formula!I9)/(Formula!C9+Formula!E9+Formula!G9+Formula!I9+Formula!K9))*(INDEX(Properties!A$1:CB$87,Formula!H9,20))+((Formula!K9)/(Formula!C9+Formula!E9+Formula!G9+Formula!I9+Formula!K9))*(INDEX(Properties!A$1:CB$87,Formula!J9,20))</f>
        <v>4.6666666666666661</v>
      </c>
      <c r="BQ9" s="48">
        <f>Formula!C9*(INDEX(Properties!A$1:CB$87,Formula!B9,20))+Formula!E9*(INDEX(Properties!A$1:CB$87,Formula!D9,20))+Formula!G9*(INDEX(Properties!A$1:CB$87,Formula!F9,20))+Formula!I9*(INDEX(Properties!A$1:CB$87,Formula!H9,20))+Formula!K9*(INDEX(Properties!A$1:CB$87,Formula!J9,20))</f>
        <v>56</v>
      </c>
      <c r="BR9" s="48">
        <f>VARP(IF(INDEX(Properties!A$1:CB$87,Formula!B9,20)&lt;&gt;"",INDEX(Properties!A$1:CB$87,Formula!B9,20)),IF(INDEX(Properties!A$1:CB$87,Formula!D9,20)&lt;&gt;"",INDEX(Properties!A$1:CB$87,Formula!D9,20)),IF(INDEX(Properties!A$1:CB$87,Formula!F9,20)&lt;&gt;"",INDEX(Properties!A$1:CB$87,Formula!F9,20)),IF(INDEX(Properties!A$1:CB$87,Formula!H9,20)&lt;&gt;"",INDEX(Properties!A$1:CB$87,Formula!H9,20)),IF(INDEX(Properties!A$1:CB$87,Formula!J9,20)&lt;&gt;"",INDEX(Properties!A$1:CB$87,Formula!J9,20)))</f>
        <v>5.44</v>
      </c>
      <c r="BS9" s="48">
        <f>MAX(INDEX(Properties!A$1:CB$87,Formula!B9,20),INDEX(Properties!A$1:CB$87,Formula!D9,20),INDEX(Properties!A$1:CB$87,Formula!F9,20),INDEX(Properties!A$1:CB$87,Formula!H9,20),INDEX(Properties!A$1:CB$87,Formula!J9,20))</f>
        <v>6</v>
      </c>
      <c r="BT9" s="48">
        <f>MIN(IF(INDEX(Properties!A$1:CB$87,Formula!B9,20)=0,10^6,INDEX(Properties!A$1:CB$87,Formula!B9,20)),IF(INDEX(Properties!A$1:CB$87,Formula!D9,20)=0,10^6,INDEX(Properties!A$1:CB$87,Formula!D9,20)),IF(INDEX(Properties!A$1:CB$87,Formula!F9,20)=0,10^6,INDEX(Properties!A$1:CB$87,Formula!F9,20)),IF(INDEX(Properties!A$1:CB$87,Formula!H9,20)=0,10^6,INDEX(Properties!A$1:CB$87,Formula!H9,20)),IF(INDEX(Properties!A$1:CB$87,Formula!J9,20)=0,10^6,INDEX(Properties!A$1:CB$87,Formula!J9,20)))</f>
        <v>2</v>
      </c>
      <c r="BU9" s="48">
        <f t="shared" si="11"/>
        <v>4</v>
      </c>
      <c r="BV9" s="66">
        <f>((Formula!C9)/(Formula!C9+Formula!E9+Formula!G9+Formula!I9+Formula!K9))*(INDEX(Properties!A$1:CB$87,Formula!B9,21))+((Formula!E9)/(Formula!C9+Formula!E9+Formula!G9+Formula!I9+Formula!K9))*(INDEX(Properties!A$1:CB$87,Formula!D9,21))+((Formula!G9)/(Formula!C9+Formula!E9+Formula!G9+Formula!I9+Formula!K9))*(INDEX(Properties!A$1:CB$87,Formula!F9,21))+((Formula!I9)/(Formula!C9+Formula!E9+Formula!G9+Formula!I9+Formula!K9))*(INDEX(Properties!A$1:CB$87,Formula!H9,21))+((Formula!K9)/(Formula!C9+Formula!E9+Formula!G9+Formula!I9+Formula!K9))*(INDEX(Properties!A$1:CB$87,Formula!J9,21))</f>
        <v>4.6666666666666661</v>
      </c>
      <c r="BW9" s="66">
        <f>Formula!C9*(INDEX(Properties!A$1:CB$87,Formula!B9,21))+Formula!E9*(INDEX(Properties!A$1:CB$87,Formula!D9,21))+Formula!G9*(INDEX(Properties!A$1:CB$87,Formula!F9,21))+Formula!I9*(INDEX(Properties!A$1:CB$87,Formula!H9,21))+Formula!K9*(INDEX(Properties!A$1:CB$87,Formula!J9,21))</f>
        <v>56</v>
      </c>
      <c r="BX9" s="66">
        <f>VARP(IF(INDEX(Properties!A$1:CB$87,Formula!B9,21)&lt;&gt;"",INDEX(Properties!A$1:CB$87,Formula!B9,21)),IF(INDEX(Properties!A$1:CB$87,Formula!D9,21)&lt;&gt;"",INDEX(Properties!A$1:CB$87,Formula!D9,21)),IF(INDEX(Properties!A$1:CB$87,Formula!F9,21)&lt;&gt;"",INDEX(Properties!A$1:CB$87,Formula!F9,21)),IF(INDEX(Properties!A$1:CB$87,Formula!H9,21)&lt;&gt;"",INDEX(Properties!A$1:CB$87,Formula!H9,21)),IF(INDEX(Properties!A$1:CB$87,Formula!J9,21)&lt;&gt;"",INDEX(Properties!A$1:CB$87,Formula!J9,21)))</f>
        <v>5.44</v>
      </c>
      <c r="BY9" s="66">
        <f>MAX(INDEX(Properties!A$1:CB$87,Formula!B9,21),INDEX(Properties!A$1:CB$87,Formula!D9,21),INDEX(Properties!A$1:CB$87,Formula!F9,21),INDEX(Properties!A$1:CB$87,Formula!H9,21),INDEX(Properties!A$1:CB$87,Formula!J9,21))</f>
        <v>6</v>
      </c>
      <c r="BZ9" s="66">
        <f>MIN(IF(INDEX(Properties!A$1:CB$87,Formula!B9,21)=0,10^6,INDEX(Properties!A$1:CB$87,Formula!B9,21)),IF(INDEX(Properties!A$1:CB$87,Formula!D9,21)=0,10^6,INDEX(Properties!A$1:CB$87,Formula!D9,21)),IF(INDEX(Properties!A$1:CB$87,Formula!F9,21)=0,10^6,INDEX(Properties!A$1:CB$87,Formula!F9,21)),IF(INDEX(Properties!A$1:CB$87,Formula!H9,21)=0,10^6,INDEX(Properties!A$1:CB$87,Formula!H9,21)),IF(INDEX(Properties!A$1:CB$87,Formula!J9,21)=0,10^6,INDEX(Properties!A$1:CB$87,Formula!J9,21)))</f>
        <v>2</v>
      </c>
      <c r="CA9" s="66">
        <f t="shared" si="12"/>
        <v>4</v>
      </c>
      <c r="CB9" s="81">
        <f>((Formula!C9)/(Formula!C9+Formula!E9+Formula!G9+Formula!I9+Formula!K9))*(INDEX(Properties!A$1:CB$87,Formula!B9,23))+((Formula!E9)/(Formula!C9+Formula!E9+Formula!G9+Formula!I9+Formula!K9))*(INDEX(Properties!A$1:CB$87,Formula!D9,23))+((Formula!G9)/(Formula!C9+Formula!E9+Formula!G9+Formula!I9+Formula!K9))*(INDEX(Properties!A$1:CB$87,Formula!F9,23))+((Formula!I9)/(Formula!C9+Formula!E9+Formula!G9+Formula!I9+Formula!K9))*(INDEX(Properties!A$1:CB$87,Formula!H9,23))+((Formula!K9)/(Formula!C9+Formula!E9+Formula!G9+Formula!I9+Formula!K9))*(INDEX(Properties!A$1:CB$87,Formula!J9,23))</f>
        <v>1.1666666666666665</v>
      </c>
      <c r="CC9" s="81">
        <f>Formula!C9*(INDEX(Properties!A$1:CB$87,Formula!B9,23))+Formula!E9*(INDEX(Properties!A$1:CB$87,Formula!D9,23))+Formula!G9*(INDEX(Properties!A$1:CB$87,Formula!F9,23))+Formula!I9*(INDEX(Properties!A$1:CB$87,Formula!H9,23))+Formula!K9*(INDEX(Properties!A$1:CB$87,Formula!J9,23))</f>
        <v>14</v>
      </c>
      <c r="CD9" s="81">
        <f>VARP(IF(INDEX(Properties!A$1:CB$87,Formula!B9,23)&lt;&gt;"",INDEX(Properties!A$1:CB$87,Formula!B9,23)),IF(INDEX(Properties!A$1:CB$87,Formula!D9,23)&lt;&gt;"",INDEX(Properties!A$1:CB$87,Formula!D9,23)),IF(INDEX(Properties!A$1:CB$87,Formula!F9,23)&lt;&gt;"",INDEX(Properties!A$1:CB$87,Formula!F9,23)),IF(INDEX(Properties!A$1:CB$87,Formula!H9,23)&lt;&gt;"",INDEX(Properties!A$1:CB$87,Formula!H9,23)),IF(INDEX(Properties!A$1:CB$87,Formula!J9,23)&lt;&gt;"",INDEX(Properties!A$1:CB$87,Formula!J9,23)))</f>
        <v>2.56</v>
      </c>
      <c r="CE9" s="81">
        <f>MAX(INDEX(Properties!A$1:CB$87,Formula!B9,23),INDEX(Properties!A$1:CB$87,Formula!D9,23),INDEX(Properties!A$1:CB$87,Formula!F9,23),INDEX(Properties!A$1:CB$87,Formula!H9,23),INDEX(Properties!A$1:CB$87,Formula!J9,23))</f>
        <v>4</v>
      </c>
      <c r="CF9" s="81">
        <f>MIN(IF(Formula!B9=87,10^6,INDEX(Properties!A$1:CB$87,Formula!B9,23)),IF((Formula!D9)=87,10^6,INDEX(Properties!A$1:CB$87,Formula!D9,23)),IF((Formula!F9)=87,10^6,INDEX(Properties!A$1:CB$87,Formula!F9,23)),IF((Formula!H9)=87,10^6,INDEX(Properties!A$1:CB$87,Formula!H9,23)),IF(Formula!J9=87,10^6,INDEX(Properties!A$1:CB$87,Formula!J9,23)))</f>
        <v>0</v>
      </c>
      <c r="CG9" s="81">
        <f t="shared" si="13"/>
        <v>4</v>
      </c>
      <c r="CH9" s="39">
        <f>((Formula!C9)/(Formula!C9+Formula!E9+Formula!G9+Formula!I9+Formula!K9))*(INDEX(Properties!A$1:CB$87,Formula!B9,26))+((Formula!E9)/(Formula!C9+Formula!E9+Formula!G9+Formula!I9+Formula!K9))*(INDEX(Properties!A$1:CB$87,Formula!D9,26))+((Formula!G9)/(Formula!C9+Formula!E9+Formula!G9+Formula!I9+Formula!K9))*(INDEX(Properties!A$1:CB$87,Formula!F9,26))+((Formula!I9)/(Formula!C9+Formula!E9+Formula!G9+Formula!I9+Formula!K9))*(INDEX(Properties!A$1:CB$87,Formula!H9,26))+((Formula!K9)/(Formula!C9+Formula!E9+Formula!G9+Formula!I9+Formula!K9))*(INDEX(Properties!A$1:CB$87,Formula!J9,26))</f>
        <v>10.830808333333334</v>
      </c>
      <c r="CI9" s="39">
        <f>Formula!C9*(INDEX(Properties!A$1:CB$87,Formula!B9,26))+Formula!E9*(INDEX(Properties!A$1:CB$87,Formula!D9,26))+Formula!G9*(INDEX(Properties!A$1:CB$87,Formula!F9,26))+Formula!I9*(INDEX(Properties!A$1:CB$87,Formula!H9,26))+Formula!K9*(INDEX(Properties!A$1:CB$87,Formula!J9,26))</f>
        <v>129.96969999999999</v>
      </c>
      <c r="CJ9" s="39">
        <f>VARP(IF(INDEX(Properties!A$1:CB$87,Formula!B9,26)&lt;&gt;"",INDEX(Properties!A$1:CB$87,Formula!B9,26)),IF(INDEX(Properties!A$1:CB$87,Formula!D9,26)&lt;&gt;"",INDEX(Properties!A$1:CB$87,Formula!D9,26)),IF(INDEX(Properties!A$1:CB$87,Formula!F9,26)&lt;&gt;"",INDEX(Properties!A$1:CB$87,Formula!F9,26)),IF(INDEX(Properties!A$1:CB$87,Formula!H9,26)&lt;&gt;"",INDEX(Properties!A$1:CB$87,Formula!H9,26)),IF(INDEX(Properties!A$1:CB$87,Formula!J9,26)&lt;&gt;"",INDEX(Properties!A$1:CB$87,Formula!J9,26)))</f>
        <v>26.756347387999995</v>
      </c>
      <c r="CK9" s="39">
        <f>MAX(INDEX(Properties!A$1:CB$87,Formula!B9,26),INDEX(Properties!A$1:CB$87,Formula!D9,26),INDEX(Properties!A$1:CB$87,Formula!F9,26),INDEX(Properties!A$1:CB$87,Formula!H9,26),INDEX(Properties!A$1:CB$87,Formula!J9,26))</f>
        <v>13.6181</v>
      </c>
      <c r="CL9" s="39">
        <f>MIN(IF(INDEX(Properties!A$1:CB$87,Formula!B9,26)=0,10^6,INDEX(Properties!A$1:CB$87,Formula!B9,26)),IF(INDEX(Properties!A$1:CB$87,Formula!D9,26)=0,10^6,INDEX(Properties!A$1:CB$87,Formula!D9,26)),IF(INDEX(Properties!A$1:CB$87,Formula!F9,26)=0,10^6,INDEX(Properties!A$1:CB$87,Formula!F9,26)),IF(INDEX(Properties!A$1:CB$87,Formula!H9,26)=0,10^6,INDEX(Properties!A$1:CB$87,Formula!H9,26)),IF(INDEX(Properties!A$1:CB$87,Formula!J9,26)=0,10^6,INDEX(Properties!A$1:CB$87,Formula!J9,26)))</f>
        <v>6.1132</v>
      </c>
      <c r="CM9" s="39">
        <f t="shared" si="14"/>
        <v>7.5049000000000001</v>
      </c>
      <c r="CN9" s="54">
        <f>((Formula!C9)/(Formula!C9+Formula!E9+Formula!G9+Formula!I9+Formula!K9))*(INDEX(Properties!A$1:CB$87,Formula!B9,30))+((Formula!E9)/(Formula!C9+Formula!E9+Formula!G9+Formula!I9+Formula!K9))*(INDEX(Properties!A$1:CB$87,Formula!D9,30))+((Formula!G9)/(Formula!C9+Formula!E9+Formula!G9+Formula!I9+Formula!K9))*(INDEX(Properties!A$1:CB$87,Formula!F9,30))+((Formula!I9)/(Formula!C9+Formula!E9+Formula!G9+Formula!I9+Formula!K9))*(INDEX(Properties!A$1:CB$87,Formula!H9,30))+((Formula!K9)/(Formula!C9+Formula!E9+Formula!G9+Formula!I9+Formula!K9))*(INDEX(Properties!A$1:CB$87,Formula!J9,30))</f>
        <v>2.5733333333333333</v>
      </c>
      <c r="CO9" s="54">
        <f>Formula!C9*(INDEX(Properties!A$1:CB$87,Formula!B9,30))+Formula!E9*(INDEX(Properties!A$1:CB$87,Formula!D9,30))+Formula!G9*(INDEX(Properties!A$1:CB$87,Formula!F9,30))+Formula!I9*(INDEX(Properties!A$1:CB$87,Formula!H9,30))+Formula!K9*(INDEX(Properties!A$1:CB$87,Formula!J9,30))</f>
        <v>30.88</v>
      </c>
      <c r="CP9" s="54">
        <f>VARP(IF(INDEX(Properties!A$1:CB$87,Formula!B9,30)&lt;&gt;"",INDEX(Properties!A$1:CB$87,Formula!B9,30)),IF(INDEX(Properties!A$1:CB$87,Formula!D9,30)&lt;&gt;"",INDEX(Properties!A$1:CB$87,Formula!D9,30)),IF(INDEX(Properties!A$1:CB$87,Formula!F9,30)&lt;&gt;"",INDEX(Properties!A$1:CB$87,Formula!F9,30)),IF(INDEX(Properties!A$1:CB$87,Formula!H9,30)&lt;&gt;"",INDEX(Properties!A$1:CB$87,Formula!H9,30)),IF(INDEX(Properties!A$1:CB$87,Formula!J9,30)&lt;&gt;"",INDEX(Properties!A$1:CB$87,Formula!J9,30)))</f>
        <v>1.6808959999999997</v>
      </c>
      <c r="CQ9" s="54">
        <f>MAX(INDEX(Properties!A$1:CB$87,Formula!B9,30),INDEX(Properties!A$1:CB$87,Formula!D9,30),INDEX(Properties!A$1:CB$87,Formula!F9,30),INDEX(Properties!A$1:CB$87,Formula!H9,30),INDEX(Properties!A$1:CB$87,Formula!J9,30))</f>
        <v>3.44</v>
      </c>
      <c r="CR9" s="54">
        <f>MIN(IF(INDEX(Properties!A$1:CB$87,Formula!B9,30)=0,10^6,INDEX(Properties!A$1:CB$87,Formula!B9,30)),IF(INDEX(Properties!A$1:CB$87,Formula!D9,30)=0,10^6,INDEX(Properties!A$1:CB$87,Formula!D9,30)),IF(INDEX(Properties!A$1:CB$87,Formula!F9,30)=0,10^6,INDEX(Properties!A$1:CB$87,Formula!F9,30)),IF(INDEX(Properties!A$1:CB$87,Formula!H9,30)=0,10^6,INDEX(Properties!A$1:CB$87,Formula!H9,30)),IF(INDEX(Properties!A$1:CB$87,Formula!J9,30)=0,10^6,INDEX(Properties!A$1:CB$87,Formula!J9,30)))</f>
        <v>1</v>
      </c>
      <c r="CS9" s="54">
        <f t="shared" si="15"/>
        <v>2.44</v>
      </c>
      <c r="CT9" s="69">
        <f>((Formula!C9)/(Formula!C9+Formula!E9+Formula!G9+Formula!I9+Formula!K9))*(INDEX(Properties!A$1:CB$87,Formula!B9,31))+((Formula!E9)/(Formula!C9+Formula!E9+Formula!G9+Formula!I9+Formula!K9))*(INDEX(Properties!A$1:CB$87,Formula!D9,31))+((Formula!G9)/(Formula!C9+Formula!E9+Formula!G9+Formula!I9+Formula!K9))*(INDEX(Properties!A$1:CB$87,Formula!F9,31))+((Formula!I9)/(Formula!C9+Formula!E9+Formula!G9+Formula!I9+Formula!K9))*(INDEX(Properties!A$1:CB$87,Formula!H9,31))+((Formula!K9)/(Formula!C9+Formula!E9+Formula!G9+Formula!I9+Formula!K9))*(INDEX(Properties!A$1:CB$87,Formula!J9,31))</f>
        <v>2.5591666666666666</v>
      </c>
      <c r="CU9" s="69">
        <f>Formula!C9*(INDEX(Properties!A$1:CB$87,Formula!B9,31))+Formula!E9*(INDEX(Properties!A$1:CB$87,Formula!D9,31))+Formula!G9*(INDEX(Properties!A$1:CB$87,Formula!F9,31))+Formula!I9*(INDEX(Properties!A$1:CB$87,Formula!H9,31))+Formula!K9*(INDEX(Properties!A$1:CB$87,Formula!J9,31))</f>
        <v>30.709999999999997</v>
      </c>
      <c r="CV9" s="69">
        <f>VARP(IF(INDEX(Properties!A$1:CB$87,Formula!B9,31)&lt;&gt;"",INDEX(Properties!A$1:CB$87,Formula!B9,31)),IF(INDEX(Properties!A$1:CB$87,Formula!D9,31)&lt;&gt;"",INDEX(Properties!A$1:CB$87,Formula!D9,31)),IF(INDEX(Properties!A$1:CB$87,Formula!F9,31)&lt;&gt;"",INDEX(Properties!A$1:CB$87,Formula!F9,31)),IF(INDEX(Properties!A$1:CB$87,Formula!H9,31)&lt;&gt;"",INDEX(Properties!A$1:CB$87,Formula!H9,31)),IF(INDEX(Properties!A$1:CB$87,Formula!J9,31)&lt;&gt;"",INDEX(Properties!A$1:CB$87,Formula!J9,31)))</f>
        <v>1.587904</v>
      </c>
      <c r="CW9" s="69">
        <f>MAX(INDEX(Properties!A$1:CB$87,Formula!B9,31),INDEX(Properties!A$1:CB$87,Formula!D9,31),INDEX(Properties!A$1:CB$87,Formula!F9,31),INDEX(Properties!A$1:CB$87,Formula!H9,31),INDEX(Properties!A$1:CB$87,Formula!J9,31))</f>
        <v>3.32</v>
      </c>
      <c r="CX9" s="69">
        <f>MIN(IF(INDEX(Properties!A$1:CB$87,Formula!B9,31)=0,10^6,INDEX(Properties!A$1:CB$87,Formula!B9,31)),IF(INDEX(Properties!A$1:CB$87,Formula!D9,31)=0,10^6,INDEX(Properties!A$1:CB$87,Formula!D9,31)),IF(INDEX(Properties!A$1:CB$87,Formula!F9,31)=0,10^6,INDEX(Properties!A$1:CB$87,Formula!F9,31)),IF(INDEX(Properties!A$1:CB$87,Formula!H9,31)=0,10^6,INDEX(Properties!A$1:CB$87,Formula!H9,31)),IF(INDEX(Properties!A$1:CB$87,Formula!J9,31)=0,10^6,INDEX(Properties!A$1:CB$87,Formula!J9,31)))</f>
        <v>1.17</v>
      </c>
      <c r="CY9" s="69">
        <f t="shared" si="16"/>
        <v>2.15</v>
      </c>
      <c r="CZ9" s="42">
        <f>((Formula!C9)/(Formula!C9+Formula!E9+Formula!G9+Formula!I9+Formula!K9))*(INDEX(Properties!A$1:CB$87,Formula!B9,32))+((Formula!E9)/(Formula!C9+Formula!E9+Formula!G9+Formula!I9+Formula!K9))*(INDEX(Properties!A$1:CB$87,Formula!D9,32))+((Formula!G9)/(Formula!C9+Formula!E9+Formula!G9+Formula!I9+Formula!K9))*(INDEX(Properties!A$1:CB$87,Formula!F9,32))+((Formula!I9)/(Formula!C9+Formula!E9+Formula!G9+Formula!I9+Formula!K9))*(INDEX(Properties!A$1:CB$87,Formula!H9,32))+((Formula!K9)/(Formula!C9+Formula!E9+Formula!G9+Formula!I9+Formula!K9))*(INDEX(Properties!A$1:CB$87,Formula!J9,32))</f>
        <v>5.7433333333333332</v>
      </c>
      <c r="DA9" s="42">
        <f>Formula!C9*(INDEX(Properties!A$1:CB$87,Formula!B9,32))+Formula!E9*(INDEX(Properties!A$1:CB$87,Formula!D9,32))+Formula!G9*(INDEX(Properties!A$1:CB$87,Formula!F9,32))+Formula!I9*(INDEX(Properties!A$1:CB$87,Formula!H9,32))+Formula!K9*(INDEX(Properties!A$1:CB$87,Formula!J9,32))</f>
        <v>68.92</v>
      </c>
      <c r="DB9" s="42">
        <f>VARP(IF(INDEX(Properties!A$1:CB$87,Formula!B9,32)&lt;&gt;"",INDEX(Properties!A$1:CB$87,Formula!B9,32)),IF(INDEX(Properties!A$1:CB$87,Formula!D9,32)&lt;&gt;"",INDEX(Properties!A$1:CB$87,Formula!D9,32)),IF(INDEX(Properties!A$1:CB$87,Formula!F9,32)&lt;&gt;"",INDEX(Properties!A$1:CB$87,Formula!F9,32)),IF(INDEX(Properties!A$1:CB$87,Formula!H9,32)&lt;&gt;"",INDEX(Properties!A$1:CB$87,Formula!H9,32)),IF(INDEX(Properties!A$1:CB$87,Formula!J9,32)&lt;&gt;"",INDEX(Properties!A$1:CB$87,Formula!J9,32)))</f>
        <v>8.4672959999999993</v>
      </c>
      <c r="DC9" s="42">
        <f>MAX(INDEX(Properties!A$1:CB$87,Formula!B9,32),INDEX(Properties!A$1:CB$87,Formula!D9,32),INDEX(Properties!A$1:CB$87,Formula!F9,32),INDEX(Properties!A$1:CB$87,Formula!H9,32),INDEX(Properties!A$1:CB$87,Formula!J9,32))</f>
        <v>7.54</v>
      </c>
      <c r="DD9" s="42">
        <f>MIN(IF(INDEX(Properties!A$1:CB$87,Formula!B9,32)=0,10^6,INDEX(Properties!A$1:CB$87,Formula!B9,32)),IF(INDEX(Properties!A$1:CB$87,Formula!D9,32)=0,10^6,INDEX(Properties!A$1:CB$87,Formula!D9,32)),IF(INDEX(Properties!A$1:CB$87,Formula!F9,32)=0,10^6,INDEX(Properties!A$1:CB$87,Formula!F9,32)),IF(INDEX(Properties!A$1:CB$87,Formula!H9,32)=0,10^6,INDEX(Properties!A$1:CB$87,Formula!H9,32)),IF(INDEX(Properties!A$1:CB$87,Formula!J9,32)=0,10^6,INDEX(Properties!A$1:CB$87,Formula!J9,32)))</f>
        <v>2.2000000000000002</v>
      </c>
      <c r="DE9" s="42">
        <f t="shared" si="17"/>
        <v>5.34</v>
      </c>
      <c r="DF9" s="60">
        <f>((Formula!C9)/(Formula!C9+Formula!E9+Formula!G9+Formula!I9+Formula!K9))*(INDEX(Properties!A$1:CB$87,Formula!B9,34))+((Formula!E9)/(Formula!C9+Formula!E9+Formula!G9+Formula!I9+Formula!K9))*(INDEX(Properties!A$1:CB$87,Formula!D9,34))+((Formula!G9)/(Formula!C9+Formula!E9+Formula!G9+Formula!I9+Formula!K9))*(INDEX(Properties!A$1:CB$87,Formula!F9,34))+((Formula!I9)/(Formula!C9+Formula!E9+Formula!G9+Formula!I9+Formula!K9))*(INDEX(Properties!A$1:CB$87,Formula!H9,34))+((Formula!K9)/(Formula!C9+Formula!E9+Formula!G9+Formula!I9+Formula!K9))*(INDEX(Properties!A$1:CB$87,Formula!J9,34))</f>
        <v>2.6836666666666669</v>
      </c>
      <c r="DG9" s="60">
        <f>Formula!C9*(INDEX(Properties!A$1:CB$87,Formula!B9,34))+Formula!E9*(INDEX(Properties!A$1:CB$87,Formula!D9,34))+Formula!G9*(INDEX(Properties!A$1:CB$87,Formula!F9,34))+Formula!I9*(INDEX(Properties!A$1:CB$87,Formula!H9,34))+Formula!K9*(INDEX(Properties!A$1:CB$87,Formula!J9,34))</f>
        <v>32.204000000000001</v>
      </c>
      <c r="DH9" s="60">
        <f>VARP(IF(INDEX(Properties!A$1:CB$87,Formula!B9,34)&lt;&gt;"",INDEX(Properties!A$1:CB$87,Formula!B9,34)),IF(INDEX(Properties!A$1:CB$87,Formula!D9,34)&lt;&gt;"",INDEX(Properties!A$1:CB$87,Formula!D9,34)),IF(INDEX(Properties!A$1:CB$87,Formula!F9,34)&lt;&gt;"",INDEX(Properties!A$1:CB$87,Formula!F9,34)),IF(INDEX(Properties!A$1:CB$87,Formula!H9,34)&lt;&gt;"",INDEX(Properties!A$1:CB$87,Formula!H9,34)),IF(INDEX(Properties!A$1:CB$87,Formula!J9,34)&lt;&gt;"",INDEX(Properties!A$1:CB$87,Formula!J9,34)))</f>
        <v>1.8331183999999996</v>
      </c>
      <c r="DI9" s="60">
        <f>MAX(INDEX(Properties!A$1:CB$87,Formula!B9,34),INDEX(Properties!A$1:CB$87,Formula!D9,34),INDEX(Properties!A$1:CB$87,Formula!F9,34),INDEX(Properties!A$1:CB$87,Formula!H9,34),INDEX(Properties!A$1:CB$87,Formula!J9,34))</f>
        <v>3.61</v>
      </c>
      <c r="DJ9" s="60">
        <f>MIN(IF(INDEX(Properties!A$1:CB$87,Formula!B9,34)=0,10^6,INDEX(Properties!A$1:CB$87,Formula!B9,34)),IF(INDEX(Properties!A$1:CB$87,Formula!D9,34)=0,10^6,INDEX(Properties!A$1:CB$87,Formula!D9,34)),IF(INDEX(Properties!A$1:CB$87,Formula!F9,34)=0,10^6,INDEX(Properties!A$1:CB$87,Formula!F9,34)),IF(INDEX(Properties!A$1:CB$87,Formula!H9,34)=0,10^6,INDEX(Properties!A$1:CB$87,Formula!H9,34)),IF(INDEX(Properties!A$1:CB$87,Formula!J9,34)=0,10^6,INDEX(Properties!A$1:CB$87,Formula!J9,34)))</f>
        <v>1.034</v>
      </c>
      <c r="DK9" s="60">
        <f t="shared" si="18"/>
        <v>2.5759999999999996</v>
      </c>
      <c r="DL9" s="45">
        <f>((Formula!C9)/(Formula!C9+Formula!E9+Formula!G9+Formula!I9+Formula!K9))*(INDEX(Properties!A$1:CB$87,Formula!B9,39))+((Formula!E9)/(Formula!C9+Formula!E9+Formula!G9+Formula!I9+Formula!K9))*(INDEX(Properties!A$1:CB$87,Formula!D9,39))+((Formula!G9)/(Formula!C9+Formula!E9+Formula!G9+Formula!I9+Formula!K9))*(INDEX(Properties!A$1:CB$87,Formula!F9,39))+((Formula!I9)/(Formula!C9+Formula!E9+Formula!G9+Formula!I9+Formula!K9))*(INDEX(Properties!A$1:CB$87,Formula!H9,39))+((Formula!K9)/(Formula!C9+Formula!E9+Formula!G9+Formula!I9+Formula!K9))*(INDEX(Properties!A$1:CB$87,Formula!J9,39))</f>
        <v>0.95</v>
      </c>
      <c r="DM9" s="45">
        <f>Formula!C9*(INDEX(Properties!A$1:CB$87,Formula!B9,39))+Formula!E9*(INDEX(Properties!A$1:CB$87,Formula!D9,39))+Formula!G9*(INDEX(Properties!A$1:CB$87,Formula!F9,39))+Formula!I9*(INDEX(Properties!A$1:CB$87,Formula!H9,39))+Formula!K9*(INDEX(Properties!A$1:CB$87,Formula!J9,39))</f>
        <v>11.4</v>
      </c>
      <c r="DN9" s="45">
        <f>VARP(IF(INDEX(Properties!A$1:CB$87,Formula!B9,39)&lt;&gt;"",INDEX(Properties!A$1:CB$87,Formula!B9,39)),IF(INDEX(Properties!A$1:CB$87,Formula!D9,39)&lt;&gt;"",INDEX(Properties!A$1:CB$87,Formula!D9,39)),IF(INDEX(Properties!A$1:CB$87,Formula!F9,39)&lt;&gt;"",INDEX(Properties!A$1:CB$87,Formula!F9,39)),IF(INDEX(Properties!A$1:CB$87,Formula!H9,39)&lt;&gt;"",INDEX(Properties!A$1:CB$87,Formula!H9,39)),IF(INDEX(Properties!A$1:CB$87,Formula!J9,39)&lt;&gt;"",INDEX(Properties!A$1:CB$87,Formula!J9,39)))</f>
        <v>0.54678400000000027</v>
      </c>
      <c r="DO9" s="45">
        <f>MAX(INDEX(Properties!A$1:CB$87,Formula!B9,39),INDEX(Properties!A$1:CB$87,Formula!D9,39),INDEX(Properties!A$1:CB$87,Formula!F9,39),INDEX(Properties!A$1:CB$87,Formula!H9,39),INDEX(Properties!A$1:CB$87,Formula!J9,39))</f>
        <v>1.94</v>
      </c>
      <c r="DP9" s="45">
        <f>MIN(IF(INDEX(Properties!A$1:CB$87,Formula!B9,39)=0,10^6,INDEX(Properties!A$1:CB$87,Formula!B9,39)),IF(INDEX(Properties!A$1:CB$87,Formula!D9,39)=0,10^6,INDEX(Properties!A$1:CB$87,Formula!D9,39)),IF(INDEX(Properties!A$1:CB$87,Formula!F9,39)=0,10^6,INDEX(Properties!A$1:CB$87,Formula!F9,39)),IF(INDEX(Properties!A$1:CB$87,Formula!H9,39)=0,10^6,INDEX(Properties!A$1:CB$87,Formula!H9,39)),IF(INDEX(Properties!A$1:CB$87,Formula!J9,39)=0,10^6,INDEX(Properties!A$1:CB$87,Formula!J9,39)))</f>
        <v>0.48</v>
      </c>
      <c r="DQ9" s="45">
        <f t="shared" si="19"/>
        <v>1.46</v>
      </c>
      <c r="DR9" s="63">
        <f>((Formula!C9)/(Formula!C9+Formula!E9+Formula!G9+Formula!I9+Formula!K9))*(INDEX(Properties!A$1:CB$87,Formula!B9,40))+((Formula!E9)/(Formula!C9+Formula!E9+Formula!G9+Formula!I9+Formula!K9))*(INDEX(Properties!A$1:CB$87,Formula!D9,40))+((Formula!G9)/(Formula!C9+Formula!E9+Formula!G9+Formula!I9+Formula!K9))*(INDEX(Properties!A$1:CB$87,Formula!F9,40))+((Formula!I9)/(Formula!C9+Formula!E9+Formula!G9+Formula!I9+Formula!K9))*(INDEX(Properties!A$1:CB$87,Formula!H9,40))+((Formula!K9)/(Formula!C9+Formula!E9+Formula!G9+Formula!I9+Formula!K9))*(INDEX(Properties!A$1:CB$87,Formula!J9,40))</f>
        <v>1.0458333333333334</v>
      </c>
      <c r="DS9" s="63">
        <f>Formula!C9*(INDEX(Properties!A$1:CB$87,Formula!B9,40))+Formula!E9*(INDEX(Properties!A$1:CB$87,Formula!D9,40))+Formula!G9*(INDEX(Properties!A$1:CB$87,Formula!F9,40))+Formula!I9*(INDEX(Properties!A$1:CB$87,Formula!H9,40))+Formula!K9*(INDEX(Properties!A$1:CB$87,Formula!J9,40))</f>
        <v>12.549999999999999</v>
      </c>
      <c r="DT9" s="63">
        <f>VARP(IF(INDEX(Properties!A$1:CB$87,Formula!B9,40)&lt;&gt;"",INDEX(Properties!A$1:CB$87,Formula!B9,40)),IF(INDEX(Properties!A$1:CB$87,Formula!D9,40)&lt;&gt;"",INDEX(Properties!A$1:CB$87,Formula!D9,40)),IF(INDEX(Properties!A$1:CB$87,Formula!F9,40)&lt;&gt;"",INDEX(Properties!A$1:CB$87,Formula!F9,40)),IF(INDEX(Properties!A$1:CB$87,Formula!H9,40)&lt;&gt;"",INDEX(Properties!A$1:CB$87,Formula!H9,40)),IF(INDEX(Properties!A$1:CB$87,Formula!J9,40)&lt;&gt;"",INDEX(Properties!A$1:CB$87,Formula!J9,40)))</f>
        <v>0.44586400000000004</v>
      </c>
      <c r="DU9" s="63">
        <f>MAX(INDEX(Properties!A$1:CB$87,Formula!B9,40),INDEX(Properties!A$1:CB$87,Formula!D9,40),INDEX(Properties!A$1:CB$87,Formula!F9,40),INDEX(Properties!A$1:CB$87,Formula!H9,40),INDEX(Properties!A$1:CB$87,Formula!J9,40))</f>
        <v>1.74</v>
      </c>
      <c r="DV9" s="63">
        <f>MIN(IF(INDEX(Properties!A$1:CB$87,Formula!B9,40)=0,10^6,INDEX(Properties!A$1:CB$87,Formula!B9,40)),IF(INDEX(Properties!A$1:CB$87,Formula!D9,40)=0,10^6,INDEX(Properties!A$1:CB$87,Formula!D9,40)),IF(INDEX(Properties!A$1:CB$87,Formula!F9,40)=0,10^6,INDEX(Properties!A$1:CB$87,Formula!F9,40)),IF(INDEX(Properties!A$1:CB$87,Formula!H9,40)=0,10^6,INDEX(Properties!A$1:CB$87,Formula!H9,40)),IF(INDEX(Properties!A$1:CB$87,Formula!J9,40)=0,10^6,INDEX(Properties!A$1:CB$87,Formula!J9,40)))</f>
        <v>0.73</v>
      </c>
      <c r="DW9" s="63">
        <f t="shared" si="20"/>
        <v>1.01</v>
      </c>
      <c r="DX9" s="75">
        <f>((Formula!C9)/(Formula!C9+Formula!E9+Formula!G9+Formula!I9+Formula!K9))*(INDEX(Properties!A$1:CB$87,Formula!B9,41))+((Formula!E9)/(Formula!C9+Formula!E9+Formula!G9+Formula!I9+Formula!K9))*(INDEX(Properties!A$1:CB$87,Formula!D9,41))+((Formula!G9)/(Formula!C9+Formula!E9+Formula!G9+Formula!I9+Formula!K9))*(INDEX(Properties!A$1:CB$87,Formula!F9,41))+((Formula!I9)/(Formula!C9+Formula!E9+Formula!G9+Formula!I9+Formula!K9))*(INDEX(Properties!A$1:CB$87,Formula!H9,41))+((Formula!K9)/(Formula!C9+Formula!E9+Formula!G9+Formula!I9+Formula!K9))*(INDEX(Properties!A$1:CB$87,Formula!J9,41))</f>
        <v>1.1100000000000001</v>
      </c>
      <c r="DY9" s="75">
        <f>Formula!C9*(INDEX(Properties!A$1:CB$87,Formula!B9,41))+Formula!E9*(INDEX(Properties!A$1:CB$87,Formula!D9,41))+Formula!G9*(INDEX(Properties!A$1:CB$87,Formula!F9,41))+Formula!I9*(INDEX(Properties!A$1:CB$87,Formula!H9,41))+Formula!K9*(INDEX(Properties!A$1:CB$87,Formula!J9,41))</f>
        <v>13.32</v>
      </c>
      <c r="DZ9" s="75">
        <f>VARP(IF(INDEX(Properties!A$1:CB$87,Formula!B9,41)&lt;&gt;"",INDEX(Properties!A$1:CB$87,Formula!B9,41)),IF(INDEX(Properties!A$1:CB$87,Formula!D9,41)&lt;&gt;"",INDEX(Properties!A$1:CB$87,Formula!D9,41)),IF(INDEX(Properties!A$1:CB$87,Formula!F9,41)&lt;&gt;"",INDEX(Properties!A$1:CB$87,Formula!F9,41)),IF(INDEX(Properties!A$1:CB$87,Formula!H9,41)&lt;&gt;"",INDEX(Properties!A$1:CB$87,Formula!H9,41)),IF(INDEX(Properties!A$1:CB$87,Formula!J9,41)&lt;&gt;"",INDEX(Properties!A$1:CB$87,Formula!J9,41)))</f>
        <v>0.29001599999999994</v>
      </c>
      <c r="EA9" s="75">
        <f>MAX(INDEX(Properties!A$1:CB$87,Formula!B9,41),INDEX(Properties!A$1:CB$87,Formula!D9,41),INDEX(Properties!A$1:CB$87,Formula!F9,41),INDEX(Properties!A$1:CB$87,Formula!H9,41),INDEX(Properties!A$1:CB$87,Formula!J9,41))</f>
        <v>1.26</v>
      </c>
      <c r="EB9" s="75">
        <f>MIN(IF(INDEX(Properties!A$1:CB$87,Formula!B9,41)=0,10^6,INDEX(Properties!A$1:CB$87,Formula!B9,41)),IF(INDEX(Properties!A$1:CB$87,Formula!D9,41)=0,10^6,INDEX(Properties!A$1:CB$87,Formula!D9,41)),IF(INDEX(Properties!A$1:CB$87,Formula!F9,41)=0,10^6,INDEX(Properties!A$1:CB$87,Formula!F9,41)),IF(INDEX(Properties!A$1:CB$87,Formula!H9,41)=0,10^6,INDEX(Properties!A$1:CB$87,Formula!H9,41)),IF(INDEX(Properties!A$1:CB$87,Formula!J9,41)=0,10^6,INDEX(Properties!A$1:CB$87,Formula!J9,41)))</f>
        <v>0.54</v>
      </c>
      <c r="EC9" s="75">
        <f t="shared" si="21"/>
        <v>0.72</v>
      </c>
      <c r="ED9" s="48">
        <f>((Formula!C9)/(Formula!C9+Formula!E9+Formula!G9+Formula!I9+Formula!K9))*(INDEX(Properties!A$1:CB$87,Formula!B9,45))+((Formula!E9)/(Formula!C9+Formula!E9+Formula!G9+Formula!I9+Formula!K9))*(INDEX(Properties!A$1:CB$87,Formula!D9,45))+((Formula!G9)/(Formula!C9+Formula!E9+Formula!G9+Formula!I9+Formula!K9))*(INDEX(Properties!A$1:CB$87,Formula!F9,45))+((Formula!I9)/(Formula!C9+Formula!E9+Formula!G9+Formula!I9+Formula!K9))*(INDEX(Properties!A$1:CB$87,Formula!H9,45))+((Formula!K9)/(Formula!C9+Formula!E9+Formula!G9+Formula!I9+Formula!K9))*(INDEX(Properties!A$1:CB$87,Formula!J9,45))</f>
        <v>1.2608333333333333</v>
      </c>
      <c r="EE9" s="48">
        <f>Formula!C9*(INDEX(Properties!A$1:CB$87,Formula!B9,45))+Formula!E9*(INDEX(Properties!A$1:CB$87,Formula!D9,45))+Formula!G9*(INDEX(Properties!A$1:CB$87,Formula!F9,45))+Formula!I9*(INDEX(Properties!A$1:CB$87,Formula!H9,45))+Formula!K9*(INDEX(Properties!A$1:CB$87,Formula!J9,45))</f>
        <v>15.129999999999999</v>
      </c>
      <c r="EF9" s="48">
        <f>VARP(IF(INDEX(Properties!A$1:CB$87,Formula!B9,45)&lt;&gt;"",INDEX(Properties!A$1:CB$87,Formula!B9,45)),IF(INDEX(Properties!A$1:CB$87,Formula!D9,45)&lt;&gt;"",INDEX(Properties!A$1:CB$87,Formula!D9,45)),IF(INDEX(Properties!A$1:CB$87,Formula!F9,45)&lt;&gt;"",INDEX(Properties!A$1:CB$87,Formula!F9,45)),IF(INDEX(Properties!A$1:CB$87,Formula!H9,45)&lt;&gt;"",INDEX(Properties!A$1:CB$87,Formula!H9,45)),IF(INDEX(Properties!A$1:CB$87,Formula!J9,45)&lt;&gt;"",INDEX(Properties!A$1:CB$87,Formula!J9,45)))</f>
        <v>1.2909760000000006</v>
      </c>
      <c r="EG9" s="48">
        <f>MAX(INDEX(Properties!A$1:CB$87,Formula!B9,45),INDEX(Properties!A$1:CB$87,Formula!D9,45),INDEX(Properties!A$1:CB$87,Formula!F9,45),INDEX(Properties!A$1:CB$87,Formula!H9,45),INDEX(Properties!A$1:CB$87,Formula!J9,45))</f>
        <v>3</v>
      </c>
      <c r="EH9" s="48">
        <f>MIN(IF(INDEX(Properties!A$1:CB$87,Formula!B9,45)=0,10^6,INDEX(Properties!A$1:CB$87,Formula!B9,45)),IF(INDEX(Properties!A$1:CB$87,Formula!D9,45)=0,10^6,INDEX(Properties!A$1:CB$87,Formula!D9,45)),IF(INDEX(Properties!A$1:CB$87,Formula!F9,45)=0,10^6,INDEX(Properties!A$1:CB$87,Formula!F9,45)),IF(INDEX(Properties!A$1:CB$87,Formula!H9,45)=0,10^6,INDEX(Properties!A$1:CB$87,Formula!H9,45)),IF(INDEX(Properties!A$1:CB$87,Formula!J9,45)=0,10^6,INDEX(Properties!A$1:CB$87,Formula!J9,45)))</f>
        <v>0.47</v>
      </c>
      <c r="EI9" s="48">
        <f t="shared" si="22"/>
        <v>2.5300000000000002</v>
      </c>
      <c r="EJ9" s="66">
        <f>((Formula!C9)/(Formula!C9+Formula!E9+Formula!G9+Formula!I9+Formula!K9))*(INDEX(Properties!A$1:CB$87,Formula!B9,46))+((Formula!E9)/(Formula!C9+Formula!E9+Formula!G9+Formula!I9+Formula!K9))*(INDEX(Properties!A$1:CB$87,Formula!D9,46))+((Formula!G9)/(Formula!C9+Formula!E9+Formula!G9+Formula!I9+Formula!K9))*(INDEX(Properties!A$1:CB$87,Formula!F9,46))+((Formula!I9)/(Formula!C9+Formula!E9+Formula!G9+Formula!I9+Formula!K9))*(INDEX(Properties!A$1:CB$87,Formula!H9,46))+((Formula!K9)/(Formula!C9+Formula!E9+Formula!G9+Formula!I9+Formula!K9))*(INDEX(Properties!A$1:CB$87,Formula!J9,46))</f>
        <v>1.0574999999999999</v>
      </c>
      <c r="EK9" s="66">
        <f>Formula!C9*(INDEX(Properties!A$1:CB$87,Formula!B9,46))+Formula!E9*(INDEX(Properties!A$1:CB$87,Formula!D9,46))+Formula!G9*(INDEX(Properties!A$1:CB$87,Formula!F9,46))+Formula!I9*(INDEX(Properties!A$1:CB$87,Formula!H9,46))+Formula!K9*(INDEX(Properties!A$1:CB$87,Formula!J9,46))</f>
        <v>12.689999999999998</v>
      </c>
      <c r="EL9" s="66">
        <f>VARP(IF(INDEX(Properties!A$1:CB$87,Formula!B9,46)&lt;&gt;"",INDEX(Properties!A$1:CB$87,Formula!B9,46)),IF(INDEX(Properties!A$1:CB$87,Formula!D9,46)&lt;&gt;"",INDEX(Properties!A$1:CB$87,Formula!D9,46)),IF(INDEX(Properties!A$1:CB$87,Formula!F9,46)&lt;&gt;"",INDEX(Properties!A$1:CB$87,Formula!F9,46)),IF(INDEX(Properties!A$1:CB$87,Formula!H9,46)&lt;&gt;"",INDEX(Properties!A$1:CB$87,Formula!H9,46)),IF(INDEX(Properties!A$1:CB$87,Formula!J9,46)&lt;&gt;"",INDEX(Properties!A$1:CB$87,Formula!J9,46)))</f>
        <v>0.28224000000000005</v>
      </c>
      <c r="EM9" s="66">
        <f>MAX(INDEX(Properties!A$1:CB$87,Formula!B9,46),INDEX(Properties!A$1:CB$87,Formula!D9,46),INDEX(Properties!A$1:CB$87,Formula!F9,46),INDEX(Properties!A$1:CB$87,Formula!H9,46),INDEX(Properties!A$1:CB$87,Formula!J9,46))</f>
        <v>1.21</v>
      </c>
      <c r="EN9" s="66">
        <f>MIN(IF(INDEX(Properties!A$1:CB$87,Formula!B9,46)=0,10^6,INDEX(Properties!A$1:CB$87,Formula!B9,46)),IF(INDEX(Properties!A$1:CB$87,Formula!D9,46)=0,10^6,INDEX(Properties!A$1:CB$87,Formula!D9,46)),IF(INDEX(Properties!A$1:CB$87,Formula!F9,46)=0,10^6,INDEX(Properties!A$1:CB$87,Formula!F9,46)),IF(INDEX(Properties!A$1:CB$87,Formula!H9,46)=0,10^6,INDEX(Properties!A$1:CB$87,Formula!H9,46)),IF(INDEX(Properties!A$1:CB$87,Formula!J9,46)=0,10^6,INDEX(Properties!A$1:CB$87,Formula!J9,46)))</f>
        <v>0.4</v>
      </c>
      <c r="EO9" s="66">
        <f t="shared" si="23"/>
        <v>0.80999999999999994</v>
      </c>
      <c r="EP9" s="81">
        <f>((Formula!C9)/(Formula!C9+Formula!E9+Formula!G9+Formula!I9+Formula!K9))*(INDEX(Properties!A$1:CB$87,Formula!B9,52))+((Formula!E9)/(Formula!C9+Formula!E9+Formula!G9+Formula!I9+Formula!K9))*(INDEX(Properties!A$1:CB$87,Formula!D9,52))+((Formula!G9)/(Formula!C9+Formula!E9+Formula!G9+Formula!I9+Formula!K9))*(INDEX(Properties!A$1:CB$87,Formula!F9,52))+((Formula!I9)/(Formula!C9+Formula!E9+Formula!G9+Formula!I9+Formula!K9))*(INDEX(Properties!A$1:CB$87,Formula!H9,52))+((Formula!K9)/(Formula!C9+Formula!E9+Formula!G9+Formula!I9+Formula!K9))*(INDEX(Properties!A$1:CB$87,Formula!J9,52))</f>
        <v>7.0625833333333343</v>
      </c>
      <c r="EQ9" s="81">
        <f>Formula!C9*(INDEX(Properties!A$1:CB$87,Formula!B9,52))+Formula!E9*(INDEX(Properties!A$1:CB$87,Formula!D9,52))+Formula!G9*(INDEX(Properties!A$1:CB$87,Formula!F9,52))+Formula!I9*(INDEX(Properties!A$1:CB$87,Formula!H9,52))+Formula!K9*(INDEX(Properties!A$1:CB$87,Formula!J9,52))</f>
        <v>84.751000000000005</v>
      </c>
      <c r="ER9" s="81">
        <f>VARP(IF(INDEX(Properties!A$1:CB$87,Formula!B9,52)&lt;&gt;"",INDEX(Properties!A$1:CB$87,Formula!B9,52)),IF(INDEX(Properties!A$1:CB$87,Formula!D9,52)&lt;&gt;"",INDEX(Properties!A$1:CB$87,Formula!D9,52)),IF(INDEX(Properties!A$1:CB$87,Formula!F9,52)&lt;&gt;"",INDEX(Properties!A$1:CB$87,Formula!F9,52)),IF(INDEX(Properties!A$1:CB$87,Formula!H9,52)&lt;&gt;"",INDEX(Properties!A$1:CB$87,Formula!H9,52)),IF(INDEX(Properties!A$1:CB$87,Formula!J9,52)&lt;&gt;"",INDEX(Properties!A$1:CB$87,Formula!J9,52)))</f>
        <v>76.302007839999973</v>
      </c>
      <c r="ES9" s="81">
        <f>MAX(INDEX(Properties!A$1:CB$87,Formula!B9,52),INDEX(Properties!A$1:CB$87,Formula!D9,52),INDEX(Properties!A$1:CB$87,Formula!F9,52),INDEX(Properties!A$1:CB$87,Formula!H9,52),INDEX(Properties!A$1:CB$87,Formula!J9,52))</f>
        <v>22.8</v>
      </c>
      <c r="ET9" s="81">
        <f>MIN(IF(INDEX(Properties!A$1:CB$87,Formula!B9,52)=0,10^6,INDEX(Properties!A$1:CB$87,Formula!B9,52)),IF(INDEX(Properties!A$1:CB$87,Formula!D9,52)=0,10^6,INDEX(Properties!A$1:CB$87,Formula!D9,52)),IF(INDEX(Properties!A$1:CB$87,Formula!F9,52)=0,10^6,INDEX(Properties!A$1:CB$87,Formula!F9,52)),IF(INDEX(Properties!A$1:CB$87,Formula!H9,52)=0,10^6,INDEX(Properties!A$1:CB$87,Formula!H9,52)),IF(INDEX(Properties!A$1:CB$87,Formula!J9,52)=0,10^6,INDEX(Properties!A$1:CB$87,Formula!J9,52)))</f>
        <v>0.79300000000000004</v>
      </c>
      <c r="EU9" s="81">
        <f t="shared" si="24"/>
        <v>22.007000000000001</v>
      </c>
      <c r="EV9" s="39">
        <f>((Formula!C9)/(Formula!C9+Formula!E9+Formula!G9+Formula!I9+Formula!K9))*(INDEX(Properties!A$1:CB$87,Formula!B9,53))+((Formula!E9)/(Formula!C9+Formula!E9+Formula!G9+Formula!I9+Formula!K9))*(INDEX(Properties!A$1:CB$87,Formula!D9,53))+((Formula!G9)/(Formula!C9+Formula!E9+Formula!G9+Formula!I9+Formula!K9))*(INDEX(Properties!A$1:CB$87,Formula!F9,53))+((Formula!I9)/(Formula!C9+Formula!E9+Formula!G9+Formula!I9+Formula!K9))*(INDEX(Properties!A$1:CB$87,Formula!H9,53))+((Formula!K9)/(Formula!C9+Formula!E9+Formula!G9+Formula!I9+Formula!K9))*(INDEX(Properties!A$1:CB$87,Formula!J9,53))</f>
        <v>590.5</v>
      </c>
      <c r="EW9" s="39">
        <f>Formula!C9*(INDEX(Properties!A$1:CB$87,Formula!B9,53))+Formula!E9*(INDEX(Properties!A$1:CB$87,Formula!D9,53))+Formula!G9*(INDEX(Properties!A$1:CB$87,Formula!F9,53))+Formula!I9*(INDEX(Properties!A$1:CB$87,Formula!H9,53))+Formula!K9*(INDEX(Properties!A$1:CB$87,Formula!J9,53))</f>
        <v>7086</v>
      </c>
      <c r="EX9" s="39">
        <f>VARP(IF(INDEX(Properties!A$1:CB$87,Formula!B9,53)&lt;&gt;"",INDEX(Properties!A$1:CB$87,Formula!B9,53)),IF(INDEX(Properties!A$1:CB$87,Formula!D9,53)&lt;&gt;"",INDEX(Properties!A$1:CB$87,Formula!D9,53)),IF(INDEX(Properties!A$1:CB$87,Formula!F9,53)&lt;&gt;"",INDEX(Properties!A$1:CB$87,Formula!F9,53)),IF(INDEX(Properties!A$1:CB$87,Formula!H9,53)&lt;&gt;"",INDEX(Properties!A$1:CB$87,Formula!H9,53)),IF(INDEX(Properties!A$1:CB$87,Formula!J9,53)&lt;&gt;"",INDEX(Properties!A$1:CB$87,Formula!J9,53)))</f>
        <v>489662.42140000017</v>
      </c>
      <c r="EY9" s="39">
        <f>MAX(INDEX(Properties!A$1:CB$87,Formula!B9,53),INDEX(Properties!A$1:CB$87,Formula!D9,53),INDEX(Properties!A$1:CB$87,Formula!F9,53),INDEX(Properties!A$1:CB$87,Formula!H9,53),INDEX(Properties!A$1:CB$87,Formula!J9,53))</f>
        <v>1683.15</v>
      </c>
      <c r="EZ9" s="39">
        <f>MIN(IF(INDEX(Properties!A$1:CB$87,Formula!B9,53)=0,10^6,INDEX(Properties!A$1:CB$87,Formula!B9,53)),IF(INDEX(Properties!A$1:CB$87,Formula!D9,53)=0,10^6,INDEX(Properties!A$1:CB$87,Formula!D9,53)),IF(INDEX(Properties!A$1:CB$87,Formula!F9,53)=0,10^6,INDEX(Properties!A$1:CB$87,Formula!F9,53)),IF(INDEX(Properties!A$1:CB$87,Formula!H9,53)=0,10^6,INDEX(Properties!A$1:CB$87,Formula!H9,53)),IF(INDEX(Properties!A$1:CB$87,Formula!J9,53)=0,10^6,INDEX(Properties!A$1:CB$87,Formula!J9,53)))</f>
        <v>54.749999999999972</v>
      </c>
      <c r="FA9" s="39">
        <f t="shared" si="25"/>
        <v>1628.4</v>
      </c>
      <c r="FB9" s="54">
        <f>((Formula!C9)/(Formula!C9+Formula!E9+Formula!G9+Formula!I9+Formula!K9))*(INDEX(Properties!A$1:CB$87,Formula!B9,54))+((Formula!E9)/(Formula!C9+Formula!E9+Formula!G9+Formula!I9+Formula!K9))*(INDEX(Properties!A$1:CB$87,Formula!D9,54))+((Formula!G9)/(Formula!C9+Formula!E9+Formula!G9+Formula!I9+Formula!K9))*(INDEX(Properties!A$1:CB$87,Formula!F9,54))+((Formula!I9)/(Formula!C9+Formula!E9+Formula!G9+Formula!I9+Formula!K9))*(INDEX(Properties!A$1:CB$87,Formula!H9,54))+((Formula!K9)/(Formula!C9+Formula!E9+Formula!G9+Formula!I9+Formula!K9))*(INDEX(Properties!A$1:CB$87,Formula!J9,54))</f>
        <v>929.9</v>
      </c>
      <c r="FC9" s="54">
        <f>Formula!C9*(INDEX(Properties!A$1:CB$87,Formula!B9,54))+Formula!E9*(INDEX(Properties!A$1:CB$87,Formula!D9,54))+Formula!G9*(INDEX(Properties!A$1:CB$87,Formula!F9,54))+Formula!I9*(INDEX(Properties!A$1:CB$87,Formula!H9,54))+Formula!K9*(INDEX(Properties!A$1:CB$87,Formula!J9,54))</f>
        <v>11158.8</v>
      </c>
      <c r="FD9" s="54">
        <f>VARP(IF(INDEX(Properties!A$1:CB$87,Formula!B9,54)&lt;&gt;"",INDEX(Properties!A$1:CB$87,Formula!B9,54)),IF(INDEX(Properties!A$1:CB$87,Formula!D9,54)&lt;&gt;"",INDEX(Properties!A$1:CB$87,Formula!D9,54)),IF(INDEX(Properties!A$1:CB$87,Formula!F9,54)&lt;&gt;"",INDEX(Properties!A$1:CB$87,Formula!F9,54)),IF(INDEX(Properties!A$1:CB$87,Formula!H9,54)&lt;&gt;"",INDEX(Properties!A$1:CB$87,Formula!H9,54)),IF(INDEX(Properties!A$1:CB$87,Formula!J9,54)&lt;&gt;"",INDEX(Properties!A$1:CB$87,Formula!J9,54)))</f>
        <v>1199389.0054000006</v>
      </c>
      <c r="FE9" s="54">
        <f>MAX(INDEX(Properties!A$1:CB$87,Formula!B9,54),INDEX(Properties!A$1:CB$87,Formula!D9,54),INDEX(Properties!A$1:CB$87,Formula!F9,54),INDEX(Properties!A$1:CB$87,Formula!H9,54),INDEX(Properties!A$1:CB$87,Formula!J9,54))</f>
        <v>2628.15</v>
      </c>
      <c r="FF9" s="54">
        <f>MIN(IF(INDEX(Properties!A$1:CB$87,Formula!B9,54)=0,10^6,INDEX(Properties!A$1:CB$87,Formula!B9,54)),IF(INDEX(Properties!A$1:CB$87,Formula!D9,54)=0,10^6,INDEX(Properties!A$1:CB$87,Formula!D9,54)),IF(INDEX(Properties!A$1:CB$87,Formula!F9,54)=0,10^6,INDEX(Properties!A$1:CB$87,Formula!F9,54)),IF(INDEX(Properties!A$1:CB$87,Formula!H9,54)=0,10^6,INDEX(Properties!A$1:CB$87,Formula!H9,54)),IF(INDEX(Properties!A$1:CB$87,Formula!J9,54)=0,10^6,INDEX(Properties!A$1:CB$87,Formula!J9,54)))</f>
        <v>90.149999999999977</v>
      </c>
      <c r="FG9" s="54">
        <f t="shared" si="26"/>
        <v>2538</v>
      </c>
      <c r="FH9" s="69">
        <f>((Formula!C9)/(Formula!C9+Formula!E9+Formula!G9+Formula!I9+Formula!K9))*(INDEX(Properties!A$1:CB$87,Formula!B9,55))+((Formula!E9)/(Formula!C9+Formula!E9+Formula!G9+Formula!I9+Formula!K9))*(INDEX(Properties!A$1:CB$87,Formula!D9,55))+((Formula!G9)/(Formula!C9+Formula!E9+Formula!G9+Formula!I9+Formula!K9))*(INDEX(Properties!A$1:CB$87,Formula!F9,55))+((Formula!I9)/(Formula!C9+Formula!E9+Formula!G9+Formula!I9+Formula!K9))*(INDEX(Properties!A$1:CB$87,Formula!H9,55))+((Formula!K9)/(Formula!C9+Formula!E9+Formula!G9+Formula!I9+Formula!K9))*(INDEX(Properties!A$1:CB$87,Formula!J9,55))</f>
        <v>0.77666750000000007</v>
      </c>
      <c r="FI9" s="69">
        <f>Formula!C9*(INDEX(Properties!A$1:CB$87,Formula!B9,55))+Formula!E9*(INDEX(Properties!A$1:CB$87,Formula!D9,54))+Formula!G9*(INDEX(Properties!A$1:CB$87,Formula!F9,55))+Formula!I9*(INDEX(Properties!A$1:CB$87,Formula!H9,55))+Formula!K9*(INDEX(Properties!A$1:CB$87,Formula!J9,55))</f>
        <v>5260.9600099999998</v>
      </c>
      <c r="FJ9" s="69">
        <f>VARP(IF(INDEX(Properties!A$1:CB$87,Formula!B9,55)&lt;&gt;"",INDEX(Properties!A$1:CB$87,Formula!B9,55)),IF(INDEX(Properties!A$1:CB$87,Formula!D9,55)&lt;&gt;"",INDEX(Properties!A$1:CB$87,Formula!D9,55)),IF(INDEX(Properties!A$1:CB$87,Formula!F9,55)&lt;&gt;"",INDEX(Properties!A$1:CB$87,Formula!F9,55)),IF(INDEX(Properties!A$1:CB$87,Formula!H9,55)&lt;&gt;"",INDEX(Properties!A$1:CB$87,Formula!H9,55)),IF(INDEX(Properties!A$1:CB$87,Formula!J9,55)&lt;&gt;"",INDEX(Properties!A$1:CB$87,Formula!J9,55)))</f>
        <v>0.96366045518400023</v>
      </c>
      <c r="FK9" s="69">
        <f>MAX(INDEX(Properties!A$1:CB$87,Formula!B9,55),INDEX(Properties!A$1:CB$87,Formula!D9,55),INDEX(Properties!A$1:CB$87,Formula!F9,55),INDEX(Properties!A$1:CB$87,Formula!H9,55),INDEX(Properties!A$1:CB$87,Formula!J9,55))</f>
        <v>2.33</v>
      </c>
      <c r="FL9" s="69">
        <f>MIN(IF(INDEX(Properties!A$1:CB$87,Formula!B9,55)=0,10^6,INDEX(Properties!A$1:CB$87,Formula!B9,55)),IF(INDEX(Properties!A$1:CB$87,Formula!D9,55)=0,10^6,INDEX(Properties!A$1:CB$87,Formula!D9,55)),IF(INDEX(Properties!A$1:CB$87,Formula!F9,55)=0,10^6,INDEX(Properties!A$1:CB$87,Formula!F9,55)),IF(INDEX(Properties!A$1:CB$87,Formula!H9,55)=0,10^6,INDEX(Properties!A$1:CB$87,Formula!H9,55)),IF(INDEX(Properties!A$1:CB$87,Formula!J9,55)=0,10^6,INDEX(Properties!A$1:CB$87,Formula!J9,55)))</f>
        <v>1.4300000000000001E-3</v>
      </c>
      <c r="FM9" s="69">
        <f t="shared" si="27"/>
        <v>2.32857</v>
      </c>
      <c r="FN9" s="42">
        <f>((Formula!C9)/(Formula!C9+Formula!E9+Formula!G9+Formula!I9+Formula!K9))*(INDEX(Properties!A$1:CB$87,Formula!B9,56))+((Formula!E9)/(Formula!C9+Formula!E9+Formula!G9+Formula!I9+Formula!K9))*(INDEX(Properties!A$1:CB$87,Formula!D9,56))+((Formula!G9)/(Formula!C9+Formula!E9+Formula!G9+Formula!I9+Formula!K9))*(INDEX(Properties!A$1:CB$87,Formula!F9,56))+((Formula!I9)/(Formula!C9+Formula!E9+Formula!G9+Formula!I9+Formula!K9))*(INDEX(Properties!A$1:CB$87,Formula!H9,56))+((Formula!K9)/(Formula!C9+Formula!E9+Formula!G9+Formula!I9+Formula!K9))*(INDEX(Properties!A$1:CB$87,Formula!J9,56))</f>
        <v>0.8125</v>
      </c>
      <c r="FO9" s="42">
        <f>Formula!C9*(INDEX(Properties!A$1:CB$87,Formula!B9,56))+Formula!E9*(INDEX(Properties!A$1:CB$87,Formula!D9,56))+Formula!G9*(INDEX(Properties!A$1:CB$87,Formula!F9,56))+Formula!I9*(INDEX(Properties!A$1:CB$87,Formula!H9,56))+Formula!K9*(INDEX(Properties!A$1:CB$87,Formula!J9,56))</f>
        <v>9.75</v>
      </c>
      <c r="FP9" s="42">
        <f>VARP(IF(INDEX(Properties!A$1:CB$87,Formula!B9,56)&lt;&gt;"",INDEX(Properties!A$1:CB$87,Formula!B9,56)),IF(INDEX(Properties!A$1:CB$87,Formula!D9,56)&lt;&gt;"",INDEX(Properties!A$1:CB$87,Formula!D9,56)),IF(INDEX(Properties!A$1:CB$87,Formula!F9,56)&lt;&gt;"",INDEX(Properties!A$1:CB$87,Formula!F9,56)),IF(INDEX(Properties!A$1:CB$87,Formula!H9,56)&lt;&gt;"",INDEX(Properties!A$1:CB$87,Formula!H9,56)),IF(INDEX(Properties!A$1:CB$87,Formula!J9,56)&lt;&gt;"",INDEX(Properties!A$1:CB$87,Formula!J9,56)))</f>
        <v>0.14517600000000006</v>
      </c>
      <c r="FQ9" s="42">
        <f>MAX(INDEX(Properties!A$1:CB$87,Formula!B9,56),INDEX(Properties!A$1:CB$87,Formula!D9,56),INDEX(Properties!A$1:CB$87,Formula!F9,56),INDEX(Properties!A$1:CB$87,Formula!H9,56),INDEX(Properties!A$1:CB$87,Formula!J9,56))</f>
        <v>0.92</v>
      </c>
      <c r="FR9" s="42">
        <f>MIN(IF(INDEX(Properties!A$1:CB$87,Formula!B9,56)=0,10^6,INDEX(Properties!A$1:CB$87,Formula!B9,56)),IF(INDEX(Properties!A$1:CB$87,Formula!D9,56)=0,10^6,INDEX(Properties!A$1:CB$87,Formula!D9,56)),IF(INDEX(Properties!A$1:CB$87,Formula!F9,56)=0,10^6,INDEX(Properties!A$1:CB$87,Formula!F9,56)),IF(INDEX(Properties!A$1:CB$87,Formula!H9,56)=0,10^6,INDEX(Properties!A$1:CB$87,Formula!H9,56)),IF(INDEX(Properties!A$1:CB$87,Formula!J9,56)=0,10^6,INDEX(Properties!A$1:CB$87,Formula!J9,56)))</f>
        <v>0.63</v>
      </c>
      <c r="FS9" s="42">
        <f t="shared" si="28"/>
        <v>0.29000000000000004</v>
      </c>
      <c r="FT9" s="60">
        <f>((Formula!C9)/(Formula!C9+Formula!E9+Formula!G9+Formula!I9+Formula!K9))*(INDEX(Properties!A$1:CB$87,Formula!B9,57))+((Formula!E9)/(Formula!C9+Formula!E9+Formula!G9+Formula!I9+Formula!K9))*(INDEX(Properties!A$1:CB$87,Formula!D9,57))+((Formula!G9)/(Formula!C9+Formula!E9+Formula!G9+Formula!I9+Formula!K9))*(INDEX(Properties!A$1:CB$87,Formula!F9,57))+((Formula!I9)/(Formula!C9+Formula!E9+Formula!G9+Formula!I9+Formula!K9))*(INDEX(Properties!A$1:CB$87,Formula!H9,57))+((Formula!K9)/(Formula!C9+Formula!E9+Formula!G9+Formula!I9+Formula!K9))*(INDEX(Properties!A$1:CB$87,Formula!J9,57))</f>
        <v>10.689844166666665</v>
      </c>
      <c r="FU9" s="60">
        <f>Formula!C9*(INDEX(Properties!A$1:CB$87,Formula!B9,57))+Formula!E9*(INDEX(Properties!A$1:CB$87,Formula!D9,57))+Formula!G9*(INDEX(Properties!A$1:CB$87,Formula!F9,57))+Formula!I9*(INDEX(Properties!A$1:CB$87,Formula!H9,57))+Formula!K9*(INDEX(Properties!A$1:CB$87,Formula!J9,57))</f>
        <v>128.27813</v>
      </c>
      <c r="FV9" s="60">
        <f>VARP(IF(INDEX(Properties!A$1:CB$87,Formula!B9,57)&lt;&gt;"",INDEX(Properties!A$1:CB$87,Formula!B9,57)),IF(INDEX(Properties!A$1:CB$87,Formula!D9,57)&lt;&gt;"",INDEX(Properties!A$1:CB$87,Formula!D9,57)),IF(INDEX(Properties!A$1:CB$87,Formula!F9,57)&lt;&gt;"",INDEX(Properties!A$1:CB$87,Formula!F9,57)),IF(INDEX(Properties!A$1:CB$87,Formula!H9,57)&lt;&gt;"",INDEX(Properties!A$1:CB$87,Formula!H9,57)),IF(INDEX(Properties!A$1:CB$87,Formula!J9,57)&lt;&gt;"",INDEX(Properties!A$1:CB$87,Formula!J9,57)))</f>
        <v>384.93739596129598</v>
      </c>
      <c r="FW9" s="60">
        <f>MAX(INDEX(Properties!A$1:CB$87,Formula!B9,57),INDEX(Properties!A$1:CB$87,Formula!D9,57),INDEX(Properties!A$1:CB$87,Formula!F9,57),INDEX(Properties!A$1:CB$87,Formula!H9,57),INDEX(Properties!A$1:CB$87,Formula!J9,57))</f>
        <v>50.55</v>
      </c>
      <c r="FX9" s="60">
        <f>MIN(IF(INDEX(Properties!A$1:CB$87,Formula!B9,57)=0,10^6,INDEX(Properties!A$1:CB$87,Formula!B9,57)),IF(INDEX(Properties!A$1:CB$87,Formula!D9,57)=0,10^6,INDEX(Properties!A$1:CB$87,Formula!D9,57)),IF(INDEX(Properties!A$1:CB$87,Formula!F9,57)=0,10^6,INDEX(Properties!A$1:CB$87,Formula!F9,57)),IF(INDEX(Properties!A$1:CB$87,Formula!H9,57)=0,10^6,INDEX(Properties!A$1:CB$87,Formula!H9,57)),IF(INDEX(Properties!A$1:CB$87,Formula!J9,57)=0,10^6,INDEX(Properties!A$1:CB$87,Formula!J9,57)))</f>
        <v>0.22259000000000001</v>
      </c>
      <c r="FY9" s="60">
        <f t="shared" si="29"/>
        <v>50.32741</v>
      </c>
      <c r="FZ9" s="72">
        <f>((Formula!C9)/(Formula!C9+Formula!E9+Formula!G9+Formula!I9+Formula!K9))*(INDEX(Properties!A$1:CB$87,Formula!B9,60))+((Formula!E9)/(Formula!C9+Formula!E9+Formula!G9+Formula!I9+Formula!K9))*(INDEX(Properties!A$1:CB$87,Formula!D9,60))+((Formula!G9)/(Formula!C9+Formula!E9+Formula!G9+Formula!I9+Formula!K9))*(INDEX(Properties!A$1:CB$87,Formula!F9,60))+((Formula!I9)/(Formula!C9+Formula!E9+Formula!G9+Formula!I9+Formula!K9))*(INDEX(Properties!A$1:CB$87,Formula!H9,60))+((Formula!K9)/(Formula!C9+Formula!E9+Formula!G9+Formula!I9+Formula!K9))*(INDEX(Properties!A$1:CB$87,Formula!J9,60))</f>
        <v>74.682264999999987</v>
      </c>
      <c r="GA9" s="72">
        <f>Formula!C9*(INDEX(Properties!A$1:CB$87,Formula!B9,60))+Formula!E9*(INDEX(Properties!A$1:CB$87,Formula!D9,60))+Formula!G9*(INDEX(Properties!A$1:CB$87,Formula!F9,60))+Formula!I9*(INDEX(Properties!A$1:CB$87,Formula!H9,60))+Formula!K9*(INDEX(Properties!A$1:CB$87,Formula!J9,60))</f>
        <v>896.18718000000001</v>
      </c>
      <c r="GB9" s="72">
        <f>VARP(IF(INDEX(Properties!A$1:CB$87,Formula!B9,60)&lt;&gt;"",INDEX(Properties!A$1:CB$87,Formula!B9,60)),IF(INDEX(Properties!A$1:CB$87,Formula!D9,60)&lt;&gt;"",INDEX(Properties!A$1:CB$87,Formula!D9,60)),IF(INDEX(Properties!A$1:CB$87,Formula!F9,60)&lt;&gt;"",INDEX(Properties!A$1:CB$87,Formula!F9,60)),IF(INDEX(Properties!A$1:CB$87,Formula!H9,60)&lt;&gt;"",INDEX(Properties!A$1:CB$87,Formula!H9,60)),IF(INDEX(Properties!A$1:CB$87,Formula!J9,60)&lt;&gt;"",INDEX(Properties!A$1:CB$87,Formula!J9,60)))</f>
        <v>7535.895672804415</v>
      </c>
      <c r="GC9" s="72">
        <f>MAX(INDEX(Properties!A$1:CB$87,Formula!B9,60),INDEX(Properties!A$1:CB$87,Formula!D9,60),INDEX(Properties!A$1:CB$87,Formula!F9,60),INDEX(Properties!A$1:CB$87,Formula!H9,60),INDEX(Properties!A$1:CB$87,Formula!J9,60))</f>
        <v>200</v>
      </c>
      <c r="GD9" s="72">
        <f>MIN(IF(INDEX(Properties!A$1:CB$87,Formula!B9,60)=0,10^6,INDEX(Properties!A$1:CB$87,Formula!B9,60)),IF(INDEX(Properties!A$1:CB$87,Formula!D9,60)=0,10^6,INDEX(Properties!A$1:CB$87,Formula!D9,60)),IF(INDEX(Properties!A$1:CB$87,Formula!F9,60)=0,10^6,INDEX(Properties!A$1:CB$87,Formula!F9,60)),IF(INDEX(Properties!A$1:CB$87,Formula!H9,60)=0,10^6,INDEX(Properties!A$1:CB$87,Formula!H9,60)),IF(INDEX(Properties!A$1:CB$87,Formula!J9,60)=0,10^6,INDEX(Properties!A$1:CB$87,Formula!J9,60)))</f>
        <v>2.674E-2</v>
      </c>
      <c r="GE9" s="72">
        <f t="shared" si="30"/>
        <v>199.97326000000001</v>
      </c>
      <c r="GF9" s="51">
        <f>((Formula!C9)/(Formula!C9+Formula!E9+Formula!G9+Formula!I9+Formula!K9))*(INDEX(Properties!A$1:CB$87,Formula!B9,62))+((Formula!E9)/(Formula!C9+Formula!E9+Formula!G9+Formula!I9+Formula!K9))*(INDEX(Properties!A$1:CB$87,Formula!D9,62))+((Formula!G9)/(Formula!C9+Formula!E9+Formula!G9+Formula!I9+Formula!K9))*(INDEX(Properties!A$1:CB$87,Formula!F9,62))+((Formula!I9)/(Formula!C9+Formula!E9+Formula!G9+Formula!I9+Formula!K9))*(INDEX(Properties!A$1:CB$87,Formula!H9,62))+((Formula!K9)/(Formula!C9+Formula!E9+Formula!G9+Formula!I9+Formula!K9))*(INDEX(Properties!A$1:CB$87,Formula!J9,62))</f>
        <v>2.7600000000000002</v>
      </c>
      <c r="GG9" s="51">
        <f>Formula!C9*(INDEX(Properties!A$1:CB$87,Formula!B9,62))+Formula!E9*(INDEX(Properties!A$1:CB$87,Formula!D9,62))+Formula!G9*(INDEX(Properties!A$1:CB$87,Formula!F9,62))+Formula!I9*(INDEX(Properties!A$1:CB$87,Formula!H9,62))+Formula!K9*(INDEX(Properties!A$1:CB$87,Formula!J9,62))</f>
        <v>33.120000000000005</v>
      </c>
      <c r="GH9" s="51">
        <f>VARP(IF(INDEX(Properties!A$1:CB$87,Formula!B9,62)&lt;&gt;"",INDEX(Properties!A$1:CB$87,Formula!B9,62)),IF(INDEX(Properties!A$1:CB$87,Formula!D9,62)&lt;&gt;"",INDEX(Properties!A$1:CB$87,Formula!D9,62)),IF(INDEX(Properties!A$1:CB$87,Formula!F9,62)&lt;&gt;"",INDEX(Properties!A$1:CB$87,Formula!F9,62)),IF(INDEX(Properties!A$1:CB$87,Formula!H9,62)&lt;&gt;"",INDEX(Properties!A$1:CB$87,Formula!H9,62)),IF(INDEX(Properties!A$1:CB$87,Formula!J9,62)&lt;&gt;"",INDEX(Properties!A$1:CB$87,Formula!J9,62)))</f>
        <v>3.0322559999999994</v>
      </c>
      <c r="GI9" s="51">
        <f>MAX(INDEX(Properties!A$1:CB$87,Formula!B9,62),INDEX(Properties!A$1:CB$87,Formula!D9,62),INDEX(Properties!A$1:CB$87,Formula!F9,62),INDEX(Properties!A$1:CB$87,Formula!H9,62),INDEX(Properties!A$1:CB$87,Formula!J9,62))</f>
        <v>4.63</v>
      </c>
      <c r="GJ9" s="51">
        <f>MIN(IF(INDEX(Properties!A$1:CB$87,Formula!B9,62)=0,10^6,INDEX(Properties!A$1:CB$87,Formula!B9,62)),IF(INDEX(Properties!A$1:CB$87,Formula!D9,62)=0,10^6,INDEX(Properties!A$1:CB$87,Formula!D9,62)),IF(INDEX(Properties!A$1:CB$87,Formula!F9,62)=0,10^6,INDEX(Properties!A$1:CB$87,Formula!F9,62)),IF(INDEX(Properties!A$1:CB$87,Formula!H9,62)=0,10^6,INDEX(Properties!A$1:CB$87,Formula!H9,62)),IF(INDEX(Properties!A$1:CB$87,Formula!J9,62)=0,10^6,INDEX(Properties!A$1:CB$87,Formula!J9,62)))</f>
        <v>1.84</v>
      </c>
      <c r="GK9" s="51">
        <f t="shared" si="31"/>
        <v>2.79</v>
      </c>
      <c r="GL9" s="51">
        <f>Formula!P9</f>
        <v>14</v>
      </c>
      <c r="GM9" s="57">
        <f>Formula!O9</f>
        <v>2</v>
      </c>
      <c r="GN9" s="51">
        <f>Formula!N9</f>
        <v>0.09</v>
      </c>
    </row>
    <row r="10" spans="1:196" s="5" customFormat="1" x14ac:dyDescent="0.3">
      <c r="A10" s="84" t="str">
        <f>Formula!A10</f>
        <v>Sr3Ga2Ge4O14</v>
      </c>
      <c r="B10" s="89">
        <f>((Formula!C10)/(Formula!C10+Formula!E10+Formula!G10+Formula!I10+Formula!K10))*(INDEX(Properties!A$1:CB$87,Formula!B10,3))+((Formula!E10)/(Formula!C10+Formula!E10+Formula!G10+Formula!I10+Formula!K10))*(INDEX(Properties!A$1:CB$87,Formula!D10,3))+((Formula!G10)/(Formula!C10+Formula!E10+Formula!G10+Formula!I10+Formula!K10))*(INDEX(Properties!A$1:CB$87,Formula!F10,3))+((Formula!I10)/(Formula!C10+Formula!E10+Formula!G10+Formula!I10+Formula!K10))*(INDEX(Properties!A$1:CB$87,Formula!H10,3))+((Formula!K10)/(Formula!C10+Formula!E10+Formula!G10+Formula!I10+Formula!K10))*(INDEX(Properties!A$1:CB$87,Formula!J10,3))</f>
        <v>39.861634782608697</v>
      </c>
      <c r="C10" s="85">
        <f>Formula!C10*(INDEX(Properties!A$1:CB$87,Formula!B10,3))+Formula!E10*(INDEX(Properties!A$1:CB$87,Formula!D10,3))+Formula!G10*(INDEX(Properties!A$1:CB$87,Formula!F10,3))+Formula!I10*(INDEX(Properties!A$1:CB$87,Formula!H10,3))+Formula!K10*(INDEX(Properties!A$1:CB$87,Formula!J10,3))</f>
        <v>916.81760000000008</v>
      </c>
      <c r="D10" s="85">
        <f>VARP(IF(INDEX(Properties!A$1:CB$87,Formula!B10,3)&lt;&gt;"",INDEX(Properties!A$1:CB$87,Formula!B10,3)),IF(INDEX(Properties!A$1:CB$87,Formula!D10,3)&lt;&gt;"",INDEX(Properties!A$1:CB$87,Formula!D10,3)),IF(INDEX(Properties!A$1:CB$87,Formula!F10,3)&lt;&gt;"",INDEX(Properties!A$1:CB$87,Formula!F10,3)),IF(INDEX(Properties!A$1:CB$87,Formula!H10,3)&lt;&gt;"",INDEX(Properties!A$1:CB$87,Formula!H10,3)),IF(INDEX(Properties!A$1:CB$87,Formula!J10,3)&lt;&gt;"",INDEX(Properties!A$1:CB$87,Formula!J10,3)))</f>
        <v>1193.8349034016003</v>
      </c>
      <c r="E10" s="85">
        <f>MAX(INDEX(Properties!A$1:CB$87,Formula!B10,3),INDEX(Properties!A$1:CB$87,Formula!D10,3),INDEX(Properties!A$1:CB$87,Formula!F10,3),INDEX(Properties!A$1:CB$87,Formula!H10,3),INDEX(Properties!A$1:CB$87,Formula!J10,3))</f>
        <v>87.62</v>
      </c>
      <c r="F10" s="85">
        <f>MIN(IF(INDEX(Properties!A$1:CB$87,Formula!B10,3)=0,10^6,INDEX(Properties!A$1:CB$87,Formula!B10,3)),IF(INDEX(Properties!A$1:CB$87,Formula!D10,3)=0,10^6,INDEX(Properties!A$1:CB$87,Formula!D10,3)),IF(INDEX(Properties!A$1:CB$87,Formula!F10,3)=0,10^6,INDEX(Properties!A$1:CB$87,Formula!F10,3)),IF(INDEX(Properties!A$1:CB$87,Formula!H10,3)=0,10^6,INDEX(Properties!A$1:CB$87,Formula!H10,3)),IF(INDEX(Properties!A$1:CB$87,Formula!J10,3)=0,10^6,INDEX(Properties!A$1:CB$87,Formula!J10,3)))</f>
        <v>15.9994</v>
      </c>
      <c r="G10" s="85">
        <f t="shared" si="0"/>
        <v>71.62060000000001</v>
      </c>
      <c r="H10" s="87">
        <f>((Formula!C10)/(Formula!C10+Formula!E10+Formula!G10+Formula!I10+Formula!K10))*(INDEX(Properties!A$1:CB$87,Formula!B10,4))+((Formula!E10)/(Formula!C10+Formula!E10+Formula!G10+Formula!I10+Formula!K10))*(INDEX(Properties!A$1:CB$87,Formula!D10,4))+((Formula!G10)/(Formula!C10+Formula!E10+Formula!G10+Formula!I10+Formula!K10))*(INDEX(Properties!A$1:CB$87,Formula!F10,4))+((Formula!I10)/(Formula!C10+Formula!E10+Formula!G10+Formula!I10+Formula!K10))*(INDEX(Properties!A$1:CB$87,Formula!H10,4))+((Formula!K10)/(Formula!C10+Formula!E10+Formula!G10+Formula!I10+Formula!K10))*(INDEX(Properties!A$1:CB$87,Formula!J10,4))</f>
        <v>18.086956521739133</v>
      </c>
      <c r="I10" s="87">
        <f>Formula!C10*(INDEX(Properties!A$1:CB$87,Formula!B10,4))+Formula!E10*(INDEX(Properties!A$1:CB$87,Formula!D10,4))+Formula!G10*(INDEX(Properties!A$1:CB$87,Formula!F10,4))+Formula!I10*(INDEX(Properties!A$1:CB$87,Formula!H10,4))+Formula!K10*(INDEX(Properties!A$1:CB$87,Formula!J10,4))</f>
        <v>416</v>
      </c>
      <c r="J10" s="87">
        <f>VARP(IF(INDEX(Properties!A$1:CB$87,Formula!B10,4)&lt;&gt;"",INDEX(Properties!A$1:CB$87,Formula!B10,4)),IF(INDEX(Properties!A$1:CB$87,Formula!D10,4)&lt;&gt;"",INDEX(Properties!A$1:CB$87,Formula!D10,4)),IF(INDEX(Properties!A$1:CB$87,Formula!F10,4)&lt;&gt;"",INDEX(Properties!A$1:CB$87,Formula!F10,4)),IF(INDEX(Properties!A$1:CB$87,Formula!H10,4)&lt;&gt;"",INDEX(Properties!A$1:CB$87,Formula!H10,4)),IF(INDEX(Properties!A$1:CB$87,Formula!J10,4)&lt;&gt;"",INDEX(Properties!A$1:CB$87,Formula!J10,4)))</f>
        <v>223.36</v>
      </c>
      <c r="K10" s="87">
        <f>MAX(INDEX(Properties!A$1:CB$87,Formula!B10,4),INDEX(Properties!A$1:CB$87,Formula!D10,4),INDEX(Properties!A$1:CB$87,Formula!F10,4),INDEX(Properties!A$1:CB$87,Formula!H10,4),INDEX(Properties!A$1:CB$87,Formula!J10,4))</f>
        <v>38</v>
      </c>
      <c r="L10" s="87">
        <f>MIN(IF(INDEX(Properties!A$1:CB$87,Formula!B10,4)=0,10^6,INDEX(Properties!A$1:CB$87,Formula!B10,4)),IF(INDEX(Properties!A$1:CB$87,Formula!D10,4)=0,10^6,INDEX(Properties!A$1:CB$87,Formula!D10,4)),IF(INDEX(Properties!A$1:CB$87,Formula!F10,4)=0,10^6,INDEX(Properties!A$1:CB$87,Formula!F10,4)),IF(INDEX(Properties!A$1:CB$87,Formula!H10,4)=0,10^6,INDEX(Properties!A$1:CB$87,Formula!H10,4)),IF(INDEX(Properties!A$1:CB$87,Formula!J10,4)=0,10^6,INDEX(Properties!A$1:CB$87,Formula!J10,4)))</f>
        <v>8</v>
      </c>
      <c r="M10" s="87">
        <f t="shared" si="1"/>
        <v>30</v>
      </c>
      <c r="N10" s="89">
        <f>((Formula!C10)/(Formula!C10+Formula!E10+Formula!G10+Formula!I10+Formula!K10))*(INDEX(Properties!A$1:CB$87,Formula!B10,5))+((Formula!E10)/(Formula!C10+Formula!E10+Formula!G10+Formula!I10+Formula!K10))*(INDEX(Properties!A$1:CB$87,Formula!D10,5))+((Formula!G10)/(Formula!C10+Formula!E10+Formula!G10+Formula!I10+Formula!K10))*(INDEX(Properties!A$1:CB$87,Formula!F10,5))+((Formula!I10)/(Formula!C10+Formula!E10+Formula!G10+Formula!I10+Formula!K10))*(INDEX(Properties!A$1:CB$87,Formula!H10,5))+((Formula!K10)/(Formula!C10+Formula!E10+Formula!G10+Formula!I10+Formula!K10))*(INDEX(Properties!A$1:CB$87,Formula!J10,5))</f>
        <v>2.9130434782608696</v>
      </c>
      <c r="O10" s="89">
        <f>Formula!C10*(INDEX(Properties!A$1:CB$87,Formula!B10,5))+Formula!E10*(INDEX(Properties!A$1:CB$87,Formula!D10,5))+Formula!G10*(INDEX(Properties!A$1:CB$87,Formula!F10,5))+Formula!I10*(INDEX(Properties!A$1:CB$87,Formula!H10,5))+Formula!K10*(INDEX(Properties!A$1:CB$87,Formula!J10,5))</f>
        <v>67</v>
      </c>
      <c r="P10" s="89">
        <f>VARP(IF(INDEX(Properties!A$1:CB$87,Formula!B10,5)&lt;&gt;"",INDEX(Properties!A$1:CB$87,Formula!B10,5)),IF(INDEX(Properties!A$1:CB$87,Formula!D10,5)&lt;&gt;"",INDEX(Properties!A$1:CB$87,Formula!D10,5)),IF(INDEX(Properties!A$1:CB$87,Formula!F10,5)&lt;&gt;"",INDEX(Properties!A$1:CB$87,Formula!F10,5)),IF(INDEX(Properties!A$1:CB$87,Formula!H10,5)&lt;&gt;"",INDEX(Properties!A$1:CB$87,Formula!H10,5)),IF(INDEX(Properties!A$1:CB$87,Formula!J10,5)&lt;&gt;"",INDEX(Properties!A$1:CB$87,Formula!J10,5)))</f>
        <v>3.2</v>
      </c>
      <c r="Q10" s="89">
        <f>MAX(INDEX(Properties!A$1:CB$87,Formula!B10,5),INDEX(Properties!A$1:CB$87,Formula!D10,5),INDEX(Properties!A$1:CB$87,Formula!F10,5),INDEX(Properties!A$1:CB$87,Formula!H10,5),INDEX(Properties!A$1:CB$87,Formula!J10,5))</f>
        <v>5</v>
      </c>
      <c r="R10" s="89">
        <f>MIN(IF(INDEX(Properties!A$1:CB$87,Formula!B10,5)=0,10^6,INDEX(Properties!A$1:CB$87,Formula!B10,5)),IF(INDEX(Properties!A$1:CB$87,Formula!D10,5)=0,10^6,INDEX(Properties!A$1:CB$87,Formula!D10,5)),IF(INDEX(Properties!A$1:CB$87,Formula!F10,5)=0,10^6,INDEX(Properties!A$1:CB$87,Formula!F10,5)),IF(INDEX(Properties!A$1:CB$87,Formula!H10,5)=0,10^6,INDEX(Properties!A$1:CB$87,Formula!H10,5)),IF(INDEX(Properties!A$1:CB$87,Formula!J10,5)=0,10^6,INDEX(Properties!A$1:CB$87,Formula!J10,5)))</f>
        <v>2</v>
      </c>
      <c r="S10" s="89">
        <f t="shared" si="2"/>
        <v>3</v>
      </c>
      <c r="T10" s="60">
        <f>((Formula!C10)/(Formula!C10+Formula!E10+Formula!G10+Formula!I10+Formula!K10))*(INDEX(Properties!A$1:CB$87,Formula!B10,6))+((Formula!E10)/(Formula!C10+Formula!E10+Formula!G10+Formula!I10+Formula!K10))*(INDEX(Properties!A$1:CB$87,Formula!D10,6))+((Formula!G10)/(Formula!C10+Formula!E10+Formula!G10+Formula!I10+Formula!K10))*(INDEX(Properties!A$1:CB$87,Formula!F10,6))+((Formula!I10)/(Formula!C10+Formula!E10+Formula!G10+Formula!I10+Formula!K10))*(INDEX(Properties!A$1:CB$87,Formula!H10,6))+((Formula!K10)/(Formula!C10+Formula!E10+Formula!G10+Formula!I10+Formula!K10))*(INDEX(Properties!A$1:CB$87,Formula!J10,6))</f>
        <v>13.565217391304348</v>
      </c>
      <c r="U10" s="60">
        <f>Formula!C10*(INDEX(Properties!A$1:CB$87,Formula!B10,6))+Formula!E10*(INDEX(Properties!A$1:CB$87,Formula!D10,6))+Formula!G10*(INDEX(Properties!A$1:CB$87,Formula!F10,6))+Formula!I10*(INDEX(Properties!A$1:CB$87,Formula!H10,6))+Formula!K10*(INDEX(Properties!A$1:CB$87,Formula!J10,6))</f>
        <v>312</v>
      </c>
      <c r="V10" s="89">
        <f>VARP(IF(INDEX(Properties!A$1:CB$87,Formula!B10,6)&lt;&gt;"",INDEX(Properties!A$1:CB$87,Formula!B10,6)),IF(INDEX(Properties!A$1:CB$87,Formula!D10,6)&lt;&gt;"",INDEX(Properties!A$1:CB$87,Formula!D10,6)),IF(INDEX(Properties!A$1:CB$87,Formula!F10,6)&lt;&gt;"",INDEX(Properties!A$1:CB$87,Formula!F10,6)),IF(INDEX(Properties!A$1:CB$87,Formula!H10,6)&lt;&gt;"",INDEX(Properties!A$1:CB$87,Formula!H10,6)),IF(INDEX(Properties!A$1:CB$87,Formula!J10,6)&lt;&gt;"",INDEX(Properties!A$1:CB$87,Formula!J10,6)))</f>
        <v>44</v>
      </c>
      <c r="W10" s="60">
        <f>MAX(INDEX(Properties!A$1:CB$87,Formula!B10,6),INDEX(Properties!A$1:CB$87,Formula!D10,6),INDEX(Properties!A$1:CB$87,Formula!F10,6),INDEX(Properties!A$1:CB$87,Formula!H10,4),INDEX(Properties!A$1:CB$87,Formula!J10,6))</f>
        <v>14</v>
      </c>
      <c r="X10" s="60">
        <f>MIN(IF(INDEX(Properties!A$1:CB$87,Formula!B10,6)=0,10^6,INDEX(Properties!A$1:CB$87,Formula!B10,6)),IF(INDEX(Properties!A$1:CB$87,Formula!D10,6)=0,10^6,INDEX(Properties!A$1:CB$87,Formula!D10,6)),IF(INDEX(Properties!A$1:CB$87,Formula!F10,6)=0,10^6,INDEX(Properties!A$1:CB$87,Formula!F10,6)),IF(INDEX(Properties!A$1:CB$87,Formula!H10,6)=0,10^6,INDEX(Properties!A$1:CB$87,Formula!H10,6)),IF(INDEX(Properties!A$1:CB$87,Formula!J10,6)=0,10^6,INDEX(Properties!A$1:CB$87,Formula!J10,6)))</f>
        <v>2</v>
      </c>
      <c r="Y10" s="60">
        <f t="shared" si="3"/>
        <v>12</v>
      </c>
      <c r="Z10" s="72">
        <f>((Formula!C10)/(Formula!C10+Formula!E10+Formula!G10+Formula!I10+Formula!K10))*(INDEX(Properties!A$1:CB$87,Formula!B10,9))+((Formula!E10)/(Formula!C10+Formula!E10+Formula!G10+Formula!I10+Formula!K10))*(INDEX(Properties!A$1:CB$87,Formula!D10,9))+((Formula!G10)/(Formula!C10+Formula!E10+Formula!G10+Formula!I10+Formula!K10))*(INDEX(Properties!A$1:CB$87,Formula!F10,9))+((Formula!I10)/(Formula!C10+Formula!E10+Formula!G10+Formula!I10+Formula!K10))*(INDEX(Properties!A$1:CB$87,Formula!H10,9))+((Formula!K10)/(Formula!C10+Formula!E10+Formula!G10+Formula!I10+Formula!K10))*(INDEX(Properties!A$1:CB$87,Formula!J10,9))</f>
        <v>74.173913043478265</v>
      </c>
      <c r="AA10" s="72">
        <f>Formula!C10*(INDEX(Properties!A$1:CB$87,Formula!B10,9))+Formula!E10*(INDEX(Properties!A$1:CB$87,Formula!D10,9))+Formula!G10*(INDEX(Properties!A$1:CB$87,Formula!F10,9))+Formula!I10*(INDEX(Properties!A$1:CB$87,Formula!H10,9))+Formula!K10*(INDEX(Properties!A$1:CB$87,Formula!J10,9))</f>
        <v>1706</v>
      </c>
      <c r="AB10" s="72">
        <f>VARP(IF(INDEX(Properties!A$1:CB$87,Formula!B10,9)&lt;&gt;"",INDEX(Properties!A$1:CB$87,Formula!B10,9)),IF(INDEX(Properties!A$1:CB$87,Formula!D10,9)&lt;&gt;"",INDEX(Properties!A$1:CB$87,Formula!D10,9)),IF(INDEX(Properties!A$1:CB$87,Formula!F10,9)&lt;&gt;"",INDEX(Properties!A$1:CB$87,Formula!F10,9)),IF(INDEX(Properties!A$1:CB$87,Formula!H10,9)&lt;&gt;"",INDEX(Properties!A$1:CB$87,Formula!H10,9)),IF(INDEX(Properties!A$1:CB$87,Formula!J10,9)&lt;&gt;"",INDEX(Properties!A$1:CB$87,Formula!J10,9)))</f>
        <v>1409.84</v>
      </c>
      <c r="AC10" s="72">
        <f>MAX(INDEX(Properties!A$1:CB$87,Formula!B10,9),INDEX(Properties!A$1:CB$87,Formula!D10,9),INDEX(Properties!A$1:CB$87,Formula!F10,9),INDEX(Properties!A$1:CB$87,Formula!H10,9),INDEX(Properties!A$1:CB$87,Formula!J10,9))</f>
        <v>87</v>
      </c>
      <c r="AD10" s="72">
        <f>MIN(IF(INDEX(Properties!A$1:CB$87,Formula!B10,9)=0,10^6,INDEX(Properties!A$1:CB$87,Formula!B10,9)),IF(INDEX(Properties!A$1:CB$87,Formula!D10,9)=0,10^6,INDEX(Properties!A$1:CB$87,Formula!D10,9)),IF(INDEX(Properties!A$1:CB$87,Formula!F10,9)=0,10^6,INDEX(Properties!A$1:CB$87,Formula!F10,9)),IF(INDEX(Properties!A$1:CB$87,Formula!H10,9)=0,10^6,INDEX(Properties!A$1:CB$87,Formula!H10,9)),IF(INDEX(Properties!A$1:CB$87,Formula!J10,9)=0,10^6,INDEX(Properties!A$1:CB$87,Formula!J10,9)))</f>
        <v>8</v>
      </c>
      <c r="AE10" s="72">
        <f t="shared" si="4"/>
        <v>79</v>
      </c>
      <c r="AF10" s="51">
        <f>((Formula!C10)/(Formula!C10+Formula!E10+Formula!G10+Formula!I10+Formula!K10))*(INDEX(Properties!A$1:CB$87,Formula!B10,10))+((Formula!E10)/(Formula!C10+Formula!E10+Formula!G10+Formula!I10+Formula!K10))*(INDEX(Properties!A$1:CB$87,Formula!D10,10))+((Formula!G10)/(Formula!C10+Formula!E10+Formula!G10+Formula!I10+Formula!K10))*(INDEX(Properties!A$1:CB$87,Formula!F10,10))+((Formula!I10)/(Formula!C10+Formula!E10+Formula!G10+Formula!I10+Formula!K10))*(INDEX(Properties!A$1:CB$87,Formula!H10,10))+((Formula!K10)/(Formula!C10+Formula!E10+Formula!G10+Formula!I10+Formula!K10))*(INDEX(Properties!A$1:CB$87,Formula!J10,10))</f>
        <v>6</v>
      </c>
      <c r="AG10" s="51">
        <f>Formula!C10*(INDEX(Properties!A$1:CB$87,Formula!B10,10))+Formula!E10*(INDEX(Properties!A$1:CB$87,Formula!D10,10))+Formula!G10*(INDEX(Properties!A$1:CB$87,Formula!F10,10))+Formula!I10*(INDEX(Properties!A$1:CB$87,Formula!H10,10))+Formula!K10*(INDEX(Properties!A$1:CB$87,Formula!J10,10))</f>
        <v>138</v>
      </c>
      <c r="AH10" s="51">
        <f>VARP(IF(INDEX(Properties!A$1:CB$87,Formula!B10,10)&lt;&gt;"",INDEX(Properties!A$1:CB$87,Formula!B10,10)),IF(INDEX(Properties!A$1:CB$87,Formula!D10,10)&lt;&gt;"",INDEX(Properties!A$1:CB$87,Formula!D10,10)),IF(INDEX(Properties!A$1:CB$87,Formula!F10,10)&lt;&gt;"",INDEX(Properties!A$1:CB$87,Formula!F10,10)),IF(INDEX(Properties!A$1:CB$87,Formula!H10,10)&lt;&gt;"",INDEX(Properties!A$1:CB$87,Formula!H10,10)),IF(INDEX(Properties!A$1:CB$87,Formula!J10,10)&lt;&gt;"",INDEX(Properties!A$1:CB$87,Formula!J10,10)))</f>
        <v>6.8</v>
      </c>
      <c r="AI10" s="51">
        <f>MAX(INDEX(Properties!A$1:CB$87,Formula!B10,10),INDEX(Properties!A$1:CB$87,Formula!D10,10),INDEX(Properties!A$1:CB$87,Formula!F10,10),INDEX(Properties!A$1:CB$87,Formula!H10,10),INDEX(Properties!A$1:CB$87,Formula!J10,10))</f>
        <v>7</v>
      </c>
      <c r="AJ10" s="51">
        <f>MIN(IF(INDEX(Properties!A$1:CB$87,Formula!B10,10)=0,10^6,INDEX(Properties!A$1:CB$87,Formula!B10,10)),IF(INDEX(Properties!A$1:CB$87,Formula!D10,10)=0,10^6,INDEX(Properties!A$1:CB$87,Formula!D10,10)),IF(INDEX(Properties!A$1:CB$87,Formula!F10,10)=0,10^6,INDEX(Properties!A$1:CB$87,Formula!F10,10)),IF(INDEX(Properties!A$1:CB$87,Formula!H10,10)=0,10^6,INDEX(Properties!A$1:CB$87,Formula!H10,10)),IF(INDEX(Properties!A$1:CB$87,Formula!J10,10)=0,10^6,INDEX(Properties!A$1:CB$87,Formula!J10,10)))</f>
        <v>2</v>
      </c>
      <c r="AK10" s="51">
        <f t="shared" si="5"/>
        <v>5</v>
      </c>
      <c r="AL10" s="57">
        <f>((Formula!C10)/(Formula!C10+Formula!E10+Formula!G10+Formula!I10+Formula!K10))*(INDEX(Properties!A$1:CB$87,Formula!B10,11))+((Formula!E10)/(Formula!C10+Formula!E10+Formula!G10+Formula!I10+Formula!K10))*(INDEX(Properties!A$1:CB$87,Formula!D10,11))+((Formula!G10)/(Formula!C10+Formula!E10+Formula!G10+Formula!I10+Formula!K10))*(INDEX(Properties!A$1:CB$87,Formula!F10,11))+((Formula!I10)/(Formula!C10+Formula!E10+Formula!G10+Formula!I10+Formula!K10))*(INDEX(Properties!A$1:CB$87,Formula!H10,11))+((Formula!K10)/(Formula!C10+Formula!E10+Formula!G10+Formula!I10+Formula!K10))*(INDEX(Properties!A$1:CB$87,Formula!J10,11))</f>
        <v>2</v>
      </c>
      <c r="AM10" s="57">
        <f>Formula!C10*(INDEX(Properties!A$1:CB$87,Formula!B10,11))+Formula!E10*(INDEX(Properties!A$1:CB$87,Formula!D10,11))+Formula!G10*(INDEX(Properties!A$1:CB$87,Formula!F10,11))+Formula!I10*(INDEX(Properties!A$1:CB$87,Formula!H10,11))+Formula!K10*(INDEX(Properties!A$1:CB$87,Formula!J10,11))</f>
        <v>46</v>
      </c>
      <c r="AN10" s="57">
        <f>VARP(IF(INDEX(Properties!A$1:CB$87,Formula!B10,11)&lt;&gt;"",INDEX(Properties!A$1:CB$87,Formula!B10,11)),IF(INDEX(Properties!A$1:CB$87,Formula!D10,11)&lt;&gt;"",INDEX(Properties!A$1:CB$87,Formula!D10,11)),IF(INDEX(Properties!A$1:CB$87,Formula!F10,11)&lt;&gt;"",INDEX(Properties!A$1:CB$87,Formula!F10,11)),IF(INDEX(Properties!A$1:CB$87,Formula!H10,11)&lt;&gt;"",INDEX(Properties!A$1:CB$87,Formula!H10,11)),IF(INDEX(Properties!A$1:CB$87,Formula!J10,11)&lt;&gt;"",INDEX(Properties!A$1:CB$87,Formula!J10,11)))</f>
        <v>0.64</v>
      </c>
      <c r="AO10" s="57">
        <f>MAX(INDEX(Properties!A$1:CB$87,Formula!B10,11),INDEX(Properties!A$1:CB$87,Formula!D10,11),INDEX(Properties!A$1:CB$87,Formula!F10,11),INDEX(Properties!A$1:CB$87,Formula!H10,11),INDEX(Properties!A$1:CB$87,Formula!J10,11))</f>
        <v>2</v>
      </c>
      <c r="AP10" s="57">
        <f>MIN(IF(Formula!B10=87,10^6,INDEX(Properties!A$1:CB$87,Formula!B10,11)),IF((Formula!D10)=87,10^6,INDEX(Properties!A$1:CB$87,Formula!D10,11)),IF((Formula!F10)=87,10^6,INDEX(Properties!A$1:CB$87,Formula!F10,11)),IF((Formula!H10)=87,10^6,INDEX(Properties!A$1:CB$87,Formula!H10,11)),IF(Formula!J10=87,10^6,INDEX(Properties!A$1:CB$87,Formula!J10,11)))</f>
        <v>2</v>
      </c>
      <c r="AQ10" s="57">
        <f t="shared" si="6"/>
        <v>0</v>
      </c>
      <c r="AR10" s="78">
        <f>((Formula!C10)/(Formula!C10+Formula!E10+Formula!G10+Formula!I10+Formula!K10))*(INDEX(Properties!A$1:CB$87,Formula!B10,12))+((Formula!E10)/(Formula!C10+Formula!E10+Formula!G10+Formula!I10+Formula!K10))*(INDEX(Properties!A$1:CB$87,Formula!D10,12))+((Formula!G10)/(Formula!C10+Formula!E10+Formula!G10+Formula!I10+Formula!K10))*(INDEX(Properties!A$1:CB$87,Formula!F10,12))+((Formula!I10)/(Formula!C10+Formula!E10+Formula!G10+Formula!I10+Formula!K10))*(INDEX(Properties!A$1:CB$87,Formula!H10,12))+((Formula!K10)/(Formula!C10+Formula!E10+Formula!G10+Formula!I10+Formula!K10))*(INDEX(Properties!A$1:CB$87,Formula!J10,12))</f>
        <v>2.8695652173913047</v>
      </c>
      <c r="AS10" s="78">
        <f>Formula!C10*(INDEX(Properties!A$1:CB$87,Formula!B10,12))+Formula!E10*(INDEX(Properties!A$1:CB$87,Formula!D10,12))+Formula!G10*(INDEX(Properties!A$1:CB$87,Formula!F10,12))+Formula!I10*(INDEX(Properties!A$1:CB$87,Formula!H10,12))+Formula!K10*(INDEX(Properties!A$1:CB$87,Formula!J10,12))</f>
        <v>66</v>
      </c>
      <c r="AT10" s="78">
        <f>VARP(IF(INDEX(Properties!A$1:CB$87,Formula!B10,12)&lt;&gt;"",INDEX(Properties!A$1:CB$87,Formula!B10,12)),IF(INDEX(Properties!A$1:CB$87,Formula!D10,12)&lt;&gt;"",INDEX(Properties!A$1:CB$87,Formula!D10,12)),IF(INDEX(Properties!A$1:CB$87,Formula!F10,12)&lt;&gt;"",INDEX(Properties!A$1:CB$87,Formula!F10,12)),IF(INDEX(Properties!A$1:CB$87,Formula!H10,12)&lt;&gt;"",INDEX(Properties!A$1:CB$87,Formula!H10,12)),IF(INDEX(Properties!A$1:CB$87,Formula!J10,12)&lt;&gt;"",INDEX(Properties!A$1:CB$87,Formula!J10,12)))</f>
        <v>2.2400000000000002</v>
      </c>
      <c r="AU10" s="78">
        <f>MAX(INDEX(Properties!A$1:CB$87,Formula!B10,12),INDEX(Properties!A$1:CB$87,Formula!D10,12),INDEX(Properties!A$1:CB$87,Formula!F10,12),INDEX(Properties!A$1:CB$87,Formula!H10,12),INDEX(Properties!A$1:CB$87,Formula!J10,12))</f>
        <v>4</v>
      </c>
      <c r="AV10" s="78">
        <f>MIN(IF(Formula!B10=87,10^6,INDEX(Properties!A$1:CB$87,Formula!B10,12)),IF((Formula!D10)=87,10^6,INDEX(Properties!A$1:CB$87,Formula!D10,12)),IF((Formula!F10)=87,10^6,INDEX(Properties!A$1:CB$87,Formula!F10,12)),IF((Formula!H10)=87,10^6,INDEX(Properties!A$1:CB$87,Formula!H10,12)),IF(Formula!J10=87,10^6,INDEX(Properties!A$1:CB$87,Formula!J10,12)))</f>
        <v>0</v>
      </c>
      <c r="AW10" s="78">
        <f t="shared" si="7"/>
        <v>4</v>
      </c>
      <c r="AX10" s="45">
        <f>((Formula!C10)/(Formula!C10+Formula!E10+Formula!G10+Formula!I10+Formula!K10))*(INDEX(Properties!A$1:CB$87,Formula!B10,13))+((Formula!E10)/(Formula!C10+Formula!E10+Formula!G10+Formula!I10+Formula!K10))*(INDEX(Properties!A$1:CB$87,Formula!D10,13))+((Formula!G10)/(Formula!C10+Formula!E10+Formula!G10+Formula!I10+Formula!K10))*(INDEX(Properties!A$1:CB$87,Formula!F10,13))+((Formula!I10)/(Formula!C10+Formula!E10+Formula!G10+Formula!I10+Formula!K10))*(INDEX(Properties!A$1:CB$87,Formula!H10,13))+((Formula!K10)/(Formula!C10+Formula!E10+Formula!G10+Formula!I10+Formula!K10))*(INDEX(Properties!A$1:CB$87,Formula!J10,13))</f>
        <v>2.6086956521739131</v>
      </c>
      <c r="AY10" s="45">
        <f>Formula!C10*(INDEX(Properties!A$1:CB$87,Formula!B10,13))+Formula!E10*(INDEX(Properties!A$1:CB$87,Formula!D10,13))+Formula!G10*(INDEX(Properties!A$1:CB$87,Formula!F10,13))+Formula!I10*(INDEX(Properties!A$1:CB$87,Formula!H10,13))+Formula!K10*(INDEX(Properties!A$1:CB$87,Formula!J10,13))</f>
        <v>60</v>
      </c>
      <c r="AZ10" s="45">
        <f>VARP(IF(INDEX(Properties!A$1:CB$87,Formula!B10,13)&lt;&gt;"",INDEX(Properties!A$1:CB$87,Formula!B10,13)),IF(INDEX(Properties!A$1:CB$87,Formula!D10,13)&lt;&gt;"",INDEX(Properties!A$1:CB$87,Formula!D10,13)),IF(INDEX(Properties!A$1:CB$87,Formula!F10,13)&lt;&gt;"",INDEX(Properties!A$1:CB$87,Formula!F10,13)),IF(INDEX(Properties!A$1:CB$87,Formula!H10,13)&lt;&gt;"",INDEX(Properties!A$1:CB$87,Formula!H10,13)),IF(INDEX(Properties!A$1:CB$87,Formula!J10,13)&lt;&gt;"",INDEX(Properties!A$1:CB$87,Formula!J10,13)))</f>
        <v>24</v>
      </c>
      <c r="BA10" s="45">
        <f>MAX(INDEX(Properties!A$1:CB$87,Formula!B10,13),INDEX(Properties!A$1:CB$87,Formula!D10,13),INDEX(Properties!A$1:CB$87,Formula!F10,13),INDEX(Properties!A$1:CB$87,Formula!H10,13),INDEX(Properties!A$1:CB$87,Formula!J10,13))</f>
        <v>10</v>
      </c>
      <c r="BB10" s="45">
        <f>MIN(IF(Formula!B10=87,10^6,INDEX(Properties!A$1:CB$87,Formula!B10,13)),IF((Formula!D10)=87,10^6,INDEX(Properties!A$1:CB$87,Formula!D10,13)),IF((Formula!F10)=87,10^6,INDEX(Properties!A$1:CB$87,Formula!F10,13)),IF((Formula!H10)=87,10^6,INDEX(Properties!A$1:CB$87,Formula!H10,13)),IF(Formula!J10=87,10^6,INDEX(Properties!A$1:CB$87,Formula!J10,13)))</f>
        <v>0</v>
      </c>
      <c r="BC10" s="45">
        <f t="shared" si="8"/>
        <v>10</v>
      </c>
      <c r="BD10" s="63">
        <f>((Formula!C10)/(Formula!C10+Formula!E10+Formula!G10+Formula!I10+Formula!K10))*(INDEX(Properties!A$1:CB$87,Formula!B10,14))+((Formula!E10)/(Formula!C10+Formula!E10+Formula!G10+Formula!I10+Formula!K10))*(INDEX(Properties!A$1:CB$87,Formula!D10,14))+((Formula!G10)/(Formula!C10+Formula!E10+Formula!G10+Formula!I10+Formula!K10))*(INDEX(Properties!A$1:CB$87,Formula!F10,14))+((Formula!I10)/(Formula!C10+Formula!E10+Formula!G10+Formula!I10+Formula!K10))*(INDEX(Properties!A$1:CB$87,Formula!H10,14))+((Formula!K10)/(Formula!C10+Formula!E10+Formula!G10+Formula!I10+Formula!K10))*(INDEX(Properties!A$1:CB$87,Formula!J10,14))</f>
        <v>0</v>
      </c>
      <c r="BE10" s="63">
        <f>Formula!C10*(INDEX(Properties!A$1:CB$87,Formula!B10,14))+Formula!E10*(INDEX(Properties!A$1:CB$87,Formula!D10,14))+Formula!G10*(INDEX(Properties!A$1:CB$87,Formula!F10,14))+Formula!I10*(INDEX(Properties!A$1:CB$87,Formula!H10,14))+Formula!K10*(INDEX(Properties!A$1:CB$87,Formula!J10,14))</f>
        <v>0</v>
      </c>
      <c r="BF10" s="63">
        <f>VARP(IF(INDEX(Properties!A$1:CB$87,Formula!B10,14)&lt;&gt;"",INDEX(Properties!A$1:CB$87,Formula!B10,14)),IF(INDEX(Properties!A$1:CB$87,Formula!D10,14)&lt;&gt;"",INDEX(Properties!A$1:CB$87,Formula!D10,14)),IF(INDEX(Properties!A$1:CB$87,Formula!F10,14)&lt;&gt;"",INDEX(Properties!A$1:CB$87,Formula!F10,14)),IF(INDEX(Properties!A$1:CB$87,Formula!H10,14)&lt;&gt;"",INDEX(Properties!A$1:CB$87,Formula!H10,14)),IF(INDEX(Properties!A$1:CB$87,Formula!J10,14)&lt;&gt;"",INDEX(Properties!A$1:CB$87,Formula!J10,14)))</f>
        <v>0</v>
      </c>
      <c r="BG10" s="63">
        <f>MAX(INDEX(Properties!A$1:CB$87,Formula!B10,14),INDEX(Properties!A$1:CB$87,Formula!D10,14),INDEX(Properties!A$1:CB$87,Formula!F10,14),INDEX(Properties!A$1:CB$87,Formula!H10,14),INDEX(Properties!A$1:CB$87,Formula!J10,14))</f>
        <v>0</v>
      </c>
      <c r="BH10" s="63">
        <f>MIN(IF(Formula!B10=87,10^6,INDEX(Properties!A$1:CB$87,Formula!B10,14)),IF((Formula!D10)=87,10^6,INDEX(Properties!A$1:CB$87,Formula!D10,14)),IF((Formula!F10)=87,10^6,INDEX(Properties!A$1:CB$87,Formula!F10,14)),IF((Formula!H10)=87,10^6,INDEX(Properties!A$1:CB$87,Formula!H10,14)),IF(Formula!J10=87,10^6,INDEX(Properties!A$1:CB$87,Formula!J10,14)))</f>
        <v>0</v>
      </c>
      <c r="BI10" s="63">
        <f t="shared" si="9"/>
        <v>0</v>
      </c>
      <c r="BJ10" s="75">
        <f>((Formula!C10)/(Formula!C10+Formula!E10+Formula!G10+Formula!I10+Formula!K10))*(INDEX(Properties!A$1:CB$87,Formula!B10,19))+((Formula!E10)/(Formula!C10+Formula!E10+Formula!G10+Formula!I10+Formula!K10))*(INDEX(Properties!A$1:CB$87,Formula!D10,19))+((Formula!G10)/(Formula!C10+Formula!E10+Formula!G10+Formula!I10+Formula!K10))*(INDEX(Properties!A$1:CB$87,Formula!F10,19))+((Formula!I10)/(Formula!C10+Formula!E10+Formula!G10+Formula!I10+Formula!K10))*(INDEX(Properties!A$1:CB$87,Formula!H10,19))+((Formula!K10)/(Formula!C10+Formula!E10+Formula!G10+Formula!I10+Formula!K10))*(INDEX(Properties!A$1:CB$87,Formula!J10,19))</f>
        <v>7.4782608695652177</v>
      </c>
      <c r="BK10" s="75">
        <f>Formula!C10*(INDEX(Properties!A$1:CB$87,Formula!B10,19))+Formula!E10*(INDEX(Properties!A$1:CB$87,Formula!D10,19))+Formula!G10*(INDEX(Properties!A$1:CB$87,Formula!F10,19))+Formula!I10*(INDEX(Properties!A$1:CB$87,Formula!H10,19))+Formula!K10*(INDEX(Properties!A$1:CB$87,Formula!J10,19))</f>
        <v>172</v>
      </c>
      <c r="BL10" s="75">
        <f>VARP(IF(INDEX(Properties!A$1:CB$87,Formula!B10,19)&lt;&gt;"",INDEX(Properties!A$1:CB$87,Formula!B10,19)),IF(INDEX(Properties!A$1:CB$87,Formula!D10,19)&lt;&gt;"",INDEX(Properties!A$1:CB$87,Formula!D10,19)),IF(INDEX(Properties!A$1:CB$87,Formula!F10,19)&lt;&gt;"",INDEX(Properties!A$1:CB$87,Formula!F10,19)),IF(INDEX(Properties!A$1:CB$87,Formula!H10,19)&lt;&gt;"",INDEX(Properties!A$1:CB$87,Formula!H10,19)),IF(INDEX(Properties!A$1:CB$87,Formula!J10,19)&lt;&gt;"",INDEX(Properties!A$1:CB$87,Formula!J10,19)))</f>
        <v>32</v>
      </c>
      <c r="BM10" s="75">
        <f>MAX(INDEX(Properties!A$1:CB$87,Formula!B10,19),INDEX(Properties!A$1:CB$87,Formula!D10,19),INDEX(Properties!A$1:CB$87,Formula!F10,19),INDEX(Properties!A$1:CB$87,Formula!H10,19),INDEX(Properties!A$1:CB$87,Formula!J10,19))</f>
        <v>14</v>
      </c>
      <c r="BN10" s="75">
        <f>MIN(IF(INDEX(Properties!A$1:CB$87,Formula!B10,19)=0,10^6,INDEX(Properties!A$1:CB$87,Formula!B10,19)),IF(INDEX(Properties!A$1:CB$87,Formula!D10,19)=0,10^6,INDEX(Properties!A$1:CB$87,Formula!D10,19)),IF(INDEX(Properties!A$1:CB$87,Formula!F10,19)=0,10^6,INDEX(Properties!A$1:CB$87,Formula!F10,19)),IF(INDEX(Properties!A$1:CB$87,Formula!H10,19)=0,10^6,INDEX(Properties!A$1:CB$87,Formula!H10,19)),IF(INDEX(Properties!A$1:CB$87,Formula!J10,19)=0,10^6,INDEX(Properties!A$1:CB$87,Formula!J10,19)))</f>
        <v>2</v>
      </c>
      <c r="BO10" s="75">
        <f t="shared" si="10"/>
        <v>12</v>
      </c>
      <c r="BP10" s="48">
        <f>((Formula!C10)/(Formula!C10+Formula!E10+Formula!G10+Formula!I10+Formula!K10))*(INDEX(Properties!A$1:CB$87,Formula!B10,20))+((Formula!E10)/(Formula!C10+Formula!E10+Formula!G10+Formula!I10+Formula!K10))*(INDEX(Properties!A$1:CB$87,Formula!D10,20))+((Formula!G10)/(Formula!C10+Formula!E10+Formula!G10+Formula!I10+Formula!K10))*(INDEX(Properties!A$1:CB$87,Formula!F10,20))+((Formula!I10)/(Formula!C10+Formula!E10+Formula!G10+Formula!I10+Formula!K10))*(INDEX(Properties!A$1:CB$87,Formula!H10,20))+((Formula!K10)/(Formula!C10+Formula!E10+Formula!G10+Formula!I10+Formula!K10))*(INDEX(Properties!A$1:CB$87,Formula!J10,20))</f>
        <v>4.8695652173913047</v>
      </c>
      <c r="BQ10" s="48">
        <f>Formula!C10*(INDEX(Properties!A$1:CB$87,Formula!B10,20))+Formula!E10*(INDEX(Properties!A$1:CB$87,Formula!D10,20))+Formula!G10*(INDEX(Properties!A$1:CB$87,Formula!F10,20))+Formula!I10*(INDEX(Properties!A$1:CB$87,Formula!H10,20))+Formula!K10*(INDEX(Properties!A$1:CB$87,Formula!J10,20))</f>
        <v>112</v>
      </c>
      <c r="BR10" s="48">
        <f>VARP(IF(INDEX(Properties!A$1:CB$87,Formula!B10,20)&lt;&gt;"",INDEX(Properties!A$1:CB$87,Formula!B10,20)),IF(INDEX(Properties!A$1:CB$87,Formula!D10,20)&lt;&gt;"",INDEX(Properties!A$1:CB$87,Formula!D10,20)),IF(INDEX(Properties!A$1:CB$87,Formula!F10,20)&lt;&gt;"",INDEX(Properties!A$1:CB$87,Formula!F10,20)),IF(INDEX(Properties!A$1:CB$87,Formula!H10,20)&lt;&gt;"",INDEX(Properties!A$1:CB$87,Formula!H10,20)),IF(INDEX(Properties!A$1:CB$87,Formula!J10,20)&lt;&gt;"",INDEX(Properties!A$1:CB$87,Formula!J10,20)))</f>
        <v>4</v>
      </c>
      <c r="BS10" s="48">
        <f>MAX(INDEX(Properties!A$1:CB$87,Formula!B10,20),INDEX(Properties!A$1:CB$87,Formula!D10,20),INDEX(Properties!A$1:CB$87,Formula!F10,20),INDEX(Properties!A$1:CB$87,Formula!H10,20),INDEX(Properties!A$1:CB$87,Formula!J10,20))</f>
        <v>6</v>
      </c>
      <c r="BT10" s="48">
        <f>MIN(IF(INDEX(Properties!A$1:CB$87,Formula!B10,20)=0,10^6,INDEX(Properties!A$1:CB$87,Formula!B10,20)),IF(INDEX(Properties!A$1:CB$87,Formula!D10,20)=0,10^6,INDEX(Properties!A$1:CB$87,Formula!D10,20)),IF(INDEX(Properties!A$1:CB$87,Formula!F10,20)=0,10^6,INDEX(Properties!A$1:CB$87,Formula!F10,20)),IF(INDEX(Properties!A$1:CB$87,Formula!H10,20)=0,10^6,INDEX(Properties!A$1:CB$87,Formula!H10,20)),IF(INDEX(Properties!A$1:CB$87,Formula!J10,20)=0,10^6,INDEX(Properties!A$1:CB$87,Formula!J10,20)))</f>
        <v>2</v>
      </c>
      <c r="BU10" s="48">
        <f t="shared" si="11"/>
        <v>4</v>
      </c>
      <c r="BV10" s="66">
        <f>((Formula!C10)/(Formula!C10+Formula!E10+Formula!G10+Formula!I10+Formula!K10))*(INDEX(Properties!A$1:CB$87,Formula!B10,21))+((Formula!E10)/(Formula!C10+Formula!E10+Formula!G10+Formula!I10+Formula!K10))*(INDEX(Properties!A$1:CB$87,Formula!D10,21))+((Formula!G10)/(Formula!C10+Formula!E10+Formula!G10+Formula!I10+Formula!K10))*(INDEX(Properties!A$1:CB$87,Formula!F10,21))+((Formula!I10)/(Formula!C10+Formula!E10+Formula!G10+Formula!I10+Formula!K10))*(INDEX(Properties!A$1:CB$87,Formula!H10,21))+((Formula!K10)/(Formula!C10+Formula!E10+Formula!G10+Formula!I10+Formula!K10))*(INDEX(Properties!A$1:CB$87,Formula!J10,21))</f>
        <v>4.8695652173913047</v>
      </c>
      <c r="BW10" s="66">
        <f>Formula!C10*(INDEX(Properties!A$1:CB$87,Formula!B10,21))+Formula!E10*(INDEX(Properties!A$1:CB$87,Formula!D10,21))+Formula!G10*(INDEX(Properties!A$1:CB$87,Formula!F10,21))+Formula!I10*(INDEX(Properties!A$1:CB$87,Formula!H10,21))+Formula!K10*(INDEX(Properties!A$1:CB$87,Formula!J10,21))</f>
        <v>112</v>
      </c>
      <c r="BX10" s="66">
        <f>VARP(IF(INDEX(Properties!A$1:CB$87,Formula!B10,21)&lt;&gt;"",INDEX(Properties!A$1:CB$87,Formula!B10,21)),IF(INDEX(Properties!A$1:CB$87,Formula!D10,21)&lt;&gt;"",INDEX(Properties!A$1:CB$87,Formula!D10,21)),IF(INDEX(Properties!A$1:CB$87,Formula!F10,21)&lt;&gt;"",INDEX(Properties!A$1:CB$87,Formula!F10,21)),IF(INDEX(Properties!A$1:CB$87,Formula!H10,21)&lt;&gt;"",INDEX(Properties!A$1:CB$87,Formula!H10,21)),IF(INDEX(Properties!A$1:CB$87,Formula!J10,21)&lt;&gt;"",INDEX(Properties!A$1:CB$87,Formula!J10,21)))</f>
        <v>4</v>
      </c>
      <c r="BY10" s="66">
        <f>MAX(INDEX(Properties!A$1:CB$87,Formula!B10,21),INDEX(Properties!A$1:CB$87,Formula!D10,21),INDEX(Properties!A$1:CB$87,Formula!F10,21),INDEX(Properties!A$1:CB$87,Formula!H10,21),INDEX(Properties!A$1:CB$87,Formula!J10,21))</f>
        <v>6</v>
      </c>
      <c r="BZ10" s="66">
        <f>MIN(IF(INDEX(Properties!A$1:CB$87,Formula!B10,21)=0,10^6,INDEX(Properties!A$1:CB$87,Formula!B10,21)),IF(INDEX(Properties!A$1:CB$87,Formula!D10,21)=0,10^6,INDEX(Properties!A$1:CB$87,Formula!D10,21)),IF(INDEX(Properties!A$1:CB$87,Formula!F10,21)=0,10^6,INDEX(Properties!A$1:CB$87,Formula!F10,21)),IF(INDEX(Properties!A$1:CB$87,Formula!H10,21)=0,10^6,INDEX(Properties!A$1:CB$87,Formula!H10,21)),IF(INDEX(Properties!A$1:CB$87,Formula!J10,21)=0,10^6,INDEX(Properties!A$1:CB$87,Formula!J10,21)))</f>
        <v>2</v>
      </c>
      <c r="CA10" s="66">
        <f t="shared" si="12"/>
        <v>4</v>
      </c>
      <c r="CB10" s="81">
        <f>((Formula!C10)/(Formula!C10+Formula!E10+Formula!G10+Formula!I10+Formula!K10))*(INDEX(Properties!A$1:CB$87,Formula!B10,23))+((Formula!E10)/(Formula!C10+Formula!E10+Formula!G10+Formula!I10+Formula!K10))*(INDEX(Properties!A$1:CB$87,Formula!D10,23))+((Formula!G10)/(Formula!C10+Formula!E10+Formula!G10+Formula!I10+Formula!K10))*(INDEX(Properties!A$1:CB$87,Formula!F10,23))+((Formula!I10)/(Formula!C10+Formula!E10+Formula!G10+Formula!I10+Formula!K10))*(INDEX(Properties!A$1:CB$87,Formula!H10,23))+((Formula!K10)/(Formula!C10+Formula!E10+Formula!G10+Formula!I10+Formula!K10))*(INDEX(Properties!A$1:CB$87,Formula!J10,23))</f>
        <v>1.2556521739130435</v>
      </c>
      <c r="CC10" s="81">
        <f>Formula!C10*(INDEX(Properties!A$1:CB$87,Formula!B10,23))+Formula!E10*(INDEX(Properties!A$1:CB$87,Formula!D10,23))+Formula!G10*(INDEX(Properties!A$1:CB$87,Formula!F10,23))+Formula!I10*(INDEX(Properties!A$1:CB$87,Formula!H10,23))+Formula!K10*(INDEX(Properties!A$1:CB$87,Formula!J10,23))</f>
        <v>28.88</v>
      </c>
      <c r="CD10" s="81">
        <f>VARP(IF(INDEX(Properties!A$1:CB$87,Formula!B10,23)&lt;&gt;"",INDEX(Properties!A$1:CB$87,Formula!B10,23)),IF(INDEX(Properties!A$1:CB$87,Formula!D10,23)&lt;&gt;"",INDEX(Properties!A$1:CB$87,Formula!D10,23)),IF(INDEX(Properties!A$1:CB$87,Formula!F10,23)&lt;&gt;"",INDEX(Properties!A$1:CB$87,Formula!F10,23)),IF(INDEX(Properties!A$1:CB$87,Formula!H10,23)&lt;&gt;"",INDEX(Properties!A$1:CB$87,Formula!H10,23)),IF(INDEX(Properties!A$1:CB$87,Formula!J10,23)&lt;&gt;"",INDEX(Properties!A$1:CB$87,Formula!J10,23)))</f>
        <v>2.8021759999999993</v>
      </c>
      <c r="CE10" s="81">
        <f>MAX(INDEX(Properties!A$1:CB$87,Formula!B10,23),INDEX(Properties!A$1:CB$87,Formula!D10,23),INDEX(Properties!A$1:CB$87,Formula!F10,23),INDEX(Properties!A$1:CB$87,Formula!H10,23),INDEX(Properties!A$1:CB$87,Formula!J10,23))</f>
        <v>4</v>
      </c>
      <c r="CF10" s="81">
        <f>MIN(IF(Formula!B10=87,10^6,INDEX(Properties!A$1:CB$87,Formula!B10,23)),IF((Formula!D10)=87,10^6,INDEX(Properties!A$1:CB$87,Formula!D10,23)),IF((Formula!F10)=87,10^6,INDEX(Properties!A$1:CB$87,Formula!F10,23)),IF((Formula!H10)=87,10^6,INDEX(Properties!A$1:CB$87,Formula!H10,23)),IF(Formula!J10=87,10^6,INDEX(Properties!A$1:CB$87,Formula!J10,23)))</f>
        <v>0</v>
      </c>
      <c r="CG10" s="81">
        <f t="shared" si="13"/>
        <v>4</v>
      </c>
      <c r="CH10" s="39">
        <f>((Formula!C10)/(Formula!C10+Formula!E10+Formula!G10+Formula!I10+Formula!K10))*(INDEX(Properties!A$1:CB$87,Formula!B10,26))+((Formula!E10)/(Formula!C10+Formula!E10+Formula!G10+Formula!I10+Formula!K10))*(INDEX(Properties!A$1:CB$87,Formula!D10,26))+((Formula!G10)/(Formula!C10+Formula!E10+Formula!G10+Formula!I10+Formula!K10))*(INDEX(Properties!A$1:CB$87,Formula!F10,26))+((Formula!I10)/(Formula!C10+Formula!E10+Formula!G10+Formula!I10+Formula!K10))*(INDEX(Properties!A$1:CB$87,Formula!H10,26))+((Formula!K10)/(Formula!C10+Formula!E10+Formula!G10+Formula!I10+Formula!K10))*(INDEX(Properties!A$1:CB$87,Formula!J10,26))</f>
        <v>10.927578260869566</v>
      </c>
      <c r="CI10" s="39">
        <f>Formula!C10*(INDEX(Properties!A$1:CB$87,Formula!B10,26))+Formula!E10*(INDEX(Properties!A$1:CB$87,Formula!D10,26))+Formula!G10*(INDEX(Properties!A$1:CB$87,Formula!F10,26))+Formula!I10*(INDEX(Properties!A$1:CB$87,Formula!H10,26))+Formula!K10*(INDEX(Properties!A$1:CB$87,Formula!J10,26))</f>
        <v>251.33429999999998</v>
      </c>
      <c r="CJ10" s="39">
        <f>VARP(IF(INDEX(Properties!A$1:CB$87,Formula!B10,26)&lt;&gt;"",INDEX(Properties!A$1:CB$87,Formula!B10,26)),IF(INDEX(Properties!A$1:CB$87,Formula!D10,26)&lt;&gt;"",INDEX(Properties!A$1:CB$87,Formula!D10,26)),IF(INDEX(Properties!A$1:CB$87,Formula!F10,26)&lt;&gt;"",INDEX(Properties!A$1:CB$87,Formula!F10,26)),IF(INDEX(Properties!A$1:CB$87,Formula!H10,26)&lt;&gt;"",INDEX(Properties!A$1:CB$87,Formula!H10,26)),IF(INDEX(Properties!A$1:CB$87,Formula!J10,26)&lt;&gt;"",INDEX(Properties!A$1:CB$87,Formula!J10,26)))</f>
        <v>19.134650218400012</v>
      </c>
      <c r="CK10" s="39">
        <f>MAX(INDEX(Properties!A$1:CB$87,Formula!B10,26),INDEX(Properties!A$1:CB$87,Formula!D10,26),INDEX(Properties!A$1:CB$87,Formula!F10,26),INDEX(Properties!A$1:CB$87,Formula!H10,26),INDEX(Properties!A$1:CB$87,Formula!J10,26))</f>
        <v>13.6181</v>
      </c>
      <c r="CL10" s="39">
        <f>MIN(IF(INDEX(Properties!A$1:CB$87,Formula!B10,26)=0,10^6,INDEX(Properties!A$1:CB$87,Formula!B10,26)),IF(INDEX(Properties!A$1:CB$87,Formula!D10,26)=0,10^6,INDEX(Properties!A$1:CB$87,Formula!D10,26)),IF(INDEX(Properties!A$1:CB$87,Formula!F10,26)=0,10^6,INDEX(Properties!A$1:CB$87,Formula!F10,26)),IF(INDEX(Properties!A$1:CB$87,Formula!H10,26)=0,10^6,INDEX(Properties!A$1:CB$87,Formula!H10,26)),IF(INDEX(Properties!A$1:CB$87,Formula!J10,26)=0,10^6,INDEX(Properties!A$1:CB$87,Formula!J10,26)))</f>
        <v>5.6948999999999996</v>
      </c>
      <c r="CM10" s="39">
        <f t="shared" si="14"/>
        <v>7.9232000000000005</v>
      </c>
      <c r="CN10" s="54">
        <f>((Formula!C10)/(Formula!C10+Formula!E10+Formula!G10+Formula!I10+Formula!K10))*(INDEX(Properties!A$1:CB$87,Formula!B10,30))+((Formula!E10)/(Formula!C10+Formula!E10+Formula!G10+Formula!I10+Formula!K10))*(INDEX(Properties!A$1:CB$87,Formula!D10,30))+((Formula!G10)/(Formula!C10+Formula!E10+Formula!G10+Formula!I10+Formula!K10))*(INDEX(Properties!A$1:CB$87,Formula!F10,30))+((Formula!I10)/(Formula!C10+Formula!E10+Formula!G10+Formula!I10+Formula!K10))*(INDEX(Properties!A$1:CB$87,Formula!H10,30))+((Formula!K10)/(Formula!C10+Formula!E10+Formula!G10+Formula!I10+Formula!K10))*(INDEX(Properties!A$1:CB$87,Formula!J10,30))</f>
        <v>2.7247826086956524</v>
      </c>
      <c r="CO10" s="54">
        <f>Formula!C10*(INDEX(Properties!A$1:CB$87,Formula!B10,30))+Formula!E10*(INDEX(Properties!A$1:CB$87,Formula!D10,30))+Formula!G10*(INDEX(Properties!A$1:CB$87,Formula!F10,30))+Formula!I10*(INDEX(Properties!A$1:CB$87,Formula!H10,30))+Formula!K10*(INDEX(Properties!A$1:CB$87,Formula!J10,30))</f>
        <v>62.669999999999995</v>
      </c>
      <c r="CP10" s="54">
        <f>VARP(IF(INDEX(Properties!A$1:CB$87,Formula!B10,30)&lt;&gt;"",INDEX(Properties!A$1:CB$87,Formula!B10,30)),IF(INDEX(Properties!A$1:CB$87,Formula!D10,30)&lt;&gt;"",INDEX(Properties!A$1:CB$87,Formula!D10,30)),IF(INDEX(Properties!A$1:CB$87,Formula!F10,30)&lt;&gt;"",INDEX(Properties!A$1:CB$87,Formula!F10,30)),IF(INDEX(Properties!A$1:CB$87,Formula!H10,30)&lt;&gt;"",INDEX(Properties!A$1:CB$87,Formula!H10,30)),IF(INDEX(Properties!A$1:CB$87,Formula!J10,30)&lt;&gt;"",INDEX(Properties!A$1:CB$87,Formula!J10,30)))</f>
        <v>1.3142959999999999</v>
      </c>
      <c r="CQ10" s="54">
        <f>MAX(INDEX(Properties!A$1:CB$87,Formula!B10,30),INDEX(Properties!A$1:CB$87,Formula!D10,30),INDEX(Properties!A$1:CB$87,Formula!F10,30),INDEX(Properties!A$1:CB$87,Formula!H10,30),INDEX(Properties!A$1:CB$87,Formula!J10,30))</f>
        <v>3.44</v>
      </c>
      <c r="CR10" s="54">
        <f>MIN(IF(INDEX(Properties!A$1:CB$87,Formula!B10,30)=0,10^6,INDEX(Properties!A$1:CB$87,Formula!B10,30)),IF(INDEX(Properties!A$1:CB$87,Formula!D10,30)=0,10^6,INDEX(Properties!A$1:CB$87,Formula!D10,30)),IF(INDEX(Properties!A$1:CB$87,Formula!F10,30)=0,10^6,INDEX(Properties!A$1:CB$87,Formula!F10,30)),IF(INDEX(Properties!A$1:CB$87,Formula!H10,30)=0,10^6,INDEX(Properties!A$1:CB$87,Formula!H10,30)),IF(INDEX(Properties!A$1:CB$87,Formula!J10,30)=0,10^6,INDEX(Properties!A$1:CB$87,Formula!J10,30)))</f>
        <v>0.95</v>
      </c>
      <c r="CS10" s="54">
        <f t="shared" si="15"/>
        <v>2.4900000000000002</v>
      </c>
      <c r="CT10" s="69">
        <f>((Formula!C10)/(Formula!C10+Formula!E10+Formula!G10+Formula!I10+Formula!K10))*(INDEX(Properties!A$1:CB$87,Formula!B10,31))+((Formula!E10)/(Formula!C10+Formula!E10+Formula!G10+Formula!I10+Formula!K10))*(INDEX(Properties!A$1:CB$87,Formula!D10,31))+((Formula!G10)/(Formula!C10+Formula!E10+Formula!G10+Formula!I10+Formula!K10))*(INDEX(Properties!A$1:CB$87,Formula!F10,31))+((Formula!I10)/(Formula!C10+Formula!E10+Formula!G10+Formula!I10+Formula!K10))*(INDEX(Properties!A$1:CB$87,Formula!H10,31))+((Formula!K10)/(Formula!C10+Formula!E10+Formula!G10+Formula!I10+Formula!K10))*(INDEX(Properties!A$1:CB$87,Formula!J10,31))</f>
        <v>2.6621739130434783</v>
      </c>
      <c r="CU10" s="69">
        <f>Formula!C10*(INDEX(Properties!A$1:CB$87,Formula!B10,31))+Formula!E10*(INDEX(Properties!A$1:CB$87,Formula!D10,31))+Formula!G10*(INDEX(Properties!A$1:CB$87,Formula!F10,31))+Formula!I10*(INDEX(Properties!A$1:CB$87,Formula!H10,31))+Formula!K10*(INDEX(Properties!A$1:CB$87,Formula!J10,31))</f>
        <v>61.23</v>
      </c>
      <c r="CV10" s="69">
        <f>VARP(IF(INDEX(Properties!A$1:CB$87,Formula!B10,31)&lt;&gt;"",INDEX(Properties!A$1:CB$87,Formula!B10,31)),IF(INDEX(Properties!A$1:CB$87,Formula!D10,31)&lt;&gt;"",INDEX(Properties!A$1:CB$87,Formula!D10,31)),IF(INDEX(Properties!A$1:CB$87,Formula!F10,31)&lt;&gt;"",INDEX(Properties!A$1:CB$87,Formula!F10,31)),IF(INDEX(Properties!A$1:CB$87,Formula!H10,31)&lt;&gt;"",INDEX(Properties!A$1:CB$87,Formula!H10,31)),IF(INDEX(Properties!A$1:CB$87,Formula!J10,31)&lt;&gt;"",INDEX(Properties!A$1:CB$87,Formula!J10,31)))</f>
        <v>1.1794959999999997</v>
      </c>
      <c r="CW10" s="69">
        <f>MAX(INDEX(Properties!A$1:CB$87,Formula!B10,31),INDEX(Properties!A$1:CB$87,Formula!D10,31),INDEX(Properties!A$1:CB$87,Formula!F10,31),INDEX(Properties!A$1:CB$87,Formula!H10,31),INDEX(Properties!A$1:CB$87,Formula!J10,31))</f>
        <v>3.32</v>
      </c>
      <c r="CX10" s="69">
        <f>MIN(IF(INDEX(Properties!A$1:CB$87,Formula!B10,31)=0,10^6,INDEX(Properties!A$1:CB$87,Formula!B10,31)),IF(INDEX(Properties!A$1:CB$87,Formula!D10,31)=0,10^6,INDEX(Properties!A$1:CB$87,Formula!D10,31)),IF(INDEX(Properties!A$1:CB$87,Formula!F10,31)=0,10^6,INDEX(Properties!A$1:CB$87,Formula!F10,31)),IF(INDEX(Properties!A$1:CB$87,Formula!H10,31)=0,10^6,INDEX(Properties!A$1:CB$87,Formula!H10,31)),IF(INDEX(Properties!A$1:CB$87,Formula!J10,31)=0,10^6,INDEX(Properties!A$1:CB$87,Formula!J10,31)))</f>
        <v>1.1299999999999999</v>
      </c>
      <c r="CY10" s="69">
        <f t="shared" si="16"/>
        <v>2.19</v>
      </c>
      <c r="CZ10" s="42">
        <f>((Formula!C10)/(Formula!C10+Formula!E10+Formula!G10+Formula!I10+Formula!K10))*(INDEX(Properties!A$1:CB$87,Formula!B10,32))+((Formula!E10)/(Formula!C10+Formula!E10+Formula!G10+Formula!I10+Formula!K10))*(INDEX(Properties!A$1:CB$87,Formula!D10,32))+((Formula!G10)/(Formula!C10+Formula!E10+Formula!G10+Formula!I10+Formula!K10))*(INDEX(Properties!A$1:CB$87,Formula!F10,32))+((Formula!I10)/(Formula!C10+Formula!E10+Formula!G10+Formula!I10+Formula!K10))*(INDEX(Properties!A$1:CB$87,Formula!H10,32))+((Formula!K10)/(Formula!C10+Formula!E10+Formula!G10+Formula!I10+Formula!K10))*(INDEX(Properties!A$1:CB$87,Formula!J10,32))</f>
        <v>5.9286956521739125</v>
      </c>
      <c r="DA10" s="42">
        <f>Formula!C10*(INDEX(Properties!A$1:CB$87,Formula!B10,32))+Formula!E10*(INDEX(Properties!A$1:CB$87,Formula!D10,32))+Formula!G10*(INDEX(Properties!A$1:CB$87,Formula!F10,32))+Formula!I10*(INDEX(Properties!A$1:CB$87,Formula!H10,32))+Formula!K10*(INDEX(Properties!A$1:CB$87,Formula!J10,32))</f>
        <v>136.36000000000001</v>
      </c>
      <c r="DB10" s="42">
        <f>VARP(IF(INDEX(Properties!A$1:CB$87,Formula!B10,32)&lt;&gt;"",INDEX(Properties!A$1:CB$87,Formula!B10,32)),IF(INDEX(Properties!A$1:CB$87,Formula!D10,32)&lt;&gt;"",INDEX(Properties!A$1:CB$87,Formula!D10,32)),IF(INDEX(Properties!A$1:CB$87,Formula!F10,32)&lt;&gt;"",INDEX(Properties!A$1:CB$87,Formula!F10,32)),IF(INDEX(Properties!A$1:CB$87,Formula!H10,32)&lt;&gt;"",INDEX(Properties!A$1:CB$87,Formula!H10,32)),IF(INDEX(Properties!A$1:CB$87,Formula!J10,32)&lt;&gt;"",INDEX(Properties!A$1:CB$87,Formula!J10,32)))</f>
        <v>6.4232960000000006</v>
      </c>
      <c r="DC10" s="42">
        <f>MAX(INDEX(Properties!A$1:CB$87,Formula!B10,32),INDEX(Properties!A$1:CB$87,Formula!D10,32),INDEX(Properties!A$1:CB$87,Formula!F10,32),INDEX(Properties!A$1:CB$87,Formula!H10,32),INDEX(Properties!A$1:CB$87,Formula!J10,32))</f>
        <v>7.54</v>
      </c>
      <c r="DD10" s="42">
        <f>MIN(IF(INDEX(Properties!A$1:CB$87,Formula!B10,32)=0,10^6,INDEX(Properties!A$1:CB$87,Formula!B10,32)),IF(INDEX(Properties!A$1:CB$87,Formula!D10,32)=0,10^6,INDEX(Properties!A$1:CB$87,Formula!D10,32)),IF(INDEX(Properties!A$1:CB$87,Formula!F10,32)=0,10^6,INDEX(Properties!A$1:CB$87,Formula!F10,32)),IF(INDEX(Properties!A$1:CB$87,Formula!H10,32)=0,10^6,INDEX(Properties!A$1:CB$87,Formula!H10,32)),IF(INDEX(Properties!A$1:CB$87,Formula!J10,32)=0,10^6,INDEX(Properties!A$1:CB$87,Formula!J10,32)))</f>
        <v>2</v>
      </c>
      <c r="DE10" s="42">
        <f t="shared" si="17"/>
        <v>5.54</v>
      </c>
      <c r="DF10" s="60">
        <f>((Formula!C10)/(Formula!C10+Formula!E10+Formula!G10+Formula!I10+Formula!K10))*(INDEX(Properties!A$1:CB$87,Formula!B10,34))+((Formula!E10)/(Formula!C10+Formula!E10+Formula!G10+Formula!I10+Formula!K10))*(INDEX(Properties!A$1:CB$87,Formula!D10,34))+((Formula!G10)/(Formula!C10+Formula!E10+Formula!G10+Formula!I10+Formula!K10))*(INDEX(Properties!A$1:CB$87,Formula!F10,34))+((Formula!I10)/(Formula!C10+Formula!E10+Formula!G10+Formula!I10+Formula!K10))*(INDEX(Properties!A$1:CB$87,Formula!H10,34))+((Formula!K10)/(Formula!C10+Formula!E10+Formula!G10+Formula!I10+Formula!K10))*(INDEX(Properties!A$1:CB$87,Formula!J10,34))</f>
        <v>2.8224782608695653</v>
      </c>
      <c r="DG10" s="60">
        <f>Formula!C10*(INDEX(Properties!A$1:CB$87,Formula!B10,34))+Formula!E10*(INDEX(Properties!A$1:CB$87,Formula!D10,34))+Formula!G10*(INDEX(Properties!A$1:CB$87,Formula!F10,34))+Formula!I10*(INDEX(Properties!A$1:CB$87,Formula!H10,34))+Formula!K10*(INDEX(Properties!A$1:CB$87,Formula!J10,34))</f>
        <v>64.917000000000002</v>
      </c>
      <c r="DH10" s="60">
        <f>VARP(IF(INDEX(Properties!A$1:CB$87,Formula!B10,34)&lt;&gt;"",INDEX(Properties!A$1:CB$87,Formula!B10,34)),IF(INDEX(Properties!A$1:CB$87,Formula!D10,34)&lt;&gt;"",INDEX(Properties!A$1:CB$87,Formula!D10,34)),IF(INDEX(Properties!A$1:CB$87,Formula!F10,34)&lt;&gt;"",INDEX(Properties!A$1:CB$87,Formula!F10,34)),IF(INDEX(Properties!A$1:CB$87,Formula!H10,34)&lt;&gt;"",INDEX(Properties!A$1:CB$87,Formula!H10,34)),IF(INDEX(Properties!A$1:CB$87,Formula!J10,34)&lt;&gt;"",INDEX(Properties!A$1:CB$87,Formula!J10,34)))</f>
        <v>1.4329150399999997</v>
      </c>
      <c r="DI10" s="60">
        <f>MAX(INDEX(Properties!A$1:CB$87,Formula!B10,34),INDEX(Properties!A$1:CB$87,Formula!D10,34),INDEX(Properties!A$1:CB$87,Formula!F10,34),INDEX(Properties!A$1:CB$87,Formula!H10,34),INDEX(Properties!A$1:CB$87,Formula!J10,34))</f>
        <v>3.61</v>
      </c>
      <c r="DJ10" s="60">
        <f>MIN(IF(INDEX(Properties!A$1:CB$87,Formula!B10,34)=0,10^6,INDEX(Properties!A$1:CB$87,Formula!B10,34)),IF(INDEX(Properties!A$1:CB$87,Formula!D10,34)=0,10^6,INDEX(Properties!A$1:CB$87,Formula!D10,34)),IF(INDEX(Properties!A$1:CB$87,Formula!F10,34)=0,10^6,INDEX(Properties!A$1:CB$87,Formula!F10,34)),IF(INDEX(Properties!A$1:CB$87,Formula!H10,34)=0,10^6,INDEX(Properties!A$1:CB$87,Formula!H10,34)),IF(INDEX(Properties!A$1:CB$87,Formula!J10,34)=0,10^6,INDEX(Properties!A$1:CB$87,Formula!J10,34)))</f>
        <v>0.96299999999999997</v>
      </c>
      <c r="DK10" s="60">
        <f t="shared" si="18"/>
        <v>2.6469999999999998</v>
      </c>
      <c r="DL10" s="45">
        <f>((Formula!C10)/(Formula!C10+Formula!E10+Formula!G10+Formula!I10+Formula!K10))*(INDEX(Properties!A$1:CB$87,Formula!B10,39))+((Formula!E10)/(Formula!C10+Formula!E10+Formula!G10+Formula!I10+Formula!K10))*(INDEX(Properties!A$1:CB$87,Formula!D10,39))+((Formula!G10)/(Formula!C10+Formula!E10+Formula!G10+Formula!I10+Formula!K10))*(INDEX(Properties!A$1:CB$87,Formula!F10,39))+((Formula!I10)/(Formula!C10+Formula!E10+Formula!G10+Formula!I10+Formula!K10))*(INDEX(Properties!A$1:CB$87,Formula!H10,39))+((Formula!K10)/(Formula!C10+Formula!E10+Formula!G10+Formula!I10+Formula!K10))*(INDEX(Properties!A$1:CB$87,Formula!J10,39))</f>
        <v>0.91347826086956518</v>
      </c>
      <c r="DM10" s="45">
        <f>Formula!C10*(INDEX(Properties!A$1:CB$87,Formula!B10,39))+Formula!E10*(INDEX(Properties!A$1:CB$87,Formula!D10,39))+Formula!G10*(INDEX(Properties!A$1:CB$87,Formula!F10,39))+Formula!I10*(INDEX(Properties!A$1:CB$87,Formula!H10,39))+Formula!K10*(INDEX(Properties!A$1:CB$87,Formula!J10,39))</f>
        <v>21.01</v>
      </c>
      <c r="DN10" s="45">
        <f>VARP(IF(INDEX(Properties!A$1:CB$87,Formula!B10,39)&lt;&gt;"",INDEX(Properties!A$1:CB$87,Formula!B10,39)),IF(INDEX(Properties!A$1:CB$87,Formula!D10,39)&lt;&gt;"",INDEX(Properties!A$1:CB$87,Formula!D10,39)),IF(INDEX(Properties!A$1:CB$87,Formula!F10,39)&lt;&gt;"",INDEX(Properties!A$1:CB$87,Formula!F10,39)),IF(INDEX(Properties!A$1:CB$87,Formula!H10,39)&lt;&gt;"",INDEX(Properties!A$1:CB$87,Formula!H10,39)),IF(INDEX(Properties!A$1:CB$87,Formula!J10,39)&lt;&gt;"",INDEX(Properties!A$1:CB$87,Formula!J10,39)))</f>
        <v>0.57258400000000054</v>
      </c>
      <c r="DO10" s="45">
        <f>MAX(INDEX(Properties!A$1:CB$87,Formula!B10,39),INDEX(Properties!A$1:CB$87,Formula!D10,39),INDEX(Properties!A$1:CB$87,Formula!F10,39),INDEX(Properties!A$1:CB$87,Formula!H10,39),INDEX(Properties!A$1:CB$87,Formula!J10,39))</f>
        <v>2.19</v>
      </c>
      <c r="DP10" s="45">
        <f>MIN(IF(INDEX(Properties!A$1:CB$87,Formula!B10,39)=0,10^6,INDEX(Properties!A$1:CB$87,Formula!B10,39)),IF(INDEX(Properties!A$1:CB$87,Formula!D10,39)=0,10^6,INDEX(Properties!A$1:CB$87,Formula!D10,39)),IF(INDEX(Properties!A$1:CB$87,Formula!F10,39)=0,10^6,INDEX(Properties!A$1:CB$87,Formula!F10,39)),IF(INDEX(Properties!A$1:CB$87,Formula!H10,39)=0,10^6,INDEX(Properties!A$1:CB$87,Formula!H10,39)),IF(INDEX(Properties!A$1:CB$87,Formula!J10,39)=0,10^6,INDEX(Properties!A$1:CB$87,Formula!J10,39)))</f>
        <v>0.48</v>
      </c>
      <c r="DQ10" s="45">
        <f t="shared" si="19"/>
        <v>1.71</v>
      </c>
      <c r="DR10" s="63">
        <f>((Formula!C10)/(Formula!C10+Formula!E10+Formula!G10+Formula!I10+Formula!K10))*(INDEX(Properties!A$1:CB$87,Formula!B10,40))+((Formula!E10)/(Formula!C10+Formula!E10+Formula!G10+Formula!I10+Formula!K10))*(INDEX(Properties!A$1:CB$87,Formula!D10,40))+((Formula!G10)/(Formula!C10+Formula!E10+Formula!G10+Formula!I10+Formula!K10))*(INDEX(Properties!A$1:CB$87,Formula!F10,40))+((Formula!I10)/(Formula!C10+Formula!E10+Formula!G10+Formula!I10+Formula!K10))*(INDEX(Properties!A$1:CB$87,Formula!H10,40))+((Formula!K10)/(Formula!C10+Formula!E10+Formula!G10+Formula!I10+Formula!K10))*(INDEX(Properties!A$1:CB$87,Formula!J10,40))</f>
        <v>1.0165217391304346</v>
      </c>
      <c r="DS10" s="63">
        <f>Formula!C10*(INDEX(Properties!A$1:CB$87,Formula!B10,40))+Formula!E10*(INDEX(Properties!A$1:CB$87,Formula!D10,40))+Formula!G10*(INDEX(Properties!A$1:CB$87,Formula!F10,40))+Formula!I10*(INDEX(Properties!A$1:CB$87,Formula!H10,40))+Formula!K10*(INDEX(Properties!A$1:CB$87,Formula!J10,40))</f>
        <v>23.38</v>
      </c>
      <c r="DT10" s="63">
        <f>VARP(IF(INDEX(Properties!A$1:CB$87,Formula!B10,40)&lt;&gt;"",INDEX(Properties!A$1:CB$87,Formula!B10,40)),IF(INDEX(Properties!A$1:CB$87,Formula!D10,40)&lt;&gt;"",INDEX(Properties!A$1:CB$87,Formula!D10,40)),IF(INDEX(Properties!A$1:CB$87,Formula!F10,40)&lt;&gt;"",INDEX(Properties!A$1:CB$87,Formula!F10,40)),IF(INDEX(Properties!A$1:CB$87,Formula!H10,40)&lt;&gt;"",INDEX(Properties!A$1:CB$87,Formula!H10,40)),IF(INDEX(Properties!A$1:CB$87,Formula!J10,40)&lt;&gt;"",INDEX(Properties!A$1:CB$87,Formula!J10,40)))</f>
        <v>0.40638400000000019</v>
      </c>
      <c r="DU10" s="63">
        <f>MAX(INDEX(Properties!A$1:CB$87,Formula!B10,40),INDEX(Properties!A$1:CB$87,Formula!D10,40),INDEX(Properties!A$1:CB$87,Formula!F10,40),INDEX(Properties!A$1:CB$87,Formula!H10,40),INDEX(Properties!A$1:CB$87,Formula!J10,40))</f>
        <v>1.92</v>
      </c>
      <c r="DV10" s="63">
        <f>MIN(IF(INDEX(Properties!A$1:CB$87,Formula!B10,40)=0,10^6,INDEX(Properties!A$1:CB$87,Formula!B10,40)),IF(INDEX(Properties!A$1:CB$87,Formula!D10,40)=0,10^6,INDEX(Properties!A$1:CB$87,Formula!D10,40)),IF(INDEX(Properties!A$1:CB$87,Formula!F10,40)=0,10^6,INDEX(Properties!A$1:CB$87,Formula!F10,40)),IF(INDEX(Properties!A$1:CB$87,Formula!H10,40)=0,10^6,INDEX(Properties!A$1:CB$87,Formula!H10,40)),IF(INDEX(Properties!A$1:CB$87,Formula!J10,40)=0,10^6,INDEX(Properties!A$1:CB$87,Formula!J10,40)))</f>
        <v>0.73</v>
      </c>
      <c r="DW10" s="63">
        <f t="shared" si="20"/>
        <v>1.19</v>
      </c>
      <c r="DX10" s="75">
        <f>((Formula!C10)/(Formula!C10+Formula!E10+Formula!G10+Formula!I10+Formula!K10))*(INDEX(Properties!A$1:CB$87,Formula!B10,41))+((Formula!E10)/(Formula!C10+Formula!E10+Formula!G10+Formula!I10+Formula!K10))*(INDEX(Properties!A$1:CB$87,Formula!D10,41))+((Formula!G10)/(Formula!C10+Formula!E10+Formula!G10+Formula!I10+Formula!K10))*(INDEX(Properties!A$1:CB$87,Formula!F10,41))+((Formula!I10)/(Formula!C10+Formula!E10+Formula!G10+Formula!I10+Formula!K10))*(INDEX(Properties!A$1:CB$87,Formula!H10,41))+((Formula!K10)/(Formula!C10+Formula!E10+Formula!G10+Formula!I10+Formula!K10))*(INDEX(Properties!A$1:CB$87,Formula!J10,41))</f>
        <v>1.1565217391304348</v>
      </c>
      <c r="DY10" s="75">
        <f>Formula!C10*(INDEX(Properties!A$1:CB$87,Formula!B10,41))+Formula!E10*(INDEX(Properties!A$1:CB$87,Formula!D10,41))+Formula!G10*(INDEX(Properties!A$1:CB$87,Formula!F10,41))+Formula!I10*(INDEX(Properties!A$1:CB$87,Formula!H10,41))+Formula!K10*(INDEX(Properties!A$1:CB$87,Formula!J10,41))</f>
        <v>26.6</v>
      </c>
      <c r="DZ10" s="75">
        <f>VARP(IF(INDEX(Properties!A$1:CB$87,Formula!B10,41)&lt;&gt;"",INDEX(Properties!A$1:CB$87,Formula!B10,41)),IF(INDEX(Properties!A$1:CB$87,Formula!D10,41)&lt;&gt;"",INDEX(Properties!A$1:CB$87,Formula!D10,41)),IF(INDEX(Properties!A$1:CB$87,Formula!F10,41)&lt;&gt;"",INDEX(Properties!A$1:CB$87,Formula!F10,41)),IF(INDEX(Properties!A$1:CB$87,Formula!H10,41)&lt;&gt;"",INDEX(Properties!A$1:CB$87,Formula!H10,41)),IF(INDEX(Properties!A$1:CB$87,Formula!J10,41)&lt;&gt;"",INDEX(Properties!A$1:CB$87,Formula!J10,41)))</f>
        <v>0.22393600000000005</v>
      </c>
      <c r="EA10" s="75">
        <f>MAX(INDEX(Properties!A$1:CB$87,Formula!B10,41),INDEX(Properties!A$1:CB$87,Formula!D10,41),INDEX(Properties!A$1:CB$87,Formula!F10,41),INDEX(Properties!A$1:CB$87,Formula!H10,41),INDEX(Properties!A$1:CB$87,Formula!J10,41))</f>
        <v>1.32</v>
      </c>
      <c r="EB10" s="75">
        <f>MIN(IF(INDEX(Properties!A$1:CB$87,Formula!B10,41)=0,10^6,INDEX(Properties!A$1:CB$87,Formula!B10,41)),IF(INDEX(Properties!A$1:CB$87,Formula!D10,41)=0,10^6,INDEX(Properties!A$1:CB$87,Formula!D10,41)),IF(INDEX(Properties!A$1:CB$87,Formula!F10,41)=0,10^6,INDEX(Properties!A$1:CB$87,Formula!F10,41)),IF(INDEX(Properties!A$1:CB$87,Formula!H10,41)=0,10^6,INDEX(Properties!A$1:CB$87,Formula!H10,41)),IF(INDEX(Properties!A$1:CB$87,Formula!J10,41)=0,10^6,INDEX(Properties!A$1:CB$87,Formula!J10,41)))</f>
        <v>0.76</v>
      </c>
      <c r="EC10" s="75">
        <f t="shared" si="21"/>
        <v>0.56000000000000005</v>
      </c>
      <c r="ED10" s="48">
        <f>((Formula!C10)/(Formula!C10+Formula!E10+Formula!G10+Formula!I10+Formula!K10))*(INDEX(Properties!A$1:CB$87,Formula!B10,45))+((Formula!E10)/(Formula!C10+Formula!E10+Formula!G10+Formula!I10+Formula!K10))*(INDEX(Properties!A$1:CB$87,Formula!D10,45))+((Formula!G10)/(Formula!C10+Formula!E10+Formula!G10+Formula!I10+Formula!K10))*(INDEX(Properties!A$1:CB$87,Formula!F10,45))+((Formula!I10)/(Formula!C10+Formula!E10+Formula!G10+Formula!I10+Formula!K10))*(INDEX(Properties!A$1:CB$87,Formula!H10,45))+((Formula!K10)/(Formula!C10+Formula!E10+Formula!G10+Formula!I10+Formula!K10))*(INDEX(Properties!A$1:CB$87,Formula!J10,45))</f>
        <v>1.1239130434782609</v>
      </c>
      <c r="EE10" s="48">
        <f>Formula!C10*(INDEX(Properties!A$1:CB$87,Formula!B10,45))+Formula!E10*(INDEX(Properties!A$1:CB$87,Formula!D10,45))+Formula!G10*(INDEX(Properties!A$1:CB$87,Formula!F10,45))+Formula!I10*(INDEX(Properties!A$1:CB$87,Formula!H10,45))+Formula!K10*(INDEX(Properties!A$1:CB$87,Formula!J10,45))</f>
        <v>25.85</v>
      </c>
      <c r="EF10" s="48">
        <f>VARP(IF(INDEX(Properties!A$1:CB$87,Formula!B10,45)&lt;&gt;"",INDEX(Properties!A$1:CB$87,Formula!B10,45)),IF(INDEX(Properties!A$1:CB$87,Formula!D10,45)&lt;&gt;"",INDEX(Properties!A$1:CB$87,Formula!D10,45)),IF(INDEX(Properties!A$1:CB$87,Formula!F10,45)&lt;&gt;"",INDEX(Properties!A$1:CB$87,Formula!F10,45)),IF(INDEX(Properties!A$1:CB$87,Formula!H10,45)&lt;&gt;"",INDEX(Properties!A$1:CB$87,Formula!H10,45)),IF(INDEX(Properties!A$1:CB$87,Formula!J10,45)&lt;&gt;"",INDEX(Properties!A$1:CB$87,Formula!J10,45)))</f>
        <v>1.2431759999999996</v>
      </c>
      <c r="EG10" s="48">
        <f>MAX(INDEX(Properties!A$1:CB$87,Formula!B10,45),INDEX(Properties!A$1:CB$87,Formula!D10,45),INDEX(Properties!A$1:CB$87,Formula!F10,45),INDEX(Properties!A$1:CB$87,Formula!H10,45),INDEX(Properties!A$1:CB$87,Formula!J10,45))</f>
        <v>3.21</v>
      </c>
      <c r="EH10" s="48">
        <f>MIN(IF(INDEX(Properties!A$1:CB$87,Formula!B10,45)=0,10^6,INDEX(Properties!A$1:CB$87,Formula!B10,45)),IF(INDEX(Properties!A$1:CB$87,Formula!D10,45)=0,10^6,INDEX(Properties!A$1:CB$87,Formula!D10,45)),IF(INDEX(Properties!A$1:CB$87,Formula!F10,45)=0,10^6,INDEX(Properties!A$1:CB$87,Formula!F10,45)),IF(INDEX(Properties!A$1:CB$87,Formula!H10,45)=0,10^6,INDEX(Properties!A$1:CB$87,Formula!H10,45)),IF(INDEX(Properties!A$1:CB$87,Formula!J10,45)=0,10^6,INDEX(Properties!A$1:CB$87,Formula!J10,45)))</f>
        <v>0.47</v>
      </c>
      <c r="EI10" s="48">
        <f t="shared" si="22"/>
        <v>2.74</v>
      </c>
      <c r="EJ10" s="66">
        <f>((Formula!C10)/(Formula!C10+Formula!E10+Formula!G10+Formula!I10+Formula!K10))*(INDEX(Properties!A$1:CB$87,Formula!B10,46))+((Formula!E10)/(Formula!C10+Formula!E10+Formula!G10+Formula!I10+Formula!K10))*(INDEX(Properties!A$1:CB$87,Formula!D10,46))+((Formula!G10)/(Formula!C10+Formula!E10+Formula!G10+Formula!I10+Formula!K10))*(INDEX(Properties!A$1:CB$87,Formula!F10,46))+((Formula!I10)/(Formula!C10+Formula!E10+Formula!G10+Formula!I10+Formula!K10))*(INDEX(Properties!A$1:CB$87,Formula!H10,46))+((Formula!K10)/(Formula!C10+Formula!E10+Formula!G10+Formula!I10+Formula!K10))*(INDEX(Properties!A$1:CB$87,Formula!J10,46))</f>
        <v>1.0669565217391304</v>
      </c>
      <c r="EK10" s="66">
        <f>Formula!C10*(INDEX(Properties!A$1:CB$87,Formula!B10,46))+Formula!E10*(INDEX(Properties!A$1:CB$87,Formula!D10,46))+Formula!G10*(INDEX(Properties!A$1:CB$87,Formula!F10,46))+Formula!I10*(INDEX(Properties!A$1:CB$87,Formula!H10,46))+Formula!K10*(INDEX(Properties!A$1:CB$87,Formula!J10,46))</f>
        <v>24.54</v>
      </c>
      <c r="EL10" s="66">
        <f>VARP(IF(INDEX(Properties!A$1:CB$87,Formula!B10,46)&lt;&gt;"",INDEX(Properties!A$1:CB$87,Formula!B10,46)),IF(INDEX(Properties!A$1:CB$87,Formula!D10,46)&lt;&gt;"",INDEX(Properties!A$1:CB$87,Formula!D10,46)),IF(INDEX(Properties!A$1:CB$87,Formula!F10,46)&lt;&gt;"",INDEX(Properties!A$1:CB$87,Formula!F10,46)),IF(INDEX(Properties!A$1:CB$87,Formula!H10,46)&lt;&gt;"",INDEX(Properties!A$1:CB$87,Formula!H10,46)),IF(INDEX(Properties!A$1:CB$87,Formula!J10,46)&lt;&gt;"",INDEX(Properties!A$1:CB$87,Formula!J10,46)))</f>
        <v>0.22930400000000006</v>
      </c>
      <c r="EM10" s="66">
        <f>MAX(INDEX(Properties!A$1:CB$87,Formula!B10,46),INDEX(Properties!A$1:CB$87,Formula!D10,46),INDEX(Properties!A$1:CB$87,Formula!F10,46),INDEX(Properties!A$1:CB$87,Formula!H10,46),INDEX(Properties!A$1:CB$87,Formula!J10,46))</f>
        <v>1.32</v>
      </c>
      <c r="EN10" s="66">
        <f>MIN(IF(INDEX(Properties!A$1:CB$87,Formula!B10,46)=0,10^6,INDEX(Properties!A$1:CB$87,Formula!B10,46)),IF(INDEX(Properties!A$1:CB$87,Formula!D10,46)=0,10^6,INDEX(Properties!A$1:CB$87,Formula!D10,46)),IF(INDEX(Properties!A$1:CB$87,Formula!F10,46)=0,10^6,INDEX(Properties!A$1:CB$87,Formula!F10,46)),IF(INDEX(Properties!A$1:CB$87,Formula!H10,46)=0,10^6,INDEX(Properties!A$1:CB$87,Formula!H10,46)),IF(INDEX(Properties!A$1:CB$87,Formula!J10,46)=0,10^6,INDEX(Properties!A$1:CB$87,Formula!J10,46)))</f>
        <v>0.53</v>
      </c>
      <c r="EO10" s="66">
        <f t="shared" si="23"/>
        <v>0.79</v>
      </c>
      <c r="EP10" s="81">
        <f>((Formula!C10)/(Formula!C10+Formula!E10+Formula!G10+Formula!I10+Formula!K10))*(INDEX(Properties!A$1:CB$87,Formula!B10,52))+((Formula!E10)/(Formula!C10+Formula!E10+Formula!G10+Formula!I10+Formula!K10))*(INDEX(Properties!A$1:CB$87,Formula!D10,52))+((Formula!G10)/(Formula!C10+Formula!E10+Formula!G10+Formula!I10+Formula!K10))*(INDEX(Properties!A$1:CB$87,Formula!F10,52))+((Formula!I10)/(Formula!C10+Formula!E10+Formula!G10+Formula!I10+Formula!K10))*(INDEX(Properties!A$1:CB$87,Formula!H10,52))+((Formula!K10)/(Formula!C10+Formula!E10+Formula!G10+Formula!I10+Formula!K10))*(INDEX(Properties!A$1:CB$87,Formula!J10,52))</f>
        <v>5.8479130434782611</v>
      </c>
      <c r="EQ10" s="81">
        <f>Formula!C10*(INDEX(Properties!A$1:CB$87,Formula!B10,52))+Formula!E10*(INDEX(Properties!A$1:CB$87,Formula!D10,52))+Formula!G10*(INDEX(Properties!A$1:CB$87,Formula!F10,52))+Formula!I10*(INDEX(Properties!A$1:CB$87,Formula!H10,52))+Formula!K10*(INDEX(Properties!A$1:CB$87,Formula!J10,52))</f>
        <v>134.50200000000001</v>
      </c>
      <c r="ER10" s="81">
        <f>VARP(IF(INDEX(Properties!A$1:CB$87,Formula!B10,52)&lt;&gt;"",INDEX(Properties!A$1:CB$87,Formula!B10,52)),IF(INDEX(Properties!A$1:CB$87,Formula!D10,52)&lt;&gt;"",INDEX(Properties!A$1:CB$87,Formula!D10,52)),IF(INDEX(Properties!A$1:CB$87,Formula!F10,52)&lt;&gt;"",INDEX(Properties!A$1:CB$87,Formula!F10,52)),IF(INDEX(Properties!A$1:CB$87,Formula!H10,52)&lt;&gt;"",INDEX(Properties!A$1:CB$87,Formula!H10,52)),IF(INDEX(Properties!A$1:CB$87,Formula!J10,52)&lt;&gt;"",INDEX(Properties!A$1:CB$87,Formula!J10,52)))</f>
        <v>100.47522384000004</v>
      </c>
      <c r="ES10" s="81">
        <f>MAX(INDEX(Properties!A$1:CB$87,Formula!B10,52),INDEX(Properties!A$1:CB$87,Formula!D10,52),INDEX(Properties!A$1:CB$87,Formula!F10,52),INDEX(Properties!A$1:CB$87,Formula!H10,52),INDEX(Properties!A$1:CB$87,Formula!J10,52))</f>
        <v>27.6</v>
      </c>
      <c r="ET10" s="81">
        <f>MIN(IF(INDEX(Properties!A$1:CB$87,Formula!B10,52)=0,10^6,INDEX(Properties!A$1:CB$87,Formula!B10,52)),IF(INDEX(Properties!A$1:CB$87,Formula!D10,52)=0,10^6,INDEX(Properties!A$1:CB$87,Formula!D10,52)),IF(INDEX(Properties!A$1:CB$87,Formula!F10,52)=0,10^6,INDEX(Properties!A$1:CB$87,Formula!F10,52)),IF(INDEX(Properties!A$1:CB$87,Formula!H10,52)=0,10^6,INDEX(Properties!A$1:CB$87,Formula!H10,52)),IF(INDEX(Properties!A$1:CB$87,Formula!J10,52)=0,10^6,INDEX(Properties!A$1:CB$87,Formula!J10,52)))</f>
        <v>0.79300000000000004</v>
      </c>
      <c r="EU10" s="81">
        <f t="shared" si="24"/>
        <v>26.807000000000002</v>
      </c>
      <c r="EV10" s="39">
        <f>((Formula!C10)/(Formula!C10+Formula!E10+Formula!G10+Formula!I10+Formula!K10))*(INDEX(Properties!A$1:CB$87,Formula!B10,53))+((Formula!E10)/(Formula!C10+Formula!E10+Formula!G10+Formula!I10+Formula!K10))*(INDEX(Properties!A$1:CB$87,Formula!D10,53))+((Formula!G10)/(Formula!C10+Formula!E10+Formula!G10+Formula!I10+Formula!K10))*(INDEX(Properties!A$1:CB$87,Formula!F10,53))+((Formula!I10)/(Formula!C10+Formula!E10+Formula!G10+Formula!I10+Formula!K10))*(INDEX(Properties!A$1:CB$87,Formula!H10,53))+((Formula!K10)/(Formula!C10+Formula!E10+Formula!G10+Formula!I10+Formula!K10))*(INDEX(Properties!A$1:CB$87,Formula!J10,53))</f>
        <v>407.87173913043478</v>
      </c>
      <c r="EW10" s="39">
        <f>Formula!C10*(INDEX(Properties!A$1:CB$87,Formula!B10,53))+Formula!E10*(INDEX(Properties!A$1:CB$87,Formula!D10,53))+Formula!G10*(INDEX(Properties!A$1:CB$87,Formula!F10,53))+Formula!I10*(INDEX(Properties!A$1:CB$87,Formula!H10,53))+Formula!K10*(INDEX(Properties!A$1:CB$87,Formula!J10,53))</f>
        <v>9381.0499999999993</v>
      </c>
      <c r="EX10" s="39">
        <f>VARP(IF(INDEX(Properties!A$1:CB$87,Formula!B10,53)&lt;&gt;"",INDEX(Properties!A$1:CB$87,Formula!B10,53)),IF(INDEX(Properties!A$1:CB$87,Formula!D10,53)&lt;&gt;"",INDEX(Properties!A$1:CB$87,Formula!D10,53)),IF(INDEX(Properties!A$1:CB$87,Formula!F10,53)&lt;&gt;"",INDEX(Properties!A$1:CB$87,Formula!F10,53)),IF(INDEX(Properties!A$1:CB$87,Formula!H10,53)&lt;&gt;"",INDEX(Properties!A$1:CB$87,Formula!H10,53)),IF(INDEX(Properties!A$1:CB$87,Formula!J10,53)&lt;&gt;"",INDEX(Properties!A$1:CB$87,Formula!J10,53)))</f>
        <v>259459.19160000011</v>
      </c>
      <c r="EY10" s="39">
        <f>MAX(INDEX(Properties!A$1:CB$87,Formula!B10,53),INDEX(Properties!A$1:CB$87,Formula!D10,53),INDEX(Properties!A$1:CB$87,Formula!F10,53),INDEX(Properties!A$1:CB$87,Formula!H10,53),INDEX(Properties!A$1:CB$87,Formula!J10,53))</f>
        <v>1220.55</v>
      </c>
      <c r="EZ10" s="39">
        <f>MIN(IF(INDEX(Properties!A$1:CB$87,Formula!B10,53)=0,10^6,INDEX(Properties!A$1:CB$87,Formula!B10,53)),IF(INDEX(Properties!A$1:CB$87,Formula!D10,53)=0,10^6,INDEX(Properties!A$1:CB$87,Formula!D10,53)),IF(INDEX(Properties!A$1:CB$87,Formula!F10,53)=0,10^6,INDEX(Properties!A$1:CB$87,Formula!F10,53)),IF(INDEX(Properties!A$1:CB$87,Formula!H10,53)=0,10^6,INDEX(Properties!A$1:CB$87,Formula!H10,53)),IF(INDEX(Properties!A$1:CB$87,Formula!J10,53)=0,10^6,INDEX(Properties!A$1:CB$87,Formula!J10,53)))</f>
        <v>54.749999999999972</v>
      </c>
      <c r="FA10" s="39">
        <f t="shared" si="25"/>
        <v>1165.8</v>
      </c>
      <c r="FB10" s="54">
        <f>((Formula!C10)/(Formula!C10+Formula!E10+Formula!G10+Formula!I10+Formula!K10))*(INDEX(Properties!A$1:CB$87,Formula!B10,54))+((Formula!E10)/(Formula!C10+Formula!E10+Formula!G10+Formula!I10+Formula!K10))*(INDEX(Properties!A$1:CB$87,Formula!D10,54))+((Formula!G10)/(Formula!C10+Formula!E10+Formula!G10+Formula!I10+Formula!K10))*(INDEX(Properties!A$1:CB$87,Formula!F10,54))+((Formula!I10)/(Formula!C10+Formula!E10+Formula!G10+Formula!I10+Formula!K10))*(INDEX(Properties!A$1:CB$87,Formula!H10,54))+((Formula!K10)/(Formula!C10+Formula!E10+Formula!G10+Formula!I10+Formula!K10))*(INDEX(Properties!A$1:CB$87,Formula!J10,54))</f>
        <v>1043.4108695652174</v>
      </c>
      <c r="FC10" s="54">
        <f>Formula!C10*(INDEX(Properties!A$1:CB$87,Formula!B10,54))+Formula!E10*(INDEX(Properties!A$1:CB$87,Formula!D10,54))+Formula!G10*(INDEX(Properties!A$1:CB$87,Formula!F10,54))+Formula!I10*(INDEX(Properties!A$1:CB$87,Formula!H10,54))+Formula!K10*(INDEX(Properties!A$1:CB$87,Formula!J10,54))</f>
        <v>23998.449999999997</v>
      </c>
      <c r="FD10" s="54">
        <f>VARP(IF(INDEX(Properties!A$1:CB$87,Formula!B10,54)&lt;&gt;"",INDEX(Properties!A$1:CB$87,Formula!B10,54)),IF(INDEX(Properties!A$1:CB$87,Formula!D10,54)&lt;&gt;"",INDEX(Properties!A$1:CB$87,Formula!D10,54)),IF(INDEX(Properties!A$1:CB$87,Formula!F10,54)&lt;&gt;"",INDEX(Properties!A$1:CB$87,Formula!F10,54)),IF(INDEX(Properties!A$1:CB$87,Formula!H10,54)&lt;&gt;"",INDEX(Properties!A$1:CB$87,Formula!H10,54)),IF(INDEX(Properties!A$1:CB$87,Formula!J10,54)&lt;&gt;"",INDEX(Properties!A$1:CB$87,Formula!J10,54)))</f>
        <v>1643130.0756000001</v>
      </c>
      <c r="FE10" s="54">
        <f>MAX(INDEX(Properties!A$1:CB$87,Formula!B10,54),INDEX(Properties!A$1:CB$87,Formula!D10,54),INDEX(Properties!A$1:CB$87,Formula!F10,54),INDEX(Properties!A$1:CB$87,Formula!H10,54),INDEX(Properties!A$1:CB$87,Formula!J10,54))</f>
        <v>3103.15</v>
      </c>
      <c r="FF10" s="54">
        <f>MIN(IF(INDEX(Properties!A$1:CB$87,Formula!B10,54)=0,10^6,INDEX(Properties!A$1:CB$87,Formula!B10,54)),IF(INDEX(Properties!A$1:CB$87,Formula!D10,54)=0,10^6,INDEX(Properties!A$1:CB$87,Formula!D10,54)),IF(INDEX(Properties!A$1:CB$87,Formula!F10,54)=0,10^6,INDEX(Properties!A$1:CB$87,Formula!F10,54)),IF(INDEX(Properties!A$1:CB$87,Formula!H10,54)=0,10^6,INDEX(Properties!A$1:CB$87,Formula!H10,54)),IF(INDEX(Properties!A$1:CB$87,Formula!J10,54)=0,10^6,INDEX(Properties!A$1:CB$87,Formula!J10,54)))</f>
        <v>90.149999999999977</v>
      </c>
      <c r="FG10" s="54">
        <f t="shared" si="26"/>
        <v>3013</v>
      </c>
      <c r="FH10" s="69">
        <f>((Formula!C10)/(Formula!C10+Formula!E10+Formula!G10+Formula!I10+Formula!K10))*(INDEX(Properties!A$1:CB$87,Formula!B10,55))+((Formula!E10)/(Formula!C10+Formula!E10+Formula!G10+Formula!I10+Formula!K10))*(INDEX(Properties!A$1:CB$87,Formula!D10,55))+((Formula!G10)/(Formula!C10+Formula!E10+Formula!G10+Formula!I10+Formula!K10))*(INDEX(Properties!A$1:CB$87,Formula!F10,55))+((Formula!I10)/(Formula!C10+Formula!E10+Formula!G10+Formula!I10+Formula!K10))*(INDEX(Properties!A$1:CB$87,Formula!H10,55))+((Formula!K10)/(Formula!C10+Formula!E10+Formula!G10+Formula!I10+Formula!K10))*(INDEX(Properties!A$1:CB$87,Formula!J10,55))</f>
        <v>1.7821747826086958</v>
      </c>
      <c r="FI10" s="69">
        <f>Formula!C10*(INDEX(Properties!A$1:CB$87,Formula!B10,55))+Formula!E10*(INDEX(Properties!A$1:CB$87,Formula!D10,54))+Formula!G10*(INDEX(Properties!A$1:CB$87,Formula!F10,55))+Formula!I10*(INDEX(Properties!A$1:CB$87,Formula!H10,55))+Formula!K10*(INDEX(Properties!A$1:CB$87,Formula!J10,55))</f>
        <v>5381.4900200000002</v>
      </c>
      <c r="FJ10" s="69">
        <f>VARP(IF(INDEX(Properties!A$1:CB$87,Formula!B10,55)&lt;&gt;"",INDEX(Properties!A$1:CB$87,Formula!B10,55)),IF(INDEX(Properties!A$1:CB$87,Formula!D10,55)&lt;&gt;"",INDEX(Properties!A$1:CB$87,Formula!D10,55)),IF(INDEX(Properties!A$1:CB$87,Formula!F10,55)&lt;&gt;"",INDEX(Properties!A$1:CB$87,Formula!F10,55)),IF(INDEX(Properties!A$1:CB$87,Formula!H10,55)&lt;&gt;"",INDEX(Properties!A$1:CB$87,Formula!H10,55)),IF(INDEX(Properties!A$1:CB$87,Formula!J10,55)&lt;&gt;"",INDEX(Properties!A$1:CB$87,Formula!J10,55)))</f>
        <v>6.3313758871840013</v>
      </c>
      <c r="FK10" s="69">
        <f>MAX(INDEX(Properties!A$1:CB$87,Formula!B10,55),INDEX(Properties!A$1:CB$87,Formula!D10,55),INDEX(Properties!A$1:CB$87,Formula!F10,55),INDEX(Properties!A$1:CB$87,Formula!H10,55),INDEX(Properties!A$1:CB$87,Formula!J10,55))</f>
        <v>5.9</v>
      </c>
      <c r="FL10" s="69">
        <f>MIN(IF(INDEX(Properties!A$1:CB$87,Formula!B10,55)=0,10^6,INDEX(Properties!A$1:CB$87,Formula!B10,55)),IF(INDEX(Properties!A$1:CB$87,Formula!D10,55)=0,10^6,INDEX(Properties!A$1:CB$87,Formula!D10,55)),IF(INDEX(Properties!A$1:CB$87,Formula!F10,55)=0,10^6,INDEX(Properties!A$1:CB$87,Formula!F10,55)),IF(INDEX(Properties!A$1:CB$87,Formula!H10,55)=0,10^6,INDEX(Properties!A$1:CB$87,Formula!H10,55)),IF(INDEX(Properties!A$1:CB$87,Formula!J10,55)=0,10^6,INDEX(Properties!A$1:CB$87,Formula!J10,55)))</f>
        <v>1.4300000000000001E-3</v>
      </c>
      <c r="FM10" s="69">
        <f t="shared" si="27"/>
        <v>5.8985700000000003</v>
      </c>
      <c r="FN10" s="42">
        <f>((Formula!C10)/(Formula!C10+Formula!E10+Formula!G10+Formula!I10+Formula!K10))*(INDEX(Properties!A$1:CB$87,Formula!B10,56))+((Formula!E10)/(Formula!C10+Formula!E10+Formula!G10+Formula!I10+Formula!K10))*(INDEX(Properties!A$1:CB$87,Formula!D10,56))+((Formula!G10)/(Formula!C10+Formula!E10+Formula!G10+Formula!I10+Formula!K10))*(INDEX(Properties!A$1:CB$87,Formula!F10,56))+((Formula!I10)/(Formula!C10+Formula!E10+Formula!G10+Formula!I10+Formula!K10))*(INDEX(Properties!A$1:CB$87,Formula!H10,56))+((Formula!K10)/(Formula!C10+Formula!E10+Formula!G10+Formula!I10+Formula!K10))*(INDEX(Properties!A$1:CB$87,Formula!J10,56))</f>
        <v>0.68695652173913047</v>
      </c>
      <c r="FO10" s="42">
        <f>Formula!C10*(INDEX(Properties!A$1:CB$87,Formula!B10,56))+Formula!E10*(INDEX(Properties!A$1:CB$87,Formula!D10,56))+Formula!G10*(INDEX(Properties!A$1:CB$87,Formula!F10,56))+Formula!I10*(INDEX(Properties!A$1:CB$87,Formula!H10,56))+Formula!K10*(INDEX(Properties!A$1:CB$87,Formula!J10,56))</f>
        <v>15.8</v>
      </c>
      <c r="FP10" s="42">
        <f>VARP(IF(INDEX(Properties!A$1:CB$87,Formula!B10,56)&lt;&gt;"",INDEX(Properties!A$1:CB$87,Formula!B10,56)),IF(INDEX(Properties!A$1:CB$87,Formula!D10,56)&lt;&gt;"",INDEX(Properties!A$1:CB$87,Formula!D10,56)),IF(INDEX(Properties!A$1:CB$87,Formula!F10,56)&lt;&gt;"",INDEX(Properties!A$1:CB$87,Formula!F10,56)),IF(INDEX(Properties!A$1:CB$87,Formula!H10,56)&lt;&gt;"",INDEX(Properties!A$1:CB$87,Formula!H10,56)),IF(INDEX(Properties!A$1:CB$87,Formula!J10,56)&lt;&gt;"",INDEX(Properties!A$1:CB$87,Formula!J10,56)))</f>
        <v>8.9215999999999976E-2</v>
      </c>
      <c r="FQ10" s="42">
        <f>MAX(INDEX(Properties!A$1:CB$87,Formula!B10,56),INDEX(Properties!A$1:CB$87,Formula!D10,56),INDEX(Properties!A$1:CB$87,Formula!F10,56),INDEX(Properties!A$1:CB$87,Formula!H10,56),INDEX(Properties!A$1:CB$87,Formula!J10,56))</f>
        <v>0.92</v>
      </c>
      <c r="FR10" s="42">
        <f>MIN(IF(INDEX(Properties!A$1:CB$87,Formula!B10,56)=0,10^6,INDEX(Properties!A$1:CB$87,Formula!B10,56)),IF(INDEX(Properties!A$1:CB$87,Formula!D10,56)=0,10^6,INDEX(Properties!A$1:CB$87,Formula!D10,56)),IF(INDEX(Properties!A$1:CB$87,Formula!F10,56)=0,10^6,INDEX(Properties!A$1:CB$87,Formula!F10,56)),IF(INDEX(Properties!A$1:CB$87,Formula!H10,56)=0,10^6,INDEX(Properties!A$1:CB$87,Formula!H10,56)),IF(INDEX(Properties!A$1:CB$87,Formula!J10,56)=0,10^6,INDEX(Properties!A$1:CB$87,Formula!J10,56)))</f>
        <v>0.3</v>
      </c>
      <c r="FS10" s="42">
        <f t="shared" si="28"/>
        <v>0.62000000000000011</v>
      </c>
      <c r="FT10" s="60">
        <f>((Formula!C10)/(Formula!C10+Formula!E10+Formula!G10+Formula!I10+Formula!K10))*(INDEX(Properties!A$1:CB$87,Formula!B10,57))+((Formula!E10)/(Formula!C10+Formula!E10+Formula!G10+Formula!I10+Formula!K10))*(INDEX(Properties!A$1:CB$87,Formula!D10,57))+((Formula!G10)/(Formula!C10+Formula!E10+Formula!G10+Formula!I10+Formula!K10))*(INDEX(Properties!A$1:CB$87,Formula!F10,57))+((Formula!I10)/(Formula!C10+Formula!E10+Formula!G10+Formula!I10+Formula!K10))*(INDEX(Properties!A$1:CB$87,Formula!H10,57))+((Formula!K10)/(Formula!C10+Formula!E10+Formula!G10+Formula!I10+Formula!K10))*(INDEX(Properties!A$1:CB$87,Formula!J10,57))</f>
        <v>8.1285330434782601</v>
      </c>
      <c r="FU10" s="60">
        <f>Formula!C10*(INDEX(Properties!A$1:CB$87,Formula!B10,57))+Formula!E10*(INDEX(Properties!A$1:CB$87,Formula!D10,57))+Formula!G10*(INDEX(Properties!A$1:CB$87,Formula!F10,57))+Formula!I10*(INDEX(Properties!A$1:CB$87,Formula!H10,57))+Formula!K10*(INDEX(Properties!A$1:CB$87,Formula!J10,57))</f>
        <v>186.95625999999999</v>
      </c>
      <c r="FV10" s="60">
        <f>VARP(IF(INDEX(Properties!A$1:CB$87,Formula!B10,57)&lt;&gt;"",INDEX(Properties!A$1:CB$87,Formula!B10,57)),IF(INDEX(Properties!A$1:CB$87,Formula!D10,57)&lt;&gt;"",INDEX(Properties!A$1:CB$87,Formula!D10,57)),IF(INDEX(Properties!A$1:CB$87,Formula!F10,57)&lt;&gt;"",INDEX(Properties!A$1:CB$87,Formula!F10,57)),IF(INDEX(Properties!A$1:CB$87,Formula!H10,57)&lt;&gt;"",INDEX(Properties!A$1:CB$87,Formula!H10,57)),IF(INDEX(Properties!A$1:CB$87,Formula!J10,57)&lt;&gt;"",INDEX(Properties!A$1:CB$87,Formula!J10,57)))</f>
        <v>188.69557143329592</v>
      </c>
      <c r="FW10" s="60">
        <f>MAX(INDEX(Properties!A$1:CB$87,Formula!B10,57),INDEX(Properties!A$1:CB$87,Formula!D10,57),INDEX(Properties!A$1:CB$87,Formula!F10,57),INDEX(Properties!A$1:CB$87,Formula!H10,57),INDEX(Properties!A$1:CB$87,Formula!J10,57))</f>
        <v>36.94</v>
      </c>
      <c r="FX10" s="60">
        <f>MIN(IF(INDEX(Properties!A$1:CB$87,Formula!B10,57)=0,10^6,INDEX(Properties!A$1:CB$87,Formula!B10,57)),IF(INDEX(Properties!A$1:CB$87,Formula!D10,57)=0,10^6,INDEX(Properties!A$1:CB$87,Formula!D10,57)),IF(INDEX(Properties!A$1:CB$87,Formula!F10,57)=0,10^6,INDEX(Properties!A$1:CB$87,Formula!F10,57)),IF(INDEX(Properties!A$1:CB$87,Formula!H10,57)=0,10^6,INDEX(Properties!A$1:CB$87,Formula!H10,57)),IF(INDEX(Properties!A$1:CB$87,Formula!J10,57)=0,10^6,INDEX(Properties!A$1:CB$87,Formula!J10,57)))</f>
        <v>0.22259000000000001</v>
      </c>
      <c r="FY10" s="60">
        <f t="shared" si="29"/>
        <v>36.717410000000001</v>
      </c>
      <c r="FZ10" s="72">
        <f>((Formula!C10)/(Formula!C10+Formula!E10+Formula!G10+Formula!I10+Formula!K10))*(INDEX(Properties!A$1:CB$87,Formula!B10,60))+((Formula!E10)/(Formula!C10+Formula!E10+Formula!G10+Formula!I10+Formula!K10))*(INDEX(Properties!A$1:CB$87,Formula!D10,60))+((Formula!G10)/(Formula!C10+Formula!E10+Formula!G10+Formula!I10+Formula!K10))*(INDEX(Properties!A$1:CB$87,Formula!F10,60))+((Formula!I10)/(Formula!C10+Formula!E10+Formula!G10+Formula!I10+Formula!K10))*(INDEX(Properties!A$1:CB$87,Formula!H10,60))+((Formula!K10)/(Formula!C10+Formula!E10+Formula!G10+Formula!I10+Formula!K10))*(INDEX(Properties!A$1:CB$87,Formula!J10,60))</f>
        <v>18.568450434782605</v>
      </c>
      <c r="GA10" s="72">
        <f>Formula!C10*(INDEX(Properties!A$1:CB$87,Formula!B10,60))+Formula!E10*(INDEX(Properties!A$1:CB$87,Formula!D10,60))+Formula!G10*(INDEX(Properties!A$1:CB$87,Formula!F10,60))+Formula!I10*(INDEX(Properties!A$1:CB$87,Formula!H10,60))+Formula!K10*(INDEX(Properties!A$1:CB$87,Formula!J10,60))</f>
        <v>427.07436000000001</v>
      </c>
      <c r="GB10" s="72">
        <f>VARP(IF(INDEX(Properties!A$1:CB$87,Formula!B10,60)&lt;&gt;"",INDEX(Properties!A$1:CB$87,Formula!B10,60)),IF(INDEX(Properties!A$1:CB$87,Formula!D10,60)&lt;&gt;"",INDEX(Properties!A$1:CB$87,Formula!D10,60)),IF(INDEX(Properties!A$1:CB$87,Formula!F10,60)&lt;&gt;"",INDEX(Properties!A$1:CB$87,Formula!F10,60)),IF(INDEX(Properties!A$1:CB$87,Formula!H10,60)&lt;&gt;"",INDEX(Properties!A$1:CB$87,Formula!H10,60)),IF(INDEX(Properties!A$1:CB$87,Formula!J10,60)&lt;&gt;"",INDEX(Properties!A$1:CB$87,Formula!J10,60)))</f>
        <v>558.53601104441577</v>
      </c>
      <c r="GC10" s="72">
        <f>MAX(INDEX(Properties!A$1:CB$87,Formula!B10,60),INDEX(Properties!A$1:CB$87,Formula!D10,60),INDEX(Properties!A$1:CB$87,Formula!F10,60),INDEX(Properties!A$1:CB$87,Formula!H10,60),INDEX(Properties!A$1:CB$87,Formula!J10,60))</f>
        <v>59.9</v>
      </c>
      <c r="GD10" s="72">
        <f>MIN(IF(INDEX(Properties!A$1:CB$87,Formula!B10,60)=0,10^6,INDEX(Properties!A$1:CB$87,Formula!B10,60)),IF(INDEX(Properties!A$1:CB$87,Formula!D10,60)=0,10^6,INDEX(Properties!A$1:CB$87,Formula!D10,60)),IF(INDEX(Properties!A$1:CB$87,Formula!F10,60)=0,10^6,INDEX(Properties!A$1:CB$87,Formula!F10,60)),IF(INDEX(Properties!A$1:CB$87,Formula!H10,60)=0,10^6,INDEX(Properties!A$1:CB$87,Formula!H10,60)),IF(INDEX(Properties!A$1:CB$87,Formula!J10,60)=0,10^6,INDEX(Properties!A$1:CB$87,Formula!J10,60)))</f>
        <v>2.674E-2</v>
      </c>
      <c r="GE10" s="72">
        <f t="shared" si="30"/>
        <v>59.873260000000002</v>
      </c>
      <c r="GF10" s="51">
        <f>((Formula!C10)/(Formula!C10+Formula!E10+Formula!G10+Formula!I10+Formula!K10))*(INDEX(Properties!A$1:CB$87,Formula!B10,62))+((Formula!E10)/(Formula!C10+Formula!E10+Formula!G10+Formula!I10+Formula!K10))*(INDEX(Properties!A$1:CB$87,Formula!D10,62))+((Formula!G10)/(Formula!C10+Formula!E10+Formula!G10+Formula!I10+Formula!K10))*(INDEX(Properties!A$1:CB$87,Formula!F10,62))+((Formula!I10)/(Formula!C10+Formula!E10+Formula!G10+Formula!I10+Formula!K10))*(INDEX(Properties!A$1:CB$87,Formula!H10,62))+((Formula!K10)/(Formula!C10+Formula!E10+Formula!G10+Formula!I10+Formula!K10))*(INDEX(Properties!A$1:CB$87,Formula!J10,62))</f>
        <v>2.7330434782608695</v>
      </c>
      <c r="GG10" s="51">
        <f>Formula!C10*(INDEX(Properties!A$1:CB$87,Formula!B10,62))+Formula!E10*(INDEX(Properties!A$1:CB$87,Formula!D10,62))+Formula!G10*(INDEX(Properties!A$1:CB$87,Formula!F10,62))+Formula!I10*(INDEX(Properties!A$1:CB$87,Formula!H10,62))+Formula!K10*(INDEX(Properties!A$1:CB$87,Formula!J10,62))</f>
        <v>62.86</v>
      </c>
      <c r="GH10" s="51">
        <f>VARP(IF(INDEX(Properties!A$1:CB$87,Formula!B10,62)&lt;&gt;"",INDEX(Properties!A$1:CB$87,Formula!B10,62)),IF(INDEX(Properties!A$1:CB$87,Formula!D10,62)&lt;&gt;"",INDEX(Properties!A$1:CB$87,Formula!D10,62)),IF(INDEX(Properties!A$1:CB$87,Formula!F10,62)&lt;&gt;"",INDEX(Properties!A$1:CB$87,Formula!F10,62)),IF(INDEX(Properties!A$1:CB$87,Formula!H10,62)&lt;&gt;"",INDEX(Properties!A$1:CB$87,Formula!H10,62)),IF(INDEX(Properties!A$1:CB$87,Formula!J10,62)&lt;&gt;"",INDEX(Properties!A$1:CB$87,Formula!J10,62)))</f>
        <v>1.6682800000000009</v>
      </c>
      <c r="GI10" s="51">
        <f>MAX(INDEX(Properties!A$1:CB$87,Formula!B10,62),INDEX(Properties!A$1:CB$87,Formula!D10,62),INDEX(Properties!A$1:CB$87,Formula!F10,62),INDEX(Properties!A$1:CB$87,Formula!H10,62),INDEX(Properties!A$1:CB$87,Formula!J10,62))</f>
        <v>3.85</v>
      </c>
      <c r="GJ10" s="51">
        <f>MIN(IF(INDEX(Properties!A$1:CB$87,Formula!B10,62)=0,10^6,INDEX(Properties!A$1:CB$87,Formula!B10,62)),IF(INDEX(Properties!A$1:CB$87,Formula!D10,62)=0,10^6,INDEX(Properties!A$1:CB$87,Formula!D10,62)),IF(INDEX(Properties!A$1:CB$87,Formula!F10,62)=0,10^6,INDEX(Properties!A$1:CB$87,Formula!F10,62)),IF(INDEX(Properties!A$1:CB$87,Formula!H10,62)=0,10^6,INDEX(Properties!A$1:CB$87,Formula!H10,62)),IF(INDEX(Properties!A$1:CB$87,Formula!J10,62)=0,10^6,INDEX(Properties!A$1:CB$87,Formula!J10,62)))</f>
        <v>1.72</v>
      </c>
      <c r="GK10" s="51">
        <f t="shared" si="31"/>
        <v>2.13</v>
      </c>
      <c r="GL10" s="51">
        <f>Formula!P10</f>
        <v>150</v>
      </c>
      <c r="GM10" s="57">
        <f>Formula!O10</f>
        <v>5</v>
      </c>
      <c r="GN10" s="51">
        <f>Formula!N10</f>
        <v>0.05</v>
      </c>
    </row>
    <row r="11" spans="1:196" s="5" customFormat="1" x14ac:dyDescent="0.3">
      <c r="A11" s="84" t="str">
        <f>Formula!A11</f>
        <v>YBO3</v>
      </c>
      <c r="B11" s="89">
        <f>((Formula!C11)/(Formula!C11+Formula!E11+Formula!G11+Formula!I11+Formula!K11))*(INDEX(Properties!A$1:CB$87,Formula!B11,3))+((Formula!E11)/(Formula!C11+Formula!E11+Formula!G11+Formula!I11+Formula!K11))*(INDEX(Properties!A$1:CB$87,Formula!D11,3))+((Formula!G11)/(Formula!C11+Formula!E11+Formula!G11+Formula!I11+Formula!K11))*(INDEX(Properties!A$1:CB$87,Formula!F11,3))+((Formula!I11)/(Formula!C11+Formula!E11+Formula!G11+Formula!I11+Formula!K11))*(INDEX(Properties!A$1:CB$87,Formula!H11,3))+((Formula!K11)/(Formula!C11+Formula!E11+Formula!G11+Formula!I11+Formula!K11))*(INDEX(Properties!A$1:CB$87,Formula!J11,3))</f>
        <v>38.57208</v>
      </c>
      <c r="C11" s="85">
        <f>Formula!C11*(INDEX(Properties!A$1:CB$87,Formula!B11,3))+Formula!E11*(INDEX(Properties!A$1:CB$87,Formula!D11,3))+Formula!G11*(INDEX(Properties!A$1:CB$87,Formula!F11,3))+Formula!I11*(INDEX(Properties!A$1:CB$87,Formula!H11,3))+Formula!K11*(INDEX(Properties!A$1:CB$87,Formula!J11,3))</f>
        <v>115.71623999999998</v>
      </c>
      <c r="D11" s="85">
        <f>VARP(IF(INDEX(Properties!A$1:CB$87,Formula!B11,3)&lt;&gt;"",INDEX(Properties!A$1:CB$87,Formula!B11,3)),IF(INDEX(Properties!A$1:CB$87,Formula!D11,3)&lt;&gt;"",INDEX(Properties!A$1:CB$87,Formula!D11,3)),IF(INDEX(Properties!A$1:CB$87,Formula!F11,3)&lt;&gt;"",INDEX(Properties!A$1:CB$87,Formula!F11,3)),IF(INDEX(Properties!A$1:CB$87,Formula!H11,3)&lt;&gt;"",INDEX(Properties!A$1:CB$87,Formula!H11,3)),IF(INDEX(Properties!A$1:CB$87,Formula!J11,3)&lt;&gt;"",INDEX(Properties!A$1:CB$87,Formula!J11,3)))</f>
        <v>1119.8114535036159</v>
      </c>
      <c r="E11" s="85">
        <f>MAX(INDEX(Properties!A$1:CB$87,Formula!B11,3),INDEX(Properties!A$1:CB$87,Formula!D11,3),INDEX(Properties!A$1:CB$87,Formula!F11,3),INDEX(Properties!A$1:CB$87,Formula!H11,3),INDEX(Properties!A$1:CB$87,Formula!J11,3))</f>
        <v>88.905839999999998</v>
      </c>
      <c r="F11" s="85">
        <f>MIN(IF(INDEX(Properties!A$1:CB$87,Formula!B11,3)=0,10^6,INDEX(Properties!A$1:CB$87,Formula!B11,3)),IF(INDEX(Properties!A$1:CB$87,Formula!D11,3)=0,10^6,INDEX(Properties!A$1:CB$87,Formula!D11,3)),IF(INDEX(Properties!A$1:CB$87,Formula!F11,3)=0,10^6,INDEX(Properties!A$1:CB$87,Formula!F11,3)),IF(INDEX(Properties!A$1:CB$87,Formula!H11,3)=0,10^6,INDEX(Properties!A$1:CB$87,Formula!H11,3)),IF(INDEX(Properties!A$1:CB$87,Formula!J11,3)=0,10^6,INDEX(Properties!A$1:CB$87,Formula!J11,3)))</f>
        <v>10.811</v>
      </c>
      <c r="G11" s="85">
        <f t="shared" si="0"/>
        <v>78.094840000000005</v>
      </c>
      <c r="H11" s="87">
        <f>((Formula!C11)/(Formula!C11+Formula!E11+Formula!G11+Formula!I11+Formula!K11))*(INDEX(Properties!A$1:CB$87,Formula!B11,4))+((Formula!E11)/(Formula!C11+Formula!E11+Formula!G11+Formula!I11+Formula!K11))*(INDEX(Properties!A$1:CB$87,Formula!D11,4))+((Formula!G11)/(Formula!C11+Formula!E11+Formula!G11+Formula!I11+Formula!K11))*(INDEX(Properties!A$1:CB$87,Formula!F11,4))+((Formula!I11)/(Formula!C11+Formula!E11+Formula!G11+Formula!I11+Formula!K11))*(INDEX(Properties!A$1:CB$87,Formula!H11,4))+((Formula!K11)/(Formula!C11+Formula!E11+Formula!G11+Formula!I11+Formula!K11))*(INDEX(Properties!A$1:CB$87,Formula!J11,4))</f>
        <v>17.333333333333332</v>
      </c>
      <c r="I11" s="87">
        <f>Formula!C11*(INDEX(Properties!A$1:CB$87,Formula!B11,4))+Formula!E11*(INDEX(Properties!A$1:CB$87,Formula!D11,4))+Formula!G11*(INDEX(Properties!A$1:CB$87,Formula!F11,4))+Formula!I11*(INDEX(Properties!A$1:CB$87,Formula!H11,4))+Formula!K11*(INDEX(Properties!A$1:CB$87,Formula!J11,4))</f>
        <v>52</v>
      </c>
      <c r="J11" s="87">
        <f>VARP(IF(INDEX(Properties!A$1:CB$87,Formula!B11,4)&lt;&gt;"",INDEX(Properties!A$1:CB$87,Formula!B11,4)),IF(INDEX(Properties!A$1:CB$87,Formula!D11,4)&lt;&gt;"",INDEX(Properties!A$1:CB$87,Formula!D11,4)),IF(INDEX(Properties!A$1:CB$87,Formula!F11,4)&lt;&gt;"",INDEX(Properties!A$1:CB$87,Formula!F11,4)),IF(INDEX(Properties!A$1:CB$87,Formula!H11,4)&lt;&gt;"",INDEX(Properties!A$1:CB$87,Formula!H11,4)),IF(INDEX(Properties!A$1:CB$87,Formula!J11,4)&lt;&gt;"",INDEX(Properties!A$1:CB$87,Formula!J11,4)))</f>
        <v>213.84</v>
      </c>
      <c r="K11" s="87">
        <f>MAX(INDEX(Properties!A$1:CB$87,Formula!B11,4),INDEX(Properties!A$1:CB$87,Formula!D11,4),INDEX(Properties!A$1:CB$87,Formula!F11,4),INDEX(Properties!A$1:CB$87,Formula!H11,4),INDEX(Properties!A$1:CB$87,Formula!J11,4))</f>
        <v>39</v>
      </c>
      <c r="L11" s="87">
        <f>MIN(IF(INDEX(Properties!A$1:CB$87,Formula!B11,4)=0,10^6,INDEX(Properties!A$1:CB$87,Formula!B11,4)),IF(INDEX(Properties!A$1:CB$87,Formula!D11,4)=0,10^6,INDEX(Properties!A$1:CB$87,Formula!D11,4)),IF(INDEX(Properties!A$1:CB$87,Formula!F11,4)=0,10^6,INDEX(Properties!A$1:CB$87,Formula!F11,4)),IF(INDEX(Properties!A$1:CB$87,Formula!H11,4)=0,10^6,INDEX(Properties!A$1:CB$87,Formula!H11,4)),IF(INDEX(Properties!A$1:CB$87,Formula!J11,4)=0,10^6,INDEX(Properties!A$1:CB$87,Formula!J11,4)))</f>
        <v>5</v>
      </c>
      <c r="M11" s="87">
        <f t="shared" si="1"/>
        <v>34</v>
      </c>
      <c r="N11" s="89">
        <f>((Formula!C11)/(Formula!C11+Formula!E11+Formula!G11+Formula!I11+Formula!K11))*(INDEX(Properties!A$1:CB$87,Formula!B11,5))+((Formula!E11)/(Formula!C11+Formula!E11+Formula!G11+Formula!I11+Formula!K11))*(INDEX(Properties!A$1:CB$87,Formula!D11,5))+((Formula!G11)/(Formula!C11+Formula!E11+Formula!G11+Formula!I11+Formula!K11))*(INDEX(Properties!A$1:CB$87,Formula!F11,5))+((Formula!I11)/(Formula!C11+Formula!E11+Formula!G11+Formula!I11+Formula!K11))*(INDEX(Properties!A$1:CB$87,Formula!H11,5))+((Formula!K11)/(Formula!C11+Formula!E11+Formula!G11+Formula!I11+Formula!K11))*(INDEX(Properties!A$1:CB$87,Formula!J11,5))</f>
        <v>2.9999999999999996</v>
      </c>
      <c r="O11" s="89">
        <f>Formula!C11*(INDEX(Properties!A$1:CB$87,Formula!B11,5))+Formula!E11*(INDEX(Properties!A$1:CB$87,Formula!D11,5))+Formula!G11*(INDEX(Properties!A$1:CB$87,Formula!F11,5))+Formula!I11*(INDEX(Properties!A$1:CB$87,Formula!H11,5))+Formula!K11*(INDEX(Properties!A$1:CB$87,Formula!J11,5))</f>
        <v>9</v>
      </c>
      <c r="P11" s="89">
        <f>VARP(IF(INDEX(Properties!A$1:CB$87,Formula!B11,5)&lt;&gt;"",INDEX(Properties!A$1:CB$87,Formula!B11,5)),IF(INDEX(Properties!A$1:CB$87,Formula!D11,5)&lt;&gt;"",INDEX(Properties!A$1:CB$87,Formula!D11,5)),IF(INDEX(Properties!A$1:CB$87,Formula!F11,5)&lt;&gt;"",INDEX(Properties!A$1:CB$87,Formula!F11,5)),IF(INDEX(Properties!A$1:CB$87,Formula!H11,5)&lt;&gt;"",INDEX(Properties!A$1:CB$87,Formula!H11,5)),IF(INDEX(Properties!A$1:CB$87,Formula!J11,5)&lt;&gt;"",INDEX(Properties!A$1:CB$87,Formula!J11,5)))</f>
        <v>3.36</v>
      </c>
      <c r="Q11" s="89">
        <f>MAX(INDEX(Properties!A$1:CB$87,Formula!B11,5),INDEX(Properties!A$1:CB$87,Formula!D11,5),INDEX(Properties!A$1:CB$87,Formula!F11,5),INDEX(Properties!A$1:CB$87,Formula!H11,5),INDEX(Properties!A$1:CB$87,Formula!J11,5))</f>
        <v>5</v>
      </c>
      <c r="R11" s="89">
        <f>MIN(IF(INDEX(Properties!A$1:CB$87,Formula!B11,5)=0,10^6,INDEX(Properties!A$1:CB$87,Formula!B11,5)),IF(INDEX(Properties!A$1:CB$87,Formula!D11,5)=0,10^6,INDEX(Properties!A$1:CB$87,Formula!D11,5)),IF(INDEX(Properties!A$1:CB$87,Formula!F11,5)=0,10^6,INDEX(Properties!A$1:CB$87,Formula!F11,5)),IF(INDEX(Properties!A$1:CB$87,Formula!H11,5)=0,10^6,INDEX(Properties!A$1:CB$87,Formula!H11,5)),IF(INDEX(Properties!A$1:CB$87,Formula!J11,5)=0,10^6,INDEX(Properties!A$1:CB$87,Formula!J11,5)))</f>
        <v>2</v>
      </c>
      <c r="S11" s="89">
        <f t="shared" si="2"/>
        <v>3</v>
      </c>
      <c r="T11" s="60">
        <f>((Formula!C11)/(Formula!C11+Formula!E11+Formula!G11+Formula!I11+Formula!K11))*(INDEX(Properties!A$1:CB$87,Formula!B11,6))+((Formula!E11)/(Formula!C11+Formula!E11+Formula!G11+Formula!I11+Formula!K11))*(INDEX(Properties!A$1:CB$87,Formula!D11,6))+((Formula!G11)/(Formula!C11+Formula!E11+Formula!G11+Formula!I11+Formula!K11))*(INDEX(Properties!A$1:CB$87,Formula!F11,6))+((Formula!I11)/(Formula!C11+Formula!E11+Formula!G11+Formula!I11+Formula!K11))*(INDEX(Properties!A$1:CB$87,Formula!H11,6))+((Formula!K11)/(Formula!C11+Formula!E11+Formula!G11+Formula!I11+Formula!K11))*(INDEX(Properties!A$1:CB$87,Formula!J11,6))</f>
        <v>10.666666666666666</v>
      </c>
      <c r="U11" s="60">
        <f>Formula!C11*(INDEX(Properties!A$1:CB$87,Formula!B11,6))+Formula!E11*(INDEX(Properties!A$1:CB$87,Formula!D11,6))+Formula!G11*(INDEX(Properties!A$1:CB$87,Formula!F11,6))+Formula!I11*(INDEX(Properties!A$1:CB$87,Formula!H11,6))+Formula!K11*(INDEX(Properties!A$1:CB$87,Formula!J11,6))</f>
        <v>32</v>
      </c>
      <c r="V11" s="89">
        <f>VARP(IF(INDEX(Properties!A$1:CB$87,Formula!B11,6)&lt;&gt;"",INDEX(Properties!A$1:CB$87,Formula!B11,6)),IF(INDEX(Properties!A$1:CB$87,Formula!D11,6)&lt;&gt;"",INDEX(Properties!A$1:CB$87,Formula!D11,6)),IF(INDEX(Properties!A$1:CB$87,Formula!F11,6)&lt;&gt;"",INDEX(Properties!A$1:CB$87,Formula!F11,6)),IF(INDEX(Properties!A$1:CB$87,Formula!H11,6)&lt;&gt;"",INDEX(Properties!A$1:CB$87,Formula!H11,6)),IF(INDEX(Properties!A$1:CB$87,Formula!J11,6)&lt;&gt;"",INDEX(Properties!A$1:CB$87,Formula!J11,6)))</f>
        <v>45.84</v>
      </c>
      <c r="W11" s="60">
        <f>MAX(INDEX(Properties!A$1:CB$87,Formula!B11,6),INDEX(Properties!A$1:CB$87,Formula!D11,6),INDEX(Properties!A$1:CB$87,Formula!F11,6),INDEX(Properties!A$1:CB$87,Formula!H11,4),INDEX(Properties!A$1:CB$87,Formula!J11,6))</f>
        <v>16</v>
      </c>
      <c r="X11" s="60">
        <f>MIN(IF(INDEX(Properties!A$1:CB$87,Formula!B11,6)=0,10^6,INDEX(Properties!A$1:CB$87,Formula!B11,6)),IF(INDEX(Properties!A$1:CB$87,Formula!D11,6)=0,10^6,INDEX(Properties!A$1:CB$87,Formula!D11,6)),IF(INDEX(Properties!A$1:CB$87,Formula!F11,6)=0,10^6,INDEX(Properties!A$1:CB$87,Formula!F11,6)),IF(INDEX(Properties!A$1:CB$87,Formula!H11,6)=0,10^6,INDEX(Properties!A$1:CB$87,Formula!H11,6)),IF(INDEX(Properties!A$1:CB$87,Formula!J11,6)=0,10^6,INDEX(Properties!A$1:CB$87,Formula!J11,6)))</f>
        <v>3</v>
      </c>
      <c r="Y11" s="60">
        <f t="shared" si="3"/>
        <v>13</v>
      </c>
      <c r="Z11" s="72">
        <f>((Formula!C11)/(Formula!C11+Formula!E11+Formula!G11+Formula!I11+Formula!K11))*(INDEX(Properties!A$1:CB$87,Formula!B11,9))+((Formula!E11)/(Formula!C11+Formula!E11+Formula!G11+Formula!I11+Formula!K11))*(INDEX(Properties!A$1:CB$87,Formula!D11,9))+((Formula!G11)/(Formula!C11+Formula!E11+Formula!G11+Formula!I11+Formula!K11))*(INDEX(Properties!A$1:CB$87,Formula!F11,9))+((Formula!I11)/(Formula!C11+Formula!E11+Formula!G11+Formula!I11+Formula!K11))*(INDEX(Properties!A$1:CB$87,Formula!H11,9))+((Formula!K11)/(Formula!C11+Formula!E11+Formula!G11+Formula!I11+Formula!K11))*(INDEX(Properties!A$1:CB$87,Formula!J11,9))</f>
        <v>57</v>
      </c>
      <c r="AA11" s="72">
        <f>Formula!C11*(INDEX(Properties!A$1:CB$87,Formula!B11,9))+Formula!E11*(INDEX(Properties!A$1:CB$87,Formula!D11,9))+Formula!G11*(INDEX(Properties!A$1:CB$87,Formula!F11,9))+Formula!I11*(INDEX(Properties!A$1:CB$87,Formula!H11,9))+Formula!K11*(INDEX(Properties!A$1:CB$87,Formula!J11,9))</f>
        <v>171</v>
      </c>
      <c r="AB11" s="72">
        <f>VARP(IF(INDEX(Properties!A$1:CB$87,Formula!B11,9)&lt;&gt;"",INDEX(Properties!A$1:CB$87,Formula!B11,9)),IF(INDEX(Properties!A$1:CB$87,Formula!D11,9)&lt;&gt;"",INDEX(Properties!A$1:CB$87,Formula!D11,9)),IF(INDEX(Properties!A$1:CB$87,Formula!F11,9)&lt;&gt;"",INDEX(Properties!A$1:CB$87,Formula!F11,9)),IF(INDEX(Properties!A$1:CB$87,Formula!H11,9)&lt;&gt;"",INDEX(Properties!A$1:CB$87,Formula!H11,9)),IF(INDEX(Properties!A$1:CB$87,Formula!J11,9)&lt;&gt;"",INDEX(Properties!A$1:CB$87,Formula!J11,9)))</f>
        <v>1409.76</v>
      </c>
      <c r="AC11" s="72">
        <f>MAX(INDEX(Properties!A$1:CB$87,Formula!B11,9),INDEX(Properties!A$1:CB$87,Formula!D11,9),INDEX(Properties!A$1:CB$87,Formula!F11,9),INDEX(Properties!A$1:CB$87,Formula!H11,9),INDEX(Properties!A$1:CB$87,Formula!J11,9))</f>
        <v>87</v>
      </c>
      <c r="AD11" s="72">
        <f>MIN(IF(INDEX(Properties!A$1:CB$87,Formula!B11,9)=0,10^6,INDEX(Properties!A$1:CB$87,Formula!B11,9)),IF(INDEX(Properties!A$1:CB$87,Formula!D11,9)=0,10^6,INDEX(Properties!A$1:CB$87,Formula!D11,9)),IF(INDEX(Properties!A$1:CB$87,Formula!F11,9)=0,10^6,INDEX(Properties!A$1:CB$87,Formula!F11,9)),IF(INDEX(Properties!A$1:CB$87,Formula!H11,9)=0,10^6,INDEX(Properties!A$1:CB$87,Formula!H11,9)),IF(INDEX(Properties!A$1:CB$87,Formula!J11,9)=0,10^6,INDEX(Properties!A$1:CB$87,Formula!J11,9)))</f>
        <v>12</v>
      </c>
      <c r="AE11" s="72">
        <f t="shared" si="4"/>
        <v>75</v>
      </c>
      <c r="AF11" s="51">
        <f>((Formula!C11)/(Formula!C11+Formula!E11+Formula!G11+Formula!I11+Formula!K11))*(INDEX(Properties!A$1:CB$87,Formula!B11,10))+((Formula!E11)/(Formula!C11+Formula!E11+Formula!G11+Formula!I11+Formula!K11))*(INDEX(Properties!A$1:CB$87,Formula!D11,10))+((Formula!G11)/(Formula!C11+Formula!E11+Formula!G11+Formula!I11+Formula!K11))*(INDEX(Properties!A$1:CB$87,Formula!F11,10))+((Formula!I11)/(Formula!C11+Formula!E11+Formula!G11+Formula!I11+Formula!K11))*(INDEX(Properties!A$1:CB$87,Formula!H11,10))+((Formula!K11)/(Formula!C11+Formula!E11+Formula!G11+Formula!I11+Formula!K11))*(INDEX(Properties!A$1:CB$87,Formula!J11,10))</f>
        <v>5.333333333333333</v>
      </c>
      <c r="AG11" s="51">
        <f>Formula!C11*(INDEX(Properties!A$1:CB$87,Formula!B11,10))+Formula!E11*(INDEX(Properties!A$1:CB$87,Formula!D11,10))+Formula!G11*(INDEX(Properties!A$1:CB$87,Formula!F11,10))+Formula!I11*(INDEX(Properties!A$1:CB$87,Formula!H11,10))+Formula!K11*(INDEX(Properties!A$1:CB$87,Formula!J11,10))</f>
        <v>16</v>
      </c>
      <c r="AH11" s="51">
        <f>VARP(IF(INDEX(Properties!A$1:CB$87,Formula!B11,10)&lt;&gt;"",INDEX(Properties!A$1:CB$87,Formula!B11,10)),IF(INDEX(Properties!A$1:CB$87,Formula!D11,10)&lt;&gt;"",INDEX(Properties!A$1:CB$87,Formula!D11,10)),IF(INDEX(Properties!A$1:CB$87,Formula!F11,10)&lt;&gt;"",INDEX(Properties!A$1:CB$87,Formula!F11,10)),IF(INDEX(Properties!A$1:CB$87,Formula!H11,10)&lt;&gt;"",INDEX(Properties!A$1:CB$87,Formula!H11,10)),IF(INDEX(Properties!A$1:CB$87,Formula!J11,10)&lt;&gt;"",INDEX(Properties!A$1:CB$87,Formula!J11,10)))</f>
        <v>8.56</v>
      </c>
      <c r="AI11" s="51">
        <f>MAX(INDEX(Properties!A$1:CB$87,Formula!B11,10),INDEX(Properties!A$1:CB$87,Formula!D11,10),INDEX(Properties!A$1:CB$87,Formula!F11,10),INDEX(Properties!A$1:CB$87,Formula!H11,10),INDEX(Properties!A$1:CB$87,Formula!J11,10))</f>
        <v>7</v>
      </c>
      <c r="AJ11" s="51">
        <f>MIN(IF(INDEX(Properties!A$1:CB$87,Formula!B11,10)=0,10^6,INDEX(Properties!A$1:CB$87,Formula!B11,10)),IF(INDEX(Properties!A$1:CB$87,Formula!D11,10)=0,10^6,INDEX(Properties!A$1:CB$87,Formula!D11,10)),IF(INDEX(Properties!A$1:CB$87,Formula!F11,10)=0,10^6,INDEX(Properties!A$1:CB$87,Formula!F11,10)),IF(INDEX(Properties!A$1:CB$87,Formula!H11,10)=0,10^6,INDEX(Properties!A$1:CB$87,Formula!H11,10)),IF(INDEX(Properties!A$1:CB$87,Formula!J11,10)=0,10^6,INDEX(Properties!A$1:CB$87,Formula!J11,10)))</f>
        <v>3</v>
      </c>
      <c r="AK11" s="51">
        <f t="shared" si="5"/>
        <v>4</v>
      </c>
      <c r="AL11" s="57">
        <f>((Formula!C11)/(Formula!C11+Formula!E11+Formula!G11+Formula!I11+Formula!K11))*(INDEX(Properties!A$1:CB$87,Formula!B11,11))+((Formula!E11)/(Formula!C11+Formula!E11+Formula!G11+Formula!I11+Formula!K11))*(INDEX(Properties!A$1:CB$87,Formula!D11,11))+((Formula!G11)/(Formula!C11+Formula!E11+Formula!G11+Formula!I11+Formula!K11))*(INDEX(Properties!A$1:CB$87,Formula!F11,11))+((Formula!I11)/(Formula!C11+Formula!E11+Formula!G11+Formula!I11+Formula!K11))*(INDEX(Properties!A$1:CB$87,Formula!H11,11))+((Formula!K11)/(Formula!C11+Formula!E11+Formula!G11+Formula!I11+Formula!K11))*(INDEX(Properties!A$1:CB$87,Formula!J11,11))</f>
        <v>2</v>
      </c>
      <c r="AM11" s="57">
        <f>Formula!C11*(INDEX(Properties!A$1:CB$87,Formula!B11,11))+Formula!E11*(INDEX(Properties!A$1:CB$87,Formula!D11,11))+Formula!G11*(INDEX(Properties!A$1:CB$87,Formula!F11,11))+Formula!I11*(INDEX(Properties!A$1:CB$87,Formula!H11,11))+Formula!K11*(INDEX(Properties!A$1:CB$87,Formula!J11,11))</f>
        <v>6</v>
      </c>
      <c r="AN11" s="57">
        <f>VARP(IF(INDEX(Properties!A$1:CB$87,Formula!B11,11)&lt;&gt;"",INDEX(Properties!A$1:CB$87,Formula!B11,11)),IF(INDEX(Properties!A$1:CB$87,Formula!D11,11)&lt;&gt;"",INDEX(Properties!A$1:CB$87,Formula!D11,11)),IF(INDEX(Properties!A$1:CB$87,Formula!F11,11)&lt;&gt;"",INDEX(Properties!A$1:CB$87,Formula!F11,11)),IF(INDEX(Properties!A$1:CB$87,Formula!H11,11)&lt;&gt;"",INDEX(Properties!A$1:CB$87,Formula!H11,11)),IF(INDEX(Properties!A$1:CB$87,Formula!J11,11)&lt;&gt;"",INDEX(Properties!A$1:CB$87,Formula!J11,11)))</f>
        <v>0.96</v>
      </c>
      <c r="AO11" s="57">
        <f>MAX(INDEX(Properties!A$1:CB$87,Formula!B11,11),INDEX(Properties!A$1:CB$87,Formula!D11,11),INDEX(Properties!A$1:CB$87,Formula!F11,11),INDEX(Properties!A$1:CB$87,Formula!H11,11),INDEX(Properties!A$1:CB$87,Formula!J11,11))</f>
        <v>2</v>
      </c>
      <c r="AP11" s="57">
        <f>MIN(IF(Formula!B11=87,10^6,INDEX(Properties!A$1:CB$87,Formula!B11,11)),IF((Formula!D11)=87,10^6,INDEX(Properties!A$1:CB$87,Formula!D11,11)),IF((Formula!F11)=87,10^6,INDEX(Properties!A$1:CB$87,Formula!F11,11)),IF((Formula!H11)=87,10^6,INDEX(Properties!A$1:CB$87,Formula!H11,11)),IF(Formula!J11=87,10^6,INDEX(Properties!A$1:CB$87,Formula!J11,11)))</f>
        <v>2</v>
      </c>
      <c r="AQ11" s="57">
        <f t="shared" si="6"/>
        <v>0</v>
      </c>
      <c r="AR11" s="78">
        <f>((Formula!C11)/(Formula!C11+Formula!E11+Formula!G11+Formula!I11+Formula!K11))*(INDEX(Properties!A$1:CB$87,Formula!B11,12))+((Formula!E11)/(Formula!C11+Formula!E11+Formula!G11+Formula!I11+Formula!K11))*(INDEX(Properties!A$1:CB$87,Formula!D11,12))+((Formula!G11)/(Formula!C11+Formula!E11+Formula!G11+Formula!I11+Formula!K11))*(INDEX(Properties!A$1:CB$87,Formula!F11,12))+((Formula!I11)/(Formula!C11+Formula!E11+Formula!G11+Formula!I11+Formula!K11))*(INDEX(Properties!A$1:CB$87,Formula!H11,12))+((Formula!K11)/(Formula!C11+Formula!E11+Formula!G11+Formula!I11+Formula!K11))*(INDEX(Properties!A$1:CB$87,Formula!J11,12))</f>
        <v>1.6666666666666665</v>
      </c>
      <c r="AS11" s="78">
        <f>Formula!C11*(INDEX(Properties!A$1:CB$87,Formula!B11,12))+Formula!E11*(INDEX(Properties!A$1:CB$87,Formula!D11,12))+Formula!G11*(INDEX(Properties!A$1:CB$87,Formula!F11,12))+Formula!I11*(INDEX(Properties!A$1:CB$87,Formula!H11,12))+Formula!K11*(INDEX(Properties!A$1:CB$87,Formula!J11,12))</f>
        <v>5</v>
      </c>
      <c r="AT11" s="78">
        <f>VARP(IF(INDEX(Properties!A$1:CB$87,Formula!B11,12)&lt;&gt;"",INDEX(Properties!A$1:CB$87,Formula!B11,12)),IF(INDEX(Properties!A$1:CB$87,Formula!D11,12)&lt;&gt;"",INDEX(Properties!A$1:CB$87,Formula!D11,12)),IF(INDEX(Properties!A$1:CB$87,Formula!F11,12)&lt;&gt;"",INDEX(Properties!A$1:CB$87,Formula!F11,12)),IF(INDEX(Properties!A$1:CB$87,Formula!H11,12)&lt;&gt;"",INDEX(Properties!A$1:CB$87,Formula!H11,12)),IF(INDEX(Properties!A$1:CB$87,Formula!J11,12)&lt;&gt;"",INDEX(Properties!A$1:CB$87,Formula!J11,12)))</f>
        <v>2.4</v>
      </c>
      <c r="AU11" s="78">
        <f>MAX(INDEX(Properties!A$1:CB$87,Formula!B11,12),INDEX(Properties!A$1:CB$87,Formula!D11,12),INDEX(Properties!A$1:CB$87,Formula!F11,12),INDEX(Properties!A$1:CB$87,Formula!H11,12),INDEX(Properties!A$1:CB$87,Formula!J11,12))</f>
        <v>4</v>
      </c>
      <c r="AV11" s="78">
        <f>MIN(IF(Formula!B11=87,10^6,INDEX(Properties!A$1:CB$87,Formula!B11,12)),IF((Formula!D11)=87,10^6,INDEX(Properties!A$1:CB$87,Formula!D11,12)),IF((Formula!F11)=87,10^6,INDEX(Properties!A$1:CB$87,Formula!F11,12)),IF((Formula!H11)=87,10^6,INDEX(Properties!A$1:CB$87,Formula!H11,12)),IF(Formula!J11=87,10^6,INDEX(Properties!A$1:CB$87,Formula!J11,12)))</f>
        <v>0</v>
      </c>
      <c r="AW11" s="78">
        <f t="shared" si="7"/>
        <v>4</v>
      </c>
      <c r="AX11" s="45">
        <f>((Formula!C11)/(Formula!C11+Formula!E11+Formula!G11+Formula!I11+Formula!K11))*(INDEX(Properties!A$1:CB$87,Formula!B11,13))+((Formula!E11)/(Formula!C11+Formula!E11+Formula!G11+Formula!I11+Formula!K11))*(INDEX(Properties!A$1:CB$87,Formula!D11,13))+((Formula!G11)/(Formula!C11+Formula!E11+Formula!G11+Formula!I11+Formula!K11))*(INDEX(Properties!A$1:CB$87,Formula!F11,13))+((Formula!I11)/(Formula!C11+Formula!E11+Formula!G11+Formula!I11+Formula!K11))*(INDEX(Properties!A$1:CB$87,Formula!H11,13))+((Formula!K11)/(Formula!C11+Formula!E11+Formula!G11+Formula!I11+Formula!K11))*(INDEX(Properties!A$1:CB$87,Formula!J11,13))</f>
        <v>0.33333333333333331</v>
      </c>
      <c r="AY11" s="45">
        <f>Formula!C11*(INDEX(Properties!A$1:CB$87,Formula!B11,13))+Formula!E11*(INDEX(Properties!A$1:CB$87,Formula!D11,13))+Formula!G11*(INDEX(Properties!A$1:CB$87,Formula!F11,13))+Formula!I11*(INDEX(Properties!A$1:CB$87,Formula!H11,13))+Formula!K11*(INDEX(Properties!A$1:CB$87,Formula!J11,13))</f>
        <v>1</v>
      </c>
      <c r="AZ11" s="45">
        <f>VARP(IF(INDEX(Properties!A$1:CB$87,Formula!B11,13)&lt;&gt;"",INDEX(Properties!A$1:CB$87,Formula!B11,13)),IF(INDEX(Properties!A$1:CB$87,Formula!D11,13)&lt;&gt;"",INDEX(Properties!A$1:CB$87,Formula!D11,13)),IF(INDEX(Properties!A$1:CB$87,Formula!F11,13)&lt;&gt;"",INDEX(Properties!A$1:CB$87,Formula!F11,13)),IF(INDEX(Properties!A$1:CB$87,Formula!H11,13)&lt;&gt;"",INDEX(Properties!A$1:CB$87,Formula!H11,13)),IF(INDEX(Properties!A$1:CB$87,Formula!J11,13)&lt;&gt;"",INDEX(Properties!A$1:CB$87,Formula!J11,13)))</f>
        <v>0.16</v>
      </c>
      <c r="BA11" s="45">
        <f>MAX(INDEX(Properties!A$1:CB$87,Formula!B11,13),INDEX(Properties!A$1:CB$87,Formula!D11,13),INDEX(Properties!A$1:CB$87,Formula!F11,13),INDEX(Properties!A$1:CB$87,Formula!H11,13),INDEX(Properties!A$1:CB$87,Formula!J11,13))</f>
        <v>1</v>
      </c>
      <c r="BB11" s="45">
        <f>MIN(IF(Formula!B11=87,10^6,INDEX(Properties!A$1:CB$87,Formula!B11,13)),IF((Formula!D11)=87,10^6,INDEX(Properties!A$1:CB$87,Formula!D11,13)),IF((Formula!F11)=87,10^6,INDEX(Properties!A$1:CB$87,Formula!F11,13)),IF((Formula!H11)=87,10^6,INDEX(Properties!A$1:CB$87,Formula!H11,13)),IF(Formula!J11=87,10^6,INDEX(Properties!A$1:CB$87,Formula!J11,13)))</f>
        <v>0</v>
      </c>
      <c r="BC11" s="45">
        <f t="shared" si="8"/>
        <v>1</v>
      </c>
      <c r="BD11" s="63">
        <f>((Formula!C11)/(Formula!C11+Formula!E11+Formula!G11+Formula!I11+Formula!K11))*(INDEX(Properties!A$1:CB$87,Formula!B11,14))+((Formula!E11)/(Formula!C11+Formula!E11+Formula!G11+Formula!I11+Formula!K11))*(INDEX(Properties!A$1:CB$87,Formula!D11,14))+((Formula!G11)/(Formula!C11+Formula!E11+Formula!G11+Formula!I11+Formula!K11))*(INDEX(Properties!A$1:CB$87,Formula!F11,14))+((Formula!I11)/(Formula!C11+Formula!E11+Formula!G11+Formula!I11+Formula!K11))*(INDEX(Properties!A$1:CB$87,Formula!H11,14))+((Formula!K11)/(Formula!C11+Formula!E11+Formula!G11+Formula!I11+Formula!K11))*(INDEX(Properties!A$1:CB$87,Formula!J11,14))</f>
        <v>0</v>
      </c>
      <c r="BE11" s="63">
        <f>Formula!C11*(INDEX(Properties!A$1:CB$87,Formula!B11,14))+Formula!E11*(INDEX(Properties!A$1:CB$87,Formula!D11,14))+Formula!G11*(INDEX(Properties!A$1:CB$87,Formula!F11,14))+Formula!I11*(INDEX(Properties!A$1:CB$87,Formula!H11,14))+Formula!K11*(INDEX(Properties!A$1:CB$87,Formula!J11,14))</f>
        <v>0</v>
      </c>
      <c r="BF11" s="63">
        <f>VARP(IF(INDEX(Properties!A$1:CB$87,Formula!B11,14)&lt;&gt;"",INDEX(Properties!A$1:CB$87,Formula!B11,14)),IF(INDEX(Properties!A$1:CB$87,Formula!D11,14)&lt;&gt;"",INDEX(Properties!A$1:CB$87,Formula!D11,14)),IF(INDEX(Properties!A$1:CB$87,Formula!F11,14)&lt;&gt;"",INDEX(Properties!A$1:CB$87,Formula!F11,14)),IF(INDEX(Properties!A$1:CB$87,Formula!H11,14)&lt;&gt;"",INDEX(Properties!A$1:CB$87,Formula!H11,14)),IF(INDEX(Properties!A$1:CB$87,Formula!J11,14)&lt;&gt;"",INDEX(Properties!A$1:CB$87,Formula!J11,14)))</f>
        <v>0</v>
      </c>
      <c r="BG11" s="63">
        <f>MAX(INDEX(Properties!A$1:CB$87,Formula!B11,14),INDEX(Properties!A$1:CB$87,Formula!D11,14),INDEX(Properties!A$1:CB$87,Formula!F11,14),INDEX(Properties!A$1:CB$87,Formula!H11,14),INDEX(Properties!A$1:CB$87,Formula!J11,14))</f>
        <v>0</v>
      </c>
      <c r="BH11" s="63">
        <f>MIN(IF(Formula!B11=87,10^6,INDEX(Properties!A$1:CB$87,Formula!B11,14)),IF((Formula!D11)=87,10^6,INDEX(Properties!A$1:CB$87,Formula!D11,14)),IF((Formula!F11)=87,10^6,INDEX(Properties!A$1:CB$87,Formula!F11,14)),IF((Formula!H11)=87,10^6,INDEX(Properties!A$1:CB$87,Formula!H11,14)),IF(Formula!J11=87,10^6,INDEX(Properties!A$1:CB$87,Formula!J11,14)))</f>
        <v>0</v>
      </c>
      <c r="BI11" s="63">
        <f t="shared" si="9"/>
        <v>0</v>
      </c>
      <c r="BJ11" s="75">
        <f>((Formula!C11)/(Formula!C11+Formula!E11+Formula!G11+Formula!I11+Formula!K11))*(INDEX(Properties!A$1:CB$87,Formula!B11,19))+((Formula!E11)/(Formula!C11+Formula!E11+Formula!G11+Formula!I11+Formula!K11))*(INDEX(Properties!A$1:CB$87,Formula!D11,19))+((Formula!G11)/(Formula!C11+Formula!E11+Formula!G11+Formula!I11+Formula!K11))*(INDEX(Properties!A$1:CB$87,Formula!F11,19))+((Formula!I11)/(Formula!C11+Formula!E11+Formula!G11+Formula!I11+Formula!K11))*(INDEX(Properties!A$1:CB$87,Formula!H11,19))+((Formula!K11)/(Formula!C11+Formula!E11+Formula!G11+Formula!I11+Formula!K11))*(INDEX(Properties!A$1:CB$87,Formula!J11,19))</f>
        <v>4</v>
      </c>
      <c r="BK11" s="75">
        <f>Formula!C11*(INDEX(Properties!A$1:CB$87,Formula!B11,19))+Formula!E11*(INDEX(Properties!A$1:CB$87,Formula!D11,19))+Formula!G11*(INDEX(Properties!A$1:CB$87,Formula!F11,19))+Formula!I11*(INDEX(Properties!A$1:CB$87,Formula!H11,19))+Formula!K11*(INDEX(Properties!A$1:CB$87,Formula!J11,19))</f>
        <v>12</v>
      </c>
      <c r="BL11" s="75">
        <f>VARP(IF(INDEX(Properties!A$1:CB$87,Formula!B11,19)&lt;&gt;"",INDEX(Properties!A$1:CB$87,Formula!B11,19)),IF(INDEX(Properties!A$1:CB$87,Formula!D11,19)&lt;&gt;"",INDEX(Properties!A$1:CB$87,Formula!D11,19)),IF(INDEX(Properties!A$1:CB$87,Formula!F11,19)&lt;&gt;"",INDEX(Properties!A$1:CB$87,Formula!F11,19)),IF(INDEX(Properties!A$1:CB$87,Formula!H11,19)&lt;&gt;"",INDEX(Properties!A$1:CB$87,Formula!H11,19)),IF(INDEX(Properties!A$1:CB$87,Formula!J11,19)&lt;&gt;"",INDEX(Properties!A$1:CB$87,Formula!J11,19)))</f>
        <v>5.04</v>
      </c>
      <c r="BM11" s="75">
        <f>MAX(INDEX(Properties!A$1:CB$87,Formula!B11,19),INDEX(Properties!A$1:CB$87,Formula!D11,19),INDEX(Properties!A$1:CB$87,Formula!F11,19),INDEX(Properties!A$1:CB$87,Formula!H11,19),INDEX(Properties!A$1:CB$87,Formula!J11,19))</f>
        <v>6</v>
      </c>
      <c r="BN11" s="75">
        <f>MIN(IF(INDEX(Properties!A$1:CB$87,Formula!B11,19)=0,10^6,INDEX(Properties!A$1:CB$87,Formula!B11,19)),IF(INDEX(Properties!A$1:CB$87,Formula!D11,19)=0,10^6,INDEX(Properties!A$1:CB$87,Formula!D11,19)),IF(INDEX(Properties!A$1:CB$87,Formula!F11,19)=0,10^6,INDEX(Properties!A$1:CB$87,Formula!F11,19)),IF(INDEX(Properties!A$1:CB$87,Formula!H11,19)=0,10^6,INDEX(Properties!A$1:CB$87,Formula!H11,19)),IF(INDEX(Properties!A$1:CB$87,Formula!J11,19)=0,10^6,INDEX(Properties!A$1:CB$87,Formula!J11,19)))</f>
        <v>3</v>
      </c>
      <c r="BO11" s="75">
        <f t="shared" si="10"/>
        <v>3</v>
      </c>
      <c r="BP11" s="48">
        <f>((Formula!C11)/(Formula!C11+Formula!E11+Formula!G11+Formula!I11+Formula!K11))*(INDEX(Properties!A$1:CB$87,Formula!B11,20))+((Formula!E11)/(Formula!C11+Formula!E11+Formula!G11+Formula!I11+Formula!K11))*(INDEX(Properties!A$1:CB$87,Formula!D11,20))+((Formula!G11)/(Formula!C11+Formula!E11+Formula!G11+Formula!I11+Formula!K11))*(INDEX(Properties!A$1:CB$87,Formula!F11,20))+((Formula!I11)/(Formula!C11+Formula!E11+Formula!G11+Formula!I11+Formula!K11))*(INDEX(Properties!A$1:CB$87,Formula!H11,20))+((Formula!K11)/(Formula!C11+Formula!E11+Formula!G11+Formula!I11+Formula!K11))*(INDEX(Properties!A$1:CB$87,Formula!J11,20))</f>
        <v>3.6666666666666665</v>
      </c>
      <c r="BQ11" s="48">
        <f>Formula!C11*(INDEX(Properties!A$1:CB$87,Formula!B11,20))+Formula!E11*(INDEX(Properties!A$1:CB$87,Formula!D11,20))+Formula!G11*(INDEX(Properties!A$1:CB$87,Formula!F11,20))+Formula!I11*(INDEX(Properties!A$1:CB$87,Formula!H11,20))+Formula!K11*(INDEX(Properties!A$1:CB$87,Formula!J11,20))</f>
        <v>11</v>
      </c>
      <c r="BR11" s="48">
        <f>VARP(IF(INDEX(Properties!A$1:CB$87,Formula!B11,20)&lt;&gt;"",INDEX(Properties!A$1:CB$87,Formula!B11,20)),IF(INDEX(Properties!A$1:CB$87,Formula!D11,20)&lt;&gt;"",INDEX(Properties!A$1:CB$87,Formula!D11,20)),IF(INDEX(Properties!A$1:CB$87,Formula!F11,20)&lt;&gt;"",INDEX(Properties!A$1:CB$87,Formula!F11,20)),IF(INDEX(Properties!A$1:CB$87,Formula!H11,20)&lt;&gt;"",INDEX(Properties!A$1:CB$87,Formula!H11,20)),IF(INDEX(Properties!A$1:CB$87,Formula!J11,20)&lt;&gt;"",INDEX(Properties!A$1:CB$87,Formula!J11,20)))</f>
        <v>4.96</v>
      </c>
      <c r="BS11" s="48">
        <f>MAX(INDEX(Properties!A$1:CB$87,Formula!B11,20),INDEX(Properties!A$1:CB$87,Formula!D11,20),INDEX(Properties!A$1:CB$87,Formula!F11,20),INDEX(Properties!A$1:CB$87,Formula!H11,20),INDEX(Properties!A$1:CB$87,Formula!J11,20))</f>
        <v>6</v>
      </c>
      <c r="BT11" s="48">
        <f>MIN(IF(INDEX(Properties!A$1:CB$87,Formula!B11,20)=0,10^6,INDEX(Properties!A$1:CB$87,Formula!B11,20)),IF(INDEX(Properties!A$1:CB$87,Formula!D11,20)=0,10^6,INDEX(Properties!A$1:CB$87,Formula!D11,20)),IF(INDEX(Properties!A$1:CB$87,Formula!F11,20)=0,10^6,INDEX(Properties!A$1:CB$87,Formula!F11,20)),IF(INDEX(Properties!A$1:CB$87,Formula!H11,20)=0,10^6,INDEX(Properties!A$1:CB$87,Formula!H11,20)),IF(INDEX(Properties!A$1:CB$87,Formula!J11,20)=0,10^6,INDEX(Properties!A$1:CB$87,Formula!J11,20)))</f>
        <v>2</v>
      </c>
      <c r="BU11" s="48">
        <f t="shared" si="11"/>
        <v>4</v>
      </c>
      <c r="BV11" s="66">
        <f>((Formula!C11)/(Formula!C11+Formula!E11+Formula!G11+Formula!I11+Formula!K11))*(INDEX(Properties!A$1:CB$87,Formula!B11,21))+((Formula!E11)/(Formula!C11+Formula!E11+Formula!G11+Formula!I11+Formula!K11))*(INDEX(Properties!A$1:CB$87,Formula!D11,21))+((Formula!G11)/(Formula!C11+Formula!E11+Formula!G11+Formula!I11+Formula!K11))*(INDEX(Properties!A$1:CB$87,Formula!F11,21))+((Formula!I11)/(Formula!C11+Formula!E11+Formula!G11+Formula!I11+Formula!K11))*(INDEX(Properties!A$1:CB$87,Formula!H11,21))+((Formula!K11)/(Formula!C11+Formula!E11+Formula!G11+Formula!I11+Formula!K11))*(INDEX(Properties!A$1:CB$87,Formula!J11,21))</f>
        <v>3.333333333333333</v>
      </c>
      <c r="BW11" s="66">
        <f>Formula!C11*(INDEX(Properties!A$1:CB$87,Formula!B11,21))+Formula!E11*(INDEX(Properties!A$1:CB$87,Formula!D11,21))+Formula!G11*(INDEX(Properties!A$1:CB$87,Formula!F11,21))+Formula!I11*(INDEX(Properties!A$1:CB$87,Formula!H11,21))+Formula!K11*(INDEX(Properties!A$1:CB$87,Formula!J11,21))</f>
        <v>10</v>
      </c>
      <c r="BX11" s="66">
        <f>VARP(IF(INDEX(Properties!A$1:CB$87,Formula!B11,21)&lt;&gt;"",INDEX(Properties!A$1:CB$87,Formula!B11,21)),IF(INDEX(Properties!A$1:CB$87,Formula!D11,21)&lt;&gt;"",INDEX(Properties!A$1:CB$87,Formula!D11,21)),IF(INDEX(Properties!A$1:CB$87,Formula!F11,21)&lt;&gt;"",INDEX(Properties!A$1:CB$87,Formula!F11,21)),IF(INDEX(Properties!A$1:CB$87,Formula!H11,21)&lt;&gt;"",INDEX(Properties!A$1:CB$87,Formula!H11,21)),IF(INDEX(Properties!A$1:CB$87,Formula!J11,21)&lt;&gt;"",INDEX(Properties!A$1:CB$87,Formula!J11,21)))</f>
        <v>5.2</v>
      </c>
      <c r="BY11" s="66">
        <f>MAX(INDEX(Properties!A$1:CB$87,Formula!B11,21),INDEX(Properties!A$1:CB$87,Formula!D11,21),INDEX(Properties!A$1:CB$87,Formula!F11,21),INDEX(Properties!A$1:CB$87,Formula!H11,21),INDEX(Properties!A$1:CB$87,Formula!J11,21))</f>
        <v>6</v>
      </c>
      <c r="BZ11" s="66">
        <f>MIN(IF(INDEX(Properties!A$1:CB$87,Formula!B11,21)=0,10^6,INDEX(Properties!A$1:CB$87,Formula!B11,21)),IF(INDEX(Properties!A$1:CB$87,Formula!D11,21)=0,10^6,INDEX(Properties!A$1:CB$87,Formula!D11,21)),IF(INDEX(Properties!A$1:CB$87,Formula!F11,21)=0,10^6,INDEX(Properties!A$1:CB$87,Formula!F11,21)),IF(INDEX(Properties!A$1:CB$87,Formula!H11,21)=0,10^6,INDEX(Properties!A$1:CB$87,Formula!H11,21)),IF(INDEX(Properties!A$1:CB$87,Formula!J11,21)=0,10^6,INDEX(Properties!A$1:CB$87,Formula!J11,21)))</f>
        <v>1</v>
      </c>
      <c r="CA11" s="66">
        <f t="shared" si="12"/>
        <v>5</v>
      </c>
      <c r="CB11" s="81">
        <f>((Formula!C11)/(Formula!C11+Formula!E11+Formula!G11+Formula!I11+Formula!K11))*(INDEX(Properties!A$1:CB$87,Formula!B11,23))+((Formula!E11)/(Formula!C11+Formula!E11+Formula!G11+Formula!I11+Formula!K11))*(INDEX(Properties!A$1:CB$87,Formula!D11,23))+((Formula!G11)/(Formula!C11+Formula!E11+Formula!G11+Formula!I11+Formula!K11))*(INDEX(Properties!A$1:CB$87,Formula!F11,23))+((Formula!I11)/(Formula!C11+Formula!E11+Formula!G11+Formula!I11+Formula!K11))*(INDEX(Properties!A$1:CB$87,Formula!H11,23))+((Formula!K11)/(Formula!C11+Formula!E11+Formula!G11+Formula!I11+Formula!K11))*(INDEX(Properties!A$1:CB$87,Formula!J11,23))</f>
        <v>2</v>
      </c>
      <c r="CC11" s="81">
        <f>Formula!C11*(INDEX(Properties!A$1:CB$87,Formula!B11,23))+Formula!E11*(INDEX(Properties!A$1:CB$87,Formula!D11,23))+Formula!G11*(INDEX(Properties!A$1:CB$87,Formula!F11,23))+Formula!I11*(INDEX(Properties!A$1:CB$87,Formula!H11,23))+Formula!K11*(INDEX(Properties!A$1:CB$87,Formula!J11,23))</f>
        <v>6</v>
      </c>
      <c r="CD11" s="81">
        <f>VARP(IF(INDEX(Properties!A$1:CB$87,Formula!B11,23)&lt;&gt;"",INDEX(Properties!A$1:CB$87,Formula!B11,23)),IF(INDEX(Properties!A$1:CB$87,Formula!D11,23)&lt;&gt;"",INDEX(Properties!A$1:CB$87,Formula!D11,23)),IF(INDEX(Properties!A$1:CB$87,Formula!F11,23)&lt;&gt;"",INDEX(Properties!A$1:CB$87,Formula!F11,23)),IF(INDEX(Properties!A$1:CB$87,Formula!H11,23)&lt;&gt;"",INDEX(Properties!A$1:CB$87,Formula!H11,23)),IF(INDEX(Properties!A$1:CB$87,Formula!J11,23)&lt;&gt;"",INDEX(Properties!A$1:CB$87,Formula!J11,23)))</f>
        <v>2.16</v>
      </c>
      <c r="CE11" s="81">
        <f>MAX(INDEX(Properties!A$1:CB$87,Formula!B11,23),INDEX(Properties!A$1:CB$87,Formula!D11,23),INDEX(Properties!A$1:CB$87,Formula!F11,23),INDEX(Properties!A$1:CB$87,Formula!H11,23),INDEX(Properties!A$1:CB$87,Formula!J11,23))</f>
        <v>3</v>
      </c>
      <c r="CF11" s="81">
        <f>MIN(IF(Formula!B11=87,10^6,INDEX(Properties!A$1:CB$87,Formula!B11,23)),IF((Formula!D11)=87,10^6,INDEX(Properties!A$1:CB$87,Formula!D11,23)),IF((Formula!F11)=87,10^6,INDEX(Properties!A$1:CB$87,Formula!F11,23)),IF((Formula!H11)=87,10^6,INDEX(Properties!A$1:CB$87,Formula!H11,23)),IF(Formula!J11=87,10^6,INDEX(Properties!A$1:CB$87,Formula!J11,23)))</f>
        <v>0</v>
      </c>
      <c r="CG11" s="81">
        <f t="shared" si="13"/>
        <v>3</v>
      </c>
      <c r="CH11" s="39">
        <f>((Formula!C11)/(Formula!C11+Formula!E11+Formula!G11+Formula!I11+Formula!K11))*(INDEX(Properties!A$1:CB$87,Formula!B11,26))+((Formula!E11)/(Formula!C11+Formula!E11+Formula!G11+Formula!I11+Formula!K11))*(INDEX(Properties!A$1:CB$87,Formula!D11,26))+((Formula!G11)/(Formula!C11+Formula!E11+Formula!G11+Formula!I11+Formula!K11))*(INDEX(Properties!A$1:CB$87,Formula!F11,26))+((Formula!I11)/(Formula!C11+Formula!E11+Formula!G11+Formula!I11+Formula!K11))*(INDEX(Properties!A$1:CB$87,Formula!H11,26))+((Formula!K11)/(Formula!C11+Formula!E11+Formula!G11+Formula!I11+Formula!K11))*(INDEX(Properties!A$1:CB$87,Formula!J11,26))</f>
        <v>9.3777999999999988</v>
      </c>
      <c r="CI11" s="39">
        <f>Formula!C11*(INDEX(Properties!A$1:CB$87,Formula!B11,26))+Formula!E11*(INDEX(Properties!A$1:CB$87,Formula!D11,26))+Formula!G11*(INDEX(Properties!A$1:CB$87,Formula!F11,26))+Formula!I11*(INDEX(Properties!A$1:CB$87,Formula!H11,26))+Formula!K11*(INDEX(Properties!A$1:CB$87,Formula!J11,26))</f>
        <v>28.133400000000002</v>
      </c>
      <c r="CJ11" s="39">
        <f>VARP(IF(INDEX(Properties!A$1:CB$87,Formula!B11,26)&lt;&gt;"",INDEX(Properties!A$1:CB$87,Formula!B11,26)),IF(INDEX(Properties!A$1:CB$87,Formula!D11,26)&lt;&gt;"",INDEX(Properties!A$1:CB$87,Formula!D11,26)),IF(INDEX(Properties!A$1:CB$87,Formula!F11,26)&lt;&gt;"",INDEX(Properties!A$1:CB$87,Formula!F11,26)),IF(INDEX(Properties!A$1:CB$87,Formula!H11,26)&lt;&gt;"",INDEX(Properties!A$1:CB$87,Formula!H11,26)),IF(INDEX(Properties!A$1:CB$87,Formula!J11,26)&lt;&gt;"",INDEX(Properties!A$1:CB$87,Formula!J11,26)))</f>
        <v>26.933326357599991</v>
      </c>
      <c r="CK11" s="39">
        <f>MAX(INDEX(Properties!A$1:CB$87,Formula!B11,26),INDEX(Properties!A$1:CB$87,Formula!D11,26),INDEX(Properties!A$1:CB$87,Formula!F11,26),INDEX(Properties!A$1:CB$87,Formula!H11,26),INDEX(Properties!A$1:CB$87,Formula!J11,26))</f>
        <v>13.6181</v>
      </c>
      <c r="CL11" s="39">
        <f>MIN(IF(INDEX(Properties!A$1:CB$87,Formula!B11,26)=0,10^6,INDEX(Properties!A$1:CB$87,Formula!B11,26)),IF(INDEX(Properties!A$1:CB$87,Formula!D11,26)=0,10^6,INDEX(Properties!A$1:CB$87,Formula!D11,26)),IF(INDEX(Properties!A$1:CB$87,Formula!F11,26)=0,10^6,INDEX(Properties!A$1:CB$87,Formula!F11,26)),IF(INDEX(Properties!A$1:CB$87,Formula!H11,26)=0,10^6,INDEX(Properties!A$1:CB$87,Formula!H11,26)),IF(INDEX(Properties!A$1:CB$87,Formula!J11,26)=0,10^6,INDEX(Properties!A$1:CB$87,Formula!J11,26)))</f>
        <v>6.2172999999999998</v>
      </c>
      <c r="CM11" s="39">
        <f t="shared" si="14"/>
        <v>7.4008000000000003</v>
      </c>
      <c r="CN11" s="54">
        <f>((Formula!C11)/(Formula!C11+Formula!E11+Formula!G11+Formula!I11+Formula!K11))*(INDEX(Properties!A$1:CB$87,Formula!B11,30))+((Formula!E11)/(Formula!C11+Formula!E11+Formula!G11+Formula!I11+Formula!K11))*(INDEX(Properties!A$1:CB$87,Formula!D11,30))+((Formula!G11)/(Formula!C11+Formula!E11+Formula!G11+Formula!I11+Formula!K11))*(INDEX(Properties!A$1:CB$87,Formula!F11,30))+((Formula!I11)/(Formula!C11+Formula!E11+Formula!G11+Formula!I11+Formula!K11))*(INDEX(Properties!A$1:CB$87,Formula!H11,30))+((Formula!K11)/(Formula!C11+Formula!E11+Formula!G11+Formula!I11+Formula!K11))*(INDEX(Properties!A$1:CB$87,Formula!J11,30))</f>
        <v>2.2333333333333329</v>
      </c>
      <c r="CO11" s="54">
        <f>Formula!C11*(INDEX(Properties!A$1:CB$87,Formula!B11,30))+Formula!E11*(INDEX(Properties!A$1:CB$87,Formula!D11,30))+Formula!G11*(INDEX(Properties!A$1:CB$87,Formula!F11,30))+Formula!I11*(INDEX(Properties!A$1:CB$87,Formula!H11,30))+Formula!K11*(INDEX(Properties!A$1:CB$87,Formula!J11,30))</f>
        <v>6.6999999999999993</v>
      </c>
      <c r="CP11" s="54">
        <f>VARP(IF(INDEX(Properties!A$1:CB$87,Formula!B11,30)&lt;&gt;"",INDEX(Properties!A$1:CB$87,Formula!B11,30)),IF(INDEX(Properties!A$1:CB$87,Formula!D11,30)&lt;&gt;"",INDEX(Properties!A$1:CB$87,Formula!D11,30)),IF(INDEX(Properties!A$1:CB$87,Formula!F11,30)&lt;&gt;"",INDEX(Properties!A$1:CB$87,Formula!F11,30)),IF(INDEX(Properties!A$1:CB$87,Formula!H11,30)&lt;&gt;"",INDEX(Properties!A$1:CB$87,Formula!H11,30)),IF(INDEX(Properties!A$1:CB$87,Formula!J11,30)&lt;&gt;"",INDEX(Properties!A$1:CB$87,Formula!J11,30)))</f>
        <v>1.70112</v>
      </c>
      <c r="CQ11" s="54">
        <f>MAX(INDEX(Properties!A$1:CB$87,Formula!B11,30),INDEX(Properties!A$1:CB$87,Formula!D11,30),INDEX(Properties!A$1:CB$87,Formula!F11,30),INDEX(Properties!A$1:CB$87,Formula!H11,30),INDEX(Properties!A$1:CB$87,Formula!J11,30))</f>
        <v>3.44</v>
      </c>
      <c r="CR11" s="54">
        <f>MIN(IF(INDEX(Properties!A$1:CB$87,Formula!B11,30)=0,10^6,INDEX(Properties!A$1:CB$87,Formula!B11,30)),IF(INDEX(Properties!A$1:CB$87,Formula!D11,30)=0,10^6,INDEX(Properties!A$1:CB$87,Formula!D11,30)),IF(INDEX(Properties!A$1:CB$87,Formula!F11,30)=0,10^6,INDEX(Properties!A$1:CB$87,Formula!F11,30)),IF(INDEX(Properties!A$1:CB$87,Formula!H11,30)=0,10^6,INDEX(Properties!A$1:CB$87,Formula!H11,30)),IF(INDEX(Properties!A$1:CB$87,Formula!J11,30)=0,10^6,INDEX(Properties!A$1:CB$87,Formula!J11,30)))</f>
        <v>1.22</v>
      </c>
      <c r="CS11" s="54">
        <f t="shared" si="15"/>
        <v>2.2199999999999998</v>
      </c>
      <c r="CT11" s="69">
        <f>((Formula!C11)/(Formula!C11+Formula!E11+Formula!G11+Formula!I11+Formula!K11))*(INDEX(Properties!A$1:CB$87,Formula!B11,31))+((Formula!E11)/(Formula!C11+Formula!E11+Formula!G11+Formula!I11+Formula!K11))*(INDEX(Properties!A$1:CB$87,Formula!D11,31))+((Formula!G11)/(Formula!C11+Formula!E11+Formula!G11+Formula!I11+Formula!K11))*(INDEX(Properties!A$1:CB$87,Formula!F11,31))+((Formula!I11)/(Formula!C11+Formula!E11+Formula!G11+Formula!I11+Formula!K11))*(INDEX(Properties!A$1:CB$87,Formula!H11,31))+((Formula!K11)/(Formula!C11+Formula!E11+Formula!G11+Formula!I11+Formula!K11))*(INDEX(Properties!A$1:CB$87,Formula!J11,31))</f>
        <v>2.21</v>
      </c>
      <c r="CU11" s="69">
        <f>Formula!C11*(INDEX(Properties!A$1:CB$87,Formula!B11,31))+Formula!E11*(INDEX(Properties!A$1:CB$87,Formula!D11,31))+Formula!G11*(INDEX(Properties!A$1:CB$87,Formula!F11,31))+Formula!I11*(INDEX(Properties!A$1:CB$87,Formula!H11,31))+Formula!K11*(INDEX(Properties!A$1:CB$87,Formula!J11,31))</f>
        <v>6.629999999999999</v>
      </c>
      <c r="CV11" s="69">
        <f>VARP(IF(INDEX(Properties!A$1:CB$87,Formula!B11,31)&lt;&gt;"",INDEX(Properties!A$1:CB$87,Formula!B11,31)),IF(INDEX(Properties!A$1:CB$87,Formula!D11,31)&lt;&gt;"",INDEX(Properties!A$1:CB$87,Formula!D11,31)),IF(INDEX(Properties!A$1:CB$87,Formula!F11,31)&lt;&gt;"",INDEX(Properties!A$1:CB$87,Formula!F11,31)),IF(INDEX(Properties!A$1:CB$87,Formula!H11,31)&lt;&gt;"",INDEX(Properties!A$1:CB$87,Formula!H11,31)),IF(INDEX(Properties!A$1:CB$87,Formula!J11,31)&lt;&gt;"",INDEX(Properties!A$1:CB$87,Formula!J11,31)))</f>
        <v>1.5658240000000001</v>
      </c>
      <c r="CW11" s="69">
        <f>MAX(INDEX(Properties!A$1:CB$87,Formula!B11,31),INDEX(Properties!A$1:CB$87,Formula!D11,31),INDEX(Properties!A$1:CB$87,Formula!F11,31),INDEX(Properties!A$1:CB$87,Formula!H11,31),INDEX(Properties!A$1:CB$87,Formula!J11,31))</f>
        <v>3.32</v>
      </c>
      <c r="CX11" s="69">
        <f>MIN(IF(INDEX(Properties!A$1:CB$87,Formula!B11,31)=0,10^6,INDEX(Properties!A$1:CB$87,Formula!B11,31)),IF(INDEX(Properties!A$1:CB$87,Formula!D11,31)=0,10^6,INDEX(Properties!A$1:CB$87,Formula!D11,31)),IF(INDEX(Properties!A$1:CB$87,Formula!F11,31)=0,10^6,INDEX(Properties!A$1:CB$87,Formula!F11,31)),IF(INDEX(Properties!A$1:CB$87,Formula!H11,31)=0,10^6,INDEX(Properties!A$1:CB$87,Formula!H11,31)),IF(INDEX(Properties!A$1:CB$87,Formula!J11,31)=0,10^6,INDEX(Properties!A$1:CB$87,Formula!J11,31)))</f>
        <v>1.41</v>
      </c>
      <c r="CY11" s="69">
        <f t="shared" si="16"/>
        <v>1.91</v>
      </c>
      <c r="CZ11" s="42">
        <f>((Formula!C11)/(Formula!C11+Formula!E11+Formula!G11+Formula!I11+Formula!K11))*(INDEX(Properties!A$1:CB$87,Formula!B11,32))+((Formula!E11)/(Formula!C11+Formula!E11+Formula!G11+Formula!I11+Formula!K11))*(INDEX(Properties!A$1:CB$87,Formula!D11,32))+((Formula!G11)/(Formula!C11+Formula!E11+Formula!G11+Formula!I11+Formula!K11))*(INDEX(Properties!A$1:CB$87,Formula!F11,32))+((Formula!I11)/(Formula!C11+Formula!E11+Formula!G11+Formula!I11+Formula!K11))*(INDEX(Properties!A$1:CB$87,Formula!H11,32))+((Formula!K11)/(Formula!C11+Formula!E11+Formula!G11+Formula!I11+Formula!K11))*(INDEX(Properties!A$1:CB$87,Formula!J11,32))</f>
        <v>5.0066666666666659</v>
      </c>
      <c r="DA11" s="42">
        <f>Formula!C11*(INDEX(Properties!A$1:CB$87,Formula!B11,32))+Formula!E11*(INDEX(Properties!A$1:CB$87,Formula!D11,32))+Formula!G11*(INDEX(Properties!A$1:CB$87,Formula!F11,32))+Formula!I11*(INDEX(Properties!A$1:CB$87,Formula!H11,32))+Formula!K11*(INDEX(Properties!A$1:CB$87,Formula!J11,32))</f>
        <v>15.02</v>
      </c>
      <c r="DB11" s="42">
        <f>VARP(IF(INDEX(Properties!A$1:CB$87,Formula!B11,32)&lt;&gt;"",INDEX(Properties!A$1:CB$87,Formula!B11,32)),IF(INDEX(Properties!A$1:CB$87,Formula!D11,32)&lt;&gt;"",INDEX(Properties!A$1:CB$87,Formula!D11,32)),IF(INDEX(Properties!A$1:CB$87,Formula!F11,32)&lt;&gt;"",INDEX(Properties!A$1:CB$87,Formula!F11,32)),IF(INDEX(Properties!A$1:CB$87,Formula!H11,32)&lt;&gt;"",INDEX(Properties!A$1:CB$87,Formula!H11,32)),IF(INDEX(Properties!A$1:CB$87,Formula!J11,32)&lt;&gt;"",INDEX(Properties!A$1:CB$87,Formula!J11,32)))</f>
        <v>8.0623440000000013</v>
      </c>
      <c r="DC11" s="42">
        <f>MAX(INDEX(Properties!A$1:CB$87,Formula!B11,32),INDEX(Properties!A$1:CB$87,Formula!D11,32),INDEX(Properties!A$1:CB$87,Formula!F11,32),INDEX(Properties!A$1:CB$87,Formula!H11,32),INDEX(Properties!A$1:CB$87,Formula!J11,32))</f>
        <v>7.54</v>
      </c>
      <c r="DD11" s="42">
        <f>MIN(IF(INDEX(Properties!A$1:CB$87,Formula!B11,32)=0,10^6,INDEX(Properties!A$1:CB$87,Formula!B11,32)),IF(INDEX(Properties!A$1:CB$87,Formula!D11,32)=0,10^6,INDEX(Properties!A$1:CB$87,Formula!D11,32)),IF(INDEX(Properties!A$1:CB$87,Formula!F11,32)=0,10^6,INDEX(Properties!A$1:CB$87,Formula!F11,32)),IF(INDEX(Properties!A$1:CB$87,Formula!H11,32)=0,10^6,INDEX(Properties!A$1:CB$87,Formula!H11,32)),IF(INDEX(Properties!A$1:CB$87,Formula!J11,32)=0,10^6,INDEX(Properties!A$1:CB$87,Formula!J11,32)))</f>
        <v>3.19</v>
      </c>
      <c r="DE11" s="42">
        <f t="shared" si="17"/>
        <v>4.3499999999999996</v>
      </c>
      <c r="DF11" s="60">
        <f>((Formula!C11)/(Formula!C11+Formula!E11+Formula!G11+Formula!I11+Formula!K11))*(INDEX(Properties!A$1:CB$87,Formula!B11,34))+((Formula!E11)/(Formula!C11+Formula!E11+Formula!G11+Formula!I11+Formula!K11))*(INDEX(Properties!A$1:CB$87,Formula!D11,34))+((Formula!G11)/(Formula!C11+Formula!E11+Formula!G11+Formula!I11+Formula!K11))*(INDEX(Properties!A$1:CB$87,Formula!F11,34))+((Formula!I11)/(Formula!C11+Formula!E11+Formula!G11+Formula!I11+Formula!K11))*(INDEX(Properties!A$1:CB$87,Formula!H11,34))+((Formula!K11)/(Formula!C11+Formula!E11+Formula!G11+Formula!I11+Formula!K11))*(INDEX(Properties!A$1:CB$87,Formula!J11,34))</f>
        <v>2.2603333333333331</v>
      </c>
      <c r="DG11" s="60">
        <f>Formula!C11*(INDEX(Properties!A$1:CB$87,Formula!B11,34))+Formula!E11*(INDEX(Properties!A$1:CB$87,Formula!D11,34))+Formula!G11*(INDEX(Properties!A$1:CB$87,Formula!F11,34))+Formula!I11*(INDEX(Properties!A$1:CB$87,Formula!H11,34))+Formula!K11*(INDEX(Properties!A$1:CB$87,Formula!J11,34))</f>
        <v>6.7810000000000006</v>
      </c>
      <c r="DH11" s="60">
        <f>VARP(IF(INDEX(Properties!A$1:CB$87,Formula!B11,34)&lt;&gt;"",INDEX(Properties!A$1:CB$87,Formula!B11,34)),IF(INDEX(Properties!A$1:CB$87,Formula!D11,34)&lt;&gt;"",INDEX(Properties!A$1:CB$87,Formula!D11,34)),IF(INDEX(Properties!A$1:CB$87,Formula!F11,34)&lt;&gt;"",INDEX(Properties!A$1:CB$87,Formula!F11,34)),IF(INDEX(Properties!A$1:CB$87,Formula!H11,34)&lt;&gt;"",INDEX(Properties!A$1:CB$87,Formula!H11,34)),IF(INDEX(Properties!A$1:CB$87,Formula!J11,34)&lt;&gt;"",INDEX(Properties!A$1:CB$87,Formula!J11,34)))</f>
        <v>1.8593417600000002</v>
      </c>
      <c r="DI11" s="60">
        <f>MAX(INDEX(Properties!A$1:CB$87,Formula!B11,34),INDEX(Properties!A$1:CB$87,Formula!D11,34),INDEX(Properties!A$1:CB$87,Formula!F11,34),INDEX(Properties!A$1:CB$87,Formula!H11,34),INDEX(Properties!A$1:CB$87,Formula!J11,34))</f>
        <v>3.61</v>
      </c>
      <c r="DJ11" s="60">
        <f>MIN(IF(INDEX(Properties!A$1:CB$87,Formula!B11,34)=0,10^6,INDEX(Properties!A$1:CB$87,Formula!B11,34)),IF(INDEX(Properties!A$1:CB$87,Formula!D11,34)=0,10^6,INDEX(Properties!A$1:CB$87,Formula!D11,34)),IF(INDEX(Properties!A$1:CB$87,Formula!F11,34)=0,10^6,INDEX(Properties!A$1:CB$87,Formula!F11,34)),IF(INDEX(Properties!A$1:CB$87,Formula!H11,34)=0,10^6,INDEX(Properties!A$1:CB$87,Formula!H11,34)),IF(INDEX(Properties!A$1:CB$87,Formula!J11,34)=0,10^6,INDEX(Properties!A$1:CB$87,Formula!J11,34)))</f>
        <v>1.1200000000000001</v>
      </c>
      <c r="DK11" s="60">
        <f t="shared" si="18"/>
        <v>2.4899999999999998</v>
      </c>
      <c r="DL11" s="45">
        <f>((Formula!C11)/(Formula!C11+Formula!E11+Formula!G11+Formula!I11+Formula!K11))*(INDEX(Properties!A$1:CB$87,Formula!B11,39))+((Formula!E11)/(Formula!C11+Formula!E11+Formula!G11+Formula!I11+Formula!K11))*(INDEX(Properties!A$1:CB$87,Formula!D11,39))+((Formula!G11)/(Formula!C11+Formula!E11+Formula!G11+Formula!I11+Formula!K11))*(INDEX(Properties!A$1:CB$87,Formula!F11,39))+((Formula!I11)/(Formula!C11+Formula!E11+Formula!G11+Formula!I11+Formula!K11))*(INDEX(Properties!A$1:CB$87,Formula!H11,39))+((Formula!K11)/(Formula!C11+Formula!E11+Formula!G11+Formula!I11+Formula!K11))*(INDEX(Properties!A$1:CB$87,Formula!J11,39))</f>
        <v>1.1566666666666665</v>
      </c>
      <c r="DM11" s="45">
        <f>Formula!C11*(INDEX(Properties!A$1:CB$87,Formula!B11,39))+Formula!E11*(INDEX(Properties!A$1:CB$87,Formula!D11,39))+Formula!G11*(INDEX(Properties!A$1:CB$87,Formula!F11,39))+Formula!I11*(INDEX(Properties!A$1:CB$87,Formula!H11,39))+Formula!K11*(INDEX(Properties!A$1:CB$87,Formula!J11,39))</f>
        <v>3.47</v>
      </c>
      <c r="DN11" s="45">
        <f>VARP(IF(INDEX(Properties!A$1:CB$87,Formula!B11,39)&lt;&gt;"",INDEX(Properties!A$1:CB$87,Formula!B11,39)),IF(INDEX(Properties!A$1:CB$87,Formula!D11,39)&lt;&gt;"",INDEX(Properties!A$1:CB$87,Formula!D11,39)),IF(INDEX(Properties!A$1:CB$87,Formula!F11,39)&lt;&gt;"",INDEX(Properties!A$1:CB$87,Formula!F11,39)),IF(INDEX(Properties!A$1:CB$87,Formula!H11,39)&lt;&gt;"",INDEX(Properties!A$1:CB$87,Formula!H11,39)),IF(INDEX(Properties!A$1:CB$87,Formula!J11,39)&lt;&gt;"",INDEX(Properties!A$1:CB$87,Formula!J11,39)))</f>
        <v>0.61470400000000014</v>
      </c>
      <c r="DO11" s="45">
        <f>MAX(INDEX(Properties!A$1:CB$87,Formula!B11,39),INDEX(Properties!A$1:CB$87,Formula!D11,39),INDEX(Properties!A$1:CB$87,Formula!F11,39),INDEX(Properties!A$1:CB$87,Formula!H11,39),INDEX(Properties!A$1:CB$87,Formula!J11,39))</f>
        <v>2.12</v>
      </c>
      <c r="DP11" s="45">
        <f>MIN(IF(INDEX(Properties!A$1:CB$87,Formula!B11,39)=0,10^6,INDEX(Properties!A$1:CB$87,Formula!B11,39)),IF(INDEX(Properties!A$1:CB$87,Formula!D11,39)=0,10^6,INDEX(Properties!A$1:CB$87,Formula!D11,39)),IF(INDEX(Properties!A$1:CB$87,Formula!F11,39)=0,10^6,INDEX(Properties!A$1:CB$87,Formula!F11,39)),IF(INDEX(Properties!A$1:CB$87,Formula!H11,39)=0,10^6,INDEX(Properties!A$1:CB$87,Formula!H11,39)),IF(INDEX(Properties!A$1:CB$87,Formula!J11,39)=0,10^6,INDEX(Properties!A$1:CB$87,Formula!J11,39)))</f>
        <v>0.48</v>
      </c>
      <c r="DQ11" s="45">
        <f t="shared" si="19"/>
        <v>1.6400000000000001</v>
      </c>
      <c r="DR11" s="63">
        <f>((Formula!C11)/(Formula!C11+Formula!E11+Formula!G11+Formula!I11+Formula!K11))*(INDEX(Properties!A$1:CB$87,Formula!B11,40))+((Formula!E11)/(Formula!C11+Formula!E11+Formula!G11+Formula!I11+Formula!K11))*(INDEX(Properties!A$1:CB$87,Formula!D11,40))+((Formula!G11)/(Formula!C11+Formula!E11+Formula!G11+Formula!I11+Formula!K11))*(INDEX(Properties!A$1:CB$87,Formula!F11,40))+((Formula!I11)/(Formula!C11+Formula!E11+Formula!G11+Formula!I11+Formula!K11))*(INDEX(Properties!A$1:CB$87,Formula!H11,40))+((Formula!K11)/(Formula!C11+Formula!E11+Formula!G11+Formula!I11+Formula!K11))*(INDEX(Properties!A$1:CB$87,Formula!J11,40))</f>
        <v>1.0566666666666666</v>
      </c>
      <c r="DS11" s="63">
        <f>Formula!C11*(INDEX(Properties!A$1:CB$87,Formula!B11,40))+Formula!E11*(INDEX(Properties!A$1:CB$87,Formula!D11,40))+Formula!G11*(INDEX(Properties!A$1:CB$87,Formula!F11,40))+Formula!I11*(INDEX(Properties!A$1:CB$87,Formula!H11,40))+Formula!K11*(INDEX(Properties!A$1:CB$87,Formula!J11,40))</f>
        <v>3.17</v>
      </c>
      <c r="DT11" s="63">
        <f>VARP(IF(INDEX(Properties!A$1:CB$87,Formula!B11,40)&lt;&gt;"",INDEX(Properties!A$1:CB$87,Formula!B11,40)),IF(INDEX(Properties!A$1:CB$87,Formula!D11,40)&lt;&gt;"",INDEX(Properties!A$1:CB$87,Formula!D11,40)),IF(INDEX(Properties!A$1:CB$87,Formula!F11,40)&lt;&gt;"",INDEX(Properties!A$1:CB$87,Formula!F11,40)),IF(INDEX(Properties!A$1:CB$87,Formula!H11,40)&lt;&gt;"",INDEX(Properties!A$1:CB$87,Formula!H11,40)),IF(INDEX(Properties!A$1:CB$87,Formula!J11,40)&lt;&gt;"",INDEX(Properties!A$1:CB$87,Formula!J11,40)))</f>
        <v>0.36398399999999997</v>
      </c>
      <c r="DU11" s="63">
        <f>MAX(INDEX(Properties!A$1:CB$87,Formula!B11,40),INDEX(Properties!A$1:CB$87,Formula!D11,40),INDEX(Properties!A$1:CB$87,Formula!F11,40),INDEX(Properties!A$1:CB$87,Formula!H11,40),INDEX(Properties!A$1:CB$87,Formula!J11,40))</f>
        <v>1.62</v>
      </c>
      <c r="DV11" s="63">
        <f>MIN(IF(INDEX(Properties!A$1:CB$87,Formula!B11,40)=0,10^6,INDEX(Properties!A$1:CB$87,Formula!B11,40)),IF(INDEX(Properties!A$1:CB$87,Formula!D11,40)=0,10^6,INDEX(Properties!A$1:CB$87,Formula!D11,40)),IF(INDEX(Properties!A$1:CB$87,Formula!F11,40)=0,10^6,INDEX(Properties!A$1:CB$87,Formula!F11,40)),IF(INDEX(Properties!A$1:CB$87,Formula!H11,40)=0,10^6,INDEX(Properties!A$1:CB$87,Formula!H11,40)),IF(INDEX(Properties!A$1:CB$87,Formula!J11,40)=0,10^6,INDEX(Properties!A$1:CB$87,Formula!J11,40)))</f>
        <v>0.73</v>
      </c>
      <c r="DW11" s="63">
        <f t="shared" si="20"/>
        <v>0.89000000000000012</v>
      </c>
      <c r="DX11" s="75">
        <f>((Formula!C11)/(Formula!C11+Formula!E11+Formula!G11+Formula!I11+Formula!K11))*(INDEX(Properties!A$1:CB$87,Formula!B11,41))+((Formula!E11)/(Formula!C11+Formula!E11+Formula!G11+Formula!I11+Formula!K11))*(INDEX(Properties!A$1:CB$87,Formula!D11,41))+((Formula!G11)/(Formula!C11+Formula!E11+Formula!G11+Formula!I11+Formula!K11))*(INDEX(Properties!A$1:CB$87,Formula!F11,41))+((Formula!I11)/(Formula!C11+Formula!E11+Formula!G11+Formula!I11+Formula!K11))*(INDEX(Properties!A$1:CB$87,Formula!H11,41))+((Formula!K11)/(Formula!C11+Formula!E11+Formula!G11+Formula!I11+Formula!K11))*(INDEX(Properties!A$1:CB$87,Formula!J11,41))</f>
        <v>0.90333333333333332</v>
      </c>
      <c r="DY11" s="75">
        <f>Formula!C11*(INDEX(Properties!A$1:CB$87,Formula!B11,41))+Formula!E11*(INDEX(Properties!A$1:CB$87,Formula!D11,41))+Formula!G11*(INDEX(Properties!A$1:CB$87,Formula!F11,41))+Formula!I11*(INDEX(Properties!A$1:CB$87,Formula!H11,41))+Formula!K11*(INDEX(Properties!A$1:CB$87,Formula!J11,41))</f>
        <v>2.71</v>
      </c>
      <c r="DZ11" s="75">
        <f>VARP(IF(INDEX(Properties!A$1:CB$87,Formula!B11,41)&lt;&gt;"",INDEX(Properties!A$1:CB$87,Formula!B11,41)),IF(INDEX(Properties!A$1:CB$87,Formula!D11,41)&lt;&gt;"",INDEX(Properties!A$1:CB$87,Formula!D11,41)),IF(INDEX(Properties!A$1:CB$87,Formula!F11,41)&lt;&gt;"",INDEX(Properties!A$1:CB$87,Formula!F11,41)),IF(INDEX(Properties!A$1:CB$87,Formula!H11,41)&lt;&gt;"",INDEX(Properties!A$1:CB$87,Formula!H11,41)),IF(INDEX(Properties!A$1:CB$87,Formula!J11,41)&lt;&gt;"",INDEX(Properties!A$1:CB$87,Formula!J11,41)))</f>
        <v>0.27369599999999994</v>
      </c>
      <c r="EA11" s="75">
        <f>MAX(INDEX(Properties!A$1:CB$87,Formula!B11,41),INDEX(Properties!A$1:CB$87,Formula!D11,41),INDEX(Properties!A$1:CB$87,Formula!F11,41),INDEX(Properties!A$1:CB$87,Formula!H11,41),INDEX(Properties!A$1:CB$87,Formula!J11,41))</f>
        <v>1.26</v>
      </c>
      <c r="EB11" s="75">
        <f>MIN(IF(INDEX(Properties!A$1:CB$87,Formula!B11,41)=0,10^6,INDEX(Properties!A$1:CB$87,Formula!B11,41)),IF(INDEX(Properties!A$1:CB$87,Formula!D11,41)=0,10^6,INDEX(Properties!A$1:CB$87,Formula!D11,41)),IF(INDEX(Properties!A$1:CB$87,Formula!F11,41)=0,10^6,INDEX(Properties!A$1:CB$87,Formula!F11,41)),IF(INDEX(Properties!A$1:CB$87,Formula!H11,41)=0,10^6,INDEX(Properties!A$1:CB$87,Formula!H11,41)),IF(INDEX(Properties!A$1:CB$87,Formula!J11,41)=0,10^6,INDEX(Properties!A$1:CB$87,Formula!J11,41)))</f>
        <v>0.41</v>
      </c>
      <c r="EC11" s="75">
        <f t="shared" si="21"/>
        <v>0.85000000000000009</v>
      </c>
      <c r="ED11" s="48">
        <f>((Formula!C11)/(Formula!C11+Formula!E11+Formula!G11+Formula!I11+Formula!K11))*(INDEX(Properties!A$1:CB$87,Formula!B11,45))+((Formula!E11)/(Formula!C11+Formula!E11+Formula!G11+Formula!I11+Formula!K11))*(INDEX(Properties!A$1:CB$87,Formula!D11,45))+((Formula!G11)/(Formula!C11+Formula!E11+Formula!G11+Formula!I11+Formula!K11))*(INDEX(Properties!A$1:CB$87,Formula!F11,45))+((Formula!I11)/(Formula!C11+Formula!E11+Formula!G11+Formula!I11+Formula!K11))*(INDEX(Properties!A$1:CB$87,Formula!H11,45))+((Formula!K11)/(Formula!C11+Formula!E11+Formula!G11+Formula!I11+Formula!K11))*(INDEX(Properties!A$1:CB$87,Formula!J11,45))</f>
        <v>1.4033333333333333</v>
      </c>
      <c r="EE11" s="48">
        <f>Formula!C11*(INDEX(Properties!A$1:CB$87,Formula!B11,45))+Formula!E11*(INDEX(Properties!A$1:CB$87,Formula!D11,45))+Formula!G11*(INDEX(Properties!A$1:CB$87,Formula!F11,45))+Formula!I11*(INDEX(Properties!A$1:CB$87,Formula!H11,45))+Formula!K11*(INDEX(Properties!A$1:CB$87,Formula!J11,45))</f>
        <v>4.21</v>
      </c>
      <c r="EF11" s="48">
        <f>VARP(IF(INDEX(Properties!A$1:CB$87,Formula!B11,45)&lt;&gt;"",INDEX(Properties!A$1:CB$87,Formula!B11,45)),IF(INDEX(Properties!A$1:CB$87,Formula!D11,45)&lt;&gt;"",INDEX(Properties!A$1:CB$87,Formula!D11,45)),IF(INDEX(Properties!A$1:CB$87,Formula!F11,45)&lt;&gt;"",INDEX(Properties!A$1:CB$87,Formula!F11,45)),IF(INDEX(Properties!A$1:CB$87,Formula!H11,45)&lt;&gt;"",INDEX(Properties!A$1:CB$87,Formula!H11,45)),IF(INDEX(Properties!A$1:CB$87,Formula!J11,45)&lt;&gt;"",INDEX(Properties!A$1:CB$87,Formula!J11,45)))</f>
        <v>1.1919360000000001</v>
      </c>
      <c r="EG11" s="48">
        <f>MAX(INDEX(Properties!A$1:CB$87,Formula!B11,45),INDEX(Properties!A$1:CB$87,Formula!D11,45),INDEX(Properties!A$1:CB$87,Formula!F11,45),INDEX(Properties!A$1:CB$87,Formula!H11,45),INDEX(Properties!A$1:CB$87,Formula!J11,45))</f>
        <v>2.94</v>
      </c>
      <c r="EH11" s="48">
        <f>MIN(IF(INDEX(Properties!A$1:CB$87,Formula!B11,45)=0,10^6,INDEX(Properties!A$1:CB$87,Formula!B11,45)),IF(INDEX(Properties!A$1:CB$87,Formula!D11,45)=0,10^6,INDEX(Properties!A$1:CB$87,Formula!D11,45)),IF(INDEX(Properties!A$1:CB$87,Formula!F11,45)=0,10^6,INDEX(Properties!A$1:CB$87,Formula!F11,45)),IF(INDEX(Properties!A$1:CB$87,Formula!H11,45)=0,10^6,INDEX(Properties!A$1:CB$87,Formula!H11,45)),IF(INDEX(Properties!A$1:CB$87,Formula!J11,45)=0,10^6,INDEX(Properties!A$1:CB$87,Formula!J11,45)))</f>
        <v>0.47</v>
      </c>
      <c r="EI11" s="48">
        <f t="shared" si="22"/>
        <v>2.4699999999999998</v>
      </c>
      <c r="EJ11" s="66">
        <f>((Formula!C11)/(Formula!C11+Formula!E11+Formula!G11+Formula!I11+Formula!K11))*(INDEX(Properties!A$1:CB$87,Formula!B11,46))+((Formula!E11)/(Formula!C11+Formula!E11+Formula!G11+Formula!I11+Formula!K11))*(INDEX(Properties!A$1:CB$87,Formula!D11,46))+((Formula!G11)/(Formula!C11+Formula!E11+Formula!G11+Formula!I11+Formula!K11))*(INDEX(Properties!A$1:CB$87,Formula!F11,46))+((Formula!I11)/(Formula!C11+Formula!E11+Formula!G11+Formula!I11+Formula!K11))*(INDEX(Properties!A$1:CB$87,Formula!H11,46))+((Formula!K11)/(Formula!C11+Formula!E11+Formula!G11+Formula!I11+Formula!K11))*(INDEX(Properties!A$1:CB$87,Formula!J11,46))</f>
        <v>0.83333333333333326</v>
      </c>
      <c r="EK11" s="66">
        <f>Formula!C11*(INDEX(Properties!A$1:CB$87,Formula!B11,46))+Formula!E11*(INDEX(Properties!A$1:CB$87,Formula!D11,46))+Formula!G11*(INDEX(Properties!A$1:CB$87,Formula!F11,46))+Formula!I11*(INDEX(Properties!A$1:CB$87,Formula!H11,46))+Formula!K11*(INDEX(Properties!A$1:CB$87,Formula!J11,46))</f>
        <v>2.5</v>
      </c>
      <c r="EL11" s="66">
        <f>VARP(IF(INDEX(Properties!A$1:CB$87,Formula!B11,46)&lt;&gt;"",INDEX(Properties!A$1:CB$87,Formula!B11,46)),IF(INDEX(Properties!A$1:CB$87,Formula!D11,46)&lt;&gt;"",INDEX(Properties!A$1:CB$87,Formula!D11,46)),IF(INDEX(Properties!A$1:CB$87,Formula!F11,46)&lt;&gt;"",INDEX(Properties!A$1:CB$87,Formula!F11,46)),IF(INDEX(Properties!A$1:CB$87,Formula!H11,46)&lt;&gt;"",INDEX(Properties!A$1:CB$87,Formula!H11,46)),IF(INDEX(Properties!A$1:CB$87,Formula!J11,46)&lt;&gt;"",INDEX(Properties!A$1:CB$87,Formula!J11,46)))</f>
        <v>0.27163999999999999</v>
      </c>
      <c r="EM11" s="66">
        <f>MAX(INDEX(Properties!A$1:CB$87,Formula!B11,46),INDEX(Properties!A$1:CB$87,Formula!D11,46),INDEX(Properties!A$1:CB$87,Formula!F11,46),INDEX(Properties!A$1:CB$87,Formula!H11,46),INDEX(Properties!A$1:CB$87,Formula!J11,46))</f>
        <v>1.21</v>
      </c>
      <c r="EN11" s="66">
        <f>MIN(IF(INDEX(Properties!A$1:CB$87,Formula!B11,46)=0,10^6,INDEX(Properties!A$1:CB$87,Formula!B11,46)),IF(INDEX(Properties!A$1:CB$87,Formula!D11,46)=0,10^6,INDEX(Properties!A$1:CB$87,Formula!D11,46)),IF(INDEX(Properties!A$1:CB$87,Formula!F11,46)=0,10^6,INDEX(Properties!A$1:CB$87,Formula!F11,46)),IF(INDEX(Properties!A$1:CB$87,Formula!H11,46)=0,10^6,INDEX(Properties!A$1:CB$87,Formula!H11,46)),IF(INDEX(Properties!A$1:CB$87,Formula!J11,46)=0,10^6,INDEX(Properties!A$1:CB$87,Formula!J11,46)))</f>
        <v>0.25</v>
      </c>
      <c r="EO11" s="66">
        <f t="shared" si="23"/>
        <v>0.96</v>
      </c>
      <c r="EP11" s="81">
        <f>((Formula!C11)/(Formula!C11+Formula!E11+Formula!G11+Formula!I11+Formula!K11))*(INDEX(Properties!A$1:CB$87,Formula!B11,52))+((Formula!E11)/(Formula!C11+Formula!E11+Formula!G11+Formula!I11+Formula!K11))*(INDEX(Properties!A$1:CB$87,Formula!D11,52))+((Formula!G11)/(Formula!C11+Formula!E11+Formula!G11+Formula!I11+Formula!K11))*(INDEX(Properties!A$1:CB$87,Formula!F11,52))+((Formula!I11)/(Formula!C11+Formula!E11+Formula!G11+Formula!I11+Formula!K11))*(INDEX(Properties!A$1:CB$87,Formula!H11,52))+((Formula!K11)/(Formula!C11+Formula!E11+Formula!G11+Formula!I11+Formula!K11))*(INDEX(Properties!A$1:CB$87,Formula!J11,52))</f>
        <v>8.8309999999999995</v>
      </c>
      <c r="EQ11" s="81">
        <f>Formula!C11*(INDEX(Properties!A$1:CB$87,Formula!B11,52))+Formula!E11*(INDEX(Properties!A$1:CB$87,Formula!D11,52))+Formula!G11*(INDEX(Properties!A$1:CB$87,Formula!F11,52))+Formula!I11*(INDEX(Properties!A$1:CB$87,Formula!H11,52))+Formula!K11*(INDEX(Properties!A$1:CB$87,Formula!J11,52))</f>
        <v>26.492999999999999</v>
      </c>
      <c r="ER11" s="81">
        <f>VARP(IF(INDEX(Properties!A$1:CB$87,Formula!B11,52)&lt;&gt;"",INDEX(Properties!A$1:CB$87,Formula!B11,52)),IF(INDEX(Properties!A$1:CB$87,Formula!D11,52)&lt;&gt;"",INDEX(Properties!A$1:CB$87,Formula!D11,52)),IF(INDEX(Properties!A$1:CB$87,Formula!F11,52)&lt;&gt;"",INDEX(Properties!A$1:CB$87,Formula!F11,52)),IF(INDEX(Properties!A$1:CB$87,Formula!H11,52)&lt;&gt;"",INDEX(Properties!A$1:CB$87,Formula!H11,52)),IF(INDEX(Properties!A$1:CB$87,Formula!J11,52)&lt;&gt;"",INDEX(Properties!A$1:CB$87,Formula!J11,52)))</f>
        <v>76.908607839999974</v>
      </c>
      <c r="ES11" s="81">
        <f>MAX(INDEX(Properties!A$1:CB$87,Formula!B11,52),INDEX(Properties!A$1:CB$87,Formula!D11,52),INDEX(Properties!A$1:CB$87,Formula!F11,52),INDEX(Properties!A$1:CB$87,Formula!H11,52),INDEX(Properties!A$1:CB$87,Formula!J11,52))</f>
        <v>22.7</v>
      </c>
      <c r="ET11" s="81">
        <f>MIN(IF(INDEX(Properties!A$1:CB$87,Formula!B11,52)=0,10^6,INDEX(Properties!A$1:CB$87,Formula!B11,52)),IF(INDEX(Properties!A$1:CB$87,Formula!D11,52)=0,10^6,INDEX(Properties!A$1:CB$87,Formula!D11,52)),IF(INDEX(Properties!A$1:CB$87,Formula!F11,52)=0,10^6,INDEX(Properties!A$1:CB$87,Formula!F11,52)),IF(INDEX(Properties!A$1:CB$87,Formula!H11,52)=0,10^6,INDEX(Properties!A$1:CB$87,Formula!H11,52)),IF(INDEX(Properties!A$1:CB$87,Formula!J11,52)=0,10^6,INDEX(Properties!A$1:CB$87,Formula!J11,52)))</f>
        <v>0.79300000000000004</v>
      </c>
      <c r="EU11" s="81">
        <f t="shared" si="24"/>
        <v>21.907</v>
      </c>
      <c r="EV11" s="39">
        <f>((Formula!C11)/(Formula!C11+Formula!E11+Formula!G11+Formula!I11+Formula!K11))*(INDEX(Properties!A$1:CB$87,Formula!B11,53))+((Formula!E11)/(Formula!C11+Formula!E11+Formula!G11+Formula!I11+Formula!K11))*(INDEX(Properties!A$1:CB$87,Formula!D11,53))+((Formula!G11)/(Formula!C11+Formula!E11+Formula!G11+Formula!I11+Formula!K11))*(INDEX(Properties!A$1:CB$87,Formula!F11,53))+((Formula!I11)/(Formula!C11+Formula!E11+Formula!G11+Formula!I11+Formula!K11))*(INDEX(Properties!A$1:CB$87,Formula!H11,53))+((Formula!K11)/(Formula!C11+Formula!E11+Formula!G11+Formula!I11+Formula!K11))*(INDEX(Properties!A$1:CB$87,Formula!J11,53))</f>
        <v>1401.0166666666667</v>
      </c>
      <c r="EW11" s="39">
        <f>Formula!C11*(INDEX(Properties!A$1:CB$87,Formula!B11,53))+Formula!E11*(INDEX(Properties!A$1:CB$87,Formula!D11,53))+Formula!G11*(INDEX(Properties!A$1:CB$87,Formula!F11,53))+Formula!I11*(INDEX(Properties!A$1:CB$87,Formula!H11,53))+Formula!K11*(INDEX(Properties!A$1:CB$87,Formula!J11,53))</f>
        <v>4203.05</v>
      </c>
      <c r="EX11" s="39">
        <f>VARP(IF(INDEX(Properties!A$1:CB$87,Formula!B11,53)&lt;&gt;"",INDEX(Properties!A$1:CB$87,Formula!B11,53)),IF(INDEX(Properties!A$1:CB$87,Formula!D11,53)&lt;&gt;"",INDEX(Properties!A$1:CB$87,Formula!D11,53)),IF(INDEX(Properties!A$1:CB$87,Formula!F11,53)&lt;&gt;"",INDEX(Properties!A$1:CB$87,Formula!F11,53)),IF(INDEX(Properties!A$1:CB$87,Formula!H11,53)&lt;&gt;"",INDEX(Properties!A$1:CB$87,Formula!H11,53)),IF(INDEX(Properties!A$1:CB$87,Formula!J11,53)&lt;&gt;"",INDEX(Properties!A$1:CB$87,Formula!J11,53)))</f>
        <v>1045727.2294</v>
      </c>
      <c r="EY11" s="39">
        <f>MAX(INDEX(Properties!A$1:CB$87,Formula!B11,53),INDEX(Properties!A$1:CB$87,Formula!D11,53),INDEX(Properties!A$1:CB$87,Formula!F11,53),INDEX(Properties!A$1:CB$87,Formula!H11,53),INDEX(Properties!A$1:CB$87,Formula!J11,53))</f>
        <v>2352.15</v>
      </c>
      <c r="EZ11" s="39">
        <f>MIN(IF(INDEX(Properties!A$1:CB$87,Formula!B11,53)=0,10^6,INDEX(Properties!A$1:CB$87,Formula!B11,53)),IF(INDEX(Properties!A$1:CB$87,Formula!D11,53)=0,10^6,INDEX(Properties!A$1:CB$87,Formula!D11,53)),IF(INDEX(Properties!A$1:CB$87,Formula!F11,53)=0,10^6,INDEX(Properties!A$1:CB$87,Formula!F11,53)),IF(INDEX(Properties!A$1:CB$87,Formula!H11,53)=0,10^6,INDEX(Properties!A$1:CB$87,Formula!H11,53)),IF(INDEX(Properties!A$1:CB$87,Formula!J11,53)=0,10^6,INDEX(Properties!A$1:CB$87,Formula!J11,53)))</f>
        <v>54.749999999999972</v>
      </c>
      <c r="FA11" s="39">
        <f t="shared" si="25"/>
        <v>2297.4</v>
      </c>
      <c r="FB11" s="54">
        <f>((Formula!C11)/(Formula!C11+Formula!E11+Formula!G11+Formula!I11+Formula!K11))*(INDEX(Properties!A$1:CB$87,Formula!B11,54))+((Formula!E11)/(Formula!C11+Formula!E11+Formula!G11+Formula!I11+Formula!K11))*(INDEX(Properties!A$1:CB$87,Formula!D11,54))+((Formula!G11)/(Formula!C11+Formula!E11+Formula!G11+Formula!I11+Formula!K11))*(INDEX(Properties!A$1:CB$87,Formula!F11,54))+((Formula!I11)/(Formula!C11+Formula!E11+Formula!G11+Formula!I11+Formula!K11))*(INDEX(Properties!A$1:CB$87,Formula!H11,54))+((Formula!K11)/(Formula!C11+Formula!E11+Formula!G11+Formula!I11+Formula!K11))*(INDEX(Properties!A$1:CB$87,Formula!J11,54))</f>
        <v>2658.4333333333334</v>
      </c>
      <c r="FC11" s="54">
        <f>Formula!C11*(INDEX(Properties!A$1:CB$87,Formula!B11,54))+Formula!E11*(INDEX(Properties!A$1:CB$87,Formula!D11,54))+Formula!G11*(INDEX(Properties!A$1:CB$87,Formula!F11,54))+Formula!I11*(INDEX(Properties!A$1:CB$87,Formula!H11,54))+Formula!K11*(INDEX(Properties!A$1:CB$87,Formula!J11,54))</f>
        <v>7975.2999999999993</v>
      </c>
      <c r="FD11" s="54">
        <f>VARP(IF(INDEX(Properties!A$1:CB$87,Formula!B11,54)&lt;&gt;"",INDEX(Properties!A$1:CB$87,Formula!B11,54)),IF(INDEX(Properties!A$1:CB$87,Formula!D11,54)&lt;&gt;"",INDEX(Properties!A$1:CB$87,Formula!D11,54)),IF(INDEX(Properties!A$1:CB$87,Formula!F11,54)&lt;&gt;"",INDEX(Properties!A$1:CB$87,Formula!F11,54)),IF(INDEX(Properties!A$1:CB$87,Formula!H11,54)&lt;&gt;"",INDEX(Properties!A$1:CB$87,Formula!H11,54)),IF(INDEX(Properties!A$1:CB$87,Formula!J11,54)&lt;&gt;"",INDEX(Properties!A$1:CB$87,Formula!J11,54)))</f>
        <v>3719170.6054000016</v>
      </c>
      <c r="FE11" s="54">
        <f>MAX(INDEX(Properties!A$1:CB$87,Formula!B11,54),INDEX(Properties!A$1:CB$87,Formula!D11,54),INDEX(Properties!A$1:CB$87,Formula!F11,54),INDEX(Properties!A$1:CB$87,Formula!H11,54),INDEX(Properties!A$1:CB$87,Formula!J11,54))</f>
        <v>4275</v>
      </c>
      <c r="FF11" s="54">
        <f>MIN(IF(INDEX(Properties!A$1:CB$87,Formula!B11,54)=0,10^6,INDEX(Properties!A$1:CB$87,Formula!B11,54)),IF(INDEX(Properties!A$1:CB$87,Formula!D11,54)=0,10^6,INDEX(Properties!A$1:CB$87,Formula!D11,54)),IF(INDEX(Properties!A$1:CB$87,Formula!F11,54)=0,10^6,INDEX(Properties!A$1:CB$87,Formula!F11,54)),IF(INDEX(Properties!A$1:CB$87,Formula!H11,54)=0,10^6,INDEX(Properties!A$1:CB$87,Formula!H11,54)),IF(INDEX(Properties!A$1:CB$87,Formula!J11,54)=0,10^6,INDEX(Properties!A$1:CB$87,Formula!J11,54)))</f>
        <v>90.149999999999977</v>
      </c>
      <c r="FG11" s="54">
        <f t="shared" si="26"/>
        <v>4184.8500000000004</v>
      </c>
      <c r="FH11" s="69">
        <f>((Formula!C11)/(Formula!C11+Formula!E11+Formula!G11+Formula!I11+Formula!K11))*(INDEX(Properties!A$1:CB$87,Formula!B11,55))+((Formula!E11)/(Formula!C11+Formula!E11+Formula!G11+Formula!I11+Formula!K11))*(INDEX(Properties!A$1:CB$87,Formula!D11,55))+((Formula!G11)/(Formula!C11+Formula!E11+Formula!G11+Formula!I11+Formula!K11))*(INDEX(Properties!A$1:CB$87,Formula!F11,55))+((Formula!I11)/(Formula!C11+Formula!E11+Formula!G11+Formula!I11+Formula!K11))*(INDEX(Properties!A$1:CB$87,Formula!H11,55))+((Formula!K11)/(Formula!C11+Formula!E11+Formula!G11+Formula!I11+Formula!K11))*(INDEX(Properties!A$1:CB$87,Formula!J11,55))</f>
        <v>2.2704766666666663</v>
      </c>
      <c r="FI11" s="69">
        <f>Formula!C11*(INDEX(Properties!A$1:CB$87,Formula!B11,55))+Formula!E11*(INDEX(Properties!A$1:CB$87,Formula!D11,54))+Formula!G11*(INDEX(Properties!A$1:CB$87,Formula!F11,55))+Formula!I11*(INDEX(Properties!A$1:CB$87,Formula!H11,55))+Formula!K11*(INDEX(Properties!A$1:CB$87,Formula!J11,55))</f>
        <v>4279.4714300000005</v>
      </c>
      <c r="FJ11" s="69">
        <f>VARP(IF(INDEX(Properties!A$1:CB$87,Formula!B11,55)&lt;&gt;"",INDEX(Properties!A$1:CB$87,Formula!B11,55)),IF(INDEX(Properties!A$1:CB$87,Formula!D11,55)&lt;&gt;"",INDEX(Properties!A$1:CB$87,Formula!D11,55)),IF(INDEX(Properties!A$1:CB$87,Formula!F11,55)&lt;&gt;"",INDEX(Properties!A$1:CB$87,Formula!F11,55)),IF(INDEX(Properties!A$1:CB$87,Formula!H11,55)&lt;&gt;"",INDEX(Properties!A$1:CB$87,Formula!H11,55)),IF(INDEX(Properties!A$1:CB$87,Formula!J11,55)&lt;&gt;"",INDEX(Properties!A$1:CB$87,Formula!J11,55)))</f>
        <v>3.2354772631839994</v>
      </c>
      <c r="FK11" s="69">
        <f>MAX(INDEX(Properties!A$1:CB$87,Formula!B11,55),INDEX(Properties!A$1:CB$87,Formula!D11,55),INDEX(Properties!A$1:CB$87,Formula!F11,55),INDEX(Properties!A$1:CB$87,Formula!H11,55),INDEX(Properties!A$1:CB$87,Formula!J11,55))</f>
        <v>4.47</v>
      </c>
      <c r="FL11" s="69">
        <f>MIN(IF(INDEX(Properties!A$1:CB$87,Formula!B11,55)=0,10^6,INDEX(Properties!A$1:CB$87,Formula!B11,55)),IF(INDEX(Properties!A$1:CB$87,Formula!D11,55)=0,10^6,INDEX(Properties!A$1:CB$87,Formula!D11,55)),IF(INDEX(Properties!A$1:CB$87,Formula!F11,55)=0,10^6,INDEX(Properties!A$1:CB$87,Formula!F11,55)),IF(INDEX(Properties!A$1:CB$87,Formula!H11,55)=0,10^6,INDEX(Properties!A$1:CB$87,Formula!H11,55)),IF(INDEX(Properties!A$1:CB$87,Formula!J11,55)=0,10^6,INDEX(Properties!A$1:CB$87,Formula!J11,55)))</f>
        <v>1.4300000000000001E-3</v>
      </c>
      <c r="FM11" s="69">
        <f t="shared" si="27"/>
        <v>4.4685699999999997</v>
      </c>
      <c r="FN11" s="42">
        <f>((Formula!C11)/(Formula!C11+Formula!E11+Formula!G11+Formula!I11+Formula!K11))*(INDEX(Properties!A$1:CB$87,Formula!B11,56))+((Formula!E11)/(Formula!C11+Formula!E11+Formula!G11+Formula!I11+Formula!K11))*(INDEX(Properties!A$1:CB$87,Formula!D11,56))+((Formula!G11)/(Formula!C11+Formula!E11+Formula!G11+Formula!I11+Formula!K11))*(INDEX(Properties!A$1:CB$87,Formula!F11,56))+((Formula!I11)/(Formula!C11+Formula!E11+Formula!G11+Formula!I11+Formula!K11))*(INDEX(Properties!A$1:CB$87,Formula!H11,56))+((Formula!K11)/(Formula!C11+Formula!E11+Formula!G11+Formula!I11+Formula!K11))*(INDEX(Properties!A$1:CB$87,Formula!J11,56))</f>
        <v>0.74666666666666659</v>
      </c>
      <c r="FO11" s="42">
        <f>Formula!C11*(INDEX(Properties!A$1:CB$87,Formula!B11,56))+Formula!E11*(INDEX(Properties!A$1:CB$87,Formula!D11,56))+Formula!G11*(INDEX(Properties!A$1:CB$87,Formula!F11,56))+Formula!I11*(INDEX(Properties!A$1:CB$87,Formula!H11,56))+Formula!K11*(INDEX(Properties!A$1:CB$87,Formula!J11,56))</f>
        <v>2.2400000000000002</v>
      </c>
      <c r="FP11" s="42">
        <f>VARP(IF(INDEX(Properties!A$1:CB$87,Formula!B11,56)&lt;&gt;"",INDEX(Properties!A$1:CB$87,Formula!B11,56)),IF(INDEX(Properties!A$1:CB$87,Formula!D11,56)&lt;&gt;"",INDEX(Properties!A$1:CB$87,Formula!D11,56)),IF(INDEX(Properties!A$1:CB$87,Formula!F11,56)&lt;&gt;"",INDEX(Properties!A$1:CB$87,Formula!F11,56)),IF(INDEX(Properties!A$1:CB$87,Formula!H11,56)&lt;&gt;"",INDEX(Properties!A$1:CB$87,Formula!H11,56)),IF(INDEX(Properties!A$1:CB$87,Formula!J11,56)&lt;&gt;"",INDEX(Properties!A$1:CB$87,Formula!J11,56)))</f>
        <v>0.194656</v>
      </c>
      <c r="FQ11" s="42">
        <f>MAX(INDEX(Properties!A$1:CB$87,Formula!B11,56),INDEX(Properties!A$1:CB$87,Formula!D11,56),INDEX(Properties!A$1:CB$87,Formula!F11,56),INDEX(Properties!A$1:CB$87,Formula!H11,56),INDEX(Properties!A$1:CB$87,Formula!J11,56))</f>
        <v>1.02</v>
      </c>
      <c r="FR11" s="42">
        <f>MIN(IF(INDEX(Properties!A$1:CB$87,Formula!B11,56)=0,10^6,INDEX(Properties!A$1:CB$87,Formula!B11,56)),IF(INDEX(Properties!A$1:CB$87,Formula!D11,56)=0,10^6,INDEX(Properties!A$1:CB$87,Formula!D11,56)),IF(INDEX(Properties!A$1:CB$87,Formula!F11,56)=0,10^6,INDEX(Properties!A$1:CB$87,Formula!F11,56)),IF(INDEX(Properties!A$1:CB$87,Formula!H11,56)=0,10^6,INDEX(Properties!A$1:CB$87,Formula!H11,56)),IF(INDEX(Properties!A$1:CB$87,Formula!J11,56)=0,10^6,INDEX(Properties!A$1:CB$87,Formula!J11,56)))</f>
        <v>0.3</v>
      </c>
      <c r="FS11" s="42">
        <f t="shared" si="28"/>
        <v>0.72</v>
      </c>
      <c r="FT11" s="60">
        <f>((Formula!C11)/(Formula!C11+Formula!E11+Formula!G11+Formula!I11+Formula!K11))*(INDEX(Properties!A$1:CB$87,Formula!B11,57))+((Formula!E11)/(Formula!C11+Formula!E11+Formula!G11+Formula!I11+Formula!K11))*(INDEX(Properties!A$1:CB$87,Formula!D11,57))+((Formula!G11)/(Formula!C11+Formula!E11+Formula!G11+Formula!I11+Formula!K11))*(INDEX(Properties!A$1:CB$87,Formula!F11,57))+((Formula!I11)/(Formula!C11+Formula!E11+Formula!G11+Formula!I11+Formula!K11))*(INDEX(Properties!A$1:CB$87,Formula!H11,57))+((Formula!K11)/(Formula!C11+Formula!E11+Formula!G11+Formula!I11+Formula!K11))*(INDEX(Properties!A$1:CB$87,Formula!J11,57))</f>
        <v>20.607530000000001</v>
      </c>
      <c r="FU11" s="60">
        <f>Formula!C11*(INDEX(Properties!A$1:CB$87,Formula!B11,57))+Formula!E11*(INDEX(Properties!A$1:CB$87,Formula!D11,57))+Formula!G11*(INDEX(Properties!A$1:CB$87,Formula!F11,57))+Formula!I11*(INDEX(Properties!A$1:CB$87,Formula!H11,57))+Formula!K11*(INDEX(Properties!A$1:CB$87,Formula!J11,57))</f>
        <v>61.822589999999998</v>
      </c>
      <c r="FV11" s="60">
        <f>VARP(IF(INDEX(Properties!A$1:CB$87,Formula!B11,57)&lt;&gt;"",INDEX(Properties!A$1:CB$87,Formula!B11,57)),IF(INDEX(Properties!A$1:CB$87,Formula!D11,57)&lt;&gt;"",INDEX(Properties!A$1:CB$87,Formula!D11,57)),IF(INDEX(Properties!A$1:CB$87,Formula!F11,57)&lt;&gt;"",INDEX(Properties!A$1:CB$87,Formula!F11,57)),IF(INDEX(Properties!A$1:CB$87,Formula!H11,57)&lt;&gt;"",INDEX(Properties!A$1:CB$87,Formula!H11,57)),IF(INDEX(Properties!A$1:CB$87,Formula!J11,57)&lt;&gt;"",INDEX(Properties!A$1:CB$87,Formula!J11,57)))</f>
        <v>377.12860388929613</v>
      </c>
      <c r="FW11" s="60">
        <f>MAX(INDEX(Properties!A$1:CB$87,Formula!B11,57),INDEX(Properties!A$1:CB$87,Formula!D11,57),INDEX(Properties!A$1:CB$87,Formula!F11,57),INDEX(Properties!A$1:CB$87,Formula!H11,57),INDEX(Properties!A$1:CB$87,Formula!J11,57))</f>
        <v>50.2</v>
      </c>
      <c r="FX11" s="60">
        <f>MIN(IF(INDEX(Properties!A$1:CB$87,Formula!B11,57)=0,10^6,INDEX(Properties!A$1:CB$87,Formula!B11,57)),IF(INDEX(Properties!A$1:CB$87,Formula!D11,57)=0,10^6,INDEX(Properties!A$1:CB$87,Formula!D11,57)),IF(INDEX(Properties!A$1:CB$87,Formula!F11,57)=0,10^6,INDEX(Properties!A$1:CB$87,Formula!F11,57)),IF(INDEX(Properties!A$1:CB$87,Formula!H11,57)=0,10^6,INDEX(Properties!A$1:CB$87,Formula!H11,57)),IF(INDEX(Properties!A$1:CB$87,Formula!J11,57)=0,10^6,INDEX(Properties!A$1:CB$87,Formula!J11,57)))</f>
        <v>0.22259000000000001</v>
      </c>
      <c r="FY11" s="60">
        <f t="shared" si="29"/>
        <v>49.977410000000006</v>
      </c>
      <c r="FZ11" s="72">
        <f>((Formula!C11)/(Formula!C11+Formula!E11+Formula!G11+Formula!I11+Formula!K11))*(INDEX(Properties!A$1:CB$87,Formula!B11,60))+((Formula!E11)/(Formula!C11+Formula!E11+Formula!G11+Formula!I11+Formula!K11))*(INDEX(Properties!A$1:CB$87,Formula!D11,60))+((Formula!G11)/(Formula!C11+Formula!E11+Formula!G11+Formula!I11+Formula!K11))*(INDEX(Properties!A$1:CB$87,Formula!F11,60))+((Formula!I11)/(Formula!C11+Formula!E11+Formula!G11+Formula!I11+Formula!K11))*(INDEX(Properties!A$1:CB$87,Formula!H11,60))+((Formula!K11)/(Formula!C11+Formula!E11+Formula!G11+Formula!I11+Formula!K11))*(INDEX(Properties!A$1:CB$87,Formula!J11,60))</f>
        <v>14.742246666666666</v>
      </c>
      <c r="GA11" s="72">
        <f>Formula!C11*(INDEX(Properties!A$1:CB$87,Formula!B11,60))+Formula!E11*(INDEX(Properties!A$1:CB$87,Formula!D11,60))+Formula!G11*(INDEX(Properties!A$1:CB$87,Formula!F11,60))+Formula!I11*(INDEX(Properties!A$1:CB$87,Formula!H11,60))+Formula!K11*(INDEX(Properties!A$1:CB$87,Formula!J11,60))</f>
        <v>44.226739999999999</v>
      </c>
      <c r="GB11" s="72">
        <f>VARP(IF(INDEX(Properties!A$1:CB$87,Formula!B11,60)&lt;&gt;"",INDEX(Properties!A$1:CB$87,Formula!B11,60)),IF(INDEX(Properties!A$1:CB$87,Formula!D11,60)&lt;&gt;"",INDEX(Properties!A$1:CB$87,Formula!D11,60)),IF(INDEX(Properties!A$1:CB$87,Formula!F11,60)&lt;&gt;"",INDEX(Properties!A$1:CB$87,Formula!F11,60)),IF(INDEX(Properties!A$1:CB$87,Formula!H11,60)&lt;&gt;"",INDEX(Properties!A$1:CB$87,Formula!H11,60)),IF(INDEX(Properties!A$1:CB$87,Formula!J11,60)&lt;&gt;"",INDEX(Properties!A$1:CB$87,Formula!J11,60)))</f>
        <v>126.72796176441599</v>
      </c>
      <c r="GC11" s="72">
        <f>MAX(INDEX(Properties!A$1:CB$87,Formula!B11,60),INDEX(Properties!A$1:CB$87,Formula!D11,60),INDEX(Properties!A$1:CB$87,Formula!F11,60),INDEX(Properties!A$1:CB$87,Formula!H11,60),INDEX(Properties!A$1:CB$87,Formula!J11,60))</f>
        <v>27</v>
      </c>
      <c r="GD11" s="72">
        <f>MIN(IF(INDEX(Properties!A$1:CB$87,Formula!B11,60)=0,10^6,INDEX(Properties!A$1:CB$87,Formula!B11,60)),IF(INDEX(Properties!A$1:CB$87,Formula!D11,60)=0,10^6,INDEX(Properties!A$1:CB$87,Formula!D11,60)),IF(INDEX(Properties!A$1:CB$87,Formula!F11,60)=0,10^6,INDEX(Properties!A$1:CB$87,Formula!F11,60)),IF(INDEX(Properties!A$1:CB$87,Formula!H11,60)=0,10^6,INDEX(Properties!A$1:CB$87,Formula!H11,60)),IF(INDEX(Properties!A$1:CB$87,Formula!J11,60)=0,10^6,INDEX(Properties!A$1:CB$87,Formula!J11,60)))</f>
        <v>2.674E-2</v>
      </c>
      <c r="GE11" s="72">
        <f t="shared" si="30"/>
        <v>26.97326</v>
      </c>
      <c r="GF11" s="51">
        <f>((Formula!C11)/(Formula!C11+Formula!E11+Formula!G11+Formula!I11+Formula!K11))*(INDEX(Properties!A$1:CB$87,Formula!B11,62))+((Formula!E11)/(Formula!C11+Formula!E11+Formula!G11+Formula!I11+Formula!K11))*(INDEX(Properties!A$1:CB$87,Formula!D11,62))+((Formula!G11)/(Formula!C11+Formula!E11+Formula!G11+Formula!I11+Formula!K11))*(INDEX(Properties!A$1:CB$87,Formula!F11,62))+((Formula!I11)/(Formula!C11+Formula!E11+Formula!G11+Formula!I11+Formula!K11))*(INDEX(Properties!A$1:CB$87,Formula!H11,62))+((Formula!K11)/(Formula!C11+Formula!E11+Formula!G11+Formula!I11+Formula!K11))*(INDEX(Properties!A$1:CB$87,Formula!J11,62))</f>
        <v>4.2666666666666666</v>
      </c>
      <c r="GG11" s="51">
        <f>Formula!C11*(INDEX(Properties!A$1:CB$87,Formula!B11,62))+Formula!E11*(INDEX(Properties!A$1:CB$87,Formula!D11,62))+Formula!G11*(INDEX(Properties!A$1:CB$87,Formula!F11,62))+Formula!I11*(INDEX(Properties!A$1:CB$87,Formula!H11,62))+Formula!K11*(INDEX(Properties!A$1:CB$87,Formula!J11,62))</f>
        <v>12.8</v>
      </c>
      <c r="GH11" s="51">
        <f>VARP(IF(INDEX(Properties!A$1:CB$87,Formula!B11,62)&lt;&gt;"",INDEX(Properties!A$1:CB$87,Formula!B11,62)),IF(INDEX(Properties!A$1:CB$87,Formula!D11,62)&lt;&gt;"",INDEX(Properties!A$1:CB$87,Formula!D11,62)),IF(INDEX(Properties!A$1:CB$87,Formula!F11,62)&lt;&gt;"",INDEX(Properties!A$1:CB$87,Formula!F11,62)),IF(INDEX(Properties!A$1:CB$87,Formula!H11,62)&lt;&gt;"",INDEX(Properties!A$1:CB$87,Formula!H11,62)),IF(INDEX(Properties!A$1:CB$87,Formula!J11,62)&lt;&gt;"",INDEX(Properties!A$1:CB$87,Formula!J11,62)))</f>
        <v>5.389879999999998</v>
      </c>
      <c r="GI11" s="51">
        <f>MAX(INDEX(Properties!A$1:CB$87,Formula!B11,62),INDEX(Properties!A$1:CB$87,Formula!D11,62),INDEX(Properties!A$1:CB$87,Formula!F11,62),INDEX(Properties!A$1:CB$87,Formula!H11,62),INDEX(Properties!A$1:CB$87,Formula!J11,62))</f>
        <v>5.81</v>
      </c>
      <c r="GJ11" s="51">
        <f>MIN(IF(INDEX(Properties!A$1:CB$87,Formula!B11,62)=0,10^6,INDEX(Properties!A$1:CB$87,Formula!B11,62)),IF(INDEX(Properties!A$1:CB$87,Formula!D11,62)=0,10^6,INDEX(Properties!A$1:CB$87,Formula!D11,62)),IF(INDEX(Properties!A$1:CB$87,Formula!F11,62)=0,10^6,INDEX(Properties!A$1:CB$87,Formula!F11,62)),IF(INDEX(Properties!A$1:CB$87,Formula!H11,62)=0,10^6,INDEX(Properties!A$1:CB$87,Formula!H11,62)),IF(INDEX(Properties!A$1:CB$87,Formula!J11,62)=0,10^6,INDEX(Properties!A$1:CB$87,Formula!J11,62)))</f>
        <v>2.62</v>
      </c>
      <c r="GK11" s="51">
        <f t="shared" si="31"/>
        <v>3.1899999999999995</v>
      </c>
      <c r="GL11" s="51">
        <f>Formula!P11</f>
        <v>15</v>
      </c>
      <c r="GM11" s="57">
        <f>Formula!O11</f>
        <v>2</v>
      </c>
      <c r="GN11" s="51">
        <f>Formula!N11</f>
        <v>0.02</v>
      </c>
    </row>
    <row r="12" spans="1:196" s="5" customFormat="1" x14ac:dyDescent="0.3">
      <c r="A12" s="84" t="str">
        <f>Formula!A12</f>
        <v>Ba2Si4O10</v>
      </c>
      <c r="B12" s="89">
        <f>((Formula!C12)/(Formula!C12+Formula!E12+Formula!G12+Formula!I12+Formula!K12))*(INDEX(Properties!A$1:CB$87,Formula!B12,3))+((Formula!E12)/(Formula!C12+Formula!E12+Formula!G12+Formula!I12+Formula!K12))*(INDEX(Properties!A$1:CB$87,Formula!D12,3))+((Formula!G12)/(Formula!C12+Formula!E12+Formula!G12+Formula!I12+Formula!K12))*(INDEX(Properties!A$1:CB$87,Formula!F12,3))+((Formula!I12)/(Formula!C12+Formula!E12+Formula!G12+Formula!I12+Formula!K12))*(INDEX(Properties!A$1:CB$87,Formula!H12,3))+((Formula!K12)/(Formula!C12+Formula!E12+Formula!G12+Formula!I12+Formula!K12))*(INDEX(Properties!A$1:CB$87,Formula!J12,3))</f>
        <v>34.186875000000001</v>
      </c>
      <c r="C12" s="85">
        <f>Formula!C12*(INDEX(Properties!A$1:CB$87,Formula!B12,3))+Formula!E12*(INDEX(Properties!A$1:CB$87,Formula!D12,3))+Formula!G12*(INDEX(Properties!A$1:CB$87,Formula!F12,3))+Formula!I12*(INDEX(Properties!A$1:CB$87,Formula!H12,3))+Formula!K12*(INDEX(Properties!A$1:CB$87,Formula!J12,3))</f>
        <v>546.99</v>
      </c>
      <c r="D12" s="85">
        <f>VARP(IF(INDEX(Properties!A$1:CB$87,Formula!B12,3)&lt;&gt;"",INDEX(Properties!A$1:CB$87,Formula!B12,3)),IF(INDEX(Properties!A$1:CB$87,Formula!D12,3)&lt;&gt;"",INDEX(Properties!A$1:CB$87,Formula!D12,3)),IF(INDEX(Properties!A$1:CB$87,Formula!F12,3)&lt;&gt;"",INDEX(Properties!A$1:CB$87,Formula!F12,3)),IF(INDEX(Properties!A$1:CB$87,Formula!H12,3)&lt;&gt;"",INDEX(Properties!A$1:CB$87,Formula!H12,3)),IF(INDEX(Properties!A$1:CB$87,Formula!J12,3)&lt;&gt;"",INDEX(Properties!A$1:CB$87,Formula!J12,3)))</f>
        <v>2664.2851094575994</v>
      </c>
      <c r="E12" s="85">
        <f>MAX(INDEX(Properties!A$1:CB$87,Formula!B12,3),INDEX(Properties!A$1:CB$87,Formula!D12,3),INDEX(Properties!A$1:CB$87,Formula!F12,3),INDEX(Properties!A$1:CB$87,Formula!H12,3),INDEX(Properties!A$1:CB$87,Formula!J12,3))</f>
        <v>137.327</v>
      </c>
      <c r="F12" s="85">
        <f>MIN(IF(INDEX(Properties!A$1:CB$87,Formula!B12,3)=0,10^6,INDEX(Properties!A$1:CB$87,Formula!B12,3)),IF(INDEX(Properties!A$1:CB$87,Formula!D12,3)=0,10^6,INDEX(Properties!A$1:CB$87,Formula!D12,3)),IF(INDEX(Properties!A$1:CB$87,Formula!F12,3)=0,10^6,INDEX(Properties!A$1:CB$87,Formula!F12,3)),IF(INDEX(Properties!A$1:CB$87,Formula!H12,3)=0,10^6,INDEX(Properties!A$1:CB$87,Formula!H12,3)),IF(INDEX(Properties!A$1:CB$87,Formula!J12,3)=0,10^6,INDEX(Properties!A$1:CB$87,Formula!J12,3)))</f>
        <v>15.9994</v>
      </c>
      <c r="G12" s="85">
        <f t="shared" si="0"/>
        <v>121.3276</v>
      </c>
      <c r="H12" s="87">
        <f>((Formula!C12)/(Formula!C12+Formula!E12+Formula!G12+Formula!I12+Formula!K12))*(INDEX(Properties!A$1:CB$87,Formula!B12,4))+((Formula!E12)/(Formula!C12+Formula!E12+Formula!G12+Formula!I12+Formula!K12))*(INDEX(Properties!A$1:CB$87,Formula!D12,4))+((Formula!G12)/(Formula!C12+Formula!E12+Formula!G12+Formula!I12+Formula!K12))*(INDEX(Properties!A$1:CB$87,Formula!F12,4))+((Formula!I12)/(Formula!C12+Formula!E12+Formula!G12+Formula!I12+Formula!K12))*(INDEX(Properties!A$1:CB$87,Formula!H12,4))+((Formula!K12)/(Formula!C12+Formula!E12+Formula!G12+Formula!I12+Formula!K12))*(INDEX(Properties!A$1:CB$87,Formula!J12,4))</f>
        <v>15.5</v>
      </c>
      <c r="I12" s="87">
        <f>Formula!C12*(INDEX(Properties!A$1:CB$87,Formula!B12,4))+Formula!E12*(INDEX(Properties!A$1:CB$87,Formula!D12,4))+Formula!G12*(INDEX(Properties!A$1:CB$87,Formula!F12,4))+Formula!I12*(INDEX(Properties!A$1:CB$87,Formula!H12,4))+Formula!K12*(INDEX(Properties!A$1:CB$87,Formula!J12,4))</f>
        <v>248</v>
      </c>
      <c r="J12" s="87">
        <f>VARP(IF(INDEX(Properties!A$1:CB$87,Formula!B12,4)&lt;&gt;"",INDEX(Properties!A$1:CB$87,Formula!B12,4)),IF(INDEX(Properties!A$1:CB$87,Formula!D12,4)&lt;&gt;"",INDEX(Properties!A$1:CB$87,Formula!D12,4)),IF(INDEX(Properties!A$1:CB$87,Formula!F12,4)&lt;&gt;"",INDEX(Properties!A$1:CB$87,Formula!F12,4)),IF(INDEX(Properties!A$1:CB$87,Formula!H12,4)&lt;&gt;"",INDEX(Properties!A$1:CB$87,Formula!H12,4)),IF(INDEX(Properties!A$1:CB$87,Formula!J12,4)&lt;&gt;"",INDEX(Properties!A$1:CB$87,Formula!J12,4)))</f>
        <v>435.84</v>
      </c>
      <c r="K12" s="87">
        <f>MAX(INDEX(Properties!A$1:CB$87,Formula!B12,4),INDEX(Properties!A$1:CB$87,Formula!D12,4),INDEX(Properties!A$1:CB$87,Formula!F12,4),INDEX(Properties!A$1:CB$87,Formula!H12,4),INDEX(Properties!A$1:CB$87,Formula!J12,4))</f>
        <v>56</v>
      </c>
      <c r="L12" s="87">
        <f>MIN(IF(INDEX(Properties!A$1:CB$87,Formula!B12,4)=0,10^6,INDEX(Properties!A$1:CB$87,Formula!B12,4)),IF(INDEX(Properties!A$1:CB$87,Formula!D12,4)=0,10^6,INDEX(Properties!A$1:CB$87,Formula!D12,4)),IF(INDEX(Properties!A$1:CB$87,Formula!F12,4)=0,10^6,INDEX(Properties!A$1:CB$87,Formula!F12,4)),IF(INDEX(Properties!A$1:CB$87,Formula!H12,4)=0,10^6,INDEX(Properties!A$1:CB$87,Formula!H12,4)),IF(INDEX(Properties!A$1:CB$87,Formula!J12,4)=0,10^6,INDEX(Properties!A$1:CB$87,Formula!J12,4)))</f>
        <v>8</v>
      </c>
      <c r="M12" s="87">
        <f t="shared" si="1"/>
        <v>48</v>
      </c>
      <c r="N12" s="89">
        <f>((Formula!C12)/(Formula!C12+Formula!E12+Formula!G12+Formula!I12+Formula!K12))*(INDEX(Properties!A$1:CB$87,Formula!B12,5))+((Formula!E12)/(Formula!C12+Formula!E12+Formula!G12+Formula!I12+Formula!K12))*(INDEX(Properties!A$1:CB$87,Formula!D12,5))+((Formula!G12)/(Formula!C12+Formula!E12+Formula!G12+Formula!I12+Formula!K12))*(INDEX(Properties!A$1:CB$87,Formula!F12,5))+((Formula!I12)/(Formula!C12+Formula!E12+Formula!G12+Formula!I12+Formula!K12))*(INDEX(Properties!A$1:CB$87,Formula!H12,5))+((Formula!K12)/(Formula!C12+Formula!E12+Formula!G12+Formula!I12+Formula!K12))*(INDEX(Properties!A$1:CB$87,Formula!J12,5))</f>
        <v>2.75</v>
      </c>
      <c r="O12" s="89">
        <f>Formula!C12*(INDEX(Properties!A$1:CB$87,Formula!B12,5))+Formula!E12*(INDEX(Properties!A$1:CB$87,Formula!D12,5))+Formula!G12*(INDEX(Properties!A$1:CB$87,Formula!F12,5))+Formula!I12*(INDEX(Properties!A$1:CB$87,Formula!H12,5))+Formula!K12*(INDEX(Properties!A$1:CB$87,Formula!J12,5))</f>
        <v>44</v>
      </c>
      <c r="P12" s="89">
        <f>VARP(IF(INDEX(Properties!A$1:CB$87,Formula!B12,5)&lt;&gt;"",INDEX(Properties!A$1:CB$87,Formula!B12,5)),IF(INDEX(Properties!A$1:CB$87,Formula!D12,5)&lt;&gt;"",INDEX(Properties!A$1:CB$87,Formula!D12,5)),IF(INDEX(Properties!A$1:CB$87,Formula!F12,5)&lt;&gt;"",INDEX(Properties!A$1:CB$87,Formula!F12,5)),IF(INDEX(Properties!A$1:CB$87,Formula!H12,5)&lt;&gt;"",INDEX(Properties!A$1:CB$87,Formula!H12,5)),IF(INDEX(Properties!A$1:CB$87,Formula!J12,5)&lt;&gt;"",INDEX(Properties!A$1:CB$87,Formula!J12,5)))</f>
        <v>4.96</v>
      </c>
      <c r="Q12" s="89">
        <f>MAX(INDEX(Properties!A$1:CB$87,Formula!B12,5),INDEX(Properties!A$1:CB$87,Formula!D12,5),INDEX(Properties!A$1:CB$87,Formula!F12,5),INDEX(Properties!A$1:CB$87,Formula!H12,5),INDEX(Properties!A$1:CB$87,Formula!J12,5))</f>
        <v>6</v>
      </c>
      <c r="R12" s="89">
        <f>MIN(IF(INDEX(Properties!A$1:CB$87,Formula!B12,5)=0,10^6,INDEX(Properties!A$1:CB$87,Formula!B12,5)),IF(INDEX(Properties!A$1:CB$87,Formula!D12,5)=0,10^6,INDEX(Properties!A$1:CB$87,Formula!D12,5)),IF(INDEX(Properties!A$1:CB$87,Formula!F12,5)=0,10^6,INDEX(Properties!A$1:CB$87,Formula!F12,5)),IF(INDEX(Properties!A$1:CB$87,Formula!H12,5)=0,10^6,INDEX(Properties!A$1:CB$87,Formula!H12,5)),IF(INDEX(Properties!A$1:CB$87,Formula!J12,5)=0,10^6,INDEX(Properties!A$1:CB$87,Formula!J12,5)))</f>
        <v>2</v>
      </c>
      <c r="S12" s="89">
        <f t="shared" si="2"/>
        <v>4</v>
      </c>
      <c r="T12" s="60">
        <f>((Formula!C12)/(Formula!C12+Formula!E12+Formula!G12+Formula!I12+Formula!K12))*(INDEX(Properties!A$1:CB$87,Formula!B12,6))+((Formula!E12)/(Formula!C12+Formula!E12+Formula!G12+Formula!I12+Formula!K12))*(INDEX(Properties!A$1:CB$87,Formula!D12,6))+((Formula!G12)/(Formula!C12+Formula!E12+Formula!G12+Formula!I12+Formula!K12))*(INDEX(Properties!A$1:CB$87,Formula!F12,6))+((Formula!I12)/(Formula!C12+Formula!E12+Formula!G12+Formula!I12+Formula!K12))*(INDEX(Properties!A$1:CB$87,Formula!H12,6))+((Formula!K12)/(Formula!C12+Formula!E12+Formula!G12+Formula!I12+Formula!K12))*(INDEX(Properties!A$1:CB$87,Formula!J12,6))</f>
        <v>13.75</v>
      </c>
      <c r="U12" s="60">
        <f>Formula!C12*(INDEX(Properties!A$1:CB$87,Formula!B12,6))+Formula!E12*(INDEX(Properties!A$1:CB$87,Formula!D12,6))+Formula!G12*(INDEX(Properties!A$1:CB$87,Formula!F12,6))+Formula!I12*(INDEX(Properties!A$1:CB$87,Formula!H12,6))+Formula!K12*(INDEX(Properties!A$1:CB$87,Formula!J12,6))</f>
        <v>220</v>
      </c>
      <c r="V12" s="89">
        <f>VARP(IF(INDEX(Properties!A$1:CB$87,Formula!B12,6)&lt;&gt;"",INDEX(Properties!A$1:CB$87,Formula!B12,6)),IF(INDEX(Properties!A$1:CB$87,Formula!D12,6)&lt;&gt;"",INDEX(Properties!A$1:CB$87,Formula!D12,6)),IF(INDEX(Properties!A$1:CB$87,Formula!F12,6)&lt;&gt;"",INDEX(Properties!A$1:CB$87,Formula!F12,6)),IF(INDEX(Properties!A$1:CB$87,Formula!H12,6)&lt;&gt;"",INDEX(Properties!A$1:CB$87,Formula!H12,6)),IF(INDEX(Properties!A$1:CB$87,Formula!J12,6)&lt;&gt;"",INDEX(Properties!A$1:CB$87,Formula!J12,6)))</f>
        <v>50.24</v>
      </c>
      <c r="W12" s="60">
        <f>MAX(INDEX(Properties!A$1:CB$87,Formula!B12,6),INDEX(Properties!A$1:CB$87,Formula!D12,6),INDEX(Properties!A$1:CB$87,Formula!F12,6),INDEX(Properties!A$1:CB$87,Formula!H12,4),INDEX(Properties!A$1:CB$87,Formula!J12,6))</f>
        <v>16</v>
      </c>
      <c r="X12" s="60">
        <f>MIN(IF(INDEX(Properties!A$1:CB$87,Formula!B12,6)=0,10^6,INDEX(Properties!A$1:CB$87,Formula!B12,6)),IF(INDEX(Properties!A$1:CB$87,Formula!D12,6)=0,10^6,INDEX(Properties!A$1:CB$87,Formula!D12,6)),IF(INDEX(Properties!A$1:CB$87,Formula!F12,6)=0,10^6,INDEX(Properties!A$1:CB$87,Formula!F12,6)),IF(INDEX(Properties!A$1:CB$87,Formula!H12,6)=0,10^6,INDEX(Properties!A$1:CB$87,Formula!H12,6)),IF(INDEX(Properties!A$1:CB$87,Formula!J12,6)=0,10^6,INDEX(Properties!A$1:CB$87,Formula!J12,6)))</f>
        <v>2</v>
      </c>
      <c r="Y12" s="60">
        <f t="shared" si="3"/>
        <v>14</v>
      </c>
      <c r="Z12" s="72">
        <f>((Formula!C12)/(Formula!C12+Formula!E12+Formula!G12+Formula!I12+Formula!K12))*(INDEX(Properties!A$1:CB$87,Formula!B12,9))+((Formula!E12)/(Formula!C12+Formula!E12+Formula!G12+Formula!I12+Formula!K12))*(INDEX(Properties!A$1:CB$87,Formula!D12,9))+((Formula!G12)/(Formula!C12+Formula!E12+Formula!G12+Formula!I12+Formula!K12))*(INDEX(Properties!A$1:CB$87,Formula!F12,9))+((Formula!I12)/(Formula!C12+Formula!E12+Formula!G12+Formula!I12+Formula!K12))*(INDEX(Properties!A$1:CB$87,Formula!H12,9))+((Formula!K12)/(Formula!C12+Formula!E12+Formula!G12+Formula!I12+Formula!K12))*(INDEX(Properties!A$1:CB$87,Formula!J12,9))</f>
        <v>75</v>
      </c>
      <c r="AA12" s="72">
        <f>Formula!C12*(INDEX(Properties!A$1:CB$87,Formula!B12,9))+Formula!E12*(INDEX(Properties!A$1:CB$87,Formula!D12,9))+Formula!G12*(INDEX(Properties!A$1:CB$87,Formula!F12,9))+Formula!I12*(INDEX(Properties!A$1:CB$87,Formula!H12,9))+Formula!K12*(INDEX(Properties!A$1:CB$87,Formula!J12,9))</f>
        <v>1200</v>
      </c>
      <c r="AB12" s="72">
        <f>VARP(IF(INDEX(Properties!A$1:CB$87,Formula!B12,9)&lt;&gt;"",INDEX(Properties!A$1:CB$87,Formula!B12,9)),IF(INDEX(Properties!A$1:CB$87,Formula!D12,9)&lt;&gt;"",INDEX(Properties!A$1:CB$87,Formula!D12,9)),IF(INDEX(Properties!A$1:CB$87,Formula!F12,9)&lt;&gt;"",INDEX(Properties!A$1:CB$87,Formula!F12,9)),IF(INDEX(Properties!A$1:CB$87,Formula!H12,9)&lt;&gt;"",INDEX(Properties!A$1:CB$87,Formula!H12,9)),IF(INDEX(Properties!A$1:CB$87,Formula!J12,9)&lt;&gt;"",INDEX(Properties!A$1:CB$87,Formula!J12,9)))</f>
        <v>1535.76</v>
      </c>
      <c r="AC12" s="72">
        <f>MAX(INDEX(Properties!A$1:CB$87,Formula!B12,9),INDEX(Properties!A$1:CB$87,Formula!D12,9),INDEX(Properties!A$1:CB$87,Formula!F12,9),INDEX(Properties!A$1:CB$87,Formula!H12,9),INDEX(Properties!A$1:CB$87,Formula!J12,9))</f>
        <v>87</v>
      </c>
      <c r="AD12" s="72">
        <f>MIN(IF(INDEX(Properties!A$1:CB$87,Formula!B12,9)=0,10^6,INDEX(Properties!A$1:CB$87,Formula!B12,9)),IF(INDEX(Properties!A$1:CB$87,Formula!D12,9)=0,10^6,INDEX(Properties!A$1:CB$87,Formula!D12,9)),IF(INDEX(Properties!A$1:CB$87,Formula!F12,9)=0,10^6,INDEX(Properties!A$1:CB$87,Formula!F12,9)),IF(INDEX(Properties!A$1:CB$87,Formula!H12,9)=0,10^6,INDEX(Properties!A$1:CB$87,Formula!H12,9)),IF(INDEX(Properties!A$1:CB$87,Formula!J12,9)=0,10^6,INDEX(Properties!A$1:CB$87,Formula!J12,9)))</f>
        <v>9</v>
      </c>
      <c r="AE12" s="72">
        <f t="shared" si="4"/>
        <v>78</v>
      </c>
      <c r="AF12" s="51">
        <f>((Formula!C12)/(Formula!C12+Formula!E12+Formula!G12+Formula!I12+Formula!K12))*(INDEX(Properties!A$1:CB$87,Formula!B12,10))+((Formula!E12)/(Formula!C12+Formula!E12+Formula!G12+Formula!I12+Formula!K12))*(INDEX(Properties!A$1:CB$87,Formula!D12,10))+((Formula!G12)/(Formula!C12+Formula!E12+Formula!G12+Formula!I12+Formula!K12))*(INDEX(Properties!A$1:CB$87,Formula!F12,10))+((Formula!I12)/(Formula!C12+Formula!E12+Formula!G12+Formula!I12+Formula!K12))*(INDEX(Properties!A$1:CB$87,Formula!H12,10))+((Formula!K12)/(Formula!C12+Formula!E12+Formula!G12+Formula!I12+Formula!K12))*(INDEX(Properties!A$1:CB$87,Formula!J12,10))</f>
        <v>6.125</v>
      </c>
      <c r="AG12" s="51">
        <f>Formula!C12*(INDEX(Properties!A$1:CB$87,Formula!B12,10))+Formula!E12*(INDEX(Properties!A$1:CB$87,Formula!D12,10))+Formula!G12*(INDEX(Properties!A$1:CB$87,Formula!F12,10))+Formula!I12*(INDEX(Properties!A$1:CB$87,Formula!H12,10))+Formula!K12*(INDEX(Properties!A$1:CB$87,Formula!J12,10))</f>
        <v>98</v>
      </c>
      <c r="AH12" s="51">
        <f>VARP(IF(INDEX(Properties!A$1:CB$87,Formula!B12,10)&lt;&gt;"",INDEX(Properties!A$1:CB$87,Formula!B12,10)),IF(INDEX(Properties!A$1:CB$87,Formula!D12,10)&lt;&gt;"",INDEX(Properties!A$1:CB$87,Formula!D12,10)),IF(INDEX(Properties!A$1:CB$87,Formula!F12,10)&lt;&gt;"",INDEX(Properties!A$1:CB$87,Formula!F12,10)),IF(INDEX(Properties!A$1:CB$87,Formula!H12,10)&lt;&gt;"",INDEX(Properties!A$1:CB$87,Formula!H12,10)),IF(INDEX(Properties!A$1:CB$87,Formula!J12,10)&lt;&gt;"",INDEX(Properties!A$1:CB$87,Formula!J12,10)))</f>
        <v>8.8000000000000007</v>
      </c>
      <c r="AI12" s="51">
        <f>MAX(INDEX(Properties!A$1:CB$87,Formula!B12,10),INDEX(Properties!A$1:CB$87,Formula!D12,10),INDEX(Properties!A$1:CB$87,Formula!F12,10),INDEX(Properties!A$1:CB$87,Formula!H12,10),INDEX(Properties!A$1:CB$87,Formula!J12,10))</f>
        <v>7</v>
      </c>
      <c r="AJ12" s="51">
        <f>MIN(IF(INDEX(Properties!A$1:CB$87,Formula!B12,10)=0,10^6,INDEX(Properties!A$1:CB$87,Formula!B12,10)),IF(INDEX(Properties!A$1:CB$87,Formula!D12,10)=0,10^6,INDEX(Properties!A$1:CB$87,Formula!D12,10)),IF(INDEX(Properties!A$1:CB$87,Formula!F12,10)=0,10^6,INDEX(Properties!A$1:CB$87,Formula!F12,10)),IF(INDEX(Properties!A$1:CB$87,Formula!H12,10)=0,10^6,INDEX(Properties!A$1:CB$87,Formula!H12,10)),IF(INDEX(Properties!A$1:CB$87,Formula!J12,10)=0,10^6,INDEX(Properties!A$1:CB$87,Formula!J12,10)))</f>
        <v>2</v>
      </c>
      <c r="AK12" s="51">
        <f t="shared" si="5"/>
        <v>5</v>
      </c>
      <c r="AL12" s="57">
        <f>((Formula!C12)/(Formula!C12+Formula!E12+Formula!G12+Formula!I12+Formula!K12))*(INDEX(Properties!A$1:CB$87,Formula!B12,11))+((Formula!E12)/(Formula!C12+Formula!E12+Formula!G12+Formula!I12+Formula!K12))*(INDEX(Properties!A$1:CB$87,Formula!D12,11))+((Formula!G12)/(Formula!C12+Formula!E12+Formula!G12+Formula!I12+Formula!K12))*(INDEX(Properties!A$1:CB$87,Formula!F12,11))+((Formula!I12)/(Formula!C12+Formula!E12+Formula!G12+Formula!I12+Formula!K12))*(INDEX(Properties!A$1:CB$87,Formula!H12,11))+((Formula!K12)/(Formula!C12+Formula!E12+Formula!G12+Formula!I12+Formula!K12))*(INDEX(Properties!A$1:CB$87,Formula!J12,11))</f>
        <v>2</v>
      </c>
      <c r="AM12" s="57">
        <f>Formula!C12*(INDEX(Properties!A$1:CB$87,Formula!B12,11))+Formula!E12*(INDEX(Properties!A$1:CB$87,Formula!D12,11))+Formula!G12*(INDEX(Properties!A$1:CB$87,Formula!F12,11))+Formula!I12*(INDEX(Properties!A$1:CB$87,Formula!H12,11))+Formula!K12*(INDEX(Properties!A$1:CB$87,Formula!J12,11))</f>
        <v>32</v>
      </c>
      <c r="AN12" s="57">
        <f>VARP(IF(INDEX(Properties!A$1:CB$87,Formula!B12,11)&lt;&gt;"",INDEX(Properties!A$1:CB$87,Formula!B12,11)),IF(INDEX(Properties!A$1:CB$87,Formula!D12,11)&lt;&gt;"",INDEX(Properties!A$1:CB$87,Formula!D12,11)),IF(INDEX(Properties!A$1:CB$87,Formula!F12,11)&lt;&gt;"",INDEX(Properties!A$1:CB$87,Formula!F12,11)),IF(INDEX(Properties!A$1:CB$87,Formula!H12,11)&lt;&gt;"",INDEX(Properties!A$1:CB$87,Formula!H12,11)),IF(INDEX(Properties!A$1:CB$87,Formula!J12,11)&lt;&gt;"",INDEX(Properties!A$1:CB$87,Formula!J12,11)))</f>
        <v>0.96</v>
      </c>
      <c r="AO12" s="57">
        <f>MAX(INDEX(Properties!A$1:CB$87,Formula!B12,11),INDEX(Properties!A$1:CB$87,Formula!D12,11),INDEX(Properties!A$1:CB$87,Formula!F12,11),INDEX(Properties!A$1:CB$87,Formula!H12,11),INDEX(Properties!A$1:CB$87,Formula!J12,11))</f>
        <v>2</v>
      </c>
      <c r="AP12" s="57">
        <f>MIN(IF(Formula!B12=87,10^6,INDEX(Properties!A$1:CB$87,Formula!B12,11)),IF((Formula!D12)=87,10^6,INDEX(Properties!A$1:CB$87,Formula!D12,11)),IF((Formula!F12)=87,10^6,INDEX(Properties!A$1:CB$87,Formula!F12,11)),IF((Formula!H12)=87,10^6,INDEX(Properties!A$1:CB$87,Formula!H12,11)),IF(Formula!J12=87,10^6,INDEX(Properties!A$1:CB$87,Formula!J12,11)))</f>
        <v>2</v>
      </c>
      <c r="AQ12" s="57">
        <f t="shared" si="6"/>
        <v>0</v>
      </c>
      <c r="AR12" s="78">
        <f>((Formula!C12)/(Formula!C12+Formula!E12+Formula!G12+Formula!I12+Formula!K12))*(INDEX(Properties!A$1:CB$87,Formula!B12,12))+((Formula!E12)/(Formula!C12+Formula!E12+Formula!G12+Formula!I12+Formula!K12))*(INDEX(Properties!A$1:CB$87,Formula!D12,12))+((Formula!G12)/(Formula!C12+Formula!E12+Formula!G12+Formula!I12+Formula!K12))*(INDEX(Properties!A$1:CB$87,Formula!F12,12))+((Formula!I12)/(Formula!C12+Formula!E12+Formula!G12+Formula!I12+Formula!K12))*(INDEX(Properties!A$1:CB$87,Formula!H12,12))+((Formula!K12)/(Formula!C12+Formula!E12+Formula!G12+Formula!I12+Formula!K12))*(INDEX(Properties!A$1:CB$87,Formula!J12,12))</f>
        <v>3</v>
      </c>
      <c r="AS12" s="78">
        <f>Formula!C12*(INDEX(Properties!A$1:CB$87,Formula!B12,12))+Formula!E12*(INDEX(Properties!A$1:CB$87,Formula!D12,12))+Formula!G12*(INDEX(Properties!A$1:CB$87,Formula!F12,12))+Formula!I12*(INDEX(Properties!A$1:CB$87,Formula!H12,12))+Formula!K12*(INDEX(Properties!A$1:CB$87,Formula!J12,12))</f>
        <v>48</v>
      </c>
      <c r="AT12" s="78">
        <f>VARP(IF(INDEX(Properties!A$1:CB$87,Formula!B12,12)&lt;&gt;"",INDEX(Properties!A$1:CB$87,Formula!B12,12)),IF(INDEX(Properties!A$1:CB$87,Formula!D12,12)&lt;&gt;"",INDEX(Properties!A$1:CB$87,Formula!D12,12)),IF(INDEX(Properties!A$1:CB$87,Formula!F12,12)&lt;&gt;"",INDEX(Properties!A$1:CB$87,Formula!F12,12)),IF(INDEX(Properties!A$1:CB$87,Formula!H12,12)&lt;&gt;"",INDEX(Properties!A$1:CB$87,Formula!H12,12)),IF(INDEX(Properties!A$1:CB$87,Formula!J12,12)&lt;&gt;"",INDEX(Properties!A$1:CB$87,Formula!J12,12)))</f>
        <v>2.56</v>
      </c>
      <c r="AU12" s="78">
        <f>MAX(INDEX(Properties!A$1:CB$87,Formula!B12,12),INDEX(Properties!A$1:CB$87,Formula!D12,12),INDEX(Properties!A$1:CB$87,Formula!F12,12),INDEX(Properties!A$1:CB$87,Formula!H12,12),INDEX(Properties!A$1:CB$87,Formula!J12,12))</f>
        <v>4</v>
      </c>
      <c r="AV12" s="78">
        <f>MIN(IF(Formula!B12=87,10^6,INDEX(Properties!A$1:CB$87,Formula!B12,12)),IF((Formula!D12)=87,10^6,INDEX(Properties!A$1:CB$87,Formula!D12,12)),IF((Formula!F12)=87,10^6,INDEX(Properties!A$1:CB$87,Formula!F12,12)),IF((Formula!H12)=87,10^6,INDEX(Properties!A$1:CB$87,Formula!H12,12)),IF(Formula!J12=87,10^6,INDEX(Properties!A$1:CB$87,Formula!J12,12)))</f>
        <v>0</v>
      </c>
      <c r="AW12" s="78">
        <f t="shared" si="7"/>
        <v>4</v>
      </c>
      <c r="AX12" s="45">
        <f>((Formula!C12)/(Formula!C12+Formula!E12+Formula!G12+Formula!I12+Formula!K12))*(INDEX(Properties!A$1:CB$87,Formula!B12,13))+((Formula!E12)/(Formula!C12+Formula!E12+Formula!G12+Formula!I12+Formula!K12))*(INDEX(Properties!A$1:CB$87,Formula!D12,13))+((Formula!G12)/(Formula!C12+Formula!E12+Formula!G12+Formula!I12+Formula!K12))*(INDEX(Properties!A$1:CB$87,Formula!F12,13))+((Formula!I12)/(Formula!C12+Formula!E12+Formula!G12+Formula!I12+Formula!K12))*(INDEX(Properties!A$1:CB$87,Formula!H12,13))+((Formula!K12)/(Formula!C12+Formula!E12+Formula!G12+Formula!I12+Formula!K12))*(INDEX(Properties!A$1:CB$87,Formula!J12,13))</f>
        <v>0</v>
      </c>
      <c r="AY12" s="45">
        <f>Formula!C12*(INDEX(Properties!A$1:CB$87,Formula!B12,13))+Formula!E12*(INDEX(Properties!A$1:CB$87,Formula!D12,13))+Formula!G12*(INDEX(Properties!A$1:CB$87,Formula!F12,13))+Formula!I12*(INDEX(Properties!A$1:CB$87,Formula!H12,13))+Formula!K12*(INDEX(Properties!A$1:CB$87,Formula!J12,13))</f>
        <v>0</v>
      </c>
      <c r="AZ12" s="45">
        <f>VARP(IF(INDEX(Properties!A$1:CB$87,Formula!B12,13)&lt;&gt;"",INDEX(Properties!A$1:CB$87,Formula!B12,13)),IF(INDEX(Properties!A$1:CB$87,Formula!D12,13)&lt;&gt;"",INDEX(Properties!A$1:CB$87,Formula!D12,13)),IF(INDEX(Properties!A$1:CB$87,Formula!F12,13)&lt;&gt;"",INDEX(Properties!A$1:CB$87,Formula!F12,13)),IF(INDEX(Properties!A$1:CB$87,Formula!H12,13)&lt;&gt;"",INDEX(Properties!A$1:CB$87,Formula!H12,13)),IF(INDEX(Properties!A$1:CB$87,Formula!J12,13)&lt;&gt;"",INDEX(Properties!A$1:CB$87,Formula!J12,13)))</f>
        <v>0</v>
      </c>
      <c r="BA12" s="45">
        <f>MAX(INDEX(Properties!A$1:CB$87,Formula!B12,13),INDEX(Properties!A$1:CB$87,Formula!D12,13),INDEX(Properties!A$1:CB$87,Formula!F12,13),INDEX(Properties!A$1:CB$87,Formula!H12,13),INDEX(Properties!A$1:CB$87,Formula!J12,13))</f>
        <v>0</v>
      </c>
      <c r="BB12" s="45">
        <f>MIN(IF(Formula!B12=87,10^6,INDEX(Properties!A$1:CB$87,Formula!B12,13)),IF((Formula!D12)=87,10^6,INDEX(Properties!A$1:CB$87,Formula!D12,13)),IF((Formula!F12)=87,10^6,INDEX(Properties!A$1:CB$87,Formula!F12,13)),IF((Formula!H12)=87,10^6,INDEX(Properties!A$1:CB$87,Formula!H12,13)),IF(Formula!J12=87,10^6,INDEX(Properties!A$1:CB$87,Formula!J12,13)))</f>
        <v>0</v>
      </c>
      <c r="BC12" s="45">
        <f t="shared" si="8"/>
        <v>0</v>
      </c>
      <c r="BD12" s="63">
        <f>((Formula!C12)/(Formula!C12+Formula!E12+Formula!G12+Formula!I12+Formula!K12))*(INDEX(Properties!A$1:CB$87,Formula!B12,14))+((Formula!E12)/(Formula!C12+Formula!E12+Formula!G12+Formula!I12+Formula!K12))*(INDEX(Properties!A$1:CB$87,Formula!D12,14))+((Formula!G12)/(Formula!C12+Formula!E12+Formula!G12+Formula!I12+Formula!K12))*(INDEX(Properties!A$1:CB$87,Formula!F12,14))+((Formula!I12)/(Formula!C12+Formula!E12+Formula!G12+Formula!I12+Formula!K12))*(INDEX(Properties!A$1:CB$87,Formula!H12,14))+((Formula!K12)/(Formula!C12+Formula!E12+Formula!G12+Formula!I12+Formula!K12))*(INDEX(Properties!A$1:CB$87,Formula!J12,14))</f>
        <v>0</v>
      </c>
      <c r="BE12" s="63">
        <f>Formula!C12*(INDEX(Properties!A$1:CB$87,Formula!B12,14))+Formula!E12*(INDEX(Properties!A$1:CB$87,Formula!D12,14))+Formula!G12*(INDEX(Properties!A$1:CB$87,Formula!F12,14))+Formula!I12*(INDEX(Properties!A$1:CB$87,Formula!H12,14))+Formula!K12*(INDEX(Properties!A$1:CB$87,Formula!J12,14))</f>
        <v>0</v>
      </c>
      <c r="BF12" s="63">
        <f>VARP(IF(INDEX(Properties!A$1:CB$87,Formula!B12,14)&lt;&gt;"",INDEX(Properties!A$1:CB$87,Formula!B12,14)),IF(INDEX(Properties!A$1:CB$87,Formula!D12,14)&lt;&gt;"",INDEX(Properties!A$1:CB$87,Formula!D12,14)),IF(INDEX(Properties!A$1:CB$87,Formula!F12,14)&lt;&gt;"",INDEX(Properties!A$1:CB$87,Formula!F12,14)),IF(INDEX(Properties!A$1:CB$87,Formula!H12,14)&lt;&gt;"",INDEX(Properties!A$1:CB$87,Formula!H12,14)),IF(INDEX(Properties!A$1:CB$87,Formula!J12,14)&lt;&gt;"",INDEX(Properties!A$1:CB$87,Formula!J12,14)))</f>
        <v>0</v>
      </c>
      <c r="BG12" s="63">
        <f>MAX(INDEX(Properties!A$1:CB$87,Formula!B12,14),INDEX(Properties!A$1:CB$87,Formula!D12,14),INDEX(Properties!A$1:CB$87,Formula!F12,14),INDEX(Properties!A$1:CB$87,Formula!H12,14),INDEX(Properties!A$1:CB$87,Formula!J12,14))</f>
        <v>0</v>
      </c>
      <c r="BH12" s="63">
        <f>MIN(IF(Formula!B12=87,10^6,INDEX(Properties!A$1:CB$87,Formula!B12,14)),IF((Formula!D12)=87,10^6,INDEX(Properties!A$1:CB$87,Formula!D12,14)),IF((Formula!F12)=87,10^6,INDEX(Properties!A$1:CB$87,Formula!F12,14)),IF((Formula!H12)=87,10^6,INDEX(Properties!A$1:CB$87,Formula!H12,14)),IF(Formula!J12=87,10^6,INDEX(Properties!A$1:CB$87,Formula!J12,14)))</f>
        <v>0</v>
      </c>
      <c r="BI12" s="63">
        <f t="shared" si="9"/>
        <v>0</v>
      </c>
      <c r="BJ12" s="75">
        <f>((Formula!C12)/(Formula!C12+Formula!E12+Formula!G12+Formula!I12+Formula!K12))*(INDEX(Properties!A$1:CB$87,Formula!B12,19))+((Formula!E12)/(Formula!C12+Formula!E12+Formula!G12+Formula!I12+Formula!K12))*(INDEX(Properties!A$1:CB$87,Formula!D12,19))+((Formula!G12)/(Formula!C12+Formula!E12+Formula!G12+Formula!I12+Formula!K12))*(INDEX(Properties!A$1:CB$87,Formula!F12,19))+((Formula!I12)/(Formula!C12+Formula!E12+Formula!G12+Formula!I12+Formula!K12))*(INDEX(Properties!A$1:CB$87,Formula!H12,19))+((Formula!K12)/(Formula!C12+Formula!E12+Formula!G12+Formula!I12+Formula!K12))*(INDEX(Properties!A$1:CB$87,Formula!J12,19))</f>
        <v>5</v>
      </c>
      <c r="BK12" s="75">
        <f>Formula!C12*(INDEX(Properties!A$1:CB$87,Formula!B12,19))+Formula!E12*(INDEX(Properties!A$1:CB$87,Formula!D12,19))+Formula!G12*(INDEX(Properties!A$1:CB$87,Formula!F12,19))+Formula!I12*(INDEX(Properties!A$1:CB$87,Formula!H12,19))+Formula!K12*(INDEX(Properties!A$1:CB$87,Formula!J12,19))</f>
        <v>80</v>
      </c>
      <c r="BL12" s="75">
        <f>VARP(IF(INDEX(Properties!A$1:CB$87,Formula!B12,19)&lt;&gt;"",INDEX(Properties!A$1:CB$87,Formula!B12,19)),IF(INDEX(Properties!A$1:CB$87,Formula!D12,19)&lt;&gt;"",INDEX(Properties!A$1:CB$87,Formula!D12,19)),IF(INDEX(Properties!A$1:CB$87,Formula!F12,19)&lt;&gt;"",INDEX(Properties!A$1:CB$87,Formula!F12,19)),IF(INDEX(Properties!A$1:CB$87,Formula!H12,19)&lt;&gt;"",INDEX(Properties!A$1:CB$87,Formula!H12,19)),IF(INDEX(Properties!A$1:CB$87,Formula!J12,19)&lt;&gt;"",INDEX(Properties!A$1:CB$87,Formula!J12,19)))</f>
        <v>5.44</v>
      </c>
      <c r="BM12" s="75">
        <f>MAX(INDEX(Properties!A$1:CB$87,Formula!B12,19),INDEX(Properties!A$1:CB$87,Formula!D12,19),INDEX(Properties!A$1:CB$87,Formula!F12,19),INDEX(Properties!A$1:CB$87,Formula!H12,19),INDEX(Properties!A$1:CB$87,Formula!J12,19))</f>
        <v>6</v>
      </c>
      <c r="BN12" s="75">
        <f>MIN(IF(INDEX(Properties!A$1:CB$87,Formula!B12,19)=0,10^6,INDEX(Properties!A$1:CB$87,Formula!B12,19)),IF(INDEX(Properties!A$1:CB$87,Formula!D12,19)=0,10^6,INDEX(Properties!A$1:CB$87,Formula!D12,19)),IF(INDEX(Properties!A$1:CB$87,Formula!F12,19)=0,10^6,INDEX(Properties!A$1:CB$87,Formula!F12,19)),IF(INDEX(Properties!A$1:CB$87,Formula!H12,19)=0,10^6,INDEX(Properties!A$1:CB$87,Formula!H12,19)),IF(INDEX(Properties!A$1:CB$87,Formula!J12,19)=0,10^6,INDEX(Properties!A$1:CB$87,Formula!J12,19)))</f>
        <v>2</v>
      </c>
      <c r="BO12" s="75">
        <f t="shared" si="10"/>
        <v>4</v>
      </c>
      <c r="BP12" s="48">
        <f>((Formula!C12)/(Formula!C12+Formula!E12+Formula!G12+Formula!I12+Formula!K12))*(INDEX(Properties!A$1:CB$87,Formula!B12,20))+((Formula!E12)/(Formula!C12+Formula!E12+Formula!G12+Formula!I12+Formula!K12))*(INDEX(Properties!A$1:CB$87,Formula!D12,20))+((Formula!G12)/(Formula!C12+Formula!E12+Formula!G12+Formula!I12+Formula!K12))*(INDEX(Properties!A$1:CB$87,Formula!F12,20))+((Formula!I12)/(Formula!C12+Formula!E12+Formula!G12+Formula!I12+Formula!K12))*(INDEX(Properties!A$1:CB$87,Formula!H12,20))+((Formula!K12)/(Formula!C12+Formula!E12+Formula!G12+Formula!I12+Formula!K12))*(INDEX(Properties!A$1:CB$87,Formula!J12,20))</f>
        <v>5</v>
      </c>
      <c r="BQ12" s="48">
        <f>Formula!C12*(INDEX(Properties!A$1:CB$87,Formula!B12,20))+Formula!E12*(INDEX(Properties!A$1:CB$87,Formula!D12,20))+Formula!G12*(INDEX(Properties!A$1:CB$87,Formula!F12,20))+Formula!I12*(INDEX(Properties!A$1:CB$87,Formula!H12,20))+Formula!K12*(INDEX(Properties!A$1:CB$87,Formula!J12,20))</f>
        <v>80</v>
      </c>
      <c r="BR12" s="48">
        <f>VARP(IF(INDEX(Properties!A$1:CB$87,Formula!B12,20)&lt;&gt;"",INDEX(Properties!A$1:CB$87,Formula!B12,20)),IF(INDEX(Properties!A$1:CB$87,Formula!D12,20)&lt;&gt;"",INDEX(Properties!A$1:CB$87,Formula!D12,20)),IF(INDEX(Properties!A$1:CB$87,Formula!F12,20)&lt;&gt;"",INDEX(Properties!A$1:CB$87,Formula!F12,20)),IF(INDEX(Properties!A$1:CB$87,Formula!H12,20)&lt;&gt;"",INDEX(Properties!A$1:CB$87,Formula!H12,20)),IF(INDEX(Properties!A$1:CB$87,Formula!J12,20)&lt;&gt;"",INDEX(Properties!A$1:CB$87,Formula!J12,20)))</f>
        <v>5.44</v>
      </c>
      <c r="BS12" s="48">
        <f>MAX(INDEX(Properties!A$1:CB$87,Formula!B12,20),INDEX(Properties!A$1:CB$87,Formula!D12,20),INDEX(Properties!A$1:CB$87,Formula!F12,20),INDEX(Properties!A$1:CB$87,Formula!H12,20),INDEX(Properties!A$1:CB$87,Formula!J12,20))</f>
        <v>6</v>
      </c>
      <c r="BT12" s="48">
        <f>MIN(IF(INDEX(Properties!A$1:CB$87,Formula!B12,20)=0,10^6,INDEX(Properties!A$1:CB$87,Formula!B12,20)),IF(INDEX(Properties!A$1:CB$87,Formula!D12,20)=0,10^6,INDEX(Properties!A$1:CB$87,Formula!D12,20)),IF(INDEX(Properties!A$1:CB$87,Formula!F12,20)=0,10^6,INDEX(Properties!A$1:CB$87,Formula!F12,20)),IF(INDEX(Properties!A$1:CB$87,Formula!H12,20)=0,10^6,INDEX(Properties!A$1:CB$87,Formula!H12,20)),IF(INDEX(Properties!A$1:CB$87,Formula!J12,20)=0,10^6,INDEX(Properties!A$1:CB$87,Formula!J12,20)))</f>
        <v>2</v>
      </c>
      <c r="BU12" s="48">
        <f t="shared" si="11"/>
        <v>4</v>
      </c>
      <c r="BV12" s="66">
        <f>((Formula!C12)/(Formula!C12+Formula!E12+Formula!G12+Formula!I12+Formula!K12))*(INDEX(Properties!A$1:CB$87,Formula!B12,21))+((Formula!E12)/(Formula!C12+Formula!E12+Formula!G12+Formula!I12+Formula!K12))*(INDEX(Properties!A$1:CB$87,Formula!D12,21))+((Formula!G12)/(Formula!C12+Formula!E12+Formula!G12+Formula!I12+Formula!K12))*(INDEX(Properties!A$1:CB$87,Formula!F12,21))+((Formula!I12)/(Formula!C12+Formula!E12+Formula!G12+Formula!I12+Formula!K12))*(INDEX(Properties!A$1:CB$87,Formula!H12,21))+((Formula!K12)/(Formula!C12+Formula!E12+Formula!G12+Formula!I12+Formula!K12))*(INDEX(Properties!A$1:CB$87,Formula!J12,21))</f>
        <v>5</v>
      </c>
      <c r="BW12" s="66">
        <f>Formula!C12*(INDEX(Properties!A$1:CB$87,Formula!B12,21))+Formula!E12*(INDEX(Properties!A$1:CB$87,Formula!D12,21))+Formula!G12*(INDEX(Properties!A$1:CB$87,Formula!F12,21))+Formula!I12*(INDEX(Properties!A$1:CB$87,Formula!H12,21))+Formula!K12*(INDEX(Properties!A$1:CB$87,Formula!J12,21))</f>
        <v>80</v>
      </c>
      <c r="BX12" s="66">
        <f>VARP(IF(INDEX(Properties!A$1:CB$87,Formula!B12,21)&lt;&gt;"",INDEX(Properties!A$1:CB$87,Formula!B12,21)),IF(INDEX(Properties!A$1:CB$87,Formula!D12,21)&lt;&gt;"",INDEX(Properties!A$1:CB$87,Formula!D12,21)),IF(INDEX(Properties!A$1:CB$87,Formula!F12,21)&lt;&gt;"",INDEX(Properties!A$1:CB$87,Formula!F12,21)),IF(INDEX(Properties!A$1:CB$87,Formula!H12,21)&lt;&gt;"",INDEX(Properties!A$1:CB$87,Formula!H12,21)),IF(INDEX(Properties!A$1:CB$87,Formula!J12,21)&lt;&gt;"",INDEX(Properties!A$1:CB$87,Formula!J12,21)))</f>
        <v>5.44</v>
      </c>
      <c r="BY12" s="66">
        <f>MAX(INDEX(Properties!A$1:CB$87,Formula!B12,21),INDEX(Properties!A$1:CB$87,Formula!D12,21),INDEX(Properties!A$1:CB$87,Formula!F12,21),INDEX(Properties!A$1:CB$87,Formula!H12,21),INDEX(Properties!A$1:CB$87,Formula!J12,21))</f>
        <v>6</v>
      </c>
      <c r="BZ12" s="66">
        <f>MIN(IF(INDEX(Properties!A$1:CB$87,Formula!B12,21)=0,10^6,INDEX(Properties!A$1:CB$87,Formula!B12,21)),IF(INDEX(Properties!A$1:CB$87,Formula!D12,21)=0,10^6,INDEX(Properties!A$1:CB$87,Formula!D12,21)),IF(INDEX(Properties!A$1:CB$87,Formula!F12,21)=0,10^6,INDEX(Properties!A$1:CB$87,Formula!F12,21)),IF(INDEX(Properties!A$1:CB$87,Formula!H12,21)=0,10^6,INDEX(Properties!A$1:CB$87,Formula!H12,21)),IF(INDEX(Properties!A$1:CB$87,Formula!J12,21)=0,10^6,INDEX(Properties!A$1:CB$87,Formula!J12,21)))</f>
        <v>2</v>
      </c>
      <c r="CA12" s="66">
        <f t="shared" si="12"/>
        <v>4</v>
      </c>
      <c r="CB12" s="81">
        <f>((Formula!C12)/(Formula!C12+Formula!E12+Formula!G12+Formula!I12+Formula!K12))*(INDEX(Properties!A$1:CB$87,Formula!B12,23))+((Formula!E12)/(Formula!C12+Formula!E12+Formula!G12+Formula!I12+Formula!K12))*(INDEX(Properties!A$1:CB$87,Formula!D12,23))+((Formula!G12)/(Formula!C12+Formula!E12+Formula!G12+Formula!I12+Formula!K12))*(INDEX(Properties!A$1:CB$87,Formula!F12,23))+((Formula!I12)/(Formula!C12+Formula!E12+Formula!G12+Formula!I12+Formula!K12))*(INDEX(Properties!A$1:CB$87,Formula!H12,23))+((Formula!K12)/(Formula!C12+Formula!E12+Formula!G12+Formula!I12+Formula!K12))*(INDEX(Properties!A$1:CB$87,Formula!J12,23))</f>
        <v>1.25</v>
      </c>
      <c r="CC12" s="81">
        <f>Formula!C12*(INDEX(Properties!A$1:CB$87,Formula!B12,23))+Formula!E12*(INDEX(Properties!A$1:CB$87,Formula!D12,23))+Formula!G12*(INDEX(Properties!A$1:CB$87,Formula!F12,23))+Formula!I12*(INDEX(Properties!A$1:CB$87,Formula!H12,23))+Formula!K12*(INDEX(Properties!A$1:CB$87,Formula!J12,23))</f>
        <v>20</v>
      </c>
      <c r="CD12" s="81">
        <f>VARP(IF(INDEX(Properties!A$1:CB$87,Formula!B12,23)&lt;&gt;"",INDEX(Properties!A$1:CB$87,Formula!B12,23)),IF(INDEX(Properties!A$1:CB$87,Formula!D12,23)&lt;&gt;"",INDEX(Properties!A$1:CB$87,Formula!D12,23)),IF(INDEX(Properties!A$1:CB$87,Formula!F12,23)&lt;&gt;"",INDEX(Properties!A$1:CB$87,Formula!F12,23)),IF(INDEX(Properties!A$1:CB$87,Formula!H12,23)&lt;&gt;"",INDEX(Properties!A$1:CB$87,Formula!H12,23)),IF(INDEX(Properties!A$1:CB$87,Formula!J12,23)&lt;&gt;"",INDEX(Properties!A$1:CB$87,Formula!J12,23)))</f>
        <v>2.56</v>
      </c>
      <c r="CE12" s="81">
        <f>MAX(INDEX(Properties!A$1:CB$87,Formula!B12,23),INDEX(Properties!A$1:CB$87,Formula!D12,23),INDEX(Properties!A$1:CB$87,Formula!F12,23),INDEX(Properties!A$1:CB$87,Formula!H12,23),INDEX(Properties!A$1:CB$87,Formula!J12,23))</f>
        <v>4</v>
      </c>
      <c r="CF12" s="81">
        <f>MIN(IF(Formula!B12=87,10^6,INDEX(Properties!A$1:CB$87,Formula!B12,23)),IF((Formula!D12)=87,10^6,INDEX(Properties!A$1:CB$87,Formula!D12,23)),IF((Formula!F12)=87,10^6,INDEX(Properties!A$1:CB$87,Formula!F12,23)),IF((Formula!H12)=87,10^6,INDEX(Properties!A$1:CB$87,Formula!H12,23)),IF(Formula!J12=87,10^6,INDEX(Properties!A$1:CB$87,Formula!J12,23)))</f>
        <v>0</v>
      </c>
      <c r="CG12" s="81">
        <f t="shared" si="13"/>
        <v>4</v>
      </c>
      <c r="CH12" s="39">
        <f>((Formula!C12)/(Formula!C12+Formula!E12+Formula!G12+Formula!I12+Formula!K12))*(INDEX(Properties!A$1:CB$87,Formula!B12,26))+((Formula!E12)/(Formula!C12+Formula!E12+Formula!G12+Formula!I12+Formula!K12))*(INDEX(Properties!A$1:CB$87,Formula!D12,26))+((Formula!G12)/(Formula!C12+Formula!E12+Formula!G12+Formula!I12+Formula!K12))*(INDEX(Properties!A$1:CB$87,Formula!F12,26))+((Formula!I12)/(Formula!C12+Formula!E12+Formula!G12+Formula!I12+Formula!K12))*(INDEX(Properties!A$1:CB$87,Formula!H12,26))+((Formula!K12)/(Formula!C12+Formula!E12+Formula!G12+Formula!I12+Formula!K12))*(INDEX(Properties!A$1:CB$87,Formula!J12,26))</f>
        <v>11.200700000000001</v>
      </c>
      <c r="CI12" s="39">
        <f>Formula!C12*(INDEX(Properties!A$1:CB$87,Formula!B12,26))+Formula!E12*(INDEX(Properties!A$1:CB$87,Formula!D12,26))+Formula!G12*(INDEX(Properties!A$1:CB$87,Formula!F12,26))+Formula!I12*(INDEX(Properties!A$1:CB$87,Formula!H12,26))+Formula!K12*(INDEX(Properties!A$1:CB$87,Formula!J12,26))</f>
        <v>179.21120000000002</v>
      </c>
      <c r="CJ12" s="39">
        <f>VARP(IF(INDEX(Properties!A$1:CB$87,Formula!B12,26)&lt;&gt;"",INDEX(Properties!A$1:CB$87,Formula!B12,26)),IF(INDEX(Properties!A$1:CB$87,Formula!D12,26)&lt;&gt;"",INDEX(Properties!A$1:CB$87,Formula!D12,26)),IF(INDEX(Properties!A$1:CB$87,Formula!F12,26)&lt;&gt;"",INDEX(Properties!A$1:CB$87,Formula!F12,26)),IF(INDEX(Properties!A$1:CB$87,Formula!H12,26)&lt;&gt;"",INDEX(Properties!A$1:CB$87,Formula!H12,26)),IF(INDEX(Properties!A$1:CB$87,Formula!J12,26)&lt;&gt;"",INDEX(Properties!A$1:CB$87,Formula!J12,26)))</f>
        <v>26.692881788000008</v>
      </c>
      <c r="CK12" s="39">
        <f>MAX(INDEX(Properties!A$1:CB$87,Formula!B12,26),INDEX(Properties!A$1:CB$87,Formula!D12,26),INDEX(Properties!A$1:CB$87,Formula!F12,26),INDEX(Properties!A$1:CB$87,Formula!H12,26),INDEX(Properties!A$1:CB$87,Formula!J12,26))</f>
        <v>13.6181</v>
      </c>
      <c r="CL12" s="39">
        <f>MIN(IF(INDEX(Properties!A$1:CB$87,Formula!B12,26)=0,10^6,INDEX(Properties!A$1:CB$87,Formula!B12,26)),IF(INDEX(Properties!A$1:CB$87,Formula!D12,26)=0,10^6,INDEX(Properties!A$1:CB$87,Formula!D12,26)),IF(INDEX(Properties!A$1:CB$87,Formula!F12,26)=0,10^6,INDEX(Properties!A$1:CB$87,Formula!F12,26)),IF(INDEX(Properties!A$1:CB$87,Formula!H12,26)=0,10^6,INDEX(Properties!A$1:CB$87,Formula!H12,26)),IF(INDEX(Properties!A$1:CB$87,Formula!J12,26)=0,10^6,INDEX(Properties!A$1:CB$87,Formula!J12,26)))</f>
        <v>5.2117000000000004</v>
      </c>
      <c r="CM12" s="39">
        <f t="shared" si="14"/>
        <v>8.4063999999999997</v>
      </c>
      <c r="CN12" s="54">
        <f>((Formula!C12)/(Formula!C12+Formula!E12+Formula!G12+Formula!I12+Formula!K12))*(INDEX(Properties!A$1:CB$87,Formula!B12,30))+((Formula!E12)/(Formula!C12+Formula!E12+Formula!G12+Formula!I12+Formula!K12))*(INDEX(Properties!A$1:CB$87,Formula!D12,30))+((Formula!G12)/(Formula!C12+Formula!E12+Formula!G12+Formula!I12+Formula!K12))*(INDEX(Properties!A$1:CB$87,Formula!F12,30))+((Formula!I12)/(Formula!C12+Formula!E12+Formula!G12+Formula!I12+Formula!K12))*(INDEX(Properties!A$1:CB$87,Formula!H12,30))+((Formula!K12)/(Formula!C12+Formula!E12+Formula!G12+Formula!I12+Formula!K12))*(INDEX(Properties!A$1:CB$87,Formula!J12,30))</f>
        <v>2.7362500000000001</v>
      </c>
      <c r="CO12" s="54">
        <f>Formula!C12*(INDEX(Properties!A$1:CB$87,Formula!B12,30))+Formula!E12*(INDEX(Properties!A$1:CB$87,Formula!D12,30))+Formula!G12*(INDEX(Properties!A$1:CB$87,Formula!F12,30))+Formula!I12*(INDEX(Properties!A$1:CB$87,Formula!H12,30))+Formula!K12*(INDEX(Properties!A$1:CB$87,Formula!J12,30))</f>
        <v>43.78</v>
      </c>
      <c r="CP12" s="54">
        <f>VARP(IF(INDEX(Properties!A$1:CB$87,Formula!B12,30)&lt;&gt;"",INDEX(Properties!A$1:CB$87,Formula!B12,30)),IF(INDEX(Properties!A$1:CB$87,Formula!D12,30)&lt;&gt;"",INDEX(Properties!A$1:CB$87,Formula!D12,30)),IF(INDEX(Properties!A$1:CB$87,Formula!F12,30)&lt;&gt;"",INDEX(Properties!A$1:CB$87,Formula!F12,30)),IF(INDEX(Properties!A$1:CB$87,Formula!H12,30)&lt;&gt;"",INDEX(Properties!A$1:CB$87,Formula!H12,30)),IF(INDEX(Properties!A$1:CB$87,Formula!J12,30)&lt;&gt;"",INDEX(Properties!A$1:CB$87,Formula!J12,30)))</f>
        <v>1.6946239999999992</v>
      </c>
      <c r="CQ12" s="54">
        <f>MAX(INDEX(Properties!A$1:CB$87,Formula!B12,30),INDEX(Properties!A$1:CB$87,Formula!D12,30),INDEX(Properties!A$1:CB$87,Formula!F12,30),INDEX(Properties!A$1:CB$87,Formula!H12,30),INDEX(Properties!A$1:CB$87,Formula!J12,30))</f>
        <v>3.44</v>
      </c>
      <c r="CR12" s="54">
        <f>MIN(IF(INDEX(Properties!A$1:CB$87,Formula!B12,30)=0,10^6,INDEX(Properties!A$1:CB$87,Formula!B12,30)),IF(INDEX(Properties!A$1:CB$87,Formula!D12,30)=0,10^6,INDEX(Properties!A$1:CB$87,Formula!D12,30)),IF(INDEX(Properties!A$1:CB$87,Formula!F12,30)=0,10^6,INDEX(Properties!A$1:CB$87,Formula!F12,30)),IF(INDEX(Properties!A$1:CB$87,Formula!H12,30)=0,10^6,INDEX(Properties!A$1:CB$87,Formula!H12,30)),IF(INDEX(Properties!A$1:CB$87,Formula!J12,30)=0,10^6,INDEX(Properties!A$1:CB$87,Formula!J12,30)))</f>
        <v>0.89</v>
      </c>
      <c r="CS12" s="54">
        <f t="shared" si="15"/>
        <v>2.5499999999999998</v>
      </c>
      <c r="CT12" s="69">
        <f>((Formula!C12)/(Formula!C12+Formula!E12+Formula!G12+Formula!I12+Formula!K12))*(INDEX(Properties!A$1:CB$87,Formula!B12,31))+((Formula!E12)/(Formula!C12+Formula!E12+Formula!G12+Formula!I12+Formula!K12))*(INDEX(Properties!A$1:CB$87,Formula!D12,31))+((Formula!G12)/(Formula!C12+Formula!E12+Formula!G12+Formula!I12+Formula!K12))*(INDEX(Properties!A$1:CB$87,Formula!F12,31))+((Formula!I12)/(Formula!C12+Formula!E12+Formula!G12+Formula!I12+Formula!K12))*(INDEX(Properties!A$1:CB$87,Formula!H12,31))+((Formula!K12)/(Formula!C12+Formula!E12+Formula!G12+Formula!I12+Formula!K12))*(INDEX(Properties!A$1:CB$87,Formula!J12,31))</f>
        <v>2.7049999999999996</v>
      </c>
      <c r="CU12" s="69">
        <f>Formula!C12*(INDEX(Properties!A$1:CB$87,Formula!B12,31))+Formula!E12*(INDEX(Properties!A$1:CB$87,Formula!D12,31))+Formula!G12*(INDEX(Properties!A$1:CB$87,Formula!F12,31))+Formula!I12*(INDEX(Properties!A$1:CB$87,Formula!H12,31))+Formula!K12*(INDEX(Properties!A$1:CB$87,Formula!J12,31))</f>
        <v>43.279999999999994</v>
      </c>
      <c r="CV12" s="69">
        <f>VARP(IF(INDEX(Properties!A$1:CB$87,Formula!B12,31)&lt;&gt;"",INDEX(Properties!A$1:CB$87,Formula!B12,31)),IF(INDEX(Properties!A$1:CB$87,Formula!D12,31)&lt;&gt;"",INDEX(Properties!A$1:CB$87,Formula!D12,31)),IF(INDEX(Properties!A$1:CB$87,Formula!F12,31)&lt;&gt;"",INDEX(Properties!A$1:CB$87,Formula!F12,31)),IF(INDEX(Properties!A$1:CB$87,Formula!H12,31)&lt;&gt;"",INDEX(Properties!A$1:CB$87,Formula!H12,31)),IF(INDEX(Properties!A$1:CB$87,Formula!J12,31)&lt;&gt;"",INDEX(Properties!A$1:CB$87,Formula!J12,31)))</f>
        <v>1.5936640000000002</v>
      </c>
      <c r="CW12" s="69">
        <f>MAX(INDEX(Properties!A$1:CB$87,Formula!B12,31),INDEX(Properties!A$1:CB$87,Formula!D12,31),INDEX(Properties!A$1:CB$87,Formula!F12,31),INDEX(Properties!A$1:CB$87,Formula!H12,31),INDEX(Properties!A$1:CB$87,Formula!J12,31))</f>
        <v>3.32</v>
      </c>
      <c r="CX12" s="69">
        <f>MIN(IF(INDEX(Properties!A$1:CB$87,Formula!B12,31)=0,10^6,INDEX(Properties!A$1:CB$87,Formula!B12,31)),IF(INDEX(Properties!A$1:CB$87,Formula!D12,31)=0,10^6,INDEX(Properties!A$1:CB$87,Formula!D12,31)),IF(INDEX(Properties!A$1:CB$87,Formula!F12,31)=0,10^6,INDEX(Properties!A$1:CB$87,Formula!F12,31)),IF(INDEX(Properties!A$1:CB$87,Formula!H12,31)=0,10^6,INDEX(Properties!A$1:CB$87,Formula!H12,31)),IF(INDEX(Properties!A$1:CB$87,Formula!J12,31)=0,10^6,INDEX(Properties!A$1:CB$87,Formula!J12,31)))</f>
        <v>1.08</v>
      </c>
      <c r="CY12" s="69">
        <f t="shared" si="16"/>
        <v>2.2399999999999998</v>
      </c>
      <c r="CZ12" s="42">
        <f>((Formula!C12)/(Formula!C12+Formula!E12+Formula!G12+Formula!I12+Formula!K12))*(INDEX(Properties!A$1:CB$87,Formula!B12,32))+((Formula!E12)/(Formula!C12+Formula!E12+Formula!G12+Formula!I12+Formula!K12))*(INDEX(Properties!A$1:CB$87,Formula!D12,32))+((Formula!G12)/(Formula!C12+Formula!E12+Formula!G12+Formula!I12+Formula!K12))*(INDEX(Properties!A$1:CB$87,Formula!F12,32))+((Formula!I12)/(Formula!C12+Formula!E12+Formula!G12+Formula!I12+Formula!K12))*(INDEX(Properties!A$1:CB$87,Formula!H12,32))+((Formula!K12)/(Formula!C12+Formula!E12+Formula!G12+Formula!I12+Formula!K12))*(INDEX(Properties!A$1:CB$87,Formula!J12,32))</f>
        <v>6.2050000000000001</v>
      </c>
      <c r="DA12" s="42">
        <f>Formula!C12*(INDEX(Properties!A$1:CB$87,Formula!B12,32))+Formula!E12*(INDEX(Properties!A$1:CB$87,Formula!D12,32))+Formula!G12*(INDEX(Properties!A$1:CB$87,Formula!F12,32))+Formula!I12*(INDEX(Properties!A$1:CB$87,Formula!H12,32))+Formula!K12*(INDEX(Properties!A$1:CB$87,Formula!J12,32))</f>
        <v>99.28</v>
      </c>
      <c r="DB12" s="42">
        <f>VARP(IF(INDEX(Properties!A$1:CB$87,Formula!B12,32)&lt;&gt;"",INDEX(Properties!A$1:CB$87,Formula!B12,32)),IF(INDEX(Properties!A$1:CB$87,Formula!D12,32)&lt;&gt;"",INDEX(Properties!A$1:CB$87,Formula!D12,32)),IF(INDEX(Properties!A$1:CB$87,Formula!F12,32)&lt;&gt;"",INDEX(Properties!A$1:CB$87,Formula!F12,32)),IF(INDEX(Properties!A$1:CB$87,Formula!H12,32)&lt;&gt;"",INDEX(Properties!A$1:CB$87,Formula!H12,32)),IF(INDEX(Properties!A$1:CB$87,Formula!J12,32)&lt;&gt;"",INDEX(Properties!A$1:CB$87,Formula!J12,32)))</f>
        <v>8.4175359999999984</v>
      </c>
      <c r="DC12" s="42">
        <f>MAX(INDEX(Properties!A$1:CB$87,Formula!B12,32),INDEX(Properties!A$1:CB$87,Formula!D12,32),INDEX(Properties!A$1:CB$87,Formula!F12,32),INDEX(Properties!A$1:CB$87,Formula!H12,32),INDEX(Properties!A$1:CB$87,Formula!J12,32))</f>
        <v>7.54</v>
      </c>
      <c r="DD12" s="42">
        <f>MIN(IF(INDEX(Properties!A$1:CB$87,Formula!B12,32)=0,10^6,INDEX(Properties!A$1:CB$87,Formula!B12,32)),IF(INDEX(Properties!A$1:CB$87,Formula!D12,32)=0,10^6,INDEX(Properties!A$1:CB$87,Formula!D12,32)),IF(INDEX(Properties!A$1:CB$87,Formula!F12,32)=0,10^6,INDEX(Properties!A$1:CB$87,Formula!F12,32)),IF(INDEX(Properties!A$1:CB$87,Formula!H12,32)=0,10^6,INDEX(Properties!A$1:CB$87,Formula!H12,32)),IF(INDEX(Properties!A$1:CB$87,Formula!J12,32)=0,10^6,INDEX(Properties!A$1:CB$87,Formula!J12,32)))</f>
        <v>2.4</v>
      </c>
      <c r="DE12" s="42">
        <f t="shared" si="17"/>
        <v>5.1400000000000006</v>
      </c>
      <c r="DF12" s="60">
        <f>((Formula!C12)/(Formula!C12+Formula!E12+Formula!G12+Formula!I12+Formula!K12))*(INDEX(Properties!A$1:CB$87,Formula!B12,34))+((Formula!E12)/(Formula!C12+Formula!E12+Formula!G12+Formula!I12+Formula!K12))*(INDEX(Properties!A$1:CB$87,Formula!D12,34))+((Formula!G12)/(Formula!C12+Formula!E12+Formula!G12+Formula!I12+Formula!K12))*(INDEX(Properties!A$1:CB$87,Formula!F12,34))+((Formula!I12)/(Formula!C12+Formula!E12+Formula!G12+Formula!I12+Formula!K12))*(INDEX(Properties!A$1:CB$87,Formula!H12,34))+((Formula!K12)/(Formula!C12+Formula!E12+Formula!G12+Formula!I12+Formula!K12))*(INDEX(Properties!A$1:CB$87,Formula!J12,34))</f>
        <v>2.8453750000000002</v>
      </c>
      <c r="DG12" s="60">
        <f>Formula!C12*(INDEX(Properties!A$1:CB$87,Formula!B12,34))+Formula!E12*(INDEX(Properties!A$1:CB$87,Formula!D12,34))+Formula!G12*(INDEX(Properties!A$1:CB$87,Formula!F12,34))+Formula!I12*(INDEX(Properties!A$1:CB$87,Formula!H12,34))+Formula!K12*(INDEX(Properties!A$1:CB$87,Formula!J12,34))</f>
        <v>45.526000000000003</v>
      </c>
      <c r="DH12" s="60">
        <f>VARP(IF(INDEX(Properties!A$1:CB$87,Formula!B12,34)&lt;&gt;"",INDEX(Properties!A$1:CB$87,Formula!B12,34)),IF(INDEX(Properties!A$1:CB$87,Formula!D12,34)&lt;&gt;"",INDEX(Properties!A$1:CB$87,Formula!D12,34)),IF(INDEX(Properties!A$1:CB$87,Formula!F12,34)&lt;&gt;"",INDEX(Properties!A$1:CB$87,Formula!F12,34)),IF(INDEX(Properties!A$1:CB$87,Formula!H12,34)&lt;&gt;"",INDEX(Properties!A$1:CB$87,Formula!H12,34)),IF(INDEX(Properties!A$1:CB$87,Formula!J12,34)&lt;&gt;"",INDEX(Properties!A$1:CB$87,Formula!J12,34)))</f>
        <v>1.8538774399999993</v>
      </c>
      <c r="DI12" s="60">
        <f>MAX(INDEX(Properties!A$1:CB$87,Formula!B12,34),INDEX(Properties!A$1:CB$87,Formula!D12,34),INDEX(Properties!A$1:CB$87,Formula!F12,34),INDEX(Properties!A$1:CB$87,Formula!H12,34),INDEX(Properties!A$1:CB$87,Formula!J12,34))</f>
        <v>3.61</v>
      </c>
      <c r="DJ12" s="60">
        <f>MIN(IF(INDEX(Properties!A$1:CB$87,Formula!B12,34)=0,10^6,INDEX(Properties!A$1:CB$87,Formula!B12,34)),IF(INDEX(Properties!A$1:CB$87,Formula!D12,34)=0,10^6,INDEX(Properties!A$1:CB$87,Formula!D12,34)),IF(INDEX(Properties!A$1:CB$87,Formula!F12,34)=0,10^6,INDEX(Properties!A$1:CB$87,Formula!F12,34)),IF(INDEX(Properties!A$1:CB$87,Formula!H12,34)=0,10^6,INDEX(Properties!A$1:CB$87,Formula!H12,34)),IF(INDEX(Properties!A$1:CB$87,Formula!J12,34)=0,10^6,INDEX(Properties!A$1:CB$87,Formula!J12,34)))</f>
        <v>0.88100000000000001</v>
      </c>
      <c r="DK12" s="60">
        <f t="shared" si="18"/>
        <v>2.7290000000000001</v>
      </c>
      <c r="DL12" s="45">
        <f>((Formula!C12)/(Formula!C12+Formula!E12+Formula!G12+Formula!I12+Formula!K12))*(INDEX(Properties!A$1:CB$87,Formula!B12,39))+((Formula!E12)/(Formula!C12+Formula!E12+Formula!G12+Formula!I12+Formula!K12))*(INDEX(Properties!A$1:CB$87,Formula!D12,39))+((Formula!G12)/(Formula!C12+Formula!E12+Formula!G12+Formula!I12+Formula!K12))*(INDEX(Properties!A$1:CB$87,Formula!F12,39))+((Formula!I12)/(Formula!C12+Formula!E12+Formula!G12+Formula!I12+Formula!K12))*(INDEX(Properties!A$1:CB$87,Formula!H12,39))+((Formula!K12)/(Formula!C12+Formula!E12+Formula!G12+Formula!I12+Formula!K12))*(INDEX(Properties!A$1:CB$87,Formula!J12,39))</f>
        <v>0.89375000000000004</v>
      </c>
      <c r="DM12" s="45">
        <f>Formula!C12*(INDEX(Properties!A$1:CB$87,Formula!B12,39))+Formula!E12*(INDEX(Properties!A$1:CB$87,Formula!D12,39))+Formula!G12*(INDEX(Properties!A$1:CB$87,Formula!F12,39))+Formula!I12*(INDEX(Properties!A$1:CB$87,Formula!H12,39))+Formula!K12*(INDEX(Properties!A$1:CB$87,Formula!J12,39))</f>
        <v>14.3</v>
      </c>
      <c r="DN12" s="45">
        <f>VARP(IF(INDEX(Properties!A$1:CB$87,Formula!B12,39)&lt;&gt;"",INDEX(Properties!A$1:CB$87,Formula!B12,39)),IF(INDEX(Properties!A$1:CB$87,Formula!D12,39)&lt;&gt;"",INDEX(Properties!A$1:CB$87,Formula!D12,39)),IF(INDEX(Properties!A$1:CB$87,Formula!F12,39)&lt;&gt;"",INDEX(Properties!A$1:CB$87,Formula!F12,39)),IF(INDEX(Properties!A$1:CB$87,Formula!H12,39)&lt;&gt;"",INDEX(Properties!A$1:CB$87,Formula!H12,39)),IF(INDEX(Properties!A$1:CB$87,Formula!J12,39)&lt;&gt;"",INDEX(Properties!A$1:CB$87,Formula!J12,39)))</f>
        <v>0.89370400000000028</v>
      </c>
      <c r="DO12" s="45">
        <f>MAX(INDEX(Properties!A$1:CB$87,Formula!B12,39),INDEX(Properties!A$1:CB$87,Formula!D12,39),INDEX(Properties!A$1:CB$87,Formula!F12,39),INDEX(Properties!A$1:CB$87,Formula!H12,39),INDEX(Properties!A$1:CB$87,Formula!J12,39))</f>
        <v>2.5299999999999998</v>
      </c>
      <c r="DP12" s="45">
        <f>MIN(IF(INDEX(Properties!A$1:CB$87,Formula!B12,39)=0,10^6,INDEX(Properties!A$1:CB$87,Formula!B12,39)),IF(INDEX(Properties!A$1:CB$87,Formula!D12,39)=0,10^6,INDEX(Properties!A$1:CB$87,Formula!D12,39)),IF(INDEX(Properties!A$1:CB$87,Formula!F12,39)=0,10^6,INDEX(Properties!A$1:CB$87,Formula!F12,39)),IF(INDEX(Properties!A$1:CB$87,Formula!H12,39)=0,10^6,INDEX(Properties!A$1:CB$87,Formula!H12,39)),IF(INDEX(Properties!A$1:CB$87,Formula!J12,39)=0,10^6,INDEX(Properties!A$1:CB$87,Formula!J12,39)))</f>
        <v>0.48</v>
      </c>
      <c r="DQ12" s="45">
        <f t="shared" si="19"/>
        <v>2.0499999999999998</v>
      </c>
      <c r="DR12" s="63">
        <f>((Formula!C12)/(Formula!C12+Formula!E12+Formula!G12+Formula!I12+Formula!K12))*(INDEX(Properties!A$1:CB$87,Formula!B12,40))+((Formula!E12)/(Formula!C12+Formula!E12+Formula!G12+Formula!I12+Formula!K12))*(INDEX(Properties!A$1:CB$87,Formula!D12,40))+((Formula!G12)/(Formula!C12+Formula!E12+Formula!G12+Formula!I12+Formula!K12))*(INDEX(Properties!A$1:CB$87,Formula!F12,40))+((Formula!I12)/(Formula!C12+Formula!E12+Formula!G12+Formula!I12+Formula!K12))*(INDEX(Properties!A$1:CB$87,Formula!H12,40))+((Formula!K12)/(Formula!C12+Formula!E12+Formula!G12+Formula!I12+Formula!K12))*(INDEX(Properties!A$1:CB$87,Formula!J12,40))</f>
        <v>0.98124999999999996</v>
      </c>
      <c r="DS12" s="63">
        <f>Formula!C12*(INDEX(Properties!A$1:CB$87,Formula!B12,40))+Formula!E12*(INDEX(Properties!A$1:CB$87,Formula!D12,40))+Formula!G12*(INDEX(Properties!A$1:CB$87,Formula!F12,40))+Formula!I12*(INDEX(Properties!A$1:CB$87,Formula!H12,40))+Formula!K12*(INDEX(Properties!A$1:CB$87,Formula!J12,40))</f>
        <v>15.7</v>
      </c>
      <c r="DT12" s="63">
        <f>VARP(IF(INDEX(Properties!A$1:CB$87,Formula!B12,40)&lt;&gt;"",INDEX(Properties!A$1:CB$87,Formula!B12,40)),IF(INDEX(Properties!A$1:CB$87,Formula!D12,40)&lt;&gt;"",INDEX(Properties!A$1:CB$87,Formula!D12,40)),IF(INDEX(Properties!A$1:CB$87,Formula!F12,40)&lt;&gt;"",INDEX(Properties!A$1:CB$87,Formula!F12,40)),IF(INDEX(Properties!A$1:CB$87,Formula!H12,40)&lt;&gt;"",INDEX(Properties!A$1:CB$87,Formula!H12,40)),IF(INDEX(Properties!A$1:CB$87,Formula!J12,40)&lt;&gt;"",INDEX(Properties!A$1:CB$87,Formula!J12,40)))</f>
        <v>0.55338399999999999</v>
      </c>
      <c r="DU12" s="63">
        <f>MAX(INDEX(Properties!A$1:CB$87,Formula!B12,40),INDEX(Properties!A$1:CB$87,Formula!D12,40),INDEX(Properties!A$1:CB$87,Formula!F12,40),INDEX(Properties!A$1:CB$87,Formula!H12,40),INDEX(Properties!A$1:CB$87,Formula!J12,40))</f>
        <v>1.98</v>
      </c>
      <c r="DV12" s="63">
        <f>MIN(IF(INDEX(Properties!A$1:CB$87,Formula!B12,40)=0,10^6,INDEX(Properties!A$1:CB$87,Formula!B12,40)),IF(INDEX(Properties!A$1:CB$87,Formula!D12,40)=0,10^6,INDEX(Properties!A$1:CB$87,Formula!D12,40)),IF(INDEX(Properties!A$1:CB$87,Formula!F12,40)=0,10^6,INDEX(Properties!A$1:CB$87,Formula!F12,40)),IF(INDEX(Properties!A$1:CB$87,Formula!H12,40)=0,10^6,INDEX(Properties!A$1:CB$87,Formula!H12,40)),IF(INDEX(Properties!A$1:CB$87,Formula!J12,40)=0,10^6,INDEX(Properties!A$1:CB$87,Formula!J12,40)))</f>
        <v>0.73</v>
      </c>
      <c r="DW12" s="63">
        <f t="shared" si="20"/>
        <v>1.25</v>
      </c>
      <c r="DX12" s="75">
        <f>((Formula!C12)/(Formula!C12+Formula!E12+Formula!G12+Formula!I12+Formula!K12))*(INDEX(Properties!A$1:CB$87,Formula!B12,41))+((Formula!E12)/(Formula!C12+Formula!E12+Formula!G12+Formula!I12+Formula!K12))*(INDEX(Properties!A$1:CB$87,Formula!D12,41))+((Formula!G12)/(Formula!C12+Formula!E12+Formula!G12+Formula!I12+Formula!K12))*(INDEX(Properties!A$1:CB$87,Formula!F12,41))+((Formula!I12)/(Formula!C12+Formula!E12+Formula!G12+Formula!I12+Formula!K12))*(INDEX(Properties!A$1:CB$87,Formula!H12,41))+((Formula!K12)/(Formula!C12+Formula!E12+Formula!G12+Formula!I12+Formula!K12))*(INDEX(Properties!A$1:CB$87,Formula!J12,41))</f>
        <v>1.1087500000000001</v>
      </c>
      <c r="DY12" s="75">
        <f>Formula!C12*(INDEX(Properties!A$1:CB$87,Formula!B12,41))+Formula!E12*(INDEX(Properties!A$1:CB$87,Formula!D12,41))+Formula!G12*(INDEX(Properties!A$1:CB$87,Formula!F12,41))+Formula!I12*(INDEX(Properties!A$1:CB$87,Formula!H12,41))+Formula!K12*(INDEX(Properties!A$1:CB$87,Formula!J12,41))</f>
        <v>17.740000000000002</v>
      </c>
      <c r="DZ12" s="75">
        <f>VARP(IF(INDEX(Properties!A$1:CB$87,Formula!B12,41)&lt;&gt;"",INDEX(Properties!A$1:CB$87,Formula!B12,41)),IF(INDEX(Properties!A$1:CB$87,Formula!D12,41)&lt;&gt;"",INDEX(Properties!A$1:CB$87,Formula!D12,41)),IF(INDEX(Properties!A$1:CB$87,Formula!F12,41)&lt;&gt;"",INDEX(Properties!A$1:CB$87,Formula!F12,41)),IF(INDEX(Properties!A$1:CB$87,Formula!H12,41)&lt;&gt;"",INDEX(Properties!A$1:CB$87,Formula!H12,41)),IF(INDEX(Properties!A$1:CB$87,Formula!J12,41)&lt;&gt;"",INDEX(Properties!A$1:CB$87,Formula!J12,41)))</f>
        <v>0.38689599999999991</v>
      </c>
      <c r="EA12" s="75">
        <f>MAX(INDEX(Properties!A$1:CB$87,Formula!B12,41),INDEX(Properties!A$1:CB$87,Formula!D12,41),INDEX(Properties!A$1:CB$87,Formula!F12,41),INDEX(Properties!A$1:CB$87,Formula!H12,41),INDEX(Properties!A$1:CB$87,Formula!J12,41))</f>
        <v>1.49</v>
      </c>
      <c r="EB12" s="75">
        <f>MIN(IF(INDEX(Properties!A$1:CB$87,Formula!B12,41)=0,10^6,INDEX(Properties!A$1:CB$87,Formula!B12,41)),IF(INDEX(Properties!A$1:CB$87,Formula!D12,41)=0,10^6,INDEX(Properties!A$1:CB$87,Formula!D12,41)),IF(INDEX(Properties!A$1:CB$87,Formula!F12,41)=0,10^6,INDEX(Properties!A$1:CB$87,Formula!F12,41)),IF(INDEX(Properties!A$1:CB$87,Formula!H12,41)=0,10^6,INDEX(Properties!A$1:CB$87,Formula!H12,41)),IF(INDEX(Properties!A$1:CB$87,Formula!J12,41)=0,10^6,INDEX(Properties!A$1:CB$87,Formula!J12,41)))</f>
        <v>0.54</v>
      </c>
      <c r="EC12" s="75">
        <f t="shared" si="21"/>
        <v>0.95</v>
      </c>
      <c r="ED12" s="48">
        <f>((Formula!C12)/(Formula!C12+Formula!E12+Formula!G12+Formula!I12+Formula!K12))*(INDEX(Properties!A$1:CB$87,Formula!B12,45))+((Formula!E12)/(Formula!C12+Formula!E12+Formula!G12+Formula!I12+Formula!K12))*(INDEX(Properties!A$1:CB$87,Formula!D12,45))+((Formula!G12)/(Formula!C12+Formula!E12+Formula!G12+Formula!I12+Formula!K12))*(INDEX(Properties!A$1:CB$87,Formula!F12,45))+((Formula!I12)/(Formula!C12+Formula!E12+Formula!G12+Formula!I12+Formula!K12))*(INDEX(Properties!A$1:CB$87,Formula!H12,45))+((Formula!K12)/(Formula!C12+Formula!E12+Formula!G12+Formula!I12+Formula!K12))*(INDEX(Properties!A$1:CB$87,Formula!J12,45))</f>
        <v>1.07375</v>
      </c>
      <c r="EE12" s="48">
        <f>Formula!C12*(INDEX(Properties!A$1:CB$87,Formula!B12,45))+Formula!E12*(INDEX(Properties!A$1:CB$87,Formula!D12,45))+Formula!G12*(INDEX(Properties!A$1:CB$87,Formula!F12,45))+Formula!I12*(INDEX(Properties!A$1:CB$87,Formula!H12,45))+Formula!K12*(INDEX(Properties!A$1:CB$87,Formula!J12,45))</f>
        <v>17.18</v>
      </c>
      <c r="EF12" s="48">
        <f>VARP(IF(INDEX(Properties!A$1:CB$87,Formula!B12,45)&lt;&gt;"",INDEX(Properties!A$1:CB$87,Formula!B12,45)),IF(INDEX(Properties!A$1:CB$87,Formula!D12,45)&lt;&gt;"",INDEX(Properties!A$1:CB$87,Formula!D12,45)),IF(INDEX(Properties!A$1:CB$87,Formula!F12,45)&lt;&gt;"",INDEX(Properties!A$1:CB$87,Formula!F12,45)),IF(INDEX(Properties!A$1:CB$87,Formula!H12,45)&lt;&gt;"",INDEX(Properties!A$1:CB$87,Formula!H12,45)),IF(INDEX(Properties!A$1:CB$87,Formula!J12,45)&lt;&gt;"",INDEX(Properties!A$1:CB$87,Formula!J12,45)))</f>
        <v>1.6400960000000004</v>
      </c>
      <c r="EG12" s="48">
        <f>MAX(INDEX(Properties!A$1:CB$87,Formula!B12,45),INDEX(Properties!A$1:CB$87,Formula!D12,45),INDEX(Properties!A$1:CB$87,Formula!F12,45),INDEX(Properties!A$1:CB$87,Formula!H12,45),INDEX(Properties!A$1:CB$87,Formula!J12,45))</f>
        <v>3.4</v>
      </c>
      <c r="EH12" s="48">
        <f>MIN(IF(INDEX(Properties!A$1:CB$87,Formula!B12,45)=0,10^6,INDEX(Properties!A$1:CB$87,Formula!B12,45)),IF(INDEX(Properties!A$1:CB$87,Formula!D12,45)=0,10^6,INDEX(Properties!A$1:CB$87,Formula!D12,45)),IF(INDEX(Properties!A$1:CB$87,Formula!F12,45)=0,10^6,INDEX(Properties!A$1:CB$87,Formula!F12,45)),IF(INDEX(Properties!A$1:CB$87,Formula!H12,45)=0,10^6,INDEX(Properties!A$1:CB$87,Formula!H12,45)),IF(INDEX(Properties!A$1:CB$87,Formula!J12,45)=0,10^6,INDEX(Properties!A$1:CB$87,Formula!J12,45)))</f>
        <v>0.47</v>
      </c>
      <c r="EI12" s="48">
        <f t="shared" si="22"/>
        <v>2.9299999999999997</v>
      </c>
      <c r="EJ12" s="66">
        <f>((Formula!C12)/(Formula!C12+Formula!E12+Formula!G12+Formula!I12+Formula!K12))*(INDEX(Properties!A$1:CB$87,Formula!B12,46))+((Formula!E12)/(Formula!C12+Formula!E12+Formula!G12+Formula!I12+Formula!K12))*(INDEX(Properties!A$1:CB$87,Formula!D12,46))+((Formula!G12)/(Formula!C12+Formula!E12+Formula!G12+Formula!I12+Formula!K12))*(INDEX(Properties!A$1:CB$87,Formula!F12,46))+((Formula!I12)/(Formula!C12+Formula!E12+Formula!G12+Formula!I12+Formula!K12))*(INDEX(Properties!A$1:CB$87,Formula!H12,46))+((Formula!K12)/(Formula!C12+Formula!E12+Formula!G12+Formula!I12+Formula!K12))*(INDEX(Properties!A$1:CB$87,Formula!J12,46))</f>
        <v>1.0425</v>
      </c>
      <c r="EK12" s="66">
        <f>Formula!C12*(INDEX(Properties!A$1:CB$87,Formula!B12,46))+Formula!E12*(INDEX(Properties!A$1:CB$87,Formula!D12,46))+Formula!G12*(INDEX(Properties!A$1:CB$87,Formula!F12,46))+Formula!I12*(INDEX(Properties!A$1:CB$87,Formula!H12,46))+Formula!K12*(INDEX(Properties!A$1:CB$87,Formula!J12,46))</f>
        <v>16.68</v>
      </c>
      <c r="EL12" s="66">
        <f>VARP(IF(INDEX(Properties!A$1:CB$87,Formula!B12,46)&lt;&gt;"",INDEX(Properties!A$1:CB$87,Formula!B12,46)),IF(INDEX(Properties!A$1:CB$87,Formula!D12,46)&lt;&gt;"",INDEX(Properties!A$1:CB$87,Formula!D12,46)),IF(INDEX(Properties!A$1:CB$87,Formula!F12,46)&lt;&gt;"",INDEX(Properties!A$1:CB$87,Formula!F12,46)),IF(INDEX(Properties!A$1:CB$87,Formula!H12,46)&lt;&gt;"",INDEX(Properties!A$1:CB$87,Formula!H12,46)),IF(INDEX(Properties!A$1:CB$87,Formula!J12,46)&lt;&gt;"",INDEX(Properties!A$1:CB$87,Formula!J12,46)))</f>
        <v>0.38443999999999995</v>
      </c>
      <c r="EM12" s="66">
        <f>MAX(INDEX(Properties!A$1:CB$87,Formula!B12,46),INDEX(Properties!A$1:CB$87,Formula!D12,46),INDEX(Properties!A$1:CB$87,Formula!F12,46),INDEX(Properties!A$1:CB$87,Formula!H12,46),INDEX(Properties!A$1:CB$87,Formula!J12,46))</f>
        <v>1.49</v>
      </c>
      <c r="EN12" s="66">
        <f>MIN(IF(INDEX(Properties!A$1:CB$87,Formula!B12,46)=0,10^6,INDEX(Properties!A$1:CB$87,Formula!B12,46)),IF(INDEX(Properties!A$1:CB$87,Formula!D12,46)=0,10^6,INDEX(Properties!A$1:CB$87,Formula!D12,46)),IF(INDEX(Properties!A$1:CB$87,Formula!F12,46)=0,10^6,INDEX(Properties!A$1:CB$87,Formula!F12,46)),IF(INDEX(Properties!A$1:CB$87,Formula!H12,46)=0,10^6,INDEX(Properties!A$1:CB$87,Formula!H12,46)),IF(INDEX(Properties!A$1:CB$87,Formula!J12,46)=0,10^6,INDEX(Properties!A$1:CB$87,Formula!J12,46)))</f>
        <v>0.4</v>
      </c>
      <c r="EO12" s="66">
        <f t="shared" si="23"/>
        <v>1.0899999999999999</v>
      </c>
      <c r="EP12" s="81">
        <f>((Formula!C12)/(Formula!C12+Formula!E12+Formula!G12+Formula!I12+Formula!K12))*(INDEX(Properties!A$1:CB$87,Formula!B12,52))+((Formula!E12)/(Formula!C12+Formula!E12+Formula!G12+Formula!I12+Formula!K12))*(INDEX(Properties!A$1:CB$87,Formula!D12,52))+((Formula!G12)/(Formula!C12+Formula!E12+Formula!G12+Formula!I12+Formula!K12))*(INDEX(Properties!A$1:CB$87,Formula!F12,52))+((Formula!I12)/(Formula!C12+Formula!E12+Formula!G12+Formula!I12+Formula!K12))*(INDEX(Properties!A$1:CB$87,Formula!H12,52))+((Formula!K12)/(Formula!C12+Formula!E12+Formula!G12+Formula!I12+Formula!K12))*(INDEX(Properties!A$1:CB$87,Formula!J12,52))</f>
        <v>6.8081250000000004</v>
      </c>
      <c r="EQ12" s="81">
        <f>Formula!C12*(INDEX(Properties!A$1:CB$87,Formula!B12,52))+Formula!E12*(INDEX(Properties!A$1:CB$87,Formula!D12,52))+Formula!G12*(INDEX(Properties!A$1:CB$87,Formula!F12,52))+Formula!I12*(INDEX(Properties!A$1:CB$87,Formula!H12,52))+Formula!K12*(INDEX(Properties!A$1:CB$87,Formula!J12,52))</f>
        <v>108.93</v>
      </c>
      <c r="ER12" s="81">
        <f>VARP(IF(INDEX(Properties!A$1:CB$87,Formula!B12,52)&lt;&gt;"",INDEX(Properties!A$1:CB$87,Formula!B12,52)),IF(INDEX(Properties!A$1:CB$87,Formula!D12,52)&lt;&gt;"",INDEX(Properties!A$1:CB$87,Formula!D12,52)),IF(INDEX(Properties!A$1:CB$87,Formula!F12,52)&lt;&gt;"",INDEX(Properties!A$1:CB$87,Formula!F12,52)),IF(INDEX(Properties!A$1:CB$87,Formula!H12,52)&lt;&gt;"",INDEX(Properties!A$1:CB$87,Formula!H12,52)),IF(INDEX(Properties!A$1:CB$87,Formula!J12,52)&lt;&gt;"",INDEX(Properties!A$1:CB$87,Formula!J12,52)))</f>
        <v>236.92907184000003</v>
      </c>
      <c r="ES12" s="81">
        <f>MAX(INDEX(Properties!A$1:CB$87,Formula!B12,52),INDEX(Properties!A$1:CB$87,Formula!D12,52),INDEX(Properties!A$1:CB$87,Formula!F12,52),INDEX(Properties!A$1:CB$87,Formula!H12,52),INDEX(Properties!A$1:CB$87,Formula!J12,52))</f>
        <v>39.700000000000003</v>
      </c>
      <c r="ET12" s="81">
        <f>MIN(IF(INDEX(Properties!A$1:CB$87,Formula!B12,52)=0,10^6,INDEX(Properties!A$1:CB$87,Formula!B12,52)),IF(INDEX(Properties!A$1:CB$87,Formula!D12,52)=0,10^6,INDEX(Properties!A$1:CB$87,Formula!D12,52)),IF(INDEX(Properties!A$1:CB$87,Formula!F12,52)=0,10^6,INDEX(Properties!A$1:CB$87,Formula!F12,52)),IF(INDEX(Properties!A$1:CB$87,Formula!H12,52)=0,10^6,INDEX(Properties!A$1:CB$87,Formula!H12,52)),IF(INDEX(Properties!A$1:CB$87,Formula!J12,52)=0,10^6,INDEX(Properties!A$1:CB$87,Formula!J12,52)))</f>
        <v>0.79300000000000004</v>
      </c>
      <c r="EU12" s="81">
        <f t="shared" si="24"/>
        <v>38.907000000000004</v>
      </c>
      <c r="EV12" s="39">
        <f>((Formula!C12)/(Formula!C12+Formula!E12+Formula!G12+Formula!I12+Formula!K12))*(INDEX(Properties!A$1:CB$87,Formula!B12,53))+((Formula!E12)/(Formula!C12+Formula!E12+Formula!G12+Formula!I12+Formula!K12))*(INDEX(Properties!A$1:CB$87,Formula!D12,53))+((Formula!G12)/(Formula!C12+Formula!E12+Formula!G12+Formula!I12+Formula!K12))*(INDEX(Properties!A$1:CB$87,Formula!F12,53))+((Formula!I12)/(Formula!C12+Formula!E12+Formula!G12+Formula!I12+Formula!K12))*(INDEX(Properties!A$1:CB$87,Formula!H12,53))+((Formula!K12)/(Formula!C12+Formula!E12+Formula!G12+Formula!I12+Formula!K12))*(INDEX(Properties!A$1:CB$87,Formula!J12,53))</f>
        <v>579.77499999999998</v>
      </c>
      <c r="EW12" s="39">
        <f>Formula!C12*(INDEX(Properties!A$1:CB$87,Formula!B12,53))+Formula!E12*(INDEX(Properties!A$1:CB$87,Formula!D12,53))+Formula!G12*(INDEX(Properties!A$1:CB$87,Formula!F12,53))+Formula!I12*(INDEX(Properties!A$1:CB$87,Formula!H12,53))+Formula!K12*(INDEX(Properties!A$1:CB$87,Formula!J12,53))</f>
        <v>9276.4</v>
      </c>
      <c r="EX12" s="39">
        <f>VARP(IF(INDEX(Properties!A$1:CB$87,Formula!B12,53)&lt;&gt;"",INDEX(Properties!A$1:CB$87,Formula!B12,53)),IF(INDEX(Properties!A$1:CB$87,Formula!D12,53)&lt;&gt;"",INDEX(Properties!A$1:CB$87,Formula!D12,53)),IF(INDEX(Properties!A$1:CB$87,Formula!F12,53)&lt;&gt;"",INDEX(Properties!A$1:CB$87,Formula!F12,53)),IF(INDEX(Properties!A$1:CB$87,Formula!H12,53)&lt;&gt;"",INDEX(Properties!A$1:CB$87,Formula!H12,53)),IF(INDEX(Properties!A$1:CB$87,Formula!J12,53)&lt;&gt;"",INDEX(Properties!A$1:CB$87,Formula!J12,53)))</f>
        <v>467020.1974</v>
      </c>
      <c r="EY12" s="39">
        <f>MAX(INDEX(Properties!A$1:CB$87,Formula!B12,53),INDEX(Properties!A$1:CB$87,Formula!D12,53),INDEX(Properties!A$1:CB$87,Formula!F12,53),INDEX(Properties!A$1:CB$87,Formula!H12,53),INDEX(Properties!A$1:CB$87,Formula!J12,53))</f>
        <v>1683.15</v>
      </c>
      <c r="EZ12" s="39">
        <f>MIN(IF(INDEX(Properties!A$1:CB$87,Formula!B12,53)=0,10^6,INDEX(Properties!A$1:CB$87,Formula!B12,53)),IF(INDEX(Properties!A$1:CB$87,Formula!D12,53)=0,10^6,INDEX(Properties!A$1:CB$87,Formula!D12,53)),IF(INDEX(Properties!A$1:CB$87,Formula!F12,53)=0,10^6,INDEX(Properties!A$1:CB$87,Formula!F12,53)),IF(INDEX(Properties!A$1:CB$87,Formula!H12,53)=0,10^6,INDEX(Properties!A$1:CB$87,Formula!H12,53)),IF(INDEX(Properties!A$1:CB$87,Formula!J12,53)=0,10^6,INDEX(Properties!A$1:CB$87,Formula!J12,53)))</f>
        <v>54.749999999999972</v>
      </c>
      <c r="FA12" s="39">
        <f t="shared" si="25"/>
        <v>1628.4</v>
      </c>
      <c r="FB12" s="54">
        <f>((Formula!C12)/(Formula!C12+Formula!E12+Formula!G12+Formula!I12+Formula!K12))*(INDEX(Properties!A$1:CB$87,Formula!B12,54))+((Formula!E12)/(Formula!C12+Formula!E12+Formula!G12+Formula!I12+Formula!K12))*(INDEX(Properties!A$1:CB$87,Formula!D12,54))+((Formula!G12)/(Formula!C12+Formula!E12+Formula!G12+Formula!I12+Formula!K12))*(INDEX(Properties!A$1:CB$87,Formula!F12,54))+((Formula!I12)/(Formula!C12+Formula!E12+Formula!G12+Formula!I12+Formula!K12))*(INDEX(Properties!A$1:CB$87,Formula!H12,54))+((Formula!K12)/(Formula!C12+Formula!E12+Formula!G12+Formula!I12+Formula!K12))*(INDEX(Properties!A$1:CB$87,Formula!J12,54))</f>
        <v>952.52500000000009</v>
      </c>
      <c r="FC12" s="54">
        <f>Formula!C12*(INDEX(Properties!A$1:CB$87,Formula!B12,54))+Formula!E12*(INDEX(Properties!A$1:CB$87,Formula!D12,54))+Formula!G12*(INDEX(Properties!A$1:CB$87,Formula!F12,54))+Formula!I12*(INDEX(Properties!A$1:CB$87,Formula!H12,54))+Formula!K12*(INDEX(Properties!A$1:CB$87,Formula!J12,54))</f>
        <v>15240.400000000001</v>
      </c>
      <c r="FD12" s="54">
        <f>VARP(IF(INDEX(Properties!A$1:CB$87,Formula!B12,54)&lt;&gt;"",INDEX(Properties!A$1:CB$87,Formula!B12,54)),IF(INDEX(Properties!A$1:CB$87,Formula!D12,54)&lt;&gt;"",INDEX(Properties!A$1:CB$87,Formula!D12,54)),IF(INDEX(Properties!A$1:CB$87,Formula!F12,54)&lt;&gt;"",INDEX(Properties!A$1:CB$87,Formula!F12,54)),IF(INDEX(Properties!A$1:CB$87,Formula!H12,54)&lt;&gt;"",INDEX(Properties!A$1:CB$87,Formula!H12,54)),IF(INDEX(Properties!A$1:CB$87,Formula!J12,54)&lt;&gt;"",INDEX(Properties!A$1:CB$87,Formula!J12,54)))</f>
        <v>1257075.3094000004</v>
      </c>
      <c r="FE12" s="54">
        <f>MAX(INDEX(Properties!A$1:CB$87,Formula!B12,54),INDEX(Properties!A$1:CB$87,Formula!D12,54),INDEX(Properties!A$1:CB$87,Formula!F12,54),INDEX(Properties!A$1:CB$87,Formula!H12,54),INDEX(Properties!A$1:CB$87,Formula!J12,54))</f>
        <v>2628.15</v>
      </c>
      <c r="FF12" s="54">
        <f>MIN(IF(INDEX(Properties!A$1:CB$87,Formula!B12,54)=0,10^6,INDEX(Properties!A$1:CB$87,Formula!B12,54)),IF(INDEX(Properties!A$1:CB$87,Formula!D12,54)=0,10^6,INDEX(Properties!A$1:CB$87,Formula!D12,54)),IF(INDEX(Properties!A$1:CB$87,Formula!F12,54)=0,10^6,INDEX(Properties!A$1:CB$87,Formula!F12,54)),IF(INDEX(Properties!A$1:CB$87,Formula!H12,54)=0,10^6,INDEX(Properties!A$1:CB$87,Formula!H12,54)),IF(INDEX(Properties!A$1:CB$87,Formula!J12,54)=0,10^6,INDEX(Properties!A$1:CB$87,Formula!J12,54)))</f>
        <v>90.149999999999977</v>
      </c>
      <c r="FG12" s="54">
        <f t="shared" si="26"/>
        <v>2538</v>
      </c>
      <c r="FH12" s="69">
        <f>((Formula!C12)/(Formula!C12+Formula!E12+Formula!G12+Formula!I12+Formula!K12))*(INDEX(Properties!A$1:CB$87,Formula!B12,55))+((Formula!E12)/(Formula!C12+Formula!E12+Formula!G12+Formula!I12+Formula!K12))*(INDEX(Properties!A$1:CB$87,Formula!D12,55))+((Formula!G12)/(Formula!C12+Formula!E12+Formula!G12+Formula!I12+Formula!K12))*(INDEX(Properties!A$1:CB$87,Formula!F12,55))+((Formula!I12)/(Formula!C12+Formula!E12+Formula!G12+Formula!I12+Formula!K12))*(INDEX(Properties!A$1:CB$87,Formula!H12,55))+((Formula!K12)/(Formula!C12+Formula!E12+Formula!G12+Formula!I12+Formula!K12))*(INDEX(Properties!A$1:CB$87,Formula!J12,55))</f>
        <v>1.0208937499999999</v>
      </c>
      <c r="FI12" s="69">
        <f>Formula!C12*(INDEX(Properties!A$1:CB$87,Formula!B12,55))+Formula!E12*(INDEX(Properties!A$1:CB$87,Formula!D12,54))+Formula!G12*(INDEX(Properties!A$1:CB$87,Formula!F12,55))+Formula!I12*(INDEX(Properties!A$1:CB$87,Formula!H12,55))+Formula!K12*(INDEX(Properties!A$1:CB$87,Formula!J12,55))</f>
        <v>10519.614300000001</v>
      </c>
      <c r="FJ12" s="69">
        <f>VARP(IF(INDEX(Properties!A$1:CB$87,Formula!B12,55)&lt;&gt;"",INDEX(Properties!A$1:CB$87,Formula!B12,55)),IF(INDEX(Properties!A$1:CB$87,Formula!D12,55)&lt;&gt;"",INDEX(Properties!A$1:CB$87,Formula!D12,55)),IF(INDEX(Properties!A$1:CB$87,Formula!F12,55)&lt;&gt;"",INDEX(Properties!A$1:CB$87,Formula!F12,55)),IF(INDEX(Properties!A$1:CB$87,Formula!H12,55)&lt;&gt;"",INDEX(Properties!A$1:CB$87,Formula!H12,55)),IF(INDEX(Properties!A$1:CB$87,Formula!J12,55)&lt;&gt;"",INDEX(Properties!A$1:CB$87,Formula!J12,55)))</f>
        <v>2.1755573751839998</v>
      </c>
      <c r="FK12" s="69">
        <f>MAX(INDEX(Properties!A$1:CB$87,Formula!B12,55),INDEX(Properties!A$1:CB$87,Formula!D12,55),INDEX(Properties!A$1:CB$87,Formula!F12,55),INDEX(Properties!A$1:CB$87,Formula!H12,55),INDEX(Properties!A$1:CB$87,Formula!J12,55))</f>
        <v>3.5</v>
      </c>
      <c r="FL12" s="69">
        <f>MIN(IF(INDEX(Properties!A$1:CB$87,Formula!B12,55)=0,10^6,INDEX(Properties!A$1:CB$87,Formula!B12,55)),IF(INDEX(Properties!A$1:CB$87,Formula!D12,55)=0,10^6,INDEX(Properties!A$1:CB$87,Formula!D12,55)),IF(INDEX(Properties!A$1:CB$87,Formula!F12,55)=0,10^6,INDEX(Properties!A$1:CB$87,Formula!F12,55)),IF(INDEX(Properties!A$1:CB$87,Formula!H12,55)=0,10^6,INDEX(Properties!A$1:CB$87,Formula!H12,55)),IF(INDEX(Properties!A$1:CB$87,Formula!J12,55)=0,10^6,INDEX(Properties!A$1:CB$87,Formula!J12,55)))</f>
        <v>1.4300000000000001E-3</v>
      </c>
      <c r="FM12" s="69">
        <f t="shared" si="27"/>
        <v>3.49857</v>
      </c>
      <c r="FN12" s="42">
        <f>((Formula!C12)/(Formula!C12+Formula!E12+Formula!G12+Formula!I12+Formula!K12))*(INDEX(Properties!A$1:CB$87,Formula!B12,56))+((Formula!E12)/(Formula!C12+Formula!E12+Formula!G12+Formula!I12+Formula!K12))*(INDEX(Properties!A$1:CB$87,Formula!D12,56))+((Formula!G12)/(Formula!C12+Formula!E12+Formula!G12+Formula!I12+Formula!K12))*(INDEX(Properties!A$1:CB$87,Formula!F12,56))+((Formula!I12)/(Formula!C12+Formula!E12+Formula!G12+Formula!I12+Formula!K12))*(INDEX(Properties!A$1:CB$87,Formula!H12,56))+((Formula!K12)/(Formula!C12+Formula!E12+Formula!G12+Formula!I12+Formula!K12))*(INDEX(Properties!A$1:CB$87,Formula!J12,56))</f>
        <v>0.77800000000000002</v>
      </c>
      <c r="FO12" s="42">
        <f>Formula!C12*(INDEX(Properties!A$1:CB$87,Formula!B12,56))+Formula!E12*(INDEX(Properties!A$1:CB$87,Formula!D12,56))+Formula!G12*(INDEX(Properties!A$1:CB$87,Formula!F12,56))+Formula!I12*(INDEX(Properties!A$1:CB$87,Formula!H12,56))+Formula!K12*(INDEX(Properties!A$1:CB$87,Formula!J12,56))</f>
        <v>12.448</v>
      </c>
      <c r="FP12" s="42">
        <f>VARP(IF(INDEX(Properties!A$1:CB$87,Formula!B12,56)&lt;&gt;"",INDEX(Properties!A$1:CB$87,Formula!B12,56)),IF(INDEX(Properties!A$1:CB$87,Formula!D12,56)&lt;&gt;"",INDEX(Properties!A$1:CB$87,Formula!D12,56)),IF(INDEX(Properties!A$1:CB$87,Formula!F12,56)&lt;&gt;"",INDEX(Properties!A$1:CB$87,Formula!F12,56)),IF(INDEX(Properties!A$1:CB$87,Formula!H12,56)&lt;&gt;"",INDEX(Properties!A$1:CB$87,Formula!H12,56)),IF(INDEX(Properties!A$1:CB$87,Formula!J12,56)&lt;&gt;"",INDEX(Properties!A$1:CB$87,Formula!J12,56)))</f>
        <v>0.14388096</v>
      </c>
      <c r="FQ12" s="42">
        <f>MAX(INDEX(Properties!A$1:CB$87,Formula!B12,56),INDEX(Properties!A$1:CB$87,Formula!D12,56),INDEX(Properties!A$1:CB$87,Formula!F12,56),INDEX(Properties!A$1:CB$87,Formula!H12,56),INDEX(Properties!A$1:CB$87,Formula!J12,56))</f>
        <v>0.92</v>
      </c>
      <c r="FR12" s="42">
        <f>MIN(IF(INDEX(Properties!A$1:CB$87,Formula!B12,56)=0,10^6,INDEX(Properties!A$1:CB$87,Formula!B12,56)),IF(INDEX(Properties!A$1:CB$87,Formula!D12,56)=0,10^6,INDEX(Properties!A$1:CB$87,Formula!D12,56)),IF(INDEX(Properties!A$1:CB$87,Formula!F12,56)=0,10^6,INDEX(Properties!A$1:CB$87,Formula!F12,56)),IF(INDEX(Properties!A$1:CB$87,Formula!H12,56)=0,10^6,INDEX(Properties!A$1:CB$87,Formula!H12,56)),IF(INDEX(Properties!A$1:CB$87,Formula!J12,56)=0,10^6,INDEX(Properties!A$1:CB$87,Formula!J12,56)))</f>
        <v>0.20399999999999999</v>
      </c>
      <c r="FS12" s="42">
        <f t="shared" si="28"/>
        <v>0.71600000000000008</v>
      </c>
      <c r="FT12" s="60">
        <f>((Formula!C12)/(Formula!C12+Formula!E12+Formula!G12+Formula!I12+Formula!K12))*(INDEX(Properties!A$1:CB$87,Formula!B12,57))+((Formula!E12)/(Formula!C12+Formula!E12+Formula!G12+Formula!I12+Formula!K12))*(INDEX(Properties!A$1:CB$87,Formula!D12,57))+((Formula!G12)/(Formula!C12+Formula!E12+Formula!G12+Formula!I12+Formula!K12))*(INDEX(Properties!A$1:CB$87,Formula!F12,57))+((Formula!I12)/(Formula!C12+Formula!E12+Formula!G12+Formula!I12+Formula!K12))*(INDEX(Properties!A$1:CB$87,Formula!H12,57))+((Formula!K12)/(Formula!C12+Formula!E12+Formula!G12+Formula!I12+Formula!K12))*(INDEX(Properties!A$1:CB$87,Formula!J12,57))</f>
        <v>13.745368749999999</v>
      </c>
      <c r="FU12" s="60">
        <f>Formula!C12*(INDEX(Properties!A$1:CB$87,Formula!B12,57))+Formula!E12*(INDEX(Properties!A$1:CB$87,Formula!D12,57))+Formula!G12*(INDEX(Properties!A$1:CB$87,Formula!F12,57))+Formula!I12*(INDEX(Properties!A$1:CB$87,Formula!H12,57))+Formula!K12*(INDEX(Properties!A$1:CB$87,Formula!J12,57))</f>
        <v>219.92589999999998</v>
      </c>
      <c r="FV12" s="60">
        <f>VARP(IF(INDEX(Properties!A$1:CB$87,Formula!B12,57)&lt;&gt;"",INDEX(Properties!A$1:CB$87,Formula!B12,57)),IF(INDEX(Properties!A$1:CB$87,Formula!D12,57)&lt;&gt;"",INDEX(Properties!A$1:CB$87,Formula!D12,57)),IF(INDEX(Properties!A$1:CB$87,Formula!F12,57)&lt;&gt;"",INDEX(Properties!A$1:CB$87,Formula!F12,57)),IF(INDEX(Properties!A$1:CB$87,Formula!H12,57)&lt;&gt;"",INDEX(Properties!A$1:CB$87,Formula!H12,57)),IF(INDEX(Properties!A$1:CB$87,Formula!J12,57)&lt;&gt;"",INDEX(Properties!A$1:CB$87,Formula!J12,57)))</f>
        <v>386.08716764929602</v>
      </c>
      <c r="FW12" s="60">
        <f>MAX(INDEX(Properties!A$1:CB$87,Formula!B12,57),INDEX(Properties!A$1:CB$87,Formula!D12,57),INDEX(Properties!A$1:CB$87,Formula!F12,57),INDEX(Properties!A$1:CB$87,Formula!H12,57),INDEX(Properties!A$1:CB$87,Formula!J12,57))</f>
        <v>50.55</v>
      </c>
      <c r="FX12" s="60">
        <f>MIN(IF(INDEX(Properties!A$1:CB$87,Formula!B12,57)=0,10^6,INDEX(Properties!A$1:CB$87,Formula!B12,57)),IF(INDEX(Properties!A$1:CB$87,Formula!D12,57)=0,10^6,INDEX(Properties!A$1:CB$87,Formula!D12,57)),IF(INDEX(Properties!A$1:CB$87,Formula!F12,57)=0,10^6,INDEX(Properties!A$1:CB$87,Formula!F12,57)),IF(INDEX(Properties!A$1:CB$87,Formula!H12,57)=0,10^6,INDEX(Properties!A$1:CB$87,Formula!H12,57)),IF(INDEX(Properties!A$1:CB$87,Formula!J12,57)=0,10^6,INDEX(Properties!A$1:CB$87,Formula!J12,57)))</f>
        <v>0.22259000000000001</v>
      </c>
      <c r="FY12" s="60">
        <f t="shared" si="29"/>
        <v>50.32741</v>
      </c>
      <c r="FZ12" s="72">
        <f>((Formula!C12)/(Formula!C12+Formula!E12+Formula!G12+Formula!I12+Formula!K12))*(INDEX(Properties!A$1:CB$87,Formula!B12,60))+((Formula!E12)/(Formula!C12+Formula!E12+Formula!G12+Formula!I12+Formula!K12))*(INDEX(Properties!A$1:CB$87,Formula!D12,60))+((Formula!G12)/(Formula!C12+Formula!E12+Formula!G12+Formula!I12+Formula!K12))*(INDEX(Properties!A$1:CB$87,Formula!F12,60))+((Formula!I12)/(Formula!C12+Formula!E12+Formula!G12+Formula!I12+Formula!K12))*(INDEX(Properties!A$1:CB$87,Formula!H12,60))+((Formula!K12)/(Formula!C12+Formula!E12+Formula!G12+Formula!I12+Formula!K12))*(INDEX(Properties!A$1:CB$87,Formula!J12,60))</f>
        <v>39.316712499999994</v>
      </c>
      <c r="GA12" s="72">
        <f>Formula!C12*(INDEX(Properties!A$1:CB$87,Formula!B12,60))+Formula!E12*(INDEX(Properties!A$1:CB$87,Formula!D12,60))+Formula!G12*(INDEX(Properties!A$1:CB$87,Formula!F12,60))+Formula!I12*(INDEX(Properties!A$1:CB$87,Formula!H12,60))+Formula!K12*(INDEX(Properties!A$1:CB$87,Formula!J12,60))</f>
        <v>629.06739999999991</v>
      </c>
      <c r="GB12" s="72">
        <f>VARP(IF(INDEX(Properties!A$1:CB$87,Formula!B12,60)&lt;&gt;"",INDEX(Properties!A$1:CB$87,Formula!B12,60)),IF(INDEX(Properties!A$1:CB$87,Formula!D12,60)&lt;&gt;"",INDEX(Properties!A$1:CB$87,Formula!D12,60)),IF(INDEX(Properties!A$1:CB$87,Formula!F12,60)&lt;&gt;"",INDEX(Properties!A$1:CB$87,Formula!F12,60)),IF(INDEX(Properties!A$1:CB$87,Formula!H12,60)&lt;&gt;"",INDEX(Properties!A$1:CB$87,Formula!H12,60)),IF(INDEX(Properties!A$1:CB$87,Formula!J12,60)&lt;&gt;"",INDEX(Properties!A$1:CB$87,Formula!J12,60)))</f>
        <v>3340.5977515244163</v>
      </c>
      <c r="GC12" s="72">
        <f>MAX(INDEX(Properties!A$1:CB$87,Formula!B12,60),INDEX(Properties!A$1:CB$87,Formula!D12,60),INDEX(Properties!A$1:CB$87,Formula!F12,60),INDEX(Properties!A$1:CB$87,Formula!H12,60),INDEX(Properties!A$1:CB$87,Formula!J12,60))</f>
        <v>148</v>
      </c>
      <c r="GD12" s="72">
        <f>MIN(IF(INDEX(Properties!A$1:CB$87,Formula!B12,60)=0,10^6,INDEX(Properties!A$1:CB$87,Formula!B12,60)),IF(INDEX(Properties!A$1:CB$87,Formula!D12,60)=0,10^6,INDEX(Properties!A$1:CB$87,Formula!D12,60)),IF(INDEX(Properties!A$1:CB$87,Formula!F12,60)=0,10^6,INDEX(Properties!A$1:CB$87,Formula!F12,60)),IF(INDEX(Properties!A$1:CB$87,Formula!H12,60)=0,10^6,INDEX(Properties!A$1:CB$87,Formula!H12,60)),IF(INDEX(Properties!A$1:CB$87,Formula!J12,60)=0,10^6,INDEX(Properties!A$1:CB$87,Formula!J12,60)))</f>
        <v>2.674E-2</v>
      </c>
      <c r="GE12" s="72">
        <f t="shared" si="30"/>
        <v>147.97326000000001</v>
      </c>
      <c r="GF12" s="51">
        <f>((Formula!C12)/(Formula!C12+Formula!E12+Formula!G12+Formula!I12+Formula!K12))*(INDEX(Properties!A$1:CB$87,Formula!B12,62))+((Formula!E12)/(Formula!C12+Formula!E12+Formula!G12+Formula!I12+Formula!K12))*(INDEX(Properties!A$1:CB$87,Formula!D12,62))+((Formula!G12)/(Formula!C12+Formula!E12+Formula!G12+Formula!I12+Formula!K12))*(INDEX(Properties!A$1:CB$87,Formula!F12,62))+((Formula!I12)/(Formula!C12+Formula!E12+Formula!G12+Formula!I12+Formula!K12))*(INDEX(Properties!A$1:CB$87,Formula!H12,62))+((Formula!K12)/(Formula!C12+Formula!E12+Formula!G12+Formula!I12+Formula!K12))*(INDEX(Properties!A$1:CB$87,Formula!J12,62))</f>
        <v>3.0325000000000002</v>
      </c>
      <c r="GG12" s="51">
        <f>Formula!C12*(INDEX(Properties!A$1:CB$87,Formula!B12,62))+Formula!E12*(INDEX(Properties!A$1:CB$87,Formula!D12,62))+Formula!G12*(INDEX(Properties!A$1:CB$87,Formula!F12,62))+Formula!I12*(INDEX(Properties!A$1:CB$87,Formula!H12,62))+Formula!K12*(INDEX(Properties!A$1:CB$87,Formula!J12,62))</f>
        <v>48.52</v>
      </c>
      <c r="GH12" s="51">
        <f>VARP(IF(INDEX(Properties!A$1:CB$87,Formula!B12,62)&lt;&gt;"",INDEX(Properties!A$1:CB$87,Formula!B12,62)),IF(INDEX(Properties!A$1:CB$87,Formula!D12,62)&lt;&gt;"",INDEX(Properties!A$1:CB$87,Formula!D12,62)),IF(INDEX(Properties!A$1:CB$87,Formula!F12,62)&lt;&gt;"",INDEX(Properties!A$1:CB$87,Formula!F12,62)),IF(INDEX(Properties!A$1:CB$87,Formula!H12,62)&lt;&gt;"",INDEX(Properties!A$1:CB$87,Formula!H12,62)),IF(INDEX(Properties!A$1:CB$87,Formula!J12,62)&lt;&gt;"",INDEX(Properties!A$1:CB$87,Formula!J12,62)))</f>
        <v>3.0333600000000001</v>
      </c>
      <c r="GI12" s="51">
        <f>MAX(INDEX(Properties!A$1:CB$87,Formula!B12,62),INDEX(Properties!A$1:CB$87,Formula!D12,62),INDEX(Properties!A$1:CB$87,Formula!F12,62),INDEX(Properties!A$1:CB$87,Formula!H12,62),INDEX(Properties!A$1:CB$87,Formula!J12,62))</f>
        <v>4.63</v>
      </c>
      <c r="GJ12" s="51">
        <f>MIN(IF(INDEX(Properties!A$1:CB$87,Formula!B12,62)=0,10^6,INDEX(Properties!A$1:CB$87,Formula!B12,62)),IF(INDEX(Properties!A$1:CB$87,Formula!D12,62)=0,10^6,INDEX(Properties!A$1:CB$87,Formula!D12,62)),IF(INDEX(Properties!A$1:CB$87,Formula!F12,62)=0,10^6,INDEX(Properties!A$1:CB$87,Formula!F12,62)),IF(INDEX(Properties!A$1:CB$87,Formula!H12,62)=0,10^6,INDEX(Properties!A$1:CB$87,Formula!H12,62)),IF(INDEX(Properties!A$1:CB$87,Formula!J12,62)=0,10^6,INDEX(Properties!A$1:CB$87,Formula!J12,62)))</f>
        <v>1.9</v>
      </c>
      <c r="GK12" s="51">
        <f t="shared" si="31"/>
        <v>2.73</v>
      </c>
      <c r="GL12" s="51">
        <f>Formula!P12</f>
        <v>62</v>
      </c>
      <c r="GM12" s="57">
        <f>Formula!O12</f>
        <v>3</v>
      </c>
      <c r="GN12" s="51">
        <f>Formula!N12</f>
        <v>0.02</v>
      </c>
    </row>
    <row r="13" spans="1:196" s="5" customFormat="1" x14ac:dyDescent="0.3">
      <c r="A13" s="84" t="str">
        <f>Formula!A13</f>
        <v>Ca19Mg2(PO4)14</v>
      </c>
      <c r="B13" s="89">
        <f>((Formula!C13)/(Formula!C13+Formula!E13+Formula!G13+Formula!I13+Formula!K13))*(INDEX(Properties!A$1:CB$87,Formula!B13,3))+((Formula!E13)/(Formula!C13+Formula!E13+Formula!G13+Formula!I13+Formula!K13))*(INDEX(Properties!A$1:CB$87,Formula!D13,3))+((Formula!G13)/(Formula!C13+Formula!E13+Formula!G13+Formula!I13+Formula!K13))*(INDEX(Properties!A$1:CB$87,Formula!F13,3))+((Formula!I13)/(Formula!C13+Formula!E13+Formula!G13+Formula!I13+Formula!K13))*(INDEX(Properties!A$1:CB$87,Formula!H13,3))+((Formula!K13)/(Formula!C13+Formula!E13+Formula!G13+Formula!I13+Formula!K13))*(INDEX(Properties!A$1:CB$87,Formula!J13,3))</f>
        <v>23.51308865934066</v>
      </c>
      <c r="C13" s="85">
        <f>Formula!C13*(INDEX(Properties!A$1:CB$87,Formula!B13,3))+Formula!E13*(INDEX(Properties!A$1:CB$87,Formula!D13,3))+Formula!G13*(INDEX(Properties!A$1:CB$87,Formula!F13,3))+Formula!I13*(INDEX(Properties!A$1:CB$87,Formula!H13,3))+Formula!K13*(INDEX(Properties!A$1:CB$87,Formula!J13,3))</f>
        <v>2139.6910680000001</v>
      </c>
      <c r="D13" s="85">
        <f>VARP(IF(INDEX(Properties!A$1:CB$87,Formula!B13,3)&lt;&gt;"",INDEX(Properties!A$1:CB$87,Formula!B13,3)),IF(INDEX(Properties!A$1:CB$87,Formula!D13,3)&lt;&gt;"",INDEX(Properties!A$1:CB$87,Formula!D13,3)),IF(INDEX(Properties!A$1:CB$87,Formula!F13,3)&lt;&gt;"",INDEX(Properties!A$1:CB$87,Formula!F13,3)),IF(INDEX(Properties!A$1:CB$87,Formula!H13,3)&lt;&gt;"",INDEX(Properties!A$1:CB$87,Formula!H13,3)),IF(INDEX(Properties!A$1:CB$87,Formula!J13,3)&lt;&gt;"",INDEX(Properties!A$1:CB$87,Formula!J13,3)))</f>
        <v>186.45897574371907</v>
      </c>
      <c r="E13" s="85">
        <f>MAX(INDEX(Properties!A$1:CB$87,Formula!B13,3),INDEX(Properties!A$1:CB$87,Formula!D13,3),INDEX(Properties!A$1:CB$87,Formula!F13,3),INDEX(Properties!A$1:CB$87,Formula!H13,3),INDEX(Properties!A$1:CB$87,Formula!J13,3))</f>
        <v>40.078000000000003</v>
      </c>
      <c r="F13" s="85">
        <f>MIN(IF(INDEX(Properties!A$1:CB$87,Formula!B13,3)=0,10^6,INDEX(Properties!A$1:CB$87,Formula!B13,3)),IF(INDEX(Properties!A$1:CB$87,Formula!D13,3)=0,10^6,INDEX(Properties!A$1:CB$87,Formula!D13,3)),IF(INDEX(Properties!A$1:CB$87,Formula!F13,3)=0,10^6,INDEX(Properties!A$1:CB$87,Formula!F13,3)),IF(INDEX(Properties!A$1:CB$87,Formula!H13,3)=0,10^6,INDEX(Properties!A$1:CB$87,Formula!H13,3)),IF(INDEX(Properties!A$1:CB$87,Formula!J13,3)=0,10^6,INDEX(Properties!A$1:CB$87,Formula!J13,3)))</f>
        <v>15.9994</v>
      </c>
      <c r="G13" s="85">
        <f t="shared" si="0"/>
        <v>24.078600000000002</v>
      </c>
      <c r="H13" s="87">
        <f>((Formula!C13)/(Formula!C13+Formula!E13+Formula!G13+Formula!I13+Formula!K13))*(INDEX(Properties!A$1:CB$87,Formula!B13,4))+((Formula!E13)/(Formula!C13+Formula!E13+Formula!G13+Formula!I13+Formula!K13))*(INDEX(Properties!A$1:CB$87,Formula!D13,4))+((Formula!G13)/(Formula!C13+Formula!E13+Formula!G13+Formula!I13+Formula!K13))*(INDEX(Properties!A$1:CB$87,Formula!F13,4))+((Formula!I13)/(Formula!C13+Formula!E13+Formula!G13+Formula!I13+Formula!K13))*(INDEX(Properties!A$1:CB$87,Formula!H13,4))+((Formula!K13)/(Formula!C13+Formula!E13+Formula!G13+Formula!I13+Formula!K13))*(INDEX(Properties!A$1:CB$87,Formula!J13,4))</f>
        <v>11.670329670329672</v>
      </c>
      <c r="I13" s="87">
        <f>Formula!C13*(INDEX(Properties!A$1:CB$87,Formula!B13,4))+Formula!E13*(INDEX(Properties!A$1:CB$87,Formula!D13,4))+Formula!G13*(INDEX(Properties!A$1:CB$87,Formula!F13,4))+Formula!I13*(INDEX(Properties!A$1:CB$87,Formula!H13,4))+Formula!K13*(INDEX(Properties!A$1:CB$87,Formula!J13,4))</f>
        <v>1062</v>
      </c>
      <c r="J13" s="87">
        <f>VARP(IF(INDEX(Properties!A$1:CB$87,Formula!B13,4)&lt;&gt;"",INDEX(Properties!A$1:CB$87,Formula!B13,4)),IF(INDEX(Properties!A$1:CB$87,Formula!D13,4)&lt;&gt;"",INDEX(Properties!A$1:CB$87,Formula!D13,4)),IF(INDEX(Properties!A$1:CB$87,Formula!F13,4)&lt;&gt;"",INDEX(Properties!A$1:CB$87,Formula!F13,4)),IF(INDEX(Properties!A$1:CB$87,Formula!H13,4)&lt;&gt;"",INDEX(Properties!A$1:CB$87,Formula!H13,4)),IF(INDEX(Properties!A$1:CB$87,Formula!J13,4)&lt;&gt;"",INDEX(Properties!A$1:CB$87,Formula!J13,4)))</f>
        <v>45.6</v>
      </c>
      <c r="K13" s="87">
        <f>MAX(INDEX(Properties!A$1:CB$87,Formula!B13,4),INDEX(Properties!A$1:CB$87,Formula!D13,4),INDEX(Properties!A$1:CB$87,Formula!F13,4),INDEX(Properties!A$1:CB$87,Formula!H13,4),INDEX(Properties!A$1:CB$87,Formula!J13,4))</f>
        <v>20</v>
      </c>
      <c r="L13" s="87">
        <f>MIN(IF(INDEX(Properties!A$1:CB$87,Formula!B13,4)=0,10^6,INDEX(Properties!A$1:CB$87,Formula!B13,4)),IF(INDEX(Properties!A$1:CB$87,Formula!D13,4)=0,10^6,INDEX(Properties!A$1:CB$87,Formula!D13,4)),IF(INDEX(Properties!A$1:CB$87,Formula!F13,4)=0,10^6,INDEX(Properties!A$1:CB$87,Formula!F13,4)),IF(INDEX(Properties!A$1:CB$87,Formula!H13,4)=0,10^6,INDEX(Properties!A$1:CB$87,Formula!H13,4)),IF(INDEX(Properties!A$1:CB$87,Formula!J13,4)=0,10^6,INDEX(Properties!A$1:CB$87,Formula!J13,4)))</f>
        <v>8</v>
      </c>
      <c r="M13" s="87">
        <f t="shared" si="1"/>
        <v>12</v>
      </c>
      <c r="N13" s="89">
        <f>((Formula!C13)/(Formula!C13+Formula!E13+Formula!G13+Formula!I13+Formula!K13))*(INDEX(Properties!A$1:CB$87,Formula!B13,5))+((Formula!E13)/(Formula!C13+Formula!E13+Formula!G13+Formula!I13+Formula!K13))*(INDEX(Properties!A$1:CB$87,Formula!D13,5))+((Formula!G13)/(Formula!C13+Formula!E13+Formula!G13+Formula!I13+Formula!K13))*(INDEX(Properties!A$1:CB$87,Formula!F13,5))+((Formula!I13)/(Formula!C13+Formula!E13+Formula!G13+Formula!I13+Formula!K13))*(INDEX(Properties!A$1:CB$87,Formula!H13,5))+((Formula!K13)/(Formula!C13+Formula!E13+Formula!G13+Formula!I13+Formula!K13))*(INDEX(Properties!A$1:CB$87,Formula!J13,5))</f>
        <v>2.5934065934065935</v>
      </c>
      <c r="O13" s="89">
        <f>Formula!C13*(INDEX(Properties!A$1:CB$87,Formula!B13,5))+Formula!E13*(INDEX(Properties!A$1:CB$87,Formula!D13,5))+Formula!G13*(INDEX(Properties!A$1:CB$87,Formula!F13,5))+Formula!I13*(INDEX(Properties!A$1:CB$87,Formula!H13,5))+Formula!K13*(INDEX(Properties!A$1:CB$87,Formula!J13,5))</f>
        <v>236</v>
      </c>
      <c r="P13" s="89">
        <f>VARP(IF(INDEX(Properties!A$1:CB$87,Formula!B13,5)&lt;&gt;"",INDEX(Properties!A$1:CB$87,Formula!B13,5)),IF(INDEX(Properties!A$1:CB$87,Formula!D13,5)&lt;&gt;"",INDEX(Properties!A$1:CB$87,Formula!D13,5)),IF(INDEX(Properties!A$1:CB$87,Formula!F13,5)&lt;&gt;"",INDEX(Properties!A$1:CB$87,Formula!F13,5)),IF(INDEX(Properties!A$1:CB$87,Formula!H13,5)&lt;&gt;"",INDEX(Properties!A$1:CB$87,Formula!H13,5)),IF(INDEX(Properties!A$1:CB$87,Formula!J13,5)&lt;&gt;"",INDEX(Properties!A$1:CB$87,Formula!J13,5)))</f>
        <v>1.84</v>
      </c>
      <c r="Q13" s="89">
        <f>MAX(INDEX(Properties!A$1:CB$87,Formula!B13,5),INDEX(Properties!A$1:CB$87,Formula!D13,5),INDEX(Properties!A$1:CB$87,Formula!F13,5),INDEX(Properties!A$1:CB$87,Formula!H13,5),INDEX(Properties!A$1:CB$87,Formula!J13,5))</f>
        <v>4</v>
      </c>
      <c r="R13" s="89">
        <f>MIN(IF(INDEX(Properties!A$1:CB$87,Formula!B13,5)=0,10^6,INDEX(Properties!A$1:CB$87,Formula!B13,5)),IF(INDEX(Properties!A$1:CB$87,Formula!D13,5)=0,10^6,INDEX(Properties!A$1:CB$87,Formula!D13,5)),IF(INDEX(Properties!A$1:CB$87,Formula!F13,5)=0,10^6,INDEX(Properties!A$1:CB$87,Formula!F13,5)),IF(INDEX(Properties!A$1:CB$87,Formula!H13,5)=0,10^6,INDEX(Properties!A$1:CB$87,Formula!H13,5)),IF(INDEX(Properties!A$1:CB$87,Formula!J13,5)=0,10^6,INDEX(Properties!A$1:CB$87,Formula!J13,5)))</f>
        <v>2</v>
      </c>
      <c r="S13" s="89">
        <f t="shared" si="2"/>
        <v>2</v>
      </c>
      <c r="T13" s="60">
        <f>((Formula!C13)/(Formula!C13+Formula!E13+Formula!G13+Formula!I13+Formula!K13))*(INDEX(Properties!A$1:CB$87,Formula!B13,6))+((Formula!E13)/(Formula!C13+Formula!E13+Formula!G13+Formula!I13+Formula!K13))*(INDEX(Properties!A$1:CB$87,Formula!D13,6))+((Formula!G13)/(Formula!C13+Formula!E13+Formula!G13+Formula!I13+Formula!K13))*(INDEX(Properties!A$1:CB$87,Formula!F13,6))+((Formula!I13)/(Formula!C13+Formula!E13+Formula!G13+Formula!I13+Formula!K13))*(INDEX(Properties!A$1:CB$87,Formula!H13,6))+((Formula!K13)/(Formula!C13+Formula!E13+Formula!G13+Formula!I13+Formula!K13))*(INDEX(Properties!A$1:CB$87,Formula!J13,6))</f>
        <v>12.615384615384617</v>
      </c>
      <c r="U13" s="60">
        <f>Formula!C13*(INDEX(Properties!A$1:CB$87,Formula!B13,6))+Formula!E13*(INDEX(Properties!A$1:CB$87,Formula!D13,6))+Formula!G13*(INDEX(Properties!A$1:CB$87,Formula!F13,6))+Formula!I13*(INDEX(Properties!A$1:CB$87,Formula!H13,6))+Formula!K13*(INDEX(Properties!A$1:CB$87,Formula!J13,6))</f>
        <v>1148</v>
      </c>
      <c r="V13" s="89">
        <f>VARP(IF(INDEX(Properties!A$1:CB$87,Formula!B13,6)&lt;&gt;"",INDEX(Properties!A$1:CB$87,Formula!B13,6)),IF(INDEX(Properties!A$1:CB$87,Formula!D13,6)&lt;&gt;"",INDEX(Properties!A$1:CB$87,Formula!D13,6)),IF(INDEX(Properties!A$1:CB$87,Formula!F13,6)&lt;&gt;"",INDEX(Properties!A$1:CB$87,Formula!F13,6)),IF(INDEX(Properties!A$1:CB$87,Formula!H13,6)&lt;&gt;"",INDEX(Properties!A$1:CB$87,Formula!H13,6)),IF(INDEX(Properties!A$1:CB$87,Formula!J13,6)&lt;&gt;"",INDEX(Properties!A$1:CB$87,Formula!J13,6)))</f>
        <v>48.8</v>
      </c>
      <c r="W13" s="60">
        <f>MAX(INDEX(Properties!A$1:CB$87,Formula!B13,6),INDEX(Properties!A$1:CB$87,Formula!D13,6),INDEX(Properties!A$1:CB$87,Formula!F13,6),INDEX(Properties!A$1:CB$87,Formula!H13,4),INDEX(Properties!A$1:CB$87,Formula!J13,6))</f>
        <v>15</v>
      </c>
      <c r="X13" s="60">
        <f>MIN(IF(INDEX(Properties!A$1:CB$87,Formula!B13,6)=0,10^6,INDEX(Properties!A$1:CB$87,Formula!B13,6)),IF(INDEX(Properties!A$1:CB$87,Formula!D13,6)=0,10^6,INDEX(Properties!A$1:CB$87,Formula!D13,6)),IF(INDEX(Properties!A$1:CB$87,Formula!F13,6)=0,10^6,INDEX(Properties!A$1:CB$87,Formula!F13,6)),IF(INDEX(Properties!A$1:CB$87,Formula!H13,6)=0,10^6,INDEX(Properties!A$1:CB$87,Formula!H13,6)),IF(INDEX(Properties!A$1:CB$87,Formula!J13,6)=0,10^6,INDEX(Properties!A$1:CB$87,Formula!J13,6)))</f>
        <v>2</v>
      </c>
      <c r="Y13" s="60">
        <f t="shared" si="3"/>
        <v>13</v>
      </c>
      <c r="Z13" s="72">
        <f>((Formula!C13)/(Formula!C13+Formula!E13+Formula!G13+Formula!I13+Formula!K13))*(INDEX(Properties!A$1:CB$87,Formula!B13,9))+((Formula!E13)/(Formula!C13+Formula!E13+Formula!G13+Formula!I13+Formula!K13))*(INDEX(Properties!A$1:CB$87,Formula!D13,9))+((Formula!G13)/(Formula!C13+Formula!E13+Formula!G13+Formula!I13+Formula!K13))*(INDEX(Properties!A$1:CB$87,Formula!F13,9))+((Formula!I13)/(Formula!C13+Formula!E13+Formula!G13+Formula!I13+Formula!K13))*(INDEX(Properties!A$1:CB$87,Formula!H13,9))+((Formula!K13)/(Formula!C13+Formula!E13+Formula!G13+Formula!I13+Formula!K13))*(INDEX(Properties!A$1:CB$87,Formula!J13,9))</f>
        <v>69.263736263736263</v>
      </c>
      <c r="AA13" s="72">
        <f>Formula!C13*(INDEX(Properties!A$1:CB$87,Formula!B13,9))+Formula!E13*(INDEX(Properties!A$1:CB$87,Formula!D13,9))+Formula!G13*(INDEX(Properties!A$1:CB$87,Formula!F13,9))+Formula!I13*(INDEX(Properties!A$1:CB$87,Formula!H13,9))+Formula!K13*(INDEX(Properties!A$1:CB$87,Formula!J13,9))</f>
        <v>6303</v>
      </c>
      <c r="AB13" s="72">
        <f>VARP(IF(INDEX(Properties!A$1:CB$87,Formula!B13,9)&lt;&gt;"",INDEX(Properties!A$1:CB$87,Formula!B13,9)),IF(INDEX(Properties!A$1:CB$87,Formula!D13,9)&lt;&gt;"",INDEX(Properties!A$1:CB$87,Formula!D13,9)),IF(INDEX(Properties!A$1:CB$87,Formula!F13,9)&lt;&gt;"",INDEX(Properties!A$1:CB$87,Formula!F13,9)),IF(INDEX(Properties!A$1:CB$87,Formula!H13,9)&lt;&gt;"",INDEX(Properties!A$1:CB$87,Formula!H13,9)),IF(INDEX(Properties!A$1:CB$87,Formula!J13,9)&lt;&gt;"",INDEX(Properties!A$1:CB$87,Formula!J13,9)))</f>
        <v>1425.2</v>
      </c>
      <c r="AC13" s="72">
        <f>MAX(INDEX(Properties!A$1:CB$87,Formula!B13,9),INDEX(Properties!A$1:CB$87,Formula!D13,9),INDEX(Properties!A$1:CB$87,Formula!F13,9),INDEX(Properties!A$1:CB$87,Formula!H13,9),INDEX(Properties!A$1:CB$87,Formula!J13,9))</f>
        <v>87</v>
      </c>
      <c r="AD13" s="72">
        <f>MIN(IF(INDEX(Properties!A$1:CB$87,Formula!B13,9)=0,10^6,INDEX(Properties!A$1:CB$87,Formula!B13,9)),IF(INDEX(Properties!A$1:CB$87,Formula!D13,9)=0,10^6,INDEX(Properties!A$1:CB$87,Formula!D13,9)),IF(INDEX(Properties!A$1:CB$87,Formula!F13,9)=0,10^6,INDEX(Properties!A$1:CB$87,Formula!F13,9)),IF(INDEX(Properties!A$1:CB$87,Formula!H13,9)=0,10^6,INDEX(Properties!A$1:CB$87,Formula!H13,9)),IF(INDEX(Properties!A$1:CB$87,Formula!J13,9)=0,10^6,INDEX(Properties!A$1:CB$87,Formula!J13,9)))</f>
        <v>7</v>
      </c>
      <c r="AE13" s="72">
        <f t="shared" si="4"/>
        <v>80</v>
      </c>
      <c r="AF13" s="51">
        <f>((Formula!C13)/(Formula!C13+Formula!E13+Formula!G13+Formula!I13+Formula!K13))*(INDEX(Properties!A$1:CB$87,Formula!B13,10))+((Formula!E13)/(Formula!C13+Formula!E13+Formula!G13+Formula!I13+Formula!K13))*(INDEX(Properties!A$1:CB$87,Formula!D13,10))+((Formula!G13)/(Formula!C13+Formula!E13+Formula!G13+Formula!I13+Formula!K13))*(INDEX(Properties!A$1:CB$87,Formula!F13,10))+((Formula!I13)/(Formula!C13+Formula!E13+Formula!G13+Formula!I13+Formula!K13))*(INDEX(Properties!A$1:CB$87,Formula!H13,10))+((Formula!K13)/(Formula!C13+Formula!E13+Formula!G13+Formula!I13+Formula!K13))*(INDEX(Properties!A$1:CB$87,Formula!J13,10))</f>
        <v>5.8461538461538467</v>
      </c>
      <c r="AG13" s="51">
        <f>Formula!C13*(INDEX(Properties!A$1:CB$87,Formula!B13,10))+Formula!E13*(INDEX(Properties!A$1:CB$87,Formula!D13,10))+Formula!G13*(INDEX(Properties!A$1:CB$87,Formula!F13,10))+Formula!I13*(INDEX(Properties!A$1:CB$87,Formula!H13,10))+Formula!K13*(INDEX(Properties!A$1:CB$87,Formula!J13,10))</f>
        <v>532</v>
      </c>
      <c r="AH13" s="51">
        <f>VARP(IF(INDEX(Properties!A$1:CB$87,Formula!B13,10)&lt;&gt;"",INDEX(Properties!A$1:CB$87,Formula!B13,10)),IF(INDEX(Properties!A$1:CB$87,Formula!D13,10)&lt;&gt;"",INDEX(Properties!A$1:CB$87,Formula!D13,10)),IF(INDEX(Properties!A$1:CB$87,Formula!F13,10)&lt;&gt;"",INDEX(Properties!A$1:CB$87,Formula!F13,10)),IF(INDEX(Properties!A$1:CB$87,Formula!H13,10)&lt;&gt;"",INDEX(Properties!A$1:CB$87,Formula!H13,10)),IF(INDEX(Properties!A$1:CB$87,Formula!J13,10)&lt;&gt;"",INDEX(Properties!A$1:CB$87,Formula!J13,10)))</f>
        <v>8.24</v>
      </c>
      <c r="AI13" s="51">
        <f>MAX(INDEX(Properties!A$1:CB$87,Formula!B13,10),INDEX(Properties!A$1:CB$87,Formula!D13,10),INDEX(Properties!A$1:CB$87,Formula!F13,10),INDEX(Properties!A$1:CB$87,Formula!H13,10),INDEX(Properties!A$1:CB$87,Formula!J13,10))</f>
        <v>7</v>
      </c>
      <c r="AJ13" s="51">
        <f>MIN(IF(INDEX(Properties!A$1:CB$87,Formula!B13,10)=0,10^6,INDEX(Properties!A$1:CB$87,Formula!B13,10)),IF(INDEX(Properties!A$1:CB$87,Formula!D13,10)=0,10^6,INDEX(Properties!A$1:CB$87,Formula!D13,10)),IF(INDEX(Properties!A$1:CB$87,Formula!F13,10)=0,10^6,INDEX(Properties!A$1:CB$87,Formula!F13,10)),IF(INDEX(Properties!A$1:CB$87,Formula!H13,10)=0,10^6,INDEX(Properties!A$1:CB$87,Formula!H13,10)),IF(INDEX(Properties!A$1:CB$87,Formula!J13,10)=0,10^6,INDEX(Properties!A$1:CB$87,Formula!J13,10)))</f>
        <v>2</v>
      </c>
      <c r="AK13" s="51">
        <f t="shared" si="5"/>
        <v>5</v>
      </c>
      <c r="AL13" s="57">
        <f>((Formula!C13)/(Formula!C13+Formula!E13+Formula!G13+Formula!I13+Formula!K13))*(INDEX(Properties!A$1:CB$87,Formula!B13,11))+((Formula!E13)/(Formula!C13+Formula!E13+Formula!G13+Formula!I13+Formula!K13))*(INDEX(Properties!A$1:CB$87,Formula!D13,11))+((Formula!G13)/(Formula!C13+Formula!E13+Formula!G13+Formula!I13+Formula!K13))*(INDEX(Properties!A$1:CB$87,Formula!F13,11))+((Formula!I13)/(Formula!C13+Formula!E13+Formula!G13+Formula!I13+Formula!K13))*(INDEX(Properties!A$1:CB$87,Formula!H13,11))+((Formula!K13)/(Formula!C13+Formula!E13+Formula!G13+Formula!I13+Formula!K13))*(INDEX(Properties!A$1:CB$87,Formula!J13,11))</f>
        <v>2</v>
      </c>
      <c r="AM13" s="57">
        <f>Formula!C13*(INDEX(Properties!A$1:CB$87,Formula!B13,11))+Formula!E13*(INDEX(Properties!A$1:CB$87,Formula!D13,11))+Formula!G13*(INDEX(Properties!A$1:CB$87,Formula!F13,11))+Formula!I13*(INDEX(Properties!A$1:CB$87,Formula!H13,11))+Formula!K13*(INDEX(Properties!A$1:CB$87,Formula!J13,11))</f>
        <v>182</v>
      </c>
      <c r="AN13" s="57">
        <f>VARP(IF(INDEX(Properties!A$1:CB$87,Formula!B13,11)&lt;&gt;"",INDEX(Properties!A$1:CB$87,Formula!B13,11)),IF(INDEX(Properties!A$1:CB$87,Formula!D13,11)&lt;&gt;"",INDEX(Properties!A$1:CB$87,Formula!D13,11)),IF(INDEX(Properties!A$1:CB$87,Formula!F13,11)&lt;&gt;"",INDEX(Properties!A$1:CB$87,Formula!F13,11)),IF(INDEX(Properties!A$1:CB$87,Formula!H13,11)&lt;&gt;"",INDEX(Properties!A$1:CB$87,Formula!H13,11)),IF(INDEX(Properties!A$1:CB$87,Formula!J13,11)&lt;&gt;"",INDEX(Properties!A$1:CB$87,Formula!J13,11)))</f>
        <v>0.64</v>
      </c>
      <c r="AO13" s="57">
        <f>MAX(INDEX(Properties!A$1:CB$87,Formula!B13,11),INDEX(Properties!A$1:CB$87,Formula!D13,11),INDEX(Properties!A$1:CB$87,Formula!F13,11),INDEX(Properties!A$1:CB$87,Formula!H13,11),INDEX(Properties!A$1:CB$87,Formula!J13,11))</f>
        <v>2</v>
      </c>
      <c r="AP13" s="57">
        <f>MIN(IF(Formula!B13=87,10^6,INDEX(Properties!A$1:CB$87,Formula!B13,11)),IF((Formula!D13)=87,10^6,INDEX(Properties!A$1:CB$87,Formula!D13,11)),IF((Formula!F13)=87,10^6,INDEX(Properties!A$1:CB$87,Formula!F13,11)),IF((Formula!H13)=87,10^6,INDEX(Properties!A$1:CB$87,Formula!H13,11)),IF(Formula!J13=87,10^6,INDEX(Properties!A$1:CB$87,Formula!J13,11)))</f>
        <v>2</v>
      </c>
      <c r="AQ13" s="57">
        <f t="shared" si="6"/>
        <v>0</v>
      </c>
      <c r="AR13" s="78">
        <f>((Formula!C13)/(Formula!C13+Formula!E13+Formula!G13+Formula!I13+Formula!K13))*(INDEX(Properties!A$1:CB$87,Formula!B13,12))+((Formula!E13)/(Formula!C13+Formula!E13+Formula!G13+Formula!I13+Formula!K13))*(INDEX(Properties!A$1:CB$87,Formula!D13,12))+((Formula!G13)/(Formula!C13+Formula!E13+Formula!G13+Formula!I13+Formula!K13))*(INDEX(Properties!A$1:CB$87,Formula!F13,12))+((Formula!I13)/(Formula!C13+Formula!E13+Formula!G13+Formula!I13+Formula!K13))*(INDEX(Properties!A$1:CB$87,Formula!H13,12))+((Formula!K13)/(Formula!C13+Formula!E13+Formula!G13+Formula!I13+Formula!K13))*(INDEX(Properties!A$1:CB$87,Formula!J13,12))</f>
        <v>2.9230769230769234</v>
      </c>
      <c r="AS13" s="78">
        <f>Formula!C13*(INDEX(Properties!A$1:CB$87,Formula!B13,12))+Formula!E13*(INDEX(Properties!A$1:CB$87,Formula!D13,12))+Formula!G13*(INDEX(Properties!A$1:CB$87,Formula!F13,12))+Formula!I13*(INDEX(Properties!A$1:CB$87,Formula!H13,12))+Formula!K13*(INDEX(Properties!A$1:CB$87,Formula!J13,12))</f>
        <v>266</v>
      </c>
      <c r="AT13" s="78">
        <f>VARP(IF(INDEX(Properties!A$1:CB$87,Formula!B13,12)&lt;&gt;"",INDEX(Properties!A$1:CB$87,Formula!B13,12)),IF(INDEX(Properties!A$1:CB$87,Formula!D13,12)&lt;&gt;"",INDEX(Properties!A$1:CB$87,Formula!D13,12)),IF(INDEX(Properties!A$1:CB$87,Formula!F13,12)&lt;&gt;"",INDEX(Properties!A$1:CB$87,Formula!F13,12)),IF(INDEX(Properties!A$1:CB$87,Formula!H13,12)&lt;&gt;"",INDEX(Properties!A$1:CB$87,Formula!H13,12)),IF(INDEX(Properties!A$1:CB$87,Formula!J13,12)&lt;&gt;"",INDEX(Properties!A$1:CB$87,Formula!J13,12)))</f>
        <v>3.04</v>
      </c>
      <c r="AU13" s="78">
        <f>MAX(INDEX(Properties!A$1:CB$87,Formula!B13,12),INDEX(Properties!A$1:CB$87,Formula!D13,12),INDEX(Properties!A$1:CB$87,Formula!F13,12),INDEX(Properties!A$1:CB$87,Formula!H13,12),INDEX(Properties!A$1:CB$87,Formula!J13,12))</f>
        <v>4</v>
      </c>
      <c r="AV13" s="78">
        <f>MIN(IF(Formula!B13=87,10^6,INDEX(Properties!A$1:CB$87,Formula!B13,12)),IF((Formula!D13)=87,10^6,INDEX(Properties!A$1:CB$87,Formula!D13,12)),IF((Formula!F13)=87,10^6,INDEX(Properties!A$1:CB$87,Formula!F13,12)),IF((Formula!H13)=87,10^6,INDEX(Properties!A$1:CB$87,Formula!H13,12)),IF(Formula!J13=87,10^6,INDEX(Properties!A$1:CB$87,Formula!J13,12)))</f>
        <v>0</v>
      </c>
      <c r="AW13" s="78">
        <f t="shared" si="7"/>
        <v>4</v>
      </c>
      <c r="AX13" s="45">
        <f>((Formula!C13)/(Formula!C13+Formula!E13+Formula!G13+Formula!I13+Formula!K13))*(INDEX(Properties!A$1:CB$87,Formula!B13,13))+((Formula!E13)/(Formula!C13+Formula!E13+Formula!G13+Formula!I13+Formula!K13))*(INDEX(Properties!A$1:CB$87,Formula!D13,13))+((Formula!G13)/(Formula!C13+Formula!E13+Formula!G13+Formula!I13+Formula!K13))*(INDEX(Properties!A$1:CB$87,Formula!F13,13))+((Formula!I13)/(Formula!C13+Formula!E13+Formula!G13+Formula!I13+Formula!K13))*(INDEX(Properties!A$1:CB$87,Formula!H13,13))+((Formula!K13)/(Formula!C13+Formula!E13+Formula!G13+Formula!I13+Formula!K13))*(INDEX(Properties!A$1:CB$87,Formula!J13,13))</f>
        <v>0</v>
      </c>
      <c r="AY13" s="45">
        <f>Formula!C13*(INDEX(Properties!A$1:CB$87,Formula!B13,13))+Formula!E13*(INDEX(Properties!A$1:CB$87,Formula!D13,13))+Formula!G13*(INDEX(Properties!A$1:CB$87,Formula!F13,13))+Formula!I13*(INDEX(Properties!A$1:CB$87,Formula!H13,13))+Formula!K13*(INDEX(Properties!A$1:CB$87,Formula!J13,13))</f>
        <v>0</v>
      </c>
      <c r="AZ13" s="45">
        <f>VARP(IF(INDEX(Properties!A$1:CB$87,Formula!B13,13)&lt;&gt;"",INDEX(Properties!A$1:CB$87,Formula!B13,13)),IF(INDEX(Properties!A$1:CB$87,Formula!D13,13)&lt;&gt;"",INDEX(Properties!A$1:CB$87,Formula!D13,13)),IF(INDEX(Properties!A$1:CB$87,Formula!F13,13)&lt;&gt;"",INDEX(Properties!A$1:CB$87,Formula!F13,13)),IF(INDEX(Properties!A$1:CB$87,Formula!H13,13)&lt;&gt;"",INDEX(Properties!A$1:CB$87,Formula!H13,13)),IF(INDEX(Properties!A$1:CB$87,Formula!J13,13)&lt;&gt;"",INDEX(Properties!A$1:CB$87,Formula!J13,13)))</f>
        <v>0</v>
      </c>
      <c r="BA13" s="45">
        <f>MAX(INDEX(Properties!A$1:CB$87,Formula!B13,13),INDEX(Properties!A$1:CB$87,Formula!D13,13),INDEX(Properties!A$1:CB$87,Formula!F13,13),INDEX(Properties!A$1:CB$87,Formula!H13,13),INDEX(Properties!A$1:CB$87,Formula!J13,13))</f>
        <v>0</v>
      </c>
      <c r="BB13" s="45">
        <f>MIN(IF(Formula!B13=87,10^6,INDEX(Properties!A$1:CB$87,Formula!B13,13)),IF((Formula!D13)=87,10^6,INDEX(Properties!A$1:CB$87,Formula!D13,13)),IF((Formula!F13)=87,10^6,INDEX(Properties!A$1:CB$87,Formula!F13,13)),IF((Formula!H13)=87,10^6,INDEX(Properties!A$1:CB$87,Formula!H13,13)),IF(Formula!J13=87,10^6,INDEX(Properties!A$1:CB$87,Formula!J13,13)))</f>
        <v>0</v>
      </c>
      <c r="BC13" s="45">
        <f t="shared" si="8"/>
        <v>0</v>
      </c>
      <c r="BD13" s="63">
        <f>((Formula!C13)/(Formula!C13+Formula!E13+Formula!G13+Formula!I13+Formula!K13))*(INDEX(Properties!A$1:CB$87,Formula!B13,14))+((Formula!E13)/(Formula!C13+Formula!E13+Formula!G13+Formula!I13+Formula!K13))*(INDEX(Properties!A$1:CB$87,Formula!D13,14))+((Formula!G13)/(Formula!C13+Formula!E13+Formula!G13+Formula!I13+Formula!K13))*(INDEX(Properties!A$1:CB$87,Formula!F13,14))+((Formula!I13)/(Formula!C13+Formula!E13+Formula!G13+Formula!I13+Formula!K13))*(INDEX(Properties!A$1:CB$87,Formula!H13,14))+((Formula!K13)/(Formula!C13+Formula!E13+Formula!G13+Formula!I13+Formula!K13))*(INDEX(Properties!A$1:CB$87,Formula!J13,14))</f>
        <v>0</v>
      </c>
      <c r="BE13" s="63">
        <f>Formula!C13*(INDEX(Properties!A$1:CB$87,Formula!B13,14))+Formula!E13*(INDEX(Properties!A$1:CB$87,Formula!D13,14))+Formula!G13*(INDEX(Properties!A$1:CB$87,Formula!F13,14))+Formula!I13*(INDEX(Properties!A$1:CB$87,Formula!H13,14))+Formula!K13*(INDEX(Properties!A$1:CB$87,Formula!J13,14))</f>
        <v>0</v>
      </c>
      <c r="BF13" s="63">
        <f>VARP(IF(INDEX(Properties!A$1:CB$87,Formula!B13,14)&lt;&gt;"",INDEX(Properties!A$1:CB$87,Formula!B13,14)),IF(INDEX(Properties!A$1:CB$87,Formula!D13,14)&lt;&gt;"",INDEX(Properties!A$1:CB$87,Formula!D13,14)),IF(INDEX(Properties!A$1:CB$87,Formula!F13,14)&lt;&gt;"",INDEX(Properties!A$1:CB$87,Formula!F13,14)),IF(INDEX(Properties!A$1:CB$87,Formula!H13,14)&lt;&gt;"",INDEX(Properties!A$1:CB$87,Formula!H13,14)),IF(INDEX(Properties!A$1:CB$87,Formula!J13,14)&lt;&gt;"",INDEX(Properties!A$1:CB$87,Formula!J13,14)))</f>
        <v>0</v>
      </c>
      <c r="BG13" s="63">
        <f>MAX(INDEX(Properties!A$1:CB$87,Formula!B13,14),INDEX(Properties!A$1:CB$87,Formula!D13,14),INDEX(Properties!A$1:CB$87,Formula!F13,14),INDEX(Properties!A$1:CB$87,Formula!H13,14),INDEX(Properties!A$1:CB$87,Formula!J13,14))</f>
        <v>0</v>
      </c>
      <c r="BH13" s="63">
        <f>MIN(IF(Formula!B13=87,10^6,INDEX(Properties!A$1:CB$87,Formula!B13,14)),IF((Formula!D13)=87,10^6,INDEX(Properties!A$1:CB$87,Formula!D13,14)),IF((Formula!F13)=87,10^6,INDEX(Properties!A$1:CB$87,Formula!F13,14)),IF((Formula!H13)=87,10^6,INDEX(Properties!A$1:CB$87,Formula!H13,14)),IF(Formula!J13=87,10^6,INDEX(Properties!A$1:CB$87,Formula!J13,14)))</f>
        <v>0</v>
      </c>
      <c r="BI13" s="63">
        <f t="shared" si="9"/>
        <v>0</v>
      </c>
      <c r="BJ13" s="75">
        <f>((Formula!C13)/(Formula!C13+Formula!E13+Formula!G13+Formula!I13+Formula!K13))*(INDEX(Properties!A$1:CB$87,Formula!B13,19))+((Formula!E13)/(Formula!C13+Formula!E13+Formula!G13+Formula!I13+Formula!K13))*(INDEX(Properties!A$1:CB$87,Formula!D13,19))+((Formula!G13)/(Formula!C13+Formula!E13+Formula!G13+Formula!I13+Formula!K13))*(INDEX(Properties!A$1:CB$87,Formula!F13,19))+((Formula!I13)/(Formula!C13+Formula!E13+Formula!G13+Formula!I13+Formula!K13))*(INDEX(Properties!A$1:CB$87,Formula!H13,19))+((Formula!K13)/(Formula!C13+Formula!E13+Formula!G13+Formula!I13+Formula!K13))*(INDEX(Properties!A$1:CB$87,Formula!J13,19))</f>
        <v>4.9230769230769234</v>
      </c>
      <c r="BK13" s="75">
        <f>Formula!C13*(INDEX(Properties!A$1:CB$87,Formula!B13,19))+Formula!E13*(INDEX(Properties!A$1:CB$87,Formula!D13,19))+Formula!G13*(INDEX(Properties!A$1:CB$87,Formula!F13,19))+Formula!I13*(INDEX(Properties!A$1:CB$87,Formula!H13,19))+Formula!K13*(INDEX(Properties!A$1:CB$87,Formula!J13,19))</f>
        <v>448</v>
      </c>
      <c r="BL13" s="75">
        <f>VARP(IF(INDEX(Properties!A$1:CB$87,Formula!B13,19)&lt;&gt;"",INDEX(Properties!A$1:CB$87,Formula!B13,19)),IF(INDEX(Properties!A$1:CB$87,Formula!D13,19)&lt;&gt;"",INDEX(Properties!A$1:CB$87,Formula!D13,19)),IF(INDEX(Properties!A$1:CB$87,Formula!F13,19)&lt;&gt;"",INDEX(Properties!A$1:CB$87,Formula!F13,19)),IF(INDEX(Properties!A$1:CB$87,Formula!H13,19)&lt;&gt;"",INDEX(Properties!A$1:CB$87,Formula!H13,19)),IF(INDEX(Properties!A$1:CB$87,Formula!J13,19)&lt;&gt;"",INDEX(Properties!A$1:CB$87,Formula!J13,19)))</f>
        <v>4.8</v>
      </c>
      <c r="BM13" s="75">
        <f>MAX(INDEX(Properties!A$1:CB$87,Formula!B13,19),INDEX(Properties!A$1:CB$87,Formula!D13,19),INDEX(Properties!A$1:CB$87,Formula!F13,19),INDEX(Properties!A$1:CB$87,Formula!H13,19),INDEX(Properties!A$1:CB$87,Formula!J13,19))</f>
        <v>6</v>
      </c>
      <c r="BN13" s="75">
        <f>MIN(IF(INDEX(Properties!A$1:CB$87,Formula!B13,19)=0,10^6,INDEX(Properties!A$1:CB$87,Formula!B13,19)),IF(INDEX(Properties!A$1:CB$87,Formula!D13,19)=0,10^6,INDEX(Properties!A$1:CB$87,Formula!D13,19)),IF(INDEX(Properties!A$1:CB$87,Formula!F13,19)=0,10^6,INDEX(Properties!A$1:CB$87,Formula!F13,19)),IF(INDEX(Properties!A$1:CB$87,Formula!H13,19)=0,10^6,INDEX(Properties!A$1:CB$87,Formula!H13,19)),IF(INDEX(Properties!A$1:CB$87,Formula!J13,19)=0,10^6,INDEX(Properties!A$1:CB$87,Formula!J13,19)))</f>
        <v>2</v>
      </c>
      <c r="BO13" s="75">
        <f t="shared" si="10"/>
        <v>4</v>
      </c>
      <c r="BP13" s="48">
        <f>((Formula!C13)/(Formula!C13+Formula!E13+Formula!G13+Formula!I13+Formula!K13))*(INDEX(Properties!A$1:CB$87,Formula!B13,20))+((Formula!E13)/(Formula!C13+Formula!E13+Formula!G13+Formula!I13+Formula!K13))*(INDEX(Properties!A$1:CB$87,Formula!D13,20))+((Formula!G13)/(Formula!C13+Formula!E13+Formula!G13+Formula!I13+Formula!K13))*(INDEX(Properties!A$1:CB$87,Formula!F13,20))+((Formula!I13)/(Formula!C13+Formula!E13+Formula!G13+Formula!I13+Formula!K13))*(INDEX(Properties!A$1:CB$87,Formula!H13,20))+((Formula!K13)/(Formula!C13+Formula!E13+Formula!G13+Formula!I13+Formula!K13))*(INDEX(Properties!A$1:CB$87,Formula!J13,20))</f>
        <v>4.9230769230769234</v>
      </c>
      <c r="BQ13" s="48">
        <f>Formula!C13*(INDEX(Properties!A$1:CB$87,Formula!B13,20))+Formula!E13*(INDEX(Properties!A$1:CB$87,Formula!D13,20))+Formula!G13*(INDEX(Properties!A$1:CB$87,Formula!F13,20))+Formula!I13*(INDEX(Properties!A$1:CB$87,Formula!H13,20))+Formula!K13*(INDEX(Properties!A$1:CB$87,Formula!J13,20))</f>
        <v>448</v>
      </c>
      <c r="BR13" s="48">
        <f>VARP(IF(INDEX(Properties!A$1:CB$87,Formula!B13,20)&lt;&gt;"",INDEX(Properties!A$1:CB$87,Formula!B13,20)),IF(INDEX(Properties!A$1:CB$87,Formula!D13,20)&lt;&gt;"",INDEX(Properties!A$1:CB$87,Formula!D13,20)),IF(INDEX(Properties!A$1:CB$87,Formula!F13,20)&lt;&gt;"",INDEX(Properties!A$1:CB$87,Formula!F13,20)),IF(INDEX(Properties!A$1:CB$87,Formula!H13,20)&lt;&gt;"",INDEX(Properties!A$1:CB$87,Formula!H13,20)),IF(INDEX(Properties!A$1:CB$87,Formula!J13,20)&lt;&gt;"",INDEX(Properties!A$1:CB$87,Formula!J13,20)))</f>
        <v>4.8</v>
      </c>
      <c r="BS13" s="48">
        <f>MAX(INDEX(Properties!A$1:CB$87,Formula!B13,20),INDEX(Properties!A$1:CB$87,Formula!D13,20),INDEX(Properties!A$1:CB$87,Formula!F13,20),INDEX(Properties!A$1:CB$87,Formula!H13,20),INDEX(Properties!A$1:CB$87,Formula!J13,20))</f>
        <v>6</v>
      </c>
      <c r="BT13" s="48">
        <f>MIN(IF(INDEX(Properties!A$1:CB$87,Formula!B13,20)=0,10^6,INDEX(Properties!A$1:CB$87,Formula!B13,20)),IF(INDEX(Properties!A$1:CB$87,Formula!D13,20)=0,10^6,INDEX(Properties!A$1:CB$87,Formula!D13,20)),IF(INDEX(Properties!A$1:CB$87,Formula!F13,20)=0,10^6,INDEX(Properties!A$1:CB$87,Formula!F13,20)),IF(INDEX(Properties!A$1:CB$87,Formula!H13,20)=0,10^6,INDEX(Properties!A$1:CB$87,Formula!H13,20)),IF(INDEX(Properties!A$1:CB$87,Formula!J13,20)=0,10^6,INDEX(Properties!A$1:CB$87,Formula!J13,20)))</f>
        <v>2</v>
      </c>
      <c r="BU13" s="48">
        <f t="shared" si="11"/>
        <v>4</v>
      </c>
      <c r="BV13" s="66">
        <f>((Formula!C13)/(Formula!C13+Formula!E13+Formula!G13+Formula!I13+Formula!K13))*(INDEX(Properties!A$1:CB$87,Formula!B13,21))+((Formula!E13)/(Formula!C13+Formula!E13+Formula!G13+Formula!I13+Formula!K13))*(INDEX(Properties!A$1:CB$87,Formula!D13,21))+((Formula!G13)/(Formula!C13+Formula!E13+Formula!G13+Formula!I13+Formula!K13))*(INDEX(Properties!A$1:CB$87,Formula!F13,21))+((Formula!I13)/(Formula!C13+Formula!E13+Formula!G13+Formula!I13+Formula!K13))*(INDEX(Properties!A$1:CB$87,Formula!H13,21))+((Formula!K13)/(Formula!C13+Formula!E13+Formula!G13+Formula!I13+Formula!K13))*(INDEX(Properties!A$1:CB$87,Formula!J13,21))</f>
        <v>4.9230769230769234</v>
      </c>
      <c r="BW13" s="66">
        <f>Formula!C13*(INDEX(Properties!A$1:CB$87,Formula!B13,21))+Formula!E13*(INDEX(Properties!A$1:CB$87,Formula!D13,21))+Formula!G13*(INDEX(Properties!A$1:CB$87,Formula!F13,21))+Formula!I13*(INDEX(Properties!A$1:CB$87,Formula!H13,21))+Formula!K13*(INDEX(Properties!A$1:CB$87,Formula!J13,21))</f>
        <v>448</v>
      </c>
      <c r="BX13" s="66">
        <f>VARP(IF(INDEX(Properties!A$1:CB$87,Formula!B13,21)&lt;&gt;"",INDEX(Properties!A$1:CB$87,Formula!B13,21)),IF(INDEX(Properties!A$1:CB$87,Formula!D13,21)&lt;&gt;"",INDEX(Properties!A$1:CB$87,Formula!D13,21)),IF(INDEX(Properties!A$1:CB$87,Formula!F13,21)&lt;&gt;"",INDEX(Properties!A$1:CB$87,Formula!F13,21)),IF(INDEX(Properties!A$1:CB$87,Formula!H13,21)&lt;&gt;"",INDEX(Properties!A$1:CB$87,Formula!H13,21)),IF(INDEX(Properties!A$1:CB$87,Formula!J13,21)&lt;&gt;"",INDEX(Properties!A$1:CB$87,Formula!J13,21)))</f>
        <v>4.8</v>
      </c>
      <c r="BY13" s="66">
        <f>MAX(INDEX(Properties!A$1:CB$87,Formula!B13,21),INDEX(Properties!A$1:CB$87,Formula!D13,21),INDEX(Properties!A$1:CB$87,Formula!F13,21),INDEX(Properties!A$1:CB$87,Formula!H13,21),INDEX(Properties!A$1:CB$87,Formula!J13,21))</f>
        <v>6</v>
      </c>
      <c r="BZ13" s="66">
        <f>MIN(IF(INDEX(Properties!A$1:CB$87,Formula!B13,21)=0,10^6,INDEX(Properties!A$1:CB$87,Formula!B13,21)),IF(INDEX(Properties!A$1:CB$87,Formula!D13,21)=0,10^6,INDEX(Properties!A$1:CB$87,Formula!D13,21)),IF(INDEX(Properties!A$1:CB$87,Formula!F13,21)=0,10^6,INDEX(Properties!A$1:CB$87,Formula!F13,21)),IF(INDEX(Properties!A$1:CB$87,Formula!H13,21)=0,10^6,INDEX(Properties!A$1:CB$87,Formula!H13,21)),IF(INDEX(Properties!A$1:CB$87,Formula!J13,21)=0,10^6,INDEX(Properties!A$1:CB$87,Formula!J13,21)))</f>
        <v>2</v>
      </c>
      <c r="CA13" s="66">
        <f t="shared" si="12"/>
        <v>4</v>
      </c>
      <c r="CB13" s="81">
        <f>((Formula!C13)/(Formula!C13+Formula!E13+Formula!G13+Formula!I13+Formula!K13))*(INDEX(Properties!A$1:CB$87,Formula!B13,23))+((Formula!E13)/(Formula!C13+Formula!E13+Formula!G13+Formula!I13+Formula!K13))*(INDEX(Properties!A$1:CB$87,Formula!D13,23))+((Formula!G13)/(Formula!C13+Formula!E13+Formula!G13+Formula!I13+Formula!K13))*(INDEX(Properties!A$1:CB$87,Formula!F13,23))+((Formula!I13)/(Formula!C13+Formula!E13+Formula!G13+Formula!I13+Formula!K13))*(INDEX(Properties!A$1:CB$87,Formula!H13,23))+((Formula!K13)/(Formula!C13+Formula!E13+Formula!G13+Formula!I13+Formula!K13))*(INDEX(Properties!A$1:CB$87,Formula!J13,23))</f>
        <v>0.92307692307692313</v>
      </c>
      <c r="CC13" s="81">
        <f>Formula!C13*(INDEX(Properties!A$1:CB$87,Formula!B13,23))+Formula!E13*(INDEX(Properties!A$1:CB$87,Formula!D13,23))+Formula!G13*(INDEX(Properties!A$1:CB$87,Formula!F13,23))+Formula!I13*(INDEX(Properties!A$1:CB$87,Formula!H13,23))+Formula!K13*(INDEX(Properties!A$1:CB$87,Formula!J13,23))</f>
        <v>84</v>
      </c>
      <c r="CD13" s="81">
        <f>VARP(IF(INDEX(Properties!A$1:CB$87,Formula!B13,23)&lt;&gt;"",INDEX(Properties!A$1:CB$87,Formula!B13,23)),IF(INDEX(Properties!A$1:CB$87,Formula!D13,23)&lt;&gt;"",INDEX(Properties!A$1:CB$87,Formula!D13,23)),IF(INDEX(Properties!A$1:CB$87,Formula!F13,23)&lt;&gt;"",INDEX(Properties!A$1:CB$87,Formula!F13,23)),IF(INDEX(Properties!A$1:CB$87,Formula!H13,23)&lt;&gt;"",INDEX(Properties!A$1:CB$87,Formula!H13,23)),IF(INDEX(Properties!A$1:CB$87,Formula!J13,23)&lt;&gt;"",INDEX(Properties!A$1:CB$87,Formula!J13,23)))</f>
        <v>1.44</v>
      </c>
      <c r="CE13" s="81">
        <f>MAX(INDEX(Properties!A$1:CB$87,Formula!B13,23),INDEX(Properties!A$1:CB$87,Formula!D13,23),INDEX(Properties!A$1:CB$87,Formula!F13,23),INDEX(Properties!A$1:CB$87,Formula!H13,23),INDEX(Properties!A$1:CB$87,Formula!J13,23))</f>
        <v>3</v>
      </c>
      <c r="CF13" s="81">
        <f>MIN(IF(Formula!B13=87,10^6,INDEX(Properties!A$1:CB$87,Formula!B13,23)),IF((Formula!D13)=87,10^6,INDEX(Properties!A$1:CB$87,Formula!D13,23)),IF((Formula!F13)=87,10^6,INDEX(Properties!A$1:CB$87,Formula!F13,23)),IF((Formula!H13)=87,10^6,INDEX(Properties!A$1:CB$87,Formula!H13,23)),IF(Formula!J13=87,10^6,INDEX(Properties!A$1:CB$87,Formula!J13,23)))</f>
        <v>0</v>
      </c>
      <c r="CG13" s="81">
        <f t="shared" si="13"/>
        <v>3</v>
      </c>
      <c r="CH13" s="39">
        <f>((Formula!C13)/(Formula!C13+Formula!E13+Formula!G13+Formula!I13+Formula!K13))*(INDEX(Properties!A$1:CB$87,Formula!B13,26))+((Formula!E13)/(Formula!C13+Formula!E13+Formula!G13+Formula!I13+Formula!K13))*(INDEX(Properties!A$1:CB$87,Formula!D13,26))+((Formula!G13)/(Formula!C13+Formula!E13+Formula!G13+Formula!I13+Formula!K13))*(INDEX(Properties!A$1:CB$87,Formula!F13,26))+((Formula!I13)/(Formula!C13+Formula!E13+Formula!G13+Formula!I13+Formula!K13))*(INDEX(Properties!A$1:CB$87,Formula!H13,26))+((Formula!K13)/(Formula!C13+Formula!E13+Formula!G13+Formula!I13+Formula!K13))*(INDEX(Properties!A$1:CB$87,Formula!J13,26))</f>
        <v>11.438138461538463</v>
      </c>
      <c r="CI13" s="39">
        <f>Formula!C13*(INDEX(Properties!A$1:CB$87,Formula!B13,26))+Formula!E13*(INDEX(Properties!A$1:CB$87,Formula!D13,26))+Formula!G13*(INDEX(Properties!A$1:CB$87,Formula!F13,26))+Formula!I13*(INDEX(Properties!A$1:CB$87,Formula!H13,26))+Formula!K13*(INDEX(Properties!A$1:CB$87,Formula!J13,26))</f>
        <v>1040.8706</v>
      </c>
      <c r="CJ13" s="39">
        <f>VARP(IF(INDEX(Properties!A$1:CB$87,Formula!B13,26)&lt;&gt;"",INDEX(Properties!A$1:CB$87,Formula!B13,26)),IF(INDEX(Properties!A$1:CB$87,Formula!D13,26)&lt;&gt;"",INDEX(Properties!A$1:CB$87,Formula!D13,26)),IF(INDEX(Properties!A$1:CB$87,Formula!F13,26)&lt;&gt;"",INDEX(Properties!A$1:CB$87,Formula!F13,26)),IF(INDEX(Properties!A$1:CB$87,Formula!H13,26)&lt;&gt;"",INDEX(Properties!A$1:CB$87,Formula!H13,26)),IF(INDEX(Properties!A$1:CB$87,Formula!J13,26)&lt;&gt;"",INDEX(Properties!A$1:CB$87,Formula!J13,26)))</f>
        <v>20.903916970400005</v>
      </c>
      <c r="CK13" s="39">
        <f>MAX(INDEX(Properties!A$1:CB$87,Formula!B13,26),INDEX(Properties!A$1:CB$87,Formula!D13,26),INDEX(Properties!A$1:CB$87,Formula!F13,26),INDEX(Properties!A$1:CB$87,Formula!H13,26),INDEX(Properties!A$1:CB$87,Formula!J13,26))</f>
        <v>13.6181</v>
      </c>
      <c r="CL13" s="39">
        <f>MIN(IF(INDEX(Properties!A$1:CB$87,Formula!B13,26)=0,10^6,INDEX(Properties!A$1:CB$87,Formula!B13,26)),IF(INDEX(Properties!A$1:CB$87,Formula!D13,26)=0,10^6,INDEX(Properties!A$1:CB$87,Formula!D13,26)),IF(INDEX(Properties!A$1:CB$87,Formula!F13,26)=0,10^6,INDEX(Properties!A$1:CB$87,Formula!F13,26)),IF(INDEX(Properties!A$1:CB$87,Formula!H13,26)=0,10^6,INDEX(Properties!A$1:CB$87,Formula!H13,26)),IF(INDEX(Properties!A$1:CB$87,Formula!J13,26)=0,10^6,INDEX(Properties!A$1:CB$87,Formula!J13,26)))</f>
        <v>6.1132</v>
      </c>
      <c r="CM13" s="39">
        <f t="shared" si="14"/>
        <v>7.5049000000000001</v>
      </c>
      <c r="CN13" s="54">
        <f>((Formula!C13)/(Formula!C13+Formula!E13+Formula!G13+Formula!I13+Formula!K13))*(INDEX(Properties!A$1:CB$87,Formula!B13,30))+((Formula!E13)/(Formula!C13+Formula!E13+Formula!G13+Formula!I13+Formula!K13))*(INDEX(Properties!A$1:CB$87,Formula!D13,30))+((Formula!G13)/(Formula!C13+Formula!E13+Formula!G13+Formula!I13+Formula!K13))*(INDEX(Properties!A$1:CB$87,Formula!F13,30))+((Formula!I13)/(Formula!C13+Formula!E13+Formula!G13+Formula!I13+Formula!K13))*(INDEX(Properties!A$1:CB$87,Formula!H13,30))+((Formula!K13)/(Formula!C13+Formula!E13+Formula!G13+Formula!I13+Formula!K13))*(INDEX(Properties!A$1:CB$87,Formula!J13,30))</f>
        <v>2.6914285714285717</v>
      </c>
      <c r="CO13" s="54">
        <f>Formula!C13*(INDEX(Properties!A$1:CB$87,Formula!B13,30))+Formula!E13*(INDEX(Properties!A$1:CB$87,Formula!D13,30))+Formula!G13*(INDEX(Properties!A$1:CB$87,Formula!F13,30))+Formula!I13*(INDEX(Properties!A$1:CB$87,Formula!H13,30))+Formula!K13*(INDEX(Properties!A$1:CB$87,Formula!J13,30))</f>
        <v>244.92</v>
      </c>
      <c r="CP13" s="54">
        <f>VARP(IF(INDEX(Properties!A$1:CB$87,Formula!B13,30)&lt;&gt;"",INDEX(Properties!A$1:CB$87,Formula!B13,30)),IF(INDEX(Properties!A$1:CB$87,Formula!D13,30)&lt;&gt;"",INDEX(Properties!A$1:CB$87,Formula!D13,30)),IF(INDEX(Properties!A$1:CB$87,Formula!F13,30)&lt;&gt;"",INDEX(Properties!A$1:CB$87,Formula!F13,30)),IF(INDEX(Properties!A$1:CB$87,Formula!H13,30)&lt;&gt;"",INDEX(Properties!A$1:CB$87,Formula!H13,30)),IF(INDEX(Properties!A$1:CB$87,Formula!J13,30)&lt;&gt;"",INDEX(Properties!A$1:CB$87,Formula!J13,30)))</f>
        <v>1.3474159999999997</v>
      </c>
      <c r="CQ13" s="54">
        <f>MAX(INDEX(Properties!A$1:CB$87,Formula!B13,30),INDEX(Properties!A$1:CB$87,Formula!D13,30),INDEX(Properties!A$1:CB$87,Formula!F13,30),INDEX(Properties!A$1:CB$87,Formula!H13,30),INDEX(Properties!A$1:CB$87,Formula!J13,30))</f>
        <v>3.44</v>
      </c>
      <c r="CR13" s="54">
        <f>MIN(IF(INDEX(Properties!A$1:CB$87,Formula!B13,30)=0,10^6,INDEX(Properties!A$1:CB$87,Formula!B13,30)),IF(INDEX(Properties!A$1:CB$87,Formula!D13,30)=0,10^6,INDEX(Properties!A$1:CB$87,Formula!D13,30)),IF(INDEX(Properties!A$1:CB$87,Formula!F13,30)=0,10^6,INDEX(Properties!A$1:CB$87,Formula!F13,30)),IF(INDEX(Properties!A$1:CB$87,Formula!H13,30)=0,10^6,INDEX(Properties!A$1:CB$87,Formula!H13,30)),IF(INDEX(Properties!A$1:CB$87,Formula!J13,30)=0,10^6,INDEX(Properties!A$1:CB$87,Formula!J13,30)))</f>
        <v>1</v>
      </c>
      <c r="CS13" s="54">
        <f t="shared" si="15"/>
        <v>2.44</v>
      </c>
      <c r="CT13" s="69">
        <f>((Formula!C13)/(Formula!C13+Formula!E13+Formula!G13+Formula!I13+Formula!K13))*(INDEX(Properties!A$1:CB$87,Formula!B13,31))+((Formula!E13)/(Formula!C13+Formula!E13+Formula!G13+Formula!I13+Formula!K13))*(INDEX(Properties!A$1:CB$87,Formula!D13,31))+((Formula!G13)/(Formula!C13+Formula!E13+Formula!G13+Formula!I13+Formula!K13))*(INDEX(Properties!A$1:CB$87,Formula!F13,31))+((Formula!I13)/(Formula!C13+Formula!E13+Formula!G13+Formula!I13+Formula!K13))*(INDEX(Properties!A$1:CB$87,Formula!H13,31))+((Formula!K13)/(Formula!C13+Formula!E13+Formula!G13+Formula!I13+Formula!K13))*(INDEX(Properties!A$1:CB$87,Formula!J13,31))</f>
        <v>2.6730769230769229</v>
      </c>
      <c r="CU13" s="69">
        <f>Formula!C13*(INDEX(Properties!A$1:CB$87,Formula!B13,31))+Formula!E13*(INDEX(Properties!A$1:CB$87,Formula!D13,31))+Formula!G13*(INDEX(Properties!A$1:CB$87,Formula!F13,31))+Formula!I13*(INDEX(Properties!A$1:CB$87,Formula!H13,31))+Formula!K13*(INDEX(Properties!A$1:CB$87,Formula!J13,31))</f>
        <v>243.25</v>
      </c>
      <c r="CV13" s="69">
        <f>VARP(IF(INDEX(Properties!A$1:CB$87,Formula!B13,31)&lt;&gt;"",INDEX(Properties!A$1:CB$87,Formula!B13,31)),IF(INDEX(Properties!A$1:CB$87,Formula!D13,31)&lt;&gt;"",INDEX(Properties!A$1:CB$87,Formula!D13,31)),IF(INDEX(Properties!A$1:CB$87,Formula!F13,31)&lt;&gt;"",INDEX(Properties!A$1:CB$87,Formula!F13,31)),IF(INDEX(Properties!A$1:CB$87,Formula!H13,31)&lt;&gt;"",INDEX(Properties!A$1:CB$87,Formula!H13,31)),IF(INDEX(Properties!A$1:CB$87,Formula!J13,31)&lt;&gt;"",INDEX(Properties!A$1:CB$87,Formula!J13,31)))</f>
        <v>1.2605840000000006</v>
      </c>
      <c r="CW13" s="69">
        <f>MAX(INDEX(Properties!A$1:CB$87,Formula!B13,31),INDEX(Properties!A$1:CB$87,Formula!D13,31),INDEX(Properties!A$1:CB$87,Formula!F13,31),INDEX(Properties!A$1:CB$87,Formula!H13,31),INDEX(Properties!A$1:CB$87,Formula!J13,31))</f>
        <v>3.32</v>
      </c>
      <c r="CX13" s="69">
        <f>MIN(IF(INDEX(Properties!A$1:CB$87,Formula!B13,31)=0,10^6,INDEX(Properties!A$1:CB$87,Formula!B13,31)),IF(INDEX(Properties!A$1:CB$87,Formula!D13,31)=0,10^6,INDEX(Properties!A$1:CB$87,Formula!D13,31)),IF(INDEX(Properties!A$1:CB$87,Formula!F13,31)=0,10^6,INDEX(Properties!A$1:CB$87,Formula!F13,31)),IF(INDEX(Properties!A$1:CB$87,Formula!H13,31)=0,10^6,INDEX(Properties!A$1:CB$87,Formula!H13,31)),IF(INDEX(Properties!A$1:CB$87,Formula!J13,31)=0,10^6,INDEX(Properties!A$1:CB$87,Formula!J13,31)))</f>
        <v>1.17</v>
      </c>
      <c r="CY13" s="69">
        <f t="shared" si="16"/>
        <v>2.15</v>
      </c>
      <c r="CZ13" s="42">
        <f>((Formula!C13)/(Formula!C13+Formula!E13+Formula!G13+Formula!I13+Formula!K13))*(INDEX(Properties!A$1:CB$87,Formula!B13,32))+((Formula!E13)/(Formula!C13+Formula!E13+Formula!G13+Formula!I13+Formula!K13))*(INDEX(Properties!A$1:CB$87,Formula!D13,32))+((Formula!G13)/(Formula!C13+Formula!E13+Formula!G13+Formula!I13+Formula!K13))*(INDEX(Properties!A$1:CB$87,Formula!F13,32))+((Formula!I13)/(Formula!C13+Formula!E13+Formula!G13+Formula!I13+Formula!K13))*(INDEX(Properties!A$1:CB$87,Formula!H13,32))+((Formula!K13)/(Formula!C13+Formula!E13+Formula!G13+Formula!I13+Formula!K13))*(INDEX(Properties!A$1:CB$87,Formula!J13,32))</f>
        <v>6.0463736263736276</v>
      </c>
      <c r="DA13" s="42">
        <f>Formula!C13*(INDEX(Properties!A$1:CB$87,Formula!B13,32))+Formula!E13*(INDEX(Properties!A$1:CB$87,Formula!D13,32))+Formula!G13*(INDEX(Properties!A$1:CB$87,Formula!F13,32))+Formula!I13*(INDEX(Properties!A$1:CB$87,Formula!H13,32))+Formula!K13*(INDEX(Properties!A$1:CB$87,Formula!J13,32))</f>
        <v>550.22</v>
      </c>
      <c r="DB13" s="42">
        <f>VARP(IF(INDEX(Properties!A$1:CB$87,Formula!B13,32)&lt;&gt;"",INDEX(Properties!A$1:CB$87,Formula!B13,32)),IF(INDEX(Properties!A$1:CB$87,Formula!D13,32)&lt;&gt;"",INDEX(Properties!A$1:CB$87,Formula!D13,32)),IF(INDEX(Properties!A$1:CB$87,Formula!F13,32)&lt;&gt;"",INDEX(Properties!A$1:CB$87,Formula!F13,32)),IF(INDEX(Properties!A$1:CB$87,Formula!H13,32)&lt;&gt;"",INDEX(Properties!A$1:CB$87,Formula!H13,32)),IF(INDEX(Properties!A$1:CB$87,Formula!J13,32)&lt;&gt;"",INDEX(Properties!A$1:CB$87,Formula!J13,32)))</f>
        <v>6.8600160000000052</v>
      </c>
      <c r="DC13" s="42">
        <f>MAX(INDEX(Properties!A$1:CB$87,Formula!B13,32),INDEX(Properties!A$1:CB$87,Formula!D13,32),INDEX(Properties!A$1:CB$87,Formula!F13,32),INDEX(Properties!A$1:CB$87,Formula!H13,32),INDEX(Properties!A$1:CB$87,Formula!J13,32))</f>
        <v>7.54</v>
      </c>
      <c r="DD13" s="42">
        <f>MIN(IF(INDEX(Properties!A$1:CB$87,Formula!B13,32)=0,10^6,INDEX(Properties!A$1:CB$87,Formula!B13,32)),IF(INDEX(Properties!A$1:CB$87,Formula!D13,32)=0,10^6,INDEX(Properties!A$1:CB$87,Formula!D13,32)),IF(INDEX(Properties!A$1:CB$87,Formula!F13,32)=0,10^6,INDEX(Properties!A$1:CB$87,Formula!F13,32)),IF(INDEX(Properties!A$1:CB$87,Formula!H13,32)=0,10^6,INDEX(Properties!A$1:CB$87,Formula!H13,32)),IF(INDEX(Properties!A$1:CB$87,Formula!J13,32)=0,10^6,INDEX(Properties!A$1:CB$87,Formula!J13,32)))</f>
        <v>2.2000000000000002</v>
      </c>
      <c r="DE13" s="42">
        <f t="shared" si="17"/>
        <v>5.34</v>
      </c>
      <c r="DF13" s="60">
        <f>((Formula!C13)/(Formula!C13+Formula!E13+Formula!G13+Formula!I13+Formula!K13))*(INDEX(Properties!A$1:CB$87,Formula!B13,34))+((Formula!E13)/(Formula!C13+Formula!E13+Formula!G13+Formula!I13+Formula!K13))*(INDEX(Properties!A$1:CB$87,Formula!D13,34))+((Formula!G13)/(Formula!C13+Formula!E13+Formula!G13+Formula!I13+Formula!K13))*(INDEX(Properties!A$1:CB$87,Formula!F13,34))+((Formula!I13)/(Formula!C13+Formula!E13+Formula!G13+Formula!I13+Formula!K13))*(INDEX(Properties!A$1:CB$87,Formula!H13,34))+((Formula!K13)/(Formula!C13+Formula!E13+Formula!G13+Formula!I13+Formula!K13))*(INDEX(Properties!A$1:CB$87,Formula!J13,34))</f>
        <v>2.8124615384615383</v>
      </c>
      <c r="DG13" s="60">
        <f>Formula!C13*(INDEX(Properties!A$1:CB$87,Formula!B13,34))+Formula!E13*(INDEX(Properties!A$1:CB$87,Formula!D13,34))+Formula!G13*(INDEX(Properties!A$1:CB$87,Formula!F13,34))+Formula!I13*(INDEX(Properties!A$1:CB$87,Formula!H13,34))+Formula!K13*(INDEX(Properties!A$1:CB$87,Formula!J13,34))</f>
        <v>255.934</v>
      </c>
      <c r="DH13" s="60">
        <f>VARP(IF(INDEX(Properties!A$1:CB$87,Formula!B13,34)&lt;&gt;"",INDEX(Properties!A$1:CB$87,Formula!B13,34)),IF(INDEX(Properties!A$1:CB$87,Formula!D13,34)&lt;&gt;"",INDEX(Properties!A$1:CB$87,Formula!D13,34)),IF(INDEX(Properties!A$1:CB$87,Formula!F13,34)&lt;&gt;"",INDEX(Properties!A$1:CB$87,Formula!F13,34)),IF(INDEX(Properties!A$1:CB$87,Formula!H13,34)&lt;&gt;"",INDEX(Properties!A$1:CB$87,Formula!H13,34)),IF(INDEX(Properties!A$1:CB$87,Formula!J13,34)&lt;&gt;"",INDEX(Properties!A$1:CB$87,Formula!J13,34)))</f>
        <v>1.4867788000000002</v>
      </c>
      <c r="DI13" s="60">
        <f>MAX(INDEX(Properties!A$1:CB$87,Formula!B13,34),INDEX(Properties!A$1:CB$87,Formula!D13,34),INDEX(Properties!A$1:CB$87,Formula!F13,34),INDEX(Properties!A$1:CB$87,Formula!H13,34),INDEX(Properties!A$1:CB$87,Formula!J13,34))</f>
        <v>3.61</v>
      </c>
      <c r="DJ13" s="60">
        <f>MIN(IF(INDEX(Properties!A$1:CB$87,Formula!B13,34)=0,10^6,INDEX(Properties!A$1:CB$87,Formula!B13,34)),IF(INDEX(Properties!A$1:CB$87,Formula!D13,34)=0,10^6,INDEX(Properties!A$1:CB$87,Formula!D13,34)),IF(INDEX(Properties!A$1:CB$87,Formula!F13,34)=0,10^6,INDEX(Properties!A$1:CB$87,Formula!F13,34)),IF(INDEX(Properties!A$1:CB$87,Formula!H13,34)=0,10^6,INDEX(Properties!A$1:CB$87,Formula!H13,34)),IF(INDEX(Properties!A$1:CB$87,Formula!J13,34)=0,10^6,INDEX(Properties!A$1:CB$87,Formula!J13,34)))</f>
        <v>1.034</v>
      </c>
      <c r="DK13" s="60">
        <f t="shared" si="18"/>
        <v>2.5759999999999996</v>
      </c>
      <c r="DL13" s="45">
        <f>((Formula!C13)/(Formula!C13+Formula!E13+Formula!G13+Formula!I13+Formula!K13))*(INDEX(Properties!A$1:CB$87,Formula!B13,39))+((Formula!E13)/(Formula!C13+Formula!E13+Formula!G13+Formula!I13+Formula!K13))*(INDEX(Properties!A$1:CB$87,Formula!D13,39))+((Formula!G13)/(Formula!C13+Formula!E13+Formula!G13+Formula!I13+Formula!K13))*(INDEX(Properties!A$1:CB$87,Formula!F13,39))+((Formula!I13)/(Formula!C13+Formula!E13+Formula!G13+Formula!I13+Formula!K13))*(INDEX(Properties!A$1:CB$87,Formula!H13,39))+((Formula!K13)/(Formula!C13+Formula!E13+Formula!G13+Formula!I13+Formula!K13))*(INDEX(Properties!A$1:CB$87,Formula!J13,39))</f>
        <v>0.88307692307692309</v>
      </c>
      <c r="DM13" s="45">
        <f>Formula!C13*(INDEX(Properties!A$1:CB$87,Formula!B13,39))+Formula!E13*(INDEX(Properties!A$1:CB$87,Formula!D13,39))+Formula!G13*(INDEX(Properties!A$1:CB$87,Formula!F13,39))+Formula!I13*(INDEX(Properties!A$1:CB$87,Formula!H13,39))+Formula!K13*(INDEX(Properties!A$1:CB$87,Formula!J13,39))</f>
        <v>80.36</v>
      </c>
      <c r="DN13" s="45">
        <f>VARP(IF(INDEX(Properties!A$1:CB$87,Formula!B13,39)&lt;&gt;"",INDEX(Properties!A$1:CB$87,Formula!B13,39)),IF(INDEX(Properties!A$1:CB$87,Formula!D13,39)&lt;&gt;"",INDEX(Properties!A$1:CB$87,Formula!D13,39)),IF(INDEX(Properties!A$1:CB$87,Formula!F13,39)&lt;&gt;"",INDEX(Properties!A$1:CB$87,Formula!F13,39)),IF(INDEX(Properties!A$1:CB$87,Formula!H13,39)&lt;&gt;"",INDEX(Properties!A$1:CB$87,Formula!H13,39)),IF(INDEX(Properties!A$1:CB$87,Formula!J13,39)&lt;&gt;"",INDEX(Properties!A$1:CB$87,Formula!J13,39)))</f>
        <v>0.47048000000000018</v>
      </c>
      <c r="DO13" s="45">
        <f>MAX(INDEX(Properties!A$1:CB$87,Formula!B13,39),INDEX(Properties!A$1:CB$87,Formula!D13,39),INDEX(Properties!A$1:CB$87,Formula!F13,39),INDEX(Properties!A$1:CB$87,Formula!H13,39),INDEX(Properties!A$1:CB$87,Formula!J13,39))</f>
        <v>1.94</v>
      </c>
      <c r="DP13" s="45">
        <f>MIN(IF(INDEX(Properties!A$1:CB$87,Formula!B13,39)=0,10^6,INDEX(Properties!A$1:CB$87,Formula!B13,39)),IF(INDEX(Properties!A$1:CB$87,Formula!D13,39)=0,10^6,INDEX(Properties!A$1:CB$87,Formula!D13,39)),IF(INDEX(Properties!A$1:CB$87,Formula!F13,39)=0,10^6,INDEX(Properties!A$1:CB$87,Formula!F13,39)),IF(INDEX(Properties!A$1:CB$87,Formula!H13,39)=0,10^6,INDEX(Properties!A$1:CB$87,Formula!H13,39)),IF(INDEX(Properties!A$1:CB$87,Formula!J13,39)=0,10^6,INDEX(Properties!A$1:CB$87,Formula!J13,39)))</f>
        <v>0.48</v>
      </c>
      <c r="DQ13" s="45">
        <f t="shared" si="19"/>
        <v>1.46</v>
      </c>
      <c r="DR13" s="63">
        <f>((Formula!C13)/(Formula!C13+Formula!E13+Formula!G13+Formula!I13+Formula!K13))*(INDEX(Properties!A$1:CB$87,Formula!B13,40))+((Formula!E13)/(Formula!C13+Formula!E13+Formula!G13+Formula!I13+Formula!K13))*(INDEX(Properties!A$1:CB$87,Formula!D13,40))+((Formula!G13)/(Formula!C13+Formula!E13+Formula!G13+Formula!I13+Formula!K13))*(INDEX(Properties!A$1:CB$87,Formula!F13,40))+((Formula!I13)/(Formula!C13+Formula!E13+Formula!G13+Formula!I13+Formula!K13))*(INDEX(Properties!A$1:CB$87,Formula!H13,40))+((Formula!K13)/(Formula!C13+Formula!E13+Formula!G13+Formula!I13+Formula!K13))*(INDEX(Properties!A$1:CB$87,Formula!J13,40))</f>
        <v>1.0041758241758243</v>
      </c>
      <c r="DS13" s="63">
        <f>Formula!C13*(INDEX(Properties!A$1:CB$87,Formula!B13,40))+Formula!E13*(INDEX(Properties!A$1:CB$87,Formula!D13,40))+Formula!G13*(INDEX(Properties!A$1:CB$87,Formula!F13,40))+Formula!I13*(INDEX(Properties!A$1:CB$87,Formula!H13,40))+Formula!K13*(INDEX(Properties!A$1:CB$87,Formula!J13,40))</f>
        <v>91.38</v>
      </c>
      <c r="DT13" s="63">
        <f>VARP(IF(INDEX(Properties!A$1:CB$87,Formula!B13,40)&lt;&gt;"",INDEX(Properties!A$1:CB$87,Formula!B13,40)),IF(INDEX(Properties!A$1:CB$87,Formula!D13,40)&lt;&gt;"",INDEX(Properties!A$1:CB$87,Formula!D13,40)),IF(INDEX(Properties!A$1:CB$87,Formula!F13,40)&lt;&gt;"",INDEX(Properties!A$1:CB$87,Formula!F13,40)),IF(INDEX(Properties!A$1:CB$87,Formula!H13,40)&lt;&gt;"",INDEX(Properties!A$1:CB$87,Formula!H13,40)),IF(INDEX(Properties!A$1:CB$87,Formula!J13,40)&lt;&gt;"",INDEX(Properties!A$1:CB$87,Formula!J13,40)))</f>
        <v>0.34166399999999997</v>
      </c>
      <c r="DU13" s="63">
        <f>MAX(INDEX(Properties!A$1:CB$87,Formula!B13,40),INDEX(Properties!A$1:CB$87,Formula!D13,40),INDEX(Properties!A$1:CB$87,Formula!F13,40),INDEX(Properties!A$1:CB$87,Formula!H13,40),INDEX(Properties!A$1:CB$87,Formula!J13,40))</f>
        <v>1.74</v>
      </c>
      <c r="DV13" s="63">
        <f>MIN(IF(INDEX(Properties!A$1:CB$87,Formula!B13,40)=0,10^6,INDEX(Properties!A$1:CB$87,Formula!B13,40)),IF(INDEX(Properties!A$1:CB$87,Formula!D13,40)=0,10^6,INDEX(Properties!A$1:CB$87,Formula!D13,40)),IF(INDEX(Properties!A$1:CB$87,Formula!F13,40)=0,10^6,INDEX(Properties!A$1:CB$87,Formula!F13,40)),IF(INDEX(Properties!A$1:CB$87,Formula!H13,40)=0,10^6,INDEX(Properties!A$1:CB$87,Formula!H13,40)),IF(INDEX(Properties!A$1:CB$87,Formula!J13,40)=0,10^6,INDEX(Properties!A$1:CB$87,Formula!J13,40)))</f>
        <v>0.73</v>
      </c>
      <c r="DW13" s="63">
        <f t="shared" si="20"/>
        <v>1.01</v>
      </c>
      <c r="DX13" s="75">
        <f>((Formula!C13)/(Formula!C13+Formula!E13+Formula!G13+Formula!I13+Formula!K13))*(INDEX(Properties!A$1:CB$87,Formula!B13,41))+((Formula!E13)/(Formula!C13+Formula!E13+Formula!G13+Formula!I13+Formula!K13))*(INDEX(Properties!A$1:CB$87,Formula!D13,41))+((Formula!G13)/(Formula!C13+Formula!E13+Formula!G13+Formula!I13+Formula!K13))*(INDEX(Properties!A$1:CB$87,Formula!F13,41))+((Formula!I13)/(Formula!C13+Formula!E13+Formula!G13+Formula!I13+Formula!K13))*(INDEX(Properties!A$1:CB$87,Formula!H13,41))+((Formula!K13)/(Formula!C13+Formula!E13+Formula!G13+Formula!I13+Formula!K13))*(INDEX(Properties!A$1:CB$87,Formula!J13,41))</f>
        <v>1.1215384615384616</v>
      </c>
      <c r="DY13" s="75">
        <f>Formula!C13*(INDEX(Properties!A$1:CB$87,Formula!B13,41))+Formula!E13*(INDEX(Properties!A$1:CB$87,Formula!D13,41))+Formula!G13*(INDEX(Properties!A$1:CB$87,Formula!F13,41))+Formula!I13*(INDEX(Properties!A$1:CB$87,Formula!H13,41))+Formula!K13*(INDEX(Properties!A$1:CB$87,Formula!J13,41))</f>
        <v>102.06</v>
      </c>
      <c r="DZ13" s="75">
        <f>VARP(IF(INDEX(Properties!A$1:CB$87,Formula!B13,41)&lt;&gt;"",INDEX(Properties!A$1:CB$87,Formula!B13,41)),IF(INDEX(Properties!A$1:CB$87,Formula!D13,41)&lt;&gt;"",INDEX(Properties!A$1:CB$87,Formula!D13,41)),IF(INDEX(Properties!A$1:CB$87,Formula!F13,41)&lt;&gt;"",INDEX(Properties!A$1:CB$87,Formula!F13,41)),IF(INDEX(Properties!A$1:CB$87,Formula!H13,41)&lt;&gt;"",INDEX(Properties!A$1:CB$87,Formula!H13,41)),IF(INDEX(Properties!A$1:CB$87,Formula!J13,41)&lt;&gt;"",INDEX(Properties!A$1:CB$87,Formula!J13,41)))</f>
        <v>0.20281599999999997</v>
      </c>
      <c r="EA13" s="75">
        <f>MAX(INDEX(Properties!A$1:CB$87,Formula!B13,41),INDEX(Properties!A$1:CB$87,Formula!D13,41),INDEX(Properties!A$1:CB$87,Formula!F13,41),INDEX(Properties!A$1:CB$87,Formula!H13,41),INDEX(Properties!A$1:CB$87,Formula!J13,41))</f>
        <v>1.26</v>
      </c>
      <c r="EB13" s="75">
        <f>MIN(IF(INDEX(Properties!A$1:CB$87,Formula!B13,41)=0,10^6,INDEX(Properties!A$1:CB$87,Formula!B13,41)),IF(INDEX(Properties!A$1:CB$87,Formula!D13,41)=0,10^6,INDEX(Properties!A$1:CB$87,Formula!D13,41)),IF(INDEX(Properties!A$1:CB$87,Formula!F13,41)=0,10^6,INDEX(Properties!A$1:CB$87,Formula!F13,41)),IF(INDEX(Properties!A$1:CB$87,Formula!H13,41)=0,10^6,INDEX(Properties!A$1:CB$87,Formula!H13,41)),IF(INDEX(Properties!A$1:CB$87,Formula!J13,41)=0,10^6,INDEX(Properties!A$1:CB$87,Formula!J13,41)))</f>
        <v>0.57999999999999996</v>
      </c>
      <c r="EC13" s="75">
        <f t="shared" si="21"/>
        <v>0.68</v>
      </c>
      <c r="ED13" s="48">
        <f>((Formula!C13)/(Formula!C13+Formula!E13+Formula!G13+Formula!I13+Formula!K13))*(INDEX(Properties!A$1:CB$87,Formula!B13,45))+((Formula!E13)/(Formula!C13+Formula!E13+Formula!G13+Formula!I13+Formula!K13))*(INDEX(Properties!A$1:CB$87,Formula!D13,45))+((Formula!G13)/(Formula!C13+Formula!E13+Formula!G13+Formula!I13+Formula!K13))*(INDEX(Properties!A$1:CB$87,Formula!F13,45))+((Formula!I13)/(Formula!C13+Formula!E13+Formula!G13+Formula!I13+Formula!K13))*(INDEX(Properties!A$1:CB$87,Formula!H13,45))+((Formula!K13)/(Formula!C13+Formula!E13+Formula!G13+Formula!I13+Formula!K13))*(INDEX(Properties!A$1:CB$87,Formula!J13,45))</f>
        <v>1.1509890109890111</v>
      </c>
      <c r="EE13" s="48">
        <f>Formula!C13*(INDEX(Properties!A$1:CB$87,Formula!B13,45))+Formula!E13*(INDEX(Properties!A$1:CB$87,Formula!D13,45))+Formula!G13*(INDEX(Properties!A$1:CB$87,Formula!F13,45))+Formula!I13*(INDEX(Properties!A$1:CB$87,Formula!H13,45))+Formula!K13*(INDEX(Properties!A$1:CB$87,Formula!J13,45))</f>
        <v>104.74000000000001</v>
      </c>
      <c r="EF13" s="48">
        <f>VARP(IF(INDEX(Properties!A$1:CB$87,Formula!B13,45)&lt;&gt;"",INDEX(Properties!A$1:CB$87,Formula!B13,45)),IF(INDEX(Properties!A$1:CB$87,Formula!D13,45)&lt;&gt;"",INDEX(Properties!A$1:CB$87,Formula!D13,45)),IF(INDEX(Properties!A$1:CB$87,Formula!F13,45)&lt;&gt;"",INDEX(Properties!A$1:CB$87,Formula!F13,45)),IF(INDEX(Properties!A$1:CB$87,Formula!H13,45)&lt;&gt;"",INDEX(Properties!A$1:CB$87,Formula!H13,45)),IF(INDEX(Properties!A$1:CB$87,Formula!J13,45)&lt;&gt;"",INDEX(Properties!A$1:CB$87,Formula!J13,45)))</f>
        <v>1.158776</v>
      </c>
      <c r="EG13" s="48">
        <f>MAX(INDEX(Properties!A$1:CB$87,Formula!B13,45),INDEX(Properties!A$1:CB$87,Formula!D13,45),INDEX(Properties!A$1:CB$87,Formula!F13,45),INDEX(Properties!A$1:CB$87,Formula!H13,45),INDEX(Properties!A$1:CB$87,Formula!J13,45))</f>
        <v>3</v>
      </c>
      <c r="EH13" s="48">
        <f>MIN(IF(INDEX(Properties!A$1:CB$87,Formula!B13,45)=0,10^6,INDEX(Properties!A$1:CB$87,Formula!B13,45)),IF(INDEX(Properties!A$1:CB$87,Formula!D13,45)=0,10^6,INDEX(Properties!A$1:CB$87,Formula!D13,45)),IF(INDEX(Properties!A$1:CB$87,Formula!F13,45)=0,10^6,INDEX(Properties!A$1:CB$87,Formula!F13,45)),IF(INDEX(Properties!A$1:CB$87,Formula!H13,45)=0,10^6,INDEX(Properties!A$1:CB$87,Formula!H13,45)),IF(INDEX(Properties!A$1:CB$87,Formula!J13,45)=0,10^6,INDEX(Properties!A$1:CB$87,Formula!J13,45)))</f>
        <v>0.47</v>
      </c>
      <c r="EI13" s="48">
        <f t="shared" si="22"/>
        <v>2.5300000000000002</v>
      </c>
      <c r="EJ13" s="66">
        <f>((Formula!C13)/(Formula!C13+Formula!E13+Formula!G13+Formula!I13+Formula!K13))*(INDEX(Properties!A$1:CB$87,Formula!B13,46))+((Formula!E13)/(Formula!C13+Formula!E13+Formula!G13+Formula!I13+Formula!K13))*(INDEX(Properties!A$1:CB$87,Formula!D13,46))+((Formula!G13)/(Formula!C13+Formula!E13+Formula!G13+Formula!I13+Formula!K13))*(INDEX(Properties!A$1:CB$87,Formula!F13,46))+((Formula!I13)/(Formula!C13+Formula!E13+Formula!G13+Formula!I13+Formula!K13))*(INDEX(Properties!A$1:CB$87,Formula!H13,46))+((Formula!K13)/(Formula!C13+Formula!E13+Formula!G13+Formula!I13+Formula!K13))*(INDEX(Properties!A$1:CB$87,Formula!J13,46))</f>
        <v>1.0492307692307694</v>
      </c>
      <c r="EK13" s="66">
        <f>Formula!C13*(INDEX(Properties!A$1:CB$87,Formula!B13,46))+Formula!E13*(INDEX(Properties!A$1:CB$87,Formula!D13,46))+Formula!G13*(INDEX(Properties!A$1:CB$87,Formula!F13,46))+Formula!I13*(INDEX(Properties!A$1:CB$87,Formula!H13,46))+Formula!K13*(INDEX(Properties!A$1:CB$87,Formula!J13,46))</f>
        <v>95.47999999999999</v>
      </c>
      <c r="EL13" s="66">
        <f>VARP(IF(INDEX(Properties!A$1:CB$87,Formula!B13,46)&lt;&gt;"",INDEX(Properties!A$1:CB$87,Formula!B13,46)),IF(INDEX(Properties!A$1:CB$87,Formula!D13,46)&lt;&gt;"",INDEX(Properties!A$1:CB$87,Formula!D13,46)),IF(INDEX(Properties!A$1:CB$87,Formula!F13,46)&lt;&gt;"",INDEX(Properties!A$1:CB$87,Formula!F13,46)),IF(INDEX(Properties!A$1:CB$87,Formula!H13,46)&lt;&gt;"",INDEX(Properties!A$1:CB$87,Formula!H13,46)),IF(INDEX(Properties!A$1:CB$87,Formula!J13,46)&lt;&gt;"",INDEX(Properties!A$1:CB$87,Formula!J13,46)))</f>
        <v>0.22426399999999988</v>
      </c>
      <c r="EM13" s="66">
        <f>MAX(INDEX(Properties!A$1:CB$87,Formula!B13,46),INDEX(Properties!A$1:CB$87,Formula!D13,46),INDEX(Properties!A$1:CB$87,Formula!F13,46),INDEX(Properties!A$1:CB$87,Formula!H13,46),INDEX(Properties!A$1:CB$87,Formula!J13,46))</f>
        <v>1.21</v>
      </c>
      <c r="EN13" s="66">
        <f>MIN(IF(INDEX(Properties!A$1:CB$87,Formula!B13,46)=0,10^6,INDEX(Properties!A$1:CB$87,Formula!B13,46)),IF(INDEX(Properties!A$1:CB$87,Formula!D13,46)=0,10^6,INDEX(Properties!A$1:CB$87,Formula!D13,46)),IF(INDEX(Properties!A$1:CB$87,Formula!F13,46)=0,10^6,INDEX(Properties!A$1:CB$87,Formula!F13,46)),IF(INDEX(Properties!A$1:CB$87,Formula!H13,46)=0,10^6,INDEX(Properties!A$1:CB$87,Formula!H13,46)),IF(INDEX(Properties!A$1:CB$87,Formula!J13,46)=0,10^6,INDEX(Properties!A$1:CB$87,Formula!J13,46)))</f>
        <v>0.31</v>
      </c>
      <c r="EO13" s="66">
        <f t="shared" si="23"/>
        <v>0.89999999999999991</v>
      </c>
      <c r="EP13" s="81">
        <f>((Formula!C13)/(Formula!C13+Formula!E13+Formula!G13+Formula!I13+Formula!K13))*(INDEX(Properties!A$1:CB$87,Formula!B13,52))+((Formula!E13)/(Formula!C13+Formula!E13+Formula!G13+Formula!I13+Formula!K13))*(INDEX(Properties!A$1:CB$87,Formula!D13,52))+((Formula!G13)/(Formula!C13+Formula!E13+Formula!G13+Formula!I13+Formula!K13))*(INDEX(Properties!A$1:CB$87,Formula!F13,52))+((Formula!I13)/(Formula!C13+Formula!E13+Formula!G13+Formula!I13+Formula!K13))*(INDEX(Properties!A$1:CB$87,Formula!H13,52))+((Formula!K13)/(Formula!C13+Formula!E13+Formula!G13+Formula!I13+Formula!K13))*(INDEX(Properties!A$1:CB$87,Formula!J13,52))</f>
        <v>6.0352527472527475</v>
      </c>
      <c r="EQ13" s="81">
        <f>Formula!C13*(INDEX(Properties!A$1:CB$87,Formula!B13,52))+Formula!E13*(INDEX(Properties!A$1:CB$87,Formula!D13,52))+Formula!G13*(INDEX(Properties!A$1:CB$87,Formula!F13,52))+Formula!I13*(INDEX(Properties!A$1:CB$87,Formula!H13,52))+Formula!K13*(INDEX(Properties!A$1:CB$87,Formula!J13,52))</f>
        <v>549.20799999999997</v>
      </c>
      <c r="ER13" s="81">
        <f>VARP(IF(INDEX(Properties!A$1:CB$87,Formula!B13,52)&lt;&gt;"",INDEX(Properties!A$1:CB$87,Formula!B13,52)),IF(INDEX(Properties!A$1:CB$87,Formula!D13,52)&lt;&gt;"",INDEX(Properties!A$1:CB$87,Formula!D13,52)),IF(INDEX(Properties!A$1:CB$87,Formula!F13,52)&lt;&gt;"",INDEX(Properties!A$1:CB$87,Formula!F13,52)),IF(INDEX(Properties!A$1:CB$87,Formula!H13,52)&lt;&gt;"",INDEX(Properties!A$1:CB$87,Formula!H13,52)),IF(INDEX(Properties!A$1:CB$87,Formula!J13,52)&lt;&gt;"",INDEX(Properties!A$1:CB$87,Formula!J13,52)))</f>
        <v>72.025335840000011</v>
      </c>
      <c r="ES13" s="81">
        <f>MAX(INDEX(Properties!A$1:CB$87,Formula!B13,52),INDEX(Properties!A$1:CB$87,Formula!D13,52),INDEX(Properties!A$1:CB$87,Formula!F13,52),INDEX(Properties!A$1:CB$87,Formula!H13,52),INDEX(Properties!A$1:CB$87,Formula!J13,52))</f>
        <v>22.8</v>
      </c>
      <c r="ET13" s="81">
        <f>MIN(IF(INDEX(Properties!A$1:CB$87,Formula!B13,52)=0,10^6,INDEX(Properties!A$1:CB$87,Formula!B13,52)),IF(INDEX(Properties!A$1:CB$87,Formula!D13,52)=0,10^6,INDEX(Properties!A$1:CB$87,Formula!D13,52)),IF(INDEX(Properties!A$1:CB$87,Formula!F13,52)=0,10^6,INDEX(Properties!A$1:CB$87,Formula!F13,52)),IF(INDEX(Properties!A$1:CB$87,Formula!H13,52)=0,10^6,INDEX(Properties!A$1:CB$87,Formula!H13,52)),IF(INDEX(Properties!A$1:CB$87,Formula!J13,52)=0,10^6,INDEX(Properties!A$1:CB$87,Formula!J13,52)))</f>
        <v>0.79300000000000004</v>
      </c>
      <c r="EU13" s="81">
        <f t="shared" si="24"/>
        <v>22.007000000000001</v>
      </c>
      <c r="EV13" s="39">
        <f>((Formula!C13)/(Formula!C13+Formula!E13+Formula!G13+Formula!I13+Formula!K13))*(INDEX(Properties!A$1:CB$87,Formula!B13,53))+((Formula!E13)/(Formula!C13+Formula!E13+Formula!G13+Formula!I13+Formula!K13))*(INDEX(Properties!A$1:CB$87,Formula!D13,53))+((Formula!G13)/(Formula!C13+Formula!E13+Formula!G13+Formula!I13+Formula!K13))*(INDEX(Properties!A$1:CB$87,Formula!F13,53))+((Formula!I13)/(Formula!C13+Formula!E13+Formula!G13+Formula!I13+Formula!K13))*(INDEX(Properties!A$1:CB$87,Formula!H13,53))+((Formula!K13)/(Formula!C13+Formula!E13+Formula!G13+Formula!I13+Formula!K13))*(INDEX(Properties!A$1:CB$87,Formula!J13,53))</f>
        <v>334.97417582417586</v>
      </c>
      <c r="EW13" s="39">
        <f>Formula!C13*(INDEX(Properties!A$1:CB$87,Formula!B13,53))+Formula!E13*(INDEX(Properties!A$1:CB$87,Formula!D13,53))+Formula!G13*(INDEX(Properties!A$1:CB$87,Formula!F13,53))+Formula!I13*(INDEX(Properties!A$1:CB$87,Formula!H13,53))+Formula!K13*(INDEX(Properties!A$1:CB$87,Formula!J13,53))</f>
        <v>30482.65</v>
      </c>
      <c r="EX13" s="39">
        <f>VARP(IF(INDEX(Properties!A$1:CB$87,Formula!B13,53)&lt;&gt;"",INDEX(Properties!A$1:CB$87,Formula!B13,53)),IF(INDEX(Properties!A$1:CB$87,Formula!D13,53)&lt;&gt;"",INDEX(Properties!A$1:CB$87,Formula!D13,53)),IF(INDEX(Properties!A$1:CB$87,Formula!F13,53)&lt;&gt;"",INDEX(Properties!A$1:CB$87,Formula!F13,53)),IF(INDEX(Properties!A$1:CB$87,Formula!H13,53)&lt;&gt;"",INDEX(Properties!A$1:CB$87,Formula!H13,53)),IF(INDEX(Properties!A$1:CB$87,Formula!J13,53)&lt;&gt;"",INDEX(Properties!A$1:CB$87,Formula!J13,53)))</f>
        <v>206565.48639999999</v>
      </c>
      <c r="EY13" s="39">
        <f>MAX(INDEX(Properties!A$1:CB$87,Formula!B13,53),INDEX(Properties!A$1:CB$87,Formula!D13,53),INDEX(Properties!A$1:CB$87,Formula!F13,53),INDEX(Properties!A$1:CB$87,Formula!H13,53),INDEX(Properties!A$1:CB$87,Formula!J13,53))</f>
        <v>1112.1500000000001</v>
      </c>
      <c r="EZ13" s="39">
        <f>MIN(IF(INDEX(Properties!A$1:CB$87,Formula!B13,53)=0,10^6,INDEX(Properties!A$1:CB$87,Formula!B13,53)),IF(INDEX(Properties!A$1:CB$87,Formula!D13,53)=0,10^6,INDEX(Properties!A$1:CB$87,Formula!D13,53)),IF(INDEX(Properties!A$1:CB$87,Formula!F13,53)=0,10^6,INDEX(Properties!A$1:CB$87,Formula!F13,53)),IF(INDEX(Properties!A$1:CB$87,Formula!H13,53)=0,10^6,INDEX(Properties!A$1:CB$87,Formula!H13,53)),IF(INDEX(Properties!A$1:CB$87,Formula!J13,53)=0,10^6,INDEX(Properties!A$1:CB$87,Formula!J13,53)))</f>
        <v>54.749999999999972</v>
      </c>
      <c r="FA13" s="39">
        <f t="shared" si="25"/>
        <v>1057.4000000000001</v>
      </c>
      <c r="FB13" s="54">
        <f>((Formula!C13)/(Formula!C13+Formula!E13+Formula!G13+Formula!I13+Formula!K13))*(INDEX(Properties!A$1:CB$87,Formula!B13,54))+((Formula!E13)/(Formula!C13+Formula!E13+Formula!G13+Formula!I13+Formula!K13))*(INDEX(Properties!A$1:CB$87,Formula!D13,54))+((Formula!G13)/(Formula!C13+Formula!E13+Formula!G13+Formula!I13+Formula!K13))*(INDEX(Properties!A$1:CB$87,Formula!F13,54))+((Formula!I13)/(Formula!C13+Formula!E13+Formula!G13+Formula!I13+Formula!K13))*(INDEX(Properties!A$1:CB$87,Formula!H13,54))+((Formula!K13)/(Formula!C13+Formula!E13+Formula!G13+Formula!I13+Formula!K13))*(INDEX(Properties!A$1:CB$87,Formula!J13,54))</f>
        <v>537.41373626373627</v>
      </c>
      <c r="FC13" s="54">
        <f>Formula!C13*(INDEX(Properties!A$1:CB$87,Formula!B13,54))+Formula!E13*(INDEX(Properties!A$1:CB$87,Formula!D13,54))+Formula!G13*(INDEX(Properties!A$1:CB$87,Formula!F13,54))+Formula!I13*(INDEX(Properties!A$1:CB$87,Formula!H13,54))+Formula!K13*(INDEX(Properties!A$1:CB$87,Formula!J13,54))</f>
        <v>48904.65</v>
      </c>
      <c r="FD13" s="54">
        <f>VARP(IF(INDEX(Properties!A$1:CB$87,Formula!B13,54)&lt;&gt;"",INDEX(Properties!A$1:CB$87,Formula!B13,54)),IF(INDEX(Properties!A$1:CB$87,Formula!D13,54)&lt;&gt;"",INDEX(Properties!A$1:CB$87,Formula!D13,54)),IF(INDEX(Properties!A$1:CB$87,Formula!F13,54)&lt;&gt;"",INDEX(Properties!A$1:CB$87,Formula!F13,54)),IF(INDEX(Properties!A$1:CB$87,Formula!H13,54)&lt;&gt;"",INDEX(Properties!A$1:CB$87,Formula!H13,54)),IF(INDEX(Properties!A$1:CB$87,Formula!J13,54)&lt;&gt;"",INDEX(Properties!A$1:CB$87,Formula!J13,54)))</f>
        <v>485383.79960000014</v>
      </c>
      <c r="FE13" s="54">
        <f>MAX(INDEX(Properties!A$1:CB$87,Formula!B13,54),INDEX(Properties!A$1:CB$87,Formula!D13,54),INDEX(Properties!A$1:CB$87,Formula!F13,54),INDEX(Properties!A$1:CB$87,Formula!H13,54),INDEX(Properties!A$1:CB$87,Formula!J13,54))</f>
        <v>1757.15</v>
      </c>
      <c r="FF13" s="54">
        <f>MIN(IF(INDEX(Properties!A$1:CB$87,Formula!B13,54)=0,10^6,INDEX(Properties!A$1:CB$87,Formula!B13,54)),IF(INDEX(Properties!A$1:CB$87,Formula!D13,54)=0,10^6,INDEX(Properties!A$1:CB$87,Formula!D13,54)),IF(INDEX(Properties!A$1:CB$87,Formula!F13,54)=0,10^6,INDEX(Properties!A$1:CB$87,Formula!F13,54)),IF(INDEX(Properties!A$1:CB$87,Formula!H13,54)=0,10^6,INDEX(Properties!A$1:CB$87,Formula!H13,54)),IF(INDEX(Properties!A$1:CB$87,Formula!J13,54)=0,10^6,INDEX(Properties!A$1:CB$87,Formula!J13,54)))</f>
        <v>90.149999999999977</v>
      </c>
      <c r="FG13" s="54">
        <f t="shared" si="26"/>
        <v>1667</v>
      </c>
      <c r="FH13" s="69">
        <f>((Formula!C13)/(Formula!C13+Formula!E13+Formula!G13+Formula!I13+Formula!K13))*(INDEX(Properties!A$1:CB$87,Formula!B13,55))+((Formula!E13)/(Formula!C13+Formula!E13+Formula!G13+Formula!I13+Formula!K13))*(INDEX(Properties!A$1:CB$87,Formula!D13,55))+((Formula!G13)/(Formula!C13+Formula!E13+Formula!G13+Formula!I13+Formula!K13))*(INDEX(Properties!A$1:CB$87,Formula!F13,55))+((Formula!I13)/(Formula!C13+Formula!E13+Formula!G13+Formula!I13+Formula!K13))*(INDEX(Properties!A$1:CB$87,Formula!H13,55))+((Formula!K13)/(Formula!C13+Formula!E13+Formula!G13+Formula!I13+Formula!K13))*(INDEX(Properties!A$1:CB$87,Formula!J13,55))</f>
        <v>0.64274813186813184</v>
      </c>
      <c r="FI13" s="69">
        <f>Formula!C13*(INDEX(Properties!A$1:CB$87,Formula!B13,55))+Formula!E13*(INDEX(Properties!A$1:CB$87,Formula!D13,54))+Formula!G13*(INDEX(Properties!A$1:CB$87,Formula!F13,55))+Formula!I13*(INDEX(Properties!A$1:CB$87,Formula!H13,55))+Formula!K13*(INDEX(Properties!A$1:CB$87,Formula!J13,55))</f>
        <v>2781.3100800000002</v>
      </c>
      <c r="FJ13" s="69">
        <f>VARP(IF(INDEX(Properties!A$1:CB$87,Formula!B13,55)&lt;&gt;"",INDEX(Properties!A$1:CB$87,Formula!B13,55)),IF(INDEX(Properties!A$1:CB$87,Formula!D13,55)&lt;&gt;"",INDEX(Properties!A$1:CB$87,Formula!D13,55)),IF(INDEX(Properties!A$1:CB$87,Formula!F13,55)&lt;&gt;"",INDEX(Properties!A$1:CB$87,Formula!F13,55)),IF(INDEX(Properties!A$1:CB$87,Formula!H13,55)&lt;&gt;"",INDEX(Properties!A$1:CB$87,Formula!H13,55)),IF(INDEX(Properties!A$1:CB$87,Formula!J13,55)&lt;&gt;"",INDEX(Properties!A$1:CB$87,Formula!J13,55)))</f>
        <v>0.70343174318399992</v>
      </c>
      <c r="FK13" s="69">
        <f>MAX(INDEX(Properties!A$1:CB$87,Formula!B13,55),INDEX(Properties!A$1:CB$87,Formula!D13,55),INDEX(Properties!A$1:CB$87,Formula!F13,55),INDEX(Properties!A$1:CB$87,Formula!H13,55),INDEX(Properties!A$1:CB$87,Formula!J13,55))</f>
        <v>1.82</v>
      </c>
      <c r="FL13" s="69">
        <f>MIN(IF(INDEX(Properties!A$1:CB$87,Formula!B13,55)=0,10^6,INDEX(Properties!A$1:CB$87,Formula!B13,55)),IF(INDEX(Properties!A$1:CB$87,Formula!D13,55)=0,10^6,INDEX(Properties!A$1:CB$87,Formula!D13,55)),IF(INDEX(Properties!A$1:CB$87,Formula!F13,55)=0,10^6,INDEX(Properties!A$1:CB$87,Formula!F13,55)),IF(INDEX(Properties!A$1:CB$87,Formula!H13,55)=0,10^6,INDEX(Properties!A$1:CB$87,Formula!H13,55)),IF(INDEX(Properties!A$1:CB$87,Formula!J13,55)=0,10^6,INDEX(Properties!A$1:CB$87,Formula!J13,55)))</f>
        <v>1.4300000000000001E-3</v>
      </c>
      <c r="FM13" s="69">
        <f t="shared" si="27"/>
        <v>1.81857</v>
      </c>
      <c r="FN13" s="42">
        <f>((Formula!C13)/(Formula!C13+Formula!E13+Formula!G13+Formula!I13+Formula!K13))*(INDEX(Properties!A$1:CB$87,Formula!B13,56))+((Formula!E13)/(Formula!C13+Formula!E13+Formula!G13+Formula!I13+Formula!K13))*(INDEX(Properties!A$1:CB$87,Formula!D13,56))+((Formula!G13)/(Formula!C13+Formula!E13+Formula!G13+Formula!I13+Formula!K13))*(INDEX(Properties!A$1:CB$87,Formula!F13,56))+((Formula!I13)/(Formula!C13+Formula!E13+Formula!G13+Formula!I13+Formula!K13))*(INDEX(Properties!A$1:CB$87,Formula!H13,56))+((Formula!K13)/(Formula!C13+Formula!E13+Formula!G13+Formula!I13+Formula!K13))*(INDEX(Properties!A$1:CB$87,Formula!J13,56))</f>
        <v>0.83857142857142863</v>
      </c>
      <c r="FO13" s="42">
        <f>Formula!C13*(INDEX(Properties!A$1:CB$87,Formula!B13,56))+Formula!E13*(INDEX(Properties!A$1:CB$87,Formula!D13,56))+Formula!G13*(INDEX(Properties!A$1:CB$87,Formula!F13,56))+Formula!I13*(INDEX(Properties!A$1:CB$87,Formula!H13,56))+Formula!K13*(INDEX(Properties!A$1:CB$87,Formula!J13,56))</f>
        <v>76.31</v>
      </c>
      <c r="FP13" s="42">
        <f>VARP(IF(INDEX(Properties!A$1:CB$87,Formula!B13,56)&lt;&gt;"",INDEX(Properties!A$1:CB$87,Formula!B13,56)),IF(INDEX(Properties!A$1:CB$87,Formula!D13,56)&lt;&gt;"",INDEX(Properties!A$1:CB$87,Formula!D13,56)),IF(INDEX(Properties!A$1:CB$87,Formula!F13,56)&lt;&gt;"",INDEX(Properties!A$1:CB$87,Formula!F13,56)),IF(INDEX(Properties!A$1:CB$87,Formula!H13,56)&lt;&gt;"",INDEX(Properties!A$1:CB$87,Formula!H13,56)),IF(INDEX(Properties!A$1:CB$87,Formula!J13,56)&lt;&gt;"",INDEX(Properties!A$1:CB$87,Formula!J13,56)))</f>
        <v>0.12909599999999999</v>
      </c>
      <c r="FQ13" s="42">
        <f>MAX(INDEX(Properties!A$1:CB$87,Formula!B13,56),INDEX(Properties!A$1:CB$87,Formula!D13,56),INDEX(Properties!A$1:CB$87,Formula!F13,56),INDEX(Properties!A$1:CB$87,Formula!H13,56),INDEX(Properties!A$1:CB$87,Formula!J13,56))</f>
        <v>1.02</v>
      </c>
      <c r="FR13" s="42">
        <f>MIN(IF(INDEX(Properties!A$1:CB$87,Formula!B13,56)=0,10^6,INDEX(Properties!A$1:CB$87,Formula!B13,56)),IF(INDEX(Properties!A$1:CB$87,Formula!D13,56)=0,10^6,INDEX(Properties!A$1:CB$87,Formula!D13,56)),IF(INDEX(Properties!A$1:CB$87,Formula!F13,56)=0,10^6,INDEX(Properties!A$1:CB$87,Formula!F13,56)),IF(INDEX(Properties!A$1:CB$87,Formula!H13,56)=0,10^6,INDEX(Properties!A$1:CB$87,Formula!H13,56)),IF(INDEX(Properties!A$1:CB$87,Formula!J13,56)=0,10^6,INDEX(Properties!A$1:CB$87,Formula!J13,56)))</f>
        <v>0.63</v>
      </c>
      <c r="FS13" s="42">
        <f t="shared" si="28"/>
        <v>0.39</v>
      </c>
      <c r="FT13" s="60">
        <f>((Formula!C13)/(Formula!C13+Formula!E13+Formula!G13+Formula!I13+Formula!K13))*(INDEX(Properties!A$1:CB$87,Formula!B13,57))+((Formula!E13)/(Formula!C13+Formula!E13+Formula!G13+Formula!I13+Formula!K13))*(INDEX(Properties!A$1:CB$87,Formula!D13,57))+((Formula!G13)/(Formula!C13+Formula!E13+Formula!G13+Formula!I13+Formula!K13))*(INDEX(Properties!A$1:CB$87,Formula!F13,57))+((Formula!I13)/(Formula!C13+Formula!E13+Formula!G13+Formula!I13+Formula!K13))*(INDEX(Properties!A$1:CB$87,Formula!H13,57))+((Formula!K13)/(Formula!C13+Formula!E13+Formula!G13+Formula!I13+Formula!K13))*(INDEX(Properties!A$1:CB$87,Formula!J13,57))</f>
        <v>2.2179235164835167</v>
      </c>
      <c r="FU13" s="60">
        <f>Formula!C13*(INDEX(Properties!A$1:CB$87,Formula!B13,57))+Formula!E13*(INDEX(Properties!A$1:CB$87,Formula!D13,57))+Formula!G13*(INDEX(Properties!A$1:CB$87,Formula!F13,57))+Formula!I13*(INDEX(Properties!A$1:CB$87,Formula!H13,57))+Formula!K13*(INDEX(Properties!A$1:CB$87,Formula!J13,57))</f>
        <v>201.83104</v>
      </c>
      <c r="FV13" s="60">
        <f>VARP(IF(INDEX(Properties!A$1:CB$87,Formula!B13,57)&lt;&gt;"",INDEX(Properties!A$1:CB$87,Formula!B13,57)),IF(INDEX(Properties!A$1:CB$87,Formula!D13,57)&lt;&gt;"",INDEX(Properties!A$1:CB$87,Formula!D13,57)),IF(INDEX(Properties!A$1:CB$87,Formula!F13,57)&lt;&gt;"",INDEX(Properties!A$1:CB$87,Formula!F13,57)),IF(INDEX(Properties!A$1:CB$87,Formula!H13,57)&lt;&gt;"",INDEX(Properties!A$1:CB$87,Formula!H13,57)),IF(INDEX(Properties!A$1:CB$87,Formula!J13,57)&lt;&gt;"",INDEX(Properties!A$1:CB$87,Formula!J13,57)))</f>
        <v>17.213829882095993</v>
      </c>
      <c r="FW13" s="60">
        <f>MAX(INDEX(Properties!A$1:CB$87,Formula!B13,57),INDEX(Properties!A$1:CB$87,Formula!D13,57),INDEX(Properties!A$1:CB$87,Formula!F13,57),INDEX(Properties!A$1:CB$87,Formula!H13,57),INDEX(Properties!A$1:CB$87,Formula!J13,57))</f>
        <v>8.9540000000000006</v>
      </c>
      <c r="FX13" s="60">
        <f>MIN(IF(INDEX(Properties!A$1:CB$87,Formula!B13,57)=0,10^6,INDEX(Properties!A$1:CB$87,Formula!B13,57)),IF(INDEX(Properties!A$1:CB$87,Formula!D13,57)=0,10^6,INDEX(Properties!A$1:CB$87,Formula!D13,57)),IF(INDEX(Properties!A$1:CB$87,Formula!F13,57)=0,10^6,INDEX(Properties!A$1:CB$87,Formula!F13,57)),IF(INDEX(Properties!A$1:CB$87,Formula!H13,57)=0,10^6,INDEX(Properties!A$1:CB$87,Formula!H13,57)),IF(INDEX(Properties!A$1:CB$87,Formula!J13,57)=0,10^6,INDEX(Properties!A$1:CB$87,Formula!J13,57)))</f>
        <v>0.22259000000000001</v>
      </c>
      <c r="FY13" s="60">
        <f t="shared" si="29"/>
        <v>8.7314100000000003</v>
      </c>
      <c r="FZ13" s="72">
        <f>((Formula!C13)/(Formula!C13+Formula!E13+Formula!G13+Formula!I13+Formula!K13))*(INDEX(Properties!A$1:CB$87,Formula!B13,60))+((Formula!E13)/(Formula!C13+Formula!E13+Formula!G13+Formula!I13+Formula!K13))*(INDEX(Properties!A$1:CB$87,Formula!D13,60))+((Formula!G13)/(Formula!C13+Formula!E13+Formula!G13+Formula!I13+Formula!K13))*(INDEX(Properties!A$1:CB$87,Formula!F13,60))+((Formula!I13)/(Formula!C13+Formula!E13+Formula!G13+Formula!I13+Formula!K13))*(INDEX(Properties!A$1:CB$87,Formula!H13,60))+((Formula!K13)/(Formula!C13+Formula!E13+Formula!G13+Formula!I13+Formula!K13))*(INDEX(Properties!A$1:CB$87,Formula!J13,60))</f>
        <v>45.239422417582418</v>
      </c>
      <c r="GA13" s="72">
        <f>Formula!C13*(INDEX(Properties!A$1:CB$87,Formula!B13,60))+Formula!E13*(INDEX(Properties!A$1:CB$87,Formula!D13,60))+Formula!G13*(INDEX(Properties!A$1:CB$87,Formula!F13,60))+Formula!I13*(INDEX(Properties!A$1:CB$87,Formula!H13,60))+Formula!K13*(INDEX(Properties!A$1:CB$87,Formula!J13,60))</f>
        <v>4116.7874400000001</v>
      </c>
      <c r="GB13" s="72">
        <f>VARP(IF(INDEX(Properties!A$1:CB$87,Formula!B13,60)&lt;&gt;"",INDEX(Properties!A$1:CB$87,Formula!B13,60)),IF(INDEX(Properties!A$1:CB$87,Formula!D13,60)&lt;&gt;"",INDEX(Properties!A$1:CB$87,Formula!D13,60)),IF(INDEX(Properties!A$1:CB$87,Formula!F13,60)&lt;&gt;"",INDEX(Properties!A$1:CB$87,Formula!F13,60)),IF(INDEX(Properties!A$1:CB$87,Formula!H13,60)&lt;&gt;"",INDEX(Properties!A$1:CB$87,Formula!H13,60)),IF(INDEX(Properties!A$1:CB$87,Formula!J13,60)&lt;&gt;"",INDEX(Properties!A$1:CB$87,Formula!J13,60)))</f>
        <v>7790.3140924924137</v>
      </c>
      <c r="GC13" s="72">
        <f>MAX(INDEX(Properties!A$1:CB$87,Formula!B13,60),INDEX(Properties!A$1:CB$87,Formula!D13,60),INDEX(Properties!A$1:CB$87,Formula!F13,60),INDEX(Properties!A$1:CB$87,Formula!H13,60),INDEX(Properties!A$1:CB$87,Formula!J13,60))</f>
        <v>200</v>
      </c>
      <c r="GD13" s="72">
        <f>MIN(IF(INDEX(Properties!A$1:CB$87,Formula!B13,60)=0,10^6,INDEX(Properties!A$1:CB$87,Formula!B13,60)),IF(INDEX(Properties!A$1:CB$87,Formula!D13,60)=0,10^6,INDEX(Properties!A$1:CB$87,Formula!D13,60)),IF(INDEX(Properties!A$1:CB$87,Formula!F13,60)=0,10^6,INDEX(Properties!A$1:CB$87,Formula!F13,60)),IF(INDEX(Properties!A$1:CB$87,Formula!H13,60)=0,10^6,INDEX(Properties!A$1:CB$87,Formula!H13,60)),IF(INDEX(Properties!A$1:CB$87,Formula!J13,60)=0,10^6,INDEX(Properties!A$1:CB$87,Formula!J13,60)))</f>
        <v>2.674E-2</v>
      </c>
      <c r="GE13" s="72">
        <f t="shared" si="30"/>
        <v>199.97326000000001</v>
      </c>
      <c r="GF13" s="51">
        <f>((Formula!C13)/(Formula!C13+Formula!E13+Formula!G13+Formula!I13+Formula!K13))*(INDEX(Properties!A$1:CB$87,Formula!B13,62))+((Formula!E13)/(Formula!C13+Formula!E13+Formula!G13+Formula!I13+Formula!K13))*(INDEX(Properties!A$1:CB$87,Formula!D13,62))+((Formula!G13)/(Formula!C13+Formula!E13+Formula!G13+Formula!I13+Formula!K13))*(INDEX(Properties!A$1:CB$87,Formula!F13,62))+((Formula!I13)/(Formula!C13+Formula!E13+Formula!G13+Formula!I13+Formula!K13))*(INDEX(Properties!A$1:CB$87,Formula!H13,62))+((Formula!K13)/(Formula!C13+Formula!E13+Formula!G13+Formula!I13+Formula!K13))*(INDEX(Properties!A$1:CB$87,Formula!J13,62))</f>
        <v>2.5573626373626377</v>
      </c>
      <c r="GG13" s="51">
        <f>Formula!C13*(INDEX(Properties!A$1:CB$87,Formula!B13,62))+Formula!E13*(INDEX(Properties!A$1:CB$87,Formula!D13,62))+Formula!G13*(INDEX(Properties!A$1:CB$87,Formula!F13,62))+Formula!I13*(INDEX(Properties!A$1:CB$87,Formula!H13,62))+Formula!K13*(INDEX(Properties!A$1:CB$87,Formula!J13,62))</f>
        <v>232.72</v>
      </c>
      <c r="GH13" s="51">
        <f>VARP(IF(INDEX(Properties!A$1:CB$87,Formula!B13,62)&lt;&gt;"",INDEX(Properties!A$1:CB$87,Formula!B13,62)),IF(INDEX(Properties!A$1:CB$87,Formula!D13,62)&lt;&gt;"",INDEX(Properties!A$1:CB$87,Formula!D13,62)),IF(INDEX(Properties!A$1:CB$87,Formula!F13,62)&lt;&gt;"",INDEX(Properties!A$1:CB$87,Formula!F13,62)),IF(INDEX(Properties!A$1:CB$87,Formula!H13,62)&lt;&gt;"",INDEX(Properties!A$1:CB$87,Formula!H13,62)),IF(INDEX(Properties!A$1:CB$87,Formula!J13,62)&lt;&gt;"",INDEX(Properties!A$1:CB$87,Formula!J13,62)))</f>
        <v>1.3245999999999998</v>
      </c>
      <c r="GI13" s="51">
        <f>MAX(INDEX(Properties!A$1:CB$87,Formula!B13,62),INDEX(Properties!A$1:CB$87,Formula!D13,62),INDEX(Properties!A$1:CB$87,Formula!F13,62),INDEX(Properties!A$1:CB$87,Formula!H13,62),INDEX(Properties!A$1:CB$87,Formula!J13,62))</f>
        <v>3.43</v>
      </c>
      <c r="GJ13" s="51">
        <f>MIN(IF(INDEX(Properties!A$1:CB$87,Formula!B13,62)=0,10^6,INDEX(Properties!A$1:CB$87,Formula!B13,62)),IF(INDEX(Properties!A$1:CB$87,Formula!D13,62)=0,10^6,INDEX(Properties!A$1:CB$87,Formula!D13,62)),IF(INDEX(Properties!A$1:CB$87,Formula!F13,62)=0,10^6,INDEX(Properties!A$1:CB$87,Formula!F13,62)),IF(INDEX(Properties!A$1:CB$87,Formula!H13,62)=0,10^6,INDEX(Properties!A$1:CB$87,Formula!H13,62)),IF(INDEX(Properties!A$1:CB$87,Formula!J13,62)=0,10^6,INDEX(Properties!A$1:CB$87,Formula!J13,62)))</f>
        <v>1.51</v>
      </c>
      <c r="GK13" s="51">
        <f t="shared" si="31"/>
        <v>1.9200000000000002</v>
      </c>
      <c r="GL13" s="51">
        <f>Formula!P13</f>
        <v>161</v>
      </c>
      <c r="GM13" s="57">
        <f>Formula!O13</f>
        <v>5</v>
      </c>
      <c r="GN13" s="51">
        <f>Formula!N13</f>
        <v>0.1</v>
      </c>
    </row>
    <row r="14" spans="1:196" s="5" customFormat="1" x14ac:dyDescent="0.3">
      <c r="A14" s="84" t="str">
        <f>Formula!A14</f>
        <v>Ca19Zn2(PO4)14</v>
      </c>
      <c r="B14" s="89">
        <f>((Formula!C14)/(Formula!C14+Formula!E14+Formula!G14+Formula!I14+Formula!K14))*(INDEX(Properties!A$1:CB$87,Formula!B14,3))+((Formula!E14)/(Formula!C14+Formula!E14+Formula!G14+Formula!I14+Formula!K14))*(INDEX(Properties!A$1:CB$87,Formula!D14,3))+((Formula!G14)/(Formula!C14+Formula!E14+Formula!G14+Formula!I14+Formula!K14))*(INDEX(Properties!A$1:CB$87,Formula!F14,3))+((Formula!I14)/(Formula!C14+Formula!E14+Formula!G14+Formula!I14+Formula!K14))*(INDEX(Properties!A$1:CB$87,Formula!H14,3))+((Formula!K14)/(Formula!C14+Formula!E14+Formula!G14+Formula!I14+Formula!K14))*(INDEX(Properties!A$1:CB$87,Formula!J14,3))</f>
        <v>24.415835912087914</v>
      </c>
      <c r="C14" s="85">
        <f>Formula!C14*(INDEX(Properties!A$1:CB$87,Formula!B14,3))+Formula!E14*(INDEX(Properties!A$1:CB$87,Formula!D14,3))+Formula!G14*(INDEX(Properties!A$1:CB$87,Formula!F14,3))+Formula!I14*(INDEX(Properties!A$1:CB$87,Formula!H14,3))+Formula!K14*(INDEX(Properties!A$1:CB$87,Formula!J14,3))</f>
        <v>2221.8410680000002</v>
      </c>
      <c r="D14" s="85">
        <f>VARP(IF(INDEX(Properties!A$1:CB$87,Formula!B14,3)&lt;&gt;"",INDEX(Properties!A$1:CB$87,Formula!B14,3)),IF(INDEX(Properties!A$1:CB$87,Formula!D14,3)&lt;&gt;"",INDEX(Properties!A$1:CB$87,Formula!D14,3)),IF(INDEX(Properties!A$1:CB$87,Formula!F14,3)&lt;&gt;"",INDEX(Properties!A$1:CB$87,Formula!F14,3)),IF(INDEX(Properties!A$1:CB$87,Formula!H14,3)&lt;&gt;"",INDEX(Properties!A$1:CB$87,Formula!H14,3)),IF(INDEX(Properties!A$1:CB$87,Formula!J14,3)&lt;&gt;"",INDEX(Properties!A$1:CB$87,Formula!J14,3)))</f>
        <v>489.81867741171914</v>
      </c>
      <c r="E14" s="85">
        <f>MAX(INDEX(Properties!A$1:CB$87,Formula!B14,3),INDEX(Properties!A$1:CB$87,Formula!D14,3),INDEX(Properties!A$1:CB$87,Formula!F14,3),INDEX(Properties!A$1:CB$87,Formula!H14,3),INDEX(Properties!A$1:CB$87,Formula!J14,3))</f>
        <v>65.38</v>
      </c>
      <c r="F14" s="85">
        <f>MIN(IF(INDEX(Properties!A$1:CB$87,Formula!B14,3)=0,10^6,INDEX(Properties!A$1:CB$87,Formula!B14,3)),IF(INDEX(Properties!A$1:CB$87,Formula!D14,3)=0,10^6,INDEX(Properties!A$1:CB$87,Formula!D14,3)),IF(INDEX(Properties!A$1:CB$87,Formula!F14,3)=0,10^6,INDEX(Properties!A$1:CB$87,Formula!F14,3)),IF(INDEX(Properties!A$1:CB$87,Formula!H14,3)=0,10^6,INDEX(Properties!A$1:CB$87,Formula!H14,3)),IF(INDEX(Properties!A$1:CB$87,Formula!J14,3)=0,10^6,INDEX(Properties!A$1:CB$87,Formula!J14,3)))</f>
        <v>15.9994</v>
      </c>
      <c r="G14" s="85">
        <f t="shared" si="0"/>
        <v>49.380599999999994</v>
      </c>
      <c r="H14" s="87">
        <f>((Formula!C14)/(Formula!C14+Formula!E14+Formula!G14+Formula!I14+Formula!K14))*(INDEX(Properties!A$1:CB$87,Formula!B14,4))+((Formula!E14)/(Formula!C14+Formula!E14+Formula!G14+Formula!I14+Formula!K14))*(INDEX(Properties!A$1:CB$87,Formula!D14,4))+((Formula!G14)/(Formula!C14+Formula!E14+Formula!G14+Formula!I14+Formula!K14))*(INDEX(Properties!A$1:CB$87,Formula!F14,4))+((Formula!I14)/(Formula!C14+Formula!E14+Formula!G14+Formula!I14+Formula!K14))*(INDEX(Properties!A$1:CB$87,Formula!H14,4))+((Formula!K14)/(Formula!C14+Formula!E14+Formula!G14+Formula!I14+Formula!K14))*(INDEX(Properties!A$1:CB$87,Formula!J14,4))</f>
        <v>12.065934065934067</v>
      </c>
      <c r="I14" s="87">
        <f>Formula!C14*(INDEX(Properties!A$1:CB$87,Formula!B14,4))+Formula!E14*(INDEX(Properties!A$1:CB$87,Formula!D14,4))+Formula!G14*(INDEX(Properties!A$1:CB$87,Formula!F14,4))+Formula!I14*(INDEX(Properties!A$1:CB$87,Formula!H14,4))+Formula!K14*(INDEX(Properties!A$1:CB$87,Formula!J14,4))</f>
        <v>1098</v>
      </c>
      <c r="J14" s="87">
        <f>VARP(IF(INDEX(Properties!A$1:CB$87,Formula!B14,4)&lt;&gt;"",INDEX(Properties!A$1:CB$87,Formula!B14,4)),IF(INDEX(Properties!A$1:CB$87,Formula!D14,4)&lt;&gt;"",INDEX(Properties!A$1:CB$87,Formula!D14,4)),IF(INDEX(Properties!A$1:CB$87,Formula!F14,4)&lt;&gt;"",INDEX(Properties!A$1:CB$87,Formula!F14,4)),IF(INDEX(Properties!A$1:CB$87,Formula!H14,4)&lt;&gt;"",INDEX(Properties!A$1:CB$87,Formula!H14,4)),IF(INDEX(Properties!A$1:CB$87,Formula!J14,4)&lt;&gt;"",INDEX(Properties!A$1:CB$87,Formula!J14,4)))</f>
        <v>104.64</v>
      </c>
      <c r="K14" s="87">
        <f>MAX(INDEX(Properties!A$1:CB$87,Formula!B14,4),INDEX(Properties!A$1:CB$87,Formula!D14,4),INDEX(Properties!A$1:CB$87,Formula!F14,4),INDEX(Properties!A$1:CB$87,Formula!H14,4),INDEX(Properties!A$1:CB$87,Formula!J14,4))</f>
        <v>30</v>
      </c>
      <c r="L14" s="87">
        <f>MIN(IF(INDEX(Properties!A$1:CB$87,Formula!B14,4)=0,10^6,INDEX(Properties!A$1:CB$87,Formula!B14,4)),IF(INDEX(Properties!A$1:CB$87,Formula!D14,4)=0,10^6,INDEX(Properties!A$1:CB$87,Formula!D14,4)),IF(INDEX(Properties!A$1:CB$87,Formula!F14,4)=0,10^6,INDEX(Properties!A$1:CB$87,Formula!F14,4)),IF(INDEX(Properties!A$1:CB$87,Formula!H14,4)=0,10^6,INDEX(Properties!A$1:CB$87,Formula!H14,4)),IF(INDEX(Properties!A$1:CB$87,Formula!J14,4)=0,10^6,INDEX(Properties!A$1:CB$87,Formula!J14,4)))</f>
        <v>8</v>
      </c>
      <c r="M14" s="87">
        <f t="shared" si="1"/>
        <v>22</v>
      </c>
      <c r="N14" s="89">
        <f>((Formula!C14)/(Formula!C14+Formula!E14+Formula!G14+Formula!I14+Formula!K14))*(INDEX(Properties!A$1:CB$87,Formula!B14,5))+((Formula!E14)/(Formula!C14+Formula!E14+Formula!G14+Formula!I14+Formula!K14))*(INDEX(Properties!A$1:CB$87,Formula!D14,5))+((Formula!G14)/(Formula!C14+Formula!E14+Formula!G14+Formula!I14+Formula!K14))*(INDEX(Properties!A$1:CB$87,Formula!F14,5))+((Formula!I14)/(Formula!C14+Formula!E14+Formula!G14+Formula!I14+Formula!K14))*(INDEX(Properties!A$1:CB$87,Formula!H14,5))+((Formula!K14)/(Formula!C14+Formula!E14+Formula!G14+Formula!I14+Formula!K14))*(INDEX(Properties!A$1:CB$87,Formula!J14,5))</f>
        <v>2.6153846153846154</v>
      </c>
      <c r="O14" s="89">
        <f>Formula!C14*(INDEX(Properties!A$1:CB$87,Formula!B14,5))+Formula!E14*(INDEX(Properties!A$1:CB$87,Formula!D14,5))+Formula!G14*(INDEX(Properties!A$1:CB$87,Formula!F14,5))+Formula!I14*(INDEX(Properties!A$1:CB$87,Formula!H14,5))+Formula!K14*(INDEX(Properties!A$1:CB$87,Formula!J14,5))</f>
        <v>238</v>
      </c>
      <c r="P14" s="89">
        <f>VARP(IF(INDEX(Properties!A$1:CB$87,Formula!B14,5)&lt;&gt;"",INDEX(Properties!A$1:CB$87,Formula!B14,5)),IF(INDEX(Properties!A$1:CB$87,Formula!D14,5)&lt;&gt;"",INDEX(Properties!A$1:CB$87,Formula!D14,5)),IF(INDEX(Properties!A$1:CB$87,Formula!F14,5)&lt;&gt;"",INDEX(Properties!A$1:CB$87,Formula!F14,5)),IF(INDEX(Properties!A$1:CB$87,Formula!H14,5)&lt;&gt;"",INDEX(Properties!A$1:CB$87,Formula!H14,5)),IF(INDEX(Properties!A$1:CB$87,Formula!J14,5)&lt;&gt;"",INDEX(Properties!A$1:CB$87,Formula!J14,5)))</f>
        <v>2.2400000000000002</v>
      </c>
      <c r="Q14" s="89">
        <f>MAX(INDEX(Properties!A$1:CB$87,Formula!B14,5),INDEX(Properties!A$1:CB$87,Formula!D14,5),INDEX(Properties!A$1:CB$87,Formula!F14,5),INDEX(Properties!A$1:CB$87,Formula!H14,5),INDEX(Properties!A$1:CB$87,Formula!J14,5))</f>
        <v>4</v>
      </c>
      <c r="R14" s="89">
        <f>MIN(IF(INDEX(Properties!A$1:CB$87,Formula!B14,5)=0,10^6,INDEX(Properties!A$1:CB$87,Formula!B14,5)),IF(INDEX(Properties!A$1:CB$87,Formula!D14,5)=0,10^6,INDEX(Properties!A$1:CB$87,Formula!D14,5)),IF(INDEX(Properties!A$1:CB$87,Formula!F14,5)=0,10^6,INDEX(Properties!A$1:CB$87,Formula!F14,5)),IF(INDEX(Properties!A$1:CB$87,Formula!H14,5)=0,10^6,INDEX(Properties!A$1:CB$87,Formula!H14,5)),IF(INDEX(Properties!A$1:CB$87,Formula!J14,5)=0,10^6,INDEX(Properties!A$1:CB$87,Formula!J14,5)))</f>
        <v>2</v>
      </c>
      <c r="S14" s="89">
        <f t="shared" si="2"/>
        <v>2</v>
      </c>
      <c r="T14" s="60">
        <f>((Formula!C14)/(Formula!C14+Formula!E14+Formula!G14+Formula!I14+Formula!K14))*(INDEX(Properties!A$1:CB$87,Formula!B14,6))+((Formula!E14)/(Formula!C14+Formula!E14+Formula!G14+Formula!I14+Formula!K14))*(INDEX(Properties!A$1:CB$87,Formula!D14,6))+((Formula!G14)/(Formula!C14+Formula!E14+Formula!G14+Formula!I14+Formula!K14))*(INDEX(Properties!A$1:CB$87,Formula!F14,6))+((Formula!I14)/(Formula!C14+Formula!E14+Formula!G14+Formula!I14+Formula!K14))*(INDEX(Properties!A$1:CB$87,Formula!H14,6))+((Formula!K14)/(Formula!C14+Formula!E14+Formula!G14+Formula!I14+Formula!K14))*(INDEX(Properties!A$1:CB$87,Formula!J14,6))</f>
        <v>12.835164835164836</v>
      </c>
      <c r="U14" s="60">
        <f>Formula!C14*(INDEX(Properties!A$1:CB$87,Formula!B14,6))+Formula!E14*(INDEX(Properties!A$1:CB$87,Formula!D14,6))+Formula!G14*(INDEX(Properties!A$1:CB$87,Formula!F14,6))+Formula!I14*(INDEX(Properties!A$1:CB$87,Formula!H14,6))+Formula!K14*(INDEX(Properties!A$1:CB$87,Formula!J14,6))</f>
        <v>1168</v>
      </c>
      <c r="V14" s="89">
        <f>VARP(IF(INDEX(Properties!A$1:CB$87,Formula!B14,6)&lt;&gt;"",INDEX(Properties!A$1:CB$87,Formula!B14,6)),IF(INDEX(Properties!A$1:CB$87,Formula!D14,6)&lt;&gt;"",INDEX(Properties!A$1:CB$87,Formula!D14,6)),IF(INDEX(Properties!A$1:CB$87,Formula!F14,6)&lt;&gt;"",INDEX(Properties!A$1:CB$87,Formula!F14,6)),IF(INDEX(Properties!A$1:CB$87,Formula!H14,6)&lt;&gt;"",INDEX(Properties!A$1:CB$87,Formula!H14,6)),IF(INDEX(Properties!A$1:CB$87,Formula!J14,6)&lt;&gt;"",INDEX(Properties!A$1:CB$87,Formula!J14,6)))</f>
        <v>44.8</v>
      </c>
      <c r="W14" s="60">
        <f>MAX(INDEX(Properties!A$1:CB$87,Formula!B14,6),INDEX(Properties!A$1:CB$87,Formula!D14,6),INDEX(Properties!A$1:CB$87,Formula!F14,6),INDEX(Properties!A$1:CB$87,Formula!H14,4),INDEX(Properties!A$1:CB$87,Formula!J14,6))</f>
        <v>15</v>
      </c>
      <c r="X14" s="60">
        <f>MIN(IF(INDEX(Properties!A$1:CB$87,Formula!B14,6)=0,10^6,INDEX(Properties!A$1:CB$87,Formula!B14,6)),IF(INDEX(Properties!A$1:CB$87,Formula!D14,6)=0,10^6,INDEX(Properties!A$1:CB$87,Formula!D14,6)),IF(INDEX(Properties!A$1:CB$87,Formula!F14,6)=0,10^6,INDEX(Properties!A$1:CB$87,Formula!F14,6)),IF(INDEX(Properties!A$1:CB$87,Formula!H14,6)=0,10^6,INDEX(Properties!A$1:CB$87,Formula!H14,6)),IF(INDEX(Properties!A$1:CB$87,Formula!J14,6)=0,10^6,INDEX(Properties!A$1:CB$87,Formula!J14,6)))</f>
        <v>2</v>
      </c>
      <c r="Y14" s="60">
        <f t="shared" si="3"/>
        <v>13</v>
      </c>
      <c r="Z14" s="72">
        <f>((Formula!C14)/(Formula!C14+Formula!E14+Formula!G14+Formula!I14+Formula!K14))*(INDEX(Properties!A$1:CB$87,Formula!B14,9))+((Formula!E14)/(Formula!C14+Formula!E14+Formula!G14+Formula!I14+Formula!K14))*(INDEX(Properties!A$1:CB$87,Formula!D14,9))+((Formula!G14)/(Formula!C14+Formula!E14+Formula!G14+Formula!I14+Formula!K14))*(INDEX(Properties!A$1:CB$87,Formula!F14,9))+((Formula!I14)/(Formula!C14+Formula!E14+Formula!G14+Formula!I14+Formula!K14))*(INDEX(Properties!A$1:CB$87,Formula!H14,9))+((Formula!K14)/(Formula!C14+Formula!E14+Formula!G14+Formula!I14+Formula!K14))*(INDEX(Properties!A$1:CB$87,Formula!J14,9))</f>
        <v>69.285714285714292</v>
      </c>
      <c r="AA14" s="72">
        <f>Formula!C14*(INDEX(Properties!A$1:CB$87,Formula!B14,9))+Formula!E14*(INDEX(Properties!A$1:CB$87,Formula!D14,9))+Formula!G14*(INDEX(Properties!A$1:CB$87,Formula!F14,9))+Formula!I14*(INDEX(Properties!A$1:CB$87,Formula!H14,9))+Formula!K14*(INDEX(Properties!A$1:CB$87,Formula!J14,9))</f>
        <v>6305</v>
      </c>
      <c r="AB14" s="72">
        <f>VARP(IF(INDEX(Properties!A$1:CB$87,Formula!B14,9)&lt;&gt;"",INDEX(Properties!A$1:CB$87,Formula!B14,9)),IF(INDEX(Properties!A$1:CB$87,Formula!D14,9)&lt;&gt;"",INDEX(Properties!A$1:CB$87,Formula!D14,9)),IF(INDEX(Properties!A$1:CB$87,Formula!F14,9)&lt;&gt;"",INDEX(Properties!A$1:CB$87,Formula!F14,9)),IF(INDEX(Properties!A$1:CB$87,Formula!H14,9)&lt;&gt;"",INDEX(Properties!A$1:CB$87,Formula!H14,9)),IF(INDEX(Properties!A$1:CB$87,Formula!J14,9)&lt;&gt;"",INDEX(Properties!A$1:CB$87,Formula!J14,9)))</f>
        <v>1432.96</v>
      </c>
      <c r="AC14" s="72">
        <f>MAX(INDEX(Properties!A$1:CB$87,Formula!B14,9),INDEX(Properties!A$1:CB$87,Formula!D14,9),INDEX(Properties!A$1:CB$87,Formula!F14,9),INDEX(Properties!A$1:CB$87,Formula!H14,9),INDEX(Properties!A$1:CB$87,Formula!J14,9))</f>
        <v>87</v>
      </c>
      <c r="AD14" s="72">
        <f>MIN(IF(INDEX(Properties!A$1:CB$87,Formula!B14,9)=0,10^6,INDEX(Properties!A$1:CB$87,Formula!B14,9)),IF(INDEX(Properties!A$1:CB$87,Formula!D14,9)=0,10^6,INDEX(Properties!A$1:CB$87,Formula!D14,9)),IF(INDEX(Properties!A$1:CB$87,Formula!F14,9)=0,10^6,INDEX(Properties!A$1:CB$87,Formula!F14,9)),IF(INDEX(Properties!A$1:CB$87,Formula!H14,9)=0,10^6,INDEX(Properties!A$1:CB$87,Formula!H14,9)),IF(INDEX(Properties!A$1:CB$87,Formula!J14,9)=0,10^6,INDEX(Properties!A$1:CB$87,Formula!J14,9)))</f>
        <v>7</v>
      </c>
      <c r="AE14" s="72">
        <f t="shared" si="4"/>
        <v>80</v>
      </c>
      <c r="AF14" s="51">
        <f>((Formula!C14)/(Formula!C14+Formula!E14+Formula!G14+Formula!I14+Formula!K14))*(INDEX(Properties!A$1:CB$87,Formula!B14,10))+((Formula!E14)/(Formula!C14+Formula!E14+Formula!G14+Formula!I14+Formula!K14))*(INDEX(Properties!A$1:CB$87,Formula!D14,10))+((Formula!G14)/(Formula!C14+Formula!E14+Formula!G14+Formula!I14+Formula!K14))*(INDEX(Properties!A$1:CB$87,Formula!F14,10))+((Formula!I14)/(Formula!C14+Formula!E14+Formula!G14+Formula!I14+Formula!K14))*(INDEX(Properties!A$1:CB$87,Formula!H14,10))+((Formula!K14)/(Formula!C14+Formula!E14+Formula!G14+Formula!I14+Formula!K14))*(INDEX(Properties!A$1:CB$87,Formula!J14,10))</f>
        <v>5.8901098901098905</v>
      </c>
      <c r="AG14" s="51">
        <f>Formula!C14*(INDEX(Properties!A$1:CB$87,Formula!B14,10))+Formula!E14*(INDEX(Properties!A$1:CB$87,Formula!D14,10))+Formula!G14*(INDEX(Properties!A$1:CB$87,Formula!F14,10))+Formula!I14*(INDEX(Properties!A$1:CB$87,Formula!H14,10))+Formula!K14*(INDEX(Properties!A$1:CB$87,Formula!J14,10))</f>
        <v>536</v>
      </c>
      <c r="AH14" s="51">
        <f>VARP(IF(INDEX(Properties!A$1:CB$87,Formula!B14,10)&lt;&gt;"",INDEX(Properties!A$1:CB$87,Formula!B14,10)),IF(INDEX(Properties!A$1:CB$87,Formula!D14,10)&lt;&gt;"",INDEX(Properties!A$1:CB$87,Formula!D14,10)),IF(INDEX(Properties!A$1:CB$87,Formula!F14,10)&lt;&gt;"",INDEX(Properties!A$1:CB$87,Formula!F14,10)),IF(INDEX(Properties!A$1:CB$87,Formula!H14,10)&lt;&gt;"",INDEX(Properties!A$1:CB$87,Formula!H14,10)),IF(INDEX(Properties!A$1:CB$87,Formula!J14,10)&lt;&gt;"",INDEX(Properties!A$1:CB$87,Formula!J14,10)))</f>
        <v>7.6</v>
      </c>
      <c r="AI14" s="51">
        <f>MAX(INDEX(Properties!A$1:CB$87,Formula!B14,10),INDEX(Properties!A$1:CB$87,Formula!D14,10),INDEX(Properties!A$1:CB$87,Formula!F14,10),INDEX(Properties!A$1:CB$87,Formula!H14,10),INDEX(Properties!A$1:CB$87,Formula!J14,10))</f>
        <v>7</v>
      </c>
      <c r="AJ14" s="51">
        <f>MIN(IF(INDEX(Properties!A$1:CB$87,Formula!B14,10)=0,10^6,INDEX(Properties!A$1:CB$87,Formula!B14,10)),IF(INDEX(Properties!A$1:CB$87,Formula!D14,10)=0,10^6,INDEX(Properties!A$1:CB$87,Formula!D14,10)),IF(INDEX(Properties!A$1:CB$87,Formula!F14,10)=0,10^6,INDEX(Properties!A$1:CB$87,Formula!F14,10)),IF(INDEX(Properties!A$1:CB$87,Formula!H14,10)=0,10^6,INDEX(Properties!A$1:CB$87,Formula!H14,10)),IF(INDEX(Properties!A$1:CB$87,Formula!J14,10)=0,10^6,INDEX(Properties!A$1:CB$87,Formula!J14,10)))</f>
        <v>2</v>
      </c>
      <c r="AK14" s="51">
        <f t="shared" si="5"/>
        <v>5</v>
      </c>
      <c r="AL14" s="57">
        <f>((Formula!C14)/(Formula!C14+Formula!E14+Formula!G14+Formula!I14+Formula!K14))*(INDEX(Properties!A$1:CB$87,Formula!B14,11))+((Formula!E14)/(Formula!C14+Formula!E14+Formula!G14+Formula!I14+Formula!K14))*(INDEX(Properties!A$1:CB$87,Formula!D14,11))+((Formula!G14)/(Formula!C14+Formula!E14+Formula!G14+Formula!I14+Formula!K14))*(INDEX(Properties!A$1:CB$87,Formula!F14,11))+((Formula!I14)/(Formula!C14+Formula!E14+Formula!G14+Formula!I14+Formula!K14))*(INDEX(Properties!A$1:CB$87,Formula!H14,11))+((Formula!K14)/(Formula!C14+Formula!E14+Formula!G14+Formula!I14+Formula!K14))*(INDEX(Properties!A$1:CB$87,Formula!J14,11))</f>
        <v>2</v>
      </c>
      <c r="AM14" s="57">
        <f>Formula!C14*(INDEX(Properties!A$1:CB$87,Formula!B14,11))+Formula!E14*(INDEX(Properties!A$1:CB$87,Formula!D14,11))+Formula!G14*(INDEX(Properties!A$1:CB$87,Formula!F14,11))+Formula!I14*(INDEX(Properties!A$1:CB$87,Formula!H14,11))+Formula!K14*(INDEX(Properties!A$1:CB$87,Formula!J14,11))</f>
        <v>182</v>
      </c>
      <c r="AN14" s="57">
        <f>VARP(IF(INDEX(Properties!A$1:CB$87,Formula!B14,11)&lt;&gt;"",INDEX(Properties!A$1:CB$87,Formula!B14,11)),IF(INDEX(Properties!A$1:CB$87,Formula!D14,11)&lt;&gt;"",INDEX(Properties!A$1:CB$87,Formula!D14,11)),IF(INDEX(Properties!A$1:CB$87,Formula!F14,11)&lt;&gt;"",INDEX(Properties!A$1:CB$87,Formula!F14,11)),IF(INDEX(Properties!A$1:CB$87,Formula!H14,11)&lt;&gt;"",INDEX(Properties!A$1:CB$87,Formula!H14,11)),IF(INDEX(Properties!A$1:CB$87,Formula!J14,11)&lt;&gt;"",INDEX(Properties!A$1:CB$87,Formula!J14,11)))</f>
        <v>0.64</v>
      </c>
      <c r="AO14" s="57">
        <f>MAX(INDEX(Properties!A$1:CB$87,Formula!B14,11),INDEX(Properties!A$1:CB$87,Formula!D14,11),INDEX(Properties!A$1:CB$87,Formula!F14,11),INDEX(Properties!A$1:CB$87,Formula!H14,11),INDEX(Properties!A$1:CB$87,Formula!J14,11))</f>
        <v>2</v>
      </c>
      <c r="AP14" s="57">
        <f>MIN(IF(Formula!B14=87,10^6,INDEX(Properties!A$1:CB$87,Formula!B14,11)),IF((Formula!D14)=87,10^6,INDEX(Properties!A$1:CB$87,Formula!D14,11)),IF((Formula!F14)=87,10^6,INDEX(Properties!A$1:CB$87,Formula!F14,11)),IF((Formula!H14)=87,10^6,INDEX(Properties!A$1:CB$87,Formula!H14,11)),IF(Formula!J14=87,10^6,INDEX(Properties!A$1:CB$87,Formula!J14,11)))</f>
        <v>2</v>
      </c>
      <c r="AQ14" s="57">
        <f t="shared" si="6"/>
        <v>0</v>
      </c>
      <c r="AR14" s="78">
        <f>((Formula!C14)/(Formula!C14+Formula!E14+Formula!G14+Formula!I14+Formula!K14))*(INDEX(Properties!A$1:CB$87,Formula!B14,12))+((Formula!E14)/(Formula!C14+Formula!E14+Formula!G14+Formula!I14+Formula!K14))*(INDEX(Properties!A$1:CB$87,Formula!D14,12))+((Formula!G14)/(Formula!C14+Formula!E14+Formula!G14+Formula!I14+Formula!K14))*(INDEX(Properties!A$1:CB$87,Formula!F14,12))+((Formula!I14)/(Formula!C14+Formula!E14+Formula!G14+Formula!I14+Formula!K14))*(INDEX(Properties!A$1:CB$87,Formula!H14,12))+((Formula!K14)/(Formula!C14+Formula!E14+Formula!G14+Formula!I14+Formula!K14))*(INDEX(Properties!A$1:CB$87,Formula!J14,12))</f>
        <v>2.9230769230769234</v>
      </c>
      <c r="AS14" s="78">
        <f>Formula!C14*(INDEX(Properties!A$1:CB$87,Formula!B14,12))+Formula!E14*(INDEX(Properties!A$1:CB$87,Formula!D14,12))+Formula!G14*(INDEX(Properties!A$1:CB$87,Formula!F14,12))+Formula!I14*(INDEX(Properties!A$1:CB$87,Formula!H14,12))+Formula!K14*(INDEX(Properties!A$1:CB$87,Formula!J14,12))</f>
        <v>266</v>
      </c>
      <c r="AT14" s="78">
        <f>VARP(IF(INDEX(Properties!A$1:CB$87,Formula!B14,12)&lt;&gt;"",INDEX(Properties!A$1:CB$87,Formula!B14,12)),IF(INDEX(Properties!A$1:CB$87,Formula!D14,12)&lt;&gt;"",INDEX(Properties!A$1:CB$87,Formula!D14,12)),IF(INDEX(Properties!A$1:CB$87,Formula!F14,12)&lt;&gt;"",INDEX(Properties!A$1:CB$87,Formula!F14,12)),IF(INDEX(Properties!A$1:CB$87,Formula!H14,12)&lt;&gt;"",INDEX(Properties!A$1:CB$87,Formula!H14,12)),IF(INDEX(Properties!A$1:CB$87,Formula!J14,12)&lt;&gt;"",INDEX(Properties!A$1:CB$87,Formula!J14,12)))</f>
        <v>3.04</v>
      </c>
      <c r="AU14" s="78">
        <f>MAX(INDEX(Properties!A$1:CB$87,Formula!B14,12),INDEX(Properties!A$1:CB$87,Formula!D14,12),INDEX(Properties!A$1:CB$87,Formula!F14,12),INDEX(Properties!A$1:CB$87,Formula!H14,12),INDEX(Properties!A$1:CB$87,Formula!J14,12))</f>
        <v>4</v>
      </c>
      <c r="AV14" s="78">
        <f>MIN(IF(Formula!B14=87,10^6,INDEX(Properties!A$1:CB$87,Formula!B14,12)),IF((Formula!D14)=87,10^6,INDEX(Properties!A$1:CB$87,Formula!D14,12)),IF((Formula!F14)=87,10^6,INDEX(Properties!A$1:CB$87,Formula!F14,12)),IF((Formula!H14)=87,10^6,INDEX(Properties!A$1:CB$87,Formula!H14,12)),IF(Formula!J14=87,10^6,INDEX(Properties!A$1:CB$87,Formula!J14,12)))</f>
        <v>0</v>
      </c>
      <c r="AW14" s="78">
        <f t="shared" si="7"/>
        <v>4</v>
      </c>
      <c r="AX14" s="45">
        <f>((Formula!C14)/(Formula!C14+Formula!E14+Formula!G14+Formula!I14+Formula!K14))*(INDEX(Properties!A$1:CB$87,Formula!B14,13))+((Formula!E14)/(Formula!C14+Formula!E14+Formula!G14+Formula!I14+Formula!K14))*(INDEX(Properties!A$1:CB$87,Formula!D14,13))+((Formula!G14)/(Formula!C14+Formula!E14+Formula!G14+Formula!I14+Formula!K14))*(INDEX(Properties!A$1:CB$87,Formula!F14,13))+((Formula!I14)/(Formula!C14+Formula!E14+Formula!G14+Formula!I14+Formula!K14))*(INDEX(Properties!A$1:CB$87,Formula!H14,13))+((Formula!K14)/(Formula!C14+Formula!E14+Formula!G14+Formula!I14+Formula!K14))*(INDEX(Properties!A$1:CB$87,Formula!J14,13))</f>
        <v>0.2197802197802198</v>
      </c>
      <c r="AY14" s="45">
        <f>Formula!C14*(INDEX(Properties!A$1:CB$87,Formula!B14,13))+Formula!E14*(INDEX(Properties!A$1:CB$87,Formula!D14,13))+Formula!G14*(INDEX(Properties!A$1:CB$87,Formula!F14,13))+Formula!I14*(INDEX(Properties!A$1:CB$87,Formula!H14,13))+Formula!K14*(INDEX(Properties!A$1:CB$87,Formula!J14,13))</f>
        <v>20</v>
      </c>
      <c r="AZ14" s="45">
        <f>VARP(IF(INDEX(Properties!A$1:CB$87,Formula!B14,13)&lt;&gt;"",INDEX(Properties!A$1:CB$87,Formula!B14,13)),IF(INDEX(Properties!A$1:CB$87,Formula!D14,13)&lt;&gt;"",INDEX(Properties!A$1:CB$87,Formula!D14,13)),IF(INDEX(Properties!A$1:CB$87,Formula!F14,13)&lt;&gt;"",INDEX(Properties!A$1:CB$87,Formula!F14,13)),IF(INDEX(Properties!A$1:CB$87,Formula!H14,13)&lt;&gt;"",INDEX(Properties!A$1:CB$87,Formula!H14,13)),IF(INDEX(Properties!A$1:CB$87,Formula!J14,13)&lt;&gt;"",INDEX(Properties!A$1:CB$87,Formula!J14,13)))</f>
        <v>16</v>
      </c>
      <c r="BA14" s="45">
        <f>MAX(INDEX(Properties!A$1:CB$87,Formula!B14,13),INDEX(Properties!A$1:CB$87,Formula!D14,13),INDEX(Properties!A$1:CB$87,Formula!F14,13),INDEX(Properties!A$1:CB$87,Formula!H14,13),INDEX(Properties!A$1:CB$87,Formula!J14,13))</f>
        <v>10</v>
      </c>
      <c r="BB14" s="45">
        <f>MIN(IF(Formula!B14=87,10^6,INDEX(Properties!A$1:CB$87,Formula!B14,13)),IF((Formula!D14)=87,10^6,INDEX(Properties!A$1:CB$87,Formula!D14,13)),IF((Formula!F14)=87,10^6,INDEX(Properties!A$1:CB$87,Formula!F14,13)),IF((Formula!H14)=87,10^6,INDEX(Properties!A$1:CB$87,Formula!H14,13)),IF(Formula!J14=87,10^6,INDEX(Properties!A$1:CB$87,Formula!J14,13)))</f>
        <v>0</v>
      </c>
      <c r="BC14" s="45">
        <f t="shared" si="8"/>
        <v>10</v>
      </c>
      <c r="BD14" s="63">
        <f>((Formula!C14)/(Formula!C14+Formula!E14+Formula!G14+Formula!I14+Formula!K14))*(INDEX(Properties!A$1:CB$87,Formula!B14,14))+((Formula!E14)/(Formula!C14+Formula!E14+Formula!G14+Formula!I14+Formula!K14))*(INDEX(Properties!A$1:CB$87,Formula!D14,14))+((Formula!G14)/(Formula!C14+Formula!E14+Formula!G14+Formula!I14+Formula!K14))*(INDEX(Properties!A$1:CB$87,Formula!F14,14))+((Formula!I14)/(Formula!C14+Formula!E14+Formula!G14+Formula!I14+Formula!K14))*(INDEX(Properties!A$1:CB$87,Formula!H14,14))+((Formula!K14)/(Formula!C14+Formula!E14+Formula!G14+Formula!I14+Formula!K14))*(INDEX(Properties!A$1:CB$87,Formula!J14,14))</f>
        <v>0</v>
      </c>
      <c r="BE14" s="63">
        <f>Formula!C14*(INDEX(Properties!A$1:CB$87,Formula!B14,14))+Formula!E14*(INDEX(Properties!A$1:CB$87,Formula!D14,14))+Formula!G14*(INDEX(Properties!A$1:CB$87,Formula!F14,14))+Formula!I14*(INDEX(Properties!A$1:CB$87,Formula!H14,14))+Formula!K14*(INDEX(Properties!A$1:CB$87,Formula!J14,14))</f>
        <v>0</v>
      </c>
      <c r="BF14" s="63">
        <f>VARP(IF(INDEX(Properties!A$1:CB$87,Formula!B14,14)&lt;&gt;"",INDEX(Properties!A$1:CB$87,Formula!B14,14)),IF(INDEX(Properties!A$1:CB$87,Formula!D14,14)&lt;&gt;"",INDEX(Properties!A$1:CB$87,Formula!D14,14)),IF(INDEX(Properties!A$1:CB$87,Formula!F14,14)&lt;&gt;"",INDEX(Properties!A$1:CB$87,Formula!F14,14)),IF(INDEX(Properties!A$1:CB$87,Formula!H14,14)&lt;&gt;"",INDEX(Properties!A$1:CB$87,Formula!H14,14)),IF(INDEX(Properties!A$1:CB$87,Formula!J14,14)&lt;&gt;"",INDEX(Properties!A$1:CB$87,Formula!J14,14)))</f>
        <v>0</v>
      </c>
      <c r="BG14" s="63">
        <f>MAX(INDEX(Properties!A$1:CB$87,Formula!B14,14),INDEX(Properties!A$1:CB$87,Formula!D14,14),INDEX(Properties!A$1:CB$87,Formula!F14,14),INDEX(Properties!A$1:CB$87,Formula!H14,14),INDEX(Properties!A$1:CB$87,Formula!J14,14))</f>
        <v>0</v>
      </c>
      <c r="BH14" s="63">
        <f>MIN(IF(Formula!B14=87,10^6,INDEX(Properties!A$1:CB$87,Formula!B14,14)),IF((Formula!D14)=87,10^6,INDEX(Properties!A$1:CB$87,Formula!D14,14)),IF((Formula!F14)=87,10^6,INDEX(Properties!A$1:CB$87,Formula!F14,14)),IF((Formula!H14)=87,10^6,INDEX(Properties!A$1:CB$87,Formula!H14,14)),IF(Formula!J14=87,10^6,INDEX(Properties!A$1:CB$87,Formula!J14,14)))</f>
        <v>0</v>
      </c>
      <c r="BI14" s="63">
        <f t="shared" si="9"/>
        <v>0</v>
      </c>
      <c r="BJ14" s="75">
        <f>((Formula!C14)/(Formula!C14+Formula!E14+Formula!G14+Formula!I14+Formula!K14))*(INDEX(Properties!A$1:CB$87,Formula!B14,19))+((Formula!E14)/(Formula!C14+Formula!E14+Formula!G14+Formula!I14+Formula!K14))*(INDEX(Properties!A$1:CB$87,Formula!D14,19))+((Formula!G14)/(Formula!C14+Formula!E14+Formula!G14+Formula!I14+Formula!K14))*(INDEX(Properties!A$1:CB$87,Formula!F14,19))+((Formula!I14)/(Formula!C14+Formula!E14+Formula!G14+Formula!I14+Formula!K14))*(INDEX(Properties!A$1:CB$87,Formula!H14,19))+((Formula!K14)/(Formula!C14+Formula!E14+Formula!G14+Formula!I14+Formula!K14))*(INDEX(Properties!A$1:CB$87,Formula!J14,19))</f>
        <v>5.1428571428571432</v>
      </c>
      <c r="BK14" s="75">
        <f>Formula!C14*(INDEX(Properties!A$1:CB$87,Formula!B14,19))+Formula!E14*(INDEX(Properties!A$1:CB$87,Formula!D14,19))+Formula!G14*(INDEX(Properties!A$1:CB$87,Formula!F14,19))+Formula!I14*(INDEX(Properties!A$1:CB$87,Formula!H14,19))+Formula!K14*(INDEX(Properties!A$1:CB$87,Formula!J14,19))</f>
        <v>468</v>
      </c>
      <c r="BL14" s="75">
        <f>VARP(IF(INDEX(Properties!A$1:CB$87,Formula!B14,19)&lt;&gt;"",INDEX(Properties!A$1:CB$87,Formula!B14,19)),IF(INDEX(Properties!A$1:CB$87,Formula!D14,19)&lt;&gt;"",INDEX(Properties!A$1:CB$87,Formula!D14,19)),IF(INDEX(Properties!A$1:CB$87,Formula!F14,19)&lt;&gt;"",INDEX(Properties!A$1:CB$87,Formula!F14,19)),IF(INDEX(Properties!A$1:CB$87,Formula!H14,19)&lt;&gt;"",INDEX(Properties!A$1:CB$87,Formula!H14,19)),IF(INDEX(Properties!A$1:CB$87,Formula!J14,19)&lt;&gt;"",INDEX(Properties!A$1:CB$87,Formula!J14,19)))</f>
        <v>16.8</v>
      </c>
      <c r="BM14" s="75">
        <f>MAX(INDEX(Properties!A$1:CB$87,Formula!B14,19),INDEX(Properties!A$1:CB$87,Formula!D14,19),INDEX(Properties!A$1:CB$87,Formula!F14,19),INDEX(Properties!A$1:CB$87,Formula!H14,19),INDEX(Properties!A$1:CB$87,Formula!J14,19))</f>
        <v>12</v>
      </c>
      <c r="BN14" s="75">
        <f>MIN(IF(INDEX(Properties!A$1:CB$87,Formula!B14,19)=0,10^6,INDEX(Properties!A$1:CB$87,Formula!B14,19)),IF(INDEX(Properties!A$1:CB$87,Formula!D14,19)=0,10^6,INDEX(Properties!A$1:CB$87,Formula!D14,19)),IF(INDEX(Properties!A$1:CB$87,Formula!F14,19)=0,10^6,INDEX(Properties!A$1:CB$87,Formula!F14,19)),IF(INDEX(Properties!A$1:CB$87,Formula!H14,19)=0,10^6,INDEX(Properties!A$1:CB$87,Formula!H14,19)),IF(INDEX(Properties!A$1:CB$87,Formula!J14,19)=0,10^6,INDEX(Properties!A$1:CB$87,Formula!J14,19)))</f>
        <v>2</v>
      </c>
      <c r="BO14" s="75">
        <f t="shared" si="10"/>
        <v>10</v>
      </c>
      <c r="BP14" s="48">
        <f>((Formula!C14)/(Formula!C14+Formula!E14+Formula!G14+Formula!I14+Formula!K14))*(INDEX(Properties!A$1:CB$87,Formula!B14,20))+((Formula!E14)/(Formula!C14+Formula!E14+Formula!G14+Formula!I14+Formula!K14))*(INDEX(Properties!A$1:CB$87,Formula!D14,20))+((Formula!G14)/(Formula!C14+Formula!E14+Formula!G14+Formula!I14+Formula!K14))*(INDEX(Properties!A$1:CB$87,Formula!F14,20))+((Formula!I14)/(Formula!C14+Formula!E14+Formula!G14+Formula!I14+Formula!K14))*(INDEX(Properties!A$1:CB$87,Formula!H14,20))+((Formula!K14)/(Formula!C14+Formula!E14+Formula!G14+Formula!I14+Formula!K14))*(INDEX(Properties!A$1:CB$87,Formula!J14,20))</f>
        <v>4.9230769230769234</v>
      </c>
      <c r="BQ14" s="48">
        <f>Formula!C14*(INDEX(Properties!A$1:CB$87,Formula!B14,20))+Formula!E14*(INDEX(Properties!A$1:CB$87,Formula!D14,20))+Formula!G14*(INDEX(Properties!A$1:CB$87,Formula!F14,20))+Formula!I14*(INDEX(Properties!A$1:CB$87,Formula!H14,20))+Formula!K14*(INDEX(Properties!A$1:CB$87,Formula!J14,20))</f>
        <v>448</v>
      </c>
      <c r="BR14" s="48">
        <f>VARP(IF(INDEX(Properties!A$1:CB$87,Formula!B14,20)&lt;&gt;"",INDEX(Properties!A$1:CB$87,Formula!B14,20)),IF(INDEX(Properties!A$1:CB$87,Formula!D14,20)&lt;&gt;"",INDEX(Properties!A$1:CB$87,Formula!D14,20)),IF(INDEX(Properties!A$1:CB$87,Formula!F14,20)&lt;&gt;"",INDEX(Properties!A$1:CB$87,Formula!F14,20)),IF(INDEX(Properties!A$1:CB$87,Formula!H14,20)&lt;&gt;"",INDEX(Properties!A$1:CB$87,Formula!H14,20)),IF(INDEX(Properties!A$1:CB$87,Formula!J14,20)&lt;&gt;"",INDEX(Properties!A$1:CB$87,Formula!J14,20)))</f>
        <v>4.8</v>
      </c>
      <c r="BS14" s="48">
        <f>MAX(INDEX(Properties!A$1:CB$87,Formula!B14,20),INDEX(Properties!A$1:CB$87,Formula!D14,20),INDEX(Properties!A$1:CB$87,Formula!F14,20),INDEX(Properties!A$1:CB$87,Formula!H14,20),INDEX(Properties!A$1:CB$87,Formula!J14,20))</f>
        <v>6</v>
      </c>
      <c r="BT14" s="48">
        <f>MIN(IF(INDEX(Properties!A$1:CB$87,Formula!B14,20)=0,10^6,INDEX(Properties!A$1:CB$87,Formula!B14,20)),IF(INDEX(Properties!A$1:CB$87,Formula!D14,20)=0,10^6,INDEX(Properties!A$1:CB$87,Formula!D14,20)),IF(INDEX(Properties!A$1:CB$87,Formula!F14,20)=0,10^6,INDEX(Properties!A$1:CB$87,Formula!F14,20)),IF(INDEX(Properties!A$1:CB$87,Formula!H14,20)=0,10^6,INDEX(Properties!A$1:CB$87,Formula!H14,20)),IF(INDEX(Properties!A$1:CB$87,Formula!J14,20)=0,10^6,INDEX(Properties!A$1:CB$87,Formula!J14,20)))</f>
        <v>2</v>
      </c>
      <c r="BU14" s="48">
        <f t="shared" si="11"/>
        <v>4</v>
      </c>
      <c r="BV14" s="66">
        <f>((Formula!C14)/(Formula!C14+Formula!E14+Formula!G14+Formula!I14+Formula!K14))*(INDEX(Properties!A$1:CB$87,Formula!B14,21))+((Formula!E14)/(Formula!C14+Formula!E14+Formula!G14+Formula!I14+Formula!K14))*(INDEX(Properties!A$1:CB$87,Formula!D14,21))+((Formula!G14)/(Formula!C14+Formula!E14+Formula!G14+Formula!I14+Formula!K14))*(INDEX(Properties!A$1:CB$87,Formula!F14,21))+((Formula!I14)/(Formula!C14+Formula!E14+Formula!G14+Formula!I14+Formula!K14))*(INDEX(Properties!A$1:CB$87,Formula!H14,21))+((Formula!K14)/(Formula!C14+Formula!E14+Formula!G14+Formula!I14+Formula!K14))*(INDEX(Properties!A$1:CB$87,Formula!J14,21))</f>
        <v>4.9010989010989015</v>
      </c>
      <c r="BW14" s="66">
        <f>Formula!C14*(INDEX(Properties!A$1:CB$87,Formula!B14,21))+Formula!E14*(INDEX(Properties!A$1:CB$87,Formula!D14,21))+Formula!G14*(INDEX(Properties!A$1:CB$87,Formula!F14,21))+Formula!I14*(INDEX(Properties!A$1:CB$87,Formula!H14,21))+Formula!K14*(INDEX(Properties!A$1:CB$87,Formula!J14,21))</f>
        <v>446</v>
      </c>
      <c r="BX14" s="66">
        <f>VARP(IF(INDEX(Properties!A$1:CB$87,Formula!B14,21)&lt;&gt;"",INDEX(Properties!A$1:CB$87,Formula!B14,21)),IF(INDEX(Properties!A$1:CB$87,Formula!D14,21)&lt;&gt;"",INDEX(Properties!A$1:CB$87,Formula!D14,21)),IF(INDEX(Properties!A$1:CB$87,Formula!F14,21)&lt;&gt;"",INDEX(Properties!A$1:CB$87,Formula!F14,21)),IF(INDEX(Properties!A$1:CB$87,Formula!H14,21)&lt;&gt;"",INDEX(Properties!A$1:CB$87,Formula!H14,21)),IF(INDEX(Properties!A$1:CB$87,Formula!J14,21)&lt;&gt;"",INDEX(Properties!A$1:CB$87,Formula!J14,21)))</f>
        <v>5.36</v>
      </c>
      <c r="BY14" s="66">
        <f>MAX(INDEX(Properties!A$1:CB$87,Formula!B14,21),INDEX(Properties!A$1:CB$87,Formula!D14,21),INDEX(Properties!A$1:CB$87,Formula!F14,21),INDEX(Properties!A$1:CB$87,Formula!H14,21),INDEX(Properties!A$1:CB$87,Formula!J14,21))</f>
        <v>6</v>
      </c>
      <c r="BZ14" s="66">
        <f>MIN(IF(INDEX(Properties!A$1:CB$87,Formula!B14,21)=0,10^6,INDEX(Properties!A$1:CB$87,Formula!B14,21)),IF(INDEX(Properties!A$1:CB$87,Formula!D14,21)=0,10^6,INDEX(Properties!A$1:CB$87,Formula!D14,21)),IF(INDEX(Properties!A$1:CB$87,Formula!F14,21)=0,10^6,INDEX(Properties!A$1:CB$87,Formula!F14,21)),IF(INDEX(Properties!A$1:CB$87,Formula!H14,21)=0,10^6,INDEX(Properties!A$1:CB$87,Formula!H14,21)),IF(INDEX(Properties!A$1:CB$87,Formula!J14,21)=0,10^6,INDEX(Properties!A$1:CB$87,Formula!J14,21)))</f>
        <v>1</v>
      </c>
      <c r="CA14" s="66">
        <f t="shared" si="12"/>
        <v>5</v>
      </c>
      <c r="CB14" s="81">
        <f>((Formula!C14)/(Formula!C14+Formula!E14+Formula!G14+Formula!I14+Formula!K14))*(INDEX(Properties!A$1:CB$87,Formula!B14,23))+((Formula!E14)/(Formula!C14+Formula!E14+Formula!G14+Formula!I14+Formula!K14))*(INDEX(Properties!A$1:CB$87,Formula!D14,23))+((Formula!G14)/(Formula!C14+Formula!E14+Formula!G14+Formula!I14+Formula!K14))*(INDEX(Properties!A$1:CB$87,Formula!F14,23))+((Formula!I14)/(Formula!C14+Formula!E14+Formula!G14+Formula!I14+Formula!K14))*(INDEX(Properties!A$1:CB$87,Formula!H14,23))+((Formula!K14)/(Formula!C14+Formula!E14+Formula!G14+Formula!I14+Formula!K14))*(INDEX(Properties!A$1:CB$87,Formula!J14,23))</f>
        <v>0.97670329670329681</v>
      </c>
      <c r="CC14" s="81">
        <f>Formula!C14*(INDEX(Properties!A$1:CB$87,Formula!B14,23))+Formula!E14*(INDEX(Properties!A$1:CB$87,Formula!D14,23))+Formula!G14*(INDEX(Properties!A$1:CB$87,Formula!F14,23))+Formula!I14*(INDEX(Properties!A$1:CB$87,Formula!H14,23))+Formula!K14*(INDEX(Properties!A$1:CB$87,Formula!J14,23))</f>
        <v>88.88</v>
      </c>
      <c r="CD14" s="81">
        <f>VARP(IF(INDEX(Properties!A$1:CB$87,Formula!B14,23)&lt;&gt;"",INDEX(Properties!A$1:CB$87,Formula!B14,23)),IF(INDEX(Properties!A$1:CB$87,Formula!D14,23)&lt;&gt;"",INDEX(Properties!A$1:CB$87,Formula!D14,23)),IF(INDEX(Properties!A$1:CB$87,Formula!F14,23)&lt;&gt;"",INDEX(Properties!A$1:CB$87,Formula!F14,23)),IF(INDEX(Properties!A$1:CB$87,Formula!H14,23)&lt;&gt;"",INDEX(Properties!A$1:CB$87,Formula!H14,23)),IF(INDEX(Properties!A$1:CB$87,Formula!J14,23)&lt;&gt;"",INDEX(Properties!A$1:CB$87,Formula!J14,23)))</f>
        <v>2.9781759999999986</v>
      </c>
      <c r="CE14" s="81">
        <f>MAX(INDEX(Properties!A$1:CB$87,Formula!B14,23),INDEX(Properties!A$1:CB$87,Formula!D14,23),INDEX(Properties!A$1:CB$87,Formula!F14,23),INDEX(Properties!A$1:CB$87,Formula!H14,23),INDEX(Properties!A$1:CB$87,Formula!J14,23))</f>
        <v>4.4400000000000004</v>
      </c>
      <c r="CF14" s="81">
        <f>MIN(IF(Formula!B14=87,10^6,INDEX(Properties!A$1:CB$87,Formula!B14,23)),IF((Formula!D14)=87,10^6,INDEX(Properties!A$1:CB$87,Formula!D14,23)),IF((Formula!F14)=87,10^6,INDEX(Properties!A$1:CB$87,Formula!F14,23)),IF((Formula!H14)=87,10^6,INDEX(Properties!A$1:CB$87,Formula!H14,23)),IF(Formula!J14=87,10^6,INDEX(Properties!A$1:CB$87,Formula!J14,23)))</f>
        <v>0</v>
      </c>
      <c r="CG14" s="81">
        <f t="shared" si="13"/>
        <v>4.4400000000000004</v>
      </c>
      <c r="CH14" s="39">
        <f>((Formula!C14)/(Formula!C14+Formula!E14+Formula!G14+Formula!I14+Formula!K14))*(INDEX(Properties!A$1:CB$87,Formula!B14,26))+((Formula!E14)/(Formula!C14+Formula!E14+Formula!G14+Formula!I14+Formula!K14))*(INDEX(Properties!A$1:CB$87,Formula!D14,26))+((Formula!G14)/(Formula!C14+Formula!E14+Formula!G14+Formula!I14+Formula!K14))*(INDEX(Properties!A$1:CB$87,Formula!F14,26))+((Formula!I14)/(Formula!C14+Formula!E14+Formula!G14+Formula!I14+Formula!K14))*(INDEX(Properties!A$1:CB$87,Formula!H14,26))+((Formula!K14)/(Formula!C14+Formula!E14+Formula!G14+Formula!I14+Formula!K14))*(INDEX(Properties!A$1:CB$87,Formula!J14,26))</f>
        <v>11.476556043956045</v>
      </c>
      <c r="CI14" s="39">
        <f>Formula!C14*(INDEX(Properties!A$1:CB$87,Formula!B14,26))+Formula!E14*(INDEX(Properties!A$1:CB$87,Formula!D14,26))+Formula!G14*(INDEX(Properties!A$1:CB$87,Formula!F14,26))+Formula!I14*(INDEX(Properties!A$1:CB$87,Formula!H14,26))+Formula!K14*(INDEX(Properties!A$1:CB$87,Formula!J14,26))</f>
        <v>1044.3666000000001</v>
      </c>
      <c r="CJ14" s="39">
        <f>VARP(IF(INDEX(Properties!A$1:CB$87,Formula!B14,26)&lt;&gt;"",INDEX(Properties!A$1:CB$87,Formula!B14,26)),IF(INDEX(Properties!A$1:CB$87,Formula!D14,26)&lt;&gt;"",INDEX(Properties!A$1:CB$87,Formula!D14,26)),IF(INDEX(Properties!A$1:CB$87,Formula!F14,26)&lt;&gt;"",INDEX(Properties!A$1:CB$87,Formula!F14,26)),IF(INDEX(Properties!A$1:CB$87,Formula!H14,26)&lt;&gt;"",INDEX(Properties!A$1:CB$87,Formula!H14,26)),IF(INDEX(Properties!A$1:CB$87,Formula!J14,26)&lt;&gt;"",INDEX(Properties!A$1:CB$87,Formula!J14,26)))</f>
        <v>21.444090922400001</v>
      </c>
      <c r="CK14" s="39">
        <f>MAX(INDEX(Properties!A$1:CB$87,Formula!B14,26),INDEX(Properties!A$1:CB$87,Formula!D14,26),INDEX(Properties!A$1:CB$87,Formula!F14,26),INDEX(Properties!A$1:CB$87,Formula!H14,26),INDEX(Properties!A$1:CB$87,Formula!J14,26))</f>
        <v>13.6181</v>
      </c>
      <c r="CL14" s="39">
        <f>MIN(IF(INDEX(Properties!A$1:CB$87,Formula!B14,26)=0,10^6,INDEX(Properties!A$1:CB$87,Formula!B14,26)),IF(INDEX(Properties!A$1:CB$87,Formula!D14,26)=0,10^6,INDEX(Properties!A$1:CB$87,Formula!D14,26)),IF(INDEX(Properties!A$1:CB$87,Formula!F14,26)=0,10^6,INDEX(Properties!A$1:CB$87,Formula!F14,26)),IF(INDEX(Properties!A$1:CB$87,Formula!H14,26)=0,10^6,INDEX(Properties!A$1:CB$87,Formula!H14,26)),IF(INDEX(Properties!A$1:CB$87,Formula!J14,26)=0,10^6,INDEX(Properties!A$1:CB$87,Formula!J14,26)))</f>
        <v>6.1132</v>
      </c>
      <c r="CM14" s="39">
        <f t="shared" si="14"/>
        <v>7.5049000000000001</v>
      </c>
      <c r="CN14" s="54">
        <f>((Formula!C14)/(Formula!C14+Formula!E14+Formula!G14+Formula!I14+Formula!K14))*(INDEX(Properties!A$1:CB$87,Formula!B14,30))+((Formula!E14)/(Formula!C14+Formula!E14+Formula!G14+Formula!I14+Formula!K14))*(INDEX(Properties!A$1:CB$87,Formula!D14,30))+((Formula!G14)/(Formula!C14+Formula!E14+Formula!G14+Formula!I14+Formula!K14))*(INDEX(Properties!A$1:CB$87,Formula!F14,30))+((Formula!I14)/(Formula!C14+Formula!E14+Formula!G14+Formula!I14+Formula!K14))*(INDEX(Properties!A$1:CB$87,Formula!H14,30))+((Formula!K14)/(Formula!C14+Formula!E14+Formula!G14+Formula!I14+Formula!K14))*(INDEX(Properties!A$1:CB$87,Formula!J14,30))</f>
        <v>2.6989010989010991</v>
      </c>
      <c r="CO14" s="54">
        <f>Formula!C14*(INDEX(Properties!A$1:CB$87,Formula!B14,30))+Formula!E14*(INDEX(Properties!A$1:CB$87,Formula!D14,30))+Formula!G14*(INDEX(Properties!A$1:CB$87,Formula!F14,30))+Formula!I14*(INDEX(Properties!A$1:CB$87,Formula!H14,30))+Formula!K14*(INDEX(Properties!A$1:CB$87,Formula!J14,30))</f>
        <v>245.6</v>
      </c>
      <c r="CP14" s="54">
        <f>VARP(IF(INDEX(Properties!A$1:CB$87,Formula!B14,30)&lt;&gt;"",INDEX(Properties!A$1:CB$87,Formula!B14,30)),IF(INDEX(Properties!A$1:CB$87,Formula!D14,30)&lt;&gt;"",INDEX(Properties!A$1:CB$87,Formula!D14,30)),IF(INDEX(Properties!A$1:CB$87,Formula!F14,30)&lt;&gt;"",INDEX(Properties!A$1:CB$87,Formula!F14,30)),IF(INDEX(Properties!A$1:CB$87,Formula!H14,30)&lt;&gt;"",INDEX(Properties!A$1:CB$87,Formula!H14,30)),IF(INDEX(Properties!A$1:CB$87,Formula!J14,30)&lt;&gt;"",INDEX(Properties!A$1:CB$87,Formula!J14,30)))</f>
        <v>1.3281039999999995</v>
      </c>
      <c r="CQ14" s="54">
        <f>MAX(INDEX(Properties!A$1:CB$87,Formula!B14,30),INDEX(Properties!A$1:CB$87,Formula!D14,30),INDEX(Properties!A$1:CB$87,Formula!F14,30),INDEX(Properties!A$1:CB$87,Formula!H14,30),INDEX(Properties!A$1:CB$87,Formula!J14,30))</f>
        <v>3.44</v>
      </c>
      <c r="CR14" s="54">
        <f>MIN(IF(INDEX(Properties!A$1:CB$87,Formula!B14,30)=0,10^6,INDEX(Properties!A$1:CB$87,Formula!B14,30)),IF(INDEX(Properties!A$1:CB$87,Formula!D14,30)=0,10^6,INDEX(Properties!A$1:CB$87,Formula!D14,30)),IF(INDEX(Properties!A$1:CB$87,Formula!F14,30)=0,10^6,INDEX(Properties!A$1:CB$87,Formula!F14,30)),IF(INDEX(Properties!A$1:CB$87,Formula!H14,30)=0,10^6,INDEX(Properties!A$1:CB$87,Formula!H14,30)),IF(INDEX(Properties!A$1:CB$87,Formula!J14,30)=0,10^6,INDEX(Properties!A$1:CB$87,Formula!J14,30)))</f>
        <v>1</v>
      </c>
      <c r="CS14" s="54">
        <f t="shared" si="15"/>
        <v>2.44</v>
      </c>
      <c r="CT14" s="69">
        <f>((Formula!C14)/(Formula!C14+Formula!E14+Formula!G14+Formula!I14+Formula!K14))*(INDEX(Properties!A$1:CB$87,Formula!B14,31))+((Formula!E14)/(Formula!C14+Formula!E14+Formula!G14+Formula!I14+Formula!K14))*(INDEX(Properties!A$1:CB$87,Formula!D14,31))+((Formula!G14)/(Formula!C14+Formula!E14+Formula!G14+Formula!I14+Formula!K14))*(INDEX(Properties!A$1:CB$87,Formula!F14,31))+((Formula!I14)/(Formula!C14+Formula!E14+Formula!G14+Formula!I14+Formula!K14))*(INDEX(Properties!A$1:CB$87,Formula!H14,31))+((Formula!K14)/(Formula!C14+Formula!E14+Formula!G14+Formula!I14+Formula!K14))*(INDEX(Properties!A$1:CB$87,Formula!J14,31))</f>
        <v>2.675934065934066</v>
      </c>
      <c r="CU14" s="69">
        <f>Formula!C14*(INDEX(Properties!A$1:CB$87,Formula!B14,31))+Formula!E14*(INDEX(Properties!A$1:CB$87,Formula!D14,31))+Formula!G14*(INDEX(Properties!A$1:CB$87,Formula!F14,31))+Formula!I14*(INDEX(Properties!A$1:CB$87,Formula!H14,31))+Formula!K14*(INDEX(Properties!A$1:CB$87,Formula!J14,31))</f>
        <v>243.51</v>
      </c>
      <c r="CV14" s="69">
        <f>VARP(IF(INDEX(Properties!A$1:CB$87,Formula!B14,31)&lt;&gt;"",INDEX(Properties!A$1:CB$87,Formula!B14,31)),IF(INDEX(Properties!A$1:CB$87,Formula!D14,31)&lt;&gt;"",INDEX(Properties!A$1:CB$87,Formula!D14,31)),IF(INDEX(Properties!A$1:CB$87,Formula!F14,31)&lt;&gt;"",INDEX(Properties!A$1:CB$87,Formula!F14,31)),IF(INDEX(Properties!A$1:CB$87,Formula!H14,31)&lt;&gt;"",INDEX(Properties!A$1:CB$87,Formula!H14,31)),IF(INDEX(Properties!A$1:CB$87,Formula!J14,31)&lt;&gt;"",INDEX(Properties!A$1:CB$87,Formula!J14,31)))</f>
        <v>1.2469599999999992</v>
      </c>
      <c r="CW14" s="69">
        <f>MAX(INDEX(Properties!A$1:CB$87,Formula!B14,31),INDEX(Properties!A$1:CB$87,Formula!D14,31),INDEX(Properties!A$1:CB$87,Formula!F14,31),INDEX(Properties!A$1:CB$87,Formula!H14,31),INDEX(Properties!A$1:CB$87,Formula!J14,31))</f>
        <v>3.32</v>
      </c>
      <c r="CX14" s="69">
        <f>MIN(IF(INDEX(Properties!A$1:CB$87,Formula!B14,31)=0,10^6,INDEX(Properties!A$1:CB$87,Formula!B14,31)),IF(INDEX(Properties!A$1:CB$87,Formula!D14,31)=0,10^6,INDEX(Properties!A$1:CB$87,Formula!D14,31)),IF(INDEX(Properties!A$1:CB$87,Formula!F14,31)=0,10^6,INDEX(Properties!A$1:CB$87,Formula!F14,31)),IF(INDEX(Properties!A$1:CB$87,Formula!H14,31)=0,10^6,INDEX(Properties!A$1:CB$87,Formula!H14,31)),IF(INDEX(Properties!A$1:CB$87,Formula!J14,31)=0,10^6,INDEX(Properties!A$1:CB$87,Formula!J14,31)))</f>
        <v>1.17</v>
      </c>
      <c r="CY14" s="69">
        <f t="shared" si="16"/>
        <v>2.15</v>
      </c>
      <c r="CZ14" s="42">
        <f>((Formula!C14)/(Formula!C14+Formula!E14+Formula!G14+Formula!I14+Formula!K14))*(INDEX(Properties!A$1:CB$87,Formula!B14,32))+((Formula!E14)/(Formula!C14+Formula!E14+Formula!G14+Formula!I14+Formula!K14))*(INDEX(Properties!A$1:CB$87,Formula!D14,32))+((Formula!G14)/(Formula!C14+Formula!E14+Formula!G14+Formula!I14+Formula!K14))*(INDEX(Properties!A$1:CB$87,Formula!F14,32))+((Formula!I14)/(Formula!C14+Formula!E14+Formula!G14+Formula!I14+Formula!K14))*(INDEX(Properties!A$1:CB$87,Formula!H14,32))+((Formula!K14)/(Formula!C14+Formula!E14+Formula!G14+Formula!I14+Formula!K14))*(INDEX(Properties!A$1:CB$87,Formula!J14,32))</f>
        <v>6.061758241758243</v>
      </c>
      <c r="DA14" s="42">
        <f>Formula!C14*(INDEX(Properties!A$1:CB$87,Formula!B14,32))+Formula!E14*(INDEX(Properties!A$1:CB$87,Formula!D14,32))+Formula!G14*(INDEX(Properties!A$1:CB$87,Formula!F14,32))+Formula!I14*(INDEX(Properties!A$1:CB$87,Formula!H14,32))+Formula!K14*(INDEX(Properties!A$1:CB$87,Formula!J14,32))</f>
        <v>551.62</v>
      </c>
      <c r="DB14" s="42">
        <f>VARP(IF(INDEX(Properties!A$1:CB$87,Formula!B14,32)&lt;&gt;"",INDEX(Properties!A$1:CB$87,Formula!B14,32)),IF(INDEX(Properties!A$1:CB$87,Formula!D14,32)&lt;&gt;"",INDEX(Properties!A$1:CB$87,Formula!D14,32)),IF(INDEX(Properties!A$1:CB$87,Formula!F14,32)&lt;&gt;"",INDEX(Properties!A$1:CB$87,Formula!F14,32)),IF(INDEX(Properties!A$1:CB$87,Formula!H14,32)&lt;&gt;"",INDEX(Properties!A$1:CB$87,Formula!H14,32)),IF(INDEX(Properties!A$1:CB$87,Formula!J14,32)&lt;&gt;"",INDEX(Properties!A$1:CB$87,Formula!J14,32)))</f>
        <v>6.9182559999999986</v>
      </c>
      <c r="DC14" s="42">
        <f>MAX(INDEX(Properties!A$1:CB$87,Formula!B14,32),INDEX(Properties!A$1:CB$87,Formula!D14,32),INDEX(Properties!A$1:CB$87,Formula!F14,32),INDEX(Properties!A$1:CB$87,Formula!H14,32),INDEX(Properties!A$1:CB$87,Formula!J14,32))</f>
        <v>7.54</v>
      </c>
      <c r="DD14" s="42">
        <f>MIN(IF(INDEX(Properties!A$1:CB$87,Formula!B14,32)=0,10^6,INDEX(Properties!A$1:CB$87,Formula!B14,32)),IF(INDEX(Properties!A$1:CB$87,Formula!D14,32)=0,10^6,INDEX(Properties!A$1:CB$87,Formula!D14,32)),IF(INDEX(Properties!A$1:CB$87,Formula!F14,32)=0,10^6,INDEX(Properties!A$1:CB$87,Formula!F14,32)),IF(INDEX(Properties!A$1:CB$87,Formula!H14,32)=0,10^6,INDEX(Properties!A$1:CB$87,Formula!H14,32)),IF(INDEX(Properties!A$1:CB$87,Formula!J14,32)=0,10^6,INDEX(Properties!A$1:CB$87,Formula!J14,32)))</f>
        <v>2.2000000000000002</v>
      </c>
      <c r="DE14" s="42">
        <f t="shared" si="17"/>
        <v>5.34</v>
      </c>
      <c r="DF14" s="60">
        <f>((Formula!C14)/(Formula!C14+Formula!E14+Formula!G14+Formula!I14+Formula!K14))*(INDEX(Properties!A$1:CB$87,Formula!B14,34))+((Formula!E14)/(Formula!C14+Formula!E14+Formula!G14+Formula!I14+Formula!K14))*(INDEX(Properties!A$1:CB$87,Formula!D14,34))+((Formula!G14)/(Formula!C14+Formula!E14+Formula!G14+Formula!I14+Formula!K14))*(INDEX(Properties!A$1:CB$87,Formula!F14,34))+((Formula!I14)/(Formula!C14+Formula!E14+Formula!G14+Formula!I14+Formula!K14))*(INDEX(Properties!A$1:CB$87,Formula!H14,34))+((Formula!K14)/(Formula!C14+Formula!E14+Formula!G14+Formula!I14+Formula!K14))*(INDEX(Properties!A$1:CB$87,Formula!J14,34))</f>
        <v>2.8189890109890108</v>
      </c>
      <c r="DG14" s="60">
        <f>Formula!C14*(INDEX(Properties!A$1:CB$87,Formula!B14,34))+Formula!E14*(INDEX(Properties!A$1:CB$87,Formula!D14,34))+Formula!G14*(INDEX(Properties!A$1:CB$87,Formula!F14,34))+Formula!I14*(INDEX(Properties!A$1:CB$87,Formula!H14,34))+Formula!K14*(INDEX(Properties!A$1:CB$87,Formula!J14,34))</f>
        <v>256.52800000000002</v>
      </c>
      <c r="DH14" s="60">
        <f>VARP(IF(INDEX(Properties!A$1:CB$87,Formula!B14,34)&lt;&gt;"",INDEX(Properties!A$1:CB$87,Formula!B14,34)),IF(INDEX(Properties!A$1:CB$87,Formula!D14,34)&lt;&gt;"",INDEX(Properties!A$1:CB$87,Formula!D14,34)),IF(INDEX(Properties!A$1:CB$87,Formula!F14,34)&lt;&gt;"",INDEX(Properties!A$1:CB$87,Formula!F14,34)),IF(INDEX(Properties!A$1:CB$87,Formula!H14,34)&lt;&gt;"",INDEX(Properties!A$1:CB$87,Formula!H14,34)),IF(INDEX(Properties!A$1:CB$87,Formula!J14,34)&lt;&gt;"",INDEX(Properties!A$1:CB$87,Formula!J14,34)))</f>
        <v>1.4599062400000002</v>
      </c>
      <c r="DI14" s="60">
        <f>MAX(INDEX(Properties!A$1:CB$87,Formula!B14,34),INDEX(Properties!A$1:CB$87,Formula!D14,34),INDEX(Properties!A$1:CB$87,Formula!F14,34),INDEX(Properties!A$1:CB$87,Formula!H14,34),INDEX(Properties!A$1:CB$87,Formula!J14,34))</f>
        <v>3.61</v>
      </c>
      <c r="DJ14" s="60">
        <f>MIN(IF(INDEX(Properties!A$1:CB$87,Formula!B14,34)=0,10^6,INDEX(Properties!A$1:CB$87,Formula!B14,34)),IF(INDEX(Properties!A$1:CB$87,Formula!D14,34)=0,10^6,INDEX(Properties!A$1:CB$87,Formula!D14,34)),IF(INDEX(Properties!A$1:CB$87,Formula!F14,34)=0,10^6,INDEX(Properties!A$1:CB$87,Formula!F14,34)),IF(INDEX(Properties!A$1:CB$87,Formula!H14,34)=0,10^6,INDEX(Properties!A$1:CB$87,Formula!H14,34)),IF(INDEX(Properties!A$1:CB$87,Formula!J14,34)=0,10^6,INDEX(Properties!A$1:CB$87,Formula!J14,34)))</f>
        <v>1.034</v>
      </c>
      <c r="DK14" s="60">
        <f t="shared" si="18"/>
        <v>2.5759999999999996</v>
      </c>
      <c r="DL14" s="45">
        <f>((Formula!C14)/(Formula!C14+Formula!E14+Formula!G14+Formula!I14+Formula!K14))*(INDEX(Properties!A$1:CB$87,Formula!B14,39))+((Formula!E14)/(Formula!C14+Formula!E14+Formula!G14+Formula!I14+Formula!K14))*(INDEX(Properties!A$1:CB$87,Formula!D14,39))+((Formula!G14)/(Formula!C14+Formula!E14+Formula!G14+Formula!I14+Formula!K14))*(INDEX(Properties!A$1:CB$87,Formula!F14,39))+((Formula!I14)/(Formula!C14+Formula!E14+Formula!G14+Formula!I14+Formula!K14))*(INDEX(Properties!A$1:CB$87,Formula!H14,39))+((Formula!K14)/(Formula!C14+Formula!E14+Formula!G14+Formula!I14+Formula!K14))*(INDEX(Properties!A$1:CB$87,Formula!J14,39))</f>
        <v>0.88241758241758239</v>
      </c>
      <c r="DM14" s="45">
        <f>Formula!C14*(INDEX(Properties!A$1:CB$87,Formula!B14,39))+Formula!E14*(INDEX(Properties!A$1:CB$87,Formula!D14,39))+Formula!G14*(INDEX(Properties!A$1:CB$87,Formula!F14,39))+Formula!I14*(INDEX(Properties!A$1:CB$87,Formula!H14,39))+Formula!K14*(INDEX(Properties!A$1:CB$87,Formula!J14,39))</f>
        <v>80.3</v>
      </c>
      <c r="DN14" s="45">
        <f>VARP(IF(INDEX(Properties!A$1:CB$87,Formula!B14,39)&lt;&gt;"",INDEX(Properties!A$1:CB$87,Formula!B14,39)),IF(INDEX(Properties!A$1:CB$87,Formula!D14,39)&lt;&gt;"",INDEX(Properties!A$1:CB$87,Formula!D14,39)),IF(INDEX(Properties!A$1:CB$87,Formula!F14,39)&lt;&gt;"",INDEX(Properties!A$1:CB$87,Formula!F14,39)),IF(INDEX(Properties!A$1:CB$87,Formula!H14,39)&lt;&gt;"",INDEX(Properties!A$1:CB$87,Formula!H14,39)),IF(INDEX(Properties!A$1:CB$87,Formula!J14,39)&lt;&gt;"",INDEX(Properties!A$1:CB$87,Formula!J14,39)))</f>
        <v>0.46486399999999989</v>
      </c>
      <c r="DO14" s="45">
        <f>MAX(INDEX(Properties!A$1:CB$87,Formula!B14,39),INDEX(Properties!A$1:CB$87,Formula!D14,39),INDEX(Properties!A$1:CB$87,Formula!F14,39),INDEX(Properties!A$1:CB$87,Formula!H14,39),INDEX(Properties!A$1:CB$87,Formula!J14,39))</f>
        <v>1.94</v>
      </c>
      <c r="DP14" s="45">
        <f>MIN(IF(INDEX(Properties!A$1:CB$87,Formula!B14,39)=0,10^6,INDEX(Properties!A$1:CB$87,Formula!B14,39)),IF(INDEX(Properties!A$1:CB$87,Formula!D14,39)=0,10^6,INDEX(Properties!A$1:CB$87,Formula!D14,39)),IF(INDEX(Properties!A$1:CB$87,Formula!F14,39)=0,10^6,INDEX(Properties!A$1:CB$87,Formula!F14,39)),IF(INDEX(Properties!A$1:CB$87,Formula!H14,39)=0,10^6,INDEX(Properties!A$1:CB$87,Formula!H14,39)),IF(INDEX(Properties!A$1:CB$87,Formula!J14,39)=0,10^6,INDEX(Properties!A$1:CB$87,Formula!J14,39)))</f>
        <v>0.48</v>
      </c>
      <c r="DQ14" s="45">
        <f t="shared" si="19"/>
        <v>1.46</v>
      </c>
      <c r="DR14" s="63">
        <f>((Formula!C14)/(Formula!C14+Formula!E14+Formula!G14+Formula!I14+Formula!K14))*(INDEX(Properties!A$1:CB$87,Formula!B14,40))+((Formula!E14)/(Formula!C14+Formula!E14+Formula!G14+Formula!I14+Formula!K14))*(INDEX(Properties!A$1:CB$87,Formula!D14,40))+((Formula!G14)/(Formula!C14+Formula!E14+Formula!G14+Formula!I14+Formula!K14))*(INDEX(Properties!A$1:CB$87,Formula!F14,40))+((Formula!I14)/(Formula!C14+Formula!E14+Formula!G14+Formula!I14+Formula!K14))*(INDEX(Properties!A$1:CB$87,Formula!H14,40))+((Formula!K14)/(Formula!C14+Formula!E14+Formula!G14+Formula!I14+Formula!K14))*(INDEX(Properties!A$1:CB$87,Formula!J14,40))</f>
        <v>1.0043956043956044</v>
      </c>
      <c r="DS14" s="63">
        <f>Formula!C14*(INDEX(Properties!A$1:CB$87,Formula!B14,40))+Formula!E14*(INDEX(Properties!A$1:CB$87,Formula!D14,40))+Formula!G14*(INDEX(Properties!A$1:CB$87,Formula!F14,40))+Formula!I14*(INDEX(Properties!A$1:CB$87,Formula!H14,40))+Formula!K14*(INDEX(Properties!A$1:CB$87,Formula!J14,40))</f>
        <v>91.399999999999991</v>
      </c>
      <c r="DT14" s="63">
        <f>VARP(IF(INDEX(Properties!A$1:CB$87,Formula!B14,40)&lt;&gt;"",INDEX(Properties!A$1:CB$87,Formula!B14,40)),IF(INDEX(Properties!A$1:CB$87,Formula!D14,40)&lt;&gt;"",INDEX(Properties!A$1:CB$87,Formula!D14,40)),IF(INDEX(Properties!A$1:CB$87,Formula!F14,40)&lt;&gt;"",INDEX(Properties!A$1:CB$87,Formula!F14,40)),IF(INDEX(Properties!A$1:CB$87,Formula!H14,40)&lt;&gt;"",INDEX(Properties!A$1:CB$87,Formula!H14,40)),IF(INDEX(Properties!A$1:CB$87,Formula!J14,40)&lt;&gt;"",INDEX(Properties!A$1:CB$87,Formula!J14,40)))</f>
        <v>0.34301599999999993</v>
      </c>
      <c r="DU14" s="63">
        <f>MAX(INDEX(Properties!A$1:CB$87,Formula!B14,40),INDEX(Properties!A$1:CB$87,Formula!D14,40),INDEX(Properties!A$1:CB$87,Formula!F14,40),INDEX(Properties!A$1:CB$87,Formula!H14,40),INDEX(Properties!A$1:CB$87,Formula!J14,40))</f>
        <v>1.74</v>
      </c>
      <c r="DV14" s="63">
        <f>MIN(IF(INDEX(Properties!A$1:CB$87,Formula!B14,40)=0,10^6,INDEX(Properties!A$1:CB$87,Formula!B14,40)),IF(INDEX(Properties!A$1:CB$87,Formula!D14,40)=0,10^6,INDEX(Properties!A$1:CB$87,Formula!D14,40)),IF(INDEX(Properties!A$1:CB$87,Formula!F14,40)=0,10^6,INDEX(Properties!A$1:CB$87,Formula!F14,40)),IF(INDEX(Properties!A$1:CB$87,Formula!H14,40)=0,10^6,INDEX(Properties!A$1:CB$87,Formula!H14,40)),IF(INDEX(Properties!A$1:CB$87,Formula!J14,40)=0,10^6,INDEX(Properties!A$1:CB$87,Formula!J14,40)))</f>
        <v>0.73</v>
      </c>
      <c r="DW14" s="63">
        <f t="shared" si="20"/>
        <v>1.01</v>
      </c>
      <c r="DX14" s="75">
        <f>((Formula!C14)/(Formula!C14+Formula!E14+Formula!G14+Formula!I14+Formula!K14))*(INDEX(Properties!A$1:CB$87,Formula!B14,41))+((Formula!E14)/(Formula!C14+Formula!E14+Formula!G14+Formula!I14+Formula!K14))*(INDEX(Properties!A$1:CB$87,Formula!D14,41))+((Formula!G14)/(Formula!C14+Formula!E14+Formula!G14+Formula!I14+Formula!K14))*(INDEX(Properties!A$1:CB$87,Formula!F14,41))+((Formula!I14)/(Formula!C14+Formula!E14+Formula!G14+Formula!I14+Formula!K14))*(INDEX(Properties!A$1:CB$87,Formula!H14,41))+((Formula!K14)/(Formula!C14+Formula!E14+Formula!G14+Formula!I14+Formula!K14))*(INDEX(Properties!A$1:CB$87,Formula!J14,41))</f>
        <v>1.121978021978022</v>
      </c>
      <c r="DY14" s="75">
        <f>Formula!C14*(INDEX(Properties!A$1:CB$87,Formula!B14,41))+Formula!E14*(INDEX(Properties!A$1:CB$87,Formula!D14,41))+Formula!G14*(INDEX(Properties!A$1:CB$87,Formula!F14,41))+Formula!I14*(INDEX(Properties!A$1:CB$87,Formula!H14,41))+Formula!K14*(INDEX(Properties!A$1:CB$87,Formula!J14,41))</f>
        <v>102.1</v>
      </c>
      <c r="DZ14" s="75">
        <f>VARP(IF(INDEX(Properties!A$1:CB$87,Formula!B14,41)&lt;&gt;"",INDEX(Properties!A$1:CB$87,Formula!B14,41)),IF(INDEX(Properties!A$1:CB$87,Formula!D14,41)&lt;&gt;"",INDEX(Properties!A$1:CB$87,Formula!D14,41)),IF(INDEX(Properties!A$1:CB$87,Formula!F14,41)&lt;&gt;"",INDEX(Properties!A$1:CB$87,Formula!F14,41)),IF(INDEX(Properties!A$1:CB$87,Formula!H14,41)&lt;&gt;"",INDEX(Properties!A$1:CB$87,Formula!H14,41)),IF(INDEX(Properties!A$1:CB$87,Formula!J14,41)&lt;&gt;"",INDEX(Properties!A$1:CB$87,Formula!J14,41)))</f>
        <v>0.20361599999999982</v>
      </c>
      <c r="EA14" s="75">
        <f>MAX(INDEX(Properties!A$1:CB$87,Formula!B14,41),INDEX(Properties!A$1:CB$87,Formula!D14,41),INDEX(Properties!A$1:CB$87,Formula!F14,41),INDEX(Properties!A$1:CB$87,Formula!H14,41),INDEX(Properties!A$1:CB$87,Formula!J14,41))</f>
        <v>1.26</v>
      </c>
      <c r="EB14" s="75">
        <f>MIN(IF(INDEX(Properties!A$1:CB$87,Formula!B14,41)=0,10^6,INDEX(Properties!A$1:CB$87,Formula!B14,41)),IF(INDEX(Properties!A$1:CB$87,Formula!D14,41)=0,10^6,INDEX(Properties!A$1:CB$87,Formula!D14,41)),IF(INDEX(Properties!A$1:CB$87,Formula!F14,41)=0,10^6,INDEX(Properties!A$1:CB$87,Formula!F14,41)),IF(INDEX(Properties!A$1:CB$87,Formula!H14,41)=0,10^6,INDEX(Properties!A$1:CB$87,Formula!H14,41)),IF(INDEX(Properties!A$1:CB$87,Formula!J14,41)=0,10^6,INDEX(Properties!A$1:CB$87,Formula!J14,41)))</f>
        <v>0.57999999999999996</v>
      </c>
      <c r="EC14" s="75">
        <f t="shared" si="21"/>
        <v>0.68</v>
      </c>
      <c r="ED14" s="48">
        <f>((Formula!C14)/(Formula!C14+Formula!E14+Formula!G14+Formula!I14+Formula!K14))*(INDEX(Properties!A$1:CB$87,Formula!B14,45))+((Formula!E14)/(Formula!C14+Formula!E14+Formula!G14+Formula!I14+Formula!K14))*(INDEX(Properties!A$1:CB$87,Formula!D14,45))+((Formula!G14)/(Formula!C14+Formula!E14+Formula!G14+Formula!I14+Formula!K14))*(INDEX(Properties!A$1:CB$87,Formula!F14,45))+((Formula!I14)/(Formula!C14+Formula!E14+Formula!G14+Formula!I14+Formula!K14))*(INDEX(Properties!A$1:CB$87,Formula!H14,45))+((Formula!K14)/(Formula!C14+Formula!E14+Formula!G14+Formula!I14+Formula!K14))*(INDEX(Properties!A$1:CB$87,Formula!J14,45))</f>
        <v>1.1476923076923078</v>
      </c>
      <c r="EE14" s="48">
        <f>Formula!C14*(INDEX(Properties!A$1:CB$87,Formula!B14,45))+Formula!E14*(INDEX(Properties!A$1:CB$87,Formula!D14,45))+Formula!G14*(INDEX(Properties!A$1:CB$87,Formula!F14,45))+Formula!I14*(INDEX(Properties!A$1:CB$87,Formula!H14,45))+Formula!K14*(INDEX(Properties!A$1:CB$87,Formula!J14,45))</f>
        <v>104.44</v>
      </c>
      <c r="EF14" s="48">
        <f>VARP(IF(INDEX(Properties!A$1:CB$87,Formula!B14,45)&lt;&gt;"",INDEX(Properties!A$1:CB$87,Formula!B14,45)),IF(INDEX(Properties!A$1:CB$87,Formula!D14,45)&lt;&gt;"",INDEX(Properties!A$1:CB$87,Formula!D14,45)),IF(INDEX(Properties!A$1:CB$87,Formula!F14,45)&lt;&gt;"",INDEX(Properties!A$1:CB$87,Formula!F14,45)),IF(INDEX(Properties!A$1:CB$87,Formula!H14,45)&lt;&gt;"",INDEX(Properties!A$1:CB$87,Formula!H14,45)),IF(INDEX(Properties!A$1:CB$87,Formula!J14,45)&lt;&gt;"",INDEX(Properties!A$1:CB$87,Formula!J14,45)))</f>
        <v>1.121456</v>
      </c>
      <c r="EG14" s="48">
        <f>MAX(INDEX(Properties!A$1:CB$87,Formula!B14,45),INDEX(Properties!A$1:CB$87,Formula!D14,45),INDEX(Properties!A$1:CB$87,Formula!F14,45),INDEX(Properties!A$1:CB$87,Formula!H14,45),INDEX(Properties!A$1:CB$87,Formula!J14,45))</f>
        <v>3</v>
      </c>
      <c r="EH14" s="48">
        <f>MIN(IF(INDEX(Properties!A$1:CB$87,Formula!B14,45)=0,10^6,INDEX(Properties!A$1:CB$87,Formula!B14,45)),IF(INDEX(Properties!A$1:CB$87,Formula!D14,45)=0,10^6,INDEX(Properties!A$1:CB$87,Formula!D14,45)),IF(INDEX(Properties!A$1:CB$87,Formula!F14,45)=0,10^6,INDEX(Properties!A$1:CB$87,Formula!F14,45)),IF(INDEX(Properties!A$1:CB$87,Formula!H14,45)=0,10^6,INDEX(Properties!A$1:CB$87,Formula!H14,45)),IF(INDEX(Properties!A$1:CB$87,Formula!J14,45)=0,10^6,INDEX(Properties!A$1:CB$87,Formula!J14,45)))</f>
        <v>0.47</v>
      </c>
      <c r="EI14" s="48">
        <f t="shared" si="22"/>
        <v>2.5300000000000002</v>
      </c>
      <c r="EJ14" s="66">
        <f>((Formula!C14)/(Formula!C14+Formula!E14+Formula!G14+Formula!I14+Formula!K14))*(INDEX(Properties!A$1:CB$87,Formula!B14,46))+((Formula!E14)/(Formula!C14+Formula!E14+Formula!G14+Formula!I14+Formula!K14))*(INDEX(Properties!A$1:CB$87,Formula!D14,46))+((Formula!G14)/(Formula!C14+Formula!E14+Formula!G14+Formula!I14+Formula!K14))*(INDEX(Properties!A$1:CB$87,Formula!F14,46))+((Formula!I14)/(Formula!C14+Formula!E14+Formula!G14+Formula!I14+Formula!K14))*(INDEX(Properties!A$1:CB$87,Formula!H14,46))+((Formula!K14)/(Formula!C14+Formula!E14+Formula!G14+Formula!I14+Formula!K14))*(INDEX(Properties!A$1:CB$87,Formula!J14,46))</f>
        <v>1.0465934065934066</v>
      </c>
      <c r="EK14" s="66">
        <f>Formula!C14*(INDEX(Properties!A$1:CB$87,Formula!B14,46))+Formula!E14*(INDEX(Properties!A$1:CB$87,Formula!D14,46))+Formula!G14*(INDEX(Properties!A$1:CB$87,Formula!F14,46))+Formula!I14*(INDEX(Properties!A$1:CB$87,Formula!H14,46))+Formula!K14*(INDEX(Properties!A$1:CB$87,Formula!J14,46))</f>
        <v>95.239999999999981</v>
      </c>
      <c r="EL14" s="66">
        <f>VARP(IF(INDEX(Properties!A$1:CB$87,Formula!B14,46)&lt;&gt;"",INDEX(Properties!A$1:CB$87,Formula!B14,46)),IF(INDEX(Properties!A$1:CB$87,Formula!D14,46)&lt;&gt;"",INDEX(Properties!A$1:CB$87,Formula!D14,46)),IF(INDEX(Properties!A$1:CB$87,Formula!F14,46)&lt;&gt;"",INDEX(Properties!A$1:CB$87,Formula!F14,46)),IF(INDEX(Properties!A$1:CB$87,Formula!H14,46)&lt;&gt;"",INDEX(Properties!A$1:CB$87,Formula!H14,46)),IF(INDEX(Properties!A$1:CB$87,Formula!J14,46)&lt;&gt;"",INDEX(Properties!A$1:CB$87,Formula!J14,46)))</f>
        <v>0.21908000000000002</v>
      </c>
      <c r="EM14" s="66">
        <f>MAX(INDEX(Properties!A$1:CB$87,Formula!B14,46),INDEX(Properties!A$1:CB$87,Formula!D14,46),INDEX(Properties!A$1:CB$87,Formula!F14,46),INDEX(Properties!A$1:CB$87,Formula!H14,46),INDEX(Properties!A$1:CB$87,Formula!J14,46))</f>
        <v>1.21</v>
      </c>
      <c r="EN14" s="66">
        <f>MIN(IF(INDEX(Properties!A$1:CB$87,Formula!B14,46)=0,10^6,INDEX(Properties!A$1:CB$87,Formula!B14,46)),IF(INDEX(Properties!A$1:CB$87,Formula!D14,46)=0,10^6,INDEX(Properties!A$1:CB$87,Formula!D14,46)),IF(INDEX(Properties!A$1:CB$87,Formula!F14,46)=0,10^6,INDEX(Properties!A$1:CB$87,Formula!F14,46)),IF(INDEX(Properties!A$1:CB$87,Formula!H14,46)=0,10^6,INDEX(Properties!A$1:CB$87,Formula!H14,46)),IF(INDEX(Properties!A$1:CB$87,Formula!J14,46)=0,10^6,INDEX(Properties!A$1:CB$87,Formula!J14,46)))</f>
        <v>0.31</v>
      </c>
      <c r="EO14" s="66">
        <f t="shared" si="23"/>
        <v>0.89999999999999991</v>
      </c>
      <c r="EP14" s="81">
        <f>((Formula!C14)/(Formula!C14+Formula!E14+Formula!G14+Formula!I14+Formula!K14))*(INDEX(Properties!A$1:CB$87,Formula!B14,52))+((Formula!E14)/(Formula!C14+Formula!E14+Formula!G14+Formula!I14+Formula!K14))*(INDEX(Properties!A$1:CB$87,Formula!D14,52))+((Formula!G14)/(Formula!C14+Formula!E14+Formula!G14+Formula!I14+Formula!K14))*(INDEX(Properties!A$1:CB$87,Formula!F14,52))+((Formula!I14)/(Formula!C14+Formula!E14+Formula!G14+Formula!I14+Formula!K14))*(INDEX(Properties!A$1:CB$87,Formula!H14,52))+((Formula!K14)/(Formula!C14+Formula!E14+Formula!G14+Formula!I14+Formula!K14))*(INDEX(Properties!A$1:CB$87,Formula!J14,52))</f>
        <v>5.9429450549450555</v>
      </c>
      <c r="EQ14" s="81">
        <f>Formula!C14*(INDEX(Properties!A$1:CB$87,Formula!B14,52))+Formula!E14*(INDEX(Properties!A$1:CB$87,Formula!D14,52))+Formula!G14*(INDEX(Properties!A$1:CB$87,Formula!F14,52))+Formula!I14*(INDEX(Properties!A$1:CB$87,Formula!H14,52))+Formula!K14*(INDEX(Properties!A$1:CB$87,Formula!J14,52))</f>
        <v>540.80799999999999</v>
      </c>
      <c r="ER14" s="81">
        <f>VARP(IF(INDEX(Properties!A$1:CB$87,Formula!B14,52)&lt;&gt;"",INDEX(Properties!A$1:CB$87,Formula!B14,52)),IF(INDEX(Properties!A$1:CB$87,Formula!D14,52)&lt;&gt;"",INDEX(Properties!A$1:CB$87,Formula!D14,52)),IF(INDEX(Properties!A$1:CB$87,Formula!F14,52)&lt;&gt;"",INDEX(Properties!A$1:CB$87,Formula!F14,52)),IF(INDEX(Properties!A$1:CB$87,Formula!H14,52)&lt;&gt;"",INDEX(Properties!A$1:CB$87,Formula!H14,52)),IF(INDEX(Properties!A$1:CB$87,Formula!J14,52)&lt;&gt;"",INDEX(Properties!A$1:CB$87,Formula!J14,52)))</f>
        <v>69.738183839999991</v>
      </c>
      <c r="ES14" s="81">
        <f>MAX(INDEX(Properties!A$1:CB$87,Formula!B14,52),INDEX(Properties!A$1:CB$87,Formula!D14,52),INDEX(Properties!A$1:CB$87,Formula!F14,52),INDEX(Properties!A$1:CB$87,Formula!H14,52),INDEX(Properties!A$1:CB$87,Formula!J14,52))</f>
        <v>22.8</v>
      </c>
      <c r="ET14" s="81">
        <f>MIN(IF(INDEX(Properties!A$1:CB$87,Formula!B14,52)=0,10^6,INDEX(Properties!A$1:CB$87,Formula!B14,52)),IF(INDEX(Properties!A$1:CB$87,Formula!D14,52)=0,10^6,INDEX(Properties!A$1:CB$87,Formula!D14,52)),IF(INDEX(Properties!A$1:CB$87,Formula!F14,52)=0,10^6,INDEX(Properties!A$1:CB$87,Formula!F14,52)),IF(INDEX(Properties!A$1:CB$87,Formula!H14,52)=0,10^6,INDEX(Properties!A$1:CB$87,Formula!H14,52)),IF(INDEX(Properties!A$1:CB$87,Formula!J14,52)=0,10^6,INDEX(Properties!A$1:CB$87,Formula!J14,52)))</f>
        <v>0.79300000000000004</v>
      </c>
      <c r="EU14" s="81">
        <f t="shared" si="24"/>
        <v>22.007000000000001</v>
      </c>
      <c r="EV14" s="39">
        <f>((Formula!C14)/(Formula!C14+Formula!E14+Formula!G14+Formula!I14+Formula!K14))*(INDEX(Properties!A$1:CB$87,Formula!B14,53))+((Formula!E14)/(Formula!C14+Formula!E14+Formula!G14+Formula!I14+Formula!K14))*(INDEX(Properties!A$1:CB$87,Formula!D14,53))+((Formula!G14)/(Formula!C14+Formula!E14+Formula!G14+Formula!I14+Formula!K14))*(INDEX(Properties!A$1:CB$87,Formula!F14,53))+((Formula!I14)/(Formula!C14+Formula!E14+Formula!G14+Formula!I14+Formula!K14))*(INDEX(Properties!A$1:CB$87,Formula!H14,53))+((Formula!K14)/(Formula!C14+Formula!E14+Formula!G14+Formula!I14+Formula!K14))*(INDEX(Properties!A$1:CB$87,Formula!J14,53))</f>
        <v>329.9324175824176</v>
      </c>
      <c r="EW14" s="39">
        <f>Formula!C14*(INDEX(Properties!A$1:CB$87,Formula!B14,53))+Formula!E14*(INDEX(Properties!A$1:CB$87,Formula!D14,53))+Formula!G14*(INDEX(Properties!A$1:CB$87,Formula!F14,53))+Formula!I14*(INDEX(Properties!A$1:CB$87,Formula!H14,53))+Formula!K14*(INDEX(Properties!A$1:CB$87,Formula!J14,53))</f>
        <v>30023.85</v>
      </c>
      <c r="EX14" s="39">
        <f>VARP(IF(INDEX(Properties!A$1:CB$87,Formula!B14,53)&lt;&gt;"",INDEX(Properties!A$1:CB$87,Formula!B14,53)),IF(INDEX(Properties!A$1:CB$87,Formula!D14,53)&lt;&gt;"",INDEX(Properties!A$1:CB$87,Formula!D14,53)),IF(INDEX(Properties!A$1:CB$87,Formula!F14,53)&lt;&gt;"",INDEX(Properties!A$1:CB$87,Formula!F14,53)),IF(INDEX(Properties!A$1:CB$87,Formula!H14,53)&lt;&gt;"",INDEX(Properties!A$1:CB$87,Formula!H14,53)),IF(INDEX(Properties!A$1:CB$87,Formula!J14,53)&lt;&gt;"",INDEX(Properties!A$1:CB$87,Formula!J14,53)))</f>
        <v>174529.31760000001</v>
      </c>
      <c r="EY14" s="39">
        <f>MAX(INDEX(Properties!A$1:CB$87,Formula!B14,53),INDEX(Properties!A$1:CB$87,Formula!D14,53),INDEX(Properties!A$1:CB$87,Formula!F14,53),INDEX(Properties!A$1:CB$87,Formula!H14,53),INDEX(Properties!A$1:CB$87,Formula!J14,53))</f>
        <v>1112.1500000000001</v>
      </c>
      <c r="EZ14" s="39">
        <f>MIN(IF(INDEX(Properties!A$1:CB$87,Formula!B14,53)=0,10^6,INDEX(Properties!A$1:CB$87,Formula!B14,53)),IF(INDEX(Properties!A$1:CB$87,Formula!D14,53)=0,10^6,INDEX(Properties!A$1:CB$87,Formula!D14,53)),IF(INDEX(Properties!A$1:CB$87,Formula!F14,53)=0,10^6,INDEX(Properties!A$1:CB$87,Formula!F14,53)),IF(INDEX(Properties!A$1:CB$87,Formula!H14,53)=0,10^6,INDEX(Properties!A$1:CB$87,Formula!H14,53)),IF(INDEX(Properties!A$1:CB$87,Formula!J14,53)=0,10^6,INDEX(Properties!A$1:CB$87,Formula!J14,53)))</f>
        <v>54.749999999999972</v>
      </c>
      <c r="FA14" s="39">
        <f t="shared" si="25"/>
        <v>1057.4000000000001</v>
      </c>
      <c r="FB14" s="54">
        <f>((Formula!C14)/(Formula!C14+Formula!E14+Formula!G14+Formula!I14+Formula!K14))*(INDEX(Properties!A$1:CB$87,Formula!B14,54))+((Formula!E14)/(Formula!C14+Formula!E14+Formula!G14+Formula!I14+Formula!K14))*(INDEX(Properties!A$1:CB$87,Formula!D14,54))+((Formula!G14)/(Formula!C14+Formula!E14+Formula!G14+Formula!I14+Formula!K14))*(INDEX(Properties!A$1:CB$87,Formula!F14,54))+((Formula!I14)/(Formula!C14+Formula!E14+Formula!G14+Formula!I14+Formula!K14))*(INDEX(Properties!A$1:CB$87,Formula!H14,54))+((Formula!K14)/(Formula!C14+Formula!E14+Formula!G14+Formula!I14+Formula!K14))*(INDEX(Properties!A$1:CB$87,Formula!J14,54))</f>
        <v>533.36978021978018</v>
      </c>
      <c r="FC14" s="54">
        <f>Formula!C14*(INDEX(Properties!A$1:CB$87,Formula!B14,54))+Formula!E14*(INDEX(Properties!A$1:CB$87,Formula!D14,54))+Formula!G14*(INDEX(Properties!A$1:CB$87,Formula!F14,54))+Formula!I14*(INDEX(Properties!A$1:CB$87,Formula!H14,54))+Formula!K14*(INDEX(Properties!A$1:CB$87,Formula!J14,54))</f>
        <v>48536.65</v>
      </c>
      <c r="FD14" s="54">
        <f>VARP(IF(INDEX(Properties!A$1:CB$87,Formula!B14,54)&lt;&gt;"",INDEX(Properties!A$1:CB$87,Formula!B14,54)),IF(INDEX(Properties!A$1:CB$87,Formula!D14,54)&lt;&gt;"",INDEX(Properties!A$1:CB$87,Formula!D14,54)),IF(INDEX(Properties!A$1:CB$87,Formula!F14,54)&lt;&gt;"",INDEX(Properties!A$1:CB$87,Formula!F14,54)),IF(INDEX(Properties!A$1:CB$87,Formula!H14,54)&lt;&gt;"",INDEX(Properties!A$1:CB$87,Formula!H14,54)),IF(INDEX(Properties!A$1:CB$87,Formula!J14,54)&lt;&gt;"",INDEX(Properties!A$1:CB$87,Formula!J14,54)))</f>
        <v>445873.11160000006</v>
      </c>
      <c r="FE14" s="54">
        <f>MAX(INDEX(Properties!A$1:CB$87,Formula!B14,54),INDEX(Properties!A$1:CB$87,Formula!D14,54),INDEX(Properties!A$1:CB$87,Formula!F14,54),INDEX(Properties!A$1:CB$87,Formula!H14,54),INDEX(Properties!A$1:CB$87,Formula!J14,54))</f>
        <v>1757.15</v>
      </c>
      <c r="FF14" s="54">
        <f>MIN(IF(INDEX(Properties!A$1:CB$87,Formula!B14,54)=0,10^6,INDEX(Properties!A$1:CB$87,Formula!B14,54)),IF(INDEX(Properties!A$1:CB$87,Formula!D14,54)=0,10^6,INDEX(Properties!A$1:CB$87,Formula!D14,54)),IF(INDEX(Properties!A$1:CB$87,Formula!F14,54)=0,10^6,INDEX(Properties!A$1:CB$87,Formula!F14,54)),IF(INDEX(Properties!A$1:CB$87,Formula!H14,54)=0,10^6,INDEX(Properties!A$1:CB$87,Formula!H14,54)),IF(INDEX(Properties!A$1:CB$87,Formula!J14,54)=0,10^6,INDEX(Properties!A$1:CB$87,Formula!J14,54)))</f>
        <v>90.149999999999977</v>
      </c>
      <c r="FG14" s="54">
        <f t="shared" si="26"/>
        <v>1667</v>
      </c>
      <c r="FH14" s="69">
        <f>((Formula!C14)/(Formula!C14+Formula!E14+Formula!G14+Formula!I14+Formula!K14))*(INDEX(Properties!A$1:CB$87,Formula!B14,55))+((Formula!E14)/(Formula!C14+Formula!E14+Formula!G14+Formula!I14+Formula!K14))*(INDEX(Properties!A$1:CB$87,Formula!D14,55))+((Formula!G14)/(Formula!C14+Formula!E14+Formula!G14+Formula!I14+Formula!K14))*(INDEX(Properties!A$1:CB$87,Formula!F14,55))+((Formula!I14)/(Formula!C14+Formula!E14+Formula!G14+Formula!I14+Formula!K14))*(INDEX(Properties!A$1:CB$87,Formula!H14,55))+((Formula!K14)/(Formula!C14+Formula!E14+Formula!G14+Formula!I14+Formula!K14))*(INDEX(Properties!A$1:CB$87,Formula!J14,55))</f>
        <v>0.76120967032967035</v>
      </c>
      <c r="FI14" s="69">
        <f>Formula!C14*(INDEX(Properties!A$1:CB$87,Formula!B14,55))+Formula!E14*(INDEX(Properties!A$1:CB$87,Formula!D14,54))+Formula!G14*(INDEX(Properties!A$1:CB$87,Formula!F14,55))+Formula!I14*(INDEX(Properties!A$1:CB$87,Formula!H14,55))+Formula!K14*(INDEX(Properties!A$1:CB$87,Formula!J14,55))</f>
        <v>2413.3100800000002</v>
      </c>
      <c r="FJ14" s="69">
        <f>VARP(IF(INDEX(Properties!A$1:CB$87,Formula!B14,55)&lt;&gt;"",INDEX(Properties!A$1:CB$87,Formula!B14,55)),IF(INDEX(Properties!A$1:CB$87,Formula!D14,55)&lt;&gt;"",INDEX(Properties!A$1:CB$87,Formula!D14,55)),IF(INDEX(Properties!A$1:CB$87,Formula!F14,55)&lt;&gt;"",INDEX(Properties!A$1:CB$87,Formula!F14,55)),IF(INDEX(Properties!A$1:CB$87,Formula!H14,55)&lt;&gt;"",INDEX(Properties!A$1:CB$87,Formula!H14,55)),IF(INDEX(Properties!A$1:CB$87,Formula!J14,55)&lt;&gt;"",INDEX(Properties!A$1:CB$87,Formula!J14,55)))</f>
        <v>6.8991591271840003</v>
      </c>
      <c r="FK14" s="69">
        <f>MAX(INDEX(Properties!A$1:CB$87,Formula!B14,55),INDEX(Properties!A$1:CB$87,Formula!D14,55),INDEX(Properties!A$1:CB$87,Formula!F14,55),INDEX(Properties!A$1:CB$87,Formula!H14,55),INDEX(Properties!A$1:CB$87,Formula!J14,55))</f>
        <v>7.13</v>
      </c>
      <c r="FL14" s="69">
        <f>MIN(IF(INDEX(Properties!A$1:CB$87,Formula!B14,55)=0,10^6,INDEX(Properties!A$1:CB$87,Formula!B14,55)),IF(INDEX(Properties!A$1:CB$87,Formula!D14,55)=0,10^6,INDEX(Properties!A$1:CB$87,Formula!D14,55)),IF(INDEX(Properties!A$1:CB$87,Formula!F14,55)=0,10^6,INDEX(Properties!A$1:CB$87,Formula!F14,55)),IF(INDEX(Properties!A$1:CB$87,Formula!H14,55)=0,10^6,INDEX(Properties!A$1:CB$87,Formula!H14,55)),IF(INDEX(Properties!A$1:CB$87,Formula!J14,55)=0,10^6,INDEX(Properties!A$1:CB$87,Formula!J14,55)))</f>
        <v>1.4300000000000001E-3</v>
      </c>
      <c r="FM14" s="69">
        <f t="shared" si="27"/>
        <v>7.1285699999999999</v>
      </c>
      <c r="FN14" s="42">
        <f>((Formula!C14)/(Formula!C14+Formula!E14+Formula!G14+Formula!I14+Formula!K14))*(INDEX(Properties!A$1:CB$87,Formula!B14,56))+((Formula!E14)/(Formula!C14+Formula!E14+Formula!G14+Formula!I14+Formula!K14))*(INDEX(Properties!A$1:CB$87,Formula!D14,56))+((Formula!G14)/(Formula!C14+Formula!E14+Formula!G14+Formula!I14+Formula!K14))*(INDEX(Properties!A$1:CB$87,Formula!F14,56))+((Formula!I14)/(Formula!C14+Formula!E14+Formula!G14+Formula!I14+Formula!K14))*(INDEX(Properties!A$1:CB$87,Formula!H14,56))+((Formula!K14)/(Formula!C14+Formula!E14+Formula!G14+Formula!I14+Formula!K14))*(INDEX(Properties!A$1:CB$87,Formula!J14,56))</f>
        <v>0.82472527472527479</v>
      </c>
      <c r="FO14" s="42">
        <f>Formula!C14*(INDEX(Properties!A$1:CB$87,Formula!B14,56))+Formula!E14*(INDEX(Properties!A$1:CB$87,Formula!D14,56))+Formula!G14*(INDEX(Properties!A$1:CB$87,Formula!F14,56))+Formula!I14*(INDEX(Properties!A$1:CB$87,Formula!H14,56))+Formula!K14*(INDEX(Properties!A$1:CB$87,Formula!J14,56))</f>
        <v>75.050000000000011</v>
      </c>
      <c r="FP14" s="42">
        <f>VARP(IF(INDEX(Properties!A$1:CB$87,Formula!B14,56)&lt;&gt;"",INDEX(Properties!A$1:CB$87,Formula!B14,56)),IF(INDEX(Properties!A$1:CB$87,Formula!D14,56)&lt;&gt;"",INDEX(Properties!A$1:CB$87,Formula!D14,56)),IF(INDEX(Properties!A$1:CB$87,Formula!F14,56)&lt;&gt;"",INDEX(Properties!A$1:CB$87,Formula!F14,56)),IF(INDEX(Properties!A$1:CB$87,Formula!H14,56)&lt;&gt;"",INDEX(Properties!A$1:CB$87,Formula!H14,56)),IF(INDEX(Properties!A$1:CB$87,Formula!J14,56)&lt;&gt;"",INDEX(Properties!A$1:CB$87,Formula!J14,56)))</f>
        <v>0.10389600000000004</v>
      </c>
      <c r="FQ14" s="42">
        <f>MAX(INDEX(Properties!A$1:CB$87,Formula!B14,56),INDEX(Properties!A$1:CB$87,Formula!D14,56),INDEX(Properties!A$1:CB$87,Formula!F14,56),INDEX(Properties!A$1:CB$87,Formula!H14,56),INDEX(Properties!A$1:CB$87,Formula!J14,56))</f>
        <v>0.92</v>
      </c>
      <c r="FR14" s="42">
        <f>MIN(IF(INDEX(Properties!A$1:CB$87,Formula!B14,56)=0,10^6,INDEX(Properties!A$1:CB$87,Formula!B14,56)),IF(INDEX(Properties!A$1:CB$87,Formula!D14,56)=0,10^6,INDEX(Properties!A$1:CB$87,Formula!D14,56)),IF(INDEX(Properties!A$1:CB$87,Formula!F14,56)=0,10^6,INDEX(Properties!A$1:CB$87,Formula!F14,56)),IF(INDEX(Properties!A$1:CB$87,Formula!H14,56)=0,10^6,INDEX(Properties!A$1:CB$87,Formula!H14,56)),IF(INDEX(Properties!A$1:CB$87,Formula!J14,56)=0,10^6,INDEX(Properties!A$1:CB$87,Formula!J14,56)))</f>
        <v>0.39</v>
      </c>
      <c r="FS14" s="42">
        <f t="shared" si="28"/>
        <v>0.53</v>
      </c>
      <c r="FT14" s="60">
        <f>((Formula!C14)/(Formula!C14+Formula!E14+Formula!G14+Formula!I14+Formula!K14))*(INDEX(Properties!A$1:CB$87,Formula!B14,57))+((Formula!E14)/(Formula!C14+Formula!E14+Formula!G14+Formula!I14+Formula!K14))*(INDEX(Properties!A$1:CB$87,Formula!D14,57))+((Formula!G14)/(Formula!C14+Formula!E14+Formula!G14+Formula!I14+Formula!K14))*(INDEX(Properties!A$1:CB$87,Formula!F14,57))+((Formula!I14)/(Formula!C14+Formula!E14+Formula!G14+Formula!I14+Formula!K14))*(INDEX(Properties!A$1:CB$87,Formula!H14,57))+((Formula!K14)/(Formula!C14+Formula!E14+Formula!G14+Formula!I14+Formula!K14))*(INDEX(Properties!A$1:CB$87,Formula!J14,57))</f>
        <v>2.182055384615385</v>
      </c>
      <c r="FU14" s="60">
        <f>Formula!C14*(INDEX(Properties!A$1:CB$87,Formula!B14,57))+Formula!E14*(INDEX(Properties!A$1:CB$87,Formula!D14,57))+Formula!G14*(INDEX(Properties!A$1:CB$87,Formula!F14,57))+Formula!I14*(INDEX(Properties!A$1:CB$87,Formula!H14,57))+Formula!K14*(INDEX(Properties!A$1:CB$87,Formula!J14,57))</f>
        <v>198.56703999999999</v>
      </c>
      <c r="FV14" s="60">
        <f>VARP(IF(INDEX(Properties!A$1:CB$87,Formula!B14,57)&lt;&gt;"",INDEX(Properties!A$1:CB$87,Formula!B14,57)),IF(INDEX(Properties!A$1:CB$87,Formula!D14,57)&lt;&gt;"",INDEX(Properties!A$1:CB$87,Formula!D14,57)),IF(INDEX(Properties!A$1:CB$87,Formula!F14,57)&lt;&gt;"",INDEX(Properties!A$1:CB$87,Formula!F14,57)),IF(INDEX(Properties!A$1:CB$87,Formula!H14,57)&lt;&gt;"",INDEX(Properties!A$1:CB$87,Formula!H14,57)),IF(INDEX(Properties!A$1:CB$87,Formula!J14,57)&lt;&gt;"",INDEX(Properties!A$1:CB$87,Formula!J14,57)))</f>
        <v>14.193662432496001</v>
      </c>
      <c r="FW14" s="60">
        <f>MAX(INDEX(Properties!A$1:CB$87,Formula!B14,57),INDEX(Properties!A$1:CB$87,Formula!D14,57),INDEX(Properties!A$1:CB$87,Formula!F14,57),INDEX(Properties!A$1:CB$87,Formula!H14,57),INDEX(Properties!A$1:CB$87,Formula!J14,57))</f>
        <v>8.5399999999999991</v>
      </c>
      <c r="FX14" s="60">
        <f>MIN(IF(INDEX(Properties!A$1:CB$87,Formula!B14,57)=0,10^6,INDEX(Properties!A$1:CB$87,Formula!B14,57)),IF(INDEX(Properties!A$1:CB$87,Formula!D14,57)=0,10^6,INDEX(Properties!A$1:CB$87,Formula!D14,57)),IF(INDEX(Properties!A$1:CB$87,Formula!F14,57)=0,10^6,INDEX(Properties!A$1:CB$87,Formula!F14,57)),IF(INDEX(Properties!A$1:CB$87,Formula!H14,57)=0,10^6,INDEX(Properties!A$1:CB$87,Formula!H14,57)),IF(INDEX(Properties!A$1:CB$87,Formula!J14,57)=0,10^6,INDEX(Properties!A$1:CB$87,Formula!J14,57)))</f>
        <v>0.22259000000000001</v>
      </c>
      <c r="FY14" s="60">
        <f t="shared" si="29"/>
        <v>8.3174099999999989</v>
      </c>
      <c r="FZ14" s="72">
        <f>((Formula!C14)/(Formula!C14+Formula!E14+Formula!G14+Formula!I14+Formula!K14))*(INDEX(Properties!A$1:CB$87,Formula!B14,60))+((Formula!E14)/(Formula!C14+Formula!E14+Formula!G14+Formula!I14+Formula!K14))*(INDEX(Properties!A$1:CB$87,Formula!D14,60))+((Formula!G14)/(Formula!C14+Formula!E14+Formula!G14+Formula!I14+Formula!K14))*(INDEX(Properties!A$1:CB$87,Formula!F14,60))+((Formula!I14)/(Formula!C14+Formula!E14+Formula!G14+Formula!I14+Formula!K14))*(INDEX(Properties!A$1:CB$87,Formula!H14,60))+((Formula!K14)/(Formula!C14+Formula!E14+Formula!G14+Formula!I14+Formula!K14))*(INDEX(Properties!A$1:CB$87,Formula!J14,60))</f>
        <v>44.360301538461535</v>
      </c>
      <c r="GA14" s="72">
        <f>Formula!C14*(INDEX(Properties!A$1:CB$87,Formula!B14,60))+Formula!E14*(INDEX(Properties!A$1:CB$87,Formula!D14,60))+Formula!G14*(INDEX(Properties!A$1:CB$87,Formula!F14,60))+Formula!I14*(INDEX(Properties!A$1:CB$87,Formula!H14,60))+Formula!K14*(INDEX(Properties!A$1:CB$87,Formula!J14,60))</f>
        <v>4036.7874400000001</v>
      </c>
      <c r="GB14" s="72">
        <f>VARP(IF(INDEX(Properties!A$1:CB$87,Formula!B14,60)&lt;&gt;"",INDEX(Properties!A$1:CB$87,Formula!B14,60)),IF(INDEX(Properties!A$1:CB$87,Formula!D14,60)&lt;&gt;"",INDEX(Properties!A$1:CB$87,Formula!D14,60)),IF(INDEX(Properties!A$1:CB$87,Formula!F14,60)&lt;&gt;"",INDEX(Properties!A$1:CB$87,Formula!F14,60)),IF(INDEX(Properties!A$1:CB$87,Formula!H14,60)&lt;&gt;"",INDEX(Properties!A$1:CB$87,Formula!H14,60)),IF(INDEX(Properties!A$1:CB$87,Formula!J14,60)&lt;&gt;"",INDEX(Properties!A$1:CB$87,Formula!J14,60)))</f>
        <v>6690.3516604924134</v>
      </c>
      <c r="GC14" s="72">
        <f>MAX(INDEX(Properties!A$1:CB$87,Formula!B14,60),INDEX(Properties!A$1:CB$87,Formula!D14,60),INDEX(Properties!A$1:CB$87,Formula!F14,60),INDEX(Properties!A$1:CB$87,Formula!H14,60),INDEX(Properties!A$1:CB$87,Formula!J14,60))</f>
        <v>200</v>
      </c>
      <c r="GD14" s="72">
        <f>MIN(IF(INDEX(Properties!A$1:CB$87,Formula!B14,60)=0,10^6,INDEX(Properties!A$1:CB$87,Formula!B14,60)),IF(INDEX(Properties!A$1:CB$87,Formula!D14,60)=0,10^6,INDEX(Properties!A$1:CB$87,Formula!D14,60)),IF(INDEX(Properties!A$1:CB$87,Formula!F14,60)=0,10^6,INDEX(Properties!A$1:CB$87,Formula!F14,60)),IF(INDEX(Properties!A$1:CB$87,Formula!H14,60)=0,10^6,INDEX(Properties!A$1:CB$87,Formula!H14,60)),IF(INDEX(Properties!A$1:CB$87,Formula!J14,60)=0,10^6,INDEX(Properties!A$1:CB$87,Formula!J14,60)))</f>
        <v>2.674E-2</v>
      </c>
      <c r="GE14" s="72">
        <f t="shared" si="30"/>
        <v>199.97326000000001</v>
      </c>
      <c r="GF14" s="51">
        <f>((Formula!C14)/(Formula!C14+Formula!E14+Formula!G14+Formula!I14+Formula!K14))*(INDEX(Properties!A$1:CB$87,Formula!B14,62))+((Formula!E14)/(Formula!C14+Formula!E14+Formula!G14+Formula!I14+Formula!K14))*(INDEX(Properties!A$1:CB$87,Formula!D14,62))+((Formula!G14)/(Formula!C14+Formula!E14+Formula!G14+Formula!I14+Formula!K14))*(INDEX(Properties!A$1:CB$87,Formula!F14,62))+((Formula!I14)/(Formula!C14+Formula!E14+Formula!G14+Formula!I14+Formula!K14))*(INDEX(Properties!A$1:CB$87,Formula!H14,62))+((Formula!K14)/(Formula!C14+Formula!E14+Formula!G14+Formula!I14+Formula!K14))*(INDEX(Properties!A$1:CB$87,Formula!J14,62))</f>
        <v>2.5538461538461541</v>
      </c>
      <c r="GG14" s="51">
        <f>Formula!C14*(INDEX(Properties!A$1:CB$87,Formula!B14,62))+Formula!E14*(INDEX(Properties!A$1:CB$87,Formula!D14,62))+Formula!G14*(INDEX(Properties!A$1:CB$87,Formula!F14,62))+Formula!I14*(INDEX(Properties!A$1:CB$87,Formula!H14,62))+Formula!K14*(INDEX(Properties!A$1:CB$87,Formula!J14,62))</f>
        <v>232.4</v>
      </c>
      <c r="GH14" s="51">
        <f>VARP(IF(INDEX(Properties!A$1:CB$87,Formula!B14,62)&lt;&gt;"",INDEX(Properties!A$1:CB$87,Formula!B14,62)),IF(INDEX(Properties!A$1:CB$87,Formula!D14,62)&lt;&gt;"",INDEX(Properties!A$1:CB$87,Formula!D14,62)),IF(INDEX(Properties!A$1:CB$87,Formula!F14,62)&lt;&gt;"",INDEX(Properties!A$1:CB$87,Formula!F14,62)),IF(INDEX(Properties!A$1:CB$87,Formula!H14,62)&lt;&gt;"",INDEX(Properties!A$1:CB$87,Formula!H14,62)),IF(INDEX(Properties!A$1:CB$87,Formula!J14,62)&lt;&gt;"",INDEX(Properties!A$1:CB$87,Formula!J14,62)))</f>
        <v>1.3523759999999982</v>
      </c>
      <c r="GI14" s="51">
        <f>MAX(INDEX(Properties!A$1:CB$87,Formula!B14,62),INDEX(Properties!A$1:CB$87,Formula!D14,62),INDEX(Properties!A$1:CB$87,Formula!F14,62),INDEX(Properties!A$1:CB$87,Formula!H14,62),INDEX(Properties!A$1:CB$87,Formula!J14,62))</f>
        <v>3.43</v>
      </c>
      <c r="GJ14" s="51">
        <f>MIN(IF(INDEX(Properties!A$1:CB$87,Formula!B14,62)=0,10^6,INDEX(Properties!A$1:CB$87,Formula!B14,62)),IF(INDEX(Properties!A$1:CB$87,Formula!D14,62)=0,10^6,INDEX(Properties!A$1:CB$87,Formula!D14,62)),IF(INDEX(Properties!A$1:CB$87,Formula!F14,62)=0,10^6,INDEX(Properties!A$1:CB$87,Formula!F14,62)),IF(INDEX(Properties!A$1:CB$87,Formula!H14,62)=0,10^6,INDEX(Properties!A$1:CB$87,Formula!H14,62)),IF(INDEX(Properties!A$1:CB$87,Formula!J14,62)=0,10^6,INDEX(Properties!A$1:CB$87,Formula!J14,62)))</f>
        <v>1.35</v>
      </c>
      <c r="GK14" s="51">
        <f t="shared" si="31"/>
        <v>2.08</v>
      </c>
      <c r="GL14" s="51">
        <f>Formula!P14</f>
        <v>161</v>
      </c>
      <c r="GM14" s="57">
        <f>Formula!O14</f>
        <v>5</v>
      </c>
      <c r="GN14" s="51">
        <f>Formula!N14</f>
        <v>0.1</v>
      </c>
    </row>
    <row r="15" spans="1:196" s="5" customFormat="1" x14ac:dyDescent="0.3">
      <c r="A15" s="84" t="str">
        <f>Formula!A15</f>
        <v>Ca3Y2Ge3O12</v>
      </c>
      <c r="B15" s="89">
        <f>((Formula!C15)/(Formula!C15+Formula!E15+Formula!G15+Formula!I15+Formula!K15))*(INDEX(Properties!A$1:CB$87,Formula!B15,3))+((Formula!E15)/(Formula!C15+Formula!E15+Formula!G15+Formula!I15+Formula!K15))*(INDEX(Properties!A$1:CB$87,Formula!D15,3))+((Formula!G15)/(Formula!C15+Formula!E15+Formula!G15+Formula!I15+Formula!K15))*(INDEX(Properties!A$1:CB$87,Formula!F15,3))+((Formula!I15)/(Formula!C15+Formula!E15+Formula!G15+Formula!I15+Formula!K15))*(INDEX(Properties!A$1:CB$87,Formula!H15,3))+((Formula!K15)/(Formula!C15+Formula!E15+Formula!G15+Formula!I15+Formula!K15))*(INDEX(Properties!A$1:CB$87,Formula!J15,3))</f>
        <v>35.396424000000003</v>
      </c>
      <c r="C15" s="85">
        <f>Formula!C15*(INDEX(Properties!A$1:CB$87,Formula!B15,3))+Formula!E15*(INDEX(Properties!A$1:CB$87,Formula!D15,3))+Formula!G15*(INDEX(Properties!A$1:CB$87,Formula!F15,3))+Formula!I15*(INDEX(Properties!A$1:CB$87,Formula!H15,3))+Formula!K15*(INDEX(Properties!A$1:CB$87,Formula!J15,3))</f>
        <v>707.92848000000004</v>
      </c>
      <c r="D15" s="85">
        <f>VARP(IF(INDEX(Properties!A$1:CB$87,Formula!B15,3)&lt;&gt;"",INDEX(Properties!A$1:CB$87,Formula!B15,3)),IF(INDEX(Properties!A$1:CB$87,Formula!D15,3)&lt;&gt;"",INDEX(Properties!A$1:CB$87,Formula!D15,3)),IF(INDEX(Properties!A$1:CB$87,Formula!F15,3)&lt;&gt;"",INDEX(Properties!A$1:CB$87,Formula!F15,3)),IF(INDEX(Properties!A$1:CB$87,Formula!H15,3)&lt;&gt;"",INDEX(Properties!A$1:CB$87,Formula!H15,3)),IF(INDEX(Properties!A$1:CB$87,Formula!J15,3)&lt;&gt;"",INDEX(Properties!A$1:CB$87,Formula!J15,3)))</f>
        <v>1114.0975451612157</v>
      </c>
      <c r="E15" s="85">
        <f>MAX(INDEX(Properties!A$1:CB$87,Formula!B15,3),INDEX(Properties!A$1:CB$87,Formula!D15,3),INDEX(Properties!A$1:CB$87,Formula!F15,3),INDEX(Properties!A$1:CB$87,Formula!H15,3),INDEX(Properties!A$1:CB$87,Formula!J15,3))</f>
        <v>88.905839999999998</v>
      </c>
      <c r="F15" s="85">
        <f>MIN(IF(INDEX(Properties!A$1:CB$87,Formula!B15,3)=0,10^6,INDEX(Properties!A$1:CB$87,Formula!B15,3)),IF(INDEX(Properties!A$1:CB$87,Formula!D15,3)=0,10^6,INDEX(Properties!A$1:CB$87,Formula!D15,3)),IF(INDEX(Properties!A$1:CB$87,Formula!F15,3)=0,10^6,INDEX(Properties!A$1:CB$87,Formula!F15,3)),IF(INDEX(Properties!A$1:CB$87,Formula!H15,3)=0,10^6,INDEX(Properties!A$1:CB$87,Formula!H15,3)),IF(INDEX(Properties!A$1:CB$87,Formula!J15,3)=0,10^6,INDEX(Properties!A$1:CB$87,Formula!J15,3)))</f>
        <v>15.9994</v>
      </c>
      <c r="G15" s="85">
        <f t="shared" si="0"/>
        <v>72.906440000000003</v>
      </c>
      <c r="H15" s="87">
        <f>((Formula!C15)/(Formula!C15+Formula!E15+Formula!G15+Formula!I15+Formula!K15))*(INDEX(Properties!A$1:CB$87,Formula!B15,4))+((Formula!E15)/(Formula!C15+Formula!E15+Formula!G15+Formula!I15+Formula!K15))*(INDEX(Properties!A$1:CB$87,Formula!D15,4))+((Formula!G15)/(Formula!C15+Formula!E15+Formula!G15+Formula!I15+Formula!K15))*(INDEX(Properties!A$1:CB$87,Formula!F15,4))+((Formula!I15)/(Formula!C15+Formula!E15+Formula!G15+Formula!I15+Formula!K15))*(INDEX(Properties!A$1:CB$87,Formula!H15,4))+((Formula!K15)/(Formula!C15+Formula!E15+Formula!G15+Formula!I15+Formula!K15))*(INDEX(Properties!A$1:CB$87,Formula!J15,4))</f>
        <v>16.5</v>
      </c>
      <c r="I15" s="87">
        <f>Formula!C15*(INDEX(Properties!A$1:CB$87,Formula!B15,4))+Formula!E15*(INDEX(Properties!A$1:CB$87,Formula!D15,4))+Formula!G15*(INDEX(Properties!A$1:CB$87,Formula!F15,4))+Formula!I15*(INDEX(Properties!A$1:CB$87,Formula!H15,4))+Formula!K15*(INDEX(Properties!A$1:CB$87,Formula!J15,4))</f>
        <v>330</v>
      </c>
      <c r="J15" s="87">
        <f>VARP(IF(INDEX(Properties!A$1:CB$87,Formula!B15,4)&lt;&gt;"",INDEX(Properties!A$1:CB$87,Formula!B15,4)),IF(INDEX(Properties!A$1:CB$87,Formula!D15,4)&lt;&gt;"",INDEX(Properties!A$1:CB$87,Formula!D15,4)),IF(INDEX(Properties!A$1:CB$87,Formula!F15,4)&lt;&gt;"",INDEX(Properties!A$1:CB$87,Formula!F15,4)),IF(INDEX(Properties!A$1:CB$87,Formula!H15,4)&lt;&gt;"",INDEX(Properties!A$1:CB$87,Formula!H15,4)),IF(INDEX(Properties!A$1:CB$87,Formula!J15,4)&lt;&gt;"",INDEX(Properties!A$1:CB$87,Formula!J15,4)))</f>
        <v>209.76</v>
      </c>
      <c r="K15" s="87">
        <f>MAX(INDEX(Properties!A$1:CB$87,Formula!B15,4),INDEX(Properties!A$1:CB$87,Formula!D15,4),INDEX(Properties!A$1:CB$87,Formula!F15,4),INDEX(Properties!A$1:CB$87,Formula!H15,4),INDEX(Properties!A$1:CB$87,Formula!J15,4))</f>
        <v>39</v>
      </c>
      <c r="L15" s="87">
        <f>MIN(IF(INDEX(Properties!A$1:CB$87,Formula!B15,4)=0,10^6,INDEX(Properties!A$1:CB$87,Formula!B15,4)),IF(INDEX(Properties!A$1:CB$87,Formula!D15,4)=0,10^6,INDEX(Properties!A$1:CB$87,Formula!D15,4)),IF(INDEX(Properties!A$1:CB$87,Formula!F15,4)=0,10^6,INDEX(Properties!A$1:CB$87,Formula!F15,4)),IF(INDEX(Properties!A$1:CB$87,Formula!H15,4)=0,10^6,INDEX(Properties!A$1:CB$87,Formula!H15,4)),IF(INDEX(Properties!A$1:CB$87,Formula!J15,4)=0,10^6,INDEX(Properties!A$1:CB$87,Formula!J15,4)))</f>
        <v>8</v>
      </c>
      <c r="M15" s="87">
        <f t="shared" si="1"/>
        <v>31</v>
      </c>
      <c r="N15" s="89">
        <f>((Formula!C15)/(Formula!C15+Formula!E15+Formula!G15+Formula!I15+Formula!K15))*(INDEX(Properties!A$1:CB$87,Formula!B15,5))+((Formula!E15)/(Formula!C15+Formula!E15+Formula!G15+Formula!I15+Formula!K15))*(INDEX(Properties!A$1:CB$87,Formula!D15,5))+((Formula!G15)/(Formula!C15+Formula!E15+Formula!G15+Formula!I15+Formula!K15))*(INDEX(Properties!A$1:CB$87,Formula!F15,5))+((Formula!I15)/(Formula!C15+Formula!E15+Formula!G15+Formula!I15+Formula!K15))*(INDEX(Properties!A$1:CB$87,Formula!H15,5))+((Formula!K15)/(Formula!C15+Formula!E15+Formula!G15+Formula!I15+Formula!K15))*(INDEX(Properties!A$1:CB$87,Formula!J15,5))</f>
        <v>2.9000000000000004</v>
      </c>
      <c r="O15" s="89">
        <f>Formula!C15*(INDEX(Properties!A$1:CB$87,Formula!B15,5))+Formula!E15*(INDEX(Properties!A$1:CB$87,Formula!D15,5))+Formula!G15*(INDEX(Properties!A$1:CB$87,Formula!F15,5))+Formula!I15*(INDEX(Properties!A$1:CB$87,Formula!H15,5))+Formula!K15*(INDEX(Properties!A$1:CB$87,Formula!J15,5))</f>
        <v>58</v>
      </c>
      <c r="P15" s="89">
        <f>VARP(IF(INDEX(Properties!A$1:CB$87,Formula!B15,5)&lt;&gt;"",INDEX(Properties!A$1:CB$87,Formula!B15,5)),IF(INDEX(Properties!A$1:CB$87,Formula!D15,5)&lt;&gt;"",INDEX(Properties!A$1:CB$87,Formula!D15,5)),IF(INDEX(Properties!A$1:CB$87,Formula!F15,5)&lt;&gt;"",INDEX(Properties!A$1:CB$87,Formula!F15,5)),IF(INDEX(Properties!A$1:CB$87,Formula!H15,5)&lt;&gt;"",INDEX(Properties!A$1:CB$87,Formula!H15,5)),IF(INDEX(Properties!A$1:CB$87,Formula!J15,5)&lt;&gt;"",INDEX(Properties!A$1:CB$87,Formula!J15,5)))</f>
        <v>3.2</v>
      </c>
      <c r="Q15" s="89">
        <f>MAX(INDEX(Properties!A$1:CB$87,Formula!B15,5),INDEX(Properties!A$1:CB$87,Formula!D15,5),INDEX(Properties!A$1:CB$87,Formula!F15,5),INDEX(Properties!A$1:CB$87,Formula!H15,5),INDEX(Properties!A$1:CB$87,Formula!J15,5))</f>
        <v>5</v>
      </c>
      <c r="R15" s="89">
        <f>MIN(IF(INDEX(Properties!A$1:CB$87,Formula!B15,5)=0,10^6,INDEX(Properties!A$1:CB$87,Formula!B15,5)),IF(INDEX(Properties!A$1:CB$87,Formula!D15,5)=0,10^6,INDEX(Properties!A$1:CB$87,Formula!D15,5)),IF(INDEX(Properties!A$1:CB$87,Formula!F15,5)=0,10^6,INDEX(Properties!A$1:CB$87,Formula!F15,5)),IF(INDEX(Properties!A$1:CB$87,Formula!H15,5)=0,10^6,INDEX(Properties!A$1:CB$87,Formula!H15,5)),IF(INDEX(Properties!A$1:CB$87,Formula!J15,5)=0,10^6,INDEX(Properties!A$1:CB$87,Formula!J15,5)))</f>
        <v>2</v>
      </c>
      <c r="S15" s="89">
        <f t="shared" si="2"/>
        <v>3</v>
      </c>
      <c r="T15" s="60">
        <f>((Formula!C15)/(Formula!C15+Formula!E15+Formula!G15+Formula!I15+Formula!K15))*(INDEX(Properties!A$1:CB$87,Formula!B15,6))+((Formula!E15)/(Formula!C15+Formula!E15+Formula!G15+Formula!I15+Formula!K15))*(INDEX(Properties!A$1:CB$87,Formula!D15,6))+((Formula!G15)/(Formula!C15+Formula!E15+Formula!G15+Formula!I15+Formula!K15))*(INDEX(Properties!A$1:CB$87,Formula!F15,6))+((Formula!I15)/(Formula!C15+Formula!E15+Formula!G15+Formula!I15+Formula!K15))*(INDEX(Properties!A$1:CB$87,Formula!H15,6))+((Formula!K15)/(Formula!C15+Formula!E15+Formula!G15+Formula!I15+Formula!K15))*(INDEX(Properties!A$1:CB$87,Formula!J15,6))</f>
        <v>12.3</v>
      </c>
      <c r="U15" s="60">
        <f>Formula!C15*(INDEX(Properties!A$1:CB$87,Formula!B15,6))+Formula!E15*(INDEX(Properties!A$1:CB$87,Formula!D15,6))+Formula!G15*(INDEX(Properties!A$1:CB$87,Formula!F15,6))+Formula!I15*(INDEX(Properties!A$1:CB$87,Formula!H15,6))+Formula!K15*(INDEX(Properties!A$1:CB$87,Formula!J15,6))</f>
        <v>246</v>
      </c>
      <c r="V15" s="89">
        <f>VARP(IF(INDEX(Properties!A$1:CB$87,Formula!B15,6)&lt;&gt;"",INDEX(Properties!A$1:CB$87,Formula!B15,6)),IF(INDEX(Properties!A$1:CB$87,Formula!D15,6)&lt;&gt;"",INDEX(Properties!A$1:CB$87,Formula!D15,6)),IF(INDEX(Properties!A$1:CB$87,Formula!F15,6)&lt;&gt;"",INDEX(Properties!A$1:CB$87,Formula!F15,6)),IF(INDEX(Properties!A$1:CB$87,Formula!H15,6)&lt;&gt;"",INDEX(Properties!A$1:CB$87,Formula!H15,6)),IF(INDEX(Properties!A$1:CB$87,Formula!J15,6)&lt;&gt;"",INDEX(Properties!A$1:CB$87,Formula!J15,6)))</f>
        <v>44</v>
      </c>
      <c r="W15" s="60">
        <f>MAX(INDEX(Properties!A$1:CB$87,Formula!B15,6),INDEX(Properties!A$1:CB$87,Formula!D15,6),INDEX(Properties!A$1:CB$87,Formula!F15,6),INDEX(Properties!A$1:CB$87,Formula!H15,4),INDEX(Properties!A$1:CB$87,Formula!J15,6))</f>
        <v>14</v>
      </c>
      <c r="X15" s="60">
        <f>MIN(IF(INDEX(Properties!A$1:CB$87,Formula!B15,6)=0,10^6,INDEX(Properties!A$1:CB$87,Formula!B15,6)),IF(INDEX(Properties!A$1:CB$87,Formula!D15,6)=0,10^6,INDEX(Properties!A$1:CB$87,Formula!D15,6)),IF(INDEX(Properties!A$1:CB$87,Formula!F15,6)=0,10^6,INDEX(Properties!A$1:CB$87,Formula!F15,6)),IF(INDEX(Properties!A$1:CB$87,Formula!H15,6)=0,10^6,INDEX(Properties!A$1:CB$87,Formula!H15,6)),IF(INDEX(Properties!A$1:CB$87,Formula!J15,6)=0,10^6,INDEX(Properties!A$1:CB$87,Formula!J15,6)))</f>
        <v>2</v>
      </c>
      <c r="Y15" s="60">
        <f t="shared" si="3"/>
        <v>12</v>
      </c>
      <c r="Z15" s="72">
        <f>((Formula!C15)/(Formula!C15+Formula!E15+Formula!G15+Formula!I15+Formula!K15))*(INDEX(Properties!A$1:CB$87,Formula!B15,9))+((Formula!E15)/(Formula!C15+Formula!E15+Formula!G15+Formula!I15+Formula!K15))*(INDEX(Properties!A$1:CB$87,Formula!D15,9))+((Formula!G15)/(Formula!C15+Formula!E15+Formula!G15+Formula!I15+Formula!K15))*(INDEX(Properties!A$1:CB$87,Formula!F15,9))+((Formula!I15)/(Formula!C15+Formula!E15+Formula!G15+Formula!I15+Formula!K15))*(INDEX(Properties!A$1:CB$87,Formula!H15,9))+((Formula!K15)/(Formula!C15+Formula!E15+Formula!G15+Formula!I15+Formula!K15))*(INDEX(Properties!A$1:CB$87,Formula!J15,9))</f>
        <v>66.3</v>
      </c>
      <c r="AA15" s="72">
        <f>Formula!C15*(INDEX(Properties!A$1:CB$87,Formula!B15,9))+Formula!E15*(INDEX(Properties!A$1:CB$87,Formula!D15,9))+Formula!G15*(INDEX(Properties!A$1:CB$87,Formula!F15,9))+Formula!I15*(INDEX(Properties!A$1:CB$87,Formula!H15,9))+Formula!K15*(INDEX(Properties!A$1:CB$87,Formula!J15,9))</f>
        <v>1326</v>
      </c>
      <c r="AB15" s="72">
        <f>VARP(IF(INDEX(Properties!A$1:CB$87,Formula!B15,9)&lt;&gt;"",INDEX(Properties!A$1:CB$87,Formula!B15,9)),IF(INDEX(Properties!A$1:CB$87,Formula!D15,9)&lt;&gt;"",INDEX(Properties!A$1:CB$87,Formula!D15,9)),IF(INDEX(Properties!A$1:CB$87,Formula!F15,9)&lt;&gt;"",INDEX(Properties!A$1:CB$87,Formula!F15,9)),IF(INDEX(Properties!A$1:CB$87,Formula!H15,9)&lt;&gt;"",INDEX(Properties!A$1:CB$87,Formula!H15,9)),IF(INDEX(Properties!A$1:CB$87,Formula!J15,9)&lt;&gt;"",INDEX(Properties!A$1:CB$87,Formula!J15,9)))</f>
        <v>1431.6</v>
      </c>
      <c r="AC15" s="72">
        <f>MAX(INDEX(Properties!A$1:CB$87,Formula!B15,9),INDEX(Properties!A$1:CB$87,Formula!D15,9),INDEX(Properties!A$1:CB$87,Formula!F15,9),INDEX(Properties!A$1:CB$87,Formula!H15,9),INDEX(Properties!A$1:CB$87,Formula!J15,9))</f>
        <v>87</v>
      </c>
      <c r="AD15" s="72">
        <f>MIN(IF(INDEX(Properties!A$1:CB$87,Formula!B15,9)=0,10^6,INDEX(Properties!A$1:CB$87,Formula!B15,9)),IF(INDEX(Properties!A$1:CB$87,Formula!D15,9)=0,10^6,INDEX(Properties!A$1:CB$87,Formula!D15,9)),IF(INDEX(Properties!A$1:CB$87,Formula!F15,9)=0,10^6,INDEX(Properties!A$1:CB$87,Formula!F15,9)),IF(INDEX(Properties!A$1:CB$87,Formula!H15,9)=0,10^6,INDEX(Properties!A$1:CB$87,Formula!H15,9)),IF(INDEX(Properties!A$1:CB$87,Formula!J15,9)=0,10^6,INDEX(Properties!A$1:CB$87,Formula!J15,9)))</f>
        <v>7</v>
      </c>
      <c r="AE15" s="72">
        <f t="shared" si="4"/>
        <v>80</v>
      </c>
      <c r="AF15" s="51">
        <f>((Formula!C15)/(Formula!C15+Formula!E15+Formula!G15+Formula!I15+Formula!K15))*(INDEX(Properties!A$1:CB$87,Formula!B15,10))+((Formula!E15)/(Formula!C15+Formula!E15+Formula!G15+Formula!I15+Formula!K15))*(INDEX(Properties!A$1:CB$87,Formula!D15,10))+((Formula!G15)/(Formula!C15+Formula!E15+Formula!G15+Formula!I15+Formula!K15))*(INDEX(Properties!A$1:CB$87,Formula!F15,10))+((Formula!I15)/(Formula!C15+Formula!E15+Formula!G15+Formula!I15+Formula!K15))*(INDEX(Properties!A$1:CB$87,Formula!H15,10))+((Formula!K15)/(Formula!C15+Formula!E15+Formula!G15+Formula!I15+Formula!K15))*(INDEX(Properties!A$1:CB$87,Formula!J15,10))</f>
        <v>5.7</v>
      </c>
      <c r="AG15" s="51">
        <f>Formula!C15*(INDEX(Properties!A$1:CB$87,Formula!B15,10))+Formula!E15*(INDEX(Properties!A$1:CB$87,Formula!D15,10))+Formula!G15*(INDEX(Properties!A$1:CB$87,Formula!F15,10))+Formula!I15*(INDEX(Properties!A$1:CB$87,Formula!H15,10))+Formula!K15*(INDEX(Properties!A$1:CB$87,Formula!J15,10))</f>
        <v>114</v>
      </c>
      <c r="AH15" s="51">
        <f>VARP(IF(INDEX(Properties!A$1:CB$87,Formula!B15,10)&lt;&gt;"",INDEX(Properties!A$1:CB$87,Formula!B15,10)),IF(INDEX(Properties!A$1:CB$87,Formula!D15,10)&lt;&gt;"",INDEX(Properties!A$1:CB$87,Formula!D15,10)),IF(INDEX(Properties!A$1:CB$87,Formula!F15,10)&lt;&gt;"",INDEX(Properties!A$1:CB$87,Formula!F15,10)),IF(INDEX(Properties!A$1:CB$87,Formula!H15,10)&lt;&gt;"",INDEX(Properties!A$1:CB$87,Formula!H15,10)),IF(INDEX(Properties!A$1:CB$87,Formula!J15,10)&lt;&gt;"",INDEX(Properties!A$1:CB$87,Formula!J15,10)))</f>
        <v>6.64</v>
      </c>
      <c r="AI15" s="51">
        <f>MAX(INDEX(Properties!A$1:CB$87,Formula!B15,10),INDEX(Properties!A$1:CB$87,Formula!D15,10),INDEX(Properties!A$1:CB$87,Formula!F15,10),INDEX(Properties!A$1:CB$87,Formula!H15,10),INDEX(Properties!A$1:CB$87,Formula!J15,10))</f>
        <v>7</v>
      </c>
      <c r="AJ15" s="51">
        <f>MIN(IF(INDEX(Properties!A$1:CB$87,Formula!B15,10)=0,10^6,INDEX(Properties!A$1:CB$87,Formula!B15,10)),IF(INDEX(Properties!A$1:CB$87,Formula!D15,10)=0,10^6,INDEX(Properties!A$1:CB$87,Formula!D15,10)),IF(INDEX(Properties!A$1:CB$87,Formula!F15,10)=0,10^6,INDEX(Properties!A$1:CB$87,Formula!F15,10)),IF(INDEX(Properties!A$1:CB$87,Formula!H15,10)=0,10^6,INDEX(Properties!A$1:CB$87,Formula!H15,10)),IF(INDEX(Properties!A$1:CB$87,Formula!J15,10)=0,10^6,INDEX(Properties!A$1:CB$87,Formula!J15,10)))</f>
        <v>2</v>
      </c>
      <c r="AK15" s="51">
        <f t="shared" si="5"/>
        <v>5</v>
      </c>
      <c r="AL15" s="57">
        <f>((Formula!C15)/(Formula!C15+Formula!E15+Formula!G15+Formula!I15+Formula!K15))*(INDEX(Properties!A$1:CB$87,Formula!B15,11))+((Formula!E15)/(Formula!C15+Formula!E15+Formula!G15+Formula!I15+Formula!K15))*(INDEX(Properties!A$1:CB$87,Formula!D15,11))+((Formula!G15)/(Formula!C15+Formula!E15+Formula!G15+Formula!I15+Formula!K15))*(INDEX(Properties!A$1:CB$87,Formula!F15,11))+((Formula!I15)/(Formula!C15+Formula!E15+Formula!G15+Formula!I15+Formula!K15))*(INDEX(Properties!A$1:CB$87,Formula!H15,11))+((Formula!K15)/(Formula!C15+Formula!E15+Formula!G15+Formula!I15+Formula!K15))*(INDEX(Properties!A$1:CB$87,Formula!J15,11))</f>
        <v>2</v>
      </c>
      <c r="AM15" s="57">
        <f>Formula!C15*(INDEX(Properties!A$1:CB$87,Formula!B15,11))+Formula!E15*(INDEX(Properties!A$1:CB$87,Formula!D15,11))+Formula!G15*(INDEX(Properties!A$1:CB$87,Formula!F15,11))+Formula!I15*(INDEX(Properties!A$1:CB$87,Formula!H15,11))+Formula!K15*(INDEX(Properties!A$1:CB$87,Formula!J15,11))</f>
        <v>40</v>
      </c>
      <c r="AN15" s="57">
        <f>VARP(IF(INDEX(Properties!A$1:CB$87,Formula!B15,11)&lt;&gt;"",INDEX(Properties!A$1:CB$87,Formula!B15,11)),IF(INDEX(Properties!A$1:CB$87,Formula!D15,11)&lt;&gt;"",INDEX(Properties!A$1:CB$87,Formula!D15,11)),IF(INDEX(Properties!A$1:CB$87,Formula!F15,11)&lt;&gt;"",INDEX(Properties!A$1:CB$87,Formula!F15,11)),IF(INDEX(Properties!A$1:CB$87,Formula!H15,11)&lt;&gt;"",INDEX(Properties!A$1:CB$87,Formula!H15,11)),IF(INDEX(Properties!A$1:CB$87,Formula!J15,11)&lt;&gt;"",INDEX(Properties!A$1:CB$87,Formula!J15,11)))</f>
        <v>0.64</v>
      </c>
      <c r="AO15" s="57">
        <f>MAX(INDEX(Properties!A$1:CB$87,Formula!B15,11),INDEX(Properties!A$1:CB$87,Formula!D15,11),INDEX(Properties!A$1:CB$87,Formula!F15,11),INDEX(Properties!A$1:CB$87,Formula!H15,11),INDEX(Properties!A$1:CB$87,Formula!J15,11))</f>
        <v>2</v>
      </c>
      <c r="AP15" s="57">
        <f>MIN(IF(Formula!B15=87,10^6,INDEX(Properties!A$1:CB$87,Formula!B15,11)),IF((Formula!D15)=87,10^6,INDEX(Properties!A$1:CB$87,Formula!D15,11)),IF((Formula!F15)=87,10^6,INDEX(Properties!A$1:CB$87,Formula!F15,11)),IF((Formula!H15)=87,10^6,INDEX(Properties!A$1:CB$87,Formula!H15,11)),IF(Formula!J15=87,10^6,INDEX(Properties!A$1:CB$87,Formula!J15,11)))</f>
        <v>2</v>
      </c>
      <c r="AQ15" s="57">
        <f t="shared" si="6"/>
        <v>0</v>
      </c>
      <c r="AR15" s="78">
        <f>((Formula!C15)/(Formula!C15+Formula!E15+Formula!G15+Formula!I15+Formula!K15))*(INDEX(Properties!A$1:CB$87,Formula!B15,12))+((Formula!E15)/(Formula!C15+Formula!E15+Formula!G15+Formula!I15+Formula!K15))*(INDEX(Properties!A$1:CB$87,Formula!D15,12))+((Formula!G15)/(Formula!C15+Formula!E15+Formula!G15+Formula!I15+Formula!K15))*(INDEX(Properties!A$1:CB$87,Formula!F15,12))+((Formula!I15)/(Formula!C15+Formula!E15+Formula!G15+Formula!I15+Formula!K15))*(INDEX(Properties!A$1:CB$87,Formula!H15,12))+((Formula!K15)/(Formula!C15+Formula!E15+Formula!G15+Formula!I15+Formula!K15))*(INDEX(Properties!A$1:CB$87,Formula!J15,12))</f>
        <v>2.6999999999999997</v>
      </c>
      <c r="AS15" s="78">
        <f>Formula!C15*(INDEX(Properties!A$1:CB$87,Formula!B15,12))+Formula!E15*(INDEX(Properties!A$1:CB$87,Formula!D15,12))+Formula!G15*(INDEX(Properties!A$1:CB$87,Formula!F15,12))+Formula!I15*(INDEX(Properties!A$1:CB$87,Formula!H15,12))+Formula!K15*(INDEX(Properties!A$1:CB$87,Formula!J15,12))</f>
        <v>54</v>
      </c>
      <c r="AT15" s="78">
        <f>VARP(IF(INDEX(Properties!A$1:CB$87,Formula!B15,12)&lt;&gt;"",INDEX(Properties!A$1:CB$87,Formula!B15,12)),IF(INDEX(Properties!A$1:CB$87,Formula!D15,12)&lt;&gt;"",INDEX(Properties!A$1:CB$87,Formula!D15,12)),IF(INDEX(Properties!A$1:CB$87,Formula!F15,12)&lt;&gt;"",INDEX(Properties!A$1:CB$87,Formula!F15,12)),IF(INDEX(Properties!A$1:CB$87,Formula!H15,12)&lt;&gt;"",INDEX(Properties!A$1:CB$87,Formula!H15,12)),IF(INDEX(Properties!A$1:CB$87,Formula!J15,12)&lt;&gt;"",INDEX(Properties!A$1:CB$87,Formula!J15,12)))</f>
        <v>2.56</v>
      </c>
      <c r="AU15" s="78">
        <f>MAX(INDEX(Properties!A$1:CB$87,Formula!B15,12),INDEX(Properties!A$1:CB$87,Formula!D15,12),INDEX(Properties!A$1:CB$87,Formula!F15,12),INDEX(Properties!A$1:CB$87,Formula!H15,12),INDEX(Properties!A$1:CB$87,Formula!J15,12))</f>
        <v>4</v>
      </c>
      <c r="AV15" s="78">
        <f>MIN(IF(Formula!B15=87,10^6,INDEX(Properties!A$1:CB$87,Formula!B15,12)),IF((Formula!D15)=87,10^6,INDEX(Properties!A$1:CB$87,Formula!D15,12)),IF((Formula!F15)=87,10^6,INDEX(Properties!A$1:CB$87,Formula!F15,12)),IF((Formula!H15)=87,10^6,INDEX(Properties!A$1:CB$87,Formula!H15,12)),IF(Formula!J15=87,10^6,INDEX(Properties!A$1:CB$87,Formula!J15,12)))</f>
        <v>0</v>
      </c>
      <c r="AW15" s="78">
        <f t="shared" si="7"/>
        <v>4</v>
      </c>
      <c r="AX15" s="45">
        <f>((Formula!C15)/(Formula!C15+Formula!E15+Formula!G15+Formula!I15+Formula!K15))*(INDEX(Properties!A$1:CB$87,Formula!B15,13))+((Formula!E15)/(Formula!C15+Formula!E15+Formula!G15+Formula!I15+Formula!K15))*(INDEX(Properties!A$1:CB$87,Formula!D15,13))+((Formula!G15)/(Formula!C15+Formula!E15+Formula!G15+Formula!I15+Formula!K15))*(INDEX(Properties!A$1:CB$87,Formula!F15,13))+((Formula!I15)/(Formula!C15+Formula!E15+Formula!G15+Formula!I15+Formula!K15))*(INDEX(Properties!A$1:CB$87,Formula!H15,13))+((Formula!K15)/(Formula!C15+Formula!E15+Formula!G15+Formula!I15+Formula!K15))*(INDEX(Properties!A$1:CB$87,Formula!J15,13))</f>
        <v>1.6</v>
      </c>
      <c r="AY15" s="45">
        <f>Formula!C15*(INDEX(Properties!A$1:CB$87,Formula!B15,13))+Formula!E15*(INDEX(Properties!A$1:CB$87,Formula!D15,13))+Formula!G15*(INDEX(Properties!A$1:CB$87,Formula!F15,13))+Formula!I15*(INDEX(Properties!A$1:CB$87,Formula!H15,13))+Formula!K15*(INDEX(Properties!A$1:CB$87,Formula!J15,13))</f>
        <v>32</v>
      </c>
      <c r="AZ15" s="45">
        <f>VARP(IF(INDEX(Properties!A$1:CB$87,Formula!B15,13)&lt;&gt;"",INDEX(Properties!A$1:CB$87,Formula!B15,13)),IF(INDEX(Properties!A$1:CB$87,Formula!D15,13)&lt;&gt;"",INDEX(Properties!A$1:CB$87,Formula!D15,13)),IF(INDEX(Properties!A$1:CB$87,Formula!F15,13)&lt;&gt;"",INDEX(Properties!A$1:CB$87,Formula!F15,13)),IF(INDEX(Properties!A$1:CB$87,Formula!H15,13)&lt;&gt;"",INDEX(Properties!A$1:CB$87,Formula!H15,13)),IF(INDEX(Properties!A$1:CB$87,Formula!J15,13)&lt;&gt;"",INDEX(Properties!A$1:CB$87,Formula!J15,13)))</f>
        <v>15.36</v>
      </c>
      <c r="BA15" s="45">
        <f>MAX(INDEX(Properties!A$1:CB$87,Formula!B15,13),INDEX(Properties!A$1:CB$87,Formula!D15,13),INDEX(Properties!A$1:CB$87,Formula!F15,13),INDEX(Properties!A$1:CB$87,Formula!H15,13),INDEX(Properties!A$1:CB$87,Formula!J15,13))</f>
        <v>10</v>
      </c>
      <c r="BB15" s="45">
        <f>MIN(IF(Formula!B15=87,10^6,INDEX(Properties!A$1:CB$87,Formula!B15,13)),IF((Formula!D15)=87,10^6,INDEX(Properties!A$1:CB$87,Formula!D15,13)),IF((Formula!F15)=87,10^6,INDEX(Properties!A$1:CB$87,Formula!F15,13)),IF((Formula!H15)=87,10^6,INDEX(Properties!A$1:CB$87,Formula!H15,13)),IF(Formula!J15=87,10^6,INDEX(Properties!A$1:CB$87,Formula!J15,13)))</f>
        <v>0</v>
      </c>
      <c r="BC15" s="45">
        <f t="shared" si="8"/>
        <v>10</v>
      </c>
      <c r="BD15" s="63">
        <f>((Formula!C15)/(Formula!C15+Formula!E15+Formula!G15+Formula!I15+Formula!K15))*(INDEX(Properties!A$1:CB$87,Formula!B15,14))+((Formula!E15)/(Formula!C15+Formula!E15+Formula!G15+Formula!I15+Formula!K15))*(INDEX(Properties!A$1:CB$87,Formula!D15,14))+((Formula!G15)/(Formula!C15+Formula!E15+Formula!G15+Formula!I15+Formula!K15))*(INDEX(Properties!A$1:CB$87,Formula!F15,14))+((Formula!I15)/(Formula!C15+Formula!E15+Formula!G15+Formula!I15+Formula!K15))*(INDEX(Properties!A$1:CB$87,Formula!H15,14))+((Formula!K15)/(Formula!C15+Formula!E15+Formula!G15+Formula!I15+Formula!K15))*(INDEX(Properties!A$1:CB$87,Formula!J15,14))</f>
        <v>0</v>
      </c>
      <c r="BE15" s="63">
        <f>Formula!C15*(INDEX(Properties!A$1:CB$87,Formula!B15,14))+Formula!E15*(INDEX(Properties!A$1:CB$87,Formula!D15,14))+Formula!G15*(INDEX(Properties!A$1:CB$87,Formula!F15,14))+Formula!I15*(INDEX(Properties!A$1:CB$87,Formula!H15,14))+Formula!K15*(INDEX(Properties!A$1:CB$87,Formula!J15,14))</f>
        <v>0</v>
      </c>
      <c r="BF15" s="63">
        <f>VARP(IF(INDEX(Properties!A$1:CB$87,Formula!B15,14)&lt;&gt;"",INDEX(Properties!A$1:CB$87,Formula!B15,14)),IF(INDEX(Properties!A$1:CB$87,Formula!D15,14)&lt;&gt;"",INDEX(Properties!A$1:CB$87,Formula!D15,14)),IF(INDEX(Properties!A$1:CB$87,Formula!F15,14)&lt;&gt;"",INDEX(Properties!A$1:CB$87,Formula!F15,14)),IF(INDEX(Properties!A$1:CB$87,Formula!H15,14)&lt;&gt;"",INDEX(Properties!A$1:CB$87,Formula!H15,14)),IF(INDEX(Properties!A$1:CB$87,Formula!J15,14)&lt;&gt;"",INDEX(Properties!A$1:CB$87,Formula!J15,14)))</f>
        <v>0</v>
      </c>
      <c r="BG15" s="63">
        <f>MAX(INDEX(Properties!A$1:CB$87,Formula!B15,14),INDEX(Properties!A$1:CB$87,Formula!D15,14),INDEX(Properties!A$1:CB$87,Formula!F15,14),INDEX(Properties!A$1:CB$87,Formula!H15,14),INDEX(Properties!A$1:CB$87,Formula!J15,14))</f>
        <v>0</v>
      </c>
      <c r="BH15" s="63">
        <f>MIN(IF(Formula!B15=87,10^6,INDEX(Properties!A$1:CB$87,Formula!B15,14)),IF((Formula!D15)=87,10^6,INDEX(Properties!A$1:CB$87,Formula!D15,14)),IF((Formula!F15)=87,10^6,INDEX(Properties!A$1:CB$87,Formula!F15,14)),IF((Formula!H15)=87,10^6,INDEX(Properties!A$1:CB$87,Formula!H15,14)),IF(Formula!J15=87,10^6,INDEX(Properties!A$1:CB$87,Formula!J15,14)))</f>
        <v>0</v>
      </c>
      <c r="BI15" s="63">
        <f t="shared" si="9"/>
        <v>0</v>
      </c>
      <c r="BJ15" s="75">
        <f>((Formula!C15)/(Formula!C15+Formula!E15+Formula!G15+Formula!I15+Formula!K15))*(INDEX(Properties!A$1:CB$87,Formula!B15,19))+((Formula!E15)/(Formula!C15+Formula!E15+Formula!G15+Formula!I15+Formula!K15))*(INDEX(Properties!A$1:CB$87,Formula!D15,19))+((Formula!G15)/(Formula!C15+Formula!E15+Formula!G15+Formula!I15+Formula!K15))*(INDEX(Properties!A$1:CB$87,Formula!F15,19))+((Formula!I15)/(Formula!C15+Formula!E15+Formula!G15+Formula!I15+Formula!K15))*(INDEX(Properties!A$1:CB$87,Formula!H15,19))+((Formula!K15)/(Formula!C15+Formula!E15+Formula!G15+Formula!I15+Formula!K15))*(INDEX(Properties!A$1:CB$87,Formula!J15,19))</f>
        <v>6.3</v>
      </c>
      <c r="BK15" s="75">
        <f>Formula!C15*(INDEX(Properties!A$1:CB$87,Formula!B15,19))+Formula!E15*(INDEX(Properties!A$1:CB$87,Formula!D15,19))+Formula!G15*(INDEX(Properties!A$1:CB$87,Formula!F15,19))+Formula!I15*(INDEX(Properties!A$1:CB$87,Formula!H15,19))+Formula!K15*(INDEX(Properties!A$1:CB$87,Formula!J15,19))</f>
        <v>126</v>
      </c>
      <c r="BL15" s="75">
        <f>VARP(IF(INDEX(Properties!A$1:CB$87,Formula!B15,19)&lt;&gt;"",INDEX(Properties!A$1:CB$87,Formula!B15,19)),IF(INDEX(Properties!A$1:CB$87,Formula!D15,19)&lt;&gt;"",INDEX(Properties!A$1:CB$87,Formula!D15,19)),IF(INDEX(Properties!A$1:CB$87,Formula!F15,19)&lt;&gt;"",INDEX(Properties!A$1:CB$87,Formula!F15,19)),IF(INDEX(Properties!A$1:CB$87,Formula!H15,19)&lt;&gt;"",INDEX(Properties!A$1:CB$87,Formula!H15,19)),IF(INDEX(Properties!A$1:CB$87,Formula!J15,19)&lt;&gt;"",INDEX(Properties!A$1:CB$87,Formula!J15,19)))</f>
        <v>24</v>
      </c>
      <c r="BM15" s="75">
        <f>MAX(INDEX(Properties!A$1:CB$87,Formula!B15,19),INDEX(Properties!A$1:CB$87,Formula!D15,19),INDEX(Properties!A$1:CB$87,Formula!F15,19),INDEX(Properties!A$1:CB$87,Formula!H15,19),INDEX(Properties!A$1:CB$87,Formula!J15,19))</f>
        <v>14</v>
      </c>
      <c r="BN15" s="75">
        <f>MIN(IF(INDEX(Properties!A$1:CB$87,Formula!B15,19)=0,10^6,INDEX(Properties!A$1:CB$87,Formula!B15,19)),IF(INDEX(Properties!A$1:CB$87,Formula!D15,19)=0,10^6,INDEX(Properties!A$1:CB$87,Formula!D15,19)),IF(INDEX(Properties!A$1:CB$87,Formula!F15,19)=0,10^6,INDEX(Properties!A$1:CB$87,Formula!F15,19)),IF(INDEX(Properties!A$1:CB$87,Formula!H15,19)=0,10^6,INDEX(Properties!A$1:CB$87,Formula!H15,19)),IF(INDEX(Properties!A$1:CB$87,Formula!J15,19)=0,10^6,INDEX(Properties!A$1:CB$87,Formula!J15,19)))</f>
        <v>2</v>
      </c>
      <c r="BO15" s="75">
        <f t="shared" si="10"/>
        <v>12</v>
      </c>
      <c r="BP15" s="48">
        <f>((Formula!C15)/(Formula!C15+Formula!E15+Formula!G15+Formula!I15+Formula!K15))*(INDEX(Properties!A$1:CB$87,Formula!B15,20))+((Formula!E15)/(Formula!C15+Formula!E15+Formula!G15+Formula!I15+Formula!K15))*(INDEX(Properties!A$1:CB$87,Formula!D15,20))+((Formula!G15)/(Formula!C15+Formula!E15+Formula!G15+Formula!I15+Formula!K15))*(INDEX(Properties!A$1:CB$87,Formula!F15,20))+((Formula!I15)/(Formula!C15+Formula!E15+Formula!G15+Formula!I15+Formula!K15))*(INDEX(Properties!A$1:CB$87,Formula!H15,20))+((Formula!K15)/(Formula!C15+Formula!E15+Formula!G15+Formula!I15+Formula!K15))*(INDEX(Properties!A$1:CB$87,Formula!J15,20))</f>
        <v>4.6999999999999993</v>
      </c>
      <c r="BQ15" s="48">
        <f>Formula!C15*(INDEX(Properties!A$1:CB$87,Formula!B15,20))+Formula!E15*(INDEX(Properties!A$1:CB$87,Formula!D15,20))+Formula!G15*(INDEX(Properties!A$1:CB$87,Formula!F15,20))+Formula!I15*(INDEX(Properties!A$1:CB$87,Formula!H15,20))+Formula!K15*(INDEX(Properties!A$1:CB$87,Formula!J15,20))</f>
        <v>94</v>
      </c>
      <c r="BR15" s="48">
        <f>VARP(IF(INDEX(Properties!A$1:CB$87,Formula!B15,20)&lt;&gt;"",INDEX(Properties!A$1:CB$87,Formula!B15,20)),IF(INDEX(Properties!A$1:CB$87,Formula!D15,20)&lt;&gt;"",INDEX(Properties!A$1:CB$87,Formula!D15,20)),IF(INDEX(Properties!A$1:CB$87,Formula!F15,20)&lt;&gt;"",INDEX(Properties!A$1:CB$87,Formula!F15,20)),IF(INDEX(Properties!A$1:CB$87,Formula!H15,20)&lt;&gt;"",INDEX(Properties!A$1:CB$87,Formula!H15,20)),IF(INDEX(Properties!A$1:CB$87,Formula!J15,20)&lt;&gt;"",INDEX(Properties!A$1:CB$87,Formula!J15,20)))</f>
        <v>4.16</v>
      </c>
      <c r="BS15" s="48">
        <f>MAX(INDEX(Properties!A$1:CB$87,Formula!B15,20),INDEX(Properties!A$1:CB$87,Formula!D15,20),INDEX(Properties!A$1:CB$87,Formula!F15,20),INDEX(Properties!A$1:CB$87,Formula!H15,20),INDEX(Properties!A$1:CB$87,Formula!J15,20))</f>
        <v>6</v>
      </c>
      <c r="BT15" s="48">
        <f>MIN(IF(INDEX(Properties!A$1:CB$87,Formula!B15,20)=0,10^6,INDEX(Properties!A$1:CB$87,Formula!B15,20)),IF(INDEX(Properties!A$1:CB$87,Formula!D15,20)=0,10^6,INDEX(Properties!A$1:CB$87,Formula!D15,20)),IF(INDEX(Properties!A$1:CB$87,Formula!F15,20)=0,10^6,INDEX(Properties!A$1:CB$87,Formula!F15,20)),IF(INDEX(Properties!A$1:CB$87,Formula!H15,20)=0,10^6,INDEX(Properties!A$1:CB$87,Formula!H15,20)),IF(INDEX(Properties!A$1:CB$87,Formula!J15,20)=0,10^6,INDEX(Properties!A$1:CB$87,Formula!J15,20)))</f>
        <v>2</v>
      </c>
      <c r="BU15" s="48">
        <f t="shared" si="11"/>
        <v>4</v>
      </c>
      <c r="BV15" s="66">
        <f>((Formula!C15)/(Formula!C15+Formula!E15+Formula!G15+Formula!I15+Formula!K15))*(INDEX(Properties!A$1:CB$87,Formula!B15,21))+((Formula!E15)/(Formula!C15+Formula!E15+Formula!G15+Formula!I15+Formula!K15))*(INDEX(Properties!A$1:CB$87,Formula!D15,21))+((Formula!G15)/(Formula!C15+Formula!E15+Formula!G15+Formula!I15+Formula!K15))*(INDEX(Properties!A$1:CB$87,Formula!F15,21))+((Formula!I15)/(Formula!C15+Formula!E15+Formula!G15+Formula!I15+Formula!K15))*(INDEX(Properties!A$1:CB$87,Formula!H15,21))+((Formula!K15)/(Formula!C15+Formula!E15+Formula!G15+Formula!I15+Formula!K15))*(INDEX(Properties!A$1:CB$87,Formula!J15,21))</f>
        <v>4.5999999999999996</v>
      </c>
      <c r="BW15" s="66">
        <f>Formula!C15*(INDEX(Properties!A$1:CB$87,Formula!B15,21))+Formula!E15*(INDEX(Properties!A$1:CB$87,Formula!D15,21))+Formula!G15*(INDEX(Properties!A$1:CB$87,Formula!F15,21))+Formula!I15*(INDEX(Properties!A$1:CB$87,Formula!H15,21))+Formula!K15*(INDEX(Properties!A$1:CB$87,Formula!J15,21))</f>
        <v>92</v>
      </c>
      <c r="BX15" s="66">
        <f>VARP(IF(INDEX(Properties!A$1:CB$87,Formula!B15,21)&lt;&gt;"",INDEX(Properties!A$1:CB$87,Formula!B15,21)),IF(INDEX(Properties!A$1:CB$87,Formula!D15,21)&lt;&gt;"",INDEX(Properties!A$1:CB$87,Formula!D15,21)),IF(INDEX(Properties!A$1:CB$87,Formula!F15,21)&lt;&gt;"",INDEX(Properties!A$1:CB$87,Formula!F15,21)),IF(INDEX(Properties!A$1:CB$87,Formula!H15,21)&lt;&gt;"",INDEX(Properties!A$1:CB$87,Formula!H15,21)),IF(INDEX(Properties!A$1:CB$87,Formula!J15,21)&lt;&gt;"",INDEX(Properties!A$1:CB$87,Formula!J15,21)))</f>
        <v>4.6399999999999997</v>
      </c>
      <c r="BY15" s="66">
        <f>MAX(INDEX(Properties!A$1:CB$87,Formula!B15,21),INDEX(Properties!A$1:CB$87,Formula!D15,21),INDEX(Properties!A$1:CB$87,Formula!F15,21),INDEX(Properties!A$1:CB$87,Formula!H15,21),INDEX(Properties!A$1:CB$87,Formula!J15,21))</f>
        <v>6</v>
      </c>
      <c r="BZ15" s="66">
        <f>MIN(IF(INDEX(Properties!A$1:CB$87,Formula!B15,21)=0,10^6,INDEX(Properties!A$1:CB$87,Formula!B15,21)),IF(INDEX(Properties!A$1:CB$87,Formula!D15,21)=0,10^6,INDEX(Properties!A$1:CB$87,Formula!D15,21)),IF(INDEX(Properties!A$1:CB$87,Formula!F15,21)=0,10^6,INDEX(Properties!A$1:CB$87,Formula!F15,21)),IF(INDEX(Properties!A$1:CB$87,Formula!H15,21)=0,10^6,INDEX(Properties!A$1:CB$87,Formula!H15,21)),IF(INDEX(Properties!A$1:CB$87,Formula!J15,21)=0,10^6,INDEX(Properties!A$1:CB$87,Formula!J15,21)))</f>
        <v>1</v>
      </c>
      <c r="CA15" s="66">
        <f t="shared" si="12"/>
        <v>5</v>
      </c>
      <c r="CB15" s="81">
        <f>((Formula!C15)/(Formula!C15+Formula!E15+Formula!G15+Formula!I15+Formula!K15))*(INDEX(Properties!A$1:CB$87,Formula!B15,23))+((Formula!E15)/(Formula!C15+Formula!E15+Formula!G15+Formula!I15+Formula!K15))*(INDEX(Properties!A$1:CB$87,Formula!D15,23))+((Formula!G15)/(Formula!C15+Formula!E15+Formula!G15+Formula!I15+Formula!K15))*(INDEX(Properties!A$1:CB$87,Formula!F15,23))+((Formula!I15)/(Formula!C15+Formula!E15+Formula!G15+Formula!I15+Formula!K15))*(INDEX(Properties!A$1:CB$87,Formula!H15,23))+((Formula!K15)/(Formula!C15+Formula!E15+Formula!G15+Formula!I15+Formula!K15))*(INDEX(Properties!A$1:CB$87,Formula!J15,23))</f>
        <v>1.2000000000000002</v>
      </c>
      <c r="CC15" s="81">
        <f>Formula!C15*(INDEX(Properties!A$1:CB$87,Formula!B15,23))+Formula!E15*(INDEX(Properties!A$1:CB$87,Formula!D15,23))+Formula!G15*(INDEX(Properties!A$1:CB$87,Formula!F15,23))+Formula!I15*(INDEX(Properties!A$1:CB$87,Formula!H15,23))+Formula!K15*(INDEX(Properties!A$1:CB$87,Formula!J15,23))</f>
        <v>24</v>
      </c>
      <c r="CD15" s="81">
        <f>VARP(IF(INDEX(Properties!A$1:CB$87,Formula!B15,23)&lt;&gt;"",INDEX(Properties!A$1:CB$87,Formula!B15,23)),IF(INDEX(Properties!A$1:CB$87,Formula!D15,23)&lt;&gt;"",INDEX(Properties!A$1:CB$87,Formula!D15,23)),IF(INDEX(Properties!A$1:CB$87,Formula!F15,23)&lt;&gt;"",INDEX(Properties!A$1:CB$87,Formula!F15,23)),IF(INDEX(Properties!A$1:CB$87,Formula!H15,23)&lt;&gt;"",INDEX(Properties!A$1:CB$87,Formula!H15,23)),IF(INDEX(Properties!A$1:CB$87,Formula!J15,23)&lt;&gt;"",INDEX(Properties!A$1:CB$87,Formula!J15,23)))</f>
        <v>2.56</v>
      </c>
      <c r="CE15" s="81">
        <f>MAX(INDEX(Properties!A$1:CB$87,Formula!B15,23),INDEX(Properties!A$1:CB$87,Formula!D15,23),INDEX(Properties!A$1:CB$87,Formula!F15,23),INDEX(Properties!A$1:CB$87,Formula!H15,23),INDEX(Properties!A$1:CB$87,Formula!J15,23))</f>
        <v>4</v>
      </c>
      <c r="CF15" s="81">
        <f>MIN(IF(Formula!B15=87,10^6,INDEX(Properties!A$1:CB$87,Formula!B15,23)),IF((Formula!D15)=87,10^6,INDEX(Properties!A$1:CB$87,Formula!D15,23)),IF((Formula!F15)=87,10^6,INDEX(Properties!A$1:CB$87,Formula!F15,23)),IF((Formula!H15)=87,10^6,INDEX(Properties!A$1:CB$87,Formula!H15,23)),IF(Formula!J15=87,10^6,INDEX(Properties!A$1:CB$87,Formula!J15,23)))</f>
        <v>0</v>
      </c>
      <c r="CG15" s="81">
        <f t="shared" si="13"/>
        <v>4</v>
      </c>
      <c r="CH15" s="39">
        <f>((Formula!C15)/(Formula!C15+Formula!E15+Formula!G15+Formula!I15+Formula!K15))*(INDEX(Properties!A$1:CB$87,Formula!B15,26))+((Formula!E15)/(Formula!C15+Formula!E15+Formula!G15+Formula!I15+Formula!K15))*(INDEX(Properties!A$1:CB$87,Formula!D15,26))+((Formula!G15)/(Formula!C15+Formula!E15+Formula!G15+Formula!I15+Formula!K15))*(INDEX(Properties!A$1:CB$87,Formula!F15,26))+((Formula!I15)/(Formula!C15+Formula!E15+Formula!G15+Formula!I15+Formula!K15))*(INDEX(Properties!A$1:CB$87,Formula!H15,26))+((Formula!K15)/(Formula!C15+Formula!E15+Formula!G15+Formula!I15+Formula!K15))*(INDEX(Properties!A$1:CB$87,Formula!J15,26))</f>
        <v>10.89448</v>
      </c>
      <c r="CI15" s="39">
        <f>Formula!C15*(INDEX(Properties!A$1:CB$87,Formula!B15,26))+Formula!E15*(INDEX(Properties!A$1:CB$87,Formula!D15,26))+Formula!G15*(INDEX(Properties!A$1:CB$87,Formula!F15,26))+Formula!I15*(INDEX(Properties!A$1:CB$87,Formula!H15,26))+Formula!K15*(INDEX(Properties!A$1:CB$87,Formula!J15,26))</f>
        <v>217.8896</v>
      </c>
      <c r="CJ15" s="39">
        <f>VARP(IF(INDEX(Properties!A$1:CB$87,Formula!B15,26)&lt;&gt;"",INDEX(Properties!A$1:CB$87,Formula!B15,26)),IF(INDEX(Properties!A$1:CB$87,Formula!D15,26)&lt;&gt;"",INDEX(Properties!A$1:CB$87,Formula!D15,26)),IF(INDEX(Properties!A$1:CB$87,Formula!F15,26)&lt;&gt;"",INDEX(Properties!A$1:CB$87,Formula!F15,26)),IF(INDEX(Properties!A$1:CB$87,Formula!H15,26)&lt;&gt;"",INDEX(Properties!A$1:CB$87,Formula!H15,26)),IF(INDEX(Properties!A$1:CB$87,Formula!J15,26)&lt;&gt;"",INDEX(Properties!A$1:CB$87,Formula!J15,26)))</f>
        <v>18.948356140000005</v>
      </c>
      <c r="CK15" s="39">
        <f>MAX(INDEX(Properties!A$1:CB$87,Formula!B15,26),INDEX(Properties!A$1:CB$87,Formula!D15,26),INDEX(Properties!A$1:CB$87,Formula!F15,26),INDEX(Properties!A$1:CB$87,Formula!H15,26),INDEX(Properties!A$1:CB$87,Formula!J15,26))</f>
        <v>13.6181</v>
      </c>
      <c r="CL15" s="39">
        <f>MIN(IF(INDEX(Properties!A$1:CB$87,Formula!B15,26)=0,10^6,INDEX(Properties!A$1:CB$87,Formula!B15,26)),IF(INDEX(Properties!A$1:CB$87,Formula!D15,26)=0,10^6,INDEX(Properties!A$1:CB$87,Formula!D15,26)),IF(INDEX(Properties!A$1:CB$87,Formula!F15,26)=0,10^6,INDEX(Properties!A$1:CB$87,Formula!F15,26)),IF(INDEX(Properties!A$1:CB$87,Formula!H15,26)=0,10^6,INDEX(Properties!A$1:CB$87,Formula!H15,26)),IF(INDEX(Properties!A$1:CB$87,Formula!J15,26)=0,10^6,INDEX(Properties!A$1:CB$87,Formula!J15,26)))</f>
        <v>6.1132</v>
      </c>
      <c r="CM15" s="39">
        <f t="shared" si="14"/>
        <v>7.5049000000000001</v>
      </c>
      <c r="CN15" s="54">
        <f>((Formula!C15)/(Formula!C15+Formula!E15+Formula!G15+Formula!I15+Formula!K15))*(INDEX(Properties!A$1:CB$87,Formula!B15,30))+((Formula!E15)/(Formula!C15+Formula!E15+Formula!G15+Formula!I15+Formula!K15))*(INDEX(Properties!A$1:CB$87,Formula!D15,30))+((Formula!G15)/(Formula!C15+Formula!E15+Formula!G15+Formula!I15+Formula!K15))*(INDEX(Properties!A$1:CB$87,Formula!F15,30))+((Formula!I15)/(Formula!C15+Formula!E15+Formula!G15+Formula!I15+Formula!K15))*(INDEX(Properties!A$1:CB$87,Formula!H15,30))+((Formula!K15)/(Formula!C15+Formula!E15+Formula!G15+Formula!I15+Formula!K15))*(INDEX(Properties!A$1:CB$87,Formula!J15,30))</f>
        <v>2.6375000000000002</v>
      </c>
      <c r="CO15" s="54">
        <f>Formula!C15*(INDEX(Properties!A$1:CB$87,Formula!B15,30))+Formula!E15*(INDEX(Properties!A$1:CB$87,Formula!D15,30))+Formula!G15*(INDEX(Properties!A$1:CB$87,Formula!F15,30))+Formula!I15*(INDEX(Properties!A$1:CB$87,Formula!H15,30))+Formula!K15*(INDEX(Properties!A$1:CB$87,Formula!J15,30))</f>
        <v>52.75</v>
      </c>
      <c r="CP15" s="54">
        <f>VARP(IF(INDEX(Properties!A$1:CB$87,Formula!B15,30)&lt;&gt;"",INDEX(Properties!A$1:CB$87,Formula!B15,30)),IF(INDEX(Properties!A$1:CB$87,Formula!D15,30)&lt;&gt;"",INDEX(Properties!A$1:CB$87,Formula!D15,30)),IF(INDEX(Properties!A$1:CB$87,Formula!F15,30)&lt;&gt;"",INDEX(Properties!A$1:CB$87,Formula!F15,30)),IF(INDEX(Properties!A$1:CB$87,Formula!H15,30)&lt;&gt;"",INDEX(Properties!A$1:CB$87,Formula!H15,30)),IF(INDEX(Properties!A$1:CB$87,Formula!J15,30)&lt;&gt;"",INDEX(Properties!A$1:CB$87,Formula!J15,30)))</f>
        <v>1.3192639999999998</v>
      </c>
      <c r="CQ15" s="54">
        <f>MAX(INDEX(Properties!A$1:CB$87,Formula!B15,30),INDEX(Properties!A$1:CB$87,Formula!D15,30),INDEX(Properties!A$1:CB$87,Formula!F15,30),INDEX(Properties!A$1:CB$87,Formula!H15,30),INDEX(Properties!A$1:CB$87,Formula!J15,30))</f>
        <v>3.44</v>
      </c>
      <c r="CR15" s="54">
        <f>MIN(IF(INDEX(Properties!A$1:CB$87,Formula!B15,30)=0,10^6,INDEX(Properties!A$1:CB$87,Formula!B15,30)),IF(INDEX(Properties!A$1:CB$87,Formula!D15,30)=0,10^6,INDEX(Properties!A$1:CB$87,Formula!D15,30)),IF(INDEX(Properties!A$1:CB$87,Formula!F15,30)=0,10^6,INDEX(Properties!A$1:CB$87,Formula!F15,30)),IF(INDEX(Properties!A$1:CB$87,Formula!H15,30)=0,10^6,INDEX(Properties!A$1:CB$87,Formula!H15,30)),IF(INDEX(Properties!A$1:CB$87,Formula!J15,30)=0,10^6,INDEX(Properties!A$1:CB$87,Formula!J15,30)))</f>
        <v>1</v>
      </c>
      <c r="CS15" s="54">
        <f t="shared" si="15"/>
        <v>2.44</v>
      </c>
      <c r="CT15" s="69">
        <f>((Formula!C15)/(Formula!C15+Formula!E15+Formula!G15+Formula!I15+Formula!K15))*(INDEX(Properties!A$1:CB$87,Formula!B15,31))+((Formula!E15)/(Formula!C15+Formula!E15+Formula!G15+Formula!I15+Formula!K15))*(INDEX(Properties!A$1:CB$87,Formula!D15,31))+((Formula!G15)/(Formula!C15+Formula!E15+Formula!G15+Formula!I15+Formula!K15))*(INDEX(Properties!A$1:CB$87,Formula!F15,31))+((Formula!I15)/(Formula!C15+Formula!E15+Formula!G15+Formula!I15+Formula!K15))*(INDEX(Properties!A$1:CB$87,Formula!H15,31))+((Formula!K15)/(Formula!C15+Formula!E15+Formula!G15+Formula!I15+Formula!K15))*(INDEX(Properties!A$1:CB$87,Formula!J15,31))</f>
        <v>2.6069999999999998</v>
      </c>
      <c r="CU15" s="69">
        <f>Formula!C15*(INDEX(Properties!A$1:CB$87,Formula!B15,31))+Formula!E15*(INDEX(Properties!A$1:CB$87,Formula!D15,31))+Formula!G15*(INDEX(Properties!A$1:CB$87,Formula!F15,31))+Formula!I15*(INDEX(Properties!A$1:CB$87,Formula!H15,31))+Formula!K15*(INDEX(Properties!A$1:CB$87,Formula!J15,31))</f>
        <v>52.14</v>
      </c>
      <c r="CV15" s="69">
        <f>VARP(IF(INDEX(Properties!A$1:CB$87,Formula!B15,31)&lt;&gt;"",INDEX(Properties!A$1:CB$87,Formula!B15,31)),IF(INDEX(Properties!A$1:CB$87,Formula!D15,31)&lt;&gt;"",INDEX(Properties!A$1:CB$87,Formula!D15,31)),IF(INDEX(Properties!A$1:CB$87,Formula!F15,31)&lt;&gt;"",INDEX(Properties!A$1:CB$87,Formula!F15,31)),IF(INDEX(Properties!A$1:CB$87,Formula!H15,31)&lt;&gt;"",INDEX(Properties!A$1:CB$87,Formula!H15,31)),IF(INDEX(Properties!A$1:CB$87,Formula!J15,31)&lt;&gt;"",INDEX(Properties!A$1:CB$87,Formula!J15,31)))</f>
        <v>1.177816</v>
      </c>
      <c r="CW15" s="69">
        <f>MAX(INDEX(Properties!A$1:CB$87,Formula!B15,31),INDEX(Properties!A$1:CB$87,Formula!D15,31),INDEX(Properties!A$1:CB$87,Formula!F15,31),INDEX(Properties!A$1:CB$87,Formula!H15,31),INDEX(Properties!A$1:CB$87,Formula!J15,31))</f>
        <v>3.32</v>
      </c>
      <c r="CX15" s="69">
        <f>MIN(IF(INDEX(Properties!A$1:CB$87,Formula!B15,31)=0,10^6,INDEX(Properties!A$1:CB$87,Formula!B15,31)),IF(INDEX(Properties!A$1:CB$87,Formula!D15,31)=0,10^6,INDEX(Properties!A$1:CB$87,Formula!D15,31)),IF(INDEX(Properties!A$1:CB$87,Formula!F15,31)=0,10^6,INDEX(Properties!A$1:CB$87,Formula!F15,31)),IF(INDEX(Properties!A$1:CB$87,Formula!H15,31)=0,10^6,INDEX(Properties!A$1:CB$87,Formula!H15,31)),IF(INDEX(Properties!A$1:CB$87,Formula!J15,31)=0,10^6,INDEX(Properties!A$1:CB$87,Formula!J15,31)))</f>
        <v>1.17</v>
      </c>
      <c r="CY15" s="69">
        <f t="shared" si="16"/>
        <v>2.15</v>
      </c>
      <c r="CZ15" s="42">
        <f>((Formula!C15)/(Formula!C15+Formula!E15+Formula!G15+Formula!I15+Formula!K15))*(INDEX(Properties!A$1:CB$87,Formula!B15,32))+((Formula!E15)/(Formula!C15+Formula!E15+Formula!G15+Formula!I15+Formula!K15))*(INDEX(Properties!A$1:CB$87,Formula!D15,32))+((Formula!G15)/(Formula!C15+Formula!E15+Formula!G15+Formula!I15+Formula!K15))*(INDEX(Properties!A$1:CB$87,Formula!F15,32))+((Formula!I15)/(Formula!C15+Formula!E15+Formula!G15+Formula!I15+Formula!K15))*(INDEX(Properties!A$1:CB$87,Formula!H15,32))+((Formula!K15)/(Formula!C15+Formula!E15+Formula!G15+Formula!I15+Formula!K15))*(INDEX(Properties!A$1:CB$87,Formula!J15,32))</f>
        <v>5.8629999999999995</v>
      </c>
      <c r="DA15" s="42">
        <f>Formula!C15*(INDEX(Properties!A$1:CB$87,Formula!B15,32))+Formula!E15*(INDEX(Properties!A$1:CB$87,Formula!D15,32))+Formula!G15*(INDEX(Properties!A$1:CB$87,Formula!F15,32))+Formula!I15*(INDEX(Properties!A$1:CB$87,Formula!H15,32))+Formula!K15*(INDEX(Properties!A$1:CB$87,Formula!J15,32))</f>
        <v>117.26</v>
      </c>
      <c r="DB15" s="42">
        <f>VARP(IF(INDEX(Properties!A$1:CB$87,Formula!B15,32)&lt;&gt;"",INDEX(Properties!A$1:CB$87,Formula!B15,32)),IF(INDEX(Properties!A$1:CB$87,Formula!D15,32)&lt;&gt;"",INDEX(Properties!A$1:CB$87,Formula!D15,32)),IF(INDEX(Properties!A$1:CB$87,Formula!F15,32)&lt;&gt;"",INDEX(Properties!A$1:CB$87,Formula!F15,32)),IF(INDEX(Properties!A$1:CB$87,Formula!H15,32)&lt;&gt;"",INDEX(Properties!A$1:CB$87,Formula!H15,32)),IF(INDEX(Properties!A$1:CB$87,Formula!J15,32)&lt;&gt;"",INDEX(Properties!A$1:CB$87,Formula!J15,32)))</f>
        <v>6.3135039999999982</v>
      </c>
      <c r="DC15" s="42">
        <f>MAX(INDEX(Properties!A$1:CB$87,Formula!B15,32),INDEX(Properties!A$1:CB$87,Formula!D15,32),INDEX(Properties!A$1:CB$87,Formula!F15,32),INDEX(Properties!A$1:CB$87,Formula!H15,32),INDEX(Properties!A$1:CB$87,Formula!J15,32))</f>
        <v>7.54</v>
      </c>
      <c r="DD15" s="42">
        <f>MIN(IF(INDEX(Properties!A$1:CB$87,Formula!B15,32)=0,10^6,INDEX(Properties!A$1:CB$87,Formula!B15,32)),IF(INDEX(Properties!A$1:CB$87,Formula!D15,32)=0,10^6,INDEX(Properties!A$1:CB$87,Formula!D15,32)),IF(INDEX(Properties!A$1:CB$87,Formula!F15,32)=0,10^6,INDEX(Properties!A$1:CB$87,Formula!F15,32)),IF(INDEX(Properties!A$1:CB$87,Formula!H15,32)=0,10^6,INDEX(Properties!A$1:CB$87,Formula!H15,32)),IF(INDEX(Properties!A$1:CB$87,Formula!J15,32)=0,10^6,INDEX(Properties!A$1:CB$87,Formula!J15,32)))</f>
        <v>2.2000000000000002</v>
      </c>
      <c r="DE15" s="42">
        <f t="shared" si="17"/>
        <v>5.34</v>
      </c>
      <c r="DF15" s="60">
        <f>((Formula!C15)/(Formula!C15+Formula!E15+Formula!G15+Formula!I15+Formula!K15))*(INDEX(Properties!A$1:CB$87,Formula!B15,34))+((Formula!E15)/(Formula!C15+Formula!E15+Formula!G15+Formula!I15+Formula!K15))*(INDEX(Properties!A$1:CB$87,Formula!D15,34))+((Formula!G15)/(Formula!C15+Formula!E15+Formula!G15+Formula!I15+Formula!K15))*(INDEX(Properties!A$1:CB$87,Formula!F15,34))+((Formula!I15)/(Formula!C15+Formula!E15+Formula!G15+Formula!I15+Formula!K15))*(INDEX(Properties!A$1:CB$87,Formula!H15,34))+((Formula!K15)/(Formula!C15+Formula!E15+Formula!G15+Formula!I15+Formula!K15))*(INDEX(Properties!A$1:CB$87,Formula!J15,34))</f>
        <v>2.7321999999999997</v>
      </c>
      <c r="DG15" s="60">
        <f>Formula!C15*(INDEX(Properties!A$1:CB$87,Formula!B15,34))+Formula!E15*(INDEX(Properties!A$1:CB$87,Formula!D15,34))+Formula!G15*(INDEX(Properties!A$1:CB$87,Formula!F15,34))+Formula!I15*(INDEX(Properties!A$1:CB$87,Formula!H15,34))+Formula!K15*(INDEX(Properties!A$1:CB$87,Formula!J15,34))</f>
        <v>54.644000000000005</v>
      </c>
      <c r="DH15" s="60">
        <f>VARP(IF(INDEX(Properties!A$1:CB$87,Formula!B15,34)&lt;&gt;"",INDEX(Properties!A$1:CB$87,Formula!B15,34)),IF(INDEX(Properties!A$1:CB$87,Formula!D15,34)&lt;&gt;"",INDEX(Properties!A$1:CB$87,Formula!D15,34)),IF(INDEX(Properties!A$1:CB$87,Formula!F15,34)&lt;&gt;"",INDEX(Properties!A$1:CB$87,Formula!F15,34)),IF(INDEX(Properties!A$1:CB$87,Formula!H15,34)&lt;&gt;"",INDEX(Properties!A$1:CB$87,Formula!H15,34)),IF(INDEX(Properties!A$1:CB$87,Formula!J15,34)&lt;&gt;"",INDEX(Properties!A$1:CB$87,Formula!J15,34)))</f>
        <v>1.4588758400000008</v>
      </c>
      <c r="DI15" s="60">
        <f>MAX(INDEX(Properties!A$1:CB$87,Formula!B15,34),INDEX(Properties!A$1:CB$87,Formula!D15,34),INDEX(Properties!A$1:CB$87,Formula!F15,34),INDEX(Properties!A$1:CB$87,Formula!H15,34),INDEX(Properties!A$1:CB$87,Formula!J15,34))</f>
        <v>3.61</v>
      </c>
      <c r="DJ15" s="60">
        <f>MIN(IF(INDEX(Properties!A$1:CB$87,Formula!B15,34)=0,10^6,INDEX(Properties!A$1:CB$87,Formula!B15,34)),IF(INDEX(Properties!A$1:CB$87,Formula!D15,34)=0,10^6,INDEX(Properties!A$1:CB$87,Formula!D15,34)),IF(INDEX(Properties!A$1:CB$87,Formula!F15,34)=0,10^6,INDEX(Properties!A$1:CB$87,Formula!F15,34)),IF(INDEX(Properties!A$1:CB$87,Formula!H15,34)=0,10^6,INDEX(Properties!A$1:CB$87,Formula!H15,34)),IF(INDEX(Properties!A$1:CB$87,Formula!J15,34)=0,10^6,INDEX(Properties!A$1:CB$87,Formula!J15,34)))</f>
        <v>1.034</v>
      </c>
      <c r="DK15" s="60">
        <f t="shared" si="18"/>
        <v>2.5759999999999996</v>
      </c>
      <c r="DL15" s="45">
        <f>((Formula!C15)/(Formula!C15+Formula!E15+Formula!G15+Formula!I15+Formula!K15))*(INDEX(Properties!A$1:CB$87,Formula!B15,39))+((Formula!E15)/(Formula!C15+Formula!E15+Formula!G15+Formula!I15+Formula!K15))*(INDEX(Properties!A$1:CB$87,Formula!D15,39))+((Formula!G15)/(Formula!C15+Formula!E15+Formula!G15+Formula!I15+Formula!K15))*(INDEX(Properties!A$1:CB$87,Formula!F15,39))+((Formula!I15)/(Formula!C15+Formula!E15+Formula!G15+Formula!I15+Formula!K15))*(INDEX(Properties!A$1:CB$87,Formula!H15,39))+((Formula!K15)/(Formula!C15+Formula!E15+Formula!G15+Formula!I15+Formula!K15))*(INDEX(Properties!A$1:CB$87,Formula!J15,39))</f>
        <v>0.97849999999999993</v>
      </c>
      <c r="DM15" s="45">
        <f>Formula!C15*(INDEX(Properties!A$1:CB$87,Formula!B15,39))+Formula!E15*(INDEX(Properties!A$1:CB$87,Formula!D15,39))+Formula!G15*(INDEX(Properties!A$1:CB$87,Formula!F15,39))+Formula!I15*(INDEX(Properties!A$1:CB$87,Formula!H15,39))+Formula!K15*(INDEX(Properties!A$1:CB$87,Formula!J15,39))</f>
        <v>19.57</v>
      </c>
      <c r="DN15" s="45">
        <f>VARP(IF(INDEX(Properties!A$1:CB$87,Formula!B15,39)&lt;&gt;"",INDEX(Properties!A$1:CB$87,Formula!B15,39)),IF(INDEX(Properties!A$1:CB$87,Formula!D15,39)&lt;&gt;"",INDEX(Properties!A$1:CB$87,Formula!D15,39)),IF(INDEX(Properties!A$1:CB$87,Formula!F15,39)&lt;&gt;"",INDEX(Properties!A$1:CB$87,Formula!F15,39)),IF(INDEX(Properties!A$1:CB$87,Formula!H15,39)&lt;&gt;"",INDEX(Properties!A$1:CB$87,Formula!H15,39)),IF(INDEX(Properties!A$1:CB$87,Formula!J15,39)&lt;&gt;"",INDEX(Properties!A$1:CB$87,Formula!J15,39)))</f>
        <v>0.66921599999999959</v>
      </c>
      <c r="DO15" s="45">
        <f>MAX(INDEX(Properties!A$1:CB$87,Formula!B15,39),INDEX(Properties!A$1:CB$87,Formula!D15,39),INDEX(Properties!A$1:CB$87,Formula!F15,39),INDEX(Properties!A$1:CB$87,Formula!H15,39),INDEX(Properties!A$1:CB$87,Formula!J15,39))</f>
        <v>2.12</v>
      </c>
      <c r="DP15" s="45">
        <f>MIN(IF(INDEX(Properties!A$1:CB$87,Formula!B15,39)=0,10^6,INDEX(Properties!A$1:CB$87,Formula!B15,39)),IF(INDEX(Properties!A$1:CB$87,Formula!D15,39)=0,10^6,INDEX(Properties!A$1:CB$87,Formula!D15,39)),IF(INDEX(Properties!A$1:CB$87,Formula!F15,39)=0,10^6,INDEX(Properties!A$1:CB$87,Formula!F15,39)),IF(INDEX(Properties!A$1:CB$87,Formula!H15,39)=0,10^6,INDEX(Properties!A$1:CB$87,Formula!H15,39)),IF(INDEX(Properties!A$1:CB$87,Formula!J15,39)=0,10^6,INDEX(Properties!A$1:CB$87,Formula!J15,39)))</f>
        <v>0.48</v>
      </c>
      <c r="DQ15" s="45">
        <f t="shared" si="19"/>
        <v>1.6400000000000001</v>
      </c>
      <c r="DR15" s="63">
        <f>((Formula!C15)/(Formula!C15+Formula!E15+Formula!G15+Formula!I15+Formula!K15))*(INDEX(Properties!A$1:CB$87,Formula!B15,40))+((Formula!E15)/(Formula!C15+Formula!E15+Formula!G15+Formula!I15+Formula!K15))*(INDEX(Properties!A$1:CB$87,Formula!D15,40))+((Formula!G15)/(Formula!C15+Formula!E15+Formula!G15+Formula!I15+Formula!K15))*(INDEX(Properties!A$1:CB$87,Formula!F15,40))+((Formula!I15)/(Formula!C15+Formula!E15+Formula!G15+Formula!I15+Formula!K15))*(INDEX(Properties!A$1:CB$87,Formula!H15,40))+((Formula!K15)/(Formula!C15+Formula!E15+Formula!G15+Formula!I15+Formula!K15))*(INDEX(Properties!A$1:CB$87,Formula!J15,40))</f>
        <v>1.044</v>
      </c>
      <c r="DS15" s="63">
        <f>Formula!C15*(INDEX(Properties!A$1:CB$87,Formula!B15,40))+Formula!E15*(INDEX(Properties!A$1:CB$87,Formula!D15,40))+Formula!G15*(INDEX(Properties!A$1:CB$87,Formula!F15,40))+Formula!I15*(INDEX(Properties!A$1:CB$87,Formula!H15,40))+Formula!K15*(INDEX(Properties!A$1:CB$87,Formula!J15,40))</f>
        <v>20.880000000000003</v>
      </c>
      <c r="DT15" s="63">
        <f>VARP(IF(INDEX(Properties!A$1:CB$87,Formula!B15,40)&lt;&gt;"",INDEX(Properties!A$1:CB$87,Formula!B15,40)),IF(INDEX(Properties!A$1:CB$87,Formula!D15,40)&lt;&gt;"",INDEX(Properties!A$1:CB$87,Formula!D15,40)),IF(INDEX(Properties!A$1:CB$87,Formula!F15,40)&lt;&gt;"",INDEX(Properties!A$1:CB$87,Formula!F15,40)),IF(INDEX(Properties!A$1:CB$87,Formula!H15,40)&lt;&gt;"",INDEX(Properties!A$1:CB$87,Formula!H15,40)),IF(INDEX(Properties!A$1:CB$87,Formula!J15,40)&lt;&gt;"",INDEX(Properties!A$1:CB$87,Formula!J15,40)))</f>
        <v>0.4068159999999999</v>
      </c>
      <c r="DU15" s="63">
        <f>MAX(INDEX(Properties!A$1:CB$87,Formula!B15,40),INDEX(Properties!A$1:CB$87,Formula!D15,40),INDEX(Properties!A$1:CB$87,Formula!F15,40),INDEX(Properties!A$1:CB$87,Formula!H15,40),INDEX(Properties!A$1:CB$87,Formula!J15,40))</f>
        <v>1.74</v>
      </c>
      <c r="DV15" s="63">
        <f>MIN(IF(INDEX(Properties!A$1:CB$87,Formula!B15,40)=0,10^6,INDEX(Properties!A$1:CB$87,Formula!B15,40)),IF(INDEX(Properties!A$1:CB$87,Formula!D15,40)=0,10^6,INDEX(Properties!A$1:CB$87,Formula!D15,40)),IF(INDEX(Properties!A$1:CB$87,Formula!F15,40)=0,10^6,INDEX(Properties!A$1:CB$87,Formula!F15,40)),IF(INDEX(Properties!A$1:CB$87,Formula!H15,40)=0,10^6,INDEX(Properties!A$1:CB$87,Formula!H15,40)),IF(INDEX(Properties!A$1:CB$87,Formula!J15,40)=0,10^6,INDEX(Properties!A$1:CB$87,Formula!J15,40)))</f>
        <v>0.73</v>
      </c>
      <c r="DW15" s="63">
        <f t="shared" si="20"/>
        <v>1.01</v>
      </c>
      <c r="DX15" s="75">
        <f>((Formula!C15)/(Formula!C15+Formula!E15+Formula!G15+Formula!I15+Formula!K15))*(INDEX(Properties!A$1:CB$87,Formula!B15,41))+((Formula!E15)/(Formula!C15+Formula!E15+Formula!G15+Formula!I15+Formula!K15))*(INDEX(Properties!A$1:CB$87,Formula!D15,41))+((Formula!G15)/(Formula!C15+Formula!E15+Formula!G15+Formula!I15+Formula!K15))*(INDEX(Properties!A$1:CB$87,Formula!F15,41))+((Formula!I15)/(Formula!C15+Formula!E15+Formula!G15+Formula!I15+Formula!K15))*(INDEX(Properties!A$1:CB$87,Formula!H15,41))+((Formula!K15)/(Formula!C15+Formula!E15+Formula!G15+Formula!I15+Formula!K15))*(INDEX(Properties!A$1:CB$87,Formula!J15,41))</f>
        <v>1.1615</v>
      </c>
      <c r="DY15" s="75">
        <f>Formula!C15*(INDEX(Properties!A$1:CB$87,Formula!B15,41))+Formula!E15*(INDEX(Properties!A$1:CB$87,Formula!D15,41))+Formula!G15*(INDEX(Properties!A$1:CB$87,Formula!F15,41))+Formula!I15*(INDEX(Properties!A$1:CB$87,Formula!H15,41))+Formula!K15*(INDEX(Properties!A$1:CB$87,Formula!J15,41))</f>
        <v>23.23</v>
      </c>
      <c r="DZ15" s="75">
        <f>VARP(IF(INDEX(Properties!A$1:CB$87,Formula!B15,41)&lt;&gt;"",INDEX(Properties!A$1:CB$87,Formula!B15,41)),IF(INDEX(Properties!A$1:CB$87,Formula!D15,41)&lt;&gt;"",INDEX(Properties!A$1:CB$87,Formula!D15,41)),IF(INDEX(Properties!A$1:CB$87,Formula!F15,41)&lt;&gt;"",INDEX(Properties!A$1:CB$87,Formula!F15,41)),IF(INDEX(Properties!A$1:CB$87,Formula!H15,41)&lt;&gt;"",INDEX(Properties!A$1:CB$87,Formula!H15,41)),IF(INDEX(Properties!A$1:CB$87,Formula!J15,41)&lt;&gt;"",INDEX(Properties!A$1:CB$87,Formula!J15,41)))</f>
        <v>0.20209600000000008</v>
      </c>
      <c r="EA15" s="75">
        <f>MAX(INDEX(Properties!A$1:CB$87,Formula!B15,41),INDEX(Properties!A$1:CB$87,Formula!D15,41),INDEX(Properties!A$1:CB$87,Formula!F15,41),INDEX(Properties!A$1:CB$87,Formula!H15,41),INDEX(Properties!A$1:CB$87,Formula!J15,41))</f>
        <v>1.26</v>
      </c>
      <c r="EB15" s="75">
        <f>MIN(IF(INDEX(Properties!A$1:CB$87,Formula!B15,41)=0,10^6,INDEX(Properties!A$1:CB$87,Formula!B15,41)),IF(INDEX(Properties!A$1:CB$87,Formula!D15,41)=0,10^6,INDEX(Properties!A$1:CB$87,Formula!D15,41)),IF(INDEX(Properties!A$1:CB$87,Formula!F15,41)=0,10^6,INDEX(Properties!A$1:CB$87,Formula!F15,41)),IF(INDEX(Properties!A$1:CB$87,Formula!H15,41)=0,10^6,INDEX(Properties!A$1:CB$87,Formula!H15,41)),IF(INDEX(Properties!A$1:CB$87,Formula!J15,41)=0,10^6,INDEX(Properties!A$1:CB$87,Formula!J15,41)))</f>
        <v>0.87</v>
      </c>
      <c r="EC15" s="75">
        <f t="shared" si="21"/>
        <v>0.39</v>
      </c>
      <c r="ED15" s="48">
        <f>((Formula!C15)/(Formula!C15+Formula!E15+Formula!G15+Formula!I15+Formula!K15))*(INDEX(Properties!A$1:CB$87,Formula!B15,45))+((Formula!E15)/(Formula!C15+Formula!E15+Formula!G15+Formula!I15+Formula!K15))*(INDEX(Properties!A$1:CB$87,Formula!D15,45))+((Formula!G15)/(Formula!C15+Formula!E15+Formula!G15+Formula!I15+Formula!K15))*(INDEX(Properties!A$1:CB$87,Formula!F15,45))+((Formula!I15)/(Formula!C15+Formula!E15+Formula!G15+Formula!I15+Formula!K15))*(INDEX(Properties!A$1:CB$87,Formula!H15,45))+((Formula!K15)/(Formula!C15+Formula!E15+Formula!G15+Formula!I15+Formula!K15))*(INDEX(Properties!A$1:CB$87,Formula!J15,45))</f>
        <v>1.26</v>
      </c>
      <c r="EE15" s="48">
        <f>Formula!C15*(INDEX(Properties!A$1:CB$87,Formula!B15,45))+Formula!E15*(INDEX(Properties!A$1:CB$87,Formula!D15,45))+Formula!G15*(INDEX(Properties!A$1:CB$87,Formula!F15,45))+Formula!I15*(INDEX(Properties!A$1:CB$87,Formula!H15,45))+Formula!K15*(INDEX(Properties!A$1:CB$87,Formula!J15,45))</f>
        <v>25.2</v>
      </c>
      <c r="EF15" s="48">
        <f>VARP(IF(INDEX(Properties!A$1:CB$87,Formula!B15,45)&lt;&gt;"",INDEX(Properties!A$1:CB$87,Formula!B15,45)),IF(INDEX(Properties!A$1:CB$87,Formula!D15,45)&lt;&gt;"",INDEX(Properties!A$1:CB$87,Formula!D15,45)),IF(INDEX(Properties!A$1:CB$87,Formula!F15,45)&lt;&gt;"",INDEX(Properties!A$1:CB$87,Formula!F15,45)),IF(INDEX(Properties!A$1:CB$87,Formula!H15,45)&lt;&gt;"",INDEX(Properties!A$1:CB$87,Formula!H15,45)),IF(INDEX(Properties!A$1:CB$87,Formula!J15,45)&lt;&gt;"",INDEX(Properties!A$1:CB$87,Formula!J15,45)))</f>
        <v>1.5187839999999999</v>
      </c>
      <c r="EG15" s="48">
        <f>MAX(INDEX(Properties!A$1:CB$87,Formula!B15,45),INDEX(Properties!A$1:CB$87,Formula!D15,45),INDEX(Properties!A$1:CB$87,Formula!F15,45),INDEX(Properties!A$1:CB$87,Formula!H15,45),INDEX(Properties!A$1:CB$87,Formula!J15,45))</f>
        <v>3</v>
      </c>
      <c r="EH15" s="48">
        <f>MIN(IF(INDEX(Properties!A$1:CB$87,Formula!B15,45)=0,10^6,INDEX(Properties!A$1:CB$87,Formula!B15,45)),IF(INDEX(Properties!A$1:CB$87,Formula!D15,45)=0,10^6,INDEX(Properties!A$1:CB$87,Formula!D15,45)),IF(INDEX(Properties!A$1:CB$87,Formula!F15,45)=0,10^6,INDEX(Properties!A$1:CB$87,Formula!F15,45)),IF(INDEX(Properties!A$1:CB$87,Formula!H15,45)=0,10^6,INDEX(Properties!A$1:CB$87,Formula!H15,45)),IF(INDEX(Properties!A$1:CB$87,Formula!J15,45)=0,10^6,INDEX(Properties!A$1:CB$87,Formula!J15,45)))</f>
        <v>0.47</v>
      </c>
      <c r="EI15" s="48">
        <f t="shared" si="22"/>
        <v>2.5300000000000002</v>
      </c>
      <c r="EJ15" s="66">
        <f>((Formula!C15)/(Formula!C15+Formula!E15+Formula!G15+Formula!I15+Formula!K15))*(INDEX(Properties!A$1:CB$87,Formula!B15,46))+((Formula!E15)/(Formula!C15+Formula!E15+Formula!G15+Formula!I15+Formula!K15))*(INDEX(Properties!A$1:CB$87,Formula!D15,46))+((Formula!G15)/(Formula!C15+Formula!E15+Formula!G15+Formula!I15+Formula!K15))*(INDEX(Properties!A$1:CB$87,Formula!F15,46))+((Formula!I15)/(Formula!C15+Formula!E15+Formula!G15+Formula!I15+Formula!K15))*(INDEX(Properties!A$1:CB$87,Formula!H15,46))+((Formula!K15)/(Formula!C15+Formula!E15+Formula!G15+Formula!I15+Formula!K15))*(INDEX(Properties!A$1:CB$87,Formula!J15,46))</f>
        <v>1.0805</v>
      </c>
      <c r="EK15" s="66">
        <f>Formula!C15*(INDEX(Properties!A$1:CB$87,Formula!B15,46))+Formula!E15*(INDEX(Properties!A$1:CB$87,Formula!D15,46))+Formula!G15*(INDEX(Properties!A$1:CB$87,Formula!F15,46))+Formula!I15*(INDEX(Properties!A$1:CB$87,Formula!H15,46))+Formula!K15*(INDEX(Properties!A$1:CB$87,Formula!J15,46))</f>
        <v>21.61</v>
      </c>
      <c r="EL15" s="66">
        <f>VARP(IF(INDEX(Properties!A$1:CB$87,Formula!B15,46)&lt;&gt;"",INDEX(Properties!A$1:CB$87,Formula!B15,46)),IF(INDEX(Properties!A$1:CB$87,Formula!D15,46)&lt;&gt;"",INDEX(Properties!A$1:CB$87,Formula!D15,46)),IF(INDEX(Properties!A$1:CB$87,Formula!F15,46)&lt;&gt;"",INDEX(Properties!A$1:CB$87,Formula!F15,46)),IF(INDEX(Properties!A$1:CB$87,Formula!H15,46)&lt;&gt;"",INDEX(Properties!A$1:CB$87,Formula!H15,46)),IF(INDEX(Properties!A$1:CB$87,Formula!J15,46)&lt;&gt;"",INDEX(Properties!A$1:CB$87,Formula!J15,46)))</f>
        <v>0.21058400000000005</v>
      </c>
      <c r="EM15" s="66">
        <f>MAX(INDEX(Properties!A$1:CB$87,Formula!B15,46),INDEX(Properties!A$1:CB$87,Formula!D15,46),INDEX(Properties!A$1:CB$87,Formula!F15,46),INDEX(Properties!A$1:CB$87,Formula!H15,46),INDEX(Properties!A$1:CB$87,Formula!J15,46))</f>
        <v>1.21</v>
      </c>
      <c r="EN15" s="66">
        <f>MIN(IF(INDEX(Properties!A$1:CB$87,Formula!B15,46)=0,10^6,INDEX(Properties!A$1:CB$87,Formula!B15,46)),IF(INDEX(Properties!A$1:CB$87,Formula!D15,46)=0,10^6,INDEX(Properties!A$1:CB$87,Formula!D15,46)),IF(INDEX(Properties!A$1:CB$87,Formula!F15,46)=0,10^6,INDEX(Properties!A$1:CB$87,Formula!F15,46)),IF(INDEX(Properties!A$1:CB$87,Formula!H15,46)=0,10^6,INDEX(Properties!A$1:CB$87,Formula!H15,46)),IF(INDEX(Properties!A$1:CB$87,Formula!J15,46)=0,10^6,INDEX(Properties!A$1:CB$87,Formula!J15,46)))</f>
        <v>0.53</v>
      </c>
      <c r="EO15" s="66">
        <f t="shared" si="23"/>
        <v>0.67999999999999994</v>
      </c>
      <c r="EP15" s="81">
        <f>((Formula!C15)/(Formula!C15+Formula!E15+Formula!G15+Formula!I15+Formula!K15))*(INDEX(Properties!A$1:CB$87,Formula!B15,52))+((Formula!E15)/(Formula!C15+Formula!E15+Formula!G15+Formula!I15+Formula!K15))*(INDEX(Properties!A$1:CB$87,Formula!D15,52))+((Formula!G15)/(Formula!C15+Formula!E15+Formula!G15+Formula!I15+Formula!K15))*(INDEX(Properties!A$1:CB$87,Formula!F15,52))+((Formula!I15)/(Formula!C15+Formula!E15+Formula!G15+Formula!I15+Formula!K15))*(INDEX(Properties!A$1:CB$87,Formula!H15,52))+((Formula!K15)/(Formula!C15+Formula!E15+Formula!G15+Formula!I15+Formula!K15))*(INDEX(Properties!A$1:CB$87,Formula!J15,52))</f>
        <v>7.0808</v>
      </c>
      <c r="EQ15" s="81">
        <f>Formula!C15*(INDEX(Properties!A$1:CB$87,Formula!B15,52))+Formula!E15*(INDEX(Properties!A$1:CB$87,Formula!D15,52))+Formula!G15*(INDEX(Properties!A$1:CB$87,Formula!F15,52))+Formula!I15*(INDEX(Properties!A$1:CB$87,Formula!H15,52))+Formula!K15*(INDEX(Properties!A$1:CB$87,Formula!J15,52))</f>
        <v>141.61600000000001</v>
      </c>
      <c r="ER15" s="81">
        <f>VARP(IF(INDEX(Properties!A$1:CB$87,Formula!B15,52)&lt;&gt;"",INDEX(Properties!A$1:CB$87,Formula!B15,52)),IF(INDEX(Properties!A$1:CB$87,Formula!D15,52)&lt;&gt;"",INDEX(Properties!A$1:CB$87,Formula!D15,52)),IF(INDEX(Properties!A$1:CB$87,Formula!F15,52)&lt;&gt;"",INDEX(Properties!A$1:CB$87,Formula!F15,52)),IF(INDEX(Properties!A$1:CB$87,Formula!H15,52)&lt;&gt;"",INDEX(Properties!A$1:CB$87,Formula!H15,52)),IF(INDEX(Properties!A$1:CB$87,Formula!J15,52)&lt;&gt;"",INDEX(Properties!A$1:CB$87,Formula!J15,52)))</f>
        <v>104.79271184000001</v>
      </c>
      <c r="ES15" s="81">
        <f>MAX(INDEX(Properties!A$1:CB$87,Formula!B15,52),INDEX(Properties!A$1:CB$87,Formula!D15,52),INDEX(Properties!A$1:CB$87,Formula!F15,52),INDEX(Properties!A$1:CB$87,Formula!H15,52),INDEX(Properties!A$1:CB$87,Formula!J15,52))</f>
        <v>22.8</v>
      </c>
      <c r="ET15" s="81">
        <f>MIN(IF(INDEX(Properties!A$1:CB$87,Formula!B15,52)=0,10^6,INDEX(Properties!A$1:CB$87,Formula!B15,52)),IF(INDEX(Properties!A$1:CB$87,Formula!D15,52)=0,10^6,INDEX(Properties!A$1:CB$87,Formula!D15,52)),IF(INDEX(Properties!A$1:CB$87,Formula!F15,52)=0,10^6,INDEX(Properties!A$1:CB$87,Formula!F15,52)),IF(INDEX(Properties!A$1:CB$87,Formula!H15,52)=0,10^6,INDEX(Properties!A$1:CB$87,Formula!H15,52)),IF(INDEX(Properties!A$1:CB$87,Formula!J15,52)=0,10^6,INDEX(Properties!A$1:CB$87,Formula!J15,52)))</f>
        <v>0.79300000000000004</v>
      </c>
      <c r="EU15" s="81">
        <f t="shared" si="24"/>
        <v>22.007000000000001</v>
      </c>
      <c r="EV15" s="39">
        <f>((Formula!C15)/(Formula!C15+Formula!E15+Formula!G15+Formula!I15+Formula!K15))*(INDEX(Properties!A$1:CB$87,Formula!B15,53))+((Formula!E15)/(Formula!C15+Formula!E15+Formula!G15+Formula!I15+Formula!K15))*(INDEX(Properties!A$1:CB$87,Formula!D15,53))+((Formula!G15)/(Formula!C15+Formula!E15+Formula!G15+Formula!I15+Formula!K15))*(INDEX(Properties!A$1:CB$87,Formula!F15,53))+((Formula!I15)/(Formula!C15+Formula!E15+Formula!G15+Formula!I15+Formula!K15))*(INDEX(Properties!A$1:CB$87,Formula!H15,53))+((Formula!K15)/(Formula!C15+Formula!E15+Formula!G15+Formula!I15+Formula!K15))*(INDEX(Properties!A$1:CB$87,Formula!J15,53))</f>
        <v>562.37</v>
      </c>
      <c r="EW15" s="39">
        <f>Formula!C15*(INDEX(Properties!A$1:CB$87,Formula!B15,53))+Formula!E15*(INDEX(Properties!A$1:CB$87,Formula!D15,53))+Formula!G15*(INDEX(Properties!A$1:CB$87,Formula!F15,53))+Formula!I15*(INDEX(Properties!A$1:CB$87,Formula!H15,53))+Formula!K15*(INDEX(Properties!A$1:CB$87,Formula!J15,53))</f>
        <v>11247.4</v>
      </c>
      <c r="EX15" s="39">
        <f>VARP(IF(INDEX(Properties!A$1:CB$87,Formula!B15,53)&lt;&gt;"",INDEX(Properties!A$1:CB$87,Formula!B15,53)),IF(INDEX(Properties!A$1:CB$87,Formula!D15,53)&lt;&gt;"",INDEX(Properties!A$1:CB$87,Formula!D15,53)),IF(INDEX(Properties!A$1:CB$87,Formula!F15,53)&lt;&gt;"",INDEX(Properties!A$1:CB$87,Formula!F15,53)),IF(INDEX(Properties!A$1:CB$87,Formula!H15,53)&lt;&gt;"",INDEX(Properties!A$1:CB$87,Formula!H15,53)),IF(INDEX(Properties!A$1:CB$87,Formula!J15,53)&lt;&gt;"",INDEX(Properties!A$1:CB$87,Formula!J15,53)))</f>
        <v>491054.10359999997</v>
      </c>
      <c r="EY15" s="39">
        <f>MAX(INDEX(Properties!A$1:CB$87,Formula!B15,53),INDEX(Properties!A$1:CB$87,Formula!D15,53),INDEX(Properties!A$1:CB$87,Formula!F15,53),INDEX(Properties!A$1:CB$87,Formula!H15,53),INDEX(Properties!A$1:CB$87,Formula!J15,53))</f>
        <v>1796.15</v>
      </c>
      <c r="EZ15" s="39">
        <f>MIN(IF(INDEX(Properties!A$1:CB$87,Formula!B15,53)=0,10^6,INDEX(Properties!A$1:CB$87,Formula!B15,53)),IF(INDEX(Properties!A$1:CB$87,Formula!D15,53)=0,10^6,INDEX(Properties!A$1:CB$87,Formula!D15,53)),IF(INDEX(Properties!A$1:CB$87,Formula!F15,53)=0,10^6,INDEX(Properties!A$1:CB$87,Formula!F15,53)),IF(INDEX(Properties!A$1:CB$87,Formula!H15,53)=0,10^6,INDEX(Properties!A$1:CB$87,Formula!H15,53)),IF(INDEX(Properties!A$1:CB$87,Formula!J15,53)=0,10^6,INDEX(Properties!A$1:CB$87,Formula!J15,53)))</f>
        <v>54.749999999999972</v>
      </c>
      <c r="FA15" s="39">
        <f t="shared" si="25"/>
        <v>1741.4</v>
      </c>
      <c r="FB15" s="54">
        <f>((Formula!C15)/(Formula!C15+Formula!E15+Formula!G15+Formula!I15+Formula!K15))*(INDEX(Properties!A$1:CB$87,Formula!B15,54))+((Formula!E15)/(Formula!C15+Formula!E15+Formula!G15+Formula!I15+Formula!K15))*(INDEX(Properties!A$1:CB$87,Formula!D15,54))+((Formula!G15)/(Formula!C15+Formula!E15+Formula!G15+Formula!I15+Formula!K15))*(INDEX(Properties!A$1:CB$87,Formula!F15,54))+((Formula!I15)/(Formula!C15+Formula!E15+Formula!G15+Formula!I15+Formula!K15))*(INDEX(Properties!A$1:CB$87,Formula!H15,54))+((Formula!K15)/(Formula!C15+Formula!E15+Formula!G15+Formula!I15+Formula!K15))*(INDEX(Properties!A$1:CB$87,Formula!J15,54))</f>
        <v>1144.1499999999999</v>
      </c>
      <c r="FC15" s="54">
        <f>Formula!C15*(INDEX(Properties!A$1:CB$87,Formula!B15,54))+Formula!E15*(INDEX(Properties!A$1:CB$87,Formula!D15,54))+Formula!G15*(INDEX(Properties!A$1:CB$87,Formula!F15,54))+Formula!I15*(INDEX(Properties!A$1:CB$87,Formula!H15,54))+Formula!K15*(INDEX(Properties!A$1:CB$87,Formula!J15,54))</f>
        <v>22883</v>
      </c>
      <c r="FD15" s="54">
        <f>VARP(IF(INDEX(Properties!A$1:CB$87,Formula!B15,54)&lt;&gt;"",INDEX(Properties!A$1:CB$87,Formula!B15,54)),IF(INDEX(Properties!A$1:CB$87,Formula!D15,54)&lt;&gt;"",INDEX(Properties!A$1:CB$87,Formula!D15,54)),IF(INDEX(Properties!A$1:CB$87,Formula!F15,54)&lt;&gt;"",INDEX(Properties!A$1:CB$87,Formula!F15,54)),IF(INDEX(Properties!A$1:CB$87,Formula!H15,54)&lt;&gt;"",INDEX(Properties!A$1:CB$87,Formula!H15,54)),IF(INDEX(Properties!A$1:CB$87,Formula!J15,54)&lt;&gt;"",INDEX(Properties!A$1:CB$87,Formula!J15,54)))</f>
        <v>2220330.3236000007</v>
      </c>
      <c r="FE15" s="54">
        <f>MAX(INDEX(Properties!A$1:CB$87,Formula!B15,54),INDEX(Properties!A$1:CB$87,Formula!D15,54),INDEX(Properties!A$1:CB$87,Formula!F15,54),INDEX(Properties!A$1:CB$87,Formula!H15,54),INDEX(Properties!A$1:CB$87,Formula!J15,54))</f>
        <v>3610.15</v>
      </c>
      <c r="FF15" s="54">
        <f>MIN(IF(INDEX(Properties!A$1:CB$87,Formula!B15,54)=0,10^6,INDEX(Properties!A$1:CB$87,Formula!B15,54)),IF(INDEX(Properties!A$1:CB$87,Formula!D15,54)=0,10^6,INDEX(Properties!A$1:CB$87,Formula!D15,54)),IF(INDEX(Properties!A$1:CB$87,Formula!F15,54)=0,10^6,INDEX(Properties!A$1:CB$87,Formula!F15,54)),IF(INDEX(Properties!A$1:CB$87,Formula!H15,54)=0,10^6,INDEX(Properties!A$1:CB$87,Formula!H15,54)),IF(INDEX(Properties!A$1:CB$87,Formula!J15,54)=0,10^6,INDEX(Properties!A$1:CB$87,Formula!J15,54)))</f>
        <v>90.149999999999977</v>
      </c>
      <c r="FG15" s="54">
        <f t="shared" si="26"/>
        <v>3520</v>
      </c>
      <c r="FH15" s="69">
        <f>((Formula!C15)/(Formula!C15+Formula!E15+Formula!G15+Formula!I15+Formula!K15))*(INDEX(Properties!A$1:CB$87,Formula!B15,55))+((Formula!E15)/(Formula!C15+Formula!E15+Formula!G15+Formula!I15+Formula!K15))*(INDEX(Properties!A$1:CB$87,Formula!D15,55))+((Formula!G15)/(Formula!C15+Formula!E15+Formula!G15+Formula!I15+Formula!K15))*(INDEX(Properties!A$1:CB$87,Formula!F15,55))+((Formula!I15)/(Formula!C15+Formula!E15+Formula!G15+Formula!I15+Formula!K15))*(INDEX(Properties!A$1:CB$87,Formula!H15,55))+((Formula!K15)/(Formula!C15+Formula!E15+Formula!G15+Formula!I15+Formula!K15))*(INDEX(Properties!A$1:CB$87,Formula!J15,55))</f>
        <v>1.4783580000000001</v>
      </c>
      <c r="FI15" s="69">
        <f>Formula!C15*(INDEX(Properties!A$1:CB$87,Formula!B15,55))+Formula!E15*(INDEX(Properties!A$1:CB$87,Formula!D15,54))+Formula!G15*(INDEX(Properties!A$1:CB$87,Formula!F15,55))+Formula!I15*(INDEX(Properties!A$1:CB$87,Formula!H15,55))+Formula!K15*(INDEX(Properties!A$1:CB$87,Formula!J15,55))</f>
        <v>7240.9271600000002</v>
      </c>
      <c r="FJ15" s="69">
        <f>VARP(IF(INDEX(Properties!A$1:CB$87,Formula!B15,55)&lt;&gt;"",INDEX(Properties!A$1:CB$87,Formula!B15,55)),IF(INDEX(Properties!A$1:CB$87,Formula!D15,55)&lt;&gt;"",INDEX(Properties!A$1:CB$87,Formula!D15,55)),IF(INDEX(Properties!A$1:CB$87,Formula!F15,55)&lt;&gt;"",INDEX(Properties!A$1:CB$87,Formula!F15,55)),IF(INDEX(Properties!A$1:CB$87,Formula!H15,55)&lt;&gt;"",INDEX(Properties!A$1:CB$87,Formula!H15,55)),IF(INDEX(Properties!A$1:CB$87,Formula!J15,55)&lt;&gt;"",INDEX(Properties!A$1:CB$87,Formula!J15,55)))</f>
        <v>4.9920390311840013</v>
      </c>
      <c r="FK15" s="69">
        <f>MAX(INDEX(Properties!A$1:CB$87,Formula!B15,55),INDEX(Properties!A$1:CB$87,Formula!D15,55),INDEX(Properties!A$1:CB$87,Formula!F15,55),INDEX(Properties!A$1:CB$87,Formula!H15,55),INDEX(Properties!A$1:CB$87,Formula!J15,55))</f>
        <v>5.32</v>
      </c>
      <c r="FL15" s="69">
        <f>MIN(IF(INDEX(Properties!A$1:CB$87,Formula!B15,55)=0,10^6,INDEX(Properties!A$1:CB$87,Formula!B15,55)),IF(INDEX(Properties!A$1:CB$87,Formula!D15,55)=0,10^6,INDEX(Properties!A$1:CB$87,Formula!D15,55)),IF(INDEX(Properties!A$1:CB$87,Formula!F15,55)=0,10^6,INDEX(Properties!A$1:CB$87,Formula!F15,55)),IF(INDEX(Properties!A$1:CB$87,Formula!H15,55)=0,10^6,INDEX(Properties!A$1:CB$87,Formula!H15,55)),IF(INDEX(Properties!A$1:CB$87,Formula!J15,55)=0,10^6,INDEX(Properties!A$1:CB$87,Formula!J15,55)))</f>
        <v>1.4300000000000001E-3</v>
      </c>
      <c r="FM15" s="69">
        <f t="shared" si="27"/>
        <v>5.3185700000000002</v>
      </c>
      <c r="FN15" s="42">
        <f>((Formula!C15)/(Formula!C15+Formula!E15+Formula!G15+Formula!I15+Formula!K15))*(INDEX(Properties!A$1:CB$87,Formula!B15,56))+((Formula!E15)/(Formula!C15+Formula!E15+Formula!G15+Formula!I15+Formula!K15))*(INDEX(Properties!A$1:CB$87,Formula!D15,56))+((Formula!G15)/(Formula!C15+Formula!E15+Formula!G15+Formula!I15+Formula!K15))*(INDEX(Properties!A$1:CB$87,Formula!F15,56))+((Formula!I15)/(Formula!C15+Formula!E15+Formula!G15+Formula!I15+Formula!K15))*(INDEX(Properties!A$1:CB$87,Formula!H15,56))+((Formula!K15)/(Formula!C15+Formula!E15+Formula!G15+Formula!I15+Formula!K15))*(INDEX(Properties!A$1:CB$87,Formula!J15,56))</f>
        <v>0.72450000000000003</v>
      </c>
      <c r="FO15" s="42">
        <f>Formula!C15*(INDEX(Properties!A$1:CB$87,Formula!B15,56))+Formula!E15*(INDEX(Properties!A$1:CB$87,Formula!D15,56))+Formula!G15*(INDEX(Properties!A$1:CB$87,Formula!F15,56))+Formula!I15*(INDEX(Properties!A$1:CB$87,Formula!H15,56))+Formula!K15*(INDEX(Properties!A$1:CB$87,Formula!J15,56))</f>
        <v>14.490000000000002</v>
      </c>
      <c r="FP15" s="42">
        <f>VARP(IF(INDEX(Properties!A$1:CB$87,Formula!B15,56)&lt;&gt;"",INDEX(Properties!A$1:CB$87,Formula!B15,56)),IF(INDEX(Properties!A$1:CB$87,Formula!D15,56)&lt;&gt;"",INDEX(Properties!A$1:CB$87,Formula!D15,56)),IF(INDEX(Properties!A$1:CB$87,Formula!F15,56)&lt;&gt;"",INDEX(Properties!A$1:CB$87,Formula!F15,56)),IF(INDEX(Properties!A$1:CB$87,Formula!H15,56)&lt;&gt;"",INDEX(Properties!A$1:CB$87,Formula!H15,56)),IF(INDEX(Properties!A$1:CB$87,Formula!J15,56)&lt;&gt;"",INDEX(Properties!A$1:CB$87,Formula!J15,56)))</f>
        <v>9.8784000000000066E-2</v>
      </c>
      <c r="FQ15" s="42">
        <f>MAX(INDEX(Properties!A$1:CB$87,Formula!B15,56),INDEX(Properties!A$1:CB$87,Formula!D15,56),INDEX(Properties!A$1:CB$87,Formula!F15,56),INDEX(Properties!A$1:CB$87,Formula!H15,56),INDEX(Properties!A$1:CB$87,Formula!J15,56))</f>
        <v>0.92</v>
      </c>
      <c r="FR15" s="42">
        <f>MIN(IF(INDEX(Properties!A$1:CB$87,Formula!B15,56)=0,10^6,INDEX(Properties!A$1:CB$87,Formula!B15,56)),IF(INDEX(Properties!A$1:CB$87,Formula!D15,56)=0,10^6,INDEX(Properties!A$1:CB$87,Formula!D15,56)),IF(INDEX(Properties!A$1:CB$87,Formula!F15,56)=0,10^6,INDEX(Properties!A$1:CB$87,Formula!F15,56)),IF(INDEX(Properties!A$1:CB$87,Formula!H15,56)=0,10^6,INDEX(Properties!A$1:CB$87,Formula!H15,56)),IF(INDEX(Properties!A$1:CB$87,Formula!J15,56)=0,10^6,INDEX(Properties!A$1:CB$87,Formula!J15,56)))</f>
        <v>0.3</v>
      </c>
      <c r="FS15" s="42">
        <f t="shared" si="28"/>
        <v>0.62000000000000011</v>
      </c>
      <c r="FT15" s="60">
        <f>((Formula!C15)/(Formula!C15+Formula!E15+Formula!G15+Formula!I15+Formula!K15))*(INDEX(Properties!A$1:CB$87,Formula!B15,57))+((Formula!E15)/(Formula!C15+Formula!E15+Formula!G15+Formula!I15+Formula!K15))*(INDEX(Properties!A$1:CB$87,Formula!D15,57))+((Formula!G15)/(Formula!C15+Formula!E15+Formula!G15+Formula!I15+Formula!K15))*(INDEX(Properties!A$1:CB$87,Formula!F15,57))+((Formula!I15)/(Formula!C15+Formula!E15+Formula!G15+Formula!I15+Formula!K15))*(INDEX(Properties!A$1:CB$87,Formula!H15,57))+((Formula!K15)/(Formula!C15+Formula!E15+Formula!G15+Formula!I15+Formula!K15))*(INDEX(Properties!A$1:CB$87,Formula!J15,57))</f>
        <v>8.0955539999999999</v>
      </c>
      <c r="FU15" s="60">
        <f>Formula!C15*(INDEX(Properties!A$1:CB$87,Formula!B15,57))+Formula!E15*(INDEX(Properties!A$1:CB$87,Formula!D15,57))+Formula!G15*(INDEX(Properties!A$1:CB$87,Formula!F15,57))+Formula!I15*(INDEX(Properties!A$1:CB$87,Formula!H15,57))+Formula!K15*(INDEX(Properties!A$1:CB$87,Formula!J15,57))</f>
        <v>161.91108</v>
      </c>
      <c r="FV15" s="60">
        <f>VARP(IF(INDEX(Properties!A$1:CB$87,Formula!B15,57)&lt;&gt;"",INDEX(Properties!A$1:CB$87,Formula!B15,57)),IF(INDEX(Properties!A$1:CB$87,Formula!D15,57)&lt;&gt;"",INDEX(Properties!A$1:CB$87,Formula!D15,57)),IF(INDEX(Properties!A$1:CB$87,Formula!F15,57)&lt;&gt;"",INDEX(Properties!A$1:CB$87,Formula!F15,57)),IF(INDEX(Properties!A$1:CB$87,Formula!H15,57)&lt;&gt;"",INDEX(Properties!A$1:CB$87,Formula!H15,57)),IF(INDEX(Properties!A$1:CB$87,Formula!J15,57)&lt;&gt;"",INDEX(Properties!A$1:CB$87,Formula!J15,57)))</f>
        <v>183.07271787329591</v>
      </c>
      <c r="FW15" s="60">
        <f>MAX(INDEX(Properties!A$1:CB$87,Formula!B15,57),INDEX(Properties!A$1:CB$87,Formula!D15,57),INDEX(Properties!A$1:CB$87,Formula!F15,57),INDEX(Properties!A$1:CB$87,Formula!H15,57),INDEX(Properties!A$1:CB$87,Formula!J15,57))</f>
        <v>36.94</v>
      </c>
      <c r="FX15" s="60">
        <f>MIN(IF(INDEX(Properties!A$1:CB$87,Formula!B15,57)=0,10^6,INDEX(Properties!A$1:CB$87,Formula!B15,57)),IF(INDEX(Properties!A$1:CB$87,Formula!D15,57)=0,10^6,INDEX(Properties!A$1:CB$87,Formula!D15,57)),IF(INDEX(Properties!A$1:CB$87,Formula!F15,57)=0,10^6,INDEX(Properties!A$1:CB$87,Formula!F15,57)),IF(INDEX(Properties!A$1:CB$87,Formula!H15,57)=0,10^6,INDEX(Properties!A$1:CB$87,Formula!H15,57)),IF(INDEX(Properties!A$1:CB$87,Formula!J15,57)=0,10^6,INDEX(Properties!A$1:CB$87,Formula!J15,57)))</f>
        <v>0.22259000000000001</v>
      </c>
      <c r="FY15" s="60">
        <f t="shared" si="29"/>
        <v>36.717410000000001</v>
      </c>
      <c r="FZ15" s="72">
        <f>((Formula!C15)/(Formula!C15+Formula!E15+Formula!G15+Formula!I15+Formula!K15))*(INDEX(Properties!A$1:CB$87,Formula!B15,60))+((Formula!E15)/(Formula!C15+Formula!E15+Formula!G15+Formula!I15+Formula!K15))*(INDEX(Properties!A$1:CB$87,Formula!D15,60))+((Formula!G15)/(Formula!C15+Formula!E15+Formula!G15+Formula!I15+Formula!K15))*(INDEX(Properties!A$1:CB$87,Formula!F15,60))+((Formula!I15)/(Formula!C15+Formula!E15+Formula!G15+Formula!I15+Formula!K15))*(INDEX(Properties!A$1:CB$87,Formula!H15,60))+((Formula!K15)/(Formula!C15+Formula!E15+Formula!G15+Formula!I15+Formula!K15))*(INDEX(Properties!A$1:CB$87,Formula!J15,60))</f>
        <v>40.721043999999999</v>
      </c>
      <c r="GA15" s="72">
        <f>Formula!C15*(INDEX(Properties!A$1:CB$87,Formula!B15,60))+Formula!E15*(INDEX(Properties!A$1:CB$87,Formula!D15,60))+Formula!G15*(INDEX(Properties!A$1:CB$87,Formula!F15,60))+Formula!I15*(INDEX(Properties!A$1:CB$87,Formula!H15,60))+Formula!K15*(INDEX(Properties!A$1:CB$87,Formula!J15,60))</f>
        <v>814.4208799999999</v>
      </c>
      <c r="GB15" s="72">
        <f>VARP(IF(INDEX(Properties!A$1:CB$87,Formula!B15,60)&lt;&gt;"",INDEX(Properties!A$1:CB$87,Formula!B15,60)),IF(INDEX(Properties!A$1:CB$87,Formula!D15,60)&lt;&gt;"",INDEX(Properties!A$1:CB$87,Formula!D15,60)),IF(INDEX(Properties!A$1:CB$87,Formula!F15,60)&lt;&gt;"",INDEX(Properties!A$1:CB$87,Formula!F15,60)),IF(INDEX(Properties!A$1:CB$87,Formula!H15,60)&lt;&gt;"",INDEX(Properties!A$1:CB$87,Formula!H15,60)),IF(INDEX(Properties!A$1:CB$87,Formula!J15,60)&lt;&gt;"",INDEX(Properties!A$1:CB$87,Formula!J15,60)))</f>
        <v>5704.8009420844164</v>
      </c>
      <c r="GC15" s="72">
        <f>MAX(INDEX(Properties!A$1:CB$87,Formula!B15,60),INDEX(Properties!A$1:CB$87,Formula!D15,60),INDEX(Properties!A$1:CB$87,Formula!F15,60),INDEX(Properties!A$1:CB$87,Formula!H15,60),INDEX(Properties!A$1:CB$87,Formula!J15,60))</f>
        <v>200</v>
      </c>
      <c r="GD15" s="72">
        <f>MIN(IF(INDEX(Properties!A$1:CB$87,Formula!B15,60)=0,10^6,INDEX(Properties!A$1:CB$87,Formula!B15,60)),IF(INDEX(Properties!A$1:CB$87,Formula!D15,60)=0,10^6,INDEX(Properties!A$1:CB$87,Formula!D15,60)),IF(INDEX(Properties!A$1:CB$87,Formula!F15,60)=0,10^6,INDEX(Properties!A$1:CB$87,Formula!F15,60)),IF(INDEX(Properties!A$1:CB$87,Formula!H15,60)=0,10^6,INDEX(Properties!A$1:CB$87,Formula!H15,60)),IF(INDEX(Properties!A$1:CB$87,Formula!J15,60)=0,10^6,INDEX(Properties!A$1:CB$87,Formula!J15,60)))</f>
        <v>2.674E-2</v>
      </c>
      <c r="GE15" s="72">
        <f t="shared" si="30"/>
        <v>199.97326000000001</v>
      </c>
      <c r="GF15" s="51">
        <f>((Formula!C15)/(Formula!C15+Formula!E15+Formula!G15+Formula!I15+Formula!K15))*(INDEX(Properties!A$1:CB$87,Formula!B15,62))+((Formula!E15)/(Formula!C15+Formula!E15+Formula!G15+Formula!I15+Formula!K15))*(INDEX(Properties!A$1:CB$87,Formula!D15,62))+((Formula!G15)/(Formula!C15+Formula!E15+Formula!G15+Formula!I15+Formula!K15))*(INDEX(Properties!A$1:CB$87,Formula!F15,62))+((Formula!I15)/(Formula!C15+Formula!E15+Formula!G15+Formula!I15+Formula!K15))*(INDEX(Properties!A$1:CB$87,Formula!H15,62))+((Formula!K15)/(Formula!C15+Formula!E15+Formula!G15+Formula!I15+Formula!K15))*(INDEX(Properties!A$1:CB$87,Formula!J15,62))</f>
        <v>2.8625000000000003</v>
      </c>
      <c r="GG15" s="51">
        <f>Formula!C15*(INDEX(Properties!A$1:CB$87,Formula!B15,62))+Formula!E15*(INDEX(Properties!A$1:CB$87,Formula!D15,62))+Formula!G15*(INDEX(Properties!A$1:CB$87,Formula!F15,62))+Formula!I15*(INDEX(Properties!A$1:CB$87,Formula!H15,62))+Formula!K15*(INDEX(Properties!A$1:CB$87,Formula!J15,62))</f>
        <v>57.25</v>
      </c>
      <c r="GH15" s="51">
        <f>VARP(IF(INDEX(Properties!A$1:CB$87,Formula!B15,62)&lt;&gt;"",INDEX(Properties!A$1:CB$87,Formula!B15,62)),IF(INDEX(Properties!A$1:CB$87,Formula!D15,62)&lt;&gt;"",INDEX(Properties!A$1:CB$87,Formula!D15,62)),IF(INDEX(Properties!A$1:CB$87,Formula!F15,62)&lt;&gt;"",INDEX(Properties!A$1:CB$87,Formula!F15,62)),IF(INDEX(Properties!A$1:CB$87,Formula!H15,62)&lt;&gt;"",INDEX(Properties!A$1:CB$87,Formula!H15,62)),IF(INDEX(Properties!A$1:CB$87,Formula!J15,62)&lt;&gt;"",INDEX(Properties!A$1:CB$87,Formula!J15,62)))</f>
        <v>2.4025840000000018</v>
      </c>
      <c r="GI15" s="51">
        <f>MAX(INDEX(Properties!A$1:CB$87,Formula!B15,62),INDEX(Properties!A$1:CB$87,Formula!D15,62),INDEX(Properties!A$1:CB$87,Formula!F15,62),INDEX(Properties!A$1:CB$87,Formula!H15,62),INDEX(Properties!A$1:CB$87,Formula!J15,62))</f>
        <v>4.37</v>
      </c>
      <c r="GJ15" s="51">
        <f>MIN(IF(INDEX(Properties!A$1:CB$87,Formula!B15,62)=0,10^6,INDEX(Properties!A$1:CB$87,Formula!B15,62)),IF(INDEX(Properties!A$1:CB$87,Formula!D15,62)=0,10^6,INDEX(Properties!A$1:CB$87,Formula!D15,62)),IF(INDEX(Properties!A$1:CB$87,Formula!F15,62)=0,10^6,INDEX(Properties!A$1:CB$87,Formula!F15,62)),IF(INDEX(Properties!A$1:CB$87,Formula!H15,62)=0,10^6,INDEX(Properties!A$1:CB$87,Formula!H15,62)),IF(INDEX(Properties!A$1:CB$87,Formula!J15,62)=0,10^6,INDEX(Properties!A$1:CB$87,Formula!J15,62)))</f>
        <v>1.84</v>
      </c>
      <c r="GK15" s="51">
        <f t="shared" si="31"/>
        <v>2.5300000000000002</v>
      </c>
      <c r="GL15" s="51">
        <f>Formula!P15</f>
        <v>230</v>
      </c>
      <c r="GM15" s="57">
        <f>Formula!O15</f>
        <v>7</v>
      </c>
      <c r="GN15" s="51">
        <f>Formula!N15</f>
        <v>0.08</v>
      </c>
    </row>
    <row r="16" spans="1:196" s="5" customFormat="1" x14ac:dyDescent="0.3">
      <c r="A16" s="84" t="str">
        <f>Formula!A16</f>
        <v>BaLa2ZnO5</v>
      </c>
      <c r="B16" s="89">
        <f>((Formula!C16)/(Formula!C16+Formula!E16+Formula!G16+Formula!I16+Formula!K16))*(INDEX(Properties!A$1:CB$87,Formula!B16,3))+((Formula!E16)/(Formula!C16+Formula!E16+Formula!G16+Formula!I16+Formula!K16))*(INDEX(Properties!A$1:CB$87,Formula!D16,3))+((Formula!G16)/(Formula!C16+Formula!E16+Formula!G16+Formula!I16+Formula!K16))*(INDEX(Properties!A$1:CB$87,Formula!F16,3))+((Formula!I16)/(Formula!C16+Formula!E16+Formula!G16+Formula!I16+Formula!K16))*(INDEX(Properties!A$1:CB$87,Formula!H16,3))+((Formula!K16)/(Formula!C16+Formula!E16+Formula!G16+Formula!I16+Formula!K16))*(INDEX(Properties!A$1:CB$87,Formula!J16,3))</f>
        <v>62.548222222222222</v>
      </c>
      <c r="C16" s="85">
        <f>Formula!C16*(INDEX(Properties!A$1:CB$87,Formula!B16,3))+Formula!E16*(INDEX(Properties!A$1:CB$87,Formula!D16,3))+Formula!G16*(INDEX(Properties!A$1:CB$87,Formula!F16,3))+Formula!I16*(INDEX(Properties!A$1:CB$87,Formula!H16,3))+Formula!K16*(INDEX(Properties!A$1:CB$87,Formula!J16,3))</f>
        <v>562.93399999999997</v>
      </c>
      <c r="D16" s="85">
        <f>VARP(IF(INDEX(Properties!A$1:CB$87,Formula!B16,3)&lt;&gt;"",INDEX(Properties!A$1:CB$87,Formula!B16,3)),IF(INDEX(Properties!A$1:CB$87,Formula!D16,3)&lt;&gt;"",INDEX(Properties!A$1:CB$87,Formula!D16,3)),IF(INDEX(Properties!A$1:CB$87,Formula!F16,3)&lt;&gt;"",INDEX(Properties!A$1:CB$87,Formula!F16,3)),IF(INDEX(Properties!A$1:CB$87,Formula!H16,3)&lt;&gt;"",INDEX(Properties!A$1:CB$87,Formula!H16,3)),IF(INDEX(Properties!A$1:CB$87,Formula!J16,3)&lt;&gt;"",INDEX(Properties!A$1:CB$87,Formula!J16,3)))</f>
        <v>3454.1767869535997</v>
      </c>
      <c r="E16" s="85">
        <f>MAX(INDEX(Properties!A$1:CB$87,Formula!B16,3),INDEX(Properties!A$1:CB$87,Formula!D16,3),INDEX(Properties!A$1:CB$87,Formula!F16,3),INDEX(Properties!A$1:CB$87,Formula!H16,3),INDEX(Properties!A$1:CB$87,Formula!J16,3))</f>
        <v>140.11500000000001</v>
      </c>
      <c r="F16" s="85">
        <f>MIN(IF(INDEX(Properties!A$1:CB$87,Formula!B16,3)=0,10^6,INDEX(Properties!A$1:CB$87,Formula!B16,3)),IF(INDEX(Properties!A$1:CB$87,Formula!D16,3)=0,10^6,INDEX(Properties!A$1:CB$87,Formula!D16,3)),IF(INDEX(Properties!A$1:CB$87,Formula!F16,3)=0,10^6,INDEX(Properties!A$1:CB$87,Formula!F16,3)),IF(INDEX(Properties!A$1:CB$87,Formula!H16,3)=0,10^6,INDEX(Properties!A$1:CB$87,Formula!H16,3)),IF(INDEX(Properties!A$1:CB$87,Formula!J16,3)=0,10^6,INDEX(Properties!A$1:CB$87,Formula!J16,3)))</f>
        <v>15.9994</v>
      </c>
      <c r="G16" s="85">
        <f t="shared" si="0"/>
        <v>124.11560000000001</v>
      </c>
      <c r="H16" s="87">
        <f>((Formula!C16)/(Formula!C16+Formula!E16+Formula!G16+Formula!I16+Formula!K16))*(INDEX(Properties!A$1:CB$87,Formula!B16,4))+((Formula!E16)/(Formula!C16+Formula!E16+Formula!G16+Formula!I16+Formula!K16))*(INDEX(Properties!A$1:CB$87,Formula!D16,4))+((Formula!G16)/(Formula!C16+Formula!E16+Formula!G16+Formula!I16+Formula!K16))*(INDEX(Properties!A$1:CB$87,Formula!F16,4))+((Formula!I16)/(Formula!C16+Formula!E16+Formula!G16+Formula!I16+Formula!K16))*(INDEX(Properties!A$1:CB$87,Formula!H16,4))+((Formula!K16)/(Formula!C16+Formula!E16+Formula!G16+Formula!I16+Formula!K16))*(INDEX(Properties!A$1:CB$87,Formula!J16,4))</f>
        <v>26.888888888888886</v>
      </c>
      <c r="I16" s="87">
        <f>Formula!C16*(INDEX(Properties!A$1:CB$87,Formula!B16,4))+Formula!E16*(INDEX(Properties!A$1:CB$87,Formula!D16,4))+Formula!G16*(INDEX(Properties!A$1:CB$87,Formula!F16,4))+Formula!I16*(INDEX(Properties!A$1:CB$87,Formula!H16,4))+Formula!K16*(INDEX(Properties!A$1:CB$87,Formula!J16,4))</f>
        <v>242</v>
      </c>
      <c r="J16" s="87">
        <f>VARP(IF(INDEX(Properties!A$1:CB$87,Formula!B16,4)&lt;&gt;"",INDEX(Properties!A$1:CB$87,Formula!B16,4)),IF(INDEX(Properties!A$1:CB$87,Formula!D16,4)&lt;&gt;"",INDEX(Properties!A$1:CB$87,Formula!D16,4)),IF(INDEX(Properties!A$1:CB$87,Formula!F16,4)&lt;&gt;"",INDEX(Properties!A$1:CB$87,Formula!F16,4)),IF(INDEX(Properties!A$1:CB$87,Formula!H16,4)&lt;&gt;"",INDEX(Properties!A$1:CB$87,Formula!H16,4)),IF(INDEX(Properties!A$1:CB$87,Formula!J16,4)&lt;&gt;"",INDEX(Properties!A$1:CB$87,Formula!J16,4)))</f>
        <v>568.64</v>
      </c>
      <c r="K16" s="87">
        <f>MAX(INDEX(Properties!A$1:CB$87,Formula!B16,4),INDEX(Properties!A$1:CB$87,Formula!D16,4),INDEX(Properties!A$1:CB$87,Formula!F16,4),INDEX(Properties!A$1:CB$87,Formula!H16,4),INDEX(Properties!A$1:CB$87,Formula!J16,4))</f>
        <v>58</v>
      </c>
      <c r="L16" s="87">
        <f>MIN(IF(INDEX(Properties!A$1:CB$87,Formula!B16,4)=0,10^6,INDEX(Properties!A$1:CB$87,Formula!B16,4)),IF(INDEX(Properties!A$1:CB$87,Formula!D16,4)=0,10^6,INDEX(Properties!A$1:CB$87,Formula!D16,4)),IF(INDEX(Properties!A$1:CB$87,Formula!F16,4)=0,10^6,INDEX(Properties!A$1:CB$87,Formula!F16,4)),IF(INDEX(Properties!A$1:CB$87,Formula!H16,4)=0,10^6,INDEX(Properties!A$1:CB$87,Formula!H16,4)),IF(INDEX(Properties!A$1:CB$87,Formula!J16,4)=0,10^6,INDEX(Properties!A$1:CB$87,Formula!J16,4)))</f>
        <v>8</v>
      </c>
      <c r="M16" s="87">
        <f t="shared" si="1"/>
        <v>50</v>
      </c>
      <c r="N16" s="89">
        <f>((Formula!C16)/(Formula!C16+Formula!E16+Formula!G16+Formula!I16+Formula!K16))*(INDEX(Properties!A$1:CB$87,Formula!B16,5))+((Formula!E16)/(Formula!C16+Formula!E16+Formula!G16+Formula!I16+Formula!K16))*(INDEX(Properties!A$1:CB$87,Formula!D16,5))+((Formula!G16)/(Formula!C16+Formula!E16+Formula!G16+Formula!I16+Formula!K16))*(INDEX(Properties!A$1:CB$87,Formula!F16,5))+((Formula!I16)/(Formula!C16+Formula!E16+Formula!G16+Formula!I16+Formula!K16))*(INDEX(Properties!A$1:CB$87,Formula!H16,5))+((Formula!K16)/(Formula!C16+Formula!E16+Formula!G16+Formula!I16+Formula!K16))*(INDEX(Properties!A$1:CB$87,Formula!J16,5))</f>
        <v>3.5555555555555558</v>
      </c>
      <c r="O16" s="89">
        <f>Formula!C16*(INDEX(Properties!A$1:CB$87,Formula!B16,5))+Formula!E16*(INDEX(Properties!A$1:CB$87,Formula!D16,5))+Formula!G16*(INDEX(Properties!A$1:CB$87,Formula!F16,5))+Formula!I16*(INDEX(Properties!A$1:CB$87,Formula!H16,5))+Formula!K16*(INDEX(Properties!A$1:CB$87,Formula!J16,5))</f>
        <v>32</v>
      </c>
      <c r="P16" s="89">
        <f>VARP(IF(INDEX(Properties!A$1:CB$87,Formula!B16,5)&lt;&gt;"",INDEX(Properties!A$1:CB$87,Formula!B16,5)),IF(INDEX(Properties!A$1:CB$87,Formula!D16,5)&lt;&gt;"",INDEX(Properties!A$1:CB$87,Formula!D16,5)),IF(INDEX(Properties!A$1:CB$87,Formula!F16,5)&lt;&gt;"",INDEX(Properties!A$1:CB$87,Formula!F16,5)),IF(INDEX(Properties!A$1:CB$87,Formula!H16,5)&lt;&gt;"",INDEX(Properties!A$1:CB$87,Formula!H16,5)),IF(INDEX(Properties!A$1:CB$87,Formula!J16,5)&lt;&gt;"",INDEX(Properties!A$1:CB$87,Formula!J16,5)))</f>
        <v>5.44</v>
      </c>
      <c r="Q16" s="89">
        <f>MAX(INDEX(Properties!A$1:CB$87,Formula!B16,5),INDEX(Properties!A$1:CB$87,Formula!D16,5),INDEX(Properties!A$1:CB$87,Formula!F16,5),INDEX(Properties!A$1:CB$87,Formula!H16,5),INDEX(Properties!A$1:CB$87,Formula!J16,5))</f>
        <v>6</v>
      </c>
      <c r="R16" s="89">
        <f>MIN(IF(INDEX(Properties!A$1:CB$87,Formula!B16,5)=0,10^6,INDEX(Properties!A$1:CB$87,Formula!B16,5)),IF(INDEX(Properties!A$1:CB$87,Formula!D16,5)=0,10^6,INDEX(Properties!A$1:CB$87,Formula!D16,5)),IF(INDEX(Properties!A$1:CB$87,Formula!F16,5)=0,10^6,INDEX(Properties!A$1:CB$87,Formula!F16,5)),IF(INDEX(Properties!A$1:CB$87,Formula!H16,5)=0,10^6,INDEX(Properties!A$1:CB$87,Formula!H16,5)),IF(INDEX(Properties!A$1:CB$87,Formula!J16,5)=0,10^6,INDEX(Properties!A$1:CB$87,Formula!J16,5)))</f>
        <v>2</v>
      </c>
      <c r="S16" s="89">
        <f t="shared" si="2"/>
        <v>4</v>
      </c>
      <c r="T16" s="60">
        <f>((Formula!C16)/(Formula!C16+Formula!E16+Formula!G16+Formula!I16+Formula!K16))*(INDEX(Properties!A$1:CB$87,Formula!B16,6))+((Formula!E16)/(Formula!C16+Formula!E16+Formula!G16+Formula!I16+Formula!K16))*(INDEX(Properties!A$1:CB$87,Formula!D16,6))+((Formula!G16)/(Formula!C16+Formula!E16+Formula!G16+Formula!I16+Formula!K16))*(INDEX(Properties!A$1:CB$87,Formula!F16,6))+((Formula!I16)/(Formula!C16+Formula!E16+Formula!G16+Formula!I16+Formula!K16))*(INDEX(Properties!A$1:CB$87,Formula!H16,6))+((Formula!K16)/(Formula!C16+Formula!E16+Formula!G16+Formula!I16+Formula!K16))*(INDEX(Properties!A$1:CB$87,Formula!J16,6))</f>
        <v>11.111111111111111</v>
      </c>
      <c r="U16" s="60">
        <f>Formula!C16*(INDEX(Properties!A$1:CB$87,Formula!B16,6))+Formula!E16*(INDEX(Properties!A$1:CB$87,Formula!D16,6))+Formula!G16*(INDEX(Properties!A$1:CB$87,Formula!F16,6))+Formula!I16*(INDEX(Properties!A$1:CB$87,Formula!H16,6))+Formula!K16*(INDEX(Properties!A$1:CB$87,Formula!J16,6))</f>
        <v>100</v>
      </c>
      <c r="V16" s="89">
        <f>VARP(IF(INDEX(Properties!A$1:CB$87,Formula!B16,6)&lt;&gt;"",INDEX(Properties!A$1:CB$87,Formula!B16,6)),IF(INDEX(Properties!A$1:CB$87,Formula!D16,6)&lt;&gt;"",INDEX(Properties!A$1:CB$87,Formula!D16,6)),IF(INDEX(Properties!A$1:CB$87,Formula!F16,6)&lt;&gt;"",INDEX(Properties!A$1:CB$87,Formula!F16,6)),IF(INDEX(Properties!A$1:CB$87,Formula!H16,6)&lt;&gt;"",INDEX(Properties!A$1:CB$87,Formula!H16,6)),IF(INDEX(Properties!A$1:CB$87,Formula!J16,6)&lt;&gt;"",INDEX(Properties!A$1:CB$87,Formula!J16,6)))</f>
        <v>39.04</v>
      </c>
      <c r="W16" s="60">
        <f>MAX(INDEX(Properties!A$1:CB$87,Formula!B16,6),INDEX(Properties!A$1:CB$87,Formula!D16,6),INDEX(Properties!A$1:CB$87,Formula!F16,6),INDEX(Properties!A$1:CB$87,Formula!H16,4),INDEX(Properties!A$1:CB$87,Formula!J16,6))</f>
        <v>12</v>
      </c>
      <c r="X16" s="60">
        <f>MIN(IF(INDEX(Properties!A$1:CB$87,Formula!B16,6)=0,10^6,INDEX(Properties!A$1:CB$87,Formula!B16,6)),IF(INDEX(Properties!A$1:CB$87,Formula!D16,6)=0,10^6,INDEX(Properties!A$1:CB$87,Formula!D16,6)),IF(INDEX(Properties!A$1:CB$87,Formula!F16,6)=0,10^6,INDEX(Properties!A$1:CB$87,Formula!F16,6)),IF(INDEX(Properties!A$1:CB$87,Formula!H16,6)=0,10^6,INDEX(Properties!A$1:CB$87,Formula!H16,6)),IF(INDEX(Properties!A$1:CB$87,Formula!J16,6)=0,10^6,INDEX(Properties!A$1:CB$87,Formula!J16,6)))</f>
        <v>2</v>
      </c>
      <c r="Y16" s="60">
        <f t="shared" si="3"/>
        <v>10</v>
      </c>
      <c r="Z16" s="72">
        <f>((Formula!C16)/(Formula!C16+Formula!E16+Formula!G16+Formula!I16+Formula!K16))*(INDEX(Properties!A$1:CB$87,Formula!B16,9))+((Formula!E16)/(Formula!C16+Formula!E16+Formula!G16+Formula!I16+Formula!K16))*(INDEX(Properties!A$1:CB$87,Formula!D16,9))+((Formula!G16)/(Formula!C16+Formula!E16+Formula!G16+Formula!I16+Formula!K16))*(INDEX(Properties!A$1:CB$87,Formula!F16,9))+((Formula!I16)/(Formula!C16+Formula!E16+Formula!G16+Formula!I16+Formula!K16))*(INDEX(Properties!A$1:CB$87,Formula!H16,9))+((Formula!K16)/(Formula!C16+Formula!E16+Formula!G16+Formula!I16+Formula!K16))*(INDEX(Properties!A$1:CB$87,Formula!J16,9))</f>
        <v>60.333333333333336</v>
      </c>
      <c r="AA16" s="72">
        <f>Formula!C16*(INDEX(Properties!A$1:CB$87,Formula!B16,9))+Formula!E16*(INDEX(Properties!A$1:CB$87,Formula!D16,9))+Formula!G16*(INDEX(Properties!A$1:CB$87,Formula!F16,9))+Formula!I16*(INDEX(Properties!A$1:CB$87,Formula!H16,9))+Formula!K16*(INDEX(Properties!A$1:CB$87,Formula!J16,9))</f>
        <v>543</v>
      </c>
      <c r="AB16" s="72">
        <f>VARP(IF(INDEX(Properties!A$1:CB$87,Formula!B16,9)&lt;&gt;"",INDEX(Properties!A$1:CB$87,Formula!B16,9)),IF(INDEX(Properties!A$1:CB$87,Formula!D16,9)&lt;&gt;"",INDEX(Properties!A$1:CB$87,Formula!D16,9)),IF(INDEX(Properties!A$1:CB$87,Formula!F16,9)&lt;&gt;"",INDEX(Properties!A$1:CB$87,Formula!F16,9)),IF(INDEX(Properties!A$1:CB$87,Formula!H16,9)&lt;&gt;"",INDEX(Properties!A$1:CB$87,Formula!H16,9)),IF(INDEX(Properties!A$1:CB$87,Formula!J16,9)&lt;&gt;"",INDEX(Properties!A$1:CB$87,Formula!J16,9)))</f>
        <v>1231.2</v>
      </c>
      <c r="AC16" s="72">
        <f>MAX(INDEX(Properties!A$1:CB$87,Formula!B16,9),INDEX(Properties!A$1:CB$87,Formula!D16,9),INDEX(Properties!A$1:CB$87,Formula!F16,9),INDEX(Properties!A$1:CB$87,Formula!H16,9),INDEX(Properties!A$1:CB$87,Formula!J16,9))</f>
        <v>87</v>
      </c>
      <c r="AD16" s="72">
        <f>MIN(IF(INDEX(Properties!A$1:CB$87,Formula!B16,9)=0,10^6,INDEX(Properties!A$1:CB$87,Formula!B16,9)),IF(INDEX(Properties!A$1:CB$87,Formula!D16,9)=0,10^6,INDEX(Properties!A$1:CB$87,Formula!D16,9)),IF(INDEX(Properties!A$1:CB$87,Formula!F16,9)=0,10^6,INDEX(Properties!A$1:CB$87,Formula!F16,9)),IF(INDEX(Properties!A$1:CB$87,Formula!H16,9)=0,10^6,INDEX(Properties!A$1:CB$87,Formula!H16,9)),IF(INDEX(Properties!A$1:CB$87,Formula!J16,9)=0,10^6,INDEX(Properties!A$1:CB$87,Formula!J16,9)))</f>
        <v>9</v>
      </c>
      <c r="AE16" s="72">
        <f t="shared" si="4"/>
        <v>78</v>
      </c>
      <c r="AF16" s="51">
        <f>((Formula!C16)/(Formula!C16+Formula!E16+Formula!G16+Formula!I16+Formula!K16))*(INDEX(Properties!A$1:CB$87,Formula!B16,10))+((Formula!E16)/(Formula!C16+Formula!E16+Formula!G16+Formula!I16+Formula!K16))*(INDEX(Properties!A$1:CB$87,Formula!D16,10))+((Formula!G16)/(Formula!C16+Formula!E16+Formula!G16+Formula!I16+Formula!K16))*(INDEX(Properties!A$1:CB$87,Formula!F16,10))+((Formula!I16)/(Formula!C16+Formula!E16+Formula!G16+Formula!I16+Formula!K16))*(INDEX(Properties!A$1:CB$87,Formula!H16,10))+((Formula!K16)/(Formula!C16+Formula!E16+Formula!G16+Formula!I16+Formula!K16))*(INDEX(Properties!A$1:CB$87,Formula!J16,10))</f>
        <v>5.2222222222222223</v>
      </c>
      <c r="AG16" s="51">
        <f>Formula!C16*(INDEX(Properties!A$1:CB$87,Formula!B16,10))+Formula!E16*(INDEX(Properties!A$1:CB$87,Formula!D16,10))+Formula!G16*(INDEX(Properties!A$1:CB$87,Formula!F16,10))+Formula!I16*(INDEX(Properties!A$1:CB$87,Formula!H16,10))+Formula!K16*(INDEX(Properties!A$1:CB$87,Formula!J16,10))</f>
        <v>47</v>
      </c>
      <c r="AH16" s="51">
        <f>VARP(IF(INDEX(Properties!A$1:CB$87,Formula!B16,10)&lt;&gt;"",INDEX(Properties!A$1:CB$87,Formula!B16,10)),IF(INDEX(Properties!A$1:CB$87,Formula!D16,10)&lt;&gt;"",INDEX(Properties!A$1:CB$87,Formula!D16,10)),IF(INDEX(Properties!A$1:CB$87,Formula!F16,10)&lt;&gt;"",INDEX(Properties!A$1:CB$87,Formula!F16,10)),IF(INDEX(Properties!A$1:CB$87,Formula!H16,10)&lt;&gt;"",INDEX(Properties!A$1:CB$87,Formula!H16,10)),IF(INDEX(Properties!A$1:CB$87,Formula!J16,10)&lt;&gt;"",INDEX(Properties!A$1:CB$87,Formula!J16,10)))</f>
        <v>5.36</v>
      </c>
      <c r="AI16" s="51">
        <f>MAX(INDEX(Properties!A$1:CB$87,Formula!B16,10),INDEX(Properties!A$1:CB$87,Formula!D16,10),INDEX(Properties!A$1:CB$87,Formula!F16,10),INDEX(Properties!A$1:CB$87,Formula!H16,10),INDEX(Properties!A$1:CB$87,Formula!J16,10))</f>
        <v>7</v>
      </c>
      <c r="AJ16" s="51">
        <f>MIN(IF(INDEX(Properties!A$1:CB$87,Formula!B16,10)=0,10^6,INDEX(Properties!A$1:CB$87,Formula!B16,10)),IF(INDEX(Properties!A$1:CB$87,Formula!D16,10)=0,10^6,INDEX(Properties!A$1:CB$87,Formula!D16,10)),IF(INDEX(Properties!A$1:CB$87,Formula!F16,10)=0,10^6,INDEX(Properties!A$1:CB$87,Formula!F16,10)),IF(INDEX(Properties!A$1:CB$87,Formula!H16,10)=0,10^6,INDEX(Properties!A$1:CB$87,Formula!H16,10)),IF(INDEX(Properties!A$1:CB$87,Formula!J16,10)=0,10^6,INDEX(Properties!A$1:CB$87,Formula!J16,10)))</f>
        <v>2</v>
      </c>
      <c r="AK16" s="51">
        <f t="shared" si="5"/>
        <v>5</v>
      </c>
      <c r="AL16" s="57">
        <f>((Formula!C16)/(Formula!C16+Formula!E16+Formula!G16+Formula!I16+Formula!K16))*(INDEX(Properties!A$1:CB$87,Formula!B16,11))+((Formula!E16)/(Formula!C16+Formula!E16+Formula!G16+Formula!I16+Formula!K16))*(INDEX(Properties!A$1:CB$87,Formula!D16,11))+((Formula!G16)/(Formula!C16+Formula!E16+Formula!G16+Formula!I16+Formula!K16))*(INDEX(Properties!A$1:CB$87,Formula!F16,11))+((Formula!I16)/(Formula!C16+Formula!E16+Formula!G16+Formula!I16+Formula!K16))*(INDEX(Properties!A$1:CB$87,Formula!H16,11))+((Formula!K16)/(Formula!C16+Formula!E16+Formula!G16+Formula!I16+Formula!K16))*(INDEX(Properties!A$1:CB$87,Formula!J16,11))</f>
        <v>2</v>
      </c>
      <c r="AM16" s="57">
        <f>Formula!C16*(INDEX(Properties!A$1:CB$87,Formula!B16,11))+Formula!E16*(INDEX(Properties!A$1:CB$87,Formula!D16,11))+Formula!G16*(INDEX(Properties!A$1:CB$87,Formula!F16,11))+Formula!I16*(INDEX(Properties!A$1:CB$87,Formula!H16,11))+Formula!K16*(INDEX(Properties!A$1:CB$87,Formula!J16,11))</f>
        <v>18</v>
      </c>
      <c r="AN16" s="57">
        <f>VARP(IF(INDEX(Properties!A$1:CB$87,Formula!B16,11)&lt;&gt;"",INDEX(Properties!A$1:CB$87,Formula!B16,11)),IF(INDEX(Properties!A$1:CB$87,Formula!D16,11)&lt;&gt;"",INDEX(Properties!A$1:CB$87,Formula!D16,11)),IF(INDEX(Properties!A$1:CB$87,Formula!F16,11)&lt;&gt;"",INDEX(Properties!A$1:CB$87,Formula!F16,11)),IF(INDEX(Properties!A$1:CB$87,Formula!H16,11)&lt;&gt;"",INDEX(Properties!A$1:CB$87,Formula!H16,11)),IF(INDEX(Properties!A$1:CB$87,Formula!J16,11)&lt;&gt;"",INDEX(Properties!A$1:CB$87,Formula!J16,11)))</f>
        <v>0.64</v>
      </c>
      <c r="AO16" s="57">
        <f>MAX(INDEX(Properties!A$1:CB$87,Formula!B16,11),INDEX(Properties!A$1:CB$87,Formula!D16,11),INDEX(Properties!A$1:CB$87,Formula!F16,11),INDEX(Properties!A$1:CB$87,Formula!H16,11),INDEX(Properties!A$1:CB$87,Formula!J16,11))</f>
        <v>2</v>
      </c>
      <c r="AP16" s="57">
        <f>MIN(IF(Formula!B16=87,10^6,INDEX(Properties!A$1:CB$87,Formula!B16,11)),IF((Formula!D16)=87,10^6,INDEX(Properties!A$1:CB$87,Formula!D16,11)),IF((Formula!F16)=87,10^6,INDEX(Properties!A$1:CB$87,Formula!F16,11)),IF((Formula!H16)=87,10^6,INDEX(Properties!A$1:CB$87,Formula!H16,11)),IF(Formula!J16=87,10^6,INDEX(Properties!A$1:CB$87,Formula!J16,11)))</f>
        <v>2</v>
      </c>
      <c r="AQ16" s="57">
        <f t="shared" si="6"/>
        <v>0</v>
      </c>
      <c r="AR16" s="78">
        <f>((Formula!C16)/(Formula!C16+Formula!E16+Formula!G16+Formula!I16+Formula!K16))*(INDEX(Properties!A$1:CB$87,Formula!B16,12))+((Formula!E16)/(Formula!C16+Formula!E16+Formula!G16+Formula!I16+Formula!K16))*(INDEX(Properties!A$1:CB$87,Formula!D16,12))+((Formula!G16)/(Formula!C16+Formula!E16+Formula!G16+Formula!I16+Formula!K16))*(INDEX(Properties!A$1:CB$87,Formula!F16,12))+((Formula!I16)/(Formula!C16+Formula!E16+Formula!G16+Formula!I16+Formula!K16))*(INDEX(Properties!A$1:CB$87,Formula!H16,12))+((Formula!K16)/(Formula!C16+Formula!E16+Formula!G16+Formula!I16+Formula!K16))*(INDEX(Properties!A$1:CB$87,Formula!J16,12))</f>
        <v>2.2222222222222223</v>
      </c>
      <c r="AS16" s="78">
        <f>Formula!C16*(INDEX(Properties!A$1:CB$87,Formula!B16,12))+Formula!E16*(INDEX(Properties!A$1:CB$87,Formula!D16,12))+Formula!G16*(INDEX(Properties!A$1:CB$87,Formula!F16,12))+Formula!I16*(INDEX(Properties!A$1:CB$87,Formula!H16,12))+Formula!K16*(INDEX(Properties!A$1:CB$87,Formula!J16,12))</f>
        <v>20</v>
      </c>
      <c r="AT16" s="78">
        <f>VARP(IF(INDEX(Properties!A$1:CB$87,Formula!B16,12)&lt;&gt;"",INDEX(Properties!A$1:CB$87,Formula!B16,12)),IF(INDEX(Properties!A$1:CB$87,Formula!D16,12)&lt;&gt;"",INDEX(Properties!A$1:CB$87,Formula!D16,12)),IF(INDEX(Properties!A$1:CB$87,Formula!F16,12)&lt;&gt;"",INDEX(Properties!A$1:CB$87,Formula!F16,12)),IF(INDEX(Properties!A$1:CB$87,Formula!H16,12)&lt;&gt;"",INDEX(Properties!A$1:CB$87,Formula!H16,12)),IF(INDEX(Properties!A$1:CB$87,Formula!J16,12)&lt;&gt;"",INDEX(Properties!A$1:CB$87,Formula!J16,12)))</f>
        <v>2.56</v>
      </c>
      <c r="AU16" s="78">
        <f>MAX(INDEX(Properties!A$1:CB$87,Formula!B16,12),INDEX(Properties!A$1:CB$87,Formula!D16,12),INDEX(Properties!A$1:CB$87,Formula!F16,12),INDEX(Properties!A$1:CB$87,Formula!H16,12),INDEX(Properties!A$1:CB$87,Formula!J16,12))</f>
        <v>4</v>
      </c>
      <c r="AV16" s="78">
        <f>MIN(IF(Formula!B16=87,10^6,INDEX(Properties!A$1:CB$87,Formula!B16,12)),IF((Formula!D16)=87,10^6,INDEX(Properties!A$1:CB$87,Formula!D16,12)),IF((Formula!F16)=87,10^6,INDEX(Properties!A$1:CB$87,Formula!F16,12)),IF((Formula!H16)=87,10^6,INDEX(Properties!A$1:CB$87,Formula!H16,12)),IF(Formula!J16=87,10^6,INDEX(Properties!A$1:CB$87,Formula!J16,12)))</f>
        <v>0</v>
      </c>
      <c r="AW16" s="78">
        <f t="shared" si="7"/>
        <v>4</v>
      </c>
      <c r="AX16" s="45">
        <f>((Formula!C16)/(Formula!C16+Formula!E16+Formula!G16+Formula!I16+Formula!K16))*(INDEX(Properties!A$1:CB$87,Formula!B16,13))+((Formula!E16)/(Formula!C16+Formula!E16+Formula!G16+Formula!I16+Formula!K16))*(INDEX(Properties!A$1:CB$87,Formula!D16,13))+((Formula!G16)/(Formula!C16+Formula!E16+Formula!G16+Formula!I16+Formula!K16))*(INDEX(Properties!A$1:CB$87,Formula!F16,13))+((Formula!I16)/(Formula!C16+Formula!E16+Formula!G16+Formula!I16+Formula!K16))*(INDEX(Properties!A$1:CB$87,Formula!H16,13))+((Formula!K16)/(Formula!C16+Formula!E16+Formula!G16+Formula!I16+Formula!K16))*(INDEX(Properties!A$1:CB$87,Formula!J16,13))</f>
        <v>1.3333333333333335</v>
      </c>
      <c r="AY16" s="45">
        <f>Formula!C16*(INDEX(Properties!A$1:CB$87,Formula!B16,13))+Formula!E16*(INDEX(Properties!A$1:CB$87,Formula!D16,13))+Formula!G16*(INDEX(Properties!A$1:CB$87,Formula!F16,13))+Formula!I16*(INDEX(Properties!A$1:CB$87,Formula!H16,13))+Formula!K16*(INDEX(Properties!A$1:CB$87,Formula!J16,13))</f>
        <v>12</v>
      </c>
      <c r="AZ16" s="45">
        <f>VARP(IF(INDEX(Properties!A$1:CB$87,Formula!B16,13)&lt;&gt;"",INDEX(Properties!A$1:CB$87,Formula!B16,13)),IF(INDEX(Properties!A$1:CB$87,Formula!D16,13)&lt;&gt;"",INDEX(Properties!A$1:CB$87,Formula!D16,13)),IF(INDEX(Properties!A$1:CB$87,Formula!F16,13)&lt;&gt;"",INDEX(Properties!A$1:CB$87,Formula!F16,13)),IF(INDEX(Properties!A$1:CB$87,Formula!H16,13)&lt;&gt;"",INDEX(Properties!A$1:CB$87,Formula!H16,13)),IF(INDEX(Properties!A$1:CB$87,Formula!J16,13)&lt;&gt;"",INDEX(Properties!A$1:CB$87,Formula!J16,13)))</f>
        <v>15.36</v>
      </c>
      <c r="BA16" s="45">
        <f>MAX(INDEX(Properties!A$1:CB$87,Formula!B16,13),INDEX(Properties!A$1:CB$87,Formula!D16,13),INDEX(Properties!A$1:CB$87,Formula!F16,13),INDEX(Properties!A$1:CB$87,Formula!H16,13),INDEX(Properties!A$1:CB$87,Formula!J16,13))</f>
        <v>10</v>
      </c>
      <c r="BB16" s="45">
        <f>MIN(IF(Formula!B16=87,10^6,INDEX(Properties!A$1:CB$87,Formula!B16,13)),IF((Formula!D16)=87,10^6,INDEX(Properties!A$1:CB$87,Formula!D16,13)),IF((Formula!F16)=87,10^6,INDEX(Properties!A$1:CB$87,Formula!F16,13)),IF((Formula!H16)=87,10^6,INDEX(Properties!A$1:CB$87,Formula!H16,13)),IF(Formula!J16=87,10^6,INDEX(Properties!A$1:CB$87,Formula!J16,13)))</f>
        <v>0</v>
      </c>
      <c r="BC16" s="45">
        <f t="shared" si="8"/>
        <v>10</v>
      </c>
      <c r="BD16" s="63">
        <f>((Formula!C16)/(Formula!C16+Formula!E16+Formula!G16+Formula!I16+Formula!K16))*(INDEX(Properties!A$1:CB$87,Formula!B16,14))+((Formula!E16)/(Formula!C16+Formula!E16+Formula!G16+Formula!I16+Formula!K16))*(INDEX(Properties!A$1:CB$87,Formula!D16,14))+((Formula!G16)/(Formula!C16+Formula!E16+Formula!G16+Formula!I16+Formula!K16))*(INDEX(Properties!A$1:CB$87,Formula!F16,14))+((Formula!I16)/(Formula!C16+Formula!E16+Formula!G16+Formula!I16+Formula!K16))*(INDEX(Properties!A$1:CB$87,Formula!H16,14))+((Formula!K16)/(Formula!C16+Formula!E16+Formula!G16+Formula!I16+Formula!K16))*(INDEX(Properties!A$1:CB$87,Formula!J16,14))</f>
        <v>0.22222222222222221</v>
      </c>
      <c r="BE16" s="63">
        <f>Formula!C16*(INDEX(Properties!A$1:CB$87,Formula!B16,14))+Formula!E16*(INDEX(Properties!A$1:CB$87,Formula!D16,14))+Formula!G16*(INDEX(Properties!A$1:CB$87,Formula!F16,14))+Formula!I16*(INDEX(Properties!A$1:CB$87,Formula!H16,14))+Formula!K16*(INDEX(Properties!A$1:CB$87,Formula!J16,14))</f>
        <v>2</v>
      </c>
      <c r="BF16" s="63">
        <f>VARP(IF(INDEX(Properties!A$1:CB$87,Formula!B16,14)&lt;&gt;"",INDEX(Properties!A$1:CB$87,Formula!B16,14)),IF(INDEX(Properties!A$1:CB$87,Formula!D16,14)&lt;&gt;"",INDEX(Properties!A$1:CB$87,Formula!D16,14)),IF(INDEX(Properties!A$1:CB$87,Formula!F16,14)&lt;&gt;"",INDEX(Properties!A$1:CB$87,Formula!F16,14)),IF(INDEX(Properties!A$1:CB$87,Formula!H16,14)&lt;&gt;"",INDEX(Properties!A$1:CB$87,Formula!H16,14)),IF(INDEX(Properties!A$1:CB$87,Formula!J16,14)&lt;&gt;"",INDEX(Properties!A$1:CB$87,Formula!J16,14)))</f>
        <v>0.16</v>
      </c>
      <c r="BG16" s="63">
        <f>MAX(INDEX(Properties!A$1:CB$87,Formula!B16,14),INDEX(Properties!A$1:CB$87,Formula!D16,14),INDEX(Properties!A$1:CB$87,Formula!F16,14),INDEX(Properties!A$1:CB$87,Formula!H16,14),INDEX(Properties!A$1:CB$87,Formula!J16,14))</f>
        <v>1</v>
      </c>
      <c r="BH16" s="63">
        <f>MIN(IF(Formula!B16=87,10^6,INDEX(Properties!A$1:CB$87,Formula!B16,14)),IF((Formula!D16)=87,10^6,INDEX(Properties!A$1:CB$87,Formula!D16,14)),IF((Formula!F16)=87,10^6,INDEX(Properties!A$1:CB$87,Formula!F16,14)),IF((Formula!H16)=87,10^6,INDEX(Properties!A$1:CB$87,Formula!H16,14)),IF(Formula!J16=87,10^6,INDEX(Properties!A$1:CB$87,Formula!J16,14)))</f>
        <v>0</v>
      </c>
      <c r="BI16" s="63">
        <f t="shared" si="9"/>
        <v>1</v>
      </c>
      <c r="BJ16" s="75">
        <f>((Formula!C16)/(Formula!C16+Formula!E16+Formula!G16+Formula!I16+Formula!K16))*(INDEX(Properties!A$1:CB$87,Formula!B16,19))+((Formula!E16)/(Formula!C16+Formula!E16+Formula!G16+Formula!I16+Formula!K16))*(INDEX(Properties!A$1:CB$87,Formula!D16,19))+((Formula!G16)/(Formula!C16+Formula!E16+Formula!G16+Formula!I16+Formula!K16))*(INDEX(Properties!A$1:CB$87,Formula!F16,19))+((Formula!I16)/(Formula!C16+Formula!E16+Formula!G16+Formula!I16+Formula!K16))*(INDEX(Properties!A$1:CB$87,Formula!H16,19))+((Formula!K16)/(Formula!C16+Formula!E16+Formula!G16+Formula!I16+Formula!K16))*(INDEX(Properties!A$1:CB$87,Formula!J16,19))</f>
        <v>5.7777777777777786</v>
      </c>
      <c r="BK16" s="75">
        <f>Formula!C16*(INDEX(Properties!A$1:CB$87,Formula!B16,19))+Formula!E16*(INDEX(Properties!A$1:CB$87,Formula!D16,19))+Formula!G16*(INDEX(Properties!A$1:CB$87,Formula!F16,19))+Formula!I16*(INDEX(Properties!A$1:CB$87,Formula!H16,19))+Formula!K16*(INDEX(Properties!A$1:CB$87,Formula!J16,19))</f>
        <v>52</v>
      </c>
      <c r="BL16" s="75">
        <f>VARP(IF(INDEX(Properties!A$1:CB$87,Formula!B16,19)&lt;&gt;"",INDEX(Properties!A$1:CB$87,Formula!B16,19)),IF(INDEX(Properties!A$1:CB$87,Formula!D16,19)&lt;&gt;"",INDEX(Properties!A$1:CB$87,Formula!D16,19)),IF(INDEX(Properties!A$1:CB$87,Formula!F16,19)&lt;&gt;"",INDEX(Properties!A$1:CB$87,Formula!F16,19)),IF(INDEX(Properties!A$1:CB$87,Formula!H16,19)&lt;&gt;"",INDEX(Properties!A$1:CB$87,Formula!H16,19)),IF(INDEX(Properties!A$1:CB$87,Formula!J16,19)&lt;&gt;"",INDEX(Properties!A$1:CB$87,Formula!J16,19)))</f>
        <v>16.96</v>
      </c>
      <c r="BM16" s="75">
        <f>MAX(INDEX(Properties!A$1:CB$87,Formula!B16,19),INDEX(Properties!A$1:CB$87,Formula!D16,19),INDEX(Properties!A$1:CB$87,Formula!F16,19),INDEX(Properties!A$1:CB$87,Formula!H16,19),INDEX(Properties!A$1:CB$87,Formula!J16,19))</f>
        <v>12</v>
      </c>
      <c r="BN16" s="75">
        <f>MIN(IF(INDEX(Properties!A$1:CB$87,Formula!B16,19)=0,10^6,INDEX(Properties!A$1:CB$87,Formula!B16,19)),IF(INDEX(Properties!A$1:CB$87,Formula!D16,19)=0,10^6,INDEX(Properties!A$1:CB$87,Formula!D16,19)),IF(INDEX(Properties!A$1:CB$87,Formula!F16,19)=0,10^6,INDEX(Properties!A$1:CB$87,Formula!F16,19)),IF(INDEX(Properties!A$1:CB$87,Formula!H16,19)=0,10^6,INDEX(Properties!A$1:CB$87,Formula!H16,19)),IF(INDEX(Properties!A$1:CB$87,Formula!J16,19)=0,10^6,INDEX(Properties!A$1:CB$87,Formula!J16,19)))</f>
        <v>2</v>
      </c>
      <c r="BO16" s="75">
        <f t="shared" si="10"/>
        <v>10</v>
      </c>
      <c r="BP16" s="48">
        <f>((Formula!C16)/(Formula!C16+Formula!E16+Formula!G16+Formula!I16+Formula!K16))*(INDEX(Properties!A$1:CB$87,Formula!B16,20))+((Formula!E16)/(Formula!C16+Formula!E16+Formula!G16+Formula!I16+Formula!K16))*(INDEX(Properties!A$1:CB$87,Formula!D16,20))+((Formula!G16)/(Formula!C16+Formula!E16+Formula!G16+Formula!I16+Formula!K16))*(INDEX(Properties!A$1:CB$87,Formula!F16,20))+((Formula!I16)/(Formula!C16+Formula!E16+Formula!G16+Formula!I16+Formula!K16))*(INDEX(Properties!A$1:CB$87,Formula!H16,20))+((Formula!K16)/(Formula!C16+Formula!E16+Formula!G16+Formula!I16+Formula!K16))*(INDEX(Properties!A$1:CB$87,Formula!J16,20))</f>
        <v>4.2222222222222223</v>
      </c>
      <c r="BQ16" s="48">
        <f>Formula!C16*(INDEX(Properties!A$1:CB$87,Formula!B16,20))+Formula!E16*(INDEX(Properties!A$1:CB$87,Formula!D16,20))+Formula!G16*(INDEX(Properties!A$1:CB$87,Formula!F16,20))+Formula!I16*(INDEX(Properties!A$1:CB$87,Formula!H16,20))+Formula!K16*(INDEX(Properties!A$1:CB$87,Formula!J16,20))</f>
        <v>38</v>
      </c>
      <c r="BR16" s="48">
        <f>VARP(IF(INDEX(Properties!A$1:CB$87,Formula!B16,20)&lt;&gt;"",INDEX(Properties!A$1:CB$87,Formula!B16,20)),IF(INDEX(Properties!A$1:CB$87,Formula!D16,20)&lt;&gt;"",INDEX(Properties!A$1:CB$87,Formula!D16,20)),IF(INDEX(Properties!A$1:CB$87,Formula!F16,20)&lt;&gt;"",INDEX(Properties!A$1:CB$87,Formula!F16,20)),IF(INDEX(Properties!A$1:CB$87,Formula!H16,20)&lt;&gt;"",INDEX(Properties!A$1:CB$87,Formula!H16,20)),IF(INDEX(Properties!A$1:CB$87,Formula!J16,20)&lt;&gt;"",INDEX(Properties!A$1:CB$87,Formula!J16,20)))</f>
        <v>3.84</v>
      </c>
      <c r="BS16" s="48">
        <f>MAX(INDEX(Properties!A$1:CB$87,Formula!B16,20),INDEX(Properties!A$1:CB$87,Formula!D16,20),INDEX(Properties!A$1:CB$87,Formula!F16,20),INDEX(Properties!A$1:CB$87,Formula!H16,20),INDEX(Properties!A$1:CB$87,Formula!J16,20))</f>
        <v>6</v>
      </c>
      <c r="BT16" s="48">
        <f>MIN(IF(INDEX(Properties!A$1:CB$87,Formula!B16,20)=0,10^6,INDEX(Properties!A$1:CB$87,Formula!B16,20)),IF(INDEX(Properties!A$1:CB$87,Formula!D16,20)=0,10^6,INDEX(Properties!A$1:CB$87,Formula!D16,20)),IF(INDEX(Properties!A$1:CB$87,Formula!F16,20)=0,10^6,INDEX(Properties!A$1:CB$87,Formula!F16,20)),IF(INDEX(Properties!A$1:CB$87,Formula!H16,20)=0,10^6,INDEX(Properties!A$1:CB$87,Formula!H16,20)),IF(INDEX(Properties!A$1:CB$87,Formula!J16,20)=0,10^6,INDEX(Properties!A$1:CB$87,Formula!J16,20)))</f>
        <v>2</v>
      </c>
      <c r="BU16" s="48">
        <f t="shared" si="11"/>
        <v>4</v>
      </c>
      <c r="BV16" s="66">
        <f>((Formula!C16)/(Formula!C16+Formula!E16+Formula!G16+Formula!I16+Formula!K16))*(INDEX(Properties!A$1:CB$87,Formula!B16,21))+((Formula!E16)/(Formula!C16+Formula!E16+Formula!G16+Formula!I16+Formula!K16))*(INDEX(Properties!A$1:CB$87,Formula!D16,21))+((Formula!G16)/(Formula!C16+Formula!E16+Formula!G16+Formula!I16+Formula!K16))*(INDEX(Properties!A$1:CB$87,Formula!F16,21))+((Formula!I16)/(Formula!C16+Formula!E16+Formula!G16+Formula!I16+Formula!K16))*(INDEX(Properties!A$1:CB$87,Formula!H16,21))+((Formula!K16)/(Formula!C16+Formula!E16+Formula!G16+Formula!I16+Formula!K16))*(INDEX(Properties!A$1:CB$87,Formula!J16,21))</f>
        <v>4.3333333333333339</v>
      </c>
      <c r="BW16" s="66">
        <f>Formula!C16*(INDEX(Properties!A$1:CB$87,Formula!B16,21))+Formula!E16*(INDEX(Properties!A$1:CB$87,Formula!D16,21))+Formula!G16*(INDEX(Properties!A$1:CB$87,Formula!F16,21))+Formula!I16*(INDEX(Properties!A$1:CB$87,Formula!H16,21))+Formula!K16*(INDEX(Properties!A$1:CB$87,Formula!J16,21))</f>
        <v>39</v>
      </c>
      <c r="BX16" s="66">
        <f>VARP(IF(INDEX(Properties!A$1:CB$87,Formula!B16,21)&lt;&gt;"",INDEX(Properties!A$1:CB$87,Formula!B16,21)),IF(INDEX(Properties!A$1:CB$87,Formula!D16,21)&lt;&gt;"",INDEX(Properties!A$1:CB$87,Formula!D16,21)),IF(INDEX(Properties!A$1:CB$87,Formula!F16,21)&lt;&gt;"",INDEX(Properties!A$1:CB$87,Formula!F16,21)),IF(INDEX(Properties!A$1:CB$87,Formula!H16,21)&lt;&gt;"",INDEX(Properties!A$1:CB$87,Formula!H16,21)),IF(INDEX(Properties!A$1:CB$87,Formula!J16,21)&lt;&gt;"",INDEX(Properties!A$1:CB$87,Formula!J16,21)))</f>
        <v>4.24</v>
      </c>
      <c r="BY16" s="66">
        <f>MAX(INDEX(Properties!A$1:CB$87,Formula!B16,21),INDEX(Properties!A$1:CB$87,Formula!D16,21),INDEX(Properties!A$1:CB$87,Formula!F16,21),INDEX(Properties!A$1:CB$87,Formula!H16,21),INDEX(Properties!A$1:CB$87,Formula!J16,21))</f>
        <v>6</v>
      </c>
      <c r="BZ16" s="66">
        <f>MIN(IF(INDEX(Properties!A$1:CB$87,Formula!B16,21)=0,10^6,INDEX(Properties!A$1:CB$87,Formula!B16,21)),IF(INDEX(Properties!A$1:CB$87,Formula!D16,21)=0,10^6,INDEX(Properties!A$1:CB$87,Formula!D16,21)),IF(INDEX(Properties!A$1:CB$87,Formula!F16,21)=0,10^6,INDEX(Properties!A$1:CB$87,Formula!F16,21)),IF(INDEX(Properties!A$1:CB$87,Formula!H16,21)=0,10^6,INDEX(Properties!A$1:CB$87,Formula!H16,21)),IF(INDEX(Properties!A$1:CB$87,Formula!J16,21)=0,10^6,INDEX(Properties!A$1:CB$87,Formula!J16,21)))</f>
        <v>1</v>
      </c>
      <c r="CA16" s="66">
        <f t="shared" si="12"/>
        <v>5</v>
      </c>
      <c r="CB16" s="81">
        <f>((Formula!C16)/(Formula!C16+Formula!E16+Formula!G16+Formula!I16+Formula!K16))*(INDEX(Properties!A$1:CB$87,Formula!B16,23))+((Formula!E16)/(Formula!C16+Formula!E16+Formula!G16+Formula!I16+Formula!K16))*(INDEX(Properties!A$1:CB$87,Formula!D16,23))+((Formula!G16)/(Formula!C16+Formula!E16+Formula!G16+Formula!I16+Formula!K16))*(INDEX(Properties!A$1:CB$87,Formula!F16,23))+((Formula!I16)/(Formula!C16+Formula!E16+Formula!G16+Formula!I16+Formula!K16))*(INDEX(Properties!A$1:CB$87,Formula!H16,23))+((Formula!K16)/(Formula!C16+Formula!E16+Formula!G16+Formula!I16+Formula!K16))*(INDEX(Properties!A$1:CB$87,Formula!J16,23))</f>
        <v>1.4266666666666667</v>
      </c>
      <c r="CC16" s="81">
        <f>Formula!C16*(INDEX(Properties!A$1:CB$87,Formula!B16,23))+Formula!E16*(INDEX(Properties!A$1:CB$87,Formula!D16,23))+Formula!G16*(INDEX(Properties!A$1:CB$87,Formula!F16,23))+Formula!I16*(INDEX(Properties!A$1:CB$87,Formula!H16,23))+Formula!K16*(INDEX(Properties!A$1:CB$87,Formula!J16,23))</f>
        <v>12.84</v>
      </c>
      <c r="CD16" s="81">
        <f>VARP(IF(INDEX(Properties!A$1:CB$87,Formula!B16,23)&lt;&gt;"",INDEX(Properties!A$1:CB$87,Formula!B16,23)),IF(INDEX(Properties!A$1:CB$87,Formula!D16,23)&lt;&gt;"",INDEX(Properties!A$1:CB$87,Formula!D16,23)),IF(INDEX(Properties!A$1:CB$87,Formula!F16,23)&lt;&gt;"",INDEX(Properties!A$1:CB$87,Formula!F16,23)),IF(INDEX(Properties!A$1:CB$87,Formula!H16,23)&lt;&gt;"",INDEX(Properties!A$1:CB$87,Formula!H16,23)),IF(INDEX(Properties!A$1:CB$87,Formula!J16,23)&lt;&gt;"",INDEX(Properties!A$1:CB$87,Formula!J16,23)))</f>
        <v>3.0735360000000007</v>
      </c>
      <c r="CE16" s="81">
        <f>MAX(INDEX(Properties!A$1:CB$87,Formula!B16,23),INDEX(Properties!A$1:CB$87,Formula!D16,23),INDEX(Properties!A$1:CB$87,Formula!F16,23),INDEX(Properties!A$1:CB$87,Formula!H16,23),INDEX(Properties!A$1:CB$87,Formula!J16,23))</f>
        <v>4.4400000000000004</v>
      </c>
      <c r="CF16" s="81">
        <f>MIN(IF(Formula!B16=87,10^6,INDEX(Properties!A$1:CB$87,Formula!B16,23)),IF((Formula!D16)=87,10^6,INDEX(Properties!A$1:CB$87,Formula!D16,23)),IF((Formula!F16)=87,10^6,INDEX(Properties!A$1:CB$87,Formula!F16,23)),IF((Formula!H16)=87,10^6,INDEX(Properties!A$1:CB$87,Formula!H16,23)),IF(Formula!J16=87,10^6,INDEX(Properties!A$1:CB$87,Formula!J16,23)))</f>
        <v>0</v>
      </c>
      <c r="CG16" s="81">
        <f t="shared" si="13"/>
        <v>4.4400000000000004</v>
      </c>
      <c r="CH16" s="39">
        <f>((Formula!C16)/(Formula!C16+Formula!E16+Formula!G16+Formula!I16+Formula!K16))*(INDEX(Properties!A$1:CB$87,Formula!B16,26))+((Formula!E16)/(Formula!C16+Formula!E16+Formula!G16+Formula!I16+Formula!K16))*(INDEX(Properties!A$1:CB$87,Formula!D16,26))+((Formula!G16)/(Formula!C16+Formula!E16+Formula!G16+Formula!I16+Formula!K16))*(INDEX(Properties!A$1:CB$87,Formula!F16,26))+((Formula!I16)/(Formula!C16+Formula!E16+Formula!G16+Formula!I16+Formula!K16))*(INDEX(Properties!A$1:CB$87,Formula!H16,26))+((Formula!K16)/(Formula!C16+Formula!E16+Formula!G16+Formula!I16+Formula!K16))*(INDEX(Properties!A$1:CB$87,Formula!J16,26))</f>
        <v>10.41931111111111</v>
      </c>
      <c r="CI16" s="39">
        <f>Formula!C16*(INDEX(Properties!A$1:CB$87,Formula!B16,26))+Formula!E16*(INDEX(Properties!A$1:CB$87,Formula!D16,26))+Formula!G16*(INDEX(Properties!A$1:CB$87,Formula!F16,26))+Formula!I16*(INDEX(Properties!A$1:CB$87,Formula!H16,26))+Formula!K16*(INDEX(Properties!A$1:CB$87,Formula!J16,26))</f>
        <v>93.773800000000008</v>
      </c>
      <c r="CJ16" s="39">
        <f>VARP(IF(INDEX(Properties!A$1:CB$87,Formula!B16,26)&lt;&gt;"",INDEX(Properties!A$1:CB$87,Formula!B16,26)),IF(INDEX(Properties!A$1:CB$87,Formula!D16,26)&lt;&gt;"",INDEX(Properties!A$1:CB$87,Formula!D16,26)),IF(INDEX(Properties!A$1:CB$87,Formula!F16,26)&lt;&gt;"",INDEX(Properties!A$1:CB$87,Formula!F16,26)),IF(INDEX(Properties!A$1:CB$87,Formula!H16,26)&lt;&gt;"",INDEX(Properties!A$1:CB$87,Formula!H16,26)),IF(INDEX(Properties!A$1:CB$87,Formula!J16,26)&lt;&gt;"",INDEX(Properties!A$1:CB$87,Formula!J16,26)))</f>
        <v>20.711734714400009</v>
      </c>
      <c r="CK16" s="39">
        <f>MAX(INDEX(Properties!A$1:CB$87,Formula!B16,26),INDEX(Properties!A$1:CB$87,Formula!D16,26),INDEX(Properties!A$1:CB$87,Formula!F16,26),INDEX(Properties!A$1:CB$87,Formula!H16,26),INDEX(Properties!A$1:CB$87,Formula!J16,26))</f>
        <v>13.6181</v>
      </c>
      <c r="CL16" s="39">
        <f>MIN(IF(INDEX(Properties!A$1:CB$87,Formula!B16,26)=0,10^6,INDEX(Properties!A$1:CB$87,Formula!B16,26)),IF(INDEX(Properties!A$1:CB$87,Formula!D16,26)=0,10^6,INDEX(Properties!A$1:CB$87,Formula!D16,26)),IF(INDEX(Properties!A$1:CB$87,Formula!F16,26)=0,10^6,INDEX(Properties!A$1:CB$87,Formula!F16,26)),IF(INDEX(Properties!A$1:CB$87,Formula!H16,26)=0,10^6,INDEX(Properties!A$1:CB$87,Formula!H16,26)),IF(INDEX(Properties!A$1:CB$87,Formula!J16,26)=0,10^6,INDEX(Properties!A$1:CB$87,Formula!J16,26)))</f>
        <v>5.2117000000000004</v>
      </c>
      <c r="CM16" s="39">
        <f t="shared" si="14"/>
        <v>8.4063999999999997</v>
      </c>
      <c r="CN16" s="54">
        <f>((Formula!C16)/(Formula!C16+Formula!E16+Formula!G16+Formula!I16+Formula!K16))*(INDEX(Properties!A$1:CB$87,Formula!B16,30))+((Formula!E16)/(Formula!C16+Formula!E16+Formula!G16+Formula!I16+Formula!K16))*(INDEX(Properties!A$1:CB$87,Formula!D16,30))+((Formula!G16)/(Formula!C16+Formula!E16+Formula!G16+Formula!I16+Formula!K16))*(INDEX(Properties!A$1:CB$87,Formula!F16,30))+((Formula!I16)/(Formula!C16+Formula!E16+Formula!G16+Formula!I16+Formula!K16))*(INDEX(Properties!A$1:CB$87,Formula!H16,30))+((Formula!K16)/(Formula!C16+Formula!E16+Formula!G16+Formula!I16+Formula!K16))*(INDEX(Properties!A$1:CB$87,Formula!J16,30))</f>
        <v>2.4422222222222221</v>
      </c>
      <c r="CO16" s="54">
        <f>Formula!C16*(INDEX(Properties!A$1:CB$87,Formula!B16,30))+Formula!E16*(INDEX(Properties!A$1:CB$87,Formula!D16,30))+Formula!G16*(INDEX(Properties!A$1:CB$87,Formula!F16,30))+Formula!I16*(INDEX(Properties!A$1:CB$87,Formula!H16,30))+Formula!K16*(INDEX(Properties!A$1:CB$87,Formula!J16,30))</f>
        <v>21.98</v>
      </c>
      <c r="CP16" s="54">
        <f>VARP(IF(INDEX(Properties!A$1:CB$87,Formula!B16,30)&lt;&gt;"",INDEX(Properties!A$1:CB$87,Formula!B16,30)),IF(INDEX(Properties!A$1:CB$87,Formula!D16,30)&lt;&gt;"",INDEX(Properties!A$1:CB$87,Formula!D16,30)),IF(INDEX(Properties!A$1:CB$87,Formula!F16,30)&lt;&gt;"",INDEX(Properties!A$1:CB$87,Formula!F16,30)),IF(INDEX(Properties!A$1:CB$87,Formula!H16,30)&lt;&gt;"",INDEX(Properties!A$1:CB$87,Formula!H16,30)),IF(INDEX(Properties!A$1:CB$87,Formula!J16,30)&lt;&gt;"",INDEX(Properties!A$1:CB$87,Formula!J16,30)))</f>
        <v>1.3041199999999997</v>
      </c>
      <c r="CQ16" s="54">
        <f>MAX(INDEX(Properties!A$1:CB$87,Formula!B16,30),INDEX(Properties!A$1:CB$87,Formula!D16,30),INDEX(Properties!A$1:CB$87,Formula!F16,30),INDEX(Properties!A$1:CB$87,Formula!H16,30),INDEX(Properties!A$1:CB$87,Formula!J16,30))</f>
        <v>3.44</v>
      </c>
      <c r="CR16" s="54">
        <f>MIN(IF(INDEX(Properties!A$1:CB$87,Formula!B16,30)=0,10^6,INDEX(Properties!A$1:CB$87,Formula!B16,30)),IF(INDEX(Properties!A$1:CB$87,Formula!D16,30)=0,10^6,INDEX(Properties!A$1:CB$87,Formula!D16,30)),IF(INDEX(Properties!A$1:CB$87,Formula!F16,30)=0,10^6,INDEX(Properties!A$1:CB$87,Formula!F16,30)),IF(INDEX(Properties!A$1:CB$87,Formula!H16,30)=0,10^6,INDEX(Properties!A$1:CB$87,Formula!H16,30)),IF(INDEX(Properties!A$1:CB$87,Formula!J16,30)=0,10^6,INDEX(Properties!A$1:CB$87,Formula!J16,30)))</f>
        <v>0.89</v>
      </c>
      <c r="CS16" s="54">
        <f t="shared" si="15"/>
        <v>2.5499999999999998</v>
      </c>
      <c r="CT16" s="69">
        <f>((Formula!C16)/(Formula!C16+Formula!E16+Formula!G16+Formula!I16+Formula!K16))*(INDEX(Properties!A$1:CB$87,Formula!B16,31))+((Formula!E16)/(Formula!C16+Formula!E16+Formula!G16+Formula!I16+Formula!K16))*(INDEX(Properties!A$1:CB$87,Formula!D16,31))+((Formula!G16)/(Formula!C16+Formula!E16+Formula!G16+Formula!I16+Formula!K16))*(INDEX(Properties!A$1:CB$87,Formula!F16,31))+((Formula!I16)/(Formula!C16+Formula!E16+Formula!G16+Formula!I16+Formula!K16))*(INDEX(Properties!A$1:CB$87,Formula!H16,31))+((Formula!K16)/(Formula!C16+Formula!E16+Formula!G16+Formula!I16+Formula!K16))*(INDEX(Properties!A$1:CB$87,Formula!J16,31))</f>
        <v>2.3688888888888888</v>
      </c>
      <c r="CU16" s="69">
        <f>Formula!C16*(INDEX(Properties!A$1:CB$87,Formula!B16,31))+Formula!E16*(INDEX(Properties!A$1:CB$87,Formula!D16,31))+Formula!G16*(INDEX(Properties!A$1:CB$87,Formula!F16,31))+Formula!I16*(INDEX(Properties!A$1:CB$87,Formula!H16,31))+Formula!K16*(INDEX(Properties!A$1:CB$87,Formula!J16,31))</f>
        <v>21.32</v>
      </c>
      <c r="CV16" s="69">
        <f>VARP(IF(INDEX(Properties!A$1:CB$87,Formula!B16,31)&lt;&gt;"",INDEX(Properties!A$1:CB$87,Formula!B16,31)),IF(INDEX(Properties!A$1:CB$87,Formula!D16,31)&lt;&gt;"",INDEX(Properties!A$1:CB$87,Formula!D16,31)),IF(INDEX(Properties!A$1:CB$87,Formula!F16,31)&lt;&gt;"",INDEX(Properties!A$1:CB$87,Formula!F16,31)),IF(INDEX(Properties!A$1:CB$87,Formula!H16,31)&lt;&gt;"",INDEX(Properties!A$1:CB$87,Formula!H16,31)),IF(INDEX(Properties!A$1:CB$87,Formula!J16,31)&lt;&gt;"",INDEX(Properties!A$1:CB$87,Formula!J16,31)))</f>
        <v>1.1679360000000001</v>
      </c>
      <c r="CW16" s="69">
        <f>MAX(INDEX(Properties!A$1:CB$87,Formula!B16,31),INDEX(Properties!A$1:CB$87,Formula!D16,31),INDEX(Properties!A$1:CB$87,Formula!F16,31),INDEX(Properties!A$1:CB$87,Formula!H16,31),INDEX(Properties!A$1:CB$87,Formula!J16,31))</f>
        <v>3.32</v>
      </c>
      <c r="CX16" s="69">
        <f>MIN(IF(INDEX(Properties!A$1:CB$87,Formula!B16,31)=0,10^6,INDEX(Properties!A$1:CB$87,Formula!B16,31)),IF(INDEX(Properties!A$1:CB$87,Formula!D16,31)=0,10^6,INDEX(Properties!A$1:CB$87,Formula!D16,31)),IF(INDEX(Properties!A$1:CB$87,Formula!F16,31)=0,10^6,INDEX(Properties!A$1:CB$87,Formula!F16,31)),IF(INDEX(Properties!A$1:CB$87,Formula!H16,31)=0,10^6,INDEX(Properties!A$1:CB$87,Formula!H16,31)),IF(INDEX(Properties!A$1:CB$87,Formula!J16,31)=0,10^6,INDEX(Properties!A$1:CB$87,Formula!J16,31)))</f>
        <v>1.08</v>
      </c>
      <c r="CY16" s="69">
        <f t="shared" si="16"/>
        <v>2.2399999999999998</v>
      </c>
      <c r="CZ16" s="42">
        <f>((Formula!C16)/(Formula!C16+Formula!E16+Formula!G16+Formula!I16+Formula!K16))*(INDEX(Properties!A$1:CB$87,Formula!B16,32))+((Formula!E16)/(Formula!C16+Formula!E16+Formula!G16+Formula!I16+Formula!K16))*(INDEX(Properties!A$1:CB$87,Formula!D16,32))+((Formula!G16)/(Formula!C16+Formula!E16+Formula!G16+Formula!I16+Formula!K16))*(INDEX(Properties!A$1:CB$87,Formula!F16,32))+((Formula!I16)/(Formula!C16+Formula!E16+Formula!G16+Formula!I16+Formula!K16))*(INDEX(Properties!A$1:CB$87,Formula!H16,32))+((Formula!K16)/(Formula!C16+Formula!E16+Formula!G16+Formula!I16+Formula!K16))*(INDEX(Properties!A$1:CB$87,Formula!J16,32))</f>
        <v>5.6388888888888893</v>
      </c>
      <c r="DA16" s="42">
        <f>Formula!C16*(INDEX(Properties!A$1:CB$87,Formula!B16,32))+Formula!E16*(INDEX(Properties!A$1:CB$87,Formula!D16,32))+Formula!G16*(INDEX(Properties!A$1:CB$87,Formula!F16,32))+Formula!I16*(INDEX(Properties!A$1:CB$87,Formula!H16,32))+Formula!K16*(INDEX(Properties!A$1:CB$87,Formula!J16,32))</f>
        <v>50.75</v>
      </c>
      <c r="DB16" s="42">
        <f>VARP(IF(INDEX(Properties!A$1:CB$87,Formula!B16,32)&lt;&gt;"",INDEX(Properties!A$1:CB$87,Formula!B16,32)),IF(INDEX(Properties!A$1:CB$87,Formula!D16,32)&lt;&gt;"",INDEX(Properties!A$1:CB$87,Formula!D16,32)),IF(INDEX(Properties!A$1:CB$87,Formula!F16,32)&lt;&gt;"",INDEX(Properties!A$1:CB$87,Formula!F16,32)),IF(INDEX(Properties!A$1:CB$87,Formula!H16,32)&lt;&gt;"",INDEX(Properties!A$1:CB$87,Formula!H16,32)),IF(INDEX(Properties!A$1:CB$87,Formula!J16,32)&lt;&gt;"",INDEX(Properties!A$1:CB$87,Formula!J16,32)))</f>
        <v>6.1688160000000014</v>
      </c>
      <c r="DC16" s="42">
        <f>MAX(INDEX(Properties!A$1:CB$87,Formula!B16,32),INDEX(Properties!A$1:CB$87,Formula!D16,32),INDEX(Properties!A$1:CB$87,Formula!F16,32),INDEX(Properties!A$1:CB$87,Formula!H16,32),INDEX(Properties!A$1:CB$87,Formula!J16,32))</f>
        <v>7.54</v>
      </c>
      <c r="DD16" s="42">
        <f>MIN(IF(INDEX(Properties!A$1:CB$87,Formula!B16,32)=0,10^6,INDEX(Properties!A$1:CB$87,Formula!B16,32)),IF(INDEX(Properties!A$1:CB$87,Formula!D16,32)=0,10^6,INDEX(Properties!A$1:CB$87,Formula!D16,32)),IF(INDEX(Properties!A$1:CB$87,Formula!F16,32)=0,10^6,INDEX(Properties!A$1:CB$87,Formula!F16,32)),IF(INDEX(Properties!A$1:CB$87,Formula!H16,32)=0,10^6,INDEX(Properties!A$1:CB$87,Formula!H16,32)),IF(INDEX(Properties!A$1:CB$87,Formula!J16,32)=0,10^6,INDEX(Properties!A$1:CB$87,Formula!J16,32)))</f>
        <v>2.4</v>
      </c>
      <c r="DE16" s="42">
        <f t="shared" si="17"/>
        <v>5.1400000000000006</v>
      </c>
      <c r="DF16" s="60">
        <f>((Formula!C16)/(Formula!C16+Formula!E16+Formula!G16+Formula!I16+Formula!K16))*(INDEX(Properties!A$1:CB$87,Formula!B16,34))+((Formula!E16)/(Formula!C16+Formula!E16+Formula!G16+Formula!I16+Formula!K16))*(INDEX(Properties!A$1:CB$87,Formula!D16,34))+((Formula!G16)/(Formula!C16+Formula!E16+Formula!G16+Formula!I16+Formula!K16))*(INDEX(Properties!A$1:CB$87,Formula!F16,34))+((Formula!I16)/(Formula!C16+Formula!E16+Formula!G16+Formula!I16+Formula!K16))*(INDEX(Properties!A$1:CB$87,Formula!H16,34))+((Formula!K16)/(Formula!C16+Formula!E16+Formula!G16+Formula!I16+Formula!K16))*(INDEX(Properties!A$1:CB$87,Formula!J16,34))</f>
        <v>2.5223333333333331</v>
      </c>
      <c r="DG16" s="60">
        <f>Formula!C16*(INDEX(Properties!A$1:CB$87,Formula!B16,34))+Formula!E16*(INDEX(Properties!A$1:CB$87,Formula!D16,34))+Formula!G16*(INDEX(Properties!A$1:CB$87,Formula!F16,34))+Formula!I16*(INDEX(Properties!A$1:CB$87,Formula!H16,34))+Formula!K16*(INDEX(Properties!A$1:CB$87,Formula!J16,34))</f>
        <v>22.701000000000001</v>
      </c>
      <c r="DH16" s="60">
        <f>VARP(IF(INDEX(Properties!A$1:CB$87,Formula!B16,34)&lt;&gt;"",INDEX(Properties!A$1:CB$87,Formula!B16,34)),IF(INDEX(Properties!A$1:CB$87,Formula!D16,34)&lt;&gt;"",INDEX(Properties!A$1:CB$87,Formula!D16,34)),IF(INDEX(Properties!A$1:CB$87,Formula!F16,34)&lt;&gt;"",INDEX(Properties!A$1:CB$87,Formula!F16,34)),IF(INDEX(Properties!A$1:CB$87,Formula!H16,34)&lt;&gt;"",INDEX(Properties!A$1:CB$87,Formula!H16,34)),IF(INDEX(Properties!A$1:CB$87,Formula!J16,34)&lt;&gt;"",INDEX(Properties!A$1:CB$87,Formula!J16,34)))</f>
        <v>1.4479625600000008</v>
      </c>
      <c r="DI16" s="60">
        <f>MAX(INDEX(Properties!A$1:CB$87,Formula!B16,34),INDEX(Properties!A$1:CB$87,Formula!D16,34),INDEX(Properties!A$1:CB$87,Formula!F16,34),INDEX(Properties!A$1:CB$87,Formula!H16,34),INDEX(Properties!A$1:CB$87,Formula!J16,34))</f>
        <v>3.61</v>
      </c>
      <c r="DJ16" s="60">
        <f>MIN(IF(INDEX(Properties!A$1:CB$87,Formula!B16,34)=0,10^6,INDEX(Properties!A$1:CB$87,Formula!B16,34)),IF(INDEX(Properties!A$1:CB$87,Formula!D16,34)=0,10^6,INDEX(Properties!A$1:CB$87,Formula!D16,34)),IF(INDEX(Properties!A$1:CB$87,Formula!F16,34)=0,10^6,INDEX(Properties!A$1:CB$87,Formula!F16,34)),IF(INDEX(Properties!A$1:CB$87,Formula!H16,34)=0,10^6,INDEX(Properties!A$1:CB$87,Formula!H16,34)),IF(INDEX(Properties!A$1:CB$87,Formula!J16,34)=0,10^6,INDEX(Properties!A$1:CB$87,Formula!J16,34)))</f>
        <v>0.88100000000000001</v>
      </c>
      <c r="DK16" s="60">
        <f t="shared" si="18"/>
        <v>2.7290000000000001</v>
      </c>
      <c r="DL16" s="45">
        <f>((Formula!C16)/(Formula!C16+Formula!E16+Formula!G16+Formula!I16+Formula!K16))*(INDEX(Properties!A$1:CB$87,Formula!B16,39))+((Formula!E16)/(Formula!C16+Formula!E16+Formula!G16+Formula!I16+Formula!K16))*(INDEX(Properties!A$1:CB$87,Formula!D16,39))+((Formula!G16)/(Formula!C16+Formula!E16+Formula!G16+Formula!I16+Formula!K16))*(INDEX(Properties!A$1:CB$87,Formula!F16,39))+((Formula!I16)/(Formula!C16+Formula!E16+Formula!G16+Formula!I16+Formula!K16))*(INDEX(Properties!A$1:CB$87,Formula!H16,39))+((Formula!K16)/(Formula!C16+Formula!E16+Formula!G16+Formula!I16+Formula!K16))*(INDEX(Properties!A$1:CB$87,Formula!J16,39))</f>
        <v>1.1166666666666667</v>
      </c>
      <c r="DM16" s="45">
        <f>Formula!C16*(INDEX(Properties!A$1:CB$87,Formula!B16,39))+Formula!E16*(INDEX(Properties!A$1:CB$87,Formula!D16,39))+Formula!G16*(INDEX(Properties!A$1:CB$87,Formula!F16,39))+Formula!I16*(INDEX(Properties!A$1:CB$87,Formula!H16,39))+Formula!K16*(INDEX(Properties!A$1:CB$87,Formula!J16,39))</f>
        <v>10.050000000000001</v>
      </c>
      <c r="DN16" s="45">
        <f>VARP(IF(INDEX(Properties!A$1:CB$87,Formula!B16,39)&lt;&gt;"",INDEX(Properties!A$1:CB$87,Formula!B16,39)),IF(INDEX(Properties!A$1:CB$87,Formula!D16,39)&lt;&gt;"",INDEX(Properties!A$1:CB$87,Formula!D16,39)),IF(INDEX(Properties!A$1:CB$87,Formula!F16,39)&lt;&gt;"",INDEX(Properties!A$1:CB$87,Formula!F16,39)),IF(INDEX(Properties!A$1:CB$87,Formula!H16,39)&lt;&gt;"",INDEX(Properties!A$1:CB$87,Formula!H16,39)),IF(INDEX(Properties!A$1:CB$87,Formula!J16,39)&lt;&gt;"",INDEX(Properties!A$1:CB$87,Formula!J16,39)))</f>
        <v>0.83650400000000014</v>
      </c>
      <c r="DO16" s="45">
        <f>MAX(INDEX(Properties!A$1:CB$87,Formula!B16,39),INDEX(Properties!A$1:CB$87,Formula!D16,39),INDEX(Properties!A$1:CB$87,Formula!F16,39),INDEX(Properties!A$1:CB$87,Formula!H16,39),INDEX(Properties!A$1:CB$87,Formula!J16,39))</f>
        <v>2.5299999999999998</v>
      </c>
      <c r="DP16" s="45">
        <f>MIN(IF(INDEX(Properties!A$1:CB$87,Formula!B16,39)=0,10^6,INDEX(Properties!A$1:CB$87,Formula!B16,39)),IF(INDEX(Properties!A$1:CB$87,Formula!D16,39)=0,10^6,INDEX(Properties!A$1:CB$87,Formula!D16,39)),IF(INDEX(Properties!A$1:CB$87,Formula!F16,39)=0,10^6,INDEX(Properties!A$1:CB$87,Formula!F16,39)),IF(INDEX(Properties!A$1:CB$87,Formula!H16,39)=0,10^6,INDEX(Properties!A$1:CB$87,Formula!H16,39)),IF(INDEX(Properties!A$1:CB$87,Formula!J16,39)=0,10^6,INDEX(Properties!A$1:CB$87,Formula!J16,39)))</f>
        <v>0.48</v>
      </c>
      <c r="DQ16" s="45">
        <f t="shared" si="19"/>
        <v>2.0499999999999998</v>
      </c>
      <c r="DR16" s="63">
        <f>((Formula!C16)/(Formula!C16+Formula!E16+Formula!G16+Formula!I16+Formula!K16))*(INDEX(Properties!A$1:CB$87,Formula!B16,40))+((Formula!E16)/(Formula!C16+Formula!E16+Formula!G16+Formula!I16+Formula!K16))*(INDEX(Properties!A$1:CB$87,Formula!D16,40))+((Formula!G16)/(Formula!C16+Formula!E16+Formula!G16+Formula!I16+Formula!K16))*(INDEX(Properties!A$1:CB$87,Formula!F16,40))+((Formula!I16)/(Formula!C16+Formula!E16+Formula!G16+Formula!I16+Formula!K16))*(INDEX(Properties!A$1:CB$87,Formula!H16,40))+((Formula!K16)/(Formula!C16+Formula!E16+Formula!G16+Formula!I16+Formula!K16))*(INDEX(Properties!A$1:CB$87,Formula!J16,40))</f>
        <v>1.1377777777777778</v>
      </c>
      <c r="DS16" s="63">
        <f>Formula!C16*(INDEX(Properties!A$1:CB$87,Formula!B16,40))+Formula!E16*(INDEX(Properties!A$1:CB$87,Formula!D16,40))+Formula!G16*(INDEX(Properties!A$1:CB$87,Formula!F16,40))+Formula!I16*(INDEX(Properties!A$1:CB$87,Formula!H16,40))+Formula!K16*(INDEX(Properties!A$1:CB$87,Formula!J16,40))</f>
        <v>10.24</v>
      </c>
      <c r="DT16" s="63">
        <f>VARP(IF(INDEX(Properties!A$1:CB$87,Formula!B16,40)&lt;&gt;"",INDEX(Properties!A$1:CB$87,Formula!B16,40)),IF(INDEX(Properties!A$1:CB$87,Formula!D16,40)&lt;&gt;"",INDEX(Properties!A$1:CB$87,Formula!D16,40)),IF(INDEX(Properties!A$1:CB$87,Formula!F16,40)&lt;&gt;"",INDEX(Properties!A$1:CB$87,Formula!F16,40)),IF(INDEX(Properties!A$1:CB$87,Formula!H16,40)&lt;&gt;"",INDEX(Properties!A$1:CB$87,Formula!H16,40)),IF(INDEX(Properties!A$1:CB$87,Formula!J16,40)&lt;&gt;"",INDEX(Properties!A$1:CB$87,Formula!J16,40)))</f>
        <v>0.49242400000000003</v>
      </c>
      <c r="DU16" s="63">
        <f>MAX(INDEX(Properties!A$1:CB$87,Formula!B16,40),INDEX(Properties!A$1:CB$87,Formula!D16,40),INDEX(Properties!A$1:CB$87,Formula!F16,40),INDEX(Properties!A$1:CB$87,Formula!H16,40),INDEX(Properties!A$1:CB$87,Formula!J16,40))</f>
        <v>1.98</v>
      </c>
      <c r="DV16" s="63">
        <f>MIN(IF(INDEX(Properties!A$1:CB$87,Formula!B16,40)=0,10^6,INDEX(Properties!A$1:CB$87,Formula!B16,40)),IF(INDEX(Properties!A$1:CB$87,Formula!D16,40)=0,10^6,INDEX(Properties!A$1:CB$87,Formula!D16,40)),IF(INDEX(Properties!A$1:CB$87,Formula!F16,40)=0,10^6,INDEX(Properties!A$1:CB$87,Formula!F16,40)),IF(INDEX(Properties!A$1:CB$87,Formula!H16,40)=0,10^6,INDEX(Properties!A$1:CB$87,Formula!H16,40)),IF(INDEX(Properties!A$1:CB$87,Formula!J16,40)=0,10^6,INDEX(Properties!A$1:CB$87,Formula!J16,40)))</f>
        <v>0.73</v>
      </c>
      <c r="DW16" s="63">
        <f t="shared" si="20"/>
        <v>1.25</v>
      </c>
      <c r="DX16" s="75">
        <f>((Formula!C16)/(Formula!C16+Formula!E16+Formula!G16+Formula!I16+Formula!K16))*(INDEX(Properties!A$1:CB$87,Formula!B16,41))+((Formula!E16)/(Formula!C16+Formula!E16+Formula!G16+Formula!I16+Formula!K16))*(INDEX(Properties!A$1:CB$87,Formula!D16,41))+((Formula!G16)/(Formula!C16+Formula!E16+Formula!G16+Formula!I16+Formula!K16))*(INDEX(Properties!A$1:CB$87,Formula!F16,41))+((Formula!I16)/(Formula!C16+Formula!E16+Formula!G16+Formula!I16+Formula!K16))*(INDEX(Properties!A$1:CB$87,Formula!H16,41))+((Formula!K16)/(Formula!C16+Formula!E16+Formula!G16+Formula!I16+Formula!K16))*(INDEX(Properties!A$1:CB$87,Formula!J16,41))</f>
        <v>1.2188888888888889</v>
      </c>
      <c r="DY16" s="75">
        <f>Formula!C16*(INDEX(Properties!A$1:CB$87,Formula!B16,41))+Formula!E16*(INDEX(Properties!A$1:CB$87,Formula!D16,41))+Formula!G16*(INDEX(Properties!A$1:CB$87,Formula!F16,41))+Formula!I16*(INDEX(Properties!A$1:CB$87,Formula!H16,41))+Formula!K16*(INDEX(Properties!A$1:CB$87,Formula!J16,41))</f>
        <v>10.969999999999999</v>
      </c>
      <c r="DZ16" s="75">
        <f>VARP(IF(INDEX(Properties!A$1:CB$87,Formula!B16,41)&lt;&gt;"",INDEX(Properties!A$1:CB$87,Formula!B16,41)),IF(INDEX(Properties!A$1:CB$87,Formula!D16,41)&lt;&gt;"",INDEX(Properties!A$1:CB$87,Formula!D16,41)),IF(INDEX(Properties!A$1:CB$87,Formula!F16,41)&lt;&gt;"",INDEX(Properties!A$1:CB$87,Formula!F16,41)),IF(INDEX(Properties!A$1:CB$87,Formula!H16,41)&lt;&gt;"",INDEX(Properties!A$1:CB$87,Formula!H16,41)),IF(INDEX(Properties!A$1:CB$87,Formula!J16,41)&lt;&gt;"",INDEX(Properties!A$1:CB$87,Formula!J16,41)))</f>
        <v>0.26698400000000033</v>
      </c>
      <c r="EA16" s="75">
        <f>MAX(INDEX(Properties!A$1:CB$87,Formula!B16,41),INDEX(Properties!A$1:CB$87,Formula!D16,41),INDEX(Properties!A$1:CB$87,Formula!F16,41),INDEX(Properties!A$1:CB$87,Formula!H16,41),INDEX(Properties!A$1:CB$87,Formula!J16,41))</f>
        <v>1.49</v>
      </c>
      <c r="EB16" s="75">
        <f>MIN(IF(INDEX(Properties!A$1:CB$87,Formula!B16,41)=0,10^6,INDEX(Properties!A$1:CB$87,Formula!B16,41)),IF(INDEX(Properties!A$1:CB$87,Formula!D16,41)=0,10^6,INDEX(Properties!A$1:CB$87,Formula!D16,41)),IF(INDEX(Properties!A$1:CB$87,Formula!F16,41)=0,10^6,INDEX(Properties!A$1:CB$87,Formula!F16,41)),IF(INDEX(Properties!A$1:CB$87,Formula!H16,41)=0,10^6,INDEX(Properties!A$1:CB$87,Formula!H16,41)),IF(INDEX(Properties!A$1:CB$87,Formula!J16,41)=0,10^6,INDEX(Properties!A$1:CB$87,Formula!J16,41)))</f>
        <v>0.88</v>
      </c>
      <c r="EC16" s="75">
        <f t="shared" si="21"/>
        <v>0.61</v>
      </c>
      <c r="ED16" s="48">
        <f>((Formula!C16)/(Formula!C16+Formula!E16+Formula!G16+Formula!I16+Formula!K16))*(INDEX(Properties!A$1:CB$87,Formula!B16,45))+((Formula!E16)/(Formula!C16+Formula!E16+Formula!G16+Formula!I16+Formula!K16))*(INDEX(Properties!A$1:CB$87,Formula!D16,45))+((Formula!G16)/(Formula!C16+Formula!E16+Formula!G16+Formula!I16+Formula!K16))*(INDEX(Properties!A$1:CB$87,Formula!F16,45))+((Formula!I16)/(Formula!C16+Formula!E16+Formula!G16+Formula!I16+Formula!K16))*(INDEX(Properties!A$1:CB$87,Formula!H16,45))+((Formula!K16)/(Formula!C16+Formula!E16+Formula!G16+Formula!I16+Formula!K16))*(INDEX(Properties!A$1:CB$87,Formula!J16,45))</f>
        <v>1.8477777777777777</v>
      </c>
      <c r="EE16" s="48">
        <f>Formula!C16*(INDEX(Properties!A$1:CB$87,Formula!B16,45))+Formula!E16*(INDEX(Properties!A$1:CB$87,Formula!D16,45))+Formula!G16*(INDEX(Properties!A$1:CB$87,Formula!F16,45))+Formula!I16*(INDEX(Properties!A$1:CB$87,Formula!H16,45))+Formula!K16*(INDEX(Properties!A$1:CB$87,Formula!J16,45))</f>
        <v>16.630000000000003</v>
      </c>
      <c r="EF16" s="48">
        <f>VARP(IF(INDEX(Properties!A$1:CB$87,Formula!B16,45)&lt;&gt;"",INDEX(Properties!A$1:CB$87,Formula!B16,45)),IF(INDEX(Properties!A$1:CB$87,Formula!D16,45)&lt;&gt;"",INDEX(Properties!A$1:CB$87,Formula!D16,45)),IF(INDEX(Properties!A$1:CB$87,Formula!F16,45)&lt;&gt;"",INDEX(Properties!A$1:CB$87,Formula!F16,45)),IF(INDEX(Properties!A$1:CB$87,Formula!H16,45)&lt;&gt;"",INDEX(Properties!A$1:CB$87,Formula!H16,45)),IF(INDEX(Properties!A$1:CB$87,Formula!J16,45)&lt;&gt;"",INDEX(Properties!A$1:CB$87,Formula!J16,45)))</f>
        <v>2.9105599999999985</v>
      </c>
      <c r="EG16" s="48">
        <f>MAX(INDEX(Properties!A$1:CB$87,Formula!B16,45),INDEX(Properties!A$1:CB$87,Formula!D16,45),INDEX(Properties!A$1:CB$87,Formula!F16,45),INDEX(Properties!A$1:CB$87,Formula!H16,45),INDEX(Properties!A$1:CB$87,Formula!J16,45))</f>
        <v>4.5</v>
      </c>
      <c r="EH16" s="48">
        <f>MIN(IF(INDEX(Properties!A$1:CB$87,Formula!B16,45)=0,10^6,INDEX(Properties!A$1:CB$87,Formula!B16,45)),IF(INDEX(Properties!A$1:CB$87,Formula!D16,45)=0,10^6,INDEX(Properties!A$1:CB$87,Formula!D16,45)),IF(INDEX(Properties!A$1:CB$87,Formula!F16,45)=0,10^6,INDEX(Properties!A$1:CB$87,Formula!F16,45)),IF(INDEX(Properties!A$1:CB$87,Formula!H16,45)=0,10^6,INDEX(Properties!A$1:CB$87,Formula!H16,45)),IF(INDEX(Properties!A$1:CB$87,Formula!J16,45)=0,10^6,INDEX(Properties!A$1:CB$87,Formula!J16,45)))</f>
        <v>0.47</v>
      </c>
      <c r="EI16" s="48">
        <f t="shared" si="22"/>
        <v>4.03</v>
      </c>
      <c r="EJ16" s="66">
        <f>((Formula!C16)/(Formula!C16+Formula!E16+Formula!G16+Formula!I16+Formula!K16))*(INDEX(Properties!A$1:CB$87,Formula!B16,46))+((Formula!E16)/(Formula!C16+Formula!E16+Formula!G16+Formula!I16+Formula!K16))*(INDEX(Properties!A$1:CB$87,Formula!D16,46))+((Formula!G16)/(Formula!C16+Formula!E16+Formula!G16+Formula!I16+Formula!K16))*(INDEX(Properties!A$1:CB$87,Formula!F16,46))+((Formula!I16)/(Formula!C16+Formula!E16+Formula!G16+Formula!I16+Formula!K16))*(INDEX(Properties!A$1:CB$87,Formula!H16,46))+((Formula!K16)/(Formula!C16+Formula!E16+Formula!G16+Formula!I16+Formula!K16))*(INDEX(Properties!A$1:CB$87,Formula!J16,46))</f>
        <v>1.1755555555555555</v>
      </c>
      <c r="EK16" s="66">
        <f>Formula!C16*(INDEX(Properties!A$1:CB$87,Formula!B16,46))+Formula!E16*(INDEX(Properties!A$1:CB$87,Formula!D16,46))+Formula!G16*(INDEX(Properties!A$1:CB$87,Formula!F16,46))+Formula!I16*(INDEX(Properties!A$1:CB$87,Formula!H16,46))+Formula!K16*(INDEX(Properties!A$1:CB$87,Formula!J16,46))</f>
        <v>10.58</v>
      </c>
      <c r="EL16" s="66">
        <f>VARP(IF(INDEX(Properties!A$1:CB$87,Formula!B16,46)&lt;&gt;"",INDEX(Properties!A$1:CB$87,Formula!B16,46)),IF(INDEX(Properties!A$1:CB$87,Formula!D16,46)&lt;&gt;"",INDEX(Properties!A$1:CB$87,Formula!D16,46)),IF(INDEX(Properties!A$1:CB$87,Formula!F16,46)&lt;&gt;"",INDEX(Properties!A$1:CB$87,Formula!F16,46)),IF(INDEX(Properties!A$1:CB$87,Formula!H16,46)&lt;&gt;"",INDEX(Properties!A$1:CB$87,Formula!H16,46)),IF(INDEX(Properties!A$1:CB$87,Formula!J16,46)&lt;&gt;"",INDEX(Properties!A$1:CB$87,Formula!J16,46)))</f>
        <v>0.26813599999999993</v>
      </c>
      <c r="EM16" s="66">
        <f>MAX(INDEX(Properties!A$1:CB$87,Formula!B16,46),INDEX(Properties!A$1:CB$87,Formula!D16,46),INDEX(Properties!A$1:CB$87,Formula!F16,46),INDEX(Properties!A$1:CB$87,Formula!H16,46),INDEX(Properties!A$1:CB$87,Formula!J16,46))</f>
        <v>1.49</v>
      </c>
      <c r="EN16" s="66">
        <f>MIN(IF(INDEX(Properties!A$1:CB$87,Formula!B16,46)=0,10^6,INDEX(Properties!A$1:CB$87,Formula!B16,46)),IF(INDEX(Properties!A$1:CB$87,Formula!D16,46)=0,10^6,INDEX(Properties!A$1:CB$87,Formula!D16,46)),IF(INDEX(Properties!A$1:CB$87,Formula!F16,46)=0,10^6,INDEX(Properties!A$1:CB$87,Formula!F16,46)),IF(INDEX(Properties!A$1:CB$87,Formula!H16,46)=0,10^6,INDEX(Properties!A$1:CB$87,Formula!H16,46)),IF(INDEX(Properties!A$1:CB$87,Formula!J16,46)=0,10^6,INDEX(Properties!A$1:CB$87,Formula!J16,46)))</f>
        <v>0.74</v>
      </c>
      <c r="EO16" s="66">
        <f t="shared" si="23"/>
        <v>0.75</v>
      </c>
      <c r="EP16" s="81">
        <f>((Formula!C16)/(Formula!C16+Formula!E16+Formula!G16+Formula!I16+Formula!K16))*(INDEX(Properties!A$1:CB$87,Formula!B16,52))+((Formula!E16)/(Formula!C16+Formula!E16+Formula!G16+Formula!I16+Formula!K16))*(INDEX(Properties!A$1:CB$87,Formula!D16,52))+((Formula!G16)/(Formula!C16+Formula!E16+Formula!G16+Formula!I16+Formula!K16))*(INDEX(Properties!A$1:CB$87,Formula!F16,52))+((Formula!I16)/(Formula!C16+Formula!E16+Formula!G16+Formula!I16+Formula!K16))*(INDEX(Properties!A$1:CB$87,Formula!H16,52))+((Formula!K16)/(Formula!C16+Formula!E16+Formula!G16+Formula!I16+Formula!K16))*(INDEX(Properties!A$1:CB$87,Formula!J16,52))</f>
        <v>12.140555555555554</v>
      </c>
      <c r="EQ16" s="81">
        <f>Formula!C16*(INDEX(Properties!A$1:CB$87,Formula!B16,52))+Formula!E16*(INDEX(Properties!A$1:CB$87,Formula!D16,52))+Formula!G16*(INDEX(Properties!A$1:CB$87,Formula!F16,52))+Formula!I16*(INDEX(Properties!A$1:CB$87,Formula!H16,52))+Formula!K16*(INDEX(Properties!A$1:CB$87,Formula!J16,52))</f>
        <v>109.26500000000001</v>
      </c>
      <c r="ER16" s="81">
        <f>VARP(IF(INDEX(Properties!A$1:CB$87,Formula!B16,52)&lt;&gt;"",INDEX(Properties!A$1:CB$87,Formula!B16,52)),IF(INDEX(Properties!A$1:CB$87,Formula!D16,52)&lt;&gt;"",INDEX(Properties!A$1:CB$87,Formula!D16,52)),IF(INDEX(Properties!A$1:CB$87,Formula!F16,52)&lt;&gt;"",INDEX(Properties!A$1:CB$87,Formula!F16,52)),IF(INDEX(Properties!A$1:CB$87,Formula!H16,52)&lt;&gt;"",INDEX(Properties!A$1:CB$87,Formula!H16,52)),IF(INDEX(Properties!A$1:CB$87,Formula!J16,52)&lt;&gt;"",INDEX(Properties!A$1:CB$87,Formula!J16,52)))</f>
        <v>264.72060783999984</v>
      </c>
      <c r="ES16" s="81">
        <f>MAX(INDEX(Properties!A$1:CB$87,Formula!B16,52),INDEX(Properties!A$1:CB$87,Formula!D16,52),INDEX(Properties!A$1:CB$87,Formula!F16,52),INDEX(Properties!A$1:CB$87,Formula!H16,52),INDEX(Properties!A$1:CB$87,Formula!J16,52))</f>
        <v>39.700000000000003</v>
      </c>
      <c r="ET16" s="81">
        <f>MIN(IF(INDEX(Properties!A$1:CB$87,Formula!B16,52)=0,10^6,INDEX(Properties!A$1:CB$87,Formula!B16,52)),IF(INDEX(Properties!A$1:CB$87,Formula!D16,52)=0,10^6,INDEX(Properties!A$1:CB$87,Formula!D16,52)),IF(INDEX(Properties!A$1:CB$87,Formula!F16,52)=0,10^6,INDEX(Properties!A$1:CB$87,Formula!F16,52)),IF(INDEX(Properties!A$1:CB$87,Formula!H16,52)=0,10^6,INDEX(Properties!A$1:CB$87,Formula!H16,52)),IF(INDEX(Properties!A$1:CB$87,Formula!J16,52)=0,10^6,INDEX(Properties!A$1:CB$87,Formula!J16,52)))</f>
        <v>0.79300000000000004</v>
      </c>
      <c r="EU16" s="81">
        <f t="shared" si="24"/>
        <v>38.907000000000004</v>
      </c>
      <c r="EV16" s="39">
        <f>((Formula!C16)/(Formula!C16+Formula!E16+Formula!G16+Formula!I16+Formula!K16))*(INDEX(Properties!A$1:CB$87,Formula!B16,53))+((Formula!E16)/(Formula!C16+Formula!E16+Formula!G16+Formula!I16+Formula!K16))*(INDEX(Properties!A$1:CB$87,Formula!D16,53))+((Formula!G16)/(Formula!C16+Formula!E16+Formula!G16+Formula!I16+Formula!K16))*(INDEX(Properties!A$1:CB$87,Formula!F16,53))+((Formula!I16)/(Formula!C16+Formula!E16+Formula!G16+Formula!I16+Formula!K16))*(INDEX(Properties!A$1:CB$87,Formula!H16,53))+((Formula!K16)/(Formula!C16+Formula!E16+Formula!G16+Formula!I16+Formula!K16))*(INDEX(Properties!A$1:CB$87,Formula!J16,53))</f>
        <v>456.32777777777773</v>
      </c>
      <c r="EW16" s="39">
        <f>Formula!C16*(INDEX(Properties!A$1:CB$87,Formula!B16,53))+Formula!E16*(INDEX(Properties!A$1:CB$87,Formula!D16,53))+Formula!G16*(INDEX(Properties!A$1:CB$87,Formula!F16,53))+Formula!I16*(INDEX(Properties!A$1:CB$87,Formula!H16,53))+Formula!K16*(INDEX(Properties!A$1:CB$87,Formula!J16,53))</f>
        <v>4106.95</v>
      </c>
      <c r="EX16" s="39">
        <f>VARP(IF(INDEX(Properties!A$1:CB$87,Formula!B16,53)&lt;&gt;"",INDEX(Properties!A$1:CB$87,Formula!B16,53)),IF(INDEX(Properties!A$1:CB$87,Formula!D16,53)&lt;&gt;"",INDEX(Properties!A$1:CB$87,Formula!D16,53)),IF(INDEX(Properties!A$1:CB$87,Formula!F16,53)&lt;&gt;"",INDEX(Properties!A$1:CB$87,Formula!F16,53)),IF(INDEX(Properties!A$1:CB$87,Formula!H16,53)&lt;&gt;"",INDEX(Properties!A$1:CB$87,Formula!H16,53)),IF(INDEX(Properties!A$1:CB$87,Formula!J16,53)&lt;&gt;"",INDEX(Properties!A$1:CB$87,Formula!J16,53)))</f>
        <v>207938.68440000003</v>
      </c>
      <c r="EY16" s="39">
        <f>MAX(INDEX(Properties!A$1:CB$87,Formula!B16,53),INDEX(Properties!A$1:CB$87,Formula!D16,53),INDEX(Properties!A$1:CB$87,Formula!F16,53),INDEX(Properties!A$1:CB$87,Formula!H16,53),INDEX(Properties!A$1:CB$87,Formula!J16,53))</f>
        <v>1071.1500000000001</v>
      </c>
      <c r="EZ16" s="39">
        <f>MIN(IF(INDEX(Properties!A$1:CB$87,Formula!B16,53)=0,10^6,INDEX(Properties!A$1:CB$87,Formula!B16,53)),IF(INDEX(Properties!A$1:CB$87,Formula!D16,53)=0,10^6,INDEX(Properties!A$1:CB$87,Formula!D16,53)),IF(INDEX(Properties!A$1:CB$87,Formula!F16,53)=0,10^6,INDEX(Properties!A$1:CB$87,Formula!F16,53)),IF(INDEX(Properties!A$1:CB$87,Formula!H16,53)=0,10^6,INDEX(Properties!A$1:CB$87,Formula!H16,53)),IF(INDEX(Properties!A$1:CB$87,Formula!J16,53)=0,10^6,INDEX(Properties!A$1:CB$87,Formula!J16,53)))</f>
        <v>54.749999999999972</v>
      </c>
      <c r="FA16" s="39">
        <f t="shared" si="25"/>
        <v>1016.4000000000001</v>
      </c>
      <c r="FB16" s="54">
        <f>((Formula!C16)/(Formula!C16+Formula!E16+Formula!G16+Formula!I16+Formula!K16))*(INDEX(Properties!A$1:CB$87,Formula!B16,54))+((Formula!E16)/(Formula!C16+Formula!E16+Formula!G16+Formula!I16+Formula!K16))*(INDEX(Properties!A$1:CB$87,Formula!D16,54))+((Formula!G16)/(Formula!C16+Formula!E16+Formula!G16+Formula!I16+Formula!K16))*(INDEX(Properties!A$1:CB$87,Formula!F16,54))+((Formula!I16)/(Formula!C16+Formula!E16+Formula!G16+Formula!I16+Formula!K16))*(INDEX(Properties!A$1:CB$87,Formula!H16,54))+((Formula!K16)/(Formula!C16+Formula!E16+Formula!G16+Formula!I16+Formula!K16))*(INDEX(Properties!A$1:CB$87,Formula!J16,54))</f>
        <v>1178.1499999999999</v>
      </c>
      <c r="FC16" s="54">
        <f>Formula!C16*(INDEX(Properties!A$1:CB$87,Formula!B16,54))+Formula!E16*(INDEX(Properties!A$1:CB$87,Formula!D16,54))+Formula!G16*(INDEX(Properties!A$1:CB$87,Formula!F16,54))+Formula!I16*(INDEX(Properties!A$1:CB$87,Formula!H16,54))+Formula!K16*(INDEX(Properties!A$1:CB$87,Formula!J16,54))</f>
        <v>10603.35</v>
      </c>
      <c r="FD16" s="54">
        <f>VARP(IF(INDEX(Properties!A$1:CB$87,Formula!B16,54)&lt;&gt;"",INDEX(Properties!A$1:CB$87,Formula!B16,54)),IF(INDEX(Properties!A$1:CB$87,Formula!D16,54)&lt;&gt;"",INDEX(Properties!A$1:CB$87,Formula!D16,54)),IF(INDEX(Properties!A$1:CB$87,Formula!F16,54)&lt;&gt;"",INDEX(Properties!A$1:CB$87,Formula!F16,54)),IF(INDEX(Properties!A$1:CB$87,Formula!H16,54)&lt;&gt;"",INDEX(Properties!A$1:CB$87,Formula!H16,54)),IF(INDEX(Properties!A$1:CB$87,Formula!J16,54)&lt;&gt;"",INDEX(Properties!A$1:CB$87,Formula!J16,54)))</f>
        <v>1701764.7875999999</v>
      </c>
      <c r="FE16" s="54">
        <f>MAX(INDEX(Properties!A$1:CB$87,Formula!B16,54),INDEX(Properties!A$1:CB$87,Formula!D16,54),INDEX(Properties!A$1:CB$87,Formula!F16,54),INDEX(Properties!A$1:CB$87,Formula!H16,54),INDEX(Properties!A$1:CB$87,Formula!J16,54))</f>
        <v>3530.15</v>
      </c>
      <c r="FF16" s="54">
        <f>MIN(IF(INDEX(Properties!A$1:CB$87,Formula!B16,54)=0,10^6,INDEX(Properties!A$1:CB$87,Formula!B16,54)),IF(INDEX(Properties!A$1:CB$87,Formula!D16,54)=0,10^6,INDEX(Properties!A$1:CB$87,Formula!D16,54)),IF(INDEX(Properties!A$1:CB$87,Formula!F16,54)=0,10^6,INDEX(Properties!A$1:CB$87,Formula!F16,54)),IF(INDEX(Properties!A$1:CB$87,Formula!H16,54)=0,10^6,INDEX(Properties!A$1:CB$87,Formula!H16,54)),IF(INDEX(Properties!A$1:CB$87,Formula!J16,54)=0,10^6,INDEX(Properties!A$1:CB$87,Formula!J16,54)))</f>
        <v>90.149999999999977</v>
      </c>
      <c r="FG16" s="54">
        <f t="shared" si="26"/>
        <v>3440</v>
      </c>
      <c r="FH16" s="69">
        <f>((Formula!C16)/(Formula!C16+Formula!E16+Formula!G16+Formula!I16+Formula!K16))*(INDEX(Properties!A$1:CB$87,Formula!B16,55))+((Formula!E16)/(Formula!C16+Formula!E16+Formula!G16+Formula!I16+Formula!K16))*(INDEX(Properties!A$1:CB$87,Formula!D16,55))+((Formula!G16)/(Formula!C16+Formula!E16+Formula!G16+Formula!I16+Formula!K16))*(INDEX(Properties!A$1:CB$87,Formula!F16,55))+((Formula!I16)/(Formula!C16+Formula!E16+Formula!G16+Formula!I16+Formula!K16))*(INDEX(Properties!A$1:CB$87,Formula!H16,55))+((Formula!K16)/(Formula!C16+Formula!E16+Formula!G16+Formula!I16+Formula!K16))*(INDEX(Properties!A$1:CB$87,Formula!J16,55))</f>
        <v>2.6619055555555553</v>
      </c>
      <c r="FI16" s="69">
        <f>Formula!C16*(INDEX(Properties!A$1:CB$87,Formula!B16,55))+Formula!E16*(INDEX(Properties!A$1:CB$87,Formula!D16,54))+Formula!G16*(INDEX(Properties!A$1:CB$87,Formula!F16,55))+Formula!I16*(INDEX(Properties!A$1:CB$87,Formula!H16,55))+Formula!K16*(INDEX(Properties!A$1:CB$87,Formula!J16,55))</f>
        <v>7070.9371500000007</v>
      </c>
      <c r="FJ16" s="69">
        <f>VARP(IF(INDEX(Properties!A$1:CB$87,Formula!B16,55)&lt;&gt;"",INDEX(Properties!A$1:CB$87,Formula!B16,55)),IF(INDEX(Properties!A$1:CB$87,Formula!D16,55)&lt;&gt;"",INDEX(Properties!A$1:CB$87,Formula!D16,55)),IF(INDEX(Properties!A$1:CB$87,Formula!F16,55)&lt;&gt;"",INDEX(Properties!A$1:CB$87,Formula!F16,55)),IF(INDEX(Properties!A$1:CB$87,Formula!H16,55)&lt;&gt;"",INDEX(Properties!A$1:CB$87,Formula!H16,55)),IF(INDEX(Properties!A$1:CB$87,Formula!J16,55)&lt;&gt;"",INDEX(Properties!A$1:CB$87,Formula!J16,55)))</f>
        <v>9.5287583511840008</v>
      </c>
      <c r="FK16" s="69">
        <f>MAX(INDEX(Properties!A$1:CB$87,Formula!B16,55),INDEX(Properties!A$1:CB$87,Formula!D16,55),INDEX(Properties!A$1:CB$87,Formula!F16,55),INDEX(Properties!A$1:CB$87,Formula!H16,55),INDEX(Properties!A$1:CB$87,Formula!J16,55))</f>
        <v>7.13</v>
      </c>
      <c r="FL16" s="69">
        <f>MIN(IF(INDEX(Properties!A$1:CB$87,Formula!B16,55)=0,10^6,INDEX(Properties!A$1:CB$87,Formula!B16,55)),IF(INDEX(Properties!A$1:CB$87,Formula!D16,55)=0,10^6,INDEX(Properties!A$1:CB$87,Formula!D16,55)),IF(INDEX(Properties!A$1:CB$87,Formula!F16,55)=0,10^6,INDEX(Properties!A$1:CB$87,Formula!F16,55)),IF(INDEX(Properties!A$1:CB$87,Formula!H16,55)=0,10^6,INDEX(Properties!A$1:CB$87,Formula!H16,55)),IF(INDEX(Properties!A$1:CB$87,Formula!J16,55)=0,10^6,INDEX(Properties!A$1:CB$87,Formula!J16,55)))</f>
        <v>1.4300000000000001E-3</v>
      </c>
      <c r="FM16" s="69">
        <f t="shared" si="27"/>
        <v>7.1285699999999999</v>
      </c>
      <c r="FN16" s="42">
        <f>((Formula!C16)/(Formula!C16+Formula!E16+Formula!G16+Formula!I16+Formula!K16))*(INDEX(Properties!A$1:CB$87,Formula!B16,56))+((Formula!E16)/(Formula!C16+Formula!E16+Formula!G16+Formula!I16+Formula!K16))*(INDEX(Properties!A$1:CB$87,Formula!D16,56))+((Formula!G16)/(Formula!C16+Formula!E16+Formula!G16+Formula!I16+Formula!K16))*(INDEX(Properties!A$1:CB$87,Formula!F16,56))+((Formula!I16)/(Formula!C16+Formula!E16+Formula!G16+Formula!I16+Formula!K16))*(INDEX(Properties!A$1:CB$87,Formula!H16,56))+((Formula!K16)/(Formula!C16+Formula!E16+Formula!G16+Formula!I16+Formula!K16))*(INDEX(Properties!A$1:CB$87,Formula!J16,56))</f>
        <v>0.6193333333333334</v>
      </c>
      <c r="FO16" s="42">
        <f>Formula!C16*(INDEX(Properties!A$1:CB$87,Formula!B16,56))+Formula!E16*(INDEX(Properties!A$1:CB$87,Formula!D16,56))+Formula!G16*(INDEX(Properties!A$1:CB$87,Formula!F16,56))+Formula!I16*(INDEX(Properties!A$1:CB$87,Formula!H16,56))+Formula!K16*(INDEX(Properties!A$1:CB$87,Formula!J16,56))</f>
        <v>5.5740000000000007</v>
      </c>
      <c r="FP16" s="42">
        <f>VARP(IF(INDEX(Properties!A$1:CB$87,Formula!B16,56)&lt;&gt;"",INDEX(Properties!A$1:CB$87,Formula!B16,56)),IF(INDEX(Properties!A$1:CB$87,Formula!D16,56)&lt;&gt;"",INDEX(Properties!A$1:CB$87,Formula!D16,56)),IF(INDEX(Properties!A$1:CB$87,Formula!F16,56)&lt;&gt;"",INDEX(Properties!A$1:CB$87,Formula!F16,56)),IF(INDEX(Properties!A$1:CB$87,Formula!H16,56)&lt;&gt;"",INDEX(Properties!A$1:CB$87,Formula!H16,56)),IF(INDEX(Properties!A$1:CB$87,Formula!J16,56)&lt;&gt;"",INDEX(Properties!A$1:CB$87,Formula!J16,56)))</f>
        <v>9.9098560000000016E-2</v>
      </c>
      <c r="FQ16" s="42">
        <f>MAX(INDEX(Properties!A$1:CB$87,Formula!B16,56),INDEX(Properties!A$1:CB$87,Formula!D16,56),INDEX(Properties!A$1:CB$87,Formula!F16,56),INDEX(Properties!A$1:CB$87,Formula!H16,56),INDEX(Properties!A$1:CB$87,Formula!J16,56))</f>
        <v>0.92</v>
      </c>
      <c r="FR16" s="42">
        <f>MIN(IF(INDEX(Properties!A$1:CB$87,Formula!B16,56)=0,10^6,INDEX(Properties!A$1:CB$87,Formula!B16,56)),IF(INDEX(Properties!A$1:CB$87,Formula!D16,56)=0,10^6,INDEX(Properties!A$1:CB$87,Formula!D16,56)),IF(INDEX(Properties!A$1:CB$87,Formula!F16,56)=0,10^6,INDEX(Properties!A$1:CB$87,Formula!F16,56)),IF(INDEX(Properties!A$1:CB$87,Formula!H16,56)=0,10^6,INDEX(Properties!A$1:CB$87,Formula!H16,56)),IF(INDEX(Properties!A$1:CB$87,Formula!J16,56)=0,10^6,INDEX(Properties!A$1:CB$87,Formula!J16,56)))</f>
        <v>0.19</v>
      </c>
      <c r="FS16" s="42">
        <f t="shared" si="28"/>
        <v>0.73</v>
      </c>
      <c r="FT16" s="60">
        <f>((Formula!C16)/(Formula!C16+Formula!E16+Formula!G16+Formula!I16+Formula!K16))*(INDEX(Properties!A$1:CB$87,Formula!B16,57))+((Formula!E16)/(Formula!C16+Formula!E16+Formula!G16+Formula!I16+Formula!K16))*(INDEX(Properties!A$1:CB$87,Formula!D16,57))+((Formula!G16)/(Formula!C16+Formula!E16+Formula!G16+Formula!I16+Formula!K16))*(INDEX(Properties!A$1:CB$87,Formula!F16,57))+((Formula!I16)/(Formula!C16+Formula!E16+Formula!G16+Formula!I16+Formula!K16))*(INDEX(Properties!A$1:CB$87,Formula!H16,57))+((Formula!K16)/(Formula!C16+Formula!E16+Formula!G16+Formula!I16+Formula!K16))*(INDEX(Properties!A$1:CB$87,Formula!J16,57))</f>
        <v>3.0116611111111107</v>
      </c>
      <c r="FU16" s="60">
        <f>Formula!C16*(INDEX(Properties!A$1:CB$87,Formula!B16,57))+Formula!E16*(INDEX(Properties!A$1:CB$87,Formula!D16,57))+Formula!G16*(INDEX(Properties!A$1:CB$87,Formula!F16,57))+Formula!I16*(INDEX(Properties!A$1:CB$87,Formula!H16,57))+Formula!K16*(INDEX(Properties!A$1:CB$87,Formula!J16,57))</f>
        <v>27.104950000000002</v>
      </c>
      <c r="FV16" s="60">
        <f>VARP(IF(INDEX(Properties!A$1:CB$87,Formula!B16,57)&lt;&gt;"",INDEX(Properties!A$1:CB$87,Formula!B16,57)),IF(INDEX(Properties!A$1:CB$87,Formula!D16,57)&lt;&gt;"",INDEX(Properties!A$1:CB$87,Formula!D16,57)),IF(INDEX(Properties!A$1:CB$87,Formula!F16,57)&lt;&gt;"",INDEX(Properties!A$1:CB$87,Formula!F16,57)),IF(INDEX(Properties!A$1:CB$87,Formula!H16,57)&lt;&gt;"",INDEX(Properties!A$1:CB$87,Formula!H16,57)),IF(INDEX(Properties!A$1:CB$87,Formula!J16,57)&lt;&gt;"",INDEX(Properties!A$1:CB$87,Formula!J16,57)))</f>
        <v>11.476945818895997</v>
      </c>
      <c r="FW16" s="60">
        <f>MAX(INDEX(Properties!A$1:CB$87,Formula!B16,57),INDEX(Properties!A$1:CB$87,Formula!D16,57),INDEX(Properties!A$1:CB$87,Formula!F16,57),INDEX(Properties!A$1:CB$87,Formula!H16,57),INDEX(Properties!A$1:CB$87,Formula!J16,57))</f>
        <v>7.75</v>
      </c>
      <c r="FX16" s="60">
        <f>MIN(IF(INDEX(Properties!A$1:CB$87,Formula!B16,57)=0,10^6,INDEX(Properties!A$1:CB$87,Formula!B16,57)),IF(INDEX(Properties!A$1:CB$87,Formula!D16,57)=0,10^6,INDEX(Properties!A$1:CB$87,Formula!D16,57)),IF(INDEX(Properties!A$1:CB$87,Formula!F16,57)=0,10^6,INDEX(Properties!A$1:CB$87,Formula!F16,57)),IF(INDEX(Properties!A$1:CB$87,Formula!H16,57)=0,10^6,INDEX(Properties!A$1:CB$87,Formula!H16,57)),IF(INDEX(Properties!A$1:CB$87,Formula!J16,57)=0,10^6,INDEX(Properties!A$1:CB$87,Formula!J16,57)))</f>
        <v>0.22259000000000001</v>
      </c>
      <c r="FY16" s="60">
        <f t="shared" si="29"/>
        <v>7.5274099999999997</v>
      </c>
      <c r="FZ16" s="72">
        <f>((Formula!C16)/(Formula!C16+Formula!E16+Formula!G16+Formula!I16+Formula!K16))*(INDEX(Properties!A$1:CB$87,Formula!B16,60))+((Formula!E16)/(Formula!C16+Formula!E16+Formula!G16+Formula!I16+Formula!K16))*(INDEX(Properties!A$1:CB$87,Formula!D16,60))+((Formula!G16)/(Formula!C16+Formula!E16+Formula!G16+Formula!I16+Formula!K16))*(INDEX(Properties!A$1:CB$87,Formula!F16,60))+((Formula!I16)/(Formula!C16+Formula!E16+Formula!G16+Formula!I16+Formula!K16))*(INDEX(Properties!A$1:CB$87,Formula!H16,60))+((Formula!K16)/(Formula!C16+Formula!E16+Formula!G16+Formula!I16+Formula!K16))*(INDEX(Properties!A$1:CB$87,Formula!J16,60))</f>
        <v>17.481522222222221</v>
      </c>
      <c r="GA16" s="72">
        <f>Formula!C16*(INDEX(Properties!A$1:CB$87,Formula!B16,60))+Formula!E16*(INDEX(Properties!A$1:CB$87,Formula!D16,60))+Formula!G16*(INDEX(Properties!A$1:CB$87,Formula!F16,60))+Formula!I16*(INDEX(Properties!A$1:CB$87,Formula!H16,60))+Formula!K16*(INDEX(Properties!A$1:CB$87,Formula!J16,60))</f>
        <v>157.33369999999999</v>
      </c>
      <c r="GB16" s="72">
        <f>VARP(IF(INDEX(Properties!A$1:CB$87,Formula!B16,60)&lt;&gt;"",INDEX(Properties!A$1:CB$87,Formula!B16,60)),IF(INDEX(Properties!A$1:CB$87,Formula!D16,60)&lt;&gt;"",INDEX(Properties!A$1:CB$87,Formula!D16,60)),IF(INDEX(Properties!A$1:CB$87,Formula!F16,60)&lt;&gt;"",INDEX(Properties!A$1:CB$87,Formula!F16,60)),IF(INDEX(Properties!A$1:CB$87,Formula!H16,60)&lt;&gt;"",INDEX(Properties!A$1:CB$87,Formula!H16,60)),IF(INDEX(Properties!A$1:CB$87,Formula!J16,60)&lt;&gt;"",INDEX(Properties!A$1:CB$87,Formula!J16,60)))</f>
        <v>1934.2866190444161</v>
      </c>
      <c r="GC16" s="72">
        <f>MAX(INDEX(Properties!A$1:CB$87,Formula!B16,60),INDEX(Properties!A$1:CB$87,Formula!D16,60),INDEX(Properties!A$1:CB$87,Formula!F16,60),INDEX(Properties!A$1:CB$87,Formula!H16,60),INDEX(Properties!A$1:CB$87,Formula!J16,60))</f>
        <v>116</v>
      </c>
      <c r="GD16" s="72">
        <f>MIN(IF(INDEX(Properties!A$1:CB$87,Formula!B16,60)=0,10^6,INDEX(Properties!A$1:CB$87,Formula!B16,60)),IF(INDEX(Properties!A$1:CB$87,Formula!D16,60)=0,10^6,INDEX(Properties!A$1:CB$87,Formula!D16,60)),IF(INDEX(Properties!A$1:CB$87,Formula!F16,60)=0,10^6,INDEX(Properties!A$1:CB$87,Formula!F16,60)),IF(INDEX(Properties!A$1:CB$87,Formula!H16,60)=0,10^6,INDEX(Properties!A$1:CB$87,Formula!H16,60)),IF(INDEX(Properties!A$1:CB$87,Formula!J16,60)=0,10^6,INDEX(Properties!A$1:CB$87,Formula!J16,60)))</f>
        <v>2.674E-2</v>
      </c>
      <c r="GE16" s="72">
        <f t="shared" si="30"/>
        <v>115.97326</v>
      </c>
      <c r="GF16" s="51">
        <f>((Formula!C16)/(Formula!C16+Formula!E16+Formula!G16+Formula!I16+Formula!K16))*(INDEX(Properties!A$1:CB$87,Formula!B16,62))+((Formula!E16)/(Formula!C16+Formula!E16+Formula!G16+Formula!I16+Formula!K16))*(INDEX(Properties!A$1:CB$87,Formula!D16,62))+((Formula!G16)/(Formula!C16+Formula!E16+Formula!G16+Formula!I16+Formula!K16))*(INDEX(Properties!A$1:CB$87,Formula!F16,62))+((Formula!I16)/(Formula!C16+Formula!E16+Formula!G16+Formula!I16+Formula!K16))*(INDEX(Properties!A$1:CB$87,Formula!H16,62))+((Formula!K16)/(Formula!C16+Formula!E16+Formula!G16+Formula!I16+Formula!K16))*(INDEX(Properties!A$1:CB$87,Formula!J16,62))</f>
        <v>2.7766666666666664</v>
      </c>
      <c r="GG16" s="51">
        <f>Formula!C16*(INDEX(Properties!A$1:CB$87,Formula!B16,62))+Formula!E16*(INDEX(Properties!A$1:CB$87,Formula!D16,62))+Formula!G16*(INDEX(Properties!A$1:CB$87,Formula!F16,62))+Formula!I16*(INDEX(Properties!A$1:CB$87,Formula!H16,62))+Formula!K16*(INDEX(Properties!A$1:CB$87,Formula!J16,62))</f>
        <v>24.990000000000002</v>
      </c>
      <c r="GH16" s="51">
        <f>VARP(IF(INDEX(Properties!A$1:CB$87,Formula!B16,62)&lt;&gt;"",INDEX(Properties!A$1:CB$87,Formula!B16,62)),IF(INDEX(Properties!A$1:CB$87,Formula!D16,62)&lt;&gt;"",INDEX(Properties!A$1:CB$87,Formula!D16,62)),IF(INDEX(Properties!A$1:CB$87,Formula!F16,62)&lt;&gt;"",INDEX(Properties!A$1:CB$87,Formula!F16,62)),IF(INDEX(Properties!A$1:CB$87,Formula!H16,62)&lt;&gt;"",INDEX(Properties!A$1:CB$87,Formula!H16,62)),IF(INDEX(Properties!A$1:CB$87,Formula!J16,62)&lt;&gt;"",INDEX(Properties!A$1:CB$87,Formula!J16,62)))</f>
        <v>2.0384159999999993</v>
      </c>
      <c r="GI16" s="51">
        <f>MAX(INDEX(Properties!A$1:CB$87,Formula!B16,62),INDEX(Properties!A$1:CB$87,Formula!D16,62),INDEX(Properties!A$1:CB$87,Formula!F16,62),INDEX(Properties!A$1:CB$87,Formula!H16,62),INDEX(Properties!A$1:CB$87,Formula!J16,62))</f>
        <v>4.32</v>
      </c>
      <c r="GJ16" s="51">
        <f>MIN(IF(INDEX(Properties!A$1:CB$87,Formula!B16,62)=0,10^6,INDEX(Properties!A$1:CB$87,Formula!B16,62)),IF(INDEX(Properties!A$1:CB$87,Formula!D16,62)=0,10^6,INDEX(Properties!A$1:CB$87,Formula!D16,62)),IF(INDEX(Properties!A$1:CB$87,Formula!F16,62)=0,10^6,INDEX(Properties!A$1:CB$87,Formula!F16,62)),IF(INDEX(Properties!A$1:CB$87,Formula!H16,62)=0,10^6,INDEX(Properties!A$1:CB$87,Formula!H16,62)),IF(INDEX(Properties!A$1:CB$87,Formula!J16,62)=0,10^6,INDEX(Properties!A$1:CB$87,Formula!J16,62)))</f>
        <v>1.35</v>
      </c>
      <c r="GK16" s="51">
        <f t="shared" si="31"/>
        <v>2.97</v>
      </c>
      <c r="GL16" s="51">
        <f>Formula!P16</f>
        <v>140</v>
      </c>
      <c r="GM16" s="57">
        <f>Formula!O16</f>
        <v>4</v>
      </c>
      <c r="GN16" s="51">
        <f>Formula!N16</f>
        <v>0.05</v>
      </c>
    </row>
    <row r="17" spans="1:196" s="5" customFormat="1" x14ac:dyDescent="0.3">
      <c r="A17" s="84" t="str">
        <f>Formula!A17</f>
        <v>ZnO</v>
      </c>
      <c r="B17" s="89">
        <f>((Formula!C17)/(Formula!C17+Formula!E17+Formula!G17+Formula!I17+Formula!K17))*(INDEX(Properties!A$1:CB$87,Formula!B17,3))+((Formula!E17)/(Formula!C17+Formula!E17+Formula!G17+Formula!I17+Formula!K17))*(INDEX(Properties!A$1:CB$87,Formula!D17,3))+((Formula!G17)/(Formula!C17+Formula!E17+Formula!G17+Formula!I17+Formula!K17))*(INDEX(Properties!A$1:CB$87,Formula!F17,3))+((Formula!I17)/(Formula!C17+Formula!E17+Formula!G17+Formula!I17+Formula!K17))*(INDEX(Properties!A$1:CB$87,Formula!H17,3))+((Formula!K17)/(Formula!C17+Formula!E17+Formula!G17+Formula!I17+Formula!K17))*(INDEX(Properties!A$1:CB$87,Formula!J17,3))</f>
        <v>48.919799999999995</v>
      </c>
      <c r="C17" s="85">
        <f>Formula!C17*(INDEX(Properties!A$1:CB$87,Formula!B17,3))+Formula!E17*(INDEX(Properties!A$1:CB$87,Formula!D17,3))+Formula!G17*(INDEX(Properties!A$1:CB$87,Formula!F17,3))+Formula!I17*(INDEX(Properties!A$1:CB$87,Formula!H17,3))+Formula!K17*(INDEX(Properties!A$1:CB$87,Formula!J17,3))</f>
        <v>146.7594</v>
      </c>
      <c r="D17" s="85">
        <f>VARP(IF(INDEX(Properties!A$1:CB$87,Formula!B17,3)&lt;&gt;"",INDEX(Properties!A$1:CB$87,Formula!B17,3)),IF(INDEX(Properties!A$1:CB$87,Formula!D17,3)&lt;&gt;"",INDEX(Properties!A$1:CB$87,Formula!D17,3)),IF(INDEX(Properties!A$1:CB$87,Formula!F17,3)&lt;&gt;"",INDEX(Properties!A$1:CB$87,Formula!F17,3)),IF(INDEX(Properties!A$1:CB$87,Formula!H17,3)&lt;&gt;"",INDEX(Properties!A$1:CB$87,Formula!H17,3)),IF(INDEX(Properties!A$1:CB$87,Formula!J17,3)&lt;&gt;"",INDEX(Properties!A$1:CB$87,Formula!J17,3)))</f>
        <v>641.2007702976</v>
      </c>
      <c r="E17" s="85">
        <f>MAX(INDEX(Properties!A$1:CB$87,Formula!B17,3),INDEX(Properties!A$1:CB$87,Formula!D17,3),INDEX(Properties!A$1:CB$87,Formula!F17,3),INDEX(Properties!A$1:CB$87,Formula!H17,3),INDEX(Properties!A$1:CB$87,Formula!J17,3))</f>
        <v>65.38</v>
      </c>
      <c r="F17" s="85">
        <f>MIN(IF(INDEX(Properties!A$1:CB$87,Formula!B17,3)=0,10^6,INDEX(Properties!A$1:CB$87,Formula!B17,3)),IF(INDEX(Properties!A$1:CB$87,Formula!D17,3)=0,10^6,INDEX(Properties!A$1:CB$87,Formula!D17,3)),IF(INDEX(Properties!A$1:CB$87,Formula!F17,3)=0,10^6,INDEX(Properties!A$1:CB$87,Formula!F17,3)),IF(INDEX(Properties!A$1:CB$87,Formula!H17,3)=0,10^6,INDEX(Properties!A$1:CB$87,Formula!H17,3)),IF(INDEX(Properties!A$1:CB$87,Formula!J17,3)=0,10^6,INDEX(Properties!A$1:CB$87,Formula!J17,3)))</f>
        <v>15.9994</v>
      </c>
      <c r="G17" s="85">
        <f t="shared" si="0"/>
        <v>49.380599999999994</v>
      </c>
      <c r="H17" s="87">
        <f>((Formula!C17)/(Formula!C17+Formula!E17+Formula!G17+Formula!I17+Formula!K17))*(INDEX(Properties!A$1:CB$87,Formula!B17,4))+((Formula!E17)/(Formula!C17+Formula!E17+Formula!G17+Formula!I17+Formula!K17))*(INDEX(Properties!A$1:CB$87,Formula!D17,4))+((Formula!G17)/(Formula!C17+Formula!E17+Formula!G17+Formula!I17+Formula!K17))*(INDEX(Properties!A$1:CB$87,Formula!F17,4))+((Formula!I17)/(Formula!C17+Formula!E17+Formula!G17+Formula!I17+Formula!K17))*(INDEX(Properties!A$1:CB$87,Formula!H17,4))+((Formula!K17)/(Formula!C17+Formula!E17+Formula!G17+Formula!I17+Formula!K17))*(INDEX(Properties!A$1:CB$87,Formula!J17,4))</f>
        <v>22.666666666666668</v>
      </c>
      <c r="I17" s="87">
        <f>Formula!C17*(INDEX(Properties!A$1:CB$87,Formula!B17,4))+Formula!E17*(INDEX(Properties!A$1:CB$87,Formula!D17,4))+Formula!G17*(INDEX(Properties!A$1:CB$87,Formula!F17,4))+Formula!I17*(INDEX(Properties!A$1:CB$87,Formula!H17,4))+Formula!K17*(INDEX(Properties!A$1:CB$87,Formula!J17,4))</f>
        <v>68</v>
      </c>
      <c r="J17" s="87">
        <f>VARP(IF(INDEX(Properties!A$1:CB$87,Formula!B17,4)&lt;&gt;"",INDEX(Properties!A$1:CB$87,Formula!B17,4)),IF(INDEX(Properties!A$1:CB$87,Formula!D17,4)&lt;&gt;"",INDEX(Properties!A$1:CB$87,Formula!D17,4)),IF(INDEX(Properties!A$1:CB$87,Formula!F17,4)&lt;&gt;"",INDEX(Properties!A$1:CB$87,Formula!F17,4)),IF(INDEX(Properties!A$1:CB$87,Formula!H17,4)&lt;&gt;"",INDEX(Properties!A$1:CB$87,Formula!H17,4)),IF(INDEX(Properties!A$1:CB$87,Formula!J17,4)&lt;&gt;"",INDEX(Properties!A$1:CB$87,Formula!J17,4)))</f>
        <v>135.04</v>
      </c>
      <c r="K17" s="87">
        <f>MAX(INDEX(Properties!A$1:CB$87,Formula!B17,4),INDEX(Properties!A$1:CB$87,Formula!D17,4),INDEX(Properties!A$1:CB$87,Formula!F17,4),INDEX(Properties!A$1:CB$87,Formula!H17,4),INDEX(Properties!A$1:CB$87,Formula!J17,4))</f>
        <v>30</v>
      </c>
      <c r="L17" s="87">
        <f>MIN(IF(INDEX(Properties!A$1:CB$87,Formula!B17,4)=0,10^6,INDEX(Properties!A$1:CB$87,Formula!B17,4)),IF(INDEX(Properties!A$1:CB$87,Formula!D17,4)=0,10^6,INDEX(Properties!A$1:CB$87,Formula!D17,4)),IF(INDEX(Properties!A$1:CB$87,Formula!F17,4)=0,10^6,INDEX(Properties!A$1:CB$87,Formula!F17,4)),IF(INDEX(Properties!A$1:CB$87,Formula!H17,4)=0,10^6,INDEX(Properties!A$1:CB$87,Formula!H17,4)),IF(INDEX(Properties!A$1:CB$87,Formula!J17,4)=0,10^6,INDEX(Properties!A$1:CB$87,Formula!J17,4)))</f>
        <v>8</v>
      </c>
      <c r="M17" s="87">
        <f t="shared" si="1"/>
        <v>22</v>
      </c>
      <c r="N17" s="89">
        <f>((Formula!C17)/(Formula!C17+Formula!E17+Formula!G17+Formula!I17+Formula!K17))*(INDEX(Properties!A$1:CB$87,Formula!B17,5))+((Formula!E17)/(Formula!C17+Formula!E17+Formula!G17+Formula!I17+Formula!K17))*(INDEX(Properties!A$1:CB$87,Formula!D17,5))+((Formula!G17)/(Formula!C17+Formula!E17+Formula!G17+Formula!I17+Formula!K17))*(INDEX(Properties!A$1:CB$87,Formula!F17,5))+((Formula!I17)/(Formula!C17+Formula!E17+Formula!G17+Formula!I17+Formula!K17))*(INDEX(Properties!A$1:CB$87,Formula!H17,5))+((Formula!K17)/(Formula!C17+Formula!E17+Formula!G17+Formula!I17+Formula!K17))*(INDEX(Properties!A$1:CB$87,Formula!J17,5))</f>
        <v>3.333333333333333</v>
      </c>
      <c r="O17" s="89">
        <f>Formula!C17*(INDEX(Properties!A$1:CB$87,Formula!B17,5))+Formula!E17*(INDEX(Properties!A$1:CB$87,Formula!D17,5))+Formula!G17*(INDEX(Properties!A$1:CB$87,Formula!F17,5))+Formula!I17*(INDEX(Properties!A$1:CB$87,Formula!H17,5))+Formula!K17*(INDEX(Properties!A$1:CB$87,Formula!J17,5))</f>
        <v>10</v>
      </c>
      <c r="P17" s="89">
        <f>VARP(IF(INDEX(Properties!A$1:CB$87,Formula!B17,5)&lt;&gt;"",INDEX(Properties!A$1:CB$87,Formula!B17,5)),IF(INDEX(Properties!A$1:CB$87,Formula!D17,5)&lt;&gt;"",INDEX(Properties!A$1:CB$87,Formula!D17,5)),IF(INDEX(Properties!A$1:CB$87,Formula!F17,5)&lt;&gt;"",INDEX(Properties!A$1:CB$87,Formula!F17,5)),IF(INDEX(Properties!A$1:CB$87,Formula!H17,5)&lt;&gt;"",INDEX(Properties!A$1:CB$87,Formula!H17,5)),IF(INDEX(Properties!A$1:CB$87,Formula!J17,5)&lt;&gt;"",INDEX(Properties!A$1:CB$87,Formula!J17,5)))</f>
        <v>2.56</v>
      </c>
      <c r="Q17" s="89">
        <f>MAX(INDEX(Properties!A$1:CB$87,Formula!B17,5),INDEX(Properties!A$1:CB$87,Formula!D17,5),INDEX(Properties!A$1:CB$87,Formula!F17,5),INDEX(Properties!A$1:CB$87,Formula!H17,5),INDEX(Properties!A$1:CB$87,Formula!J17,5))</f>
        <v>4</v>
      </c>
      <c r="R17" s="89">
        <f>MIN(IF(INDEX(Properties!A$1:CB$87,Formula!B17,5)=0,10^6,INDEX(Properties!A$1:CB$87,Formula!B17,5)),IF(INDEX(Properties!A$1:CB$87,Formula!D17,5)=0,10^6,INDEX(Properties!A$1:CB$87,Formula!D17,5)),IF(INDEX(Properties!A$1:CB$87,Formula!F17,5)=0,10^6,INDEX(Properties!A$1:CB$87,Formula!F17,5)),IF(INDEX(Properties!A$1:CB$87,Formula!H17,5)=0,10^6,INDEX(Properties!A$1:CB$87,Formula!H17,5)),IF(INDEX(Properties!A$1:CB$87,Formula!J17,5)=0,10^6,INDEX(Properties!A$1:CB$87,Formula!J17,5)))</f>
        <v>2</v>
      </c>
      <c r="S17" s="89">
        <f t="shared" si="2"/>
        <v>2</v>
      </c>
      <c r="T17" s="60">
        <f>((Formula!C17)/(Formula!C17+Formula!E17+Formula!G17+Formula!I17+Formula!K17))*(INDEX(Properties!A$1:CB$87,Formula!B17,6))+((Formula!E17)/(Formula!C17+Formula!E17+Formula!G17+Formula!I17+Formula!K17))*(INDEX(Properties!A$1:CB$87,Formula!D17,6))+((Formula!G17)/(Formula!C17+Formula!E17+Formula!G17+Formula!I17+Formula!K17))*(INDEX(Properties!A$1:CB$87,Formula!F17,6))+((Formula!I17)/(Formula!C17+Formula!E17+Formula!G17+Formula!I17+Formula!K17))*(INDEX(Properties!A$1:CB$87,Formula!H17,6))+((Formula!K17)/(Formula!C17+Formula!E17+Formula!G17+Formula!I17+Formula!K17))*(INDEX(Properties!A$1:CB$87,Formula!J17,6))</f>
        <v>13.333333333333332</v>
      </c>
      <c r="U17" s="60">
        <f>Formula!C17*(INDEX(Properties!A$1:CB$87,Formula!B17,6))+Formula!E17*(INDEX(Properties!A$1:CB$87,Formula!D17,6))+Formula!G17*(INDEX(Properties!A$1:CB$87,Formula!F17,6))+Formula!I17*(INDEX(Properties!A$1:CB$87,Formula!H17,6))+Formula!K17*(INDEX(Properties!A$1:CB$87,Formula!J17,6))</f>
        <v>40</v>
      </c>
      <c r="V17" s="89">
        <f>VARP(IF(INDEX(Properties!A$1:CB$87,Formula!B17,6)&lt;&gt;"",INDEX(Properties!A$1:CB$87,Formula!B17,6)),IF(INDEX(Properties!A$1:CB$87,Formula!D17,6)&lt;&gt;"",INDEX(Properties!A$1:CB$87,Formula!D17,6)),IF(INDEX(Properties!A$1:CB$87,Formula!F17,6)&lt;&gt;"",INDEX(Properties!A$1:CB$87,Formula!F17,6)),IF(INDEX(Properties!A$1:CB$87,Formula!H17,6)&lt;&gt;"",INDEX(Properties!A$1:CB$87,Formula!H17,6)),IF(INDEX(Properties!A$1:CB$87,Formula!J17,6)&lt;&gt;"",INDEX(Properties!A$1:CB$87,Formula!J17,6)))</f>
        <v>48.64</v>
      </c>
      <c r="W17" s="60">
        <f>MAX(INDEX(Properties!A$1:CB$87,Formula!B17,6),INDEX(Properties!A$1:CB$87,Formula!D17,6),INDEX(Properties!A$1:CB$87,Formula!F17,6),INDEX(Properties!A$1:CB$87,Formula!H17,4),INDEX(Properties!A$1:CB$87,Formula!J17,6))</f>
        <v>16</v>
      </c>
      <c r="X17" s="60">
        <f>MIN(IF(INDEX(Properties!A$1:CB$87,Formula!B17,6)=0,10^6,INDEX(Properties!A$1:CB$87,Formula!B17,6)),IF(INDEX(Properties!A$1:CB$87,Formula!D17,6)=0,10^6,INDEX(Properties!A$1:CB$87,Formula!D17,6)),IF(INDEX(Properties!A$1:CB$87,Formula!F17,6)=0,10^6,INDEX(Properties!A$1:CB$87,Formula!F17,6)),IF(INDEX(Properties!A$1:CB$87,Formula!H17,6)=0,10^6,INDEX(Properties!A$1:CB$87,Formula!H17,6)),IF(INDEX(Properties!A$1:CB$87,Formula!J17,6)=0,10^6,INDEX(Properties!A$1:CB$87,Formula!J17,6)))</f>
        <v>12</v>
      </c>
      <c r="Y17" s="60">
        <f t="shared" si="3"/>
        <v>4</v>
      </c>
      <c r="Z17" s="72">
        <f>((Formula!C17)/(Formula!C17+Formula!E17+Formula!G17+Formula!I17+Formula!K17))*(INDEX(Properties!A$1:CB$87,Formula!B17,9))+((Formula!E17)/(Formula!C17+Formula!E17+Formula!G17+Formula!I17+Formula!K17))*(INDEX(Properties!A$1:CB$87,Formula!D17,9))+((Formula!G17)/(Formula!C17+Formula!E17+Formula!G17+Formula!I17+Formula!K17))*(INDEX(Properties!A$1:CB$87,Formula!F17,9))+((Formula!I17)/(Formula!C17+Formula!E17+Formula!G17+Formula!I17+Formula!K17))*(INDEX(Properties!A$1:CB$87,Formula!H17,9))+((Formula!K17)/(Formula!C17+Formula!E17+Formula!G17+Formula!I17+Formula!K17))*(INDEX(Properties!A$1:CB$87,Formula!J17,9))</f>
        <v>75</v>
      </c>
      <c r="AA17" s="72">
        <f>Formula!C17*(INDEX(Properties!A$1:CB$87,Formula!B17,9))+Formula!E17*(INDEX(Properties!A$1:CB$87,Formula!D17,9))+Formula!G17*(INDEX(Properties!A$1:CB$87,Formula!F17,9))+Formula!I17*(INDEX(Properties!A$1:CB$87,Formula!H17,9))+Formula!K17*(INDEX(Properties!A$1:CB$87,Formula!J17,9))</f>
        <v>225</v>
      </c>
      <c r="AB17" s="72">
        <f>VARP(IF(INDEX(Properties!A$1:CB$87,Formula!B17,9)&lt;&gt;"",INDEX(Properties!A$1:CB$87,Formula!B17,9)),IF(INDEX(Properties!A$1:CB$87,Formula!D17,9)&lt;&gt;"",INDEX(Properties!A$1:CB$87,Formula!D17,9)),IF(INDEX(Properties!A$1:CB$87,Formula!F17,9)&lt;&gt;"",INDEX(Properties!A$1:CB$87,Formula!F17,9)),IF(INDEX(Properties!A$1:CB$87,Formula!H17,9)&lt;&gt;"",INDEX(Properties!A$1:CB$87,Formula!H17,9)),IF(INDEX(Properties!A$1:CB$87,Formula!J17,9)&lt;&gt;"",INDEX(Properties!A$1:CB$87,Formula!J17,9)))</f>
        <v>1492.56</v>
      </c>
      <c r="AC17" s="72">
        <f>MAX(INDEX(Properties!A$1:CB$87,Formula!B17,9),INDEX(Properties!A$1:CB$87,Formula!D17,9),INDEX(Properties!A$1:CB$87,Formula!F17,9),INDEX(Properties!A$1:CB$87,Formula!H17,9),INDEX(Properties!A$1:CB$87,Formula!J17,9))</f>
        <v>87</v>
      </c>
      <c r="AD17" s="72">
        <f>MIN(IF(INDEX(Properties!A$1:CB$87,Formula!B17,9)=0,10^6,INDEX(Properties!A$1:CB$87,Formula!B17,9)),IF(INDEX(Properties!A$1:CB$87,Formula!D17,9)=0,10^6,INDEX(Properties!A$1:CB$87,Formula!D17,9)),IF(INDEX(Properties!A$1:CB$87,Formula!F17,9)=0,10^6,INDEX(Properties!A$1:CB$87,Formula!F17,9)),IF(INDEX(Properties!A$1:CB$87,Formula!H17,9)=0,10^6,INDEX(Properties!A$1:CB$87,Formula!H17,9)),IF(INDEX(Properties!A$1:CB$87,Formula!J17,9)=0,10^6,INDEX(Properties!A$1:CB$87,Formula!J17,9)))</f>
        <v>69</v>
      </c>
      <c r="AE17" s="72">
        <f t="shared" si="4"/>
        <v>18</v>
      </c>
      <c r="AF17" s="51">
        <f>((Formula!C17)/(Formula!C17+Formula!E17+Formula!G17+Formula!I17+Formula!K17))*(INDEX(Properties!A$1:CB$87,Formula!B17,10))+((Formula!E17)/(Formula!C17+Formula!E17+Formula!G17+Formula!I17+Formula!K17))*(INDEX(Properties!A$1:CB$87,Formula!D17,10))+((Formula!G17)/(Formula!C17+Formula!E17+Formula!G17+Formula!I17+Formula!K17))*(INDEX(Properties!A$1:CB$87,Formula!F17,10))+((Formula!I17)/(Formula!C17+Formula!E17+Formula!G17+Formula!I17+Formula!K17))*(INDEX(Properties!A$1:CB$87,Formula!H17,10))+((Formula!K17)/(Formula!C17+Formula!E17+Formula!G17+Formula!I17+Formula!K17))*(INDEX(Properties!A$1:CB$87,Formula!J17,10))</f>
        <v>5</v>
      </c>
      <c r="AG17" s="51">
        <f>Formula!C17*(INDEX(Properties!A$1:CB$87,Formula!B17,10))+Formula!E17*(INDEX(Properties!A$1:CB$87,Formula!D17,10))+Formula!G17*(INDEX(Properties!A$1:CB$87,Formula!F17,10))+Formula!I17*(INDEX(Properties!A$1:CB$87,Formula!H17,10))+Formula!K17*(INDEX(Properties!A$1:CB$87,Formula!J17,10))</f>
        <v>15</v>
      </c>
      <c r="AH17" s="51">
        <f>VARP(IF(INDEX(Properties!A$1:CB$87,Formula!B17,10)&lt;&gt;"",INDEX(Properties!A$1:CB$87,Formula!B17,10)),IF(INDEX(Properties!A$1:CB$87,Formula!D17,10)&lt;&gt;"",INDEX(Properties!A$1:CB$87,Formula!D17,10)),IF(INDEX(Properties!A$1:CB$87,Formula!F17,10)&lt;&gt;"",INDEX(Properties!A$1:CB$87,Formula!F17,10)),IF(INDEX(Properties!A$1:CB$87,Formula!H17,10)&lt;&gt;"",INDEX(Properties!A$1:CB$87,Formula!H17,10)),IF(INDEX(Properties!A$1:CB$87,Formula!J17,10)&lt;&gt;"",INDEX(Properties!A$1:CB$87,Formula!J17,10)))</f>
        <v>8.16</v>
      </c>
      <c r="AI17" s="51">
        <f>MAX(INDEX(Properties!A$1:CB$87,Formula!B17,10),INDEX(Properties!A$1:CB$87,Formula!D17,10),INDEX(Properties!A$1:CB$87,Formula!F17,10),INDEX(Properties!A$1:CB$87,Formula!H17,10),INDEX(Properties!A$1:CB$87,Formula!J17,10))</f>
        <v>7</v>
      </c>
      <c r="AJ17" s="51">
        <f>MIN(IF(INDEX(Properties!A$1:CB$87,Formula!B17,10)=0,10^6,INDEX(Properties!A$1:CB$87,Formula!B17,10)),IF(INDEX(Properties!A$1:CB$87,Formula!D17,10)=0,10^6,INDEX(Properties!A$1:CB$87,Formula!D17,10)),IF(INDEX(Properties!A$1:CB$87,Formula!F17,10)=0,10^6,INDEX(Properties!A$1:CB$87,Formula!F17,10)),IF(INDEX(Properties!A$1:CB$87,Formula!H17,10)=0,10^6,INDEX(Properties!A$1:CB$87,Formula!H17,10)),IF(INDEX(Properties!A$1:CB$87,Formula!J17,10)=0,10^6,INDEX(Properties!A$1:CB$87,Formula!J17,10)))</f>
        <v>4</v>
      </c>
      <c r="AK17" s="51">
        <f t="shared" si="5"/>
        <v>3</v>
      </c>
      <c r="AL17" s="57">
        <f>((Formula!C17)/(Formula!C17+Formula!E17+Formula!G17+Formula!I17+Formula!K17))*(INDEX(Properties!A$1:CB$87,Formula!B17,11))+((Formula!E17)/(Formula!C17+Formula!E17+Formula!G17+Formula!I17+Formula!K17))*(INDEX(Properties!A$1:CB$87,Formula!D17,11))+((Formula!G17)/(Formula!C17+Formula!E17+Formula!G17+Formula!I17+Formula!K17))*(INDEX(Properties!A$1:CB$87,Formula!F17,11))+((Formula!I17)/(Formula!C17+Formula!E17+Formula!G17+Formula!I17+Formula!K17))*(INDEX(Properties!A$1:CB$87,Formula!H17,11))+((Formula!K17)/(Formula!C17+Formula!E17+Formula!G17+Formula!I17+Formula!K17))*(INDEX(Properties!A$1:CB$87,Formula!J17,11))</f>
        <v>2</v>
      </c>
      <c r="AM17" s="57">
        <f>Formula!C17*(INDEX(Properties!A$1:CB$87,Formula!B17,11))+Formula!E17*(INDEX(Properties!A$1:CB$87,Formula!D17,11))+Formula!G17*(INDEX(Properties!A$1:CB$87,Formula!F17,11))+Formula!I17*(INDEX(Properties!A$1:CB$87,Formula!H17,11))+Formula!K17*(INDEX(Properties!A$1:CB$87,Formula!J17,11))</f>
        <v>6</v>
      </c>
      <c r="AN17" s="57">
        <f>VARP(IF(INDEX(Properties!A$1:CB$87,Formula!B17,11)&lt;&gt;"",INDEX(Properties!A$1:CB$87,Formula!B17,11)),IF(INDEX(Properties!A$1:CB$87,Formula!D17,11)&lt;&gt;"",INDEX(Properties!A$1:CB$87,Formula!D17,11)),IF(INDEX(Properties!A$1:CB$87,Formula!F17,11)&lt;&gt;"",INDEX(Properties!A$1:CB$87,Formula!F17,11)),IF(INDEX(Properties!A$1:CB$87,Formula!H17,11)&lt;&gt;"",INDEX(Properties!A$1:CB$87,Formula!H17,11)),IF(INDEX(Properties!A$1:CB$87,Formula!J17,11)&lt;&gt;"",INDEX(Properties!A$1:CB$87,Formula!J17,11)))</f>
        <v>0.96</v>
      </c>
      <c r="AO17" s="57">
        <f>MAX(INDEX(Properties!A$1:CB$87,Formula!B17,11),INDEX(Properties!A$1:CB$87,Formula!D17,11),INDEX(Properties!A$1:CB$87,Formula!F17,11),INDEX(Properties!A$1:CB$87,Formula!H17,11),INDEX(Properties!A$1:CB$87,Formula!J17,11))</f>
        <v>2</v>
      </c>
      <c r="AP17" s="57">
        <f>MIN(IF(Formula!B17=87,10^6,INDEX(Properties!A$1:CB$87,Formula!B17,11)),IF((Formula!D17)=87,10^6,INDEX(Properties!A$1:CB$87,Formula!D17,11)),IF((Formula!F17)=87,10^6,INDEX(Properties!A$1:CB$87,Formula!F17,11)),IF((Formula!H17)=87,10^6,INDEX(Properties!A$1:CB$87,Formula!H17,11)),IF(Formula!J17=87,10^6,INDEX(Properties!A$1:CB$87,Formula!J17,11)))</f>
        <v>2</v>
      </c>
      <c r="AQ17" s="57">
        <f t="shared" si="6"/>
        <v>0</v>
      </c>
      <c r="AR17" s="78">
        <f>((Formula!C17)/(Formula!C17+Formula!E17+Formula!G17+Formula!I17+Formula!K17))*(INDEX(Properties!A$1:CB$87,Formula!B17,12))+((Formula!E17)/(Formula!C17+Formula!E17+Formula!G17+Formula!I17+Formula!K17))*(INDEX(Properties!A$1:CB$87,Formula!D17,12))+((Formula!G17)/(Formula!C17+Formula!E17+Formula!G17+Formula!I17+Formula!K17))*(INDEX(Properties!A$1:CB$87,Formula!F17,12))+((Formula!I17)/(Formula!C17+Formula!E17+Formula!G17+Formula!I17+Formula!K17))*(INDEX(Properties!A$1:CB$87,Formula!H17,12))+((Formula!K17)/(Formula!C17+Formula!E17+Formula!G17+Formula!I17+Formula!K17))*(INDEX(Properties!A$1:CB$87,Formula!J17,12))</f>
        <v>1.3333333333333333</v>
      </c>
      <c r="AS17" s="78">
        <f>Formula!C17*(INDEX(Properties!A$1:CB$87,Formula!B17,12))+Formula!E17*(INDEX(Properties!A$1:CB$87,Formula!D17,12))+Formula!G17*(INDEX(Properties!A$1:CB$87,Formula!F17,12))+Formula!I17*(INDEX(Properties!A$1:CB$87,Formula!H17,12))+Formula!K17*(INDEX(Properties!A$1:CB$87,Formula!J17,12))</f>
        <v>4</v>
      </c>
      <c r="AT17" s="78">
        <f>VARP(IF(INDEX(Properties!A$1:CB$87,Formula!B17,12)&lt;&gt;"",INDEX(Properties!A$1:CB$87,Formula!B17,12)),IF(INDEX(Properties!A$1:CB$87,Formula!D17,12)&lt;&gt;"",INDEX(Properties!A$1:CB$87,Formula!D17,12)),IF(INDEX(Properties!A$1:CB$87,Formula!F17,12)&lt;&gt;"",INDEX(Properties!A$1:CB$87,Formula!F17,12)),IF(INDEX(Properties!A$1:CB$87,Formula!H17,12)&lt;&gt;"",INDEX(Properties!A$1:CB$87,Formula!H17,12)),IF(INDEX(Properties!A$1:CB$87,Formula!J17,12)&lt;&gt;"",INDEX(Properties!A$1:CB$87,Formula!J17,12)))</f>
        <v>2.56</v>
      </c>
      <c r="AU17" s="78">
        <f>MAX(INDEX(Properties!A$1:CB$87,Formula!B17,12),INDEX(Properties!A$1:CB$87,Formula!D17,12),INDEX(Properties!A$1:CB$87,Formula!F17,12),INDEX(Properties!A$1:CB$87,Formula!H17,12),INDEX(Properties!A$1:CB$87,Formula!J17,12))</f>
        <v>4</v>
      </c>
      <c r="AV17" s="78">
        <f>MIN(IF(Formula!B17=87,10^6,INDEX(Properties!A$1:CB$87,Formula!B17,12)),IF((Formula!D17)=87,10^6,INDEX(Properties!A$1:CB$87,Formula!D17,12)),IF((Formula!F17)=87,10^6,INDEX(Properties!A$1:CB$87,Formula!F17,12)),IF((Formula!H17)=87,10^6,INDEX(Properties!A$1:CB$87,Formula!H17,12)),IF(Formula!J17=87,10^6,INDEX(Properties!A$1:CB$87,Formula!J17,12)))</f>
        <v>0</v>
      </c>
      <c r="AW17" s="78">
        <f t="shared" si="7"/>
        <v>4</v>
      </c>
      <c r="AX17" s="45">
        <f>((Formula!C17)/(Formula!C17+Formula!E17+Formula!G17+Formula!I17+Formula!K17))*(INDEX(Properties!A$1:CB$87,Formula!B17,13))+((Formula!E17)/(Formula!C17+Formula!E17+Formula!G17+Formula!I17+Formula!K17))*(INDEX(Properties!A$1:CB$87,Formula!D17,13))+((Formula!G17)/(Formula!C17+Formula!E17+Formula!G17+Formula!I17+Formula!K17))*(INDEX(Properties!A$1:CB$87,Formula!F17,13))+((Formula!I17)/(Formula!C17+Formula!E17+Formula!G17+Formula!I17+Formula!K17))*(INDEX(Properties!A$1:CB$87,Formula!H17,13))+((Formula!K17)/(Formula!C17+Formula!E17+Formula!G17+Formula!I17+Formula!K17))*(INDEX(Properties!A$1:CB$87,Formula!J17,13))</f>
        <v>6.6666666666666661</v>
      </c>
      <c r="AY17" s="45">
        <f>Formula!C17*(INDEX(Properties!A$1:CB$87,Formula!B17,13))+Formula!E17*(INDEX(Properties!A$1:CB$87,Formula!D17,13))+Formula!G17*(INDEX(Properties!A$1:CB$87,Formula!F17,13))+Formula!I17*(INDEX(Properties!A$1:CB$87,Formula!H17,13))+Formula!K17*(INDEX(Properties!A$1:CB$87,Formula!J17,13))</f>
        <v>20</v>
      </c>
      <c r="AZ17" s="45">
        <f>VARP(IF(INDEX(Properties!A$1:CB$87,Formula!B17,13)&lt;&gt;"",INDEX(Properties!A$1:CB$87,Formula!B17,13)),IF(INDEX(Properties!A$1:CB$87,Formula!D17,13)&lt;&gt;"",INDEX(Properties!A$1:CB$87,Formula!D17,13)),IF(INDEX(Properties!A$1:CB$87,Formula!F17,13)&lt;&gt;"",INDEX(Properties!A$1:CB$87,Formula!F17,13)),IF(INDEX(Properties!A$1:CB$87,Formula!H17,13)&lt;&gt;"",INDEX(Properties!A$1:CB$87,Formula!H17,13)),IF(INDEX(Properties!A$1:CB$87,Formula!J17,13)&lt;&gt;"",INDEX(Properties!A$1:CB$87,Formula!J17,13)))</f>
        <v>16</v>
      </c>
      <c r="BA17" s="45">
        <f>MAX(INDEX(Properties!A$1:CB$87,Formula!B17,13),INDEX(Properties!A$1:CB$87,Formula!D17,13),INDEX(Properties!A$1:CB$87,Formula!F17,13),INDEX(Properties!A$1:CB$87,Formula!H17,13),INDEX(Properties!A$1:CB$87,Formula!J17,13))</f>
        <v>10</v>
      </c>
      <c r="BB17" s="45">
        <f>MIN(IF(Formula!B17=87,10^6,INDEX(Properties!A$1:CB$87,Formula!B17,13)),IF((Formula!D17)=87,10^6,INDEX(Properties!A$1:CB$87,Formula!D17,13)),IF((Formula!F17)=87,10^6,INDEX(Properties!A$1:CB$87,Formula!F17,13)),IF((Formula!H17)=87,10^6,INDEX(Properties!A$1:CB$87,Formula!H17,13)),IF(Formula!J17=87,10^6,INDEX(Properties!A$1:CB$87,Formula!J17,13)))</f>
        <v>0</v>
      </c>
      <c r="BC17" s="45">
        <f t="shared" si="8"/>
        <v>10</v>
      </c>
      <c r="BD17" s="63">
        <f>((Formula!C17)/(Formula!C17+Formula!E17+Formula!G17+Formula!I17+Formula!K17))*(INDEX(Properties!A$1:CB$87,Formula!B17,14))+((Formula!E17)/(Formula!C17+Formula!E17+Formula!G17+Formula!I17+Formula!K17))*(INDEX(Properties!A$1:CB$87,Formula!D17,14))+((Formula!G17)/(Formula!C17+Formula!E17+Formula!G17+Formula!I17+Formula!K17))*(INDEX(Properties!A$1:CB$87,Formula!F17,14))+((Formula!I17)/(Formula!C17+Formula!E17+Formula!G17+Formula!I17+Formula!K17))*(INDEX(Properties!A$1:CB$87,Formula!H17,14))+((Formula!K17)/(Formula!C17+Formula!E17+Formula!G17+Formula!I17+Formula!K17))*(INDEX(Properties!A$1:CB$87,Formula!J17,14))</f>
        <v>0</v>
      </c>
      <c r="BE17" s="63">
        <f>Formula!C17*(INDEX(Properties!A$1:CB$87,Formula!B17,14))+Formula!E17*(INDEX(Properties!A$1:CB$87,Formula!D17,14))+Formula!G17*(INDEX(Properties!A$1:CB$87,Formula!F17,14))+Formula!I17*(INDEX(Properties!A$1:CB$87,Formula!H17,14))+Formula!K17*(INDEX(Properties!A$1:CB$87,Formula!J17,14))</f>
        <v>0</v>
      </c>
      <c r="BF17" s="63">
        <f>VARP(IF(INDEX(Properties!A$1:CB$87,Formula!B17,14)&lt;&gt;"",INDEX(Properties!A$1:CB$87,Formula!B17,14)),IF(INDEX(Properties!A$1:CB$87,Formula!D17,14)&lt;&gt;"",INDEX(Properties!A$1:CB$87,Formula!D17,14)),IF(INDEX(Properties!A$1:CB$87,Formula!F17,14)&lt;&gt;"",INDEX(Properties!A$1:CB$87,Formula!F17,14)),IF(INDEX(Properties!A$1:CB$87,Formula!H17,14)&lt;&gt;"",INDEX(Properties!A$1:CB$87,Formula!H17,14)),IF(INDEX(Properties!A$1:CB$87,Formula!J17,14)&lt;&gt;"",INDEX(Properties!A$1:CB$87,Formula!J17,14)))</f>
        <v>0</v>
      </c>
      <c r="BG17" s="63">
        <f>MAX(INDEX(Properties!A$1:CB$87,Formula!B17,14),INDEX(Properties!A$1:CB$87,Formula!D17,14),INDEX(Properties!A$1:CB$87,Formula!F17,14),INDEX(Properties!A$1:CB$87,Formula!H17,14),INDEX(Properties!A$1:CB$87,Formula!J17,14))</f>
        <v>0</v>
      </c>
      <c r="BH17" s="63">
        <f>MIN(IF(Formula!B17=87,10^6,INDEX(Properties!A$1:CB$87,Formula!B17,14)),IF((Formula!D17)=87,10^6,INDEX(Properties!A$1:CB$87,Formula!D17,14)),IF((Formula!F17)=87,10^6,INDEX(Properties!A$1:CB$87,Formula!F17,14)),IF((Formula!H17)=87,10^6,INDEX(Properties!A$1:CB$87,Formula!H17,14)),IF(Formula!J17=87,10^6,INDEX(Properties!A$1:CB$87,Formula!J17,14)))</f>
        <v>0</v>
      </c>
      <c r="BI17" s="63">
        <f t="shared" si="9"/>
        <v>0</v>
      </c>
      <c r="BJ17" s="75">
        <f>((Formula!C17)/(Formula!C17+Formula!E17+Formula!G17+Formula!I17+Formula!K17))*(INDEX(Properties!A$1:CB$87,Formula!B17,19))+((Formula!E17)/(Formula!C17+Formula!E17+Formula!G17+Formula!I17+Formula!K17))*(INDEX(Properties!A$1:CB$87,Formula!D17,19))+((Formula!G17)/(Formula!C17+Formula!E17+Formula!G17+Formula!I17+Formula!K17))*(INDEX(Properties!A$1:CB$87,Formula!F17,19))+((Formula!I17)/(Formula!C17+Formula!E17+Formula!G17+Formula!I17+Formula!K17))*(INDEX(Properties!A$1:CB$87,Formula!H17,19))+((Formula!K17)/(Formula!C17+Formula!E17+Formula!G17+Formula!I17+Formula!K17))*(INDEX(Properties!A$1:CB$87,Formula!J17,19))</f>
        <v>10</v>
      </c>
      <c r="BK17" s="75">
        <f>Formula!C17*(INDEX(Properties!A$1:CB$87,Formula!B17,19))+Formula!E17*(INDEX(Properties!A$1:CB$87,Formula!D17,19))+Formula!G17*(INDEX(Properties!A$1:CB$87,Formula!F17,19))+Formula!I17*(INDEX(Properties!A$1:CB$87,Formula!H17,19))+Formula!K17*(INDEX(Properties!A$1:CB$87,Formula!J17,19))</f>
        <v>30</v>
      </c>
      <c r="BL17" s="75">
        <f>VARP(IF(INDEX(Properties!A$1:CB$87,Formula!B17,19)&lt;&gt;"",INDEX(Properties!A$1:CB$87,Formula!B17,19)),IF(INDEX(Properties!A$1:CB$87,Formula!D17,19)&lt;&gt;"",INDEX(Properties!A$1:CB$87,Formula!D17,19)),IF(INDEX(Properties!A$1:CB$87,Formula!F17,19)&lt;&gt;"",INDEX(Properties!A$1:CB$87,Formula!F17,19)),IF(INDEX(Properties!A$1:CB$87,Formula!H17,19)&lt;&gt;"",INDEX(Properties!A$1:CB$87,Formula!H17,19)),IF(INDEX(Properties!A$1:CB$87,Formula!J17,19)&lt;&gt;"",INDEX(Properties!A$1:CB$87,Formula!J17,19)))</f>
        <v>23.04</v>
      </c>
      <c r="BM17" s="75">
        <f>MAX(INDEX(Properties!A$1:CB$87,Formula!B17,19),INDEX(Properties!A$1:CB$87,Formula!D17,19),INDEX(Properties!A$1:CB$87,Formula!F17,19),INDEX(Properties!A$1:CB$87,Formula!H17,19),INDEX(Properties!A$1:CB$87,Formula!J17,19))</f>
        <v>12</v>
      </c>
      <c r="BN17" s="75">
        <f>MIN(IF(INDEX(Properties!A$1:CB$87,Formula!B17,19)=0,10^6,INDEX(Properties!A$1:CB$87,Formula!B17,19)),IF(INDEX(Properties!A$1:CB$87,Formula!D17,19)=0,10^6,INDEX(Properties!A$1:CB$87,Formula!D17,19)),IF(INDEX(Properties!A$1:CB$87,Formula!F17,19)=0,10^6,INDEX(Properties!A$1:CB$87,Formula!F17,19)),IF(INDEX(Properties!A$1:CB$87,Formula!H17,19)=0,10^6,INDEX(Properties!A$1:CB$87,Formula!H17,19)),IF(INDEX(Properties!A$1:CB$87,Formula!J17,19)=0,10^6,INDEX(Properties!A$1:CB$87,Formula!J17,19)))</f>
        <v>6</v>
      </c>
      <c r="BO17" s="75">
        <f t="shared" si="10"/>
        <v>6</v>
      </c>
      <c r="BP17" s="48">
        <f>((Formula!C17)/(Formula!C17+Formula!E17+Formula!G17+Formula!I17+Formula!K17))*(INDEX(Properties!A$1:CB$87,Formula!B17,20))+((Formula!E17)/(Formula!C17+Formula!E17+Formula!G17+Formula!I17+Formula!K17))*(INDEX(Properties!A$1:CB$87,Formula!D17,20))+((Formula!G17)/(Formula!C17+Formula!E17+Formula!G17+Formula!I17+Formula!K17))*(INDEX(Properties!A$1:CB$87,Formula!F17,20))+((Formula!I17)/(Formula!C17+Formula!E17+Formula!G17+Formula!I17+Formula!K17))*(INDEX(Properties!A$1:CB$87,Formula!H17,20))+((Formula!K17)/(Formula!C17+Formula!E17+Formula!G17+Formula!I17+Formula!K17))*(INDEX(Properties!A$1:CB$87,Formula!J17,20))</f>
        <v>3.333333333333333</v>
      </c>
      <c r="BQ17" s="48">
        <f>Formula!C17*(INDEX(Properties!A$1:CB$87,Formula!B17,20))+Formula!E17*(INDEX(Properties!A$1:CB$87,Formula!D17,20))+Formula!G17*(INDEX(Properties!A$1:CB$87,Formula!F17,20))+Formula!I17*(INDEX(Properties!A$1:CB$87,Formula!H17,20))+Formula!K17*(INDEX(Properties!A$1:CB$87,Formula!J17,20))</f>
        <v>10</v>
      </c>
      <c r="BR17" s="48">
        <f>VARP(IF(INDEX(Properties!A$1:CB$87,Formula!B17,20)&lt;&gt;"",INDEX(Properties!A$1:CB$87,Formula!B17,20)),IF(INDEX(Properties!A$1:CB$87,Formula!D17,20)&lt;&gt;"",INDEX(Properties!A$1:CB$87,Formula!D17,20)),IF(INDEX(Properties!A$1:CB$87,Formula!F17,20)&lt;&gt;"",INDEX(Properties!A$1:CB$87,Formula!F17,20)),IF(INDEX(Properties!A$1:CB$87,Formula!H17,20)&lt;&gt;"",INDEX(Properties!A$1:CB$87,Formula!H17,20)),IF(INDEX(Properties!A$1:CB$87,Formula!J17,20)&lt;&gt;"",INDEX(Properties!A$1:CB$87,Formula!J17,20)))</f>
        <v>5.44</v>
      </c>
      <c r="BS17" s="48">
        <f>MAX(INDEX(Properties!A$1:CB$87,Formula!B17,20),INDEX(Properties!A$1:CB$87,Formula!D17,20),INDEX(Properties!A$1:CB$87,Formula!F17,20),INDEX(Properties!A$1:CB$87,Formula!H17,20),INDEX(Properties!A$1:CB$87,Formula!J17,20))</f>
        <v>6</v>
      </c>
      <c r="BT17" s="48">
        <f>MIN(IF(INDEX(Properties!A$1:CB$87,Formula!B17,20)=0,10^6,INDEX(Properties!A$1:CB$87,Formula!B17,20)),IF(INDEX(Properties!A$1:CB$87,Formula!D17,20)=0,10^6,INDEX(Properties!A$1:CB$87,Formula!D17,20)),IF(INDEX(Properties!A$1:CB$87,Formula!F17,20)=0,10^6,INDEX(Properties!A$1:CB$87,Formula!F17,20)),IF(INDEX(Properties!A$1:CB$87,Formula!H17,20)=0,10^6,INDEX(Properties!A$1:CB$87,Formula!H17,20)),IF(INDEX(Properties!A$1:CB$87,Formula!J17,20)=0,10^6,INDEX(Properties!A$1:CB$87,Formula!J17,20)))</f>
        <v>2</v>
      </c>
      <c r="BU17" s="48">
        <f t="shared" si="11"/>
        <v>4</v>
      </c>
      <c r="BV17" s="66">
        <f>((Formula!C17)/(Formula!C17+Formula!E17+Formula!G17+Formula!I17+Formula!K17))*(INDEX(Properties!A$1:CB$87,Formula!B17,21))+((Formula!E17)/(Formula!C17+Formula!E17+Formula!G17+Formula!I17+Formula!K17))*(INDEX(Properties!A$1:CB$87,Formula!D17,21))+((Formula!G17)/(Formula!C17+Formula!E17+Formula!G17+Formula!I17+Formula!K17))*(INDEX(Properties!A$1:CB$87,Formula!F17,21))+((Formula!I17)/(Formula!C17+Formula!E17+Formula!G17+Formula!I17+Formula!K17))*(INDEX(Properties!A$1:CB$87,Formula!H17,21))+((Formula!K17)/(Formula!C17+Formula!E17+Formula!G17+Formula!I17+Formula!K17))*(INDEX(Properties!A$1:CB$87,Formula!J17,21))</f>
        <v>2.6666666666666665</v>
      </c>
      <c r="BW17" s="66">
        <f>Formula!C17*(INDEX(Properties!A$1:CB$87,Formula!B17,21))+Formula!E17*(INDEX(Properties!A$1:CB$87,Formula!D17,21))+Formula!G17*(INDEX(Properties!A$1:CB$87,Formula!F17,21))+Formula!I17*(INDEX(Properties!A$1:CB$87,Formula!H17,21))+Formula!K17*(INDEX(Properties!A$1:CB$87,Formula!J17,21))</f>
        <v>8</v>
      </c>
      <c r="BX17" s="66">
        <f>VARP(IF(INDEX(Properties!A$1:CB$87,Formula!B17,21)&lt;&gt;"",INDEX(Properties!A$1:CB$87,Formula!B17,21)),IF(INDEX(Properties!A$1:CB$87,Formula!D17,21)&lt;&gt;"",INDEX(Properties!A$1:CB$87,Formula!D17,21)),IF(INDEX(Properties!A$1:CB$87,Formula!F17,21)&lt;&gt;"",INDEX(Properties!A$1:CB$87,Formula!F17,21)),IF(INDEX(Properties!A$1:CB$87,Formula!H17,21)&lt;&gt;"",INDEX(Properties!A$1:CB$87,Formula!H17,21)),IF(INDEX(Properties!A$1:CB$87,Formula!J17,21)&lt;&gt;"",INDEX(Properties!A$1:CB$87,Formula!J17,21)))</f>
        <v>5.44</v>
      </c>
      <c r="BY17" s="66">
        <f>MAX(INDEX(Properties!A$1:CB$87,Formula!B17,21),INDEX(Properties!A$1:CB$87,Formula!D17,21),INDEX(Properties!A$1:CB$87,Formula!F17,21),INDEX(Properties!A$1:CB$87,Formula!H17,21),INDEX(Properties!A$1:CB$87,Formula!J17,21))</f>
        <v>6</v>
      </c>
      <c r="BZ17" s="66">
        <f>MIN(IF(INDEX(Properties!A$1:CB$87,Formula!B17,21)=0,10^6,INDEX(Properties!A$1:CB$87,Formula!B17,21)),IF(INDEX(Properties!A$1:CB$87,Formula!D17,21)=0,10^6,INDEX(Properties!A$1:CB$87,Formula!D17,21)),IF(INDEX(Properties!A$1:CB$87,Formula!F17,21)=0,10^6,INDEX(Properties!A$1:CB$87,Formula!F17,21)),IF(INDEX(Properties!A$1:CB$87,Formula!H17,21)=0,10^6,INDEX(Properties!A$1:CB$87,Formula!H17,21)),IF(INDEX(Properties!A$1:CB$87,Formula!J17,21)=0,10^6,INDEX(Properties!A$1:CB$87,Formula!J17,21)))</f>
        <v>1</v>
      </c>
      <c r="CA17" s="66">
        <f t="shared" si="12"/>
        <v>5</v>
      </c>
      <c r="CB17" s="81">
        <f>((Formula!C17)/(Formula!C17+Formula!E17+Formula!G17+Formula!I17+Formula!K17))*(INDEX(Properties!A$1:CB$87,Formula!B17,23))+((Formula!E17)/(Formula!C17+Formula!E17+Formula!G17+Formula!I17+Formula!K17))*(INDEX(Properties!A$1:CB$87,Formula!D17,23))+((Formula!G17)/(Formula!C17+Formula!E17+Formula!G17+Formula!I17+Formula!K17))*(INDEX(Properties!A$1:CB$87,Formula!F17,23))+((Formula!I17)/(Formula!C17+Formula!E17+Formula!G17+Formula!I17+Formula!K17))*(INDEX(Properties!A$1:CB$87,Formula!H17,23))+((Formula!K17)/(Formula!C17+Formula!E17+Formula!G17+Formula!I17+Formula!K17))*(INDEX(Properties!A$1:CB$87,Formula!J17,23))</f>
        <v>2.96</v>
      </c>
      <c r="CC17" s="81">
        <f>Formula!C17*(INDEX(Properties!A$1:CB$87,Formula!B17,23))+Formula!E17*(INDEX(Properties!A$1:CB$87,Formula!D17,23))+Formula!G17*(INDEX(Properties!A$1:CB$87,Formula!F17,23))+Formula!I17*(INDEX(Properties!A$1:CB$87,Formula!H17,23))+Formula!K17*(INDEX(Properties!A$1:CB$87,Formula!J17,23))</f>
        <v>8.8800000000000008</v>
      </c>
      <c r="CD17" s="81">
        <f>VARP(IF(INDEX(Properties!A$1:CB$87,Formula!B17,23)&lt;&gt;"",INDEX(Properties!A$1:CB$87,Formula!B17,23)),IF(INDEX(Properties!A$1:CB$87,Formula!D17,23)&lt;&gt;"",INDEX(Properties!A$1:CB$87,Formula!D17,23)),IF(INDEX(Properties!A$1:CB$87,Formula!F17,23)&lt;&gt;"",INDEX(Properties!A$1:CB$87,Formula!F17,23)),IF(INDEX(Properties!A$1:CB$87,Formula!H17,23)&lt;&gt;"",INDEX(Properties!A$1:CB$87,Formula!H17,23)),IF(INDEX(Properties!A$1:CB$87,Formula!J17,23)&lt;&gt;"",INDEX(Properties!A$1:CB$87,Formula!J17,23)))</f>
        <v>3.1541760000000005</v>
      </c>
      <c r="CE17" s="81">
        <f>MAX(INDEX(Properties!A$1:CB$87,Formula!B17,23),INDEX(Properties!A$1:CB$87,Formula!D17,23),INDEX(Properties!A$1:CB$87,Formula!F17,23),INDEX(Properties!A$1:CB$87,Formula!H17,23),INDEX(Properties!A$1:CB$87,Formula!J17,23))</f>
        <v>4.4400000000000004</v>
      </c>
      <c r="CF17" s="81">
        <f>MIN(IF(Formula!B17=87,10^6,INDEX(Properties!A$1:CB$87,Formula!B17,23)),IF((Formula!D17)=87,10^6,INDEX(Properties!A$1:CB$87,Formula!D17,23)),IF((Formula!F17)=87,10^6,INDEX(Properties!A$1:CB$87,Formula!F17,23)),IF((Formula!H17)=87,10^6,INDEX(Properties!A$1:CB$87,Formula!H17,23)),IF(Formula!J17=87,10^6,INDEX(Properties!A$1:CB$87,Formula!J17,23)))</f>
        <v>0</v>
      </c>
      <c r="CG17" s="81">
        <f t="shared" si="13"/>
        <v>4.4400000000000004</v>
      </c>
      <c r="CH17" s="39">
        <f>((Formula!C17)/(Formula!C17+Formula!E17+Formula!G17+Formula!I17+Formula!K17))*(INDEX(Properties!A$1:CB$87,Formula!B17,26))+((Formula!E17)/(Formula!C17+Formula!E17+Formula!G17+Formula!I17+Formula!K17))*(INDEX(Properties!A$1:CB$87,Formula!D17,26))+((Formula!G17)/(Formula!C17+Formula!E17+Formula!G17+Formula!I17+Formula!K17))*(INDEX(Properties!A$1:CB$87,Formula!F17,26))+((Formula!I17)/(Formula!C17+Formula!E17+Formula!G17+Formula!I17+Formula!K17))*(INDEX(Properties!A$1:CB$87,Formula!H17,26))+((Formula!K17)/(Formula!C17+Formula!E17+Formula!G17+Formula!I17+Formula!K17))*(INDEX(Properties!A$1:CB$87,Formula!J17,26))</f>
        <v>10.802166666666665</v>
      </c>
      <c r="CI17" s="39">
        <f>Formula!C17*(INDEX(Properties!A$1:CB$87,Formula!B17,26))+Formula!E17*(INDEX(Properties!A$1:CB$87,Formula!D17,26))+Formula!G17*(INDEX(Properties!A$1:CB$87,Formula!F17,26))+Formula!I17*(INDEX(Properties!A$1:CB$87,Formula!H17,26))+Formula!K17*(INDEX(Properties!A$1:CB$87,Formula!J17,26))</f>
        <v>32.406500000000001</v>
      </c>
      <c r="CJ17" s="39">
        <f>VARP(IF(INDEX(Properties!A$1:CB$87,Formula!B17,26)&lt;&gt;"",INDEX(Properties!A$1:CB$87,Formula!B17,26)),IF(INDEX(Properties!A$1:CB$87,Formula!D17,26)&lt;&gt;"",INDEX(Properties!A$1:CB$87,Formula!D17,26)),IF(INDEX(Properties!A$1:CB$87,Formula!F17,26)&lt;&gt;"",INDEX(Properties!A$1:CB$87,Formula!F17,26)),IF(INDEX(Properties!A$1:CB$87,Formula!H17,26)&lt;&gt;"",INDEX(Properties!A$1:CB$87,Formula!H17,26)),IF(INDEX(Properties!A$1:CB$87,Formula!J17,26)&lt;&gt;"",INDEX(Properties!A$1:CB$87,Formula!J17,26)))</f>
        <v>33.558090198400009</v>
      </c>
      <c r="CK17" s="39">
        <f>MAX(INDEX(Properties!A$1:CB$87,Formula!B17,26),INDEX(Properties!A$1:CB$87,Formula!D17,26),INDEX(Properties!A$1:CB$87,Formula!F17,26),INDEX(Properties!A$1:CB$87,Formula!H17,26),INDEX(Properties!A$1:CB$87,Formula!J17,26))</f>
        <v>13.6181</v>
      </c>
      <c r="CL17" s="39">
        <f>MIN(IF(INDEX(Properties!A$1:CB$87,Formula!B17,26)=0,10^6,INDEX(Properties!A$1:CB$87,Formula!B17,26)),IF(INDEX(Properties!A$1:CB$87,Formula!D17,26)=0,10^6,INDEX(Properties!A$1:CB$87,Formula!D17,26)),IF(INDEX(Properties!A$1:CB$87,Formula!F17,26)=0,10^6,INDEX(Properties!A$1:CB$87,Formula!F17,26)),IF(INDEX(Properties!A$1:CB$87,Formula!H17,26)=0,10^6,INDEX(Properties!A$1:CB$87,Formula!H17,26)),IF(INDEX(Properties!A$1:CB$87,Formula!J17,26)=0,10^6,INDEX(Properties!A$1:CB$87,Formula!J17,26)))</f>
        <v>9.3941999999999997</v>
      </c>
      <c r="CM17" s="39">
        <f t="shared" si="14"/>
        <v>4.2239000000000004</v>
      </c>
      <c r="CN17" s="54">
        <f>((Formula!C17)/(Formula!C17+Formula!E17+Formula!G17+Formula!I17+Formula!K17))*(INDEX(Properties!A$1:CB$87,Formula!B17,30))+((Formula!E17)/(Formula!C17+Formula!E17+Formula!G17+Formula!I17+Formula!K17))*(INDEX(Properties!A$1:CB$87,Formula!D17,30))+((Formula!G17)/(Formula!C17+Formula!E17+Formula!G17+Formula!I17+Formula!K17))*(INDEX(Properties!A$1:CB$87,Formula!F17,30))+((Formula!I17)/(Formula!C17+Formula!E17+Formula!G17+Formula!I17+Formula!K17))*(INDEX(Properties!A$1:CB$87,Formula!H17,30))+((Formula!K17)/(Formula!C17+Formula!E17+Formula!G17+Formula!I17+Formula!K17))*(INDEX(Properties!A$1:CB$87,Formula!J17,30))</f>
        <v>2.2466666666666661</v>
      </c>
      <c r="CO17" s="54">
        <f>Formula!C17*(INDEX(Properties!A$1:CB$87,Formula!B17,30))+Formula!E17*(INDEX(Properties!A$1:CB$87,Formula!D17,30))+Formula!G17*(INDEX(Properties!A$1:CB$87,Formula!F17,30))+Formula!I17*(INDEX(Properties!A$1:CB$87,Formula!H17,30))+Formula!K17*(INDEX(Properties!A$1:CB$87,Formula!J17,30))</f>
        <v>6.74</v>
      </c>
      <c r="CP17" s="54">
        <f>VARP(IF(INDEX(Properties!A$1:CB$87,Formula!B17,30)&lt;&gt;"",INDEX(Properties!A$1:CB$87,Formula!B17,30)),IF(INDEX(Properties!A$1:CB$87,Formula!D17,30)&lt;&gt;"",INDEX(Properties!A$1:CB$87,Formula!D17,30)),IF(INDEX(Properties!A$1:CB$87,Formula!F17,30)&lt;&gt;"",INDEX(Properties!A$1:CB$87,Formula!F17,30)),IF(INDEX(Properties!A$1:CB$87,Formula!H17,30)&lt;&gt;"",INDEX(Properties!A$1:CB$87,Formula!H17,30)),IF(INDEX(Properties!A$1:CB$87,Formula!J17,30)&lt;&gt;"",INDEX(Properties!A$1:CB$87,Formula!J17,30)))</f>
        <v>1.8748959999999997</v>
      </c>
      <c r="CQ17" s="54">
        <f>MAX(INDEX(Properties!A$1:CB$87,Formula!B17,30),INDEX(Properties!A$1:CB$87,Formula!D17,30),INDEX(Properties!A$1:CB$87,Formula!F17,30),INDEX(Properties!A$1:CB$87,Formula!H17,30),INDEX(Properties!A$1:CB$87,Formula!J17,30))</f>
        <v>3.44</v>
      </c>
      <c r="CR17" s="54">
        <f>MIN(IF(INDEX(Properties!A$1:CB$87,Formula!B17,30)=0,10^6,INDEX(Properties!A$1:CB$87,Formula!B17,30)),IF(INDEX(Properties!A$1:CB$87,Formula!D17,30)=0,10^6,INDEX(Properties!A$1:CB$87,Formula!D17,30)),IF(INDEX(Properties!A$1:CB$87,Formula!F17,30)=0,10^6,INDEX(Properties!A$1:CB$87,Formula!F17,30)),IF(INDEX(Properties!A$1:CB$87,Formula!H17,30)=0,10^6,INDEX(Properties!A$1:CB$87,Formula!H17,30)),IF(INDEX(Properties!A$1:CB$87,Formula!J17,30)=0,10^6,INDEX(Properties!A$1:CB$87,Formula!J17,30)))</f>
        <v>1.65</v>
      </c>
      <c r="CS17" s="54">
        <f t="shared" si="15"/>
        <v>1.79</v>
      </c>
      <c r="CT17" s="69">
        <f>((Formula!C17)/(Formula!C17+Formula!E17+Formula!G17+Formula!I17+Formula!K17))*(INDEX(Properties!A$1:CB$87,Formula!B17,31))+((Formula!E17)/(Formula!C17+Formula!E17+Formula!G17+Formula!I17+Formula!K17))*(INDEX(Properties!A$1:CB$87,Formula!D17,31))+((Formula!G17)/(Formula!C17+Formula!E17+Formula!G17+Formula!I17+Formula!K17))*(INDEX(Properties!A$1:CB$87,Formula!F17,31))+((Formula!I17)/(Formula!C17+Formula!E17+Formula!G17+Formula!I17+Formula!K17))*(INDEX(Properties!A$1:CB$87,Formula!H17,31))+((Formula!K17)/(Formula!C17+Formula!E17+Formula!G17+Formula!I17+Formula!K17))*(INDEX(Properties!A$1:CB$87,Formula!J17,31))</f>
        <v>2.0666666666666664</v>
      </c>
      <c r="CU17" s="69">
        <f>Formula!C17*(INDEX(Properties!A$1:CB$87,Formula!B17,31))+Formula!E17*(INDEX(Properties!A$1:CB$87,Formula!D17,31))+Formula!G17*(INDEX(Properties!A$1:CB$87,Formula!F17,31))+Formula!I17*(INDEX(Properties!A$1:CB$87,Formula!H17,31))+Formula!K17*(INDEX(Properties!A$1:CB$87,Formula!J17,31))</f>
        <v>6.1999999999999993</v>
      </c>
      <c r="CV17" s="69">
        <f>VARP(IF(INDEX(Properties!A$1:CB$87,Formula!B17,31)&lt;&gt;"",INDEX(Properties!A$1:CB$87,Formula!B17,31)),IF(INDEX(Properties!A$1:CB$87,Formula!D17,31)&lt;&gt;"",INDEX(Properties!A$1:CB$87,Formula!D17,31)),IF(INDEX(Properties!A$1:CB$87,Formula!F17,31)&lt;&gt;"",INDEX(Properties!A$1:CB$87,Formula!F17,31)),IF(INDEX(Properties!A$1:CB$87,Formula!H17,31)&lt;&gt;"",INDEX(Properties!A$1:CB$87,Formula!H17,31)),IF(INDEX(Properties!A$1:CB$87,Formula!J17,31)&lt;&gt;"",INDEX(Properties!A$1:CB$87,Formula!J17,31)))</f>
        <v>1.712896</v>
      </c>
      <c r="CW17" s="69">
        <f>MAX(INDEX(Properties!A$1:CB$87,Formula!B17,31),INDEX(Properties!A$1:CB$87,Formula!D17,31),INDEX(Properties!A$1:CB$87,Formula!F17,31),INDEX(Properties!A$1:CB$87,Formula!H17,31),INDEX(Properties!A$1:CB$87,Formula!J17,31))</f>
        <v>3.32</v>
      </c>
      <c r="CX17" s="69">
        <f>MIN(IF(INDEX(Properties!A$1:CB$87,Formula!B17,31)=0,10^6,INDEX(Properties!A$1:CB$87,Formula!B17,31)),IF(INDEX(Properties!A$1:CB$87,Formula!D17,31)=0,10^6,INDEX(Properties!A$1:CB$87,Formula!D17,31)),IF(INDEX(Properties!A$1:CB$87,Formula!F17,31)=0,10^6,INDEX(Properties!A$1:CB$87,Formula!F17,31)),IF(INDEX(Properties!A$1:CB$87,Formula!H17,31)=0,10^6,INDEX(Properties!A$1:CB$87,Formula!H17,31)),IF(INDEX(Properties!A$1:CB$87,Formula!J17,31)=0,10^6,INDEX(Properties!A$1:CB$87,Formula!J17,31)))</f>
        <v>1.44</v>
      </c>
      <c r="CY17" s="69">
        <f t="shared" si="16"/>
        <v>1.88</v>
      </c>
      <c r="CZ17" s="42">
        <f>((Formula!C17)/(Formula!C17+Formula!E17+Formula!G17+Formula!I17+Formula!K17))*(INDEX(Properties!A$1:CB$87,Formula!B17,32))+((Formula!E17)/(Formula!C17+Formula!E17+Formula!G17+Formula!I17+Formula!K17))*(INDEX(Properties!A$1:CB$87,Formula!D17,32))+((Formula!G17)/(Formula!C17+Formula!E17+Formula!G17+Formula!I17+Formula!K17))*(INDEX(Properties!A$1:CB$87,Formula!F17,32))+((Formula!I17)/(Formula!C17+Formula!E17+Formula!G17+Formula!I17+Formula!K17))*(INDEX(Properties!A$1:CB$87,Formula!H17,32))+((Formula!K17)/(Formula!C17+Formula!E17+Formula!G17+Formula!I17+Formula!K17))*(INDEX(Properties!A$1:CB$87,Formula!J17,32))</f>
        <v>5.48</v>
      </c>
      <c r="DA17" s="42">
        <f>Formula!C17*(INDEX(Properties!A$1:CB$87,Formula!B17,32))+Formula!E17*(INDEX(Properties!A$1:CB$87,Formula!D17,32))+Formula!G17*(INDEX(Properties!A$1:CB$87,Formula!F17,32))+Formula!I17*(INDEX(Properties!A$1:CB$87,Formula!H17,32))+Formula!K17*(INDEX(Properties!A$1:CB$87,Formula!J17,32))</f>
        <v>16.440000000000001</v>
      </c>
      <c r="DB17" s="42">
        <f>VARP(IF(INDEX(Properties!A$1:CB$87,Formula!B17,32)&lt;&gt;"",INDEX(Properties!A$1:CB$87,Formula!B17,32)),IF(INDEX(Properties!A$1:CB$87,Formula!D17,32)&lt;&gt;"",INDEX(Properties!A$1:CB$87,Formula!D17,32)),IF(INDEX(Properties!A$1:CB$87,Formula!F17,32)&lt;&gt;"",INDEX(Properties!A$1:CB$87,Formula!F17,32)),IF(INDEX(Properties!A$1:CB$87,Formula!H17,32)&lt;&gt;"",INDEX(Properties!A$1:CB$87,Formula!H17,32)),IF(INDEX(Properties!A$1:CB$87,Formula!J17,32)&lt;&gt;"",INDEX(Properties!A$1:CB$87,Formula!J17,32)))</f>
        <v>9.5804159999999996</v>
      </c>
      <c r="DC17" s="42">
        <f>MAX(INDEX(Properties!A$1:CB$87,Formula!B17,32),INDEX(Properties!A$1:CB$87,Formula!D17,32),INDEX(Properties!A$1:CB$87,Formula!F17,32),INDEX(Properties!A$1:CB$87,Formula!H17,32),INDEX(Properties!A$1:CB$87,Formula!J17,32))</f>
        <v>7.54</v>
      </c>
      <c r="DD17" s="42">
        <f>MIN(IF(INDEX(Properties!A$1:CB$87,Formula!B17,32)=0,10^6,INDEX(Properties!A$1:CB$87,Formula!B17,32)),IF(INDEX(Properties!A$1:CB$87,Formula!D17,32)=0,10^6,INDEX(Properties!A$1:CB$87,Formula!D17,32)),IF(INDEX(Properties!A$1:CB$87,Formula!F17,32)=0,10^6,INDEX(Properties!A$1:CB$87,Formula!F17,32)),IF(INDEX(Properties!A$1:CB$87,Formula!H17,32)=0,10^6,INDEX(Properties!A$1:CB$87,Formula!H17,32)),IF(INDEX(Properties!A$1:CB$87,Formula!J17,32)=0,10^6,INDEX(Properties!A$1:CB$87,Formula!J17,32)))</f>
        <v>4.45</v>
      </c>
      <c r="DE17" s="42">
        <f t="shared" si="17"/>
        <v>3.09</v>
      </c>
      <c r="DF17" s="60">
        <f>((Formula!C17)/(Formula!C17+Formula!E17+Formula!G17+Formula!I17+Formula!K17))*(INDEX(Properties!A$1:CB$87,Formula!B17,34))+((Formula!E17)/(Formula!C17+Formula!E17+Formula!G17+Formula!I17+Formula!K17))*(INDEX(Properties!A$1:CB$87,Formula!D17,34))+((Formula!G17)/(Formula!C17+Formula!E17+Formula!G17+Formula!I17+Formula!K17))*(INDEX(Properties!A$1:CB$87,Formula!F17,34))+((Formula!I17)/(Formula!C17+Formula!E17+Formula!G17+Formula!I17+Formula!K17))*(INDEX(Properties!A$1:CB$87,Formula!H17,34))+((Formula!K17)/(Formula!C17+Formula!E17+Formula!G17+Formula!I17+Formula!K17))*(INDEX(Properties!A$1:CB$87,Formula!J17,34))</f>
        <v>2.2633333333333332</v>
      </c>
      <c r="DG17" s="60">
        <f>Formula!C17*(INDEX(Properties!A$1:CB$87,Formula!B17,34))+Formula!E17*(INDEX(Properties!A$1:CB$87,Formula!D17,34))+Formula!G17*(INDEX(Properties!A$1:CB$87,Formula!F17,34))+Formula!I17*(INDEX(Properties!A$1:CB$87,Formula!H17,34))+Formula!K17*(INDEX(Properties!A$1:CB$87,Formula!J17,34))</f>
        <v>6.79</v>
      </c>
      <c r="DH17" s="60">
        <f>VARP(IF(INDEX(Properties!A$1:CB$87,Formula!B17,34)&lt;&gt;"",INDEX(Properties!A$1:CB$87,Formula!B17,34)),IF(INDEX(Properties!A$1:CB$87,Formula!D17,34)&lt;&gt;"",INDEX(Properties!A$1:CB$87,Formula!D17,34)),IF(INDEX(Properties!A$1:CB$87,Formula!F17,34)&lt;&gt;"",INDEX(Properties!A$1:CB$87,Formula!F17,34)),IF(INDEX(Properties!A$1:CB$87,Formula!H17,34)&lt;&gt;"",INDEX(Properties!A$1:CB$87,Formula!H17,34)),IF(INDEX(Properties!A$1:CB$87,Formula!J17,34)&lt;&gt;"",INDEX(Properties!A$1:CB$87,Formula!J17,34)))</f>
        <v>2.03044</v>
      </c>
      <c r="DI17" s="60">
        <f>MAX(INDEX(Properties!A$1:CB$87,Formula!B17,34),INDEX(Properties!A$1:CB$87,Formula!D17,34),INDEX(Properties!A$1:CB$87,Formula!F17,34),INDEX(Properties!A$1:CB$87,Formula!H17,34),INDEX(Properties!A$1:CB$87,Formula!J17,34))</f>
        <v>3.61</v>
      </c>
      <c r="DJ17" s="60">
        <f>MIN(IF(INDEX(Properties!A$1:CB$87,Formula!B17,34)=0,10^6,INDEX(Properties!A$1:CB$87,Formula!B17,34)),IF(INDEX(Properties!A$1:CB$87,Formula!D17,34)=0,10^6,INDEX(Properties!A$1:CB$87,Formula!D17,34)),IF(INDEX(Properties!A$1:CB$87,Formula!F17,34)=0,10^6,INDEX(Properties!A$1:CB$87,Formula!F17,34)),IF(INDEX(Properties!A$1:CB$87,Formula!H17,34)=0,10^6,INDEX(Properties!A$1:CB$87,Formula!H17,34)),IF(INDEX(Properties!A$1:CB$87,Formula!J17,34)=0,10^6,INDEX(Properties!A$1:CB$87,Formula!J17,34)))</f>
        <v>1.59</v>
      </c>
      <c r="DK17" s="60">
        <f t="shared" si="18"/>
        <v>2.0199999999999996</v>
      </c>
      <c r="DL17" s="45">
        <f>((Formula!C17)/(Formula!C17+Formula!E17+Formula!G17+Formula!I17+Formula!K17))*(INDEX(Properties!A$1:CB$87,Formula!B17,39))+((Formula!E17)/(Formula!C17+Formula!E17+Formula!G17+Formula!I17+Formula!K17))*(INDEX(Properties!A$1:CB$87,Formula!D17,39))+((Formula!G17)/(Formula!C17+Formula!E17+Formula!G17+Formula!I17+Formula!K17))*(INDEX(Properties!A$1:CB$87,Formula!F17,39))+((Formula!I17)/(Formula!C17+Formula!E17+Formula!G17+Formula!I17+Formula!K17))*(INDEX(Properties!A$1:CB$87,Formula!H17,39))+((Formula!K17)/(Formula!C17+Formula!E17+Formula!G17+Formula!I17+Formula!K17))*(INDEX(Properties!A$1:CB$87,Formula!J17,39))</f>
        <v>1.1066666666666665</v>
      </c>
      <c r="DM17" s="45">
        <f>Formula!C17*(INDEX(Properties!A$1:CB$87,Formula!B17,39))+Formula!E17*(INDEX(Properties!A$1:CB$87,Formula!D17,39))+Formula!G17*(INDEX(Properties!A$1:CB$87,Formula!F17,39))+Formula!I17*(INDEX(Properties!A$1:CB$87,Formula!H17,39))+Formula!K17*(INDEX(Properties!A$1:CB$87,Formula!J17,39))</f>
        <v>3.32</v>
      </c>
      <c r="DN17" s="45">
        <f>VARP(IF(INDEX(Properties!A$1:CB$87,Formula!B17,39)&lt;&gt;"",INDEX(Properties!A$1:CB$87,Formula!B17,39)),IF(INDEX(Properties!A$1:CB$87,Formula!D17,39)&lt;&gt;"",INDEX(Properties!A$1:CB$87,Formula!D17,39)),IF(INDEX(Properties!A$1:CB$87,Formula!F17,39)&lt;&gt;"",INDEX(Properties!A$1:CB$87,Formula!F17,39)),IF(INDEX(Properties!A$1:CB$87,Formula!H17,39)&lt;&gt;"",INDEX(Properties!A$1:CB$87,Formula!H17,39)),IF(INDEX(Properties!A$1:CB$87,Formula!J17,39)&lt;&gt;"",INDEX(Properties!A$1:CB$87,Formula!J17,39)))</f>
        <v>0.30496000000000001</v>
      </c>
      <c r="DO17" s="45">
        <f>MAX(INDEX(Properties!A$1:CB$87,Formula!B17,39),INDEX(Properties!A$1:CB$87,Formula!D17,39),INDEX(Properties!A$1:CB$87,Formula!F17,39),INDEX(Properties!A$1:CB$87,Formula!H17,39),INDEX(Properties!A$1:CB$87,Formula!J17,39))</f>
        <v>1.42</v>
      </c>
      <c r="DP17" s="45">
        <f>MIN(IF(INDEX(Properties!A$1:CB$87,Formula!B17,39)=0,10^6,INDEX(Properties!A$1:CB$87,Formula!B17,39)),IF(INDEX(Properties!A$1:CB$87,Formula!D17,39)=0,10^6,INDEX(Properties!A$1:CB$87,Formula!D17,39)),IF(INDEX(Properties!A$1:CB$87,Formula!F17,39)=0,10^6,INDEX(Properties!A$1:CB$87,Formula!F17,39)),IF(INDEX(Properties!A$1:CB$87,Formula!H17,39)=0,10^6,INDEX(Properties!A$1:CB$87,Formula!H17,39)),IF(INDEX(Properties!A$1:CB$87,Formula!J17,39)=0,10^6,INDEX(Properties!A$1:CB$87,Formula!J17,39)))</f>
        <v>0.48</v>
      </c>
      <c r="DQ17" s="45">
        <f t="shared" si="19"/>
        <v>0.94</v>
      </c>
      <c r="DR17" s="63">
        <f>((Formula!C17)/(Formula!C17+Formula!E17+Formula!G17+Formula!I17+Formula!K17))*(INDEX(Properties!A$1:CB$87,Formula!B17,40))+((Formula!E17)/(Formula!C17+Formula!E17+Formula!G17+Formula!I17+Formula!K17))*(INDEX(Properties!A$1:CB$87,Formula!D17,40))+((Formula!G17)/(Formula!C17+Formula!E17+Formula!G17+Formula!I17+Formula!K17))*(INDEX(Properties!A$1:CB$87,Formula!F17,40))+((Formula!I17)/(Formula!C17+Formula!E17+Formula!G17+Formula!I17+Formula!K17))*(INDEX(Properties!A$1:CB$87,Formula!H17,40))+((Formula!K17)/(Formula!C17+Formula!E17+Formula!G17+Formula!I17+Formula!K17))*(INDEX(Properties!A$1:CB$87,Formula!J17,40))</f>
        <v>1.1166666666666667</v>
      </c>
      <c r="DS17" s="63">
        <f>Formula!C17*(INDEX(Properties!A$1:CB$87,Formula!B17,40))+Formula!E17*(INDEX(Properties!A$1:CB$87,Formula!D17,40))+Formula!G17*(INDEX(Properties!A$1:CB$87,Formula!F17,40))+Formula!I17*(INDEX(Properties!A$1:CB$87,Formula!H17,40))+Formula!K17*(INDEX(Properties!A$1:CB$87,Formula!J17,40))</f>
        <v>3.35</v>
      </c>
      <c r="DT17" s="63">
        <f>VARP(IF(INDEX(Properties!A$1:CB$87,Formula!B17,40)&lt;&gt;"",INDEX(Properties!A$1:CB$87,Formula!B17,40)),IF(INDEX(Properties!A$1:CB$87,Formula!D17,40)&lt;&gt;"",INDEX(Properties!A$1:CB$87,Formula!D17,40)),IF(INDEX(Properties!A$1:CB$87,Formula!F17,40)&lt;&gt;"",INDEX(Properties!A$1:CB$87,Formula!F17,40)),IF(INDEX(Properties!A$1:CB$87,Formula!H17,40)&lt;&gt;"",INDEX(Properties!A$1:CB$87,Formula!H17,40)),IF(INDEX(Properties!A$1:CB$87,Formula!J17,40)&lt;&gt;"",INDEX(Properties!A$1:CB$87,Formula!J17,40)))</f>
        <v>0.28333600000000003</v>
      </c>
      <c r="DU17" s="63">
        <f>MAX(INDEX(Properties!A$1:CB$87,Formula!B17,40),INDEX(Properties!A$1:CB$87,Formula!D17,40),INDEX(Properties!A$1:CB$87,Formula!F17,40),INDEX(Properties!A$1:CB$87,Formula!H17,40),INDEX(Properties!A$1:CB$87,Formula!J17,40))</f>
        <v>1.31</v>
      </c>
      <c r="DV17" s="63">
        <f>MIN(IF(INDEX(Properties!A$1:CB$87,Formula!B17,40)=0,10^6,INDEX(Properties!A$1:CB$87,Formula!B17,40)),IF(INDEX(Properties!A$1:CB$87,Formula!D17,40)=0,10^6,INDEX(Properties!A$1:CB$87,Formula!D17,40)),IF(INDEX(Properties!A$1:CB$87,Formula!F17,40)=0,10^6,INDEX(Properties!A$1:CB$87,Formula!F17,40)),IF(INDEX(Properties!A$1:CB$87,Formula!H17,40)=0,10^6,INDEX(Properties!A$1:CB$87,Formula!H17,40)),IF(INDEX(Properties!A$1:CB$87,Formula!J17,40)=0,10^6,INDEX(Properties!A$1:CB$87,Formula!J17,40)))</f>
        <v>0.73</v>
      </c>
      <c r="DW17" s="63">
        <f t="shared" si="20"/>
        <v>0.58000000000000007</v>
      </c>
      <c r="DX17" s="75">
        <f>((Formula!C17)/(Formula!C17+Formula!E17+Formula!G17+Formula!I17+Formula!K17))*(INDEX(Properties!A$1:CB$87,Formula!B17,41))+((Formula!E17)/(Formula!C17+Formula!E17+Formula!G17+Formula!I17+Formula!K17))*(INDEX(Properties!A$1:CB$87,Formula!D17,41))+((Formula!G17)/(Formula!C17+Formula!E17+Formula!G17+Formula!I17+Formula!K17))*(INDEX(Properties!A$1:CB$87,Formula!F17,41))+((Formula!I17)/(Formula!C17+Formula!E17+Formula!G17+Formula!I17+Formula!K17))*(INDEX(Properties!A$1:CB$87,Formula!H17,41))+((Formula!K17)/(Formula!C17+Formula!E17+Formula!G17+Formula!I17+Formula!K17))*(INDEX(Properties!A$1:CB$87,Formula!J17,41))</f>
        <v>1.0066666666666666</v>
      </c>
      <c r="DY17" s="75">
        <f>Formula!C17*(INDEX(Properties!A$1:CB$87,Formula!B17,41))+Formula!E17*(INDEX(Properties!A$1:CB$87,Formula!D17,41))+Formula!G17*(INDEX(Properties!A$1:CB$87,Formula!F17,41))+Formula!I17*(INDEX(Properties!A$1:CB$87,Formula!H17,41))+Formula!K17*(INDEX(Properties!A$1:CB$87,Formula!J17,41))</f>
        <v>3.02</v>
      </c>
      <c r="DZ17" s="75">
        <f>VARP(IF(INDEX(Properties!A$1:CB$87,Formula!B17,41)&lt;&gt;"",INDEX(Properties!A$1:CB$87,Formula!B17,41)),IF(INDEX(Properties!A$1:CB$87,Formula!D17,41)&lt;&gt;"",INDEX(Properties!A$1:CB$87,Formula!D17,41)),IF(INDEX(Properties!A$1:CB$87,Formula!F17,41)&lt;&gt;"",INDEX(Properties!A$1:CB$87,Formula!F17,41)),IF(INDEX(Properties!A$1:CB$87,Formula!H17,41)&lt;&gt;"",INDEX(Properties!A$1:CB$87,Formula!H17,41)),IF(INDEX(Properties!A$1:CB$87,Formula!J17,41)&lt;&gt;"",INDEX(Properties!A$1:CB$87,Formula!J17,41)))</f>
        <v>0.28921600000000003</v>
      </c>
      <c r="EA17" s="75">
        <f>MAX(INDEX(Properties!A$1:CB$87,Formula!B17,41),INDEX(Properties!A$1:CB$87,Formula!D17,41),INDEX(Properties!A$1:CB$87,Formula!F17,41),INDEX(Properties!A$1:CB$87,Formula!H17,41),INDEX(Properties!A$1:CB$87,Formula!J17,41))</f>
        <v>1.26</v>
      </c>
      <c r="EB17" s="75">
        <f>MIN(IF(INDEX(Properties!A$1:CB$87,Formula!B17,41)=0,10^6,INDEX(Properties!A$1:CB$87,Formula!B17,41)),IF(INDEX(Properties!A$1:CB$87,Formula!D17,41)=0,10^6,INDEX(Properties!A$1:CB$87,Formula!D17,41)),IF(INDEX(Properties!A$1:CB$87,Formula!F17,41)=0,10^6,INDEX(Properties!A$1:CB$87,Formula!F17,41)),IF(INDEX(Properties!A$1:CB$87,Formula!H17,41)=0,10^6,INDEX(Properties!A$1:CB$87,Formula!H17,41)),IF(INDEX(Properties!A$1:CB$87,Formula!J17,41)=0,10^6,INDEX(Properties!A$1:CB$87,Formula!J17,41)))</f>
        <v>0.88</v>
      </c>
      <c r="EC17" s="75">
        <f t="shared" si="21"/>
        <v>0.38</v>
      </c>
      <c r="ED17" s="48">
        <f>((Formula!C17)/(Formula!C17+Formula!E17+Formula!G17+Formula!I17+Formula!K17))*(INDEX(Properties!A$1:CB$87,Formula!B17,45))+((Formula!E17)/(Formula!C17+Formula!E17+Formula!G17+Formula!I17+Formula!K17))*(INDEX(Properties!A$1:CB$87,Formula!D17,45))+((Formula!G17)/(Formula!C17+Formula!E17+Formula!G17+Formula!I17+Formula!K17))*(INDEX(Properties!A$1:CB$87,Formula!F17,45))+((Formula!I17)/(Formula!C17+Formula!E17+Formula!G17+Formula!I17+Formula!K17))*(INDEX(Properties!A$1:CB$87,Formula!H17,45))+((Formula!K17)/(Formula!C17+Formula!E17+Formula!G17+Formula!I17+Formula!K17))*(INDEX(Properties!A$1:CB$87,Formula!J17,45))</f>
        <v>1.41</v>
      </c>
      <c r="EE17" s="48">
        <f>Formula!C17*(INDEX(Properties!A$1:CB$87,Formula!B17,45))+Formula!E17*(INDEX(Properties!A$1:CB$87,Formula!D17,45))+Formula!G17*(INDEX(Properties!A$1:CB$87,Formula!F17,45))+Formula!I17*(INDEX(Properties!A$1:CB$87,Formula!H17,45))+Formula!K17*(INDEX(Properties!A$1:CB$87,Formula!J17,45))</f>
        <v>4.2299999999999995</v>
      </c>
      <c r="EF17" s="48">
        <f>VARP(IF(INDEX(Properties!A$1:CB$87,Formula!B17,45)&lt;&gt;"",INDEX(Properties!A$1:CB$87,Formula!B17,45)),IF(INDEX(Properties!A$1:CB$87,Formula!D17,45)&lt;&gt;"",INDEX(Properties!A$1:CB$87,Formula!D17,45)),IF(INDEX(Properties!A$1:CB$87,Formula!F17,45)&lt;&gt;"",INDEX(Properties!A$1:CB$87,Formula!F17,45)),IF(INDEX(Properties!A$1:CB$87,Formula!H17,45)&lt;&gt;"",INDEX(Properties!A$1:CB$87,Formula!H17,45)),IF(INDEX(Properties!A$1:CB$87,Formula!J17,45)&lt;&gt;"",INDEX(Properties!A$1:CB$87,Formula!J17,45)))</f>
        <v>0.53016000000000008</v>
      </c>
      <c r="EG17" s="48">
        <f>MAX(INDEX(Properties!A$1:CB$87,Formula!B17,45),INDEX(Properties!A$1:CB$87,Formula!D17,45),INDEX(Properties!A$1:CB$87,Formula!F17,45),INDEX(Properties!A$1:CB$87,Formula!H17,45),INDEX(Properties!A$1:CB$87,Formula!J17,45))</f>
        <v>1.88</v>
      </c>
      <c r="EH17" s="48">
        <f>MIN(IF(INDEX(Properties!A$1:CB$87,Formula!B17,45)=0,10^6,INDEX(Properties!A$1:CB$87,Formula!B17,45)),IF(INDEX(Properties!A$1:CB$87,Formula!D17,45)=0,10^6,INDEX(Properties!A$1:CB$87,Formula!D17,45)),IF(INDEX(Properties!A$1:CB$87,Formula!F17,45)=0,10^6,INDEX(Properties!A$1:CB$87,Formula!F17,45)),IF(INDEX(Properties!A$1:CB$87,Formula!H17,45)=0,10^6,INDEX(Properties!A$1:CB$87,Formula!H17,45)),IF(INDEX(Properties!A$1:CB$87,Formula!J17,45)=0,10^6,INDEX(Properties!A$1:CB$87,Formula!J17,45)))</f>
        <v>0.47</v>
      </c>
      <c r="EI17" s="48">
        <f t="shared" si="22"/>
        <v>1.41</v>
      </c>
      <c r="EJ17" s="66">
        <f>((Formula!C17)/(Formula!C17+Formula!E17+Formula!G17+Formula!I17+Formula!K17))*(INDEX(Properties!A$1:CB$87,Formula!B17,46))+((Formula!E17)/(Formula!C17+Formula!E17+Formula!G17+Formula!I17+Formula!K17))*(INDEX(Properties!A$1:CB$87,Formula!D17,46))+((Formula!G17)/(Formula!C17+Formula!E17+Formula!G17+Formula!I17+Formula!K17))*(INDEX(Properties!A$1:CB$87,Formula!F17,46))+((Formula!I17)/(Formula!C17+Formula!E17+Formula!G17+Formula!I17+Formula!K17))*(INDEX(Properties!A$1:CB$87,Formula!H17,46))+((Formula!K17)/(Formula!C17+Formula!E17+Formula!G17+Formula!I17+Formula!K17))*(INDEX(Properties!A$1:CB$87,Formula!J17,46))</f>
        <v>0.89666666666666661</v>
      </c>
      <c r="EK17" s="66">
        <f>Formula!C17*(INDEX(Properties!A$1:CB$87,Formula!B17,46))+Formula!E17*(INDEX(Properties!A$1:CB$87,Formula!D17,46))+Formula!G17*(INDEX(Properties!A$1:CB$87,Formula!F17,46))+Formula!I17*(INDEX(Properties!A$1:CB$87,Formula!H17,46))+Formula!K17*(INDEX(Properties!A$1:CB$87,Formula!J17,46))</f>
        <v>2.69</v>
      </c>
      <c r="EL17" s="66">
        <f>VARP(IF(INDEX(Properties!A$1:CB$87,Formula!B17,46)&lt;&gt;"",INDEX(Properties!A$1:CB$87,Formula!B17,46)),IF(INDEX(Properties!A$1:CB$87,Formula!D17,46)&lt;&gt;"",INDEX(Properties!A$1:CB$87,Formula!D17,46)),IF(INDEX(Properties!A$1:CB$87,Formula!F17,46)&lt;&gt;"",INDEX(Properties!A$1:CB$87,Formula!F17,46)),IF(INDEX(Properties!A$1:CB$87,Formula!H17,46)&lt;&gt;"",INDEX(Properties!A$1:CB$87,Formula!H17,46)),IF(INDEX(Properties!A$1:CB$87,Formula!J17,46)&lt;&gt;"",INDEX(Properties!A$1:CB$87,Formula!J17,46)))</f>
        <v>0.25023999999999996</v>
      </c>
      <c r="EM17" s="66">
        <f>MAX(INDEX(Properties!A$1:CB$87,Formula!B17,46),INDEX(Properties!A$1:CB$87,Formula!D17,46),INDEX(Properties!A$1:CB$87,Formula!F17,46),INDEX(Properties!A$1:CB$87,Formula!H17,46),INDEX(Properties!A$1:CB$87,Formula!J17,46))</f>
        <v>1.21</v>
      </c>
      <c r="EN17" s="66">
        <f>MIN(IF(INDEX(Properties!A$1:CB$87,Formula!B17,46)=0,10^6,INDEX(Properties!A$1:CB$87,Formula!B17,46)),IF(INDEX(Properties!A$1:CB$87,Formula!D17,46)=0,10^6,INDEX(Properties!A$1:CB$87,Formula!D17,46)),IF(INDEX(Properties!A$1:CB$87,Formula!F17,46)=0,10^6,INDEX(Properties!A$1:CB$87,Formula!F17,46)),IF(INDEX(Properties!A$1:CB$87,Formula!H17,46)=0,10^6,INDEX(Properties!A$1:CB$87,Formula!H17,46)),IF(INDEX(Properties!A$1:CB$87,Formula!J17,46)=0,10^6,INDEX(Properties!A$1:CB$87,Formula!J17,46)))</f>
        <v>0.74</v>
      </c>
      <c r="EO17" s="66">
        <f t="shared" si="23"/>
        <v>0.47</v>
      </c>
      <c r="EP17" s="81">
        <f>((Formula!C17)/(Formula!C17+Formula!E17+Formula!G17+Formula!I17+Formula!K17))*(INDEX(Properties!A$1:CB$87,Formula!B17,52))+((Formula!E17)/(Formula!C17+Formula!E17+Formula!G17+Formula!I17+Formula!K17))*(INDEX(Properties!A$1:CB$87,Formula!D17,52))+((Formula!G17)/(Formula!C17+Formula!E17+Formula!G17+Formula!I17+Formula!K17))*(INDEX(Properties!A$1:CB$87,Formula!F17,52))+((Formula!I17)/(Formula!C17+Formula!E17+Formula!G17+Formula!I17+Formula!K17))*(INDEX(Properties!A$1:CB$87,Formula!H17,52))+((Formula!K17)/(Formula!C17+Formula!E17+Formula!G17+Formula!I17+Formula!K17))*(INDEX(Properties!A$1:CB$87,Formula!J17,52))</f>
        <v>4.5309999999999997</v>
      </c>
      <c r="EQ17" s="81">
        <f>Formula!C17*(INDEX(Properties!A$1:CB$87,Formula!B17,52))+Formula!E17*(INDEX(Properties!A$1:CB$87,Formula!D17,52))+Formula!G17*(INDEX(Properties!A$1:CB$87,Formula!F17,52))+Formula!I17*(INDEX(Properties!A$1:CB$87,Formula!H17,52))+Formula!K17*(INDEX(Properties!A$1:CB$87,Formula!J17,52))</f>
        <v>13.593</v>
      </c>
      <c r="ER17" s="81">
        <f>VARP(IF(INDEX(Properties!A$1:CB$87,Formula!B17,52)&lt;&gt;"",INDEX(Properties!A$1:CB$87,Formula!B17,52)),IF(INDEX(Properties!A$1:CB$87,Formula!D17,52)&lt;&gt;"",INDEX(Properties!A$1:CB$87,Formula!D17,52)),IF(INDEX(Properties!A$1:CB$87,Formula!F17,52)&lt;&gt;"",INDEX(Properties!A$1:CB$87,Formula!F17,52)),IF(INDEX(Properties!A$1:CB$87,Formula!H17,52)&lt;&gt;"",INDEX(Properties!A$1:CB$87,Formula!H17,52)),IF(INDEX(Properties!A$1:CB$87,Formula!J17,52)&lt;&gt;"",INDEX(Properties!A$1:CB$87,Formula!J17,52)))</f>
        <v>6.2481998400000016</v>
      </c>
      <c r="ES17" s="81">
        <f>MAX(INDEX(Properties!A$1:CB$87,Formula!B17,52),INDEX(Properties!A$1:CB$87,Formula!D17,52),INDEX(Properties!A$1:CB$87,Formula!F17,52),INDEX(Properties!A$1:CB$87,Formula!H17,52),INDEX(Properties!A$1:CB$87,Formula!J17,52))</f>
        <v>6.4</v>
      </c>
      <c r="ET17" s="81">
        <f>MIN(IF(INDEX(Properties!A$1:CB$87,Formula!B17,52)=0,10^6,INDEX(Properties!A$1:CB$87,Formula!B17,52)),IF(INDEX(Properties!A$1:CB$87,Formula!D17,52)=0,10^6,INDEX(Properties!A$1:CB$87,Formula!D17,52)),IF(INDEX(Properties!A$1:CB$87,Formula!F17,52)=0,10^6,INDEX(Properties!A$1:CB$87,Formula!F17,52)),IF(INDEX(Properties!A$1:CB$87,Formula!H17,52)=0,10^6,INDEX(Properties!A$1:CB$87,Formula!H17,52)),IF(INDEX(Properties!A$1:CB$87,Formula!J17,52)=0,10^6,INDEX(Properties!A$1:CB$87,Formula!J17,52)))</f>
        <v>0.79300000000000004</v>
      </c>
      <c r="EU17" s="81">
        <f t="shared" si="24"/>
        <v>5.6070000000000002</v>
      </c>
      <c r="EV17" s="39">
        <f>((Formula!C17)/(Formula!C17+Formula!E17+Formula!G17+Formula!I17+Formula!K17))*(INDEX(Properties!A$1:CB$87,Formula!B17,53))+((Formula!E17)/(Formula!C17+Formula!E17+Formula!G17+Formula!I17+Formula!K17))*(INDEX(Properties!A$1:CB$87,Formula!D17,53))+((Formula!G17)/(Formula!C17+Formula!E17+Formula!G17+Formula!I17+Formula!K17))*(INDEX(Properties!A$1:CB$87,Formula!F17,53))+((Formula!I17)/(Formula!C17+Formula!E17+Formula!G17+Formula!I17+Formula!K17))*(INDEX(Properties!A$1:CB$87,Formula!H17,53))+((Formula!K17)/(Formula!C17+Formula!E17+Formula!G17+Formula!I17+Formula!K17))*(INDEX(Properties!A$1:CB$87,Formula!J17,53))</f>
        <v>480.08333333333331</v>
      </c>
      <c r="EW17" s="39">
        <f>Formula!C17*(INDEX(Properties!A$1:CB$87,Formula!B17,53))+Formula!E17*(INDEX(Properties!A$1:CB$87,Formula!D17,53))+Formula!G17*(INDEX(Properties!A$1:CB$87,Formula!F17,53))+Formula!I17*(INDEX(Properties!A$1:CB$87,Formula!H17,53))+Formula!K17*(INDEX(Properties!A$1:CB$87,Formula!J17,53))</f>
        <v>1440.25</v>
      </c>
      <c r="EX17" s="39">
        <f>VARP(IF(INDEX(Properties!A$1:CB$87,Formula!B17,53)&lt;&gt;"",INDEX(Properties!A$1:CB$87,Formula!B17,53)),IF(INDEX(Properties!A$1:CB$87,Formula!D17,53)&lt;&gt;"",INDEX(Properties!A$1:CB$87,Formula!D17,53)),IF(INDEX(Properties!A$1:CB$87,Formula!F17,53)&lt;&gt;"",INDEX(Properties!A$1:CB$87,Formula!F17,53)),IF(INDEX(Properties!A$1:CB$87,Formula!H17,53)&lt;&gt;"",INDEX(Properties!A$1:CB$87,Formula!H17,53)),IF(INDEX(Properties!A$1:CB$87,Formula!J17,53)&lt;&gt;"",INDEX(Properties!A$1:CB$87,Formula!J17,53)))</f>
        <v>74229.774999999994</v>
      </c>
      <c r="EY17" s="39">
        <f>MAX(INDEX(Properties!A$1:CB$87,Formula!B17,53),INDEX(Properties!A$1:CB$87,Formula!D17,53),INDEX(Properties!A$1:CB$87,Formula!F17,53),INDEX(Properties!A$1:CB$87,Formula!H17,53),INDEX(Properties!A$1:CB$87,Formula!J17,53))</f>
        <v>692.75</v>
      </c>
      <c r="EZ17" s="39">
        <f>MIN(IF(INDEX(Properties!A$1:CB$87,Formula!B17,53)=0,10^6,INDEX(Properties!A$1:CB$87,Formula!B17,53)),IF(INDEX(Properties!A$1:CB$87,Formula!D17,53)=0,10^6,INDEX(Properties!A$1:CB$87,Formula!D17,53)),IF(INDEX(Properties!A$1:CB$87,Formula!F17,53)=0,10^6,INDEX(Properties!A$1:CB$87,Formula!F17,53)),IF(INDEX(Properties!A$1:CB$87,Formula!H17,53)=0,10^6,INDEX(Properties!A$1:CB$87,Formula!H17,53)),IF(INDEX(Properties!A$1:CB$87,Formula!J17,53)=0,10^6,INDEX(Properties!A$1:CB$87,Formula!J17,53)))</f>
        <v>54.749999999999972</v>
      </c>
      <c r="FA17" s="39">
        <f t="shared" si="25"/>
        <v>638</v>
      </c>
      <c r="FB17" s="54">
        <f>((Formula!C17)/(Formula!C17+Formula!E17+Formula!G17+Formula!I17+Formula!K17))*(INDEX(Properties!A$1:CB$87,Formula!B17,54))+((Formula!E17)/(Formula!C17+Formula!E17+Formula!G17+Formula!I17+Formula!K17))*(INDEX(Properties!A$1:CB$87,Formula!D17,54))+((Formula!G17)/(Formula!C17+Formula!E17+Formula!G17+Formula!I17+Formula!K17))*(INDEX(Properties!A$1:CB$87,Formula!F17,54))+((Formula!I17)/(Formula!C17+Formula!E17+Formula!G17+Formula!I17+Formula!K17))*(INDEX(Properties!A$1:CB$87,Formula!H17,54))+((Formula!K17)/(Formula!C17+Formula!E17+Formula!G17+Formula!I17+Formula!K17))*(INDEX(Properties!A$1:CB$87,Formula!J17,54))</f>
        <v>816.15</v>
      </c>
      <c r="FC17" s="54">
        <f>Formula!C17*(INDEX(Properties!A$1:CB$87,Formula!B17,54))+Formula!E17*(INDEX(Properties!A$1:CB$87,Formula!D17,54))+Formula!G17*(INDEX(Properties!A$1:CB$87,Formula!F17,54))+Formula!I17*(INDEX(Properties!A$1:CB$87,Formula!H17,54))+Formula!K17*(INDEX(Properties!A$1:CB$87,Formula!J17,54))</f>
        <v>2448.4500000000003</v>
      </c>
      <c r="FD17" s="54">
        <f>VARP(IF(INDEX(Properties!A$1:CB$87,Formula!B17,54)&lt;&gt;"",INDEX(Properties!A$1:CB$87,Formula!B17,54)),IF(INDEX(Properties!A$1:CB$87,Formula!D17,54)&lt;&gt;"",INDEX(Properties!A$1:CB$87,Formula!D17,54)),IF(INDEX(Properties!A$1:CB$87,Formula!F17,54)&lt;&gt;"",INDEX(Properties!A$1:CB$87,Formula!F17,54)),IF(INDEX(Properties!A$1:CB$87,Formula!H17,54)&lt;&gt;"",INDEX(Properties!A$1:CB$87,Formula!H17,54)),IF(INDEX(Properties!A$1:CB$87,Formula!J17,54)&lt;&gt;"",INDEX(Properties!A$1:CB$87,Formula!J17,54)))</f>
        <v>215259.44940000001</v>
      </c>
      <c r="FE17" s="54">
        <f>MAX(INDEX(Properties!A$1:CB$87,Formula!B17,54),INDEX(Properties!A$1:CB$87,Formula!D17,54),INDEX(Properties!A$1:CB$87,Formula!F17,54),INDEX(Properties!A$1:CB$87,Formula!H17,54),INDEX(Properties!A$1:CB$87,Formula!J17,54))</f>
        <v>1179.1500000000001</v>
      </c>
      <c r="FF17" s="54">
        <f>MIN(IF(INDEX(Properties!A$1:CB$87,Formula!B17,54)=0,10^6,INDEX(Properties!A$1:CB$87,Formula!B17,54)),IF(INDEX(Properties!A$1:CB$87,Formula!D17,54)=0,10^6,INDEX(Properties!A$1:CB$87,Formula!D17,54)),IF(INDEX(Properties!A$1:CB$87,Formula!F17,54)=0,10^6,INDEX(Properties!A$1:CB$87,Formula!F17,54)),IF(INDEX(Properties!A$1:CB$87,Formula!H17,54)=0,10^6,INDEX(Properties!A$1:CB$87,Formula!H17,54)),IF(INDEX(Properties!A$1:CB$87,Formula!J17,54)=0,10^6,INDEX(Properties!A$1:CB$87,Formula!J17,54)))</f>
        <v>90.149999999999977</v>
      </c>
      <c r="FG17" s="54">
        <f t="shared" si="26"/>
        <v>1089</v>
      </c>
      <c r="FH17" s="69">
        <f>((Formula!C17)/(Formula!C17+Formula!E17+Formula!G17+Formula!I17+Formula!K17))*(INDEX(Properties!A$1:CB$87,Formula!B17,55))+((Formula!E17)/(Formula!C17+Formula!E17+Formula!G17+Formula!I17+Formula!K17))*(INDEX(Properties!A$1:CB$87,Formula!D17,55))+((Formula!G17)/(Formula!C17+Formula!E17+Formula!G17+Formula!I17+Formula!K17))*(INDEX(Properties!A$1:CB$87,Formula!F17,55))+((Formula!I17)/(Formula!C17+Formula!E17+Formula!G17+Formula!I17+Formula!K17))*(INDEX(Properties!A$1:CB$87,Formula!H17,55))+((Formula!K17)/(Formula!C17+Formula!E17+Formula!G17+Formula!I17+Formula!K17))*(INDEX(Properties!A$1:CB$87,Formula!J17,55))</f>
        <v>4.7538099999999996</v>
      </c>
      <c r="FI17" s="69">
        <f>Formula!C17*(INDEX(Properties!A$1:CB$87,Formula!B17,55))+Formula!E17*(INDEX(Properties!A$1:CB$87,Formula!D17,54))+Formula!G17*(INDEX(Properties!A$1:CB$87,Formula!F17,55))+Formula!I17*(INDEX(Properties!A$1:CB$87,Formula!H17,55))+Formula!K17*(INDEX(Properties!A$1:CB$87,Formula!J17,55))</f>
        <v>104.40999999999998</v>
      </c>
      <c r="FJ17" s="69">
        <f>VARP(IF(INDEX(Properties!A$1:CB$87,Formula!B17,55)&lt;&gt;"",INDEX(Properties!A$1:CB$87,Formula!B17,55)),IF(INDEX(Properties!A$1:CB$87,Formula!D17,55)&lt;&gt;"",INDEX(Properties!A$1:CB$87,Formula!D17,55)),IF(INDEX(Properties!A$1:CB$87,Formula!F17,55)&lt;&gt;"",INDEX(Properties!A$1:CB$87,Formula!F17,55)),IF(INDEX(Properties!A$1:CB$87,Formula!H17,55)&lt;&gt;"",INDEX(Properties!A$1:CB$87,Formula!H17,55)),IF(INDEX(Properties!A$1:CB$87,Formula!J17,55)&lt;&gt;"",INDEX(Properties!A$1:CB$87,Formula!J17,55)))</f>
        <v>8.1330886551840003</v>
      </c>
      <c r="FK17" s="69">
        <f>MAX(INDEX(Properties!A$1:CB$87,Formula!B17,55),INDEX(Properties!A$1:CB$87,Formula!D17,55),INDEX(Properties!A$1:CB$87,Formula!F17,55),INDEX(Properties!A$1:CB$87,Formula!H17,55),INDEX(Properties!A$1:CB$87,Formula!J17,55))</f>
        <v>7.13</v>
      </c>
      <c r="FL17" s="69">
        <f>MIN(IF(INDEX(Properties!A$1:CB$87,Formula!B17,55)=0,10^6,INDEX(Properties!A$1:CB$87,Formula!B17,55)),IF(INDEX(Properties!A$1:CB$87,Formula!D17,55)=0,10^6,INDEX(Properties!A$1:CB$87,Formula!D17,55)),IF(INDEX(Properties!A$1:CB$87,Formula!F17,55)=0,10^6,INDEX(Properties!A$1:CB$87,Formula!F17,55)),IF(INDEX(Properties!A$1:CB$87,Formula!H17,55)=0,10^6,INDEX(Properties!A$1:CB$87,Formula!H17,55)),IF(INDEX(Properties!A$1:CB$87,Formula!J17,55)=0,10^6,INDEX(Properties!A$1:CB$87,Formula!J17,55)))</f>
        <v>1.4300000000000001E-3</v>
      </c>
      <c r="FM17" s="69">
        <f t="shared" si="27"/>
        <v>7.1285699999999999</v>
      </c>
      <c r="FN17" s="42">
        <f>((Formula!C17)/(Formula!C17+Formula!E17+Formula!G17+Formula!I17+Formula!K17))*(INDEX(Properties!A$1:CB$87,Formula!B17,56))+((Formula!E17)/(Formula!C17+Formula!E17+Formula!G17+Formula!I17+Formula!K17))*(INDEX(Properties!A$1:CB$87,Formula!D17,56))+((Formula!G17)/(Formula!C17+Formula!E17+Formula!G17+Formula!I17+Formula!K17))*(INDEX(Properties!A$1:CB$87,Formula!F17,56))+((Formula!I17)/(Formula!C17+Formula!E17+Formula!G17+Formula!I17+Formula!K17))*(INDEX(Properties!A$1:CB$87,Formula!H17,56))+((Formula!K17)/(Formula!C17+Formula!E17+Formula!G17+Formula!I17+Formula!K17))*(INDEX(Properties!A$1:CB$87,Formula!J17,56))</f>
        <v>0.56666666666666665</v>
      </c>
      <c r="FO17" s="42">
        <f>Formula!C17*(INDEX(Properties!A$1:CB$87,Formula!B17,56))+Formula!E17*(INDEX(Properties!A$1:CB$87,Formula!D17,56))+Formula!G17*(INDEX(Properties!A$1:CB$87,Formula!F17,56))+Formula!I17*(INDEX(Properties!A$1:CB$87,Formula!H17,56))+Formula!K17*(INDEX(Properties!A$1:CB$87,Formula!J17,56))</f>
        <v>1.7000000000000002</v>
      </c>
      <c r="FP17" s="42">
        <f>VARP(IF(INDEX(Properties!A$1:CB$87,Formula!B17,56)&lt;&gt;"",INDEX(Properties!A$1:CB$87,Formula!B17,56)),IF(INDEX(Properties!A$1:CB$87,Formula!D17,56)&lt;&gt;"",INDEX(Properties!A$1:CB$87,Formula!D17,56)),IF(INDEX(Properties!A$1:CB$87,Formula!F17,56)&lt;&gt;"",INDEX(Properties!A$1:CB$87,Formula!F17,56)),IF(INDEX(Properties!A$1:CB$87,Formula!H17,56)&lt;&gt;"",INDEX(Properties!A$1:CB$87,Formula!H17,56)),IF(INDEX(Properties!A$1:CB$87,Formula!J17,56)&lt;&gt;"",INDEX(Properties!A$1:CB$87,Formula!J17,56)))</f>
        <v>0.13105600000000003</v>
      </c>
      <c r="FQ17" s="42">
        <f>MAX(INDEX(Properties!A$1:CB$87,Formula!B17,56),INDEX(Properties!A$1:CB$87,Formula!D17,56),INDEX(Properties!A$1:CB$87,Formula!F17,56),INDEX(Properties!A$1:CB$87,Formula!H17,56),INDEX(Properties!A$1:CB$87,Formula!J17,56))</f>
        <v>0.92</v>
      </c>
      <c r="FR17" s="42">
        <f>MIN(IF(INDEX(Properties!A$1:CB$87,Formula!B17,56)=0,10^6,INDEX(Properties!A$1:CB$87,Formula!B17,56)),IF(INDEX(Properties!A$1:CB$87,Formula!D17,56)=0,10^6,INDEX(Properties!A$1:CB$87,Formula!D17,56)),IF(INDEX(Properties!A$1:CB$87,Formula!F17,56)=0,10^6,INDEX(Properties!A$1:CB$87,Formula!F17,56)),IF(INDEX(Properties!A$1:CB$87,Formula!H17,56)=0,10^6,INDEX(Properties!A$1:CB$87,Formula!H17,56)),IF(INDEX(Properties!A$1:CB$87,Formula!J17,56)=0,10^6,INDEX(Properties!A$1:CB$87,Formula!J17,56)))</f>
        <v>0.39</v>
      </c>
      <c r="FS17" s="42">
        <f t="shared" si="28"/>
        <v>0.53</v>
      </c>
      <c r="FT17" s="60">
        <f>((Formula!C17)/(Formula!C17+Formula!E17+Formula!G17+Formula!I17+Formula!K17))*(INDEX(Properties!A$1:CB$87,Formula!B17,57))+((Formula!E17)/(Formula!C17+Formula!E17+Formula!G17+Formula!I17+Formula!K17))*(INDEX(Properties!A$1:CB$87,Formula!D17,57))+((Formula!G17)/(Formula!C17+Formula!E17+Formula!G17+Formula!I17+Formula!K17))*(INDEX(Properties!A$1:CB$87,Formula!F17,57))+((Formula!I17)/(Formula!C17+Formula!E17+Formula!G17+Formula!I17+Formula!K17))*(INDEX(Properties!A$1:CB$87,Formula!H17,57))+((Formula!K17)/(Formula!C17+Formula!E17+Formula!G17+Formula!I17+Formula!K17))*(INDEX(Properties!A$1:CB$87,Formula!J17,57))</f>
        <v>4.9555299999999995</v>
      </c>
      <c r="FU17" s="60">
        <f>Formula!C17*(INDEX(Properties!A$1:CB$87,Formula!B17,57))+Formula!E17*(INDEX(Properties!A$1:CB$87,Formula!D17,57))+Formula!G17*(INDEX(Properties!A$1:CB$87,Formula!F17,57))+Formula!I17*(INDEX(Properties!A$1:CB$87,Formula!H17,57))+Formula!K17*(INDEX(Properties!A$1:CB$87,Formula!J17,57))</f>
        <v>14.86659</v>
      </c>
      <c r="FV17" s="60">
        <f>VARP(IF(INDEX(Properties!A$1:CB$87,Formula!B17,57)&lt;&gt;"",INDEX(Properties!A$1:CB$87,Formula!B17,57)),IF(INDEX(Properties!A$1:CB$87,Formula!D17,57)&lt;&gt;"",INDEX(Properties!A$1:CB$87,Formula!D17,57)),IF(INDEX(Properties!A$1:CB$87,Formula!F17,57)&lt;&gt;"",INDEX(Properties!A$1:CB$87,Formula!F17,57)),IF(INDEX(Properties!A$1:CB$87,Formula!H17,57)&lt;&gt;"",INDEX(Properties!A$1:CB$87,Formula!H17,57)),IF(INDEX(Properties!A$1:CB$87,Formula!J17,57)&lt;&gt;"",INDEX(Properties!A$1:CB$87,Formula!J17,57)))</f>
        <v>8.4554125308960018</v>
      </c>
      <c r="FW17" s="60">
        <f>MAX(INDEX(Properties!A$1:CB$87,Formula!B17,57),INDEX(Properties!A$1:CB$87,Formula!D17,57),INDEX(Properties!A$1:CB$87,Formula!F17,57),INDEX(Properties!A$1:CB$87,Formula!H17,57),INDEX(Properties!A$1:CB$87,Formula!J17,57))</f>
        <v>7.3220000000000001</v>
      </c>
      <c r="FX17" s="60">
        <f>MIN(IF(INDEX(Properties!A$1:CB$87,Formula!B17,57)=0,10^6,INDEX(Properties!A$1:CB$87,Formula!B17,57)),IF(INDEX(Properties!A$1:CB$87,Formula!D17,57)=0,10^6,INDEX(Properties!A$1:CB$87,Formula!D17,57)),IF(INDEX(Properties!A$1:CB$87,Formula!F17,57)=0,10^6,INDEX(Properties!A$1:CB$87,Formula!F17,57)),IF(INDEX(Properties!A$1:CB$87,Formula!H17,57)=0,10^6,INDEX(Properties!A$1:CB$87,Formula!H17,57)),IF(INDEX(Properties!A$1:CB$87,Formula!J17,57)=0,10^6,INDEX(Properties!A$1:CB$87,Formula!J17,57)))</f>
        <v>0.22259000000000001</v>
      </c>
      <c r="FY17" s="60">
        <f t="shared" si="29"/>
        <v>7.0994099999999998</v>
      </c>
      <c r="FZ17" s="72">
        <f>((Formula!C17)/(Formula!C17+Formula!E17+Formula!G17+Formula!I17+Formula!K17))*(INDEX(Properties!A$1:CB$87,Formula!B17,60))+((Formula!E17)/(Formula!C17+Formula!E17+Formula!G17+Formula!I17+Formula!K17))*(INDEX(Properties!A$1:CB$87,Formula!D17,60))+((Formula!G17)/(Formula!C17+Formula!E17+Formula!G17+Formula!I17+Formula!K17))*(INDEX(Properties!A$1:CB$87,Formula!F17,60))+((Formula!I17)/(Formula!C17+Formula!E17+Formula!G17+Formula!I17+Formula!K17))*(INDEX(Properties!A$1:CB$87,Formula!H17,60))+((Formula!K17)/(Formula!C17+Formula!E17+Formula!G17+Formula!I17+Formula!K17))*(INDEX(Properties!A$1:CB$87,Formula!J17,60))</f>
        <v>77.342246666666668</v>
      </c>
      <c r="GA17" s="72">
        <f>Formula!C17*(INDEX(Properties!A$1:CB$87,Formula!B17,60))+Formula!E17*(INDEX(Properties!A$1:CB$87,Formula!D17,60))+Formula!G17*(INDEX(Properties!A$1:CB$87,Formula!F17,60))+Formula!I17*(INDEX(Properties!A$1:CB$87,Formula!H17,60))+Formula!K17*(INDEX(Properties!A$1:CB$87,Formula!J17,60))</f>
        <v>232.02673999999999</v>
      </c>
      <c r="GB17" s="72">
        <f>VARP(IF(INDEX(Properties!A$1:CB$87,Formula!B17,60)&lt;&gt;"",INDEX(Properties!A$1:CB$87,Formula!B17,60)),IF(INDEX(Properties!A$1:CB$87,Formula!D17,60)&lt;&gt;"",INDEX(Properties!A$1:CB$87,Formula!D17,60)),IF(INDEX(Properties!A$1:CB$87,Formula!F17,60)&lt;&gt;"",INDEX(Properties!A$1:CB$87,Formula!F17,60)),IF(INDEX(Properties!A$1:CB$87,Formula!H17,60)&lt;&gt;"",INDEX(Properties!A$1:CB$87,Formula!H17,60)),IF(INDEX(Properties!A$1:CB$87,Formula!J17,60)&lt;&gt;"",INDEX(Properties!A$1:CB$87,Formula!J17,60)))</f>
        <v>2152.7119672044155</v>
      </c>
      <c r="GC17" s="72">
        <f>MAX(INDEX(Properties!A$1:CB$87,Formula!B17,60),INDEX(Properties!A$1:CB$87,Formula!D17,60),INDEX(Properties!A$1:CB$87,Formula!F17,60),INDEX(Properties!A$1:CB$87,Formula!H17,60),INDEX(Properties!A$1:CB$87,Formula!J17,60))</f>
        <v>116</v>
      </c>
      <c r="GD17" s="72">
        <f>MIN(IF(INDEX(Properties!A$1:CB$87,Formula!B17,60)=0,10^6,INDEX(Properties!A$1:CB$87,Formula!B17,60)),IF(INDEX(Properties!A$1:CB$87,Formula!D17,60)=0,10^6,INDEX(Properties!A$1:CB$87,Formula!D17,60)),IF(INDEX(Properties!A$1:CB$87,Formula!F17,60)=0,10^6,INDEX(Properties!A$1:CB$87,Formula!F17,60)),IF(INDEX(Properties!A$1:CB$87,Formula!H17,60)=0,10^6,INDEX(Properties!A$1:CB$87,Formula!H17,60)),IF(INDEX(Properties!A$1:CB$87,Formula!J17,60)=0,10^6,INDEX(Properties!A$1:CB$87,Formula!J17,60)))</f>
        <v>2.674E-2</v>
      </c>
      <c r="GE17" s="72">
        <f t="shared" si="30"/>
        <v>115.97326</v>
      </c>
      <c r="GF17" s="51">
        <f>((Formula!C17)/(Formula!C17+Formula!E17+Formula!G17+Formula!I17+Formula!K17))*(INDEX(Properties!A$1:CB$87,Formula!B17,62))+((Formula!E17)/(Formula!C17+Formula!E17+Formula!G17+Formula!I17+Formula!K17))*(INDEX(Properties!A$1:CB$87,Formula!D17,62))+((Formula!G17)/(Formula!C17+Formula!E17+Formula!G17+Formula!I17+Formula!K17))*(INDEX(Properties!A$1:CB$87,Formula!F17,62))+((Formula!I17)/(Formula!C17+Formula!E17+Formula!G17+Formula!I17+Formula!K17))*(INDEX(Properties!A$1:CB$87,Formula!H17,62))+((Formula!K17)/(Formula!C17+Formula!E17+Formula!G17+Formula!I17+Formula!K17))*(INDEX(Properties!A$1:CB$87,Formula!J17,62))</f>
        <v>1.7733333333333334</v>
      </c>
      <c r="GG17" s="51">
        <f>Formula!C17*(INDEX(Properties!A$1:CB$87,Formula!B17,62))+Formula!E17*(INDEX(Properties!A$1:CB$87,Formula!D17,62))+Formula!G17*(INDEX(Properties!A$1:CB$87,Formula!F17,62))+Formula!I17*(INDEX(Properties!A$1:CB$87,Formula!H17,62))+Formula!K17*(INDEX(Properties!A$1:CB$87,Formula!J17,62))</f>
        <v>5.32</v>
      </c>
      <c r="GH17" s="51">
        <f>VARP(IF(INDEX(Properties!A$1:CB$87,Formula!B17,62)&lt;&gt;"",INDEX(Properties!A$1:CB$87,Formula!B17,62)),IF(INDEX(Properties!A$1:CB$87,Formula!D17,62)&lt;&gt;"",INDEX(Properties!A$1:CB$87,Formula!D17,62)),IF(INDEX(Properties!A$1:CB$87,Formula!F17,62)&lt;&gt;"",INDEX(Properties!A$1:CB$87,Formula!F17,62)),IF(INDEX(Properties!A$1:CB$87,Formula!H17,62)&lt;&gt;"",INDEX(Properties!A$1:CB$87,Formula!H17,62)),IF(INDEX(Properties!A$1:CB$87,Formula!J17,62)&lt;&gt;"",INDEX(Properties!A$1:CB$87,Formula!J17,62)))</f>
        <v>1.1069440000000004</v>
      </c>
      <c r="GI17" s="51">
        <f>MAX(INDEX(Properties!A$1:CB$87,Formula!B17,62),INDEX(Properties!A$1:CB$87,Formula!D17,62),INDEX(Properties!A$1:CB$87,Formula!F17,62),INDEX(Properties!A$1:CB$87,Formula!H17,62),INDEX(Properties!A$1:CB$87,Formula!J17,62))</f>
        <v>2.62</v>
      </c>
      <c r="GJ17" s="51">
        <f>MIN(IF(INDEX(Properties!A$1:CB$87,Formula!B17,62)=0,10^6,INDEX(Properties!A$1:CB$87,Formula!B17,62)),IF(INDEX(Properties!A$1:CB$87,Formula!D17,62)=0,10^6,INDEX(Properties!A$1:CB$87,Formula!D17,62)),IF(INDEX(Properties!A$1:CB$87,Formula!F17,62)=0,10^6,INDEX(Properties!A$1:CB$87,Formula!F17,62)),IF(INDEX(Properties!A$1:CB$87,Formula!H17,62)=0,10^6,INDEX(Properties!A$1:CB$87,Formula!H17,62)),IF(INDEX(Properties!A$1:CB$87,Formula!J17,62)=0,10^6,INDEX(Properties!A$1:CB$87,Formula!J17,62)))</f>
        <v>1.35</v>
      </c>
      <c r="GK17" s="51">
        <f t="shared" si="31"/>
        <v>1.27</v>
      </c>
      <c r="GL17" s="51">
        <f>Formula!P17</f>
        <v>186</v>
      </c>
      <c r="GM17" s="57">
        <f>Formula!O17</f>
        <v>6</v>
      </c>
      <c r="GN17" s="51">
        <f>Formula!N17</f>
        <v>0.03</v>
      </c>
    </row>
    <row r="18" spans="1:196" s="5" customFormat="1" x14ac:dyDescent="0.3">
      <c r="A18" s="84" t="str">
        <f>Formula!A18</f>
        <v>Mg2SiO4</v>
      </c>
      <c r="B18" s="89">
        <f>((Formula!C18)/(Formula!C18+Formula!E18+Formula!G18+Formula!I18+Formula!K18))*(INDEX(Properties!A$1:CB$87,Formula!B18,3))+((Formula!E18)/(Formula!C18+Formula!E18+Formula!G18+Formula!I18+Formula!K18))*(INDEX(Properties!A$1:CB$87,Formula!D18,3))+((Formula!G18)/(Formula!C18+Formula!E18+Formula!G18+Formula!I18+Formula!K18))*(INDEX(Properties!A$1:CB$87,Formula!F18,3))+((Formula!I18)/(Formula!C18+Formula!E18+Formula!G18+Formula!I18+Formula!K18))*(INDEX(Properties!A$1:CB$87,Formula!H18,3))+((Formula!K18)/(Formula!C18+Formula!E18+Formula!G18+Formula!I18+Formula!K18))*(INDEX(Properties!A$1:CB$87,Formula!J18,3))</f>
        <v>20.099014285714283</v>
      </c>
      <c r="C18" s="85">
        <f>Formula!C18*(INDEX(Properties!A$1:CB$87,Formula!B18,3))+Formula!E18*(INDEX(Properties!A$1:CB$87,Formula!D18,3))+Formula!G18*(INDEX(Properties!A$1:CB$87,Formula!F18,3))+Formula!I18*(INDEX(Properties!A$1:CB$87,Formula!H18,3))+Formula!K18*(INDEX(Properties!A$1:CB$87,Formula!J18,3))</f>
        <v>140.69309999999999</v>
      </c>
      <c r="D18" s="85">
        <f>VARP(IF(INDEX(Properties!A$1:CB$87,Formula!B18,3)&lt;&gt;"",INDEX(Properties!A$1:CB$87,Formula!B18,3)),IF(INDEX(Properties!A$1:CB$87,Formula!D18,3)&lt;&gt;"",INDEX(Properties!A$1:CB$87,Formula!D18,3)),IF(INDEX(Properties!A$1:CB$87,Formula!F18,3)&lt;&gt;"",INDEX(Properties!A$1:CB$87,Formula!F18,3)),IF(INDEX(Properties!A$1:CB$87,Formula!H18,3)&lt;&gt;"",INDEX(Properties!A$1:CB$87,Formula!H18,3)),IF(INDEX(Properties!A$1:CB$87,Formula!J18,3)&lt;&gt;"",INDEX(Properties!A$1:CB$87,Formula!J18,3)))</f>
        <v>140.01469024160005</v>
      </c>
      <c r="E18" s="85">
        <f>MAX(INDEX(Properties!A$1:CB$87,Formula!B18,3),INDEX(Properties!A$1:CB$87,Formula!D18,3),INDEX(Properties!A$1:CB$87,Formula!F18,3),INDEX(Properties!A$1:CB$87,Formula!H18,3),INDEX(Properties!A$1:CB$87,Formula!J18,3))</f>
        <v>28.0855</v>
      </c>
      <c r="F18" s="85">
        <f>MIN(IF(INDEX(Properties!A$1:CB$87,Formula!B18,3)=0,10^6,INDEX(Properties!A$1:CB$87,Formula!B18,3)),IF(INDEX(Properties!A$1:CB$87,Formula!D18,3)=0,10^6,INDEX(Properties!A$1:CB$87,Formula!D18,3)),IF(INDEX(Properties!A$1:CB$87,Formula!F18,3)=0,10^6,INDEX(Properties!A$1:CB$87,Formula!F18,3)),IF(INDEX(Properties!A$1:CB$87,Formula!H18,3)=0,10^6,INDEX(Properties!A$1:CB$87,Formula!H18,3)),IF(INDEX(Properties!A$1:CB$87,Formula!J18,3)=0,10^6,INDEX(Properties!A$1:CB$87,Formula!J18,3)))</f>
        <v>15.9994</v>
      </c>
      <c r="G18" s="85">
        <f t="shared" si="0"/>
        <v>12.0861</v>
      </c>
      <c r="H18" s="87">
        <f>((Formula!C18)/(Formula!C18+Formula!E18+Formula!G18+Formula!I18+Formula!K18))*(INDEX(Properties!A$1:CB$87,Formula!B18,4))+((Formula!E18)/(Formula!C18+Formula!E18+Formula!G18+Formula!I18+Formula!K18))*(INDEX(Properties!A$1:CB$87,Formula!D18,4))+((Formula!G18)/(Formula!C18+Formula!E18+Formula!G18+Formula!I18+Formula!K18))*(INDEX(Properties!A$1:CB$87,Formula!F18,4))+((Formula!I18)/(Formula!C18+Formula!E18+Formula!G18+Formula!I18+Formula!K18))*(INDEX(Properties!A$1:CB$87,Formula!H18,4))+((Formula!K18)/(Formula!C18+Formula!E18+Formula!G18+Formula!I18+Formula!K18))*(INDEX(Properties!A$1:CB$87,Formula!J18,4))</f>
        <v>10</v>
      </c>
      <c r="I18" s="87">
        <f>Formula!C18*(INDEX(Properties!A$1:CB$87,Formula!B18,4))+Formula!E18*(INDEX(Properties!A$1:CB$87,Formula!D18,4))+Formula!G18*(INDEX(Properties!A$1:CB$87,Formula!F18,4))+Formula!I18*(INDEX(Properties!A$1:CB$87,Formula!H18,4))+Formula!K18*(INDEX(Properties!A$1:CB$87,Formula!J18,4))</f>
        <v>70</v>
      </c>
      <c r="J18" s="87">
        <f>VARP(IF(INDEX(Properties!A$1:CB$87,Formula!B18,4)&lt;&gt;"",INDEX(Properties!A$1:CB$87,Formula!B18,4)),IF(INDEX(Properties!A$1:CB$87,Formula!D18,4)&lt;&gt;"",INDEX(Properties!A$1:CB$87,Formula!D18,4)),IF(INDEX(Properties!A$1:CB$87,Formula!F18,4)&lt;&gt;"",INDEX(Properties!A$1:CB$87,Formula!F18,4)),IF(INDEX(Properties!A$1:CB$87,Formula!H18,4)&lt;&gt;"",INDEX(Properties!A$1:CB$87,Formula!H18,4)),IF(INDEX(Properties!A$1:CB$87,Formula!J18,4)&lt;&gt;"",INDEX(Properties!A$1:CB$87,Formula!J18,4)))</f>
        <v>34.56</v>
      </c>
      <c r="K18" s="87">
        <f>MAX(INDEX(Properties!A$1:CB$87,Formula!B18,4),INDEX(Properties!A$1:CB$87,Formula!D18,4),INDEX(Properties!A$1:CB$87,Formula!F18,4),INDEX(Properties!A$1:CB$87,Formula!H18,4),INDEX(Properties!A$1:CB$87,Formula!J18,4))</f>
        <v>14</v>
      </c>
      <c r="L18" s="87">
        <f>MIN(IF(INDEX(Properties!A$1:CB$87,Formula!B18,4)=0,10^6,INDEX(Properties!A$1:CB$87,Formula!B18,4)),IF(INDEX(Properties!A$1:CB$87,Formula!D18,4)=0,10^6,INDEX(Properties!A$1:CB$87,Formula!D18,4)),IF(INDEX(Properties!A$1:CB$87,Formula!F18,4)=0,10^6,INDEX(Properties!A$1:CB$87,Formula!F18,4)),IF(INDEX(Properties!A$1:CB$87,Formula!H18,4)=0,10^6,INDEX(Properties!A$1:CB$87,Formula!H18,4)),IF(INDEX(Properties!A$1:CB$87,Formula!J18,4)=0,10^6,INDEX(Properties!A$1:CB$87,Formula!J18,4)))</f>
        <v>8</v>
      </c>
      <c r="M18" s="87">
        <f t="shared" si="1"/>
        <v>6</v>
      </c>
      <c r="N18" s="89">
        <f>((Formula!C18)/(Formula!C18+Formula!E18+Formula!G18+Formula!I18+Formula!K18))*(INDEX(Properties!A$1:CB$87,Formula!B18,5))+((Formula!E18)/(Formula!C18+Formula!E18+Formula!G18+Formula!I18+Formula!K18))*(INDEX(Properties!A$1:CB$87,Formula!D18,5))+((Formula!G18)/(Formula!C18+Formula!E18+Formula!G18+Formula!I18+Formula!K18))*(INDEX(Properties!A$1:CB$87,Formula!F18,5))+((Formula!I18)/(Formula!C18+Formula!E18+Formula!G18+Formula!I18+Formula!K18))*(INDEX(Properties!A$1:CB$87,Formula!H18,5))+((Formula!K18)/(Formula!C18+Formula!E18+Formula!G18+Formula!I18+Formula!K18))*(INDEX(Properties!A$1:CB$87,Formula!J18,5))</f>
        <v>2.4285714285714284</v>
      </c>
      <c r="O18" s="89">
        <f>Formula!C18*(INDEX(Properties!A$1:CB$87,Formula!B18,5))+Formula!E18*(INDEX(Properties!A$1:CB$87,Formula!D18,5))+Formula!G18*(INDEX(Properties!A$1:CB$87,Formula!F18,5))+Formula!I18*(INDEX(Properties!A$1:CB$87,Formula!H18,5))+Formula!K18*(INDEX(Properties!A$1:CB$87,Formula!J18,5))</f>
        <v>17</v>
      </c>
      <c r="P18" s="89">
        <f>VARP(IF(INDEX(Properties!A$1:CB$87,Formula!B18,5)&lt;&gt;"",INDEX(Properties!A$1:CB$87,Formula!B18,5)),IF(INDEX(Properties!A$1:CB$87,Formula!D18,5)&lt;&gt;"",INDEX(Properties!A$1:CB$87,Formula!D18,5)),IF(INDEX(Properties!A$1:CB$87,Formula!F18,5)&lt;&gt;"",INDEX(Properties!A$1:CB$87,Formula!F18,5)),IF(INDEX(Properties!A$1:CB$87,Formula!H18,5)&lt;&gt;"",INDEX(Properties!A$1:CB$87,Formula!H18,5)),IF(INDEX(Properties!A$1:CB$87,Formula!J18,5)&lt;&gt;"",INDEX(Properties!A$1:CB$87,Formula!J18,5)))</f>
        <v>1.84</v>
      </c>
      <c r="Q18" s="89">
        <f>MAX(INDEX(Properties!A$1:CB$87,Formula!B18,5),INDEX(Properties!A$1:CB$87,Formula!D18,5),INDEX(Properties!A$1:CB$87,Formula!F18,5),INDEX(Properties!A$1:CB$87,Formula!H18,5),INDEX(Properties!A$1:CB$87,Formula!J18,5))</f>
        <v>3</v>
      </c>
      <c r="R18" s="89">
        <f>MIN(IF(INDEX(Properties!A$1:CB$87,Formula!B18,5)=0,10^6,INDEX(Properties!A$1:CB$87,Formula!B18,5)),IF(INDEX(Properties!A$1:CB$87,Formula!D18,5)=0,10^6,INDEX(Properties!A$1:CB$87,Formula!D18,5)),IF(INDEX(Properties!A$1:CB$87,Formula!F18,5)=0,10^6,INDEX(Properties!A$1:CB$87,Formula!F18,5)),IF(INDEX(Properties!A$1:CB$87,Formula!H18,5)=0,10^6,INDEX(Properties!A$1:CB$87,Formula!H18,5)),IF(INDEX(Properties!A$1:CB$87,Formula!J18,5)=0,10^6,INDEX(Properties!A$1:CB$87,Formula!J18,5)))</f>
        <v>2</v>
      </c>
      <c r="S18" s="89">
        <f t="shared" si="2"/>
        <v>1</v>
      </c>
      <c r="T18" s="60">
        <f>((Formula!C18)/(Formula!C18+Formula!E18+Formula!G18+Formula!I18+Formula!K18))*(INDEX(Properties!A$1:CB$87,Formula!B18,6))+((Formula!E18)/(Formula!C18+Formula!E18+Formula!G18+Formula!I18+Formula!K18))*(INDEX(Properties!A$1:CB$87,Formula!D18,6))+((Formula!G18)/(Formula!C18+Formula!E18+Formula!G18+Formula!I18+Formula!K18))*(INDEX(Properties!A$1:CB$87,Formula!F18,6))+((Formula!I18)/(Formula!C18+Formula!E18+Formula!G18+Formula!I18+Formula!K18))*(INDEX(Properties!A$1:CB$87,Formula!H18,6))+((Formula!K18)/(Formula!C18+Formula!E18+Formula!G18+Formula!I18+Formula!K18))*(INDEX(Properties!A$1:CB$87,Formula!J18,6))</f>
        <v>11.714285714285714</v>
      </c>
      <c r="U18" s="60">
        <f>Formula!C18*(INDEX(Properties!A$1:CB$87,Formula!B18,6))+Formula!E18*(INDEX(Properties!A$1:CB$87,Formula!D18,6))+Formula!G18*(INDEX(Properties!A$1:CB$87,Formula!F18,6))+Formula!I18*(INDEX(Properties!A$1:CB$87,Formula!H18,6))+Formula!K18*(INDEX(Properties!A$1:CB$87,Formula!J18,6))</f>
        <v>82</v>
      </c>
      <c r="V18" s="89">
        <f>VARP(IF(INDEX(Properties!A$1:CB$87,Formula!B18,6)&lt;&gt;"",INDEX(Properties!A$1:CB$87,Formula!B18,6)),IF(INDEX(Properties!A$1:CB$87,Formula!D18,6)&lt;&gt;"",INDEX(Properties!A$1:CB$87,Formula!D18,6)),IF(INDEX(Properties!A$1:CB$87,Formula!F18,6)&lt;&gt;"",INDEX(Properties!A$1:CB$87,Formula!F18,6)),IF(INDEX(Properties!A$1:CB$87,Formula!H18,6)&lt;&gt;"",INDEX(Properties!A$1:CB$87,Formula!H18,6)),IF(INDEX(Properties!A$1:CB$87,Formula!J18,6)&lt;&gt;"",INDEX(Properties!A$1:CB$87,Formula!J18,6)))</f>
        <v>50.24</v>
      </c>
      <c r="W18" s="60">
        <f>MAX(INDEX(Properties!A$1:CB$87,Formula!B18,6),INDEX(Properties!A$1:CB$87,Formula!D18,6),INDEX(Properties!A$1:CB$87,Formula!F18,6),INDEX(Properties!A$1:CB$87,Formula!H18,4),INDEX(Properties!A$1:CB$87,Formula!J18,6))</f>
        <v>16</v>
      </c>
      <c r="X18" s="60">
        <f>MIN(IF(INDEX(Properties!A$1:CB$87,Formula!B18,6)=0,10^6,INDEX(Properties!A$1:CB$87,Formula!B18,6)),IF(INDEX(Properties!A$1:CB$87,Formula!D18,6)=0,10^6,INDEX(Properties!A$1:CB$87,Formula!D18,6)),IF(INDEX(Properties!A$1:CB$87,Formula!F18,6)=0,10^6,INDEX(Properties!A$1:CB$87,Formula!F18,6)),IF(INDEX(Properties!A$1:CB$87,Formula!H18,6)=0,10^6,INDEX(Properties!A$1:CB$87,Formula!H18,6)),IF(INDEX(Properties!A$1:CB$87,Formula!J18,6)=0,10^6,INDEX(Properties!A$1:CB$87,Formula!J18,6)))</f>
        <v>2</v>
      </c>
      <c r="Y18" s="60">
        <f t="shared" si="3"/>
        <v>14</v>
      </c>
      <c r="Z18" s="72">
        <f>((Formula!C18)/(Formula!C18+Formula!E18+Formula!G18+Formula!I18+Formula!K18))*(INDEX(Properties!A$1:CB$87,Formula!B18,9))+((Formula!E18)/(Formula!C18+Formula!E18+Formula!G18+Formula!I18+Formula!K18))*(INDEX(Properties!A$1:CB$87,Formula!D18,9))+((Formula!G18)/(Formula!C18+Formula!E18+Formula!G18+Formula!I18+Formula!K18))*(INDEX(Properties!A$1:CB$87,Formula!F18,9))+((Formula!I18)/(Formula!C18+Formula!E18+Formula!G18+Formula!I18+Formula!K18))*(INDEX(Properties!A$1:CB$87,Formula!H18,9))+((Formula!K18)/(Formula!C18+Formula!E18+Formula!G18+Formula!I18+Formula!K18))*(INDEX(Properties!A$1:CB$87,Formula!J18,9))</f>
        <v>80.285714285714278</v>
      </c>
      <c r="AA18" s="72">
        <f>Formula!C18*(INDEX(Properties!A$1:CB$87,Formula!B18,9))+Formula!E18*(INDEX(Properties!A$1:CB$87,Formula!D18,9))+Formula!G18*(INDEX(Properties!A$1:CB$87,Formula!F18,9))+Formula!I18*(INDEX(Properties!A$1:CB$87,Formula!H18,9))+Formula!K18*(INDEX(Properties!A$1:CB$87,Formula!J18,9))</f>
        <v>562</v>
      </c>
      <c r="AB18" s="72">
        <f>VARP(IF(INDEX(Properties!A$1:CB$87,Formula!B18,9)&lt;&gt;"",INDEX(Properties!A$1:CB$87,Formula!B18,9)),IF(INDEX(Properties!A$1:CB$87,Formula!D18,9)&lt;&gt;"",INDEX(Properties!A$1:CB$87,Formula!D18,9)),IF(INDEX(Properties!A$1:CB$87,Formula!F18,9)&lt;&gt;"",INDEX(Properties!A$1:CB$87,Formula!F18,9)),IF(INDEX(Properties!A$1:CB$87,Formula!H18,9)&lt;&gt;"",INDEX(Properties!A$1:CB$87,Formula!H18,9)),IF(INDEX(Properties!A$1:CB$87,Formula!J18,9)&lt;&gt;"",INDEX(Properties!A$1:CB$87,Formula!J18,9)))</f>
        <v>1483.84</v>
      </c>
      <c r="AC18" s="72">
        <f>MAX(INDEX(Properties!A$1:CB$87,Formula!B18,9),INDEX(Properties!A$1:CB$87,Formula!D18,9),INDEX(Properties!A$1:CB$87,Formula!F18,9),INDEX(Properties!A$1:CB$87,Formula!H18,9),INDEX(Properties!A$1:CB$87,Formula!J18,9))</f>
        <v>87</v>
      </c>
      <c r="AD18" s="72">
        <f>MIN(IF(INDEX(Properties!A$1:CB$87,Formula!B18,9)=0,10^6,INDEX(Properties!A$1:CB$87,Formula!B18,9)),IF(INDEX(Properties!A$1:CB$87,Formula!D18,9)=0,10^6,INDEX(Properties!A$1:CB$87,Formula!D18,9)),IF(INDEX(Properties!A$1:CB$87,Formula!F18,9)=0,10^6,INDEX(Properties!A$1:CB$87,Formula!F18,9)),IF(INDEX(Properties!A$1:CB$87,Formula!H18,9)=0,10^6,INDEX(Properties!A$1:CB$87,Formula!H18,9)),IF(INDEX(Properties!A$1:CB$87,Formula!J18,9)=0,10^6,INDEX(Properties!A$1:CB$87,Formula!J18,9)))</f>
        <v>68</v>
      </c>
      <c r="AE18" s="72">
        <f t="shared" si="4"/>
        <v>19</v>
      </c>
      <c r="AF18" s="51">
        <f>((Formula!C18)/(Formula!C18+Formula!E18+Formula!G18+Formula!I18+Formula!K18))*(INDEX(Properties!A$1:CB$87,Formula!B18,10))+((Formula!E18)/(Formula!C18+Formula!E18+Formula!G18+Formula!I18+Formula!K18))*(INDEX(Properties!A$1:CB$87,Formula!D18,10))+((Formula!G18)/(Formula!C18+Formula!E18+Formula!G18+Formula!I18+Formula!K18))*(INDEX(Properties!A$1:CB$87,Formula!F18,10))+((Formula!I18)/(Formula!C18+Formula!E18+Formula!G18+Formula!I18+Formula!K18))*(INDEX(Properties!A$1:CB$87,Formula!H18,10))+((Formula!K18)/(Formula!C18+Formula!E18+Formula!G18+Formula!I18+Formula!K18))*(INDEX(Properties!A$1:CB$87,Formula!J18,10))</f>
        <v>5.4285714285714288</v>
      </c>
      <c r="AG18" s="51">
        <f>Formula!C18*(INDEX(Properties!A$1:CB$87,Formula!B18,10))+Formula!E18*(INDEX(Properties!A$1:CB$87,Formula!D18,10))+Formula!G18*(INDEX(Properties!A$1:CB$87,Formula!F18,10))+Formula!I18*(INDEX(Properties!A$1:CB$87,Formula!H18,10))+Formula!K18*(INDEX(Properties!A$1:CB$87,Formula!J18,10))</f>
        <v>38</v>
      </c>
      <c r="AH18" s="51">
        <f>VARP(IF(INDEX(Properties!A$1:CB$87,Formula!B18,10)&lt;&gt;"",INDEX(Properties!A$1:CB$87,Formula!B18,10)),IF(INDEX(Properties!A$1:CB$87,Formula!D18,10)&lt;&gt;"",INDEX(Properties!A$1:CB$87,Formula!D18,10)),IF(INDEX(Properties!A$1:CB$87,Formula!F18,10)&lt;&gt;"",INDEX(Properties!A$1:CB$87,Formula!F18,10)),IF(INDEX(Properties!A$1:CB$87,Formula!H18,10)&lt;&gt;"",INDEX(Properties!A$1:CB$87,Formula!H18,10)),IF(INDEX(Properties!A$1:CB$87,Formula!J18,10)&lt;&gt;"",INDEX(Properties!A$1:CB$87,Formula!J18,10)))</f>
        <v>8.8000000000000007</v>
      </c>
      <c r="AI18" s="51">
        <f>MAX(INDEX(Properties!A$1:CB$87,Formula!B18,10),INDEX(Properties!A$1:CB$87,Formula!D18,10),INDEX(Properties!A$1:CB$87,Formula!F18,10),INDEX(Properties!A$1:CB$87,Formula!H18,10),INDEX(Properties!A$1:CB$87,Formula!J18,10))</f>
        <v>7</v>
      </c>
      <c r="AJ18" s="51">
        <f>MIN(IF(INDEX(Properties!A$1:CB$87,Formula!B18,10)=0,10^6,INDEX(Properties!A$1:CB$87,Formula!B18,10)),IF(INDEX(Properties!A$1:CB$87,Formula!D18,10)=0,10^6,INDEX(Properties!A$1:CB$87,Formula!D18,10)),IF(INDEX(Properties!A$1:CB$87,Formula!F18,10)=0,10^6,INDEX(Properties!A$1:CB$87,Formula!F18,10)),IF(INDEX(Properties!A$1:CB$87,Formula!H18,10)=0,10^6,INDEX(Properties!A$1:CB$87,Formula!H18,10)),IF(INDEX(Properties!A$1:CB$87,Formula!J18,10)=0,10^6,INDEX(Properties!A$1:CB$87,Formula!J18,10)))</f>
        <v>2</v>
      </c>
      <c r="AK18" s="51">
        <f t="shared" si="5"/>
        <v>5</v>
      </c>
      <c r="AL18" s="57">
        <f>((Formula!C18)/(Formula!C18+Formula!E18+Formula!G18+Formula!I18+Formula!K18))*(INDEX(Properties!A$1:CB$87,Formula!B18,11))+((Formula!E18)/(Formula!C18+Formula!E18+Formula!G18+Formula!I18+Formula!K18))*(INDEX(Properties!A$1:CB$87,Formula!D18,11))+((Formula!G18)/(Formula!C18+Formula!E18+Formula!G18+Formula!I18+Formula!K18))*(INDEX(Properties!A$1:CB$87,Formula!F18,11))+((Formula!I18)/(Formula!C18+Formula!E18+Formula!G18+Formula!I18+Formula!K18))*(INDEX(Properties!A$1:CB$87,Formula!H18,11))+((Formula!K18)/(Formula!C18+Formula!E18+Formula!G18+Formula!I18+Formula!K18))*(INDEX(Properties!A$1:CB$87,Formula!J18,11))</f>
        <v>2</v>
      </c>
      <c r="AM18" s="57">
        <f>Formula!C18*(INDEX(Properties!A$1:CB$87,Formula!B18,11))+Formula!E18*(INDEX(Properties!A$1:CB$87,Formula!D18,11))+Formula!G18*(INDEX(Properties!A$1:CB$87,Formula!F18,11))+Formula!I18*(INDEX(Properties!A$1:CB$87,Formula!H18,11))+Formula!K18*(INDEX(Properties!A$1:CB$87,Formula!J18,11))</f>
        <v>14</v>
      </c>
      <c r="AN18" s="57">
        <f>VARP(IF(INDEX(Properties!A$1:CB$87,Formula!B18,11)&lt;&gt;"",INDEX(Properties!A$1:CB$87,Formula!B18,11)),IF(INDEX(Properties!A$1:CB$87,Formula!D18,11)&lt;&gt;"",INDEX(Properties!A$1:CB$87,Formula!D18,11)),IF(INDEX(Properties!A$1:CB$87,Formula!F18,11)&lt;&gt;"",INDEX(Properties!A$1:CB$87,Formula!F18,11)),IF(INDEX(Properties!A$1:CB$87,Formula!H18,11)&lt;&gt;"",INDEX(Properties!A$1:CB$87,Formula!H18,11)),IF(INDEX(Properties!A$1:CB$87,Formula!J18,11)&lt;&gt;"",INDEX(Properties!A$1:CB$87,Formula!J18,11)))</f>
        <v>0.96</v>
      </c>
      <c r="AO18" s="57">
        <f>MAX(INDEX(Properties!A$1:CB$87,Formula!B18,11),INDEX(Properties!A$1:CB$87,Formula!D18,11),INDEX(Properties!A$1:CB$87,Formula!F18,11),INDEX(Properties!A$1:CB$87,Formula!H18,11),INDEX(Properties!A$1:CB$87,Formula!J18,11))</f>
        <v>2</v>
      </c>
      <c r="AP18" s="57">
        <f>MIN(IF(Formula!B18=87,10^6,INDEX(Properties!A$1:CB$87,Formula!B18,11)),IF((Formula!D18)=87,10^6,INDEX(Properties!A$1:CB$87,Formula!D18,11)),IF((Formula!F18)=87,10^6,INDEX(Properties!A$1:CB$87,Formula!F18,11)),IF((Formula!H18)=87,10^6,INDEX(Properties!A$1:CB$87,Formula!H18,11)),IF(Formula!J18=87,10^6,INDEX(Properties!A$1:CB$87,Formula!J18,11)))</f>
        <v>2</v>
      </c>
      <c r="AQ18" s="57">
        <f t="shared" si="6"/>
        <v>0</v>
      </c>
      <c r="AR18" s="78">
        <f>((Formula!C18)/(Formula!C18+Formula!E18+Formula!G18+Formula!I18+Formula!K18))*(INDEX(Properties!A$1:CB$87,Formula!B18,12))+((Formula!E18)/(Formula!C18+Formula!E18+Formula!G18+Formula!I18+Formula!K18))*(INDEX(Properties!A$1:CB$87,Formula!D18,12))+((Formula!G18)/(Formula!C18+Formula!E18+Formula!G18+Formula!I18+Formula!K18))*(INDEX(Properties!A$1:CB$87,Formula!F18,12))+((Formula!I18)/(Formula!C18+Formula!E18+Formula!G18+Formula!I18+Formula!K18))*(INDEX(Properties!A$1:CB$87,Formula!H18,12))+((Formula!K18)/(Formula!C18+Formula!E18+Formula!G18+Formula!I18+Formula!K18))*(INDEX(Properties!A$1:CB$87,Formula!J18,12))</f>
        <v>2.5714285714285712</v>
      </c>
      <c r="AS18" s="78">
        <f>Formula!C18*(INDEX(Properties!A$1:CB$87,Formula!B18,12))+Formula!E18*(INDEX(Properties!A$1:CB$87,Formula!D18,12))+Formula!G18*(INDEX(Properties!A$1:CB$87,Formula!F18,12))+Formula!I18*(INDEX(Properties!A$1:CB$87,Formula!H18,12))+Formula!K18*(INDEX(Properties!A$1:CB$87,Formula!J18,12))</f>
        <v>18</v>
      </c>
      <c r="AT18" s="78">
        <f>VARP(IF(INDEX(Properties!A$1:CB$87,Formula!B18,12)&lt;&gt;"",INDEX(Properties!A$1:CB$87,Formula!B18,12)),IF(INDEX(Properties!A$1:CB$87,Formula!D18,12)&lt;&gt;"",INDEX(Properties!A$1:CB$87,Formula!D18,12)),IF(INDEX(Properties!A$1:CB$87,Formula!F18,12)&lt;&gt;"",INDEX(Properties!A$1:CB$87,Formula!F18,12)),IF(INDEX(Properties!A$1:CB$87,Formula!H18,12)&lt;&gt;"",INDEX(Properties!A$1:CB$87,Formula!H18,12)),IF(INDEX(Properties!A$1:CB$87,Formula!J18,12)&lt;&gt;"",INDEX(Properties!A$1:CB$87,Formula!J18,12)))</f>
        <v>2.56</v>
      </c>
      <c r="AU18" s="78">
        <f>MAX(INDEX(Properties!A$1:CB$87,Formula!B18,12),INDEX(Properties!A$1:CB$87,Formula!D18,12),INDEX(Properties!A$1:CB$87,Formula!F18,12),INDEX(Properties!A$1:CB$87,Formula!H18,12),INDEX(Properties!A$1:CB$87,Formula!J18,12))</f>
        <v>4</v>
      </c>
      <c r="AV18" s="78">
        <f>MIN(IF(Formula!B18=87,10^6,INDEX(Properties!A$1:CB$87,Formula!B18,12)),IF((Formula!D18)=87,10^6,INDEX(Properties!A$1:CB$87,Formula!D18,12)),IF((Formula!F18)=87,10^6,INDEX(Properties!A$1:CB$87,Formula!F18,12)),IF((Formula!H18)=87,10^6,INDEX(Properties!A$1:CB$87,Formula!H18,12)),IF(Formula!J18=87,10^6,INDEX(Properties!A$1:CB$87,Formula!J18,12)))</f>
        <v>0</v>
      </c>
      <c r="AW18" s="78">
        <f t="shared" si="7"/>
        <v>4</v>
      </c>
      <c r="AX18" s="45">
        <f>((Formula!C18)/(Formula!C18+Formula!E18+Formula!G18+Formula!I18+Formula!K18))*(INDEX(Properties!A$1:CB$87,Formula!B18,13))+((Formula!E18)/(Formula!C18+Formula!E18+Formula!G18+Formula!I18+Formula!K18))*(INDEX(Properties!A$1:CB$87,Formula!D18,13))+((Formula!G18)/(Formula!C18+Formula!E18+Formula!G18+Formula!I18+Formula!K18))*(INDEX(Properties!A$1:CB$87,Formula!F18,13))+((Formula!I18)/(Formula!C18+Formula!E18+Formula!G18+Formula!I18+Formula!K18))*(INDEX(Properties!A$1:CB$87,Formula!H18,13))+((Formula!K18)/(Formula!C18+Formula!E18+Formula!G18+Formula!I18+Formula!K18))*(INDEX(Properties!A$1:CB$87,Formula!J18,13))</f>
        <v>0</v>
      </c>
      <c r="AY18" s="45">
        <f>Formula!C18*(INDEX(Properties!A$1:CB$87,Formula!B18,13))+Formula!E18*(INDEX(Properties!A$1:CB$87,Formula!D18,13))+Formula!G18*(INDEX(Properties!A$1:CB$87,Formula!F18,13))+Formula!I18*(INDEX(Properties!A$1:CB$87,Formula!H18,13))+Formula!K18*(INDEX(Properties!A$1:CB$87,Formula!J18,13))</f>
        <v>0</v>
      </c>
      <c r="AZ18" s="45">
        <f>VARP(IF(INDEX(Properties!A$1:CB$87,Formula!B18,13)&lt;&gt;"",INDEX(Properties!A$1:CB$87,Formula!B18,13)),IF(INDEX(Properties!A$1:CB$87,Formula!D18,13)&lt;&gt;"",INDEX(Properties!A$1:CB$87,Formula!D18,13)),IF(INDEX(Properties!A$1:CB$87,Formula!F18,13)&lt;&gt;"",INDEX(Properties!A$1:CB$87,Formula!F18,13)),IF(INDEX(Properties!A$1:CB$87,Formula!H18,13)&lt;&gt;"",INDEX(Properties!A$1:CB$87,Formula!H18,13)),IF(INDEX(Properties!A$1:CB$87,Formula!J18,13)&lt;&gt;"",INDEX(Properties!A$1:CB$87,Formula!J18,13)))</f>
        <v>0</v>
      </c>
      <c r="BA18" s="45">
        <f>MAX(INDEX(Properties!A$1:CB$87,Formula!B18,13),INDEX(Properties!A$1:CB$87,Formula!D18,13),INDEX(Properties!A$1:CB$87,Formula!F18,13),INDEX(Properties!A$1:CB$87,Formula!H18,13),INDEX(Properties!A$1:CB$87,Formula!J18,13))</f>
        <v>0</v>
      </c>
      <c r="BB18" s="45">
        <f>MIN(IF(Formula!B18=87,10^6,INDEX(Properties!A$1:CB$87,Formula!B18,13)),IF((Formula!D18)=87,10^6,INDEX(Properties!A$1:CB$87,Formula!D18,13)),IF((Formula!F18)=87,10^6,INDEX(Properties!A$1:CB$87,Formula!F18,13)),IF((Formula!H18)=87,10^6,INDEX(Properties!A$1:CB$87,Formula!H18,13)),IF(Formula!J18=87,10^6,INDEX(Properties!A$1:CB$87,Formula!J18,13)))</f>
        <v>0</v>
      </c>
      <c r="BC18" s="45">
        <f t="shared" si="8"/>
        <v>0</v>
      </c>
      <c r="BD18" s="63">
        <f>((Formula!C18)/(Formula!C18+Formula!E18+Formula!G18+Formula!I18+Formula!K18))*(INDEX(Properties!A$1:CB$87,Formula!B18,14))+((Formula!E18)/(Formula!C18+Formula!E18+Formula!G18+Formula!I18+Formula!K18))*(INDEX(Properties!A$1:CB$87,Formula!D18,14))+((Formula!G18)/(Formula!C18+Formula!E18+Formula!G18+Formula!I18+Formula!K18))*(INDEX(Properties!A$1:CB$87,Formula!F18,14))+((Formula!I18)/(Formula!C18+Formula!E18+Formula!G18+Formula!I18+Formula!K18))*(INDEX(Properties!A$1:CB$87,Formula!H18,14))+((Formula!K18)/(Formula!C18+Formula!E18+Formula!G18+Formula!I18+Formula!K18))*(INDEX(Properties!A$1:CB$87,Formula!J18,14))</f>
        <v>0</v>
      </c>
      <c r="BE18" s="63">
        <f>Formula!C18*(INDEX(Properties!A$1:CB$87,Formula!B18,14))+Formula!E18*(INDEX(Properties!A$1:CB$87,Formula!D18,14))+Formula!G18*(INDEX(Properties!A$1:CB$87,Formula!F18,14))+Formula!I18*(INDEX(Properties!A$1:CB$87,Formula!H18,14))+Formula!K18*(INDEX(Properties!A$1:CB$87,Formula!J18,14))</f>
        <v>0</v>
      </c>
      <c r="BF18" s="63">
        <f>VARP(IF(INDEX(Properties!A$1:CB$87,Formula!B18,14)&lt;&gt;"",INDEX(Properties!A$1:CB$87,Formula!B18,14)),IF(INDEX(Properties!A$1:CB$87,Formula!D18,14)&lt;&gt;"",INDEX(Properties!A$1:CB$87,Formula!D18,14)),IF(INDEX(Properties!A$1:CB$87,Formula!F18,14)&lt;&gt;"",INDEX(Properties!A$1:CB$87,Formula!F18,14)),IF(INDEX(Properties!A$1:CB$87,Formula!H18,14)&lt;&gt;"",INDEX(Properties!A$1:CB$87,Formula!H18,14)),IF(INDEX(Properties!A$1:CB$87,Formula!J18,14)&lt;&gt;"",INDEX(Properties!A$1:CB$87,Formula!J18,14)))</f>
        <v>0</v>
      </c>
      <c r="BG18" s="63">
        <f>MAX(INDEX(Properties!A$1:CB$87,Formula!B18,14),INDEX(Properties!A$1:CB$87,Formula!D18,14),INDEX(Properties!A$1:CB$87,Formula!F18,14),INDEX(Properties!A$1:CB$87,Formula!H18,14),INDEX(Properties!A$1:CB$87,Formula!J18,14))</f>
        <v>0</v>
      </c>
      <c r="BH18" s="63">
        <f>MIN(IF(Formula!B18=87,10^6,INDEX(Properties!A$1:CB$87,Formula!B18,14)),IF((Formula!D18)=87,10^6,INDEX(Properties!A$1:CB$87,Formula!D18,14)),IF((Formula!F18)=87,10^6,INDEX(Properties!A$1:CB$87,Formula!F18,14)),IF((Formula!H18)=87,10^6,INDEX(Properties!A$1:CB$87,Formula!H18,14)),IF(Formula!J18=87,10^6,INDEX(Properties!A$1:CB$87,Formula!J18,14)))</f>
        <v>0</v>
      </c>
      <c r="BI18" s="63">
        <f t="shared" si="9"/>
        <v>0</v>
      </c>
      <c r="BJ18" s="75">
        <f>((Formula!C18)/(Formula!C18+Formula!E18+Formula!G18+Formula!I18+Formula!K18))*(INDEX(Properties!A$1:CB$87,Formula!B18,19))+((Formula!E18)/(Formula!C18+Formula!E18+Formula!G18+Formula!I18+Formula!K18))*(INDEX(Properties!A$1:CB$87,Formula!D18,19))+((Formula!G18)/(Formula!C18+Formula!E18+Formula!G18+Formula!I18+Formula!K18))*(INDEX(Properties!A$1:CB$87,Formula!F18,19))+((Formula!I18)/(Formula!C18+Formula!E18+Formula!G18+Formula!I18+Formula!K18))*(INDEX(Properties!A$1:CB$87,Formula!H18,19))+((Formula!K18)/(Formula!C18+Formula!E18+Formula!G18+Formula!I18+Formula!K18))*(INDEX(Properties!A$1:CB$87,Formula!J18,19))</f>
        <v>4.5714285714285712</v>
      </c>
      <c r="BK18" s="75">
        <f>Formula!C18*(INDEX(Properties!A$1:CB$87,Formula!B18,19))+Formula!E18*(INDEX(Properties!A$1:CB$87,Formula!D18,19))+Formula!G18*(INDEX(Properties!A$1:CB$87,Formula!F18,19))+Formula!I18*(INDEX(Properties!A$1:CB$87,Formula!H18,19))+Formula!K18*(INDEX(Properties!A$1:CB$87,Formula!J18,19))</f>
        <v>32</v>
      </c>
      <c r="BL18" s="75">
        <f>VARP(IF(INDEX(Properties!A$1:CB$87,Formula!B18,19)&lt;&gt;"",INDEX(Properties!A$1:CB$87,Formula!B18,19)),IF(INDEX(Properties!A$1:CB$87,Formula!D18,19)&lt;&gt;"",INDEX(Properties!A$1:CB$87,Formula!D18,19)),IF(INDEX(Properties!A$1:CB$87,Formula!F18,19)&lt;&gt;"",INDEX(Properties!A$1:CB$87,Formula!F18,19)),IF(INDEX(Properties!A$1:CB$87,Formula!H18,19)&lt;&gt;"",INDEX(Properties!A$1:CB$87,Formula!H18,19)),IF(INDEX(Properties!A$1:CB$87,Formula!J18,19)&lt;&gt;"",INDEX(Properties!A$1:CB$87,Formula!J18,19)))</f>
        <v>5.44</v>
      </c>
      <c r="BM18" s="75">
        <f>MAX(INDEX(Properties!A$1:CB$87,Formula!B18,19),INDEX(Properties!A$1:CB$87,Formula!D18,19),INDEX(Properties!A$1:CB$87,Formula!F18,19),INDEX(Properties!A$1:CB$87,Formula!H18,19),INDEX(Properties!A$1:CB$87,Formula!J18,19))</f>
        <v>6</v>
      </c>
      <c r="BN18" s="75">
        <f>MIN(IF(INDEX(Properties!A$1:CB$87,Formula!B18,19)=0,10^6,INDEX(Properties!A$1:CB$87,Formula!B18,19)),IF(INDEX(Properties!A$1:CB$87,Formula!D18,19)=0,10^6,INDEX(Properties!A$1:CB$87,Formula!D18,19)),IF(INDEX(Properties!A$1:CB$87,Formula!F18,19)=0,10^6,INDEX(Properties!A$1:CB$87,Formula!F18,19)),IF(INDEX(Properties!A$1:CB$87,Formula!H18,19)=0,10^6,INDEX(Properties!A$1:CB$87,Formula!H18,19)),IF(INDEX(Properties!A$1:CB$87,Formula!J18,19)=0,10^6,INDEX(Properties!A$1:CB$87,Formula!J18,19)))</f>
        <v>2</v>
      </c>
      <c r="BO18" s="75">
        <f t="shared" si="10"/>
        <v>4</v>
      </c>
      <c r="BP18" s="48">
        <f>((Formula!C18)/(Formula!C18+Formula!E18+Formula!G18+Formula!I18+Formula!K18))*(INDEX(Properties!A$1:CB$87,Formula!B18,20))+((Formula!E18)/(Formula!C18+Formula!E18+Formula!G18+Formula!I18+Formula!K18))*(INDEX(Properties!A$1:CB$87,Formula!D18,20))+((Formula!G18)/(Formula!C18+Formula!E18+Formula!G18+Formula!I18+Formula!K18))*(INDEX(Properties!A$1:CB$87,Formula!F18,20))+((Formula!I18)/(Formula!C18+Formula!E18+Formula!G18+Formula!I18+Formula!K18))*(INDEX(Properties!A$1:CB$87,Formula!H18,20))+((Formula!K18)/(Formula!C18+Formula!E18+Formula!G18+Formula!I18+Formula!K18))*(INDEX(Properties!A$1:CB$87,Formula!J18,20))</f>
        <v>4.5714285714285712</v>
      </c>
      <c r="BQ18" s="48">
        <f>Formula!C18*(INDEX(Properties!A$1:CB$87,Formula!B18,20))+Formula!E18*(INDEX(Properties!A$1:CB$87,Formula!D18,20))+Formula!G18*(INDEX(Properties!A$1:CB$87,Formula!F18,20))+Formula!I18*(INDEX(Properties!A$1:CB$87,Formula!H18,20))+Formula!K18*(INDEX(Properties!A$1:CB$87,Formula!J18,20))</f>
        <v>32</v>
      </c>
      <c r="BR18" s="48">
        <f>VARP(IF(INDEX(Properties!A$1:CB$87,Formula!B18,20)&lt;&gt;"",INDEX(Properties!A$1:CB$87,Formula!B18,20)),IF(INDEX(Properties!A$1:CB$87,Formula!D18,20)&lt;&gt;"",INDEX(Properties!A$1:CB$87,Formula!D18,20)),IF(INDEX(Properties!A$1:CB$87,Formula!F18,20)&lt;&gt;"",INDEX(Properties!A$1:CB$87,Formula!F18,20)),IF(INDEX(Properties!A$1:CB$87,Formula!H18,20)&lt;&gt;"",INDEX(Properties!A$1:CB$87,Formula!H18,20)),IF(INDEX(Properties!A$1:CB$87,Formula!J18,20)&lt;&gt;"",INDEX(Properties!A$1:CB$87,Formula!J18,20)))</f>
        <v>5.44</v>
      </c>
      <c r="BS18" s="48">
        <f>MAX(INDEX(Properties!A$1:CB$87,Formula!B18,20),INDEX(Properties!A$1:CB$87,Formula!D18,20),INDEX(Properties!A$1:CB$87,Formula!F18,20),INDEX(Properties!A$1:CB$87,Formula!H18,20),INDEX(Properties!A$1:CB$87,Formula!J18,20))</f>
        <v>6</v>
      </c>
      <c r="BT18" s="48">
        <f>MIN(IF(INDEX(Properties!A$1:CB$87,Formula!B18,20)=0,10^6,INDEX(Properties!A$1:CB$87,Formula!B18,20)),IF(INDEX(Properties!A$1:CB$87,Formula!D18,20)=0,10^6,INDEX(Properties!A$1:CB$87,Formula!D18,20)),IF(INDEX(Properties!A$1:CB$87,Formula!F18,20)=0,10^6,INDEX(Properties!A$1:CB$87,Formula!F18,20)),IF(INDEX(Properties!A$1:CB$87,Formula!H18,20)=0,10^6,INDEX(Properties!A$1:CB$87,Formula!H18,20)),IF(INDEX(Properties!A$1:CB$87,Formula!J18,20)=0,10^6,INDEX(Properties!A$1:CB$87,Formula!J18,20)))</f>
        <v>2</v>
      </c>
      <c r="BU18" s="48">
        <f t="shared" si="11"/>
        <v>4</v>
      </c>
      <c r="BV18" s="66">
        <f>((Formula!C18)/(Formula!C18+Formula!E18+Formula!G18+Formula!I18+Formula!K18))*(INDEX(Properties!A$1:CB$87,Formula!B18,21))+((Formula!E18)/(Formula!C18+Formula!E18+Formula!G18+Formula!I18+Formula!K18))*(INDEX(Properties!A$1:CB$87,Formula!D18,21))+((Formula!G18)/(Formula!C18+Formula!E18+Formula!G18+Formula!I18+Formula!K18))*(INDEX(Properties!A$1:CB$87,Formula!F18,21))+((Formula!I18)/(Formula!C18+Formula!E18+Formula!G18+Formula!I18+Formula!K18))*(INDEX(Properties!A$1:CB$87,Formula!H18,21))+((Formula!K18)/(Formula!C18+Formula!E18+Formula!G18+Formula!I18+Formula!K18))*(INDEX(Properties!A$1:CB$87,Formula!J18,21))</f>
        <v>4.5714285714285712</v>
      </c>
      <c r="BW18" s="66">
        <f>Formula!C18*(INDEX(Properties!A$1:CB$87,Formula!B18,21))+Formula!E18*(INDEX(Properties!A$1:CB$87,Formula!D18,21))+Formula!G18*(INDEX(Properties!A$1:CB$87,Formula!F18,21))+Formula!I18*(INDEX(Properties!A$1:CB$87,Formula!H18,21))+Formula!K18*(INDEX(Properties!A$1:CB$87,Formula!J18,21))</f>
        <v>32</v>
      </c>
      <c r="BX18" s="66">
        <f>VARP(IF(INDEX(Properties!A$1:CB$87,Formula!B18,21)&lt;&gt;"",INDEX(Properties!A$1:CB$87,Formula!B18,21)),IF(INDEX(Properties!A$1:CB$87,Formula!D18,21)&lt;&gt;"",INDEX(Properties!A$1:CB$87,Formula!D18,21)),IF(INDEX(Properties!A$1:CB$87,Formula!F18,21)&lt;&gt;"",INDEX(Properties!A$1:CB$87,Formula!F18,21)),IF(INDEX(Properties!A$1:CB$87,Formula!H18,21)&lt;&gt;"",INDEX(Properties!A$1:CB$87,Formula!H18,21)),IF(INDEX(Properties!A$1:CB$87,Formula!J18,21)&lt;&gt;"",INDEX(Properties!A$1:CB$87,Formula!J18,21)))</f>
        <v>5.44</v>
      </c>
      <c r="BY18" s="66">
        <f>MAX(INDEX(Properties!A$1:CB$87,Formula!B18,21),INDEX(Properties!A$1:CB$87,Formula!D18,21),INDEX(Properties!A$1:CB$87,Formula!F18,21),INDEX(Properties!A$1:CB$87,Formula!H18,21),INDEX(Properties!A$1:CB$87,Formula!J18,21))</f>
        <v>6</v>
      </c>
      <c r="BZ18" s="66">
        <f>MIN(IF(INDEX(Properties!A$1:CB$87,Formula!B18,21)=0,10^6,INDEX(Properties!A$1:CB$87,Formula!B18,21)),IF(INDEX(Properties!A$1:CB$87,Formula!D18,21)=0,10^6,INDEX(Properties!A$1:CB$87,Formula!D18,21)),IF(INDEX(Properties!A$1:CB$87,Formula!F18,21)=0,10^6,INDEX(Properties!A$1:CB$87,Formula!F18,21)),IF(INDEX(Properties!A$1:CB$87,Formula!H18,21)=0,10^6,INDEX(Properties!A$1:CB$87,Formula!H18,21)),IF(INDEX(Properties!A$1:CB$87,Formula!J18,21)=0,10^6,INDEX(Properties!A$1:CB$87,Formula!J18,21)))</f>
        <v>2</v>
      </c>
      <c r="CA18" s="66">
        <f t="shared" si="12"/>
        <v>4</v>
      </c>
      <c r="CB18" s="81">
        <f>((Formula!C18)/(Formula!C18+Formula!E18+Formula!G18+Formula!I18+Formula!K18))*(INDEX(Properties!A$1:CB$87,Formula!B18,23))+((Formula!E18)/(Formula!C18+Formula!E18+Formula!G18+Formula!I18+Formula!K18))*(INDEX(Properties!A$1:CB$87,Formula!D18,23))+((Formula!G18)/(Formula!C18+Formula!E18+Formula!G18+Formula!I18+Formula!K18))*(INDEX(Properties!A$1:CB$87,Formula!F18,23))+((Formula!I18)/(Formula!C18+Formula!E18+Formula!G18+Formula!I18+Formula!K18))*(INDEX(Properties!A$1:CB$87,Formula!H18,23))+((Formula!K18)/(Formula!C18+Formula!E18+Formula!G18+Formula!I18+Formula!K18))*(INDEX(Properties!A$1:CB$87,Formula!J18,23))</f>
        <v>1.1428571428571428</v>
      </c>
      <c r="CC18" s="81">
        <f>Formula!C18*(INDEX(Properties!A$1:CB$87,Formula!B18,23))+Formula!E18*(INDEX(Properties!A$1:CB$87,Formula!D18,23))+Formula!G18*(INDEX(Properties!A$1:CB$87,Formula!F18,23))+Formula!I18*(INDEX(Properties!A$1:CB$87,Formula!H18,23))+Formula!K18*(INDEX(Properties!A$1:CB$87,Formula!J18,23))</f>
        <v>8</v>
      </c>
      <c r="CD18" s="81">
        <f>VARP(IF(INDEX(Properties!A$1:CB$87,Formula!B18,23)&lt;&gt;"",INDEX(Properties!A$1:CB$87,Formula!B18,23)),IF(INDEX(Properties!A$1:CB$87,Formula!D18,23)&lt;&gt;"",INDEX(Properties!A$1:CB$87,Formula!D18,23)),IF(INDEX(Properties!A$1:CB$87,Formula!F18,23)&lt;&gt;"",INDEX(Properties!A$1:CB$87,Formula!F18,23)),IF(INDEX(Properties!A$1:CB$87,Formula!H18,23)&lt;&gt;"",INDEX(Properties!A$1:CB$87,Formula!H18,23)),IF(INDEX(Properties!A$1:CB$87,Formula!J18,23)&lt;&gt;"",INDEX(Properties!A$1:CB$87,Formula!J18,23)))</f>
        <v>2.56</v>
      </c>
      <c r="CE18" s="81">
        <f>MAX(INDEX(Properties!A$1:CB$87,Formula!B18,23),INDEX(Properties!A$1:CB$87,Formula!D18,23),INDEX(Properties!A$1:CB$87,Formula!F18,23),INDEX(Properties!A$1:CB$87,Formula!H18,23),INDEX(Properties!A$1:CB$87,Formula!J18,23))</f>
        <v>4</v>
      </c>
      <c r="CF18" s="81">
        <f>MIN(IF(Formula!B18=87,10^6,INDEX(Properties!A$1:CB$87,Formula!B18,23)),IF((Formula!D18)=87,10^6,INDEX(Properties!A$1:CB$87,Formula!D18,23)),IF((Formula!F18)=87,10^6,INDEX(Properties!A$1:CB$87,Formula!F18,23)),IF((Formula!H18)=87,10^6,INDEX(Properties!A$1:CB$87,Formula!H18,23)),IF(Formula!J18=87,10^6,INDEX(Properties!A$1:CB$87,Formula!J18,23)))</f>
        <v>0</v>
      </c>
      <c r="CG18" s="81">
        <f t="shared" si="13"/>
        <v>4</v>
      </c>
      <c r="CH18" s="39">
        <f>((Formula!C18)/(Formula!C18+Formula!E18+Formula!G18+Formula!I18+Formula!K18))*(INDEX(Properties!A$1:CB$87,Formula!B18,26))+((Formula!E18)/(Formula!C18+Formula!E18+Formula!G18+Formula!I18+Formula!K18))*(INDEX(Properties!A$1:CB$87,Formula!D18,26))+((Formula!G18)/(Formula!C18+Formula!E18+Formula!G18+Formula!I18+Formula!K18))*(INDEX(Properties!A$1:CB$87,Formula!F18,26))+((Formula!I18)/(Formula!C18+Formula!E18+Formula!G18+Formula!I18+Formula!K18))*(INDEX(Properties!A$1:CB$87,Formula!H18,26))+((Formula!K18)/(Formula!C18+Formula!E18+Formula!G18+Formula!I18+Formula!K18))*(INDEX(Properties!A$1:CB$87,Formula!J18,26))</f>
        <v>11.130928571428571</v>
      </c>
      <c r="CI18" s="39">
        <f>Formula!C18*(INDEX(Properties!A$1:CB$87,Formula!B18,26))+Formula!E18*(INDEX(Properties!A$1:CB$87,Formula!D18,26))+Formula!G18*(INDEX(Properties!A$1:CB$87,Formula!F18,26))+Formula!I18*(INDEX(Properties!A$1:CB$87,Formula!H18,26))+Formula!K18*(INDEX(Properties!A$1:CB$87,Formula!J18,26))</f>
        <v>77.916499999999999</v>
      </c>
      <c r="CJ18" s="39">
        <f>VARP(IF(INDEX(Properties!A$1:CB$87,Formula!B18,26)&lt;&gt;"",INDEX(Properties!A$1:CB$87,Formula!B18,26)),IF(INDEX(Properties!A$1:CB$87,Formula!D18,26)&lt;&gt;"",INDEX(Properties!A$1:CB$87,Formula!D18,26)),IF(INDEX(Properties!A$1:CB$87,Formula!F18,26)&lt;&gt;"",INDEX(Properties!A$1:CB$87,Formula!F18,26)),IF(INDEX(Properties!A$1:CB$87,Formula!H18,26)&lt;&gt;"",INDEX(Properties!A$1:CB$87,Formula!H18,26)),IF(INDEX(Properties!A$1:CB$87,Formula!J18,26)&lt;&gt;"",INDEX(Properties!A$1:CB$87,Formula!J18,26)))</f>
        <v>27.461404747999996</v>
      </c>
      <c r="CK18" s="39">
        <f>MAX(INDEX(Properties!A$1:CB$87,Formula!B18,26),INDEX(Properties!A$1:CB$87,Formula!D18,26),INDEX(Properties!A$1:CB$87,Formula!F18,26),INDEX(Properties!A$1:CB$87,Formula!H18,26),INDEX(Properties!A$1:CB$87,Formula!J18,26))</f>
        <v>13.6181</v>
      </c>
      <c r="CL18" s="39">
        <f>MIN(IF(INDEX(Properties!A$1:CB$87,Formula!B18,26)=0,10^6,INDEX(Properties!A$1:CB$87,Formula!B18,26)),IF(INDEX(Properties!A$1:CB$87,Formula!D18,26)=0,10^6,INDEX(Properties!A$1:CB$87,Formula!D18,26)),IF(INDEX(Properties!A$1:CB$87,Formula!F18,26)=0,10^6,INDEX(Properties!A$1:CB$87,Formula!F18,26)),IF(INDEX(Properties!A$1:CB$87,Formula!H18,26)=0,10^6,INDEX(Properties!A$1:CB$87,Formula!H18,26)),IF(INDEX(Properties!A$1:CB$87,Formula!J18,26)=0,10^6,INDEX(Properties!A$1:CB$87,Formula!J18,26)))</f>
        <v>7.6462000000000003</v>
      </c>
      <c r="CM18" s="39">
        <f t="shared" si="14"/>
        <v>5.9718999999999998</v>
      </c>
      <c r="CN18" s="54">
        <f>((Formula!C18)/(Formula!C18+Formula!E18+Formula!G18+Formula!I18+Formula!K18))*(INDEX(Properties!A$1:CB$87,Formula!B18,30))+((Formula!E18)/(Formula!C18+Formula!E18+Formula!G18+Formula!I18+Formula!K18))*(INDEX(Properties!A$1:CB$87,Formula!D18,30))+((Formula!G18)/(Formula!C18+Formula!E18+Formula!G18+Formula!I18+Formula!K18))*(INDEX(Properties!A$1:CB$87,Formula!F18,30))+((Formula!I18)/(Formula!C18+Formula!E18+Formula!G18+Formula!I18+Formula!K18))*(INDEX(Properties!A$1:CB$87,Formula!H18,30))+((Formula!K18)/(Formula!C18+Formula!E18+Formula!G18+Formula!I18+Formula!K18))*(INDEX(Properties!A$1:CB$87,Formula!J18,30))</f>
        <v>2.6114285714285712</v>
      </c>
      <c r="CO18" s="54">
        <f>Formula!C18*(INDEX(Properties!A$1:CB$87,Formula!B18,30))+Formula!E18*(INDEX(Properties!A$1:CB$87,Formula!D18,30))+Formula!G18*(INDEX(Properties!A$1:CB$87,Formula!F18,30))+Formula!I18*(INDEX(Properties!A$1:CB$87,Formula!H18,30))+Formula!K18*(INDEX(Properties!A$1:CB$87,Formula!J18,30))</f>
        <v>18.28</v>
      </c>
      <c r="CP18" s="54">
        <f>VARP(IF(INDEX(Properties!A$1:CB$87,Formula!B18,30)&lt;&gt;"",INDEX(Properties!A$1:CB$87,Formula!B18,30)),IF(INDEX(Properties!A$1:CB$87,Formula!D18,30)&lt;&gt;"",INDEX(Properties!A$1:CB$87,Formula!D18,30)),IF(INDEX(Properties!A$1:CB$87,Formula!F18,30)&lt;&gt;"",INDEX(Properties!A$1:CB$87,Formula!F18,30)),IF(INDEX(Properties!A$1:CB$87,Formula!H18,30)&lt;&gt;"",INDEX(Properties!A$1:CB$87,Formula!H18,30)),IF(INDEX(Properties!A$1:CB$87,Formula!J18,30)&lt;&gt;"",INDEX(Properties!A$1:CB$87,Formula!J18,30)))</f>
        <v>1.6630400000000001</v>
      </c>
      <c r="CQ18" s="54">
        <f>MAX(INDEX(Properties!A$1:CB$87,Formula!B18,30),INDEX(Properties!A$1:CB$87,Formula!D18,30),INDEX(Properties!A$1:CB$87,Formula!F18,30),INDEX(Properties!A$1:CB$87,Formula!H18,30),INDEX(Properties!A$1:CB$87,Formula!J18,30))</f>
        <v>3.44</v>
      </c>
      <c r="CR18" s="54">
        <f>MIN(IF(INDEX(Properties!A$1:CB$87,Formula!B18,30)=0,10^6,INDEX(Properties!A$1:CB$87,Formula!B18,30)),IF(INDEX(Properties!A$1:CB$87,Formula!D18,30)=0,10^6,INDEX(Properties!A$1:CB$87,Formula!D18,30)),IF(INDEX(Properties!A$1:CB$87,Formula!F18,30)=0,10^6,INDEX(Properties!A$1:CB$87,Formula!F18,30)),IF(INDEX(Properties!A$1:CB$87,Formula!H18,30)=0,10^6,INDEX(Properties!A$1:CB$87,Formula!H18,30)),IF(INDEX(Properties!A$1:CB$87,Formula!J18,30)=0,10^6,INDEX(Properties!A$1:CB$87,Formula!J18,30)))</f>
        <v>1.31</v>
      </c>
      <c r="CS18" s="54">
        <f t="shared" si="15"/>
        <v>2.13</v>
      </c>
      <c r="CT18" s="69">
        <f>((Formula!C18)/(Formula!C18+Formula!E18+Formula!G18+Formula!I18+Formula!K18))*(INDEX(Properties!A$1:CB$87,Formula!B18,31))+((Formula!E18)/(Formula!C18+Formula!E18+Formula!G18+Formula!I18+Formula!K18))*(INDEX(Properties!A$1:CB$87,Formula!D18,31))+((Formula!G18)/(Formula!C18+Formula!E18+Formula!G18+Formula!I18+Formula!K18))*(INDEX(Properties!A$1:CB$87,Formula!F18,31))+((Formula!I18)/(Formula!C18+Formula!E18+Formula!G18+Formula!I18+Formula!K18))*(INDEX(Properties!A$1:CB$87,Formula!H18,31))+((Formula!K18)/(Formula!C18+Formula!E18+Formula!G18+Formula!I18+Formula!K18))*(INDEX(Properties!A$1:CB$87,Formula!J18,31))</f>
        <v>2.5542857142857143</v>
      </c>
      <c r="CU18" s="69">
        <f>Formula!C18*(INDEX(Properties!A$1:CB$87,Formula!B18,31))+Formula!E18*(INDEX(Properties!A$1:CB$87,Formula!D18,31))+Formula!G18*(INDEX(Properties!A$1:CB$87,Formula!F18,31))+Formula!I18*(INDEX(Properties!A$1:CB$87,Formula!H18,31))+Formula!K18*(INDEX(Properties!A$1:CB$87,Formula!J18,31))</f>
        <v>17.88</v>
      </c>
      <c r="CV18" s="69">
        <f>VARP(IF(INDEX(Properties!A$1:CB$87,Formula!B18,31)&lt;&gt;"",INDEX(Properties!A$1:CB$87,Formula!B18,31)),IF(INDEX(Properties!A$1:CB$87,Formula!D18,31)&lt;&gt;"",INDEX(Properties!A$1:CB$87,Formula!D18,31)),IF(INDEX(Properties!A$1:CB$87,Formula!F18,31)&lt;&gt;"",INDEX(Properties!A$1:CB$87,Formula!F18,31)),IF(INDEX(Properties!A$1:CB$87,Formula!H18,31)&lt;&gt;"",INDEX(Properties!A$1:CB$87,Formula!H18,31)),IF(INDEX(Properties!A$1:CB$87,Formula!J18,31)&lt;&gt;"",INDEX(Properties!A$1:CB$87,Formula!J18,31)))</f>
        <v>1.5840960000000004</v>
      </c>
      <c r="CW18" s="69">
        <f>MAX(INDEX(Properties!A$1:CB$87,Formula!B18,31),INDEX(Properties!A$1:CB$87,Formula!D18,31),INDEX(Properties!A$1:CB$87,Formula!F18,31),INDEX(Properties!A$1:CB$87,Formula!H18,31),INDEX(Properties!A$1:CB$87,Formula!J18,31))</f>
        <v>3.32</v>
      </c>
      <c r="CX18" s="69">
        <f>MIN(IF(INDEX(Properties!A$1:CB$87,Formula!B18,31)=0,10^6,INDEX(Properties!A$1:CB$87,Formula!B18,31)),IF(INDEX(Properties!A$1:CB$87,Formula!D18,31)=0,10^6,INDEX(Properties!A$1:CB$87,Formula!D18,31)),IF(INDEX(Properties!A$1:CB$87,Formula!F18,31)=0,10^6,INDEX(Properties!A$1:CB$87,Formula!F18,31)),IF(INDEX(Properties!A$1:CB$87,Formula!H18,31)=0,10^6,INDEX(Properties!A$1:CB$87,Formula!H18,31)),IF(INDEX(Properties!A$1:CB$87,Formula!J18,31)=0,10^6,INDEX(Properties!A$1:CB$87,Formula!J18,31)))</f>
        <v>1.31</v>
      </c>
      <c r="CY18" s="69">
        <f t="shared" si="16"/>
        <v>2.0099999999999998</v>
      </c>
      <c r="CZ18" s="42">
        <f>((Formula!C18)/(Formula!C18+Formula!E18+Formula!G18+Formula!I18+Formula!K18))*(INDEX(Properties!A$1:CB$87,Formula!B18,32))+((Formula!E18)/(Formula!C18+Formula!E18+Formula!G18+Formula!I18+Formula!K18))*(INDEX(Properties!A$1:CB$87,Formula!D18,32))+((Formula!G18)/(Formula!C18+Formula!E18+Formula!G18+Formula!I18+Formula!K18))*(INDEX(Properties!A$1:CB$87,Formula!F18,32))+((Formula!I18)/(Formula!C18+Formula!E18+Formula!G18+Formula!I18+Formula!K18))*(INDEX(Properties!A$1:CB$87,Formula!H18,32))+((Formula!K18)/(Formula!C18+Formula!E18+Formula!G18+Formula!I18+Formula!K18))*(INDEX(Properties!A$1:CB$87,Formula!J18,32))</f>
        <v>6.0614285714285714</v>
      </c>
      <c r="DA18" s="42">
        <f>Formula!C18*(INDEX(Properties!A$1:CB$87,Formula!B18,32))+Formula!E18*(INDEX(Properties!A$1:CB$87,Formula!D18,32))+Formula!G18*(INDEX(Properties!A$1:CB$87,Formula!F18,32))+Formula!I18*(INDEX(Properties!A$1:CB$87,Formula!H18,32))+Formula!K18*(INDEX(Properties!A$1:CB$87,Formula!J18,32))</f>
        <v>42.43</v>
      </c>
      <c r="DB18" s="42">
        <f>VARP(IF(INDEX(Properties!A$1:CB$87,Formula!B18,32)&lt;&gt;"",INDEX(Properties!A$1:CB$87,Formula!B18,32)),IF(INDEX(Properties!A$1:CB$87,Formula!D18,32)&lt;&gt;"",INDEX(Properties!A$1:CB$87,Formula!D18,32)),IF(INDEX(Properties!A$1:CB$87,Formula!F18,32)&lt;&gt;"",INDEX(Properties!A$1:CB$87,Formula!F18,32)),IF(INDEX(Properties!A$1:CB$87,Formula!H18,32)&lt;&gt;"",INDEX(Properties!A$1:CB$87,Formula!H18,32)),IF(INDEX(Properties!A$1:CB$87,Formula!J18,32)&lt;&gt;"",INDEX(Properties!A$1:CB$87,Formula!J18,32)))</f>
        <v>8.4164560000000037</v>
      </c>
      <c r="DC18" s="42">
        <f>MAX(INDEX(Properties!A$1:CB$87,Formula!B18,32),INDEX(Properties!A$1:CB$87,Formula!D18,32),INDEX(Properties!A$1:CB$87,Formula!F18,32),INDEX(Properties!A$1:CB$87,Formula!H18,32),INDEX(Properties!A$1:CB$87,Formula!J18,32))</f>
        <v>7.54</v>
      </c>
      <c r="DD18" s="42">
        <f>MIN(IF(INDEX(Properties!A$1:CB$87,Formula!B18,32)=0,10^6,INDEX(Properties!A$1:CB$87,Formula!B18,32)),IF(INDEX(Properties!A$1:CB$87,Formula!D18,32)=0,10^6,INDEX(Properties!A$1:CB$87,Formula!D18,32)),IF(INDEX(Properties!A$1:CB$87,Formula!F18,32)=0,10^6,INDEX(Properties!A$1:CB$87,Formula!F18,32)),IF(INDEX(Properties!A$1:CB$87,Formula!H18,32)=0,10^6,INDEX(Properties!A$1:CB$87,Formula!H18,32)),IF(INDEX(Properties!A$1:CB$87,Formula!J18,32)=0,10^6,INDEX(Properties!A$1:CB$87,Formula!J18,32)))</f>
        <v>3.75</v>
      </c>
      <c r="DE18" s="42">
        <f t="shared" si="17"/>
        <v>3.79</v>
      </c>
      <c r="DF18" s="60">
        <f>((Formula!C18)/(Formula!C18+Formula!E18+Formula!G18+Formula!I18+Formula!K18))*(INDEX(Properties!A$1:CB$87,Formula!B18,34))+((Formula!E18)/(Formula!C18+Formula!E18+Formula!G18+Formula!I18+Formula!K18))*(INDEX(Properties!A$1:CB$87,Formula!D18,34))+((Formula!G18)/(Formula!C18+Formula!E18+Formula!G18+Formula!I18+Formula!K18))*(INDEX(Properties!A$1:CB$87,Formula!F18,34))+((Formula!I18)/(Formula!C18+Formula!E18+Formula!G18+Formula!I18+Formula!K18))*(INDEX(Properties!A$1:CB$87,Formula!H18,34))+((Formula!K18)/(Formula!C18+Formula!E18+Formula!G18+Formula!I18+Formula!K18))*(INDEX(Properties!A$1:CB$87,Formula!J18,34))</f>
        <v>2.7059999999999995</v>
      </c>
      <c r="DG18" s="60">
        <f>Formula!C18*(INDEX(Properties!A$1:CB$87,Formula!B18,34))+Formula!E18*(INDEX(Properties!A$1:CB$87,Formula!D18,34))+Formula!G18*(INDEX(Properties!A$1:CB$87,Formula!F18,34))+Formula!I18*(INDEX(Properties!A$1:CB$87,Formula!H18,34))+Formula!K18*(INDEX(Properties!A$1:CB$87,Formula!J18,34))</f>
        <v>18.942</v>
      </c>
      <c r="DH18" s="60">
        <f>VARP(IF(INDEX(Properties!A$1:CB$87,Formula!B18,34)&lt;&gt;"",INDEX(Properties!A$1:CB$87,Formula!B18,34)),IF(INDEX(Properties!A$1:CB$87,Formula!D18,34)&lt;&gt;"",INDEX(Properties!A$1:CB$87,Formula!D18,34)),IF(INDEX(Properties!A$1:CB$87,Formula!F18,34)&lt;&gt;"",INDEX(Properties!A$1:CB$87,Formula!F18,34)),IF(INDEX(Properties!A$1:CB$87,Formula!H18,34)&lt;&gt;"",INDEX(Properties!A$1:CB$87,Formula!H18,34)),IF(INDEX(Properties!A$1:CB$87,Formula!J18,34)&lt;&gt;"",INDEX(Properties!A$1:CB$87,Formula!J18,34)))</f>
        <v>1.8150505600000009</v>
      </c>
      <c r="DI18" s="60">
        <f>MAX(INDEX(Properties!A$1:CB$87,Formula!B18,34),INDEX(Properties!A$1:CB$87,Formula!D18,34),INDEX(Properties!A$1:CB$87,Formula!F18,34),INDEX(Properties!A$1:CB$87,Formula!H18,34),INDEX(Properties!A$1:CB$87,Formula!J18,34))</f>
        <v>3.61</v>
      </c>
      <c r="DJ18" s="60">
        <f>MIN(IF(INDEX(Properties!A$1:CB$87,Formula!B18,34)=0,10^6,INDEX(Properties!A$1:CB$87,Formula!B18,34)),IF(INDEX(Properties!A$1:CB$87,Formula!D18,34)=0,10^6,INDEX(Properties!A$1:CB$87,Formula!D18,34)),IF(INDEX(Properties!A$1:CB$87,Formula!F18,34)=0,10^6,INDEX(Properties!A$1:CB$87,Formula!F18,34)),IF(INDEX(Properties!A$1:CB$87,Formula!H18,34)=0,10^6,INDEX(Properties!A$1:CB$87,Formula!H18,34)),IF(INDEX(Properties!A$1:CB$87,Formula!J18,34)=0,10^6,INDEX(Properties!A$1:CB$87,Formula!J18,34)))</f>
        <v>1.2929999999999999</v>
      </c>
      <c r="DK18" s="60">
        <f t="shared" si="18"/>
        <v>2.3170000000000002</v>
      </c>
      <c r="DL18" s="45">
        <f>((Formula!C18)/(Formula!C18+Formula!E18+Formula!G18+Formula!I18+Formula!K18))*(INDEX(Properties!A$1:CB$87,Formula!B18,39))+((Formula!E18)/(Formula!C18+Formula!E18+Formula!G18+Formula!I18+Formula!K18))*(INDEX(Properties!A$1:CB$87,Formula!D18,39))+((Formula!G18)/(Formula!C18+Formula!E18+Formula!G18+Formula!I18+Formula!K18))*(INDEX(Properties!A$1:CB$87,Formula!F18,39))+((Formula!I18)/(Formula!C18+Formula!E18+Formula!G18+Formula!I18+Formula!K18))*(INDEX(Properties!A$1:CB$87,Formula!H18,39))+((Formula!K18)/(Formula!C18+Formula!E18+Formula!G18+Formula!I18+Formula!K18))*(INDEX(Properties!A$1:CB$87,Formula!J18,39))</f>
        <v>0.84714285714285709</v>
      </c>
      <c r="DM18" s="45">
        <f>Formula!C18*(INDEX(Properties!A$1:CB$87,Formula!B18,39))+Formula!E18*(INDEX(Properties!A$1:CB$87,Formula!D18,39))+Formula!G18*(INDEX(Properties!A$1:CB$87,Formula!F18,39))+Formula!I18*(INDEX(Properties!A$1:CB$87,Formula!H18,39))+Formula!K18*(INDEX(Properties!A$1:CB$87,Formula!J18,39))</f>
        <v>5.93</v>
      </c>
      <c r="DN18" s="45">
        <f>VARP(IF(INDEX(Properties!A$1:CB$87,Formula!B18,39)&lt;&gt;"",INDEX(Properties!A$1:CB$87,Formula!B18,39)),IF(INDEX(Properties!A$1:CB$87,Formula!D18,39)&lt;&gt;"",INDEX(Properties!A$1:CB$87,Formula!D18,39)),IF(INDEX(Properties!A$1:CB$87,Formula!F18,39)&lt;&gt;"",INDEX(Properties!A$1:CB$87,Formula!F18,39)),IF(INDEX(Properties!A$1:CB$87,Formula!H18,39)&lt;&gt;"",INDEX(Properties!A$1:CB$87,Formula!H18,39)),IF(INDEX(Properties!A$1:CB$87,Formula!J18,39)&lt;&gt;"",INDEX(Properties!A$1:CB$87,Formula!J18,39)))</f>
        <v>0.34333599999999997</v>
      </c>
      <c r="DO18" s="45">
        <f>MAX(INDEX(Properties!A$1:CB$87,Formula!B18,39),INDEX(Properties!A$1:CB$87,Formula!D18,39),INDEX(Properties!A$1:CB$87,Formula!F18,39),INDEX(Properties!A$1:CB$87,Formula!H18,39),INDEX(Properties!A$1:CB$87,Formula!J18,39))</f>
        <v>1.45</v>
      </c>
      <c r="DP18" s="45">
        <f>MIN(IF(INDEX(Properties!A$1:CB$87,Formula!B18,39)=0,10^6,INDEX(Properties!A$1:CB$87,Formula!B18,39)),IF(INDEX(Properties!A$1:CB$87,Formula!D18,39)=0,10^6,INDEX(Properties!A$1:CB$87,Formula!D18,39)),IF(INDEX(Properties!A$1:CB$87,Formula!F18,39)=0,10^6,INDEX(Properties!A$1:CB$87,Formula!F18,39)),IF(INDEX(Properties!A$1:CB$87,Formula!H18,39)=0,10^6,INDEX(Properties!A$1:CB$87,Formula!H18,39)),IF(INDEX(Properties!A$1:CB$87,Formula!J18,39)=0,10^6,INDEX(Properties!A$1:CB$87,Formula!J18,39)))</f>
        <v>0.48</v>
      </c>
      <c r="DQ18" s="45">
        <f t="shared" si="19"/>
        <v>0.97</v>
      </c>
      <c r="DR18" s="63">
        <f>((Formula!C18)/(Formula!C18+Formula!E18+Formula!G18+Formula!I18+Formula!K18))*(INDEX(Properties!A$1:CB$87,Formula!B18,40))+((Formula!E18)/(Formula!C18+Formula!E18+Formula!G18+Formula!I18+Formula!K18))*(INDEX(Properties!A$1:CB$87,Formula!D18,40))+((Formula!G18)/(Formula!C18+Formula!E18+Formula!G18+Formula!I18+Formula!K18))*(INDEX(Properties!A$1:CB$87,Formula!F18,40))+((Formula!I18)/(Formula!C18+Formula!E18+Formula!G18+Formula!I18+Formula!K18))*(INDEX(Properties!A$1:CB$87,Formula!H18,40))+((Formula!K18)/(Formula!C18+Formula!E18+Formula!G18+Formula!I18+Formula!K18))*(INDEX(Properties!A$1:CB$87,Formula!J18,40))</f>
        <v>0.94714285714285706</v>
      </c>
      <c r="DS18" s="63">
        <f>Formula!C18*(INDEX(Properties!A$1:CB$87,Formula!B18,40))+Formula!E18*(INDEX(Properties!A$1:CB$87,Formula!D18,40))+Formula!G18*(INDEX(Properties!A$1:CB$87,Formula!F18,40))+Formula!I18*(INDEX(Properties!A$1:CB$87,Formula!H18,40))+Formula!K18*(INDEX(Properties!A$1:CB$87,Formula!J18,40))</f>
        <v>6.63</v>
      </c>
      <c r="DT18" s="63">
        <f>VARP(IF(INDEX(Properties!A$1:CB$87,Formula!B18,40)&lt;&gt;"",INDEX(Properties!A$1:CB$87,Formula!B18,40)),IF(INDEX(Properties!A$1:CB$87,Formula!D18,40)&lt;&gt;"",INDEX(Properties!A$1:CB$87,Formula!D18,40)),IF(INDEX(Properties!A$1:CB$87,Formula!F18,40)&lt;&gt;"",INDEX(Properties!A$1:CB$87,Formula!F18,40)),IF(INDEX(Properties!A$1:CB$87,Formula!H18,40)&lt;&gt;"",INDEX(Properties!A$1:CB$87,Formula!H18,40)),IF(INDEX(Properties!A$1:CB$87,Formula!J18,40)&lt;&gt;"",INDEX(Properties!A$1:CB$87,Formula!J18,40)))</f>
        <v>0.29661599999999994</v>
      </c>
      <c r="DU18" s="63">
        <f>MAX(INDEX(Properties!A$1:CB$87,Formula!B18,40),INDEX(Properties!A$1:CB$87,Formula!D18,40),INDEX(Properties!A$1:CB$87,Formula!F18,40),INDEX(Properties!A$1:CB$87,Formula!H18,40),INDEX(Properties!A$1:CB$87,Formula!J18,40))</f>
        <v>1.3</v>
      </c>
      <c r="DV18" s="63">
        <f>MIN(IF(INDEX(Properties!A$1:CB$87,Formula!B18,40)=0,10^6,INDEX(Properties!A$1:CB$87,Formula!B18,40)),IF(INDEX(Properties!A$1:CB$87,Formula!D18,40)=0,10^6,INDEX(Properties!A$1:CB$87,Formula!D18,40)),IF(INDEX(Properties!A$1:CB$87,Formula!F18,40)=0,10^6,INDEX(Properties!A$1:CB$87,Formula!F18,40)),IF(INDEX(Properties!A$1:CB$87,Formula!H18,40)=0,10^6,INDEX(Properties!A$1:CB$87,Formula!H18,40)),IF(INDEX(Properties!A$1:CB$87,Formula!J18,40)=0,10^6,INDEX(Properties!A$1:CB$87,Formula!J18,40)))</f>
        <v>0.73</v>
      </c>
      <c r="DW18" s="63">
        <f t="shared" si="20"/>
        <v>0.57000000000000006</v>
      </c>
      <c r="DX18" s="75">
        <f>((Formula!C18)/(Formula!C18+Formula!E18+Formula!G18+Formula!I18+Formula!K18))*(INDEX(Properties!A$1:CB$87,Formula!B18,41))+((Formula!E18)/(Formula!C18+Formula!E18+Formula!G18+Formula!I18+Formula!K18))*(INDEX(Properties!A$1:CB$87,Formula!D18,41))+((Formula!G18)/(Formula!C18+Formula!E18+Formula!G18+Formula!I18+Formula!K18))*(INDEX(Properties!A$1:CB$87,Formula!F18,41))+((Formula!I18)/(Formula!C18+Formula!E18+Formula!G18+Formula!I18+Formula!K18))*(INDEX(Properties!A$1:CB$87,Formula!H18,41))+((Formula!K18)/(Formula!C18+Formula!E18+Formula!G18+Formula!I18+Formula!K18))*(INDEX(Properties!A$1:CB$87,Formula!J18,41))</f>
        <v>1.0428571428571427</v>
      </c>
      <c r="DY18" s="75">
        <f>Formula!C18*(INDEX(Properties!A$1:CB$87,Formula!B18,41))+Formula!E18*(INDEX(Properties!A$1:CB$87,Formula!D18,41))+Formula!G18*(INDEX(Properties!A$1:CB$87,Formula!F18,41))+Formula!I18*(INDEX(Properties!A$1:CB$87,Formula!H18,41))+Formula!K18*(INDEX(Properties!A$1:CB$87,Formula!J18,41))</f>
        <v>7.3</v>
      </c>
      <c r="DZ18" s="75">
        <f>VARP(IF(INDEX(Properties!A$1:CB$87,Formula!B18,41)&lt;&gt;"",INDEX(Properties!A$1:CB$87,Formula!B18,41)),IF(INDEX(Properties!A$1:CB$87,Formula!D18,41)&lt;&gt;"",INDEX(Properties!A$1:CB$87,Formula!D18,41)),IF(INDEX(Properties!A$1:CB$87,Formula!F18,41)&lt;&gt;"",INDEX(Properties!A$1:CB$87,Formula!F18,41)),IF(INDEX(Properties!A$1:CB$87,Formula!H18,41)&lt;&gt;"",INDEX(Properties!A$1:CB$87,Formula!H18,41)),IF(INDEX(Properties!A$1:CB$87,Formula!J18,41)&lt;&gt;"",INDEX(Properties!A$1:CB$87,Formula!J18,41)))</f>
        <v>0.24073600000000003</v>
      </c>
      <c r="EA18" s="75">
        <f>MAX(INDEX(Properties!A$1:CB$87,Formula!B18,41),INDEX(Properties!A$1:CB$87,Formula!D18,41),INDEX(Properties!A$1:CB$87,Formula!F18,41),INDEX(Properties!A$1:CB$87,Formula!H18,41),INDEX(Properties!A$1:CB$87,Formula!J18,41))</f>
        <v>1.26</v>
      </c>
      <c r="EB18" s="75">
        <f>MIN(IF(INDEX(Properties!A$1:CB$87,Formula!B18,41)=0,10^6,INDEX(Properties!A$1:CB$87,Formula!B18,41)),IF(INDEX(Properties!A$1:CB$87,Formula!D18,41)=0,10^6,INDEX(Properties!A$1:CB$87,Formula!D18,41)),IF(INDEX(Properties!A$1:CB$87,Formula!F18,41)=0,10^6,INDEX(Properties!A$1:CB$87,Formula!F18,41)),IF(INDEX(Properties!A$1:CB$87,Formula!H18,41)=0,10^6,INDEX(Properties!A$1:CB$87,Formula!H18,41)),IF(INDEX(Properties!A$1:CB$87,Formula!J18,41)=0,10^6,INDEX(Properties!A$1:CB$87,Formula!J18,41)))</f>
        <v>0.54</v>
      </c>
      <c r="EC18" s="75">
        <f t="shared" si="21"/>
        <v>0.72</v>
      </c>
      <c r="ED18" s="48">
        <f>((Formula!C18)/(Formula!C18+Formula!E18+Formula!G18+Formula!I18+Formula!K18))*(INDEX(Properties!A$1:CB$87,Formula!B18,45))+((Formula!E18)/(Formula!C18+Formula!E18+Formula!G18+Formula!I18+Formula!K18))*(INDEX(Properties!A$1:CB$87,Formula!D18,45))+((Formula!G18)/(Formula!C18+Formula!E18+Formula!G18+Formula!I18+Formula!K18))*(INDEX(Properties!A$1:CB$87,Formula!F18,45))+((Formula!I18)/(Formula!C18+Formula!E18+Formula!G18+Formula!I18+Formula!K18))*(INDEX(Properties!A$1:CB$87,Formula!H18,45))+((Formula!K18)/(Formula!C18+Formula!E18+Formula!G18+Formula!I18+Formula!K18))*(INDEX(Properties!A$1:CB$87,Formula!J18,45))</f>
        <v>1.0514285714285714</v>
      </c>
      <c r="EE18" s="48">
        <f>Formula!C18*(INDEX(Properties!A$1:CB$87,Formula!B18,45))+Formula!E18*(INDEX(Properties!A$1:CB$87,Formula!D18,45))+Formula!G18*(INDEX(Properties!A$1:CB$87,Formula!F18,45))+Formula!I18*(INDEX(Properties!A$1:CB$87,Formula!H18,45))+Formula!K18*(INDEX(Properties!A$1:CB$87,Formula!J18,45))</f>
        <v>7.3599999999999994</v>
      </c>
      <c r="EF18" s="48">
        <f>VARP(IF(INDEX(Properties!A$1:CB$87,Formula!B18,45)&lt;&gt;"",INDEX(Properties!A$1:CB$87,Formula!B18,45)),IF(INDEX(Properties!A$1:CB$87,Formula!D18,45)&lt;&gt;"",INDEX(Properties!A$1:CB$87,Formula!D18,45)),IF(INDEX(Properties!A$1:CB$87,Formula!F18,45)&lt;&gt;"",INDEX(Properties!A$1:CB$87,Formula!F18,45)),IF(INDEX(Properties!A$1:CB$87,Formula!H18,45)&lt;&gt;"",INDEX(Properties!A$1:CB$87,Formula!H18,45)),IF(INDEX(Properties!A$1:CB$87,Formula!J18,45)&lt;&gt;"",INDEX(Properties!A$1:CB$87,Formula!J18,45)))</f>
        <v>0.6569839999999999</v>
      </c>
      <c r="EG18" s="48">
        <f>MAX(INDEX(Properties!A$1:CB$87,Formula!B18,45),INDEX(Properties!A$1:CB$87,Formula!D18,45),INDEX(Properties!A$1:CB$87,Formula!F18,45),INDEX(Properties!A$1:CB$87,Formula!H18,45),INDEX(Properties!A$1:CB$87,Formula!J18,45))</f>
        <v>2.0299999999999998</v>
      </c>
      <c r="EH18" s="48">
        <f>MIN(IF(INDEX(Properties!A$1:CB$87,Formula!B18,45)=0,10^6,INDEX(Properties!A$1:CB$87,Formula!B18,45)),IF(INDEX(Properties!A$1:CB$87,Formula!D18,45)=0,10^6,INDEX(Properties!A$1:CB$87,Formula!D18,45)),IF(INDEX(Properties!A$1:CB$87,Formula!F18,45)=0,10^6,INDEX(Properties!A$1:CB$87,Formula!F18,45)),IF(INDEX(Properties!A$1:CB$87,Formula!H18,45)=0,10^6,INDEX(Properties!A$1:CB$87,Formula!H18,45)),IF(INDEX(Properties!A$1:CB$87,Formula!J18,45)=0,10^6,INDEX(Properties!A$1:CB$87,Formula!J18,45)))</f>
        <v>0.47</v>
      </c>
      <c r="EI18" s="48">
        <f t="shared" si="22"/>
        <v>1.5599999999999998</v>
      </c>
      <c r="EJ18" s="66">
        <f>((Formula!C18)/(Formula!C18+Formula!E18+Formula!G18+Formula!I18+Formula!K18))*(INDEX(Properties!A$1:CB$87,Formula!B18,46))+((Formula!E18)/(Formula!C18+Formula!E18+Formula!G18+Formula!I18+Formula!K18))*(INDEX(Properties!A$1:CB$87,Formula!D18,46))+((Formula!G18)/(Formula!C18+Formula!E18+Formula!G18+Formula!I18+Formula!K18))*(INDEX(Properties!A$1:CB$87,Formula!F18,46))+((Formula!I18)/(Formula!C18+Formula!E18+Formula!G18+Formula!I18+Formula!K18))*(INDEX(Properties!A$1:CB$87,Formula!H18,46))+((Formula!K18)/(Formula!C18+Formula!E18+Formula!G18+Formula!I18+Formula!K18))*(INDEX(Properties!A$1:CB$87,Formula!J18,46))</f>
        <v>0.99428571428571422</v>
      </c>
      <c r="EK18" s="66">
        <f>Formula!C18*(INDEX(Properties!A$1:CB$87,Formula!B18,46))+Formula!E18*(INDEX(Properties!A$1:CB$87,Formula!D18,46))+Formula!G18*(INDEX(Properties!A$1:CB$87,Formula!F18,46))+Formula!I18*(INDEX(Properties!A$1:CB$87,Formula!H18,46))+Formula!K18*(INDEX(Properties!A$1:CB$87,Formula!J18,46))</f>
        <v>6.96</v>
      </c>
      <c r="EL18" s="66">
        <f>VARP(IF(INDEX(Properties!A$1:CB$87,Formula!B18,46)&lt;&gt;"",INDEX(Properties!A$1:CB$87,Formula!B18,46)),IF(INDEX(Properties!A$1:CB$87,Formula!D18,46)&lt;&gt;"",INDEX(Properties!A$1:CB$87,Formula!D18,46)),IF(INDEX(Properties!A$1:CB$87,Formula!F18,46)&lt;&gt;"",INDEX(Properties!A$1:CB$87,Formula!F18,46)),IF(INDEX(Properties!A$1:CB$87,Formula!H18,46)&lt;&gt;"",INDEX(Properties!A$1:CB$87,Formula!H18,46)),IF(INDEX(Properties!A$1:CB$87,Formula!J18,46)&lt;&gt;"",INDEX(Properties!A$1:CB$87,Formula!J18,46)))</f>
        <v>0.22870399999999999</v>
      </c>
      <c r="EM18" s="66">
        <f>MAX(INDEX(Properties!A$1:CB$87,Formula!B18,46),INDEX(Properties!A$1:CB$87,Formula!D18,46),INDEX(Properties!A$1:CB$87,Formula!F18,46),INDEX(Properties!A$1:CB$87,Formula!H18,46),INDEX(Properties!A$1:CB$87,Formula!J18,46))</f>
        <v>1.21</v>
      </c>
      <c r="EN18" s="66">
        <f>MIN(IF(INDEX(Properties!A$1:CB$87,Formula!B18,46)=0,10^6,INDEX(Properties!A$1:CB$87,Formula!B18,46)),IF(INDEX(Properties!A$1:CB$87,Formula!D18,46)=0,10^6,INDEX(Properties!A$1:CB$87,Formula!D18,46)),IF(INDEX(Properties!A$1:CB$87,Formula!F18,46)=0,10^6,INDEX(Properties!A$1:CB$87,Formula!F18,46)),IF(INDEX(Properties!A$1:CB$87,Formula!H18,46)=0,10^6,INDEX(Properties!A$1:CB$87,Formula!H18,46)),IF(INDEX(Properties!A$1:CB$87,Formula!J18,46)=0,10^6,INDEX(Properties!A$1:CB$87,Formula!J18,46)))</f>
        <v>0.4</v>
      </c>
      <c r="EO18" s="66">
        <f t="shared" si="23"/>
        <v>0.80999999999999994</v>
      </c>
      <c r="EP18" s="81">
        <f>((Formula!C18)/(Formula!C18+Formula!E18+Formula!G18+Formula!I18+Formula!K18))*(INDEX(Properties!A$1:CB$87,Formula!B18,52))+((Formula!E18)/(Formula!C18+Formula!E18+Formula!G18+Formula!I18+Formula!K18))*(INDEX(Properties!A$1:CB$87,Formula!D18,52))+((Formula!G18)/(Formula!C18+Formula!E18+Formula!G18+Formula!I18+Formula!K18))*(INDEX(Properties!A$1:CB$87,Formula!F18,52))+((Formula!I18)/(Formula!C18+Formula!E18+Formula!G18+Formula!I18+Formula!K18))*(INDEX(Properties!A$1:CB$87,Formula!H18,52))+((Formula!K18)/(Formula!C18+Formula!E18+Formula!G18+Formula!I18+Formula!K18))*(INDEX(Properties!A$1:CB$87,Formula!J18,52))</f>
        <v>4.2531428571428567</v>
      </c>
      <c r="EQ18" s="81">
        <f>Formula!C18*(INDEX(Properties!A$1:CB$87,Formula!B18,52))+Formula!E18*(INDEX(Properties!A$1:CB$87,Formula!D18,52))+Formula!G18*(INDEX(Properties!A$1:CB$87,Formula!F18,52))+Formula!I18*(INDEX(Properties!A$1:CB$87,Formula!H18,52))+Formula!K18*(INDEX(Properties!A$1:CB$87,Formula!J18,52))</f>
        <v>29.772000000000002</v>
      </c>
      <c r="ER18" s="81">
        <f>VARP(IF(INDEX(Properties!A$1:CB$87,Formula!B18,52)&lt;&gt;"",INDEX(Properties!A$1:CB$87,Formula!B18,52)),IF(INDEX(Properties!A$1:CB$87,Formula!D18,52)&lt;&gt;"",INDEX(Properties!A$1:CB$87,Formula!D18,52)),IF(INDEX(Properties!A$1:CB$87,Formula!F18,52)&lt;&gt;"",INDEX(Properties!A$1:CB$87,Formula!F18,52)),IF(INDEX(Properties!A$1:CB$87,Formula!H18,52)&lt;&gt;"",INDEX(Properties!A$1:CB$87,Formula!H18,52)),IF(INDEX(Properties!A$1:CB$87,Formula!J18,52)&lt;&gt;"",INDEX(Properties!A$1:CB$87,Formula!J18,52)))</f>
        <v>17.149575840000004</v>
      </c>
      <c r="ES18" s="81">
        <f>MAX(INDEX(Properties!A$1:CB$87,Formula!B18,52),INDEX(Properties!A$1:CB$87,Formula!D18,52),INDEX(Properties!A$1:CB$87,Formula!F18,52),INDEX(Properties!A$1:CB$87,Formula!H18,52),INDEX(Properties!A$1:CB$87,Formula!J18,52))</f>
        <v>10.6</v>
      </c>
      <c r="ET18" s="81">
        <f>MIN(IF(INDEX(Properties!A$1:CB$87,Formula!B18,52)=0,10^6,INDEX(Properties!A$1:CB$87,Formula!B18,52)),IF(INDEX(Properties!A$1:CB$87,Formula!D18,52)=0,10^6,INDEX(Properties!A$1:CB$87,Formula!D18,52)),IF(INDEX(Properties!A$1:CB$87,Formula!F18,52)=0,10^6,INDEX(Properties!A$1:CB$87,Formula!F18,52)),IF(INDEX(Properties!A$1:CB$87,Formula!H18,52)=0,10^6,INDEX(Properties!A$1:CB$87,Formula!H18,52)),IF(INDEX(Properties!A$1:CB$87,Formula!J18,52)=0,10^6,INDEX(Properties!A$1:CB$87,Formula!J18,52)))</f>
        <v>0.79300000000000004</v>
      </c>
      <c r="EU18" s="81">
        <f t="shared" si="24"/>
        <v>9.8070000000000004</v>
      </c>
      <c r="EV18" s="39">
        <f>((Formula!C18)/(Formula!C18+Formula!E18+Formula!G18+Formula!I18+Formula!K18))*(INDEX(Properties!A$1:CB$87,Formula!B18,53))+((Formula!E18)/(Formula!C18+Formula!E18+Formula!G18+Formula!I18+Formula!K18))*(INDEX(Properties!A$1:CB$87,Formula!D18,53))+((Formula!G18)/(Formula!C18+Formula!E18+Formula!G18+Formula!I18+Formula!K18))*(INDEX(Properties!A$1:CB$87,Formula!F18,53))+((Formula!I18)/(Formula!C18+Formula!E18+Formula!G18+Formula!I18+Formula!K18))*(INDEX(Properties!A$1:CB$87,Formula!H18,53))+((Formula!K18)/(Formula!C18+Formula!E18+Formula!G18+Formula!I18+Formula!K18))*(INDEX(Properties!A$1:CB$87,Formula!J18,53))</f>
        <v>535.2071428571428</v>
      </c>
      <c r="EW18" s="39">
        <f>Formula!C18*(INDEX(Properties!A$1:CB$87,Formula!B18,53))+Formula!E18*(INDEX(Properties!A$1:CB$87,Formula!D18,53))+Formula!G18*(INDEX(Properties!A$1:CB$87,Formula!F18,53))+Formula!I18*(INDEX(Properties!A$1:CB$87,Formula!H18,53))+Formula!K18*(INDEX(Properties!A$1:CB$87,Formula!J18,53))</f>
        <v>3746.45</v>
      </c>
      <c r="EX18" s="39">
        <f>VARP(IF(INDEX(Properties!A$1:CB$87,Formula!B18,53)&lt;&gt;"",INDEX(Properties!A$1:CB$87,Formula!B18,53)),IF(INDEX(Properties!A$1:CB$87,Formula!D18,53)&lt;&gt;"",INDEX(Properties!A$1:CB$87,Formula!D18,53)),IF(INDEX(Properties!A$1:CB$87,Formula!F18,53)&lt;&gt;"",INDEX(Properties!A$1:CB$87,Formula!F18,53)),IF(INDEX(Properties!A$1:CB$87,Formula!H18,53)&lt;&gt;"",INDEX(Properties!A$1:CB$87,Formula!H18,53)),IF(INDEX(Properties!A$1:CB$87,Formula!J18,53)&lt;&gt;"",INDEX(Properties!A$1:CB$87,Formula!J18,53)))</f>
        <v>454235.78139999998</v>
      </c>
      <c r="EY18" s="39">
        <f>MAX(INDEX(Properties!A$1:CB$87,Formula!B18,53),INDEX(Properties!A$1:CB$87,Formula!D18,53),INDEX(Properties!A$1:CB$87,Formula!F18,53),INDEX(Properties!A$1:CB$87,Formula!H18,53),INDEX(Properties!A$1:CB$87,Formula!J18,53))</f>
        <v>1683.15</v>
      </c>
      <c r="EZ18" s="39">
        <f>MIN(IF(INDEX(Properties!A$1:CB$87,Formula!B18,53)=0,10^6,INDEX(Properties!A$1:CB$87,Formula!B18,53)),IF(INDEX(Properties!A$1:CB$87,Formula!D18,53)=0,10^6,INDEX(Properties!A$1:CB$87,Formula!D18,53)),IF(INDEX(Properties!A$1:CB$87,Formula!F18,53)=0,10^6,INDEX(Properties!A$1:CB$87,Formula!F18,53)),IF(INDEX(Properties!A$1:CB$87,Formula!H18,53)=0,10^6,INDEX(Properties!A$1:CB$87,Formula!H18,53)),IF(INDEX(Properties!A$1:CB$87,Formula!J18,53)=0,10^6,INDEX(Properties!A$1:CB$87,Formula!J18,53)))</f>
        <v>54.749999999999972</v>
      </c>
      <c r="FA18" s="39">
        <f t="shared" si="25"/>
        <v>1628.4</v>
      </c>
      <c r="FB18" s="54">
        <f>((Formula!C18)/(Formula!C18+Formula!E18+Formula!G18+Formula!I18+Formula!K18))*(INDEX(Properties!A$1:CB$87,Formula!B18,54))+((Formula!E18)/(Formula!C18+Formula!E18+Formula!G18+Formula!I18+Formula!K18))*(INDEX(Properties!A$1:CB$87,Formula!D18,54))+((Formula!G18)/(Formula!C18+Formula!E18+Formula!G18+Formula!I18+Formula!K18))*(INDEX(Properties!A$1:CB$87,Formula!F18,54))+((Formula!I18)/(Formula!C18+Formula!E18+Formula!G18+Formula!I18+Formula!K18))*(INDEX(Properties!A$1:CB$87,Formula!H18,54))+((Formula!K18)/(Formula!C18+Formula!E18+Formula!G18+Formula!I18+Formula!K18))*(INDEX(Properties!A$1:CB$87,Formula!J18,54))</f>
        <v>816.43571428571431</v>
      </c>
      <c r="FC18" s="54">
        <f>Formula!C18*(INDEX(Properties!A$1:CB$87,Formula!B18,54))+Formula!E18*(INDEX(Properties!A$1:CB$87,Formula!D18,54))+Formula!G18*(INDEX(Properties!A$1:CB$87,Formula!F18,54))+Formula!I18*(INDEX(Properties!A$1:CB$87,Formula!H18,54))+Formula!K18*(INDEX(Properties!A$1:CB$87,Formula!J18,54))</f>
        <v>5715.0500000000011</v>
      </c>
      <c r="FD18" s="54">
        <f>VARP(IF(INDEX(Properties!A$1:CB$87,Formula!B18,54)&lt;&gt;"",INDEX(Properties!A$1:CB$87,Formula!B18,54)),IF(INDEX(Properties!A$1:CB$87,Formula!D18,54)&lt;&gt;"",INDEX(Properties!A$1:CB$87,Formula!D18,54)),IF(INDEX(Properties!A$1:CB$87,Formula!F18,54)&lt;&gt;"",INDEX(Properties!A$1:CB$87,Formula!F18,54)),IF(INDEX(Properties!A$1:CB$87,Formula!H18,54)&lt;&gt;"",INDEX(Properties!A$1:CB$87,Formula!H18,54)),IF(INDEX(Properties!A$1:CB$87,Formula!J18,54)&lt;&gt;"",INDEX(Properties!A$1:CB$87,Formula!J18,54)))</f>
        <v>1088366.1094000002</v>
      </c>
      <c r="FE18" s="54">
        <f>MAX(INDEX(Properties!A$1:CB$87,Formula!B18,54),INDEX(Properties!A$1:CB$87,Formula!D18,54),INDEX(Properties!A$1:CB$87,Formula!F18,54),INDEX(Properties!A$1:CB$87,Formula!H18,54),INDEX(Properties!A$1:CB$87,Formula!J18,54))</f>
        <v>2628.15</v>
      </c>
      <c r="FF18" s="54">
        <f>MIN(IF(INDEX(Properties!A$1:CB$87,Formula!B18,54)=0,10^6,INDEX(Properties!A$1:CB$87,Formula!B18,54)),IF(INDEX(Properties!A$1:CB$87,Formula!D18,54)=0,10^6,INDEX(Properties!A$1:CB$87,Formula!D18,54)),IF(INDEX(Properties!A$1:CB$87,Formula!F18,54)=0,10^6,INDEX(Properties!A$1:CB$87,Formula!F18,54)),IF(INDEX(Properties!A$1:CB$87,Formula!H18,54)=0,10^6,INDEX(Properties!A$1:CB$87,Formula!H18,54)),IF(INDEX(Properties!A$1:CB$87,Formula!J18,54)=0,10^6,INDEX(Properties!A$1:CB$87,Formula!J18,54)))</f>
        <v>90.149999999999977</v>
      </c>
      <c r="FG18" s="54">
        <f t="shared" si="26"/>
        <v>2538</v>
      </c>
      <c r="FH18" s="69">
        <f>((Formula!C18)/(Formula!C18+Formula!E18+Formula!G18+Formula!I18+Formula!K18))*(INDEX(Properties!A$1:CB$87,Formula!B18,55))+((Formula!E18)/(Formula!C18+Formula!E18+Formula!G18+Formula!I18+Formula!K18))*(INDEX(Properties!A$1:CB$87,Formula!D18,55))+((Formula!G18)/(Formula!C18+Formula!E18+Formula!G18+Formula!I18+Formula!K18))*(INDEX(Properties!A$1:CB$87,Formula!F18,55))+((Formula!I18)/(Formula!C18+Formula!E18+Formula!G18+Formula!I18+Formula!K18))*(INDEX(Properties!A$1:CB$87,Formula!H18,55))+((Formula!K18)/(Formula!C18+Formula!E18+Formula!G18+Formula!I18+Formula!K18))*(INDEX(Properties!A$1:CB$87,Formula!J18,55))</f>
        <v>0.83081714285714281</v>
      </c>
      <c r="FI18" s="69">
        <f>Formula!C18*(INDEX(Properties!A$1:CB$87,Formula!B18,55))+Formula!E18*(INDEX(Properties!A$1:CB$87,Formula!D18,54))+Formula!G18*(INDEX(Properties!A$1:CB$87,Formula!F18,55))+Formula!I18*(INDEX(Properties!A$1:CB$87,Formula!H18,55))+Formula!K18*(INDEX(Properties!A$1:CB$87,Formula!J18,55))</f>
        <v>2631.6357200000002</v>
      </c>
      <c r="FJ18" s="69">
        <f>VARP(IF(INDEX(Properties!A$1:CB$87,Formula!B18,55)&lt;&gt;"",INDEX(Properties!A$1:CB$87,Formula!B18,55)),IF(INDEX(Properties!A$1:CB$87,Formula!D18,55)&lt;&gt;"",INDEX(Properties!A$1:CB$87,Formula!D18,55)),IF(INDEX(Properties!A$1:CB$87,Formula!F18,55)&lt;&gt;"",INDEX(Properties!A$1:CB$87,Formula!F18,55)),IF(INDEX(Properties!A$1:CB$87,Formula!H18,55)&lt;&gt;"",INDEX(Properties!A$1:CB$87,Formula!H18,55)),IF(INDEX(Properties!A$1:CB$87,Formula!J18,55)&lt;&gt;"",INDEX(Properties!A$1:CB$87,Formula!J18,55)))</f>
        <v>1.0282387191839999</v>
      </c>
      <c r="FK18" s="69">
        <f>MAX(INDEX(Properties!A$1:CB$87,Formula!B18,55),INDEX(Properties!A$1:CB$87,Formula!D18,55),INDEX(Properties!A$1:CB$87,Formula!F18,55),INDEX(Properties!A$1:CB$87,Formula!H18,55),INDEX(Properties!A$1:CB$87,Formula!J18,55))</f>
        <v>2.33</v>
      </c>
      <c r="FL18" s="69">
        <f>MIN(IF(INDEX(Properties!A$1:CB$87,Formula!B18,55)=0,10^6,INDEX(Properties!A$1:CB$87,Formula!B18,55)),IF(INDEX(Properties!A$1:CB$87,Formula!D18,55)=0,10^6,INDEX(Properties!A$1:CB$87,Formula!D18,55)),IF(INDEX(Properties!A$1:CB$87,Formula!F18,55)=0,10^6,INDEX(Properties!A$1:CB$87,Formula!F18,55)),IF(INDEX(Properties!A$1:CB$87,Formula!H18,55)=0,10^6,INDEX(Properties!A$1:CB$87,Formula!H18,55)),IF(INDEX(Properties!A$1:CB$87,Formula!J18,55)=0,10^6,INDEX(Properties!A$1:CB$87,Formula!J18,55)))</f>
        <v>1.4300000000000001E-3</v>
      </c>
      <c r="FM18" s="69">
        <f t="shared" si="27"/>
        <v>2.32857</v>
      </c>
      <c r="FN18" s="42">
        <f>((Formula!C18)/(Formula!C18+Formula!E18+Formula!G18+Formula!I18+Formula!K18))*(INDEX(Properties!A$1:CB$87,Formula!B18,56))+((Formula!E18)/(Formula!C18+Formula!E18+Formula!G18+Formula!I18+Formula!K18))*(INDEX(Properties!A$1:CB$87,Formula!D18,56))+((Formula!G18)/(Formula!C18+Formula!E18+Formula!G18+Formula!I18+Formula!K18))*(INDEX(Properties!A$1:CB$87,Formula!F18,56))+((Formula!I18)/(Formula!C18+Formula!E18+Formula!G18+Formula!I18+Formula!K18))*(INDEX(Properties!A$1:CB$87,Formula!H18,56))+((Formula!K18)/(Formula!C18+Formula!E18+Formula!G18+Formula!I18+Formula!K18))*(INDEX(Properties!A$1:CB$87,Formula!J18,56))</f>
        <v>0.91857142857142859</v>
      </c>
      <c r="FO18" s="42">
        <f>Formula!C18*(INDEX(Properties!A$1:CB$87,Formula!B18,56))+Formula!E18*(INDEX(Properties!A$1:CB$87,Formula!D18,56))+Formula!G18*(INDEX(Properties!A$1:CB$87,Formula!F18,56))+Formula!I18*(INDEX(Properties!A$1:CB$87,Formula!H18,56))+Formula!K18*(INDEX(Properties!A$1:CB$87,Formula!J18,56))</f>
        <v>6.43</v>
      </c>
      <c r="FP18" s="42">
        <f>VARP(IF(INDEX(Properties!A$1:CB$87,Formula!B18,56)&lt;&gt;"",INDEX(Properties!A$1:CB$87,Formula!B18,56)),IF(INDEX(Properties!A$1:CB$87,Formula!D18,56)&lt;&gt;"",INDEX(Properties!A$1:CB$87,Formula!D18,56)),IF(INDEX(Properties!A$1:CB$87,Formula!F18,56)&lt;&gt;"",INDEX(Properties!A$1:CB$87,Formula!F18,56)),IF(INDEX(Properties!A$1:CB$87,Formula!H18,56)&lt;&gt;"",INDEX(Properties!A$1:CB$87,Formula!H18,56)),IF(INDEX(Properties!A$1:CB$87,Formula!J18,56)&lt;&gt;"",INDEX(Properties!A$1:CB$87,Formula!J18,56)))</f>
        <v>0.19728000000000004</v>
      </c>
      <c r="FQ18" s="42">
        <f>MAX(INDEX(Properties!A$1:CB$87,Formula!B18,56),INDEX(Properties!A$1:CB$87,Formula!D18,56),INDEX(Properties!A$1:CB$87,Formula!F18,56),INDEX(Properties!A$1:CB$87,Formula!H18,56),INDEX(Properties!A$1:CB$87,Formula!J18,56))</f>
        <v>1.02</v>
      </c>
      <c r="FR18" s="42">
        <f>MIN(IF(INDEX(Properties!A$1:CB$87,Formula!B18,56)=0,10^6,INDEX(Properties!A$1:CB$87,Formula!B18,56)),IF(INDEX(Properties!A$1:CB$87,Formula!D18,56)=0,10^6,INDEX(Properties!A$1:CB$87,Formula!D18,56)),IF(INDEX(Properties!A$1:CB$87,Formula!F18,56)=0,10^6,INDEX(Properties!A$1:CB$87,Formula!F18,56)),IF(INDEX(Properties!A$1:CB$87,Formula!H18,56)=0,10^6,INDEX(Properties!A$1:CB$87,Formula!H18,56)),IF(INDEX(Properties!A$1:CB$87,Formula!J18,56)=0,10^6,INDEX(Properties!A$1:CB$87,Formula!J18,56)))</f>
        <v>0.71</v>
      </c>
      <c r="FS18" s="42">
        <f t="shared" si="28"/>
        <v>0.31000000000000005</v>
      </c>
      <c r="FT18" s="60">
        <f>((Formula!C18)/(Formula!C18+Formula!E18+Formula!G18+Formula!I18+Formula!K18))*(INDEX(Properties!A$1:CB$87,Formula!B18,57))+((Formula!E18)/(Formula!C18+Formula!E18+Formula!G18+Formula!I18+Formula!K18))*(INDEX(Properties!A$1:CB$87,Formula!D18,57))+((Formula!G18)/(Formula!C18+Formula!E18+Formula!G18+Formula!I18+Formula!K18))*(INDEX(Properties!A$1:CB$87,Formula!F18,57))+((Formula!I18)/(Formula!C18+Formula!E18+Formula!G18+Formula!I18+Formula!K18))*(INDEX(Properties!A$1:CB$87,Formula!H18,57))+((Formula!K18)/(Formula!C18+Formula!E18+Formula!G18+Formula!I18+Formula!K18))*(INDEX(Properties!A$1:CB$87,Formula!J18,57))</f>
        <v>9.9069085714285698</v>
      </c>
      <c r="FU18" s="60">
        <f>Formula!C18*(INDEX(Properties!A$1:CB$87,Formula!B18,57))+Formula!E18*(INDEX(Properties!A$1:CB$87,Formula!D18,57))+Formula!G18*(INDEX(Properties!A$1:CB$87,Formula!F18,57))+Formula!I18*(INDEX(Properties!A$1:CB$87,Formula!H18,57))+Formula!K18*(INDEX(Properties!A$1:CB$87,Formula!J18,57))</f>
        <v>69.34836</v>
      </c>
      <c r="FV18" s="60">
        <f>VARP(IF(INDEX(Properties!A$1:CB$87,Formula!B18,57)&lt;&gt;"",INDEX(Properties!A$1:CB$87,Formula!B18,57)),IF(INDEX(Properties!A$1:CB$87,Formula!D18,57)&lt;&gt;"",INDEX(Properties!A$1:CB$87,Formula!D18,57)),IF(INDEX(Properties!A$1:CB$87,Formula!F18,57)&lt;&gt;"",INDEX(Properties!A$1:CB$87,Formula!F18,57)),IF(INDEX(Properties!A$1:CB$87,Formula!H18,57)&lt;&gt;"",INDEX(Properties!A$1:CB$87,Formula!H18,57)),IF(INDEX(Properties!A$1:CB$87,Formula!J18,57)&lt;&gt;"",INDEX(Properties!A$1:CB$87,Formula!J18,57)))</f>
        <v>384.4146103404961</v>
      </c>
      <c r="FW18" s="60">
        <f>MAX(INDEX(Properties!A$1:CB$87,Formula!B18,57),INDEX(Properties!A$1:CB$87,Formula!D18,57),INDEX(Properties!A$1:CB$87,Formula!F18,57),INDEX(Properties!A$1:CB$87,Formula!H18,57),INDEX(Properties!A$1:CB$87,Formula!J18,57))</f>
        <v>50.55</v>
      </c>
      <c r="FX18" s="60">
        <f>MIN(IF(INDEX(Properties!A$1:CB$87,Formula!B18,57)=0,10^6,INDEX(Properties!A$1:CB$87,Formula!B18,57)),IF(INDEX(Properties!A$1:CB$87,Formula!D18,57)=0,10^6,INDEX(Properties!A$1:CB$87,Formula!D18,57)),IF(INDEX(Properties!A$1:CB$87,Formula!F18,57)=0,10^6,INDEX(Properties!A$1:CB$87,Formula!F18,57)),IF(INDEX(Properties!A$1:CB$87,Formula!H18,57)=0,10^6,INDEX(Properties!A$1:CB$87,Formula!H18,57)),IF(INDEX(Properties!A$1:CB$87,Formula!J18,57)=0,10^6,INDEX(Properties!A$1:CB$87,Formula!J18,57)))</f>
        <v>0.22259000000000001</v>
      </c>
      <c r="FY18" s="60">
        <f t="shared" si="29"/>
        <v>50.32741</v>
      </c>
      <c r="FZ18" s="72">
        <f>((Formula!C18)/(Formula!C18+Formula!E18+Formula!G18+Formula!I18+Formula!K18))*(INDEX(Properties!A$1:CB$87,Formula!B18,60))+((Formula!E18)/(Formula!C18+Formula!E18+Formula!G18+Formula!I18+Formula!K18))*(INDEX(Properties!A$1:CB$87,Formula!D18,60))+((Formula!G18)/(Formula!C18+Formula!E18+Formula!G18+Formula!I18+Formula!K18))*(INDEX(Properties!A$1:CB$87,Formula!F18,60))+((Formula!I18)/(Formula!C18+Formula!E18+Formula!G18+Formula!I18+Formula!K18))*(INDEX(Properties!A$1:CB$87,Formula!H18,60))+((Formula!K18)/(Formula!C18+Formula!E18+Formula!G18+Formula!I18+Formula!K18))*(INDEX(Properties!A$1:CB$87,Formula!J18,60))</f>
        <v>65.729565714285712</v>
      </c>
      <c r="GA18" s="72">
        <f>Formula!C18*(INDEX(Properties!A$1:CB$87,Formula!B18,60))+Formula!E18*(INDEX(Properties!A$1:CB$87,Formula!D18,60))+Formula!G18*(INDEX(Properties!A$1:CB$87,Formula!F18,60))+Formula!I18*(INDEX(Properties!A$1:CB$87,Formula!H18,60))+Formula!K18*(INDEX(Properties!A$1:CB$87,Formula!J18,60))</f>
        <v>460.10696000000002</v>
      </c>
      <c r="GB18" s="72">
        <f>VARP(IF(INDEX(Properties!A$1:CB$87,Formula!B18,60)&lt;&gt;"",INDEX(Properties!A$1:CB$87,Formula!B18,60)),IF(INDEX(Properties!A$1:CB$87,Formula!D18,60)&lt;&gt;"",INDEX(Properties!A$1:CB$87,Formula!D18,60)),IF(INDEX(Properties!A$1:CB$87,Formula!F18,60)&lt;&gt;"",INDEX(Properties!A$1:CB$87,Formula!F18,60)),IF(INDEX(Properties!A$1:CB$87,Formula!H18,60)&lt;&gt;"",INDEX(Properties!A$1:CB$87,Formula!H18,60)),IF(INDEX(Properties!A$1:CB$87,Formula!J18,60)&lt;&gt;"",INDEX(Properties!A$1:CB$87,Formula!J18,60)))</f>
        <v>5550.7097976044142</v>
      </c>
      <c r="GC18" s="72">
        <f>MAX(INDEX(Properties!A$1:CB$87,Formula!B18,60),INDEX(Properties!A$1:CB$87,Formula!D18,60),INDEX(Properties!A$1:CB$87,Formula!F18,60),INDEX(Properties!A$1:CB$87,Formula!H18,60),INDEX(Properties!A$1:CB$87,Formula!J18,60))</f>
        <v>156</v>
      </c>
      <c r="GD18" s="72">
        <f>MIN(IF(INDEX(Properties!A$1:CB$87,Formula!B18,60)=0,10^6,INDEX(Properties!A$1:CB$87,Formula!B18,60)),IF(INDEX(Properties!A$1:CB$87,Formula!D18,60)=0,10^6,INDEX(Properties!A$1:CB$87,Formula!D18,60)),IF(INDEX(Properties!A$1:CB$87,Formula!F18,60)=0,10^6,INDEX(Properties!A$1:CB$87,Formula!F18,60)),IF(INDEX(Properties!A$1:CB$87,Formula!H18,60)=0,10^6,INDEX(Properties!A$1:CB$87,Formula!H18,60)),IF(INDEX(Properties!A$1:CB$87,Formula!J18,60)=0,10^6,INDEX(Properties!A$1:CB$87,Formula!J18,60)))</f>
        <v>2.674E-2</v>
      </c>
      <c r="GE18" s="72">
        <f t="shared" si="30"/>
        <v>155.97326000000001</v>
      </c>
      <c r="GF18" s="51">
        <f>((Formula!C18)/(Formula!C18+Formula!E18+Formula!G18+Formula!I18+Formula!K18))*(INDEX(Properties!A$1:CB$87,Formula!B18,62))+((Formula!E18)/(Formula!C18+Formula!E18+Formula!G18+Formula!I18+Formula!K18))*(INDEX(Properties!A$1:CB$87,Formula!D18,62))+((Formula!G18)/(Formula!C18+Formula!E18+Formula!G18+Formula!I18+Formula!K18))*(INDEX(Properties!A$1:CB$87,Formula!F18,62))+((Formula!I18)/(Formula!C18+Formula!E18+Formula!G18+Formula!I18+Formula!K18))*(INDEX(Properties!A$1:CB$87,Formula!H18,62))+((Formula!K18)/(Formula!C18+Formula!E18+Formula!G18+Formula!I18+Formula!K18))*(INDEX(Properties!A$1:CB$87,Formula!J18,62))</f>
        <v>2.59</v>
      </c>
      <c r="GG18" s="51">
        <f>Formula!C18*(INDEX(Properties!A$1:CB$87,Formula!B18,62))+Formula!E18*(INDEX(Properties!A$1:CB$87,Formula!D18,62))+Formula!G18*(INDEX(Properties!A$1:CB$87,Formula!F18,62))+Formula!I18*(INDEX(Properties!A$1:CB$87,Formula!H18,62))+Formula!K18*(INDEX(Properties!A$1:CB$87,Formula!J18,62))</f>
        <v>18.130000000000003</v>
      </c>
      <c r="GH18" s="51">
        <f>VARP(IF(INDEX(Properties!A$1:CB$87,Formula!B18,62)&lt;&gt;"",INDEX(Properties!A$1:CB$87,Formula!B18,62)),IF(INDEX(Properties!A$1:CB$87,Formula!D18,62)&lt;&gt;"",INDEX(Properties!A$1:CB$87,Formula!D18,62)),IF(INDEX(Properties!A$1:CB$87,Formula!F18,62)&lt;&gt;"",INDEX(Properties!A$1:CB$87,Formula!F18,62)),IF(INDEX(Properties!A$1:CB$87,Formula!H18,62)&lt;&gt;"",INDEX(Properties!A$1:CB$87,Formula!H18,62)),IF(INDEX(Properties!A$1:CB$87,Formula!J18,62)&lt;&gt;"",INDEX(Properties!A$1:CB$87,Formula!J18,62)))</f>
        <v>3.0467759999999995</v>
      </c>
      <c r="GI18" s="51">
        <f>MAX(INDEX(Properties!A$1:CB$87,Formula!B18,62),INDEX(Properties!A$1:CB$87,Formula!D18,62),INDEX(Properties!A$1:CB$87,Formula!F18,62),INDEX(Properties!A$1:CB$87,Formula!H18,62),INDEX(Properties!A$1:CB$87,Formula!J18,62))</f>
        <v>4.63</v>
      </c>
      <c r="GJ18" s="51">
        <f>MIN(IF(INDEX(Properties!A$1:CB$87,Formula!B18,62)=0,10^6,INDEX(Properties!A$1:CB$87,Formula!B18,62)),IF(INDEX(Properties!A$1:CB$87,Formula!D18,62)=0,10^6,INDEX(Properties!A$1:CB$87,Formula!D18,62)),IF(INDEX(Properties!A$1:CB$87,Formula!F18,62)=0,10^6,INDEX(Properties!A$1:CB$87,Formula!F18,62)),IF(INDEX(Properties!A$1:CB$87,Formula!H18,62)=0,10^6,INDEX(Properties!A$1:CB$87,Formula!H18,62)),IF(INDEX(Properties!A$1:CB$87,Formula!J18,62)=0,10^6,INDEX(Properties!A$1:CB$87,Formula!J18,62)))</f>
        <v>1.51</v>
      </c>
      <c r="GK18" s="51">
        <f t="shared" si="31"/>
        <v>3.12</v>
      </c>
      <c r="GL18" s="51">
        <f>Formula!P18</f>
        <v>62</v>
      </c>
      <c r="GM18" s="57">
        <f>Formula!O18</f>
        <v>3</v>
      </c>
      <c r="GN18" s="51">
        <f>Formula!N18</f>
        <v>0.04</v>
      </c>
    </row>
    <row r="19" spans="1:196" s="5" customFormat="1" x14ac:dyDescent="0.3">
      <c r="A19" s="84" t="str">
        <f>Formula!A19</f>
        <v xml:space="preserve">GdBO3 </v>
      </c>
      <c r="B19" s="89">
        <f>((Formula!C19)/(Formula!C19+Formula!E19+Formula!G19+Formula!I19+Formula!K19))*(INDEX(Properties!A$1:CB$87,Formula!B19,3))+((Formula!E19)/(Formula!C19+Formula!E19+Formula!G19+Formula!I19+Formula!K19))*(INDEX(Properties!A$1:CB$87,Formula!D19,3))+((Formula!G19)/(Formula!C19+Formula!E19+Formula!G19+Formula!I19+Formula!K19))*(INDEX(Properties!A$1:CB$87,Formula!F19,3))+((Formula!I19)/(Formula!C19+Formula!E19+Formula!G19+Formula!I19+Formula!K19))*(INDEX(Properties!A$1:CB$87,Formula!H19,3))+((Formula!K19)/(Formula!C19+Formula!E19+Formula!G19+Formula!I19+Formula!K19))*(INDEX(Properties!A$1:CB$87,Formula!J19,3))</f>
        <v>43.211840000000002</v>
      </c>
      <c r="C19" s="85">
        <f>Formula!C19*(INDEX(Properties!A$1:CB$87,Formula!B19,3))+Formula!E19*(INDEX(Properties!A$1:CB$87,Formula!D19,3))+Formula!G19*(INDEX(Properties!A$1:CB$87,Formula!F19,3))+Formula!I19*(INDEX(Properties!A$1:CB$87,Formula!H19,3))+Formula!K19*(INDEX(Properties!A$1:CB$87,Formula!J19,3))</f>
        <v>216.0592</v>
      </c>
      <c r="D19" s="85">
        <f>VARP(IF(INDEX(Properties!A$1:CB$87,Formula!B19,3)&lt;&gt;"",INDEX(Properties!A$1:CB$87,Formula!B19,3)),IF(INDEX(Properties!A$1:CB$87,Formula!D19,3)&lt;&gt;"",INDEX(Properties!A$1:CB$87,Formula!D19,3)),IF(INDEX(Properties!A$1:CB$87,Formula!F19,3)&lt;&gt;"",INDEX(Properties!A$1:CB$87,Formula!F19,3)),IF(INDEX(Properties!A$1:CB$87,Formula!H19,3)&lt;&gt;"",INDEX(Properties!A$1:CB$87,Formula!H19,3)),IF(INDEX(Properties!A$1:CB$87,Formula!J19,3)&lt;&gt;"",INDEX(Properties!A$1:CB$87,Formula!J19,3)))</f>
        <v>3664.9549703456</v>
      </c>
      <c r="E19" s="85">
        <f>MAX(INDEX(Properties!A$1:CB$87,Formula!B19,3),INDEX(Properties!A$1:CB$87,Formula!D19,3),INDEX(Properties!A$1:CB$87,Formula!F19,3),INDEX(Properties!A$1:CB$87,Formula!H19,3),INDEX(Properties!A$1:CB$87,Formula!J19,3))</f>
        <v>157.25</v>
      </c>
      <c r="F19" s="85">
        <f>MIN(IF(INDEX(Properties!A$1:CB$87,Formula!B19,3)=0,10^6,INDEX(Properties!A$1:CB$87,Formula!B19,3)),IF(INDEX(Properties!A$1:CB$87,Formula!D19,3)=0,10^6,INDEX(Properties!A$1:CB$87,Formula!D19,3)),IF(INDEX(Properties!A$1:CB$87,Formula!F19,3)=0,10^6,INDEX(Properties!A$1:CB$87,Formula!F19,3)),IF(INDEX(Properties!A$1:CB$87,Formula!H19,3)=0,10^6,INDEX(Properties!A$1:CB$87,Formula!H19,3)),IF(INDEX(Properties!A$1:CB$87,Formula!J19,3)=0,10^6,INDEX(Properties!A$1:CB$87,Formula!J19,3)))</f>
        <v>10.811</v>
      </c>
      <c r="G19" s="85">
        <f t="shared" si="0"/>
        <v>146.43899999999999</v>
      </c>
      <c r="H19" s="87">
        <f>((Formula!C19)/(Formula!C19+Formula!E19+Formula!G19+Formula!I19+Formula!K19))*(INDEX(Properties!A$1:CB$87,Formula!B19,4))+((Formula!E19)/(Formula!C19+Formula!E19+Formula!G19+Formula!I19+Formula!K19))*(INDEX(Properties!A$1:CB$87,Formula!D19,4))+((Formula!G19)/(Formula!C19+Formula!E19+Formula!G19+Formula!I19+Formula!K19))*(INDEX(Properties!A$1:CB$87,Formula!F19,4))+((Formula!I19)/(Formula!C19+Formula!E19+Formula!G19+Formula!I19+Formula!K19))*(INDEX(Properties!A$1:CB$87,Formula!H19,4))+((Formula!K19)/(Formula!C19+Formula!E19+Formula!G19+Formula!I19+Formula!K19))*(INDEX(Properties!A$1:CB$87,Formula!J19,4))</f>
        <v>18.600000000000001</v>
      </c>
      <c r="I19" s="87">
        <f>Formula!C19*(INDEX(Properties!A$1:CB$87,Formula!B19,4))+Formula!E19*(INDEX(Properties!A$1:CB$87,Formula!D19,4))+Formula!G19*(INDEX(Properties!A$1:CB$87,Formula!F19,4))+Formula!I19*(INDEX(Properties!A$1:CB$87,Formula!H19,4))+Formula!K19*(INDEX(Properties!A$1:CB$87,Formula!J19,4))</f>
        <v>93</v>
      </c>
      <c r="J19" s="87">
        <f>VARP(IF(INDEX(Properties!A$1:CB$87,Formula!B19,4)&lt;&gt;"",INDEX(Properties!A$1:CB$87,Formula!B19,4)),IF(INDEX(Properties!A$1:CB$87,Formula!D19,4)&lt;&gt;"",INDEX(Properties!A$1:CB$87,Formula!D19,4)),IF(INDEX(Properties!A$1:CB$87,Formula!F19,4)&lt;&gt;"",INDEX(Properties!A$1:CB$87,Formula!F19,4)),IF(INDEX(Properties!A$1:CB$87,Formula!H19,4)&lt;&gt;"",INDEX(Properties!A$1:CB$87,Formula!H19,4)),IF(INDEX(Properties!A$1:CB$87,Formula!J19,4)&lt;&gt;"",INDEX(Properties!A$1:CB$87,Formula!J19,4)))</f>
        <v>599.84</v>
      </c>
      <c r="K19" s="87">
        <f>MAX(INDEX(Properties!A$1:CB$87,Formula!B19,4),INDEX(Properties!A$1:CB$87,Formula!D19,4),INDEX(Properties!A$1:CB$87,Formula!F19,4),INDEX(Properties!A$1:CB$87,Formula!H19,4),INDEX(Properties!A$1:CB$87,Formula!J19,4))</f>
        <v>64</v>
      </c>
      <c r="L19" s="87">
        <f>MIN(IF(INDEX(Properties!A$1:CB$87,Formula!B19,4)=0,10^6,INDEX(Properties!A$1:CB$87,Formula!B19,4)),IF(INDEX(Properties!A$1:CB$87,Formula!D19,4)=0,10^6,INDEX(Properties!A$1:CB$87,Formula!D19,4)),IF(INDEX(Properties!A$1:CB$87,Formula!F19,4)=0,10^6,INDEX(Properties!A$1:CB$87,Formula!F19,4)),IF(INDEX(Properties!A$1:CB$87,Formula!H19,4)=0,10^6,INDEX(Properties!A$1:CB$87,Formula!H19,4)),IF(INDEX(Properties!A$1:CB$87,Formula!J19,4)=0,10^6,INDEX(Properties!A$1:CB$87,Formula!J19,4)))</f>
        <v>5</v>
      </c>
      <c r="M19" s="87">
        <f t="shared" si="1"/>
        <v>59</v>
      </c>
      <c r="N19" s="89">
        <f>((Formula!C19)/(Formula!C19+Formula!E19+Formula!G19+Formula!I19+Formula!K19))*(INDEX(Properties!A$1:CB$87,Formula!B19,5))+((Formula!E19)/(Formula!C19+Formula!E19+Formula!G19+Formula!I19+Formula!K19))*(INDEX(Properties!A$1:CB$87,Formula!D19,5))+((Formula!G19)/(Formula!C19+Formula!E19+Formula!G19+Formula!I19+Formula!K19))*(INDEX(Properties!A$1:CB$87,Formula!F19,5))+((Formula!I19)/(Formula!C19+Formula!E19+Formula!G19+Formula!I19+Formula!K19))*(INDEX(Properties!A$1:CB$87,Formula!H19,5))+((Formula!K19)/(Formula!C19+Formula!E19+Formula!G19+Formula!I19+Formula!K19))*(INDEX(Properties!A$1:CB$87,Formula!J19,5))</f>
        <v>2.8</v>
      </c>
      <c r="O19" s="89">
        <f>Formula!C19*(INDEX(Properties!A$1:CB$87,Formula!B19,5))+Formula!E19*(INDEX(Properties!A$1:CB$87,Formula!D19,5))+Formula!G19*(INDEX(Properties!A$1:CB$87,Formula!F19,5))+Formula!I19*(INDEX(Properties!A$1:CB$87,Formula!H19,5))+Formula!K19*(INDEX(Properties!A$1:CB$87,Formula!J19,5))</f>
        <v>14</v>
      </c>
      <c r="P19" s="89">
        <f>VARP(IF(INDEX(Properties!A$1:CB$87,Formula!B19,5)&lt;&gt;"",INDEX(Properties!A$1:CB$87,Formula!B19,5)),IF(INDEX(Properties!A$1:CB$87,Formula!D19,5)&lt;&gt;"",INDEX(Properties!A$1:CB$87,Formula!D19,5)),IF(INDEX(Properties!A$1:CB$87,Formula!F19,5)&lt;&gt;"",INDEX(Properties!A$1:CB$87,Formula!F19,5)),IF(INDEX(Properties!A$1:CB$87,Formula!H19,5)&lt;&gt;"",INDEX(Properties!A$1:CB$87,Formula!H19,5)),IF(INDEX(Properties!A$1:CB$87,Formula!J19,5)&lt;&gt;"",INDEX(Properties!A$1:CB$87,Formula!J19,5)))</f>
        <v>4.8</v>
      </c>
      <c r="Q19" s="89">
        <f>MAX(INDEX(Properties!A$1:CB$87,Formula!B19,5),INDEX(Properties!A$1:CB$87,Formula!D19,5),INDEX(Properties!A$1:CB$87,Formula!F19,5),INDEX(Properties!A$1:CB$87,Formula!H19,5),INDEX(Properties!A$1:CB$87,Formula!J19,5))</f>
        <v>6</v>
      </c>
      <c r="R19" s="89">
        <f>MIN(IF(INDEX(Properties!A$1:CB$87,Formula!B19,5)=0,10^6,INDEX(Properties!A$1:CB$87,Formula!B19,5)),IF(INDEX(Properties!A$1:CB$87,Formula!D19,5)=0,10^6,INDEX(Properties!A$1:CB$87,Formula!D19,5)),IF(INDEX(Properties!A$1:CB$87,Formula!F19,5)=0,10^6,INDEX(Properties!A$1:CB$87,Formula!F19,5)),IF(INDEX(Properties!A$1:CB$87,Formula!H19,5)=0,10^6,INDEX(Properties!A$1:CB$87,Formula!H19,5)),IF(INDEX(Properties!A$1:CB$87,Formula!J19,5)=0,10^6,INDEX(Properties!A$1:CB$87,Formula!J19,5)))</f>
        <v>2</v>
      </c>
      <c r="S19" s="89">
        <f t="shared" si="2"/>
        <v>4</v>
      </c>
      <c r="T19" s="60">
        <f>((Formula!C19)/(Formula!C19+Formula!E19+Formula!G19+Formula!I19+Formula!K19))*(INDEX(Properties!A$1:CB$87,Formula!B19,6))+((Formula!E19)/(Formula!C19+Formula!E19+Formula!G19+Formula!I19+Formula!K19))*(INDEX(Properties!A$1:CB$87,Formula!D19,6))+((Formula!G19)/(Formula!C19+Formula!E19+Formula!G19+Formula!I19+Formula!K19))*(INDEX(Properties!A$1:CB$87,Formula!F19,6))+((Formula!I19)/(Formula!C19+Formula!E19+Formula!G19+Formula!I19+Formula!K19))*(INDEX(Properties!A$1:CB$87,Formula!H19,6))+((Formula!K19)/(Formula!C19+Formula!E19+Formula!G19+Formula!I19+Formula!K19))*(INDEX(Properties!A$1:CB$87,Formula!J19,6))</f>
        <v>12.8</v>
      </c>
      <c r="U19" s="60">
        <f>Formula!C19*(INDEX(Properties!A$1:CB$87,Formula!B19,6))+Formula!E19*(INDEX(Properties!A$1:CB$87,Formula!D19,6))+Formula!G19*(INDEX(Properties!A$1:CB$87,Formula!F19,6))+Formula!I19*(INDEX(Properties!A$1:CB$87,Formula!H19,6))+Formula!K19*(INDEX(Properties!A$1:CB$87,Formula!J19,6))</f>
        <v>64</v>
      </c>
      <c r="V19" s="89">
        <f>VARP(IF(INDEX(Properties!A$1:CB$87,Formula!B19,6)&lt;&gt;"",INDEX(Properties!A$1:CB$87,Formula!B19,6)),IF(INDEX(Properties!A$1:CB$87,Formula!D19,6)&lt;&gt;"",INDEX(Properties!A$1:CB$87,Formula!D19,6)),IF(INDEX(Properties!A$1:CB$87,Formula!F19,6)&lt;&gt;"",INDEX(Properties!A$1:CB$87,Formula!F19,6)),IF(INDEX(Properties!A$1:CB$87,Formula!H19,6)&lt;&gt;"",INDEX(Properties!A$1:CB$87,Formula!H19,6)),IF(INDEX(Properties!A$1:CB$87,Formula!J19,6)&lt;&gt;"",INDEX(Properties!A$1:CB$87,Formula!J19,6)))</f>
        <v>45.84</v>
      </c>
      <c r="W19" s="60">
        <f>MAX(INDEX(Properties!A$1:CB$87,Formula!B19,6),INDEX(Properties!A$1:CB$87,Formula!D19,6),INDEX(Properties!A$1:CB$87,Formula!F19,6),INDEX(Properties!A$1:CB$87,Formula!H19,4),INDEX(Properties!A$1:CB$87,Formula!J19,6))</f>
        <v>16</v>
      </c>
      <c r="X19" s="60">
        <f>MIN(IF(INDEX(Properties!A$1:CB$87,Formula!B19,6)=0,10^6,INDEX(Properties!A$1:CB$87,Formula!B19,6)),IF(INDEX(Properties!A$1:CB$87,Formula!D19,6)=0,10^6,INDEX(Properties!A$1:CB$87,Formula!D19,6)),IF(INDEX(Properties!A$1:CB$87,Formula!F19,6)=0,10^6,INDEX(Properties!A$1:CB$87,Formula!F19,6)),IF(INDEX(Properties!A$1:CB$87,Formula!H19,6)=0,10^6,INDEX(Properties!A$1:CB$87,Formula!H19,6)),IF(INDEX(Properties!A$1:CB$87,Formula!J19,6)=0,10^6,INDEX(Properties!A$1:CB$87,Formula!J19,6)))</f>
        <v>3</v>
      </c>
      <c r="Y19" s="60">
        <f t="shared" si="3"/>
        <v>13</v>
      </c>
      <c r="Z19" s="72">
        <f>((Formula!C19)/(Formula!C19+Formula!E19+Formula!G19+Formula!I19+Formula!K19))*(INDEX(Properties!A$1:CB$87,Formula!B19,9))+((Formula!E19)/(Formula!C19+Formula!E19+Formula!G19+Formula!I19+Formula!K19))*(INDEX(Properties!A$1:CB$87,Formula!D19,9))+((Formula!G19)/(Formula!C19+Formula!E19+Formula!G19+Formula!I19+Formula!K19))*(INDEX(Properties!A$1:CB$87,Formula!F19,9))+((Formula!I19)/(Formula!C19+Formula!E19+Formula!G19+Formula!I19+Formula!K19))*(INDEX(Properties!A$1:CB$87,Formula!H19,9))+((Formula!K19)/(Formula!C19+Formula!E19+Formula!G19+Formula!I19+Formula!K19))*(INDEX(Properties!A$1:CB$87,Formula!J19,9))</f>
        <v>72</v>
      </c>
      <c r="AA19" s="72">
        <f>Formula!C19*(INDEX(Properties!A$1:CB$87,Formula!B19,9))+Formula!E19*(INDEX(Properties!A$1:CB$87,Formula!D19,9))+Formula!G19*(INDEX(Properties!A$1:CB$87,Formula!F19,9))+Formula!I19*(INDEX(Properties!A$1:CB$87,Formula!H19,9))+Formula!K19*(INDEX(Properties!A$1:CB$87,Formula!J19,9))</f>
        <v>360</v>
      </c>
      <c r="AB19" s="72">
        <f>VARP(IF(INDEX(Properties!A$1:CB$87,Formula!B19,9)&lt;&gt;"",INDEX(Properties!A$1:CB$87,Formula!B19,9)),IF(INDEX(Properties!A$1:CB$87,Formula!D19,9)&lt;&gt;"",INDEX(Properties!A$1:CB$87,Formula!D19,9)),IF(INDEX(Properties!A$1:CB$87,Formula!F19,9)&lt;&gt;"",INDEX(Properties!A$1:CB$87,Formula!F19,9)),IF(INDEX(Properties!A$1:CB$87,Formula!H19,9)&lt;&gt;"",INDEX(Properties!A$1:CB$87,Formula!H19,9)),IF(INDEX(Properties!A$1:CB$87,Formula!J19,9)&lt;&gt;"",INDEX(Properties!A$1:CB$87,Formula!J19,9)))</f>
        <v>1312.56</v>
      </c>
      <c r="AC19" s="72">
        <f>MAX(INDEX(Properties!A$1:CB$87,Formula!B19,9),INDEX(Properties!A$1:CB$87,Formula!D19,9),INDEX(Properties!A$1:CB$87,Formula!F19,9),INDEX(Properties!A$1:CB$87,Formula!H19,9),INDEX(Properties!A$1:CB$87,Formula!J19,9))</f>
        <v>87</v>
      </c>
      <c r="AD19" s="72">
        <f>MIN(IF(INDEX(Properties!A$1:CB$87,Formula!B19,9)=0,10^6,INDEX(Properties!A$1:CB$87,Formula!B19,9)),IF(INDEX(Properties!A$1:CB$87,Formula!D19,9)=0,10^6,INDEX(Properties!A$1:CB$87,Formula!D19,9)),IF(INDEX(Properties!A$1:CB$87,Formula!F19,9)=0,10^6,INDEX(Properties!A$1:CB$87,Formula!F19,9)),IF(INDEX(Properties!A$1:CB$87,Formula!H19,9)=0,10^6,INDEX(Properties!A$1:CB$87,Formula!H19,9)),IF(INDEX(Properties!A$1:CB$87,Formula!J19,9)=0,10^6,INDEX(Properties!A$1:CB$87,Formula!J19,9)))</f>
        <v>27</v>
      </c>
      <c r="AE19" s="72">
        <f t="shared" si="4"/>
        <v>60</v>
      </c>
      <c r="AF19" s="51">
        <f>((Formula!C19)/(Formula!C19+Formula!E19+Formula!G19+Formula!I19+Formula!K19))*(INDEX(Properties!A$1:CB$87,Formula!B19,10))+((Formula!E19)/(Formula!C19+Formula!E19+Formula!G19+Formula!I19+Formula!K19))*(INDEX(Properties!A$1:CB$87,Formula!D19,10))+((Formula!G19)/(Formula!C19+Formula!E19+Formula!G19+Formula!I19+Formula!K19))*(INDEX(Properties!A$1:CB$87,Formula!F19,10))+((Formula!I19)/(Formula!C19+Formula!E19+Formula!G19+Formula!I19+Formula!K19))*(INDEX(Properties!A$1:CB$87,Formula!H19,10))+((Formula!K19)/(Formula!C19+Formula!E19+Formula!G19+Formula!I19+Formula!K19))*(INDEX(Properties!A$1:CB$87,Formula!J19,10))</f>
        <v>6</v>
      </c>
      <c r="AG19" s="51">
        <f>Formula!C19*(INDEX(Properties!A$1:CB$87,Formula!B19,10))+Formula!E19*(INDEX(Properties!A$1:CB$87,Formula!D19,10))+Formula!G19*(INDEX(Properties!A$1:CB$87,Formula!F19,10))+Formula!I19*(INDEX(Properties!A$1:CB$87,Formula!H19,10))+Formula!K19*(INDEX(Properties!A$1:CB$87,Formula!J19,10))</f>
        <v>30</v>
      </c>
      <c r="AH19" s="51">
        <f>VARP(IF(INDEX(Properties!A$1:CB$87,Formula!B19,10)&lt;&gt;"",INDEX(Properties!A$1:CB$87,Formula!B19,10)),IF(INDEX(Properties!A$1:CB$87,Formula!D19,10)&lt;&gt;"",INDEX(Properties!A$1:CB$87,Formula!D19,10)),IF(INDEX(Properties!A$1:CB$87,Formula!F19,10)&lt;&gt;"",INDEX(Properties!A$1:CB$87,Formula!F19,10)),IF(INDEX(Properties!A$1:CB$87,Formula!H19,10)&lt;&gt;"",INDEX(Properties!A$1:CB$87,Formula!H19,10)),IF(INDEX(Properties!A$1:CB$87,Formula!J19,10)&lt;&gt;"",INDEX(Properties!A$1:CB$87,Formula!J19,10)))</f>
        <v>8.56</v>
      </c>
      <c r="AI19" s="51">
        <f>MAX(INDEX(Properties!A$1:CB$87,Formula!B19,10),INDEX(Properties!A$1:CB$87,Formula!D19,10),INDEX(Properties!A$1:CB$87,Formula!F19,10),INDEX(Properties!A$1:CB$87,Formula!H19,10),INDEX(Properties!A$1:CB$87,Formula!J19,10))</f>
        <v>7</v>
      </c>
      <c r="AJ19" s="51">
        <f>MIN(IF(INDEX(Properties!A$1:CB$87,Formula!B19,10)=0,10^6,INDEX(Properties!A$1:CB$87,Formula!B19,10)),IF(INDEX(Properties!A$1:CB$87,Formula!D19,10)=0,10^6,INDEX(Properties!A$1:CB$87,Formula!D19,10)),IF(INDEX(Properties!A$1:CB$87,Formula!F19,10)=0,10^6,INDEX(Properties!A$1:CB$87,Formula!F19,10)),IF(INDEX(Properties!A$1:CB$87,Formula!H19,10)=0,10^6,INDEX(Properties!A$1:CB$87,Formula!H19,10)),IF(INDEX(Properties!A$1:CB$87,Formula!J19,10)=0,10^6,INDEX(Properties!A$1:CB$87,Formula!J19,10)))</f>
        <v>3</v>
      </c>
      <c r="AK19" s="51">
        <f t="shared" si="5"/>
        <v>4</v>
      </c>
      <c r="AL19" s="57">
        <f>((Formula!C19)/(Formula!C19+Formula!E19+Formula!G19+Formula!I19+Formula!K19))*(INDEX(Properties!A$1:CB$87,Formula!B19,11))+((Formula!E19)/(Formula!C19+Formula!E19+Formula!G19+Formula!I19+Formula!K19))*(INDEX(Properties!A$1:CB$87,Formula!D19,11))+((Formula!G19)/(Formula!C19+Formula!E19+Formula!G19+Formula!I19+Formula!K19))*(INDEX(Properties!A$1:CB$87,Formula!F19,11))+((Formula!I19)/(Formula!C19+Formula!E19+Formula!G19+Formula!I19+Formula!K19))*(INDEX(Properties!A$1:CB$87,Formula!H19,11))+((Formula!K19)/(Formula!C19+Formula!E19+Formula!G19+Formula!I19+Formula!K19))*(INDEX(Properties!A$1:CB$87,Formula!J19,11))</f>
        <v>2</v>
      </c>
      <c r="AM19" s="57">
        <f>Formula!C19*(INDEX(Properties!A$1:CB$87,Formula!B19,11))+Formula!E19*(INDEX(Properties!A$1:CB$87,Formula!D19,11))+Formula!G19*(INDEX(Properties!A$1:CB$87,Formula!F19,11))+Formula!I19*(INDEX(Properties!A$1:CB$87,Formula!H19,11))+Formula!K19*(INDEX(Properties!A$1:CB$87,Formula!J19,11))</f>
        <v>10</v>
      </c>
      <c r="AN19" s="57">
        <f>VARP(IF(INDEX(Properties!A$1:CB$87,Formula!B19,11)&lt;&gt;"",INDEX(Properties!A$1:CB$87,Formula!B19,11)),IF(INDEX(Properties!A$1:CB$87,Formula!D19,11)&lt;&gt;"",INDEX(Properties!A$1:CB$87,Formula!D19,11)),IF(INDEX(Properties!A$1:CB$87,Formula!F19,11)&lt;&gt;"",INDEX(Properties!A$1:CB$87,Formula!F19,11)),IF(INDEX(Properties!A$1:CB$87,Formula!H19,11)&lt;&gt;"",INDEX(Properties!A$1:CB$87,Formula!H19,11)),IF(INDEX(Properties!A$1:CB$87,Formula!J19,11)&lt;&gt;"",INDEX(Properties!A$1:CB$87,Formula!J19,11)))</f>
        <v>0.96</v>
      </c>
      <c r="AO19" s="57">
        <f>MAX(INDEX(Properties!A$1:CB$87,Formula!B19,11),INDEX(Properties!A$1:CB$87,Formula!D19,11),INDEX(Properties!A$1:CB$87,Formula!F19,11),INDEX(Properties!A$1:CB$87,Formula!H19,11),INDEX(Properties!A$1:CB$87,Formula!J19,11))</f>
        <v>2</v>
      </c>
      <c r="AP19" s="57">
        <f>MIN(IF(Formula!B19=87,10^6,INDEX(Properties!A$1:CB$87,Formula!B19,11)),IF((Formula!D19)=87,10^6,INDEX(Properties!A$1:CB$87,Formula!D19,11)),IF((Formula!F19)=87,10^6,INDEX(Properties!A$1:CB$87,Formula!F19,11)),IF((Formula!H19)=87,10^6,INDEX(Properties!A$1:CB$87,Formula!H19,11)),IF(Formula!J19=87,10^6,INDEX(Properties!A$1:CB$87,Formula!J19,11)))</f>
        <v>2</v>
      </c>
      <c r="AQ19" s="57">
        <f t="shared" si="6"/>
        <v>0</v>
      </c>
      <c r="AR19" s="78">
        <f>((Formula!C19)/(Formula!C19+Formula!E19+Formula!G19+Formula!I19+Formula!K19))*(INDEX(Properties!A$1:CB$87,Formula!B19,12))+((Formula!E19)/(Formula!C19+Formula!E19+Formula!G19+Formula!I19+Formula!K19))*(INDEX(Properties!A$1:CB$87,Formula!D19,12))+((Formula!G19)/(Formula!C19+Formula!E19+Formula!G19+Formula!I19+Formula!K19))*(INDEX(Properties!A$1:CB$87,Formula!F19,12))+((Formula!I19)/(Formula!C19+Formula!E19+Formula!G19+Formula!I19+Formula!K19))*(INDEX(Properties!A$1:CB$87,Formula!H19,12))+((Formula!K19)/(Formula!C19+Formula!E19+Formula!G19+Formula!I19+Formula!K19))*(INDEX(Properties!A$1:CB$87,Formula!J19,12))</f>
        <v>2.6</v>
      </c>
      <c r="AS19" s="78">
        <f>Formula!C19*(INDEX(Properties!A$1:CB$87,Formula!B19,12))+Formula!E19*(INDEX(Properties!A$1:CB$87,Formula!D19,12))+Formula!G19*(INDEX(Properties!A$1:CB$87,Formula!F19,12))+Formula!I19*(INDEX(Properties!A$1:CB$87,Formula!H19,12))+Formula!K19*(INDEX(Properties!A$1:CB$87,Formula!J19,12))</f>
        <v>13</v>
      </c>
      <c r="AT19" s="78">
        <f>VARP(IF(INDEX(Properties!A$1:CB$87,Formula!B19,12)&lt;&gt;"",INDEX(Properties!A$1:CB$87,Formula!B19,12)),IF(INDEX(Properties!A$1:CB$87,Formula!D19,12)&lt;&gt;"",INDEX(Properties!A$1:CB$87,Formula!D19,12)),IF(INDEX(Properties!A$1:CB$87,Formula!F19,12)&lt;&gt;"",INDEX(Properties!A$1:CB$87,Formula!F19,12)),IF(INDEX(Properties!A$1:CB$87,Formula!H19,12)&lt;&gt;"",INDEX(Properties!A$1:CB$87,Formula!H19,12)),IF(INDEX(Properties!A$1:CB$87,Formula!J19,12)&lt;&gt;"",INDEX(Properties!A$1:CB$87,Formula!J19,12)))</f>
        <v>2.4</v>
      </c>
      <c r="AU19" s="78">
        <f>MAX(INDEX(Properties!A$1:CB$87,Formula!B19,12),INDEX(Properties!A$1:CB$87,Formula!D19,12),INDEX(Properties!A$1:CB$87,Formula!F19,12),INDEX(Properties!A$1:CB$87,Formula!H19,12),INDEX(Properties!A$1:CB$87,Formula!J19,12))</f>
        <v>4</v>
      </c>
      <c r="AV19" s="78">
        <f>MIN(IF(Formula!B19=87,10^6,INDEX(Properties!A$1:CB$87,Formula!B19,12)),IF((Formula!D19)=87,10^6,INDEX(Properties!A$1:CB$87,Formula!D19,12)),IF((Formula!F19)=87,10^6,INDEX(Properties!A$1:CB$87,Formula!F19,12)),IF((Formula!H19)=87,10^6,INDEX(Properties!A$1:CB$87,Formula!H19,12)),IF(Formula!J19=87,10^6,INDEX(Properties!A$1:CB$87,Formula!J19,12)))</f>
        <v>0</v>
      </c>
      <c r="AW19" s="78">
        <f t="shared" si="7"/>
        <v>4</v>
      </c>
      <c r="AX19" s="45">
        <f>((Formula!C19)/(Formula!C19+Formula!E19+Formula!G19+Formula!I19+Formula!K19))*(INDEX(Properties!A$1:CB$87,Formula!B19,13))+((Formula!E19)/(Formula!C19+Formula!E19+Formula!G19+Formula!I19+Formula!K19))*(INDEX(Properties!A$1:CB$87,Formula!D19,13))+((Formula!G19)/(Formula!C19+Formula!E19+Formula!G19+Formula!I19+Formula!K19))*(INDEX(Properties!A$1:CB$87,Formula!F19,13))+((Formula!I19)/(Formula!C19+Formula!E19+Formula!G19+Formula!I19+Formula!K19))*(INDEX(Properties!A$1:CB$87,Formula!H19,13))+((Formula!K19)/(Formula!C19+Formula!E19+Formula!G19+Formula!I19+Formula!K19))*(INDEX(Properties!A$1:CB$87,Formula!J19,13))</f>
        <v>0.2</v>
      </c>
      <c r="AY19" s="45">
        <f>Formula!C19*(INDEX(Properties!A$1:CB$87,Formula!B19,13))+Formula!E19*(INDEX(Properties!A$1:CB$87,Formula!D19,13))+Formula!G19*(INDEX(Properties!A$1:CB$87,Formula!F19,13))+Formula!I19*(INDEX(Properties!A$1:CB$87,Formula!H19,13))+Formula!K19*(INDEX(Properties!A$1:CB$87,Formula!J19,13))</f>
        <v>1</v>
      </c>
      <c r="AZ19" s="45">
        <f>VARP(IF(INDEX(Properties!A$1:CB$87,Formula!B19,13)&lt;&gt;"",INDEX(Properties!A$1:CB$87,Formula!B19,13)),IF(INDEX(Properties!A$1:CB$87,Formula!D19,13)&lt;&gt;"",INDEX(Properties!A$1:CB$87,Formula!D19,13)),IF(INDEX(Properties!A$1:CB$87,Formula!F19,13)&lt;&gt;"",INDEX(Properties!A$1:CB$87,Formula!F19,13)),IF(INDEX(Properties!A$1:CB$87,Formula!H19,13)&lt;&gt;"",INDEX(Properties!A$1:CB$87,Formula!H19,13)),IF(INDEX(Properties!A$1:CB$87,Formula!J19,13)&lt;&gt;"",INDEX(Properties!A$1:CB$87,Formula!J19,13)))</f>
        <v>0.16</v>
      </c>
      <c r="BA19" s="45">
        <f>MAX(INDEX(Properties!A$1:CB$87,Formula!B19,13),INDEX(Properties!A$1:CB$87,Formula!D19,13),INDEX(Properties!A$1:CB$87,Formula!F19,13),INDEX(Properties!A$1:CB$87,Formula!H19,13),INDEX(Properties!A$1:CB$87,Formula!J19,13))</f>
        <v>1</v>
      </c>
      <c r="BB19" s="45">
        <f>MIN(IF(Formula!B19=87,10^6,INDEX(Properties!A$1:CB$87,Formula!B19,13)),IF((Formula!D19)=87,10^6,INDEX(Properties!A$1:CB$87,Formula!D19,13)),IF((Formula!F19)=87,10^6,INDEX(Properties!A$1:CB$87,Formula!F19,13)),IF((Formula!H19)=87,10^6,INDEX(Properties!A$1:CB$87,Formula!H19,13)),IF(Formula!J19=87,10^6,INDEX(Properties!A$1:CB$87,Formula!J19,13)))</f>
        <v>0</v>
      </c>
      <c r="BC19" s="45">
        <f t="shared" si="8"/>
        <v>1</v>
      </c>
      <c r="BD19" s="63">
        <f>((Formula!C19)/(Formula!C19+Formula!E19+Formula!G19+Formula!I19+Formula!K19))*(INDEX(Properties!A$1:CB$87,Formula!B19,14))+((Formula!E19)/(Formula!C19+Formula!E19+Formula!G19+Formula!I19+Formula!K19))*(INDEX(Properties!A$1:CB$87,Formula!D19,14))+((Formula!G19)/(Formula!C19+Formula!E19+Formula!G19+Formula!I19+Formula!K19))*(INDEX(Properties!A$1:CB$87,Formula!F19,14))+((Formula!I19)/(Formula!C19+Formula!E19+Formula!G19+Formula!I19+Formula!K19))*(INDEX(Properties!A$1:CB$87,Formula!H19,14))+((Formula!K19)/(Formula!C19+Formula!E19+Formula!G19+Formula!I19+Formula!K19))*(INDEX(Properties!A$1:CB$87,Formula!J19,14))</f>
        <v>1.4000000000000001</v>
      </c>
      <c r="BE19" s="63">
        <f>Formula!C19*(INDEX(Properties!A$1:CB$87,Formula!B19,14))+Formula!E19*(INDEX(Properties!A$1:CB$87,Formula!D19,14))+Formula!G19*(INDEX(Properties!A$1:CB$87,Formula!F19,14))+Formula!I19*(INDEX(Properties!A$1:CB$87,Formula!H19,14))+Formula!K19*(INDEX(Properties!A$1:CB$87,Formula!J19,14))</f>
        <v>7</v>
      </c>
      <c r="BF19" s="63">
        <f>VARP(IF(INDEX(Properties!A$1:CB$87,Formula!B19,14)&lt;&gt;"",INDEX(Properties!A$1:CB$87,Formula!B19,14)),IF(INDEX(Properties!A$1:CB$87,Formula!D19,14)&lt;&gt;"",INDEX(Properties!A$1:CB$87,Formula!D19,14)),IF(INDEX(Properties!A$1:CB$87,Formula!F19,14)&lt;&gt;"",INDEX(Properties!A$1:CB$87,Formula!F19,14)),IF(INDEX(Properties!A$1:CB$87,Formula!H19,14)&lt;&gt;"",INDEX(Properties!A$1:CB$87,Formula!H19,14)),IF(INDEX(Properties!A$1:CB$87,Formula!J19,14)&lt;&gt;"",INDEX(Properties!A$1:CB$87,Formula!J19,14)))</f>
        <v>7.84</v>
      </c>
      <c r="BG19" s="63">
        <f>MAX(INDEX(Properties!A$1:CB$87,Formula!B19,14),INDEX(Properties!A$1:CB$87,Formula!D19,14),INDEX(Properties!A$1:CB$87,Formula!F19,14),INDEX(Properties!A$1:CB$87,Formula!H19,14),INDEX(Properties!A$1:CB$87,Formula!J19,14))</f>
        <v>7</v>
      </c>
      <c r="BH19" s="63">
        <f>MIN(IF(Formula!B19=87,10^6,INDEX(Properties!A$1:CB$87,Formula!B19,14)),IF((Formula!D19)=87,10^6,INDEX(Properties!A$1:CB$87,Formula!D19,14)),IF((Formula!F19)=87,10^6,INDEX(Properties!A$1:CB$87,Formula!F19,14)),IF((Formula!H19)=87,10^6,INDEX(Properties!A$1:CB$87,Formula!H19,14)),IF(Formula!J19=87,10^6,INDEX(Properties!A$1:CB$87,Formula!J19,14)))</f>
        <v>0</v>
      </c>
      <c r="BI19" s="63">
        <f t="shared" si="9"/>
        <v>7</v>
      </c>
      <c r="BJ19" s="75">
        <f>((Formula!C19)/(Formula!C19+Formula!E19+Formula!G19+Formula!I19+Formula!K19))*(INDEX(Properties!A$1:CB$87,Formula!B19,19))+((Formula!E19)/(Formula!C19+Formula!E19+Formula!G19+Formula!I19+Formula!K19))*(INDEX(Properties!A$1:CB$87,Formula!D19,19))+((Formula!G19)/(Formula!C19+Formula!E19+Formula!G19+Formula!I19+Formula!K19))*(INDEX(Properties!A$1:CB$87,Formula!F19,19))+((Formula!I19)/(Formula!C19+Formula!E19+Formula!G19+Formula!I19+Formula!K19))*(INDEX(Properties!A$1:CB$87,Formula!H19,19))+((Formula!K19)/(Formula!C19+Formula!E19+Formula!G19+Formula!I19+Formula!K19))*(INDEX(Properties!A$1:CB$87,Formula!J19,19))</f>
        <v>6.1999999999999993</v>
      </c>
      <c r="BK19" s="75">
        <f>Formula!C19*(INDEX(Properties!A$1:CB$87,Formula!B19,19))+Formula!E19*(INDEX(Properties!A$1:CB$87,Formula!D19,19))+Formula!G19*(INDEX(Properties!A$1:CB$87,Formula!F19,19))+Formula!I19*(INDEX(Properties!A$1:CB$87,Formula!H19,19))+Formula!K19*(INDEX(Properties!A$1:CB$87,Formula!J19,19))</f>
        <v>31</v>
      </c>
      <c r="BL19" s="75">
        <f>VARP(IF(INDEX(Properties!A$1:CB$87,Formula!B19,19)&lt;&gt;"",INDEX(Properties!A$1:CB$87,Formula!B19,19)),IF(INDEX(Properties!A$1:CB$87,Formula!D19,19)&lt;&gt;"",INDEX(Properties!A$1:CB$87,Formula!D19,19)),IF(INDEX(Properties!A$1:CB$87,Formula!F19,19)&lt;&gt;"",INDEX(Properties!A$1:CB$87,Formula!F19,19)),IF(INDEX(Properties!A$1:CB$87,Formula!H19,19)&lt;&gt;"",INDEX(Properties!A$1:CB$87,Formula!H19,19)),IF(INDEX(Properties!A$1:CB$87,Formula!J19,19)&lt;&gt;"",INDEX(Properties!A$1:CB$87,Formula!J19,19)))</f>
        <v>14.56</v>
      </c>
      <c r="BM19" s="75">
        <f>MAX(INDEX(Properties!A$1:CB$87,Formula!B19,19),INDEX(Properties!A$1:CB$87,Formula!D19,19),INDEX(Properties!A$1:CB$87,Formula!F19,19),INDEX(Properties!A$1:CB$87,Formula!H19,19),INDEX(Properties!A$1:CB$87,Formula!J19,19))</f>
        <v>10</v>
      </c>
      <c r="BN19" s="75">
        <f>MIN(IF(INDEX(Properties!A$1:CB$87,Formula!B19,19)=0,10^6,INDEX(Properties!A$1:CB$87,Formula!B19,19)),IF(INDEX(Properties!A$1:CB$87,Formula!D19,19)=0,10^6,INDEX(Properties!A$1:CB$87,Formula!D19,19)),IF(INDEX(Properties!A$1:CB$87,Formula!F19,19)=0,10^6,INDEX(Properties!A$1:CB$87,Formula!F19,19)),IF(INDEX(Properties!A$1:CB$87,Formula!H19,19)=0,10^6,INDEX(Properties!A$1:CB$87,Formula!H19,19)),IF(INDEX(Properties!A$1:CB$87,Formula!J19,19)=0,10^6,INDEX(Properties!A$1:CB$87,Formula!J19,19)))</f>
        <v>3</v>
      </c>
      <c r="BO19" s="75">
        <f t="shared" si="10"/>
        <v>7</v>
      </c>
      <c r="BP19" s="48">
        <f>((Formula!C19)/(Formula!C19+Formula!E19+Formula!G19+Formula!I19+Formula!K19))*(INDEX(Properties!A$1:CB$87,Formula!B19,20))+((Formula!E19)/(Formula!C19+Formula!E19+Formula!G19+Formula!I19+Formula!K19))*(INDEX(Properties!A$1:CB$87,Formula!D19,20))+((Formula!G19)/(Formula!C19+Formula!E19+Formula!G19+Formula!I19+Formula!K19))*(INDEX(Properties!A$1:CB$87,Formula!F19,20))+((Formula!I19)/(Formula!C19+Formula!E19+Formula!G19+Formula!I19+Formula!K19))*(INDEX(Properties!A$1:CB$87,Formula!H19,20))+((Formula!K19)/(Formula!C19+Formula!E19+Formula!G19+Formula!I19+Formula!K19))*(INDEX(Properties!A$1:CB$87,Formula!J19,20))</f>
        <v>4.5999999999999996</v>
      </c>
      <c r="BQ19" s="48">
        <f>Formula!C19*(INDEX(Properties!A$1:CB$87,Formula!B19,20))+Formula!E19*(INDEX(Properties!A$1:CB$87,Formula!D19,20))+Formula!G19*(INDEX(Properties!A$1:CB$87,Formula!F19,20))+Formula!I19*(INDEX(Properties!A$1:CB$87,Formula!H19,20))+Formula!K19*(INDEX(Properties!A$1:CB$87,Formula!J19,20))</f>
        <v>23</v>
      </c>
      <c r="BR19" s="48">
        <f>VARP(IF(INDEX(Properties!A$1:CB$87,Formula!B19,20)&lt;&gt;"",INDEX(Properties!A$1:CB$87,Formula!B19,20)),IF(INDEX(Properties!A$1:CB$87,Formula!D19,20)&lt;&gt;"",INDEX(Properties!A$1:CB$87,Formula!D19,20)),IF(INDEX(Properties!A$1:CB$87,Formula!F19,20)&lt;&gt;"",INDEX(Properties!A$1:CB$87,Formula!F19,20)),IF(INDEX(Properties!A$1:CB$87,Formula!H19,20)&lt;&gt;"",INDEX(Properties!A$1:CB$87,Formula!H19,20)),IF(INDEX(Properties!A$1:CB$87,Formula!J19,20)&lt;&gt;"",INDEX(Properties!A$1:CB$87,Formula!J19,20)))</f>
        <v>4.96</v>
      </c>
      <c r="BS19" s="48">
        <f>MAX(INDEX(Properties!A$1:CB$87,Formula!B19,20),INDEX(Properties!A$1:CB$87,Formula!D19,20),INDEX(Properties!A$1:CB$87,Formula!F19,20),INDEX(Properties!A$1:CB$87,Formula!H19,20),INDEX(Properties!A$1:CB$87,Formula!J19,20))</f>
        <v>6</v>
      </c>
      <c r="BT19" s="48">
        <f>MIN(IF(INDEX(Properties!A$1:CB$87,Formula!B19,20)=0,10^6,INDEX(Properties!A$1:CB$87,Formula!B19,20)),IF(INDEX(Properties!A$1:CB$87,Formula!D19,20)=0,10^6,INDEX(Properties!A$1:CB$87,Formula!D19,20)),IF(INDEX(Properties!A$1:CB$87,Formula!F19,20)=0,10^6,INDEX(Properties!A$1:CB$87,Formula!F19,20)),IF(INDEX(Properties!A$1:CB$87,Formula!H19,20)=0,10^6,INDEX(Properties!A$1:CB$87,Formula!H19,20)),IF(INDEX(Properties!A$1:CB$87,Formula!J19,20)=0,10^6,INDEX(Properties!A$1:CB$87,Formula!J19,20)))</f>
        <v>2</v>
      </c>
      <c r="BU19" s="48">
        <f t="shared" si="11"/>
        <v>4</v>
      </c>
      <c r="BV19" s="66">
        <f>((Formula!C19)/(Formula!C19+Formula!E19+Formula!G19+Formula!I19+Formula!K19))*(INDEX(Properties!A$1:CB$87,Formula!B19,21))+((Formula!E19)/(Formula!C19+Formula!E19+Formula!G19+Formula!I19+Formula!K19))*(INDEX(Properties!A$1:CB$87,Formula!D19,21))+((Formula!G19)/(Formula!C19+Formula!E19+Formula!G19+Formula!I19+Formula!K19))*(INDEX(Properties!A$1:CB$87,Formula!F19,21))+((Formula!I19)/(Formula!C19+Formula!E19+Formula!G19+Formula!I19+Formula!K19))*(INDEX(Properties!A$1:CB$87,Formula!H19,21))+((Formula!K19)/(Formula!C19+Formula!E19+Formula!G19+Formula!I19+Formula!K19))*(INDEX(Properties!A$1:CB$87,Formula!J19,21))</f>
        <v>4.8</v>
      </c>
      <c r="BW19" s="66">
        <f>Formula!C19*(INDEX(Properties!A$1:CB$87,Formula!B19,21))+Formula!E19*(INDEX(Properties!A$1:CB$87,Formula!D19,21))+Formula!G19*(INDEX(Properties!A$1:CB$87,Formula!F19,21))+Formula!I19*(INDEX(Properties!A$1:CB$87,Formula!H19,21))+Formula!K19*(INDEX(Properties!A$1:CB$87,Formula!J19,21))</f>
        <v>24</v>
      </c>
      <c r="BX19" s="66">
        <f>VARP(IF(INDEX(Properties!A$1:CB$87,Formula!B19,21)&lt;&gt;"",INDEX(Properties!A$1:CB$87,Formula!B19,21)),IF(INDEX(Properties!A$1:CB$87,Formula!D19,21)&lt;&gt;"",INDEX(Properties!A$1:CB$87,Formula!D19,21)),IF(INDEX(Properties!A$1:CB$87,Formula!F19,21)&lt;&gt;"",INDEX(Properties!A$1:CB$87,Formula!F19,21)),IF(INDEX(Properties!A$1:CB$87,Formula!H19,21)&lt;&gt;"",INDEX(Properties!A$1:CB$87,Formula!H19,21)),IF(INDEX(Properties!A$1:CB$87,Formula!J19,21)&lt;&gt;"",INDEX(Properties!A$1:CB$87,Formula!J19,21)))</f>
        <v>5.04</v>
      </c>
      <c r="BY19" s="66">
        <f>MAX(INDEX(Properties!A$1:CB$87,Formula!B19,21),INDEX(Properties!A$1:CB$87,Formula!D19,21),INDEX(Properties!A$1:CB$87,Formula!F19,21),INDEX(Properties!A$1:CB$87,Formula!H19,21),INDEX(Properties!A$1:CB$87,Formula!J19,21))</f>
        <v>6</v>
      </c>
      <c r="BZ19" s="66">
        <f>MIN(IF(INDEX(Properties!A$1:CB$87,Formula!B19,21)=0,10^6,INDEX(Properties!A$1:CB$87,Formula!B19,21)),IF(INDEX(Properties!A$1:CB$87,Formula!D19,21)=0,10^6,INDEX(Properties!A$1:CB$87,Formula!D19,21)),IF(INDEX(Properties!A$1:CB$87,Formula!F19,21)=0,10^6,INDEX(Properties!A$1:CB$87,Formula!F19,21)),IF(INDEX(Properties!A$1:CB$87,Formula!H19,21)=0,10^6,INDEX(Properties!A$1:CB$87,Formula!H19,21)),IF(INDEX(Properties!A$1:CB$87,Formula!J19,21)=0,10^6,INDEX(Properties!A$1:CB$87,Formula!J19,21)))</f>
        <v>3</v>
      </c>
      <c r="CA19" s="66">
        <f t="shared" si="12"/>
        <v>3</v>
      </c>
      <c r="CB19" s="81">
        <f>((Formula!C19)/(Formula!C19+Formula!E19+Formula!G19+Formula!I19+Formula!K19))*(INDEX(Properties!A$1:CB$87,Formula!B19,23))+((Formula!E19)/(Formula!C19+Formula!E19+Formula!G19+Formula!I19+Formula!K19))*(INDEX(Properties!A$1:CB$87,Formula!D19,23))+((Formula!G19)/(Formula!C19+Formula!E19+Formula!G19+Formula!I19+Formula!K19))*(INDEX(Properties!A$1:CB$87,Formula!F19,23))+((Formula!I19)/(Formula!C19+Formula!E19+Formula!G19+Formula!I19+Formula!K19))*(INDEX(Properties!A$1:CB$87,Formula!H19,23))+((Formula!K19)/(Formula!C19+Formula!E19+Formula!G19+Formula!I19+Formula!K19))*(INDEX(Properties!A$1:CB$87,Formula!J19,23))</f>
        <v>1.2000000000000002</v>
      </c>
      <c r="CC19" s="81">
        <f>Formula!C19*(INDEX(Properties!A$1:CB$87,Formula!B19,23))+Formula!E19*(INDEX(Properties!A$1:CB$87,Formula!D19,23))+Formula!G19*(INDEX(Properties!A$1:CB$87,Formula!F19,23))+Formula!I19*(INDEX(Properties!A$1:CB$87,Formula!H19,23))+Formula!K19*(INDEX(Properties!A$1:CB$87,Formula!J19,23))</f>
        <v>6</v>
      </c>
      <c r="CD19" s="81">
        <f>VARP(IF(INDEX(Properties!A$1:CB$87,Formula!B19,23)&lt;&gt;"",INDEX(Properties!A$1:CB$87,Formula!B19,23)),IF(INDEX(Properties!A$1:CB$87,Formula!D19,23)&lt;&gt;"",INDEX(Properties!A$1:CB$87,Formula!D19,23)),IF(INDEX(Properties!A$1:CB$87,Formula!F19,23)&lt;&gt;"",INDEX(Properties!A$1:CB$87,Formula!F19,23)),IF(INDEX(Properties!A$1:CB$87,Formula!H19,23)&lt;&gt;"",INDEX(Properties!A$1:CB$87,Formula!H19,23)),IF(INDEX(Properties!A$1:CB$87,Formula!J19,23)&lt;&gt;"",INDEX(Properties!A$1:CB$87,Formula!J19,23)))</f>
        <v>2.16</v>
      </c>
      <c r="CE19" s="81">
        <f>MAX(INDEX(Properties!A$1:CB$87,Formula!B19,23),INDEX(Properties!A$1:CB$87,Formula!D19,23),INDEX(Properties!A$1:CB$87,Formula!F19,23),INDEX(Properties!A$1:CB$87,Formula!H19,23),INDEX(Properties!A$1:CB$87,Formula!J19,23))</f>
        <v>3</v>
      </c>
      <c r="CF19" s="81">
        <f>MIN(IF(Formula!B19=87,10^6,INDEX(Properties!A$1:CB$87,Formula!B19,23)),IF((Formula!D19)=87,10^6,INDEX(Properties!A$1:CB$87,Formula!D19,23)),IF((Formula!F19)=87,10^6,INDEX(Properties!A$1:CB$87,Formula!F19,23)),IF((Formula!H19)=87,10^6,INDEX(Properties!A$1:CB$87,Formula!H19,23)),IF(Formula!J19=87,10^6,INDEX(Properties!A$1:CB$87,Formula!J19,23)))</f>
        <v>0</v>
      </c>
      <c r="CG19" s="81">
        <f t="shared" si="13"/>
        <v>3</v>
      </c>
      <c r="CH19" s="39">
        <f>((Formula!C19)/(Formula!C19+Formula!E19+Formula!G19+Formula!I19+Formula!K19))*(INDEX(Properties!A$1:CB$87,Formula!B19,26))+((Formula!E19)/(Formula!C19+Formula!E19+Formula!G19+Formula!I19+Formula!K19))*(INDEX(Properties!A$1:CB$87,Formula!D19,26))+((Formula!G19)/(Formula!C19+Formula!E19+Formula!G19+Formula!I19+Formula!K19))*(INDEX(Properties!A$1:CB$87,Formula!F19,26))+((Formula!I19)/(Formula!C19+Formula!E19+Formula!G19+Formula!I19+Formula!K19))*(INDEX(Properties!A$1:CB$87,Formula!H19,26))+((Formula!K19)/(Formula!C19+Formula!E19+Formula!G19+Formula!I19+Formula!K19))*(INDEX(Properties!A$1:CB$87,Formula!J19,26))</f>
        <v>11.060420000000001</v>
      </c>
      <c r="CI19" s="39">
        <f>Formula!C19*(INDEX(Properties!A$1:CB$87,Formula!B19,26))+Formula!E19*(INDEX(Properties!A$1:CB$87,Formula!D19,26))+Formula!G19*(INDEX(Properties!A$1:CB$87,Formula!F19,26))+Formula!I19*(INDEX(Properties!A$1:CB$87,Formula!H19,26))+Formula!K19*(INDEX(Properties!A$1:CB$87,Formula!J19,26))</f>
        <v>55.302100000000003</v>
      </c>
      <c r="CJ19" s="39">
        <f>VARP(IF(INDEX(Properties!A$1:CB$87,Formula!B19,26)&lt;&gt;"",INDEX(Properties!A$1:CB$87,Formula!B19,26)),IF(INDEX(Properties!A$1:CB$87,Formula!D19,26)&lt;&gt;"",INDEX(Properties!A$1:CB$87,Formula!D19,26)),IF(INDEX(Properties!A$1:CB$87,Formula!F19,26)&lt;&gt;"",INDEX(Properties!A$1:CB$87,Formula!F19,26)),IF(INDEX(Properties!A$1:CB$87,Formula!H19,26)&lt;&gt;"",INDEX(Properties!A$1:CB$87,Formula!H19,26)),IF(INDEX(Properties!A$1:CB$87,Formula!J19,26)&lt;&gt;"",INDEX(Properties!A$1:CB$87,Formula!J19,26)))</f>
        <v>26.918108617600002</v>
      </c>
      <c r="CK19" s="39">
        <f>MAX(INDEX(Properties!A$1:CB$87,Formula!B19,26),INDEX(Properties!A$1:CB$87,Formula!D19,26),INDEX(Properties!A$1:CB$87,Formula!F19,26),INDEX(Properties!A$1:CB$87,Formula!H19,26),INDEX(Properties!A$1:CB$87,Formula!J19,26))</f>
        <v>13.6181</v>
      </c>
      <c r="CL19" s="39">
        <f>MIN(IF(INDEX(Properties!A$1:CB$87,Formula!B19,26)=0,10^6,INDEX(Properties!A$1:CB$87,Formula!B19,26)),IF(INDEX(Properties!A$1:CB$87,Formula!D19,26)=0,10^6,INDEX(Properties!A$1:CB$87,Formula!D19,26)),IF(INDEX(Properties!A$1:CB$87,Formula!F19,26)=0,10^6,INDEX(Properties!A$1:CB$87,Formula!F19,26)),IF(INDEX(Properties!A$1:CB$87,Formula!H19,26)=0,10^6,INDEX(Properties!A$1:CB$87,Formula!H19,26)),IF(INDEX(Properties!A$1:CB$87,Formula!J19,26)=0,10^6,INDEX(Properties!A$1:CB$87,Formula!J19,26)))</f>
        <v>6.1497999999999999</v>
      </c>
      <c r="CM19" s="39">
        <f t="shared" si="14"/>
        <v>7.4683000000000002</v>
      </c>
      <c r="CN19" s="54">
        <f>((Formula!C19)/(Formula!C19+Formula!E19+Formula!G19+Formula!I19+Formula!K19))*(INDEX(Properties!A$1:CB$87,Formula!B19,30))+((Formula!E19)/(Formula!C19+Formula!E19+Formula!G19+Formula!I19+Formula!K19))*(INDEX(Properties!A$1:CB$87,Formula!D19,30))+((Formula!G19)/(Formula!C19+Formula!E19+Formula!G19+Formula!I19+Formula!K19))*(INDEX(Properties!A$1:CB$87,Formula!F19,30))+((Formula!I19)/(Formula!C19+Formula!E19+Formula!G19+Formula!I19+Formula!K19))*(INDEX(Properties!A$1:CB$87,Formula!H19,30))+((Formula!K19)/(Formula!C19+Formula!E19+Formula!G19+Formula!I19+Formula!K19))*(INDEX(Properties!A$1:CB$87,Formula!J19,30))</f>
        <v>2.7120000000000002</v>
      </c>
      <c r="CO19" s="54">
        <f>Formula!C19*(INDEX(Properties!A$1:CB$87,Formula!B19,30))+Formula!E19*(INDEX(Properties!A$1:CB$87,Formula!D19,30))+Formula!G19*(INDEX(Properties!A$1:CB$87,Formula!F19,30))+Formula!I19*(INDEX(Properties!A$1:CB$87,Formula!H19,30))+Formula!K19*(INDEX(Properties!A$1:CB$87,Formula!J19,30))</f>
        <v>13.56</v>
      </c>
      <c r="CP19" s="54">
        <f>VARP(IF(INDEX(Properties!A$1:CB$87,Formula!B19,30)&lt;&gt;"",INDEX(Properties!A$1:CB$87,Formula!B19,30)),IF(INDEX(Properties!A$1:CB$87,Formula!D19,30)&lt;&gt;"",INDEX(Properties!A$1:CB$87,Formula!D19,30)),IF(INDEX(Properties!A$1:CB$87,Formula!F19,30)&lt;&gt;"",INDEX(Properties!A$1:CB$87,Formula!F19,30)),IF(INDEX(Properties!A$1:CB$87,Formula!H19,30)&lt;&gt;"",INDEX(Properties!A$1:CB$87,Formula!H19,30)),IF(INDEX(Properties!A$1:CB$87,Formula!J19,30)&lt;&gt;"",INDEX(Properties!A$1:CB$87,Formula!J19,30)))</f>
        <v>1.7021439999999997</v>
      </c>
      <c r="CQ19" s="54">
        <f>MAX(INDEX(Properties!A$1:CB$87,Formula!B19,30),INDEX(Properties!A$1:CB$87,Formula!D19,30),INDEX(Properties!A$1:CB$87,Formula!F19,30),INDEX(Properties!A$1:CB$87,Formula!H19,30),INDEX(Properties!A$1:CB$87,Formula!J19,30))</f>
        <v>3.44</v>
      </c>
      <c r="CR19" s="54">
        <f>MIN(IF(INDEX(Properties!A$1:CB$87,Formula!B19,30)=0,10^6,INDEX(Properties!A$1:CB$87,Formula!B19,30)),IF(INDEX(Properties!A$1:CB$87,Formula!D19,30)=0,10^6,INDEX(Properties!A$1:CB$87,Formula!D19,30)),IF(INDEX(Properties!A$1:CB$87,Formula!F19,30)=0,10^6,INDEX(Properties!A$1:CB$87,Formula!F19,30)),IF(INDEX(Properties!A$1:CB$87,Formula!H19,30)=0,10^6,INDEX(Properties!A$1:CB$87,Formula!H19,30)),IF(INDEX(Properties!A$1:CB$87,Formula!J19,30)=0,10^6,INDEX(Properties!A$1:CB$87,Formula!J19,30)))</f>
        <v>1.2</v>
      </c>
      <c r="CS19" s="54">
        <f t="shared" si="15"/>
        <v>2.2400000000000002</v>
      </c>
      <c r="CT19" s="69">
        <f>((Formula!C19)/(Formula!C19+Formula!E19+Formula!G19+Formula!I19+Formula!K19))*(INDEX(Properties!A$1:CB$87,Formula!B19,31))+((Formula!E19)/(Formula!C19+Formula!E19+Formula!G19+Formula!I19+Formula!K19))*(INDEX(Properties!A$1:CB$87,Formula!D19,31))+((Formula!G19)/(Formula!C19+Formula!E19+Formula!G19+Formula!I19+Formula!K19))*(INDEX(Properties!A$1:CB$87,Formula!F19,31))+((Formula!I19)/(Formula!C19+Formula!E19+Formula!G19+Formula!I19+Formula!K19))*(INDEX(Properties!A$1:CB$87,Formula!H19,31))+((Formula!K19)/(Formula!C19+Formula!E19+Formula!G19+Formula!I19+Formula!K19))*(INDEX(Properties!A$1:CB$87,Formula!J19,31))</f>
        <v>2.5919999999999996</v>
      </c>
      <c r="CU19" s="69">
        <f>Formula!C19*(INDEX(Properties!A$1:CB$87,Formula!B19,31))+Formula!E19*(INDEX(Properties!A$1:CB$87,Formula!D19,31))+Formula!G19*(INDEX(Properties!A$1:CB$87,Formula!F19,31))+Formula!I19*(INDEX(Properties!A$1:CB$87,Formula!H19,31))+Formula!K19*(INDEX(Properties!A$1:CB$87,Formula!J19,31))</f>
        <v>12.959999999999999</v>
      </c>
      <c r="CV19" s="69">
        <f>VARP(IF(INDEX(Properties!A$1:CB$87,Formula!B19,31)&lt;&gt;"",INDEX(Properties!A$1:CB$87,Formula!B19,31)),IF(INDEX(Properties!A$1:CB$87,Formula!D19,31)&lt;&gt;"",INDEX(Properties!A$1:CB$87,Formula!D19,31)),IF(INDEX(Properties!A$1:CB$87,Formula!F19,31)&lt;&gt;"",INDEX(Properties!A$1:CB$87,Formula!F19,31)),IF(INDEX(Properties!A$1:CB$87,Formula!H19,31)&lt;&gt;"",INDEX(Properties!A$1:CB$87,Formula!H19,31)),IF(INDEX(Properties!A$1:CB$87,Formula!J19,31)&lt;&gt;"",INDEX(Properties!A$1:CB$87,Formula!J19,31)))</f>
        <v>1.570784</v>
      </c>
      <c r="CW19" s="69">
        <f>MAX(INDEX(Properties!A$1:CB$87,Formula!B19,31),INDEX(Properties!A$1:CB$87,Formula!D19,31),INDEX(Properties!A$1:CB$87,Formula!F19,31),INDEX(Properties!A$1:CB$87,Formula!H19,31),INDEX(Properties!A$1:CB$87,Formula!J19,31))</f>
        <v>3.32</v>
      </c>
      <c r="CX19" s="69">
        <f>MIN(IF(INDEX(Properties!A$1:CB$87,Formula!B19,31)=0,10^6,INDEX(Properties!A$1:CB$87,Formula!B19,31)),IF(INDEX(Properties!A$1:CB$87,Formula!D19,31)=0,10^6,INDEX(Properties!A$1:CB$87,Formula!D19,31)),IF(INDEX(Properties!A$1:CB$87,Formula!F19,31)=0,10^6,INDEX(Properties!A$1:CB$87,Formula!F19,31)),IF(INDEX(Properties!A$1:CB$87,Formula!H19,31)=0,10^6,INDEX(Properties!A$1:CB$87,Formula!H19,31)),IF(INDEX(Properties!A$1:CB$87,Formula!J19,31)=0,10^6,INDEX(Properties!A$1:CB$87,Formula!J19,31)))</f>
        <v>1.1000000000000001</v>
      </c>
      <c r="CY19" s="69">
        <f t="shared" si="16"/>
        <v>2.2199999999999998</v>
      </c>
      <c r="CZ19" s="42">
        <f>((Formula!C19)/(Formula!C19+Formula!E19+Formula!G19+Formula!I19+Formula!K19))*(INDEX(Properties!A$1:CB$87,Formula!B19,32))+((Formula!E19)/(Formula!C19+Formula!E19+Formula!G19+Formula!I19+Formula!K19))*(INDEX(Properties!A$1:CB$87,Formula!D19,32))+((Formula!G19)/(Formula!C19+Formula!E19+Formula!G19+Formula!I19+Formula!K19))*(INDEX(Properties!A$1:CB$87,Formula!F19,32))+((Formula!I19)/(Formula!C19+Formula!E19+Formula!G19+Formula!I19+Formula!K19))*(INDEX(Properties!A$1:CB$87,Formula!H19,32))+((Formula!K19)/(Formula!C19+Formula!E19+Formula!G19+Formula!I19+Formula!K19))*(INDEX(Properties!A$1:CB$87,Formula!J19,32))</f>
        <v>6.0020000000000007</v>
      </c>
      <c r="DA19" s="42">
        <f>Formula!C19*(INDEX(Properties!A$1:CB$87,Formula!B19,32))+Formula!E19*(INDEX(Properties!A$1:CB$87,Formula!D19,32))+Formula!G19*(INDEX(Properties!A$1:CB$87,Formula!F19,32))+Formula!I19*(INDEX(Properties!A$1:CB$87,Formula!H19,32))+Formula!K19*(INDEX(Properties!A$1:CB$87,Formula!J19,32))</f>
        <v>30.01</v>
      </c>
      <c r="DB19" s="42">
        <f>VARP(IF(INDEX(Properties!A$1:CB$87,Formula!B19,32)&lt;&gt;"",INDEX(Properties!A$1:CB$87,Formula!B19,32)),IF(INDEX(Properties!A$1:CB$87,Formula!D19,32)&lt;&gt;"",INDEX(Properties!A$1:CB$87,Formula!D19,32)),IF(INDEX(Properties!A$1:CB$87,Formula!F19,32)&lt;&gt;"",INDEX(Properties!A$1:CB$87,Formula!F19,32)),IF(INDEX(Properties!A$1:CB$87,Formula!H19,32)&lt;&gt;"",INDEX(Properties!A$1:CB$87,Formula!H19,32)),IF(INDEX(Properties!A$1:CB$87,Formula!J19,32)&lt;&gt;"",INDEX(Properties!A$1:CB$87,Formula!J19,32)))</f>
        <v>8.0569440000000014</v>
      </c>
      <c r="DC19" s="42">
        <f>MAX(INDEX(Properties!A$1:CB$87,Formula!B19,32),INDEX(Properties!A$1:CB$87,Formula!D19,32),INDEX(Properties!A$1:CB$87,Formula!F19,32),INDEX(Properties!A$1:CB$87,Formula!H19,32),INDEX(Properties!A$1:CB$87,Formula!J19,32))</f>
        <v>7.54</v>
      </c>
      <c r="DD19" s="42">
        <f>MIN(IF(INDEX(Properties!A$1:CB$87,Formula!B19,32)=0,10^6,INDEX(Properties!A$1:CB$87,Formula!B19,32)),IF(INDEX(Properties!A$1:CB$87,Formula!D19,32)=0,10^6,INDEX(Properties!A$1:CB$87,Formula!D19,32)),IF(INDEX(Properties!A$1:CB$87,Formula!F19,32)=0,10^6,INDEX(Properties!A$1:CB$87,Formula!F19,32)),IF(INDEX(Properties!A$1:CB$87,Formula!H19,32)=0,10^6,INDEX(Properties!A$1:CB$87,Formula!H19,32)),IF(INDEX(Properties!A$1:CB$87,Formula!J19,32)=0,10^6,INDEX(Properties!A$1:CB$87,Formula!J19,32)))</f>
        <v>3.1</v>
      </c>
      <c r="DE19" s="42">
        <f t="shared" si="17"/>
        <v>4.4399999999999995</v>
      </c>
      <c r="DF19" s="60">
        <f>((Formula!C19)/(Formula!C19+Formula!E19+Formula!G19+Formula!I19+Formula!K19))*(INDEX(Properties!A$1:CB$87,Formula!B19,34))+((Formula!E19)/(Formula!C19+Formula!E19+Formula!G19+Formula!I19+Formula!K19))*(INDEX(Properties!A$1:CB$87,Formula!D19,34))+((Formula!G19)/(Formula!C19+Formula!E19+Formula!G19+Formula!I19+Formula!K19))*(INDEX(Properties!A$1:CB$87,Formula!F19,34))+((Formula!I19)/(Formula!C19+Formula!E19+Formula!G19+Formula!I19+Formula!K19))*(INDEX(Properties!A$1:CB$87,Formula!H19,34))+((Formula!K19)/(Formula!C19+Formula!E19+Formula!G19+Formula!I19+Formula!K19))*(INDEX(Properties!A$1:CB$87,Formula!J19,34))</f>
        <v>2.7942</v>
      </c>
      <c r="DG19" s="60">
        <f>Formula!C19*(INDEX(Properties!A$1:CB$87,Formula!B19,34))+Formula!E19*(INDEX(Properties!A$1:CB$87,Formula!D19,34))+Formula!G19*(INDEX(Properties!A$1:CB$87,Formula!F19,34))+Formula!I19*(INDEX(Properties!A$1:CB$87,Formula!H19,34))+Formula!K19*(INDEX(Properties!A$1:CB$87,Formula!J19,34))</f>
        <v>13.971</v>
      </c>
      <c r="DH19" s="60">
        <f>VARP(IF(INDEX(Properties!A$1:CB$87,Formula!B19,34)&lt;&gt;"",INDEX(Properties!A$1:CB$87,Formula!B19,34)),IF(INDEX(Properties!A$1:CB$87,Formula!D19,34)&lt;&gt;"",INDEX(Properties!A$1:CB$87,Formula!D19,34)),IF(INDEX(Properties!A$1:CB$87,Formula!F19,34)&lt;&gt;"",INDEX(Properties!A$1:CB$87,Formula!F19,34)),IF(INDEX(Properties!A$1:CB$87,Formula!H19,34)&lt;&gt;"",INDEX(Properties!A$1:CB$87,Formula!H19,34)),IF(INDEX(Properties!A$1:CB$87,Formula!J19,34)&lt;&gt;"",INDEX(Properties!A$1:CB$87,Formula!J19,34)))</f>
        <v>1.8623201600000003</v>
      </c>
      <c r="DI19" s="60">
        <f>MAX(INDEX(Properties!A$1:CB$87,Formula!B19,34),INDEX(Properties!A$1:CB$87,Formula!D19,34),INDEX(Properties!A$1:CB$87,Formula!F19,34),INDEX(Properties!A$1:CB$87,Formula!H19,34),INDEX(Properties!A$1:CB$87,Formula!J19,34))</f>
        <v>3.61</v>
      </c>
      <c r="DJ19" s="60">
        <f>MIN(IF(INDEX(Properties!A$1:CB$87,Formula!B19,34)=0,10^6,INDEX(Properties!A$1:CB$87,Formula!B19,34)),IF(INDEX(Properties!A$1:CB$87,Formula!D19,34)=0,10^6,INDEX(Properties!A$1:CB$87,Formula!D19,34)),IF(INDEX(Properties!A$1:CB$87,Formula!F19,34)=0,10^6,INDEX(Properties!A$1:CB$87,Formula!F19,34)),IF(INDEX(Properties!A$1:CB$87,Formula!H19,34)=0,10^6,INDEX(Properties!A$1:CB$87,Formula!H19,34)),IF(INDEX(Properties!A$1:CB$87,Formula!J19,34)=0,10^6,INDEX(Properties!A$1:CB$87,Formula!J19,34)))</f>
        <v>1.0900000000000001</v>
      </c>
      <c r="DK19" s="60">
        <f t="shared" si="18"/>
        <v>2.5199999999999996</v>
      </c>
      <c r="DL19" s="45">
        <f>((Formula!C19)/(Formula!C19+Formula!E19+Formula!G19+Formula!I19+Formula!K19))*(INDEX(Properties!A$1:CB$87,Formula!B19,39))+((Formula!E19)/(Formula!C19+Formula!E19+Formula!G19+Formula!I19+Formula!K19))*(INDEX(Properties!A$1:CB$87,Formula!D19,39))+((Formula!G19)/(Formula!C19+Formula!E19+Formula!G19+Formula!I19+Formula!K19))*(INDEX(Properties!A$1:CB$87,Formula!F19,39))+((Formula!I19)/(Formula!C19+Formula!E19+Formula!G19+Formula!I19+Formula!K19))*(INDEX(Properties!A$1:CB$87,Formula!H19,39))+((Formula!K19)/(Formula!C19+Formula!E19+Formula!G19+Formula!I19+Formula!K19))*(INDEX(Properties!A$1:CB$87,Formula!J19,39))</f>
        <v>0.92799999999999994</v>
      </c>
      <c r="DM19" s="45">
        <f>Formula!C19*(INDEX(Properties!A$1:CB$87,Formula!B19,39))+Formula!E19*(INDEX(Properties!A$1:CB$87,Formula!D19,39))+Formula!G19*(INDEX(Properties!A$1:CB$87,Formula!F19,39))+Formula!I19*(INDEX(Properties!A$1:CB$87,Formula!H19,39))+Formula!K19*(INDEX(Properties!A$1:CB$87,Formula!J19,39))</f>
        <v>4.6400000000000006</v>
      </c>
      <c r="DN19" s="45">
        <f>VARP(IF(INDEX(Properties!A$1:CB$87,Formula!B19,39)&lt;&gt;"",INDEX(Properties!A$1:CB$87,Formula!B19,39)),IF(INDEX(Properties!A$1:CB$87,Formula!D19,39)&lt;&gt;"",INDEX(Properties!A$1:CB$87,Formula!D19,39)),IF(INDEX(Properties!A$1:CB$87,Formula!F19,39)&lt;&gt;"",INDEX(Properties!A$1:CB$87,Formula!F19,39)),IF(INDEX(Properties!A$1:CB$87,Formula!H19,39)&lt;&gt;"",INDEX(Properties!A$1:CB$87,Formula!H19,39)),IF(INDEX(Properties!A$1:CB$87,Formula!J19,39)&lt;&gt;"",INDEX(Properties!A$1:CB$87,Formula!J19,39)))</f>
        <v>0.74154400000000009</v>
      </c>
      <c r="DO19" s="45">
        <f>MAX(INDEX(Properties!A$1:CB$87,Formula!B19,39),INDEX(Properties!A$1:CB$87,Formula!D19,39),INDEX(Properties!A$1:CB$87,Formula!F19,39),INDEX(Properties!A$1:CB$87,Formula!H19,39),INDEX(Properties!A$1:CB$87,Formula!J19,39))</f>
        <v>2.33</v>
      </c>
      <c r="DP19" s="45">
        <f>MIN(IF(INDEX(Properties!A$1:CB$87,Formula!B19,39)=0,10^6,INDEX(Properties!A$1:CB$87,Formula!B19,39)),IF(INDEX(Properties!A$1:CB$87,Formula!D19,39)=0,10^6,INDEX(Properties!A$1:CB$87,Formula!D19,39)),IF(INDEX(Properties!A$1:CB$87,Formula!F19,39)=0,10^6,INDEX(Properties!A$1:CB$87,Formula!F19,39)),IF(INDEX(Properties!A$1:CB$87,Formula!H19,39)=0,10^6,INDEX(Properties!A$1:CB$87,Formula!H19,39)),IF(INDEX(Properties!A$1:CB$87,Formula!J19,39)=0,10^6,INDEX(Properties!A$1:CB$87,Formula!J19,39)))</f>
        <v>0.48</v>
      </c>
      <c r="DQ19" s="45">
        <f t="shared" si="19"/>
        <v>1.85</v>
      </c>
      <c r="DR19" s="63">
        <f>((Formula!C19)/(Formula!C19+Formula!E19+Formula!G19+Formula!I19+Formula!K19))*(INDEX(Properties!A$1:CB$87,Formula!B19,40))+((Formula!E19)/(Formula!C19+Formula!E19+Formula!G19+Formula!I19+Formula!K19))*(INDEX(Properties!A$1:CB$87,Formula!D19,40))+((Formula!G19)/(Formula!C19+Formula!E19+Formula!G19+Formula!I19+Formula!K19))*(INDEX(Properties!A$1:CB$87,Formula!F19,40))+((Formula!I19)/(Formula!C19+Formula!E19+Formula!G19+Formula!I19+Formula!K19))*(INDEX(Properties!A$1:CB$87,Formula!H19,40))+((Formula!K19)/(Formula!C19+Formula!E19+Formula!G19+Formula!I19+Formula!K19))*(INDEX(Properties!A$1:CB$87,Formula!J19,40))</f>
        <v>0.92400000000000015</v>
      </c>
      <c r="DS19" s="63">
        <f>Formula!C19*(INDEX(Properties!A$1:CB$87,Formula!B19,40))+Formula!E19*(INDEX(Properties!A$1:CB$87,Formula!D19,40))+Formula!G19*(INDEX(Properties!A$1:CB$87,Formula!F19,40))+Formula!I19*(INDEX(Properties!A$1:CB$87,Formula!H19,40))+Formula!K19*(INDEX(Properties!A$1:CB$87,Formula!J19,40))</f>
        <v>4.62</v>
      </c>
      <c r="DT19" s="63">
        <f>VARP(IF(INDEX(Properties!A$1:CB$87,Formula!B19,40)&lt;&gt;"",INDEX(Properties!A$1:CB$87,Formula!B19,40)),IF(INDEX(Properties!A$1:CB$87,Formula!D19,40)&lt;&gt;"",INDEX(Properties!A$1:CB$87,Formula!D19,40)),IF(INDEX(Properties!A$1:CB$87,Formula!F19,40)&lt;&gt;"",INDEX(Properties!A$1:CB$87,Formula!F19,40)),IF(INDEX(Properties!A$1:CB$87,Formula!H19,40)&lt;&gt;"",INDEX(Properties!A$1:CB$87,Formula!H19,40)),IF(INDEX(Properties!A$1:CB$87,Formula!J19,40)&lt;&gt;"",INDEX(Properties!A$1:CB$87,Formula!J19,40)))</f>
        <v>0.36005599999999988</v>
      </c>
      <c r="DU19" s="63">
        <f>MAX(INDEX(Properties!A$1:CB$87,Formula!B19,40),INDEX(Properties!A$1:CB$87,Formula!D19,40),INDEX(Properties!A$1:CB$87,Formula!F19,40),INDEX(Properties!A$1:CB$87,Formula!H19,40),INDEX(Properties!A$1:CB$87,Formula!J19,40))</f>
        <v>1.61</v>
      </c>
      <c r="DV19" s="63">
        <f>MIN(IF(INDEX(Properties!A$1:CB$87,Formula!B19,40)=0,10^6,INDEX(Properties!A$1:CB$87,Formula!B19,40)),IF(INDEX(Properties!A$1:CB$87,Formula!D19,40)=0,10^6,INDEX(Properties!A$1:CB$87,Formula!D19,40)),IF(INDEX(Properties!A$1:CB$87,Formula!F19,40)=0,10^6,INDEX(Properties!A$1:CB$87,Formula!F19,40)),IF(INDEX(Properties!A$1:CB$87,Formula!H19,40)=0,10^6,INDEX(Properties!A$1:CB$87,Formula!H19,40)),IF(INDEX(Properties!A$1:CB$87,Formula!J19,40)=0,10^6,INDEX(Properties!A$1:CB$87,Formula!J19,40)))</f>
        <v>0.73</v>
      </c>
      <c r="DW19" s="63">
        <f t="shared" si="20"/>
        <v>0.88000000000000012</v>
      </c>
      <c r="DX19" s="75">
        <f>((Formula!C19)/(Formula!C19+Formula!E19+Formula!G19+Formula!I19+Formula!K19))*(INDEX(Properties!A$1:CB$87,Formula!B19,41))+((Formula!E19)/(Formula!C19+Formula!E19+Formula!G19+Formula!I19+Formula!K19))*(INDEX(Properties!A$1:CB$87,Formula!D19,41))+((Formula!G19)/(Formula!C19+Formula!E19+Formula!G19+Formula!I19+Formula!K19))*(INDEX(Properties!A$1:CB$87,Formula!F19,41))+((Formula!I19)/(Formula!C19+Formula!E19+Formula!G19+Formula!I19+Formula!K19))*(INDEX(Properties!A$1:CB$87,Formula!H19,41))+((Formula!K19)/(Formula!C19+Formula!E19+Formula!G19+Formula!I19+Formula!K19))*(INDEX(Properties!A$1:CB$87,Formula!J19,41))</f>
        <v>1.054</v>
      </c>
      <c r="DY19" s="75">
        <f>Formula!C19*(INDEX(Properties!A$1:CB$87,Formula!B19,41))+Formula!E19*(INDEX(Properties!A$1:CB$87,Formula!D19,41))+Formula!G19*(INDEX(Properties!A$1:CB$87,Formula!F19,41))+Formula!I19*(INDEX(Properties!A$1:CB$87,Formula!H19,41))+Formula!K19*(INDEX(Properties!A$1:CB$87,Formula!J19,41))</f>
        <v>5.2700000000000005</v>
      </c>
      <c r="DZ19" s="75">
        <f>VARP(IF(INDEX(Properties!A$1:CB$87,Formula!B19,41)&lt;&gt;"",INDEX(Properties!A$1:CB$87,Formula!B19,41)),IF(INDEX(Properties!A$1:CB$87,Formula!D19,41)&lt;&gt;"",INDEX(Properties!A$1:CB$87,Formula!D19,41)),IF(INDEX(Properties!A$1:CB$87,Formula!F19,41)&lt;&gt;"",INDEX(Properties!A$1:CB$87,Formula!F19,41)),IF(INDEX(Properties!A$1:CB$87,Formula!H19,41)&lt;&gt;"",INDEX(Properties!A$1:CB$87,Formula!H19,41)),IF(INDEX(Properties!A$1:CB$87,Formula!J19,41)&lt;&gt;"",INDEX(Properties!A$1:CB$87,Formula!J19,41)))</f>
        <v>0.28192000000000006</v>
      </c>
      <c r="EA19" s="75">
        <f>MAX(INDEX(Properties!A$1:CB$87,Formula!B19,41),INDEX(Properties!A$1:CB$87,Formula!D19,41),INDEX(Properties!A$1:CB$87,Formula!F19,41),INDEX(Properties!A$1:CB$87,Formula!H19,41),INDEX(Properties!A$1:CB$87,Formula!J19,41))</f>
        <v>1.26</v>
      </c>
      <c r="EB19" s="75">
        <f>MIN(IF(INDEX(Properties!A$1:CB$87,Formula!B19,41)=0,10^6,INDEX(Properties!A$1:CB$87,Formula!B19,41)),IF(INDEX(Properties!A$1:CB$87,Formula!D19,41)=0,10^6,INDEX(Properties!A$1:CB$87,Formula!D19,41)),IF(INDEX(Properties!A$1:CB$87,Formula!F19,41)=0,10^6,INDEX(Properties!A$1:CB$87,Formula!F19,41)),IF(INDEX(Properties!A$1:CB$87,Formula!H19,41)=0,10^6,INDEX(Properties!A$1:CB$87,Formula!H19,41)),IF(INDEX(Properties!A$1:CB$87,Formula!J19,41)=0,10^6,INDEX(Properties!A$1:CB$87,Formula!J19,41)))</f>
        <v>0.41</v>
      </c>
      <c r="EC19" s="75">
        <f t="shared" si="21"/>
        <v>0.85000000000000009</v>
      </c>
      <c r="ED19" s="48">
        <f>((Formula!C19)/(Formula!C19+Formula!E19+Formula!G19+Formula!I19+Formula!K19))*(INDEX(Properties!A$1:CB$87,Formula!B19,45))+((Formula!E19)/(Formula!C19+Formula!E19+Formula!G19+Formula!I19+Formula!K19))*(INDEX(Properties!A$1:CB$87,Formula!D19,45))+((Formula!G19)/(Formula!C19+Formula!E19+Formula!G19+Formula!I19+Formula!K19))*(INDEX(Properties!A$1:CB$87,Formula!F19,45))+((Formula!I19)/(Formula!C19+Formula!E19+Formula!G19+Formula!I19+Formula!K19))*(INDEX(Properties!A$1:CB$87,Formula!H19,45))+((Formula!K19)/(Formula!C19+Formula!E19+Formula!G19+Formula!I19+Formula!K19))*(INDEX(Properties!A$1:CB$87,Formula!J19,45))</f>
        <v>1.224</v>
      </c>
      <c r="EE19" s="48">
        <f>Formula!C19*(INDEX(Properties!A$1:CB$87,Formula!B19,45))+Formula!E19*(INDEX(Properties!A$1:CB$87,Formula!D19,45))+Formula!G19*(INDEX(Properties!A$1:CB$87,Formula!F19,45))+Formula!I19*(INDEX(Properties!A$1:CB$87,Formula!H19,45))+Formula!K19*(INDEX(Properties!A$1:CB$87,Formula!J19,45))</f>
        <v>6.12</v>
      </c>
      <c r="EF19" s="48">
        <f>VARP(IF(INDEX(Properties!A$1:CB$87,Formula!B19,45)&lt;&gt;"",INDEX(Properties!A$1:CB$87,Formula!B19,45)),IF(INDEX(Properties!A$1:CB$87,Formula!D19,45)&lt;&gt;"",INDEX(Properties!A$1:CB$87,Formula!D19,45)),IF(INDEX(Properties!A$1:CB$87,Formula!F19,45)&lt;&gt;"",INDEX(Properties!A$1:CB$87,Formula!F19,45)),IF(INDEX(Properties!A$1:CB$87,Formula!H19,45)&lt;&gt;"",INDEX(Properties!A$1:CB$87,Formula!H19,45)),IF(INDEX(Properties!A$1:CB$87,Formula!J19,45)&lt;&gt;"",INDEX(Properties!A$1:CB$87,Formula!J19,45)))</f>
        <v>2.1565040000000004</v>
      </c>
      <c r="EG19" s="48">
        <f>MAX(INDEX(Properties!A$1:CB$87,Formula!B19,45),INDEX(Properties!A$1:CB$87,Formula!D19,45),INDEX(Properties!A$1:CB$87,Formula!F19,45),INDEX(Properties!A$1:CB$87,Formula!H19,45),INDEX(Properties!A$1:CB$87,Formula!J19,45))</f>
        <v>3.91</v>
      </c>
      <c r="EH19" s="48">
        <f>MIN(IF(INDEX(Properties!A$1:CB$87,Formula!B19,45)=0,10^6,INDEX(Properties!A$1:CB$87,Formula!B19,45)),IF(INDEX(Properties!A$1:CB$87,Formula!D19,45)=0,10^6,INDEX(Properties!A$1:CB$87,Formula!D19,45)),IF(INDEX(Properties!A$1:CB$87,Formula!F19,45)=0,10^6,INDEX(Properties!A$1:CB$87,Formula!F19,45)),IF(INDEX(Properties!A$1:CB$87,Formula!H19,45)=0,10^6,INDEX(Properties!A$1:CB$87,Formula!H19,45)),IF(INDEX(Properties!A$1:CB$87,Formula!J19,45)=0,10^6,INDEX(Properties!A$1:CB$87,Formula!J19,45)))</f>
        <v>0.47</v>
      </c>
      <c r="EI19" s="48">
        <f t="shared" si="22"/>
        <v>3.4400000000000004</v>
      </c>
      <c r="EJ19" s="66">
        <f>((Formula!C19)/(Formula!C19+Formula!E19+Formula!G19+Formula!I19+Formula!K19))*(INDEX(Properties!A$1:CB$87,Formula!B19,46))+((Formula!E19)/(Formula!C19+Formula!E19+Formula!G19+Formula!I19+Formula!K19))*(INDEX(Properties!A$1:CB$87,Formula!D19,46))+((Formula!G19)/(Formula!C19+Formula!E19+Formula!G19+Formula!I19+Formula!K19))*(INDEX(Properties!A$1:CB$87,Formula!F19,46))+((Formula!I19)/(Formula!C19+Formula!E19+Formula!G19+Formula!I19+Formula!K19))*(INDEX(Properties!A$1:CB$87,Formula!H19,46))+((Formula!K19)/(Formula!C19+Formula!E19+Formula!G19+Formula!I19+Formula!K19))*(INDEX(Properties!A$1:CB$87,Formula!J19,46))</f>
        <v>0.99199999999999999</v>
      </c>
      <c r="EK19" s="66">
        <f>Formula!C19*(INDEX(Properties!A$1:CB$87,Formula!B19,46))+Formula!E19*(INDEX(Properties!A$1:CB$87,Formula!D19,46))+Formula!G19*(INDEX(Properties!A$1:CB$87,Formula!F19,46))+Formula!I19*(INDEX(Properties!A$1:CB$87,Formula!H19,46))+Formula!K19*(INDEX(Properties!A$1:CB$87,Formula!J19,46))</f>
        <v>4.96</v>
      </c>
      <c r="EL19" s="66">
        <f>VARP(IF(INDEX(Properties!A$1:CB$87,Formula!B19,46)&lt;&gt;"",INDEX(Properties!A$1:CB$87,Formula!B19,46)),IF(INDEX(Properties!A$1:CB$87,Formula!D19,46)&lt;&gt;"",INDEX(Properties!A$1:CB$87,Formula!D19,46)),IF(INDEX(Properties!A$1:CB$87,Formula!F19,46)&lt;&gt;"",INDEX(Properties!A$1:CB$87,Formula!F19,46)),IF(INDEX(Properties!A$1:CB$87,Formula!H19,46)&lt;&gt;"",INDEX(Properties!A$1:CB$87,Formula!H19,46)),IF(INDEX(Properties!A$1:CB$87,Formula!J19,46)&lt;&gt;"",INDEX(Properties!A$1:CB$87,Formula!J19,46)))</f>
        <v>0.28053600000000001</v>
      </c>
      <c r="EM19" s="66">
        <f>MAX(INDEX(Properties!A$1:CB$87,Formula!B19,46),INDEX(Properties!A$1:CB$87,Formula!D19,46),INDEX(Properties!A$1:CB$87,Formula!F19,46),INDEX(Properties!A$1:CB$87,Formula!H19,46),INDEX(Properties!A$1:CB$87,Formula!J19,46))</f>
        <v>1.21</v>
      </c>
      <c r="EN19" s="66">
        <f>MIN(IF(INDEX(Properties!A$1:CB$87,Formula!B19,46)=0,10^6,INDEX(Properties!A$1:CB$87,Formula!B19,46)),IF(INDEX(Properties!A$1:CB$87,Formula!D19,46)=0,10^6,INDEX(Properties!A$1:CB$87,Formula!D19,46)),IF(INDEX(Properties!A$1:CB$87,Formula!F19,46)=0,10^6,INDEX(Properties!A$1:CB$87,Formula!F19,46)),IF(INDEX(Properties!A$1:CB$87,Formula!H19,46)=0,10^6,INDEX(Properties!A$1:CB$87,Formula!H19,46)),IF(INDEX(Properties!A$1:CB$87,Formula!J19,46)=0,10^6,INDEX(Properties!A$1:CB$87,Formula!J19,46)))</f>
        <v>0.25</v>
      </c>
      <c r="EO19" s="66">
        <f t="shared" si="23"/>
        <v>0.96</v>
      </c>
      <c r="EP19" s="81">
        <f>((Formula!C19)/(Formula!C19+Formula!E19+Formula!G19+Formula!I19+Formula!K19))*(INDEX(Properties!A$1:CB$87,Formula!B19,52))+((Formula!E19)/(Formula!C19+Formula!E19+Formula!G19+Formula!I19+Formula!K19))*(INDEX(Properties!A$1:CB$87,Formula!D19,52))+((Formula!G19)/(Formula!C19+Formula!E19+Formula!G19+Formula!I19+Formula!K19))*(INDEX(Properties!A$1:CB$87,Formula!F19,52))+((Formula!I19)/(Formula!C19+Formula!E19+Formula!G19+Formula!I19+Formula!K19))*(INDEX(Properties!A$1:CB$87,Formula!H19,52))+((Formula!K19)/(Formula!C19+Formula!E19+Formula!G19+Formula!I19+Formula!K19))*(INDEX(Properties!A$1:CB$87,Formula!J19,52))</f>
        <v>5.7758000000000003</v>
      </c>
      <c r="EQ19" s="81">
        <f>Formula!C19*(INDEX(Properties!A$1:CB$87,Formula!B19,52))+Formula!E19*(INDEX(Properties!A$1:CB$87,Formula!D19,52))+Formula!G19*(INDEX(Properties!A$1:CB$87,Formula!F19,52))+Formula!I19*(INDEX(Properties!A$1:CB$87,Formula!H19,52))+Formula!K19*(INDEX(Properties!A$1:CB$87,Formula!J19,52))</f>
        <v>28.879000000000001</v>
      </c>
      <c r="ER19" s="81">
        <f>VARP(IF(INDEX(Properties!A$1:CB$87,Formula!B19,52)&lt;&gt;"",INDEX(Properties!A$1:CB$87,Formula!B19,52)),IF(INDEX(Properties!A$1:CB$87,Formula!D19,52)&lt;&gt;"",INDEX(Properties!A$1:CB$87,Formula!D19,52)),IF(INDEX(Properties!A$1:CB$87,Formula!F19,52)&lt;&gt;"",INDEX(Properties!A$1:CB$87,Formula!F19,52)),IF(INDEX(Properties!A$1:CB$87,Formula!H19,52)&lt;&gt;"",INDEX(Properties!A$1:CB$87,Formula!H19,52)),IF(INDEX(Properties!A$1:CB$87,Formula!J19,52)&lt;&gt;"",INDEX(Properties!A$1:CB$87,Formula!J19,52)))</f>
        <v>82.57945583999998</v>
      </c>
      <c r="ES19" s="81">
        <f>MAX(INDEX(Properties!A$1:CB$87,Formula!B19,52),INDEX(Properties!A$1:CB$87,Formula!D19,52),INDEX(Properties!A$1:CB$87,Formula!F19,52),INDEX(Properties!A$1:CB$87,Formula!H19,52),INDEX(Properties!A$1:CB$87,Formula!J19,52))</f>
        <v>23.5</v>
      </c>
      <c r="ET19" s="81">
        <f>MIN(IF(INDEX(Properties!A$1:CB$87,Formula!B19,52)=0,10^6,INDEX(Properties!A$1:CB$87,Formula!B19,52)),IF(INDEX(Properties!A$1:CB$87,Formula!D19,52)=0,10^6,INDEX(Properties!A$1:CB$87,Formula!D19,52)),IF(INDEX(Properties!A$1:CB$87,Formula!F19,52)=0,10^6,INDEX(Properties!A$1:CB$87,Formula!F19,52)),IF(INDEX(Properties!A$1:CB$87,Formula!H19,52)=0,10^6,INDEX(Properties!A$1:CB$87,Formula!H19,52)),IF(INDEX(Properties!A$1:CB$87,Formula!J19,52)=0,10^6,INDEX(Properties!A$1:CB$87,Formula!J19,52)))</f>
        <v>0.79300000000000004</v>
      </c>
      <c r="EU19" s="81">
        <f t="shared" si="24"/>
        <v>22.707000000000001</v>
      </c>
      <c r="EV19" s="39">
        <f>((Formula!C19)/(Formula!C19+Formula!E19+Formula!G19+Formula!I19+Formula!K19))*(INDEX(Properties!A$1:CB$87,Formula!B19,53))+((Formula!E19)/(Formula!C19+Formula!E19+Formula!G19+Formula!I19+Formula!K19))*(INDEX(Properties!A$1:CB$87,Formula!D19,53))+((Formula!G19)/(Formula!C19+Formula!E19+Formula!G19+Formula!I19+Formula!K19))*(INDEX(Properties!A$1:CB$87,Formula!F19,53))+((Formula!I19)/(Formula!C19+Formula!E19+Formula!G19+Formula!I19+Formula!K19))*(INDEX(Properties!A$1:CB$87,Formula!H19,53))+((Formula!K19)/(Formula!C19+Formula!E19+Formula!G19+Formula!I19+Formula!K19))*(INDEX(Properties!A$1:CB$87,Formula!J19,53))</f>
        <v>820.5100000000001</v>
      </c>
      <c r="EW19" s="39">
        <f>Formula!C19*(INDEX(Properties!A$1:CB$87,Formula!B19,53))+Formula!E19*(INDEX(Properties!A$1:CB$87,Formula!D19,53))+Formula!G19*(INDEX(Properties!A$1:CB$87,Formula!F19,53))+Formula!I19*(INDEX(Properties!A$1:CB$87,Formula!H19,53))+Formula!K19*(INDEX(Properties!A$1:CB$87,Formula!J19,53))</f>
        <v>4102.55</v>
      </c>
      <c r="EX19" s="39">
        <f>VARP(IF(INDEX(Properties!A$1:CB$87,Formula!B19,53)&lt;&gt;"",INDEX(Properties!A$1:CB$87,Formula!B19,53)),IF(INDEX(Properties!A$1:CB$87,Formula!D19,53)&lt;&gt;"",INDEX(Properties!A$1:CB$87,Formula!D19,53)),IF(INDEX(Properties!A$1:CB$87,Formula!F19,53)&lt;&gt;"",INDEX(Properties!A$1:CB$87,Formula!F19,53)),IF(INDEX(Properties!A$1:CB$87,Formula!H19,53)&lt;&gt;"",INDEX(Properties!A$1:CB$87,Formula!H19,53)),IF(INDEX(Properties!A$1:CB$87,Formula!J19,53)&lt;&gt;"",INDEX(Properties!A$1:CB$87,Formula!J19,53)))</f>
        <v>972517.86939999997</v>
      </c>
      <c r="EY19" s="39">
        <f>MAX(INDEX(Properties!A$1:CB$87,Formula!B19,53),INDEX(Properties!A$1:CB$87,Formula!D19,53),INDEX(Properties!A$1:CB$87,Formula!F19,53),INDEX(Properties!A$1:CB$87,Formula!H19,53),INDEX(Properties!A$1:CB$87,Formula!J19,53))</f>
        <v>2352.15</v>
      </c>
      <c r="EZ19" s="39">
        <f>MIN(IF(INDEX(Properties!A$1:CB$87,Formula!B19,53)=0,10^6,INDEX(Properties!A$1:CB$87,Formula!B19,53)),IF(INDEX(Properties!A$1:CB$87,Formula!D19,53)=0,10^6,INDEX(Properties!A$1:CB$87,Formula!D19,53)),IF(INDEX(Properties!A$1:CB$87,Formula!F19,53)=0,10^6,INDEX(Properties!A$1:CB$87,Formula!F19,53)),IF(INDEX(Properties!A$1:CB$87,Formula!H19,53)=0,10^6,INDEX(Properties!A$1:CB$87,Formula!H19,53)),IF(INDEX(Properties!A$1:CB$87,Formula!J19,53)=0,10^6,INDEX(Properties!A$1:CB$87,Formula!J19,53)))</f>
        <v>54.749999999999972</v>
      </c>
      <c r="FA19" s="39">
        <f t="shared" si="25"/>
        <v>2297.4</v>
      </c>
      <c r="FB19" s="54">
        <f>((Formula!C19)/(Formula!C19+Formula!E19+Formula!G19+Formula!I19+Formula!K19))*(INDEX(Properties!A$1:CB$87,Formula!B19,54))+((Formula!E19)/(Formula!C19+Formula!E19+Formula!G19+Formula!I19+Formula!K19))*(INDEX(Properties!A$1:CB$87,Formula!D19,54))+((Formula!G19)/(Formula!C19+Formula!E19+Formula!G19+Formula!I19+Formula!K19))*(INDEX(Properties!A$1:CB$87,Formula!F19,54))+((Formula!I19)/(Formula!C19+Formula!E19+Formula!G19+Formula!I19+Formula!K19))*(INDEX(Properties!A$1:CB$87,Formula!H19,54))+((Formula!K19)/(Formula!C19+Formula!E19+Formula!G19+Formula!I19+Formula!K19))*(INDEX(Properties!A$1:CB$87,Formula!J19,54))</f>
        <v>1618.32</v>
      </c>
      <c r="FC19" s="54">
        <f>Formula!C19*(INDEX(Properties!A$1:CB$87,Formula!B19,54))+Formula!E19*(INDEX(Properties!A$1:CB$87,Formula!D19,54))+Formula!G19*(INDEX(Properties!A$1:CB$87,Formula!F19,54))+Formula!I19*(INDEX(Properties!A$1:CB$87,Formula!H19,54))+Formula!K19*(INDEX(Properties!A$1:CB$87,Formula!J19,54))</f>
        <v>8091.5999999999995</v>
      </c>
      <c r="FD19" s="54">
        <f>VARP(IF(INDEX(Properties!A$1:CB$87,Formula!B19,54)&lt;&gt;"",INDEX(Properties!A$1:CB$87,Formula!B19,54)),IF(INDEX(Properties!A$1:CB$87,Formula!D19,54)&lt;&gt;"",INDEX(Properties!A$1:CB$87,Formula!D19,54)),IF(INDEX(Properties!A$1:CB$87,Formula!F19,54)&lt;&gt;"",INDEX(Properties!A$1:CB$87,Formula!F19,54)),IF(INDEX(Properties!A$1:CB$87,Formula!H19,54)&lt;&gt;"",INDEX(Properties!A$1:CB$87,Formula!H19,54)),IF(INDEX(Properties!A$1:CB$87,Formula!J19,54)&lt;&gt;"",INDEX(Properties!A$1:CB$87,Formula!J19,54)))</f>
        <v>3668239.6613999996</v>
      </c>
      <c r="FE19" s="54">
        <f>MAX(INDEX(Properties!A$1:CB$87,Formula!B19,54),INDEX(Properties!A$1:CB$87,Formula!D19,54),INDEX(Properties!A$1:CB$87,Formula!F19,54),INDEX(Properties!A$1:CB$87,Formula!H19,54),INDEX(Properties!A$1:CB$87,Formula!J19,54))</f>
        <v>4275</v>
      </c>
      <c r="FF19" s="54">
        <f>MIN(IF(INDEX(Properties!A$1:CB$87,Formula!B19,54)=0,10^6,INDEX(Properties!A$1:CB$87,Formula!B19,54)),IF(INDEX(Properties!A$1:CB$87,Formula!D19,54)=0,10^6,INDEX(Properties!A$1:CB$87,Formula!D19,54)),IF(INDEX(Properties!A$1:CB$87,Formula!F19,54)=0,10^6,INDEX(Properties!A$1:CB$87,Formula!F19,54)),IF(INDEX(Properties!A$1:CB$87,Formula!H19,54)=0,10^6,INDEX(Properties!A$1:CB$87,Formula!H19,54)),IF(INDEX(Properties!A$1:CB$87,Formula!J19,54)=0,10^6,INDEX(Properties!A$1:CB$87,Formula!J19,54)))</f>
        <v>90.149999999999977</v>
      </c>
      <c r="FG19" s="54">
        <f t="shared" si="26"/>
        <v>4184.8500000000004</v>
      </c>
      <c r="FH19" s="69">
        <f>((Formula!C19)/(Formula!C19+Formula!E19+Formula!G19+Formula!I19+Formula!K19))*(INDEX(Properties!A$1:CB$87,Formula!B19,55))+((Formula!E19)/(Formula!C19+Formula!E19+Formula!G19+Formula!I19+Formula!K19))*(INDEX(Properties!A$1:CB$87,Formula!D19,55))+((Formula!G19)/(Formula!C19+Formula!E19+Formula!G19+Formula!I19+Formula!K19))*(INDEX(Properties!A$1:CB$87,Formula!F19,55))+((Formula!I19)/(Formula!C19+Formula!E19+Formula!G19+Formula!I19+Formula!K19))*(INDEX(Properties!A$1:CB$87,Formula!H19,55))+((Formula!K19)/(Formula!C19+Formula!E19+Formula!G19+Formula!I19+Formula!K19))*(INDEX(Properties!A$1:CB$87,Formula!J19,55))</f>
        <v>2.0488580000000001</v>
      </c>
      <c r="FI19" s="69">
        <f>Formula!C19*(INDEX(Properties!A$1:CB$87,Formula!B19,55))+Formula!E19*(INDEX(Properties!A$1:CB$87,Formula!D19,54))+Formula!G19*(INDEX(Properties!A$1:CB$87,Formula!F19,55))+Formula!I19*(INDEX(Properties!A$1:CB$87,Formula!H19,55))+Formula!K19*(INDEX(Properties!A$1:CB$87,Formula!J19,55))</f>
        <v>4282.9042899999995</v>
      </c>
      <c r="FJ19" s="69">
        <f>VARP(IF(INDEX(Properties!A$1:CB$87,Formula!B19,55)&lt;&gt;"",INDEX(Properties!A$1:CB$87,Formula!B19,55)),IF(INDEX(Properties!A$1:CB$87,Formula!D19,55)&lt;&gt;"",INDEX(Properties!A$1:CB$87,Formula!D19,55)),IF(INDEX(Properties!A$1:CB$87,Formula!F19,55)&lt;&gt;"",INDEX(Properties!A$1:CB$87,Formula!F19,55)),IF(INDEX(Properties!A$1:CB$87,Formula!H19,55)&lt;&gt;"",INDEX(Properties!A$1:CB$87,Formula!H19,55)),IF(INDEX(Properties!A$1:CB$87,Formula!J19,55)&lt;&gt;"",INDEX(Properties!A$1:CB$87,Formula!J19,55)))</f>
        <v>9.381644871184001</v>
      </c>
      <c r="FK19" s="69">
        <f>MAX(INDEX(Properties!A$1:CB$87,Formula!B19,55),INDEX(Properties!A$1:CB$87,Formula!D19,55),INDEX(Properties!A$1:CB$87,Formula!F19,55),INDEX(Properties!A$1:CB$87,Formula!H19,55),INDEX(Properties!A$1:CB$87,Formula!J19,55))</f>
        <v>7.9</v>
      </c>
      <c r="FL19" s="69">
        <f>MIN(IF(INDEX(Properties!A$1:CB$87,Formula!B19,55)=0,10^6,INDEX(Properties!A$1:CB$87,Formula!B19,55)),IF(INDEX(Properties!A$1:CB$87,Formula!D19,55)=0,10^6,INDEX(Properties!A$1:CB$87,Formula!D19,55)),IF(INDEX(Properties!A$1:CB$87,Formula!F19,55)=0,10^6,INDEX(Properties!A$1:CB$87,Formula!F19,55)),IF(INDEX(Properties!A$1:CB$87,Formula!H19,55)=0,10^6,INDEX(Properties!A$1:CB$87,Formula!H19,55)),IF(INDEX(Properties!A$1:CB$87,Formula!J19,55)=0,10^6,INDEX(Properties!A$1:CB$87,Formula!J19,55)))</f>
        <v>1.4300000000000001E-3</v>
      </c>
      <c r="FM19" s="69">
        <f t="shared" si="27"/>
        <v>7.8985700000000003</v>
      </c>
      <c r="FN19" s="42">
        <f>((Formula!C19)/(Formula!C19+Formula!E19+Formula!G19+Formula!I19+Formula!K19))*(INDEX(Properties!A$1:CB$87,Formula!B19,56))+((Formula!E19)/(Formula!C19+Formula!E19+Formula!G19+Formula!I19+Formula!K19))*(INDEX(Properties!A$1:CB$87,Formula!D19,56))+((Formula!G19)/(Formula!C19+Formula!E19+Formula!G19+Formula!I19+Formula!K19))*(INDEX(Properties!A$1:CB$87,Formula!F19,56))+((Formula!I19)/(Formula!C19+Formula!E19+Formula!G19+Formula!I19+Formula!K19))*(INDEX(Properties!A$1:CB$87,Formula!H19,56))+((Formula!K19)/(Formula!C19+Formula!E19+Formula!G19+Formula!I19+Formula!K19))*(INDEX(Properties!A$1:CB$87,Formula!J19,56))</f>
        <v>0.80200000000000005</v>
      </c>
      <c r="FO19" s="42">
        <f>Formula!C19*(INDEX(Properties!A$1:CB$87,Formula!B19,56))+Formula!E19*(INDEX(Properties!A$1:CB$87,Formula!D19,56))+Formula!G19*(INDEX(Properties!A$1:CB$87,Formula!F19,56))+Formula!I19*(INDEX(Properties!A$1:CB$87,Formula!H19,56))+Formula!K19*(INDEX(Properties!A$1:CB$87,Formula!J19,56))</f>
        <v>4.01</v>
      </c>
      <c r="FP19" s="42">
        <f>VARP(IF(INDEX(Properties!A$1:CB$87,Formula!B19,56)&lt;&gt;"",INDEX(Properties!A$1:CB$87,Formula!B19,56)),IF(INDEX(Properties!A$1:CB$87,Formula!D19,56)&lt;&gt;"",INDEX(Properties!A$1:CB$87,Formula!D19,56)),IF(INDEX(Properties!A$1:CB$87,Formula!F19,56)&lt;&gt;"",INDEX(Properties!A$1:CB$87,Formula!F19,56)),IF(INDEX(Properties!A$1:CB$87,Formula!H19,56)&lt;&gt;"",INDEX(Properties!A$1:CB$87,Formula!H19,56)),IF(INDEX(Properties!A$1:CB$87,Formula!J19,56)&lt;&gt;"",INDEX(Properties!A$1:CB$87,Formula!J19,56)))</f>
        <v>0.19958399999999998</v>
      </c>
      <c r="FQ19" s="42">
        <f>MAX(INDEX(Properties!A$1:CB$87,Formula!B19,56),INDEX(Properties!A$1:CB$87,Formula!D19,56),INDEX(Properties!A$1:CB$87,Formula!F19,56),INDEX(Properties!A$1:CB$87,Formula!H19,56),INDEX(Properties!A$1:CB$87,Formula!J19,56))</f>
        <v>1.02</v>
      </c>
      <c r="FR19" s="42">
        <f>MIN(IF(INDEX(Properties!A$1:CB$87,Formula!B19,56)=0,10^6,INDEX(Properties!A$1:CB$87,Formula!B19,56)),IF(INDEX(Properties!A$1:CB$87,Formula!D19,56)=0,10^6,INDEX(Properties!A$1:CB$87,Formula!D19,56)),IF(INDEX(Properties!A$1:CB$87,Formula!F19,56)=0,10^6,INDEX(Properties!A$1:CB$87,Formula!F19,56)),IF(INDEX(Properties!A$1:CB$87,Formula!H19,56)=0,10^6,INDEX(Properties!A$1:CB$87,Formula!H19,56)),IF(INDEX(Properties!A$1:CB$87,Formula!J19,56)=0,10^6,INDEX(Properties!A$1:CB$87,Formula!J19,56)))</f>
        <v>0.23</v>
      </c>
      <c r="FS19" s="42">
        <f t="shared" si="28"/>
        <v>0.79</v>
      </c>
      <c r="FT19" s="60">
        <f>((Formula!C19)/(Formula!C19+Formula!E19+Formula!G19+Formula!I19+Formula!K19))*(INDEX(Properties!A$1:CB$87,Formula!B19,57))+((Formula!E19)/(Formula!C19+Formula!E19+Formula!G19+Formula!I19+Formula!K19))*(INDEX(Properties!A$1:CB$87,Formula!D19,57))+((Formula!G19)/(Formula!C19+Formula!E19+Formula!G19+Formula!I19+Formula!K19))*(INDEX(Properties!A$1:CB$87,Formula!F19,57))+((Formula!I19)/(Formula!C19+Formula!E19+Formula!G19+Formula!I19+Formula!K19))*(INDEX(Properties!A$1:CB$87,Formula!H19,57))+((Formula!K19)/(Formula!C19+Formula!E19+Formula!G19+Formula!I19+Formula!K19))*(INDEX(Properties!A$1:CB$87,Formula!J19,57))</f>
        <v>12.183554000000001</v>
      </c>
      <c r="FU19" s="60">
        <f>Formula!C19*(INDEX(Properties!A$1:CB$87,Formula!B19,57))+Formula!E19*(INDEX(Properties!A$1:CB$87,Formula!D19,57))+Formula!G19*(INDEX(Properties!A$1:CB$87,Formula!F19,57))+Formula!I19*(INDEX(Properties!A$1:CB$87,Formula!H19,57))+Formula!K19*(INDEX(Properties!A$1:CB$87,Formula!J19,57))</f>
        <v>60.917769999999997</v>
      </c>
      <c r="FV19" s="60">
        <f>VARP(IF(INDEX(Properties!A$1:CB$87,Formula!B19,57)&lt;&gt;"",INDEX(Properties!A$1:CB$87,Formula!B19,57)),IF(INDEX(Properties!A$1:CB$87,Formula!D19,57)&lt;&gt;"",INDEX(Properties!A$1:CB$87,Formula!D19,57)),IF(INDEX(Properties!A$1:CB$87,Formula!F19,57)&lt;&gt;"",INDEX(Properties!A$1:CB$87,Formula!F19,57)),IF(INDEX(Properties!A$1:CB$87,Formula!H19,57)&lt;&gt;"",INDEX(Properties!A$1:CB$87,Formula!H19,57)),IF(INDEX(Properties!A$1:CB$87,Formula!J19,57)&lt;&gt;"",INDEX(Properties!A$1:CB$87,Formula!J19,57)))</f>
        <v>377.94104360929612</v>
      </c>
      <c r="FW19" s="60">
        <f>MAX(INDEX(Properties!A$1:CB$87,Formula!B19,57),INDEX(Properties!A$1:CB$87,Formula!D19,57),INDEX(Properties!A$1:CB$87,Formula!F19,57),INDEX(Properties!A$1:CB$87,Formula!H19,57),INDEX(Properties!A$1:CB$87,Formula!J19,57))</f>
        <v>50.2</v>
      </c>
      <c r="FX19" s="60">
        <f>MIN(IF(INDEX(Properties!A$1:CB$87,Formula!B19,57)=0,10^6,INDEX(Properties!A$1:CB$87,Formula!B19,57)),IF(INDEX(Properties!A$1:CB$87,Formula!D19,57)=0,10^6,INDEX(Properties!A$1:CB$87,Formula!D19,57)),IF(INDEX(Properties!A$1:CB$87,Formula!F19,57)=0,10^6,INDEX(Properties!A$1:CB$87,Formula!F19,57)),IF(INDEX(Properties!A$1:CB$87,Formula!H19,57)=0,10^6,INDEX(Properties!A$1:CB$87,Formula!H19,57)),IF(INDEX(Properties!A$1:CB$87,Formula!J19,57)=0,10^6,INDEX(Properties!A$1:CB$87,Formula!J19,57)))</f>
        <v>0.22259000000000001</v>
      </c>
      <c r="FY19" s="60">
        <f t="shared" si="29"/>
        <v>49.977410000000006</v>
      </c>
      <c r="FZ19" s="72">
        <f>((Formula!C19)/(Formula!C19+Formula!E19+Formula!G19+Formula!I19+Formula!K19))*(INDEX(Properties!A$1:CB$87,Formula!B19,60))+((Formula!E19)/(Formula!C19+Formula!E19+Formula!G19+Formula!I19+Formula!K19))*(INDEX(Properties!A$1:CB$87,Formula!D19,60))+((Formula!G19)/(Formula!C19+Formula!E19+Formula!G19+Formula!I19+Formula!K19))*(INDEX(Properties!A$1:CB$87,Formula!F19,60))+((Formula!I19)/(Formula!C19+Formula!E19+Formula!G19+Formula!I19+Formula!K19))*(INDEX(Properties!A$1:CB$87,Formula!H19,60))+((Formula!K19)/(Formula!C19+Formula!E19+Formula!G19+Formula!I19+Formula!K19))*(INDEX(Properties!A$1:CB$87,Formula!J19,60))</f>
        <v>7.5360440000000004</v>
      </c>
      <c r="GA19" s="72">
        <f>Formula!C19*(INDEX(Properties!A$1:CB$87,Formula!B19,60))+Formula!E19*(INDEX(Properties!A$1:CB$87,Formula!D19,60))+Formula!G19*(INDEX(Properties!A$1:CB$87,Formula!F19,60))+Formula!I19*(INDEX(Properties!A$1:CB$87,Formula!H19,60))+Formula!K19*(INDEX(Properties!A$1:CB$87,Formula!J19,60))</f>
        <v>37.680219999999998</v>
      </c>
      <c r="GB19" s="72">
        <f>VARP(IF(INDEX(Properties!A$1:CB$87,Formula!B19,60)&lt;&gt;"",INDEX(Properties!A$1:CB$87,Formula!B19,60)),IF(INDEX(Properties!A$1:CB$87,Formula!D19,60)&lt;&gt;"",INDEX(Properties!A$1:CB$87,Formula!D19,60)),IF(INDEX(Properties!A$1:CB$87,Formula!F19,60)&lt;&gt;"",INDEX(Properties!A$1:CB$87,Formula!F19,60)),IF(INDEX(Properties!A$1:CB$87,Formula!H19,60)&lt;&gt;"",INDEX(Properties!A$1:CB$87,Formula!H19,60)),IF(INDEX(Properties!A$1:CB$87,Formula!J19,60)&lt;&gt;"",INDEX(Properties!A$1:CB$87,Formula!J19,60)))</f>
        <v>111.64128048441601</v>
      </c>
      <c r="GC19" s="72">
        <f>MAX(INDEX(Properties!A$1:CB$87,Formula!B19,60),INDEX(Properties!A$1:CB$87,Formula!D19,60),INDEX(Properties!A$1:CB$87,Formula!F19,60),INDEX(Properties!A$1:CB$87,Formula!H19,60),INDEX(Properties!A$1:CB$87,Formula!J19,60))</f>
        <v>27</v>
      </c>
      <c r="GD19" s="72">
        <f>MIN(IF(INDEX(Properties!A$1:CB$87,Formula!B19,60)=0,10^6,INDEX(Properties!A$1:CB$87,Formula!B19,60)),IF(INDEX(Properties!A$1:CB$87,Formula!D19,60)=0,10^6,INDEX(Properties!A$1:CB$87,Formula!D19,60)),IF(INDEX(Properties!A$1:CB$87,Formula!F19,60)=0,10^6,INDEX(Properties!A$1:CB$87,Formula!F19,60)),IF(INDEX(Properties!A$1:CB$87,Formula!H19,60)=0,10^6,INDEX(Properties!A$1:CB$87,Formula!H19,60)),IF(INDEX(Properties!A$1:CB$87,Formula!J19,60)=0,10^6,INDEX(Properties!A$1:CB$87,Formula!J19,60)))</f>
        <v>2.674E-2</v>
      </c>
      <c r="GE19" s="72">
        <f t="shared" si="30"/>
        <v>26.97326</v>
      </c>
      <c r="GF19" s="51">
        <f>((Formula!C19)/(Formula!C19+Formula!E19+Formula!G19+Formula!I19+Formula!K19))*(INDEX(Properties!A$1:CB$87,Formula!B19,62))+((Formula!E19)/(Formula!C19+Formula!E19+Formula!G19+Formula!I19+Formula!K19))*(INDEX(Properties!A$1:CB$87,Formula!D19,62))+((Formula!G19)/(Formula!C19+Formula!E19+Formula!G19+Formula!I19+Formula!K19))*(INDEX(Properties!A$1:CB$87,Formula!F19,62))+((Formula!I19)/(Formula!C19+Formula!E19+Formula!G19+Formula!I19+Formula!K19))*(INDEX(Properties!A$1:CB$87,Formula!H19,62))+((Formula!K19)/(Formula!C19+Formula!E19+Formula!G19+Formula!I19+Formula!K19))*(INDEX(Properties!A$1:CB$87,Formula!J19,62))</f>
        <v>3.5619999999999998</v>
      </c>
      <c r="GG19" s="51">
        <f>Formula!C19*(INDEX(Properties!A$1:CB$87,Formula!B19,62))+Formula!E19*(INDEX(Properties!A$1:CB$87,Formula!D19,62))+Formula!G19*(INDEX(Properties!A$1:CB$87,Formula!F19,62))+Formula!I19*(INDEX(Properties!A$1:CB$87,Formula!H19,62))+Formula!K19*(INDEX(Properties!A$1:CB$87,Formula!J19,62))</f>
        <v>17.809999999999999</v>
      </c>
      <c r="GH19" s="51">
        <f>VARP(IF(INDEX(Properties!A$1:CB$87,Formula!B19,62)&lt;&gt;"",INDEX(Properties!A$1:CB$87,Formula!B19,62)),IF(INDEX(Properties!A$1:CB$87,Formula!D19,62)&lt;&gt;"",INDEX(Properties!A$1:CB$87,Formula!D19,62)),IF(INDEX(Properties!A$1:CB$87,Formula!F19,62)&lt;&gt;"",INDEX(Properties!A$1:CB$87,Formula!F19,62)),IF(INDEX(Properties!A$1:CB$87,Formula!H19,62)&lt;&gt;"",INDEX(Properties!A$1:CB$87,Formula!H19,62)),IF(INDEX(Properties!A$1:CB$87,Formula!J19,62)&lt;&gt;"",INDEX(Properties!A$1:CB$87,Formula!J19,62)))</f>
        <v>5.2318239999999969</v>
      </c>
      <c r="GI19" s="51">
        <f>MAX(INDEX(Properties!A$1:CB$87,Formula!B19,62),INDEX(Properties!A$1:CB$87,Formula!D19,62),INDEX(Properties!A$1:CB$87,Formula!F19,62),INDEX(Properties!A$1:CB$87,Formula!H19,62),INDEX(Properties!A$1:CB$87,Formula!J19,62))</f>
        <v>5.81</v>
      </c>
      <c r="GJ19" s="51">
        <f>MIN(IF(INDEX(Properties!A$1:CB$87,Formula!B19,62)=0,10^6,INDEX(Properties!A$1:CB$87,Formula!B19,62)),IF(INDEX(Properties!A$1:CB$87,Formula!D19,62)=0,10^6,INDEX(Properties!A$1:CB$87,Formula!D19,62)),IF(INDEX(Properties!A$1:CB$87,Formula!F19,62)=0,10^6,INDEX(Properties!A$1:CB$87,Formula!F19,62)),IF(INDEX(Properties!A$1:CB$87,Formula!H19,62)=0,10^6,INDEX(Properties!A$1:CB$87,Formula!H19,62)),IF(INDEX(Properties!A$1:CB$87,Formula!J19,62)=0,10^6,INDEX(Properties!A$1:CB$87,Formula!J19,62)))</f>
        <v>2.62</v>
      </c>
      <c r="GK19" s="51">
        <f t="shared" si="31"/>
        <v>3.1899999999999995</v>
      </c>
      <c r="GL19" s="51">
        <f>Formula!P19</f>
        <v>15</v>
      </c>
      <c r="GM19" s="57">
        <f>Formula!O19</f>
        <v>2</v>
      </c>
      <c r="GN19" s="51">
        <f>Formula!N19</f>
        <v>0.1</v>
      </c>
    </row>
    <row r="20" spans="1:196" s="5" customFormat="1" x14ac:dyDescent="0.3">
      <c r="A20" s="84" t="str">
        <f>Formula!A20</f>
        <v>Sr2GdTaO6</v>
      </c>
      <c r="B20" s="89">
        <f>((Formula!C20)/(Formula!C20+Formula!E20+Formula!G20+Formula!I20+Formula!K20))*(INDEX(Properties!A$1:CB$87,Formula!B20,3))+((Formula!E20)/(Formula!C20+Formula!E20+Formula!G20+Formula!I20+Formula!K20))*(INDEX(Properties!A$1:CB$87,Formula!D20,3))+((Formula!G20)/(Formula!C20+Formula!E20+Formula!G20+Formula!I20+Formula!K20))*(INDEX(Properties!A$1:CB$87,Formula!F20,3))+((Formula!I20)/(Formula!C20+Formula!E20+Formula!G20+Formula!I20+Formula!K20))*(INDEX(Properties!A$1:CB$87,Formula!H20,3))+((Formula!K20)/(Formula!C20+Formula!E20+Formula!G20+Formula!I20+Formula!K20))*(INDEX(Properties!A$1:CB$87,Formula!J20,3))</f>
        <v>60.943429999999999</v>
      </c>
      <c r="C20" s="85">
        <f>Formula!C20*(INDEX(Properties!A$1:CB$87,Formula!B20,3))+Formula!E20*(INDEX(Properties!A$1:CB$87,Formula!D20,3))+Formula!G20*(INDEX(Properties!A$1:CB$87,Formula!F20,3))+Formula!I20*(INDEX(Properties!A$1:CB$87,Formula!H20,3))+Formula!K20*(INDEX(Properties!A$1:CB$87,Formula!J20,3))</f>
        <v>609.43430000000001</v>
      </c>
      <c r="D20" s="85">
        <f>VARP(IF(INDEX(Properties!A$1:CB$87,Formula!B20,3)&lt;&gt;"",INDEX(Properties!A$1:CB$87,Formula!B20,3)),IF(INDEX(Properties!A$1:CB$87,Formula!D20,3)&lt;&gt;"",INDEX(Properties!A$1:CB$87,Formula!D20,3)),IF(INDEX(Properties!A$1:CB$87,Formula!F20,3)&lt;&gt;"",INDEX(Properties!A$1:CB$87,Formula!F20,3)),IF(INDEX(Properties!A$1:CB$87,Formula!H20,3)&lt;&gt;"",INDEX(Properties!A$1:CB$87,Formula!H20,3)),IF(INDEX(Properties!A$1:CB$87,Formula!J20,3)&lt;&gt;"",INDEX(Properties!A$1:CB$87,Formula!J20,3)))</f>
        <v>5272.4889797824017</v>
      </c>
      <c r="E20" s="85">
        <f>MAX(INDEX(Properties!A$1:CB$87,Formula!B20,3),INDEX(Properties!A$1:CB$87,Formula!D20,3),INDEX(Properties!A$1:CB$87,Formula!F20,3),INDEX(Properties!A$1:CB$87,Formula!H20,3),INDEX(Properties!A$1:CB$87,Formula!J20,3))</f>
        <v>180.9479</v>
      </c>
      <c r="F20" s="85">
        <f>MIN(IF(INDEX(Properties!A$1:CB$87,Formula!B20,3)=0,10^6,INDEX(Properties!A$1:CB$87,Formula!B20,3)),IF(INDEX(Properties!A$1:CB$87,Formula!D20,3)=0,10^6,INDEX(Properties!A$1:CB$87,Formula!D20,3)),IF(INDEX(Properties!A$1:CB$87,Formula!F20,3)=0,10^6,INDEX(Properties!A$1:CB$87,Formula!F20,3)),IF(INDEX(Properties!A$1:CB$87,Formula!H20,3)=0,10^6,INDEX(Properties!A$1:CB$87,Formula!H20,3)),IF(INDEX(Properties!A$1:CB$87,Formula!J20,3)=0,10^6,INDEX(Properties!A$1:CB$87,Formula!J20,3)))</f>
        <v>15.9994</v>
      </c>
      <c r="G20" s="85">
        <f t="shared" si="0"/>
        <v>164.9485</v>
      </c>
      <c r="H20" s="87">
        <f>((Formula!C20)/(Formula!C20+Formula!E20+Formula!G20+Formula!I20+Formula!K20))*(INDEX(Properties!A$1:CB$87,Formula!B20,4))+((Formula!E20)/(Formula!C20+Formula!E20+Formula!G20+Formula!I20+Formula!K20))*(INDEX(Properties!A$1:CB$87,Formula!D20,4))+((Formula!G20)/(Formula!C20+Formula!E20+Formula!G20+Formula!I20+Formula!K20))*(INDEX(Properties!A$1:CB$87,Formula!F20,4))+((Formula!I20)/(Formula!C20+Formula!E20+Formula!G20+Formula!I20+Formula!K20))*(INDEX(Properties!A$1:CB$87,Formula!H20,4))+((Formula!K20)/(Formula!C20+Formula!E20+Formula!G20+Formula!I20+Formula!K20))*(INDEX(Properties!A$1:CB$87,Formula!J20,4))</f>
        <v>26.1</v>
      </c>
      <c r="I20" s="87">
        <f>Formula!C20*(INDEX(Properties!A$1:CB$87,Formula!B20,4))+Formula!E20*(INDEX(Properties!A$1:CB$87,Formula!D20,4))+Formula!G20*(INDEX(Properties!A$1:CB$87,Formula!F20,4))+Formula!I20*(INDEX(Properties!A$1:CB$87,Formula!H20,4))+Formula!K20*(INDEX(Properties!A$1:CB$87,Formula!J20,4))</f>
        <v>261</v>
      </c>
      <c r="J20" s="87">
        <f>VARP(IF(INDEX(Properties!A$1:CB$87,Formula!B20,4)&lt;&gt;"",INDEX(Properties!A$1:CB$87,Formula!B20,4)),IF(INDEX(Properties!A$1:CB$87,Formula!D20,4)&lt;&gt;"",INDEX(Properties!A$1:CB$87,Formula!D20,4)),IF(INDEX(Properties!A$1:CB$87,Formula!F20,4)&lt;&gt;"",INDEX(Properties!A$1:CB$87,Formula!F20,4)),IF(INDEX(Properties!A$1:CB$87,Formula!H20,4)&lt;&gt;"",INDEX(Properties!A$1:CB$87,Formula!H20,4)),IF(INDEX(Properties!A$1:CB$87,Formula!J20,4)&lt;&gt;"",INDEX(Properties!A$1:CB$87,Formula!J20,4)))</f>
        <v>847.04</v>
      </c>
      <c r="K20" s="87">
        <f>MAX(INDEX(Properties!A$1:CB$87,Formula!B20,4),INDEX(Properties!A$1:CB$87,Formula!D20,4),INDEX(Properties!A$1:CB$87,Formula!F20,4),INDEX(Properties!A$1:CB$87,Formula!H20,4),INDEX(Properties!A$1:CB$87,Formula!J20,4))</f>
        <v>73</v>
      </c>
      <c r="L20" s="87">
        <f>MIN(IF(INDEX(Properties!A$1:CB$87,Formula!B20,4)=0,10^6,INDEX(Properties!A$1:CB$87,Formula!B20,4)),IF(INDEX(Properties!A$1:CB$87,Formula!D20,4)=0,10^6,INDEX(Properties!A$1:CB$87,Formula!D20,4)),IF(INDEX(Properties!A$1:CB$87,Formula!F20,4)=0,10^6,INDEX(Properties!A$1:CB$87,Formula!F20,4)),IF(INDEX(Properties!A$1:CB$87,Formula!H20,4)=0,10^6,INDEX(Properties!A$1:CB$87,Formula!H20,4)),IF(INDEX(Properties!A$1:CB$87,Formula!J20,4)=0,10^6,INDEX(Properties!A$1:CB$87,Formula!J20,4)))</f>
        <v>8</v>
      </c>
      <c r="M20" s="87">
        <f t="shared" si="1"/>
        <v>65</v>
      </c>
      <c r="N20" s="89">
        <f>((Formula!C20)/(Formula!C20+Formula!E20+Formula!G20+Formula!I20+Formula!K20))*(INDEX(Properties!A$1:CB$87,Formula!B20,5))+((Formula!E20)/(Formula!C20+Formula!E20+Formula!G20+Formula!I20+Formula!K20))*(INDEX(Properties!A$1:CB$87,Formula!D20,5))+((Formula!G20)/(Formula!C20+Formula!E20+Formula!G20+Formula!I20+Formula!K20))*(INDEX(Properties!A$1:CB$87,Formula!F20,5))+((Formula!I20)/(Formula!C20+Formula!E20+Formula!G20+Formula!I20+Formula!K20))*(INDEX(Properties!A$1:CB$87,Formula!H20,5))+((Formula!K20)/(Formula!C20+Formula!E20+Formula!G20+Formula!I20+Formula!K20))*(INDEX(Properties!A$1:CB$87,Formula!J20,5))</f>
        <v>3.4000000000000004</v>
      </c>
      <c r="O20" s="89">
        <f>Formula!C20*(INDEX(Properties!A$1:CB$87,Formula!B20,5))+Formula!E20*(INDEX(Properties!A$1:CB$87,Formula!D20,5))+Formula!G20*(INDEX(Properties!A$1:CB$87,Formula!F20,5))+Formula!I20*(INDEX(Properties!A$1:CB$87,Formula!H20,5))+Formula!K20*(INDEX(Properties!A$1:CB$87,Formula!J20,5))</f>
        <v>34</v>
      </c>
      <c r="P20" s="89">
        <f>VARP(IF(INDEX(Properties!A$1:CB$87,Formula!B20,5)&lt;&gt;"",INDEX(Properties!A$1:CB$87,Formula!B20,5)),IF(INDEX(Properties!A$1:CB$87,Formula!D20,5)&lt;&gt;"",INDEX(Properties!A$1:CB$87,Formula!D20,5)),IF(INDEX(Properties!A$1:CB$87,Formula!F20,5)&lt;&gt;"",INDEX(Properties!A$1:CB$87,Formula!F20,5)),IF(INDEX(Properties!A$1:CB$87,Formula!H20,5)&lt;&gt;"",INDEX(Properties!A$1:CB$87,Formula!H20,5)),IF(INDEX(Properties!A$1:CB$87,Formula!J20,5)&lt;&gt;"",INDEX(Properties!A$1:CB$87,Formula!J20,5)))</f>
        <v>5.76</v>
      </c>
      <c r="Q20" s="89">
        <f>MAX(INDEX(Properties!A$1:CB$87,Formula!B20,5),INDEX(Properties!A$1:CB$87,Formula!D20,5),INDEX(Properties!A$1:CB$87,Formula!F20,5),INDEX(Properties!A$1:CB$87,Formula!H20,5),INDEX(Properties!A$1:CB$87,Formula!J20,5))</f>
        <v>6</v>
      </c>
      <c r="R20" s="89">
        <f>MIN(IF(INDEX(Properties!A$1:CB$87,Formula!B20,5)=0,10^6,INDEX(Properties!A$1:CB$87,Formula!B20,5)),IF(INDEX(Properties!A$1:CB$87,Formula!D20,5)=0,10^6,INDEX(Properties!A$1:CB$87,Formula!D20,5)),IF(INDEX(Properties!A$1:CB$87,Formula!F20,5)=0,10^6,INDEX(Properties!A$1:CB$87,Formula!F20,5)),IF(INDEX(Properties!A$1:CB$87,Formula!H20,5)=0,10^6,INDEX(Properties!A$1:CB$87,Formula!H20,5)),IF(INDEX(Properties!A$1:CB$87,Formula!J20,5)=0,10^6,INDEX(Properties!A$1:CB$87,Formula!J20,5)))</f>
        <v>2</v>
      </c>
      <c r="S20" s="89">
        <f t="shared" si="2"/>
        <v>4</v>
      </c>
      <c r="T20" s="60">
        <f>((Formula!C20)/(Formula!C20+Formula!E20+Formula!G20+Formula!I20+Formula!K20))*(INDEX(Properties!A$1:CB$87,Formula!B20,6))+((Formula!E20)/(Formula!C20+Formula!E20+Formula!G20+Formula!I20+Formula!K20))*(INDEX(Properties!A$1:CB$87,Formula!D20,6))+((Formula!G20)/(Formula!C20+Formula!E20+Formula!G20+Formula!I20+Formula!K20))*(INDEX(Properties!A$1:CB$87,Formula!F20,6))+((Formula!I20)/(Formula!C20+Formula!E20+Formula!G20+Formula!I20+Formula!K20))*(INDEX(Properties!A$1:CB$87,Formula!H20,6))+((Formula!K20)/(Formula!C20+Formula!E20+Formula!G20+Formula!I20+Formula!K20))*(INDEX(Properties!A$1:CB$87,Formula!J20,6))</f>
        <v>10.8</v>
      </c>
      <c r="U20" s="60">
        <f>Formula!C20*(INDEX(Properties!A$1:CB$87,Formula!B20,6))+Formula!E20*(INDEX(Properties!A$1:CB$87,Formula!D20,6))+Formula!G20*(INDEX(Properties!A$1:CB$87,Formula!F20,6))+Formula!I20*(INDEX(Properties!A$1:CB$87,Formula!H20,6))+Formula!K20*(INDEX(Properties!A$1:CB$87,Formula!J20,6))</f>
        <v>108</v>
      </c>
      <c r="V20" s="89">
        <f>VARP(IF(INDEX(Properties!A$1:CB$87,Formula!B20,6)&lt;&gt;"",INDEX(Properties!A$1:CB$87,Formula!B20,6)),IF(INDEX(Properties!A$1:CB$87,Formula!D20,6)&lt;&gt;"",INDEX(Properties!A$1:CB$87,Formula!D20,6)),IF(INDEX(Properties!A$1:CB$87,Formula!F20,6)&lt;&gt;"",INDEX(Properties!A$1:CB$87,Formula!F20,6)),IF(INDEX(Properties!A$1:CB$87,Formula!H20,6)&lt;&gt;"",INDEX(Properties!A$1:CB$87,Formula!H20,6)),IF(INDEX(Properties!A$1:CB$87,Formula!J20,6)&lt;&gt;"",INDEX(Properties!A$1:CB$87,Formula!J20,6)))</f>
        <v>31.76</v>
      </c>
      <c r="W20" s="60">
        <f>MAX(INDEX(Properties!A$1:CB$87,Formula!B20,6),INDEX(Properties!A$1:CB$87,Formula!D20,6),INDEX(Properties!A$1:CB$87,Formula!F20,6),INDEX(Properties!A$1:CB$87,Formula!H20,4),INDEX(Properties!A$1:CB$87,Formula!J20,6))</f>
        <v>8</v>
      </c>
      <c r="X20" s="60">
        <f>MIN(IF(INDEX(Properties!A$1:CB$87,Formula!B20,6)=0,10^6,INDEX(Properties!A$1:CB$87,Formula!B20,6)),IF(INDEX(Properties!A$1:CB$87,Formula!D20,6)=0,10^6,INDEX(Properties!A$1:CB$87,Formula!D20,6)),IF(INDEX(Properties!A$1:CB$87,Formula!F20,6)=0,10^6,INDEX(Properties!A$1:CB$87,Formula!F20,6)),IF(INDEX(Properties!A$1:CB$87,Formula!H20,6)=0,10^6,INDEX(Properties!A$1:CB$87,Formula!H20,6)),IF(INDEX(Properties!A$1:CB$87,Formula!J20,6)=0,10^6,INDEX(Properties!A$1:CB$87,Formula!J20,6)))</f>
        <v>2</v>
      </c>
      <c r="Y20" s="60">
        <f t="shared" si="3"/>
        <v>6</v>
      </c>
      <c r="Z20" s="72">
        <f>((Formula!C20)/(Formula!C20+Formula!E20+Formula!G20+Formula!I20+Formula!K20))*(INDEX(Properties!A$1:CB$87,Formula!B20,9))+((Formula!E20)/(Formula!C20+Formula!E20+Formula!G20+Formula!I20+Formula!K20))*(INDEX(Properties!A$1:CB$87,Formula!D20,9))+((Formula!G20)/(Formula!C20+Formula!E20+Formula!G20+Formula!I20+Formula!K20))*(INDEX(Properties!A$1:CB$87,Formula!F20,9))+((Formula!I20)/(Formula!C20+Formula!E20+Formula!G20+Formula!I20+Formula!K20))*(INDEX(Properties!A$1:CB$87,Formula!H20,9))+((Formula!K20)/(Formula!C20+Formula!E20+Formula!G20+Formula!I20+Formula!K20))*(INDEX(Properties!A$1:CB$87,Formula!J20,9))</f>
        <v>61.3</v>
      </c>
      <c r="AA20" s="72">
        <f>Formula!C20*(INDEX(Properties!A$1:CB$87,Formula!B20,9))+Formula!E20*(INDEX(Properties!A$1:CB$87,Formula!D20,9))+Formula!G20*(INDEX(Properties!A$1:CB$87,Formula!F20,9))+Formula!I20*(INDEX(Properties!A$1:CB$87,Formula!H20,9))+Formula!K20*(INDEX(Properties!A$1:CB$87,Formula!J20,9))</f>
        <v>613</v>
      </c>
      <c r="AB20" s="72">
        <f>VARP(IF(INDEX(Properties!A$1:CB$87,Formula!B20,9)&lt;&gt;"",INDEX(Properties!A$1:CB$87,Formula!B20,9)),IF(INDEX(Properties!A$1:CB$87,Formula!D20,9)&lt;&gt;"",INDEX(Properties!A$1:CB$87,Formula!D20,9)),IF(INDEX(Properties!A$1:CB$87,Formula!F20,9)&lt;&gt;"",INDEX(Properties!A$1:CB$87,Formula!F20,9)),IF(INDEX(Properties!A$1:CB$87,Formula!H20,9)&lt;&gt;"",INDEX(Properties!A$1:CB$87,Formula!H20,9)),IF(INDEX(Properties!A$1:CB$87,Formula!J20,9)&lt;&gt;"",INDEX(Properties!A$1:CB$87,Formula!J20,9)))</f>
        <v>977.2</v>
      </c>
      <c r="AC20" s="72">
        <f>MAX(INDEX(Properties!A$1:CB$87,Formula!B20,9),INDEX(Properties!A$1:CB$87,Formula!D20,9),INDEX(Properties!A$1:CB$87,Formula!F20,9),INDEX(Properties!A$1:CB$87,Formula!H20,9),INDEX(Properties!A$1:CB$87,Formula!J20,9))</f>
        <v>87</v>
      </c>
      <c r="AD20" s="72">
        <f>MIN(IF(INDEX(Properties!A$1:CB$87,Formula!B20,9)=0,10^6,INDEX(Properties!A$1:CB$87,Formula!B20,9)),IF(INDEX(Properties!A$1:CB$87,Formula!D20,9)=0,10^6,INDEX(Properties!A$1:CB$87,Formula!D20,9)),IF(INDEX(Properties!A$1:CB$87,Formula!F20,9)=0,10^6,INDEX(Properties!A$1:CB$87,Formula!F20,9)),IF(INDEX(Properties!A$1:CB$87,Formula!H20,9)=0,10^6,INDEX(Properties!A$1:CB$87,Formula!H20,9)),IF(INDEX(Properties!A$1:CB$87,Formula!J20,9)=0,10^6,INDEX(Properties!A$1:CB$87,Formula!J20,9)))</f>
        <v>8</v>
      </c>
      <c r="AE20" s="72">
        <f t="shared" si="4"/>
        <v>79</v>
      </c>
      <c r="AF20" s="51">
        <f>((Formula!C20)/(Formula!C20+Formula!E20+Formula!G20+Formula!I20+Formula!K20))*(INDEX(Properties!A$1:CB$87,Formula!B20,10))+((Formula!E20)/(Formula!C20+Formula!E20+Formula!G20+Formula!I20+Formula!K20))*(INDEX(Properties!A$1:CB$87,Formula!D20,10))+((Formula!G20)/(Formula!C20+Formula!E20+Formula!G20+Formula!I20+Formula!K20))*(INDEX(Properties!A$1:CB$87,Formula!F20,10))+((Formula!I20)/(Formula!C20+Formula!E20+Formula!G20+Formula!I20+Formula!K20))*(INDEX(Properties!A$1:CB$87,Formula!H20,10))+((Formula!K20)/(Formula!C20+Formula!E20+Formula!G20+Formula!I20+Formula!K20))*(INDEX(Properties!A$1:CB$87,Formula!J20,10))</f>
        <v>5.3000000000000007</v>
      </c>
      <c r="AG20" s="51">
        <f>Formula!C20*(INDEX(Properties!A$1:CB$87,Formula!B20,10))+Formula!E20*(INDEX(Properties!A$1:CB$87,Formula!D20,10))+Formula!G20*(INDEX(Properties!A$1:CB$87,Formula!F20,10))+Formula!I20*(INDEX(Properties!A$1:CB$87,Formula!H20,10))+Formula!K20*(INDEX(Properties!A$1:CB$87,Formula!J20,10))</f>
        <v>53</v>
      </c>
      <c r="AH20" s="51">
        <f>VARP(IF(INDEX(Properties!A$1:CB$87,Formula!B20,10)&lt;&gt;"",INDEX(Properties!A$1:CB$87,Formula!B20,10)),IF(INDEX(Properties!A$1:CB$87,Formula!D20,10)&lt;&gt;"",INDEX(Properties!A$1:CB$87,Formula!D20,10)),IF(INDEX(Properties!A$1:CB$87,Formula!F20,10)&lt;&gt;"",INDEX(Properties!A$1:CB$87,Formula!F20,10)),IF(INDEX(Properties!A$1:CB$87,Formula!H20,10)&lt;&gt;"",INDEX(Properties!A$1:CB$87,Formula!H20,10)),IF(INDEX(Properties!A$1:CB$87,Formula!J20,10)&lt;&gt;"",INDEX(Properties!A$1:CB$87,Formula!J20,10)))</f>
        <v>5.36</v>
      </c>
      <c r="AI20" s="51">
        <f>MAX(INDEX(Properties!A$1:CB$87,Formula!B20,10),INDEX(Properties!A$1:CB$87,Formula!D20,10),INDEX(Properties!A$1:CB$87,Formula!F20,10),INDEX(Properties!A$1:CB$87,Formula!H20,10),INDEX(Properties!A$1:CB$87,Formula!J20,10))</f>
        <v>7</v>
      </c>
      <c r="AJ20" s="51">
        <f>MIN(IF(INDEX(Properties!A$1:CB$87,Formula!B20,10)=0,10^6,INDEX(Properties!A$1:CB$87,Formula!B20,10)),IF(INDEX(Properties!A$1:CB$87,Formula!D20,10)=0,10^6,INDEX(Properties!A$1:CB$87,Formula!D20,10)),IF(INDEX(Properties!A$1:CB$87,Formula!F20,10)=0,10^6,INDEX(Properties!A$1:CB$87,Formula!F20,10)),IF(INDEX(Properties!A$1:CB$87,Formula!H20,10)=0,10^6,INDEX(Properties!A$1:CB$87,Formula!H20,10)),IF(INDEX(Properties!A$1:CB$87,Formula!J20,10)=0,10^6,INDEX(Properties!A$1:CB$87,Formula!J20,10)))</f>
        <v>2</v>
      </c>
      <c r="AK20" s="51">
        <f t="shared" si="5"/>
        <v>5</v>
      </c>
      <c r="AL20" s="57">
        <f>((Formula!C20)/(Formula!C20+Formula!E20+Formula!G20+Formula!I20+Formula!K20))*(INDEX(Properties!A$1:CB$87,Formula!B20,11))+((Formula!E20)/(Formula!C20+Formula!E20+Formula!G20+Formula!I20+Formula!K20))*(INDEX(Properties!A$1:CB$87,Formula!D20,11))+((Formula!G20)/(Formula!C20+Formula!E20+Formula!G20+Formula!I20+Formula!K20))*(INDEX(Properties!A$1:CB$87,Formula!F20,11))+((Formula!I20)/(Formula!C20+Formula!E20+Formula!G20+Formula!I20+Formula!K20))*(INDEX(Properties!A$1:CB$87,Formula!H20,11))+((Formula!K20)/(Formula!C20+Formula!E20+Formula!G20+Formula!I20+Formula!K20))*(INDEX(Properties!A$1:CB$87,Formula!J20,11))</f>
        <v>2</v>
      </c>
      <c r="AM20" s="57">
        <f>Formula!C20*(INDEX(Properties!A$1:CB$87,Formula!B20,11))+Formula!E20*(INDEX(Properties!A$1:CB$87,Formula!D20,11))+Formula!G20*(INDEX(Properties!A$1:CB$87,Formula!F20,11))+Formula!I20*(INDEX(Properties!A$1:CB$87,Formula!H20,11))+Formula!K20*(INDEX(Properties!A$1:CB$87,Formula!J20,11))</f>
        <v>20</v>
      </c>
      <c r="AN20" s="57">
        <f>VARP(IF(INDEX(Properties!A$1:CB$87,Formula!B20,11)&lt;&gt;"",INDEX(Properties!A$1:CB$87,Formula!B20,11)),IF(INDEX(Properties!A$1:CB$87,Formula!D20,11)&lt;&gt;"",INDEX(Properties!A$1:CB$87,Formula!D20,11)),IF(INDEX(Properties!A$1:CB$87,Formula!F20,11)&lt;&gt;"",INDEX(Properties!A$1:CB$87,Formula!F20,11)),IF(INDEX(Properties!A$1:CB$87,Formula!H20,11)&lt;&gt;"",INDEX(Properties!A$1:CB$87,Formula!H20,11)),IF(INDEX(Properties!A$1:CB$87,Formula!J20,11)&lt;&gt;"",INDEX(Properties!A$1:CB$87,Formula!J20,11)))</f>
        <v>0.64</v>
      </c>
      <c r="AO20" s="57">
        <f>MAX(INDEX(Properties!A$1:CB$87,Formula!B20,11),INDEX(Properties!A$1:CB$87,Formula!D20,11),INDEX(Properties!A$1:CB$87,Formula!F20,11),INDEX(Properties!A$1:CB$87,Formula!H20,11),INDEX(Properties!A$1:CB$87,Formula!J20,11))</f>
        <v>2</v>
      </c>
      <c r="AP20" s="57">
        <f>MIN(IF(Formula!B20=87,10^6,INDEX(Properties!A$1:CB$87,Formula!B20,11)),IF((Formula!D20)=87,10^6,INDEX(Properties!A$1:CB$87,Formula!D20,11)),IF((Formula!F20)=87,10^6,INDEX(Properties!A$1:CB$87,Formula!F20,11)),IF((Formula!H20)=87,10^6,INDEX(Properties!A$1:CB$87,Formula!H20,11)),IF(Formula!J20=87,10^6,INDEX(Properties!A$1:CB$87,Formula!J20,11)))</f>
        <v>2</v>
      </c>
      <c r="AQ20" s="57">
        <f t="shared" si="6"/>
        <v>0</v>
      </c>
      <c r="AR20" s="78">
        <f>((Formula!C20)/(Formula!C20+Formula!E20+Formula!G20+Formula!I20+Formula!K20))*(INDEX(Properties!A$1:CB$87,Formula!B20,12))+((Formula!E20)/(Formula!C20+Formula!E20+Formula!G20+Formula!I20+Formula!K20))*(INDEX(Properties!A$1:CB$87,Formula!D20,12))+((Formula!G20)/(Formula!C20+Formula!E20+Formula!G20+Formula!I20+Formula!K20))*(INDEX(Properties!A$1:CB$87,Formula!F20,12))+((Formula!I20)/(Formula!C20+Formula!E20+Formula!G20+Formula!I20+Formula!K20))*(INDEX(Properties!A$1:CB$87,Formula!H20,12))+((Formula!K20)/(Formula!C20+Formula!E20+Formula!G20+Formula!I20+Formula!K20))*(INDEX(Properties!A$1:CB$87,Formula!J20,12))</f>
        <v>2.4</v>
      </c>
      <c r="AS20" s="78">
        <f>Formula!C20*(INDEX(Properties!A$1:CB$87,Formula!B20,12))+Formula!E20*(INDEX(Properties!A$1:CB$87,Formula!D20,12))+Formula!G20*(INDEX(Properties!A$1:CB$87,Formula!F20,12))+Formula!I20*(INDEX(Properties!A$1:CB$87,Formula!H20,12))+Formula!K20*(INDEX(Properties!A$1:CB$87,Formula!J20,12))</f>
        <v>24</v>
      </c>
      <c r="AT20" s="78">
        <f>VARP(IF(INDEX(Properties!A$1:CB$87,Formula!B20,12)&lt;&gt;"",INDEX(Properties!A$1:CB$87,Formula!B20,12)),IF(INDEX(Properties!A$1:CB$87,Formula!D20,12)&lt;&gt;"",INDEX(Properties!A$1:CB$87,Formula!D20,12)),IF(INDEX(Properties!A$1:CB$87,Formula!F20,12)&lt;&gt;"",INDEX(Properties!A$1:CB$87,Formula!F20,12)),IF(INDEX(Properties!A$1:CB$87,Formula!H20,12)&lt;&gt;"",INDEX(Properties!A$1:CB$87,Formula!H20,12)),IF(INDEX(Properties!A$1:CB$87,Formula!J20,12)&lt;&gt;"",INDEX(Properties!A$1:CB$87,Formula!J20,12)))</f>
        <v>2.56</v>
      </c>
      <c r="AU20" s="78">
        <f>MAX(INDEX(Properties!A$1:CB$87,Formula!B20,12),INDEX(Properties!A$1:CB$87,Formula!D20,12),INDEX(Properties!A$1:CB$87,Formula!F20,12),INDEX(Properties!A$1:CB$87,Formula!H20,12),INDEX(Properties!A$1:CB$87,Formula!J20,12))</f>
        <v>4</v>
      </c>
      <c r="AV20" s="78">
        <f>MIN(IF(Formula!B20=87,10^6,INDEX(Properties!A$1:CB$87,Formula!B20,12)),IF((Formula!D20)=87,10^6,INDEX(Properties!A$1:CB$87,Formula!D20,12)),IF((Formula!F20)=87,10^6,INDEX(Properties!A$1:CB$87,Formula!F20,12)),IF((Formula!H20)=87,10^6,INDEX(Properties!A$1:CB$87,Formula!H20,12)),IF(Formula!J20=87,10^6,INDEX(Properties!A$1:CB$87,Formula!J20,12)))</f>
        <v>0</v>
      </c>
      <c r="AW20" s="78">
        <f t="shared" si="7"/>
        <v>4</v>
      </c>
      <c r="AX20" s="45">
        <f>((Formula!C20)/(Formula!C20+Formula!E20+Formula!G20+Formula!I20+Formula!K20))*(INDEX(Properties!A$1:CB$87,Formula!B20,13))+((Formula!E20)/(Formula!C20+Formula!E20+Formula!G20+Formula!I20+Formula!K20))*(INDEX(Properties!A$1:CB$87,Formula!D20,13))+((Formula!G20)/(Formula!C20+Formula!E20+Formula!G20+Formula!I20+Formula!K20))*(INDEX(Properties!A$1:CB$87,Formula!F20,13))+((Formula!I20)/(Formula!C20+Formula!E20+Formula!G20+Formula!I20+Formula!K20))*(INDEX(Properties!A$1:CB$87,Formula!H20,13))+((Formula!K20)/(Formula!C20+Formula!E20+Formula!G20+Formula!I20+Formula!K20))*(INDEX(Properties!A$1:CB$87,Formula!J20,13))</f>
        <v>0.4</v>
      </c>
      <c r="AY20" s="45">
        <f>Formula!C20*(INDEX(Properties!A$1:CB$87,Formula!B20,13))+Formula!E20*(INDEX(Properties!A$1:CB$87,Formula!D20,13))+Formula!G20*(INDEX(Properties!A$1:CB$87,Formula!F20,13))+Formula!I20*(INDEX(Properties!A$1:CB$87,Formula!H20,13))+Formula!K20*(INDEX(Properties!A$1:CB$87,Formula!J20,13))</f>
        <v>4</v>
      </c>
      <c r="AZ20" s="45">
        <f>VARP(IF(INDEX(Properties!A$1:CB$87,Formula!B20,13)&lt;&gt;"",INDEX(Properties!A$1:CB$87,Formula!B20,13)),IF(INDEX(Properties!A$1:CB$87,Formula!D20,13)&lt;&gt;"",INDEX(Properties!A$1:CB$87,Formula!D20,13)),IF(INDEX(Properties!A$1:CB$87,Formula!F20,13)&lt;&gt;"",INDEX(Properties!A$1:CB$87,Formula!F20,13)),IF(INDEX(Properties!A$1:CB$87,Formula!H20,13)&lt;&gt;"",INDEX(Properties!A$1:CB$87,Formula!H20,13)),IF(INDEX(Properties!A$1:CB$87,Formula!J20,13)&lt;&gt;"",INDEX(Properties!A$1:CB$87,Formula!J20,13)))</f>
        <v>1.36</v>
      </c>
      <c r="BA20" s="45">
        <f>MAX(INDEX(Properties!A$1:CB$87,Formula!B20,13),INDEX(Properties!A$1:CB$87,Formula!D20,13),INDEX(Properties!A$1:CB$87,Formula!F20,13),INDEX(Properties!A$1:CB$87,Formula!H20,13),INDEX(Properties!A$1:CB$87,Formula!J20,13))</f>
        <v>3</v>
      </c>
      <c r="BB20" s="45">
        <f>MIN(IF(Formula!B20=87,10^6,INDEX(Properties!A$1:CB$87,Formula!B20,13)),IF((Formula!D20)=87,10^6,INDEX(Properties!A$1:CB$87,Formula!D20,13)),IF((Formula!F20)=87,10^6,INDEX(Properties!A$1:CB$87,Formula!F20,13)),IF((Formula!H20)=87,10^6,INDEX(Properties!A$1:CB$87,Formula!H20,13)),IF(Formula!J20=87,10^6,INDEX(Properties!A$1:CB$87,Formula!J20,13)))</f>
        <v>0</v>
      </c>
      <c r="BC20" s="45">
        <f t="shared" si="8"/>
        <v>3</v>
      </c>
      <c r="BD20" s="63">
        <f>((Formula!C20)/(Formula!C20+Formula!E20+Formula!G20+Formula!I20+Formula!K20))*(INDEX(Properties!A$1:CB$87,Formula!B20,14))+((Formula!E20)/(Formula!C20+Formula!E20+Formula!G20+Formula!I20+Formula!K20))*(INDEX(Properties!A$1:CB$87,Formula!D20,14))+((Formula!G20)/(Formula!C20+Formula!E20+Formula!G20+Formula!I20+Formula!K20))*(INDEX(Properties!A$1:CB$87,Formula!F20,14))+((Formula!I20)/(Formula!C20+Formula!E20+Formula!G20+Formula!I20+Formula!K20))*(INDEX(Properties!A$1:CB$87,Formula!H20,14))+((Formula!K20)/(Formula!C20+Formula!E20+Formula!G20+Formula!I20+Formula!K20))*(INDEX(Properties!A$1:CB$87,Formula!J20,14))</f>
        <v>2.1</v>
      </c>
      <c r="BE20" s="63">
        <f>Formula!C20*(INDEX(Properties!A$1:CB$87,Formula!B20,14))+Formula!E20*(INDEX(Properties!A$1:CB$87,Formula!D20,14))+Formula!G20*(INDEX(Properties!A$1:CB$87,Formula!F20,14))+Formula!I20*(INDEX(Properties!A$1:CB$87,Formula!H20,14))+Formula!K20*(INDEX(Properties!A$1:CB$87,Formula!J20,14))</f>
        <v>21</v>
      </c>
      <c r="BF20" s="63">
        <f>VARP(IF(INDEX(Properties!A$1:CB$87,Formula!B20,14)&lt;&gt;"",INDEX(Properties!A$1:CB$87,Formula!B20,14)),IF(INDEX(Properties!A$1:CB$87,Formula!D20,14)&lt;&gt;"",INDEX(Properties!A$1:CB$87,Formula!D20,14)),IF(INDEX(Properties!A$1:CB$87,Formula!F20,14)&lt;&gt;"",INDEX(Properties!A$1:CB$87,Formula!F20,14)),IF(INDEX(Properties!A$1:CB$87,Formula!H20,14)&lt;&gt;"",INDEX(Properties!A$1:CB$87,Formula!H20,14)),IF(INDEX(Properties!A$1:CB$87,Formula!J20,14)&lt;&gt;"",INDEX(Properties!A$1:CB$87,Formula!J20,14)))</f>
        <v>31.36</v>
      </c>
      <c r="BG20" s="63">
        <f>MAX(INDEX(Properties!A$1:CB$87,Formula!B20,14),INDEX(Properties!A$1:CB$87,Formula!D20,14),INDEX(Properties!A$1:CB$87,Formula!F20,14),INDEX(Properties!A$1:CB$87,Formula!H20,14),INDEX(Properties!A$1:CB$87,Formula!J20,14))</f>
        <v>14</v>
      </c>
      <c r="BH20" s="63">
        <f>MIN(IF(Formula!B20=87,10^6,INDEX(Properties!A$1:CB$87,Formula!B20,14)),IF((Formula!D20)=87,10^6,INDEX(Properties!A$1:CB$87,Formula!D20,14)),IF((Formula!F20)=87,10^6,INDEX(Properties!A$1:CB$87,Formula!F20,14)),IF((Formula!H20)=87,10^6,INDEX(Properties!A$1:CB$87,Formula!H20,14)),IF(Formula!J20=87,10^6,INDEX(Properties!A$1:CB$87,Formula!J20,14)))</f>
        <v>0</v>
      </c>
      <c r="BI20" s="63">
        <f t="shared" si="9"/>
        <v>14</v>
      </c>
      <c r="BJ20" s="75">
        <f>((Formula!C20)/(Formula!C20+Formula!E20+Formula!G20+Formula!I20+Formula!K20))*(INDEX(Properties!A$1:CB$87,Formula!B20,19))+((Formula!E20)/(Formula!C20+Formula!E20+Formula!G20+Formula!I20+Formula!K20))*(INDEX(Properties!A$1:CB$87,Formula!D20,19))+((Formula!G20)/(Formula!C20+Formula!E20+Formula!G20+Formula!I20+Formula!K20))*(INDEX(Properties!A$1:CB$87,Formula!F20,19))+((Formula!I20)/(Formula!C20+Formula!E20+Formula!G20+Formula!I20+Formula!K20))*(INDEX(Properties!A$1:CB$87,Formula!H20,19))+((Formula!K20)/(Formula!C20+Formula!E20+Formula!G20+Formula!I20+Formula!K20))*(INDEX(Properties!A$1:CB$87,Formula!J20,19))</f>
        <v>6.8999999999999995</v>
      </c>
      <c r="BK20" s="75">
        <f>Formula!C20*(INDEX(Properties!A$1:CB$87,Formula!B20,19))+Formula!E20*(INDEX(Properties!A$1:CB$87,Formula!D20,19))+Formula!G20*(INDEX(Properties!A$1:CB$87,Formula!F20,19))+Formula!I20*(INDEX(Properties!A$1:CB$87,Formula!H20,19))+Formula!K20*(INDEX(Properties!A$1:CB$87,Formula!J20,19))</f>
        <v>69</v>
      </c>
      <c r="BL20" s="75">
        <f>VARP(IF(INDEX(Properties!A$1:CB$87,Formula!B20,19)&lt;&gt;"",INDEX(Properties!A$1:CB$87,Formula!B20,19)),IF(INDEX(Properties!A$1:CB$87,Formula!D20,19)&lt;&gt;"",INDEX(Properties!A$1:CB$87,Formula!D20,19)),IF(INDEX(Properties!A$1:CB$87,Formula!F20,19)&lt;&gt;"",INDEX(Properties!A$1:CB$87,Formula!F20,19)),IF(INDEX(Properties!A$1:CB$87,Formula!H20,19)&lt;&gt;"",INDEX(Properties!A$1:CB$87,Formula!H20,19)),IF(INDEX(Properties!A$1:CB$87,Formula!J20,19)&lt;&gt;"",INDEX(Properties!A$1:CB$87,Formula!J20,19)))</f>
        <v>45.44</v>
      </c>
      <c r="BM20" s="75">
        <f>MAX(INDEX(Properties!A$1:CB$87,Formula!B20,19),INDEX(Properties!A$1:CB$87,Formula!D20,19),INDEX(Properties!A$1:CB$87,Formula!F20,19),INDEX(Properties!A$1:CB$87,Formula!H20,19),INDEX(Properties!A$1:CB$87,Formula!J20,19))</f>
        <v>19</v>
      </c>
      <c r="BN20" s="75">
        <f>MIN(IF(INDEX(Properties!A$1:CB$87,Formula!B20,19)=0,10^6,INDEX(Properties!A$1:CB$87,Formula!B20,19)),IF(INDEX(Properties!A$1:CB$87,Formula!D20,19)=0,10^6,INDEX(Properties!A$1:CB$87,Formula!D20,19)),IF(INDEX(Properties!A$1:CB$87,Formula!F20,19)=0,10^6,INDEX(Properties!A$1:CB$87,Formula!F20,19)),IF(INDEX(Properties!A$1:CB$87,Formula!H20,19)=0,10^6,INDEX(Properties!A$1:CB$87,Formula!H20,19)),IF(INDEX(Properties!A$1:CB$87,Formula!J20,19)=0,10^6,INDEX(Properties!A$1:CB$87,Formula!J20,19)))</f>
        <v>2</v>
      </c>
      <c r="BO20" s="75">
        <f t="shared" si="10"/>
        <v>17</v>
      </c>
      <c r="BP20" s="48">
        <f>((Formula!C20)/(Formula!C20+Formula!E20+Formula!G20+Formula!I20+Formula!K20))*(INDEX(Properties!A$1:CB$87,Formula!B20,20))+((Formula!E20)/(Formula!C20+Formula!E20+Formula!G20+Formula!I20+Formula!K20))*(INDEX(Properties!A$1:CB$87,Formula!D20,20))+((Formula!G20)/(Formula!C20+Formula!E20+Formula!G20+Formula!I20+Formula!K20))*(INDEX(Properties!A$1:CB$87,Formula!F20,20))+((Formula!I20)/(Formula!C20+Formula!E20+Formula!G20+Formula!I20+Formula!K20))*(INDEX(Properties!A$1:CB$87,Formula!H20,20))+((Formula!K20)/(Formula!C20+Formula!E20+Formula!G20+Formula!I20+Formula!K20))*(INDEX(Properties!A$1:CB$87,Formula!J20,20))</f>
        <v>4.3999999999999995</v>
      </c>
      <c r="BQ20" s="48">
        <f>Formula!C20*(INDEX(Properties!A$1:CB$87,Formula!B20,20))+Formula!E20*(INDEX(Properties!A$1:CB$87,Formula!D20,20))+Formula!G20*(INDEX(Properties!A$1:CB$87,Formula!F20,20))+Formula!I20*(INDEX(Properties!A$1:CB$87,Formula!H20,20))+Formula!K20*(INDEX(Properties!A$1:CB$87,Formula!J20,20))</f>
        <v>44</v>
      </c>
      <c r="BR20" s="48">
        <f>VARP(IF(INDEX(Properties!A$1:CB$87,Formula!B20,20)&lt;&gt;"",INDEX(Properties!A$1:CB$87,Formula!B20,20)),IF(INDEX(Properties!A$1:CB$87,Formula!D20,20)&lt;&gt;"",INDEX(Properties!A$1:CB$87,Formula!D20,20)),IF(INDEX(Properties!A$1:CB$87,Formula!F20,20)&lt;&gt;"",INDEX(Properties!A$1:CB$87,Formula!F20,20)),IF(INDEX(Properties!A$1:CB$87,Formula!H20,20)&lt;&gt;"",INDEX(Properties!A$1:CB$87,Formula!H20,20)),IF(INDEX(Properties!A$1:CB$87,Formula!J20,20)&lt;&gt;"",INDEX(Properties!A$1:CB$87,Formula!J20,20)))</f>
        <v>3.84</v>
      </c>
      <c r="BS20" s="48">
        <f>MAX(INDEX(Properties!A$1:CB$87,Formula!B20,20),INDEX(Properties!A$1:CB$87,Formula!D20,20),INDEX(Properties!A$1:CB$87,Formula!F20,20),INDEX(Properties!A$1:CB$87,Formula!H20,20),INDEX(Properties!A$1:CB$87,Formula!J20,20))</f>
        <v>6</v>
      </c>
      <c r="BT20" s="48">
        <f>MIN(IF(INDEX(Properties!A$1:CB$87,Formula!B20,20)=0,10^6,INDEX(Properties!A$1:CB$87,Formula!B20,20)),IF(INDEX(Properties!A$1:CB$87,Formula!D20,20)=0,10^6,INDEX(Properties!A$1:CB$87,Formula!D20,20)),IF(INDEX(Properties!A$1:CB$87,Formula!F20,20)=0,10^6,INDEX(Properties!A$1:CB$87,Formula!F20,20)),IF(INDEX(Properties!A$1:CB$87,Formula!H20,20)=0,10^6,INDEX(Properties!A$1:CB$87,Formula!H20,20)),IF(INDEX(Properties!A$1:CB$87,Formula!J20,20)=0,10^6,INDEX(Properties!A$1:CB$87,Formula!J20,20)))</f>
        <v>2</v>
      </c>
      <c r="BU20" s="48">
        <f t="shared" si="11"/>
        <v>4</v>
      </c>
      <c r="BV20" s="66">
        <f>((Formula!C20)/(Formula!C20+Formula!E20+Formula!G20+Formula!I20+Formula!K20))*(INDEX(Properties!A$1:CB$87,Formula!B20,21))+((Formula!E20)/(Formula!C20+Formula!E20+Formula!G20+Formula!I20+Formula!K20))*(INDEX(Properties!A$1:CB$87,Formula!D20,21))+((Formula!G20)/(Formula!C20+Formula!E20+Formula!G20+Formula!I20+Formula!K20))*(INDEX(Properties!A$1:CB$87,Formula!F20,21))+((Formula!I20)/(Formula!C20+Formula!E20+Formula!G20+Formula!I20+Formula!K20))*(INDEX(Properties!A$1:CB$87,Formula!H20,21))+((Formula!K20)/(Formula!C20+Formula!E20+Formula!G20+Formula!I20+Formula!K20))*(INDEX(Properties!A$1:CB$87,Formula!J20,21))</f>
        <v>4.5999999999999996</v>
      </c>
      <c r="BW20" s="66">
        <f>Formula!C20*(INDEX(Properties!A$1:CB$87,Formula!B20,21))+Formula!E20*(INDEX(Properties!A$1:CB$87,Formula!D20,21))+Formula!G20*(INDEX(Properties!A$1:CB$87,Formula!F20,21))+Formula!I20*(INDEX(Properties!A$1:CB$87,Formula!H20,21))+Formula!K20*(INDEX(Properties!A$1:CB$87,Formula!J20,21))</f>
        <v>46</v>
      </c>
      <c r="BX20" s="66">
        <f>VARP(IF(INDEX(Properties!A$1:CB$87,Formula!B20,21)&lt;&gt;"",INDEX(Properties!A$1:CB$87,Formula!B20,21)),IF(INDEX(Properties!A$1:CB$87,Formula!D20,21)&lt;&gt;"",INDEX(Properties!A$1:CB$87,Formula!D20,21)),IF(INDEX(Properties!A$1:CB$87,Formula!F20,21)&lt;&gt;"",INDEX(Properties!A$1:CB$87,Formula!F20,21)),IF(INDEX(Properties!A$1:CB$87,Formula!H20,21)&lt;&gt;"",INDEX(Properties!A$1:CB$87,Formula!H20,21)),IF(INDEX(Properties!A$1:CB$87,Formula!J20,21)&lt;&gt;"",INDEX(Properties!A$1:CB$87,Formula!J20,21)))</f>
        <v>3.76</v>
      </c>
      <c r="BY20" s="66">
        <f>MAX(INDEX(Properties!A$1:CB$87,Formula!B20,21),INDEX(Properties!A$1:CB$87,Formula!D20,21),INDEX(Properties!A$1:CB$87,Formula!F20,21),INDEX(Properties!A$1:CB$87,Formula!H20,21),INDEX(Properties!A$1:CB$87,Formula!J20,21))</f>
        <v>6</v>
      </c>
      <c r="BZ20" s="66">
        <f>MIN(IF(INDEX(Properties!A$1:CB$87,Formula!B20,21)=0,10^6,INDEX(Properties!A$1:CB$87,Formula!B20,21)),IF(INDEX(Properties!A$1:CB$87,Formula!D20,21)=0,10^6,INDEX(Properties!A$1:CB$87,Formula!D20,21)),IF(INDEX(Properties!A$1:CB$87,Formula!F20,21)=0,10^6,INDEX(Properties!A$1:CB$87,Formula!F20,21)),IF(INDEX(Properties!A$1:CB$87,Formula!H20,21)=0,10^6,INDEX(Properties!A$1:CB$87,Formula!H20,21)),IF(INDEX(Properties!A$1:CB$87,Formula!J20,21)=0,10^6,INDEX(Properties!A$1:CB$87,Formula!J20,21)))</f>
        <v>2</v>
      </c>
      <c r="CA20" s="66">
        <f t="shared" si="12"/>
        <v>4</v>
      </c>
      <c r="CB20" s="81">
        <f>((Formula!C20)/(Formula!C20+Formula!E20+Formula!G20+Formula!I20+Formula!K20))*(INDEX(Properties!A$1:CB$87,Formula!B20,23))+((Formula!E20)/(Formula!C20+Formula!E20+Formula!G20+Formula!I20+Formula!K20))*(INDEX(Properties!A$1:CB$87,Formula!D20,23))+((Formula!G20)/(Formula!C20+Formula!E20+Formula!G20+Formula!I20+Formula!K20))*(INDEX(Properties!A$1:CB$87,Formula!F20,23))+((Formula!I20)/(Formula!C20+Formula!E20+Formula!G20+Formula!I20+Formula!K20))*(INDEX(Properties!A$1:CB$87,Formula!H20,23))+((Formula!K20)/(Formula!C20+Formula!E20+Formula!G20+Formula!I20+Formula!K20))*(INDEX(Properties!A$1:CB$87,Formula!J20,23))</f>
        <v>1.2000000000000002</v>
      </c>
      <c r="CC20" s="81">
        <f>Formula!C20*(INDEX(Properties!A$1:CB$87,Formula!B20,23))+Formula!E20*(INDEX(Properties!A$1:CB$87,Formula!D20,23))+Formula!G20*(INDEX(Properties!A$1:CB$87,Formula!F20,23))+Formula!I20*(INDEX(Properties!A$1:CB$87,Formula!H20,23))+Formula!K20*(INDEX(Properties!A$1:CB$87,Formula!J20,23))</f>
        <v>12</v>
      </c>
      <c r="CD20" s="81">
        <f>VARP(IF(INDEX(Properties!A$1:CB$87,Formula!B20,23)&lt;&gt;"",INDEX(Properties!A$1:CB$87,Formula!B20,23)),IF(INDEX(Properties!A$1:CB$87,Formula!D20,23)&lt;&gt;"",INDEX(Properties!A$1:CB$87,Formula!D20,23)),IF(INDEX(Properties!A$1:CB$87,Formula!F20,23)&lt;&gt;"",INDEX(Properties!A$1:CB$87,Formula!F20,23)),IF(INDEX(Properties!A$1:CB$87,Formula!H20,23)&lt;&gt;"",INDEX(Properties!A$1:CB$87,Formula!H20,23)),IF(INDEX(Properties!A$1:CB$87,Formula!J20,23)&lt;&gt;"",INDEX(Properties!A$1:CB$87,Formula!J20,23)))</f>
        <v>3.6</v>
      </c>
      <c r="CE20" s="81">
        <f>MAX(INDEX(Properties!A$1:CB$87,Formula!B20,23),INDEX(Properties!A$1:CB$87,Formula!D20,23),INDEX(Properties!A$1:CB$87,Formula!F20,23),INDEX(Properties!A$1:CB$87,Formula!H20,23),INDEX(Properties!A$1:CB$87,Formula!J20,23))</f>
        <v>5</v>
      </c>
      <c r="CF20" s="81">
        <f>MIN(IF(Formula!B20=87,10^6,INDEX(Properties!A$1:CB$87,Formula!B20,23)),IF((Formula!D20)=87,10^6,INDEX(Properties!A$1:CB$87,Formula!D20,23)),IF((Formula!F20)=87,10^6,INDEX(Properties!A$1:CB$87,Formula!F20,23)),IF((Formula!H20)=87,10^6,INDEX(Properties!A$1:CB$87,Formula!H20,23)),IF(Formula!J20=87,10^6,INDEX(Properties!A$1:CB$87,Formula!J20,23)))</f>
        <v>0</v>
      </c>
      <c r="CG20" s="81">
        <f t="shared" si="13"/>
        <v>5</v>
      </c>
      <c r="CH20" s="39">
        <f>((Formula!C20)/(Formula!C20+Formula!E20+Formula!G20+Formula!I20+Formula!K20))*(INDEX(Properties!A$1:CB$87,Formula!B20,26))+((Formula!E20)/(Formula!C20+Formula!E20+Formula!G20+Formula!I20+Formula!K20))*(INDEX(Properties!A$1:CB$87,Formula!D20,26))+((Formula!G20)/(Formula!C20+Formula!E20+Formula!G20+Formula!I20+Formula!K20))*(INDEX(Properties!A$1:CB$87,Formula!F20,26))+((Formula!I20)/(Formula!C20+Formula!E20+Formula!G20+Formula!I20+Formula!K20))*(INDEX(Properties!A$1:CB$87,Formula!H20,26))+((Formula!K20)/(Formula!C20+Formula!E20+Formula!G20+Formula!I20+Formula!K20))*(INDEX(Properties!A$1:CB$87,Formula!J20,26))</f>
        <v>10.679779999999999</v>
      </c>
      <c r="CI20" s="39">
        <f>Formula!C20*(INDEX(Properties!A$1:CB$87,Formula!B20,26))+Formula!E20*(INDEX(Properties!A$1:CB$87,Formula!D20,26))+Formula!G20*(INDEX(Properties!A$1:CB$87,Formula!F20,26))+Formula!I20*(INDEX(Properties!A$1:CB$87,Formula!H20,26))+Formula!K20*(INDEX(Properties!A$1:CB$87,Formula!J20,26))</f>
        <v>106.7978</v>
      </c>
      <c r="CJ20" s="39">
        <f>VARP(IF(INDEX(Properties!A$1:CB$87,Formula!B20,26)&lt;&gt;"",INDEX(Properties!A$1:CB$87,Formula!B20,26)),IF(INDEX(Properties!A$1:CB$87,Formula!D20,26)&lt;&gt;"",INDEX(Properties!A$1:CB$87,Formula!D20,26)),IF(INDEX(Properties!A$1:CB$87,Formula!F20,26)&lt;&gt;"",INDEX(Properties!A$1:CB$87,Formula!F20,26)),IF(INDEX(Properties!A$1:CB$87,Formula!H20,26)&lt;&gt;"",INDEX(Properties!A$1:CB$87,Formula!H20,26)),IF(INDEX(Properties!A$1:CB$87,Formula!J20,26)&lt;&gt;"",INDEX(Properties!A$1:CB$87,Formula!J20,26)))</f>
        <v>18.947464613600005</v>
      </c>
      <c r="CK20" s="39">
        <f>MAX(INDEX(Properties!A$1:CB$87,Formula!B20,26),INDEX(Properties!A$1:CB$87,Formula!D20,26),INDEX(Properties!A$1:CB$87,Formula!F20,26),INDEX(Properties!A$1:CB$87,Formula!H20,26),INDEX(Properties!A$1:CB$87,Formula!J20,26))</f>
        <v>13.6181</v>
      </c>
      <c r="CL20" s="39">
        <f>MIN(IF(INDEX(Properties!A$1:CB$87,Formula!B20,26)=0,10^6,INDEX(Properties!A$1:CB$87,Formula!B20,26)),IF(INDEX(Properties!A$1:CB$87,Formula!D20,26)=0,10^6,INDEX(Properties!A$1:CB$87,Formula!D20,26)),IF(INDEX(Properties!A$1:CB$87,Formula!F20,26)=0,10^6,INDEX(Properties!A$1:CB$87,Formula!F20,26)),IF(INDEX(Properties!A$1:CB$87,Formula!H20,26)=0,10^6,INDEX(Properties!A$1:CB$87,Formula!H20,26)),IF(INDEX(Properties!A$1:CB$87,Formula!J20,26)=0,10^6,INDEX(Properties!A$1:CB$87,Formula!J20,26)))</f>
        <v>5.6948999999999996</v>
      </c>
      <c r="CM20" s="39">
        <f t="shared" si="14"/>
        <v>7.9232000000000005</v>
      </c>
      <c r="CN20" s="54">
        <f>((Formula!C20)/(Formula!C20+Formula!E20+Formula!G20+Formula!I20+Formula!K20))*(INDEX(Properties!A$1:CB$87,Formula!B20,30))+((Formula!E20)/(Formula!C20+Formula!E20+Formula!G20+Formula!I20+Formula!K20))*(INDEX(Properties!A$1:CB$87,Formula!D20,30))+((Formula!G20)/(Formula!C20+Formula!E20+Formula!G20+Formula!I20+Formula!K20))*(INDEX(Properties!A$1:CB$87,Formula!F20,30))+((Formula!I20)/(Formula!C20+Formula!E20+Formula!G20+Formula!I20+Formula!K20))*(INDEX(Properties!A$1:CB$87,Formula!H20,30))+((Formula!K20)/(Formula!C20+Formula!E20+Formula!G20+Formula!I20+Formula!K20))*(INDEX(Properties!A$1:CB$87,Formula!J20,30))</f>
        <v>2.524</v>
      </c>
      <c r="CO20" s="54">
        <f>Formula!C20*(INDEX(Properties!A$1:CB$87,Formula!B20,30))+Formula!E20*(INDEX(Properties!A$1:CB$87,Formula!D20,30))+Formula!G20*(INDEX(Properties!A$1:CB$87,Formula!F20,30))+Formula!I20*(INDEX(Properties!A$1:CB$87,Formula!H20,30))+Formula!K20*(INDEX(Properties!A$1:CB$87,Formula!J20,30))</f>
        <v>25.240000000000002</v>
      </c>
      <c r="CP20" s="54">
        <f>VARP(IF(INDEX(Properties!A$1:CB$87,Formula!B20,30)&lt;&gt;"",INDEX(Properties!A$1:CB$87,Formula!B20,30)),IF(INDEX(Properties!A$1:CB$87,Formula!D20,30)&lt;&gt;"",INDEX(Properties!A$1:CB$87,Formula!D20,30)),IF(INDEX(Properties!A$1:CB$87,Formula!F20,30)&lt;&gt;"",INDEX(Properties!A$1:CB$87,Formula!F20,30)),IF(INDEX(Properties!A$1:CB$87,Formula!H20,30)&lt;&gt;"",INDEX(Properties!A$1:CB$87,Formula!H20,30)),IF(INDEX(Properties!A$1:CB$87,Formula!J20,30)&lt;&gt;"",INDEX(Properties!A$1:CB$87,Formula!J20,30)))</f>
        <v>1.2744959999999994</v>
      </c>
      <c r="CQ20" s="54">
        <f>MAX(INDEX(Properties!A$1:CB$87,Formula!B20,30),INDEX(Properties!A$1:CB$87,Formula!D20,30),INDEX(Properties!A$1:CB$87,Formula!F20,30),INDEX(Properties!A$1:CB$87,Formula!H20,30),INDEX(Properties!A$1:CB$87,Formula!J20,30))</f>
        <v>3.44</v>
      </c>
      <c r="CR20" s="54">
        <f>MIN(IF(INDEX(Properties!A$1:CB$87,Formula!B20,30)=0,10^6,INDEX(Properties!A$1:CB$87,Formula!B20,30)),IF(INDEX(Properties!A$1:CB$87,Formula!D20,30)=0,10^6,INDEX(Properties!A$1:CB$87,Formula!D20,30)),IF(INDEX(Properties!A$1:CB$87,Formula!F20,30)=0,10^6,INDEX(Properties!A$1:CB$87,Formula!F20,30)),IF(INDEX(Properties!A$1:CB$87,Formula!H20,30)=0,10^6,INDEX(Properties!A$1:CB$87,Formula!H20,30)),IF(INDEX(Properties!A$1:CB$87,Formula!J20,30)=0,10^6,INDEX(Properties!A$1:CB$87,Formula!J20,30)))</f>
        <v>0.95</v>
      </c>
      <c r="CS20" s="54">
        <f t="shared" si="15"/>
        <v>2.4900000000000002</v>
      </c>
      <c r="CT20" s="69">
        <f>((Formula!C20)/(Formula!C20+Formula!E20+Formula!G20+Formula!I20+Formula!K20))*(INDEX(Properties!A$1:CB$87,Formula!B20,31))+((Formula!E20)/(Formula!C20+Formula!E20+Formula!G20+Formula!I20+Formula!K20))*(INDEX(Properties!A$1:CB$87,Formula!D20,31))+((Formula!G20)/(Formula!C20+Formula!E20+Formula!G20+Formula!I20+Formula!K20))*(INDEX(Properties!A$1:CB$87,Formula!F20,31))+((Formula!I20)/(Formula!C20+Formula!E20+Formula!G20+Formula!I20+Formula!K20))*(INDEX(Properties!A$1:CB$87,Formula!H20,31))+((Formula!K20)/(Formula!C20+Formula!E20+Formula!G20+Formula!I20+Formula!K20))*(INDEX(Properties!A$1:CB$87,Formula!J20,31))</f>
        <v>2.5219999999999998</v>
      </c>
      <c r="CU20" s="69">
        <f>Formula!C20*(INDEX(Properties!A$1:CB$87,Formula!B20,31))+Formula!E20*(INDEX(Properties!A$1:CB$87,Formula!D20,31))+Formula!G20*(INDEX(Properties!A$1:CB$87,Formula!F20,31))+Formula!I20*(INDEX(Properties!A$1:CB$87,Formula!H20,31))+Formula!K20*(INDEX(Properties!A$1:CB$87,Formula!J20,31))</f>
        <v>25.22</v>
      </c>
      <c r="CV20" s="69">
        <f>VARP(IF(INDEX(Properties!A$1:CB$87,Formula!B20,31)&lt;&gt;"",INDEX(Properties!A$1:CB$87,Formula!B20,31)),IF(INDEX(Properties!A$1:CB$87,Formula!D20,31)&lt;&gt;"",INDEX(Properties!A$1:CB$87,Formula!D20,31)),IF(INDEX(Properties!A$1:CB$87,Formula!F20,31)&lt;&gt;"",INDEX(Properties!A$1:CB$87,Formula!F20,31)),IF(INDEX(Properties!A$1:CB$87,Formula!H20,31)&lt;&gt;"",INDEX(Properties!A$1:CB$87,Formula!H20,31)),IF(INDEX(Properties!A$1:CB$87,Formula!J20,31)&lt;&gt;"",INDEX(Properties!A$1:CB$87,Formula!J20,31)))</f>
        <v>1.2105759999999994</v>
      </c>
      <c r="CW20" s="69">
        <f>MAX(INDEX(Properties!A$1:CB$87,Formula!B20,31),INDEX(Properties!A$1:CB$87,Formula!D20,31),INDEX(Properties!A$1:CB$87,Formula!F20,31),INDEX(Properties!A$1:CB$87,Formula!H20,31),INDEX(Properties!A$1:CB$87,Formula!J20,31))</f>
        <v>3.32</v>
      </c>
      <c r="CX20" s="69">
        <f>MIN(IF(INDEX(Properties!A$1:CB$87,Formula!B20,31)=0,10^6,INDEX(Properties!A$1:CB$87,Formula!B20,31)),IF(INDEX(Properties!A$1:CB$87,Formula!D20,31)=0,10^6,INDEX(Properties!A$1:CB$87,Formula!D20,31)),IF(INDEX(Properties!A$1:CB$87,Formula!F20,31)=0,10^6,INDEX(Properties!A$1:CB$87,Formula!F20,31)),IF(INDEX(Properties!A$1:CB$87,Formula!H20,31)=0,10^6,INDEX(Properties!A$1:CB$87,Formula!H20,31)),IF(INDEX(Properties!A$1:CB$87,Formula!J20,31)=0,10^6,INDEX(Properties!A$1:CB$87,Formula!J20,31)))</f>
        <v>1.1000000000000001</v>
      </c>
      <c r="CY20" s="69">
        <f t="shared" si="16"/>
        <v>2.2199999999999998</v>
      </c>
      <c r="CZ20" s="42">
        <f>((Formula!C20)/(Formula!C20+Formula!E20+Formula!G20+Formula!I20+Formula!K20))*(INDEX(Properties!A$1:CB$87,Formula!B20,32))+((Formula!E20)/(Formula!C20+Formula!E20+Formula!G20+Formula!I20+Formula!K20))*(INDEX(Properties!A$1:CB$87,Formula!D20,32))+((Formula!G20)/(Formula!C20+Formula!E20+Formula!G20+Formula!I20+Formula!K20))*(INDEX(Properties!A$1:CB$87,Formula!F20,32))+((Formula!I20)/(Formula!C20+Formula!E20+Formula!G20+Formula!I20+Formula!K20))*(INDEX(Properties!A$1:CB$87,Formula!H20,32))+((Formula!K20)/(Formula!C20+Formula!E20+Formula!G20+Formula!I20+Formula!K20))*(INDEX(Properties!A$1:CB$87,Formula!J20,32))</f>
        <v>5.6449999999999996</v>
      </c>
      <c r="DA20" s="42">
        <f>Formula!C20*(INDEX(Properties!A$1:CB$87,Formula!B20,32))+Formula!E20*(INDEX(Properties!A$1:CB$87,Formula!D20,32))+Formula!G20*(INDEX(Properties!A$1:CB$87,Formula!F20,32))+Formula!I20*(INDEX(Properties!A$1:CB$87,Formula!H20,32))+Formula!K20*(INDEX(Properties!A$1:CB$87,Formula!J20,32))</f>
        <v>56.45</v>
      </c>
      <c r="DB20" s="42">
        <f>VARP(IF(INDEX(Properties!A$1:CB$87,Formula!B20,32)&lt;&gt;"",INDEX(Properties!A$1:CB$87,Formula!B20,32)),IF(INDEX(Properties!A$1:CB$87,Formula!D20,32)&lt;&gt;"",INDEX(Properties!A$1:CB$87,Formula!D20,32)),IF(INDEX(Properties!A$1:CB$87,Formula!F20,32)&lt;&gt;"",INDEX(Properties!A$1:CB$87,Formula!F20,32)),IF(INDEX(Properties!A$1:CB$87,Formula!H20,32)&lt;&gt;"",INDEX(Properties!A$1:CB$87,Formula!H20,32)),IF(INDEX(Properties!A$1:CB$87,Formula!J20,32)&lt;&gt;"",INDEX(Properties!A$1:CB$87,Formula!J20,32)))</f>
        <v>6.2482400000000009</v>
      </c>
      <c r="DC20" s="42">
        <f>MAX(INDEX(Properties!A$1:CB$87,Formula!B20,32),INDEX(Properties!A$1:CB$87,Formula!D20,32),INDEX(Properties!A$1:CB$87,Formula!F20,32),INDEX(Properties!A$1:CB$87,Formula!H20,32),INDEX(Properties!A$1:CB$87,Formula!J20,32))</f>
        <v>7.54</v>
      </c>
      <c r="DD20" s="42">
        <f>MIN(IF(INDEX(Properties!A$1:CB$87,Formula!B20,32)=0,10^6,INDEX(Properties!A$1:CB$87,Formula!B20,32)),IF(INDEX(Properties!A$1:CB$87,Formula!D20,32)=0,10^6,INDEX(Properties!A$1:CB$87,Formula!D20,32)),IF(INDEX(Properties!A$1:CB$87,Formula!F20,32)=0,10^6,INDEX(Properties!A$1:CB$87,Formula!F20,32)),IF(INDEX(Properties!A$1:CB$87,Formula!H20,32)=0,10^6,INDEX(Properties!A$1:CB$87,Formula!H20,32)),IF(INDEX(Properties!A$1:CB$87,Formula!J20,32)=0,10^6,INDEX(Properties!A$1:CB$87,Formula!J20,32)))</f>
        <v>2</v>
      </c>
      <c r="DE20" s="42">
        <f t="shared" si="17"/>
        <v>5.54</v>
      </c>
      <c r="DF20" s="60">
        <f>((Formula!C20)/(Formula!C20+Formula!E20+Formula!G20+Formula!I20+Formula!K20))*(INDEX(Properties!A$1:CB$87,Formula!B20,34))+((Formula!E20)/(Formula!C20+Formula!E20+Formula!G20+Formula!I20+Formula!K20))*(INDEX(Properties!A$1:CB$87,Formula!D20,34))+((Formula!G20)/(Formula!C20+Formula!E20+Formula!G20+Formula!I20+Formula!K20))*(INDEX(Properties!A$1:CB$87,Formula!F20,34))+((Formula!I20)/(Formula!C20+Formula!E20+Formula!G20+Formula!I20+Formula!K20))*(INDEX(Properties!A$1:CB$87,Formula!H20,34))+((Formula!K20)/(Formula!C20+Formula!E20+Formula!G20+Formula!I20+Formula!K20))*(INDEX(Properties!A$1:CB$87,Formula!J20,34))</f>
        <v>2.6015999999999999</v>
      </c>
      <c r="DG20" s="60">
        <f>Formula!C20*(INDEX(Properties!A$1:CB$87,Formula!B20,34))+Formula!E20*(INDEX(Properties!A$1:CB$87,Formula!D20,34))+Formula!G20*(INDEX(Properties!A$1:CB$87,Formula!F20,34))+Formula!I20*(INDEX(Properties!A$1:CB$87,Formula!H20,34))+Formula!K20*(INDEX(Properties!A$1:CB$87,Formula!J20,34))</f>
        <v>26.015999999999998</v>
      </c>
      <c r="DH20" s="60">
        <f>VARP(IF(INDEX(Properties!A$1:CB$87,Formula!B20,34)&lt;&gt;"",INDEX(Properties!A$1:CB$87,Formula!B20,34)),IF(INDEX(Properties!A$1:CB$87,Formula!D20,34)&lt;&gt;"",INDEX(Properties!A$1:CB$87,Formula!D20,34)),IF(INDEX(Properties!A$1:CB$87,Formula!F20,34)&lt;&gt;"",INDEX(Properties!A$1:CB$87,Formula!F20,34)),IF(INDEX(Properties!A$1:CB$87,Formula!H20,34)&lt;&gt;"",INDEX(Properties!A$1:CB$87,Formula!H20,34)),IF(INDEX(Properties!A$1:CB$87,Formula!J20,34)&lt;&gt;"",INDEX(Properties!A$1:CB$87,Formula!J20,34)))</f>
        <v>1.4269534400000001</v>
      </c>
      <c r="DI20" s="60">
        <f>MAX(INDEX(Properties!A$1:CB$87,Formula!B20,34),INDEX(Properties!A$1:CB$87,Formula!D20,34),INDEX(Properties!A$1:CB$87,Formula!F20,34),INDEX(Properties!A$1:CB$87,Formula!H20,34),INDEX(Properties!A$1:CB$87,Formula!J20,34))</f>
        <v>3.61</v>
      </c>
      <c r="DJ20" s="60">
        <f>MIN(IF(INDEX(Properties!A$1:CB$87,Formula!B20,34)=0,10^6,INDEX(Properties!A$1:CB$87,Formula!B20,34)),IF(INDEX(Properties!A$1:CB$87,Formula!D20,34)=0,10^6,INDEX(Properties!A$1:CB$87,Formula!D20,34)),IF(INDEX(Properties!A$1:CB$87,Formula!F20,34)=0,10^6,INDEX(Properties!A$1:CB$87,Formula!F20,34)),IF(INDEX(Properties!A$1:CB$87,Formula!H20,34)=0,10^6,INDEX(Properties!A$1:CB$87,Formula!H20,34)),IF(INDEX(Properties!A$1:CB$87,Formula!J20,34)=0,10^6,INDEX(Properties!A$1:CB$87,Formula!J20,34)))</f>
        <v>0.96299999999999997</v>
      </c>
      <c r="DK20" s="60">
        <f t="shared" si="18"/>
        <v>2.6469999999999998</v>
      </c>
      <c r="DL20" s="45">
        <f>((Formula!C20)/(Formula!C20+Formula!E20+Formula!G20+Formula!I20+Formula!K20))*(INDEX(Properties!A$1:CB$87,Formula!B20,39))+((Formula!E20)/(Formula!C20+Formula!E20+Formula!G20+Formula!I20+Formula!K20))*(INDEX(Properties!A$1:CB$87,Formula!D20,39))+((Formula!G20)/(Formula!C20+Formula!E20+Formula!G20+Formula!I20+Formula!K20))*(INDEX(Properties!A$1:CB$87,Formula!F20,39))+((Formula!I20)/(Formula!C20+Formula!E20+Formula!G20+Formula!I20+Formula!K20))*(INDEX(Properties!A$1:CB$87,Formula!H20,39))+((Formula!K20)/(Formula!C20+Formula!E20+Formula!G20+Formula!I20+Formula!K20))*(INDEX(Properties!A$1:CB$87,Formula!J20,39))</f>
        <v>1.159</v>
      </c>
      <c r="DM20" s="45">
        <f>Formula!C20*(INDEX(Properties!A$1:CB$87,Formula!B20,39))+Formula!E20*(INDEX(Properties!A$1:CB$87,Formula!D20,39))+Formula!G20*(INDEX(Properties!A$1:CB$87,Formula!F20,39))+Formula!I20*(INDEX(Properties!A$1:CB$87,Formula!H20,39))+Formula!K20*(INDEX(Properties!A$1:CB$87,Formula!J20,39))</f>
        <v>11.59</v>
      </c>
      <c r="DN20" s="45">
        <f>VARP(IF(INDEX(Properties!A$1:CB$87,Formula!B20,39)&lt;&gt;"",INDEX(Properties!A$1:CB$87,Formula!B20,39)),IF(INDEX(Properties!A$1:CB$87,Formula!D20,39)&lt;&gt;"",INDEX(Properties!A$1:CB$87,Formula!D20,39)),IF(INDEX(Properties!A$1:CB$87,Formula!F20,39)&lt;&gt;"",INDEX(Properties!A$1:CB$87,Formula!F20,39)),IF(INDEX(Properties!A$1:CB$87,Formula!H20,39)&lt;&gt;"",INDEX(Properties!A$1:CB$87,Formula!H20,39)),IF(INDEX(Properties!A$1:CB$87,Formula!J20,39)&lt;&gt;"",INDEX(Properties!A$1:CB$87,Formula!J20,39)))</f>
        <v>0.93108000000000002</v>
      </c>
      <c r="DO20" s="45">
        <f>MAX(INDEX(Properties!A$1:CB$87,Formula!B20,39),INDEX(Properties!A$1:CB$87,Formula!D20,39),INDEX(Properties!A$1:CB$87,Formula!F20,39),INDEX(Properties!A$1:CB$87,Formula!H20,39),INDEX(Properties!A$1:CB$87,Formula!J20,39))</f>
        <v>2.33</v>
      </c>
      <c r="DP20" s="45">
        <f>MIN(IF(INDEX(Properties!A$1:CB$87,Formula!B20,39)=0,10^6,INDEX(Properties!A$1:CB$87,Formula!B20,39)),IF(INDEX(Properties!A$1:CB$87,Formula!D20,39)=0,10^6,INDEX(Properties!A$1:CB$87,Formula!D20,39)),IF(INDEX(Properties!A$1:CB$87,Formula!F20,39)=0,10^6,INDEX(Properties!A$1:CB$87,Formula!F20,39)),IF(INDEX(Properties!A$1:CB$87,Formula!H20,39)=0,10^6,INDEX(Properties!A$1:CB$87,Formula!H20,39)),IF(INDEX(Properties!A$1:CB$87,Formula!J20,39)=0,10^6,INDEX(Properties!A$1:CB$87,Formula!J20,39)))</f>
        <v>0.48</v>
      </c>
      <c r="DQ20" s="45">
        <f t="shared" si="19"/>
        <v>1.85</v>
      </c>
      <c r="DR20" s="63">
        <f>((Formula!C20)/(Formula!C20+Formula!E20+Formula!G20+Formula!I20+Formula!K20))*(INDEX(Properties!A$1:CB$87,Formula!B20,40))+((Formula!E20)/(Formula!C20+Formula!E20+Formula!G20+Formula!I20+Formula!K20))*(INDEX(Properties!A$1:CB$87,Formula!D20,40))+((Formula!G20)/(Formula!C20+Formula!E20+Formula!G20+Formula!I20+Formula!K20))*(INDEX(Properties!A$1:CB$87,Formula!F20,40))+((Formula!I20)/(Formula!C20+Formula!E20+Formula!G20+Formula!I20+Formula!K20))*(INDEX(Properties!A$1:CB$87,Formula!H20,40))+((Formula!K20)/(Formula!C20+Formula!E20+Formula!G20+Formula!I20+Formula!K20))*(INDEX(Properties!A$1:CB$87,Formula!J20,40))</f>
        <v>1.121</v>
      </c>
      <c r="DS20" s="63">
        <f>Formula!C20*(INDEX(Properties!A$1:CB$87,Formula!B20,40))+Formula!E20*(INDEX(Properties!A$1:CB$87,Formula!D20,40))+Formula!G20*(INDEX(Properties!A$1:CB$87,Formula!F20,40))+Formula!I20*(INDEX(Properties!A$1:CB$87,Formula!H20,40))+Formula!K20*(INDEX(Properties!A$1:CB$87,Formula!J20,40))</f>
        <v>11.21</v>
      </c>
      <c r="DT20" s="63">
        <f>VARP(IF(INDEX(Properties!A$1:CB$87,Formula!B20,40)&lt;&gt;"",INDEX(Properties!A$1:CB$87,Formula!B20,40)),IF(INDEX(Properties!A$1:CB$87,Formula!D20,40)&lt;&gt;"",INDEX(Properties!A$1:CB$87,Formula!D20,40)),IF(INDEX(Properties!A$1:CB$87,Formula!F20,40)&lt;&gt;"",INDEX(Properties!A$1:CB$87,Formula!F20,40)),IF(INDEX(Properties!A$1:CB$87,Formula!H20,40)&lt;&gt;"",INDEX(Properties!A$1:CB$87,Formula!H20,40)),IF(INDEX(Properties!A$1:CB$87,Formula!J20,40)&lt;&gt;"",INDEX(Properties!A$1:CB$87,Formula!J20,40)))</f>
        <v>0.47077599999999975</v>
      </c>
      <c r="DU20" s="63">
        <f>MAX(INDEX(Properties!A$1:CB$87,Formula!B20,40),INDEX(Properties!A$1:CB$87,Formula!D20,40),INDEX(Properties!A$1:CB$87,Formula!F20,40),INDEX(Properties!A$1:CB$87,Formula!H20,40),INDEX(Properties!A$1:CB$87,Formula!J20,40))</f>
        <v>1.92</v>
      </c>
      <c r="DV20" s="63">
        <f>MIN(IF(INDEX(Properties!A$1:CB$87,Formula!B20,40)=0,10^6,INDEX(Properties!A$1:CB$87,Formula!B20,40)),IF(INDEX(Properties!A$1:CB$87,Formula!D20,40)=0,10^6,INDEX(Properties!A$1:CB$87,Formula!D20,40)),IF(INDEX(Properties!A$1:CB$87,Formula!F20,40)=0,10^6,INDEX(Properties!A$1:CB$87,Formula!F20,40)),IF(INDEX(Properties!A$1:CB$87,Formula!H20,40)=0,10^6,INDEX(Properties!A$1:CB$87,Formula!H20,40)),IF(INDEX(Properties!A$1:CB$87,Formula!J20,40)=0,10^6,INDEX(Properties!A$1:CB$87,Formula!J20,40)))</f>
        <v>0.73</v>
      </c>
      <c r="DW20" s="63">
        <f t="shared" si="20"/>
        <v>1.19</v>
      </c>
      <c r="DX20" s="75">
        <f>((Formula!C20)/(Formula!C20+Formula!E20+Formula!G20+Formula!I20+Formula!K20))*(INDEX(Properties!A$1:CB$87,Formula!B20,41))+((Formula!E20)/(Formula!C20+Formula!E20+Formula!G20+Formula!I20+Formula!K20))*(INDEX(Properties!A$1:CB$87,Formula!D20,41))+((Formula!G20)/(Formula!C20+Formula!E20+Formula!G20+Formula!I20+Formula!K20))*(INDEX(Properties!A$1:CB$87,Formula!F20,41))+((Formula!I20)/(Formula!C20+Formula!E20+Formula!G20+Formula!I20+Formula!K20))*(INDEX(Properties!A$1:CB$87,Formula!H20,41))+((Formula!K20)/(Formula!C20+Formula!E20+Formula!G20+Formula!I20+Formula!K20))*(INDEX(Properties!A$1:CB$87,Formula!J20,41))</f>
        <v>1.214</v>
      </c>
      <c r="DY20" s="75">
        <f>Formula!C20*(INDEX(Properties!A$1:CB$87,Formula!B20,41))+Formula!E20*(INDEX(Properties!A$1:CB$87,Formula!D20,41))+Formula!G20*(INDEX(Properties!A$1:CB$87,Formula!F20,41))+Formula!I20*(INDEX(Properties!A$1:CB$87,Formula!H20,41))+Formula!K20*(INDEX(Properties!A$1:CB$87,Formula!J20,41))</f>
        <v>12.14</v>
      </c>
      <c r="DZ20" s="75">
        <f>VARP(IF(INDEX(Properties!A$1:CB$87,Formula!B20,41)&lt;&gt;"",INDEX(Properties!A$1:CB$87,Formula!B20,41)),IF(INDEX(Properties!A$1:CB$87,Formula!D20,41)&lt;&gt;"",INDEX(Properties!A$1:CB$87,Formula!D20,41)),IF(INDEX(Properties!A$1:CB$87,Formula!F20,41)&lt;&gt;"",INDEX(Properties!A$1:CB$87,Formula!F20,41)),IF(INDEX(Properties!A$1:CB$87,Formula!H20,41)&lt;&gt;"",INDEX(Properties!A$1:CB$87,Formula!H20,41)),IF(INDEX(Properties!A$1:CB$87,Formula!J20,41)&lt;&gt;"",INDEX(Properties!A$1:CB$87,Formula!J20,41)))</f>
        <v>0.22998399999999988</v>
      </c>
      <c r="EA20" s="75">
        <f>MAX(INDEX(Properties!A$1:CB$87,Formula!B20,41),INDEX(Properties!A$1:CB$87,Formula!D20,41),INDEX(Properties!A$1:CB$87,Formula!F20,41),INDEX(Properties!A$1:CB$87,Formula!H20,41),INDEX(Properties!A$1:CB$87,Formula!J20,41))</f>
        <v>1.32</v>
      </c>
      <c r="EB20" s="75">
        <f>MIN(IF(INDEX(Properties!A$1:CB$87,Formula!B20,41)=0,10^6,INDEX(Properties!A$1:CB$87,Formula!B20,41)),IF(INDEX(Properties!A$1:CB$87,Formula!D20,41)=0,10^6,INDEX(Properties!A$1:CB$87,Formula!D20,41)),IF(INDEX(Properties!A$1:CB$87,Formula!F20,41)=0,10^6,INDEX(Properties!A$1:CB$87,Formula!F20,41)),IF(INDEX(Properties!A$1:CB$87,Formula!H20,41)=0,10^6,INDEX(Properties!A$1:CB$87,Formula!H20,41)),IF(INDEX(Properties!A$1:CB$87,Formula!J20,41)=0,10^6,INDEX(Properties!A$1:CB$87,Formula!J20,41)))</f>
        <v>0.86</v>
      </c>
      <c r="EC20" s="75">
        <f t="shared" si="21"/>
        <v>0.46000000000000008</v>
      </c>
      <c r="ED20" s="48">
        <f>((Formula!C20)/(Formula!C20+Formula!E20+Formula!G20+Formula!I20+Formula!K20))*(INDEX(Properties!A$1:CB$87,Formula!B20,45))+((Formula!E20)/(Formula!C20+Formula!E20+Formula!G20+Formula!I20+Formula!K20))*(INDEX(Properties!A$1:CB$87,Formula!D20,45))+((Formula!G20)/(Formula!C20+Formula!E20+Formula!G20+Formula!I20+Formula!K20))*(INDEX(Properties!A$1:CB$87,Formula!F20,45))+((Formula!I20)/(Formula!C20+Formula!E20+Formula!G20+Formula!I20+Formula!K20))*(INDEX(Properties!A$1:CB$87,Formula!H20,45))+((Formula!K20)/(Formula!C20+Formula!E20+Formula!G20+Formula!I20+Formula!K20))*(INDEX(Properties!A$1:CB$87,Formula!J20,45))</f>
        <v>1.5939999999999999</v>
      </c>
      <c r="EE20" s="48">
        <f>Formula!C20*(INDEX(Properties!A$1:CB$87,Formula!B20,45))+Formula!E20*(INDEX(Properties!A$1:CB$87,Formula!D20,45))+Formula!G20*(INDEX(Properties!A$1:CB$87,Formula!F20,45))+Formula!I20*(INDEX(Properties!A$1:CB$87,Formula!H20,45))+Formula!K20*(INDEX(Properties!A$1:CB$87,Formula!J20,45))</f>
        <v>15.940000000000001</v>
      </c>
      <c r="EF20" s="48">
        <f>VARP(IF(INDEX(Properties!A$1:CB$87,Formula!B20,45)&lt;&gt;"",INDEX(Properties!A$1:CB$87,Formula!B20,45)),IF(INDEX(Properties!A$1:CB$87,Formula!D20,45)&lt;&gt;"",INDEX(Properties!A$1:CB$87,Formula!D20,45)),IF(INDEX(Properties!A$1:CB$87,Formula!F20,45)&lt;&gt;"",INDEX(Properties!A$1:CB$87,Formula!F20,45)),IF(INDEX(Properties!A$1:CB$87,Formula!H20,45)&lt;&gt;"",INDEX(Properties!A$1:CB$87,Formula!H20,45)),IF(INDEX(Properties!A$1:CB$87,Formula!J20,45)&lt;&gt;"",INDEX(Properties!A$1:CB$87,Formula!J20,45)))</f>
        <v>2.4096639999999989</v>
      </c>
      <c r="EG20" s="48">
        <f>MAX(INDEX(Properties!A$1:CB$87,Formula!B20,45),INDEX(Properties!A$1:CB$87,Formula!D20,45),INDEX(Properties!A$1:CB$87,Formula!F20,45),INDEX(Properties!A$1:CB$87,Formula!H20,45),INDEX(Properties!A$1:CB$87,Formula!J20,45))</f>
        <v>3.91</v>
      </c>
      <c r="EH20" s="48">
        <f>MIN(IF(INDEX(Properties!A$1:CB$87,Formula!B20,45)=0,10^6,INDEX(Properties!A$1:CB$87,Formula!B20,45)),IF(INDEX(Properties!A$1:CB$87,Formula!D20,45)=0,10^6,INDEX(Properties!A$1:CB$87,Formula!D20,45)),IF(INDEX(Properties!A$1:CB$87,Formula!F20,45)=0,10^6,INDEX(Properties!A$1:CB$87,Formula!F20,45)),IF(INDEX(Properties!A$1:CB$87,Formula!H20,45)=0,10^6,INDEX(Properties!A$1:CB$87,Formula!H20,45)),IF(INDEX(Properties!A$1:CB$87,Formula!J20,45)=0,10^6,INDEX(Properties!A$1:CB$87,Formula!J20,45)))</f>
        <v>0.47</v>
      </c>
      <c r="EI20" s="48">
        <f t="shared" si="22"/>
        <v>3.4400000000000004</v>
      </c>
      <c r="EJ20" s="66">
        <f>((Formula!C20)/(Formula!C20+Formula!E20+Formula!G20+Formula!I20+Formula!K20))*(INDEX(Properties!A$1:CB$87,Formula!B20,46))+((Formula!E20)/(Formula!C20+Formula!E20+Formula!G20+Formula!I20+Formula!K20))*(INDEX(Properties!A$1:CB$87,Formula!D20,46))+((Formula!G20)/(Formula!C20+Formula!E20+Formula!G20+Formula!I20+Formula!K20))*(INDEX(Properties!A$1:CB$87,Formula!F20,46))+((Formula!I20)/(Formula!C20+Formula!E20+Formula!G20+Formula!I20+Formula!K20))*(INDEX(Properties!A$1:CB$87,Formula!H20,46))+((Formula!K20)/(Formula!C20+Formula!E20+Formula!G20+Formula!I20+Formula!K20))*(INDEX(Properties!A$1:CB$87,Formula!J20,46))</f>
        <v>1.1759999999999999</v>
      </c>
      <c r="EK20" s="66">
        <f>Formula!C20*(INDEX(Properties!A$1:CB$87,Formula!B20,46))+Formula!E20*(INDEX(Properties!A$1:CB$87,Formula!D20,46))+Formula!G20*(INDEX(Properties!A$1:CB$87,Formula!F20,46))+Formula!I20*(INDEX(Properties!A$1:CB$87,Formula!H20,46))+Formula!K20*(INDEX(Properties!A$1:CB$87,Formula!J20,46))</f>
        <v>11.76</v>
      </c>
      <c r="EL20" s="66">
        <f>VARP(IF(INDEX(Properties!A$1:CB$87,Formula!B20,46)&lt;&gt;"",INDEX(Properties!A$1:CB$87,Formula!B20,46)),IF(INDEX(Properties!A$1:CB$87,Formula!D20,46)&lt;&gt;"",INDEX(Properties!A$1:CB$87,Formula!D20,46)),IF(INDEX(Properties!A$1:CB$87,Formula!F20,46)&lt;&gt;"",INDEX(Properties!A$1:CB$87,Formula!F20,46)),IF(INDEX(Properties!A$1:CB$87,Formula!H20,46)&lt;&gt;"",INDEX(Properties!A$1:CB$87,Formula!H20,46)),IF(INDEX(Properties!A$1:CB$87,Formula!J20,46)&lt;&gt;"",INDEX(Properties!A$1:CB$87,Formula!J20,46)))</f>
        <v>0.22537599999999983</v>
      </c>
      <c r="EM20" s="66">
        <f>MAX(INDEX(Properties!A$1:CB$87,Formula!B20,46),INDEX(Properties!A$1:CB$87,Formula!D20,46),INDEX(Properties!A$1:CB$87,Formula!F20,46),INDEX(Properties!A$1:CB$87,Formula!H20,46),INDEX(Properties!A$1:CB$87,Formula!J20,46))</f>
        <v>1.32</v>
      </c>
      <c r="EN20" s="66">
        <f>MIN(IF(INDEX(Properties!A$1:CB$87,Formula!B20,46)=0,10^6,INDEX(Properties!A$1:CB$87,Formula!B20,46)),IF(INDEX(Properties!A$1:CB$87,Formula!D20,46)=0,10^6,INDEX(Properties!A$1:CB$87,Formula!D20,46)),IF(INDEX(Properties!A$1:CB$87,Formula!F20,46)=0,10^6,INDEX(Properties!A$1:CB$87,Formula!F20,46)),IF(INDEX(Properties!A$1:CB$87,Formula!H20,46)=0,10^6,INDEX(Properties!A$1:CB$87,Formula!H20,46)),IF(INDEX(Properties!A$1:CB$87,Formula!J20,46)=0,10^6,INDEX(Properties!A$1:CB$87,Formula!J20,46)))</f>
        <v>0.78</v>
      </c>
      <c r="EO20" s="66">
        <f t="shared" si="23"/>
        <v>0.54</v>
      </c>
      <c r="EP20" s="81">
        <f>((Formula!C20)/(Formula!C20+Formula!E20+Formula!G20+Formula!I20+Formula!K20))*(INDEX(Properties!A$1:CB$87,Formula!B20,52))+((Formula!E20)/(Formula!C20+Formula!E20+Formula!G20+Formula!I20+Formula!K20))*(INDEX(Properties!A$1:CB$87,Formula!D20,52))+((Formula!G20)/(Formula!C20+Formula!E20+Formula!G20+Formula!I20+Formula!K20))*(INDEX(Properties!A$1:CB$87,Formula!F20,52))+((Formula!I20)/(Formula!C20+Formula!E20+Formula!G20+Formula!I20+Formula!K20))*(INDEX(Properties!A$1:CB$87,Formula!H20,52))+((Formula!K20)/(Formula!C20+Formula!E20+Formula!G20+Formula!I20+Formula!K20))*(INDEX(Properties!A$1:CB$87,Formula!J20,52))</f>
        <v>9.655800000000001</v>
      </c>
      <c r="EQ20" s="81">
        <f>Formula!C20*(INDEX(Properties!A$1:CB$87,Formula!B20,52))+Formula!E20*(INDEX(Properties!A$1:CB$87,Formula!D20,52))+Formula!G20*(INDEX(Properties!A$1:CB$87,Formula!F20,52))+Formula!I20*(INDEX(Properties!A$1:CB$87,Formula!H20,52))+Formula!K20*(INDEX(Properties!A$1:CB$87,Formula!J20,52))</f>
        <v>96.557999999999993</v>
      </c>
      <c r="ER20" s="81">
        <f>VARP(IF(INDEX(Properties!A$1:CB$87,Formula!B20,52)&lt;&gt;"",INDEX(Properties!A$1:CB$87,Formula!B20,52)),IF(INDEX(Properties!A$1:CB$87,Formula!D20,52)&lt;&gt;"",INDEX(Properties!A$1:CB$87,Formula!D20,52)),IF(INDEX(Properties!A$1:CB$87,Formula!F20,52)&lt;&gt;"",INDEX(Properties!A$1:CB$87,Formula!F20,52)),IF(INDEX(Properties!A$1:CB$87,Formula!H20,52)&lt;&gt;"",INDEX(Properties!A$1:CB$87,Formula!H20,52)),IF(INDEX(Properties!A$1:CB$87,Formula!J20,52)&lt;&gt;"",INDEX(Properties!A$1:CB$87,Formula!J20,52)))</f>
        <v>128.28616783999993</v>
      </c>
      <c r="ES20" s="81">
        <f>MAX(INDEX(Properties!A$1:CB$87,Formula!B20,52),INDEX(Properties!A$1:CB$87,Formula!D20,52),INDEX(Properties!A$1:CB$87,Formula!F20,52),INDEX(Properties!A$1:CB$87,Formula!H20,52),INDEX(Properties!A$1:CB$87,Formula!J20,52))</f>
        <v>27.6</v>
      </c>
      <c r="ET20" s="81">
        <f>MIN(IF(INDEX(Properties!A$1:CB$87,Formula!B20,52)=0,10^6,INDEX(Properties!A$1:CB$87,Formula!B20,52)),IF(INDEX(Properties!A$1:CB$87,Formula!D20,52)=0,10^6,INDEX(Properties!A$1:CB$87,Formula!D20,52)),IF(INDEX(Properties!A$1:CB$87,Formula!F20,52)=0,10^6,INDEX(Properties!A$1:CB$87,Formula!F20,52)),IF(INDEX(Properties!A$1:CB$87,Formula!H20,52)=0,10^6,INDEX(Properties!A$1:CB$87,Formula!H20,52)),IF(INDEX(Properties!A$1:CB$87,Formula!J20,52)=0,10^6,INDEX(Properties!A$1:CB$87,Formula!J20,52)))</f>
        <v>0.79300000000000004</v>
      </c>
      <c r="EU20" s="81">
        <f t="shared" si="24"/>
        <v>26.807000000000002</v>
      </c>
      <c r="EV20" s="39">
        <f>((Formula!C20)/(Formula!C20+Formula!E20+Formula!G20+Formula!I20+Formula!K20))*(INDEX(Properties!A$1:CB$87,Formula!B20,53))+((Formula!E20)/(Formula!C20+Formula!E20+Formula!G20+Formula!I20+Formula!K20))*(INDEX(Properties!A$1:CB$87,Formula!D20,53))+((Formula!G20)/(Formula!C20+Formula!E20+Formula!G20+Formula!I20+Formula!K20))*(INDEX(Properties!A$1:CB$87,Formula!F20,53))+((Formula!I20)/(Formula!C20+Formula!E20+Formula!G20+Formula!I20+Formula!K20))*(INDEX(Properties!A$1:CB$87,Formula!H20,53))+((Formula!K20)/(Formula!C20+Formula!E20+Formula!G20+Formula!I20+Formula!K20))*(INDEX(Properties!A$1:CB$87,Formula!J20,53))</f>
        <v>726.81000000000006</v>
      </c>
      <c r="EW20" s="39">
        <f>Formula!C20*(INDEX(Properties!A$1:CB$87,Formula!B20,53))+Formula!E20*(INDEX(Properties!A$1:CB$87,Formula!D20,53))+Formula!G20*(INDEX(Properties!A$1:CB$87,Formula!F20,53))+Formula!I20*(INDEX(Properties!A$1:CB$87,Formula!H20,53))+Formula!K20*(INDEX(Properties!A$1:CB$87,Formula!J20,53))</f>
        <v>7268.1</v>
      </c>
      <c r="EX20" s="39">
        <f>VARP(IF(INDEX(Properties!A$1:CB$87,Formula!B20,53)&lt;&gt;"",INDEX(Properties!A$1:CB$87,Formula!B20,53)),IF(INDEX(Properties!A$1:CB$87,Formula!D20,53)&lt;&gt;"",INDEX(Properties!A$1:CB$87,Formula!D20,53)),IF(INDEX(Properties!A$1:CB$87,Formula!F20,53)&lt;&gt;"",INDEX(Properties!A$1:CB$87,Formula!F20,53)),IF(INDEX(Properties!A$1:CB$87,Formula!H20,53)&lt;&gt;"",INDEX(Properties!A$1:CB$87,Formula!H20,53)),IF(INDEX(Properties!A$1:CB$87,Formula!J20,53)&lt;&gt;"",INDEX(Properties!A$1:CB$87,Formula!J20,53)))</f>
        <v>1441310.1523999998</v>
      </c>
      <c r="EY20" s="39">
        <f>MAX(INDEX(Properties!A$1:CB$87,Formula!B20,53),INDEX(Properties!A$1:CB$87,Formula!D20,53),INDEX(Properties!A$1:CB$87,Formula!F20,53),INDEX(Properties!A$1:CB$87,Formula!H20,53),INDEX(Properties!A$1:CB$87,Formula!J20,53))</f>
        <v>3269.15</v>
      </c>
      <c r="EZ20" s="39">
        <f>MIN(IF(INDEX(Properties!A$1:CB$87,Formula!B20,53)=0,10^6,INDEX(Properties!A$1:CB$87,Formula!B20,53)),IF(INDEX(Properties!A$1:CB$87,Formula!D20,53)=0,10^6,INDEX(Properties!A$1:CB$87,Formula!D20,53)),IF(INDEX(Properties!A$1:CB$87,Formula!F20,53)=0,10^6,INDEX(Properties!A$1:CB$87,Formula!F20,53)),IF(INDEX(Properties!A$1:CB$87,Formula!H20,53)=0,10^6,INDEX(Properties!A$1:CB$87,Formula!H20,53)),IF(INDEX(Properties!A$1:CB$87,Formula!J20,53)=0,10^6,INDEX(Properties!A$1:CB$87,Formula!J20,53)))</f>
        <v>54.749999999999972</v>
      </c>
      <c r="FA20" s="39">
        <f t="shared" si="25"/>
        <v>3214.4</v>
      </c>
      <c r="FB20" s="54">
        <f>((Formula!C20)/(Formula!C20+Formula!E20+Formula!G20+Formula!I20+Formula!K20))*(INDEX(Properties!A$1:CB$87,Formula!B20,54))+((Formula!E20)/(Formula!C20+Formula!E20+Formula!G20+Formula!I20+Formula!K20))*(INDEX(Properties!A$1:CB$87,Formula!D20,54))+((Formula!G20)/(Formula!C20+Formula!E20+Formula!G20+Formula!I20+Formula!K20))*(INDEX(Properties!A$1:CB$87,Formula!F20,54))+((Formula!I20)/(Formula!C20+Formula!E20+Formula!G20+Formula!I20+Formula!K20))*(INDEX(Properties!A$1:CB$87,Formula!H20,54))+((Formula!K20)/(Formula!C20+Formula!E20+Formula!G20+Formula!I20+Formula!K20))*(INDEX(Properties!A$1:CB$87,Formula!J20,54))</f>
        <v>1309.95</v>
      </c>
      <c r="FC20" s="54">
        <f>Formula!C20*(INDEX(Properties!A$1:CB$87,Formula!B20,54))+Formula!E20*(INDEX(Properties!A$1:CB$87,Formula!D20,54))+Formula!G20*(INDEX(Properties!A$1:CB$87,Formula!F20,54))+Formula!I20*(INDEX(Properties!A$1:CB$87,Formula!H20,54))+Formula!K20*(INDEX(Properties!A$1:CB$87,Formula!J20,54))</f>
        <v>13099.5</v>
      </c>
      <c r="FD20" s="54">
        <f>VARP(IF(INDEX(Properties!A$1:CB$87,Formula!B20,54)&lt;&gt;"",INDEX(Properties!A$1:CB$87,Formula!B20,54)),IF(INDEX(Properties!A$1:CB$87,Formula!D20,54)&lt;&gt;"",INDEX(Properties!A$1:CB$87,Formula!D20,54)),IF(INDEX(Properties!A$1:CB$87,Formula!F20,54)&lt;&gt;"",INDEX(Properties!A$1:CB$87,Formula!F20,54)),IF(INDEX(Properties!A$1:CB$87,Formula!H20,54)&lt;&gt;"",INDEX(Properties!A$1:CB$87,Formula!H20,54)),IF(INDEX(Properties!A$1:CB$87,Formula!J20,54)&lt;&gt;"",INDEX(Properties!A$1:CB$87,Formula!J20,54)))</f>
        <v>4727062.4555999981</v>
      </c>
      <c r="FE20" s="54">
        <f>MAX(INDEX(Properties!A$1:CB$87,Formula!B20,54),INDEX(Properties!A$1:CB$87,Formula!D20,54),INDEX(Properties!A$1:CB$87,Formula!F20,54),INDEX(Properties!A$1:CB$87,Formula!H20,54),INDEX(Properties!A$1:CB$87,Formula!J20,54))</f>
        <v>5698.15</v>
      </c>
      <c r="FF20" s="54">
        <f>MIN(IF(INDEX(Properties!A$1:CB$87,Formula!B20,54)=0,10^6,INDEX(Properties!A$1:CB$87,Formula!B20,54)),IF(INDEX(Properties!A$1:CB$87,Formula!D20,54)=0,10^6,INDEX(Properties!A$1:CB$87,Formula!D20,54)),IF(INDEX(Properties!A$1:CB$87,Formula!F20,54)=0,10^6,INDEX(Properties!A$1:CB$87,Formula!F20,54)),IF(INDEX(Properties!A$1:CB$87,Formula!H20,54)=0,10^6,INDEX(Properties!A$1:CB$87,Formula!H20,54)),IF(INDEX(Properties!A$1:CB$87,Formula!J20,54)=0,10^6,INDEX(Properties!A$1:CB$87,Formula!J20,54)))</f>
        <v>90.149999999999977</v>
      </c>
      <c r="FG20" s="54">
        <f t="shared" si="26"/>
        <v>5608</v>
      </c>
      <c r="FH20" s="69">
        <f>((Formula!C20)/(Formula!C20+Formula!E20+Formula!G20+Formula!I20+Formula!K20))*(INDEX(Properties!A$1:CB$87,Formula!B20,55))+((Formula!E20)/(Formula!C20+Formula!E20+Formula!G20+Formula!I20+Formula!K20))*(INDEX(Properties!A$1:CB$87,Formula!D20,55))+((Formula!G20)/(Formula!C20+Formula!E20+Formula!G20+Formula!I20+Formula!K20))*(INDEX(Properties!A$1:CB$87,Formula!F20,55))+((Formula!I20)/(Formula!C20+Formula!E20+Formula!G20+Formula!I20+Formula!K20))*(INDEX(Properties!A$1:CB$87,Formula!H20,55))+((Formula!K20)/(Formula!C20+Formula!E20+Formula!G20+Formula!I20+Formula!K20))*(INDEX(Properties!A$1:CB$87,Formula!J20,55))</f>
        <v>2.976858</v>
      </c>
      <c r="FI20" s="69">
        <f>Formula!C20*(INDEX(Properties!A$1:CB$87,Formula!B20,55))+Formula!E20*(INDEX(Properties!A$1:CB$87,Formula!D20,54))+Formula!G20*(INDEX(Properties!A$1:CB$87,Formula!F20,55))+Formula!I20*(INDEX(Properties!A$1:CB$87,Formula!H20,55))+Formula!K20*(INDEX(Properties!A$1:CB$87,Formula!J20,55))</f>
        <v>3568.0185800000004</v>
      </c>
      <c r="FJ20" s="69">
        <f>VARP(IF(INDEX(Properties!A$1:CB$87,Formula!B20,55)&lt;&gt;"",INDEX(Properties!A$1:CB$87,Formula!B20,55)),IF(INDEX(Properties!A$1:CB$87,Formula!D20,55)&lt;&gt;"",INDEX(Properties!A$1:CB$87,Formula!D20,55)),IF(INDEX(Properties!A$1:CB$87,Formula!F20,55)&lt;&gt;"",INDEX(Properties!A$1:CB$87,Formula!F20,55)),IF(INDEX(Properties!A$1:CB$87,Formula!H20,55)&lt;&gt;"",INDEX(Properties!A$1:CB$87,Formula!H20,55)),IF(INDEX(Properties!A$1:CB$87,Formula!J20,55)&lt;&gt;"",INDEX(Properties!A$1:CB$87,Formula!J20,55)))</f>
        <v>39.532800655184012</v>
      </c>
      <c r="FK20" s="69">
        <f>MAX(INDEX(Properties!A$1:CB$87,Formula!B20,55),INDEX(Properties!A$1:CB$87,Formula!D20,55),INDEX(Properties!A$1:CB$87,Formula!F20,55),INDEX(Properties!A$1:CB$87,Formula!H20,55),INDEX(Properties!A$1:CB$87,Formula!J20,55))</f>
        <v>16.600000000000001</v>
      </c>
      <c r="FL20" s="69">
        <f>MIN(IF(INDEX(Properties!A$1:CB$87,Formula!B20,55)=0,10^6,INDEX(Properties!A$1:CB$87,Formula!B20,55)),IF(INDEX(Properties!A$1:CB$87,Formula!D20,55)=0,10^6,INDEX(Properties!A$1:CB$87,Formula!D20,55)),IF(INDEX(Properties!A$1:CB$87,Formula!F20,55)=0,10^6,INDEX(Properties!A$1:CB$87,Formula!F20,55)),IF(INDEX(Properties!A$1:CB$87,Formula!H20,55)=0,10^6,INDEX(Properties!A$1:CB$87,Formula!H20,55)),IF(INDEX(Properties!A$1:CB$87,Formula!J20,55)=0,10^6,INDEX(Properties!A$1:CB$87,Formula!J20,55)))</f>
        <v>1.4300000000000001E-3</v>
      </c>
      <c r="FM20" s="69">
        <f t="shared" si="27"/>
        <v>16.598570000000002</v>
      </c>
      <c r="FN20" s="42">
        <f>((Formula!C20)/(Formula!C20+Formula!E20+Formula!G20+Formula!I20+Formula!K20))*(INDEX(Properties!A$1:CB$87,Formula!B20,56))+((Formula!E20)/(Formula!C20+Formula!E20+Formula!G20+Formula!I20+Formula!K20))*(INDEX(Properties!A$1:CB$87,Formula!D20,56))+((Formula!G20)/(Formula!C20+Formula!E20+Formula!G20+Formula!I20+Formula!K20))*(INDEX(Properties!A$1:CB$87,Formula!F20,56))+((Formula!I20)/(Formula!C20+Formula!E20+Formula!G20+Formula!I20+Formula!K20))*(INDEX(Properties!A$1:CB$87,Formula!H20,56))+((Formula!K20)/(Formula!C20+Formula!E20+Formula!G20+Formula!I20+Formula!K20))*(INDEX(Properties!A$1:CB$87,Formula!J20,56))</f>
        <v>0.64900000000000002</v>
      </c>
      <c r="FO20" s="42">
        <f>Formula!C20*(INDEX(Properties!A$1:CB$87,Formula!B20,56))+Formula!E20*(INDEX(Properties!A$1:CB$87,Formula!D20,56))+Formula!G20*(INDEX(Properties!A$1:CB$87,Formula!F20,56))+Formula!I20*(INDEX(Properties!A$1:CB$87,Formula!H20,56))+Formula!K20*(INDEX(Properties!A$1:CB$87,Formula!J20,56))</f>
        <v>6.49</v>
      </c>
      <c r="FP20" s="42">
        <f>VARP(IF(INDEX(Properties!A$1:CB$87,Formula!B20,56)&lt;&gt;"",INDEX(Properties!A$1:CB$87,Formula!B20,56)),IF(INDEX(Properties!A$1:CB$87,Formula!D20,56)&lt;&gt;"",INDEX(Properties!A$1:CB$87,Formula!D20,56)),IF(INDEX(Properties!A$1:CB$87,Formula!F20,56)&lt;&gt;"",INDEX(Properties!A$1:CB$87,Formula!F20,56)),IF(INDEX(Properties!A$1:CB$87,Formula!H20,56)&lt;&gt;"",INDEX(Properties!A$1:CB$87,Formula!H20,56)),IF(INDEX(Properties!A$1:CB$87,Formula!J20,56)&lt;&gt;"",INDEX(Properties!A$1:CB$87,Formula!J20,56)))</f>
        <v>0.10065600000000004</v>
      </c>
      <c r="FQ20" s="42">
        <f>MAX(INDEX(Properties!A$1:CB$87,Formula!B20,56),INDEX(Properties!A$1:CB$87,Formula!D20,56),INDEX(Properties!A$1:CB$87,Formula!F20,56),INDEX(Properties!A$1:CB$87,Formula!H20,56),INDEX(Properties!A$1:CB$87,Formula!J20,56))</f>
        <v>0.92</v>
      </c>
      <c r="FR20" s="42">
        <f>MIN(IF(INDEX(Properties!A$1:CB$87,Formula!B20,56)=0,10^6,INDEX(Properties!A$1:CB$87,Formula!B20,56)),IF(INDEX(Properties!A$1:CB$87,Formula!D20,56)=0,10^6,INDEX(Properties!A$1:CB$87,Formula!D20,56)),IF(INDEX(Properties!A$1:CB$87,Formula!F20,56)=0,10^6,INDEX(Properties!A$1:CB$87,Formula!F20,56)),IF(INDEX(Properties!A$1:CB$87,Formula!H20,56)=0,10^6,INDEX(Properties!A$1:CB$87,Formula!H20,56)),IF(INDEX(Properties!A$1:CB$87,Formula!J20,56)=0,10^6,INDEX(Properties!A$1:CB$87,Formula!J20,56)))</f>
        <v>0.14000000000000001</v>
      </c>
      <c r="FS20" s="42">
        <f t="shared" si="28"/>
        <v>0.78</v>
      </c>
      <c r="FT20" s="60">
        <f>((Formula!C20)/(Formula!C20+Formula!E20+Formula!G20+Formula!I20+Formula!K20))*(INDEX(Properties!A$1:CB$87,Formula!B20,57))+((Formula!E20)/(Formula!C20+Formula!E20+Formula!G20+Formula!I20+Formula!K20))*(INDEX(Properties!A$1:CB$87,Formula!D20,57))+((Formula!G20)/(Formula!C20+Formula!E20+Formula!G20+Formula!I20+Formula!K20))*(INDEX(Properties!A$1:CB$87,Formula!F20,57))+((Formula!I20)/(Formula!C20+Formula!E20+Formula!G20+Formula!I20+Formula!K20))*(INDEX(Properties!A$1:CB$87,Formula!H20,57))+((Formula!K20)/(Formula!C20+Formula!E20+Formula!G20+Formula!I20+Formula!K20))*(INDEX(Properties!A$1:CB$87,Formula!J20,57))</f>
        <v>5.9585540000000004</v>
      </c>
      <c r="FU20" s="60">
        <f>Formula!C20*(INDEX(Properties!A$1:CB$87,Formula!B20,57))+Formula!E20*(INDEX(Properties!A$1:CB$87,Formula!D20,57))+Formula!G20*(INDEX(Properties!A$1:CB$87,Formula!F20,57))+Formula!I20*(INDEX(Properties!A$1:CB$87,Formula!H20,57))+Formula!K20*(INDEX(Properties!A$1:CB$87,Formula!J20,57))</f>
        <v>59.585540000000002</v>
      </c>
      <c r="FV20" s="60">
        <f>VARP(IF(INDEX(Properties!A$1:CB$87,Formula!B20,57)&lt;&gt;"",INDEX(Properties!A$1:CB$87,Formula!B20,57)),IF(INDEX(Properties!A$1:CB$87,Formula!D20,57)&lt;&gt;"",INDEX(Properties!A$1:CB$87,Formula!D20,57)),IF(INDEX(Properties!A$1:CB$87,Formula!F20,57)&lt;&gt;"",INDEX(Properties!A$1:CB$87,Formula!F20,57)),IF(INDEX(Properties!A$1:CB$87,Formula!H20,57)&lt;&gt;"",INDEX(Properties!A$1:CB$87,Formula!H20,57)),IF(INDEX(Properties!A$1:CB$87,Formula!J20,57)&lt;&gt;"",INDEX(Properties!A$1:CB$87,Formula!J20,57)))</f>
        <v>133.00885776929601</v>
      </c>
      <c r="FW20" s="60">
        <f>MAX(INDEX(Properties!A$1:CB$87,Formula!B20,57),INDEX(Properties!A$1:CB$87,Formula!D20,57),INDEX(Properties!A$1:CB$87,Formula!F20,57),INDEX(Properties!A$1:CB$87,Formula!H20,57),INDEX(Properties!A$1:CB$87,Formula!J20,57))</f>
        <v>31.6</v>
      </c>
      <c r="FX20" s="60">
        <f>MIN(IF(INDEX(Properties!A$1:CB$87,Formula!B20,57)=0,10^6,INDEX(Properties!A$1:CB$87,Formula!B20,57)),IF(INDEX(Properties!A$1:CB$87,Formula!D20,57)=0,10^6,INDEX(Properties!A$1:CB$87,Formula!D20,57)),IF(INDEX(Properties!A$1:CB$87,Formula!F20,57)=0,10^6,INDEX(Properties!A$1:CB$87,Formula!F20,57)),IF(INDEX(Properties!A$1:CB$87,Formula!H20,57)=0,10^6,INDEX(Properties!A$1:CB$87,Formula!H20,57)),IF(INDEX(Properties!A$1:CB$87,Formula!J20,57)=0,10^6,INDEX(Properties!A$1:CB$87,Formula!J20,57)))</f>
        <v>0.22259000000000001</v>
      </c>
      <c r="FY20" s="60">
        <f t="shared" si="29"/>
        <v>31.377410000000001</v>
      </c>
      <c r="FZ20" s="72">
        <f>((Formula!C20)/(Formula!C20+Formula!E20+Formula!G20+Formula!I20+Formula!K20))*(INDEX(Properties!A$1:CB$87,Formula!B20,60))+((Formula!E20)/(Formula!C20+Formula!E20+Formula!G20+Formula!I20+Formula!K20))*(INDEX(Properties!A$1:CB$87,Formula!D20,60))+((Formula!G20)/(Formula!C20+Formula!E20+Formula!G20+Formula!I20+Formula!K20))*(INDEX(Properties!A$1:CB$87,Formula!F20,60))+((Formula!I20)/(Formula!C20+Formula!E20+Formula!G20+Formula!I20+Formula!K20))*(INDEX(Properties!A$1:CB$87,Formula!H20,60))+((Formula!K20)/(Formula!C20+Formula!E20+Formula!G20+Formula!I20+Formula!K20))*(INDEX(Properties!A$1:CB$87,Formula!J20,60))</f>
        <v>13.886044</v>
      </c>
      <c r="GA20" s="72">
        <f>Formula!C20*(INDEX(Properties!A$1:CB$87,Formula!B20,60))+Formula!E20*(INDEX(Properties!A$1:CB$87,Formula!D20,60))+Formula!G20*(INDEX(Properties!A$1:CB$87,Formula!F20,60))+Formula!I20*(INDEX(Properties!A$1:CB$87,Formula!H20,60))+Formula!K20*(INDEX(Properties!A$1:CB$87,Formula!J20,60))</f>
        <v>138.86043999999998</v>
      </c>
      <c r="GB20" s="72">
        <f>VARP(IF(INDEX(Properties!A$1:CB$87,Formula!B20,60)&lt;&gt;"",INDEX(Properties!A$1:CB$87,Formula!B20,60)),IF(INDEX(Properties!A$1:CB$87,Formula!D20,60)&lt;&gt;"",INDEX(Properties!A$1:CB$87,Formula!D20,60)),IF(INDEX(Properties!A$1:CB$87,Formula!F20,60)&lt;&gt;"",INDEX(Properties!A$1:CB$87,Formula!F20,60)),IF(INDEX(Properties!A$1:CB$87,Formula!H20,60)&lt;&gt;"",INDEX(Properties!A$1:CB$87,Formula!H20,60)),IF(INDEX(Properties!A$1:CB$87,Formula!J20,60)&lt;&gt;"",INDEX(Properties!A$1:CB$87,Formula!J20,60)))</f>
        <v>505.05652112441589</v>
      </c>
      <c r="GC20" s="72">
        <f>MAX(INDEX(Properties!A$1:CB$87,Formula!B20,60),INDEX(Properties!A$1:CB$87,Formula!D20,60),INDEX(Properties!A$1:CB$87,Formula!F20,60),INDEX(Properties!A$1:CB$87,Formula!H20,60),INDEX(Properties!A$1:CB$87,Formula!J20,60))</f>
        <v>57.5</v>
      </c>
      <c r="GD20" s="72">
        <f>MIN(IF(INDEX(Properties!A$1:CB$87,Formula!B20,60)=0,10^6,INDEX(Properties!A$1:CB$87,Formula!B20,60)),IF(INDEX(Properties!A$1:CB$87,Formula!D20,60)=0,10^6,INDEX(Properties!A$1:CB$87,Formula!D20,60)),IF(INDEX(Properties!A$1:CB$87,Formula!F20,60)=0,10^6,INDEX(Properties!A$1:CB$87,Formula!F20,60)),IF(INDEX(Properties!A$1:CB$87,Formula!H20,60)=0,10^6,INDEX(Properties!A$1:CB$87,Formula!H20,60)),IF(INDEX(Properties!A$1:CB$87,Formula!J20,60)=0,10^6,INDEX(Properties!A$1:CB$87,Formula!J20,60)))</f>
        <v>2.674E-2</v>
      </c>
      <c r="GE20" s="72">
        <f t="shared" si="30"/>
        <v>57.473260000000003</v>
      </c>
      <c r="GF20" s="51">
        <f>((Formula!C20)/(Formula!C20+Formula!E20+Formula!G20+Formula!I20+Formula!K20))*(INDEX(Properties!A$1:CB$87,Formula!B20,62))+((Formula!E20)/(Formula!C20+Formula!E20+Formula!G20+Formula!I20+Formula!K20))*(INDEX(Properties!A$1:CB$87,Formula!D20,62))+((Formula!G20)/(Formula!C20+Formula!E20+Formula!G20+Formula!I20+Formula!K20))*(INDEX(Properties!A$1:CB$87,Formula!F20,62))+((Formula!I20)/(Formula!C20+Formula!E20+Formula!G20+Formula!I20+Formula!K20))*(INDEX(Properties!A$1:CB$87,Formula!H20,62))+((Formula!K20)/(Formula!C20+Formula!E20+Formula!G20+Formula!I20+Formula!K20))*(INDEX(Properties!A$1:CB$87,Formula!J20,62))</f>
        <v>3.14</v>
      </c>
      <c r="GG20" s="51">
        <f>Formula!C20*(INDEX(Properties!A$1:CB$87,Formula!B20,62))+Formula!E20*(INDEX(Properties!A$1:CB$87,Formula!D20,62))+Formula!G20*(INDEX(Properties!A$1:CB$87,Formula!F20,62))+Formula!I20*(INDEX(Properties!A$1:CB$87,Formula!H20,62))+Formula!K20*(INDEX(Properties!A$1:CB$87,Formula!J20,62))</f>
        <v>31.4</v>
      </c>
      <c r="GH20" s="51">
        <f>VARP(IF(INDEX(Properties!A$1:CB$87,Formula!B20,62)&lt;&gt;"",INDEX(Properties!A$1:CB$87,Formula!B20,62)),IF(INDEX(Properties!A$1:CB$87,Formula!D20,62)&lt;&gt;"",INDEX(Properties!A$1:CB$87,Formula!D20,62)),IF(INDEX(Properties!A$1:CB$87,Formula!F20,62)&lt;&gt;"",INDEX(Properties!A$1:CB$87,Formula!F20,62)),IF(INDEX(Properties!A$1:CB$87,Formula!H20,62)&lt;&gt;"",INDEX(Properties!A$1:CB$87,Formula!H20,62)),IF(INDEX(Properties!A$1:CB$87,Formula!J20,62)&lt;&gt;"",INDEX(Properties!A$1:CB$87,Formula!J20,62)))</f>
        <v>7.5186240000000018</v>
      </c>
      <c r="GI20" s="51">
        <f>MAX(INDEX(Properties!A$1:CB$87,Formula!B20,62),INDEX(Properties!A$1:CB$87,Formula!D20,62),INDEX(Properties!A$1:CB$87,Formula!F20,62),INDEX(Properties!A$1:CB$87,Formula!H20,62),INDEX(Properties!A$1:CB$87,Formula!J20,62))</f>
        <v>8.1</v>
      </c>
      <c r="GJ20" s="51">
        <f>MIN(IF(INDEX(Properties!A$1:CB$87,Formula!B20,62)=0,10^6,INDEX(Properties!A$1:CB$87,Formula!B20,62)),IF(INDEX(Properties!A$1:CB$87,Formula!D20,62)=0,10^6,INDEX(Properties!A$1:CB$87,Formula!D20,62)),IF(INDEX(Properties!A$1:CB$87,Formula!F20,62)=0,10^6,INDEX(Properties!A$1:CB$87,Formula!F20,62)),IF(INDEX(Properties!A$1:CB$87,Formula!H20,62)=0,10^6,INDEX(Properties!A$1:CB$87,Formula!H20,62)),IF(INDEX(Properties!A$1:CB$87,Formula!J20,62)=0,10^6,INDEX(Properties!A$1:CB$87,Formula!J20,62)))</f>
        <v>1.72</v>
      </c>
      <c r="GK20" s="51">
        <f t="shared" si="31"/>
        <v>6.38</v>
      </c>
      <c r="GL20" s="51">
        <f>Formula!P20</f>
        <v>15</v>
      </c>
      <c r="GM20" s="57">
        <f>Formula!O20</f>
        <v>2</v>
      </c>
      <c r="GN20" s="51">
        <f>Formula!N20</f>
        <v>0.1</v>
      </c>
    </row>
    <row r="21" spans="1:196" s="5" customFormat="1" x14ac:dyDescent="0.3">
      <c r="A21" s="84" t="str">
        <f>Formula!A21</f>
        <v>MoO3</v>
      </c>
      <c r="B21" s="89">
        <f>((Formula!C21)/(Formula!C21+Formula!E21+Formula!G21+Formula!I21+Formula!K21))*(INDEX(Properties!A$1:CB$87,Formula!B21,3))+((Formula!E21)/(Formula!C21+Formula!E21+Formula!G21+Formula!I21+Formula!K21))*(INDEX(Properties!A$1:CB$87,Formula!D21,3))+((Formula!G21)/(Formula!C21+Formula!E21+Formula!G21+Formula!I21+Formula!K21))*(INDEX(Properties!A$1:CB$87,Formula!F21,3))+((Formula!I21)/(Formula!C21+Formula!E21+Formula!G21+Formula!I21+Formula!K21))*(INDEX(Properties!A$1:CB$87,Formula!H21,3))+((Formula!K21)/(Formula!C21+Formula!E21+Formula!G21+Formula!I21+Formula!K21))*(INDEX(Properties!A$1:CB$87,Formula!J21,3))</f>
        <v>35.987049999999996</v>
      </c>
      <c r="C21" s="85">
        <f>Formula!C21*(INDEX(Properties!A$1:CB$87,Formula!B21,3))+Formula!E21*(INDEX(Properties!A$1:CB$87,Formula!D21,3))+Formula!G21*(INDEX(Properties!A$1:CB$87,Formula!F21,3))+Formula!I21*(INDEX(Properties!A$1:CB$87,Formula!H21,3))+Formula!K21*(INDEX(Properties!A$1:CB$87,Formula!J21,3))</f>
        <v>143.94819999999999</v>
      </c>
      <c r="D21" s="85">
        <f>VARP(IF(INDEX(Properties!A$1:CB$87,Formula!B21,3)&lt;&gt;"",INDEX(Properties!A$1:CB$87,Formula!B21,3)),IF(INDEX(Properties!A$1:CB$87,Formula!D21,3)&lt;&gt;"",INDEX(Properties!A$1:CB$87,Formula!D21,3)),IF(INDEX(Properties!A$1:CB$87,Formula!F21,3)&lt;&gt;"",INDEX(Properties!A$1:CB$87,Formula!F21,3)),IF(INDEX(Properties!A$1:CB$87,Formula!H21,3)&lt;&gt;"",INDEX(Properties!A$1:CB$87,Formula!H21,3)),IF(INDEX(Properties!A$1:CB$87,Formula!J21,3)&lt;&gt;"",INDEX(Properties!A$1:CB$87,Formula!J21,3)))</f>
        <v>1391.1699336575998</v>
      </c>
      <c r="E21" s="85">
        <f>MAX(INDEX(Properties!A$1:CB$87,Formula!B21,3),INDEX(Properties!A$1:CB$87,Formula!D21,3),INDEX(Properties!A$1:CB$87,Formula!F21,3),INDEX(Properties!A$1:CB$87,Formula!H21,3),INDEX(Properties!A$1:CB$87,Formula!J21,3))</f>
        <v>95.95</v>
      </c>
      <c r="F21" s="85">
        <f>MIN(IF(INDEX(Properties!A$1:CB$87,Formula!B21,3)=0,10^6,INDEX(Properties!A$1:CB$87,Formula!B21,3)),IF(INDEX(Properties!A$1:CB$87,Formula!D21,3)=0,10^6,INDEX(Properties!A$1:CB$87,Formula!D21,3)),IF(INDEX(Properties!A$1:CB$87,Formula!F21,3)=0,10^6,INDEX(Properties!A$1:CB$87,Formula!F21,3)),IF(INDEX(Properties!A$1:CB$87,Formula!H21,3)=0,10^6,INDEX(Properties!A$1:CB$87,Formula!H21,3)),IF(INDEX(Properties!A$1:CB$87,Formula!J21,3)=0,10^6,INDEX(Properties!A$1:CB$87,Formula!J21,3)))</f>
        <v>15.9994</v>
      </c>
      <c r="G21" s="85">
        <f t="shared" si="0"/>
        <v>79.950600000000009</v>
      </c>
      <c r="H21" s="87">
        <f>((Formula!C21)/(Formula!C21+Formula!E21+Formula!G21+Formula!I21+Formula!K21))*(INDEX(Properties!A$1:CB$87,Formula!B21,4))+((Formula!E21)/(Formula!C21+Formula!E21+Formula!G21+Formula!I21+Formula!K21))*(INDEX(Properties!A$1:CB$87,Formula!D21,4))+((Formula!G21)/(Formula!C21+Formula!E21+Formula!G21+Formula!I21+Formula!K21))*(INDEX(Properties!A$1:CB$87,Formula!F21,4))+((Formula!I21)/(Formula!C21+Formula!E21+Formula!G21+Formula!I21+Formula!K21))*(INDEX(Properties!A$1:CB$87,Formula!H21,4))+((Formula!K21)/(Formula!C21+Formula!E21+Formula!G21+Formula!I21+Formula!K21))*(INDEX(Properties!A$1:CB$87,Formula!J21,4))</f>
        <v>16.5</v>
      </c>
      <c r="I21" s="87">
        <f>Formula!C21*(INDEX(Properties!A$1:CB$87,Formula!B21,4))+Formula!E21*(INDEX(Properties!A$1:CB$87,Formula!D21,4))+Formula!G21*(INDEX(Properties!A$1:CB$87,Formula!F21,4))+Formula!I21*(INDEX(Properties!A$1:CB$87,Formula!H21,4))+Formula!K21*(INDEX(Properties!A$1:CB$87,Formula!J21,4))</f>
        <v>66</v>
      </c>
      <c r="J21" s="87">
        <f>VARP(IF(INDEX(Properties!A$1:CB$87,Formula!B21,4)&lt;&gt;"",INDEX(Properties!A$1:CB$87,Formula!B21,4)),IF(INDEX(Properties!A$1:CB$87,Formula!D21,4)&lt;&gt;"",INDEX(Properties!A$1:CB$87,Formula!D21,4)),IF(INDEX(Properties!A$1:CB$87,Formula!F21,4)&lt;&gt;"",INDEX(Properties!A$1:CB$87,Formula!F21,4)),IF(INDEX(Properties!A$1:CB$87,Formula!H21,4)&lt;&gt;"",INDEX(Properties!A$1:CB$87,Formula!H21,4)),IF(INDEX(Properties!A$1:CB$87,Formula!J21,4)&lt;&gt;"",INDEX(Properties!A$1:CB$87,Formula!J21,4)))</f>
        <v>265.60000000000002</v>
      </c>
      <c r="K21" s="87">
        <f>MAX(INDEX(Properties!A$1:CB$87,Formula!B21,4),INDEX(Properties!A$1:CB$87,Formula!D21,4),INDEX(Properties!A$1:CB$87,Formula!F21,4),INDEX(Properties!A$1:CB$87,Formula!H21,4),INDEX(Properties!A$1:CB$87,Formula!J21,4))</f>
        <v>42</v>
      </c>
      <c r="L21" s="87">
        <f>MIN(IF(INDEX(Properties!A$1:CB$87,Formula!B21,4)=0,10^6,INDEX(Properties!A$1:CB$87,Formula!B21,4)),IF(INDEX(Properties!A$1:CB$87,Formula!D21,4)=0,10^6,INDEX(Properties!A$1:CB$87,Formula!D21,4)),IF(INDEX(Properties!A$1:CB$87,Formula!F21,4)=0,10^6,INDEX(Properties!A$1:CB$87,Formula!F21,4)),IF(INDEX(Properties!A$1:CB$87,Formula!H21,4)=0,10^6,INDEX(Properties!A$1:CB$87,Formula!H21,4)),IF(INDEX(Properties!A$1:CB$87,Formula!J21,4)=0,10^6,INDEX(Properties!A$1:CB$87,Formula!J21,4)))</f>
        <v>8</v>
      </c>
      <c r="M21" s="87">
        <f t="shared" si="1"/>
        <v>34</v>
      </c>
      <c r="N21" s="89">
        <f>((Formula!C21)/(Formula!C21+Formula!E21+Formula!G21+Formula!I21+Formula!K21))*(INDEX(Properties!A$1:CB$87,Formula!B21,5))+((Formula!E21)/(Formula!C21+Formula!E21+Formula!G21+Formula!I21+Formula!K21))*(INDEX(Properties!A$1:CB$87,Formula!D21,5))+((Formula!G21)/(Formula!C21+Formula!E21+Formula!G21+Formula!I21+Formula!K21))*(INDEX(Properties!A$1:CB$87,Formula!F21,5))+((Formula!I21)/(Formula!C21+Formula!E21+Formula!G21+Formula!I21+Formula!K21))*(INDEX(Properties!A$1:CB$87,Formula!H21,5))+((Formula!K21)/(Formula!C21+Formula!E21+Formula!G21+Formula!I21+Formula!K21))*(INDEX(Properties!A$1:CB$87,Formula!J21,5))</f>
        <v>2.75</v>
      </c>
      <c r="O21" s="89">
        <f>Formula!C21*(INDEX(Properties!A$1:CB$87,Formula!B21,5))+Formula!E21*(INDEX(Properties!A$1:CB$87,Formula!D21,5))+Formula!G21*(INDEX(Properties!A$1:CB$87,Formula!F21,5))+Formula!I21*(INDEX(Properties!A$1:CB$87,Formula!H21,5))+Formula!K21*(INDEX(Properties!A$1:CB$87,Formula!J21,5))</f>
        <v>11</v>
      </c>
      <c r="P21" s="89">
        <f>VARP(IF(INDEX(Properties!A$1:CB$87,Formula!B21,5)&lt;&gt;"",INDEX(Properties!A$1:CB$87,Formula!B21,5)),IF(INDEX(Properties!A$1:CB$87,Formula!D21,5)&lt;&gt;"",INDEX(Properties!A$1:CB$87,Formula!D21,5)),IF(INDEX(Properties!A$1:CB$87,Formula!F21,5)&lt;&gt;"",INDEX(Properties!A$1:CB$87,Formula!F21,5)),IF(INDEX(Properties!A$1:CB$87,Formula!H21,5)&lt;&gt;"",INDEX(Properties!A$1:CB$87,Formula!H21,5)),IF(INDEX(Properties!A$1:CB$87,Formula!J21,5)&lt;&gt;"",INDEX(Properties!A$1:CB$87,Formula!J21,5)))</f>
        <v>3.84</v>
      </c>
      <c r="Q21" s="89">
        <f>MAX(INDEX(Properties!A$1:CB$87,Formula!B21,5),INDEX(Properties!A$1:CB$87,Formula!D21,5),INDEX(Properties!A$1:CB$87,Formula!F21,5),INDEX(Properties!A$1:CB$87,Formula!H21,5),INDEX(Properties!A$1:CB$87,Formula!J21,5))</f>
        <v>5</v>
      </c>
      <c r="R21" s="89">
        <f>MIN(IF(INDEX(Properties!A$1:CB$87,Formula!B21,5)=0,10^6,INDEX(Properties!A$1:CB$87,Formula!B21,5)),IF(INDEX(Properties!A$1:CB$87,Formula!D21,5)=0,10^6,INDEX(Properties!A$1:CB$87,Formula!D21,5)),IF(INDEX(Properties!A$1:CB$87,Formula!F21,5)=0,10^6,INDEX(Properties!A$1:CB$87,Formula!F21,5)),IF(INDEX(Properties!A$1:CB$87,Formula!H21,5)=0,10^6,INDEX(Properties!A$1:CB$87,Formula!H21,5)),IF(INDEX(Properties!A$1:CB$87,Formula!J21,5)=0,10^6,INDEX(Properties!A$1:CB$87,Formula!J21,5)))</f>
        <v>2</v>
      </c>
      <c r="S21" s="89">
        <f t="shared" si="2"/>
        <v>3</v>
      </c>
      <c r="T21" s="60">
        <f>((Formula!C21)/(Formula!C21+Formula!E21+Formula!G21+Formula!I21+Formula!K21))*(INDEX(Properties!A$1:CB$87,Formula!B21,6))+((Formula!E21)/(Formula!C21+Formula!E21+Formula!G21+Formula!I21+Formula!K21))*(INDEX(Properties!A$1:CB$87,Formula!D21,6))+((Formula!G21)/(Formula!C21+Formula!E21+Formula!G21+Formula!I21+Formula!K21))*(INDEX(Properties!A$1:CB$87,Formula!F21,6))+((Formula!I21)/(Formula!C21+Formula!E21+Formula!G21+Formula!I21+Formula!K21))*(INDEX(Properties!A$1:CB$87,Formula!H21,6))+((Formula!K21)/(Formula!C21+Formula!E21+Formula!G21+Formula!I21+Formula!K21))*(INDEX(Properties!A$1:CB$87,Formula!J21,6))</f>
        <v>13.5</v>
      </c>
      <c r="U21" s="60">
        <f>Formula!C21*(INDEX(Properties!A$1:CB$87,Formula!B21,6))+Formula!E21*(INDEX(Properties!A$1:CB$87,Formula!D21,6))+Formula!G21*(INDEX(Properties!A$1:CB$87,Formula!F21,6))+Formula!I21*(INDEX(Properties!A$1:CB$87,Formula!H21,6))+Formula!K21*(INDEX(Properties!A$1:CB$87,Formula!J21,6))</f>
        <v>54</v>
      </c>
      <c r="V21" s="89">
        <f>VARP(IF(INDEX(Properties!A$1:CB$87,Formula!B21,6)&lt;&gt;"",INDEX(Properties!A$1:CB$87,Formula!B21,6)),IF(INDEX(Properties!A$1:CB$87,Formula!D21,6)&lt;&gt;"",INDEX(Properties!A$1:CB$87,Formula!D21,6)),IF(INDEX(Properties!A$1:CB$87,Formula!F21,6)&lt;&gt;"",INDEX(Properties!A$1:CB$87,Formula!F21,6)),IF(INDEX(Properties!A$1:CB$87,Formula!H21,6)&lt;&gt;"",INDEX(Properties!A$1:CB$87,Formula!H21,6)),IF(INDEX(Properties!A$1:CB$87,Formula!J21,6)&lt;&gt;"",INDEX(Properties!A$1:CB$87,Formula!J21,6)))</f>
        <v>39.04</v>
      </c>
      <c r="W21" s="60">
        <f>MAX(INDEX(Properties!A$1:CB$87,Formula!B21,6),INDEX(Properties!A$1:CB$87,Formula!D21,6),INDEX(Properties!A$1:CB$87,Formula!F21,6),INDEX(Properties!A$1:CB$87,Formula!H21,4),INDEX(Properties!A$1:CB$87,Formula!J21,6))</f>
        <v>16</v>
      </c>
      <c r="X21" s="60">
        <f>MIN(IF(INDEX(Properties!A$1:CB$87,Formula!B21,6)=0,10^6,INDEX(Properties!A$1:CB$87,Formula!B21,6)),IF(INDEX(Properties!A$1:CB$87,Formula!D21,6)=0,10^6,INDEX(Properties!A$1:CB$87,Formula!D21,6)),IF(INDEX(Properties!A$1:CB$87,Formula!F21,6)=0,10^6,INDEX(Properties!A$1:CB$87,Formula!F21,6)),IF(INDEX(Properties!A$1:CB$87,Formula!H21,6)=0,10^6,INDEX(Properties!A$1:CB$87,Formula!H21,6)),IF(INDEX(Properties!A$1:CB$87,Formula!J21,6)=0,10^6,INDEX(Properties!A$1:CB$87,Formula!J21,6)))</f>
        <v>6</v>
      </c>
      <c r="Y21" s="60">
        <f t="shared" si="3"/>
        <v>10</v>
      </c>
      <c r="Z21" s="72">
        <f>((Formula!C21)/(Formula!C21+Formula!E21+Formula!G21+Formula!I21+Formula!K21))*(INDEX(Properties!A$1:CB$87,Formula!B21,9))+((Formula!E21)/(Formula!C21+Formula!E21+Formula!G21+Formula!I21+Formula!K21))*(INDEX(Properties!A$1:CB$87,Formula!D21,9))+((Formula!G21)/(Formula!C21+Formula!E21+Formula!G21+Formula!I21+Formula!K21))*(INDEX(Properties!A$1:CB$87,Formula!F21,9))+((Formula!I21)/(Formula!C21+Formula!E21+Formula!G21+Formula!I21+Formula!K21))*(INDEX(Properties!A$1:CB$87,Formula!H21,9))+((Formula!K21)/(Formula!C21+Formula!E21+Formula!G21+Formula!I21+Formula!K21))*(INDEX(Properties!A$1:CB$87,Formula!J21,9))</f>
        <v>77.75</v>
      </c>
      <c r="AA21" s="72">
        <f>Formula!C21*(INDEX(Properties!A$1:CB$87,Formula!B21,9))+Formula!E21*(INDEX(Properties!A$1:CB$87,Formula!D21,9))+Formula!G21*(INDEX(Properties!A$1:CB$87,Formula!F21,9))+Formula!I21*(INDEX(Properties!A$1:CB$87,Formula!H21,9))+Formula!K21*(INDEX(Properties!A$1:CB$87,Formula!J21,9))</f>
        <v>311</v>
      </c>
      <c r="AB21" s="72">
        <f>VARP(IF(INDEX(Properties!A$1:CB$87,Formula!B21,9)&lt;&gt;"",INDEX(Properties!A$1:CB$87,Formula!B21,9)),IF(INDEX(Properties!A$1:CB$87,Formula!D21,9)&lt;&gt;"",INDEX(Properties!A$1:CB$87,Formula!D21,9)),IF(INDEX(Properties!A$1:CB$87,Formula!F21,9)&lt;&gt;"",INDEX(Properties!A$1:CB$87,Formula!F21,9)),IF(INDEX(Properties!A$1:CB$87,Formula!H21,9)&lt;&gt;"",INDEX(Properties!A$1:CB$87,Formula!H21,9)),IF(INDEX(Properties!A$1:CB$87,Formula!J21,9)&lt;&gt;"",INDEX(Properties!A$1:CB$87,Formula!J21,9)))</f>
        <v>1263.04</v>
      </c>
      <c r="AC21" s="72">
        <f>MAX(INDEX(Properties!A$1:CB$87,Formula!B21,9),INDEX(Properties!A$1:CB$87,Formula!D21,9),INDEX(Properties!A$1:CB$87,Formula!F21,9),INDEX(Properties!A$1:CB$87,Formula!H21,9),INDEX(Properties!A$1:CB$87,Formula!J21,9))</f>
        <v>87</v>
      </c>
      <c r="AD21" s="72">
        <f>MIN(IF(INDEX(Properties!A$1:CB$87,Formula!B21,9)=0,10^6,INDEX(Properties!A$1:CB$87,Formula!B21,9)),IF(INDEX(Properties!A$1:CB$87,Formula!D21,9)=0,10^6,INDEX(Properties!A$1:CB$87,Formula!D21,9)),IF(INDEX(Properties!A$1:CB$87,Formula!F21,9)=0,10^6,INDEX(Properties!A$1:CB$87,Formula!F21,9)),IF(INDEX(Properties!A$1:CB$87,Formula!H21,9)=0,10^6,INDEX(Properties!A$1:CB$87,Formula!H21,9)),IF(INDEX(Properties!A$1:CB$87,Formula!J21,9)=0,10^6,INDEX(Properties!A$1:CB$87,Formula!J21,9)))</f>
        <v>50</v>
      </c>
      <c r="AE21" s="72">
        <f t="shared" si="4"/>
        <v>37</v>
      </c>
      <c r="AF21" s="51">
        <f>((Formula!C21)/(Formula!C21+Formula!E21+Formula!G21+Formula!I21+Formula!K21))*(INDEX(Properties!A$1:CB$87,Formula!B21,10))+((Formula!E21)/(Formula!C21+Formula!E21+Formula!G21+Formula!I21+Formula!K21))*(INDEX(Properties!A$1:CB$87,Formula!D21,10))+((Formula!G21)/(Formula!C21+Formula!E21+Formula!G21+Formula!I21+Formula!K21))*(INDEX(Properties!A$1:CB$87,Formula!F21,10))+((Formula!I21)/(Formula!C21+Formula!E21+Formula!G21+Formula!I21+Formula!K21))*(INDEX(Properties!A$1:CB$87,Formula!H21,10))+((Formula!K21)/(Formula!C21+Formula!E21+Formula!G21+Formula!I21+Formula!K21))*(INDEX(Properties!A$1:CB$87,Formula!J21,10))</f>
        <v>6.25</v>
      </c>
      <c r="AG21" s="51">
        <f>Formula!C21*(INDEX(Properties!A$1:CB$87,Formula!B21,10))+Formula!E21*(INDEX(Properties!A$1:CB$87,Formula!D21,10))+Formula!G21*(INDEX(Properties!A$1:CB$87,Formula!F21,10))+Formula!I21*(INDEX(Properties!A$1:CB$87,Formula!H21,10))+Formula!K21*(INDEX(Properties!A$1:CB$87,Formula!J21,10))</f>
        <v>25</v>
      </c>
      <c r="AH21" s="51">
        <f>VARP(IF(INDEX(Properties!A$1:CB$87,Formula!B21,10)&lt;&gt;"",INDEX(Properties!A$1:CB$87,Formula!B21,10)),IF(INDEX(Properties!A$1:CB$87,Formula!D21,10)&lt;&gt;"",INDEX(Properties!A$1:CB$87,Formula!D21,10)),IF(INDEX(Properties!A$1:CB$87,Formula!F21,10)&lt;&gt;"",INDEX(Properties!A$1:CB$87,Formula!F21,10)),IF(INDEX(Properties!A$1:CB$87,Formula!H21,10)&lt;&gt;"",INDEX(Properties!A$1:CB$87,Formula!H21,10)),IF(INDEX(Properties!A$1:CB$87,Formula!J21,10)&lt;&gt;"",INDEX(Properties!A$1:CB$87,Formula!J21,10)))</f>
        <v>8.16</v>
      </c>
      <c r="AI21" s="51">
        <f>MAX(INDEX(Properties!A$1:CB$87,Formula!B21,10),INDEX(Properties!A$1:CB$87,Formula!D21,10),INDEX(Properties!A$1:CB$87,Formula!F21,10),INDEX(Properties!A$1:CB$87,Formula!H21,10),INDEX(Properties!A$1:CB$87,Formula!J21,10))</f>
        <v>7</v>
      </c>
      <c r="AJ21" s="51">
        <f>MIN(IF(INDEX(Properties!A$1:CB$87,Formula!B21,10)=0,10^6,INDEX(Properties!A$1:CB$87,Formula!B21,10)),IF(INDEX(Properties!A$1:CB$87,Formula!D21,10)=0,10^6,INDEX(Properties!A$1:CB$87,Formula!D21,10)),IF(INDEX(Properties!A$1:CB$87,Formula!F21,10)=0,10^6,INDEX(Properties!A$1:CB$87,Formula!F21,10)),IF(INDEX(Properties!A$1:CB$87,Formula!H21,10)=0,10^6,INDEX(Properties!A$1:CB$87,Formula!H21,10)),IF(INDEX(Properties!A$1:CB$87,Formula!J21,10)=0,10^6,INDEX(Properties!A$1:CB$87,Formula!J21,10)))</f>
        <v>4</v>
      </c>
      <c r="AK21" s="51">
        <f t="shared" si="5"/>
        <v>3</v>
      </c>
      <c r="AL21" s="57">
        <f>((Formula!C21)/(Formula!C21+Formula!E21+Formula!G21+Formula!I21+Formula!K21))*(INDEX(Properties!A$1:CB$87,Formula!B21,11))+((Formula!E21)/(Formula!C21+Formula!E21+Formula!G21+Formula!I21+Formula!K21))*(INDEX(Properties!A$1:CB$87,Formula!D21,11))+((Formula!G21)/(Formula!C21+Formula!E21+Formula!G21+Formula!I21+Formula!K21))*(INDEX(Properties!A$1:CB$87,Formula!F21,11))+((Formula!I21)/(Formula!C21+Formula!E21+Formula!G21+Formula!I21+Formula!K21))*(INDEX(Properties!A$1:CB$87,Formula!H21,11))+((Formula!K21)/(Formula!C21+Formula!E21+Formula!G21+Formula!I21+Formula!K21))*(INDEX(Properties!A$1:CB$87,Formula!J21,11))</f>
        <v>1.75</v>
      </c>
      <c r="AM21" s="57">
        <f>Formula!C21*(INDEX(Properties!A$1:CB$87,Formula!B21,11))+Formula!E21*(INDEX(Properties!A$1:CB$87,Formula!D21,11))+Formula!G21*(INDEX(Properties!A$1:CB$87,Formula!F21,11))+Formula!I21*(INDEX(Properties!A$1:CB$87,Formula!H21,11))+Formula!K21*(INDEX(Properties!A$1:CB$87,Formula!J21,11))</f>
        <v>7</v>
      </c>
      <c r="AN21" s="57">
        <f>VARP(IF(INDEX(Properties!A$1:CB$87,Formula!B21,11)&lt;&gt;"",INDEX(Properties!A$1:CB$87,Formula!B21,11)),IF(INDEX(Properties!A$1:CB$87,Formula!D21,11)&lt;&gt;"",INDEX(Properties!A$1:CB$87,Formula!D21,11)),IF(INDEX(Properties!A$1:CB$87,Formula!F21,11)&lt;&gt;"",INDEX(Properties!A$1:CB$87,Formula!F21,11)),IF(INDEX(Properties!A$1:CB$87,Formula!H21,11)&lt;&gt;"",INDEX(Properties!A$1:CB$87,Formula!H21,11)),IF(INDEX(Properties!A$1:CB$87,Formula!J21,11)&lt;&gt;"",INDEX(Properties!A$1:CB$87,Formula!J21,11)))</f>
        <v>0.64</v>
      </c>
      <c r="AO21" s="57">
        <f>MAX(INDEX(Properties!A$1:CB$87,Formula!B21,11),INDEX(Properties!A$1:CB$87,Formula!D21,11),INDEX(Properties!A$1:CB$87,Formula!F21,11),INDEX(Properties!A$1:CB$87,Formula!H21,11),INDEX(Properties!A$1:CB$87,Formula!J21,11))</f>
        <v>2</v>
      </c>
      <c r="AP21" s="57">
        <f>MIN(IF(Formula!B21=87,10^6,INDEX(Properties!A$1:CB$87,Formula!B21,11)),IF((Formula!D21)=87,10^6,INDEX(Properties!A$1:CB$87,Formula!D21,11)),IF((Formula!F21)=87,10^6,INDEX(Properties!A$1:CB$87,Formula!F21,11)),IF((Formula!H21)=87,10^6,INDEX(Properties!A$1:CB$87,Formula!H21,11)),IF(Formula!J21=87,10^6,INDEX(Properties!A$1:CB$87,Formula!J21,11)))</f>
        <v>1</v>
      </c>
      <c r="AQ21" s="57">
        <f t="shared" si="6"/>
        <v>1</v>
      </c>
      <c r="AR21" s="78">
        <f>((Formula!C21)/(Formula!C21+Formula!E21+Formula!G21+Formula!I21+Formula!K21))*(INDEX(Properties!A$1:CB$87,Formula!B21,12))+((Formula!E21)/(Formula!C21+Formula!E21+Formula!G21+Formula!I21+Formula!K21))*(INDEX(Properties!A$1:CB$87,Formula!D21,12))+((Formula!G21)/(Formula!C21+Formula!E21+Formula!G21+Formula!I21+Formula!K21))*(INDEX(Properties!A$1:CB$87,Formula!F21,12))+((Formula!I21)/(Formula!C21+Formula!E21+Formula!G21+Formula!I21+Formula!K21))*(INDEX(Properties!A$1:CB$87,Formula!H21,12))+((Formula!K21)/(Formula!C21+Formula!E21+Formula!G21+Formula!I21+Formula!K21))*(INDEX(Properties!A$1:CB$87,Formula!J21,12))</f>
        <v>3</v>
      </c>
      <c r="AS21" s="78">
        <f>Formula!C21*(INDEX(Properties!A$1:CB$87,Formula!B21,12))+Formula!E21*(INDEX(Properties!A$1:CB$87,Formula!D21,12))+Formula!G21*(INDEX(Properties!A$1:CB$87,Formula!F21,12))+Formula!I21*(INDEX(Properties!A$1:CB$87,Formula!H21,12))+Formula!K21*(INDEX(Properties!A$1:CB$87,Formula!J21,12))</f>
        <v>12</v>
      </c>
      <c r="AT21" s="78">
        <f>VARP(IF(INDEX(Properties!A$1:CB$87,Formula!B21,12)&lt;&gt;"",INDEX(Properties!A$1:CB$87,Formula!B21,12)),IF(INDEX(Properties!A$1:CB$87,Formula!D21,12)&lt;&gt;"",INDEX(Properties!A$1:CB$87,Formula!D21,12)),IF(INDEX(Properties!A$1:CB$87,Formula!F21,12)&lt;&gt;"",INDEX(Properties!A$1:CB$87,Formula!F21,12)),IF(INDEX(Properties!A$1:CB$87,Formula!H21,12)&lt;&gt;"",INDEX(Properties!A$1:CB$87,Formula!H21,12)),IF(INDEX(Properties!A$1:CB$87,Formula!J21,12)&lt;&gt;"",INDEX(Properties!A$1:CB$87,Formula!J21,12)))</f>
        <v>2.56</v>
      </c>
      <c r="AU21" s="78">
        <f>MAX(INDEX(Properties!A$1:CB$87,Formula!B21,12),INDEX(Properties!A$1:CB$87,Formula!D21,12),INDEX(Properties!A$1:CB$87,Formula!F21,12),INDEX(Properties!A$1:CB$87,Formula!H21,12),INDEX(Properties!A$1:CB$87,Formula!J21,12))</f>
        <v>4</v>
      </c>
      <c r="AV21" s="78">
        <f>MIN(IF(Formula!B21=87,10^6,INDEX(Properties!A$1:CB$87,Formula!B21,12)),IF((Formula!D21)=87,10^6,INDEX(Properties!A$1:CB$87,Formula!D21,12)),IF((Formula!F21)=87,10^6,INDEX(Properties!A$1:CB$87,Formula!F21,12)),IF((Formula!H21)=87,10^6,INDEX(Properties!A$1:CB$87,Formula!H21,12)),IF(Formula!J21=87,10^6,INDEX(Properties!A$1:CB$87,Formula!J21,12)))</f>
        <v>0</v>
      </c>
      <c r="AW21" s="78">
        <f t="shared" si="7"/>
        <v>4</v>
      </c>
      <c r="AX21" s="45">
        <f>((Formula!C21)/(Formula!C21+Formula!E21+Formula!G21+Formula!I21+Formula!K21))*(INDEX(Properties!A$1:CB$87,Formula!B21,13))+((Formula!E21)/(Formula!C21+Formula!E21+Formula!G21+Formula!I21+Formula!K21))*(INDEX(Properties!A$1:CB$87,Formula!D21,13))+((Formula!G21)/(Formula!C21+Formula!E21+Formula!G21+Formula!I21+Formula!K21))*(INDEX(Properties!A$1:CB$87,Formula!F21,13))+((Formula!I21)/(Formula!C21+Formula!E21+Formula!G21+Formula!I21+Formula!K21))*(INDEX(Properties!A$1:CB$87,Formula!H21,13))+((Formula!K21)/(Formula!C21+Formula!E21+Formula!G21+Formula!I21+Formula!K21))*(INDEX(Properties!A$1:CB$87,Formula!J21,13))</f>
        <v>1.25</v>
      </c>
      <c r="AY21" s="45">
        <f>Formula!C21*(INDEX(Properties!A$1:CB$87,Formula!B21,13))+Formula!E21*(INDEX(Properties!A$1:CB$87,Formula!D21,13))+Formula!G21*(INDEX(Properties!A$1:CB$87,Formula!F21,13))+Formula!I21*(INDEX(Properties!A$1:CB$87,Formula!H21,13))+Formula!K21*(INDEX(Properties!A$1:CB$87,Formula!J21,13))</f>
        <v>5</v>
      </c>
      <c r="AZ21" s="45">
        <f>VARP(IF(INDEX(Properties!A$1:CB$87,Formula!B21,13)&lt;&gt;"",INDEX(Properties!A$1:CB$87,Formula!B21,13)),IF(INDEX(Properties!A$1:CB$87,Formula!D21,13)&lt;&gt;"",INDEX(Properties!A$1:CB$87,Formula!D21,13)),IF(INDEX(Properties!A$1:CB$87,Formula!F21,13)&lt;&gt;"",INDEX(Properties!A$1:CB$87,Formula!F21,13)),IF(INDEX(Properties!A$1:CB$87,Formula!H21,13)&lt;&gt;"",INDEX(Properties!A$1:CB$87,Formula!H21,13)),IF(INDEX(Properties!A$1:CB$87,Formula!J21,13)&lt;&gt;"",INDEX(Properties!A$1:CB$87,Formula!J21,13)))</f>
        <v>4</v>
      </c>
      <c r="BA21" s="45">
        <f>MAX(INDEX(Properties!A$1:CB$87,Formula!B21,13),INDEX(Properties!A$1:CB$87,Formula!D21,13),INDEX(Properties!A$1:CB$87,Formula!F21,13),INDEX(Properties!A$1:CB$87,Formula!H21,13),INDEX(Properties!A$1:CB$87,Formula!J21,13))</f>
        <v>5</v>
      </c>
      <c r="BB21" s="45">
        <f>MIN(IF(Formula!B21=87,10^6,INDEX(Properties!A$1:CB$87,Formula!B21,13)),IF((Formula!D21)=87,10^6,INDEX(Properties!A$1:CB$87,Formula!D21,13)),IF((Formula!F21)=87,10^6,INDEX(Properties!A$1:CB$87,Formula!F21,13)),IF((Formula!H21)=87,10^6,INDEX(Properties!A$1:CB$87,Formula!H21,13)),IF(Formula!J21=87,10^6,INDEX(Properties!A$1:CB$87,Formula!J21,13)))</f>
        <v>0</v>
      </c>
      <c r="BC21" s="45">
        <f t="shared" si="8"/>
        <v>5</v>
      </c>
      <c r="BD21" s="63">
        <f>((Formula!C21)/(Formula!C21+Formula!E21+Formula!G21+Formula!I21+Formula!K21))*(INDEX(Properties!A$1:CB$87,Formula!B21,14))+((Formula!E21)/(Formula!C21+Formula!E21+Formula!G21+Formula!I21+Formula!K21))*(INDEX(Properties!A$1:CB$87,Formula!D21,14))+((Formula!G21)/(Formula!C21+Formula!E21+Formula!G21+Formula!I21+Formula!K21))*(INDEX(Properties!A$1:CB$87,Formula!F21,14))+((Formula!I21)/(Formula!C21+Formula!E21+Formula!G21+Formula!I21+Formula!K21))*(INDEX(Properties!A$1:CB$87,Formula!H21,14))+((Formula!K21)/(Formula!C21+Formula!E21+Formula!G21+Formula!I21+Formula!K21))*(INDEX(Properties!A$1:CB$87,Formula!J21,14))</f>
        <v>0</v>
      </c>
      <c r="BE21" s="63">
        <f>Formula!C21*(INDEX(Properties!A$1:CB$87,Formula!B21,14))+Formula!E21*(INDEX(Properties!A$1:CB$87,Formula!D21,14))+Formula!G21*(INDEX(Properties!A$1:CB$87,Formula!F21,14))+Formula!I21*(INDEX(Properties!A$1:CB$87,Formula!H21,14))+Formula!K21*(INDEX(Properties!A$1:CB$87,Formula!J21,14))</f>
        <v>0</v>
      </c>
      <c r="BF21" s="63">
        <f>VARP(IF(INDEX(Properties!A$1:CB$87,Formula!B21,14)&lt;&gt;"",INDEX(Properties!A$1:CB$87,Formula!B21,14)),IF(INDEX(Properties!A$1:CB$87,Formula!D21,14)&lt;&gt;"",INDEX(Properties!A$1:CB$87,Formula!D21,14)),IF(INDEX(Properties!A$1:CB$87,Formula!F21,14)&lt;&gt;"",INDEX(Properties!A$1:CB$87,Formula!F21,14)),IF(INDEX(Properties!A$1:CB$87,Formula!H21,14)&lt;&gt;"",INDEX(Properties!A$1:CB$87,Formula!H21,14)),IF(INDEX(Properties!A$1:CB$87,Formula!J21,14)&lt;&gt;"",INDEX(Properties!A$1:CB$87,Formula!J21,14)))</f>
        <v>0</v>
      </c>
      <c r="BG21" s="63">
        <f>MAX(INDEX(Properties!A$1:CB$87,Formula!B21,14),INDEX(Properties!A$1:CB$87,Formula!D21,14),INDEX(Properties!A$1:CB$87,Formula!F21,14),INDEX(Properties!A$1:CB$87,Formula!H21,14),INDEX(Properties!A$1:CB$87,Formula!J21,14))</f>
        <v>0</v>
      </c>
      <c r="BH21" s="63">
        <f>MIN(IF(Formula!B21=87,10^6,INDEX(Properties!A$1:CB$87,Formula!B21,14)),IF((Formula!D21)=87,10^6,INDEX(Properties!A$1:CB$87,Formula!D21,14)),IF((Formula!F21)=87,10^6,INDEX(Properties!A$1:CB$87,Formula!F21,14)),IF((Formula!H21)=87,10^6,INDEX(Properties!A$1:CB$87,Formula!H21,14)),IF(Formula!J21=87,10^6,INDEX(Properties!A$1:CB$87,Formula!J21,14)))</f>
        <v>0</v>
      </c>
      <c r="BI21" s="63">
        <f t="shared" si="9"/>
        <v>0</v>
      </c>
      <c r="BJ21" s="75">
        <f>((Formula!C21)/(Formula!C21+Formula!E21+Formula!G21+Formula!I21+Formula!K21))*(INDEX(Properties!A$1:CB$87,Formula!B21,19))+((Formula!E21)/(Formula!C21+Formula!E21+Formula!G21+Formula!I21+Formula!K21))*(INDEX(Properties!A$1:CB$87,Formula!D21,19))+((Formula!G21)/(Formula!C21+Formula!E21+Formula!G21+Formula!I21+Formula!K21))*(INDEX(Properties!A$1:CB$87,Formula!F21,19))+((Formula!I21)/(Formula!C21+Formula!E21+Formula!G21+Formula!I21+Formula!K21))*(INDEX(Properties!A$1:CB$87,Formula!H21,19))+((Formula!K21)/(Formula!C21+Formula!E21+Formula!G21+Formula!I21+Formula!K21))*(INDEX(Properties!A$1:CB$87,Formula!J21,19))</f>
        <v>6</v>
      </c>
      <c r="BK21" s="75">
        <f>Formula!C21*(INDEX(Properties!A$1:CB$87,Formula!B21,19))+Formula!E21*(INDEX(Properties!A$1:CB$87,Formula!D21,19))+Formula!G21*(INDEX(Properties!A$1:CB$87,Formula!F21,19))+Formula!I21*(INDEX(Properties!A$1:CB$87,Formula!H21,19))+Formula!K21*(INDEX(Properties!A$1:CB$87,Formula!J21,19))</f>
        <v>24</v>
      </c>
      <c r="BL21" s="75">
        <f>VARP(IF(INDEX(Properties!A$1:CB$87,Formula!B21,19)&lt;&gt;"",INDEX(Properties!A$1:CB$87,Formula!B21,19)),IF(INDEX(Properties!A$1:CB$87,Formula!D21,19)&lt;&gt;"",INDEX(Properties!A$1:CB$87,Formula!D21,19)),IF(INDEX(Properties!A$1:CB$87,Formula!F21,19)&lt;&gt;"",INDEX(Properties!A$1:CB$87,Formula!F21,19)),IF(INDEX(Properties!A$1:CB$87,Formula!H21,19)&lt;&gt;"",INDEX(Properties!A$1:CB$87,Formula!H21,19)),IF(INDEX(Properties!A$1:CB$87,Formula!J21,19)&lt;&gt;"",INDEX(Properties!A$1:CB$87,Formula!J21,19)))</f>
        <v>8.64</v>
      </c>
      <c r="BM21" s="75">
        <f>MAX(INDEX(Properties!A$1:CB$87,Formula!B21,19),INDEX(Properties!A$1:CB$87,Formula!D21,19),INDEX(Properties!A$1:CB$87,Formula!F21,19),INDEX(Properties!A$1:CB$87,Formula!H21,19),INDEX(Properties!A$1:CB$87,Formula!J21,19))</f>
        <v>6</v>
      </c>
      <c r="BN21" s="75">
        <f>MIN(IF(INDEX(Properties!A$1:CB$87,Formula!B21,19)=0,10^6,INDEX(Properties!A$1:CB$87,Formula!B21,19)),IF(INDEX(Properties!A$1:CB$87,Formula!D21,19)=0,10^6,INDEX(Properties!A$1:CB$87,Formula!D21,19)),IF(INDEX(Properties!A$1:CB$87,Formula!F21,19)=0,10^6,INDEX(Properties!A$1:CB$87,Formula!F21,19)),IF(INDEX(Properties!A$1:CB$87,Formula!H21,19)=0,10^6,INDEX(Properties!A$1:CB$87,Formula!H21,19)),IF(INDEX(Properties!A$1:CB$87,Formula!J21,19)=0,10^6,INDEX(Properties!A$1:CB$87,Formula!J21,19)))</f>
        <v>6</v>
      </c>
      <c r="BO21" s="75">
        <f t="shared" si="10"/>
        <v>0</v>
      </c>
      <c r="BP21" s="48">
        <f>((Formula!C21)/(Formula!C21+Formula!E21+Formula!G21+Formula!I21+Formula!K21))*(INDEX(Properties!A$1:CB$87,Formula!B21,20))+((Formula!E21)/(Formula!C21+Formula!E21+Formula!G21+Formula!I21+Formula!K21))*(INDEX(Properties!A$1:CB$87,Formula!D21,20))+((Formula!G21)/(Formula!C21+Formula!E21+Formula!G21+Formula!I21+Formula!K21))*(INDEX(Properties!A$1:CB$87,Formula!F21,20))+((Formula!I21)/(Formula!C21+Formula!E21+Formula!G21+Formula!I21+Formula!K21))*(INDEX(Properties!A$1:CB$87,Formula!H21,20))+((Formula!K21)/(Formula!C21+Formula!E21+Formula!G21+Formula!I21+Formula!K21))*(INDEX(Properties!A$1:CB$87,Formula!J21,20))</f>
        <v>4.75</v>
      </c>
      <c r="BQ21" s="48">
        <f>Formula!C21*(INDEX(Properties!A$1:CB$87,Formula!B21,20))+Formula!E21*(INDEX(Properties!A$1:CB$87,Formula!D21,20))+Formula!G21*(INDEX(Properties!A$1:CB$87,Formula!F21,20))+Formula!I21*(INDEX(Properties!A$1:CB$87,Formula!H21,20))+Formula!K21*(INDEX(Properties!A$1:CB$87,Formula!J21,20))</f>
        <v>19</v>
      </c>
      <c r="BR21" s="48">
        <f>VARP(IF(INDEX(Properties!A$1:CB$87,Formula!B21,20)&lt;&gt;"",INDEX(Properties!A$1:CB$87,Formula!B21,20)),IF(INDEX(Properties!A$1:CB$87,Formula!D21,20)&lt;&gt;"",INDEX(Properties!A$1:CB$87,Formula!D21,20)),IF(INDEX(Properties!A$1:CB$87,Formula!F21,20)&lt;&gt;"",INDEX(Properties!A$1:CB$87,Formula!F21,20)),IF(INDEX(Properties!A$1:CB$87,Formula!H21,20)&lt;&gt;"",INDEX(Properties!A$1:CB$87,Formula!H21,20)),IF(INDEX(Properties!A$1:CB$87,Formula!J21,20)&lt;&gt;"",INDEX(Properties!A$1:CB$87,Formula!J21,20)))</f>
        <v>5.44</v>
      </c>
      <c r="BS21" s="48">
        <f>MAX(INDEX(Properties!A$1:CB$87,Formula!B21,20),INDEX(Properties!A$1:CB$87,Formula!D21,20),INDEX(Properties!A$1:CB$87,Formula!F21,20),INDEX(Properties!A$1:CB$87,Formula!H21,20),INDEX(Properties!A$1:CB$87,Formula!J21,20))</f>
        <v>6</v>
      </c>
      <c r="BT21" s="48">
        <f>MIN(IF(INDEX(Properties!A$1:CB$87,Formula!B21,20)=0,10^6,INDEX(Properties!A$1:CB$87,Formula!B21,20)),IF(INDEX(Properties!A$1:CB$87,Formula!D21,20)=0,10^6,INDEX(Properties!A$1:CB$87,Formula!D21,20)),IF(INDEX(Properties!A$1:CB$87,Formula!F21,20)=0,10^6,INDEX(Properties!A$1:CB$87,Formula!F21,20)),IF(INDEX(Properties!A$1:CB$87,Formula!H21,20)=0,10^6,INDEX(Properties!A$1:CB$87,Formula!H21,20)),IF(INDEX(Properties!A$1:CB$87,Formula!J21,20)=0,10^6,INDEX(Properties!A$1:CB$87,Formula!J21,20)))</f>
        <v>1</v>
      </c>
      <c r="BU21" s="48">
        <f t="shared" si="11"/>
        <v>5</v>
      </c>
      <c r="BV21" s="66">
        <f>((Formula!C21)/(Formula!C21+Formula!E21+Formula!G21+Formula!I21+Formula!K21))*(INDEX(Properties!A$1:CB$87,Formula!B21,21))+((Formula!E21)/(Formula!C21+Formula!E21+Formula!G21+Formula!I21+Formula!K21))*(INDEX(Properties!A$1:CB$87,Formula!D21,21))+((Formula!G21)/(Formula!C21+Formula!E21+Formula!G21+Formula!I21+Formula!K21))*(INDEX(Properties!A$1:CB$87,Formula!F21,21))+((Formula!I21)/(Formula!C21+Formula!E21+Formula!G21+Formula!I21+Formula!K21))*(INDEX(Properties!A$1:CB$87,Formula!H21,21))+((Formula!K21)/(Formula!C21+Formula!E21+Formula!G21+Formula!I21+Formula!K21))*(INDEX(Properties!A$1:CB$87,Formula!J21,21))</f>
        <v>5.5</v>
      </c>
      <c r="BW21" s="66">
        <f>Formula!C21*(INDEX(Properties!A$1:CB$87,Formula!B21,21))+Formula!E21*(INDEX(Properties!A$1:CB$87,Formula!D21,21))+Formula!G21*(INDEX(Properties!A$1:CB$87,Formula!F21,21))+Formula!I21*(INDEX(Properties!A$1:CB$87,Formula!H21,21))+Formula!K21*(INDEX(Properties!A$1:CB$87,Formula!J21,21))</f>
        <v>22</v>
      </c>
      <c r="BX21" s="66">
        <f>VARP(IF(INDEX(Properties!A$1:CB$87,Formula!B21,21)&lt;&gt;"",INDEX(Properties!A$1:CB$87,Formula!B21,21)),IF(INDEX(Properties!A$1:CB$87,Formula!D21,21)&lt;&gt;"",INDEX(Properties!A$1:CB$87,Formula!D21,21)),IF(INDEX(Properties!A$1:CB$87,Formula!F21,21)&lt;&gt;"",INDEX(Properties!A$1:CB$87,Formula!F21,21)),IF(INDEX(Properties!A$1:CB$87,Formula!H21,21)&lt;&gt;"",INDEX(Properties!A$1:CB$87,Formula!H21,21)),IF(INDEX(Properties!A$1:CB$87,Formula!J21,21)&lt;&gt;"",INDEX(Properties!A$1:CB$87,Formula!J21,21)))</f>
        <v>6.4</v>
      </c>
      <c r="BY21" s="66">
        <f>MAX(INDEX(Properties!A$1:CB$87,Formula!B21,21),INDEX(Properties!A$1:CB$87,Formula!D21,21),INDEX(Properties!A$1:CB$87,Formula!F21,21),INDEX(Properties!A$1:CB$87,Formula!H21,21),INDEX(Properties!A$1:CB$87,Formula!J21,21))</f>
        <v>6</v>
      </c>
      <c r="BZ21" s="66">
        <f>MIN(IF(INDEX(Properties!A$1:CB$87,Formula!B21,21)=0,10^6,INDEX(Properties!A$1:CB$87,Formula!B21,21)),IF(INDEX(Properties!A$1:CB$87,Formula!D21,21)=0,10^6,INDEX(Properties!A$1:CB$87,Formula!D21,21)),IF(INDEX(Properties!A$1:CB$87,Formula!F21,21)=0,10^6,INDEX(Properties!A$1:CB$87,Formula!F21,21)),IF(INDEX(Properties!A$1:CB$87,Formula!H21,21)=0,10^6,INDEX(Properties!A$1:CB$87,Formula!H21,21)),IF(INDEX(Properties!A$1:CB$87,Formula!J21,21)=0,10^6,INDEX(Properties!A$1:CB$87,Formula!J21,21)))</f>
        <v>4</v>
      </c>
      <c r="CA21" s="66">
        <f t="shared" si="12"/>
        <v>2</v>
      </c>
      <c r="CB21" s="81">
        <f>((Formula!C21)/(Formula!C21+Formula!E21+Formula!G21+Formula!I21+Formula!K21))*(INDEX(Properties!A$1:CB$87,Formula!B21,23))+((Formula!E21)/(Formula!C21+Formula!E21+Formula!G21+Formula!I21+Formula!K21))*(INDEX(Properties!A$1:CB$87,Formula!D21,23))+((Formula!G21)/(Formula!C21+Formula!E21+Formula!G21+Formula!I21+Formula!K21))*(INDEX(Properties!A$1:CB$87,Formula!F21,23))+((Formula!I21)/(Formula!C21+Formula!E21+Formula!G21+Formula!I21+Formula!K21))*(INDEX(Properties!A$1:CB$87,Formula!H21,23))+((Formula!K21)/(Formula!C21+Formula!E21+Formula!G21+Formula!I21+Formula!K21))*(INDEX(Properties!A$1:CB$87,Formula!J21,23))</f>
        <v>1.4450000000000001</v>
      </c>
      <c r="CC21" s="81">
        <f>Formula!C21*(INDEX(Properties!A$1:CB$87,Formula!B21,23))+Formula!E21*(INDEX(Properties!A$1:CB$87,Formula!D21,23))+Formula!G21*(INDEX(Properties!A$1:CB$87,Formula!F21,23))+Formula!I21*(INDEX(Properties!A$1:CB$87,Formula!H21,23))+Formula!K21*(INDEX(Properties!A$1:CB$87,Formula!J21,23))</f>
        <v>5.78</v>
      </c>
      <c r="CD21" s="81">
        <f>VARP(IF(INDEX(Properties!A$1:CB$87,Formula!B21,23)&lt;&gt;"",INDEX(Properties!A$1:CB$87,Formula!B21,23)),IF(INDEX(Properties!A$1:CB$87,Formula!D21,23)&lt;&gt;"",INDEX(Properties!A$1:CB$87,Formula!D21,23)),IF(INDEX(Properties!A$1:CB$87,Formula!F21,23)&lt;&gt;"",INDEX(Properties!A$1:CB$87,Formula!F21,23)),IF(INDEX(Properties!A$1:CB$87,Formula!H21,23)&lt;&gt;"",INDEX(Properties!A$1:CB$87,Formula!H21,23)),IF(INDEX(Properties!A$1:CB$87,Formula!J21,23)&lt;&gt;"",INDEX(Properties!A$1:CB$87,Formula!J21,23)))</f>
        <v>5.3453439999999999</v>
      </c>
      <c r="CE21" s="81">
        <f>MAX(INDEX(Properties!A$1:CB$87,Formula!B21,23),INDEX(Properties!A$1:CB$87,Formula!D21,23),INDEX(Properties!A$1:CB$87,Formula!F21,23),INDEX(Properties!A$1:CB$87,Formula!H21,23),INDEX(Properties!A$1:CB$87,Formula!J21,23))</f>
        <v>5.78</v>
      </c>
      <c r="CF21" s="81">
        <f>MIN(IF(Formula!B21=87,10^6,INDEX(Properties!A$1:CB$87,Formula!B21,23)),IF((Formula!D21)=87,10^6,INDEX(Properties!A$1:CB$87,Formula!D21,23)),IF((Formula!F21)=87,10^6,INDEX(Properties!A$1:CB$87,Formula!F21,23)),IF((Formula!H21)=87,10^6,INDEX(Properties!A$1:CB$87,Formula!H21,23)),IF(Formula!J21=87,10^6,INDEX(Properties!A$1:CB$87,Formula!J21,23)))</f>
        <v>0</v>
      </c>
      <c r="CG21" s="81">
        <f t="shared" si="13"/>
        <v>5.78</v>
      </c>
      <c r="CH21" s="39">
        <f>((Formula!C21)/(Formula!C21+Formula!E21+Formula!G21+Formula!I21+Formula!K21))*(INDEX(Properties!A$1:CB$87,Formula!B21,26))+((Formula!E21)/(Formula!C21+Formula!E21+Formula!G21+Formula!I21+Formula!K21))*(INDEX(Properties!A$1:CB$87,Formula!D21,26))+((Formula!G21)/(Formula!C21+Formula!E21+Formula!G21+Formula!I21+Formula!K21))*(INDEX(Properties!A$1:CB$87,Formula!F21,26))+((Formula!I21)/(Formula!C21+Formula!E21+Formula!G21+Formula!I21+Formula!K21))*(INDEX(Properties!A$1:CB$87,Formula!H21,26))+((Formula!K21)/(Formula!C21+Formula!E21+Formula!G21+Formula!I21+Formula!K21))*(INDEX(Properties!A$1:CB$87,Formula!J21,26))</f>
        <v>11.986675</v>
      </c>
      <c r="CI21" s="39">
        <f>Formula!C21*(INDEX(Properties!A$1:CB$87,Formula!B21,26))+Formula!E21*(INDEX(Properties!A$1:CB$87,Formula!D21,26))+Formula!G21*(INDEX(Properties!A$1:CB$87,Formula!F21,26))+Formula!I21*(INDEX(Properties!A$1:CB$87,Formula!H21,26))+Formula!K21*(INDEX(Properties!A$1:CB$87,Formula!J21,26))</f>
        <v>47.9467</v>
      </c>
      <c r="CJ21" s="39">
        <f>VARP(IF(INDEX(Properties!A$1:CB$87,Formula!B21,26)&lt;&gt;"",INDEX(Properties!A$1:CB$87,Formula!B21,26)),IF(INDEX(Properties!A$1:CB$87,Formula!D21,26)&lt;&gt;"",INDEX(Properties!A$1:CB$87,Formula!D21,26)),IF(INDEX(Properties!A$1:CB$87,Formula!F21,26)&lt;&gt;"",INDEX(Properties!A$1:CB$87,Formula!F21,26)),IF(INDEX(Properties!A$1:CB$87,Formula!H21,26)&lt;&gt;"",INDEX(Properties!A$1:CB$87,Formula!H21,26)),IF(INDEX(Properties!A$1:CB$87,Formula!J21,26)&lt;&gt;"",INDEX(Properties!A$1:CB$87,Formula!J21,26)))</f>
        <v>29.993964663999996</v>
      </c>
      <c r="CK21" s="39">
        <f>MAX(INDEX(Properties!A$1:CB$87,Formula!B21,26),INDEX(Properties!A$1:CB$87,Formula!D21,26),INDEX(Properties!A$1:CB$87,Formula!F21,26),INDEX(Properties!A$1:CB$87,Formula!H21,26),INDEX(Properties!A$1:CB$87,Formula!J21,26))</f>
        <v>13.6181</v>
      </c>
      <c r="CL21" s="39">
        <f>MIN(IF(INDEX(Properties!A$1:CB$87,Formula!B21,26)=0,10^6,INDEX(Properties!A$1:CB$87,Formula!B21,26)),IF(INDEX(Properties!A$1:CB$87,Formula!D21,26)=0,10^6,INDEX(Properties!A$1:CB$87,Formula!D21,26)),IF(INDEX(Properties!A$1:CB$87,Formula!F21,26)=0,10^6,INDEX(Properties!A$1:CB$87,Formula!F21,26)),IF(INDEX(Properties!A$1:CB$87,Formula!H21,26)=0,10^6,INDEX(Properties!A$1:CB$87,Formula!H21,26)),IF(INDEX(Properties!A$1:CB$87,Formula!J21,26)=0,10^6,INDEX(Properties!A$1:CB$87,Formula!J21,26)))</f>
        <v>7.0923999999999996</v>
      </c>
      <c r="CM21" s="39">
        <f t="shared" si="14"/>
        <v>6.5257000000000005</v>
      </c>
      <c r="CN21" s="54">
        <f>((Formula!C21)/(Formula!C21+Formula!E21+Formula!G21+Formula!I21+Formula!K21))*(INDEX(Properties!A$1:CB$87,Formula!B21,30))+((Formula!E21)/(Formula!C21+Formula!E21+Formula!G21+Formula!I21+Formula!K21))*(INDEX(Properties!A$1:CB$87,Formula!D21,30))+((Formula!G21)/(Formula!C21+Formula!E21+Formula!G21+Formula!I21+Formula!K21))*(INDEX(Properties!A$1:CB$87,Formula!F21,30))+((Formula!I21)/(Formula!C21+Formula!E21+Formula!G21+Formula!I21+Formula!K21))*(INDEX(Properties!A$1:CB$87,Formula!H21,30))+((Formula!K21)/(Formula!C21+Formula!E21+Formula!G21+Formula!I21+Formula!K21))*(INDEX(Properties!A$1:CB$87,Formula!J21,30))</f>
        <v>3.12</v>
      </c>
      <c r="CO21" s="54">
        <f>Formula!C21*(INDEX(Properties!A$1:CB$87,Formula!B21,30))+Formula!E21*(INDEX(Properties!A$1:CB$87,Formula!D21,30))+Formula!G21*(INDEX(Properties!A$1:CB$87,Formula!F21,30))+Formula!I21*(INDEX(Properties!A$1:CB$87,Formula!H21,30))+Formula!K21*(INDEX(Properties!A$1:CB$87,Formula!J21,30))</f>
        <v>12.48</v>
      </c>
      <c r="CP21" s="54">
        <f>VARP(IF(INDEX(Properties!A$1:CB$87,Formula!B21,30)&lt;&gt;"",INDEX(Properties!A$1:CB$87,Formula!B21,30)),IF(INDEX(Properties!A$1:CB$87,Formula!D21,30)&lt;&gt;"",INDEX(Properties!A$1:CB$87,Formula!D21,30)),IF(INDEX(Properties!A$1:CB$87,Formula!F21,30)&lt;&gt;"",INDEX(Properties!A$1:CB$87,Formula!F21,30)),IF(INDEX(Properties!A$1:CB$87,Formula!H21,30)&lt;&gt;"",INDEX(Properties!A$1:CB$87,Formula!H21,30)),IF(INDEX(Properties!A$1:CB$87,Formula!J21,30)&lt;&gt;"",INDEX(Properties!A$1:CB$87,Formula!J21,30)))</f>
        <v>2.0454399999999997</v>
      </c>
      <c r="CQ21" s="54">
        <f>MAX(INDEX(Properties!A$1:CB$87,Formula!B21,30),INDEX(Properties!A$1:CB$87,Formula!D21,30),INDEX(Properties!A$1:CB$87,Formula!F21,30),INDEX(Properties!A$1:CB$87,Formula!H21,30),INDEX(Properties!A$1:CB$87,Formula!J21,30))</f>
        <v>3.44</v>
      </c>
      <c r="CR21" s="54">
        <f>MIN(IF(INDEX(Properties!A$1:CB$87,Formula!B21,30)=0,10^6,INDEX(Properties!A$1:CB$87,Formula!B21,30)),IF(INDEX(Properties!A$1:CB$87,Formula!D21,30)=0,10^6,INDEX(Properties!A$1:CB$87,Formula!D21,30)),IF(INDEX(Properties!A$1:CB$87,Formula!F21,30)=0,10^6,INDEX(Properties!A$1:CB$87,Formula!F21,30)),IF(INDEX(Properties!A$1:CB$87,Formula!H21,30)=0,10^6,INDEX(Properties!A$1:CB$87,Formula!H21,30)),IF(INDEX(Properties!A$1:CB$87,Formula!J21,30)=0,10^6,INDEX(Properties!A$1:CB$87,Formula!J21,30)))</f>
        <v>2.16</v>
      </c>
      <c r="CS21" s="54">
        <f t="shared" si="15"/>
        <v>1.2799999999999998</v>
      </c>
      <c r="CT21" s="69">
        <f>((Formula!C21)/(Formula!C21+Formula!E21+Formula!G21+Formula!I21+Formula!K21))*(INDEX(Properties!A$1:CB$87,Formula!B21,31))+((Formula!E21)/(Formula!C21+Formula!E21+Formula!G21+Formula!I21+Formula!K21))*(INDEX(Properties!A$1:CB$87,Formula!D21,31))+((Formula!G21)/(Formula!C21+Formula!E21+Formula!G21+Formula!I21+Formula!K21))*(INDEX(Properties!A$1:CB$87,Formula!F21,31))+((Formula!I21)/(Formula!C21+Formula!E21+Formula!G21+Formula!I21+Formula!K21))*(INDEX(Properties!A$1:CB$87,Formula!H21,31))+((Formula!K21)/(Formula!C21+Formula!E21+Formula!G21+Formula!I21+Formula!K21))*(INDEX(Properties!A$1:CB$87,Formula!J21,31))</f>
        <v>2.9749999999999996</v>
      </c>
      <c r="CU21" s="69">
        <f>Formula!C21*(INDEX(Properties!A$1:CB$87,Formula!B21,31))+Formula!E21*(INDEX(Properties!A$1:CB$87,Formula!D21,31))+Formula!G21*(INDEX(Properties!A$1:CB$87,Formula!F21,31))+Formula!I21*(INDEX(Properties!A$1:CB$87,Formula!H21,31))+Formula!K21*(INDEX(Properties!A$1:CB$87,Formula!J21,31))</f>
        <v>11.899999999999999</v>
      </c>
      <c r="CV21" s="69">
        <f>VARP(IF(INDEX(Properties!A$1:CB$87,Formula!B21,31)&lt;&gt;"",INDEX(Properties!A$1:CB$87,Formula!B21,31)),IF(INDEX(Properties!A$1:CB$87,Formula!D21,31)&lt;&gt;"",INDEX(Properties!A$1:CB$87,Formula!D21,31)),IF(INDEX(Properties!A$1:CB$87,Formula!F21,31)&lt;&gt;"",INDEX(Properties!A$1:CB$87,Formula!F21,31)),IF(INDEX(Properties!A$1:CB$87,Formula!H21,31)&lt;&gt;"",INDEX(Properties!A$1:CB$87,Formula!H21,31)),IF(INDEX(Properties!A$1:CB$87,Formula!J21,31)&lt;&gt;"",INDEX(Properties!A$1:CB$87,Formula!J21,31)))</f>
        <v>1.8504959999999999</v>
      </c>
      <c r="CW21" s="69">
        <f>MAX(INDEX(Properties!A$1:CB$87,Formula!B21,31),INDEX(Properties!A$1:CB$87,Formula!D21,31),INDEX(Properties!A$1:CB$87,Formula!F21,31),INDEX(Properties!A$1:CB$87,Formula!H21,31),INDEX(Properties!A$1:CB$87,Formula!J21,31))</f>
        <v>3.32</v>
      </c>
      <c r="CX21" s="69">
        <f>MIN(IF(INDEX(Properties!A$1:CB$87,Formula!B21,31)=0,10^6,INDEX(Properties!A$1:CB$87,Formula!B21,31)),IF(INDEX(Properties!A$1:CB$87,Formula!D21,31)=0,10^6,INDEX(Properties!A$1:CB$87,Formula!D21,31)),IF(INDEX(Properties!A$1:CB$87,Formula!F21,31)=0,10^6,INDEX(Properties!A$1:CB$87,Formula!F21,31)),IF(INDEX(Properties!A$1:CB$87,Formula!H21,31)=0,10^6,INDEX(Properties!A$1:CB$87,Formula!H21,31)),IF(INDEX(Properties!A$1:CB$87,Formula!J21,31)=0,10^6,INDEX(Properties!A$1:CB$87,Formula!J21,31)))</f>
        <v>1.94</v>
      </c>
      <c r="CY21" s="69">
        <f t="shared" si="16"/>
        <v>1.38</v>
      </c>
      <c r="CZ21" s="42">
        <f>((Formula!C21)/(Formula!C21+Formula!E21+Formula!G21+Formula!I21+Formula!K21))*(INDEX(Properties!A$1:CB$87,Formula!B21,32))+((Formula!E21)/(Formula!C21+Formula!E21+Formula!G21+Formula!I21+Formula!K21))*(INDEX(Properties!A$1:CB$87,Formula!D21,32))+((Formula!G21)/(Formula!C21+Formula!E21+Formula!G21+Formula!I21+Formula!K21))*(INDEX(Properties!A$1:CB$87,Formula!F21,32))+((Formula!I21)/(Formula!C21+Formula!E21+Formula!G21+Formula!I21+Formula!K21))*(INDEX(Properties!A$1:CB$87,Formula!H21,32))+((Formula!K21)/(Formula!C21+Formula!E21+Formula!G21+Formula!I21+Formula!K21))*(INDEX(Properties!A$1:CB$87,Formula!J21,32))</f>
        <v>6.63</v>
      </c>
      <c r="DA21" s="42">
        <f>Formula!C21*(INDEX(Properties!A$1:CB$87,Formula!B21,32))+Formula!E21*(INDEX(Properties!A$1:CB$87,Formula!D21,32))+Formula!G21*(INDEX(Properties!A$1:CB$87,Formula!F21,32))+Formula!I21*(INDEX(Properties!A$1:CB$87,Formula!H21,32))+Formula!K21*(INDEX(Properties!A$1:CB$87,Formula!J21,32))</f>
        <v>26.52</v>
      </c>
      <c r="DB21" s="42">
        <f>VARP(IF(INDEX(Properties!A$1:CB$87,Formula!B21,32)&lt;&gt;"",INDEX(Properties!A$1:CB$87,Formula!B21,32)),IF(INDEX(Properties!A$1:CB$87,Formula!D21,32)&lt;&gt;"",INDEX(Properties!A$1:CB$87,Formula!D21,32)),IF(INDEX(Properties!A$1:CB$87,Formula!F21,32)&lt;&gt;"",INDEX(Properties!A$1:CB$87,Formula!F21,32)),IF(INDEX(Properties!A$1:CB$87,Formula!H21,32)&lt;&gt;"",INDEX(Properties!A$1:CB$87,Formula!H21,32)),IF(INDEX(Properties!A$1:CB$87,Formula!J21,32)&lt;&gt;"",INDEX(Properties!A$1:CB$87,Formula!J21,32)))</f>
        <v>9.1773760000000006</v>
      </c>
      <c r="DC21" s="42">
        <f>MAX(INDEX(Properties!A$1:CB$87,Formula!B21,32),INDEX(Properties!A$1:CB$87,Formula!D21,32),INDEX(Properties!A$1:CB$87,Formula!F21,32),INDEX(Properties!A$1:CB$87,Formula!H21,32),INDEX(Properties!A$1:CB$87,Formula!J21,32))</f>
        <v>7.54</v>
      </c>
      <c r="DD21" s="42">
        <f>MIN(IF(INDEX(Properties!A$1:CB$87,Formula!B21,32)=0,10^6,INDEX(Properties!A$1:CB$87,Formula!B21,32)),IF(INDEX(Properties!A$1:CB$87,Formula!D21,32)=0,10^6,INDEX(Properties!A$1:CB$87,Formula!D21,32)),IF(INDEX(Properties!A$1:CB$87,Formula!F21,32)=0,10^6,INDEX(Properties!A$1:CB$87,Formula!F21,32)),IF(INDEX(Properties!A$1:CB$87,Formula!H21,32)=0,10^6,INDEX(Properties!A$1:CB$87,Formula!H21,32)),IF(INDEX(Properties!A$1:CB$87,Formula!J21,32)=0,10^6,INDEX(Properties!A$1:CB$87,Formula!J21,32)))</f>
        <v>3.9</v>
      </c>
      <c r="DE21" s="42">
        <f t="shared" si="17"/>
        <v>3.64</v>
      </c>
      <c r="DF21" s="60">
        <f>((Formula!C21)/(Formula!C21+Formula!E21+Formula!G21+Formula!I21+Formula!K21))*(INDEX(Properties!A$1:CB$87,Formula!B21,34))+((Formula!E21)/(Formula!C21+Formula!E21+Formula!G21+Formula!I21+Formula!K21))*(INDEX(Properties!A$1:CB$87,Formula!D21,34))+((Formula!G21)/(Formula!C21+Formula!E21+Formula!G21+Formula!I21+Formula!K21))*(INDEX(Properties!A$1:CB$87,Formula!F21,34))+((Formula!I21)/(Formula!C21+Formula!E21+Formula!G21+Formula!I21+Formula!K21))*(INDEX(Properties!A$1:CB$87,Formula!H21,34))+((Formula!K21)/(Formula!C21+Formula!E21+Formula!G21+Formula!I21+Formula!K21))*(INDEX(Properties!A$1:CB$87,Formula!J21,34))</f>
        <v>3.0750000000000002</v>
      </c>
      <c r="DG21" s="60">
        <f>Formula!C21*(INDEX(Properties!A$1:CB$87,Formula!B21,34))+Formula!E21*(INDEX(Properties!A$1:CB$87,Formula!D21,34))+Formula!G21*(INDEX(Properties!A$1:CB$87,Formula!F21,34))+Formula!I21*(INDEX(Properties!A$1:CB$87,Formula!H21,34))+Formula!K21*(INDEX(Properties!A$1:CB$87,Formula!J21,34))</f>
        <v>12.3</v>
      </c>
      <c r="DH21" s="60">
        <f>VARP(IF(INDEX(Properties!A$1:CB$87,Formula!B21,34)&lt;&gt;"",INDEX(Properties!A$1:CB$87,Formula!B21,34)),IF(INDEX(Properties!A$1:CB$87,Formula!D21,34)&lt;&gt;"",INDEX(Properties!A$1:CB$87,Formula!D21,34)),IF(INDEX(Properties!A$1:CB$87,Formula!F21,34)&lt;&gt;"",INDEX(Properties!A$1:CB$87,Formula!F21,34)),IF(INDEX(Properties!A$1:CB$87,Formula!H21,34)&lt;&gt;"",INDEX(Properties!A$1:CB$87,Formula!H21,34)),IF(INDEX(Properties!A$1:CB$87,Formula!J21,34)&lt;&gt;"",INDEX(Properties!A$1:CB$87,Formula!J21,34)))</f>
        <v>2.0063440000000003</v>
      </c>
      <c r="DI21" s="60">
        <f>MAX(INDEX(Properties!A$1:CB$87,Formula!B21,34),INDEX(Properties!A$1:CB$87,Formula!D21,34),INDEX(Properties!A$1:CB$87,Formula!F21,34),INDEX(Properties!A$1:CB$87,Formula!H21,34),INDEX(Properties!A$1:CB$87,Formula!J21,34))</f>
        <v>3.61</v>
      </c>
      <c r="DJ21" s="60">
        <f>MIN(IF(INDEX(Properties!A$1:CB$87,Formula!B21,34)=0,10^6,INDEX(Properties!A$1:CB$87,Formula!B21,34)),IF(INDEX(Properties!A$1:CB$87,Formula!D21,34)=0,10^6,INDEX(Properties!A$1:CB$87,Formula!D21,34)),IF(INDEX(Properties!A$1:CB$87,Formula!F21,34)=0,10^6,INDEX(Properties!A$1:CB$87,Formula!F21,34)),IF(INDEX(Properties!A$1:CB$87,Formula!H21,34)=0,10^6,INDEX(Properties!A$1:CB$87,Formula!H21,34)),IF(INDEX(Properties!A$1:CB$87,Formula!J21,34)=0,10^6,INDEX(Properties!A$1:CB$87,Formula!J21,34)))</f>
        <v>1.47</v>
      </c>
      <c r="DK21" s="60">
        <f t="shared" si="18"/>
        <v>2.1399999999999997</v>
      </c>
      <c r="DL21" s="45">
        <f>((Formula!C21)/(Formula!C21+Formula!E21+Formula!G21+Formula!I21+Formula!K21))*(INDEX(Properties!A$1:CB$87,Formula!B21,39))+((Formula!E21)/(Formula!C21+Formula!E21+Formula!G21+Formula!I21+Formula!K21))*(INDEX(Properties!A$1:CB$87,Formula!D21,39))+((Formula!G21)/(Formula!C21+Formula!E21+Formula!G21+Formula!I21+Formula!K21))*(INDEX(Properties!A$1:CB$87,Formula!F21,39))+((Formula!I21)/(Formula!C21+Formula!E21+Formula!G21+Formula!I21+Formula!K21))*(INDEX(Properties!A$1:CB$87,Formula!H21,39))+((Formula!K21)/(Formula!C21+Formula!E21+Formula!G21+Formula!I21+Formula!K21))*(INDEX(Properties!A$1:CB$87,Formula!J21,39))</f>
        <v>0.83499999999999996</v>
      </c>
      <c r="DM21" s="45">
        <f>Formula!C21*(INDEX(Properties!A$1:CB$87,Formula!B21,39))+Formula!E21*(INDEX(Properties!A$1:CB$87,Formula!D21,39))+Formula!G21*(INDEX(Properties!A$1:CB$87,Formula!F21,39))+Formula!I21*(INDEX(Properties!A$1:CB$87,Formula!H21,39))+Formula!K21*(INDEX(Properties!A$1:CB$87,Formula!J21,39))</f>
        <v>3.34</v>
      </c>
      <c r="DN21" s="45">
        <f>VARP(IF(INDEX(Properties!A$1:CB$87,Formula!B21,39)&lt;&gt;"",INDEX(Properties!A$1:CB$87,Formula!B21,39)),IF(INDEX(Properties!A$1:CB$87,Formula!D21,39)&lt;&gt;"",INDEX(Properties!A$1:CB$87,Formula!D21,39)),IF(INDEX(Properties!A$1:CB$87,Formula!F21,39)&lt;&gt;"",INDEX(Properties!A$1:CB$87,Formula!F21,39)),IF(INDEX(Properties!A$1:CB$87,Formula!H21,39)&lt;&gt;"",INDEX(Properties!A$1:CB$87,Formula!H21,39)),IF(INDEX(Properties!A$1:CB$87,Formula!J21,39)&lt;&gt;"",INDEX(Properties!A$1:CB$87,Formula!J21,39)))</f>
        <v>0.54150399999999987</v>
      </c>
      <c r="DO21" s="45">
        <f>MAX(INDEX(Properties!A$1:CB$87,Formula!B21,39),INDEX(Properties!A$1:CB$87,Formula!D21,39),INDEX(Properties!A$1:CB$87,Formula!F21,39),INDEX(Properties!A$1:CB$87,Formula!H21,39),INDEX(Properties!A$1:CB$87,Formula!J21,39))</f>
        <v>1.9</v>
      </c>
      <c r="DP21" s="45">
        <f>MIN(IF(INDEX(Properties!A$1:CB$87,Formula!B21,39)=0,10^6,INDEX(Properties!A$1:CB$87,Formula!B21,39)),IF(INDEX(Properties!A$1:CB$87,Formula!D21,39)=0,10^6,INDEX(Properties!A$1:CB$87,Formula!D21,39)),IF(INDEX(Properties!A$1:CB$87,Formula!F21,39)=0,10^6,INDEX(Properties!A$1:CB$87,Formula!F21,39)),IF(INDEX(Properties!A$1:CB$87,Formula!H21,39)=0,10^6,INDEX(Properties!A$1:CB$87,Formula!H21,39)),IF(INDEX(Properties!A$1:CB$87,Formula!J21,39)=0,10^6,INDEX(Properties!A$1:CB$87,Formula!J21,39)))</f>
        <v>0.48</v>
      </c>
      <c r="DQ21" s="45">
        <f t="shared" si="19"/>
        <v>1.42</v>
      </c>
      <c r="DR21" s="63">
        <f>((Formula!C21)/(Formula!C21+Formula!E21+Formula!G21+Formula!I21+Formula!K21))*(INDEX(Properties!A$1:CB$87,Formula!B21,40))+((Formula!E21)/(Formula!C21+Formula!E21+Formula!G21+Formula!I21+Formula!K21))*(INDEX(Properties!A$1:CB$87,Formula!D21,40))+((Formula!G21)/(Formula!C21+Formula!E21+Formula!G21+Formula!I21+Formula!K21))*(INDEX(Properties!A$1:CB$87,Formula!F21,40))+((Formula!I21)/(Formula!C21+Formula!E21+Formula!G21+Formula!I21+Formula!K21))*(INDEX(Properties!A$1:CB$87,Formula!H21,40))+((Formula!K21)/(Formula!C21+Formula!E21+Formula!G21+Formula!I21+Formula!K21))*(INDEX(Properties!A$1:CB$87,Formula!J21,40))</f>
        <v>0.90999999999999992</v>
      </c>
      <c r="DS21" s="63">
        <f>Formula!C21*(INDEX(Properties!A$1:CB$87,Formula!B21,40))+Formula!E21*(INDEX(Properties!A$1:CB$87,Formula!D21,40))+Formula!G21*(INDEX(Properties!A$1:CB$87,Formula!F21,40))+Formula!I21*(INDEX(Properties!A$1:CB$87,Formula!H21,40))+Formula!K21*(INDEX(Properties!A$1:CB$87,Formula!J21,40))</f>
        <v>3.6399999999999997</v>
      </c>
      <c r="DT21" s="63">
        <f>VARP(IF(INDEX(Properties!A$1:CB$87,Formula!B21,40)&lt;&gt;"",INDEX(Properties!A$1:CB$87,Formula!B21,40)),IF(INDEX(Properties!A$1:CB$87,Formula!D21,40)&lt;&gt;"",INDEX(Properties!A$1:CB$87,Formula!D21,40)),IF(INDEX(Properties!A$1:CB$87,Formula!F21,40)&lt;&gt;"",INDEX(Properties!A$1:CB$87,Formula!F21,40)),IF(INDEX(Properties!A$1:CB$87,Formula!H21,40)&lt;&gt;"",INDEX(Properties!A$1:CB$87,Formula!H21,40)),IF(INDEX(Properties!A$1:CB$87,Formula!J21,40)&lt;&gt;"",INDEX(Properties!A$1:CB$87,Formula!J21,40)))</f>
        <v>0.33698400000000006</v>
      </c>
      <c r="DU21" s="63">
        <f>MAX(INDEX(Properties!A$1:CB$87,Formula!B21,40),INDEX(Properties!A$1:CB$87,Formula!D21,40),INDEX(Properties!A$1:CB$87,Formula!F21,40),INDEX(Properties!A$1:CB$87,Formula!H21,40),INDEX(Properties!A$1:CB$87,Formula!J21,40))</f>
        <v>1.45</v>
      </c>
      <c r="DV21" s="63">
        <f>MIN(IF(INDEX(Properties!A$1:CB$87,Formula!B21,40)=0,10^6,INDEX(Properties!A$1:CB$87,Formula!B21,40)),IF(INDEX(Properties!A$1:CB$87,Formula!D21,40)=0,10^6,INDEX(Properties!A$1:CB$87,Formula!D21,40)),IF(INDEX(Properties!A$1:CB$87,Formula!F21,40)=0,10^6,INDEX(Properties!A$1:CB$87,Formula!F21,40)),IF(INDEX(Properties!A$1:CB$87,Formula!H21,40)=0,10^6,INDEX(Properties!A$1:CB$87,Formula!H21,40)),IF(INDEX(Properties!A$1:CB$87,Formula!J21,40)=0,10^6,INDEX(Properties!A$1:CB$87,Formula!J21,40)))</f>
        <v>0.73</v>
      </c>
      <c r="DW21" s="63">
        <f t="shared" si="20"/>
        <v>0.72</v>
      </c>
      <c r="DX21" s="75">
        <f>((Formula!C21)/(Formula!C21+Formula!E21+Formula!G21+Formula!I21+Formula!K21))*(INDEX(Properties!A$1:CB$87,Formula!B21,41))+((Formula!E21)/(Formula!C21+Formula!E21+Formula!G21+Formula!I21+Formula!K21))*(INDEX(Properties!A$1:CB$87,Formula!D21,41))+((Formula!G21)/(Formula!C21+Formula!E21+Formula!G21+Formula!I21+Formula!K21))*(INDEX(Properties!A$1:CB$87,Formula!F21,41))+((Formula!I21)/(Formula!C21+Formula!E21+Formula!G21+Formula!I21+Formula!K21))*(INDEX(Properties!A$1:CB$87,Formula!H21,41))+((Formula!K21)/(Formula!C21+Formula!E21+Formula!G21+Formula!I21+Formula!K21))*(INDEX(Properties!A$1:CB$87,Formula!J21,41))</f>
        <v>1.1525000000000001</v>
      </c>
      <c r="DY21" s="75">
        <f>Formula!C21*(INDEX(Properties!A$1:CB$87,Formula!B21,41))+Formula!E21*(INDEX(Properties!A$1:CB$87,Formula!D21,41))+Formula!G21*(INDEX(Properties!A$1:CB$87,Formula!F21,41))+Formula!I21*(INDEX(Properties!A$1:CB$87,Formula!H21,41))+Formula!K21*(INDEX(Properties!A$1:CB$87,Formula!J21,41))</f>
        <v>4.6100000000000003</v>
      </c>
      <c r="DZ21" s="75">
        <f>VARP(IF(INDEX(Properties!A$1:CB$87,Formula!B21,41)&lt;&gt;"",INDEX(Properties!A$1:CB$87,Formula!B21,41)),IF(INDEX(Properties!A$1:CB$87,Formula!D21,41)&lt;&gt;"",INDEX(Properties!A$1:CB$87,Formula!D21,41)),IF(INDEX(Properties!A$1:CB$87,Formula!F21,41)&lt;&gt;"",INDEX(Properties!A$1:CB$87,Formula!F21,41)),IF(INDEX(Properties!A$1:CB$87,Formula!H21,41)&lt;&gt;"",INDEX(Properties!A$1:CB$87,Formula!H21,41)),IF(INDEX(Properties!A$1:CB$87,Formula!J21,41)&lt;&gt;"",INDEX(Properties!A$1:CB$87,Formula!J21,41)))</f>
        <v>0.28057600000000005</v>
      </c>
      <c r="EA21" s="75">
        <f>MAX(INDEX(Properties!A$1:CB$87,Formula!B21,41),INDEX(Properties!A$1:CB$87,Formula!D21,41),INDEX(Properties!A$1:CB$87,Formula!F21,41),INDEX(Properties!A$1:CB$87,Formula!H21,41),INDEX(Properties!A$1:CB$87,Formula!J21,41))</f>
        <v>1.26</v>
      </c>
      <c r="EB21" s="75">
        <f>MIN(IF(INDEX(Properties!A$1:CB$87,Formula!B21,41)=0,10^6,INDEX(Properties!A$1:CB$87,Formula!B21,41)),IF(INDEX(Properties!A$1:CB$87,Formula!D21,41)=0,10^6,INDEX(Properties!A$1:CB$87,Formula!D21,41)),IF(INDEX(Properties!A$1:CB$87,Formula!F21,41)=0,10^6,INDEX(Properties!A$1:CB$87,Formula!F21,41)),IF(INDEX(Properties!A$1:CB$87,Formula!H21,41)=0,10^6,INDEX(Properties!A$1:CB$87,Formula!H21,41)),IF(INDEX(Properties!A$1:CB$87,Formula!J21,41)=0,10^6,INDEX(Properties!A$1:CB$87,Formula!J21,41)))</f>
        <v>0.83</v>
      </c>
      <c r="EC21" s="75">
        <f t="shared" si="21"/>
        <v>0.43000000000000005</v>
      </c>
      <c r="ED21" s="48">
        <f>((Formula!C21)/(Formula!C21+Formula!E21+Formula!G21+Formula!I21+Formula!K21))*(INDEX(Properties!A$1:CB$87,Formula!B21,45))+((Formula!E21)/(Formula!C21+Formula!E21+Formula!G21+Formula!I21+Formula!K21))*(INDEX(Properties!A$1:CB$87,Formula!D21,45))+((Formula!G21)/(Formula!C21+Formula!E21+Formula!G21+Formula!I21+Formula!K21))*(INDEX(Properties!A$1:CB$87,Formula!F21,45))+((Formula!I21)/(Formula!C21+Formula!E21+Formula!G21+Formula!I21+Formula!K21))*(INDEX(Properties!A$1:CB$87,Formula!H21,45))+((Formula!K21)/(Formula!C21+Formula!E21+Formula!G21+Formula!I21+Formula!K21))*(INDEX(Properties!A$1:CB$87,Formula!J21,45))</f>
        <v>1.0325</v>
      </c>
      <c r="EE21" s="48">
        <f>Formula!C21*(INDEX(Properties!A$1:CB$87,Formula!B21,45))+Formula!E21*(INDEX(Properties!A$1:CB$87,Formula!D21,45))+Formula!G21*(INDEX(Properties!A$1:CB$87,Formula!F21,45))+Formula!I21*(INDEX(Properties!A$1:CB$87,Formula!H21,45))+Formula!K21*(INDEX(Properties!A$1:CB$87,Formula!J21,45))</f>
        <v>4.13</v>
      </c>
      <c r="EF21" s="48">
        <f>VARP(IF(INDEX(Properties!A$1:CB$87,Formula!B21,45)&lt;&gt;"",INDEX(Properties!A$1:CB$87,Formula!B21,45)),IF(INDEX(Properties!A$1:CB$87,Formula!D21,45)&lt;&gt;"",INDEX(Properties!A$1:CB$87,Formula!D21,45)),IF(INDEX(Properties!A$1:CB$87,Formula!F21,45)&lt;&gt;"",INDEX(Properties!A$1:CB$87,Formula!F21,45)),IF(INDEX(Properties!A$1:CB$87,Formula!H21,45)&lt;&gt;"",INDEX(Properties!A$1:CB$87,Formula!H21,45)),IF(INDEX(Properties!A$1:CB$87,Formula!J21,45)&lt;&gt;"",INDEX(Properties!A$1:CB$87,Formula!J21,45)))</f>
        <v>1.1168160000000003</v>
      </c>
      <c r="EG21" s="48">
        <f>MAX(INDEX(Properties!A$1:CB$87,Formula!B21,45),INDEX(Properties!A$1:CB$87,Formula!D21,45),INDEX(Properties!A$1:CB$87,Formula!F21,45),INDEX(Properties!A$1:CB$87,Formula!H21,45),INDEX(Properties!A$1:CB$87,Formula!J21,45))</f>
        <v>2.72</v>
      </c>
      <c r="EH21" s="48">
        <f>MIN(IF(INDEX(Properties!A$1:CB$87,Formula!B21,45)=0,10^6,INDEX(Properties!A$1:CB$87,Formula!B21,45)),IF(INDEX(Properties!A$1:CB$87,Formula!D21,45)=0,10^6,INDEX(Properties!A$1:CB$87,Formula!D21,45)),IF(INDEX(Properties!A$1:CB$87,Formula!F21,45)=0,10^6,INDEX(Properties!A$1:CB$87,Formula!F21,45)),IF(INDEX(Properties!A$1:CB$87,Formula!H21,45)=0,10^6,INDEX(Properties!A$1:CB$87,Formula!H21,45)),IF(INDEX(Properties!A$1:CB$87,Formula!J21,45)=0,10^6,INDEX(Properties!A$1:CB$87,Formula!J21,45)))</f>
        <v>0.47</v>
      </c>
      <c r="EI21" s="48">
        <f t="shared" si="22"/>
        <v>2.25</v>
      </c>
      <c r="EJ21" s="66">
        <f>((Formula!C21)/(Formula!C21+Formula!E21+Formula!G21+Formula!I21+Formula!K21))*(INDEX(Properties!A$1:CB$87,Formula!B21,46))+((Formula!E21)/(Formula!C21+Formula!E21+Formula!G21+Formula!I21+Formula!K21))*(INDEX(Properties!A$1:CB$87,Formula!D21,46))+((Formula!G21)/(Formula!C21+Formula!E21+Formula!G21+Formula!I21+Formula!K21))*(INDEX(Properties!A$1:CB$87,Formula!F21,46))+((Formula!I21)/(Formula!C21+Formula!E21+Formula!G21+Formula!I21+Formula!K21))*(INDEX(Properties!A$1:CB$87,Formula!H21,46))+((Formula!K21)/(Formula!C21+Formula!E21+Formula!G21+Formula!I21+Formula!K21))*(INDEX(Properties!A$1:CB$87,Formula!J21,46))</f>
        <v>1.105</v>
      </c>
      <c r="EK21" s="66">
        <f>Formula!C21*(INDEX(Properties!A$1:CB$87,Formula!B21,46))+Formula!E21*(INDEX(Properties!A$1:CB$87,Formula!D21,46))+Formula!G21*(INDEX(Properties!A$1:CB$87,Formula!F21,46))+Formula!I21*(INDEX(Properties!A$1:CB$87,Formula!H21,46))+Formula!K21*(INDEX(Properties!A$1:CB$87,Formula!J21,46))</f>
        <v>4.42</v>
      </c>
      <c r="EL21" s="66">
        <f>VARP(IF(INDEX(Properties!A$1:CB$87,Formula!B21,46)&lt;&gt;"",INDEX(Properties!A$1:CB$87,Formula!B21,46)),IF(INDEX(Properties!A$1:CB$87,Formula!D21,46)&lt;&gt;"",INDEX(Properties!A$1:CB$87,Formula!D21,46)),IF(INDEX(Properties!A$1:CB$87,Formula!F21,46)&lt;&gt;"",INDEX(Properties!A$1:CB$87,Formula!F21,46)),IF(INDEX(Properties!A$1:CB$87,Formula!H21,46)&lt;&gt;"",INDEX(Properties!A$1:CB$87,Formula!H21,46)),IF(INDEX(Properties!A$1:CB$87,Formula!J21,46)&lt;&gt;"",INDEX(Properties!A$1:CB$87,Formula!J21,46)))</f>
        <v>0.25764000000000004</v>
      </c>
      <c r="EM21" s="66">
        <f>MAX(INDEX(Properties!A$1:CB$87,Formula!B21,46),INDEX(Properties!A$1:CB$87,Formula!D21,46),INDEX(Properties!A$1:CB$87,Formula!F21,46),INDEX(Properties!A$1:CB$87,Formula!H21,46),INDEX(Properties!A$1:CB$87,Formula!J21,46))</f>
        <v>1.21</v>
      </c>
      <c r="EN21" s="66">
        <f>MIN(IF(INDEX(Properties!A$1:CB$87,Formula!B21,46)=0,10^6,INDEX(Properties!A$1:CB$87,Formula!B21,46)),IF(INDEX(Properties!A$1:CB$87,Formula!D21,46)=0,10^6,INDEX(Properties!A$1:CB$87,Formula!D21,46)),IF(INDEX(Properties!A$1:CB$87,Formula!F21,46)=0,10^6,INDEX(Properties!A$1:CB$87,Formula!F21,46)),IF(INDEX(Properties!A$1:CB$87,Formula!H21,46)=0,10^6,INDEX(Properties!A$1:CB$87,Formula!H21,46)),IF(INDEX(Properties!A$1:CB$87,Formula!J21,46)=0,10^6,INDEX(Properties!A$1:CB$87,Formula!J21,46)))</f>
        <v>0.79</v>
      </c>
      <c r="EO21" s="66">
        <f t="shared" si="23"/>
        <v>0.41999999999999993</v>
      </c>
      <c r="EP21" s="81">
        <f>((Formula!C21)/(Formula!C21+Formula!E21+Formula!G21+Formula!I21+Formula!K21))*(INDEX(Properties!A$1:CB$87,Formula!B21,52))+((Formula!E21)/(Formula!C21+Formula!E21+Formula!G21+Formula!I21+Formula!K21))*(INDEX(Properties!A$1:CB$87,Formula!D21,52))+((Formula!G21)/(Formula!C21+Formula!E21+Formula!G21+Formula!I21+Formula!K21))*(INDEX(Properties!A$1:CB$87,Formula!F21,52))+((Formula!I21)/(Formula!C21+Formula!E21+Formula!G21+Formula!I21+Formula!K21))*(INDEX(Properties!A$1:CB$87,Formula!H21,52))+((Formula!K21)/(Formula!C21+Formula!E21+Formula!G21+Formula!I21+Formula!K21))*(INDEX(Properties!A$1:CB$87,Formula!J21,52))</f>
        <v>3.7947500000000001</v>
      </c>
      <c r="EQ21" s="81">
        <f>Formula!C21*(INDEX(Properties!A$1:CB$87,Formula!B21,52))+Formula!E21*(INDEX(Properties!A$1:CB$87,Formula!D21,52))+Formula!G21*(INDEX(Properties!A$1:CB$87,Formula!F21,52))+Formula!I21*(INDEX(Properties!A$1:CB$87,Formula!H21,52))+Formula!K21*(INDEX(Properties!A$1:CB$87,Formula!J21,52))</f>
        <v>15.179</v>
      </c>
      <c r="ER21" s="81">
        <f>VARP(IF(INDEX(Properties!A$1:CB$87,Formula!B21,52)&lt;&gt;"",INDEX(Properties!A$1:CB$87,Formula!B21,52)),IF(INDEX(Properties!A$1:CB$87,Formula!D21,52)&lt;&gt;"",INDEX(Properties!A$1:CB$87,Formula!D21,52)),IF(INDEX(Properties!A$1:CB$87,Formula!F21,52)&lt;&gt;"",INDEX(Properties!A$1:CB$87,Formula!F21,52)),IF(INDEX(Properties!A$1:CB$87,Formula!H21,52)&lt;&gt;"",INDEX(Properties!A$1:CB$87,Formula!H21,52)),IF(INDEX(Properties!A$1:CB$87,Formula!J21,52)&lt;&gt;"",INDEX(Properties!A$1:CB$87,Formula!J21,52)))</f>
        <v>25.50298384000001</v>
      </c>
      <c r="ES21" s="81">
        <f>MAX(INDEX(Properties!A$1:CB$87,Formula!B21,52),INDEX(Properties!A$1:CB$87,Formula!D21,52),INDEX(Properties!A$1:CB$87,Formula!F21,52),INDEX(Properties!A$1:CB$87,Formula!H21,52),INDEX(Properties!A$1:CB$87,Formula!J21,52))</f>
        <v>12.8</v>
      </c>
      <c r="ET21" s="81">
        <f>MIN(IF(INDEX(Properties!A$1:CB$87,Formula!B21,52)=0,10^6,INDEX(Properties!A$1:CB$87,Formula!B21,52)),IF(INDEX(Properties!A$1:CB$87,Formula!D21,52)=0,10^6,INDEX(Properties!A$1:CB$87,Formula!D21,52)),IF(INDEX(Properties!A$1:CB$87,Formula!F21,52)=0,10^6,INDEX(Properties!A$1:CB$87,Formula!F21,52)),IF(INDEX(Properties!A$1:CB$87,Formula!H21,52)=0,10^6,INDEX(Properties!A$1:CB$87,Formula!H21,52)),IF(INDEX(Properties!A$1:CB$87,Formula!J21,52)=0,10^6,INDEX(Properties!A$1:CB$87,Formula!J21,52)))</f>
        <v>0.79300000000000004</v>
      </c>
      <c r="EU21" s="81">
        <f t="shared" si="24"/>
        <v>12.007000000000001</v>
      </c>
      <c r="EV21" s="39">
        <f>((Formula!C21)/(Formula!C21+Formula!E21+Formula!G21+Formula!I21+Formula!K21))*(INDEX(Properties!A$1:CB$87,Formula!B21,53))+((Formula!E21)/(Formula!C21+Formula!E21+Formula!G21+Formula!I21+Formula!K21))*(INDEX(Properties!A$1:CB$87,Formula!D21,53))+((Formula!G21)/(Formula!C21+Formula!E21+Formula!G21+Formula!I21+Formula!K21))*(INDEX(Properties!A$1:CB$87,Formula!F21,53))+((Formula!I21)/(Formula!C21+Formula!E21+Formula!G21+Formula!I21+Formula!K21))*(INDEX(Properties!A$1:CB$87,Formula!H21,53))+((Formula!K21)/(Formula!C21+Formula!E21+Formula!G21+Formula!I21+Formula!K21))*(INDEX(Properties!A$1:CB$87,Formula!J21,53))</f>
        <v>763.6</v>
      </c>
      <c r="EW21" s="39">
        <f>Formula!C21*(INDEX(Properties!A$1:CB$87,Formula!B21,53))+Formula!E21*(INDEX(Properties!A$1:CB$87,Formula!D21,53))+Formula!G21*(INDEX(Properties!A$1:CB$87,Formula!F21,53))+Formula!I21*(INDEX(Properties!A$1:CB$87,Formula!H21,53))+Formula!K21*(INDEX(Properties!A$1:CB$87,Formula!J21,53))</f>
        <v>3054.4</v>
      </c>
      <c r="EX21" s="39">
        <f>VARP(IF(INDEX(Properties!A$1:CB$87,Formula!B21,53)&lt;&gt;"",INDEX(Properties!A$1:CB$87,Formula!B21,53)),IF(INDEX(Properties!A$1:CB$87,Formula!D21,53)&lt;&gt;"",INDEX(Properties!A$1:CB$87,Formula!D21,53)),IF(INDEX(Properties!A$1:CB$87,Formula!F21,53)&lt;&gt;"",INDEX(Properties!A$1:CB$87,Formula!F21,53)),IF(INDEX(Properties!A$1:CB$87,Formula!H21,53)&lt;&gt;"",INDEX(Properties!A$1:CB$87,Formula!H21,53)),IF(INDEX(Properties!A$1:CB$87,Formula!J21,53)&lt;&gt;"",INDEX(Properties!A$1:CB$87,Formula!J21,53)))</f>
        <v>1324295.4766000002</v>
      </c>
      <c r="EY21" s="39">
        <f>MAX(INDEX(Properties!A$1:CB$87,Formula!B21,53),INDEX(Properties!A$1:CB$87,Formula!D21,53),INDEX(Properties!A$1:CB$87,Formula!F21,53),INDEX(Properties!A$1:CB$87,Formula!H21,53),INDEX(Properties!A$1:CB$87,Formula!J21,53))</f>
        <v>2890.15</v>
      </c>
      <c r="EZ21" s="39">
        <f>MIN(IF(INDEX(Properties!A$1:CB$87,Formula!B21,53)=0,10^6,INDEX(Properties!A$1:CB$87,Formula!B21,53)),IF(INDEX(Properties!A$1:CB$87,Formula!D21,53)=0,10^6,INDEX(Properties!A$1:CB$87,Formula!D21,53)),IF(INDEX(Properties!A$1:CB$87,Formula!F21,53)=0,10^6,INDEX(Properties!A$1:CB$87,Formula!F21,53)),IF(INDEX(Properties!A$1:CB$87,Formula!H21,53)=0,10^6,INDEX(Properties!A$1:CB$87,Formula!H21,53)),IF(INDEX(Properties!A$1:CB$87,Formula!J21,53)=0,10^6,INDEX(Properties!A$1:CB$87,Formula!J21,53)))</f>
        <v>54.749999999999972</v>
      </c>
      <c r="FA21" s="39">
        <f t="shared" si="25"/>
        <v>2835.4</v>
      </c>
      <c r="FB21" s="54">
        <f>((Formula!C21)/(Formula!C21+Formula!E21+Formula!G21+Formula!I21+Formula!K21))*(INDEX(Properties!A$1:CB$87,Formula!B21,54))+((Formula!E21)/(Formula!C21+Formula!E21+Formula!G21+Formula!I21+Formula!K21))*(INDEX(Properties!A$1:CB$87,Formula!D21,54))+((Formula!G21)/(Formula!C21+Formula!E21+Formula!G21+Formula!I21+Formula!K21))*(INDEX(Properties!A$1:CB$87,Formula!F21,54))+((Formula!I21)/(Formula!C21+Formula!E21+Formula!G21+Formula!I21+Formula!K21))*(INDEX(Properties!A$1:CB$87,Formula!H21,54))+((Formula!K21)/(Formula!C21+Formula!E21+Formula!G21+Formula!I21+Formula!K21))*(INDEX(Properties!A$1:CB$87,Formula!J21,54))</f>
        <v>1288.8999999999999</v>
      </c>
      <c r="FC21" s="54">
        <f>Formula!C21*(INDEX(Properties!A$1:CB$87,Formula!B21,54))+Formula!E21*(INDEX(Properties!A$1:CB$87,Formula!D21,54))+Formula!G21*(INDEX(Properties!A$1:CB$87,Formula!F21,54))+Formula!I21*(INDEX(Properties!A$1:CB$87,Formula!H21,54))+Formula!K21*(INDEX(Properties!A$1:CB$87,Formula!J21,54))</f>
        <v>5155.5999999999995</v>
      </c>
      <c r="FD21" s="54">
        <f>VARP(IF(INDEX(Properties!A$1:CB$87,Formula!B21,54)&lt;&gt;"",INDEX(Properties!A$1:CB$87,Formula!B21,54)),IF(INDEX(Properties!A$1:CB$87,Formula!D21,54)&lt;&gt;"",INDEX(Properties!A$1:CB$87,Formula!D21,54)),IF(INDEX(Properties!A$1:CB$87,Formula!F21,54)&lt;&gt;"",INDEX(Properties!A$1:CB$87,Formula!F21,54)),IF(INDEX(Properties!A$1:CB$87,Formula!H21,54)&lt;&gt;"",INDEX(Properties!A$1:CB$87,Formula!H21,54)),IF(INDEX(Properties!A$1:CB$87,Formula!J21,54)&lt;&gt;"",INDEX(Properties!A$1:CB$87,Formula!J21,54)))</f>
        <v>3784419.1054000002</v>
      </c>
      <c r="FE21" s="54">
        <f>MAX(INDEX(Properties!A$1:CB$87,Formula!B21,54),INDEX(Properties!A$1:CB$87,Formula!D21,54),INDEX(Properties!A$1:CB$87,Formula!F21,54),INDEX(Properties!A$1:CB$87,Formula!H21,54),INDEX(Properties!A$1:CB$87,Formula!J21,54))</f>
        <v>4885.1499999999996</v>
      </c>
      <c r="FF21" s="54">
        <f>MIN(IF(INDEX(Properties!A$1:CB$87,Formula!B21,54)=0,10^6,INDEX(Properties!A$1:CB$87,Formula!B21,54)),IF(INDEX(Properties!A$1:CB$87,Formula!D21,54)=0,10^6,INDEX(Properties!A$1:CB$87,Formula!D21,54)),IF(INDEX(Properties!A$1:CB$87,Formula!F21,54)=0,10^6,INDEX(Properties!A$1:CB$87,Formula!F21,54)),IF(INDEX(Properties!A$1:CB$87,Formula!H21,54)=0,10^6,INDEX(Properties!A$1:CB$87,Formula!H21,54)),IF(INDEX(Properties!A$1:CB$87,Formula!J21,54)=0,10^6,INDEX(Properties!A$1:CB$87,Formula!J21,54)))</f>
        <v>90.149999999999977</v>
      </c>
      <c r="FG21" s="54">
        <f t="shared" si="26"/>
        <v>4795</v>
      </c>
      <c r="FH21" s="69">
        <f>((Formula!C21)/(Formula!C21+Formula!E21+Formula!G21+Formula!I21+Formula!K21))*(INDEX(Properties!A$1:CB$87,Formula!B21,55))+((Formula!E21)/(Formula!C21+Formula!E21+Formula!G21+Formula!I21+Formula!K21))*(INDEX(Properties!A$1:CB$87,Formula!D21,55))+((Formula!G21)/(Formula!C21+Formula!E21+Formula!G21+Formula!I21+Formula!K21))*(INDEX(Properties!A$1:CB$87,Formula!F21,55))+((Formula!I21)/(Formula!C21+Formula!E21+Formula!G21+Formula!I21+Formula!K21))*(INDEX(Properties!A$1:CB$87,Formula!H21,55))+((Formula!K21)/(Formula!C21+Formula!E21+Formula!G21+Formula!I21+Formula!K21))*(INDEX(Properties!A$1:CB$87,Formula!J21,55))</f>
        <v>2.5510724999999996</v>
      </c>
      <c r="FI21" s="69">
        <f>Formula!C21*(INDEX(Properties!A$1:CB$87,Formula!B21,55))+Formula!E21*(INDEX(Properties!A$1:CB$87,Formula!D21,54))+Formula!G21*(INDEX(Properties!A$1:CB$87,Formula!F21,55))+Formula!I21*(INDEX(Properties!A$1:CB$87,Formula!H21,55))+Formula!K21*(INDEX(Properties!A$1:CB$87,Formula!J21,55))</f>
        <v>280.64999999999992</v>
      </c>
      <c r="FJ21" s="69">
        <f>VARP(IF(INDEX(Properties!A$1:CB$87,Formula!B21,55)&lt;&gt;"",INDEX(Properties!A$1:CB$87,Formula!B21,55)),IF(INDEX(Properties!A$1:CB$87,Formula!D21,55)&lt;&gt;"",INDEX(Properties!A$1:CB$87,Formula!D21,55)),IF(INDEX(Properties!A$1:CB$87,Formula!F21,55)&lt;&gt;"",INDEX(Properties!A$1:CB$87,Formula!F21,55)),IF(INDEX(Properties!A$1:CB$87,Formula!H21,55)&lt;&gt;"",INDEX(Properties!A$1:CB$87,Formula!H21,55)),IF(INDEX(Properties!A$1:CB$87,Formula!J21,55)&lt;&gt;"",INDEX(Properties!A$1:CB$87,Formula!J21,55)))</f>
        <v>16.645233447183998</v>
      </c>
      <c r="FK21" s="69">
        <f>MAX(INDEX(Properties!A$1:CB$87,Formula!B21,55),INDEX(Properties!A$1:CB$87,Formula!D21,55),INDEX(Properties!A$1:CB$87,Formula!F21,55),INDEX(Properties!A$1:CB$87,Formula!H21,55),INDEX(Properties!A$1:CB$87,Formula!J21,55))</f>
        <v>10.199999999999999</v>
      </c>
      <c r="FL21" s="69">
        <f>MIN(IF(INDEX(Properties!A$1:CB$87,Formula!B21,55)=0,10^6,INDEX(Properties!A$1:CB$87,Formula!B21,55)),IF(INDEX(Properties!A$1:CB$87,Formula!D21,55)=0,10^6,INDEX(Properties!A$1:CB$87,Formula!D21,55)),IF(INDEX(Properties!A$1:CB$87,Formula!F21,55)=0,10^6,INDEX(Properties!A$1:CB$87,Formula!F21,55)),IF(INDEX(Properties!A$1:CB$87,Formula!H21,55)=0,10^6,INDEX(Properties!A$1:CB$87,Formula!H21,55)),IF(INDEX(Properties!A$1:CB$87,Formula!J21,55)=0,10^6,INDEX(Properties!A$1:CB$87,Formula!J21,55)))</f>
        <v>1.4300000000000001E-3</v>
      </c>
      <c r="FM21" s="69">
        <f t="shared" si="27"/>
        <v>10.19857</v>
      </c>
      <c r="FN21" s="42">
        <f>((Formula!C21)/(Formula!C21+Formula!E21+Formula!G21+Formula!I21+Formula!K21))*(INDEX(Properties!A$1:CB$87,Formula!B21,56))+((Formula!E21)/(Formula!C21+Formula!E21+Formula!G21+Formula!I21+Formula!K21))*(INDEX(Properties!A$1:CB$87,Formula!D21,56))+((Formula!G21)/(Formula!C21+Formula!E21+Formula!G21+Formula!I21+Formula!K21))*(INDEX(Properties!A$1:CB$87,Formula!F21,56))+((Formula!I21)/(Formula!C21+Formula!E21+Formula!G21+Formula!I21+Formula!K21))*(INDEX(Properties!A$1:CB$87,Formula!H21,56))+((Formula!K21)/(Formula!C21+Formula!E21+Formula!G21+Formula!I21+Formula!K21))*(INDEX(Properties!A$1:CB$87,Formula!J21,56))</f>
        <v>0.75250000000000006</v>
      </c>
      <c r="FO21" s="42">
        <f>Formula!C21*(INDEX(Properties!A$1:CB$87,Formula!B21,56))+Formula!E21*(INDEX(Properties!A$1:CB$87,Formula!D21,56))+Formula!G21*(INDEX(Properties!A$1:CB$87,Formula!F21,56))+Formula!I21*(INDEX(Properties!A$1:CB$87,Formula!H21,56))+Formula!K21*(INDEX(Properties!A$1:CB$87,Formula!J21,56))</f>
        <v>3.0100000000000002</v>
      </c>
      <c r="FP21" s="42">
        <f>VARP(IF(INDEX(Properties!A$1:CB$87,Formula!B21,56)&lt;&gt;"",INDEX(Properties!A$1:CB$87,Formula!B21,56)),IF(INDEX(Properties!A$1:CB$87,Formula!D21,56)&lt;&gt;"",INDEX(Properties!A$1:CB$87,Formula!D21,56)),IF(INDEX(Properties!A$1:CB$87,Formula!F21,56)&lt;&gt;"",INDEX(Properties!A$1:CB$87,Formula!F21,56)),IF(INDEX(Properties!A$1:CB$87,Formula!H21,56)&lt;&gt;"",INDEX(Properties!A$1:CB$87,Formula!H21,56)),IF(INDEX(Properties!A$1:CB$87,Formula!J21,56)&lt;&gt;"",INDEX(Properties!A$1:CB$87,Formula!J21,56)))</f>
        <v>0.127024</v>
      </c>
      <c r="FQ21" s="42">
        <f>MAX(INDEX(Properties!A$1:CB$87,Formula!B21,56),INDEX(Properties!A$1:CB$87,Formula!D21,56),INDEX(Properties!A$1:CB$87,Formula!F21,56),INDEX(Properties!A$1:CB$87,Formula!H21,56),INDEX(Properties!A$1:CB$87,Formula!J21,56))</f>
        <v>0.92</v>
      </c>
      <c r="FR21" s="42">
        <f>MIN(IF(INDEX(Properties!A$1:CB$87,Formula!B21,56)=0,10^6,INDEX(Properties!A$1:CB$87,Formula!B21,56)),IF(INDEX(Properties!A$1:CB$87,Formula!D21,56)=0,10^6,INDEX(Properties!A$1:CB$87,Formula!D21,56)),IF(INDEX(Properties!A$1:CB$87,Formula!F21,56)=0,10^6,INDEX(Properties!A$1:CB$87,Formula!F21,56)),IF(INDEX(Properties!A$1:CB$87,Formula!H21,56)=0,10^6,INDEX(Properties!A$1:CB$87,Formula!H21,56)),IF(INDEX(Properties!A$1:CB$87,Formula!J21,56)=0,10^6,INDEX(Properties!A$1:CB$87,Formula!J21,56)))</f>
        <v>0.25</v>
      </c>
      <c r="FS21" s="42">
        <f t="shared" si="28"/>
        <v>0.67</v>
      </c>
      <c r="FT21" s="60">
        <f>((Formula!C21)/(Formula!C21+Formula!E21+Formula!G21+Formula!I21+Formula!K21))*(INDEX(Properties!A$1:CB$87,Formula!B21,57))+((Formula!E21)/(Formula!C21+Formula!E21+Formula!G21+Formula!I21+Formula!K21))*(INDEX(Properties!A$1:CB$87,Formula!D21,57))+((Formula!G21)/(Formula!C21+Formula!E21+Formula!G21+Formula!I21+Formula!K21))*(INDEX(Properties!A$1:CB$87,Formula!F21,57))+((Formula!I21)/(Formula!C21+Formula!E21+Formula!G21+Formula!I21+Formula!K21))*(INDEX(Properties!A$1:CB$87,Formula!H21,57))+((Formula!K21)/(Formula!C21+Formula!E21+Formula!G21+Formula!I21+Formula!K21))*(INDEX(Properties!A$1:CB$87,Formula!J21,57))</f>
        <v>8.1669424999999993</v>
      </c>
      <c r="FU21" s="60">
        <f>Formula!C21*(INDEX(Properties!A$1:CB$87,Formula!B21,57))+Formula!E21*(INDEX(Properties!A$1:CB$87,Formula!D21,57))+Formula!G21*(INDEX(Properties!A$1:CB$87,Formula!F21,57))+Formula!I21*(INDEX(Properties!A$1:CB$87,Formula!H21,57))+Formula!K21*(INDEX(Properties!A$1:CB$87,Formula!J21,57))</f>
        <v>32.667769999999997</v>
      </c>
      <c r="FV21" s="60">
        <f>VARP(IF(INDEX(Properties!A$1:CB$87,Formula!B21,57)&lt;&gt;"",INDEX(Properties!A$1:CB$87,Formula!B21,57)),IF(INDEX(Properties!A$1:CB$87,Formula!D21,57)&lt;&gt;"",INDEX(Properties!A$1:CB$87,Formula!D21,57)),IF(INDEX(Properties!A$1:CB$87,Formula!F21,57)&lt;&gt;"",INDEX(Properties!A$1:CB$87,Formula!F21,57)),IF(INDEX(Properties!A$1:CB$87,Formula!H21,57)&lt;&gt;"",INDEX(Properties!A$1:CB$87,Formula!H21,57)),IF(INDEX(Properties!A$1:CB$87,Formula!J21,57)&lt;&gt;"",INDEX(Properties!A$1:CB$87,Formula!J21,57)))</f>
        <v>163.278097009296</v>
      </c>
      <c r="FW21" s="60">
        <f>MAX(INDEX(Properties!A$1:CB$87,Formula!B21,57),INDEX(Properties!A$1:CB$87,Formula!D21,57),INDEX(Properties!A$1:CB$87,Formula!F21,57),INDEX(Properties!A$1:CB$87,Formula!H21,57),INDEX(Properties!A$1:CB$87,Formula!J21,57))</f>
        <v>32</v>
      </c>
      <c r="FX21" s="60">
        <f>MIN(IF(INDEX(Properties!A$1:CB$87,Formula!B21,57)=0,10^6,INDEX(Properties!A$1:CB$87,Formula!B21,57)),IF(INDEX(Properties!A$1:CB$87,Formula!D21,57)=0,10^6,INDEX(Properties!A$1:CB$87,Formula!D21,57)),IF(INDEX(Properties!A$1:CB$87,Formula!F21,57)=0,10^6,INDEX(Properties!A$1:CB$87,Formula!F21,57)),IF(INDEX(Properties!A$1:CB$87,Formula!H21,57)=0,10^6,INDEX(Properties!A$1:CB$87,Formula!H21,57)),IF(INDEX(Properties!A$1:CB$87,Formula!J21,57)=0,10^6,INDEX(Properties!A$1:CB$87,Formula!J21,57)))</f>
        <v>0.22259000000000001</v>
      </c>
      <c r="FY21" s="60">
        <f t="shared" si="29"/>
        <v>31.77741</v>
      </c>
      <c r="FZ21" s="72">
        <f>((Formula!C21)/(Formula!C21+Formula!E21+Formula!G21+Formula!I21+Formula!K21))*(INDEX(Properties!A$1:CB$87,Formula!B21,60))+((Formula!E21)/(Formula!C21+Formula!E21+Formula!G21+Formula!I21+Formula!K21))*(INDEX(Properties!A$1:CB$87,Formula!D21,60))+((Formula!G21)/(Formula!C21+Formula!E21+Formula!G21+Formula!I21+Formula!K21))*(INDEX(Properties!A$1:CB$87,Formula!F21,60))+((Formula!I21)/(Formula!C21+Formula!E21+Formula!G21+Formula!I21+Formula!K21))*(INDEX(Properties!A$1:CB$87,Formula!H21,60))+((Formula!K21)/(Formula!C21+Formula!E21+Formula!G21+Formula!I21+Formula!K21))*(INDEX(Properties!A$1:CB$87,Formula!J21,60))</f>
        <v>34.520054999999999</v>
      </c>
      <c r="GA21" s="72">
        <f>Formula!C21*(INDEX(Properties!A$1:CB$87,Formula!B21,60))+Formula!E21*(INDEX(Properties!A$1:CB$87,Formula!D21,60))+Formula!G21*(INDEX(Properties!A$1:CB$87,Formula!F21,60))+Formula!I21*(INDEX(Properties!A$1:CB$87,Formula!H21,60))+Formula!K21*(INDEX(Properties!A$1:CB$87,Formula!J21,60))</f>
        <v>138.08022</v>
      </c>
      <c r="GB21" s="72">
        <f>VARP(IF(INDEX(Properties!A$1:CB$87,Formula!B21,60)&lt;&gt;"",INDEX(Properties!A$1:CB$87,Formula!B21,60)),IF(INDEX(Properties!A$1:CB$87,Formula!D21,60)&lt;&gt;"",INDEX(Properties!A$1:CB$87,Formula!D21,60)),IF(INDEX(Properties!A$1:CB$87,Formula!F21,60)&lt;&gt;"",INDEX(Properties!A$1:CB$87,Formula!F21,60)),IF(INDEX(Properties!A$1:CB$87,Formula!H21,60)&lt;&gt;"",INDEX(Properties!A$1:CB$87,Formula!H21,60)),IF(INDEX(Properties!A$1:CB$87,Formula!J21,60)&lt;&gt;"",INDEX(Properties!A$1:CB$87,Formula!J21,60)))</f>
        <v>3046.7449048044159</v>
      </c>
      <c r="GC21" s="72">
        <f>MAX(INDEX(Properties!A$1:CB$87,Formula!B21,60),INDEX(Properties!A$1:CB$87,Formula!D21,60),INDEX(Properties!A$1:CB$87,Formula!F21,60),INDEX(Properties!A$1:CB$87,Formula!H21,60),INDEX(Properties!A$1:CB$87,Formula!J21,60))</f>
        <v>138</v>
      </c>
      <c r="GD21" s="72">
        <f>MIN(IF(INDEX(Properties!A$1:CB$87,Formula!B21,60)=0,10^6,INDEX(Properties!A$1:CB$87,Formula!B21,60)),IF(INDEX(Properties!A$1:CB$87,Formula!D21,60)=0,10^6,INDEX(Properties!A$1:CB$87,Formula!D21,60)),IF(INDEX(Properties!A$1:CB$87,Formula!F21,60)=0,10^6,INDEX(Properties!A$1:CB$87,Formula!F21,60)),IF(INDEX(Properties!A$1:CB$87,Formula!H21,60)=0,10^6,INDEX(Properties!A$1:CB$87,Formula!H21,60)),IF(INDEX(Properties!A$1:CB$87,Formula!J21,60)=0,10^6,INDEX(Properties!A$1:CB$87,Formula!J21,60)))</f>
        <v>2.674E-2</v>
      </c>
      <c r="GE21" s="72">
        <f t="shared" si="30"/>
        <v>137.97326000000001</v>
      </c>
      <c r="GF21" s="51">
        <f>((Formula!C21)/(Formula!C21+Formula!E21+Formula!G21+Formula!I21+Formula!K21))*(INDEX(Properties!A$1:CB$87,Formula!B21,62))+((Formula!E21)/(Formula!C21+Formula!E21+Formula!G21+Formula!I21+Formula!K21))*(INDEX(Properties!A$1:CB$87,Formula!D21,62))+((Formula!G21)/(Formula!C21+Formula!E21+Formula!G21+Formula!I21+Formula!K21))*(INDEX(Properties!A$1:CB$87,Formula!F21,62))+((Formula!I21)/(Formula!C21+Formula!E21+Formula!G21+Formula!I21+Formula!K21))*(INDEX(Properties!A$1:CB$87,Formula!H21,62))+((Formula!K21)/(Formula!C21+Formula!E21+Formula!G21+Formula!I21+Formula!K21))*(INDEX(Properties!A$1:CB$87,Formula!J21,62))</f>
        <v>3.67</v>
      </c>
      <c r="GG21" s="51">
        <f>Formula!C21*(INDEX(Properties!A$1:CB$87,Formula!B21,62))+Formula!E21*(INDEX(Properties!A$1:CB$87,Formula!D21,62))+Formula!G21*(INDEX(Properties!A$1:CB$87,Formula!F21,62))+Formula!I21*(INDEX(Properties!A$1:CB$87,Formula!H21,62))+Formula!K21*(INDEX(Properties!A$1:CB$87,Formula!J21,62))</f>
        <v>14.68</v>
      </c>
      <c r="GH21" s="51">
        <f>VARP(IF(INDEX(Properties!A$1:CB$87,Formula!B21,62)&lt;&gt;"",INDEX(Properties!A$1:CB$87,Formula!B21,62)),IF(INDEX(Properties!A$1:CB$87,Formula!D21,62)&lt;&gt;"",INDEX(Properties!A$1:CB$87,Formula!D21,62)),IF(INDEX(Properties!A$1:CB$87,Formula!F21,62)&lt;&gt;"",INDEX(Properties!A$1:CB$87,Formula!F21,62)),IF(INDEX(Properties!A$1:CB$87,Formula!H21,62)&lt;&gt;"",INDEX(Properties!A$1:CB$87,Formula!H21,62)),IF(INDEX(Properties!A$1:CB$87,Formula!J21,62)&lt;&gt;"",INDEX(Properties!A$1:CB$87,Formula!J21,62)))</f>
        <v>7.1108160000000025</v>
      </c>
      <c r="GI21" s="51">
        <f>MAX(INDEX(Properties!A$1:CB$87,Formula!B21,62),INDEX(Properties!A$1:CB$87,Formula!D21,62),INDEX(Properties!A$1:CB$87,Formula!F21,62),INDEX(Properties!A$1:CB$87,Formula!H21,62),INDEX(Properties!A$1:CB$87,Formula!J21,62))</f>
        <v>6.82</v>
      </c>
      <c r="GJ21" s="51">
        <f>MIN(IF(INDEX(Properties!A$1:CB$87,Formula!B21,62)=0,10^6,INDEX(Properties!A$1:CB$87,Formula!B21,62)),IF(INDEX(Properties!A$1:CB$87,Formula!D21,62)=0,10^6,INDEX(Properties!A$1:CB$87,Formula!D21,62)),IF(INDEX(Properties!A$1:CB$87,Formula!F21,62)=0,10^6,INDEX(Properties!A$1:CB$87,Formula!F21,62)),IF(INDEX(Properties!A$1:CB$87,Formula!H21,62)=0,10^6,INDEX(Properties!A$1:CB$87,Formula!H21,62)),IF(INDEX(Properties!A$1:CB$87,Formula!J21,62)=0,10^6,INDEX(Properties!A$1:CB$87,Formula!J21,62)))</f>
        <v>2.62</v>
      </c>
      <c r="GK21" s="51">
        <f t="shared" si="31"/>
        <v>4.2</v>
      </c>
      <c r="GL21" s="51">
        <f>Formula!P21</f>
        <v>62</v>
      </c>
      <c r="GM21" s="57">
        <f>Formula!O21</f>
        <v>3</v>
      </c>
      <c r="GN21" s="51">
        <f>Formula!N21</f>
        <v>0.03</v>
      </c>
    </row>
    <row r="22" spans="1:196" x14ac:dyDescent="0.3">
      <c r="A22" s="84" t="str">
        <f>Formula!A22</f>
        <v>Sr2SiO4</v>
      </c>
      <c r="B22" s="89">
        <f>((Formula!C22)/(Formula!C22+Formula!E22+Formula!G22+Formula!I22+Formula!K22))*(INDEX(Properties!A$1:CB$87,Formula!B22,3))+((Formula!E22)/(Formula!C22+Formula!E22+Formula!G22+Formula!I22+Formula!K22))*(INDEX(Properties!A$1:CB$87,Formula!D22,3))+((Formula!G22)/(Formula!C22+Formula!E22+Formula!G22+Formula!I22+Formula!K22))*(INDEX(Properties!A$1:CB$87,Formula!F22,3))+((Formula!I22)/(Formula!C22+Formula!E22+Formula!G22+Formula!I22+Formula!K22))*(INDEX(Properties!A$1:CB$87,Formula!H22,3))+((Formula!K22)/(Formula!C22+Formula!E22+Formula!G22+Formula!I22+Formula!K22))*(INDEX(Properties!A$1:CB$87,Formula!J22,3))</f>
        <v>38.189014285714286</v>
      </c>
      <c r="C22" s="85">
        <f>Formula!C22*(INDEX(Properties!A$1:CB$87,Formula!B22,3))+Formula!E22*(INDEX(Properties!A$1:CB$87,Formula!D22,3))+Formula!G22*(INDEX(Properties!A$1:CB$87,Formula!F22,3))+Formula!I22*(INDEX(Properties!A$1:CB$87,Formula!H22,3))+Formula!K22*(INDEX(Properties!A$1:CB$87,Formula!J22,3))</f>
        <v>267.32310000000001</v>
      </c>
      <c r="D22" s="85">
        <f>VARP(IF(INDEX(Properties!A$1:CB$87,Formula!B22,3)&lt;&gt;"",INDEX(Properties!A$1:CB$87,Formula!B22,3)),IF(INDEX(Properties!A$1:CB$87,Formula!D22,3)&lt;&gt;"",INDEX(Properties!A$1:CB$87,Formula!D22,3)),IF(INDEX(Properties!A$1:CB$87,Formula!F22,3)&lt;&gt;"",INDEX(Properties!A$1:CB$87,Formula!F22,3)),IF(INDEX(Properties!A$1:CB$87,Formula!H22,3)&lt;&gt;"",INDEX(Properties!A$1:CB$87,Formula!H22,3)),IF(INDEX(Properties!A$1:CB$87,Formula!J22,3)&lt;&gt;"",INDEX(Properties!A$1:CB$87,Formula!J22,3)))</f>
        <v>1050.5608747616</v>
      </c>
      <c r="E22" s="85">
        <f>MAX(INDEX(Properties!A$1:CB$87,Formula!B22,3),INDEX(Properties!A$1:CB$87,Formula!D22,3),INDEX(Properties!A$1:CB$87,Formula!F22,3),INDEX(Properties!A$1:CB$87,Formula!H22,3),INDEX(Properties!A$1:CB$87,Formula!J22,3))</f>
        <v>87.62</v>
      </c>
      <c r="F22" s="85">
        <f>MIN(IF(INDEX(Properties!A$1:CB$87,Formula!B22,3)=0,10^6,INDEX(Properties!A$1:CB$87,Formula!B22,3)),IF(INDEX(Properties!A$1:CB$87,Formula!D22,3)=0,10^6,INDEX(Properties!A$1:CB$87,Formula!D22,3)),IF(INDEX(Properties!A$1:CB$87,Formula!F22,3)=0,10^6,INDEX(Properties!A$1:CB$87,Formula!F22,3)),IF(INDEX(Properties!A$1:CB$87,Formula!H22,3)=0,10^6,INDEX(Properties!A$1:CB$87,Formula!H22,3)),IF(INDEX(Properties!A$1:CB$87,Formula!J22,3)=0,10^6,INDEX(Properties!A$1:CB$87,Formula!J22,3)))</f>
        <v>15.9994</v>
      </c>
      <c r="G22" s="85">
        <f t="shared" si="0"/>
        <v>71.62060000000001</v>
      </c>
      <c r="H22" s="87">
        <f>((Formula!C22)/(Formula!C22+Formula!E22+Formula!G22+Formula!I22+Formula!K22))*(INDEX(Properties!A$1:CB$87,Formula!B22,4))+((Formula!E22)/(Formula!C22+Formula!E22+Formula!G22+Formula!I22+Formula!K22))*(INDEX(Properties!A$1:CB$87,Formula!D22,4))+((Formula!G22)/(Formula!C22+Formula!E22+Formula!G22+Formula!I22+Formula!K22))*(INDEX(Properties!A$1:CB$87,Formula!F22,4))+((Formula!I22)/(Formula!C22+Formula!E22+Formula!G22+Formula!I22+Formula!K22))*(INDEX(Properties!A$1:CB$87,Formula!H22,4))+((Formula!K22)/(Formula!C22+Formula!E22+Formula!G22+Formula!I22+Formula!K22))*(INDEX(Properties!A$1:CB$87,Formula!J22,4))</f>
        <v>17.428571428571427</v>
      </c>
      <c r="I22" s="87">
        <f>Formula!C22*(INDEX(Properties!A$1:CB$87,Formula!B22,4))+Formula!E22*(INDEX(Properties!A$1:CB$87,Formula!D22,4))+Formula!G22*(INDEX(Properties!A$1:CB$87,Formula!F22,4))+Formula!I22*(INDEX(Properties!A$1:CB$87,Formula!H22,4))+Formula!K22*(INDEX(Properties!A$1:CB$87,Formula!J22,4))</f>
        <v>122</v>
      </c>
      <c r="J22" s="87">
        <f>VARP(IF(INDEX(Properties!A$1:CB$87,Formula!B22,4)&lt;&gt;"",INDEX(Properties!A$1:CB$87,Formula!B22,4)),IF(INDEX(Properties!A$1:CB$87,Formula!D22,4)&lt;&gt;"",INDEX(Properties!A$1:CB$87,Formula!D22,4)),IF(INDEX(Properties!A$1:CB$87,Formula!F22,4)&lt;&gt;"",INDEX(Properties!A$1:CB$87,Formula!F22,4)),IF(INDEX(Properties!A$1:CB$87,Formula!H22,4)&lt;&gt;"",INDEX(Properties!A$1:CB$87,Formula!H22,4)),IF(INDEX(Properties!A$1:CB$87,Formula!J22,4)&lt;&gt;"",INDEX(Properties!A$1:CB$87,Formula!J22,4)))</f>
        <v>196.8</v>
      </c>
      <c r="K22" s="87">
        <f>MAX(INDEX(Properties!A$1:CB$87,Formula!B22,4),INDEX(Properties!A$1:CB$87,Formula!D22,4),INDEX(Properties!A$1:CB$87,Formula!F22,4),INDEX(Properties!A$1:CB$87,Formula!H22,4),INDEX(Properties!A$1:CB$87,Formula!J22,4))</f>
        <v>38</v>
      </c>
      <c r="L22" s="87">
        <f>MIN(IF(INDEX(Properties!A$1:CB$87,Formula!B22,4)=0,10^6,INDEX(Properties!A$1:CB$87,Formula!B22,4)),IF(INDEX(Properties!A$1:CB$87,Formula!D22,4)=0,10^6,INDEX(Properties!A$1:CB$87,Formula!D22,4)),IF(INDEX(Properties!A$1:CB$87,Formula!F22,4)=0,10^6,INDEX(Properties!A$1:CB$87,Formula!F22,4)),IF(INDEX(Properties!A$1:CB$87,Formula!H22,4)=0,10^6,INDEX(Properties!A$1:CB$87,Formula!H22,4)),IF(INDEX(Properties!A$1:CB$87,Formula!J22,4)=0,10^6,INDEX(Properties!A$1:CB$87,Formula!J22,4)))</f>
        <v>8</v>
      </c>
      <c r="M22" s="87">
        <f t="shared" si="1"/>
        <v>30</v>
      </c>
      <c r="N22" s="89">
        <f>((Formula!C22)/(Formula!C22+Formula!E22+Formula!G22+Formula!I22+Formula!K22))*(INDEX(Properties!A$1:CB$87,Formula!B22,5))+((Formula!E22)/(Formula!C22+Formula!E22+Formula!G22+Formula!I22+Formula!K22))*(INDEX(Properties!A$1:CB$87,Formula!D22,5))+((Formula!G22)/(Formula!C22+Formula!E22+Formula!G22+Formula!I22+Formula!K22))*(INDEX(Properties!A$1:CB$87,Formula!F22,5))+((Formula!I22)/(Formula!C22+Formula!E22+Formula!G22+Formula!I22+Formula!K22))*(INDEX(Properties!A$1:CB$87,Formula!H22,5))+((Formula!K22)/(Formula!C22+Formula!E22+Formula!G22+Formula!I22+Formula!K22))*(INDEX(Properties!A$1:CB$87,Formula!J22,5))</f>
        <v>3</v>
      </c>
      <c r="O22" s="89">
        <f>Formula!C22*(INDEX(Properties!A$1:CB$87,Formula!B22,5))+Formula!E22*(INDEX(Properties!A$1:CB$87,Formula!D22,5))+Formula!G22*(INDEX(Properties!A$1:CB$87,Formula!F22,5))+Formula!I22*(INDEX(Properties!A$1:CB$87,Formula!H22,5))+Formula!K22*(INDEX(Properties!A$1:CB$87,Formula!J22,5))</f>
        <v>21</v>
      </c>
      <c r="P22" s="89">
        <f>VARP(IF(INDEX(Properties!A$1:CB$87,Formula!B22,5)&lt;&gt;"",INDEX(Properties!A$1:CB$87,Formula!B22,5)),IF(INDEX(Properties!A$1:CB$87,Formula!D22,5)&lt;&gt;"",INDEX(Properties!A$1:CB$87,Formula!D22,5)),IF(INDEX(Properties!A$1:CB$87,Formula!F22,5)&lt;&gt;"",INDEX(Properties!A$1:CB$87,Formula!F22,5)),IF(INDEX(Properties!A$1:CB$87,Formula!H22,5)&lt;&gt;"",INDEX(Properties!A$1:CB$87,Formula!H22,5)),IF(INDEX(Properties!A$1:CB$87,Formula!J22,5)&lt;&gt;"",INDEX(Properties!A$1:CB$87,Formula!J22,5)))</f>
        <v>3.6</v>
      </c>
      <c r="Q22" s="89">
        <f>MAX(INDEX(Properties!A$1:CB$87,Formula!B22,5),INDEX(Properties!A$1:CB$87,Formula!D22,5),INDEX(Properties!A$1:CB$87,Formula!F22,5),INDEX(Properties!A$1:CB$87,Formula!H22,5),INDEX(Properties!A$1:CB$87,Formula!J22,5))</f>
        <v>5</v>
      </c>
      <c r="R22" s="89">
        <f>MIN(IF(INDEX(Properties!A$1:CB$87,Formula!B22,5)=0,10^6,INDEX(Properties!A$1:CB$87,Formula!B22,5)),IF(INDEX(Properties!A$1:CB$87,Formula!D22,5)=0,10^6,INDEX(Properties!A$1:CB$87,Formula!D22,5)),IF(INDEX(Properties!A$1:CB$87,Formula!F22,5)=0,10^6,INDEX(Properties!A$1:CB$87,Formula!F22,5)),IF(INDEX(Properties!A$1:CB$87,Formula!H22,5)=0,10^6,INDEX(Properties!A$1:CB$87,Formula!H22,5)),IF(INDEX(Properties!A$1:CB$87,Formula!J22,5)=0,10^6,INDEX(Properties!A$1:CB$87,Formula!J22,5)))</f>
        <v>2</v>
      </c>
      <c r="S22" s="89">
        <f t="shared" si="2"/>
        <v>3</v>
      </c>
      <c r="T22" s="60">
        <f>((Formula!C22)/(Formula!C22+Formula!E22+Formula!G22+Formula!I22+Formula!K22))*(INDEX(Properties!A$1:CB$87,Formula!B22,6))+((Formula!E22)/(Formula!C22+Formula!E22+Formula!G22+Formula!I22+Formula!K22))*(INDEX(Properties!A$1:CB$87,Formula!D22,6))+((Formula!G22)/(Formula!C22+Formula!E22+Formula!G22+Formula!I22+Formula!K22))*(INDEX(Properties!A$1:CB$87,Formula!F22,6))+((Formula!I22)/(Formula!C22+Formula!E22+Formula!G22+Formula!I22+Formula!K22))*(INDEX(Properties!A$1:CB$87,Formula!H22,6))+((Formula!K22)/(Formula!C22+Formula!E22+Formula!G22+Formula!I22+Formula!K22))*(INDEX(Properties!A$1:CB$87,Formula!J22,6))</f>
        <v>11.714285714285714</v>
      </c>
      <c r="U22" s="60">
        <f>Formula!C22*(INDEX(Properties!A$1:CB$87,Formula!B22,6))+Formula!E22*(INDEX(Properties!A$1:CB$87,Formula!D22,6))+Formula!G22*(INDEX(Properties!A$1:CB$87,Formula!F22,6))+Formula!I22*(INDEX(Properties!A$1:CB$87,Formula!H22,6))+Formula!K22*(INDEX(Properties!A$1:CB$87,Formula!J22,6))</f>
        <v>82</v>
      </c>
      <c r="V22" s="89">
        <f>VARP(IF(INDEX(Properties!A$1:CB$87,Formula!B22,6)&lt;&gt;"",INDEX(Properties!A$1:CB$87,Formula!B22,6)),IF(INDEX(Properties!A$1:CB$87,Formula!D22,6)&lt;&gt;"",INDEX(Properties!A$1:CB$87,Formula!D22,6)),IF(INDEX(Properties!A$1:CB$87,Formula!F22,6)&lt;&gt;"",INDEX(Properties!A$1:CB$87,Formula!F22,6)),IF(INDEX(Properties!A$1:CB$87,Formula!H22,6)&lt;&gt;"",INDEX(Properties!A$1:CB$87,Formula!H22,6)),IF(INDEX(Properties!A$1:CB$87,Formula!J22,6)&lt;&gt;"",INDEX(Properties!A$1:CB$87,Formula!J22,6)))</f>
        <v>50.24</v>
      </c>
      <c r="W22" s="60">
        <f>MAX(INDEX(Properties!A$1:CB$87,Formula!B22,6),INDEX(Properties!A$1:CB$87,Formula!D22,6),INDEX(Properties!A$1:CB$87,Formula!F22,6),INDEX(Properties!A$1:CB$87,Formula!H22,4),INDEX(Properties!A$1:CB$87,Formula!J22,6))</f>
        <v>16</v>
      </c>
      <c r="X22" s="60">
        <f>MIN(IF(INDEX(Properties!A$1:CB$87,Formula!B22,6)=0,10^6,INDEX(Properties!A$1:CB$87,Formula!B22,6)),IF(INDEX(Properties!A$1:CB$87,Formula!D22,6)=0,10^6,INDEX(Properties!A$1:CB$87,Formula!D22,6)),IF(INDEX(Properties!A$1:CB$87,Formula!F22,6)=0,10^6,INDEX(Properties!A$1:CB$87,Formula!F22,6)),IF(INDEX(Properties!A$1:CB$87,Formula!H22,6)=0,10^6,INDEX(Properties!A$1:CB$87,Formula!H22,6)),IF(INDEX(Properties!A$1:CB$87,Formula!J22,6)=0,10^6,INDEX(Properties!A$1:CB$87,Formula!J22,6)))</f>
        <v>2</v>
      </c>
      <c r="Y22" s="60">
        <f t="shared" si="3"/>
        <v>14</v>
      </c>
      <c r="Z22" s="72">
        <f>((Formula!C22)/(Formula!C22+Formula!E22+Formula!G22+Formula!I22+Formula!K22))*(INDEX(Properties!A$1:CB$87,Formula!B22,9))+((Formula!E22)/(Formula!C22+Formula!E22+Formula!G22+Formula!I22+Formula!K22))*(INDEX(Properties!A$1:CB$87,Formula!D22,9))+((Formula!G22)/(Formula!C22+Formula!E22+Formula!G22+Formula!I22+Formula!K22))*(INDEX(Properties!A$1:CB$87,Formula!F22,9))+((Formula!I22)/(Formula!C22+Formula!E22+Formula!G22+Formula!I22+Formula!K22))*(INDEX(Properties!A$1:CB$87,Formula!H22,9))+((Formula!K22)/(Formula!C22+Formula!E22+Formula!G22+Formula!I22+Formula!K22))*(INDEX(Properties!A$1:CB$87,Formula!J22,9))</f>
        <v>63.142857142857139</v>
      </c>
      <c r="AA22" s="72">
        <f>Formula!C22*(INDEX(Properties!A$1:CB$87,Formula!B22,9))+Formula!E22*(INDEX(Properties!A$1:CB$87,Formula!D22,9))+Formula!G22*(INDEX(Properties!A$1:CB$87,Formula!F22,9))+Formula!I22*(INDEX(Properties!A$1:CB$87,Formula!H22,9))+Formula!K22*(INDEX(Properties!A$1:CB$87,Formula!J22,9))</f>
        <v>442</v>
      </c>
      <c r="AB22" s="72">
        <f>VARP(IF(INDEX(Properties!A$1:CB$87,Formula!B22,9)&lt;&gt;"",INDEX(Properties!A$1:CB$87,Formula!B22,9)),IF(INDEX(Properties!A$1:CB$87,Formula!D22,9)&lt;&gt;"",INDEX(Properties!A$1:CB$87,Formula!D22,9)),IF(INDEX(Properties!A$1:CB$87,Formula!F22,9)&lt;&gt;"",INDEX(Properties!A$1:CB$87,Formula!F22,9)),IF(INDEX(Properties!A$1:CB$87,Formula!H22,9)&lt;&gt;"",INDEX(Properties!A$1:CB$87,Formula!H22,9)),IF(INDEX(Properties!A$1:CB$87,Formula!J22,9)&lt;&gt;"",INDEX(Properties!A$1:CB$87,Formula!J22,9)))</f>
        <v>1546.24</v>
      </c>
      <c r="AC22" s="72">
        <f>MAX(INDEX(Properties!A$1:CB$87,Formula!B22,9),INDEX(Properties!A$1:CB$87,Formula!D22,9),INDEX(Properties!A$1:CB$87,Formula!F22,9),INDEX(Properties!A$1:CB$87,Formula!H22,9),INDEX(Properties!A$1:CB$87,Formula!J22,9))</f>
        <v>87</v>
      </c>
      <c r="AD22" s="72">
        <f>MIN(IF(INDEX(Properties!A$1:CB$87,Formula!B22,9)=0,10^6,INDEX(Properties!A$1:CB$87,Formula!B22,9)),IF(INDEX(Properties!A$1:CB$87,Formula!D22,9)=0,10^6,INDEX(Properties!A$1:CB$87,Formula!D22,9)),IF(INDEX(Properties!A$1:CB$87,Formula!F22,9)=0,10^6,INDEX(Properties!A$1:CB$87,Formula!F22,9)),IF(INDEX(Properties!A$1:CB$87,Formula!H22,9)=0,10^6,INDEX(Properties!A$1:CB$87,Formula!H22,9)),IF(INDEX(Properties!A$1:CB$87,Formula!J22,9)=0,10^6,INDEX(Properties!A$1:CB$87,Formula!J22,9)))</f>
        <v>8</v>
      </c>
      <c r="AE22" s="72">
        <f t="shared" si="4"/>
        <v>79</v>
      </c>
      <c r="AF22" s="51">
        <f>((Formula!C22)/(Formula!C22+Formula!E22+Formula!G22+Formula!I22+Formula!K22))*(INDEX(Properties!A$1:CB$87,Formula!B22,10))+((Formula!E22)/(Formula!C22+Formula!E22+Formula!G22+Formula!I22+Formula!K22))*(INDEX(Properties!A$1:CB$87,Formula!D22,10))+((Formula!G22)/(Formula!C22+Formula!E22+Formula!G22+Formula!I22+Formula!K22))*(INDEX(Properties!A$1:CB$87,Formula!F22,10))+((Formula!I22)/(Formula!C22+Formula!E22+Formula!G22+Formula!I22+Formula!K22))*(INDEX(Properties!A$1:CB$87,Formula!H22,10))+((Formula!K22)/(Formula!C22+Formula!E22+Formula!G22+Formula!I22+Formula!K22))*(INDEX(Properties!A$1:CB$87,Formula!J22,10))</f>
        <v>5.4285714285714288</v>
      </c>
      <c r="AG22" s="51">
        <f>Formula!C22*(INDEX(Properties!A$1:CB$87,Formula!B22,10))+Formula!E22*(INDEX(Properties!A$1:CB$87,Formula!D22,10))+Formula!G22*(INDEX(Properties!A$1:CB$87,Formula!F22,10))+Formula!I22*(INDEX(Properties!A$1:CB$87,Formula!H22,10))+Formula!K22*(INDEX(Properties!A$1:CB$87,Formula!J22,10))</f>
        <v>38</v>
      </c>
      <c r="AH22" s="51">
        <f>VARP(IF(INDEX(Properties!A$1:CB$87,Formula!B22,10)&lt;&gt;"",INDEX(Properties!A$1:CB$87,Formula!B22,10)),IF(INDEX(Properties!A$1:CB$87,Formula!D22,10)&lt;&gt;"",INDEX(Properties!A$1:CB$87,Formula!D22,10)),IF(INDEX(Properties!A$1:CB$87,Formula!F22,10)&lt;&gt;"",INDEX(Properties!A$1:CB$87,Formula!F22,10)),IF(INDEX(Properties!A$1:CB$87,Formula!H22,10)&lt;&gt;"",INDEX(Properties!A$1:CB$87,Formula!H22,10)),IF(INDEX(Properties!A$1:CB$87,Formula!J22,10)&lt;&gt;"",INDEX(Properties!A$1:CB$87,Formula!J22,10)))</f>
        <v>8.8000000000000007</v>
      </c>
      <c r="AI22" s="51">
        <f>MAX(INDEX(Properties!A$1:CB$87,Formula!B22,10),INDEX(Properties!A$1:CB$87,Formula!D22,10),INDEX(Properties!A$1:CB$87,Formula!F22,10),INDEX(Properties!A$1:CB$87,Formula!H22,10),INDEX(Properties!A$1:CB$87,Formula!J22,10))</f>
        <v>7</v>
      </c>
      <c r="AJ22" s="51">
        <f>MIN(IF(INDEX(Properties!A$1:CB$87,Formula!B22,10)=0,10^6,INDEX(Properties!A$1:CB$87,Formula!B22,10)),IF(INDEX(Properties!A$1:CB$87,Formula!D22,10)=0,10^6,INDEX(Properties!A$1:CB$87,Formula!D22,10)),IF(INDEX(Properties!A$1:CB$87,Formula!F22,10)=0,10^6,INDEX(Properties!A$1:CB$87,Formula!F22,10)),IF(INDEX(Properties!A$1:CB$87,Formula!H22,10)=0,10^6,INDEX(Properties!A$1:CB$87,Formula!H22,10)),IF(INDEX(Properties!A$1:CB$87,Formula!J22,10)=0,10^6,INDEX(Properties!A$1:CB$87,Formula!J22,10)))</f>
        <v>2</v>
      </c>
      <c r="AK22" s="51">
        <f t="shared" si="5"/>
        <v>5</v>
      </c>
      <c r="AL22" s="57">
        <f>((Formula!C22)/(Formula!C22+Formula!E22+Formula!G22+Formula!I22+Formula!K22))*(INDEX(Properties!A$1:CB$87,Formula!B22,11))+((Formula!E22)/(Formula!C22+Formula!E22+Formula!G22+Formula!I22+Formula!K22))*(INDEX(Properties!A$1:CB$87,Formula!D22,11))+((Formula!G22)/(Formula!C22+Formula!E22+Formula!G22+Formula!I22+Formula!K22))*(INDEX(Properties!A$1:CB$87,Formula!F22,11))+((Formula!I22)/(Formula!C22+Formula!E22+Formula!G22+Formula!I22+Formula!K22))*(INDEX(Properties!A$1:CB$87,Formula!H22,11))+((Formula!K22)/(Formula!C22+Formula!E22+Formula!G22+Formula!I22+Formula!K22))*(INDEX(Properties!A$1:CB$87,Formula!J22,11))</f>
        <v>2</v>
      </c>
      <c r="AM22" s="57">
        <f>Formula!C22*(INDEX(Properties!A$1:CB$87,Formula!B22,11))+Formula!E22*(INDEX(Properties!A$1:CB$87,Formula!D22,11))+Formula!G22*(INDEX(Properties!A$1:CB$87,Formula!F22,11))+Formula!I22*(INDEX(Properties!A$1:CB$87,Formula!H22,11))+Formula!K22*(INDEX(Properties!A$1:CB$87,Formula!J22,11))</f>
        <v>14</v>
      </c>
      <c r="AN22" s="57">
        <f>VARP(IF(INDEX(Properties!A$1:CB$87,Formula!B22,11)&lt;&gt;"",INDEX(Properties!A$1:CB$87,Formula!B22,11)),IF(INDEX(Properties!A$1:CB$87,Formula!D22,11)&lt;&gt;"",INDEX(Properties!A$1:CB$87,Formula!D22,11)),IF(INDEX(Properties!A$1:CB$87,Formula!F22,11)&lt;&gt;"",INDEX(Properties!A$1:CB$87,Formula!F22,11)),IF(INDEX(Properties!A$1:CB$87,Formula!H22,11)&lt;&gt;"",INDEX(Properties!A$1:CB$87,Formula!H22,11)),IF(INDEX(Properties!A$1:CB$87,Formula!J22,11)&lt;&gt;"",INDEX(Properties!A$1:CB$87,Formula!J22,11)))</f>
        <v>0.96</v>
      </c>
      <c r="AO22" s="57">
        <f>MAX(INDEX(Properties!A$1:CB$87,Formula!B22,11),INDEX(Properties!A$1:CB$87,Formula!D22,11),INDEX(Properties!A$1:CB$87,Formula!F22,11),INDEX(Properties!A$1:CB$87,Formula!H22,11),INDEX(Properties!A$1:CB$87,Formula!J22,11))</f>
        <v>2</v>
      </c>
      <c r="AP22" s="57">
        <f>MIN(IF(Formula!B22=87,10^6,INDEX(Properties!A$1:CB$87,Formula!B22,11)),IF((Formula!D22)=87,10^6,INDEX(Properties!A$1:CB$87,Formula!D22,11)),IF((Formula!F22)=87,10^6,INDEX(Properties!A$1:CB$87,Formula!F22,11)),IF((Formula!H22)=87,10^6,INDEX(Properties!A$1:CB$87,Formula!H22,11)),IF(Formula!J22=87,10^6,INDEX(Properties!A$1:CB$87,Formula!J22,11)))</f>
        <v>2</v>
      </c>
      <c r="AQ22" s="57">
        <f t="shared" si="6"/>
        <v>0</v>
      </c>
      <c r="AR22" s="78">
        <f>((Formula!C22)/(Formula!C22+Formula!E22+Formula!G22+Formula!I22+Formula!K22))*(INDEX(Properties!A$1:CB$87,Formula!B22,12))+((Formula!E22)/(Formula!C22+Formula!E22+Formula!G22+Formula!I22+Formula!K22))*(INDEX(Properties!A$1:CB$87,Formula!D22,12))+((Formula!G22)/(Formula!C22+Formula!E22+Formula!G22+Formula!I22+Formula!K22))*(INDEX(Properties!A$1:CB$87,Formula!F22,12))+((Formula!I22)/(Formula!C22+Formula!E22+Formula!G22+Formula!I22+Formula!K22))*(INDEX(Properties!A$1:CB$87,Formula!H22,12))+((Formula!K22)/(Formula!C22+Formula!E22+Formula!G22+Formula!I22+Formula!K22))*(INDEX(Properties!A$1:CB$87,Formula!J22,12))</f>
        <v>2.5714285714285712</v>
      </c>
      <c r="AS22" s="78">
        <f>Formula!C22*(INDEX(Properties!A$1:CB$87,Formula!B22,12))+Formula!E22*(INDEX(Properties!A$1:CB$87,Formula!D22,12))+Formula!G22*(INDEX(Properties!A$1:CB$87,Formula!F22,12))+Formula!I22*(INDEX(Properties!A$1:CB$87,Formula!H22,12))+Formula!K22*(INDEX(Properties!A$1:CB$87,Formula!J22,12))</f>
        <v>18</v>
      </c>
      <c r="AT22" s="78">
        <f>VARP(IF(INDEX(Properties!A$1:CB$87,Formula!B22,12)&lt;&gt;"",INDEX(Properties!A$1:CB$87,Formula!B22,12)),IF(INDEX(Properties!A$1:CB$87,Formula!D22,12)&lt;&gt;"",INDEX(Properties!A$1:CB$87,Formula!D22,12)),IF(INDEX(Properties!A$1:CB$87,Formula!F22,12)&lt;&gt;"",INDEX(Properties!A$1:CB$87,Formula!F22,12)),IF(INDEX(Properties!A$1:CB$87,Formula!H22,12)&lt;&gt;"",INDEX(Properties!A$1:CB$87,Formula!H22,12)),IF(INDEX(Properties!A$1:CB$87,Formula!J22,12)&lt;&gt;"",INDEX(Properties!A$1:CB$87,Formula!J22,12)))</f>
        <v>2.56</v>
      </c>
      <c r="AU22" s="78">
        <f>MAX(INDEX(Properties!A$1:CB$87,Formula!B22,12),INDEX(Properties!A$1:CB$87,Formula!D22,12),INDEX(Properties!A$1:CB$87,Formula!F22,12),INDEX(Properties!A$1:CB$87,Formula!H22,12),INDEX(Properties!A$1:CB$87,Formula!J22,12))</f>
        <v>4</v>
      </c>
      <c r="AV22" s="78">
        <f>MIN(IF(Formula!B22=87,10^6,INDEX(Properties!A$1:CB$87,Formula!B22,12)),IF((Formula!D22)=87,10^6,INDEX(Properties!A$1:CB$87,Formula!D22,12)),IF((Formula!F22)=87,10^6,INDEX(Properties!A$1:CB$87,Formula!F22,12)),IF((Formula!H22)=87,10^6,INDEX(Properties!A$1:CB$87,Formula!H22,12)),IF(Formula!J22=87,10^6,INDEX(Properties!A$1:CB$87,Formula!J22,12)))</f>
        <v>0</v>
      </c>
      <c r="AW22" s="78">
        <f t="shared" si="7"/>
        <v>4</v>
      </c>
      <c r="AX22" s="45">
        <f>((Formula!C22)/(Formula!C22+Formula!E22+Formula!G22+Formula!I22+Formula!K22))*(INDEX(Properties!A$1:CB$87,Formula!B22,13))+((Formula!E22)/(Formula!C22+Formula!E22+Formula!G22+Formula!I22+Formula!K22))*(INDEX(Properties!A$1:CB$87,Formula!D22,13))+((Formula!G22)/(Formula!C22+Formula!E22+Formula!G22+Formula!I22+Formula!K22))*(INDEX(Properties!A$1:CB$87,Formula!F22,13))+((Formula!I22)/(Formula!C22+Formula!E22+Formula!G22+Formula!I22+Formula!K22))*(INDEX(Properties!A$1:CB$87,Formula!H22,13))+((Formula!K22)/(Formula!C22+Formula!E22+Formula!G22+Formula!I22+Formula!K22))*(INDEX(Properties!A$1:CB$87,Formula!J22,13))</f>
        <v>0</v>
      </c>
      <c r="AY22" s="45">
        <f>Formula!C22*(INDEX(Properties!A$1:CB$87,Formula!B22,13))+Formula!E22*(INDEX(Properties!A$1:CB$87,Formula!D22,13))+Formula!G22*(INDEX(Properties!A$1:CB$87,Formula!F22,13))+Formula!I22*(INDEX(Properties!A$1:CB$87,Formula!H22,13))+Formula!K22*(INDEX(Properties!A$1:CB$87,Formula!J22,13))</f>
        <v>0</v>
      </c>
      <c r="AZ22" s="45">
        <f>VARP(IF(INDEX(Properties!A$1:CB$87,Formula!B22,13)&lt;&gt;"",INDEX(Properties!A$1:CB$87,Formula!B22,13)),IF(INDEX(Properties!A$1:CB$87,Formula!D22,13)&lt;&gt;"",INDEX(Properties!A$1:CB$87,Formula!D22,13)),IF(INDEX(Properties!A$1:CB$87,Formula!F22,13)&lt;&gt;"",INDEX(Properties!A$1:CB$87,Formula!F22,13)),IF(INDEX(Properties!A$1:CB$87,Formula!H22,13)&lt;&gt;"",INDEX(Properties!A$1:CB$87,Formula!H22,13)),IF(INDEX(Properties!A$1:CB$87,Formula!J22,13)&lt;&gt;"",INDEX(Properties!A$1:CB$87,Formula!J22,13)))</f>
        <v>0</v>
      </c>
      <c r="BA22" s="45">
        <f>MAX(INDEX(Properties!A$1:CB$87,Formula!B22,13),INDEX(Properties!A$1:CB$87,Formula!D22,13),INDEX(Properties!A$1:CB$87,Formula!F22,13),INDEX(Properties!A$1:CB$87,Formula!H22,13),INDEX(Properties!A$1:CB$87,Formula!J22,13))</f>
        <v>0</v>
      </c>
      <c r="BB22" s="45">
        <f>MIN(IF(Formula!B22=87,10^6,INDEX(Properties!A$1:CB$87,Formula!B22,13)),IF((Formula!D22)=87,10^6,INDEX(Properties!A$1:CB$87,Formula!D22,13)),IF((Formula!F22)=87,10^6,INDEX(Properties!A$1:CB$87,Formula!F22,13)),IF((Formula!H22)=87,10^6,INDEX(Properties!A$1:CB$87,Formula!H22,13)),IF(Formula!J22=87,10^6,INDEX(Properties!A$1:CB$87,Formula!J22,13)))</f>
        <v>0</v>
      </c>
      <c r="BC22" s="45">
        <f t="shared" si="8"/>
        <v>0</v>
      </c>
      <c r="BD22" s="63">
        <f>((Formula!C22)/(Formula!C22+Formula!E22+Formula!G22+Formula!I22+Formula!K22))*(INDEX(Properties!A$1:CB$87,Formula!B22,14))+((Formula!E22)/(Formula!C22+Formula!E22+Formula!G22+Formula!I22+Formula!K22))*(INDEX(Properties!A$1:CB$87,Formula!D22,14))+((Formula!G22)/(Formula!C22+Formula!E22+Formula!G22+Formula!I22+Formula!K22))*(INDEX(Properties!A$1:CB$87,Formula!F22,14))+((Formula!I22)/(Formula!C22+Formula!E22+Formula!G22+Formula!I22+Formula!K22))*(INDEX(Properties!A$1:CB$87,Formula!H22,14))+((Formula!K22)/(Formula!C22+Formula!E22+Formula!G22+Formula!I22+Formula!K22))*(INDEX(Properties!A$1:CB$87,Formula!J22,14))</f>
        <v>0</v>
      </c>
      <c r="BE22" s="63">
        <f>Formula!C22*(INDEX(Properties!A$1:CB$87,Formula!B22,14))+Formula!E22*(INDEX(Properties!A$1:CB$87,Formula!D22,14))+Formula!G22*(INDEX(Properties!A$1:CB$87,Formula!F22,14))+Formula!I22*(INDEX(Properties!A$1:CB$87,Formula!H22,14))+Formula!K22*(INDEX(Properties!A$1:CB$87,Formula!J22,14))</f>
        <v>0</v>
      </c>
      <c r="BF22" s="63">
        <f>VARP(IF(INDEX(Properties!A$1:CB$87,Formula!B22,14)&lt;&gt;"",INDEX(Properties!A$1:CB$87,Formula!B22,14)),IF(INDEX(Properties!A$1:CB$87,Formula!D22,14)&lt;&gt;"",INDEX(Properties!A$1:CB$87,Formula!D22,14)),IF(INDEX(Properties!A$1:CB$87,Formula!F22,14)&lt;&gt;"",INDEX(Properties!A$1:CB$87,Formula!F22,14)),IF(INDEX(Properties!A$1:CB$87,Formula!H22,14)&lt;&gt;"",INDEX(Properties!A$1:CB$87,Formula!H22,14)),IF(INDEX(Properties!A$1:CB$87,Formula!J22,14)&lt;&gt;"",INDEX(Properties!A$1:CB$87,Formula!J22,14)))</f>
        <v>0</v>
      </c>
      <c r="BG22" s="63">
        <f>MAX(INDEX(Properties!A$1:CB$87,Formula!B22,14),INDEX(Properties!A$1:CB$87,Formula!D22,14),INDEX(Properties!A$1:CB$87,Formula!F22,14),INDEX(Properties!A$1:CB$87,Formula!H22,14),INDEX(Properties!A$1:CB$87,Formula!J22,14))</f>
        <v>0</v>
      </c>
      <c r="BH22" s="63">
        <f>MIN(IF(Formula!B22=87,10^6,INDEX(Properties!A$1:CB$87,Formula!B22,14)),IF((Formula!D22)=87,10^6,INDEX(Properties!A$1:CB$87,Formula!D22,14)),IF((Formula!F22)=87,10^6,INDEX(Properties!A$1:CB$87,Formula!F22,14)),IF((Formula!H22)=87,10^6,INDEX(Properties!A$1:CB$87,Formula!H22,14)),IF(Formula!J22=87,10^6,INDEX(Properties!A$1:CB$87,Formula!J22,14)))</f>
        <v>0</v>
      </c>
      <c r="BI22" s="63">
        <f t="shared" si="9"/>
        <v>0</v>
      </c>
      <c r="BJ22" s="75">
        <f>((Formula!C22)/(Formula!C22+Formula!E22+Formula!G22+Formula!I22+Formula!K22))*(INDEX(Properties!A$1:CB$87,Formula!B22,19))+((Formula!E22)/(Formula!C22+Formula!E22+Formula!G22+Formula!I22+Formula!K22))*(INDEX(Properties!A$1:CB$87,Formula!D22,19))+((Formula!G22)/(Formula!C22+Formula!E22+Formula!G22+Formula!I22+Formula!K22))*(INDEX(Properties!A$1:CB$87,Formula!F22,19))+((Formula!I22)/(Formula!C22+Formula!E22+Formula!G22+Formula!I22+Formula!K22))*(INDEX(Properties!A$1:CB$87,Formula!H22,19))+((Formula!K22)/(Formula!C22+Formula!E22+Formula!G22+Formula!I22+Formula!K22))*(INDEX(Properties!A$1:CB$87,Formula!J22,19))</f>
        <v>4.5714285714285712</v>
      </c>
      <c r="BK22" s="75">
        <f>Formula!C22*(INDEX(Properties!A$1:CB$87,Formula!B22,19))+Formula!E22*(INDEX(Properties!A$1:CB$87,Formula!D22,19))+Formula!G22*(INDEX(Properties!A$1:CB$87,Formula!F22,19))+Formula!I22*(INDEX(Properties!A$1:CB$87,Formula!H22,19))+Formula!K22*(INDEX(Properties!A$1:CB$87,Formula!J22,19))</f>
        <v>32</v>
      </c>
      <c r="BL22" s="75">
        <f>VARP(IF(INDEX(Properties!A$1:CB$87,Formula!B22,19)&lt;&gt;"",INDEX(Properties!A$1:CB$87,Formula!B22,19)),IF(INDEX(Properties!A$1:CB$87,Formula!D22,19)&lt;&gt;"",INDEX(Properties!A$1:CB$87,Formula!D22,19)),IF(INDEX(Properties!A$1:CB$87,Formula!F22,19)&lt;&gt;"",INDEX(Properties!A$1:CB$87,Formula!F22,19)),IF(INDEX(Properties!A$1:CB$87,Formula!H22,19)&lt;&gt;"",INDEX(Properties!A$1:CB$87,Formula!H22,19)),IF(INDEX(Properties!A$1:CB$87,Formula!J22,19)&lt;&gt;"",INDEX(Properties!A$1:CB$87,Formula!J22,19)))</f>
        <v>5.44</v>
      </c>
      <c r="BM22" s="75">
        <f>MAX(INDEX(Properties!A$1:CB$87,Formula!B22,19),INDEX(Properties!A$1:CB$87,Formula!D22,19),INDEX(Properties!A$1:CB$87,Formula!F22,19),INDEX(Properties!A$1:CB$87,Formula!H22,19),INDEX(Properties!A$1:CB$87,Formula!J22,19))</f>
        <v>6</v>
      </c>
      <c r="BN22" s="75">
        <f>MIN(IF(INDEX(Properties!A$1:CB$87,Formula!B22,19)=0,10^6,INDEX(Properties!A$1:CB$87,Formula!B22,19)),IF(INDEX(Properties!A$1:CB$87,Formula!D22,19)=0,10^6,INDEX(Properties!A$1:CB$87,Formula!D22,19)),IF(INDEX(Properties!A$1:CB$87,Formula!F22,19)=0,10^6,INDEX(Properties!A$1:CB$87,Formula!F22,19)),IF(INDEX(Properties!A$1:CB$87,Formula!H22,19)=0,10^6,INDEX(Properties!A$1:CB$87,Formula!H22,19)),IF(INDEX(Properties!A$1:CB$87,Formula!J22,19)=0,10^6,INDEX(Properties!A$1:CB$87,Formula!J22,19)))</f>
        <v>2</v>
      </c>
      <c r="BO22" s="75">
        <f t="shared" si="10"/>
        <v>4</v>
      </c>
      <c r="BP22" s="48">
        <f>((Formula!C22)/(Formula!C22+Formula!E22+Formula!G22+Formula!I22+Formula!K22))*(INDEX(Properties!A$1:CB$87,Formula!B22,20))+((Formula!E22)/(Formula!C22+Formula!E22+Formula!G22+Formula!I22+Formula!K22))*(INDEX(Properties!A$1:CB$87,Formula!D22,20))+((Formula!G22)/(Formula!C22+Formula!E22+Formula!G22+Formula!I22+Formula!K22))*(INDEX(Properties!A$1:CB$87,Formula!F22,20))+((Formula!I22)/(Formula!C22+Formula!E22+Formula!G22+Formula!I22+Formula!K22))*(INDEX(Properties!A$1:CB$87,Formula!H22,20))+((Formula!K22)/(Formula!C22+Formula!E22+Formula!G22+Formula!I22+Formula!K22))*(INDEX(Properties!A$1:CB$87,Formula!J22,20))</f>
        <v>4.5714285714285712</v>
      </c>
      <c r="BQ22" s="48">
        <f>Formula!C22*(INDEX(Properties!A$1:CB$87,Formula!B22,20))+Formula!E22*(INDEX(Properties!A$1:CB$87,Formula!D22,20))+Formula!G22*(INDEX(Properties!A$1:CB$87,Formula!F22,20))+Formula!I22*(INDEX(Properties!A$1:CB$87,Formula!H22,20))+Formula!K22*(INDEX(Properties!A$1:CB$87,Formula!J22,20))</f>
        <v>32</v>
      </c>
      <c r="BR22" s="48">
        <f>VARP(IF(INDEX(Properties!A$1:CB$87,Formula!B22,20)&lt;&gt;"",INDEX(Properties!A$1:CB$87,Formula!B22,20)),IF(INDEX(Properties!A$1:CB$87,Formula!D22,20)&lt;&gt;"",INDEX(Properties!A$1:CB$87,Formula!D22,20)),IF(INDEX(Properties!A$1:CB$87,Formula!F22,20)&lt;&gt;"",INDEX(Properties!A$1:CB$87,Formula!F22,20)),IF(INDEX(Properties!A$1:CB$87,Formula!H22,20)&lt;&gt;"",INDEX(Properties!A$1:CB$87,Formula!H22,20)),IF(INDEX(Properties!A$1:CB$87,Formula!J22,20)&lt;&gt;"",INDEX(Properties!A$1:CB$87,Formula!J22,20)))</f>
        <v>5.44</v>
      </c>
      <c r="BS22" s="48">
        <f>MAX(INDEX(Properties!A$1:CB$87,Formula!B22,20),INDEX(Properties!A$1:CB$87,Formula!D22,20),INDEX(Properties!A$1:CB$87,Formula!F22,20),INDEX(Properties!A$1:CB$87,Formula!H22,20),INDEX(Properties!A$1:CB$87,Formula!J22,20))</f>
        <v>6</v>
      </c>
      <c r="BT22" s="48">
        <f>MIN(IF(INDEX(Properties!A$1:CB$87,Formula!B22,20)=0,10^6,INDEX(Properties!A$1:CB$87,Formula!B22,20)),IF(INDEX(Properties!A$1:CB$87,Formula!D22,20)=0,10^6,INDEX(Properties!A$1:CB$87,Formula!D22,20)),IF(INDEX(Properties!A$1:CB$87,Formula!F22,20)=0,10^6,INDEX(Properties!A$1:CB$87,Formula!F22,20)),IF(INDEX(Properties!A$1:CB$87,Formula!H22,20)=0,10^6,INDEX(Properties!A$1:CB$87,Formula!H22,20)),IF(INDEX(Properties!A$1:CB$87,Formula!J22,20)=0,10^6,INDEX(Properties!A$1:CB$87,Formula!J22,20)))</f>
        <v>2</v>
      </c>
      <c r="BU22" s="48">
        <f t="shared" si="11"/>
        <v>4</v>
      </c>
      <c r="BV22" s="66">
        <f>((Formula!C22)/(Formula!C22+Formula!E22+Formula!G22+Formula!I22+Formula!K22))*(INDEX(Properties!A$1:CB$87,Formula!B22,21))+((Formula!E22)/(Formula!C22+Formula!E22+Formula!G22+Formula!I22+Formula!K22))*(INDEX(Properties!A$1:CB$87,Formula!D22,21))+((Formula!G22)/(Formula!C22+Formula!E22+Formula!G22+Formula!I22+Formula!K22))*(INDEX(Properties!A$1:CB$87,Formula!F22,21))+((Formula!I22)/(Formula!C22+Formula!E22+Formula!G22+Formula!I22+Formula!K22))*(INDEX(Properties!A$1:CB$87,Formula!H22,21))+((Formula!K22)/(Formula!C22+Formula!E22+Formula!G22+Formula!I22+Formula!K22))*(INDEX(Properties!A$1:CB$87,Formula!J22,21))</f>
        <v>4.5714285714285712</v>
      </c>
      <c r="BW22" s="66">
        <f>Formula!C22*(INDEX(Properties!A$1:CB$87,Formula!B22,21))+Formula!E22*(INDEX(Properties!A$1:CB$87,Formula!D22,21))+Formula!G22*(INDEX(Properties!A$1:CB$87,Formula!F22,21))+Formula!I22*(INDEX(Properties!A$1:CB$87,Formula!H22,21))+Formula!K22*(INDEX(Properties!A$1:CB$87,Formula!J22,21))</f>
        <v>32</v>
      </c>
      <c r="BX22" s="66">
        <f>VARP(IF(INDEX(Properties!A$1:CB$87,Formula!B22,21)&lt;&gt;"",INDEX(Properties!A$1:CB$87,Formula!B22,21)),IF(INDEX(Properties!A$1:CB$87,Formula!D22,21)&lt;&gt;"",INDEX(Properties!A$1:CB$87,Formula!D22,21)),IF(INDEX(Properties!A$1:CB$87,Formula!F22,21)&lt;&gt;"",INDEX(Properties!A$1:CB$87,Formula!F22,21)),IF(INDEX(Properties!A$1:CB$87,Formula!H22,21)&lt;&gt;"",INDEX(Properties!A$1:CB$87,Formula!H22,21)),IF(INDEX(Properties!A$1:CB$87,Formula!J22,21)&lt;&gt;"",INDEX(Properties!A$1:CB$87,Formula!J22,21)))</f>
        <v>5.44</v>
      </c>
      <c r="BY22" s="66">
        <f>MAX(INDEX(Properties!A$1:CB$87,Formula!B22,21),INDEX(Properties!A$1:CB$87,Formula!D22,21),INDEX(Properties!A$1:CB$87,Formula!F22,21),INDEX(Properties!A$1:CB$87,Formula!H22,21),INDEX(Properties!A$1:CB$87,Formula!J22,21))</f>
        <v>6</v>
      </c>
      <c r="BZ22" s="66">
        <f>MIN(IF(INDEX(Properties!A$1:CB$87,Formula!B22,21)=0,10^6,INDEX(Properties!A$1:CB$87,Formula!B22,21)),IF(INDEX(Properties!A$1:CB$87,Formula!D22,21)=0,10^6,INDEX(Properties!A$1:CB$87,Formula!D22,21)),IF(INDEX(Properties!A$1:CB$87,Formula!F22,21)=0,10^6,INDEX(Properties!A$1:CB$87,Formula!F22,21)),IF(INDEX(Properties!A$1:CB$87,Formula!H22,21)=0,10^6,INDEX(Properties!A$1:CB$87,Formula!H22,21)),IF(INDEX(Properties!A$1:CB$87,Formula!J22,21)=0,10^6,INDEX(Properties!A$1:CB$87,Formula!J22,21)))</f>
        <v>2</v>
      </c>
      <c r="CA22" s="66">
        <f t="shared" si="12"/>
        <v>4</v>
      </c>
      <c r="CB22" s="81">
        <f>((Formula!C22)/(Formula!C22+Formula!E22+Formula!G22+Formula!I22+Formula!K22))*(INDEX(Properties!A$1:CB$87,Formula!B22,23))+((Formula!E22)/(Formula!C22+Formula!E22+Formula!G22+Formula!I22+Formula!K22))*(INDEX(Properties!A$1:CB$87,Formula!D22,23))+((Formula!G22)/(Formula!C22+Formula!E22+Formula!G22+Formula!I22+Formula!K22))*(INDEX(Properties!A$1:CB$87,Formula!F22,23))+((Formula!I22)/(Formula!C22+Formula!E22+Formula!G22+Formula!I22+Formula!K22))*(INDEX(Properties!A$1:CB$87,Formula!H22,23))+((Formula!K22)/(Formula!C22+Formula!E22+Formula!G22+Formula!I22+Formula!K22))*(INDEX(Properties!A$1:CB$87,Formula!J22,23))</f>
        <v>1.1428571428571428</v>
      </c>
      <c r="CC22" s="81">
        <f>Formula!C22*(INDEX(Properties!A$1:CB$87,Formula!B22,23))+Formula!E22*(INDEX(Properties!A$1:CB$87,Formula!D22,23))+Formula!G22*(INDEX(Properties!A$1:CB$87,Formula!F22,23))+Formula!I22*(INDEX(Properties!A$1:CB$87,Formula!H22,23))+Formula!K22*(INDEX(Properties!A$1:CB$87,Formula!J22,23))</f>
        <v>8</v>
      </c>
      <c r="CD22" s="81">
        <f>VARP(IF(INDEX(Properties!A$1:CB$87,Formula!B22,23)&lt;&gt;"",INDEX(Properties!A$1:CB$87,Formula!B22,23)),IF(INDEX(Properties!A$1:CB$87,Formula!D22,23)&lt;&gt;"",INDEX(Properties!A$1:CB$87,Formula!D22,23)),IF(INDEX(Properties!A$1:CB$87,Formula!F22,23)&lt;&gt;"",INDEX(Properties!A$1:CB$87,Formula!F22,23)),IF(INDEX(Properties!A$1:CB$87,Formula!H22,23)&lt;&gt;"",INDEX(Properties!A$1:CB$87,Formula!H22,23)),IF(INDEX(Properties!A$1:CB$87,Formula!J22,23)&lt;&gt;"",INDEX(Properties!A$1:CB$87,Formula!J22,23)))</f>
        <v>2.56</v>
      </c>
      <c r="CE22" s="81">
        <f>MAX(INDEX(Properties!A$1:CB$87,Formula!B22,23),INDEX(Properties!A$1:CB$87,Formula!D22,23),INDEX(Properties!A$1:CB$87,Formula!F22,23),INDEX(Properties!A$1:CB$87,Formula!H22,23),INDEX(Properties!A$1:CB$87,Formula!J22,23))</f>
        <v>4</v>
      </c>
      <c r="CF22" s="81">
        <f>MIN(IF(Formula!B22=87,10^6,INDEX(Properties!A$1:CB$87,Formula!B22,23)),IF((Formula!D22)=87,10^6,INDEX(Properties!A$1:CB$87,Formula!D22,23)),IF((Formula!F22)=87,10^6,INDEX(Properties!A$1:CB$87,Formula!F22,23)),IF((Formula!H22)=87,10^6,INDEX(Properties!A$1:CB$87,Formula!H22,23)),IF(Formula!J22=87,10^6,INDEX(Properties!A$1:CB$87,Formula!J22,23)))</f>
        <v>0</v>
      </c>
      <c r="CG22" s="81">
        <f t="shared" si="13"/>
        <v>4</v>
      </c>
      <c r="CH22" s="39">
        <f>((Formula!C22)/(Formula!C22+Formula!E22+Formula!G22+Formula!I22+Formula!K22))*(INDEX(Properties!A$1:CB$87,Formula!B22,26))+((Formula!E22)/(Formula!C22+Formula!E22+Formula!G22+Formula!I22+Formula!K22))*(INDEX(Properties!A$1:CB$87,Formula!D22,26))+((Formula!G22)/(Formula!C22+Formula!E22+Formula!G22+Formula!I22+Formula!K22))*(INDEX(Properties!A$1:CB$87,Formula!F22,26))+((Formula!I22)/(Formula!C22+Formula!E22+Formula!G22+Formula!I22+Formula!K22))*(INDEX(Properties!A$1:CB$87,Formula!H22,26))+((Formula!K22)/(Formula!C22+Formula!E22+Formula!G22+Formula!I22+Formula!K22))*(INDEX(Properties!A$1:CB$87,Formula!J22,26))</f>
        <v>10.573414285714286</v>
      </c>
      <c r="CI22" s="39">
        <f>Formula!C22*(INDEX(Properties!A$1:CB$87,Formula!B22,26))+Formula!E22*(INDEX(Properties!A$1:CB$87,Formula!D22,26))+Formula!G22*(INDEX(Properties!A$1:CB$87,Formula!F22,26))+Formula!I22*(INDEX(Properties!A$1:CB$87,Formula!H22,26))+Formula!K22*(INDEX(Properties!A$1:CB$87,Formula!J22,26))</f>
        <v>74.013900000000007</v>
      </c>
      <c r="CJ22" s="39">
        <f>VARP(IF(INDEX(Properties!A$1:CB$87,Formula!B22,26)&lt;&gt;"",INDEX(Properties!A$1:CB$87,Formula!B22,26)),IF(INDEX(Properties!A$1:CB$87,Formula!D22,26)&lt;&gt;"",INDEX(Properties!A$1:CB$87,Formula!D22,26)),IF(INDEX(Properties!A$1:CB$87,Formula!F22,26)&lt;&gt;"",INDEX(Properties!A$1:CB$87,Formula!F22,26)),IF(INDEX(Properties!A$1:CB$87,Formula!H22,26)&lt;&gt;"",INDEX(Properties!A$1:CB$87,Formula!H22,26)),IF(INDEX(Properties!A$1:CB$87,Formula!J22,26)&lt;&gt;"",INDEX(Properties!A$1:CB$87,Formula!J22,26)))</f>
        <v>26.694559458400004</v>
      </c>
      <c r="CK22" s="39">
        <f>MAX(INDEX(Properties!A$1:CB$87,Formula!B22,26),INDEX(Properties!A$1:CB$87,Formula!D22,26),INDEX(Properties!A$1:CB$87,Formula!F22,26),INDEX(Properties!A$1:CB$87,Formula!H22,26),INDEX(Properties!A$1:CB$87,Formula!J22,26))</f>
        <v>13.6181</v>
      </c>
      <c r="CL22" s="39">
        <f>MIN(IF(INDEX(Properties!A$1:CB$87,Formula!B22,26)=0,10^6,INDEX(Properties!A$1:CB$87,Formula!B22,26)),IF(INDEX(Properties!A$1:CB$87,Formula!D22,26)=0,10^6,INDEX(Properties!A$1:CB$87,Formula!D22,26)),IF(INDEX(Properties!A$1:CB$87,Formula!F22,26)=0,10^6,INDEX(Properties!A$1:CB$87,Formula!F22,26)),IF(INDEX(Properties!A$1:CB$87,Formula!H22,26)=0,10^6,INDEX(Properties!A$1:CB$87,Formula!H22,26)),IF(INDEX(Properties!A$1:CB$87,Formula!J22,26)=0,10^6,INDEX(Properties!A$1:CB$87,Formula!J22,26)))</f>
        <v>5.6948999999999996</v>
      </c>
      <c r="CM22" s="39">
        <f t="shared" si="14"/>
        <v>7.9232000000000005</v>
      </c>
      <c r="CN22" s="54">
        <f>((Formula!C22)/(Formula!C22+Formula!E22+Formula!G22+Formula!I22+Formula!K22))*(INDEX(Properties!A$1:CB$87,Formula!B22,30))+((Formula!E22)/(Formula!C22+Formula!E22+Formula!G22+Formula!I22+Formula!K22))*(INDEX(Properties!A$1:CB$87,Formula!D22,30))+((Formula!G22)/(Formula!C22+Formula!E22+Formula!G22+Formula!I22+Formula!K22))*(INDEX(Properties!A$1:CB$87,Formula!F22,30))+((Formula!I22)/(Formula!C22+Formula!E22+Formula!G22+Formula!I22+Formula!K22))*(INDEX(Properties!A$1:CB$87,Formula!H22,30))+((Formula!K22)/(Formula!C22+Formula!E22+Formula!G22+Formula!I22+Formula!K22))*(INDEX(Properties!A$1:CB$87,Formula!J22,30))</f>
        <v>2.5085714285714285</v>
      </c>
      <c r="CO22" s="54">
        <f>Formula!C22*(INDEX(Properties!A$1:CB$87,Formula!B22,30))+Formula!E22*(INDEX(Properties!A$1:CB$87,Formula!D22,30))+Formula!G22*(INDEX(Properties!A$1:CB$87,Formula!F22,30))+Formula!I22*(INDEX(Properties!A$1:CB$87,Formula!H22,30))+Formula!K22*(INDEX(Properties!A$1:CB$87,Formula!J22,30))</f>
        <v>17.559999999999999</v>
      </c>
      <c r="CP22" s="54">
        <f>VARP(IF(INDEX(Properties!A$1:CB$87,Formula!B22,30)&lt;&gt;"",INDEX(Properties!A$1:CB$87,Formula!B22,30)),IF(INDEX(Properties!A$1:CB$87,Formula!D22,30)&lt;&gt;"",INDEX(Properties!A$1:CB$87,Formula!D22,30)),IF(INDEX(Properties!A$1:CB$87,Formula!F22,30)&lt;&gt;"",INDEX(Properties!A$1:CB$87,Formula!F22,30)),IF(INDEX(Properties!A$1:CB$87,Formula!H22,30)&lt;&gt;"",INDEX(Properties!A$1:CB$87,Formula!H22,30)),IF(INDEX(Properties!A$1:CB$87,Formula!J22,30)&lt;&gt;"",INDEX(Properties!A$1:CB$87,Formula!J22,30)))</f>
        <v>1.6866560000000006</v>
      </c>
      <c r="CQ22" s="54">
        <f>MAX(INDEX(Properties!A$1:CB$87,Formula!B22,30),INDEX(Properties!A$1:CB$87,Formula!D22,30),INDEX(Properties!A$1:CB$87,Formula!F22,30),INDEX(Properties!A$1:CB$87,Formula!H22,30),INDEX(Properties!A$1:CB$87,Formula!J22,30))</f>
        <v>3.44</v>
      </c>
      <c r="CR22" s="54">
        <f>MIN(IF(INDEX(Properties!A$1:CB$87,Formula!B22,30)=0,10^6,INDEX(Properties!A$1:CB$87,Formula!B22,30)),IF(INDEX(Properties!A$1:CB$87,Formula!D22,30)=0,10^6,INDEX(Properties!A$1:CB$87,Formula!D22,30)),IF(INDEX(Properties!A$1:CB$87,Formula!F22,30)=0,10^6,INDEX(Properties!A$1:CB$87,Formula!F22,30)),IF(INDEX(Properties!A$1:CB$87,Formula!H22,30)=0,10^6,INDEX(Properties!A$1:CB$87,Formula!H22,30)),IF(INDEX(Properties!A$1:CB$87,Formula!J22,30)=0,10^6,INDEX(Properties!A$1:CB$87,Formula!J22,30)))</f>
        <v>0.95</v>
      </c>
      <c r="CS22" s="54">
        <f t="shared" si="15"/>
        <v>2.4900000000000002</v>
      </c>
      <c r="CT22" s="69">
        <f>((Formula!C22)/(Formula!C22+Formula!E22+Formula!G22+Formula!I22+Formula!K22))*(INDEX(Properties!A$1:CB$87,Formula!B22,31))+((Formula!E22)/(Formula!C22+Formula!E22+Formula!G22+Formula!I22+Formula!K22))*(INDEX(Properties!A$1:CB$87,Formula!D22,31))+((Formula!G22)/(Formula!C22+Formula!E22+Formula!G22+Formula!I22+Formula!K22))*(INDEX(Properties!A$1:CB$87,Formula!F22,31))+((Formula!I22)/(Formula!C22+Formula!E22+Formula!G22+Formula!I22+Formula!K22))*(INDEX(Properties!A$1:CB$87,Formula!H22,31))+((Formula!K22)/(Formula!C22+Formula!E22+Formula!G22+Formula!I22+Formula!K22))*(INDEX(Properties!A$1:CB$87,Formula!J22,31))</f>
        <v>2.5028571428571427</v>
      </c>
      <c r="CU22" s="69">
        <f>Formula!C22*(INDEX(Properties!A$1:CB$87,Formula!B22,31))+Formula!E22*(INDEX(Properties!A$1:CB$87,Formula!D22,31))+Formula!G22*(INDEX(Properties!A$1:CB$87,Formula!F22,31))+Formula!I22*(INDEX(Properties!A$1:CB$87,Formula!H22,31))+Formula!K22*(INDEX(Properties!A$1:CB$87,Formula!J22,31))</f>
        <v>17.52</v>
      </c>
      <c r="CV22" s="69">
        <f>VARP(IF(INDEX(Properties!A$1:CB$87,Formula!B22,31)&lt;&gt;"",INDEX(Properties!A$1:CB$87,Formula!B22,31)),IF(INDEX(Properties!A$1:CB$87,Formula!D22,31)&lt;&gt;"",INDEX(Properties!A$1:CB$87,Formula!D22,31)),IF(INDEX(Properties!A$1:CB$87,Formula!F22,31)&lt;&gt;"",INDEX(Properties!A$1:CB$87,Formula!F22,31)),IF(INDEX(Properties!A$1:CB$87,Formula!H22,31)&lt;&gt;"",INDEX(Properties!A$1:CB$87,Formula!H22,31)),IF(INDEX(Properties!A$1:CB$87,Formula!J22,31)&lt;&gt;"",INDEX(Properties!A$1:CB$87,Formula!J22,31)))</f>
        <v>1.5901440000000002</v>
      </c>
      <c r="CW22" s="69">
        <f>MAX(INDEX(Properties!A$1:CB$87,Formula!B22,31),INDEX(Properties!A$1:CB$87,Formula!D22,31),INDEX(Properties!A$1:CB$87,Formula!F22,31),INDEX(Properties!A$1:CB$87,Formula!H22,31),INDEX(Properties!A$1:CB$87,Formula!J22,31))</f>
        <v>3.32</v>
      </c>
      <c r="CX22" s="69">
        <f>MIN(IF(INDEX(Properties!A$1:CB$87,Formula!B22,31)=0,10^6,INDEX(Properties!A$1:CB$87,Formula!B22,31)),IF(INDEX(Properties!A$1:CB$87,Formula!D22,31)=0,10^6,INDEX(Properties!A$1:CB$87,Formula!D22,31)),IF(INDEX(Properties!A$1:CB$87,Formula!F22,31)=0,10^6,INDEX(Properties!A$1:CB$87,Formula!F22,31)),IF(INDEX(Properties!A$1:CB$87,Formula!H22,31)=0,10^6,INDEX(Properties!A$1:CB$87,Formula!H22,31)),IF(INDEX(Properties!A$1:CB$87,Formula!J22,31)=0,10^6,INDEX(Properties!A$1:CB$87,Formula!J22,31)))</f>
        <v>1.1299999999999999</v>
      </c>
      <c r="CY22" s="69">
        <f t="shared" si="16"/>
        <v>2.19</v>
      </c>
      <c r="CZ22" s="42">
        <f>((Formula!C22)/(Formula!C22+Formula!E22+Formula!G22+Formula!I22+Formula!K22))*(INDEX(Properties!A$1:CB$87,Formula!B22,32))+((Formula!E22)/(Formula!C22+Formula!E22+Formula!G22+Formula!I22+Formula!K22))*(INDEX(Properties!A$1:CB$87,Formula!D22,32))+((Formula!G22)/(Formula!C22+Formula!E22+Formula!G22+Formula!I22+Formula!K22))*(INDEX(Properties!A$1:CB$87,Formula!F22,32))+((Formula!I22)/(Formula!C22+Formula!E22+Formula!G22+Formula!I22+Formula!K22))*(INDEX(Properties!A$1:CB$87,Formula!H22,32))+((Formula!K22)/(Formula!C22+Formula!E22+Formula!G22+Formula!I22+Formula!K22))*(INDEX(Properties!A$1:CB$87,Formula!J22,32))</f>
        <v>5.5614285714285714</v>
      </c>
      <c r="DA22" s="42">
        <f>Formula!C22*(INDEX(Properties!A$1:CB$87,Formula!B22,32))+Formula!E22*(INDEX(Properties!A$1:CB$87,Formula!D22,32))+Formula!G22*(INDEX(Properties!A$1:CB$87,Formula!F22,32))+Formula!I22*(INDEX(Properties!A$1:CB$87,Formula!H22,32))+Formula!K22*(INDEX(Properties!A$1:CB$87,Formula!J22,32))</f>
        <v>38.93</v>
      </c>
      <c r="DB22" s="42">
        <f>VARP(IF(INDEX(Properties!A$1:CB$87,Formula!B22,32)&lt;&gt;"",INDEX(Properties!A$1:CB$87,Formula!B22,32)),IF(INDEX(Properties!A$1:CB$87,Formula!D22,32)&lt;&gt;"",INDEX(Properties!A$1:CB$87,Formula!D22,32)),IF(INDEX(Properties!A$1:CB$87,Formula!F22,32)&lt;&gt;"",INDEX(Properties!A$1:CB$87,Formula!F22,32)),IF(INDEX(Properties!A$1:CB$87,Formula!H22,32)&lt;&gt;"",INDEX(Properties!A$1:CB$87,Formula!H22,32)),IF(INDEX(Properties!A$1:CB$87,Formula!J22,32)&lt;&gt;"",INDEX(Properties!A$1:CB$87,Formula!J22,32)))</f>
        <v>8.5298560000000023</v>
      </c>
      <c r="DC22" s="42">
        <f>MAX(INDEX(Properties!A$1:CB$87,Formula!B22,32),INDEX(Properties!A$1:CB$87,Formula!D22,32),INDEX(Properties!A$1:CB$87,Formula!F22,32),INDEX(Properties!A$1:CB$87,Formula!H22,32),INDEX(Properties!A$1:CB$87,Formula!J22,32))</f>
        <v>7.54</v>
      </c>
      <c r="DD22" s="42">
        <f>MIN(IF(INDEX(Properties!A$1:CB$87,Formula!B22,32)=0,10^6,INDEX(Properties!A$1:CB$87,Formula!B22,32)),IF(INDEX(Properties!A$1:CB$87,Formula!D22,32)=0,10^6,INDEX(Properties!A$1:CB$87,Formula!D22,32)),IF(INDEX(Properties!A$1:CB$87,Formula!F22,32)=0,10^6,INDEX(Properties!A$1:CB$87,Formula!F22,32)),IF(INDEX(Properties!A$1:CB$87,Formula!H22,32)=0,10^6,INDEX(Properties!A$1:CB$87,Formula!H22,32)),IF(INDEX(Properties!A$1:CB$87,Formula!J22,32)=0,10^6,INDEX(Properties!A$1:CB$87,Formula!J22,32)))</f>
        <v>2</v>
      </c>
      <c r="DE22" s="42">
        <f t="shared" si="17"/>
        <v>5.54</v>
      </c>
      <c r="DF22" s="60">
        <f>((Formula!C22)/(Formula!C22+Formula!E22+Formula!G22+Formula!I22+Formula!K22))*(INDEX(Properties!A$1:CB$87,Formula!B22,34))+((Formula!E22)/(Formula!C22+Formula!E22+Formula!G22+Formula!I22+Formula!K22))*(INDEX(Properties!A$1:CB$87,Formula!D22,34))+((Formula!G22)/(Formula!C22+Formula!E22+Formula!G22+Formula!I22+Formula!K22))*(INDEX(Properties!A$1:CB$87,Formula!F22,34))+((Formula!I22)/(Formula!C22+Formula!E22+Formula!G22+Formula!I22+Formula!K22))*(INDEX(Properties!A$1:CB$87,Formula!H22,34))+((Formula!K22)/(Formula!C22+Formula!E22+Formula!G22+Formula!I22+Formula!K22))*(INDEX(Properties!A$1:CB$87,Formula!J22,34))</f>
        <v>2.6117142857142857</v>
      </c>
      <c r="DG22" s="60">
        <f>Formula!C22*(INDEX(Properties!A$1:CB$87,Formula!B22,34))+Formula!E22*(INDEX(Properties!A$1:CB$87,Formula!D22,34))+Formula!G22*(INDEX(Properties!A$1:CB$87,Formula!F22,34))+Formula!I22*(INDEX(Properties!A$1:CB$87,Formula!H22,34))+Formula!K22*(INDEX(Properties!A$1:CB$87,Formula!J22,34))</f>
        <v>18.282</v>
      </c>
      <c r="DH22" s="60">
        <f>VARP(IF(INDEX(Properties!A$1:CB$87,Formula!B22,34)&lt;&gt;"",INDEX(Properties!A$1:CB$87,Formula!B22,34)),IF(INDEX(Properties!A$1:CB$87,Formula!D22,34)&lt;&gt;"",INDEX(Properties!A$1:CB$87,Formula!D22,34)),IF(INDEX(Properties!A$1:CB$87,Formula!F22,34)&lt;&gt;"",INDEX(Properties!A$1:CB$87,Formula!F22,34)),IF(INDEX(Properties!A$1:CB$87,Formula!H22,34)&lt;&gt;"",INDEX(Properties!A$1:CB$87,Formula!H22,34)),IF(INDEX(Properties!A$1:CB$87,Formula!J22,34)&lt;&gt;"",INDEX(Properties!A$1:CB$87,Formula!J22,34)))</f>
        <v>1.8418201600000002</v>
      </c>
      <c r="DI22" s="60">
        <f>MAX(INDEX(Properties!A$1:CB$87,Formula!B22,34),INDEX(Properties!A$1:CB$87,Formula!D22,34),INDEX(Properties!A$1:CB$87,Formula!F22,34),INDEX(Properties!A$1:CB$87,Formula!H22,34),INDEX(Properties!A$1:CB$87,Formula!J22,34))</f>
        <v>3.61</v>
      </c>
      <c r="DJ22" s="60">
        <f>MIN(IF(INDEX(Properties!A$1:CB$87,Formula!B22,34)=0,10^6,INDEX(Properties!A$1:CB$87,Formula!B22,34)),IF(INDEX(Properties!A$1:CB$87,Formula!D22,34)=0,10^6,INDEX(Properties!A$1:CB$87,Formula!D22,34)),IF(INDEX(Properties!A$1:CB$87,Formula!F22,34)=0,10^6,INDEX(Properties!A$1:CB$87,Formula!F22,34)),IF(INDEX(Properties!A$1:CB$87,Formula!H22,34)=0,10^6,INDEX(Properties!A$1:CB$87,Formula!H22,34)),IF(INDEX(Properties!A$1:CB$87,Formula!J22,34)=0,10^6,INDEX(Properties!A$1:CB$87,Formula!J22,34)))</f>
        <v>0.96299999999999997</v>
      </c>
      <c r="DK22" s="60">
        <f t="shared" si="18"/>
        <v>2.6469999999999998</v>
      </c>
      <c r="DL22" s="45">
        <f>((Formula!C22)/(Formula!C22+Formula!E22+Formula!G22+Formula!I22+Formula!K22))*(INDEX(Properties!A$1:CB$87,Formula!B22,39))+((Formula!E22)/(Formula!C22+Formula!E22+Formula!G22+Formula!I22+Formula!K22))*(INDEX(Properties!A$1:CB$87,Formula!D22,39))+((Formula!G22)/(Formula!C22+Formula!E22+Formula!G22+Formula!I22+Formula!K22))*(INDEX(Properties!A$1:CB$87,Formula!F22,39))+((Formula!I22)/(Formula!C22+Formula!E22+Formula!G22+Formula!I22+Formula!K22))*(INDEX(Properties!A$1:CB$87,Formula!H22,39))+((Formula!K22)/(Formula!C22+Formula!E22+Formula!G22+Formula!I22+Formula!K22))*(INDEX(Properties!A$1:CB$87,Formula!J22,39))</f>
        <v>1.0585714285714285</v>
      </c>
      <c r="DM22" s="45">
        <f>Formula!C22*(INDEX(Properties!A$1:CB$87,Formula!B22,39))+Formula!E22*(INDEX(Properties!A$1:CB$87,Formula!D22,39))+Formula!G22*(INDEX(Properties!A$1:CB$87,Formula!F22,39))+Formula!I22*(INDEX(Properties!A$1:CB$87,Formula!H22,39))+Formula!K22*(INDEX(Properties!A$1:CB$87,Formula!J22,39))</f>
        <v>7.41</v>
      </c>
      <c r="DN22" s="45">
        <f>VARP(IF(INDEX(Properties!A$1:CB$87,Formula!B22,39)&lt;&gt;"",INDEX(Properties!A$1:CB$87,Formula!B22,39)),IF(INDEX(Properties!A$1:CB$87,Formula!D22,39)&lt;&gt;"",INDEX(Properties!A$1:CB$87,Formula!D22,39)),IF(INDEX(Properties!A$1:CB$87,Formula!F22,39)&lt;&gt;"",INDEX(Properties!A$1:CB$87,Formula!F22,39)),IF(INDEX(Properties!A$1:CB$87,Formula!H22,39)&lt;&gt;"",INDEX(Properties!A$1:CB$87,Formula!H22,39)),IF(INDEX(Properties!A$1:CB$87,Formula!J22,39)&lt;&gt;"",INDEX(Properties!A$1:CB$87,Formula!J22,39)))</f>
        <v>0.68018400000000012</v>
      </c>
      <c r="DO22" s="45">
        <f>MAX(INDEX(Properties!A$1:CB$87,Formula!B22,39),INDEX(Properties!A$1:CB$87,Formula!D22,39),INDEX(Properties!A$1:CB$87,Formula!F22,39),INDEX(Properties!A$1:CB$87,Formula!H22,39),INDEX(Properties!A$1:CB$87,Formula!J22,39))</f>
        <v>2.19</v>
      </c>
      <c r="DP22" s="45">
        <f>MIN(IF(INDEX(Properties!A$1:CB$87,Formula!B22,39)=0,10^6,INDEX(Properties!A$1:CB$87,Formula!B22,39)),IF(INDEX(Properties!A$1:CB$87,Formula!D22,39)=0,10^6,INDEX(Properties!A$1:CB$87,Formula!D22,39)),IF(INDEX(Properties!A$1:CB$87,Formula!F22,39)=0,10^6,INDEX(Properties!A$1:CB$87,Formula!F22,39)),IF(INDEX(Properties!A$1:CB$87,Formula!H22,39)=0,10^6,INDEX(Properties!A$1:CB$87,Formula!H22,39)),IF(INDEX(Properties!A$1:CB$87,Formula!J22,39)=0,10^6,INDEX(Properties!A$1:CB$87,Formula!J22,39)))</f>
        <v>0.48</v>
      </c>
      <c r="DQ22" s="45">
        <f t="shared" si="19"/>
        <v>1.71</v>
      </c>
      <c r="DR22" s="63">
        <f>((Formula!C22)/(Formula!C22+Formula!E22+Formula!G22+Formula!I22+Formula!K22))*(INDEX(Properties!A$1:CB$87,Formula!B22,40))+((Formula!E22)/(Formula!C22+Formula!E22+Formula!G22+Formula!I22+Formula!K22))*(INDEX(Properties!A$1:CB$87,Formula!D22,40))+((Formula!G22)/(Formula!C22+Formula!E22+Formula!G22+Formula!I22+Formula!K22))*(INDEX(Properties!A$1:CB$87,Formula!F22,40))+((Formula!I22)/(Formula!C22+Formula!E22+Formula!G22+Formula!I22+Formula!K22))*(INDEX(Properties!A$1:CB$87,Formula!H22,40))+((Formula!K22)/(Formula!C22+Formula!E22+Formula!G22+Formula!I22+Formula!K22))*(INDEX(Properties!A$1:CB$87,Formula!J22,40))</f>
        <v>1.1242857142857141</v>
      </c>
      <c r="DS22" s="63">
        <f>Formula!C22*(INDEX(Properties!A$1:CB$87,Formula!B22,40))+Formula!E22*(INDEX(Properties!A$1:CB$87,Formula!D22,40))+Formula!G22*(INDEX(Properties!A$1:CB$87,Formula!F22,40))+Formula!I22*(INDEX(Properties!A$1:CB$87,Formula!H22,40))+Formula!K22*(INDEX(Properties!A$1:CB$87,Formula!J22,40))</f>
        <v>7.87</v>
      </c>
      <c r="DT22" s="63">
        <f>VARP(IF(INDEX(Properties!A$1:CB$87,Formula!B22,40)&lt;&gt;"",INDEX(Properties!A$1:CB$87,Formula!B22,40)),IF(INDEX(Properties!A$1:CB$87,Formula!D22,40)&lt;&gt;"",INDEX(Properties!A$1:CB$87,Formula!D22,40)),IF(INDEX(Properties!A$1:CB$87,Formula!F22,40)&lt;&gt;"",INDEX(Properties!A$1:CB$87,Formula!F22,40)),IF(INDEX(Properties!A$1:CB$87,Formula!H22,40)&lt;&gt;"",INDEX(Properties!A$1:CB$87,Formula!H22,40)),IF(INDEX(Properties!A$1:CB$87,Formula!J22,40)&lt;&gt;"",INDEX(Properties!A$1:CB$87,Formula!J22,40)))</f>
        <v>0.5247759999999998</v>
      </c>
      <c r="DU22" s="63">
        <f>MAX(INDEX(Properties!A$1:CB$87,Formula!B22,40),INDEX(Properties!A$1:CB$87,Formula!D22,40),INDEX(Properties!A$1:CB$87,Formula!F22,40),INDEX(Properties!A$1:CB$87,Formula!H22,40),INDEX(Properties!A$1:CB$87,Formula!J22,40))</f>
        <v>1.92</v>
      </c>
      <c r="DV22" s="63">
        <f>MIN(IF(INDEX(Properties!A$1:CB$87,Formula!B22,40)=0,10^6,INDEX(Properties!A$1:CB$87,Formula!B22,40)),IF(INDEX(Properties!A$1:CB$87,Formula!D22,40)=0,10^6,INDEX(Properties!A$1:CB$87,Formula!D22,40)),IF(INDEX(Properties!A$1:CB$87,Formula!F22,40)=0,10^6,INDEX(Properties!A$1:CB$87,Formula!F22,40)),IF(INDEX(Properties!A$1:CB$87,Formula!H22,40)=0,10^6,INDEX(Properties!A$1:CB$87,Formula!H22,40)),IF(INDEX(Properties!A$1:CB$87,Formula!J22,40)=0,10^6,INDEX(Properties!A$1:CB$87,Formula!J22,40)))</f>
        <v>0.73</v>
      </c>
      <c r="DW22" s="63">
        <f t="shared" si="20"/>
        <v>1.19</v>
      </c>
      <c r="DX22" s="75">
        <f>((Formula!C22)/(Formula!C22+Formula!E22+Formula!G22+Formula!I22+Formula!K22))*(INDEX(Properties!A$1:CB$87,Formula!B22,41))+((Formula!E22)/(Formula!C22+Formula!E22+Formula!G22+Formula!I22+Formula!K22))*(INDEX(Properties!A$1:CB$87,Formula!D22,41))+((Formula!G22)/(Formula!C22+Formula!E22+Formula!G22+Formula!I22+Formula!K22))*(INDEX(Properties!A$1:CB$87,Formula!F22,41))+((Formula!I22)/(Formula!C22+Formula!E22+Formula!G22+Formula!I22+Formula!K22))*(INDEX(Properties!A$1:CB$87,Formula!H22,41))+((Formula!K22)/(Formula!C22+Formula!E22+Formula!G22+Formula!I22+Formula!K22))*(INDEX(Properties!A$1:CB$87,Formula!J22,41))</f>
        <v>1.1742857142857142</v>
      </c>
      <c r="DY22" s="75">
        <f>Formula!C22*(INDEX(Properties!A$1:CB$87,Formula!B22,41))+Formula!E22*(INDEX(Properties!A$1:CB$87,Formula!D22,41))+Formula!G22*(INDEX(Properties!A$1:CB$87,Formula!F22,41))+Formula!I22*(INDEX(Properties!A$1:CB$87,Formula!H22,41))+Formula!K22*(INDEX(Properties!A$1:CB$87,Formula!J22,41))</f>
        <v>8.2200000000000006</v>
      </c>
      <c r="DZ22" s="75">
        <f>VARP(IF(INDEX(Properties!A$1:CB$87,Formula!B22,41)&lt;&gt;"",INDEX(Properties!A$1:CB$87,Formula!B22,41)),IF(INDEX(Properties!A$1:CB$87,Formula!D22,41)&lt;&gt;"",INDEX(Properties!A$1:CB$87,Formula!D22,41)),IF(INDEX(Properties!A$1:CB$87,Formula!F22,41)&lt;&gt;"",INDEX(Properties!A$1:CB$87,Formula!F22,41)),IF(INDEX(Properties!A$1:CB$87,Formula!H22,41)&lt;&gt;"",INDEX(Properties!A$1:CB$87,Formula!H22,41)),IF(INDEX(Properties!A$1:CB$87,Formula!J22,41)&lt;&gt;"",INDEX(Properties!A$1:CB$87,Formula!J22,41)))</f>
        <v>0.33494399999999996</v>
      </c>
      <c r="EA22" s="75">
        <f>MAX(INDEX(Properties!A$1:CB$87,Formula!B22,41),INDEX(Properties!A$1:CB$87,Formula!D22,41),INDEX(Properties!A$1:CB$87,Formula!F22,41),INDEX(Properties!A$1:CB$87,Formula!H22,41),INDEX(Properties!A$1:CB$87,Formula!J22,41))</f>
        <v>1.32</v>
      </c>
      <c r="EB22" s="75">
        <f>MIN(IF(INDEX(Properties!A$1:CB$87,Formula!B22,41)=0,10^6,INDEX(Properties!A$1:CB$87,Formula!B22,41)),IF(INDEX(Properties!A$1:CB$87,Formula!D22,41)=0,10^6,INDEX(Properties!A$1:CB$87,Formula!D22,41)),IF(INDEX(Properties!A$1:CB$87,Formula!F22,41)=0,10^6,INDEX(Properties!A$1:CB$87,Formula!F22,41)),IF(INDEX(Properties!A$1:CB$87,Formula!H22,41)=0,10^6,INDEX(Properties!A$1:CB$87,Formula!H22,41)),IF(INDEX(Properties!A$1:CB$87,Formula!J22,41)=0,10^6,INDEX(Properties!A$1:CB$87,Formula!J22,41)))</f>
        <v>0.54</v>
      </c>
      <c r="EC22" s="75">
        <f t="shared" si="21"/>
        <v>0.78</v>
      </c>
      <c r="ED22" s="48">
        <f>((Formula!C22)/(Formula!C22+Formula!E22+Formula!G22+Formula!I22+Formula!K22))*(INDEX(Properties!A$1:CB$87,Formula!B22,45))+((Formula!E22)/(Formula!C22+Formula!E22+Formula!G22+Formula!I22+Formula!K22))*(INDEX(Properties!A$1:CB$87,Formula!D22,45))+((Formula!G22)/(Formula!C22+Formula!E22+Formula!G22+Formula!I22+Formula!K22))*(INDEX(Properties!A$1:CB$87,Formula!F22,45))+((Formula!I22)/(Formula!C22+Formula!E22+Formula!G22+Formula!I22+Formula!K22))*(INDEX(Properties!A$1:CB$87,Formula!H22,45))+((Formula!K22)/(Formula!C22+Formula!E22+Formula!G22+Formula!I22+Formula!K22))*(INDEX(Properties!A$1:CB$87,Formula!J22,45))</f>
        <v>1.3885714285714283</v>
      </c>
      <c r="EE22" s="48">
        <f>Formula!C22*(INDEX(Properties!A$1:CB$87,Formula!B22,45))+Formula!E22*(INDEX(Properties!A$1:CB$87,Formula!D22,45))+Formula!G22*(INDEX(Properties!A$1:CB$87,Formula!F22,45))+Formula!I22*(INDEX(Properties!A$1:CB$87,Formula!H22,45))+Formula!K22*(INDEX(Properties!A$1:CB$87,Formula!J22,45))</f>
        <v>9.7199999999999989</v>
      </c>
      <c r="EF22" s="48">
        <f>VARP(IF(INDEX(Properties!A$1:CB$87,Formula!B22,45)&lt;&gt;"",INDEX(Properties!A$1:CB$87,Formula!B22,45)),IF(INDEX(Properties!A$1:CB$87,Formula!D22,45)&lt;&gt;"",INDEX(Properties!A$1:CB$87,Formula!D22,45)),IF(INDEX(Properties!A$1:CB$87,Formula!F22,45)&lt;&gt;"",INDEX(Properties!A$1:CB$87,Formula!F22,45)),IF(INDEX(Properties!A$1:CB$87,Formula!H22,45)&lt;&gt;"",INDEX(Properties!A$1:CB$87,Formula!H22,45)),IF(INDEX(Properties!A$1:CB$87,Formula!J22,45)&lt;&gt;"",INDEX(Properties!A$1:CB$87,Formula!J22,45)))</f>
        <v>1.4678799999999999</v>
      </c>
      <c r="EG22" s="48">
        <f>MAX(INDEX(Properties!A$1:CB$87,Formula!B22,45),INDEX(Properties!A$1:CB$87,Formula!D22,45),INDEX(Properties!A$1:CB$87,Formula!F22,45),INDEX(Properties!A$1:CB$87,Formula!H22,45),INDEX(Properties!A$1:CB$87,Formula!J22,45))</f>
        <v>3.21</v>
      </c>
      <c r="EH22" s="48">
        <f>MIN(IF(INDEX(Properties!A$1:CB$87,Formula!B22,45)=0,10^6,INDEX(Properties!A$1:CB$87,Formula!B22,45)),IF(INDEX(Properties!A$1:CB$87,Formula!D22,45)=0,10^6,INDEX(Properties!A$1:CB$87,Formula!D22,45)),IF(INDEX(Properties!A$1:CB$87,Formula!F22,45)=0,10^6,INDEX(Properties!A$1:CB$87,Formula!F22,45)),IF(INDEX(Properties!A$1:CB$87,Formula!H22,45)=0,10^6,INDEX(Properties!A$1:CB$87,Formula!H22,45)),IF(INDEX(Properties!A$1:CB$87,Formula!J22,45)=0,10^6,INDEX(Properties!A$1:CB$87,Formula!J22,45)))</f>
        <v>0.47</v>
      </c>
      <c r="EI22" s="48">
        <f t="shared" si="22"/>
        <v>2.74</v>
      </c>
      <c r="EJ22" s="66">
        <f>((Formula!C22)/(Formula!C22+Formula!E22+Formula!G22+Formula!I22+Formula!K22))*(INDEX(Properties!A$1:CB$87,Formula!B22,46))+((Formula!E22)/(Formula!C22+Formula!E22+Formula!G22+Formula!I22+Formula!K22))*(INDEX(Properties!A$1:CB$87,Formula!D22,46))+((Formula!G22)/(Formula!C22+Formula!E22+Formula!G22+Formula!I22+Formula!K22))*(INDEX(Properties!A$1:CB$87,Formula!F22,46))+((Formula!I22)/(Formula!C22+Formula!E22+Formula!G22+Formula!I22+Formula!K22))*(INDEX(Properties!A$1:CB$87,Formula!H22,46))+((Formula!K22)/(Formula!C22+Formula!E22+Formula!G22+Formula!I22+Formula!K22))*(INDEX(Properties!A$1:CB$87,Formula!J22,46))</f>
        <v>1.1257142857142857</v>
      </c>
      <c r="EK22" s="66">
        <f>Formula!C22*(INDEX(Properties!A$1:CB$87,Formula!B22,46))+Formula!E22*(INDEX(Properties!A$1:CB$87,Formula!D22,46))+Formula!G22*(INDEX(Properties!A$1:CB$87,Formula!F22,46))+Formula!I22*(INDEX(Properties!A$1:CB$87,Formula!H22,46))+Formula!K22*(INDEX(Properties!A$1:CB$87,Formula!J22,46))</f>
        <v>7.88</v>
      </c>
      <c r="EL22" s="66">
        <f>VARP(IF(INDEX(Properties!A$1:CB$87,Formula!B22,46)&lt;&gt;"",INDEX(Properties!A$1:CB$87,Formula!B22,46)),IF(INDEX(Properties!A$1:CB$87,Formula!D22,46)&lt;&gt;"",INDEX(Properties!A$1:CB$87,Formula!D22,46)),IF(INDEX(Properties!A$1:CB$87,Formula!F22,46)&lt;&gt;"",INDEX(Properties!A$1:CB$87,Formula!F22,46)),IF(INDEX(Properties!A$1:CB$87,Formula!H22,46)&lt;&gt;"",INDEX(Properties!A$1:CB$87,Formula!H22,46)),IF(INDEX(Properties!A$1:CB$87,Formula!J22,46)&lt;&gt;"",INDEX(Properties!A$1:CB$87,Formula!J22,46)))</f>
        <v>0.32990400000000009</v>
      </c>
      <c r="EM22" s="66">
        <f>MAX(INDEX(Properties!A$1:CB$87,Formula!B22,46),INDEX(Properties!A$1:CB$87,Formula!D22,46),INDEX(Properties!A$1:CB$87,Formula!F22,46),INDEX(Properties!A$1:CB$87,Formula!H22,46),INDEX(Properties!A$1:CB$87,Formula!J22,46))</f>
        <v>1.32</v>
      </c>
      <c r="EN22" s="66">
        <f>MIN(IF(INDEX(Properties!A$1:CB$87,Formula!B22,46)=0,10^6,INDEX(Properties!A$1:CB$87,Formula!B22,46)),IF(INDEX(Properties!A$1:CB$87,Formula!D22,46)=0,10^6,INDEX(Properties!A$1:CB$87,Formula!D22,46)),IF(INDEX(Properties!A$1:CB$87,Formula!F22,46)=0,10^6,INDEX(Properties!A$1:CB$87,Formula!F22,46)),IF(INDEX(Properties!A$1:CB$87,Formula!H22,46)=0,10^6,INDEX(Properties!A$1:CB$87,Formula!H22,46)),IF(INDEX(Properties!A$1:CB$87,Formula!J22,46)=0,10^6,INDEX(Properties!A$1:CB$87,Formula!J22,46)))</f>
        <v>0.4</v>
      </c>
      <c r="EO22" s="66">
        <f t="shared" si="23"/>
        <v>0.92</v>
      </c>
      <c r="EP22" s="81">
        <f>((Formula!C22)/(Formula!C22+Formula!E22+Formula!G22+Formula!I22+Formula!K22))*(INDEX(Properties!A$1:CB$87,Formula!B22,52))+((Formula!E22)/(Formula!C22+Formula!E22+Formula!G22+Formula!I22+Formula!K22))*(INDEX(Properties!A$1:CB$87,Formula!D22,52))+((Formula!G22)/(Formula!C22+Formula!E22+Formula!G22+Formula!I22+Formula!K22))*(INDEX(Properties!A$1:CB$87,Formula!F22,52))+((Formula!I22)/(Formula!C22+Formula!E22+Formula!G22+Formula!I22+Formula!K22))*(INDEX(Properties!A$1:CB$87,Formula!H22,52))+((Formula!K22)/(Formula!C22+Formula!E22+Formula!G22+Formula!I22+Formula!K22))*(INDEX(Properties!A$1:CB$87,Formula!J22,52))</f>
        <v>9.1102857142857161</v>
      </c>
      <c r="EQ22" s="81">
        <f>Formula!C22*(INDEX(Properties!A$1:CB$87,Formula!B22,52))+Formula!E22*(INDEX(Properties!A$1:CB$87,Formula!D22,52))+Formula!G22*(INDEX(Properties!A$1:CB$87,Formula!F22,52))+Formula!I22*(INDEX(Properties!A$1:CB$87,Formula!H22,52))+Formula!K22*(INDEX(Properties!A$1:CB$87,Formula!J22,52))</f>
        <v>63.771999999999998</v>
      </c>
      <c r="ER22" s="81">
        <f>VARP(IF(INDEX(Properties!A$1:CB$87,Formula!B22,52)&lt;&gt;"",INDEX(Properties!A$1:CB$87,Formula!B22,52)),IF(INDEX(Properties!A$1:CB$87,Formula!D22,52)&lt;&gt;"",INDEX(Properties!A$1:CB$87,Formula!D22,52)),IF(INDEX(Properties!A$1:CB$87,Formula!F22,52)&lt;&gt;"",INDEX(Properties!A$1:CB$87,Formula!F22,52)),IF(INDEX(Properties!A$1:CB$87,Formula!H22,52)&lt;&gt;"",INDEX(Properties!A$1:CB$87,Formula!H22,52)),IF(INDEX(Properties!A$1:CB$87,Formula!J22,52)&lt;&gt;"",INDEX(Properties!A$1:CB$87,Formula!J22,52)))</f>
        <v>112.63109584</v>
      </c>
      <c r="ES22" s="81">
        <f>MAX(INDEX(Properties!A$1:CB$87,Formula!B22,52),INDEX(Properties!A$1:CB$87,Formula!D22,52),INDEX(Properties!A$1:CB$87,Formula!F22,52),INDEX(Properties!A$1:CB$87,Formula!H22,52),INDEX(Properties!A$1:CB$87,Formula!J22,52))</f>
        <v>27.6</v>
      </c>
      <c r="ET22" s="81">
        <f>MIN(IF(INDEX(Properties!A$1:CB$87,Formula!B22,52)=0,10^6,INDEX(Properties!A$1:CB$87,Formula!B22,52)),IF(INDEX(Properties!A$1:CB$87,Formula!D22,52)=0,10^6,INDEX(Properties!A$1:CB$87,Formula!D22,52)),IF(INDEX(Properties!A$1:CB$87,Formula!F22,52)=0,10^6,INDEX(Properties!A$1:CB$87,Formula!F22,52)),IF(INDEX(Properties!A$1:CB$87,Formula!H22,52)=0,10^6,INDEX(Properties!A$1:CB$87,Formula!H22,52)),IF(INDEX(Properties!A$1:CB$87,Formula!J22,52)=0,10^6,INDEX(Properties!A$1:CB$87,Formula!J22,52)))</f>
        <v>0.79300000000000004</v>
      </c>
      <c r="EU22" s="81">
        <f t="shared" si="24"/>
        <v>26.807000000000002</v>
      </c>
      <c r="EV22" s="39">
        <f>((Formula!C22)/(Formula!C22+Formula!E22+Formula!G22+Formula!I22+Formula!K22))*(INDEX(Properties!A$1:CB$87,Formula!B22,53))+((Formula!E22)/(Formula!C22+Formula!E22+Formula!G22+Formula!I22+Formula!K22))*(INDEX(Properties!A$1:CB$87,Formula!D22,53))+((Formula!G22)/(Formula!C22+Formula!E22+Formula!G22+Formula!I22+Formula!K22))*(INDEX(Properties!A$1:CB$87,Formula!F22,53))+((Formula!I22)/(Formula!C22+Formula!E22+Formula!G22+Formula!I22+Formula!K22))*(INDEX(Properties!A$1:CB$87,Formula!H22,53))+((Formula!K22)/(Formula!C22+Formula!E22+Formula!G22+Formula!I22+Formula!K22))*(INDEX(Properties!A$1:CB$87,Formula!J22,53))</f>
        <v>569.49285714285702</v>
      </c>
      <c r="EW22" s="39">
        <f>Formula!C22*(INDEX(Properties!A$1:CB$87,Formula!B22,53))+Formula!E22*(INDEX(Properties!A$1:CB$87,Formula!D22,53))+Formula!G22*(INDEX(Properties!A$1:CB$87,Formula!F22,53))+Formula!I22*(INDEX(Properties!A$1:CB$87,Formula!H22,53))+Formula!K22*(INDEX(Properties!A$1:CB$87,Formula!J22,53))</f>
        <v>3986.4500000000003</v>
      </c>
      <c r="EX22" s="39">
        <f>VARP(IF(INDEX(Properties!A$1:CB$87,Formula!B22,53)&lt;&gt;"",INDEX(Properties!A$1:CB$87,Formula!B22,53)),IF(INDEX(Properties!A$1:CB$87,Formula!D22,53)&lt;&gt;"",INDEX(Properties!A$1:CB$87,Formula!D22,53)),IF(INDEX(Properties!A$1:CB$87,Formula!F22,53)&lt;&gt;"",INDEX(Properties!A$1:CB$87,Formula!F22,53)),IF(INDEX(Properties!A$1:CB$87,Formula!H22,53)&lt;&gt;"",INDEX(Properties!A$1:CB$87,Formula!H22,53)),IF(INDEX(Properties!A$1:CB$87,Formula!J22,53)&lt;&gt;"",INDEX(Properties!A$1:CB$87,Formula!J22,53)))</f>
        <v>475266.50140000018</v>
      </c>
      <c r="EY22" s="39">
        <f>MAX(INDEX(Properties!A$1:CB$87,Formula!B22,53),INDEX(Properties!A$1:CB$87,Formula!D22,53),INDEX(Properties!A$1:CB$87,Formula!F22,53),INDEX(Properties!A$1:CB$87,Formula!H22,53),INDEX(Properties!A$1:CB$87,Formula!J22,53))</f>
        <v>1683.15</v>
      </c>
      <c r="EZ22" s="39">
        <f>MIN(IF(INDEX(Properties!A$1:CB$87,Formula!B22,53)=0,10^6,INDEX(Properties!A$1:CB$87,Formula!B22,53)),IF(INDEX(Properties!A$1:CB$87,Formula!D22,53)=0,10^6,INDEX(Properties!A$1:CB$87,Formula!D22,53)),IF(INDEX(Properties!A$1:CB$87,Formula!F22,53)=0,10^6,INDEX(Properties!A$1:CB$87,Formula!F22,53)),IF(INDEX(Properties!A$1:CB$87,Formula!H22,53)=0,10^6,INDEX(Properties!A$1:CB$87,Formula!H22,53)),IF(INDEX(Properties!A$1:CB$87,Formula!J22,53)=0,10^6,INDEX(Properties!A$1:CB$87,Formula!J22,53)))</f>
        <v>54.749999999999972</v>
      </c>
      <c r="FA22" s="39">
        <f t="shared" si="25"/>
        <v>1628.4</v>
      </c>
      <c r="FB22" s="54">
        <f>((Formula!C22)/(Formula!C22+Formula!E22+Formula!G22+Formula!I22+Formula!K22))*(INDEX(Properties!A$1:CB$87,Formula!B22,54))+((Formula!E22)/(Formula!C22+Formula!E22+Formula!G22+Formula!I22+Formula!K22))*(INDEX(Properties!A$1:CB$87,Formula!D22,54))+((Formula!G22)/(Formula!C22+Formula!E22+Formula!G22+Formula!I22+Formula!K22))*(INDEX(Properties!A$1:CB$87,Formula!F22,54))+((Formula!I22)/(Formula!C22+Formula!E22+Formula!G22+Formula!I22+Formula!K22))*(INDEX(Properties!A$1:CB$87,Formula!H22,54))+((Formula!K22)/(Formula!C22+Formula!E22+Formula!G22+Formula!I22+Formula!K22))*(INDEX(Properties!A$1:CB$87,Formula!J22,54))</f>
        <v>900.43571428571431</v>
      </c>
      <c r="FC22" s="54">
        <f>Formula!C22*(INDEX(Properties!A$1:CB$87,Formula!B22,54))+Formula!E22*(INDEX(Properties!A$1:CB$87,Formula!D22,54))+Formula!G22*(INDEX(Properties!A$1:CB$87,Formula!F22,54))+Formula!I22*(INDEX(Properties!A$1:CB$87,Formula!H22,54))+Formula!K22*(INDEX(Properties!A$1:CB$87,Formula!J22,54))</f>
        <v>6303.0500000000011</v>
      </c>
      <c r="FD22" s="54">
        <f>VARP(IF(INDEX(Properties!A$1:CB$87,Formula!B22,54)&lt;&gt;"",INDEX(Properties!A$1:CB$87,Formula!B22,54)),IF(INDEX(Properties!A$1:CB$87,Formula!D22,54)&lt;&gt;"",INDEX(Properties!A$1:CB$87,Formula!D22,54)),IF(INDEX(Properties!A$1:CB$87,Formula!F22,54)&lt;&gt;"",INDEX(Properties!A$1:CB$87,Formula!F22,54)),IF(INDEX(Properties!A$1:CB$87,Formula!H22,54)&lt;&gt;"",INDEX(Properties!A$1:CB$87,Formula!H22,54)),IF(INDEX(Properties!A$1:CB$87,Formula!J22,54)&lt;&gt;"",INDEX(Properties!A$1:CB$87,Formula!J22,54)))</f>
        <v>1166506.6054000007</v>
      </c>
      <c r="FE22" s="54">
        <f>MAX(INDEX(Properties!A$1:CB$87,Formula!B22,54),INDEX(Properties!A$1:CB$87,Formula!D22,54),INDEX(Properties!A$1:CB$87,Formula!F22,54),INDEX(Properties!A$1:CB$87,Formula!H22,54),INDEX(Properties!A$1:CB$87,Formula!J22,54))</f>
        <v>2628.15</v>
      </c>
      <c r="FF22" s="54">
        <f>MIN(IF(INDEX(Properties!A$1:CB$87,Formula!B22,54)=0,10^6,INDEX(Properties!A$1:CB$87,Formula!B22,54)),IF(INDEX(Properties!A$1:CB$87,Formula!D22,54)=0,10^6,INDEX(Properties!A$1:CB$87,Formula!D22,54)),IF(INDEX(Properties!A$1:CB$87,Formula!F22,54)=0,10^6,INDEX(Properties!A$1:CB$87,Formula!F22,54)),IF(INDEX(Properties!A$1:CB$87,Formula!H22,54)=0,10^6,INDEX(Properties!A$1:CB$87,Formula!H22,54)),IF(INDEX(Properties!A$1:CB$87,Formula!J22,54)=0,10^6,INDEX(Properties!A$1:CB$87,Formula!J22,54)))</f>
        <v>90.149999999999977</v>
      </c>
      <c r="FG22" s="54">
        <f t="shared" si="26"/>
        <v>2538</v>
      </c>
      <c r="FH22" s="69">
        <f>((Formula!C22)/(Formula!C22+Formula!E22+Formula!G22+Formula!I22+Formula!K22))*(INDEX(Properties!A$1:CB$87,Formula!B22,55))+((Formula!E22)/(Formula!C22+Formula!E22+Formula!G22+Formula!I22+Formula!K22))*(INDEX(Properties!A$1:CB$87,Formula!D22,55))+((Formula!G22)/(Formula!C22+Formula!E22+Formula!G22+Formula!I22+Formula!K22))*(INDEX(Properties!A$1:CB$87,Formula!F22,55))+((Formula!I22)/(Formula!C22+Formula!E22+Formula!G22+Formula!I22+Formula!K22))*(INDEX(Properties!A$1:CB$87,Formula!H22,55))+((Formula!K22)/(Formula!C22+Formula!E22+Formula!G22+Formula!I22+Formula!K22))*(INDEX(Properties!A$1:CB$87,Formula!J22,55))</f>
        <v>1.0851028571428569</v>
      </c>
      <c r="FI22" s="69">
        <f>Formula!C22*(INDEX(Properties!A$1:CB$87,Formula!B22,55))+Formula!E22*(INDEX(Properties!A$1:CB$87,Formula!D22,54))+Formula!G22*(INDEX(Properties!A$1:CB$87,Formula!F22,55))+Formula!I22*(INDEX(Properties!A$1:CB$87,Formula!H22,55))+Formula!K22*(INDEX(Properties!A$1:CB$87,Formula!J22,55))</f>
        <v>2633.4157200000004</v>
      </c>
      <c r="FJ22" s="69">
        <f>VARP(IF(INDEX(Properties!A$1:CB$87,Formula!B22,55)&lt;&gt;"",INDEX(Properties!A$1:CB$87,Formula!B22,55)),IF(INDEX(Properties!A$1:CB$87,Formula!D22,55)&lt;&gt;"",INDEX(Properties!A$1:CB$87,Formula!D22,55)),IF(INDEX(Properties!A$1:CB$87,Formula!F22,55)&lt;&gt;"",INDEX(Properties!A$1:CB$87,Formula!F22,55)),IF(INDEX(Properties!A$1:CB$87,Formula!H22,55)&lt;&gt;"",INDEX(Properties!A$1:CB$87,Formula!H22,55)),IF(INDEX(Properties!A$1:CB$87,Formula!J22,55)&lt;&gt;"",INDEX(Properties!A$1:CB$87,Formula!J22,55)))</f>
        <v>1.4845289031840003</v>
      </c>
      <c r="FK22" s="69">
        <f>MAX(INDEX(Properties!A$1:CB$87,Formula!B22,55),INDEX(Properties!A$1:CB$87,Formula!D22,55),INDEX(Properties!A$1:CB$87,Formula!F22,55),INDEX(Properties!A$1:CB$87,Formula!H22,55),INDEX(Properties!A$1:CB$87,Formula!J22,55))</f>
        <v>2.63</v>
      </c>
      <c r="FL22" s="69">
        <f>MIN(IF(INDEX(Properties!A$1:CB$87,Formula!B22,55)=0,10^6,INDEX(Properties!A$1:CB$87,Formula!B22,55)),IF(INDEX(Properties!A$1:CB$87,Formula!D22,55)=0,10^6,INDEX(Properties!A$1:CB$87,Formula!D22,55)),IF(INDEX(Properties!A$1:CB$87,Formula!F22,55)=0,10^6,INDEX(Properties!A$1:CB$87,Formula!F22,55)),IF(INDEX(Properties!A$1:CB$87,Formula!H22,55)=0,10^6,INDEX(Properties!A$1:CB$87,Formula!H22,55)),IF(INDEX(Properties!A$1:CB$87,Formula!J22,55)=0,10^6,INDEX(Properties!A$1:CB$87,Formula!J22,55)))</f>
        <v>1.4300000000000001E-3</v>
      </c>
      <c r="FM22" s="69">
        <f t="shared" si="27"/>
        <v>2.6285699999999999</v>
      </c>
      <c r="FN22" s="42">
        <f>((Formula!C22)/(Formula!C22+Formula!E22+Formula!G22+Formula!I22+Formula!K22))*(INDEX(Properties!A$1:CB$87,Formula!B22,56))+((Formula!E22)/(Formula!C22+Formula!E22+Formula!G22+Formula!I22+Formula!K22))*(INDEX(Properties!A$1:CB$87,Formula!D22,56))+((Formula!G22)/(Formula!C22+Formula!E22+Formula!G22+Formula!I22+Formula!K22))*(INDEX(Properties!A$1:CB$87,Formula!F22,56))+((Formula!I22)/(Formula!C22+Formula!E22+Formula!G22+Formula!I22+Formula!K22))*(INDEX(Properties!A$1:CB$87,Formula!H22,56))+((Formula!K22)/(Formula!C22+Formula!E22+Formula!G22+Formula!I22+Formula!K22))*(INDEX(Properties!A$1:CB$87,Formula!J22,56))</f>
        <v>0.71285714285714286</v>
      </c>
      <c r="FO22" s="42">
        <f>Formula!C22*(INDEX(Properties!A$1:CB$87,Formula!B22,56))+Formula!E22*(INDEX(Properties!A$1:CB$87,Formula!D22,56))+Formula!G22*(INDEX(Properties!A$1:CB$87,Formula!F22,56))+Formula!I22*(INDEX(Properties!A$1:CB$87,Formula!H22,56))+Formula!K22*(INDEX(Properties!A$1:CB$87,Formula!J22,56))</f>
        <v>4.99</v>
      </c>
      <c r="FP22" s="42">
        <f>VARP(IF(INDEX(Properties!A$1:CB$87,Formula!B22,56)&lt;&gt;"",INDEX(Properties!A$1:CB$87,Formula!B22,56)),IF(INDEX(Properties!A$1:CB$87,Formula!D22,56)&lt;&gt;"",INDEX(Properties!A$1:CB$87,Formula!D22,56)),IF(INDEX(Properties!A$1:CB$87,Formula!F22,56)&lt;&gt;"",INDEX(Properties!A$1:CB$87,Formula!F22,56)),IF(INDEX(Properties!A$1:CB$87,Formula!H22,56)&lt;&gt;"",INDEX(Properties!A$1:CB$87,Formula!H22,56)),IF(INDEX(Properties!A$1:CB$87,Formula!J22,56)&lt;&gt;"",INDEX(Properties!A$1:CB$87,Formula!J22,56)))</f>
        <v>0.13910400000000001</v>
      </c>
      <c r="FQ22" s="42">
        <f>MAX(INDEX(Properties!A$1:CB$87,Formula!B22,56),INDEX(Properties!A$1:CB$87,Formula!D22,56),INDEX(Properties!A$1:CB$87,Formula!F22,56),INDEX(Properties!A$1:CB$87,Formula!H22,56),INDEX(Properties!A$1:CB$87,Formula!J22,56))</f>
        <v>0.92</v>
      </c>
      <c r="FR22" s="42">
        <f>MIN(IF(INDEX(Properties!A$1:CB$87,Formula!B22,56)=0,10^6,INDEX(Properties!A$1:CB$87,Formula!B22,56)),IF(INDEX(Properties!A$1:CB$87,Formula!D22,56)=0,10^6,INDEX(Properties!A$1:CB$87,Formula!D22,56)),IF(INDEX(Properties!A$1:CB$87,Formula!F22,56)=0,10^6,INDEX(Properties!A$1:CB$87,Formula!F22,56)),IF(INDEX(Properties!A$1:CB$87,Formula!H22,56)=0,10^6,INDEX(Properties!A$1:CB$87,Formula!H22,56)),IF(INDEX(Properties!A$1:CB$87,Formula!J22,56)=0,10^6,INDEX(Properties!A$1:CB$87,Formula!J22,56)))</f>
        <v>0.3</v>
      </c>
      <c r="FS22" s="42">
        <f t="shared" si="28"/>
        <v>0.62000000000000011</v>
      </c>
      <c r="FT22" s="60">
        <f>((Formula!C22)/(Formula!C22+Formula!E22+Formula!G22+Formula!I22+Formula!K22))*(INDEX(Properties!A$1:CB$87,Formula!B22,57))+((Formula!E22)/(Formula!C22+Formula!E22+Formula!G22+Formula!I22+Formula!K22))*(INDEX(Properties!A$1:CB$87,Formula!D22,57))+((Formula!G22)/(Formula!C22+Formula!E22+Formula!G22+Formula!I22+Formula!K22))*(INDEX(Properties!A$1:CB$87,Formula!F22,57))+((Formula!I22)/(Formula!C22+Formula!E22+Formula!G22+Formula!I22+Formula!K22))*(INDEX(Properties!A$1:CB$87,Formula!H22,57))+((Formula!K22)/(Formula!C22+Formula!E22+Formula!G22+Formula!I22+Formula!K22))*(INDEX(Properties!A$1:CB$87,Formula!J22,57))</f>
        <v>9.720051428571427</v>
      </c>
      <c r="FU22" s="60">
        <f>Formula!C22*(INDEX(Properties!A$1:CB$87,Formula!B22,57))+Formula!E22*(INDEX(Properties!A$1:CB$87,Formula!D22,57))+Formula!G22*(INDEX(Properties!A$1:CB$87,Formula!F22,57))+Formula!I22*(INDEX(Properties!A$1:CB$87,Formula!H22,57))+Formula!K22*(INDEX(Properties!A$1:CB$87,Formula!J22,57))</f>
        <v>68.040360000000007</v>
      </c>
      <c r="FV22" s="60">
        <f>VARP(IF(INDEX(Properties!A$1:CB$87,Formula!B22,57)&lt;&gt;"",INDEX(Properties!A$1:CB$87,Formula!B22,57)),IF(INDEX(Properties!A$1:CB$87,Formula!D22,57)&lt;&gt;"",INDEX(Properties!A$1:CB$87,Formula!D22,57)),IF(INDEX(Properties!A$1:CB$87,Formula!F22,57)&lt;&gt;"",INDEX(Properties!A$1:CB$87,Formula!F22,57)),IF(INDEX(Properties!A$1:CB$87,Formula!H22,57)&lt;&gt;"",INDEX(Properties!A$1:CB$87,Formula!H22,57)),IF(INDEX(Properties!A$1:CB$87,Formula!J22,57)&lt;&gt;"",INDEX(Properties!A$1:CB$87,Formula!J22,57)))</f>
        <v>385.26557368929599</v>
      </c>
      <c r="FW22" s="60">
        <f>MAX(INDEX(Properties!A$1:CB$87,Formula!B22,57),INDEX(Properties!A$1:CB$87,Formula!D22,57),INDEX(Properties!A$1:CB$87,Formula!F22,57),INDEX(Properties!A$1:CB$87,Formula!H22,57),INDEX(Properties!A$1:CB$87,Formula!J22,57))</f>
        <v>50.55</v>
      </c>
      <c r="FX22" s="60">
        <f>MIN(IF(INDEX(Properties!A$1:CB$87,Formula!B22,57)=0,10^6,INDEX(Properties!A$1:CB$87,Formula!B22,57)),IF(INDEX(Properties!A$1:CB$87,Formula!D22,57)=0,10^6,INDEX(Properties!A$1:CB$87,Formula!D22,57)),IF(INDEX(Properties!A$1:CB$87,Formula!F22,57)=0,10^6,INDEX(Properties!A$1:CB$87,Formula!F22,57)),IF(INDEX(Properties!A$1:CB$87,Formula!H22,57)=0,10^6,INDEX(Properties!A$1:CB$87,Formula!H22,57)),IF(INDEX(Properties!A$1:CB$87,Formula!J22,57)=0,10^6,INDEX(Properties!A$1:CB$87,Formula!J22,57)))</f>
        <v>0.22259000000000001</v>
      </c>
      <c r="FY22" s="60">
        <f t="shared" si="29"/>
        <v>50.32741</v>
      </c>
      <c r="FZ22" s="72">
        <f>((Formula!C22)/(Formula!C22+Formula!E22+Formula!G22+Formula!I22+Formula!K22))*(INDEX(Properties!A$1:CB$87,Formula!B22,60))+((Formula!E22)/(Formula!C22+Formula!E22+Formula!G22+Formula!I22+Formula!K22))*(INDEX(Properties!A$1:CB$87,Formula!D22,60))+((Formula!G22)/(Formula!C22+Formula!E22+Formula!G22+Formula!I22+Formula!K22))*(INDEX(Properties!A$1:CB$87,Formula!F22,60))+((Formula!I22)/(Formula!C22+Formula!E22+Formula!G22+Formula!I22+Formula!K22))*(INDEX(Properties!A$1:CB$87,Formula!H22,60))+((Formula!K22)/(Formula!C22+Formula!E22+Formula!G22+Formula!I22+Formula!K22))*(INDEX(Properties!A$1:CB$87,Formula!J22,60))</f>
        <v>31.243851428571428</v>
      </c>
      <c r="GA22" s="72">
        <f>Formula!C22*(INDEX(Properties!A$1:CB$87,Formula!B22,60))+Formula!E22*(INDEX(Properties!A$1:CB$87,Formula!D22,60))+Formula!G22*(INDEX(Properties!A$1:CB$87,Formula!F22,60))+Formula!I22*(INDEX(Properties!A$1:CB$87,Formula!H22,60))+Formula!K22*(INDEX(Properties!A$1:CB$87,Formula!J22,60))</f>
        <v>218.70695999999998</v>
      </c>
      <c r="GB22" s="72">
        <f>VARP(IF(INDEX(Properties!A$1:CB$87,Formula!B22,60)&lt;&gt;"",INDEX(Properties!A$1:CB$87,Formula!B22,60)),IF(INDEX(Properties!A$1:CB$87,Formula!D22,60)&lt;&gt;"",INDEX(Properties!A$1:CB$87,Formula!D22,60)),IF(INDEX(Properties!A$1:CB$87,Formula!F22,60)&lt;&gt;"",INDEX(Properties!A$1:CB$87,Formula!F22,60)),IF(INDEX(Properties!A$1:CB$87,Formula!H22,60)&lt;&gt;"",INDEX(Properties!A$1:CB$87,Formula!H22,60)),IF(INDEX(Properties!A$1:CB$87,Formula!J22,60)&lt;&gt;"",INDEX(Properties!A$1:CB$87,Formula!J22,60)))</f>
        <v>3285.6703990444157</v>
      </c>
      <c r="GC22" s="72">
        <f>MAX(INDEX(Properties!A$1:CB$87,Formula!B22,60),INDEX(Properties!A$1:CB$87,Formula!D22,60),INDEX(Properties!A$1:CB$87,Formula!F22,60),INDEX(Properties!A$1:CB$87,Formula!H22,60),INDEX(Properties!A$1:CB$87,Formula!J22,60))</f>
        <v>148</v>
      </c>
      <c r="GD22" s="72">
        <f>MIN(IF(INDEX(Properties!A$1:CB$87,Formula!B22,60)=0,10^6,INDEX(Properties!A$1:CB$87,Formula!B22,60)),IF(INDEX(Properties!A$1:CB$87,Formula!D22,60)=0,10^6,INDEX(Properties!A$1:CB$87,Formula!D22,60)),IF(INDEX(Properties!A$1:CB$87,Formula!F22,60)=0,10^6,INDEX(Properties!A$1:CB$87,Formula!F22,60)),IF(INDEX(Properties!A$1:CB$87,Formula!H22,60)=0,10^6,INDEX(Properties!A$1:CB$87,Formula!H22,60)),IF(INDEX(Properties!A$1:CB$87,Formula!J22,60)=0,10^6,INDEX(Properties!A$1:CB$87,Formula!J22,60)))</f>
        <v>2.674E-2</v>
      </c>
      <c r="GE22" s="72">
        <f t="shared" si="30"/>
        <v>147.97326000000001</v>
      </c>
      <c r="GF22" s="51">
        <f>((Formula!C22)/(Formula!C22+Formula!E22+Formula!G22+Formula!I22+Formula!K22))*(INDEX(Properties!A$1:CB$87,Formula!B22,62))+((Formula!E22)/(Formula!C22+Formula!E22+Formula!G22+Formula!I22+Formula!K22))*(INDEX(Properties!A$1:CB$87,Formula!D22,62))+((Formula!G22)/(Formula!C22+Formula!E22+Formula!G22+Formula!I22+Formula!K22))*(INDEX(Properties!A$1:CB$87,Formula!F22,62))+((Formula!I22)/(Formula!C22+Formula!E22+Formula!G22+Formula!I22+Formula!K22))*(INDEX(Properties!A$1:CB$87,Formula!H22,62))+((Formula!K22)/(Formula!C22+Formula!E22+Formula!G22+Formula!I22+Formula!K22))*(INDEX(Properties!A$1:CB$87,Formula!J22,62))</f>
        <v>2.65</v>
      </c>
      <c r="GG22" s="51">
        <f>Formula!C22*(INDEX(Properties!A$1:CB$87,Formula!B22,62))+Formula!E22*(INDEX(Properties!A$1:CB$87,Formula!D22,62))+Formula!G22*(INDEX(Properties!A$1:CB$87,Formula!F22,62))+Formula!I22*(INDEX(Properties!A$1:CB$87,Formula!H22,62))+Formula!K22*(INDEX(Properties!A$1:CB$87,Formula!J22,62))</f>
        <v>18.55</v>
      </c>
      <c r="GH22" s="51">
        <f>VARP(IF(INDEX(Properties!A$1:CB$87,Formula!B22,62)&lt;&gt;"",INDEX(Properties!A$1:CB$87,Formula!B22,62)),IF(INDEX(Properties!A$1:CB$87,Formula!D22,62)&lt;&gt;"",INDEX(Properties!A$1:CB$87,Formula!D22,62)),IF(INDEX(Properties!A$1:CB$87,Formula!F22,62)&lt;&gt;"",INDEX(Properties!A$1:CB$87,Formula!F22,62)),IF(INDEX(Properties!A$1:CB$87,Formula!H22,62)&lt;&gt;"",INDEX(Properties!A$1:CB$87,Formula!H22,62)),IF(INDEX(Properties!A$1:CB$87,Formula!J22,62)&lt;&gt;"",INDEX(Properties!A$1:CB$87,Formula!J22,62)))</f>
        <v>3.0335040000000002</v>
      </c>
      <c r="GI22" s="51">
        <f>MAX(INDEX(Properties!A$1:CB$87,Formula!B22,62),INDEX(Properties!A$1:CB$87,Formula!D22,62),INDEX(Properties!A$1:CB$87,Formula!F22,62),INDEX(Properties!A$1:CB$87,Formula!H22,62),INDEX(Properties!A$1:CB$87,Formula!J22,62))</f>
        <v>4.63</v>
      </c>
      <c r="GJ22" s="51">
        <f>MIN(IF(INDEX(Properties!A$1:CB$87,Formula!B22,62)=0,10^6,INDEX(Properties!A$1:CB$87,Formula!B22,62)),IF(INDEX(Properties!A$1:CB$87,Formula!D22,62)=0,10^6,INDEX(Properties!A$1:CB$87,Formula!D22,62)),IF(INDEX(Properties!A$1:CB$87,Formula!F22,62)=0,10^6,INDEX(Properties!A$1:CB$87,Formula!F22,62)),IF(INDEX(Properties!A$1:CB$87,Formula!H22,62)=0,10^6,INDEX(Properties!A$1:CB$87,Formula!H22,62)),IF(INDEX(Properties!A$1:CB$87,Formula!J22,62)=0,10^6,INDEX(Properties!A$1:CB$87,Formula!J22,62)))</f>
        <v>1.72</v>
      </c>
      <c r="GK22" s="51">
        <f t="shared" si="31"/>
        <v>2.91</v>
      </c>
      <c r="GL22" s="51">
        <f>Formula!P22</f>
        <v>62</v>
      </c>
      <c r="GM22" s="57">
        <f>Formula!O22</f>
        <v>3</v>
      </c>
      <c r="GN22" s="51">
        <f>Formula!N22</f>
        <v>0.1</v>
      </c>
    </row>
    <row r="23" spans="1:196" x14ac:dyDescent="0.3">
      <c r="A23" s="84" t="str">
        <f>Formula!A23</f>
        <v>Cd2V2O7</v>
      </c>
      <c r="B23" s="89">
        <f>((Formula!C23)/(Formula!C23+Formula!E23+Formula!G23+Formula!I23+Formula!K23))*(INDEX(Properties!A$1:CB$87,Formula!B23,3))+((Formula!E23)/(Formula!C23+Formula!E23+Formula!G23+Formula!I23+Formula!K23))*(INDEX(Properties!A$1:CB$87,Formula!D23,3))+((Formula!G23)/(Formula!C23+Formula!E23+Formula!G23+Formula!I23+Formula!K23))*(INDEX(Properties!A$1:CB$87,Formula!F23,3))+((Formula!I23)/(Formula!C23+Formula!E23+Formula!G23+Formula!I23+Formula!K23))*(INDEX(Properties!A$1:CB$87,Formula!H23,3))+((Formula!K23)/(Formula!C23+Formula!E23+Formula!G23+Formula!I23+Formula!K23))*(INDEX(Properties!A$1:CB$87,Formula!J23,3))</f>
        <v>39.881890909090913</v>
      </c>
      <c r="C23" s="85">
        <f>Formula!C23*(INDEX(Properties!A$1:CB$87,Formula!B23,3))+Formula!E23*(INDEX(Properties!A$1:CB$87,Formula!D23,3))+Formula!G23*(INDEX(Properties!A$1:CB$87,Formula!F23,3))+Formula!I23*(INDEX(Properties!A$1:CB$87,Formula!H23,3))+Formula!K23*(INDEX(Properties!A$1:CB$87,Formula!J23,3))</f>
        <v>438.70079999999996</v>
      </c>
      <c r="D23" s="85">
        <f>VARP(IF(INDEX(Properties!A$1:CB$87,Formula!B23,3)&lt;&gt;"",INDEX(Properties!A$1:CB$87,Formula!B23,3)),IF(INDEX(Properties!A$1:CB$87,Formula!D23,3)&lt;&gt;"",INDEX(Properties!A$1:CB$87,Formula!D23,3)),IF(INDEX(Properties!A$1:CB$87,Formula!F23,3)&lt;&gt;"",INDEX(Properties!A$1:CB$87,Formula!F23,3)),IF(INDEX(Properties!A$1:CB$87,Formula!H23,3)&lt;&gt;"",INDEX(Properties!A$1:CB$87,Formula!H23,3)),IF(INDEX(Properties!A$1:CB$87,Formula!J23,3)&lt;&gt;"",INDEX(Properties!A$1:CB$87,Formula!J23,3)))</f>
        <v>1810.7658673776</v>
      </c>
      <c r="E23" s="85">
        <f>MAX(INDEX(Properties!A$1:CB$87,Formula!B23,3),INDEX(Properties!A$1:CB$87,Formula!D23,3),INDEX(Properties!A$1:CB$87,Formula!F23,3),INDEX(Properties!A$1:CB$87,Formula!H23,3),INDEX(Properties!A$1:CB$87,Formula!J23,3))</f>
        <v>112.411</v>
      </c>
      <c r="F23" s="85">
        <f>MIN(IF(INDEX(Properties!A$1:CB$87,Formula!B23,3)=0,10^6,INDEX(Properties!A$1:CB$87,Formula!B23,3)),IF(INDEX(Properties!A$1:CB$87,Formula!D23,3)=0,10^6,INDEX(Properties!A$1:CB$87,Formula!D23,3)),IF(INDEX(Properties!A$1:CB$87,Formula!F23,3)=0,10^6,INDEX(Properties!A$1:CB$87,Formula!F23,3)),IF(INDEX(Properties!A$1:CB$87,Formula!H23,3)=0,10^6,INDEX(Properties!A$1:CB$87,Formula!H23,3)),IF(INDEX(Properties!A$1:CB$87,Formula!J23,3)=0,10^6,INDEX(Properties!A$1:CB$87,Formula!J23,3)))</f>
        <v>15.9994</v>
      </c>
      <c r="G23" s="85">
        <f t="shared" si="0"/>
        <v>96.411600000000007</v>
      </c>
      <c r="H23" s="87">
        <f>((Formula!C23)/(Formula!C23+Formula!E23+Formula!G23+Formula!I23+Formula!K23))*(INDEX(Properties!A$1:CB$87,Formula!B23,4))+((Formula!E23)/(Formula!C23+Formula!E23+Formula!G23+Formula!I23+Formula!K23))*(INDEX(Properties!A$1:CB$87,Formula!D23,4))+((Formula!G23)/(Formula!C23+Formula!E23+Formula!G23+Formula!I23+Formula!K23))*(INDEX(Properties!A$1:CB$87,Formula!F23,4))+((Formula!I23)/(Formula!C23+Formula!E23+Formula!G23+Formula!I23+Formula!K23))*(INDEX(Properties!A$1:CB$87,Formula!H23,4))+((Formula!K23)/(Formula!C23+Formula!E23+Formula!G23+Formula!I23+Formula!K23))*(INDEX(Properties!A$1:CB$87,Formula!J23,4))</f>
        <v>18</v>
      </c>
      <c r="I23" s="87">
        <f>Formula!C23*(INDEX(Properties!A$1:CB$87,Formula!B23,4))+Formula!E23*(INDEX(Properties!A$1:CB$87,Formula!D23,4))+Formula!G23*(INDEX(Properties!A$1:CB$87,Formula!F23,4))+Formula!I23*(INDEX(Properties!A$1:CB$87,Formula!H23,4))+Formula!K23*(INDEX(Properties!A$1:CB$87,Formula!J23,4))</f>
        <v>198</v>
      </c>
      <c r="J23" s="87">
        <f>VARP(IF(INDEX(Properties!A$1:CB$87,Formula!B23,4)&lt;&gt;"",INDEX(Properties!A$1:CB$87,Formula!B23,4)),IF(INDEX(Properties!A$1:CB$87,Formula!D23,4)&lt;&gt;"",INDEX(Properties!A$1:CB$87,Formula!D23,4)),IF(INDEX(Properties!A$1:CB$87,Formula!F23,4)&lt;&gt;"",INDEX(Properties!A$1:CB$87,Formula!F23,4)),IF(INDEX(Properties!A$1:CB$87,Formula!H23,4)&lt;&gt;"",INDEX(Properties!A$1:CB$87,Formula!H23,4)),IF(INDEX(Properties!A$1:CB$87,Formula!J23,4)&lt;&gt;"",INDEX(Properties!A$1:CB$87,Formula!J23,4)))</f>
        <v>329.76</v>
      </c>
      <c r="K23" s="87">
        <f>MAX(INDEX(Properties!A$1:CB$87,Formula!B23,4),INDEX(Properties!A$1:CB$87,Formula!D23,4),INDEX(Properties!A$1:CB$87,Formula!F23,4),INDEX(Properties!A$1:CB$87,Formula!H23,4),INDEX(Properties!A$1:CB$87,Formula!J23,4))</f>
        <v>48</v>
      </c>
      <c r="L23" s="87">
        <f>MIN(IF(INDEX(Properties!A$1:CB$87,Formula!B23,4)=0,10^6,INDEX(Properties!A$1:CB$87,Formula!B23,4)),IF(INDEX(Properties!A$1:CB$87,Formula!D23,4)=0,10^6,INDEX(Properties!A$1:CB$87,Formula!D23,4)),IF(INDEX(Properties!A$1:CB$87,Formula!F23,4)=0,10^6,INDEX(Properties!A$1:CB$87,Formula!F23,4)),IF(INDEX(Properties!A$1:CB$87,Formula!H23,4)=0,10^6,INDEX(Properties!A$1:CB$87,Formula!H23,4)),IF(INDEX(Properties!A$1:CB$87,Formula!J23,4)=0,10^6,INDEX(Properties!A$1:CB$87,Formula!J23,4)))</f>
        <v>8</v>
      </c>
      <c r="M23" s="87">
        <f t="shared" si="1"/>
        <v>40</v>
      </c>
      <c r="N23" s="89">
        <f>((Formula!C23)/(Formula!C23+Formula!E23+Formula!G23+Formula!I23+Formula!K23))*(INDEX(Properties!A$1:CB$87,Formula!B23,5))+((Formula!E23)/(Formula!C23+Formula!E23+Formula!G23+Formula!I23+Formula!K23))*(INDEX(Properties!A$1:CB$87,Formula!D23,5))+((Formula!G23)/(Formula!C23+Formula!E23+Formula!G23+Formula!I23+Formula!K23))*(INDEX(Properties!A$1:CB$87,Formula!F23,5))+((Formula!I23)/(Formula!C23+Formula!E23+Formula!G23+Formula!I23+Formula!K23))*(INDEX(Properties!A$1:CB$87,Formula!H23,5))+((Formula!K23)/(Formula!C23+Formula!E23+Formula!G23+Formula!I23+Formula!K23))*(INDEX(Properties!A$1:CB$87,Formula!J23,5))</f>
        <v>2.9090909090909092</v>
      </c>
      <c r="O23" s="89">
        <f>Formula!C23*(INDEX(Properties!A$1:CB$87,Formula!B23,5))+Formula!E23*(INDEX(Properties!A$1:CB$87,Formula!D23,5))+Formula!G23*(INDEX(Properties!A$1:CB$87,Formula!F23,5))+Formula!I23*(INDEX(Properties!A$1:CB$87,Formula!H23,5))+Formula!K23*(INDEX(Properties!A$1:CB$87,Formula!J23,5))</f>
        <v>32</v>
      </c>
      <c r="P23" s="89">
        <f>VARP(IF(INDEX(Properties!A$1:CB$87,Formula!B23,5)&lt;&gt;"",INDEX(Properties!A$1:CB$87,Formula!B23,5)),IF(INDEX(Properties!A$1:CB$87,Formula!D23,5)&lt;&gt;"",INDEX(Properties!A$1:CB$87,Formula!D23,5)),IF(INDEX(Properties!A$1:CB$87,Formula!F23,5)&lt;&gt;"",INDEX(Properties!A$1:CB$87,Formula!F23,5)),IF(INDEX(Properties!A$1:CB$87,Formula!H23,5)&lt;&gt;"",INDEX(Properties!A$1:CB$87,Formula!H23,5)),IF(INDEX(Properties!A$1:CB$87,Formula!J23,5)&lt;&gt;"",INDEX(Properties!A$1:CB$87,Formula!J23,5)))</f>
        <v>4.16</v>
      </c>
      <c r="Q23" s="89">
        <f>MAX(INDEX(Properties!A$1:CB$87,Formula!B23,5),INDEX(Properties!A$1:CB$87,Formula!D23,5),INDEX(Properties!A$1:CB$87,Formula!F23,5),INDEX(Properties!A$1:CB$87,Formula!H23,5),INDEX(Properties!A$1:CB$87,Formula!J23,5))</f>
        <v>5</v>
      </c>
      <c r="R23" s="89">
        <f>MIN(IF(INDEX(Properties!A$1:CB$87,Formula!B23,5)=0,10^6,INDEX(Properties!A$1:CB$87,Formula!B23,5)),IF(INDEX(Properties!A$1:CB$87,Formula!D23,5)=0,10^6,INDEX(Properties!A$1:CB$87,Formula!D23,5)),IF(INDEX(Properties!A$1:CB$87,Formula!F23,5)=0,10^6,INDEX(Properties!A$1:CB$87,Formula!F23,5)),IF(INDEX(Properties!A$1:CB$87,Formula!H23,5)=0,10^6,INDEX(Properties!A$1:CB$87,Formula!H23,5)),IF(INDEX(Properties!A$1:CB$87,Formula!J23,5)=0,10^6,INDEX(Properties!A$1:CB$87,Formula!J23,5)))</f>
        <v>2</v>
      </c>
      <c r="S23" s="89">
        <f t="shared" si="2"/>
        <v>3</v>
      </c>
      <c r="T23" s="60">
        <f>((Formula!C23)/(Formula!C23+Formula!E23+Formula!G23+Formula!I23+Formula!K23))*(INDEX(Properties!A$1:CB$87,Formula!B23,6))+((Formula!E23)/(Formula!C23+Formula!E23+Formula!G23+Formula!I23+Formula!K23))*(INDEX(Properties!A$1:CB$87,Formula!D23,6))+((Formula!G23)/(Formula!C23+Formula!E23+Formula!G23+Formula!I23+Formula!K23))*(INDEX(Properties!A$1:CB$87,Formula!F23,6))+((Formula!I23)/(Formula!C23+Formula!E23+Formula!G23+Formula!I23+Formula!K23))*(INDEX(Properties!A$1:CB$87,Formula!H23,6))+((Formula!K23)/(Formula!C23+Formula!E23+Formula!G23+Formula!I23+Formula!K23))*(INDEX(Properties!A$1:CB$87,Formula!J23,6))</f>
        <v>13.272727272727273</v>
      </c>
      <c r="U23" s="60">
        <f>Formula!C23*(INDEX(Properties!A$1:CB$87,Formula!B23,6))+Formula!E23*(INDEX(Properties!A$1:CB$87,Formula!D23,6))+Formula!G23*(INDEX(Properties!A$1:CB$87,Formula!F23,6))+Formula!I23*(INDEX(Properties!A$1:CB$87,Formula!H23,6))+Formula!K23*(INDEX(Properties!A$1:CB$87,Formula!J23,6))</f>
        <v>146</v>
      </c>
      <c r="V23" s="89">
        <f>VARP(IF(INDEX(Properties!A$1:CB$87,Formula!B23,6)&lt;&gt;"",INDEX(Properties!A$1:CB$87,Formula!B23,6)),IF(INDEX(Properties!A$1:CB$87,Formula!D23,6)&lt;&gt;"",INDEX(Properties!A$1:CB$87,Formula!D23,6)),IF(INDEX(Properties!A$1:CB$87,Formula!F23,6)&lt;&gt;"",INDEX(Properties!A$1:CB$87,Formula!F23,6)),IF(INDEX(Properties!A$1:CB$87,Formula!H23,6)&lt;&gt;"",INDEX(Properties!A$1:CB$87,Formula!H23,6)),IF(INDEX(Properties!A$1:CB$87,Formula!J23,6)&lt;&gt;"",INDEX(Properties!A$1:CB$87,Formula!J23,6)))</f>
        <v>41.44</v>
      </c>
      <c r="W23" s="60">
        <f>MAX(INDEX(Properties!A$1:CB$87,Formula!B23,6),INDEX(Properties!A$1:CB$87,Formula!D23,6),INDEX(Properties!A$1:CB$87,Formula!F23,6),INDEX(Properties!A$1:CB$87,Formula!H23,4),INDEX(Properties!A$1:CB$87,Formula!J23,6))</f>
        <v>16</v>
      </c>
      <c r="X23" s="60">
        <f>MIN(IF(INDEX(Properties!A$1:CB$87,Formula!B23,6)=0,10^6,INDEX(Properties!A$1:CB$87,Formula!B23,6)),IF(INDEX(Properties!A$1:CB$87,Formula!D23,6)=0,10^6,INDEX(Properties!A$1:CB$87,Formula!D23,6)),IF(INDEX(Properties!A$1:CB$87,Formula!F23,6)=0,10^6,INDEX(Properties!A$1:CB$87,Formula!F23,6)),IF(INDEX(Properties!A$1:CB$87,Formula!H23,6)=0,10^6,INDEX(Properties!A$1:CB$87,Formula!H23,6)),IF(INDEX(Properties!A$1:CB$87,Formula!J23,6)=0,10^6,INDEX(Properties!A$1:CB$87,Formula!J23,6)))</f>
        <v>5</v>
      </c>
      <c r="Y23" s="60">
        <f t="shared" si="3"/>
        <v>11</v>
      </c>
      <c r="Z23" s="72">
        <f>((Formula!C23)/(Formula!C23+Formula!E23+Formula!G23+Formula!I23+Formula!K23))*(INDEX(Properties!A$1:CB$87,Formula!B23,9))+((Formula!E23)/(Formula!C23+Formula!E23+Formula!G23+Formula!I23+Formula!K23))*(INDEX(Properties!A$1:CB$87,Formula!D23,9))+((Formula!G23)/(Formula!C23+Formula!E23+Formula!G23+Formula!I23+Formula!K23))*(INDEX(Properties!A$1:CB$87,Formula!F23,9))+((Formula!I23)/(Formula!C23+Formula!E23+Formula!G23+Formula!I23+Formula!K23))*(INDEX(Properties!A$1:CB$87,Formula!H23,9))+((Formula!K23)/(Formula!C23+Formula!E23+Formula!G23+Formula!I23+Formula!K23))*(INDEX(Properties!A$1:CB$87,Formula!J23,9))</f>
        <v>76.454545454545453</v>
      </c>
      <c r="AA23" s="72">
        <f>Formula!C23*(INDEX(Properties!A$1:CB$87,Formula!B23,9))+Formula!E23*(INDEX(Properties!A$1:CB$87,Formula!D23,9))+Formula!G23*(INDEX(Properties!A$1:CB$87,Formula!F23,9))+Formula!I23*(INDEX(Properties!A$1:CB$87,Formula!H23,9))+Formula!K23*(INDEX(Properties!A$1:CB$87,Formula!J23,9))</f>
        <v>841</v>
      </c>
      <c r="AB23" s="72">
        <f>VARP(IF(INDEX(Properties!A$1:CB$87,Formula!B23,9)&lt;&gt;"",INDEX(Properties!A$1:CB$87,Formula!B23,9)),IF(INDEX(Properties!A$1:CB$87,Formula!D23,9)&lt;&gt;"",INDEX(Properties!A$1:CB$87,Formula!D23,9)),IF(INDEX(Properties!A$1:CB$87,Formula!F23,9)&lt;&gt;"",INDEX(Properties!A$1:CB$87,Formula!F23,9)),IF(INDEX(Properties!A$1:CB$87,Formula!H23,9)&lt;&gt;"",INDEX(Properties!A$1:CB$87,Formula!H23,9)),IF(INDEX(Properties!A$1:CB$87,Formula!J23,9)&lt;&gt;"",INDEX(Properties!A$1:CB$87,Formula!J23,9)))</f>
        <v>1268.6400000000001</v>
      </c>
      <c r="AC23" s="72">
        <f>MAX(INDEX(Properties!A$1:CB$87,Formula!B23,9),INDEX(Properties!A$1:CB$87,Formula!D23,9),INDEX(Properties!A$1:CB$87,Formula!F23,9),INDEX(Properties!A$1:CB$87,Formula!H23,9),INDEX(Properties!A$1:CB$87,Formula!J23,9))</f>
        <v>87</v>
      </c>
      <c r="AD23" s="72">
        <f>MIN(IF(INDEX(Properties!A$1:CB$87,Formula!B23,9)=0,10^6,INDEX(Properties!A$1:CB$87,Formula!B23,9)),IF(INDEX(Properties!A$1:CB$87,Formula!D23,9)=0,10^6,INDEX(Properties!A$1:CB$87,Formula!D23,9)),IF(INDEX(Properties!A$1:CB$87,Formula!F23,9)=0,10^6,INDEX(Properties!A$1:CB$87,Formula!F23,9)),IF(INDEX(Properties!A$1:CB$87,Formula!H23,9)=0,10^6,INDEX(Properties!A$1:CB$87,Formula!H23,9)),IF(INDEX(Properties!A$1:CB$87,Formula!J23,9)=0,10^6,INDEX(Properties!A$1:CB$87,Formula!J23,9)))</f>
        <v>46</v>
      </c>
      <c r="AE23" s="72">
        <f t="shared" si="4"/>
        <v>41</v>
      </c>
      <c r="AF23" s="51">
        <f>((Formula!C23)/(Formula!C23+Formula!E23+Formula!G23+Formula!I23+Formula!K23))*(INDEX(Properties!A$1:CB$87,Formula!B23,10))+((Formula!E23)/(Formula!C23+Formula!E23+Formula!G23+Formula!I23+Formula!K23))*(INDEX(Properties!A$1:CB$87,Formula!D23,10))+((Formula!G23)/(Formula!C23+Formula!E23+Formula!G23+Formula!I23+Formula!K23))*(INDEX(Properties!A$1:CB$87,Formula!F23,10))+((Formula!I23)/(Formula!C23+Formula!E23+Formula!G23+Formula!I23+Formula!K23))*(INDEX(Properties!A$1:CB$87,Formula!H23,10))+((Formula!K23)/(Formula!C23+Formula!E23+Formula!G23+Formula!I23+Formula!K23))*(INDEX(Properties!A$1:CB$87,Formula!J23,10))</f>
        <v>5.9090909090909083</v>
      </c>
      <c r="AG23" s="51">
        <f>Formula!C23*(INDEX(Properties!A$1:CB$87,Formula!B23,10))+Formula!E23*(INDEX(Properties!A$1:CB$87,Formula!D23,10))+Formula!G23*(INDEX(Properties!A$1:CB$87,Formula!F23,10))+Formula!I23*(INDEX(Properties!A$1:CB$87,Formula!H23,10))+Formula!K23*(INDEX(Properties!A$1:CB$87,Formula!J23,10))</f>
        <v>65</v>
      </c>
      <c r="AH23" s="51">
        <f>VARP(IF(INDEX(Properties!A$1:CB$87,Formula!B23,10)&lt;&gt;"",INDEX(Properties!A$1:CB$87,Formula!B23,10)),IF(INDEX(Properties!A$1:CB$87,Formula!D23,10)&lt;&gt;"",INDEX(Properties!A$1:CB$87,Formula!D23,10)),IF(INDEX(Properties!A$1:CB$87,Formula!F23,10)&lt;&gt;"",INDEX(Properties!A$1:CB$87,Formula!F23,10)),IF(INDEX(Properties!A$1:CB$87,Formula!H23,10)&lt;&gt;"",INDEX(Properties!A$1:CB$87,Formula!H23,10)),IF(INDEX(Properties!A$1:CB$87,Formula!J23,10)&lt;&gt;"",INDEX(Properties!A$1:CB$87,Formula!J23,10)))</f>
        <v>7.2</v>
      </c>
      <c r="AI23" s="51">
        <f>MAX(INDEX(Properties!A$1:CB$87,Formula!B23,10),INDEX(Properties!A$1:CB$87,Formula!D23,10),INDEX(Properties!A$1:CB$87,Formula!F23,10),INDEX(Properties!A$1:CB$87,Formula!H23,10),INDEX(Properties!A$1:CB$87,Formula!J23,10))</f>
        <v>7</v>
      </c>
      <c r="AJ23" s="51">
        <f>MIN(IF(INDEX(Properties!A$1:CB$87,Formula!B23,10)=0,10^6,INDEX(Properties!A$1:CB$87,Formula!B23,10)),IF(INDEX(Properties!A$1:CB$87,Formula!D23,10)=0,10^6,INDEX(Properties!A$1:CB$87,Formula!D23,10)),IF(INDEX(Properties!A$1:CB$87,Formula!F23,10)=0,10^6,INDEX(Properties!A$1:CB$87,Formula!F23,10)),IF(INDEX(Properties!A$1:CB$87,Formula!H23,10)=0,10^6,INDEX(Properties!A$1:CB$87,Formula!H23,10)),IF(INDEX(Properties!A$1:CB$87,Formula!J23,10)=0,10^6,INDEX(Properties!A$1:CB$87,Formula!J23,10)))</f>
        <v>4</v>
      </c>
      <c r="AK23" s="51">
        <f t="shared" si="5"/>
        <v>3</v>
      </c>
      <c r="AL23" s="57">
        <f>((Formula!C23)/(Formula!C23+Formula!E23+Formula!G23+Formula!I23+Formula!K23))*(INDEX(Properties!A$1:CB$87,Formula!B23,11))+((Formula!E23)/(Formula!C23+Formula!E23+Formula!G23+Formula!I23+Formula!K23))*(INDEX(Properties!A$1:CB$87,Formula!D23,11))+((Formula!G23)/(Formula!C23+Formula!E23+Formula!G23+Formula!I23+Formula!K23))*(INDEX(Properties!A$1:CB$87,Formula!F23,11))+((Formula!I23)/(Formula!C23+Formula!E23+Formula!G23+Formula!I23+Formula!K23))*(INDEX(Properties!A$1:CB$87,Formula!H23,11))+((Formula!K23)/(Formula!C23+Formula!E23+Formula!G23+Formula!I23+Formula!K23))*(INDEX(Properties!A$1:CB$87,Formula!J23,11))</f>
        <v>2</v>
      </c>
      <c r="AM23" s="57">
        <f>Formula!C23*(INDEX(Properties!A$1:CB$87,Formula!B23,11))+Formula!E23*(INDEX(Properties!A$1:CB$87,Formula!D23,11))+Formula!G23*(INDEX(Properties!A$1:CB$87,Formula!F23,11))+Formula!I23*(INDEX(Properties!A$1:CB$87,Formula!H23,11))+Formula!K23*(INDEX(Properties!A$1:CB$87,Formula!J23,11))</f>
        <v>22</v>
      </c>
      <c r="AN23" s="57">
        <f>VARP(IF(INDEX(Properties!A$1:CB$87,Formula!B23,11)&lt;&gt;"",INDEX(Properties!A$1:CB$87,Formula!B23,11)),IF(INDEX(Properties!A$1:CB$87,Formula!D23,11)&lt;&gt;"",INDEX(Properties!A$1:CB$87,Formula!D23,11)),IF(INDEX(Properties!A$1:CB$87,Formula!F23,11)&lt;&gt;"",INDEX(Properties!A$1:CB$87,Formula!F23,11)),IF(INDEX(Properties!A$1:CB$87,Formula!H23,11)&lt;&gt;"",INDEX(Properties!A$1:CB$87,Formula!H23,11)),IF(INDEX(Properties!A$1:CB$87,Formula!J23,11)&lt;&gt;"",INDEX(Properties!A$1:CB$87,Formula!J23,11)))</f>
        <v>0.96</v>
      </c>
      <c r="AO23" s="57">
        <f>MAX(INDEX(Properties!A$1:CB$87,Formula!B23,11),INDEX(Properties!A$1:CB$87,Formula!D23,11),INDEX(Properties!A$1:CB$87,Formula!F23,11),INDEX(Properties!A$1:CB$87,Formula!H23,11),INDEX(Properties!A$1:CB$87,Formula!J23,11))</f>
        <v>2</v>
      </c>
      <c r="AP23" s="57">
        <f>MIN(IF(Formula!B23=87,10^6,INDEX(Properties!A$1:CB$87,Formula!B23,11)),IF((Formula!D23)=87,10^6,INDEX(Properties!A$1:CB$87,Formula!D23,11)),IF((Formula!F23)=87,10^6,INDEX(Properties!A$1:CB$87,Formula!F23,11)),IF((Formula!H23)=87,10^6,INDEX(Properties!A$1:CB$87,Formula!H23,11)),IF(Formula!J23=87,10^6,INDEX(Properties!A$1:CB$87,Formula!J23,11)))</f>
        <v>2</v>
      </c>
      <c r="AQ23" s="57">
        <f t="shared" si="6"/>
        <v>0</v>
      </c>
      <c r="AR23" s="78">
        <f>((Formula!C23)/(Formula!C23+Formula!E23+Formula!G23+Formula!I23+Formula!K23))*(INDEX(Properties!A$1:CB$87,Formula!B23,12))+((Formula!E23)/(Formula!C23+Formula!E23+Formula!G23+Formula!I23+Formula!K23))*(INDEX(Properties!A$1:CB$87,Formula!D23,12))+((Formula!G23)/(Formula!C23+Formula!E23+Formula!G23+Formula!I23+Formula!K23))*(INDEX(Properties!A$1:CB$87,Formula!F23,12))+((Formula!I23)/(Formula!C23+Formula!E23+Formula!G23+Formula!I23+Formula!K23))*(INDEX(Properties!A$1:CB$87,Formula!H23,12))+((Formula!K23)/(Formula!C23+Formula!E23+Formula!G23+Formula!I23+Formula!K23))*(INDEX(Properties!A$1:CB$87,Formula!J23,12))</f>
        <v>2.5454545454545454</v>
      </c>
      <c r="AS23" s="78">
        <f>Formula!C23*(INDEX(Properties!A$1:CB$87,Formula!B23,12))+Formula!E23*(INDEX(Properties!A$1:CB$87,Formula!D23,12))+Formula!G23*(INDEX(Properties!A$1:CB$87,Formula!F23,12))+Formula!I23*(INDEX(Properties!A$1:CB$87,Formula!H23,12))+Formula!K23*(INDEX(Properties!A$1:CB$87,Formula!J23,12))</f>
        <v>28</v>
      </c>
      <c r="AT23" s="78">
        <f>VARP(IF(INDEX(Properties!A$1:CB$87,Formula!B23,12)&lt;&gt;"",INDEX(Properties!A$1:CB$87,Formula!B23,12)),IF(INDEX(Properties!A$1:CB$87,Formula!D23,12)&lt;&gt;"",INDEX(Properties!A$1:CB$87,Formula!D23,12)),IF(INDEX(Properties!A$1:CB$87,Formula!F23,12)&lt;&gt;"",INDEX(Properties!A$1:CB$87,Formula!F23,12)),IF(INDEX(Properties!A$1:CB$87,Formula!H23,12)&lt;&gt;"",INDEX(Properties!A$1:CB$87,Formula!H23,12)),IF(INDEX(Properties!A$1:CB$87,Formula!J23,12)&lt;&gt;"",INDEX(Properties!A$1:CB$87,Formula!J23,12)))</f>
        <v>2.56</v>
      </c>
      <c r="AU23" s="78">
        <f>MAX(INDEX(Properties!A$1:CB$87,Formula!B23,12),INDEX(Properties!A$1:CB$87,Formula!D23,12),INDEX(Properties!A$1:CB$87,Formula!F23,12),INDEX(Properties!A$1:CB$87,Formula!H23,12),INDEX(Properties!A$1:CB$87,Formula!J23,12))</f>
        <v>4</v>
      </c>
      <c r="AV23" s="78">
        <f>MIN(IF(Formula!B23=87,10^6,INDEX(Properties!A$1:CB$87,Formula!B23,12)),IF((Formula!D23)=87,10^6,INDEX(Properties!A$1:CB$87,Formula!D23,12)),IF((Formula!F23)=87,10^6,INDEX(Properties!A$1:CB$87,Formula!F23,12)),IF((Formula!H23)=87,10^6,INDEX(Properties!A$1:CB$87,Formula!H23,12)),IF(Formula!J23=87,10^6,INDEX(Properties!A$1:CB$87,Formula!J23,12)))</f>
        <v>0</v>
      </c>
      <c r="AW23" s="78">
        <f t="shared" si="7"/>
        <v>4</v>
      </c>
      <c r="AX23" s="45">
        <f>((Formula!C23)/(Formula!C23+Formula!E23+Formula!G23+Formula!I23+Formula!K23))*(INDEX(Properties!A$1:CB$87,Formula!B23,13))+((Formula!E23)/(Formula!C23+Formula!E23+Formula!G23+Formula!I23+Formula!K23))*(INDEX(Properties!A$1:CB$87,Formula!D23,13))+((Formula!G23)/(Formula!C23+Formula!E23+Formula!G23+Formula!I23+Formula!K23))*(INDEX(Properties!A$1:CB$87,Formula!F23,13))+((Formula!I23)/(Formula!C23+Formula!E23+Formula!G23+Formula!I23+Formula!K23))*(INDEX(Properties!A$1:CB$87,Formula!H23,13))+((Formula!K23)/(Formula!C23+Formula!E23+Formula!G23+Formula!I23+Formula!K23))*(INDEX(Properties!A$1:CB$87,Formula!J23,13))</f>
        <v>2.3636363636363638</v>
      </c>
      <c r="AY23" s="45">
        <f>Formula!C23*(INDEX(Properties!A$1:CB$87,Formula!B23,13))+Formula!E23*(INDEX(Properties!A$1:CB$87,Formula!D23,13))+Formula!G23*(INDEX(Properties!A$1:CB$87,Formula!F23,13))+Formula!I23*(INDEX(Properties!A$1:CB$87,Formula!H23,13))+Formula!K23*(INDEX(Properties!A$1:CB$87,Formula!J23,13))</f>
        <v>26</v>
      </c>
      <c r="AZ23" s="45">
        <f>VARP(IF(INDEX(Properties!A$1:CB$87,Formula!B23,13)&lt;&gt;"",INDEX(Properties!A$1:CB$87,Formula!B23,13)),IF(INDEX(Properties!A$1:CB$87,Formula!D23,13)&lt;&gt;"",INDEX(Properties!A$1:CB$87,Formula!D23,13)),IF(INDEX(Properties!A$1:CB$87,Formula!F23,13)&lt;&gt;"",INDEX(Properties!A$1:CB$87,Formula!F23,13)),IF(INDEX(Properties!A$1:CB$87,Formula!H23,13)&lt;&gt;"",INDEX(Properties!A$1:CB$87,Formula!H23,13)),IF(INDEX(Properties!A$1:CB$87,Formula!J23,13)&lt;&gt;"",INDEX(Properties!A$1:CB$87,Formula!J23,13)))</f>
        <v>15.04</v>
      </c>
      <c r="BA23" s="45">
        <f>MAX(INDEX(Properties!A$1:CB$87,Formula!B23,13),INDEX(Properties!A$1:CB$87,Formula!D23,13),INDEX(Properties!A$1:CB$87,Formula!F23,13),INDEX(Properties!A$1:CB$87,Formula!H23,13),INDEX(Properties!A$1:CB$87,Formula!J23,13))</f>
        <v>10</v>
      </c>
      <c r="BB23" s="45">
        <f>MIN(IF(Formula!B23=87,10^6,INDEX(Properties!A$1:CB$87,Formula!B23,13)),IF((Formula!D23)=87,10^6,INDEX(Properties!A$1:CB$87,Formula!D23,13)),IF((Formula!F23)=87,10^6,INDEX(Properties!A$1:CB$87,Formula!F23,13)),IF((Formula!H23)=87,10^6,INDEX(Properties!A$1:CB$87,Formula!H23,13)),IF(Formula!J23=87,10^6,INDEX(Properties!A$1:CB$87,Formula!J23,13)))</f>
        <v>0</v>
      </c>
      <c r="BC23" s="45">
        <f t="shared" si="8"/>
        <v>10</v>
      </c>
      <c r="BD23" s="63">
        <f>((Formula!C23)/(Formula!C23+Formula!E23+Formula!G23+Formula!I23+Formula!K23))*(INDEX(Properties!A$1:CB$87,Formula!B23,14))+((Formula!E23)/(Formula!C23+Formula!E23+Formula!G23+Formula!I23+Formula!K23))*(INDEX(Properties!A$1:CB$87,Formula!D23,14))+((Formula!G23)/(Formula!C23+Formula!E23+Formula!G23+Formula!I23+Formula!K23))*(INDEX(Properties!A$1:CB$87,Formula!F23,14))+((Formula!I23)/(Formula!C23+Formula!E23+Formula!G23+Formula!I23+Formula!K23))*(INDEX(Properties!A$1:CB$87,Formula!H23,14))+((Formula!K23)/(Formula!C23+Formula!E23+Formula!G23+Formula!I23+Formula!K23))*(INDEX(Properties!A$1:CB$87,Formula!J23,14))</f>
        <v>0</v>
      </c>
      <c r="BE23" s="63">
        <f>Formula!C23*(INDEX(Properties!A$1:CB$87,Formula!B23,14))+Formula!E23*(INDEX(Properties!A$1:CB$87,Formula!D23,14))+Formula!G23*(INDEX(Properties!A$1:CB$87,Formula!F23,14))+Formula!I23*(INDEX(Properties!A$1:CB$87,Formula!H23,14))+Formula!K23*(INDEX(Properties!A$1:CB$87,Formula!J23,14))</f>
        <v>0</v>
      </c>
      <c r="BF23" s="63">
        <f>VARP(IF(INDEX(Properties!A$1:CB$87,Formula!B23,14)&lt;&gt;"",INDEX(Properties!A$1:CB$87,Formula!B23,14)),IF(INDEX(Properties!A$1:CB$87,Formula!D23,14)&lt;&gt;"",INDEX(Properties!A$1:CB$87,Formula!D23,14)),IF(INDEX(Properties!A$1:CB$87,Formula!F23,14)&lt;&gt;"",INDEX(Properties!A$1:CB$87,Formula!F23,14)),IF(INDEX(Properties!A$1:CB$87,Formula!H23,14)&lt;&gt;"",INDEX(Properties!A$1:CB$87,Formula!H23,14)),IF(INDEX(Properties!A$1:CB$87,Formula!J23,14)&lt;&gt;"",INDEX(Properties!A$1:CB$87,Formula!J23,14)))</f>
        <v>0</v>
      </c>
      <c r="BG23" s="63">
        <f>MAX(INDEX(Properties!A$1:CB$87,Formula!B23,14),INDEX(Properties!A$1:CB$87,Formula!D23,14),INDEX(Properties!A$1:CB$87,Formula!F23,14),INDEX(Properties!A$1:CB$87,Formula!H23,14),INDEX(Properties!A$1:CB$87,Formula!J23,14))</f>
        <v>0</v>
      </c>
      <c r="BH23" s="63">
        <f>MIN(IF(Formula!B23=87,10^6,INDEX(Properties!A$1:CB$87,Formula!B23,14)),IF((Formula!D23)=87,10^6,INDEX(Properties!A$1:CB$87,Formula!D23,14)),IF((Formula!F23)=87,10^6,INDEX(Properties!A$1:CB$87,Formula!F23,14)),IF((Formula!H23)=87,10^6,INDEX(Properties!A$1:CB$87,Formula!H23,14)),IF(Formula!J23=87,10^6,INDEX(Properties!A$1:CB$87,Formula!J23,14)))</f>
        <v>0</v>
      </c>
      <c r="BI23" s="63">
        <f t="shared" si="9"/>
        <v>0</v>
      </c>
      <c r="BJ23" s="75">
        <f>((Formula!C23)/(Formula!C23+Formula!E23+Formula!G23+Formula!I23+Formula!K23))*(INDEX(Properties!A$1:CB$87,Formula!B23,19))+((Formula!E23)/(Formula!C23+Formula!E23+Formula!G23+Formula!I23+Formula!K23))*(INDEX(Properties!A$1:CB$87,Formula!D23,19))+((Formula!G23)/(Formula!C23+Formula!E23+Formula!G23+Formula!I23+Formula!K23))*(INDEX(Properties!A$1:CB$87,Formula!F23,19))+((Formula!I23)/(Formula!C23+Formula!E23+Formula!G23+Formula!I23+Formula!K23))*(INDEX(Properties!A$1:CB$87,Formula!H23,19))+((Formula!K23)/(Formula!C23+Formula!E23+Formula!G23+Formula!I23+Formula!K23))*(INDEX(Properties!A$1:CB$87,Formula!J23,19))</f>
        <v>6.9090909090909092</v>
      </c>
      <c r="BK23" s="75">
        <f>Formula!C23*(INDEX(Properties!A$1:CB$87,Formula!B23,19))+Formula!E23*(INDEX(Properties!A$1:CB$87,Formula!D23,19))+Formula!G23*(INDEX(Properties!A$1:CB$87,Formula!F23,19))+Formula!I23*(INDEX(Properties!A$1:CB$87,Formula!H23,19))+Formula!K23*(INDEX(Properties!A$1:CB$87,Formula!J23,19))</f>
        <v>76</v>
      </c>
      <c r="BL23" s="75">
        <f>VARP(IF(INDEX(Properties!A$1:CB$87,Formula!B23,19)&lt;&gt;"",INDEX(Properties!A$1:CB$87,Formula!B23,19)),IF(INDEX(Properties!A$1:CB$87,Formula!D23,19)&lt;&gt;"",INDEX(Properties!A$1:CB$87,Formula!D23,19)),IF(INDEX(Properties!A$1:CB$87,Formula!F23,19)&lt;&gt;"",INDEX(Properties!A$1:CB$87,Formula!F23,19)),IF(INDEX(Properties!A$1:CB$87,Formula!H23,19)&lt;&gt;"",INDEX(Properties!A$1:CB$87,Formula!H23,19)),IF(INDEX(Properties!A$1:CB$87,Formula!J23,19)&lt;&gt;"",INDEX(Properties!A$1:CB$87,Formula!J23,19)))</f>
        <v>19.84</v>
      </c>
      <c r="BM23" s="75">
        <f>MAX(INDEX(Properties!A$1:CB$87,Formula!B23,19),INDEX(Properties!A$1:CB$87,Formula!D23,19),INDEX(Properties!A$1:CB$87,Formula!F23,19),INDEX(Properties!A$1:CB$87,Formula!H23,19),INDEX(Properties!A$1:CB$87,Formula!J23,19))</f>
        <v>12</v>
      </c>
      <c r="BN23" s="75">
        <f>MIN(IF(INDEX(Properties!A$1:CB$87,Formula!B23,19)=0,10^6,INDEX(Properties!A$1:CB$87,Formula!B23,19)),IF(INDEX(Properties!A$1:CB$87,Formula!D23,19)=0,10^6,INDEX(Properties!A$1:CB$87,Formula!D23,19)),IF(INDEX(Properties!A$1:CB$87,Formula!F23,19)=0,10^6,INDEX(Properties!A$1:CB$87,Formula!F23,19)),IF(INDEX(Properties!A$1:CB$87,Formula!H23,19)=0,10^6,INDEX(Properties!A$1:CB$87,Formula!H23,19)),IF(INDEX(Properties!A$1:CB$87,Formula!J23,19)=0,10^6,INDEX(Properties!A$1:CB$87,Formula!J23,19)))</f>
        <v>5</v>
      </c>
      <c r="BO23" s="75">
        <f t="shared" si="10"/>
        <v>7</v>
      </c>
      <c r="BP23" s="48">
        <f>((Formula!C23)/(Formula!C23+Formula!E23+Formula!G23+Formula!I23+Formula!K23))*(INDEX(Properties!A$1:CB$87,Formula!B23,20))+((Formula!E23)/(Formula!C23+Formula!E23+Formula!G23+Formula!I23+Formula!K23))*(INDEX(Properties!A$1:CB$87,Formula!D23,20))+((Formula!G23)/(Formula!C23+Formula!E23+Formula!G23+Formula!I23+Formula!K23))*(INDEX(Properties!A$1:CB$87,Formula!F23,20))+((Formula!I23)/(Formula!C23+Formula!E23+Formula!G23+Formula!I23+Formula!K23))*(INDEX(Properties!A$1:CB$87,Formula!H23,20))+((Formula!K23)/(Formula!C23+Formula!E23+Formula!G23+Formula!I23+Formula!K23))*(INDEX(Properties!A$1:CB$87,Formula!J23,20))</f>
        <v>4.5454545454545459</v>
      </c>
      <c r="BQ23" s="48">
        <f>Formula!C23*(INDEX(Properties!A$1:CB$87,Formula!B23,20))+Formula!E23*(INDEX(Properties!A$1:CB$87,Formula!D23,20))+Formula!G23*(INDEX(Properties!A$1:CB$87,Formula!F23,20))+Formula!I23*(INDEX(Properties!A$1:CB$87,Formula!H23,20))+Formula!K23*(INDEX(Properties!A$1:CB$87,Formula!J23,20))</f>
        <v>50</v>
      </c>
      <c r="BR23" s="48">
        <f>VARP(IF(INDEX(Properties!A$1:CB$87,Formula!B23,20)&lt;&gt;"",INDEX(Properties!A$1:CB$87,Formula!B23,20)),IF(INDEX(Properties!A$1:CB$87,Formula!D23,20)&lt;&gt;"",INDEX(Properties!A$1:CB$87,Formula!D23,20)),IF(INDEX(Properties!A$1:CB$87,Formula!F23,20)&lt;&gt;"",INDEX(Properties!A$1:CB$87,Formula!F23,20)),IF(INDEX(Properties!A$1:CB$87,Formula!H23,20)&lt;&gt;"",INDEX(Properties!A$1:CB$87,Formula!H23,20)),IF(INDEX(Properties!A$1:CB$87,Formula!J23,20)&lt;&gt;"",INDEX(Properties!A$1:CB$87,Formula!J23,20)))</f>
        <v>4.8</v>
      </c>
      <c r="BS23" s="48">
        <f>MAX(INDEX(Properties!A$1:CB$87,Formula!B23,20),INDEX(Properties!A$1:CB$87,Formula!D23,20),INDEX(Properties!A$1:CB$87,Formula!F23,20),INDEX(Properties!A$1:CB$87,Formula!H23,20),INDEX(Properties!A$1:CB$87,Formula!J23,20))</f>
        <v>6</v>
      </c>
      <c r="BT23" s="48">
        <f>MIN(IF(INDEX(Properties!A$1:CB$87,Formula!B23,20)=0,10^6,INDEX(Properties!A$1:CB$87,Formula!B23,20)),IF(INDEX(Properties!A$1:CB$87,Formula!D23,20)=0,10^6,INDEX(Properties!A$1:CB$87,Formula!D23,20)),IF(INDEX(Properties!A$1:CB$87,Formula!F23,20)=0,10^6,INDEX(Properties!A$1:CB$87,Formula!F23,20)),IF(INDEX(Properties!A$1:CB$87,Formula!H23,20)=0,10^6,INDEX(Properties!A$1:CB$87,Formula!H23,20)),IF(INDEX(Properties!A$1:CB$87,Formula!J23,20)=0,10^6,INDEX(Properties!A$1:CB$87,Formula!J23,20)))</f>
        <v>2</v>
      </c>
      <c r="BU23" s="48">
        <f t="shared" si="11"/>
        <v>4</v>
      </c>
      <c r="BV23" s="66">
        <f>((Formula!C23)/(Formula!C23+Formula!E23+Formula!G23+Formula!I23+Formula!K23))*(INDEX(Properties!A$1:CB$87,Formula!B23,21))+((Formula!E23)/(Formula!C23+Formula!E23+Formula!G23+Formula!I23+Formula!K23))*(INDEX(Properties!A$1:CB$87,Formula!D23,21))+((Formula!G23)/(Formula!C23+Formula!E23+Formula!G23+Formula!I23+Formula!K23))*(INDEX(Properties!A$1:CB$87,Formula!F23,21))+((Formula!I23)/(Formula!C23+Formula!E23+Formula!G23+Formula!I23+Formula!K23))*(INDEX(Properties!A$1:CB$87,Formula!H23,21))+((Formula!K23)/(Formula!C23+Formula!E23+Formula!G23+Formula!I23+Formula!K23))*(INDEX(Properties!A$1:CB$87,Formula!J23,21))</f>
        <v>4.5454545454545459</v>
      </c>
      <c r="BW23" s="66">
        <f>Formula!C23*(INDEX(Properties!A$1:CB$87,Formula!B23,21))+Formula!E23*(INDEX(Properties!A$1:CB$87,Formula!D23,21))+Formula!G23*(INDEX(Properties!A$1:CB$87,Formula!F23,21))+Formula!I23*(INDEX(Properties!A$1:CB$87,Formula!H23,21))+Formula!K23*(INDEX(Properties!A$1:CB$87,Formula!J23,21))</f>
        <v>50</v>
      </c>
      <c r="BX23" s="66">
        <f>VARP(IF(INDEX(Properties!A$1:CB$87,Formula!B23,21)&lt;&gt;"",INDEX(Properties!A$1:CB$87,Formula!B23,21)),IF(INDEX(Properties!A$1:CB$87,Formula!D23,21)&lt;&gt;"",INDEX(Properties!A$1:CB$87,Formula!D23,21)),IF(INDEX(Properties!A$1:CB$87,Formula!F23,21)&lt;&gt;"",INDEX(Properties!A$1:CB$87,Formula!F23,21)),IF(INDEX(Properties!A$1:CB$87,Formula!H23,21)&lt;&gt;"",INDEX(Properties!A$1:CB$87,Formula!H23,21)),IF(INDEX(Properties!A$1:CB$87,Formula!J23,21)&lt;&gt;"",INDEX(Properties!A$1:CB$87,Formula!J23,21)))</f>
        <v>5.2</v>
      </c>
      <c r="BY23" s="66">
        <f>MAX(INDEX(Properties!A$1:CB$87,Formula!B23,21),INDEX(Properties!A$1:CB$87,Formula!D23,21),INDEX(Properties!A$1:CB$87,Formula!F23,21),INDEX(Properties!A$1:CB$87,Formula!H23,21),INDEX(Properties!A$1:CB$87,Formula!J23,21))</f>
        <v>6</v>
      </c>
      <c r="BZ23" s="66">
        <f>MIN(IF(INDEX(Properties!A$1:CB$87,Formula!B23,21)=0,10^6,INDEX(Properties!A$1:CB$87,Formula!B23,21)),IF(INDEX(Properties!A$1:CB$87,Formula!D23,21)=0,10^6,INDEX(Properties!A$1:CB$87,Formula!D23,21)),IF(INDEX(Properties!A$1:CB$87,Formula!F23,21)=0,10^6,INDEX(Properties!A$1:CB$87,Formula!F23,21)),IF(INDEX(Properties!A$1:CB$87,Formula!H23,21)=0,10^6,INDEX(Properties!A$1:CB$87,Formula!H23,21)),IF(INDEX(Properties!A$1:CB$87,Formula!J23,21)=0,10^6,INDEX(Properties!A$1:CB$87,Formula!J23,21)))</f>
        <v>1</v>
      </c>
      <c r="CA23" s="66">
        <f t="shared" si="12"/>
        <v>5</v>
      </c>
      <c r="CB23" s="81">
        <f>((Formula!C23)/(Formula!C23+Formula!E23+Formula!G23+Formula!I23+Formula!K23))*(INDEX(Properties!A$1:CB$87,Formula!B23,23))+((Formula!E23)/(Formula!C23+Formula!E23+Formula!G23+Formula!I23+Formula!K23))*(INDEX(Properties!A$1:CB$87,Formula!D23,23))+((Formula!G23)/(Formula!C23+Formula!E23+Formula!G23+Formula!I23+Formula!K23))*(INDEX(Properties!A$1:CB$87,Formula!F23,23))+((Formula!I23)/(Formula!C23+Formula!E23+Formula!G23+Formula!I23+Formula!K23))*(INDEX(Properties!A$1:CB$87,Formula!H23,23))+((Formula!K23)/(Formula!C23+Formula!E23+Formula!G23+Formula!I23+Formula!K23))*(INDEX(Properties!A$1:CB$87,Formula!J23,23))</f>
        <v>1.7163636363636365</v>
      </c>
      <c r="CC23" s="81">
        <f>Formula!C23*(INDEX(Properties!A$1:CB$87,Formula!B23,23))+Formula!E23*(INDEX(Properties!A$1:CB$87,Formula!D23,23))+Formula!G23*(INDEX(Properties!A$1:CB$87,Formula!F23,23))+Formula!I23*(INDEX(Properties!A$1:CB$87,Formula!H23,23))+Formula!K23*(INDEX(Properties!A$1:CB$87,Formula!J23,23))</f>
        <v>18.880000000000003</v>
      </c>
      <c r="CD23" s="81">
        <f>VARP(IF(INDEX(Properties!A$1:CB$87,Formula!B23,23)&lt;&gt;"",INDEX(Properties!A$1:CB$87,Formula!B23,23)),IF(INDEX(Properties!A$1:CB$87,Formula!D23,23)&lt;&gt;"",INDEX(Properties!A$1:CB$87,Formula!D23,23)),IF(INDEX(Properties!A$1:CB$87,Formula!F23,23)&lt;&gt;"",INDEX(Properties!A$1:CB$87,Formula!F23,23)),IF(INDEX(Properties!A$1:CB$87,Formula!H23,23)&lt;&gt;"",INDEX(Properties!A$1:CB$87,Formula!H23,23)),IF(INDEX(Properties!A$1:CB$87,Formula!J23,23)&lt;&gt;"",INDEX(Properties!A$1:CB$87,Formula!J23,23)))</f>
        <v>5.378175999999999</v>
      </c>
      <c r="CE23" s="81">
        <f>MAX(INDEX(Properties!A$1:CB$87,Formula!B23,23),INDEX(Properties!A$1:CB$87,Formula!D23,23),INDEX(Properties!A$1:CB$87,Formula!F23,23),INDEX(Properties!A$1:CB$87,Formula!H23,23),INDEX(Properties!A$1:CB$87,Formula!J23,23))</f>
        <v>5</v>
      </c>
      <c r="CF23" s="81">
        <f>MIN(IF(Formula!B23=87,10^6,INDEX(Properties!A$1:CB$87,Formula!B23,23)),IF((Formula!D23)=87,10^6,INDEX(Properties!A$1:CB$87,Formula!D23,23)),IF((Formula!F23)=87,10^6,INDEX(Properties!A$1:CB$87,Formula!F23,23)),IF((Formula!H23)=87,10^6,INDEX(Properties!A$1:CB$87,Formula!H23,23)),IF(Formula!J23=87,10^6,INDEX(Properties!A$1:CB$87,Formula!J23,23)))</f>
        <v>0</v>
      </c>
      <c r="CG23" s="81">
        <f t="shared" si="13"/>
        <v>5</v>
      </c>
      <c r="CH23" s="39">
        <f>((Formula!C23)/(Formula!C23+Formula!E23+Formula!G23+Formula!I23+Formula!K23))*(INDEX(Properties!A$1:CB$87,Formula!B23,26))+((Formula!E23)/(Formula!C23+Formula!E23+Formula!G23+Formula!I23+Formula!K23))*(INDEX(Properties!A$1:CB$87,Formula!D23,26))+((Formula!G23)/(Formula!C23+Formula!E23+Formula!G23+Formula!I23+Formula!K23))*(INDEX(Properties!A$1:CB$87,Formula!F23,26))+((Formula!I23)/(Formula!C23+Formula!E23+Formula!G23+Formula!I23+Formula!K23))*(INDEX(Properties!A$1:CB$87,Formula!H23,26))+((Formula!K23)/(Formula!C23+Formula!E23+Formula!G23+Formula!I23+Formula!K23))*(INDEX(Properties!A$1:CB$87,Formula!J23,26))</f>
        <v>11.527881818181818</v>
      </c>
      <c r="CI23" s="39">
        <f>Formula!C23*(INDEX(Properties!A$1:CB$87,Formula!B23,26))+Formula!E23*(INDEX(Properties!A$1:CB$87,Formula!D23,26))+Formula!G23*(INDEX(Properties!A$1:CB$87,Formula!F23,26))+Formula!I23*(INDEX(Properties!A$1:CB$87,Formula!H23,26))+Formula!K23*(INDEX(Properties!A$1:CB$87,Formula!J23,26))</f>
        <v>126.80670000000001</v>
      </c>
      <c r="CJ23" s="39">
        <f>VARP(IF(INDEX(Properties!A$1:CB$87,Formula!B23,26)&lt;&gt;"",INDEX(Properties!A$1:CB$87,Formula!B23,26)),IF(INDEX(Properties!A$1:CB$87,Formula!D23,26)&lt;&gt;"",INDEX(Properties!A$1:CB$87,Formula!D23,26)),IF(INDEX(Properties!A$1:CB$87,Formula!F23,26)&lt;&gt;"",INDEX(Properties!A$1:CB$87,Formula!F23,26)),IF(INDEX(Properties!A$1:CB$87,Formula!H23,26)&lt;&gt;"",INDEX(Properties!A$1:CB$87,Formula!H23,26)),IF(INDEX(Properties!A$1:CB$87,Formula!J23,26)&lt;&gt;"",INDEX(Properties!A$1:CB$87,Formula!J23,26)))</f>
        <v>27.894538673600003</v>
      </c>
      <c r="CK23" s="39">
        <f>MAX(INDEX(Properties!A$1:CB$87,Formula!B23,26),INDEX(Properties!A$1:CB$87,Formula!D23,26),INDEX(Properties!A$1:CB$87,Formula!F23,26),INDEX(Properties!A$1:CB$87,Formula!H23,26),INDEX(Properties!A$1:CB$87,Formula!J23,26))</f>
        <v>13.6181</v>
      </c>
      <c r="CL23" s="39">
        <f>MIN(IF(INDEX(Properties!A$1:CB$87,Formula!B23,26)=0,10^6,INDEX(Properties!A$1:CB$87,Formula!B23,26)),IF(INDEX(Properties!A$1:CB$87,Formula!D23,26)=0,10^6,INDEX(Properties!A$1:CB$87,Formula!D23,26)),IF(INDEX(Properties!A$1:CB$87,Formula!F23,26)=0,10^6,INDEX(Properties!A$1:CB$87,Formula!F23,26)),IF(INDEX(Properties!A$1:CB$87,Formula!H23,26)=0,10^6,INDEX(Properties!A$1:CB$87,Formula!H23,26)),IF(INDEX(Properties!A$1:CB$87,Formula!J23,26)=0,10^6,INDEX(Properties!A$1:CB$87,Formula!J23,26)))</f>
        <v>6.7462</v>
      </c>
      <c r="CM23" s="39">
        <f t="shared" si="14"/>
        <v>6.8719000000000001</v>
      </c>
      <c r="CN23" s="54">
        <f>((Formula!C23)/(Formula!C23+Formula!E23+Formula!G23+Formula!I23+Formula!K23))*(INDEX(Properties!A$1:CB$87,Formula!B23,30))+((Formula!E23)/(Formula!C23+Formula!E23+Formula!G23+Formula!I23+Formula!K23))*(INDEX(Properties!A$1:CB$87,Formula!D23,30))+((Formula!G23)/(Formula!C23+Formula!E23+Formula!G23+Formula!I23+Formula!K23))*(INDEX(Properties!A$1:CB$87,Formula!F23,30))+((Formula!I23)/(Formula!C23+Formula!E23+Formula!G23+Formula!I23+Formula!K23))*(INDEX(Properties!A$1:CB$87,Formula!H23,30))+((Formula!K23)/(Formula!C23+Formula!E23+Formula!G23+Formula!I23+Formula!K23))*(INDEX(Properties!A$1:CB$87,Formula!J23,30))</f>
        <v>2.7927272727272725</v>
      </c>
      <c r="CO23" s="54">
        <f>Formula!C23*(INDEX(Properties!A$1:CB$87,Formula!B23,30))+Formula!E23*(INDEX(Properties!A$1:CB$87,Formula!D23,30))+Formula!G23*(INDEX(Properties!A$1:CB$87,Formula!F23,30))+Formula!I23*(INDEX(Properties!A$1:CB$87,Formula!H23,30))+Formula!K23*(INDEX(Properties!A$1:CB$87,Formula!J23,30))</f>
        <v>30.72</v>
      </c>
      <c r="CP23" s="54">
        <f>VARP(IF(INDEX(Properties!A$1:CB$87,Formula!B23,30)&lt;&gt;"",INDEX(Properties!A$1:CB$87,Formula!B23,30)),IF(INDEX(Properties!A$1:CB$87,Formula!D23,30)&lt;&gt;"",INDEX(Properties!A$1:CB$87,Formula!D23,30)),IF(INDEX(Properties!A$1:CB$87,Formula!F23,30)&lt;&gt;"",INDEX(Properties!A$1:CB$87,Formula!F23,30)),IF(INDEX(Properties!A$1:CB$87,Formula!H23,30)&lt;&gt;"",INDEX(Properties!A$1:CB$87,Formula!H23,30)),IF(INDEX(Properties!A$1:CB$87,Formula!J23,30)&lt;&gt;"",INDEX(Properties!A$1:CB$87,Formula!J23,30)))</f>
        <v>1.6414159999999998</v>
      </c>
      <c r="CQ23" s="54">
        <f>MAX(INDEX(Properties!A$1:CB$87,Formula!B23,30),INDEX(Properties!A$1:CB$87,Formula!D23,30),INDEX(Properties!A$1:CB$87,Formula!F23,30),INDEX(Properties!A$1:CB$87,Formula!H23,30),INDEX(Properties!A$1:CB$87,Formula!J23,30))</f>
        <v>3.44</v>
      </c>
      <c r="CR23" s="54">
        <f>MIN(IF(INDEX(Properties!A$1:CB$87,Formula!B23,30)=0,10^6,INDEX(Properties!A$1:CB$87,Formula!B23,30)),IF(INDEX(Properties!A$1:CB$87,Formula!D23,30)=0,10^6,INDEX(Properties!A$1:CB$87,Formula!D23,30)),IF(INDEX(Properties!A$1:CB$87,Formula!F23,30)=0,10^6,INDEX(Properties!A$1:CB$87,Formula!F23,30)),IF(INDEX(Properties!A$1:CB$87,Formula!H23,30)=0,10^6,INDEX(Properties!A$1:CB$87,Formula!H23,30)),IF(INDEX(Properties!A$1:CB$87,Formula!J23,30)=0,10^6,INDEX(Properties!A$1:CB$87,Formula!J23,30)))</f>
        <v>1.63</v>
      </c>
      <c r="CS23" s="54">
        <f t="shared" si="15"/>
        <v>1.81</v>
      </c>
      <c r="CT23" s="69">
        <f>((Formula!C23)/(Formula!C23+Formula!E23+Formula!G23+Formula!I23+Formula!K23))*(INDEX(Properties!A$1:CB$87,Formula!B23,31))+((Formula!E23)/(Formula!C23+Formula!E23+Formula!G23+Formula!I23+Formula!K23))*(INDEX(Properties!A$1:CB$87,Formula!D23,31))+((Formula!G23)/(Formula!C23+Formula!E23+Formula!G23+Formula!I23+Formula!K23))*(INDEX(Properties!A$1:CB$87,Formula!F23,31))+((Formula!I23)/(Formula!C23+Formula!E23+Formula!G23+Formula!I23+Formula!K23))*(INDEX(Properties!A$1:CB$87,Formula!H23,31))+((Formula!K23)/(Formula!C23+Formula!E23+Formula!G23+Formula!I23+Formula!K23))*(INDEX(Properties!A$1:CB$87,Formula!J23,31))</f>
        <v>2.770909090909091</v>
      </c>
      <c r="CU23" s="69">
        <f>Formula!C23*(INDEX(Properties!A$1:CB$87,Formula!B23,31))+Formula!E23*(INDEX(Properties!A$1:CB$87,Formula!D23,31))+Formula!G23*(INDEX(Properties!A$1:CB$87,Formula!F23,31))+Formula!I23*(INDEX(Properties!A$1:CB$87,Formula!H23,31))+Formula!K23*(INDEX(Properties!A$1:CB$87,Formula!J23,31))</f>
        <v>30.479999999999997</v>
      </c>
      <c r="CV23" s="69">
        <f>VARP(IF(INDEX(Properties!A$1:CB$87,Formula!B23,31)&lt;&gt;"",INDEX(Properties!A$1:CB$87,Formula!B23,31)),IF(INDEX(Properties!A$1:CB$87,Formula!D23,31)&lt;&gt;"",INDEX(Properties!A$1:CB$87,Formula!D23,31)),IF(INDEX(Properties!A$1:CB$87,Formula!F23,31)&lt;&gt;"",INDEX(Properties!A$1:CB$87,Formula!F23,31)),IF(INDEX(Properties!A$1:CB$87,Formula!H23,31)&lt;&gt;"",INDEX(Properties!A$1:CB$87,Formula!H23,31)),IF(INDEX(Properties!A$1:CB$87,Formula!J23,31)&lt;&gt;"",INDEX(Properties!A$1:CB$87,Formula!J23,31)))</f>
        <v>1.6556160000000002</v>
      </c>
      <c r="CW23" s="69">
        <f>MAX(INDEX(Properties!A$1:CB$87,Formula!B23,31),INDEX(Properties!A$1:CB$87,Formula!D23,31),INDEX(Properties!A$1:CB$87,Formula!F23,31),INDEX(Properties!A$1:CB$87,Formula!H23,31),INDEX(Properties!A$1:CB$87,Formula!J23,31))</f>
        <v>3.32</v>
      </c>
      <c r="CX23" s="69">
        <f>MIN(IF(INDEX(Properties!A$1:CB$87,Formula!B23,31)=0,10^6,INDEX(Properties!A$1:CB$87,Formula!B23,31)),IF(INDEX(Properties!A$1:CB$87,Formula!D23,31)=0,10^6,INDEX(Properties!A$1:CB$87,Formula!D23,31)),IF(INDEX(Properties!A$1:CB$87,Formula!F23,31)=0,10^6,INDEX(Properties!A$1:CB$87,Formula!F23,31)),IF(INDEX(Properties!A$1:CB$87,Formula!H23,31)=0,10^6,INDEX(Properties!A$1:CB$87,Formula!H23,31)),IF(INDEX(Properties!A$1:CB$87,Formula!J23,31)=0,10^6,INDEX(Properties!A$1:CB$87,Formula!J23,31)))</f>
        <v>1.4</v>
      </c>
      <c r="CY23" s="69">
        <f t="shared" si="16"/>
        <v>1.92</v>
      </c>
      <c r="CZ23" s="42">
        <f>((Formula!C23)/(Formula!C23+Formula!E23+Formula!G23+Formula!I23+Formula!K23))*(INDEX(Properties!A$1:CB$87,Formula!B23,32))+((Formula!E23)/(Formula!C23+Formula!E23+Formula!G23+Formula!I23+Formula!K23))*(INDEX(Properties!A$1:CB$87,Formula!D23,32))+((Formula!G23)/(Formula!C23+Formula!E23+Formula!G23+Formula!I23+Formula!K23))*(INDEX(Properties!A$1:CB$87,Formula!F23,32))+((Formula!I23)/(Formula!C23+Formula!E23+Formula!G23+Formula!I23+Formula!K23))*(INDEX(Properties!A$1:CB$87,Formula!H23,32))+((Formula!K23)/(Formula!C23+Formula!E23+Formula!G23+Formula!I23+Formula!K23))*(INDEX(Properties!A$1:CB$87,Formula!J23,32))</f>
        <v>6.24</v>
      </c>
      <c r="DA23" s="42">
        <f>Formula!C23*(INDEX(Properties!A$1:CB$87,Formula!B23,32))+Formula!E23*(INDEX(Properties!A$1:CB$87,Formula!D23,32))+Formula!G23*(INDEX(Properties!A$1:CB$87,Formula!F23,32))+Formula!I23*(INDEX(Properties!A$1:CB$87,Formula!H23,32))+Formula!K23*(INDEX(Properties!A$1:CB$87,Formula!J23,32))</f>
        <v>68.64</v>
      </c>
      <c r="DB23" s="42">
        <f>VARP(IF(INDEX(Properties!A$1:CB$87,Formula!B23,32)&lt;&gt;"",INDEX(Properties!A$1:CB$87,Formula!B23,32)),IF(INDEX(Properties!A$1:CB$87,Formula!D23,32)&lt;&gt;"",INDEX(Properties!A$1:CB$87,Formula!D23,32)),IF(INDEX(Properties!A$1:CB$87,Formula!F23,32)&lt;&gt;"",INDEX(Properties!A$1:CB$87,Formula!F23,32)),IF(INDEX(Properties!A$1:CB$87,Formula!H23,32)&lt;&gt;"",INDEX(Properties!A$1:CB$87,Formula!H23,32)),IF(INDEX(Properties!A$1:CB$87,Formula!J23,32)&lt;&gt;"",INDEX(Properties!A$1:CB$87,Formula!J23,32)))</f>
        <v>8.1392639999999989</v>
      </c>
      <c r="DC23" s="42">
        <f>MAX(INDEX(Properties!A$1:CB$87,Formula!B23,32),INDEX(Properties!A$1:CB$87,Formula!D23,32),INDEX(Properties!A$1:CB$87,Formula!F23,32),INDEX(Properties!A$1:CB$87,Formula!H23,32),INDEX(Properties!A$1:CB$87,Formula!J23,32))</f>
        <v>7.54</v>
      </c>
      <c r="DD23" s="42">
        <f>MIN(IF(INDEX(Properties!A$1:CB$87,Formula!B23,32)=0,10^6,INDEX(Properties!A$1:CB$87,Formula!B23,32)),IF(INDEX(Properties!A$1:CB$87,Formula!D23,32)=0,10^6,INDEX(Properties!A$1:CB$87,Formula!D23,32)),IF(INDEX(Properties!A$1:CB$87,Formula!F23,32)=0,10^6,INDEX(Properties!A$1:CB$87,Formula!F23,32)),IF(INDEX(Properties!A$1:CB$87,Formula!H23,32)=0,10^6,INDEX(Properties!A$1:CB$87,Formula!H23,32)),IF(INDEX(Properties!A$1:CB$87,Formula!J23,32)=0,10^6,INDEX(Properties!A$1:CB$87,Formula!J23,32)))</f>
        <v>3.6</v>
      </c>
      <c r="DE23" s="42">
        <f t="shared" si="17"/>
        <v>3.94</v>
      </c>
      <c r="DF23" s="60">
        <f>((Formula!C23)/(Formula!C23+Formula!E23+Formula!G23+Formula!I23+Formula!K23))*(INDEX(Properties!A$1:CB$87,Formula!B23,34))+((Formula!E23)/(Formula!C23+Formula!E23+Formula!G23+Formula!I23+Formula!K23))*(INDEX(Properties!A$1:CB$87,Formula!D23,34))+((Formula!G23)/(Formula!C23+Formula!E23+Formula!G23+Formula!I23+Formula!K23))*(INDEX(Properties!A$1:CB$87,Formula!F23,34))+((Formula!I23)/(Formula!C23+Formula!E23+Formula!G23+Formula!I23+Formula!K23))*(INDEX(Properties!A$1:CB$87,Formula!H23,34))+((Formula!K23)/(Formula!C23+Formula!E23+Formula!G23+Formula!I23+Formula!K23))*(INDEX(Properties!A$1:CB$87,Formula!J23,34))</f>
        <v>2.851818181818182</v>
      </c>
      <c r="DG23" s="60">
        <f>Formula!C23*(INDEX(Properties!A$1:CB$87,Formula!B23,34))+Formula!E23*(INDEX(Properties!A$1:CB$87,Formula!D23,34))+Formula!G23*(INDEX(Properties!A$1:CB$87,Formula!F23,34))+Formula!I23*(INDEX(Properties!A$1:CB$87,Formula!H23,34))+Formula!K23*(INDEX(Properties!A$1:CB$87,Formula!J23,34))</f>
        <v>31.369999999999997</v>
      </c>
      <c r="DH23" s="60">
        <f>VARP(IF(INDEX(Properties!A$1:CB$87,Formula!B23,34)&lt;&gt;"",INDEX(Properties!A$1:CB$87,Formula!B23,34)),IF(INDEX(Properties!A$1:CB$87,Formula!D23,34)&lt;&gt;"",INDEX(Properties!A$1:CB$87,Formula!D23,34)),IF(INDEX(Properties!A$1:CB$87,Formula!F23,34)&lt;&gt;"",INDEX(Properties!A$1:CB$87,Formula!F23,34)),IF(INDEX(Properties!A$1:CB$87,Formula!H23,34)&lt;&gt;"",INDEX(Properties!A$1:CB$87,Formula!H23,34)),IF(INDEX(Properties!A$1:CB$87,Formula!J23,34)&lt;&gt;"",INDEX(Properties!A$1:CB$87,Formula!J23,34)))</f>
        <v>1.762456</v>
      </c>
      <c r="DI23" s="60">
        <f>MAX(INDEX(Properties!A$1:CB$87,Formula!B23,34),INDEX(Properties!A$1:CB$87,Formula!D23,34),INDEX(Properties!A$1:CB$87,Formula!F23,34),INDEX(Properties!A$1:CB$87,Formula!H23,34),INDEX(Properties!A$1:CB$87,Formula!J23,34))</f>
        <v>3.61</v>
      </c>
      <c r="DJ23" s="60">
        <f>MIN(IF(INDEX(Properties!A$1:CB$87,Formula!B23,34)=0,10^6,INDEX(Properties!A$1:CB$87,Formula!B23,34)),IF(INDEX(Properties!A$1:CB$87,Formula!D23,34)=0,10^6,INDEX(Properties!A$1:CB$87,Formula!D23,34)),IF(INDEX(Properties!A$1:CB$87,Formula!F23,34)=0,10^6,INDEX(Properties!A$1:CB$87,Formula!F23,34)),IF(INDEX(Properties!A$1:CB$87,Formula!H23,34)=0,10^6,INDEX(Properties!A$1:CB$87,Formula!H23,34)),IF(INDEX(Properties!A$1:CB$87,Formula!J23,34)=0,10^6,INDEX(Properties!A$1:CB$87,Formula!J23,34)))</f>
        <v>1.52</v>
      </c>
      <c r="DK23" s="60">
        <f t="shared" si="18"/>
        <v>2.09</v>
      </c>
      <c r="DL23" s="45">
        <f>((Formula!C23)/(Formula!C23+Formula!E23+Formula!G23+Formula!I23+Formula!K23))*(INDEX(Properties!A$1:CB$87,Formula!B23,39))+((Formula!E23)/(Formula!C23+Formula!E23+Formula!G23+Formula!I23+Formula!K23))*(INDEX(Properties!A$1:CB$87,Formula!D23,39))+((Formula!G23)/(Formula!C23+Formula!E23+Formula!G23+Formula!I23+Formula!K23))*(INDEX(Properties!A$1:CB$87,Formula!F23,39))+((Formula!I23)/(Formula!C23+Formula!E23+Formula!G23+Formula!I23+Formula!K23))*(INDEX(Properties!A$1:CB$87,Formula!H23,39))+((Formula!K23)/(Formula!C23+Formula!E23+Formula!G23+Formula!I23+Formula!K23))*(INDEX(Properties!A$1:CB$87,Formula!J23,39))</f>
        <v>0.90909090909090917</v>
      </c>
      <c r="DM23" s="45">
        <f>Formula!C23*(INDEX(Properties!A$1:CB$87,Formula!B23,39))+Formula!E23*(INDEX(Properties!A$1:CB$87,Formula!D23,39))+Formula!G23*(INDEX(Properties!A$1:CB$87,Formula!F23,39))+Formula!I23*(INDEX(Properties!A$1:CB$87,Formula!H23,39))+Formula!K23*(INDEX(Properties!A$1:CB$87,Formula!J23,39))</f>
        <v>10</v>
      </c>
      <c r="DN23" s="45">
        <f>VARP(IF(INDEX(Properties!A$1:CB$87,Formula!B23,39)&lt;&gt;"",INDEX(Properties!A$1:CB$87,Formula!B23,39)),IF(INDEX(Properties!A$1:CB$87,Formula!D23,39)&lt;&gt;"",INDEX(Properties!A$1:CB$87,Formula!D23,39)),IF(INDEX(Properties!A$1:CB$87,Formula!F23,39)&lt;&gt;"",INDEX(Properties!A$1:CB$87,Formula!F23,39)),IF(INDEX(Properties!A$1:CB$87,Formula!H23,39)&lt;&gt;"",INDEX(Properties!A$1:CB$87,Formula!H23,39)),IF(INDEX(Properties!A$1:CB$87,Formula!J23,39)&lt;&gt;"",INDEX(Properties!A$1:CB$87,Formula!J23,39)))</f>
        <v>0.57172000000000001</v>
      </c>
      <c r="DO23" s="45">
        <f>MAX(INDEX(Properties!A$1:CB$87,Formula!B23,39),INDEX(Properties!A$1:CB$87,Formula!D23,39),INDEX(Properties!A$1:CB$87,Formula!F23,39),INDEX(Properties!A$1:CB$87,Formula!H23,39),INDEX(Properties!A$1:CB$87,Formula!J23,39))</f>
        <v>1.71</v>
      </c>
      <c r="DP23" s="45">
        <f>MIN(IF(INDEX(Properties!A$1:CB$87,Formula!B23,39)=0,10^6,INDEX(Properties!A$1:CB$87,Formula!B23,39)),IF(INDEX(Properties!A$1:CB$87,Formula!D23,39)=0,10^6,INDEX(Properties!A$1:CB$87,Formula!D23,39)),IF(INDEX(Properties!A$1:CB$87,Formula!F23,39)=0,10^6,INDEX(Properties!A$1:CB$87,Formula!F23,39)),IF(INDEX(Properties!A$1:CB$87,Formula!H23,39)=0,10^6,INDEX(Properties!A$1:CB$87,Formula!H23,39)),IF(INDEX(Properties!A$1:CB$87,Formula!J23,39)=0,10^6,INDEX(Properties!A$1:CB$87,Formula!J23,39)))</f>
        <v>0.48</v>
      </c>
      <c r="DQ23" s="45">
        <f t="shared" si="19"/>
        <v>1.23</v>
      </c>
      <c r="DR23" s="63">
        <f>((Formula!C23)/(Formula!C23+Formula!E23+Formula!G23+Formula!I23+Formula!K23))*(INDEX(Properties!A$1:CB$87,Formula!B23,40))+((Formula!E23)/(Formula!C23+Formula!E23+Formula!G23+Formula!I23+Formula!K23))*(INDEX(Properties!A$1:CB$87,Formula!D23,40))+((Formula!G23)/(Formula!C23+Formula!E23+Formula!G23+Formula!I23+Formula!K23))*(INDEX(Properties!A$1:CB$87,Formula!F23,40))+((Formula!I23)/(Formula!C23+Formula!E23+Formula!G23+Formula!I23+Formula!K23))*(INDEX(Properties!A$1:CB$87,Formula!H23,40))+((Formula!K23)/(Formula!C23+Formula!E23+Formula!G23+Formula!I23+Formula!K23))*(INDEX(Properties!A$1:CB$87,Formula!J23,40))</f>
        <v>0.96090909090909093</v>
      </c>
      <c r="DS23" s="63">
        <f>Formula!C23*(INDEX(Properties!A$1:CB$87,Formula!B23,40))+Formula!E23*(INDEX(Properties!A$1:CB$87,Formula!D23,40))+Formula!G23*(INDEX(Properties!A$1:CB$87,Formula!F23,40))+Formula!I23*(INDEX(Properties!A$1:CB$87,Formula!H23,40))+Formula!K23*(INDEX(Properties!A$1:CB$87,Formula!J23,40))</f>
        <v>10.57</v>
      </c>
      <c r="DT23" s="63">
        <f>VARP(IF(INDEX(Properties!A$1:CB$87,Formula!B23,40)&lt;&gt;"",INDEX(Properties!A$1:CB$87,Formula!B23,40)),IF(INDEX(Properties!A$1:CB$87,Formula!D23,40)&lt;&gt;"",INDEX(Properties!A$1:CB$87,Formula!D23,40)),IF(INDEX(Properties!A$1:CB$87,Formula!F23,40)&lt;&gt;"",INDEX(Properties!A$1:CB$87,Formula!F23,40)),IF(INDEX(Properties!A$1:CB$87,Formula!H23,40)&lt;&gt;"",INDEX(Properties!A$1:CB$87,Formula!H23,40)),IF(INDEX(Properties!A$1:CB$87,Formula!J23,40)&lt;&gt;"",INDEX(Properties!A$1:CB$87,Formula!J23,40)))</f>
        <v>0.37829600000000008</v>
      </c>
      <c r="DU23" s="63">
        <f>MAX(INDEX(Properties!A$1:CB$87,Formula!B23,40),INDEX(Properties!A$1:CB$87,Formula!D23,40),INDEX(Properties!A$1:CB$87,Formula!F23,40),INDEX(Properties!A$1:CB$87,Formula!H23,40),INDEX(Properties!A$1:CB$87,Formula!J23,40))</f>
        <v>1.48</v>
      </c>
      <c r="DV23" s="63">
        <f>MIN(IF(INDEX(Properties!A$1:CB$87,Formula!B23,40)=0,10^6,INDEX(Properties!A$1:CB$87,Formula!B23,40)),IF(INDEX(Properties!A$1:CB$87,Formula!D23,40)=0,10^6,INDEX(Properties!A$1:CB$87,Formula!D23,40)),IF(INDEX(Properties!A$1:CB$87,Formula!F23,40)=0,10^6,INDEX(Properties!A$1:CB$87,Formula!F23,40)),IF(INDEX(Properties!A$1:CB$87,Formula!H23,40)=0,10^6,INDEX(Properties!A$1:CB$87,Formula!H23,40)),IF(INDEX(Properties!A$1:CB$87,Formula!J23,40)=0,10^6,INDEX(Properties!A$1:CB$87,Formula!J23,40)))</f>
        <v>0.73</v>
      </c>
      <c r="DW23" s="63">
        <f t="shared" si="20"/>
        <v>0.75</v>
      </c>
      <c r="DX23" s="75">
        <f>((Formula!C23)/(Formula!C23+Formula!E23+Formula!G23+Formula!I23+Formula!K23))*(INDEX(Properties!A$1:CB$87,Formula!B23,41))+((Formula!E23)/(Formula!C23+Formula!E23+Formula!G23+Formula!I23+Formula!K23))*(INDEX(Properties!A$1:CB$87,Formula!D23,41))+((Formula!G23)/(Formula!C23+Formula!E23+Formula!G23+Formula!I23+Formula!K23))*(INDEX(Properties!A$1:CB$87,Formula!F23,41))+((Formula!I23)/(Formula!C23+Formula!E23+Formula!G23+Formula!I23+Formula!K23))*(INDEX(Properties!A$1:CB$87,Formula!H23,41))+((Formula!K23)/(Formula!C23+Formula!E23+Formula!G23+Formula!I23+Formula!K23))*(INDEX(Properties!A$1:CB$87,Formula!J23,41))</f>
        <v>1.169090909090909</v>
      </c>
      <c r="DY23" s="75">
        <f>Formula!C23*(INDEX(Properties!A$1:CB$87,Formula!B23,41))+Formula!E23*(INDEX(Properties!A$1:CB$87,Formula!D23,41))+Formula!G23*(INDEX(Properties!A$1:CB$87,Formula!F23,41))+Formula!I23*(INDEX(Properties!A$1:CB$87,Formula!H23,41))+Formula!K23*(INDEX(Properties!A$1:CB$87,Formula!J23,41))</f>
        <v>12.86</v>
      </c>
      <c r="DZ23" s="75">
        <f>VARP(IF(INDEX(Properties!A$1:CB$87,Formula!B23,41)&lt;&gt;"",INDEX(Properties!A$1:CB$87,Formula!B23,41)),IF(INDEX(Properties!A$1:CB$87,Formula!D23,41)&lt;&gt;"",INDEX(Properties!A$1:CB$87,Formula!D23,41)),IF(INDEX(Properties!A$1:CB$87,Formula!F23,41)&lt;&gt;"",INDEX(Properties!A$1:CB$87,Formula!F23,41)),IF(INDEX(Properties!A$1:CB$87,Formula!H23,41)&lt;&gt;"",INDEX(Properties!A$1:CB$87,Formula!H23,41)),IF(INDEX(Properties!A$1:CB$87,Formula!J23,41)&lt;&gt;"",INDEX(Properties!A$1:CB$87,Formula!J23,41)))</f>
        <v>0.29778400000000005</v>
      </c>
      <c r="EA23" s="75">
        <f>MAX(INDEX(Properties!A$1:CB$87,Formula!B23,41),INDEX(Properties!A$1:CB$87,Formula!D23,41),INDEX(Properties!A$1:CB$87,Formula!F23,41),INDEX(Properties!A$1:CB$87,Formula!H23,41),INDEX(Properties!A$1:CB$87,Formula!J23,41))</f>
        <v>1.26</v>
      </c>
      <c r="EB23" s="75">
        <f>MIN(IF(INDEX(Properties!A$1:CB$87,Formula!B23,41)=0,10^6,INDEX(Properties!A$1:CB$87,Formula!B23,41)),IF(INDEX(Properties!A$1:CB$87,Formula!D23,41)=0,10^6,INDEX(Properties!A$1:CB$87,Formula!D23,41)),IF(INDEX(Properties!A$1:CB$87,Formula!F23,41)=0,10^6,INDEX(Properties!A$1:CB$87,Formula!F23,41)),IF(INDEX(Properties!A$1:CB$87,Formula!H23,41)=0,10^6,INDEX(Properties!A$1:CB$87,Formula!H23,41)),IF(INDEX(Properties!A$1:CB$87,Formula!J23,41)=0,10^6,INDEX(Properties!A$1:CB$87,Formula!J23,41)))</f>
        <v>0.93</v>
      </c>
      <c r="EC23" s="75">
        <f t="shared" si="21"/>
        <v>0.32999999999999996</v>
      </c>
      <c r="ED23" s="48">
        <f>((Formula!C23)/(Formula!C23+Formula!E23+Formula!G23+Formula!I23+Formula!K23))*(INDEX(Properties!A$1:CB$87,Formula!B23,45))+((Formula!E23)/(Formula!C23+Formula!E23+Formula!G23+Formula!I23+Formula!K23))*(INDEX(Properties!A$1:CB$87,Formula!D23,45))+((Formula!G23)/(Formula!C23+Formula!E23+Formula!G23+Formula!I23+Formula!K23))*(INDEX(Properties!A$1:CB$87,Formula!F23,45))+((Formula!I23)/(Formula!C23+Formula!E23+Formula!G23+Formula!I23+Formula!K23))*(INDEX(Properties!A$1:CB$87,Formula!H23,45))+((Formula!K23)/(Formula!C23+Formula!E23+Formula!G23+Formula!I23+Formula!K23))*(INDEX(Properties!A$1:CB$87,Formula!J23,45))</f>
        <v>1.1445454545454545</v>
      </c>
      <c r="EE23" s="48">
        <f>Formula!C23*(INDEX(Properties!A$1:CB$87,Formula!B23,45))+Formula!E23*(INDEX(Properties!A$1:CB$87,Formula!D23,45))+Formula!G23*(INDEX(Properties!A$1:CB$87,Formula!F23,45))+Formula!I23*(INDEX(Properties!A$1:CB$87,Formula!H23,45))+Formula!K23*(INDEX(Properties!A$1:CB$87,Formula!J23,45))</f>
        <v>12.59</v>
      </c>
      <c r="EF23" s="48">
        <f>VARP(IF(INDEX(Properties!A$1:CB$87,Formula!B23,45)&lt;&gt;"",INDEX(Properties!A$1:CB$87,Formula!B23,45)),IF(INDEX(Properties!A$1:CB$87,Formula!D23,45)&lt;&gt;"",INDEX(Properties!A$1:CB$87,Formula!D23,45)),IF(INDEX(Properties!A$1:CB$87,Formula!F23,45)&lt;&gt;"",INDEX(Properties!A$1:CB$87,Formula!F23,45)),IF(INDEX(Properties!A$1:CB$87,Formula!H23,45)&lt;&gt;"",INDEX(Properties!A$1:CB$87,Formula!H23,45)),IF(INDEX(Properties!A$1:CB$87,Formula!J23,45)&lt;&gt;"",INDEX(Properties!A$1:CB$87,Formula!J23,45)))</f>
        <v>1.1622640000000002</v>
      </c>
      <c r="EG23" s="48">
        <f>MAX(INDEX(Properties!A$1:CB$87,Formula!B23,45),INDEX(Properties!A$1:CB$87,Formula!D23,45),INDEX(Properties!A$1:CB$87,Formula!F23,45),INDEX(Properties!A$1:CB$87,Formula!H23,45),INDEX(Properties!A$1:CB$87,Formula!J23,45))</f>
        <v>2.4300000000000002</v>
      </c>
      <c r="EH23" s="48">
        <f>MIN(IF(INDEX(Properties!A$1:CB$87,Formula!B23,45)=0,10^6,INDEX(Properties!A$1:CB$87,Formula!B23,45)),IF(INDEX(Properties!A$1:CB$87,Formula!D23,45)=0,10^6,INDEX(Properties!A$1:CB$87,Formula!D23,45)),IF(INDEX(Properties!A$1:CB$87,Formula!F23,45)=0,10^6,INDEX(Properties!A$1:CB$87,Formula!F23,45)),IF(INDEX(Properties!A$1:CB$87,Formula!H23,45)=0,10^6,INDEX(Properties!A$1:CB$87,Formula!H23,45)),IF(INDEX(Properties!A$1:CB$87,Formula!J23,45)=0,10^6,INDEX(Properties!A$1:CB$87,Formula!J23,45)))</f>
        <v>0.47</v>
      </c>
      <c r="EI23" s="48">
        <f t="shared" si="22"/>
        <v>1.9600000000000002</v>
      </c>
      <c r="EJ23" s="66">
        <f>((Formula!C23)/(Formula!C23+Formula!E23+Formula!G23+Formula!I23+Formula!K23))*(INDEX(Properties!A$1:CB$87,Formula!B23,46))+((Formula!E23)/(Formula!C23+Formula!E23+Formula!G23+Formula!I23+Formula!K23))*(INDEX(Properties!A$1:CB$87,Formula!D23,46))+((Formula!G23)/(Formula!C23+Formula!E23+Formula!G23+Formula!I23+Formula!K23))*(INDEX(Properties!A$1:CB$87,Formula!F23,46))+((Formula!I23)/(Formula!C23+Formula!E23+Formula!G23+Formula!I23+Formula!K23))*(INDEX(Properties!A$1:CB$87,Formula!H23,46))+((Formula!K23)/(Formula!C23+Formula!E23+Formula!G23+Formula!I23+Formula!K23))*(INDEX(Properties!A$1:CB$87,Formula!J23,46))</f>
        <v>1.060909090909091</v>
      </c>
      <c r="EK23" s="66">
        <f>Formula!C23*(INDEX(Properties!A$1:CB$87,Formula!B23,46))+Formula!E23*(INDEX(Properties!A$1:CB$87,Formula!D23,46))+Formula!G23*(INDEX(Properties!A$1:CB$87,Formula!F23,46))+Formula!I23*(INDEX(Properties!A$1:CB$87,Formula!H23,46))+Formula!K23*(INDEX(Properties!A$1:CB$87,Formula!J23,46))</f>
        <v>11.669999999999998</v>
      </c>
      <c r="EL23" s="66">
        <f>VARP(IF(INDEX(Properties!A$1:CB$87,Formula!B23,46)&lt;&gt;"",INDEX(Properties!A$1:CB$87,Formula!B23,46)),IF(INDEX(Properties!A$1:CB$87,Formula!D23,46)&lt;&gt;"",INDEX(Properties!A$1:CB$87,Formula!D23,46)),IF(INDEX(Properties!A$1:CB$87,Formula!F23,46)&lt;&gt;"",INDEX(Properties!A$1:CB$87,Formula!F23,46)),IF(INDEX(Properties!A$1:CB$87,Formula!H23,46)&lt;&gt;"",INDEX(Properties!A$1:CB$87,Formula!H23,46)),IF(INDEX(Properties!A$1:CB$87,Formula!J23,46)&lt;&gt;"",INDEX(Properties!A$1:CB$87,Formula!J23,46)))</f>
        <v>0.23873599999999995</v>
      </c>
      <c r="EM23" s="66">
        <f>MAX(INDEX(Properties!A$1:CB$87,Formula!B23,46),INDEX(Properties!A$1:CB$87,Formula!D23,46),INDEX(Properties!A$1:CB$87,Formula!F23,46),INDEX(Properties!A$1:CB$87,Formula!H23,46),INDEX(Properties!A$1:CB$87,Formula!J23,46))</f>
        <v>1.21</v>
      </c>
      <c r="EN23" s="66">
        <f>MIN(IF(INDEX(Properties!A$1:CB$87,Formula!B23,46)=0,10^6,INDEX(Properties!A$1:CB$87,Formula!B23,46)),IF(INDEX(Properties!A$1:CB$87,Formula!D23,46)=0,10^6,INDEX(Properties!A$1:CB$87,Formula!D23,46)),IF(INDEX(Properties!A$1:CB$87,Formula!F23,46)=0,10^6,INDEX(Properties!A$1:CB$87,Formula!F23,46)),IF(INDEX(Properties!A$1:CB$87,Formula!H23,46)=0,10^6,INDEX(Properties!A$1:CB$87,Formula!H23,46)),IF(INDEX(Properties!A$1:CB$87,Formula!J23,46)=0,10^6,INDEX(Properties!A$1:CB$87,Formula!J23,46)))</f>
        <v>0.68</v>
      </c>
      <c r="EO23" s="66">
        <f t="shared" si="23"/>
        <v>0.52999999999999992</v>
      </c>
      <c r="EP23" s="81">
        <f>((Formula!C23)/(Formula!C23+Formula!E23+Formula!G23+Formula!I23+Formula!K23))*(INDEX(Properties!A$1:CB$87,Formula!B23,52))+((Formula!E23)/(Formula!C23+Formula!E23+Formula!G23+Formula!I23+Formula!K23))*(INDEX(Properties!A$1:CB$87,Formula!D23,52))+((Formula!G23)/(Formula!C23+Formula!E23+Formula!G23+Formula!I23+Formula!K23))*(INDEX(Properties!A$1:CB$87,Formula!F23,52))+((Formula!I23)/(Formula!C23+Formula!E23+Formula!G23+Formula!I23+Formula!K23))*(INDEX(Properties!A$1:CB$87,Formula!H23,52))+((Formula!K23)/(Formula!C23+Formula!E23+Formula!G23+Formula!I23+Formula!K23))*(INDEX(Properties!A$1:CB$87,Formula!J23,52))</f>
        <v>4.0682727272727277</v>
      </c>
      <c r="EQ23" s="81">
        <f>Formula!C23*(INDEX(Properties!A$1:CB$87,Formula!B23,52))+Formula!E23*(INDEX(Properties!A$1:CB$87,Formula!D23,52))+Formula!G23*(INDEX(Properties!A$1:CB$87,Formula!F23,52))+Formula!I23*(INDEX(Properties!A$1:CB$87,Formula!H23,52))+Formula!K23*(INDEX(Properties!A$1:CB$87,Formula!J23,52))</f>
        <v>44.751000000000005</v>
      </c>
      <c r="ER23" s="81">
        <f>VARP(IF(INDEX(Properties!A$1:CB$87,Formula!B23,52)&lt;&gt;"",INDEX(Properties!A$1:CB$87,Formula!B23,52)),IF(INDEX(Properties!A$1:CB$87,Formula!D23,52)&lt;&gt;"",INDEX(Properties!A$1:CB$87,Formula!D23,52)),IF(INDEX(Properties!A$1:CB$87,Formula!F23,52)&lt;&gt;"",INDEX(Properties!A$1:CB$87,Formula!F23,52)),IF(INDEX(Properties!A$1:CB$87,Formula!H23,52)&lt;&gt;"",INDEX(Properties!A$1:CB$87,Formula!H23,52)),IF(INDEX(Properties!A$1:CB$87,Formula!J23,52)&lt;&gt;"",INDEX(Properties!A$1:CB$87,Formula!J23,52)))</f>
        <v>24.610791840000005</v>
      </c>
      <c r="ES23" s="81">
        <f>MAX(INDEX(Properties!A$1:CB$87,Formula!B23,52),INDEX(Properties!A$1:CB$87,Formula!D23,52),INDEX(Properties!A$1:CB$87,Formula!F23,52),INDEX(Properties!A$1:CB$87,Formula!H23,52),INDEX(Properties!A$1:CB$87,Formula!J23,52))</f>
        <v>12.4</v>
      </c>
      <c r="ET23" s="81">
        <f>MIN(IF(INDEX(Properties!A$1:CB$87,Formula!B23,52)=0,10^6,INDEX(Properties!A$1:CB$87,Formula!B23,52)),IF(INDEX(Properties!A$1:CB$87,Formula!D23,52)=0,10^6,INDEX(Properties!A$1:CB$87,Formula!D23,52)),IF(INDEX(Properties!A$1:CB$87,Formula!F23,52)=0,10^6,INDEX(Properties!A$1:CB$87,Formula!F23,52)),IF(INDEX(Properties!A$1:CB$87,Formula!H23,52)=0,10^6,INDEX(Properties!A$1:CB$87,Formula!H23,52)),IF(INDEX(Properties!A$1:CB$87,Formula!J23,52)=0,10^6,INDEX(Properties!A$1:CB$87,Formula!J23,52)))</f>
        <v>0.79300000000000004</v>
      </c>
      <c r="EU23" s="81">
        <f t="shared" si="24"/>
        <v>11.607000000000001</v>
      </c>
      <c r="EV23" s="39">
        <f>((Formula!C23)/(Formula!C23+Formula!E23+Formula!G23+Formula!I23+Formula!K23))*(INDEX(Properties!A$1:CB$87,Formula!B23,53))+((Formula!E23)/(Formula!C23+Formula!E23+Formula!G23+Formula!I23+Formula!K23))*(INDEX(Properties!A$1:CB$87,Formula!D23,53))+((Formula!G23)/(Formula!C23+Formula!E23+Formula!G23+Formula!I23+Formula!K23))*(INDEX(Properties!A$1:CB$87,Formula!F23,53))+((Formula!I23)/(Formula!C23+Formula!E23+Formula!G23+Formula!I23+Formula!K23))*(INDEX(Properties!A$1:CB$87,Formula!H23,53))+((Formula!K23)/(Formula!C23+Formula!E23+Formula!G23+Formula!I23+Formula!K23))*(INDEX(Properties!A$1:CB$87,Formula!J23,53))</f>
        <v>536.15</v>
      </c>
      <c r="EW23" s="39">
        <f>Formula!C23*(INDEX(Properties!A$1:CB$87,Formula!B23,53))+Formula!E23*(INDEX(Properties!A$1:CB$87,Formula!D23,53))+Formula!G23*(INDEX(Properties!A$1:CB$87,Formula!F23,53))+Formula!I23*(INDEX(Properties!A$1:CB$87,Formula!H23,53))+Formula!K23*(INDEX(Properties!A$1:CB$87,Formula!J23,53))</f>
        <v>5897.65</v>
      </c>
      <c r="EX23" s="39">
        <f>VARP(IF(INDEX(Properties!A$1:CB$87,Formula!B23,53)&lt;&gt;"",INDEX(Properties!A$1:CB$87,Formula!B23,53)),IF(INDEX(Properties!A$1:CB$87,Formula!D23,53)&lt;&gt;"",INDEX(Properties!A$1:CB$87,Formula!D23,53)),IF(INDEX(Properties!A$1:CB$87,Formula!F23,53)&lt;&gt;"",INDEX(Properties!A$1:CB$87,Formula!F23,53)),IF(INDEX(Properties!A$1:CB$87,Formula!H23,53)&lt;&gt;"",INDEX(Properties!A$1:CB$87,Formula!H23,53)),IF(INDEX(Properties!A$1:CB$87,Formula!J23,53)&lt;&gt;"",INDEX(Properties!A$1:CB$87,Formula!J23,53)))</f>
        <v>690739.66540000006</v>
      </c>
      <c r="EY23" s="39">
        <f>MAX(INDEX(Properties!A$1:CB$87,Formula!B23,53),INDEX(Properties!A$1:CB$87,Formula!D23,53),INDEX(Properties!A$1:CB$87,Formula!F23,53),INDEX(Properties!A$1:CB$87,Formula!H23,53),INDEX(Properties!A$1:CB$87,Formula!J23,53))</f>
        <v>2163.15</v>
      </c>
      <c r="EZ23" s="39">
        <f>MIN(IF(INDEX(Properties!A$1:CB$87,Formula!B23,53)=0,10^6,INDEX(Properties!A$1:CB$87,Formula!B23,53)),IF(INDEX(Properties!A$1:CB$87,Formula!D23,53)=0,10^6,INDEX(Properties!A$1:CB$87,Formula!D23,53)),IF(INDEX(Properties!A$1:CB$87,Formula!F23,53)=0,10^6,INDEX(Properties!A$1:CB$87,Formula!F23,53)),IF(INDEX(Properties!A$1:CB$87,Formula!H23,53)=0,10^6,INDEX(Properties!A$1:CB$87,Formula!H23,53)),IF(INDEX(Properties!A$1:CB$87,Formula!J23,53)=0,10^6,INDEX(Properties!A$1:CB$87,Formula!J23,53)))</f>
        <v>54.749999999999972</v>
      </c>
      <c r="FA23" s="39">
        <f t="shared" si="25"/>
        <v>2108.4</v>
      </c>
      <c r="FB23" s="54">
        <f>((Formula!C23)/(Formula!C23+Formula!E23+Formula!G23+Formula!I23+Formula!K23))*(INDEX(Properties!A$1:CB$87,Formula!B23,54))+((Formula!E23)/(Formula!C23+Formula!E23+Formula!G23+Formula!I23+Formula!K23))*(INDEX(Properties!A$1:CB$87,Formula!D23,54))+((Formula!G23)/(Formula!C23+Formula!E23+Formula!G23+Formula!I23+Formula!K23))*(INDEX(Properties!A$1:CB$87,Formula!F23,54))+((Formula!I23)/(Formula!C23+Formula!E23+Formula!G23+Formula!I23+Formula!K23))*(INDEX(Properties!A$1:CB$87,Formula!H23,54))+((Formula!K23)/(Formula!C23+Formula!E23+Formula!G23+Formula!I23+Formula!K23))*(INDEX(Properties!A$1:CB$87,Formula!J23,54))</f>
        <v>910.33181818181822</v>
      </c>
      <c r="FC23" s="54">
        <f>Formula!C23*(INDEX(Properties!A$1:CB$87,Formula!B23,54))+Formula!E23*(INDEX(Properties!A$1:CB$87,Formula!D23,54))+Formula!G23*(INDEX(Properties!A$1:CB$87,Formula!F23,54))+Formula!I23*(INDEX(Properties!A$1:CB$87,Formula!H23,54))+Formula!K23*(INDEX(Properties!A$1:CB$87,Formula!J23,54))</f>
        <v>10013.65</v>
      </c>
      <c r="FD23" s="54">
        <f>VARP(IF(INDEX(Properties!A$1:CB$87,Formula!B23,54)&lt;&gt;"",INDEX(Properties!A$1:CB$87,Formula!B23,54)),IF(INDEX(Properties!A$1:CB$87,Formula!D23,54)&lt;&gt;"",INDEX(Properties!A$1:CB$87,Formula!D23,54)),IF(INDEX(Properties!A$1:CB$87,Formula!F23,54)&lt;&gt;"",INDEX(Properties!A$1:CB$87,Formula!F23,54)),IF(INDEX(Properties!A$1:CB$87,Formula!H23,54)&lt;&gt;"",INDEX(Properties!A$1:CB$87,Formula!H23,54)),IF(INDEX(Properties!A$1:CB$87,Formula!J23,54)&lt;&gt;"",INDEX(Properties!A$1:CB$87,Formula!J23,54)))</f>
        <v>1971786.9094000002</v>
      </c>
      <c r="FE23" s="54">
        <f>MAX(INDEX(Properties!A$1:CB$87,Formula!B23,54),INDEX(Properties!A$1:CB$87,Formula!D23,54),INDEX(Properties!A$1:CB$87,Formula!F23,54),INDEX(Properties!A$1:CB$87,Formula!H23,54),INDEX(Properties!A$1:CB$87,Formula!J23,54))</f>
        <v>3653.15</v>
      </c>
      <c r="FF23" s="54">
        <f>MIN(IF(INDEX(Properties!A$1:CB$87,Formula!B23,54)=0,10^6,INDEX(Properties!A$1:CB$87,Formula!B23,54)),IF(INDEX(Properties!A$1:CB$87,Formula!D23,54)=0,10^6,INDEX(Properties!A$1:CB$87,Formula!D23,54)),IF(INDEX(Properties!A$1:CB$87,Formula!F23,54)=0,10^6,INDEX(Properties!A$1:CB$87,Formula!F23,54)),IF(INDEX(Properties!A$1:CB$87,Formula!H23,54)=0,10^6,INDEX(Properties!A$1:CB$87,Formula!H23,54)),IF(INDEX(Properties!A$1:CB$87,Formula!J23,54)=0,10^6,INDEX(Properties!A$1:CB$87,Formula!J23,54)))</f>
        <v>90.149999999999977</v>
      </c>
      <c r="FG23" s="54">
        <f t="shared" si="26"/>
        <v>3563</v>
      </c>
      <c r="FH23" s="69">
        <f>((Formula!C23)/(Formula!C23+Formula!E23+Formula!G23+Formula!I23+Formula!K23))*(INDEX(Properties!A$1:CB$87,Formula!B23,55))+((Formula!E23)/(Formula!C23+Formula!E23+Formula!G23+Formula!I23+Formula!K23))*(INDEX(Properties!A$1:CB$87,Formula!D23,55))+((Formula!G23)/(Formula!C23+Formula!E23+Formula!G23+Formula!I23+Formula!K23))*(INDEX(Properties!A$1:CB$87,Formula!F23,55))+((Formula!I23)/(Formula!C23+Formula!E23+Formula!G23+Formula!I23+Formula!K23))*(INDEX(Properties!A$1:CB$87,Formula!H23,55))+((Formula!K23)/(Formula!C23+Formula!E23+Formula!G23+Formula!I23+Formula!K23))*(INDEX(Properties!A$1:CB$87,Formula!J23,55))</f>
        <v>2.6845463636363638</v>
      </c>
      <c r="FI23" s="69">
        <f>Formula!C23*(INDEX(Properties!A$1:CB$87,Formula!B23,55))+Formula!E23*(INDEX(Properties!A$1:CB$87,Formula!D23,54))+Formula!G23*(INDEX(Properties!A$1:CB$87,Formula!F23,55))+Formula!I23*(INDEX(Properties!A$1:CB$87,Formula!H23,55))+Formula!K23*(INDEX(Properties!A$1:CB$87,Formula!J23,55))</f>
        <v>7323.6100100000003</v>
      </c>
      <c r="FJ23" s="69">
        <f>VARP(IF(INDEX(Properties!A$1:CB$87,Formula!B23,55)&lt;&gt;"",INDEX(Properties!A$1:CB$87,Formula!B23,55)),IF(INDEX(Properties!A$1:CB$87,Formula!D23,55)&lt;&gt;"",INDEX(Properties!A$1:CB$87,Formula!D23,55)),IF(INDEX(Properties!A$1:CB$87,Formula!F23,55)&lt;&gt;"",INDEX(Properties!A$1:CB$87,Formula!F23,55)),IF(INDEX(Properties!A$1:CB$87,Formula!H23,55)&lt;&gt;"",INDEX(Properties!A$1:CB$87,Formula!H23,55)),IF(INDEX(Properties!A$1:CB$87,Formula!J23,55)&lt;&gt;"",INDEX(Properties!A$1:CB$87,Formula!J23,55)))</f>
        <v>13.714927783184002</v>
      </c>
      <c r="FK23" s="69">
        <f>MAX(INDEX(Properties!A$1:CB$87,Formula!B23,55),INDEX(Properties!A$1:CB$87,Formula!D23,55),INDEX(Properties!A$1:CB$87,Formula!F23,55),INDEX(Properties!A$1:CB$87,Formula!H23,55),INDEX(Properties!A$1:CB$87,Formula!J23,55))</f>
        <v>8.65</v>
      </c>
      <c r="FL23" s="69">
        <f>MIN(IF(INDEX(Properties!A$1:CB$87,Formula!B23,55)=0,10^6,INDEX(Properties!A$1:CB$87,Formula!B23,55)),IF(INDEX(Properties!A$1:CB$87,Formula!D23,55)=0,10^6,INDEX(Properties!A$1:CB$87,Formula!D23,55)),IF(INDEX(Properties!A$1:CB$87,Formula!F23,55)=0,10^6,INDEX(Properties!A$1:CB$87,Formula!F23,55)),IF(INDEX(Properties!A$1:CB$87,Formula!H23,55)=0,10^6,INDEX(Properties!A$1:CB$87,Formula!H23,55)),IF(INDEX(Properties!A$1:CB$87,Formula!J23,55)=0,10^6,INDEX(Properties!A$1:CB$87,Formula!J23,55)))</f>
        <v>1.4300000000000001E-3</v>
      </c>
      <c r="FM23" s="69">
        <f t="shared" si="27"/>
        <v>8.6485700000000012</v>
      </c>
      <c r="FN23" s="42">
        <f>((Formula!C23)/(Formula!C23+Formula!E23+Formula!G23+Formula!I23+Formula!K23))*(INDEX(Properties!A$1:CB$87,Formula!B23,56))+((Formula!E23)/(Formula!C23+Formula!E23+Formula!G23+Formula!I23+Formula!K23))*(INDEX(Properties!A$1:CB$87,Formula!D23,56))+((Formula!G23)/(Formula!C23+Formula!E23+Formula!G23+Formula!I23+Formula!K23))*(INDEX(Properties!A$1:CB$87,Formula!F23,56))+((Formula!I23)/(Formula!C23+Formula!E23+Formula!G23+Formula!I23+Formula!K23))*(INDEX(Properties!A$1:CB$87,Formula!H23,56))+((Formula!K23)/(Formula!C23+Formula!E23+Formula!G23+Formula!I23+Formula!K23))*(INDEX(Properties!A$1:CB$87,Formula!J23,56))</f>
        <v>0.71636363636363631</v>
      </c>
      <c r="FO23" s="42">
        <f>Formula!C23*(INDEX(Properties!A$1:CB$87,Formula!B23,56))+Formula!E23*(INDEX(Properties!A$1:CB$87,Formula!D23,56))+Formula!G23*(INDEX(Properties!A$1:CB$87,Formula!F23,56))+Formula!I23*(INDEX(Properties!A$1:CB$87,Formula!H23,56))+Formula!K23*(INDEX(Properties!A$1:CB$87,Formula!J23,56))</f>
        <v>7.8800000000000008</v>
      </c>
      <c r="FP23" s="42">
        <f>VARP(IF(INDEX(Properties!A$1:CB$87,Formula!B23,56)&lt;&gt;"",INDEX(Properties!A$1:CB$87,Formula!B23,56)),IF(INDEX(Properties!A$1:CB$87,Formula!D23,56)&lt;&gt;"",INDEX(Properties!A$1:CB$87,Formula!D23,56)),IF(INDEX(Properties!A$1:CB$87,Formula!F23,56)&lt;&gt;"",INDEX(Properties!A$1:CB$87,Formula!F23,56)),IF(INDEX(Properties!A$1:CB$87,Formula!H23,56)&lt;&gt;"",INDEX(Properties!A$1:CB$87,Formula!H23,56)),IF(INDEX(Properties!A$1:CB$87,Formula!J23,56)&lt;&gt;"",INDEX(Properties!A$1:CB$87,Formula!J23,56)))</f>
        <v>0.12029599999999999</v>
      </c>
      <c r="FQ23" s="42">
        <f>MAX(INDEX(Properties!A$1:CB$87,Formula!B23,56),INDEX(Properties!A$1:CB$87,Formula!D23,56),INDEX(Properties!A$1:CB$87,Formula!F23,56),INDEX(Properties!A$1:CB$87,Formula!H23,56),INDEX(Properties!A$1:CB$87,Formula!J23,56))</f>
        <v>0.92</v>
      </c>
      <c r="FR23" s="42">
        <f>MIN(IF(INDEX(Properties!A$1:CB$87,Formula!B23,56)=0,10^6,INDEX(Properties!A$1:CB$87,Formula!B23,56)),IF(INDEX(Properties!A$1:CB$87,Formula!D23,56)=0,10^6,INDEX(Properties!A$1:CB$87,Formula!D23,56)),IF(INDEX(Properties!A$1:CB$87,Formula!F23,56)=0,10^6,INDEX(Properties!A$1:CB$87,Formula!F23,56)),IF(INDEX(Properties!A$1:CB$87,Formula!H23,56)=0,10^6,INDEX(Properties!A$1:CB$87,Formula!H23,56)),IF(INDEX(Properties!A$1:CB$87,Formula!J23,56)=0,10^6,INDEX(Properties!A$1:CB$87,Formula!J23,56)))</f>
        <v>0.23</v>
      </c>
      <c r="FS23" s="42">
        <f t="shared" si="28"/>
        <v>0.69000000000000006</v>
      </c>
      <c r="FT23" s="60">
        <f>((Formula!C23)/(Formula!C23+Formula!E23+Formula!G23+Formula!I23+Formula!K23))*(INDEX(Properties!A$1:CB$87,Formula!B23,57))+((Formula!E23)/(Formula!C23+Formula!E23+Formula!G23+Formula!I23+Formula!K23))*(INDEX(Properties!A$1:CB$87,Formula!D23,57))+((Formula!G23)/(Formula!C23+Formula!E23+Formula!G23+Formula!I23+Formula!K23))*(INDEX(Properties!A$1:CB$87,Formula!F23,57))+((Formula!I23)/(Formula!C23+Formula!E23+Formula!G23+Formula!I23+Formula!K23))*(INDEX(Properties!A$1:CB$87,Formula!H23,57))+((Formula!K23)/(Formula!C23+Formula!E23+Formula!G23+Formula!I23+Formula!K23))*(INDEX(Properties!A$1:CB$87,Formula!J23,57))</f>
        <v>5.0674663636363633</v>
      </c>
      <c r="FU23" s="60">
        <f>Formula!C23*(INDEX(Properties!A$1:CB$87,Formula!B23,57))+Formula!E23*(INDEX(Properties!A$1:CB$87,Formula!D23,57))+Formula!G23*(INDEX(Properties!A$1:CB$87,Formula!F23,57))+Formula!I23*(INDEX(Properties!A$1:CB$87,Formula!H23,57))+Formula!K23*(INDEX(Properties!A$1:CB$87,Formula!J23,57))</f>
        <v>55.742129999999996</v>
      </c>
      <c r="FV23" s="60">
        <f>VARP(IF(INDEX(Properties!A$1:CB$87,Formula!B23,57)&lt;&gt;"",INDEX(Properties!A$1:CB$87,Formula!B23,57)),IF(INDEX(Properties!A$1:CB$87,Formula!D23,57)&lt;&gt;"",INDEX(Properties!A$1:CB$87,Formula!D23,57)),IF(INDEX(Properties!A$1:CB$87,Formula!F23,57)&lt;&gt;"",INDEX(Properties!A$1:CB$87,Formula!F23,57)),IF(INDEX(Properties!A$1:CB$87,Formula!H23,57)&lt;&gt;"",INDEX(Properties!A$1:CB$87,Formula!H23,57)),IF(INDEX(Properties!A$1:CB$87,Formula!J23,57)&lt;&gt;"",INDEX(Properties!A$1:CB$87,Formula!J23,57)))</f>
        <v>65.196608986895995</v>
      </c>
      <c r="FW23" s="60">
        <f>MAX(INDEX(Properties!A$1:CB$87,Formula!B23,57),INDEX(Properties!A$1:CB$87,Formula!D23,57),INDEX(Properties!A$1:CB$87,Formula!F23,57),INDEX(Properties!A$1:CB$87,Formula!H23,57),INDEX(Properties!A$1:CB$87,Formula!J23,57))</f>
        <v>20.9</v>
      </c>
      <c r="FX23" s="60">
        <f>MIN(IF(INDEX(Properties!A$1:CB$87,Formula!B23,57)=0,10^6,INDEX(Properties!A$1:CB$87,Formula!B23,57)),IF(INDEX(Properties!A$1:CB$87,Formula!D23,57)=0,10^6,INDEX(Properties!A$1:CB$87,Formula!D23,57)),IF(INDEX(Properties!A$1:CB$87,Formula!F23,57)=0,10^6,INDEX(Properties!A$1:CB$87,Formula!F23,57)),IF(INDEX(Properties!A$1:CB$87,Formula!H23,57)=0,10^6,INDEX(Properties!A$1:CB$87,Formula!H23,57)),IF(INDEX(Properties!A$1:CB$87,Formula!J23,57)=0,10^6,INDEX(Properties!A$1:CB$87,Formula!J23,57)))</f>
        <v>0.22259000000000001</v>
      </c>
      <c r="FY23" s="60">
        <f t="shared" si="29"/>
        <v>20.677409999999998</v>
      </c>
      <c r="FZ23" s="72">
        <f>((Formula!C23)/(Formula!C23+Formula!E23+Formula!G23+Formula!I23+Formula!K23))*(INDEX(Properties!A$1:CB$87,Formula!B23,60))+((Formula!E23)/(Formula!C23+Formula!E23+Formula!G23+Formula!I23+Formula!K23))*(INDEX(Properties!A$1:CB$87,Formula!D23,60))+((Formula!G23)/(Formula!C23+Formula!E23+Formula!G23+Formula!I23+Formula!K23))*(INDEX(Properties!A$1:CB$87,Formula!F23,60))+((Formula!I23)/(Formula!C23+Formula!E23+Formula!G23+Formula!I23+Formula!K23))*(INDEX(Properties!A$1:CB$87,Formula!H23,60))+((Formula!K23)/(Formula!C23+Formula!E23+Formula!G23+Formula!I23+Formula!K23))*(INDEX(Properties!A$1:CB$87,Formula!J23,60))</f>
        <v>23.198834545454549</v>
      </c>
      <c r="GA23" s="72">
        <f>Formula!C23*(INDEX(Properties!A$1:CB$87,Formula!B23,60))+Formula!E23*(INDEX(Properties!A$1:CB$87,Formula!D23,60))+Formula!G23*(INDEX(Properties!A$1:CB$87,Formula!F23,60))+Formula!I23*(INDEX(Properties!A$1:CB$87,Formula!H23,60))+Formula!K23*(INDEX(Properties!A$1:CB$87,Formula!J23,60))</f>
        <v>255.18718000000001</v>
      </c>
      <c r="GB23" s="72">
        <f>VARP(IF(INDEX(Properties!A$1:CB$87,Formula!B23,60)&lt;&gt;"",INDEX(Properties!A$1:CB$87,Formula!B23,60)),IF(INDEX(Properties!A$1:CB$87,Formula!D23,60)&lt;&gt;"",INDEX(Properties!A$1:CB$87,Formula!D23,60)),IF(INDEX(Properties!A$1:CB$87,Formula!F23,60)&lt;&gt;"",INDEX(Properties!A$1:CB$87,Formula!F23,60)),IF(INDEX(Properties!A$1:CB$87,Formula!H23,60)&lt;&gt;"",INDEX(Properties!A$1:CB$87,Formula!H23,60)),IF(INDEX(Properties!A$1:CB$87,Formula!J23,60)&lt;&gt;"",INDEX(Properties!A$1:CB$87,Formula!J23,60)))</f>
        <v>1412.0233664044158</v>
      </c>
      <c r="GC23" s="72">
        <f>MAX(INDEX(Properties!A$1:CB$87,Formula!B23,60),INDEX(Properties!A$1:CB$87,Formula!D23,60),INDEX(Properties!A$1:CB$87,Formula!F23,60),INDEX(Properties!A$1:CB$87,Formula!H23,60),INDEX(Properties!A$1:CB$87,Formula!J23,60))</f>
        <v>96.8</v>
      </c>
      <c r="GD23" s="72">
        <f>MIN(IF(INDEX(Properties!A$1:CB$87,Formula!B23,60)=0,10^6,INDEX(Properties!A$1:CB$87,Formula!B23,60)),IF(INDEX(Properties!A$1:CB$87,Formula!D23,60)=0,10^6,INDEX(Properties!A$1:CB$87,Formula!D23,60)),IF(INDEX(Properties!A$1:CB$87,Formula!F23,60)=0,10^6,INDEX(Properties!A$1:CB$87,Formula!F23,60)),IF(INDEX(Properties!A$1:CB$87,Formula!H23,60)=0,10^6,INDEX(Properties!A$1:CB$87,Formula!H23,60)),IF(INDEX(Properties!A$1:CB$87,Formula!J23,60)=0,10^6,INDEX(Properties!A$1:CB$87,Formula!J23,60)))</f>
        <v>2.674E-2</v>
      </c>
      <c r="GE23" s="72">
        <f t="shared" si="30"/>
        <v>96.773259999999993</v>
      </c>
      <c r="GF23" s="51">
        <f>((Formula!C23)/(Formula!C23+Formula!E23+Formula!G23+Formula!I23+Formula!K23))*(INDEX(Properties!A$1:CB$87,Formula!B23,62))+((Formula!E23)/(Formula!C23+Formula!E23+Formula!G23+Formula!I23+Formula!K23))*(INDEX(Properties!A$1:CB$87,Formula!D23,62))+((Formula!G23)/(Formula!C23+Formula!E23+Formula!G23+Formula!I23+Formula!K23))*(INDEX(Properties!A$1:CB$87,Formula!F23,62))+((Formula!I23)/(Formula!C23+Formula!E23+Formula!G23+Formula!I23+Formula!K23))*(INDEX(Properties!A$1:CB$87,Formula!H23,62))+((Formula!K23)/(Formula!C23+Formula!E23+Formula!G23+Formula!I23+Formula!K23))*(INDEX(Properties!A$1:CB$87,Formula!J23,62))</f>
        <v>2.8436363636363637</v>
      </c>
      <c r="GG23" s="51">
        <f>Formula!C23*(INDEX(Properties!A$1:CB$87,Formula!B23,62))+Formula!E23*(INDEX(Properties!A$1:CB$87,Formula!D23,62))+Formula!G23*(INDEX(Properties!A$1:CB$87,Formula!F23,62))+Formula!I23*(INDEX(Properties!A$1:CB$87,Formula!H23,62))+Formula!K23*(INDEX(Properties!A$1:CB$87,Formula!J23,62))</f>
        <v>31.28</v>
      </c>
      <c r="GH23" s="51">
        <f>VARP(IF(INDEX(Properties!A$1:CB$87,Formula!B23,62)&lt;&gt;"",INDEX(Properties!A$1:CB$87,Formula!B23,62)),IF(INDEX(Properties!A$1:CB$87,Formula!D23,62)&lt;&gt;"",INDEX(Properties!A$1:CB$87,Formula!D23,62)),IF(INDEX(Properties!A$1:CB$87,Formula!F23,62)&lt;&gt;"",INDEX(Properties!A$1:CB$87,Formula!F23,62)),IF(INDEX(Properties!A$1:CB$87,Formula!H23,62)&lt;&gt;"",INDEX(Properties!A$1:CB$87,Formula!H23,62)),IF(INDEX(Properties!A$1:CB$87,Formula!J23,62)&lt;&gt;"",INDEX(Properties!A$1:CB$87,Formula!J23,62)))</f>
        <v>3.9760959999999983</v>
      </c>
      <c r="GI23" s="51">
        <f>MAX(INDEX(Properties!A$1:CB$87,Formula!B23,62),INDEX(Properties!A$1:CB$87,Formula!D23,62),INDEX(Properties!A$1:CB$87,Formula!F23,62),INDEX(Properties!A$1:CB$87,Formula!H23,62),INDEX(Properties!A$1:CB$87,Formula!J23,62))</f>
        <v>5.31</v>
      </c>
      <c r="GJ23" s="51">
        <f>MIN(IF(INDEX(Properties!A$1:CB$87,Formula!B23,62)=0,10^6,INDEX(Properties!A$1:CB$87,Formula!B23,62)),IF(INDEX(Properties!A$1:CB$87,Formula!D23,62)=0,10^6,INDEX(Properties!A$1:CB$87,Formula!D23,62)),IF(INDEX(Properties!A$1:CB$87,Formula!F23,62)=0,10^6,INDEX(Properties!A$1:CB$87,Formula!F23,62)),IF(INDEX(Properties!A$1:CB$87,Formula!H23,62)=0,10^6,INDEX(Properties!A$1:CB$87,Formula!H23,62)),IF(INDEX(Properties!A$1:CB$87,Formula!J23,62)=0,10^6,INDEX(Properties!A$1:CB$87,Formula!J23,62)))</f>
        <v>1.1599999999999999</v>
      </c>
      <c r="GK23" s="51">
        <f t="shared" si="31"/>
        <v>4.1499999999999995</v>
      </c>
      <c r="GL23" s="51">
        <f>Formula!P23</f>
        <v>12</v>
      </c>
      <c r="GM23" s="57">
        <f>Formula!O23</f>
        <v>2</v>
      </c>
      <c r="GN23" s="51">
        <f>Formula!N23</f>
        <v>0.02</v>
      </c>
    </row>
    <row r="24" spans="1:196" x14ac:dyDescent="0.3">
      <c r="A24" s="84" t="str">
        <f>Formula!A24</f>
        <v xml:space="preserve"> ZrO2</v>
      </c>
      <c r="B24" s="89">
        <f>((Formula!C24)/(Formula!C24+Formula!E24+Formula!G24+Formula!I24+Formula!K24))*(INDEX(Properties!A$1:CB$87,Formula!B24,3))+((Formula!E24)/(Formula!C24+Formula!E24+Formula!G24+Formula!I24+Formula!K24))*(INDEX(Properties!A$1:CB$87,Formula!D24,3))+((Formula!G24)/(Formula!C24+Formula!E24+Formula!G24+Formula!I24+Formula!K24))*(INDEX(Properties!A$1:CB$87,Formula!F24,3))+((Formula!I24)/(Formula!C24+Formula!E24+Formula!G24+Formula!I24+Formula!K24))*(INDEX(Properties!A$1:CB$87,Formula!H24,3))+((Formula!K24)/(Formula!C24+Formula!E24+Formula!G24+Formula!I24+Formula!K24))*(INDEX(Properties!A$1:CB$87,Formula!J24,3))</f>
        <v>41.074266666666666</v>
      </c>
      <c r="C24" s="85">
        <f>Formula!C24*(INDEX(Properties!A$1:CB$87,Formula!B24,3))+Formula!E24*(INDEX(Properties!A$1:CB$87,Formula!D24,3))+Formula!G24*(INDEX(Properties!A$1:CB$87,Formula!F24,3))+Formula!I24*(INDEX(Properties!A$1:CB$87,Formula!H24,3))+Formula!K24*(INDEX(Properties!A$1:CB$87,Formula!J24,3))</f>
        <v>123.22280000000001</v>
      </c>
      <c r="D24" s="85">
        <f>VARP(IF(INDEX(Properties!A$1:CB$87,Formula!B24,3)&lt;&gt;"",INDEX(Properties!A$1:CB$87,Formula!B24,3)),IF(INDEX(Properties!A$1:CB$87,Formula!D24,3)&lt;&gt;"",INDEX(Properties!A$1:CB$87,Formula!D24,3)),IF(INDEX(Properties!A$1:CB$87,Formula!F24,3)&lt;&gt;"",INDEX(Properties!A$1:CB$87,Formula!F24,3)),IF(INDEX(Properties!A$1:CB$87,Formula!H24,3)&lt;&gt;"",INDEX(Properties!A$1:CB$87,Formula!H24,3)),IF(INDEX(Properties!A$1:CB$87,Formula!J24,3)&lt;&gt;"",INDEX(Properties!A$1:CB$87,Formula!J24,3)))</f>
        <v>1255.6854949695999</v>
      </c>
      <c r="E24" s="85">
        <f>MAX(INDEX(Properties!A$1:CB$87,Formula!B24,3),INDEX(Properties!A$1:CB$87,Formula!D24,3),INDEX(Properties!A$1:CB$87,Formula!F24,3),INDEX(Properties!A$1:CB$87,Formula!H24,3),INDEX(Properties!A$1:CB$87,Formula!J24,3))</f>
        <v>91.224000000000004</v>
      </c>
      <c r="F24" s="85">
        <f>MIN(IF(INDEX(Properties!A$1:CB$87,Formula!B24,3)=0,10^6,INDEX(Properties!A$1:CB$87,Formula!B24,3)),IF(INDEX(Properties!A$1:CB$87,Formula!D24,3)=0,10^6,INDEX(Properties!A$1:CB$87,Formula!D24,3)),IF(INDEX(Properties!A$1:CB$87,Formula!F24,3)=0,10^6,INDEX(Properties!A$1:CB$87,Formula!F24,3)),IF(INDEX(Properties!A$1:CB$87,Formula!H24,3)=0,10^6,INDEX(Properties!A$1:CB$87,Formula!H24,3)),IF(INDEX(Properties!A$1:CB$87,Formula!J24,3)=0,10^6,INDEX(Properties!A$1:CB$87,Formula!J24,3)))</f>
        <v>15.9994</v>
      </c>
      <c r="G24" s="85">
        <f t="shared" si="0"/>
        <v>75.224600000000009</v>
      </c>
      <c r="H24" s="87">
        <f>((Formula!C24)/(Formula!C24+Formula!E24+Formula!G24+Formula!I24+Formula!K24))*(INDEX(Properties!A$1:CB$87,Formula!B24,4))+((Formula!E24)/(Formula!C24+Formula!E24+Formula!G24+Formula!I24+Formula!K24))*(INDEX(Properties!A$1:CB$87,Formula!D24,4))+((Formula!G24)/(Formula!C24+Formula!E24+Formula!G24+Formula!I24+Formula!K24))*(INDEX(Properties!A$1:CB$87,Formula!F24,4))+((Formula!I24)/(Formula!C24+Formula!E24+Formula!G24+Formula!I24+Formula!K24))*(INDEX(Properties!A$1:CB$87,Formula!H24,4))+((Formula!K24)/(Formula!C24+Formula!E24+Formula!G24+Formula!I24+Formula!K24))*(INDEX(Properties!A$1:CB$87,Formula!J24,4))</f>
        <v>18.666666666666664</v>
      </c>
      <c r="I24" s="87">
        <f>Formula!C24*(INDEX(Properties!A$1:CB$87,Formula!B24,4))+Formula!E24*(INDEX(Properties!A$1:CB$87,Formula!D24,4))+Formula!G24*(INDEX(Properties!A$1:CB$87,Formula!F24,4))+Formula!I24*(INDEX(Properties!A$1:CB$87,Formula!H24,4))+Formula!K24*(INDEX(Properties!A$1:CB$87,Formula!J24,4))</f>
        <v>56</v>
      </c>
      <c r="J24" s="87">
        <f>VARP(IF(INDEX(Properties!A$1:CB$87,Formula!B24,4)&lt;&gt;"",INDEX(Properties!A$1:CB$87,Formula!B24,4)),IF(INDEX(Properties!A$1:CB$87,Formula!D24,4)&lt;&gt;"",INDEX(Properties!A$1:CB$87,Formula!D24,4)),IF(INDEX(Properties!A$1:CB$87,Formula!F24,4)&lt;&gt;"",INDEX(Properties!A$1:CB$87,Formula!F24,4)),IF(INDEX(Properties!A$1:CB$87,Formula!H24,4)&lt;&gt;"",INDEX(Properties!A$1:CB$87,Formula!H24,4)),IF(INDEX(Properties!A$1:CB$87,Formula!J24,4)&lt;&gt;"",INDEX(Properties!A$1:CB$87,Formula!J24,4)))</f>
        <v>240.64</v>
      </c>
      <c r="K24" s="87">
        <f>MAX(INDEX(Properties!A$1:CB$87,Formula!B24,4),INDEX(Properties!A$1:CB$87,Formula!D24,4),INDEX(Properties!A$1:CB$87,Formula!F24,4),INDEX(Properties!A$1:CB$87,Formula!H24,4),INDEX(Properties!A$1:CB$87,Formula!J24,4))</f>
        <v>40</v>
      </c>
      <c r="L24" s="87">
        <f>MIN(IF(INDEX(Properties!A$1:CB$87,Formula!B24,4)=0,10^6,INDEX(Properties!A$1:CB$87,Formula!B24,4)),IF(INDEX(Properties!A$1:CB$87,Formula!D24,4)=0,10^6,INDEX(Properties!A$1:CB$87,Formula!D24,4)),IF(INDEX(Properties!A$1:CB$87,Formula!F24,4)=0,10^6,INDEX(Properties!A$1:CB$87,Formula!F24,4)),IF(INDEX(Properties!A$1:CB$87,Formula!H24,4)=0,10^6,INDEX(Properties!A$1:CB$87,Formula!H24,4)),IF(INDEX(Properties!A$1:CB$87,Formula!J24,4)=0,10^6,INDEX(Properties!A$1:CB$87,Formula!J24,4)))</f>
        <v>8</v>
      </c>
      <c r="M24" s="87">
        <f t="shared" si="1"/>
        <v>32</v>
      </c>
      <c r="N24" s="89">
        <f>((Formula!C24)/(Formula!C24+Formula!E24+Formula!G24+Formula!I24+Formula!K24))*(INDEX(Properties!A$1:CB$87,Formula!B24,5))+((Formula!E24)/(Formula!C24+Formula!E24+Formula!G24+Formula!I24+Formula!K24))*(INDEX(Properties!A$1:CB$87,Formula!D24,5))+((Formula!G24)/(Formula!C24+Formula!E24+Formula!G24+Formula!I24+Formula!K24))*(INDEX(Properties!A$1:CB$87,Formula!F24,5))+((Formula!I24)/(Formula!C24+Formula!E24+Formula!G24+Formula!I24+Formula!K24))*(INDEX(Properties!A$1:CB$87,Formula!H24,5))+((Formula!K24)/(Formula!C24+Formula!E24+Formula!G24+Formula!I24+Formula!K24))*(INDEX(Properties!A$1:CB$87,Formula!J24,5))</f>
        <v>3</v>
      </c>
      <c r="O24" s="89">
        <f>Formula!C24*(INDEX(Properties!A$1:CB$87,Formula!B24,5))+Formula!E24*(INDEX(Properties!A$1:CB$87,Formula!D24,5))+Formula!G24*(INDEX(Properties!A$1:CB$87,Formula!F24,5))+Formula!I24*(INDEX(Properties!A$1:CB$87,Formula!H24,5))+Formula!K24*(INDEX(Properties!A$1:CB$87,Formula!J24,5))</f>
        <v>9</v>
      </c>
      <c r="P24" s="89">
        <f>VARP(IF(INDEX(Properties!A$1:CB$87,Formula!B24,5)&lt;&gt;"",INDEX(Properties!A$1:CB$87,Formula!B24,5)),IF(INDEX(Properties!A$1:CB$87,Formula!D24,5)&lt;&gt;"",INDEX(Properties!A$1:CB$87,Formula!D24,5)),IF(INDEX(Properties!A$1:CB$87,Formula!F24,5)&lt;&gt;"",INDEX(Properties!A$1:CB$87,Formula!F24,5)),IF(INDEX(Properties!A$1:CB$87,Formula!H24,5)&lt;&gt;"",INDEX(Properties!A$1:CB$87,Formula!H24,5)),IF(INDEX(Properties!A$1:CB$87,Formula!J24,5)&lt;&gt;"",INDEX(Properties!A$1:CB$87,Formula!J24,5)))</f>
        <v>3.84</v>
      </c>
      <c r="Q24" s="89">
        <f>MAX(INDEX(Properties!A$1:CB$87,Formula!B24,5),INDEX(Properties!A$1:CB$87,Formula!D24,5),INDEX(Properties!A$1:CB$87,Formula!F24,5),INDEX(Properties!A$1:CB$87,Formula!H24,5),INDEX(Properties!A$1:CB$87,Formula!J24,5))</f>
        <v>5</v>
      </c>
      <c r="R24" s="89">
        <f>MIN(IF(INDEX(Properties!A$1:CB$87,Formula!B24,5)=0,10^6,INDEX(Properties!A$1:CB$87,Formula!B24,5)),IF(INDEX(Properties!A$1:CB$87,Formula!D24,5)=0,10^6,INDEX(Properties!A$1:CB$87,Formula!D24,5)),IF(INDEX(Properties!A$1:CB$87,Formula!F24,5)=0,10^6,INDEX(Properties!A$1:CB$87,Formula!F24,5)),IF(INDEX(Properties!A$1:CB$87,Formula!H24,5)=0,10^6,INDEX(Properties!A$1:CB$87,Formula!H24,5)),IF(INDEX(Properties!A$1:CB$87,Formula!J24,5)=0,10^6,INDEX(Properties!A$1:CB$87,Formula!J24,5)))</f>
        <v>2</v>
      </c>
      <c r="S24" s="89">
        <f t="shared" si="2"/>
        <v>3</v>
      </c>
      <c r="T24" s="60">
        <f>((Formula!C24)/(Formula!C24+Formula!E24+Formula!G24+Formula!I24+Formula!K24))*(INDEX(Properties!A$1:CB$87,Formula!B24,6))+((Formula!E24)/(Formula!C24+Formula!E24+Formula!G24+Formula!I24+Formula!K24))*(INDEX(Properties!A$1:CB$87,Formula!D24,6))+((Formula!G24)/(Formula!C24+Formula!E24+Formula!G24+Formula!I24+Formula!K24))*(INDEX(Properties!A$1:CB$87,Formula!F24,6))+((Formula!I24)/(Formula!C24+Formula!E24+Formula!G24+Formula!I24+Formula!K24))*(INDEX(Properties!A$1:CB$87,Formula!H24,6))+((Formula!K24)/(Formula!C24+Formula!E24+Formula!G24+Formula!I24+Formula!K24))*(INDEX(Properties!A$1:CB$87,Formula!J24,6))</f>
        <v>12</v>
      </c>
      <c r="U24" s="60">
        <f>Formula!C24*(INDEX(Properties!A$1:CB$87,Formula!B24,6))+Formula!E24*(INDEX(Properties!A$1:CB$87,Formula!D24,6))+Formula!G24*(INDEX(Properties!A$1:CB$87,Formula!F24,6))+Formula!I24*(INDEX(Properties!A$1:CB$87,Formula!H24,6))+Formula!K24*(INDEX(Properties!A$1:CB$87,Formula!J24,6))</f>
        <v>36</v>
      </c>
      <c r="V24" s="89">
        <f>VARP(IF(INDEX(Properties!A$1:CB$87,Formula!B24,6)&lt;&gt;"",INDEX(Properties!A$1:CB$87,Formula!B24,6)),IF(INDEX(Properties!A$1:CB$87,Formula!D24,6)&lt;&gt;"",INDEX(Properties!A$1:CB$87,Formula!D24,6)),IF(INDEX(Properties!A$1:CB$87,Formula!F24,6)&lt;&gt;"",INDEX(Properties!A$1:CB$87,Formula!F24,6)),IF(INDEX(Properties!A$1:CB$87,Formula!H24,6)&lt;&gt;"",INDEX(Properties!A$1:CB$87,Formula!H24,6)),IF(INDEX(Properties!A$1:CB$87,Formula!J24,6)&lt;&gt;"",INDEX(Properties!A$1:CB$87,Formula!J24,6)))</f>
        <v>38.4</v>
      </c>
      <c r="W24" s="60">
        <f>MAX(INDEX(Properties!A$1:CB$87,Formula!B24,6),INDEX(Properties!A$1:CB$87,Formula!D24,6),INDEX(Properties!A$1:CB$87,Formula!F24,6),INDEX(Properties!A$1:CB$87,Formula!H24,4),INDEX(Properties!A$1:CB$87,Formula!J24,6))</f>
        <v>16</v>
      </c>
      <c r="X24" s="60">
        <f>MIN(IF(INDEX(Properties!A$1:CB$87,Formula!B24,6)=0,10^6,INDEX(Properties!A$1:CB$87,Formula!B24,6)),IF(INDEX(Properties!A$1:CB$87,Formula!D24,6)=0,10^6,INDEX(Properties!A$1:CB$87,Formula!D24,6)),IF(INDEX(Properties!A$1:CB$87,Formula!F24,6)=0,10^6,INDEX(Properties!A$1:CB$87,Formula!F24,6)),IF(INDEX(Properties!A$1:CB$87,Formula!H24,6)=0,10^6,INDEX(Properties!A$1:CB$87,Formula!H24,6)),IF(INDEX(Properties!A$1:CB$87,Formula!J24,6)=0,10^6,INDEX(Properties!A$1:CB$87,Formula!J24,6)))</f>
        <v>4</v>
      </c>
      <c r="Y24" s="60">
        <f t="shared" si="3"/>
        <v>12</v>
      </c>
      <c r="Z24" s="72">
        <f>((Formula!C24)/(Formula!C24+Formula!E24+Formula!G24+Formula!I24+Formula!K24))*(INDEX(Properties!A$1:CB$87,Formula!B24,9))+((Formula!E24)/(Formula!C24+Formula!E24+Formula!G24+Formula!I24+Formula!K24))*(INDEX(Properties!A$1:CB$87,Formula!D24,9))+((Formula!G24)/(Formula!C24+Formula!E24+Formula!G24+Formula!I24+Formula!K24))*(INDEX(Properties!A$1:CB$87,Formula!F24,9))+((Formula!I24)/(Formula!C24+Formula!E24+Formula!G24+Formula!I24+Formula!K24))*(INDEX(Properties!A$1:CB$87,Formula!H24,9))+((Formula!K24)/(Formula!C24+Formula!E24+Formula!G24+Formula!I24+Formula!K24))*(INDEX(Properties!A$1:CB$87,Formula!J24,9))</f>
        <v>72.666666666666671</v>
      </c>
      <c r="AA24" s="72">
        <f>Formula!C24*(INDEX(Properties!A$1:CB$87,Formula!B24,9))+Formula!E24*(INDEX(Properties!A$1:CB$87,Formula!D24,9))+Formula!G24*(INDEX(Properties!A$1:CB$87,Formula!F24,9))+Formula!I24*(INDEX(Properties!A$1:CB$87,Formula!H24,9))+Formula!K24*(INDEX(Properties!A$1:CB$87,Formula!J24,9))</f>
        <v>218</v>
      </c>
      <c r="AB24" s="72">
        <f>VARP(IF(INDEX(Properties!A$1:CB$87,Formula!B24,9)&lt;&gt;"",INDEX(Properties!A$1:CB$87,Formula!B24,9)),IF(INDEX(Properties!A$1:CB$87,Formula!D24,9)&lt;&gt;"",INDEX(Properties!A$1:CB$87,Formula!D24,9)),IF(INDEX(Properties!A$1:CB$87,Formula!F24,9)&lt;&gt;"",INDEX(Properties!A$1:CB$87,Formula!F24,9)),IF(INDEX(Properties!A$1:CB$87,Formula!H24,9)&lt;&gt;"",INDEX(Properties!A$1:CB$87,Formula!H24,9)),IF(INDEX(Properties!A$1:CB$87,Formula!J24,9)&lt;&gt;"",INDEX(Properties!A$1:CB$87,Formula!J24,9)))</f>
        <v>1214.56</v>
      </c>
      <c r="AC24" s="72">
        <f>MAX(INDEX(Properties!A$1:CB$87,Formula!B24,9),INDEX(Properties!A$1:CB$87,Formula!D24,9),INDEX(Properties!A$1:CB$87,Formula!F24,9),INDEX(Properties!A$1:CB$87,Formula!H24,9),INDEX(Properties!A$1:CB$87,Formula!J24,9))</f>
        <v>87</v>
      </c>
      <c r="AD24" s="72">
        <f>MIN(IF(INDEX(Properties!A$1:CB$87,Formula!B24,9)=0,10^6,INDEX(Properties!A$1:CB$87,Formula!B24,9)),IF(INDEX(Properties!A$1:CB$87,Formula!D24,9)=0,10^6,INDEX(Properties!A$1:CB$87,Formula!D24,9)),IF(INDEX(Properties!A$1:CB$87,Formula!F24,9)=0,10^6,INDEX(Properties!A$1:CB$87,Formula!F24,9)),IF(INDEX(Properties!A$1:CB$87,Formula!H24,9)=0,10^6,INDEX(Properties!A$1:CB$87,Formula!H24,9)),IF(INDEX(Properties!A$1:CB$87,Formula!J24,9)=0,10^6,INDEX(Properties!A$1:CB$87,Formula!J24,9)))</f>
        <v>44</v>
      </c>
      <c r="AE24" s="72">
        <f t="shared" si="4"/>
        <v>43</v>
      </c>
      <c r="AF24" s="51">
        <f>((Formula!C24)/(Formula!C24+Formula!E24+Formula!G24+Formula!I24+Formula!K24))*(INDEX(Properties!A$1:CB$87,Formula!B24,10))+((Formula!E24)/(Formula!C24+Formula!E24+Formula!G24+Formula!I24+Formula!K24))*(INDEX(Properties!A$1:CB$87,Formula!D24,10))+((Formula!G24)/(Formula!C24+Formula!E24+Formula!G24+Formula!I24+Formula!K24))*(INDEX(Properties!A$1:CB$87,Formula!F24,10))+((Formula!I24)/(Formula!C24+Formula!E24+Formula!G24+Formula!I24+Formula!K24))*(INDEX(Properties!A$1:CB$87,Formula!H24,10))+((Formula!K24)/(Formula!C24+Formula!E24+Formula!G24+Formula!I24+Formula!K24))*(INDEX(Properties!A$1:CB$87,Formula!J24,10))</f>
        <v>5.9999999999999991</v>
      </c>
      <c r="AG24" s="51">
        <f>Formula!C24*(INDEX(Properties!A$1:CB$87,Formula!B24,10))+Formula!E24*(INDEX(Properties!A$1:CB$87,Formula!D24,10))+Formula!G24*(INDEX(Properties!A$1:CB$87,Formula!F24,10))+Formula!I24*(INDEX(Properties!A$1:CB$87,Formula!H24,10))+Formula!K24*(INDEX(Properties!A$1:CB$87,Formula!J24,10))</f>
        <v>18</v>
      </c>
      <c r="AH24" s="51">
        <f>VARP(IF(INDEX(Properties!A$1:CB$87,Formula!B24,10)&lt;&gt;"",INDEX(Properties!A$1:CB$87,Formula!B24,10)),IF(INDEX(Properties!A$1:CB$87,Formula!D24,10)&lt;&gt;"",INDEX(Properties!A$1:CB$87,Formula!D24,10)),IF(INDEX(Properties!A$1:CB$87,Formula!F24,10)&lt;&gt;"",INDEX(Properties!A$1:CB$87,Formula!F24,10)),IF(INDEX(Properties!A$1:CB$87,Formula!H24,10)&lt;&gt;"",INDEX(Properties!A$1:CB$87,Formula!H24,10)),IF(INDEX(Properties!A$1:CB$87,Formula!J24,10)&lt;&gt;"",INDEX(Properties!A$1:CB$87,Formula!J24,10)))</f>
        <v>8.16</v>
      </c>
      <c r="AI24" s="51">
        <f>MAX(INDEX(Properties!A$1:CB$87,Formula!B24,10),INDEX(Properties!A$1:CB$87,Formula!D24,10),INDEX(Properties!A$1:CB$87,Formula!F24,10),INDEX(Properties!A$1:CB$87,Formula!H24,10),INDEX(Properties!A$1:CB$87,Formula!J24,10))</f>
        <v>7</v>
      </c>
      <c r="AJ24" s="51">
        <f>MIN(IF(INDEX(Properties!A$1:CB$87,Formula!B24,10)=0,10^6,INDEX(Properties!A$1:CB$87,Formula!B24,10)),IF(INDEX(Properties!A$1:CB$87,Formula!D24,10)=0,10^6,INDEX(Properties!A$1:CB$87,Formula!D24,10)),IF(INDEX(Properties!A$1:CB$87,Formula!F24,10)=0,10^6,INDEX(Properties!A$1:CB$87,Formula!F24,10)),IF(INDEX(Properties!A$1:CB$87,Formula!H24,10)=0,10^6,INDEX(Properties!A$1:CB$87,Formula!H24,10)),IF(INDEX(Properties!A$1:CB$87,Formula!J24,10)=0,10^6,INDEX(Properties!A$1:CB$87,Formula!J24,10)))</f>
        <v>4</v>
      </c>
      <c r="AK24" s="51">
        <f t="shared" si="5"/>
        <v>3</v>
      </c>
      <c r="AL24" s="57">
        <f>((Formula!C24)/(Formula!C24+Formula!E24+Formula!G24+Formula!I24+Formula!K24))*(INDEX(Properties!A$1:CB$87,Formula!B24,11))+((Formula!E24)/(Formula!C24+Formula!E24+Formula!G24+Formula!I24+Formula!K24))*(INDEX(Properties!A$1:CB$87,Formula!D24,11))+((Formula!G24)/(Formula!C24+Formula!E24+Formula!G24+Formula!I24+Formula!K24))*(INDEX(Properties!A$1:CB$87,Formula!F24,11))+((Formula!I24)/(Formula!C24+Formula!E24+Formula!G24+Formula!I24+Formula!K24))*(INDEX(Properties!A$1:CB$87,Formula!H24,11))+((Formula!K24)/(Formula!C24+Formula!E24+Formula!G24+Formula!I24+Formula!K24))*(INDEX(Properties!A$1:CB$87,Formula!J24,11))</f>
        <v>2</v>
      </c>
      <c r="AM24" s="57">
        <f>Formula!C24*(INDEX(Properties!A$1:CB$87,Formula!B24,11))+Formula!E24*(INDEX(Properties!A$1:CB$87,Formula!D24,11))+Formula!G24*(INDEX(Properties!A$1:CB$87,Formula!F24,11))+Formula!I24*(INDEX(Properties!A$1:CB$87,Formula!H24,11))+Formula!K24*(INDEX(Properties!A$1:CB$87,Formula!J24,11))</f>
        <v>6</v>
      </c>
      <c r="AN24" s="57">
        <f>VARP(IF(INDEX(Properties!A$1:CB$87,Formula!B24,11)&lt;&gt;"",INDEX(Properties!A$1:CB$87,Formula!B24,11)),IF(INDEX(Properties!A$1:CB$87,Formula!D24,11)&lt;&gt;"",INDEX(Properties!A$1:CB$87,Formula!D24,11)),IF(INDEX(Properties!A$1:CB$87,Formula!F24,11)&lt;&gt;"",INDEX(Properties!A$1:CB$87,Formula!F24,11)),IF(INDEX(Properties!A$1:CB$87,Formula!H24,11)&lt;&gt;"",INDEX(Properties!A$1:CB$87,Formula!H24,11)),IF(INDEX(Properties!A$1:CB$87,Formula!J24,11)&lt;&gt;"",INDEX(Properties!A$1:CB$87,Formula!J24,11)))</f>
        <v>0.96</v>
      </c>
      <c r="AO24" s="57">
        <f>MAX(INDEX(Properties!A$1:CB$87,Formula!B24,11),INDEX(Properties!A$1:CB$87,Formula!D24,11),INDEX(Properties!A$1:CB$87,Formula!F24,11),INDEX(Properties!A$1:CB$87,Formula!H24,11),INDEX(Properties!A$1:CB$87,Formula!J24,11))</f>
        <v>2</v>
      </c>
      <c r="AP24" s="57">
        <f>MIN(IF(Formula!B24=87,10^6,INDEX(Properties!A$1:CB$87,Formula!B24,11)),IF((Formula!D24)=87,10^6,INDEX(Properties!A$1:CB$87,Formula!D24,11)),IF((Formula!F24)=87,10^6,INDEX(Properties!A$1:CB$87,Formula!F24,11)),IF((Formula!H24)=87,10^6,INDEX(Properties!A$1:CB$87,Formula!H24,11)),IF(Formula!J24=87,10^6,INDEX(Properties!A$1:CB$87,Formula!J24,11)))</f>
        <v>2</v>
      </c>
      <c r="AQ24" s="57">
        <f t="shared" si="6"/>
        <v>0</v>
      </c>
      <c r="AR24" s="78">
        <f>((Formula!C24)/(Formula!C24+Formula!E24+Formula!G24+Formula!I24+Formula!K24))*(INDEX(Properties!A$1:CB$87,Formula!B24,12))+((Formula!E24)/(Formula!C24+Formula!E24+Formula!G24+Formula!I24+Formula!K24))*(INDEX(Properties!A$1:CB$87,Formula!D24,12))+((Formula!G24)/(Formula!C24+Formula!E24+Formula!G24+Formula!I24+Formula!K24))*(INDEX(Properties!A$1:CB$87,Formula!F24,12))+((Formula!I24)/(Formula!C24+Formula!E24+Formula!G24+Formula!I24+Formula!K24))*(INDEX(Properties!A$1:CB$87,Formula!H24,12))+((Formula!K24)/(Formula!C24+Formula!E24+Formula!G24+Formula!I24+Formula!K24))*(INDEX(Properties!A$1:CB$87,Formula!J24,12))</f>
        <v>2.6666666666666665</v>
      </c>
      <c r="AS24" s="78">
        <f>Formula!C24*(INDEX(Properties!A$1:CB$87,Formula!B24,12))+Formula!E24*(INDEX(Properties!A$1:CB$87,Formula!D24,12))+Formula!G24*(INDEX(Properties!A$1:CB$87,Formula!F24,12))+Formula!I24*(INDEX(Properties!A$1:CB$87,Formula!H24,12))+Formula!K24*(INDEX(Properties!A$1:CB$87,Formula!J24,12))</f>
        <v>8</v>
      </c>
      <c r="AT24" s="78">
        <f>VARP(IF(INDEX(Properties!A$1:CB$87,Formula!B24,12)&lt;&gt;"",INDEX(Properties!A$1:CB$87,Formula!B24,12)),IF(INDEX(Properties!A$1:CB$87,Formula!D24,12)&lt;&gt;"",INDEX(Properties!A$1:CB$87,Formula!D24,12)),IF(INDEX(Properties!A$1:CB$87,Formula!F24,12)&lt;&gt;"",INDEX(Properties!A$1:CB$87,Formula!F24,12)),IF(INDEX(Properties!A$1:CB$87,Formula!H24,12)&lt;&gt;"",INDEX(Properties!A$1:CB$87,Formula!H24,12)),IF(INDEX(Properties!A$1:CB$87,Formula!J24,12)&lt;&gt;"",INDEX(Properties!A$1:CB$87,Formula!J24,12)))</f>
        <v>2.56</v>
      </c>
      <c r="AU24" s="78">
        <f>MAX(INDEX(Properties!A$1:CB$87,Formula!B24,12),INDEX(Properties!A$1:CB$87,Formula!D24,12),INDEX(Properties!A$1:CB$87,Formula!F24,12),INDEX(Properties!A$1:CB$87,Formula!H24,12),INDEX(Properties!A$1:CB$87,Formula!J24,12))</f>
        <v>4</v>
      </c>
      <c r="AV24" s="78">
        <f>MIN(IF(Formula!B24=87,10^6,INDEX(Properties!A$1:CB$87,Formula!B24,12)),IF((Formula!D24)=87,10^6,INDEX(Properties!A$1:CB$87,Formula!D24,12)),IF((Formula!F24)=87,10^6,INDEX(Properties!A$1:CB$87,Formula!F24,12)),IF((Formula!H24)=87,10^6,INDEX(Properties!A$1:CB$87,Formula!H24,12)),IF(Formula!J24=87,10^6,INDEX(Properties!A$1:CB$87,Formula!J24,12)))</f>
        <v>0</v>
      </c>
      <c r="AW24" s="78">
        <f t="shared" si="7"/>
        <v>4</v>
      </c>
      <c r="AX24" s="45">
        <f>((Formula!C24)/(Formula!C24+Formula!E24+Formula!G24+Formula!I24+Formula!K24))*(INDEX(Properties!A$1:CB$87,Formula!B24,13))+((Formula!E24)/(Formula!C24+Formula!E24+Formula!G24+Formula!I24+Formula!K24))*(INDEX(Properties!A$1:CB$87,Formula!D24,13))+((Formula!G24)/(Formula!C24+Formula!E24+Formula!G24+Formula!I24+Formula!K24))*(INDEX(Properties!A$1:CB$87,Formula!F24,13))+((Formula!I24)/(Formula!C24+Formula!E24+Formula!G24+Formula!I24+Formula!K24))*(INDEX(Properties!A$1:CB$87,Formula!H24,13))+((Formula!K24)/(Formula!C24+Formula!E24+Formula!G24+Formula!I24+Formula!K24))*(INDEX(Properties!A$1:CB$87,Formula!J24,13))</f>
        <v>0.66666666666666663</v>
      </c>
      <c r="AY24" s="45">
        <f>Formula!C24*(INDEX(Properties!A$1:CB$87,Formula!B24,13))+Formula!E24*(INDEX(Properties!A$1:CB$87,Formula!D24,13))+Formula!G24*(INDEX(Properties!A$1:CB$87,Formula!F24,13))+Formula!I24*(INDEX(Properties!A$1:CB$87,Formula!H24,13))+Formula!K24*(INDEX(Properties!A$1:CB$87,Formula!J24,13))</f>
        <v>2</v>
      </c>
      <c r="AZ24" s="45">
        <f>VARP(IF(INDEX(Properties!A$1:CB$87,Formula!B24,13)&lt;&gt;"",INDEX(Properties!A$1:CB$87,Formula!B24,13)),IF(INDEX(Properties!A$1:CB$87,Formula!D24,13)&lt;&gt;"",INDEX(Properties!A$1:CB$87,Formula!D24,13)),IF(INDEX(Properties!A$1:CB$87,Formula!F24,13)&lt;&gt;"",INDEX(Properties!A$1:CB$87,Formula!F24,13)),IF(INDEX(Properties!A$1:CB$87,Formula!H24,13)&lt;&gt;"",INDEX(Properties!A$1:CB$87,Formula!H24,13)),IF(INDEX(Properties!A$1:CB$87,Formula!J24,13)&lt;&gt;"",INDEX(Properties!A$1:CB$87,Formula!J24,13)))</f>
        <v>0.64</v>
      </c>
      <c r="BA24" s="45">
        <f>MAX(INDEX(Properties!A$1:CB$87,Formula!B24,13),INDEX(Properties!A$1:CB$87,Formula!D24,13),INDEX(Properties!A$1:CB$87,Formula!F24,13),INDEX(Properties!A$1:CB$87,Formula!H24,13),INDEX(Properties!A$1:CB$87,Formula!J24,13))</f>
        <v>2</v>
      </c>
      <c r="BB24" s="45">
        <f>MIN(IF(Formula!B24=87,10^6,INDEX(Properties!A$1:CB$87,Formula!B24,13)),IF((Formula!D24)=87,10^6,INDEX(Properties!A$1:CB$87,Formula!D24,13)),IF((Formula!F24)=87,10^6,INDEX(Properties!A$1:CB$87,Formula!F24,13)),IF((Formula!H24)=87,10^6,INDEX(Properties!A$1:CB$87,Formula!H24,13)),IF(Formula!J24=87,10^6,INDEX(Properties!A$1:CB$87,Formula!J24,13)))</f>
        <v>0</v>
      </c>
      <c r="BC24" s="45">
        <f t="shared" si="8"/>
        <v>2</v>
      </c>
      <c r="BD24" s="63">
        <f>((Formula!C24)/(Formula!C24+Formula!E24+Formula!G24+Formula!I24+Formula!K24))*(INDEX(Properties!A$1:CB$87,Formula!B24,14))+((Formula!E24)/(Formula!C24+Formula!E24+Formula!G24+Formula!I24+Formula!K24))*(INDEX(Properties!A$1:CB$87,Formula!D24,14))+((Formula!G24)/(Formula!C24+Formula!E24+Formula!G24+Formula!I24+Formula!K24))*(INDEX(Properties!A$1:CB$87,Formula!F24,14))+((Formula!I24)/(Formula!C24+Formula!E24+Formula!G24+Formula!I24+Formula!K24))*(INDEX(Properties!A$1:CB$87,Formula!H24,14))+((Formula!K24)/(Formula!C24+Formula!E24+Formula!G24+Formula!I24+Formula!K24))*(INDEX(Properties!A$1:CB$87,Formula!J24,14))</f>
        <v>0</v>
      </c>
      <c r="BE24" s="63">
        <f>Formula!C24*(INDEX(Properties!A$1:CB$87,Formula!B24,14))+Formula!E24*(INDEX(Properties!A$1:CB$87,Formula!D24,14))+Formula!G24*(INDEX(Properties!A$1:CB$87,Formula!F24,14))+Formula!I24*(INDEX(Properties!A$1:CB$87,Formula!H24,14))+Formula!K24*(INDEX(Properties!A$1:CB$87,Formula!J24,14))</f>
        <v>0</v>
      </c>
      <c r="BF24" s="63">
        <f>VARP(IF(INDEX(Properties!A$1:CB$87,Formula!B24,14)&lt;&gt;"",INDEX(Properties!A$1:CB$87,Formula!B24,14)),IF(INDEX(Properties!A$1:CB$87,Formula!D24,14)&lt;&gt;"",INDEX(Properties!A$1:CB$87,Formula!D24,14)),IF(INDEX(Properties!A$1:CB$87,Formula!F24,14)&lt;&gt;"",INDEX(Properties!A$1:CB$87,Formula!F24,14)),IF(INDEX(Properties!A$1:CB$87,Formula!H24,14)&lt;&gt;"",INDEX(Properties!A$1:CB$87,Formula!H24,14)),IF(INDEX(Properties!A$1:CB$87,Formula!J24,14)&lt;&gt;"",INDEX(Properties!A$1:CB$87,Formula!J24,14)))</f>
        <v>0</v>
      </c>
      <c r="BG24" s="63">
        <f>MAX(INDEX(Properties!A$1:CB$87,Formula!B24,14),INDEX(Properties!A$1:CB$87,Formula!D24,14),INDEX(Properties!A$1:CB$87,Formula!F24,14),INDEX(Properties!A$1:CB$87,Formula!H24,14),INDEX(Properties!A$1:CB$87,Formula!J24,14))</f>
        <v>0</v>
      </c>
      <c r="BH24" s="63">
        <f>MIN(IF(Formula!B24=87,10^6,INDEX(Properties!A$1:CB$87,Formula!B24,14)),IF((Formula!D24)=87,10^6,INDEX(Properties!A$1:CB$87,Formula!D24,14)),IF((Formula!F24)=87,10^6,INDEX(Properties!A$1:CB$87,Formula!F24,14)),IF((Formula!H24)=87,10^6,INDEX(Properties!A$1:CB$87,Formula!H24,14)),IF(Formula!J24=87,10^6,INDEX(Properties!A$1:CB$87,Formula!J24,14)))</f>
        <v>0</v>
      </c>
      <c r="BI24" s="63">
        <f t="shared" si="9"/>
        <v>0</v>
      </c>
      <c r="BJ24" s="75">
        <f>((Formula!C24)/(Formula!C24+Formula!E24+Formula!G24+Formula!I24+Formula!K24))*(INDEX(Properties!A$1:CB$87,Formula!B24,19))+((Formula!E24)/(Formula!C24+Formula!E24+Formula!G24+Formula!I24+Formula!K24))*(INDEX(Properties!A$1:CB$87,Formula!D24,19))+((Formula!G24)/(Formula!C24+Formula!E24+Formula!G24+Formula!I24+Formula!K24))*(INDEX(Properties!A$1:CB$87,Formula!F24,19))+((Formula!I24)/(Formula!C24+Formula!E24+Formula!G24+Formula!I24+Formula!K24))*(INDEX(Properties!A$1:CB$87,Formula!H24,19))+((Formula!K24)/(Formula!C24+Formula!E24+Formula!G24+Formula!I24+Formula!K24))*(INDEX(Properties!A$1:CB$87,Formula!J24,19))</f>
        <v>5.333333333333333</v>
      </c>
      <c r="BK24" s="75">
        <f>Formula!C24*(INDEX(Properties!A$1:CB$87,Formula!B24,19))+Formula!E24*(INDEX(Properties!A$1:CB$87,Formula!D24,19))+Formula!G24*(INDEX(Properties!A$1:CB$87,Formula!F24,19))+Formula!I24*(INDEX(Properties!A$1:CB$87,Formula!H24,19))+Formula!K24*(INDEX(Properties!A$1:CB$87,Formula!J24,19))</f>
        <v>16</v>
      </c>
      <c r="BL24" s="75">
        <f>VARP(IF(INDEX(Properties!A$1:CB$87,Formula!B24,19)&lt;&gt;"",INDEX(Properties!A$1:CB$87,Formula!B24,19)),IF(INDEX(Properties!A$1:CB$87,Formula!D24,19)&lt;&gt;"",INDEX(Properties!A$1:CB$87,Formula!D24,19)),IF(INDEX(Properties!A$1:CB$87,Formula!F24,19)&lt;&gt;"",INDEX(Properties!A$1:CB$87,Formula!F24,19)),IF(INDEX(Properties!A$1:CB$87,Formula!H24,19)&lt;&gt;"",INDEX(Properties!A$1:CB$87,Formula!H24,19)),IF(INDEX(Properties!A$1:CB$87,Formula!J24,19)&lt;&gt;"",INDEX(Properties!A$1:CB$87,Formula!J24,19)))</f>
        <v>6.4</v>
      </c>
      <c r="BM24" s="75">
        <f>MAX(INDEX(Properties!A$1:CB$87,Formula!B24,19),INDEX(Properties!A$1:CB$87,Formula!D24,19),INDEX(Properties!A$1:CB$87,Formula!F24,19),INDEX(Properties!A$1:CB$87,Formula!H24,19),INDEX(Properties!A$1:CB$87,Formula!J24,19))</f>
        <v>6</v>
      </c>
      <c r="BN24" s="75">
        <f>MIN(IF(INDEX(Properties!A$1:CB$87,Formula!B24,19)=0,10^6,INDEX(Properties!A$1:CB$87,Formula!B24,19)),IF(INDEX(Properties!A$1:CB$87,Formula!D24,19)=0,10^6,INDEX(Properties!A$1:CB$87,Formula!D24,19)),IF(INDEX(Properties!A$1:CB$87,Formula!F24,19)=0,10^6,INDEX(Properties!A$1:CB$87,Formula!F24,19)),IF(INDEX(Properties!A$1:CB$87,Formula!H24,19)=0,10^6,INDEX(Properties!A$1:CB$87,Formula!H24,19)),IF(INDEX(Properties!A$1:CB$87,Formula!J24,19)=0,10^6,INDEX(Properties!A$1:CB$87,Formula!J24,19)))</f>
        <v>4</v>
      </c>
      <c r="BO24" s="75">
        <f t="shared" si="10"/>
        <v>2</v>
      </c>
      <c r="BP24" s="48">
        <f>((Formula!C24)/(Formula!C24+Formula!E24+Formula!G24+Formula!I24+Formula!K24))*(INDEX(Properties!A$1:CB$87,Formula!B24,20))+((Formula!E24)/(Formula!C24+Formula!E24+Formula!G24+Formula!I24+Formula!K24))*(INDEX(Properties!A$1:CB$87,Formula!D24,20))+((Formula!G24)/(Formula!C24+Formula!E24+Formula!G24+Formula!I24+Formula!K24))*(INDEX(Properties!A$1:CB$87,Formula!F24,20))+((Formula!I24)/(Formula!C24+Formula!E24+Formula!G24+Formula!I24+Formula!K24))*(INDEX(Properties!A$1:CB$87,Formula!H24,20))+((Formula!K24)/(Formula!C24+Formula!E24+Formula!G24+Formula!I24+Formula!K24))*(INDEX(Properties!A$1:CB$87,Formula!J24,20))</f>
        <v>4.666666666666667</v>
      </c>
      <c r="BQ24" s="48">
        <f>Formula!C24*(INDEX(Properties!A$1:CB$87,Formula!B24,20))+Formula!E24*(INDEX(Properties!A$1:CB$87,Formula!D24,20))+Formula!G24*(INDEX(Properties!A$1:CB$87,Formula!F24,20))+Formula!I24*(INDEX(Properties!A$1:CB$87,Formula!H24,20))+Formula!K24*(INDEX(Properties!A$1:CB$87,Formula!J24,20))</f>
        <v>14</v>
      </c>
      <c r="BR24" s="48">
        <f>VARP(IF(INDEX(Properties!A$1:CB$87,Formula!B24,20)&lt;&gt;"",INDEX(Properties!A$1:CB$87,Formula!B24,20)),IF(INDEX(Properties!A$1:CB$87,Formula!D24,20)&lt;&gt;"",INDEX(Properties!A$1:CB$87,Formula!D24,20)),IF(INDEX(Properties!A$1:CB$87,Formula!F24,20)&lt;&gt;"",INDEX(Properties!A$1:CB$87,Formula!F24,20)),IF(INDEX(Properties!A$1:CB$87,Formula!H24,20)&lt;&gt;"",INDEX(Properties!A$1:CB$87,Formula!H24,20)),IF(INDEX(Properties!A$1:CB$87,Formula!J24,20)&lt;&gt;"",INDEX(Properties!A$1:CB$87,Formula!J24,20)))</f>
        <v>5.44</v>
      </c>
      <c r="BS24" s="48">
        <f>MAX(INDEX(Properties!A$1:CB$87,Formula!B24,20),INDEX(Properties!A$1:CB$87,Formula!D24,20),INDEX(Properties!A$1:CB$87,Formula!F24,20),INDEX(Properties!A$1:CB$87,Formula!H24,20),INDEX(Properties!A$1:CB$87,Formula!J24,20))</f>
        <v>6</v>
      </c>
      <c r="BT24" s="48">
        <f>MIN(IF(INDEX(Properties!A$1:CB$87,Formula!B24,20)=0,10^6,INDEX(Properties!A$1:CB$87,Formula!B24,20)),IF(INDEX(Properties!A$1:CB$87,Formula!D24,20)=0,10^6,INDEX(Properties!A$1:CB$87,Formula!D24,20)),IF(INDEX(Properties!A$1:CB$87,Formula!F24,20)=0,10^6,INDEX(Properties!A$1:CB$87,Formula!F24,20)),IF(INDEX(Properties!A$1:CB$87,Formula!H24,20)=0,10^6,INDEX(Properties!A$1:CB$87,Formula!H24,20)),IF(INDEX(Properties!A$1:CB$87,Formula!J24,20)=0,10^6,INDEX(Properties!A$1:CB$87,Formula!J24,20)))</f>
        <v>2</v>
      </c>
      <c r="BU24" s="48">
        <f t="shared" si="11"/>
        <v>4</v>
      </c>
      <c r="BV24" s="66">
        <f>((Formula!C24)/(Formula!C24+Formula!E24+Formula!G24+Formula!I24+Formula!K24))*(INDEX(Properties!A$1:CB$87,Formula!B24,21))+((Formula!E24)/(Formula!C24+Formula!E24+Formula!G24+Formula!I24+Formula!K24))*(INDEX(Properties!A$1:CB$87,Formula!D24,21))+((Formula!G24)/(Formula!C24+Formula!E24+Formula!G24+Formula!I24+Formula!K24))*(INDEX(Properties!A$1:CB$87,Formula!F24,21))+((Formula!I24)/(Formula!C24+Formula!E24+Formula!G24+Formula!I24+Formula!K24))*(INDEX(Properties!A$1:CB$87,Formula!H24,21))+((Formula!K24)/(Formula!C24+Formula!E24+Formula!G24+Formula!I24+Formula!K24))*(INDEX(Properties!A$1:CB$87,Formula!J24,21))</f>
        <v>4.666666666666667</v>
      </c>
      <c r="BW24" s="66">
        <f>Formula!C24*(INDEX(Properties!A$1:CB$87,Formula!B24,21))+Formula!E24*(INDEX(Properties!A$1:CB$87,Formula!D24,21))+Formula!G24*(INDEX(Properties!A$1:CB$87,Formula!F24,21))+Formula!I24*(INDEX(Properties!A$1:CB$87,Formula!H24,21))+Formula!K24*(INDEX(Properties!A$1:CB$87,Formula!J24,21))</f>
        <v>14</v>
      </c>
      <c r="BX24" s="66">
        <f>VARP(IF(INDEX(Properties!A$1:CB$87,Formula!B24,21)&lt;&gt;"",INDEX(Properties!A$1:CB$87,Formula!B24,21)),IF(INDEX(Properties!A$1:CB$87,Formula!D24,21)&lt;&gt;"",INDEX(Properties!A$1:CB$87,Formula!D24,21)),IF(INDEX(Properties!A$1:CB$87,Formula!F24,21)&lt;&gt;"",INDEX(Properties!A$1:CB$87,Formula!F24,21)),IF(INDEX(Properties!A$1:CB$87,Formula!H24,21)&lt;&gt;"",INDEX(Properties!A$1:CB$87,Formula!H24,21)),IF(INDEX(Properties!A$1:CB$87,Formula!J24,21)&lt;&gt;"",INDEX(Properties!A$1:CB$87,Formula!J24,21)))</f>
        <v>5.44</v>
      </c>
      <c r="BY24" s="66">
        <f>MAX(INDEX(Properties!A$1:CB$87,Formula!B24,21),INDEX(Properties!A$1:CB$87,Formula!D24,21),INDEX(Properties!A$1:CB$87,Formula!F24,21),INDEX(Properties!A$1:CB$87,Formula!H24,21),INDEX(Properties!A$1:CB$87,Formula!J24,21))</f>
        <v>6</v>
      </c>
      <c r="BZ24" s="66">
        <f>MIN(IF(INDEX(Properties!A$1:CB$87,Formula!B24,21)=0,10^6,INDEX(Properties!A$1:CB$87,Formula!B24,21)),IF(INDEX(Properties!A$1:CB$87,Formula!D24,21)=0,10^6,INDEX(Properties!A$1:CB$87,Formula!D24,21)),IF(INDEX(Properties!A$1:CB$87,Formula!F24,21)=0,10^6,INDEX(Properties!A$1:CB$87,Formula!F24,21)),IF(INDEX(Properties!A$1:CB$87,Formula!H24,21)=0,10^6,INDEX(Properties!A$1:CB$87,Formula!H24,21)),IF(INDEX(Properties!A$1:CB$87,Formula!J24,21)=0,10^6,INDEX(Properties!A$1:CB$87,Formula!J24,21)))</f>
        <v>2</v>
      </c>
      <c r="CA24" s="66">
        <f t="shared" si="12"/>
        <v>4</v>
      </c>
      <c r="CB24" s="81">
        <f>((Formula!C24)/(Formula!C24+Formula!E24+Formula!G24+Formula!I24+Formula!K24))*(INDEX(Properties!A$1:CB$87,Formula!B24,23))+((Formula!E24)/(Formula!C24+Formula!E24+Formula!G24+Formula!I24+Formula!K24))*(INDEX(Properties!A$1:CB$87,Formula!D24,23))+((Formula!G24)/(Formula!C24+Formula!E24+Formula!G24+Formula!I24+Formula!K24))*(INDEX(Properties!A$1:CB$87,Formula!F24,23))+((Formula!I24)/(Formula!C24+Formula!E24+Formula!G24+Formula!I24+Formula!K24))*(INDEX(Properties!A$1:CB$87,Formula!H24,23))+((Formula!K24)/(Formula!C24+Formula!E24+Formula!G24+Formula!I24+Formula!K24))*(INDEX(Properties!A$1:CB$87,Formula!J24,23))</f>
        <v>1.3333333333333333</v>
      </c>
      <c r="CC24" s="81">
        <f>Formula!C24*(INDEX(Properties!A$1:CB$87,Formula!B24,23))+Formula!E24*(INDEX(Properties!A$1:CB$87,Formula!D24,23))+Formula!G24*(INDEX(Properties!A$1:CB$87,Formula!F24,23))+Formula!I24*(INDEX(Properties!A$1:CB$87,Formula!H24,23))+Formula!K24*(INDEX(Properties!A$1:CB$87,Formula!J24,23))</f>
        <v>4</v>
      </c>
      <c r="CD24" s="81">
        <f>VARP(IF(INDEX(Properties!A$1:CB$87,Formula!B24,23)&lt;&gt;"",INDEX(Properties!A$1:CB$87,Formula!B24,23)),IF(INDEX(Properties!A$1:CB$87,Formula!D24,23)&lt;&gt;"",INDEX(Properties!A$1:CB$87,Formula!D24,23)),IF(INDEX(Properties!A$1:CB$87,Formula!F24,23)&lt;&gt;"",INDEX(Properties!A$1:CB$87,Formula!F24,23)),IF(INDEX(Properties!A$1:CB$87,Formula!H24,23)&lt;&gt;"",INDEX(Properties!A$1:CB$87,Formula!H24,23)),IF(INDEX(Properties!A$1:CB$87,Formula!J24,23)&lt;&gt;"",INDEX(Properties!A$1:CB$87,Formula!J24,23)))</f>
        <v>2.56</v>
      </c>
      <c r="CE24" s="81">
        <f>MAX(INDEX(Properties!A$1:CB$87,Formula!B24,23),INDEX(Properties!A$1:CB$87,Formula!D24,23),INDEX(Properties!A$1:CB$87,Formula!F24,23),INDEX(Properties!A$1:CB$87,Formula!H24,23),INDEX(Properties!A$1:CB$87,Formula!J24,23))</f>
        <v>4</v>
      </c>
      <c r="CF24" s="81">
        <f>MIN(IF(Formula!B24=87,10^6,INDEX(Properties!A$1:CB$87,Formula!B24,23)),IF((Formula!D24)=87,10^6,INDEX(Properties!A$1:CB$87,Formula!D24,23)),IF((Formula!F24)=87,10^6,INDEX(Properties!A$1:CB$87,Formula!F24,23)),IF((Formula!H24)=87,10^6,INDEX(Properties!A$1:CB$87,Formula!H24,23)),IF(Formula!J24=87,10^6,INDEX(Properties!A$1:CB$87,Formula!J24,23)))</f>
        <v>0</v>
      </c>
      <c r="CG24" s="81">
        <f t="shared" si="13"/>
        <v>4</v>
      </c>
      <c r="CH24" s="39">
        <f>((Formula!C24)/(Formula!C24+Formula!E24+Formula!G24+Formula!I24+Formula!K24))*(INDEX(Properties!A$1:CB$87,Formula!B24,26))+((Formula!E24)/(Formula!C24+Formula!E24+Formula!G24+Formula!I24+Formula!K24))*(INDEX(Properties!A$1:CB$87,Formula!D24,26))+((Formula!G24)/(Formula!C24+Formula!E24+Formula!G24+Formula!I24+Formula!K24))*(INDEX(Properties!A$1:CB$87,Formula!F24,26))+((Formula!I24)/(Formula!C24+Formula!E24+Formula!G24+Formula!I24+Formula!K24))*(INDEX(Properties!A$1:CB$87,Formula!H24,26))+((Formula!K24)/(Formula!C24+Formula!E24+Formula!G24+Formula!I24+Formula!K24))*(INDEX(Properties!A$1:CB$87,Formula!J24,26))</f>
        <v>11.290033333333332</v>
      </c>
      <c r="CI24" s="39">
        <f>Formula!C24*(INDEX(Properties!A$1:CB$87,Formula!B24,26))+Formula!E24*(INDEX(Properties!A$1:CB$87,Formula!D24,26))+Formula!G24*(INDEX(Properties!A$1:CB$87,Formula!F24,26))+Formula!I24*(INDEX(Properties!A$1:CB$87,Formula!H24,26))+Formula!K24*(INDEX(Properties!A$1:CB$87,Formula!J24,26))</f>
        <v>33.870100000000001</v>
      </c>
      <c r="CJ24" s="39">
        <f>VARP(IF(INDEX(Properties!A$1:CB$87,Formula!B24,26)&lt;&gt;"",INDEX(Properties!A$1:CB$87,Formula!B24,26)),IF(INDEX(Properties!A$1:CB$87,Formula!D24,26)&lt;&gt;"",INDEX(Properties!A$1:CB$87,Formula!D24,26)),IF(INDEX(Properties!A$1:CB$87,Formula!F24,26)&lt;&gt;"",INDEX(Properties!A$1:CB$87,Formula!F24,26)),IF(INDEX(Properties!A$1:CB$87,Formula!H24,26)&lt;&gt;"",INDEX(Properties!A$1:CB$87,Formula!H24,26)),IF(INDEX(Properties!A$1:CB$87,Formula!J24,26)&lt;&gt;"",INDEX(Properties!A$1:CB$87,Formula!J24,26)))</f>
        <v>29.486515204000007</v>
      </c>
      <c r="CK24" s="39">
        <f>MAX(INDEX(Properties!A$1:CB$87,Formula!B24,26),INDEX(Properties!A$1:CB$87,Formula!D24,26),INDEX(Properties!A$1:CB$87,Formula!F24,26),INDEX(Properties!A$1:CB$87,Formula!H24,26),INDEX(Properties!A$1:CB$87,Formula!J24,26))</f>
        <v>13.6181</v>
      </c>
      <c r="CL24" s="39">
        <f>MIN(IF(INDEX(Properties!A$1:CB$87,Formula!B24,26)=0,10^6,INDEX(Properties!A$1:CB$87,Formula!B24,26)),IF(INDEX(Properties!A$1:CB$87,Formula!D24,26)=0,10^6,INDEX(Properties!A$1:CB$87,Formula!D24,26)),IF(INDEX(Properties!A$1:CB$87,Formula!F24,26)=0,10^6,INDEX(Properties!A$1:CB$87,Formula!F24,26)),IF(INDEX(Properties!A$1:CB$87,Formula!H24,26)=0,10^6,INDEX(Properties!A$1:CB$87,Formula!H24,26)),IF(INDEX(Properties!A$1:CB$87,Formula!J24,26)=0,10^6,INDEX(Properties!A$1:CB$87,Formula!J24,26)))</f>
        <v>6.6338999999999997</v>
      </c>
      <c r="CM24" s="39">
        <f t="shared" si="14"/>
        <v>6.9842000000000004</v>
      </c>
      <c r="CN24" s="54">
        <f>((Formula!C24)/(Formula!C24+Formula!E24+Formula!G24+Formula!I24+Formula!K24))*(INDEX(Properties!A$1:CB$87,Formula!B24,30))+((Formula!E24)/(Formula!C24+Formula!E24+Formula!G24+Formula!I24+Formula!K24))*(INDEX(Properties!A$1:CB$87,Formula!D24,30))+((Formula!G24)/(Formula!C24+Formula!E24+Formula!G24+Formula!I24+Formula!K24))*(INDEX(Properties!A$1:CB$87,Formula!F24,30))+((Formula!I24)/(Formula!C24+Formula!E24+Formula!G24+Formula!I24+Formula!K24))*(INDEX(Properties!A$1:CB$87,Formula!H24,30))+((Formula!K24)/(Formula!C24+Formula!E24+Formula!G24+Formula!I24+Formula!K24))*(INDEX(Properties!A$1:CB$87,Formula!J24,30))</f>
        <v>2.7366666666666664</v>
      </c>
      <c r="CO24" s="54">
        <f>Formula!C24*(INDEX(Properties!A$1:CB$87,Formula!B24,30))+Formula!E24*(INDEX(Properties!A$1:CB$87,Formula!D24,30))+Formula!G24*(INDEX(Properties!A$1:CB$87,Formula!F24,30))+Formula!I24*(INDEX(Properties!A$1:CB$87,Formula!H24,30))+Formula!K24*(INDEX(Properties!A$1:CB$87,Formula!J24,30))</f>
        <v>8.2100000000000009</v>
      </c>
      <c r="CP24" s="54">
        <f>VARP(IF(INDEX(Properties!A$1:CB$87,Formula!B24,30)&lt;&gt;"",INDEX(Properties!A$1:CB$87,Formula!B24,30)),IF(INDEX(Properties!A$1:CB$87,Formula!D24,30)&lt;&gt;"",INDEX(Properties!A$1:CB$87,Formula!D24,30)),IF(INDEX(Properties!A$1:CB$87,Formula!F24,30)&lt;&gt;"",INDEX(Properties!A$1:CB$87,Formula!F24,30)),IF(INDEX(Properties!A$1:CB$87,Formula!H24,30)&lt;&gt;"",INDEX(Properties!A$1:CB$87,Formula!H24,30)),IF(INDEX(Properties!A$1:CB$87,Formula!J24,30)&lt;&gt;"",INDEX(Properties!A$1:CB$87,Formula!J24,30)))</f>
        <v>1.8103839999999998</v>
      </c>
      <c r="CQ24" s="54">
        <f>MAX(INDEX(Properties!A$1:CB$87,Formula!B24,30),INDEX(Properties!A$1:CB$87,Formula!D24,30),INDEX(Properties!A$1:CB$87,Formula!F24,30),INDEX(Properties!A$1:CB$87,Formula!H24,30),INDEX(Properties!A$1:CB$87,Formula!J24,30))</f>
        <v>3.44</v>
      </c>
      <c r="CR24" s="54">
        <f>MIN(IF(INDEX(Properties!A$1:CB$87,Formula!B24,30)=0,10^6,INDEX(Properties!A$1:CB$87,Formula!B24,30)),IF(INDEX(Properties!A$1:CB$87,Formula!D24,30)=0,10^6,INDEX(Properties!A$1:CB$87,Formula!D24,30)),IF(INDEX(Properties!A$1:CB$87,Formula!F24,30)=0,10^6,INDEX(Properties!A$1:CB$87,Formula!F24,30)),IF(INDEX(Properties!A$1:CB$87,Formula!H24,30)=0,10^6,INDEX(Properties!A$1:CB$87,Formula!H24,30)),IF(INDEX(Properties!A$1:CB$87,Formula!J24,30)=0,10^6,INDEX(Properties!A$1:CB$87,Formula!J24,30)))</f>
        <v>1.33</v>
      </c>
      <c r="CS24" s="54">
        <f t="shared" si="15"/>
        <v>2.11</v>
      </c>
      <c r="CT24" s="69">
        <f>((Formula!C24)/(Formula!C24+Formula!E24+Formula!G24+Formula!I24+Formula!K24))*(INDEX(Properties!A$1:CB$87,Formula!B24,31))+((Formula!E24)/(Formula!C24+Formula!E24+Formula!G24+Formula!I24+Formula!K24))*(INDEX(Properties!A$1:CB$87,Formula!D24,31))+((Formula!G24)/(Formula!C24+Formula!E24+Formula!G24+Formula!I24+Formula!K24))*(INDEX(Properties!A$1:CB$87,Formula!F24,31))+((Formula!I24)/(Formula!C24+Formula!E24+Formula!G24+Formula!I24+Formula!K24))*(INDEX(Properties!A$1:CB$87,Formula!H24,31))+((Formula!K24)/(Formula!C24+Formula!E24+Formula!G24+Formula!I24+Formula!K24))*(INDEX(Properties!A$1:CB$87,Formula!J24,31))</f>
        <v>2.7799999999999994</v>
      </c>
      <c r="CU24" s="69">
        <f>Formula!C24*(INDEX(Properties!A$1:CB$87,Formula!B24,31))+Formula!E24*(INDEX(Properties!A$1:CB$87,Formula!D24,31))+Formula!G24*(INDEX(Properties!A$1:CB$87,Formula!F24,31))+Formula!I24*(INDEX(Properties!A$1:CB$87,Formula!H24,31))+Formula!K24*(INDEX(Properties!A$1:CB$87,Formula!J24,31))</f>
        <v>8.34</v>
      </c>
      <c r="CV24" s="69">
        <f>VARP(IF(INDEX(Properties!A$1:CB$87,Formula!B24,31)&lt;&gt;"",INDEX(Properties!A$1:CB$87,Formula!B24,31)),IF(INDEX(Properties!A$1:CB$87,Formula!D24,31)&lt;&gt;"",INDEX(Properties!A$1:CB$87,Formula!D24,31)),IF(INDEX(Properties!A$1:CB$87,Formula!F24,31)&lt;&gt;"",INDEX(Properties!A$1:CB$87,Formula!F24,31)),IF(INDEX(Properties!A$1:CB$87,Formula!H24,31)&lt;&gt;"",INDEX(Properties!A$1:CB$87,Formula!H24,31)),IF(INDEX(Properties!A$1:CB$87,Formula!J24,31)&lt;&gt;"",INDEX(Properties!A$1:CB$87,Formula!J24,31)))</f>
        <v>1.7744639999999996</v>
      </c>
      <c r="CW24" s="69">
        <f>MAX(INDEX(Properties!A$1:CB$87,Formula!B24,31),INDEX(Properties!A$1:CB$87,Formula!D24,31),INDEX(Properties!A$1:CB$87,Formula!F24,31),INDEX(Properties!A$1:CB$87,Formula!H24,31),INDEX(Properties!A$1:CB$87,Formula!J24,31))</f>
        <v>3.32</v>
      </c>
      <c r="CX24" s="69">
        <f>MIN(IF(INDEX(Properties!A$1:CB$87,Formula!B24,31)=0,10^6,INDEX(Properties!A$1:CB$87,Formula!B24,31)),IF(INDEX(Properties!A$1:CB$87,Formula!D24,31)=0,10^6,INDEX(Properties!A$1:CB$87,Formula!D24,31)),IF(INDEX(Properties!A$1:CB$87,Formula!F24,31)=0,10^6,INDEX(Properties!A$1:CB$87,Formula!F24,31)),IF(INDEX(Properties!A$1:CB$87,Formula!H24,31)=0,10^6,INDEX(Properties!A$1:CB$87,Formula!H24,31)),IF(INDEX(Properties!A$1:CB$87,Formula!J24,31)=0,10^6,INDEX(Properties!A$1:CB$87,Formula!J24,31)))</f>
        <v>1.7</v>
      </c>
      <c r="CY24" s="69">
        <f t="shared" si="16"/>
        <v>1.6199999999999999</v>
      </c>
      <c r="CZ24" s="42">
        <f>((Formula!C24)/(Formula!C24+Formula!E24+Formula!G24+Formula!I24+Formula!K24))*(INDEX(Properties!A$1:CB$87,Formula!B24,32))+((Formula!E24)/(Formula!C24+Formula!E24+Formula!G24+Formula!I24+Formula!K24))*(INDEX(Properties!A$1:CB$87,Formula!D24,32))+((Formula!G24)/(Formula!C24+Formula!E24+Formula!G24+Formula!I24+Formula!K24))*(INDEX(Properties!A$1:CB$87,Formula!F24,32))+((Formula!I24)/(Formula!C24+Formula!E24+Formula!G24+Formula!I24+Formula!K24))*(INDEX(Properties!A$1:CB$87,Formula!H24,32))+((Formula!K24)/(Formula!C24+Formula!E24+Formula!G24+Formula!I24+Formula!K24))*(INDEX(Properties!A$1:CB$87,Formula!J24,32))</f>
        <v>6.24</v>
      </c>
      <c r="DA24" s="42">
        <f>Formula!C24*(INDEX(Properties!A$1:CB$87,Formula!B24,32))+Formula!E24*(INDEX(Properties!A$1:CB$87,Formula!D24,32))+Formula!G24*(INDEX(Properties!A$1:CB$87,Formula!F24,32))+Formula!I24*(INDEX(Properties!A$1:CB$87,Formula!H24,32))+Formula!K24*(INDEX(Properties!A$1:CB$87,Formula!J24,32))</f>
        <v>18.72</v>
      </c>
      <c r="DB24" s="42">
        <f>VARP(IF(INDEX(Properties!A$1:CB$87,Formula!B24,32)&lt;&gt;"",INDEX(Properties!A$1:CB$87,Formula!B24,32)),IF(INDEX(Properties!A$1:CB$87,Formula!D24,32)&lt;&gt;"",INDEX(Properties!A$1:CB$87,Formula!D24,32)),IF(INDEX(Properties!A$1:CB$87,Formula!F24,32)&lt;&gt;"",INDEX(Properties!A$1:CB$87,Formula!F24,32)),IF(INDEX(Properties!A$1:CB$87,Formula!H24,32)&lt;&gt;"",INDEX(Properties!A$1:CB$87,Formula!H24,32)),IF(INDEX(Properties!A$1:CB$87,Formula!J24,32)&lt;&gt;"",INDEX(Properties!A$1:CB$87,Formula!J24,32)))</f>
        <v>9.0205440000000028</v>
      </c>
      <c r="DC24" s="42">
        <f>MAX(INDEX(Properties!A$1:CB$87,Formula!B24,32),INDEX(Properties!A$1:CB$87,Formula!D24,32),INDEX(Properties!A$1:CB$87,Formula!F24,32),INDEX(Properties!A$1:CB$87,Formula!H24,32),INDEX(Properties!A$1:CB$87,Formula!J24,32))</f>
        <v>7.54</v>
      </c>
      <c r="DD24" s="42">
        <f>MIN(IF(INDEX(Properties!A$1:CB$87,Formula!B24,32)=0,10^6,INDEX(Properties!A$1:CB$87,Formula!B24,32)),IF(INDEX(Properties!A$1:CB$87,Formula!D24,32)=0,10^6,INDEX(Properties!A$1:CB$87,Formula!D24,32)),IF(INDEX(Properties!A$1:CB$87,Formula!F24,32)=0,10^6,INDEX(Properties!A$1:CB$87,Formula!F24,32)),IF(INDEX(Properties!A$1:CB$87,Formula!H24,32)=0,10^6,INDEX(Properties!A$1:CB$87,Formula!H24,32)),IF(INDEX(Properties!A$1:CB$87,Formula!J24,32)=0,10^6,INDEX(Properties!A$1:CB$87,Formula!J24,32)))</f>
        <v>3.64</v>
      </c>
      <c r="DE24" s="42">
        <f t="shared" si="17"/>
        <v>3.9</v>
      </c>
      <c r="DF24" s="60">
        <f>((Formula!C24)/(Formula!C24+Formula!E24+Formula!G24+Formula!I24+Formula!K24))*(INDEX(Properties!A$1:CB$87,Formula!B24,34))+((Formula!E24)/(Formula!C24+Formula!E24+Formula!G24+Formula!I24+Formula!K24))*(INDEX(Properties!A$1:CB$87,Formula!D24,34))+((Formula!G24)/(Formula!C24+Formula!E24+Formula!G24+Formula!I24+Formula!K24))*(INDEX(Properties!A$1:CB$87,Formula!F24,34))+((Formula!I24)/(Formula!C24+Formula!E24+Formula!G24+Formula!I24+Formula!K24))*(INDEX(Properties!A$1:CB$87,Formula!H24,34))+((Formula!K24)/(Formula!C24+Formula!E24+Formula!G24+Formula!I24+Formula!K24))*(INDEX(Properties!A$1:CB$87,Formula!J24,34))</f>
        <v>2.8466666666666662</v>
      </c>
      <c r="DG24" s="60">
        <f>Formula!C24*(INDEX(Properties!A$1:CB$87,Formula!B24,34))+Formula!E24*(INDEX(Properties!A$1:CB$87,Formula!D24,34))+Formula!G24*(INDEX(Properties!A$1:CB$87,Formula!F24,34))+Formula!I24*(INDEX(Properties!A$1:CB$87,Formula!H24,34))+Formula!K24*(INDEX(Properties!A$1:CB$87,Formula!J24,34))</f>
        <v>8.5399999999999991</v>
      </c>
      <c r="DH24" s="60">
        <f>VARP(IF(INDEX(Properties!A$1:CB$87,Formula!B24,34)&lt;&gt;"",INDEX(Properties!A$1:CB$87,Formula!B24,34)),IF(INDEX(Properties!A$1:CB$87,Formula!D24,34)&lt;&gt;"",INDEX(Properties!A$1:CB$87,Formula!D24,34)),IF(INDEX(Properties!A$1:CB$87,Formula!F24,34)&lt;&gt;"",INDEX(Properties!A$1:CB$87,Formula!F24,34)),IF(INDEX(Properties!A$1:CB$87,Formula!H24,34)&lt;&gt;"",INDEX(Properties!A$1:CB$87,Formula!H24,34)),IF(INDEX(Properties!A$1:CB$87,Formula!J24,34)&lt;&gt;"",INDEX(Properties!A$1:CB$87,Formula!J24,34)))</f>
        <v>1.9827040000000002</v>
      </c>
      <c r="DI24" s="60">
        <f>MAX(INDEX(Properties!A$1:CB$87,Formula!B24,34),INDEX(Properties!A$1:CB$87,Formula!D24,34),INDEX(Properties!A$1:CB$87,Formula!F24,34),INDEX(Properties!A$1:CB$87,Formula!H24,34),INDEX(Properties!A$1:CB$87,Formula!J24,34))</f>
        <v>3.61</v>
      </c>
      <c r="DJ24" s="60">
        <f>MIN(IF(INDEX(Properties!A$1:CB$87,Formula!B24,34)=0,10^6,INDEX(Properties!A$1:CB$87,Formula!B24,34)),IF(INDEX(Properties!A$1:CB$87,Formula!D24,34)=0,10^6,INDEX(Properties!A$1:CB$87,Formula!D24,34)),IF(INDEX(Properties!A$1:CB$87,Formula!F24,34)=0,10^6,INDEX(Properties!A$1:CB$87,Formula!F24,34)),IF(INDEX(Properties!A$1:CB$87,Formula!H24,34)=0,10^6,INDEX(Properties!A$1:CB$87,Formula!H24,34)),IF(INDEX(Properties!A$1:CB$87,Formula!J24,34)=0,10^6,INDEX(Properties!A$1:CB$87,Formula!J24,34)))</f>
        <v>1.32</v>
      </c>
      <c r="DK24" s="60">
        <f t="shared" si="18"/>
        <v>2.29</v>
      </c>
      <c r="DL24" s="45">
        <f>((Formula!C24)/(Formula!C24+Formula!E24+Formula!G24+Formula!I24+Formula!K24))*(INDEX(Properties!A$1:CB$87,Formula!B24,39))+((Formula!E24)/(Formula!C24+Formula!E24+Formula!G24+Formula!I24+Formula!K24))*(INDEX(Properties!A$1:CB$87,Formula!D24,39))+((Formula!G24)/(Formula!C24+Formula!E24+Formula!G24+Formula!I24+Formula!K24))*(INDEX(Properties!A$1:CB$87,Formula!F24,39))+((Formula!I24)/(Formula!C24+Formula!E24+Formula!G24+Formula!I24+Formula!K24))*(INDEX(Properties!A$1:CB$87,Formula!H24,39))+((Formula!K24)/(Formula!C24+Formula!E24+Formula!G24+Formula!I24+Formula!K24))*(INDEX(Properties!A$1:CB$87,Formula!J24,39))</f>
        <v>1.0066666666666666</v>
      </c>
      <c r="DM24" s="45">
        <f>Formula!C24*(INDEX(Properties!A$1:CB$87,Formula!B24,39))+Formula!E24*(INDEX(Properties!A$1:CB$87,Formula!D24,39))+Formula!G24*(INDEX(Properties!A$1:CB$87,Formula!F24,39))+Formula!I24*(INDEX(Properties!A$1:CB$87,Formula!H24,39))+Formula!K24*(INDEX(Properties!A$1:CB$87,Formula!J24,39))</f>
        <v>3.02</v>
      </c>
      <c r="DN24" s="45">
        <f>VARP(IF(INDEX(Properties!A$1:CB$87,Formula!B24,39)&lt;&gt;"",INDEX(Properties!A$1:CB$87,Formula!B24,39)),IF(INDEX(Properties!A$1:CB$87,Formula!D24,39)&lt;&gt;"",INDEX(Properties!A$1:CB$87,Formula!D24,39)),IF(INDEX(Properties!A$1:CB$87,Formula!F24,39)&lt;&gt;"",INDEX(Properties!A$1:CB$87,Formula!F24,39)),IF(INDEX(Properties!A$1:CB$87,Formula!H24,39)&lt;&gt;"",INDEX(Properties!A$1:CB$87,Formula!H24,39)),IF(INDEX(Properties!A$1:CB$87,Formula!J24,39)&lt;&gt;"",INDEX(Properties!A$1:CB$87,Formula!J24,39)))</f>
        <v>0.63673600000000008</v>
      </c>
      <c r="DO24" s="45">
        <f>MAX(INDEX(Properties!A$1:CB$87,Formula!B24,39),INDEX(Properties!A$1:CB$87,Formula!D24,39),INDEX(Properties!A$1:CB$87,Formula!F24,39),INDEX(Properties!A$1:CB$87,Formula!H24,39),INDEX(Properties!A$1:CB$87,Formula!J24,39))</f>
        <v>2.06</v>
      </c>
      <c r="DP24" s="45">
        <f>MIN(IF(INDEX(Properties!A$1:CB$87,Formula!B24,39)=0,10^6,INDEX(Properties!A$1:CB$87,Formula!B24,39)),IF(INDEX(Properties!A$1:CB$87,Formula!D24,39)=0,10^6,INDEX(Properties!A$1:CB$87,Formula!D24,39)),IF(INDEX(Properties!A$1:CB$87,Formula!F24,39)=0,10^6,INDEX(Properties!A$1:CB$87,Formula!F24,39)),IF(INDEX(Properties!A$1:CB$87,Formula!H24,39)=0,10^6,INDEX(Properties!A$1:CB$87,Formula!H24,39)),IF(INDEX(Properties!A$1:CB$87,Formula!J24,39)=0,10^6,INDEX(Properties!A$1:CB$87,Formula!J24,39)))</f>
        <v>0.48</v>
      </c>
      <c r="DQ24" s="45">
        <f t="shared" si="19"/>
        <v>1.58</v>
      </c>
      <c r="DR24" s="63">
        <f>((Formula!C24)/(Formula!C24+Formula!E24+Formula!G24+Formula!I24+Formula!K24))*(INDEX(Properties!A$1:CB$87,Formula!B24,40))+((Formula!E24)/(Formula!C24+Formula!E24+Formula!G24+Formula!I24+Formula!K24))*(INDEX(Properties!A$1:CB$87,Formula!D24,40))+((Formula!G24)/(Formula!C24+Formula!E24+Formula!G24+Formula!I24+Formula!K24))*(INDEX(Properties!A$1:CB$87,Formula!F24,40))+((Formula!I24)/(Formula!C24+Formula!E24+Formula!G24+Formula!I24+Formula!K24))*(INDEX(Properties!A$1:CB$87,Formula!H24,40))+((Formula!K24)/(Formula!C24+Formula!E24+Formula!G24+Formula!I24+Formula!K24))*(INDEX(Properties!A$1:CB$87,Formula!J24,40))</f>
        <v>0.98</v>
      </c>
      <c r="DS24" s="63">
        <f>Formula!C24*(INDEX(Properties!A$1:CB$87,Formula!B24,40))+Formula!E24*(INDEX(Properties!A$1:CB$87,Formula!D24,40))+Formula!G24*(INDEX(Properties!A$1:CB$87,Formula!F24,40))+Formula!I24*(INDEX(Properties!A$1:CB$87,Formula!H24,40))+Formula!K24*(INDEX(Properties!A$1:CB$87,Formula!J24,40))</f>
        <v>2.94</v>
      </c>
      <c r="DT24" s="63">
        <f>VARP(IF(INDEX(Properties!A$1:CB$87,Formula!B24,40)&lt;&gt;"",INDEX(Properties!A$1:CB$87,Formula!B24,40)),IF(INDEX(Properties!A$1:CB$87,Formula!D24,40)&lt;&gt;"",INDEX(Properties!A$1:CB$87,Formula!D24,40)),IF(INDEX(Properties!A$1:CB$87,Formula!F24,40)&lt;&gt;"",INDEX(Properties!A$1:CB$87,Formula!F24,40)),IF(INDEX(Properties!A$1:CB$87,Formula!H24,40)&lt;&gt;"",INDEX(Properties!A$1:CB$87,Formula!H24,40)),IF(INDEX(Properties!A$1:CB$87,Formula!J24,40)&lt;&gt;"",INDEX(Properties!A$1:CB$87,Formula!J24,40)))</f>
        <v>0.349296</v>
      </c>
      <c r="DU24" s="63">
        <f>MAX(INDEX(Properties!A$1:CB$87,Formula!B24,40),INDEX(Properties!A$1:CB$87,Formula!D24,40),INDEX(Properties!A$1:CB$87,Formula!F24,40),INDEX(Properties!A$1:CB$87,Formula!H24,40),INDEX(Properties!A$1:CB$87,Formula!J24,40))</f>
        <v>1.48</v>
      </c>
      <c r="DV24" s="63">
        <f>MIN(IF(INDEX(Properties!A$1:CB$87,Formula!B24,40)=0,10^6,INDEX(Properties!A$1:CB$87,Formula!B24,40)),IF(INDEX(Properties!A$1:CB$87,Formula!D24,40)=0,10^6,INDEX(Properties!A$1:CB$87,Formula!D24,40)),IF(INDEX(Properties!A$1:CB$87,Formula!F24,40)=0,10^6,INDEX(Properties!A$1:CB$87,Formula!F24,40)),IF(INDEX(Properties!A$1:CB$87,Formula!H24,40)=0,10^6,INDEX(Properties!A$1:CB$87,Formula!H24,40)),IF(INDEX(Properties!A$1:CB$87,Formula!J24,40)=0,10^6,INDEX(Properties!A$1:CB$87,Formula!J24,40)))</f>
        <v>0.73</v>
      </c>
      <c r="DW24" s="63">
        <f t="shared" si="20"/>
        <v>0.75</v>
      </c>
      <c r="DX24" s="75">
        <f>((Formula!C24)/(Formula!C24+Formula!E24+Formula!G24+Formula!I24+Formula!K24))*(INDEX(Properties!A$1:CB$87,Formula!B24,41))+((Formula!E24)/(Formula!C24+Formula!E24+Formula!G24+Formula!I24+Formula!K24))*(INDEX(Properties!A$1:CB$87,Formula!D24,41))+((Formula!G24)/(Formula!C24+Formula!E24+Formula!G24+Formula!I24+Formula!K24))*(INDEX(Properties!A$1:CB$87,Formula!F24,41))+((Formula!I24)/(Formula!C24+Formula!E24+Formula!G24+Formula!I24+Formula!K24))*(INDEX(Properties!A$1:CB$87,Formula!H24,41))+((Formula!K24)/(Formula!C24+Formula!E24+Formula!G24+Formula!I24+Formula!K24))*(INDEX(Properties!A$1:CB$87,Formula!J24,41))</f>
        <v>1.1266666666666665</v>
      </c>
      <c r="DY24" s="75">
        <f>Formula!C24*(INDEX(Properties!A$1:CB$87,Formula!B24,41))+Formula!E24*(INDEX(Properties!A$1:CB$87,Formula!D24,41))+Formula!G24*(INDEX(Properties!A$1:CB$87,Formula!F24,41))+Formula!I24*(INDEX(Properties!A$1:CB$87,Formula!H24,41))+Formula!K24*(INDEX(Properties!A$1:CB$87,Formula!J24,41))</f>
        <v>3.38</v>
      </c>
      <c r="DZ24" s="75">
        <f>VARP(IF(INDEX(Properties!A$1:CB$87,Formula!B24,41)&lt;&gt;"",INDEX(Properties!A$1:CB$87,Formula!B24,41)),IF(INDEX(Properties!A$1:CB$87,Formula!D24,41)&lt;&gt;"",INDEX(Properties!A$1:CB$87,Formula!D24,41)),IF(INDEX(Properties!A$1:CB$87,Formula!F24,41)&lt;&gt;"",INDEX(Properties!A$1:CB$87,Formula!F24,41)),IF(INDEX(Properties!A$1:CB$87,Formula!H24,41)&lt;&gt;"",INDEX(Properties!A$1:CB$87,Formula!H24,41)),IF(INDEX(Properties!A$1:CB$87,Formula!J24,41)&lt;&gt;"",INDEX(Properties!A$1:CB$87,Formula!J24,41)))</f>
        <v>0.28566399999999992</v>
      </c>
      <c r="EA24" s="75">
        <f>MAX(INDEX(Properties!A$1:CB$87,Formula!B24,41),INDEX(Properties!A$1:CB$87,Formula!D24,41),INDEX(Properties!A$1:CB$87,Formula!F24,41),INDEX(Properties!A$1:CB$87,Formula!H24,41),INDEX(Properties!A$1:CB$87,Formula!J24,41))</f>
        <v>1.26</v>
      </c>
      <c r="EB24" s="75">
        <f>MIN(IF(INDEX(Properties!A$1:CB$87,Formula!B24,41)=0,10^6,INDEX(Properties!A$1:CB$87,Formula!B24,41)),IF(INDEX(Properties!A$1:CB$87,Formula!D24,41)=0,10^6,INDEX(Properties!A$1:CB$87,Formula!D24,41)),IF(INDEX(Properties!A$1:CB$87,Formula!F24,41)=0,10^6,INDEX(Properties!A$1:CB$87,Formula!F24,41)),IF(INDEX(Properties!A$1:CB$87,Formula!H24,41)=0,10^6,INDEX(Properties!A$1:CB$87,Formula!H24,41)),IF(INDEX(Properties!A$1:CB$87,Formula!J24,41)=0,10^6,INDEX(Properties!A$1:CB$87,Formula!J24,41)))</f>
        <v>0.86</v>
      </c>
      <c r="EC24" s="75">
        <f t="shared" si="21"/>
        <v>0.4</v>
      </c>
      <c r="ED24" s="48">
        <f>((Formula!C24)/(Formula!C24+Formula!E24+Formula!G24+Formula!I24+Formula!K24))*(INDEX(Properties!A$1:CB$87,Formula!B24,45))+((Formula!E24)/(Formula!C24+Formula!E24+Formula!G24+Formula!I24+Formula!K24))*(INDEX(Properties!A$1:CB$87,Formula!D24,45))+((Formula!G24)/(Formula!C24+Formula!E24+Formula!G24+Formula!I24+Formula!K24))*(INDEX(Properties!A$1:CB$87,Formula!F24,45))+((Formula!I24)/(Formula!C24+Formula!E24+Formula!G24+Formula!I24+Formula!K24))*(INDEX(Properties!A$1:CB$87,Formula!H24,45))+((Formula!K24)/(Formula!C24+Formula!E24+Formula!G24+Formula!I24+Formula!K24))*(INDEX(Properties!A$1:CB$87,Formula!J24,45))</f>
        <v>1.2566666666666666</v>
      </c>
      <c r="EE24" s="48">
        <f>Formula!C24*(INDEX(Properties!A$1:CB$87,Formula!B24,45))+Formula!E24*(INDEX(Properties!A$1:CB$87,Formula!D24,45))+Formula!G24*(INDEX(Properties!A$1:CB$87,Formula!F24,45))+Formula!I24*(INDEX(Properties!A$1:CB$87,Formula!H24,45))+Formula!K24*(INDEX(Properties!A$1:CB$87,Formula!J24,45))</f>
        <v>3.77</v>
      </c>
      <c r="EF24" s="48">
        <f>VARP(IF(INDEX(Properties!A$1:CB$87,Formula!B24,45)&lt;&gt;"",INDEX(Properties!A$1:CB$87,Formula!B24,45)),IF(INDEX(Properties!A$1:CB$87,Formula!D24,45)&lt;&gt;"",INDEX(Properties!A$1:CB$87,Formula!D24,45)),IF(INDEX(Properties!A$1:CB$87,Formula!F24,45)&lt;&gt;"",INDEX(Properties!A$1:CB$87,Formula!F24,45)),IF(INDEX(Properties!A$1:CB$87,Formula!H24,45)&lt;&gt;"",INDEX(Properties!A$1:CB$87,Formula!H24,45)),IF(INDEX(Properties!A$1:CB$87,Formula!J24,45)&lt;&gt;"",INDEX(Properties!A$1:CB$87,Formula!J24,45)))</f>
        <v>1.2103600000000001</v>
      </c>
      <c r="EG24" s="48">
        <f>MAX(INDEX(Properties!A$1:CB$87,Formula!B24,45),INDEX(Properties!A$1:CB$87,Formula!D24,45),INDEX(Properties!A$1:CB$87,Formula!F24,45),INDEX(Properties!A$1:CB$87,Formula!H24,45),INDEX(Properties!A$1:CB$87,Formula!J24,45))</f>
        <v>2.83</v>
      </c>
      <c r="EH24" s="48">
        <f>MIN(IF(INDEX(Properties!A$1:CB$87,Formula!B24,45)=0,10^6,INDEX(Properties!A$1:CB$87,Formula!B24,45)),IF(INDEX(Properties!A$1:CB$87,Formula!D24,45)=0,10^6,INDEX(Properties!A$1:CB$87,Formula!D24,45)),IF(INDEX(Properties!A$1:CB$87,Formula!F24,45)=0,10^6,INDEX(Properties!A$1:CB$87,Formula!F24,45)),IF(INDEX(Properties!A$1:CB$87,Formula!H24,45)=0,10^6,INDEX(Properties!A$1:CB$87,Formula!H24,45)),IF(INDEX(Properties!A$1:CB$87,Formula!J24,45)=0,10^6,INDEX(Properties!A$1:CB$87,Formula!J24,45)))</f>
        <v>0.47</v>
      </c>
      <c r="EI24" s="48">
        <f t="shared" si="22"/>
        <v>2.3600000000000003</v>
      </c>
      <c r="EJ24" s="66">
        <f>((Formula!C24)/(Formula!C24+Formula!E24+Formula!G24+Formula!I24+Formula!K24))*(INDEX(Properties!A$1:CB$87,Formula!B24,46))+((Formula!E24)/(Formula!C24+Formula!E24+Formula!G24+Formula!I24+Formula!K24))*(INDEX(Properties!A$1:CB$87,Formula!D24,46))+((Formula!G24)/(Formula!C24+Formula!E24+Formula!G24+Formula!I24+Formula!K24))*(INDEX(Properties!A$1:CB$87,Formula!F24,46))+((Formula!I24)/(Formula!C24+Formula!E24+Formula!G24+Formula!I24+Formula!K24))*(INDEX(Properties!A$1:CB$87,Formula!H24,46))+((Formula!K24)/(Formula!C24+Formula!E24+Formula!G24+Formula!I24+Formula!K24))*(INDEX(Properties!A$1:CB$87,Formula!J24,46))</f>
        <v>1.0933333333333333</v>
      </c>
      <c r="EK24" s="66">
        <f>Formula!C24*(INDEX(Properties!A$1:CB$87,Formula!B24,46))+Formula!E24*(INDEX(Properties!A$1:CB$87,Formula!D24,46))+Formula!G24*(INDEX(Properties!A$1:CB$87,Formula!F24,46))+Formula!I24*(INDEX(Properties!A$1:CB$87,Formula!H24,46))+Formula!K24*(INDEX(Properties!A$1:CB$87,Formula!J24,46))</f>
        <v>3.28</v>
      </c>
      <c r="EL24" s="66">
        <f>VARP(IF(INDEX(Properties!A$1:CB$87,Formula!B24,46)&lt;&gt;"",INDEX(Properties!A$1:CB$87,Formula!B24,46)),IF(INDEX(Properties!A$1:CB$87,Formula!D24,46)&lt;&gt;"",INDEX(Properties!A$1:CB$87,Formula!D24,46)),IF(INDEX(Properties!A$1:CB$87,Formula!F24,46)&lt;&gt;"",INDEX(Properties!A$1:CB$87,Formula!F24,46)),IF(INDEX(Properties!A$1:CB$87,Formula!H24,46)&lt;&gt;"",INDEX(Properties!A$1:CB$87,Formula!H24,46)),IF(INDEX(Properties!A$1:CB$87,Formula!J24,46)&lt;&gt;"",INDEX(Properties!A$1:CB$87,Formula!J24,46)))</f>
        <v>0.26934400000000003</v>
      </c>
      <c r="EM24" s="66">
        <f>MAX(INDEX(Properties!A$1:CB$87,Formula!B24,46),INDEX(Properties!A$1:CB$87,Formula!D24,46),INDEX(Properties!A$1:CB$87,Formula!F24,46),INDEX(Properties!A$1:CB$87,Formula!H24,46),INDEX(Properties!A$1:CB$87,Formula!J24,46))</f>
        <v>1.21</v>
      </c>
      <c r="EN24" s="66">
        <f>MIN(IF(INDEX(Properties!A$1:CB$87,Formula!B24,46)=0,10^6,INDEX(Properties!A$1:CB$87,Formula!B24,46)),IF(INDEX(Properties!A$1:CB$87,Formula!D24,46)=0,10^6,INDEX(Properties!A$1:CB$87,Formula!D24,46)),IF(INDEX(Properties!A$1:CB$87,Formula!F24,46)=0,10^6,INDEX(Properties!A$1:CB$87,Formula!F24,46)),IF(INDEX(Properties!A$1:CB$87,Formula!H24,46)=0,10^6,INDEX(Properties!A$1:CB$87,Formula!H24,46)),IF(INDEX(Properties!A$1:CB$87,Formula!J24,46)=0,10^6,INDEX(Properties!A$1:CB$87,Formula!J24,46)))</f>
        <v>0.86</v>
      </c>
      <c r="EO24" s="66">
        <f t="shared" si="23"/>
        <v>0.35</v>
      </c>
      <c r="EP24" s="81">
        <f>((Formula!C24)/(Formula!C24+Formula!E24+Formula!G24+Formula!I24+Formula!K24))*(INDEX(Properties!A$1:CB$87,Formula!B24,52))+((Formula!E24)/(Formula!C24+Formula!E24+Formula!G24+Formula!I24+Formula!K24))*(INDEX(Properties!A$1:CB$87,Formula!D24,52))+((Formula!G24)/(Formula!C24+Formula!E24+Formula!G24+Formula!I24+Formula!K24))*(INDEX(Properties!A$1:CB$87,Formula!F24,52))+((Formula!I24)/(Formula!C24+Formula!E24+Formula!G24+Formula!I24+Formula!K24))*(INDEX(Properties!A$1:CB$87,Formula!H24,52))+((Formula!K24)/(Formula!C24+Formula!E24+Formula!G24+Formula!I24+Formula!K24))*(INDEX(Properties!A$1:CB$87,Formula!J24,52))</f>
        <v>6.495333333333333</v>
      </c>
      <c r="EQ24" s="81">
        <f>Formula!C24*(INDEX(Properties!A$1:CB$87,Formula!B24,52))+Formula!E24*(INDEX(Properties!A$1:CB$87,Formula!D24,52))+Formula!G24*(INDEX(Properties!A$1:CB$87,Formula!F24,52))+Formula!I24*(INDEX(Properties!A$1:CB$87,Formula!H24,52))+Formula!K24*(INDEX(Properties!A$1:CB$87,Formula!J24,52))</f>
        <v>19.485999999999997</v>
      </c>
      <c r="ER24" s="81">
        <f>VARP(IF(INDEX(Properties!A$1:CB$87,Formula!B24,52)&lt;&gt;"",INDEX(Properties!A$1:CB$87,Formula!B24,52)),IF(INDEX(Properties!A$1:CB$87,Formula!D24,52)&lt;&gt;"",INDEX(Properties!A$1:CB$87,Formula!D24,52)),IF(INDEX(Properties!A$1:CB$87,Formula!F24,52)&lt;&gt;"",INDEX(Properties!A$1:CB$87,Formula!F24,52)),IF(INDEX(Properties!A$1:CB$87,Formula!H24,52)&lt;&gt;"",INDEX(Properties!A$1:CB$87,Formula!H24,52)),IF(INDEX(Properties!A$1:CB$87,Formula!J24,52)&lt;&gt;"",INDEX(Properties!A$1:CB$87,Formula!J24,52)))</f>
        <v>50.230639840000002</v>
      </c>
      <c r="ES24" s="81">
        <f>MAX(INDEX(Properties!A$1:CB$87,Formula!B24,52),INDEX(Properties!A$1:CB$87,Formula!D24,52),INDEX(Properties!A$1:CB$87,Formula!F24,52),INDEX(Properties!A$1:CB$87,Formula!H24,52),INDEX(Properties!A$1:CB$87,Formula!J24,52))</f>
        <v>17.899999999999999</v>
      </c>
      <c r="ET24" s="81">
        <f>MIN(IF(INDEX(Properties!A$1:CB$87,Formula!B24,52)=0,10^6,INDEX(Properties!A$1:CB$87,Formula!B24,52)),IF(INDEX(Properties!A$1:CB$87,Formula!D24,52)=0,10^6,INDEX(Properties!A$1:CB$87,Formula!D24,52)),IF(INDEX(Properties!A$1:CB$87,Formula!F24,52)=0,10^6,INDEX(Properties!A$1:CB$87,Formula!F24,52)),IF(INDEX(Properties!A$1:CB$87,Formula!H24,52)=0,10^6,INDEX(Properties!A$1:CB$87,Formula!H24,52)),IF(INDEX(Properties!A$1:CB$87,Formula!J24,52)=0,10^6,INDEX(Properties!A$1:CB$87,Formula!J24,52)))</f>
        <v>0.79300000000000004</v>
      </c>
      <c r="EU24" s="81">
        <f t="shared" si="24"/>
        <v>17.106999999999999</v>
      </c>
      <c r="EV24" s="39">
        <f>((Formula!C24)/(Formula!C24+Formula!E24+Formula!G24+Formula!I24+Formula!K24))*(INDEX(Properties!A$1:CB$87,Formula!B24,53))+((Formula!E24)/(Formula!C24+Formula!E24+Formula!G24+Formula!I24+Formula!K24))*(INDEX(Properties!A$1:CB$87,Formula!D24,53))+((Formula!G24)/(Formula!C24+Formula!E24+Formula!G24+Formula!I24+Formula!K24))*(INDEX(Properties!A$1:CB$87,Formula!F24,53))+((Formula!I24)/(Formula!C24+Formula!E24+Formula!G24+Formula!I24+Formula!K24))*(INDEX(Properties!A$1:CB$87,Formula!H24,53))+((Formula!K24)/(Formula!C24+Formula!E24+Formula!G24+Formula!I24+Formula!K24))*(INDEX(Properties!A$1:CB$87,Formula!J24,53))</f>
        <v>744.88333333333333</v>
      </c>
      <c r="EW24" s="39">
        <f>Formula!C24*(INDEX(Properties!A$1:CB$87,Formula!B24,53))+Formula!E24*(INDEX(Properties!A$1:CB$87,Formula!D24,53))+Formula!G24*(INDEX(Properties!A$1:CB$87,Formula!F24,53))+Formula!I24*(INDEX(Properties!A$1:CB$87,Formula!H24,53))+Formula!K24*(INDEX(Properties!A$1:CB$87,Formula!J24,53))</f>
        <v>2234.65</v>
      </c>
      <c r="EX24" s="39">
        <f>VARP(IF(INDEX(Properties!A$1:CB$87,Formula!B24,53)&lt;&gt;"",INDEX(Properties!A$1:CB$87,Formula!B24,53)),IF(INDEX(Properties!A$1:CB$87,Formula!D24,53)&lt;&gt;"",INDEX(Properties!A$1:CB$87,Formula!D24,53)),IF(INDEX(Properties!A$1:CB$87,Formula!F24,53)&lt;&gt;"",INDEX(Properties!A$1:CB$87,Formula!F24,53)),IF(INDEX(Properties!A$1:CB$87,Formula!H24,53)&lt;&gt;"",INDEX(Properties!A$1:CB$87,Formula!H24,53)),IF(INDEX(Properties!A$1:CB$87,Formula!J24,53)&lt;&gt;"",INDEX(Properties!A$1:CB$87,Formula!J24,53)))</f>
        <v>713773.45659999992</v>
      </c>
      <c r="EY24" s="39">
        <f>MAX(INDEX(Properties!A$1:CB$87,Formula!B24,53),INDEX(Properties!A$1:CB$87,Formula!D24,53),INDEX(Properties!A$1:CB$87,Formula!F24,53),INDEX(Properties!A$1:CB$87,Formula!H24,53),INDEX(Properties!A$1:CB$87,Formula!J24,53))</f>
        <v>2125.15</v>
      </c>
      <c r="EZ24" s="39">
        <f>MIN(IF(INDEX(Properties!A$1:CB$87,Formula!B24,53)=0,10^6,INDEX(Properties!A$1:CB$87,Formula!B24,53)),IF(INDEX(Properties!A$1:CB$87,Formula!D24,53)=0,10^6,INDEX(Properties!A$1:CB$87,Formula!D24,53)),IF(INDEX(Properties!A$1:CB$87,Formula!F24,53)=0,10^6,INDEX(Properties!A$1:CB$87,Formula!F24,53)),IF(INDEX(Properties!A$1:CB$87,Formula!H24,53)=0,10^6,INDEX(Properties!A$1:CB$87,Formula!H24,53)),IF(INDEX(Properties!A$1:CB$87,Formula!J24,53)=0,10^6,INDEX(Properties!A$1:CB$87,Formula!J24,53)))</f>
        <v>54.749999999999972</v>
      </c>
      <c r="FA24" s="39">
        <f t="shared" si="25"/>
        <v>2070.4</v>
      </c>
      <c r="FB24" s="54">
        <f>((Formula!C24)/(Formula!C24+Formula!E24+Formula!G24+Formula!I24+Formula!K24))*(INDEX(Properties!A$1:CB$87,Formula!B24,54))+((Formula!E24)/(Formula!C24+Formula!E24+Formula!G24+Formula!I24+Formula!K24))*(INDEX(Properties!A$1:CB$87,Formula!D24,54))+((Formula!G24)/(Formula!C24+Formula!E24+Formula!G24+Formula!I24+Formula!K24))*(INDEX(Properties!A$1:CB$87,Formula!F24,54))+((Formula!I24)/(Formula!C24+Formula!E24+Formula!G24+Formula!I24+Formula!K24))*(INDEX(Properties!A$1:CB$87,Formula!H24,54))+((Formula!K24)/(Formula!C24+Formula!E24+Formula!G24+Formula!I24+Formula!K24))*(INDEX(Properties!A$1:CB$87,Formula!J24,54))</f>
        <v>1610.1499999999996</v>
      </c>
      <c r="FC24" s="54">
        <f>Formula!C24*(INDEX(Properties!A$1:CB$87,Formula!B24,54))+Formula!E24*(INDEX(Properties!A$1:CB$87,Formula!D24,54))+Formula!G24*(INDEX(Properties!A$1:CB$87,Formula!F24,54))+Formula!I24*(INDEX(Properties!A$1:CB$87,Formula!H24,54))+Formula!K24*(INDEX(Properties!A$1:CB$87,Formula!J24,54))</f>
        <v>4830.45</v>
      </c>
      <c r="FD24" s="54">
        <f>VARP(IF(INDEX(Properties!A$1:CB$87,Formula!B24,54)&lt;&gt;"",INDEX(Properties!A$1:CB$87,Formula!B24,54)),IF(INDEX(Properties!A$1:CB$87,Formula!D24,54)&lt;&gt;"",INDEX(Properties!A$1:CB$87,Formula!D24,54)),IF(INDEX(Properties!A$1:CB$87,Formula!F24,54)&lt;&gt;"",INDEX(Properties!A$1:CB$87,Formula!F24,54)),IF(INDEX(Properties!A$1:CB$87,Formula!H24,54)&lt;&gt;"",INDEX(Properties!A$1:CB$87,Formula!H24,54)),IF(INDEX(Properties!A$1:CB$87,Formula!J24,54)&lt;&gt;"",INDEX(Properties!A$1:CB$87,Formula!J24,54)))</f>
        <v>3427586.6454000003</v>
      </c>
      <c r="FE24" s="54">
        <f>MAX(INDEX(Properties!A$1:CB$87,Formula!B24,54),INDEX(Properties!A$1:CB$87,Formula!D24,54),INDEX(Properties!A$1:CB$87,Formula!F24,54),INDEX(Properties!A$1:CB$87,Formula!H24,54),INDEX(Properties!A$1:CB$87,Formula!J24,54))</f>
        <v>4650.1499999999996</v>
      </c>
      <c r="FF24" s="54">
        <f>MIN(IF(INDEX(Properties!A$1:CB$87,Formula!B24,54)=0,10^6,INDEX(Properties!A$1:CB$87,Formula!B24,54)),IF(INDEX(Properties!A$1:CB$87,Formula!D24,54)=0,10^6,INDEX(Properties!A$1:CB$87,Formula!D24,54)),IF(INDEX(Properties!A$1:CB$87,Formula!F24,54)=0,10^6,INDEX(Properties!A$1:CB$87,Formula!F24,54)),IF(INDEX(Properties!A$1:CB$87,Formula!H24,54)=0,10^6,INDEX(Properties!A$1:CB$87,Formula!H24,54)),IF(INDEX(Properties!A$1:CB$87,Formula!J24,54)=0,10^6,INDEX(Properties!A$1:CB$87,Formula!J24,54)))</f>
        <v>90.149999999999977</v>
      </c>
      <c r="FG24" s="54">
        <f t="shared" si="26"/>
        <v>4560</v>
      </c>
      <c r="FH24" s="69">
        <f>((Formula!C24)/(Formula!C24+Formula!E24+Formula!G24+Formula!I24+Formula!K24))*(INDEX(Properties!A$1:CB$87,Formula!B24,55))+((Formula!E24)/(Formula!C24+Formula!E24+Formula!G24+Formula!I24+Formula!K24))*(INDEX(Properties!A$1:CB$87,Formula!D24,55))+((Formula!G24)/(Formula!C24+Formula!E24+Formula!G24+Formula!I24+Formula!K24))*(INDEX(Properties!A$1:CB$87,Formula!F24,55))+((Formula!I24)/(Formula!C24+Formula!E24+Formula!G24+Formula!I24+Formula!K24))*(INDEX(Properties!A$1:CB$87,Formula!H24,55))+((Formula!K24)/(Formula!C24+Formula!E24+Formula!G24+Formula!I24+Formula!K24))*(INDEX(Properties!A$1:CB$87,Formula!J24,55))</f>
        <v>2.1709533333333333</v>
      </c>
      <c r="FI24" s="69">
        <f>Formula!C24*(INDEX(Properties!A$1:CB$87,Formula!B24,55))+Formula!E24*(INDEX(Properties!A$1:CB$87,Formula!D24,54))+Formula!G24*(INDEX(Properties!A$1:CB$87,Formula!F24,55))+Formula!I24*(INDEX(Properties!A$1:CB$87,Formula!H24,55))+Formula!K24*(INDEX(Properties!A$1:CB$87,Formula!J24,55))</f>
        <v>186.80999999999995</v>
      </c>
      <c r="FJ24" s="69">
        <f>VARP(IF(INDEX(Properties!A$1:CB$87,Formula!B24,55)&lt;&gt;"",INDEX(Properties!A$1:CB$87,Formula!B24,55)),IF(INDEX(Properties!A$1:CB$87,Formula!D24,55)&lt;&gt;"",INDEX(Properties!A$1:CB$87,Formula!D24,55)),IF(INDEX(Properties!A$1:CB$87,Formula!F24,55)&lt;&gt;"",INDEX(Properties!A$1:CB$87,Formula!F24,55)),IF(INDEX(Properties!A$1:CB$87,Formula!H24,55)&lt;&gt;"",INDEX(Properties!A$1:CB$87,Formula!H24,55)),IF(INDEX(Properties!A$1:CB$87,Formula!J24,55)&lt;&gt;"",INDEX(Properties!A$1:CB$87,Formula!J24,55)))</f>
        <v>6.780071583184001</v>
      </c>
      <c r="FK24" s="69">
        <f>MAX(INDEX(Properties!A$1:CB$87,Formula!B24,55),INDEX(Properties!A$1:CB$87,Formula!D24,55),INDEX(Properties!A$1:CB$87,Formula!F24,55),INDEX(Properties!A$1:CB$87,Formula!H24,55),INDEX(Properties!A$1:CB$87,Formula!J24,55))</f>
        <v>6.51</v>
      </c>
      <c r="FL24" s="69">
        <f>MIN(IF(INDEX(Properties!A$1:CB$87,Formula!B24,55)=0,10^6,INDEX(Properties!A$1:CB$87,Formula!B24,55)),IF(INDEX(Properties!A$1:CB$87,Formula!D24,55)=0,10^6,INDEX(Properties!A$1:CB$87,Formula!D24,55)),IF(INDEX(Properties!A$1:CB$87,Formula!F24,55)=0,10^6,INDEX(Properties!A$1:CB$87,Formula!F24,55)),IF(INDEX(Properties!A$1:CB$87,Formula!H24,55)=0,10^6,INDEX(Properties!A$1:CB$87,Formula!H24,55)),IF(INDEX(Properties!A$1:CB$87,Formula!J24,55)=0,10^6,INDEX(Properties!A$1:CB$87,Formula!J24,55)))</f>
        <v>1.4300000000000001E-3</v>
      </c>
      <c r="FM24" s="69">
        <f t="shared" si="27"/>
        <v>6.5085699999999997</v>
      </c>
      <c r="FN24" s="42">
        <f>((Formula!C24)/(Formula!C24+Formula!E24+Formula!G24+Formula!I24+Formula!K24))*(INDEX(Properties!A$1:CB$87,Formula!B24,56))+((Formula!E24)/(Formula!C24+Formula!E24+Formula!G24+Formula!I24+Formula!K24))*(INDEX(Properties!A$1:CB$87,Formula!D24,56))+((Formula!G24)/(Formula!C24+Formula!E24+Formula!G24+Formula!I24+Formula!K24))*(INDEX(Properties!A$1:CB$87,Formula!F24,56))+((Formula!I24)/(Formula!C24+Formula!E24+Formula!G24+Formula!I24+Formula!K24))*(INDEX(Properties!A$1:CB$87,Formula!H24,56))+((Formula!K24)/(Formula!C24+Formula!E24+Formula!G24+Formula!I24+Formula!K24))*(INDEX(Properties!A$1:CB$87,Formula!J24,56))</f>
        <v>0.70333333333333325</v>
      </c>
      <c r="FO24" s="42">
        <f>Formula!C24*(INDEX(Properties!A$1:CB$87,Formula!B24,56))+Formula!E24*(INDEX(Properties!A$1:CB$87,Formula!D24,56))+Formula!G24*(INDEX(Properties!A$1:CB$87,Formula!F24,56))+Formula!I24*(INDEX(Properties!A$1:CB$87,Formula!H24,56))+Formula!K24*(INDEX(Properties!A$1:CB$87,Formula!J24,56))</f>
        <v>2.1100000000000003</v>
      </c>
      <c r="FP24" s="42">
        <f>VARP(IF(INDEX(Properties!A$1:CB$87,Formula!B24,56)&lt;&gt;"",INDEX(Properties!A$1:CB$87,Formula!B24,56)),IF(INDEX(Properties!A$1:CB$87,Formula!D24,56)&lt;&gt;"",INDEX(Properties!A$1:CB$87,Formula!D24,56)),IF(INDEX(Properties!A$1:CB$87,Formula!F24,56)&lt;&gt;"",INDEX(Properties!A$1:CB$87,Formula!F24,56)),IF(INDEX(Properties!A$1:CB$87,Formula!H24,56)&lt;&gt;"",INDEX(Properties!A$1:CB$87,Formula!H24,56)),IF(INDEX(Properties!A$1:CB$87,Formula!J24,56)&lt;&gt;"",INDEX(Properties!A$1:CB$87,Formula!J24,56)))</f>
        <v>0.127216</v>
      </c>
      <c r="FQ24" s="42">
        <f>MAX(INDEX(Properties!A$1:CB$87,Formula!B24,56),INDEX(Properties!A$1:CB$87,Formula!D24,56),INDEX(Properties!A$1:CB$87,Formula!F24,56),INDEX(Properties!A$1:CB$87,Formula!H24,56),INDEX(Properties!A$1:CB$87,Formula!J24,56))</f>
        <v>0.92</v>
      </c>
      <c r="FR24" s="42">
        <f>MIN(IF(INDEX(Properties!A$1:CB$87,Formula!B24,56)=0,10^6,INDEX(Properties!A$1:CB$87,Formula!B24,56)),IF(INDEX(Properties!A$1:CB$87,Formula!D24,56)=0,10^6,INDEX(Properties!A$1:CB$87,Formula!D24,56)),IF(INDEX(Properties!A$1:CB$87,Formula!F24,56)=0,10^6,INDEX(Properties!A$1:CB$87,Formula!F24,56)),IF(INDEX(Properties!A$1:CB$87,Formula!H24,56)=0,10^6,INDEX(Properties!A$1:CB$87,Formula!H24,56)),IF(INDEX(Properties!A$1:CB$87,Formula!J24,56)=0,10^6,INDEX(Properties!A$1:CB$87,Formula!J24,56)))</f>
        <v>0.27</v>
      </c>
      <c r="FS24" s="42">
        <f t="shared" si="28"/>
        <v>0.65</v>
      </c>
      <c r="FT24" s="60">
        <f>((Formula!C24)/(Formula!C24+Formula!E24+Formula!G24+Formula!I24+Formula!K24))*(INDEX(Properties!A$1:CB$87,Formula!B24,57))+((Formula!E24)/(Formula!C24+Formula!E24+Formula!G24+Formula!I24+Formula!K24))*(INDEX(Properties!A$1:CB$87,Formula!D24,57))+((Formula!G24)/(Formula!C24+Formula!E24+Formula!G24+Formula!I24+Formula!K24))*(INDEX(Properties!A$1:CB$87,Formula!F24,57))+((Formula!I24)/(Formula!C24+Formula!E24+Formula!G24+Formula!I24+Formula!K24))*(INDEX(Properties!A$1:CB$87,Formula!H24,57))+((Formula!K24)/(Formula!C24+Formula!E24+Formula!G24+Formula!I24+Formula!K24))*(INDEX(Properties!A$1:CB$87,Formula!J24,57))</f>
        <v>5.7817266666666658</v>
      </c>
      <c r="FU24" s="60">
        <f>Formula!C24*(INDEX(Properties!A$1:CB$87,Formula!B24,57))+Formula!E24*(INDEX(Properties!A$1:CB$87,Formula!D24,57))+Formula!G24*(INDEX(Properties!A$1:CB$87,Formula!F24,57))+Formula!I24*(INDEX(Properties!A$1:CB$87,Formula!H24,57))+Formula!K24*(INDEX(Properties!A$1:CB$87,Formula!J24,57))</f>
        <v>17.345179999999999</v>
      </c>
      <c r="FV24" s="60">
        <f>VARP(IF(INDEX(Properties!A$1:CB$87,Formula!B24,57)&lt;&gt;"",INDEX(Properties!A$1:CB$87,Formula!B24,57)),IF(INDEX(Properties!A$1:CB$87,Formula!D24,57)&lt;&gt;"",INDEX(Properties!A$1:CB$87,Formula!D24,57)),IF(INDEX(Properties!A$1:CB$87,Formula!F24,57)&lt;&gt;"",INDEX(Properties!A$1:CB$87,Formula!F24,57)),IF(INDEX(Properties!A$1:CB$87,Formula!H24,57)&lt;&gt;"",INDEX(Properties!A$1:CB$87,Formula!H24,57)),IF(INDEX(Properties!A$1:CB$87,Formula!J24,57)&lt;&gt;"",INDEX(Properties!A$1:CB$87,Formula!J24,57)))</f>
        <v>45.404585729295988</v>
      </c>
      <c r="FW24" s="60">
        <f>MAX(INDEX(Properties!A$1:CB$87,Formula!B24,57),INDEX(Properties!A$1:CB$87,Formula!D24,57),INDEX(Properties!A$1:CB$87,Formula!F24,57),INDEX(Properties!A$1:CB$87,Formula!H24,57),INDEX(Properties!A$1:CB$87,Formula!J24,57))</f>
        <v>16.899999999999999</v>
      </c>
      <c r="FX24" s="60">
        <f>MIN(IF(INDEX(Properties!A$1:CB$87,Formula!B24,57)=0,10^6,INDEX(Properties!A$1:CB$87,Formula!B24,57)),IF(INDEX(Properties!A$1:CB$87,Formula!D24,57)=0,10^6,INDEX(Properties!A$1:CB$87,Formula!D24,57)),IF(INDEX(Properties!A$1:CB$87,Formula!F24,57)=0,10^6,INDEX(Properties!A$1:CB$87,Formula!F24,57)),IF(INDEX(Properties!A$1:CB$87,Formula!H24,57)=0,10^6,INDEX(Properties!A$1:CB$87,Formula!H24,57)),IF(INDEX(Properties!A$1:CB$87,Formula!J24,57)=0,10^6,INDEX(Properties!A$1:CB$87,Formula!J24,57)))</f>
        <v>0.22259000000000001</v>
      </c>
      <c r="FY24" s="60">
        <f t="shared" si="29"/>
        <v>16.677409999999998</v>
      </c>
      <c r="FZ24" s="72">
        <f>((Formula!C24)/(Formula!C24+Formula!E24+Formula!G24+Formula!I24+Formula!K24))*(INDEX(Properties!A$1:CB$87,Formula!B24,60))+((Formula!E24)/(Formula!C24+Formula!E24+Formula!G24+Formula!I24+Formula!K24))*(INDEX(Properties!A$1:CB$87,Formula!D24,60))+((Formula!G24)/(Formula!C24+Formula!E24+Formula!G24+Formula!I24+Formula!K24))*(INDEX(Properties!A$1:CB$87,Formula!F24,60))+((Formula!I24)/(Formula!C24+Formula!E24+Formula!G24+Formula!I24+Formula!K24))*(INDEX(Properties!A$1:CB$87,Formula!H24,60))+((Formula!K24)/(Formula!C24+Formula!E24+Formula!G24+Formula!I24+Formula!K24))*(INDEX(Properties!A$1:CB$87,Formula!J24,60))</f>
        <v>7.5844933333333335</v>
      </c>
      <c r="GA24" s="72">
        <f>Formula!C24*(INDEX(Properties!A$1:CB$87,Formula!B24,60))+Formula!E24*(INDEX(Properties!A$1:CB$87,Formula!D24,60))+Formula!G24*(INDEX(Properties!A$1:CB$87,Formula!F24,60))+Formula!I24*(INDEX(Properties!A$1:CB$87,Formula!H24,60))+Formula!K24*(INDEX(Properties!A$1:CB$87,Formula!J24,60))</f>
        <v>22.75348</v>
      </c>
      <c r="GB24" s="72">
        <f>VARP(IF(INDEX(Properties!A$1:CB$87,Formula!B24,60)&lt;&gt;"",INDEX(Properties!A$1:CB$87,Formula!B24,60)),IF(INDEX(Properties!A$1:CB$87,Formula!D24,60)&lt;&gt;"",INDEX(Properties!A$1:CB$87,Formula!D24,60)),IF(INDEX(Properties!A$1:CB$87,Formula!F24,60)&lt;&gt;"",INDEX(Properties!A$1:CB$87,Formula!F24,60)),IF(INDEX(Properties!A$1:CB$87,Formula!H24,60)&lt;&gt;"",INDEX(Properties!A$1:CB$87,Formula!H24,60)),IF(INDEX(Properties!A$1:CB$87,Formula!J24,60)&lt;&gt;"",INDEX(Properties!A$1:CB$87,Formula!J24,60)))</f>
        <v>82.397954564415997</v>
      </c>
      <c r="GC24" s="72">
        <f>MAX(INDEX(Properties!A$1:CB$87,Formula!B24,60),INDEX(Properties!A$1:CB$87,Formula!D24,60),INDEX(Properties!A$1:CB$87,Formula!F24,60),INDEX(Properties!A$1:CB$87,Formula!H24,60),INDEX(Properties!A$1:CB$87,Formula!J24,60))</f>
        <v>22.7</v>
      </c>
      <c r="GD24" s="72">
        <f>MIN(IF(INDEX(Properties!A$1:CB$87,Formula!B24,60)=0,10^6,INDEX(Properties!A$1:CB$87,Formula!B24,60)),IF(INDEX(Properties!A$1:CB$87,Formula!D24,60)=0,10^6,INDEX(Properties!A$1:CB$87,Formula!D24,60)),IF(INDEX(Properties!A$1:CB$87,Formula!F24,60)=0,10^6,INDEX(Properties!A$1:CB$87,Formula!F24,60)),IF(INDEX(Properties!A$1:CB$87,Formula!H24,60)=0,10^6,INDEX(Properties!A$1:CB$87,Formula!H24,60)),IF(INDEX(Properties!A$1:CB$87,Formula!J24,60)=0,10^6,INDEX(Properties!A$1:CB$87,Formula!J24,60)))</f>
        <v>2.674E-2</v>
      </c>
      <c r="GE24" s="72">
        <f t="shared" si="30"/>
        <v>22.673259999999999</v>
      </c>
      <c r="GF24" s="51">
        <f>((Formula!C24)/(Formula!C24+Formula!E24+Formula!G24+Formula!I24+Formula!K24))*(INDEX(Properties!A$1:CB$87,Formula!B24,62))+((Formula!E24)/(Formula!C24+Formula!E24+Formula!G24+Formula!I24+Formula!K24))*(INDEX(Properties!A$1:CB$87,Formula!D24,62))+((Formula!G24)/(Formula!C24+Formula!E24+Formula!G24+Formula!I24+Formula!K24))*(INDEX(Properties!A$1:CB$87,Formula!F24,62))+((Formula!I24)/(Formula!C24+Formula!E24+Formula!G24+Formula!I24+Formula!K24))*(INDEX(Properties!A$1:CB$87,Formula!H24,62))+((Formula!K24)/(Formula!C24+Formula!E24+Formula!G24+Formula!I24+Formula!K24))*(INDEX(Properties!A$1:CB$87,Formula!J24,62))</f>
        <v>3.8299999999999996</v>
      </c>
      <c r="GG24" s="51">
        <f>Formula!C24*(INDEX(Properties!A$1:CB$87,Formula!B24,62))+Formula!E24*(INDEX(Properties!A$1:CB$87,Formula!D24,62))+Formula!G24*(INDEX(Properties!A$1:CB$87,Formula!F24,62))+Formula!I24*(INDEX(Properties!A$1:CB$87,Formula!H24,62))+Formula!K24*(INDEX(Properties!A$1:CB$87,Formula!J24,62))</f>
        <v>11.49</v>
      </c>
      <c r="GH24" s="51">
        <f>VARP(IF(INDEX(Properties!A$1:CB$87,Formula!B24,62)&lt;&gt;"",INDEX(Properties!A$1:CB$87,Formula!B24,62)),IF(INDEX(Properties!A$1:CB$87,Formula!D24,62)&lt;&gt;"",INDEX(Properties!A$1:CB$87,Formula!D24,62)),IF(INDEX(Properties!A$1:CB$87,Formula!F24,62)&lt;&gt;"",INDEX(Properties!A$1:CB$87,Formula!F24,62)),IF(INDEX(Properties!A$1:CB$87,Formula!H24,62)&lt;&gt;"",INDEX(Properties!A$1:CB$87,Formula!H24,62)),IF(INDEX(Properties!A$1:CB$87,Formula!J24,62)&lt;&gt;"",INDEX(Properties!A$1:CB$87,Formula!J24,62)))</f>
        <v>6.0383039999999992</v>
      </c>
      <c r="GI24" s="51">
        <f>MAX(INDEX(Properties!A$1:CB$87,Formula!B24,62),INDEX(Properties!A$1:CB$87,Formula!D24,62),INDEX(Properties!A$1:CB$87,Formula!F24,62),INDEX(Properties!A$1:CB$87,Formula!H24,62),INDEX(Properties!A$1:CB$87,Formula!J24,62))</f>
        <v>6.25</v>
      </c>
      <c r="GJ24" s="51">
        <f>MIN(IF(INDEX(Properties!A$1:CB$87,Formula!B24,62)=0,10^6,INDEX(Properties!A$1:CB$87,Formula!B24,62)),IF(INDEX(Properties!A$1:CB$87,Formula!D24,62)=0,10^6,INDEX(Properties!A$1:CB$87,Formula!D24,62)),IF(INDEX(Properties!A$1:CB$87,Formula!F24,62)=0,10^6,INDEX(Properties!A$1:CB$87,Formula!F24,62)),IF(INDEX(Properties!A$1:CB$87,Formula!H24,62)=0,10^6,INDEX(Properties!A$1:CB$87,Formula!H24,62)),IF(INDEX(Properties!A$1:CB$87,Formula!J24,62)=0,10^6,INDEX(Properties!A$1:CB$87,Formula!J24,62)))</f>
        <v>2.62</v>
      </c>
      <c r="GK24" s="51">
        <f t="shared" si="31"/>
        <v>3.63</v>
      </c>
      <c r="GL24" s="51">
        <f>Formula!P24</f>
        <v>14</v>
      </c>
      <c r="GM24" s="57">
        <f>Formula!O24</f>
        <v>2</v>
      </c>
      <c r="GN24" s="51">
        <f>Formula!N24</f>
        <v>7.0000000000000007E-2</v>
      </c>
    </row>
    <row r="25" spans="1:196" x14ac:dyDescent="0.3">
      <c r="A25" s="84" t="str">
        <f>Formula!A25</f>
        <v>CaTiO3</v>
      </c>
      <c r="B25" s="89">
        <f>((Formula!C25)/(Formula!C25+Formula!E25+Formula!G25+Formula!I25+Formula!K25))*(INDEX(Properties!A$1:CB$87,Formula!B25,3))+((Formula!E25)/(Formula!C25+Formula!E25+Formula!G25+Formula!I25+Formula!K25))*(INDEX(Properties!A$1:CB$87,Formula!D25,3))+((Formula!G25)/(Formula!C25+Formula!E25+Formula!G25+Formula!I25+Formula!K25))*(INDEX(Properties!A$1:CB$87,Formula!F25,3))+((Formula!I25)/(Formula!C25+Formula!E25+Formula!G25+Formula!I25+Formula!K25))*(INDEX(Properties!A$1:CB$87,Formula!H25,3))+((Formula!K25)/(Formula!C25+Formula!E25+Formula!G25+Formula!I25+Formula!K25))*(INDEX(Properties!A$1:CB$87,Formula!J25,3))</f>
        <v>27.188639999999999</v>
      </c>
      <c r="C25" s="85">
        <f>Formula!C25*(INDEX(Properties!A$1:CB$87,Formula!B25,3))+Formula!E25*(INDEX(Properties!A$1:CB$87,Formula!D25,3))+Formula!G25*(INDEX(Properties!A$1:CB$87,Formula!F25,3))+Formula!I25*(INDEX(Properties!A$1:CB$87,Formula!H25,3))+Formula!K25*(INDEX(Properties!A$1:CB$87,Formula!J25,3))</f>
        <v>135.94319999999999</v>
      </c>
      <c r="D25" s="85">
        <f>VARP(IF(INDEX(Properties!A$1:CB$87,Formula!B25,3)&lt;&gt;"",INDEX(Properties!A$1:CB$87,Formula!B25,3)),IF(INDEX(Properties!A$1:CB$87,Formula!D25,3)&lt;&gt;"",INDEX(Properties!A$1:CB$87,Formula!D25,3)),IF(INDEX(Properties!A$1:CB$87,Formula!F25,3)&lt;&gt;"",INDEX(Properties!A$1:CB$87,Formula!F25,3)),IF(INDEX(Properties!A$1:CB$87,Formula!H25,3)&lt;&gt;"",INDEX(Properties!A$1:CB$87,Formula!H25,3)),IF(INDEX(Properties!A$1:CB$87,Formula!J25,3)&lt;&gt;"",INDEX(Properties!A$1:CB$87,Formula!J25,3)))</f>
        <v>398.5177830176001</v>
      </c>
      <c r="E25" s="85">
        <f>MAX(INDEX(Properties!A$1:CB$87,Formula!B25,3),INDEX(Properties!A$1:CB$87,Formula!D25,3),INDEX(Properties!A$1:CB$87,Formula!F25,3),INDEX(Properties!A$1:CB$87,Formula!H25,3),INDEX(Properties!A$1:CB$87,Formula!J25,3))</f>
        <v>47.866999999999997</v>
      </c>
      <c r="F25" s="85">
        <f>MIN(IF(INDEX(Properties!A$1:CB$87,Formula!B25,3)=0,10^6,INDEX(Properties!A$1:CB$87,Formula!B25,3)),IF(INDEX(Properties!A$1:CB$87,Formula!D25,3)=0,10^6,INDEX(Properties!A$1:CB$87,Formula!D25,3)),IF(INDEX(Properties!A$1:CB$87,Formula!F25,3)=0,10^6,INDEX(Properties!A$1:CB$87,Formula!F25,3)),IF(INDEX(Properties!A$1:CB$87,Formula!H25,3)=0,10^6,INDEX(Properties!A$1:CB$87,Formula!H25,3)),IF(INDEX(Properties!A$1:CB$87,Formula!J25,3)=0,10^6,INDEX(Properties!A$1:CB$87,Formula!J25,3)))</f>
        <v>15.9994</v>
      </c>
      <c r="G25" s="85">
        <f t="shared" si="0"/>
        <v>31.867599999999996</v>
      </c>
      <c r="H25" s="87">
        <f>((Formula!C25)/(Formula!C25+Formula!E25+Formula!G25+Formula!I25+Formula!K25))*(INDEX(Properties!A$1:CB$87,Formula!B25,4))+((Formula!E25)/(Formula!C25+Formula!E25+Formula!G25+Formula!I25+Formula!K25))*(INDEX(Properties!A$1:CB$87,Formula!D25,4))+((Formula!G25)/(Formula!C25+Formula!E25+Formula!G25+Formula!I25+Formula!K25))*(INDEX(Properties!A$1:CB$87,Formula!F25,4))+((Formula!I25)/(Formula!C25+Formula!E25+Formula!G25+Formula!I25+Formula!K25))*(INDEX(Properties!A$1:CB$87,Formula!H25,4))+((Formula!K25)/(Formula!C25+Formula!E25+Formula!G25+Formula!I25+Formula!K25))*(INDEX(Properties!A$1:CB$87,Formula!J25,4))</f>
        <v>13.2</v>
      </c>
      <c r="I25" s="87">
        <f>Formula!C25*(INDEX(Properties!A$1:CB$87,Formula!B25,4))+Formula!E25*(INDEX(Properties!A$1:CB$87,Formula!D25,4))+Formula!G25*(INDEX(Properties!A$1:CB$87,Formula!F25,4))+Formula!I25*(INDEX(Properties!A$1:CB$87,Formula!H25,4))+Formula!K25*(INDEX(Properties!A$1:CB$87,Formula!J25,4))</f>
        <v>66</v>
      </c>
      <c r="J25" s="87">
        <f>VARP(IF(INDEX(Properties!A$1:CB$87,Formula!B25,4)&lt;&gt;"",INDEX(Properties!A$1:CB$87,Formula!B25,4)),IF(INDEX(Properties!A$1:CB$87,Formula!D25,4)&lt;&gt;"",INDEX(Properties!A$1:CB$87,Formula!D25,4)),IF(INDEX(Properties!A$1:CB$87,Formula!F25,4)&lt;&gt;"",INDEX(Properties!A$1:CB$87,Formula!F25,4)),IF(INDEX(Properties!A$1:CB$87,Formula!H25,4)&lt;&gt;"",INDEX(Properties!A$1:CB$87,Formula!H25,4)),IF(INDEX(Properties!A$1:CB$87,Formula!J25,4)&lt;&gt;"",INDEX(Properties!A$1:CB$87,Formula!J25,4)))</f>
        <v>89.6</v>
      </c>
      <c r="K25" s="87">
        <f>MAX(INDEX(Properties!A$1:CB$87,Formula!B25,4),INDEX(Properties!A$1:CB$87,Formula!D25,4),INDEX(Properties!A$1:CB$87,Formula!F25,4),INDEX(Properties!A$1:CB$87,Formula!H25,4),INDEX(Properties!A$1:CB$87,Formula!J25,4))</f>
        <v>22</v>
      </c>
      <c r="L25" s="87">
        <f>MIN(IF(INDEX(Properties!A$1:CB$87,Formula!B25,4)=0,10^6,INDEX(Properties!A$1:CB$87,Formula!B25,4)),IF(INDEX(Properties!A$1:CB$87,Formula!D25,4)=0,10^6,INDEX(Properties!A$1:CB$87,Formula!D25,4)),IF(INDEX(Properties!A$1:CB$87,Formula!F25,4)=0,10^6,INDEX(Properties!A$1:CB$87,Formula!F25,4)),IF(INDEX(Properties!A$1:CB$87,Formula!H25,4)=0,10^6,INDEX(Properties!A$1:CB$87,Formula!H25,4)),IF(INDEX(Properties!A$1:CB$87,Formula!J25,4)=0,10^6,INDEX(Properties!A$1:CB$87,Formula!J25,4)))</f>
        <v>8</v>
      </c>
      <c r="M25" s="87">
        <f t="shared" si="1"/>
        <v>14</v>
      </c>
      <c r="N25" s="89">
        <f>((Formula!C25)/(Formula!C25+Formula!E25+Formula!G25+Formula!I25+Formula!K25))*(INDEX(Properties!A$1:CB$87,Formula!B25,5))+((Formula!E25)/(Formula!C25+Formula!E25+Formula!G25+Formula!I25+Formula!K25))*(INDEX(Properties!A$1:CB$87,Formula!D25,5))+((Formula!G25)/(Formula!C25+Formula!E25+Formula!G25+Formula!I25+Formula!K25))*(INDEX(Properties!A$1:CB$87,Formula!F25,5))+((Formula!I25)/(Formula!C25+Formula!E25+Formula!G25+Formula!I25+Formula!K25))*(INDEX(Properties!A$1:CB$87,Formula!H25,5))+((Formula!K25)/(Formula!C25+Formula!E25+Formula!G25+Formula!I25+Formula!K25))*(INDEX(Properties!A$1:CB$87,Formula!J25,5))</f>
        <v>2.8</v>
      </c>
      <c r="O25" s="89">
        <f>Formula!C25*(INDEX(Properties!A$1:CB$87,Formula!B25,5))+Formula!E25*(INDEX(Properties!A$1:CB$87,Formula!D25,5))+Formula!G25*(INDEX(Properties!A$1:CB$87,Formula!F25,5))+Formula!I25*(INDEX(Properties!A$1:CB$87,Formula!H25,5))+Formula!K25*(INDEX(Properties!A$1:CB$87,Formula!J25,5))</f>
        <v>14</v>
      </c>
      <c r="P25" s="89">
        <f>VARP(IF(INDEX(Properties!A$1:CB$87,Formula!B25,5)&lt;&gt;"",INDEX(Properties!A$1:CB$87,Formula!B25,5)),IF(INDEX(Properties!A$1:CB$87,Formula!D25,5)&lt;&gt;"",INDEX(Properties!A$1:CB$87,Formula!D25,5)),IF(INDEX(Properties!A$1:CB$87,Formula!F25,5)&lt;&gt;"",INDEX(Properties!A$1:CB$87,Formula!F25,5)),IF(INDEX(Properties!A$1:CB$87,Formula!H25,5)&lt;&gt;"",INDEX(Properties!A$1:CB$87,Formula!H25,5)),IF(INDEX(Properties!A$1:CB$87,Formula!J25,5)&lt;&gt;"",INDEX(Properties!A$1:CB$87,Formula!J25,5)))</f>
        <v>3.2</v>
      </c>
      <c r="Q25" s="89">
        <f>MAX(INDEX(Properties!A$1:CB$87,Formula!B25,5),INDEX(Properties!A$1:CB$87,Formula!D25,5),INDEX(Properties!A$1:CB$87,Formula!F25,5),INDEX(Properties!A$1:CB$87,Formula!H25,5),INDEX(Properties!A$1:CB$87,Formula!J25,5))</f>
        <v>4</v>
      </c>
      <c r="R25" s="89">
        <f>MIN(IF(INDEX(Properties!A$1:CB$87,Formula!B25,5)=0,10^6,INDEX(Properties!A$1:CB$87,Formula!B25,5)),IF(INDEX(Properties!A$1:CB$87,Formula!D25,5)=0,10^6,INDEX(Properties!A$1:CB$87,Formula!D25,5)),IF(INDEX(Properties!A$1:CB$87,Formula!F25,5)=0,10^6,INDEX(Properties!A$1:CB$87,Formula!F25,5)),IF(INDEX(Properties!A$1:CB$87,Formula!H25,5)=0,10^6,INDEX(Properties!A$1:CB$87,Formula!H25,5)),IF(INDEX(Properties!A$1:CB$87,Formula!J25,5)=0,10^6,INDEX(Properties!A$1:CB$87,Formula!J25,5)))</f>
        <v>2</v>
      </c>
      <c r="S25" s="89">
        <f t="shared" si="2"/>
        <v>2</v>
      </c>
      <c r="T25" s="60">
        <f>((Formula!C25)/(Formula!C25+Formula!E25+Formula!G25+Formula!I25+Formula!K25))*(INDEX(Properties!A$1:CB$87,Formula!B25,6))+((Formula!E25)/(Formula!C25+Formula!E25+Formula!G25+Formula!I25+Formula!K25))*(INDEX(Properties!A$1:CB$87,Formula!D25,6))+((Formula!G25)/(Formula!C25+Formula!E25+Formula!G25+Formula!I25+Formula!K25))*(INDEX(Properties!A$1:CB$87,Formula!F25,6))+((Formula!I25)/(Formula!C25+Formula!E25+Formula!G25+Formula!I25+Formula!K25))*(INDEX(Properties!A$1:CB$87,Formula!H25,6))+((Formula!K25)/(Formula!C25+Formula!E25+Formula!G25+Formula!I25+Formula!K25))*(INDEX(Properties!A$1:CB$87,Formula!J25,6))</f>
        <v>10.8</v>
      </c>
      <c r="U25" s="60">
        <f>Formula!C25*(INDEX(Properties!A$1:CB$87,Formula!B25,6))+Formula!E25*(INDEX(Properties!A$1:CB$87,Formula!D25,6))+Formula!G25*(INDEX(Properties!A$1:CB$87,Formula!F25,6))+Formula!I25*(INDEX(Properties!A$1:CB$87,Formula!H25,6))+Formula!K25*(INDEX(Properties!A$1:CB$87,Formula!J25,6))</f>
        <v>54</v>
      </c>
      <c r="V25" s="89">
        <f>VARP(IF(INDEX(Properties!A$1:CB$87,Formula!B25,6)&lt;&gt;"",INDEX(Properties!A$1:CB$87,Formula!B25,6)),IF(INDEX(Properties!A$1:CB$87,Formula!D25,6)&lt;&gt;"",INDEX(Properties!A$1:CB$87,Formula!D25,6)),IF(INDEX(Properties!A$1:CB$87,Formula!F25,6)&lt;&gt;"",INDEX(Properties!A$1:CB$87,Formula!F25,6)),IF(INDEX(Properties!A$1:CB$87,Formula!H25,6)&lt;&gt;"",INDEX(Properties!A$1:CB$87,Formula!H25,6)),IF(INDEX(Properties!A$1:CB$87,Formula!J25,6)&lt;&gt;"",INDEX(Properties!A$1:CB$87,Formula!J25,6)))</f>
        <v>35.840000000000003</v>
      </c>
      <c r="W25" s="60">
        <f>MAX(INDEX(Properties!A$1:CB$87,Formula!B25,6),INDEX(Properties!A$1:CB$87,Formula!D25,6),INDEX(Properties!A$1:CB$87,Formula!F25,6),INDEX(Properties!A$1:CB$87,Formula!H25,4),INDEX(Properties!A$1:CB$87,Formula!J25,6))</f>
        <v>16</v>
      </c>
      <c r="X25" s="60">
        <f>MIN(IF(INDEX(Properties!A$1:CB$87,Formula!B25,6)=0,10^6,INDEX(Properties!A$1:CB$87,Formula!B25,6)),IF(INDEX(Properties!A$1:CB$87,Formula!D25,6)=0,10^6,INDEX(Properties!A$1:CB$87,Formula!D25,6)),IF(INDEX(Properties!A$1:CB$87,Formula!F25,6)=0,10^6,INDEX(Properties!A$1:CB$87,Formula!F25,6)),IF(INDEX(Properties!A$1:CB$87,Formula!H25,6)=0,10^6,INDEX(Properties!A$1:CB$87,Formula!H25,6)),IF(INDEX(Properties!A$1:CB$87,Formula!J25,6)=0,10^6,INDEX(Properties!A$1:CB$87,Formula!J25,6)))</f>
        <v>2</v>
      </c>
      <c r="Y25" s="60">
        <f t="shared" si="3"/>
        <v>14</v>
      </c>
      <c r="Z25" s="72">
        <f>((Formula!C25)/(Formula!C25+Formula!E25+Formula!G25+Formula!I25+Formula!K25))*(INDEX(Properties!A$1:CB$87,Formula!B25,9))+((Formula!E25)/(Formula!C25+Formula!E25+Formula!G25+Formula!I25+Formula!K25))*(INDEX(Properties!A$1:CB$87,Formula!D25,9))+((Formula!G25)/(Formula!C25+Formula!E25+Formula!G25+Formula!I25+Formula!K25))*(INDEX(Properties!A$1:CB$87,Formula!F25,9))+((Formula!I25)/(Formula!C25+Formula!E25+Formula!G25+Formula!I25+Formula!K25))*(INDEX(Properties!A$1:CB$87,Formula!H25,9))+((Formula!K25)/(Formula!C25+Formula!E25+Formula!G25+Formula!I25+Formula!K25))*(INDEX(Properties!A$1:CB$87,Formula!J25,9))</f>
        <v>62.199999999999996</v>
      </c>
      <c r="AA25" s="72">
        <f>Formula!C25*(INDEX(Properties!A$1:CB$87,Formula!B25,9))+Formula!E25*(INDEX(Properties!A$1:CB$87,Formula!D25,9))+Formula!G25*(INDEX(Properties!A$1:CB$87,Formula!F25,9))+Formula!I25*(INDEX(Properties!A$1:CB$87,Formula!H25,9))+Formula!K25*(INDEX(Properties!A$1:CB$87,Formula!J25,9))</f>
        <v>311</v>
      </c>
      <c r="AB25" s="72">
        <f>VARP(IF(INDEX(Properties!A$1:CB$87,Formula!B25,9)&lt;&gt;"",INDEX(Properties!A$1:CB$87,Formula!B25,9)),IF(INDEX(Properties!A$1:CB$87,Formula!D25,9)&lt;&gt;"",INDEX(Properties!A$1:CB$87,Formula!D25,9)),IF(INDEX(Properties!A$1:CB$87,Formula!F25,9)&lt;&gt;"",INDEX(Properties!A$1:CB$87,Formula!F25,9)),IF(INDEX(Properties!A$1:CB$87,Formula!H25,9)&lt;&gt;"",INDEX(Properties!A$1:CB$87,Formula!H25,9)),IF(INDEX(Properties!A$1:CB$87,Formula!J25,9)&lt;&gt;"",INDEX(Properties!A$1:CB$87,Formula!J25,9)))</f>
        <v>1142.6400000000001</v>
      </c>
      <c r="AC25" s="72">
        <f>MAX(INDEX(Properties!A$1:CB$87,Formula!B25,9),INDEX(Properties!A$1:CB$87,Formula!D25,9),INDEX(Properties!A$1:CB$87,Formula!F25,9),INDEX(Properties!A$1:CB$87,Formula!H25,9),INDEX(Properties!A$1:CB$87,Formula!J25,9))</f>
        <v>87</v>
      </c>
      <c r="AD25" s="72">
        <f>MIN(IF(INDEX(Properties!A$1:CB$87,Formula!B25,9)=0,10^6,INDEX(Properties!A$1:CB$87,Formula!B25,9)),IF(INDEX(Properties!A$1:CB$87,Formula!D25,9)=0,10^6,INDEX(Properties!A$1:CB$87,Formula!D25,9)),IF(INDEX(Properties!A$1:CB$87,Formula!F25,9)=0,10^6,INDEX(Properties!A$1:CB$87,Formula!F25,9)),IF(INDEX(Properties!A$1:CB$87,Formula!H25,9)=0,10^6,INDEX(Properties!A$1:CB$87,Formula!H25,9)),IF(INDEX(Properties!A$1:CB$87,Formula!J25,9)=0,10^6,INDEX(Properties!A$1:CB$87,Formula!J25,9)))</f>
        <v>7</v>
      </c>
      <c r="AE25" s="72">
        <f t="shared" si="4"/>
        <v>80</v>
      </c>
      <c r="AF25" s="51">
        <f>((Formula!C25)/(Formula!C25+Formula!E25+Formula!G25+Formula!I25+Formula!K25))*(INDEX(Properties!A$1:CB$87,Formula!B25,10))+((Formula!E25)/(Formula!C25+Formula!E25+Formula!G25+Formula!I25+Formula!K25))*(INDEX(Properties!A$1:CB$87,Formula!D25,10))+((Formula!G25)/(Formula!C25+Formula!E25+Formula!G25+Formula!I25+Formula!K25))*(INDEX(Properties!A$1:CB$87,Formula!F25,10))+((Formula!I25)/(Formula!C25+Formula!E25+Formula!G25+Formula!I25+Formula!K25))*(INDEX(Properties!A$1:CB$87,Formula!H25,10))+((Formula!K25)/(Formula!C25+Formula!E25+Formula!G25+Formula!I25+Formula!K25))*(INDEX(Properties!A$1:CB$87,Formula!J25,10))</f>
        <v>5.4</v>
      </c>
      <c r="AG25" s="51">
        <f>Formula!C25*(INDEX(Properties!A$1:CB$87,Formula!B25,10))+Formula!E25*(INDEX(Properties!A$1:CB$87,Formula!D25,10))+Formula!G25*(INDEX(Properties!A$1:CB$87,Formula!F25,10))+Formula!I25*(INDEX(Properties!A$1:CB$87,Formula!H25,10))+Formula!K25*(INDEX(Properties!A$1:CB$87,Formula!J25,10))</f>
        <v>27</v>
      </c>
      <c r="AH25" s="51">
        <f>VARP(IF(INDEX(Properties!A$1:CB$87,Formula!B25,10)&lt;&gt;"",INDEX(Properties!A$1:CB$87,Formula!B25,10)),IF(INDEX(Properties!A$1:CB$87,Formula!D25,10)&lt;&gt;"",INDEX(Properties!A$1:CB$87,Formula!D25,10)),IF(INDEX(Properties!A$1:CB$87,Formula!F25,10)&lt;&gt;"",INDEX(Properties!A$1:CB$87,Formula!F25,10)),IF(INDEX(Properties!A$1:CB$87,Formula!H25,10)&lt;&gt;"",INDEX(Properties!A$1:CB$87,Formula!H25,10)),IF(INDEX(Properties!A$1:CB$87,Formula!J25,10)&lt;&gt;"",INDEX(Properties!A$1:CB$87,Formula!J25,10)))</f>
        <v>7.04</v>
      </c>
      <c r="AI25" s="51">
        <f>MAX(INDEX(Properties!A$1:CB$87,Formula!B25,10),INDEX(Properties!A$1:CB$87,Formula!D25,10),INDEX(Properties!A$1:CB$87,Formula!F25,10),INDEX(Properties!A$1:CB$87,Formula!H25,10),INDEX(Properties!A$1:CB$87,Formula!J25,10))</f>
        <v>7</v>
      </c>
      <c r="AJ25" s="51">
        <f>MIN(IF(INDEX(Properties!A$1:CB$87,Formula!B25,10)=0,10^6,INDEX(Properties!A$1:CB$87,Formula!B25,10)),IF(INDEX(Properties!A$1:CB$87,Formula!D25,10)=0,10^6,INDEX(Properties!A$1:CB$87,Formula!D25,10)),IF(INDEX(Properties!A$1:CB$87,Formula!F25,10)=0,10^6,INDEX(Properties!A$1:CB$87,Formula!F25,10)),IF(INDEX(Properties!A$1:CB$87,Formula!H25,10)=0,10^6,INDEX(Properties!A$1:CB$87,Formula!H25,10)),IF(INDEX(Properties!A$1:CB$87,Formula!J25,10)=0,10^6,INDEX(Properties!A$1:CB$87,Formula!J25,10)))</f>
        <v>2</v>
      </c>
      <c r="AK25" s="51">
        <f t="shared" si="5"/>
        <v>5</v>
      </c>
      <c r="AL25" s="57">
        <f>((Formula!C25)/(Formula!C25+Formula!E25+Formula!G25+Formula!I25+Formula!K25))*(INDEX(Properties!A$1:CB$87,Formula!B25,11))+((Formula!E25)/(Formula!C25+Formula!E25+Formula!G25+Formula!I25+Formula!K25))*(INDEX(Properties!A$1:CB$87,Formula!D25,11))+((Formula!G25)/(Formula!C25+Formula!E25+Formula!G25+Formula!I25+Formula!K25))*(INDEX(Properties!A$1:CB$87,Formula!F25,11))+((Formula!I25)/(Formula!C25+Formula!E25+Formula!G25+Formula!I25+Formula!K25))*(INDEX(Properties!A$1:CB$87,Formula!H25,11))+((Formula!K25)/(Formula!C25+Formula!E25+Formula!G25+Formula!I25+Formula!K25))*(INDEX(Properties!A$1:CB$87,Formula!J25,11))</f>
        <v>2</v>
      </c>
      <c r="AM25" s="57">
        <f>Formula!C25*(INDEX(Properties!A$1:CB$87,Formula!B25,11))+Formula!E25*(INDEX(Properties!A$1:CB$87,Formula!D25,11))+Formula!G25*(INDEX(Properties!A$1:CB$87,Formula!F25,11))+Formula!I25*(INDEX(Properties!A$1:CB$87,Formula!H25,11))+Formula!K25*(INDEX(Properties!A$1:CB$87,Formula!J25,11))</f>
        <v>10</v>
      </c>
      <c r="AN25" s="57">
        <f>VARP(IF(INDEX(Properties!A$1:CB$87,Formula!B25,11)&lt;&gt;"",INDEX(Properties!A$1:CB$87,Formula!B25,11)),IF(INDEX(Properties!A$1:CB$87,Formula!D25,11)&lt;&gt;"",INDEX(Properties!A$1:CB$87,Formula!D25,11)),IF(INDEX(Properties!A$1:CB$87,Formula!F25,11)&lt;&gt;"",INDEX(Properties!A$1:CB$87,Formula!F25,11)),IF(INDEX(Properties!A$1:CB$87,Formula!H25,11)&lt;&gt;"",INDEX(Properties!A$1:CB$87,Formula!H25,11)),IF(INDEX(Properties!A$1:CB$87,Formula!J25,11)&lt;&gt;"",INDEX(Properties!A$1:CB$87,Formula!J25,11)))</f>
        <v>0.96</v>
      </c>
      <c r="AO25" s="57">
        <f>MAX(INDEX(Properties!A$1:CB$87,Formula!B25,11),INDEX(Properties!A$1:CB$87,Formula!D25,11),INDEX(Properties!A$1:CB$87,Formula!F25,11),INDEX(Properties!A$1:CB$87,Formula!H25,11),INDEX(Properties!A$1:CB$87,Formula!J25,11))</f>
        <v>2</v>
      </c>
      <c r="AP25" s="57">
        <f>MIN(IF(Formula!B25=87,10^6,INDEX(Properties!A$1:CB$87,Formula!B25,11)),IF((Formula!D25)=87,10^6,INDEX(Properties!A$1:CB$87,Formula!D25,11)),IF((Formula!F25)=87,10^6,INDEX(Properties!A$1:CB$87,Formula!F25,11)),IF((Formula!H25)=87,10^6,INDEX(Properties!A$1:CB$87,Formula!H25,11)),IF(Formula!J25=87,10^6,INDEX(Properties!A$1:CB$87,Formula!J25,11)))</f>
        <v>2</v>
      </c>
      <c r="AQ25" s="57">
        <f t="shared" si="6"/>
        <v>0</v>
      </c>
      <c r="AR25" s="78">
        <f>((Formula!C25)/(Formula!C25+Formula!E25+Formula!G25+Formula!I25+Formula!K25))*(INDEX(Properties!A$1:CB$87,Formula!B25,12))+((Formula!E25)/(Formula!C25+Formula!E25+Formula!G25+Formula!I25+Formula!K25))*(INDEX(Properties!A$1:CB$87,Formula!D25,12))+((Formula!G25)/(Formula!C25+Formula!E25+Formula!G25+Formula!I25+Formula!K25))*(INDEX(Properties!A$1:CB$87,Formula!F25,12))+((Formula!I25)/(Formula!C25+Formula!E25+Formula!G25+Formula!I25+Formula!K25))*(INDEX(Properties!A$1:CB$87,Formula!H25,12))+((Formula!K25)/(Formula!C25+Formula!E25+Formula!G25+Formula!I25+Formula!K25))*(INDEX(Properties!A$1:CB$87,Formula!J25,12))</f>
        <v>2.4</v>
      </c>
      <c r="AS25" s="78">
        <f>Formula!C25*(INDEX(Properties!A$1:CB$87,Formula!B25,12))+Formula!E25*(INDEX(Properties!A$1:CB$87,Formula!D25,12))+Formula!G25*(INDEX(Properties!A$1:CB$87,Formula!F25,12))+Formula!I25*(INDEX(Properties!A$1:CB$87,Formula!H25,12))+Formula!K25*(INDEX(Properties!A$1:CB$87,Formula!J25,12))</f>
        <v>12</v>
      </c>
      <c r="AT25" s="78">
        <f>VARP(IF(INDEX(Properties!A$1:CB$87,Formula!B25,12)&lt;&gt;"",INDEX(Properties!A$1:CB$87,Formula!B25,12)),IF(INDEX(Properties!A$1:CB$87,Formula!D25,12)&lt;&gt;"",INDEX(Properties!A$1:CB$87,Formula!D25,12)),IF(INDEX(Properties!A$1:CB$87,Formula!F25,12)&lt;&gt;"",INDEX(Properties!A$1:CB$87,Formula!F25,12)),IF(INDEX(Properties!A$1:CB$87,Formula!H25,12)&lt;&gt;"",INDEX(Properties!A$1:CB$87,Formula!H25,12)),IF(INDEX(Properties!A$1:CB$87,Formula!J25,12)&lt;&gt;"",INDEX(Properties!A$1:CB$87,Formula!J25,12)))</f>
        <v>2.56</v>
      </c>
      <c r="AU25" s="78">
        <f>MAX(INDEX(Properties!A$1:CB$87,Formula!B25,12),INDEX(Properties!A$1:CB$87,Formula!D25,12),INDEX(Properties!A$1:CB$87,Formula!F25,12),INDEX(Properties!A$1:CB$87,Formula!H25,12),INDEX(Properties!A$1:CB$87,Formula!J25,12))</f>
        <v>4</v>
      </c>
      <c r="AV25" s="78">
        <f>MIN(IF(Formula!B25=87,10^6,INDEX(Properties!A$1:CB$87,Formula!B25,12)),IF((Formula!D25)=87,10^6,INDEX(Properties!A$1:CB$87,Formula!D25,12)),IF((Formula!F25)=87,10^6,INDEX(Properties!A$1:CB$87,Formula!F25,12)),IF((Formula!H25)=87,10^6,INDEX(Properties!A$1:CB$87,Formula!H25,12)),IF(Formula!J25=87,10^6,INDEX(Properties!A$1:CB$87,Formula!J25,12)))</f>
        <v>0</v>
      </c>
      <c r="AW25" s="78">
        <f t="shared" si="7"/>
        <v>4</v>
      </c>
      <c r="AX25" s="45">
        <f>((Formula!C25)/(Formula!C25+Formula!E25+Formula!G25+Formula!I25+Formula!K25))*(INDEX(Properties!A$1:CB$87,Formula!B25,13))+((Formula!E25)/(Formula!C25+Formula!E25+Formula!G25+Formula!I25+Formula!K25))*(INDEX(Properties!A$1:CB$87,Formula!D25,13))+((Formula!G25)/(Formula!C25+Formula!E25+Formula!G25+Formula!I25+Formula!K25))*(INDEX(Properties!A$1:CB$87,Formula!F25,13))+((Formula!I25)/(Formula!C25+Formula!E25+Formula!G25+Formula!I25+Formula!K25))*(INDEX(Properties!A$1:CB$87,Formula!H25,13))+((Formula!K25)/(Formula!C25+Formula!E25+Formula!G25+Formula!I25+Formula!K25))*(INDEX(Properties!A$1:CB$87,Formula!J25,13))</f>
        <v>0.4</v>
      </c>
      <c r="AY25" s="45">
        <f>Formula!C25*(INDEX(Properties!A$1:CB$87,Formula!B25,13))+Formula!E25*(INDEX(Properties!A$1:CB$87,Formula!D25,13))+Formula!G25*(INDEX(Properties!A$1:CB$87,Formula!F25,13))+Formula!I25*(INDEX(Properties!A$1:CB$87,Formula!H25,13))+Formula!K25*(INDEX(Properties!A$1:CB$87,Formula!J25,13))</f>
        <v>2</v>
      </c>
      <c r="AZ25" s="45">
        <f>VARP(IF(INDEX(Properties!A$1:CB$87,Formula!B25,13)&lt;&gt;"",INDEX(Properties!A$1:CB$87,Formula!B25,13)),IF(INDEX(Properties!A$1:CB$87,Formula!D25,13)&lt;&gt;"",INDEX(Properties!A$1:CB$87,Formula!D25,13)),IF(INDEX(Properties!A$1:CB$87,Formula!F25,13)&lt;&gt;"",INDEX(Properties!A$1:CB$87,Formula!F25,13)),IF(INDEX(Properties!A$1:CB$87,Formula!H25,13)&lt;&gt;"",INDEX(Properties!A$1:CB$87,Formula!H25,13)),IF(INDEX(Properties!A$1:CB$87,Formula!J25,13)&lt;&gt;"",INDEX(Properties!A$1:CB$87,Formula!J25,13)))</f>
        <v>0.64</v>
      </c>
      <c r="BA25" s="45">
        <f>MAX(INDEX(Properties!A$1:CB$87,Formula!B25,13),INDEX(Properties!A$1:CB$87,Formula!D25,13),INDEX(Properties!A$1:CB$87,Formula!F25,13),INDEX(Properties!A$1:CB$87,Formula!H25,13),INDEX(Properties!A$1:CB$87,Formula!J25,13))</f>
        <v>2</v>
      </c>
      <c r="BB25" s="45">
        <f>MIN(IF(Formula!B25=87,10^6,INDEX(Properties!A$1:CB$87,Formula!B25,13)),IF((Formula!D25)=87,10^6,INDEX(Properties!A$1:CB$87,Formula!D25,13)),IF((Formula!F25)=87,10^6,INDEX(Properties!A$1:CB$87,Formula!F25,13)),IF((Formula!H25)=87,10^6,INDEX(Properties!A$1:CB$87,Formula!H25,13)),IF(Formula!J25=87,10^6,INDEX(Properties!A$1:CB$87,Formula!J25,13)))</f>
        <v>0</v>
      </c>
      <c r="BC25" s="45">
        <f t="shared" si="8"/>
        <v>2</v>
      </c>
      <c r="BD25" s="63">
        <f>((Formula!C25)/(Formula!C25+Formula!E25+Formula!G25+Formula!I25+Formula!K25))*(INDEX(Properties!A$1:CB$87,Formula!B25,14))+((Formula!E25)/(Formula!C25+Formula!E25+Formula!G25+Formula!I25+Formula!K25))*(INDEX(Properties!A$1:CB$87,Formula!D25,14))+((Formula!G25)/(Formula!C25+Formula!E25+Formula!G25+Formula!I25+Formula!K25))*(INDEX(Properties!A$1:CB$87,Formula!F25,14))+((Formula!I25)/(Formula!C25+Formula!E25+Formula!G25+Formula!I25+Formula!K25))*(INDEX(Properties!A$1:CB$87,Formula!H25,14))+((Formula!K25)/(Formula!C25+Formula!E25+Formula!G25+Formula!I25+Formula!K25))*(INDEX(Properties!A$1:CB$87,Formula!J25,14))</f>
        <v>0</v>
      </c>
      <c r="BE25" s="63">
        <f>Formula!C25*(INDEX(Properties!A$1:CB$87,Formula!B25,14))+Formula!E25*(INDEX(Properties!A$1:CB$87,Formula!D25,14))+Formula!G25*(INDEX(Properties!A$1:CB$87,Formula!F25,14))+Formula!I25*(INDEX(Properties!A$1:CB$87,Formula!H25,14))+Formula!K25*(INDEX(Properties!A$1:CB$87,Formula!J25,14))</f>
        <v>0</v>
      </c>
      <c r="BF25" s="63">
        <f>VARP(IF(INDEX(Properties!A$1:CB$87,Formula!B25,14)&lt;&gt;"",INDEX(Properties!A$1:CB$87,Formula!B25,14)),IF(INDEX(Properties!A$1:CB$87,Formula!D25,14)&lt;&gt;"",INDEX(Properties!A$1:CB$87,Formula!D25,14)),IF(INDEX(Properties!A$1:CB$87,Formula!F25,14)&lt;&gt;"",INDEX(Properties!A$1:CB$87,Formula!F25,14)),IF(INDEX(Properties!A$1:CB$87,Formula!H25,14)&lt;&gt;"",INDEX(Properties!A$1:CB$87,Formula!H25,14)),IF(INDEX(Properties!A$1:CB$87,Formula!J25,14)&lt;&gt;"",INDEX(Properties!A$1:CB$87,Formula!J25,14)))</f>
        <v>0</v>
      </c>
      <c r="BG25" s="63">
        <f>MAX(INDEX(Properties!A$1:CB$87,Formula!B25,14),INDEX(Properties!A$1:CB$87,Formula!D25,14),INDEX(Properties!A$1:CB$87,Formula!F25,14),INDEX(Properties!A$1:CB$87,Formula!H25,14),INDEX(Properties!A$1:CB$87,Formula!J25,14))</f>
        <v>0</v>
      </c>
      <c r="BH25" s="63">
        <f>MIN(IF(Formula!B25=87,10^6,INDEX(Properties!A$1:CB$87,Formula!B25,14)),IF((Formula!D25)=87,10^6,INDEX(Properties!A$1:CB$87,Formula!D25,14)),IF((Formula!F25)=87,10^6,INDEX(Properties!A$1:CB$87,Formula!F25,14)),IF((Formula!H25)=87,10^6,INDEX(Properties!A$1:CB$87,Formula!H25,14)),IF(Formula!J25=87,10^6,INDEX(Properties!A$1:CB$87,Formula!J25,14)))</f>
        <v>0</v>
      </c>
      <c r="BI25" s="63">
        <f t="shared" si="9"/>
        <v>0</v>
      </c>
      <c r="BJ25" s="75">
        <f>((Formula!C25)/(Formula!C25+Formula!E25+Formula!G25+Formula!I25+Formula!K25))*(INDEX(Properties!A$1:CB$87,Formula!B25,19))+((Formula!E25)/(Formula!C25+Formula!E25+Formula!G25+Formula!I25+Formula!K25))*(INDEX(Properties!A$1:CB$87,Formula!D25,19))+((Formula!G25)/(Formula!C25+Formula!E25+Formula!G25+Formula!I25+Formula!K25))*(INDEX(Properties!A$1:CB$87,Formula!F25,19))+((Formula!I25)/(Formula!C25+Formula!E25+Formula!G25+Formula!I25+Formula!K25))*(INDEX(Properties!A$1:CB$87,Formula!H25,19))+((Formula!K25)/(Formula!C25+Formula!E25+Formula!G25+Formula!I25+Formula!K25))*(INDEX(Properties!A$1:CB$87,Formula!J25,19))</f>
        <v>4.8</v>
      </c>
      <c r="BK25" s="75">
        <f>Formula!C25*(INDEX(Properties!A$1:CB$87,Formula!B25,19))+Formula!E25*(INDEX(Properties!A$1:CB$87,Formula!D25,19))+Formula!G25*(INDEX(Properties!A$1:CB$87,Formula!F25,19))+Formula!I25*(INDEX(Properties!A$1:CB$87,Formula!H25,19))+Formula!K25*(INDEX(Properties!A$1:CB$87,Formula!J25,19))</f>
        <v>24</v>
      </c>
      <c r="BL25" s="75">
        <f>VARP(IF(INDEX(Properties!A$1:CB$87,Formula!B25,19)&lt;&gt;"",INDEX(Properties!A$1:CB$87,Formula!B25,19)),IF(INDEX(Properties!A$1:CB$87,Formula!D25,19)&lt;&gt;"",INDEX(Properties!A$1:CB$87,Formula!D25,19)),IF(INDEX(Properties!A$1:CB$87,Formula!F25,19)&lt;&gt;"",INDEX(Properties!A$1:CB$87,Formula!F25,19)),IF(INDEX(Properties!A$1:CB$87,Formula!H25,19)&lt;&gt;"",INDEX(Properties!A$1:CB$87,Formula!H25,19)),IF(INDEX(Properties!A$1:CB$87,Formula!J25,19)&lt;&gt;"",INDEX(Properties!A$1:CB$87,Formula!J25,19)))</f>
        <v>5.44</v>
      </c>
      <c r="BM25" s="75">
        <f>MAX(INDEX(Properties!A$1:CB$87,Formula!B25,19),INDEX(Properties!A$1:CB$87,Formula!D25,19),INDEX(Properties!A$1:CB$87,Formula!F25,19),INDEX(Properties!A$1:CB$87,Formula!H25,19),INDEX(Properties!A$1:CB$87,Formula!J25,19))</f>
        <v>6</v>
      </c>
      <c r="BN25" s="75">
        <f>MIN(IF(INDEX(Properties!A$1:CB$87,Formula!B25,19)=0,10^6,INDEX(Properties!A$1:CB$87,Formula!B25,19)),IF(INDEX(Properties!A$1:CB$87,Formula!D25,19)=0,10^6,INDEX(Properties!A$1:CB$87,Formula!D25,19)),IF(INDEX(Properties!A$1:CB$87,Formula!F25,19)=0,10^6,INDEX(Properties!A$1:CB$87,Formula!F25,19)),IF(INDEX(Properties!A$1:CB$87,Formula!H25,19)=0,10^6,INDEX(Properties!A$1:CB$87,Formula!H25,19)),IF(INDEX(Properties!A$1:CB$87,Formula!J25,19)=0,10^6,INDEX(Properties!A$1:CB$87,Formula!J25,19)))</f>
        <v>2</v>
      </c>
      <c r="BO25" s="75">
        <f t="shared" si="10"/>
        <v>4</v>
      </c>
      <c r="BP25" s="48">
        <f>((Formula!C25)/(Formula!C25+Formula!E25+Formula!G25+Formula!I25+Formula!K25))*(INDEX(Properties!A$1:CB$87,Formula!B25,20))+((Formula!E25)/(Formula!C25+Formula!E25+Formula!G25+Formula!I25+Formula!K25))*(INDEX(Properties!A$1:CB$87,Formula!D25,20))+((Formula!G25)/(Formula!C25+Formula!E25+Formula!G25+Formula!I25+Formula!K25))*(INDEX(Properties!A$1:CB$87,Formula!F25,20))+((Formula!I25)/(Formula!C25+Formula!E25+Formula!G25+Formula!I25+Formula!K25))*(INDEX(Properties!A$1:CB$87,Formula!H25,20))+((Formula!K25)/(Formula!C25+Formula!E25+Formula!G25+Formula!I25+Formula!K25))*(INDEX(Properties!A$1:CB$87,Formula!J25,20))</f>
        <v>4.3999999999999995</v>
      </c>
      <c r="BQ25" s="48">
        <f>Formula!C25*(INDEX(Properties!A$1:CB$87,Formula!B25,20))+Formula!E25*(INDEX(Properties!A$1:CB$87,Formula!D25,20))+Formula!G25*(INDEX(Properties!A$1:CB$87,Formula!F25,20))+Formula!I25*(INDEX(Properties!A$1:CB$87,Formula!H25,20))+Formula!K25*(INDEX(Properties!A$1:CB$87,Formula!J25,20))</f>
        <v>22</v>
      </c>
      <c r="BR25" s="48">
        <f>VARP(IF(INDEX(Properties!A$1:CB$87,Formula!B25,20)&lt;&gt;"",INDEX(Properties!A$1:CB$87,Formula!B25,20)),IF(INDEX(Properties!A$1:CB$87,Formula!D25,20)&lt;&gt;"",INDEX(Properties!A$1:CB$87,Formula!D25,20)),IF(INDEX(Properties!A$1:CB$87,Formula!F25,20)&lt;&gt;"",INDEX(Properties!A$1:CB$87,Formula!F25,20)),IF(INDEX(Properties!A$1:CB$87,Formula!H25,20)&lt;&gt;"",INDEX(Properties!A$1:CB$87,Formula!H25,20)),IF(INDEX(Properties!A$1:CB$87,Formula!J25,20)&lt;&gt;"",INDEX(Properties!A$1:CB$87,Formula!J25,20)))</f>
        <v>4.8</v>
      </c>
      <c r="BS25" s="48">
        <f>MAX(INDEX(Properties!A$1:CB$87,Formula!B25,20),INDEX(Properties!A$1:CB$87,Formula!D25,20),INDEX(Properties!A$1:CB$87,Formula!F25,20),INDEX(Properties!A$1:CB$87,Formula!H25,20),INDEX(Properties!A$1:CB$87,Formula!J25,20))</f>
        <v>6</v>
      </c>
      <c r="BT25" s="48">
        <f>MIN(IF(INDEX(Properties!A$1:CB$87,Formula!B25,20)=0,10^6,INDEX(Properties!A$1:CB$87,Formula!B25,20)),IF(INDEX(Properties!A$1:CB$87,Formula!D25,20)=0,10^6,INDEX(Properties!A$1:CB$87,Formula!D25,20)),IF(INDEX(Properties!A$1:CB$87,Formula!F25,20)=0,10^6,INDEX(Properties!A$1:CB$87,Formula!F25,20)),IF(INDEX(Properties!A$1:CB$87,Formula!H25,20)=0,10^6,INDEX(Properties!A$1:CB$87,Formula!H25,20)),IF(INDEX(Properties!A$1:CB$87,Formula!J25,20)=0,10^6,INDEX(Properties!A$1:CB$87,Formula!J25,20)))</f>
        <v>2</v>
      </c>
      <c r="BU25" s="48">
        <f t="shared" si="11"/>
        <v>4</v>
      </c>
      <c r="BV25" s="66">
        <f>((Formula!C25)/(Formula!C25+Formula!E25+Formula!G25+Formula!I25+Formula!K25))*(INDEX(Properties!A$1:CB$87,Formula!B25,21))+((Formula!E25)/(Formula!C25+Formula!E25+Formula!G25+Formula!I25+Formula!K25))*(INDEX(Properties!A$1:CB$87,Formula!D25,21))+((Formula!G25)/(Formula!C25+Formula!E25+Formula!G25+Formula!I25+Formula!K25))*(INDEX(Properties!A$1:CB$87,Formula!F25,21))+((Formula!I25)/(Formula!C25+Formula!E25+Formula!G25+Formula!I25+Formula!K25))*(INDEX(Properties!A$1:CB$87,Formula!H25,21))+((Formula!K25)/(Formula!C25+Formula!E25+Formula!G25+Formula!I25+Formula!K25))*(INDEX(Properties!A$1:CB$87,Formula!J25,21))</f>
        <v>4.3999999999999995</v>
      </c>
      <c r="BW25" s="66">
        <f>Formula!C25*(INDEX(Properties!A$1:CB$87,Formula!B25,21))+Formula!E25*(INDEX(Properties!A$1:CB$87,Formula!D25,21))+Formula!G25*(INDEX(Properties!A$1:CB$87,Formula!F25,21))+Formula!I25*(INDEX(Properties!A$1:CB$87,Formula!H25,21))+Formula!K25*(INDEX(Properties!A$1:CB$87,Formula!J25,21))</f>
        <v>22</v>
      </c>
      <c r="BX25" s="66">
        <f>VARP(IF(INDEX(Properties!A$1:CB$87,Formula!B25,21)&lt;&gt;"",INDEX(Properties!A$1:CB$87,Formula!B25,21)),IF(INDEX(Properties!A$1:CB$87,Formula!D25,21)&lt;&gt;"",INDEX(Properties!A$1:CB$87,Formula!D25,21)),IF(INDEX(Properties!A$1:CB$87,Formula!F25,21)&lt;&gt;"",INDEX(Properties!A$1:CB$87,Formula!F25,21)),IF(INDEX(Properties!A$1:CB$87,Formula!H25,21)&lt;&gt;"",INDEX(Properties!A$1:CB$87,Formula!H25,21)),IF(INDEX(Properties!A$1:CB$87,Formula!J25,21)&lt;&gt;"",INDEX(Properties!A$1:CB$87,Formula!J25,21)))</f>
        <v>4.8</v>
      </c>
      <c r="BY25" s="66">
        <f>MAX(INDEX(Properties!A$1:CB$87,Formula!B25,21),INDEX(Properties!A$1:CB$87,Formula!D25,21),INDEX(Properties!A$1:CB$87,Formula!F25,21),INDEX(Properties!A$1:CB$87,Formula!H25,21),INDEX(Properties!A$1:CB$87,Formula!J25,21))</f>
        <v>6</v>
      </c>
      <c r="BZ25" s="66">
        <f>MIN(IF(INDEX(Properties!A$1:CB$87,Formula!B25,21)=0,10^6,INDEX(Properties!A$1:CB$87,Formula!B25,21)),IF(INDEX(Properties!A$1:CB$87,Formula!D25,21)=0,10^6,INDEX(Properties!A$1:CB$87,Formula!D25,21)),IF(INDEX(Properties!A$1:CB$87,Formula!F25,21)=0,10^6,INDEX(Properties!A$1:CB$87,Formula!F25,21)),IF(INDEX(Properties!A$1:CB$87,Formula!H25,21)=0,10^6,INDEX(Properties!A$1:CB$87,Formula!H25,21)),IF(INDEX(Properties!A$1:CB$87,Formula!J25,21)=0,10^6,INDEX(Properties!A$1:CB$87,Formula!J25,21)))</f>
        <v>2</v>
      </c>
      <c r="CA25" s="66">
        <f t="shared" si="12"/>
        <v>4</v>
      </c>
      <c r="CB25" s="81">
        <f>((Formula!C25)/(Formula!C25+Formula!E25+Formula!G25+Formula!I25+Formula!K25))*(INDEX(Properties!A$1:CB$87,Formula!B25,23))+((Formula!E25)/(Formula!C25+Formula!E25+Formula!G25+Formula!I25+Formula!K25))*(INDEX(Properties!A$1:CB$87,Formula!D25,23))+((Formula!G25)/(Formula!C25+Formula!E25+Formula!G25+Formula!I25+Formula!K25))*(INDEX(Properties!A$1:CB$87,Formula!F25,23))+((Formula!I25)/(Formula!C25+Formula!E25+Formula!G25+Formula!I25+Formula!K25))*(INDEX(Properties!A$1:CB$87,Formula!H25,23))+((Formula!K25)/(Formula!C25+Formula!E25+Formula!G25+Formula!I25+Formula!K25))*(INDEX(Properties!A$1:CB$87,Formula!J25,23))</f>
        <v>1.2000000000000002</v>
      </c>
      <c r="CC25" s="81">
        <f>Formula!C25*(INDEX(Properties!A$1:CB$87,Formula!B25,23))+Formula!E25*(INDEX(Properties!A$1:CB$87,Formula!D25,23))+Formula!G25*(INDEX(Properties!A$1:CB$87,Formula!F25,23))+Formula!I25*(INDEX(Properties!A$1:CB$87,Formula!H25,23))+Formula!K25*(INDEX(Properties!A$1:CB$87,Formula!J25,23))</f>
        <v>6</v>
      </c>
      <c r="CD25" s="81">
        <f>VARP(IF(INDEX(Properties!A$1:CB$87,Formula!B25,23)&lt;&gt;"",INDEX(Properties!A$1:CB$87,Formula!B25,23)),IF(INDEX(Properties!A$1:CB$87,Formula!D25,23)&lt;&gt;"",INDEX(Properties!A$1:CB$87,Formula!D25,23)),IF(INDEX(Properties!A$1:CB$87,Formula!F25,23)&lt;&gt;"",INDEX(Properties!A$1:CB$87,Formula!F25,23)),IF(INDEX(Properties!A$1:CB$87,Formula!H25,23)&lt;&gt;"",INDEX(Properties!A$1:CB$87,Formula!H25,23)),IF(INDEX(Properties!A$1:CB$87,Formula!J25,23)&lt;&gt;"",INDEX(Properties!A$1:CB$87,Formula!J25,23)))</f>
        <v>2.56</v>
      </c>
      <c r="CE25" s="81">
        <f>MAX(INDEX(Properties!A$1:CB$87,Formula!B25,23),INDEX(Properties!A$1:CB$87,Formula!D25,23),INDEX(Properties!A$1:CB$87,Formula!F25,23),INDEX(Properties!A$1:CB$87,Formula!H25,23),INDEX(Properties!A$1:CB$87,Formula!J25,23))</f>
        <v>4</v>
      </c>
      <c r="CF25" s="81">
        <f>MIN(IF(Formula!B25=87,10^6,INDEX(Properties!A$1:CB$87,Formula!B25,23)),IF((Formula!D25)=87,10^6,INDEX(Properties!A$1:CB$87,Formula!D25,23)),IF((Formula!F25)=87,10^6,INDEX(Properties!A$1:CB$87,Formula!F25,23)),IF((Formula!H25)=87,10^6,INDEX(Properties!A$1:CB$87,Formula!H25,23)),IF(Formula!J25=87,10^6,INDEX(Properties!A$1:CB$87,Formula!J25,23)))</f>
        <v>0</v>
      </c>
      <c r="CG25" s="81">
        <f t="shared" si="13"/>
        <v>4</v>
      </c>
      <c r="CH25" s="39">
        <f>((Formula!C25)/(Formula!C25+Formula!E25+Formula!G25+Formula!I25+Formula!K25))*(INDEX(Properties!A$1:CB$87,Formula!B25,26))+((Formula!E25)/(Formula!C25+Formula!E25+Formula!G25+Formula!I25+Formula!K25))*(INDEX(Properties!A$1:CB$87,Formula!D25,26))+((Formula!G25)/(Formula!C25+Formula!E25+Formula!G25+Formula!I25+Formula!K25))*(INDEX(Properties!A$1:CB$87,Formula!F25,26))+((Formula!I25)/(Formula!C25+Formula!E25+Formula!G25+Formula!I25+Formula!K25))*(INDEX(Properties!A$1:CB$87,Formula!H25,26))+((Formula!K25)/(Formula!C25+Formula!E25+Formula!G25+Formula!I25+Formula!K25))*(INDEX(Properties!A$1:CB$87,Formula!J25,26))</f>
        <v>10.759119999999999</v>
      </c>
      <c r="CI25" s="39">
        <f>Formula!C25*(INDEX(Properties!A$1:CB$87,Formula!B25,26))+Formula!E25*(INDEX(Properties!A$1:CB$87,Formula!D25,26))+Formula!G25*(INDEX(Properties!A$1:CB$87,Formula!F25,26))+Formula!I25*(INDEX(Properties!A$1:CB$87,Formula!H25,26))+Formula!K25*(INDEX(Properties!A$1:CB$87,Formula!J25,26))</f>
        <v>53.7956</v>
      </c>
      <c r="CJ25" s="39">
        <f>VARP(IF(INDEX(Properties!A$1:CB$87,Formula!B25,26)&lt;&gt;"",INDEX(Properties!A$1:CB$87,Formula!B25,26)),IF(INDEX(Properties!A$1:CB$87,Formula!D25,26)&lt;&gt;"",INDEX(Properties!A$1:CB$87,Formula!D25,26)),IF(INDEX(Properties!A$1:CB$87,Formula!F25,26)&lt;&gt;"",INDEX(Properties!A$1:CB$87,Formula!F25,26)),IF(INDEX(Properties!A$1:CB$87,Formula!H25,26)&lt;&gt;"",INDEX(Properties!A$1:CB$87,Formula!H25,26)),IF(INDEX(Properties!A$1:CB$87,Formula!J25,26)&lt;&gt;"",INDEX(Properties!A$1:CB$87,Formula!J25,26)))</f>
        <v>25.673293157600007</v>
      </c>
      <c r="CK25" s="39">
        <f>MAX(INDEX(Properties!A$1:CB$87,Formula!B25,26),INDEX(Properties!A$1:CB$87,Formula!D25,26),INDEX(Properties!A$1:CB$87,Formula!F25,26),INDEX(Properties!A$1:CB$87,Formula!H25,26),INDEX(Properties!A$1:CB$87,Formula!J25,26))</f>
        <v>13.6181</v>
      </c>
      <c r="CL25" s="39">
        <f>MIN(IF(INDEX(Properties!A$1:CB$87,Formula!B25,26)=0,10^6,INDEX(Properties!A$1:CB$87,Formula!B25,26)),IF(INDEX(Properties!A$1:CB$87,Formula!D25,26)=0,10^6,INDEX(Properties!A$1:CB$87,Formula!D25,26)),IF(INDEX(Properties!A$1:CB$87,Formula!F25,26)=0,10^6,INDEX(Properties!A$1:CB$87,Formula!F25,26)),IF(INDEX(Properties!A$1:CB$87,Formula!H25,26)=0,10^6,INDEX(Properties!A$1:CB$87,Formula!H25,26)),IF(INDEX(Properties!A$1:CB$87,Formula!J25,26)=0,10^6,INDEX(Properties!A$1:CB$87,Formula!J25,26)))</f>
        <v>6.1132</v>
      </c>
      <c r="CM25" s="39">
        <f t="shared" si="14"/>
        <v>7.5049000000000001</v>
      </c>
      <c r="CN25" s="54">
        <f>((Formula!C25)/(Formula!C25+Formula!E25+Formula!G25+Formula!I25+Formula!K25))*(INDEX(Properties!A$1:CB$87,Formula!B25,30))+((Formula!E25)/(Formula!C25+Formula!E25+Formula!G25+Formula!I25+Formula!K25))*(INDEX(Properties!A$1:CB$87,Formula!D25,30))+((Formula!G25)/(Formula!C25+Formula!E25+Formula!G25+Formula!I25+Formula!K25))*(INDEX(Properties!A$1:CB$87,Formula!F25,30))+((Formula!I25)/(Formula!C25+Formula!E25+Formula!G25+Formula!I25+Formula!K25))*(INDEX(Properties!A$1:CB$87,Formula!H25,30))+((Formula!K25)/(Formula!C25+Formula!E25+Formula!G25+Formula!I25+Formula!K25))*(INDEX(Properties!A$1:CB$87,Formula!J25,30))</f>
        <v>2.5720000000000001</v>
      </c>
      <c r="CO25" s="54">
        <f>Formula!C25*(INDEX(Properties!A$1:CB$87,Formula!B25,30))+Formula!E25*(INDEX(Properties!A$1:CB$87,Formula!D25,30))+Formula!G25*(INDEX(Properties!A$1:CB$87,Formula!F25,30))+Formula!I25*(INDEX(Properties!A$1:CB$87,Formula!H25,30))+Formula!K25*(INDEX(Properties!A$1:CB$87,Formula!J25,30))</f>
        <v>12.86</v>
      </c>
      <c r="CP25" s="54">
        <f>VARP(IF(INDEX(Properties!A$1:CB$87,Formula!B25,30)&lt;&gt;"",INDEX(Properties!A$1:CB$87,Formula!B25,30)),IF(INDEX(Properties!A$1:CB$87,Formula!D25,30)&lt;&gt;"",INDEX(Properties!A$1:CB$87,Formula!D25,30)),IF(INDEX(Properties!A$1:CB$87,Formula!F25,30)&lt;&gt;"",INDEX(Properties!A$1:CB$87,Formula!F25,30)),IF(INDEX(Properties!A$1:CB$87,Formula!H25,30)&lt;&gt;"",INDEX(Properties!A$1:CB$87,Formula!H25,30)),IF(INDEX(Properties!A$1:CB$87,Formula!J25,30)&lt;&gt;"",INDEX(Properties!A$1:CB$87,Formula!J25,30)))</f>
        <v>1.6106239999999992</v>
      </c>
      <c r="CQ25" s="54">
        <f>MAX(INDEX(Properties!A$1:CB$87,Formula!B25,30),INDEX(Properties!A$1:CB$87,Formula!D25,30),INDEX(Properties!A$1:CB$87,Formula!F25,30),INDEX(Properties!A$1:CB$87,Formula!H25,30),INDEX(Properties!A$1:CB$87,Formula!J25,30))</f>
        <v>3.44</v>
      </c>
      <c r="CR25" s="54">
        <f>MIN(IF(INDEX(Properties!A$1:CB$87,Formula!B25,30)=0,10^6,INDEX(Properties!A$1:CB$87,Formula!B25,30)),IF(INDEX(Properties!A$1:CB$87,Formula!D25,30)=0,10^6,INDEX(Properties!A$1:CB$87,Formula!D25,30)),IF(INDEX(Properties!A$1:CB$87,Formula!F25,30)=0,10^6,INDEX(Properties!A$1:CB$87,Formula!F25,30)),IF(INDEX(Properties!A$1:CB$87,Formula!H25,30)=0,10^6,INDEX(Properties!A$1:CB$87,Formula!H25,30)),IF(INDEX(Properties!A$1:CB$87,Formula!J25,30)=0,10^6,INDEX(Properties!A$1:CB$87,Formula!J25,30)))</f>
        <v>1</v>
      </c>
      <c r="CS25" s="54">
        <f t="shared" si="15"/>
        <v>2.44</v>
      </c>
      <c r="CT25" s="69">
        <f>((Formula!C25)/(Formula!C25+Formula!E25+Formula!G25+Formula!I25+Formula!K25))*(INDEX(Properties!A$1:CB$87,Formula!B25,31))+((Formula!E25)/(Formula!C25+Formula!E25+Formula!G25+Formula!I25+Formula!K25))*(INDEX(Properties!A$1:CB$87,Formula!D25,31))+((Formula!G25)/(Formula!C25+Formula!E25+Formula!G25+Formula!I25+Formula!K25))*(INDEX(Properties!A$1:CB$87,Formula!F25,31))+((Formula!I25)/(Formula!C25+Formula!E25+Formula!G25+Formula!I25+Formula!K25))*(INDEX(Properties!A$1:CB$87,Formula!H25,31))+((Formula!K25)/(Formula!C25+Formula!E25+Formula!G25+Formula!I25+Formula!K25))*(INDEX(Properties!A$1:CB$87,Formula!J25,31))</f>
        <v>2.5979999999999999</v>
      </c>
      <c r="CU25" s="69">
        <f>Formula!C25*(INDEX(Properties!A$1:CB$87,Formula!B25,31))+Formula!E25*(INDEX(Properties!A$1:CB$87,Formula!D25,31))+Formula!G25*(INDEX(Properties!A$1:CB$87,Formula!F25,31))+Formula!I25*(INDEX(Properties!A$1:CB$87,Formula!H25,31))+Formula!K25*(INDEX(Properties!A$1:CB$87,Formula!J25,31))</f>
        <v>12.989999999999998</v>
      </c>
      <c r="CV25" s="69">
        <f>VARP(IF(INDEX(Properties!A$1:CB$87,Formula!B25,31)&lt;&gt;"",INDEX(Properties!A$1:CB$87,Formula!B25,31)),IF(INDEX(Properties!A$1:CB$87,Formula!D25,31)&lt;&gt;"",INDEX(Properties!A$1:CB$87,Formula!D25,31)),IF(INDEX(Properties!A$1:CB$87,Formula!F25,31)&lt;&gt;"",INDEX(Properties!A$1:CB$87,Formula!F25,31)),IF(INDEX(Properties!A$1:CB$87,Formula!H25,31)&lt;&gt;"",INDEX(Properties!A$1:CB$87,Formula!H25,31)),IF(INDEX(Properties!A$1:CB$87,Formula!J25,31)&lt;&gt;"",INDEX(Properties!A$1:CB$87,Formula!J25,31)))</f>
        <v>1.5572799999999998</v>
      </c>
      <c r="CW25" s="69">
        <f>MAX(INDEX(Properties!A$1:CB$87,Formula!B25,31),INDEX(Properties!A$1:CB$87,Formula!D25,31),INDEX(Properties!A$1:CB$87,Formula!F25,31),INDEX(Properties!A$1:CB$87,Formula!H25,31),INDEX(Properties!A$1:CB$87,Formula!J25,31))</f>
        <v>3.32</v>
      </c>
      <c r="CX25" s="69">
        <f>MIN(IF(INDEX(Properties!A$1:CB$87,Formula!B25,31)=0,10^6,INDEX(Properties!A$1:CB$87,Formula!B25,31)),IF(INDEX(Properties!A$1:CB$87,Formula!D25,31)=0,10^6,INDEX(Properties!A$1:CB$87,Formula!D25,31)),IF(INDEX(Properties!A$1:CB$87,Formula!F25,31)=0,10^6,INDEX(Properties!A$1:CB$87,Formula!F25,31)),IF(INDEX(Properties!A$1:CB$87,Formula!H25,31)=0,10^6,INDEX(Properties!A$1:CB$87,Formula!H25,31)),IF(INDEX(Properties!A$1:CB$87,Formula!J25,31)=0,10^6,INDEX(Properties!A$1:CB$87,Formula!J25,31)))</f>
        <v>1.17</v>
      </c>
      <c r="CY25" s="69">
        <f t="shared" si="16"/>
        <v>2.15</v>
      </c>
      <c r="CZ25" s="42">
        <f>((Formula!C25)/(Formula!C25+Formula!E25+Formula!G25+Formula!I25+Formula!K25))*(INDEX(Properties!A$1:CB$87,Formula!B25,32))+((Formula!E25)/(Formula!C25+Formula!E25+Formula!G25+Formula!I25+Formula!K25))*(INDEX(Properties!A$1:CB$87,Formula!D25,32))+((Formula!G25)/(Formula!C25+Formula!E25+Formula!G25+Formula!I25+Formula!K25))*(INDEX(Properties!A$1:CB$87,Formula!F25,32))+((Formula!I25)/(Formula!C25+Formula!E25+Formula!G25+Formula!I25+Formula!K25))*(INDEX(Properties!A$1:CB$87,Formula!H25,32))+((Formula!K25)/(Formula!C25+Formula!E25+Formula!G25+Formula!I25+Formula!K25))*(INDEX(Properties!A$1:CB$87,Formula!J25,32))</f>
        <v>5.6539999999999999</v>
      </c>
      <c r="DA25" s="42">
        <f>Formula!C25*(INDEX(Properties!A$1:CB$87,Formula!B25,32))+Formula!E25*(INDEX(Properties!A$1:CB$87,Formula!D25,32))+Formula!G25*(INDEX(Properties!A$1:CB$87,Formula!F25,32))+Formula!I25*(INDEX(Properties!A$1:CB$87,Formula!H25,32))+Formula!K25*(INDEX(Properties!A$1:CB$87,Formula!J25,32))</f>
        <v>28.270000000000003</v>
      </c>
      <c r="DB25" s="42">
        <f>VARP(IF(INDEX(Properties!A$1:CB$87,Formula!B25,32)&lt;&gt;"",INDEX(Properties!A$1:CB$87,Formula!B25,32)),IF(INDEX(Properties!A$1:CB$87,Formula!D25,32)&lt;&gt;"",INDEX(Properties!A$1:CB$87,Formula!D25,32)),IF(INDEX(Properties!A$1:CB$87,Formula!F25,32)&lt;&gt;"",INDEX(Properties!A$1:CB$87,Formula!F25,32)),IF(INDEX(Properties!A$1:CB$87,Formula!H25,32)&lt;&gt;"",INDEX(Properties!A$1:CB$87,Formula!H25,32)),IF(INDEX(Properties!A$1:CB$87,Formula!J25,32)&lt;&gt;"",INDEX(Properties!A$1:CB$87,Formula!J25,32)))</f>
        <v>7.7597759999999996</v>
      </c>
      <c r="DC25" s="42">
        <f>MAX(INDEX(Properties!A$1:CB$87,Formula!B25,32),INDEX(Properties!A$1:CB$87,Formula!D25,32),INDEX(Properties!A$1:CB$87,Formula!F25,32),INDEX(Properties!A$1:CB$87,Formula!H25,32),INDEX(Properties!A$1:CB$87,Formula!J25,32))</f>
        <v>7.54</v>
      </c>
      <c r="DD25" s="42">
        <f>MIN(IF(INDEX(Properties!A$1:CB$87,Formula!B25,32)=0,10^6,INDEX(Properties!A$1:CB$87,Formula!B25,32)),IF(INDEX(Properties!A$1:CB$87,Formula!D25,32)=0,10^6,INDEX(Properties!A$1:CB$87,Formula!D25,32)),IF(INDEX(Properties!A$1:CB$87,Formula!F25,32)=0,10^6,INDEX(Properties!A$1:CB$87,Formula!F25,32)),IF(INDEX(Properties!A$1:CB$87,Formula!H25,32)=0,10^6,INDEX(Properties!A$1:CB$87,Formula!H25,32)),IF(INDEX(Properties!A$1:CB$87,Formula!J25,32)=0,10^6,INDEX(Properties!A$1:CB$87,Formula!J25,32)))</f>
        <v>2.2000000000000002</v>
      </c>
      <c r="DE25" s="42">
        <f t="shared" si="17"/>
        <v>5.34</v>
      </c>
      <c r="DF25" s="60">
        <f>((Formula!C25)/(Formula!C25+Formula!E25+Formula!G25+Formula!I25+Formula!K25))*(INDEX(Properties!A$1:CB$87,Formula!B25,34))+((Formula!E25)/(Formula!C25+Formula!E25+Formula!G25+Formula!I25+Formula!K25))*(INDEX(Properties!A$1:CB$87,Formula!D25,34))+((Formula!G25)/(Formula!C25+Formula!E25+Formula!G25+Formula!I25+Formula!K25))*(INDEX(Properties!A$1:CB$87,Formula!F25,34))+((Formula!I25)/(Formula!C25+Formula!E25+Formula!G25+Formula!I25+Formula!K25))*(INDEX(Properties!A$1:CB$87,Formula!H25,34))+((Formula!K25)/(Formula!C25+Formula!E25+Formula!G25+Formula!I25+Formula!K25))*(INDEX(Properties!A$1:CB$87,Formula!J25,34))</f>
        <v>2.6488</v>
      </c>
      <c r="DG25" s="60">
        <f>Formula!C25*(INDEX(Properties!A$1:CB$87,Formula!B25,34))+Formula!E25*(INDEX(Properties!A$1:CB$87,Formula!D25,34))+Formula!G25*(INDEX(Properties!A$1:CB$87,Formula!F25,34))+Formula!I25*(INDEX(Properties!A$1:CB$87,Formula!H25,34))+Formula!K25*(INDEX(Properties!A$1:CB$87,Formula!J25,34))</f>
        <v>13.244</v>
      </c>
      <c r="DH25" s="60">
        <f>VARP(IF(INDEX(Properties!A$1:CB$87,Formula!B25,34)&lt;&gt;"",INDEX(Properties!A$1:CB$87,Formula!B25,34)),IF(INDEX(Properties!A$1:CB$87,Formula!D25,34)&lt;&gt;"",INDEX(Properties!A$1:CB$87,Formula!D25,34)),IF(INDEX(Properties!A$1:CB$87,Formula!F25,34)&lt;&gt;"",INDEX(Properties!A$1:CB$87,Formula!F25,34)),IF(INDEX(Properties!A$1:CB$87,Formula!H25,34)&lt;&gt;"",INDEX(Properties!A$1:CB$87,Formula!H25,34)),IF(INDEX(Properties!A$1:CB$87,Formula!J25,34)&lt;&gt;"",INDEX(Properties!A$1:CB$87,Formula!J25,34)))</f>
        <v>1.7495881600000001</v>
      </c>
      <c r="DI25" s="60">
        <f>MAX(INDEX(Properties!A$1:CB$87,Formula!B25,34),INDEX(Properties!A$1:CB$87,Formula!D25,34),INDEX(Properties!A$1:CB$87,Formula!F25,34),INDEX(Properties!A$1:CB$87,Formula!H25,34),INDEX(Properties!A$1:CB$87,Formula!J25,34))</f>
        <v>3.61</v>
      </c>
      <c r="DJ25" s="60">
        <f>MIN(IF(INDEX(Properties!A$1:CB$87,Formula!B25,34)=0,10^6,INDEX(Properties!A$1:CB$87,Formula!B25,34)),IF(INDEX(Properties!A$1:CB$87,Formula!D25,34)=0,10^6,INDEX(Properties!A$1:CB$87,Formula!D25,34)),IF(INDEX(Properties!A$1:CB$87,Formula!F25,34)=0,10^6,INDEX(Properties!A$1:CB$87,Formula!F25,34)),IF(INDEX(Properties!A$1:CB$87,Formula!H25,34)=0,10^6,INDEX(Properties!A$1:CB$87,Formula!H25,34)),IF(INDEX(Properties!A$1:CB$87,Formula!J25,34)=0,10^6,INDEX(Properties!A$1:CB$87,Formula!J25,34)))</f>
        <v>1.034</v>
      </c>
      <c r="DK25" s="60">
        <f t="shared" si="18"/>
        <v>2.5759999999999996</v>
      </c>
      <c r="DL25" s="45">
        <f>((Formula!C25)/(Formula!C25+Formula!E25+Formula!G25+Formula!I25+Formula!K25))*(INDEX(Properties!A$1:CB$87,Formula!B25,39))+((Formula!E25)/(Formula!C25+Formula!E25+Formula!G25+Formula!I25+Formula!K25))*(INDEX(Properties!A$1:CB$87,Formula!D25,39))+((Formula!G25)/(Formula!C25+Formula!E25+Formula!G25+Formula!I25+Formula!K25))*(INDEX(Properties!A$1:CB$87,Formula!F25,39))+((Formula!I25)/(Formula!C25+Formula!E25+Formula!G25+Formula!I25+Formula!K25))*(INDEX(Properties!A$1:CB$87,Formula!H25,39))+((Formula!K25)/(Formula!C25+Formula!E25+Formula!G25+Formula!I25+Formula!K25))*(INDEX(Properties!A$1:CB$87,Formula!J25,39))</f>
        <v>1.028</v>
      </c>
      <c r="DM25" s="45">
        <f>Formula!C25*(INDEX(Properties!A$1:CB$87,Formula!B25,39))+Formula!E25*(INDEX(Properties!A$1:CB$87,Formula!D25,39))+Formula!G25*(INDEX(Properties!A$1:CB$87,Formula!F25,39))+Formula!I25*(INDEX(Properties!A$1:CB$87,Formula!H25,39))+Formula!K25*(INDEX(Properties!A$1:CB$87,Formula!J25,39))</f>
        <v>5.1400000000000006</v>
      </c>
      <c r="DN25" s="45">
        <f>VARP(IF(INDEX(Properties!A$1:CB$87,Formula!B25,39)&lt;&gt;"",INDEX(Properties!A$1:CB$87,Formula!B25,39)),IF(INDEX(Properties!A$1:CB$87,Formula!D25,39)&lt;&gt;"",INDEX(Properties!A$1:CB$87,Formula!D25,39)),IF(INDEX(Properties!A$1:CB$87,Formula!F25,39)&lt;&gt;"",INDEX(Properties!A$1:CB$87,Formula!F25,39)),IF(INDEX(Properties!A$1:CB$87,Formula!H25,39)&lt;&gt;"",INDEX(Properties!A$1:CB$87,Formula!H25,39)),IF(INDEX(Properties!A$1:CB$87,Formula!J25,39)&lt;&gt;"",INDEX(Properties!A$1:CB$87,Formula!J25,39)))</f>
        <v>0.7194240000000004</v>
      </c>
      <c r="DO25" s="45">
        <f>MAX(INDEX(Properties!A$1:CB$87,Formula!B25,39),INDEX(Properties!A$1:CB$87,Formula!D25,39),INDEX(Properties!A$1:CB$87,Formula!F25,39),INDEX(Properties!A$1:CB$87,Formula!H25,39),INDEX(Properties!A$1:CB$87,Formula!J25,39))</f>
        <v>1.94</v>
      </c>
      <c r="DP25" s="45">
        <f>MIN(IF(INDEX(Properties!A$1:CB$87,Formula!B25,39)=0,10^6,INDEX(Properties!A$1:CB$87,Formula!B25,39)),IF(INDEX(Properties!A$1:CB$87,Formula!D25,39)=0,10^6,INDEX(Properties!A$1:CB$87,Formula!D25,39)),IF(INDEX(Properties!A$1:CB$87,Formula!F25,39)=0,10^6,INDEX(Properties!A$1:CB$87,Formula!F25,39)),IF(INDEX(Properties!A$1:CB$87,Formula!H25,39)=0,10^6,INDEX(Properties!A$1:CB$87,Formula!H25,39)),IF(INDEX(Properties!A$1:CB$87,Formula!J25,39)=0,10^6,INDEX(Properties!A$1:CB$87,Formula!J25,39)))</f>
        <v>0.48</v>
      </c>
      <c r="DQ25" s="45">
        <f t="shared" si="19"/>
        <v>1.46</v>
      </c>
      <c r="DR25" s="63">
        <f>((Formula!C25)/(Formula!C25+Formula!E25+Formula!G25+Formula!I25+Formula!K25))*(INDEX(Properties!A$1:CB$87,Formula!B25,40))+((Formula!E25)/(Formula!C25+Formula!E25+Formula!G25+Formula!I25+Formula!K25))*(INDEX(Properties!A$1:CB$87,Formula!D25,40))+((Formula!G25)/(Formula!C25+Formula!E25+Formula!G25+Formula!I25+Formula!K25))*(INDEX(Properties!A$1:CB$87,Formula!F25,40))+((Formula!I25)/(Formula!C25+Formula!E25+Formula!G25+Formula!I25+Formula!K25))*(INDEX(Properties!A$1:CB$87,Formula!H25,40))+((Formula!K25)/(Formula!C25+Formula!E25+Formula!G25+Formula!I25+Formula!K25))*(INDEX(Properties!A$1:CB$87,Formula!J25,40))</f>
        <v>1.0580000000000001</v>
      </c>
      <c r="DS25" s="63">
        <f>Formula!C25*(INDEX(Properties!A$1:CB$87,Formula!B25,40))+Formula!E25*(INDEX(Properties!A$1:CB$87,Formula!D25,40))+Formula!G25*(INDEX(Properties!A$1:CB$87,Formula!F25,40))+Formula!I25*(INDEX(Properties!A$1:CB$87,Formula!H25,40))+Formula!K25*(INDEX(Properties!A$1:CB$87,Formula!J25,40))</f>
        <v>5.29</v>
      </c>
      <c r="DT25" s="63">
        <f>VARP(IF(INDEX(Properties!A$1:CB$87,Formula!B25,40)&lt;&gt;"",INDEX(Properties!A$1:CB$87,Formula!B25,40)),IF(INDEX(Properties!A$1:CB$87,Formula!D25,40)&lt;&gt;"",INDEX(Properties!A$1:CB$87,Formula!D25,40)),IF(INDEX(Properties!A$1:CB$87,Formula!F25,40)&lt;&gt;"",INDEX(Properties!A$1:CB$87,Formula!F25,40)),IF(INDEX(Properties!A$1:CB$87,Formula!H25,40)&lt;&gt;"",INDEX(Properties!A$1:CB$87,Formula!H25,40)),IF(INDEX(Properties!A$1:CB$87,Formula!J25,40)&lt;&gt;"",INDEX(Properties!A$1:CB$87,Formula!J25,40)))</f>
        <v>0.49526399999999993</v>
      </c>
      <c r="DU25" s="63">
        <f>MAX(INDEX(Properties!A$1:CB$87,Formula!B25,40),INDEX(Properties!A$1:CB$87,Formula!D25,40),INDEX(Properties!A$1:CB$87,Formula!F25,40),INDEX(Properties!A$1:CB$87,Formula!H25,40),INDEX(Properties!A$1:CB$87,Formula!J25,40))</f>
        <v>1.74</v>
      </c>
      <c r="DV25" s="63">
        <f>MIN(IF(INDEX(Properties!A$1:CB$87,Formula!B25,40)=0,10^6,INDEX(Properties!A$1:CB$87,Formula!B25,40)),IF(INDEX(Properties!A$1:CB$87,Formula!D25,40)=0,10^6,INDEX(Properties!A$1:CB$87,Formula!D25,40)),IF(INDEX(Properties!A$1:CB$87,Formula!F25,40)=0,10^6,INDEX(Properties!A$1:CB$87,Formula!F25,40)),IF(INDEX(Properties!A$1:CB$87,Formula!H25,40)=0,10^6,INDEX(Properties!A$1:CB$87,Formula!H25,40)),IF(INDEX(Properties!A$1:CB$87,Formula!J25,40)=0,10^6,INDEX(Properties!A$1:CB$87,Formula!J25,40)))</f>
        <v>0.73</v>
      </c>
      <c r="DW25" s="63">
        <f t="shared" si="20"/>
        <v>1.01</v>
      </c>
      <c r="DX25" s="75">
        <f>((Formula!C25)/(Formula!C25+Formula!E25+Formula!G25+Formula!I25+Formula!K25))*(INDEX(Properties!A$1:CB$87,Formula!B25,41))+((Formula!E25)/(Formula!C25+Formula!E25+Formula!G25+Formula!I25+Formula!K25))*(INDEX(Properties!A$1:CB$87,Formula!D25,41))+((Formula!G25)/(Formula!C25+Formula!E25+Formula!G25+Formula!I25+Formula!K25))*(INDEX(Properties!A$1:CB$87,Formula!F25,41))+((Formula!I25)/(Formula!C25+Formula!E25+Formula!G25+Formula!I25+Formula!K25))*(INDEX(Properties!A$1:CB$87,Formula!H25,41))+((Formula!K25)/(Formula!C25+Formula!E25+Formula!G25+Formula!I25+Formula!K25))*(INDEX(Properties!A$1:CB$87,Formula!J25,41))</f>
        <v>1.1839999999999999</v>
      </c>
      <c r="DY25" s="75">
        <f>Formula!C25*(INDEX(Properties!A$1:CB$87,Formula!B25,41))+Formula!E25*(INDEX(Properties!A$1:CB$87,Formula!D25,41))+Formula!G25*(INDEX(Properties!A$1:CB$87,Formula!F25,41))+Formula!I25*(INDEX(Properties!A$1:CB$87,Formula!H25,41))+Formula!K25*(INDEX(Properties!A$1:CB$87,Formula!J25,41))</f>
        <v>5.92</v>
      </c>
      <c r="DZ25" s="75">
        <f>VARP(IF(INDEX(Properties!A$1:CB$87,Formula!B25,41)&lt;&gt;"",INDEX(Properties!A$1:CB$87,Formula!B25,41)),IF(INDEX(Properties!A$1:CB$87,Formula!D25,41)&lt;&gt;"",INDEX(Properties!A$1:CB$87,Formula!D25,41)),IF(INDEX(Properties!A$1:CB$87,Formula!F25,41)&lt;&gt;"",INDEX(Properties!A$1:CB$87,Formula!F25,41)),IF(INDEX(Properties!A$1:CB$87,Formula!H25,41)&lt;&gt;"",INDEX(Properties!A$1:CB$87,Formula!H25,41)),IF(INDEX(Properties!A$1:CB$87,Formula!J25,41)&lt;&gt;"",INDEX(Properties!A$1:CB$87,Formula!J25,41)))</f>
        <v>0.3150400000000001</v>
      </c>
      <c r="EA25" s="75">
        <f>MAX(INDEX(Properties!A$1:CB$87,Formula!B25,41),INDEX(Properties!A$1:CB$87,Formula!D25,41),INDEX(Properties!A$1:CB$87,Formula!F25,41),INDEX(Properties!A$1:CB$87,Formula!H25,41),INDEX(Properties!A$1:CB$87,Formula!J25,41))</f>
        <v>1.26</v>
      </c>
      <c r="EB25" s="75">
        <f>MIN(IF(INDEX(Properties!A$1:CB$87,Formula!B25,41)=0,10^6,INDEX(Properties!A$1:CB$87,Formula!B25,41)),IF(INDEX(Properties!A$1:CB$87,Formula!D25,41)=0,10^6,INDEX(Properties!A$1:CB$87,Formula!D25,41)),IF(INDEX(Properties!A$1:CB$87,Formula!F25,41)=0,10^6,INDEX(Properties!A$1:CB$87,Formula!F25,41)),IF(INDEX(Properties!A$1:CB$87,Formula!H25,41)=0,10^6,INDEX(Properties!A$1:CB$87,Formula!H25,41)),IF(INDEX(Properties!A$1:CB$87,Formula!J25,41)=0,10^6,INDEX(Properties!A$1:CB$87,Formula!J25,41)))</f>
        <v>1</v>
      </c>
      <c r="EC25" s="75">
        <f t="shared" si="21"/>
        <v>0.26</v>
      </c>
      <c r="ED25" s="48">
        <f>((Formula!C25)/(Formula!C25+Formula!E25+Formula!G25+Formula!I25+Formula!K25))*(INDEX(Properties!A$1:CB$87,Formula!B25,45))+((Formula!E25)/(Formula!C25+Formula!E25+Formula!G25+Formula!I25+Formula!K25))*(INDEX(Properties!A$1:CB$87,Formula!D25,45))+((Formula!G25)/(Formula!C25+Formula!E25+Formula!G25+Formula!I25+Formula!K25))*(INDEX(Properties!A$1:CB$87,Formula!F25,45))+((Formula!I25)/(Formula!C25+Formula!E25+Formula!G25+Formula!I25+Formula!K25))*(INDEX(Properties!A$1:CB$87,Formula!H25,45))+((Formula!K25)/(Formula!C25+Formula!E25+Formula!G25+Formula!I25+Formula!K25))*(INDEX(Properties!A$1:CB$87,Formula!J25,45))</f>
        <v>1.3980000000000001</v>
      </c>
      <c r="EE25" s="48">
        <f>Formula!C25*(INDEX(Properties!A$1:CB$87,Formula!B25,45))+Formula!E25*(INDEX(Properties!A$1:CB$87,Formula!D25,45))+Formula!G25*(INDEX(Properties!A$1:CB$87,Formula!F25,45))+Formula!I25*(INDEX(Properties!A$1:CB$87,Formula!H25,45))+Formula!K25*(INDEX(Properties!A$1:CB$87,Formula!J25,45))</f>
        <v>6.99</v>
      </c>
      <c r="EF25" s="48">
        <f>VARP(IF(INDEX(Properties!A$1:CB$87,Formula!B25,45)&lt;&gt;"",INDEX(Properties!A$1:CB$87,Formula!B25,45)),IF(INDEX(Properties!A$1:CB$87,Formula!D25,45)&lt;&gt;"",INDEX(Properties!A$1:CB$87,Formula!D25,45)),IF(INDEX(Properties!A$1:CB$87,Formula!F25,45)&lt;&gt;"",INDEX(Properties!A$1:CB$87,Formula!F25,45)),IF(INDEX(Properties!A$1:CB$87,Formula!H25,45)&lt;&gt;"",INDEX(Properties!A$1:CB$87,Formula!H25,45)),IF(INDEX(Properties!A$1:CB$87,Formula!J25,45)&lt;&gt;"",INDEX(Properties!A$1:CB$87,Formula!J25,45)))</f>
        <v>1.7113600000000004</v>
      </c>
      <c r="EG25" s="48">
        <f>MAX(INDEX(Properties!A$1:CB$87,Formula!B25,45),INDEX(Properties!A$1:CB$87,Formula!D25,45),INDEX(Properties!A$1:CB$87,Formula!F25,45),INDEX(Properties!A$1:CB$87,Formula!H25,45),INDEX(Properties!A$1:CB$87,Formula!J25,45))</f>
        <v>3</v>
      </c>
      <c r="EH25" s="48">
        <f>MIN(IF(INDEX(Properties!A$1:CB$87,Formula!B25,45)=0,10^6,INDEX(Properties!A$1:CB$87,Formula!B25,45)),IF(INDEX(Properties!A$1:CB$87,Formula!D25,45)=0,10^6,INDEX(Properties!A$1:CB$87,Formula!D25,45)),IF(INDEX(Properties!A$1:CB$87,Formula!F25,45)=0,10^6,INDEX(Properties!A$1:CB$87,Formula!F25,45)),IF(INDEX(Properties!A$1:CB$87,Formula!H25,45)=0,10^6,INDEX(Properties!A$1:CB$87,Formula!H25,45)),IF(INDEX(Properties!A$1:CB$87,Formula!J25,45)=0,10^6,INDEX(Properties!A$1:CB$87,Formula!J25,45)))</f>
        <v>0.47</v>
      </c>
      <c r="EI25" s="48">
        <f t="shared" si="22"/>
        <v>2.5300000000000002</v>
      </c>
      <c r="EJ25" s="66">
        <f>((Formula!C25)/(Formula!C25+Formula!E25+Formula!G25+Formula!I25+Formula!K25))*(INDEX(Properties!A$1:CB$87,Formula!B25,46))+((Formula!E25)/(Formula!C25+Formula!E25+Formula!G25+Formula!I25+Formula!K25))*(INDEX(Properties!A$1:CB$87,Formula!D25,46))+((Formula!G25)/(Formula!C25+Formula!E25+Formula!G25+Formula!I25+Formula!K25))*(INDEX(Properties!A$1:CB$87,Formula!F25,46))+((Formula!I25)/(Formula!C25+Formula!E25+Formula!G25+Formula!I25+Formula!K25))*(INDEX(Properties!A$1:CB$87,Formula!H25,46))+((Formula!K25)/(Formula!C25+Formula!E25+Formula!G25+Formula!I25+Formula!K25))*(INDEX(Properties!A$1:CB$87,Formula!J25,46))</f>
        <v>1.1040000000000001</v>
      </c>
      <c r="EK25" s="66">
        <f>Formula!C25*(INDEX(Properties!A$1:CB$87,Formula!B25,46))+Formula!E25*(INDEX(Properties!A$1:CB$87,Formula!D25,46))+Formula!G25*(INDEX(Properties!A$1:CB$87,Formula!F25,46))+Formula!I25*(INDEX(Properties!A$1:CB$87,Formula!H25,46))+Formula!K25*(INDEX(Properties!A$1:CB$87,Formula!J25,46))</f>
        <v>5.52</v>
      </c>
      <c r="EL25" s="66">
        <f>VARP(IF(INDEX(Properties!A$1:CB$87,Formula!B25,46)&lt;&gt;"",INDEX(Properties!A$1:CB$87,Formula!B25,46)),IF(INDEX(Properties!A$1:CB$87,Formula!D25,46)&lt;&gt;"",INDEX(Properties!A$1:CB$87,Formula!D25,46)),IF(INDEX(Properties!A$1:CB$87,Formula!F25,46)&lt;&gt;"",INDEX(Properties!A$1:CB$87,Formula!F25,46)),IF(INDEX(Properties!A$1:CB$87,Formula!H25,46)&lt;&gt;"",INDEX(Properties!A$1:CB$87,Formula!H25,46)),IF(INDEX(Properties!A$1:CB$87,Formula!J25,46)&lt;&gt;"",INDEX(Properties!A$1:CB$87,Formula!J25,46)))</f>
        <v>0.28084000000000009</v>
      </c>
      <c r="EM25" s="66">
        <f>MAX(INDEX(Properties!A$1:CB$87,Formula!B25,46),INDEX(Properties!A$1:CB$87,Formula!D25,46),INDEX(Properties!A$1:CB$87,Formula!F25,46),INDEX(Properties!A$1:CB$87,Formula!H25,46),INDEX(Properties!A$1:CB$87,Formula!J25,46))</f>
        <v>1.21</v>
      </c>
      <c r="EN25" s="66">
        <f>MIN(IF(INDEX(Properties!A$1:CB$87,Formula!B25,46)=0,10^6,INDEX(Properties!A$1:CB$87,Formula!B25,46)),IF(INDEX(Properties!A$1:CB$87,Formula!D25,46)=0,10^6,INDEX(Properties!A$1:CB$87,Formula!D25,46)),IF(INDEX(Properties!A$1:CB$87,Formula!F25,46)=0,10^6,INDEX(Properties!A$1:CB$87,Formula!F25,46)),IF(INDEX(Properties!A$1:CB$87,Formula!H25,46)=0,10^6,INDEX(Properties!A$1:CB$87,Formula!H25,46)),IF(INDEX(Properties!A$1:CB$87,Formula!J25,46)=0,10^6,INDEX(Properties!A$1:CB$87,Formula!J25,46)))</f>
        <v>0.75</v>
      </c>
      <c r="EO25" s="66">
        <f t="shared" si="23"/>
        <v>0.45999999999999996</v>
      </c>
      <c r="EP25" s="81">
        <f>((Formula!C25)/(Formula!C25+Formula!E25+Formula!G25+Formula!I25+Formula!K25))*(INDEX(Properties!A$1:CB$87,Formula!B25,52))+((Formula!E25)/(Formula!C25+Formula!E25+Formula!G25+Formula!I25+Formula!K25))*(INDEX(Properties!A$1:CB$87,Formula!D25,52))+((Formula!G25)/(Formula!C25+Formula!E25+Formula!G25+Formula!I25+Formula!K25))*(INDEX(Properties!A$1:CB$87,Formula!F25,52))+((Formula!I25)/(Formula!C25+Formula!E25+Formula!G25+Formula!I25+Formula!K25))*(INDEX(Properties!A$1:CB$87,Formula!H25,52))+((Formula!K25)/(Formula!C25+Formula!E25+Formula!G25+Formula!I25+Formula!K25))*(INDEX(Properties!A$1:CB$87,Formula!J25,52))</f>
        <v>7.9558</v>
      </c>
      <c r="EQ25" s="81">
        <f>Formula!C25*(INDEX(Properties!A$1:CB$87,Formula!B25,52))+Formula!E25*(INDEX(Properties!A$1:CB$87,Formula!D25,52))+Formula!G25*(INDEX(Properties!A$1:CB$87,Formula!F25,52))+Formula!I25*(INDEX(Properties!A$1:CB$87,Formula!H25,52))+Formula!K25*(INDEX(Properties!A$1:CB$87,Formula!J25,52))</f>
        <v>39.778999999999996</v>
      </c>
      <c r="ER25" s="81">
        <f>VARP(IF(INDEX(Properties!A$1:CB$87,Formula!B25,52)&lt;&gt;"",INDEX(Properties!A$1:CB$87,Formula!B25,52)),IF(INDEX(Properties!A$1:CB$87,Formula!D25,52)&lt;&gt;"",INDEX(Properties!A$1:CB$87,Formula!D25,52)),IF(INDEX(Properties!A$1:CB$87,Formula!F25,52)&lt;&gt;"",INDEX(Properties!A$1:CB$87,Formula!F25,52)),IF(INDEX(Properties!A$1:CB$87,Formula!H25,52)&lt;&gt;"",INDEX(Properties!A$1:CB$87,Formula!H25,52)),IF(INDEX(Properties!A$1:CB$87,Formula!J25,52)&lt;&gt;"",INDEX(Properties!A$1:CB$87,Formula!J25,52)))</f>
        <v>88.377559839999989</v>
      </c>
      <c r="ES25" s="81">
        <f>MAX(INDEX(Properties!A$1:CB$87,Formula!B25,52),INDEX(Properties!A$1:CB$87,Formula!D25,52),INDEX(Properties!A$1:CB$87,Formula!F25,52),INDEX(Properties!A$1:CB$87,Formula!H25,52),INDEX(Properties!A$1:CB$87,Formula!J25,52))</f>
        <v>22.8</v>
      </c>
      <c r="ET25" s="81">
        <f>MIN(IF(INDEX(Properties!A$1:CB$87,Formula!B25,52)=0,10^6,INDEX(Properties!A$1:CB$87,Formula!B25,52)),IF(INDEX(Properties!A$1:CB$87,Formula!D25,52)=0,10^6,INDEX(Properties!A$1:CB$87,Formula!D25,52)),IF(INDEX(Properties!A$1:CB$87,Formula!F25,52)=0,10^6,INDEX(Properties!A$1:CB$87,Formula!F25,52)),IF(INDEX(Properties!A$1:CB$87,Formula!H25,52)=0,10^6,INDEX(Properties!A$1:CB$87,Formula!H25,52)),IF(INDEX(Properties!A$1:CB$87,Formula!J25,52)=0,10^6,INDEX(Properties!A$1:CB$87,Formula!J25,52)))</f>
        <v>0.79300000000000004</v>
      </c>
      <c r="EU25" s="81">
        <f t="shared" si="24"/>
        <v>22.007000000000001</v>
      </c>
      <c r="EV25" s="39">
        <f>((Formula!C25)/(Formula!C25+Formula!E25+Formula!G25+Formula!I25+Formula!K25))*(INDEX(Properties!A$1:CB$87,Formula!B25,53))+((Formula!E25)/(Formula!C25+Formula!E25+Formula!G25+Formula!I25+Formula!K25))*(INDEX(Properties!A$1:CB$87,Formula!D25,53))+((Formula!G25)/(Formula!C25+Formula!E25+Formula!G25+Formula!I25+Formula!K25))*(INDEX(Properties!A$1:CB$87,Formula!F25,53))+((Formula!I25)/(Formula!C25+Formula!E25+Formula!G25+Formula!I25+Formula!K25))*(INDEX(Properties!A$1:CB$87,Formula!H25,53))+((Formula!K25)/(Formula!C25+Formula!E25+Formula!G25+Formula!I25+Formula!K25))*(INDEX(Properties!A$1:CB$87,Formula!J25,53))</f>
        <v>641.91000000000008</v>
      </c>
      <c r="EW25" s="39">
        <f>Formula!C25*(INDEX(Properties!A$1:CB$87,Formula!B25,53))+Formula!E25*(INDEX(Properties!A$1:CB$87,Formula!D25,53))+Formula!G25*(INDEX(Properties!A$1:CB$87,Formula!F25,53))+Formula!I25*(INDEX(Properties!A$1:CB$87,Formula!H25,53))+Formula!K25*(INDEX(Properties!A$1:CB$87,Formula!J25,53))</f>
        <v>3209.55</v>
      </c>
      <c r="EX25" s="39">
        <f>VARP(IF(INDEX(Properties!A$1:CB$87,Formula!B25,53)&lt;&gt;"",INDEX(Properties!A$1:CB$87,Formula!B25,53)),IF(INDEX(Properties!A$1:CB$87,Formula!D25,53)&lt;&gt;"",INDEX(Properties!A$1:CB$87,Formula!D25,53)),IF(INDEX(Properties!A$1:CB$87,Formula!F25,53)&lt;&gt;"",INDEX(Properties!A$1:CB$87,Formula!F25,53)),IF(INDEX(Properties!A$1:CB$87,Formula!H25,53)&lt;&gt;"",INDEX(Properties!A$1:CB$87,Formula!H25,53)),IF(INDEX(Properties!A$1:CB$87,Formula!J25,53)&lt;&gt;"",INDEX(Properties!A$1:CB$87,Formula!J25,53)))</f>
        <v>610976.42140000011</v>
      </c>
      <c r="EY25" s="39">
        <f>MAX(INDEX(Properties!A$1:CB$87,Formula!B25,53),INDEX(Properties!A$1:CB$87,Formula!D25,53),INDEX(Properties!A$1:CB$87,Formula!F25,53),INDEX(Properties!A$1:CB$87,Formula!H25,53),INDEX(Properties!A$1:CB$87,Formula!J25,53))</f>
        <v>1933.15</v>
      </c>
      <c r="EZ25" s="39">
        <f>MIN(IF(INDEX(Properties!A$1:CB$87,Formula!B25,53)=0,10^6,INDEX(Properties!A$1:CB$87,Formula!B25,53)),IF(INDEX(Properties!A$1:CB$87,Formula!D25,53)=0,10^6,INDEX(Properties!A$1:CB$87,Formula!D25,53)),IF(INDEX(Properties!A$1:CB$87,Formula!F25,53)=0,10^6,INDEX(Properties!A$1:CB$87,Formula!F25,53)),IF(INDEX(Properties!A$1:CB$87,Formula!H25,53)=0,10^6,INDEX(Properties!A$1:CB$87,Formula!H25,53)),IF(INDEX(Properties!A$1:CB$87,Formula!J25,53)=0,10^6,INDEX(Properties!A$1:CB$87,Formula!J25,53)))</f>
        <v>54.749999999999972</v>
      </c>
      <c r="FA25" s="39">
        <f t="shared" si="25"/>
        <v>1878.4</v>
      </c>
      <c r="FB25" s="54">
        <f>((Formula!C25)/(Formula!C25+Formula!E25+Formula!G25+Formula!I25+Formula!K25))*(INDEX(Properties!A$1:CB$87,Formula!B25,54))+((Formula!E25)/(Formula!C25+Formula!E25+Formula!G25+Formula!I25+Formula!K25))*(INDEX(Properties!A$1:CB$87,Formula!D25,54))+((Formula!G25)/(Formula!C25+Formula!E25+Formula!G25+Formula!I25+Formula!K25))*(INDEX(Properties!A$1:CB$87,Formula!F25,54))+((Formula!I25)/(Formula!C25+Formula!E25+Formula!G25+Formula!I25+Formula!K25))*(INDEX(Properties!A$1:CB$87,Formula!H25,54))+((Formula!K25)/(Formula!C25+Formula!E25+Formula!G25+Formula!I25+Formula!K25))*(INDEX(Properties!A$1:CB$87,Formula!J25,54))</f>
        <v>1117.55</v>
      </c>
      <c r="FC25" s="54">
        <f>Formula!C25*(INDEX(Properties!A$1:CB$87,Formula!B25,54))+Formula!E25*(INDEX(Properties!A$1:CB$87,Formula!D25,54))+Formula!G25*(INDEX(Properties!A$1:CB$87,Formula!F25,54))+Formula!I25*(INDEX(Properties!A$1:CB$87,Formula!H25,54))+Formula!K25*(INDEX(Properties!A$1:CB$87,Formula!J25,54))</f>
        <v>5587.75</v>
      </c>
      <c r="FD25" s="54">
        <f>VARP(IF(INDEX(Properties!A$1:CB$87,Formula!B25,54)&lt;&gt;"",INDEX(Properties!A$1:CB$87,Formula!B25,54)),IF(INDEX(Properties!A$1:CB$87,Formula!D25,54)&lt;&gt;"",INDEX(Properties!A$1:CB$87,Formula!D25,54)),IF(INDEX(Properties!A$1:CB$87,Formula!F25,54)&lt;&gt;"",INDEX(Properties!A$1:CB$87,Formula!F25,54)),IF(INDEX(Properties!A$1:CB$87,Formula!H25,54)&lt;&gt;"",INDEX(Properties!A$1:CB$87,Formula!H25,54)),IF(INDEX(Properties!A$1:CB$87,Formula!J25,54)&lt;&gt;"",INDEX(Properties!A$1:CB$87,Formula!J25,54)))</f>
        <v>1984453.6134000004</v>
      </c>
      <c r="FE25" s="54">
        <f>MAX(INDEX(Properties!A$1:CB$87,Formula!B25,54),INDEX(Properties!A$1:CB$87,Formula!D25,54),INDEX(Properties!A$1:CB$87,Formula!F25,54),INDEX(Properties!A$1:CB$87,Formula!H25,54),INDEX(Properties!A$1:CB$87,Formula!J25,54))</f>
        <v>3560.15</v>
      </c>
      <c r="FF25" s="54">
        <f>MIN(IF(INDEX(Properties!A$1:CB$87,Formula!B25,54)=0,10^6,INDEX(Properties!A$1:CB$87,Formula!B25,54)),IF(INDEX(Properties!A$1:CB$87,Formula!D25,54)=0,10^6,INDEX(Properties!A$1:CB$87,Formula!D25,54)),IF(INDEX(Properties!A$1:CB$87,Formula!F25,54)=0,10^6,INDEX(Properties!A$1:CB$87,Formula!F25,54)),IF(INDEX(Properties!A$1:CB$87,Formula!H25,54)=0,10^6,INDEX(Properties!A$1:CB$87,Formula!H25,54)),IF(INDEX(Properties!A$1:CB$87,Formula!J25,54)=0,10^6,INDEX(Properties!A$1:CB$87,Formula!J25,54)))</f>
        <v>90.149999999999977</v>
      </c>
      <c r="FG25" s="54">
        <f t="shared" si="26"/>
        <v>3470</v>
      </c>
      <c r="FH25" s="69">
        <f>((Formula!C25)/(Formula!C25+Formula!E25+Formula!G25+Formula!I25+Formula!K25))*(INDEX(Properties!A$1:CB$87,Formula!B25,55))+((Formula!E25)/(Formula!C25+Formula!E25+Formula!G25+Formula!I25+Formula!K25))*(INDEX(Properties!A$1:CB$87,Formula!D25,55))+((Formula!G25)/(Formula!C25+Formula!E25+Formula!G25+Formula!I25+Formula!K25))*(INDEX(Properties!A$1:CB$87,Formula!F25,55))+((Formula!I25)/(Formula!C25+Formula!E25+Formula!G25+Formula!I25+Formula!K25))*(INDEX(Properties!A$1:CB$87,Formula!H25,55))+((Formula!K25)/(Formula!C25+Formula!E25+Formula!G25+Formula!I25+Formula!K25))*(INDEX(Properties!A$1:CB$87,Formula!J25,55))</f>
        <v>1.218858</v>
      </c>
      <c r="FI25" s="69">
        <f>Formula!C25*(INDEX(Properties!A$1:CB$87,Formula!B25,55))+Formula!E25*(INDEX(Properties!A$1:CB$87,Formula!D25,54))+Formula!G25*(INDEX(Properties!A$1:CB$87,Formula!F25,55))+Formula!I25*(INDEX(Properties!A$1:CB$87,Formula!H25,55))+Formula!K25*(INDEX(Properties!A$1:CB$87,Formula!J25,55))</f>
        <v>3561.7042900000001</v>
      </c>
      <c r="FJ25" s="69">
        <f>VARP(IF(INDEX(Properties!A$1:CB$87,Formula!B25,55)&lt;&gt;"",INDEX(Properties!A$1:CB$87,Formula!B25,55)),IF(INDEX(Properties!A$1:CB$87,Formula!D25,55)&lt;&gt;"",INDEX(Properties!A$1:CB$87,Formula!D25,55)),IF(INDEX(Properties!A$1:CB$87,Formula!F25,55)&lt;&gt;"",INDEX(Properties!A$1:CB$87,Formula!F25,55)),IF(INDEX(Properties!A$1:CB$87,Formula!H25,55)&lt;&gt;"",INDEX(Properties!A$1:CB$87,Formula!H25,55)),IF(INDEX(Properties!A$1:CB$87,Formula!J25,55)&lt;&gt;"",INDEX(Properties!A$1:CB$87,Formula!J25,55)))</f>
        <v>3.1185996311839999</v>
      </c>
      <c r="FK25" s="69">
        <f>MAX(INDEX(Properties!A$1:CB$87,Formula!B25,55),INDEX(Properties!A$1:CB$87,Formula!D25,55),INDEX(Properties!A$1:CB$87,Formula!F25,55),INDEX(Properties!A$1:CB$87,Formula!H25,55),INDEX(Properties!A$1:CB$87,Formula!J25,55))</f>
        <v>4.54</v>
      </c>
      <c r="FL25" s="69">
        <f>MIN(IF(INDEX(Properties!A$1:CB$87,Formula!B25,55)=0,10^6,INDEX(Properties!A$1:CB$87,Formula!B25,55)),IF(INDEX(Properties!A$1:CB$87,Formula!D25,55)=0,10^6,INDEX(Properties!A$1:CB$87,Formula!D25,55)),IF(INDEX(Properties!A$1:CB$87,Formula!F25,55)=0,10^6,INDEX(Properties!A$1:CB$87,Formula!F25,55)),IF(INDEX(Properties!A$1:CB$87,Formula!H25,55)=0,10^6,INDEX(Properties!A$1:CB$87,Formula!H25,55)),IF(INDEX(Properties!A$1:CB$87,Formula!J25,55)=0,10^6,INDEX(Properties!A$1:CB$87,Formula!J25,55)))</f>
        <v>1.4300000000000001E-3</v>
      </c>
      <c r="FM25" s="69">
        <f t="shared" si="27"/>
        <v>4.53857</v>
      </c>
      <c r="FN25" s="42">
        <f>((Formula!C25)/(Formula!C25+Formula!E25+Formula!G25+Formula!I25+Formula!K25))*(INDEX(Properties!A$1:CB$87,Formula!B25,56))+((Formula!E25)/(Formula!C25+Formula!E25+Formula!G25+Formula!I25+Formula!K25))*(INDEX(Properties!A$1:CB$87,Formula!D25,56))+((Formula!G25)/(Formula!C25+Formula!E25+Formula!G25+Formula!I25+Formula!K25))*(INDEX(Properties!A$1:CB$87,Formula!F25,56))+((Formula!I25)/(Formula!C25+Formula!E25+Formula!G25+Formula!I25+Formula!K25))*(INDEX(Properties!A$1:CB$87,Formula!H25,56))+((Formula!K25)/(Formula!C25+Formula!E25+Formula!G25+Formula!I25+Formula!K25))*(INDEX(Properties!A$1:CB$87,Formula!J25,56))</f>
        <v>0.78200000000000003</v>
      </c>
      <c r="FO25" s="42">
        <f>Formula!C25*(INDEX(Properties!A$1:CB$87,Formula!B25,56))+Formula!E25*(INDEX(Properties!A$1:CB$87,Formula!D25,56))+Formula!G25*(INDEX(Properties!A$1:CB$87,Formula!F25,56))+Formula!I25*(INDEX(Properties!A$1:CB$87,Formula!H25,56))+Formula!K25*(INDEX(Properties!A$1:CB$87,Formula!J25,56))</f>
        <v>3.91</v>
      </c>
      <c r="FP25" s="42">
        <f>VARP(IF(INDEX(Properties!A$1:CB$87,Formula!B25,56)&lt;&gt;"",INDEX(Properties!A$1:CB$87,Formula!B25,56)),IF(INDEX(Properties!A$1:CB$87,Formula!D25,56)&lt;&gt;"",INDEX(Properties!A$1:CB$87,Formula!D25,56)),IF(INDEX(Properties!A$1:CB$87,Formula!F25,56)&lt;&gt;"",INDEX(Properties!A$1:CB$87,Formula!F25,56)),IF(INDEX(Properties!A$1:CB$87,Formula!H25,56)&lt;&gt;"",INDEX(Properties!A$1:CB$87,Formula!H25,56)),IF(INDEX(Properties!A$1:CB$87,Formula!J25,56)&lt;&gt;"",INDEX(Properties!A$1:CB$87,Formula!J25,56)))</f>
        <v>0.13134400000000002</v>
      </c>
      <c r="FQ25" s="42">
        <f>MAX(INDEX(Properties!A$1:CB$87,Formula!B25,56),INDEX(Properties!A$1:CB$87,Formula!D25,56),INDEX(Properties!A$1:CB$87,Formula!F25,56),INDEX(Properties!A$1:CB$87,Formula!H25,56),INDEX(Properties!A$1:CB$87,Formula!J25,56))</f>
        <v>0.92</v>
      </c>
      <c r="FR25" s="42">
        <f>MIN(IF(INDEX(Properties!A$1:CB$87,Formula!B25,56)=0,10^6,INDEX(Properties!A$1:CB$87,Formula!B25,56)),IF(INDEX(Properties!A$1:CB$87,Formula!D25,56)=0,10^6,INDEX(Properties!A$1:CB$87,Formula!D25,56)),IF(INDEX(Properties!A$1:CB$87,Formula!F25,56)=0,10^6,INDEX(Properties!A$1:CB$87,Formula!F25,56)),IF(INDEX(Properties!A$1:CB$87,Formula!H25,56)=0,10^6,INDEX(Properties!A$1:CB$87,Formula!H25,56)),IF(INDEX(Properties!A$1:CB$87,Formula!J25,56)=0,10^6,INDEX(Properties!A$1:CB$87,Formula!J25,56)))</f>
        <v>0.52</v>
      </c>
      <c r="FS25" s="42">
        <f t="shared" si="28"/>
        <v>0.4</v>
      </c>
      <c r="FT25" s="60">
        <f>((Formula!C25)/(Formula!C25+Formula!E25+Formula!G25+Formula!I25+Formula!K25))*(INDEX(Properties!A$1:CB$87,Formula!B25,57))+((Formula!E25)/(Formula!C25+Formula!E25+Formula!G25+Formula!I25+Formula!K25))*(INDEX(Properties!A$1:CB$87,Formula!D25,57))+((Formula!G25)/(Formula!C25+Formula!E25+Formula!G25+Formula!I25+Formula!K25))*(INDEX(Properties!A$1:CB$87,Formula!F25,57))+((Formula!I25)/(Formula!C25+Formula!E25+Formula!G25+Formula!I25+Formula!K25))*(INDEX(Properties!A$1:CB$87,Formula!H25,57))+((Formula!K25)/(Formula!C25+Formula!E25+Formula!G25+Formula!I25+Formula!K25))*(INDEX(Properties!A$1:CB$87,Formula!J25,57))</f>
        <v>4.9315540000000002</v>
      </c>
      <c r="FU25" s="60">
        <f>Formula!C25*(INDEX(Properties!A$1:CB$87,Formula!B25,57))+Formula!E25*(INDEX(Properties!A$1:CB$87,Formula!D25,57))+Formula!G25*(INDEX(Properties!A$1:CB$87,Formula!F25,57))+Formula!I25*(INDEX(Properties!A$1:CB$87,Formula!H25,57))+Formula!K25*(INDEX(Properties!A$1:CB$87,Formula!J25,57))</f>
        <v>24.657769999999999</v>
      </c>
      <c r="FV25" s="60">
        <f>VARP(IF(INDEX(Properties!A$1:CB$87,Formula!B25,57)&lt;&gt;"",INDEX(Properties!A$1:CB$87,Formula!B25,57)),IF(INDEX(Properties!A$1:CB$87,Formula!D25,57)&lt;&gt;"",INDEX(Properties!A$1:CB$87,Formula!D25,57)),IF(INDEX(Properties!A$1:CB$87,Formula!F25,57)&lt;&gt;"",INDEX(Properties!A$1:CB$87,Formula!F25,57)),IF(INDEX(Properties!A$1:CB$87,Formula!H25,57)&lt;&gt;"",INDEX(Properties!A$1:CB$87,Formula!H25,57)),IF(INDEX(Properties!A$1:CB$87,Formula!J25,57)&lt;&gt;"",INDEX(Properties!A$1:CB$87,Formula!J25,57)))</f>
        <v>38.886748681295991</v>
      </c>
      <c r="FW25" s="60">
        <f>MAX(INDEX(Properties!A$1:CB$87,Formula!B25,57),INDEX(Properties!A$1:CB$87,Formula!D25,57),INDEX(Properties!A$1:CB$87,Formula!F25,57),INDEX(Properties!A$1:CB$87,Formula!H25,57),INDEX(Properties!A$1:CB$87,Formula!J25,57))</f>
        <v>15.45</v>
      </c>
      <c r="FX25" s="60">
        <f>MIN(IF(INDEX(Properties!A$1:CB$87,Formula!B25,57)=0,10^6,INDEX(Properties!A$1:CB$87,Formula!B25,57)),IF(INDEX(Properties!A$1:CB$87,Formula!D25,57)=0,10^6,INDEX(Properties!A$1:CB$87,Formula!D25,57)),IF(INDEX(Properties!A$1:CB$87,Formula!F25,57)=0,10^6,INDEX(Properties!A$1:CB$87,Formula!F25,57)),IF(INDEX(Properties!A$1:CB$87,Formula!H25,57)=0,10^6,INDEX(Properties!A$1:CB$87,Formula!H25,57)),IF(INDEX(Properties!A$1:CB$87,Formula!J25,57)=0,10^6,INDEX(Properties!A$1:CB$87,Formula!J25,57)))</f>
        <v>0.22259000000000001</v>
      </c>
      <c r="FY25" s="60">
        <f t="shared" si="29"/>
        <v>15.227409999999999</v>
      </c>
      <c r="FZ25" s="72">
        <f>((Formula!C25)/(Formula!C25+Formula!E25+Formula!G25+Formula!I25+Formula!K25))*(INDEX(Properties!A$1:CB$87,Formula!B25,60))+((Formula!E25)/(Formula!C25+Formula!E25+Formula!G25+Formula!I25+Formula!K25))*(INDEX(Properties!A$1:CB$87,Formula!D25,60))+((Formula!G25)/(Formula!C25+Formula!E25+Formula!G25+Formula!I25+Formula!K25))*(INDEX(Properties!A$1:CB$87,Formula!F25,60))+((Formula!I25)/(Formula!C25+Formula!E25+Formula!G25+Formula!I25+Formula!K25))*(INDEX(Properties!A$1:CB$87,Formula!H25,60))+((Formula!K25)/(Formula!C25+Formula!E25+Formula!G25+Formula!I25+Formula!K25))*(INDEX(Properties!A$1:CB$87,Formula!J25,60))</f>
        <v>44.396044000000003</v>
      </c>
      <c r="GA25" s="72">
        <f>Formula!C25*(INDEX(Properties!A$1:CB$87,Formula!B25,60))+Formula!E25*(INDEX(Properties!A$1:CB$87,Formula!D25,60))+Formula!G25*(INDEX(Properties!A$1:CB$87,Formula!F25,60))+Formula!I25*(INDEX(Properties!A$1:CB$87,Formula!H25,60))+Formula!K25*(INDEX(Properties!A$1:CB$87,Formula!J25,60))</f>
        <v>221.98022</v>
      </c>
      <c r="GB25" s="72">
        <f>VARP(IF(INDEX(Properties!A$1:CB$87,Formula!B25,60)&lt;&gt;"",INDEX(Properties!A$1:CB$87,Formula!B25,60)),IF(INDEX(Properties!A$1:CB$87,Formula!D25,60)&lt;&gt;"",INDEX(Properties!A$1:CB$87,Formula!D25,60)),IF(INDEX(Properties!A$1:CB$87,Formula!F25,60)&lt;&gt;"",INDEX(Properties!A$1:CB$87,Formula!F25,60)),IF(INDEX(Properties!A$1:CB$87,Formula!H25,60)&lt;&gt;"",INDEX(Properties!A$1:CB$87,Formula!H25,60)),IF(INDEX(Properties!A$1:CB$87,Formula!J25,60)&lt;&gt;"",INDEX(Properties!A$1:CB$87,Formula!J25,60)))</f>
        <v>6125.8630259244164</v>
      </c>
      <c r="GC25" s="72">
        <f>MAX(INDEX(Properties!A$1:CB$87,Formula!B25,60),INDEX(Properties!A$1:CB$87,Formula!D25,60),INDEX(Properties!A$1:CB$87,Formula!F25,60),INDEX(Properties!A$1:CB$87,Formula!H25,60),INDEX(Properties!A$1:CB$87,Formula!J25,60))</f>
        <v>200</v>
      </c>
      <c r="GD25" s="72">
        <f>MIN(IF(INDEX(Properties!A$1:CB$87,Formula!B25,60)=0,10^6,INDEX(Properties!A$1:CB$87,Formula!B25,60)),IF(INDEX(Properties!A$1:CB$87,Formula!D25,60)=0,10^6,INDEX(Properties!A$1:CB$87,Formula!D25,60)),IF(INDEX(Properties!A$1:CB$87,Formula!F25,60)=0,10^6,INDEX(Properties!A$1:CB$87,Formula!F25,60)),IF(INDEX(Properties!A$1:CB$87,Formula!H25,60)=0,10^6,INDEX(Properties!A$1:CB$87,Formula!H25,60)),IF(INDEX(Properties!A$1:CB$87,Formula!J25,60)=0,10^6,INDEX(Properties!A$1:CB$87,Formula!J25,60)))</f>
        <v>2.674E-2</v>
      </c>
      <c r="GE25" s="72">
        <f t="shared" si="30"/>
        <v>199.97326000000001</v>
      </c>
      <c r="GF25" s="51">
        <f>((Formula!C25)/(Formula!C25+Formula!E25+Formula!G25+Formula!I25+Formula!K25))*(INDEX(Properties!A$1:CB$87,Formula!B25,62))+((Formula!E25)/(Formula!C25+Formula!E25+Formula!G25+Formula!I25+Formula!K25))*(INDEX(Properties!A$1:CB$87,Formula!D25,62))+((Formula!G25)/(Formula!C25+Formula!E25+Formula!G25+Formula!I25+Formula!K25))*(INDEX(Properties!A$1:CB$87,Formula!F25,62))+((Formula!I25)/(Formula!C25+Formula!E25+Formula!G25+Formula!I25+Formula!K25))*(INDEX(Properties!A$1:CB$87,Formula!H25,62))+((Formula!K25)/(Formula!C25+Formula!E25+Formula!G25+Formula!I25+Formula!K25))*(INDEX(Properties!A$1:CB$87,Formula!J25,62))</f>
        <v>2.91</v>
      </c>
      <c r="GG25" s="51">
        <f>Formula!C25*(INDEX(Properties!A$1:CB$87,Formula!B25,62))+Formula!E25*(INDEX(Properties!A$1:CB$87,Formula!D25,62))+Formula!G25*(INDEX(Properties!A$1:CB$87,Formula!F25,62))+Formula!I25*(INDEX(Properties!A$1:CB$87,Formula!H25,62))+Formula!K25*(INDEX(Properties!A$1:CB$87,Formula!J25,62))</f>
        <v>14.55</v>
      </c>
      <c r="GH25" s="51">
        <f>VARP(IF(INDEX(Properties!A$1:CB$87,Formula!B25,62)&lt;&gt;"",INDEX(Properties!A$1:CB$87,Formula!B25,62)),IF(INDEX(Properties!A$1:CB$87,Formula!D25,62)&lt;&gt;"",INDEX(Properties!A$1:CB$87,Formula!D25,62)),IF(INDEX(Properties!A$1:CB$87,Formula!F25,62)&lt;&gt;"",INDEX(Properties!A$1:CB$87,Formula!F25,62)),IF(INDEX(Properties!A$1:CB$87,Formula!H25,62)&lt;&gt;"",INDEX(Properties!A$1:CB$87,Formula!H25,62)),IF(INDEX(Properties!A$1:CB$87,Formula!J25,62)&lt;&gt;"",INDEX(Properties!A$1:CB$87,Formula!J25,62)))</f>
        <v>3.2874560000000015</v>
      </c>
      <c r="GI25" s="51">
        <f>MAX(INDEX(Properties!A$1:CB$87,Formula!B25,62),INDEX(Properties!A$1:CB$87,Formula!D25,62),INDEX(Properties!A$1:CB$87,Formula!F25,62),INDEX(Properties!A$1:CB$87,Formula!H25,62),INDEX(Properties!A$1:CB$87,Formula!J25,62))</f>
        <v>4.8499999999999996</v>
      </c>
      <c r="GJ25" s="51">
        <f>MIN(IF(INDEX(Properties!A$1:CB$87,Formula!B25,62)=0,10^6,INDEX(Properties!A$1:CB$87,Formula!B25,62)),IF(INDEX(Properties!A$1:CB$87,Formula!D25,62)=0,10^6,INDEX(Properties!A$1:CB$87,Formula!D25,62)),IF(INDEX(Properties!A$1:CB$87,Formula!F25,62)=0,10^6,INDEX(Properties!A$1:CB$87,Formula!F25,62)),IF(INDEX(Properties!A$1:CB$87,Formula!H25,62)=0,10^6,INDEX(Properties!A$1:CB$87,Formula!H25,62)),IF(INDEX(Properties!A$1:CB$87,Formula!J25,62)=0,10^6,INDEX(Properties!A$1:CB$87,Formula!J25,62)))</f>
        <v>1.84</v>
      </c>
      <c r="GK25" s="51">
        <f t="shared" si="31"/>
        <v>3.01</v>
      </c>
      <c r="GL25" s="51">
        <f>Formula!P25</f>
        <v>62</v>
      </c>
      <c r="GM25" s="57">
        <f>Formula!O25</f>
        <v>3</v>
      </c>
      <c r="GN25" s="51">
        <f>Formula!N25</f>
        <v>0.03</v>
      </c>
    </row>
    <row r="26" spans="1:196" x14ac:dyDescent="0.3">
      <c r="A26" s="84" t="str">
        <f>Formula!A26</f>
        <v>Ca2SiO4</v>
      </c>
      <c r="B26" s="89">
        <f>((Formula!C26)/(Formula!C26+Formula!E26+Formula!G26+Formula!I26+Formula!K26))*(INDEX(Properties!A$1:CB$87,Formula!B26,3))+((Formula!E26)/(Formula!C26+Formula!E26+Formula!G26+Formula!I26+Formula!K26))*(INDEX(Properties!A$1:CB$87,Formula!D26,3))+((Formula!G26)/(Formula!C26+Formula!E26+Formula!G26+Formula!I26+Formula!K26))*(INDEX(Properties!A$1:CB$87,Formula!F26,3))+((Formula!I26)/(Formula!C26+Formula!E26+Formula!G26+Formula!I26+Formula!K26))*(INDEX(Properties!A$1:CB$87,Formula!H26,3))+((Formula!K26)/(Formula!C26+Formula!E26+Formula!G26+Formula!I26+Formula!K26))*(INDEX(Properties!A$1:CB$87,Formula!J26,3))</f>
        <v>24.605585714285713</v>
      </c>
      <c r="C26" s="85">
        <f>Formula!C26*(INDEX(Properties!A$1:CB$87,Formula!B26,3))+Formula!E26*(INDEX(Properties!A$1:CB$87,Formula!D26,3))+Formula!G26*(INDEX(Properties!A$1:CB$87,Formula!F26,3))+Formula!I26*(INDEX(Properties!A$1:CB$87,Formula!H26,3))+Formula!K26*(INDEX(Properties!A$1:CB$87,Formula!J26,3))</f>
        <v>172.23910000000001</v>
      </c>
      <c r="D26" s="85">
        <f>VARP(IF(INDEX(Properties!A$1:CB$87,Formula!B26,3)&lt;&gt;"",INDEX(Properties!A$1:CB$87,Formula!B26,3)),IF(INDEX(Properties!A$1:CB$87,Formula!D26,3)&lt;&gt;"",INDEX(Properties!A$1:CB$87,Formula!D26,3)),IF(INDEX(Properties!A$1:CB$87,Formula!F26,3)&lt;&gt;"",INDEX(Properties!A$1:CB$87,Formula!F26,3)),IF(INDEX(Properties!A$1:CB$87,Formula!H26,3)&lt;&gt;"",INDEX(Properties!A$1:CB$87,Formula!H26,3)),IF(INDEX(Properties!A$1:CB$87,Formula!J26,3)&lt;&gt;"",INDEX(Properties!A$1:CB$87,Formula!J26,3)))</f>
        <v>246.86868946560014</v>
      </c>
      <c r="E26" s="85">
        <f>MAX(INDEX(Properties!A$1:CB$87,Formula!B26,3),INDEX(Properties!A$1:CB$87,Formula!D26,3),INDEX(Properties!A$1:CB$87,Formula!F26,3),INDEX(Properties!A$1:CB$87,Formula!H26,3),INDEX(Properties!A$1:CB$87,Formula!J26,3))</f>
        <v>40.078000000000003</v>
      </c>
      <c r="F26" s="85">
        <f>MIN(IF(INDEX(Properties!A$1:CB$87,Formula!B26,3)=0,10^6,INDEX(Properties!A$1:CB$87,Formula!B26,3)),IF(INDEX(Properties!A$1:CB$87,Formula!D26,3)=0,10^6,INDEX(Properties!A$1:CB$87,Formula!D26,3)),IF(INDEX(Properties!A$1:CB$87,Formula!F26,3)=0,10^6,INDEX(Properties!A$1:CB$87,Formula!F26,3)),IF(INDEX(Properties!A$1:CB$87,Formula!H26,3)=0,10^6,INDEX(Properties!A$1:CB$87,Formula!H26,3)),IF(INDEX(Properties!A$1:CB$87,Formula!J26,3)=0,10^6,INDEX(Properties!A$1:CB$87,Formula!J26,3)))</f>
        <v>15.9994</v>
      </c>
      <c r="G26" s="85">
        <f t="shared" si="0"/>
        <v>24.078600000000002</v>
      </c>
      <c r="H26" s="87">
        <f>((Formula!C26)/(Formula!C26+Formula!E26+Formula!G26+Formula!I26+Formula!K26))*(INDEX(Properties!A$1:CB$87,Formula!B26,4))+((Formula!E26)/(Formula!C26+Formula!E26+Formula!G26+Formula!I26+Formula!K26))*(INDEX(Properties!A$1:CB$87,Formula!D26,4))+((Formula!G26)/(Formula!C26+Formula!E26+Formula!G26+Formula!I26+Formula!K26))*(INDEX(Properties!A$1:CB$87,Formula!F26,4))+((Formula!I26)/(Formula!C26+Formula!E26+Formula!G26+Formula!I26+Formula!K26))*(INDEX(Properties!A$1:CB$87,Formula!H26,4))+((Formula!K26)/(Formula!C26+Formula!E26+Formula!G26+Formula!I26+Formula!K26))*(INDEX(Properties!A$1:CB$87,Formula!J26,4))</f>
        <v>12.285714285714285</v>
      </c>
      <c r="I26" s="87">
        <f>Formula!C26*(INDEX(Properties!A$1:CB$87,Formula!B26,4))+Formula!E26*(INDEX(Properties!A$1:CB$87,Formula!D26,4))+Formula!G26*(INDEX(Properties!A$1:CB$87,Formula!F26,4))+Formula!I26*(INDEX(Properties!A$1:CB$87,Formula!H26,4))+Formula!K26*(INDEX(Properties!A$1:CB$87,Formula!J26,4))</f>
        <v>86</v>
      </c>
      <c r="J26" s="87">
        <f>VARP(IF(INDEX(Properties!A$1:CB$87,Formula!B26,4)&lt;&gt;"",INDEX(Properties!A$1:CB$87,Formula!B26,4)),IF(INDEX(Properties!A$1:CB$87,Formula!D26,4)&lt;&gt;"",INDEX(Properties!A$1:CB$87,Formula!D26,4)),IF(INDEX(Properties!A$1:CB$87,Formula!F26,4)&lt;&gt;"",INDEX(Properties!A$1:CB$87,Formula!F26,4)),IF(INDEX(Properties!A$1:CB$87,Formula!H26,4)&lt;&gt;"",INDEX(Properties!A$1:CB$87,Formula!H26,4)),IF(INDEX(Properties!A$1:CB$87,Formula!J26,4)&lt;&gt;"",INDEX(Properties!A$1:CB$87,Formula!J26,4)))</f>
        <v>61.44</v>
      </c>
      <c r="K26" s="87">
        <f>MAX(INDEX(Properties!A$1:CB$87,Formula!B26,4),INDEX(Properties!A$1:CB$87,Formula!D26,4),INDEX(Properties!A$1:CB$87,Formula!F26,4),INDEX(Properties!A$1:CB$87,Formula!H26,4),INDEX(Properties!A$1:CB$87,Formula!J26,4))</f>
        <v>20</v>
      </c>
      <c r="L26" s="87">
        <f>MIN(IF(INDEX(Properties!A$1:CB$87,Formula!B26,4)=0,10^6,INDEX(Properties!A$1:CB$87,Formula!B26,4)),IF(INDEX(Properties!A$1:CB$87,Formula!D26,4)=0,10^6,INDEX(Properties!A$1:CB$87,Formula!D26,4)),IF(INDEX(Properties!A$1:CB$87,Formula!F26,4)=0,10^6,INDEX(Properties!A$1:CB$87,Formula!F26,4)),IF(INDEX(Properties!A$1:CB$87,Formula!H26,4)=0,10^6,INDEX(Properties!A$1:CB$87,Formula!H26,4)),IF(INDEX(Properties!A$1:CB$87,Formula!J26,4)=0,10^6,INDEX(Properties!A$1:CB$87,Formula!J26,4)))</f>
        <v>8</v>
      </c>
      <c r="M26" s="87">
        <f t="shared" si="1"/>
        <v>12</v>
      </c>
      <c r="N26" s="89">
        <f>((Formula!C26)/(Formula!C26+Formula!E26+Formula!G26+Formula!I26+Formula!K26))*(INDEX(Properties!A$1:CB$87,Formula!B26,5))+((Formula!E26)/(Formula!C26+Formula!E26+Formula!G26+Formula!I26+Formula!K26))*(INDEX(Properties!A$1:CB$87,Formula!D26,5))+((Formula!G26)/(Formula!C26+Formula!E26+Formula!G26+Formula!I26+Formula!K26))*(INDEX(Properties!A$1:CB$87,Formula!F26,5))+((Formula!I26)/(Formula!C26+Formula!E26+Formula!G26+Formula!I26+Formula!K26))*(INDEX(Properties!A$1:CB$87,Formula!H26,5))+((Formula!K26)/(Formula!C26+Formula!E26+Formula!G26+Formula!I26+Formula!K26))*(INDEX(Properties!A$1:CB$87,Formula!J26,5))</f>
        <v>2.7142857142857144</v>
      </c>
      <c r="O26" s="89">
        <f>Formula!C26*(INDEX(Properties!A$1:CB$87,Formula!B26,5))+Formula!E26*(INDEX(Properties!A$1:CB$87,Formula!D26,5))+Formula!G26*(INDEX(Properties!A$1:CB$87,Formula!F26,5))+Formula!I26*(INDEX(Properties!A$1:CB$87,Formula!H26,5))+Formula!K26*(INDEX(Properties!A$1:CB$87,Formula!J26,5))</f>
        <v>19</v>
      </c>
      <c r="P26" s="89">
        <f>VARP(IF(INDEX(Properties!A$1:CB$87,Formula!B26,5)&lt;&gt;"",INDEX(Properties!A$1:CB$87,Formula!B26,5)),IF(INDEX(Properties!A$1:CB$87,Formula!D26,5)&lt;&gt;"",INDEX(Properties!A$1:CB$87,Formula!D26,5)),IF(INDEX(Properties!A$1:CB$87,Formula!F26,5)&lt;&gt;"",INDEX(Properties!A$1:CB$87,Formula!F26,5)),IF(INDEX(Properties!A$1:CB$87,Formula!H26,5)&lt;&gt;"",INDEX(Properties!A$1:CB$87,Formula!H26,5)),IF(INDEX(Properties!A$1:CB$87,Formula!J26,5)&lt;&gt;"",INDEX(Properties!A$1:CB$87,Formula!J26,5)))</f>
        <v>2.56</v>
      </c>
      <c r="Q26" s="89">
        <f>MAX(INDEX(Properties!A$1:CB$87,Formula!B26,5),INDEX(Properties!A$1:CB$87,Formula!D26,5),INDEX(Properties!A$1:CB$87,Formula!F26,5),INDEX(Properties!A$1:CB$87,Formula!H26,5),INDEX(Properties!A$1:CB$87,Formula!J26,5))</f>
        <v>4</v>
      </c>
      <c r="R26" s="89">
        <f>MIN(IF(INDEX(Properties!A$1:CB$87,Formula!B26,5)=0,10^6,INDEX(Properties!A$1:CB$87,Formula!B26,5)),IF(INDEX(Properties!A$1:CB$87,Formula!D26,5)=0,10^6,INDEX(Properties!A$1:CB$87,Formula!D26,5)),IF(INDEX(Properties!A$1:CB$87,Formula!F26,5)=0,10^6,INDEX(Properties!A$1:CB$87,Formula!F26,5)),IF(INDEX(Properties!A$1:CB$87,Formula!H26,5)=0,10^6,INDEX(Properties!A$1:CB$87,Formula!H26,5)),IF(INDEX(Properties!A$1:CB$87,Formula!J26,5)=0,10^6,INDEX(Properties!A$1:CB$87,Formula!J26,5)))</f>
        <v>2</v>
      </c>
      <c r="S26" s="89">
        <f t="shared" si="2"/>
        <v>2</v>
      </c>
      <c r="T26" s="60">
        <f>((Formula!C26)/(Formula!C26+Formula!E26+Formula!G26+Formula!I26+Formula!K26))*(INDEX(Properties!A$1:CB$87,Formula!B26,6))+((Formula!E26)/(Formula!C26+Formula!E26+Formula!G26+Formula!I26+Formula!K26))*(INDEX(Properties!A$1:CB$87,Formula!D26,6))+((Formula!G26)/(Formula!C26+Formula!E26+Formula!G26+Formula!I26+Formula!K26))*(INDEX(Properties!A$1:CB$87,Formula!F26,6))+((Formula!I26)/(Formula!C26+Formula!E26+Formula!G26+Formula!I26+Formula!K26))*(INDEX(Properties!A$1:CB$87,Formula!H26,6))+((Formula!K26)/(Formula!C26+Formula!E26+Formula!G26+Formula!I26+Formula!K26))*(INDEX(Properties!A$1:CB$87,Formula!J26,6))</f>
        <v>11.714285714285714</v>
      </c>
      <c r="U26" s="60">
        <f>Formula!C26*(INDEX(Properties!A$1:CB$87,Formula!B26,6))+Formula!E26*(INDEX(Properties!A$1:CB$87,Formula!D26,6))+Formula!G26*(INDEX(Properties!A$1:CB$87,Formula!F26,6))+Formula!I26*(INDEX(Properties!A$1:CB$87,Formula!H26,6))+Formula!K26*(INDEX(Properties!A$1:CB$87,Formula!J26,6))</f>
        <v>82</v>
      </c>
      <c r="V26" s="89">
        <f>VARP(IF(INDEX(Properties!A$1:CB$87,Formula!B26,6)&lt;&gt;"",INDEX(Properties!A$1:CB$87,Formula!B26,6)),IF(INDEX(Properties!A$1:CB$87,Formula!D26,6)&lt;&gt;"",INDEX(Properties!A$1:CB$87,Formula!D26,6)),IF(INDEX(Properties!A$1:CB$87,Formula!F26,6)&lt;&gt;"",INDEX(Properties!A$1:CB$87,Formula!F26,6)),IF(INDEX(Properties!A$1:CB$87,Formula!H26,6)&lt;&gt;"",INDEX(Properties!A$1:CB$87,Formula!H26,6)),IF(INDEX(Properties!A$1:CB$87,Formula!J26,6)&lt;&gt;"",INDEX(Properties!A$1:CB$87,Formula!J26,6)))</f>
        <v>50.24</v>
      </c>
      <c r="W26" s="60">
        <f>MAX(INDEX(Properties!A$1:CB$87,Formula!B26,6),INDEX(Properties!A$1:CB$87,Formula!D26,6),INDEX(Properties!A$1:CB$87,Formula!F26,6),INDEX(Properties!A$1:CB$87,Formula!H26,4),INDEX(Properties!A$1:CB$87,Formula!J26,6))</f>
        <v>16</v>
      </c>
      <c r="X26" s="60">
        <f>MIN(IF(INDEX(Properties!A$1:CB$87,Formula!B26,6)=0,10^6,INDEX(Properties!A$1:CB$87,Formula!B26,6)),IF(INDEX(Properties!A$1:CB$87,Formula!D26,6)=0,10^6,INDEX(Properties!A$1:CB$87,Formula!D26,6)),IF(INDEX(Properties!A$1:CB$87,Formula!F26,6)=0,10^6,INDEX(Properties!A$1:CB$87,Formula!F26,6)),IF(INDEX(Properties!A$1:CB$87,Formula!H26,6)=0,10^6,INDEX(Properties!A$1:CB$87,Formula!H26,6)),IF(INDEX(Properties!A$1:CB$87,Formula!J26,6)=0,10^6,INDEX(Properties!A$1:CB$87,Formula!J26,6)))</f>
        <v>2</v>
      </c>
      <c r="Y26" s="60">
        <f t="shared" si="3"/>
        <v>14</v>
      </c>
      <c r="Z26" s="72">
        <f>((Formula!C26)/(Formula!C26+Formula!E26+Formula!G26+Formula!I26+Formula!K26))*(INDEX(Properties!A$1:CB$87,Formula!B26,9))+((Formula!E26)/(Formula!C26+Formula!E26+Formula!G26+Formula!I26+Formula!K26))*(INDEX(Properties!A$1:CB$87,Formula!D26,9))+((Formula!G26)/(Formula!C26+Formula!E26+Formula!G26+Formula!I26+Formula!K26))*(INDEX(Properties!A$1:CB$87,Formula!F26,9))+((Formula!I26)/(Formula!C26+Formula!E26+Formula!G26+Formula!I26+Formula!K26))*(INDEX(Properties!A$1:CB$87,Formula!H26,9))+((Formula!K26)/(Formula!C26+Formula!E26+Formula!G26+Formula!I26+Formula!K26))*(INDEX(Properties!A$1:CB$87,Formula!J26,9))</f>
        <v>62.857142857142847</v>
      </c>
      <c r="AA26" s="72">
        <f>Formula!C26*(INDEX(Properties!A$1:CB$87,Formula!B26,9))+Formula!E26*(INDEX(Properties!A$1:CB$87,Formula!D26,9))+Formula!G26*(INDEX(Properties!A$1:CB$87,Formula!F26,9))+Formula!I26*(INDEX(Properties!A$1:CB$87,Formula!H26,9))+Formula!K26*(INDEX(Properties!A$1:CB$87,Formula!J26,9))</f>
        <v>440</v>
      </c>
      <c r="AB26" s="72">
        <f>VARP(IF(INDEX(Properties!A$1:CB$87,Formula!B26,9)&lt;&gt;"",INDEX(Properties!A$1:CB$87,Formula!B26,9)),IF(INDEX(Properties!A$1:CB$87,Formula!D26,9)&lt;&gt;"",INDEX(Properties!A$1:CB$87,Formula!D26,9)),IF(INDEX(Properties!A$1:CB$87,Formula!F26,9)&lt;&gt;"",INDEX(Properties!A$1:CB$87,Formula!F26,9)),IF(INDEX(Properties!A$1:CB$87,Formula!H26,9)&lt;&gt;"",INDEX(Properties!A$1:CB$87,Formula!H26,9)),IF(INDEX(Properties!A$1:CB$87,Formula!J26,9)&lt;&gt;"",INDEX(Properties!A$1:CB$87,Formula!J26,9)))</f>
        <v>1557.04</v>
      </c>
      <c r="AC26" s="72">
        <f>MAX(INDEX(Properties!A$1:CB$87,Formula!B26,9),INDEX(Properties!A$1:CB$87,Formula!D26,9),INDEX(Properties!A$1:CB$87,Formula!F26,9),INDEX(Properties!A$1:CB$87,Formula!H26,9),INDEX(Properties!A$1:CB$87,Formula!J26,9))</f>
        <v>87</v>
      </c>
      <c r="AD26" s="72">
        <f>MIN(IF(INDEX(Properties!A$1:CB$87,Formula!B26,9)=0,10^6,INDEX(Properties!A$1:CB$87,Formula!B26,9)),IF(INDEX(Properties!A$1:CB$87,Formula!D26,9)=0,10^6,INDEX(Properties!A$1:CB$87,Formula!D26,9)),IF(INDEX(Properties!A$1:CB$87,Formula!F26,9)=0,10^6,INDEX(Properties!A$1:CB$87,Formula!F26,9)),IF(INDEX(Properties!A$1:CB$87,Formula!H26,9)=0,10^6,INDEX(Properties!A$1:CB$87,Formula!H26,9)),IF(INDEX(Properties!A$1:CB$87,Formula!J26,9)=0,10^6,INDEX(Properties!A$1:CB$87,Formula!J26,9)))</f>
        <v>7</v>
      </c>
      <c r="AE26" s="72">
        <f t="shared" si="4"/>
        <v>80</v>
      </c>
      <c r="AF26" s="51">
        <f>((Formula!C26)/(Formula!C26+Formula!E26+Formula!G26+Formula!I26+Formula!K26))*(INDEX(Properties!A$1:CB$87,Formula!B26,10))+((Formula!E26)/(Formula!C26+Formula!E26+Formula!G26+Formula!I26+Formula!K26))*(INDEX(Properties!A$1:CB$87,Formula!D26,10))+((Formula!G26)/(Formula!C26+Formula!E26+Formula!G26+Formula!I26+Formula!K26))*(INDEX(Properties!A$1:CB$87,Formula!F26,10))+((Formula!I26)/(Formula!C26+Formula!E26+Formula!G26+Formula!I26+Formula!K26))*(INDEX(Properties!A$1:CB$87,Formula!H26,10))+((Formula!K26)/(Formula!C26+Formula!E26+Formula!G26+Formula!I26+Formula!K26))*(INDEX(Properties!A$1:CB$87,Formula!J26,10))</f>
        <v>5.4285714285714288</v>
      </c>
      <c r="AG26" s="51">
        <f>Formula!C26*(INDEX(Properties!A$1:CB$87,Formula!B26,10))+Formula!E26*(INDEX(Properties!A$1:CB$87,Formula!D26,10))+Formula!G26*(INDEX(Properties!A$1:CB$87,Formula!F26,10))+Formula!I26*(INDEX(Properties!A$1:CB$87,Formula!H26,10))+Formula!K26*(INDEX(Properties!A$1:CB$87,Formula!J26,10))</f>
        <v>38</v>
      </c>
      <c r="AH26" s="51">
        <f>VARP(IF(INDEX(Properties!A$1:CB$87,Formula!B26,10)&lt;&gt;"",INDEX(Properties!A$1:CB$87,Formula!B26,10)),IF(INDEX(Properties!A$1:CB$87,Formula!D26,10)&lt;&gt;"",INDEX(Properties!A$1:CB$87,Formula!D26,10)),IF(INDEX(Properties!A$1:CB$87,Formula!F26,10)&lt;&gt;"",INDEX(Properties!A$1:CB$87,Formula!F26,10)),IF(INDEX(Properties!A$1:CB$87,Formula!H26,10)&lt;&gt;"",INDEX(Properties!A$1:CB$87,Formula!H26,10)),IF(INDEX(Properties!A$1:CB$87,Formula!J26,10)&lt;&gt;"",INDEX(Properties!A$1:CB$87,Formula!J26,10)))</f>
        <v>8.8000000000000007</v>
      </c>
      <c r="AI26" s="51">
        <f>MAX(INDEX(Properties!A$1:CB$87,Formula!B26,10),INDEX(Properties!A$1:CB$87,Formula!D26,10),INDEX(Properties!A$1:CB$87,Formula!F26,10),INDEX(Properties!A$1:CB$87,Formula!H26,10),INDEX(Properties!A$1:CB$87,Formula!J26,10))</f>
        <v>7</v>
      </c>
      <c r="AJ26" s="51">
        <f>MIN(IF(INDEX(Properties!A$1:CB$87,Formula!B26,10)=0,10^6,INDEX(Properties!A$1:CB$87,Formula!B26,10)),IF(INDEX(Properties!A$1:CB$87,Formula!D26,10)=0,10^6,INDEX(Properties!A$1:CB$87,Formula!D26,10)),IF(INDEX(Properties!A$1:CB$87,Formula!F26,10)=0,10^6,INDEX(Properties!A$1:CB$87,Formula!F26,10)),IF(INDEX(Properties!A$1:CB$87,Formula!H26,10)=0,10^6,INDEX(Properties!A$1:CB$87,Formula!H26,10)),IF(INDEX(Properties!A$1:CB$87,Formula!J26,10)=0,10^6,INDEX(Properties!A$1:CB$87,Formula!J26,10)))</f>
        <v>2</v>
      </c>
      <c r="AK26" s="51">
        <f t="shared" si="5"/>
        <v>5</v>
      </c>
      <c r="AL26" s="57">
        <f>((Formula!C26)/(Formula!C26+Formula!E26+Formula!G26+Formula!I26+Formula!K26))*(INDEX(Properties!A$1:CB$87,Formula!B26,11))+((Formula!E26)/(Formula!C26+Formula!E26+Formula!G26+Formula!I26+Formula!K26))*(INDEX(Properties!A$1:CB$87,Formula!D26,11))+((Formula!G26)/(Formula!C26+Formula!E26+Formula!G26+Formula!I26+Formula!K26))*(INDEX(Properties!A$1:CB$87,Formula!F26,11))+((Formula!I26)/(Formula!C26+Formula!E26+Formula!G26+Formula!I26+Formula!K26))*(INDEX(Properties!A$1:CB$87,Formula!H26,11))+((Formula!K26)/(Formula!C26+Formula!E26+Formula!G26+Formula!I26+Formula!K26))*(INDEX(Properties!A$1:CB$87,Formula!J26,11))</f>
        <v>2</v>
      </c>
      <c r="AM26" s="57">
        <f>Formula!C26*(INDEX(Properties!A$1:CB$87,Formula!B26,11))+Formula!E26*(INDEX(Properties!A$1:CB$87,Formula!D26,11))+Formula!G26*(INDEX(Properties!A$1:CB$87,Formula!F26,11))+Formula!I26*(INDEX(Properties!A$1:CB$87,Formula!H26,11))+Formula!K26*(INDEX(Properties!A$1:CB$87,Formula!J26,11))</f>
        <v>14</v>
      </c>
      <c r="AN26" s="57">
        <f>VARP(IF(INDEX(Properties!A$1:CB$87,Formula!B26,11)&lt;&gt;"",INDEX(Properties!A$1:CB$87,Formula!B26,11)),IF(INDEX(Properties!A$1:CB$87,Formula!D26,11)&lt;&gt;"",INDEX(Properties!A$1:CB$87,Formula!D26,11)),IF(INDEX(Properties!A$1:CB$87,Formula!F26,11)&lt;&gt;"",INDEX(Properties!A$1:CB$87,Formula!F26,11)),IF(INDEX(Properties!A$1:CB$87,Formula!H26,11)&lt;&gt;"",INDEX(Properties!A$1:CB$87,Formula!H26,11)),IF(INDEX(Properties!A$1:CB$87,Formula!J26,11)&lt;&gt;"",INDEX(Properties!A$1:CB$87,Formula!J26,11)))</f>
        <v>0.96</v>
      </c>
      <c r="AO26" s="57">
        <f>MAX(INDEX(Properties!A$1:CB$87,Formula!B26,11),INDEX(Properties!A$1:CB$87,Formula!D26,11),INDEX(Properties!A$1:CB$87,Formula!F26,11),INDEX(Properties!A$1:CB$87,Formula!H26,11),INDEX(Properties!A$1:CB$87,Formula!J26,11))</f>
        <v>2</v>
      </c>
      <c r="AP26" s="57">
        <f>MIN(IF(Formula!B26=87,10^6,INDEX(Properties!A$1:CB$87,Formula!B26,11)),IF((Formula!D26)=87,10^6,INDEX(Properties!A$1:CB$87,Formula!D26,11)),IF((Formula!F26)=87,10^6,INDEX(Properties!A$1:CB$87,Formula!F26,11)),IF((Formula!H26)=87,10^6,INDEX(Properties!A$1:CB$87,Formula!H26,11)),IF(Formula!J26=87,10^6,INDEX(Properties!A$1:CB$87,Formula!J26,11)))</f>
        <v>2</v>
      </c>
      <c r="AQ26" s="57">
        <f t="shared" si="6"/>
        <v>0</v>
      </c>
      <c r="AR26" s="78">
        <f>((Formula!C26)/(Formula!C26+Formula!E26+Formula!G26+Formula!I26+Formula!K26))*(INDEX(Properties!A$1:CB$87,Formula!B26,12))+((Formula!E26)/(Formula!C26+Formula!E26+Formula!G26+Formula!I26+Formula!K26))*(INDEX(Properties!A$1:CB$87,Formula!D26,12))+((Formula!G26)/(Formula!C26+Formula!E26+Formula!G26+Formula!I26+Formula!K26))*(INDEX(Properties!A$1:CB$87,Formula!F26,12))+((Formula!I26)/(Formula!C26+Formula!E26+Formula!G26+Formula!I26+Formula!K26))*(INDEX(Properties!A$1:CB$87,Formula!H26,12))+((Formula!K26)/(Formula!C26+Formula!E26+Formula!G26+Formula!I26+Formula!K26))*(INDEX(Properties!A$1:CB$87,Formula!J26,12))</f>
        <v>2.5714285714285712</v>
      </c>
      <c r="AS26" s="78">
        <f>Formula!C26*(INDEX(Properties!A$1:CB$87,Formula!B26,12))+Formula!E26*(INDEX(Properties!A$1:CB$87,Formula!D26,12))+Formula!G26*(INDEX(Properties!A$1:CB$87,Formula!F26,12))+Formula!I26*(INDEX(Properties!A$1:CB$87,Formula!H26,12))+Formula!K26*(INDEX(Properties!A$1:CB$87,Formula!J26,12))</f>
        <v>18</v>
      </c>
      <c r="AT26" s="78">
        <f>VARP(IF(INDEX(Properties!A$1:CB$87,Formula!B26,12)&lt;&gt;"",INDEX(Properties!A$1:CB$87,Formula!B26,12)),IF(INDEX(Properties!A$1:CB$87,Formula!D26,12)&lt;&gt;"",INDEX(Properties!A$1:CB$87,Formula!D26,12)),IF(INDEX(Properties!A$1:CB$87,Formula!F26,12)&lt;&gt;"",INDEX(Properties!A$1:CB$87,Formula!F26,12)),IF(INDEX(Properties!A$1:CB$87,Formula!H26,12)&lt;&gt;"",INDEX(Properties!A$1:CB$87,Formula!H26,12)),IF(INDEX(Properties!A$1:CB$87,Formula!J26,12)&lt;&gt;"",INDEX(Properties!A$1:CB$87,Formula!J26,12)))</f>
        <v>2.56</v>
      </c>
      <c r="AU26" s="78">
        <f>MAX(INDEX(Properties!A$1:CB$87,Formula!B26,12),INDEX(Properties!A$1:CB$87,Formula!D26,12),INDEX(Properties!A$1:CB$87,Formula!F26,12),INDEX(Properties!A$1:CB$87,Formula!H26,12),INDEX(Properties!A$1:CB$87,Formula!J26,12))</f>
        <v>4</v>
      </c>
      <c r="AV26" s="78">
        <f>MIN(IF(Formula!B26=87,10^6,INDEX(Properties!A$1:CB$87,Formula!B26,12)),IF((Formula!D26)=87,10^6,INDEX(Properties!A$1:CB$87,Formula!D26,12)),IF((Formula!F26)=87,10^6,INDEX(Properties!A$1:CB$87,Formula!F26,12)),IF((Formula!H26)=87,10^6,INDEX(Properties!A$1:CB$87,Formula!H26,12)),IF(Formula!J26=87,10^6,INDEX(Properties!A$1:CB$87,Formula!J26,12)))</f>
        <v>0</v>
      </c>
      <c r="AW26" s="78">
        <f t="shared" si="7"/>
        <v>4</v>
      </c>
      <c r="AX26" s="45">
        <f>((Formula!C26)/(Formula!C26+Formula!E26+Formula!G26+Formula!I26+Formula!K26))*(INDEX(Properties!A$1:CB$87,Formula!B26,13))+((Formula!E26)/(Formula!C26+Formula!E26+Formula!G26+Formula!I26+Formula!K26))*(INDEX(Properties!A$1:CB$87,Formula!D26,13))+((Formula!G26)/(Formula!C26+Formula!E26+Formula!G26+Formula!I26+Formula!K26))*(INDEX(Properties!A$1:CB$87,Formula!F26,13))+((Formula!I26)/(Formula!C26+Formula!E26+Formula!G26+Formula!I26+Formula!K26))*(INDEX(Properties!A$1:CB$87,Formula!H26,13))+((Formula!K26)/(Formula!C26+Formula!E26+Formula!G26+Formula!I26+Formula!K26))*(INDEX(Properties!A$1:CB$87,Formula!J26,13))</f>
        <v>0</v>
      </c>
      <c r="AY26" s="45">
        <f>Formula!C26*(INDEX(Properties!A$1:CB$87,Formula!B26,13))+Formula!E26*(INDEX(Properties!A$1:CB$87,Formula!D26,13))+Formula!G26*(INDEX(Properties!A$1:CB$87,Formula!F26,13))+Formula!I26*(INDEX(Properties!A$1:CB$87,Formula!H26,13))+Formula!K26*(INDEX(Properties!A$1:CB$87,Formula!J26,13))</f>
        <v>0</v>
      </c>
      <c r="AZ26" s="45">
        <f>VARP(IF(INDEX(Properties!A$1:CB$87,Formula!B26,13)&lt;&gt;"",INDEX(Properties!A$1:CB$87,Formula!B26,13)),IF(INDEX(Properties!A$1:CB$87,Formula!D26,13)&lt;&gt;"",INDEX(Properties!A$1:CB$87,Formula!D26,13)),IF(INDEX(Properties!A$1:CB$87,Formula!F26,13)&lt;&gt;"",INDEX(Properties!A$1:CB$87,Formula!F26,13)),IF(INDEX(Properties!A$1:CB$87,Formula!H26,13)&lt;&gt;"",INDEX(Properties!A$1:CB$87,Formula!H26,13)),IF(INDEX(Properties!A$1:CB$87,Formula!J26,13)&lt;&gt;"",INDEX(Properties!A$1:CB$87,Formula!J26,13)))</f>
        <v>0</v>
      </c>
      <c r="BA26" s="45">
        <f>MAX(INDEX(Properties!A$1:CB$87,Formula!B26,13),INDEX(Properties!A$1:CB$87,Formula!D26,13),INDEX(Properties!A$1:CB$87,Formula!F26,13),INDEX(Properties!A$1:CB$87,Formula!H26,13),INDEX(Properties!A$1:CB$87,Formula!J26,13))</f>
        <v>0</v>
      </c>
      <c r="BB26" s="45">
        <f>MIN(IF(Formula!B26=87,10^6,INDEX(Properties!A$1:CB$87,Formula!B26,13)),IF((Formula!D26)=87,10^6,INDEX(Properties!A$1:CB$87,Formula!D26,13)),IF((Formula!F26)=87,10^6,INDEX(Properties!A$1:CB$87,Formula!F26,13)),IF((Formula!H26)=87,10^6,INDEX(Properties!A$1:CB$87,Formula!H26,13)),IF(Formula!J26=87,10^6,INDEX(Properties!A$1:CB$87,Formula!J26,13)))</f>
        <v>0</v>
      </c>
      <c r="BC26" s="45">
        <f t="shared" si="8"/>
        <v>0</v>
      </c>
      <c r="BD26" s="63">
        <f>((Formula!C26)/(Formula!C26+Formula!E26+Formula!G26+Formula!I26+Formula!K26))*(INDEX(Properties!A$1:CB$87,Formula!B26,14))+((Formula!E26)/(Formula!C26+Formula!E26+Formula!G26+Formula!I26+Formula!K26))*(INDEX(Properties!A$1:CB$87,Formula!D26,14))+((Formula!G26)/(Formula!C26+Formula!E26+Formula!G26+Formula!I26+Formula!K26))*(INDEX(Properties!A$1:CB$87,Formula!F26,14))+((Formula!I26)/(Formula!C26+Formula!E26+Formula!G26+Formula!I26+Formula!K26))*(INDEX(Properties!A$1:CB$87,Formula!H26,14))+((Formula!K26)/(Formula!C26+Formula!E26+Formula!G26+Formula!I26+Formula!K26))*(INDEX(Properties!A$1:CB$87,Formula!J26,14))</f>
        <v>0</v>
      </c>
      <c r="BE26" s="63">
        <f>Formula!C26*(INDEX(Properties!A$1:CB$87,Formula!B26,14))+Formula!E26*(INDEX(Properties!A$1:CB$87,Formula!D26,14))+Formula!G26*(INDEX(Properties!A$1:CB$87,Formula!F26,14))+Formula!I26*(INDEX(Properties!A$1:CB$87,Formula!H26,14))+Formula!K26*(INDEX(Properties!A$1:CB$87,Formula!J26,14))</f>
        <v>0</v>
      </c>
      <c r="BF26" s="63">
        <f>VARP(IF(INDEX(Properties!A$1:CB$87,Formula!B26,14)&lt;&gt;"",INDEX(Properties!A$1:CB$87,Formula!B26,14)),IF(INDEX(Properties!A$1:CB$87,Formula!D26,14)&lt;&gt;"",INDEX(Properties!A$1:CB$87,Formula!D26,14)),IF(INDEX(Properties!A$1:CB$87,Formula!F26,14)&lt;&gt;"",INDEX(Properties!A$1:CB$87,Formula!F26,14)),IF(INDEX(Properties!A$1:CB$87,Formula!H26,14)&lt;&gt;"",INDEX(Properties!A$1:CB$87,Formula!H26,14)),IF(INDEX(Properties!A$1:CB$87,Formula!J26,14)&lt;&gt;"",INDEX(Properties!A$1:CB$87,Formula!J26,14)))</f>
        <v>0</v>
      </c>
      <c r="BG26" s="63">
        <f>MAX(INDEX(Properties!A$1:CB$87,Formula!B26,14),INDEX(Properties!A$1:CB$87,Formula!D26,14),INDEX(Properties!A$1:CB$87,Formula!F26,14),INDEX(Properties!A$1:CB$87,Formula!H26,14),INDEX(Properties!A$1:CB$87,Formula!J26,14))</f>
        <v>0</v>
      </c>
      <c r="BH26" s="63">
        <f>MIN(IF(Formula!B26=87,10^6,INDEX(Properties!A$1:CB$87,Formula!B26,14)),IF((Formula!D26)=87,10^6,INDEX(Properties!A$1:CB$87,Formula!D26,14)),IF((Formula!F26)=87,10^6,INDEX(Properties!A$1:CB$87,Formula!F26,14)),IF((Formula!H26)=87,10^6,INDEX(Properties!A$1:CB$87,Formula!H26,14)),IF(Formula!J26=87,10^6,INDEX(Properties!A$1:CB$87,Formula!J26,14)))</f>
        <v>0</v>
      </c>
      <c r="BI26" s="63">
        <f t="shared" si="9"/>
        <v>0</v>
      </c>
      <c r="BJ26" s="75">
        <f>((Formula!C26)/(Formula!C26+Formula!E26+Formula!G26+Formula!I26+Formula!K26))*(INDEX(Properties!A$1:CB$87,Formula!B26,19))+((Formula!E26)/(Formula!C26+Formula!E26+Formula!G26+Formula!I26+Formula!K26))*(INDEX(Properties!A$1:CB$87,Formula!D26,19))+((Formula!G26)/(Formula!C26+Formula!E26+Formula!G26+Formula!I26+Formula!K26))*(INDEX(Properties!A$1:CB$87,Formula!F26,19))+((Formula!I26)/(Formula!C26+Formula!E26+Formula!G26+Formula!I26+Formula!K26))*(INDEX(Properties!A$1:CB$87,Formula!H26,19))+((Formula!K26)/(Formula!C26+Formula!E26+Formula!G26+Formula!I26+Formula!K26))*(INDEX(Properties!A$1:CB$87,Formula!J26,19))</f>
        <v>4.5714285714285712</v>
      </c>
      <c r="BK26" s="75">
        <f>Formula!C26*(INDEX(Properties!A$1:CB$87,Formula!B26,19))+Formula!E26*(INDEX(Properties!A$1:CB$87,Formula!D26,19))+Formula!G26*(INDEX(Properties!A$1:CB$87,Formula!F26,19))+Formula!I26*(INDEX(Properties!A$1:CB$87,Formula!H26,19))+Formula!K26*(INDEX(Properties!A$1:CB$87,Formula!J26,19))</f>
        <v>32</v>
      </c>
      <c r="BL26" s="75">
        <f>VARP(IF(INDEX(Properties!A$1:CB$87,Formula!B26,19)&lt;&gt;"",INDEX(Properties!A$1:CB$87,Formula!B26,19)),IF(INDEX(Properties!A$1:CB$87,Formula!D26,19)&lt;&gt;"",INDEX(Properties!A$1:CB$87,Formula!D26,19)),IF(INDEX(Properties!A$1:CB$87,Formula!F26,19)&lt;&gt;"",INDEX(Properties!A$1:CB$87,Formula!F26,19)),IF(INDEX(Properties!A$1:CB$87,Formula!H26,19)&lt;&gt;"",INDEX(Properties!A$1:CB$87,Formula!H26,19)),IF(INDEX(Properties!A$1:CB$87,Formula!J26,19)&lt;&gt;"",INDEX(Properties!A$1:CB$87,Formula!J26,19)))</f>
        <v>5.44</v>
      </c>
      <c r="BM26" s="75">
        <f>MAX(INDEX(Properties!A$1:CB$87,Formula!B26,19),INDEX(Properties!A$1:CB$87,Formula!D26,19),INDEX(Properties!A$1:CB$87,Formula!F26,19),INDEX(Properties!A$1:CB$87,Formula!H26,19),INDEX(Properties!A$1:CB$87,Formula!J26,19))</f>
        <v>6</v>
      </c>
      <c r="BN26" s="75">
        <f>MIN(IF(INDEX(Properties!A$1:CB$87,Formula!B26,19)=0,10^6,INDEX(Properties!A$1:CB$87,Formula!B26,19)),IF(INDEX(Properties!A$1:CB$87,Formula!D26,19)=0,10^6,INDEX(Properties!A$1:CB$87,Formula!D26,19)),IF(INDEX(Properties!A$1:CB$87,Formula!F26,19)=0,10^6,INDEX(Properties!A$1:CB$87,Formula!F26,19)),IF(INDEX(Properties!A$1:CB$87,Formula!H26,19)=0,10^6,INDEX(Properties!A$1:CB$87,Formula!H26,19)),IF(INDEX(Properties!A$1:CB$87,Formula!J26,19)=0,10^6,INDEX(Properties!A$1:CB$87,Formula!J26,19)))</f>
        <v>2</v>
      </c>
      <c r="BO26" s="75">
        <f t="shared" si="10"/>
        <v>4</v>
      </c>
      <c r="BP26" s="48">
        <f>((Formula!C26)/(Formula!C26+Formula!E26+Formula!G26+Formula!I26+Formula!K26))*(INDEX(Properties!A$1:CB$87,Formula!B26,20))+((Formula!E26)/(Formula!C26+Formula!E26+Formula!G26+Formula!I26+Formula!K26))*(INDEX(Properties!A$1:CB$87,Formula!D26,20))+((Formula!G26)/(Formula!C26+Formula!E26+Formula!G26+Formula!I26+Formula!K26))*(INDEX(Properties!A$1:CB$87,Formula!F26,20))+((Formula!I26)/(Formula!C26+Formula!E26+Formula!G26+Formula!I26+Formula!K26))*(INDEX(Properties!A$1:CB$87,Formula!H26,20))+((Formula!K26)/(Formula!C26+Formula!E26+Formula!G26+Formula!I26+Formula!K26))*(INDEX(Properties!A$1:CB$87,Formula!J26,20))</f>
        <v>4.5714285714285712</v>
      </c>
      <c r="BQ26" s="48">
        <f>Formula!C26*(INDEX(Properties!A$1:CB$87,Formula!B26,20))+Formula!E26*(INDEX(Properties!A$1:CB$87,Formula!D26,20))+Formula!G26*(INDEX(Properties!A$1:CB$87,Formula!F26,20))+Formula!I26*(INDEX(Properties!A$1:CB$87,Formula!H26,20))+Formula!K26*(INDEX(Properties!A$1:CB$87,Formula!J26,20))</f>
        <v>32</v>
      </c>
      <c r="BR26" s="48">
        <f>VARP(IF(INDEX(Properties!A$1:CB$87,Formula!B26,20)&lt;&gt;"",INDEX(Properties!A$1:CB$87,Formula!B26,20)),IF(INDEX(Properties!A$1:CB$87,Formula!D26,20)&lt;&gt;"",INDEX(Properties!A$1:CB$87,Formula!D26,20)),IF(INDEX(Properties!A$1:CB$87,Formula!F26,20)&lt;&gt;"",INDEX(Properties!A$1:CB$87,Formula!F26,20)),IF(INDEX(Properties!A$1:CB$87,Formula!H26,20)&lt;&gt;"",INDEX(Properties!A$1:CB$87,Formula!H26,20)),IF(INDEX(Properties!A$1:CB$87,Formula!J26,20)&lt;&gt;"",INDEX(Properties!A$1:CB$87,Formula!J26,20)))</f>
        <v>5.44</v>
      </c>
      <c r="BS26" s="48">
        <f>MAX(INDEX(Properties!A$1:CB$87,Formula!B26,20),INDEX(Properties!A$1:CB$87,Formula!D26,20),INDEX(Properties!A$1:CB$87,Formula!F26,20),INDEX(Properties!A$1:CB$87,Formula!H26,20),INDEX(Properties!A$1:CB$87,Formula!J26,20))</f>
        <v>6</v>
      </c>
      <c r="BT26" s="48">
        <f>MIN(IF(INDEX(Properties!A$1:CB$87,Formula!B26,20)=0,10^6,INDEX(Properties!A$1:CB$87,Formula!B26,20)),IF(INDEX(Properties!A$1:CB$87,Formula!D26,20)=0,10^6,INDEX(Properties!A$1:CB$87,Formula!D26,20)),IF(INDEX(Properties!A$1:CB$87,Formula!F26,20)=0,10^6,INDEX(Properties!A$1:CB$87,Formula!F26,20)),IF(INDEX(Properties!A$1:CB$87,Formula!H26,20)=0,10^6,INDEX(Properties!A$1:CB$87,Formula!H26,20)),IF(INDEX(Properties!A$1:CB$87,Formula!J26,20)=0,10^6,INDEX(Properties!A$1:CB$87,Formula!J26,20)))</f>
        <v>2</v>
      </c>
      <c r="BU26" s="48">
        <f t="shared" si="11"/>
        <v>4</v>
      </c>
      <c r="BV26" s="66">
        <f>((Formula!C26)/(Formula!C26+Formula!E26+Formula!G26+Formula!I26+Formula!K26))*(INDEX(Properties!A$1:CB$87,Formula!B26,21))+((Formula!E26)/(Formula!C26+Formula!E26+Formula!G26+Formula!I26+Formula!K26))*(INDEX(Properties!A$1:CB$87,Formula!D26,21))+((Formula!G26)/(Formula!C26+Formula!E26+Formula!G26+Formula!I26+Formula!K26))*(INDEX(Properties!A$1:CB$87,Formula!F26,21))+((Formula!I26)/(Formula!C26+Formula!E26+Formula!G26+Formula!I26+Formula!K26))*(INDEX(Properties!A$1:CB$87,Formula!H26,21))+((Formula!K26)/(Formula!C26+Formula!E26+Formula!G26+Formula!I26+Formula!K26))*(INDEX(Properties!A$1:CB$87,Formula!J26,21))</f>
        <v>4.5714285714285712</v>
      </c>
      <c r="BW26" s="66">
        <f>Formula!C26*(INDEX(Properties!A$1:CB$87,Formula!B26,21))+Formula!E26*(INDEX(Properties!A$1:CB$87,Formula!D26,21))+Formula!G26*(INDEX(Properties!A$1:CB$87,Formula!F26,21))+Formula!I26*(INDEX(Properties!A$1:CB$87,Formula!H26,21))+Formula!K26*(INDEX(Properties!A$1:CB$87,Formula!J26,21))</f>
        <v>32</v>
      </c>
      <c r="BX26" s="66">
        <f>VARP(IF(INDEX(Properties!A$1:CB$87,Formula!B26,21)&lt;&gt;"",INDEX(Properties!A$1:CB$87,Formula!B26,21)),IF(INDEX(Properties!A$1:CB$87,Formula!D26,21)&lt;&gt;"",INDEX(Properties!A$1:CB$87,Formula!D26,21)),IF(INDEX(Properties!A$1:CB$87,Formula!F26,21)&lt;&gt;"",INDEX(Properties!A$1:CB$87,Formula!F26,21)),IF(INDEX(Properties!A$1:CB$87,Formula!H26,21)&lt;&gt;"",INDEX(Properties!A$1:CB$87,Formula!H26,21)),IF(INDEX(Properties!A$1:CB$87,Formula!J26,21)&lt;&gt;"",INDEX(Properties!A$1:CB$87,Formula!J26,21)))</f>
        <v>5.44</v>
      </c>
      <c r="BY26" s="66">
        <f>MAX(INDEX(Properties!A$1:CB$87,Formula!B26,21),INDEX(Properties!A$1:CB$87,Formula!D26,21),INDEX(Properties!A$1:CB$87,Formula!F26,21),INDEX(Properties!A$1:CB$87,Formula!H26,21),INDEX(Properties!A$1:CB$87,Formula!J26,21))</f>
        <v>6</v>
      </c>
      <c r="BZ26" s="66">
        <f>MIN(IF(INDEX(Properties!A$1:CB$87,Formula!B26,21)=0,10^6,INDEX(Properties!A$1:CB$87,Formula!B26,21)),IF(INDEX(Properties!A$1:CB$87,Formula!D26,21)=0,10^6,INDEX(Properties!A$1:CB$87,Formula!D26,21)),IF(INDEX(Properties!A$1:CB$87,Formula!F26,21)=0,10^6,INDEX(Properties!A$1:CB$87,Formula!F26,21)),IF(INDEX(Properties!A$1:CB$87,Formula!H26,21)=0,10^6,INDEX(Properties!A$1:CB$87,Formula!H26,21)),IF(INDEX(Properties!A$1:CB$87,Formula!J26,21)=0,10^6,INDEX(Properties!A$1:CB$87,Formula!J26,21)))</f>
        <v>2</v>
      </c>
      <c r="CA26" s="66">
        <f t="shared" si="12"/>
        <v>4</v>
      </c>
      <c r="CB26" s="81">
        <f>((Formula!C26)/(Formula!C26+Formula!E26+Formula!G26+Formula!I26+Formula!K26))*(INDEX(Properties!A$1:CB$87,Formula!B26,23))+((Formula!E26)/(Formula!C26+Formula!E26+Formula!G26+Formula!I26+Formula!K26))*(INDEX(Properties!A$1:CB$87,Formula!D26,23))+((Formula!G26)/(Formula!C26+Formula!E26+Formula!G26+Formula!I26+Formula!K26))*(INDEX(Properties!A$1:CB$87,Formula!F26,23))+((Formula!I26)/(Formula!C26+Formula!E26+Formula!G26+Formula!I26+Formula!K26))*(INDEX(Properties!A$1:CB$87,Formula!H26,23))+((Formula!K26)/(Formula!C26+Formula!E26+Formula!G26+Formula!I26+Formula!K26))*(INDEX(Properties!A$1:CB$87,Formula!J26,23))</f>
        <v>1.1428571428571428</v>
      </c>
      <c r="CC26" s="81">
        <f>Formula!C26*(INDEX(Properties!A$1:CB$87,Formula!B26,23))+Formula!E26*(INDEX(Properties!A$1:CB$87,Formula!D26,23))+Formula!G26*(INDEX(Properties!A$1:CB$87,Formula!F26,23))+Formula!I26*(INDEX(Properties!A$1:CB$87,Formula!H26,23))+Formula!K26*(INDEX(Properties!A$1:CB$87,Formula!J26,23))</f>
        <v>8</v>
      </c>
      <c r="CD26" s="81">
        <f>VARP(IF(INDEX(Properties!A$1:CB$87,Formula!B26,23)&lt;&gt;"",INDEX(Properties!A$1:CB$87,Formula!B26,23)),IF(INDEX(Properties!A$1:CB$87,Formula!D26,23)&lt;&gt;"",INDEX(Properties!A$1:CB$87,Formula!D26,23)),IF(INDEX(Properties!A$1:CB$87,Formula!F26,23)&lt;&gt;"",INDEX(Properties!A$1:CB$87,Formula!F26,23)),IF(INDEX(Properties!A$1:CB$87,Formula!H26,23)&lt;&gt;"",INDEX(Properties!A$1:CB$87,Formula!H26,23)),IF(INDEX(Properties!A$1:CB$87,Formula!J26,23)&lt;&gt;"",INDEX(Properties!A$1:CB$87,Formula!J26,23)))</f>
        <v>2.56</v>
      </c>
      <c r="CE26" s="81">
        <f>MAX(INDEX(Properties!A$1:CB$87,Formula!B26,23),INDEX(Properties!A$1:CB$87,Formula!D26,23),INDEX(Properties!A$1:CB$87,Formula!F26,23),INDEX(Properties!A$1:CB$87,Formula!H26,23),INDEX(Properties!A$1:CB$87,Formula!J26,23))</f>
        <v>4</v>
      </c>
      <c r="CF26" s="81">
        <f>MIN(IF(Formula!B26=87,10^6,INDEX(Properties!A$1:CB$87,Formula!B26,23)),IF((Formula!D26)=87,10^6,INDEX(Properties!A$1:CB$87,Formula!D26,23)),IF((Formula!F26)=87,10^6,INDEX(Properties!A$1:CB$87,Formula!F26,23)),IF((Formula!H26)=87,10^6,INDEX(Properties!A$1:CB$87,Formula!H26,23)),IF(Formula!J26=87,10^6,INDEX(Properties!A$1:CB$87,Formula!J26,23)))</f>
        <v>0</v>
      </c>
      <c r="CG26" s="81">
        <f t="shared" si="13"/>
        <v>4</v>
      </c>
      <c r="CH26" s="39">
        <f>((Formula!C26)/(Formula!C26+Formula!E26+Formula!G26+Formula!I26+Formula!K26))*(INDEX(Properties!A$1:CB$87,Formula!B26,26))+((Formula!E26)/(Formula!C26+Formula!E26+Formula!G26+Formula!I26+Formula!K26))*(INDEX(Properties!A$1:CB$87,Formula!D26,26))+((Formula!G26)/(Formula!C26+Formula!E26+Formula!G26+Formula!I26+Formula!K26))*(INDEX(Properties!A$1:CB$87,Formula!F26,26))+((Formula!I26)/(Formula!C26+Formula!E26+Formula!G26+Formula!I26+Formula!K26))*(INDEX(Properties!A$1:CB$87,Formula!H26,26))+((Formula!K26)/(Formula!C26+Formula!E26+Formula!G26+Formula!I26+Formula!K26))*(INDEX(Properties!A$1:CB$87,Formula!J26,26))</f>
        <v>10.69292857142857</v>
      </c>
      <c r="CI26" s="39">
        <f>Formula!C26*(INDEX(Properties!A$1:CB$87,Formula!B26,26))+Formula!E26*(INDEX(Properties!A$1:CB$87,Formula!D26,26))+Formula!G26*(INDEX(Properties!A$1:CB$87,Formula!F26,26))+Formula!I26*(INDEX(Properties!A$1:CB$87,Formula!H26,26))+Formula!K26*(INDEX(Properties!A$1:CB$87,Formula!J26,26))</f>
        <v>74.850499999999997</v>
      </c>
      <c r="CJ26" s="39">
        <f>VARP(IF(INDEX(Properties!A$1:CB$87,Formula!B26,26)&lt;&gt;"",INDEX(Properties!A$1:CB$87,Formula!B26,26)),IF(INDEX(Properties!A$1:CB$87,Formula!D26,26)&lt;&gt;"",INDEX(Properties!A$1:CB$87,Formula!D26,26)),IF(INDEX(Properties!A$1:CB$87,Formula!F26,26)&lt;&gt;"",INDEX(Properties!A$1:CB$87,Formula!F26,26)),IF(INDEX(Properties!A$1:CB$87,Formula!H26,26)&lt;&gt;"",INDEX(Properties!A$1:CB$87,Formula!H26,26)),IF(INDEX(Properties!A$1:CB$87,Formula!J26,26)&lt;&gt;"",INDEX(Properties!A$1:CB$87,Formula!J26,26)))</f>
        <v>26.756347387999995</v>
      </c>
      <c r="CK26" s="39">
        <f>MAX(INDEX(Properties!A$1:CB$87,Formula!B26,26),INDEX(Properties!A$1:CB$87,Formula!D26,26),INDEX(Properties!A$1:CB$87,Formula!F26,26),INDEX(Properties!A$1:CB$87,Formula!H26,26),INDEX(Properties!A$1:CB$87,Formula!J26,26))</f>
        <v>13.6181</v>
      </c>
      <c r="CL26" s="39">
        <f>MIN(IF(INDEX(Properties!A$1:CB$87,Formula!B26,26)=0,10^6,INDEX(Properties!A$1:CB$87,Formula!B26,26)),IF(INDEX(Properties!A$1:CB$87,Formula!D26,26)=0,10^6,INDEX(Properties!A$1:CB$87,Formula!D26,26)),IF(INDEX(Properties!A$1:CB$87,Formula!F26,26)=0,10^6,INDEX(Properties!A$1:CB$87,Formula!F26,26)),IF(INDEX(Properties!A$1:CB$87,Formula!H26,26)=0,10^6,INDEX(Properties!A$1:CB$87,Formula!H26,26)),IF(INDEX(Properties!A$1:CB$87,Formula!J26,26)=0,10^6,INDEX(Properties!A$1:CB$87,Formula!J26,26)))</f>
        <v>6.1132</v>
      </c>
      <c r="CM26" s="39">
        <f t="shared" si="14"/>
        <v>7.5049000000000001</v>
      </c>
      <c r="CN26" s="54">
        <f>((Formula!C26)/(Formula!C26+Formula!E26+Formula!G26+Formula!I26+Formula!K26))*(INDEX(Properties!A$1:CB$87,Formula!B26,30))+((Formula!E26)/(Formula!C26+Formula!E26+Formula!G26+Formula!I26+Formula!K26))*(INDEX(Properties!A$1:CB$87,Formula!D26,30))+((Formula!G26)/(Formula!C26+Formula!E26+Formula!G26+Formula!I26+Formula!K26))*(INDEX(Properties!A$1:CB$87,Formula!F26,30))+((Formula!I26)/(Formula!C26+Formula!E26+Formula!G26+Formula!I26+Formula!K26))*(INDEX(Properties!A$1:CB$87,Formula!H26,30))+((Formula!K26)/(Formula!C26+Formula!E26+Formula!G26+Formula!I26+Formula!K26))*(INDEX(Properties!A$1:CB$87,Formula!J26,30))</f>
        <v>2.5228571428571427</v>
      </c>
      <c r="CO26" s="54">
        <f>Formula!C26*(INDEX(Properties!A$1:CB$87,Formula!B26,30))+Formula!E26*(INDEX(Properties!A$1:CB$87,Formula!D26,30))+Formula!G26*(INDEX(Properties!A$1:CB$87,Formula!F26,30))+Formula!I26*(INDEX(Properties!A$1:CB$87,Formula!H26,30))+Formula!K26*(INDEX(Properties!A$1:CB$87,Formula!J26,30))</f>
        <v>17.66</v>
      </c>
      <c r="CP26" s="54">
        <f>VARP(IF(INDEX(Properties!A$1:CB$87,Formula!B26,30)&lt;&gt;"",INDEX(Properties!A$1:CB$87,Formula!B26,30)),IF(INDEX(Properties!A$1:CB$87,Formula!D26,30)&lt;&gt;"",INDEX(Properties!A$1:CB$87,Formula!D26,30)),IF(INDEX(Properties!A$1:CB$87,Formula!F26,30)&lt;&gt;"",INDEX(Properties!A$1:CB$87,Formula!F26,30)),IF(INDEX(Properties!A$1:CB$87,Formula!H26,30)&lt;&gt;"",INDEX(Properties!A$1:CB$87,Formula!H26,30)),IF(INDEX(Properties!A$1:CB$87,Formula!J26,30)&lt;&gt;"",INDEX(Properties!A$1:CB$87,Formula!J26,30)))</f>
        <v>1.6808959999999997</v>
      </c>
      <c r="CQ26" s="54">
        <f>MAX(INDEX(Properties!A$1:CB$87,Formula!B26,30),INDEX(Properties!A$1:CB$87,Formula!D26,30),INDEX(Properties!A$1:CB$87,Formula!F26,30),INDEX(Properties!A$1:CB$87,Formula!H26,30),INDEX(Properties!A$1:CB$87,Formula!J26,30))</f>
        <v>3.44</v>
      </c>
      <c r="CR26" s="54">
        <f>MIN(IF(INDEX(Properties!A$1:CB$87,Formula!B26,30)=0,10^6,INDEX(Properties!A$1:CB$87,Formula!B26,30)),IF(INDEX(Properties!A$1:CB$87,Formula!D26,30)=0,10^6,INDEX(Properties!A$1:CB$87,Formula!D26,30)),IF(INDEX(Properties!A$1:CB$87,Formula!F26,30)=0,10^6,INDEX(Properties!A$1:CB$87,Formula!F26,30)),IF(INDEX(Properties!A$1:CB$87,Formula!H26,30)=0,10^6,INDEX(Properties!A$1:CB$87,Formula!H26,30)),IF(INDEX(Properties!A$1:CB$87,Formula!J26,30)=0,10^6,INDEX(Properties!A$1:CB$87,Formula!J26,30)))</f>
        <v>1</v>
      </c>
      <c r="CS26" s="54">
        <f t="shared" si="15"/>
        <v>2.44</v>
      </c>
      <c r="CT26" s="69">
        <f>((Formula!C26)/(Formula!C26+Formula!E26+Formula!G26+Formula!I26+Formula!K26))*(INDEX(Properties!A$1:CB$87,Formula!B26,31))+((Formula!E26)/(Formula!C26+Formula!E26+Formula!G26+Formula!I26+Formula!K26))*(INDEX(Properties!A$1:CB$87,Formula!D26,31))+((Formula!G26)/(Formula!C26+Formula!E26+Formula!G26+Formula!I26+Formula!K26))*(INDEX(Properties!A$1:CB$87,Formula!F26,31))+((Formula!I26)/(Formula!C26+Formula!E26+Formula!G26+Formula!I26+Formula!K26))*(INDEX(Properties!A$1:CB$87,Formula!H26,31))+((Formula!K26)/(Formula!C26+Formula!E26+Formula!G26+Formula!I26+Formula!K26))*(INDEX(Properties!A$1:CB$87,Formula!J26,31))</f>
        <v>2.5142857142857142</v>
      </c>
      <c r="CU26" s="69">
        <f>Formula!C26*(INDEX(Properties!A$1:CB$87,Formula!B26,31))+Formula!E26*(INDEX(Properties!A$1:CB$87,Formula!D26,31))+Formula!G26*(INDEX(Properties!A$1:CB$87,Formula!F26,31))+Formula!I26*(INDEX(Properties!A$1:CB$87,Formula!H26,31))+Formula!K26*(INDEX(Properties!A$1:CB$87,Formula!J26,31))</f>
        <v>17.600000000000001</v>
      </c>
      <c r="CV26" s="69">
        <f>VARP(IF(INDEX(Properties!A$1:CB$87,Formula!B26,31)&lt;&gt;"",INDEX(Properties!A$1:CB$87,Formula!B26,31)),IF(INDEX(Properties!A$1:CB$87,Formula!D26,31)&lt;&gt;"",INDEX(Properties!A$1:CB$87,Formula!D26,31)),IF(INDEX(Properties!A$1:CB$87,Formula!F26,31)&lt;&gt;"",INDEX(Properties!A$1:CB$87,Formula!F26,31)),IF(INDEX(Properties!A$1:CB$87,Formula!H26,31)&lt;&gt;"",INDEX(Properties!A$1:CB$87,Formula!H26,31)),IF(INDEX(Properties!A$1:CB$87,Formula!J26,31)&lt;&gt;"",INDEX(Properties!A$1:CB$87,Formula!J26,31)))</f>
        <v>1.587904</v>
      </c>
      <c r="CW26" s="69">
        <f>MAX(INDEX(Properties!A$1:CB$87,Formula!B26,31),INDEX(Properties!A$1:CB$87,Formula!D26,31),INDEX(Properties!A$1:CB$87,Formula!F26,31),INDEX(Properties!A$1:CB$87,Formula!H26,31),INDEX(Properties!A$1:CB$87,Formula!J26,31))</f>
        <v>3.32</v>
      </c>
      <c r="CX26" s="69">
        <f>MIN(IF(INDEX(Properties!A$1:CB$87,Formula!B26,31)=0,10^6,INDEX(Properties!A$1:CB$87,Formula!B26,31)),IF(INDEX(Properties!A$1:CB$87,Formula!D26,31)=0,10^6,INDEX(Properties!A$1:CB$87,Formula!D26,31)),IF(INDEX(Properties!A$1:CB$87,Formula!F26,31)=0,10^6,INDEX(Properties!A$1:CB$87,Formula!F26,31)),IF(INDEX(Properties!A$1:CB$87,Formula!H26,31)=0,10^6,INDEX(Properties!A$1:CB$87,Formula!H26,31)),IF(INDEX(Properties!A$1:CB$87,Formula!J26,31)=0,10^6,INDEX(Properties!A$1:CB$87,Formula!J26,31)))</f>
        <v>1.17</v>
      </c>
      <c r="CY26" s="69">
        <f t="shared" si="16"/>
        <v>2.15</v>
      </c>
      <c r="CZ26" s="42">
        <f>((Formula!C26)/(Formula!C26+Formula!E26+Formula!G26+Formula!I26+Formula!K26))*(INDEX(Properties!A$1:CB$87,Formula!B26,32))+((Formula!E26)/(Formula!C26+Formula!E26+Formula!G26+Formula!I26+Formula!K26))*(INDEX(Properties!A$1:CB$87,Formula!D26,32))+((Formula!G26)/(Formula!C26+Formula!E26+Formula!G26+Formula!I26+Formula!K26))*(INDEX(Properties!A$1:CB$87,Formula!F26,32))+((Formula!I26)/(Formula!C26+Formula!E26+Formula!G26+Formula!I26+Formula!K26))*(INDEX(Properties!A$1:CB$87,Formula!H26,32))+((Formula!K26)/(Formula!C26+Formula!E26+Formula!G26+Formula!I26+Formula!K26))*(INDEX(Properties!A$1:CB$87,Formula!J26,32))</f>
        <v>5.6185714285714283</v>
      </c>
      <c r="DA26" s="42">
        <f>Formula!C26*(INDEX(Properties!A$1:CB$87,Formula!B26,32))+Formula!E26*(INDEX(Properties!A$1:CB$87,Formula!D26,32))+Formula!G26*(INDEX(Properties!A$1:CB$87,Formula!F26,32))+Formula!I26*(INDEX(Properties!A$1:CB$87,Formula!H26,32))+Formula!K26*(INDEX(Properties!A$1:CB$87,Formula!J26,32))</f>
        <v>39.33</v>
      </c>
      <c r="DB26" s="42">
        <f>VARP(IF(INDEX(Properties!A$1:CB$87,Formula!B26,32)&lt;&gt;"",INDEX(Properties!A$1:CB$87,Formula!B26,32)),IF(INDEX(Properties!A$1:CB$87,Formula!D26,32)&lt;&gt;"",INDEX(Properties!A$1:CB$87,Formula!D26,32)),IF(INDEX(Properties!A$1:CB$87,Formula!F26,32)&lt;&gt;"",INDEX(Properties!A$1:CB$87,Formula!F26,32)),IF(INDEX(Properties!A$1:CB$87,Formula!H26,32)&lt;&gt;"",INDEX(Properties!A$1:CB$87,Formula!H26,32)),IF(INDEX(Properties!A$1:CB$87,Formula!J26,32)&lt;&gt;"",INDEX(Properties!A$1:CB$87,Formula!J26,32)))</f>
        <v>8.4672959999999993</v>
      </c>
      <c r="DC26" s="42">
        <f>MAX(INDEX(Properties!A$1:CB$87,Formula!B26,32),INDEX(Properties!A$1:CB$87,Formula!D26,32),INDEX(Properties!A$1:CB$87,Formula!F26,32),INDEX(Properties!A$1:CB$87,Formula!H26,32),INDEX(Properties!A$1:CB$87,Formula!J26,32))</f>
        <v>7.54</v>
      </c>
      <c r="DD26" s="42">
        <f>MIN(IF(INDEX(Properties!A$1:CB$87,Formula!B26,32)=0,10^6,INDEX(Properties!A$1:CB$87,Formula!B26,32)),IF(INDEX(Properties!A$1:CB$87,Formula!D26,32)=0,10^6,INDEX(Properties!A$1:CB$87,Formula!D26,32)),IF(INDEX(Properties!A$1:CB$87,Formula!F26,32)=0,10^6,INDEX(Properties!A$1:CB$87,Formula!F26,32)),IF(INDEX(Properties!A$1:CB$87,Formula!H26,32)=0,10^6,INDEX(Properties!A$1:CB$87,Formula!H26,32)),IF(INDEX(Properties!A$1:CB$87,Formula!J26,32)=0,10^6,INDEX(Properties!A$1:CB$87,Formula!J26,32)))</f>
        <v>2.2000000000000002</v>
      </c>
      <c r="DE26" s="42">
        <f t="shared" si="17"/>
        <v>5.34</v>
      </c>
      <c r="DF26" s="60">
        <f>((Formula!C26)/(Formula!C26+Formula!E26+Formula!G26+Formula!I26+Formula!K26))*(INDEX(Properties!A$1:CB$87,Formula!B26,34))+((Formula!E26)/(Formula!C26+Formula!E26+Formula!G26+Formula!I26+Formula!K26))*(INDEX(Properties!A$1:CB$87,Formula!D26,34))+((Formula!G26)/(Formula!C26+Formula!E26+Formula!G26+Formula!I26+Formula!K26))*(INDEX(Properties!A$1:CB$87,Formula!F26,34))+((Formula!I26)/(Formula!C26+Formula!E26+Formula!G26+Formula!I26+Formula!K26))*(INDEX(Properties!A$1:CB$87,Formula!H26,34))+((Formula!K26)/(Formula!C26+Formula!E26+Formula!G26+Formula!I26+Formula!K26))*(INDEX(Properties!A$1:CB$87,Formula!J26,34))</f>
        <v>2.6319999999999997</v>
      </c>
      <c r="DG26" s="60">
        <f>Formula!C26*(INDEX(Properties!A$1:CB$87,Formula!B26,34))+Formula!E26*(INDEX(Properties!A$1:CB$87,Formula!D26,34))+Formula!G26*(INDEX(Properties!A$1:CB$87,Formula!F26,34))+Formula!I26*(INDEX(Properties!A$1:CB$87,Formula!H26,34))+Formula!K26*(INDEX(Properties!A$1:CB$87,Formula!J26,34))</f>
        <v>18.423999999999999</v>
      </c>
      <c r="DH26" s="60">
        <f>VARP(IF(INDEX(Properties!A$1:CB$87,Formula!B26,34)&lt;&gt;"",INDEX(Properties!A$1:CB$87,Formula!B26,34)),IF(INDEX(Properties!A$1:CB$87,Formula!D26,34)&lt;&gt;"",INDEX(Properties!A$1:CB$87,Formula!D26,34)),IF(INDEX(Properties!A$1:CB$87,Formula!F26,34)&lt;&gt;"",INDEX(Properties!A$1:CB$87,Formula!F26,34)),IF(INDEX(Properties!A$1:CB$87,Formula!H26,34)&lt;&gt;"",INDEX(Properties!A$1:CB$87,Formula!H26,34)),IF(INDEX(Properties!A$1:CB$87,Formula!J26,34)&lt;&gt;"",INDEX(Properties!A$1:CB$87,Formula!J26,34)))</f>
        <v>1.8331183999999996</v>
      </c>
      <c r="DI26" s="60">
        <f>MAX(INDEX(Properties!A$1:CB$87,Formula!B26,34),INDEX(Properties!A$1:CB$87,Formula!D26,34),INDEX(Properties!A$1:CB$87,Formula!F26,34),INDEX(Properties!A$1:CB$87,Formula!H26,34),INDEX(Properties!A$1:CB$87,Formula!J26,34))</f>
        <v>3.61</v>
      </c>
      <c r="DJ26" s="60">
        <f>MIN(IF(INDEX(Properties!A$1:CB$87,Formula!B26,34)=0,10^6,INDEX(Properties!A$1:CB$87,Formula!B26,34)),IF(INDEX(Properties!A$1:CB$87,Formula!D26,34)=0,10^6,INDEX(Properties!A$1:CB$87,Formula!D26,34)),IF(INDEX(Properties!A$1:CB$87,Formula!F26,34)=0,10^6,INDEX(Properties!A$1:CB$87,Formula!F26,34)),IF(INDEX(Properties!A$1:CB$87,Formula!H26,34)=0,10^6,INDEX(Properties!A$1:CB$87,Formula!H26,34)),IF(INDEX(Properties!A$1:CB$87,Formula!J26,34)=0,10^6,INDEX(Properties!A$1:CB$87,Formula!J26,34)))</f>
        <v>1.034</v>
      </c>
      <c r="DK26" s="60">
        <f t="shared" si="18"/>
        <v>2.5759999999999996</v>
      </c>
      <c r="DL26" s="45">
        <f>((Formula!C26)/(Formula!C26+Formula!E26+Formula!G26+Formula!I26+Formula!K26))*(INDEX(Properties!A$1:CB$87,Formula!B26,39))+((Formula!E26)/(Formula!C26+Formula!E26+Formula!G26+Formula!I26+Formula!K26))*(INDEX(Properties!A$1:CB$87,Formula!D26,39))+((Formula!G26)/(Formula!C26+Formula!E26+Formula!G26+Formula!I26+Formula!K26))*(INDEX(Properties!A$1:CB$87,Formula!F26,39))+((Formula!I26)/(Formula!C26+Formula!E26+Formula!G26+Formula!I26+Formula!K26))*(INDEX(Properties!A$1:CB$87,Formula!H26,39))+((Formula!K26)/(Formula!C26+Formula!E26+Formula!G26+Formula!I26+Formula!K26))*(INDEX(Properties!A$1:CB$87,Formula!J26,39))</f>
        <v>0.9871428571428571</v>
      </c>
      <c r="DM26" s="45">
        <f>Formula!C26*(INDEX(Properties!A$1:CB$87,Formula!B26,39))+Formula!E26*(INDEX(Properties!A$1:CB$87,Formula!D26,39))+Formula!G26*(INDEX(Properties!A$1:CB$87,Formula!F26,39))+Formula!I26*(INDEX(Properties!A$1:CB$87,Formula!H26,39))+Formula!K26*(INDEX(Properties!A$1:CB$87,Formula!J26,39))</f>
        <v>6.91</v>
      </c>
      <c r="DN26" s="45">
        <f>VARP(IF(INDEX(Properties!A$1:CB$87,Formula!B26,39)&lt;&gt;"",INDEX(Properties!A$1:CB$87,Formula!B26,39)),IF(INDEX(Properties!A$1:CB$87,Formula!D26,39)&lt;&gt;"",INDEX(Properties!A$1:CB$87,Formula!D26,39)),IF(INDEX(Properties!A$1:CB$87,Formula!F26,39)&lt;&gt;"",INDEX(Properties!A$1:CB$87,Formula!F26,39)),IF(INDEX(Properties!A$1:CB$87,Formula!H26,39)&lt;&gt;"",INDEX(Properties!A$1:CB$87,Formula!H26,39)),IF(INDEX(Properties!A$1:CB$87,Formula!J26,39)&lt;&gt;"",INDEX(Properties!A$1:CB$87,Formula!J26,39)))</f>
        <v>0.54678400000000027</v>
      </c>
      <c r="DO26" s="45">
        <f>MAX(INDEX(Properties!A$1:CB$87,Formula!B26,39),INDEX(Properties!A$1:CB$87,Formula!D26,39),INDEX(Properties!A$1:CB$87,Formula!F26,39),INDEX(Properties!A$1:CB$87,Formula!H26,39),INDEX(Properties!A$1:CB$87,Formula!J26,39))</f>
        <v>1.94</v>
      </c>
      <c r="DP26" s="45">
        <f>MIN(IF(INDEX(Properties!A$1:CB$87,Formula!B26,39)=0,10^6,INDEX(Properties!A$1:CB$87,Formula!B26,39)),IF(INDEX(Properties!A$1:CB$87,Formula!D26,39)=0,10^6,INDEX(Properties!A$1:CB$87,Formula!D26,39)),IF(INDEX(Properties!A$1:CB$87,Formula!F26,39)=0,10^6,INDEX(Properties!A$1:CB$87,Formula!F26,39)),IF(INDEX(Properties!A$1:CB$87,Formula!H26,39)=0,10^6,INDEX(Properties!A$1:CB$87,Formula!H26,39)),IF(INDEX(Properties!A$1:CB$87,Formula!J26,39)=0,10^6,INDEX(Properties!A$1:CB$87,Formula!J26,39)))</f>
        <v>0.48</v>
      </c>
      <c r="DQ26" s="45">
        <f t="shared" si="19"/>
        <v>1.46</v>
      </c>
      <c r="DR26" s="63">
        <f>((Formula!C26)/(Formula!C26+Formula!E26+Formula!G26+Formula!I26+Formula!K26))*(INDEX(Properties!A$1:CB$87,Formula!B26,40))+((Formula!E26)/(Formula!C26+Formula!E26+Formula!G26+Formula!I26+Formula!K26))*(INDEX(Properties!A$1:CB$87,Formula!D26,40))+((Formula!G26)/(Formula!C26+Formula!E26+Formula!G26+Formula!I26+Formula!K26))*(INDEX(Properties!A$1:CB$87,Formula!F26,40))+((Formula!I26)/(Formula!C26+Formula!E26+Formula!G26+Formula!I26+Formula!K26))*(INDEX(Properties!A$1:CB$87,Formula!H26,40))+((Formula!K26)/(Formula!C26+Formula!E26+Formula!G26+Formula!I26+Formula!K26))*(INDEX(Properties!A$1:CB$87,Formula!J26,40))</f>
        <v>1.0728571428571427</v>
      </c>
      <c r="DS26" s="63">
        <f>Formula!C26*(INDEX(Properties!A$1:CB$87,Formula!B26,40))+Formula!E26*(INDEX(Properties!A$1:CB$87,Formula!D26,40))+Formula!G26*(INDEX(Properties!A$1:CB$87,Formula!F26,40))+Formula!I26*(INDEX(Properties!A$1:CB$87,Formula!H26,40))+Formula!K26*(INDEX(Properties!A$1:CB$87,Formula!J26,40))</f>
        <v>7.51</v>
      </c>
      <c r="DT26" s="63">
        <f>VARP(IF(INDEX(Properties!A$1:CB$87,Formula!B26,40)&lt;&gt;"",INDEX(Properties!A$1:CB$87,Formula!B26,40)),IF(INDEX(Properties!A$1:CB$87,Formula!D26,40)&lt;&gt;"",INDEX(Properties!A$1:CB$87,Formula!D26,40)),IF(INDEX(Properties!A$1:CB$87,Formula!F26,40)&lt;&gt;"",INDEX(Properties!A$1:CB$87,Formula!F26,40)),IF(INDEX(Properties!A$1:CB$87,Formula!H26,40)&lt;&gt;"",INDEX(Properties!A$1:CB$87,Formula!H26,40)),IF(INDEX(Properties!A$1:CB$87,Formula!J26,40)&lt;&gt;"",INDEX(Properties!A$1:CB$87,Formula!J26,40)))</f>
        <v>0.44586400000000004</v>
      </c>
      <c r="DU26" s="63">
        <f>MAX(INDEX(Properties!A$1:CB$87,Formula!B26,40),INDEX(Properties!A$1:CB$87,Formula!D26,40),INDEX(Properties!A$1:CB$87,Formula!F26,40),INDEX(Properties!A$1:CB$87,Formula!H26,40),INDEX(Properties!A$1:CB$87,Formula!J26,40))</f>
        <v>1.74</v>
      </c>
      <c r="DV26" s="63">
        <f>MIN(IF(INDEX(Properties!A$1:CB$87,Formula!B26,40)=0,10^6,INDEX(Properties!A$1:CB$87,Formula!B26,40)),IF(INDEX(Properties!A$1:CB$87,Formula!D26,40)=0,10^6,INDEX(Properties!A$1:CB$87,Formula!D26,40)),IF(INDEX(Properties!A$1:CB$87,Formula!F26,40)=0,10^6,INDEX(Properties!A$1:CB$87,Formula!F26,40)),IF(INDEX(Properties!A$1:CB$87,Formula!H26,40)=0,10^6,INDEX(Properties!A$1:CB$87,Formula!H26,40)),IF(INDEX(Properties!A$1:CB$87,Formula!J26,40)=0,10^6,INDEX(Properties!A$1:CB$87,Formula!J26,40)))</f>
        <v>0.73</v>
      </c>
      <c r="DW26" s="63">
        <f t="shared" si="20"/>
        <v>1.01</v>
      </c>
      <c r="DX26" s="75">
        <f>((Formula!C26)/(Formula!C26+Formula!E26+Formula!G26+Formula!I26+Formula!K26))*(INDEX(Properties!A$1:CB$87,Formula!B26,41))+((Formula!E26)/(Formula!C26+Formula!E26+Formula!G26+Formula!I26+Formula!K26))*(INDEX(Properties!A$1:CB$87,Formula!D26,41))+((Formula!G26)/(Formula!C26+Formula!E26+Formula!G26+Formula!I26+Formula!K26))*(INDEX(Properties!A$1:CB$87,Formula!F26,41))+((Formula!I26)/(Formula!C26+Formula!E26+Formula!G26+Formula!I26+Formula!K26))*(INDEX(Properties!A$1:CB$87,Formula!H26,41))+((Formula!K26)/(Formula!C26+Formula!E26+Formula!G26+Formula!I26+Formula!K26))*(INDEX(Properties!A$1:CB$87,Formula!J26,41))</f>
        <v>1.1228571428571428</v>
      </c>
      <c r="DY26" s="75">
        <f>Formula!C26*(INDEX(Properties!A$1:CB$87,Formula!B26,41))+Formula!E26*(INDEX(Properties!A$1:CB$87,Formula!D26,41))+Formula!G26*(INDEX(Properties!A$1:CB$87,Formula!F26,41))+Formula!I26*(INDEX(Properties!A$1:CB$87,Formula!H26,41))+Formula!K26*(INDEX(Properties!A$1:CB$87,Formula!J26,41))</f>
        <v>7.8599999999999994</v>
      </c>
      <c r="DZ26" s="75">
        <f>VARP(IF(INDEX(Properties!A$1:CB$87,Formula!B26,41)&lt;&gt;"",INDEX(Properties!A$1:CB$87,Formula!B26,41)),IF(INDEX(Properties!A$1:CB$87,Formula!D26,41)&lt;&gt;"",INDEX(Properties!A$1:CB$87,Formula!D26,41)),IF(INDEX(Properties!A$1:CB$87,Formula!F26,41)&lt;&gt;"",INDEX(Properties!A$1:CB$87,Formula!F26,41)),IF(INDEX(Properties!A$1:CB$87,Formula!H26,41)&lt;&gt;"",INDEX(Properties!A$1:CB$87,Formula!H26,41)),IF(INDEX(Properties!A$1:CB$87,Formula!J26,41)&lt;&gt;"",INDEX(Properties!A$1:CB$87,Formula!J26,41)))</f>
        <v>0.29001599999999994</v>
      </c>
      <c r="EA26" s="75">
        <f>MAX(INDEX(Properties!A$1:CB$87,Formula!B26,41),INDEX(Properties!A$1:CB$87,Formula!D26,41),INDEX(Properties!A$1:CB$87,Formula!F26,41),INDEX(Properties!A$1:CB$87,Formula!H26,41),INDEX(Properties!A$1:CB$87,Formula!J26,41))</f>
        <v>1.26</v>
      </c>
      <c r="EB26" s="75">
        <f>MIN(IF(INDEX(Properties!A$1:CB$87,Formula!B26,41)=0,10^6,INDEX(Properties!A$1:CB$87,Formula!B26,41)),IF(INDEX(Properties!A$1:CB$87,Formula!D26,41)=0,10^6,INDEX(Properties!A$1:CB$87,Formula!D26,41)),IF(INDEX(Properties!A$1:CB$87,Formula!F26,41)=0,10^6,INDEX(Properties!A$1:CB$87,Formula!F26,41)),IF(INDEX(Properties!A$1:CB$87,Formula!H26,41)=0,10^6,INDEX(Properties!A$1:CB$87,Formula!H26,41)),IF(INDEX(Properties!A$1:CB$87,Formula!J26,41)=0,10^6,INDEX(Properties!A$1:CB$87,Formula!J26,41)))</f>
        <v>0.54</v>
      </c>
      <c r="EC26" s="75">
        <f t="shared" si="21"/>
        <v>0.72</v>
      </c>
      <c r="ED26" s="48">
        <f>((Formula!C26)/(Formula!C26+Formula!E26+Formula!G26+Formula!I26+Formula!K26))*(INDEX(Properties!A$1:CB$87,Formula!B26,45))+((Formula!E26)/(Formula!C26+Formula!E26+Formula!G26+Formula!I26+Formula!K26))*(INDEX(Properties!A$1:CB$87,Formula!D26,45))+((Formula!G26)/(Formula!C26+Formula!E26+Formula!G26+Formula!I26+Formula!K26))*(INDEX(Properties!A$1:CB$87,Formula!F26,45))+((Formula!I26)/(Formula!C26+Formula!E26+Formula!G26+Formula!I26+Formula!K26))*(INDEX(Properties!A$1:CB$87,Formula!H26,45))+((Formula!K26)/(Formula!C26+Formula!E26+Formula!G26+Formula!I26+Formula!K26))*(INDEX(Properties!A$1:CB$87,Formula!J26,45))</f>
        <v>1.3285714285714285</v>
      </c>
      <c r="EE26" s="48">
        <f>Formula!C26*(INDEX(Properties!A$1:CB$87,Formula!B26,45))+Formula!E26*(INDEX(Properties!A$1:CB$87,Formula!D26,45))+Formula!G26*(INDEX(Properties!A$1:CB$87,Formula!F26,45))+Formula!I26*(INDEX(Properties!A$1:CB$87,Formula!H26,45))+Formula!K26*(INDEX(Properties!A$1:CB$87,Formula!J26,45))</f>
        <v>9.3000000000000007</v>
      </c>
      <c r="EF26" s="48">
        <f>VARP(IF(INDEX(Properties!A$1:CB$87,Formula!B26,45)&lt;&gt;"",INDEX(Properties!A$1:CB$87,Formula!B26,45)),IF(INDEX(Properties!A$1:CB$87,Formula!D26,45)&lt;&gt;"",INDEX(Properties!A$1:CB$87,Formula!D26,45)),IF(INDEX(Properties!A$1:CB$87,Formula!F26,45)&lt;&gt;"",INDEX(Properties!A$1:CB$87,Formula!F26,45)),IF(INDEX(Properties!A$1:CB$87,Formula!H26,45)&lt;&gt;"",INDEX(Properties!A$1:CB$87,Formula!H26,45)),IF(INDEX(Properties!A$1:CB$87,Formula!J26,45)&lt;&gt;"",INDEX(Properties!A$1:CB$87,Formula!J26,45)))</f>
        <v>1.2909760000000006</v>
      </c>
      <c r="EG26" s="48">
        <f>MAX(INDEX(Properties!A$1:CB$87,Formula!B26,45),INDEX(Properties!A$1:CB$87,Formula!D26,45),INDEX(Properties!A$1:CB$87,Formula!F26,45),INDEX(Properties!A$1:CB$87,Formula!H26,45),INDEX(Properties!A$1:CB$87,Formula!J26,45))</f>
        <v>3</v>
      </c>
      <c r="EH26" s="48">
        <f>MIN(IF(INDEX(Properties!A$1:CB$87,Formula!B26,45)=0,10^6,INDEX(Properties!A$1:CB$87,Formula!B26,45)),IF(INDEX(Properties!A$1:CB$87,Formula!D26,45)=0,10^6,INDEX(Properties!A$1:CB$87,Formula!D26,45)),IF(INDEX(Properties!A$1:CB$87,Formula!F26,45)=0,10^6,INDEX(Properties!A$1:CB$87,Formula!F26,45)),IF(INDEX(Properties!A$1:CB$87,Formula!H26,45)=0,10^6,INDEX(Properties!A$1:CB$87,Formula!H26,45)),IF(INDEX(Properties!A$1:CB$87,Formula!J26,45)=0,10^6,INDEX(Properties!A$1:CB$87,Formula!J26,45)))</f>
        <v>0.47</v>
      </c>
      <c r="EI26" s="48">
        <f t="shared" si="22"/>
        <v>2.5300000000000002</v>
      </c>
      <c r="EJ26" s="66">
        <f>((Formula!C26)/(Formula!C26+Formula!E26+Formula!G26+Formula!I26+Formula!K26))*(INDEX(Properties!A$1:CB$87,Formula!B26,46))+((Formula!E26)/(Formula!C26+Formula!E26+Formula!G26+Formula!I26+Formula!K26))*(INDEX(Properties!A$1:CB$87,Formula!D26,46))+((Formula!G26)/(Formula!C26+Formula!E26+Formula!G26+Formula!I26+Formula!K26))*(INDEX(Properties!A$1:CB$87,Formula!F26,46))+((Formula!I26)/(Formula!C26+Formula!E26+Formula!G26+Formula!I26+Formula!K26))*(INDEX(Properties!A$1:CB$87,Formula!H26,46))+((Formula!K26)/(Formula!C26+Formula!E26+Formula!G26+Formula!I26+Formula!K26))*(INDEX(Properties!A$1:CB$87,Formula!J26,46))</f>
        <v>1.0742857142857143</v>
      </c>
      <c r="EK26" s="66">
        <f>Formula!C26*(INDEX(Properties!A$1:CB$87,Formula!B26,46))+Formula!E26*(INDEX(Properties!A$1:CB$87,Formula!D26,46))+Formula!G26*(INDEX(Properties!A$1:CB$87,Formula!F26,46))+Formula!I26*(INDEX(Properties!A$1:CB$87,Formula!H26,46))+Formula!K26*(INDEX(Properties!A$1:CB$87,Formula!J26,46))</f>
        <v>7.52</v>
      </c>
      <c r="EL26" s="66">
        <f>VARP(IF(INDEX(Properties!A$1:CB$87,Formula!B26,46)&lt;&gt;"",INDEX(Properties!A$1:CB$87,Formula!B26,46)),IF(INDEX(Properties!A$1:CB$87,Formula!D26,46)&lt;&gt;"",INDEX(Properties!A$1:CB$87,Formula!D26,46)),IF(INDEX(Properties!A$1:CB$87,Formula!F26,46)&lt;&gt;"",INDEX(Properties!A$1:CB$87,Formula!F26,46)),IF(INDEX(Properties!A$1:CB$87,Formula!H26,46)&lt;&gt;"",INDEX(Properties!A$1:CB$87,Formula!H26,46)),IF(INDEX(Properties!A$1:CB$87,Formula!J26,46)&lt;&gt;"",INDEX(Properties!A$1:CB$87,Formula!J26,46)))</f>
        <v>0.28224000000000005</v>
      </c>
      <c r="EM26" s="66">
        <f>MAX(INDEX(Properties!A$1:CB$87,Formula!B26,46),INDEX(Properties!A$1:CB$87,Formula!D26,46),INDEX(Properties!A$1:CB$87,Formula!F26,46),INDEX(Properties!A$1:CB$87,Formula!H26,46),INDEX(Properties!A$1:CB$87,Formula!J26,46))</f>
        <v>1.21</v>
      </c>
      <c r="EN26" s="66">
        <f>MIN(IF(INDEX(Properties!A$1:CB$87,Formula!B26,46)=0,10^6,INDEX(Properties!A$1:CB$87,Formula!B26,46)),IF(INDEX(Properties!A$1:CB$87,Formula!D26,46)=0,10^6,INDEX(Properties!A$1:CB$87,Formula!D26,46)),IF(INDEX(Properties!A$1:CB$87,Formula!F26,46)=0,10^6,INDEX(Properties!A$1:CB$87,Formula!F26,46)),IF(INDEX(Properties!A$1:CB$87,Formula!H26,46)=0,10^6,INDEX(Properties!A$1:CB$87,Formula!H26,46)),IF(INDEX(Properties!A$1:CB$87,Formula!J26,46)=0,10^6,INDEX(Properties!A$1:CB$87,Formula!J26,46)))</f>
        <v>0.4</v>
      </c>
      <c r="EO26" s="66">
        <f t="shared" si="23"/>
        <v>0.80999999999999994</v>
      </c>
      <c r="EP26" s="81">
        <f>((Formula!C26)/(Formula!C26+Formula!E26+Formula!G26+Formula!I26+Formula!K26))*(INDEX(Properties!A$1:CB$87,Formula!B26,52))+((Formula!E26)/(Formula!C26+Formula!E26+Formula!G26+Formula!I26+Formula!K26))*(INDEX(Properties!A$1:CB$87,Formula!D26,52))+((Formula!G26)/(Formula!C26+Formula!E26+Formula!G26+Formula!I26+Formula!K26))*(INDEX(Properties!A$1:CB$87,Formula!F26,52))+((Formula!I26)/(Formula!C26+Formula!E26+Formula!G26+Formula!I26+Formula!K26))*(INDEX(Properties!A$1:CB$87,Formula!H26,52))+((Formula!K26)/(Formula!C26+Formula!E26+Formula!G26+Formula!I26+Formula!K26))*(INDEX(Properties!A$1:CB$87,Formula!J26,52))</f>
        <v>7.7388571428571424</v>
      </c>
      <c r="EQ26" s="81">
        <f>Formula!C26*(INDEX(Properties!A$1:CB$87,Formula!B26,52))+Formula!E26*(INDEX(Properties!A$1:CB$87,Formula!D26,52))+Formula!G26*(INDEX(Properties!A$1:CB$87,Formula!F26,52))+Formula!I26*(INDEX(Properties!A$1:CB$87,Formula!H26,52))+Formula!K26*(INDEX(Properties!A$1:CB$87,Formula!J26,52))</f>
        <v>54.171999999999997</v>
      </c>
      <c r="ER26" s="81">
        <f>VARP(IF(INDEX(Properties!A$1:CB$87,Formula!B26,52)&lt;&gt;"",INDEX(Properties!A$1:CB$87,Formula!B26,52)),IF(INDEX(Properties!A$1:CB$87,Formula!D26,52)&lt;&gt;"",INDEX(Properties!A$1:CB$87,Formula!D26,52)),IF(INDEX(Properties!A$1:CB$87,Formula!F26,52)&lt;&gt;"",INDEX(Properties!A$1:CB$87,Formula!F26,52)),IF(INDEX(Properties!A$1:CB$87,Formula!H26,52)&lt;&gt;"",INDEX(Properties!A$1:CB$87,Formula!H26,52)),IF(INDEX(Properties!A$1:CB$87,Formula!J26,52)&lt;&gt;"",INDEX(Properties!A$1:CB$87,Formula!J26,52)))</f>
        <v>76.302007839999973</v>
      </c>
      <c r="ES26" s="81">
        <f>MAX(INDEX(Properties!A$1:CB$87,Formula!B26,52),INDEX(Properties!A$1:CB$87,Formula!D26,52),INDEX(Properties!A$1:CB$87,Formula!F26,52),INDEX(Properties!A$1:CB$87,Formula!H26,52),INDEX(Properties!A$1:CB$87,Formula!J26,52))</f>
        <v>22.8</v>
      </c>
      <c r="ET26" s="81">
        <f>MIN(IF(INDEX(Properties!A$1:CB$87,Formula!B26,52)=0,10^6,INDEX(Properties!A$1:CB$87,Formula!B26,52)),IF(INDEX(Properties!A$1:CB$87,Formula!D26,52)=0,10^6,INDEX(Properties!A$1:CB$87,Formula!D26,52)),IF(INDEX(Properties!A$1:CB$87,Formula!F26,52)=0,10^6,INDEX(Properties!A$1:CB$87,Formula!F26,52)),IF(INDEX(Properties!A$1:CB$87,Formula!H26,52)=0,10^6,INDEX(Properties!A$1:CB$87,Formula!H26,52)),IF(INDEX(Properties!A$1:CB$87,Formula!J26,52)=0,10^6,INDEX(Properties!A$1:CB$87,Formula!J26,52)))</f>
        <v>0.79300000000000004</v>
      </c>
      <c r="EU26" s="81">
        <f t="shared" si="24"/>
        <v>22.007000000000001</v>
      </c>
      <c r="EV26" s="39">
        <f>((Formula!C26)/(Formula!C26+Formula!E26+Formula!G26+Formula!I26+Formula!K26))*(INDEX(Properties!A$1:CB$87,Formula!B26,53))+((Formula!E26)/(Formula!C26+Formula!E26+Formula!G26+Formula!I26+Formula!K26))*(INDEX(Properties!A$1:CB$87,Formula!D26,53))+((Formula!G26)/(Formula!C26+Formula!E26+Formula!G26+Formula!I26+Formula!K26))*(INDEX(Properties!A$1:CB$87,Formula!F26,53))+((Formula!I26)/(Formula!C26+Formula!E26+Formula!G26+Formula!I26+Formula!K26))*(INDEX(Properties!A$1:CB$87,Formula!H26,53))+((Formula!K26)/(Formula!C26+Formula!E26+Formula!G26+Formula!I26+Formula!K26))*(INDEX(Properties!A$1:CB$87,Formula!J26,53))</f>
        <v>589.49285714285702</v>
      </c>
      <c r="EW26" s="39">
        <f>Formula!C26*(INDEX(Properties!A$1:CB$87,Formula!B26,53))+Formula!E26*(INDEX(Properties!A$1:CB$87,Formula!D26,53))+Formula!G26*(INDEX(Properties!A$1:CB$87,Formula!F26,53))+Formula!I26*(INDEX(Properties!A$1:CB$87,Formula!H26,53))+Formula!K26*(INDEX(Properties!A$1:CB$87,Formula!J26,53))</f>
        <v>4126.45</v>
      </c>
      <c r="EX26" s="39">
        <f>VARP(IF(INDEX(Properties!A$1:CB$87,Formula!B26,53)&lt;&gt;"",INDEX(Properties!A$1:CB$87,Formula!B26,53)),IF(INDEX(Properties!A$1:CB$87,Formula!D26,53)&lt;&gt;"",INDEX(Properties!A$1:CB$87,Formula!D26,53)),IF(INDEX(Properties!A$1:CB$87,Formula!F26,53)&lt;&gt;"",INDEX(Properties!A$1:CB$87,Formula!F26,53)),IF(INDEX(Properties!A$1:CB$87,Formula!H26,53)&lt;&gt;"",INDEX(Properties!A$1:CB$87,Formula!H26,53)),IF(INDEX(Properties!A$1:CB$87,Formula!J26,53)&lt;&gt;"",INDEX(Properties!A$1:CB$87,Formula!J26,53)))</f>
        <v>489662.42140000017</v>
      </c>
      <c r="EY26" s="39">
        <f>MAX(INDEX(Properties!A$1:CB$87,Formula!B26,53),INDEX(Properties!A$1:CB$87,Formula!D26,53),INDEX(Properties!A$1:CB$87,Formula!F26,53),INDEX(Properties!A$1:CB$87,Formula!H26,53),INDEX(Properties!A$1:CB$87,Formula!J26,53))</f>
        <v>1683.15</v>
      </c>
      <c r="EZ26" s="39">
        <f>MIN(IF(INDEX(Properties!A$1:CB$87,Formula!B26,53)=0,10^6,INDEX(Properties!A$1:CB$87,Formula!B26,53)),IF(INDEX(Properties!A$1:CB$87,Formula!D26,53)=0,10^6,INDEX(Properties!A$1:CB$87,Formula!D26,53)),IF(INDEX(Properties!A$1:CB$87,Formula!F26,53)=0,10^6,INDEX(Properties!A$1:CB$87,Formula!F26,53)),IF(INDEX(Properties!A$1:CB$87,Formula!H26,53)=0,10^6,INDEX(Properties!A$1:CB$87,Formula!H26,53)),IF(INDEX(Properties!A$1:CB$87,Formula!J26,53)=0,10^6,INDEX(Properties!A$1:CB$87,Formula!J26,53)))</f>
        <v>54.749999999999972</v>
      </c>
      <c r="FA26" s="39">
        <f t="shared" si="25"/>
        <v>1628.4</v>
      </c>
      <c r="FB26" s="54">
        <f>((Formula!C26)/(Formula!C26+Formula!E26+Formula!G26+Formula!I26+Formula!K26))*(INDEX(Properties!A$1:CB$87,Formula!B26,54))+((Formula!E26)/(Formula!C26+Formula!E26+Formula!G26+Formula!I26+Formula!K26))*(INDEX(Properties!A$1:CB$87,Formula!D26,54))+((Formula!G26)/(Formula!C26+Formula!E26+Formula!G26+Formula!I26+Formula!K26))*(INDEX(Properties!A$1:CB$87,Formula!F26,54))+((Formula!I26)/(Formula!C26+Formula!E26+Formula!G26+Formula!I26+Formula!K26))*(INDEX(Properties!A$1:CB$87,Formula!H26,54))+((Formula!K26)/(Formula!C26+Formula!E26+Formula!G26+Formula!I26+Formula!K26))*(INDEX(Properties!A$1:CB$87,Formula!J26,54))</f>
        <v>929.00714285714287</v>
      </c>
      <c r="FC26" s="54">
        <f>Formula!C26*(INDEX(Properties!A$1:CB$87,Formula!B26,54))+Formula!E26*(INDEX(Properties!A$1:CB$87,Formula!D26,54))+Formula!G26*(INDEX(Properties!A$1:CB$87,Formula!F26,54))+Formula!I26*(INDEX(Properties!A$1:CB$87,Formula!H26,54))+Formula!K26*(INDEX(Properties!A$1:CB$87,Formula!J26,54))</f>
        <v>6503.0500000000011</v>
      </c>
      <c r="FD26" s="54">
        <f>VARP(IF(INDEX(Properties!A$1:CB$87,Formula!B26,54)&lt;&gt;"",INDEX(Properties!A$1:CB$87,Formula!B26,54)),IF(INDEX(Properties!A$1:CB$87,Formula!D26,54)&lt;&gt;"",INDEX(Properties!A$1:CB$87,Formula!D26,54)),IF(INDEX(Properties!A$1:CB$87,Formula!F26,54)&lt;&gt;"",INDEX(Properties!A$1:CB$87,Formula!F26,54)),IF(INDEX(Properties!A$1:CB$87,Formula!H26,54)&lt;&gt;"",INDEX(Properties!A$1:CB$87,Formula!H26,54)),IF(INDEX(Properties!A$1:CB$87,Formula!J26,54)&lt;&gt;"",INDEX(Properties!A$1:CB$87,Formula!J26,54)))</f>
        <v>1199389.0054000006</v>
      </c>
      <c r="FE26" s="54">
        <f>MAX(INDEX(Properties!A$1:CB$87,Formula!B26,54),INDEX(Properties!A$1:CB$87,Formula!D26,54),INDEX(Properties!A$1:CB$87,Formula!F26,54),INDEX(Properties!A$1:CB$87,Formula!H26,54),INDEX(Properties!A$1:CB$87,Formula!J26,54))</f>
        <v>2628.15</v>
      </c>
      <c r="FF26" s="54">
        <f>MIN(IF(INDEX(Properties!A$1:CB$87,Formula!B26,54)=0,10^6,INDEX(Properties!A$1:CB$87,Formula!B26,54)),IF(INDEX(Properties!A$1:CB$87,Formula!D26,54)=0,10^6,INDEX(Properties!A$1:CB$87,Formula!D26,54)),IF(INDEX(Properties!A$1:CB$87,Formula!F26,54)=0,10^6,INDEX(Properties!A$1:CB$87,Formula!F26,54)),IF(INDEX(Properties!A$1:CB$87,Formula!H26,54)=0,10^6,INDEX(Properties!A$1:CB$87,Formula!H26,54)),IF(INDEX(Properties!A$1:CB$87,Formula!J26,54)=0,10^6,INDEX(Properties!A$1:CB$87,Formula!J26,54)))</f>
        <v>90.149999999999977</v>
      </c>
      <c r="FG26" s="54">
        <f t="shared" si="26"/>
        <v>2538</v>
      </c>
      <c r="FH26" s="69">
        <f>((Formula!C26)/(Formula!C26+Formula!E26+Formula!G26+Formula!I26+Formula!K26))*(INDEX(Properties!A$1:CB$87,Formula!B26,55))+((Formula!E26)/(Formula!C26+Formula!E26+Formula!G26+Formula!I26+Formula!K26))*(INDEX(Properties!A$1:CB$87,Formula!D26,55))+((Formula!G26)/(Formula!C26+Formula!E26+Formula!G26+Formula!I26+Formula!K26))*(INDEX(Properties!A$1:CB$87,Formula!F26,55))+((Formula!I26)/(Formula!C26+Formula!E26+Formula!G26+Formula!I26+Formula!K26))*(INDEX(Properties!A$1:CB$87,Formula!H26,55))+((Formula!K26)/(Formula!C26+Formula!E26+Formula!G26+Formula!I26+Formula!K26))*(INDEX(Properties!A$1:CB$87,Formula!J26,55))</f>
        <v>0.77653142857142854</v>
      </c>
      <c r="FI26" s="69">
        <f>Formula!C26*(INDEX(Properties!A$1:CB$87,Formula!B26,55))+Formula!E26*(INDEX(Properties!A$1:CB$87,Formula!D26,54))+Formula!G26*(INDEX(Properties!A$1:CB$87,Formula!F26,55))+Formula!I26*(INDEX(Properties!A$1:CB$87,Formula!H26,55))+Formula!K26*(INDEX(Properties!A$1:CB$87,Formula!J26,55))</f>
        <v>2631.2557200000001</v>
      </c>
      <c r="FJ26" s="69">
        <f>VARP(IF(INDEX(Properties!A$1:CB$87,Formula!B26,55)&lt;&gt;"",INDEX(Properties!A$1:CB$87,Formula!B26,55)),IF(INDEX(Properties!A$1:CB$87,Formula!D26,55)&lt;&gt;"",INDEX(Properties!A$1:CB$87,Formula!D26,55)),IF(INDEX(Properties!A$1:CB$87,Formula!F26,55)&lt;&gt;"",INDEX(Properties!A$1:CB$87,Formula!F26,55)),IF(INDEX(Properties!A$1:CB$87,Formula!H26,55)&lt;&gt;"",INDEX(Properties!A$1:CB$87,Formula!H26,55)),IF(INDEX(Properties!A$1:CB$87,Formula!J26,55)&lt;&gt;"",INDEX(Properties!A$1:CB$87,Formula!J26,55)))</f>
        <v>0.96366045518400023</v>
      </c>
      <c r="FK26" s="69">
        <f>MAX(INDEX(Properties!A$1:CB$87,Formula!B26,55),INDEX(Properties!A$1:CB$87,Formula!D26,55),INDEX(Properties!A$1:CB$87,Formula!F26,55),INDEX(Properties!A$1:CB$87,Formula!H26,55),INDEX(Properties!A$1:CB$87,Formula!J26,55))</f>
        <v>2.33</v>
      </c>
      <c r="FL26" s="69">
        <f>MIN(IF(INDEX(Properties!A$1:CB$87,Formula!B26,55)=0,10^6,INDEX(Properties!A$1:CB$87,Formula!B26,55)),IF(INDEX(Properties!A$1:CB$87,Formula!D26,55)=0,10^6,INDEX(Properties!A$1:CB$87,Formula!D26,55)),IF(INDEX(Properties!A$1:CB$87,Formula!F26,55)=0,10^6,INDEX(Properties!A$1:CB$87,Formula!F26,55)),IF(INDEX(Properties!A$1:CB$87,Formula!H26,55)=0,10^6,INDEX(Properties!A$1:CB$87,Formula!H26,55)),IF(INDEX(Properties!A$1:CB$87,Formula!J26,55)=0,10^6,INDEX(Properties!A$1:CB$87,Formula!J26,55)))</f>
        <v>1.4300000000000001E-3</v>
      </c>
      <c r="FM26" s="69">
        <f t="shared" si="27"/>
        <v>2.32857</v>
      </c>
      <c r="FN26" s="42">
        <f>((Formula!C26)/(Formula!C26+Formula!E26+Formula!G26+Formula!I26+Formula!K26))*(INDEX(Properties!A$1:CB$87,Formula!B26,56))+((Formula!E26)/(Formula!C26+Formula!E26+Formula!G26+Formula!I26+Formula!K26))*(INDEX(Properties!A$1:CB$87,Formula!D26,56))+((Formula!G26)/(Formula!C26+Formula!E26+Formula!G26+Formula!I26+Formula!K26))*(INDEX(Properties!A$1:CB$87,Formula!F26,56))+((Formula!I26)/(Formula!C26+Formula!E26+Formula!G26+Formula!I26+Formula!K26))*(INDEX(Properties!A$1:CB$87,Formula!H26,56))+((Formula!K26)/(Formula!C26+Formula!E26+Formula!G26+Formula!I26+Formula!K26))*(INDEX(Properties!A$1:CB$87,Formula!J26,56))</f>
        <v>0.80714285714285716</v>
      </c>
      <c r="FO26" s="42">
        <f>Formula!C26*(INDEX(Properties!A$1:CB$87,Formula!B26,56))+Formula!E26*(INDEX(Properties!A$1:CB$87,Formula!D26,56))+Formula!G26*(INDEX(Properties!A$1:CB$87,Formula!F26,56))+Formula!I26*(INDEX(Properties!A$1:CB$87,Formula!H26,56))+Formula!K26*(INDEX(Properties!A$1:CB$87,Formula!J26,56))</f>
        <v>5.65</v>
      </c>
      <c r="FP26" s="42">
        <f>VARP(IF(INDEX(Properties!A$1:CB$87,Formula!B26,56)&lt;&gt;"",INDEX(Properties!A$1:CB$87,Formula!B26,56)),IF(INDEX(Properties!A$1:CB$87,Formula!D26,56)&lt;&gt;"",INDEX(Properties!A$1:CB$87,Formula!D26,56)),IF(INDEX(Properties!A$1:CB$87,Formula!F26,56)&lt;&gt;"",INDEX(Properties!A$1:CB$87,Formula!F26,56)),IF(INDEX(Properties!A$1:CB$87,Formula!H26,56)&lt;&gt;"",INDEX(Properties!A$1:CB$87,Formula!H26,56)),IF(INDEX(Properties!A$1:CB$87,Formula!J26,56)&lt;&gt;"",INDEX(Properties!A$1:CB$87,Formula!J26,56)))</f>
        <v>0.14517600000000006</v>
      </c>
      <c r="FQ26" s="42">
        <f>MAX(INDEX(Properties!A$1:CB$87,Formula!B26,56),INDEX(Properties!A$1:CB$87,Formula!D26,56),INDEX(Properties!A$1:CB$87,Formula!F26,56),INDEX(Properties!A$1:CB$87,Formula!H26,56),INDEX(Properties!A$1:CB$87,Formula!J26,56))</f>
        <v>0.92</v>
      </c>
      <c r="FR26" s="42">
        <f>MIN(IF(INDEX(Properties!A$1:CB$87,Formula!B26,56)=0,10^6,INDEX(Properties!A$1:CB$87,Formula!B26,56)),IF(INDEX(Properties!A$1:CB$87,Formula!D26,56)=0,10^6,INDEX(Properties!A$1:CB$87,Formula!D26,56)),IF(INDEX(Properties!A$1:CB$87,Formula!F26,56)=0,10^6,INDEX(Properties!A$1:CB$87,Formula!F26,56)),IF(INDEX(Properties!A$1:CB$87,Formula!H26,56)=0,10^6,INDEX(Properties!A$1:CB$87,Formula!H26,56)),IF(INDEX(Properties!A$1:CB$87,Formula!J26,56)=0,10^6,INDEX(Properties!A$1:CB$87,Formula!J26,56)))</f>
        <v>0.63</v>
      </c>
      <c r="FS26" s="42">
        <f t="shared" si="28"/>
        <v>0.29000000000000004</v>
      </c>
      <c r="FT26" s="60">
        <f>((Formula!C26)/(Formula!C26+Formula!E26+Formula!G26+Formula!I26+Formula!K26))*(INDEX(Properties!A$1:CB$87,Formula!B26,57))+((Formula!E26)/(Formula!C26+Formula!E26+Formula!G26+Formula!I26+Formula!K26))*(INDEX(Properties!A$1:CB$87,Formula!D26,57))+((Formula!G26)/(Formula!C26+Formula!E26+Formula!G26+Formula!I26+Formula!K26))*(INDEX(Properties!A$1:CB$87,Formula!F26,57))+((Formula!I26)/(Formula!C26+Formula!E26+Formula!G26+Formula!I26+Formula!K26))*(INDEX(Properties!A$1:CB$87,Formula!H26,57))+((Formula!K26)/(Formula!C26+Formula!E26+Formula!G26+Formula!I26+Formula!K26))*(INDEX(Properties!A$1:CB$87,Formula!J26,57))</f>
        <v>9.7886228571428546</v>
      </c>
      <c r="FU26" s="60">
        <f>Formula!C26*(INDEX(Properties!A$1:CB$87,Formula!B26,57))+Formula!E26*(INDEX(Properties!A$1:CB$87,Formula!D26,57))+Formula!G26*(INDEX(Properties!A$1:CB$87,Formula!F26,57))+Formula!I26*(INDEX(Properties!A$1:CB$87,Formula!H26,57))+Formula!K26*(INDEX(Properties!A$1:CB$87,Formula!J26,57))</f>
        <v>68.520359999999997</v>
      </c>
      <c r="FV26" s="60">
        <f>VARP(IF(INDEX(Properties!A$1:CB$87,Formula!B26,57)&lt;&gt;"",INDEX(Properties!A$1:CB$87,Formula!B26,57)),IF(INDEX(Properties!A$1:CB$87,Formula!D26,57)&lt;&gt;"",INDEX(Properties!A$1:CB$87,Formula!D26,57)),IF(INDEX(Properties!A$1:CB$87,Formula!F26,57)&lt;&gt;"",INDEX(Properties!A$1:CB$87,Formula!F26,57)),IF(INDEX(Properties!A$1:CB$87,Formula!H26,57)&lt;&gt;"",INDEX(Properties!A$1:CB$87,Formula!H26,57)),IF(INDEX(Properties!A$1:CB$87,Formula!J26,57)&lt;&gt;"",INDEX(Properties!A$1:CB$87,Formula!J26,57)))</f>
        <v>384.93739596129598</v>
      </c>
      <c r="FW26" s="60">
        <f>MAX(INDEX(Properties!A$1:CB$87,Formula!B26,57),INDEX(Properties!A$1:CB$87,Formula!D26,57),INDEX(Properties!A$1:CB$87,Formula!F26,57),INDEX(Properties!A$1:CB$87,Formula!H26,57),INDEX(Properties!A$1:CB$87,Formula!J26,57))</f>
        <v>50.55</v>
      </c>
      <c r="FX26" s="60">
        <f>MIN(IF(INDEX(Properties!A$1:CB$87,Formula!B26,57)=0,10^6,INDEX(Properties!A$1:CB$87,Formula!B26,57)),IF(INDEX(Properties!A$1:CB$87,Formula!D26,57)=0,10^6,INDEX(Properties!A$1:CB$87,Formula!D26,57)),IF(INDEX(Properties!A$1:CB$87,Formula!F26,57)=0,10^6,INDEX(Properties!A$1:CB$87,Formula!F26,57)),IF(INDEX(Properties!A$1:CB$87,Formula!H26,57)=0,10^6,INDEX(Properties!A$1:CB$87,Formula!H26,57)),IF(INDEX(Properties!A$1:CB$87,Formula!J26,57)=0,10^6,INDEX(Properties!A$1:CB$87,Formula!J26,57)))</f>
        <v>0.22259000000000001</v>
      </c>
      <c r="FY26" s="60">
        <f t="shared" si="29"/>
        <v>50.32741</v>
      </c>
      <c r="FZ26" s="72">
        <f>((Formula!C26)/(Formula!C26+Formula!E26+Formula!G26+Formula!I26+Formula!K26))*(INDEX(Properties!A$1:CB$87,Formula!B26,60))+((Formula!E26)/(Formula!C26+Formula!E26+Formula!G26+Formula!I26+Formula!K26))*(INDEX(Properties!A$1:CB$87,Formula!D26,60))+((Formula!G26)/(Formula!C26+Formula!E26+Formula!G26+Formula!I26+Formula!K26))*(INDEX(Properties!A$1:CB$87,Formula!F26,60))+((Formula!I26)/(Formula!C26+Formula!E26+Formula!G26+Formula!I26+Formula!K26))*(INDEX(Properties!A$1:CB$87,Formula!H26,60))+((Formula!K26)/(Formula!C26+Formula!E26+Formula!G26+Formula!I26+Formula!K26))*(INDEX(Properties!A$1:CB$87,Formula!J26,60))</f>
        <v>78.300994285714282</v>
      </c>
      <c r="GA26" s="72">
        <f>Formula!C26*(INDEX(Properties!A$1:CB$87,Formula!B26,60))+Formula!E26*(INDEX(Properties!A$1:CB$87,Formula!D26,60))+Formula!G26*(INDEX(Properties!A$1:CB$87,Formula!F26,60))+Formula!I26*(INDEX(Properties!A$1:CB$87,Formula!H26,60))+Formula!K26*(INDEX(Properties!A$1:CB$87,Formula!J26,60))</f>
        <v>548.10695999999996</v>
      </c>
      <c r="GB26" s="72">
        <f>VARP(IF(INDEX(Properties!A$1:CB$87,Formula!B26,60)&lt;&gt;"",INDEX(Properties!A$1:CB$87,Formula!B26,60)),IF(INDEX(Properties!A$1:CB$87,Formula!D26,60)&lt;&gt;"",INDEX(Properties!A$1:CB$87,Formula!D26,60)),IF(INDEX(Properties!A$1:CB$87,Formula!F26,60)&lt;&gt;"",INDEX(Properties!A$1:CB$87,Formula!F26,60)),IF(INDEX(Properties!A$1:CB$87,Formula!H26,60)&lt;&gt;"",INDEX(Properties!A$1:CB$87,Formula!H26,60)),IF(INDEX(Properties!A$1:CB$87,Formula!J26,60)&lt;&gt;"",INDEX(Properties!A$1:CB$87,Formula!J26,60)))</f>
        <v>7535.895672804415</v>
      </c>
      <c r="GC26" s="72">
        <f>MAX(INDEX(Properties!A$1:CB$87,Formula!B26,60),INDEX(Properties!A$1:CB$87,Formula!D26,60),INDEX(Properties!A$1:CB$87,Formula!F26,60),INDEX(Properties!A$1:CB$87,Formula!H26,60),INDEX(Properties!A$1:CB$87,Formula!J26,60))</f>
        <v>200</v>
      </c>
      <c r="GD26" s="72">
        <f>MIN(IF(INDEX(Properties!A$1:CB$87,Formula!B26,60)=0,10^6,INDEX(Properties!A$1:CB$87,Formula!B26,60)),IF(INDEX(Properties!A$1:CB$87,Formula!D26,60)=0,10^6,INDEX(Properties!A$1:CB$87,Formula!D26,60)),IF(INDEX(Properties!A$1:CB$87,Formula!F26,60)=0,10^6,INDEX(Properties!A$1:CB$87,Formula!F26,60)),IF(INDEX(Properties!A$1:CB$87,Formula!H26,60)=0,10^6,INDEX(Properties!A$1:CB$87,Formula!H26,60)),IF(INDEX(Properties!A$1:CB$87,Formula!J26,60)=0,10^6,INDEX(Properties!A$1:CB$87,Formula!J26,60)))</f>
        <v>2.674E-2</v>
      </c>
      <c r="GE26" s="72">
        <f t="shared" si="30"/>
        <v>199.97326000000001</v>
      </c>
      <c r="GF26" s="51">
        <f>((Formula!C26)/(Formula!C26+Formula!E26+Formula!G26+Formula!I26+Formula!K26))*(INDEX(Properties!A$1:CB$87,Formula!B26,62))+((Formula!E26)/(Formula!C26+Formula!E26+Formula!G26+Formula!I26+Formula!K26))*(INDEX(Properties!A$1:CB$87,Formula!D26,62))+((Formula!G26)/(Formula!C26+Formula!E26+Formula!G26+Formula!I26+Formula!K26))*(INDEX(Properties!A$1:CB$87,Formula!F26,62))+((Formula!I26)/(Formula!C26+Formula!E26+Formula!G26+Formula!I26+Formula!K26))*(INDEX(Properties!A$1:CB$87,Formula!H26,62))+((Formula!K26)/(Formula!C26+Formula!E26+Formula!G26+Formula!I26+Formula!K26))*(INDEX(Properties!A$1:CB$87,Formula!J26,62))</f>
        <v>2.6842857142857142</v>
      </c>
      <c r="GG26" s="51">
        <f>Formula!C26*(INDEX(Properties!A$1:CB$87,Formula!B26,62))+Formula!E26*(INDEX(Properties!A$1:CB$87,Formula!D26,62))+Formula!G26*(INDEX(Properties!A$1:CB$87,Formula!F26,62))+Formula!I26*(INDEX(Properties!A$1:CB$87,Formula!H26,62))+Formula!K26*(INDEX(Properties!A$1:CB$87,Formula!J26,62))</f>
        <v>18.79</v>
      </c>
      <c r="GH26" s="51">
        <f>VARP(IF(INDEX(Properties!A$1:CB$87,Formula!B26,62)&lt;&gt;"",INDEX(Properties!A$1:CB$87,Formula!B26,62)),IF(INDEX(Properties!A$1:CB$87,Formula!D26,62)&lt;&gt;"",INDEX(Properties!A$1:CB$87,Formula!D26,62)),IF(INDEX(Properties!A$1:CB$87,Formula!F26,62)&lt;&gt;"",INDEX(Properties!A$1:CB$87,Formula!F26,62)),IF(INDEX(Properties!A$1:CB$87,Formula!H26,62)&lt;&gt;"",INDEX(Properties!A$1:CB$87,Formula!H26,62)),IF(INDEX(Properties!A$1:CB$87,Formula!J26,62)&lt;&gt;"",INDEX(Properties!A$1:CB$87,Formula!J26,62)))</f>
        <v>3.0322559999999994</v>
      </c>
      <c r="GI26" s="51">
        <f>MAX(INDEX(Properties!A$1:CB$87,Formula!B26,62),INDEX(Properties!A$1:CB$87,Formula!D26,62),INDEX(Properties!A$1:CB$87,Formula!F26,62),INDEX(Properties!A$1:CB$87,Formula!H26,62),INDEX(Properties!A$1:CB$87,Formula!J26,62))</f>
        <v>4.63</v>
      </c>
      <c r="GJ26" s="51">
        <f>MIN(IF(INDEX(Properties!A$1:CB$87,Formula!B26,62)=0,10^6,INDEX(Properties!A$1:CB$87,Formula!B26,62)),IF(INDEX(Properties!A$1:CB$87,Formula!D26,62)=0,10^6,INDEX(Properties!A$1:CB$87,Formula!D26,62)),IF(INDEX(Properties!A$1:CB$87,Formula!F26,62)=0,10^6,INDEX(Properties!A$1:CB$87,Formula!F26,62)),IF(INDEX(Properties!A$1:CB$87,Formula!H26,62)=0,10^6,INDEX(Properties!A$1:CB$87,Formula!H26,62)),IF(INDEX(Properties!A$1:CB$87,Formula!J26,62)=0,10^6,INDEX(Properties!A$1:CB$87,Formula!J26,62)))</f>
        <v>1.84</v>
      </c>
      <c r="GK26" s="51">
        <f t="shared" si="31"/>
        <v>2.79</v>
      </c>
      <c r="GL26" s="51">
        <f>Formula!P26</f>
        <v>62</v>
      </c>
      <c r="GM26" s="57">
        <f>Formula!O26</f>
        <v>3</v>
      </c>
      <c r="GN26" s="51">
        <f>Formula!N26</f>
        <v>0.05</v>
      </c>
    </row>
    <row r="27" spans="1:196" x14ac:dyDescent="0.3">
      <c r="A27" s="84" t="str">
        <f>Formula!A27</f>
        <v>ZnWO4</v>
      </c>
      <c r="B27" s="89">
        <f>((Formula!C27)/(Formula!C27+Formula!E27+Formula!G27+Formula!I27+Formula!K27))*(INDEX(Properties!A$1:CB$87,Formula!B27,3))+((Formula!E27)/(Formula!C27+Formula!E27+Formula!G27+Formula!I27+Formula!K27))*(INDEX(Properties!A$1:CB$87,Formula!D27,3))+((Formula!G27)/(Formula!C27+Formula!E27+Formula!G27+Formula!I27+Formula!K27))*(INDEX(Properties!A$1:CB$87,Formula!F27,3))+((Formula!I27)/(Formula!C27+Formula!E27+Formula!G27+Formula!I27+Formula!K27))*(INDEX(Properties!A$1:CB$87,Formula!H27,3))+((Formula!K27)/(Formula!C27+Formula!E27+Formula!G27+Formula!I27+Formula!K27))*(INDEX(Properties!A$1:CB$87,Formula!J27,3))</f>
        <v>40.135088888888887</v>
      </c>
      <c r="C27" s="85">
        <f>Formula!C27*(INDEX(Properties!A$1:CB$87,Formula!B27,3))+Formula!E27*(INDEX(Properties!A$1:CB$87,Formula!D27,3))+Formula!G27*(INDEX(Properties!A$1:CB$87,Formula!F27,3))+Formula!I27*(INDEX(Properties!A$1:CB$87,Formula!H27,3))+Formula!K27*(INDEX(Properties!A$1:CB$87,Formula!J27,3))</f>
        <v>361.2158</v>
      </c>
      <c r="D27" s="85">
        <f>VARP(IF(INDEX(Properties!A$1:CB$87,Formula!B27,3)&lt;&gt;"",INDEX(Properties!A$1:CB$87,Formula!B27,3)),IF(INDEX(Properties!A$1:CB$87,Formula!D27,3)&lt;&gt;"",INDEX(Properties!A$1:CB$87,Formula!D27,3)),IF(INDEX(Properties!A$1:CB$87,Formula!F27,3)&lt;&gt;"",INDEX(Properties!A$1:CB$87,Formula!F27,3)),IF(INDEX(Properties!A$1:CB$87,Formula!H27,3)&lt;&gt;"",INDEX(Properties!A$1:CB$87,Formula!H27,3)),IF(INDEX(Properties!A$1:CB$87,Formula!J27,3)&lt;&gt;"",INDEX(Properties!A$1:CB$87,Formula!J27,3)))</f>
        <v>4851.8809546175999</v>
      </c>
      <c r="E27" s="85">
        <f>MAX(INDEX(Properties!A$1:CB$87,Formula!B27,3),INDEX(Properties!A$1:CB$87,Formula!D27,3),INDEX(Properties!A$1:CB$87,Formula!F27,3),INDEX(Properties!A$1:CB$87,Formula!H27,3),INDEX(Properties!A$1:CB$87,Formula!J27,3))</f>
        <v>183.84</v>
      </c>
      <c r="F27" s="85">
        <f>MIN(IF(INDEX(Properties!A$1:CB$87,Formula!B27,3)=0,10^6,INDEX(Properties!A$1:CB$87,Formula!B27,3)),IF(INDEX(Properties!A$1:CB$87,Formula!D27,3)=0,10^6,INDEX(Properties!A$1:CB$87,Formula!D27,3)),IF(INDEX(Properties!A$1:CB$87,Formula!F27,3)=0,10^6,INDEX(Properties!A$1:CB$87,Formula!F27,3)),IF(INDEX(Properties!A$1:CB$87,Formula!H27,3)=0,10^6,INDEX(Properties!A$1:CB$87,Formula!H27,3)),IF(INDEX(Properties!A$1:CB$87,Formula!J27,3)=0,10^6,INDEX(Properties!A$1:CB$87,Formula!J27,3)))</f>
        <v>15.9994</v>
      </c>
      <c r="G27" s="85">
        <f t="shared" si="0"/>
        <v>167.84059999999999</v>
      </c>
      <c r="H27" s="87">
        <f>((Formula!C27)/(Formula!C27+Formula!E27+Formula!G27+Formula!I27+Formula!K27))*(INDEX(Properties!A$1:CB$87,Formula!B27,4))+((Formula!E27)/(Formula!C27+Formula!E27+Formula!G27+Formula!I27+Formula!K27))*(INDEX(Properties!A$1:CB$87,Formula!D27,4))+((Formula!G27)/(Formula!C27+Formula!E27+Formula!G27+Formula!I27+Formula!K27))*(INDEX(Properties!A$1:CB$87,Formula!F27,4))+((Formula!I27)/(Formula!C27+Formula!E27+Formula!G27+Formula!I27+Formula!K27))*(INDEX(Properties!A$1:CB$87,Formula!H27,4))+((Formula!K27)/(Formula!C27+Formula!E27+Formula!G27+Formula!I27+Formula!K27))*(INDEX(Properties!A$1:CB$87,Formula!J27,4))</f>
        <v>17.777777777777775</v>
      </c>
      <c r="I27" s="87">
        <f>Formula!C27*(INDEX(Properties!A$1:CB$87,Formula!B27,4))+Formula!E27*(INDEX(Properties!A$1:CB$87,Formula!D27,4))+Formula!G27*(INDEX(Properties!A$1:CB$87,Formula!F27,4))+Formula!I27*(INDEX(Properties!A$1:CB$87,Formula!H27,4))+Formula!K27*(INDEX(Properties!A$1:CB$87,Formula!J27,4))</f>
        <v>160</v>
      </c>
      <c r="J27" s="87">
        <f>VARP(IF(INDEX(Properties!A$1:CB$87,Formula!B27,4)&lt;&gt;"",INDEX(Properties!A$1:CB$87,Formula!B27,4)),IF(INDEX(Properties!A$1:CB$87,Formula!D27,4)&lt;&gt;"",INDEX(Properties!A$1:CB$87,Formula!D27,4)),IF(INDEX(Properties!A$1:CB$87,Formula!F27,4)&lt;&gt;"",INDEX(Properties!A$1:CB$87,Formula!F27,4)),IF(INDEX(Properties!A$1:CB$87,Formula!H27,4)&lt;&gt;"",INDEX(Properties!A$1:CB$87,Formula!H27,4)),IF(INDEX(Properties!A$1:CB$87,Formula!J27,4)&lt;&gt;"",INDEX(Properties!A$1:CB$87,Formula!J27,4)))</f>
        <v>786.24</v>
      </c>
      <c r="K27" s="87">
        <f>MAX(INDEX(Properties!A$1:CB$87,Formula!B27,4),INDEX(Properties!A$1:CB$87,Formula!D27,4),INDEX(Properties!A$1:CB$87,Formula!F27,4),INDEX(Properties!A$1:CB$87,Formula!H27,4),INDEX(Properties!A$1:CB$87,Formula!J27,4))</f>
        <v>74</v>
      </c>
      <c r="L27" s="87">
        <f>MIN(IF(INDEX(Properties!A$1:CB$87,Formula!B27,4)=0,10^6,INDEX(Properties!A$1:CB$87,Formula!B27,4)),IF(INDEX(Properties!A$1:CB$87,Formula!D27,4)=0,10^6,INDEX(Properties!A$1:CB$87,Formula!D27,4)),IF(INDEX(Properties!A$1:CB$87,Formula!F27,4)=0,10^6,INDEX(Properties!A$1:CB$87,Formula!F27,4)),IF(INDEX(Properties!A$1:CB$87,Formula!H27,4)=0,10^6,INDEX(Properties!A$1:CB$87,Formula!H27,4)),IF(INDEX(Properties!A$1:CB$87,Formula!J27,4)=0,10^6,INDEX(Properties!A$1:CB$87,Formula!J27,4)))</f>
        <v>8</v>
      </c>
      <c r="M27" s="87">
        <f t="shared" si="1"/>
        <v>66</v>
      </c>
      <c r="N27" s="89">
        <f>((Formula!C27)/(Formula!C27+Formula!E27+Formula!G27+Formula!I27+Formula!K27))*(INDEX(Properties!A$1:CB$87,Formula!B27,5))+((Formula!E27)/(Formula!C27+Formula!E27+Formula!G27+Formula!I27+Formula!K27))*(INDEX(Properties!A$1:CB$87,Formula!D27,5))+((Formula!G27)/(Formula!C27+Formula!E27+Formula!G27+Formula!I27+Formula!K27))*(INDEX(Properties!A$1:CB$87,Formula!F27,5))+((Formula!I27)/(Formula!C27+Formula!E27+Formula!G27+Formula!I27+Formula!K27))*(INDEX(Properties!A$1:CB$87,Formula!H27,5))+((Formula!K27)/(Formula!C27+Formula!E27+Formula!G27+Formula!I27+Formula!K27))*(INDEX(Properties!A$1:CB$87,Formula!J27,5))</f>
        <v>2.666666666666667</v>
      </c>
      <c r="O27" s="89">
        <f>Formula!C27*(INDEX(Properties!A$1:CB$87,Formula!B27,5))+Formula!E27*(INDEX(Properties!A$1:CB$87,Formula!D27,5))+Formula!G27*(INDEX(Properties!A$1:CB$87,Formula!F27,5))+Formula!I27*(INDEX(Properties!A$1:CB$87,Formula!H27,5))+Formula!K27*(INDEX(Properties!A$1:CB$87,Formula!J27,5))</f>
        <v>24</v>
      </c>
      <c r="P27" s="89">
        <f>VARP(IF(INDEX(Properties!A$1:CB$87,Formula!B27,5)&lt;&gt;"",INDEX(Properties!A$1:CB$87,Formula!B27,5)),IF(INDEX(Properties!A$1:CB$87,Formula!D27,5)&lt;&gt;"",INDEX(Properties!A$1:CB$87,Formula!D27,5)),IF(INDEX(Properties!A$1:CB$87,Formula!F27,5)&lt;&gt;"",INDEX(Properties!A$1:CB$87,Formula!F27,5)),IF(INDEX(Properties!A$1:CB$87,Formula!H27,5)&lt;&gt;"",INDEX(Properties!A$1:CB$87,Formula!H27,5)),IF(INDEX(Properties!A$1:CB$87,Formula!J27,5)&lt;&gt;"",INDEX(Properties!A$1:CB$87,Formula!J27,5)))</f>
        <v>5.44</v>
      </c>
      <c r="Q27" s="89">
        <f>MAX(INDEX(Properties!A$1:CB$87,Formula!B27,5),INDEX(Properties!A$1:CB$87,Formula!D27,5),INDEX(Properties!A$1:CB$87,Formula!F27,5),INDEX(Properties!A$1:CB$87,Formula!H27,5),INDEX(Properties!A$1:CB$87,Formula!J27,5))</f>
        <v>6</v>
      </c>
      <c r="R27" s="89">
        <f>MIN(IF(INDEX(Properties!A$1:CB$87,Formula!B27,5)=0,10^6,INDEX(Properties!A$1:CB$87,Formula!B27,5)),IF(INDEX(Properties!A$1:CB$87,Formula!D27,5)=0,10^6,INDEX(Properties!A$1:CB$87,Formula!D27,5)),IF(INDEX(Properties!A$1:CB$87,Formula!F27,5)=0,10^6,INDEX(Properties!A$1:CB$87,Formula!F27,5)),IF(INDEX(Properties!A$1:CB$87,Formula!H27,5)=0,10^6,INDEX(Properties!A$1:CB$87,Formula!H27,5)),IF(INDEX(Properties!A$1:CB$87,Formula!J27,5)=0,10^6,INDEX(Properties!A$1:CB$87,Formula!J27,5)))</f>
        <v>2</v>
      </c>
      <c r="S27" s="89">
        <f t="shared" si="2"/>
        <v>4</v>
      </c>
      <c r="T27" s="60">
        <f>((Formula!C27)/(Formula!C27+Formula!E27+Formula!G27+Formula!I27+Formula!K27))*(INDEX(Properties!A$1:CB$87,Formula!B27,6))+((Formula!E27)/(Formula!C27+Formula!E27+Formula!G27+Formula!I27+Formula!K27))*(INDEX(Properties!A$1:CB$87,Formula!D27,6))+((Formula!G27)/(Formula!C27+Formula!E27+Formula!G27+Formula!I27+Formula!K27))*(INDEX(Properties!A$1:CB$87,Formula!F27,6))+((Formula!I27)/(Formula!C27+Formula!E27+Formula!G27+Formula!I27+Formula!K27))*(INDEX(Properties!A$1:CB$87,Formula!H27,6))+((Formula!K27)/(Formula!C27+Formula!E27+Formula!G27+Formula!I27+Formula!K27))*(INDEX(Properties!A$1:CB$87,Formula!J27,6))</f>
        <v>14.444444444444445</v>
      </c>
      <c r="U27" s="60">
        <f>Formula!C27*(INDEX(Properties!A$1:CB$87,Formula!B27,6))+Formula!E27*(INDEX(Properties!A$1:CB$87,Formula!D27,6))+Formula!G27*(INDEX(Properties!A$1:CB$87,Formula!F27,6))+Formula!I27*(INDEX(Properties!A$1:CB$87,Formula!H27,6))+Formula!K27*(INDEX(Properties!A$1:CB$87,Formula!J27,6))</f>
        <v>130</v>
      </c>
      <c r="V27" s="89">
        <f>VARP(IF(INDEX(Properties!A$1:CB$87,Formula!B27,6)&lt;&gt;"",INDEX(Properties!A$1:CB$87,Formula!B27,6)),IF(INDEX(Properties!A$1:CB$87,Formula!D27,6)&lt;&gt;"",INDEX(Properties!A$1:CB$87,Formula!D27,6)),IF(INDEX(Properties!A$1:CB$87,Formula!F27,6)&lt;&gt;"",INDEX(Properties!A$1:CB$87,Formula!F27,6)),IF(INDEX(Properties!A$1:CB$87,Formula!H27,6)&lt;&gt;"",INDEX(Properties!A$1:CB$87,Formula!H27,6)),IF(INDEX(Properties!A$1:CB$87,Formula!J27,6)&lt;&gt;"",INDEX(Properties!A$1:CB$87,Formula!J27,6)))</f>
        <v>40.96</v>
      </c>
      <c r="W27" s="60">
        <f>MAX(INDEX(Properties!A$1:CB$87,Formula!B27,6),INDEX(Properties!A$1:CB$87,Formula!D27,6),INDEX(Properties!A$1:CB$87,Formula!F27,6),INDEX(Properties!A$1:CB$87,Formula!H27,4),INDEX(Properties!A$1:CB$87,Formula!J27,6))</f>
        <v>16</v>
      </c>
      <c r="X27" s="60">
        <f>MIN(IF(INDEX(Properties!A$1:CB$87,Formula!B27,6)=0,10^6,INDEX(Properties!A$1:CB$87,Formula!B27,6)),IF(INDEX(Properties!A$1:CB$87,Formula!D27,6)=0,10^6,INDEX(Properties!A$1:CB$87,Formula!D27,6)),IF(INDEX(Properties!A$1:CB$87,Formula!F27,6)=0,10^6,INDEX(Properties!A$1:CB$87,Formula!F27,6)),IF(INDEX(Properties!A$1:CB$87,Formula!H27,6)=0,10^6,INDEX(Properties!A$1:CB$87,Formula!H27,6)),IF(INDEX(Properties!A$1:CB$87,Formula!J27,6)=0,10^6,INDEX(Properties!A$1:CB$87,Formula!J27,6)))</f>
        <v>6</v>
      </c>
      <c r="Y27" s="60">
        <f t="shared" si="3"/>
        <v>10</v>
      </c>
      <c r="Z27" s="72">
        <f>((Formula!C27)/(Formula!C27+Formula!E27+Formula!G27+Formula!I27+Formula!K27))*(INDEX(Properties!A$1:CB$87,Formula!B27,9))+((Formula!E27)/(Formula!C27+Formula!E27+Formula!G27+Formula!I27+Formula!K27))*(INDEX(Properties!A$1:CB$87,Formula!D27,9))+((Formula!G27)/(Formula!C27+Formula!E27+Formula!G27+Formula!I27+Formula!K27))*(INDEX(Properties!A$1:CB$87,Formula!F27,9))+((Formula!I27)/(Formula!C27+Formula!E27+Formula!G27+Formula!I27+Formula!K27))*(INDEX(Properties!A$1:CB$87,Formula!H27,9))+((Formula!K27)/(Formula!C27+Formula!E27+Formula!G27+Formula!I27+Formula!K27))*(INDEX(Properties!A$1:CB$87,Formula!J27,9))</f>
        <v>81</v>
      </c>
      <c r="AA27" s="72">
        <f>Formula!C27*(INDEX(Properties!A$1:CB$87,Formula!B27,9))+Formula!E27*(INDEX(Properties!A$1:CB$87,Formula!D27,9))+Formula!G27*(INDEX(Properties!A$1:CB$87,Formula!F27,9))+Formula!I27*(INDEX(Properties!A$1:CB$87,Formula!H27,9))+Formula!K27*(INDEX(Properties!A$1:CB$87,Formula!J27,9))</f>
        <v>729</v>
      </c>
      <c r="AB27" s="72">
        <f>VARP(IF(INDEX(Properties!A$1:CB$87,Formula!B27,9)&lt;&gt;"",INDEX(Properties!A$1:CB$87,Formula!B27,9)),IF(INDEX(Properties!A$1:CB$87,Formula!D27,9)&lt;&gt;"",INDEX(Properties!A$1:CB$87,Formula!D27,9)),IF(INDEX(Properties!A$1:CB$87,Formula!F27,9)&lt;&gt;"",INDEX(Properties!A$1:CB$87,Formula!F27,9)),IF(INDEX(Properties!A$1:CB$87,Formula!H27,9)&lt;&gt;"",INDEX(Properties!A$1:CB$87,Formula!H27,9)),IF(INDEX(Properties!A$1:CB$87,Formula!J27,9)&lt;&gt;"",INDEX(Properties!A$1:CB$87,Formula!J27,9)))</f>
        <v>1272.24</v>
      </c>
      <c r="AC27" s="72">
        <f>MAX(INDEX(Properties!A$1:CB$87,Formula!B27,9),INDEX(Properties!A$1:CB$87,Formula!D27,9),INDEX(Properties!A$1:CB$87,Formula!F27,9),INDEX(Properties!A$1:CB$87,Formula!H27,9),INDEX(Properties!A$1:CB$87,Formula!J27,9))</f>
        <v>87</v>
      </c>
      <c r="AD27" s="72">
        <f>MIN(IF(INDEX(Properties!A$1:CB$87,Formula!B27,9)=0,10^6,INDEX(Properties!A$1:CB$87,Formula!B27,9)),IF(INDEX(Properties!A$1:CB$87,Formula!D27,9)=0,10^6,INDEX(Properties!A$1:CB$87,Formula!D27,9)),IF(INDEX(Properties!A$1:CB$87,Formula!F27,9)=0,10^6,INDEX(Properties!A$1:CB$87,Formula!F27,9)),IF(INDEX(Properties!A$1:CB$87,Formula!H27,9)=0,10^6,INDEX(Properties!A$1:CB$87,Formula!H27,9)),IF(INDEX(Properties!A$1:CB$87,Formula!J27,9)=0,10^6,INDEX(Properties!A$1:CB$87,Formula!J27,9)))</f>
        <v>51</v>
      </c>
      <c r="AE27" s="72">
        <f t="shared" si="4"/>
        <v>36</v>
      </c>
      <c r="AF27" s="51">
        <f>((Formula!C27)/(Formula!C27+Formula!E27+Formula!G27+Formula!I27+Formula!K27))*(INDEX(Properties!A$1:CB$87,Formula!B27,10))+((Formula!E27)/(Formula!C27+Formula!E27+Formula!G27+Formula!I27+Formula!K27))*(INDEX(Properties!A$1:CB$87,Formula!D27,10))+((Formula!G27)/(Formula!C27+Formula!E27+Formula!G27+Formula!I27+Formula!K27))*(INDEX(Properties!A$1:CB$87,Formula!F27,10))+((Formula!I27)/(Formula!C27+Formula!E27+Formula!G27+Formula!I27+Formula!K27))*(INDEX(Properties!A$1:CB$87,Formula!H27,10))+((Formula!K27)/(Formula!C27+Formula!E27+Formula!G27+Formula!I27+Formula!K27))*(INDEX(Properties!A$1:CB$87,Formula!J27,10))</f>
        <v>6.3333333333333339</v>
      </c>
      <c r="AG27" s="51">
        <f>Formula!C27*(INDEX(Properties!A$1:CB$87,Formula!B27,10))+Formula!E27*(INDEX(Properties!A$1:CB$87,Formula!D27,10))+Formula!G27*(INDEX(Properties!A$1:CB$87,Formula!F27,10))+Formula!I27*(INDEX(Properties!A$1:CB$87,Formula!H27,10))+Formula!K27*(INDEX(Properties!A$1:CB$87,Formula!J27,10))</f>
        <v>57</v>
      </c>
      <c r="AH27" s="51">
        <f>VARP(IF(INDEX(Properties!A$1:CB$87,Formula!B27,10)&lt;&gt;"",INDEX(Properties!A$1:CB$87,Formula!B27,10)),IF(INDEX(Properties!A$1:CB$87,Formula!D27,10)&lt;&gt;"",INDEX(Properties!A$1:CB$87,Formula!D27,10)),IF(INDEX(Properties!A$1:CB$87,Formula!F27,10)&lt;&gt;"",INDEX(Properties!A$1:CB$87,Formula!F27,10)),IF(INDEX(Properties!A$1:CB$87,Formula!H27,10)&lt;&gt;"",INDEX(Properties!A$1:CB$87,Formula!H27,10)),IF(INDEX(Properties!A$1:CB$87,Formula!J27,10)&lt;&gt;"",INDEX(Properties!A$1:CB$87,Formula!J27,10)))</f>
        <v>7.2</v>
      </c>
      <c r="AI27" s="51">
        <f>MAX(INDEX(Properties!A$1:CB$87,Formula!B27,10),INDEX(Properties!A$1:CB$87,Formula!D27,10),INDEX(Properties!A$1:CB$87,Formula!F27,10),INDEX(Properties!A$1:CB$87,Formula!H27,10),INDEX(Properties!A$1:CB$87,Formula!J27,10))</f>
        <v>7</v>
      </c>
      <c r="AJ27" s="51">
        <f>MIN(IF(INDEX(Properties!A$1:CB$87,Formula!B27,10)=0,10^6,INDEX(Properties!A$1:CB$87,Formula!B27,10)),IF(INDEX(Properties!A$1:CB$87,Formula!D27,10)=0,10^6,INDEX(Properties!A$1:CB$87,Formula!D27,10)),IF(INDEX(Properties!A$1:CB$87,Formula!F27,10)=0,10^6,INDEX(Properties!A$1:CB$87,Formula!F27,10)),IF(INDEX(Properties!A$1:CB$87,Formula!H27,10)=0,10^6,INDEX(Properties!A$1:CB$87,Formula!H27,10)),IF(INDEX(Properties!A$1:CB$87,Formula!J27,10)=0,10^6,INDEX(Properties!A$1:CB$87,Formula!J27,10)))</f>
        <v>4</v>
      </c>
      <c r="AK27" s="51">
        <f t="shared" si="5"/>
        <v>3</v>
      </c>
      <c r="AL27" s="57">
        <f>((Formula!C27)/(Formula!C27+Formula!E27+Formula!G27+Formula!I27+Formula!K27))*(INDEX(Properties!A$1:CB$87,Formula!B27,11))+((Formula!E27)/(Formula!C27+Formula!E27+Formula!G27+Formula!I27+Formula!K27))*(INDEX(Properties!A$1:CB$87,Formula!D27,11))+((Formula!G27)/(Formula!C27+Formula!E27+Formula!G27+Formula!I27+Formula!K27))*(INDEX(Properties!A$1:CB$87,Formula!F27,11))+((Formula!I27)/(Formula!C27+Formula!E27+Formula!G27+Formula!I27+Formula!K27))*(INDEX(Properties!A$1:CB$87,Formula!H27,11))+((Formula!K27)/(Formula!C27+Formula!E27+Formula!G27+Formula!I27+Formula!K27))*(INDEX(Properties!A$1:CB$87,Formula!J27,11))</f>
        <v>2</v>
      </c>
      <c r="AM27" s="57">
        <f>Formula!C27*(INDEX(Properties!A$1:CB$87,Formula!B27,11))+Formula!E27*(INDEX(Properties!A$1:CB$87,Formula!D27,11))+Formula!G27*(INDEX(Properties!A$1:CB$87,Formula!F27,11))+Formula!I27*(INDEX(Properties!A$1:CB$87,Formula!H27,11))+Formula!K27*(INDEX(Properties!A$1:CB$87,Formula!J27,11))</f>
        <v>18</v>
      </c>
      <c r="AN27" s="57">
        <f>VARP(IF(INDEX(Properties!A$1:CB$87,Formula!B27,11)&lt;&gt;"",INDEX(Properties!A$1:CB$87,Formula!B27,11)),IF(INDEX(Properties!A$1:CB$87,Formula!D27,11)&lt;&gt;"",INDEX(Properties!A$1:CB$87,Formula!D27,11)),IF(INDEX(Properties!A$1:CB$87,Formula!F27,11)&lt;&gt;"",INDEX(Properties!A$1:CB$87,Formula!F27,11)),IF(INDEX(Properties!A$1:CB$87,Formula!H27,11)&lt;&gt;"",INDEX(Properties!A$1:CB$87,Formula!H27,11)),IF(INDEX(Properties!A$1:CB$87,Formula!J27,11)&lt;&gt;"",INDEX(Properties!A$1:CB$87,Formula!J27,11)))</f>
        <v>0.96</v>
      </c>
      <c r="AO27" s="57">
        <f>MAX(INDEX(Properties!A$1:CB$87,Formula!B27,11),INDEX(Properties!A$1:CB$87,Formula!D27,11),INDEX(Properties!A$1:CB$87,Formula!F27,11),INDEX(Properties!A$1:CB$87,Formula!H27,11),INDEX(Properties!A$1:CB$87,Formula!J27,11))</f>
        <v>2</v>
      </c>
      <c r="AP27" s="57">
        <f>MIN(IF(Formula!B27=87,10^6,INDEX(Properties!A$1:CB$87,Formula!B27,11)),IF((Formula!D27)=87,10^6,INDEX(Properties!A$1:CB$87,Formula!D27,11)),IF((Formula!F27)=87,10^6,INDEX(Properties!A$1:CB$87,Formula!F27,11)),IF((Formula!H27)=87,10^6,INDEX(Properties!A$1:CB$87,Formula!H27,11)),IF(Formula!J27=87,10^6,INDEX(Properties!A$1:CB$87,Formula!J27,11)))</f>
        <v>2</v>
      </c>
      <c r="AQ27" s="57">
        <f t="shared" si="6"/>
        <v>0</v>
      </c>
      <c r="AR27" s="78">
        <f>((Formula!C27)/(Formula!C27+Formula!E27+Formula!G27+Formula!I27+Formula!K27))*(INDEX(Properties!A$1:CB$87,Formula!B27,12))+((Formula!E27)/(Formula!C27+Formula!E27+Formula!G27+Formula!I27+Formula!K27))*(INDEX(Properties!A$1:CB$87,Formula!D27,12))+((Formula!G27)/(Formula!C27+Formula!E27+Formula!G27+Formula!I27+Formula!K27))*(INDEX(Properties!A$1:CB$87,Formula!F27,12))+((Formula!I27)/(Formula!C27+Formula!E27+Formula!G27+Formula!I27+Formula!K27))*(INDEX(Properties!A$1:CB$87,Formula!H27,12))+((Formula!K27)/(Formula!C27+Formula!E27+Formula!G27+Formula!I27+Formula!K27))*(INDEX(Properties!A$1:CB$87,Formula!J27,12))</f>
        <v>3.1111111111111112</v>
      </c>
      <c r="AS27" s="78">
        <f>Formula!C27*(INDEX(Properties!A$1:CB$87,Formula!B27,12))+Formula!E27*(INDEX(Properties!A$1:CB$87,Formula!D27,12))+Formula!G27*(INDEX(Properties!A$1:CB$87,Formula!F27,12))+Formula!I27*(INDEX(Properties!A$1:CB$87,Formula!H27,12))+Formula!K27*(INDEX(Properties!A$1:CB$87,Formula!J27,12))</f>
        <v>28</v>
      </c>
      <c r="AT27" s="78">
        <f>VARP(IF(INDEX(Properties!A$1:CB$87,Formula!B27,12)&lt;&gt;"",INDEX(Properties!A$1:CB$87,Formula!B27,12)),IF(INDEX(Properties!A$1:CB$87,Formula!D27,12)&lt;&gt;"",INDEX(Properties!A$1:CB$87,Formula!D27,12)),IF(INDEX(Properties!A$1:CB$87,Formula!F27,12)&lt;&gt;"",INDEX(Properties!A$1:CB$87,Formula!F27,12)),IF(INDEX(Properties!A$1:CB$87,Formula!H27,12)&lt;&gt;"",INDEX(Properties!A$1:CB$87,Formula!H27,12)),IF(INDEX(Properties!A$1:CB$87,Formula!J27,12)&lt;&gt;"",INDEX(Properties!A$1:CB$87,Formula!J27,12)))</f>
        <v>2.56</v>
      </c>
      <c r="AU27" s="78">
        <f>MAX(INDEX(Properties!A$1:CB$87,Formula!B27,12),INDEX(Properties!A$1:CB$87,Formula!D27,12),INDEX(Properties!A$1:CB$87,Formula!F27,12),INDEX(Properties!A$1:CB$87,Formula!H27,12),INDEX(Properties!A$1:CB$87,Formula!J27,12))</f>
        <v>4</v>
      </c>
      <c r="AV27" s="78">
        <f>MIN(IF(Formula!B27=87,10^6,INDEX(Properties!A$1:CB$87,Formula!B27,12)),IF((Formula!D27)=87,10^6,INDEX(Properties!A$1:CB$87,Formula!D27,12)),IF((Formula!F27)=87,10^6,INDEX(Properties!A$1:CB$87,Formula!F27,12)),IF((Formula!H27)=87,10^6,INDEX(Properties!A$1:CB$87,Formula!H27,12)),IF(Formula!J27=87,10^6,INDEX(Properties!A$1:CB$87,Formula!J27,12)))</f>
        <v>0</v>
      </c>
      <c r="AW27" s="78">
        <f t="shared" si="7"/>
        <v>4</v>
      </c>
      <c r="AX27" s="45">
        <f>((Formula!C27)/(Formula!C27+Formula!E27+Formula!G27+Formula!I27+Formula!K27))*(INDEX(Properties!A$1:CB$87,Formula!B27,13))+((Formula!E27)/(Formula!C27+Formula!E27+Formula!G27+Formula!I27+Formula!K27))*(INDEX(Properties!A$1:CB$87,Formula!D27,13))+((Formula!G27)/(Formula!C27+Formula!E27+Formula!G27+Formula!I27+Formula!K27))*(INDEX(Properties!A$1:CB$87,Formula!F27,13))+((Formula!I27)/(Formula!C27+Formula!E27+Formula!G27+Formula!I27+Formula!K27))*(INDEX(Properties!A$1:CB$87,Formula!H27,13))+((Formula!K27)/(Formula!C27+Formula!E27+Formula!G27+Formula!I27+Formula!K27))*(INDEX(Properties!A$1:CB$87,Formula!J27,13))</f>
        <v>1.5555555555555556</v>
      </c>
      <c r="AY27" s="45">
        <f>Formula!C27*(INDEX(Properties!A$1:CB$87,Formula!B27,13))+Formula!E27*(INDEX(Properties!A$1:CB$87,Formula!D27,13))+Formula!G27*(INDEX(Properties!A$1:CB$87,Formula!F27,13))+Formula!I27*(INDEX(Properties!A$1:CB$87,Formula!H27,13))+Formula!K27*(INDEX(Properties!A$1:CB$87,Formula!J27,13))</f>
        <v>14</v>
      </c>
      <c r="AZ27" s="45">
        <f>VARP(IF(INDEX(Properties!A$1:CB$87,Formula!B27,13)&lt;&gt;"",INDEX(Properties!A$1:CB$87,Formula!B27,13)),IF(INDEX(Properties!A$1:CB$87,Formula!D27,13)&lt;&gt;"",INDEX(Properties!A$1:CB$87,Formula!D27,13)),IF(INDEX(Properties!A$1:CB$87,Formula!F27,13)&lt;&gt;"",INDEX(Properties!A$1:CB$87,Formula!F27,13)),IF(INDEX(Properties!A$1:CB$87,Formula!H27,13)&lt;&gt;"",INDEX(Properties!A$1:CB$87,Formula!H27,13)),IF(INDEX(Properties!A$1:CB$87,Formula!J27,13)&lt;&gt;"",INDEX(Properties!A$1:CB$87,Formula!J27,13)))</f>
        <v>15.36</v>
      </c>
      <c r="BA27" s="45">
        <f>MAX(INDEX(Properties!A$1:CB$87,Formula!B27,13),INDEX(Properties!A$1:CB$87,Formula!D27,13),INDEX(Properties!A$1:CB$87,Formula!F27,13),INDEX(Properties!A$1:CB$87,Formula!H27,13),INDEX(Properties!A$1:CB$87,Formula!J27,13))</f>
        <v>10</v>
      </c>
      <c r="BB27" s="45">
        <f>MIN(IF(Formula!B27=87,10^6,INDEX(Properties!A$1:CB$87,Formula!B27,13)),IF((Formula!D27)=87,10^6,INDEX(Properties!A$1:CB$87,Formula!D27,13)),IF((Formula!F27)=87,10^6,INDEX(Properties!A$1:CB$87,Formula!F27,13)),IF((Formula!H27)=87,10^6,INDEX(Properties!A$1:CB$87,Formula!H27,13)),IF(Formula!J27=87,10^6,INDEX(Properties!A$1:CB$87,Formula!J27,13)))</f>
        <v>0</v>
      </c>
      <c r="BC27" s="45">
        <f t="shared" si="8"/>
        <v>10</v>
      </c>
      <c r="BD27" s="63">
        <f>((Formula!C27)/(Formula!C27+Formula!E27+Formula!G27+Formula!I27+Formula!K27))*(INDEX(Properties!A$1:CB$87,Formula!B27,14))+((Formula!E27)/(Formula!C27+Formula!E27+Formula!G27+Formula!I27+Formula!K27))*(INDEX(Properties!A$1:CB$87,Formula!D27,14))+((Formula!G27)/(Formula!C27+Formula!E27+Formula!G27+Formula!I27+Formula!K27))*(INDEX(Properties!A$1:CB$87,Formula!F27,14))+((Formula!I27)/(Formula!C27+Formula!E27+Formula!G27+Formula!I27+Formula!K27))*(INDEX(Properties!A$1:CB$87,Formula!H27,14))+((Formula!K27)/(Formula!C27+Formula!E27+Formula!G27+Formula!I27+Formula!K27))*(INDEX(Properties!A$1:CB$87,Formula!J27,14))</f>
        <v>1.5555555555555554</v>
      </c>
      <c r="BE27" s="63">
        <f>Formula!C27*(INDEX(Properties!A$1:CB$87,Formula!B27,14))+Formula!E27*(INDEX(Properties!A$1:CB$87,Formula!D27,14))+Formula!G27*(INDEX(Properties!A$1:CB$87,Formula!F27,14))+Formula!I27*(INDEX(Properties!A$1:CB$87,Formula!H27,14))+Formula!K27*(INDEX(Properties!A$1:CB$87,Formula!J27,14))</f>
        <v>14</v>
      </c>
      <c r="BF27" s="63">
        <f>VARP(IF(INDEX(Properties!A$1:CB$87,Formula!B27,14)&lt;&gt;"",INDEX(Properties!A$1:CB$87,Formula!B27,14)),IF(INDEX(Properties!A$1:CB$87,Formula!D27,14)&lt;&gt;"",INDEX(Properties!A$1:CB$87,Formula!D27,14)),IF(INDEX(Properties!A$1:CB$87,Formula!F27,14)&lt;&gt;"",INDEX(Properties!A$1:CB$87,Formula!F27,14)),IF(INDEX(Properties!A$1:CB$87,Formula!H27,14)&lt;&gt;"",INDEX(Properties!A$1:CB$87,Formula!H27,14)),IF(INDEX(Properties!A$1:CB$87,Formula!J27,14)&lt;&gt;"",INDEX(Properties!A$1:CB$87,Formula!J27,14)))</f>
        <v>31.36</v>
      </c>
      <c r="BG27" s="63">
        <f>MAX(INDEX(Properties!A$1:CB$87,Formula!B27,14),INDEX(Properties!A$1:CB$87,Formula!D27,14),INDEX(Properties!A$1:CB$87,Formula!F27,14),INDEX(Properties!A$1:CB$87,Formula!H27,14),INDEX(Properties!A$1:CB$87,Formula!J27,14))</f>
        <v>14</v>
      </c>
      <c r="BH27" s="63">
        <f>MIN(IF(Formula!B27=87,10^6,INDEX(Properties!A$1:CB$87,Formula!B27,14)),IF((Formula!D27)=87,10^6,INDEX(Properties!A$1:CB$87,Formula!D27,14)),IF((Formula!F27)=87,10^6,INDEX(Properties!A$1:CB$87,Formula!F27,14)),IF((Formula!H27)=87,10^6,INDEX(Properties!A$1:CB$87,Formula!H27,14)),IF(Formula!J27=87,10^6,INDEX(Properties!A$1:CB$87,Formula!J27,14)))</f>
        <v>0</v>
      </c>
      <c r="BI27" s="63">
        <f t="shared" si="9"/>
        <v>14</v>
      </c>
      <c r="BJ27" s="75">
        <f>((Formula!C27)/(Formula!C27+Formula!E27+Formula!G27+Formula!I27+Formula!K27))*(INDEX(Properties!A$1:CB$87,Formula!B27,19))+((Formula!E27)/(Formula!C27+Formula!E27+Formula!G27+Formula!I27+Formula!K27))*(INDEX(Properties!A$1:CB$87,Formula!D27,19))+((Formula!G27)/(Formula!C27+Formula!E27+Formula!G27+Formula!I27+Formula!K27))*(INDEX(Properties!A$1:CB$87,Formula!F27,19))+((Formula!I27)/(Formula!C27+Formula!E27+Formula!G27+Formula!I27+Formula!K27))*(INDEX(Properties!A$1:CB$87,Formula!H27,19))+((Formula!K27)/(Formula!C27+Formula!E27+Formula!G27+Formula!I27+Formula!K27))*(INDEX(Properties!A$1:CB$87,Formula!J27,19))</f>
        <v>8.2222222222222214</v>
      </c>
      <c r="BK27" s="75">
        <f>Formula!C27*(INDEX(Properties!A$1:CB$87,Formula!B27,19))+Formula!E27*(INDEX(Properties!A$1:CB$87,Formula!D27,19))+Formula!G27*(INDEX(Properties!A$1:CB$87,Formula!F27,19))+Formula!I27*(INDEX(Properties!A$1:CB$87,Formula!H27,19))+Formula!K27*(INDEX(Properties!A$1:CB$87,Formula!J27,19))</f>
        <v>74</v>
      </c>
      <c r="BL27" s="75">
        <f>VARP(IF(INDEX(Properties!A$1:CB$87,Formula!B27,19)&lt;&gt;"",INDEX(Properties!A$1:CB$87,Formula!B27,19)),IF(INDEX(Properties!A$1:CB$87,Formula!D27,19)&lt;&gt;"",INDEX(Properties!A$1:CB$87,Formula!D27,19)),IF(INDEX(Properties!A$1:CB$87,Formula!F27,19)&lt;&gt;"",INDEX(Properties!A$1:CB$87,Formula!F27,19)),IF(INDEX(Properties!A$1:CB$87,Formula!H27,19)&lt;&gt;"",INDEX(Properties!A$1:CB$87,Formula!H27,19)),IF(INDEX(Properties!A$1:CB$87,Formula!J27,19)&lt;&gt;"",INDEX(Properties!A$1:CB$87,Formula!J27,19)))</f>
        <v>58.24</v>
      </c>
      <c r="BM27" s="75">
        <f>MAX(INDEX(Properties!A$1:CB$87,Formula!B27,19),INDEX(Properties!A$1:CB$87,Formula!D27,19),INDEX(Properties!A$1:CB$87,Formula!F27,19),INDEX(Properties!A$1:CB$87,Formula!H27,19),INDEX(Properties!A$1:CB$87,Formula!J27,19))</f>
        <v>20</v>
      </c>
      <c r="BN27" s="75">
        <f>MIN(IF(INDEX(Properties!A$1:CB$87,Formula!B27,19)=0,10^6,INDEX(Properties!A$1:CB$87,Formula!B27,19)),IF(INDEX(Properties!A$1:CB$87,Formula!D27,19)=0,10^6,INDEX(Properties!A$1:CB$87,Formula!D27,19)),IF(INDEX(Properties!A$1:CB$87,Formula!F27,19)=0,10^6,INDEX(Properties!A$1:CB$87,Formula!F27,19)),IF(INDEX(Properties!A$1:CB$87,Formula!H27,19)=0,10^6,INDEX(Properties!A$1:CB$87,Formula!H27,19)),IF(INDEX(Properties!A$1:CB$87,Formula!J27,19)=0,10^6,INDEX(Properties!A$1:CB$87,Formula!J27,19)))</f>
        <v>6</v>
      </c>
      <c r="BO27" s="75">
        <f t="shared" si="10"/>
        <v>14</v>
      </c>
      <c r="BP27" s="48">
        <f>((Formula!C27)/(Formula!C27+Formula!E27+Formula!G27+Formula!I27+Formula!K27))*(INDEX(Properties!A$1:CB$87,Formula!B27,20))+((Formula!E27)/(Formula!C27+Formula!E27+Formula!G27+Formula!I27+Formula!K27))*(INDEX(Properties!A$1:CB$87,Formula!D27,20))+((Formula!G27)/(Formula!C27+Formula!E27+Formula!G27+Formula!I27+Formula!K27))*(INDEX(Properties!A$1:CB$87,Formula!F27,20))+((Formula!I27)/(Formula!C27+Formula!E27+Formula!G27+Formula!I27+Formula!K27))*(INDEX(Properties!A$1:CB$87,Formula!H27,20))+((Formula!K27)/(Formula!C27+Formula!E27+Formula!G27+Formula!I27+Formula!K27))*(INDEX(Properties!A$1:CB$87,Formula!J27,20))</f>
        <v>5.1111111111111116</v>
      </c>
      <c r="BQ27" s="48">
        <f>Formula!C27*(INDEX(Properties!A$1:CB$87,Formula!B27,20))+Formula!E27*(INDEX(Properties!A$1:CB$87,Formula!D27,20))+Formula!G27*(INDEX(Properties!A$1:CB$87,Formula!F27,20))+Formula!I27*(INDEX(Properties!A$1:CB$87,Formula!H27,20))+Formula!K27*(INDEX(Properties!A$1:CB$87,Formula!J27,20))</f>
        <v>46</v>
      </c>
      <c r="BR27" s="48">
        <f>VARP(IF(INDEX(Properties!A$1:CB$87,Formula!B27,20)&lt;&gt;"",INDEX(Properties!A$1:CB$87,Formula!B27,20)),IF(INDEX(Properties!A$1:CB$87,Formula!D27,20)&lt;&gt;"",INDEX(Properties!A$1:CB$87,Formula!D27,20)),IF(INDEX(Properties!A$1:CB$87,Formula!F27,20)&lt;&gt;"",INDEX(Properties!A$1:CB$87,Formula!F27,20)),IF(INDEX(Properties!A$1:CB$87,Formula!H27,20)&lt;&gt;"",INDEX(Properties!A$1:CB$87,Formula!H27,20)),IF(INDEX(Properties!A$1:CB$87,Formula!J27,20)&lt;&gt;"",INDEX(Properties!A$1:CB$87,Formula!J27,20)))</f>
        <v>4.8</v>
      </c>
      <c r="BS27" s="48">
        <f>MAX(INDEX(Properties!A$1:CB$87,Formula!B27,20),INDEX(Properties!A$1:CB$87,Formula!D27,20),INDEX(Properties!A$1:CB$87,Formula!F27,20),INDEX(Properties!A$1:CB$87,Formula!H27,20),INDEX(Properties!A$1:CB$87,Formula!J27,20))</f>
        <v>6</v>
      </c>
      <c r="BT27" s="48">
        <f>MIN(IF(INDEX(Properties!A$1:CB$87,Formula!B27,20)=0,10^6,INDEX(Properties!A$1:CB$87,Formula!B27,20)),IF(INDEX(Properties!A$1:CB$87,Formula!D27,20)=0,10^6,INDEX(Properties!A$1:CB$87,Formula!D27,20)),IF(INDEX(Properties!A$1:CB$87,Formula!F27,20)=0,10^6,INDEX(Properties!A$1:CB$87,Formula!F27,20)),IF(INDEX(Properties!A$1:CB$87,Formula!H27,20)=0,10^6,INDEX(Properties!A$1:CB$87,Formula!H27,20)),IF(INDEX(Properties!A$1:CB$87,Formula!J27,20)=0,10^6,INDEX(Properties!A$1:CB$87,Formula!J27,20)))</f>
        <v>2</v>
      </c>
      <c r="BU27" s="48">
        <f t="shared" si="11"/>
        <v>4</v>
      </c>
      <c r="BV27" s="66">
        <f>((Formula!C27)/(Formula!C27+Formula!E27+Formula!G27+Formula!I27+Formula!K27))*(INDEX(Properties!A$1:CB$87,Formula!B27,21))+((Formula!E27)/(Formula!C27+Formula!E27+Formula!G27+Formula!I27+Formula!K27))*(INDEX(Properties!A$1:CB$87,Formula!D27,21))+((Formula!G27)/(Formula!C27+Formula!E27+Formula!G27+Formula!I27+Formula!K27))*(INDEX(Properties!A$1:CB$87,Formula!F27,21))+((Formula!I27)/(Formula!C27+Formula!E27+Formula!G27+Formula!I27+Formula!K27))*(INDEX(Properties!A$1:CB$87,Formula!H27,21))+((Formula!K27)/(Formula!C27+Formula!E27+Formula!G27+Formula!I27+Formula!K27))*(INDEX(Properties!A$1:CB$87,Formula!J27,21))</f>
        <v>5.2222222222222223</v>
      </c>
      <c r="BW27" s="66">
        <f>Formula!C27*(INDEX(Properties!A$1:CB$87,Formula!B27,21))+Formula!E27*(INDEX(Properties!A$1:CB$87,Formula!D27,21))+Formula!G27*(INDEX(Properties!A$1:CB$87,Formula!F27,21))+Formula!I27*(INDEX(Properties!A$1:CB$87,Formula!H27,21))+Formula!K27*(INDEX(Properties!A$1:CB$87,Formula!J27,21))</f>
        <v>47</v>
      </c>
      <c r="BX27" s="66">
        <f>VARP(IF(INDEX(Properties!A$1:CB$87,Formula!B27,21)&lt;&gt;"",INDEX(Properties!A$1:CB$87,Formula!B27,21)),IF(INDEX(Properties!A$1:CB$87,Formula!D27,21)&lt;&gt;"",INDEX(Properties!A$1:CB$87,Formula!D27,21)),IF(INDEX(Properties!A$1:CB$87,Formula!F27,21)&lt;&gt;"",INDEX(Properties!A$1:CB$87,Formula!F27,21)),IF(INDEX(Properties!A$1:CB$87,Formula!H27,21)&lt;&gt;"",INDEX(Properties!A$1:CB$87,Formula!H27,21)),IF(INDEX(Properties!A$1:CB$87,Formula!J27,21)&lt;&gt;"",INDEX(Properties!A$1:CB$87,Formula!J27,21)))</f>
        <v>5.76</v>
      </c>
      <c r="BY27" s="66">
        <f>MAX(INDEX(Properties!A$1:CB$87,Formula!B27,21),INDEX(Properties!A$1:CB$87,Formula!D27,21),INDEX(Properties!A$1:CB$87,Formula!F27,21),INDEX(Properties!A$1:CB$87,Formula!H27,21),INDEX(Properties!A$1:CB$87,Formula!J27,21))</f>
        <v>6</v>
      </c>
      <c r="BZ27" s="66">
        <f>MIN(IF(INDEX(Properties!A$1:CB$87,Formula!B27,21)=0,10^6,INDEX(Properties!A$1:CB$87,Formula!B27,21)),IF(INDEX(Properties!A$1:CB$87,Formula!D27,21)=0,10^6,INDEX(Properties!A$1:CB$87,Formula!D27,21)),IF(INDEX(Properties!A$1:CB$87,Formula!F27,21)=0,10^6,INDEX(Properties!A$1:CB$87,Formula!F27,21)),IF(INDEX(Properties!A$1:CB$87,Formula!H27,21)=0,10^6,INDEX(Properties!A$1:CB$87,Formula!H27,21)),IF(INDEX(Properties!A$1:CB$87,Formula!J27,21)=0,10^6,INDEX(Properties!A$1:CB$87,Formula!J27,21)))</f>
        <v>1</v>
      </c>
      <c r="CA27" s="66">
        <f t="shared" si="12"/>
        <v>5</v>
      </c>
      <c r="CB27" s="81">
        <f>((Formula!C27)/(Formula!C27+Formula!E27+Formula!G27+Formula!I27+Formula!K27))*(INDEX(Properties!A$1:CB$87,Formula!B27,23))+((Formula!E27)/(Formula!C27+Formula!E27+Formula!G27+Formula!I27+Formula!K27))*(INDEX(Properties!A$1:CB$87,Formula!D27,23))+((Formula!G27)/(Formula!C27+Formula!E27+Formula!G27+Formula!I27+Formula!K27))*(INDEX(Properties!A$1:CB$87,Formula!F27,23))+((Formula!I27)/(Formula!C27+Formula!E27+Formula!G27+Formula!I27+Formula!K27))*(INDEX(Properties!A$1:CB$87,Formula!H27,23))+((Formula!K27)/(Formula!C27+Formula!E27+Formula!G27+Formula!I27+Formula!K27))*(INDEX(Properties!A$1:CB$87,Formula!J27,23))</f>
        <v>1.1355555555555557</v>
      </c>
      <c r="CC27" s="81">
        <f>Formula!C27*(INDEX(Properties!A$1:CB$87,Formula!B27,23))+Formula!E27*(INDEX(Properties!A$1:CB$87,Formula!D27,23))+Formula!G27*(INDEX(Properties!A$1:CB$87,Formula!F27,23))+Formula!I27*(INDEX(Properties!A$1:CB$87,Formula!H27,23))+Formula!K27*(INDEX(Properties!A$1:CB$87,Formula!J27,23))</f>
        <v>10.220000000000001</v>
      </c>
      <c r="CD27" s="81">
        <f>VARP(IF(INDEX(Properties!A$1:CB$87,Formula!B27,23)&lt;&gt;"",INDEX(Properties!A$1:CB$87,Formula!B27,23)),IF(INDEX(Properties!A$1:CB$87,Formula!D27,23)&lt;&gt;"",INDEX(Properties!A$1:CB$87,Formula!D27,23)),IF(INDEX(Properties!A$1:CB$87,Formula!F27,23)&lt;&gt;"",INDEX(Properties!A$1:CB$87,Formula!F27,23)),IF(INDEX(Properties!A$1:CB$87,Formula!H27,23)&lt;&gt;"",INDEX(Properties!A$1:CB$87,Formula!H27,23)),IF(INDEX(Properties!A$1:CB$87,Formula!J27,23)&lt;&gt;"",INDEX(Properties!A$1:CB$87,Formula!J27,23)))</f>
        <v>6.4464640000000006</v>
      </c>
      <c r="CE27" s="81">
        <f>MAX(INDEX(Properties!A$1:CB$87,Formula!B27,23),INDEX(Properties!A$1:CB$87,Formula!D27,23),INDEX(Properties!A$1:CB$87,Formula!F27,23),INDEX(Properties!A$1:CB$87,Formula!H27,23),INDEX(Properties!A$1:CB$87,Formula!J27,23))</f>
        <v>5.78</v>
      </c>
      <c r="CF27" s="81">
        <f>MIN(IF(Formula!B27=87,10^6,INDEX(Properties!A$1:CB$87,Formula!B27,23)),IF((Formula!D27)=87,10^6,INDEX(Properties!A$1:CB$87,Formula!D27,23)),IF((Formula!F27)=87,10^6,INDEX(Properties!A$1:CB$87,Formula!F27,23)),IF((Formula!H27)=87,10^6,INDEX(Properties!A$1:CB$87,Formula!H27,23)),IF(Formula!J27=87,10^6,INDEX(Properties!A$1:CB$87,Formula!J27,23)))</f>
        <v>0</v>
      </c>
      <c r="CG27" s="81">
        <f t="shared" si="13"/>
        <v>5.78</v>
      </c>
      <c r="CH27" s="39">
        <f>((Formula!C27)/(Formula!C27+Formula!E27+Formula!G27+Formula!I27+Formula!K27))*(INDEX(Properties!A$1:CB$87,Formula!B27,26))+((Formula!E27)/(Formula!C27+Formula!E27+Formula!G27+Formula!I27+Formula!K27))*(INDEX(Properties!A$1:CB$87,Formula!D27,26))+((Formula!G27)/(Formula!C27+Formula!E27+Formula!G27+Formula!I27+Formula!K27))*(INDEX(Properties!A$1:CB$87,Formula!F27,26))+((Formula!I27)/(Formula!C27+Formula!E27+Formula!G27+Formula!I27+Formula!K27))*(INDEX(Properties!A$1:CB$87,Formula!H27,26))+((Formula!K27)/(Formula!C27+Formula!E27+Formula!G27+Formula!I27+Formula!K27))*(INDEX(Properties!A$1:CB$87,Formula!J27,26))</f>
        <v>12.509433333333334</v>
      </c>
      <c r="CI27" s="39">
        <f>Formula!C27*(INDEX(Properties!A$1:CB$87,Formula!B27,26))+Formula!E27*(INDEX(Properties!A$1:CB$87,Formula!D27,26))+Formula!G27*(INDEX(Properties!A$1:CB$87,Formula!F27,26))+Formula!I27*(INDEX(Properties!A$1:CB$87,Formula!H27,26))+Formula!K27*(INDEX(Properties!A$1:CB$87,Formula!J27,26))</f>
        <v>112.5849</v>
      </c>
      <c r="CJ27" s="39">
        <f>VARP(IF(INDEX(Properties!A$1:CB$87,Formula!B27,26)&lt;&gt;"",INDEX(Properties!A$1:CB$87,Formula!B27,26)),IF(INDEX(Properties!A$1:CB$87,Formula!D27,26)&lt;&gt;"",INDEX(Properties!A$1:CB$87,Formula!D27,26)),IF(INDEX(Properties!A$1:CB$87,Formula!F27,26)&lt;&gt;"",INDEX(Properties!A$1:CB$87,Formula!F27,26)),IF(INDEX(Properties!A$1:CB$87,Formula!H27,26)&lt;&gt;"",INDEX(Properties!A$1:CB$87,Formula!H27,26)),IF(INDEX(Properties!A$1:CB$87,Formula!J27,26)&lt;&gt;"",INDEX(Properties!A$1:CB$87,Formula!J27,26)))</f>
        <v>28.975391382399998</v>
      </c>
      <c r="CK27" s="39">
        <f>MAX(INDEX(Properties!A$1:CB$87,Formula!B27,26),INDEX(Properties!A$1:CB$87,Formula!D27,26),INDEX(Properties!A$1:CB$87,Formula!F27,26),INDEX(Properties!A$1:CB$87,Formula!H27,26),INDEX(Properties!A$1:CB$87,Formula!J27,26))</f>
        <v>13.6181</v>
      </c>
      <c r="CL27" s="39">
        <f>MIN(IF(INDEX(Properties!A$1:CB$87,Formula!B27,26)=0,10^6,INDEX(Properties!A$1:CB$87,Formula!B27,26)),IF(INDEX(Properties!A$1:CB$87,Formula!D27,26)=0,10^6,INDEX(Properties!A$1:CB$87,Formula!D27,26)),IF(INDEX(Properties!A$1:CB$87,Formula!F27,26)=0,10^6,INDEX(Properties!A$1:CB$87,Formula!F27,26)),IF(INDEX(Properties!A$1:CB$87,Formula!H27,26)=0,10^6,INDEX(Properties!A$1:CB$87,Formula!H27,26)),IF(INDEX(Properties!A$1:CB$87,Formula!J27,26)=0,10^6,INDEX(Properties!A$1:CB$87,Formula!J27,26)))</f>
        <v>7.8639999999999999</v>
      </c>
      <c r="CM27" s="39">
        <f t="shared" si="14"/>
        <v>5.7541000000000002</v>
      </c>
      <c r="CN27" s="54">
        <f>((Formula!C27)/(Formula!C27+Formula!E27+Formula!G27+Formula!I27+Formula!K27))*(INDEX(Properties!A$1:CB$87,Formula!B27,30))+((Formula!E27)/(Formula!C27+Formula!E27+Formula!G27+Formula!I27+Formula!K27))*(INDEX(Properties!A$1:CB$87,Formula!D27,30))+((Formula!G27)/(Formula!C27+Formula!E27+Formula!G27+Formula!I27+Formula!K27))*(INDEX(Properties!A$1:CB$87,Formula!F27,30))+((Formula!I27)/(Formula!C27+Formula!E27+Formula!G27+Formula!I27+Formula!K27))*(INDEX(Properties!A$1:CB$87,Formula!H27,30))+((Formula!K27)/(Formula!C27+Formula!E27+Formula!G27+Formula!I27+Formula!K27))*(INDEX(Properties!A$1:CB$87,Formula!J27,30))</f>
        <v>3.1211111111111109</v>
      </c>
      <c r="CO27" s="54">
        <f>Formula!C27*(INDEX(Properties!A$1:CB$87,Formula!B27,30))+Formula!E27*(INDEX(Properties!A$1:CB$87,Formula!D27,30))+Formula!G27*(INDEX(Properties!A$1:CB$87,Formula!F27,30))+Formula!I27*(INDEX(Properties!A$1:CB$87,Formula!H27,30))+Formula!K27*(INDEX(Properties!A$1:CB$87,Formula!J27,30))</f>
        <v>28.089999999999996</v>
      </c>
      <c r="CP27" s="54">
        <f>VARP(IF(INDEX(Properties!A$1:CB$87,Formula!B27,30)&lt;&gt;"",INDEX(Properties!A$1:CB$87,Formula!B27,30)),IF(INDEX(Properties!A$1:CB$87,Formula!D27,30)&lt;&gt;"",INDEX(Properties!A$1:CB$87,Formula!D27,30)),IF(INDEX(Properties!A$1:CB$87,Formula!F27,30)&lt;&gt;"",INDEX(Properties!A$1:CB$87,Formula!F27,30)),IF(INDEX(Properties!A$1:CB$87,Formula!H27,30)&lt;&gt;"",INDEX(Properties!A$1:CB$87,Formula!H27,30)),IF(INDEX(Properties!A$1:CB$87,Formula!J27,30)&lt;&gt;"",INDEX(Properties!A$1:CB$87,Formula!J27,30)))</f>
        <v>1.80504</v>
      </c>
      <c r="CQ27" s="54">
        <f>MAX(INDEX(Properties!A$1:CB$87,Formula!B27,30),INDEX(Properties!A$1:CB$87,Formula!D27,30),INDEX(Properties!A$1:CB$87,Formula!F27,30),INDEX(Properties!A$1:CB$87,Formula!H27,30),INDEX(Properties!A$1:CB$87,Formula!J27,30))</f>
        <v>3.44</v>
      </c>
      <c r="CR27" s="54">
        <f>MIN(IF(INDEX(Properties!A$1:CB$87,Formula!B27,30)=0,10^6,INDEX(Properties!A$1:CB$87,Formula!B27,30)),IF(INDEX(Properties!A$1:CB$87,Formula!D27,30)=0,10^6,INDEX(Properties!A$1:CB$87,Formula!D27,30)),IF(INDEX(Properties!A$1:CB$87,Formula!F27,30)=0,10^6,INDEX(Properties!A$1:CB$87,Formula!F27,30)),IF(INDEX(Properties!A$1:CB$87,Formula!H27,30)=0,10^6,INDEX(Properties!A$1:CB$87,Formula!H27,30)),IF(INDEX(Properties!A$1:CB$87,Formula!J27,30)=0,10^6,INDEX(Properties!A$1:CB$87,Formula!J27,30)))</f>
        <v>1.65</v>
      </c>
      <c r="CS27" s="54">
        <f t="shared" si="15"/>
        <v>1.79</v>
      </c>
      <c r="CT27" s="69">
        <f>((Formula!C27)/(Formula!C27+Formula!E27+Formula!G27+Formula!I27+Formula!K27))*(INDEX(Properties!A$1:CB$87,Formula!B27,31))+((Formula!E27)/(Formula!C27+Formula!E27+Formula!G27+Formula!I27+Formula!K27))*(INDEX(Properties!A$1:CB$87,Formula!D27,31))+((Formula!G27)/(Formula!C27+Formula!E27+Formula!G27+Formula!I27+Formula!K27))*(INDEX(Properties!A$1:CB$87,Formula!F27,31))+((Formula!I27)/(Formula!C27+Formula!E27+Formula!G27+Formula!I27+Formula!K27))*(INDEX(Properties!A$1:CB$87,Formula!H27,31))+((Formula!K27)/(Formula!C27+Formula!E27+Formula!G27+Formula!I27+Formula!K27))*(INDEX(Properties!A$1:CB$87,Formula!J27,31))</f>
        <v>2.9411111111111112</v>
      </c>
      <c r="CU27" s="69">
        <f>Formula!C27*(INDEX(Properties!A$1:CB$87,Formula!B27,31))+Formula!E27*(INDEX(Properties!A$1:CB$87,Formula!D27,31))+Formula!G27*(INDEX(Properties!A$1:CB$87,Formula!F27,31))+Formula!I27*(INDEX(Properties!A$1:CB$87,Formula!H27,31))+Formula!K27*(INDEX(Properties!A$1:CB$87,Formula!J27,31))</f>
        <v>26.47</v>
      </c>
      <c r="CV27" s="69">
        <f>VARP(IF(INDEX(Properties!A$1:CB$87,Formula!B27,31)&lt;&gt;"",INDEX(Properties!A$1:CB$87,Formula!B27,31)),IF(INDEX(Properties!A$1:CB$87,Formula!D27,31)&lt;&gt;"",INDEX(Properties!A$1:CB$87,Formula!D27,31)),IF(INDEX(Properties!A$1:CB$87,Formula!F27,31)&lt;&gt;"",INDEX(Properties!A$1:CB$87,Formula!F27,31)),IF(INDEX(Properties!A$1:CB$87,Formula!H27,31)&lt;&gt;"",INDEX(Properties!A$1:CB$87,Formula!H27,31)),IF(INDEX(Properties!A$1:CB$87,Formula!J27,31)&lt;&gt;"",INDEX(Properties!A$1:CB$87,Formula!J27,31)))</f>
        <v>1.5439200000000002</v>
      </c>
      <c r="CW27" s="69">
        <f>MAX(INDEX(Properties!A$1:CB$87,Formula!B27,31),INDEX(Properties!A$1:CB$87,Formula!D27,31),INDEX(Properties!A$1:CB$87,Formula!F27,31),INDEX(Properties!A$1:CB$87,Formula!H27,31),INDEX(Properties!A$1:CB$87,Formula!J27,31))</f>
        <v>3.32</v>
      </c>
      <c r="CX27" s="69">
        <f>MIN(IF(INDEX(Properties!A$1:CB$87,Formula!B27,31)=0,10^6,INDEX(Properties!A$1:CB$87,Formula!B27,31)),IF(INDEX(Properties!A$1:CB$87,Formula!D27,31)=0,10^6,INDEX(Properties!A$1:CB$87,Formula!D27,31)),IF(INDEX(Properties!A$1:CB$87,Formula!F27,31)=0,10^6,INDEX(Properties!A$1:CB$87,Formula!F27,31)),IF(INDEX(Properties!A$1:CB$87,Formula!H27,31)=0,10^6,INDEX(Properties!A$1:CB$87,Formula!H27,31)),IF(INDEX(Properties!A$1:CB$87,Formula!J27,31)=0,10^6,INDEX(Properties!A$1:CB$87,Formula!J27,31)))</f>
        <v>1.44</v>
      </c>
      <c r="CY27" s="69">
        <f t="shared" si="16"/>
        <v>1.88</v>
      </c>
      <c r="CZ27" s="42">
        <f>((Formula!C27)/(Formula!C27+Formula!E27+Formula!G27+Formula!I27+Formula!K27))*(INDEX(Properties!A$1:CB$87,Formula!B27,32))+((Formula!E27)/(Formula!C27+Formula!E27+Formula!G27+Formula!I27+Formula!K27))*(INDEX(Properties!A$1:CB$87,Formula!D27,32))+((Formula!G27)/(Formula!C27+Formula!E27+Formula!G27+Formula!I27+Formula!K27))*(INDEX(Properties!A$1:CB$87,Formula!F27,32))+((Formula!I27)/(Formula!C27+Formula!E27+Formula!G27+Formula!I27+Formula!K27))*(INDEX(Properties!A$1:CB$87,Formula!H27,32))+((Formula!K27)/(Formula!C27+Formula!E27+Formula!G27+Formula!I27+Formula!K27))*(INDEX(Properties!A$1:CB$87,Formula!J27,32))</f>
        <v>6.847777777777778</v>
      </c>
      <c r="DA27" s="42">
        <f>Formula!C27*(INDEX(Properties!A$1:CB$87,Formula!B27,32))+Formula!E27*(INDEX(Properties!A$1:CB$87,Formula!D27,32))+Formula!G27*(INDEX(Properties!A$1:CB$87,Formula!F27,32))+Formula!I27*(INDEX(Properties!A$1:CB$87,Formula!H27,32))+Formula!K27*(INDEX(Properties!A$1:CB$87,Formula!J27,32))</f>
        <v>61.63</v>
      </c>
      <c r="DB27" s="42">
        <f>VARP(IF(INDEX(Properties!A$1:CB$87,Formula!B27,32)&lt;&gt;"",INDEX(Properties!A$1:CB$87,Formula!B27,32)),IF(INDEX(Properties!A$1:CB$87,Formula!D27,32)&lt;&gt;"",INDEX(Properties!A$1:CB$87,Formula!D27,32)),IF(INDEX(Properties!A$1:CB$87,Formula!F27,32)&lt;&gt;"",INDEX(Properties!A$1:CB$87,Formula!F27,32)),IF(INDEX(Properties!A$1:CB$87,Formula!H27,32)&lt;&gt;"",INDEX(Properties!A$1:CB$87,Formula!H27,32)),IF(INDEX(Properties!A$1:CB$87,Formula!J27,32)&lt;&gt;"",INDEX(Properties!A$1:CB$87,Formula!J27,32)))</f>
        <v>8.4575359999999993</v>
      </c>
      <c r="DC27" s="42">
        <f>MAX(INDEX(Properties!A$1:CB$87,Formula!B27,32),INDEX(Properties!A$1:CB$87,Formula!D27,32),INDEX(Properties!A$1:CB$87,Formula!F27,32),INDEX(Properties!A$1:CB$87,Formula!H27,32),INDEX(Properties!A$1:CB$87,Formula!J27,32))</f>
        <v>7.54</v>
      </c>
      <c r="DD27" s="42">
        <f>MIN(IF(INDEX(Properties!A$1:CB$87,Formula!B27,32)=0,10^6,INDEX(Properties!A$1:CB$87,Formula!B27,32)),IF(INDEX(Properties!A$1:CB$87,Formula!D27,32)=0,10^6,INDEX(Properties!A$1:CB$87,Formula!D27,32)),IF(INDEX(Properties!A$1:CB$87,Formula!F27,32)=0,10^6,INDEX(Properties!A$1:CB$87,Formula!F27,32)),IF(INDEX(Properties!A$1:CB$87,Formula!H27,32)=0,10^6,INDEX(Properties!A$1:CB$87,Formula!H27,32)),IF(INDEX(Properties!A$1:CB$87,Formula!J27,32)=0,10^6,INDEX(Properties!A$1:CB$87,Formula!J27,32)))</f>
        <v>4.4000000000000004</v>
      </c>
      <c r="DE27" s="42">
        <f t="shared" si="17"/>
        <v>3.1399999999999997</v>
      </c>
      <c r="DF27" s="60">
        <f>((Formula!C27)/(Formula!C27+Formula!E27+Formula!G27+Formula!I27+Formula!K27))*(INDEX(Properties!A$1:CB$87,Formula!B27,34))+((Formula!E27)/(Formula!C27+Formula!E27+Formula!G27+Formula!I27+Formula!K27))*(INDEX(Properties!A$1:CB$87,Formula!D27,34))+((Formula!G27)/(Formula!C27+Formula!E27+Formula!G27+Formula!I27+Formula!K27))*(INDEX(Properties!A$1:CB$87,Formula!F27,34))+((Formula!I27)/(Formula!C27+Formula!E27+Formula!G27+Formula!I27+Formula!K27))*(INDEX(Properties!A$1:CB$87,Formula!H27,34))+((Formula!K27)/(Formula!C27+Formula!E27+Formula!G27+Formula!I27+Formula!K27))*(INDEX(Properties!A$1:CB$87,Formula!J27,34))</f>
        <v>3.1477777777777778</v>
      </c>
      <c r="DG27" s="60">
        <f>Formula!C27*(INDEX(Properties!A$1:CB$87,Formula!B27,34))+Formula!E27*(INDEX(Properties!A$1:CB$87,Formula!D27,34))+Formula!G27*(INDEX(Properties!A$1:CB$87,Formula!F27,34))+Formula!I27*(INDEX(Properties!A$1:CB$87,Formula!H27,34))+Formula!K27*(INDEX(Properties!A$1:CB$87,Formula!J27,34))</f>
        <v>28.33</v>
      </c>
      <c r="DH27" s="60">
        <f>VARP(IF(INDEX(Properties!A$1:CB$87,Formula!B27,34)&lt;&gt;"",INDEX(Properties!A$1:CB$87,Formula!B27,34)),IF(INDEX(Properties!A$1:CB$87,Formula!D27,34)&lt;&gt;"",INDEX(Properties!A$1:CB$87,Formula!D27,34)),IF(INDEX(Properties!A$1:CB$87,Formula!F27,34)&lt;&gt;"",INDEX(Properties!A$1:CB$87,Formula!F27,34)),IF(INDEX(Properties!A$1:CB$87,Formula!H27,34)&lt;&gt;"",INDEX(Properties!A$1:CB$87,Formula!H27,34)),IF(INDEX(Properties!A$1:CB$87,Formula!J27,34)&lt;&gt;"",INDEX(Properties!A$1:CB$87,Formula!J27,34)))</f>
        <v>1.7646640000000002</v>
      </c>
      <c r="DI27" s="60">
        <f>MAX(INDEX(Properties!A$1:CB$87,Formula!B27,34),INDEX(Properties!A$1:CB$87,Formula!D27,34),INDEX(Properties!A$1:CB$87,Formula!F27,34),INDEX(Properties!A$1:CB$87,Formula!H27,34),INDEX(Properties!A$1:CB$87,Formula!J27,34))</f>
        <v>3.61</v>
      </c>
      <c r="DJ27" s="60">
        <f>MIN(IF(INDEX(Properties!A$1:CB$87,Formula!B27,34)=0,10^6,INDEX(Properties!A$1:CB$87,Formula!B27,34)),IF(INDEX(Properties!A$1:CB$87,Formula!D27,34)=0,10^6,INDEX(Properties!A$1:CB$87,Formula!D27,34)),IF(INDEX(Properties!A$1:CB$87,Formula!F27,34)=0,10^6,INDEX(Properties!A$1:CB$87,Formula!F27,34)),IF(INDEX(Properties!A$1:CB$87,Formula!H27,34)=0,10^6,INDEX(Properties!A$1:CB$87,Formula!H27,34)),IF(INDEX(Properties!A$1:CB$87,Formula!J27,34)=0,10^6,INDEX(Properties!A$1:CB$87,Formula!J27,34)))</f>
        <v>1.47</v>
      </c>
      <c r="DK27" s="60">
        <f t="shared" si="18"/>
        <v>2.1399999999999997</v>
      </c>
      <c r="DL27" s="45">
        <f>((Formula!C27)/(Formula!C27+Formula!E27+Formula!G27+Formula!I27+Formula!K27))*(INDEX(Properties!A$1:CB$87,Formula!B27,39))+((Formula!E27)/(Formula!C27+Formula!E27+Formula!G27+Formula!I27+Formula!K27))*(INDEX(Properties!A$1:CB$87,Formula!D27,39))+((Formula!G27)/(Formula!C27+Formula!E27+Formula!G27+Formula!I27+Formula!K27))*(INDEX(Properties!A$1:CB$87,Formula!F27,39))+((Formula!I27)/(Formula!C27+Formula!E27+Formula!G27+Formula!I27+Formula!K27))*(INDEX(Properties!A$1:CB$87,Formula!H27,39))+((Formula!K27)/(Formula!C27+Formula!E27+Formula!G27+Formula!I27+Formula!K27))*(INDEX(Properties!A$1:CB$87,Formula!J27,39))</f>
        <v>0.74555555555555553</v>
      </c>
      <c r="DM27" s="45">
        <f>Formula!C27*(INDEX(Properties!A$1:CB$87,Formula!B27,39))+Formula!E27*(INDEX(Properties!A$1:CB$87,Formula!D27,39))+Formula!G27*(INDEX(Properties!A$1:CB$87,Formula!F27,39))+Formula!I27*(INDEX(Properties!A$1:CB$87,Formula!H27,39))+Formula!K27*(INDEX(Properties!A$1:CB$87,Formula!J27,39))</f>
        <v>6.7099999999999991</v>
      </c>
      <c r="DN27" s="45">
        <f>VARP(IF(INDEX(Properties!A$1:CB$87,Formula!B27,39)&lt;&gt;"",INDEX(Properties!A$1:CB$87,Formula!B27,39)),IF(INDEX(Properties!A$1:CB$87,Formula!D27,39)&lt;&gt;"",INDEX(Properties!A$1:CB$87,Formula!D27,39)),IF(INDEX(Properties!A$1:CB$87,Formula!F27,39)&lt;&gt;"",INDEX(Properties!A$1:CB$87,Formula!F27,39)),IF(INDEX(Properties!A$1:CB$87,Formula!H27,39)&lt;&gt;"",INDEX(Properties!A$1:CB$87,Formula!H27,39)),IF(INDEX(Properties!A$1:CB$87,Formula!J27,39)&lt;&gt;"",INDEX(Properties!A$1:CB$87,Formula!J27,39)))</f>
        <v>0.60758400000000012</v>
      </c>
      <c r="DO27" s="45">
        <f>MAX(INDEX(Properties!A$1:CB$87,Formula!B27,39),INDEX(Properties!A$1:CB$87,Formula!D27,39),INDEX(Properties!A$1:CB$87,Formula!F27,39),INDEX(Properties!A$1:CB$87,Formula!H27,39),INDEX(Properties!A$1:CB$87,Formula!J27,39))</f>
        <v>1.93</v>
      </c>
      <c r="DP27" s="45">
        <f>MIN(IF(INDEX(Properties!A$1:CB$87,Formula!B27,39)=0,10^6,INDEX(Properties!A$1:CB$87,Formula!B27,39)),IF(INDEX(Properties!A$1:CB$87,Formula!D27,39)=0,10^6,INDEX(Properties!A$1:CB$87,Formula!D27,39)),IF(INDEX(Properties!A$1:CB$87,Formula!F27,39)=0,10^6,INDEX(Properties!A$1:CB$87,Formula!F27,39)),IF(INDEX(Properties!A$1:CB$87,Formula!H27,39)=0,10^6,INDEX(Properties!A$1:CB$87,Formula!H27,39)),IF(INDEX(Properties!A$1:CB$87,Formula!J27,39)=0,10^6,INDEX(Properties!A$1:CB$87,Formula!J27,39)))</f>
        <v>0.48</v>
      </c>
      <c r="DQ27" s="45">
        <f t="shared" si="19"/>
        <v>1.45</v>
      </c>
      <c r="DR27" s="63">
        <f>((Formula!C27)/(Formula!C27+Formula!E27+Formula!G27+Formula!I27+Formula!K27))*(INDEX(Properties!A$1:CB$87,Formula!B27,40))+((Formula!E27)/(Formula!C27+Formula!E27+Formula!G27+Formula!I27+Formula!K27))*(INDEX(Properties!A$1:CB$87,Formula!D27,40))+((Formula!G27)/(Formula!C27+Formula!E27+Formula!G27+Formula!I27+Formula!K27))*(INDEX(Properties!A$1:CB$87,Formula!F27,40))+((Formula!I27)/(Formula!C27+Formula!E27+Formula!G27+Formula!I27+Formula!K27))*(INDEX(Properties!A$1:CB$87,Formula!H27,40))+((Formula!K27)/(Formula!C27+Formula!E27+Formula!G27+Formula!I27+Formula!K27))*(INDEX(Properties!A$1:CB$87,Formula!J27,40))</f>
        <v>0.87555555555555564</v>
      </c>
      <c r="DS27" s="63">
        <f>Formula!C27*(INDEX(Properties!A$1:CB$87,Formula!B27,40))+Formula!E27*(INDEX(Properties!A$1:CB$87,Formula!D27,40))+Formula!G27*(INDEX(Properties!A$1:CB$87,Formula!F27,40))+Formula!I27*(INDEX(Properties!A$1:CB$87,Formula!H27,40))+Formula!K27*(INDEX(Properties!A$1:CB$87,Formula!J27,40))</f>
        <v>7.879999999999999</v>
      </c>
      <c r="DT27" s="63">
        <f>VARP(IF(INDEX(Properties!A$1:CB$87,Formula!B27,40)&lt;&gt;"",INDEX(Properties!A$1:CB$87,Formula!B27,40)),IF(INDEX(Properties!A$1:CB$87,Formula!D27,40)&lt;&gt;"",INDEX(Properties!A$1:CB$87,Formula!D27,40)),IF(INDEX(Properties!A$1:CB$87,Formula!F27,40)&lt;&gt;"",INDEX(Properties!A$1:CB$87,Formula!F27,40)),IF(INDEX(Properties!A$1:CB$87,Formula!H27,40)&lt;&gt;"",INDEX(Properties!A$1:CB$87,Formula!H27,40)),IF(INDEX(Properties!A$1:CB$87,Formula!J27,40)&lt;&gt;"",INDEX(Properties!A$1:CB$87,Formula!J27,40)))</f>
        <v>0.38611999999999996</v>
      </c>
      <c r="DU27" s="63">
        <f>MAX(INDEX(Properties!A$1:CB$87,Formula!B27,40),INDEX(Properties!A$1:CB$87,Formula!D27,40),INDEX(Properties!A$1:CB$87,Formula!F27,40),INDEX(Properties!A$1:CB$87,Formula!H27,40),INDEX(Properties!A$1:CB$87,Formula!J27,40))</f>
        <v>1.46</v>
      </c>
      <c r="DV27" s="63">
        <f>MIN(IF(INDEX(Properties!A$1:CB$87,Formula!B27,40)=0,10^6,INDEX(Properties!A$1:CB$87,Formula!B27,40)),IF(INDEX(Properties!A$1:CB$87,Formula!D27,40)=0,10^6,INDEX(Properties!A$1:CB$87,Formula!D27,40)),IF(INDEX(Properties!A$1:CB$87,Formula!F27,40)=0,10^6,INDEX(Properties!A$1:CB$87,Formula!F27,40)),IF(INDEX(Properties!A$1:CB$87,Formula!H27,40)=0,10^6,INDEX(Properties!A$1:CB$87,Formula!H27,40)),IF(INDEX(Properties!A$1:CB$87,Formula!J27,40)=0,10^6,INDEX(Properties!A$1:CB$87,Formula!J27,40)))</f>
        <v>0.73</v>
      </c>
      <c r="DW27" s="63">
        <f t="shared" si="20"/>
        <v>0.73</v>
      </c>
      <c r="DX27" s="75">
        <f>((Formula!C27)/(Formula!C27+Formula!E27+Formula!G27+Formula!I27+Formula!K27))*(INDEX(Properties!A$1:CB$87,Formula!B27,41))+((Formula!E27)/(Formula!C27+Formula!E27+Formula!G27+Formula!I27+Formula!K27))*(INDEX(Properties!A$1:CB$87,Formula!D27,41))+((Formula!G27)/(Formula!C27+Formula!E27+Formula!G27+Formula!I27+Formula!K27))*(INDEX(Properties!A$1:CB$87,Formula!F27,41))+((Formula!I27)/(Formula!C27+Formula!E27+Formula!G27+Formula!I27+Formula!K27))*(INDEX(Properties!A$1:CB$87,Formula!H27,41))+((Formula!K27)/(Formula!C27+Formula!E27+Formula!G27+Formula!I27+Formula!K27))*(INDEX(Properties!A$1:CB$87,Formula!J27,41))</f>
        <v>1.1666666666666665</v>
      </c>
      <c r="DY27" s="75">
        <f>Formula!C27*(INDEX(Properties!A$1:CB$87,Formula!B27,41))+Formula!E27*(INDEX(Properties!A$1:CB$87,Formula!D27,41))+Formula!G27*(INDEX(Properties!A$1:CB$87,Formula!F27,41))+Formula!I27*(INDEX(Properties!A$1:CB$87,Formula!H27,41))+Formula!K27*(INDEX(Properties!A$1:CB$87,Formula!J27,41))</f>
        <v>10.5</v>
      </c>
      <c r="DZ27" s="75">
        <f>VARP(IF(INDEX(Properties!A$1:CB$87,Formula!B27,41)&lt;&gt;"",INDEX(Properties!A$1:CB$87,Formula!B27,41)),IF(INDEX(Properties!A$1:CB$87,Formula!D27,41)&lt;&gt;"",INDEX(Properties!A$1:CB$87,Formula!D27,41)),IF(INDEX(Properties!A$1:CB$87,Formula!F27,41)&lt;&gt;"",INDEX(Properties!A$1:CB$87,Formula!F27,41)),IF(INDEX(Properties!A$1:CB$87,Formula!H27,41)&lt;&gt;"",INDEX(Properties!A$1:CB$87,Formula!H27,41)),IF(INDEX(Properties!A$1:CB$87,Formula!J27,41)&lt;&gt;"",INDEX(Properties!A$1:CB$87,Formula!J27,41)))</f>
        <v>0.25465599999999994</v>
      </c>
      <c r="EA27" s="75">
        <f>MAX(INDEX(Properties!A$1:CB$87,Formula!B27,41),INDEX(Properties!A$1:CB$87,Formula!D27,41),INDEX(Properties!A$1:CB$87,Formula!F27,41),INDEX(Properties!A$1:CB$87,Formula!H27,41),INDEX(Properties!A$1:CB$87,Formula!J27,41))</f>
        <v>1.26</v>
      </c>
      <c r="EB27" s="75">
        <f>MIN(IF(INDEX(Properties!A$1:CB$87,Formula!B27,41)=0,10^6,INDEX(Properties!A$1:CB$87,Formula!B27,41)),IF(INDEX(Properties!A$1:CB$87,Formula!D27,41)=0,10^6,INDEX(Properties!A$1:CB$87,Formula!D27,41)),IF(INDEX(Properties!A$1:CB$87,Formula!F27,41)=0,10^6,INDEX(Properties!A$1:CB$87,Formula!F27,41)),IF(INDEX(Properties!A$1:CB$87,Formula!H27,41)=0,10^6,INDEX(Properties!A$1:CB$87,Formula!H27,41)),IF(INDEX(Properties!A$1:CB$87,Formula!J27,41)=0,10^6,INDEX(Properties!A$1:CB$87,Formula!J27,41)))</f>
        <v>0.8</v>
      </c>
      <c r="EC27" s="75">
        <f t="shared" si="21"/>
        <v>0.45999999999999996</v>
      </c>
      <c r="ED27" s="48">
        <f>((Formula!C27)/(Formula!C27+Formula!E27+Formula!G27+Formula!I27+Formula!K27))*(INDEX(Properties!A$1:CB$87,Formula!B27,45))+((Formula!E27)/(Formula!C27+Formula!E27+Formula!G27+Formula!I27+Formula!K27))*(INDEX(Properties!A$1:CB$87,Formula!D27,45))+((Formula!G27)/(Formula!C27+Formula!E27+Formula!G27+Formula!I27+Formula!K27))*(INDEX(Properties!A$1:CB$87,Formula!F27,45))+((Formula!I27)/(Formula!C27+Formula!E27+Formula!G27+Formula!I27+Formula!K27))*(INDEX(Properties!A$1:CB$87,Formula!H27,45))+((Formula!K27)/(Formula!C27+Formula!E27+Formula!G27+Formula!I27+Formula!K27))*(INDEX(Properties!A$1:CB$87,Formula!J27,45))</f>
        <v>0.87888888888888883</v>
      </c>
      <c r="EE27" s="48">
        <f>Formula!C27*(INDEX(Properties!A$1:CB$87,Formula!B27,45))+Formula!E27*(INDEX(Properties!A$1:CB$87,Formula!D27,45))+Formula!G27*(INDEX(Properties!A$1:CB$87,Formula!F27,45))+Formula!I27*(INDEX(Properties!A$1:CB$87,Formula!H27,45))+Formula!K27*(INDEX(Properties!A$1:CB$87,Formula!J27,45))</f>
        <v>7.91</v>
      </c>
      <c r="EF27" s="48">
        <f>VARP(IF(INDEX(Properties!A$1:CB$87,Formula!B27,45)&lt;&gt;"",INDEX(Properties!A$1:CB$87,Formula!B27,45)),IF(INDEX(Properties!A$1:CB$87,Formula!D27,45)&lt;&gt;"",INDEX(Properties!A$1:CB$87,Formula!D27,45)),IF(INDEX(Properties!A$1:CB$87,Formula!F27,45)&lt;&gt;"",INDEX(Properties!A$1:CB$87,Formula!F27,45)),IF(INDEX(Properties!A$1:CB$87,Formula!H27,45)&lt;&gt;"",INDEX(Properties!A$1:CB$87,Formula!H27,45)),IF(INDEX(Properties!A$1:CB$87,Formula!J27,45)&lt;&gt;"",INDEX(Properties!A$1:CB$87,Formula!J27,45)))</f>
        <v>1.2162560000000004</v>
      </c>
      <c r="EG27" s="48">
        <f>MAX(INDEX(Properties!A$1:CB$87,Formula!B27,45),INDEX(Properties!A$1:CB$87,Formula!D27,45),INDEX(Properties!A$1:CB$87,Formula!F27,45),INDEX(Properties!A$1:CB$87,Formula!H27,45),INDEX(Properties!A$1:CB$87,Formula!J27,45))</f>
        <v>2.74</v>
      </c>
      <c r="EH27" s="48">
        <f>MIN(IF(INDEX(Properties!A$1:CB$87,Formula!B27,45)=0,10^6,INDEX(Properties!A$1:CB$87,Formula!B27,45)),IF(INDEX(Properties!A$1:CB$87,Formula!D27,45)=0,10^6,INDEX(Properties!A$1:CB$87,Formula!D27,45)),IF(INDEX(Properties!A$1:CB$87,Formula!F27,45)=0,10^6,INDEX(Properties!A$1:CB$87,Formula!F27,45)),IF(INDEX(Properties!A$1:CB$87,Formula!H27,45)=0,10^6,INDEX(Properties!A$1:CB$87,Formula!H27,45)),IF(INDEX(Properties!A$1:CB$87,Formula!J27,45)=0,10^6,INDEX(Properties!A$1:CB$87,Formula!J27,45)))</f>
        <v>0.47</v>
      </c>
      <c r="EI27" s="48">
        <f t="shared" si="22"/>
        <v>2.2700000000000005</v>
      </c>
      <c r="EJ27" s="66">
        <f>((Formula!C27)/(Formula!C27+Formula!E27+Formula!G27+Formula!I27+Formula!K27))*(INDEX(Properties!A$1:CB$87,Formula!B27,46))+((Formula!E27)/(Formula!C27+Formula!E27+Formula!G27+Formula!I27+Formula!K27))*(INDEX(Properties!A$1:CB$87,Formula!D27,46))+((Formula!G27)/(Formula!C27+Formula!E27+Formula!G27+Formula!I27+Formula!K27))*(INDEX(Properties!A$1:CB$87,Formula!F27,46))+((Formula!I27)/(Formula!C27+Formula!E27+Formula!G27+Formula!I27+Formula!K27))*(INDEX(Properties!A$1:CB$87,Formula!H27,46))+((Formula!K27)/(Formula!C27+Formula!E27+Formula!G27+Formula!I27+Formula!K27))*(INDEX(Properties!A$1:CB$87,Formula!J27,46))</f>
        <v>1.1055555555555556</v>
      </c>
      <c r="EK27" s="66">
        <f>Formula!C27*(INDEX(Properties!A$1:CB$87,Formula!B27,46))+Formula!E27*(INDEX(Properties!A$1:CB$87,Formula!D27,46))+Formula!G27*(INDEX(Properties!A$1:CB$87,Formula!F27,46))+Formula!I27*(INDEX(Properties!A$1:CB$87,Formula!H27,46))+Formula!K27*(INDEX(Properties!A$1:CB$87,Formula!J27,46))</f>
        <v>9.9499999999999993</v>
      </c>
      <c r="EL27" s="66">
        <f>VARP(IF(INDEX(Properties!A$1:CB$87,Formula!B27,46)&lt;&gt;"",INDEX(Properties!A$1:CB$87,Formula!B27,46)),IF(INDEX(Properties!A$1:CB$87,Formula!D27,46)&lt;&gt;"",INDEX(Properties!A$1:CB$87,Formula!D27,46)),IF(INDEX(Properties!A$1:CB$87,Formula!F27,46)&lt;&gt;"",INDEX(Properties!A$1:CB$87,Formula!F27,46)),IF(INDEX(Properties!A$1:CB$87,Formula!H27,46)&lt;&gt;"",INDEX(Properties!A$1:CB$87,Formula!H27,46)),IF(INDEX(Properties!A$1:CB$87,Formula!J27,46)&lt;&gt;"",INDEX(Properties!A$1:CB$87,Formula!J27,46)))</f>
        <v>0.22241600000000003</v>
      </c>
      <c r="EM27" s="66">
        <f>MAX(INDEX(Properties!A$1:CB$87,Formula!B27,46),INDEX(Properties!A$1:CB$87,Formula!D27,46),INDEX(Properties!A$1:CB$87,Formula!F27,46),INDEX(Properties!A$1:CB$87,Formula!H27,46),INDEX(Properties!A$1:CB$87,Formula!J27,46))</f>
        <v>1.21</v>
      </c>
      <c r="EN27" s="66">
        <f>MIN(IF(INDEX(Properties!A$1:CB$87,Formula!B27,46)=0,10^6,INDEX(Properties!A$1:CB$87,Formula!B27,46)),IF(INDEX(Properties!A$1:CB$87,Formula!D27,46)=0,10^6,INDEX(Properties!A$1:CB$87,Formula!D27,46)),IF(INDEX(Properties!A$1:CB$87,Formula!F27,46)=0,10^6,INDEX(Properties!A$1:CB$87,Formula!F27,46)),IF(INDEX(Properties!A$1:CB$87,Formula!H27,46)=0,10^6,INDEX(Properties!A$1:CB$87,Formula!H27,46)),IF(INDEX(Properties!A$1:CB$87,Formula!J27,46)=0,10^6,INDEX(Properties!A$1:CB$87,Formula!J27,46)))</f>
        <v>0.74</v>
      </c>
      <c r="EO27" s="66">
        <f t="shared" si="23"/>
        <v>0.47</v>
      </c>
      <c r="EP27" s="81">
        <f>((Formula!C27)/(Formula!C27+Formula!E27+Formula!G27+Formula!I27+Formula!K27))*(INDEX(Properties!A$1:CB$87,Formula!B27,52))+((Formula!E27)/(Formula!C27+Formula!E27+Formula!G27+Formula!I27+Formula!K27))*(INDEX(Properties!A$1:CB$87,Formula!D27,52))+((Formula!G27)/(Formula!C27+Formula!E27+Formula!G27+Formula!I27+Formula!K27))*(INDEX(Properties!A$1:CB$87,Formula!F27,52))+((Formula!I27)/(Formula!C27+Formula!E27+Formula!G27+Formula!I27+Formula!K27))*(INDEX(Properties!A$1:CB$87,Formula!H27,52))+((Formula!K27)/(Formula!C27+Formula!E27+Formula!G27+Formula!I27+Formula!K27))*(INDEX(Properties!A$1:CB$87,Formula!J27,52))</f>
        <v>2.5612222222222218</v>
      </c>
      <c r="EQ27" s="81">
        <f>Formula!C27*(INDEX(Properties!A$1:CB$87,Formula!B27,52))+Formula!E27*(INDEX(Properties!A$1:CB$87,Formula!D27,52))+Formula!G27*(INDEX(Properties!A$1:CB$87,Formula!F27,52))+Formula!I27*(INDEX(Properties!A$1:CB$87,Formula!H27,52))+Formula!K27*(INDEX(Properties!A$1:CB$87,Formula!J27,52))</f>
        <v>23.051000000000002</v>
      </c>
      <c r="ER27" s="81">
        <f>VARP(IF(INDEX(Properties!A$1:CB$87,Formula!B27,52)&lt;&gt;"",INDEX(Properties!A$1:CB$87,Formula!B27,52)),IF(INDEX(Properties!A$1:CB$87,Formula!D27,52)&lt;&gt;"",INDEX(Properties!A$1:CB$87,Formula!D27,52)),IF(INDEX(Properties!A$1:CB$87,Formula!F27,52)&lt;&gt;"",INDEX(Properties!A$1:CB$87,Formula!F27,52)),IF(INDEX(Properties!A$1:CB$87,Formula!H27,52)&lt;&gt;"",INDEX(Properties!A$1:CB$87,Formula!H27,52)),IF(INDEX(Properties!A$1:CB$87,Formula!J27,52)&lt;&gt;"",INDEX(Properties!A$1:CB$87,Formula!J27,52)))</f>
        <v>19.574415840000004</v>
      </c>
      <c r="ES27" s="81">
        <f>MAX(INDEX(Properties!A$1:CB$87,Formula!B27,52),INDEX(Properties!A$1:CB$87,Formula!D27,52),INDEX(Properties!A$1:CB$87,Formula!F27,52),INDEX(Properties!A$1:CB$87,Formula!H27,52),INDEX(Properties!A$1:CB$87,Formula!J27,52))</f>
        <v>11.1</v>
      </c>
      <c r="ET27" s="81">
        <f>MIN(IF(INDEX(Properties!A$1:CB$87,Formula!B27,52)=0,10^6,INDEX(Properties!A$1:CB$87,Formula!B27,52)),IF(INDEX(Properties!A$1:CB$87,Formula!D27,52)=0,10^6,INDEX(Properties!A$1:CB$87,Formula!D27,52)),IF(INDEX(Properties!A$1:CB$87,Formula!F27,52)=0,10^6,INDEX(Properties!A$1:CB$87,Formula!F27,52)),IF(INDEX(Properties!A$1:CB$87,Formula!H27,52)=0,10^6,INDEX(Properties!A$1:CB$87,Formula!H27,52)),IF(INDEX(Properties!A$1:CB$87,Formula!J27,52)=0,10^6,INDEX(Properties!A$1:CB$87,Formula!J27,52)))</f>
        <v>0.79300000000000004</v>
      </c>
      <c r="EU27" s="81">
        <f t="shared" si="24"/>
        <v>10.307</v>
      </c>
      <c r="EV27" s="39">
        <f>((Formula!C27)/(Formula!C27+Formula!E27+Formula!G27+Formula!I27+Formula!K27))*(INDEX(Properties!A$1:CB$87,Formula!B27,53))+((Formula!E27)/(Formula!C27+Formula!E27+Formula!G27+Formula!I27+Formula!K27))*(INDEX(Properties!A$1:CB$87,Formula!D27,53))+((Formula!G27)/(Formula!C27+Formula!E27+Formula!G27+Formula!I27+Formula!K27))*(INDEX(Properties!A$1:CB$87,Formula!F27,53))+((Formula!I27)/(Formula!C27+Formula!E27+Formula!G27+Formula!I27+Formula!K27))*(INDEX(Properties!A$1:CB$87,Formula!H27,53))+((Formula!K27)/(Formula!C27+Formula!E27+Formula!G27+Formula!I27+Formula!K27))*(INDEX(Properties!A$1:CB$87,Formula!J27,53))</f>
        <v>528.79444444444448</v>
      </c>
      <c r="EW27" s="39">
        <f>Formula!C27*(INDEX(Properties!A$1:CB$87,Formula!B27,53))+Formula!E27*(INDEX(Properties!A$1:CB$87,Formula!D27,53))+Formula!G27*(INDEX(Properties!A$1:CB$87,Formula!F27,53))+Formula!I27*(INDEX(Properties!A$1:CB$87,Formula!H27,53))+Formula!K27*(INDEX(Properties!A$1:CB$87,Formula!J27,53))</f>
        <v>4759.1499999999996</v>
      </c>
      <c r="EX27" s="39">
        <f>VARP(IF(INDEX(Properties!A$1:CB$87,Formula!B27,53)&lt;&gt;"",INDEX(Properties!A$1:CB$87,Formula!B27,53)),IF(INDEX(Properties!A$1:CB$87,Formula!D27,53)&lt;&gt;"",INDEX(Properties!A$1:CB$87,Formula!D27,53)),IF(INDEX(Properties!A$1:CB$87,Formula!F27,53)&lt;&gt;"",INDEX(Properties!A$1:CB$87,Formula!F27,53)),IF(INDEX(Properties!A$1:CB$87,Formula!H27,53)&lt;&gt;"",INDEX(Properties!A$1:CB$87,Formula!H27,53)),IF(INDEX(Properties!A$1:CB$87,Formula!J27,53)&lt;&gt;"",INDEX(Properties!A$1:CB$87,Formula!J27,53)))</f>
        <v>2024472.4326000004</v>
      </c>
      <c r="EY27" s="39">
        <f>MAX(INDEX(Properties!A$1:CB$87,Formula!B27,53),INDEX(Properties!A$1:CB$87,Formula!D27,53),INDEX(Properties!A$1:CB$87,Formula!F27,53),INDEX(Properties!A$1:CB$87,Formula!H27,53),INDEX(Properties!A$1:CB$87,Formula!J27,53))</f>
        <v>3683.15</v>
      </c>
      <c r="EZ27" s="39">
        <f>MIN(IF(INDEX(Properties!A$1:CB$87,Formula!B27,53)=0,10^6,INDEX(Properties!A$1:CB$87,Formula!B27,53)),IF(INDEX(Properties!A$1:CB$87,Formula!D27,53)=0,10^6,INDEX(Properties!A$1:CB$87,Formula!D27,53)),IF(INDEX(Properties!A$1:CB$87,Formula!F27,53)=0,10^6,INDEX(Properties!A$1:CB$87,Formula!F27,53)),IF(INDEX(Properties!A$1:CB$87,Formula!H27,53)=0,10^6,INDEX(Properties!A$1:CB$87,Formula!H27,53)),IF(INDEX(Properties!A$1:CB$87,Formula!J27,53)=0,10^6,INDEX(Properties!A$1:CB$87,Formula!J27,53)))</f>
        <v>54.749999999999972</v>
      </c>
      <c r="FA27" s="39">
        <f t="shared" si="25"/>
        <v>3628.4</v>
      </c>
      <c r="FB27" s="54">
        <f>((Formula!C27)/(Formula!C27+Formula!E27+Formula!G27+Formula!I27+Formula!K27))*(INDEX(Properties!A$1:CB$87,Formula!B27,54))+((Formula!E27)/(Formula!C27+Formula!E27+Formula!G27+Formula!I27+Formula!K27))*(INDEX(Properties!A$1:CB$87,Formula!D27,54))+((Formula!G27)/(Formula!C27+Formula!E27+Formula!G27+Formula!I27+Formula!K27))*(INDEX(Properties!A$1:CB$87,Formula!F27,54))+((Formula!I27)/(Formula!C27+Formula!E27+Formula!G27+Formula!I27+Formula!K27))*(INDEX(Properties!A$1:CB$87,Formula!H27,54))+((Formula!K27)/(Formula!C27+Formula!E27+Formula!G27+Formula!I27+Formula!K27))*(INDEX(Properties!A$1:CB$87,Formula!J27,54))</f>
        <v>860.37222222222215</v>
      </c>
      <c r="FC27" s="54">
        <f>Formula!C27*(INDEX(Properties!A$1:CB$87,Formula!B27,54))+Formula!E27*(INDEX(Properties!A$1:CB$87,Formula!D27,54))+Formula!G27*(INDEX(Properties!A$1:CB$87,Formula!F27,54))+Formula!I27*(INDEX(Properties!A$1:CB$87,Formula!H27,54))+Formula!K27*(INDEX(Properties!A$1:CB$87,Formula!J27,54))</f>
        <v>7743.3499999999995</v>
      </c>
      <c r="FD27" s="54">
        <f>VARP(IF(INDEX(Properties!A$1:CB$87,Formula!B27,54)&lt;&gt;"",INDEX(Properties!A$1:CB$87,Formula!B27,54)),IF(INDEX(Properties!A$1:CB$87,Formula!D27,54)&lt;&gt;"",INDEX(Properties!A$1:CB$87,Formula!D27,54)),IF(INDEX(Properties!A$1:CB$87,Formula!F27,54)&lt;&gt;"",INDEX(Properties!A$1:CB$87,Formula!F27,54)),IF(INDEX(Properties!A$1:CB$87,Formula!H27,54)&lt;&gt;"",INDEX(Properties!A$1:CB$87,Formula!H27,54)),IF(INDEX(Properties!A$1:CB$87,Formula!J27,54)&lt;&gt;"",INDEX(Properties!A$1:CB$87,Formula!J27,54)))</f>
        <v>5245146.6933999993</v>
      </c>
      <c r="FE27" s="54">
        <f>MAX(INDEX(Properties!A$1:CB$87,Formula!B27,54),INDEX(Properties!A$1:CB$87,Formula!D27,54),INDEX(Properties!A$1:CB$87,Formula!F27,54),INDEX(Properties!A$1:CB$87,Formula!H27,54),INDEX(Properties!A$1:CB$87,Formula!J27,54))</f>
        <v>5933.15</v>
      </c>
      <c r="FF27" s="54">
        <f>MIN(IF(INDEX(Properties!A$1:CB$87,Formula!B27,54)=0,10^6,INDEX(Properties!A$1:CB$87,Formula!B27,54)),IF(INDEX(Properties!A$1:CB$87,Formula!D27,54)=0,10^6,INDEX(Properties!A$1:CB$87,Formula!D27,54)),IF(INDEX(Properties!A$1:CB$87,Formula!F27,54)=0,10^6,INDEX(Properties!A$1:CB$87,Formula!F27,54)),IF(INDEX(Properties!A$1:CB$87,Formula!H27,54)=0,10^6,INDEX(Properties!A$1:CB$87,Formula!H27,54)),IF(INDEX(Properties!A$1:CB$87,Formula!J27,54)=0,10^6,INDEX(Properties!A$1:CB$87,Formula!J27,54)))</f>
        <v>90.149999999999977</v>
      </c>
      <c r="FG27" s="54">
        <f t="shared" si="26"/>
        <v>5843</v>
      </c>
      <c r="FH27" s="69">
        <f>((Formula!C27)/(Formula!C27+Formula!E27+Formula!G27+Formula!I27+Formula!K27))*(INDEX(Properties!A$1:CB$87,Formula!B27,55))+((Formula!E27)/(Formula!C27+Formula!E27+Formula!G27+Formula!I27+Formula!K27))*(INDEX(Properties!A$1:CB$87,Formula!D27,55))+((Formula!G27)/(Formula!C27+Formula!E27+Formula!G27+Formula!I27+Formula!K27))*(INDEX(Properties!A$1:CB$87,Formula!F27,55))+((Formula!I27)/(Formula!C27+Formula!E27+Formula!G27+Formula!I27+Formula!K27))*(INDEX(Properties!A$1:CB$87,Formula!H27,55))+((Formula!K27)/(Formula!C27+Formula!E27+Formula!G27+Formula!I27+Formula!K27))*(INDEX(Properties!A$1:CB$87,Formula!J27,55))</f>
        <v>2.9377788888888889</v>
      </c>
      <c r="FI27" s="69">
        <f>Formula!C27*(INDEX(Properties!A$1:CB$87,Formula!B27,55))+Formula!E27*(INDEX(Properties!A$1:CB$87,Formula!D27,54))+Formula!G27*(INDEX(Properties!A$1:CB$87,Formula!F27,55))+Formula!I27*(INDEX(Properties!A$1:CB$87,Formula!H27,55))+Formula!K27*(INDEX(Properties!A$1:CB$87,Formula!J27,55))</f>
        <v>5940.2900099999997</v>
      </c>
      <c r="FJ27" s="69">
        <f>VARP(IF(INDEX(Properties!A$1:CB$87,Formula!B27,55)&lt;&gt;"",INDEX(Properties!A$1:CB$87,Formula!B27,55)),IF(INDEX(Properties!A$1:CB$87,Formula!D27,55)&lt;&gt;"",INDEX(Properties!A$1:CB$87,Formula!D27,55)),IF(INDEX(Properties!A$1:CB$87,Formula!F27,55)&lt;&gt;"",INDEX(Properties!A$1:CB$87,Formula!F27,55)),IF(INDEX(Properties!A$1:CB$87,Formula!H27,55)&lt;&gt;"",INDEX(Properties!A$1:CB$87,Formula!H27,55)),IF(INDEX(Properties!A$1:CB$87,Formula!J27,55)&lt;&gt;"",INDEX(Properties!A$1:CB$87,Formula!J27,55)))</f>
        <v>56.720560735184009</v>
      </c>
      <c r="FK27" s="69">
        <f>MAX(INDEX(Properties!A$1:CB$87,Formula!B27,55),INDEX(Properties!A$1:CB$87,Formula!D27,55),INDEX(Properties!A$1:CB$87,Formula!F27,55),INDEX(Properties!A$1:CB$87,Formula!H27,55),INDEX(Properties!A$1:CB$87,Formula!J27,55))</f>
        <v>19.3</v>
      </c>
      <c r="FL27" s="69">
        <f>MIN(IF(INDEX(Properties!A$1:CB$87,Formula!B27,55)=0,10^6,INDEX(Properties!A$1:CB$87,Formula!B27,55)),IF(INDEX(Properties!A$1:CB$87,Formula!D27,55)=0,10^6,INDEX(Properties!A$1:CB$87,Formula!D27,55)),IF(INDEX(Properties!A$1:CB$87,Formula!F27,55)=0,10^6,INDEX(Properties!A$1:CB$87,Formula!F27,55)),IF(INDEX(Properties!A$1:CB$87,Formula!H27,55)=0,10^6,INDEX(Properties!A$1:CB$87,Formula!H27,55)),IF(INDEX(Properties!A$1:CB$87,Formula!J27,55)=0,10^6,INDEX(Properties!A$1:CB$87,Formula!J27,55)))</f>
        <v>1.4300000000000001E-3</v>
      </c>
      <c r="FM27" s="69">
        <f t="shared" si="27"/>
        <v>19.298570000000002</v>
      </c>
      <c r="FN27" s="42">
        <f>((Formula!C27)/(Formula!C27+Formula!E27+Formula!G27+Formula!I27+Formula!K27))*(INDEX(Properties!A$1:CB$87,Formula!B27,56))+((Formula!E27)/(Formula!C27+Formula!E27+Formula!G27+Formula!I27+Formula!K27))*(INDEX(Properties!A$1:CB$87,Formula!D27,56))+((Formula!G27)/(Formula!C27+Formula!E27+Formula!G27+Formula!I27+Formula!K27))*(INDEX(Properties!A$1:CB$87,Formula!F27,56))+((Formula!I27)/(Formula!C27+Formula!E27+Formula!G27+Formula!I27+Formula!K27))*(INDEX(Properties!A$1:CB$87,Formula!H27,56))+((Formula!K27)/(Formula!C27+Formula!E27+Formula!G27+Formula!I27+Formula!K27))*(INDEX(Properties!A$1:CB$87,Formula!J27,56))</f>
        <v>0.77333333333333343</v>
      </c>
      <c r="FO27" s="42">
        <f>Formula!C27*(INDEX(Properties!A$1:CB$87,Formula!B27,56))+Formula!E27*(INDEX(Properties!A$1:CB$87,Formula!D27,56))+Formula!G27*(INDEX(Properties!A$1:CB$87,Formula!F27,56))+Formula!I27*(INDEX(Properties!A$1:CB$87,Formula!H27,56))+Formula!K27*(INDEX(Properties!A$1:CB$87,Formula!J27,56))</f>
        <v>6.9600000000000009</v>
      </c>
      <c r="FP27" s="42">
        <f>VARP(IF(INDEX(Properties!A$1:CB$87,Formula!B27,56)&lt;&gt;"",INDEX(Properties!A$1:CB$87,Formula!B27,56)),IF(INDEX(Properties!A$1:CB$87,Formula!D27,56)&lt;&gt;"",INDEX(Properties!A$1:CB$87,Formula!D27,56)),IF(INDEX(Properties!A$1:CB$87,Formula!F27,56)&lt;&gt;"",INDEX(Properties!A$1:CB$87,Formula!F27,56)),IF(INDEX(Properties!A$1:CB$87,Formula!H27,56)&lt;&gt;"",INDEX(Properties!A$1:CB$87,Formula!H27,56)),IF(INDEX(Properties!A$1:CB$87,Formula!J27,56)&lt;&gt;"",INDEX(Properties!A$1:CB$87,Formula!J27,56)))</f>
        <v>0.12013600000000001</v>
      </c>
      <c r="FQ27" s="42">
        <f>MAX(INDEX(Properties!A$1:CB$87,Formula!B27,56),INDEX(Properties!A$1:CB$87,Formula!D27,56),INDEX(Properties!A$1:CB$87,Formula!F27,56),INDEX(Properties!A$1:CB$87,Formula!H27,56),INDEX(Properties!A$1:CB$87,Formula!J27,56))</f>
        <v>0.92</v>
      </c>
      <c r="FR27" s="42">
        <f>MIN(IF(INDEX(Properties!A$1:CB$87,Formula!B27,56)=0,10^6,INDEX(Properties!A$1:CB$87,Formula!B27,56)),IF(INDEX(Properties!A$1:CB$87,Formula!D27,56)=0,10^6,INDEX(Properties!A$1:CB$87,Formula!D27,56)),IF(INDEX(Properties!A$1:CB$87,Formula!F27,56)=0,10^6,INDEX(Properties!A$1:CB$87,Formula!F27,56)),IF(INDEX(Properties!A$1:CB$87,Formula!H27,56)=0,10^6,INDEX(Properties!A$1:CB$87,Formula!H27,56)),IF(INDEX(Properties!A$1:CB$87,Formula!J27,56)=0,10^6,INDEX(Properties!A$1:CB$87,Formula!J27,56)))</f>
        <v>0.13</v>
      </c>
      <c r="FS27" s="42">
        <f t="shared" si="28"/>
        <v>0.79</v>
      </c>
      <c r="FT27" s="60">
        <f>((Formula!C27)/(Formula!C27+Formula!E27+Formula!G27+Formula!I27+Formula!K27))*(INDEX(Properties!A$1:CB$87,Formula!B27,57))+((Formula!E27)/(Formula!C27+Formula!E27+Formula!G27+Formula!I27+Formula!K27))*(INDEX(Properties!A$1:CB$87,Formula!D27,57))+((Formula!G27)/(Formula!C27+Formula!E27+Formula!G27+Formula!I27+Formula!K27))*(INDEX(Properties!A$1:CB$87,Formula!F27,57))+((Formula!I27)/(Formula!C27+Formula!E27+Formula!G27+Formula!I27+Formula!K27))*(INDEX(Properties!A$1:CB$87,Formula!H27,57))+((Formula!K27)/(Formula!C27+Formula!E27+Formula!G27+Formula!I27+Formula!K27))*(INDEX(Properties!A$1:CB$87,Formula!J27,57))</f>
        <v>4.9200144444444449</v>
      </c>
      <c r="FU27" s="60">
        <f>Formula!C27*(INDEX(Properties!A$1:CB$87,Formula!B27,57))+Formula!E27*(INDEX(Properties!A$1:CB$87,Formula!D27,57))+Formula!G27*(INDEX(Properties!A$1:CB$87,Formula!F27,57))+Formula!I27*(INDEX(Properties!A$1:CB$87,Formula!H27,57))+Formula!K27*(INDEX(Properties!A$1:CB$87,Formula!J27,57))</f>
        <v>44.28013</v>
      </c>
      <c r="FV27" s="60">
        <f>VARP(IF(INDEX(Properties!A$1:CB$87,Formula!B27,57)&lt;&gt;"",INDEX(Properties!A$1:CB$87,Formula!B27,57)),IF(INDEX(Properties!A$1:CB$87,Formula!D27,57)&lt;&gt;"",INDEX(Properties!A$1:CB$87,Formula!D27,57)),IF(INDEX(Properties!A$1:CB$87,Formula!F27,57)&lt;&gt;"",INDEX(Properties!A$1:CB$87,Formula!F27,57)),IF(INDEX(Properties!A$1:CB$87,Formula!H27,57)&lt;&gt;"",INDEX(Properties!A$1:CB$87,Formula!H27,57)),IF(INDEX(Properties!A$1:CB$87,Formula!J27,57)&lt;&gt;"",INDEX(Properties!A$1:CB$87,Formula!J27,57)))</f>
        <v>187.59473365089599</v>
      </c>
      <c r="FW27" s="60">
        <f>MAX(INDEX(Properties!A$1:CB$87,Formula!B27,57),INDEX(Properties!A$1:CB$87,Formula!D27,57),INDEX(Properties!A$1:CB$87,Formula!F27,57),INDEX(Properties!A$1:CB$87,Formula!H27,57),INDEX(Properties!A$1:CB$87,Formula!J27,57))</f>
        <v>35.4</v>
      </c>
      <c r="FX27" s="60">
        <f>MIN(IF(INDEX(Properties!A$1:CB$87,Formula!B27,57)=0,10^6,INDEX(Properties!A$1:CB$87,Formula!B27,57)),IF(INDEX(Properties!A$1:CB$87,Formula!D27,57)=0,10^6,INDEX(Properties!A$1:CB$87,Formula!D27,57)),IF(INDEX(Properties!A$1:CB$87,Formula!F27,57)=0,10^6,INDEX(Properties!A$1:CB$87,Formula!F27,57)),IF(INDEX(Properties!A$1:CB$87,Formula!H27,57)=0,10^6,INDEX(Properties!A$1:CB$87,Formula!H27,57)),IF(INDEX(Properties!A$1:CB$87,Formula!J27,57)=0,10^6,INDEX(Properties!A$1:CB$87,Formula!J27,57)))</f>
        <v>0.22259000000000001</v>
      </c>
      <c r="FY27" s="60">
        <f t="shared" si="29"/>
        <v>35.177410000000002</v>
      </c>
      <c r="FZ27" s="72">
        <f>((Formula!C27)/(Formula!C27+Formula!E27+Formula!G27+Formula!I27+Formula!K27))*(INDEX(Properties!A$1:CB$87,Formula!B27,60))+((Formula!E27)/(Formula!C27+Formula!E27+Formula!G27+Formula!I27+Formula!K27))*(INDEX(Properties!A$1:CB$87,Formula!D27,60))+((Formula!G27)/(Formula!C27+Formula!E27+Formula!G27+Formula!I27+Formula!K27))*(INDEX(Properties!A$1:CB$87,Formula!F27,60))+((Formula!I27)/(Formula!C27+Formula!E27+Formula!G27+Formula!I27+Formula!K27))*(INDEX(Properties!A$1:CB$87,Formula!H27,60))+((Formula!K27)/(Formula!C27+Formula!E27+Formula!G27+Formula!I27+Formula!K27))*(INDEX(Properties!A$1:CB$87,Formula!J27,60))</f>
        <v>32.243020000000001</v>
      </c>
      <c r="GA27" s="72">
        <f>Formula!C27*(INDEX(Properties!A$1:CB$87,Formula!B27,60))+Formula!E27*(INDEX(Properties!A$1:CB$87,Formula!D27,60))+Formula!G27*(INDEX(Properties!A$1:CB$87,Formula!F27,60))+Formula!I27*(INDEX(Properties!A$1:CB$87,Formula!H27,60))+Formula!K27*(INDEX(Properties!A$1:CB$87,Formula!J27,60))</f>
        <v>290.18718000000001</v>
      </c>
      <c r="GB27" s="72">
        <f>VARP(IF(INDEX(Properties!A$1:CB$87,Formula!B27,60)&lt;&gt;"",INDEX(Properties!A$1:CB$87,Formula!B27,60)),IF(INDEX(Properties!A$1:CB$87,Formula!D27,60)&lt;&gt;"",INDEX(Properties!A$1:CB$87,Formula!D27,60)),IF(INDEX(Properties!A$1:CB$87,Formula!F27,60)&lt;&gt;"",INDEX(Properties!A$1:CB$87,Formula!F27,60)),IF(INDEX(Properties!A$1:CB$87,Formula!H27,60)&lt;&gt;"",INDEX(Properties!A$1:CB$87,Formula!H27,60)),IF(INDEX(Properties!A$1:CB$87,Formula!J27,60)&lt;&gt;"",INDEX(Properties!A$1:CB$87,Formula!J27,60)))</f>
        <v>5381.7797464044161</v>
      </c>
      <c r="GC27" s="72">
        <f>MAX(INDEX(Properties!A$1:CB$87,Formula!B27,60),INDEX(Properties!A$1:CB$87,Formula!D27,60),INDEX(Properties!A$1:CB$87,Formula!F27,60),INDEX(Properties!A$1:CB$87,Formula!H27,60),INDEX(Properties!A$1:CB$87,Formula!J27,60))</f>
        <v>174</v>
      </c>
      <c r="GD27" s="72">
        <f>MIN(IF(INDEX(Properties!A$1:CB$87,Formula!B27,60)=0,10^6,INDEX(Properties!A$1:CB$87,Formula!B27,60)),IF(INDEX(Properties!A$1:CB$87,Formula!D27,60)=0,10^6,INDEX(Properties!A$1:CB$87,Formula!D27,60)),IF(INDEX(Properties!A$1:CB$87,Formula!F27,60)=0,10^6,INDEX(Properties!A$1:CB$87,Formula!F27,60)),IF(INDEX(Properties!A$1:CB$87,Formula!H27,60)=0,10^6,INDEX(Properties!A$1:CB$87,Formula!H27,60)),IF(INDEX(Properties!A$1:CB$87,Formula!J27,60)=0,10^6,INDEX(Properties!A$1:CB$87,Formula!J27,60)))</f>
        <v>2.674E-2</v>
      </c>
      <c r="GE27" s="72">
        <f t="shared" si="30"/>
        <v>173.97326000000001</v>
      </c>
      <c r="GF27" s="51">
        <f>((Formula!C27)/(Formula!C27+Formula!E27+Formula!G27+Formula!I27+Formula!K27))*(INDEX(Properties!A$1:CB$87,Formula!B27,62))+((Formula!E27)/(Formula!C27+Formula!E27+Formula!G27+Formula!I27+Formula!K27))*(INDEX(Properties!A$1:CB$87,Formula!D27,62))+((Formula!G27)/(Formula!C27+Formula!E27+Formula!G27+Formula!I27+Formula!K27))*(INDEX(Properties!A$1:CB$87,Formula!F27,62))+((Formula!I27)/(Formula!C27+Formula!E27+Formula!G27+Formula!I27+Formula!K27))*(INDEX(Properties!A$1:CB$87,Formula!H27,62))+((Formula!K27)/(Formula!C27+Formula!E27+Formula!G27+Formula!I27+Formula!K27))*(INDEX(Properties!A$1:CB$87,Formula!J27,62))</f>
        <v>3.1766666666666667</v>
      </c>
      <c r="GG27" s="51">
        <f>Formula!C27*(INDEX(Properties!A$1:CB$87,Formula!B27,62))+Formula!E27*(INDEX(Properties!A$1:CB$87,Formula!D27,62))+Formula!G27*(INDEX(Properties!A$1:CB$87,Formula!F27,62))+Formula!I27*(INDEX(Properties!A$1:CB$87,Formula!H27,62))+Formula!K27*(INDEX(Properties!A$1:CB$87,Formula!J27,62))</f>
        <v>28.59</v>
      </c>
      <c r="GH27" s="51">
        <f>VARP(IF(INDEX(Properties!A$1:CB$87,Formula!B27,62)&lt;&gt;"",INDEX(Properties!A$1:CB$87,Formula!B27,62)),IF(INDEX(Properties!A$1:CB$87,Formula!D27,62)&lt;&gt;"",INDEX(Properties!A$1:CB$87,Formula!D27,62)),IF(INDEX(Properties!A$1:CB$87,Formula!F27,62)&lt;&gt;"",INDEX(Properties!A$1:CB$87,Formula!F27,62)),IF(INDEX(Properties!A$1:CB$87,Formula!H27,62)&lt;&gt;"",INDEX(Properties!A$1:CB$87,Formula!H27,62)),IF(INDEX(Properties!A$1:CB$87,Formula!J27,62)&lt;&gt;"",INDEX(Properties!A$1:CB$87,Formula!J27,62)))</f>
        <v>10.953904000000001</v>
      </c>
      <c r="GI27" s="51">
        <f>MAX(INDEX(Properties!A$1:CB$87,Formula!B27,62),INDEX(Properties!A$1:CB$87,Formula!D27,62),INDEX(Properties!A$1:CB$87,Formula!F27,62),INDEX(Properties!A$1:CB$87,Formula!H27,62),INDEX(Properties!A$1:CB$87,Formula!J27,62))</f>
        <v>8.9</v>
      </c>
      <c r="GJ27" s="51">
        <f>MIN(IF(INDEX(Properties!A$1:CB$87,Formula!B27,62)=0,10^6,INDEX(Properties!A$1:CB$87,Formula!B27,62)),IF(INDEX(Properties!A$1:CB$87,Formula!D27,62)=0,10^6,INDEX(Properties!A$1:CB$87,Formula!D27,62)),IF(INDEX(Properties!A$1:CB$87,Formula!F27,62)=0,10^6,INDEX(Properties!A$1:CB$87,Formula!F27,62)),IF(INDEX(Properties!A$1:CB$87,Formula!H27,62)=0,10^6,INDEX(Properties!A$1:CB$87,Formula!H27,62)),IF(INDEX(Properties!A$1:CB$87,Formula!J27,62)=0,10^6,INDEX(Properties!A$1:CB$87,Formula!J27,62)))</f>
        <v>1.35</v>
      </c>
      <c r="GK27" s="51">
        <f t="shared" si="31"/>
        <v>7.5500000000000007</v>
      </c>
      <c r="GL27" s="51">
        <f>Formula!P27</f>
        <v>13</v>
      </c>
      <c r="GM27" s="57">
        <f>Formula!O27</f>
        <v>2</v>
      </c>
      <c r="GN27" s="51">
        <f>Formula!N27</f>
        <v>0.02</v>
      </c>
    </row>
    <row r="28" spans="1:196" x14ac:dyDescent="0.3">
      <c r="A28" s="84" t="str">
        <f>Formula!A28</f>
        <v>NaMg6SiO8</v>
      </c>
      <c r="B28" s="89">
        <f>((Formula!C28)/(Formula!C28+Formula!E28+Formula!G28+Formula!I28+Formula!K28))*(INDEX(Properties!A$1:CB$87,Formula!B28,3))+((Formula!E28)/(Formula!C28+Formula!E28+Formula!G28+Formula!I28+Formula!K28))*(INDEX(Properties!A$1:CB$87,Formula!D28,3))+((Formula!G28)/(Formula!C28+Formula!E28+Formula!G28+Formula!I28+Formula!K28))*(INDEX(Properties!A$1:CB$87,Formula!F28,3))+((Formula!I28)/(Formula!C28+Formula!E28+Formula!G28+Formula!I28+Formula!K28))*(INDEX(Properties!A$1:CB$87,Formula!H28,3))+((Formula!K28)/(Formula!C28+Formula!E28+Formula!G28+Formula!I28+Formula!K28))*(INDEX(Properties!A$1:CB$87,Formula!J28,3))</f>
        <v>24.613158499999997</v>
      </c>
      <c r="C28" s="85">
        <f>Formula!C28*(INDEX(Properties!A$1:CB$87,Formula!B28,3))+Formula!E28*(INDEX(Properties!A$1:CB$87,Formula!D28,3))+Formula!G28*(INDEX(Properties!A$1:CB$87,Formula!F28,3))+Formula!I28*(INDEX(Properties!A$1:CB$87,Formula!H28,3))+Formula!K28*(INDEX(Properties!A$1:CB$87,Formula!J28,3))</f>
        <v>196.90526799999998</v>
      </c>
      <c r="D28" s="85">
        <f>VARP(IF(INDEX(Properties!A$1:CB$87,Formula!B28,3)&lt;&gt;"",INDEX(Properties!A$1:CB$87,Formula!B28,3)),IF(INDEX(Properties!A$1:CB$87,Formula!D28,3)&lt;&gt;"",INDEX(Properties!A$1:CB$87,Formula!D28,3)),IF(INDEX(Properties!A$1:CB$87,Formula!F28,3)&lt;&gt;"",INDEX(Properties!A$1:CB$87,Formula!F28,3)),IF(INDEX(Properties!A$1:CB$87,Formula!H28,3)&lt;&gt;"",INDEX(Properties!A$1:CB$87,Formula!H28,3)),IF(INDEX(Properties!A$1:CB$87,Formula!J28,3)&lt;&gt;"",INDEX(Properties!A$1:CB$87,Formula!J28,3)))</f>
        <v>98.797964709155934</v>
      </c>
      <c r="E28" s="85">
        <f>MAX(INDEX(Properties!A$1:CB$87,Formula!B28,3),INDEX(Properties!A$1:CB$87,Formula!D28,3),INDEX(Properties!A$1:CB$87,Formula!F28,3),INDEX(Properties!A$1:CB$87,Formula!H28,3),INDEX(Properties!A$1:CB$87,Formula!J28,3))</f>
        <v>28.0855</v>
      </c>
      <c r="F28" s="85">
        <f>MIN(IF(INDEX(Properties!A$1:CB$87,Formula!B28,3)=0,10^6,INDEX(Properties!A$1:CB$87,Formula!B28,3)),IF(INDEX(Properties!A$1:CB$87,Formula!D28,3)=0,10^6,INDEX(Properties!A$1:CB$87,Formula!D28,3)),IF(INDEX(Properties!A$1:CB$87,Formula!F28,3)=0,10^6,INDEX(Properties!A$1:CB$87,Formula!F28,3)),IF(INDEX(Properties!A$1:CB$87,Formula!H28,3)=0,10^6,INDEX(Properties!A$1:CB$87,Formula!H28,3)),IF(INDEX(Properties!A$1:CB$87,Formula!J28,3)=0,10^6,INDEX(Properties!A$1:CB$87,Formula!J28,3)))</f>
        <v>15.9994</v>
      </c>
      <c r="G28" s="85">
        <f t="shared" si="0"/>
        <v>12.0861</v>
      </c>
      <c r="H28" s="87">
        <f>((Formula!C28)/(Formula!C28+Formula!E28+Formula!G28+Formula!I28+Formula!K28))*(INDEX(Properties!A$1:CB$87,Formula!B28,4))+((Formula!E28)/(Formula!C28+Formula!E28+Formula!G28+Formula!I28+Formula!K28))*(INDEX(Properties!A$1:CB$87,Formula!D28,4))+((Formula!G28)/(Formula!C28+Formula!E28+Formula!G28+Formula!I28+Formula!K28))*(INDEX(Properties!A$1:CB$87,Formula!F28,4))+((Formula!I28)/(Formula!C28+Formula!E28+Formula!G28+Formula!I28+Formula!K28))*(INDEX(Properties!A$1:CB$87,Formula!H28,4))+((Formula!K28)/(Formula!C28+Formula!E28+Formula!G28+Formula!I28+Formula!K28))*(INDEX(Properties!A$1:CB$87,Formula!J28,4))</f>
        <v>12.125</v>
      </c>
      <c r="I28" s="87">
        <f>Formula!C28*(INDEX(Properties!A$1:CB$87,Formula!B28,4))+Formula!E28*(INDEX(Properties!A$1:CB$87,Formula!D28,4))+Formula!G28*(INDEX(Properties!A$1:CB$87,Formula!F28,4))+Formula!I28*(INDEX(Properties!A$1:CB$87,Formula!H28,4))+Formula!K28*(INDEX(Properties!A$1:CB$87,Formula!J28,4))</f>
        <v>97</v>
      </c>
      <c r="J28" s="87">
        <f>VARP(IF(INDEX(Properties!A$1:CB$87,Formula!B28,4)&lt;&gt;"",INDEX(Properties!A$1:CB$87,Formula!B28,4)),IF(INDEX(Properties!A$1:CB$87,Formula!D28,4)&lt;&gt;"",INDEX(Properties!A$1:CB$87,Formula!D28,4)),IF(INDEX(Properties!A$1:CB$87,Formula!F28,4)&lt;&gt;"",INDEX(Properties!A$1:CB$87,Formula!F28,4)),IF(INDEX(Properties!A$1:CB$87,Formula!H28,4)&lt;&gt;"",INDEX(Properties!A$1:CB$87,Formula!H28,4)),IF(INDEX(Properties!A$1:CB$87,Formula!J28,4)&lt;&gt;"",INDEX(Properties!A$1:CB$87,Formula!J28,4)))</f>
        <v>24</v>
      </c>
      <c r="K28" s="87">
        <f>MAX(INDEX(Properties!A$1:CB$87,Formula!B28,4),INDEX(Properties!A$1:CB$87,Formula!D28,4),INDEX(Properties!A$1:CB$87,Formula!F28,4),INDEX(Properties!A$1:CB$87,Formula!H28,4),INDEX(Properties!A$1:CB$87,Formula!J28,4))</f>
        <v>14</v>
      </c>
      <c r="L28" s="87">
        <f>MIN(IF(INDEX(Properties!A$1:CB$87,Formula!B28,4)=0,10^6,INDEX(Properties!A$1:CB$87,Formula!B28,4)),IF(INDEX(Properties!A$1:CB$87,Formula!D28,4)=0,10^6,INDEX(Properties!A$1:CB$87,Formula!D28,4)),IF(INDEX(Properties!A$1:CB$87,Formula!F28,4)=0,10^6,INDEX(Properties!A$1:CB$87,Formula!F28,4)),IF(INDEX(Properties!A$1:CB$87,Formula!H28,4)=0,10^6,INDEX(Properties!A$1:CB$87,Formula!H28,4)),IF(INDEX(Properties!A$1:CB$87,Formula!J28,4)=0,10^6,INDEX(Properties!A$1:CB$87,Formula!J28,4)))</f>
        <v>8</v>
      </c>
      <c r="M28" s="87">
        <f t="shared" si="1"/>
        <v>6</v>
      </c>
      <c r="N28" s="89">
        <f>((Formula!C28)/(Formula!C28+Formula!E28+Formula!G28+Formula!I28+Formula!K28))*(INDEX(Properties!A$1:CB$87,Formula!B28,5))+((Formula!E28)/(Formula!C28+Formula!E28+Formula!G28+Formula!I28+Formula!K28))*(INDEX(Properties!A$1:CB$87,Formula!D28,5))+((Formula!G28)/(Formula!C28+Formula!E28+Formula!G28+Formula!I28+Formula!K28))*(INDEX(Properties!A$1:CB$87,Formula!F28,5))+((Formula!I28)/(Formula!C28+Formula!E28+Formula!G28+Formula!I28+Formula!K28))*(INDEX(Properties!A$1:CB$87,Formula!H28,5))+((Formula!K28)/(Formula!C28+Formula!E28+Formula!G28+Formula!I28+Formula!K28))*(INDEX(Properties!A$1:CB$87,Formula!J28,5))</f>
        <v>3</v>
      </c>
      <c r="O28" s="89">
        <f>Formula!C28*(INDEX(Properties!A$1:CB$87,Formula!B28,5))+Formula!E28*(INDEX(Properties!A$1:CB$87,Formula!D28,5))+Formula!G28*(INDEX(Properties!A$1:CB$87,Formula!F28,5))+Formula!I28*(INDEX(Properties!A$1:CB$87,Formula!H28,5))+Formula!K28*(INDEX(Properties!A$1:CB$87,Formula!J28,5))</f>
        <v>24</v>
      </c>
      <c r="P28" s="89">
        <f>VARP(IF(INDEX(Properties!A$1:CB$87,Formula!B28,5)&lt;&gt;"",INDEX(Properties!A$1:CB$87,Formula!B28,5)),IF(INDEX(Properties!A$1:CB$87,Formula!D28,5)&lt;&gt;"",INDEX(Properties!A$1:CB$87,Formula!D28,5)),IF(INDEX(Properties!A$1:CB$87,Formula!F28,5)&lt;&gt;"",INDEX(Properties!A$1:CB$87,Formula!F28,5)),IF(INDEX(Properties!A$1:CB$87,Formula!H28,5)&lt;&gt;"",INDEX(Properties!A$1:CB$87,Formula!H28,5)),IF(INDEX(Properties!A$1:CB$87,Formula!J28,5)&lt;&gt;"",INDEX(Properties!A$1:CB$87,Formula!J28,5)))</f>
        <v>1.36</v>
      </c>
      <c r="Q28" s="89">
        <f>MAX(INDEX(Properties!A$1:CB$87,Formula!B28,5),INDEX(Properties!A$1:CB$87,Formula!D28,5),INDEX(Properties!A$1:CB$87,Formula!F28,5),INDEX(Properties!A$1:CB$87,Formula!H28,5),INDEX(Properties!A$1:CB$87,Formula!J28,5))</f>
        <v>3</v>
      </c>
      <c r="R28" s="89">
        <f>MIN(IF(INDEX(Properties!A$1:CB$87,Formula!B28,5)=0,10^6,INDEX(Properties!A$1:CB$87,Formula!B28,5)),IF(INDEX(Properties!A$1:CB$87,Formula!D28,5)=0,10^6,INDEX(Properties!A$1:CB$87,Formula!D28,5)),IF(INDEX(Properties!A$1:CB$87,Formula!F28,5)=0,10^6,INDEX(Properties!A$1:CB$87,Formula!F28,5)),IF(INDEX(Properties!A$1:CB$87,Formula!H28,5)=0,10^6,INDEX(Properties!A$1:CB$87,Formula!H28,5)),IF(INDEX(Properties!A$1:CB$87,Formula!J28,5)=0,10^6,INDEX(Properties!A$1:CB$87,Formula!J28,5)))</f>
        <v>2</v>
      </c>
      <c r="S28" s="89">
        <f t="shared" si="2"/>
        <v>1</v>
      </c>
      <c r="T28" s="60">
        <f>((Formula!C28)/(Formula!C28+Formula!E28+Formula!G28+Formula!I28+Formula!K28))*(INDEX(Properties!A$1:CB$87,Formula!B28,6))+((Formula!E28)/(Formula!C28+Formula!E28+Formula!G28+Formula!I28+Formula!K28))*(INDEX(Properties!A$1:CB$87,Formula!D28,6))+((Formula!G28)/(Formula!C28+Formula!E28+Formula!G28+Formula!I28+Formula!K28))*(INDEX(Properties!A$1:CB$87,Formula!F28,6))+((Formula!I28)/(Formula!C28+Formula!E28+Formula!G28+Formula!I28+Formula!K28))*(INDEX(Properties!A$1:CB$87,Formula!H28,6))+((Formula!K28)/(Formula!C28+Formula!E28+Formula!G28+Formula!I28+Formula!K28))*(INDEX(Properties!A$1:CB$87,Formula!J28,6))</f>
        <v>3.375</v>
      </c>
      <c r="U28" s="60">
        <f>Formula!C28*(INDEX(Properties!A$1:CB$87,Formula!B28,6))+Formula!E28*(INDEX(Properties!A$1:CB$87,Formula!D28,6))+Formula!G28*(INDEX(Properties!A$1:CB$87,Formula!F28,6))+Formula!I28*(INDEX(Properties!A$1:CB$87,Formula!H28,6))+Formula!K28*(INDEX(Properties!A$1:CB$87,Formula!J28,6))</f>
        <v>27</v>
      </c>
      <c r="V28" s="89">
        <f>VARP(IF(INDEX(Properties!A$1:CB$87,Formula!B28,6)&lt;&gt;"",INDEX(Properties!A$1:CB$87,Formula!B28,6)),IF(INDEX(Properties!A$1:CB$87,Formula!D28,6)&lt;&gt;"",INDEX(Properties!A$1:CB$87,Formula!D28,6)),IF(INDEX(Properties!A$1:CB$87,Formula!F28,6)&lt;&gt;"",INDEX(Properties!A$1:CB$87,Formula!F28,6)),IF(INDEX(Properties!A$1:CB$87,Formula!H28,6)&lt;&gt;"",INDEX(Properties!A$1:CB$87,Formula!H28,6)),IF(INDEX(Properties!A$1:CB$87,Formula!J28,6)&lt;&gt;"",INDEX(Properties!A$1:CB$87,Formula!J28,6)))</f>
        <v>47.84</v>
      </c>
      <c r="W28" s="60">
        <f>MAX(INDEX(Properties!A$1:CB$87,Formula!B28,6),INDEX(Properties!A$1:CB$87,Formula!D28,6),INDEX(Properties!A$1:CB$87,Formula!F28,6),INDEX(Properties!A$1:CB$87,Formula!H28,4),INDEX(Properties!A$1:CB$87,Formula!J28,6))</f>
        <v>14</v>
      </c>
      <c r="X28" s="60">
        <f>MIN(IF(INDEX(Properties!A$1:CB$87,Formula!B28,6)=0,10^6,INDEX(Properties!A$1:CB$87,Formula!B28,6)),IF(INDEX(Properties!A$1:CB$87,Formula!D28,6)=0,10^6,INDEX(Properties!A$1:CB$87,Formula!D28,6)),IF(INDEX(Properties!A$1:CB$87,Formula!F28,6)=0,10^6,INDEX(Properties!A$1:CB$87,Formula!F28,6)),IF(INDEX(Properties!A$1:CB$87,Formula!H28,6)=0,10^6,INDEX(Properties!A$1:CB$87,Formula!H28,6)),IF(INDEX(Properties!A$1:CB$87,Formula!J28,6)=0,10^6,INDEX(Properties!A$1:CB$87,Formula!J28,6)))</f>
        <v>1</v>
      </c>
      <c r="Y28" s="60">
        <f t="shared" si="3"/>
        <v>13</v>
      </c>
      <c r="Z28" s="72">
        <f>((Formula!C28)/(Formula!C28+Formula!E28+Formula!G28+Formula!I28+Formula!K28))*(INDEX(Properties!A$1:CB$87,Formula!B28,9))+((Formula!E28)/(Formula!C28+Formula!E28+Formula!G28+Formula!I28+Formula!K28))*(INDEX(Properties!A$1:CB$87,Formula!D28,9))+((Formula!G28)/(Formula!C28+Formula!E28+Formula!G28+Formula!I28+Formula!K28))*(INDEX(Properties!A$1:CB$87,Formula!F28,9))+((Formula!I28)/(Formula!C28+Formula!E28+Formula!G28+Formula!I28+Formula!K28))*(INDEX(Properties!A$1:CB$87,Formula!H28,9))+((Formula!K28)/(Formula!C28+Formula!E28+Formula!G28+Formula!I28+Formula!K28))*(INDEX(Properties!A$1:CB$87,Formula!J28,9))</f>
        <v>61</v>
      </c>
      <c r="AA28" s="72">
        <f>Formula!C28*(INDEX(Properties!A$1:CB$87,Formula!B28,9))+Formula!E28*(INDEX(Properties!A$1:CB$87,Formula!D28,9))+Formula!G28*(INDEX(Properties!A$1:CB$87,Formula!F28,9))+Formula!I28*(INDEX(Properties!A$1:CB$87,Formula!H28,9))+Formula!K28*(INDEX(Properties!A$1:CB$87,Formula!J28,9))</f>
        <v>488</v>
      </c>
      <c r="AB28" s="72">
        <f>VARP(IF(INDEX(Properties!A$1:CB$87,Formula!B28,9)&lt;&gt;"",INDEX(Properties!A$1:CB$87,Formula!B28,9)),IF(INDEX(Properties!A$1:CB$87,Formula!D28,9)&lt;&gt;"",INDEX(Properties!A$1:CB$87,Formula!D28,9)),IF(INDEX(Properties!A$1:CB$87,Formula!F28,9)&lt;&gt;"",INDEX(Properties!A$1:CB$87,Formula!F28,9)),IF(INDEX(Properties!A$1:CB$87,Formula!H28,9)&lt;&gt;"",INDEX(Properties!A$1:CB$87,Formula!H28,9)),IF(INDEX(Properties!A$1:CB$87,Formula!J28,9)&lt;&gt;"",INDEX(Properties!A$1:CB$87,Formula!J28,9)))</f>
        <v>1447.2</v>
      </c>
      <c r="AC28" s="72">
        <f>MAX(INDEX(Properties!A$1:CB$87,Formula!B28,9),INDEX(Properties!A$1:CB$87,Formula!D28,9),INDEX(Properties!A$1:CB$87,Formula!F28,9),INDEX(Properties!A$1:CB$87,Formula!H28,9),INDEX(Properties!A$1:CB$87,Formula!J28,9))</f>
        <v>87</v>
      </c>
      <c r="AD28" s="72">
        <f>MIN(IF(INDEX(Properties!A$1:CB$87,Formula!B28,9)=0,10^6,INDEX(Properties!A$1:CB$87,Formula!B28,9)),IF(INDEX(Properties!A$1:CB$87,Formula!D28,9)=0,10^6,INDEX(Properties!A$1:CB$87,Formula!D28,9)),IF(INDEX(Properties!A$1:CB$87,Formula!F28,9)=0,10^6,INDEX(Properties!A$1:CB$87,Formula!F28,9)),IF(INDEX(Properties!A$1:CB$87,Formula!H28,9)=0,10^6,INDEX(Properties!A$1:CB$87,Formula!H28,9)),IF(INDEX(Properties!A$1:CB$87,Formula!J28,9)=0,10^6,INDEX(Properties!A$1:CB$87,Formula!J28,9)))</f>
        <v>2</v>
      </c>
      <c r="AE28" s="72">
        <f t="shared" si="4"/>
        <v>85</v>
      </c>
      <c r="AF28" s="51">
        <f>((Formula!C28)/(Formula!C28+Formula!E28+Formula!G28+Formula!I28+Formula!K28))*(INDEX(Properties!A$1:CB$87,Formula!B28,10))+((Formula!E28)/(Formula!C28+Formula!E28+Formula!G28+Formula!I28+Formula!K28))*(INDEX(Properties!A$1:CB$87,Formula!D28,10))+((Formula!G28)/(Formula!C28+Formula!E28+Formula!G28+Formula!I28+Formula!K28))*(INDEX(Properties!A$1:CB$87,Formula!F28,10))+((Formula!I28)/(Formula!C28+Formula!E28+Formula!G28+Formula!I28+Formula!K28))*(INDEX(Properties!A$1:CB$87,Formula!H28,10))+((Formula!K28)/(Formula!C28+Formula!E28+Formula!G28+Formula!I28+Formula!K28))*(INDEX(Properties!A$1:CB$87,Formula!J28,10))</f>
        <v>2.375</v>
      </c>
      <c r="AG28" s="51">
        <f>Formula!C28*(INDEX(Properties!A$1:CB$87,Formula!B28,10))+Formula!E28*(INDEX(Properties!A$1:CB$87,Formula!D28,10))+Formula!G28*(INDEX(Properties!A$1:CB$87,Formula!F28,10))+Formula!I28*(INDEX(Properties!A$1:CB$87,Formula!H28,10))+Formula!K28*(INDEX(Properties!A$1:CB$87,Formula!J28,10))</f>
        <v>19</v>
      </c>
      <c r="AH28" s="51">
        <f>VARP(IF(INDEX(Properties!A$1:CB$87,Formula!B28,10)&lt;&gt;"",INDEX(Properties!A$1:CB$87,Formula!B28,10)),IF(INDEX(Properties!A$1:CB$87,Formula!D28,10)&lt;&gt;"",INDEX(Properties!A$1:CB$87,Formula!D28,10)),IF(INDEX(Properties!A$1:CB$87,Formula!F28,10)&lt;&gt;"",INDEX(Properties!A$1:CB$87,Formula!F28,10)),IF(INDEX(Properties!A$1:CB$87,Formula!H28,10)&lt;&gt;"",INDEX(Properties!A$1:CB$87,Formula!H28,10)),IF(INDEX(Properties!A$1:CB$87,Formula!J28,10)&lt;&gt;"",INDEX(Properties!A$1:CB$87,Formula!J28,10)))</f>
        <v>7.76</v>
      </c>
      <c r="AI28" s="51">
        <f>MAX(INDEX(Properties!A$1:CB$87,Formula!B28,10),INDEX(Properties!A$1:CB$87,Formula!D28,10),INDEX(Properties!A$1:CB$87,Formula!F28,10),INDEX(Properties!A$1:CB$87,Formula!H28,10),INDEX(Properties!A$1:CB$87,Formula!J28,10))</f>
        <v>7</v>
      </c>
      <c r="AJ28" s="51">
        <f>MIN(IF(INDEX(Properties!A$1:CB$87,Formula!B28,10)=0,10^6,INDEX(Properties!A$1:CB$87,Formula!B28,10)),IF(INDEX(Properties!A$1:CB$87,Formula!D28,10)=0,10^6,INDEX(Properties!A$1:CB$87,Formula!D28,10)),IF(INDEX(Properties!A$1:CB$87,Formula!F28,10)=0,10^6,INDEX(Properties!A$1:CB$87,Formula!F28,10)),IF(INDEX(Properties!A$1:CB$87,Formula!H28,10)=0,10^6,INDEX(Properties!A$1:CB$87,Formula!H28,10)),IF(INDEX(Properties!A$1:CB$87,Formula!J28,10)=0,10^6,INDEX(Properties!A$1:CB$87,Formula!J28,10)))</f>
        <v>1</v>
      </c>
      <c r="AK28" s="51">
        <f t="shared" si="5"/>
        <v>6</v>
      </c>
      <c r="AL28" s="57">
        <f>((Formula!C28)/(Formula!C28+Formula!E28+Formula!G28+Formula!I28+Formula!K28))*(INDEX(Properties!A$1:CB$87,Formula!B28,11))+((Formula!E28)/(Formula!C28+Formula!E28+Formula!G28+Formula!I28+Formula!K28))*(INDEX(Properties!A$1:CB$87,Formula!D28,11))+((Formula!G28)/(Formula!C28+Formula!E28+Formula!G28+Formula!I28+Formula!K28))*(INDEX(Properties!A$1:CB$87,Formula!F28,11))+((Formula!I28)/(Formula!C28+Formula!E28+Formula!G28+Formula!I28+Formula!K28))*(INDEX(Properties!A$1:CB$87,Formula!H28,11))+((Formula!K28)/(Formula!C28+Formula!E28+Formula!G28+Formula!I28+Formula!K28))*(INDEX(Properties!A$1:CB$87,Formula!J28,11))</f>
        <v>1.875</v>
      </c>
      <c r="AM28" s="57">
        <f>Formula!C28*(INDEX(Properties!A$1:CB$87,Formula!B28,11))+Formula!E28*(INDEX(Properties!A$1:CB$87,Formula!D28,11))+Formula!G28*(INDEX(Properties!A$1:CB$87,Formula!F28,11))+Formula!I28*(INDEX(Properties!A$1:CB$87,Formula!H28,11))+Formula!K28*(INDEX(Properties!A$1:CB$87,Formula!J28,11))</f>
        <v>15</v>
      </c>
      <c r="AN28" s="57">
        <f>VARP(IF(INDEX(Properties!A$1:CB$87,Formula!B28,11)&lt;&gt;"",INDEX(Properties!A$1:CB$87,Formula!B28,11)),IF(INDEX(Properties!A$1:CB$87,Formula!D28,11)&lt;&gt;"",INDEX(Properties!A$1:CB$87,Formula!D28,11)),IF(INDEX(Properties!A$1:CB$87,Formula!F28,11)&lt;&gt;"",INDEX(Properties!A$1:CB$87,Formula!F28,11)),IF(INDEX(Properties!A$1:CB$87,Formula!H28,11)&lt;&gt;"",INDEX(Properties!A$1:CB$87,Formula!H28,11)),IF(INDEX(Properties!A$1:CB$87,Formula!J28,11)&lt;&gt;"",INDEX(Properties!A$1:CB$87,Formula!J28,11)))</f>
        <v>0.64</v>
      </c>
      <c r="AO28" s="57">
        <f>MAX(INDEX(Properties!A$1:CB$87,Formula!B28,11),INDEX(Properties!A$1:CB$87,Formula!D28,11),INDEX(Properties!A$1:CB$87,Formula!F28,11),INDEX(Properties!A$1:CB$87,Formula!H28,11),INDEX(Properties!A$1:CB$87,Formula!J28,11))</f>
        <v>2</v>
      </c>
      <c r="AP28" s="57">
        <f>MIN(IF(Formula!B28=87,10^6,INDEX(Properties!A$1:CB$87,Formula!B28,11)),IF((Formula!D28)=87,10^6,INDEX(Properties!A$1:CB$87,Formula!D28,11)),IF((Formula!F28)=87,10^6,INDEX(Properties!A$1:CB$87,Formula!F28,11)),IF((Formula!H28)=87,10^6,INDEX(Properties!A$1:CB$87,Formula!H28,11)),IF(Formula!J28=87,10^6,INDEX(Properties!A$1:CB$87,Formula!J28,11)))</f>
        <v>1</v>
      </c>
      <c r="AQ28" s="57">
        <f t="shared" si="6"/>
        <v>1</v>
      </c>
      <c r="AR28" s="78">
        <f>((Formula!C28)/(Formula!C28+Formula!E28+Formula!G28+Formula!I28+Formula!K28))*(INDEX(Properties!A$1:CB$87,Formula!B28,12))+((Formula!E28)/(Formula!C28+Formula!E28+Formula!G28+Formula!I28+Formula!K28))*(INDEX(Properties!A$1:CB$87,Formula!D28,12))+((Formula!G28)/(Formula!C28+Formula!E28+Formula!G28+Formula!I28+Formula!K28))*(INDEX(Properties!A$1:CB$87,Formula!F28,12))+((Formula!I28)/(Formula!C28+Formula!E28+Formula!G28+Formula!I28+Formula!K28))*(INDEX(Properties!A$1:CB$87,Formula!H28,12))+((Formula!K28)/(Formula!C28+Formula!E28+Formula!G28+Formula!I28+Formula!K28))*(INDEX(Properties!A$1:CB$87,Formula!J28,12))</f>
        <v>0.25</v>
      </c>
      <c r="AS28" s="78">
        <f>Formula!C28*(INDEX(Properties!A$1:CB$87,Formula!B28,12))+Formula!E28*(INDEX(Properties!A$1:CB$87,Formula!D28,12))+Formula!G28*(INDEX(Properties!A$1:CB$87,Formula!F28,12))+Formula!I28*(INDEX(Properties!A$1:CB$87,Formula!H28,12))+Formula!K28*(INDEX(Properties!A$1:CB$87,Formula!J28,12))</f>
        <v>2</v>
      </c>
      <c r="AT28" s="78">
        <f>VARP(IF(INDEX(Properties!A$1:CB$87,Formula!B28,12)&lt;&gt;"",INDEX(Properties!A$1:CB$87,Formula!B28,12)),IF(INDEX(Properties!A$1:CB$87,Formula!D28,12)&lt;&gt;"",INDEX(Properties!A$1:CB$87,Formula!D28,12)),IF(INDEX(Properties!A$1:CB$87,Formula!F28,12)&lt;&gt;"",INDEX(Properties!A$1:CB$87,Formula!F28,12)),IF(INDEX(Properties!A$1:CB$87,Formula!H28,12)&lt;&gt;"",INDEX(Properties!A$1:CB$87,Formula!H28,12)),IF(INDEX(Properties!A$1:CB$87,Formula!J28,12)&lt;&gt;"",INDEX(Properties!A$1:CB$87,Formula!J28,12)))</f>
        <v>2.56</v>
      </c>
      <c r="AU28" s="78">
        <f>MAX(INDEX(Properties!A$1:CB$87,Formula!B28,12),INDEX(Properties!A$1:CB$87,Formula!D28,12),INDEX(Properties!A$1:CB$87,Formula!F28,12),INDEX(Properties!A$1:CB$87,Formula!H28,12),INDEX(Properties!A$1:CB$87,Formula!J28,12))</f>
        <v>4</v>
      </c>
      <c r="AV28" s="78">
        <f>MIN(IF(Formula!B28=87,10^6,INDEX(Properties!A$1:CB$87,Formula!B28,12)),IF((Formula!D28)=87,10^6,INDEX(Properties!A$1:CB$87,Formula!D28,12)),IF((Formula!F28)=87,10^6,INDEX(Properties!A$1:CB$87,Formula!F28,12)),IF((Formula!H28)=87,10^6,INDEX(Properties!A$1:CB$87,Formula!H28,12)),IF(Formula!J28=87,10^6,INDEX(Properties!A$1:CB$87,Formula!J28,12)))</f>
        <v>0</v>
      </c>
      <c r="AW28" s="78">
        <f t="shared" si="7"/>
        <v>4</v>
      </c>
      <c r="AX28" s="45">
        <f>((Formula!C28)/(Formula!C28+Formula!E28+Formula!G28+Formula!I28+Formula!K28))*(INDEX(Properties!A$1:CB$87,Formula!B28,13))+((Formula!E28)/(Formula!C28+Formula!E28+Formula!G28+Formula!I28+Formula!K28))*(INDEX(Properties!A$1:CB$87,Formula!D28,13))+((Formula!G28)/(Formula!C28+Formula!E28+Formula!G28+Formula!I28+Formula!K28))*(INDEX(Properties!A$1:CB$87,Formula!F28,13))+((Formula!I28)/(Formula!C28+Formula!E28+Formula!G28+Formula!I28+Formula!K28))*(INDEX(Properties!A$1:CB$87,Formula!H28,13))+((Formula!K28)/(Formula!C28+Formula!E28+Formula!G28+Formula!I28+Formula!K28))*(INDEX(Properties!A$1:CB$87,Formula!J28,13))</f>
        <v>0</v>
      </c>
      <c r="AY28" s="45">
        <f>Formula!C28*(INDEX(Properties!A$1:CB$87,Formula!B28,13))+Formula!E28*(INDEX(Properties!A$1:CB$87,Formula!D28,13))+Formula!G28*(INDEX(Properties!A$1:CB$87,Formula!F28,13))+Formula!I28*(INDEX(Properties!A$1:CB$87,Formula!H28,13))+Formula!K28*(INDEX(Properties!A$1:CB$87,Formula!J28,13))</f>
        <v>0</v>
      </c>
      <c r="AZ28" s="45">
        <f>VARP(IF(INDEX(Properties!A$1:CB$87,Formula!B28,13)&lt;&gt;"",INDEX(Properties!A$1:CB$87,Formula!B28,13)),IF(INDEX(Properties!A$1:CB$87,Formula!D28,13)&lt;&gt;"",INDEX(Properties!A$1:CB$87,Formula!D28,13)),IF(INDEX(Properties!A$1:CB$87,Formula!F28,13)&lt;&gt;"",INDEX(Properties!A$1:CB$87,Formula!F28,13)),IF(INDEX(Properties!A$1:CB$87,Formula!H28,13)&lt;&gt;"",INDEX(Properties!A$1:CB$87,Formula!H28,13)),IF(INDEX(Properties!A$1:CB$87,Formula!J28,13)&lt;&gt;"",INDEX(Properties!A$1:CB$87,Formula!J28,13)))</f>
        <v>0</v>
      </c>
      <c r="BA28" s="45">
        <f>MAX(INDEX(Properties!A$1:CB$87,Formula!B28,13),INDEX(Properties!A$1:CB$87,Formula!D28,13),INDEX(Properties!A$1:CB$87,Formula!F28,13),INDEX(Properties!A$1:CB$87,Formula!H28,13),INDEX(Properties!A$1:CB$87,Formula!J28,13))</f>
        <v>0</v>
      </c>
      <c r="BB28" s="45">
        <f>MIN(IF(Formula!B28=87,10^6,INDEX(Properties!A$1:CB$87,Formula!B28,13)),IF((Formula!D28)=87,10^6,INDEX(Properties!A$1:CB$87,Formula!D28,13)),IF((Formula!F28)=87,10^6,INDEX(Properties!A$1:CB$87,Formula!F28,13)),IF((Formula!H28)=87,10^6,INDEX(Properties!A$1:CB$87,Formula!H28,13)),IF(Formula!J28=87,10^6,INDEX(Properties!A$1:CB$87,Formula!J28,13)))</f>
        <v>0</v>
      </c>
      <c r="BC28" s="45">
        <f t="shared" si="8"/>
        <v>0</v>
      </c>
      <c r="BD28" s="63">
        <f>((Formula!C28)/(Formula!C28+Formula!E28+Formula!G28+Formula!I28+Formula!K28))*(INDEX(Properties!A$1:CB$87,Formula!B28,14))+((Formula!E28)/(Formula!C28+Formula!E28+Formula!G28+Formula!I28+Formula!K28))*(INDEX(Properties!A$1:CB$87,Formula!D28,14))+((Formula!G28)/(Formula!C28+Formula!E28+Formula!G28+Formula!I28+Formula!K28))*(INDEX(Properties!A$1:CB$87,Formula!F28,14))+((Formula!I28)/(Formula!C28+Formula!E28+Formula!G28+Formula!I28+Formula!K28))*(INDEX(Properties!A$1:CB$87,Formula!H28,14))+((Formula!K28)/(Formula!C28+Formula!E28+Formula!G28+Formula!I28+Formula!K28))*(INDEX(Properties!A$1:CB$87,Formula!J28,14))</f>
        <v>0</v>
      </c>
      <c r="BE28" s="63">
        <f>Formula!C28*(INDEX(Properties!A$1:CB$87,Formula!B28,14))+Formula!E28*(INDEX(Properties!A$1:CB$87,Formula!D28,14))+Formula!G28*(INDEX(Properties!A$1:CB$87,Formula!F28,14))+Formula!I28*(INDEX(Properties!A$1:CB$87,Formula!H28,14))+Formula!K28*(INDEX(Properties!A$1:CB$87,Formula!J28,14))</f>
        <v>0</v>
      </c>
      <c r="BF28" s="63">
        <f>VARP(IF(INDEX(Properties!A$1:CB$87,Formula!B28,14)&lt;&gt;"",INDEX(Properties!A$1:CB$87,Formula!B28,14)),IF(INDEX(Properties!A$1:CB$87,Formula!D28,14)&lt;&gt;"",INDEX(Properties!A$1:CB$87,Formula!D28,14)),IF(INDEX(Properties!A$1:CB$87,Formula!F28,14)&lt;&gt;"",INDEX(Properties!A$1:CB$87,Formula!F28,14)),IF(INDEX(Properties!A$1:CB$87,Formula!H28,14)&lt;&gt;"",INDEX(Properties!A$1:CB$87,Formula!H28,14)),IF(INDEX(Properties!A$1:CB$87,Formula!J28,14)&lt;&gt;"",INDEX(Properties!A$1:CB$87,Formula!J28,14)))</f>
        <v>0</v>
      </c>
      <c r="BG28" s="63">
        <f>MAX(INDEX(Properties!A$1:CB$87,Formula!B28,14),INDEX(Properties!A$1:CB$87,Formula!D28,14),INDEX(Properties!A$1:CB$87,Formula!F28,14),INDEX(Properties!A$1:CB$87,Formula!H28,14),INDEX(Properties!A$1:CB$87,Formula!J28,14))</f>
        <v>0</v>
      </c>
      <c r="BH28" s="63">
        <f>MIN(IF(Formula!B28=87,10^6,INDEX(Properties!A$1:CB$87,Formula!B28,14)),IF((Formula!D28)=87,10^6,INDEX(Properties!A$1:CB$87,Formula!D28,14)),IF((Formula!F28)=87,10^6,INDEX(Properties!A$1:CB$87,Formula!F28,14)),IF((Formula!H28)=87,10^6,INDEX(Properties!A$1:CB$87,Formula!H28,14)),IF(Formula!J28=87,10^6,INDEX(Properties!A$1:CB$87,Formula!J28,14)))</f>
        <v>0</v>
      </c>
      <c r="BI28" s="63">
        <f t="shared" si="9"/>
        <v>0</v>
      </c>
      <c r="BJ28" s="75">
        <f>((Formula!C28)/(Formula!C28+Formula!E28+Formula!G28+Formula!I28+Formula!K28))*(INDEX(Properties!A$1:CB$87,Formula!B28,19))+((Formula!E28)/(Formula!C28+Formula!E28+Formula!G28+Formula!I28+Formula!K28))*(INDEX(Properties!A$1:CB$87,Formula!D28,19))+((Formula!G28)/(Formula!C28+Formula!E28+Formula!G28+Formula!I28+Formula!K28))*(INDEX(Properties!A$1:CB$87,Formula!F28,19))+((Formula!I28)/(Formula!C28+Formula!E28+Formula!G28+Formula!I28+Formula!K28))*(INDEX(Properties!A$1:CB$87,Formula!H28,19))+((Formula!K28)/(Formula!C28+Formula!E28+Formula!G28+Formula!I28+Formula!K28))*(INDEX(Properties!A$1:CB$87,Formula!J28,19))</f>
        <v>2.125</v>
      </c>
      <c r="BK28" s="75">
        <f>Formula!C28*(INDEX(Properties!A$1:CB$87,Formula!B28,19))+Formula!E28*(INDEX(Properties!A$1:CB$87,Formula!D28,19))+Formula!G28*(INDEX(Properties!A$1:CB$87,Formula!F28,19))+Formula!I28*(INDEX(Properties!A$1:CB$87,Formula!H28,19))+Formula!K28*(INDEX(Properties!A$1:CB$87,Formula!J28,19))</f>
        <v>17</v>
      </c>
      <c r="BL28" s="75">
        <f>VARP(IF(INDEX(Properties!A$1:CB$87,Formula!B28,19)&lt;&gt;"",INDEX(Properties!A$1:CB$87,Formula!B28,19)),IF(INDEX(Properties!A$1:CB$87,Formula!D28,19)&lt;&gt;"",INDEX(Properties!A$1:CB$87,Formula!D28,19)),IF(INDEX(Properties!A$1:CB$87,Formula!F28,19)&lt;&gt;"",INDEX(Properties!A$1:CB$87,Formula!F28,19)),IF(INDEX(Properties!A$1:CB$87,Formula!H28,19)&lt;&gt;"",INDEX(Properties!A$1:CB$87,Formula!H28,19)),IF(INDEX(Properties!A$1:CB$87,Formula!J28,19)&lt;&gt;"",INDEX(Properties!A$1:CB$87,Formula!J28,19)))</f>
        <v>4.6399999999999997</v>
      </c>
      <c r="BM28" s="75">
        <f>MAX(INDEX(Properties!A$1:CB$87,Formula!B28,19),INDEX(Properties!A$1:CB$87,Formula!D28,19),INDEX(Properties!A$1:CB$87,Formula!F28,19),INDEX(Properties!A$1:CB$87,Formula!H28,19),INDEX(Properties!A$1:CB$87,Formula!J28,19))</f>
        <v>6</v>
      </c>
      <c r="BN28" s="75">
        <f>MIN(IF(INDEX(Properties!A$1:CB$87,Formula!B28,19)=0,10^6,INDEX(Properties!A$1:CB$87,Formula!B28,19)),IF(INDEX(Properties!A$1:CB$87,Formula!D28,19)=0,10^6,INDEX(Properties!A$1:CB$87,Formula!D28,19)),IF(INDEX(Properties!A$1:CB$87,Formula!F28,19)=0,10^6,INDEX(Properties!A$1:CB$87,Formula!F28,19)),IF(INDEX(Properties!A$1:CB$87,Formula!H28,19)=0,10^6,INDEX(Properties!A$1:CB$87,Formula!H28,19)),IF(INDEX(Properties!A$1:CB$87,Formula!J28,19)=0,10^6,INDEX(Properties!A$1:CB$87,Formula!J28,19)))</f>
        <v>1</v>
      </c>
      <c r="BO28" s="75">
        <f t="shared" si="10"/>
        <v>5</v>
      </c>
      <c r="BP28" s="48">
        <f>((Formula!C28)/(Formula!C28+Formula!E28+Formula!G28+Formula!I28+Formula!K28))*(INDEX(Properties!A$1:CB$87,Formula!B28,20))+((Formula!E28)/(Formula!C28+Formula!E28+Formula!G28+Formula!I28+Formula!K28))*(INDEX(Properties!A$1:CB$87,Formula!D28,20))+((Formula!G28)/(Formula!C28+Formula!E28+Formula!G28+Formula!I28+Formula!K28))*(INDEX(Properties!A$1:CB$87,Formula!F28,20))+((Formula!I28)/(Formula!C28+Formula!E28+Formula!G28+Formula!I28+Formula!K28))*(INDEX(Properties!A$1:CB$87,Formula!H28,20))+((Formula!K28)/(Formula!C28+Formula!E28+Formula!G28+Formula!I28+Formula!K28))*(INDEX(Properties!A$1:CB$87,Formula!J28,20))</f>
        <v>2.125</v>
      </c>
      <c r="BQ28" s="48">
        <f>Formula!C28*(INDEX(Properties!A$1:CB$87,Formula!B28,20))+Formula!E28*(INDEX(Properties!A$1:CB$87,Formula!D28,20))+Formula!G28*(INDEX(Properties!A$1:CB$87,Formula!F28,20))+Formula!I28*(INDEX(Properties!A$1:CB$87,Formula!H28,20))+Formula!K28*(INDEX(Properties!A$1:CB$87,Formula!J28,20))</f>
        <v>17</v>
      </c>
      <c r="BR28" s="48">
        <f>VARP(IF(INDEX(Properties!A$1:CB$87,Formula!B28,20)&lt;&gt;"",INDEX(Properties!A$1:CB$87,Formula!B28,20)),IF(INDEX(Properties!A$1:CB$87,Formula!D28,20)&lt;&gt;"",INDEX(Properties!A$1:CB$87,Formula!D28,20)),IF(INDEX(Properties!A$1:CB$87,Formula!F28,20)&lt;&gt;"",INDEX(Properties!A$1:CB$87,Formula!F28,20)),IF(INDEX(Properties!A$1:CB$87,Formula!H28,20)&lt;&gt;"",INDEX(Properties!A$1:CB$87,Formula!H28,20)),IF(INDEX(Properties!A$1:CB$87,Formula!J28,20)&lt;&gt;"",INDEX(Properties!A$1:CB$87,Formula!J28,20)))</f>
        <v>4.6399999999999997</v>
      </c>
      <c r="BS28" s="48">
        <f>MAX(INDEX(Properties!A$1:CB$87,Formula!B28,20),INDEX(Properties!A$1:CB$87,Formula!D28,20),INDEX(Properties!A$1:CB$87,Formula!F28,20),INDEX(Properties!A$1:CB$87,Formula!H28,20),INDEX(Properties!A$1:CB$87,Formula!J28,20))</f>
        <v>6</v>
      </c>
      <c r="BT28" s="48">
        <f>MIN(IF(INDEX(Properties!A$1:CB$87,Formula!B28,20)=0,10^6,INDEX(Properties!A$1:CB$87,Formula!B28,20)),IF(INDEX(Properties!A$1:CB$87,Formula!D28,20)=0,10^6,INDEX(Properties!A$1:CB$87,Formula!D28,20)),IF(INDEX(Properties!A$1:CB$87,Formula!F28,20)=0,10^6,INDEX(Properties!A$1:CB$87,Formula!F28,20)),IF(INDEX(Properties!A$1:CB$87,Formula!H28,20)=0,10^6,INDEX(Properties!A$1:CB$87,Formula!H28,20)),IF(INDEX(Properties!A$1:CB$87,Formula!J28,20)=0,10^6,INDEX(Properties!A$1:CB$87,Formula!J28,20)))</f>
        <v>1</v>
      </c>
      <c r="BU28" s="48">
        <f t="shared" si="11"/>
        <v>5</v>
      </c>
      <c r="BV28" s="66">
        <f>((Formula!C28)/(Formula!C28+Formula!E28+Formula!G28+Formula!I28+Formula!K28))*(INDEX(Properties!A$1:CB$87,Formula!B28,21))+((Formula!E28)/(Formula!C28+Formula!E28+Formula!G28+Formula!I28+Formula!K28))*(INDEX(Properties!A$1:CB$87,Formula!D28,21))+((Formula!G28)/(Formula!C28+Formula!E28+Formula!G28+Formula!I28+Formula!K28))*(INDEX(Properties!A$1:CB$87,Formula!F28,21))+((Formula!I28)/(Formula!C28+Formula!E28+Formula!G28+Formula!I28+Formula!K28))*(INDEX(Properties!A$1:CB$87,Formula!H28,21))+((Formula!K28)/(Formula!C28+Formula!E28+Formula!G28+Formula!I28+Formula!K28))*(INDEX(Properties!A$1:CB$87,Formula!J28,21))</f>
        <v>2.125</v>
      </c>
      <c r="BW28" s="66">
        <f>Formula!C28*(INDEX(Properties!A$1:CB$87,Formula!B28,21))+Formula!E28*(INDEX(Properties!A$1:CB$87,Formula!D28,21))+Formula!G28*(INDEX(Properties!A$1:CB$87,Formula!F28,21))+Formula!I28*(INDEX(Properties!A$1:CB$87,Formula!H28,21))+Formula!K28*(INDEX(Properties!A$1:CB$87,Formula!J28,21))</f>
        <v>17</v>
      </c>
      <c r="BX28" s="66">
        <f>VARP(IF(INDEX(Properties!A$1:CB$87,Formula!B28,21)&lt;&gt;"",INDEX(Properties!A$1:CB$87,Formula!B28,21)),IF(INDEX(Properties!A$1:CB$87,Formula!D28,21)&lt;&gt;"",INDEX(Properties!A$1:CB$87,Formula!D28,21)),IF(INDEX(Properties!A$1:CB$87,Formula!F28,21)&lt;&gt;"",INDEX(Properties!A$1:CB$87,Formula!F28,21)),IF(INDEX(Properties!A$1:CB$87,Formula!H28,21)&lt;&gt;"",INDEX(Properties!A$1:CB$87,Formula!H28,21)),IF(INDEX(Properties!A$1:CB$87,Formula!J28,21)&lt;&gt;"",INDEX(Properties!A$1:CB$87,Formula!J28,21)))</f>
        <v>4.6399999999999997</v>
      </c>
      <c r="BY28" s="66">
        <f>MAX(INDEX(Properties!A$1:CB$87,Formula!B28,21),INDEX(Properties!A$1:CB$87,Formula!D28,21),INDEX(Properties!A$1:CB$87,Formula!F28,21),INDEX(Properties!A$1:CB$87,Formula!H28,21),INDEX(Properties!A$1:CB$87,Formula!J28,21))</f>
        <v>6</v>
      </c>
      <c r="BZ28" s="66">
        <f>MIN(IF(INDEX(Properties!A$1:CB$87,Formula!B28,21)=0,10^6,INDEX(Properties!A$1:CB$87,Formula!B28,21)),IF(INDEX(Properties!A$1:CB$87,Formula!D28,21)=0,10^6,INDEX(Properties!A$1:CB$87,Formula!D28,21)),IF(INDEX(Properties!A$1:CB$87,Formula!F28,21)=0,10^6,INDEX(Properties!A$1:CB$87,Formula!F28,21)),IF(INDEX(Properties!A$1:CB$87,Formula!H28,21)=0,10^6,INDEX(Properties!A$1:CB$87,Formula!H28,21)),IF(INDEX(Properties!A$1:CB$87,Formula!J28,21)=0,10^6,INDEX(Properties!A$1:CB$87,Formula!J28,21)))</f>
        <v>1</v>
      </c>
      <c r="CA28" s="66">
        <f t="shared" si="12"/>
        <v>5</v>
      </c>
      <c r="CB28" s="81">
        <f>((Formula!C28)/(Formula!C28+Formula!E28+Formula!G28+Formula!I28+Formula!K28))*(INDEX(Properties!A$1:CB$87,Formula!B28,23))+((Formula!E28)/(Formula!C28+Formula!E28+Formula!G28+Formula!I28+Formula!K28))*(INDEX(Properties!A$1:CB$87,Formula!D28,23))+((Formula!G28)/(Formula!C28+Formula!E28+Formula!G28+Formula!I28+Formula!K28))*(INDEX(Properties!A$1:CB$87,Formula!F28,23))+((Formula!I28)/(Formula!C28+Formula!E28+Formula!G28+Formula!I28+Formula!K28))*(INDEX(Properties!A$1:CB$87,Formula!H28,23))+((Formula!K28)/(Formula!C28+Formula!E28+Formula!G28+Formula!I28+Formula!K28))*(INDEX(Properties!A$1:CB$87,Formula!J28,23))</f>
        <v>2.125</v>
      </c>
      <c r="CC28" s="81">
        <f>Formula!C28*(INDEX(Properties!A$1:CB$87,Formula!B28,23))+Formula!E28*(INDEX(Properties!A$1:CB$87,Formula!D28,23))+Formula!G28*(INDEX(Properties!A$1:CB$87,Formula!F28,23))+Formula!I28*(INDEX(Properties!A$1:CB$87,Formula!H28,23))+Formula!K28*(INDEX(Properties!A$1:CB$87,Formula!J28,23))</f>
        <v>17</v>
      </c>
      <c r="CD28" s="81">
        <f>VARP(IF(INDEX(Properties!A$1:CB$87,Formula!B28,23)&lt;&gt;"",INDEX(Properties!A$1:CB$87,Formula!B28,23)),IF(INDEX(Properties!A$1:CB$87,Formula!D28,23)&lt;&gt;"",INDEX(Properties!A$1:CB$87,Formula!D28,23)),IF(INDEX(Properties!A$1:CB$87,Formula!F28,23)&lt;&gt;"",INDEX(Properties!A$1:CB$87,Formula!F28,23)),IF(INDEX(Properties!A$1:CB$87,Formula!H28,23)&lt;&gt;"",INDEX(Properties!A$1:CB$87,Formula!H28,23)),IF(INDEX(Properties!A$1:CB$87,Formula!J28,23)&lt;&gt;"",INDEX(Properties!A$1:CB$87,Formula!J28,23)))</f>
        <v>2.2400000000000002</v>
      </c>
      <c r="CE28" s="81">
        <f>MAX(INDEX(Properties!A$1:CB$87,Formula!B28,23),INDEX(Properties!A$1:CB$87,Formula!D28,23),INDEX(Properties!A$1:CB$87,Formula!F28,23),INDEX(Properties!A$1:CB$87,Formula!H28,23),INDEX(Properties!A$1:CB$87,Formula!J28,23))</f>
        <v>4</v>
      </c>
      <c r="CF28" s="81">
        <f>MIN(IF(Formula!B28=87,10^6,INDEX(Properties!A$1:CB$87,Formula!B28,23)),IF((Formula!D28)=87,10^6,INDEX(Properties!A$1:CB$87,Formula!D28,23)),IF((Formula!F28)=87,10^6,INDEX(Properties!A$1:CB$87,Formula!F28,23)),IF((Formula!H28)=87,10^6,INDEX(Properties!A$1:CB$87,Formula!H28,23)),IF(Formula!J28=87,10^6,INDEX(Properties!A$1:CB$87,Formula!J28,23)))</f>
        <v>0</v>
      </c>
      <c r="CG28" s="81">
        <f t="shared" si="13"/>
        <v>4</v>
      </c>
      <c r="CH28" s="39">
        <f>((Formula!C28)/(Formula!C28+Formula!E28+Formula!G28+Formula!I28+Formula!K28))*(INDEX(Properties!A$1:CB$87,Formula!B28,26))+((Formula!E28)/(Formula!C28+Formula!E28+Formula!G28+Formula!I28+Formula!K28))*(INDEX(Properties!A$1:CB$87,Formula!D28,26))+((Formula!G28)/(Formula!C28+Formula!E28+Formula!G28+Formula!I28+Formula!K28))*(INDEX(Properties!A$1:CB$87,Formula!F28,26))+((Formula!I28)/(Formula!C28+Formula!E28+Formula!G28+Formula!I28+Formula!K28))*(INDEX(Properties!A$1:CB$87,Formula!H28,26))+((Formula!K28)/(Formula!C28+Formula!E28+Formula!G28+Formula!I28+Formula!K28))*(INDEX(Properties!A$1:CB$87,Formula!J28,26))</f>
        <v>7.3959999999999999</v>
      </c>
      <c r="CI28" s="39">
        <f>Formula!C28*(INDEX(Properties!A$1:CB$87,Formula!B28,26))+Formula!E28*(INDEX(Properties!A$1:CB$87,Formula!D28,26))+Formula!G28*(INDEX(Properties!A$1:CB$87,Formula!F28,26))+Formula!I28*(INDEX(Properties!A$1:CB$87,Formula!H28,26))+Formula!K28*(INDEX(Properties!A$1:CB$87,Formula!J28,26))</f>
        <v>59.167999999999999</v>
      </c>
      <c r="CJ28" s="39">
        <f>VARP(IF(INDEX(Properties!A$1:CB$87,Formula!B28,26)&lt;&gt;"",INDEX(Properties!A$1:CB$87,Formula!B28,26)),IF(INDEX(Properties!A$1:CB$87,Formula!D28,26)&lt;&gt;"",INDEX(Properties!A$1:CB$87,Formula!D28,26)),IF(INDEX(Properties!A$1:CB$87,Formula!F28,26)&lt;&gt;"",INDEX(Properties!A$1:CB$87,Formula!F28,26)),IF(INDEX(Properties!A$1:CB$87,Formula!H28,26)&lt;&gt;"",INDEX(Properties!A$1:CB$87,Formula!H28,26)),IF(INDEX(Properties!A$1:CB$87,Formula!J28,26)&lt;&gt;"",INDEX(Properties!A$1:CB$87,Formula!J28,26)))</f>
        <v>19.59331930960002</v>
      </c>
      <c r="CK28" s="39">
        <f>MAX(INDEX(Properties!A$1:CB$87,Formula!B28,26),INDEX(Properties!A$1:CB$87,Formula!D28,26),INDEX(Properties!A$1:CB$87,Formula!F28,26),INDEX(Properties!A$1:CB$87,Formula!H28,26),INDEX(Properties!A$1:CB$87,Formula!J28,26))</f>
        <v>13.6181</v>
      </c>
      <c r="CL28" s="39">
        <f>MIN(IF(INDEX(Properties!A$1:CB$87,Formula!B28,26)=0,10^6,INDEX(Properties!A$1:CB$87,Formula!B28,26)),IF(INDEX(Properties!A$1:CB$87,Formula!D28,26)=0,10^6,INDEX(Properties!A$1:CB$87,Formula!D28,26)),IF(INDEX(Properties!A$1:CB$87,Formula!F28,26)=0,10^6,INDEX(Properties!A$1:CB$87,Formula!F28,26)),IF(INDEX(Properties!A$1:CB$87,Formula!H28,26)=0,10^6,INDEX(Properties!A$1:CB$87,Formula!H28,26)),IF(INDEX(Properties!A$1:CB$87,Formula!J28,26)=0,10^6,INDEX(Properties!A$1:CB$87,Formula!J28,26)))</f>
        <v>5.1391</v>
      </c>
      <c r="CM28" s="39">
        <f t="shared" si="14"/>
        <v>8.4789999999999992</v>
      </c>
      <c r="CN28" s="54">
        <f>((Formula!C28)/(Formula!C28+Formula!E28+Formula!G28+Formula!I28+Formula!K28))*(INDEX(Properties!A$1:CB$87,Formula!B28,30))+((Formula!E28)/(Formula!C28+Formula!E28+Formula!G28+Formula!I28+Formula!K28))*(INDEX(Properties!A$1:CB$87,Formula!D28,30))+((Formula!G28)/(Formula!C28+Formula!E28+Formula!G28+Formula!I28+Formula!K28))*(INDEX(Properties!A$1:CB$87,Formula!F28,30))+((Formula!I28)/(Formula!C28+Formula!E28+Formula!G28+Formula!I28+Formula!K28))*(INDEX(Properties!A$1:CB$87,Formula!H28,30))+((Formula!K28)/(Formula!C28+Formula!E28+Formula!G28+Formula!I28+Formula!K28))*(INDEX(Properties!A$1:CB$87,Formula!J28,30))</f>
        <v>1.3362500000000002</v>
      </c>
      <c r="CO28" s="54">
        <f>Formula!C28*(INDEX(Properties!A$1:CB$87,Formula!B28,30))+Formula!E28*(INDEX(Properties!A$1:CB$87,Formula!D28,30))+Formula!G28*(INDEX(Properties!A$1:CB$87,Formula!F28,30))+Formula!I28*(INDEX(Properties!A$1:CB$87,Formula!H28,30))+Formula!K28*(INDEX(Properties!A$1:CB$87,Formula!J28,30))</f>
        <v>10.690000000000001</v>
      </c>
      <c r="CP28" s="54">
        <f>VARP(IF(INDEX(Properties!A$1:CB$87,Formula!B28,30)&lt;&gt;"",INDEX(Properties!A$1:CB$87,Formula!B28,30)),IF(INDEX(Properties!A$1:CB$87,Formula!D28,30)&lt;&gt;"",INDEX(Properties!A$1:CB$87,Formula!D28,30)),IF(INDEX(Properties!A$1:CB$87,Formula!F28,30)&lt;&gt;"",INDEX(Properties!A$1:CB$87,Formula!F28,30)),IF(INDEX(Properties!A$1:CB$87,Formula!H28,30)&lt;&gt;"",INDEX(Properties!A$1:CB$87,Formula!H28,30)),IF(INDEX(Properties!A$1:CB$87,Formula!J28,30)&lt;&gt;"",INDEX(Properties!A$1:CB$87,Formula!J28,30)))</f>
        <v>1.3066639999999996</v>
      </c>
      <c r="CQ28" s="54">
        <f>MAX(INDEX(Properties!A$1:CB$87,Formula!B28,30),INDEX(Properties!A$1:CB$87,Formula!D28,30),INDEX(Properties!A$1:CB$87,Formula!F28,30),INDEX(Properties!A$1:CB$87,Formula!H28,30),INDEX(Properties!A$1:CB$87,Formula!J28,30))</f>
        <v>3.44</v>
      </c>
      <c r="CR28" s="54">
        <f>MIN(IF(INDEX(Properties!A$1:CB$87,Formula!B28,30)=0,10^6,INDEX(Properties!A$1:CB$87,Formula!B28,30)),IF(INDEX(Properties!A$1:CB$87,Formula!D28,30)=0,10^6,INDEX(Properties!A$1:CB$87,Formula!D28,30)),IF(INDEX(Properties!A$1:CB$87,Formula!F28,30)=0,10^6,INDEX(Properties!A$1:CB$87,Formula!F28,30)),IF(INDEX(Properties!A$1:CB$87,Formula!H28,30)=0,10^6,INDEX(Properties!A$1:CB$87,Formula!H28,30)),IF(INDEX(Properties!A$1:CB$87,Formula!J28,30)=0,10^6,INDEX(Properties!A$1:CB$87,Formula!J28,30)))</f>
        <v>0.93</v>
      </c>
      <c r="CS28" s="54">
        <f t="shared" si="15"/>
        <v>2.5099999999999998</v>
      </c>
      <c r="CT28" s="69">
        <f>((Formula!C28)/(Formula!C28+Formula!E28+Formula!G28+Formula!I28+Formula!K28))*(INDEX(Properties!A$1:CB$87,Formula!B28,31))+((Formula!E28)/(Formula!C28+Formula!E28+Formula!G28+Formula!I28+Formula!K28))*(INDEX(Properties!A$1:CB$87,Formula!D28,31))+((Formula!G28)/(Formula!C28+Formula!E28+Formula!G28+Formula!I28+Formula!K28))*(INDEX(Properties!A$1:CB$87,Formula!F28,31))+((Formula!I28)/(Formula!C28+Formula!E28+Formula!G28+Formula!I28+Formula!K28))*(INDEX(Properties!A$1:CB$87,Formula!H28,31))+((Formula!K28)/(Formula!C28+Formula!E28+Formula!G28+Formula!I28+Formula!K28))*(INDEX(Properties!A$1:CB$87,Formula!J28,31))</f>
        <v>1.3412500000000001</v>
      </c>
      <c r="CU28" s="69">
        <f>Formula!C28*(INDEX(Properties!A$1:CB$87,Formula!B28,31))+Formula!E28*(INDEX(Properties!A$1:CB$87,Formula!D28,31))+Formula!G28*(INDEX(Properties!A$1:CB$87,Formula!F28,31))+Formula!I28*(INDEX(Properties!A$1:CB$87,Formula!H28,31))+Formula!K28*(INDEX(Properties!A$1:CB$87,Formula!J28,31))</f>
        <v>10.73</v>
      </c>
      <c r="CV28" s="69">
        <f>VARP(IF(INDEX(Properties!A$1:CB$87,Formula!B28,31)&lt;&gt;"",INDEX(Properties!A$1:CB$87,Formula!B28,31)),IF(INDEX(Properties!A$1:CB$87,Formula!D28,31)&lt;&gt;"",INDEX(Properties!A$1:CB$87,Formula!D28,31)),IF(INDEX(Properties!A$1:CB$87,Formula!F28,31)&lt;&gt;"",INDEX(Properties!A$1:CB$87,Formula!F28,31)),IF(INDEX(Properties!A$1:CB$87,Formula!H28,31)&lt;&gt;"",INDEX(Properties!A$1:CB$87,Formula!H28,31)),IF(INDEX(Properties!A$1:CB$87,Formula!J28,31)&lt;&gt;"",INDEX(Properties!A$1:CB$87,Formula!J28,31)))</f>
        <v>1.2401999999999997</v>
      </c>
      <c r="CW28" s="69">
        <f>MAX(INDEX(Properties!A$1:CB$87,Formula!B28,31),INDEX(Properties!A$1:CB$87,Formula!D28,31),INDEX(Properties!A$1:CB$87,Formula!F28,31),INDEX(Properties!A$1:CB$87,Formula!H28,31),INDEX(Properties!A$1:CB$87,Formula!J28,31))</f>
        <v>3.32</v>
      </c>
      <c r="CX28" s="69">
        <f>MIN(IF(INDEX(Properties!A$1:CB$87,Formula!B28,31)=0,10^6,INDEX(Properties!A$1:CB$87,Formula!B28,31)),IF(INDEX(Properties!A$1:CB$87,Formula!D28,31)=0,10^6,INDEX(Properties!A$1:CB$87,Formula!D28,31)),IF(INDEX(Properties!A$1:CB$87,Formula!F28,31)=0,10^6,INDEX(Properties!A$1:CB$87,Formula!F28,31)),IF(INDEX(Properties!A$1:CB$87,Formula!H28,31)=0,10^6,INDEX(Properties!A$1:CB$87,Formula!H28,31)),IF(INDEX(Properties!A$1:CB$87,Formula!J28,31)=0,10^6,INDEX(Properties!A$1:CB$87,Formula!J28,31)))</f>
        <v>0.89</v>
      </c>
      <c r="CY28" s="69">
        <f t="shared" si="16"/>
        <v>2.4299999999999997</v>
      </c>
      <c r="CZ28" s="42">
        <f>((Formula!C28)/(Formula!C28+Formula!E28+Formula!G28+Formula!I28+Formula!K28))*(INDEX(Properties!A$1:CB$87,Formula!B28,32))+((Formula!E28)/(Formula!C28+Formula!E28+Formula!G28+Formula!I28+Formula!K28))*(INDEX(Properties!A$1:CB$87,Formula!D28,32))+((Formula!G28)/(Formula!C28+Formula!E28+Formula!G28+Formula!I28+Formula!K28))*(INDEX(Properties!A$1:CB$87,Formula!F28,32))+((Formula!I28)/(Formula!C28+Formula!E28+Formula!G28+Formula!I28+Formula!K28))*(INDEX(Properties!A$1:CB$87,Formula!H28,32))+((Formula!K28)/(Formula!C28+Formula!E28+Formula!G28+Formula!I28+Formula!K28))*(INDEX(Properties!A$1:CB$87,Formula!J28,32))</f>
        <v>3.7650000000000001</v>
      </c>
      <c r="DA28" s="42">
        <f>Formula!C28*(INDEX(Properties!A$1:CB$87,Formula!B28,32))+Formula!E28*(INDEX(Properties!A$1:CB$87,Formula!D28,32))+Formula!G28*(INDEX(Properties!A$1:CB$87,Formula!F28,32))+Formula!I28*(INDEX(Properties!A$1:CB$87,Formula!H28,32))+Formula!K28*(INDEX(Properties!A$1:CB$87,Formula!J28,32))</f>
        <v>30.12</v>
      </c>
      <c r="DB28" s="42">
        <f>VARP(IF(INDEX(Properties!A$1:CB$87,Formula!B28,32)&lt;&gt;"",INDEX(Properties!A$1:CB$87,Formula!B28,32)),IF(INDEX(Properties!A$1:CB$87,Formula!D28,32)&lt;&gt;"",INDEX(Properties!A$1:CB$87,Formula!D28,32)),IF(INDEX(Properties!A$1:CB$87,Formula!F28,32)&lt;&gt;"",INDEX(Properties!A$1:CB$87,Formula!F28,32)),IF(INDEX(Properties!A$1:CB$87,Formula!H28,32)&lt;&gt;"",INDEX(Properties!A$1:CB$87,Formula!H28,32)),IF(INDEX(Properties!A$1:CB$87,Formula!J28,32)&lt;&gt;"",INDEX(Properties!A$1:CB$87,Formula!J28,32)))</f>
        <v>6.0543759999999995</v>
      </c>
      <c r="DC28" s="42">
        <f>MAX(INDEX(Properties!A$1:CB$87,Formula!B28,32),INDEX(Properties!A$1:CB$87,Formula!D28,32),INDEX(Properties!A$1:CB$87,Formula!F28,32),INDEX(Properties!A$1:CB$87,Formula!H28,32),INDEX(Properties!A$1:CB$87,Formula!J28,32))</f>
        <v>7.54</v>
      </c>
      <c r="DD28" s="42">
        <f>MIN(IF(INDEX(Properties!A$1:CB$87,Formula!B28,32)=0,10^6,INDEX(Properties!A$1:CB$87,Formula!B28,32)),IF(INDEX(Properties!A$1:CB$87,Formula!D28,32)=0,10^6,INDEX(Properties!A$1:CB$87,Formula!D28,32)),IF(INDEX(Properties!A$1:CB$87,Formula!F28,32)=0,10^6,INDEX(Properties!A$1:CB$87,Formula!F28,32)),IF(INDEX(Properties!A$1:CB$87,Formula!H28,32)=0,10^6,INDEX(Properties!A$1:CB$87,Formula!H28,32)),IF(INDEX(Properties!A$1:CB$87,Formula!J28,32)=0,10^6,INDEX(Properties!A$1:CB$87,Formula!J28,32)))</f>
        <v>2.85</v>
      </c>
      <c r="DE28" s="42">
        <f t="shared" si="17"/>
        <v>4.6899999999999995</v>
      </c>
      <c r="DF28" s="60">
        <f>((Formula!C28)/(Formula!C28+Formula!E28+Formula!G28+Formula!I28+Formula!K28))*(INDEX(Properties!A$1:CB$87,Formula!B28,34))+((Formula!E28)/(Formula!C28+Formula!E28+Formula!G28+Formula!I28+Formula!K28))*(INDEX(Properties!A$1:CB$87,Formula!D28,34))+((Formula!G28)/(Formula!C28+Formula!E28+Formula!G28+Formula!I28+Formula!K28))*(INDEX(Properties!A$1:CB$87,Formula!F28,34))+((Formula!I28)/(Formula!C28+Formula!E28+Formula!G28+Formula!I28+Formula!K28))*(INDEX(Properties!A$1:CB$87,Formula!H28,34))+((Formula!K28)/(Formula!C28+Formula!E28+Formula!G28+Formula!I28+Formula!K28))*(INDEX(Properties!A$1:CB$87,Formula!J28,34))</f>
        <v>1.3178749999999999</v>
      </c>
      <c r="DG28" s="60">
        <f>Formula!C28*(INDEX(Properties!A$1:CB$87,Formula!B28,34))+Formula!E28*(INDEX(Properties!A$1:CB$87,Formula!D28,34))+Formula!G28*(INDEX(Properties!A$1:CB$87,Formula!F28,34))+Formula!I28*(INDEX(Properties!A$1:CB$87,Formula!H28,34))+Formula!K28*(INDEX(Properties!A$1:CB$87,Formula!J28,34))</f>
        <v>10.542999999999999</v>
      </c>
      <c r="DH28" s="60">
        <f>VARP(IF(INDEX(Properties!A$1:CB$87,Formula!B28,34)&lt;&gt;"",INDEX(Properties!A$1:CB$87,Formula!B28,34)),IF(INDEX(Properties!A$1:CB$87,Formula!D28,34)&lt;&gt;"",INDEX(Properties!A$1:CB$87,Formula!D28,34)),IF(INDEX(Properties!A$1:CB$87,Formula!F28,34)&lt;&gt;"",INDEX(Properties!A$1:CB$87,Formula!F28,34)),IF(INDEX(Properties!A$1:CB$87,Formula!H28,34)&lt;&gt;"",INDEX(Properties!A$1:CB$87,Formula!H28,34)),IF(INDEX(Properties!A$1:CB$87,Formula!J28,34)&lt;&gt;"",INDEX(Properties!A$1:CB$87,Formula!J28,34)))</f>
        <v>1.4618194400000006</v>
      </c>
      <c r="DI28" s="60">
        <f>MAX(INDEX(Properties!A$1:CB$87,Formula!B28,34),INDEX(Properties!A$1:CB$87,Formula!D28,34),INDEX(Properties!A$1:CB$87,Formula!F28,34),INDEX(Properties!A$1:CB$87,Formula!H28,34),INDEX(Properties!A$1:CB$87,Formula!J28,34))</f>
        <v>3.61</v>
      </c>
      <c r="DJ28" s="60">
        <f>MIN(IF(INDEX(Properties!A$1:CB$87,Formula!B28,34)=0,10^6,INDEX(Properties!A$1:CB$87,Formula!B28,34)),IF(INDEX(Properties!A$1:CB$87,Formula!D28,34)=0,10^6,INDEX(Properties!A$1:CB$87,Formula!D28,34)),IF(INDEX(Properties!A$1:CB$87,Formula!F28,34)=0,10^6,INDEX(Properties!A$1:CB$87,Formula!F28,34)),IF(INDEX(Properties!A$1:CB$87,Formula!H28,34)=0,10^6,INDEX(Properties!A$1:CB$87,Formula!H28,34)),IF(INDEX(Properties!A$1:CB$87,Formula!J28,34)=0,10^6,INDEX(Properties!A$1:CB$87,Formula!J28,34)))</f>
        <v>0.86899999999999999</v>
      </c>
      <c r="DK28" s="60">
        <f t="shared" si="18"/>
        <v>2.7409999999999997</v>
      </c>
      <c r="DL28" s="45">
        <f>((Formula!C28)/(Formula!C28+Formula!E28+Formula!G28+Formula!I28+Formula!K28))*(INDEX(Properties!A$1:CB$87,Formula!B28,39))+((Formula!E28)/(Formula!C28+Formula!E28+Formula!G28+Formula!I28+Formula!K28))*(INDEX(Properties!A$1:CB$87,Formula!D28,39))+((Formula!G28)/(Formula!C28+Formula!E28+Formula!G28+Formula!I28+Formula!K28))*(INDEX(Properties!A$1:CB$87,Formula!F28,39))+((Formula!I28)/(Formula!C28+Formula!E28+Formula!G28+Formula!I28+Formula!K28))*(INDEX(Properties!A$1:CB$87,Formula!H28,39))+((Formula!K28)/(Formula!C28+Formula!E28+Formula!G28+Formula!I28+Formula!K28))*(INDEX(Properties!A$1:CB$87,Formula!J28,39))</f>
        <v>1.4637499999999999</v>
      </c>
      <c r="DM28" s="45">
        <f>Formula!C28*(INDEX(Properties!A$1:CB$87,Formula!B28,39))+Formula!E28*(INDEX(Properties!A$1:CB$87,Formula!D28,39))+Formula!G28*(INDEX(Properties!A$1:CB$87,Formula!F28,39))+Formula!I28*(INDEX(Properties!A$1:CB$87,Formula!H28,39))+Formula!K28*(INDEX(Properties!A$1:CB$87,Formula!J28,39))</f>
        <v>11.709999999999999</v>
      </c>
      <c r="DN28" s="45">
        <f>VARP(IF(INDEX(Properties!A$1:CB$87,Formula!B28,39)&lt;&gt;"",INDEX(Properties!A$1:CB$87,Formula!B28,39)),IF(INDEX(Properties!A$1:CB$87,Formula!D28,39)&lt;&gt;"",INDEX(Properties!A$1:CB$87,Formula!D28,39)),IF(INDEX(Properties!A$1:CB$87,Formula!F28,39)&lt;&gt;"",INDEX(Properties!A$1:CB$87,Formula!F28,39)),IF(INDEX(Properties!A$1:CB$87,Formula!H28,39)&lt;&gt;"",INDEX(Properties!A$1:CB$87,Formula!H28,39)),IF(INDEX(Properties!A$1:CB$87,Formula!J28,39)&lt;&gt;"",INDEX(Properties!A$1:CB$87,Formula!J28,39)))</f>
        <v>0.45885600000000026</v>
      </c>
      <c r="DO28" s="45">
        <f>MAX(INDEX(Properties!A$1:CB$87,Formula!B28,39),INDEX(Properties!A$1:CB$87,Formula!D28,39),INDEX(Properties!A$1:CB$87,Formula!F28,39),INDEX(Properties!A$1:CB$87,Formula!H28,39),INDEX(Properties!A$1:CB$87,Formula!J28,39))</f>
        <v>1.9</v>
      </c>
      <c r="DP28" s="45">
        <f>MIN(IF(INDEX(Properties!A$1:CB$87,Formula!B28,39)=0,10^6,INDEX(Properties!A$1:CB$87,Formula!B28,39)),IF(INDEX(Properties!A$1:CB$87,Formula!D28,39)=0,10^6,INDEX(Properties!A$1:CB$87,Formula!D28,39)),IF(INDEX(Properties!A$1:CB$87,Formula!F28,39)=0,10^6,INDEX(Properties!A$1:CB$87,Formula!F28,39)),IF(INDEX(Properties!A$1:CB$87,Formula!H28,39)=0,10^6,INDEX(Properties!A$1:CB$87,Formula!H28,39)),IF(INDEX(Properties!A$1:CB$87,Formula!J28,39)=0,10^6,INDEX(Properties!A$1:CB$87,Formula!J28,39)))</f>
        <v>0.48</v>
      </c>
      <c r="DQ28" s="45">
        <f t="shared" si="19"/>
        <v>1.42</v>
      </c>
      <c r="DR28" s="63">
        <f>((Formula!C28)/(Formula!C28+Formula!E28+Formula!G28+Formula!I28+Formula!K28))*(INDEX(Properties!A$1:CB$87,Formula!B28,40))+((Formula!E28)/(Formula!C28+Formula!E28+Formula!G28+Formula!I28+Formula!K28))*(INDEX(Properties!A$1:CB$87,Formula!D28,40))+((Formula!G28)/(Formula!C28+Formula!E28+Formula!G28+Formula!I28+Formula!K28))*(INDEX(Properties!A$1:CB$87,Formula!F28,40))+((Formula!I28)/(Formula!C28+Formula!E28+Formula!G28+Formula!I28+Formula!K28))*(INDEX(Properties!A$1:CB$87,Formula!H28,40))+((Formula!K28)/(Formula!C28+Formula!E28+Formula!G28+Formula!I28+Formula!K28))*(INDEX(Properties!A$1:CB$87,Formula!J28,40))</f>
        <v>1.3062499999999999</v>
      </c>
      <c r="DS28" s="63">
        <f>Formula!C28*(INDEX(Properties!A$1:CB$87,Formula!B28,40))+Formula!E28*(INDEX(Properties!A$1:CB$87,Formula!D28,40))+Formula!G28*(INDEX(Properties!A$1:CB$87,Formula!F28,40))+Formula!I28*(INDEX(Properties!A$1:CB$87,Formula!H28,40))+Formula!K28*(INDEX(Properties!A$1:CB$87,Formula!J28,40))</f>
        <v>10.45</v>
      </c>
      <c r="DT28" s="63">
        <f>VARP(IF(INDEX(Properties!A$1:CB$87,Formula!B28,40)&lt;&gt;"",INDEX(Properties!A$1:CB$87,Formula!B28,40)),IF(INDEX(Properties!A$1:CB$87,Formula!D28,40)&lt;&gt;"",INDEX(Properties!A$1:CB$87,Formula!D28,40)),IF(INDEX(Properties!A$1:CB$87,Formula!F28,40)&lt;&gt;"",INDEX(Properties!A$1:CB$87,Formula!F28,40)),IF(INDEX(Properties!A$1:CB$87,Formula!H28,40)&lt;&gt;"",INDEX(Properties!A$1:CB$87,Formula!H28,40)),IF(INDEX(Properties!A$1:CB$87,Formula!J28,40)&lt;&gt;"",INDEX(Properties!A$1:CB$87,Formula!J28,40)))</f>
        <v>0.28922400000000009</v>
      </c>
      <c r="DU28" s="63">
        <f>MAX(INDEX(Properties!A$1:CB$87,Formula!B28,40),INDEX(Properties!A$1:CB$87,Formula!D28,40),INDEX(Properties!A$1:CB$87,Formula!F28,40),INDEX(Properties!A$1:CB$87,Formula!H28,40),INDEX(Properties!A$1:CB$87,Formula!J28,40))</f>
        <v>1.54</v>
      </c>
      <c r="DV28" s="63">
        <f>MIN(IF(INDEX(Properties!A$1:CB$87,Formula!B28,40)=0,10^6,INDEX(Properties!A$1:CB$87,Formula!B28,40)),IF(INDEX(Properties!A$1:CB$87,Formula!D28,40)=0,10^6,INDEX(Properties!A$1:CB$87,Formula!D28,40)),IF(INDEX(Properties!A$1:CB$87,Formula!F28,40)=0,10^6,INDEX(Properties!A$1:CB$87,Formula!F28,40)),IF(INDEX(Properties!A$1:CB$87,Formula!H28,40)=0,10^6,INDEX(Properties!A$1:CB$87,Formula!H28,40)),IF(INDEX(Properties!A$1:CB$87,Formula!J28,40)=0,10^6,INDEX(Properties!A$1:CB$87,Formula!J28,40)))</f>
        <v>0.73</v>
      </c>
      <c r="DW28" s="63">
        <f t="shared" si="20"/>
        <v>0.81</v>
      </c>
      <c r="DX28" s="75">
        <f>((Formula!C28)/(Formula!C28+Formula!E28+Formula!G28+Formula!I28+Formula!K28))*(INDEX(Properties!A$1:CB$87,Formula!B28,41))+((Formula!E28)/(Formula!C28+Formula!E28+Formula!G28+Formula!I28+Formula!K28))*(INDEX(Properties!A$1:CB$87,Formula!D28,41))+((Formula!G28)/(Formula!C28+Formula!E28+Formula!G28+Formula!I28+Formula!K28))*(INDEX(Properties!A$1:CB$87,Formula!F28,41))+((Formula!I28)/(Formula!C28+Formula!E28+Formula!G28+Formula!I28+Formula!K28))*(INDEX(Properties!A$1:CB$87,Formula!H28,41))+((Formula!K28)/(Formula!C28+Formula!E28+Formula!G28+Formula!I28+Formula!K28))*(INDEX(Properties!A$1:CB$87,Formula!J28,41))</f>
        <v>0.85750000000000004</v>
      </c>
      <c r="DY28" s="75">
        <f>Formula!C28*(INDEX(Properties!A$1:CB$87,Formula!B28,41))+Formula!E28*(INDEX(Properties!A$1:CB$87,Formula!D28,41))+Formula!G28*(INDEX(Properties!A$1:CB$87,Formula!F28,41))+Formula!I28*(INDEX(Properties!A$1:CB$87,Formula!H28,41))+Formula!K28*(INDEX(Properties!A$1:CB$87,Formula!J28,41))</f>
        <v>6.86</v>
      </c>
      <c r="DZ28" s="75">
        <f>VARP(IF(INDEX(Properties!A$1:CB$87,Formula!B28,41)&lt;&gt;"",INDEX(Properties!A$1:CB$87,Formula!B28,41)),IF(INDEX(Properties!A$1:CB$87,Formula!D28,41)&lt;&gt;"",INDEX(Properties!A$1:CB$87,Formula!D28,41)),IF(INDEX(Properties!A$1:CB$87,Formula!F28,41)&lt;&gt;"",INDEX(Properties!A$1:CB$87,Formula!F28,41)),IF(INDEX(Properties!A$1:CB$87,Formula!H28,41)&lt;&gt;"",INDEX(Properties!A$1:CB$87,Formula!H28,41)),IF(INDEX(Properties!A$1:CB$87,Formula!J28,41)&lt;&gt;"",INDEX(Properties!A$1:CB$87,Formula!J28,41)))</f>
        <v>0.20918399999999993</v>
      </c>
      <c r="EA28" s="75">
        <f>MAX(INDEX(Properties!A$1:CB$87,Formula!B28,41),INDEX(Properties!A$1:CB$87,Formula!D28,41),INDEX(Properties!A$1:CB$87,Formula!F28,41),INDEX(Properties!A$1:CB$87,Formula!H28,41),INDEX(Properties!A$1:CB$87,Formula!J28,41))</f>
        <v>1.26</v>
      </c>
      <c r="EB28" s="75">
        <f>MIN(IF(INDEX(Properties!A$1:CB$87,Formula!B28,41)=0,10^6,INDEX(Properties!A$1:CB$87,Formula!B28,41)),IF(INDEX(Properties!A$1:CB$87,Formula!D28,41)=0,10^6,INDEX(Properties!A$1:CB$87,Formula!D28,41)),IF(INDEX(Properties!A$1:CB$87,Formula!F28,41)=0,10^6,INDEX(Properties!A$1:CB$87,Formula!F28,41)),IF(INDEX(Properties!A$1:CB$87,Formula!H28,41)=0,10^6,INDEX(Properties!A$1:CB$87,Formula!H28,41)),IF(INDEX(Properties!A$1:CB$87,Formula!J28,41)=0,10^6,INDEX(Properties!A$1:CB$87,Formula!J28,41)))</f>
        <v>0.54</v>
      </c>
      <c r="EC28" s="75">
        <f t="shared" si="21"/>
        <v>0.72</v>
      </c>
      <c r="ED28" s="48">
        <f>((Formula!C28)/(Formula!C28+Formula!E28+Formula!G28+Formula!I28+Formula!K28))*(INDEX(Properties!A$1:CB$87,Formula!B28,45))+((Formula!E28)/(Formula!C28+Formula!E28+Formula!G28+Formula!I28+Formula!K28))*(INDEX(Properties!A$1:CB$87,Formula!D28,45))+((Formula!G28)/(Formula!C28+Formula!E28+Formula!G28+Formula!I28+Formula!K28))*(INDEX(Properties!A$1:CB$87,Formula!F28,45))+((Formula!I28)/(Formula!C28+Formula!E28+Formula!G28+Formula!I28+Formula!K28))*(INDEX(Properties!A$1:CB$87,Formula!H28,45))+((Formula!K28)/(Formula!C28+Formula!E28+Formula!G28+Formula!I28+Formula!K28))*(INDEX(Properties!A$1:CB$87,Formula!J28,45))</f>
        <v>2.03125</v>
      </c>
      <c r="EE28" s="48">
        <f>Formula!C28*(INDEX(Properties!A$1:CB$87,Formula!B28,45))+Formula!E28*(INDEX(Properties!A$1:CB$87,Formula!D28,45))+Formula!G28*(INDEX(Properties!A$1:CB$87,Formula!F28,45))+Formula!I28*(INDEX(Properties!A$1:CB$87,Formula!H28,45))+Formula!K28*(INDEX(Properties!A$1:CB$87,Formula!J28,45))</f>
        <v>16.25</v>
      </c>
      <c r="EF28" s="48">
        <f>VARP(IF(INDEX(Properties!A$1:CB$87,Formula!B28,45)&lt;&gt;"",INDEX(Properties!A$1:CB$87,Formula!B28,45)),IF(INDEX(Properties!A$1:CB$87,Formula!D28,45)&lt;&gt;"",INDEX(Properties!A$1:CB$87,Formula!D28,45)),IF(INDEX(Properties!A$1:CB$87,Formula!F28,45)&lt;&gt;"",INDEX(Properties!A$1:CB$87,Formula!F28,45)),IF(INDEX(Properties!A$1:CB$87,Formula!H28,45)&lt;&gt;"",INDEX(Properties!A$1:CB$87,Formula!H28,45)),IF(INDEX(Properties!A$1:CB$87,Formula!J28,45)&lt;&gt;"",INDEX(Properties!A$1:CB$87,Formula!J28,45)))</f>
        <v>0.94954400000000083</v>
      </c>
      <c r="EG28" s="48">
        <f>MAX(INDEX(Properties!A$1:CB$87,Formula!B28,45),INDEX(Properties!A$1:CB$87,Formula!D28,45),INDEX(Properties!A$1:CB$87,Formula!F28,45),INDEX(Properties!A$1:CB$87,Formula!H28,45),INDEX(Properties!A$1:CB$87,Formula!J28,45))</f>
        <v>2.65</v>
      </c>
      <c r="EH28" s="48">
        <f>MIN(IF(INDEX(Properties!A$1:CB$87,Formula!B28,45)=0,10^6,INDEX(Properties!A$1:CB$87,Formula!B28,45)),IF(INDEX(Properties!A$1:CB$87,Formula!D28,45)=0,10^6,INDEX(Properties!A$1:CB$87,Formula!D28,45)),IF(INDEX(Properties!A$1:CB$87,Formula!F28,45)=0,10^6,INDEX(Properties!A$1:CB$87,Formula!F28,45)),IF(INDEX(Properties!A$1:CB$87,Formula!H28,45)=0,10^6,INDEX(Properties!A$1:CB$87,Formula!H28,45)),IF(INDEX(Properties!A$1:CB$87,Formula!J28,45)=0,10^6,INDEX(Properties!A$1:CB$87,Formula!J28,45)))</f>
        <v>0.47</v>
      </c>
      <c r="EI28" s="48">
        <f t="shared" si="22"/>
        <v>2.1799999999999997</v>
      </c>
      <c r="EJ28" s="66">
        <f>((Formula!C28)/(Formula!C28+Formula!E28+Formula!G28+Formula!I28+Formula!K28))*(INDEX(Properties!A$1:CB$87,Formula!B28,46))+((Formula!E28)/(Formula!C28+Formula!E28+Formula!G28+Formula!I28+Formula!K28))*(INDEX(Properties!A$1:CB$87,Formula!D28,46))+((Formula!G28)/(Formula!C28+Formula!E28+Formula!G28+Formula!I28+Formula!K28))*(INDEX(Properties!A$1:CB$87,Formula!F28,46))+((Formula!I28)/(Formula!C28+Formula!E28+Formula!G28+Formula!I28+Formula!K28))*(INDEX(Properties!A$1:CB$87,Formula!H28,46))+((Formula!K28)/(Formula!C28+Formula!E28+Formula!G28+Formula!I28+Formula!K28))*(INDEX(Properties!A$1:CB$87,Formula!J28,46))</f>
        <v>0.84000000000000008</v>
      </c>
      <c r="EK28" s="66">
        <f>Formula!C28*(INDEX(Properties!A$1:CB$87,Formula!B28,46))+Formula!E28*(INDEX(Properties!A$1:CB$87,Formula!D28,46))+Formula!G28*(INDEX(Properties!A$1:CB$87,Formula!F28,46))+Formula!I28*(INDEX(Properties!A$1:CB$87,Formula!H28,46))+Formula!K28*(INDEX(Properties!A$1:CB$87,Formula!J28,46))</f>
        <v>6.7200000000000006</v>
      </c>
      <c r="EL28" s="66">
        <f>VARP(IF(INDEX(Properties!A$1:CB$87,Formula!B28,46)&lt;&gt;"",INDEX(Properties!A$1:CB$87,Formula!B28,46)),IF(INDEX(Properties!A$1:CB$87,Formula!D28,46)&lt;&gt;"",INDEX(Properties!A$1:CB$87,Formula!D28,46)),IF(INDEX(Properties!A$1:CB$87,Formula!F28,46)&lt;&gt;"",INDEX(Properties!A$1:CB$87,Formula!F28,46)),IF(INDEX(Properties!A$1:CB$87,Formula!H28,46)&lt;&gt;"",INDEX(Properties!A$1:CB$87,Formula!H28,46)),IF(INDEX(Properties!A$1:CB$87,Formula!J28,46)&lt;&gt;"",INDEX(Properties!A$1:CB$87,Formula!J28,46)))</f>
        <v>0.21478399999999995</v>
      </c>
      <c r="EM28" s="66">
        <f>MAX(INDEX(Properties!A$1:CB$87,Formula!B28,46),INDEX(Properties!A$1:CB$87,Formula!D28,46),INDEX(Properties!A$1:CB$87,Formula!F28,46),INDEX(Properties!A$1:CB$87,Formula!H28,46),INDEX(Properties!A$1:CB$87,Formula!J28,46))</f>
        <v>1.21</v>
      </c>
      <c r="EN28" s="66">
        <f>MIN(IF(INDEX(Properties!A$1:CB$87,Formula!B28,46)=0,10^6,INDEX(Properties!A$1:CB$87,Formula!B28,46)),IF(INDEX(Properties!A$1:CB$87,Formula!D28,46)=0,10^6,INDEX(Properties!A$1:CB$87,Formula!D28,46)),IF(INDEX(Properties!A$1:CB$87,Formula!F28,46)=0,10^6,INDEX(Properties!A$1:CB$87,Formula!F28,46)),IF(INDEX(Properties!A$1:CB$87,Formula!H28,46)=0,10^6,INDEX(Properties!A$1:CB$87,Formula!H28,46)),IF(INDEX(Properties!A$1:CB$87,Formula!J28,46)=0,10^6,INDEX(Properties!A$1:CB$87,Formula!J28,46)))</f>
        <v>0.4</v>
      </c>
      <c r="EO28" s="66">
        <f t="shared" si="23"/>
        <v>0.80999999999999994</v>
      </c>
      <c r="EP28" s="81">
        <f>((Formula!C28)/(Formula!C28+Formula!E28+Formula!G28+Formula!I28+Formula!K28))*(INDEX(Properties!A$1:CB$87,Formula!B28,52))+((Formula!E28)/(Formula!C28+Formula!E28+Formula!G28+Formula!I28+Formula!K28))*(INDEX(Properties!A$1:CB$87,Formula!D28,52))+((Formula!G28)/(Formula!C28+Formula!E28+Formula!G28+Formula!I28+Formula!K28))*(INDEX(Properties!A$1:CB$87,Formula!F28,52))+((Formula!I28)/(Formula!C28+Formula!E28+Formula!G28+Formula!I28+Formula!K28))*(INDEX(Properties!A$1:CB$87,Formula!H28,52))+((Formula!K28)/(Formula!C28+Formula!E28+Formula!G28+Formula!I28+Formula!K28))*(INDEX(Properties!A$1:CB$87,Formula!J28,52))</f>
        <v>11.574999999999999</v>
      </c>
      <c r="EQ28" s="81">
        <f>Formula!C28*(INDEX(Properties!A$1:CB$87,Formula!B28,52))+Formula!E28*(INDEX(Properties!A$1:CB$87,Formula!D28,52))+Formula!G28*(INDEX(Properties!A$1:CB$87,Formula!F28,52))+Formula!I28*(INDEX(Properties!A$1:CB$87,Formula!H28,52))+Formula!K28*(INDEX(Properties!A$1:CB$87,Formula!J28,52))</f>
        <v>92.6</v>
      </c>
      <c r="ER28" s="81">
        <f>VARP(IF(INDEX(Properties!A$1:CB$87,Formula!B28,52)&lt;&gt;"",INDEX(Properties!A$1:CB$87,Formula!B28,52)),IF(INDEX(Properties!A$1:CB$87,Formula!D28,52)&lt;&gt;"",INDEX(Properties!A$1:CB$87,Formula!D28,52)),IF(INDEX(Properties!A$1:CB$87,Formula!F28,52)&lt;&gt;"",INDEX(Properties!A$1:CB$87,Formula!F28,52)),IF(INDEX(Properties!A$1:CB$87,Formula!H28,52)&lt;&gt;"",INDEX(Properties!A$1:CB$87,Formula!H28,52)),IF(INDEX(Properties!A$1:CB$87,Formula!J28,52)&lt;&gt;"",INDEX(Properties!A$1:CB$87,Formula!J28,52)))</f>
        <v>74.55799184</v>
      </c>
      <c r="ES28" s="81">
        <f>MAX(INDEX(Properties!A$1:CB$87,Formula!B28,52),INDEX(Properties!A$1:CB$87,Formula!D28,52),INDEX(Properties!A$1:CB$87,Formula!F28,52),INDEX(Properties!A$1:CB$87,Formula!H28,52),INDEX(Properties!A$1:CB$87,Formula!J28,52))</f>
        <v>23.6</v>
      </c>
      <c r="ET28" s="81">
        <f>MIN(IF(INDEX(Properties!A$1:CB$87,Formula!B28,52)=0,10^6,INDEX(Properties!A$1:CB$87,Formula!B28,52)),IF(INDEX(Properties!A$1:CB$87,Formula!D28,52)=0,10^6,INDEX(Properties!A$1:CB$87,Formula!D28,52)),IF(INDEX(Properties!A$1:CB$87,Formula!F28,52)=0,10^6,INDEX(Properties!A$1:CB$87,Formula!F28,52)),IF(INDEX(Properties!A$1:CB$87,Formula!H28,52)=0,10^6,INDEX(Properties!A$1:CB$87,Formula!H28,52)),IF(INDEX(Properties!A$1:CB$87,Formula!J28,52)=0,10^6,INDEX(Properties!A$1:CB$87,Formula!J28,52)))</f>
        <v>0.79300000000000004</v>
      </c>
      <c r="EU28" s="81">
        <f t="shared" si="24"/>
        <v>22.807000000000002</v>
      </c>
      <c r="EV28" s="39">
        <f>((Formula!C28)/(Formula!C28+Formula!E28+Formula!G28+Formula!I28+Formula!K28))*(INDEX(Properties!A$1:CB$87,Formula!B28,53))+((Formula!E28)/(Formula!C28+Formula!E28+Formula!G28+Formula!I28+Formula!K28))*(INDEX(Properties!A$1:CB$87,Formula!D28,53))+((Formula!G28)/(Formula!C28+Formula!E28+Formula!G28+Formula!I28+Formula!K28))*(INDEX(Properties!A$1:CB$87,Formula!F28,53))+((Formula!I28)/(Formula!C28+Formula!E28+Formula!G28+Formula!I28+Formula!K28))*(INDEX(Properties!A$1:CB$87,Formula!H28,53))+((Formula!K28)/(Formula!C28+Formula!E28+Formula!G28+Formula!I28+Formula!K28))*(INDEX(Properties!A$1:CB$87,Formula!J28,53))</f>
        <v>948.375</v>
      </c>
      <c r="EW28" s="39">
        <f>Formula!C28*(INDEX(Properties!A$1:CB$87,Formula!B28,53))+Formula!E28*(INDEX(Properties!A$1:CB$87,Formula!D28,53))+Formula!G28*(INDEX(Properties!A$1:CB$87,Formula!F28,53))+Formula!I28*(INDEX(Properties!A$1:CB$87,Formula!H28,53))+Formula!K28*(INDEX(Properties!A$1:CB$87,Formula!J28,53))</f>
        <v>7587</v>
      </c>
      <c r="EX28" s="39">
        <f>VARP(IF(INDEX(Properties!A$1:CB$87,Formula!B28,53)&lt;&gt;"",INDEX(Properties!A$1:CB$87,Formula!B28,53)),IF(INDEX(Properties!A$1:CB$87,Formula!D28,53)&lt;&gt;"",INDEX(Properties!A$1:CB$87,Formula!D28,53)),IF(INDEX(Properties!A$1:CB$87,Formula!F28,53)&lt;&gt;"",INDEX(Properties!A$1:CB$87,Formula!F28,53)),IF(INDEX(Properties!A$1:CB$87,Formula!H28,53)&lt;&gt;"",INDEX(Properties!A$1:CB$87,Formula!H28,53)),IF(INDEX(Properties!A$1:CB$87,Formula!J28,53)&lt;&gt;"",INDEX(Properties!A$1:CB$87,Formula!J28,53)))</f>
        <v>397312.76200000005</v>
      </c>
      <c r="EY28" s="39">
        <f>MAX(INDEX(Properties!A$1:CB$87,Formula!B28,53),INDEX(Properties!A$1:CB$87,Formula!D28,53),INDEX(Properties!A$1:CB$87,Formula!F28,53),INDEX(Properties!A$1:CB$87,Formula!H28,53),INDEX(Properties!A$1:CB$87,Formula!J28,53))</f>
        <v>1683.15</v>
      </c>
      <c r="EZ28" s="39">
        <f>MIN(IF(INDEX(Properties!A$1:CB$87,Formula!B28,53)=0,10^6,INDEX(Properties!A$1:CB$87,Formula!B28,53)),IF(INDEX(Properties!A$1:CB$87,Formula!D28,53)=0,10^6,INDEX(Properties!A$1:CB$87,Formula!D28,53)),IF(INDEX(Properties!A$1:CB$87,Formula!F28,53)=0,10^6,INDEX(Properties!A$1:CB$87,Formula!F28,53)),IF(INDEX(Properties!A$1:CB$87,Formula!H28,53)=0,10^6,INDEX(Properties!A$1:CB$87,Formula!H28,53)),IF(INDEX(Properties!A$1:CB$87,Formula!J28,53)=0,10^6,INDEX(Properties!A$1:CB$87,Formula!J28,53)))</f>
        <v>54.749999999999972</v>
      </c>
      <c r="FA28" s="39">
        <f t="shared" si="25"/>
        <v>1628.4</v>
      </c>
      <c r="FB28" s="54">
        <f>((Formula!C28)/(Formula!C28+Formula!E28+Formula!G28+Formula!I28+Formula!K28))*(INDEX(Properties!A$1:CB$87,Formula!B28,54))+((Formula!E28)/(Formula!C28+Formula!E28+Formula!G28+Formula!I28+Formula!K28))*(INDEX(Properties!A$1:CB$87,Formula!D28,54))+((Formula!G28)/(Formula!C28+Formula!E28+Formula!G28+Formula!I28+Formula!K28))*(INDEX(Properties!A$1:CB$87,Formula!F28,54))+((Formula!I28)/(Formula!C28+Formula!E28+Formula!G28+Formula!I28+Formula!K28))*(INDEX(Properties!A$1:CB$87,Formula!H28,54))+((Formula!K28)/(Formula!C28+Formula!E28+Formula!G28+Formula!I28+Formula!K28))*(INDEX(Properties!A$1:CB$87,Formula!J28,54))</f>
        <v>1495.4</v>
      </c>
      <c r="FC28" s="54">
        <f>Formula!C28*(INDEX(Properties!A$1:CB$87,Formula!B28,54))+Formula!E28*(INDEX(Properties!A$1:CB$87,Formula!D28,54))+Formula!G28*(INDEX(Properties!A$1:CB$87,Formula!F28,54))+Formula!I28*(INDEX(Properties!A$1:CB$87,Formula!H28,54))+Formula!K28*(INDEX(Properties!A$1:CB$87,Formula!J28,54))</f>
        <v>11963.2</v>
      </c>
      <c r="FD28" s="54">
        <f>VARP(IF(INDEX(Properties!A$1:CB$87,Formula!B28,54)&lt;&gt;"",INDEX(Properties!A$1:CB$87,Formula!B28,54)),IF(INDEX(Properties!A$1:CB$87,Formula!D28,54)&lt;&gt;"",INDEX(Properties!A$1:CB$87,Formula!D28,54)),IF(INDEX(Properties!A$1:CB$87,Formula!F28,54)&lt;&gt;"",INDEX(Properties!A$1:CB$87,Formula!F28,54)),IF(INDEX(Properties!A$1:CB$87,Formula!H28,54)&lt;&gt;"",INDEX(Properties!A$1:CB$87,Formula!H28,54)),IF(INDEX(Properties!A$1:CB$87,Formula!J28,54)&lt;&gt;"",INDEX(Properties!A$1:CB$87,Formula!J28,54)))</f>
        <v>924733.8875999999</v>
      </c>
      <c r="FE28" s="54">
        <f>MAX(INDEX(Properties!A$1:CB$87,Formula!B28,54),INDEX(Properties!A$1:CB$87,Formula!D28,54),INDEX(Properties!A$1:CB$87,Formula!F28,54),INDEX(Properties!A$1:CB$87,Formula!H28,54),INDEX(Properties!A$1:CB$87,Formula!J28,54))</f>
        <v>2628.15</v>
      </c>
      <c r="FF28" s="54">
        <f>MIN(IF(INDEX(Properties!A$1:CB$87,Formula!B28,54)=0,10^6,INDEX(Properties!A$1:CB$87,Formula!B28,54)),IF(INDEX(Properties!A$1:CB$87,Formula!D28,54)=0,10^6,INDEX(Properties!A$1:CB$87,Formula!D28,54)),IF(INDEX(Properties!A$1:CB$87,Formula!F28,54)=0,10^6,INDEX(Properties!A$1:CB$87,Formula!F28,54)),IF(INDEX(Properties!A$1:CB$87,Formula!H28,54)=0,10^6,INDEX(Properties!A$1:CB$87,Formula!H28,54)),IF(INDEX(Properties!A$1:CB$87,Formula!J28,54)=0,10^6,INDEX(Properties!A$1:CB$87,Formula!J28,54)))</f>
        <v>90.149999999999977</v>
      </c>
      <c r="FG28" s="54">
        <f t="shared" si="26"/>
        <v>2538</v>
      </c>
      <c r="FH28" s="69">
        <f>((Formula!C28)/(Formula!C28+Formula!E28+Formula!G28+Formula!I28+Formula!K28))*(INDEX(Properties!A$1:CB$87,Formula!B28,55))+((Formula!E28)/(Formula!C28+Formula!E28+Formula!G28+Formula!I28+Formula!K28))*(INDEX(Properties!A$1:CB$87,Formula!D28,55))+((Formula!G28)/(Formula!C28+Formula!E28+Formula!G28+Formula!I28+Formula!K28))*(INDEX(Properties!A$1:CB$87,Formula!F28,55))+((Formula!I28)/(Formula!C28+Formula!E28+Formula!G28+Formula!I28+Formula!K28))*(INDEX(Properties!A$1:CB$87,Formula!H28,55))+((Formula!K28)/(Formula!C28+Formula!E28+Formula!G28+Formula!I28+Formula!K28))*(INDEX(Properties!A$1:CB$87,Formula!J28,55))</f>
        <v>1.717625</v>
      </c>
      <c r="FI28" s="69">
        <f>Formula!C28*(INDEX(Properties!A$1:CB$87,Formula!B28,55))+Formula!E28*(INDEX(Properties!A$1:CB$87,Formula!D28,54))+Formula!G28*(INDEX(Properties!A$1:CB$87,Formula!F28,55))+Formula!I28*(INDEX(Properties!A$1:CB$87,Formula!H28,55))+Formula!K28*(INDEX(Properties!A$1:CB$87,Formula!J28,55))</f>
        <v>8182.201</v>
      </c>
      <c r="FJ28" s="69">
        <f>VARP(IF(INDEX(Properties!A$1:CB$87,Formula!B28,55)&lt;&gt;"",INDEX(Properties!A$1:CB$87,Formula!B28,55)),IF(INDEX(Properties!A$1:CB$87,Formula!D28,55)&lt;&gt;"",INDEX(Properties!A$1:CB$87,Formula!D28,55)),IF(INDEX(Properties!A$1:CB$87,Formula!F28,55)&lt;&gt;"",INDEX(Properties!A$1:CB$87,Formula!F28,55)),IF(INDEX(Properties!A$1:CB$87,Formula!H28,55)&lt;&gt;"",INDEX(Properties!A$1:CB$87,Formula!H28,55)),IF(INDEX(Properties!A$1:CB$87,Formula!J28,55)&lt;&gt;"",INDEX(Properties!A$1:CB$87,Formula!J28,55)))</f>
        <v>0.86282459678399992</v>
      </c>
      <c r="FK28" s="69">
        <f>MAX(INDEX(Properties!A$1:CB$87,Formula!B28,55),INDEX(Properties!A$1:CB$87,Formula!D28,55),INDEX(Properties!A$1:CB$87,Formula!F28,55),INDEX(Properties!A$1:CB$87,Formula!H28,55),INDEX(Properties!A$1:CB$87,Formula!J28,55))</f>
        <v>2.33</v>
      </c>
      <c r="FL28" s="69">
        <f>MIN(IF(INDEX(Properties!A$1:CB$87,Formula!B28,55)=0,10^6,INDEX(Properties!A$1:CB$87,Formula!B28,55)),IF(INDEX(Properties!A$1:CB$87,Formula!D28,55)=0,10^6,INDEX(Properties!A$1:CB$87,Formula!D28,55)),IF(INDEX(Properties!A$1:CB$87,Formula!F28,55)=0,10^6,INDEX(Properties!A$1:CB$87,Formula!F28,55)),IF(INDEX(Properties!A$1:CB$87,Formula!H28,55)=0,10^6,INDEX(Properties!A$1:CB$87,Formula!H28,55)),IF(INDEX(Properties!A$1:CB$87,Formula!J28,55)=0,10^6,INDEX(Properties!A$1:CB$87,Formula!J28,55)))</f>
        <v>1.4300000000000001E-3</v>
      </c>
      <c r="FM28" s="69">
        <f t="shared" si="27"/>
        <v>2.32857</v>
      </c>
      <c r="FN28" s="42">
        <f>((Formula!C28)/(Formula!C28+Formula!E28+Formula!G28+Formula!I28+Formula!K28))*(INDEX(Properties!A$1:CB$87,Formula!B28,56))+((Formula!E28)/(Formula!C28+Formula!E28+Formula!G28+Formula!I28+Formula!K28))*(INDEX(Properties!A$1:CB$87,Formula!D28,56))+((Formula!G28)/(Formula!C28+Formula!E28+Formula!G28+Formula!I28+Formula!K28))*(INDEX(Properties!A$1:CB$87,Formula!F28,56))+((Formula!I28)/(Formula!C28+Formula!E28+Formula!G28+Formula!I28+Formula!K28))*(INDEX(Properties!A$1:CB$87,Formula!H28,56))+((Formula!K28)/(Formula!C28+Formula!E28+Formula!G28+Formula!I28+Formula!K28))*(INDEX(Properties!A$1:CB$87,Formula!J28,56))</f>
        <v>1.0074999999999998</v>
      </c>
      <c r="FO28" s="42">
        <f>Formula!C28*(INDEX(Properties!A$1:CB$87,Formula!B28,56))+Formula!E28*(INDEX(Properties!A$1:CB$87,Formula!D28,56))+Formula!G28*(INDEX(Properties!A$1:CB$87,Formula!F28,56))+Formula!I28*(INDEX(Properties!A$1:CB$87,Formula!H28,56))+Formula!K28*(INDEX(Properties!A$1:CB$87,Formula!J28,56))</f>
        <v>8.0599999999999987</v>
      </c>
      <c r="FP28" s="42">
        <f>VARP(IF(INDEX(Properties!A$1:CB$87,Formula!B28,56)&lt;&gt;"",INDEX(Properties!A$1:CB$87,Formula!B28,56)),IF(INDEX(Properties!A$1:CB$87,Formula!D28,56)&lt;&gt;"",INDEX(Properties!A$1:CB$87,Formula!D28,56)),IF(INDEX(Properties!A$1:CB$87,Formula!F28,56)&lt;&gt;"",INDEX(Properties!A$1:CB$87,Formula!F28,56)),IF(INDEX(Properties!A$1:CB$87,Formula!H28,56)&lt;&gt;"",INDEX(Properties!A$1:CB$87,Formula!H28,56)),IF(INDEX(Properties!A$1:CB$87,Formula!J28,56)&lt;&gt;"",INDEX(Properties!A$1:CB$87,Formula!J28,56)))</f>
        <v>0.1785840000000001</v>
      </c>
      <c r="FQ28" s="42">
        <f>MAX(INDEX(Properties!A$1:CB$87,Formula!B28,56),INDEX(Properties!A$1:CB$87,Formula!D28,56),INDEX(Properties!A$1:CB$87,Formula!F28,56),INDEX(Properties!A$1:CB$87,Formula!H28,56),INDEX(Properties!A$1:CB$87,Formula!J28,56))</f>
        <v>1.23</v>
      </c>
      <c r="FR28" s="42">
        <f>MIN(IF(INDEX(Properties!A$1:CB$87,Formula!B28,56)=0,10^6,INDEX(Properties!A$1:CB$87,Formula!B28,56)),IF(INDEX(Properties!A$1:CB$87,Formula!D28,56)=0,10^6,INDEX(Properties!A$1:CB$87,Formula!D28,56)),IF(INDEX(Properties!A$1:CB$87,Formula!F28,56)=0,10^6,INDEX(Properties!A$1:CB$87,Formula!F28,56)),IF(INDEX(Properties!A$1:CB$87,Formula!H28,56)=0,10^6,INDEX(Properties!A$1:CB$87,Formula!H28,56)),IF(INDEX(Properties!A$1:CB$87,Formula!J28,56)=0,10^6,INDEX(Properties!A$1:CB$87,Formula!J28,56)))</f>
        <v>0.71</v>
      </c>
      <c r="FS28" s="42">
        <f t="shared" si="28"/>
        <v>0.52</v>
      </c>
      <c r="FT28" s="60">
        <f>((Formula!C28)/(Formula!C28+Formula!E28+Formula!G28+Formula!I28+Formula!K28))*(INDEX(Properties!A$1:CB$87,Formula!B28,57))+((Formula!E28)/(Formula!C28+Formula!E28+Formula!G28+Formula!I28+Formula!K28))*(INDEX(Properties!A$1:CB$87,Formula!D28,57))+((Formula!G28)/(Formula!C28+Formula!E28+Formula!G28+Formula!I28+Formula!K28))*(INDEX(Properties!A$1:CB$87,Formula!F28,57))+((Formula!I28)/(Formula!C28+Formula!E28+Formula!G28+Formula!I28+Formula!K28))*(INDEX(Properties!A$1:CB$87,Formula!H28,57))+((Formula!K28)/(Formula!C28+Formula!E28+Formula!G28+Formula!I28+Formula!K28))*(INDEX(Properties!A$1:CB$87,Formula!J28,57))</f>
        <v>13.359</v>
      </c>
      <c r="FU28" s="60">
        <f>Formula!C28*(INDEX(Properties!A$1:CB$87,Formula!B28,57))+Formula!E28*(INDEX(Properties!A$1:CB$87,Formula!D28,57))+Formula!G28*(INDEX(Properties!A$1:CB$87,Formula!F28,57))+Formula!I28*(INDEX(Properties!A$1:CB$87,Formula!H28,57))+Formula!K28*(INDEX(Properties!A$1:CB$87,Formula!J28,57))</f>
        <v>106.872</v>
      </c>
      <c r="FV28" s="60">
        <f>VARP(IF(INDEX(Properties!A$1:CB$87,Formula!B28,57)&lt;&gt;"",INDEX(Properties!A$1:CB$87,Formula!B28,57)),IF(INDEX(Properties!A$1:CB$87,Formula!D28,57)&lt;&gt;"",INDEX(Properties!A$1:CB$87,Formula!D28,57)),IF(INDEX(Properties!A$1:CB$87,Formula!F28,57)&lt;&gt;"",INDEX(Properties!A$1:CB$87,Formula!F28,57)),IF(INDEX(Properties!A$1:CB$87,Formula!H28,57)&lt;&gt;"",INDEX(Properties!A$1:CB$87,Formula!H28,57)),IF(INDEX(Properties!A$1:CB$87,Formula!J28,57)&lt;&gt;"",INDEX(Properties!A$1:CB$87,Formula!J28,57)))</f>
        <v>373.08097251489608</v>
      </c>
      <c r="FW28" s="60">
        <f>MAX(INDEX(Properties!A$1:CB$87,Formula!B28,57),INDEX(Properties!A$1:CB$87,Formula!D28,57),INDEX(Properties!A$1:CB$87,Formula!F28,57),INDEX(Properties!A$1:CB$87,Formula!H28,57),INDEX(Properties!A$1:CB$87,Formula!J28,57))</f>
        <v>50.55</v>
      </c>
      <c r="FX28" s="60">
        <f>MIN(IF(INDEX(Properties!A$1:CB$87,Formula!B28,57)=0,10^6,INDEX(Properties!A$1:CB$87,Formula!B28,57)),IF(INDEX(Properties!A$1:CB$87,Formula!D28,57)=0,10^6,INDEX(Properties!A$1:CB$87,Formula!D28,57)),IF(INDEX(Properties!A$1:CB$87,Formula!F28,57)=0,10^6,INDEX(Properties!A$1:CB$87,Formula!F28,57)),IF(INDEX(Properties!A$1:CB$87,Formula!H28,57)=0,10^6,INDEX(Properties!A$1:CB$87,Formula!H28,57)),IF(INDEX(Properties!A$1:CB$87,Formula!J28,57)=0,10^6,INDEX(Properties!A$1:CB$87,Formula!J28,57)))</f>
        <v>0.22259000000000001</v>
      </c>
      <c r="FY28" s="60">
        <f t="shared" si="29"/>
        <v>50.32741</v>
      </c>
      <c r="FZ28" s="72">
        <f>((Formula!C28)/(Formula!C28+Formula!E28+Formula!G28+Formula!I28+Formula!K28))*(INDEX(Properties!A$1:CB$87,Formula!B28,60))+((Formula!E28)/(Formula!C28+Formula!E28+Formula!G28+Formula!I28+Formula!K28))*(INDEX(Properties!A$1:CB$87,Formula!D28,60))+((Formula!G28)/(Formula!C28+Formula!E28+Formula!G28+Formula!I28+Formula!K28))*(INDEX(Properties!A$1:CB$87,Formula!F28,60))+((Formula!I28)/(Formula!C28+Formula!E28+Formula!G28+Formula!I28+Formula!K28))*(INDEX(Properties!A$1:CB$87,Formula!H28,60))+((Formula!K28)/(Formula!C28+Formula!E28+Formula!G28+Formula!I28+Formula!K28))*(INDEX(Properties!A$1:CB$87,Formula!J28,60))</f>
        <v>153.125</v>
      </c>
      <c r="GA28" s="72">
        <f>Formula!C28*(INDEX(Properties!A$1:CB$87,Formula!B28,60))+Formula!E28*(INDEX(Properties!A$1:CB$87,Formula!D28,60))+Formula!G28*(INDEX(Properties!A$1:CB$87,Formula!F28,60))+Formula!I28*(INDEX(Properties!A$1:CB$87,Formula!H28,60))+Formula!K28*(INDEX(Properties!A$1:CB$87,Formula!J28,60))</f>
        <v>1225</v>
      </c>
      <c r="GB28" s="72">
        <f>VARP(IF(INDEX(Properties!A$1:CB$87,Formula!B28,60)&lt;&gt;"",INDEX(Properties!A$1:CB$87,Formula!B28,60)),IF(INDEX(Properties!A$1:CB$87,Formula!D28,60)&lt;&gt;"",INDEX(Properties!A$1:CB$87,Formula!D28,60)),IF(INDEX(Properties!A$1:CB$87,Formula!F28,60)&lt;&gt;"",INDEX(Properties!A$1:CB$87,Formula!F28,60)),IF(INDEX(Properties!A$1:CB$87,Formula!H28,60)&lt;&gt;"",INDEX(Properties!A$1:CB$87,Formula!H28,60)),IF(INDEX(Properties!A$1:CB$87,Formula!J28,60)&lt;&gt;"",INDEX(Properties!A$1:CB$87,Formula!J28,60)))</f>
        <v>5302.2481704044176</v>
      </c>
      <c r="GC28" s="72">
        <f>MAX(INDEX(Properties!A$1:CB$87,Formula!B28,60),INDEX(Properties!A$1:CB$87,Formula!D28,60),INDEX(Properties!A$1:CB$87,Formula!F28,60),INDEX(Properties!A$1:CB$87,Formula!H28,60),INDEX(Properties!A$1:CB$87,Formula!J28,60))</f>
        <v>156</v>
      </c>
      <c r="GD28" s="72">
        <f>MIN(IF(INDEX(Properties!A$1:CB$87,Formula!B28,60)=0,10^6,INDEX(Properties!A$1:CB$87,Formula!B28,60)),IF(INDEX(Properties!A$1:CB$87,Formula!D28,60)=0,10^6,INDEX(Properties!A$1:CB$87,Formula!D28,60)),IF(INDEX(Properties!A$1:CB$87,Formula!F28,60)=0,10^6,INDEX(Properties!A$1:CB$87,Formula!F28,60)),IF(INDEX(Properties!A$1:CB$87,Formula!H28,60)=0,10^6,INDEX(Properties!A$1:CB$87,Formula!H28,60)),IF(INDEX(Properties!A$1:CB$87,Formula!J28,60)=0,10^6,INDEX(Properties!A$1:CB$87,Formula!J28,60)))</f>
        <v>2.674E-2</v>
      </c>
      <c r="GE28" s="72">
        <f t="shared" si="30"/>
        <v>155.97326000000001</v>
      </c>
      <c r="GF28" s="51">
        <f>((Formula!C28)/(Formula!C28+Formula!E28+Formula!G28+Formula!I28+Formula!K28))*(INDEX(Properties!A$1:CB$87,Formula!B28,62))+((Formula!E28)/(Formula!C28+Formula!E28+Formula!G28+Formula!I28+Formula!K28))*(INDEX(Properties!A$1:CB$87,Formula!D28,62))+((Formula!G28)/(Formula!C28+Formula!E28+Formula!G28+Formula!I28+Formula!K28))*(INDEX(Properties!A$1:CB$87,Formula!F28,62))+((Formula!I28)/(Formula!C28+Formula!E28+Formula!G28+Formula!I28+Formula!K28))*(INDEX(Properties!A$1:CB$87,Formula!H28,62))+((Formula!K28)/(Formula!C28+Formula!E28+Formula!G28+Formula!I28+Formula!K28))*(INDEX(Properties!A$1:CB$87,Formula!J28,62))</f>
        <v>1.8503750000000001</v>
      </c>
      <c r="GG28" s="51">
        <f>Formula!C28*(INDEX(Properties!A$1:CB$87,Formula!B28,62))+Formula!E28*(INDEX(Properties!A$1:CB$87,Formula!D28,62))+Formula!G28*(INDEX(Properties!A$1:CB$87,Formula!F28,62))+Formula!I28*(INDEX(Properties!A$1:CB$87,Formula!H28,62))+Formula!K28*(INDEX(Properties!A$1:CB$87,Formula!J28,62))</f>
        <v>14.803000000000001</v>
      </c>
      <c r="GH28" s="51">
        <f>VARP(IF(INDEX(Properties!A$1:CB$87,Formula!B28,62)&lt;&gt;"",INDEX(Properties!A$1:CB$87,Formula!B28,62)),IF(INDEX(Properties!A$1:CB$87,Formula!D28,62)&lt;&gt;"",INDEX(Properties!A$1:CB$87,Formula!D28,62)),IF(INDEX(Properties!A$1:CB$87,Formula!F28,62)&lt;&gt;"",INDEX(Properties!A$1:CB$87,Formula!F28,62)),IF(INDEX(Properties!A$1:CB$87,Formula!H28,62)&lt;&gt;"",INDEX(Properties!A$1:CB$87,Formula!H28,62)),IF(INDEX(Properties!A$1:CB$87,Formula!J28,62)&lt;&gt;"",INDEX(Properties!A$1:CB$87,Formula!J28,62)))</f>
        <v>2.4649886399999987</v>
      </c>
      <c r="GI28" s="51">
        <f>MAX(INDEX(Properties!A$1:CB$87,Formula!B28,62),INDEX(Properties!A$1:CB$87,Formula!D28,62),INDEX(Properties!A$1:CB$87,Formula!F28,62),INDEX(Properties!A$1:CB$87,Formula!H28,62),INDEX(Properties!A$1:CB$87,Formula!J28,62))</f>
        <v>4.63</v>
      </c>
      <c r="GJ28" s="51">
        <f>MIN(IF(INDEX(Properties!A$1:CB$87,Formula!B28,62)=0,10^6,INDEX(Properties!A$1:CB$87,Formula!B28,62)),IF(INDEX(Properties!A$1:CB$87,Formula!D28,62)=0,10^6,INDEX(Properties!A$1:CB$87,Formula!D28,62)),IF(INDEX(Properties!A$1:CB$87,Formula!F28,62)=0,10^6,INDEX(Properties!A$1:CB$87,Formula!F28,62)),IF(INDEX(Properties!A$1:CB$87,Formula!H28,62)=0,10^6,INDEX(Properties!A$1:CB$87,Formula!H28,62)),IF(INDEX(Properties!A$1:CB$87,Formula!J28,62)=0,10^6,INDEX(Properties!A$1:CB$87,Formula!J28,62)))</f>
        <v>1.113</v>
      </c>
      <c r="GK28" s="51">
        <f t="shared" si="31"/>
        <v>3.5169999999999999</v>
      </c>
      <c r="GL28" s="51">
        <f>Formula!P28</f>
        <v>123</v>
      </c>
      <c r="GM28" s="57">
        <f>Formula!O28</f>
        <v>4</v>
      </c>
      <c r="GN28" s="51">
        <f>Formula!N28</f>
        <v>0.1</v>
      </c>
    </row>
    <row r="29" spans="1:196" x14ac:dyDescent="0.3">
      <c r="A29" s="84" t="str">
        <f>Formula!A29</f>
        <v>Lu3Al5O12</v>
      </c>
      <c r="B29" s="89">
        <f>((Formula!C29)/(Formula!C29+Formula!E29+Formula!G29+Formula!I29+Formula!K29))*(INDEX(Properties!A$1:CB$87,Formula!B29,3))+((Formula!E29)/(Formula!C29+Formula!E29+Formula!G29+Formula!I29+Formula!K29))*(INDEX(Properties!A$1:CB$87,Formula!D29,3))+((Formula!G29)/(Formula!C29+Formula!E29+Formula!G29+Formula!I29+Formula!K29))*(INDEX(Properties!A$1:CB$87,Formula!F29,3))+((Formula!I29)/(Formula!C29+Formula!E29+Formula!G29+Formula!I29+Formula!K29))*(INDEX(Properties!A$1:CB$87,Formula!H29,3))+((Formula!K29)/(Formula!C29+Formula!E29+Formula!G29+Formula!I29+Formula!K29))*(INDEX(Properties!A$1:CB$87,Formula!J29,3))</f>
        <v>42.590074750000007</v>
      </c>
      <c r="C29" s="85">
        <f>Formula!C29*(INDEX(Properties!A$1:CB$87,Formula!B29,3))+Formula!E29*(INDEX(Properties!A$1:CB$87,Formula!D29,3))+Formula!G29*(INDEX(Properties!A$1:CB$87,Formula!F29,3))+Formula!I29*(INDEX(Properties!A$1:CB$87,Formula!H29,3))+Formula!K29*(INDEX(Properties!A$1:CB$87,Formula!J29,3))</f>
        <v>851.80149500000005</v>
      </c>
      <c r="D29" s="85">
        <f>VARP(IF(INDEX(Properties!A$1:CB$87,Formula!B29,3)&lt;&gt;"",INDEX(Properties!A$1:CB$87,Formula!B29,3)),IF(INDEX(Properties!A$1:CB$87,Formula!D29,3)&lt;&gt;"",INDEX(Properties!A$1:CB$87,Formula!D29,3)),IF(INDEX(Properties!A$1:CB$87,Formula!F29,3)&lt;&gt;"",INDEX(Properties!A$1:CB$87,Formula!F29,3)),IF(INDEX(Properties!A$1:CB$87,Formula!H29,3)&lt;&gt;"",INDEX(Properties!A$1:CB$87,Formula!H29,3)),IF(INDEX(Properties!A$1:CB$87,Formula!J29,3)&lt;&gt;"",INDEX(Properties!A$1:CB$87,Formula!J29,3)))</f>
        <v>4419.4349026597965</v>
      </c>
      <c r="E29" s="85">
        <f>MAX(INDEX(Properties!A$1:CB$87,Formula!B29,3),INDEX(Properties!A$1:CB$87,Formula!D29,3),INDEX(Properties!A$1:CB$87,Formula!F29,3),INDEX(Properties!A$1:CB$87,Formula!H29,3),INDEX(Properties!A$1:CB$87,Formula!J29,3))</f>
        <v>174.96700000000001</v>
      </c>
      <c r="F29" s="85">
        <f>MIN(IF(INDEX(Properties!A$1:CB$87,Formula!B29,3)=0,10^6,INDEX(Properties!A$1:CB$87,Formula!B29,3)),IF(INDEX(Properties!A$1:CB$87,Formula!D29,3)=0,10^6,INDEX(Properties!A$1:CB$87,Formula!D29,3)),IF(INDEX(Properties!A$1:CB$87,Formula!F29,3)=0,10^6,INDEX(Properties!A$1:CB$87,Formula!F29,3)),IF(INDEX(Properties!A$1:CB$87,Formula!H29,3)=0,10^6,INDEX(Properties!A$1:CB$87,Formula!H29,3)),IF(INDEX(Properties!A$1:CB$87,Formula!J29,3)=0,10^6,INDEX(Properties!A$1:CB$87,Formula!J29,3)))</f>
        <v>15.9994</v>
      </c>
      <c r="G29" s="85">
        <f t="shared" si="0"/>
        <v>158.9676</v>
      </c>
      <c r="H29" s="87">
        <f>((Formula!C29)/(Formula!C29+Formula!E29+Formula!G29+Formula!I29+Formula!K29))*(INDEX(Properties!A$1:CB$87,Formula!B29,4))+((Formula!E29)/(Formula!C29+Formula!E29+Formula!G29+Formula!I29+Formula!K29))*(INDEX(Properties!A$1:CB$87,Formula!D29,4))+((Formula!G29)/(Formula!C29+Formula!E29+Formula!G29+Formula!I29+Formula!K29))*(INDEX(Properties!A$1:CB$87,Formula!F29,4))+((Formula!I29)/(Formula!C29+Formula!E29+Formula!G29+Formula!I29+Formula!K29))*(INDEX(Properties!A$1:CB$87,Formula!H29,4))+((Formula!K29)/(Formula!C29+Formula!E29+Formula!G29+Formula!I29+Formula!K29))*(INDEX(Properties!A$1:CB$87,Formula!J29,4))</f>
        <v>18.7</v>
      </c>
      <c r="I29" s="87">
        <f>Formula!C29*(INDEX(Properties!A$1:CB$87,Formula!B29,4))+Formula!E29*(INDEX(Properties!A$1:CB$87,Formula!D29,4))+Formula!G29*(INDEX(Properties!A$1:CB$87,Formula!F29,4))+Formula!I29*(INDEX(Properties!A$1:CB$87,Formula!H29,4))+Formula!K29*(INDEX(Properties!A$1:CB$87,Formula!J29,4))</f>
        <v>374</v>
      </c>
      <c r="J29" s="87">
        <f>VARP(IF(INDEX(Properties!A$1:CB$87,Formula!B29,4)&lt;&gt;"",INDEX(Properties!A$1:CB$87,Formula!B29,4)),IF(INDEX(Properties!A$1:CB$87,Formula!D29,4)&lt;&gt;"",INDEX(Properties!A$1:CB$87,Formula!D29,4)),IF(INDEX(Properties!A$1:CB$87,Formula!F29,4)&lt;&gt;"",INDEX(Properties!A$1:CB$87,Formula!F29,4)),IF(INDEX(Properties!A$1:CB$87,Formula!H29,4)&lt;&gt;"",INDEX(Properties!A$1:CB$87,Formula!H29,4)),IF(INDEX(Properties!A$1:CB$87,Formula!J29,4)&lt;&gt;"",INDEX(Properties!A$1:CB$87,Formula!J29,4)))</f>
        <v>716.24</v>
      </c>
      <c r="K29" s="87">
        <f>MAX(INDEX(Properties!A$1:CB$87,Formula!B29,4),INDEX(Properties!A$1:CB$87,Formula!D29,4),INDEX(Properties!A$1:CB$87,Formula!F29,4),INDEX(Properties!A$1:CB$87,Formula!H29,4),INDEX(Properties!A$1:CB$87,Formula!J29,4))</f>
        <v>71</v>
      </c>
      <c r="L29" s="87">
        <f>MIN(IF(INDEX(Properties!A$1:CB$87,Formula!B29,4)=0,10^6,INDEX(Properties!A$1:CB$87,Formula!B29,4)),IF(INDEX(Properties!A$1:CB$87,Formula!D29,4)=0,10^6,INDEX(Properties!A$1:CB$87,Formula!D29,4)),IF(INDEX(Properties!A$1:CB$87,Formula!F29,4)=0,10^6,INDEX(Properties!A$1:CB$87,Formula!F29,4)),IF(INDEX(Properties!A$1:CB$87,Formula!H29,4)=0,10^6,INDEX(Properties!A$1:CB$87,Formula!H29,4)),IF(INDEX(Properties!A$1:CB$87,Formula!J29,4)=0,10^6,INDEX(Properties!A$1:CB$87,Formula!J29,4)))</f>
        <v>8</v>
      </c>
      <c r="M29" s="87">
        <f t="shared" si="1"/>
        <v>63</v>
      </c>
      <c r="N29" s="89">
        <f>((Formula!C29)/(Formula!C29+Formula!E29+Formula!G29+Formula!I29+Formula!K29))*(INDEX(Properties!A$1:CB$87,Formula!B29,5))+((Formula!E29)/(Formula!C29+Formula!E29+Formula!G29+Formula!I29+Formula!K29))*(INDEX(Properties!A$1:CB$87,Formula!D29,5))+((Formula!G29)/(Formula!C29+Formula!E29+Formula!G29+Formula!I29+Formula!K29))*(INDEX(Properties!A$1:CB$87,Formula!F29,5))+((Formula!I29)/(Formula!C29+Formula!E29+Formula!G29+Formula!I29+Formula!K29))*(INDEX(Properties!A$1:CB$87,Formula!H29,5))+((Formula!K29)/(Formula!C29+Formula!E29+Formula!G29+Formula!I29+Formula!K29))*(INDEX(Properties!A$1:CB$87,Formula!J29,5))</f>
        <v>2.8499999999999996</v>
      </c>
      <c r="O29" s="89">
        <f>Formula!C29*(INDEX(Properties!A$1:CB$87,Formula!B29,5))+Formula!E29*(INDEX(Properties!A$1:CB$87,Formula!D29,5))+Formula!G29*(INDEX(Properties!A$1:CB$87,Formula!F29,5))+Formula!I29*(INDEX(Properties!A$1:CB$87,Formula!H29,5))+Formula!K29*(INDEX(Properties!A$1:CB$87,Formula!J29,5))</f>
        <v>57</v>
      </c>
      <c r="P29" s="89">
        <f>VARP(IF(INDEX(Properties!A$1:CB$87,Formula!B29,5)&lt;&gt;"",INDEX(Properties!A$1:CB$87,Formula!B29,5)),IF(INDEX(Properties!A$1:CB$87,Formula!D29,5)&lt;&gt;"",INDEX(Properties!A$1:CB$87,Formula!D29,5)),IF(INDEX(Properties!A$1:CB$87,Formula!F29,5)&lt;&gt;"",INDEX(Properties!A$1:CB$87,Formula!F29,5)),IF(INDEX(Properties!A$1:CB$87,Formula!H29,5)&lt;&gt;"",INDEX(Properties!A$1:CB$87,Formula!H29,5)),IF(INDEX(Properties!A$1:CB$87,Formula!J29,5)&lt;&gt;"",INDEX(Properties!A$1:CB$87,Formula!J29,5)))</f>
        <v>4.96</v>
      </c>
      <c r="Q29" s="89">
        <f>MAX(INDEX(Properties!A$1:CB$87,Formula!B29,5),INDEX(Properties!A$1:CB$87,Formula!D29,5),INDEX(Properties!A$1:CB$87,Formula!F29,5),INDEX(Properties!A$1:CB$87,Formula!H29,5),INDEX(Properties!A$1:CB$87,Formula!J29,5))</f>
        <v>6</v>
      </c>
      <c r="R29" s="89">
        <f>MIN(IF(INDEX(Properties!A$1:CB$87,Formula!B29,5)=0,10^6,INDEX(Properties!A$1:CB$87,Formula!B29,5)),IF(INDEX(Properties!A$1:CB$87,Formula!D29,5)=0,10^6,INDEX(Properties!A$1:CB$87,Formula!D29,5)),IF(INDEX(Properties!A$1:CB$87,Formula!F29,5)=0,10^6,INDEX(Properties!A$1:CB$87,Formula!F29,5)),IF(INDEX(Properties!A$1:CB$87,Formula!H29,5)=0,10^6,INDEX(Properties!A$1:CB$87,Formula!H29,5)),IF(INDEX(Properties!A$1:CB$87,Formula!J29,5)=0,10^6,INDEX(Properties!A$1:CB$87,Formula!J29,5)))</f>
        <v>2</v>
      </c>
      <c r="S29" s="89">
        <f t="shared" si="2"/>
        <v>4</v>
      </c>
      <c r="T29" s="60">
        <f>((Formula!C29)/(Formula!C29+Formula!E29+Formula!G29+Formula!I29+Formula!K29))*(INDEX(Properties!A$1:CB$87,Formula!B29,6))+((Formula!E29)/(Formula!C29+Formula!E29+Formula!G29+Formula!I29+Formula!K29))*(INDEX(Properties!A$1:CB$87,Formula!D29,6))+((Formula!G29)/(Formula!C29+Formula!E29+Formula!G29+Formula!I29+Formula!K29))*(INDEX(Properties!A$1:CB$87,Formula!F29,6))+((Formula!I29)/(Formula!C29+Formula!E29+Formula!G29+Formula!I29+Formula!K29))*(INDEX(Properties!A$1:CB$87,Formula!H29,6))+((Formula!K29)/(Formula!C29+Formula!E29+Formula!G29+Formula!I29+Formula!K29))*(INDEX(Properties!A$1:CB$87,Formula!J29,6))</f>
        <v>13.3</v>
      </c>
      <c r="U29" s="60">
        <f>Formula!C29*(INDEX(Properties!A$1:CB$87,Formula!B29,6))+Formula!E29*(INDEX(Properties!A$1:CB$87,Formula!D29,6))+Formula!G29*(INDEX(Properties!A$1:CB$87,Formula!F29,6))+Formula!I29*(INDEX(Properties!A$1:CB$87,Formula!H29,6))+Formula!K29*(INDEX(Properties!A$1:CB$87,Formula!J29,6))</f>
        <v>266</v>
      </c>
      <c r="V29" s="89">
        <f>VARP(IF(INDEX(Properties!A$1:CB$87,Formula!B29,6)&lt;&gt;"",INDEX(Properties!A$1:CB$87,Formula!B29,6)),IF(INDEX(Properties!A$1:CB$87,Formula!D29,6)&lt;&gt;"",INDEX(Properties!A$1:CB$87,Formula!D29,6)),IF(INDEX(Properties!A$1:CB$87,Formula!F29,6)&lt;&gt;"",INDEX(Properties!A$1:CB$87,Formula!F29,6)),IF(INDEX(Properties!A$1:CB$87,Formula!H29,6)&lt;&gt;"",INDEX(Properties!A$1:CB$87,Formula!H29,6)),IF(INDEX(Properties!A$1:CB$87,Formula!J29,6)&lt;&gt;"",INDEX(Properties!A$1:CB$87,Formula!J29,6)))</f>
        <v>45.84</v>
      </c>
      <c r="W29" s="60">
        <f>MAX(INDEX(Properties!A$1:CB$87,Formula!B29,6),INDEX(Properties!A$1:CB$87,Formula!D29,6),INDEX(Properties!A$1:CB$87,Formula!F29,6),INDEX(Properties!A$1:CB$87,Formula!H29,4),INDEX(Properties!A$1:CB$87,Formula!J29,6))</f>
        <v>16</v>
      </c>
      <c r="X29" s="60">
        <f>MIN(IF(INDEX(Properties!A$1:CB$87,Formula!B29,6)=0,10^6,INDEX(Properties!A$1:CB$87,Formula!B29,6)),IF(INDEX(Properties!A$1:CB$87,Formula!D29,6)=0,10^6,INDEX(Properties!A$1:CB$87,Formula!D29,6)),IF(INDEX(Properties!A$1:CB$87,Formula!F29,6)=0,10^6,INDEX(Properties!A$1:CB$87,Formula!F29,6)),IF(INDEX(Properties!A$1:CB$87,Formula!H29,6)=0,10^6,INDEX(Properties!A$1:CB$87,Formula!H29,6)),IF(INDEX(Properties!A$1:CB$87,Formula!J29,6)=0,10^6,INDEX(Properties!A$1:CB$87,Formula!J29,6)))</f>
        <v>3</v>
      </c>
      <c r="Y29" s="60">
        <f t="shared" si="3"/>
        <v>13</v>
      </c>
      <c r="Z29" s="72">
        <f>((Formula!C29)/(Formula!C29+Formula!E29+Formula!G29+Formula!I29+Formula!K29))*(INDEX(Properties!A$1:CB$87,Formula!B29,9))+((Formula!E29)/(Formula!C29+Formula!E29+Formula!G29+Formula!I29+Formula!K29))*(INDEX(Properties!A$1:CB$87,Formula!D29,9))+((Formula!G29)/(Formula!C29+Formula!E29+Formula!G29+Formula!I29+Formula!K29))*(INDEX(Properties!A$1:CB$87,Formula!F29,9))+((Formula!I29)/(Formula!C29+Formula!E29+Formula!G29+Formula!I29+Formula!K29))*(INDEX(Properties!A$1:CB$87,Formula!H29,9))+((Formula!K29)/(Formula!C29+Formula!E29+Formula!G29+Formula!I29+Formula!K29))*(INDEX(Properties!A$1:CB$87,Formula!J29,9))</f>
        <v>76.599999999999994</v>
      </c>
      <c r="AA29" s="72">
        <f>Formula!C29*(INDEX(Properties!A$1:CB$87,Formula!B29,9))+Formula!E29*(INDEX(Properties!A$1:CB$87,Formula!D29,9))+Formula!G29*(INDEX(Properties!A$1:CB$87,Formula!F29,9))+Formula!I29*(INDEX(Properties!A$1:CB$87,Formula!H29,9))+Formula!K29*(INDEX(Properties!A$1:CB$87,Formula!J29,9))</f>
        <v>1532</v>
      </c>
      <c r="AB29" s="72">
        <f>VARP(IF(INDEX(Properties!A$1:CB$87,Formula!B29,9)&lt;&gt;"",INDEX(Properties!A$1:CB$87,Formula!B29,9)),IF(INDEX(Properties!A$1:CB$87,Formula!D29,9)&lt;&gt;"",INDEX(Properties!A$1:CB$87,Formula!D29,9)),IF(INDEX(Properties!A$1:CB$87,Formula!F29,9)&lt;&gt;"",INDEX(Properties!A$1:CB$87,Formula!F29,9)),IF(INDEX(Properties!A$1:CB$87,Formula!H29,9)&lt;&gt;"",INDEX(Properties!A$1:CB$87,Formula!H29,9)),IF(INDEX(Properties!A$1:CB$87,Formula!J29,9)&lt;&gt;"",INDEX(Properties!A$1:CB$87,Formula!J29,9)))</f>
        <v>1299.76</v>
      </c>
      <c r="AC29" s="72">
        <f>MAX(INDEX(Properties!A$1:CB$87,Formula!B29,9),INDEX(Properties!A$1:CB$87,Formula!D29,9),INDEX(Properties!A$1:CB$87,Formula!F29,9),INDEX(Properties!A$1:CB$87,Formula!H29,9),INDEX(Properties!A$1:CB$87,Formula!J29,9))</f>
        <v>87</v>
      </c>
      <c r="AD29" s="72">
        <f>MIN(IF(INDEX(Properties!A$1:CB$87,Formula!B29,9)=0,10^6,INDEX(Properties!A$1:CB$87,Formula!B29,9)),IF(INDEX(Properties!A$1:CB$87,Formula!D29,9)=0,10^6,INDEX(Properties!A$1:CB$87,Formula!D29,9)),IF(INDEX(Properties!A$1:CB$87,Formula!F29,9)=0,10^6,INDEX(Properties!A$1:CB$87,Formula!F29,9)),IF(INDEX(Properties!A$1:CB$87,Formula!H29,9)=0,10^6,INDEX(Properties!A$1:CB$87,Formula!H29,9)),IF(INDEX(Properties!A$1:CB$87,Formula!J29,9)=0,10^6,INDEX(Properties!A$1:CB$87,Formula!J29,9)))</f>
        <v>41</v>
      </c>
      <c r="AE29" s="72">
        <f t="shared" si="4"/>
        <v>46</v>
      </c>
      <c r="AF29" s="51">
        <f>((Formula!C29)/(Formula!C29+Formula!E29+Formula!G29+Formula!I29+Formula!K29))*(INDEX(Properties!A$1:CB$87,Formula!B29,10))+((Formula!E29)/(Formula!C29+Formula!E29+Formula!G29+Formula!I29+Formula!K29))*(INDEX(Properties!A$1:CB$87,Formula!D29,10))+((Formula!G29)/(Formula!C29+Formula!E29+Formula!G29+Formula!I29+Formula!K29))*(INDEX(Properties!A$1:CB$87,Formula!F29,10))+((Formula!I29)/(Formula!C29+Formula!E29+Formula!G29+Formula!I29+Formula!K29))*(INDEX(Properties!A$1:CB$87,Formula!H29,10))+((Formula!K29)/(Formula!C29+Formula!E29+Formula!G29+Formula!I29+Formula!K29))*(INDEX(Properties!A$1:CB$87,Formula!J29,10))</f>
        <v>5.9</v>
      </c>
      <c r="AG29" s="51">
        <f>Formula!C29*(INDEX(Properties!A$1:CB$87,Formula!B29,10))+Formula!E29*(INDEX(Properties!A$1:CB$87,Formula!D29,10))+Formula!G29*(INDEX(Properties!A$1:CB$87,Formula!F29,10))+Formula!I29*(INDEX(Properties!A$1:CB$87,Formula!H29,10))+Formula!K29*(INDEX(Properties!A$1:CB$87,Formula!J29,10))</f>
        <v>118</v>
      </c>
      <c r="AH29" s="51">
        <f>VARP(IF(INDEX(Properties!A$1:CB$87,Formula!B29,10)&lt;&gt;"",INDEX(Properties!A$1:CB$87,Formula!B29,10)),IF(INDEX(Properties!A$1:CB$87,Formula!D29,10)&lt;&gt;"",INDEX(Properties!A$1:CB$87,Formula!D29,10)),IF(INDEX(Properties!A$1:CB$87,Formula!F29,10)&lt;&gt;"",INDEX(Properties!A$1:CB$87,Formula!F29,10)),IF(INDEX(Properties!A$1:CB$87,Formula!H29,10)&lt;&gt;"",INDEX(Properties!A$1:CB$87,Formula!H29,10)),IF(INDEX(Properties!A$1:CB$87,Formula!J29,10)&lt;&gt;"",INDEX(Properties!A$1:CB$87,Formula!J29,10)))</f>
        <v>7.6</v>
      </c>
      <c r="AI29" s="51">
        <f>MAX(INDEX(Properties!A$1:CB$87,Formula!B29,10),INDEX(Properties!A$1:CB$87,Formula!D29,10),INDEX(Properties!A$1:CB$87,Formula!F29,10),INDEX(Properties!A$1:CB$87,Formula!H29,10),INDEX(Properties!A$1:CB$87,Formula!J29,10))</f>
        <v>7</v>
      </c>
      <c r="AJ29" s="51">
        <f>MIN(IF(INDEX(Properties!A$1:CB$87,Formula!B29,10)=0,10^6,INDEX(Properties!A$1:CB$87,Formula!B29,10)),IF(INDEX(Properties!A$1:CB$87,Formula!D29,10)=0,10^6,INDEX(Properties!A$1:CB$87,Formula!D29,10)),IF(INDEX(Properties!A$1:CB$87,Formula!F29,10)=0,10^6,INDEX(Properties!A$1:CB$87,Formula!F29,10)),IF(INDEX(Properties!A$1:CB$87,Formula!H29,10)=0,10^6,INDEX(Properties!A$1:CB$87,Formula!H29,10)),IF(INDEX(Properties!A$1:CB$87,Formula!J29,10)=0,10^6,INDEX(Properties!A$1:CB$87,Formula!J29,10)))</f>
        <v>3</v>
      </c>
      <c r="AK29" s="51">
        <f t="shared" si="5"/>
        <v>4</v>
      </c>
      <c r="AL29" s="57">
        <f>((Formula!C29)/(Formula!C29+Formula!E29+Formula!G29+Formula!I29+Formula!K29))*(INDEX(Properties!A$1:CB$87,Formula!B29,11))+((Formula!E29)/(Formula!C29+Formula!E29+Formula!G29+Formula!I29+Formula!K29))*(INDEX(Properties!A$1:CB$87,Formula!D29,11))+((Formula!G29)/(Formula!C29+Formula!E29+Formula!G29+Formula!I29+Formula!K29))*(INDEX(Properties!A$1:CB$87,Formula!F29,11))+((Formula!I29)/(Formula!C29+Formula!E29+Formula!G29+Formula!I29+Formula!K29))*(INDEX(Properties!A$1:CB$87,Formula!H29,11))+((Formula!K29)/(Formula!C29+Formula!E29+Formula!G29+Formula!I29+Formula!K29))*(INDEX(Properties!A$1:CB$87,Formula!J29,11))</f>
        <v>2</v>
      </c>
      <c r="AM29" s="57">
        <f>Formula!C29*(INDEX(Properties!A$1:CB$87,Formula!B29,11))+Formula!E29*(INDEX(Properties!A$1:CB$87,Formula!D29,11))+Formula!G29*(INDEX(Properties!A$1:CB$87,Formula!F29,11))+Formula!I29*(INDEX(Properties!A$1:CB$87,Formula!H29,11))+Formula!K29*(INDEX(Properties!A$1:CB$87,Formula!J29,11))</f>
        <v>40</v>
      </c>
      <c r="AN29" s="57">
        <f>VARP(IF(INDEX(Properties!A$1:CB$87,Formula!B29,11)&lt;&gt;"",INDEX(Properties!A$1:CB$87,Formula!B29,11)),IF(INDEX(Properties!A$1:CB$87,Formula!D29,11)&lt;&gt;"",INDEX(Properties!A$1:CB$87,Formula!D29,11)),IF(INDEX(Properties!A$1:CB$87,Formula!F29,11)&lt;&gt;"",INDEX(Properties!A$1:CB$87,Formula!F29,11)),IF(INDEX(Properties!A$1:CB$87,Formula!H29,11)&lt;&gt;"",INDEX(Properties!A$1:CB$87,Formula!H29,11)),IF(INDEX(Properties!A$1:CB$87,Formula!J29,11)&lt;&gt;"",INDEX(Properties!A$1:CB$87,Formula!J29,11)))</f>
        <v>0.96</v>
      </c>
      <c r="AO29" s="57">
        <f>MAX(INDEX(Properties!A$1:CB$87,Formula!B29,11),INDEX(Properties!A$1:CB$87,Formula!D29,11),INDEX(Properties!A$1:CB$87,Formula!F29,11),INDEX(Properties!A$1:CB$87,Formula!H29,11),INDEX(Properties!A$1:CB$87,Formula!J29,11))</f>
        <v>2</v>
      </c>
      <c r="AP29" s="57">
        <f>MIN(IF(Formula!B29=87,10^6,INDEX(Properties!A$1:CB$87,Formula!B29,11)),IF((Formula!D29)=87,10^6,INDEX(Properties!A$1:CB$87,Formula!D29,11)),IF((Formula!F29)=87,10^6,INDEX(Properties!A$1:CB$87,Formula!F29,11)),IF((Formula!H29)=87,10^6,INDEX(Properties!A$1:CB$87,Formula!H29,11)),IF(Formula!J29=87,10^6,INDEX(Properties!A$1:CB$87,Formula!J29,11)))</f>
        <v>2</v>
      </c>
      <c r="AQ29" s="57">
        <f t="shared" si="6"/>
        <v>0</v>
      </c>
      <c r="AR29" s="78">
        <f>((Formula!C29)/(Formula!C29+Formula!E29+Formula!G29+Formula!I29+Formula!K29))*(INDEX(Properties!A$1:CB$87,Formula!B29,12))+((Formula!E29)/(Formula!C29+Formula!E29+Formula!G29+Formula!I29+Formula!K29))*(INDEX(Properties!A$1:CB$87,Formula!D29,12))+((Formula!G29)/(Formula!C29+Formula!E29+Formula!G29+Formula!I29+Formula!K29))*(INDEX(Properties!A$1:CB$87,Formula!F29,12))+((Formula!I29)/(Formula!C29+Formula!E29+Formula!G29+Formula!I29+Formula!K29))*(INDEX(Properties!A$1:CB$87,Formula!H29,12))+((Formula!K29)/(Formula!C29+Formula!E29+Formula!G29+Formula!I29+Formula!K29))*(INDEX(Properties!A$1:CB$87,Formula!J29,12))</f>
        <v>2.65</v>
      </c>
      <c r="AS29" s="78">
        <f>Formula!C29*(INDEX(Properties!A$1:CB$87,Formula!B29,12))+Formula!E29*(INDEX(Properties!A$1:CB$87,Formula!D29,12))+Formula!G29*(INDEX(Properties!A$1:CB$87,Formula!F29,12))+Formula!I29*(INDEX(Properties!A$1:CB$87,Formula!H29,12))+Formula!K29*(INDEX(Properties!A$1:CB$87,Formula!J29,12))</f>
        <v>53</v>
      </c>
      <c r="AT29" s="78">
        <f>VARP(IF(INDEX(Properties!A$1:CB$87,Formula!B29,12)&lt;&gt;"",INDEX(Properties!A$1:CB$87,Formula!B29,12)),IF(INDEX(Properties!A$1:CB$87,Formula!D29,12)&lt;&gt;"",INDEX(Properties!A$1:CB$87,Formula!D29,12)),IF(INDEX(Properties!A$1:CB$87,Formula!F29,12)&lt;&gt;"",INDEX(Properties!A$1:CB$87,Formula!F29,12)),IF(INDEX(Properties!A$1:CB$87,Formula!H29,12)&lt;&gt;"",INDEX(Properties!A$1:CB$87,Formula!H29,12)),IF(INDEX(Properties!A$1:CB$87,Formula!J29,12)&lt;&gt;"",INDEX(Properties!A$1:CB$87,Formula!J29,12)))</f>
        <v>2.4</v>
      </c>
      <c r="AU29" s="78">
        <f>MAX(INDEX(Properties!A$1:CB$87,Formula!B29,12),INDEX(Properties!A$1:CB$87,Formula!D29,12),INDEX(Properties!A$1:CB$87,Formula!F29,12),INDEX(Properties!A$1:CB$87,Formula!H29,12),INDEX(Properties!A$1:CB$87,Formula!J29,12))</f>
        <v>4</v>
      </c>
      <c r="AV29" s="78">
        <f>MIN(IF(Formula!B29=87,10^6,INDEX(Properties!A$1:CB$87,Formula!B29,12)),IF((Formula!D29)=87,10^6,INDEX(Properties!A$1:CB$87,Formula!D29,12)),IF((Formula!F29)=87,10^6,INDEX(Properties!A$1:CB$87,Formula!F29,12)),IF((Formula!H29)=87,10^6,INDEX(Properties!A$1:CB$87,Formula!H29,12)),IF(Formula!J29=87,10^6,INDEX(Properties!A$1:CB$87,Formula!J29,12)))</f>
        <v>0</v>
      </c>
      <c r="AW29" s="78">
        <f t="shared" si="7"/>
        <v>4</v>
      </c>
      <c r="AX29" s="45">
        <f>((Formula!C29)/(Formula!C29+Formula!E29+Formula!G29+Formula!I29+Formula!K29))*(INDEX(Properties!A$1:CB$87,Formula!B29,13))+((Formula!E29)/(Formula!C29+Formula!E29+Formula!G29+Formula!I29+Formula!K29))*(INDEX(Properties!A$1:CB$87,Formula!D29,13))+((Formula!G29)/(Formula!C29+Formula!E29+Formula!G29+Formula!I29+Formula!K29))*(INDEX(Properties!A$1:CB$87,Formula!F29,13))+((Formula!I29)/(Formula!C29+Formula!E29+Formula!G29+Formula!I29+Formula!K29))*(INDEX(Properties!A$1:CB$87,Formula!H29,13))+((Formula!K29)/(Formula!C29+Formula!E29+Formula!G29+Formula!I29+Formula!K29))*(INDEX(Properties!A$1:CB$87,Formula!J29,13))</f>
        <v>0.15</v>
      </c>
      <c r="AY29" s="45">
        <f>Formula!C29*(INDEX(Properties!A$1:CB$87,Formula!B29,13))+Formula!E29*(INDEX(Properties!A$1:CB$87,Formula!D29,13))+Formula!G29*(INDEX(Properties!A$1:CB$87,Formula!F29,13))+Formula!I29*(INDEX(Properties!A$1:CB$87,Formula!H29,13))+Formula!K29*(INDEX(Properties!A$1:CB$87,Formula!J29,13))</f>
        <v>3</v>
      </c>
      <c r="AZ29" s="45">
        <f>VARP(IF(INDEX(Properties!A$1:CB$87,Formula!B29,13)&lt;&gt;"",INDEX(Properties!A$1:CB$87,Formula!B29,13)),IF(INDEX(Properties!A$1:CB$87,Formula!D29,13)&lt;&gt;"",INDEX(Properties!A$1:CB$87,Formula!D29,13)),IF(INDEX(Properties!A$1:CB$87,Formula!F29,13)&lt;&gt;"",INDEX(Properties!A$1:CB$87,Formula!F29,13)),IF(INDEX(Properties!A$1:CB$87,Formula!H29,13)&lt;&gt;"",INDEX(Properties!A$1:CB$87,Formula!H29,13)),IF(INDEX(Properties!A$1:CB$87,Formula!J29,13)&lt;&gt;"",INDEX(Properties!A$1:CB$87,Formula!J29,13)))</f>
        <v>0.16</v>
      </c>
      <c r="BA29" s="45">
        <f>MAX(INDEX(Properties!A$1:CB$87,Formula!B29,13),INDEX(Properties!A$1:CB$87,Formula!D29,13),INDEX(Properties!A$1:CB$87,Formula!F29,13),INDEX(Properties!A$1:CB$87,Formula!H29,13),INDEX(Properties!A$1:CB$87,Formula!J29,13))</f>
        <v>1</v>
      </c>
      <c r="BB29" s="45">
        <f>MIN(IF(Formula!B29=87,10^6,INDEX(Properties!A$1:CB$87,Formula!B29,13)),IF((Formula!D29)=87,10^6,INDEX(Properties!A$1:CB$87,Formula!D29,13)),IF((Formula!F29)=87,10^6,INDEX(Properties!A$1:CB$87,Formula!F29,13)),IF((Formula!H29)=87,10^6,INDEX(Properties!A$1:CB$87,Formula!H29,13)),IF(Formula!J29=87,10^6,INDEX(Properties!A$1:CB$87,Formula!J29,13)))</f>
        <v>0</v>
      </c>
      <c r="BC29" s="45">
        <f t="shared" si="8"/>
        <v>1</v>
      </c>
      <c r="BD29" s="63">
        <f>((Formula!C29)/(Formula!C29+Formula!E29+Formula!G29+Formula!I29+Formula!K29))*(INDEX(Properties!A$1:CB$87,Formula!B29,14))+((Formula!E29)/(Formula!C29+Formula!E29+Formula!G29+Formula!I29+Formula!K29))*(INDEX(Properties!A$1:CB$87,Formula!D29,14))+((Formula!G29)/(Formula!C29+Formula!E29+Formula!G29+Formula!I29+Formula!K29))*(INDEX(Properties!A$1:CB$87,Formula!F29,14))+((Formula!I29)/(Formula!C29+Formula!E29+Formula!G29+Formula!I29+Formula!K29))*(INDEX(Properties!A$1:CB$87,Formula!H29,14))+((Formula!K29)/(Formula!C29+Formula!E29+Formula!G29+Formula!I29+Formula!K29))*(INDEX(Properties!A$1:CB$87,Formula!J29,14))</f>
        <v>2.1</v>
      </c>
      <c r="BE29" s="63">
        <f>Formula!C29*(INDEX(Properties!A$1:CB$87,Formula!B29,14))+Formula!E29*(INDEX(Properties!A$1:CB$87,Formula!D29,14))+Formula!G29*(INDEX(Properties!A$1:CB$87,Formula!F29,14))+Formula!I29*(INDEX(Properties!A$1:CB$87,Formula!H29,14))+Formula!K29*(INDEX(Properties!A$1:CB$87,Formula!J29,14))</f>
        <v>42</v>
      </c>
      <c r="BF29" s="63">
        <f>VARP(IF(INDEX(Properties!A$1:CB$87,Formula!B29,14)&lt;&gt;"",INDEX(Properties!A$1:CB$87,Formula!B29,14)),IF(INDEX(Properties!A$1:CB$87,Formula!D29,14)&lt;&gt;"",INDEX(Properties!A$1:CB$87,Formula!D29,14)),IF(INDEX(Properties!A$1:CB$87,Formula!F29,14)&lt;&gt;"",INDEX(Properties!A$1:CB$87,Formula!F29,14)),IF(INDEX(Properties!A$1:CB$87,Formula!H29,14)&lt;&gt;"",INDEX(Properties!A$1:CB$87,Formula!H29,14)),IF(INDEX(Properties!A$1:CB$87,Formula!J29,14)&lt;&gt;"",INDEX(Properties!A$1:CB$87,Formula!J29,14)))</f>
        <v>31.36</v>
      </c>
      <c r="BG29" s="63">
        <f>MAX(INDEX(Properties!A$1:CB$87,Formula!B29,14),INDEX(Properties!A$1:CB$87,Formula!D29,14),INDEX(Properties!A$1:CB$87,Formula!F29,14),INDEX(Properties!A$1:CB$87,Formula!H29,14),INDEX(Properties!A$1:CB$87,Formula!J29,14))</f>
        <v>14</v>
      </c>
      <c r="BH29" s="63">
        <f>MIN(IF(Formula!B29=87,10^6,INDEX(Properties!A$1:CB$87,Formula!B29,14)),IF((Formula!D29)=87,10^6,INDEX(Properties!A$1:CB$87,Formula!D29,14)),IF((Formula!F29)=87,10^6,INDEX(Properties!A$1:CB$87,Formula!F29,14)),IF((Formula!H29)=87,10^6,INDEX(Properties!A$1:CB$87,Formula!H29,14)),IF(Formula!J29=87,10^6,INDEX(Properties!A$1:CB$87,Formula!J29,14)))</f>
        <v>0</v>
      </c>
      <c r="BI29" s="63">
        <f t="shared" si="9"/>
        <v>14</v>
      </c>
      <c r="BJ29" s="75">
        <f>((Formula!C29)/(Formula!C29+Formula!E29+Formula!G29+Formula!I29+Formula!K29))*(INDEX(Properties!A$1:CB$87,Formula!B29,19))+((Formula!E29)/(Formula!C29+Formula!E29+Formula!G29+Formula!I29+Formula!K29))*(INDEX(Properties!A$1:CB$87,Formula!D29,19))+((Formula!G29)/(Formula!C29+Formula!E29+Formula!G29+Formula!I29+Formula!K29))*(INDEX(Properties!A$1:CB$87,Formula!F29,19))+((Formula!I29)/(Formula!C29+Formula!E29+Formula!G29+Formula!I29+Formula!K29))*(INDEX(Properties!A$1:CB$87,Formula!H29,19))+((Formula!K29)/(Formula!C29+Formula!E29+Formula!G29+Formula!I29+Formula!K29))*(INDEX(Properties!A$1:CB$87,Formula!J29,19))</f>
        <v>6.8999999999999995</v>
      </c>
      <c r="BK29" s="75">
        <f>Formula!C29*(INDEX(Properties!A$1:CB$87,Formula!B29,19))+Formula!E29*(INDEX(Properties!A$1:CB$87,Formula!D29,19))+Formula!G29*(INDEX(Properties!A$1:CB$87,Formula!F29,19))+Formula!I29*(INDEX(Properties!A$1:CB$87,Formula!H29,19))+Formula!K29*(INDEX(Properties!A$1:CB$87,Formula!J29,19))</f>
        <v>138</v>
      </c>
      <c r="BL29" s="75">
        <f>VARP(IF(INDEX(Properties!A$1:CB$87,Formula!B29,19)&lt;&gt;"",INDEX(Properties!A$1:CB$87,Formula!B29,19)),IF(INDEX(Properties!A$1:CB$87,Formula!D29,19)&lt;&gt;"",INDEX(Properties!A$1:CB$87,Formula!D29,19)),IF(INDEX(Properties!A$1:CB$87,Formula!F29,19)&lt;&gt;"",INDEX(Properties!A$1:CB$87,Formula!F29,19)),IF(INDEX(Properties!A$1:CB$87,Formula!H29,19)&lt;&gt;"",INDEX(Properties!A$1:CB$87,Formula!H29,19)),IF(INDEX(Properties!A$1:CB$87,Formula!J29,19)&lt;&gt;"",INDEX(Properties!A$1:CB$87,Formula!J29,19)))</f>
        <v>39.76</v>
      </c>
      <c r="BM29" s="75">
        <f>MAX(INDEX(Properties!A$1:CB$87,Formula!B29,19),INDEX(Properties!A$1:CB$87,Formula!D29,19),INDEX(Properties!A$1:CB$87,Formula!F29,19),INDEX(Properties!A$1:CB$87,Formula!H29,19),INDEX(Properties!A$1:CB$87,Formula!J29,19))</f>
        <v>17</v>
      </c>
      <c r="BN29" s="75">
        <f>MIN(IF(INDEX(Properties!A$1:CB$87,Formula!B29,19)=0,10^6,INDEX(Properties!A$1:CB$87,Formula!B29,19)),IF(INDEX(Properties!A$1:CB$87,Formula!D29,19)=0,10^6,INDEX(Properties!A$1:CB$87,Formula!D29,19)),IF(INDEX(Properties!A$1:CB$87,Formula!F29,19)=0,10^6,INDEX(Properties!A$1:CB$87,Formula!F29,19)),IF(INDEX(Properties!A$1:CB$87,Formula!H29,19)=0,10^6,INDEX(Properties!A$1:CB$87,Formula!H29,19)),IF(INDEX(Properties!A$1:CB$87,Formula!J29,19)=0,10^6,INDEX(Properties!A$1:CB$87,Formula!J29,19)))</f>
        <v>3</v>
      </c>
      <c r="BO29" s="75">
        <f t="shared" si="10"/>
        <v>14</v>
      </c>
      <c r="BP29" s="48">
        <f>((Formula!C29)/(Formula!C29+Formula!E29+Formula!G29+Formula!I29+Formula!K29))*(INDEX(Properties!A$1:CB$87,Formula!B29,20))+((Formula!E29)/(Formula!C29+Formula!E29+Formula!G29+Formula!I29+Formula!K29))*(INDEX(Properties!A$1:CB$87,Formula!D29,20))+((Formula!G29)/(Formula!C29+Formula!E29+Formula!G29+Formula!I29+Formula!K29))*(INDEX(Properties!A$1:CB$87,Formula!F29,20))+((Formula!I29)/(Formula!C29+Formula!E29+Formula!G29+Formula!I29+Formula!K29))*(INDEX(Properties!A$1:CB$87,Formula!H29,20))+((Formula!K29)/(Formula!C29+Formula!E29+Formula!G29+Formula!I29+Formula!K29))*(INDEX(Properties!A$1:CB$87,Formula!J29,20))</f>
        <v>4.6499999999999995</v>
      </c>
      <c r="BQ29" s="48">
        <f>Formula!C29*(INDEX(Properties!A$1:CB$87,Formula!B29,20))+Formula!E29*(INDEX(Properties!A$1:CB$87,Formula!D29,20))+Formula!G29*(INDEX(Properties!A$1:CB$87,Formula!F29,20))+Formula!I29*(INDEX(Properties!A$1:CB$87,Formula!H29,20))+Formula!K29*(INDEX(Properties!A$1:CB$87,Formula!J29,20))</f>
        <v>93</v>
      </c>
      <c r="BR29" s="48">
        <f>VARP(IF(INDEX(Properties!A$1:CB$87,Formula!B29,20)&lt;&gt;"",INDEX(Properties!A$1:CB$87,Formula!B29,20)),IF(INDEX(Properties!A$1:CB$87,Formula!D29,20)&lt;&gt;"",INDEX(Properties!A$1:CB$87,Formula!D29,20)),IF(INDEX(Properties!A$1:CB$87,Formula!F29,20)&lt;&gt;"",INDEX(Properties!A$1:CB$87,Formula!F29,20)),IF(INDEX(Properties!A$1:CB$87,Formula!H29,20)&lt;&gt;"",INDEX(Properties!A$1:CB$87,Formula!H29,20)),IF(INDEX(Properties!A$1:CB$87,Formula!J29,20)&lt;&gt;"",INDEX(Properties!A$1:CB$87,Formula!J29,20)))</f>
        <v>4.96</v>
      </c>
      <c r="BS29" s="48">
        <f>MAX(INDEX(Properties!A$1:CB$87,Formula!B29,20),INDEX(Properties!A$1:CB$87,Formula!D29,20),INDEX(Properties!A$1:CB$87,Formula!F29,20),INDEX(Properties!A$1:CB$87,Formula!H29,20),INDEX(Properties!A$1:CB$87,Formula!J29,20))</f>
        <v>6</v>
      </c>
      <c r="BT29" s="48">
        <f>MIN(IF(INDEX(Properties!A$1:CB$87,Formula!B29,20)=0,10^6,INDEX(Properties!A$1:CB$87,Formula!B29,20)),IF(INDEX(Properties!A$1:CB$87,Formula!D29,20)=0,10^6,INDEX(Properties!A$1:CB$87,Formula!D29,20)),IF(INDEX(Properties!A$1:CB$87,Formula!F29,20)=0,10^6,INDEX(Properties!A$1:CB$87,Formula!F29,20)),IF(INDEX(Properties!A$1:CB$87,Formula!H29,20)=0,10^6,INDEX(Properties!A$1:CB$87,Formula!H29,20)),IF(INDEX(Properties!A$1:CB$87,Formula!J29,20)=0,10^6,INDEX(Properties!A$1:CB$87,Formula!J29,20)))</f>
        <v>2</v>
      </c>
      <c r="BU29" s="48">
        <f t="shared" si="11"/>
        <v>4</v>
      </c>
      <c r="BV29" s="66">
        <f>((Formula!C29)/(Formula!C29+Formula!E29+Formula!G29+Formula!I29+Formula!K29))*(INDEX(Properties!A$1:CB$87,Formula!B29,21))+((Formula!E29)/(Formula!C29+Formula!E29+Formula!G29+Formula!I29+Formula!K29))*(INDEX(Properties!A$1:CB$87,Formula!D29,21))+((Formula!G29)/(Formula!C29+Formula!E29+Formula!G29+Formula!I29+Formula!K29))*(INDEX(Properties!A$1:CB$87,Formula!F29,21))+((Formula!I29)/(Formula!C29+Formula!E29+Formula!G29+Formula!I29+Formula!K29))*(INDEX(Properties!A$1:CB$87,Formula!H29,21))+((Formula!K29)/(Formula!C29+Formula!E29+Formula!G29+Formula!I29+Formula!K29))*(INDEX(Properties!A$1:CB$87,Formula!J29,21))</f>
        <v>4.5</v>
      </c>
      <c r="BW29" s="66">
        <f>Formula!C29*(INDEX(Properties!A$1:CB$87,Formula!B29,21))+Formula!E29*(INDEX(Properties!A$1:CB$87,Formula!D29,21))+Formula!G29*(INDEX(Properties!A$1:CB$87,Formula!F29,21))+Formula!I29*(INDEX(Properties!A$1:CB$87,Formula!H29,21))+Formula!K29*(INDEX(Properties!A$1:CB$87,Formula!J29,21))</f>
        <v>90</v>
      </c>
      <c r="BX29" s="66">
        <f>VARP(IF(INDEX(Properties!A$1:CB$87,Formula!B29,21)&lt;&gt;"",INDEX(Properties!A$1:CB$87,Formula!B29,21)),IF(INDEX(Properties!A$1:CB$87,Formula!D29,21)&lt;&gt;"",INDEX(Properties!A$1:CB$87,Formula!D29,21)),IF(INDEX(Properties!A$1:CB$87,Formula!F29,21)&lt;&gt;"",INDEX(Properties!A$1:CB$87,Formula!F29,21)),IF(INDEX(Properties!A$1:CB$87,Formula!H29,21)&lt;&gt;"",INDEX(Properties!A$1:CB$87,Formula!H29,21)),IF(INDEX(Properties!A$1:CB$87,Formula!J29,21)&lt;&gt;"",INDEX(Properties!A$1:CB$87,Formula!J29,21)))</f>
        <v>5.2</v>
      </c>
      <c r="BY29" s="66">
        <f>MAX(INDEX(Properties!A$1:CB$87,Formula!B29,21),INDEX(Properties!A$1:CB$87,Formula!D29,21),INDEX(Properties!A$1:CB$87,Formula!F29,21),INDEX(Properties!A$1:CB$87,Formula!H29,21),INDEX(Properties!A$1:CB$87,Formula!J29,21))</f>
        <v>6</v>
      </c>
      <c r="BZ29" s="66">
        <f>MIN(IF(INDEX(Properties!A$1:CB$87,Formula!B29,21)=0,10^6,INDEX(Properties!A$1:CB$87,Formula!B29,21)),IF(INDEX(Properties!A$1:CB$87,Formula!D29,21)=0,10^6,INDEX(Properties!A$1:CB$87,Formula!D29,21)),IF(INDEX(Properties!A$1:CB$87,Formula!F29,21)=0,10^6,INDEX(Properties!A$1:CB$87,Formula!F29,21)),IF(INDEX(Properties!A$1:CB$87,Formula!H29,21)=0,10^6,INDEX(Properties!A$1:CB$87,Formula!H29,21)),IF(INDEX(Properties!A$1:CB$87,Formula!J29,21)=0,10^6,INDEX(Properties!A$1:CB$87,Formula!J29,21)))</f>
        <v>1</v>
      </c>
      <c r="CA29" s="66">
        <f t="shared" si="12"/>
        <v>5</v>
      </c>
      <c r="CB29" s="81">
        <f>((Formula!C29)/(Formula!C29+Formula!E29+Formula!G29+Formula!I29+Formula!K29))*(INDEX(Properties!A$1:CB$87,Formula!B29,23))+((Formula!E29)/(Formula!C29+Formula!E29+Formula!G29+Formula!I29+Formula!K29))*(INDEX(Properties!A$1:CB$87,Formula!D29,23))+((Formula!G29)/(Formula!C29+Formula!E29+Formula!G29+Formula!I29+Formula!K29))*(INDEX(Properties!A$1:CB$87,Formula!F29,23))+((Formula!I29)/(Formula!C29+Formula!E29+Formula!G29+Formula!I29+Formula!K29))*(INDEX(Properties!A$1:CB$87,Formula!H29,23))+((Formula!K29)/(Formula!C29+Formula!E29+Formula!G29+Formula!I29+Formula!K29))*(INDEX(Properties!A$1:CB$87,Formula!J29,23))</f>
        <v>1.2</v>
      </c>
      <c r="CC29" s="81">
        <f>Formula!C29*(INDEX(Properties!A$1:CB$87,Formula!B29,23))+Formula!E29*(INDEX(Properties!A$1:CB$87,Formula!D29,23))+Formula!G29*(INDEX(Properties!A$1:CB$87,Formula!F29,23))+Formula!I29*(INDEX(Properties!A$1:CB$87,Formula!H29,23))+Formula!K29*(INDEX(Properties!A$1:CB$87,Formula!J29,23))</f>
        <v>24</v>
      </c>
      <c r="CD29" s="81">
        <f>VARP(IF(INDEX(Properties!A$1:CB$87,Formula!B29,23)&lt;&gt;"",INDEX(Properties!A$1:CB$87,Formula!B29,23)),IF(INDEX(Properties!A$1:CB$87,Formula!D29,23)&lt;&gt;"",INDEX(Properties!A$1:CB$87,Formula!D29,23)),IF(INDEX(Properties!A$1:CB$87,Formula!F29,23)&lt;&gt;"",INDEX(Properties!A$1:CB$87,Formula!F29,23)),IF(INDEX(Properties!A$1:CB$87,Formula!H29,23)&lt;&gt;"",INDEX(Properties!A$1:CB$87,Formula!H29,23)),IF(INDEX(Properties!A$1:CB$87,Formula!J29,23)&lt;&gt;"",INDEX(Properties!A$1:CB$87,Formula!J29,23)))</f>
        <v>2.16</v>
      </c>
      <c r="CE29" s="81">
        <f>MAX(INDEX(Properties!A$1:CB$87,Formula!B29,23),INDEX(Properties!A$1:CB$87,Formula!D29,23),INDEX(Properties!A$1:CB$87,Formula!F29,23),INDEX(Properties!A$1:CB$87,Formula!H29,23),INDEX(Properties!A$1:CB$87,Formula!J29,23))</f>
        <v>3</v>
      </c>
      <c r="CF29" s="81">
        <f>MIN(IF(Formula!B29=87,10^6,INDEX(Properties!A$1:CB$87,Formula!B29,23)),IF((Formula!D29)=87,10^6,INDEX(Properties!A$1:CB$87,Formula!D29,23)),IF((Formula!F29)=87,10^6,INDEX(Properties!A$1:CB$87,Formula!F29,23)),IF((Formula!H29)=87,10^6,INDEX(Properties!A$1:CB$87,Formula!H29,23)),IF(Formula!J29=87,10^6,INDEX(Properties!A$1:CB$87,Formula!J29,23)))</f>
        <v>0</v>
      </c>
      <c r="CG29" s="81">
        <f t="shared" si="13"/>
        <v>3</v>
      </c>
      <c r="CH29" s="39">
        <f>((Formula!C29)/(Formula!C29+Formula!E29+Formula!G29+Formula!I29+Formula!K29))*(INDEX(Properties!A$1:CB$87,Formula!B29,26))+((Formula!E29)/(Formula!C29+Formula!E29+Formula!G29+Formula!I29+Formula!K29))*(INDEX(Properties!A$1:CB$87,Formula!D29,26))+((Formula!G29)/(Formula!C29+Formula!E29+Formula!G29+Formula!I29+Formula!K29))*(INDEX(Properties!A$1:CB$87,Formula!F29,26))+((Formula!I29)/(Formula!C29+Formula!E29+Formula!G29+Formula!I29+Formula!K29))*(INDEX(Properties!A$1:CB$87,Formula!H29,26))+((Formula!K29)/(Formula!C29+Formula!E29+Formula!G29+Formula!I29+Formula!K29))*(INDEX(Properties!A$1:CB$87,Formula!J29,26))</f>
        <v>10.481195</v>
      </c>
      <c r="CI29" s="39">
        <f>Formula!C29*(INDEX(Properties!A$1:CB$87,Formula!B29,26))+Formula!E29*(INDEX(Properties!A$1:CB$87,Formula!D29,26))+Formula!G29*(INDEX(Properties!A$1:CB$87,Formula!F29,26))+Formula!I29*(INDEX(Properties!A$1:CB$87,Formula!H29,26))+Formula!K29*(INDEX(Properties!A$1:CB$87,Formula!J29,26))</f>
        <v>209.62390000000002</v>
      </c>
      <c r="CJ29" s="39">
        <f>VARP(IF(INDEX(Properties!A$1:CB$87,Formula!B29,26)&lt;&gt;"",INDEX(Properties!A$1:CB$87,Formula!B29,26)),IF(INDEX(Properties!A$1:CB$87,Formula!D29,26)&lt;&gt;"",INDEX(Properties!A$1:CB$87,Formula!D29,26)),IF(INDEX(Properties!A$1:CB$87,Formula!F29,26)&lt;&gt;"",INDEX(Properties!A$1:CB$87,Formula!F29,26)),IF(INDEX(Properties!A$1:CB$87,Formula!H29,26)&lt;&gt;"",INDEX(Properties!A$1:CB$87,Formula!H29,26)),IF(INDEX(Properties!A$1:CB$87,Formula!J29,26)&lt;&gt;"",INDEX(Properties!A$1:CB$87,Formula!J29,26)))</f>
        <v>25.084932490399996</v>
      </c>
      <c r="CK29" s="39">
        <f>MAX(INDEX(Properties!A$1:CB$87,Formula!B29,26),INDEX(Properties!A$1:CB$87,Formula!D29,26),INDEX(Properties!A$1:CB$87,Formula!F29,26),INDEX(Properties!A$1:CB$87,Formula!H29,26),INDEX(Properties!A$1:CB$87,Formula!J29,26))</f>
        <v>13.6181</v>
      </c>
      <c r="CL29" s="39">
        <f>MIN(IF(INDEX(Properties!A$1:CB$87,Formula!B29,26)=0,10^6,INDEX(Properties!A$1:CB$87,Formula!B29,26)),IF(INDEX(Properties!A$1:CB$87,Formula!D29,26)=0,10^6,INDEX(Properties!A$1:CB$87,Formula!D29,26)),IF(INDEX(Properties!A$1:CB$87,Formula!F29,26)=0,10^6,INDEX(Properties!A$1:CB$87,Formula!F29,26)),IF(INDEX(Properties!A$1:CB$87,Formula!H29,26)=0,10^6,INDEX(Properties!A$1:CB$87,Formula!H29,26)),IF(INDEX(Properties!A$1:CB$87,Formula!J29,26)=0,10^6,INDEX(Properties!A$1:CB$87,Formula!J29,26)))</f>
        <v>5.4259000000000004</v>
      </c>
      <c r="CM29" s="39">
        <f t="shared" si="14"/>
        <v>8.1921999999999997</v>
      </c>
      <c r="CN29" s="54">
        <f>((Formula!C29)/(Formula!C29+Formula!E29+Formula!G29+Formula!I29+Formula!K29))*(INDEX(Properties!A$1:CB$87,Formula!B29,30))+((Formula!E29)/(Formula!C29+Formula!E29+Formula!G29+Formula!I29+Formula!K29))*(INDEX(Properties!A$1:CB$87,Formula!D29,30))+((Formula!G29)/(Formula!C29+Formula!E29+Formula!G29+Formula!I29+Formula!K29))*(INDEX(Properties!A$1:CB$87,Formula!F29,30))+((Formula!I29)/(Formula!C29+Formula!E29+Formula!G29+Formula!I29+Formula!K29))*(INDEX(Properties!A$1:CB$87,Formula!H29,30))+((Formula!K29)/(Formula!C29+Formula!E29+Formula!G29+Formula!I29+Formula!K29))*(INDEX(Properties!A$1:CB$87,Formula!J29,30))</f>
        <v>2.657</v>
      </c>
      <c r="CO29" s="54">
        <f>Formula!C29*(INDEX(Properties!A$1:CB$87,Formula!B29,30))+Formula!E29*(INDEX(Properties!A$1:CB$87,Formula!D29,30))+Formula!G29*(INDEX(Properties!A$1:CB$87,Formula!F29,30))+Formula!I29*(INDEX(Properties!A$1:CB$87,Formula!H29,30))+Formula!K29*(INDEX(Properties!A$1:CB$87,Formula!J29,30))</f>
        <v>53.14</v>
      </c>
      <c r="CP29" s="54">
        <f>VARP(IF(INDEX(Properties!A$1:CB$87,Formula!B29,30)&lt;&gt;"",INDEX(Properties!A$1:CB$87,Formula!B29,30)),IF(INDEX(Properties!A$1:CB$87,Formula!D29,30)&lt;&gt;"",INDEX(Properties!A$1:CB$87,Formula!D29,30)),IF(INDEX(Properties!A$1:CB$87,Formula!F29,30)&lt;&gt;"",INDEX(Properties!A$1:CB$87,Formula!F29,30)),IF(INDEX(Properties!A$1:CB$87,Formula!H29,30)&lt;&gt;"",INDEX(Properties!A$1:CB$87,Formula!H29,30)),IF(INDEX(Properties!A$1:CB$87,Formula!J29,30)&lt;&gt;"",INDEX(Properties!A$1:CB$87,Formula!J29,30)))</f>
        <v>1.6100239999999997</v>
      </c>
      <c r="CQ29" s="54">
        <f>MAX(INDEX(Properties!A$1:CB$87,Formula!B29,30),INDEX(Properties!A$1:CB$87,Formula!D29,30),INDEX(Properties!A$1:CB$87,Formula!F29,30),INDEX(Properties!A$1:CB$87,Formula!H29,30),INDEX(Properties!A$1:CB$87,Formula!J29,30))</f>
        <v>3.44</v>
      </c>
      <c r="CR29" s="54">
        <f>MIN(IF(INDEX(Properties!A$1:CB$87,Formula!B29,30)=0,10^6,INDEX(Properties!A$1:CB$87,Formula!B29,30)),IF(INDEX(Properties!A$1:CB$87,Formula!D29,30)=0,10^6,INDEX(Properties!A$1:CB$87,Formula!D29,30)),IF(INDEX(Properties!A$1:CB$87,Formula!F29,30)=0,10^6,INDEX(Properties!A$1:CB$87,Formula!F29,30)),IF(INDEX(Properties!A$1:CB$87,Formula!H29,30)=0,10^6,INDEX(Properties!A$1:CB$87,Formula!H29,30)),IF(INDEX(Properties!A$1:CB$87,Formula!J29,30)=0,10^6,INDEX(Properties!A$1:CB$87,Formula!J29,30)))</f>
        <v>1.27</v>
      </c>
      <c r="CS29" s="54">
        <f t="shared" si="15"/>
        <v>2.17</v>
      </c>
      <c r="CT29" s="69">
        <f>((Formula!C29)/(Formula!C29+Formula!E29+Formula!G29+Formula!I29+Formula!K29))*(INDEX(Properties!A$1:CB$87,Formula!B29,31))+((Formula!E29)/(Formula!C29+Formula!E29+Formula!G29+Formula!I29+Formula!K29))*(INDEX(Properties!A$1:CB$87,Formula!D29,31))+((Formula!G29)/(Formula!C29+Formula!E29+Formula!G29+Formula!I29+Formula!K29))*(INDEX(Properties!A$1:CB$87,Formula!F29,31))+((Formula!I29)/(Formula!C29+Formula!E29+Formula!G29+Formula!I29+Formula!K29))*(INDEX(Properties!A$1:CB$87,Formula!H29,31))+((Formula!K29)/(Formula!C29+Formula!E29+Formula!G29+Formula!I29+Formula!K29))*(INDEX(Properties!A$1:CB$87,Formula!J29,31))</f>
        <v>2.5819999999999999</v>
      </c>
      <c r="CU29" s="69">
        <f>Formula!C29*(INDEX(Properties!A$1:CB$87,Formula!B29,31))+Formula!E29*(INDEX(Properties!A$1:CB$87,Formula!D29,31))+Formula!G29*(INDEX(Properties!A$1:CB$87,Formula!F29,31))+Formula!I29*(INDEX(Properties!A$1:CB$87,Formula!H29,31))+Formula!K29*(INDEX(Properties!A$1:CB$87,Formula!J29,31))</f>
        <v>51.639999999999993</v>
      </c>
      <c r="CV29" s="69">
        <f>VARP(IF(INDEX(Properties!A$1:CB$87,Formula!B29,31)&lt;&gt;"",INDEX(Properties!A$1:CB$87,Formula!B29,31)),IF(INDEX(Properties!A$1:CB$87,Formula!D29,31)&lt;&gt;"",INDEX(Properties!A$1:CB$87,Formula!D29,31)),IF(INDEX(Properties!A$1:CB$87,Formula!F29,31)&lt;&gt;"",INDEX(Properties!A$1:CB$87,Formula!F29,31)),IF(INDEX(Properties!A$1:CB$87,Formula!H29,31)&lt;&gt;"",INDEX(Properties!A$1:CB$87,Formula!H29,31)),IF(INDEX(Properties!A$1:CB$87,Formula!J29,31)&lt;&gt;"",INDEX(Properties!A$1:CB$87,Formula!J29,31)))</f>
        <v>1.5125759999999997</v>
      </c>
      <c r="CW29" s="69">
        <f>MAX(INDEX(Properties!A$1:CB$87,Formula!B29,31),INDEX(Properties!A$1:CB$87,Formula!D29,31),INDEX(Properties!A$1:CB$87,Formula!F29,31),INDEX(Properties!A$1:CB$87,Formula!H29,31),INDEX(Properties!A$1:CB$87,Formula!J29,31))</f>
        <v>3.32</v>
      </c>
      <c r="CX29" s="69">
        <f>MIN(IF(INDEX(Properties!A$1:CB$87,Formula!B29,31)=0,10^6,INDEX(Properties!A$1:CB$87,Formula!B29,31)),IF(INDEX(Properties!A$1:CB$87,Formula!D29,31)=0,10^6,INDEX(Properties!A$1:CB$87,Formula!D29,31)),IF(INDEX(Properties!A$1:CB$87,Formula!F29,31)=0,10^6,INDEX(Properties!A$1:CB$87,Formula!F29,31)),IF(INDEX(Properties!A$1:CB$87,Formula!H29,31)=0,10^6,INDEX(Properties!A$1:CB$87,Formula!H29,31)),IF(INDEX(Properties!A$1:CB$87,Formula!J29,31)=0,10^6,INDEX(Properties!A$1:CB$87,Formula!J29,31)))</f>
        <v>1.2</v>
      </c>
      <c r="CY29" s="69">
        <f t="shared" si="16"/>
        <v>2.12</v>
      </c>
      <c r="CZ29" s="42">
        <f>((Formula!C29)/(Formula!C29+Formula!E29+Formula!G29+Formula!I29+Formula!K29))*(INDEX(Properties!A$1:CB$87,Formula!B29,32))+((Formula!E29)/(Formula!C29+Formula!E29+Formula!G29+Formula!I29+Formula!K29))*(INDEX(Properties!A$1:CB$87,Formula!D29,32))+((Formula!G29)/(Formula!C29+Formula!E29+Formula!G29+Formula!I29+Formula!K29))*(INDEX(Properties!A$1:CB$87,Formula!F29,32))+((Formula!I29)/(Formula!C29+Formula!E29+Formula!G29+Formula!I29+Formula!K29))*(INDEX(Properties!A$1:CB$87,Formula!H29,32))+((Formula!K29)/(Formula!C29+Formula!E29+Formula!G29+Formula!I29+Formula!K29))*(INDEX(Properties!A$1:CB$87,Formula!J29,32))</f>
        <v>5.7965</v>
      </c>
      <c r="DA29" s="42">
        <f>Formula!C29*(INDEX(Properties!A$1:CB$87,Formula!B29,32))+Formula!E29*(INDEX(Properties!A$1:CB$87,Formula!D29,32))+Formula!G29*(INDEX(Properties!A$1:CB$87,Formula!F29,32))+Formula!I29*(INDEX(Properties!A$1:CB$87,Formula!H29,32))+Formula!K29*(INDEX(Properties!A$1:CB$87,Formula!J29,32))</f>
        <v>115.93</v>
      </c>
      <c r="DB29" s="42">
        <f>VARP(IF(INDEX(Properties!A$1:CB$87,Formula!B29,32)&lt;&gt;"",INDEX(Properties!A$1:CB$87,Formula!B29,32)),IF(INDEX(Properties!A$1:CB$87,Formula!D29,32)&lt;&gt;"",INDEX(Properties!A$1:CB$87,Formula!D29,32)),IF(INDEX(Properties!A$1:CB$87,Formula!F29,32)&lt;&gt;"",INDEX(Properties!A$1:CB$87,Formula!F29,32)),IF(INDEX(Properties!A$1:CB$87,Formula!H29,32)&lt;&gt;"",INDEX(Properties!A$1:CB$87,Formula!H29,32)),IF(INDEX(Properties!A$1:CB$87,Formula!J29,32)&lt;&gt;"",INDEX(Properties!A$1:CB$87,Formula!J29,32)))</f>
        <v>7.6838239999999978</v>
      </c>
      <c r="DC29" s="42">
        <f>MAX(INDEX(Properties!A$1:CB$87,Formula!B29,32),INDEX(Properties!A$1:CB$87,Formula!D29,32),INDEX(Properties!A$1:CB$87,Formula!F29,32),INDEX(Properties!A$1:CB$87,Formula!H29,32),INDEX(Properties!A$1:CB$87,Formula!J29,32))</f>
        <v>7.54</v>
      </c>
      <c r="DD29" s="42">
        <f>MIN(IF(INDEX(Properties!A$1:CB$87,Formula!B29,32)=0,10^6,INDEX(Properties!A$1:CB$87,Formula!B29,32)),IF(INDEX(Properties!A$1:CB$87,Formula!D29,32)=0,10^6,INDEX(Properties!A$1:CB$87,Formula!D29,32)),IF(INDEX(Properties!A$1:CB$87,Formula!F29,32)=0,10^6,INDEX(Properties!A$1:CB$87,Formula!F29,32)),IF(INDEX(Properties!A$1:CB$87,Formula!H29,32)=0,10^6,INDEX(Properties!A$1:CB$87,Formula!H29,32)),IF(INDEX(Properties!A$1:CB$87,Formula!J29,32)=0,10^6,INDEX(Properties!A$1:CB$87,Formula!J29,32)))</f>
        <v>3.1</v>
      </c>
      <c r="DE29" s="42">
        <f t="shared" si="17"/>
        <v>4.4399999999999995</v>
      </c>
      <c r="DF29" s="60">
        <f>((Formula!C29)/(Formula!C29+Formula!E29+Formula!G29+Formula!I29+Formula!K29))*(INDEX(Properties!A$1:CB$87,Formula!B29,34))+((Formula!E29)/(Formula!C29+Formula!E29+Formula!G29+Formula!I29+Formula!K29))*(INDEX(Properties!A$1:CB$87,Formula!D29,34))+((Formula!G29)/(Formula!C29+Formula!E29+Formula!G29+Formula!I29+Formula!K29))*(INDEX(Properties!A$1:CB$87,Formula!F29,34))+((Formula!I29)/(Formula!C29+Formula!E29+Formula!G29+Formula!I29+Formula!K29))*(INDEX(Properties!A$1:CB$87,Formula!H29,34))+((Formula!K29)/(Formula!C29+Formula!E29+Formula!G29+Formula!I29+Formula!K29))*(INDEX(Properties!A$1:CB$87,Formula!J29,34))</f>
        <v>2.7327499999999998</v>
      </c>
      <c r="DG29" s="60">
        <f>Formula!C29*(INDEX(Properties!A$1:CB$87,Formula!B29,34))+Formula!E29*(INDEX(Properties!A$1:CB$87,Formula!D29,34))+Formula!G29*(INDEX(Properties!A$1:CB$87,Formula!F29,34))+Formula!I29*(INDEX(Properties!A$1:CB$87,Formula!H29,34))+Formula!K29*(INDEX(Properties!A$1:CB$87,Formula!J29,34))</f>
        <v>54.655000000000001</v>
      </c>
      <c r="DH29" s="60">
        <f>VARP(IF(INDEX(Properties!A$1:CB$87,Formula!B29,34)&lt;&gt;"",INDEX(Properties!A$1:CB$87,Formula!B29,34)),IF(INDEX(Properties!A$1:CB$87,Formula!D29,34)&lt;&gt;"",INDEX(Properties!A$1:CB$87,Formula!D29,34)),IF(INDEX(Properties!A$1:CB$87,Formula!F29,34)&lt;&gt;"",INDEX(Properties!A$1:CB$87,Formula!F29,34)),IF(INDEX(Properties!A$1:CB$87,Formula!H29,34)&lt;&gt;"",INDEX(Properties!A$1:CB$87,Formula!H29,34)),IF(INDEX(Properties!A$1:CB$87,Formula!J29,34)&lt;&gt;"",INDEX(Properties!A$1:CB$87,Formula!J29,34)))</f>
        <v>1.7702350399999995</v>
      </c>
      <c r="DI29" s="60">
        <f>MAX(INDEX(Properties!A$1:CB$87,Formula!B29,34),INDEX(Properties!A$1:CB$87,Formula!D29,34),INDEX(Properties!A$1:CB$87,Formula!F29,34),INDEX(Properties!A$1:CB$87,Formula!H29,34),INDEX(Properties!A$1:CB$87,Formula!J29,34))</f>
        <v>3.61</v>
      </c>
      <c r="DJ29" s="60">
        <f>MIN(IF(INDEX(Properties!A$1:CB$87,Formula!B29,34)=0,10^6,INDEX(Properties!A$1:CB$87,Formula!B29,34)),IF(INDEX(Properties!A$1:CB$87,Formula!D29,34)=0,10^6,INDEX(Properties!A$1:CB$87,Formula!D29,34)),IF(INDEX(Properties!A$1:CB$87,Formula!F29,34)=0,10^6,INDEX(Properties!A$1:CB$87,Formula!F29,34)),IF(INDEX(Properties!A$1:CB$87,Formula!H29,34)=0,10^6,INDEX(Properties!A$1:CB$87,Formula!H29,34)),IF(INDEX(Properties!A$1:CB$87,Formula!J29,34)=0,10^6,INDEX(Properties!A$1:CB$87,Formula!J29,34)))</f>
        <v>1.0900000000000001</v>
      </c>
      <c r="DK29" s="60">
        <f t="shared" si="18"/>
        <v>2.5199999999999996</v>
      </c>
      <c r="DL29" s="45">
        <f>((Formula!C29)/(Formula!C29+Formula!E29+Formula!G29+Formula!I29+Formula!K29))*(INDEX(Properties!A$1:CB$87,Formula!B29,39))+((Formula!E29)/(Formula!C29+Formula!E29+Formula!G29+Formula!I29+Formula!K29))*(INDEX(Properties!A$1:CB$87,Formula!D29,39))+((Formula!G29)/(Formula!C29+Formula!E29+Formula!G29+Formula!I29+Formula!K29))*(INDEX(Properties!A$1:CB$87,Formula!F29,39))+((Formula!I29)/(Formula!C29+Formula!E29+Formula!G29+Formula!I29+Formula!K29))*(INDEX(Properties!A$1:CB$87,Formula!H29,39))+((Formula!K29)/(Formula!C29+Formula!E29+Formula!G29+Formula!I29+Formula!K29))*(INDEX(Properties!A$1:CB$87,Formula!J29,39))</f>
        <v>0.90849999999999986</v>
      </c>
      <c r="DM29" s="45">
        <f>Formula!C29*(INDEX(Properties!A$1:CB$87,Formula!B29,39))+Formula!E29*(INDEX(Properties!A$1:CB$87,Formula!D29,39))+Formula!G29*(INDEX(Properties!A$1:CB$87,Formula!F29,39))+Formula!I29*(INDEX(Properties!A$1:CB$87,Formula!H29,39))+Formula!K29*(INDEX(Properties!A$1:CB$87,Formula!J29,39))</f>
        <v>18.170000000000002</v>
      </c>
      <c r="DN29" s="45">
        <f>VARP(IF(INDEX(Properties!A$1:CB$87,Formula!B29,39)&lt;&gt;"",INDEX(Properties!A$1:CB$87,Formula!B29,39)),IF(INDEX(Properties!A$1:CB$87,Formula!D29,39)&lt;&gt;"",INDEX(Properties!A$1:CB$87,Formula!D29,39)),IF(INDEX(Properties!A$1:CB$87,Formula!F29,39)&lt;&gt;"",INDEX(Properties!A$1:CB$87,Formula!F29,39)),IF(INDEX(Properties!A$1:CB$87,Formula!H29,39)&lt;&gt;"",INDEX(Properties!A$1:CB$87,Formula!H29,39)),IF(INDEX(Properties!A$1:CB$87,Formula!J29,39)&lt;&gt;"",INDEX(Properties!A$1:CB$87,Formula!J29,39)))</f>
        <v>0.6795840000000003</v>
      </c>
      <c r="DO29" s="45">
        <f>MAX(INDEX(Properties!A$1:CB$87,Formula!B29,39),INDEX(Properties!A$1:CB$87,Formula!D29,39),INDEX(Properties!A$1:CB$87,Formula!F29,39),INDEX(Properties!A$1:CB$87,Formula!H29,39),INDEX(Properties!A$1:CB$87,Formula!J29,39))</f>
        <v>2.17</v>
      </c>
      <c r="DP29" s="45">
        <f>MIN(IF(INDEX(Properties!A$1:CB$87,Formula!B29,39)=0,10^6,INDEX(Properties!A$1:CB$87,Formula!B29,39)),IF(INDEX(Properties!A$1:CB$87,Formula!D29,39)=0,10^6,INDEX(Properties!A$1:CB$87,Formula!D29,39)),IF(INDEX(Properties!A$1:CB$87,Formula!F29,39)=0,10^6,INDEX(Properties!A$1:CB$87,Formula!F29,39)),IF(INDEX(Properties!A$1:CB$87,Formula!H29,39)=0,10^6,INDEX(Properties!A$1:CB$87,Formula!H29,39)),IF(INDEX(Properties!A$1:CB$87,Formula!J29,39)=0,10^6,INDEX(Properties!A$1:CB$87,Formula!J29,39)))</f>
        <v>0.48</v>
      </c>
      <c r="DQ29" s="45">
        <f t="shared" si="19"/>
        <v>1.69</v>
      </c>
      <c r="DR29" s="63">
        <f>((Formula!C29)/(Formula!C29+Formula!E29+Formula!G29+Formula!I29+Formula!K29))*(INDEX(Properties!A$1:CB$87,Formula!B29,40))+((Formula!E29)/(Formula!C29+Formula!E29+Formula!G29+Formula!I29+Formula!K29))*(INDEX(Properties!A$1:CB$87,Formula!D29,40))+((Formula!G29)/(Formula!C29+Formula!E29+Formula!G29+Formula!I29+Formula!K29))*(INDEX(Properties!A$1:CB$87,Formula!F29,40))+((Formula!I29)/(Formula!C29+Formula!E29+Formula!G29+Formula!I29+Formula!K29))*(INDEX(Properties!A$1:CB$87,Formula!H29,40))+((Formula!K29)/(Formula!C29+Formula!E29+Formula!G29+Formula!I29+Formula!K29))*(INDEX(Properties!A$1:CB$87,Formula!J29,40))</f>
        <v>0.97299999999999986</v>
      </c>
      <c r="DS29" s="63">
        <f>Formula!C29*(INDEX(Properties!A$1:CB$87,Formula!B29,40))+Formula!E29*(INDEX(Properties!A$1:CB$87,Formula!D29,40))+Formula!G29*(INDEX(Properties!A$1:CB$87,Formula!F29,40))+Formula!I29*(INDEX(Properties!A$1:CB$87,Formula!H29,40))+Formula!K29*(INDEX(Properties!A$1:CB$87,Formula!J29,40))</f>
        <v>19.46</v>
      </c>
      <c r="DT29" s="63">
        <f>VARP(IF(INDEX(Properties!A$1:CB$87,Formula!B29,40)&lt;&gt;"",INDEX(Properties!A$1:CB$87,Formula!B29,40)),IF(INDEX(Properties!A$1:CB$87,Formula!D29,40)&lt;&gt;"",INDEX(Properties!A$1:CB$87,Formula!D29,40)),IF(INDEX(Properties!A$1:CB$87,Formula!F29,40)&lt;&gt;"",INDEX(Properties!A$1:CB$87,Formula!F29,40)),IF(INDEX(Properties!A$1:CB$87,Formula!H29,40)&lt;&gt;"",INDEX(Properties!A$1:CB$87,Formula!H29,40)),IF(INDEX(Properties!A$1:CB$87,Formula!J29,40)&lt;&gt;"",INDEX(Properties!A$1:CB$87,Formula!J29,40)))</f>
        <v>0.40425600000000012</v>
      </c>
      <c r="DU29" s="63">
        <f>MAX(INDEX(Properties!A$1:CB$87,Formula!B29,40),INDEX(Properties!A$1:CB$87,Formula!D29,40),INDEX(Properties!A$1:CB$87,Formula!F29,40),INDEX(Properties!A$1:CB$87,Formula!H29,40),INDEX(Properties!A$1:CB$87,Formula!J29,40))</f>
        <v>1.6</v>
      </c>
      <c r="DV29" s="63">
        <f>MIN(IF(INDEX(Properties!A$1:CB$87,Formula!B29,40)=0,10^6,INDEX(Properties!A$1:CB$87,Formula!B29,40)),IF(INDEX(Properties!A$1:CB$87,Formula!D29,40)=0,10^6,INDEX(Properties!A$1:CB$87,Formula!D29,40)),IF(INDEX(Properties!A$1:CB$87,Formula!F29,40)=0,10^6,INDEX(Properties!A$1:CB$87,Formula!F29,40)),IF(INDEX(Properties!A$1:CB$87,Formula!H29,40)=0,10^6,INDEX(Properties!A$1:CB$87,Formula!H29,40)),IF(INDEX(Properties!A$1:CB$87,Formula!J29,40)=0,10^6,INDEX(Properties!A$1:CB$87,Formula!J29,40)))</f>
        <v>0.73</v>
      </c>
      <c r="DW29" s="63">
        <f t="shared" si="20"/>
        <v>0.87000000000000011</v>
      </c>
      <c r="DX29" s="75">
        <f>((Formula!C29)/(Formula!C29+Formula!E29+Formula!G29+Formula!I29+Formula!K29))*(INDEX(Properties!A$1:CB$87,Formula!B29,41))+((Formula!E29)/(Formula!C29+Formula!E29+Formula!G29+Formula!I29+Formula!K29))*(INDEX(Properties!A$1:CB$87,Formula!D29,41))+((Formula!G29)/(Formula!C29+Formula!E29+Formula!G29+Formula!I29+Formula!K29))*(INDEX(Properties!A$1:CB$87,Formula!F29,41))+((Formula!I29)/(Formula!C29+Formula!E29+Formula!G29+Formula!I29+Formula!K29))*(INDEX(Properties!A$1:CB$87,Formula!H29,41))+((Formula!K29)/(Formula!C29+Formula!E29+Formula!G29+Formula!I29+Formula!K29))*(INDEX(Properties!A$1:CB$87,Formula!J29,41))</f>
        <v>1.0760000000000001</v>
      </c>
      <c r="DY29" s="75">
        <f>Formula!C29*(INDEX(Properties!A$1:CB$87,Formula!B29,41))+Formula!E29*(INDEX(Properties!A$1:CB$87,Formula!D29,41))+Formula!G29*(INDEX(Properties!A$1:CB$87,Formula!F29,41))+Formula!I29*(INDEX(Properties!A$1:CB$87,Formula!H29,41))+Formula!K29*(INDEX(Properties!A$1:CB$87,Formula!J29,41))</f>
        <v>21.520000000000003</v>
      </c>
      <c r="DZ29" s="75">
        <f>VARP(IF(INDEX(Properties!A$1:CB$87,Formula!B29,41)&lt;&gt;"",INDEX(Properties!A$1:CB$87,Formula!B29,41)),IF(INDEX(Properties!A$1:CB$87,Formula!D29,41)&lt;&gt;"",INDEX(Properties!A$1:CB$87,Formula!D29,41)),IF(INDEX(Properties!A$1:CB$87,Formula!F29,41)&lt;&gt;"",INDEX(Properties!A$1:CB$87,Formula!F29,41)),IF(INDEX(Properties!A$1:CB$87,Formula!H29,41)&lt;&gt;"",INDEX(Properties!A$1:CB$87,Formula!H29,41)),IF(INDEX(Properties!A$1:CB$87,Formula!J29,41)&lt;&gt;"",INDEX(Properties!A$1:CB$87,Formula!J29,41)))</f>
        <v>0.26425599999999994</v>
      </c>
      <c r="EA29" s="75">
        <f>MAX(INDEX(Properties!A$1:CB$87,Formula!B29,41),INDEX(Properties!A$1:CB$87,Formula!D29,41),INDEX(Properties!A$1:CB$87,Formula!F29,41),INDEX(Properties!A$1:CB$87,Formula!H29,41),INDEX(Properties!A$1:CB$87,Formula!J29,41))</f>
        <v>1.26</v>
      </c>
      <c r="EB29" s="75">
        <f>MIN(IF(INDEX(Properties!A$1:CB$87,Formula!B29,41)=0,10^6,INDEX(Properties!A$1:CB$87,Formula!B29,41)),IF(INDEX(Properties!A$1:CB$87,Formula!D29,41)=0,10^6,INDEX(Properties!A$1:CB$87,Formula!D29,41)),IF(INDEX(Properties!A$1:CB$87,Formula!F29,41)=0,10^6,INDEX(Properties!A$1:CB$87,Formula!F29,41)),IF(INDEX(Properties!A$1:CB$87,Formula!H29,41)=0,10^6,INDEX(Properties!A$1:CB$87,Formula!H29,41)),IF(INDEX(Properties!A$1:CB$87,Formula!J29,41)=0,10^6,INDEX(Properties!A$1:CB$87,Formula!J29,41)))</f>
        <v>0.68</v>
      </c>
      <c r="EC29" s="75">
        <f t="shared" si="21"/>
        <v>0.57999999999999996</v>
      </c>
      <c r="ED29" s="48">
        <f>((Formula!C29)/(Formula!C29+Formula!E29+Formula!G29+Formula!I29+Formula!K29))*(INDEX(Properties!A$1:CB$87,Formula!B29,45))+((Formula!E29)/(Formula!C29+Formula!E29+Formula!G29+Formula!I29+Formula!K29))*(INDEX(Properties!A$1:CB$87,Formula!D29,45))+((Formula!G29)/(Formula!C29+Formula!E29+Formula!G29+Formula!I29+Formula!K29))*(INDEX(Properties!A$1:CB$87,Formula!F29,45))+((Formula!I29)/(Formula!C29+Formula!E29+Formula!G29+Formula!I29+Formula!K29))*(INDEX(Properties!A$1:CB$87,Formula!H29,45))+((Formula!K29)/(Formula!C29+Formula!E29+Formula!G29+Formula!I29+Formula!K29))*(INDEX(Properties!A$1:CB$87,Formula!J29,45))</f>
        <v>1.2075</v>
      </c>
      <c r="EE29" s="48">
        <f>Formula!C29*(INDEX(Properties!A$1:CB$87,Formula!B29,45))+Formula!E29*(INDEX(Properties!A$1:CB$87,Formula!D29,45))+Formula!G29*(INDEX(Properties!A$1:CB$87,Formula!F29,45))+Formula!I29*(INDEX(Properties!A$1:CB$87,Formula!H29,45))+Formula!K29*(INDEX(Properties!A$1:CB$87,Formula!J29,45))</f>
        <v>24.15</v>
      </c>
      <c r="EF29" s="48">
        <f>VARP(IF(INDEX(Properties!A$1:CB$87,Formula!B29,45)&lt;&gt;"",INDEX(Properties!A$1:CB$87,Formula!B29,45)),IF(INDEX(Properties!A$1:CB$87,Formula!D29,45)&lt;&gt;"",INDEX(Properties!A$1:CB$87,Formula!D29,45)),IF(INDEX(Properties!A$1:CB$87,Formula!F29,45)&lt;&gt;"",INDEX(Properties!A$1:CB$87,Formula!F29,45)),IF(INDEX(Properties!A$1:CB$87,Formula!H29,45)&lt;&gt;"",INDEX(Properties!A$1:CB$87,Formula!H29,45)),IF(INDEX(Properties!A$1:CB$87,Formula!J29,45)&lt;&gt;"",INDEX(Properties!A$1:CB$87,Formula!J29,45)))</f>
        <v>1.6612240000000003</v>
      </c>
      <c r="EG29" s="48">
        <f>MAX(INDEX(Properties!A$1:CB$87,Formula!B29,45),INDEX(Properties!A$1:CB$87,Formula!D29,45),INDEX(Properties!A$1:CB$87,Formula!F29,45),INDEX(Properties!A$1:CB$87,Formula!H29,45),INDEX(Properties!A$1:CB$87,Formula!J29,45))</f>
        <v>3.37</v>
      </c>
      <c r="EH29" s="48">
        <f>MIN(IF(INDEX(Properties!A$1:CB$87,Formula!B29,45)=0,10^6,INDEX(Properties!A$1:CB$87,Formula!B29,45)),IF(INDEX(Properties!A$1:CB$87,Formula!D29,45)=0,10^6,INDEX(Properties!A$1:CB$87,Formula!D29,45)),IF(INDEX(Properties!A$1:CB$87,Formula!F29,45)=0,10^6,INDEX(Properties!A$1:CB$87,Formula!F29,45)),IF(INDEX(Properties!A$1:CB$87,Formula!H29,45)=0,10^6,INDEX(Properties!A$1:CB$87,Formula!H29,45)),IF(INDEX(Properties!A$1:CB$87,Formula!J29,45)=0,10^6,INDEX(Properties!A$1:CB$87,Formula!J29,45)))</f>
        <v>0.47</v>
      </c>
      <c r="EI29" s="48">
        <f t="shared" si="22"/>
        <v>2.9000000000000004</v>
      </c>
      <c r="EJ29" s="66">
        <f>((Formula!C29)/(Formula!C29+Formula!E29+Formula!G29+Formula!I29+Formula!K29))*(INDEX(Properties!A$1:CB$87,Formula!B29,46))+((Formula!E29)/(Formula!C29+Formula!E29+Formula!G29+Formula!I29+Formula!K29))*(INDEX(Properties!A$1:CB$87,Formula!D29,46))+((Formula!G29)/(Formula!C29+Formula!E29+Formula!G29+Formula!I29+Formula!K29))*(INDEX(Properties!A$1:CB$87,Formula!F29,46))+((Formula!I29)/(Formula!C29+Formula!E29+Formula!G29+Formula!I29+Formula!K29))*(INDEX(Properties!A$1:CB$87,Formula!H29,46))+((Formula!K29)/(Formula!C29+Formula!E29+Formula!G29+Formula!I29+Formula!K29))*(INDEX(Properties!A$1:CB$87,Formula!J29,46))</f>
        <v>1.0085</v>
      </c>
      <c r="EK29" s="66">
        <f>Formula!C29*(INDEX(Properties!A$1:CB$87,Formula!B29,46))+Formula!E29*(INDEX(Properties!A$1:CB$87,Formula!D29,46))+Formula!G29*(INDEX(Properties!A$1:CB$87,Formula!F29,46))+Formula!I29*(INDEX(Properties!A$1:CB$87,Formula!H29,46))+Formula!K29*(INDEX(Properties!A$1:CB$87,Formula!J29,46))</f>
        <v>20.170000000000002</v>
      </c>
      <c r="EL29" s="66">
        <f>VARP(IF(INDEX(Properties!A$1:CB$87,Formula!B29,46)&lt;&gt;"",INDEX(Properties!A$1:CB$87,Formula!B29,46)),IF(INDEX(Properties!A$1:CB$87,Formula!D29,46)&lt;&gt;"",INDEX(Properties!A$1:CB$87,Formula!D29,46)),IF(INDEX(Properties!A$1:CB$87,Formula!F29,46)&lt;&gt;"",INDEX(Properties!A$1:CB$87,Formula!F29,46)),IF(INDEX(Properties!A$1:CB$87,Formula!H29,46)&lt;&gt;"",INDEX(Properties!A$1:CB$87,Formula!H29,46)),IF(INDEX(Properties!A$1:CB$87,Formula!J29,46)&lt;&gt;"",INDEX(Properties!A$1:CB$87,Formula!J29,46)))</f>
        <v>0.24869600000000003</v>
      </c>
      <c r="EM29" s="66">
        <f>MAX(INDEX(Properties!A$1:CB$87,Formula!B29,46),INDEX(Properties!A$1:CB$87,Formula!D29,46),INDEX(Properties!A$1:CB$87,Formula!F29,46),INDEX(Properties!A$1:CB$87,Formula!H29,46),INDEX(Properties!A$1:CB$87,Formula!J29,46))</f>
        <v>1.21</v>
      </c>
      <c r="EN29" s="66">
        <f>MIN(IF(INDEX(Properties!A$1:CB$87,Formula!B29,46)=0,10^6,INDEX(Properties!A$1:CB$87,Formula!B29,46)),IF(INDEX(Properties!A$1:CB$87,Formula!D29,46)=0,10^6,INDEX(Properties!A$1:CB$87,Formula!D29,46)),IF(INDEX(Properties!A$1:CB$87,Formula!F29,46)=0,10^6,INDEX(Properties!A$1:CB$87,Formula!F29,46)),IF(INDEX(Properties!A$1:CB$87,Formula!H29,46)=0,10^6,INDEX(Properties!A$1:CB$87,Formula!H29,46)),IF(INDEX(Properties!A$1:CB$87,Formula!J29,46)=0,10^6,INDEX(Properties!A$1:CB$87,Formula!J29,46)))</f>
        <v>0.53</v>
      </c>
      <c r="EO29" s="66">
        <f t="shared" si="23"/>
        <v>0.67999999999999994</v>
      </c>
      <c r="EP29" s="81">
        <f>((Formula!C29)/(Formula!C29+Formula!E29+Formula!G29+Formula!I29+Formula!K29))*(INDEX(Properties!A$1:CB$87,Formula!B29,52))+((Formula!E29)/(Formula!C29+Formula!E29+Formula!G29+Formula!I29+Formula!K29))*(INDEX(Properties!A$1:CB$87,Formula!D29,52))+((Formula!G29)/(Formula!C29+Formula!E29+Formula!G29+Formula!I29+Formula!K29))*(INDEX(Properties!A$1:CB$87,Formula!F29,52))+((Formula!I29)/(Formula!C29+Formula!E29+Formula!G29+Formula!I29+Formula!K29))*(INDEX(Properties!A$1:CB$87,Formula!H29,52))+((Formula!K29)/(Formula!C29+Formula!E29+Formula!G29+Formula!I29+Formula!K29))*(INDEX(Properties!A$1:CB$87,Formula!J29,52))</f>
        <v>5.835799999999999</v>
      </c>
      <c r="EQ29" s="81">
        <f>Formula!C29*(INDEX(Properties!A$1:CB$87,Formula!B29,52))+Formula!E29*(INDEX(Properties!A$1:CB$87,Formula!D29,52))+Formula!G29*(INDEX(Properties!A$1:CB$87,Formula!F29,52))+Formula!I29*(INDEX(Properties!A$1:CB$87,Formula!H29,52))+Formula!K29*(INDEX(Properties!A$1:CB$87,Formula!J29,52))</f>
        <v>116.71599999999999</v>
      </c>
      <c r="ER29" s="81">
        <f>VARP(IF(INDEX(Properties!A$1:CB$87,Formula!B29,52)&lt;&gt;"",INDEX(Properties!A$1:CB$87,Formula!B29,52)),IF(INDEX(Properties!A$1:CB$87,Formula!D29,52)&lt;&gt;"",INDEX(Properties!A$1:CB$87,Formula!D29,52)),IF(INDEX(Properties!A$1:CB$87,Formula!F29,52)&lt;&gt;"",INDEX(Properties!A$1:CB$87,Formula!F29,52)),IF(INDEX(Properties!A$1:CB$87,Formula!H29,52)&lt;&gt;"",INDEX(Properties!A$1:CB$87,Formula!H29,52)),IF(INDEX(Properties!A$1:CB$87,Formula!J29,52)&lt;&gt;"",INDEX(Properties!A$1:CB$87,Formula!J29,52)))</f>
        <v>71.403127839999982</v>
      </c>
      <c r="ES29" s="81">
        <f>MAX(INDEX(Properties!A$1:CB$87,Formula!B29,52),INDEX(Properties!A$1:CB$87,Formula!D29,52),INDEX(Properties!A$1:CB$87,Formula!F29,52),INDEX(Properties!A$1:CB$87,Formula!H29,52),INDEX(Properties!A$1:CB$87,Formula!J29,52))</f>
        <v>21.9</v>
      </c>
      <c r="ET29" s="81">
        <f>MIN(IF(INDEX(Properties!A$1:CB$87,Formula!B29,52)=0,10^6,INDEX(Properties!A$1:CB$87,Formula!B29,52)),IF(INDEX(Properties!A$1:CB$87,Formula!D29,52)=0,10^6,INDEX(Properties!A$1:CB$87,Formula!D29,52)),IF(INDEX(Properties!A$1:CB$87,Formula!F29,52)=0,10^6,INDEX(Properties!A$1:CB$87,Formula!F29,52)),IF(INDEX(Properties!A$1:CB$87,Formula!H29,52)=0,10^6,INDEX(Properties!A$1:CB$87,Formula!H29,52)),IF(INDEX(Properties!A$1:CB$87,Formula!J29,52)=0,10^6,INDEX(Properties!A$1:CB$87,Formula!J29,52)))</f>
        <v>0.79300000000000004</v>
      </c>
      <c r="EU29" s="81">
        <f t="shared" si="24"/>
        <v>21.106999999999999</v>
      </c>
      <c r="EV29" s="39">
        <f>((Formula!C29)/(Formula!C29+Formula!E29+Formula!G29+Formula!I29+Formula!K29))*(INDEX(Properties!A$1:CB$87,Formula!B29,53))+((Formula!E29)/(Formula!C29+Formula!E29+Formula!G29+Formula!I29+Formula!K29))*(INDEX(Properties!A$1:CB$87,Formula!D29,53))+((Formula!G29)/(Formula!C29+Formula!E29+Formula!G29+Formula!I29+Formula!K29))*(INDEX(Properties!A$1:CB$87,Formula!F29,53))+((Formula!I29)/(Formula!C29+Formula!E29+Formula!G29+Formula!I29+Formula!K29))*(INDEX(Properties!A$1:CB$87,Formula!H29,53))+((Formula!K29)/(Formula!C29+Formula!E29+Formula!G29+Formula!I29+Formula!K29))*(INDEX(Properties!A$1:CB$87,Formula!J29,53))</f>
        <v>556.56000000000006</v>
      </c>
      <c r="EW29" s="39">
        <f>Formula!C29*(INDEX(Properties!A$1:CB$87,Formula!B29,53))+Formula!E29*(INDEX(Properties!A$1:CB$87,Formula!D29,53))+Formula!G29*(INDEX(Properties!A$1:CB$87,Formula!F29,53))+Formula!I29*(INDEX(Properties!A$1:CB$87,Formula!H29,53))+Formula!K29*(INDEX(Properties!A$1:CB$87,Formula!J29,53))</f>
        <v>11131.2</v>
      </c>
      <c r="EX29" s="39">
        <f>VARP(IF(INDEX(Properties!A$1:CB$87,Formula!B29,53)&lt;&gt;"",INDEX(Properties!A$1:CB$87,Formula!B29,53)),IF(INDEX(Properties!A$1:CB$87,Formula!D29,53)&lt;&gt;"",INDEX(Properties!A$1:CB$87,Formula!D29,53)),IF(INDEX(Properties!A$1:CB$87,Formula!F29,53)&lt;&gt;"",INDEX(Properties!A$1:CB$87,Formula!F29,53)),IF(INDEX(Properties!A$1:CB$87,Formula!H29,53)&lt;&gt;"",INDEX(Properties!A$1:CB$87,Formula!H29,53)),IF(INDEX(Properties!A$1:CB$87,Formula!J29,53)&lt;&gt;"",INDEX(Properties!A$1:CB$87,Formula!J29,53)))</f>
        <v>582485.92539999995</v>
      </c>
      <c r="EY29" s="39">
        <f>MAX(INDEX(Properties!A$1:CB$87,Formula!B29,53),INDEX(Properties!A$1:CB$87,Formula!D29,53),INDEX(Properties!A$1:CB$87,Formula!F29,53),INDEX(Properties!A$1:CB$87,Formula!H29,53),INDEX(Properties!A$1:CB$87,Formula!J29,53))</f>
        <v>1936.15</v>
      </c>
      <c r="EZ29" s="39">
        <f>MIN(IF(INDEX(Properties!A$1:CB$87,Formula!B29,53)=0,10^6,INDEX(Properties!A$1:CB$87,Formula!B29,53)),IF(INDEX(Properties!A$1:CB$87,Formula!D29,53)=0,10^6,INDEX(Properties!A$1:CB$87,Formula!D29,53)),IF(INDEX(Properties!A$1:CB$87,Formula!F29,53)=0,10^6,INDEX(Properties!A$1:CB$87,Formula!F29,53)),IF(INDEX(Properties!A$1:CB$87,Formula!H29,53)=0,10^6,INDEX(Properties!A$1:CB$87,Formula!H29,53)),IF(INDEX(Properties!A$1:CB$87,Formula!J29,53)=0,10^6,INDEX(Properties!A$1:CB$87,Formula!J29,53)))</f>
        <v>54.749999999999972</v>
      </c>
      <c r="FA29" s="39">
        <f t="shared" si="25"/>
        <v>1881.4</v>
      </c>
      <c r="FB29" s="54">
        <f>((Formula!C29)/(Formula!C29+Formula!E29+Formula!G29+Formula!I29+Formula!K29))*(INDEX(Properties!A$1:CB$87,Formula!B29,54))+((Formula!E29)/(Formula!C29+Formula!E29+Formula!G29+Formula!I29+Formula!K29))*(INDEX(Properties!A$1:CB$87,Formula!D29,54))+((Formula!G29)/(Formula!C29+Formula!E29+Formula!G29+Formula!I29+Formula!K29))*(INDEX(Properties!A$1:CB$87,Formula!F29,54))+((Formula!I29)/(Formula!C29+Formula!E29+Formula!G29+Formula!I29+Formula!K29))*(INDEX(Properties!A$1:CB$87,Formula!H29,54))+((Formula!K29)/(Formula!C29+Formula!E29+Formula!G29+Formula!I29+Formula!K29))*(INDEX(Properties!A$1:CB$87,Formula!J29,54))</f>
        <v>1290.3999999999999</v>
      </c>
      <c r="FC29" s="54">
        <f>Formula!C29*(INDEX(Properties!A$1:CB$87,Formula!B29,54))+Formula!E29*(INDEX(Properties!A$1:CB$87,Formula!D29,54))+Formula!G29*(INDEX(Properties!A$1:CB$87,Formula!F29,54))+Formula!I29*(INDEX(Properties!A$1:CB$87,Formula!H29,54))+Formula!K29*(INDEX(Properties!A$1:CB$87,Formula!J29,54))</f>
        <v>25808</v>
      </c>
      <c r="FD29" s="54">
        <f>VARP(IF(INDEX(Properties!A$1:CB$87,Formula!B29,54)&lt;&gt;"",INDEX(Properties!A$1:CB$87,Formula!B29,54)),IF(INDEX(Properties!A$1:CB$87,Formula!D29,54)&lt;&gt;"",INDEX(Properties!A$1:CB$87,Formula!D29,54)),IF(INDEX(Properties!A$1:CB$87,Formula!F29,54)&lt;&gt;"",INDEX(Properties!A$1:CB$87,Formula!F29,54)),IF(INDEX(Properties!A$1:CB$87,Formula!H29,54)&lt;&gt;"",INDEX(Properties!A$1:CB$87,Formula!H29,54)),IF(INDEX(Properties!A$1:CB$87,Formula!J29,54)&lt;&gt;"",INDEX(Properties!A$1:CB$87,Formula!J29,54)))</f>
        <v>2511820.1254000003</v>
      </c>
      <c r="FE29" s="54">
        <f>MAX(INDEX(Properties!A$1:CB$87,Formula!B29,54),INDEX(Properties!A$1:CB$87,Formula!D29,54),INDEX(Properties!A$1:CB$87,Formula!F29,54),INDEX(Properties!A$1:CB$87,Formula!H29,54),INDEX(Properties!A$1:CB$87,Formula!J29,54))</f>
        <v>3675.15</v>
      </c>
      <c r="FF29" s="54">
        <f>MIN(IF(INDEX(Properties!A$1:CB$87,Formula!B29,54)=0,10^6,INDEX(Properties!A$1:CB$87,Formula!B29,54)),IF(INDEX(Properties!A$1:CB$87,Formula!D29,54)=0,10^6,INDEX(Properties!A$1:CB$87,Formula!D29,54)),IF(INDEX(Properties!A$1:CB$87,Formula!F29,54)=0,10^6,INDEX(Properties!A$1:CB$87,Formula!F29,54)),IF(INDEX(Properties!A$1:CB$87,Formula!H29,54)=0,10^6,INDEX(Properties!A$1:CB$87,Formula!H29,54)),IF(INDEX(Properties!A$1:CB$87,Formula!J29,54)=0,10^6,INDEX(Properties!A$1:CB$87,Formula!J29,54)))</f>
        <v>90.149999999999977</v>
      </c>
      <c r="FG29" s="54">
        <f t="shared" si="26"/>
        <v>3585</v>
      </c>
      <c r="FH29" s="69">
        <f>((Formula!C29)/(Formula!C29+Formula!E29+Formula!G29+Formula!I29+Formula!K29))*(INDEX(Properties!A$1:CB$87,Formula!B29,55))+((Formula!E29)/(Formula!C29+Formula!E29+Formula!G29+Formula!I29+Formula!K29))*(INDEX(Properties!A$1:CB$87,Formula!D29,55))+((Formula!G29)/(Formula!C29+Formula!E29+Formula!G29+Formula!I29+Formula!K29))*(INDEX(Properties!A$1:CB$87,Formula!F29,55))+((Formula!I29)/(Formula!C29+Formula!E29+Formula!G29+Formula!I29+Formula!K29))*(INDEX(Properties!A$1:CB$87,Formula!H29,55))+((Formula!K29)/(Formula!C29+Formula!E29+Formula!G29+Formula!I29+Formula!K29))*(INDEX(Properties!A$1:CB$87,Formula!J29,55))</f>
        <v>2.1518579999999998</v>
      </c>
      <c r="FI29" s="69">
        <f>Formula!C29*(INDEX(Properties!A$1:CB$87,Formula!B29,55))+Formula!E29*(INDEX(Properties!A$1:CB$87,Formula!D29,54))+Formula!G29*(INDEX(Properties!A$1:CB$87,Formula!F29,55))+Formula!I29*(INDEX(Properties!A$1:CB$87,Formula!H29,55))+Formula!K29*(INDEX(Properties!A$1:CB$87,Formula!J29,55))</f>
        <v>13730.28716</v>
      </c>
      <c r="FJ29" s="69">
        <f>VARP(IF(INDEX(Properties!A$1:CB$87,Formula!B29,55)&lt;&gt;"",INDEX(Properties!A$1:CB$87,Formula!B29,55)),IF(INDEX(Properties!A$1:CB$87,Formula!D29,55)&lt;&gt;"",INDEX(Properties!A$1:CB$87,Formula!D29,55)),IF(INDEX(Properties!A$1:CB$87,Formula!F29,55)&lt;&gt;"",INDEX(Properties!A$1:CB$87,Formula!F29,55)),IF(INDEX(Properties!A$1:CB$87,Formula!H29,55)&lt;&gt;"",INDEX(Properties!A$1:CB$87,Formula!H29,55)),IF(INDEX(Properties!A$1:CB$87,Formula!J29,55)&lt;&gt;"",INDEX(Properties!A$1:CB$87,Formula!J29,55)))</f>
        <v>14.531621751184</v>
      </c>
      <c r="FK29" s="69">
        <f>MAX(INDEX(Properties!A$1:CB$87,Formula!B29,55),INDEX(Properties!A$1:CB$87,Formula!D29,55),INDEX(Properties!A$1:CB$87,Formula!F29,55),INDEX(Properties!A$1:CB$87,Formula!H29,55),INDEX(Properties!A$1:CB$87,Formula!J29,55))</f>
        <v>9.84</v>
      </c>
      <c r="FL29" s="69">
        <f>MIN(IF(INDEX(Properties!A$1:CB$87,Formula!B29,55)=0,10^6,INDEX(Properties!A$1:CB$87,Formula!B29,55)),IF(INDEX(Properties!A$1:CB$87,Formula!D29,55)=0,10^6,INDEX(Properties!A$1:CB$87,Formula!D29,55)),IF(INDEX(Properties!A$1:CB$87,Formula!F29,55)=0,10^6,INDEX(Properties!A$1:CB$87,Formula!F29,55)),IF(INDEX(Properties!A$1:CB$87,Formula!H29,55)=0,10^6,INDEX(Properties!A$1:CB$87,Formula!H29,55)),IF(INDEX(Properties!A$1:CB$87,Formula!J29,55)=0,10^6,INDEX(Properties!A$1:CB$87,Formula!J29,55)))</f>
        <v>1.4300000000000001E-3</v>
      </c>
      <c r="FM29" s="69">
        <f t="shared" si="27"/>
        <v>9.8385700000000007</v>
      </c>
      <c r="FN29" s="42">
        <f>((Formula!C29)/(Formula!C29+Formula!E29+Formula!G29+Formula!I29+Formula!K29))*(INDEX(Properties!A$1:CB$87,Formula!B29,56))+((Formula!E29)/(Formula!C29+Formula!E29+Formula!G29+Formula!I29+Formula!K29))*(INDEX(Properties!A$1:CB$87,Formula!D29,56))+((Formula!G29)/(Formula!C29+Formula!E29+Formula!G29+Formula!I29+Formula!K29))*(INDEX(Properties!A$1:CB$87,Formula!F29,56))+((Formula!I29)/(Formula!C29+Formula!E29+Formula!G29+Formula!I29+Formula!K29))*(INDEX(Properties!A$1:CB$87,Formula!H29,56))+((Formula!K29)/(Formula!C29+Formula!E29+Formula!G29+Formula!I29+Formula!K29))*(INDEX(Properties!A$1:CB$87,Formula!J29,56))</f>
        <v>0.7995000000000001</v>
      </c>
      <c r="FO29" s="42">
        <f>Formula!C29*(INDEX(Properties!A$1:CB$87,Formula!B29,56))+Formula!E29*(INDEX(Properties!A$1:CB$87,Formula!D29,56))+Formula!G29*(INDEX(Properties!A$1:CB$87,Formula!F29,56))+Formula!I29*(INDEX(Properties!A$1:CB$87,Formula!H29,56))+Formula!K29*(INDEX(Properties!A$1:CB$87,Formula!J29,56))</f>
        <v>15.990000000000002</v>
      </c>
      <c r="FP29" s="42">
        <f>VARP(IF(INDEX(Properties!A$1:CB$87,Formula!B29,56)&lt;&gt;"",INDEX(Properties!A$1:CB$87,Formula!B29,56)),IF(INDEX(Properties!A$1:CB$87,Formula!D29,56)&lt;&gt;"",INDEX(Properties!A$1:CB$87,Formula!D29,56)),IF(INDEX(Properties!A$1:CB$87,Formula!F29,56)&lt;&gt;"",INDEX(Properties!A$1:CB$87,Formula!F29,56)),IF(INDEX(Properties!A$1:CB$87,Formula!H29,56)&lt;&gt;"",INDEX(Properties!A$1:CB$87,Formula!H29,56)),IF(INDEX(Properties!A$1:CB$87,Formula!J29,56)&lt;&gt;"",INDEX(Properties!A$1:CB$87,Formula!J29,56)))</f>
        <v>0.18054400000000001</v>
      </c>
      <c r="FQ29" s="42">
        <f>MAX(INDEX(Properties!A$1:CB$87,Formula!B29,56),INDEX(Properties!A$1:CB$87,Formula!D29,56),INDEX(Properties!A$1:CB$87,Formula!F29,56),INDEX(Properties!A$1:CB$87,Formula!H29,56),INDEX(Properties!A$1:CB$87,Formula!J29,56))</f>
        <v>0.92</v>
      </c>
      <c r="FR29" s="42">
        <f>MIN(IF(INDEX(Properties!A$1:CB$87,Formula!B29,56)=0,10^6,INDEX(Properties!A$1:CB$87,Formula!B29,56)),IF(INDEX(Properties!A$1:CB$87,Formula!D29,56)=0,10^6,INDEX(Properties!A$1:CB$87,Formula!D29,56)),IF(INDEX(Properties!A$1:CB$87,Formula!F29,56)=0,10^6,INDEX(Properties!A$1:CB$87,Formula!F29,56)),IF(INDEX(Properties!A$1:CB$87,Formula!H29,56)=0,10^6,INDEX(Properties!A$1:CB$87,Formula!H29,56)),IF(INDEX(Properties!A$1:CB$87,Formula!J29,56)=0,10^6,INDEX(Properties!A$1:CB$87,Formula!J29,56)))</f>
        <v>0.15</v>
      </c>
      <c r="FS29" s="42">
        <f t="shared" si="28"/>
        <v>0.77</v>
      </c>
      <c r="FT29" s="60">
        <f>((Formula!C29)/(Formula!C29+Formula!E29+Formula!G29+Formula!I29+Formula!K29))*(INDEX(Properties!A$1:CB$87,Formula!B29,57))+((Formula!E29)/(Formula!C29+Formula!E29+Formula!G29+Formula!I29+Formula!K29))*(INDEX(Properties!A$1:CB$87,Formula!D29,57))+((Formula!G29)/(Formula!C29+Formula!E29+Formula!G29+Formula!I29+Formula!K29))*(INDEX(Properties!A$1:CB$87,Formula!F29,57))+((Formula!I29)/(Formula!C29+Formula!E29+Formula!G29+Formula!I29+Formula!K29))*(INDEX(Properties!A$1:CB$87,Formula!H29,57))+((Formula!K29)/(Formula!C29+Formula!E29+Formula!G29+Formula!I29+Formula!K29))*(INDEX(Properties!A$1:CB$87,Formula!J29,57))</f>
        <v>5.621054</v>
      </c>
      <c r="FU29" s="60">
        <f>Formula!C29*(INDEX(Properties!A$1:CB$87,Formula!B29,57))+Formula!E29*(INDEX(Properties!A$1:CB$87,Formula!D29,57))+Formula!G29*(INDEX(Properties!A$1:CB$87,Formula!F29,57))+Formula!I29*(INDEX(Properties!A$1:CB$87,Formula!H29,57))+Formula!K29*(INDEX(Properties!A$1:CB$87,Formula!J29,57))</f>
        <v>112.42108</v>
      </c>
      <c r="FV29" s="60">
        <f>VARP(IF(INDEX(Properties!A$1:CB$87,Formula!B29,57)&lt;&gt;"",INDEX(Properties!A$1:CB$87,Formula!B29,57)),IF(INDEX(Properties!A$1:CB$87,Formula!D29,57)&lt;&gt;"",INDEX(Properties!A$1:CB$87,Formula!D29,57)),IF(INDEX(Properties!A$1:CB$87,Formula!F29,57)&lt;&gt;"",INDEX(Properties!A$1:CB$87,Formula!F29,57)),IF(INDEX(Properties!A$1:CB$87,Formula!H29,57)&lt;&gt;"",INDEX(Properties!A$1:CB$87,Formula!H29,57)),IF(INDEX(Properties!A$1:CB$87,Formula!J29,57)&lt;&gt;"",INDEX(Properties!A$1:CB$87,Formula!J29,57)))</f>
        <v>57.410509801296001</v>
      </c>
      <c r="FW29" s="60">
        <f>MAX(INDEX(Properties!A$1:CB$87,Formula!B29,57),INDEX(Properties!A$1:CB$87,Formula!D29,57),INDEX(Properties!A$1:CB$87,Formula!F29,57),INDEX(Properties!A$1:CB$87,Formula!H29,57),INDEX(Properties!A$1:CB$87,Formula!J29,57))</f>
        <v>18.600000000000001</v>
      </c>
      <c r="FX29" s="60">
        <f>MIN(IF(INDEX(Properties!A$1:CB$87,Formula!B29,57)=0,10^6,INDEX(Properties!A$1:CB$87,Formula!B29,57)),IF(INDEX(Properties!A$1:CB$87,Formula!D29,57)=0,10^6,INDEX(Properties!A$1:CB$87,Formula!D29,57)),IF(INDEX(Properties!A$1:CB$87,Formula!F29,57)=0,10^6,INDEX(Properties!A$1:CB$87,Formula!F29,57)),IF(INDEX(Properties!A$1:CB$87,Formula!H29,57)=0,10^6,INDEX(Properties!A$1:CB$87,Formula!H29,57)),IF(INDEX(Properties!A$1:CB$87,Formula!J29,57)=0,10^6,INDEX(Properties!A$1:CB$87,Formula!J29,57)))</f>
        <v>0.22259000000000001</v>
      </c>
      <c r="FY29" s="60">
        <f t="shared" si="29"/>
        <v>18.377410000000001</v>
      </c>
      <c r="FZ29" s="72">
        <f>((Formula!C29)/(Formula!C29+Formula!E29+Formula!G29+Formula!I29+Formula!K29))*(INDEX(Properties!A$1:CB$87,Formula!B29,60))+((Formula!E29)/(Formula!C29+Formula!E29+Formula!G29+Formula!I29+Formula!K29))*(INDEX(Properties!A$1:CB$87,Formula!D29,60))+((Formula!G29)/(Formula!C29+Formula!E29+Formula!G29+Formula!I29+Formula!K29))*(INDEX(Properties!A$1:CB$87,Formula!F29,60))+((Formula!I29)/(Formula!C29+Formula!E29+Formula!G29+Formula!I29+Formula!K29))*(INDEX(Properties!A$1:CB$87,Formula!H29,60))+((Formula!K29)/(Formula!C29+Formula!E29+Formula!G29+Formula!I29+Formula!K29))*(INDEX(Properties!A$1:CB$87,Formula!J29,60))</f>
        <v>61.726044000000002</v>
      </c>
      <c r="GA29" s="72">
        <f>Formula!C29*(INDEX(Properties!A$1:CB$87,Formula!B29,60))+Formula!E29*(INDEX(Properties!A$1:CB$87,Formula!D29,60))+Formula!G29*(INDEX(Properties!A$1:CB$87,Formula!F29,60))+Formula!I29*(INDEX(Properties!A$1:CB$87,Formula!H29,60))+Formula!K29*(INDEX(Properties!A$1:CB$87,Formula!J29,60))</f>
        <v>1234.52088</v>
      </c>
      <c r="GB29" s="72">
        <f>VARP(IF(INDEX(Properties!A$1:CB$87,Formula!B29,60)&lt;&gt;"",INDEX(Properties!A$1:CB$87,Formula!B29,60)),IF(INDEX(Properties!A$1:CB$87,Formula!D29,60)&lt;&gt;"",INDEX(Properties!A$1:CB$87,Formula!D29,60)),IF(INDEX(Properties!A$1:CB$87,Formula!F29,60)&lt;&gt;"",INDEX(Properties!A$1:CB$87,Formula!F29,60)),IF(INDEX(Properties!A$1:CB$87,Formula!H29,60)&lt;&gt;"",INDEX(Properties!A$1:CB$87,Formula!H29,60)),IF(INDEX(Properties!A$1:CB$87,Formula!J29,60)&lt;&gt;"",INDEX(Properties!A$1:CB$87,Formula!J29,60)))</f>
        <v>8718.5876411244153</v>
      </c>
      <c r="GC29" s="72">
        <f>MAX(INDEX(Properties!A$1:CB$87,Formula!B29,60),INDEX(Properties!A$1:CB$87,Formula!D29,60),INDEX(Properties!A$1:CB$87,Formula!F29,60),INDEX(Properties!A$1:CB$87,Formula!H29,60),INDEX(Properties!A$1:CB$87,Formula!J29,60))</f>
        <v>237</v>
      </c>
      <c r="GD29" s="72">
        <f>MIN(IF(INDEX(Properties!A$1:CB$87,Formula!B29,60)=0,10^6,INDEX(Properties!A$1:CB$87,Formula!B29,60)),IF(INDEX(Properties!A$1:CB$87,Formula!D29,60)=0,10^6,INDEX(Properties!A$1:CB$87,Formula!D29,60)),IF(INDEX(Properties!A$1:CB$87,Formula!F29,60)=0,10^6,INDEX(Properties!A$1:CB$87,Formula!F29,60)),IF(INDEX(Properties!A$1:CB$87,Formula!H29,60)=0,10^6,INDEX(Properties!A$1:CB$87,Formula!H29,60)),IF(INDEX(Properties!A$1:CB$87,Formula!J29,60)=0,10^6,INDEX(Properties!A$1:CB$87,Formula!J29,60)))</f>
        <v>2.674E-2</v>
      </c>
      <c r="GE29" s="72">
        <f t="shared" si="30"/>
        <v>236.97326000000001</v>
      </c>
      <c r="GF29" s="51">
        <f>((Formula!C29)/(Formula!C29+Formula!E29+Formula!G29+Formula!I29+Formula!K29))*(INDEX(Properties!A$1:CB$87,Formula!B29,62))+((Formula!E29)/(Formula!C29+Formula!E29+Formula!G29+Formula!I29+Formula!K29))*(INDEX(Properties!A$1:CB$87,Formula!D29,62))+((Formula!G29)/(Formula!C29+Formula!E29+Formula!G29+Formula!I29+Formula!K29))*(INDEX(Properties!A$1:CB$87,Formula!F29,62))+((Formula!I29)/(Formula!C29+Formula!E29+Formula!G29+Formula!I29+Formula!K29))*(INDEX(Properties!A$1:CB$87,Formula!H29,62))+((Formula!K29)/(Formula!C29+Formula!E29+Formula!G29+Formula!I29+Formula!K29))*(INDEX(Properties!A$1:CB$87,Formula!J29,62))</f>
        <v>3.0840000000000001</v>
      </c>
      <c r="GG29" s="51">
        <f>Formula!C29*(INDEX(Properties!A$1:CB$87,Formula!B29,62))+Formula!E29*(INDEX(Properties!A$1:CB$87,Formula!D29,62))+Formula!G29*(INDEX(Properties!A$1:CB$87,Formula!F29,62))+Formula!I29*(INDEX(Properties!A$1:CB$87,Formula!H29,62))+Formula!K29*(INDEX(Properties!A$1:CB$87,Formula!J29,62))</f>
        <v>61.68</v>
      </c>
      <c r="GH29" s="51">
        <f>VARP(IF(INDEX(Properties!A$1:CB$87,Formula!B29,62)&lt;&gt;"",INDEX(Properties!A$1:CB$87,Formula!B29,62)),IF(INDEX(Properties!A$1:CB$87,Formula!D29,62)&lt;&gt;"",INDEX(Properties!A$1:CB$87,Formula!D29,62)),IF(INDEX(Properties!A$1:CB$87,Formula!F29,62)&lt;&gt;"",INDEX(Properties!A$1:CB$87,Formula!F29,62)),IF(INDEX(Properties!A$1:CB$87,Formula!H29,62)&lt;&gt;"",INDEX(Properties!A$1:CB$87,Formula!H29,62)),IF(INDEX(Properties!A$1:CB$87,Formula!J29,62)&lt;&gt;"",INDEX(Properties!A$1:CB$87,Formula!J29,62)))</f>
        <v>3.2365359999999992</v>
      </c>
      <c r="GI29" s="51">
        <f>MAX(INDEX(Properties!A$1:CB$87,Formula!B29,62),INDEX(Properties!A$1:CB$87,Formula!D29,62),INDEX(Properties!A$1:CB$87,Formula!F29,62),INDEX(Properties!A$1:CB$87,Formula!H29,62),INDEX(Properties!A$1:CB$87,Formula!J29,62))</f>
        <v>4.43</v>
      </c>
      <c r="GJ29" s="51">
        <f>MIN(IF(INDEX(Properties!A$1:CB$87,Formula!B29,62)=0,10^6,INDEX(Properties!A$1:CB$87,Formula!B29,62)),IF(INDEX(Properties!A$1:CB$87,Formula!D29,62)=0,10^6,INDEX(Properties!A$1:CB$87,Formula!D29,62)),IF(INDEX(Properties!A$1:CB$87,Formula!F29,62)=0,10^6,INDEX(Properties!A$1:CB$87,Formula!F29,62)),IF(INDEX(Properties!A$1:CB$87,Formula!H29,62)=0,10^6,INDEX(Properties!A$1:CB$87,Formula!H29,62)),IF(INDEX(Properties!A$1:CB$87,Formula!J29,62)=0,10^6,INDEX(Properties!A$1:CB$87,Formula!J29,62)))</f>
        <v>2.62</v>
      </c>
      <c r="GK29" s="51">
        <f t="shared" si="31"/>
        <v>1.8099999999999996</v>
      </c>
      <c r="GL29" s="51">
        <f>Formula!P29</f>
        <v>230</v>
      </c>
      <c r="GM29" s="57">
        <f>Formula!O29</f>
        <v>7</v>
      </c>
      <c r="GN29" s="51">
        <f>Formula!N29</f>
        <v>0.1</v>
      </c>
    </row>
    <row r="30" spans="1:196" x14ac:dyDescent="0.3">
      <c r="A30" s="84" t="str">
        <f>Formula!A30</f>
        <v>CaMoO4</v>
      </c>
      <c r="B30" s="89">
        <f>((Formula!C30)/(Formula!C30+Formula!E30+Formula!G30+Formula!I30+Formula!K30))*(INDEX(Properties!A$1:CB$87,Formula!B30,3))+((Formula!E30)/(Formula!C30+Formula!E30+Formula!G30+Formula!I30+Formula!K30))*(INDEX(Properties!A$1:CB$87,Formula!D30,3))+((Formula!G30)/(Formula!C30+Formula!E30+Formula!G30+Formula!I30+Formula!K30))*(INDEX(Properties!A$1:CB$87,Formula!F30,3))+((Formula!I30)/(Formula!C30+Formula!E30+Formula!G30+Formula!I30+Formula!K30))*(INDEX(Properties!A$1:CB$87,Formula!H30,3))+((Formula!K30)/(Formula!C30+Formula!E30+Formula!G30+Formula!I30+Formula!K30))*(INDEX(Properties!A$1:CB$87,Formula!J30,3))</f>
        <v>33.337599999999995</v>
      </c>
      <c r="C30" s="85">
        <f>Formula!C30*(INDEX(Properties!A$1:CB$87,Formula!B30,3))+Formula!E30*(INDEX(Properties!A$1:CB$87,Formula!D30,3))+Formula!G30*(INDEX(Properties!A$1:CB$87,Formula!F30,3))+Formula!I30*(INDEX(Properties!A$1:CB$87,Formula!H30,3))+Formula!K30*(INDEX(Properties!A$1:CB$87,Formula!J30,3))</f>
        <v>200.02560000000003</v>
      </c>
      <c r="D30" s="85">
        <f>VARP(IF(INDEX(Properties!A$1:CB$87,Formula!B30,3)&lt;&gt;"",INDEX(Properties!A$1:CB$87,Formula!B30,3)),IF(INDEX(Properties!A$1:CB$87,Formula!D30,3)&lt;&gt;"",INDEX(Properties!A$1:CB$87,Formula!D30,3)),IF(INDEX(Properties!A$1:CB$87,Formula!F30,3)&lt;&gt;"",INDEX(Properties!A$1:CB$87,Formula!F30,3)),IF(INDEX(Properties!A$1:CB$87,Formula!H30,3)&lt;&gt;"",INDEX(Properties!A$1:CB$87,Formula!H30,3)),IF(INDEX(Properties!A$1:CB$87,Formula!J30,3)&lt;&gt;"",INDEX(Properties!A$1:CB$87,Formula!J30,3)))</f>
        <v>1289.2326628415994</v>
      </c>
      <c r="E30" s="85">
        <f>MAX(INDEX(Properties!A$1:CB$87,Formula!B30,3),INDEX(Properties!A$1:CB$87,Formula!D30,3),INDEX(Properties!A$1:CB$87,Formula!F30,3),INDEX(Properties!A$1:CB$87,Formula!H30,3),INDEX(Properties!A$1:CB$87,Formula!J30,3))</f>
        <v>95.95</v>
      </c>
      <c r="F30" s="85">
        <f>MIN(IF(INDEX(Properties!A$1:CB$87,Formula!B30,3)=0,10^6,INDEX(Properties!A$1:CB$87,Formula!B30,3)),IF(INDEX(Properties!A$1:CB$87,Formula!D30,3)=0,10^6,INDEX(Properties!A$1:CB$87,Formula!D30,3)),IF(INDEX(Properties!A$1:CB$87,Formula!F30,3)=0,10^6,INDEX(Properties!A$1:CB$87,Formula!F30,3)),IF(INDEX(Properties!A$1:CB$87,Formula!H30,3)=0,10^6,INDEX(Properties!A$1:CB$87,Formula!H30,3)),IF(INDEX(Properties!A$1:CB$87,Formula!J30,3)=0,10^6,INDEX(Properties!A$1:CB$87,Formula!J30,3)))</f>
        <v>15.9994</v>
      </c>
      <c r="G30" s="85">
        <f t="shared" si="0"/>
        <v>79.950600000000009</v>
      </c>
      <c r="H30" s="87">
        <f>((Formula!C30)/(Formula!C30+Formula!E30+Formula!G30+Formula!I30+Formula!K30))*(INDEX(Properties!A$1:CB$87,Formula!B30,4))+((Formula!E30)/(Formula!C30+Formula!E30+Formula!G30+Formula!I30+Formula!K30))*(INDEX(Properties!A$1:CB$87,Formula!D30,4))+((Formula!G30)/(Formula!C30+Formula!E30+Formula!G30+Formula!I30+Formula!K30))*(INDEX(Properties!A$1:CB$87,Formula!F30,4))+((Formula!I30)/(Formula!C30+Formula!E30+Formula!G30+Formula!I30+Formula!K30))*(INDEX(Properties!A$1:CB$87,Formula!H30,4))+((Formula!K30)/(Formula!C30+Formula!E30+Formula!G30+Formula!I30+Formula!K30))*(INDEX(Properties!A$1:CB$87,Formula!J30,4))</f>
        <v>15.666666666666664</v>
      </c>
      <c r="I30" s="87">
        <f>Formula!C30*(INDEX(Properties!A$1:CB$87,Formula!B30,4))+Formula!E30*(INDEX(Properties!A$1:CB$87,Formula!D30,4))+Formula!G30*(INDEX(Properties!A$1:CB$87,Formula!F30,4))+Formula!I30*(INDEX(Properties!A$1:CB$87,Formula!H30,4))+Formula!K30*(INDEX(Properties!A$1:CB$87,Formula!J30,4))</f>
        <v>94</v>
      </c>
      <c r="J30" s="87">
        <f>VARP(IF(INDEX(Properties!A$1:CB$87,Formula!B30,4)&lt;&gt;"",INDEX(Properties!A$1:CB$87,Formula!B30,4)),IF(INDEX(Properties!A$1:CB$87,Formula!D30,4)&lt;&gt;"",INDEX(Properties!A$1:CB$87,Formula!D30,4)),IF(INDEX(Properties!A$1:CB$87,Formula!F30,4)&lt;&gt;"",INDEX(Properties!A$1:CB$87,Formula!F30,4)),IF(INDEX(Properties!A$1:CB$87,Formula!H30,4)&lt;&gt;"",INDEX(Properties!A$1:CB$87,Formula!H30,4)),IF(INDEX(Properties!A$1:CB$87,Formula!J30,4)&lt;&gt;"",INDEX(Properties!A$1:CB$87,Formula!J30,4)))</f>
        <v>249.6</v>
      </c>
      <c r="K30" s="87">
        <f>MAX(INDEX(Properties!A$1:CB$87,Formula!B30,4),INDEX(Properties!A$1:CB$87,Formula!D30,4),INDEX(Properties!A$1:CB$87,Formula!F30,4),INDEX(Properties!A$1:CB$87,Formula!H30,4),INDEX(Properties!A$1:CB$87,Formula!J30,4))</f>
        <v>42</v>
      </c>
      <c r="L30" s="87">
        <f>MIN(IF(INDEX(Properties!A$1:CB$87,Formula!B30,4)=0,10^6,INDEX(Properties!A$1:CB$87,Formula!B30,4)),IF(INDEX(Properties!A$1:CB$87,Formula!D30,4)=0,10^6,INDEX(Properties!A$1:CB$87,Formula!D30,4)),IF(INDEX(Properties!A$1:CB$87,Formula!F30,4)=0,10^6,INDEX(Properties!A$1:CB$87,Formula!F30,4)),IF(INDEX(Properties!A$1:CB$87,Formula!H30,4)=0,10^6,INDEX(Properties!A$1:CB$87,Formula!H30,4)),IF(INDEX(Properties!A$1:CB$87,Formula!J30,4)=0,10^6,INDEX(Properties!A$1:CB$87,Formula!J30,4)))</f>
        <v>8</v>
      </c>
      <c r="M30" s="87">
        <f t="shared" si="1"/>
        <v>34</v>
      </c>
      <c r="N30" s="89">
        <f>((Formula!C30)/(Formula!C30+Formula!E30+Formula!G30+Formula!I30+Formula!K30))*(INDEX(Properties!A$1:CB$87,Formula!B30,5))+((Formula!E30)/(Formula!C30+Formula!E30+Formula!G30+Formula!I30+Formula!K30))*(INDEX(Properties!A$1:CB$87,Formula!D30,5))+((Formula!G30)/(Formula!C30+Formula!E30+Formula!G30+Formula!I30+Formula!K30))*(INDEX(Properties!A$1:CB$87,Formula!F30,5))+((Formula!I30)/(Formula!C30+Formula!E30+Formula!G30+Formula!I30+Formula!K30))*(INDEX(Properties!A$1:CB$87,Formula!H30,5))+((Formula!K30)/(Formula!C30+Formula!E30+Formula!G30+Formula!I30+Formula!K30))*(INDEX(Properties!A$1:CB$87,Formula!J30,5))</f>
        <v>2.833333333333333</v>
      </c>
      <c r="O30" s="89">
        <f>Formula!C30*(INDEX(Properties!A$1:CB$87,Formula!B30,5))+Formula!E30*(INDEX(Properties!A$1:CB$87,Formula!D30,5))+Formula!G30*(INDEX(Properties!A$1:CB$87,Formula!F30,5))+Formula!I30*(INDEX(Properties!A$1:CB$87,Formula!H30,5))+Formula!K30*(INDEX(Properties!A$1:CB$87,Formula!J30,5))</f>
        <v>17</v>
      </c>
      <c r="P30" s="89">
        <f>VARP(IF(INDEX(Properties!A$1:CB$87,Formula!B30,5)&lt;&gt;"",INDEX(Properties!A$1:CB$87,Formula!B30,5)),IF(INDEX(Properties!A$1:CB$87,Formula!D30,5)&lt;&gt;"",INDEX(Properties!A$1:CB$87,Formula!D30,5)),IF(INDEX(Properties!A$1:CB$87,Formula!F30,5)&lt;&gt;"",INDEX(Properties!A$1:CB$87,Formula!F30,5)),IF(INDEX(Properties!A$1:CB$87,Formula!H30,5)&lt;&gt;"",INDEX(Properties!A$1:CB$87,Formula!H30,5)),IF(INDEX(Properties!A$1:CB$87,Formula!J30,5)&lt;&gt;"",INDEX(Properties!A$1:CB$87,Formula!J30,5)))</f>
        <v>4.16</v>
      </c>
      <c r="Q30" s="89">
        <f>MAX(INDEX(Properties!A$1:CB$87,Formula!B30,5),INDEX(Properties!A$1:CB$87,Formula!D30,5),INDEX(Properties!A$1:CB$87,Formula!F30,5),INDEX(Properties!A$1:CB$87,Formula!H30,5),INDEX(Properties!A$1:CB$87,Formula!J30,5))</f>
        <v>5</v>
      </c>
      <c r="R30" s="89">
        <f>MIN(IF(INDEX(Properties!A$1:CB$87,Formula!B30,5)=0,10^6,INDEX(Properties!A$1:CB$87,Formula!B30,5)),IF(INDEX(Properties!A$1:CB$87,Formula!D30,5)=0,10^6,INDEX(Properties!A$1:CB$87,Formula!D30,5)),IF(INDEX(Properties!A$1:CB$87,Formula!F30,5)=0,10^6,INDEX(Properties!A$1:CB$87,Formula!F30,5)),IF(INDEX(Properties!A$1:CB$87,Formula!H30,5)=0,10^6,INDEX(Properties!A$1:CB$87,Formula!H30,5)),IF(INDEX(Properties!A$1:CB$87,Formula!J30,5)=0,10^6,INDEX(Properties!A$1:CB$87,Formula!J30,5)))</f>
        <v>2</v>
      </c>
      <c r="S30" s="89">
        <f t="shared" si="2"/>
        <v>3</v>
      </c>
      <c r="T30" s="60">
        <f>((Formula!C30)/(Formula!C30+Formula!E30+Formula!G30+Formula!I30+Formula!K30))*(INDEX(Properties!A$1:CB$87,Formula!B30,6))+((Formula!E30)/(Formula!C30+Formula!E30+Formula!G30+Formula!I30+Formula!K30))*(INDEX(Properties!A$1:CB$87,Formula!D30,6))+((Formula!G30)/(Formula!C30+Formula!E30+Formula!G30+Formula!I30+Formula!K30))*(INDEX(Properties!A$1:CB$87,Formula!F30,6))+((Formula!I30)/(Formula!C30+Formula!E30+Formula!G30+Formula!I30+Formula!K30))*(INDEX(Properties!A$1:CB$87,Formula!H30,6))+((Formula!K30)/(Formula!C30+Formula!E30+Formula!G30+Formula!I30+Formula!K30))*(INDEX(Properties!A$1:CB$87,Formula!J30,6))</f>
        <v>12</v>
      </c>
      <c r="U30" s="60">
        <f>Formula!C30*(INDEX(Properties!A$1:CB$87,Formula!B30,6))+Formula!E30*(INDEX(Properties!A$1:CB$87,Formula!D30,6))+Formula!G30*(INDEX(Properties!A$1:CB$87,Formula!F30,6))+Formula!I30*(INDEX(Properties!A$1:CB$87,Formula!H30,6))+Formula!K30*(INDEX(Properties!A$1:CB$87,Formula!J30,6))</f>
        <v>72</v>
      </c>
      <c r="V30" s="89">
        <f>VARP(IF(INDEX(Properties!A$1:CB$87,Formula!B30,6)&lt;&gt;"",INDEX(Properties!A$1:CB$87,Formula!B30,6)),IF(INDEX(Properties!A$1:CB$87,Formula!D30,6)&lt;&gt;"",INDEX(Properties!A$1:CB$87,Formula!D30,6)),IF(INDEX(Properties!A$1:CB$87,Formula!F30,6)&lt;&gt;"",INDEX(Properties!A$1:CB$87,Formula!F30,6)),IF(INDEX(Properties!A$1:CB$87,Formula!H30,6)&lt;&gt;"",INDEX(Properties!A$1:CB$87,Formula!H30,6)),IF(INDEX(Properties!A$1:CB$87,Formula!J30,6)&lt;&gt;"",INDEX(Properties!A$1:CB$87,Formula!J30,6)))</f>
        <v>36.159999999999997</v>
      </c>
      <c r="W30" s="60">
        <f>MAX(INDEX(Properties!A$1:CB$87,Formula!B30,6),INDEX(Properties!A$1:CB$87,Formula!D30,6),INDEX(Properties!A$1:CB$87,Formula!F30,6),INDEX(Properties!A$1:CB$87,Formula!H30,4),INDEX(Properties!A$1:CB$87,Formula!J30,6))</f>
        <v>16</v>
      </c>
      <c r="X30" s="60">
        <f>MIN(IF(INDEX(Properties!A$1:CB$87,Formula!B30,6)=0,10^6,INDEX(Properties!A$1:CB$87,Formula!B30,6)),IF(INDEX(Properties!A$1:CB$87,Formula!D30,6)=0,10^6,INDEX(Properties!A$1:CB$87,Formula!D30,6)),IF(INDEX(Properties!A$1:CB$87,Formula!F30,6)=0,10^6,INDEX(Properties!A$1:CB$87,Formula!F30,6)),IF(INDEX(Properties!A$1:CB$87,Formula!H30,6)=0,10^6,INDEX(Properties!A$1:CB$87,Formula!H30,6)),IF(INDEX(Properties!A$1:CB$87,Formula!J30,6)=0,10^6,INDEX(Properties!A$1:CB$87,Formula!J30,6)))</f>
        <v>2</v>
      </c>
      <c r="Y30" s="60">
        <f t="shared" si="3"/>
        <v>14</v>
      </c>
      <c r="Z30" s="72">
        <f>((Formula!C30)/(Formula!C30+Formula!E30+Formula!G30+Formula!I30+Formula!K30))*(INDEX(Properties!A$1:CB$87,Formula!B30,9))+((Formula!E30)/(Formula!C30+Formula!E30+Formula!G30+Formula!I30+Formula!K30))*(INDEX(Properties!A$1:CB$87,Formula!D30,9))+((Formula!G30)/(Formula!C30+Formula!E30+Formula!G30+Formula!I30+Formula!K30))*(INDEX(Properties!A$1:CB$87,Formula!F30,9))+((Formula!I30)/(Formula!C30+Formula!E30+Formula!G30+Formula!I30+Formula!K30))*(INDEX(Properties!A$1:CB$87,Formula!H30,9))+((Formula!K30)/(Formula!C30+Formula!E30+Formula!G30+Formula!I30+Formula!K30))*(INDEX(Properties!A$1:CB$87,Formula!J30,9))</f>
        <v>67.5</v>
      </c>
      <c r="AA30" s="72">
        <f>Formula!C30*(INDEX(Properties!A$1:CB$87,Formula!B30,9))+Formula!E30*(INDEX(Properties!A$1:CB$87,Formula!D30,9))+Formula!G30*(INDEX(Properties!A$1:CB$87,Formula!F30,9))+Formula!I30*(INDEX(Properties!A$1:CB$87,Formula!H30,9))+Formula!K30*(INDEX(Properties!A$1:CB$87,Formula!J30,9))</f>
        <v>405</v>
      </c>
      <c r="AB30" s="72">
        <f>VARP(IF(INDEX(Properties!A$1:CB$87,Formula!B30,9)&lt;&gt;"",INDEX(Properties!A$1:CB$87,Formula!B30,9)),IF(INDEX(Properties!A$1:CB$87,Formula!D30,9)&lt;&gt;"",INDEX(Properties!A$1:CB$87,Formula!D30,9)),IF(INDEX(Properties!A$1:CB$87,Formula!F30,9)&lt;&gt;"",INDEX(Properties!A$1:CB$87,Formula!F30,9)),IF(INDEX(Properties!A$1:CB$87,Formula!H30,9)&lt;&gt;"",INDEX(Properties!A$1:CB$87,Formula!H30,9)),IF(INDEX(Properties!A$1:CB$87,Formula!J30,9)&lt;&gt;"",INDEX(Properties!A$1:CB$87,Formula!J30,9)))</f>
        <v>1194.1600000000001</v>
      </c>
      <c r="AC30" s="72">
        <f>MAX(INDEX(Properties!A$1:CB$87,Formula!B30,9),INDEX(Properties!A$1:CB$87,Formula!D30,9),INDEX(Properties!A$1:CB$87,Formula!F30,9),INDEX(Properties!A$1:CB$87,Formula!H30,9),INDEX(Properties!A$1:CB$87,Formula!J30,9))</f>
        <v>87</v>
      </c>
      <c r="AD30" s="72">
        <f>MIN(IF(INDEX(Properties!A$1:CB$87,Formula!B30,9)=0,10^6,INDEX(Properties!A$1:CB$87,Formula!B30,9)),IF(INDEX(Properties!A$1:CB$87,Formula!D30,9)=0,10^6,INDEX(Properties!A$1:CB$87,Formula!D30,9)),IF(INDEX(Properties!A$1:CB$87,Formula!F30,9)=0,10^6,INDEX(Properties!A$1:CB$87,Formula!F30,9)),IF(INDEX(Properties!A$1:CB$87,Formula!H30,9)=0,10^6,INDEX(Properties!A$1:CB$87,Formula!H30,9)),IF(INDEX(Properties!A$1:CB$87,Formula!J30,9)=0,10^6,INDEX(Properties!A$1:CB$87,Formula!J30,9)))</f>
        <v>7</v>
      </c>
      <c r="AE30" s="72">
        <f t="shared" si="4"/>
        <v>80</v>
      </c>
      <c r="AF30" s="51">
        <f>((Formula!C30)/(Formula!C30+Formula!E30+Formula!G30+Formula!I30+Formula!K30))*(INDEX(Properties!A$1:CB$87,Formula!B30,10))+((Formula!E30)/(Formula!C30+Formula!E30+Formula!G30+Formula!I30+Formula!K30))*(INDEX(Properties!A$1:CB$87,Formula!D30,10))+((Formula!G30)/(Formula!C30+Formula!E30+Formula!G30+Formula!I30+Formula!K30))*(INDEX(Properties!A$1:CB$87,Formula!F30,10))+((Formula!I30)/(Formula!C30+Formula!E30+Formula!G30+Formula!I30+Formula!K30))*(INDEX(Properties!A$1:CB$87,Formula!H30,10))+((Formula!K30)/(Formula!C30+Formula!E30+Formula!G30+Formula!I30+Formula!K30))*(INDEX(Properties!A$1:CB$87,Formula!J30,10))</f>
        <v>5.6666666666666661</v>
      </c>
      <c r="AG30" s="51">
        <f>Formula!C30*(INDEX(Properties!A$1:CB$87,Formula!B30,10))+Formula!E30*(INDEX(Properties!A$1:CB$87,Formula!D30,10))+Formula!G30*(INDEX(Properties!A$1:CB$87,Formula!F30,10))+Formula!I30*(INDEX(Properties!A$1:CB$87,Formula!H30,10))+Formula!K30*(INDEX(Properties!A$1:CB$87,Formula!J30,10))</f>
        <v>34</v>
      </c>
      <c r="AH30" s="51">
        <f>VARP(IF(INDEX(Properties!A$1:CB$87,Formula!B30,10)&lt;&gt;"",INDEX(Properties!A$1:CB$87,Formula!B30,10)),IF(INDEX(Properties!A$1:CB$87,Formula!D30,10)&lt;&gt;"",INDEX(Properties!A$1:CB$87,Formula!D30,10)),IF(INDEX(Properties!A$1:CB$87,Formula!F30,10)&lt;&gt;"",INDEX(Properties!A$1:CB$87,Formula!F30,10)),IF(INDEX(Properties!A$1:CB$87,Formula!H30,10)&lt;&gt;"",INDEX(Properties!A$1:CB$87,Formula!H30,10)),IF(INDEX(Properties!A$1:CB$87,Formula!J30,10)&lt;&gt;"",INDEX(Properties!A$1:CB$87,Formula!J30,10)))</f>
        <v>7.04</v>
      </c>
      <c r="AI30" s="51">
        <f>MAX(INDEX(Properties!A$1:CB$87,Formula!B30,10),INDEX(Properties!A$1:CB$87,Formula!D30,10),INDEX(Properties!A$1:CB$87,Formula!F30,10),INDEX(Properties!A$1:CB$87,Formula!H30,10),INDEX(Properties!A$1:CB$87,Formula!J30,10))</f>
        <v>7</v>
      </c>
      <c r="AJ30" s="51">
        <f>MIN(IF(INDEX(Properties!A$1:CB$87,Formula!B30,10)=0,10^6,INDEX(Properties!A$1:CB$87,Formula!B30,10)),IF(INDEX(Properties!A$1:CB$87,Formula!D30,10)=0,10^6,INDEX(Properties!A$1:CB$87,Formula!D30,10)),IF(INDEX(Properties!A$1:CB$87,Formula!F30,10)=0,10^6,INDEX(Properties!A$1:CB$87,Formula!F30,10)),IF(INDEX(Properties!A$1:CB$87,Formula!H30,10)=0,10^6,INDEX(Properties!A$1:CB$87,Formula!H30,10)),IF(INDEX(Properties!A$1:CB$87,Formula!J30,10)=0,10^6,INDEX(Properties!A$1:CB$87,Formula!J30,10)))</f>
        <v>2</v>
      </c>
      <c r="AK30" s="51">
        <f t="shared" si="5"/>
        <v>5</v>
      </c>
      <c r="AL30" s="57">
        <f>((Formula!C30)/(Formula!C30+Formula!E30+Formula!G30+Formula!I30+Formula!K30))*(INDEX(Properties!A$1:CB$87,Formula!B30,11))+((Formula!E30)/(Formula!C30+Formula!E30+Formula!G30+Formula!I30+Formula!K30))*(INDEX(Properties!A$1:CB$87,Formula!D30,11))+((Formula!G30)/(Formula!C30+Formula!E30+Formula!G30+Formula!I30+Formula!K30))*(INDEX(Properties!A$1:CB$87,Formula!F30,11))+((Formula!I30)/(Formula!C30+Formula!E30+Formula!G30+Formula!I30+Formula!K30))*(INDEX(Properties!A$1:CB$87,Formula!H30,11))+((Formula!K30)/(Formula!C30+Formula!E30+Formula!G30+Formula!I30+Formula!K30))*(INDEX(Properties!A$1:CB$87,Formula!J30,11))</f>
        <v>1.8333333333333333</v>
      </c>
      <c r="AM30" s="57">
        <f>Formula!C30*(INDEX(Properties!A$1:CB$87,Formula!B30,11))+Formula!E30*(INDEX(Properties!A$1:CB$87,Formula!D30,11))+Formula!G30*(INDEX(Properties!A$1:CB$87,Formula!F30,11))+Formula!I30*(INDEX(Properties!A$1:CB$87,Formula!H30,11))+Formula!K30*(INDEX(Properties!A$1:CB$87,Formula!J30,11))</f>
        <v>11</v>
      </c>
      <c r="AN30" s="57">
        <f>VARP(IF(INDEX(Properties!A$1:CB$87,Formula!B30,11)&lt;&gt;"",INDEX(Properties!A$1:CB$87,Formula!B30,11)),IF(INDEX(Properties!A$1:CB$87,Formula!D30,11)&lt;&gt;"",INDEX(Properties!A$1:CB$87,Formula!D30,11)),IF(INDEX(Properties!A$1:CB$87,Formula!F30,11)&lt;&gt;"",INDEX(Properties!A$1:CB$87,Formula!F30,11)),IF(INDEX(Properties!A$1:CB$87,Formula!H30,11)&lt;&gt;"",INDEX(Properties!A$1:CB$87,Formula!H30,11)),IF(INDEX(Properties!A$1:CB$87,Formula!J30,11)&lt;&gt;"",INDEX(Properties!A$1:CB$87,Formula!J30,11)))</f>
        <v>0.8</v>
      </c>
      <c r="AO30" s="57">
        <f>MAX(INDEX(Properties!A$1:CB$87,Formula!B30,11),INDEX(Properties!A$1:CB$87,Formula!D30,11),INDEX(Properties!A$1:CB$87,Formula!F30,11),INDEX(Properties!A$1:CB$87,Formula!H30,11),INDEX(Properties!A$1:CB$87,Formula!J30,11))</f>
        <v>2</v>
      </c>
      <c r="AP30" s="57">
        <f>MIN(IF(Formula!B30=87,10^6,INDEX(Properties!A$1:CB$87,Formula!B30,11)),IF((Formula!D30)=87,10^6,INDEX(Properties!A$1:CB$87,Formula!D30,11)),IF((Formula!F30)=87,10^6,INDEX(Properties!A$1:CB$87,Formula!F30,11)),IF((Formula!H30)=87,10^6,INDEX(Properties!A$1:CB$87,Formula!H30,11)),IF(Formula!J30=87,10^6,INDEX(Properties!A$1:CB$87,Formula!J30,11)))</f>
        <v>1</v>
      </c>
      <c r="AQ30" s="57">
        <f t="shared" si="6"/>
        <v>1</v>
      </c>
      <c r="AR30" s="78">
        <f>((Formula!C30)/(Formula!C30+Formula!E30+Formula!G30+Formula!I30+Formula!K30))*(INDEX(Properties!A$1:CB$87,Formula!B30,12))+((Formula!E30)/(Formula!C30+Formula!E30+Formula!G30+Formula!I30+Formula!K30))*(INDEX(Properties!A$1:CB$87,Formula!D30,12))+((Formula!G30)/(Formula!C30+Formula!E30+Formula!G30+Formula!I30+Formula!K30))*(INDEX(Properties!A$1:CB$87,Formula!F30,12))+((Formula!I30)/(Formula!C30+Formula!E30+Formula!G30+Formula!I30+Formula!K30))*(INDEX(Properties!A$1:CB$87,Formula!H30,12))+((Formula!K30)/(Formula!C30+Formula!E30+Formula!G30+Formula!I30+Formula!K30))*(INDEX(Properties!A$1:CB$87,Formula!J30,12))</f>
        <v>2.6666666666666665</v>
      </c>
      <c r="AS30" s="78">
        <f>Formula!C30*(INDEX(Properties!A$1:CB$87,Formula!B30,12))+Formula!E30*(INDEX(Properties!A$1:CB$87,Formula!D30,12))+Formula!G30*(INDEX(Properties!A$1:CB$87,Formula!F30,12))+Formula!I30*(INDEX(Properties!A$1:CB$87,Formula!H30,12))+Formula!K30*(INDEX(Properties!A$1:CB$87,Formula!J30,12))</f>
        <v>16</v>
      </c>
      <c r="AT30" s="78">
        <f>VARP(IF(INDEX(Properties!A$1:CB$87,Formula!B30,12)&lt;&gt;"",INDEX(Properties!A$1:CB$87,Formula!B30,12)),IF(INDEX(Properties!A$1:CB$87,Formula!D30,12)&lt;&gt;"",INDEX(Properties!A$1:CB$87,Formula!D30,12)),IF(INDEX(Properties!A$1:CB$87,Formula!F30,12)&lt;&gt;"",INDEX(Properties!A$1:CB$87,Formula!F30,12)),IF(INDEX(Properties!A$1:CB$87,Formula!H30,12)&lt;&gt;"",INDEX(Properties!A$1:CB$87,Formula!H30,12)),IF(INDEX(Properties!A$1:CB$87,Formula!J30,12)&lt;&gt;"",INDEX(Properties!A$1:CB$87,Formula!J30,12)))</f>
        <v>2.56</v>
      </c>
      <c r="AU30" s="78">
        <f>MAX(INDEX(Properties!A$1:CB$87,Formula!B30,12),INDEX(Properties!A$1:CB$87,Formula!D30,12),INDEX(Properties!A$1:CB$87,Formula!F30,12),INDEX(Properties!A$1:CB$87,Formula!H30,12),INDEX(Properties!A$1:CB$87,Formula!J30,12))</f>
        <v>4</v>
      </c>
      <c r="AV30" s="78">
        <f>MIN(IF(Formula!B30=87,10^6,INDEX(Properties!A$1:CB$87,Formula!B30,12)),IF((Formula!D30)=87,10^6,INDEX(Properties!A$1:CB$87,Formula!D30,12)),IF((Formula!F30)=87,10^6,INDEX(Properties!A$1:CB$87,Formula!F30,12)),IF((Formula!H30)=87,10^6,INDEX(Properties!A$1:CB$87,Formula!H30,12)),IF(Formula!J30=87,10^6,INDEX(Properties!A$1:CB$87,Formula!J30,12)))</f>
        <v>0</v>
      </c>
      <c r="AW30" s="78">
        <f t="shared" si="7"/>
        <v>4</v>
      </c>
      <c r="AX30" s="45">
        <f>((Formula!C30)/(Formula!C30+Formula!E30+Formula!G30+Formula!I30+Formula!K30))*(INDEX(Properties!A$1:CB$87,Formula!B30,13))+((Formula!E30)/(Formula!C30+Formula!E30+Formula!G30+Formula!I30+Formula!K30))*(INDEX(Properties!A$1:CB$87,Formula!D30,13))+((Formula!G30)/(Formula!C30+Formula!E30+Formula!G30+Formula!I30+Formula!K30))*(INDEX(Properties!A$1:CB$87,Formula!F30,13))+((Formula!I30)/(Formula!C30+Formula!E30+Formula!G30+Formula!I30+Formula!K30))*(INDEX(Properties!A$1:CB$87,Formula!H30,13))+((Formula!K30)/(Formula!C30+Formula!E30+Formula!G30+Formula!I30+Formula!K30))*(INDEX(Properties!A$1:CB$87,Formula!J30,13))</f>
        <v>0.83333333333333326</v>
      </c>
      <c r="AY30" s="45">
        <f>Formula!C30*(INDEX(Properties!A$1:CB$87,Formula!B30,13))+Formula!E30*(INDEX(Properties!A$1:CB$87,Formula!D30,13))+Formula!G30*(INDEX(Properties!A$1:CB$87,Formula!F30,13))+Formula!I30*(INDEX(Properties!A$1:CB$87,Formula!H30,13))+Formula!K30*(INDEX(Properties!A$1:CB$87,Formula!J30,13))</f>
        <v>5</v>
      </c>
      <c r="AZ30" s="45">
        <f>VARP(IF(INDEX(Properties!A$1:CB$87,Formula!B30,13)&lt;&gt;"",INDEX(Properties!A$1:CB$87,Formula!B30,13)),IF(INDEX(Properties!A$1:CB$87,Formula!D30,13)&lt;&gt;"",INDEX(Properties!A$1:CB$87,Formula!D30,13)),IF(INDEX(Properties!A$1:CB$87,Formula!F30,13)&lt;&gt;"",INDEX(Properties!A$1:CB$87,Formula!F30,13)),IF(INDEX(Properties!A$1:CB$87,Formula!H30,13)&lt;&gt;"",INDEX(Properties!A$1:CB$87,Formula!H30,13)),IF(INDEX(Properties!A$1:CB$87,Formula!J30,13)&lt;&gt;"",INDEX(Properties!A$1:CB$87,Formula!J30,13)))</f>
        <v>4</v>
      </c>
      <c r="BA30" s="45">
        <f>MAX(INDEX(Properties!A$1:CB$87,Formula!B30,13),INDEX(Properties!A$1:CB$87,Formula!D30,13),INDEX(Properties!A$1:CB$87,Formula!F30,13),INDEX(Properties!A$1:CB$87,Formula!H30,13),INDEX(Properties!A$1:CB$87,Formula!J30,13))</f>
        <v>5</v>
      </c>
      <c r="BB30" s="45">
        <f>MIN(IF(Formula!B30=87,10^6,INDEX(Properties!A$1:CB$87,Formula!B30,13)),IF((Formula!D30)=87,10^6,INDEX(Properties!A$1:CB$87,Formula!D30,13)),IF((Formula!F30)=87,10^6,INDEX(Properties!A$1:CB$87,Formula!F30,13)),IF((Formula!H30)=87,10^6,INDEX(Properties!A$1:CB$87,Formula!H30,13)),IF(Formula!J30=87,10^6,INDEX(Properties!A$1:CB$87,Formula!J30,13)))</f>
        <v>0</v>
      </c>
      <c r="BC30" s="45">
        <f t="shared" si="8"/>
        <v>5</v>
      </c>
      <c r="BD30" s="63">
        <f>((Formula!C30)/(Formula!C30+Formula!E30+Formula!G30+Formula!I30+Formula!K30))*(INDEX(Properties!A$1:CB$87,Formula!B30,14))+((Formula!E30)/(Formula!C30+Formula!E30+Formula!G30+Formula!I30+Formula!K30))*(INDEX(Properties!A$1:CB$87,Formula!D30,14))+((Formula!G30)/(Formula!C30+Formula!E30+Formula!G30+Formula!I30+Formula!K30))*(INDEX(Properties!A$1:CB$87,Formula!F30,14))+((Formula!I30)/(Formula!C30+Formula!E30+Formula!G30+Formula!I30+Formula!K30))*(INDEX(Properties!A$1:CB$87,Formula!H30,14))+((Formula!K30)/(Formula!C30+Formula!E30+Formula!G30+Formula!I30+Formula!K30))*(INDEX(Properties!A$1:CB$87,Formula!J30,14))</f>
        <v>0</v>
      </c>
      <c r="BE30" s="63">
        <f>Formula!C30*(INDEX(Properties!A$1:CB$87,Formula!B30,14))+Formula!E30*(INDEX(Properties!A$1:CB$87,Formula!D30,14))+Formula!G30*(INDEX(Properties!A$1:CB$87,Formula!F30,14))+Formula!I30*(INDEX(Properties!A$1:CB$87,Formula!H30,14))+Formula!K30*(INDEX(Properties!A$1:CB$87,Formula!J30,14))</f>
        <v>0</v>
      </c>
      <c r="BF30" s="63">
        <f>VARP(IF(INDEX(Properties!A$1:CB$87,Formula!B30,14)&lt;&gt;"",INDEX(Properties!A$1:CB$87,Formula!B30,14)),IF(INDEX(Properties!A$1:CB$87,Formula!D30,14)&lt;&gt;"",INDEX(Properties!A$1:CB$87,Formula!D30,14)),IF(INDEX(Properties!A$1:CB$87,Formula!F30,14)&lt;&gt;"",INDEX(Properties!A$1:CB$87,Formula!F30,14)),IF(INDEX(Properties!A$1:CB$87,Formula!H30,14)&lt;&gt;"",INDEX(Properties!A$1:CB$87,Formula!H30,14)),IF(INDEX(Properties!A$1:CB$87,Formula!J30,14)&lt;&gt;"",INDEX(Properties!A$1:CB$87,Formula!J30,14)))</f>
        <v>0</v>
      </c>
      <c r="BG30" s="63">
        <f>MAX(INDEX(Properties!A$1:CB$87,Formula!B30,14),INDEX(Properties!A$1:CB$87,Formula!D30,14),INDEX(Properties!A$1:CB$87,Formula!F30,14),INDEX(Properties!A$1:CB$87,Formula!H30,14),INDEX(Properties!A$1:CB$87,Formula!J30,14))</f>
        <v>0</v>
      </c>
      <c r="BH30" s="63">
        <f>MIN(IF(Formula!B30=87,10^6,INDEX(Properties!A$1:CB$87,Formula!B30,14)),IF((Formula!D30)=87,10^6,INDEX(Properties!A$1:CB$87,Formula!D30,14)),IF((Formula!F30)=87,10^6,INDEX(Properties!A$1:CB$87,Formula!F30,14)),IF((Formula!H30)=87,10^6,INDEX(Properties!A$1:CB$87,Formula!H30,14)),IF(Formula!J30=87,10^6,INDEX(Properties!A$1:CB$87,Formula!J30,14)))</f>
        <v>0</v>
      </c>
      <c r="BI30" s="63">
        <f t="shared" si="9"/>
        <v>0</v>
      </c>
      <c r="BJ30" s="75">
        <f>((Formula!C30)/(Formula!C30+Formula!E30+Formula!G30+Formula!I30+Formula!K30))*(INDEX(Properties!A$1:CB$87,Formula!B30,19))+((Formula!E30)/(Formula!C30+Formula!E30+Formula!G30+Formula!I30+Formula!K30))*(INDEX(Properties!A$1:CB$87,Formula!D30,19))+((Formula!G30)/(Formula!C30+Formula!E30+Formula!G30+Formula!I30+Formula!K30))*(INDEX(Properties!A$1:CB$87,Formula!F30,19))+((Formula!I30)/(Formula!C30+Formula!E30+Formula!G30+Formula!I30+Formula!K30))*(INDEX(Properties!A$1:CB$87,Formula!H30,19))+((Formula!K30)/(Formula!C30+Formula!E30+Formula!G30+Formula!I30+Formula!K30))*(INDEX(Properties!A$1:CB$87,Formula!J30,19))</f>
        <v>5.333333333333333</v>
      </c>
      <c r="BK30" s="75">
        <f>Formula!C30*(INDEX(Properties!A$1:CB$87,Formula!B30,19))+Formula!E30*(INDEX(Properties!A$1:CB$87,Formula!D30,19))+Formula!G30*(INDEX(Properties!A$1:CB$87,Formula!F30,19))+Formula!I30*(INDEX(Properties!A$1:CB$87,Formula!H30,19))+Formula!K30*(INDEX(Properties!A$1:CB$87,Formula!J30,19))</f>
        <v>32</v>
      </c>
      <c r="BL30" s="75">
        <f>VARP(IF(INDEX(Properties!A$1:CB$87,Formula!B30,19)&lt;&gt;"",INDEX(Properties!A$1:CB$87,Formula!B30,19)),IF(INDEX(Properties!A$1:CB$87,Formula!D30,19)&lt;&gt;"",INDEX(Properties!A$1:CB$87,Formula!D30,19)),IF(INDEX(Properties!A$1:CB$87,Formula!F30,19)&lt;&gt;"",INDEX(Properties!A$1:CB$87,Formula!F30,19)),IF(INDEX(Properties!A$1:CB$87,Formula!H30,19)&lt;&gt;"",INDEX(Properties!A$1:CB$87,Formula!H30,19)),IF(INDEX(Properties!A$1:CB$87,Formula!J30,19)&lt;&gt;"",INDEX(Properties!A$1:CB$87,Formula!J30,19)))</f>
        <v>7.36</v>
      </c>
      <c r="BM30" s="75">
        <f>MAX(INDEX(Properties!A$1:CB$87,Formula!B30,19),INDEX(Properties!A$1:CB$87,Formula!D30,19),INDEX(Properties!A$1:CB$87,Formula!F30,19),INDEX(Properties!A$1:CB$87,Formula!H30,19),INDEX(Properties!A$1:CB$87,Formula!J30,19))</f>
        <v>6</v>
      </c>
      <c r="BN30" s="75">
        <f>MIN(IF(INDEX(Properties!A$1:CB$87,Formula!B30,19)=0,10^6,INDEX(Properties!A$1:CB$87,Formula!B30,19)),IF(INDEX(Properties!A$1:CB$87,Formula!D30,19)=0,10^6,INDEX(Properties!A$1:CB$87,Formula!D30,19)),IF(INDEX(Properties!A$1:CB$87,Formula!F30,19)=0,10^6,INDEX(Properties!A$1:CB$87,Formula!F30,19)),IF(INDEX(Properties!A$1:CB$87,Formula!H30,19)=0,10^6,INDEX(Properties!A$1:CB$87,Formula!H30,19)),IF(INDEX(Properties!A$1:CB$87,Formula!J30,19)=0,10^6,INDEX(Properties!A$1:CB$87,Formula!J30,19)))</f>
        <v>2</v>
      </c>
      <c r="BO30" s="75">
        <f t="shared" si="10"/>
        <v>4</v>
      </c>
      <c r="BP30" s="48">
        <f>((Formula!C30)/(Formula!C30+Formula!E30+Formula!G30+Formula!I30+Formula!K30))*(INDEX(Properties!A$1:CB$87,Formula!B30,20))+((Formula!E30)/(Formula!C30+Formula!E30+Formula!G30+Formula!I30+Formula!K30))*(INDEX(Properties!A$1:CB$87,Formula!D30,20))+((Formula!G30)/(Formula!C30+Formula!E30+Formula!G30+Formula!I30+Formula!K30))*(INDEX(Properties!A$1:CB$87,Formula!F30,20))+((Formula!I30)/(Formula!C30+Formula!E30+Formula!G30+Formula!I30+Formula!K30))*(INDEX(Properties!A$1:CB$87,Formula!H30,20))+((Formula!K30)/(Formula!C30+Formula!E30+Formula!G30+Formula!I30+Formula!K30))*(INDEX(Properties!A$1:CB$87,Formula!J30,20))</f>
        <v>4.5</v>
      </c>
      <c r="BQ30" s="48">
        <f>Formula!C30*(INDEX(Properties!A$1:CB$87,Formula!B30,20))+Formula!E30*(INDEX(Properties!A$1:CB$87,Formula!D30,20))+Formula!G30*(INDEX(Properties!A$1:CB$87,Formula!F30,20))+Formula!I30*(INDEX(Properties!A$1:CB$87,Formula!H30,20))+Formula!K30*(INDEX(Properties!A$1:CB$87,Formula!J30,20))</f>
        <v>27</v>
      </c>
      <c r="BR30" s="48">
        <f>VARP(IF(INDEX(Properties!A$1:CB$87,Formula!B30,20)&lt;&gt;"",INDEX(Properties!A$1:CB$87,Formula!B30,20)),IF(INDEX(Properties!A$1:CB$87,Formula!D30,20)&lt;&gt;"",INDEX(Properties!A$1:CB$87,Formula!D30,20)),IF(INDEX(Properties!A$1:CB$87,Formula!F30,20)&lt;&gt;"",INDEX(Properties!A$1:CB$87,Formula!F30,20)),IF(INDEX(Properties!A$1:CB$87,Formula!H30,20)&lt;&gt;"",INDEX(Properties!A$1:CB$87,Formula!H30,20)),IF(INDEX(Properties!A$1:CB$87,Formula!J30,20)&lt;&gt;"",INDEX(Properties!A$1:CB$87,Formula!J30,20)))</f>
        <v>4.96</v>
      </c>
      <c r="BS30" s="48">
        <f>MAX(INDEX(Properties!A$1:CB$87,Formula!B30,20),INDEX(Properties!A$1:CB$87,Formula!D30,20),INDEX(Properties!A$1:CB$87,Formula!F30,20),INDEX(Properties!A$1:CB$87,Formula!H30,20),INDEX(Properties!A$1:CB$87,Formula!J30,20))</f>
        <v>6</v>
      </c>
      <c r="BT30" s="48">
        <f>MIN(IF(INDEX(Properties!A$1:CB$87,Formula!B30,20)=0,10^6,INDEX(Properties!A$1:CB$87,Formula!B30,20)),IF(INDEX(Properties!A$1:CB$87,Formula!D30,20)=0,10^6,INDEX(Properties!A$1:CB$87,Formula!D30,20)),IF(INDEX(Properties!A$1:CB$87,Formula!F30,20)=0,10^6,INDEX(Properties!A$1:CB$87,Formula!F30,20)),IF(INDEX(Properties!A$1:CB$87,Formula!H30,20)=0,10^6,INDEX(Properties!A$1:CB$87,Formula!H30,20)),IF(INDEX(Properties!A$1:CB$87,Formula!J30,20)=0,10^6,INDEX(Properties!A$1:CB$87,Formula!J30,20)))</f>
        <v>1</v>
      </c>
      <c r="BU30" s="48">
        <f t="shared" si="11"/>
        <v>5</v>
      </c>
      <c r="BV30" s="66">
        <f>((Formula!C30)/(Formula!C30+Formula!E30+Formula!G30+Formula!I30+Formula!K30))*(INDEX(Properties!A$1:CB$87,Formula!B30,21))+((Formula!E30)/(Formula!C30+Formula!E30+Formula!G30+Formula!I30+Formula!K30))*(INDEX(Properties!A$1:CB$87,Formula!D30,21))+((Formula!G30)/(Formula!C30+Formula!E30+Formula!G30+Formula!I30+Formula!K30))*(INDEX(Properties!A$1:CB$87,Formula!F30,21))+((Formula!I30)/(Formula!C30+Formula!E30+Formula!G30+Formula!I30+Formula!K30))*(INDEX(Properties!A$1:CB$87,Formula!H30,21))+((Formula!K30)/(Formula!C30+Formula!E30+Formula!G30+Formula!I30+Formula!K30))*(INDEX(Properties!A$1:CB$87,Formula!J30,21))</f>
        <v>5</v>
      </c>
      <c r="BW30" s="66">
        <f>Formula!C30*(INDEX(Properties!A$1:CB$87,Formula!B30,21))+Formula!E30*(INDEX(Properties!A$1:CB$87,Formula!D30,21))+Formula!G30*(INDEX(Properties!A$1:CB$87,Formula!F30,21))+Formula!I30*(INDEX(Properties!A$1:CB$87,Formula!H30,21))+Formula!K30*(INDEX(Properties!A$1:CB$87,Formula!J30,21))</f>
        <v>30</v>
      </c>
      <c r="BX30" s="66">
        <f>VARP(IF(INDEX(Properties!A$1:CB$87,Formula!B30,21)&lt;&gt;"",INDEX(Properties!A$1:CB$87,Formula!B30,21)),IF(INDEX(Properties!A$1:CB$87,Formula!D30,21)&lt;&gt;"",INDEX(Properties!A$1:CB$87,Formula!D30,21)),IF(INDEX(Properties!A$1:CB$87,Formula!F30,21)&lt;&gt;"",INDEX(Properties!A$1:CB$87,Formula!F30,21)),IF(INDEX(Properties!A$1:CB$87,Formula!H30,21)&lt;&gt;"",INDEX(Properties!A$1:CB$87,Formula!H30,21)),IF(INDEX(Properties!A$1:CB$87,Formula!J30,21)&lt;&gt;"",INDEX(Properties!A$1:CB$87,Formula!J30,21)))</f>
        <v>5.44</v>
      </c>
      <c r="BY30" s="66">
        <f>MAX(INDEX(Properties!A$1:CB$87,Formula!B30,21),INDEX(Properties!A$1:CB$87,Formula!D30,21),INDEX(Properties!A$1:CB$87,Formula!F30,21),INDEX(Properties!A$1:CB$87,Formula!H30,21),INDEX(Properties!A$1:CB$87,Formula!J30,21))</f>
        <v>6</v>
      </c>
      <c r="BZ30" s="66">
        <f>MIN(IF(INDEX(Properties!A$1:CB$87,Formula!B30,21)=0,10^6,INDEX(Properties!A$1:CB$87,Formula!B30,21)),IF(INDEX(Properties!A$1:CB$87,Formula!D30,21)=0,10^6,INDEX(Properties!A$1:CB$87,Formula!D30,21)),IF(INDEX(Properties!A$1:CB$87,Formula!F30,21)=0,10^6,INDEX(Properties!A$1:CB$87,Formula!F30,21)),IF(INDEX(Properties!A$1:CB$87,Formula!H30,21)=0,10^6,INDEX(Properties!A$1:CB$87,Formula!H30,21)),IF(INDEX(Properties!A$1:CB$87,Formula!J30,21)=0,10^6,INDEX(Properties!A$1:CB$87,Formula!J30,21)))</f>
        <v>2</v>
      </c>
      <c r="CA30" s="66">
        <f t="shared" si="12"/>
        <v>4</v>
      </c>
      <c r="CB30" s="81">
        <f>((Formula!C30)/(Formula!C30+Formula!E30+Formula!G30+Formula!I30+Formula!K30))*(INDEX(Properties!A$1:CB$87,Formula!B30,23))+((Formula!E30)/(Formula!C30+Formula!E30+Formula!G30+Formula!I30+Formula!K30))*(INDEX(Properties!A$1:CB$87,Formula!D30,23))+((Formula!G30)/(Formula!C30+Formula!E30+Formula!G30+Formula!I30+Formula!K30))*(INDEX(Properties!A$1:CB$87,Formula!F30,23))+((Formula!I30)/(Formula!C30+Formula!E30+Formula!G30+Formula!I30+Formula!K30))*(INDEX(Properties!A$1:CB$87,Formula!H30,23))+((Formula!K30)/(Formula!C30+Formula!E30+Formula!G30+Formula!I30+Formula!K30))*(INDEX(Properties!A$1:CB$87,Formula!J30,23))</f>
        <v>1.2966666666666666</v>
      </c>
      <c r="CC30" s="81">
        <f>Formula!C30*(INDEX(Properties!A$1:CB$87,Formula!B30,23))+Formula!E30*(INDEX(Properties!A$1:CB$87,Formula!D30,23))+Formula!G30*(INDEX(Properties!A$1:CB$87,Formula!F30,23))+Formula!I30*(INDEX(Properties!A$1:CB$87,Formula!H30,23))+Formula!K30*(INDEX(Properties!A$1:CB$87,Formula!J30,23))</f>
        <v>7.78</v>
      </c>
      <c r="CD30" s="81">
        <f>VARP(IF(INDEX(Properties!A$1:CB$87,Formula!B30,23)&lt;&gt;"",INDEX(Properties!A$1:CB$87,Formula!B30,23)),IF(INDEX(Properties!A$1:CB$87,Formula!D30,23)&lt;&gt;"",INDEX(Properties!A$1:CB$87,Formula!D30,23)),IF(INDEX(Properties!A$1:CB$87,Formula!F30,23)&lt;&gt;"",INDEX(Properties!A$1:CB$87,Formula!F30,23)),IF(INDEX(Properties!A$1:CB$87,Formula!H30,23)&lt;&gt;"",INDEX(Properties!A$1:CB$87,Formula!H30,23)),IF(INDEX(Properties!A$1:CB$87,Formula!J30,23)&lt;&gt;"",INDEX(Properties!A$1:CB$87,Formula!J30,23)))</f>
        <v>5.0605440000000002</v>
      </c>
      <c r="CE30" s="81">
        <f>MAX(INDEX(Properties!A$1:CB$87,Formula!B30,23),INDEX(Properties!A$1:CB$87,Formula!D30,23),INDEX(Properties!A$1:CB$87,Formula!F30,23),INDEX(Properties!A$1:CB$87,Formula!H30,23),INDEX(Properties!A$1:CB$87,Formula!J30,23))</f>
        <v>5.78</v>
      </c>
      <c r="CF30" s="81">
        <f>MIN(IF(Formula!B30=87,10^6,INDEX(Properties!A$1:CB$87,Formula!B30,23)),IF((Formula!D30)=87,10^6,INDEX(Properties!A$1:CB$87,Formula!D30,23)),IF((Formula!F30)=87,10^6,INDEX(Properties!A$1:CB$87,Formula!F30,23)),IF((Formula!H30)=87,10^6,INDEX(Properties!A$1:CB$87,Formula!H30,23)),IF(Formula!J30=87,10^6,INDEX(Properties!A$1:CB$87,Formula!J30,23)))</f>
        <v>0</v>
      </c>
      <c r="CG30" s="81">
        <f t="shared" si="13"/>
        <v>5.78</v>
      </c>
      <c r="CH30" s="39">
        <f>((Formula!C30)/(Formula!C30+Formula!E30+Formula!G30+Formula!I30+Formula!K30))*(INDEX(Properties!A$1:CB$87,Formula!B30,26))+((Formula!E30)/(Formula!C30+Formula!E30+Formula!G30+Formula!I30+Formula!K30))*(INDEX(Properties!A$1:CB$87,Formula!D30,26))+((Formula!G30)/(Formula!C30+Formula!E30+Formula!G30+Formula!I30+Formula!K30))*(INDEX(Properties!A$1:CB$87,Formula!F30,26))+((Formula!I30)/(Formula!C30+Formula!E30+Formula!G30+Formula!I30+Formula!K30))*(INDEX(Properties!A$1:CB$87,Formula!H30,26))+((Formula!K30)/(Formula!C30+Formula!E30+Formula!G30+Formula!I30+Formula!K30))*(INDEX(Properties!A$1:CB$87,Formula!J30,26))</f>
        <v>11.279666666666666</v>
      </c>
      <c r="CI30" s="39">
        <f>Formula!C30*(INDEX(Properties!A$1:CB$87,Formula!B30,26))+Formula!E30*(INDEX(Properties!A$1:CB$87,Formula!D30,26))+Formula!G30*(INDEX(Properties!A$1:CB$87,Formula!F30,26))+Formula!I30*(INDEX(Properties!A$1:CB$87,Formula!H30,26))+Formula!K30*(INDEX(Properties!A$1:CB$87,Formula!J30,26))</f>
        <v>67.677999999999997</v>
      </c>
      <c r="CJ30" s="39">
        <f>VARP(IF(INDEX(Properties!A$1:CB$87,Formula!B30,26)&lt;&gt;"",INDEX(Properties!A$1:CB$87,Formula!B30,26)),IF(INDEX(Properties!A$1:CB$87,Formula!D30,26)&lt;&gt;"",INDEX(Properties!A$1:CB$87,Formula!D30,26)),IF(INDEX(Properties!A$1:CB$87,Formula!F30,26)&lt;&gt;"",INDEX(Properties!A$1:CB$87,Formula!F30,26)),IF(INDEX(Properties!A$1:CB$87,Formula!H30,26)&lt;&gt;"",INDEX(Properties!A$1:CB$87,Formula!H30,26)),IF(INDEX(Properties!A$1:CB$87,Formula!J30,26)&lt;&gt;"",INDEX(Properties!A$1:CB$87,Formula!J30,26)))</f>
        <v>25.844764654399995</v>
      </c>
      <c r="CK30" s="39">
        <f>MAX(INDEX(Properties!A$1:CB$87,Formula!B30,26),INDEX(Properties!A$1:CB$87,Formula!D30,26),INDEX(Properties!A$1:CB$87,Formula!F30,26),INDEX(Properties!A$1:CB$87,Formula!H30,26),INDEX(Properties!A$1:CB$87,Formula!J30,26))</f>
        <v>13.6181</v>
      </c>
      <c r="CL30" s="39">
        <f>MIN(IF(INDEX(Properties!A$1:CB$87,Formula!B30,26)=0,10^6,INDEX(Properties!A$1:CB$87,Formula!B30,26)),IF(INDEX(Properties!A$1:CB$87,Formula!D30,26)=0,10^6,INDEX(Properties!A$1:CB$87,Formula!D30,26)),IF(INDEX(Properties!A$1:CB$87,Formula!F30,26)=0,10^6,INDEX(Properties!A$1:CB$87,Formula!F30,26)),IF(INDEX(Properties!A$1:CB$87,Formula!H30,26)=0,10^6,INDEX(Properties!A$1:CB$87,Formula!H30,26)),IF(INDEX(Properties!A$1:CB$87,Formula!J30,26)=0,10^6,INDEX(Properties!A$1:CB$87,Formula!J30,26)))</f>
        <v>6.1132</v>
      </c>
      <c r="CM30" s="39">
        <f t="shared" si="14"/>
        <v>7.5049000000000001</v>
      </c>
      <c r="CN30" s="54">
        <f>((Formula!C30)/(Formula!C30+Formula!E30+Formula!G30+Formula!I30+Formula!K30))*(INDEX(Properties!A$1:CB$87,Formula!B30,30))+((Formula!E30)/(Formula!C30+Formula!E30+Formula!G30+Formula!I30+Formula!K30))*(INDEX(Properties!A$1:CB$87,Formula!D30,30))+((Formula!G30)/(Formula!C30+Formula!E30+Formula!G30+Formula!I30+Formula!K30))*(INDEX(Properties!A$1:CB$87,Formula!F30,30))+((Formula!I30)/(Formula!C30+Formula!E30+Formula!G30+Formula!I30+Formula!K30))*(INDEX(Properties!A$1:CB$87,Formula!H30,30))+((Formula!K30)/(Formula!C30+Formula!E30+Formula!G30+Formula!I30+Formula!K30))*(INDEX(Properties!A$1:CB$87,Formula!J30,30))</f>
        <v>2.8199999999999994</v>
      </c>
      <c r="CO30" s="54">
        <f>Formula!C30*(INDEX(Properties!A$1:CB$87,Formula!B30,30))+Formula!E30*(INDEX(Properties!A$1:CB$87,Formula!D30,30))+Formula!G30*(INDEX(Properties!A$1:CB$87,Formula!F30,30))+Formula!I30*(INDEX(Properties!A$1:CB$87,Formula!H30,30))+Formula!K30*(INDEX(Properties!A$1:CB$87,Formula!J30,30))</f>
        <v>16.920000000000002</v>
      </c>
      <c r="CP30" s="54">
        <f>VARP(IF(INDEX(Properties!A$1:CB$87,Formula!B30,30)&lt;&gt;"",INDEX(Properties!A$1:CB$87,Formula!B30,30)),IF(INDEX(Properties!A$1:CB$87,Formula!D30,30)&lt;&gt;"",INDEX(Properties!A$1:CB$87,Formula!D30,30)),IF(INDEX(Properties!A$1:CB$87,Formula!F30,30)&lt;&gt;"",INDEX(Properties!A$1:CB$87,Formula!F30,30)),IF(INDEX(Properties!A$1:CB$87,Formula!H30,30)&lt;&gt;"",INDEX(Properties!A$1:CB$87,Formula!H30,30)),IF(INDEX(Properties!A$1:CB$87,Formula!J30,30)&lt;&gt;"",INDEX(Properties!A$1:CB$87,Formula!J30,30)))</f>
        <v>1.7574399999999999</v>
      </c>
      <c r="CQ30" s="54">
        <f>MAX(INDEX(Properties!A$1:CB$87,Formula!B30,30),INDEX(Properties!A$1:CB$87,Formula!D30,30),INDEX(Properties!A$1:CB$87,Formula!F30,30),INDEX(Properties!A$1:CB$87,Formula!H30,30),INDEX(Properties!A$1:CB$87,Formula!J30,30))</f>
        <v>3.44</v>
      </c>
      <c r="CR30" s="54">
        <f>MIN(IF(INDEX(Properties!A$1:CB$87,Formula!B30,30)=0,10^6,INDEX(Properties!A$1:CB$87,Formula!B30,30)),IF(INDEX(Properties!A$1:CB$87,Formula!D30,30)=0,10^6,INDEX(Properties!A$1:CB$87,Formula!D30,30)),IF(INDEX(Properties!A$1:CB$87,Formula!F30,30)=0,10^6,INDEX(Properties!A$1:CB$87,Formula!F30,30)),IF(INDEX(Properties!A$1:CB$87,Formula!H30,30)=0,10^6,INDEX(Properties!A$1:CB$87,Formula!H30,30)),IF(INDEX(Properties!A$1:CB$87,Formula!J30,30)=0,10^6,INDEX(Properties!A$1:CB$87,Formula!J30,30)))</f>
        <v>1</v>
      </c>
      <c r="CS30" s="54">
        <f t="shared" si="15"/>
        <v>2.44</v>
      </c>
      <c r="CT30" s="69">
        <f>((Formula!C30)/(Formula!C30+Formula!E30+Formula!G30+Formula!I30+Formula!K30))*(INDEX(Properties!A$1:CB$87,Formula!B30,31))+((Formula!E30)/(Formula!C30+Formula!E30+Formula!G30+Formula!I30+Formula!K30))*(INDEX(Properties!A$1:CB$87,Formula!D30,31))+((Formula!G30)/(Formula!C30+Formula!E30+Formula!G30+Formula!I30+Formula!K30))*(INDEX(Properties!A$1:CB$87,Formula!F30,31))+((Formula!I30)/(Formula!C30+Formula!E30+Formula!G30+Formula!I30+Formula!K30))*(INDEX(Properties!A$1:CB$87,Formula!H30,31))+((Formula!K30)/(Formula!C30+Formula!E30+Formula!G30+Formula!I30+Formula!K30))*(INDEX(Properties!A$1:CB$87,Formula!J30,31))</f>
        <v>2.7316666666666665</v>
      </c>
      <c r="CU30" s="69">
        <f>Formula!C30*(INDEX(Properties!A$1:CB$87,Formula!B30,31))+Formula!E30*(INDEX(Properties!A$1:CB$87,Formula!D30,31))+Formula!G30*(INDEX(Properties!A$1:CB$87,Formula!F30,31))+Formula!I30*(INDEX(Properties!A$1:CB$87,Formula!H30,31))+Formula!K30*(INDEX(Properties!A$1:CB$87,Formula!J30,31))</f>
        <v>16.39</v>
      </c>
      <c r="CV30" s="69">
        <f>VARP(IF(INDEX(Properties!A$1:CB$87,Formula!B30,31)&lt;&gt;"",INDEX(Properties!A$1:CB$87,Formula!B30,31)),IF(INDEX(Properties!A$1:CB$87,Formula!D30,31)&lt;&gt;"",INDEX(Properties!A$1:CB$87,Formula!D30,31)),IF(INDEX(Properties!A$1:CB$87,Formula!F30,31)&lt;&gt;"",INDEX(Properties!A$1:CB$87,Formula!F30,31)),IF(INDEX(Properties!A$1:CB$87,Formula!H30,31)&lt;&gt;"",INDEX(Properties!A$1:CB$87,Formula!H30,31)),IF(INDEX(Properties!A$1:CB$87,Formula!J30,31)&lt;&gt;"",INDEX(Properties!A$1:CB$87,Formula!J30,31)))</f>
        <v>1.5771839999999997</v>
      </c>
      <c r="CW30" s="69">
        <f>MAX(INDEX(Properties!A$1:CB$87,Formula!B30,31),INDEX(Properties!A$1:CB$87,Formula!D30,31),INDEX(Properties!A$1:CB$87,Formula!F30,31),INDEX(Properties!A$1:CB$87,Formula!H30,31),INDEX(Properties!A$1:CB$87,Formula!J30,31))</f>
        <v>3.32</v>
      </c>
      <c r="CX30" s="69">
        <f>MIN(IF(INDEX(Properties!A$1:CB$87,Formula!B30,31)=0,10^6,INDEX(Properties!A$1:CB$87,Formula!B30,31)),IF(INDEX(Properties!A$1:CB$87,Formula!D30,31)=0,10^6,INDEX(Properties!A$1:CB$87,Formula!D30,31)),IF(INDEX(Properties!A$1:CB$87,Formula!F30,31)=0,10^6,INDEX(Properties!A$1:CB$87,Formula!F30,31)),IF(INDEX(Properties!A$1:CB$87,Formula!H30,31)=0,10^6,INDEX(Properties!A$1:CB$87,Formula!H30,31)),IF(INDEX(Properties!A$1:CB$87,Formula!J30,31)=0,10^6,INDEX(Properties!A$1:CB$87,Formula!J30,31)))</f>
        <v>1.17</v>
      </c>
      <c r="CY30" s="69">
        <f t="shared" si="16"/>
        <v>2.15</v>
      </c>
      <c r="CZ30" s="42">
        <f>((Formula!C30)/(Formula!C30+Formula!E30+Formula!G30+Formula!I30+Formula!K30))*(INDEX(Properties!A$1:CB$87,Formula!B30,32))+((Formula!E30)/(Formula!C30+Formula!E30+Formula!G30+Formula!I30+Formula!K30))*(INDEX(Properties!A$1:CB$87,Formula!D30,32))+((Formula!G30)/(Formula!C30+Formula!E30+Formula!G30+Formula!I30+Formula!K30))*(INDEX(Properties!A$1:CB$87,Formula!F30,32))+((Formula!I30)/(Formula!C30+Formula!E30+Formula!G30+Formula!I30+Formula!K30))*(INDEX(Properties!A$1:CB$87,Formula!H30,32))+((Formula!K30)/(Formula!C30+Formula!E30+Formula!G30+Formula!I30+Formula!K30))*(INDEX(Properties!A$1:CB$87,Formula!J30,32))</f>
        <v>6.043333333333333</v>
      </c>
      <c r="DA30" s="42">
        <f>Formula!C30*(INDEX(Properties!A$1:CB$87,Formula!B30,32))+Formula!E30*(INDEX(Properties!A$1:CB$87,Formula!D30,32))+Formula!G30*(INDEX(Properties!A$1:CB$87,Formula!F30,32))+Formula!I30*(INDEX(Properties!A$1:CB$87,Formula!H30,32))+Formula!K30*(INDEX(Properties!A$1:CB$87,Formula!J30,32))</f>
        <v>36.26</v>
      </c>
      <c r="DB30" s="42">
        <f>VARP(IF(INDEX(Properties!A$1:CB$87,Formula!B30,32)&lt;&gt;"",INDEX(Properties!A$1:CB$87,Formula!B30,32)),IF(INDEX(Properties!A$1:CB$87,Formula!D30,32)&lt;&gt;"",INDEX(Properties!A$1:CB$87,Formula!D30,32)),IF(INDEX(Properties!A$1:CB$87,Formula!F30,32)&lt;&gt;"",INDEX(Properties!A$1:CB$87,Formula!F30,32)),IF(INDEX(Properties!A$1:CB$87,Formula!H30,32)&lt;&gt;"",INDEX(Properties!A$1:CB$87,Formula!H30,32)),IF(INDEX(Properties!A$1:CB$87,Formula!J30,32)&lt;&gt;"",INDEX(Properties!A$1:CB$87,Formula!J30,32)))</f>
        <v>7.9383360000000005</v>
      </c>
      <c r="DC30" s="42">
        <f>MAX(INDEX(Properties!A$1:CB$87,Formula!B30,32),INDEX(Properties!A$1:CB$87,Formula!D30,32),INDEX(Properties!A$1:CB$87,Formula!F30,32),INDEX(Properties!A$1:CB$87,Formula!H30,32),INDEX(Properties!A$1:CB$87,Formula!J30,32))</f>
        <v>7.54</v>
      </c>
      <c r="DD30" s="42">
        <f>MIN(IF(INDEX(Properties!A$1:CB$87,Formula!B30,32)=0,10^6,INDEX(Properties!A$1:CB$87,Formula!B30,32)),IF(INDEX(Properties!A$1:CB$87,Formula!D30,32)=0,10^6,INDEX(Properties!A$1:CB$87,Formula!D30,32)),IF(INDEX(Properties!A$1:CB$87,Formula!F30,32)=0,10^6,INDEX(Properties!A$1:CB$87,Formula!F30,32)),IF(INDEX(Properties!A$1:CB$87,Formula!H30,32)=0,10^6,INDEX(Properties!A$1:CB$87,Formula!H30,32)),IF(INDEX(Properties!A$1:CB$87,Formula!J30,32)=0,10^6,INDEX(Properties!A$1:CB$87,Formula!J30,32)))</f>
        <v>2.2000000000000002</v>
      </c>
      <c r="DE30" s="42">
        <f t="shared" si="17"/>
        <v>5.34</v>
      </c>
      <c r="DF30" s="60">
        <f>((Formula!C30)/(Formula!C30+Formula!E30+Formula!G30+Formula!I30+Formula!K30))*(INDEX(Properties!A$1:CB$87,Formula!B30,34))+((Formula!E30)/(Formula!C30+Formula!E30+Formula!G30+Formula!I30+Formula!K30))*(INDEX(Properties!A$1:CB$87,Formula!D30,34))+((Formula!G30)/(Formula!C30+Formula!E30+Formula!G30+Formula!I30+Formula!K30))*(INDEX(Properties!A$1:CB$87,Formula!F30,34))+((Formula!I30)/(Formula!C30+Formula!E30+Formula!G30+Formula!I30+Formula!K30))*(INDEX(Properties!A$1:CB$87,Formula!H30,34))+((Formula!K30)/(Formula!C30+Formula!E30+Formula!G30+Formula!I30+Formula!K30))*(INDEX(Properties!A$1:CB$87,Formula!J30,34))</f>
        <v>2.8239999999999998</v>
      </c>
      <c r="DG30" s="60">
        <f>Formula!C30*(INDEX(Properties!A$1:CB$87,Formula!B30,34))+Formula!E30*(INDEX(Properties!A$1:CB$87,Formula!D30,34))+Formula!G30*(INDEX(Properties!A$1:CB$87,Formula!F30,34))+Formula!I30*(INDEX(Properties!A$1:CB$87,Formula!H30,34))+Formula!K30*(INDEX(Properties!A$1:CB$87,Formula!J30,34))</f>
        <v>16.943999999999999</v>
      </c>
      <c r="DH30" s="60">
        <f>VARP(IF(INDEX(Properties!A$1:CB$87,Formula!B30,34)&lt;&gt;"",INDEX(Properties!A$1:CB$87,Formula!B30,34)),IF(INDEX(Properties!A$1:CB$87,Formula!D30,34)&lt;&gt;"",INDEX(Properties!A$1:CB$87,Formula!D30,34)),IF(INDEX(Properties!A$1:CB$87,Formula!F30,34)&lt;&gt;"",INDEX(Properties!A$1:CB$87,Formula!F30,34)),IF(INDEX(Properties!A$1:CB$87,Formula!H30,34)&lt;&gt;"",INDEX(Properties!A$1:CB$87,Formula!H30,34)),IF(INDEX(Properties!A$1:CB$87,Formula!J30,34)&lt;&gt;"",INDEX(Properties!A$1:CB$87,Formula!J30,34)))</f>
        <v>1.7571913600000004</v>
      </c>
      <c r="DI30" s="60">
        <f>MAX(INDEX(Properties!A$1:CB$87,Formula!B30,34),INDEX(Properties!A$1:CB$87,Formula!D30,34),INDEX(Properties!A$1:CB$87,Formula!F30,34),INDEX(Properties!A$1:CB$87,Formula!H30,34),INDEX(Properties!A$1:CB$87,Formula!J30,34))</f>
        <v>3.61</v>
      </c>
      <c r="DJ30" s="60">
        <f>MIN(IF(INDEX(Properties!A$1:CB$87,Formula!B30,34)=0,10^6,INDEX(Properties!A$1:CB$87,Formula!B30,34)),IF(INDEX(Properties!A$1:CB$87,Formula!D30,34)=0,10^6,INDEX(Properties!A$1:CB$87,Formula!D30,34)),IF(INDEX(Properties!A$1:CB$87,Formula!F30,34)=0,10^6,INDEX(Properties!A$1:CB$87,Formula!F30,34)),IF(INDEX(Properties!A$1:CB$87,Formula!H30,34)=0,10^6,INDEX(Properties!A$1:CB$87,Formula!H30,34)),IF(INDEX(Properties!A$1:CB$87,Formula!J30,34)=0,10^6,INDEX(Properties!A$1:CB$87,Formula!J30,34)))</f>
        <v>1.034</v>
      </c>
      <c r="DK30" s="60">
        <f t="shared" si="18"/>
        <v>2.5759999999999996</v>
      </c>
      <c r="DL30" s="45">
        <f>((Formula!C30)/(Formula!C30+Formula!E30+Formula!G30+Formula!I30+Formula!K30))*(INDEX(Properties!A$1:CB$87,Formula!B30,39))+((Formula!E30)/(Formula!C30+Formula!E30+Formula!G30+Formula!I30+Formula!K30))*(INDEX(Properties!A$1:CB$87,Formula!D30,39))+((Formula!G30)/(Formula!C30+Formula!E30+Formula!G30+Formula!I30+Formula!K30))*(INDEX(Properties!A$1:CB$87,Formula!F30,39))+((Formula!I30)/(Formula!C30+Formula!E30+Formula!G30+Formula!I30+Formula!K30))*(INDEX(Properties!A$1:CB$87,Formula!H30,39))+((Formula!K30)/(Formula!C30+Formula!E30+Formula!G30+Formula!I30+Formula!K30))*(INDEX(Properties!A$1:CB$87,Formula!J30,39))</f>
        <v>0.95999999999999985</v>
      </c>
      <c r="DM30" s="45">
        <f>Formula!C30*(INDEX(Properties!A$1:CB$87,Formula!B30,39))+Formula!E30*(INDEX(Properties!A$1:CB$87,Formula!D30,39))+Formula!G30*(INDEX(Properties!A$1:CB$87,Formula!F30,39))+Formula!I30*(INDEX(Properties!A$1:CB$87,Formula!H30,39))+Formula!K30*(INDEX(Properties!A$1:CB$87,Formula!J30,39))</f>
        <v>5.76</v>
      </c>
      <c r="DN30" s="45">
        <f>VARP(IF(INDEX(Properties!A$1:CB$87,Formula!B30,39)&lt;&gt;"",INDEX(Properties!A$1:CB$87,Formula!B30,39)),IF(INDEX(Properties!A$1:CB$87,Formula!D30,39)&lt;&gt;"",INDEX(Properties!A$1:CB$87,Formula!D30,39)),IF(INDEX(Properties!A$1:CB$87,Formula!F30,39)&lt;&gt;"",INDEX(Properties!A$1:CB$87,Formula!F30,39)),IF(INDEX(Properties!A$1:CB$87,Formula!H30,39)&lt;&gt;"",INDEX(Properties!A$1:CB$87,Formula!H30,39)),IF(INDEX(Properties!A$1:CB$87,Formula!J30,39)&lt;&gt;"",INDEX(Properties!A$1:CB$87,Formula!J30,39)))</f>
        <v>0.7743040000000001</v>
      </c>
      <c r="DO30" s="45">
        <f>MAX(INDEX(Properties!A$1:CB$87,Formula!B30,39),INDEX(Properties!A$1:CB$87,Formula!D30,39),INDEX(Properties!A$1:CB$87,Formula!F30,39),INDEX(Properties!A$1:CB$87,Formula!H30,39),INDEX(Properties!A$1:CB$87,Formula!J30,39))</f>
        <v>1.94</v>
      </c>
      <c r="DP30" s="45">
        <f>MIN(IF(INDEX(Properties!A$1:CB$87,Formula!B30,39)=0,10^6,INDEX(Properties!A$1:CB$87,Formula!B30,39)),IF(INDEX(Properties!A$1:CB$87,Formula!D30,39)=0,10^6,INDEX(Properties!A$1:CB$87,Formula!D30,39)),IF(INDEX(Properties!A$1:CB$87,Formula!F30,39)=0,10^6,INDEX(Properties!A$1:CB$87,Formula!F30,39)),IF(INDEX(Properties!A$1:CB$87,Formula!H30,39)=0,10^6,INDEX(Properties!A$1:CB$87,Formula!H30,39)),IF(INDEX(Properties!A$1:CB$87,Formula!J30,39)=0,10^6,INDEX(Properties!A$1:CB$87,Formula!J30,39)))</f>
        <v>0.48</v>
      </c>
      <c r="DQ30" s="45">
        <f t="shared" si="19"/>
        <v>1.46</v>
      </c>
      <c r="DR30" s="63">
        <f>((Formula!C30)/(Formula!C30+Formula!E30+Formula!G30+Formula!I30+Formula!K30))*(INDEX(Properties!A$1:CB$87,Formula!B30,40))+((Formula!E30)/(Formula!C30+Formula!E30+Formula!G30+Formula!I30+Formula!K30))*(INDEX(Properties!A$1:CB$87,Formula!D30,40))+((Formula!G30)/(Formula!C30+Formula!E30+Formula!G30+Formula!I30+Formula!K30))*(INDEX(Properties!A$1:CB$87,Formula!F30,40))+((Formula!I30)/(Formula!C30+Formula!E30+Formula!G30+Formula!I30+Formula!K30))*(INDEX(Properties!A$1:CB$87,Formula!H30,40))+((Formula!K30)/(Formula!C30+Formula!E30+Formula!G30+Formula!I30+Formula!K30))*(INDEX(Properties!A$1:CB$87,Formula!J30,40))</f>
        <v>1.0183333333333333</v>
      </c>
      <c r="DS30" s="63">
        <f>Formula!C30*(INDEX(Properties!A$1:CB$87,Formula!B30,40))+Formula!E30*(INDEX(Properties!A$1:CB$87,Formula!D30,40))+Formula!G30*(INDEX(Properties!A$1:CB$87,Formula!F30,40))+Formula!I30*(INDEX(Properties!A$1:CB$87,Formula!H30,40))+Formula!K30*(INDEX(Properties!A$1:CB$87,Formula!J30,40))</f>
        <v>6.1099999999999994</v>
      </c>
      <c r="DT30" s="63">
        <f>VARP(IF(INDEX(Properties!A$1:CB$87,Formula!B30,40)&lt;&gt;"",INDEX(Properties!A$1:CB$87,Formula!B30,40)),IF(INDEX(Properties!A$1:CB$87,Formula!D30,40)&lt;&gt;"",INDEX(Properties!A$1:CB$87,Formula!D30,40)),IF(INDEX(Properties!A$1:CB$87,Formula!F30,40)&lt;&gt;"",INDEX(Properties!A$1:CB$87,Formula!F30,40)),IF(INDEX(Properties!A$1:CB$87,Formula!H30,40)&lt;&gt;"",INDEX(Properties!A$1:CB$87,Formula!H30,40)),IF(INDEX(Properties!A$1:CB$87,Formula!J30,40)&lt;&gt;"",INDEX(Properties!A$1:CB$87,Formula!J30,40)))</f>
        <v>0.51794400000000007</v>
      </c>
      <c r="DU30" s="63">
        <f>MAX(INDEX(Properties!A$1:CB$87,Formula!B30,40),INDEX(Properties!A$1:CB$87,Formula!D30,40),INDEX(Properties!A$1:CB$87,Formula!F30,40),INDEX(Properties!A$1:CB$87,Formula!H30,40),INDEX(Properties!A$1:CB$87,Formula!J30,40))</f>
        <v>1.74</v>
      </c>
      <c r="DV30" s="63">
        <f>MIN(IF(INDEX(Properties!A$1:CB$87,Formula!B30,40)=0,10^6,INDEX(Properties!A$1:CB$87,Formula!B30,40)),IF(INDEX(Properties!A$1:CB$87,Formula!D30,40)=0,10^6,INDEX(Properties!A$1:CB$87,Formula!D30,40)),IF(INDEX(Properties!A$1:CB$87,Formula!F30,40)=0,10^6,INDEX(Properties!A$1:CB$87,Formula!F30,40)),IF(INDEX(Properties!A$1:CB$87,Formula!H30,40)=0,10^6,INDEX(Properties!A$1:CB$87,Formula!H30,40)),IF(INDEX(Properties!A$1:CB$87,Formula!J30,40)=0,10^6,INDEX(Properties!A$1:CB$87,Formula!J30,40)))</f>
        <v>0.73</v>
      </c>
      <c r="DW30" s="63">
        <f t="shared" si="20"/>
        <v>1.01</v>
      </c>
      <c r="DX30" s="75">
        <f>((Formula!C30)/(Formula!C30+Formula!E30+Formula!G30+Formula!I30+Formula!K30))*(INDEX(Properties!A$1:CB$87,Formula!B30,41))+((Formula!E30)/(Formula!C30+Formula!E30+Formula!G30+Formula!I30+Formula!K30))*(INDEX(Properties!A$1:CB$87,Formula!D30,41))+((Formula!G30)/(Formula!C30+Formula!E30+Formula!G30+Formula!I30+Formula!K30))*(INDEX(Properties!A$1:CB$87,Formula!F30,41))+((Formula!I30)/(Formula!C30+Formula!E30+Formula!G30+Formula!I30+Formula!K30))*(INDEX(Properties!A$1:CB$87,Formula!H30,41))+((Formula!K30)/(Formula!C30+Formula!E30+Formula!G30+Formula!I30+Formula!K30))*(INDEX(Properties!A$1:CB$87,Formula!J30,41))</f>
        <v>1.1683333333333332</v>
      </c>
      <c r="DY30" s="75">
        <f>Formula!C30*(INDEX(Properties!A$1:CB$87,Formula!B30,41))+Formula!E30*(INDEX(Properties!A$1:CB$87,Formula!D30,41))+Formula!G30*(INDEX(Properties!A$1:CB$87,Formula!F30,41))+Formula!I30*(INDEX(Properties!A$1:CB$87,Formula!H30,41))+Formula!K30*(INDEX(Properties!A$1:CB$87,Formula!J30,41))</f>
        <v>7.01</v>
      </c>
      <c r="DZ30" s="75">
        <f>VARP(IF(INDEX(Properties!A$1:CB$87,Formula!B30,41)&lt;&gt;"",INDEX(Properties!A$1:CB$87,Formula!B30,41)),IF(INDEX(Properties!A$1:CB$87,Formula!D30,41)&lt;&gt;"",INDEX(Properties!A$1:CB$87,Formula!D30,41)),IF(INDEX(Properties!A$1:CB$87,Formula!F30,41)&lt;&gt;"",INDEX(Properties!A$1:CB$87,Formula!F30,41)),IF(INDEX(Properties!A$1:CB$87,Formula!H30,41)&lt;&gt;"",INDEX(Properties!A$1:CB$87,Formula!H30,41)),IF(INDEX(Properties!A$1:CB$87,Formula!J30,41)&lt;&gt;"",INDEX(Properties!A$1:CB$87,Formula!J30,41)))</f>
        <v>0.29790400000000006</v>
      </c>
      <c r="EA30" s="75">
        <f>MAX(INDEX(Properties!A$1:CB$87,Formula!B30,41),INDEX(Properties!A$1:CB$87,Formula!D30,41),INDEX(Properties!A$1:CB$87,Formula!F30,41),INDEX(Properties!A$1:CB$87,Formula!H30,41),INDEX(Properties!A$1:CB$87,Formula!J30,41))</f>
        <v>1.26</v>
      </c>
      <c r="EB30" s="75">
        <f>MIN(IF(INDEX(Properties!A$1:CB$87,Formula!B30,41)=0,10^6,INDEX(Properties!A$1:CB$87,Formula!B30,41)),IF(INDEX(Properties!A$1:CB$87,Formula!D30,41)=0,10^6,INDEX(Properties!A$1:CB$87,Formula!D30,41)),IF(INDEX(Properties!A$1:CB$87,Formula!F30,41)=0,10^6,INDEX(Properties!A$1:CB$87,Formula!F30,41)),IF(INDEX(Properties!A$1:CB$87,Formula!H30,41)=0,10^6,INDEX(Properties!A$1:CB$87,Formula!H30,41)),IF(INDEX(Properties!A$1:CB$87,Formula!J30,41)=0,10^6,INDEX(Properties!A$1:CB$87,Formula!J30,41)))</f>
        <v>0.83</v>
      </c>
      <c r="EC30" s="75">
        <f t="shared" si="21"/>
        <v>0.43000000000000005</v>
      </c>
      <c r="ED30" s="48">
        <f>((Formula!C30)/(Formula!C30+Formula!E30+Formula!G30+Formula!I30+Formula!K30))*(INDEX(Properties!A$1:CB$87,Formula!B30,45))+((Formula!E30)/(Formula!C30+Formula!E30+Formula!G30+Formula!I30+Formula!K30))*(INDEX(Properties!A$1:CB$87,Formula!D30,45))+((Formula!G30)/(Formula!C30+Formula!E30+Formula!G30+Formula!I30+Formula!K30))*(INDEX(Properties!A$1:CB$87,Formula!F30,45))+((Formula!I30)/(Formula!C30+Formula!E30+Formula!G30+Formula!I30+Formula!K30))*(INDEX(Properties!A$1:CB$87,Formula!H30,45))+((Formula!K30)/(Formula!C30+Formula!E30+Formula!G30+Formula!I30+Formula!K30))*(INDEX(Properties!A$1:CB$87,Formula!J30,45))</f>
        <v>1.2666666666666666</v>
      </c>
      <c r="EE30" s="48">
        <f>Formula!C30*(INDEX(Properties!A$1:CB$87,Formula!B30,45))+Formula!E30*(INDEX(Properties!A$1:CB$87,Formula!D30,45))+Formula!G30*(INDEX(Properties!A$1:CB$87,Formula!F30,45))+Formula!I30*(INDEX(Properties!A$1:CB$87,Formula!H30,45))+Formula!K30*(INDEX(Properties!A$1:CB$87,Formula!J30,45))</f>
        <v>7.6000000000000005</v>
      </c>
      <c r="EF30" s="48">
        <f>VARP(IF(INDEX(Properties!A$1:CB$87,Formula!B30,45)&lt;&gt;"",INDEX(Properties!A$1:CB$87,Formula!B30,45)),IF(INDEX(Properties!A$1:CB$87,Formula!D30,45)&lt;&gt;"",INDEX(Properties!A$1:CB$87,Formula!D30,45)),IF(INDEX(Properties!A$1:CB$87,Formula!F30,45)&lt;&gt;"",INDEX(Properties!A$1:CB$87,Formula!F30,45)),IF(INDEX(Properties!A$1:CB$87,Formula!H30,45)&lt;&gt;"",INDEX(Properties!A$1:CB$87,Formula!H30,45)),IF(INDEX(Properties!A$1:CB$87,Formula!J30,45)&lt;&gt;"",INDEX(Properties!A$1:CB$87,Formula!J30,45)))</f>
        <v>1.7912160000000006</v>
      </c>
      <c r="EG30" s="48">
        <f>MAX(INDEX(Properties!A$1:CB$87,Formula!B30,45),INDEX(Properties!A$1:CB$87,Formula!D30,45),INDEX(Properties!A$1:CB$87,Formula!F30,45),INDEX(Properties!A$1:CB$87,Formula!H30,45),INDEX(Properties!A$1:CB$87,Formula!J30,45))</f>
        <v>3</v>
      </c>
      <c r="EH30" s="48">
        <f>MIN(IF(INDEX(Properties!A$1:CB$87,Formula!B30,45)=0,10^6,INDEX(Properties!A$1:CB$87,Formula!B30,45)),IF(INDEX(Properties!A$1:CB$87,Formula!D30,45)=0,10^6,INDEX(Properties!A$1:CB$87,Formula!D30,45)),IF(INDEX(Properties!A$1:CB$87,Formula!F30,45)=0,10^6,INDEX(Properties!A$1:CB$87,Formula!F30,45)),IF(INDEX(Properties!A$1:CB$87,Formula!H30,45)=0,10^6,INDEX(Properties!A$1:CB$87,Formula!H30,45)),IF(INDEX(Properties!A$1:CB$87,Formula!J30,45)=0,10^6,INDEX(Properties!A$1:CB$87,Formula!J30,45)))</f>
        <v>0.47</v>
      </c>
      <c r="EI30" s="48">
        <f t="shared" si="22"/>
        <v>2.5300000000000002</v>
      </c>
      <c r="EJ30" s="66">
        <f>((Formula!C30)/(Formula!C30+Formula!E30+Formula!G30+Formula!I30+Formula!K30))*(INDEX(Properties!A$1:CB$87,Formula!B30,46))+((Formula!E30)/(Formula!C30+Formula!E30+Formula!G30+Formula!I30+Formula!K30))*(INDEX(Properties!A$1:CB$87,Formula!D30,46))+((Formula!G30)/(Formula!C30+Formula!E30+Formula!G30+Formula!I30+Formula!K30))*(INDEX(Properties!A$1:CB$87,Formula!F30,46))+((Formula!I30)/(Formula!C30+Formula!E30+Formula!G30+Formula!I30+Formula!K30))*(INDEX(Properties!A$1:CB$87,Formula!H30,46))+((Formula!K30)/(Formula!C30+Formula!E30+Formula!G30+Formula!I30+Formula!K30))*(INDEX(Properties!A$1:CB$87,Formula!J30,46))</f>
        <v>1.1283333333333334</v>
      </c>
      <c r="EK30" s="66">
        <f>Formula!C30*(INDEX(Properties!A$1:CB$87,Formula!B30,46))+Formula!E30*(INDEX(Properties!A$1:CB$87,Formula!D30,46))+Formula!G30*(INDEX(Properties!A$1:CB$87,Formula!F30,46))+Formula!I30*(INDEX(Properties!A$1:CB$87,Formula!H30,46))+Formula!K30*(INDEX(Properties!A$1:CB$87,Formula!J30,46))</f>
        <v>6.77</v>
      </c>
      <c r="EL30" s="66">
        <f>VARP(IF(INDEX(Properties!A$1:CB$87,Formula!B30,46)&lt;&gt;"",INDEX(Properties!A$1:CB$87,Formula!B30,46)),IF(INDEX(Properties!A$1:CB$87,Formula!D30,46)&lt;&gt;"",INDEX(Properties!A$1:CB$87,Formula!D30,46)),IF(INDEX(Properties!A$1:CB$87,Formula!F30,46)&lt;&gt;"",INDEX(Properties!A$1:CB$87,Formula!F30,46)),IF(INDEX(Properties!A$1:CB$87,Formula!H30,46)&lt;&gt;"",INDEX(Properties!A$1:CB$87,Formula!H30,46)),IF(INDEX(Properties!A$1:CB$87,Formula!J30,46)&lt;&gt;"",INDEX(Properties!A$1:CB$87,Formula!J30,46)))</f>
        <v>0.28317600000000004</v>
      </c>
      <c r="EM30" s="66">
        <f>MAX(INDEX(Properties!A$1:CB$87,Formula!B30,46),INDEX(Properties!A$1:CB$87,Formula!D30,46),INDEX(Properties!A$1:CB$87,Formula!F30,46),INDEX(Properties!A$1:CB$87,Formula!H30,46),INDEX(Properties!A$1:CB$87,Formula!J30,46))</f>
        <v>1.21</v>
      </c>
      <c r="EN30" s="66">
        <f>MIN(IF(INDEX(Properties!A$1:CB$87,Formula!B30,46)=0,10^6,INDEX(Properties!A$1:CB$87,Formula!B30,46)),IF(INDEX(Properties!A$1:CB$87,Formula!D30,46)=0,10^6,INDEX(Properties!A$1:CB$87,Formula!D30,46)),IF(INDEX(Properties!A$1:CB$87,Formula!F30,46)=0,10^6,INDEX(Properties!A$1:CB$87,Formula!F30,46)),IF(INDEX(Properties!A$1:CB$87,Formula!H30,46)=0,10^6,INDEX(Properties!A$1:CB$87,Formula!H30,46)),IF(INDEX(Properties!A$1:CB$87,Formula!J30,46)=0,10^6,INDEX(Properties!A$1:CB$87,Formula!J30,46)))</f>
        <v>0.79</v>
      </c>
      <c r="EO30" s="66">
        <f t="shared" si="23"/>
        <v>0.41999999999999993</v>
      </c>
      <c r="EP30" s="81">
        <f>((Formula!C30)/(Formula!C30+Formula!E30+Formula!G30+Formula!I30+Formula!K30))*(INDEX(Properties!A$1:CB$87,Formula!B30,52))+((Formula!E30)/(Formula!C30+Formula!E30+Formula!G30+Formula!I30+Formula!K30))*(INDEX(Properties!A$1:CB$87,Formula!D30,52))+((Formula!G30)/(Formula!C30+Formula!E30+Formula!G30+Formula!I30+Formula!K30))*(INDEX(Properties!A$1:CB$87,Formula!F30,52))+((Formula!I30)/(Formula!C30+Formula!E30+Formula!G30+Formula!I30+Formula!K30))*(INDEX(Properties!A$1:CB$87,Formula!H30,52))+((Formula!K30)/(Formula!C30+Formula!E30+Formula!G30+Formula!I30+Formula!K30))*(INDEX(Properties!A$1:CB$87,Formula!J30,52))</f>
        <v>6.4619999999999997</v>
      </c>
      <c r="EQ30" s="81">
        <f>Formula!C30*(INDEX(Properties!A$1:CB$87,Formula!B30,52))+Formula!E30*(INDEX(Properties!A$1:CB$87,Formula!D30,52))+Formula!G30*(INDEX(Properties!A$1:CB$87,Formula!F30,52))+Formula!I30*(INDEX(Properties!A$1:CB$87,Formula!H30,52))+Formula!K30*(INDEX(Properties!A$1:CB$87,Formula!J30,52))</f>
        <v>38.771999999999998</v>
      </c>
      <c r="ER30" s="81">
        <f>VARP(IF(INDEX(Properties!A$1:CB$87,Formula!B30,52)&lt;&gt;"",INDEX(Properties!A$1:CB$87,Formula!B30,52)),IF(INDEX(Properties!A$1:CB$87,Formula!D30,52)&lt;&gt;"",INDEX(Properties!A$1:CB$87,Formula!D30,52)),IF(INDEX(Properties!A$1:CB$87,Formula!F30,52)&lt;&gt;"",INDEX(Properties!A$1:CB$87,Formula!F30,52)),IF(INDEX(Properties!A$1:CB$87,Formula!H30,52)&lt;&gt;"",INDEX(Properties!A$1:CB$87,Formula!H30,52)),IF(INDEX(Properties!A$1:CB$87,Formula!J30,52)&lt;&gt;"",INDEX(Properties!A$1:CB$87,Formula!J30,52)))</f>
        <v>83.883751840000002</v>
      </c>
      <c r="ES30" s="81">
        <f>MAX(INDEX(Properties!A$1:CB$87,Formula!B30,52),INDEX(Properties!A$1:CB$87,Formula!D30,52),INDEX(Properties!A$1:CB$87,Formula!F30,52),INDEX(Properties!A$1:CB$87,Formula!H30,52),INDEX(Properties!A$1:CB$87,Formula!J30,52))</f>
        <v>22.8</v>
      </c>
      <c r="ET30" s="81">
        <f>MIN(IF(INDEX(Properties!A$1:CB$87,Formula!B30,52)=0,10^6,INDEX(Properties!A$1:CB$87,Formula!B30,52)),IF(INDEX(Properties!A$1:CB$87,Formula!D30,52)=0,10^6,INDEX(Properties!A$1:CB$87,Formula!D30,52)),IF(INDEX(Properties!A$1:CB$87,Formula!F30,52)=0,10^6,INDEX(Properties!A$1:CB$87,Formula!F30,52)),IF(INDEX(Properties!A$1:CB$87,Formula!H30,52)=0,10^6,INDEX(Properties!A$1:CB$87,Formula!H30,52)),IF(INDEX(Properties!A$1:CB$87,Formula!J30,52)=0,10^6,INDEX(Properties!A$1:CB$87,Formula!J30,52)))</f>
        <v>0.79300000000000004</v>
      </c>
      <c r="EU30" s="81">
        <f t="shared" si="24"/>
        <v>22.007000000000001</v>
      </c>
      <c r="EV30" s="39">
        <f>((Formula!C30)/(Formula!C30+Formula!E30+Formula!G30+Formula!I30+Formula!K30))*(INDEX(Properties!A$1:CB$87,Formula!B30,53))+((Formula!E30)/(Formula!C30+Formula!E30+Formula!G30+Formula!I30+Formula!K30))*(INDEX(Properties!A$1:CB$87,Formula!D30,53))+((Formula!G30)/(Formula!C30+Formula!E30+Formula!G30+Formula!I30+Formula!K30))*(INDEX(Properties!A$1:CB$87,Formula!F30,53))+((Formula!I30)/(Formula!C30+Formula!E30+Formula!G30+Formula!I30+Formula!K30))*(INDEX(Properties!A$1:CB$87,Formula!H30,53))+((Formula!K30)/(Formula!C30+Formula!E30+Formula!G30+Formula!I30+Formula!K30))*(INDEX(Properties!A$1:CB$87,Formula!J30,53))</f>
        <v>703.55</v>
      </c>
      <c r="EW30" s="39">
        <f>Formula!C30*(INDEX(Properties!A$1:CB$87,Formula!B30,53))+Formula!E30*(INDEX(Properties!A$1:CB$87,Formula!D30,53))+Formula!G30*(INDEX(Properties!A$1:CB$87,Formula!F30,53))+Formula!I30*(INDEX(Properties!A$1:CB$87,Formula!H30,53))+Formula!K30*(INDEX(Properties!A$1:CB$87,Formula!J30,53))</f>
        <v>4221.3</v>
      </c>
      <c r="EX30" s="39">
        <f>VARP(IF(INDEX(Properties!A$1:CB$87,Formula!B30,53)&lt;&gt;"",INDEX(Properties!A$1:CB$87,Formula!B30,53)),IF(INDEX(Properties!A$1:CB$87,Formula!D30,53)&lt;&gt;"",INDEX(Properties!A$1:CB$87,Formula!D30,53)),IF(INDEX(Properties!A$1:CB$87,Formula!F30,53)&lt;&gt;"",INDEX(Properties!A$1:CB$87,Formula!F30,53)),IF(INDEX(Properties!A$1:CB$87,Formula!H30,53)&lt;&gt;"",INDEX(Properties!A$1:CB$87,Formula!H30,53)),IF(INDEX(Properties!A$1:CB$87,Formula!J30,53)&lt;&gt;"",INDEX(Properties!A$1:CB$87,Formula!J30,53)))</f>
        <v>1260182.2534000003</v>
      </c>
      <c r="EY30" s="39">
        <f>MAX(INDEX(Properties!A$1:CB$87,Formula!B30,53),INDEX(Properties!A$1:CB$87,Formula!D30,53),INDEX(Properties!A$1:CB$87,Formula!F30,53),INDEX(Properties!A$1:CB$87,Formula!H30,53),INDEX(Properties!A$1:CB$87,Formula!J30,53))</f>
        <v>2890.15</v>
      </c>
      <c r="EZ30" s="39">
        <f>MIN(IF(INDEX(Properties!A$1:CB$87,Formula!B30,53)=0,10^6,INDEX(Properties!A$1:CB$87,Formula!B30,53)),IF(INDEX(Properties!A$1:CB$87,Formula!D30,53)=0,10^6,INDEX(Properties!A$1:CB$87,Formula!D30,53)),IF(INDEX(Properties!A$1:CB$87,Formula!F30,53)=0,10^6,INDEX(Properties!A$1:CB$87,Formula!F30,53)),IF(INDEX(Properties!A$1:CB$87,Formula!H30,53)=0,10^6,INDEX(Properties!A$1:CB$87,Formula!H30,53)),IF(INDEX(Properties!A$1:CB$87,Formula!J30,53)=0,10^6,INDEX(Properties!A$1:CB$87,Formula!J30,53)))</f>
        <v>54.749999999999972</v>
      </c>
      <c r="FA30" s="39">
        <f t="shared" si="25"/>
        <v>2835.4</v>
      </c>
      <c r="FB30" s="54">
        <f>((Formula!C30)/(Formula!C30+Formula!E30+Formula!G30+Formula!I30+Formula!K30))*(INDEX(Properties!A$1:CB$87,Formula!B30,54))+((Formula!E30)/(Formula!C30+Formula!E30+Formula!G30+Formula!I30+Formula!K30))*(INDEX(Properties!A$1:CB$87,Formula!D30,54))+((Formula!G30)/(Formula!C30+Formula!E30+Formula!G30+Formula!I30+Formula!K30))*(INDEX(Properties!A$1:CB$87,Formula!F30,54))+((Formula!I30)/(Formula!C30+Formula!E30+Formula!G30+Formula!I30+Formula!K30))*(INDEX(Properties!A$1:CB$87,Formula!H30,54))+((Formula!K30)/(Formula!C30+Formula!E30+Formula!G30+Formula!I30+Formula!K30))*(INDEX(Properties!A$1:CB$87,Formula!J30,54))</f>
        <v>1167.1499999999999</v>
      </c>
      <c r="FC30" s="54">
        <f>Formula!C30*(INDEX(Properties!A$1:CB$87,Formula!B30,54))+Formula!E30*(INDEX(Properties!A$1:CB$87,Formula!D30,54))+Formula!G30*(INDEX(Properties!A$1:CB$87,Formula!F30,54))+Formula!I30*(INDEX(Properties!A$1:CB$87,Formula!H30,54))+Formula!K30*(INDEX(Properties!A$1:CB$87,Formula!J30,54))</f>
        <v>7002.9</v>
      </c>
      <c r="FD30" s="54">
        <f>VARP(IF(INDEX(Properties!A$1:CB$87,Formula!B30,54)&lt;&gt;"",INDEX(Properties!A$1:CB$87,Formula!B30,54)),IF(INDEX(Properties!A$1:CB$87,Formula!D30,54)&lt;&gt;"",INDEX(Properties!A$1:CB$87,Formula!D30,54)),IF(INDEX(Properties!A$1:CB$87,Formula!F30,54)&lt;&gt;"",INDEX(Properties!A$1:CB$87,Formula!F30,54)),IF(INDEX(Properties!A$1:CB$87,Formula!H30,54)&lt;&gt;"",INDEX(Properties!A$1:CB$87,Formula!H30,54)),IF(INDEX(Properties!A$1:CB$87,Formula!J30,54)&lt;&gt;"",INDEX(Properties!A$1:CB$87,Formula!J30,54)))</f>
        <v>3579043.4134</v>
      </c>
      <c r="FE30" s="54">
        <f>MAX(INDEX(Properties!A$1:CB$87,Formula!B30,54),INDEX(Properties!A$1:CB$87,Formula!D30,54),INDEX(Properties!A$1:CB$87,Formula!F30,54),INDEX(Properties!A$1:CB$87,Formula!H30,54),INDEX(Properties!A$1:CB$87,Formula!J30,54))</f>
        <v>4885.1499999999996</v>
      </c>
      <c r="FF30" s="54">
        <f>MIN(IF(INDEX(Properties!A$1:CB$87,Formula!B30,54)=0,10^6,INDEX(Properties!A$1:CB$87,Formula!B30,54)),IF(INDEX(Properties!A$1:CB$87,Formula!D30,54)=0,10^6,INDEX(Properties!A$1:CB$87,Formula!D30,54)),IF(INDEX(Properties!A$1:CB$87,Formula!F30,54)=0,10^6,INDEX(Properties!A$1:CB$87,Formula!F30,54)),IF(INDEX(Properties!A$1:CB$87,Formula!H30,54)=0,10^6,INDEX(Properties!A$1:CB$87,Formula!H30,54)),IF(INDEX(Properties!A$1:CB$87,Formula!J30,54)=0,10^6,INDEX(Properties!A$1:CB$87,Formula!J30,54)))</f>
        <v>90.149999999999977</v>
      </c>
      <c r="FG30" s="54">
        <f t="shared" si="26"/>
        <v>4795</v>
      </c>
      <c r="FH30" s="69">
        <f>((Formula!C30)/(Formula!C30+Formula!E30+Formula!G30+Formula!I30+Formula!K30))*(INDEX(Properties!A$1:CB$87,Formula!B30,55))+((Formula!E30)/(Formula!C30+Formula!E30+Formula!G30+Formula!I30+Formula!K30))*(INDEX(Properties!A$1:CB$87,Formula!D30,55))+((Formula!G30)/(Formula!C30+Formula!E30+Formula!G30+Formula!I30+Formula!K30))*(INDEX(Properties!A$1:CB$87,Formula!F30,55))+((Formula!I30)/(Formula!C30+Formula!E30+Formula!G30+Formula!I30+Formula!K30))*(INDEX(Properties!A$1:CB$87,Formula!H30,55))+((Formula!K30)/(Formula!C30+Formula!E30+Formula!G30+Formula!I30+Formula!K30))*(INDEX(Properties!A$1:CB$87,Formula!J30,55))</f>
        <v>1.9592866666666664</v>
      </c>
      <c r="FI30" s="69">
        <f>Formula!C30*(INDEX(Properties!A$1:CB$87,Formula!B30,55))+Formula!E30*(INDEX(Properties!A$1:CB$87,Formula!D30,54))+Formula!G30*(INDEX(Properties!A$1:CB$87,Formula!F30,55))+Formula!I30*(INDEX(Properties!A$1:CB$87,Formula!H30,55))+Formula!K30*(INDEX(Properties!A$1:CB$87,Formula!J30,55))</f>
        <v>4886.7057199999999</v>
      </c>
      <c r="FJ30" s="69">
        <f>VARP(IF(INDEX(Properties!A$1:CB$87,Formula!B30,55)&lt;&gt;"",INDEX(Properties!A$1:CB$87,Formula!B30,55)),IF(INDEX(Properties!A$1:CB$87,Formula!D30,55)&lt;&gt;"",INDEX(Properties!A$1:CB$87,Formula!D30,55)),IF(INDEX(Properties!A$1:CB$87,Formula!F30,55)&lt;&gt;"",INDEX(Properties!A$1:CB$87,Formula!F30,55)),IF(INDEX(Properties!A$1:CB$87,Formula!H30,55)&lt;&gt;"",INDEX(Properties!A$1:CB$87,Formula!H30,55)),IF(INDEX(Properties!A$1:CB$87,Formula!J30,55)&lt;&gt;"",INDEX(Properties!A$1:CB$87,Formula!J30,55)))</f>
        <v>15.764656127183999</v>
      </c>
      <c r="FK30" s="69">
        <f>MAX(INDEX(Properties!A$1:CB$87,Formula!B30,55),INDEX(Properties!A$1:CB$87,Formula!D30,55),INDEX(Properties!A$1:CB$87,Formula!F30,55),INDEX(Properties!A$1:CB$87,Formula!H30,55),INDEX(Properties!A$1:CB$87,Formula!J30,55))</f>
        <v>10.199999999999999</v>
      </c>
      <c r="FL30" s="69">
        <f>MIN(IF(INDEX(Properties!A$1:CB$87,Formula!B30,55)=0,10^6,INDEX(Properties!A$1:CB$87,Formula!B30,55)),IF(INDEX(Properties!A$1:CB$87,Formula!D30,55)=0,10^6,INDEX(Properties!A$1:CB$87,Formula!D30,55)),IF(INDEX(Properties!A$1:CB$87,Formula!F30,55)=0,10^6,INDEX(Properties!A$1:CB$87,Formula!F30,55)),IF(INDEX(Properties!A$1:CB$87,Formula!H30,55)=0,10^6,INDEX(Properties!A$1:CB$87,Formula!H30,55)),IF(INDEX(Properties!A$1:CB$87,Formula!J30,55)=0,10^6,INDEX(Properties!A$1:CB$87,Formula!J30,55)))</f>
        <v>1.4300000000000001E-3</v>
      </c>
      <c r="FM30" s="69">
        <f t="shared" si="27"/>
        <v>10.19857</v>
      </c>
      <c r="FN30" s="42">
        <f>((Formula!C30)/(Formula!C30+Formula!E30+Formula!G30+Formula!I30+Formula!K30))*(INDEX(Properties!A$1:CB$87,Formula!B30,56))+((Formula!E30)/(Formula!C30+Formula!E30+Formula!G30+Formula!I30+Formula!K30))*(INDEX(Properties!A$1:CB$87,Formula!D30,56))+((Formula!G30)/(Formula!C30+Formula!E30+Formula!G30+Formula!I30+Formula!K30))*(INDEX(Properties!A$1:CB$87,Formula!F30,56))+((Formula!I30)/(Formula!C30+Formula!E30+Formula!G30+Formula!I30+Formula!K30))*(INDEX(Properties!A$1:CB$87,Formula!H30,56))+((Formula!K30)/(Formula!C30+Formula!E30+Formula!G30+Formula!I30+Formula!K30))*(INDEX(Properties!A$1:CB$87,Formula!J30,56))</f>
        <v>0.76</v>
      </c>
      <c r="FO30" s="42">
        <f>Formula!C30*(INDEX(Properties!A$1:CB$87,Formula!B30,56))+Formula!E30*(INDEX(Properties!A$1:CB$87,Formula!D30,56))+Formula!G30*(INDEX(Properties!A$1:CB$87,Formula!F30,56))+Formula!I30*(INDEX(Properties!A$1:CB$87,Formula!H30,56))+Formula!K30*(INDEX(Properties!A$1:CB$87,Formula!J30,56))</f>
        <v>4.5600000000000005</v>
      </c>
      <c r="FP30" s="42">
        <f>VARP(IF(INDEX(Properties!A$1:CB$87,Formula!B30,56)&lt;&gt;"",INDEX(Properties!A$1:CB$87,Formula!B30,56)),IF(INDEX(Properties!A$1:CB$87,Formula!D30,56)&lt;&gt;"",INDEX(Properties!A$1:CB$87,Formula!D30,56)),IF(INDEX(Properties!A$1:CB$87,Formula!F30,56)&lt;&gt;"",INDEX(Properties!A$1:CB$87,Formula!F30,56)),IF(INDEX(Properties!A$1:CB$87,Formula!H30,56)&lt;&gt;"",INDEX(Properties!A$1:CB$87,Formula!H30,56)),IF(INDEX(Properties!A$1:CB$87,Formula!J30,56)&lt;&gt;"",INDEX(Properties!A$1:CB$87,Formula!J30,56)))</f>
        <v>0.13155999999999998</v>
      </c>
      <c r="FQ30" s="42">
        <f>MAX(INDEX(Properties!A$1:CB$87,Formula!B30,56),INDEX(Properties!A$1:CB$87,Formula!D30,56),INDEX(Properties!A$1:CB$87,Formula!F30,56),INDEX(Properties!A$1:CB$87,Formula!H30,56),INDEX(Properties!A$1:CB$87,Formula!J30,56))</f>
        <v>0.92</v>
      </c>
      <c r="FR30" s="42">
        <f>MIN(IF(INDEX(Properties!A$1:CB$87,Formula!B30,56)=0,10^6,INDEX(Properties!A$1:CB$87,Formula!B30,56)),IF(INDEX(Properties!A$1:CB$87,Formula!D30,56)=0,10^6,INDEX(Properties!A$1:CB$87,Formula!D30,56)),IF(INDEX(Properties!A$1:CB$87,Formula!F30,56)=0,10^6,INDEX(Properties!A$1:CB$87,Formula!F30,56)),IF(INDEX(Properties!A$1:CB$87,Formula!H30,56)=0,10^6,INDEX(Properties!A$1:CB$87,Formula!H30,56)),IF(INDEX(Properties!A$1:CB$87,Formula!J30,56)=0,10^6,INDEX(Properties!A$1:CB$87,Formula!J30,56)))</f>
        <v>0.25</v>
      </c>
      <c r="FS30" s="42">
        <f t="shared" si="28"/>
        <v>0.67</v>
      </c>
      <c r="FT30" s="60">
        <f>((Formula!C30)/(Formula!C30+Formula!E30+Formula!G30+Formula!I30+Formula!K30))*(INDEX(Properties!A$1:CB$87,Formula!B30,57))+((Formula!E30)/(Formula!C30+Formula!E30+Formula!G30+Formula!I30+Formula!K30))*(INDEX(Properties!A$1:CB$87,Formula!D30,57))+((Formula!G30)/(Formula!C30+Formula!E30+Formula!G30+Formula!I30+Formula!K30))*(INDEX(Properties!A$1:CB$87,Formula!F30,57))+((Formula!I30)/(Formula!C30+Formula!E30+Formula!G30+Formula!I30+Formula!K30))*(INDEX(Properties!A$1:CB$87,Formula!H30,57))+((Formula!K30)/(Formula!C30+Formula!E30+Formula!G30+Formula!I30+Formula!K30))*(INDEX(Properties!A$1:CB$87,Formula!J30,57))</f>
        <v>6.9050599999999989</v>
      </c>
      <c r="FU30" s="60">
        <f>Formula!C30*(INDEX(Properties!A$1:CB$87,Formula!B30,57))+Formula!E30*(INDEX(Properties!A$1:CB$87,Formula!D30,57))+Formula!G30*(INDEX(Properties!A$1:CB$87,Formula!F30,57))+Formula!I30*(INDEX(Properties!A$1:CB$87,Formula!H30,57))+Formula!K30*(INDEX(Properties!A$1:CB$87,Formula!J30,57))</f>
        <v>41.43036</v>
      </c>
      <c r="FV30" s="60">
        <f>VARP(IF(INDEX(Properties!A$1:CB$87,Formula!B30,57)&lt;&gt;"",INDEX(Properties!A$1:CB$87,Formula!B30,57)),IF(INDEX(Properties!A$1:CB$87,Formula!D30,57)&lt;&gt;"",INDEX(Properties!A$1:CB$87,Formula!D30,57)),IF(INDEX(Properties!A$1:CB$87,Formula!F30,57)&lt;&gt;"",INDEX(Properties!A$1:CB$87,Formula!F30,57)),IF(INDEX(Properties!A$1:CB$87,Formula!H30,57)&lt;&gt;"",INDEX(Properties!A$1:CB$87,Formula!H30,57)),IF(INDEX(Properties!A$1:CB$87,Formula!J30,57)&lt;&gt;"",INDEX(Properties!A$1:CB$87,Formula!J30,57)))</f>
        <v>152.93267952129597</v>
      </c>
      <c r="FW30" s="60">
        <f>MAX(INDEX(Properties!A$1:CB$87,Formula!B30,57),INDEX(Properties!A$1:CB$87,Formula!D30,57),INDEX(Properties!A$1:CB$87,Formula!F30,57),INDEX(Properties!A$1:CB$87,Formula!H30,57),INDEX(Properties!A$1:CB$87,Formula!J30,57))</f>
        <v>32</v>
      </c>
      <c r="FX30" s="60">
        <f>MIN(IF(INDEX(Properties!A$1:CB$87,Formula!B30,57)=0,10^6,INDEX(Properties!A$1:CB$87,Formula!B30,57)),IF(INDEX(Properties!A$1:CB$87,Formula!D30,57)=0,10^6,INDEX(Properties!A$1:CB$87,Formula!D30,57)),IF(INDEX(Properties!A$1:CB$87,Formula!F30,57)=0,10^6,INDEX(Properties!A$1:CB$87,Formula!F30,57)),IF(INDEX(Properties!A$1:CB$87,Formula!H30,57)=0,10^6,INDEX(Properties!A$1:CB$87,Formula!H30,57)),IF(INDEX(Properties!A$1:CB$87,Formula!J30,57)=0,10^6,INDEX(Properties!A$1:CB$87,Formula!J30,57)))</f>
        <v>0.22259000000000001</v>
      </c>
      <c r="FY30" s="60">
        <f t="shared" si="29"/>
        <v>31.77741</v>
      </c>
      <c r="FZ30" s="72">
        <f>((Formula!C30)/(Formula!C30+Formula!E30+Formula!G30+Formula!I30+Formula!K30))*(INDEX(Properties!A$1:CB$87,Formula!B30,60))+((Formula!E30)/(Formula!C30+Formula!E30+Formula!G30+Formula!I30+Formula!K30))*(INDEX(Properties!A$1:CB$87,Formula!D30,60))+((Formula!G30)/(Formula!C30+Formula!E30+Formula!G30+Formula!I30+Formula!K30))*(INDEX(Properties!A$1:CB$87,Formula!F30,60))+((Formula!I30)/(Formula!C30+Formula!E30+Formula!G30+Formula!I30+Formula!K30))*(INDEX(Properties!A$1:CB$87,Formula!H30,60))+((Formula!K30)/(Formula!C30+Formula!E30+Formula!G30+Formula!I30+Formula!K30))*(INDEX(Properties!A$1:CB$87,Formula!J30,60))</f>
        <v>56.351159999999993</v>
      </c>
      <c r="GA30" s="72">
        <f>Formula!C30*(INDEX(Properties!A$1:CB$87,Formula!B30,60))+Formula!E30*(INDEX(Properties!A$1:CB$87,Formula!D30,60))+Formula!G30*(INDEX(Properties!A$1:CB$87,Formula!F30,60))+Formula!I30*(INDEX(Properties!A$1:CB$87,Formula!H30,60))+Formula!K30*(INDEX(Properties!A$1:CB$87,Formula!J30,60))</f>
        <v>338.10696000000002</v>
      </c>
      <c r="GB30" s="72">
        <f>VARP(IF(INDEX(Properties!A$1:CB$87,Formula!B30,60)&lt;&gt;"",INDEX(Properties!A$1:CB$87,Formula!B30,60)),IF(INDEX(Properties!A$1:CB$87,Formula!D30,60)&lt;&gt;"",INDEX(Properties!A$1:CB$87,Formula!D30,60)),IF(INDEX(Properties!A$1:CB$87,Formula!F30,60)&lt;&gt;"",INDEX(Properties!A$1:CB$87,Formula!F30,60)),IF(INDEX(Properties!A$1:CB$87,Formula!H30,60)&lt;&gt;"",INDEX(Properties!A$1:CB$87,Formula!H30,60)),IF(INDEX(Properties!A$1:CB$87,Formula!J30,60)&lt;&gt;"",INDEX(Properties!A$1:CB$87,Formula!J30,60)))</f>
        <v>7238.3170648044152</v>
      </c>
      <c r="GC30" s="72">
        <f>MAX(INDEX(Properties!A$1:CB$87,Formula!B30,60),INDEX(Properties!A$1:CB$87,Formula!D30,60),INDEX(Properties!A$1:CB$87,Formula!F30,60),INDEX(Properties!A$1:CB$87,Formula!H30,60),INDEX(Properties!A$1:CB$87,Formula!J30,60))</f>
        <v>200</v>
      </c>
      <c r="GD30" s="72">
        <f>MIN(IF(INDEX(Properties!A$1:CB$87,Formula!B30,60)=0,10^6,INDEX(Properties!A$1:CB$87,Formula!B30,60)),IF(INDEX(Properties!A$1:CB$87,Formula!D30,60)=0,10^6,INDEX(Properties!A$1:CB$87,Formula!D30,60)),IF(INDEX(Properties!A$1:CB$87,Formula!F30,60)=0,10^6,INDEX(Properties!A$1:CB$87,Formula!F30,60)),IF(INDEX(Properties!A$1:CB$87,Formula!H30,60)=0,10^6,INDEX(Properties!A$1:CB$87,Formula!H30,60)),IF(INDEX(Properties!A$1:CB$87,Formula!J30,60)=0,10^6,INDEX(Properties!A$1:CB$87,Formula!J30,60)))</f>
        <v>2.674E-2</v>
      </c>
      <c r="GE30" s="72">
        <f t="shared" si="30"/>
        <v>199.97326000000001</v>
      </c>
      <c r="GF30" s="51">
        <f>((Formula!C30)/(Formula!C30+Formula!E30+Formula!G30+Formula!I30+Formula!K30))*(INDEX(Properties!A$1:CB$87,Formula!B30,62))+((Formula!E30)/(Formula!C30+Formula!E30+Formula!G30+Formula!I30+Formula!K30))*(INDEX(Properties!A$1:CB$87,Formula!D30,62))+((Formula!G30)/(Formula!C30+Formula!E30+Formula!G30+Formula!I30+Formula!K30))*(INDEX(Properties!A$1:CB$87,Formula!F30,62))+((Formula!I30)/(Formula!C30+Formula!E30+Formula!G30+Formula!I30+Formula!K30))*(INDEX(Properties!A$1:CB$87,Formula!H30,62))+((Formula!K30)/(Formula!C30+Formula!E30+Formula!G30+Formula!I30+Formula!K30))*(INDEX(Properties!A$1:CB$87,Formula!J30,62))</f>
        <v>3.19</v>
      </c>
      <c r="GG30" s="51">
        <f>Formula!C30*(INDEX(Properties!A$1:CB$87,Formula!B30,62))+Formula!E30*(INDEX(Properties!A$1:CB$87,Formula!D30,62))+Formula!G30*(INDEX(Properties!A$1:CB$87,Formula!F30,62))+Formula!I30*(INDEX(Properties!A$1:CB$87,Formula!H30,62))+Formula!K30*(INDEX(Properties!A$1:CB$87,Formula!J30,62))</f>
        <v>19.14</v>
      </c>
      <c r="GH30" s="51">
        <f>VARP(IF(INDEX(Properties!A$1:CB$87,Formula!B30,62)&lt;&gt;"",INDEX(Properties!A$1:CB$87,Formula!B30,62)),IF(INDEX(Properties!A$1:CB$87,Formula!D30,62)&lt;&gt;"",INDEX(Properties!A$1:CB$87,Formula!D30,62)),IF(INDEX(Properties!A$1:CB$87,Formula!F30,62)&lt;&gt;"",INDEX(Properties!A$1:CB$87,Formula!F30,62)),IF(INDEX(Properties!A$1:CB$87,Formula!H30,62)&lt;&gt;"",INDEX(Properties!A$1:CB$87,Formula!H30,62)),IF(INDEX(Properties!A$1:CB$87,Formula!J30,62)&lt;&gt;"",INDEX(Properties!A$1:CB$87,Formula!J30,62)))</f>
        <v>6.2629440000000018</v>
      </c>
      <c r="GI30" s="51">
        <f>MAX(INDEX(Properties!A$1:CB$87,Formula!B30,62),INDEX(Properties!A$1:CB$87,Formula!D30,62),INDEX(Properties!A$1:CB$87,Formula!F30,62),INDEX(Properties!A$1:CB$87,Formula!H30,62),INDEX(Properties!A$1:CB$87,Formula!J30,62))</f>
        <v>6.82</v>
      </c>
      <c r="GJ30" s="51">
        <f>MIN(IF(INDEX(Properties!A$1:CB$87,Formula!B30,62)=0,10^6,INDEX(Properties!A$1:CB$87,Formula!B30,62)),IF(INDEX(Properties!A$1:CB$87,Formula!D30,62)=0,10^6,INDEX(Properties!A$1:CB$87,Formula!D30,62)),IF(INDEX(Properties!A$1:CB$87,Formula!F30,62)=0,10^6,INDEX(Properties!A$1:CB$87,Formula!F30,62)),IF(INDEX(Properties!A$1:CB$87,Formula!H30,62)=0,10^6,INDEX(Properties!A$1:CB$87,Formula!H30,62)),IF(INDEX(Properties!A$1:CB$87,Formula!J30,62)=0,10^6,INDEX(Properties!A$1:CB$87,Formula!J30,62)))</f>
        <v>1.84</v>
      </c>
      <c r="GK30" s="51">
        <f t="shared" si="31"/>
        <v>4.9800000000000004</v>
      </c>
      <c r="GL30" s="51">
        <f>Formula!P30</f>
        <v>88</v>
      </c>
      <c r="GM30" s="57">
        <f>Formula!O30</f>
        <v>4</v>
      </c>
      <c r="GN30" s="51">
        <f>Formula!N30</f>
        <v>0.05</v>
      </c>
    </row>
    <row r="31" spans="1:196" x14ac:dyDescent="0.3">
      <c r="A31" s="84" t="str">
        <f>Formula!A31</f>
        <v>ZnAl2O4</v>
      </c>
      <c r="B31" s="89">
        <f>((Formula!C31)/(Formula!C31+Formula!E31+Formula!G31+Formula!I31+Formula!K31))*(INDEX(Properties!A$1:CB$87,Formula!B31,3))+((Formula!E31)/(Formula!C31+Formula!E31+Formula!G31+Formula!I31+Formula!K31))*(INDEX(Properties!A$1:CB$87,Formula!D31,3))+((Formula!G31)/(Formula!C31+Formula!E31+Formula!G31+Formula!I31+Formula!K31))*(INDEX(Properties!A$1:CB$87,Formula!F31,3))+((Formula!I31)/(Formula!C31+Formula!E31+Formula!G31+Formula!I31+Formula!K31))*(INDEX(Properties!A$1:CB$87,Formula!H31,3))+((Formula!K31)/(Formula!C31+Formula!E31+Formula!G31+Formula!I31+Formula!K31))*(INDEX(Properties!A$1:CB$87,Formula!J31,3))</f>
        <v>26.191525428571424</v>
      </c>
      <c r="C31" s="85">
        <f>Formula!C31*(INDEX(Properties!A$1:CB$87,Formula!B31,3))+Formula!E31*(INDEX(Properties!A$1:CB$87,Formula!D31,3))+Formula!G31*(INDEX(Properties!A$1:CB$87,Formula!F31,3))+Formula!I31*(INDEX(Properties!A$1:CB$87,Formula!H31,3))+Formula!K31*(INDEX(Properties!A$1:CB$87,Formula!J31,3))</f>
        <v>183.340678</v>
      </c>
      <c r="D31" s="85">
        <f>VARP(IF(INDEX(Properties!A$1:CB$87,Formula!B31,3)&lt;&gt;"",INDEX(Properties!A$1:CB$87,Formula!B31,3)),IF(INDEX(Properties!A$1:CB$87,Formula!D31,3)&lt;&gt;"",INDEX(Properties!A$1:CB$87,Formula!D31,3)),IF(INDEX(Properties!A$1:CB$87,Formula!F31,3)&lt;&gt;"",INDEX(Properties!A$1:CB$87,Formula!F31,3)),IF(INDEX(Properties!A$1:CB$87,Formula!H31,3)&lt;&gt;"",INDEX(Properties!A$1:CB$87,Formula!H31,3)),IF(INDEX(Properties!A$1:CB$87,Formula!J31,3)&lt;&gt;"",INDEX(Properties!A$1:CB$87,Formula!J31,3)))</f>
        <v>582.02200539523551</v>
      </c>
      <c r="E31" s="85">
        <f>MAX(INDEX(Properties!A$1:CB$87,Formula!B31,3),INDEX(Properties!A$1:CB$87,Formula!D31,3),INDEX(Properties!A$1:CB$87,Formula!F31,3),INDEX(Properties!A$1:CB$87,Formula!H31,3),INDEX(Properties!A$1:CB$87,Formula!J31,3))</f>
        <v>65.38</v>
      </c>
      <c r="F31" s="85">
        <f>MIN(IF(INDEX(Properties!A$1:CB$87,Formula!B31,3)=0,10^6,INDEX(Properties!A$1:CB$87,Formula!B31,3)),IF(INDEX(Properties!A$1:CB$87,Formula!D31,3)=0,10^6,INDEX(Properties!A$1:CB$87,Formula!D31,3)),IF(INDEX(Properties!A$1:CB$87,Formula!F31,3)=0,10^6,INDEX(Properties!A$1:CB$87,Formula!F31,3)),IF(INDEX(Properties!A$1:CB$87,Formula!H31,3)=0,10^6,INDEX(Properties!A$1:CB$87,Formula!H31,3)),IF(INDEX(Properties!A$1:CB$87,Formula!J31,3)=0,10^6,INDEX(Properties!A$1:CB$87,Formula!J31,3)))</f>
        <v>15.9994</v>
      </c>
      <c r="G31" s="85">
        <f t="shared" si="0"/>
        <v>49.380599999999994</v>
      </c>
      <c r="H31" s="87">
        <f>((Formula!C31)/(Formula!C31+Formula!E31+Formula!G31+Formula!I31+Formula!K31))*(INDEX(Properties!A$1:CB$87,Formula!B31,4))+((Formula!E31)/(Formula!C31+Formula!E31+Formula!G31+Formula!I31+Formula!K31))*(INDEX(Properties!A$1:CB$87,Formula!D31,4))+((Formula!G31)/(Formula!C31+Formula!E31+Formula!G31+Formula!I31+Formula!K31))*(INDEX(Properties!A$1:CB$87,Formula!F31,4))+((Formula!I31)/(Formula!C31+Formula!E31+Formula!G31+Formula!I31+Formula!K31))*(INDEX(Properties!A$1:CB$87,Formula!H31,4))+((Formula!K31)/(Formula!C31+Formula!E31+Formula!G31+Formula!I31+Formula!K31))*(INDEX(Properties!A$1:CB$87,Formula!J31,4))</f>
        <v>12.571428571428571</v>
      </c>
      <c r="I31" s="87">
        <f>Formula!C31*(INDEX(Properties!A$1:CB$87,Formula!B31,4))+Formula!E31*(INDEX(Properties!A$1:CB$87,Formula!D31,4))+Formula!G31*(INDEX(Properties!A$1:CB$87,Formula!F31,4))+Formula!I31*(INDEX(Properties!A$1:CB$87,Formula!H31,4))+Formula!K31*(INDEX(Properties!A$1:CB$87,Formula!J31,4))</f>
        <v>88</v>
      </c>
      <c r="J31" s="87">
        <f>VARP(IF(INDEX(Properties!A$1:CB$87,Formula!B31,4)&lt;&gt;"",INDEX(Properties!A$1:CB$87,Formula!B31,4)),IF(INDEX(Properties!A$1:CB$87,Formula!D31,4)&lt;&gt;"",INDEX(Properties!A$1:CB$87,Formula!D31,4)),IF(INDEX(Properties!A$1:CB$87,Formula!F31,4)&lt;&gt;"",INDEX(Properties!A$1:CB$87,Formula!F31,4)),IF(INDEX(Properties!A$1:CB$87,Formula!H31,4)&lt;&gt;"",INDEX(Properties!A$1:CB$87,Formula!H31,4)),IF(INDEX(Properties!A$1:CB$87,Formula!J31,4)&lt;&gt;"",INDEX(Properties!A$1:CB$87,Formula!J31,4)))</f>
        <v>122.56</v>
      </c>
      <c r="K31" s="87">
        <f>MAX(INDEX(Properties!A$1:CB$87,Formula!B31,4),INDEX(Properties!A$1:CB$87,Formula!D31,4),INDEX(Properties!A$1:CB$87,Formula!F31,4),INDEX(Properties!A$1:CB$87,Formula!H31,4),INDEX(Properties!A$1:CB$87,Formula!J31,4))</f>
        <v>30</v>
      </c>
      <c r="L31" s="87">
        <f>MIN(IF(INDEX(Properties!A$1:CB$87,Formula!B31,4)=0,10^6,INDEX(Properties!A$1:CB$87,Formula!B31,4)),IF(INDEX(Properties!A$1:CB$87,Formula!D31,4)=0,10^6,INDEX(Properties!A$1:CB$87,Formula!D31,4)),IF(INDEX(Properties!A$1:CB$87,Formula!F31,4)=0,10^6,INDEX(Properties!A$1:CB$87,Formula!F31,4)),IF(INDEX(Properties!A$1:CB$87,Formula!H31,4)=0,10^6,INDEX(Properties!A$1:CB$87,Formula!H31,4)),IF(INDEX(Properties!A$1:CB$87,Formula!J31,4)=0,10^6,INDEX(Properties!A$1:CB$87,Formula!J31,4)))</f>
        <v>8</v>
      </c>
      <c r="M31" s="87">
        <f t="shared" si="1"/>
        <v>22</v>
      </c>
      <c r="N31" s="89">
        <f>((Formula!C31)/(Formula!C31+Formula!E31+Formula!G31+Formula!I31+Formula!K31))*(INDEX(Properties!A$1:CB$87,Formula!B31,5))+((Formula!E31)/(Formula!C31+Formula!E31+Formula!G31+Formula!I31+Formula!K31))*(INDEX(Properties!A$1:CB$87,Formula!D31,5))+((Formula!G31)/(Formula!C31+Formula!E31+Formula!G31+Formula!I31+Formula!K31))*(INDEX(Properties!A$1:CB$87,Formula!F31,5))+((Formula!I31)/(Formula!C31+Formula!E31+Formula!G31+Formula!I31+Formula!K31))*(INDEX(Properties!A$1:CB$87,Formula!H31,5))+((Formula!K31)/(Formula!C31+Formula!E31+Formula!G31+Formula!I31+Formula!K31))*(INDEX(Properties!A$1:CB$87,Formula!J31,5))</f>
        <v>2.5714285714285712</v>
      </c>
      <c r="O31" s="89">
        <f>Formula!C31*(INDEX(Properties!A$1:CB$87,Formula!B31,5))+Formula!E31*(INDEX(Properties!A$1:CB$87,Formula!D31,5))+Formula!G31*(INDEX(Properties!A$1:CB$87,Formula!F31,5))+Formula!I31*(INDEX(Properties!A$1:CB$87,Formula!H31,5))+Formula!K31*(INDEX(Properties!A$1:CB$87,Formula!J31,5))</f>
        <v>18</v>
      </c>
      <c r="P31" s="89">
        <f>VARP(IF(INDEX(Properties!A$1:CB$87,Formula!B31,5)&lt;&gt;"",INDEX(Properties!A$1:CB$87,Formula!B31,5)),IF(INDEX(Properties!A$1:CB$87,Formula!D31,5)&lt;&gt;"",INDEX(Properties!A$1:CB$87,Formula!D31,5)),IF(INDEX(Properties!A$1:CB$87,Formula!F31,5)&lt;&gt;"",INDEX(Properties!A$1:CB$87,Formula!F31,5)),IF(INDEX(Properties!A$1:CB$87,Formula!H31,5)&lt;&gt;"",INDEX(Properties!A$1:CB$87,Formula!H31,5)),IF(INDEX(Properties!A$1:CB$87,Formula!J31,5)&lt;&gt;"",INDEX(Properties!A$1:CB$87,Formula!J31,5)))</f>
        <v>2.56</v>
      </c>
      <c r="Q31" s="89">
        <f>MAX(INDEX(Properties!A$1:CB$87,Formula!B31,5),INDEX(Properties!A$1:CB$87,Formula!D31,5),INDEX(Properties!A$1:CB$87,Formula!F31,5),INDEX(Properties!A$1:CB$87,Formula!H31,5),INDEX(Properties!A$1:CB$87,Formula!J31,5))</f>
        <v>4</v>
      </c>
      <c r="R31" s="89">
        <f>MIN(IF(INDEX(Properties!A$1:CB$87,Formula!B31,5)=0,10^6,INDEX(Properties!A$1:CB$87,Formula!B31,5)),IF(INDEX(Properties!A$1:CB$87,Formula!D31,5)=0,10^6,INDEX(Properties!A$1:CB$87,Formula!D31,5)),IF(INDEX(Properties!A$1:CB$87,Formula!F31,5)=0,10^6,INDEX(Properties!A$1:CB$87,Formula!F31,5)),IF(INDEX(Properties!A$1:CB$87,Formula!H31,5)=0,10^6,INDEX(Properties!A$1:CB$87,Formula!H31,5)),IF(INDEX(Properties!A$1:CB$87,Formula!J31,5)=0,10^6,INDEX(Properties!A$1:CB$87,Formula!J31,5)))</f>
        <v>2</v>
      </c>
      <c r="S31" s="89">
        <f t="shared" si="2"/>
        <v>2</v>
      </c>
      <c r="T31" s="60">
        <f>((Formula!C31)/(Formula!C31+Formula!E31+Formula!G31+Formula!I31+Formula!K31))*(INDEX(Properties!A$1:CB$87,Formula!B31,6))+((Formula!E31)/(Formula!C31+Formula!E31+Formula!G31+Formula!I31+Formula!K31))*(INDEX(Properties!A$1:CB$87,Formula!D31,6))+((Formula!G31)/(Formula!C31+Formula!E31+Formula!G31+Formula!I31+Formula!K31))*(INDEX(Properties!A$1:CB$87,Formula!F31,6))+((Formula!I31)/(Formula!C31+Formula!E31+Formula!G31+Formula!I31+Formula!K31))*(INDEX(Properties!A$1:CB$87,Formula!H31,6))+((Formula!K31)/(Formula!C31+Formula!E31+Formula!G31+Formula!I31+Formula!K31))*(INDEX(Properties!A$1:CB$87,Formula!J31,6))</f>
        <v>14.571428571428569</v>
      </c>
      <c r="U31" s="60">
        <f>Formula!C31*(INDEX(Properties!A$1:CB$87,Formula!B31,6))+Formula!E31*(INDEX(Properties!A$1:CB$87,Formula!D31,6))+Formula!G31*(INDEX(Properties!A$1:CB$87,Formula!F31,6))+Formula!I31*(INDEX(Properties!A$1:CB$87,Formula!H31,6))+Formula!K31*(INDEX(Properties!A$1:CB$87,Formula!J31,6))</f>
        <v>102</v>
      </c>
      <c r="V31" s="89">
        <f>VARP(IF(INDEX(Properties!A$1:CB$87,Formula!B31,6)&lt;&gt;"",INDEX(Properties!A$1:CB$87,Formula!B31,6)),IF(INDEX(Properties!A$1:CB$87,Formula!D31,6)&lt;&gt;"",INDEX(Properties!A$1:CB$87,Formula!D31,6)),IF(INDEX(Properties!A$1:CB$87,Formula!F31,6)&lt;&gt;"",INDEX(Properties!A$1:CB$87,Formula!F31,6)),IF(INDEX(Properties!A$1:CB$87,Formula!H31,6)&lt;&gt;"",INDEX(Properties!A$1:CB$87,Formula!H31,6)),IF(INDEX(Properties!A$1:CB$87,Formula!J31,6)&lt;&gt;"",INDEX(Properties!A$1:CB$87,Formula!J31,6)))</f>
        <v>46.56</v>
      </c>
      <c r="W31" s="60">
        <f>MAX(INDEX(Properties!A$1:CB$87,Formula!B31,6),INDEX(Properties!A$1:CB$87,Formula!D31,6),INDEX(Properties!A$1:CB$87,Formula!F31,6),INDEX(Properties!A$1:CB$87,Formula!H31,4),INDEX(Properties!A$1:CB$87,Formula!J31,6))</f>
        <v>16</v>
      </c>
      <c r="X31" s="60">
        <f>MIN(IF(INDEX(Properties!A$1:CB$87,Formula!B31,6)=0,10^6,INDEX(Properties!A$1:CB$87,Formula!B31,6)),IF(INDEX(Properties!A$1:CB$87,Formula!D31,6)=0,10^6,INDEX(Properties!A$1:CB$87,Formula!D31,6)),IF(INDEX(Properties!A$1:CB$87,Formula!F31,6)=0,10^6,INDEX(Properties!A$1:CB$87,Formula!F31,6)),IF(INDEX(Properties!A$1:CB$87,Formula!H31,6)=0,10^6,INDEX(Properties!A$1:CB$87,Formula!H31,6)),IF(INDEX(Properties!A$1:CB$87,Formula!J31,6)=0,10^6,INDEX(Properties!A$1:CB$87,Formula!J31,6)))</f>
        <v>12</v>
      </c>
      <c r="Y31" s="60">
        <f t="shared" si="3"/>
        <v>4</v>
      </c>
      <c r="Z31" s="72">
        <f>((Formula!C31)/(Formula!C31+Formula!E31+Formula!G31+Formula!I31+Formula!K31))*(INDEX(Properties!A$1:CB$87,Formula!B31,9))+((Formula!E31)/(Formula!C31+Formula!E31+Formula!G31+Formula!I31+Formula!K31))*(INDEX(Properties!A$1:CB$87,Formula!D31,9))+((Formula!G31)/(Formula!C31+Formula!E31+Formula!G31+Formula!I31+Formula!K31))*(INDEX(Properties!A$1:CB$87,Formula!F31,9))+((Formula!I31)/(Formula!C31+Formula!E31+Formula!G31+Formula!I31+Formula!K31))*(INDEX(Properties!A$1:CB$87,Formula!H31,9))+((Formula!K31)/(Formula!C31+Formula!E31+Formula!G31+Formula!I31+Formula!K31))*(INDEX(Properties!A$1:CB$87,Formula!J31,9))</f>
        <v>80.428571428571416</v>
      </c>
      <c r="AA31" s="72">
        <f>Formula!C31*(INDEX(Properties!A$1:CB$87,Formula!B31,9))+Formula!E31*(INDEX(Properties!A$1:CB$87,Formula!D31,9))+Formula!G31*(INDEX(Properties!A$1:CB$87,Formula!F31,9))+Formula!I31*(INDEX(Properties!A$1:CB$87,Formula!H31,9))+Formula!K31*(INDEX(Properties!A$1:CB$87,Formula!J31,9))</f>
        <v>563</v>
      </c>
      <c r="AB31" s="72">
        <f>VARP(IF(INDEX(Properties!A$1:CB$87,Formula!B31,9)&lt;&gt;"",INDEX(Properties!A$1:CB$87,Formula!B31,9)),IF(INDEX(Properties!A$1:CB$87,Formula!D31,9)&lt;&gt;"",INDEX(Properties!A$1:CB$87,Formula!D31,9)),IF(INDEX(Properties!A$1:CB$87,Formula!F31,9)&lt;&gt;"",INDEX(Properties!A$1:CB$87,Formula!F31,9)),IF(INDEX(Properties!A$1:CB$87,Formula!H31,9)&lt;&gt;"",INDEX(Properties!A$1:CB$87,Formula!H31,9)),IF(INDEX(Properties!A$1:CB$87,Formula!J31,9)&lt;&gt;"",INDEX(Properties!A$1:CB$87,Formula!J31,9)))</f>
        <v>1434.16</v>
      </c>
      <c r="AC31" s="72">
        <f>MAX(INDEX(Properties!A$1:CB$87,Formula!B31,9),INDEX(Properties!A$1:CB$87,Formula!D31,9),INDEX(Properties!A$1:CB$87,Formula!F31,9),INDEX(Properties!A$1:CB$87,Formula!H31,9),INDEX(Properties!A$1:CB$87,Formula!J31,9))</f>
        <v>87</v>
      </c>
      <c r="AD31" s="72">
        <f>MIN(IF(INDEX(Properties!A$1:CB$87,Formula!B31,9)=0,10^6,INDEX(Properties!A$1:CB$87,Formula!B31,9)),IF(INDEX(Properties!A$1:CB$87,Formula!D31,9)=0,10^6,INDEX(Properties!A$1:CB$87,Formula!D31,9)),IF(INDEX(Properties!A$1:CB$87,Formula!F31,9)=0,10^6,INDEX(Properties!A$1:CB$87,Formula!F31,9)),IF(INDEX(Properties!A$1:CB$87,Formula!H31,9)=0,10^6,INDEX(Properties!A$1:CB$87,Formula!H31,9)),IF(INDEX(Properties!A$1:CB$87,Formula!J31,9)=0,10^6,INDEX(Properties!A$1:CB$87,Formula!J31,9)))</f>
        <v>69</v>
      </c>
      <c r="AE31" s="72">
        <f t="shared" si="4"/>
        <v>18</v>
      </c>
      <c r="AF31" s="51">
        <f>((Formula!C31)/(Formula!C31+Formula!E31+Formula!G31+Formula!I31+Formula!K31))*(INDEX(Properties!A$1:CB$87,Formula!B31,10))+((Formula!E31)/(Formula!C31+Formula!E31+Formula!G31+Formula!I31+Formula!K31))*(INDEX(Properties!A$1:CB$87,Formula!D31,10))+((Formula!G31)/(Formula!C31+Formula!E31+Formula!G31+Formula!I31+Formula!K31))*(INDEX(Properties!A$1:CB$87,Formula!F31,10))+((Formula!I31)/(Formula!C31+Formula!E31+Formula!G31+Formula!I31+Formula!K31))*(INDEX(Properties!A$1:CB$87,Formula!H31,10))+((Formula!K31)/(Formula!C31+Formula!E31+Formula!G31+Formula!I31+Formula!K31))*(INDEX(Properties!A$1:CB$87,Formula!J31,10))</f>
        <v>6</v>
      </c>
      <c r="AG31" s="51">
        <f>Formula!C31*(INDEX(Properties!A$1:CB$87,Formula!B31,10))+Formula!E31*(INDEX(Properties!A$1:CB$87,Formula!D31,10))+Formula!G31*(INDEX(Properties!A$1:CB$87,Formula!F31,10))+Formula!I31*(INDEX(Properties!A$1:CB$87,Formula!H31,10))+Formula!K31*(INDEX(Properties!A$1:CB$87,Formula!J31,10))</f>
        <v>42</v>
      </c>
      <c r="AH31" s="51">
        <f>VARP(IF(INDEX(Properties!A$1:CB$87,Formula!B31,10)&lt;&gt;"",INDEX(Properties!A$1:CB$87,Formula!B31,10)),IF(INDEX(Properties!A$1:CB$87,Formula!D31,10)&lt;&gt;"",INDEX(Properties!A$1:CB$87,Formula!D31,10)),IF(INDEX(Properties!A$1:CB$87,Formula!F31,10)&lt;&gt;"",INDEX(Properties!A$1:CB$87,Formula!F31,10)),IF(INDEX(Properties!A$1:CB$87,Formula!H31,10)&lt;&gt;"",INDEX(Properties!A$1:CB$87,Formula!H31,10)),IF(INDEX(Properties!A$1:CB$87,Formula!J31,10)&lt;&gt;"",INDEX(Properties!A$1:CB$87,Formula!J31,10)))</f>
        <v>7.76</v>
      </c>
      <c r="AI31" s="51">
        <f>MAX(INDEX(Properties!A$1:CB$87,Formula!B31,10),INDEX(Properties!A$1:CB$87,Formula!D31,10),INDEX(Properties!A$1:CB$87,Formula!F31,10),INDEX(Properties!A$1:CB$87,Formula!H31,10),INDEX(Properties!A$1:CB$87,Formula!J31,10))</f>
        <v>7</v>
      </c>
      <c r="AJ31" s="51">
        <f>MIN(IF(INDEX(Properties!A$1:CB$87,Formula!B31,10)=0,10^6,INDEX(Properties!A$1:CB$87,Formula!B31,10)),IF(INDEX(Properties!A$1:CB$87,Formula!D31,10)=0,10^6,INDEX(Properties!A$1:CB$87,Formula!D31,10)),IF(INDEX(Properties!A$1:CB$87,Formula!F31,10)=0,10^6,INDEX(Properties!A$1:CB$87,Formula!F31,10)),IF(INDEX(Properties!A$1:CB$87,Formula!H31,10)=0,10^6,INDEX(Properties!A$1:CB$87,Formula!H31,10)),IF(INDEX(Properties!A$1:CB$87,Formula!J31,10)=0,10^6,INDEX(Properties!A$1:CB$87,Formula!J31,10)))</f>
        <v>4</v>
      </c>
      <c r="AK31" s="51">
        <f t="shared" si="5"/>
        <v>3</v>
      </c>
      <c r="AL31" s="57">
        <f>((Formula!C31)/(Formula!C31+Formula!E31+Formula!G31+Formula!I31+Formula!K31))*(INDEX(Properties!A$1:CB$87,Formula!B31,11))+((Formula!E31)/(Formula!C31+Formula!E31+Formula!G31+Formula!I31+Formula!K31))*(INDEX(Properties!A$1:CB$87,Formula!D31,11))+((Formula!G31)/(Formula!C31+Formula!E31+Formula!G31+Formula!I31+Formula!K31))*(INDEX(Properties!A$1:CB$87,Formula!F31,11))+((Formula!I31)/(Formula!C31+Formula!E31+Formula!G31+Formula!I31+Formula!K31))*(INDEX(Properties!A$1:CB$87,Formula!H31,11))+((Formula!K31)/(Formula!C31+Formula!E31+Formula!G31+Formula!I31+Formula!K31))*(INDEX(Properties!A$1:CB$87,Formula!J31,11))</f>
        <v>2</v>
      </c>
      <c r="AM31" s="57">
        <f>Formula!C31*(INDEX(Properties!A$1:CB$87,Formula!B31,11))+Formula!E31*(INDEX(Properties!A$1:CB$87,Formula!D31,11))+Formula!G31*(INDEX(Properties!A$1:CB$87,Formula!F31,11))+Formula!I31*(INDEX(Properties!A$1:CB$87,Formula!H31,11))+Formula!K31*(INDEX(Properties!A$1:CB$87,Formula!J31,11))</f>
        <v>14</v>
      </c>
      <c r="AN31" s="57">
        <f>VARP(IF(INDEX(Properties!A$1:CB$87,Formula!B31,11)&lt;&gt;"",INDEX(Properties!A$1:CB$87,Formula!B31,11)),IF(INDEX(Properties!A$1:CB$87,Formula!D31,11)&lt;&gt;"",INDEX(Properties!A$1:CB$87,Formula!D31,11)),IF(INDEX(Properties!A$1:CB$87,Formula!F31,11)&lt;&gt;"",INDEX(Properties!A$1:CB$87,Formula!F31,11)),IF(INDEX(Properties!A$1:CB$87,Formula!H31,11)&lt;&gt;"",INDEX(Properties!A$1:CB$87,Formula!H31,11)),IF(INDEX(Properties!A$1:CB$87,Formula!J31,11)&lt;&gt;"",INDEX(Properties!A$1:CB$87,Formula!J31,11)))</f>
        <v>0.96</v>
      </c>
      <c r="AO31" s="57">
        <f>MAX(INDEX(Properties!A$1:CB$87,Formula!B31,11),INDEX(Properties!A$1:CB$87,Formula!D31,11),INDEX(Properties!A$1:CB$87,Formula!F31,11),INDEX(Properties!A$1:CB$87,Formula!H31,11),INDEX(Properties!A$1:CB$87,Formula!J31,11))</f>
        <v>2</v>
      </c>
      <c r="AP31" s="57">
        <f>MIN(IF(Formula!B31=87,10^6,INDEX(Properties!A$1:CB$87,Formula!B31,11)),IF((Formula!D31)=87,10^6,INDEX(Properties!A$1:CB$87,Formula!D31,11)),IF((Formula!F31)=87,10^6,INDEX(Properties!A$1:CB$87,Formula!F31,11)),IF((Formula!H31)=87,10^6,INDEX(Properties!A$1:CB$87,Formula!H31,11)),IF(Formula!J31=87,10^6,INDEX(Properties!A$1:CB$87,Formula!J31,11)))</f>
        <v>2</v>
      </c>
      <c r="AQ31" s="57">
        <f t="shared" si="6"/>
        <v>0</v>
      </c>
      <c r="AR31" s="78">
        <f>((Formula!C31)/(Formula!C31+Formula!E31+Formula!G31+Formula!I31+Formula!K31))*(INDEX(Properties!A$1:CB$87,Formula!B31,12))+((Formula!E31)/(Formula!C31+Formula!E31+Formula!G31+Formula!I31+Formula!K31))*(INDEX(Properties!A$1:CB$87,Formula!D31,12))+((Formula!G31)/(Formula!C31+Formula!E31+Formula!G31+Formula!I31+Formula!K31))*(INDEX(Properties!A$1:CB$87,Formula!F31,12))+((Formula!I31)/(Formula!C31+Formula!E31+Formula!G31+Formula!I31+Formula!K31))*(INDEX(Properties!A$1:CB$87,Formula!H31,12))+((Formula!K31)/(Formula!C31+Formula!E31+Formula!G31+Formula!I31+Formula!K31))*(INDEX(Properties!A$1:CB$87,Formula!J31,12))</f>
        <v>2.5714285714285712</v>
      </c>
      <c r="AS31" s="78">
        <f>Formula!C31*(INDEX(Properties!A$1:CB$87,Formula!B31,12))+Formula!E31*(INDEX(Properties!A$1:CB$87,Formula!D31,12))+Formula!G31*(INDEX(Properties!A$1:CB$87,Formula!F31,12))+Formula!I31*(INDEX(Properties!A$1:CB$87,Formula!H31,12))+Formula!K31*(INDEX(Properties!A$1:CB$87,Formula!J31,12))</f>
        <v>18</v>
      </c>
      <c r="AT31" s="78">
        <f>VARP(IF(INDEX(Properties!A$1:CB$87,Formula!B31,12)&lt;&gt;"",INDEX(Properties!A$1:CB$87,Formula!B31,12)),IF(INDEX(Properties!A$1:CB$87,Formula!D31,12)&lt;&gt;"",INDEX(Properties!A$1:CB$87,Formula!D31,12)),IF(INDEX(Properties!A$1:CB$87,Formula!F31,12)&lt;&gt;"",INDEX(Properties!A$1:CB$87,Formula!F31,12)),IF(INDEX(Properties!A$1:CB$87,Formula!H31,12)&lt;&gt;"",INDEX(Properties!A$1:CB$87,Formula!H31,12)),IF(INDEX(Properties!A$1:CB$87,Formula!J31,12)&lt;&gt;"",INDEX(Properties!A$1:CB$87,Formula!J31,12)))</f>
        <v>2.4</v>
      </c>
      <c r="AU31" s="78">
        <f>MAX(INDEX(Properties!A$1:CB$87,Formula!B31,12),INDEX(Properties!A$1:CB$87,Formula!D31,12),INDEX(Properties!A$1:CB$87,Formula!F31,12),INDEX(Properties!A$1:CB$87,Formula!H31,12),INDEX(Properties!A$1:CB$87,Formula!J31,12))</f>
        <v>4</v>
      </c>
      <c r="AV31" s="78">
        <f>MIN(IF(Formula!B31=87,10^6,INDEX(Properties!A$1:CB$87,Formula!B31,12)),IF((Formula!D31)=87,10^6,INDEX(Properties!A$1:CB$87,Formula!D31,12)),IF((Formula!F31)=87,10^6,INDEX(Properties!A$1:CB$87,Formula!F31,12)),IF((Formula!H31)=87,10^6,INDEX(Properties!A$1:CB$87,Formula!H31,12)),IF(Formula!J31=87,10^6,INDEX(Properties!A$1:CB$87,Formula!J31,12)))</f>
        <v>0</v>
      </c>
      <c r="AW31" s="78">
        <f t="shared" si="7"/>
        <v>4</v>
      </c>
      <c r="AX31" s="45">
        <f>((Formula!C31)/(Formula!C31+Formula!E31+Formula!G31+Formula!I31+Formula!K31))*(INDEX(Properties!A$1:CB$87,Formula!B31,13))+((Formula!E31)/(Formula!C31+Formula!E31+Formula!G31+Formula!I31+Formula!K31))*(INDEX(Properties!A$1:CB$87,Formula!D31,13))+((Formula!G31)/(Formula!C31+Formula!E31+Formula!G31+Formula!I31+Formula!K31))*(INDEX(Properties!A$1:CB$87,Formula!F31,13))+((Formula!I31)/(Formula!C31+Formula!E31+Formula!G31+Formula!I31+Formula!K31))*(INDEX(Properties!A$1:CB$87,Formula!H31,13))+((Formula!K31)/(Formula!C31+Formula!E31+Formula!G31+Formula!I31+Formula!K31))*(INDEX(Properties!A$1:CB$87,Formula!J31,13))</f>
        <v>1.4285714285714284</v>
      </c>
      <c r="AY31" s="45">
        <f>Formula!C31*(INDEX(Properties!A$1:CB$87,Formula!B31,13))+Formula!E31*(INDEX(Properties!A$1:CB$87,Formula!D31,13))+Formula!G31*(INDEX(Properties!A$1:CB$87,Formula!F31,13))+Formula!I31*(INDEX(Properties!A$1:CB$87,Formula!H31,13))+Formula!K31*(INDEX(Properties!A$1:CB$87,Formula!J31,13))</f>
        <v>10</v>
      </c>
      <c r="AZ31" s="45">
        <f>VARP(IF(INDEX(Properties!A$1:CB$87,Formula!B31,13)&lt;&gt;"",INDEX(Properties!A$1:CB$87,Formula!B31,13)),IF(INDEX(Properties!A$1:CB$87,Formula!D31,13)&lt;&gt;"",INDEX(Properties!A$1:CB$87,Formula!D31,13)),IF(INDEX(Properties!A$1:CB$87,Formula!F31,13)&lt;&gt;"",INDEX(Properties!A$1:CB$87,Formula!F31,13)),IF(INDEX(Properties!A$1:CB$87,Formula!H31,13)&lt;&gt;"",INDEX(Properties!A$1:CB$87,Formula!H31,13)),IF(INDEX(Properties!A$1:CB$87,Formula!J31,13)&lt;&gt;"",INDEX(Properties!A$1:CB$87,Formula!J31,13)))</f>
        <v>16</v>
      </c>
      <c r="BA31" s="45">
        <f>MAX(INDEX(Properties!A$1:CB$87,Formula!B31,13),INDEX(Properties!A$1:CB$87,Formula!D31,13),INDEX(Properties!A$1:CB$87,Formula!F31,13),INDEX(Properties!A$1:CB$87,Formula!H31,13),INDEX(Properties!A$1:CB$87,Formula!J31,13))</f>
        <v>10</v>
      </c>
      <c r="BB31" s="45">
        <f>MIN(IF(Formula!B31=87,10^6,INDEX(Properties!A$1:CB$87,Formula!B31,13)),IF((Formula!D31)=87,10^6,INDEX(Properties!A$1:CB$87,Formula!D31,13)),IF((Formula!F31)=87,10^6,INDEX(Properties!A$1:CB$87,Formula!F31,13)),IF((Formula!H31)=87,10^6,INDEX(Properties!A$1:CB$87,Formula!H31,13)),IF(Formula!J31=87,10^6,INDEX(Properties!A$1:CB$87,Formula!J31,13)))</f>
        <v>0</v>
      </c>
      <c r="BC31" s="45">
        <f t="shared" si="8"/>
        <v>10</v>
      </c>
      <c r="BD31" s="63">
        <f>((Formula!C31)/(Formula!C31+Formula!E31+Formula!G31+Formula!I31+Formula!K31))*(INDEX(Properties!A$1:CB$87,Formula!B31,14))+((Formula!E31)/(Formula!C31+Formula!E31+Formula!G31+Formula!I31+Formula!K31))*(INDEX(Properties!A$1:CB$87,Formula!D31,14))+((Formula!G31)/(Formula!C31+Formula!E31+Formula!G31+Formula!I31+Formula!K31))*(INDEX(Properties!A$1:CB$87,Formula!F31,14))+((Formula!I31)/(Formula!C31+Formula!E31+Formula!G31+Formula!I31+Formula!K31))*(INDEX(Properties!A$1:CB$87,Formula!H31,14))+((Formula!K31)/(Formula!C31+Formula!E31+Formula!G31+Formula!I31+Formula!K31))*(INDEX(Properties!A$1:CB$87,Formula!J31,14))</f>
        <v>0</v>
      </c>
      <c r="BE31" s="63">
        <f>Formula!C31*(INDEX(Properties!A$1:CB$87,Formula!B31,14))+Formula!E31*(INDEX(Properties!A$1:CB$87,Formula!D31,14))+Formula!G31*(INDEX(Properties!A$1:CB$87,Formula!F31,14))+Formula!I31*(INDEX(Properties!A$1:CB$87,Formula!H31,14))+Formula!K31*(INDEX(Properties!A$1:CB$87,Formula!J31,14))</f>
        <v>0</v>
      </c>
      <c r="BF31" s="63">
        <f>VARP(IF(INDEX(Properties!A$1:CB$87,Formula!B31,14)&lt;&gt;"",INDEX(Properties!A$1:CB$87,Formula!B31,14)),IF(INDEX(Properties!A$1:CB$87,Formula!D31,14)&lt;&gt;"",INDEX(Properties!A$1:CB$87,Formula!D31,14)),IF(INDEX(Properties!A$1:CB$87,Formula!F31,14)&lt;&gt;"",INDEX(Properties!A$1:CB$87,Formula!F31,14)),IF(INDEX(Properties!A$1:CB$87,Formula!H31,14)&lt;&gt;"",INDEX(Properties!A$1:CB$87,Formula!H31,14)),IF(INDEX(Properties!A$1:CB$87,Formula!J31,14)&lt;&gt;"",INDEX(Properties!A$1:CB$87,Formula!J31,14)))</f>
        <v>0</v>
      </c>
      <c r="BG31" s="63">
        <f>MAX(INDEX(Properties!A$1:CB$87,Formula!B31,14),INDEX(Properties!A$1:CB$87,Formula!D31,14),INDEX(Properties!A$1:CB$87,Formula!F31,14),INDEX(Properties!A$1:CB$87,Formula!H31,14),INDEX(Properties!A$1:CB$87,Formula!J31,14))</f>
        <v>0</v>
      </c>
      <c r="BH31" s="63">
        <f>MIN(IF(Formula!B31=87,10^6,INDEX(Properties!A$1:CB$87,Formula!B31,14)),IF((Formula!D31)=87,10^6,INDEX(Properties!A$1:CB$87,Formula!D31,14)),IF((Formula!F31)=87,10^6,INDEX(Properties!A$1:CB$87,Formula!F31,14)),IF((Formula!H31)=87,10^6,INDEX(Properties!A$1:CB$87,Formula!H31,14)),IF(Formula!J31=87,10^6,INDEX(Properties!A$1:CB$87,Formula!J31,14)))</f>
        <v>0</v>
      </c>
      <c r="BI31" s="63">
        <f t="shared" si="9"/>
        <v>0</v>
      </c>
      <c r="BJ31" s="75">
        <f>((Formula!C31)/(Formula!C31+Formula!E31+Formula!G31+Formula!I31+Formula!K31))*(INDEX(Properties!A$1:CB$87,Formula!B31,19))+((Formula!E31)/(Formula!C31+Formula!E31+Formula!G31+Formula!I31+Formula!K31))*(INDEX(Properties!A$1:CB$87,Formula!D31,19))+((Formula!G31)/(Formula!C31+Formula!E31+Formula!G31+Formula!I31+Formula!K31))*(INDEX(Properties!A$1:CB$87,Formula!F31,19))+((Formula!I31)/(Formula!C31+Formula!E31+Formula!G31+Formula!I31+Formula!K31))*(INDEX(Properties!A$1:CB$87,Formula!H31,19))+((Formula!K31)/(Formula!C31+Formula!E31+Formula!G31+Formula!I31+Formula!K31))*(INDEX(Properties!A$1:CB$87,Formula!J31,19))</f>
        <v>6</v>
      </c>
      <c r="BK31" s="75">
        <f>Formula!C31*(INDEX(Properties!A$1:CB$87,Formula!B31,19))+Formula!E31*(INDEX(Properties!A$1:CB$87,Formula!D31,19))+Formula!G31*(INDEX(Properties!A$1:CB$87,Formula!F31,19))+Formula!I31*(INDEX(Properties!A$1:CB$87,Formula!H31,19))+Formula!K31*(INDEX(Properties!A$1:CB$87,Formula!J31,19))</f>
        <v>42</v>
      </c>
      <c r="BL31" s="75">
        <f>VARP(IF(INDEX(Properties!A$1:CB$87,Formula!B31,19)&lt;&gt;"",INDEX(Properties!A$1:CB$87,Formula!B31,19)),IF(INDEX(Properties!A$1:CB$87,Formula!D31,19)&lt;&gt;"",INDEX(Properties!A$1:CB$87,Formula!D31,19)),IF(INDEX(Properties!A$1:CB$87,Formula!F31,19)&lt;&gt;"",INDEX(Properties!A$1:CB$87,Formula!F31,19)),IF(INDEX(Properties!A$1:CB$87,Formula!H31,19)&lt;&gt;"",INDEX(Properties!A$1:CB$87,Formula!H31,19)),IF(INDEX(Properties!A$1:CB$87,Formula!J31,19)&lt;&gt;"",INDEX(Properties!A$1:CB$87,Formula!J31,19)))</f>
        <v>20.16</v>
      </c>
      <c r="BM31" s="75">
        <f>MAX(INDEX(Properties!A$1:CB$87,Formula!B31,19),INDEX(Properties!A$1:CB$87,Formula!D31,19),INDEX(Properties!A$1:CB$87,Formula!F31,19),INDEX(Properties!A$1:CB$87,Formula!H31,19),INDEX(Properties!A$1:CB$87,Formula!J31,19))</f>
        <v>12</v>
      </c>
      <c r="BN31" s="75">
        <f>MIN(IF(INDEX(Properties!A$1:CB$87,Formula!B31,19)=0,10^6,INDEX(Properties!A$1:CB$87,Formula!B31,19)),IF(INDEX(Properties!A$1:CB$87,Formula!D31,19)=0,10^6,INDEX(Properties!A$1:CB$87,Formula!D31,19)),IF(INDEX(Properties!A$1:CB$87,Formula!F31,19)=0,10^6,INDEX(Properties!A$1:CB$87,Formula!F31,19)),IF(INDEX(Properties!A$1:CB$87,Formula!H31,19)=0,10^6,INDEX(Properties!A$1:CB$87,Formula!H31,19)),IF(INDEX(Properties!A$1:CB$87,Formula!J31,19)=0,10^6,INDEX(Properties!A$1:CB$87,Formula!J31,19)))</f>
        <v>3</v>
      </c>
      <c r="BO31" s="75">
        <f t="shared" si="10"/>
        <v>9</v>
      </c>
      <c r="BP31" s="48">
        <f>((Formula!C31)/(Formula!C31+Formula!E31+Formula!G31+Formula!I31+Formula!K31))*(INDEX(Properties!A$1:CB$87,Formula!B31,20))+((Formula!E31)/(Formula!C31+Formula!E31+Formula!G31+Formula!I31+Formula!K31))*(INDEX(Properties!A$1:CB$87,Formula!D31,20))+((Formula!G31)/(Formula!C31+Formula!E31+Formula!G31+Formula!I31+Formula!K31))*(INDEX(Properties!A$1:CB$87,Formula!F31,20))+((Formula!I31)/(Formula!C31+Formula!E31+Formula!G31+Formula!I31+Formula!K31))*(INDEX(Properties!A$1:CB$87,Formula!H31,20))+((Formula!K31)/(Formula!C31+Formula!E31+Formula!G31+Formula!I31+Formula!K31))*(INDEX(Properties!A$1:CB$87,Formula!J31,20))</f>
        <v>4.5714285714285712</v>
      </c>
      <c r="BQ31" s="48">
        <f>Formula!C31*(INDEX(Properties!A$1:CB$87,Formula!B31,20))+Formula!E31*(INDEX(Properties!A$1:CB$87,Formula!D31,20))+Formula!G31*(INDEX(Properties!A$1:CB$87,Formula!F31,20))+Formula!I31*(INDEX(Properties!A$1:CB$87,Formula!H31,20))+Formula!K31*(INDEX(Properties!A$1:CB$87,Formula!J31,20))</f>
        <v>32</v>
      </c>
      <c r="BR31" s="48">
        <f>VARP(IF(INDEX(Properties!A$1:CB$87,Formula!B31,20)&lt;&gt;"",INDEX(Properties!A$1:CB$87,Formula!B31,20)),IF(INDEX(Properties!A$1:CB$87,Formula!D31,20)&lt;&gt;"",INDEX(Properties!A$1:CB$87,Formula!D31,20)),IF(INDEX(Properties!A$1:CB$87,Formula!F31,20)&lt;&gt;"",INDEX(Properties!A$1:CB$87,Formula!F31,20)),IF(INDEX(Properties!A$1:CB$87,Formula!H31,20)&lt;&gt;"",INDEX(Properties!A$1:CB$87,Formula!H31,20)),IF(INDEX(Properties!A$1:CB$87,Formula!J31,20)&lt;&gt;"",INDEX(Properties!A$1:CB$87,Formula!J31,20)))</f>
        <v>4.96</v>
      </c>
      <c r="BS31" s="48">
        <f>MAX(INDEX(Properties!A$1:CB$87,Formula!B31,20),INDEX(Properties!A$1:CB$87,Formula!D31,20),INDEX(Properties!A$1:CB$87,Formula!F31,20),INDEX(Properties!A$1:CB$87,Formula!H31,20),INDEX(Properties!A$1:CB$87,Formula!J31,20))</f>
        <v>6</v>
      </c>
      <c r="BT31" s="48">
        <f>MIN(IF(INDEX(Properties!A$1:CB$87,Formula!B31,20)=0,10^6,INDEX(Properties!A$1:CB$87,Formula!B31,20)),IF(INDEX(Properties!A$1:CB$87,Formula!D31,20)=0,10^6,INDEX(Properties!A$1:CB$87,Formula!D31,20)),IF(INDEX(Properties!A$1:CB$87,Formula!F31,20)=0,10^6,INDEX(Properties!A$1:CB$87,Formula!F31,20)),IF(INDEX(Properties!A$1:CB$87,Formula!H31,20)=0,10^6,INDEX(Properties!A$1:CB$87,Formula!H31,20)),IF(INDEX(Properties!A$1:CB$87,Formula!J31,20)=0,10^6,INDEX(Properties!A$1:CB$87,Formula!J31,20)))</f>
        <v>2</v>
      </c>
      <c r="BU31" s="48">
        <f t="shared" si="11"/>
        <v>4</v>
      </c>
      <c r="BV31" s="66">
        <f>((Formula!C31)/(Formula!C31+Formula!E31+Formula!G31+Formula!I31+Formula!K31))*(INDEX(Properties!A$1:CB$87,Formula!B31,21))+((Formula!E31)/(Formula!C31+Formula!E31+Formula!G31+Formula!I31+Formula!K31))*(INDEX(Properties!A$1:CB$87,Formula!D31,21))+((Formula!G31)/(Formula!C31+Formula!E31+Formula!G31+Formula!I31+Formula!K31))*(INDEX(Properties!A$1:CB$87,Formula!F31,21))+((Formula!I31)/(Formula!C31+Formula!E31+Formula!G31+Formula!I31+Formula!K31))*(INDEX(Properties!A$1:CB$87,Formula!H31,21))+((Formula!K31)/(Formula!C31+Formula!E31+Formula!G31+Formula!I31+Formula!K31))*(INDEX(Properties!A$1:CB$87,Formula!J31,21))</f>
        <v>4.4285714285714288</v>
      </c>
      <c r="BW31" s="66">
        <f>Formula!C31*(INDEX(Properties!A$1:CB$87,Formula!B31,21))+Formula!E31*(INDEX(Properties!A$1:CB$87,Formula!D31,21))+Formula!G31*(INDEX(Properties!A$1:CB$87,Formula!F31,21))+Formula!I31*(INDEX(Properties!A$1:CB$87,Formula!H31,21))+Formula!K31*(INDEX(Properties!A$1:CB$87,Formula!J31,21))</f>
        <v>31</v>
      </c>
      <c r="BX31" s="66">
        <f>VARP(IF(INDEX(Properties!A$1:CB$87,Formula!B31,21)&lt;&gt;"",INDEX(Properties!A$1:CB$87,Formula!B31,21)),IF(INDEX(Properties!A$1:CB$87,Formula!D31,21)&lt;&gt;"",INDEX(Properties!A$1:CB$87,Formula!D31,21)),IF(INDEX(Properties!A$1:CB$87,Formula!F31,21)&lt;&gt;"",INDEX(Properties!A$1:CB$87,Formula!F31,21)),IF(INDEX(Properties!A$1:CB$87,Formula!H31,21)&lt;&gt;"",INDEX(Properties!A$1:CB$87,Formula!H31,21)),IF(INDEX(Properties!A$1:CB$87,Formula!J31,21)&lt;&gt;"",INDEX(Properties!A$1:CB$87,Formula!J31,21)))</f>
        <v>5.2</v>
      </c>
      <c r="BY31" s="66">
        <f>MAX(INDEX(Properties!A$1:CB$87,Formula!B31,21),INDEX(Properties!A$1:CB$87,Formula!D31,21),INDEX(Properties!A$1:CB$87,Formula!F31,21),INDEX(Properties!A$1:CB$87,Formula!H31,21),INDEX(Properties!A$1:CB$87,Formula!J31,21))</f>
        <v>6</v>
      </c>
      <c r="BZ31" s="66">
        <f>MIN(IF(INDEX(Properties!A$1:CB$87,Formula!B31,21)=0,10^6,INDEX(Properties!A$1:CB$87,Formula!B31,21)),IF(INDEX(Properties!A$1:CB$87,Formula!D31,21)=0,10^6,INDEX(Properties!A$1:CB$87,Formula!D31,21)),IF(INDEX(Properties!A$1:CB$87,Formula!F31,21)=0,10^6,INDEX(Properties!A$1:CB$87,Formula!F31,21)),IF(INDEX(Properties!A$1:CB$87,Formula!H31,21)=0,10^6,INDEX(Properties!A$1:CB$87,Formula!H31,21)),IF(INDEX(Properties!A$1:CB$87,Formula!J31,21)=0,10^6,INDEX(Properties!A$1:CB$87,Formula!J31,21)))</f>
        <v>1</v>
      </c>
      <c r="CA31" s="66">
        <f t="shared" si="12"/>
        <v>5</v>
      </c>
      <c r="CB31" s="81">
        <f>((Formula!C31)/(Formula!C31+Formula!E31+Formula!G31+Formula!I31+Formula!K31))*(INDEX(Properties!A$1:CB$87,Formula!B31,23))+((Formula!E31)/(Formula!C31+Formula!E31+Formula!G31+Formula!I31+Formula!K31))*(INDEX(Properties!A$1:CB$87,Formula!D31,23))+((Formula!G31)/(Formula!C31+Formula!E31+Formula!G31+Formula!I31+Formula!K31))*(INDEX(Properties!A$1:CB$87,Formula!F31,23))+((Formula!I31)/(Formula!C31+Formula!E31+Formula!G31+Formula!I31+Formula!K31))*(INDEX(Properties!A$1:CB$87,Formula!H31,23))+((Formula!K31)/(Formula!C31+Formula!E31+Formula!G31+Formula!I31+Formula!K31))*(INDEX(Properties!A$1:CB$87,Formula!J31,23))</f>
        <v>1.4914285714285715</v>
      </c>
      <c r="CC31" s="81">
        <f>Formula!C31*(INDEX(Properties!A$1:CB$87,Formula!B31,23))+Formula!E31*(INDEX(Properties!A$1:CB$87,Formula!D31,23))+Formula!G31*(INDEX(Properties!A$1:CB$87,Formula!F31,23))+Formula!I31*(INDEX(Properties!A$1:CB$87,Formula!H31,23))+Formula!K31*(INDEX(Properties!A$1:CB$87,Formula!J31,23))</f>
        <v>10.440000000000001</v>
      </c>
      <c r="CD31" s="81">
        <f>VARP(IF(INDEX(Properties!A$1:CB$87,Formula!B31,23)&lt;&gt;"",INDEX(Properties!A$1:CB$87,Formula!B31,23)),IF(INDEX(Properties!A$1:CB$87,Formula!D31,23)&lt;&gt;"",INDEX(Properties!A$1:CB$87,Formula!D31,23)),IF(INDEX(Properties!A$1:CB$87,Formula!F31,23)&lt;&gt;"",INDEX(Properties!A$1:CB$87,Formula!F31,23)),IF(INDEX(Properties!A$1:CB$87,Formula!H31,23)&lt;&gt;"",INDEX(Properties!A$1:CB$87,Formula!H31,23)),IF(INDEX(Properties!A$1:CB$87,Formula!J31,23)&lt;&gt;"",INDEX(Properties!A$1:CB$87,Formula!J31,23)))</f>
        <v>3.5285760000000006</v>
      </c>
      <c r="CE31" s="81">
        <f>MAX(INDEX(Properties!A$1:CB$87,Formula!B31,23),INDEX(Properties!A$1:CB$87,Formula!D31,23),INDEX(Properties!A$1:CB$87,Formula!F31,23),INDEX(Properties!A$1:CB$87,Formula!H31,23),INDEX(Properties!A$1:CB$87,Formula!J31,23))</f>
        <v>4.4400000000000004</v>
      </c>
      <c r="CF31" s="81">
        <f>MIN(IF(Formula!B31=87,10^6,INDEX(Properties!A$1:CB$87,Formula!B31,23)),IF((Formula!D31)=87,10^6,INDEX(Properties!A$1:CB$87,Formula!D31,23)),IF((Formula!F31)=87,10^6,INDEX(Properties!A$1:CB$87,Formula!F31,23)),IF((Formula!H31)=87,10^6,INDEX(Properties!A$1:CB$87,Formula!H31,23)),IF(Formula!J31=87,10^6,INDEX(Properties!A$1:CB$87,Formula!J31,23)))</f>
        <v>0</v>
      </c>
      <c r="CG31" s="81">
        <f t="shared" si="13"/>
        <v>4.4400000000000004</v>
      </c>
      <c r="CH31" s="39">
        <f>((Formula!C31)/(Formula!C31+Formula!E31+Formula!G31+Formula!I31+Formula!K31))*(INDEX(Properties!A$1:CB$87,Formula!B31,26))+((Formula!E31)/(Formula!C31+Formula!E31+Formula!G31+Formula!I31+Formula!K31))*(INDEX(Properties!A$1:CB$87,Formula!D31,26))+((Formula!G31)/(Formula!C31+Formula!E31+Formula!G31+Formula!I31+Formula!K31))*(INDEX(Properties!A$1:CB$87,Formula!F31,26))+((Formula!I31)/(Formula!C31+Formula!E31+Formula!G31+Formula!I31+Formula!K31))*(INDEX(Properties!A$1:CB$87,Formula!H31,26))+((Formula!K31)/(Formula!C31+Formula!E31+Formula!G31+Formula!I31+Formula!K31))*(INDEX(Properties!A$1:CB$87,Formula!J31,26))</f>
        <v>10.834028571428572</v>
      </c>
      <c r="CI31" s="39">
        <f>Formula!C31*(INDEX(Properties!A$1:CB$87,Formula!B31,26))+Formula!E31*(INDEX(Properties!A$1:CB$87,Formula!D31,26))+Formula!G31*(INDEX(Properties!A$1:CB$87,Formula!F31,26))+Formula!I31*(INDEX(Properties!A$1:CB$87,Formula!H31,26))+Formula!K31*(INDEX(Properties!A$1:CB$87,Formula!J31,26))</f>
        <v>75.838200000000001</v>
      </c>
      <c r="CJ31" s="39">
        <f>VARP(IF(INDEX(Properties!A$1:CB$87,Formula!B31,26)&lt;&gt;"",INDEX(Properties!A$1:CB$87,Formula!B31,26)),IF(INDEX(Properties!A$1:CB$87,Formula!D31,26)&lt;&gt;"",INDEX(Properties!A$1:CB$87,Formula!D31,26)),IF(INDEX(Properties!A$1:CB$87,Formula!F31,26)&lt;&gt;"",INDEX(Properties!A$1:CB$87,Formula!F31,26)),IF(INDEX(Properties!A$1:CB$87,Formula!H31,26)&lt;&gt;"",INDEX(Properties!A$1:CB$87,Formula!H31,26)),IF(INDEX(Properties!A$1:CB$87,Formula!J31,26)&lt;&gt;"",INDEX(Properties!A$1:CB$87,Formula!J31,26)))</f>
        <v>28.2710964336</v>
      </c>
      <c r="CK31" s="39">
        <f>MAX(INDEX(Properties!A$1:CB$87,Formula!B31,26),INDEX(Properties!A$1:CB$87,Formula!D31,26),INDEX(Properties!A$1:CB$87,Formula!F31,26),INDEX(Properties!A$1:CB$87,Formula!H31,26),INDEX(Properties!A$1:CB$87,Formula!J31,26))</f>
        <v>13.6181</v>
      </c>
      <c r="CL31" s="39">
        <f>MIN(IF(INDEX(Properties!A$1:CB$87,Formula!B31,26)=0,10^6,INDEX(Properties!A$1:CB$87,Formula!B31,26)),IF(INDEX(Properties!A$1:CB$87,Formula!D31,26)=0,10^6,INDEX(Properties!A$1:CB$87,Formula!D31,26)),IF(INDEX(Properties!A$1:CB$87,Formula!F31,26)=0,10^6,INDEX(Properties!A$1:CB$87,Formula!F31,26)),IF(INDEX(Properties!A$1:CB$87,Formula!H31,26)=0,10^6,INDEX(Properties!A$1:CB$87,Formula!H31,26)),IF(INDEX(Properties!A$1:CB$87,Formula!J31,26)=0,10^6,INDEX(Properties!A$1:CB$87,Formula!J31,26)))</f>
        <v>5.9858000000000002</v>
      </c>
      <c r="CM31" s="39">
        <f t="shared" si="14"/>
        <v>7.6322999999999999</v>
      </c>
      <c r="CN31" s="54">
        <f>((Formula!C31)/(Formula!C31+Formula!E31+Formula!G31+Formula!I31+Formula!K31))*(INDEX(Properties!A$1:CB$87,Formula!B31,30))+((Formula!E31)/(Formula!C31+Formula!E31+Formula!G31+Formula!I31+Formula!K31))*(INDEX(Properties!A$1:CB$87,Formula!D31,30))+((Formula!G31)/(Formula!C31+Formula!E31+Formula!G31+Formula!I31+Formula!K31))*(INDEX(Properties!A$1:CB$87,Formula!F31,30))+((Formula!I31)/(Formula!C31+Formula!E31+Formula!G31+Formula!I31+Formula!K31))*(INDEX(Properties!A$1:CB$87,Formula!H31,30))+((Formula!K31)/(Formula!C31+Formula!E31+Formula!G31+Formula!I31+Formula!K31))*(INDEX(Properties!A$1:CB$87,Formula!J31,30))</f>
        <v>2.661428571428571</v>
      </c>
      <c r="CO31" s="54">
        <f>Formula!C31*(INDEX(Properties!A$1:CB$87,Formula!B31,30))+Formula!E31*(INDEX(Properties!A$1:CB$87,Formula!D31,30))+Formula!G31*(INDEX(Properties!A$1:CB$87,Formula!F31,30))+Formula!I31*(INDEX(Properties!A$1:CB$87,Formula!H31,30))+Formula!K31*(INDEX(Properties!A$1:CB$87,Formula!J31,30))</f>
        <v>18.63</v>
      </c>
      <c r="CP31" s="54">
        <f>VARP(IF(INDEX(Properties!A$1:CB$87,Formula!B31,30)&lt;&gt;"",INDEX(Properties!A$1:CB$87,Formula!B31,30)),IF(INDEX(Properties!A$1:CB$87,Formula!D31,30)&lt;&gt;"",INDEX(Properties!A$1:CB$87,Formula!D31,30)),IF(INDEX(Properties!A$1:CB$87,Formula!F31,30)&lt;&gt;"",INDEX(Properties!A$1:CB$87,Formula!F31,30)),IF(INDEX(Properties!A$1:CB$87,Formula!H31,30)&lt;&gt;"",INDEX(Properties!A$1:CB$87,Formula!H31,30)),IF(INDEX(Properties!A$1:CB$87,Formula!J31,30)&lt;&gt;"",INDEX(Properties!A$1:CB$87,Formula!J31,30)))</f>
        <v>1.6340400000000002</v>
      </c>
      <c r="CQ31" s="54">
        <f>MAX(INDEX(Properties!A$1:CB$87,Formula!B31,30),INDEX(Properties!A$1:CB$87,Formula!D31,30),INDEX(Properties!A$1:CB$87,Formula!F31,30),INDEX(Properties!A$1:CB$87,Formula!H31,30),INDEX(Properties!A$1:CB$87,Formula!J31,30))</f>
        <v>3.44</v>
      </c>
      <c r="CR31" s="54">
        <f>MIN(IF(INDEX(Properties!A$1:CB$87,Formula!B31,30)=0,10^6,INDEX(Properties!A$1:CB$87,Formula!B31,30)),IF(INDEX(Properties!A$1:CB$87,Formula!D31,30)=0,10^6,INDEX(Properties!A$1:CB$87,Formula!D31,30)),IF(INDEX(Properties!A$1:CB$87,Formula!F31,30)=0,10^6,INDEX(Properties!A$1:CB$87,Formula!F31,30)),IF(INDEX(Properties!A$1:CB$87,Formula!H31,30)=0,10^6,INDEX(Properties!A$1:CB$87,Formula!H31,30)),IF(INDEX(Properties!A$1:CB$87,Formula!J31,30)=0,10^6,INDEX(Properties!A$1:CB$87,Formula!J31,30)))</f>
        <v>1.61</v>
      </c>
      <c r="CS31" s="54">
        <f t="shared" si="15"/>
        <v>1.8299999999999998</v>
      </c>
      <c r="CT31" s="69">
        <f>((Formula!C31)/(Formula!C31+Formula!E31+Formula!G31+Formula!I31+Formula!K31))*(INDEX(Properties!A$1:CB$87,Formula!B31,31))+((Formula!E31)/(Formula!C31+Formula!E31+Formula!G31+Formula!I31+Formula!K31))*(INDEX(Properties!A$1:CB$87,Formula!D31,31))+((Formula!G31)/(Formula!C31+Formula!E31+Formula!G31+Formula!I31+Formula!K31))*(INDEX(Properties!A$1:CB$87,Formula!F31,31))+((Formula!I31)/(Formula!C31+Formula!E31+Formula!G31+Formula!I31+Formula!K31))*(INDEX(Properties!A$1:CB$87,Formula!H31,31))+((Formula!K31)/(Formula!C31+Formula!E31+Formula!G31+Formula!I31+Formula!K31))*(INDEX(Properties!A$1:CB$87,Formula!J31,31))</f>
        <v>2.5714285714285712</v>
      </c>
      <c r="CU31" s="69">
        <f>Formula!C31*(INDEX(Properties!A$1:CB$87,Formula!B31,31))+Formula!E31*(INDEX(Properties!A$1:CB$87,Formula!D31,31))+Formula!G31*(INDEX(Properties!A$1:CB$87,Formula!F31,31))+Formula!I31*(INDEX(Properties!A$1:CB$87,Formula!H31,31))+Formula!K31*(INDEX(Properties!A$1:CB$87,Formula!J31,31))</f>
        <v>18</v>
      </c>
      <c r="CV31" s="69">
        <f>VARP(IF(INDEX(Properties!A$1:CB$87,Formula!B31,31)&lt;&gt;"",INDEX(Properties!A$1:CB$87,Formula!B31,31)),IF(INDEX(Properties!A$1:CB$87,Formula!D31,31)&lt;&gt;"",INDEX(Properties!A$1:CB$87,Formula!D31,31)),IF(INDEX(Properties!A$1:CB$87,Formula!F31,31)&lt;&gt;"",INDEX(Properties!A$1:CB$87,Formula!F31,31)),IF(INDEX(Properties!A$1:CB$87,Formula!H31,31)&lt;&gt;"",INDEX(Properties!A$1:CB$87,Formula!H31,31)),IF(INDEX(Properties!A$1:CB$87,Formula!J31,31)&lt;&gt;"",INDEX(Properties!A$1:CB$87,Formula!J31,31)))</f>
        <v>1.5187199999999996</v>
      </c>
      <c r="CW31" s="69">
        <f>MAX(INDEX(Properties!A$1:CB$87,Formula!B31,31),INDEX(Properties!A$1:CB$87,Formula!D31,31),INDEX(Properties!A$1:CB$87,Formula!F31,31),INDEX(Properties!A$1:CB$87,Formula!H31,31),INDEX(Properties!A$1:CB$87,Formula!J31,31))</f>
        <v>3.32</v>
      </c>
      <c r="CX31" s="69">
        <f>MIN(IF(INDEX(Properties!A$1:CB$87,Formula!B31,31)=0,10^6,INDEX(Properties!A$1:CB$87,Formula!B31,31)),IF(INDEX(Properties!A$1:CB$87,Formula!D31,31)=0,10^6,INDEX(Properties!A$1:CB$87,Formula!D31,31)),IF(INDEX(Properties!A$1:CB$87,Formula!F31,31)=0,10^6,INDEX(Properties!A$1:CB$87,Formula!F31,31)),IF(INDEX(Properties!A$1:CB$87,Formula!H31,31)=0,10^6,INDEX(Properties!A$1:CB$87,Formula!H31,31)),IF(INDEX(Properties!A$1:CB$87,Formula!J31,31)=0,10^6,INDEX(Properties!A$1:CB$87,Formula!J31,31)))</f>
        <v>1.44</v>
      </c>
      <c r="CY31" s="69">
        <f t="shared" si="16"/>
        <v>1.88</v>
      </c>
      <c r="CZ31" s="42">
        <f>((Formula!C31)/(Formula!C31+Formula!E31+Formula!G31+Formula!I31+Formula!K31))*(INDEX(Properties!A$1:CB$87,Formula!B31,32))+((Formula!E31)/(Formula!C31+Formula!E31+Formula!G31+Formula!I31+Formula!K31))*(INDEX(Properties!A$1:CB$87,Formula!D31,32))+((Formula!G31)/(Formula!C31+Formula!E31+Formula!G31+Formula!I31+Formula!K31))*(INDEX(Properties!A$1:CB$87,Formula!F31,32))+((Formula!I31)/(Formula!C31+Formula!E31+Formula!G31+Formula!I31+Formula!K31))*(INDEX(Properties!A$1:CB$87,Formula!H31,32))+((Formula!K31)/(Formula!C31+Formula!E31+Formula!G31+Formula!I31+Formula!K31))*(INDEX(Properties!A$1:CB$87,Formula!J31,32))</f>
        <v>5.8671428571428574</v>
      </c>
      <c r="DA31" s="42">
        <f>Formula!C31*(INDEX(Properties!A$1:CB$87,Formula!B31,32))+Formula!E31*(INDEX(Properties!A$1:CB$87,Formula!D31,32))+Formula!G31*(INDEX(Properties!A$1:CB$87,Formula!F31,32))+Formula!I31*(INDEX(Properties!A$1:CB$87,Formula!H31,32))+Formula!K31*(INDEX(Properties!A$1:CB$87,Formula!J31,32))</f>
        <v>41.07</v>
      </c>
      <c r="DB31" s="42">
        <f>VARP(IF(INDEX(Properties!A$1:CB$87,Formula!B31,32)&lt;&gt;"",INDEX(Properties!A$1:CB$87,Formula!B31,32)),IF(INDEX(Properties!A$1:CB$87,Formula!D31,32)&lt;&gt;"",INDEX(Properties!A$1:CB$87,Formula!D31,32)),IF(INDEX(Properties!A$1:CB$87,Formula!F31,32)&lt;&gt;"",INDEX(Properties!A$1:CB$87,Formula!F31,32)),IF(INDEX(Properties!A$1:CB$87,Formula!H31,32)&lt;&gt;"",INDEX(Properties!A$1:CB$87,Formula!H31,32)),IF(INDEX(Properties!A$1:CB$87,Formula!J31,32)&lt;&gt;"",INDEX(Properties!A$1:CB$87,Formula!J31,32)))</f>
        <v>8.1514640000000025</v>
      </c>
      <c r="DC31" s="42">
        <f>MAX(INDEX(Properties!A$1:CB$87,Formula!B31,32),INDEX(Properties!A$1:CB$87,Formula!D31,32),INDEX(Properties!A$1:CB$87,Formula!F31,32),INDEX(Properties!A$1:CB$87,Formula!H31,32),INDEX(Properties!A$1:CB$87,Formula!J31,32))</f>
        <v>7.54</v>
      </c>
      <c r="DD31" s="42">
        <f>MIN(IF(INDEX(Properties!A$1:CB$87,Formula!B31,32)=0,10^6,INDEX(Properties!A$1:CB$87,Formula!B31,32)),IF(INDEX(Properties!A$1:CB$87,Formula!D31,32)=0,10^6,INDEX(Properties!A$1:CB$87,Formula!D31,32)),IF(INDEX(Properties!A$1:CB$87,Formula!F31,32)=0,10^6,INDEX(Properties!A$1:CB$87,Formula!F31,32)),IF(INDEX(Properties!A$1:CB$87,Formula!H31,32)=0,10^6,INDEX(Properties!A$1:CB$87,Formula!H31,32)),IF(INDEX(Properties!A$1:CB$87,Formula!J31,32)=0,10^6,INDEX(Properties!A$1:CB$87,Formula!J31,32)))</f>
        <v>3.23</v>
      </c>
      <c r="DE31" s="42">
        <f t="shared" si="17"/>
        <v>4.3100000000000005</v>
      </c>
      <c r="DF31" s="60">
        <f>((Formula!C31)/(Formula!C31+Formula!E31+Formula!G31+Formula!I31+Formula!K31))*(INDEX(Properties!A$1:CB$87,Formula!B31,34))+((Formula!E31)/(Formula!C31+Formula!E31+Formula!G31+Formula!I31+Formula!K31))*(INDEX(Properties!A$1:CB$87,Formula!D31,34))+((Formula!G31)/(Formula!C31+Formula!E31+Formula!G31+Formula!I31+Formula!K31))*(INDEX(Properties!A$1:CB$87,Formula!F31,34))+((Formula!I31)/(Formula!C31+Formula!E31+Formula!G31+Formula!I31+Formula!K31))*(INDEX(Properties!A$1:CB$87,Formula!H31,34))+((Formula!K31)/(Formula!C31+Formula!E31+Formula!G31+Formula!I31+Formula!K31))*(INDEX(Properties!A$1:CB$87,Formula!J31,34))</f>
        <v>2.7508571428571429</v>
      </c>
      <c r="DG31" s="60">
        <f>Formula!C31*(INDEX(Properties!A$1:CB$87,Formula!B31,34))+Formula!E31*(INDEX(Properties!A$1:CB$87,Formula!D31,34))+Formula!G31*(INDEX(Properties!A$1:CB$87,Formula!F31,34))+Formula!I31*(INDEX(Properties!A$1:CB$87,Formula!H31,34))+Formula!K31*(INDEX(Properties!A$1:CB$87,Formula!J31,34))</f>
        <v>19.256</v>
      </c>
      <c r="DH31" s="60">
        <f>VARP(IF(INDEX(Properties!A$1:CB$87,Formula!B31,34)&lt;&gt;"",INDEX(Properties!A$1:CB$87,Formula!B31,34)),IF(INDEX(Properties!A$1:CB$87,Formula!D31,34)&lt;&gt;"",INDEX(Properties!A$1:CB$87,Formula!D31,34)),IF(INDEX(Properties!A$1:CB$87,Formula!F31,34)&lt;&gt;"",INDEX(Properties!A$1:CB$87,Formula!F31,34)),IF(INDEX(Properties!A$1:CB$87,Formula!H31,34)&lt;&gt;"",INDEX(Properties!A$1:CB$87,Formula!H31,34)),IF(INDEX(Properties!A$1:CB$87,Formula!J31,34)&lt;&gt;"",INDEX(Properties!A$1:CB$87,Formula!J31,34)))</f>
        <v>1.7757150399999995</v>
      </c>
      <c r="DI31" s="60">
        <f>MAX(INDEX(Properties!A$1:CB$87,Formula!B31,34),INDEX(Properties!A$1:CB$87,Formula!D31,34),INDEX(Properties!A$1:CB$87,Formula!F31,34),INDEX(Properties!A$1:CB$87,Formula!H31,34),INDEX(Properties!A$1:CB$87,Formula!J31,34))</f>
        <v>3.61</v>
      </c>
      <c r="DJ31" s="60">
        <f>MIN(IF(INDEX(Properties!A$1:CB$87,Formula!B31,34)=0,10^6,INDEX(Properties!A$1:CB$87,Formula!B31,34)),IF(INDEX(Properties!A$1:CB$87,Formula!D31,34)=0,10^6,INDEX(Properties!A$1:CB$87,Formula!D31,34)),IF(INDEX(Properties!A$1:CB$87,Formula!F31,34)=0,10^6,INDEX(Properties!A$1:CB$87,Formula!F31,34)),IF(INDEX(Properties!A$1:CB$87,Formula!H31,34)=0,10^6,INDEX(Properties!A$1:CB$87,Formula!H31,34)),IF(INDEX(Properties!A$1:CB$87,Formula!J31,34)=0,10^6,INDEX(Properties!A$1:CB$87,Formula!J31,34)))</f>
        <v>1.59</v>
      </c>
      <c r="DK31" s="60">
        <f t="shared" si="18"/>
        <v>2.0199999999999996</v>
      </c>
      <c r="DL31" s="45">
        <f>((Formula!C31)/(Formula!C31+Formula!E31+Formula!G31+Formula!I31+Formula!K31))*(INDEX(Properties!A$1:CB$87,Formula!B31,39))+((Formula!E31)/(Formula!C31+Formula!E31+Formula!G31+Formula!I31+Formula!K31))*(INDEX(Properties!A$1:CB$87,Formula!D31,39))+((Formula!G31)/(Formula!C31+Formula!E31+Formula!G31+Formula!I31+Formula!K31))*(INDEX(Properties!A$1:CB$87,Formula!F31,39))+((Formula!I31)/(Formula!C31+Formula!E31+Formula!G31+Formula!I31+Formula!K31))*(INDEX(Properties!A$1:CB$87,Formula!H31,39))+((Formula!K31)/(Formula!C31+Formula!E31+Formula!G31+Formula!I31+Formula!K31))*(INDEX(Properties!A$1:CB$87,Formula!J31,39))</f>
        <v>0.81428571428571428</v>
      </c>
      <c r="DM31" s="45">
        <f>Formula!C31*(INDEX(Properties!A$1:CB$87,Formula!B31,39))+Formula!E31*(INDEX(Properties!A$1:CB$87,Formula!D31,39))+Formula!G31*(INDEX(Properties!A$1:CB$87,Formula!F31,39))+Formula!I31*(INDEX(Properties!A$1:CB$87,Formula!H31,39))+Formula!K31*(INDEX(Properties!A$1:CB$87,Formula!J31,39))</f>
        <v>5.6999999999999993</v>
      </c>
      <c r="DN31" s="45">
        <f>VARP(IF(INDEX(Properties!A$1:CB$87,Formula!B31,39)&lt;&gt;"",INDEX(Properties!A$1:CB$87,Formula!B31,39)),IF(INDEX(Properties!A$1:CB$87,Formula!D31,39)&lt;&gt;"",INDEX(Properties!A$1:CB$87,Formula!D31,39)),IF(INDEX(Properties!A$1:CB$87,Formula!F31,39)&lt;&gt;"",INDEX(Properties!A$1:CB$87,Formula!F31,39)),IF(INDEX(Properties!A$1:CB$87,Formula!H31,39)&lt;&gt;"",INDEX(Properties!A$1:CB$87,Formula!H31,39)),IF(INDEX(Properties!A$1:CB$87,Formula!J31,39)&lt;&gt;"",INDEX(Properties!A$1:CB$87,Formula!J31,39)))</f>
        <v>0.34838400000000003</v>
      </c>
      <c r="DO31" s="45">
        <f>MAX(INDEX(Properties!A$1:CB$87,Formula!B31,39),INDEX(Properties!A$1:CB$87,Formula!D31,39),INDEX(Properties!A$1:CB$87,Formula!F31,39),INDEX(Properties!A$1:CB$87,Formula!H31,39),INDEX(Properties!A$1:CB$87,Formula!J31,39))</f>
        <v>1.42</v>
      </c>
      <c r="DP31" s="45">
        <f>MIN(IF(INDEX(Properties!A$1:CB$87,Formula!B31,39)=0,10^6,INDEX(Properties!A$1:CB$87,Formula!B31,39)),IF(INDEX(Properties!A$1:CB$87,Formula!D31,39)=0,10^6,INDEX(Properties!A$1:CB$87,Formula!D31,39)),IF(INDEX(Properties!A$1:CB$87,Formula!F31,39)=0,10^6,INDEX(Properties!A$1:CB$87,Formula!F31,39)),IF(INDEX(Properties!A$1:CB$87,Formula!H31,39)=0,10^6,INDEX(Properties!A$1:CB$87,Formula!H31,39)),IF(INDEX(Properties!A$1:CB$87,Formula!J31,39)=0,10^6,INDEX(Properties!A$1:CB$87,Formula!J31,39)))</f>
        <v>0.48</v>
      </c>
      <c r="DQ31" s="45">
        <f t="shared" si="19"/>
        <v>0.94</v>
      </c>
      <c r="DR31" s="63">
        <f>((Formula!C31)/(Formula!C31+Formula!E31+Formula!G31+Formula!I31+Formula!K31))*(INDEX(Properties!A$1:CB$87,Formula!B31,40))+((Formula!E31)/(Formula!C31+Formula!E31+Formula!G31+Formula!I31+Formula!K31))*(INDEX(Properties!A$1:CB$87,Formula!D31,40))+((Formula!G31)/(Formula!C31+Formula!E31+Formula!G31+Formula!I31+Formula!K31))*(INDEX(Properties!A$1:CB$87,Formula!F31,40))+((Formula!I31)/(Formula!C31+Formula!E31+Formula!G31+Formula!I31+Formula!K31))*(INDEX(Properties!A$1:CB$87,Formula!H31,40))+((Formula!K31)/(Formula!C31+Formula!E31+Formula!G31+Formula!I31+Formula!K31))*(INDEX(Properties!A$1:CB$87,Formula!J31,40))</f>
        <v>0.94142857142857128</v>
      </c>
      <c r="DS31" s="63">
        <f>Formula!C31*(INDEX(Properties!A$1:CB$87,Formula!B31,40))+Formula!E31*(INDEX(Properties!A$1:CB$87,Formula!D31,40))+Formula!G31*(INDEX(Properties!A$1:CB$87,Formula!F31,40))+Formula!I31*(INDEX(Properties!A$1:CB$87,Formula!H31,40))+Formula!K31*(INDEX(Properties!A$1:CB$87,Formula!J31,40))</f>
        <v>6.59</v>
      </c>
      <c r="DT31" s="63">
        <f>VARP(IF(INDEX(Properties!A$1:CB$87,Formula!B31,40)&lt;&gt;"",INDEX(Properties!A$1:CB$87,Formula!B31,40)),IF(INDEX(Properties!A$1:CB$87,Formula!D31,40)&lt;&gt;"",INDEX(Properties!A$1:CB$87,Formula!D31,40)),IF(INDEX(Properties!A$1:CB$87,Formula!F31,40)&lt;&gt;"",INDEX(Properties!A$1:CB$87,Formula!F31,40)),IF(INDEX(Properties!A$1:CB$87,Formula!H31,40)&lt;&gt;"",INDEX(Properties!A$1:CB$87,Formula!H31,40)),IF(INDEX(Properties!A$1:CB$87,Formula!J31,40)&lt;&gt;"",INDEX(Properties!A$1:CB$87,Formula!J31,40)))</f>
        <v>0.31354399999999999</v>
      </c>
      <c r="DU31" s="63">
        <f>MAX(INDEX(Properties!A$1:CB$87,Formula!B31,40),INDEX(Properties!A$1:CB$87,Formula!D31,40),INDEX(Properties!A$1:CB$87,Formula!F31,40),INDEX(Properties!A$1:CB$87,Formula!H31,40),INDEX(Properties!A$1:CB$87,Formula!J31,40))</f>
        <v>1.31</v>
      </c>
      <c r="DV31" s="63">
        <f>MIN(IF(INDEX(Properties!A$1:CB$87,Formula!B31,40)=0,10^6,INDEX(Properties!A$1:CB$87,Formula!B31,40)),IF(INDEX(Properties!A$1:CB$87,Formula!D31,40)=0,10^6,INDEX(Properties!A$1:CB$87,Formula!D31,40)),IF(INDEX(Properties!A$1:CB$87,Formula!F31,40)=0,10^6,INDEX(Properties!A$1:CB$87,Formula!F31,40)),IF(INDEX(Properties!A$1:CB$87,Formula!H31,40)=0,10^6,INDEX(Properties!A$1:CB$87,Formula!H31,40)),IF(INDEX(Properties!A$1:CB$87,Formula!J31,40)=0,10^6,INDEX(Properties!A$1:CB$87,Formula!J31,40)))</f>
        <v>0.73</v>
      </c>
      <c r="DW31" s="63">
        <f t="shared" si="20"/>
        <v>0.58000000000000007</v>
      </c>
      <c r="DX31" s="75">
        <f>((Formula!C31)/(Formula!C31+Formula!E31+Formula!G31+Formula!I31+Formula!K31))*(INDEX(Properties!A$1:CB$87,Formula!B31,41))+((Formula!E31)/(Formula!C31+Formula!E31+Formula!G31+Formula!I31+Formula!K31))*(INDEX(Properties!A$1:CB$87,Formula!D31,41))+((Formula!G31)/(Formula!C31+Formula!E31+Formula!G31+Formula!I31+Formula!K31))*(INDEX(Properties!A$1:CB$87,Formula!F31,41))+((Formula!I31)/(Formula!C31+Formula!E31+Formula!G31+Formula!I31+Formula!K31))*(INDEX(Properties!A$1:CB$87,Formula!H31,41))+((Formula!K31)/(Formula!C31+Formula!E31+Formula!G31+Formula!I31+Formula!K31))*(INDEX(Properties!A$1:CB$87,Formula!J31,41))</f>
        <v>1.04</v>
      </c>
      <c r="DY31" s="75">
        <f>Formula!C31*(INDEX(Properties!A$1:CB$87,Formula!B31,41))+Formula!E31*(INDEX(Properties!A$1:CB$87,Formula!D31,41))+Formula!G31*(INDEX(Properties!A$1:CB$87,Formula!F31,41))+Formula!I31*(INDEX(Properties!A$1:CB$87,Formula!H31,41))+Formula!K31*(INDEX(Properties!A$1:CB$87,Formula!J31,41))</f>
        <v>7.28</v>
      </c>
      <c r="DZ31" s="75">
        <f>VARP(IF(INDEX(Properties!A$1:CB$87,Formula!B31,41)&lt;&gt;"",INDEX(Properties!A$1:CB$87,Formula!B31,41)),IF(INDEX(Properties!A$1:CB$87,Formula!D31,41)&lt;&gt;"",INDEX(Properties!A$1:CB$87,Formula!D31,41)),IF(INDEX(Properties!A$1:CB$87,Formula!F31,41)&lt;&gt;"",INDEX(Properties!A$1:CB$87,Formula!F31,41)),IF(INDEX(Properties!A$1:CB$87,Formula!H31,41)&lt;&gt;"",INDEX(Properties!A$1:CB$87,Formula!H31,41)),IF(INDEX(Properties!A$1:CB$87,Formula!J31,41)&lt;&gt;"",INDEX(Properties!A$1:CB$87,Formula!J31,41)))</f>
        <v>0.246784</v>
      </c>
      <c r="EA31" s="75">
        <f>MAX(INDEX(Properties!A$1:CB$87,Formula!B31,41),INDEX(Properties!A$1:CB$87,Formula!D31,41),INDEX(Properties!A$1:CB$87,Formula!F31,41),INDEX(Properties!A$1:CB$87,Formula!H31,41),INDEX(Properties!A$1:CB$87,Formula!J31,41))</f>
        <v>1.26</v>
      </c>
      <c r="EB31" s="75">
        <f>MIN(IF(INDEX(Properties!A$1:CB$87,Formula!B31,41)=0,10^6,INDEX(Properties!A$1:CB$87,Formula!B31,41)),IF(INDEX(Properties!A$1:CB$87,Formula!D31,41)=0,10^6,INDEX(Properties!A$1:CB$87,Formula!D31,41)),IF(INDEX(Properties!A$1:CB$87,Formula!F31,41)=0,10^6,INDEX(Properties!A$1:CB$87,Formula!F31,41)),IF(INDEX(Properties!A$1:CB$87,Formula!H31,41)=0,10^6,INDEX(Properties!A$1:CB$87,Formula!H31,41)),IF(INDEX(Properties!A$1:CB$87,Formula!J31,41)=0,10^6,INDEX(Properties!A$1:CB$87,Formula!J31,41)))</f>
        <v>0.68</v>
      </c>
      <c r="EC31" s="75">
        <f t="shared" si="21"/>
        <v>0.57999999999999996</v>
      </c>
      <c r="ED31" s="48">
        <f>((Formula!C31)/(Formula!C31+Formula!E31+Formula!G31+Formula!I31+Formula!K31))*(INDEX(Properties!A$1:CB$87,Formula!B31,45))+((Formula!E31)/(Formula!C31+Formula!E31+Formula!G31+Formula!I31+Formula!K31))*(INDEX(Properties!A$1:CB$87,Formula!D31,45))+((Formula!G31)/(Formula!C31+Formula!E31+Formula!G31+Formula!I31+Formula!K31))*(INDEX(Properties!A$1:CB$87,Formula!F31,45))+((Formula!I31)/(Formula!C31+Formula!E31+Formula!G31+Formula!I31+Formula!K31))*(INDEX(Properties!A$1:CB$87,Formula!H31,45))+((Formula!K31)/(Formula!C31+Formula!E31+Formula!G31+Formula!I31+Formula!K31))*(INDEX(Properties!A$1:CB$87,Formula!J31,45))</f>
        <v>1.0171428571428569</v>
      </c>
      <c r="EE31" s="48">
        <f>Formula!C31*(INDEX(Properties!A$1:CB$87,Formula!B31,45))+Formula!E31*(INDEX(Properties!A$1:CB$87,Formula!D31,45))+Formula!G31*(INDEX(Properties!A$1:CB$87,Formula!F31,45))+Formula!I31*(INDEX(Properties!A$1:CB$87,Formula!H31,45))+Formula!K31*(INDEX(Properties!A$1:CB$87,Formula!J31,45))</f>
        <v>7.12</v>
      </c>
      <c r="EF31" s="48">
        <f>VARP(IF(INDEX(Properties!A$1:CB$87,Formula!B31,45)&lt;&gt;"",INDEX(Properties!A$1:CB$87,Formula!B31,45)),IF(INDEX(Properties!A$1:CB$87,Formula!D31,45)&lt;&gt;"",INDEX(Properties!A$1:CB$87,Formula!D31,45)),IF(INDEX(Properties!A$1:CB$87,Formula!F31,45)&lt;&gt;"",INDEX(Properties!A$1:CB$87,Formula!F31,45)),IF(INDEX(Properties!A$1:CB$87,Formula!H31,45)&lt;&gt;"",INDEX(Properties!A$1:CB$87,Formula!H31,45)),IF(INDEX(Properties!A$1:CB$87,Formula!J31,45)&lt;&gt;"",INDEX(Properties!A$1:CB$87,Formula!J31,45)))</f>
        <v>0.66590400000000016</v>
      </c>
      <c r="EG31" s="48">
        <f>MAX(INDEX(Properties!A$1:CB$87,Formula!B31,45),INDEX(Properties!A$1:CB$87,Formula!D31,45),INDEX(Properties!A$1:CB$87,Formula!F31,45),INDEX(Properties!A$1:CB$87,Formula!H31,45),INDEX(Properties!A$1:CB$87,Formula!J31,45))</f>
        <v>1.88</v>
      </c>
      <c r="EH31" s="48">
        <f>MIN(IF(INDEX(Properties!A$1:CB$87,Formula!B31,45)=0,10^6,INDEX(Properties!A$1:CB$87,Formula!B31,45)),IF(INDEX(Properties!A$1:CB$87,Formula!D31,45)=0,10^6,INDEX(Properties!A$1:CB$87,Formula!D31,45)),IF(INDEX(Properties!A$1:CB$87,Formula!F31,45)=0,10^6,INDEX(Properties!A$1:CB$87,Formula!F31,45)),IF(INDEX(Properties!A$1:CB$87,Formula!H31,45)=0,10^6,INDEX(Properties!A$1:CB$87,Formula!H31,45)),IF(INDEX(Properties!A$1:CB$87,Formula!J31,45)=0,10^6,INDEX(Properties!A$1:CB$87,Formula!J31,45)))</f>
        <v>0.47</v>
      </c>
      <c r="EI31" s="48">
        <f t="shared" si="22"/>
        <v>1.41</v>
      </c>
      <c r="EJ31" s="66">
        <f>((Formula!C31)/(Formula!C31+Formula!E31+Formula!G31+Formula!I31+Formula!K31))*(INDEX(Properties!A$1:CB$87,Formula!B31,46))+((Formula!E31)/(Formula!C31+Formula!E31+Formula!G31+Formula!I31+Formula!K31))*(INDEX(Properties!A$1:CB$87,Formula!D31,46))+((Formula!G31)/(Formula!C31+Formula!E31+Formula!G31+Formula!I31+Formula!K31))*(INDEX(Properties!A$1:CB$87,Formula!F31,46))+((Formula!I31)/(Formula!C31+Formula!E31+Formula!G31+Formula!I31+Formula!K31))*(INDEX(Properties!A$1:CB$87,Formula!H31,46))+((Formula!K31)/(Formula!C31+Formula!E31+Formula!G31+Formula!I31+Formula!K31))*(INDEX(Properties!A$1:CB$87,Formula!J31,46))</f>
        <v>0.94857142857142851</v>
      </c>
      <c r="EK31" s="66">
        <f>Formula!C31*(INDEX(Properties!A$1:CB$87,Formula!B31,46))+Formula!E31*(INDEX(Properties!A$1:CB$87,Formula!D31,46))+Formula!G31*(INDEX(Properties!A$1:CB$87,Formula!F31,46))+Formula!I31*(INDEX(Properties!A$1:CB$87,Formula!H31,46))+Formula!K31*(INDEX(Properties!A$1:CB$87,Formula!J31,46))</f>
        <v>6.64</v>
      </c>
      <c r="EL31" s="66">
        <f>VARP(IF(INDEX(Properties!A$1:CB$87,Formula!B31,46)&lt;&gt;"",INDEX(Properties!A$1:CB$87,Formula!B31,46)),IF(INDEX(Properties!A$1:CB$87,Formula!D31,46)&lt;&gt;"",INDEX(Properties!A$1:CB$87,Formula!D31,46)),IF(INDEX(Properties!A$1:CB$87,Formula!F31,46)&lt;&gt;"",INDEX(Properties!A$1:CB$87,Formula!F31,46)),IF(INDEX(Properties!A$1:CB$87,Formula!H31,46)&lt;&gt;"",INDEX(Properties!A$1:CB$87,Formula!H31,46)),IF(INDEX(Properties!A$1:CB$87,Formula!J31,46)&lt;&gt;"",INDEX(Properties!A$1:CB$87,Formula!J31,46)))</f>
        <v>0.21250400000000003</v>
      </c>
      <c r="EM31" s="66">
        <f>MAX(INDEX(Properties!A$1:CB$87,Formula!B31,46),INDEX(Properties!A$1:CB$87,Formula!D31,46),INDEX(Properties!A$1:CB$87,Formula!F31,46),INDEX(Properties!A$1:CB$87,Formula!H31,46),INDEX(Properties!A$1:CB$87,Formula!J31,46))</f>
        <v>1.21</v>
      </c>
      <c r="EN31" s="66">
        <f>MIN(IF(INDEX(Properties!A$1:CB$87,Formula!B31,46)=0,10^6,INDEX(Properties!A$1:CB$87,Formula!B31,46)),IF(INDEX(Properties!A$1:CB$87,Formula!D31,46)=0,10^6,INDEX(Properties!A$1:CB$87,Formula!D31,46)),IF(INDEX(Properties!A$1:CB$87,Formula!F31,46)=0,10^6,INDEX(Properties!A$1:CB$87,Formula!F31,46)),IF(INDEX(Properties!A$1:CB$87,Formula!H31,46)=0,10^6,INDEX(Properties!A$1:CB$87,Formula!H31,46)),IF(INDEX(Properties!A$1:CB$87,Formula!J31,46)=0,10^6,INDEX(Properties!A$1:CB$87,Formula!J31,46)))</f>
        <v>0.53</v>
      </c>
      <c r="EO31" s="66">
        <f t="shared" si="23"/>
        <v>0.67999999999999994</v>
      </c>
      <c r="EP31" s="81">
        <f>((Formula!C31)/(Formula!C31+Formula!E31+Formula!G31+Formula!I31+Formula!K31))*(INDEX(Properties!A$1:CB$87,Formula!B31,52))+((Formula!E31)/(Formula!C31+Formula!E31+Formula!G31+Formula!I31+Formula!K31))*(INDEX(Properties!A$1:CB$87,Formula!D31,52))+((Formula!G31)/(Formula!C31+Formula!E31+Formula!G31+Formula!I31+Formula!K31))*(INDEX(Properties!A$1:CB$87,Formula!F31,52))+((Formula!I31)/(Formula!C31+Formula!E31+Formula!G31+Formula!I31+Formula!K31))*(INDEX(Properties!A$1:CB$87,Formula!H31,52))+((Formula!K31)/(Formula!C31+Formula!E31+Formula!G31+Formula!I31+Formula!K31))*(INDEX(Properties!A$1:CB$87,Formula!J31,52))</f>
        <v>3.7388571428571429</v>
      </c>
      <c r="EQ31" s="81">
        <f>Formula!C31*(INDEX(Properties!A$1:CB$87,Formula!B31,52))+Formula!E31*(INDEX(Properties!A$1:CB$87,Formula!D31,52))+Formula!G31*(INDEX(Properties!A$1:CB$87,Formula!F31,52))+Formula!I31*(INDEX(Properties!A$1:CB$87,Formula!H31,52))+Formula!K31*(INDEX(Properties!A$1:CB$87,Formula!J31,52))</f>
        <v>26.172000000000001</v>
      </c>
      <c r="ER31" s="81">
        <f>VARP(IF(INDEX(Properties!A$1:CB$87,Formula!B31,52)&lt;&gt;"",INDEX(Properties!A$1:CB$87,Formula!B31,52)),IF(INDEX(Properties!A$1:CB$87,Formula!D31,52)&lt;&gt;"",INDEX(Properties!A$1:CB$87,Formula!D31,52)),IF(INDEX(Properties!A$1:CB$87,Formula!F31,52)&lt;&gt;"",INDEX(Properties!A$1:CB$87,Formula!F31,52)),IF(INDEX(Properties!A$1:CB$87,Formula!H31,52)&lt;&gt;"",INDEX(Properties!A$1:CB$87,Formula!H31,52)),IF(INDEX(Properties!A$1:CB$87,Formula!J31,52)&lt;&gt;"",INDEX(Properties!A$1:CB$87,Formula!J31,52)))</f>
        <v>12.494447840000007</v>
      </c>
      <c r="ES31" s="81">
        <f>MAX(INDEX(Properties!A$1:CB$87,Formula!B31,52),INDEX(Properties!A$1:CB$87,Formula!D31,52),INDEX(Properties!A$1:CB$87,Formula!F31,52),INDEX(Properties!A$1:CB$87,Formula!H31,52),INDEX(Properties!A$1:CB$87,Formula!J31,52))</f>
        <v>8.3000000000000007</v>
      </c>
      <c r="ET31" s="81">
        <f>MIN(IF(INDEX(Properties!A$1:CB$87,Formula!B31,52)=0,10^6,INDEX(Properties!A$1:CB$87,Formula!B31,52)),IF(INDEX(Properties!A$1:CB$87,Formula!D31,52)=0,10^6,INDEX(Properties!A$1:CB$87,Formula!D31,52)),IF(INDEX(Properties!A$1:CB$87,Formula!F31,52)=0,10^6,INDEX(Properties!A$1:CB$87,Formula!F31,52)),IF(INDEX(Properties!A$1:CB$87,Formula!H31,52)=0,10^6,INDEX(Properties!A$1:CB$87,Formula!H31,52)),IF(INDEX(Properties!A$1:CB$87,Formula!J31,52)=0,10^6,INDEX(Properties!A$1:CB$87,Formula!J31,52)))</f>
        <v>0.79300000000000004</v>
      </c>
      <c r="EU31" s="81">
        <f t="shared" si="24"/>
        <v>7.5070000000000006</v>
      </c>
      <c r="EV31" s="39">
        <f>((Formula!C31)/(Formula!C31+Formula!E31+Formula!G31+Formula!I31+Formula!K31))*(INDEX(Properties!A$1:CB$87,Formula!B31,53))+((Formula!E31)/(Formula!C31+Formula!E31+Formula!G31+Formula!I31+Formula!K31))*(INDEX(Properties!A$1:CB$87,Formula!D31,53))+((Formula!G31)/(Formula!C31+Formula!E31+Formula!G31+Formula!I31+Formula!K31))*(INDEX(Properties!A$1:CB$87,Formula!F31,53))+((Formula!I31)/(Formula!C31+Formula!E31+Formula!G31+Formula!I31+Formula!K31))*(INDEX(Properties!A$1:CB$87,Formula!H31,53))+((Formula!K31)/(Formula!C31+Formula!E31+Formula!G31+Formula!I31+Formula!K31))*(INDEX(Properties!A$1:CB$87,Formula!J31,53))</f>
        <v>396.8642857142857</v>
      </c>
      <c r="EW31" s="39">
        <f>Formula!C31*(INDEX(Properties!A$1:CB$87,Formula!B31,53))+Formula!E31*(INDEX(Properties!A$1:CB$87,Formula!D31,53))+Formula!G31*(INDEX(Properties!A$1:CB$87,Formula!F31,53))+Formula!I31*(INDEX(Properties!A$1:CB$87,Formula!H31,53))+Formula!K31*(INDEX(Properties!A$1:CB$87,Formula!J31,53))</f>
        <v>2778.05</v>
      </c>
      <c r="EX31" s="39">
        <f>VARP(IF(INDEX(Properties!A$1:CB$87,Formula!B31,53)&lt;&gt;"",INDEX(Properties!A$1:CB$87,Formula!B31,53)),IF(INDEX(Properties!A$1:CB$87,Formula!D31,53)&lt;&gt;"",INDEX(Properties!A$1:CB$87,Formula!D31,53)),IF(INDEX(Properties!A$1:CB$87,Formula!F31,53)&lt;&gt;"",INDEX(Properties!A$1:CB$87,Formula!F31,53)),IF(INDEX(Properties!A$1:CB$87,Formula!H31,53)&lt;&gt;"",INDEX(Properties!A$1:CB$87,Formula!H31,53)),IF(INDEX(Properties!A$1:CB$87,Formula!J31,53)&lt;&gt;"",INDEX(Properties!A$1:CB$87,Formula!J31,53)))</f>
        <v>157750.43259999994</v>
      </c>
      <c r="EY31" s="39">
        <f>MAX(INDEX(Properties!A$1:CB$87,Formula!B31,53),INDEX(Properties!A$1:CB$87,Formula!D31,53),INDEX(Properties!A$1:CB$87,Formula!F31,53),INDEX(Properties!A$1:CB$87,Formula!H31,53),INDEX(Properties!A$1:CB$87,Formula!J31,53))</f>
        <v>933.15</v>
      </c>
      <c r="EZ31" s="39">
        <f>MIN(IF(INDEX(Properties!A$1:CB$87,Formula!B31,53)=0,10^6,INDEX(Properties!A$1:CB$87,Formula!B31,53)),IF(INDEX(Properties!A$1:CB$87,Formula!D31,53)=0,10^6,INDEX(Properties!A$1:CB$87,Formula!D31,53)),IF(INDEX(Properties!A$1:CB$87,Formula!F31,53)=0,10^6,INDEX(Properties!A$1:CB$87,Formula!F31,53)),IF(INDEX(Properties!A$1:CB$87,Formula!H31,53)=0,10^6,INDEX(Properties!A$1:CB$87,Formula!H31,53)),IF(INDEX(Properties!A$1:CB$87,Formula!J31,53)=0,10^6,INDEX(Properties!A$1:CB$87,Formula!J31,53)))</f>
        <v>54.749999999999972</v>
      </c>
      <c r="FA31" s="39">
        <f t="shared" si="25"/>
        <v>878.4</v>
      </c>
      <c r="FB31" s="54">
        <f>((Formula!C31)/(Formula!C31+Formula!E31+Formula!G31+Formula!I31+Formula!K31))*(INDEX(Properties!A$1:CB$87,Formula!B31,54))+((Formula!E31)/(Formula!C31+Formula!E31+Formula!G31+Formula!I31+Formula!K31))*(INDEX(Properties!A$1:CB$87,Formula!D31,54))+((Formula!G31)/(Formula!C31+Formula!E31+Formula!G31+Formula!I31+Formula!K31))*(INDEX(Properties!A$1:CB$87,Formula!F31,54))+((Formula!I31)/(Formula!C31+Formula!E31+Formula!G31+Formula!I31+Formula!K31))*(INDEX(Properties!A$1:CB$87,Formula!H31,54))+((Formula!K31)/(Formula!C31+Formula!E31+Formula!G31+Formula!I31+Formula!K31))*(INDEX(Properties!A$1:CB$87,Formula!J31,54))</f>
        <v>1002.8642857142858</v>
      </c>
      <c r="FC31" s="54">
        <f>Formula!C31*(INDEX(Properties!A$1:CB$87,Formula!B31,54))+Formula!E31*(INDEX(Properties!A$1:CB$87,Formula!D31,54))+Formula!G31*(INDEX(Properties!A$1:CB$87,Formula!F31,54))+Formula!I31*(INDEX(Properties!A$1:CB$87,Formula!H31,54))+Formula!K31*(INDEX(Properties!A$1:CB$87,Formula!J31,54))</f>
        <v>7020.0500000000011</v>
      </c>
      <c r="FD31" s="54">
        <f>VARP(IF(INDEX(Properties!A$1:CB$87,Formula!B31,54)&lt;&gt;"",INDEX(Properties!A$1:CB$87,Formula!B31,54)),IF(INDEX(Properties!A$1:CB$87,Formula!D31,54)&lt;&gt;"",INDEX(Properties!A$1:CB$87,Formula!D31,54)),IF(INDEX(Properties!A$1:CB$87,Formula!F31,54)&lt;&gt;"",INDEX(Properties!A$1:CB$87,Formula!F31,54)),IF(INDEX(Properties!A$1:CB$87,Formula!H31,54)&lt;&gt;"",INDEX(Properties!A$1:CB$87,Formula!H31,54)),IF(INDEX(Properties!A$1:CB$87,Formula!J31,54)&lt;&gt;"",INDEX(Properties!A$1:CB$87,Formula!J31,54)))</f>
        <v>1138361.1814000001</v>
      </c>
      <c r="FE31" s="54">
        <f>MAX(INDEX(Properties!A$1:CB$87,Formula!B31,54),INDEX(Properties!A$1:CB$87,Formula!D31,54),INDEX(Properties!A$1:CB$87,Formula!F31,54),INDEX(Properties!A$1:CB$87,Formula!H31,54),INDEX(Properties!A$1:CB$87,Formula!J31,54))</f>
        <v>2740.15</v>
      </c>
      <c r="FF31" s="54">
        <f>MIN(IF(INDEX(Properties!A$1:CB$87,Formula!B31,54)=0,10^6,INDEX(Properties!A$1:CB$87,Formula!B31,54)),IF(INDEX(Properties!A$1:CB$87,Formula!D31,54)=0,10^6,INDEX(Properties!A$1:CB$87,Formula!D31,54)),IF(INDEX(Properties!A$1:CB$87,Formula!F31,54)=0,10^6,INDEX(Properties!A$1:CB$87,Formula!F31,54)),IF(INDEX(Properties!A$1:CB$87,Formula!H31,54)=0,10^6,INDEX(Properties!A$1:CB$87,Formula!H31,54)),IF(INDEX(Properties!A$1:CB$87,Formula!J31,54)=0,10^6,INDEX(Properties!A$1:CB$87,Formula!J31,54)))</f>
        <v>90.149999999999977</v>
      </c>
      <c r="FG31" s="54">
        <f t="shared" si="26"/>
        <v>2650</v>
      </c>
      <c r="FH31" s="69">
        <f>((Formula!C31)/(Formula!C31+Formula!E31+Formula!G31+Formula!I31+Formula!K31))*(INDEX(Properties!A$1:CB$87,Formula!B31,55))+((Formula!E31)/(Formula!C31+Formula!E31+Formula!G31+Formula!I31+Formula!K31))*(INDEX(Properties!A$1:CB$87,Formula!D31,55))+((Formula!G31)/(Formula!C31+Formula!E31+Formula!G31+Formula!I31+Formula!K31))*(INDEX(Properties!A$1:CB$87,Formula!F31,55))+((Formula!I31)/(Formula!C31+Formula!E31+Formula!G31+Formula!I31+Formula!K31))*(INDEX(Properties!A$1:CB$87,Formula!H31,55))+((Formula!K31)/(Formula!C31+Formula!E31+Formula!G31+Formula!I31+Formula!K31))*(INDEX(Properties!A$1:CB$87,Formula!J31,55))</f>
        <v>1.7908171428571429</v>
      </c>
      <c r="FI31" s="69">
        <f>Formula!C31*(INDEX(Properties!A$1:CB$87,Formula!B31,55))+Formula!E31*(INDEX(Properties!A$1:CB$87,Formula!D31,54))+Formula!G31*(INDEX(Properties!A$1:CB$87,Formula!F31,55))+Formula!I31*(INDEX(Properties!A$1:CB$87,Formula!H31,55))+Formula!K31*(INDEX(Properties!A$1:CB$87,Formula!J31,55))</f>
        <v>5487.4357200000004</v>
      </c>
      <c r="FJ31" s="69">
        <f>VARP(IF(INDEX(Properties!A$1:CB$87,Formula!B31,55)&lt;&gt;"",INDEX(Properties!A$1:CB$87,Formula!B31,55)),IF(INDEX(Properties!A$1:CB$87,Formula!D31,55)&lt;&gt;"",INDEX(Properties!A$1:CB$87,Formula!D31,55)),IF(INDEX(Properties!A$1:CB$87,Formula!F31,55)&lt;&gt;"",INDEX(Properties!A$1:CB$87,Formula!F31,55)),IF(INDEX(Properties!A$1:CB$87,Formula!H31,55)&lt;&gt;"",INDEX(Properties!A$1:CB$87,Formula!H31,55)),IF(INDEX(Properties!A$1:CB$87,Formula!J31,55)&lt;&gt;"",INDEX(Properties!A$1:CB$87,Formula!J31,55)))</f>
        <v>7.7590997751839996</v>
      </c>
      <c r="FK31" s="69">
        <f>MAX(INDEX(Properties!A$1:CB$87,Formula!B31,55),INDEX(Properties!A$1:CB$87,Formula!D31,55),INDEX(Properties!A$1:CB$87,Formula!F31,55),INDEX(Properties!A$1:CB$87,Formula!H31,55),INDEX(Properties!A$1:CB$87,Formula!J31,55))</f>
        <v>7.13</v>
      </c>
      <c r="FL31" s="69">
        <f>MIN(IF(INDEX(Properties!A$1:CB$87,Formula!B31,55)=0,10^6,INDEX(Properties!A$1:CB$87,Formula!B31,55)),IF(INDEX(Properties!A$1:CB$87,Formula!D31,55)=0,10^6,INDEX(Properties!A$1:CB$87,Formula!D31,55)),IF(INDEX(Properties!A$1:CB$87,Formula!F31,55)=0,10^6,INDEX(Properties!A$1:CB$87,Formula!F31,55)),IF(INDEX(Properties!A$1:CB$87,Formula!H31,55)=0,10^6,INDEX(Properties!A$1:CB$87,Formula!H31,55)),IF(INDEX(Properties!A$1:CB$87,Formula!J31,55)=0,10^6,INDEX(Properties!A$1:CB$87,Formula!J31,55)))</f>
        <v>1.4300000000000001E-3</v>
      </c>
      <c r="FM31" s="69">
        <f t="shared" si="27"/>
        <v>7.1285699999999999</v>
      </c>
      <c r="FN31" s="42">
        <f>((Formula!C31)/(Formula!C31+Formula!E31+Formula!G31+Formula!I31+Formula!K31))*(INDEX(Properties!A$1:CB$87,Formula!B31,56))+((Formula!E31)/(Formula!C31+Formula!E31+Formula!G31+Formula!I31+Formula!K31))*(INDEX(Properties!A$1:CB$87,Formula!D31,56))+((Formula!G31)/(Formula!C31+Formula!E31+Formula!G31+Formula!I31+Formula!K31))*(INDEX(Properties!A$1:CB$87,Formula!F31,56))+((Formula!I31)/(Formula!C31+Formula!E31+Formula!G31+Formula!I31+Formula!K31))*(INDEX(Properties!A$1:CB$87,Formula!H31,56))+((Formula!K31)/(Formula!C31+Formula!E31+Formula!G31+Formula!I31+Formula!K31))*(INDEX(Properties!A$1:CB$87,Formula!J31,56))</f>
        <v>0.83857142857142852</v>
      </c>
      <c r="FO31" s="42">
        <f>Formula!C31*(INDEX(Properties!A$1:CB$87,Formula!B31,56))+Formula!E31*(INDEX(Properties!A$1:CB$87,Formula!D31,56))+Formula!G31*(INDEX(Properties!A$1:CB$87,Formula!F31,56))+Formula!I31*(INDEX(Properties!A$1:CB$87,Formula!H31,56))+Formula!K31*(INDEX(Properties!A$1:CB$87,Formula!J31,56))</f>
        <v>5.87</v>
      </c>
      <c r="FP31" s="42">
        <f>VARP(IF(INDEX(Properties!A$1:CB$87,Formula!B31,56)&lt;&gt;"",INDEX(Properties!A$1:CB$87,Formula!B31,56)),IF(INDEX(Properties!A$1:CB$87,Formula!D31,56)&lt;&gt;"",INDEX(Properties!A$1:CB$87,Formula!D31,56)),IF(INDEX(Properties!A$1:CB$87,Formula!F31,56)&lt;&gt;"",INDEX(Properties!A$1:CB$87,Formula!F31,56)),IF(INDEX(Properties!A$1:CB$87,Formula!H31,56)&lt;&gt;"",INDEX(Properties!A$1:CB$87,Formula!H31,56)),IF(INDEX(Properties!A$1:CB$87,Formula!J31,56)&lt;&gt;"",INDEX(Properties!A$1:CB$87,Formula!J31,56)))</f>
        <v>0.16633600000000001</v>
      </c>
      <c r="FQ31" s="42">
        <f>MAX(INDEX(Properties!A$1:CB$87,Formula!B31,56),INDEX(Properties!A$1:CB$87,Formula!D31,56),INDEX(Properties!A$1:CB$87,Formula!F31,56),INDEX(Properties!A$1:CB$87,Formula!H31,56),INDEX(Properties!A$1:CB$87,Formula!J31,56))</f>
        <v>0.92</v>
      </c>
      <c r="FR31" s="42">
        <f>MIN(IF(INDEX(Properties!A$1:CB$87,Formula!B31,56)=0,10^6,INDEX(Properties!A$1:CB$87,Formula!B31,56)),IF(INDEX(Properties!A$1:CB$87,Formula!D31,56)=0,10^6,INDEX(Properties!A$1:CB$87,Formula!D31,56)),IF(INDEX(Properties!A$1:CB$87,Formula!F31,56)=0,10^6,INDEX(Properties!A$1:CB$87,Formula!F31,56)),IF(INDEX(Properties!A$1:CB$87,Formula!H31,56)=0,10^6,INDEX(Properties!A$1:CB$87,Formula!H31,56)),IF(INDEX(Properties!A$1:CB$87,Formula!J31,56)=0,10^6,INDEX(Properties!A$1:CB$87,Formula!J31,56)))</f>
        <v>0.39</v>
      </c>
      <c r="FS31" s="42">
        <f t="shared" si="28"/>
        <v>0.53</v>
      </c>
      <c r="FT31" s="60">
        <f>((Formula!C31)/(Formula!C31+Formula!E31+Formula!G31+Formula!I31+Formula!K31))*(INDEX(Properties!A$1:CB$87,Formula!B31,57))+((Formula!E31)/(Formula!C31+Formula!E31+Formula!G31+Formula!I31+Formula!K31))*(INDEX(Properties!A$1:CB$87,Formula!D31,57))+((Formula!G31)/(Formula!C31+Formula!E31+Formula!G31+Formula!I31+Formula!K31))*(INDEX(Properties!A$1:CB$87,Formula!F31,57))+((Formula!I31)/(Formula!C31+Formula!E31+Formula!G31+Formula!I31+Formula!K31))*(INDEX(Properties!A$1:CB$87,Formula!H31,57))+((Formula!K31)/(Formula!C31+Formula!E31+Formula!G31+Formula!I31+Formula!K31))*(INDEX(Properties!A$1:CB$87,Formula!J31,57))</f>
        <v>4.2560514285714275</v>
      </c>
      <c r="FU31" s="60">
        <f>Formula!C31*(INDEX(Properties!A$1:CB$87,Formula!B31,57))+Formula!E31*(INDEX(Properties!A$1:CB$87,Formula!D31,57))+Formula!G31*(INDEX(Properties!A$1:CB$87,Formula!F31,57))+Formula!I31*(INDEX(Properties!A$1:CB$87,Formula!H31,57))+Formula!K31*(INDEX(Properties!A$1:CB$87,Formula!J31,57))</f>
        <v>29.792359999999999</v>
      </c>
      <c r="FV31" s="60">
        <f>VARP(IF(INDEX(Properties!A$1:CB$87,Formula!B31,57)&lt;&gt;"",INDEX(Properties!A$1:CB$87,Formula!B31,57)),IF(INDEX(Properties!A$1:CB$87,Formula!D31,57)&lt;&gt;"",INDEX(Properties!A$1:CB$87,Formula!D31,57)),IF(INDEX(Properties!A$1:CB$87,Formula!F31,57)&lt;&gt;"",INDEX(Properties!A$1:CB$87,Formula!F31,57)),IF(INDEX(Properties!A$1:CB$87,Formula!H31,57)&lt;&gt;"",INDEX(Properties!A$1:CB$87,Formula!H31,57)),IF(INDEX(Properties!A$1:CB$87,Formula!J31,57)&lt;&gt;"",INDEX(Properties!A$1:CB$87,Formula!J31,57)))</f>
        <v>20.570778442896</v>
      </c>
      <c r="FW31" s="60">
        <f>MAX(INDEX(Properties!A$1:CB$87,Formula!B31,57),INDEX(Properties!A$1:CB$87,Formula!D31,57),INDEX(Properties!A$1:CB$87,Formula!F31,57),INDEX(Properties!A$1:CB$87,Formula!H31,57),INDEX(Properties!A$1:CB$87,Formula!J31,57))</f>
        <v>10.79</v>
      </c>
      <c r="FX31" s="60">
        <f>MIN(IF(INDEX(Properties!A$1:CB$87,Formula!B31,57)=0,10^6,INDEX(Properties!A$1:CB$87,Formula!B31,57)),IF(INDEX(Properties!A$1:CB$87,Formula!D31,57)=0,10^6,INDEX(Properties!A$1:CB$87,Formula!D31,57)),IF(INDEX(Properties!A$1:CB$87,Formula!F31,57)=0,10^6,INDEX(Properties!A$1:CB$87,Formula!F31,57)),IF(INDEX(Properties!A$1:CB$87,Formula!H31,57)=0,10^6,INDEX(Properties!A$1:CB$87,Formula!H31,57)),IF(INDEX(Properties!A$1:CB$87,Formula!J31,57)=0,10^6,INDEX(Properties!A$1:CB$87,Formula!J31,57)))</f>
        <v>0.22259000000000001</v>
      </c>
      <c r="FY31" s="60">
        <f t="shared" si="29"/>
        <v>10.567409999999999</v>
      </c>
      <c r="FZ31" s="72">
        <f>((Formula!C31)/(Formula!C31+Formula!E31+Formula!G31+Formula!I31+Formula!K31))*(INDEX(Properties!A$1:CB$87,Formula!B31,60))+((Formula!E31)/(Formula!C31+Formula!E31+Formula!G31+Formula!I31+Formula!K31))*(INDEX(Properties!A$1:CB$87,Formula!D31,60))+((Formula!G31)/(Formula!C31+Formula!E31+Formula!G31+Formula!I31+Formula!K31))*(INDEX(Properties!A$1:CB$87,Formula!F31,60))+((Formula!I31)/(Formula!C31+Formula!E31+Formula!G31+Formula!I31+Formula!K31))*(INDEX(Properties!A$1:CB$87,Formula!H31,60))+((Formula!K31)/(Formula!C31+Formula!E31+Formula!G31+Formula!I31+Formula!K31))*(INDEX(Properties!A$1:CB$87,Formula!J31,60))</f>
        <v>84.300994285714282</v>
      </c>
      <c r="GA31" s="72">
        <f>Formula!C31*(INDEX(Properties!A$1:CB$87,Formula!B31,60))+Formula!E31*(INDEX(Properties!A$1:CB$87,Formula!D31,60))+Formula!G31*(INDEX(Properties!A$1:CB$87,Formula!F31,60))+Formula!I31*(INDEX(Properties!A$1:CB$87,Formula!H31,60))+Formula!K31*(INDEX(Properties!A$1:CB$87,Formula!J31,60))</f>
        <v>590.10695999999996</v>
      </c>
      <c r="GB31" s="72">
        <f>VARP(IF(INDEX(Properties!A$1:CB$87,Formula!B31,60)&lt;&gt;"",INDEX(Properties!A$1:CB$87,Formula!B31,60)),IF(INDEX(Properties!A$1:CB$87,Formula!D31,60)&lt;&gt;"",INDEX(Properties!A$1:CB$87,Formula!D31,60)),IF(INDEX(Properties!A$1:CB$87,Formula!F31,60)&lt;&gt;"",INDEX(Properties!A$1:CB$87,Formula!F31,60)),IF(INDEX(Properties!A$1:CB$87,Formula!H31,60)&lt;&gt;"",INDEX(Properties!A$1:CB$87,Formula!H31,60)),IF(INDEX(Properties!A$1:CB$87,Formula!J31,60)&lt;&gt;"",INDEX(Properties!A$1:CB$87,Formula!J31,60)))</f>
        <v>8939.8849768044165</v>
      </c>
      <c r="GC31" s="72">
        <f>MAX(INDEX(Properties!A$1:CB$87,Formula!B31,60),INDEX(Properties!A$1:CB$87,Formula!D31,60),INDEX(Properties!A$1:CB$87,Formula!F31,60),INDEX(Properties!A$1:CB$87,Formula!H31,60),INDEX(Properties!A$1:CB$87,Formula!J31,60))</f>
        <v>237</v>
      </c>
      <c r="GD31" s="72">
        <f>MIN(IF(INDEX(Properties!A$1:CB$87,Formula!B31,60)=0,10^6,INDEX(Properties!A$1:CB$87,Formula!B31,60)),IF(INDEX(Properties!A$1:CB$87,Formula!D31,60)=0,10^6,INDEX(Properties!A$1:CB$87,Formula!D31,60)),IF(INDEX(Properties!A$1:CB$87,Formula!F31,60)=0,10^6,INDEX(Properties!A$1:CB$87,Formula!F31,60)),IF(INDEX(Properties!A$1:CB$87,Formula!H31,60)=0,10^6,INDEX(Properties!A$1:CB$87,Formula!H31,60)),IF(INDEX(Properties!A$1:CB$87,Formula!J31,60)=0,10^6,INDEX(Properties!A$1:CB$87,Formula!J31,60)))</f>
        <v>2.674E-2</v>
      </c>
      <c r="GE31" s="72">
        <f t="shared" si="30"/>
        <v>236.97326000000001</v>
      </c>
      <c r="GF31" s="51">
        <f>((Formula!C31)/(Formula!C31+Formula!E31+Formula!G31+Formula!I31+Formula!K31))*(INDEX(Properties!A$1:CB$87,Formula!B31,62))+((Formula!E31)/(Formula!C31+Formula!E31+Formula!G31+Formula!I31+Formula!K31))*(INDEX(Properties!A$1:CB$87,Formula!D31,62))+((Formula!G31)/(Formula!C31+Formula!E31+Formula!G31+Formula!I31+Formula!K31))*(INDEX(Properties!A$1:CB$87,Formula!F31,62))+((Formula!I31)/(Formula!C31+Formula!E31+Formula!G31+Formula!I31+Formula!K31))*(INDEX(Properties!A$1:CB$87,Formula!H31,62))+((Formula!K31)/(Formula!C31+Formula!E31+Formula!G31+Formula!I31+Formula!K31))*(INDEX(Properties!A$1:CB$87,Formula!J31,62))</f>
        <v>2.6585714285714284</v>
      </c>
      <c r="GG31" s="51">
        <f>Formula!C31*(INDEX(Properties!A$1:CB$87,Formula!B31,62))+Formula!E31*(INDEX(Properties!A$1:CB$87,Formula!D31,62))+Formula!G31*(INDEX(Properties!A$1:CB$87,Formula!F31,62))+Formula!I31*(INDEX(Properties!A$1:CB$87,Formula!H31,62))+Formula!K31*(INDEX(Properties!A$1:CB$87,Formula!J31,62))</f>
        <v>18.61</v>
      </c>
      <c r="GH31" s="51">
        <f>VARP(IF(INDEX(Properties!A$1:CB$87,Formula!B31,62)&lt;&gt;"",INDEX(Properties!A$1:CB$87,Formula!B31,62)),IF(INDEX(Properties!A$1:CB$87,Formula!D31,62)&lt;&gt;"",INDEX(Properties!A$1:CB$87,Formula!D31,62)),IF(INDEX(Properties!A$1:CB$87,Formula!F31,62)&lt;&gt;"",INDEX(Properties!A$1:CB$87,Formula!F31,62)),IF(INDEX(Properties!A$1:CB$87,Formula!H31,62)&lt;&gt;"",INDEX(Properties!A$1:CB$87,Formula!H31,62)),IF(INDEX(Properties!A$1:CB$87,Formula!J31,62)&lt;&gt;"",INDEX(Properties!A$1:CB$87,Formula!J31,62)))</f>
        <v>1.8690160000000002</v>
      </c>
      <c r="GI31" s="51">
        <f>MAX(INDEX(Properties!A$1:CB$87,Formula!B31,62),INDEX(Properties!A$1:CB$87,Formula!D31,62),INDEX(Properties!A$1:CB$87,Formula!F31,62),INDEX(Properties!A$1:CB$87,Formula!H31,62),INDEX(Properties!A$1:CB$87,Formula!J31,62))</f>
        <v>3.39</v>
      </c>
      <c r="GJ31" s="51">
        <f>MIN(IF(INDEX(Properties!A$1:CB$87,Formula!B31,62)=0,10^6,INDEX(Properties!A$1:CB$87,Formula!B31,62)),IF(INDEX(Properties!A$1:CB$87,Formula!D31,62)=0,10^6,INDEX(Properties!A$1:CB$87,Formula!D31,62)),IF(INDEX(Properties!A$1:CB$87,Formula!F31,62)=0,10^6,INDEX(Properties!A$1:CB$87,Formula!F31,62)),IF(INDEX(Properties!A$1:CB$87,Formula!H31,62)=0,10^6,INDEX(Properties!A$1:CB$87,Formula!H31,62)),IF(INDEX(Properties!A$1:CB$87,Formula!J31,62)=0,10^6,INDEX(Properties!A$1:CB$87,Formula!J31,62)))</f>
        <v>1.35</v>
      </c>
      <c r="GK31" s="51">
        <f t="shared" si="31"/>
        <v>2.04</v>
      </c>
      <c r="GL31" s="51">
        <f>Formula!P31</f>
        <v>227</v>
      </c>
      <c r="GM31" s="57">
        <f>Formula!O31</f>
        <v>7</v>
      </c>
      <c r="GN31" s="51">
        <f>Formula!N31</f>
        <v>0.01</v>
      </c>
    </row>
    <row r="32" spans="1:196" x14ac:dyDescent="0.3">
      <c r="A32" s="84" t="str">
        <f>Formula!A32</f>
        <v>Zn2GeO4</v>
      </c>
      <c r="B32" s="89">
        <f>((Formula!C32)/(Formula!C32+Formula!E32+Formula!G32+Formula!I32+Formula!K32))*(INDEX(Properties!A$1:CB$87,Formula!B32,3))+((Formula!E32)/(Formula!C32+Formula!E32+Formula!G32+Formula!I32+Formula!K32))*(INDEX(Properties!A$1:CB$87,Formula!D32,3))+((Formula!G32)/(Formula!C32+Formula!E32+Formula!G32+Formula!I32+Formula!K32))*(INDEX(Properties!A$1:CB$87,Formula!F32,3))+((Formula!I32)/(Formula!C32+Formula!E32+Formula!G32+Formula!I32+Formula!K32))*(INDEX(Properties!A$1:CB$87,Formula!H32,3))+((Formula!K32)/(Formula!C32+Formula!E32+Formula!G32+Formula!I32+Formula!K32))*(INDEX(Properties!A$1:CB$87,Formula!J32,3))</f>
        <v>38.198228571428565</v>
      </c>
      <c r="C32" s="85">
        <f>Formula!C32*(INDEX(Properties!A$1:CB$87,Formula!B32,3))+Formula!E32*(INDEX(Properties!A$1:CB$87,Formula!D32,3))+Formula!G32*(INDEX(Properties!A$1:CB$87,Formula!F32,3))+Formula!I32*(INDEX(Properties!A$1:CB$87,Formula!H32,3))+Formula!K32*(INDEX(Properties!A$1:CB$87,Formula!J32,3))</f>
        <v>267.38759999999996</v>
      </c>
      <c r="D32" s="85">
        <f>VARP(IF(INDEX(Properties!A$1:CB$87,Formula!B32,3)&lt;&gt;"",INDEX(Properties!A$1:CB$87,Formula!B32,3)),IF(INDEX(Properties!A$1:CB$87,Formula!D32,3)&lt;&gt;"",INDEX(Properties!A$1:CB$87,Formula!D32,3)),IF(INDEX(Properties!A$1:CB$87,Formula!F32,3)&lt;&gt;"",INDEX(Properties!A$1:CB$87,Formula!F32,3)),IF(INDEX(Properties!A$1:CB$87,Formula!H32,3)&lt;&gt;"",INDEX(Properties!A$1:CB$87,Formula!H32,3)),IF(INDEX(Properties!A$1:CB$87,Formula!J32,3)&lt;&gt;"",INDEX(Properties!A$1:CB$87,Formula!J32,3)))</f>
        <v>1012.3726085375997</v>
      </c>
      <c r="E32" s="85">
        <f>MAX(INDEX(Properties!A$1:CB$87,Formula!B32,3),INDEX(Properties!A$1:CB$87,Formula!D32,3),INDEX(Properties!A$1:CB$87,Formula!F32,3),INDEX(Properties!A$1:CB$87,Formula!H32,3),INDEX(Properties!A$1:CB$87,Formula!J32,3))</f>
        <v>72.63</v>
      </c>
      <c r="F32" s="85">
        <f>MIN(IF(INDEX(Properties!A$1:CB$87,Formula!B32,3)=0,10^6,INDEX(Properties!A$1:CB$87,Formula!B32,3)),IF(INDEX(Properties!A$1:CB$87,Formula!D32,3)=0,10^6,INDEX(Properties!A$1:CB$87,Formula!D32,3)),IF(INDEX(Properties!A$1:CB$87,Formula!F32,3)=0,10^6,INDEX(Properties!A$1:CB$87,Formula!F32,3)),IF(INDEX(Properties!A$1:CB$87,Formula!H32,3)=0,10^6,INDEX(Properties!A$1:CB$87,Formula!H32,3)),IF(INDEX(Properties!A$1:CB$87,Formula!J32,3)=0,10^6,INDEX(Properties!A$1:CB$87,Formula!J32,3)))</f>
        <v>15.9994</v>
      </c>
      <c r="G32" s="85">
        <f t="shared" si="0"/>
        <v>56.630599999999994</v>
      </c>
      <c r="H32" s="87">
        <f>((Formula!C32)/(Formula!C32+Formula!E32+Formula!G32+Formula!I32+Formula!K32))*(INDEX(Properties!A$1:CB$87,Formula!B32,4))+((Formula!E32)/(Formula!C32+Formula!E32+Formula!G32+Formula!I32+Formula!K32))*(INDEX(Properties!A$1:CB$87,Formula!D32,4))+((Formula!G32)/(Formula!C32+Formula!E32+Formula!G32+Formula!I32+Formula!K32))*(INDEX(Properties!A$1:CB$87,Formula!F32,4))+((Formula!I32)/(Formula!C32+Formula!E32+Formula!G32+Formula!I32+Formula!K32))*(INDEX(Properties!A$1:CB$87,Formula!H32,4))+((Formula!K32)/(Formula!C32+Formula!E32+Formula!G32+Formula!I32+Formula!K32))*(INDEX(Properties!A$1:CB$87,Formula!J32,4))</f>
        <v>17.714285714285715</v>
      </c>
      <c r="I32" s="87">
        <f>Formula!C32*(INDEX(Properties!A$1:CB$87,Formula!B32,4))+Formula!E32*(INDEX(Properties!A$1:CB$87,Formula!D32,4))+Formula!G32*(INDEX(Properties!A$1:CB$87,Formula!F32,4))+Formula!I32*(INDEX(Properties!A$1:CB$87,Formula!H32,4))+Formula!K32*(INDEX(Properties!A$1:CB$87,Formula!J32,4))</f>
        <v>124</v>
      </c>
      <c r="J32" s="87">
        <f>VARP(IF(INDEX(Properties!A$1:CB$87,Formula!B32,4)&lt;&gt;"",INDEX(Properties!A$1:CB$87,Formula!B32,4)),IF(INDEX(Properties!A$1:CB$87,Formula!D32,4)&lt;&gt;"",INDEX(Properties!A$1:CB$87,Formula!D32,4)),IF(INDEX(Properties!A$1:CB$87,Formula!F32,4)&lt;&gt;"",INDEX(Properties!A$1:CB$87,Formula!F32,4)),IF(INDEX(Properties!A$1:CB$87,Formula!H32,4)&lt;&gt;"",INDEX(Properties!A$1:CB$87,Formula!H32,4)),IF(INDEX(Properties!A$1:CB$87,Formula!J32,4)&lt;&gt;"",INDEX(Properties!A$1:CB$87,Formula!J32,4)))</f>
        <v>201.6</v>
      </c>
      <c r="K32" s="87">
        <f>MAX(INDEX(Properties!A$1:CB$87,Formula!B32,4),INDEX(Properties!A$1:CB$87,Formula!D32,4),INDEX(Properties!A$1:CB$87,Formula!F32,4),INDEX(Properties!A$1:CB$87,Formula!H32,4),INDEX(Properties!A$1:CB$87,Formula!J32,4))</f>
        <v>32</v>
      </c>
      <c r="L32" s="87">
        <f>MIN(IF(INDEX(Properties!A$1:CB$87,Formula!B32,4)=0,10^6,INDEX(Properties!A$1:CB$87,Formula!B32,4)),IF(INDEX(Properties!A$1:CB$87,Formula!D32,4)=0,10^6,INDEX(Properties!A$1:CB$87,Formula!D32,4)),IF(INDEX(Properties!A$1:CB$87,Formula!F32,4)=0,10^6,INDEX(Properties!A$1:CB$87,Formula!F32,4)),IF(INDEX(Properties!A$1:CB$87,Formula!H32,4)=0,10^6,INDEX(Properties!A$1:CB$87,Formula!H32,4)),IF(INDEX(Properties!A$1:CB$87,Formula!J32,4)=0,10^6,INDEX(Properties!A$1:CB$87,Formula!J32,4)))</f>
        <v>8</v>
      </c>
      <c r="M32" s="87">
        <f t="shared" si="1"/>
        <v>24</v>
      </c>
      <c r="N32" s="89">
        <f>((Formula!C32)/(Formula!C32+Formula!E32+Formula!G32+Formula!I32+Formula!K32))*(INDEX(Properties!A$1:CB$87,Formula!B32,5))+((Formula!E32)/(Formula!C32+Formula!E32+Formula!G32+Formula!I32+Formula!K32))*(INDEX(Properties!A$1:CB$87,Formula!D32,5))+((Formula!G32)/(Formula!C32+Formula!E32+Formula!G32+Formula!I32+Formula!K32))*(INDEX(Properties!A$1:CB$87,Formula!F32,5))+((Formula!I32)/(Formula!C32+Formula!E32+Formula!G32+Formula!I32+Formula!K32))*(INDEX(Properties!A$1:CB$87,Formula!H32,5))+((Formula!K32)/(Formula!C32+Formula!E32+Formula!G32+Formula!I32+Formula!K32))*(INDEX(Properties!A$1:CB$87,Formula!J32,5))</f>
        <v>2.8571428571428568</v>
      </c>
      <c r="O32" s="89">
        <f>Formula!C32*(INDEX(Properties!A$1:CB$87,Formula!B32,5))+Formula!E32*(INDEX(Properties!A$1:CB$87,Formula!D32,5))+Formula!G32*(INDEX(Properties!A$1:CB$87,Formula!F32,5))+Formula!I32*(INDEX(Properties!A$1:CB$87,Formula!H32,5))+Formula!K32*(INDEX(Properties!A$1:CB$87,Formula!J32,5))</f>
        <v>20</v>
      </c>
      <c r="P32" s="89">
        <f>VARP(IF(INDEX(Properties!A$1:CB$87,Formula!B32,5)&lt;&gt;"",INDEX(Properties!A$1:CB$87,Formula!B32,5)),IF(INDEX(Properties!A$1:CB$87,Formula!D32,5)&lt;&gt;"",INDEX(Properties!A$1:CB$87,Formula!D32,5)),IF(INDEX(Properties!A$1:CB$87,Formula!F32,5)&lt;&gt;"",INDEX(Properties!A$1:CB$87,Formula!F32,5)),IF(INDEX(Properties!A$1:CB$87,Formula!H32,5)&lt;&gt;"",INDEX(Properties!A$1:CB$87,Formula!H32,5)),IF(INDEX(Properties!A$1:CB$87,Formula!J32,5)&lt;&gt;"",INDEX(Properties!A$1:CB$87,Formula!J32,5)))</f>
        <v>3.2</v>
      </c>
      <c r="Q32" s="89">
        <f>MAX(INDEX(Properties!A$1:CB$87,Formula!B32,5),INDEX(Properties!A$1:CB$87,Formula!D32,5),INDEX(Properties!A$1:CB$87,Formula!F32,5),INDEX(Properties!A$1:CB$87,Formula!H32,5),INDEX(Properties!A$1:CB$87,Formula!J32,5))</f>
        <v>4</v>
      </c>
      <c r="R32" s="89">
        <f>MIN(IF(INDEX(Properties!A$1:CB$87,Formula!B32,5)=0,10^6,INDEX(Properties!A$1:CB$87,Formula!B32,5)),IF(INDEX(Properties!A$1:CB$87,Formula!D32,5)=0,10^6,INDEX(Properties!A$1:CB$87,Formula!D32,5)),IF(INDEX(Properties!A$1:CB$87,Formula!F32,5)=0,10^6,INDEX(Properties!A$1:CB$87,Formula!F32,5)),IF(INDEX(Properties!A$1:CB$87,Formula!H32,5)=0,10^6,INDEX(Properties!A$1:CB$87,Formula!H32,5)),IF(INDEX(Properties!A$1:CB$87,Formula!J32,5)=0,10^6,INDEX(Properties!A$1:CB$87,Formula!J32,5)))</f>
        <v>2</v>
      </c>
      <c r="S32" s="89">
        <f t="shared" si="2"/>
        <v>2</v>
      </c>
      <c r="T32" s="60">
        <f>((Formula!C32)/(Formula!C32+Formula!E32+Formula!G32+Formula!I32+Formula!K32))*(INDEX(Properties!A$1:CB$87,Formula!B32,6))+((Formula!E32)/(Formula!C32+Formula!E32+Formula!G32+Formula!I32+Formula!K32))*(INDEX(Properties!A$1:CB$87,Formula!D32,6))+((Formula!G32)/(Formula!C32+Formula!E32+Formula!G32+Formula!I32+Formula!K32))*(INDEX(Properties!A$1:CB$87,Formula!F32,6))+((Formula!I32)/(Formula!C32+Formula!E32+Formula!G32+Formula!I32+Formula!K32))*(INDEX(Properties!A$1:CB$87,Formula!H32,6))+((Formula!K32)/(Formula!C32+Formula!E32+Formula!G32+Formula!I32+Formula!K32))*(INDEX(Properties!A$1:CB$87,Formula!J32,6))</f>
        <v>14.571428571428571</v>
      </c>
      <c r="U32" s="60">
        <f>Formula!C32*(INDEX(Properties!A$1:CB$87,Formula!B32,6))+Formula!E32*(INDEX(Properties!A$1:CB$87,Formula!D32,6))+Formula!G32*(INDEX(Properties!A$1:CB$87,Formula!F32,6))+Formula!I32*(INDEX(Properties!A$1:CB$87,Formula!H32,6))+Formula!K32*(INDEX(Properties!A$1:CB$87,Formula!J32,6))</f>
        <v>102</v>
      </c>
      <c r="V32" s="89">
        <f>VARP(IF(INDEX(Properties!A$1:CB$87,Formula!B32,6)&lt;&gt;"",INDEX(Properties!A$1:CB$87,Formula!B32,6)),IF(INDEX(Properties!A$1:CB$87,Formula!D32,6)&lt;&gt;"",INDEX(Properties!A$1:CB$87,Formula!D32,6)),IF(INDEX(Properties!A$1:CB$87,Formula!F32,6)&lt;&gt;"",INDEX(Properties!A$1:CB$87,Formula!F32,6)),IF(INDEX(Properties!A$1:CB$87,Formula!H32,6)&lt;&gt;"",INDEX(Properties!A$1:CB$87,Formula!H32,6)),IF(INDEX(Properties!A$1:CB$87,Formula!J32,6)&lt;&gt;"",INDEX(Properties!A$1:CB$87,Formula!J32,6)))</f>
        <v>48.64</v>
      </c>
      <c r="W32" s="60">
        <f>MAX(INDEX(Properties!A$1:CB$87,Formula!B32,6),INDEX(Properties!A$1:CB$87,Formula!D32,6),INDEX(Properties!A$1:CB$87,Formula!F32,6),INDEX(Properties!A$1:CB$87,Formula!H32,4),INDEX(Properties!A$1:CB$87,Formula!J32,6))</f>
        <v>16</v>
      </c>
      <c r="X32" s="60">
        <f>MIN(IF(INDEX(Properties!A$1:CB$87,Formula!B32,6)=0,10^6,INDEX(Properties!A$1:CB$87,Formula!B32,6)),IF(INDEX(Properties!A$1:CB$87,Formula!D32,6)=0,10^6,INDEX(Properties!A$1:CB$87,Formula!D32,6)),IF(INDEX(Properties!A$1:CB$87,Formula!F32,6)=0,10^6,INDEX(Properties!A$1:CB$87,Formula!F32,6)),IF(INDEX(Properties!A$1:CB$87,Formula!H32,6)=0,10^6,INDEX(Properties!A$1:CB$87,Formula!H32,6)),IF(INDEX(Properties!A$1:CB$87,Formula!J32,6)=0,10^6,INDEX(Properties!A$1:CB$87,Formula!J32,6)))</f>
        <v>12</v>
      </c>
      <c r="Y32" s="60">
        <f t="shared" si="3"/>
        <v>4</v>
      </c>
      <c r="Z32" s="72">
        <f>((Formula!C32)/(Formula!C32+Formula!E32+Formula!G32+Formula!I32+Formula!K32))*(INDEX(Properties!A$1:CB$87,Formula!B32,9))+((Formula!E32)/(Formula!C32+Formula!E32+Formula!G32+Formula!I32+Formula!K32))*(INDEX(Properties!A$1:CB$87,Formula!D32,9))+((Formula!G32)/(Formula!C32+Formula!E32+Formula!G32+Formula!I32+Formula!K32))*(INDEX(Properties!A$1:CB$87,Formula!F32,9))+((Formula!I32)/(Formula!C32+Formula!E32+Formula!G32+Formula!I32+Formula!K32))*(INDEX(Properties!A$1:CB$87,Formula!H32,9))+((Formula!K32)/(Formula!C32+Formula!E32+Formula!G32+Formula!I32+Formula!K32))*(INDEX(Properties!A$1:CB$87,Formula!J32,9))</f>
        <v>80.714285714285708</v>
      </c>
      <c r="AA32" s="72">
        <f>Formula!C32*(INDEX(Properties!A$1:CB$87,Formula!B32,9))+Formula!E32*(INDEX(Properties!A$1:CB$87,Formula!D32,9))+Formula!G32*(INDEX(Properties!A$1:CB$87,Formula!F32,9))+Formula!I32*(INDEX(Properties!A$1:CB$87,Formula!H32,9))+Formula!K32*(INDEX(Properties!A$1:CB$87,Formula!J32,9))</f>
        <v>565</v>
      </c>
      <c r="AB32" s="72">
        <f>VARP(IF(INDEX(Properties!A$1:CB$87,Formula!B32,9)&lt;&gt;"",INDEX(Properties!A$1:CB$87,Formula!B32,9)),IF(INDEX(Properties!A$1:CB$87,Formula!D32,9)&lt;&gt;"",INDEX(Properties!A$1:CB$87,Formula!D32,9)),IF(INDEX(Properties!A$1:CB$87,Formula!F32,9)&lt;&gt;"",INDEX(Properties!A$1:CB$87,Formula!F32,9)),IF(INDEX(Properties!A$1:CB$87,Formula!H32,9)&lt;&gt;"",INDEX(Properties!A$1:CB$87,Formula!H32,9)),IF(INDEX(Properties!A$1:CB$87,Formula!J32,9)&lt;&gt;"",INDEX(Properties!A$1:CB$87,Formula!J32,9)))</f>
        <v>1505.2</v>
      </c>
      <c r="AC32" s="72">
        <f>MAX(INDEX(Properties!A$1:CB$87,Formula!B32,9),INDEX(Properties!A$1:CB$87,Formula!D32,9),INDEX(Properties!A$1:CB$87,Formula!F32,9),INDEX(Properties!A$1:CB$87,Formula!H32,9),INDEX(Properties!A$1:CB$87,Formula!J32,9))</f>
        <v>87</v>
      </c>
      <c r="AD32" s="72">
        <f>MIN(IF(INDEX(Properties!A$1:CB$87,Formula!B32,9)=0,10^6,INDEX(Properties!A$1:CB$87,Formula!B32,9)),IF(INDEX(Properties!A$1:CB$87,Formula!D32,9)=0,10^6,INDEX(Properties!A$1:CB$87,Formula!D32,9)),IF(INDEX(Properties!A$1:CB$87,Formula!F32,9)=0,10^6,INDEX(Properties!A$1:CB$87,Formula!F32,9)),IF(INDEX(Properties!A$1:CB$87,Formula!H32,9)=0,10^6,INDEX(Properties!A$1:CB$87,Formula!H32,9)),IF(INDEX(Properties!A$1:CB$87,Formula!J32,9)=0,10^6,INDEX(Properties!A$1:CB$87,Formula!J32,9)))</f>
        <v>69</v>
      </c>
      <c r="AE32" s="72">
        <f t="shared" si="4"/>
        <v>18</v>
      </c>
      <c r="AF32" s="51">
        <f>((Formula!C32)/(Formula!C32+Formula!E32+Formula!G32+Formula!I32+Formula!K32))*(INDEX(Properties!A$1:CB$87,Formula!B32,10))+((Formula!E32)/(Formula!C32+Formula!E32+Formula!G32+Formula!I32+Formula!K32))*(INDEX(Properties!A$1:CB$87,Formula!D32,10))+((Formula!G32)/(Formula!C32+Formula!E32+Formula!G32+Formula!I32+Formula!K32))*(INDEX(Properties!A$1:CB$87,Formula!F32,10))+((Formula!I32)/(Formula!C32+Formula!E32+Formula!G32+Formula!I32+Formula!K32))*(INDEX(Properties!A$1:CB$87,Formula!H32,10))+((Formula!K32)/(Formula!C32+Formula!E32+Formula!G32+Formula!I32+Formula!K32))*(INDEX(Properties!A$1:CB$87,Formula!J32,10))</f>
        <v>6</v>
      </c>
      <c r="AG32" s="51">
        <f>Formula!C32*(INDEX(Properties!A$1:CB$87,Formula!B32,10))+Formula!E32*(INDEX(Properties!A$1:CB$87,Formula!D32,10))+Formula!G32*(INDEX(Properties!A$1:CB$87,Formula!F32,10))+Formula!I32*(INDEX(Properties!A$1:CB$87,Formula!H32,10))+Formula!K32*(INDEX(Properties!A$1:CB$87,Formula!J32,10))</f>
        <v>42</v>
      </c>
      <c r="AH32" s="51">
        <f>VARP(IF(INDEX(Properties!A$1:CB$87,Formula!B32,10)&lt;&gt;"",INDEX(Properties!A$1:CB$87,Formula!B32,10)),IF(INDEX(Properties!A$1:CB$87,Formula!D32,10)&lt;&gt;"",INDEX(Properties!A$1:CB$87,Formula!D32,10)),IF(INDEX(Properties!A$1:CB$87,Formula!F32,10)&lt;&gt;"",INDEX(Properties!A$1:CB$87,Formula!F32,10)),IF(INDEX(Properties!A$1:CB$87,Formula!H32,10)&lt;&gt;"",INDEX(Properties!A$1:CB$87,Formula!H32,10)),IF(INDEX(Properties!A$1:CB$87,Formula!J32,10)&lt;&gt;"",INDEX(Properties!A$1:CB$87,Formula!J32,10)))</f>
        <v>8.64</v>
      </c>
      <c r="AI32" s="51">
        <f>MAX(INDEX(Properties!A$1:CB$87,Formula!B32,10),INDEX(Properties!A$1:CB$87,Formula!D32,10),INDEX(Properties!A$1:CB$87,Formula!F32,10),INDEX(Properties!A$1:CB$87,Formula!H32,10),INDEX(Properties!A$1:CB$87,Formula!J32,10))</f>
        <v>7</v>
      </c>
      <c r="AJ32" s="51">
        <f>MIN(IF(INDEX(Properties!A$1:CB$87,Formula!B32,10)=0,10^6,INDEX(Properties!A$1:CB$87,Formula!B32,10)),IF(INDEX(Properties!A$1:CB$87,Formula!D32,10)=0,10^6,INDEX(Properties!A$1:CB$87,Formula!D32,10)),IF(INDEX(Properties!A$1:CB$87,Formula!F32,10)=0,10^6,INDEX(Properties!A$1:CB$87,Formula!F32,10)),IF(INDEX(Properties!A$1:CB$87,Formula!H32,10)=0,10^6,INDEX(Properties!A$1:CB$87,Formula!H32,10)),IF(INDEX(Properties!A$1:CB$87,Formula!J32,10)=0,10^6,INDEX(Properties!A$1:CB$87,Formula!J32,10)))</f>
        <v>4</v>
      </c>
      <c r="AK32" s="51">
        <f t="shared" si="5"/>
        <v>3</v>
      </c>
      <c r="AL32" s="57">
        <f>((Formula!C32)/(Formula!C32+Formula!E32+Formula!G32+Formula!I32+Formula!K32))*(INDEX(Properties!A$1:CB$87,Formula!B32,11))+((Formula!E32)/(Formula!C32+Formula!E32+Formula!G32+Formula!I32+Formula!K32))*(INDEX(Properties!A$1:CB$87,Formula!D32,11))+((Formula!G32)/(Formula!C32+Formula!E32+Formula!G32+Formula!I32+Formula!K32))*(INDEX(Properties!A$1:CB$87,Formula!F32,11))+((Formula!I32)/(Formula!C32+Formula!E32+Formula!G32+Formula!I32+Formula!K32))*(INDEX(Properties!A$1:CB$87,Formula!H32,11))+((Formula!K32)/(Formula!C32+Formula!E32+Formula!G32+Formula!I32+Formula!K32))*(INDEX(Properties!A$1:CB$87,Formula!J32,11))</f>
        <v>2</v>
      </c>
      <c r="AM32" s="57">
        <f>Formula!C32*(INDEX(Properties!A$1:CB$87,Formula!B32,11))+Formula!E32*(INDEX(Properties!A$1:CB$87,Formula!D32,11))+Formula!G32*(INDEX(Properties!A$1:CB$87,Formula!F32,11))+Formula!I32*(INDEX(Properties!A$1:CB$87,Formula!H32,11))+Formula!K32*(INDEX(Properties!A$1:CB$87,Formula!J32,11))</f>
        <v>14</v>
      </c>
      <c r="AN32" s="57">
        <f>VARP(IF(INDEX(Properties!A$1:CB$87,Formula!B32,11)&lt;&gt;"",INDEX(Properties!A$1:CB$87,Formula!B32,11)),IF(INDEX(Properties!A$1:CB$87,Formula!D32,11)&lt;&gt;"",INDEX(Properties!A$1:CB$87,Formula!D32,11)),IF(INDEX(Properties!A$1:CB$87,Formula!F32,11)&lt;&gt;"",INDEX(Properties!A$1:CB$87,Formula!F32,11)),IF(INDEX(Properties!A$1:CB$87,Formula!H32,11)&lt;&gt;"",INDEX(Properties!A$1:CB$87,Formula!H32,11)),IF(INDEX(Properties!A$1:CB$87,Formula!J32,11)&lt;&gt;"",INDEX(Properties!A$1:CB$87,Formula!J32,11)))</f>
        <v>0.96</v>
      </c>
      <c r="AO32" s="57">
        <f>MAX(INDEX(Properties!A$1:CB$87,Formula!B32,11),INDEX(Properties!A$1:CB$87,Formula!D32,11),INDEX(Properties!A$1:CB$87,Formula!F32,11),INDEX(Properties!A$1:CB$87,Formula!H32,11),INDEX(Properties!A$1:CB$87,Formula!J32,11))</f>
        <v>2</v>
      </c>
      <c r="AP32" s="57">
        <f>MIN(IF(Formula!B32=87,10^6,INDEX(Properties!A$1:CB$87,Formula!B32,11)),IF((Formula!D32)=87,10^6,INDEX(Properties!A$1:CB$87,Formula!D32,11)),IF((Formula!F32)=87,10^6,INDEX(Properties!A$1:CB$87,Formula!F32,11)),IF((Formula!H32)=87,10^6,INDEX(Properties!A$1:CB$87,Formula!H32,11)),IF(Formula!J32=87,10^6,INDEX(Properties!A$1:CB$87,Formula!J32,11)))</f>
        <v>2</v>
      </c>
      <c r="AQ32" s="57">
        <f t="shared" si="6"/>
        <v>0</v>
      </c>
      <c r="AR32" s="78">
        <f>((Formula!C32)/(Formula!C32+Formula!E32+Formula!G32+Formula!I32+Formula!K32))*(INDEX(Properties!A$1:CB$87,Formula!B32,12))+((Formula!E32)/(Formula!C32+Formula!E32+Formula!G32+Formula!I32+Formula!K32))*(INDEX(Properties!A$1:CB$87,Formula!D32,12))+((Formula!G32)/(Formula!C32+Formula!E32+Formula!G32+Formula!I32+Formula!K32))*(INDEX(Properties!A$1:CB$87,Formula!F32,12))+((Formula!I32)/(Formula!C32+Formula!E32+Formula!G32+Formula!I32+Formula!K32))*(INDEX(Properties!A$1:CB$87,Formula!H32,12))+((Formula!K32)/(Formula!C32+Formula!E32+Formula!G32+Formula!I32+Formula!K32))*(INDEX(Properties!A$1:CB$87,Formula!J32,12))</f>
        <v>2.5714285714285712</v>
      </c>
      <c r="AS32" s="78">
        <f>Formula!C32*(INDEX(Properties!A$1:CB$87,Formula!B32,12))+Formula!E32*(INDEX(Properties!A$1:CB$87,Formula!D32,12))+Formula!G32*(INDEX(Properties!A$1:CB$87,Formula!F32,12))+Formula!I32*(INDEX(Properties!A$1:CB$87,Formula!H32,12))+Formula!K32*(INDEX(Properties!A$1:CB$87,Formula!J32,12))</f>
        <v>18</v>
      </c>
      <c r="AT32" s="78">
        <f>VARP(IF(INDEX(Properties!A$1:CB$87,Formula!B32,12)&lt;&gt;"",INDEX(Properties!A$1:CB$87,Formula!B32,12)),IF(INDEX(Properties!A$1:CB$87,Formula!D32,12)&lt;&gt;"",INDEX(Properties!A$1:CB$87,Formula!D32,12)),IF(INDEX(Properties!A$1:CB$87,Formula!F32,12)&lt;&gt;"",INDEX(Properties!A$1:CB$87,Formula!F32,12)),IF(INDEX(Properties!A$1:CB$87,Formula!H32,12)&lt;&gt;"",INDEX(Properties!A$1:CB$87,Formula!H32,12)),IF(INDEX(Properties!A$1:CB$87,Formula!J32,12)&lt;&gt;"",INDEX(Properties!A$1:CB$87,Formula!J32,12)))</f>
        <v>2.56</v>
      </c>
      <c r="AU32" s="78">
        <f>MAX(INDEX(Properties!A$1:CB$87,Formula!B32,12),INDEX(Properties!A$1:CB$87,Formula!D32,12),INDEX(Properties!A$1:CB$87,Formula!F32,12),INDEX(Properties!A$1:CB$87,Formula!H32,12),INDEX(Properties!A$1:CB$87,Formula!J32,12))</f>
        <v>4</v>
      </c>
      <c r="AV32" s="78">
        <f>MIN(IF(Formula!B32=87,10^6,INDEX(Properties!A$1:CB$87,Formula!B32,12)),IF((Formula!D32)=87,10^6,INDEX(Properties!A$1:CB$87,Formula!D32,12)),IF((Formula!F32)=87,10^6,INDEX(Properties!A$1:CB$87,Formula!F32,12)),IF((Formula!H32)=87,10^6,INDEX(Properties!A$1:CB$87,Formula!H32,12)),IF(Formula!J32=87,10^6,INDEX(Properties!A$1:CB$87,Formula!J32,12)))</f>
        <v>0</v>
      </c>
      <c r="AW32" s="78">
        <f t="shared" si="7"/>
        <v>4</v>
      </c>
      <c r="AX32" s="45">
        <f>((Formula!C32)/(Formula!C32+Formula!E32+Formula!G32+Formula!I32+Formula!K32))*(INDEX(Properties!A$1:CB$87,Formula!B32,13))+((Formula!E32)/(Formula!C32+Formula!E32+Formula!G32+Formula!I32+Formula!K32))*(INDEX(Properties!A$1:CB$87,Formula!D32,13))+((Formula!G32)/(Formula!C32+Formula!E32+Formula!G32+Formula!I32+Formula!K32))*(INDEX(Properties!A$1:CB$87,Formula!F32,13))+((Formula!I32)/(Formula!C32+Formula!E32+Formula!G32+Formula!I32+Formula!K32))*(INDEX(Properties!A$1:CB$87,Formula!H32,13))+((Formula!K32)/(Formula!C32+Formula!E32+Formula!G32+Formula!I32+Formula!K32))*(INDEX(Properties!A$1:CB$87,Formula!J32,13))</f>
        <v>4.2857142857142847</v>
      </c>
      <c r="AY32" s="45">
        <f>Formula!C32*(INDEX(Properties!A$1:CB$87,Formula!B32,13))+Formula!E32*(INDEX(Properties!A$1:CB$87,Formula!D32,13))+Formula!G32*(INDEX(Properties!A$1:CB$87,Formula!F32,13))+Formula!I32*(INDEX(Properties!A$1:CB$87,Formula!H32,13))+Formula!K32*(INDEX(Properties!A$1:CB$87,Formula!J32,13))</f>
        <v>30</v>
      </c>
      <c r="AZ32" s="45">
        <f>VARP(IF(INDEX(Properties!A$1:CB$87,Formula!B32,13)&lt;&gt;"",INDEX(Properties!A$1:CB$87,Formula!B32,13)),IF(INDEX(Properties!A$1:CB$87,Formula!D32,13)&lt;&gt;"",INDEX(Properties!A$1:CB$87,Formula!D32,13)),IF(INDEX(Properties!A$1:CB$87,Formula!F32,13)&lt;&gt;"",INDEX(Properties!A$1:CB$87,Formula!F32,13)),IF(INDEX(Properties!A$1:CB$87,Formula!H32,13)&lt;&gt;"",INDEX(Properties!A$1:CB$87,Formula!H32,13)),IF(INDEX(Properties!A$1:CB$87,Formula!J32,13)&lt;&gt;"",INDEX(Properties!A$1:CB$87,Formula!J32,13)))</f>
        <v>24</v>
      </c>
      <c r="BA32" s="45">
        <f>MAX(INDEX(Properties!A$1:CB$87,Formula!B32,13),INDEX(Properties!A$1:CB$87,Formula!D32,13),INDEX(Properties!A$1:CB$87,Formula!F32,13),INDEX(Properties!A$1:CB$87,Formula!H32,13),INDEX(Properties!A$1:CB$87,Formula!J32,13))</f>
        <v>10</v>
      </c>
      <c r="BB32" s="45">
        <f>MIN(IF(Formula!B32=87,10^6,INDEX(Properties!A$1:CB$87,Formula!B32,13)),IF((Formula!D32)=87,10^6,INDEX(Properties!A$1:CB$87,Formula!D32,13)),IF((Formula!F32)=87,10^6,INDEX(Properties!A$1:CB$87,Formula!F32,13)),IF((Formula!H32)=87,10^6,INDEX(Properties!A$1:CB$87,Formula!H32,13)),IF(Formula!J32=87,10^6,INDEX(Properties!A$1:CB$87,Formula!J32,13)))</f>
        <v>0</v>
      </c>
      <c r="BC32" s="45">
        <f t="shared" si="8"/>
        <v>10</v>
      </c>
      <c r="BD32" s="63">
        <f>((Formula!C32)/(Formula!C32+Formula!E32+Formula!G32+Formula!I32+Formula!K32))*(INDEX(Properties!A$1:CB$87,Formula!B32,14))+((Formula!E32)/(Formula!C32+Formula!E32+Formula!G32+Formula!I32+Formula!K32))*(INDEX(Properties!A$1:CB$87,Formula!D32,14))+((Formula!G32)/(Formula!C32+Formula!E32+Formula!G32+Formula!I32+Formula!K32))*(INDEX(Properties!A$1:CB$87,Formula!F32,14))+((Formula!I32)/(Formula!C32+Formula!E32+Formula!G32+Formula!I32+Formula!K32))*(INDEX(Properties!A$1:CB$87,Formula!H32,14))+((Formula!K32)/(Formula!C32+Formula!E32+Formula!G32+Formula!I32+Formula!K32))*(INDEX(Properties!A$1:CB$87,Formula!J32,14))</f>
        <v>0</v>
      </c>
      <c r="BE32" s="63">
        <f>Formula!C32*(INDEX(Properties!A$1:CB$87,Formula!B32,14))+Formula!E32*(INDEX(Properties!A$1:CB$87,Formula!D32,14))+Formula!G32*(INDEX(Properties!A$1:CB$87,Formula!F32,14))+Formula!I32*(INDEX(Properties!A$1:CB$87,Formula!H32,14))+Formula!K32*(INDEX(Properties!A$1:CB$87,Formula!J32,14))</f>
        <v>0</v>
      </c>
      <c r="BF32" s="63">
        <f>VARP(IF(INDEX(Properties!A$1:CB$87,Formula!B32,14)&lt;&gt;"",INDEX(Properties!A$1:CB$87,Formula!B32,14)),IF(INDEX(Properties!A$1:CB$87,Formula!D32,14)&lt;&gt;"",INDEX(Properties!A$1:CB$87,Formula!D32,14)),IF(INDEX(Properties!A$1:CB$87,Formula!F32,14)&lt;&gt;"",INDEX(Properties!A$1:CB$87,Formula!F32,14)),IF(INDEX(Properties!A$1:CB$87,Formula!H32,14)&lt;&gt;"",INDEX(Properties!A$1:CB$87,Formula!H32,14)),IF(INDEX(Properties!A$1:CB$87,Formula!J32,14)&lt;&gt;"",INDEX(Properties!A$1:CB$87,Formula!J32,14)))</f>
        <v>0</v>
      </c>
      <c r="BG32" s="63">
        <f>MAX(INDEX(Properties!A$1:CB$87,Formula!B32,14),INDEX(Properties!A$1:CB$87,Formula!D32,14),INDEX(Properties!A$1:CB$87,Formula!F32,14),INDEX(Properties!A$1:CB$87,Formula!H32,14),INDEX(Properties!A$1:CB$87,Formula!J32,14))</f>
        <v>0</v>
      </c>
      <c r="BH32" s="63">
        <f>MIN(IF(Formula!B32=87,10^6,INDEX(Properties!A$1:CB$87,Formula!B32,14)),IF((Formula!D32)=87,10^6,INDEX(Properties!A$1:CB$87,Formula!D32,14)),IF((Formula!F32)=87,10^6,INDEX(Properties!A$1:CB$87,Formula!F32,14)),IF((Formula!H32)=87,10^6,INDEX(Properties!A$1:CB$87,Formula!H32,14)),IF(Formula!J32=87,10^6,INDEX(Properties!A$1:CB$87,Formula!J32,14)))</f>
        <v>0</v>
      </c>
      <c r="BI32" s="63">
        <f t="shared" si="9"/>
        <v>0</v>
      </c>
      <c r="BJ32" s="75">
        <f>((Formula!C32)/(Formula!C32+Formula!E32+Formula!G32+Formula!I32+Formula!K32))*(INDEX(Properties!A$1:CB$87,Formula!B32,19))+((Formula!E32)/(Formula!C32+Formula!E32+Formula!G32+Formula!I32+Formula!K32))*(INDEX(Properties!A$1:CB$87,Formula!D32,19))+((Formula!G32)/(Formula!C32+Formula!E32+Formula!G32+Formula!I32+Formula!K32))*(INDEX(Properties!A$1:CB$87,Formula!F32,19))+((Formula!I32)/(Formula!C32+Formula!E32+Formula!G32+Formula!I32+Formula!K32))*(INDEX(Properties!A$1:CB$87,Formula!H32,19))+((Formula!K32)/(Formula!C32+Formula!E32+Formula!G32+Formula!I32+Formula!K32))*(INDEX(Properties!A$1:CB$87,Formula!J32,19))</f>
        <v>8.8571428571428577</v>
      </c>
      <c r="BK32" s="75">
        <f>Formula!C32*(INDEX(Properties!A$1:CB$87,Formula!B32,19))+Formula!E32*(INDEX(Properties!A$1:CB$87,Formula!D32,19))+Formula!G32*(INDEX(Properties!A$1:CB$87,Formula!F32,19))+Formula!I32*(INDEX(Properties!A$1:CB$87,Formula!H32,19))+Formula!K32*(INDEX(Properties!A$1:CB$87,Formula!J32,19))</f>
        <v>62</v>
      </c>
      <c r="BL32" s="75">
        <f>VARP(IF(INDEX(Properties!A$1:CB$87,Formula!B32,19)&lt;&gt;"",INDEX(Properties!A$1:CB$87,Formula!B32,19)),IF(INDEX(Properties!A$1:CB$87,Formula!D32,19)&lt;&gt;"",INDEX(Properties!A$1:CB$87,Formula!D32,19)),IF(INDEX(Properties!A$1:CB$87,Formula!F32,19)&lt;&gt;"",INDEX(Properties!A$1:CB$87,Formula!F32,19)),IF(INDEX(Properties!A$1:CB$87,Formula!H32,19)&lt;&gt;"",INDEX(Properties!A$1:CB$87,Formula!H32,19)),IF(INDEX(Properties!A$1:CB$87,Formula!J32,19)&lt;&gt;"",INDEX(Properties!A$1:CB$87,Formula!J32,19)))</f>
        <v>34.24</v>
      </c>
      <c r="BM32" s="75">
        <f>MAX(INDEX(Properties!A$1:CB$87,Formula!B32,19),INDEX(Properties!A$1:CB$87,Formula!D32,19),INDEX(Properties!A$1:CB$87,Formula!F32,19),INDEX(Properties!A$1:CB$87,Formula!H32,19),INDEX(Properties!A$1:CB$87,Formula!J32,19))</f>
        <v>14</v>
      </c>
      <c r="BN32" s="75">
        <f>MIN(IF(INDEX(Properties!A$1:CB$87,Formula!B32,19)=0,10^6,INDEX(Properties!A$1:CB$87,Formula!B32,19)),IF(INDEX(Properties!A$1:CB$87,Formula!D32,19)=0,10^6,INDEX(Properties!A$1:CB$87,Formula!D32,19)),IF(INDEX(Properties!A$1:CB$87,Formula!F32,19)=0,10^6,INDEX(Properties!A$1:CB$87,Formula!F32,19)),IF(INDEX(Properties!A$1:CB$87,Formula!H32,19)=0,10^6,INDEX(Properties!A$1:CB$87,Formula!H32,19)),IF(INDEX(Properties!A$1:CB$87,Formula!J32,19)=0,10^6,INDEX(Properties!A$1:CB$87,Formula!J32,19)))</f>
        <v>6</v>
      </c>
      <c r="BO32" s="75">
        <f t="shared" si="10"/>
        <v>8</v>
      </c>
      <c r="BP32" s="48">
        <f>((Formula!C32)/(Formula!C32+Formula!E32+Formula!G32+Formula!I32+Formula!K32))*(INDEX(Properties!A$1:CB$87,Formula!B32,20))+((Formula!E32)/(Formula!C32+Formula!E32+Formula!G32+Formula!I32+Formula!K32))*(INDEX(Properties!A$1:CB$87,Formula!D32,20))+((Formula!G32)/(Formula!C32+Formula!E32+Formula!G32+Formula!I32+Formula!K32))*(INDEX(Properties!A$1:CB$87,Formula!F32,20))+((Formula!I32)/(Formula!C32+Formula!E32+Formula!G32+Formula!I32+Formula!K32))*(INDEX(Properties!A$1:CB$87,Formula!H32,20))+((Formula!K32)/(Formula!C32+Formula!E32+Formula!G32+Formula!I32+Formula!K32))*(INDEX(Properties!A$1:CB$87,Formula!J32,20))</f>
        <v>4.5714285714285712</v>
      </c>
      <c r="BQ32" s="48">
        <f>Formula!C32*(INDEX(Properties!A$1:CB$87,Formula!B32,20))+Formula!E32*(INDEX(Properties!A$1:CB$87,Formula!D32,20))+Formula!G32*(INDEX(Properties!A$1:CB$87,Formula!F32,20))+Formula!I32*(INDEX(Properties!A$1:CB$87,Formula!H32,20))+Formula!K32*(INDEX(Properties!A$1:CB$87,Formula!J32,20))</f>
        <v>32</v>
      </c>
      <c r="BR32" s="48">
        <f>VARP(IF(INDEX(Properties!A$1:CB$87,Formula!B32,20)&lt;&gt;"",INDEX(Properties!A$1:CB$87,Formula!B32,20)),IF(INDEX(Properties!A$1:CB$87,Formula!D32,20)&lt;&gt;"",INDEX(Properties!A$1:CB$87,Formula!D32,20)),IF(INDEX(Properties!A$1:CB$87,Formula!F32,20)&lt;&gt;"",INDEX(Properties!A$1:CB$87,Formula!F32,20)),IF(INDEX(Properties!A$1:CB$87,Formula!H32,20)&lt;&gt;"",INDEX(Properties!A$1:CB$87,Formula!H32,20)),IF(INDEX(Properties!A$1:CB$87,Formula!J32,20)&lt;&gt;"",INDEX(Properties!A$1:CB$87,Formula!J32,20)))</f>
        <v>5.44</v>
      </c>
      <c r="BS32" s="48">
        <f>MAX(INDEX(Properties!A$1:CB$87,Formula!B32,20),INDEX(Properties!A$1:CB$87,Formula!D32,20),INDEX(Properties!A$1:CB$87,Formula!F32,20),INDEX(Properties!A$1:CB$87,Formula!H32,20),INDEX(Properties!A$1:CB$87,Formula!J32,20))</f>
        <v>6</v>
      </c>
      <c r="BT32" s="48">
        <f>MIN(IF(INDEX(Properties!A$1:CB$87,Formula!B32,20)=0,10^6,INDEX(Properties!A$1:CB$87,Formula!B32,20)),IF(INDEX(Properties!A$1:CB$87,Formula!D32,20)=0,10^6,INDEX(Properties!A$1:CB$87,Formula!D32,20)),IF(INDEX(Properties!A$1:CB$87,Formula!F32,20)=0,10^6,INDEX(Properties!A$1:CB$87,Formula!F32,20)),IF(INDEX(Properties!A$1:CB$87,Formula!H32,20)=0,10^6,INDEX(Properties!A$1:CB$87,Formula!H32,20)),IF(INDEX(Properties!A$1:CB$87,Formula!J32,20)=0,10^6,INDEX(Properties!A$1:CB$87,Formula!J32,20)))</f>
        <v>2</v>
      </c>
      <c r="BU32" s="48">
        <f t="shared" si="11"/>
        <v>4</v>
      </c>
      <c r="BV32" s="66">
        <f>((Formula!C32)/(Formula!C32+Formula!E32+Formula!G32+Formula!I32+Formula!K32))*(INDEX(Properties!A$1:CB$87,Formula!B32,21))+((Formula!E32)/(Formula!C32+Formula!E32+Formula!G32+Formula!I32+Formula!K32))*(INDEX(Properties!A$1:CB$87,Formula!D32,21))+((Formula!G32)/(Formula!C32+Formula!E32+Formula!G32+Formula!I32+Formula!K32))*(INDEX(Properties!A$1:CB$87,Formula!F32,21))+((Formula!I32)/(Formula!C32+Formula!E32+Formula!G32+Formula!I32+Formula!K32))*(INDEX(Properties!A$1:CB$87,Formula!H32,21))+((Formula!K32)/(Formula!C32+Formula!E32+Formula!G32+Formula!I32+Formula!K32))*(INDEX(Properties!A$1:CB$87,Formula!J32,21))</f>
        <v>4.2857142857142856</v>
      </c>
      <c r="BW32" s="66">
        <f>Formula!C32*(INDEX(Properties!A$1:CB$87,Formula!B32,21))+Formula!E32*(INDEX(Properties!A$1:CB$87,Formula!D32,21))+Formula!G32*(INDEX(Properties!A$1:CB$87,Formula!F32,21))+Formula!I32*(INDEX(Properties!A$1:CB$87,Formula!H32,21))+Formula!K32*(INDEX(Properties!A$1:CB$87,Formula!J32,21))</f>
        <v>30</v>
      </c>
      <c r="BX32" s="66">
        <f>VARP(IF(INDEX(Properties!A$1:CB$87,Formula!B32,21)&lt;&gt;"",INDEX(Properties!A$1:CB$87,Formula!B32,21)),IF(INDEX(Properties!A$1:CB$87,Formula!D32,21)&lt;&gt;"",INDEX(Properties!A$1:CB$87,Formula!D32,21)),IF(INDEX(Properties!A$1:CB$87,Formula!F32,21)&lt;&gt;"",INDEX(Properties!A$1:CB$87,Formula!F32,21)),IF(INDEX(Properties!A$1:CB$87,Formula!H32,21)&lt;&gt;"",INDEX(Properties!A$1:CB$87,Formula!H32,21)),IF(INDEX(Properties!A$1:CB$87,Formula!J32,21)&lt;&gt;"",INDEX(Properties!A$1:CB$87,Formula!J32,21)))</f>
        <v>5.76</v>
      </c>
      <c r="BY32" s="66">
        <f>MAX(INDEX(Properties!A$1:CB$87,Formula!B32,21),INDEX(Properties!A$1:CB$87,Formula!D32,21),INDEX(Properties!A$1:CB$87,Formula!F32,21),INDEX(Properties!A$1:CB$87,Formula!H32,21),INDEX(Properties!A$1:CB$87,Formula!J32,21))</f>
        <v>6</v>
      </c>
      <c r="BZ32" s="66">
        <f>MIN(IF(INDEX(Properties!A$1:CB$87,Formula!B32,21)=0,10^6,INDEX(Properties!A$1:CB$87,Formula!B32,21)),IF(INDEX(Properties!A$1:CB$87,Formula!D32,21)=0,10^6,INDEX(Properties!A$1:CB$87,Formula!D32,21)),IF(INDEX(Properties!A$1:CB$87,Formula!F32,21)=0,10^6,INDEX(Properties!A$1:CB$87,Formula!F32,21)),IF(INDEX(Properties!A$1:CB$87,Formula!H32,21)=0,10^6,INDEX(Properties!A$1:CB$87,Formula!H32,21)),IF(INDEX(Properties!A$1:CB$87,Formula!J32,21)=0,10^6,INDEX(Properties!A$1:CB$87,Formula!J32,21)))</f>
        <v>1</v>
      </c>
      <c r="CA32" s="66">
        <f t="shared" si="12"/>
        <v>5</v>
      </c>
      <c r="CB32" s="81">
        <f>((Formula!C32)/(Formula!C32+Formula!E32+Formula!G32+Formula!I32+Formula!K32))*(INDEX(Properties!A$1:CB$87,Formula!B32,23))+((Formula!E32)/(Formula!C32+Formula!E32+Formula!G32+Formula!I32+Formula!K32))*(INDEX(Properties!A$1:CB$87,Formula!D32,23))+((Formula!G32)/(Formula!C32+Formula!E32+Formula!G32+Formula!I32+Formula!K32))*(INDEX(Properties!A$1:CB$87,Formula!F32,23))+((Formula!I32)/(Formula!C32+Formula!E32+Formula!G32+Formula!I32+Formula!K32))*(INDEX(Properties!A$1:CB$87,Formula!H32,23))+((Formula!K32)/(Formula!C32+Formula!E32+Formula!G32+Formula!I32+Formula!K32))*(INDEX(Properties!A$1:CB$87,Formula!J32,23))</f>
        <v>1.84</v>
      </c>
      <c r="CC32" s="81">
        <f>Formula!C32*(INDEX(Properties!A$1:CB$87,Formula!B32,23))+Formula!E32*(INDEX(Properties!A$1:CB$87,Formula!D32,23))+Formula!G32*(INDEX(Properties!A$1:CB$87,Formula!F32,23))+Formula!I32*(INDEX(Properties!A$1:CB$87,Formula!H32,23))+Formula!K32*(INDEX(Properties!A$1:CB$87,Formula!J32,23))</f>
        <v>12.88</v>
      </c>
      <c r="CD32" s="81">
        <f>VARP(IF(INDEX(Properties!A$1:CB$87,Formula!B32,23)&lt;&gt;"",INDEX(Properties!A$1:CB$87,Formula!B32,23)),IF(INDEX(Properties!A$1:CB$87,Formula!D32,23)&lt;&gt;"",INDEX(Properties!A$1:CB$87,Formula!D32,23)),IF(INDEX(Properties!A$1:CB$87,Formula!F32,23)&lt;&gt;"",INDEX(Properties!A$1:CB$87,Formula!F32,23)),IF(INDEX(Properties!A$1:CB$87,Formula!H32,23)&lt;&gt;"",INDEX(Properties!A$1:CB$87,Formula!H32,23)),IF(INDEX(Properties!A$1:CB$87,Formula!J32,23)&lt;&gt;"",INDEX(Properties!A$1:CB$87,Formula!J32,23)))</f>
        <v>4.2933759999999985</v>
      </c>
      <c r="CE32" s="81">
        <f>MAX(INDEX(Properties!A$1:CB$87,Formula!B32,23),INDEX(Properties!A$1:CB$87,Formula!D32,23),INDEX(Properties!A$1:CB$87,Formula!F32,23),INDEX(Properties!A$1:CB$87,Formula!H32,23),INDEX(Properties!A$1:CB$87,Formula!J32,23))</f>
        <v>4.4400000000000004</v>
      </c>
      <c r="CF32" s="81">
        <f>MIN(IF(Formula!B32=87,10^6,INDEX(Properties!A$1:CB$87,Formula!B32,23)),IF((Formula!D32)=87,10^6,INDEX(Properties!A$1:CB$87,Formula!D32,23)),IF((Formula!F32)=87,10^6,INDEX(Properties!A$1:CB$87,Formula!F32,23)),IF((Formula!H32)=87,10^6,INDEX(Properties!A$1:CB$87,Formula!H32,23)),IF(Formula!J32=87,10^6,INDEX(Properties!A$1:CB$87,Formula!J32,23)))</f>
        <v>0</v>
      </c>
      <c r="CG32" s="81">
        <f t="shared" si="13"/>
        <v>4.4400000000000004</v>
      </c>
      <c r="CH32" s="39">
        <f>((Formula!C32)/(Formula!C32+Formula!E32+Formula!G32+Formula!I32+Formula!K32))*(INDEX(Properties!A$1:CB$87,Formula!B32,26))+((Formula!E32)/(Formula!C32+Formula!E32+Formula!G32+Formula!I32+Formula!K32))*(INDEX(Properties!A$1:CB$87,Formula!D32,26))+((Formula!G32)/(Formula!C32+Formula!E32+Formula!G32+Formula!I32+Formula!K32))*(INDEX(Properties!A$1:CB$87,Formula!F32,26))+((Formula!I32)/(Formula!C32+Formula!E32+Formula!G32+Formula!I32+Formula!K32))*(INDEX(Properties!A$1:CB$87,Formula!H32,26))+((Formula!K32)/(Formula!C32+Formula!E32+Formula!G32+Formula!I32+Formula!K32))*(INDEX(Properties!A$1:CB$87,Formula!J32,26))</f>
        <v>11.594314285714285</v>
      </c>
      <c r="CI32" s="39">
        <f>Formula!C32*(INDEX(Properties!A$1:CB$87,Formula!B32,26))+Formula!E32*(INDEX(Properties!A$1:CB$87,Formula!D32,26))+Formula!G32*(INDEX(Properties!A$1:CB$87,Formula!F32,26))+Formula!I32*(INDEX(Properties!A$1:CB$87,Formula!H32,26))+Formula!K32*(INDEX(Properties!A$1:CB$87,Formula!J32,26))</f>
        <v>81.160200000000003</v>
      </c>
      <c r="CJ32" s="39">
        <f>VARP(IF(INDEX(Properties!A$1:CB$87,Formula!B32,26)&lt;&gt;"",INDEX(Properties!A$1:CB$87,Formula!B32,26)),IF(INDEX(Properties!A$1:CB$87,Formula!D32,26)&lt;&gt;"",INDEX(Properties!A$1:CB$87,Formula!D32,26)),IF(INDEX(Properties!A$1:CB$87,Formula!F32,26)&lt;&gt;"",INDEX(Properties!A$1:CB$87,Formula!F32,26)),IF(INDEX(Properties!A$1:CB$87,Formula!H32,26)&lt;&gt;"",INDEX(Properties!A$1:CB$87,Formula!H32,26)),IF(INDEX(Properties!A$1:CB$87,Formula!J32,26)&lt;&gt;"",INDEX(Properties!A$1:CB$87,Formula!J32,26)))</f>
        <v>28.999504446400014</v>
      </c>
      <c r="CK32" s="39">
        <f>MAX(INDEX(Properties!A$1:CB$87,Formula!B32,26),INDEX(Properties!A$1:CB$87,Formula!D32,26),INDEX(Properties!A$1:CB$87,Formula!F32,26),INDEX(Properties!A$1:CB$87,Formula!H32,26),INDEX(Properties!A$1:CB$87,Formula!J32,26))</f>
        <v>13.6181</v>
      </c>
      <c r="CL32" s="39">
        <f>MIN(IF(INDEX(Properties!A$1:CB$87,Formula!B32,26)=0,10^6,INDEX(Properties!A$1:CB$87,Formula!B32,26)),IF(INDEX(Properties!A$1:CB$87,Formula!D32,26)=0,10^6,INDEX(Properties!A$1:CB$87,Formula!D32,26)),IF(INDEX(Properties!A$1:CB$87,Formula!F32,26)=0,10^6,INDEX(Properties!A$1:CB$87,Formula!F32,26)),IF(INDEX(Properties!A$1:CB$87,Formula!H32,26)=0,10^6,INDEX(Properties!A$1:CB$87,Formula!H32,26)),IF(INDEX(Properties!A$1:CB$87,Formula!J32,26)=0,10^6,INDEX(Properties!A$1:CB$87,Formula!J32,26)))</f>
        <v>7.8994</v>
      </c>
      <c r="CM32" s="39">
        <f t="shared" si="14"/>
        <v>5.7187000000000001</v>
      </c>
      <c r="CN32" s="54">
        <f>((Formula!C32)/(Formula!C32+Formula!E32+Formula!G32+Formula!I32+Formula!K32))*(INDEX(Properties!A$1:CB$87,Formula!B32,30))+((Formula!E32)/(Formula!C32+Formula!E32+Formula!G32+Formula!I32+Formula!K32))*(INDEX(Properties!A$1:CB$87,Formula!D32,30))+((Formula!G32)/(Formula!C32+Formula!E32+Formula!G32+Formula!I32+Formula!K32))*(INDEX(Properties!A$1:CB$87,Formula!F32,30))+((Formula!I32)/(Formula!C32+Formula!E32+Formula!G32+Formula!I32+Formula!K32))*(INDEX(Properties!A$1:CB$87,Formula!H32,30))+((Formula!K32)/(Formula!C32+Formula!E32+Formula!G32+Formula!I32+Formula!K32))*(INDEX(Properties!A$1:CB$87,Formula!J32,30))</f>
        <v>2.7242857142857142</v>
      </c>
      <c r="CO32" s="54">
        <f>Formula!C32*(INDEX(Properties!A$1:CB$87,Formula!B32,30))+Formula!E32*(INDEX(Properties!A$1:CB$87,Formula!D32,30))+Formula!G32*(INDEX(Properties!A$1:CB$87,Formula!F32,30))+Formula!I32*(INDEX(Properties!A$1:CB$87,Formula!H32,30))+Formula!K32*(INDEX(Properties!A$1:CB$87,Formula!J32,30))</f>
        <v>19.07</v>
      </c>
      <c r="CP32" s="54">
        <f>VARP(IF(INDEX(Properties!A$1:CB$87,Formula!B32,30)&lt;&gt;"",INDEX(Properties!A$1:CB$87,Formula!B32,30)),IF(INDEX(Properties!A$1:CB$87,Formula!D32,30)&lt;&gt;"",INDEX(Properties!A$1:CB$87,Formula!D32,30)),IF(INDEX(Properties!A$1:CB$87,Formula!F32,30)&lt;&gt;"",INDEX(Properties!A$1:CB$87,Formula!F32,30)),IF(INDEX(Properties!A$1:CB$87,Formula!H32,30)&lt;&gt;"",INDEX(Properties!A$1:CB$87,Formula!H32,30)),IF(INDEX(Properties!A$1:CB$87,Formula!J32,30)&lt;&gt;"",INDEX(Properties!A$1:CB$87,Formula!J32,30)))</f>
        <v>1.7028399999999992</v>
      </c>
      <c r="CQ32" s="54">
        <f>MAX(INDEX(Properties!A$1:CB$87,Formula!B32,30),INDEX(Properties!A$1:CB$87,Formula!D32,30),INDEX(Properties!A$1:CB$87,Formula!F32,30),INDEX(Properties!A$1:CB$87,Formula!H32,30),INDEX(Properties!A$1:CB$87,Formula!J32,30))</f>
        <v>3.44</v>
      </c>
      <c r="CR32" s="54">
        <f>MIN(IF(INDEX(Properties!A$1:CB$87,Formula!B32,30)=0,10^6,INDEX(Properties!A$1:CB$87,Formula!B32,30)),IF(INDEX(Properties!A$1:CB$87,Formula!D32,30)=0,10^6,INDEX(Properties!A$1:CB$87,Formula!D32,30)),IF(INDEX(Properties!A$1:CB$87,Formula!F32,30)=0,10^6,INDEX(Properties!A$1:CB$87,Formula!F32,30)),IF(INDEX(Properties!A$1:CB$87,Formula!H32,30)=0,10^6,INDEX(Properties!A$1:CB$87,Formula!H32,30)),IF(INDEX(Properties!A$1:CB$87,Formula!J32,30)=0,10^6,INDEX(Properties!A$1:CB$87,Formula!J32,30)))</f>
        <v>1.65</v>
      </c>
      <c r="CS32" s="54">
        <f t="shared" si="15"/>
        <v>1.79</v>
      </c>
      <c r="CT32" s="69">
        <f>((Formula!C32)/(Formula!C32+Formula!E32+Formula!G32+Formula!I32+Formula!K32))*(INDEX(Properties!A$1:CB$87,Formula!B32,31))+((Formula!E32)/(Formula!C32+Formula!E32+Formula!G32+Formula!I32+Formula!K32))*(INDEX(Properties!A$1:CB$87,Formula!D32,31))+((Formula!G32)/(Formula!C32+Formula!E32+Formula!G32+Formula!I32+Formula!K32))*(INDEX(Properties!A$1:CB$87,Formula!F32,31))+((Formula!I32)/(Formula!C32+Formula!E32+Formula!G32+Formula!I32+Formula!K32))*(INDEX(Properties!A$1:CB$87,Formula!H32,31))+((Formula!K32)/(Formula!C32+Formula!E32+Formula!G32+Formula!I32+Formula!K32))*(INDEX(Properties!A$1:CB$87,Formula!J32,31))</f>
        <v>2.5928571428571425</v>
      </c>
      <c r="CU32" s="69">
        <f>Formula!C32*(INDEX(Properties!A$1:CB$87,Formula!B32,31))+Formula!E32*(INDEX(Properties!A$1:CB$87,Formula!D32,31))+Formula!G32*(INDEX(Properties!A$1:CB$87,Formula!F32,31))+Formula!I32*(INDEX(Properties!A$1:CB$87,Formula!H32,31))+Formula!K32*(INDEX(Properties!A$1:CB$87,Formula!J32,31))</f>
        <v>18.149999999999999</v>
      </c>
      <c r="CV32" s="69">
        <f>VARP(IF(INDEX(Properties!A$1:CB$87,Formula!B32,31)&lt;&gt;"",INDEX(Properties!A$1:CB$87,Formula!B32,31)),IF(INDEX(Properties!A$1:CB$87,Formula!D32,31)&lt;&gt;"",INDEX(Properties!A$1:CB$87,Formula!D32,31)),IF(INDEX(Properties!A$1:CB$87,Formula!F32,31)&lt;&gt;"",INDEX(Properties!A$1:CB$87,Formula!F32,31)),IF(INDEX(Properties!A$1:CB$87,Formula!H32,31)&lt;&gt;"",INDEX(Properties!A$1:CB$87,Formula!H32,31)),IF(INDEX(Properties!A$1:CB$87,Formula!J32,31)&lt;&gt;"",INDEX(Properties!A$1:CB$87,Formula!J32,31)))</f>
        <v>1.5887200000000001</v>
      </c>
      <c r="CW32" s="69">
        <f>MAX(INDEX(Properties!A$1:CB$87,Formula!B32,31),INDEX(Properties!A$1:CB$87,Formula!D32,31),INDEX(Properties!A$1:CB$87,Formula!F32,31),INDEX(Properties!A$1:CB$87,Formula!H32,31),INDEX(Properties!A$1:CB$87,Formula!J32,31))</f>
        <v>3.32</v>
      </c>
      <c r="CX32" s="69">
        <f>MIN(IF(INDEX(Properties!A$1:CB$87,Formula!B32,31)=0,10^6,INDEX(Properties!A$1:CB$87,Formula!B32,31)),IF(INDEX(Properties!A$1:CB$87,Formula!D32,31)=0,10^6,INDEX(Properties!A$1:CB$87,Formula!D32,31)),IF(INDEX(Properties!A$1:CB$87,Formula!F32,31)=0,10^6,INDEX(Properties!A$1:CB$87,Formula!F32,31)),IF(INDEX(Properties!A$1:CB$87,Formula!H32,31)=0,10^6,INDEX(Properties!A$1:CB$87,Formula!H32,31)),IF(INDEX(Properties!A$1:CB$87,Formula!J32,31)=0,10^6,INDEX(Properties!A$1:CB$87,Formula!J32,31)))</f>
        <v>1.44</v>
      </c>
      <c r="CY32" s="69">
        <f t="shared" si="16"/>
        <v>1.88</v>
      </c>
      <c r="CZ32" s="42">
        <f>((Formula!C32)/(Formula!C32+Formula!E32+Formula!G32+Formula!I32+Formula!K32))*(INDEX(Properties!A$1:CB$87,Formula!B32,32))+((Formula!E32)/(Formula!C32+Formula!E32+Formula!G32+Formula!I32+Formula!K32))*(INDEX(Properties!A$1:CB$87,Formula!D32,32))+((Formula!G32)/(Formula!C32+Formula!E32+Formula!G32+Formula!I32+Formula!K32))*(INDEX(Properties!A$1:CB$87,Formula!F32,32))+((Formula!I32)/(Formula!C32+Formula!E32+Formula!G32+Formula!I32+Formula!K32))*(INDEX(Properties!A$1:CB$87,Formula!H32,32))+((Formula!K32)/(Formula!C32+Formula!E32+Formula!G32+Formula!I32+Formula!K32))*(INDEX(Properties!A$1:CB$87,Formula!J32,32))</f>
        <v>6.2371428571428567</v>
      </c>
      <c r="DA32" s="42">
        <f>Formula!C32*(INDEX(Properties!A$1:CB$87,Formula!B32,32))+Formula!E32*(INDEX(Properties!A$1:CB$87,Formula!D32,32))+Formula!G32*(INDEX(Properties!A$1:CB$87,Formula!F32,32))+Formula!I32*(INDEX(Properties!A$1:CB$87,Formula!H32,32))+Formula!K32*(INDEX(Properties!A$1:CB$87,Formula!J32,32))</f>
        <v>43.66</v>
      </c>
      <c r="DB32" s="42">
        <f>VARP(IF(INDEX(Properties!A$1:CB$87,Formula!B32,32)&lt;&gt;"",INDEX(Properties!A$1:CB$87,Formula!B32,32)),IF(INDEX(Properties!A$1:CB$87,Formula!D32,32)&lt;&gt;"",INDEX(Properties!A$1:CB$87,Formula!D32,32)),IF(INDEX(Properties!A$1:CB$87,Formula!F32,32)&lt;&gt;"",INDEX(Properties!A$1:CB$87,Formula!F32,32)),IF(INDEX(Properties!A$1:CB$87,Formula!H32,32)&lt;&gt;"",INDEX(Properties!A$1:CB$87,Formula!H32,32)),IF(INDEX(Properties!A$1:CB$87,Formula!J32,32)&lt;&gt;"",INDEX(Properties!A$1:CB$87,Formula!J32,32)))</f>
        <v>8.5536960000000004</v>
      </c>
      <c r="DC32" s="42">
        <f>MAX(INDEX(Properties!A$1:CB$87,Formula!B32,32),INDEX(Properties!A$1:CB$87,Formula!D32,32),INDEX(Properties!A$1:CB$87,Formula!F32,32),INDEX(Properties!A$1:CB$87,Formula!H32,32),INDEX(Properties!A$1:CB$87,Formula!J32,32))</f>
        <v>7.54</v>
      </c>
      <c r="DD32" s="42">
        <f>MIN(IF(INDEX(Properties!A$1:CB$87,Formula!B32,32)=0,10^6,INDEX(Properties!A$1:CB$87,Formula!B32,32)),IF(INDEX(Properties!A$1:CB$87,Formula!D32,32)=0,10^6,INDEX(Properties!A$1:CB$87,Formula!D32,32)),IF(INDEX(Properties!A$1:CB$87,Formula!F32,32)=0,10^6,INDEX(Properties!A$1:CB$87,Formula!F32,32)),IF(INDEX(Properties!A$1:CB$87,Formula!H32,32)=0,10^6,INDEX(Properties!A$1:CB$87,Formula!H32,32)),IF(INDEX(Properties!A$1:CB$87,Formula!J32,32)=0,10^6,INDEX(Properties!A$1:CB$87,Formula!J32,32)))</f>
        <v>4.45</v>
      </c>
      <c r="DE32" s="42">
        <f t="shared" si="17"/>
        <v>3.09</v>
      </c>
      <c r="DF32" s="60">
        <f>((Formula!C32)/(Formula!C32+Formula!E32+Formula!G32+Formula!I32+Formula!K32))*(INDEX(Properties!A$1:CB$87,Formula!B32,34))+((Formula!E32)/(Formula!C32+Formula!E32+Formula!G32+Formula!I32+Formula!K32))*(INDEX(Properties!A$1:CB$87,Formula!D32,34))+((Formula!G32)/(Formula!C32+Formula!E32+Formula!G32+Formula!I32+Formula!K32))*(INDEX(Properties!A$1:CB$87,Formula!F32,34))+((Formula!I32)/(Formula!C32+Formula!E32+Formula!G32+Formula!I32+Formula!K32))*(INDEX(Properties!A$1:CB$87,Formula!H32,34))+((Formula!K32)/(Formula!C32+Formula!E32+Formula!G32+Formula!I32+Formula!K32))*(INDEX(Properties!A$1:CB$87,Formula!J32,34))</f>
        <v>2.8019999999999996</v>
      </c>
      <c r="DG32" s="60">
        <f>Formula!C32*(INDEX(Properties!A$1:CB$87,Formula!B32,34))+Formula!E32*(INDEX(Properties!A$1:CB$87,Formula!D32,34))+Formula!G32*(INDEX(Properties!A$1:CB$87,Formula!F32,34))+Formula!I32*(INDEX(Properties!A$1:CB$87,Formula!H32,34))+Formula!K32*(INDEX(Properties!A$1:CB$87,Formula!J32,34))</f>
        <v>19.614000000000001</v>
      </c>
      <c r="DH32" s="60">
        <f>VARP(IF(INDEX(Properties!A$1:CB$87,Formula!B32,34)&lt;&gt;"",INDEX(Properties!A$1:CB$87,Formula!B32,34)),IF(INDEX(Properties!A$1:CB$87,Formula!D32,34)&lt;&gt;"",INDEX(Properties!A$1:CB$87,Formula!D32,34)),IF(INDEX(Properties!A$1:CB$87,Formula!F32,34)&lt;&gt;"",INDEX(Properties!A$1:CB$87,Formula!F32,34)),IF(INDEX(Properties!A$1:CB$87,Formula!H32,34)&lt;&gt;"",INDEX(Properties!A$1:CB$87,Formula!H32,34)),IF(INDEX(Properties!A$1:CB$87,Formula!J32,34)&lt;&gt;"",INDEX(Properties!A$1:CB$87,Formula!J32,34)))</f>
        <v>1.8371017600000004</v>
      </c>
      <c r="DI32" s="60">
        <f>MAX(INDEX(Properties!A$1:CB$87,Formula!B32,34),INDEX(Properties!A$1:CB$87,Formula!D32,34),INDEX(Properties!A$1:CB$87,Formula!F32,34),INDEX(Properties!A$1:CB$87,Formula!H32,34),INDEX(Properties!A$1:CB$87,Formula!J32,34))</f>
        <v>3.61</v>
      </c>
      <c r="DJ32" s="60">
        <f>MIN(IF(INDEX(Properties!A$1:CB$87,Formula!B32,34)=0,10^6,INDEX(Properties!A$1:CB$87,Formula!B32,34)),IF(INDEX(Properties!A$1:CB$87,Formula!D32,34)=0,10^6,INDEX(Properties!A$1:CB$87,Formula!D32,34)),IF(INDEX(Properties!A$1:CB$87,Formula!F32,34)=0,10^6,INDEX(Properties!A$1:CB$87,Formula!F32,34)),IF(INDEX(Properties!A$1:CB$87,Formula!H32,34)=0,10^6,INDEX(Properties!A$1:CB$87,Formula!H32,34)),IF(INDEX(Properties!A$1:CB$87,Formula!J32,34)=0,10^6,INDEX(Properties!A$1:CB$87,Formula!J32,34)))</f>
        <v>1.59</v>
      </c>
      <c r="DK32" s="60">
        <f t="shared" si="18"/>
        <v>2.0199999999999996</v>
      </c>
      <c r="DL32" s="45">
        <f>((Formula!C32)/(Formula!C32+Formula!E32+Formula!G32+Formula!I32+Formula!K32))*(INDEX(Properties!A$1:CB$87,Formula!B32,39))+((Formula!E32)/(Formula!C32+Formula!E32+Formula!G32+Formula!I32+Formula!K32))*(INDEX(Properties!A$1:CB$87,Formula!D32,39))+((Formula!G32)/(Formula!C32+Formula!E32+Formula!G32+Formula!I32+Formula!K32))*(INDEX(Properties!A$1:CB$87,Formula!F32,39))+((Formula!I32)/(Formula!C32+Formula!E32+Formula!G32+Formula!I32+Formula!K32))*(INDEX(Properties!A$1:CB$87,Formula!H32,39))+((Formula!K32)/(Formula!C32+Formula!E32+Formula!G32+Formula!I32+Formula!K32))*(INDEX(Properties!A$1:CB$87,Formula!J32,39))</f>
        <v>0.85857142857142854</v>
      </c>
      <c r="DM32" s="45">
        <f>Formula!C32*(INDEX(Properties!A$1:CB$87,Formula!B32,39))+Formula!E32*(INDEX(Properties!A$1:CB$87,Formula!D32,39))+Formula!G32*(INDEX(Properties!A$1:CB$87,Formula!F32,39))+Formula!I32*(INDEX(Properties!A$1:CB$87,Formula!H32,39))+Formula!K32*(INDEX(Properties!A$1:CB$87,Formula!J32,39))</f>
        <v>6.01</v>
      </c>
      <c r="DN32" s="45">
        <f>VARP(IF(INDEX(Properties!A$1:CB$87,Formula!B32,39)&lt;&gt;"",INDEX(Properties!A$1:CB$87,Formula!B32,39)),IF(INDEX(Properties!A$1:CB$87,Formula!D32,39)&lt;&gt;"",INDEX(Properties!A$1:CB$87,Formula!D32,39)),IF(INDEX(Properties!A$1:CB$87,Formula!F32,39)&lt;&gt;"",INDEX(Properties!A$1:CB$87,Formula!F32,39)),IF(INDEX(Properties!A$1:CB$87,Formula!H32,39)&lt;&gt;"",INDEX(Properties!A$1:CB$87,Formula!H32,39)),IF(INDEX(Properties!A$1:CB$87,Formula!J32,39)&lt;&gt;"",INDEX(Properties!A$1:CB$87,Formula!J32,39)))</f>
        <v>0.36495999999999995</v>
      </c>
      <c r="DO32" s="45">
        <f>MAX(INDEX(Properties!A$1:CB$87,Formula!B32,39),INDEX(Properties!A$1:CB$87,Formula!D32,39),INDEX(Properties!A$1:CB$87,Formula!F32,39),INDEX(Properties!A$1:CB$87,Formula!H32,39),INDEX(Properties!A$1:CB$87,Formula!J32,39))</f>
        <v>1.42</v>
      </c>
      <c r="DP32" s="45">
        <f>MIN(IF(INDEX(Properties!A$1:CB$87,Formula!B32,39)=0,10^6,INDEX(Properties!A$1:CB$87,Formula!B32,39)),IF(INDEX(Properties!A$1:CB$87,Formula!D32,39)=0,10^6,INDEX(Properties!A$1:CB$87,Formula!D32,39)),IF(INDEX(Properties!A$1:CB$87,Formula!F32,39)=0,10^6,INDEX(Properties!A$1:CB$87,Formula!F32,39)),IF(INDEX(Properties!A$1:CB$87,Formula!H32,39)=0,10^6,INDEX(Properties!A$1:CB$87,Formula!H32,39)),IF(INDEX(Properties!A$1:CB$87,Formula!J32,39)=0,10^6,INDEX(Properties!A$1:CB$87,Formula!J32,39)))</f>
        <v>0.48</v>
      </c>
      <c r="DQ32" s="45">
        <f t="shared" si="19"/>
        <v>0.94</v>
      </c>
      <c r="DR32" s="63">
        <f>((Formula!C32)/(Formula!C32+Formula!E32+Formula!G32+Formula!I32+Formula!K32))*(INDEX(Properties!A$1:CB$87,Formula!B32,40))+((Formula!E32)/(Formula!C32+Formula!E32+Formula!G32+Formula!I32+Formula!K32))*(INDEX(Properties!A$1:CB$87,Formula!D32,40))+((Formula!G32)/(Formula!C32+Formula!E32+Formula!G32+Formula!I32+Formula!K32))*(INDEX(Properties!A$1:CB$87,Formula!F32,40))+((Formula!I32)/(Formula!C32+Formula!E32+Formula!G32+Formula!I32+Formula!K32))*(INDEX(Properties!A$1:CB$87,Formula!H32,40))+((Formula!K32)/(Formula!C32+Formula!E32+Formula!G32+Formula!I32+Formula!K32))*(INDEX(Properties!A$1:CB$87,Formula!J32,40))</f>
        <v>0.96571428571428553</v>
      </c>
      <c r="DS32" s="63">
        <f>Formula!C32*(INDEX(Properties!A$1:CB$87,Formula!B32,40))+Formula!E32*(INDEX(Properties!A$1:CB$87,Formula!D32,40))+Formula!G32*(INDEX(Properties!A$1:CB$87,Formula!F32,40))+Formula!I32*(INDEX(Properties!A$1:CB$87,Formula!H32,40))+Formula!K32*(INDEX(Properties!A$1:CB$87,Formula!J32,40))</f>
        <v>6.76</v>
      </c>
      <c r="DT32" s="63">
        <f>VARP(IF(INDEX(Properties!A$1:CB$87,Formula!B32,40)&lt;&gt;"",INDEX(Properties!A$1:CB$87,Formula!B32,40)),IF(INDEX(Properties!A$1:CB$87,Formula!D32,40)&lt;&gt;"",INDEX(Properties!A$1:CB$87,Formula!D32,40)),IF(INDEX(Properties!A$1:CB$87,Formula!F32,40)&lt;&gt;"",INDEX(Properties!A$1:CB$87,Formula!F32,40)),IF(INDEX(Properties!A$1:CB$87,Formula!H32,40)&lt;&gt;"",INDEX(Properties!A$1:CB$87,Formula!H32,40)),IF(INDEX(Properties!A$1:CB$87,Formula!J32,40)&lt;&gt;"",INDEX(Properties!A$1:CB$87,Formula!J32,40)))</f>
        <v>0.322376</v>
      </c>
      <c r="DU32" s="63">
        <f>MAX(INDEX(Properties!A$1:CB$87,Formula!B32,40),INDEX(Properties!A$1:CB$87,Formula!D32,40),INDEX(Properties!A$1:CB$87,Formula!F32,40),INDEX(Properties!A$1:CB$87,Formula!H32,40),INDEX(Properties!A$1:CB$87,Formula!J32,40))</f>
        <v>1.31</v>
      </c>
      <c r="DV32" s="63">
        <f>MIN(IF(INDEX(Properties!A$1:CB$87,Formula!B32,40)=0,10^6,INDEX(Properties!A$1:CB$87,Formula!B32,40)),IF(INDEX(Properties!A$1:CB$87,Formula!D32,40)=0,10^6,INDEX(Properties!A$1:CB$87,Formula!D32,40)),IF(INDEX(Properties!A$1:CB$87,Formula!F32,40)=0,10^6,INDEX(Properties!A$1:CB$87,Formula!F32,40)),IF(INDEX(Properties!A$1:CB$87,Formula!H32,40)=0,10^6,INDEX(Properties!A$1:CB$87,Formula!H32,40)),IF(INDEX(Properties!A$1:CB$87,Formula!J32,40)=0,10^6,INDEX(Properties!A$1:CB$87,Formula!J32,40)))</f>
        <v>0.73</v>
      </c>
      <c r="DW32" s="63">
        <f t="shared" si="20"/>
        <v>0.58000000000000007</v>
      </c>
      <c r="DX32" s="75">
        <f>((Formula!C32)/(Formula!C32+Formula!E32+Formula!G32+Formula!I32+Formula!K32))*(INDEX(Properties!A$1:CB$87,Formula!B32,41))+((Formula!E32)/(Formula!C32+Formula!E32+Formula!G32+Formula!I32+Formula!K32))*(INDEX(Properties!A$1:CB$87,Formula!D32,41))+((Formula!G32)/(Formula!C32+Formula!E32+Formula!G32+Formula!I32+Formula!K32))*(INDEX(Properties!A$1:CB$87,Formula!F32,41))+((Formula!I32)/(Formula!C32+Formula!E32+Formula!G32+Formula!I32+Formula!K32))*(INDEX(Properties!A$1:CB$87,Formula!H32,41))+((Formula!K32)/(Formula!C32+Formula!E32+Formula!G32+Formula!I32+Formula!K32))*(INDEX(Properties!A$1:CB$87,Formula!J32,41))</f>
        <v>1.0957142857142856</v>
      </c>
      <c r="DY32" s="75">
        <f>Formula!C32*(INDEX(Properties!A$1:CB$87,Formula!B32,41))+Formula!E32*(INDEX(Properties!A$1:CB$87,Formula!D32,41))+Formula!G32*(INDEX(Properties!A$1:CB$87,Formula!F32,41))+Formula!I32*(INDEX(Properties!A$1:CB$87,Formula!H32,41))+Formula!K32*(INDEX(Properties!A$1:CB$87,Formula!J32,41))</f>
        <v>7.67</v>
      </c>
      <c r="DZ32" s="75">
        <f>VARP(IF(INDEX(Properties!A$1:CB$87,Formula!B32,41)&lt;&gt;"",INDEX(Properties!A$1:CB$87,Formula!B32,41)),IF(INDEX(Properties!A$1:CB$87,Formula!D32,41)&lt;&gt;"",INDEX(Properties!A$1:CB$87,Formula!D32,41)),IF(INDEX(Properties!A$1:CB$87,Formula!F32,41)&lt;&gt;"",INDEX(Properties!A$1:CB$87,Formula!F32,41)),IF(INDEX(Properties!A$1:CB$87,Formula!H32,41)&lt;&gt;"",INDEX(Properties!A$1:CB$87,Formula!H32,41)),IF(INDEX(Properties!A$1:CB$87,Formula!J32,41)&lt;&gt;"",INDEX(Properties!A$1:CB$87,Formula!J32,41)))</f>
        <v>0.26137600000000005</v>
      </c>
      <c r="EA32" s="75">
        <f>MAX(INDEX(Properties!A$1:CB$87,Formula!B32,41),INDEX(Properties!A$1:CB$87,Formula!D32,41),INDEX(Properties!A$1:CB$87,Formula!F32,41),INDEX(Properties!A$1:CB$87,Formula!H32,41),INDEX(Properties!A$1:CB$87,Formula!J32,41))</f>
        <v>1.26</v>
      </c>
      <c r="EB32" s="75">
        <f>MIN(IF(INDEX(Properties!A$1:CB$87,Formula!B32,41)=0,10^6,INDEX(Properties!A$1:CB$87,Formula!B32,41)),IF(INDEX(Properties!A$1:CB$87,Formula!D32,41)=0,10^6,INDEX(Properties!A$1:CB$87,Formula!D32,41)),IF(INDEX(Properties!A$1:CB$87,Formula!F32,41)=0,10^6,INDEX(Properties!A$1:CB$87,Formula!F32,41)),IF(INDEX(Properties!A$1:CB$87,Formula!H32,41)=0,10^6,INDEX(Properties!A$1:CB$87,Formula!H32,41)),IF(INDEX(Properties!A$1:CB$87,Formula!J32,41)=0,10^6,INDEX(Properties!A$1:CB$87,Formula!J32,41)))</f>
        <v>0.87</v>
      </c>
      <c r="EC32" s="75">
        <f t="shared" si="21"/>
        <v>0.39</v>
      </c>
      <c r="ED32" s="48">
        <f>((Formula!C32)/(Formula!C32+Formula!E32+Formula!G32+Formula!I32+Formula!K32))*(INDEX(Properties!A$1:CB$87,Formula!B32,45))+((Formula!E32)/(Formula!C32+Formula!E32+Formula!G32+Formula!I32+Formula!K32))*(INDEX(Properties!A$1:CB$87,Formula!D32,45))+((Formula!G32)/(Formula!C32+Formula!E32+Formula!G32+Formula!I32+Formula!K32))*(INDEX(Properties!A$1:CB$87,Formula!F32,45))+((Formula!I32)/(Formula!C32+Formula!E32+Formula!G32+Formula!I32+Formula!K32))*(INDEX(Properties!A$1:CB$87,Formula!H32,45))+((Formula!K32)/(Formula!C32+Formula!E32+Formula!G32+Formula!I32+Formula!K32))*(INDEX(Properties!A$1:CB$87,Formula!J32,45))</f>
        <v>1.0285714285714285</v>
      </c>
      <c r="EE32" s="48">
        <f>Formula!C32*(INDEX(Properties!A$1:CB$87,Formula!B32,45))+Formula!E32*(INDEX(Properties!A$1:CB$87,Formula!D32,45))+Formula!G32*(INDEX(Properties!A$1:CB$87,Formula!F32,45))+Formula!I32*(INDEX(Properties!A$1:CB$87,Formula!H32,45))+Formula!K32*(INDEX(Properties!A$1:CB$87,Formula!J32,45))</f>
        <v>7.2</v>
      </c>
      <c r="EF32" s="48">
        <f>VARP(IF(INDEX(Properties!A$1:CB$87,Formula!B32,45)&lt;&gt;"",INDEX(Properties!A$1:CB$87,Formula!B32,45)),IF(INDEX(Properties!A$1:CB$87,Formula!D32,45)&lt;&gt;"",INDEX(Properties!A$1:CB$87,Formula!D32,45)),IF(INDEX(Properties!A$1:CB$87,Formula!F32,45)&lt;&gt;"",INDEX(Properties!A$1:CB$87,Formula!F32,45)),IF(INDEX(Properties!A$1:CB$87,Formula!H32,45)&lt;&gt;"",INDEX(Properties!A$1:CB$87,Formula!H32,45)),IF(INDEX(Properties!A$1:CB$87,Formula!J32,45)&lt;&gt;"",INDEX(Properties!A$1:CB$87,Formula!J32,45)))</f>
        <v>0.62625600000000003</v>
      </c>
      <c r="EG32" s="48">
        <f>MAX(INDEX(Properties!A$1:CB$87,Formula!B32,45),INDEX(Properties!A$1:CB$87,Formula!D32,45),INDEX(Properties!A$1:CB$87,Formula!F32,45),INDEX(Properties!A$1:CB$87,Formula!H32,45),INDEX(Properties!A$1:CB$87,Formula!J32,45))</f>
        <v>1.88</v>
      </c>
      <c r="EH32" s="48">
        <f>MIN(IF(INDEX(Properties!A$1:CB$87,Formula!B32,45)=0,10^6,INDEX(Properties!A$1:CB$87,Formula!B32,45)),IF(INDEX(Properties!A$1:CB$87,Formula!D32,45)=0,10^6,INDEX(Properties!A$1:CB$87,Formula!D32,45)),IF(INDEX(Properties!A$1:CB$87,Formula!F32,45)=0,10^6,INDEX(Properties!A$1:CB$87,Formula!F32,45)),IF(INDEX(Properties!A$1:CB$87,Formula!H32,45)=0,10^6,INDEX(Properties!A$1:CB$87,Formula!H32,45)),IF(INDEX(Properties!A$1:CB$87,Formula!J32,45)=0,10^6,INDEX(Properties!A$1:CB$87,Formula!J32,45)))</f>
        <v>0.47</v>
      </c>
      <c r="EI32" s="48">
        <f t="shared" si="22"/>
        <v>1.41</v>
      </c>
      <c r="EJ32" s="66">
        <f>((Formula!C32)/(Formula!C32+Formula!E32+Formula!G32+Formula!I32+Formula!K32))*(INDEX(Properties!A$1:CB$87,Formula!B32,46))+((Formula!E32)/(Formula!C32+Formula!E32+Formula!G32+Formula!I32+Formula!K32))*(INDEX(Properties!A$1:CB$87,Formula!D32,46))+((Formula!G32)/(Formula!C32+Formula!E32+Formula!G32+Formula!I32+Formula!K32))*(INDEX(Properties!A$1:CB$87,Formula!F32,46))+((Formula!I32)/(Formula!C32+Formula!E32+Formula!G32+Formula!I32+Formula!K32))*(INDEX(Properties!A$1:CB$87,Formula!H32,46))+((Formula!K32)/(Formula!C32+Formula!E32+Formula!G32+Formula!I32+Formula!K32))*(INDEX(Properties!A$1:CB$87,Formula!J32,46))</f>
        <v>0.97857142857142854</v>
      </c>
      <c r="EK32" s="66">
        <f>Formula!C32*(INDEX(Properties!A$1:CB$87,Formula!B32,46))+Formula!E32*(INDEX(Properties!A$1:CB$87,Formula!D32,46))+Formula!G32*(INDEX(Properties!A$1:CB$87,Formula!F32,46))+Formula!I32*(INDEX(Properties!A$1:CB$87,Formula!H32,46))+Formula!K32*(INDEX(Properties!A$1:CB$87,Formula!J32,46))</f>
        <v>6.85</v>
      </c>
      <c r="EL32" s="66">
        <f>VARP(IF(INDEX(Properties!A$1:CB$87,Formula!B32,46)&lt;&gt;"",INDEX(Properties!A$1:CB$87,Formula!B32,46)),IF(INDEX(Properties!A$1:CB$87,Formula!D32,46)&lt;&gt;"",INDEX(Properties!A$1:CB$87,Formula!D32,46)),IF(INDEX(Properties!A$1:CB$87,Formula!F32,46)&lt;&gt;"",INDEX(Properties!A$1:CB$87,Formula!F32,46)),IF(INDEX(Properties!A$1:CB$87,Formula!H32,46)&lt;&gt;"",INDEX(Properties!A$1:CB$87,Formula!H32,46)),IF(INDEX(Properties!A$1:CB$87,Formula!J32,46)&lt;&gt;"",INDEX(Properties!A$1:CB$87,Formula!J32,46)))</f>
        <v>0.21250400000000003</v>
      </c>
      <c r="EM32" s="66">
        <f>MAX(INDEX(Properties!A$1:CB$87,Formula!B32,46),INDEX(Properties!A$1:CB$87,Formula!D32,46),INDEX(Properties!A$1:CB$87,Formula!F32,46),INDEX(Properties!A$1:CB$87,Formula!H32,46),INDEX(Properties!A$1:CB$87,Formula!J32,46))</f>
        <v>1.21</v>
      </c>
      <c r="EN32" s="66">
        <f>MIN(IF(INDEX(Properties!A$1:CB$87,Formula!B32,46)=0,10^6,INDEX(Properties!A$1:CB$87,Formula!B32,46)),IF(INDEX(Properties!A$1:CB$87,Formula!D32,46)=0,10^6,INDEX(Properties!A$1:CB$87,Formula!D32,46)),IF(INDEX(Properties!A$1:CB$87,Formula!F32,46)=0,10^6,INDEX(Properties!A$1:CB$87,Formula!F32,46)),IF(INDEX(Properties!A$1:CB$87,Formula!H32,46)=0,10^6,INDEX(Properties!A$1:CB$87,Formula!H32,46)),IF(INDEX(Properties!A$1:CB$87,Formula!J32,46)=0,10^6,INDEX(Properties!A$1:CB$87,Formula!J32,46)))</f>
        <v>0.53</v>
      </c>
      <c r="EO32" s="66">
        <f t="shared" si="23"/>
        <v>0.67999999999999994</v>
      </c>
      <c r="EP32" s="81">
        <f>((Formula!C32)/(Formula!C32+Formula!E32+Formula!G32+Formula!I32+Formula!K32))*(INDEX(Properties!A$1:CB$87,Formula!B32,52))+((Formula!E32)/(Formula!C32+Formula!E32+Formula!G32+Formula!I32+Formula!K32))*(INDEX(Properties!A$1:CB$87,Formula!D32,52))+((Formula!G32)/(Formula!C32+Formula!E32+Formula!G32+Formula!I32+Formula!K32))*(INDEX(Properties!A$1:CB$87,Formula!F32,52))+((Formula!I32)/(Formula!C32+Formula!E32+Formula!G32+Formula!I32+Formula!K32))*(INDEX(Properties!A$1:CB$87,Formula!H32,52))+((Formula!K32)/(Formula!C32+Formula!E32+Formula!G32+Formula!I32+Formula!K32))*(INDEX(Properties!A$1:CB$87,Formula!J32,52))</f>
        <v>3.153142857142857</v>
      </c>
      <c r="EQ32" s="81">
        <f>Formula!C32*(INDEX(Properties!A$1:CB$87,Formula!B32,52))+Formula!E32*(INDEX(Properties!A$1:CB$87,Formula!D32,52))+Formula!G32*(INDEX(Properties!A$1:CB$87,Formula!F32,52))+Formula!I32*(INDEX(Properties!A$1:CB$87,Formula!H32,52))+Formula!K32*(INDEX(Properties!A$1:CB$87,Formula!J32,52))</f>
        <v>22.071999999999999</v>
      </c>
      <c r="ER32" s="81">
        <f>VARP(IF(INDEX(Properties!A$1:CB$87,Formula!B32,52)&lt;&gt;"",INDEX(Properties!A$1:CB$87,Formula!B32,52)),IF(INDEX(Properties!A$1:CB$87,Formula!D32,52)&lt;&gt;"",INDEX(Properties!A$1:CB$87,Formula!D32,52)),IF(INDEX(Properties!A$1:CB$87,Formula!F32,52)&lt;&gt;"",INDEX(Properties!A$1:CB$87,Formula!F32,52)),IF(INDEX(Properties!A$1:CB$87,Formula!H32,52)&lt;&gt;"",INDEX(Properties!A$1:CB$87,Formula!H32,52)),IF(INDEX(Properties!A$1:CB$87,Formula!J32,52)&lt;&gt;"",INDEX(Properties!A$1:CB$87,Formula!J32,52)))</f>
        <v>8.6916158400000025</v>
      </c>
      <c r="ES32" s="81">
        <f>MAX(INDEX(Properties!A$1:CB$87,Formula!B32,52),INDEX(Properties!A$1:CB$87,Formula!D32,52),INDEX(Properties!A$1:CB$87,Formula!F32,52),INDEX(Properties!A$1:CB$87,Formula!H32,52),INDEX(Properties!A$1:CB$87,Formula!J32,52))</f>
        <v>6.4</v>
      </c>
      <c r="ET32" s="81">
        <f>MIN(IF(INDEX(Properties!A$1:CB$87,Formula!B32,52)=0,10^6,INDEX(Properties!A$1:CB$87,Formula!B32,52)),IF(INDEX(Properties!A$1:CB$87,Formula!D32,52)=0,10^6,INDEX(Properties!A$1:CB$87,Formula!D32,52)),IF(INDEX(Properties!A$1:CB$87,Formula!F32,52)=0,10^6,INDEX(Properties!A$1:CB$87,Formula!F32,52)),IF(INDEX(Properties!A$1:CB$87,Formula!H32,52)=0,10^6,INDEX(Properties!A$1:CB$87,Formula!H32,52)),IF(INDEX(Properties!A$1:CB$87,Formula!J32,52)=0,10^6,INDEX(Properties!A$1:CB$87,Formula!J32,52)))</f>
        <v>0.79300000000000004</v>
      </c>
      <c r="EU32" s="81">
        <f t="shared" si="24"/>
        <v>5.6070000000000002</v>
      </c>
      <c r="EV32" s="39">
        <f>((Formula!C32)/(Formula!C32+Formula!E32+Formula!G32+Formula!I32+Formula!K32))*(INDEX(Properties!A$1:CB$87,Formula!B32,53))+((Formula!E32)/(Formula!C32+Formula!E32+Formula!G32+Formula!I32+Formula!K32))*(INDEX(Properties!A$1:CB$87,Formula!D32,53))+((Formula!G32)/(Formula!C32+Formula!E32+Formula!G32+Formula!I32+Formula!K32))*(INDEX(Properties!A$1:CB$87,Formula!F32,53))+((Formula!I32)/(Formula!C32+Formula!E32+Formula!G32+Formula!I32+Formula!K32))*(INDEX(Properties!A$1:CB$87,Formula!H32,53))+((Formula!K32)/(Formula!C32+Formula!E32+Formula!G32+Formula!I32+Formula!K32))*(INDEX(Properties!A$1:CB$87,Formula!J32,53))</f>
        <v>403.57857142857137</v>
      </c>
      <c r="EW32" s="39">
        <f>Formula!C32*(INDEX(Properties!A$1:CB$87,Formula!B32,53))+Formula!E32*(INDEX(Properties!A$1:CB$87,Formula!D32,53))+Formula!G32*(INDEX(Properties!A$1:CB$87,Formula!F32,53))+Formula!I32*(INDEX(Properties!A$1:CB$87,Formula!H32,53))+Formula!K32*(INDEX(Properties!A$1:CB$87,Formula!J32,53))</f>
        <v>2825.05</v>
      </c>
      <c r="EX32" s="39">
        <f>VARP(IF(INDEX(Properties!A$1:CB$87,Formula!B32,53)&lt;&gt;"",INDEX(Properties!A$1:CB$87,Formula!B32,53)),IF(INDEX(Properties!A$1:CB$87,Formula!D32,53)&lt;&gt;"",INDEX(Properties!A$1:CB$87,Formula!D32,53)),IF(INDEX(Properties!A$1:CB$87,Formula!F32,53)&lt;&gt;"",INDEX(Properties!A$1:CB$87,Formula!F32,53)),IF(INDEX(Properties!A$1:CB$87,Formula!H32,53)&lt;&gt;"",INDEX(Properties!A$1:CB$87,Formula!H32,53)),IF(INDEX(Properties!A$1:CB$87,Formula!J32,53)&lt;&gt;"",INDEX(Properties!A$1:CB$87,Formula!J32,53)))</f>
        <v>239599.65339999995</v>
      </c>
      <c r="EY32" s="39">
        <f>MAX(INDEX(Properties!A$1:CB$87,Formula!B32,53),INDEX(Properties!A$1:CB$87,Formula!D32,53),INDEX(Properties!A$1:CB$87,Formula!F32,53),INDEX(Properties!A$1:CB$87,Formula!H32,53),INDEX(Properties!A$1:CB$87,Formula!J32,53))</f>
        <v>1220.55</v>
      </c>
      <c r="EZ32" s="39">
        <f>MIN(IF(INDEX(Properties!A$1:CB$87,Formula!B32,53)=0,10^6,INDEX(Properties!A$1:CB$87,Formula!B32,53)),IF(INDEX(Properties!A$1:CB$87,Formula!D32,53)=0,10^6,INDEX(Properties!A$1:CB$87,Formula!D32,53)),IF(INDEX(Properties!A$1:CB$87,Formula!F32,53)=0,10^6,INDEX(Properties!A$1:CB$87,Formula!F32,53)),IF(INDEX(Properties!A$1:CB$87,Formula!H32,53)=0,10^6,INDEX(Properties!A$1:CB$87,Formula!H32,53)),IF(INDEX(Properties!A$1:CB$87,Formula!J32,53)=0,10^6,INDEX(Properties!A$1:CB$87,Formula!J32,53)))</f>
        <v>54.749999999999972</v>
      </c>
      <c r="FA32" s="39">
        <f t="shared" si="25"/>
        <v>1165.8</v>
      </c>
      <c r="FB32" s="54">
        <f>((Formula!C32)/(Formula!C32+Formula!E32+Formula!G32+Formula!I32+Formula!K32))*(INDEX(Properties!A$1:CB$87,Formula!B32,54))+((Formula!E32)/(Formula!C32+Formula!E32+Formula!G32+Formula!I32+Formula!K32))*(INDEX(Properties!A$1:CB$87,Formula!D32,54))+((Formula!G32)/(Formula!C32+Formula!E32+Formula!G32+Formula!I32+Formula!K32))*(INDEX(Properties!A$1:CB$87,Formula!F32,54))+((Formula!I32)/(Formula!C32+Formula!E32+Formula!G32+Formula!I32+Formula!K32))*(INDEX(Properties!A$1:CB$87,Formula!H32,54))+((Formula!K32)/(Formula!C32+Formula!E32+Formula!G32+Formula!I32+Formula!K32))*(INDEX(Properties!A$1:CB$87,Formula!J32,54))</f>
        <v>831.72142857142853</v>
      </c>
      <c r="FC32" s="54">
        <f>Formula!C32*(INDEX(Properties!A$1:CB$87,Formula!B32,54))+Formula!E32*(INDEX(Properties!A$1:CB$87,Formula!D32,54))+Formula!G32*(INDEX(Properties!A$1:CB$87,Formula!F32,54))+Formula!I32*(INDEX(Properties!A$1:CB$87,Formula!H32,54))+Formula!K32*(INDEX(Properties!A$1:CB$87,Formula!J32,54))</f>
        <v>5822.0500000000011</v>
      </c>
      <c r="FD32" s="54">
        <f>VARP(IF(INDEX(Properties!A$1:CB$87,Formula!B32,54)&lt;&gt;"",INDEX(Properties!A$1:CB$87,Formula!B32,54)),IF(INDEX(Properties!A$1:CB$87,Formula!D32,54)&lt;&gt;"",INDEX(Properties!A$1:CB$87,Formula!D32,54)),IF(INDEX(Properties!A$1:CB$87,Formula!F32,54)&lt;&gt;"",INDEX(Properties!A$1:CB$87,Formula!F32,54)),IF(INDEX(Properties!A$1:CB$87,Formula!H32,54)&lt;&gt;"",INDEX(Properties!A$1:CB$87,Formula!H32,54)),IF(INDEX(Properties!A$1:CB$87,Formula!J32,54)&lt;&gt;"",INDEX(Properties!A$1:CB$87,Formula!J32,54)))</f>
        <v>1440879.5734000006</v>
      </c>
      <c r="FE32" s="54">
        <f>MAX(INDEX(Properties!A$1:CB$87,Formula!B32,54),INDEX(Properties!A$1:CB$87,Formula!D32,54),INDEX(Properties!A$1:CB$87,Formula!F32,54),INDEX(Properties!A$1:CB$87,Formula!H32,54),INDEX(Properties!A$1:CB$87,Formula!J32,54))</f>
        <v>3103.15</v>
      </c>
      <c r="FF32" s="54">
        <f>MIN(IF(INDEX(Properties!A$1:CB$87,Formula!B32,54)=0,10^6,INDEX(Properties!A$1:CB$87,Formula!B32,54)),IF(INDEX(Properties!A$1:CB$87,Formula!D32,54)=0,10^6,INDEX(Properties!A$1:CB$87,Formula!D32,54)),IF(INDEX(Properties!A$1:CB$87,Formula!F32,54)=0,10^6,INDEX(Properties!A$1:CB$87,Formula!F32,54)),IF(INDEX(Properties!A$1:CB$87,Formula!H32,54)=0,10^6,INDEX(Properties!A$1:CB$87,Formula!H32,54)),IF(INDEX(Properties!A$1:CB$87,Formula!J32,54)=0,10^6,INDEX(Properties!A$1:CB$87,Formula!J32,54)))</f>
        <v>90.149999999999977</v>
      </c>
      <c r="FG32" s="54">
        <f t="shared" si="26"/>
        <v>3013</v>
      </c>
      <c r="FH32" s="69">
        <f>((Formula!C32)/(Formula!C32+Formula!E32+Formula!G32+Formula!I32+Formula!K32))*(INDEX(Properties!A$1:CB$87,Formula!B32,55))+((Formula!E32)/(Formula!C32+Formula!E32+Formula!G32+Formula!I32+Formula!K32))*(INDEX(Properties!A$1:CB$87,Formula!D32,55))+((Formula!G32)/(Formula!C32+Formula!E32+Formula!G32+Formula!I32+Formula!K32))*(INDEX(Properties!A$1:CB$87,Formula!F32,55))+((Formula!I32)/(Formula!C32+Formula!E32+Formula!G32+Formula!I32+Formula!K32))*(INDEX(Properties!A$1:CB$87,Formula!H32,55))+((Formula!K32)/(Formula!C32+Formula!E32+Formula!G32+Formula!I32+Formula!K32))*(INDEX(Properties!A$1:CB$87,Formula!J32,55))</f>
        <v>2.7979600000000002</v>
      </c>
      <c r="FI32" s="69">
        <f>Formula!C32*(INDEX(Properties!A$1:CB$87,Formula!B32,55))+Formula!E32*(INDEX(Properties!A$1:CB$87,Formula!D32,54))+Formula!G32*(INDEX(Properties!A$1:CB$87,Formula!F32,55))+Formula!I32*(INDEX(Properties!A$1:CB$87,Formula!H32,55))+Formula!K32*(INDEX(Properties!A$1:CB$87,Formula!J32,55))</f>
        <v>3117.4157200000004</v>
      </c>
      <c r="FJ32" s="69">
        <f>VARP(IF(INDEX(Properties!A$1:CB$87,Formula!B32,55)&lt;&gt;"",INDEX(Properties!A$1:CB$87,Formula!B32,55)),IF(INDEX(Properties!A$1:CB$87,Formula!D32,55)&lt;&gt;"",INDEX(Properties!A$1:CB$87,Formula!D32,55)),IF(INDEX(Properties!A$1:CB$87,Formula!F32,55)&lt;&gt;"",INDEX(Properties!A$1:CB$87,Formula!F32,55)),IF(INDEX(Properties!A$1:CB$87,Formula!H32,55)&lt;&gt;"",INDEX(Properties!A$1:CB$87,Formula!H32,55)),IF(INDEX(Properties!A$1:CB$87,Formula!J32,55)&lt;&gt;"",INDEX(Properties!A$1:CB$87,Formula!J32,55)))</f>
        <v>9.6263360471840027</v>
      </c>
      <c r="FK32" s="69">
        <f>MAX(INDEX(Properties!A$1:CB$87,Formula!B32,55),INDEX(Properties!A$1:CB$87,Formula!D32,55),INDEX(Properties!A$1:CB$87,Formula!F32,55),INDEX(Properties!A$1:CB$87,Formula!H32,55),INDEX(Properties!A$1:CB$87,Formula!J32,55))</f>
        <v>7.13</v>
      </c>
      <c r="FL32" s="69">
        <f>MIN(IF(INDEX(Properties!A$1:CB$87,Formula!B32,55)=0,10^6,INDEX(Properties!A$1:CB$87,Formula!B32,55)),IF(INDEX(Properties!A$1:CB$87,Formula!D32,55)=0,10^6,INDEX(Properties!A$1:CB$87,Formula!D32,55)),IF(INDEX(Properties!A$1:CB$87,Formula!F32,55)=0,10^6,INDEX(Properties!A$1:CB$87,Formula!F32,55)),IF(INDEX(Properties!A$1:CB$87,Formula!H32,55)=0,10^6,INDEX(Properties!A$1:CB$87,Formula!H32,55)),IF(INDEX(Properties!A$1:CB$87,Formula!J32,55)=0,10^6,INDEX(Properties!A$1:CB$87,Formula!J32,55)))</f>
        <v>1.4300000000000001E-3</v>
      </c>
      <c r="FM32" s="69">
        <f t="shared" si="27"/>
        <v>7.1285699999999999</v>
      </c>
      <c r="FN32" s="42">
        <f>((Formula!C32)/(Formula!C32+Formula!E32+Formula!G32+Formula!I32+Formula!K32))*(INDEX(Properties!A$1:CB$87,Formula!B32,56))+((Formula!E32)/(Formula!C32+Formula!E32+Formula!G32+Formula!I32+Formula!K32))*(INDEX(Properties!A$1:CB$87,Formula!D32,56))+((Formula!G32)/(Formula!C32+Formula!E32+Formula!G32+Formula!I32+Formula!K32))*(INDEX(Properties!A$1:CB$87,Formula!F32,56))+((Formula!I32)/(Formula!C32+Formula!E32+Formula!G32+Formula!I32+Formula!K32))*(INDEX(Properties!A$1:CB$87,Formula!H32,56))+((Formula!K32)/(Formula!C32+Formula!E32+Formula!G32+Formula!I32+Formula!K32))*(INDEX(Properties!A$1:CB$87,Formula!J32,56))</f>
        <v>0.68285714285714283</v>
      </c>
      <c r="FO32" s="42">
        <f>Formula!C32*(INDEX(Properties!A$1:CB$87,Formula!B32,56))+Formula!E32*(INDEX(Properties!A$1:CB$87,Formula!D32,56))+Formula!G32*(INDEX(Properties!A$1:CB$87,Formula!F32,56))+Formula!I32*(INDEX(Properties!A$1:CB$87,Formula!H32,56))+Formula!K32*(INDEX(Properties!A$1:CB$87,Formula!J32,56))</f>
        <v>4.78</v>
      </c>
      <c r="FP32" s="42">
        <f>VARP(IF(INDEX(Properties!A$1:CB$87,Formula!B32,56)&lt;&gt;"",INDEX(Properties!A$1:CB$87,Formula!B32,56)),IF(INDEX(Properties!A$1:CB$87,Formula!D32,56)&lt;&gt;"",INDEX(Properties!A$1:CB$87,Formula!D32,56)),IF(INDEX(Properties!A$1:CB$87,Formula!F32,56)&lt;&gt;"",INDEX(Properties!A$1:CB$87,Formula!F32,56)),IF(INDEX(Properties!A$1:CB$87,Formula!H32,56)&lt;&gt;"",INDEX(Properties!A$1:CB$87,Formula!H32,56)),IF(INDEX(Properties!A$1:CB$87,Formula!J32,56)&lt;&gt;"",INDEX(Properties!A$1:CB$87,Formula!J32,56)))</f>
        <v>0.11390400000000002</v>
      </c>
      <c r="FQ32" s="42">
        <f>MAX(INDEX(Properties!A$1:CB$87,Formula!B32,56),INDEX(Properties!A$1:CB$87,Formula!D32,56),INDEX(Properties!A$1:CB$87,Formula!F32,56),INDEX(Properties!A$1:CB$87,Formula!H32,56),INDEX(Properties!A$1:CB$87,Formula!J32,56))</f>
        <v>0.92</v>
      </c>
      <c r="FR32" s="42">
        <f>MIN(IF(INDEX(Properties!A$1:CB$87,Formula!B32,56)=0,10^6,INDEX(Properties!A$1:CB$87,Formula!B32,56)),IF(INDEX(Properties!A$1:CB$87,Formula!D32,56)=0,10^6,INDEX(Properties!A$1:CB$87,Formula!D32,56)),IF(INDEX(Properties!A$1:CB$87,Formula!F32,56)=0,10^6,INDEX(Properties!A$1:CB$87,Formula!F32,56)),IF(INDEX(Properties!A$1:CB$87,Formula!H32,56)=0,10^6,INDEX(Properties!A$1:CB$87,Formula!H32,56)),IF(INDEX(Properties!A$1:CB$87,Formula!J32,56)=0,10^6,INDEX(Properties!A$1:CB$87,Formula!J32,56)))</f>
        <v>0.32</v>
      </c>
      <c r="FS32" s="42">
        <f t="shared" si="28"/>
        <v>0.60000000000000009</v>
      </c>
      <c r="FT32" s="60">
        <f>((Formula!C32)/(Formula!C32+Formula!E32+Formula!G32+Formula!I32+Formula!K32))*(INDEX(Properties!A$1:CB$87,Formula!B32,57))+((Formula!E32)/(Formula!C32+Formula!E32+Formula!G32+Formula!I32+Formula!K32))*(INDEX(Properties!A$1:CB$87,Formula!D32,57))+((Formula!G32)/(Formula!C32+Formula!E32+Formula!G32+Formula!I32+Formula!K32))*(INDEX(Properties!A$1:CB$87,Formula!F32,57))+((Formula!I32)/(Formula!C32+Formula!E32+Formula!G32+Formula!I32+Formula!K32))*(INDEX(Properties!A$1:CB$87,Formula!H32,57))+((Formula!K32)/(Formula!C32+Formula!E32+Formula!G32+Formula!I32+Formula!K32))*(INDEX(Properties!A$1:CB$87,Formula!J32,57))</f>
        <v>7.4963371428571417</v>
      </c>
      <c r="FU32" s="60">
        <f>Formula!C32*(INDEX(Properties!A$1:CB$87,Formula!B32,57))+Formula!E32*(INDEX(Properties!A$1:CB$87,Formula!D32,57))+Formula!G32*(INDEX(Properties!A$1:CB$87,Formula!F32,57))+Formula!I32*(INDEX(Properties!A$1:CB$87,Formula!H32,57))+Formula!K32*(INDEX(Properties!A$1:CB$87,Formula!J32,57))</f>
        <v>52.474359999999997</v>
      </c>
      <c r="FV32" s="60">
        <f>VARP(IF(INDEX(Properties!A$1:CB$87,Formula!B32,57)&lt;&gt;"",INDEX(Properties!A$1:CB$87,Formula!B32,57)),IF(INDEX(Properties!A$1:CB$87,Formula!D32,57)&lt;&gt;"",INDEX(Properties!A$1:CB$87,Formula!D32,57)),IF(INDEX(Properties!A$1:CB$87,Formula!F32,57)&lt;&gt;"",INDEX(Properties!A$1:CB$87,Formula!F32,57)),IF(INDEX(Properties!A$1:CB$87,Formula!H32,57)&lt;&gt;"",INDEX(Properties!A$1:CB$87,Formula!H32,57)),IF(INDEX(Properties!A$1:CB$87,Formula!J32,57)&lt;&gt;"",INDEX(Properties!A$1:CB$87,Formula!J32,57)))</f>
        <v>204.48981616289595</v>
      </c>
      <c r="FW32" s="60">
        <f>MAX(INDEX(Properties!A$1:CB$87,Formula!B32,57),INDEX(Properties!A$1:CB$87,Formula!D32,57),INDEX(Properties!A$1:CB$87,Formula!F32,57),INDEX(Properties!A$1:CB$87,Formula!H32,57),INDEX(Properties!A$1:CB$87,Formula!J32,57))</f>
        <v>36.94</v>
      </c>
      <c r="FX32" s="60">
        <f>MIN(IF(INDEX(Properties!A$1:CB$87,Formula!B32,57)=0,10^6,INDEX(Properties!A$1:CB$87,Formula!B32,57)),IF(INDEX(Properties!A$1:CB$87,Formula!D32,57)=0,10^6,INDEX(Properties!A$1:CB$87,Formula!D32,57)),IF(INDEX(Properties!A$1:CB$87,Formula!F32,57)=0,10^6,INDEX(Properties!A$1:CB$87,Formula!F32,57)),IF(INDEX(Properties!A$1:CB$87,Formula!H32,57)=0,10^6,INDEX(Properties!A$1:CB$87,Formula!H32,57)),IF(INDEX(Properties!A$1:CB$87,Formula!J32,57)=0,10^6,INDEX(Properties!A$1:CB$87,Formula!J32,57)))</f>
        <v>0.22259000000000001</v>
      </c>
      <c r="FY32" s="60">
        <f t="shared" si="29"/>
        <v>36.717410000000001</v>
      </c>
      <c r="FZ32" s="72">
        <f>((Formula!C32)/(Formula!C32+Formula!E32+Formula!G32+Formula!I32+Formula!K32))*(INDEX(Properties!A$1:CB$87,Formula!B32,60))+((Formula!E32)/(Formula!C32+Formula!E32+Formula!G32+Formula!I32+Formula!K32))*(INDEX(Properties!A$1:CB$87,Formula!D32,60))+((Formula!G32)/(Formula!C32+Formula!E32+Formula!G32+Formula!I32+Formula!K32))*(INDEX(Properties!A$1:CB$87,Formula!F32,60))+((Formula!I32)/(Formula!C32+Formula!E32+Formula!G32+Formula!I32+Formula!K32))*(INDEX(Properties!A$1:CB$87,Formula!H32,60))+((Formula!K32)/(Formula!C32+Formula!E32+Formula!G32+Formula!I32+Formula!K32))*(INDEX(Properties!A$1:CB$87,Formula!J32,60))</f>
        <v>41.715279999999993</v>
      </c>
      <c r="GA32" s="72">
        <f>Formula!C32*(INDEX(Properties!A$1:CB$87,Formula!B32,60))+Formula!E32*(INDEX(Properties!A$1:CB$87,Formula!D32,60))+Formula!G32*(INDEX(Properties!A$1:CB$87,Formula!F32,60))+Formula!I32*(INDEX(Properties!A$1:CB$87,Formula!H32,60))+Formula!K32*(INDEX(Properties!A$1:CB$87,Formula!J32,60))</f>
        <v>292.00695999999999</v>
      </c>
      <c r="GB32" s="72">
        <f>VARP(IF(INDEX(Properties!A$1:CB$87,Formula!B32,60)&lt;&gt;"",INDEX(Properties!A$1:CB$87,Formula!B32,60)),IF(INDEX(Properties!A$1:CB$87,Formula!D32,60)&lt;&gt;"",INDEX(Properties!A$1:CB$87,Formula!D32,60)),IF(INDEX(Properties!A$1:CB$87,Formula!F32,60)&lt;&gt;"",INDEX(Properties!A$1:CB$87,Formula!F32,60)),IF(INDEX(Properties!A$1:CB$87,Formula!H32,60)&lt;&gt;"",INDEX(Properties!A$1:CB$87,Formula!H32,60)),IF(INDEX(Properties!A$1:CB$87,Formula!J32,60)&lt;&gt;"",INDEX(Properties!A$1:CB$87,Formula!J32,60)))</f>
        <v>2170.793429124416</v>
      </c>
      <c r="GC32" s="72">
        <f>MAX(INDEX(Properties!A$1:CB$87,Formula!B32,60),INDEX(Properties!A$1:CB$87,Formula!D32,60),INDEX(Properties!A$1:CB$87,Formula!F32,60),INDEX(Properties!A$1:CB$87,Formula!H32,60),INDEX(Properties!A$1:CB$87,Formula!J32,60))</f>
        <v>116</v>
      </c>
      <c r="GD32" s="72">
        <f>MIN(IF(INDEX(Properties!A$1:CB$87,Formula!B32,60)=0,10^6,INDEX(Properties!A$1:CB$87,Formula!B32,60)),IF(INDEX(Properties!A$1:CB$87,Formula!D32,60)=0,10^6,INDEX(Properties!A$1:CB$87,Formula!D32,60)),IF(INDEX(Properties!A$1:CB$87,Formula!F32,60)=0,10^6,INDEX(Properties!A$1:CB$87,Formula!F32,60)),IF(INDEX(Properties!A$1:CB$87,Formula!H32,60)=0,10^6,INDEX(Properties!A$1:CB$87,Formula!H32,60)),IF(INDEX(Properties!A$1:CB$87,Formula!J32,60)=0,10^6,INDEX(Properties!A$1:CB$87,Formula!J32,60)))</f>
        <v>2.674E-2</v>
      </c>
      <c r="GE32" s="72">
        <f t="shared" si="30"/>
        <v>115.97326</v>
      </c>
      <c r="GF32" s="51">
        <f>((Formula!C32)/(Formula!C32+Formula!E32+Formula!G32+Formula!I32+Formula!K32))*(INDEX(Properties!A$1:CB$87,Formula!B32,62))+((Formula!E32)/(Formula!C32+Formula!E32+Formula!G32+Formula!I32+Formula!K32))*(INDEX(Properties!A$1:CB$87,Formula!D32,62))+((Formula!G32)/(Formula!C32+Formula!E32+Formula!G32+Formula!I32+Formula!K32))*(INDEX(Properties!A$1:CB$87,Formula!F32,62))+((Formula!I32)/(Formula!C32+Formula!E32+Formula!G32+Formula!I32+Formula!K32))*(INDEX(Properties!A$1:CB$87,Formula!H32,62))+((Formula!K32)/(Formula!C32+Formula!E32+Formula!G32+Formula!I32+Formula!K32))*(INDEX(Properties!A$1:CB$87,Formula!J32,62))</f>
        <v>2.4328571428571428</v>
      </c>
      <c r="GG32" s="51">
        <f>Formula!C32*(INDEX(Properties!A$1:CB$87,Formula!B32,62))+Formula!E32*(INDEX(Properties!A$1:CB$87,Formula!D32,62))+Formula!G32*(INDEX(Properties!A$1:CB$87,Formula!F32,62))+Formula!I32*(INDEX(Properties!A$1:CB$87,Formula!H32,62))+Formula!K32*(INDEX(Properties!A$1:CB$87,Formula!J32,62))</f>
        <v>17.03</v>
      </c>
      <c r="GH32" s="51">
        <f>VARP(IF(INDEX(Properties!A$1:CB$87,Formula!B32,62)&lt;&gt;"",INDEX(Properties!A$1:CB$87,Formula!B32,62)),IF(INDEX(Properties!A$1:CB$87,Formula!D32,62)&lt;&gt;"",INDEX(Properties!A$1:CB$87,Formula!D32,62)),IF(INDEX(Properties!A$1:CB$87,Formula!F32,62)&lt;&gt;"",INDEX(Properties!A$1:CB$87,Formula!F32,62)),IF(INDEX(Properties!A$1:CB$87,Formula!H32,62)&lt;&gt;"",INDEX(Properties!A$1:CB$87,Formula!H32,62)),IF(INDEX(Properties!A$1:CB$87,Formula!J32,62)&lt;&gt;"",INDEX(Properties!A$1:CB$87,Formula!J32,62)))</f>
        <v>2.2557840000000002</v>
      </c>
      <c r="GI32" s="51">
        <f>MAX(INDEX(Properties!A$1:CB$87,Formula!B32,62),INDEX(Properties!A$1:CB$87,Formula!D32,62),INDEX(Properties!A$1:CB$87,Formula!F32,62),INDEX(Properties!A$1:CB$87,Formula!H32,62),INDEX(Properties!A$1:CB$87,Formula!J32,62))</f>
        <v>3.85</v>
      </c>
      <c r="GJ32" s="51">
        <f>MIN(IF(INDEX(Properties!A$1:CB$87,Formula!B32,62)=0,10^6,INDEX(Properties!A$1:CB$87,Formula!B32,62)),IF(INDEX(Properties!A$1:CB$87,Formula!D32,62)=0,10^6,INDEX(Properties!A$1:CB$87,Formula!D32,62)),IF(INDEX(Properties!A$1:CB$87,Formula!F32,62)=0,10^6,INDEX(Properties!A$1:CB$87,Formula!F32,62)),IF(INDEX(Properties!A$1:CB$87,Formula!H32,62)=0,10^6,INDEX(Properties!A$1:CB$87,Formula!H32,62)),IF(INDEX(Properties!A$1:CB$87,Formula!J32,62)=0,10^6,INDEX(Properties!A$1:CB$87,Formula!J32,62)))</f>
        <v>1.35</v>
      </c>
      <c r="GK32" s="51">
        <f t="shared" si="31"/>
        <v>2.5</v>
      </c>
      <c r="GL32" s="51">
        <f>Formula!P32</f>
        <v>148</v>
      </c>
      <c r="GM32" s="57">
        <f>Formula!O32</f>
        <v>5</v>
      </c>
      <c r="GN32" s="51">
        <f>Formula!N32</f>
        <v>0.02</v>
      </c>
    </row>
    <row r="33" spans="1:196" x14ac:dyDescent="0.3">
      <c r="A33" s="84" t="str">
        <f>Formula!A33</f>
        <v>NaY2Ge2O12</v>
      </c>
      <c r="B33" s="89">
        <f>((Formula!C33)/(Formula!C33+Formula!E33+Formula!G33+Formula!I33+Formula!K33))*(INDEX(Properties!A$1:CB$87,Formula!B33,3))+((Formula!E33)/(Formula!C33+Formula!E33+Formula!G33+Formula!I33+Formula!K33))*(INDEX(Properties!A$1:CB$87,Formula!D33,3))+((Formula!G33)/(Formula!C33+Formula!E33+Formula!G33+Formula!I33+Formula!K33))*(INDEX(Properties!A$1:CB$87,Formula!F33,3))+((Formula!I33)/(Formula!C33+Formula!E33+Formula!G33+Formula!I33+Formula!K33))*(INDEX(Properties!A$1:CB$87,Formula!H33,3))+((Formula!K33)/(Formula!C33+Formula!E33+Formula!G33+Formula!I33+Formula!K33))*(INDEX(Properties!A$1:CB$87,Formula!J33,3))</f>
        <v>31.650249882352938</v>
      </c>
      <c r="C33" s="85">
        <f>Formula!C33*(INDEX(Properties!A$1:CB$87,Formula!B33,3))+Formula!E33*(INDEX(Properties!A$1:CB$87,Formula!D33,3))+Formula!G33*(INDEX(Properties!A$1:CB$87,Formula!F33,3))+Formula!I33*(INDEX(Properties!A$1:CB$87,Formula!H33,3))+Formula!K33*(INDEX(Properties!A$1:CB$87,Formula!J33,3))</f>
        <v>538.05424799999992</v>
      </c>
      <c r="D33" s="85">
        <f>VARP(IF(INDEX(Properties!A$1:CB$87,Formula!B33,3)&lt;&gt;"",INDEX(Properties!A$1:CB$87,Formula!B33,3)),IF(INDEX(Properties!A$1:CB$87,Formula!D33,3)&lt;&gt;"",INDEX(Properties!A$1:CB$87,Formula!D33,3)),IF(INDEX(Properties!A$1:CB$87,Formula!F33,3)&lt;&gt;"",INDEX(Properties!A$1:CB$87,Formula!F33,3)),IF(INDEX(Properties!A$1:CB$87,Formula!H33,3)&lt;&gt;"",INDEX(Properties!A$1:CB$87,Formula!H33,3)),IF(INDEX(Properties!A$1:CB$87,Formula!J33,3)&lt;&gt;"",INDEX(Properties!A$1:CB$87,Formula!J33,3)))</f>
        <v>1184.3639504958819</v>
      </c>
      <c r="E33" s="85">
        <f>MAX(INDEX(Properties!A$1:CB$87,Formula!B33,3),INDEX(Properties!A$1:CB$87,Formula!D33,3),INDEX(Properties!A$1:CB$87,Formula!F33,3),INDEX(Properties!A$1:CB$87,Formula!H33,3),INDEX(Properties!A$1:CB$87,Formula!J33,3))</f>
        <v>88.905839999999998</v>
      </c>
      <c r="F33" s="85">
        <f>MIN(IF(INDEX(Properties!A$1:CB$87,Formula!B33,3)=0,10^6,INDEX(Properties!A$1:CB$87,Formula!B33,3)),IF(INDEX(Properties!A$1:CB$87,Formula!D33,3)=0,10^6,INDEX(Properties!A$1:CB$87,Formula!D33,3)),IF(INDEX(Properties!A$1:CB$87,Formula!F33,3)=0,10^6,INDEX(Properties!A$1:CB$87,Formula!F33,3)),IF(INDEX(Properties!A$1:CB$87,Formula!H33,3)=0,10^6,INDEX(Properties!A$1:CB$87,Formula!H33,3)),IF(INDEX(Properties!A$1:CB$87,Formula!J33,3)=0,10^6,INDEX(Properties!A$1:CB$87,Formula!J33,3)))</f>
        <v>15.9994</v>
      </c>
      <c r="G33" s="85">
        <f t="shared" si="0"/>
        <v>72.906440000000003</v>
      </c>
      <c r="H33" s="87">
        <f>((Formula!C33)/(Formula!C33+Formula!E33+Formula!G33+Formula!I33+Formula!K33))*(INDEX(Properties!A$1:CB$87,Formula!B33,4))+((Formula!E33)/(Formula!C33+Formula!E33+Formula!G33+Formula!I33+Formula!K33))*(INDEX(Properties!A$1:CB$87,Formula!D33,4))+((Formula!G33)/(Formula!C33+Formula!E33+Formula!G33+Formula!I33+Formula!K33))*(INDEX(Properties!A$1:CB$87,Formula!F33,4))+((Formula!I33)/(Formula!C33+Formula!E33+Formula!G33+Formula!I33+Formula!K33))*(INDEX(Properties!A$1:CB$87,Formula!H33,4))+((Formula!K33)/(Formula!C33+Formula!E33+Formula!G33+Formula!I33+Formula!K33))*(INDEX(Properties!A$1:CB$87,Formula!J33,4))</f>
        <v>14.647058823529413</v>
      </c>
      <c r="I33" s="87">
        <f>Formula!C33*(INDEX(Properties!A$1:CB$87,Formula!B33,4))+Formula!E33*(INDEX(Properties!A$1:CB$87,Formula!D33,4))+Formula!G33*(INDEX(Properties!A$1:CB$87,Formula!F33,4))+Formula!I33*(INDEX(Properties!A$1:CB$87,Formula!H33,4))+Formula!K33*(INDEX(Properties!A$1:CB$87,Formula!J33,4))</f>
        <v>249</v>
      </c>
      <c r="J33" s="87">
        <f>VARP(IF(INDEX(Properties!A$1:CB$87,Formula!B33,4)&lt;&gt;"",INDEX(Properties!A$1:CB$87,Formula!B33,4)),IF(INDEX(Properties!A$1:CB$87,Formula!D33,4)&lt;&gt;"",INDEX(Properties!A$1:CB$87,Formula!D33,4)),IF(INDEX(Properties!A$1:CB$87,Formula!F33,4)&lt;&gt;"",INDEX(Properties!A$1:CB$87,Formula!F33,4)),IF(INDEX(Properties!A$1:CB$87,Formula!H33,4)&lt;&gt;"",INDEX(Properties!A$1:CB$87,Formula!H33,4)),IF(INDEX(Properties!A$1:CB$87,Formula!J33,4)&lt;&gt;"",INDEX(Properties!A$1:CB$87,Formula!J33,4)))</f>
        <v>222</v>
      </c>
      <c r="K33" s="87">
        <f>MAX(INDEX(Properties!A$1:CB$87,Formula!B33,4),INDEX(Properties!A$1:CB$87,Formula!D33,4),INDEX(Properties!A$1:CB$87,Formula!F33,4),INDEX(Properties!A$1:CB$87,Formula!H33,4),INDEX(Properties!A$1:CB$87,Formula!J33,4))</f>
        <v>39</v>
      </c>
      <c r="L33" s="87">
        <f>MIN(IF(INDEX(Properties!A$1:CB$87,Formula!B33,4)=0,10^6,INDEX(Properties!A$1:CB$87,Formula!B33,4)),IF(INDEX(Properties!A$1:CB$87,Formula!D33,4)=0,10^6,INDEX(Properties!A$1:CB$87,Formula!D33,4)),IF(INDEX(Properties!A$1:CB$87,Formula!F33,4)=0,10^6,INDEX(Properties!A$1:CB$87,Formula!F33,4)),IF(INDEX(Properties!A$1:CB$87,Formula!H33,4)=0,10^6,INDEX(Properties!A$1:CB$87,Formula!H33,4)),IF(INDEX(Properties!A$1:CB$87,Formula!J33,4)=0,10^6,INDEX(Properties!A$1:CB$87,Formula!J33,4)))</f>
        <v>8</v>
      </c>
      <c r="M33" s="87">
        <f t="shared" si="1"/>
        <v>31</v>
      </c>
      <c r="N33" s="89">
        <f>((Formula!C33)/(Formula!C33+Formula!E33+Formula!G33+Formula!I33+Formula!K33))*(INDEX(Properties!A$1:CB$87,Formula!B33,5))+((Formula!E33)/(Formula!C33+Formula!E33+Formula!G33+Formula!I33+Formula!K33))*(INDEX(Properties!A$1:CB$87,Formula!D33,5))+((Formula!G33)/(Formula!C33+Formula!E33+Formula!G33+Formula!I33+Formula!K33))*(INDEX(Properties!A$1:CB$87,Formula!F33,5))+((Formula!I33)/(Formula!C33+Formula!E33+Formula!G33+Formula!I33+Formula!K33))*(INDEX(Properties!A$1:CB$87,Formula!H33,5))+((Formula!K33)/(Formula!C33+Formula!E33+Formula!G33+Formula!I33+Formula!K33))*(INDEX(Properties!A$1:CB$87,Formula!J33,5))</f>
        <v>2.6470588235294121</v>
      </c>
      <c r="O33" s="89">
        <f>Formula!C33*(INDEX(Properties!A$1:CB$87,Formula!B33,5))+Formula!E33*(INDEX(Properties!A$1:CB$87,Formula!D33,5))+Formula!G33*(INDEX(Properties!A$1:CB$87,Formula!F33,5))+Formula!I33*(INDEX(Properties!A$1:CB$87,Formula!H33,5))+Formula!K33*(INDEX(Properties!A$1:CB$87,Formula!J33,5))</f>
        <v>45</v>
      </c>
      <c r="P33" s="89">
        <f>VARP(IF(INDEX(Properties!A$1:CB$87,Formula!B33,5)&lt;&gt;"",INDEX(Properties!A$1:CB$87,Formula!B33,5)),IF(INDEX(Properties!A$1:CB$87,Formula!D33,5)&lt;&gt;"",INDEX(Properties!A$1:CB$87,Formula!D33,5)),IF(INDEX(Properties!A$1:CB$87,Formula!F33,5)&lt;&gt;"",INDEX(Properties!A$1:CB$87,Formula!F33,5)),IF(INDEX(Properties!A$1:CB$87,Formula!H33,5)&lt;&gt;"",INDEX(Properties!A$1:CB$87,Formula!H33,5)),IF(INDEX(Properties!A$1:CB$87,Formula!J33,5)&lt;&gt;"",INDEX(Properties!A$1:CB$87,Formula!J33,5)))</f>
        <v>2.96</v>
      </c>
      <c r="Q33" s="89">
        <f>MAX(INDEX(Properties!A$1:CB$87,Formula!B33,5),INDEX(Properties!A$1:CB$87,Formula!D33,5),INDEX(Properties!A$1:CB$87,Formula!F33,5),INDEX(Properties!A$1:CB$87,Formula!H33,5),INDEX(Properties!A$1:CB$87,Formula!J33,5))</f>
        <v>5</v>
      </c>
      <c r="R33" s="89">
        <f>MIN(IF(INDEX(Properties!A$1:CB$87,Formula!B33,5)=0,10^6,INDEX(Properties!A$1:CB$87,Formula!B33,5)),IF(INDEX(Properties!A$1:CB$87,Formula!D33,5)=0,10^6,INDEX(Properties!A$1:CB$87,Formula!D33,5)),IF(INDEX(Properties!A$1:CB$87,Formula!F33,5)=0,10^6,INDEX(Properties!A$1:CB$87,Formula!F33,5)),IF(INDEX(Properties!A$1:CB$87,Formula!H33,5)=0,10^6,INDEX(Properties!A$1:CB$87,Formula!H33,5)),IF(INDEX(Properties!A$1:CB$87,Formula!J33,5)=0,10^6,INDEX(Properties!A$1:CB$87,Formula!J33,5)))</f>
        <v>2</v>
      </c>
      <c r="S33" s="89">
        <f t="shared" si="2"/>
        <v>3</v>
      </c>
      <c r="T33" s="60">
        <f>((Formula!C33)/(Formula!C33+Formula!E33+Formula!G33+Formula!I33+Formula!K33))*(INDEX(Properties!A$1:CB$87,Formula!B33,6))+((Formula!E33)/(Formula!C33+Formula!E33+Formula!G33+Formula!I33+Formula!K33))*(INDEX(Properties!A$1:CB$87,Formula!D33,6))+((Formula!G33)/(Formula!C33+Formula!E33+Formula!G33+Formula!I33+Formula!K33))*(INDEX(Properties!A$1:CB$87,Formula!F33,6))+((Formula!I33)/(Formula!C33+Formula!E33+Formula!G33+Formula!I33+Formula!K33))*(INDEX(Properties!A$1:CB$87,Formula!H33,6))+((Formula!K33)/(Formula!C33+Formula!E33+Formula!G33+Formula!I33+Formula!K33))*(INDEX(Properties!A$1:CB$87,Formula!J33,6))</f>
        <v>13.352941176470589</v>
      </c>
      <c r="U33" s="60">
        <f>Formula!C33*(INDEX(Properties!A$1:CB$87,Formula!B33,6))+Formula!E33*(INDEX(Properties!A$1:CB$87,Formula!D33,6))+Formula!G33*(INDEX(Properties!A$1:CB$87,Formula!F33,6))+Formula!I33*(INDEX(Properties!A$1:CB$87,Formula!H33,6))+Formula!K33*(INDEX(Properties!A$1:CB$87,Formula!J33,6))</f>
        <v>227</v>
      </c>
      <c r="V33" s="89">
        <f>VARP(IF(INDEX(Properties!A$1:CB$87,Formula!B33,6)&lt;&gt;"",INDEX(Properties!A$1:CB$87,Formula!B33,6)),IF(INDEX(Properties!A$1:CB$87,Formula!D33,6)&lt;&gt;"",INDEX(Properties!A$1:CB$87,Formula!D33,6)),IF(INDEX(Properties!A$1:CB$87,Formula!F33,6)&lt;&gt;"",INDEX(Properties!A$1:CB$87,Formula!F33,6)),IF(INDEX(Properties!A$1:CB$87,Formula!H33,6)&lt;&gt;"",INDEX(Properties!A$1:CB$87,Formula!H33,6)),IF(INDEX(Properties!A$1:CB$87,Formula!J33,6)&lt;&gt;"",INDEX(Properties!A$1:CB$87,Formula!J33,6)))</f>
        <v>46.16</v>
      </c>
      <c r="W33" s="60">
        <f>MAX(INDEX(Properties!A$1:CB$87,Formula!B33,6),INDEX(Properties!A$1:CB$87,Formula!D33,6),INDEX(Properties!A$1:CB$87,Formula!F33,6),INDEX(Properties!A$1:CB$87,Formula!H33,4),INDEX(Properties!A$1:CB$87,Formula!J33,6))</f>
        <v>14</v>
      </c>
      <c r="X33" s="60">
        <f>MIN(IF(INDEX(Properties!A$1:CB$87,Formula!B33,6)=0,10^6,INDEX(Properties!A$1:CB$87,Formula!B33,6)),IF(INDEX(Properties!A$1:CB$87,Formula!D33,6)=0,10^6,INDEX(Properties!A$1:CB$87,Formula!D33,6)),IF(INDEX(Properties!A$1:CB$87,Formula!F33,6)=0,10^6,INDEX(Properties!A$1:CB$87,Formula!F33,6)),IF(INDEX(Properties!A$1:CB$87,Formula!H33,6)=0,10^6,INDEX(Properties!A$1:CB$87,Formula!H33,6)),IF(INDEX(Properties!A$1:CB$87,Formula!J33,6)=0,10^6,INDEX(Properties!A$1:CB$87,Formula!J33,6)))</f>
        <v>1</v>
      </c>
      <c r="Y33" s="60">
        <f t="shared" si="3"/>
        <v>13</v>
      </c>
      <c r="Z33" s="72">
        <f>((Formula!C33)/(Formula!C33+Formula!E33+Formula!G33+Formula!I33+Formula!K33))*(INDEX(Properties!A$1:CB$87,Formula!B33,9))+((Formula!E33)/(Formula!C33+Formula!E33+Formula!G33+Formula!I33+Formula!K33))*(INDEX(Properties!A$1:CB$87,Formula!D33,9))+((Formula!G33)/(Formula!C33+Formula!E33+Formula!G33+Formula!I33+Formula!K33))*(INDEX(Properties!A$1:CB$87,Formula!F33,9))+((Formula!I33)/(Formula!C33+Formula!E33+Formula!G33+Formula!I33+Formula!K33))*(INDEX(Properties!A$1:CB$87,Formula!H33,9))+((Formula!K33)/(Formula!C33+Formula!E33+Formula!G33+Formula!I33+Formula!K33))*(INDEX(Properties!A$1:CB$87,Formula!J33,9))</f>
        <v>72.235294117647058</v>
      </c>
      <c r="AA33" s="72">
        <f>Formula!C33*(INDEX(Properties!A$1:CB$87,Formula!B33,9))+Formula!E33*(INDEX(Properties!A$1:CB$87,Formula!D33,9))+Formula!G33*(INDEX(Properties!A$1:CB$87,Formula!F33,9))+Formula!I33*(INDEX(Properties!A$1:CB$87,Formula!H33,9))+Formula!K33*(INDEX(Properties!A$1:CB$87,Formula!J33,9))</f>
        <v>1228</v>
      </c>
      <c r="AB33" s="72">
        <f>VARP(IF(INDEX(Properties!A$1:CB$87,Formula!B33,9)&lt;&gt;"",INDEX(Properties!A$1:CB$87,Formula!B33,9)),IF(INDEX(Properties!A$1:CB$87,Formula!D33,9)&lt;&gt;"",INDEX(Properties!A$1:CB$87,Formula!D33,9)),IF(INDEX(Properties!A$1:CB$87,Formula!F33,9)&lt;&gt;"",INDEX(Properties!A$1:CB$87,Formula!F33,9)),IF(INDEX(Properties!A$1:CB$87,Formula!H33,9)&lt;&gt;"",INDEX(Properties!A$1:CB$87,Formula!H33,9)),IF(INDEX(Properties!A$1:CB$87,Formula!J33,9)&lt;&gt;"",INDEX(Properties!A$1:CB$87,Formula!J33,9)))</f>
        <v>1495.6</v>
      </c>
      <c r="AC33" s="72">
        <f>MAX(INDEX(Properties!A$1:CB$87,Formula!B33,9),INDEX(Properties!A$1:CB$87,Formula!D33,9),INDEX(Properties!A$1:CB$87,Formula!F33,9),INDEX(Properties!A$1:CB$87,Formula!H33,9),INDEX(Properties!A$1:CB$87,Formula!J33,9))</f>
        <v>87</v>
      </c>
      <c r="AD33" s="72">
        <f>MIN(IF(INDEX(Properties!A$1:CB$87,Formula!B33,9)=0,10^6,INDEX(Properties!A$1:CB$87,Formula!B33,9)),IF(INDEX(Properties!A$1:CB$87,Formula!D33,9)=0,10^6,INDEX(Properties!A$1:CB$87,Formula!D33,9)),IF(INDEX(Properties!A$1:CB$87,Formula!F33,9)=0,10^6,INDEX(Properties!A$1:CB$87,Formula!F33,9)),IF(INDEX(Properties!A$1:CB$87,Formula!H33,9)=0,10^6,INDEX(Properties!A$1:CB$87,Formula!H33,9)),IF(INDEX(Properties!A$1:CB$87,Formula!J33,9)=0,10^6,INDEX(Properties!A$1:CB$87,Formula!J33,9)))</f>
        <v>2</v>
      </c>
      <c r="AE33" s="72">
        <f t="shared" si="4"/>
        <v>85</v>
      </c>
      <c r="AF33" s="51">
        <f>((Formula!C33)/(Formula!C33+Formula!E33+Formula!G33+Formula!I33+Formula!K33))*(INDEX(Properties!A$1:CB$87,Formula!B33,10))+((Formula!E33)/(Formula!C33+Formula!E33+Formula!G33+Formula!I33+Formula!K33))*(INDEX(Properties!A$1:CB$87,Formula!D33,10))+((Formula!G33)/(Formula!C33+Formula!E33+Formula!G33+Formula!I33+Formula!K33))*(INDEX(Properties!A$1:CB$87,Formula!F33,10))+((Formula!I33)/(Formula!C33+Formula!E33+Formula!G33+Formula!I33+Formula!K33))*(INDEX(Properties!A$1:CB$87,Formula!H33,10))+((Formula!K33)/(Formula!C33+Formula!E33+Formula!G33+Formula!I33+Formula!K33))*(INDEX(Properties!A$1:CB$87,Formula!J33,10))</f>
        <v>6.0588235294117645</v>
      </c>
      <c r="AG33" s="51">
        <f>Formula!C33*(INDEX(Properties!A$1:CB$87,Formula!B33,10))+Formula!E33*(INDEX(Properties!A$1:CB$87,Formula!D33,10))+Formula!G33*(INDEX(Properties!A$1:CB$87,Formula!F33,10))+Formula!I33*(INDEX(Properties!A$1:CB$87,Formula!H33,10))+Formula!K33*(INDEX(Properties!A$1:CB$87,Formula!J33,10))</f>
        <v>103</v>
      </c>
      <c r="AH33" s="51">
        <f>VARP(IF(INDEX(Properties!A$1:CB$87,Formula!B33,10)&lt;&gt;"",INDEX(Properties!A$1:CB$87,Formula!B33,10)),IF(INDEX(Properties!A$1:CB$87,Formula!D33,10)&lt;&gt;"",INDEX(Properties!A$1:CB$87,Formula!D33,10)),IF(INDEX(Properties!A$1:CB$87,Formula!F33,10)&lt;&gt;"",INDEX(Properties!A$1:CB$87,Formula!F33,10)),IF(INDEX(Properties!A$1:CB$87,Formula!H33,10)&lt;&gt;"",INDEX(Properties!A$1:CB$87,Formula!H33,10)),IF(INDEX(Properties!A$1:CB$87,Formula!J33,10)&lt;&gt;"",INDEX(Properties!A$1:CB$87,Formula!J33,10)))</f>
        <v>7.44</v>
      </c>
      <c r="AI33" s="51">
        <f>MAX(INDEX(Properties!A$1:CB$87,Formula!B33,10),INDEX(Properties!A$1:CB$87,Formula!D33,10),INDEX(Properties!A$1:CB$87,Formula!F33,10),INDEX(Properties!A$1:CB$87,Formula!H33,10),INDEX(Properties!A$1:CB$87,Formula!J33,10))</f>
        <v>7</v>
      </c>
      <c r="AJ33" s="51">
        <f>MIN(IF(INDEX(Properties!A$1:CB$87,Formula!B33,10)=0,10^6,INDEX(Properties!A$1:CB$87,Formula!B33,10)),IF(INDEX(Properties!A$1:CB$87,Formula!D33,10)=0,10^6,INDEX(Properties!A$1:CB$87,Formula!D33,10)),IF(INDEX(Properties!A$1:CB$87,Formula!F33,10)=0,10^6,INDEX(Properties!A$1:CB$87,Formula!F33,10)),IF(INDEX(Properties!A$1:CB$87,Formula!H33,10)=0,10^6,INDEX(Properties!A$1:CB$87,Formula!H33,10)),IF(INDEX(Properties!A$1:CB$87,Formula!J33,10)=0,10^6,INDEX(Properties!A$1:CB$87,Formula!J33,10)))</f>
        <v>1</v>
      </c>
      <c r="AK33" s="51">
        <f t="shared" si="5"/>
        <v>6</v>
      </c>
      <c r="AL33" s="57">
        <f>((Formula!C33)/(Formula!C33+Formula!E33+Formula!G33+Formula!I33+Formula!K33))*(INDEX(Properties!A$1:CB$87,Formula!B33,11))+((Formula!E33)/(Formula!C33+Formula!E33+Formula!G33+Formula!I33+Formula!K33))*(INDEX(Properties!A$1:CB$87,Formula!D33,11))+((Formula!G33)/(Formula!C33+Formula!E33+Formula!G33+Formula!I33+Formula!K33))*(INDEX(Properties!A$1:CB$87,Formula!F33,11))+((Formula!I33)/(Formula!C33+Formula!E33+Formula!G33+Formula!I33+Formula!K33))*(INDEX(Properties!A$1:CB$87,Formula!H33,11))+((Formula!K33)/(Formula!C33+Formula!E33+Formula!G33+Formula!I33+Formula!K33))*(INDEX(Properties!A$1:CB$87,Formula!J33,11))</f>
        <v>1.9411764705882355</v>
      </c>
      <c r="AM33" s="57">
        <f>Formula!C33*(INDEX(Properties!A$1:CB$87,Formula!B33,11))+Formula!E33*(INDEX(Properties!A$1:CB$87,Formula!D33,11))+Formula!G33*(INDEX(Properties!A$1:CB$87,Formula!F33,11))+Formula!I33*(INDEX(Properties!A$1:CB$87,Formula!H33,11))+Formula!K33*(INDEX(Properties!A$1:CB$87,Formula!J33,11))</f>
        <v>33</v>
      </c>
      <c r="AN33" s="57">
        <f>VARP(IF(INDEX(Properties!A$1:CB$87,Formula!B33,11)&lt;&gt;"",INDEX(Properties!A$1:CB$87,Formula!B33,11)),IF(INDEX(Properties!A$1:CB$87,Formula!D33,11)&lt;&gt;"",INDEX(Properties!A$1:CB$87,Formula!D33,11)),IF(INDEX(Properties!A$1:CB$87,Formula!F33,11)&lt;&gt;"",INDEX(Properties!A$1:CB$87,Formula!F33,11)),IF(INDEX(Properties!A$1:CB$87,Formula!H33,11)&lt;&gt;"",INDEX(Properties!A$1:CB$87,Formula!H33,11)),IF(INDEX(Properties!A$1:CB$87,Formula!J33,11)&lt;&gt;"",INDEX(Properties!A$1:CB$87,Formula!J33,11)))</f>
        <v>0.64</v>
      </c>
      <c r="AO33" s="57">
        <f>MAX(INDEX(Properties!A$1:CB$87,Formula!B33,11),INDEX(Properties!A$1:CB$87,Formula!D33,11),INDEX(Properties!A$1:CB$87,Formula!F33,11),INDEX(Properties!A$1:CB$87,Formula!H33,11),INDEX(Properties!A$1:CB$87,Formula!J33,11))</f>
        <v>2</v>
      </c>
      <c r="AP33" s="57">
        <f>MIN(IF(Formula!B33=87,10^6,INDEX(Properties!A$1:CB$87,Formula!B33,11)),IF((Formula!D33)=87,10^6,INDEX(Properties!A$1:CB$87,Formula!D33,11)),IF((Formula!F33)=87,10^6,INDEX(Properties!A$1:CB$87,Formula!F33,11)),IF((Formula!H33)=87,10^6,INDEX(Properties!A$1:CB$87,Formula!H33,11)),IF(Formula!J33=87,10^6,INDEX(Properties!A$1:CB$87,Formula!J33,11)))</f>
        <v>1</v>
      </c>
      <c r="AQ33" s="57">
        <f t="shared" si="6"/>
        <v>1</v>
      </c>
      <c r="AR33" s="78">
        <f>((Formula!C33)/(Formula!C33+Formula!E33+Formula!G33+Formula!I33+Formula!K33))*(INDEX(Properties!A$1:CB$87,Formula!B33,12))+((Formula!E33)/(Formula!C33+Formula!E33+Formula!G33+Formula!I33+Formula!K33))*(INDEX(Properties!A$1:CB$87,Formula!D33,12))+((Formula!G33)/(Formula!C33+Formula!E33+Formula!G33+Formula!I33+Formula!K33))*(INDEX(Properties!A$1:CB$87,Formula!F33,12))+((Formula!I33)/(Formula!C33+Formula!E33+Formula!G33+Formula!I33+Formula!K33))*(INDEX(Properties!A$1:CB$87,Formula!H33,12))+((Formula!K33)/(Formula!C33+Formula!E33+Formula!G33+Formula!I33+Formula!K33))*(INDEX(Properties!A$1:CB$87,Formula!J33,12))</f>
        <v>3.0588235294117649</v>
      </c>
      <c r="AS33" s="78">
        <f>Formula!C33*(INDEX(Properties!A$1:CB$87,Formula!B33,12))+Formula!E33*(INDEX(Properties!A$1:CB$87,Formula!D33,12))+Formula!G33*(INDEX(Properties!A$1:CB$87,Formula!F33,12))+Formula!I33*(INDEX(Properties!A$1:CB$87,Formula!H33,12))+Formula!K33*(INDEX(Properties!A$1:CB$87,Formula!J33,12))</f>
        <v>52</v>
      </c>
      <c r="AT33" s="78">
        <f>VARP(IF(INDEX(Properties!A$1:CB$87,Formula!B33,12)&lt;&gt;"",INDEX(Properties!A$1:CB$87,Formula!B33,12)),IF(INDEX(Properties!A$1:CB$87,Formula!D33,12)&lt;&gt;"",INDEX(Properties!A$1:CB$87,Formula!D33,12)),IF(INDEX(Properties!A$1:CB$87,Formula!F33,12)&lt;&gt;"",INDEX(Properties!A$1:CB$87,Formula!F33,12)),IF(INDEX(Properties!A$1:CB$87,Formula!H33,12)&lt;&gt;"",INDEX(Properties!A$1:CB$87,Formula!H33,12)),IF(INDEX(Properties!A$1:CB$87,Formula!J33,12)&lt;&gt;"",INDEX(Properties!A$1:CB$87,Formula!J33,12)))</f>
        <v>2.56</v>
      </c>
      <c r="AU33" s="78">
        <f>MAX(INDEX(Properties!A$1:CB$87,Formula!B33,12),INDEX(Properties!A$1:CB$87,Formula!D33,12),INDEX(Properties!A$1:CB$87,Formula!F33,12),INDEX(Properties!A$1:CB$87,Formula!H33,12),INDEX(Properties!A$1:CB$87,Formula!J33,12))</f>
        <v>4</v>
      </c>
      <c r="AV33" s="78">
        <f>MIN(IF(Formula!B33=87,10^6,INDEX(Properties!A$1:CB$87,Formula!B33,12)),IF((Formula!D33)=87,10^6,INDEX(Properties!A$1:CB$87,Formula!D33,12)),IF((Formula!F33)=87,10^6,INDEX(Properties!A$1:CB$87,Formula!F33,12)),IF((Formula!H33)=87,10^6,INDEX(Properties!A$1:CB$87,Formula!H33,12)),IF(Formula!J33=87,10^6,INDEX(Properties!A$1:CB$87,Formula!J33,12)))</f>
        <v>0</v>
      </c>
      <c r="AW33" s="78">
        <f t="shared" si="7"/>
        <v>4</v>
      </c>
      <c r="AX33" s="45">
        <f>((Formula!C33)/(Formula!C33+Formula!E33+Formula!G33+Formula!I33+Formula!K33))*(INDEX(Properties!A$1:CB$87,Formula!B33,13))+((Formula!E33)/(Formula!C33+Formula!E33+Formula!G33+Formula!I33+Formula!K33))*(INDEX(Properties!A$1:CB$87,Formula!D33,13))+((Formula!G33)/(Formula!C33+Formula!E33+Formula!G33+Formula!I33+Formula!K33))*(INDEX(Properties!A$1:CB$87,Formula!F33,13))+((Formula!I33)/(Formula!C33+Formula!E33+Formula!G33+Formula!I33+Formula!K33))*(INDEX(Properties!A$1:CB$87,Formula!H33,13))+((Formula!K33)/(Formula!C33+Formula!E33+Formula!G33+Formula!I33+Formula!K33))*(INDEX(Properties!A$1:CB$87,Formula!J33,13))</f>
        <v>1.2941176470588236</v>
      </c>
      <c r="AY33" s="45">
        <f>Formula!C33*(INDEX(Properties!A$1:CB$87,Formula!B33,13))+Formula!E33*(INDEX(Properties!A$1:CB$87,Formula!D33,13))+Formula!G33*(INDEX(Properties!A$1:CB$87,Formula!F33,13))+Formula!I33*(INDEX(Properties!A$1:CB$87,Formula!H33,13))+Formula!K33*(INDEX(Properties!A$1:CB$87,Formula!J33,13))</f>
        <v>22</v>
      </c>
      <c r="AZ33" s="45">
        <f>VARP(IF(INDEX(Properties!A$1:CB$87,Formula!B33,13)&lt;&gt;"",INDEX(Properties!A$1:CB$87,Formula!B33,13)),IF(INDEX(Properties!A$1:CB$87,Formula!D33,13)&lt;&gt;"",INDEX(Properties!A$1:CB$87,Formula!D33,13)),IF(INDEX(Properties!A$1:CB$87,Formula!F33,13)&lt;&gt;"",INDEX(Properties!A$1:CB$87,Formula!F33,13)),IF(INDEX(Properties!A$1:CB$87,Formula!H33,13)&lt;&gt;"",INDEX(Properties!A$1:CB$87,Formula!H33,13)),IF(INDEX(Properties!A$1:CB$87,Formula!J33,13)&lt;&gt;"",INDEX(Properties!A$1:CB$87,Formula!J33,13)))</f>
        <v>15.36</v>
      </c>
      <c r="BA33" s="45">
        <f>MAX(INDEX(Properties!A$1:CB$87,Formula!B33,13),INDEX(Properties!A$1:CB$87,Formula!D33,13),INDEX(Properties!A$1:CB$87,Formula!F33,13),INDEX(Properties!A$1:CB$87,Formula!H33,13),INDEX(Properties!A$1:CB$87,Formula!J33,13))</f>
        <v>10</v>
      </c>
      <c r="BB33" s="45">
        <f>MIN(IF(Formula!B33=87,10^6,INDEX(Properties!A$1:CB$87,Formula!B33,13)),IF((Formula!D33)=87,10^6,INDEX(Properties!A$1:CB$87,Formula!D33,13)),IF((Formula!F33)=87,10^6,INDEX(Properties!A$1:CB$87,Formula!F33,13)),IF((Formula!H33)=87,10^6,INDEX(Properties!A$1:CB$87,Formula!H33,13)),IF(Formula!J33=87,10^6,INDEX(Properties!A$1:CB$87,Formula!J33,13)))</f>
        <v>0</v>
      </c>
      <c r="BC33" s="45">
        <f t="shared" si="8"/>
        <v>10</v>
      </c>
      <c r="BD33" s="63">
        <f>((Formula!C33)/(Formula!C33+Formula!E33+Formula!G33+Formula!I33+Formula!K33))*(INDEX(Properties!A$1:CB$87,Formula!B33,14))+((Formula!E33)/(Formula!C33+Formula!E33+Formula!G33+Formula!I33+Formula!K33))*(INDEX(Properties!A$1:CB$87,Formula!D33,14))+((Formula!G33)/(Formula!C33+Formula!E33+Formula!G33+Formula!I33+Formula!K33))*(INDEX(Properties!A$1:CB$87,Formula!F33,14))+((Formula!I33)/(Formula!C33+Formula!E33+Formula!G33+Formula!I33+Formula!K33))*(INDEX(Properties!A$1:CB$87,Formula!H33,14))+((Formula!K33)/(Formula!C33+Formula!E33+Formula!G33+Formula!I33+Formula!K33))*(INDEX(Properties!A$1:CB$87,Formula!J33,14))</f>
        <v>0</v>
      </c>
      <c r="BE33" s="63">
        <f>Formula!C33*(INDEX(Properties!A$1:CB$87,Formula!B33,14))+Formula!E33*(INDEX(Properties!A$1:CB$87,Formula!D33,14))+Formula!G33*(INDEX(Properties!A$1:CB$87,Formula!F33,14))+Formula!I33*(INDEX(Properties!A$1:CB$87,Formula!H33,14))+Formula!K33*(INDEX(Properties!A$1:CB$87,Formula!J33,14))</f>
        <v>0</v>
      </c>
      <c r="BF33" s="63">
        <f>VARP(IF(INDEX(Properties!A$1:CB$87,Formula!B33,14)&lt;&gt;"",INDEX(Properties!A$1:CB$87,Formula!B33,14)),IF(INDEX(Properties!A$1:CB$87,Formula!D33,14)&lt;&gt;"",INDEX(Properties!A$1:CB$87,Formula!D33,14)),IF(INDEX(Properties!A$1:CB$87,Formula!F33,14)&lt;&gt;"",INDEX(Properties!A$1:CB$87,Formula!F33,14)),IF(INDEX(Properties!A$1:CB$87,Formula!H33,14)&lt;&gt;"",INDEX(Properties!A$1:CB$87,Formula!H33,14)),IF(INDEX(Properties!A$1:CB$87,Formula!J33,14)&lt;&gt;"",INDEX(Properties!A$1:CB$87,Formula!J33,14)))</f>
        <v>0</v>
      </c>
      <c r="BG33" s="63">
        <f>MAX(INDEX(Properties!A$1:CB$87,Formula!B33,14),INDEX(Properties!A$1:CB$87,Formula!D33,14),INDEX(Properties!A$1:CB$87,Formula!F33,14),INDEX(Properties!A$1:CB$87,Formula!H33,14),INDEX(Properties!A$1:CB$87,Formula!J33,14))</f>
        <v>0</v>
      </c>
      <c r="BH33" s="63">
        <f>MIN(IF(Formula!B33=87,10^6,INDEX(Properties!A$1:CB$87,Formula!B33,14)),IF((Formula!D33)=87,10^6,INDEX(Properties!A$1:CB$87,Formula!D33,14)),IF((Formula!F33)=87,10^6,INDEX(Properties!A$1:CB$87,Formula!F33,14)),IF((Formula!H33)=87,10^6,INDEX(Properties!A$1:CB$87,Formula!H33,14)),IF(Formula!J33=87,10^6,INDEX(Properties!A$1:CB$87,Formula!J33,14)))</f>
        <v>0</v>
      </c>
      <c r="BI33" s="63">
        <f t="shared" si="9"/>
        <v>0</v>
      </c>
      <c r="BJ33" s="75">
        <f>((Formula!C33)/(Formula!C33+Formula!E33+Formula!G33+Formula!I33+Formula!K33))*(INDEX(Properties!A$1:CB$87,Formula!B33,19))+((Formula!E33)/(Formula!C33+Formula!E33+Formula!G33+Formula!I33+Formula!K33))*(INDEX(Properties!A$1:CB$87,Formula!D33,19))+((Formula!G33)/(Formula!C33+Formula!E33+Formula!G33+Formula!I33+Formula!K33))*(INDEX(Properties!A$1:CB$87,Formula!F33,19))+((Formula!I33)/(Formula!C33+Formula!E33+Formula!G33+Formula!I33+Formula!K33))*(INDEX(Properties!A$1:CB$87,Formula!H33,19))+((Formula!K33)/(Formula!C33+Formula!E33+Formula!G33+Formula!I33+Formula!K33))*(INDEX(Properties!A$1:CB$87,Formula!J33,19))</f>
        <v>6.2941176470588234</v>
      </c>
      <c r="BK33" s="75">
        <f>Formula!C33*(INDEX(Properties!A$1:CB$87,Formula!B33,19))+Formula!E33*(INDEX(Properties!A$1:CB$87,Formula!D33,19))+Formula!G33*(INDEX(Properties!A$1:CB$87,Formula!F33,19))+Formula!I33*(INDEX(Properties!A$1:CB$87,Formula!H33,19))+Formula!K33*(INDEX(Properties!A$1:CB$87,Formula!J33,19))</f>
        <v>107</v>
      </c>
      <c r="BL33" s="75">
        <f>VARP(IF(INDEX(Properties!A$1:CB$87,Formula!B33,19)&lt;&gt;"",INDEX(Properties!A$1:CB$87,Formula!B33,19)),IF(INDEX(Properties!A$1:CB$87,Formula!D33,19)&lt;&gt;"",INDEX(Properties!A$1:CB$87,Formula!D33,19)),IF(INDEX(Properties!A$1:CB$87,Formula!F33,19)&lt;&gt;"",INDEX(Properties!A$1:CB$87,Formula!F33,19)),IF(INDEX(Properties!A$1:CB$87,Formula!H33,19)&lt;&gt;"",INDEX(Properties!A$1:CB$87,Formula!H33,19)),IF(INDEX(Properties!A$1:CB$87,Formula!J33,19)&lt;&gt;"",INDEX(Properties!A$1:CB$87,Formula!J33,19)))</f>
        <v>25.36</v>
      </c>
      <c r="BM33" s="75">
        <f>MAX(INDEX(Properties!A$1:CB$87,Formula!B33,19),INDEX(Properties!A$1:CB$87,Formula!D33,19),INDEX(Properties!A$1:CB$87,Formula!F33,19),INDEX(Properties!A$1:CB$87,Formula!H33,19),INDEX(Properties!A$1:CB$87,Formula!J33,19))</f>
        <v>14</v>
      </c>
      <c r="BN33" s="75">
        <f>MIN(IF(INDEX(Properties!A$1:CB$87,Formula!B33,19)=0,10^6,INDEX(Properties!A$1:CB$87,Formula!B33,19)),IF(INDEX(Properties!A$1:CB$87,Formula!D33,19)=0,10^6,INDEX(Properties!A$1:CB$87,Formula!D33,19)),IF(INDEX(Properties!A$1:CB$87,Formula!F33,19)=0,10^6,INDEX(Properties!A$1:CB$87,Formula!F33,19)),IF(INDEX(Properties!A$1:CB$87,Formula!H33,19)=0,10^6,INDEX(Properties!A$1:CB$87,Formula!H33,19)),IF(INDEX(Properties!A$1:CB$87,Formula!J33,19)=0,10^6,INDEX(Properties!A$1:CB$87,Formula!J33,19)))</f>
        <v>1</v>
      </c>
      <c r="BO33" s="75">
        <f t="shared" si="10"/>
        <v>13</v>
      </c>
      <c r="BP33" s="48">
        <f>((Formula!C33)/(Formula!C33+Formula!E33+Formula!G33+Formula!I33+Formula!K33))*(INDEX(Properties!A$1:CB$87,Formula!B33,20))+((Formula!E33)/(Formula!C33+Formula!E33+Formula!G33+Formula!I33+Formula!K33))*(INDEX(Properties!A$1:CB$87,Formula!D33,20))+((Formula!G33)/(Formula!C33+Formula!E33+Formula!G33+Formula!I33+Formula!K33))*(INDEX(Properties!A$1:CB$87,Formula!F33,20))+((Formula!I33)/(Formula!C33+Formula!E33+Formula!G33+Formula!I33+Formula!K33))*(INDEX(Properties!A$1:CB$87,Formula!H33,20))+((Formula!K33)/(Formula!C33+Formula!E33+Formula!G33+Formula!I33+Formula!K33))*(INDEX(Properties!A$1:CB$87,Formula!J33,20))</f>
        <v>5</v>
      </c>
      <c r="BQ33" s="48">
        <f>Formula!C33*(INDEX(Properties!A$1:CB$87,Formula!B33,20))+Formula!E33*(INDEX(Properties!A$1:CB$87,Formula!D33,20))+Formula!G33*(INDEX(Properties!A$1:CB$87,Formula!F33,20))+Formula!I33*(INDEX(Properties!A$1:CB$87,Formula!H33,20))+Formula!K33*(INDEX(Properties!A$1:CB$87,Formula!J33,20))</f>
        <v>85</v>
      </c>
      <c r="BR33" s="48">
        <f>VARP(IF(INDEX(Properties!A$1:CB$87,Formula!B33,20)&lt;&gt;"",INDEX(Properties!A$1:CB$87,Formula!B33,20)),IF(INDEX(Properties!A$1:CB$87,Formula!D33,20)&lt;&gt;"",INDEX(Properties!A$1:CB$87,Formula!D33,20)),IF(INDEX(Properties!A$1:CB$87,Formula!F33,20)&lt;&gt;"",INDEX(Properties!A$1:CB$87,Formula!F33,20)),IF(INDEX(Properties!A$1:CB$87,Formula!H33,20)&lt;&gt;"",INDEX(Properties!A$1:CB$87,Formula!H33,20)),IF(INDEX(Properties!A$1:CB$87,Formula!J33,20)&lt;&gt;"",INDEX(Properties!A$1:CB$87,Formula!J33,20)))</f>
        <v>4.6399999999999997</v>
      </c>
      <c r="BS33" s="48">
        <f>MAX(INDEX(Properties!A$1:CB$87,Formula!B33,20),INDEX(Properties!A$1:CB$87,Formula!D33,20),INDEX(Properties!A$1:CB$87,Formula!F33,20),INDEX(Properties!A$1:CB$87,Formula!H33,20),INDEX(Properties!A$1:CB$87,Formula!J33,20))</f>
        <v>6</v>
      </c>
      <c r="BT33" s="48">
        <f>MIN(IF(INDEX(Properties!A$1:CB$87,Formula!B33,20)=0,10^6,INDEX(Properties!A$1:CB$87,Formula!B33,20)),IF(INDEX(Properties!A$1:CB$87,Formula!D33,20)=0,10^6,INDEX(Properties!A$1:CB$87,Formula!D33,20)),IF(INDEX(Properties!A$1:CB$87,Formula!F33,20)=0,10^6,INDEX(Properties!A$1:CB$87,Formula!F33,20)),IF(INDEX(Properties!A$1:CB$87,Formula!H33,20)=0,10^6,INDEX(Properties!A$1:CB$87,Formula!H33,20)),IF(INDEX(Properties!A$1:CB$87,Formula!J33,20)=0,10^6,INDEX(Properties!A$1:CB$87,Formula!J33,20)))</f>
        <v>1</v>
      </c>
      <c r="BU33" s="48">
        <f t="shared" si="11"/>
        <v>5</v>
      </c>
      <c r="BV33" s="66">
        <f>((Formula!C33)/(Formula!C33+Formula!E33+Formula!G33+Formula!I33+Formula!K33))*(INDEX(Properties!A$1:CB$87,Formula!B33,21))+((Formula!E33)/(Formula!C33+Formula!E33+Formula!G33+Formula!I33+Formula!K33))*(INDEX(Properties!A$1:CB$87,Formula!D33,21))+((Formula!G33)/(Formula!C33+Formula!E33+Formula!G33+Formula!I33+Formula!K33))*(INDEX(Properties!A$1:CB$87,Formula!F33,21))+((Formula!I33)/(Formula!C33+Formula!E33+Formula!G33+Formula!I33+Formula!K33))*(INDEX(Properties!A$1:CB$87,Formula!H33,21))+((Formula!K33)/(Formula!C33+Formula!E33+Formula!G33+Formula!I33+Formula!K33))*(INDEX(Properties!A$1:CB$87,Formula!J33,21))</f>
        <v>4.882352941176471</v>
      </c>
      <c r="BW33" s="66">
        <f>Formula!C33*(INDEX(Properties!A$1:CB$87,Formula!B33,21))+Formula!E33*(INDEX(Properties!A$1:CB$87,Formula!D33,21))+Formula!G33*(INDEX(Properties!A$1:CB$87,Formula!F33,21))+Formula!I33*(INDEX(Properties!A$1:CB$87,Formula!H33,21))+Formula!K33*(INDEX(Properties!A$1:CB$87,Formula!J33,21))</f>
        <v>83</v>
      </c>
      <c r="BX33" s="66">
        <f>VARP(IF(INDEX(Properties!A$1:CB$87,Formula!B33,21)&lt;&gt;"",INDEX(Properties!A$1:CB$87,Formula!B33,21)),IF(INDEX(Properties!A$1:CB$87,Formula!D33,21)&lt;&gt;"",INDEX(Properties!A$1:CB$87,Formula!D33,21)),IF(INDEX(Properties!A$1:CB$87,Formula!F33,21)&lt;&gt;"",INDEX(Properties!A$1:CB$87,Formula!F33,21)),IF(INDEX(Properties!A$1:CB$87,Formula!H33,21)&lt;&gt;"",INDEX(Properties!A$1:CB$87,Formula!H33,21)),IF(INDEX(Properties!A$1:CB$87,Formula!J33,21)&lt;&gt;"",INDEX(Properties!A$1:CB$87,Formula!J33,21)))</f>
        <v>5.04</v>
      </c>
      <c r="BY33" s="66">
        <f>MAX(INDEX(Properties!A$1:CB$87,Formula!B33,21),INDEX(Properties!A$1:CB$87,Formula!D33,21),INDEX(Properties!A$1:CB$87,Formula!F33,21),INDEX(Properties!A$1:CB$87,Formula!H33,21),INDEX(Properties!A$1:CB$87,Formula!J33,21))</f>
        <v>6</v>
      </c>
      <c r="BZ33" s="66">
        <f>MIN(IF(INDEX(Properties!A$1:CB$87,Formula!B33,21)=0,10^6,INDEX(Properties!A$1:CB$87,Formula!B33,21)),IF(INDEX(Properties!A$1:CB$87,Formula!D33,21)=0,10^6,INDEX(Properties!A$1:CB$87,Formula!D33,21)),IF(INDEX(Properties!A$1:CB$87,Formula!F33,21)=0,10^6,INDEX(Properties!A$1:CB$87,Formula!F33,21)),IF(INDEX(Properties!A$1:CB$87,Formula!H33,21)=0,10^6,INDEX(Properties!A$1:CB$87,Formula!H33,21)),IF(INDEX(Properties!A$1:CB$87,Formula!J33,21)=0,10^6,INDEX(Properties!A$1:CB$87,Formula!J33,21)))</f>
        <v>1</v>
      </c>
      <c r="CA33" s="66">
        <f t="shared" si="12"/>
        <v>5</v>
      </c>
      <c r="CB33" s="81">
        <f>((Formula!C33)/(Formula!C33+Formula!E33+Formula!G33+Formula!I33+Formula!K33))*(INDEX(Properties!A$1:CB$87,Formula!B33,23))+((Formula!E33)/(Formula!C33+Formula!E33+Formula!G33+Formula!I33+Formula!K33))*(INDEX(Properties!A$1:CB$87,Formula!D33,23))+((Formula!G33)/(Formula!C33+Formula!E33+Formula!G33+Formula!I33+Formula!K33))*(INDEX(Properties!A$1:CB$87,Formula!F33,23))+((Formula!I33)/(Formula!C33+Formula!E33+Formula!G33+Formula!I33+Formula!K33))*(INDEX(Properties!A$1:CB$87,Formula!H33,23))+((Formula!K33)/(Formula!C33+Formula!E33+Formula!G33+Formula!I33+Formula!K33))*(INDEX(Properties!A$1:CB$87,Formula!J33,23))</f>
        <v>0.88235294117647056</v>
      </c>
      <c r="CC33" s="81">
        <f>Formula!C33*(INDEX(Properties!A$1:CB$87,Formula!B33,23))+Formula!E33*(INDEX(Properties!A$1:CB$87,Formula!D33,23))+Formula!G33*(INDEX(Properties!A$1:CB$87,Formula!F33,23))+Formula!I33*(INDEX(Properties!A$1:CB$87,Formula!H33,23))+Formula!K33*(INDEX(Properties!A$1:CB$87,Formula!J33,23))</f>
        <v>15</v>
      </c>
      <c r="CD33" s="81">
        <f>VARP(IF(INDEX(Properties!A$1:CB$87,Formula!B33,23)&lt;&gt;"",INDEX(Properties!A$1:CB$87,Formula!B33,23)),IF(INDEX(Properties!A$1:CB$87,Formula!D33,23)&lt;&gt;"",INDEX(Properties!A$1:CB$87,Formula!D33,23)),IF(INDEX(Properties!A$1:CB$87,Formula!F33,23)&lt;&gt;"",INDEX(Properties!A$1:CB$87,Formula!F33,23)),IF(INDEX(Properties!A$1:CB$87,Formula!H33,23)&lt;&gt;"",INDEX(Properties!A$1:CB$87,Formula!H33,23)),IF(INDEX(Properties!A$1:CB$87,Formula!J33,23)&lt;&gt;"",INDEX(Properties!A$1:CB$87,Formula!J33,23)))</f>
        <v>2.64</v>
      </c>
      <c r="CE33" s="81">
        <f>MAX(INDEX(Properties!A$1:CB$87,Formula!B33,23),INDEX(Properties!A$1:CB$87,Formula!D33,23),INDEX(Properties!A$1:CB$87,Formula!F33,23),INDEX(Properties!A$1:CB$87,Formula!H33,23),INDEX(Properties!A$1:CB$87,Formula!J33,23))</f>
        <v>4</v>
      </c>
      <c r="CF33" s="81">
        <f>MIN(IF(Formula!B33=87,10^6,INDEX(Properties!A$1:CB$87,Formula!B33,23)),IF((Formula!D33)=87,10^6,INDEX(Properties!A$1:CB$87,Formula!D33,23)),IF((Formula!F33)=87,10^6,INDEX(Properties!A$1:CB$87,Formula!F33,23)),IF((Formula!H33)=87,10^6,INDEX(Properties!A$1:CB$87,Formula!H33,23)),IF(Formula!J33=87,10^6,INDEX(Properties!A$1:CB$87,Formula!J33,23)))</f>
        <v>0</v>
      </c>
      <c r="CG33" s="81">
        <f t="shared" si="13"/>
        <v>4</v>
      </c>
      <c r="CH33" s="39">
        <f>((Formula!C33)/(Formula!C33+Formula!E33+Formula!G33+Formula!I33+Formula!K33))*(INDEX(Properties!A$1:CB$87,Formula!B33,26))+((Formula!E33)/(Formula!C33+Formula!E33+Formula!G33+Formula!I33+Formula!K33))*(INDEX(Properties!A$1:CB$87,Formula!D33,26))+((Formula!G33)/(Formula!C33+Formula!E33+Formula!G33+Formula!I33+Formula!K33))*(INDEX(Properties!A$1:CB$87,Formula!F33,26))+((Formula!I33)/(Formula!C33+Formula!E33+Formula!G33+Formula!I33+Formula!K33))*(INDEX(Properties!A$1:CB$87,Formula!H33,26))+((Formula!K33)/(Formula!C33+Formula!E33+Formula!G33+Formula!I33+Formula!K33))*(INDEX(Properties!A$1:CB$87,Formula!J33,26))</f>
        <v>11.575864705882353</v>
      </c>
      <c r="CI33" s="39">
        <f>Formula!C33*(INDEX(Properties!A$1:CB$87,Formula!B33,26))+Formula!E33*(INDEX(Properties!A$1:CB$87,Formula!D33,26))+Formula!G33*(INDEX(Properties!A$1:CB$87,Formula!F33,26))+Formula!I33*(INDEX(Properties!A$1:CB$87,Formula!H33,26))+Formula!K33*(INDEX(Properties!A$1:CB$87,Formula!J33,26))</f>
        <v>196.78970000000001</v>
      </c>
      <c r="CJ33" s="39">
        <f>VARP(IF(INDEX(Properties!A$1:CB$87,Formula!B33,26)&lt;&gt;"",INDEX(Properties!A$1:CB$87,Formula!B33,26)),IF(INDEX(Properties!A$1:CB$87,Formula!D33,26)&lt;&gt;"",INDEX(Properties!A$1:CB$87,Formula!D33,26)),IF(INDEX(Properties!A$1:CB$87,Formula!F33,26)&lt;&gt;"",INDEX(Properties!A$1:CB$87,Formula!F33,26)),IF(INDEX(Properties!A$1:CB$87,Formula!H33,26)&lt;&gt;"",INDEX(Properties!A$1:CB$87,Formula!H33,26)),IF(INDEX(Properties!A$1:CB$87,Formula!J33,26)&lt;&gt;"",INDEX(Properties!A$1:CB$87,Formula!J33,26)))</f>
        <v>19.355935165600002</v>
      </c>
      <c r="CK33" s="39">
        <f>MAX(INDEX(Properties!A$1:CB$87,Formula!B33,26),INDEX(Properties!A$1:CB$87,Formula!D33,26),INDEX(Properties!A$1:CB$87,Formula!F33,26),INDEX(Properties!A$1:CB$87,Formula!H33,26),INDEX(Properties!A$1:CB$87,Formula!J33,26))</f>
        <v>13.6181</v>
      </c>
      <c r="CL33" s="39">
        <f>MIN(IF(INDEX(Properties!A$1:CB$87,Formula!B33,26)=0,10^6,INDEX(Properties!A$1:CB$87,Formula!B33,26)),IF(INDEX(Properties!A$1:CB$87,Formula!D33,26)=0,10^6,INDEX(Properties!A$1:CB$87,Formula!D33,26)),IF(INDEX(Properties!A$1:CB$87,Formula!F33,26)=0,10^6,INDEX(Properties!A$1:CB$87,Formula!F33,26)),IF(INDEX(Properties!A$1:CB$87,Formula!H33,26)=0,10^6,INDEX(Properties!A$1:CB$87,Formula!H33,26)),IF(INDEX(Properties!A$1:CB$87,Formula!J33,26)=0,10^6,INDEX(Properties!A$1:CB$87,Formula!J33,26)))</f>
        <v>5.1391</v>
      </c>
      <c r="CM33" s="39">
        <f t="shared" si="14"/>
        <v>8.4789999999999992</v>
      </c>
      <c r="CN33" s="54">
        <f>((Formula!C33)/(Formula!C33+Formula!E33+Formula!G33+Formula!I33+Formula!K33))*(INDEX(Properties!A$1:CB$87,Formula!B33,30))+((Formula!E33)/(Formula!C33+Formula!E33+Formula!G33+Formula!I33+Formula!K33))*(INDEX(Properties!A$1:CB$87,Formula!D33,30))+((Formula!G33)/(Formula!C33+Formula!E33+Formula!G33+Formula!I33+Formula!K33))*(INDEX(Properties!A$1:CB$87,Formula!F33,30))+((Formula!I33)/(Formula!C33+Formula!E33+Formula!G33+Formula!I33+Formula!K33))*(INDEX(Properties!A$1:CB$87,Formula!H33,30))+((Formula!K33)/(Formula!C33+Formula!E33+Formula!G33+Formula!I33+Formula!K33))*(INDEX(Properties!A$1:CB$87,Formula!J33,30))</f>
        <v>2.8629411764705881</v>
      </c>
      <c r="CO33" s="54">
        <f>Formula!C33*(INDEX(Properties!A$1:CB$87,Formula!B33,30))+Formula!E33*(INDEX(Properties!A$1:CB$87,Formula!D33,30))+Formula!G33*(INDEX(Properties!A$1:CB$87,Formula!F33,30))+Formula!I33*(INDEX(Properties!A$1:CB$87,Formula!H33,30))+Formula!K33*(INDEX(Properties!A$1:CB$87,Formula!J33,30))</f>
        <v>48.67</v>
      </c>
      <c r="CP33" s="54">
        <f>VARP(IF(INDEX(Properties!A$1:CB$87,Formula!B33,30)&lt;&gt;"",INDEX(Properties!A$1:CB$87,Formula!B33,30)),IF(INDEX(Properties!A$1:CB$87,Formula!D33,30)&lt;&gt;"",INDEX(Properties!A$1:CB$87,Formula!D33,30)),IF(INDEX(Properties!A$1:CB$87,Formula!F33,30)&lt;&gt;"",INDEX(Properties!A$1:CB$87,Formula!F33,30)),IF(INDEX(Properties!A$1:CB$87,Formula!H33,30)&lt;&gt;"",INDEX(Properties!A$1:CB$87,Formula!H33,30)),IF(INDEX(Properties!A$1:CB$87,Formula!J33,30)&lt;&gt;"",INDEX(Properties!A$1:CB$87,Formula!J33,30)))</f>
        <v>1.3349999999999997</v>
      </c>
      <c r="CQ33" s="54">
        <f>MAX(INDEX(Properties!A$1:CB$87,Formula!B33,30),INDEX(Properties!A$1:CB$87,Formula!D33,30),INDEX(Properties!A$1:CB$87,Formula!F33,30),INDEX(Properties!A$1:CB$87,Formula!H33,30),INDEX(Properties!A$1:CB$87,Formula!J33,30))</f>
        <v>3.44</v>
      </c>
      <c r="CR33" s="54">
        <f>MIN(IF(INDEX(Properties!A$1:CB$87,Formula!B33,30)=0,10^6,INDEX(Properties!A$1:CB$87,Formula!B33,30)),IF(INDEX(Properties!A$1:CB$87,Formula!D33,30)=0,10^6,INDEX(Properties!A$1:CB$87,Formula!D33,30)),IF(INDEX(Properties!A$1:CB$87,Formula!F33,30)=0,10^6,INDEX(Properties!A$1:CB$87,Formula!F33,30)),IF(INDEX(Properties!A$1:CB$87,Formula!H33,30)=0,10^6,INDEX(Properties!A$1:CB$87,Formula!H33,30)),IF(INDEX(Properties!A$1:CB$87,Formula!J33,30)=0,10^6,INDEX(Properties!A$1:CB$87,Formula!J33,30)))</f>
        <v>0.93</v>
      </c>
      <c r="CS33" s="54">
        <f t="shared" si="15"/>
        <v>2.5099999999999998</v>
      </c>
      <c r="CT33" s="69">
        <f>((Formula!C33)/(Formula!C33+Formula!E33+Formula!G33+Formula!I33+Formula!K33))*(INDEX(Properties!A$1:CB$87,Formula!B33,31))+((Formula!E33)/(Formula!C33+Formula!E33+Formula!G33+Formula!I33+Formula!K33))*(INDEX(Properties!A$1:CB$87,Formula!D33,31))+((Formula!G33)/(Formula!C33+Formula!E33+Formula!G33+Formula!I33+Formula!K33))*(INDEX(Properties!A$1:CB$87,Formula!F33,31))+((Formula!I33)/(Formula!C33+Formula!E33+Formula!G33+Formula!I33+Formula!K33))*(INDEX(Properties!A$1:CB$87,Formula!H33,31))+((Formula!K33)/(Formula!C33+Formula!E33+Formula!G33+Formula!I33+Formula!K33))*(INDEX(Properties!A$1:CB$87,Formula!J33,31))</f>
        <v>2.7958823529411765</v>
      </c>
      <c r="CU33" s="69">
        <f>Formula!C33*(INDEX(Properties!A$1:CB$87,Formula!B33,31))+Formula!E33*(INDEX(Properties!A$1:CB$87,Formula!D33,31))+Formula!G33*(INDEX(Properties!A$1:CB$87,Formula!F33,31))+Formula!I33*(INDEX(Properties!A$1:CB$87,Formula!H33,31))+Formula!K33*(INDEX(Properties!A$1:CB$87,Formula!J33,31))</f>
        <v>47.529999999999994</v>
      </c>
      <c r="CV33" s="69">
        <f>VARP(IF(INDEX(Properties!A$1:CB$87,Formula!B33,31)&lt;&gt;"",INDEX(Properties!A$1:CB$87,Formula!B33,31)),IF(INDEX(Properties!A$1:CB$87,Formula!D33,31)&lt;&gt;"",INDEX(Properties!A$1:CB$87,Formula!D33,31)),IF(INDEX(Properties!A$1:CB$87,Formula!F33,31)&lt;&gt;"",INDEX(Properties!A$1:CB$87,Formula!F33,31)),IF(INDEX(Properties!A$1:CB$87,Formula!H33,31)&lt;&gt;"",INDEX(Properties!A$1:CB$87,Formula!H33,31)),IF(INDEX(Properties!A$1:CB$87,Formula!J33,31)&lt;&gt;"",INDEX(Properties!A$1:CB$87,Formula!J33,31)))</f>
        <v>1.236056</v>
      </c>
      <c r="CW33" s="69">
        <f>MAX(INDEX(Properties!A$1:CB$87,Formula!B33,31),INDEX(Properties!A$1:CB$87,Formula!D33,31),INDEX(Properties!A$1:CB$87,Formula!F33,31),INDEX(Properties!A$1:CB$87,Formula!H33,31),INDEX(Properties!A$1:CB$87,Formula!J33,31))</f>
        <v>3.32</v>
      </c>
      <c r="CX33" s="69">
        <f>MIN(IF(INDEX(Properties!A$1:CB$87,Formula!B33,31)=0,10^6,INDEX(Properties!A$1:CB$87,Formula!B33,31)),IF(INDEX(Properties!A$1:CB$87,Formula!D33,31)=0,10^6,INDEX(Properties!A$1:CB$87,Formula!D33,31)),IF(INDEX(Properties!A$1:CB$87,Formula!F33,31)=0,10^6,INDEX(Properties!A$1:CB$87,Formula!F33,31)),IF(INDEX(Properties!A$1:CB$87,Formula!H33,31)=0,10^6,INDEX(Properties!A$1:CB$87,Formula!H33,31)),IF(INDEX(Properties!A$1:CB$87,Formula!J33,31)=0,10^6,INDEX(Properties!A$1:CB$87,Formula!J33,31)))</f>
        <v>0.89</v>
      </c>
      <c r="CY33" s="69">
        <f t="shared" si="16"/>
        <v>2.4299999999999997</v>
      </c>
      <c r="CZ33" s="42">
        <f>((Formula!C33)/(Formula!C33+Formula!E33+Formula!G33+Formula!I33+Formula!K33))*(INDEX(Properties!A$1:CB$87,Formula!B33,32))+((Formula!E33)/(Formula!C33+Formula!E33+Formula!G33+Formula!I33+Formula!K33))*(INDEX(Properties!A$1:CB$87,Formula!D33,32))+((Formula!G33)/(Formula!C33+Formula!E33+Formula!G33+Formula!I33+Formula!K33))*(INDEX(Properties!A$1:CB$87,Formula!F33,32))+((Formula!I33)/(Formula!C33+Formula!E33+Formula!G33+Formula!I33+Formula!K33))*(INDEX(Properties!A$1:CB$87,Formula!H33,32))+((Formula!K33)/(Formula!C33+Formula!E33+Formula!G33+Formula!I33+Formula!K33))*(INDEX(Properties!A$1:CB$87,Formula!J33,32))</f>
        <v>6.4064705882352948</v>
      </c>
      <c r="DA33" s="42">
        <f>Formula!C33*(INDEX(Properties!A$1:CB$87,Formula!B33,32))+Formula!E33*(INDEX(Properties!A$1:CB$87,Formula!D33,32))+Formula!G33*(INDEX(Properties!A$1:CB$87,Formula!F33,32))+Formula!I33*(INDEX(Properties!A$1:CB$87,Formula!H33,32))+Formula!K33*(INDEX(Properties!A$1:CB$87,Formula!J33,32))</f>
        <v>108.91</v>
      </c>
      <c r="DB33" s="42">
        <f>VARP(IF(INDEX(Properties!A$1:CB$87,Formula!B33,32)&lt;&gt;"",INDEX(Properties!A$1:CB$87,Formula!B33,32)),IF(INDEX(Properties!A$1:CB$87,Formula!D33,32)&lt;&gt;"",INDEX(Properties!A$1:CB$87,Formula!D33,32)),IF(INDEX(Properties!A$1:CB$87,Formula!F33,32)&lt;&gt;"",INDEX(Properties!A$1:CB$87,Formula!F33,32)),IF(INDEX(Properties!A$1:CB$87,Formula!H33,32)&lt;&gt;"",INDEX(Properties!A$1:CB$87,Formula!H33,32)),IF(INDEX(Properties!A$1:CB$87,Formula!J33,32)&lt;&gt;"",INDEX(Properties!A$1:CB$87,Formula!J33,32)))</f>
        <v>6.0415439999999991</v>
      </c>
      <c r="DC33" s="42">
        <f>MAX(INDEX(Properties!A$1:CB$87,Formula!B33,32),INDEX(Properties!A$1:CB$87,Formula!D33,32),INDEX(Properties!A$1:CB$87,Formula!F33,32),INDEX(Properties!A$1:CB$87,Formula!H33,32),INDEX(Properties!A$1:CB$87,Formula!J33,32))</f>
        <v>7.54</v>
      </c>
      <c r="DD33" s="42">
        <f>MIN(IF(INDEX(Properties!A$1:CB$87,Formula!B33,32)=0,10^6,INDEX(Properties!A$1:CB$87,Formula!B33,32)),IF(INDEX(Properties!A$1:CB$87,Formula!D33,32)=0,10^6,INDEX(Properties!A$1:CB$87,Formula!D33,32)),IF(INDEX(Properties!A$1:CB$87,Formula!F33,32)=0,10^6,INDEX(Properties!A$1:CB$87,Formula!F33,32)),IF(INDEX(Properties!A$1:CB$87,Formula!H33,32)=0,10^6,INDEX(Properties!A$1:CB$87,Formula!H33,32)),IF(INDEX(Properties!A$1:CB$87,Formula!J33,32)=0,10^6,INDEX(Properties!A$1:CB$87,Formula!J33,32)))</f>
        <v>2.85</v>
      </c>
      <c r="DE33" s="42">
        <f t="shared" si="17"/>
        <v>4.6899999999999995</v>
      </c>
      <c r="DF33" s="60">
        <f>((Formula!C33)/(Formula!C33+Formula!E33+Formula!G33+Formula!I33+Formula!K33))*(INDEX(Properties!A$1:CB$87,Formula!B33,34))+((Formula!E33)/(Formula!C33+Formula!E33+Formula!G33+Formula!I33+Formula!K33))*(INDEX(Properties!A$1:CB$87,Formula!D33,34))+((Formula!G33)/(Formula!C33+Formula!E33+Formula!G33+Formula!I33+Formula!K33))*(INDEX(Properties!A$1:CB$87,Formula!F33,34))+((Formula!I33)/(Formula!C33+Formula!E33+Formula!G33+Formula!I33+Formula!K33))*(INDEX(Properties!A$1:CB$87,Formula!H33,34))+((Formula!K33)/(Formula!C33+Formula!E33+Formula!G33+Formula!I33+Formula!K33))*(INDEX(Properties!A$1:CB$87,Formula!J33,34))</f>
        <v>2.9657058823529412</v>
      </c>
      <c r="DG33" s="60">
        <f>Formula!C33*(INDEX(Properties!A$1:CB$87,Formula!B33,34))+Formula!E33*(INDEX(Properties!A$1:CB$87,Formula!D33,34))+Formula!G33*(INDEX(Properties!A$1:CB$87,Formula!F33,34))+Formula!I33*(INDEX(Properties!A$1:CB$87,Formula!H33,34))+Formula!K33*(INDEX(Properties!A$1:CB$87,Formula!J33,34))</f>
        <v>50.417000000000002</v>
      </c>
      <c r="DH33" s="60">
        <f>VARP(IF(INDEX(Properties!A$1:CB$87,Formula!B33,34)&lt;&gt;"",INDEX(Properties!A$1:CB$87,Formula!B33,34)),IF(INDEX(Properties!A$1:CB$87,Formula!D33,34)&lt;&gt;"",INDEX(Properties!A$1:CB$87,Formula!D33,34)),IF(INDEX(Properties!A$1:CB$87,Formula!F33,34)&lt;&gt;"",INDEX(Properties!A$1:CB$87,Formula!F33,34)),IF(INDEX(Properties!A$1:CB$87,Formula!H33,34)&lt;&gt;"",INDEX(Properties!A$1:CB$87,Formula!H33,34)),IF(INDEX(Properties!A$1:CB$87,Formula!J33,34)&lt;&gt;"",INDEX(Properties!A$1:CB$87,Formula!J33,34)))</f>
        <v>1.4973934399999995</v>
      </c>
      <c r="DI33" s="60">
        <f>MAX(INDEX(Properties!A$1:CB$87,Formula!B33,34),INDEX(Properties!A$1:CB$87,Formula!D33,34),INDEX(Properties!A$1:CB$87,Formula!F33,34),INDEX(Properties!A$1:CB$87,Formula!H33,34),INDEX(Properties!A$1:CB$87,Formula!J33,34))</f>
        <v>3.61</v>
      </c>
      <c r="DJ33" s="60">
        <f>MIN(IF(INDEX(Properties!A$1:CB$87,Formula!B33,34)=0,10^6,INDEX(Properties!A$1:CB$87,Formula!B33,34)),IF(INDEX(Properties!A$1:CB$87,Formula!D33,34)=0,10^6,INDEX(Properties!A$1:CB$87,Formula!D33,34)),IF(INDEX(Properties!A$1:CB$87,Formula!F33,34)=0,10^6,INDEX(Properties!A$1:CB$87,Formula!F33,34)),IF(INDEX(Properties!A$1:CB$87,Formula!H33,34)=0,10^6,INDEX(Properties!A$1:CB$87,Formula!H33,34)),IF(INDEX(Properties!A$1:CB$87,Formula!J33,34)=0,10^6,INDEX(Properties!A$1:CB$87,Formula!J33,34)))</f>
        <v>0.86899999999999999</v>
      </c>
      <c r="DK33" s="60">
        <f t="shared" si="18"/>
        <v>2.7409999999999997</v>
      </c>
      <c r="DL33" s="45">
        <f>((Formula!C33)/(Formula!C33+Formula!E33+Formula!G33+Formula!I33+Formula!K33))*(INDEX(Properties!A$1:CB$87,Formula!B33,39))+((Formula!E33)/(Formula!C33+Formula!E33+Formula!G33+Formula!I33+Formula!K33))*(INDEX(Properties!A$1:CB$87,Formula!D33,39))+((Formula!G33)/(Formula!C33+Formula!E33+Formula!G33+Formula!I33+Formula!K33))*(INDEX(Properties!A$1:CB$87,Formula!F33,39))+((Formula!I33)/(Formula!C33+Formula!E33+Formula!G33+Formula!I33+Formula!K33))*(INDEX(Properties!A$1:CB$87,Formula!H33,39))+((Formula!K33)/(Formula!C33+Formula!E33+Formula!G33+Formula!I33+Formula!K33))*(INDEX(Properties!A$1:CB$87,Formula!J33,39))</f>
        <v>0.84705882352941186</v>
      </c>
      <c r="DM33" s="45">
        <f>Formula!C33*(INDEX(Properties!A$1:CB$87,Formula!B33,39))+Formula!E33*(INDEX(Properties!A$1:CB$87,Formula!D33,39))+Formula!G33*(INDEX(Properties!A$1:CB$87,Formula!F33,39))+Formula!I33*(INDEX(Properties!A$1:CB$87,Formula!H33,39))+Formula!K33*(INDEX(Properties!A$1:CB$87,Formula!J33,39))</f>
        <v>14.4</v>
      </c>
      <c r="DN33" s="45">
        <f>VARP(IF(INDEX(Properties!A$1:CB$87,Formula!B33,39)&lt;&gt;"",INDEX(Properties!A$1:CB$87,Formula!B33,39)),IF(INDEX(Properties!A$1:CB$87,Formula!D33,39)&lt;&gt;"",INDEX(Properties!A$1:CB$87,Formula!D33,39)),IF(INDEX(Properties!A$1:CB$87,Formula!F33,39)&lt;&gt;"",INDEX(Properties!A$1:CB$87,Formula!F33,39)),IF(INDEX(Properties!A$1:CB$87,Formula!H33,39)&lt;&gt;"",INDEX(Properties!A$1:CB$87,Formula!H33,39)),IF(INDEX(Properties!A$1:CB$87,Formula!J33,39)&lt;&gt;"",INDEX(Properties!A$1:CB$87,Formula!J33,39)))</f>
        <v>0.65695999999999999</v>
      </c>
      <c r="DO33" s="45">
        <f>MAX(INDEX(Properties!A$1:CB$87,Formula!B33,39),INDEX(Properties!A$1:CB$87,Formula!D33,39),INDEX(Properties!A$1:CB$87,Formula!F33,39),INDEX(Properties!A$1:CB$87,Formula!H33,39),INDEX(Properties!A$1:CB$87,Formula!J33,39))</f>
        <v>2.12</v>
      </c>
      <c r="DP33" s="45">
        <f>MIN(IF(INDEX(Properties!A$1:CB$87,Formula!B33,39)=0,10^6,INDEX(Properties!A$1:CB$87,Formula!B33,39)),IF(INDEX(Properties!A$1:CB$87,Formula!D33,39)=0,10^6,INDEX(Properties!A$1:CB$87,Formula!D33,39)),IF(INDEX(Properties!A$1:CB$87,Formula!F33,39)=0,10^6,INDEX(Properties!A$1:CB$87,Formula!F33,39)),IF(INDEX(Properties!A$1:CB$87,Formula!H33,39)=0,10^6,INDEX(Properties!A$1:CB$87,Formula!H33,39)),IF(INDEX(Properties!A$1:CB$87,Formula!J33,39)=0,10^6,INDEX(Properties!A$1:CB$87,Formula!J33,39)))</f>
        <v>0.48</v>
      </c>
      <c r="DQ33" s="45">
        <f t="shared" si="19"/>
        <v>1.6400000000000001</v>
      </c>
      <c r="DR33" s="63">
        <f>((Formula!C33)/(Formula!C33+Formula!E33+Formula!G33+Formula!I33+Formula!K33))*(INDEX(Properties!A$1:CB$87,Formula!B33,40))+((Formula!E33)/(Formula!C33+Formula!E33+Formula!G33+Formula!I33+Formula!K33))*(INDEX(Properties!A$1:CB$87,Formula!D33,40))+((Formula!G33)/(Formula!C33+Formula!E33+Formula!G33+Formula!I33+Formula!K33))*(INDEX(Properties!A$1:CB$87,Formula!F33,40))+((Formula!I33)/(Formula!C33+Formula!E33+Formula!G33+Formula!I33+Formula!K33))*(INDEX(Properties!A$1:CB$87,Formula!H33,40))+((Formula!K33)/(Formula!C33+Formula!E33+Formula!G33+Formula!I33+Formula!K33))*(INDEX(Properties!A$1:CB$87,Formula!J33,40))</f>
        <v>0.94</v>
      </c>
      <c r="DS33" s="63">
        <f>Formula!C33*(INDEX(Properties!A$1:CB$87,Formula!B33,40))+Formula!E33*(INDEX(Properties!A$1:CB$87,Formula!D33,40))+Formula!G33*(INDEX(Properties!A$1:CB$87,Formula!F33,40))+Formula!I33*(INDEX(Properties!A$1:CB$87,Formula!H33,40))+Formula!K33*(INDEX(Properties!A$1:CB$87,Formula!J33,40))</f>
        <v>15.98</v>
      </c>
      <c r="DT33" s="63">
        <f>VARP(IF(INDEX(Properties!A$1:CB$87,Formula!B33,40)&lt;&gt;"",INDEX(Properties!A$1:CB$87,Formula!B33,40)),IF(INDEX(Properties!A$1:CB$87,Formula!D33,40)&lt;&gt;"",INDEX(Properties!A$1:CB$87,Formula!D33,40)),IF(INDEX(Properties!A$1:CB$87,Formula!F33,40)&lt;&gt;"",INDEX(Properties!A$1:CB$87,Formula!F33,40)),IF(INDEX(Properties!A$1:CB$87,Formula!H33,40)&lt;&gt;"",INDEX(Properties!A$1:CB$87,Formula!H33,40)),IF(INDEX(Properties!A$1:CB$87,Formula!J33,40)&lt;&gt;"",INDEX(Properties!A$1:CB$87,Formula!J33,40)))</f>
        <v>0.35897600000000024</v>
      </c>
      <c r="DU33" s="63">
        <f>MAX(INDEX(Properties!A$1:CB$87,Formula!B33,40),INDEX(Properties!A$1:CB$87,Formula!D33,40),INDEX(Properties!A$1:CB$87,Formula!F33,40),INDEX(Properties!A$1:CB$87,Formula!H33,40),INDEX(Properties!A$1:CB$87,Formula!J33,40))</f>
        <v>1.62</v>
      </c>
      <c r="DV33" s="63">
        <f>MIN(IF(INDEX(Properties!A$1:CB$87,Formula!B33,40)=0,10^6,INDEX(Properties!A$1:CB$87,Formula!B33,40)),IF(INDEX(Properties!A$1:CB$87,Formula!D33,40)=0,10^6,INDEX(Properties!A$1:CB$87,Formula!D33,40)),IF(INDEX(Properties!A$1:CB$87,Formula!F33,40)=0,10^6,INDEX(Properties!A$1:CB$87,Formula!F33,40)),IF(INDEX(Properties!A$1:CB$87,Formula!H33,40)=0,10^6,INDEX(Properties!A$1:CB$87,Formula!H33,40)),IF(INDEX(Properties!A$1:CB$87,Formula!J33,40)=0,10^6,INDEX(Properties!A$1:CB$87,Formula!J33,40)))</f>
        <v>0.73</v>
      </c>
      <c r="DW33" s="63">
        <f t="shared" si="20"/>
        <v>0.89000000000000012</v>
      </c>
      <c r="DX33" s="75">
        <f>((Formula!C33)/(Formula!C33+Formula!E33+Formula!G33+Formula!I33+Formula!K33))*(INDEX(Properties!A$1:CB$87,Formula!B33,41))+((Formula!E33)/(Formula!C33+Formula!E33+Formula!G33+Formula!I33+Formula!K33))*(INDEX(Properties!A$1:CB$87,Formula!D33,41))+((Formula!G33)/(Formula!C33+Formula!E33+Formula!G33+Formula!I33+Formula!K33))*(INDEX(Properties!A$1:CB$87,Formula!F33,41))+((Formula!I33)/(Formula!C33+Formula!E33+Formula!G33+Formula!I33+Formula!K33))*(INDEX(Properties!A$1:CB$87,Formula!H33,41))+((Formula!K33)/(Formula!C33+Formula!E33+Formula!G33+Formula!I33+Formula!K33))*(INDEX(Properties!A$1:CB$87,Formula!J33,41))</f>
        <v>1.1823529411764708</v>
      </c>
      <c r="DY33" s="75">
        <f>Formula!C33*(INDEX(Properties!A$1:CB$87,Formula!B33,41))+Formula!E33*(INDEX(Properties!A$1:CB$87,Formula!D33,41))+Formula!G33*(INDEX(Properties!A$1:CB$87,Formula!F33,41))+Formula!I33*(INDEX(Properties!A$1:CB$87,Formula!H33,41))+Formula!K33*(INDEX(Properties!A$1:CB$87,Formula!J33,41))</f>
        <v>20.100000000000001</v>
      </c>
      <c r="DZ33" s="75">
        <f>VARP(IF(INDEX(Properties!A$1:CB$87,Formula!B33,41)&lt;&gt;"",INDEX(Properties!A$1:CB$87,Formula!B33,41)),IF(INDEX(Properties!A$1:CB$87,Formula!D33,41)&lt;&gt;"",INDEX(Properties!A$1:CB$87,Formula!D33,41)),IF(INDEX(Properties!A$1:CB$87,Formula!F33,41)&lt;&gt;"",INDEX(Properties!A$1:CB$87,Formula!F33,41)),IF(INDEX(Properties!A$1:CB$87,Formula!H33,41)&lt;&gt;"",INDEX(Properties!A$1:CB$87,Formula!H33,41)),IF(INDEX(Properties!A$1:CB$87,Formula!J33,41)&lt;&gt;"",INDEX(Properties!A$1:CB$87,Formula!J33,41)))</f>
        <v>0.20438400000000001</v>
      </c>
      <c r="EA33" s="75">
        <f>MAX(INDEX(Properties!A$1:CB$87,Formula!B33,41),INDEX(Properties!A$1:CB$87,Formula!D33,41),INDEX(Properties!A$1:CB$87,Formula!F33,41),INDEX(Properties!A$1:CB$87,Formula!H33,41),INDEX(Properties!A$1:CB$87,Formula!J33,41))</f>
        <v>1.26</v>
      </c>
      <c r="EB33" s="75">
        <f>MIN(IF(INDEX(Properties!A$1:CB$87,Formula!B33,41)=0,10^6,INDEX(Properties!A$1:CB$87,Formula!B33,41)),IF(INDEX(Properties!A$1:CB$87,Formula!D33,41)=0,10^6,INDEX(Properties!A$1:CB$87,Formula!D33,41)),IF(INDEX(Properties!A$1:CB$87,Formula!F33,41)=0,10^6,INDEX(Properties!A$1:CB$87,Formula!F33,41)),IF(INDEX(Properties!A$1:CB$87,Formula!H33,41)=0,10^6,INDEX(Properties!A$1:CB$87,Formula!H33,41)),IF(INDEX(Properties!A$1:CB$87,Formula!J33,41)=0,10^6,INDEX(Properties!A$1:CB$87,Formula!J33,41)))</f>
        <v>0.87</v>
      </c>
      <c r="EC33" s="75">
        <f t="shared" si="21"/>
        <v>0.39</v>
      </c>
      <c r="ED33" s="48">
        <f>((Formula!C33)/(Formula!C33+Formula!E33+Formula!G33+Formula!I33+Formula!K33))*(INDEX(Properties!A$1:CB$87,Formula!B33,45))+((Formula!E33)/(Formula!C33+Formula!E33+Formula!G33+Formula!I33+Formula!K33))*(INDEX(Properties!A$1:CB$87,Formula!D33,45))+((Formula!G33)/(Formula!C33+Formula!E33+Formula!G33+Formula!I33+Formula!K33))*(INDEX(Properties!A$1:CB$87,Formula!F33,45))+((Formula!I33)/(Formula!C33+Formula!E33+Formula!G33+Formula!I33+Formula!K33))*(INDEX(Properties!A$1:CB$87,Formula!H33,45))+((Formula!K33)/(Formula!C33+Formula!E33+Formula!G33+Formula!I33+Formula!K33))*(INDEX(Properties!A$1:CB$87,Formula!J33,45))</f>
        <v>1.0170588235294118</v>
      </c>
      <c r="EE33" s="48">
        <f>Formula!C33*(INDEX(Properties!A$1:CB$87,Formula!B33,45))+Formula!E33*(INDEX(Properties!A$1:CB$87,Formula!D33,45))+Formula!G33*(INDEX(Properties!A$1:CB$87,Formula!F33,45))+Formula!I33*(INDEX(Properties!A$1:CB$87,Formula!H33,45))+Formula!K33*(INDEX(Properties!A$1:CB$87,Formula!J33,45))</f>
        <v>17.29</v>
      </c>
      <c r="EF33" s="48">
        <f>VARP(IF(INDEX(Properties!A$1:CB$87,Formula!B33,45)&lt;&gt;"",INDEX(Properties!A$1:CB$87,Formula!B33,45)),IF(INDEX(Properties!A$1:CB$87,Formula!D33,45)&lt;&gt;"",INDEX(Properties!A$1:CB$87,Formula!D33,45)),IF(INDEX(Properties!A$1:CB$87,Formula!F33,45)&lt;&gt;"",INDEX(Properties!A$1:CB$87,Formula!F33,45)),IF(INDEX(Properties!A$1:CB$87,Formula!H33,45)&lt;&gt;"",INDEX(Properties!A$1:CB$87,Formula!H33,45)),IF(INDEX(Properties!A$1:CB$87,Formula!J33,45)&lt;&gt;"",INDEX(Properties!A$1:CB$87,Formula!J33,45)))</f>
        <v>1.3415439999999998</v>
      </c>
      <c r="EG33" s="48">
        <f>MAX(INDEX(Properties!A$1:CB$87,Formula!B33,45),INDEX(Properties!A$1:CB$87,Formula!D33,45),INDEX(Properties!A$1:CB$87,Formula!F33,45),INDEX(Properties!A$1:CB$87,Formula!H33,45),INDEX(Properties!A$1:CB$87,Formula!J33,45))</f>
        <v>2.94</v>
      </c>
      <c r="EH33" s="48">
        <f>MIN(IF(INDEX(Properties!A$1:CB$87,Formula!B33,45)=0,10^6,INDEX(Properties!A$1:CB$87,Formula!B33,45)),IF(INDEX(Properties!A$1:CB$87,Formula!D33,45)=0,10^6,INDEX(Properties!A$1:CB$87,Formula!D33,45)),IF(INDEX(Properties!A$1:CB$87,Formula!F33,45)=0,10^6,INDEX(Properties!A$1:CB$87,Formula!F33,45)),IF(INDEX(Properties!A$1:CB$87,Formula!H33,45)=0,10^6,INDEX(Properties!A$1:CB$87,Formula!H33,45)),IF(INDEX(Properties!A$1:CB$87,Formula!J33,45)=0,10^6,INDEX(Properties!A$1:CB$87,Formula!J33,45)))</f>
        <v>0.47</v>
      </c>
      <c r="EI33" s="48">
        <f t="shared" si="22"/>
        <v>2.4699999999999998</v>
      </c>
      <c r="EJ33" s="66">
        <f>((Formula!C33)/(Formula!C33+Formula!E33+Formula!G33+Formula!I33+Formula!K33))*(INDEX(Properties!A$1:CB$87,Formula!B33,46))+((Formula!E33)/(Formula!C33+Formula!E33+Formula!G33+Formula!I33+Formula!K33))*(INDEX(Properties!A$1:CB$87,Formula!D33,46))+((Formula!G33)/(Formula!C33+Formula!E33+Formula!G33+Formula!I33+Formula!K33))*(INDEX(Properties!A$1:CB$87,Formula!F33,46))+((Formula!I33)/(Formula!C33+Formula!E33+Formula!G33+Formula!I33+Formula!K33))*(INDEX(Properties!A$1:CB$87,Formula!H33,46))+((Formula!K33)/(Formula!C33+Formula!E33+Formula!G33+Formula!I33+Formula!K33))*(INDEX(Properties!A$1:CB$87,Formula!J33,46))</f>
        <v>1.1070588235294117</v>
      </c>
      <c r="EK33" s="66">
        <f>Formula!C33*(INDEX(Properties!A$1:CB$87,Formula!B33,46))+Formula!E33*(INDEX(Properties!A$1:CB$87,Formula!D33,46))+Formula!G33*(INDEX(Properties!A$1:CB$87,Formula!F33,46))+Formula!I33*(INDEX(Properties!A$1:CB$87,Formula!H33,46))+Formula!K33*(INDEX(Properties!A$1:CB$87,Formula!J33,46))</f>
        <v>18.82</v>
      </c>
      <c r="EL33" s="66">
        <f>VARP(IF(INDEX(Properties!A$1:CB$87,Formula!B33,46)&lt;&gt;"",INDEX(Properties!A$1:CB$87,Formula!B33,46)),IF(INDEX(Properties!A$1:CB$87,Formula!D33,46)&lt;&gt;"",INDEX(Properties!A$1:CB$87,Formula!D33,46)),IF(INDEX(Properties!A$1:CB$87,Formula!F33,46)&lt;&gt;"",INDEX(Properties!A$1:CB$87,Formula!F33,46)),IF(INDEX(Properties!A$1:CB$87,Formula!H33,46)&lt;&gt;"",INDEX(Properties!A$1:CB$87,Formula!H33,46)),IF(INDEX(Properties!A$1:CB$87,Formula!J33,46)&lt;&gt;"",INDEX(Properties!A$1:CB$87,Formula!J33,46)))</f>
        <v>0.21349599999999988</v>
      </c>
      <c r="EM33" s="66">
        <f>MAX(INDEX(Properties!A$1:CB$87,Formula!B33,46),INDEX(Properties!A$1:CB$87,Formula!D33,46),INDEX(Properties!A$1:CB$87,Formula!F33,46),INDEX(Properties!A$1:CB$87,Formula!H33,46),INDEX(Properties!A$1:CB$87,Formula!J33,46))</f>
        <v>1.21</v>
      </c>
      <c r="EN33" s="66">
        <f>MIN(IF(INDEX(Properties!A$1:CB$87,Formula!B33,46)=0,10^6,INDEX(Properties!A$1:CB$87,Formula!B33,46)),IF(INDEX(Properties!A$1:CB$87,Formula!D33,46)=0,10^6,INDEX(Properties!A$1:CB$87,Formula!D33,46)),IF(INDEX(Properties!A$1:CB$87,Formula!F33,46)=0,10^6,INDEX(Properties!A$1:CB$87,Formula!F33,46)),IF(INDEX(Properties!A$1:CB$87,Formula!H33,46)=0,10^6,INDEX(Properties!A$1:CB$87,Formula!H33,46)),IF(INDEX(Properties!A$1:CB$87,Formula!J33,46)=0,10^6,INDEX(Properties!A$1:CB$87,Formula!J33,46)))</f>
        <v>0.53</v>
      </c>
      <c r="EO33" s="66">
        <f t="shared" si="23"/>
        <v>0.67999999999999994</v>
      </c>
      <c r="EP33" s="81">
        <f>((Formula!C33)/(Formula!C33+Formula!E33+Formula!G33+Formula!I33+Formula!K33))*(INDEX(Properties!A$1:CB$87,Formula!B33,52))+((Formula!E33)/(Formula!C33+Formula!E33+Formula!G33+Formula!I33+Formula!K33))*(INDEX(Properties!A$1:CB$87,Formula!D33,52))+((Formula!G33)/(Formula!C33+Formula!E33+Formula!G33+Formula!I33+Formula!K33))*(INDEX(Properties!A$1:CB$87,Formula!F33,52))+((Formula!I33)/(Formula!C33+Formula!E33+Formula!G33+Formula!I33+Formula!K33))*(INDEX(Properties!A$1:CB$87,Formula!H33,52))+((Formula!K33)/(Formula!C33+Formula!E33+Formula!G33+Formula!I33+Formula!K33))*(INDEX(Properties!A$1:CB$87,Formula!J33,52))</f>
        <v>5.336235294117647</v>
      </c>
      <c r="EQ33" s="81">
        <f>Formula!C33*(INDEX(Properties!A$1:CB$87,Formula!B33,52))+Formula!E33*(INDEX(Properties!A$1:CB$87,Formula!D33,52))+Formula!G33*(INDEX(Properties!A$1:CB$87,Formula!F33,52))+Formula!I33*(INDEX(Properties!A$1:CB$87,Formula!H33,52))+Formula!K33*(INDEX(Properties!A$1:CB$87,Formula!J33,52))</f>
        <v>90.716000000000008</v>
      </c>
      <c r="ER33" s="81">
        <f>VARP(IF(INDEX(Properties!A$1:CB$87,Formula!B33,52)&lt;&gt;"",INDEX(Properties!A$1:CB$87,Formula!B33,52)),IF(INDEX(Properties!A$1:CB$87,Formula!D33,52)&lt;&gt;"",INDEX(Properties!A$1:CB$87,Formula!D33,52)),IF(INDEX(Properties!A$1:CB$87,Formula!F33,52)&lt;&gt;"",INDEX(Properties!A$1:CB$87,Formula!F33,52)),IF(INDEX(Properties!A$1:CB$87,Formula!H33,52)&lt;&gt;"",INDEX(Properties!A$1:CB$87,Formula!H33,52)),IF(INDEX(Properties!A$1:CB$87,Formula!J33,52)&lt;&gt;"",INDEX(Properties!A$1:CB$87,Formula!J33,52)))</f>
        <v>108.83795984</v>
      </c>
      <c r="ES33" s="81">
        <f>MAX(INDEX(Properties!A$1:CB$87,Formula!B33,52),INDEX(Properties!A$1:CB$87,Formula!D33,52),INDEX(Properties!A$1:CB$87,Formula!F33,52),INDEX(Properties!A$1:CB$87,Formula!H33,52),INDEX(Properties!A$1:CB$87,Formula!J33,52))</f>
        <v>23.6</v>
      </c>
      <c r="ET33" s="81">
        <f>MIN(IF(INDEX(Properties!A$1:CB$87,Formula!B33,52)=0,10^6,INDEX(Properties!A$1:CB$87,Formula!B33,52)),IF(INDEX(Properties!A$1:CB$87,Formula!D33,52)=0,10^6,INDEX(Properties!A$1:CB$87,Formula!D33,52)),IF(INDEX(Properties!A$1:CB$87,Formula!F33,52)=0,10^6,INDEX(Properties!A$1:CB$87,Formula!F33,52)),IF(INDEX(Properties!A$1:CB$87,Formula!H33,52)=0,10^6,INDEX(Properties!A$1:CB$87,Formula!H33,52)),IF(INDEX(Properties!A$1:CB$87,Formula!J33,52)=0,10^6,INDEX(Properties!A$1:CB$87,Formula!J33,52)))</f>
        <v>0.79300000000000004</v>
      </c>
      <c r="EU33" s="81">
        <f t="shared" si="24"/>
        <v>22.807000000000002</v>
      </c>
      <c r="EV33" s="39">
        <f>((Formula!C33)/(Formula!C33+Formula!E33+Formula!G33+Formula!I33+Formula!K33))*(INDEX(Properties!A$1:CB$87,Formula!B33,53))+((Formula!E33)/(Formula!C33+Formula!E33+Formula!G33+Formula!I33+Formula!K33))*(INDEX(Properties!A$1:CB$87,Formula!D33,53))+((Formula!G33)/(Formula!C33+Formula!E33+Formula!G33+Formula!I33+Formula!K33))*(INDEX(Properties!A$1:CB$87,Formula!F33,53))+((Formula!I33)/(Formula!C33+Formula!E33+Formula!G33+Formula!I33+Formula!K33))*(INDEX(Properties!A$1:CB$87,Formula!H33,53))+((Formula!K33)/(Formula!C33+Formula!E33+Formula!G33+Formula!I33+Formula!K33))*(INDEX(Properties!A$1:CB$87,Formula!J33,53))</f>
        <v>415.37352941176471</v>
      </c>
      <c r="EW33" s="39">
        <f>Formula!C33*(INDEX(Properties!A$1:CB$87,Formula!B33,53))+Formula!E33*(INDEX(Properties!A$1:CB$87,Formula!D33,53))+Formula!G33*(INDEX(Properties!A$1:CB$87,Formula!F33,53))+Formula!I33*(INDEX(Properties!A$1:CB$87,Formula!H33,53))+Formula!K33*(INDEX(Properties!A$1:CB$87,Formula!J33,53))</f>
        <v>7061.35</v>
      </c>
      <c r="EX33" s="39">
        <f>VARP(IF(INDEX(Properties!A$1:CB$87,Formula!B33,53)&lt;&gt;"",INDEX(Properties!A$1:CB$87,Formula!B33,53)),IF(INDEX(Properties!A$1:CB$87,Formula!D33,53)&lt;&gt;"",INDEX(Properties!A$1:CB$87,Formula!D33,53)),IF(INDEX(Properties!A$1:CB$87,Formula!F33,53)&lt;&gt;"",INDEX(Properties!A$1:CB$87,Formula!F33,53)),IF(INDEX(Properties!A$1:CB$87,Formula!H33,53)&lt;&gt;"",INDEX(Properties!A$1:CB$87,Formula!H33,53)),IF(INDEX(Properties!A$1:CB$87,Formula!J33,53)&lt;&gt;"",INDEX(Properties!A$1:CB$87,Formula!J33,53)))</f>
        <v>497295.00760000007</v>
      </c>
      <c r="EY33" s="39">
        <f>MAX(INDEX(Properties!A$1:CB$87,Formula!B33,53),INDEX(Properties!A$1:CB$87,Formula!D33,53),INDEX(Properties!A$1:CB$87,Formula!F33,53),INDEX(Properties!A$1:CB$87,Formula!H33,53),INDEX(Properties!A$1:CB$87,Formula!J33,53))</f>
        <v>1796.15</v>
      </c>
      <c r="EZ33" s="39">
        <f>MIN(IF(INDEX(Properties!A$1:CB$87,Formula!B33,53)=0,10^6,INDEX(Properties!A$1:CB$87,Formula!B33,53)),IF(INDEX(Properties!A$1:CB$87,Formula!D33,53)=0,10^6,INDEX(Properties!A$1:CB$87,Formula!D33,53)),IF(INDEX(Properties!A$1:CB$87,Formula!F33,53)=0,10^6,INDEX(Properties!A$1:CB$87,Formula!F33,53)),IF(INDEX(Properties!A$1:CB$87,Formula!H33,53)=0,10^6,INDEX(Properties!A$1:CB$87,Formula!H33,53)),IF(INDEX(Properties!A$1:CB$87,Formula!J33,53)=0,10^6,INDEX(Properties!A$1:CB$87,Formula!J33,53)))</f>
        <v>54.749999999999972</v>
      </c>
      <c r="FA33" s="39">
        <f t="shared" si="25"/>
        <v>1741.4</v>
      </c>
      <c r="FB33" s="54">
        <f>((Formula!C33)/(Formula!C33+Formula!E33+Formula!G33+Formula!I33+Formula!K33))*(INDEX(Properties!A$1:CB$87,Formula!B33,54))+((Formula!E33)/(Formula!C33+Formula!E33+Formula!G33+Formula!I33+Formula!K33))*(INDEX(Properties!A$1:CB$87,Formula!D33,54))+((Formula!G33)/(Formula!C33+Formula!E33+Formula!G33+Formula!I33+Formula!K33))*(INDEX(Properties!A$1:CB$87,Formula!F33,54))+((Formula!I33)/(Formula!C33+Formula!E33+Formula!G33+Formula!I33+Formula!K33))*(INDEX(Properties!A$1:CB$87,Formula!H33,54))+((Formula!K33)/(Formula!C33+Formula!E33+Formula!G33+Formula!I33+Formula!K33))*(INDEX(Properties!A$1:CB$87,Formula!J33,54))</f>
        <v>921.44411764705876</v>
      </c>
      <c r="FC33" s="54">
        <f>Formula!C33*(INDEX(Properties!A$1:CB$87,Formula!B33,54))+Formula!E33*(INDEX(Properties!A$1:CB$87,Formula!D33,54))+Formula!G33*(INDEX(Properties!A$1:CB$87,Formula!F33,54))+Formula!I33*(INDEX(Properties!A$1:CB$87,Formula!H33,54))+Formula!K33*(INDEX(Properties!A$1:CB$87,Formula!J33,54))</f>
        <v>15664.55</v>
      </c>
      <c r="FD33" s="54">
        <f>VARP(IF(INDEX(Properties!A$1:CB$87,Formula!B33,54)&lt;&gt;"",INDEX(Properties!A$1:CB$87,Formula!B33,54)),IF(INDEX(Properties!A$1:CB$87,Formula!D33,54)&lt;&gt;"",INDEX(Properties!A$1:CB$87,Formula!D33,54)),IF(INDEX(Properties!A$1:CB$87,Formula!F33,54)&lt;&gt;"",INDEX(Properties!A$1:CB$87,Formula!F33,54)),IF(INDEX(Properties!A$1:CB$87,Formula!H33,54)&lt;&gt;"",INDEX(Properties!A$1:CB$87,Formula!H33,54)),IF(INDEX(Properties!A$1:CB$87,Formula!J33,54)&lt;&gt;"",INDEX(Properties!A$1:CB$87,Formula!J33,54)))</f>
        <v>2267297.2716000006</v>
      </c>
      <c r="FE33" s="54">
        <f>MAX(INDEX(Properties!A$1:CB$87,Formula!B33,54),INDEX(Properties!A$1:CB$87,Formula!D33,54),INDEX(Properties!A$1:CB$87,Formula!F33,54),INDEX(Properties!A$1:CB$87,Formula!H33,54),INDEX(Properties!A$1:CB$87,Formula!J33,54))</f>
        <v>3610.15</v>
      </c>
      <c r="FF33" s="54">
        <f>MIN(IF(INDEX(Properties!A$1:CB$87,Formula!B33,54)=0,10^6,INDEX(Properties!A$1:CB$87,Formula!B33,54)),IF(INDEX(Properties!A$1:CB$87,Formula!D33,54)=0,10^6,INDEX(Properties!A$1:CB$87,Formula!D33,54)),IF(INDEX(Properties!A$1:CB$87,Formula!F33,54)=0,10^6,INDEX(Properties!A$1:CB$87,Formula!F33,54)),IF(INDEX(Properties!A$1:CB$87,Formula!H33,54)=0,10^6,INDEX(Properties!A$1:CB$87,Formula!H33,54)),IF(INDEX(Properties!A$1:CB$87,Formula!J33,54)=0,10^6,INDEX(Properties!A$1:CB$87,Formula!J33,54)))</f>
        <v>90.149999999999977</v>
      </c>
      <c r="FG33" s="54">
        <f t="shared" si="26"/>
        <v>3520</v>
      </c>
      <c r="FH33" s="69">
        <f>((Formula!C33)/(Formula!C33+Formula!E33+Formula!G33+Formula!I33+Formula!K33))*(INDEX(Properties!A$1:CB$87,Formula!B33,55))+((Formula!E33)/(Formula!C33+Formula!E33+Formula!G33+Formula!I33+Formula!K33))*(INDEX(Properties!A$1:CB$87,Formula!D33,55))+((Formula!G33)/(Formula!C33+Formula!E33+Formula!G33+Formula!I33+Formula!K33))*(INDEX(Properties!A$1:CB$87,Formula!F33,55))+((Formula!I33)/(Formula!C33+Formula!E33+Formula!G33+Formula!I33+Formula!K33))*(INDEX(Properties!A$1:CB$87,Formula!H33,55))+((Formula!K33)/(Formula!C33+Formula!E33+Formula!G33+Formula!I33+Formula!K33))*(INDEX(Properties!A$1:CB$87,Formula!J33,55))</f>
        <v>1.2098917647058822</v>
      </c>
      <c r="FI33" s="69">
        <f>Formula!C33*(INDEX(Properties!A$1:CB$87,Formula!B33,55))+Formula!E33*(INDEX(Properties!A$1:CB$87,Formula!D33,54))+Formula!G33*(INDEX(Properties!A$1:CB$87,Formula!F33,55))+Formula!I33*(INDEX(Properties!A$1:CB$87,Formula!H33,55))+Formula!K33*(INDEX(Properties!A$1:CB$87,Formula!J33,55))</f>
        <v>7231.9281600000004</v>
      </c>
      <c r="FJ33" s="69">
        <f>VARP(IF(INDEX(Properties!A$1:CB$87,Formula!B33,55)&lt;&gt;"",INDEX(Properties!A$1:CB$87,Formula!B33,55)),IF(INDEX(Properties!A$1:CB$87,Formula!D33,55)&lt;&gt;"",INDEX(Properties!A$1:CB$87,Formula!D33,55)),IF(INDEX(Properties!A$1:CB$87,Formula!F33,55)&lt;&gt;"",INDEX(Properties!A$1:CB$87,Formula!F33,55)),IF(INDEX(Properties!A$1:CB$87,Formula!H33,55)&lt;&gt;"",INDEX(Properties!A$1:CB$87,Formula!H33,55)),IF(INDEX(Properties!A$1:CB$87,Formula!J33,55)&lt;&gt;"",INDEX(Properties!A$1:CB$87,Formula!J33,55)))</f>
        <v>5.2120326287840006</v>
      </c>
      <c r="FK33" s="69">
        <f>MAX(INDEX(Properties!A$1:CB$87,Formula!B33,55),INDEX(Properties!A$1:CB$87,Formula!D33,55),INDEX(Properties!A$1:CB$87,Formula!F33,55),INDEX(Properties!A$1:CB$87,Formula!H33,55),INDEX(Properties!A$1:CB$87,Formula!J33,55))</f>
        <v>5.32</v>
      </c>
      <c r="FL33" s="69">
        <f>MIN(IF(INDEX(Properties!A$1:CB$87,Formula!B33,55)=0,10^6,INDEX(Properties!A$1:CB$87,Formula!B33,55)),IF(INDEX(Properties!A$1:CB$87,Formula!D33,55)=0,10^6,INDEX(Properties!A$1:CB$87,Formula!D33,55)),IF(INDEX(Properties!A$1:CB$87,Formula!F33,55)=0,10^6,INDEX(Properties!A$1:CB$87,Formula!F33,55)),IF(INDEX(Properties!A$1:CB$87,Formula!H33,55)=0,10^6,INDEX(Properties!A$1:CB$87,Formula!H33,55)),IF(INDEX(Properties!A$1:CB$87,Formula!J33,55)=0,10^6,INDEX(Properties!A$1:CB$87,Formula!J33,55)))</f>
        <v>1.4300000000000001E-3</v>
      </c>
      <c r="FM33" s="69">
        <f t="shared" si="27"/>
        <v>5.3185700000000002</v>
      </c>
      <c r="FN33" s="42">
        <f>((Formula!C33)/(Formula!C33+Formula!E33+Formula!G33+Formula!I33+Formula!K33))*(INDEX(Properties!A$1:CB$87,Formula!B33,56))+((Formula!E33)/(Formula!C33+Formula!E33+Formula!G33+Formula!I33+Formula!K33))*(INDEX(Properties!A$1:CB$87,Formula!D33,56))+((Formula!G33)/(Formula!C33+Formula!E33+Formula!G33+Formula!I33+Formula!K33))*(INDEX(Properties!A$1:CB$87,Formula!F33,56))+((Formula!I33)/(Formula!C33+Formula!E33+Formula!G33+Formula!I33+Formula!K33))*(INDEX(Properties!A$1:CB$87,Formula!H33,56))+((Formula!K33)/(Formula!C33+Formula!E33+Formula!G33+Formula!I33+Formula!K33))*(INDEX(Properties!A$1:CB$87,Formula!J33,56))</f>
        <v>0.79470588235294126</v>
      </c>
      <c r="FO33" s="42">
        <f>Formula!C33*(INDEX(Properties!A$1:CB$87,Formula!B33,56))+Formula!E33*(INDEX(Properties!A$1:CB$87,Formula!D33,56))+Formula!G33*(INDEX(Properties!A$1:CB$87,Formula!F33,56))+Formula!I33*(INDEX(Properties!A$1:CB$87,Formula!H33,56))+Formula!K33*(INDEX(Properties!A$1:CB$87,Formula!J33,56))</f>
        <v>13.510000000000002</v>
      </c>
      <c r="FP33" s="42">
        <f>VARP(IF(INDEX(Properties!A$1:CB$87,Formula!B33,56)&lt;&gt;"",INDEX(Properties!A$1:CB$87,Formula!B33,56)),IF(INDEX(Properties!A$1:CB$87,Formula!D33,56)&lt;&gt;"",INDEX(Properties!A$1:CB$87,Formula!D33,56)),IF(INDEX(Properties!A$1:CB$87,Formula!F33,56)&lt;&gt;"",INDEX(Properties!A$1:CB$87,Formula!F33,56)),IF(INDEX(Properties!A$1:CB$87,Formula!H33,56)&lt;&gt;"",INDEX(Properties!A$1:CB$87,Formula!H33,56)),IF(INDEX(Properties!A$1:CB$87,Formula!J33,56)&lt;&gt;"",INDEX(Properties!A$1:CB$87,Formula!J33,56)))</f>
        <v>0.20342400000000005</v>
      </c>
      <c r="FQ33" s="42">
        <f>MAX(INDEX(Properties!A$1:CB$87,Formula!B33,56),INDEX(Properties!A$1:CB$87,Formula!D33,56),INDEX(Properties!A$1:CB$87,Formula!F33,56),INDEX(Properties!A$1:CB$87,Formula!H33,56),INDEX(Properties!A$1:CB$87,Formula!J33,56))</f>
        <v>1.23</v>
      </c>
      <c r="FR33" s="42">
        <f>MIN(IF(INDEX(Properties!A$1:CB$87,Formula!B33,56)=0,10^6,INDEX(Properties!A$1:CB$87,Formula!B33,56)),IF(INDEX(Properties!A$1:CB$87,Formula!D33,56)=0,10^6,INDEX(Properties!A$1:CB$87,Formula!D33,56)),IF(INDEX(Properties!A$1:CB$87,Formula!F33,56)=0,10^6,INDEX(Properties!A$1:CB$87,Formula!F33,56)),IF(INDEX(Properties!A$1:CB$87,Formula!H33,56)=0,10^6,INDEX(Properties!A$1:CB$87,Formula!H33,56)),IF(INDEX(Properties!A$1:CB$87,Formula!J33,56)=0,10^6,INDEX(Properties!A$1:CB$87,Formula!J33,56)))</f>
        <v>0.3</v>
      </c>
      <c r="FS33" s="42">
        <f t="shared" si="28"/>
        <v>0.92999999999999994</v>
      </c>
      <c r="FT33" s="60">
        <f>((Formula!C33)/(Formula!C33+Formula!E33+Formula!G33+Formula!I33+Formula!K33))*(INDEX(Properties!A$1:CB$87,Formula!B33,57))+((Formula!E33)/(Formula!C33+Formula!E33+Formula!G33+Formula!I33+Formula!K33))*(INDEX(Properties!A$1:CB$87,Formula!D33,57))+((Formula!G33)/(Formula!C33+Formula!E33+Formula!G33+Formula!I33+Formula!K33))*(INDEX(Properties!A$1:CB$87,Formula!F33,57))+((Formula!I33)/(Formula!C33+Formula!E33+Formula!G33+Formula!I33+Formula!K33))*(INDEX(Properties!A$1:CB$87,Formula!H33,57))+((Formula!K33)/(Formula!C33+Formula!E33+Formula!G33+Formula!I33+Formula!K33))*(INDEX(Properties!A$1:CB$87,Formula!J33,57))</f>
        <v>5.9970047058823521</v>
      </c>
      <c r="FU33" s="60">
        <f>Formula!C33*(INDEX(Properties!A$1:CB$87,Formula!B33,57))+Formula!E33*(INDEX(Properties!A$1:CB$87,Formula!D33,57))+Formula!G33*(INDEX(Properties!A$1:CB$87,Formula!F33,57))+Formula!I33*(INDEX(Properties!A$1:CB$87,Formula!H33,57))+Formula!K33*(INDEX(Properties!A$1:CB$87,Formula!J33,57))</f>
        <v>101.94908</v>
      </c>
      <c r="FV33" s="60">
        <f>VARP(IF(INDEX(Properties!A$1:CB$87,Formula!B33,57)&lt;&gt;"",INDEX(Properties!A$1:CB$87,Formula!B33,57)),IF(INDEX(Properties!A$1:CB$87,Formula!D33,57)&lt;&gt;"",INDEX(Properties!A$1:CB$87,Formula!D33,57)),IF(INDEX(Properties!A$1:CB$87,Formula!F33,57)&lt;&gt;"",INDEX(Properties!A$1:CB$87,Formula!F33,57)),IF(INDEX(Properties!A$1:CB$87,Formula!H33,57)&lt;&gt;"",INDEX(Properties!A$1:CB$87,Formula!H33,57)),IF(INDEX(Properties!A$1:CB$87,Formula!J33,57)&lt;&gt;"",INDEX(Properties!A$1:CB$87,Formula!J33,57)))</f>
        <v>195.56831129569593</v>
      </c>
      <c r="FW33" s="60">
        <f>MAX(INDEX(Properties!A$1:CB$87,Formula!B33,57),INDEX(Properties!A$1:CB$87,Formula!D33,57),INDEX(Properties!A$1:CB$87,Formula!F33,57),INDEX(Properties!A$1:CB$87,Formula!H33,57),INDEX(Properties!A$1:CB$87,Formula!J33,57))</f>
        <v>36.94</v>
      </c>
      <c r="FX33" s="60">
        <f>MIN(IF(INDEX(Properties!A$1:CB$87,Formula!B33,57)=0,10^6,INDEX(Properties!A$1:CB$87,Formula!B33,57)),IF(INDEX(Properties!A$1:CB$87,Formula!D33,57)=0,10^6,INDEX(Properties!A$1:CB$87,Formula!D33,57)),IF(INDEX(Properties!A$1:CB$87,Formula!F33,57)=0,10^6,INDEX(Properties!A$1:CB$87,Formula!F33,57)),IF(INDEX(Properties!A$1:CB$87,Formula!H33,57)=0,10^6,INDEX(Properties!A$1:CB$87,Formula!H33,57)),IF(INDEX(Properties!A$1:CB$87,Formula!J33,57)=0,10^6,INDEX(Properties!A$1:CB$87,Formula!J33,57)))</f>
        <v>0.22259000000000001</v>
      </c>
      <c r="FY33" s="60">
        <f t="shared" si="29"/>
        <v>36.717410000000001</v>
      </c>
      <c r="FZ33" s="72">
        <f>((Formula!C33)/(Formula!C33+Formula!E33+Formula!G33+Formula!I33+Formula!K33))*(INDEX(Properties!A$1:CB$87,Formula!B33,60))+((Formula!E33)/(Formula!C33+Formula!E33+Formula!G33+Formula!I33+Formula!K33))*(INDEX(Properties!A$1:CB$87,Formula!D33,60))+((Formula!G33)/(Formula!C33+Formula!E33+Formula!G33+Formula!I33+Formula!K33))*(INDEX(Properties!A$1:CB$87,Formula!F33,60))+((Formula!I33)/(Formula!C33+Formula!E33+Formula!G33+Formula!I33+Formula!K33))*(INDEX(Properties!A$1:CB$87,Formula!H33,60))+((Formula!K33)/(Formula!C33+Formula!E33+Formula!G33+Formula!I33+Formula!K33))*(INDEX(Properties!A$1:CB$87,Formula!J33,60))</f>
        <v>17.383581176470589</v>
      </c>
      <c r="GA33" s="72">
        <f>Formula!C33*(INDEX(Properties!A$1:CB$87,Formula!B33,60))+Formula!E33*(INDEX(Properties!A$1:CB$87,Formula!D33,60))+Formula!G33*(INDEX(Properties!A$1:CB$87,Formula!F33,60))+Formula!I33*(INDEX(Properties!A$1:CB$87,Formula!H33,60))+Formula!K33*(INDEX(Properties!A$1:CB$87,Formula!J33,60))</f>
        <v>295.52087999999998</v>
      </c>
      <c r="GB33" s="72">
        <f>VARP(IF(INDEX(Properties!A$1:CB$87,Formula!B33,60)&lt;&gt;"",INDEX(Properties!A$1:CB$87,Formula!B33,60)),IF(INDEX(Properties!A$1:CB$87,Formula!D33,60)&lt;&gt;"",INDEX(Properties!A$1:CB$87,Formula!D33,60)),IF(INDEX(Properties!A$1:CB$87,Formula!F33,60)&lt;&gt;"",INDEX(Properties!A$1:CB$87,Formula!F33,60)),IF(INDEX(Properties!A$1:CB$87,Formula!H33,60)&lt;&gt;"",INDEX(Properties!A$1:CB$87,Formula!H33,60)),IF(INDEX(Properties!A$1:CB$87,Formula!J33,60)&lt;&gt;"",INDEX(Properties!A$1:CB$87,Formula!J33,60)))</f>
        <v>2849.7991548844161</v>
      </c>
      <c r="GC33" s="72">
        <f>MAX(INDEX(Properties!A$1:CB$87,Formula!B33,60),INDEX(Properties!A$1:CB$87,Formula!D33,60),INDEX(Properties!A$1:CB$87,Formula!F33,60),INDEX(Properties!A$1:CB$87,Formula!H33,60),INDEX(Properties!A$1:CB$87,Formula!J33,60))</f>
        <v>141</v>
      </c>
      <c r="GD33" s="72">
        <f>MIN(IF(INDEX(Properties!A$1:CB$87,Formula!B33,60)=0,10^6,INDEX(Properties!A$1:CB$87,Formula!B33,60)),IF(INDEX(Properties!A$1:CB$87,Formula!D33,60)=0,10^6,INDEX(Properties!A$1:CB$87,Formula!D33,60)),IF(INDEX(Properties!A$1:CB$87,Formula!F33,60)=0,10^6,INDEX(Properties!A$1:CB$87,Formula!F33,60)),IF(INDEX(Properties!A$1:CB$87,Formula!H33,60)=0,10^6,INDEX(Properties!A$1:CB$87,Formula!H33,60)),IF(INDEX(Properties!A$1:CB$87,Formula!J33,60)=0,10^6,INDEX(Properties!A$1:CB$87,Formula!J33,60)))</f>
        <v>2.674E-2</v>
      </c>
      <c r="GE33" s="72">
        <f t="shared" si="30"/>
        <v>140.97326000000001</v>
      </c>
      <c r="GF33" s="51">
        <f>((Formula!C33)/(Formula!C33+Formula!E33+Formula!G33+Formula!I33+Formula!K33))*(INDEX(Properties!A$1:CB$87,Formula!B33,62))+((Formula!E33)/(Formula!C33+Formula!E33+Formula!G33+Formula!I33+Formula!K33))*(INDEX(Properties!A$1:CB$87,Formula!D33,62))+((Formula!G33)/(Formula!C33+Formula!E33+Formula!G33+Formula!I33+Formula!K33))*(INDEX(Properties!A$1:CB$87,Formula!F33,62))+((Formula!I33)/(Formula!C33+Formula!E33+Formula!G33+Formula!I33+Formula!K33))*(INDEX(Properties!A$1:CB$87,Formula!H33,62))+((Formula!K33)/(Formula!C33+Formula!E33+Formula!G33+Formula!I33+Formula!K33))*(INDEX(Properties!A$1:CB$87,Formula!J33,62))</f>
        <v>2.8819411764705887</v>
      </c>
      <c r="GG33" s="51">
        <f>Formula!C33*(INDEX(Properties!A$1:CB$87,Formula!B33,62))+Formula!E33*(INDEX(Properties!A$1:CB$87,Formula!D33,62))+Formula!G33*(INDEX(Properties!A$1:CB$87,Formula!F33,62))+Formula!I33*(INDEX(Properties!A$1:CB$87,Formula!H33,62))+Formula!K33*(INDEX(Properties!A$1:CB$87,Formula!J33,62))</f>
        <v>48.993000000000002</v>
      </c>
      <c r="GH33" s="51">
        <f>VARP(IF(INDEX(Properties!A$1:CB$87,Formula!B33,62)&lt;&gt;"",INDEX(Properties!A$1:CB$87,Formula!B33,62)),IF(INDEX(Properties!A$1:CB$87,Formula!D33,62)&lt;&gt;"",INDEX(Properties!A$1:CB$87,Formula!D33,62)),IF(INDEX(Properties!A$1:CB$87,Formula!F33,62)&lt;&gt;"",INDEX(Properties!A$1:CB$87,Formula!F33,62)),IF(INDEX(Properties!A$1:CB$87,Formula!H33,62)&lt;&gt;"",INDEX(Properties!A$1:CB$87,Formula!H33,62)),IF(INDEX(Properties!A$1:CB$87,Formula!J33,62)&lt;&gt;"",INDEX(Properties!A$1:CB$87,Formula!J33,62)))</f>
        <v>2.6895454400000016</v>
      </c>
      <c r="GI33" s="51">
        <f>MAX(INDEX(Properties!A$1:CB$87,Formula!B33,62),INDEX(Properties!A$1:CB$87,Formula!D33,62),INDEX(Properties!A$1:CB$87,Formula!F33,62),INDEX(Properties!A$1:CB$87,Formula!H33,62),INDEX(Properties!A$1:CB$87,Formula!J33,62))</f>
        <v>4.37</v>
      </c>
      <c r="GJ33" s="51">
        <f>MIN(IF(INDEX(Properties!A$1:CB$87,Formula!B33,62)=0,10^6,INDEX(Properties!A$1:CB$87,Formula!B33,62)),IF(INDEX(Properties!A$1:CB$87,Formula!D33,62)=0,10^6,INDEX(Properties!A$1:CB$87,Formula!D33,62)),IF(INDEX(Properties!A$1:CB$87,Formula!F33,62)=0,10^6,INDEX(Properties!A$1:CB$87,Formula!F33,62)),IF(INDEX(Properties!A$1:CB$87,Formula!H33,62)=0,10^6,INDEX(Properties!A$1:CB$87,Formula!H33,62)),IF(INDEX(Properties!A$1:CB$87,Formula!J33,62)=0,10^6,INDEX(Properties!A$1:CB$87,Formula!J33,62)))</f>
        <v>1.113</v>
      </c>
      <c r="GK33" s="51">
        <f t="shared" si="31"/>
        <v>3.2570000000000001</v>
      </c>
      <c r="GL33" s="51">
        <f>Formula!P33</f>
        <v>230</v>
      </c>
      <c r="GM33" s="57">
        <f>Formula!O33</f>
        <v>7</v>
      </c>
      <c r="GN33" s="51">
        <f>Formula!N33</f>
        <v>1.2E-2</v>
      </c>
    </row>
    <row r="34" spans="1:196" x14ac:dyDescent="0.3">
      <c r="A34" s="84" t="str">
        <f>Formula!A34</f>
        <v>YVO4</v>
      </c>
      <c r="B34" s="89">
        <f>((Formula!C34)/(Formula!C34+Formula!E34+Formula!G34+Formula!I34+Formula!K34))*(INDEX(Properties!A$1:CB$87,Formula!B34,3))+((Formula!E34)/(Formula!C34+Formula!E34+Formula!G34+Formula!I34+Formula!K34))*(INDEX(Properties!A$1:CB$87,Formula!D34,3))+((Formula!G34)/(Formula!C34+Formula!E34+Formula!G34+Formula!I34+Formula!K34))*(INDEX(Properties!A$1:CB$87,Formula!F34,3))+((Formula!I34)/(Formula!C34+Formula!E34+Formula!G34+Formula!I34+Formula!K34))*(INDEX(Properties!A$1:CB$87,Formula!H34,3))+((Formula!K34)/(Formula!C34+Formula!E34+Formula!G34+Formula!I34+Formula!K34))*(INDEX(Properties!A$1:CB$87,Formula!J34,3))</f>
        <v>33.974156666666666</v>
      </c>
      <c r="C34" s="85">
        <f>Formula!C34*(INDEX(Properties!A$1:CB$87,Formula!B34,3))+Formula!E34*(INDEX(Properties!A$1:CB$87,Formula!D34,3))+Formula!G34*(INDEX(Properties!A$1:CB$87,Formula!F34,3))+Formula!I34*(INDEX(Properties!A$1:CB$87,Formula!H34,3))+Formula!K34*(INDEX(Properties!A$1:CB$87,Formula!J34,3))</f>
        <v>203.84494000000001</v>
      </c>
      <c r="D34" s="85">
        <f>VARP(IF(INDEX(Properties!A$1:CB$87,Formula!B34,3)&lt;&gt;"",INDEX(Properties!A$1:CB$87,Formula!B34,3)),IF(INDEX(Properties!A$1:CB$87,Formula!D34,3)&lt;&gt;"",INDEX(Properties!A$1:CB$87,Formula!D34,3)),IF(INDEX(Properties!A$1:CB$87,Formula!F34,3)&lt;&gt;"",INDEX(Properties!A$1:CB$87,Formula!F34,3)),IF(INDEX(Properties!A$1:CB$87,Formula!H34,3)&lt;&gt;"",INDEX(Properties!A$1:CB$87,Formula!H34,3)),IF(INDEX(Properties!A$1:CB$87,Formula!J34,3)&lt;&gt;"",INDEX(Properties!A$1:CB$87,Formula!J34,3)))</f>
        <v>1179.5248669980156</v>
      </c>
      <c r="E34" s="85">
        <f>MAX(INDEX(Properties!A$1:CB$87,Formula!B34,3),INDEX(Properties!A$1:CB$87,Formula!D34,3),INDEX(Properties!A$1:CB$87,Formula!F34,3),INDEX(Properties!A$1:CB$87,Formula!H34,3),INDEX(Properties!A$1:CB$87,Formula!J34,3))</f>
        <v>88.905839999999998</v>
      </c>
      <c r="F34" s="85">
        <f>MIN(IF(INDEX(Properties!A$1:CB$87,Formula!B34,3)=0,10^6,INDEX(Properties!A$1:CB$87,Formula!B34,3)),IF(INDEX(Properties!A$1:CB$87,Formula!D34,3)=0,10^6,INDEX(Properties!A$1:CB$87,Formula!D34,3)),IF(INDEX(Properties!A$1:CB$87,Formula!F34,3)=0,10^6,INDEX(Properties!A$1:CB$87,Formula!F34,3)),IF(INDEX(Properties!A$1:CB$87,Formula!H34,3)=0,10^6,INDEX(Properties!A$1:CB$87,Formula!H34,3)),IF(INDEX(Properties!A$1:CB$87,Formula!J34,3)=0,10^6,INDEX(Properties!A$1:CB$87,Formula!J34,3)))</f>
        <v>15.9994</v>
      </c>
      <c r="G34" s="85">
        <f t="shared" si="0"/>
        <v>72.906440000000003</v>
      </c>
      <c r="H34" s="87">
        <f>((Formula!C34)/(Formula!C34+Formula!E34+Formula!G34+Formula!I34+Formula!K34))*(INDEX(Properties!A$1:CB$87,Formula!B34,4))+((Formula!E34)/(Formula!C34+Formula!E34+Formula!G34+Formula!I34+Formula!K34))*(INDEX(Properties!A$1:CB$87,Formula!D34,4))+((Formula!G34)/(Formula!C34+Formula!E34+Formula!G34+Formula!I34+Formula!K34))*(INDEX(Properties!A$1:CB$87,Formula!F34,4))+((Formula!I34)/(Formula!C34+Formula!E34+Formula!G34+Formula!I34+Formula!K34))*(INDEX(Properties!A$1:CB$87,Formula!H34,4))+((Formula!K34)/(Formula!C34+Formula!E34+Formula!G34+Formula!I34+Formula!K34))*(INDEX(Properties!A$1:CB$87,Formula!J34,4))</f>
        <v>15.666666666666664</v>
      </c>
      <c r="I34" s="87">
        <f>Formula!C34*(INDEX(Properties!A$1:CB$87,Formula!B34,4))+Formula!E34*(INDEX(Properties!A$1:CB$87,Formula!D34,4))+Formula!G34*(INDEX(Properties!A$1:CB$87,Formula!F34,4))+Formula!I34*(INDEX(Properties!A$1:CB$87,Formula!H34,4))+Formula!K34*(INDEX(Properties!A$1:CB$87,Formula!J34,4))</f>
        <v>94</v>
      </c>
      <c r="J34" s="87">
        <f>VARP(IF(INDEX(Properties!A$1:CB$87,Formula!B34,4)&lt;&gt;"",INDEX(Properties!A$1:CB$87,Formula!B34,4)),IF(INDEX(Properties!A$1:CB$87,Formula!D34,4)&lt;&gt;"",INDEX(Properties!A$1:CB$87,Formula!D34,4)),IF(INDEX(Properties!A$1:CB$87,Formula!F34,4)&lt;&gt;"",INDEX(Properties!A$1:CB$87,Formula!F34,4)),IF(INDEX(Properties!A$1:CB$87,Formula!H34,4)&lt;&gt;"",INDEX(Properties!A$1:CB$87,Formula!H34,4)),IF(INDEX(Properties!A$1:CB$87,Formula!J34,4)&lt;&gt;"",INDEX(Properties!A$1:CB$87,Formula!J34,4)))</f>
        <v>226.8</v>
      </c>
      <c r="K34" s="87">
        <f>MAX(INDEX(Properties!A$1:CB$87,Formula!B34,4),INDEX(Properties!A$1:CB$87,Formula!D34,4),INDEX(Properties!A$1:CB$87,Formula!F34,4),INDEX(Properties!A$1:CB$87,Formula!H34,4),INDEX(Properties!A$1:CB$87,Formula!J34,4))</f>
        <v>39</v>
      </c>
      <c r="L34" s="87">
        <f>MIN(IF(INDEX(Properties!A$1:CB$87,Formula!B34,4)=0,10^6,INDEX(Properties!A$1:CB$87,Formula!B34,4)),IF(INDEX(Properties!A$1:CB$87,Formula!D34,4)=0,10^6,INDEX(Properties!A$1:CB$87,Formula!D34,4)),IF(INDEX(Properties!A$1:CB$87,Formula!F34,4)=0,10^6,INDEX(Properties!A$1:CB$87,Formula!F34,4)),IF(INDEX(Properties!A$1:CB$87,Formula!H34,4)=0,10^6,INDEX(Properties!A$1:CB$87,Formula!H34,4)),IF(INDEX(Properties!A$1:CB$87,Formula!J34,4)=0,10^6,INDEX(Properties!A$1:CB$87,Formula!J34,4)))</f>
        <v>8</v>
      </c>
      <c r="M34" s="87">
        <f t="shared" si="1"/>
        <v>31</v>
      </c>
      <c r="N34" s="89">
        <f>((Formula!C34)/(Formula!C34+Formula!E34+Formula!G34+Formula!I34+Formula!K34))*(INDEX(Properties!A$1:CB$87,Formula!B34,5))+((Formula!E34)/(Formula!C34+Formula!E34+Formula!G34+Formula!I34+Formula!K34))*(INDEX(Properties!A$1:CB$87,Formula!D34,5))+((Formula!G34)/(Formula!C34+Formula!E34+Formula!G34+Formula!I34+Formula!K34))*(INDEX(Properties!A$1:CB$87,Formula!F34,5))+((Formula!I34)/(Formula!C34+Formula!E34+Formula!G34+Formula!I34+Formula!K34))*(INDEX(Properties!A$1:CB$87,Formula!H34,5))+((Formula!K34)/(Formula!C34+Formula!E34+Formula!G34+Formula!I34+Formula!K34))*(INDEX(Properties!A$1:CB$87,Formula!J34,5))</f>
        <v>2.833333333333333</v>
      </c>
      <c r="O34" s="89">
        <f>Formula!C34*(INDEX(Properties!A$1:CB$87,Formula!B34,5))+Formula!E34*(INDEX(Properties!A$1:CB$87,Formula!D34,5))+Formula!G34*(INDEX(Properties!A$1:CB$87,Formula!F34,5))+Formula!I34*(INDEX(Properties!A$1:CB$87,Formula!H34,5))+Formula!K34*(INDEX(Properties!A$1:CB$87,Formula!J34,5))</f>
        <v>17</v>
      </c>
      <c r="P34" s="89">
        <f>VARP(IF(INDEX(Properties!A$1:CB$87,Formula!B34,5)&lt;&gt;"",INDEX(Properties!A$1:CB$87,Formula!B34,5)),IF(INDEX(Properties!A$1:CB$87,Formula!D34,5)&lt;&gt;"",INDEX(Properties!A$1:CB$87,Formula!D34,5)),IF(INDEX(Properties!A$1:CB$87,Formula!F34,5)&lt;&gt;"",INDEX(Properties!A$1:CB$87,Formula!F34,5)),IF(INDEX(Properties!A$1:CB$87,Formula!H34,5)&lt;&gt;"",INDEX(Properties!A$1:CB$87,Formula!H34,5)),IF(INDEX(Properties!A$1:CB$87,Formula!J34,5)&lt;&gt;"",INDEX(Properties!A$1:CB$87,Formula!J34,5)))</f>
        <v>4.16</v>
      </c>
      <c r="Q34" s="89">
        <f>MAX(INDEX(Properties!A$1:CB$87,Formula!B34,5),INDEX(Properties!A$1:CB$87,Formula!D34,5),INDEX(Properties!A$1:CB$87,Formula!F34,5),INDEX(Properties!A$1:CB$87,Formula!H34,5),INDEX(Properties!A$1:CB$87,Formula!J34,5))</f>
        <v>5</v>
      </c>
      <c r="R34" s="89">
        <f>MIN(IF(INDEX(Properties!A$1:CB$87,Formula!B34,5)=0,10^6,INDEX(Properties!A$1:CB$87,Formula!B34,5)),IF(INDEX(Properties!A$1:CB$87,Formula!D34,5)=0,10^6,INDEX(Properties!A$1:CB$87,Formula!D34,5)),IF(INDEX(Properties!A$1:CB$87,Formula!F34,5)=0,10^6,INDEX(Properties!A$1:CB$87,Formula!F34,5)),IF(INDEX(Properties!A$1:CB$87,Formula!H34,5)=0,10^6,INDEX(Properties!A$1:CB$87,Formula!H34,5)),IF(INDEX(Properties!A$1:CB$87,Formula!J34,5)=0,10^6,INDEX(Properties!A$1:CB$87,Formula!J34,5)))</f>
        <v>2</v>
      </c>
      <c r="S34" s="89">
        <f t="shared" si="2"/>
        <v>3</v>
      </c>
      <c r="T34" s="60">
        <f>((Formula!C34)/(Formula!C34+Formula!E34+Formula!G34+Formula!I34+Formula!K34))*(INDEX(Properties!A$1:CB$87,Formula!B34,6))+((Formula!E34)/(Formula!C34+Formula!E34+Formula!G34+Formula!I34+Formula!K34))*(INDEX(Properties!A$1:CB$87,Formula!D34,6))+((Formula!G34)/(Formula!C34+Formula!E34+Formula!G34+Formula!I34+Formula!K34))*(INDEX(Properties!A$1:CB$87,Formula!F34,6))+((Formula!I34)/(Formula!C34+Formula!E34+Formula!G34+Formula!I34+Formula!K34))*(INDEX(Properties!A$1:CB$87,Formula!H34,6))+((Formula!K34)/(Formula!C34+Formula!E34+Formula!G34+Formula!I34+Formula!K34))*(INDEX(Properties!A$1:CB$87,Formula!J34,6))</f>
        <v>12</v>
      </c>
      <c r="U34" s="60">
        <f>Formula!C34*(INDEX(Properties!A$1:CB$87,Formula!B34,6))+Formula!E34*(INDEX(Properties!A$1:CB$87,Formula!D34,6))+Formula!G34*(INDEX(Properties!A$1:CB$87,Formula!F34,6))+Formula!I34*(INDEX(Properties!A$1:CB$87,Formula!H34,6))+Formula!K34*(INDEX(Properties!A$1:CB$87,Formula!J34,6))</f>
        <v>72</v>
      </c>
      <c r="V34" s="89">
        <f>VARP(IF(INDEX(Properties!A$1:CB$87,Formula!B34,6)&lt;&gt;"",INDEX(Properties!A$1:CB$87,Formula!B34,6)),IF(INDEX(Properties!A$1:CB$87,Formula!D34,6)&lt;&gt;"",INDEX(Properties!A$1:CB$87,Formula!D34,6)),IF(INDEX(Properties!A$1:CB$87,Formula!F34,6)&lt;&gt;"",INDEX(Properties!A$1:CB$87,Formula!F34,6)),IF(INDEX(Properties!A$1:CB$87,Formula!H34,6)&lt;&gt;"",INDEX(Properties!A$1:CB$87,Formula!H34,6)),IF(INDEX(Properties!A$1:CB$87,Formula!J34,6)&lt;&gt;"",INDEX(Properties!A$1:CB$87,Formula!J34,6)))</f>
        <v>34.96</v>
      </c>
      <c r="W34" s="60">
        <f>MAX(INDEX(Properties!A$1:CB$87,Formula!B34,6),INDEX(Properties!A$1:CB$87,Formula!D34,6),INDEX(Properties!A$1:CB$87,Formula!F34,6),INDEX(Properties!A$1:CB$87,Formula!H34,4),INDEX(Properties!A$1:CB$87,Formula!J34,6))</f>
        <v>16</v>
      </c>
      <c r="X34" s="60">
        <f>MIN(IF(INDEX(Properties!A$1:CB$87,Formula!B34,6)=0,10^6,INDEX(Properties!A$1:CB$87,Formula!B34,6)),IF(INDEX(Properties!A$1:CB$87,Formula!D34,6)=0,10^6,INDEX(Properties!A$1:CB$87,Formula!D34,6)),IF(INDEX(Properties!A$1:CB$87,Formula!F34,6)=0,10^6,INDEX(Properties!A$1:CB$87,Formula!F34,6)),IF(INDEX(Properties!A$1:CB$87,Formula!H34,6)=0,10^6,INDEX(Properties!A$1:CB$87,Formula!H34,6)),IF(INDEX(Properties!A$1:CB$87,Formula!J34,6)=0,10^6,INDEX(Properties!A$1:CB$87,Formula!J34,6)))</f>
        <v>3</v>
      </c>
      <c r="Y34" s="60">
        <f t="shared" si="3"/>
        <v>13</v>
      </c>
      <c r="Z34" s="72">
        <f>((Formula!C34)/(Formula!C34+Formula!E34+Formula!G34+Formula!I34+Formula!K34))*(INDEX(Properties!A$1:CB$87,Formula!B34,9))+((Formula!E34)/(Formula!C34+Formula!E34+Formula!G34+Formula!I34+Formula!K34))*(INDEX(Properties!A$1:CB$87,Formula!D34,9))+((Formula!G34)/(Formula!C34+Formula!E34+Formula!G34+Formula!I34+Formula!K34))*(INDEX(Properties!A$1:CB$87,Formula!F34,9))+((Formula!I34)/(Formula!C34+Formula!E34+Formula!G34+Formula!I34+Formula!K34))*(INDEX(Properties!A$1:CB$87,Formula!H34,9))+((Formula!K34)/(Formula!C34+Formula!E34+Formula!G34+Formula!I34+Formula!K34))*(INDEX(Properties!A$1:CB$87,Formula!J34,9))</f>
        <v>67.666666666666671</v>
      </c>
      <c r="AA34" s="72">
        <f>Formula!C34*(INDEX(Properties!A$1:CB$87,Formula!B34,9))+Formula!E34*(INDEX(Properties!A$1:CB$87,Formula!D34,9))+Formula!G34*(INDEX(Properties!A$1:CB$87,Formula!F34,9))+Formula!I34*(INDEX(Properties!A$1:CB$87,Formula!H34,9))+Formula!K34*(INDEX(Properties!A$1:CB$87,Formula!J34,9))</f>
        <v>406</v>
      </c>
      <c r="AB34" s="72">
        <f>VARP(IF(INDEX(Properties!A$1:CB$87,Formula!B34,9)&lt;&gt;"",INDEX(Properties!A$1:CB$87,Formula!B34,9)),IF(INDEX(Properties!A$1:CB$87,Formula!D34,9)&lt;&gt;"",INDEX(Properties!A$1:CB$87,Formula!D34,9)),IF(INDEX(Properties!A$1:CB$87,Formula!F34,9)&lt;&gt;"",INDEX(Properties!A$1:CB$87,Formula!F34,9)),IF(INDEX(Properties!A$1:CB$87,Formula!H34,9)&lt;&gt;"",INDEX(Properties!A$1:CB$87,Formula!H34,9)),IF(INDEX(Properties!A$1:CB$87,Formula!J34,9)&lt;&gt;"",INDEX(Properties!A$1:CB$87,Formula!J34,9)))</f>
        <v>1124.8</v>
      </c>
      <c r="AC34" s="72">
        <f>MAX(INDEX(Properties!A$1:CB$87,Formula!B34,9),INDEX(Properties!A$1:CB$87,Formula!D34,9),INDEX(Properties!A$1:CB$87,Formula!F34,9),INDEX(Properties!A$1:CB$87,Formula!H34,9),INDEX(Properties!A$1:CB$87,Formula!J34,9))</f>
        <v>87</v>
      </c>
      <c r="AD34" s="72">
        <f>MIN(IF(INDEX(Properties!A$1:CB$87,Formula!B34,9)=0,10^6,INDEX(Properties!A$1:CB$87,Formula!B34,9)),IF(INDEX(Properties!A$1:CB$87,Formula!D34,9)=0,10^6,INDEX(Properties!A$1:CB$87,Formula!D34,9)),IF(INDEX(Properties!A$1:CB$87,Formula!F34,9)=0,10^6,INDEX(Properties!A$1:CB$87,Formula!F34,9)),IF(INDEX(Properties!A$1:CB$87,Formula!H34,9)=0,10^6,INDEX(Properties!A$1:CB$87,Formula!H34,9)),IF(INDEX(Properties!A$1:CB$87,Formula!J34,9)=0,10^6,INDEX(Properties!A$1:CB$87,Formula!J34,9)))</f>
        <v>12</v>
      </c>
      <c r="AE34" s="72">
        <f t="shared" si="4"/>
        <v>75</v>
      </c>
      <c r="AF34" s="51">
        <f>((Formula!C34)/(Formula!C34+Formula!E34+Formula!G34+Formula!I34+Formula!K34))*(INDEX(Properties!A$1:CB$87,Formula!B34,10))+((Formula!E34)/(Formula!C34+Formula!E34+Formula!G34+Formula!I34+Formula!K34))*(INDEX(Properties!A$1:CB$87,Formula!D34,10))+((Formula!G34)/(Formula!C34+Formula!E34+Formula!G34+Formula!I34+Formula!K34))*(INDEX(Properties!A$1:CB$87,Formula!F34,10))+((Formula!I34)/(Formula!C34+Formula!E34+Formula!G34+Formula!I34+Formula!K34))*(INDEX(Properties!A$1:CB$87,Formula!H34,10))+((Formula!K34)/(Formula!C34+Formula!E34+Formula!G34+Formula!I34+Formula!K34))*(INDEX(Properties!A$1:CB$87,Formula!J34,10))</f>
        <v>5.8333333333333321</v>
      </c>
      <c r="AG34" s="51">
        <f>Formula!C34*(INDEX(Properties!A$1:CB$87,Formula!B34,10))+Formula!E34*(INDEX(Properties!A$1:CB$87,Formula!D34,10))+Formula!G34*(INDEX(Properties!A$1:CB$87,Formula!F34,10))+Formula!I34*(INDEX(Properties!A$1:CB$87,Formula!H34,10))+Formula!K34*(INDEX(Properties!A$1:CB$87,Formula!J34,10))</f>
        <v>35</v>
      </c>
      <c r="AH34" s="51">
        <f>VARP(IF(INDEX(Properties!A$1:CB$87,Formula!B34,10)&lt;&gt;"",INDEX(Properties!A$1:CB$87,Formula!B34,10)),IF(INDEX(Properties!A$1:CB$87,Formula!D34,10)&lt;&gt;"",INDEX(Properties!A$1:CB$87,Formula!D34,10)),IF(INDEX(Properties!A$1:CB$87,Formula!F34,10)&lt;&gt;"",INDEX(Properties!A$1:CB$87,Formula!F34,10)),IF(INDEX(Properties!A$1:CB$87,Formula!H34,10)&lt;&gt;"",INDEX(Properties!A$1:CB$87,Formula!H34,10)),IF(INDEX(Properties!A$1:CB$87,Formula!J34,10)&lt;&gt;"",INDEX(Properties!A$1:CB$87,Formula!J34,10)))</f>
        <v>6.96</v>
      </c>
      <c r="AI34" s="51">
        <f>MAX(INDEX(Properties!A$1:CB$87,Formula!B34,10),INDEX(Properties!A$1:CB$87,Formula!D34,10),INDEX(Properties!A$1:CB$87,Formula!F34,10),INDEX(Properties!A$1:CB$87,Formula!H34,10),INDEX(Properties!A$1:CB$87,Formula!J34,10))</f>
        <v>7</v>
      </c>
      <c r="AJ34" s="51">
        <f>MIN(IF(INDEX(Properties!A$1:CB$87,Formula!B34,10)=0,10^6,INDEX(Properties!A$1:CB$87,Formula!B34,10)),IF(INDEX(Properties!A$1:CB$87,Formula!D34,10)=0,10^6,INDEX(Properties!A$1:CB$87,Formula!D34,10)),IF(INDEX(Properties!A$1:CB$87,Formula!F34,10)=0,10^6,INDEX(Properties!A$1:CB$87,Formula!F34,10)),IF(INDEX(Properties!A$1:CB$87,Formula!H34,10)=0,10^6,INDEX(Properties!A$1:CB$87,Formula!H34,10)),IF(INDEX(Properties!A$1:CB$87,Formula!J34,10)=0,10^6,INDEX(Properties!A$1:CB$87,Formula!J34,10)))</f>
        <v>3</v>
      </c>
      <c r="AK34" s="51">
        <f t="shared" si="5"/>
        <v>4</v>
      </c>
      <c r="AL34" s="57">
        <f>((Formula!C34)/(Formula!C34+Formula!E34+Formula!G34+Formula!I34+Formula!K34))*(INDEX(Properties!A$1:CB$87,Formula!B34,11))+((Formula!E34)/(Formula!C34+Formula!E34+Formula!G34+Formula!I34+Formula!K34))*(INDEX(Properties!A$1:CB$87,Formula!D34,11))+((Formula!G34)/(Formula!C34+Formula!E34+Formula!G34+Formula!I34+Formula!K34))*(INDEX(Properties!A$1:CB$87,Formula!F34,11))+((Formula!I34)/(Formula!C34+Formula!E34+Formula!G34+Formula!I34+Formula!K34))*(INDEX(Properties!A$1:CB$87,Formula!H34,11))+((Formula!K34)/(Formula!C34+Formula!E34+Formula!G34+Formula!I34+Formula!K34))*(INDEX(Properties!A$1:CB$87,Formula!J34,11))</f>
        <v>2</v>
      </c>
      <c r="AM34" s="57">
        <f>Formula!C34*(INDEX(Properties!A$1:CB$87,Formula!B34,11))+Formula!E34*(INDEX(Properties!A$1:CB$87,Formula!D34,11))+Formula!G34*(INDEX(Properties!A$1:CB$87,Formula!F34,11))+Formula!I34*(INDEX(Properties!A$1:CB$87,Formula!H34,11))+Formula!K34*(INDEX(Properties!A$1:CB$87,Formula!J34,11))</f>
        <v>12</v>
      </c>
      <c r="AN34" s="57">
        <f>VARP(IF(INDEX(Properties!A$1:CB$87,Formula!B34,11)&lt;&gt;"",INDEX(Properties!A$1:CB$87,Formula!B34,11)),IF(INDEX(Properties!A$1:CB$87,Formula!D34,11)&lt;&gt;"",INDEX(Properties!A$1:CB$87,Formula!D34,11)),IF(INDEX(Properties!A$1:CB$87,Formula!F34,11)&lt;&gt;"",INDEX(Properties!A$1:CB$87,Formula!F34,11)),IF(INDEX(Properties!A$1:CB$87,Formula!H34,11)&lt;&gt;"",INDEX(Properties!A$1:CB$87,Formula!H34,11)),IF(INDEX(Properties!A$1:CB$87,Formula!J34,11)&lt;&gt;"",INDEX(Properties!A$1:CB$87,Formula!J34,11)))</f>
        <v>0.96</v>
      </c>
      <c r="AO34" s="57">
        <f>MAX(INDEX(Properties!A$1:CB$87,Formula!B34,11),INDEX(Properties!A$1:CB$87,Formula!D34,11),INDEX(Properties!A$1:CB$87,Formula!F34,11),INDEX(Properties!A$1:CB$87,Formula!H34,11),INDEX(Properties!A$1:CB$87,Formula!J34,11))</f>
        <v>2</v>
      </c>
      <c r="AP34" s="57">
        <f>MIN(IF(Formula!B34=87,10^6,INDEX(Properties!A$1:CB$87,Formula!B34,11)),IF((Formula!D34)=87,10^6,INDEX(Properties!A$1:CB$87,Formula!D34,11)),IF((Formula!F34)=87,10^6,INDEX(Properties!A$1:CB$87,Formula!F34,11)),IF((Formula!H34)=87,10^6,INDEX(Properties!A$1:CB$87,Formula!H34,11)),IF(Formula!J34=87,10^6,INDEX(Properties!A$1:CB$87,Formula!J34,11)))</f>
        <v>2</v>
      </c>
      <c r="AQ34" s="57">
        <f t="shared" si="6"/>
        <v>0</v>
      </c>
      <c r="AR34" s="78">
        <f>((Formula!C34)/(Formula!C34+Formula!E34+Formula!G34+Formula!I34+Formula!K34))*(INDEX(Properties!A$1:CB$87,Formula!B34,12))+((Formula!E34)/(Formula!C34+Formula!E34+Formula!G34+Formula!I34+Formula!K34))*(INDEX(Properties!A$1:CB$87,Formula!D34,12))+((Formula!G34)/(Formula!C34+Formula!E34+Formula!G34+Formula!I34+Formula!K34))*(INDEX(Properties!A$1:CB$87,Formula!F34,12))+((Formula!I34)/(Formula!C34+Formula!E34+Formula!G34+Formula!I34+Formula!K34))*(INDEX(Properties!A$1:CB$87,Formula!H34,12))+((Formula!K34)/(Formula!C34+Formula!E34+Formula!G34+Formula!I34+Formula!K34))*(INDEX(Properties!A$1:CB$87,Formula!J34,12))</f>
        <v>2.6666666666666665</v>
      </c>
      <c r="AS34" s="78">
        <f>Formula!C34*(INDEX(Properties!A$1:CB$87,Formula!B34,12))+Formula!E34*(INDEX(Properties!A$1:CB$87,Formula!D34,12))+Formula!G34*(INDEX(Properties!A$1:CB$87,Formula!F34,12))+Formula!I34*(INDEX(Properties!A$1:CB$87,Formula!H34,12))+Formula!K34*(INDEX(Properties!A$1:CB$87,Formula!J34,12))</f>
        <v>16</v>
      </c>
      <c r="AT34" s="78">
        <f>VARP(IF(INDEX(Properties!A$1:CB$87,Formula!B34,12)&lt;&gt;"",INDEX(Properties!A$1:CB$87,Formula!B34,12)),IF(INDEX(Properties!A$1:CB$87,Formula!D34,12)&lt;&gt;"",INDEX(Properties!A$1:CB$87,Formula!D34,12)),IF(INDEX(Properties!A$1:CB$87,Formula!F34,12)&lt;&gt;"",INDEX(Properties!A$1:CB$87,Formula!F34,12)),IF(INDEX(Properties!A$1:CB$87,Formula!H34,12)&lt;&gt;"",INDEX(Properties!A$1:CB$87,Formula!H34,12)),IF(INDEX(Properties!A$1:CB$87,Formula!J34,12)&lt;&gt;"",INDEX(Properties!A$1:CB$87,Formula!J34,12)))</f>
        <v>2.56</v>
      </c>
      <c r="AU34" s="78">
        <f>MAX(INDEX(Properties!A$1:CB$87,Formula!B34,12),INDEX(Properties!A$1:CB$87,Formula!D34,12),INDEX(Properties!A$1:CB$87,Formula!F34,12),INDEX(Properties!A$1:CB$87,Formula!H34,12),INDEX(Properties!A$1:CB$87,Formula!J34,12))</f>
        <v>4</v>
      </c>
      <c r="AV34" s="78">
        <f>MIN(IF(Formula!B34=87,10^6,INDEX(Properties!A$1:CB$87,Formula!B34,12)),IF((Formula!D34)=87,10^6,INDEX(Properties!A$1:CB$87,Formula!D34,12)),IF((Formula!F34)=87,10^6,INDEX(Properties!A$1:CB$87,Formula!F34,12)),IF((Formula!H34)=87,10^6,INDEX(Properties!A$1:CB$87,Formula!H34,12)),IF(Formula!J34=87,10^6,INDEX(Properties!A$1:CB$87,Formula!J34,12)))</f>
        <v>0</v>
      </c>
      <c r="AW34" s="78">
        <f t="shared" si="7"/>
        <v>4</v>
      </c>
      <c r="AX34" s="45">
        <f>((Formula!C34)/(Formula!C34+Formula!E34+Formula!G34+Formula!I34+Formula!K34))*(INDEX(Properties!A$1:CB$87,Formula!B34,13))+((Formula!E34)/(Formula!C34+Formula!E34+Formula!G34+Formula!I34+Formula!K34))*(INDEX(Properties!A$1:CB$87,Formula!D34,13))+((Formula!G34)/(Formula!C34+Formula!E34+Formula!G34+Formula!I34+Formula!K34))*(INDEX(Properties!A$1:CB$87,Formula!F34,13))+((Formula!I34)/(Formula!C34+Formula!E34+Formula!G34+Formula!I34+Formula!K34))*(INDEX(Properties!A$1:CB$87,Formula!H34,13))+((Formula!K34)/(Formula!C34+Formula!E34+Formula!G34+Formula!I34+Formula!K34))*(INDEX(Properties!A$1:CB$87,Formula!J34,13))</f>
        <v>0.66666666666666663</v>
      </c>
      <c r="AY34" s="45">
        <f>Formula!C34*(INDEX(Properties!A$1:CB$87,Formula!B34,13))+Formula!E34*(INDEX(Properties!A$1:CB$87,Formula!D34,13))+Formula!G34*(INDEX(Properties!A$1:CB$87,Formula!F34,13))+Formula!I34*(INDEX(Properties!A$1:CB$87,Formula!H34,13))+Formula!K34*(INDEX(Properties!A$1:CB$87,Formula!J34,13))</f>
        <v>4</v>
      </c>
      <c r="AZ34" s="45">
        <f>VARP(IF(INDEX(Properties!A$1:CB$87,Formula!B34,13)&lt;&gt;"",INDEX(Properties!A$1:CB$87,Formula!B34,13)),IF(INDEX(Properties!A$1:CB$87,Formula!D34,13)&lt;&gt;"",INDEX(Properties!A$1:CB$87,Formula!D34,13)),IF(INDEX(Properties!A$1:CB$87,Formula!F34,13)&lt;&gt;"",INDEX(Properties!A$1:CB$87,Formula!F34,13)),IF(INDEX(Properties!A$1:CB$87,Formula!H34,13)&lt;&gt;"",INDEX(Properties!A$1:CB$87,Formula!H34,13)),IF(INDEX(Properties!A$1:CB$87,Formula!J34,13)&lt;&gt;"",INDEX(Properties!A$1:CB$87,Formula!J34,13)))</f>
        <v>1.36</v>
      </c>
      <c r="BA34" s="45">
        <f>MAX(INDEX(Properties!A$1:CB$87,Formula!B34,13),INDEX(Properties!A$1:CB$87,Formula!D34,13),INDEX(Properties!A$1:CB$87,Formula!F34,13),INDEX(Properties!A$1:CB$87,Formula!H34,13),INDEX(Properties!A$1:CB$87,Formula!J34,13))</f>
        <v>3</v>
      </c>
      <c r="BB34" s="45">
        <f>MIN(IF(Formula!B34=87,10^6,INDEX(Properties!A$1:CB$87,Formula!B34,13)),IF((Formula!D34)=87,10^6,INDEX(Properties!A$1:CB$87,Formula!D34,13)),IF((Formula!F34)=87,10^6,INDEX(Properties!A$1:CB$87,Formula!F34,13)),IF((Formula!H34)=87,10^6,INDEX(Properties!A$1:CB$87,Formula!H34,13)),IF(Formula!J34=87,10^6,INDEX(Properties!A$1:CB$87,Formula!J34,13)))</f>
        <v>0</v>
      </c>
      <c r="BC34" s="45">
        <f t="shared" si="8"/>
        <v>3</v>
      </c>
      <c r="BD34" s="63">
        <f>((Formula!C34)/(Formula!C34+Formula!E34+Formula!G34+Formula!I34+Formula!K34))*(INDEX(Properties!A$1:CB$87,Formula!B34,14))+((Formula!E34)/(Formula!C34+Formula!E34+Formula!G34+Formula!I34+Formula!K34))*(INDEX(Properties!A$1:CB$87,Formula!D34,14))+((Formula!G34)/(Formula!C34+Formula!E34+Formula!G34+Formula!I34+Formula!K34))*(INDEX(Properties!A$1:CB$87,Formula!F34,14))+((Formula!I34)/(Formula!C34+Formula!E34+Formula!G34+Formula!I34+Formula!K34))*(INDEX(Properties!A$1:CB$87,Formula!H34,14))+((Formula!K34)/(Formula!C34+Formula!E34+Formula!G34+Formula!I34+Formula!K34))*(INDEX(Properties!A$1:CB$87,Formula!J34,14))</f>
        <v>0</v>
      </c>
      <c r="BE34" s="63">
        <f>Formula!C34*(INDEX(Properties!A$1:CB$87,Formula!B34,14))+Formula!E34*(INDEX(Properties!A$1:CB$87,Formula!D34,14))+Formula!G34*(INDEX(Properties!A$1:CB$87,Formula!F34,14))+Formula!I34*(INDEX(Properties!A$1:CB$87,Formula!H34,14))+Formula!K34*(INDEX(Properties!A$1:CB$87,Formula!J34,14))</f>
        <v>0</v>
      </c>
      <c r="BF34" s="63">
        <f>VARP(IF(INDEX(Properties!A$1:CB$87,Formula!B34,14)&lt;&gt;"",INDEX(Properties!A$1:CB$87,Formula!B34,14)),IF(INDEX(Properties!A$1:CB$87,Formula!D34,14)&lt;&gt;"",INDEX(Properties!A$1:CB$87,Formula!D34,14)),IF(INDEX(Properties!A$1:CB$87,Formula!F34,14)&lt;&gt;"",INDEX(Properties!A$1:CB$87,Formula!F34,14)),IF(INDEX(Properties!A$1:CB$87,Formula!H34,14)&lt;&gt;"",INDEX(Properties!A$1:CB$87,Formula!H34,14)),IF(INDEX(Properties!A$1:CB$87,Formula!J34,14)&lt;&gt;"",INDEX(Properties!A$1:CB$87,Formula!J34,14)))</f>
        <v>0</v>
      </c>
      <c r="BG34" s="63">
        <f>MAX(INDEX(Properties!A$1:CB$87,Formula!B34,14),INDEX(Properties!A$1:CB$87,Formula!D34,14),INDEX(Properties!A$1:CB$87,Formula!F34,14),INDEX(Properties!A$1:CB$87,Formula!H34,14),INDEX(Properties!A$1:CB$87,Formula!J34,14))</f>
        <v>0</v>
      </c>
      <c r="BH34" s="63">
        <f>MIN(IF(Formula!B34=87,10^6,INDEX(Properties!A$1:CB$87,Formula!B34,14)),IF((Formula!D34)=87,10^6,INDEX(Properties!A$1:CB$87,Formula!D34,14)),IF((Formula!F34)=87,10^6,INDEX(Properties!A$1:CB$87,Formula!F34,14)),IF((Formula!H34)=87,10^6,INDEX(Properties!A$1:CB$87,Formula!H34,14)),IF(Formula!J34=87,10^6,INDEX(Properties!A$1:CB$87,Formula!J34,14)))</f>
        <v>0</v>
      </c>
      <c r="BI34" s="63">
        <f t="shared" si="9"/>
        <v>0</v>
      </c>
      <c r="BJ34" s="75">
        <f>((Formula!C34)/(Formula!C34+Formula!E34+Formula!G34+Formula!I34+Formula!K34))*(INDEX(Properties!A$1:CB$87,Formula!B34,19))+((Formula!E34)/(Formula!C34+Formula!E34+Formula!G34+Formula!I34+Formula!K34))*(INDEX(Properties!A$1:CB$87,Formula!D34,19))+((Formula!G34)/(Formula!C34+Formula!E34+Formula!G34+Formula!I34+Formula!K34))*(INDEX(Properties!A$1:CB$87,Formula!F34,19))+((Formula!I34)/(Formula!C34+Formula!E34+Formula!G34+Formula!I34+Formula!K34))*(INDEX(Properties!A$1:CB$87,Formula!H34,19))+((Formula!K34)/(Formula!C34+Formula!E34+Formula!G34+Formula!I34+Formula!K34))*(INDEX(Properties!A$1:CB$87,Formula!J34,19))</f>
        <v>5.333333333333333</v>
      </c>
      <c r="BK34" s="75">
        <f>Formula!C34*(INDEX(Properties!A$1:CB$87,Formula!B34,19))+Formula!E34*(INDEX(Properties!A$1:CB$87,Formula!D34,19))+Formula!G34*(INDEX(Properties!A$1:CB$87,Formula!F34,19))+Formula!I34*(INDEX(Properties!A$1:CB$87,Formula!H34,19))+Formula!K34*(INDEX(Properties!A$1:CB$87,Formula!J34,19))</f>
        <v>32</v>
      </c>
      <c r="BL34" s="75">
        <f>VARP(IF(INDEX(Properties!A$1:CB$87,Formula!B34,19)&lt;&gt;"",INDEX(Properties!A$1:CB$87,Formula!B34,19)),IF(INDEX(Properties!A$1:CB$87,Formula!D34,19)&lt;&gt;"",INDEX(Properties!A$1:CB$87,Formula!D34,19)),IF(INDEX(Properties!A$1:CB$87,Formula!F34,19)&lt;&gt;"",INDEX(Properties!A$1:CB$87,Formula!F34,19)),IF(INDEX(Properties!A$1:CB$87,Formula!H34,19)&lt;&gt;"",INDEX(Properties!A$1:CB$87,Formula!H34,19)),IF(INDEX(Properties!A$1:CB$87,Formula!J34,19)&lt;&gt;"",INDEX(Properties!A$1:CB$87,Formula!J34,19)))</f>
        <v>6.16</v>
      </c>
      <c r="BM34" s="75">
        <f>MAX(INDEX(Properties!A$1:CB$87,Formula!B34,19),INDEX(Properties!A$1:CB$87,Formula!D34,19),INDEX(Properties!A$1:CB$87,Formula!F34,19),INDEX(Properties!A$1:CB$87,Formula!H34,19),INDEX(Properties!A$1:CB$87,Formula!J34,19))</f>
        <v>6</v>
      </c>
      <c r="BN34" s="75">
        <f>MIN(IF(INDEX(Properties!A$1:CB$87,Formula!B34,19)=0,10^6,INDEX(Properties!A$1:CB$87,Formula!B34,19)),IF(INDEX(Properties!A$1:CB$87,Formula!D34,19)=0,10^6,INDEX(Properties!A$1:CB$87,Formula!D34,19)),IF(INDEX(Properties!A$1:CB$87,Formula!F34,19)=0,10^6,INDEX(Properties!A$1:CB$87,Formula!F34,19)),IF(INDEX(Properties!A$1:CB$87,Formula!H34,19)=0,10^6,INDEX(Properties!A$1:CB$87,Formula!H34,19)),IF(INDEX(Properties!A$1:CB$87,Formula!J34,19)=0,10^6,INDEX(Properties!A$1:CB$87,Formula!J34,19)))</f>
        <v>3</v>
      </c>
      <c r="BO34" s="75">
        <f t="shared" si="10"/>
        <v>3</v>
      </c>
      <c r="BP34" s="48">
        <f>((Formula!C34)/(Formula!C34+Formula!E34+Formula!G34+Formula!I34+Formula!K34))*(INDEX(Properties!A$1:CB$87,Formula!B34,20))+((Formula!E34)/(Formula!C34+Formula!E34+Formula!G34+Formula!I34+Formula!K34))*(INDEX(Properties!A$1:CB$87,Formula!D34,20))+((Formula!G34)/(Formula!C34+Formula!E34+Formula!G34+Formula!I34+Formula!K34))*(INDEX(Properties!A$1:CB$87,Formula!F34,20))+((Formula!I34)/(Formula!C34+Formula!E34+Formula!G34+Formula!I34+Formula!K34))*(INDEX(Properties!A$1:CB$87,Formula!H34,20))+((Formula!K34)/(Formula!C34+Formula!E34+Formula!G34+Formula!I34+Formula!K34))*(INDEX(Properties!A$1:CB$87,Formula!J34,20))</f>
        <v>4.666666666666667</v>
      </c>
      <c r="BQ34" s="48">
        <f>Formula!C34*(INDEX(Properties!A$1:CB$87,Formula!B34,20))+Formula!E34*(INDEX(Properties!A$1:CB$87,Formula!D34,20))+Formula!G34*(INDEX(Properties!A$1:CB$87,Formula!F34,20))+Formula!I34*(INDEX(Properties!A$1:CB$87,Formula!H34,20))+Formula!K34*(INDEX(Properties!A$1:CB$87,Formula!J34,20))</f>
        <v>28</v>
      </c>
      <c r="BR34" s="48">
        <f>VARP(IF(INDEX(Properties!A$1:CB$87,Formula!B34,20)&lt;&gt;"",INDEX(Properties!A$1:CB$87,Formula!B34,20)),IF(INDEX(Properties!A$1:CB$87,Formula!D34,20)&lt;&gt;"",INDEX(Properties!A$1:CB$87,Formula!D34,20)),IF(INDEX(Properties!A$1:CB$87,Formula!F34,20)&lt;&gt;"",INDEX(Properties!A$1:CB$87,Formula!F34,20)),IF(INDEX(Properties!A$1:CB$87,Formula!H34,20)&lt;&gt;"",INDEX(Properties!A$1:CB$87,Formula!H34,20)),IF(INDEX(Properties!A$1:CB$87,Formula!J34,20)&lt;&gt;"",INDEX(Properties!A$1:CB$87,Formula!J34,20)))</f>
        <v>4.8</v>
      </c>
      <c r="BS34" s="48">
        <f>MAX(INDEX(Properties!A$1:CB$87,Formula!B34,20),INDEX(Properties!A$1:CB$87,Formula!D34,20),INDEX(Properties!A$1:CB$87,Formula!F34,20),INDEX(Properties!A$1:CB$87,Formula!H34,20),INDEX(Properties!A$1:CB$87,Formula!J34,20))</f>
        <v>6</v>
      </c>
      <c r="BT34" s="48">
        <f>MIN(IF(INDEX(Properties!A$1:CB$87,Formula!B34,20)=0,10^6,INDEX(Properties!A$1:CB$87,Formula!B34,20)),IF(INDEX(Properties!A$1:CB$87,Formula!D34,20)=0,10^6,INDEX(Properties!A$1:CB$87,Formula!D34,20)),IF(INDEX(Properties!A$1:CB$87,Formula!F34,20)=0,10^6,INDEX(Properties!A$1:CB$87,Formula!F34,20)),IF(INDEX(Properties!A$1:CB$87,Formula!H34,20)=0,10^6,INDEX(Properties!A$1:CB$87,Formula!H34,20)),IF(INDEX(Properties!A$1:CB$87,Formula!J34,20)=0,10^6,INDEX(Properties!A$1:CB$87,Formula!J34,20)))</f>
        <v>2</v>
      </c>
      <c r="BU34" s="48">
        <f t="shared" si="11"/>
        <v>4</v>
      </c>
      <c r="BV34" s="66">
        <f>((Formula!C34)/(Formula!C34+Formula!E34+Formula!G34+Formula!I34+Formula!K34))*(INDEX(Properties!A$1:CB$87,Formula!B34,21))+((Formula!E34)/(Formula!C34+Formula!E34+Formula!G34+Formula!I34+Formula!K34))*(INDEX(Properties!A$1:CB$87,Formula!D34,21))+((Formula!G34)/(Formula!C34+Formula!E34+Formula!G34+Formula!I34+Formula!K34))*(INDEX(Properties!A$1:CB$87,Formula!F34,21))+((Formula!I34)/(Formula!C34+Formula!E34+Formula!G34+Formula!I34+Formula!K34))*(INDEX(Properties!A$1:CB$87,Formula!H34,21))+((Formula!K34)/(Formula!C34+Formula!E34+Formula!G34+Formula!I34+Formula!K34))*(INDEX(Properties!A$1:CB$87,Formula!J34,21))</f>
        <v>4.666666666666667</v>
      </c>
      <c r="BW34" s="66">
        <f>Formula!C34*(INDEX(Properties!A$1:CB$87,Formula!B34,21))+Formula!E34*(INDEX(Properties!A$1:CB$87,Formula!D34,21))+Formula!G34*(INDEX(Properties!A$1:CB$87,Formula!F34,21))+Formula!I34*(INDEX(Properties!A$1:CB$87,Formula!H34,21))+Formula!K34*(INDEX(Properties!A$1:CB$87,Formula!J34,21))</f>
        <v>28</v>
      </c>
      <c r="BX34" s="66">
        <f>VARP(IF(INDEX(Properties!A$1:CB$87,Formula!B34,21)&lt;&gt;"",INDEX(Properties!A$1:CB$87,Formula!B34,21)),IF(INDEX(Properties!A$1:CB$87,Formula!D34,21)&lt;&gt;"",INDEX(Properties!A$1:CB$87,Formula!D34,21)),IF(INDEX(Properties!A$1:CB$87,Formula!F34,21)&lt;&gt;"",INDEX(Properties!A$1:CB$87,Formula!F34,21)),IF(INDEX(Properties!A$1:CB$87,Formula!H34,21)&lt;&gt;"",INDEX(Properties!A$1:CB$87,Formula!H34,21)),IF(INDEX(Properties!A$1:CB$87,Formula!J34,21)&lt;&gt;"",INDEX(Properties!A$1:CB$87,Formula!J34,21)))</f>
        <v>5.2</v>
      </c>
      <c r="BY34" s="66">
        <f>MAX(INDEX(Properties!A$1:CB$87,Formula!B34,21),INDEX(Properties!A$1:CB$87,Formula!D34,21),INDEX(Properties!A$1:CB$87,Formula!F34,21),INDEX(Properties!A$1:CB$87,Formula!H34,21),INDEX(Properties!A$1:CB$87,Formula!J34,21))</f>
        <v>6</v>
      </c>
      <c r="BZ34" s="66">
        <f>MIN(IF(INDEX(Properties!A$1:CB$87,Formula!B34,21)=0,10^6,INDEX(Properties!A$1:CB$87,Formula!B34,21)),IF(INDEX(Properties!A$1:CB$87,Formula!D34,21)=0,10^6,INDEX(Properties!A$1:CB$87,Formula!D34,21)),IF(INDEX(Properties!A$1:CB$87,Formula!F34,21)=0,10^6,INDEX(Properties!A$1:CB$87,Formula!F34,21)),IF(INDEX(Properties!A$1:CB$87,Formula!H34,21)=0,10^6,INDEX(Properties!A$1:CB$87,Formula!H34,21)),IF(INDEX(Properties!A$1:CB$87,Formula!J34,21)=0,10^6,INDEX(Properties!A$1:CB$87,Formula!J34,21)))</f>
        <v>1</v>
      </c>
      <c r="CA34" s="66">
        <f t="shared" si="12"/>
        <v>5</v>
      </c>
      <c r="CB34" s="81">
        <f>((Formula!C34)/(Formula!C34+Formula!E34+Formula!G34+Formula!I34+Formula!K34))*(INDEX(Properties!A$1:CB$87,Formula!B34,23))+((Formula!E34)/(Formula!C34+Formula!E34+Formula!G34+Formula!I34+Formula!K34))*(INDEX(Properties!A$1:CB$87,Formula!D34,23))+((Formula!G34)/(Formula!C34+Formula!E34+Formula!G34+Formula!I34+Formula!K34))*(INDEX(Properties!A$1:CB$87,Formula!F34,23))+((Formula!I34)/(Formula!C34+Formula!E34+Formula!G34+Formula!I34+Formula!K34))*(INDEX(Properties!A$1:CB$87,Formula!H34,23))+((Formula!K34)/(Formula!C34+Formula!E34+Formula!G34+Formula!I34+Formula!K34))*(INDEX(Properties!A$1:CB$87,Formula!J34,23))</f>
        <v>1.3333333333333333</v>
      </c>
      <c r="CC34" s="81">
        <f>Formula!C34*(INDEX(Properties!A$1:CB$87,Formula!B34,23))+Formula!E34*(INDEX(Properties!A$1:CB$87,Formula!D34,23))+Formula!G34*(INDEX(Properties!A$1:CB$87,Formula!F34,23))+Formula!I34*(INDEX(Properties!A$1:CB$87,Formula!H34,23))+Formula!K34*(INDEX(Properties!A$1:CB$87,Formula!J34,23))</f>
        <v>8</v>
      </c>
      <c r="CD34" s="81">
        <f>VARP(IF(INDEX(Properties!A$1:CB$87,Formula!B34,23)&lt;&gt;"",INDEX(Properties!A$1:CB$87,Formula!B34,23)),IF(INDEX(Properties!A$1:CB$87,Formula!D34,23)&lt;&gt;"",INDEX(Properties!A$1:CB$87,Formula!D34,23)),IF(INDEX(Properties!A$1:CB$87,Formula!F34,23)&lt;&gt;"",INDEX(Properties!A$1:CB$87,Formula!F34,23)),IF(INDEX(Properties!A$1:CB$87,Formula!H34,23)&lt;&gt;"",INDEX(Properties!A$1:CB$87,Formula!H34,23)),IF(INDEX(Properties!A$1:CB$87,Formula!J34,23)&lt;&gt;"",INDEX(Properties!A$1:CB$87,Formula!J34,23)))</f>
        <v>4.24</v>
      </c>
      <c r="CE34" s="81">
        <f>MAX(INDEX(Properties!A$1:CB$87,Formula!B34,23),INDEX(Properties!A$1:CB$87,Formula!D34,23),INDEX(Properties!A$1:CB$87,Formula!F34,23),INDEX(Properties!A$1:CB$87,Formula!H34,23),INDEX(Properties!A$1:CB$87,Formula!J34,23))</f>
        <v>5</v>
      </c>
      <c r="CF34" s="81">
        <f>MIN(IF(Formula!B34=87,10^6,INDEX(Properties!A$1:CB$87,Formula!B34,23)),IF((Formula!D34)=87,10^6,INDEX(Properties!A$1:CB$87,Formula!D34,23)),IF((Formula!F34)=87,10^6,INDEX(Properties!A$1:CB$87,Formula!F34,23)),IF((Formula!H34)=87,10^6,INDEX(Properties!A$1:CB$87,Formula!H34,23)),IF(Formula!J34=87,10^6,INDEX(Properties!A$1:CB$87,Formula!J34,23)))</f>
        <v>0</v>
      </c>
      <c r="CG34" s="81">
        <f t="shared" si="13"/>
        <v>5</v>
      </c>
      <c r="CH34" s="39">
        <f>((Formula!C34)/(Formula!C34+Formula!E34+Formula!G34+Formula!I34+Formula!K34))*(INDEX(Properties!A$1:CB$87,Formula!B34,26))+((Formula!E34)/(Formula!C34+Formula!E34+Formula!G34+Formula!I34+Formula!K34))*(INDEX(Properties!A$1:CB$87,Formula!D34,26))+((Formula!G34)/(Formula!C34+Formula!E34+Formula!G34+Formula!I34+Formula!K34))*(INDEX(Properties!A$1:CB$87,Formula!F34,26))+((Formula!I34)/(Formula!C34+Formula!E34+Formula!G34+Formula!I34+Formula!K34))*(INDEX(Properties!A$1:CB$87,Formula!H34,26))+((Formula!K34)/(Formula!C34+Formula!E34+Formula!G34+Formula!I34+Formula!K34))*(INDEX(Properties!A$1:CB$87,Formula!J34,26))</f>
        <v>11.239316666666666</v>
      </c>
      <c r="CI34" s="39">
        <f>Formula!C34*(INDEX(Properties!A$1:CB$87,Formula!B34,26))+Formula!E34*(INDEX(Properties!A$1:CB$87,Formula!D34,26))+Formula!G34*(INDEX(Properties!A$1:CB$87,Formula!F34,26))+Formula!I34*(INDEX(Properties!A$1:CB$87,Formula!H34,26))+Formula!K34*(INDEX(Properties!A$1:CB$87,Formula!J34,26))</f>
        <v>67.435900000000004</v>
      </c>
      <c r="CJ34" s="39">
        <f>VARP(IF(INDEX(Properties!A$1:CB$87,Formula!B34,26)&lt;&gt;"",INDEX(Properties!A$1:CB$87,Formula!B34,26)),IF(INDEX(Properties!A$1:CB$87,Formula!D34,26)&lt;&gt;"",INDEX(Properties!A$1:CB$87,Formula!D34,26)),IF(INDEX(Properties!A$1:CB$87,Formula!F34,26)&lt;&gt;"",INDEX(Properties!A$1:CB$87,Formula!F34,26)),IF(INDEX(Properties!A$1:CB$87,Formula!H34,26)&lt;&gt;"",INDEX(Properties!A$1:CB$87,Formula!H34,26)),IF(INDEX(Properties!A$1:CB$87,Formula!J34,26)&lt;&gt;"",INDEX(Properties!A$1:CB$87,Formula!J34,26)))</f>
        <v>25.660477925599999</v>
      </c>
      <c r="CK34" s="39">
        <f>MAX(INDEX(Properties!A$1:CB$87,Formula!B34,26),INDEX(Properties!A$1:CB$87,Formula!D34,26),INDEX(Properties!A$1:CB$87,Formula!F34,26),INDEX(Properties!A$1:CB$87,Formula!H34,26),INDEX(Properties!A$1:CB$87,Formula!J34,26))</f>
        <v>13.6181</v>
      </c>
      <c r="CL34" s="39">
        <f>MIN(IF(INDEX(Properties!A$1:CB$87,Formula!B34,26)=0,10^6,INDEX(Properties!A$1:CB$87,Formula!B34,26)),IF(INDEX(Properties!A$1:CB$87,Formula!D34,26)=0,10^6,INDEX(Properties!A$1:CB$87,Formula!D34,26)),IF(INDEX(Properties!A$1:CB$87,Formula!F34,26)=0,10^6,INDEX(Properties!A$1:CB$87,Formula!F34,26)),IF(INDEX(Properties!A$1:CB$87,Formula!H34,26)=0,10^6,INDEX(Properties!A$1:CB$87,Formula!H34,26)),IF(INDEX(Properties!A$1:CB$87,Formula!J34,26)=0,10^6,INDEX(Properties!A$1:CB$87,Formula!J34,26)))</f>
        <v>6.2172999999999998</v>
      </c>
      <c r="CM34" s="39">
        <f t="shared" si="14"/>
        <v>7.4008000000000003</v>
      </c>
      <c r="CN34" s="54">
        <f>((Formula!C34)/(Formula!C34+Formula!E34+Formula!G34+Formula!I34+Formula!K34))*(INDEX(Properties!A$1:CB$87,Formula!B34,30))+((Formula!E34)/(Formula!C34+Formula!E34+Formula!G34+Formula!I34+Formula!K34))*(INDEX(Properties!A$1:CB$87,Formula!D34,30))+((Formula!G34)/(Formula!C34+Formula!E34+Formula!G34+Formula!I34+Formula!K34))*(INDEX(Properties!A$1:CB$87,Formula!F34,30))+((Formula!I34)/(Formula!C34+Formula!E34+Formula!G34+Formula!I34+Formula!K34))*(INDEX(Properties!A$1:CB$87,Formula!H34,30))+((Formula!K34)/(Formula!C34+Formula!E34+Formula!G34+Formula!I34+Formula!K34))*(INDEX(Properties!A$1:CB$87,Formula!J34,30))</f>
        <v>2.7683333333333331</v>
      </c>
      <c r="CO34" s="54">
        <f>Formula!C34*(INDEX(Properties!A$1:CB$87,Formula!B34,30))+Formula!E34*(INDEX(Properties!A$1:CB$87,Formula!D34,30))+Formula!G34*(INDEX(Properties!A$1:CB$87,Formula!F34,30))+Formula!I34*(INDEX(Properties!A$1:CB$87,Formula!H34,30))+Formula!K34*(INDEX(Properties!A$1:CB$87,Formula!J34,30))</f>
        <v>16.61</v>
      </c>
      <c r="CP34" s="54">
        <f>VARP(IF(INDEX(Properties!A$1:CB$87,Formula!B34,30)&lt;&gt;"",INDEX(Properties!A$1:CB$87,Formula!B34,30)),IF(INDEX(Properties!A$1:CB$87,Formula!D34,30)&lt;&gt;"",INDEX(Properties!A$1:CB$87,Formula!D34,30)),IF(INDEX(Properties!A$1:CB$87,Formula!F34,30)&lt;&gt;"",INDEX(Properties!A$1:CB$87,Formula!F34,30)),IF(INDEX(Properties!A$1:CB$87,Formula!H34,30)&lt;&gt;"",INDEX(Properties!A$1:CB$87,Formula!H34,30)),IF(INDEX(Properties!A$1:CB$87,Formula!J34,30)&lt;&gt;"",INDEX(Properties!A$1:CB$87,Formula!J34,30)))</f>
        <v>1.6132160000000002</v>
      </c>
      <c r="CQ34" s="54">
        <f>MAX(INDEX(Properties!A$1:CB$87,Formula!B34,30),INDEX(Properties!A$1:CB$87,Formula!D34,30),INDEX(Properties!A$1:CB$87,Formula!F34,30),INDEX(Properties!A$1:CB$87,Formula!H34,30),INDEX(Properties!A$1:CB$87,Formula!J34,30))</f>
        <v>3.44</v>
      </c>
      <c r="CR34" s="54">
        <f>MIN(IF(INDEX(Properties!A$1:CB$87,Formula!B34,30)=0,10^6,INDEX(Properties!A$1:CB$87,Formula!B34,30)),IF(INDEX(Properties!A$1:CB$87,Formula!D34,30)=0,10^6,INDEX(Properties!A$1:CB$87,Formula!D34,30)),IF(INDEX(Properties!A$1:CB$87,Formula!F34,30)=0,10^6,INDEX(Properties!A$1:CB$87,Formula!F34,30)),IF(INDEX(Properties!A$1:CB$87,Formula!H34,30)=0,10^6,INDEX(Properties!A$1:CB$87,Formula!H34,30)),IF(INDEX(Properties!A$1:CB$87,Formula!J34,30)=0,10^6,INDEX(Properties!A$1:CB$87,Formula!J34,30)))</f>
        <v>1.22</v>
      </c>
      <c r="CS34" s="54">
        <f t="shared" si="15"/>
        <v>2.2199999999999998</v>
      </c>
      <c r="CT34" s="69">
        <f>((Formula!C34)/(Formula!C34+Formula!E34+Formula!G34+Formula!I34+Formula!K34))*(INDEX(Properties!A$1:CB$87,Formula!B34,31))+((Formula!E34)/(Formula!C34+Formula!E34+Formula!G34+Formula!I34+Formula!K34))*(INDEX(Properties!A$1:CB$87,Formula!D34,31))+((Formula!G34)/(Formula!C34+Formula!E34+Formula!G34+Formula!I34+Formula!K34))*(INDEX(Properties!A$1:CB$87,Formula!F34,31))+((Formula!I34)/(Formula!C34+Formula!E34+Formula!G34+Formula!I34+Formula!K34))*(INDEX(Properties!A$1:CB$87,Formula!H34,31))+((Formula!K34)/(Formula!C34+Formula!E34+Formula!G34+Formula!I34+Formula!K34))*(INDEX(Properties!A$1:CB$87,Formula!J34,31))</f>
        <v>2.8183333333333329</v>
      </c>
      <c r="CU34" s="69">
        <f>Formula!C34*(INDEX(Properties!A$1:CB$87,Formula!B34,31))+Formula!E34*(INDEX(Properties!A$1:CB$87,Formula!D34,31))+Formula!G34*(INDEX(Properties!A$1:CB$87,Formula!F34,31))+Formula!I34*(INDEX(Properties!A$1:CB$87,Formula!H34,31))+Formula!K34*(INDEX(Properties!A$1:CB$87,Formula!J34,31))</f>
        <v>16.91</v>
      </c>
      <c r="CV34" s="69">
        <f>VARP(IF(INDEX(Properties!A$1:CB$87,Formula!B34,31)&lt;&gt;"",INDEX(Properties!A$1:CB$87,Formula!B34,31)),IF(INDEX(Properties!A$1:CB$87,Formula!D34,31)&lt;&gt;"",INDEX(Properties!A$1:CB$87,Formula!D34,31)),IF(INDEX(Properties!A$1:CB$87,Formula!F34,31)&lt;&gt;"",INDEX(Properties!A$1:CB$87,Formula!F34,31)),IF(INDEX(Properties!A$1:CB$87,Formula!H34,31)&lt;&gt;"",INDEX(Properties!A$1:CB$87,Formula!H34,31)),IF(INDEX(Properties!A$1:CB$87,Formula!J34,31)&lt;&gt;"",INDEX(Properties!A$1:CB$87,Formula!J34,31)))</f>
        <v>1.6556800000000007</v>
      </c>
      <c r="CW34" s="69">
        <f>MAX(INDEX(Properties!A$1:CB$87,Formula!B34,31),INDEX(Properties!A$1:CB$87,Formula!D34,31),INDEX(Properties!A$1:CB$87,Formula!F34,31),INDEX(Properties!A$1:CB$87,Formula!H34,31),INDEX(Properties!A$1:CB$87,Formula!J34,31))</f>
        <v>3.32</v>
      </c>
      <c r="CX34" s="69">
        <f>MIN(IF(INDEX(Properties!A$1:CB$87,Formula!B34,31)=0,10^6,INDEX(Properties!A$1:CB$87,Formula!B34,31)),IF(INDEX(Properties!A$1:CB$87,Formula!D34,31)=0,10^6,INDEX(Properties!A$1:CB$87,Formula!D34,31)),IF(INDEX(Properties!A$1:CB$87,Formula!F34,31)=0,10^6,INDEX(Properties!A$1:CB$87,Formula!F34,31)),IF(INDEX(Properties!A$1:CB$87,Formula!H34,31)=0,10^6,INDEX(Properties!A$1:CB$87,Formula!H34,31)),IF(INDEX(Properties!A$1:CB$87,Formula!J34,31)=0,10^6,INDEX(Properties!A$1:CB$87,Formula!J34,31)))</f>
        <v>1.41</v>
      </c>
      <c r="CY34" s="69">
        <f t="shared" si="16"/>
        <v>1.91</v>
      </c>
      <c r="CZ34" s="42">
        <f>((Formula!C34)/(Formula!C34+Formula!E34+Formula!G34+Formula!I34+Formula!K34))*(INDEX(Properties!A$1:CB$87,Formula!B34,32))+((Formula!E34)/(Formula!C34+Formula!E34+Formula!G34+Formula!I34+Formula!K34))*(INDEX(Properties!A$1:CB$87,Formula!D34,32))+((Formula!G34)/(Formula!C34+Formula!E34+Formula!G34+Formula!I34+Formula!K34))*(INDEX(Properties!A$1:CB$87,Formula!F34,32))+((Formula!I34)/(Formula!C34+Formula!E34+Formula!G34+Formula!I34+Formula!K34))*(INDEX(Properties!A$1:CB$87,Formula!H34,32))+((Formula!K34)/(Formula!C34+Formula!E34+Formula!G34+Formula!I34+Formula!K34))*(INDEX(Properties!A$1:CB$87,Formula!J34,32))</f>
        <v>6.1583333333333332</v>
      </c>
      <c r="DA34" s="42">
        <f>Formula!C34*(INDEX(Properties!A$1:CB$87,Formula!B34,32))+Formula!E34*(INDEX(Properties!A$1:CB$87,Formula!D34,32))+Formula!G34*(INDEX(Properties!A$1:CB$87,Formula!F34,32))+Formula!I34*(INDEX(Properties!A$1:CB$87,Formula!H34,32))+Formula!K34*(INDEX(Properties!A$1:CB$87,Formula!J34,32))</f>
        <v>36.950000000000003</v>
      </c>
      <c r="DB34" s="42">
        <f>VARP(IF(INDEX(Properties!A$1:CB$87,Formula!B34,32)&lt;&gt;"",INDEX(Properties!A$1:CB$87,Formula!B34,32)),IF(INDEX(Properties!A$1:CB$87,Formula!D34,32)&lt;&gt;"",INDEX(Properties!A$1:CB$87,Formula!D34,32)),IF(INDEX(Properties!A$1:CB$87,Formula!F34,32)&lt;&gt;"",INDEX(Properties!A$1:CB$87,Formula!F34,32)),IF(INDEX(Properties!A$1:CB$87,Formula!H34,32)&lt;&gt;"",INDEX(Properties!A$1:CB$87,Formula!H34,32)),IF(INDEX(Properties!A$1:CB$87,Formula!J34,32)&lt;&gt;"",INDEX(Properties!A$1:CB$87,Formula!J34,32)))</f>
        <v>7.7835839999999985</v>
      </c>
      <c r="DC34" s="42">
        <f>MAX(INDEX(Properties!A$1:CB$87,Formula!B34,32),INDEX(Properties!A$1:CB$87,Formula!D34,32),INDEX(Properties!A$1:CB$87,Formula!F34,32),INDEX(Properties!A$1:CB$87,Formula!H34,32),INDEX(Properties!A$1:CB$87,Formula!J34,32))</f>
        <v>7.54</v>
      </c>
      <c r="DD34" s="42">
        <f>MIN(IF(INDEX(Properties!A$1:CB$87,Formula!B34,32)=0,10^6,INDEX(Properties!A$1:CB$87,Formula!B34,32)),IF(INDEX(Properties!A$1:CB$87,Formula!D34,32)=0,10^6,INDEX(Properties!A$1:CB$87,Formula!D34,32)),IF(INDEX(Properties!A$1:CB$87,Formula!F34,32)=0,10^6,INDEX(Properties!A$1:CB$87,Formula!F34,32)),IF(INDEX(Properties!A$1:CB$87,Formula!H34,32)=0,10^6,INDEX(Properties!A$1:CB$87,Formula!H34,32)),IF(INDEX(Properties!A$1:CB$87,Formula!J34,32)=0,10^6,INDEX(Properties!A$1:CB$87,Formula!J34,32)))</f>
        <v>3.19</v>
      </c>
      <c r="DE34" s="42">
        <f t="shared" si="17"/>
        <v>4.3499999999999996</v>
      </c>
      <c r="DF34" s="60">
        <f>((Formula!C34)/(Formula!C34+Formula!E34+Formula!G34+Formula!I34+Formula!K34))*(INDEX(Properties!A$1:CB$87,Formula!B34,34))+((Formula!E34)/(Formula!C34+Formula!E34+Formula!G34+Formula!I34+Formula!K34))*(INDEX(Properties!A$1:CB$87,Formula!D34,34))+((Formula!G34)/(Formula!C34+Formula!E34+Formula!G34+Formula!I34+Formula!K34))*(INDEX(Properties!A$1:CB$87,Formula!F34,34))+((Formula!I34)/(Formula!C34+Formula!E34+Formula!G34+Formula!I34+Formula!K34))*(INDEX(Properties!A$1:CB$87,Formula!H34,34))+((Formula!K34)/(Formula!C34+Formula!E34+Formula!G34+Formula!I34+Formula!K34))*(INDEX(Properties!A$1:CB$87,Formula!J34,34))</f>
        <v>2.8483333333333327</v>
      </c>
      <c r="DG34" s="60">
        <f>Formula!C34*(INDEX(Properties!A$1:CB$87,Formula!B34,34))+Formula!E34*(INDEX(Properties!A$1:CB$87,Formula!D34,34))+Formula!G34*(INDEX(Properties!A$1:CB$87,Formula!F34,34))+Formula!I34*(INDEX(Properties!A$1:CB$87,Formula!H34,34))+Formula!K34*(INDEX(Properties!A$1:CB$87,Formula!J34,34))</f>
        <v>17.09</v>
      </c>
      <c r="DH34" s="60">
        <f>VARP(IF(INDEX(Properties!A$1:CB$87,Formula!B34,34)&lt;&gt;"",INDEX(Properties!A$1:CB$87,Formula!B34,34)),IF(INDEX(Properties!A$1:CB$87,Formula!D34,34)&lt;&gt;"",INDEX(Properties!A$1:CB$87,Formula!D34,34)),IF(INDEX(Properties!A$1:CB$87,Formula!F34,34)&lt;&gt;"",INDEX(Properties!A$1:CB$87,Formula!F34,34)),IF(INDEX(Properties!A$1:CB$87,Formula!H34,34)&lt;&gt;"",INDEX(Properties!A$1:CB$87,Formula!H34,34)),IF(INDEX(Properties!A$1:CB$87,Formula!J34,34)&lt;&gt;"",INDEX(Properties!A$1:CB$87,Formula!J34,34)))</f>
        <v>1.7579760000000002</v>
      </c>
      <c r="DI34" s="60">
        <f>MAX(INDEX(Properties!A$1:CB$87,Formula!B34,34),INDEX(Properties!A$1:CB$87,Formula!D34,34),INDEX(Properties!A$1:CB$87,Formula!F34,34),INDEX(Properties!A$1:CB$87,Formula!H34,34),INDEX(Properties!A$1:CB$87,Formula!J34,34))</f>
        <v>3.61</v>
      </c>
      <c r="DJ34" s="60">
        <f>MIN(IF(INDEX(Properties!A$1:CB$87,Formula!B34,34)=0,10^6,INDEX(Properties!A$1:CB$87,Formula!B34,34)),IF(INDEX(Properties!A$1:CB$87,Formula!D34,34)=0,10^6,INDEX(Properties!A$1:CB$87,Formula!D34,34)),IF(INDEX(Properties!A$1:CB$87,Formula!F34,34)=0,10^6,INDEX(Properties!A$1:CB$87,Formula!F34,34)),IF(INDEX(Properties!A$1:CB$87,Formula!H34,34)=0,10^6,INDEX(Properties!A$1:CB$87,Formula!H34,34)),IF(INDEX(Properties!A$1:CB$87,Formula!J34,34)=0,10^6,INDEX(Properties!A$1:CB$87,Formula!J34,34)))</f>
        <v>1.1200000000000001</v>
      </c>
      <c r="DK34" s="60">
        <f t="shared" si="18"/>
        <v>2.4899999999999998</v>
      </c>
      <c r="DL34" s="45">
        <f>((Formula!C34)/(Formula!C34+Formula!E34+Formula!G34+Formula!I34+Formula!K34))*(INDEX(Properties!A$1:CB$87,Formula!B34,39))+((Formula!E34)/(Formula!C34+Formula!E34+Formula!G34+Formula!I34+Formula!K34))*(INDEX(Properties!A$1:CB$87,Formula!D34,39))+((Formula!G34)/(Formula!C34+Formula!E34+Formula!G34+Formula!I34+Formula!K34))*(INDEX(Properties!A$1:CB$87,Formula!F34,39))+((Formula!I34)/(Formula!C34+Formula!E34+Formula!G34+Formula!I34+Formula!K34))*(INDEX(Properties!A$1:CB$87,Formula!H34,39))+((Formula!K34)/(Formula!C34+Formula!E34+Formula!G34+Formula!I34+Formula!K34))*(INDEX(Properties!A$1:CB$87,Formula!J34,39))</f>
        <v>0.95833333333333326</v>
      </c>
      <c r="DM34" s="45">
        <f>Formula!C34*(INDEX(Properties!A$1:CB$87,Formula!B34,39))+Formula!E34*(INDEX(Properties!A$1:CB$87,Formula!D34,39))+Formula!G34*(INDEX(Properties!A$1:CB$87,Formula!F34,39))+Formula!I34*(INDEX(Properties!A$1:CB$87,Formula!H34,39))+Formula!K34*(INDEX(Properties!A$1:CB$87,Formula!J34,39))</f>
        <v>5.75</v>
      </c>
      <c r="DN34" s="45">
        <f>VARP(IF(INDEX(Properties!A$1:CB$87,Formula!B34,39)&lt;&gt;"",INDEX(Properties!A$1:CB$87,Formula!B34,39)),IF(INDEX(Properties!A$1:CB$87,Formula!D34,39)&lt;&gt;"",INDEX(Properties!A$1:CB$87,Formula!D34,39)),IF(INDEX(Properties!A$1:CB$87,Formula!F34,39)&lt;&gt;"",INDEX(Properties!A$1:CB$87,Formula!F34,39)),IF(INDEX(Properties!A$1:CB$87,Formula!H34,39)&lt;&gt;"",INDEX(Properties!A$1:CB$87,Formula!H34,39)),IF(INDEX(Properties!A$1:CB$87,Formula!J34,39)&lt;&gt;"",INDEX(Properties!A$1:CB$87,Formula!J34,39)))</f>
        <v>0.78673599999999988</v>
      </c>
      <c r="DO34" s="45">
        <f>MAX(INDEX(Properties!A$1:CB$87,Formula!B34,39),INDEX(Properties!A$1:CB$87,Formula!D34,39),INDEX(Properties!A$1:CB$87,Formula!F34,39),INDEX(Properties!A$1:CB$87,Formula!H34,39),INDEX(Properties!A$1:CB$87,Formula!J34,39))</f>
        <v>2.12</v>
      </c>
      <c r="DP34" s="45">
        <f>MIN(IF(INDEX(Properties!A$1:CB$87,Formula!B34,39)=0,10^6,INDEX(Properties!A$1:CB$87,Formula!B34,39)),IF(INDEX(Properties!A$1:CB$87,Formula!D34,39)=0,10^6,INDEX(Properties!A$1:CB$87,Formula!D34,39)),IF(INDEX(Properties!A$1:CB$87,Formula!F34,39)=0,10^6,INDEX(Properties!A$1:CB$87,Formula!F34,39)),IF(INDEX(Properties!A$1:CB$87,Formula!H34,39)=0,10^6,INDEX(Properties!A$1:CB$87,Formula!H34,39)),IF(INDEX(Properties!A$1:CB$87,Formula!J34,39)=0,10^6,INDEX(Properties!A$1:CB$87,Formula!J34,39)))</f>
        <v>0.48</v>
      </c>
      <c r="DQ34" s="45">
        <f t="shared" si="19"/>
        <v>1.6400000000000001</v>
      </c>
      <c r="DR34" s="63">
        <f>((Formula!C34)/(Formula!C34+Formula!E34+Formula!G34+Formula!I34+Formula!K34))*(INDEX(Properties!A$1:CB$87,Formula!B34,40))+((Formula!E34)/(Formula!C34+Formula!E34+Formula!G34+Formula!I34+Formula!K34))*(INDEX(Properties!A$1:CB$87,Formula!D34,40))+((Formula!G34)/(Formula!C34+Formula!E34+Formula!G34+Formula!I34+Formula!K34))*(INDEX(Properties!A$1:CB$87,Formula!F34,40))+((Formula!I34)/(Formula!C34+Formula!E34+Formula!G34+Formula!I34+Formula!K34))*(INDEX(Properties!A$1:CB$87,Formula!H34,40))+((Formula!K34)/(Formula!C34+Formula!E34+Formula!G34+Formula!I34+Formula!K34))*(INDEX(Properties!A$1:CB$87,Formula!J34,40))</f>
        <v>0.96499999999999997</v>
      </c>
      <c r="DS34" s="63">
        <f>Formula!C34*(INDEX(Properties!A$1:CB$87,Formula!B34,40))+Formula!E34*(INDEX(Properties!A$1:CB$87,Formula!D34,40))+Formula!G34*(INDEX(Properties!A$1:CB$87,Formula!F34,40))+Formula!I34*(INDEX(Properties!A$1:CB$87,Formula!H34,40))+Formula!K34*(INDEX(Properties!A$1:CB$87,Formula!J34,40))</f>
        <v>5.79</v>
      </c>
      <c r="DT34" s="63">
        <f>VARP(IF(INDEX(Properties!A$1:CB$87,Formula!B34,40)&lt;&gt;"",INDEX(Properties!A$1:CB$87,Formula!B34,40)),IF(INDEX(Properties!A$1:CB$87,Formula!D34,40)&lt;&gt;"",INDEX(Properties!A$1:CB$87,Formula!D34,40)),IF(INDEX(Properties!A$1:CB$87,Formula!F34,40)&lt;&gt;"",INDEX(Properties!A$1:CB$87,Formula!F34,40)),IF(INDEX(Properties!A$1:CB$87,Formula!H34,40)&lt;&gt;"",INDEX(Properties!A$1:CB$87,Formula!H34,40)),IF(INDEX(Properties!A$1:CB$87,Formula!J34,40)&lt;&gt;"",INDEX(Properties!A$1:CB$87,Formula!J34,40)))</f>
        <v>0.42555999999999999</v>
      </c>
      <c r="DU34" s="63">
        <f>MAX(INDEX(Properties!A$1:CB$87,Formula!B34,40),INDEX(Properties!A$1:CB$87,Formula!D34,40),INDEX(Properties!A$1:CB$87,Formula!F34,40),INDEX(Properties!A$1:CB$87,Formula!H34,40),INDEX(Properties!A$1:CB$87,Formula!J34,40))</f>
        <v>1.62</v>
      </c>
      <c r="DV34" s="63">
        <f>MIN(IF(INDEX(Properties!A$1:CB$87,Formula!B34,40)=0,10^6,INDEX(Properties!A$1:CB$87,Formula!B34,40)),IF(INDEX(Properties!A$1:CB$87,Formula!D34,40)=0,10^6,INDEX(Properties!A$1:CB$87,Formula!D34,40)),IF(INDEX(Properties!A$1:CB$87,Formula!F34,40)=0,10^6,INDEX(Properties!A$1:CB$87,Formula!F34,40)),IF(INDEX(Properties!A$1:CB$87,Formula!H34,40)=0,10^6,INDEX(Properties!A$1:CB$87,Formula!H34,40)),IF(INDEX(Properties!A$1:CB$87,Formula!J34,40)=0,10^6,INDEX(Properties!A$1:CB$87,Formula!J34,40)))</f>
        <v>0.73</v>
      </c>
      <c r="DW34" s="63">
        <f t="shared" si="20"/>
        <v>0.89000000000000012</v>
      </c>
      <c r="DX34" s="75">
        <f>((Formula!C34)/(Formula!C34+Formula!E34+Formula!G34+Formula!I34+Formula!K34))*(INDEX(Properties!A$1:CB$87,Formula!B34,41))+((Formula!E34)/(Formula!C34+Formula!E34+Formula!G34+Formula!I34+Formula!K34))*(INDEX(Properties!A$1:CB$87,Formula!D34,41))+((Formula!G34)/(Formula!C34+Formula!E34+Formula!G34+Formula!I34+Formula!K34))*(INDEX(Properties!A$1:CB$87,Formula!F34,41))+((Formula!I34)/(Formula!C34+Formula!E34+Formula!G34+Formula!I34+Formula!K34))*(INDEX(Properties!A$1:CB$87,Formula!H34,41))+((Formula!K34)/(Formula!C34+Formula!E34+Formula!G34+Formula!I34+Formula!K34))*(INDEX(Properties!A$1:CB$87,Formula!J34,41))</f>
        <v>1.1683333333333334</v>
      </c>
      <c r="DY34" s="75">
        <f>Formula!C34*(INDEX(Properties!A$1:CB$87,Formula!B34,41))+Formula!E34*(INDEX(Properties!A$1:CB$87,Formula!D34,41))+Formula!G34*(INDEX(Properties!A$1:CB$87,Formula!F34,41))+Formula!I34*(INDEX(Properties!A$1:CB$87,Formula!H34,41))+Formula!K34*(INDEX(Properties!A$1:CB$87,Formula!J34,41))</f>
        <v>7.01</v>
      </c>
      <c r="DZ34" s="75">
        <f>VARP(IF(INDEX(Properties!A$1:CB$87,Formula!B34,41)&lt;&gt;"",INDEX(Properties!A$1:CB$87,Formula!B34,41)),IF(INDEX(Properties!A$1:CB$87,Formula!D34,41)&lt;&gt;"",INDEX(Properties!A$1:CB$87,Formula!D34,41)),IF(INDEX(Properties!A$1:CB$87,Formula!F34,41)&lt;&gt;"",INDEX(Properties!A$1:CB$87,Formula!F34,41)),IF(INDEX(Properties!A$1:CB$87,Formula!H34,41)&lt;&gt;"",INDEX(Properties!A$1:CB$87,Formula!H34,41)),IF(INDEX(Properties!A$1:CB$87,Formula!J34,41)&lt;&gt;"",INDEX(Properties!A$1:CB$87,Formula!J34,41)))</f>
        <v>0.28950400000000004</v>
      </c>
      <c r="EA34" s="75">
        <f>MAX(INDEX(Properties!A$1:CB$87,Formula!B34,41),INDEX(Properties!A$1:CB$87,Formula!D34,41),INDEX(Properties!A$1:CB$87,Formula!F34,41),INDEX(Properties!A$1:CB$87,Formula!H34,41),INDEX(Properties!A$1:CB$87,Formula!J34,41))</f>
        <v>1.26</v>
      </c>
      <c r="EB34" s="75">
        <f>MIN(IF(INDEX(Properties!A$1:CB$87,Formula!B34,41)=0,10^6,INDEX(Properties!A$1:CB$87,Formula!B34,41)),IF(INDEX(Properties!A$1:CB$87,Formula!D34,41)=0,10^6,INDEX(Properties!A$1:CB$87,Formula!D34,41)),IF(INDEX(Properties!A$1:CB$87,Formula!F34,41)=0,10^6,INDEX(Properties!A$1:CB$87,Formula!F34,41)),IF(INDEX(Properties!A$1:CB$87,Formula!H34,41)=0,10^6,INDEX(Properties!A$1:CB$87,Formula!H34,41)),IF(INDEX(Properties!A$1:CB$87,Formula!J34,41)=0,10^6,INDEX(Properties!A$1:CB$87,Formula!J34,41)))</f>
        <v>0.93</v>
      </c>
      <c r="EC34" s="75">
        <f t="shared" si="21"/>
        <v>0.32999999999999996</v>
      </c>
      <c r="ED34" s="48">
        <f>((Formula!C34)/(Formula!C34+Formula!E34+Formula!G34+Formula!I34+Formula!K34))*(INDEX(Properties!A$1:CB$87,Formula!B34,45))+((Formula!E34)/(Formula!C34+Formula!E34+Formula!G34+Formula!I34+Formula!K34))*(INDEX(Properties!A$1:CB$87,Formula!D34,45))+((Formula!G34)/(Formula!C34+Formula!E34+Formula!G34+Formula!I34+Formula!K34))*(INDEX(Properties!A$1:CB$87,Formula!F34,45))+((Formula!I34)/(Formula!C34+Formula!E34+Formula!G34+Formula!I34+Formula!K34))*(INDEX(Properties!A$1:CB$87,Formula!H34,45))+((Formula!K34)/(Formula!C34+Formula!E34+Formula!G34+Formula!I34+Formula!K34))*(INDEX(Properties!A$1:CB$87,Formula!J34,45))</f>
        <v>1.2083333333333333</v>
      </c>
      <c r="EE34" s="48">
        <f>Formula!C34*(INDEX(Properties!A$1:CB$87,Formula!B34,45))+Formula!E34*(INDEX(Properties!A$1:CB$87,Formula!D34,45))+Formula!G34*(INDEX(Properties!A$1:CB$87,Formula!F34,45))+Formula!I34*(INDEX(Properties!A$1:CB$87,Formula!H34,45))+Formula!K34*(INDEX(Properties!A$1:CB$87,Formula!J34,45))</f>
        <v>7.25</v>
      </c>
      <c r="EF34" s="48">
        <f>VARP(IF(INDEX(Properties!A$1:CB$87,Formula!B34,45)&lt;&gt;"",INDEX(Properties!A$1:CB$87,Formula!B34,45)),IF(INDEX(Properties!A$1:CB$87,Formula!D34,45)&lt;&gt;"",INDEX(Properties!A$1:CB$87,Formula!D34,45)),IF(INDEX(Properties!A$1:CB$87,Formula!F34,45)&lt;&gt;"",INDEX(Properties!A$1:CB$87,Formula!F34,45)),IF(INDEX(Properties!A$1:CB$87,Formula!H34,45)&lt;&gt;"",INDEX(Properties!A$1:CB$87,Formula!H34,45)),IF(INDEX(Properties!A$1:CB$87,Formula!J34,45)&lt;&gt;"",INDEX(Properties!A$1:CB$87,Formula!J34,45)))</f>
        <v>1.5896560000000006</v>
      </c>
      <c r="EG34" s="48">
        <f>MAX(INDEX(Properties!A$1:CB$87,Formula!B34,45),INDEX(Properties!A$1:CB$87,Formula!D34,45),INDEX(Properties!A$1:CB$87,Formula!F34,45),INDEX(Properties!A$1:CB$87,Formula!H34,45),INDEX(Properties!A$1:CB$87,Formula!J34,45))</f>
        <v>2.94</v>
      </c>
      <c r="EH34" s="48">
        <f>MIN(IF(INDEX(Properties!A$1:CB$87,Formula!B34,45)=0,10^6,INDEX(Properties!A$1:CB$87,Formula!B34,45)),IF(INDEX(Properties!A$1:CB$87,Formula!D34,45)=0,10^6,INDEX(Properties!A$1:CB$87,Formula!D34,45)),IF(INDEX(Properties!A$1:CB$87,Formula!F34,45)=0,10^6,INDEX(Properties!A$1:CB$87,Formula!F34,45)),IF(INDEX(Properties!A$1:CB$87,Formula!H34,45)=0,10^6,INDEX(Properties!A$1:CB$87,Formula!H34,45)),IF(INDEX(Properties!A$1:CB$87,Formula!J34,45)=0,10^6,INDEX(Properties!A$1:CB$87,Formula!J34,45)))</f>
        <v>0.47</v>
      </c>
      <c r="EI34" s="48">
        <f t="shared" si="22"/>
        <v>2.4699999999999998</v>
      </c>
      <c r="EJ34" s="66">
        <f>((Formula!C34)/(Formula!C34+Formula!E34+Formula!G34+Formula!I34+Formula!K34))*(INDEX(Properties!A$1:CB$87,Formula!B34,46))+((Formula!E34)/(Formula!C34+Formula!E34+Formula!G34+Formula!I34+Formula!K34))*(INDEX(Properties!A$1:CB$87,Formula!D34,46))+((Formula!G34)/(Formula!C34+Formula!E34+Formula!G34+Formula!I34+Formula!K34))*(INDEX(Properties!A$1:CB$87,Formula!F34,46))+((Formula!I34)/(Formula!C34+Formula!E34+Formula!G34+Formula!I34+Formula!K34))*(INDEX(Properties!A$1:CB$87,Formula!H34,46))+((Formula!K34)/(Formula!C34+Formula!E34+Formula!G34+Formula!I34+Formula!K34))*(INDEX(Properties!A$1:CB$87,Formula!J34,46))</f>
        <v>1.0933333333333333</v>
      </c>
      <c r="EK34" s="66">
        <f>Formula!C34*(INDEX(Properties!A$1:CB$87,Formula!B34,46))+Formula!E34*(INDEX(Properties!A$1:CB$87,Formula!D34,46))+Formula!G34*(INDEX(Properties!A$1:CB$87,Formula!F34,46))+Formula!I34*(INDEX(Properties!A$1:CB$87,Formula!H34,46))+Formula!K34*(INDEX(Properties!A$1:CB$87,Formula!J34,46))</f>
        <v>6.5600000000000005</v>
      </c>
      <c r="EL34" s="66">
        <f>VARP(IF(INDEX(Properties!A$1:CB$87,Formula!B34,46)&lt;&gt;"",INDEX(Properties!A$1:CB$87,Formula!B34,46)),IF(INDEX(Properties!A$1:CB$87,Formula!D34,46)&lt;&gt;"",INDEX(Properties!A$1:CB$87,Formula!D34,46)),IF(INDEX(Properties!A$1:CB$87,Formula!F34,46)&lt;&gt;"",INDEX(Properties!A$1:CB$87,Formula!F34,46)),IF(INDEX(Properties!A$1:CB$87,Formula!H34,46)&lt;&gt;"",INDEX(Properties!A$1:CB$87,Formula!H34,46)),IF(INDEX(Properties!A$1:CB$87,Formula!J34,46)&lt;&gt;"",INDEX(Properties!A$1:CB$87,Formula!J34,46)))</f>
        <v>0.25822400000000001</v>
      </c>
      <c r="EM34" s="66">
        <f>MAX(INDEX(Properties!A$1:CB$87,Formula!B34,46),INDEX(Properties!A$1:CB$87,Formula!D34,46),INDEX(Properties!A$1:CB$87,Formula!F34,46),INDEX(Properties!A$1:CB$87,Formula!H34,46),INDEX(Properties!A$1:CB$87,Formula!J34,46))</f>
        <v>1.21</v>
      </c>
      <c r="EN34" s="66">
        <f>MIN(IF(INDEX(Properties!A$1:CB$87,Formula!B34,46)=0,10^6,INDEX(Properties!A$1:CB$87,Formula!B34,46)),IF(INDEX(Properties!A$1:CB$87,Formula!D34,46)=0,10^6,INDEX(Properties!A$1:CB$87,Formula!D34,46)),IF(INDEX(Properties!A$1:CB$87,Formula!F34,46)=0,10^6,INDEX(Properties!A$1:CB$87,Formula!F34,46)),IF(INDEX(Properties!A$1:CB$87,Formula!H34,46)=0,10^6,INDEX(Properties!A$1:CB$87,Formula!H34,46)),IF(INDEX(Properties!A$1:CB$87,Formula!J34,46)=0,10^6,INDEX(Properties!A$1:CB$87,Formula!J34,46)))</f>
        <v>0.68</v>
      </c>
      <c r="EO34" s="66">
        <f t="shared" si="23"/>
        <v>0.52999999999999992</v>
      </c>
      <c r="EP34" s="81">
        <f>((Formula!C34)/(Formula!C34+Formula!E34+Formula!G34+Formula!I34+Formula!K34))*(INDEX(Properties!A$1:CB$87,Formula!B34,52))+((Formula!E34)/(Formula!C34+Formula!E34+Formula!G34+Formula!I34+Formula!K34))*(INDEX(Properties!A$1:CB$87,Formula!D34,52))+((Formula!G34)/(Formula!C34+Formula!E34+Formula!G34+Formula!I34+Formula!K34))*(INDEX(Properties!A$1:CB$87,Formula!F34,52))+((Formula!I34)/(Formula!C34+Formula!E34+Formula!G34+Formula!I34+Formula!K34))*(INDEX(Properties!A$1:CB$87,Formula!H34,52))+((Formula!K34)/(Formula!C34+Formula!E34+Formula!G34+Formula!I34+Formula!K34))*(INDEX(Properties!A$1:CB$87,Formula!J34,52))</f>
        <v>6.3786666666666658</v>
      </c>
      <c r="EQ34" s="81">
        <f>Formula!C34*(INDEX(Properties!A$1:CB$87,Formula!B34,52))+Formula!E34*(INDEX(Properties!A$1:CB$87,Formula!D34,52))+Formula!G34*(INDEX(Properties!A$1:CB$87,Formula!F34,52))+Formula!I34*(INDEX(Properties!A$1:CB$87,Formula!H34,52))+Formula!K34*(INDEX(Properties!A$1:CB$87,Formula!J34,52))</f>
        <v>38.271999999999998</v>
      </c>
      <c r="ER34" s="81">
        <f>VARP(IF(INDEX(Properties!A$1:CB$87,Formula!B34,52)&lt;&gt;"",INDEX(Properties!A$1:CB$87,Formula!B34,52)),IF(INDEX(Properties!A$1:CB$87,Formula!D34,52)&lt;&gt;"",INDEX(Properties!A$1:CB$87,Formula!D34,52)),IF(INDEX(Properties!A$1:CB$87,Formula!F34,52)&lt;&gt;"",INDEX(Properties!A$1:CB$87,Formula!F34,52)),IF(INDEX(Properties!A$1:CB$87,Formula!H34,52)&lt;&gt;"",INDEX(Properties!A$1:CB$87,Formula!H34,52)),IF(INDEX(Properties!A$1:CB$87,Formula!J34,52)&lt;&gt;"",INDEX(Properties!A$1:CB$87,Formula!J34,52)))</f>
        <v>82.40347183999998</v>
      </c>
      <c r="ES34" s="81">
        <f>MAX(INDEX(Properties!A$1:CB$87,Formula!B34,52),INDEX(Properties!A$1:CB$87,Formula!D34,52),INDEX(Properties!A$1:CB$87,Formula!F34,52),INDEX(Properties!A$1:CB$87,Formula!H34,52),INDEX(Properties!A$1:CB$87,Formula!J34,52))</f>
        <v>22.7</v>
      </c>
      <c r="ET34" s="81">
        <f>MIN(IF(INDEX(Properties!A$1:CB$87,Formula!B34,52)=0,10^6,INDEX(Properties!A$1:CB$87,Formula!B34,52)),IF(INDEX(Properties!A$1:CB$87,Formula!D34,52)=0,10^6,INDEX(Properties!A$1:CB$87,Formula!D34,52)),IF(INDEX(Properties!A$1:CB$87,Formula!F34,52)=0,10^6,INDEX(Properties!A$1:CB$87,Formula!F34,52)),IF(INDEX(Properties!A$1:CB$87,Formula!H34,52)=0,10^6,INDEX(Properties!A$1:CB$87,Formula!H34,52)),IF(INDEX(Properties!A$1:CB$87,Formula!J34,52)=0,10^6,INDEX(Properties!A$1:CB$87,Formula!J34,52)))</f>
        <v>0.79300000000000004</v>
      </c>
      <c r="EU34" s="81">
        <f t="shared" si="24"/>
        <v>21.907</v>
      </c>
      <c r="EV34" s="39">
        <f>((Formula!C34)/(Formula!C34+Formula!E34+Formula!G34+Formula!I34+Formula!K34))*(INDEX(Properties!A$1:CB$87,Formula!B34,53))+((Formula!E34)/(Formula!C34+Formula!E34+Formula!G34+Formula!I34+Formula!K34))*(INDEX(Properties!A$1:CB$87,Formula!D34,53))+((Formula!G34)/(Formula!C34+Formula!E34+Formula!G34+Formula!I34+Formula!K34))*(INDEX(Properties!A$1:CB$87,Formula!F34,53))+((Formula!I34)/(Formula!C34+Formula!E34+Formula!G34+Formula!I34+Formula!K34))*(INDEX(Properties!A$1:CB$87,Formula!H34,53))+((Formula!K34)/(Formula!C34+Formula!E34+Formula!G34+Formula!I34+Formula!K34))*(INDEX(Properties!A$1:CB$87,Formula!J34,53))</f>
        <v>696.38333333333333</v>
      </c>
      <c r="EW34" s="39">
        <f>Formula!C34*(INDEX(Properties!A$1:CB$87,Formula!B34,53))+Formula!E34*(INDEX(Properties!A$1:CB$87,Formula!D34,53))+Formula!G34*(INDEX(Properties!A$1:CB$87,Formula!F34,53))+Formula!I34*(INDEX(Properties!A$1:CB$87,Formula!H34,53))+Formula!K34*(INDEX(Properties!A$1:CB$87,Formula!J34,53))</f>
        <v>4178.3</v>
      </c>
      <c r="EX34" s="39">
        <f>VARP(IF(INDEX(Properties!A$1:CB$87,Formula!B34,53)&lt;&gt;"",INDEX(Properties!A$1:CB$87,Formula!B34,53)),IF(INDEX(Properties!A$1:CB$87,Formula!D34,53)&lt;&gt;"",INDEX(Properties!A$1:CB$87,Formula!D34,53)),IF(INDEX(Properties!A$1:CB$87,Formula!F34,53)&lt;&gt;"",INDEX(Properties!A$1:CB$87,Formula!F34,53)),IF(INDEX(Properties!A$1:CB$87,Formula!H34,53)&lt;&gt;"",INDEX(Properties!A$1:CB$87,Formula!H34,53)),IF(INDEX(Properties!A$1:CB$87,Formula!J34,53)&lt;&gt;"",INDEX(Properties!A$1:CB$87,Formula!J34,53)))</f>
        <v>937170.16540000017</v>
      </c>
      <c r="EY34" s="39">
        <f>MAX(INDEX(Properties!A$1:CB$87,Formula!B34,53),INDEX(Properties!A$1:CB$87,Formula!D34,53),INDEX(Properties!A$1:CB$87,Formula!F34,53),INDEX(Properties!A$1:CB$87,Formula!H34,53),INDEX(Properties!A$1:CB$87,Formula!J34,53))</f>
        <v>2163.15</v>
      </c>
      <c r="EZ34" s="39">
        <f>MIN(IF(INDEX(Properties!A$1:CB$87,Formula!B34,53)=0,10^6,INDEX(Properties!A$1:CB$87,Formula!B34,53)),IF(INDEX(Properties!A$1:CB$87,Formula!D34,53)=0,10^6,INDEX(Properties!A$1:CB$87,Formula!D34,53)),IF(INDEX(Properties!A$1:CB$87,Formula!F34,53)=0,10^6,INDEX(Properties!A$1:CB$87,Formula!F34,53)),IF(INDEX(Properties!A$1:CB$87,Formula!H34,53)=0,10^6,INDEX(Properties!A$1:CB$87,Formula!H34,53)),IF(INDEX(Properties!A$1:CB$87,Formula!J34,53)=0,10^6,INDEX(Properties!A$1:CB$87,Formula!J34,53)))</f>
        <v>54.749999999999972</v>
      </c>
      <c r="FA34" s="39">
        <f t="shared" si="25"/>
        <v>2108.4</v>
      </c>
      <c r="FB34" s="54">
        <f>((Formula!C34)/(Formula!C34+Formula!E34+Formula!G34+Formula!I34+Formula!K34))*(INDEX(Properties!A$1:CB$87,Formula!B34,54))+((Formula!E34)/(Formula!C34+Formula!E34+Formula!G34+Formula!I34+Formula!K34))*(INDEX(Properties!A$1:CB$87,Formula!D34,54))+((Formula!G34)/(Formula!C34+Formula!E34+Formula!G34+Formula!I34+Formula!K34))*(INDEX(Properties!A$1:CB$87,Formula!F34,54))+((Formula!I34)/(Formula!C34+Formula!E34+Formula!G34+Formula!I34+Formula!K34))*(INDEX(Properties!A$1:CB$87,Formula!H34,54))+((Formula!K34)/(Formula!C34+Formula!E34+Formula!G34+Formula!I34+Formula!K34))*(INDEX(Properties!A$1:CB$87,Formula!J34,54))</f>
        <v>1270.6499999999999</v>
      </c>
      <c r="FC34" s="54">
        <f>Formula!C34*(INDEX(Properties!A$1:CB$87,Formula!B34,54))+Formula!E34*(INDEX(Properties!A$1:CB$87,Formula!D34,54))+Formula!G34*(INDEX(Properties!A$1:CB$87,Formula!F34,54))+Formula!I34*(INDEX(Properties!A$1:CB$87,Formula!H34,54))+Formula!K34*(INDEX(Properties!A$1:CB$87,Formula!J34,54))</f>
        <v>7623.9</v>
      </c>
      <c r="FD34" s="54">
        <f>VARP(IF(INDEX(Properties!A$1:CB$87,Formula!B34,54)&lt;&gt;"",INDEX(Properties!A$1:CB$87,Formula!B34,54)),IF(INDEX(Properties!A$1:CB$87,Formula!D34,54)&lt;&gt;"",INDEX(Properties!A$1:CB$87,Formula!D34,54)),IF(INDEX(Properties!A$1:CB$87,Formula!F34,54)&lt;&gt;"",INDEX(Properties!A$1:CB$87,Formula!F34,54)),IF(INDEX(Properties!A$1:CB$87,Formula!H34,54)&lt;&gt;"",INDEX(Properties!A$1:CB$87,Formula!H34,54)),IF(INDEX(Properties!A$1:CB$87,Formula!J34,54)&lt;&gt;"",INDEX(Properties!A$1:CB$87,Formula!J34,54)))</f>
        <v>3114433.9174000002</v>
      </c>
      <c r="FE34" s="54">
        <f>MAX(INDEX(Properties!A$1:CB$87,Formula!B34,54),INDEX(Properties!A$1:CB$87,Formula!D34,54),INDEX(Properties!A$1:CB$87,Formula!F34,54),INDEX(Properties!A$1:CB$87,Formula!H34,54),INDEX(Properties!A$1:CB$87,Formula!J34,54))</f>
        <v>3653.15</v>
      </c>
      <c r="FF34" s="54">
        <f>MIN(IF(INDEX(Properties!A$1:CB$87,Formula!B34,54)=0,10^6,INDEX(Properties!A$1:CB$87,Formula!B34,54)),IF(INDEX(Properties!A$1:CB$87,Formula!D34,54)=0,10^6,INDEX(Properties!A$1:CB$87,Formula!D34,54)),IF(INDEX(Properties!A$1:CB$87,Formula!F34,54)=0,10^6,INDEX(Properties!A$1:CB$87,Formula!F34,54)),IF(INDEX(Properties!A$1:CB$87,Formula!H34,54)=0,10^6,INDEX(Properties!A$1:CB$87,Formula!H34,54)),IF(INDEX(Properties!A$1:CB$87,Formula!J34,54)=0,10^6,INDEX(Properties!A$1:CB$87,Formula!J34,54)))</f>
        <v>90.149999999999977</v>
      </c>
      <c r="FG34" s="54">
        <f t="shared" si="26"/>
        <v>3563</v>
      </c>
      <c r="FH34" s="69">
        <f>((Formula!C34)/(Formula!C34+Formula!E34+Formula!G34+Formula!I34+Formula!K34))*(INDEX(Properties!A$1:CB$87,Formula!B34,55))+((Formula!E34)/(Formula!C34+Formula!E34+Formula!G34+Formula!I34+Formula!K34))*(INDEX(Properties!A$1:CB$87,Formula!D34,55))+((Formula!G34)/(Formula!C34+Formula!E34+Formula!G34+Formula!I34+Formula!K34))*(INDEX(Properties!A$1:CB$87,Formula!F34,55))+((Formula!I34)/(Formula!C34+Formula!E34+Formula!G34+Formula!I34+Formula!K34))*(INDEX(Properties!A$1:CB$87,Formula!H34,55))+((Formula!K34)/(Formula!C34+Formula!E34+Formula!G34+Formula!I34+Formula!K34))*(INDEX(Properties!A$1:CB$87,Formula!J34,55))</f>
        <v>1.7642866666666666</v>
      </c>
      <c r="FI34" s="69">
        <f>Formula!C34*(INDEX(Properties!A$1:CB$87,Formula!B34,55))+Formula!E34*(INDEX(Properties!A$1:CB$87,Formula!D34,54))+Formula!G34*(INDEX(Properties!A$1:CB$87,Formula!F34,55))+Formula!I34*(INDEX(Properties!A$1:CB$87,Formula!H34,55))+Formula!K34*(INDEX(Properties!A$1:CB$87,Formula!J34,55))</f>
        <v>3657.62572</v>
      </c>
      <c r="FJ34" s="69">
        <f>VARP(IF(INDEX(Properties!A$1:CB$87,Formula!B34,55)&lt;&gt;"",INDEX(Properties!A$1:CB$87,Formula!B34,55)),IF(INDEX(Properties!A$1:CB$87,Formula!D34,55)&lt;&gt;"",INDEX(Properties!A$1:CB$87,Formula!D34,55)),IF(INDEX(Properties!A$1:CB$87,Formula!F34,55)&lt;&gt;"",INDEX(Properties!A$1:CB$87,Formula!F34,55)),IF(INDEX(Properties!A$1:CB$87,Formula!H34,55)&lt;&gt;"",INDEX(Properties!A$1:CB$87,Formula!H34,55)),IF(INDEX(Properties!A$1:CB$87,Formula!J34,55)&lt;&gt;"",INDEX(Properties!A$1:CB$87,Formula!J34,55)))</f>
        <v>6.9839339751840024</v>
      </c>
      <c r="FK34" s="69">
        <f>MAX(INDEX(Properties!A$1:CB$87,Formula!B34,55),INDEX(Properties!A$1:CB$87,Formula!D34,55),INDEX(Properties!A$1:CB$87,Formula!F34,55),INDEX(Properties!A$1:CB$87,Formula!H34,55),INDEX(Properties!A$1:CB$87,Formula!J34,55))</f>
        <v>6.11</v>
      </c>
      <c r="FL34" s="69">
        <f>MIN(IF(INDEX(Properties!A$1:CB$87,Formula!B34,55)=0,10^6,INDEX(Properties!A$1:CB$87,Formula!B34,55)),IF(INDEX(Properties!A$1:CB$87,Formula!D34,55)=0,10^6,INDEX(Properties!A$1:CB$87,Formula!D34,55)),IF(INDEX(Properties!A$1:CB$87,Formula!F34,55)=0,10^6,INDEX(Properties!A$1:CB$87,Formula!F34,55)),IF(INDEX(Properties!A$1:CB$87,Formula!H34,55)=0,10^6,INDEX(Properties!A$1:CB$87,Formula!H34,55)),IF(INDEX(Properties!A$1:CB$87,Formula!J34,55)=0,10^6,INDEX(Properties!A$1:CB$87,Formula!J34,55)))</f>
        <v>1.4300000000000001E-3</v>
      </c>
      <c r="FM34" s="69">
        <f t="shared" si="27"/>
        <v>6.1085700000000003</v>
      </c>
      <c r="FN34" s="42">
        <f>((Formula!C34)/(Formula!C34+Formula!E34+Formula!G34+Formula!I34+Formula!K34))*(INDEX(Properties!A$1:CB$87,Formula!B34,56))+((Formula!E34)/(Formula!C34+Formula!E34+Formula!G34+Formula!I34+Formula!K34))*(INDEX(Properties!A$1:CB$87,Formula!D34,56))+((Formula!G34)/(Formula!C34+Formula!E34+Formula!G34+Formula!I34+Formula!K34))*(INDEX(Properties!A$1:CB$87,Formula!F34,56))+((Formula!I34)/(Formula!C34+Formula!E34+Formula!G34+Formula!I34+Formula!K34))*(INDEX(Properties!A$1:CB$87,Formula!H34,56))+((Formula!K34)/(Formula!C34+Formula!E34+Formula!G34+Formula!I34+Formula!K34))*(INDEX(Properties!A$1:CB$87,Formula!J34,56))</f>
        <v>0.74499999999999988</v>
      </c>
      <c r="FO34" s="42">
        <f>Formula!C34*(INDEX(Properties!A$1:CB$87,Formula!B34,56))+Formula!E34*(INDEX(Properties!A$1:CB$87,Formula!D34,56))+Formula!G34*(INDEX(Properties!A$1:CB$87,Formula!F34,56))+Formula!I34*(INDEX(Properties!A$1:CB$87,Formula!H34,56))+Formula!K34*(INDEX(Properties!A$1:CB$87,Formula!J34,56))</f>
        <v>4.4700000000000006</v>
      </c>
      <c r="FP34" s="42">
        <f>VARP(IF(INDEX(Properties!A$1:CB$87,Formula!B34,56)&lt;&gt;"",INDEX(Properties!A$1:CB$87,Formula!B34,56)),IF(INDEX(Properties!A$1:CB$87,Formula!D34,56)&lt;&gt;"",INDEX(Properties!A$1:CB$87,Formula!D34,56)),IF(INDEX(Properties!A$1:CB$87,Formula!F34,56)&lt;&gt;"",INDEX(Properties!A$1:CB$87,Formula!F34,56)),IF(INDEX(Properties!A$1:CB$87,Formula!H34,56)&lt;&gt;"",INDEX(Properties!A$1:CB$87,Formula!H34,56)),IF(INDEX(Properties!A$1:CB$87,Formula!J34,56)&lt;&gt;"",INDEX(Properties!A$1:CB$87,Formula!J34,56)))</f>
        <v>0.11833599999999998</v>
      </c>
      <c r="FQ34" s="42">
        <f>MAX(INDEX(Properties!A$1:CB$87,Formula!B34,56),INDEX(Properties!A$1:CB$87,Formula!D34,56),INDEX(Properties!A$1:CB$87,Formula!F34,56),INDEX(Properties!A$1:CB$87,Formula!H34,56),INDEX(Properties!A$1:CB$87,Formula!J34,56))</f>
        <v>0.92</v>
      </c>
      <c r="FR34" s="42">
        <f>MIN(IF(INDEX(Properties!A$1:CB$87,Formula!B34,56)=0,10^6,INDEX(Properties!A$1:CB$87,Formula!B34,56)),IF(INDEX(Properties!A$1:CB$87,Formula!D34,56)=0,10^6,INDEX(Properties!A$1:CB$87,Formula!D34,56)),IF(INDEX(Properties!A$1:CB$87,Formula!F34,56)=0,10^6,INDEX(Properties!A$1:CB$87,Formula!F34,56)),IF(INDEX(Properties!A$1:CB$87,Formula!H34,56)=0,10^6,INDEX(Properties!A$1:CB$87,Formula!H34,56)),IF(INDEX(Properties!A$1:CB$87,Formula!J34,56)=0,10^6,INDEX(Properties!A$1:CB$87,Formula!J34,56)))</f>
        <v>0.3</v>
      </c>
      <c r="FS34" s="42">
        <f t="shared" si="28"/>
        <v>0.62000000000000011</v>
      </c>
      <c r="FT34" s="60">
        <f>((Formula!C34)/(Formula!C34+Formula!E34+Formula!G34+Formula!I34+Formula!K34))*(INDEX(Properties!A$1:CB$87,Formula!B34,57))+((Formula!E34)/(Formula!C34+Formula!E34+Formula!G34+Formula!I34+Formula!K34))*(INDEX(Properties!A$1:CB$87,Formula!D34,57))+((Formula!G34)/(Formula!C34+Formula!E34+Formula!G34+Formula!I34+Formula!K34))*(INDEX(Properties!A$1:CB$87,Formula!F34,57))+((Formula!I34)/(Formula!C34+Formula!E34+Formula!G34+Formula!I34+Formula!K34))*(INDEX(Properties!A$1:CB$87,Formula!H34,57))+((Formula!K34)/(Formula!C34+Formula!E34+Formula!G34+Formula!I34+Formula!K34))*(INDEX(Properties!A$1:CB$87,Formula!J34,57))</f>
        <v>5.5317266666666658</v>
      </c>
      <c r="FU34" s="60">
        <f>Formula!C34*(INDEX(Properties!A$1:CB$87,Formula!B34,57))+Formula!E34*(INDEX(Properties!A$1:CB$87,Formula!D34,57))+Formula!G34*(INDEX(Properties!A$1:CB$87,Formula!F34,57))+Formula!I34*(INDEX(Properties!A$1:CB$87,Formula!H34,57))+Formula!K34*(INDEX(Properties!A$1:CB$87,Formula!J34,57))</f>
        <v>33.190359999999998</v>
      </c>
      <c r="FV34" s="60">
        <f>VARP(IF(INDEX(Properties!A$1:CB$87,Formula!B34,57)&lt;&gt;"",INDEX(Properties!A$1:CB$87,Formula!B34,57)),IF(INDEX(Properties!A$1:CB$87,Formula!D34,57)&lt;&gt;"",INDEX(Properties!A$1:CB$87,Formula!D34,57)),IF(INDEX(Properties!A$1:CB$87,Formula!F34,57)&lt;&gt;"",INDEX(Properties!A$1:CB$87,Formula!F34,57)),IF(INDEX(Properties!A$1:CB$87,Formula!H34,57)&lt;&gt;"",INDEX(Properties!A$1:CB$87,Formula!H34,57)),IF(INDEX(Properties!A$1:CB$87,Formula!J34,57)&lt;&gt;"",INDEX(Properties!A$1:CB$87,Formula!J34,57)))</f>
        <v>71.055154849296017</v>
      </c>
      <c r="FW34" s="60">
        <f>MAX(INDEX(Properties!A$1:CB$87,Formula!B34,57),INDEX(Properties!A$1:CB$87,Formula!D34,57),INDEX(Properties!A$1:CB$87,Formula!F34,57),INDEX(Properties!A$1:CB$87,Formula!H34,57),INDEX(Properties!A$1:CB$87,Formula!J34,57))</f>
        <v>20.9</v>
      </c>
      <c r="FX34" s="60">
        <f>MIN(IF(INDEX(Properties!A$1:CB$87,Formula!B34,57)=0,10^6,INDEX(Properties!A$1:CB$87,Formula!B34,57)),IF(INDEX(Properties!A$1:CB$87,Formula!D34,57)=0,10^6,INDEX(Properties!A$1:CB$87,Formula!D34,57)),IF(INDEX(Properties!A$1:CB$87,Formula!F34,57)=0,10^6,INDEX(Properties!A$1:CB$87,Formula!F34,57)),IF(INDEX(Properties!A$1:CB$87,Formula!H34,57)=0,10^6,INDEX(Properties!A$1:CB$87,Formula!H34,57)),IF(INDEX(Properties!A$1:CB$87,Formula!J34,57)=0,10^6,INDEX(Properties!A$1:CB$87,Formula!J34,57)))</f>
        <v>0.22259000000000001</v>
      </c>
      <c r="FY34" s="60">
        <f t="shared" si="29"/>
        <v>20.677409999999998</v>
      </c>
      <c r="FZ34" s="72">
        <f>((Formula!C34)/(Formula!C34+Formula!E34+Formula!G34+Formula!I34+Formula!K34))*(INDEX(Properties!A$1:CB$87,Formula!B34,60))+((Formula!E34)/(Formula!C34+Formula!E34+Formula!G34+Formula!I34+Formula!K34))*(INDEX(Properties!A$1:CB$87,Formula!D34,60))+((Formula!G34)/(Formula!C34+Formula!E34+Formula!G34+Formula!I34+Formula!K34))*(INDEX(Properties!A$1:CB$87,Formula!F34,60))+((Formula!I34)/(Formula!C34+Formula!E34+Formula!G34+Formula!I34+Formula!K34))*(INDEX(Properties!A$1:CB$87,Formula!H34,60))+((Formula!K34)/(Formula!C34+Formula!E34+Formula!G34+Formula!I34+Formula!K34))*(INDEX(Properties!A$1:CB$87,Formula!J34,60))</f>
        <v>8.0011599999999987</v>
      </c>
      <c r="GA34" s="72">
        <f>Formula!C34*(INDEX(Properties!A$1:CB$87,Formula!B34,60))+Formula!E34*(INDEX(Properties!A$1:CB$87,Formula!D34,60))+Formula!G34*(INDEX(Properties!A$1:CB$87,Formula!F34,60))+Formula!I34*(INDEX(Properties!A$1:CB$87,Formula!H34,60))+Formula!K34*(INDEX(Properties!A$1:CB$87,Formula!J34,60))</f>
        <v>48.006959999999999</v>
      </c>
      <c r="GB34" s="72">
        <f>VARP(IF(INDEX(Properties!A$1:CB$87,Formula!B34,60)&lt;&gt;"",INDEX(Properties!A$1:CB$87,Formula!B34,60)),IF(INDEX(Properties!A$1:CB$87,Formula!D34,60)&lt;&gt;"",INDEX(Properties!A$1:CB$87,Formula!D34,60)),IF(INDEX(Properties!A$1:CB$87,Formula!F34,60)&lt;&gt;"",INDEX(Properties!A$1:CB$87,Formula!F34,60)),IF(INDEX(Properties!A$1:CB$87,Formula!H34,60)&lt;&gt;"",INDEX(Properties!A$1:CB$87,Formula!H34,60)),IF(INDEX(Properties!A$1:CB$87,Formula!J34,60)&lt;&gt;"",INDEX(Properties!A$1:CB$87,Formula!J34,60)))</f>
        <v>155.78724672441601</v>
      </c>
      <c r="GC34" s="72">
        <f>MAX(INDEX(Properties!A$1:CB$87,Formula!B34,60),INDEX(Properties!A$1:CB$87,Formula!D34,60),INDEX(Properties!A$1:CB$87,Formula!F34,60),INDEX(Properties!A$1:CB$87,Formula!H34,60),INDEX(Properties!A$1:CB$87,Formula!J34,60))</f>
        <v>30.7</v>
      </c>
      <c r="GD34" s="72">
        <f>MIN(IF(INDEX(Properties!A$1:CB$87,Formula!B34,60)=0,10^6,INDEX(Properties!A$1:CB$87,Formula!B34,60)),IF(INDEX(Properties!A$1:CB$87,Formula!D34,60)=0,10^6,INDEX(Properties!A$1:CB$87,Formula!D34,60)),IF(INDEX(Properties!A$1:CB$87,Formula!F34,60)=0,10^6,INDEX(Properties!A$1:CB$87,Formula!F34,60)),IF(INDEX(Properties!A$1:CB$87,Formula!H34,60)=0,10^6,INDEX(Properties!A$1:CB$87,Formula!H34,60)),IF(INDEX(Properties!A$1:CB$87,Formula!J34,60)=0,10^6,INDEX(Properties!A$1:CB$87,Formula!J34,60)))</f>
        <v>2.674E-2</v>
      </c>
      <c r="GE34" s="72">
        <f t="shared" si="30"/>
        <v>30.673259999999999</v>
      </c>
      <c r="GF34" s="51">
        <f>((Formula!C34)/(Formula!C34+Formula!E34+Formula!G34+Formula!I34+Formula!K34))*(INDEX(Properties!A$1:CB$87,Formula!B34,62))+((Formula!E34)/(Formula!C34+Formula!E34+Formula!G34+Formula!I34+Formula!K34))*(INDEX(Properties!A$1:CB$87,Formula!D34,62))+((Formula!G34)/(Formula!C34+Formula!E34+Formula!G34+Formula!I34+Formula!K34))*(INDEX(Properties!A$1:CB$87,Formula!F34,62))+((Formula!I34)/(Formula!C34+Formula!E34+Formula!G34+Formula!I34+Formula!K34))*(INDEX(Properties!A$1:CB$87,Formula!H34,62))+((Formula!K34)/(Formula!C34+Formula!E34+Formula!G34+Formula!I34+Formula!K34))*(INDEX(Properties!A$1:CB$87,Formula!J34,62))</f>
        <v>3.36</v>
      </c>
      <c r="GG34" s="51">
        <f>Formula!C34*(INDEX(Properties!A$1:CB$87,Formula!B34,62))+Formula!E34*(INDEX(Properties!A$1:CB$87,Formula!D34,62))+Formula!G34*(INDEX(Properties!A$1:CB$87,Formula!F34,62))+Formula!I34*(INDEX(Properties!A$1:CB$87,Formula!H34,62))+Formula!K34*(INDEX(Properties!A$1:CB$87,Formula!J34,62))</f>
        <v>20.16</v>
      </c>
      <c r="GH34" s="51">
        <f>VARP(IF(INDEX(Properties!A$1:CB$87,Formula!B34,62)&lt;&gt;"",INDEX(Properties!A$1:CB$87,Formula!B34,62)),IF(INDEX(Properties!A$1:CB$87,Formula!D34,62)&lt;&gt;"",INDEX(Properties!A$1:CB$87,Formula!D34,62)),IF(INDEX(Properties!A$1:CB$87,Formula!F34,62)&lt;&gt;"",INDEX(Properties!A$1:CB$87,Formula!F34,62)),IF(INDEX(Properties!A$1:CB$87,Formula!H34,62)&lt;&gt;"",INDEX(Properties!A$1:CB$87,Formula!H34,62)),IF(INDEX(Properties!A$1:CB$87,Formula!J34,62)&lt;&gt;"",INDEX(Properties!A$1:CB$87,Formula!J34,62)))</f>
        <v>4.7798799999999986</v>
      </c>
      <c r="GI34" s="51">
        <f>MAX(INDEX(Properties!A$1:CB$87,Formula!B34,62),INDEX(Properties!A$1:CB$87,Formula!D34,62),INDEX(Properties!A$1:CB$87,Formula!F34,62),INDEX(Properties!A$1:CB$87,Formula!H34,62),INDEX(Properties!A$1:CB$87,Formula!J34,62))</f>
        <v>5.31</v>
      </c>
      <c r="GJ34" s="51">
        <f>MIN(IF(INDEX(Properties!A$1:CB$87,Formula!B34,62)=0,10^6,INDEX(Properties!A$1:CB$87,Formula!B34,62)),IF(INDEX(Properties!A$1:CB$87,Formula!D34,62)=0,10^6,INDEX(Properties!A$1:CB$87,Formula!D34,62)),IF(INDEX(Properties!A$1:CB$87,Formula!F34,62)=0,10^6,INDEX(Properties!A$1:CB$87,Formula!F34,62)),IF(INDEX(Properties!A$1:CB$87,Formula!H34,62)=0,10^6,INDEX(Properties!A$1:CB$87,Formula!H34,62)),IF(INDEX(Properties!A$1:CB$87,Formula!J34,62)=0,10^6,INDEX(Properties!A$1:CB$87,Formula!J34,62)))</f>
        <v>2.62</v>
      </c>
      <c r="GK34" s="51">
        <f t="shared" si="31"/>
        <v>2.6899999999999995</v>
      </c>
      <c r="GL34" s="51">
        <f>Formula!P34</f>
        <v>141</v>
      </c>
      <c r="GM34" s="57">
        <f>Formula!O34</f>
        <v>4</v>
      </c>
      <c r="GN34" s="51">
        <f>Formula!N34</f>
        <v>0.05</v>
      </c>
    </row>
    <row r="35" spans="1:196" x14ac:dyDescent="0.3">
      <c r="A35" s="84" t="str">
        <f>Formula!A35</f>
        <v>Gd2TiO5</v>
      </c>
      <c r="B35" s="89">
        <f>((Formula!C35)/(Formula!C35+Formula!E35+Formula!G35+Formula!I35+Formula!K35))*(INDEX(Properties!A$1:CB$87,Formula!B35,3))+((Formula!E35)/(Formula!C35+Formula!E35+Formula!G35+Formula!I35+Formula!K35))*(INDEX(Properties!A$1:CB$87,Formula!D35,3))+((Formula!G35)/(Formula!C35+Formula!E35+Formula!G35+Formula!I35+Formula!K35))*(INDEX(Properties!A$1:CB$87,Formula!F35,3))+((Formula!I35)/(Formula!C35+Formula!E35+Formula!G35+Formula!I35+Formula!K35))*(INDEX(Properties!A$1:CB$87,Formula!H35,3))+((Formula!K35)/(Formula!C35+Formula!E35+Formula!G35+Formula!I35+Formula!K35))*(INDEX(Properties!A$1:CB$87,Formula!J35,3))</f>
        <v>55.295500000000004</v>
      </c>
      <c r="C35" s="85">
        <f>Formula!C35*(INDEX(Properties!A$1:CB$87,Formula!B35,3))+Formula!E35*(INDEX(Properties!A$1:CB$87,Formula!D35,3))+Formula!G35*(INDEX(Properties!A$1:CB$87,Formula!F35,3))+Formula!I35*(INDEX(Properties!A$1:CB$87,Formula!H35,3))+Formula!K35*(INDEX(Properties!A$1:CB$87,Formula!J35,3))</f>
        <v>442.36400000000003</v>
      </c>
      <c r="D35" s="85">
        <f>VARP(IF(INDEX(Properties!A$1:CB$87,Formula!B35,3)&lt;&gt;"",INDEX(Properties!A$1:CB$87,Formula!B35,3)),IF(INDEX(Properties!A$1:CB$87,Formula!D35,3)&lt;&gt;"",INDEX(Properties!A$1:CB$87,Formula!D35,3)),IF(INDEX(Properties!A$1:CB$87,Formula!F35,3)&lt;&gt;"",INDEX(Properties!A$1:CB$87,Formula!F35,3)),IF(INDEX(Properties!A$1:CB$87,Formula!H35,3)&lt;&gt;"",INDEX(Properties!A$1:CB$87,Formula!H35,3)),IF(INDEX(Properties!A$1:CB$87,Formula!J35,3)&lt;&gt;"",INDEX(Properties!A$1:CB$87,Formula!J35,3)))</f>
        <v>3499.2601039136002</v>
      </c>
      <c r="E35" s="85">
        <f>MAX(INDEX(Properties!A$1:CB$87,Formula!B35,3),INDEX(Properties!A$1:CB$87,Formula!D35,3),INDEX(Properties!A$1:CB$87,Formula!F35,3),INDEX(Properties!A$1:CB$87,Formula!H35,3),INDEX(Properties!A$1:CB$87,Formula!J35,3))</f>
        <v>157.25</v>
      </c>
      <c r="F35" s="85">
        <f>MIN(IF(INDEX(Properties!A$1:CB$87,Formula!B35,3)=0,10^6,INDEX(Properties!A$1:CB$87,Formula!B35,3)),IF(INDEX(Properties!A$1:CB$87,Formula!D35,3)=0,10^6,INDEX(Properties!A$1:CB$87,Formula!D35,3)),IF(INDEX(Properties!A$1:CB$87,Formula!F35,3)=0,10^6,INDEX(Properties!A$1:CB$87,Formula!F35,3)),IF(INDEX(Properties!A$1:CB$87,Formula!H35,3)=0,10^6,INDEX(Properties!A$1:CB$87,Formula!H35,3)),IF(INDEX(Properties!A$1:CB$87,Formula!J35,3)=0,10^6,INDEX(Properties!A$1:CB$87,Formula!J35,3)))</f>
        <v>15.9994</v>
      </c>
      <c r="G35" s="85">
        <f t="shared" si="0"/>
        <v>141.25059999999999</v>
      </c>
      <c r="H35" s="87">
        <f>((Formula!C35)/(Formula!C35+Formula!E35+Formula!G35+Formula!I35+Formula!K35))*(INDEX(Properties!A$1:CB$87,Formula!B35,4))+((Formula!E35)/(Formula!C35+Formula!E35+Formula!G35+Formula!I35+Formula!K35))*(INDEX(Properties!A$1:CB$87,Formula!D35,4))+((Formula!G35)/(Formula!C35+Formula!E35+Formula!G35+Formula!I35+Formula!K35))*(INDEX(Properties!A$1:CB$87,Formula!F35,4))+((Formula!I35)/(Formula!C35+Formula!E35+Formula!G35+Formula!I35+Formula!K35))*(INDEX(Properties!A$1:CB$87,Formula!H35,4))+((Formula!K35)/(Formula!C35+Formula!E35+Formula!G35+Formula!I35+Formula!K35))*(INDEX(Properties!A$1:CB$87,Formula!J35,4))</f>
        <v>23.75</v>
      </c>
      <c r="I35" s="87">
        <f>Formula!C35*(INDEX(Properties!A$1:CB$87,Formula!B35,4))+Formula!E35*(INDEX(Properties!A$1:CB$87,Formula!D35,4))+Formula!G35*(INDEX(Properties!A$1:CB$87,Formula!F35,4))+Formula!I35*(INDEX(Properties!A$1:CB$87,Formula!H35,4))+Formula!K35*(INDEX(Properties!A$1:CB$87,Formula!J35,4))</f>
        <v>190</v>
      </c>
      <c r="J35" s="87">
        <f>VARP(IF(INDEX(Properties!A$1:CB$87,Formula!B35,4)&lt;&gt;"",INDEX(Properties!A$1:CB$87,Formula!B35,4)),IF(INDEX(Properties!A$1:CB$87,Formula!D35,4)&lt;&gt;"",INDEX(Properties!A$1:CB$87,Formula!D35,4)),IF(INDEX(Properties!A$1:CB$87,Formula!F35,4)&lt;&gt;"",INDEX(Properties!A$1:CB$87,Formula!F35,4)),IF(INDEX(Properties!A$1:CB$87,Formula!H35,4)&lt;&gt;"",INDEX(Properties!A$1:CB$87,Formula!H35,4)),IF(INDEX(Properties!A$1:CB$87,Formula!J35,4)&lt;&gt;"",INDEX(Properties!A$1:CB$87,Formula!J35,4)))</f>
        <v>575.36</v>
      </c>
      <c r="K35" s="87">
        <f>MAX(INDEX(Properties!A$1:CB$87,Formula!B35,4),INDEX(Properties!A$1:CB$87,Formula!D35,4),INDEX(Properties!A$1:CB$87,Formula!F35,4),INDEX(Properties!A$1:CB$87,Formula!H35,4),INDEX(Properties!A$1:CB$87,Formula!J35,4))</f>
        <v>64</v>
      </c>
      <c r="L35" s="87">
        <f>MIN(IF(INDEX(Properties!A$1:CB$87,Formula!B35,4)=0,10^6,INDEX(Properties!A$1:CB$87,Formula!B35,4)),IF(INDEX(Properties!A$1:CB$87,Formula!D35,4)=0,10^6,INDEX(Properties!A$1:CB$87,Formula!D35,4)),IF(INDEX(Properties!A$1:CB$87,Formula!F35,4)=0,10^6,INDEX(Properties!A$1:CB$87,Formula!F35,4)),IF(INDEX(Properties!A$1:CB$87,Formula!H35,4)=0,10^6,INDEX(Properties!A$1:CB$87,Formula!H35,4)),IF(INDEX(Properties!A$1:CB$87,Formula!J35,4)=0,10^6,INDEX(Properties!A$1:CB$87,Formula!J35,4)))</f>
        <v>8</v>
      </c>
      <c r="M35" s="87">
        <f t="shared" si="1"/>
        <v>56</v>
      </c>
      <c r="N35" s="89">
        <f>((Formula!C35)/(Formula!C35+Formula!E35+Formula!G35+Formula!I35+Formula!K35))*(INDEX(Properties!A$1:CB$87,Formula!B35,5))+((Formula!E35)/(Formula!C35+Formula!E35+Formula!G35+Formula!I35+Formula!K35))*(INDEX(Properties!A$1:CB$87,Formula!D35,5))+((Formula!G35)/(Formula!C35+Formula!E35+Formula!G35+Formula!I35+Formula!K35))*(INDEX(Properties!A$1:CB$87,Formula!F35,5))+((Formula!I35)/(Formula!C35+Formula!E35+Formula!G35+Formula!I35+Formula!K35))*(INDEX(Properties!A$1:CB$87,Formula!H35,5))+((Formula!K35)/(Formula!C35+Formula!E35+Formula!G35+Formula!I35+Formula!K35))*(INDEX(Properties!A$1:CB$87,Formula!J35,5))</f>
        <v>3.25</v>
      </c>
      <c r="O35" s="89">
        <f>Formula!C35*(INDEX(Properties!A$1:CB$87,Formula!B35,5))+Formula!E35*(INDEX(Properties!A$1:CB$87,Formula!D35,5))+Formula!G35*(INDEX(Properties!A$1:CB$87,Formula!F35,5))+Formula!I35*(INDEX(Properties!A$1:CB$87,Formula!H35,5))+Formula!K35*(INDEX(Properties!A$1:CB$87,Formula!J35,5))</f>
        <v>26</v>
      </c>
      <c r="P35" s="89">
        <f>VARP(IF(INDEX(Properties!A$1:CB$87,Formula!B35,5)&lt;&gt;"",INDEX(Properties!A$1:CB$87,Formula!B35,5)),IF(INDEX(Properties!A$1:CB$87,Formula!D35,5)&lt;&gt;"",INDEX(Properties!A$1:CB$87,Formula!D35,5)),IF(INDEX(Properties!A$1:CB$87,Formula!F35,5)&lt;&gt;"",INDEX(Properties!A$1:CB$87,Formula!F35,5)),IF(INDEX(Properties!A$1:CB$87,Formula!H35,5)&lt;&gt;"",INDEX(Properties!A$1:CB$87,Formula!H35,5)),IF(INDEX(Properties!A$1:CB$87,Formula!J35,5)&lt;&gt;"",INDEX(Properties!A$1:CB$87,Formula!J35,5)))</f>
        <v>5.44</v>
      </c>
      <c r="Q35" s="89">
        <f>MAX(INDEX(Properties!A$1:CB$87,Formula!B35,5),INDEX(Properties!A$1:CB$87,Formula!D35,5),INDEX(Properties!A$1:CB$87,Formula!F35,5),INDEX(Properties!A$1:CB$87,Formula!H35,5),INDEX(Properties!A$1:CB$87,Formula!J35,5))</f>
        <v>6</v>
      </c>
      <c r="R35" s="89">
        <f>MIN(IF(INDEX(Properties!A$1:CB$87,Formula!B35,5)=0,10^6,INDEX(Properties!A$1:CB$87,Formula!B35,5)),IF(INDEX(Properties!A$1:CB$87,Formula!D35,5)=0,10^6,INDEX(Properties!A$1:CB$87,Formula!D35,5)),IF(INDEX(Properties!A$1:CB$87,Formula!F35,5)=0,10^6,INDEX(Properties!A$1:CB$87,Formula!F35,5)),IF(INDEX(Properties!A$1:CB$87,Formula!H35,5)=0,10^6,INDEX(Properties!A$1:CB$87,Formula!H35,5)),IF(INDEX(Properties!A$1:CB$87,Formula!J35,5)=0,10^6,INDEX(Properties!A$1:CB$87,Formula!J35,5)))</f>
        <v>2</v>
      </c>
      <c r="S35" s="89">
        <f t="shared" si="2"/>
        <v>4</v>
      </c>
      <c r="T35" s="60">
        <f>((Formula!C35)/(Formula!C35+Formula!E35+Formula!G35+Formula!I35+Formula!K35))*(INDEX(Properties!A$1:CB$87,Formula!B35,6))+((Formula!E35)/(Formula!C35+Formula!E35+Formula!G35+Formula!I35+Formula!K35))*(INDEX(Properties!A$1:CB$87,Formula!D35,6))+((Formula!G35)/(Formula!C35+Formula!E35+Formula!G35+Formula!I35+Formula!K35))*(INDEX(Properties!A$1:CB$87,Formula!F35,6))+((Formula!I35)/(Formula!C35+Formula!E35+Formula!G35+Formula!I35+Formula!K35))*(INDEX(Properties!A$1:CB$87,Formula!H35,6))+((Formula!K35)/(Formula!C35+Formula!E35+Formula!G35+Formula!I35+Formula!K35))*(INDEX(Properties!A$1:CB$87,Formula!J35,6))</f>
        <v>11.25</v>
      </c>
      <c r="U35" s="60">
        <f>Formula!C35*(INDEX(Properties!A$1:CB$87,Formula!B35,6))+Formula!E35*(INDEX(Properties!A$1:CB$87,Formula!D35,6))+Formula!G35*(INDEX(Properties!A$1:CB$87,Formula!F35,6))+Formula!I35*(INDEX(Properties!A$1:CB$87,Formula!H35,6))+Formula!K35*(INDEX(Properties!A$1:CB$87,Formula!J35,6))</f>
        <v>90</v>
      </c>
      <c r="V35" s="89">
        <f>VARP(IF(INDEX(Properties!A$1:CB$87,Formula!B35,6)&lt;&gt;"",INDEX(Properties!A$1:CB$87,Formula!B35,6)),IF(INDEX(Properties!A$1:CB$87,Formula!D35,6)&lt;&gt;"",INDEX(Properties!A$1:CB$87,Formula!D35,6)),IF(INDEX(Properties!A$1:CB$87,Formula!F35,6)&lt;&gt;"",INDEX(Properties!A$1:CB$87,Formula!F35,6)),IF(INDEX(Properties!A$1:CB$87,Formula!H35,6)&lt;&gt;"",INDEX(Properties!A$1:CB$87,Formula!H35,6)),IF(INDEX(Properties!A$1:CB$87,Formula!J35,6)&lt;&gt;"",INDEX(Properties!A$1:CB$87,Formula!J35,6)))</f>
        <v>35.04</v>
      </c>
      <c r="W35" s="60">
        <f>MAX(INDEX(Properties!A$1:CB$87,Formula!B35,6),INDEX(Properties!A$1:CB$87,Formula!D35,6),INDEX(Properties!A$1:CB$87,Formula!F35,6),INDEX(Properties!A$1:CB$87,Formula!H35,4),INDEX(Properties!A$1:CB$87,Formula!J35,6))</f>
        <v>16</v>
      </c>
      <c r="X35" s="60">
        <f>MIN(IF(INDEX(Properties!A$1:CB$87,Formula!B35,6)=0,10^6,INDEX(Properties!A$1:CB$87,Formula!B35,6)),IF(INDEX(Properties!A$1:CB$87,Formula!D35,6)=0,10^6,INDEX(Properties!A$1:CB$87,Formula!D35,6)),IF(INDEX(Properties!A$1:CB$87,Formula!F35,6)=0,10^6,INDEX(Properties!A$1:CB$87,Formula!F35,6)),IF(INDEX(Properties!A$1:CB$87,Formula!H35,6)=0,10^6,INDEX(Properties!A$1:CB$87,Formula!H35,6)),IF(INDEX(Properties!A$1:CB$87,Formula!J35,6)=0,10^6,INDEX(Properties!A$1:CB$87,Formula!J35,6)))</f>
        <v>3</v>
      </c>
      <c r="Y35" s="60">
        <f t="shared" si="3"/>
        <v>13</v>
      </c>
      <c r="Z35" s="72">
        <f>((Formula!C35)/(Formula!C35+Formula!E35+Formula!G35+Formula!I35+Formula!K35))*(INDEX(Properties!A$1:CB$87,Formula!B35,9))+((Formula!E35)/(Formula!C35+Formula!E35+Formula!G35+Formula!I35+Formula!K35))*(INDEX(Properties!A$1:CB$87,Formula!D35,9))+((Formula!G35)/(Formula!C35+Formula!E35+Formula!G35+Formula!I35+Formula!K35))*(INDEX(Properties!A$1:CB$87,Formula!F35,9))+((Formula!I35)/(Formula!C35+Formula!E35+Formula!G35+Formula!I35+Formula!K35))*(INDEX(Properties!A$1:CB$87,Formula!H35,9))+((Formula!K35)/(Formula!C35+Formula!E35+Formula!G35+Formula!I35+Formula!K35))*(INDEX(Properties!A$1:CB$87,Formula!J35,9))</f>
        <v>66.5</v>
      </c>
      <c r="AA35" s="72">
        <f>Formula!C35*(INDEX(Properties!A$1:CB$87,Formula!B35,9))+Formula!E35*(INDEX(Properties!A$1:CB$87,Formula!D35,9))+Formula!G35*(INDEX(Properties!A$1:CB$87,Formula!F35,9))+Formula!I35*(INDEX(Properties!A$1:CB$87,Formula!H35,9))+Formula!K35*(INDEX(Properties!A$1:CB$87,Formula!J35,9))</f>
        <v>532</v>
      </c>
      <c r="AB35" s="72">
        <f>VARP(IF(INDEX(Properties!A$1:CB$87,Formula!B35,9)&lt;&gt;"",INDEX(Properties!A$1:CB$87,Formula!B35,9)),IF(INDEX(Properties!A$1:CB$87,Formula!D35,9)&lt;&gt;"",INDEX(Properties!A$1:CB$87,Formula!D35,9)),IF(INDEX(Properties!A$1:CB$87,Formula!F35,9)&lt;&gt;"",INDEX(Properties!A$1:CB$87,Formula!F35,9)),IF(INDEX(Properties!A$1:CB$87,Formula!H35,9)&lt;&gt;"",INDEX(Properties!A$1:CB$87,Formula!H35,9)),IF(INDEX(Properties!A$1:CB$87,Formula!J35,9)&lt;&gt;"",INDEX(Properties!A$1:CB$87,Formula!J35,9)))</f>
        <v>1043.44</v>
      </c>
      <c r="AC35" s="72">
        <f>MAX(INDEX(Properties!A$1:CB$87,Formula!B35,9),INDEX(Properties!A$1:CB$87,Formula!D35,9),INDEX(Properties!A$1:CB$87,Formula!F35,9),INDEX(Properties!A$1:CB$87,Formula!H35,9),INDEX(Properties!A$1:CB$87,Formula!J35,9))</f>
        <v>87</v>
      </c>
      <c r="AD35" s="72">
        <f>MIN(IF(INDEX(Properties!A$1:CB$87,Formula!B35,9)=0,10^6,INDEX(Properties!A$1:CB$87,Formula!B35,9)),IF(INDEX(Properties!A$1:CB$87,Formula!D35,9)=0,10^6,INDEX(Properties!A$1:CB$87,Formula!D35,9)),IF(INDEX(Properties!A$1:CB$87,Formula!F35,9)=0,10^6,INDEX(Properties!A$1:CB$87,Formula!F35,9)),IF(INDEX(Properties!A$1:CB$87,Formula!H35,9)=0,10^6,INDEX(Properties!A$1:CB$87,Formula!H35,9)),IF(INDEX(Properties!A$1:CB$87,Formula!J35,9)=0,10^6,INDEX(Properties!A$1:CB$87,Formula!J35,9)))</f>
        <v>27</v>
      </c>
      <c r="AE35" s="72">
        <f t="shared" si="4"/>
        <v>60</v>
      </c>
      <c r="AF35" s="51">
        <f>((Formula!C35)/(Formula!C35+Formula!E35+Formula!G35+Formula!I35+Formula!K35))*(INDEX(Properties!A$1:CB$87,Formula!B35,10))+((Formula!E35)/(Formula!C35+Formula!E35+Formula!G35+Formula!I35+Formula!K35))*(INDEX(Properties!A$1:CB$87,Formula!D35,10))+((Formula!G35)/(Formula!C35+Formula!E35+Formula!G35+Formula!I35+Formula!K35))*(INDEX(Properties!A$1:CB$87,Formula!F35,10))+((Formula!I35)/(Formula!C35+Formula!E35+Formula!G35+Formula!I35+Formula!K35))*(INDEX(Properties!A$1:CB$87,Formula!H35,10))+((Formula!K35)/(Formula!C35+Formula!E35+Formula!G35+Formula!I35+Formula!K35))*(INDEX(Properties!A$1:CB$87,Formula!J35,10))</f>
        <v>5.625</v>
      </c>
      <c r="AG35" s="51">
        <f>Formula!C35*(INDEX(Properties!A$1:CB$87,Formula!B35,10))+Formula!E35*(INDEX(Properties!A$1:CB$87,Formula!D35,10))+Formula!G35*(INDEX(Properties!A$1:CB$87,Formula!F35,10))+Formula!I35*(INDEX(Properties!A$1:CB$87,Formula!H35,10))+Formula!K35*(INDEX(Properties!A$1:CB$87,Formula!J35,10))</f>
        <v>45</v>
      </c>
      <c r="AH35" s="51">
        <f>VARP(IF(INDEX(Properties!A$1:CB$87,Formula!B35,10)&lt;&gt;"",INDEX(Properties!A$1:CB$87,Formula!B35,10)),IF(INDEX(Properties!A$1:CB$87,Formula!D35,10)&lt;&gt;"",INDEX(Properties!A$1:CB$87,Formula!D35,10)),IF(INDEX(Properties!A$1:CB$87,Formula!F35,10)&lt;&gt;"",INDEX(Properties!A$1:CB$87,Formula!F35,10)),IF(INDEX(Properties!A$1:CB$87,Formula!H35,10)&lt;&gt;"",INDEX(Properties!A$1:CB$87,Formula!H35,10)),IF(INDEX(Properties!A$1:CB$87,Formula!J35,10)&lt;&gt;"",INDEX(Properties!A$1:CB$87,Formula!J35,10)))</f>
        <v>6.96</v>
      </c>
      <c r="AI35" s="51">
        <f>MAX(INDEX(Properties!A$1:CB$87,Formula!B35,10),INDEX(Properties!A$1:CB$87,Formula!D35,10),INDEX(Properties!A$1:CB$87,Formula!F35,10),INDEX(Properties!A$1:CB$87,Formula!H35,10),INDEX(Properties!A$1:CB$87,Formula!J35,10))</f>
        <v>7</v>
      </c>
      <c r="AJ35" s="51">
        <f>MIN(IF(INDEX(Properties!A$1:CB$87,Formula!B35,10)=0,10^6,INDEX(Properties!A$1:CB$87,Formula!B35,10)),IF(INDEX(Properties!A$1:CB$87,Formula!D35,10)=0,10^6,INDEX(Properties!A$1:CB$87,Formula!D35,10)),IF(INDEX(Properties!A$1:CB$87,Formula!F35,10)=0,10^6,INDEX(Properties!A$1:CB$87,Formula!F35,10)),IF(INDEX(Properties!A$1:CB$87,Formula!H35,10)=0,10^6,INDEX(Properties!A$1:CB$87,Formula!H35,10)),IF(INDEX(Properties!A$1:CB$87,Formula!J35,10)=0,10^6,INDEX(Properties!A$1:CB$87,Formula!J35,10)))</f>
        <v>3</v>
      </c>
      <c r="AK35" s="51">
        <f t="shared" si="5"/>
        <v>4</v>
      </c>
      <c r="AL35" s="57">
        <f>((Formula!C35)/(Formula!C35+Formula!E35+Formula!G35+Formula!I35+Formula!K35))*(INDEX(Properties!A$1:CB$87,Formula!B35,11))+((Formula!E35)/(Formula!C35+Formula!E35+Formula!G35+Formula!I35+Formula!K35))*(INDEX(Properties!A$1:CB$87,Formula!D35,11))+((Formula!G35)/(Formula!C35+Formula!E35+Formula!G35+Formula!I35+Formula!K35))*(INDEX(Properties!A$1:CB$87,Formula!F35,11))+((Formula!I35)/(Formula!C35+Formula!E35+Formula!G35+Formula!I35+Formula!K35))*(INDEX(Properties!A$1:CB$87,Formula!H35,11))+((Formula!K35)/(Formula!C35+Formula!E35+Formula!G35+Formula!I35+Formula!K35))*(INDEX(Properties!A$1:CB$87,Formula!J35,11))</f>
        <v>2</v>
      </c>
      <c r="AM35" s="57">
        <f>Formula!C35*(INDEX(Properties!A$1:CB$87,Formula!B35,11))+Formula!E35*(INDEX(Properties!A$1:CB$87,Formula!D35,11))+Formula!G35*(INDEX(Properties!A$1:CB$87,Formula!F35,11))+Formula!I35*(INDEX(Properties!A$1:CB$87,Formula!H35,11))+Formula!K35*(INDEX(Properties!A$1:CB$87,Formula!J35,11))</f>
        <v>16</v>
      </c>
      <c r="AN35" s="57">
        <f>VARP(IF(INDEX(Properties!A$1:CB$87,Formula!B35,11)&lt;&gt;"",INDEX(Properties!A$1:CB$87,Formula!B35,11)),IF(INDEX(Properties!A$1:CB$87,Formula!D35,11)&lt;&gt;"",INDEX(Properties!A$1:CB$87,Formula!D35,11)),IF(INDEX(Properties!A$1:CB$87,Formula!F35,11)&lt;&gt;"",INDEX(Properties!A$1:CB$87,Formula!F35,11)),IF(INDEX(Properties!A$1:CB$87,Formula!H35,11)&lt;&gt;"",INDEX(Properties!A$1:CB$87,Formula!H35,11)),IF(INDEX(Properties!A$1:CB$87,Formula!J35,11)&lt;&gt;"",INDEX(Properties!A$1:CB$87,Formula!J35,11)))</f>
        <v>0.96</v>
      </c>
      <c r="AO35" s="57">
        <f>MAX(INDEX(Properties!A$1:CB$87,Formula!B35,11),INDEX(Properties!A$1:CB$87,Formula!D35,11),INDEX(Properties!A$1:CB$87,Formula!F35,11),INDEX(Properties!A$1:CB$87,Formula!H35,11),INDEX(Properties!A$1:CB$87,Formula!J35,11))</f>
        <v>2</v>
      </c>
      <c r="AP35" s="57">
        <f>MIN(IF(Formula!B35=87,10^6,INDEX(Properties!A$1:CB$87,Formula!B35,11)),IF((Formula!D35)=87,10^6,INDEX(Properties!A$1:CB$87,Formula!D35,11)),IF((Formula!F35)=87,10^6,INDEX(Properties!A$1:CB$87,Formula!F35,11)),IF((Formula!H35)=87,10^6,INDEX(Properties!A$1:CB$87,Formula!H35,11)),IF(Formula!J35=87,10^6,INDEX(Properties!A$1:CB$87,Formula!J35,11)))</f>
        <v>2</v>
      </c>
      <c r="AQ35" s="57">
        <f t="shared" si="6"/>
        <v>0</v>
      </c>
      <c r="AR35" s="78">
        <f>((Formula!C35)/(Formula!C35+Formula!E35+Formula!G35+Formula!I35+Formula!K35))*(INDEX(Properties!A$1:CB$87,Formula!B35,12))+((Formula!E35)/(Formula!C35+Formula!E35+Formula!G35+Formula!I35+Formula!K35))*(INDEX(Properties!A$1:CB$87,Formula!D35,12))+((Formula!G35)/(Formula!C35+Formula!E35+Formula!G35+Formula!I35+Formula!K35))*(INDEX(Properties!A$1:CB$87,Formula!F35,12))+((Formula!I35)/(Formula!C35+Formula!E35+Formula!G35+Formula!I35+Formula!K35))*(INDEX(Properties!A$1:CB$87,Formula!H35,12))+((Formula!K35)/(Formula!C35+Formula!E35+Formula!G35+Formula!I35+Formula!K35))*(INDEX(Properties!A$1:CB$87,Formula!J35,12))</f>
        <v>2.5</v>
      </c>
      <c r="AS35" s="78">
        <f>Formula!C35*(INDEX(Properties!A$1:CB$87,Formula!B35,12))+Formula!E35*(INDEX(Properties!A$1:CB$87,Formula!D35,12))+Formula!G35*(INDEX(Properties!A$1:CB$87,Formula!F35,12))+Formula!I35*(INDEX(Properties!A$1:CB$87,Formula!H35,12))+Formula!K35*(INDEX(Properties!A$1:CB$87,Formula!J35,12))</f>
        <v>20</v>
      </c>
      <c r="AT35" s="78">
        <f>VARP(IF(INDEX(Properties!A$1:CB$87,Formula!B35,12)&lt;&gt;"",INDEX(Properties!A$1:CB$87,Formula!B35,12)),IF(INDEX(Properties!A$1:CB$87,Formula!D35,12)&lt;&gt;"",INDEX(Properties!A$1:CB$87,Formula!D35,12)),IF(INDEX(Properties!A$1:CB$87,Formula!F35,12)&lt;&gt;"",INDEX(Properties!A$1:CB$87,Formula!F35,12)),IF(INDEX(Properties!A$1:CB$87,Formula!H35,12)&lt;&gt;"",INDEX(Properties!A$1:CB$87,Formula!H35,12)),IF(INDEX(Properties!A$1:CB$87,Formula!J35,12)&lt;&gt;"",INDEX(Properties!A$1:CB$87,Formula!J35,12)))</f>
        <v>2.56</v>
      </c>
      <c r="AU35" s="78">
        <f>MAX(INDEX(Properties!A$1:CB$87,Formula!B35,12),INDEX(Properties!A$1:CB$87,Formula!D35,12),INDEX(Properties!A$1:CB$87,Formula!F35,12),INDEX(Properties!A$1:CB$87,Formula!H35,12),INDEX(Properties!A$1:CB$87,Formula!J35,12))</f>
        <v>4</v>
      </c>
      <c r="AV35" s="78">
        <f>MIN(IF(Formula!B35=87,10^6,INDEX(Properties!A$1:CB$87,Formula!B35,12)),IF((Formula!D35)=87,10^6,INDEX(Properties!A$1:CB$87,Formula!D35,12)),IF((Formula!F35)=87,10^6,INDEX(Properties!A$1:CB$87,Formula!F35,12)),IF((Formula!H35)=87,10^6,INDEX(Properties!A$1:CB$87,Formula!H35,12)),IF(Formula!J35=87,10^6,INDEX(Properties!A$1:CB$87,Formula!J35,12)))</f>
        <v>0</v>
      </c>
      <c r="AW35" s="78">
        <f t="shared" si="7"/>
        <v>4</v>
      </c>
      <c r="AX35" s="45">
        <f>((Formula!C35)/(Formula!C35+Formula!E35+Formula!G35+Formula!I35+Formula!K35))*(INDEX(Properties!A$1:CB$87,Formula!B35,13))+((Formula!E35)/(Formula!C35+Formula!E35+Formula!G35+Formula!I35+Formula!K35))*(INDEX(Properties!A$1:CB$87,Formula!D35,13))+((Formula!G35)/(Formula!C35+Formula!E35+Formula!G35+Formula!I35+Formula!K35))*(INDEX(Properties!A$1:CB$87,Formula!F35,13))+((Formula!I35)/(Formula!C35+Formula!E35+Formula!G35+Formula!I35+Formula!K35))*(INDEX(Properties!A$1:CB$87,Formula!H35,13))+((Formula!K35)/(Formula!C35+Formula!E35+Formula!G35+Formula!I35+Formula!K35))*(INDEX(Properties!A$1:CB$87,Formula!J35,13))</f>
        <v>0.5</v>
      </c>
      <c r="AY35" s="45">
        <f>Formula!C35*(INDEX(Properties!A$1:CB$87,Formula!B35,13))+Formula!E35*(INDEX(Properties!A$1:CB$87,Formula!D35,13))+Formula!G35*(INDEX(Properties!A$1:CB$87,Formula!F35,13))+Formula!I35*(INDEX(Properties!A$1:CB$87,Formula!H35,13))+Formula!K35*(INDEX(Properties!A$1:CB$87,Formula!J35,13))</f>
        <v>4</v>
      </c>
      <c r="AZ35" s="45">
        <f>VARP(IF(INDEX(Properties!A$1:CB$87,Formula!B35,13)&lt;&gt;"",INDEX(Properties!A$1:CB$87,Formula!B35,13)),IF(INDEX(Properties!A$1:CB$87,Formula!D35,13)&lt;&gt;"",INDEX(Properties!A$1:CB$87,Formula!D35,13)),IF(INDEX(Properties!A$1:CB$87,Formula!F35,13)&lt;&gt;"",INDEX(Properties!A$1:CB$87,Formula!F35,13)),IF(INDEX(Properties!A$1:CB$87,Formula!H35,13)&lt;&gt;"",INDEX(Properties!A$1:CB$87,Formula!H35,13)),IF(INDEX(Properties!A$1:CB$87,Formula!J35,13)&lt;&gt;"",INDEX(Properties!A$1:CB$87,Formula!J35,13)))</f>
        <v>0.64</v>
      </c>
      <c r="BA35" s="45">
        <f>MAX(INDEX(Properties!A$1:CB$87,Formula!B35,13),INDEX(Properties!A$1:CB$87,Formula!D35,13),INDEX(Properties!A$1:CB$87,Formula!F35,13),INDEX(Properties!A$1:CB$87,Formula!H35,13),INDEX(Properties!A$1:CB$87,Formula!J35,13))</f>
        <v>2</v>
      </c>
      <c r="BB35" s="45">
        <f>MIN(IF(Formula!B35=87,10^6,INDEX(Properties!A$1:CB$87,Formula!B35,13)),IF((Formula!D35)=87,10^6,INDEX(Properties!A$1:CB$87,Formula!D35,13)),IF((Formula!F35)=87,10^6,INDEX(Properties!A$1:CB$87,Formula!F35,13)),IF((Formula!H35)=87,10^6,INDEX(Properties!A$1:CB$87,Formula!H35,13)),IF(Formula!J35=87,10^6,INDEX(Properties!A$1:CB$87,Formula!J35,13)))</f>
        <v>0</v>
      </c>
      <c r="BC35" s="45">
        <f t="shared" si="8"/>
        <v>2</v>
      </c>
      <c r="BD35" s="63">
        <f>((Formula!C35)/(Formula!C35+Formula!E35+Formula!G35+Formula!I35+Formula!K35))*(INDEX(Properties!A$1:CB$87,Formula!B35,14))+((Formula!E35)/(Formula!C35+Formula!E35+Formula!G35+Formula!I35+Formula!K35))*(INDEX(Properties!A$1:CB$87,Formula!D35,14))+((Formula!G35)/(Formula!C35+Formula!E35+Formula!G35+Formula!I35+Formula!K35))*(INDEX(Properties!A$1:CB$87,Formula!F35,14))+((Formula!I35)/(Formula!C35+Formula!E35+Formula!G35+Formula!I35+Formula!K35))*(INDEX(Properties!A$1:CB$87,Formula!H35,14))+((Formula!K35)/(Formula!C35+Formula!E35+Formula!G35+Formula!I35+Formula!K35))*(INDEX(Properties!A$1:CB$87,Formula!J35,14))</f>
        <v>1.75</v>
      </c>
      <c r="BE35" s="63">
        <f>Formula!C35*(INDEX(Properties!A$1:CB$87,Formula!B35,14))+Formula!E35*(INDEX(Properties!A$1:CB$87,Formula!D35,14))+Formula!G35*(INDEX(Properties!A$1:CB$87,Formula!F35,14))+Formula!I35*(INDEX(Properties!A$1:CB$87,Formula!H35,14))+Formula!K35*(INDEX(Properties!A$1:CB$87,Formula!J35,14))</f>
        <v>14</v>
      </c>
      <c r="BF35" s="63">
        <f>VARP(IF(INDEX(Properties!A$1:CB$87,Formula!B35,14)&lt;&gt;"",INDEX(Properties!A$1:CB$87,Formula!B35,14)),IF(INDEX(Properties!A$1:CB$87,Formula!D35,14)&lt;&gt;"",INDEX(Properties!A$1:CB$87,Formula!D35,14)),IF(INDEX(Properties!A$1:CB$87,Formula!F35,14)&lt;&gt;"",INDEX(Properties!A$1:CB$87,Formula!F35,14)),IF(INDEX(Properties!A$1:CB$87,Formula!H35,14)&lt;&gt;"",INDEX(Properties!A$1:CB$87,Formula!H35,14)),IF(INDEX(Properties!A$1:CB$87,Formula!J35,14)&lt;&gt;"",INDEX(Properties!A$1:CB$87,Formula!J35,14)))</f>
        <v>7.84</v>
      </c>
      <c r="BG35" s="63">
        <f>MAX(INDEX(Properties!A$1:CB$87,Formula!B35,14),INDEX(Properties!A$1:CB$87,Formula!D35,14),INDEX(Properties!A$1:CB$87,Formula!F35,14),INDEX(Properties!A$1:CB$87,Formula!H35,14),INDEX(Properties!A$1:CB$87,Formula!J35,14))</f>
        <v>7</v>
      </c>
      <c r="BH35" s="63">
        <f>MIN(IF(Formula!B35=87,10^6,INDEX(Properties!A$1:CB$87,Formula!B35,14)),IF((Formula!D35)=87,10^6,INDEX(Properties!A$1:CB$87,Formula!D35,14)),IF((Formula!F35)=87,10^6,INDEX(Properties!A$1:CB$87,Formula!F35,14)),IF((Formula!H35)=87,10^6,INDEX(Properties!A$1:CB$87,Formula!H35,14)),IF(Formula!J35=87,10^6,INDEX(Properties!A$1:CB$87,Formula!J35,14)))</f>
        <v>0</v>
      </c>
      <c r="BI35" s="63">
        <f t="shared" si="9"/>
        <v>7</v>
      </c>
      <c r="BJ35" s="75">
        <f>((Formula!C35)/(Formula!C35+Formula!E35+Formula!G35+Formula!I35+Formula!K35))*(INDEX(Properties!A$1:CB$87,Formula!B35,19))+((Formula!E35)/(Formula!C35+Formula!E35+Formula!G35+Formula!I35+Formula!K35))*(INDEX(Properties!A$1:CB$87,Formula!D35,19))+((Formula!G35)/(Formula!C35+Formula!E35+Formula!G35+Formula!I35+Formula!K35))*(INDEX(Properties!A$1:CB$87,Formula!F35,19))+((Formula!I35)/(Formula!C35+Formula!E35+Formula!G35+Formula!I35+Formula!K35))*(INDEX(Properties!A$1:CB$87,Formula!H35,19))+((Formula!K35)/(Formula!C35+Formula!E35+Formula!G35+Formula!I35+Formula!K35))*(INDEX(Properties!A$1:CB$87,Formula!J35,19))</f>
        <v>6.75</v>
      </c>
      <c r="BK35" s="75">
        <f>Formula!C35*(INDEX(Properties!A$1:CB$87,Formula!B35,19))+Formula!E35*(INDEX(Properties!A$1:CB$87,Formula!D35,19))+Formula!G35*(INDEX(Properties!A$1:CB$87,Formula!F35,19))+Formula!I35*(INDEX(Properties!A$1:CB$87,Formula!H35,19))+Formula!K35*(INDEX(Properties!A$1:CB$87,Formula!J35,19))</f>
        <v>54</v>
      </c>
      <c r="BL35" s="75">
        <f>VARP(IF(INDEX(Properties!A$1:CB$87,Formula!B35,19)&lt;&gt;"",INDEX(Properties!A$1:CB$87,Formula!B35,19)),IF(INDEX(Properties!A$1:CB$87,Formula!D35,19)&lt;&gt;"",INDEX(Properties!A$1:CB$87,Formula!D35,19)),IF(INDEX(Properties!A$1:CB$87,Formula!F35,19)&lt;&gt;"",INDEX(Properties!A$1:CB$87,Formula!F35,19)),IF(INDEX(Properties!A$1:CB$87,Formula!H35,19)&lt;&gt;"",INDEX(Properties!A$1:CB$87,Formula!H35,19)),IF(INDEX(Properties!A$1:CB$87,Formula!J35,19)&lt;&gt;"",INDEX(Properties!A$1:CB$87,Formula!J35,19)))</f>
        <v>14.4</v>
      </c>
      <c r="BM35" s="75">
        <f>MAX(INDEX(Properties!A$1:CB$87,Formula!B35,19),INDEX(Properties!A$1:CB$87,Formula!D35,19),INDEX(Properties!A$1:CB$87,Formula!F35,19),INDEX(Properties!A$1:CB$87,Formula!H35,19),INDEX(Properties!A$1:CB$87,Formula!J35,19))</f>
        <v>10</v>
      </c>
      <c r="BN35" s="75">
        <f>MIN(IF(INDEX(Properties!A$1:CB$87,Formula!B35,19)=0,10^6,INDEX(Properties!A$1:CB$87,Formula!B35,19)),IF(INDEX(Properties!A$1:CB$87,Formula!D35,19)=0,10^6,INDEX(Properties!A$1:CB$87,Formula!D35,19)),IF(INDEX(Properties!A$1:CB$87,Formula!F35,19)=0,10^6,INDEX(Properties!A$1:CB$87,Formula!F35,19)),IF(INDEX(Properties!A$1:CB$87,Formula!H35,19)=0,10^6,INDEX(Properties!A$1:CB$87,Formula!H35,19)),IF(INDEX(Properties!A$1:CB$87,Formula!J35,19)=0,10^6,INDEX(Properties!A$1:CB$87,Formula!J35,19)))</f>
        <v>4</v>
      </c>
      <c r="BO35" s="75">
        <f t="shared" si="10"/>
        <v>6</v>
      </c>
      <c r="BP35" s="48">
        <f>((Formula!C35)/(Formula!C35+Formula!E35+Formula!G35+Formula!I35+Formula!K35))*(INDEX(Properties!A$1:CB$87,Formula!B35,20))+((Formula!E35)/(Formula!C35+Formula!E35+Formula!G35+Formula!I35+Formula!K35))*(INDEX(Properties!A$1:CB$87,Formula!D35,20))+((Formula!G35)/(Formula!C35+Formula!E35+Formula!G35+Formula!I35+Formula!K35))*(INDEX(Properties!A$1:CB$87,Formula!F35,20))+((Formula!I35)/(Formula!C35+Formula!E35+Formula!G35+Formula!I35+Formula!K35))*(INDEX(Properties!A$1:CB$87,Formula!H35,20))+((Formula!K35)/(Formula!C35+Formula!E35+Formula!G35+Formula!I35+Formula!K35))*(INDEX(Properties!A$1:CB$87,Formula!J35,20))</f>
        <v>4.5</v>
      </c>
      <c r="BQ35" s="48">
        <f>Formula!C35*(INDEX(Properties!A$1:CB$87,Formula!B35,20))+Formula!E35*(INDEX(Properties!A$1:CB$87,Formula!D35,20))+Formula!G35*(INDEX(Properties!A$1:CB$87,Formula!F35,20))+Formula!I35*(INDEX(Properties!A$1:CB$87,Formula!H35,20))+Formula!K35*(INDEX(Properties!A$1:CB$87,Formula!J35,20))</f>
        <v>36</v>
      </c>
      <c r="BR35" s="48">
        <f>VARP(IF(INDEX(Properties!A$1:CB$87,Formula!B35,20)&lt;&gt;"",INDEX(Properties!A$1:CB$87,Formula!B35,20)),IF(INDEX(Properties!A$1:CB$87,Formula!D35,20)&lt;&gt;"",INDEX(Properties!A$1:CB$87,Formula!D35,20)),IF(INDEX(Properties!A$1:CB$87,Formula!F35,20)&lt;&gt;"",INDEX(Properties!A$1:CB$87,Formula!F35,20)),IF(INDEX(Properties!A$1:CB$87,Formula!H35,20)&lt;&gt;"",INDEX(Properties!A$1:CB$87,Formula!H35,20)),IF(INDEX(Properties!A$1:CB$87,Formula!J35,20)&lt;&gt;"",INDEX(Properties!A$1:CB$87,Formula!J35,20)))</f>
        <v>4.8</v>
      </c>
      <c r="BS35" s="48">
        <f>MAX(INDEX(Properties!A$1:CB$87,Formula!B35,20),INDEX(Properties!A$1:CB$87,Formula!D35,20),INDEX(Properties!A$1:CB$87,Formula!F35,20),INDEX(Properties!A$1:CB$87,Formula!H35,20),INDEX(Properties!A$1:CB$87,Formula!J35,20))</f>
        <v>6</v>
      </c>
      <c r="BT35" s="48">
        <f>MIN(IF(INDEX(Properties!A$1:CB$87,Formula!B35,20)=0,10^6,INDEX(Properties!A$1:CB$87,Formula!B35,20)),IF(INDEX(Properties!A$1:CB$87,Formula!D35,20)=0,10^6,INDEX(Properties!A$1:CB$87,Formula!D35,20)),IF(INDEX(Properties!A$1:CB$87,Formula!F35,20)=0,10^6,INDEX(Properties!A$1:CB$87,Formula!F35,20)),IF(INDEX(Properties!A$1:CB$87,Formula!H35,20)=0,10^6,INDEX(Properties!A$1:CB$87,Formula!H35,20)),IF(INDEX(Properties!A$1:CB$87,Formula!J35,20)=0,10^6,INDEX(Properties!A$1:CB$87,Formula!J35,20)))</f>
        <v>2</v>
      </c>
      <c r="BU35" s="48">
        <f t="shared" si="11"/>
        <v>4</v>
      </c>
      <c r="BV35" s="66">
        <f>((Formula!C35)/(Formula!C35+Formula!E35+Formula!G35+Formula!I35+Formula!K35))*(INDEX(Properties!A$1:CB$87,Formula!B35,21))+((Formula!E35)/(Formula!C35+Formula!E35+Formula!G35+Formula!I35+Formula!K35))*(INDEX(Properties!A$1:CB$87,Formula!D35,21))+((Formula!G35)/(Formula!C35+Formula!E35+Formula!G35+Formula!I35+Formula!K35))*(INDEX(Properties!A$1:CB$87,Formula!F35,21))+((Formula!I35)/(Formula!C35+Formula!E35+Formula!G35+Formula!I35+Formula!K35))*(INDEX(Properties!A$1:CB$87,Formula!H35,21))+((Formula!K35)/(Formula!C35+Formula!E35+Formula!G35+Formula!I35+Formula!K35))*(INDEX(Properties!A$1:CB$87,Formula!J35,21))</f>
        <v>4.75</v>
      </c>
      <c r="BW35" s="66">
        <f>Formula!C35*(INDEX(Properties!A$1:CB$87,Formula!B35,21))+Formula!E35*(INDEX(Properties!A$1:CB$87,Formula!D35,21))+Formula!G35*(INDEX(Properties!A$1:CB$87,Formula!F35,21))+Formula!I35*(INDEX(Properties!A$1:CB$87,Formula!H35,21))+Formula!K35*(INDEX(Properties!A$1:CB$87,Formula!J35,21))</f>
        <v>38</v>
      </c>
      <c r="BX35" s="66">
        <f>VARP(IF(INDEX(Properties!A$1:CB$87,Formula!B35,21)&lt;&gt;"",INDEX(Properties!A$1:CB$87,Formula!B35,21)),IF(INDEX(Properties!A$1:CB$87,Formula!D35,21)&lt;&gt;"",INDEX(Properties!A$1:CB$87,Formula!D35,21)),IF(INDEX(Properties!A$1:CB$87,Formula!F35,21)&lt;&gt;"",INDEX(Properties!A$1:CB$87,Formula!F35,21)),IF(INDEX(Properties!A$1:CB$87,Formula!H35,21)&lt;&gt;"",INDEX(Properties!A$1:CB$87,Formula!H35,21)),IF(INDEX(Properties!A$1:CB$87,Formula!J35,21)&lt;&gt;"",INDEX(Properties!A$1:CB$87,Formula!J35,21)))</f>
        <v>4.96</v>
      </c>
      <c r="BY35" s="66">
        <f>MAX(INDEX(Properties!A$1:CB$87,Formula!B35,21),INDEX(Properties!A$1:CB$87,Formula!D35,21),INDEX(Properties!A$1:CB$87,Formula!F35,21),INDEX(Properties!A$1:CB$87,Formula!H35,21),INDEX(Properties!A$1:CB$87,Formula!J35,21))</f>
        <v>6</v>
      </c>
      <c r="BZ35" s="66">
        <f>MIN(IF(INDEX(Properties!A$1:CB$87,Formula!B35,21)=0,10^6,INDEX(Properties!A$1:CB$87,Formula!B35,21)),IF(INDEX(Properties!A$1:CB$87,Formula!D35,21)=0,10^6,INDEX(Properties!A$1:CB$87,Formula!D35,21)),IF(INDEX(Properties!A$1:CB$87,Formula!F35,21)=0,10^6,INDEX(Properties!A$1:CB$87,Formula!F35,21)),IF(INDEX(Properties!A$1:CB$87,Formula!H35,21)=0,10^6,INDEX(Properties!A$1:CB$87,Formula!H35,21)),IF(INDEX(Properties!A$1:CB$87,Formula!J35,21)=0,10^6,INDEX(Properties!A$1:CB$87,Formula!J35,21)))</f>
        <v>2</v>
      </c>
      <c r="CA35" s="66">
        <f t="shared" si="12"/>
        <v>4</v>
      </c>
      <c r="CB35" s="81">
        <f>((Formula!C35)/(Formula!C35+Formula!E35+Formula!G35+Formula!I35+Formula!K35))*(INDEX(Properties!A$1:CB$87,Formula!B35,23))+((Formula!E35)/(Formula!C35+Formula!E35+Formula!G35+Formula!I35+Formula!K35))*(INDEX(Properties!A$1:CB$87,Formula!D35,23))+((Formula!G35)/(Formula!C35+Formula!E35+Formula!G35+Formula!I35+Formula!K35))*(INDEX(Properties!A$1:CB$87,Formula!F35,23))+((Formula!I35)/(Formula!C35+Formula!E35+Formula!G35+Formula!I35+Formula!K35))*(INDEX(Properties!A$1:CB$87,Formula!H35,23))+((Formula!K35)/(Formula!C35+Formula!E35+Formula!G35+Formula!I35+Formula!K35))*(INDEX(Properties!A$1:CB$87,Formula!J35,23))</f>
        <v>1.25</v>
      </c>
      <c r="CC35" s="81">
        <f>Formula!C35*(INDEX(Properties!A$1:CB$87,Formula!B35,23))+Formula!E35*(INDEX(Properties!A$1:CB$87,Formula!D35,23))+Formula!G35*(INDEX(Properties!A$1:CB$87,Formula!F35,23))+Formula!I35*(INDEX(Properties!A$1:CB$87,Formula!H35,23))+Formula!K35*(INDEX(Properties!A$1:CB$87,Formula!J35,23))</f>
        <v>10</v>
      </c>
      <c r="CD35" s="81">
        <f>VARP(IF(INDEX(Properties!A$1:CB$87,Formula!B35,23)&lt;&gt;"",INDEX(Properties!A$1:CB$87,Formula!B35,23)),IF(INDEX(Properties!A$1:CB$87,Formula!D35,23)&lt;&gt;"",INDEX(Properties!A$1:CB$87,Formula!D35,23)),IF(INDEX(Properties!A$1:CB$87,Formula!F35,23)&lt;&gt;"",INDEX(Properties!A$1:CB$87,Formula!F35,23)),IF(INDEX(Properties!A$1:CB$87,Formula!H35,23)&lt;&gt;"",INDEX(Properties!A$1:CB$87,Formula!H35,23)),IF(INDEX(Properties!A$1:CB$87,Formula!J35,23)&lt;&gt;"",INDEX(Properties!A$1:CB$87,Formula!J35,23)))</f>
        <v>3.04</v>
      </c>
      <c r="CE35" s="81">
        <f>MAX(INDEX(Properties!A$1:CB$87,Formula!B35,23),INDEX(Properties!A$1:CB$87,Formula!D35,23),INDEX(Properties!A$1:CB$87,Formula!F35,23),INDEX(Properties!A$1:CB$87,Formula!H35,23),INDEX(Properties!A$1:CB$87,Formula!J35,23))</f>
        <v>4</v>
      </c>
      <c r="CF35" s="81">
        <f>MIN(IF(Formula!B35=87,10^6,INDEX(Properties!A$1:CB$87,Formula!B35,23)),IF((Formula!D35)=87,10^6,INDEX(Properties!A$1:CB$87,Formula!D35,23)),IF((Formula!F35)=87,10^6,INDEX(Properties!A$1:CB$87,Formula!F35,23)),IF((Formula!H35)=87,10^6,INDEX(Properties!A$1:CB$87,Formula!H35,23)),IF(Formula!J35=87,10^6,INDEX(Properties!A$1:CB$87,Formula!J35,23)))</f>
        <v>0</v>
      </c>
      <c r="CG35" s="81">
        <f t="shared" si="13"/>
        <v>4</v>
      </c>
      <c r="CH35" s="39">
        <f>((Formula!C35)/(Formula!C35+Formula!E35+Formula!G35+Formula!I35+Formula!K35))*(INDEX(Properties!A$1:CB$87,Formula!B35,26))+((Formula!E35)/(Formula!C35+Formula!E35+Formula!G35+Formula!I35+Formula!K35))*(INDEX(Properties!A$1:CB$87,Formula!D35,26))+((Formula!G35)/(Formula!C35+Formula!E35+Formula!G35+Formula!I35+Formula!K35))*(INDEX(Properties!A$1:CB$87,Formula!F35,26))+((Formula!I35)/(Formula!C35+Formula!E35+Formula!G35+Formula!I35+Formula!K35))*(INDEX(Properties!A$1:CB$87,Formula!H35,26))+((Formula!K35)/(Formula!C35+Formula!E35+Formula!G35+Formula!I35+Formula!K35))*(INDEX(Properties!A$1:CB$87,Formula!J35,26))</f>
        <v>10.902275000000001</v>
      </c>
      <c r="CI35" s="39">
        <f>Formula!C35*(INDEX(Properties!A$1:CB$87,Formula!B35,26))+Formula!E35*(INDEX(Properties!A$1:CB$87,Formula!D35,26))+Formula!G35*(INDEX(Properties!A$1:CB$87,Formula!F35,26))+Formula!I35*(INDEX(Properties!A$1:CB$87,Formula!H35,26))+Formula!K35*(INDEX(Properties!A$1:CB$87,Formula!J35,26))</f>
        <v>87.21820000000001</v>
      </c>
      <c r="CJ35" s="39">
        <f>VARP(IF(INDEX(Properties!A$1:CB$87,Formula!B35,26)&lt;&gt;"",INDEX(Properties!A$1:CB$87,Formula!B35,26)),IF(INDEX(Properties!A$1:CB$87,Formula!D35,26)&lt;&gt;"",INDEX(Properties!A$1:CB$87,Formula!D35,26)),IF(INDEX(Properties!A$1:CB$87,Formula!F35,26)&lt;&gt;"",INDEX(Properties!A$1:CB$87,Formula!F35,26)),IF(INDEX(Properties!A$1:CB$87,Formula!H35,26)&lt;&gt;"",INDEX(Properties!A$1:CB$87,Formula!H35,26)),IF(INDEX(Properties!A$1:CB$87,Formula!J35,26)&lt;&gt;"",INDEX(Properties!A$1:CB$87,Formula!J35,26)))</f>
        <v>25.685238812000001</v>
      </c>
      <c r="CK35" s="39">
        <f>MAX(INDEX(Properties!A$1:CB$87,Formula!B35,26),INDEX(Properties!A$1:CB$87,Formula!D35,26),INDEX(Properties!A$1:CB$87,Formula!F35,26),INDEX(Properties!A$1:CB$87,Formula!H35,26),INDEX(Properties!A$1:CB$87,Formula!J35,26))</f>
        <v>13.6181</v>
      </c>
      <c r="CL35" s="39">
        <f>MIN(IF(INDEX(Properties!A$1:CB$87,Formula!B35,26)=0,10^6,INDEX(Properties!A$1:CB$87,Formula!B35,26)),IF(INDEX(Properties!A$1:CB$87,Formula!D35,26)=0,10^6,INDEX(Properties!A$1:CB$87,Formula!D35,26)),IF(INDEX(Properties!A$1:CB$87,Formula!F35,26)=0,10^6,INDEX(Properties!A$1:CB$87,Formula!F35,26)),IF(INDEX(Properties!A$1:CB$87,Formula!H35,26)=0,10^6,INDEX(Properties!A$1:CB$87,Formula!H35,26)),IF(INDEX(Properties!A$1:CB$87,Formula!J35,26)=0,10^6,INDEX(Properties!A$1:CB$87,Formula!J35,26)))</f>
        <v>6.1497999999999999</v>
      </c>
      <c r="CM35" s="39">
        <f t="shared" si="14"/>
        <v>7.4683000000000002</v>
      </c>
      <c r="CN35" s="54">
        <f>((Formula!C35)/(Formula!C35+Formula!E35+Formula!G35+Formula!I35+Formula!K35))*(INDEX(Properties!A$1:CB$87,Formula!B35,30))+((Formula!E35)/(Formula!C35+Formula!E35+Formula!G35+Formula!I35+Formula!K35))*(INDEX(Properties!A$1:CB$87,Formula!D35,30))+((Formula!G35)/(Formula!C35+Formula!E35+Formula!G35+Formula!I35+Formula!K35))*(INDEX(Properties!A$1:CB$87,Formula!F35,30))+((Formula!I35)/(Formula!C35+Formula!E35+Formula!G35+Formula!I35+Formula!K35))*(INDEX(Properties!A$1:CB$87,Formula!H35,30))+((Formula!K35)/(Formula!C35+Formula!E35+Formula!G35+Formula!I35+Formula!K35))*(INDEX(Properties!A$1:CB$87,Formula!J35,30))</f>
        <v>2.6425000000000001</v>
      </c>
      <c r="CO35" s="54">
        <f>Formula!C35*(INDEX(Properties!A$1:CB$87,Formula!B35,30))+Formula!E35*(INDEX(Properties!A$1:CB$87,Formula!D35,30))+Formula!G35*(INDEX(Properties!A$1:CB$87,Formula!F35,30))+Formula!I35*(INDEX(Properties!A$1:CB$87,Formula!H35,30))+Formula!K35*(INDEX(Properties!A$1:CB$87,Formula!J35,30))</f>
        <v>21.14</v>
      </c>
      <c r="CP35" s="54">
        <f>VARP(IF(INDEX(Properties!A$1:CB$87,Formula!B35,30)&lt;&gt;"",INDEX(Properties!A$1:CB$87,Formula!B35,30)),IF(INDEX(Properties!A$1:CB$87,Formula!D35,30)&lt;&gt;"",INDEX(Properties!A$1:CB$87,Formula!D35,30)),IF(INDEX(Properties!A$1:CB$87,Formula!F35,30)&lt;&gt;"",INDEX(Properties!A$1:CB$87,Formula!F35,30)),IF(INDEX(Properties!A$1:CB$87,Formula!H35,30)&lt;&gt;"",INDEX(Properties!A$1:CB$87,Formula!H35,30)),IF(INDEX(Properties!A$1:CB$87,Formula!J35,30)&lt;&gt;"",INDEX(Properties!A$1:CB$87,Formula!J35,30)))</f>
        <v>1.6013440000000001</v>
      </c>
      <c r="CQ35" s="54">
        <f>MAX(INDEX(Properties!A$1:CB$87,Formula!B35,30),INDEX(Properties!A$1:CB$87,Formula!D35,30),INDEX(Properties!A$1:CB$87,Formula!F35,30),INDEX(Properties!A$1:CB$87,Formula!H35,30),INDEX(Properties!A$1:CB$87,Formula!J35,30))</f>
        <v>3.44</v>
      </c>
      <c r="CR35" s="54">
        <f>MIN(IF(INDEX(Properties!A$1:CB$87,Formula!B35,30)=0,10^6,INDEX(Properties!A$1:CB$87,Formula!B35,30)),IF(INDEX(Properties!A$1:CB$87,Formula!D35,30)=0,10^6,INDEX(Properties!A$1:CB$87,Formula!D35,30)),IF(INDEX(Properties!A$1:CB$87,Formula!F35,30)=0,10^6,INDEX(Properties!A$1:CB$87,Formula!F35,30)),IF(INDEX(Properties!A$1:CB$87,Formula!H35,30)=0,10^6,INDEX(Properties!A$1:CB$87,Formula!H35,30)),IF(INDEX(Properties!A$1:CB$87,Formula!J35,30)=0,10^6,INDEX(Properties!A$1:CB$87,Formula!J35,30)))</f>
        <v>1.2</v>
      </c>
      <c r="CS35" s="54">
        <f t="shared" si="15"/>
        <v>2.2400000000000002</v>
      </c>
      <c r="CT35" s="69">
        <f>((Formula!C35)/(Formula!C35+Formula!E35+Formula!G35+Formula!I35+Formula!K35))*(INDEX(Properties!A$1:CB$87,Formula!B35,31))+((Formula!E35)/(Formula!C35+Formula!E35+Formula!G35+Formula!I35+Formula!K35))*(INDEX(Properties!A$1:CB$87,Formula!D35,31))+((Formula!G35)/(Formula!C35+Formula!E35+Formula!G35+Formula!I35+Formula!K35))*(INDEX(Properties!A$1:CB$87,Formula!F35,31))+((Formula!I35)/(Formula!C35+Formula!E35+Formula!G35+Formula!I35+Formula!K35))*(INDEX(Properties!A$1:CB$87,Formula!H35,31))+((Formula!K35)/(Formula!C35+Formula!E35+Formula!G35+Formula!I35+Formula!K35))*(INDEX(Properties!A$1:CB$87,Formula!J35,31))</f>
        <v>2.5824999999999996</v>
      </c>
      <c r="CU35" s="69">
        <f>Formula!C35*(INDEX(Properties!A$1:CB$87,Formula!B35,31))+Formula!E35*(INDEX(Properties!A$1:CB$87,Formula!D35,31))+Formula!G35*(INDEX(Properties!A$1:CB$87,Formula!F35,31))+Formula!I35*(INDEX(Properties!A$1:CB$87,Formula!H35,31))+Formula!K35*(INDEX(Properties!A$1:CB$87,Formula!J35,31))</f>
        <v>20.659999999999997</v>
      </c>
      <c r="CV35" s="69">
        <f>VARP(IF(INDEX(Properties!A$1:CB$87,Formula!B35,31)&lt;&gt;"",INDEX(Properties!A$1:CB$87,Formula!B35,31)),IF(INDEX(Properties!A$1:CB$87,Formula!D35,31)&lt;&gt;"",INDEX(Properties!A$1:CB$87,Formula!D35,31)),IF(INDEX(Properties!A$1:CB$87,Formula!F35,31)&lt;&gt;"",INDEX(Properties!A$1:CB$87,Formula!F35,31)),IF(INDEX(Properties!A$1:CB$87,Formula!H35,31)&lt;&gt;"",INDEX(Properties!A$1:CB$87,Formula!H35,31)),IF(INDEX(Properties!A$1:CB$87,Formula!J35,31)&lt;&gt;"",INDEX(Properties!A$1:CB$87,Formula!J35,31)))</f>
        <v>1.5608640000000005</v>
      </c>
      <c r="CW35" s="69">
        <f>MAX(INDEX(Properties!A$1:CB$87,Formula!B35,31),INDEX(Properties!A$1:CB$87,Formula!D35,31),INDEX(Properties!A$1:CB$87,Formula!F35,31),INDEX(Properties!A$1:CB$87,Formula!H35,31),INDEX(Properties!A$1:CB$87,Formula!J35,31))</f>
        <v>3.32</v>
      </c>
      <c r="CX35" s="69">
        <f>MIN(IF(INDEX(Properties!A$1:CB$87,Formula!B35,31)=0,10^6,INDEX(Properties!A$1:CB$87,Formula!B35,31)),IF(INDEX(Properties!A$1:CB$87,Formula!D35,31)=0,10^6,INDEX(Properties!A$1:CB$87,Formula!D35,31)),IF(INDEX(Properties!A$1:CB$87,Formula!F35,31)=0,10^6,INDEX(Properties!A$1:CB$87,Formula!F35,31)),IF(INDEX(Properties!A$1:CB$87,Formula!H35,31)=0,10^6,INDEX(Properties!A$1:CB$87,Formula!H35,31)),IF(INDEX(Properties!A$1:CB$87,Formula!J35,31)=0,10^6,INDEX(Properties!A$1:CB$87,Formula!J35,31)))</f>
        <v>1.1000000000000001</v>
      </c>
      <c r="CY35" s="69">
        <f t="shared" si="16"/>
        <v>2.2199999999999998</v>
      </c>
      <c r="CZ35" s="42">
        <f>((Formula!C35)/(Formula!C35+Formula!E35+Formula!G35+Formula!I35+Formula!K35))*(INDEX(Properties!A$1:CB$87,Formula!B35,32))+((Formula!E35)/(Formula!C35+Formula!E35+Formula!G35+Formula!I35+Formula!K35))*(INDEX(Properties!A$1:CB$87,Formula!D35,32))+((Formula!G35)/(Formula!C35+Formula!E35+Formula!G35+Formula!I35+Formula!K35))*(INDEX(Properties!A$1:CB$87,Formula!F35,32))+((Formula!I35)/(Formula!C35+Formula!E35+Formula!G35+Formula!I35+Formula!K35))*(INDEX(Properties!A$1:CB$87,Formula!H35,32))+((Formula!K35)/(Formula!C35+Formula!E35+Formula!G35+Formula!I35+Formula!K35))*(INDEX(Properties!A$1:CB$87,Formula!J35,32))</f>
        <v>5.9187500000000002</v>
      </c>
      <c r="DA35" s="42">
        <f>Formula!C35*(INDEX(Properties!A$1:CB$87,Formula!B35,32))+Formula!E35*(INDEX(Properties!A$1:CB$87,Formula!D35,32))+Formula!G35*(INDEX(Properties!A$1:CB$87,Formula!F35,32))+Formula!I35*(INDEX(Properties!A$1:CB$87,Formula!H35,32))+Formula!K35*(INDEX(Properties!A$1:CB$87,Formula!J35,32))</f>
        <v>47.35</v>
      </c>
      <c r="DB35" s="42">
        <f>VARP(IF(INDEX(Properties!A$1:CB$87,Formula!B35,32)&lt;&gt;"",INDEX(Properties!A$1:CB$87,Formula!B35,32)),IF(INDEX(Properties!A$1:CB$87,Formula!D35,32)&lt;&gt;"",INDEX(Properties!A$1:CB$87,Formula!D35,32)),IF(INDEX(Properties!A$1:CB$87,Formula!F35,32)&lt;&gt;"",INDEX(Properties!A$1:CB$87,Formula!F35,32)),IF(INDEX(Properties!A$1:CB$87,Formula!H35,32)&lt;&gt;"",INDEX(Properties!A$1:CB$87,Formula!H35,32)),IF(INDEX(Properties!A$1:CB$87,Formula!J35,32)&lt;&gt;"",INDEX(Properties!A$1:CB$87,Formula!J35,32)))</f>
        <v>7.7316960000000021</v>
      </c>
      <c r="DC35" s="42">
        <f>MAX(INDEX(Properties!A$1:CB$87,Formula!B35,32),INDEX(Properties!A$1:CB$87,Formula!D35,32),INDEX(Properties!A$1:CB$87,Formula!F35,32),INDEX(Properties!A$1:CB$87,Formula!H35,32),INDEX(Properties!A$1:CB$87,Formula!J35,32))</f>
        <v>7.54</v>
      </c>
      <c r="DD35" s="42">
        <f>MIN(IF(INDEX(Properties!A$1:CB$87,Formula!B35,32)=0,10^6,INDEX(Properties!A$1:CB$87,Formula!B35,32)),IF(INDEX(Properties!A$1:CB$87,Formula!D35,32)=0,10^6,INDEX(Properties!A$1:CB$87,Formula!D35,32)),IF(INDEX(Properties!A$1:CB$87,Formula!F35,32)=0,10^6,INDEX(Properties!A$1:CB$87,Formula!F35,32)),IF(INDEX(Properties!A$1:CB$87,Formula!H35,32)=0,10^6,INDEX(Properties!A$1:CB$87,Formula!H35,32)),IF(INDEX(Properties!A$1:CB$87,Formula!J35,32)=0,10^6,INDEX(Properties!A$1:CB$87,Formula!J35,32)))</f>
        <v>3.1</v>
      </c>
      <c r="DE35" s="42">
        <f t="shared" si="17"/>
        <v>4.4399999999999995</v>
      </c>
      <c r="DF35" s="60">
        <f>((Formula!C35)/(Formula!C35+Formula!E35+Formula!G35+Formula!I35+Formula!K35))*(INDEX(Properties!A$1:CB$87,Formula!B35,34))+((Formula!E35)/(Formula!C35+Formula!E35+Formula!G35+Formula!I35+Formula!K35))*(INDEX(Properties!A$1:CB$87,Formula!D35,34))+((Formula!G35)/(Formula!C35+Formula!E35+Formula!G35+Formula!I35+Formula!K35))*(INDEX(Properties!A$1:CB$87,Formula!F35,34))+((Formula!I35)/(Formula!C35+Formula!E35+Formula!G35+Formula!I35+Formula!K35))*(INDEX(Properties!A$1:CB$87,Formula!H35,34))+((Formula!K35)/(Formula!C35+Formula!E35+Formula!G35+Formula!I35+Formula!K35))*(INDEX(Properties!A$1:CB$87,Formula!J35,34))</f>
        <v>2.7012499999999999</v>
      </c>
      <c r="DG35" s="60">
        <f>Formula!C35*(INDEX(Properties!A$1:CB$87,Formula!B35,34))+Formula!E35*(INDEX(Properties!A$1:CB$87,Formula!D35,34))+Formula!G35*(INDEX(Properties!A$1:CB$87,Formula!F35,34))+Formula!I35*(INDEX(Properties!A$1:CB$87,Formula!H35,34))+Formula!K35*(INDEX(Properties!A$1:CB$87,Formula!J35,34))</f>
        <v>21.61</v>
      </c>
      <c r="DH35" s="60">
        <f>VARP(IF(INDEX(Properties!A$1:CB$87,Formula!B35,34)&lt;&gt;"",INDEX(Properties!A$1:CB$87,Formula!B35,34)),IF(INDEX(Properties!A$1:CB$87,Formula!D35,34)&lt;&gt;"",INDEX(Properties!A$1:CB$87,Formula!D35,34)),IF(INDEX(Properties!A$1:CB$87,Formula!F35,34)&lt;&gt;"",INDEX(Properties!A$1:CB$87,Formula!F35,34)),IF(INDEX(Properties!A$1:CB$87,Formula!H35,34)&lt;&gt;"",INDEX(Properties!A$1:CB$87,Formula!H35,34)),IF(INDEX(Properties!A$1:CB$87,Formula!J35,34)&lt;&gt;"",INDEX(Properties!A$1:CB$87,Formula!J35,34)))</f>
        <v>1.7462640000000003</v>
      </c>
      <c r="DI35" s="60">
        <f>MAX(INDEX(Properties!A$1:CB$87,Formula!B35,34),INDEX(Properties!A$1:CB$87,Formula!D35,34),INDEX(Properties!A$1:CB$87,Formula!F35,34),INDEX(Properties!A$1:CB$87,Formula!H35,34),INDEX(Properties!A$1:CB$87,Formula!J35,34))</f>
        <v>3.61</v>
      </c>
      <c r="DJ35" s="60">
        <f>MIN(IF(INDEX(Properties!A$1:CB$87,Formula!B35,34)=0,10^6,INDEX(Properties!A$1:CB$87,Formula!B35,34)),IF(INDEX(Properties!A$1:CB$87,Formula!D35,34)=0,10^6,INDEX(Properties!A$1:CB$87,Formula!D35,34)),IF(INDEX(Properties!A$1:CB$87,Formula!F35,34)=0,10^6,INDEX(Properties!A$1:CB$87,Formula!F35,34)),IF(INDEX(Properties!A$1:CB$87,Formula!H35,34)=0,10^6,INDEX(Properties!A$1:CB$87,Formula!H35,34)),IF(INDEX(Properties!A$1:CB$87,Formula!J35,34)=0,10^6,INDEX(Properties!A$1:CB$87,Formula!J35,34)))</f>
        <v>1.0900000000000001</v>
      </c>
      <c r="DK35" s="60">
        <f t="shared" si="18"/>
        <v>2.5199999999999996</v>
      </c>
      <c r="DL35" s="45">
        <f>((Formula!C35)/(Formula!C35+Formula!E35+Formula!G35+Formula!I35+Formula!K35))*(INDEX(Properties!A$1:CB$87,Formula!B35,39))+((Formula!E35)/(Formula!C35+Formula!E35+Formula!G35+Formula!I35+Formula!K35))*(INDEX(Properties!A$1:CB$87,Formula!D35,39))+((Formula!G35)/(Formula!C35+Formula!E35+Formula!G35+Formula!I35+Formula!K35))*(INDEX(Properties!A$1:CB$87,Formula!F35,39))+((Formula!I35)/(Formula!C35+Formula!E35+Formula!G35+Formula!I35+Formula!K35))*(INDEX(Properties!A$1:CB$87,Formula!H35,39))+((Formula!K35)/(Formula!C35+Formula!E35+Formula!G35+Formula!I35+Formula!K35))*(INDEX(Properties!A$1:CB$87,Formula!J35,39))</f>
        <v>1.1025</v>
      </c>
      <c r="DM35" s="45">
        <f>Formula!C35*(INDEX(Properties!A$1:CB$87,Formula!B35,39))+Formula!E35*(INDEX(Properties!A$1:CB$87,Formula!D35,39))+Formula!G35*(INDEX(Properties!A$1:CB$87,Formula!F35,39))+Formula!I35*(INDEX(Properties!A$1:CB$87,Formula!H35,39))+Formula!K35*(INDEX(Properties!A$1:CB$87,Formula!J35,39))</f>
        <v>8.82</v>
      </c>
      <c r="DN35" s="45">
        <f>VARP(IF(INDEX(Properties!A$1:CB$87,Formula!B35,39)&lt;&gt;"",INDEX(Properties!A$1:CB$87,Formula!B35,39)),IF(INDEX(Properties!A$1:CB$87,Formula!D35,39)&lt;&gt;"",INDEX(Properties!A$1:CB$87,Formula!D35,39)),IF(INDEX(Properties!A$1:CB$87,Formula!F35,39)&lt;&gt;"",INDEX(Properties!A$1:CB$87,Formula!F35,39)),IF(INDEX(Properties!A$1:CB$87,Formula!H35,39)&lt;&gt;"",INDEX(Properties!A$1:CB$87,Formula!H35,39)),IF(INDEX(Properties!A$1:CB$87,Formula!J35,39)&lt;&gt;"",INDEX(Properties!A$1:CB$87,Formula!J35,39)))</f>
        <v>0.91598400000000002</v>
      </c>
      <c r="DO35" s="45">
        <f>MAX(INDEX(Properties!A$1:CB$87,Formula!B35,39),INDEX(Properties!A$1:CB$87,Formula!D35,39),INDEX(Properties!A$1:CB$87,Formula!F35,39),INDEX(Properties!A$1:CB$87,Formula!H35,39),INDEX(Properties!A$1:CB$87,Formula!J35,39))</f>
        <v>2.33</v>
      </c>
      <c r="DP35" s="45">
        <f>MIN(IF(INDEX(Properties!A$1:CB$87,Formula!B35,39)=0,10^6,INDEX(Properties!A$1:CB$87,Formula!B35,39)),IF(INDEX(Properties!A$1:CB$87,Formula!D35,39)=0,10^6,INDEX(Properties!A$1:CB$87,Formula!D35,39)),IF(INDEX(Properties!A$1:CB$87,Formula!F35,39)=0,10^6,INDEX(Properties!A$1:CB$87,Formula!F35,39)),IF(INDEX(Properties!A$1:CB$87,Formula!H35,39)=0,10^6,INDEX(Properties!A$1:CB$87,Formula!H35,39)),IF(INDEX(Properties!A$1:CB$87,Formula!J35,39)=0,10^6,INDEX(Properties!A$1:CB$87,Formula!J35,39)))</f>
        <v>0.48</v>
      </c>
      <c r="DQ35" s="45">
        <f t="shared" si="19"/>
        <v>1.85</v>
      </c>
      <c r="DR35" s="63">
        <f>((Formula!C35)/(Formula!C35+Formula!E35+Formula!G35+Formula!I35+Formula!K35))*(INDEX(Properties!A$1:CB$87,Formula!B35,40))+((Formula!E35)/(Formula!C35+Formula!E35+Formula!G35+Formula!I35+Formula!K35))*(INDEX(Properties!A$1:CB$87,Formula!D35,40))+((Formula!G35)/(Formula!C35+Formula!E35+Formula!G35+Formula!I35+Formula!K35))*(INDEX(Properties!A$1:CB$87,Formula!F35,40))+((Formula!I35)/(Formula!C35+Formula!E35+Formula!G35+Formula!I35+Formula!K35))*(INDEX(Properties!A$1:CB$87,Formula!H35,40))+((Formula!K35)/(Formula!C35+Formula!E35+Formula!G35+Formula!I35+Formula!K35))*(INDEX(Properties!A$1:CB$87,Formula!J35,40))</f>
        <v>1.0287500000000001</v>
      </c>
      <c r="DS35" s="63">
        <f>Formula!C35*(INDEX(Properties!A$1:CB$87,Formula!B35,40))+Formula!E35*(INDEX(Properties!A$1:CB$87,Formula!D35,40))+Formula!G35*(INDEX(Properties!A$1:CB$87,Formula!F35,40))+Formula!I35*(INDEX(Properties!A$1:CB$87,Formula!H35,40))+Formula!K35*(INDEX(Properties!A$1:CB$87,Formula!J35,40))</f>
        <v>8.23</v>
      </c>
      <c r="DT35" s="63">
        <f>VARP(IF(INDEX(Properties!A$1:CB$87,Formula!B35,40)&lt;&gt;"",INDEX(Properties!A$1:CB$87,Formula!B35,40)),IF(INDEX(Properties!A$1:CB$87,Formula!D35,40)&lt;&gt;"",INDEX(Properties!A$1:CB$87,Formula!D35,40)),IF(INDEX(Properties!A$1:CB$87,Formula!F35,40)&lt;&gt;"",INDEX(Properties!A$1:CB$87,Formula!F35,40)),IF(INDEX(Properties!A$1:CB$87,Formula!H35,40)&lt;&gt;"",INDEX(Properties!A$1:CB$87,Formula!H35,40)),IF(INDEX(Properties!A$1:CB$87,Formula!J35,40)&lt;&gt;"",INDEX(Properties!A$1:CB$87,Formula!J35,40)))</f>
        <v>0.44732000000000016</v>
      </c>
      <c r="DU35" s="63">
        <f>MAX(INDEX(Properties!A$1:CB$87,Formula!B35,40),INDEX(Properties!A$1:CB$87,Formula!D35,40),INDEX(Properties!A$1:CB$87,Formula!F35,40),INDEX(Properties!A$1:CB$87,Formula!H35,40),INDEX(Properties!A$1:CB$87,Formula!J35,40))</f>
        <v>1.61</v>
      </c>
      <c r="DV35" s="63">
        <f>MIN(IF(INDEX(Properties!A$1:CB$87,Formula!B35,40)=0,10^6,INDEX(Properties!A$1:CB$87,Formula!B35,40)),IF(INDEX(Properties!A$1:CB$87,Formula!D35,40)=0,10^6,INDEX(Properties!A$1:CB$87,Formula!D35,40)),IF(INDEX(Properties!A$1:CB$87,Formula!F35,40)=0,10^6,INDEX(Properties!A$1:CB$87,Formula!F35,40)),IF(INDEX(Properties!A$1:CB$87,Formula!H35,40)=0,10^6,INDEX(Properties!A$1:CB$87,Formula!H35,40)),IF(INDEX(Properties!A$1:CB$87,Formula!J35,40)=0,10^6,INDEX(Properties!A$1:CB$87,Formula!J35,40)))</f>
        <v>0.73</v>
      </c>
      <c r="DW35" s="63">
        <f t="shared" si="20"/>
        <v>0.88000000000000012</v>
      </c>
      <c r="DX35" s="75">
        <f>((Formula!C35)/(Formula!C35+Formula!E35+Formula!G35+Formula!I35+Formula!K35))*(INDEX(Properties!A$1:CB$87,Formula!B35,41))+((Formula!E35)/(Formula!C35+Formula!E35+Formula!G35+Formula!I35+Formula!K35))*(INDEX(Properties!A$1:CB$87,Formula!D35,41))+((Formula!G35)/(Formula!C35+Formula!E35+Formula!G35+Formula!I35+Formula!K35))*(INDEX(Properties!A$1:CB$87,Formula!F35,41))+((Formula!I35)/(Formula!C35+Formula!E35+Formula!G35+Formula!I35+Formula!K35))*(INDEX(Properties!A$1:CB$87,Formula!H35,41))+((Formula!K35)/(Formula!C35+Formula!E35+Formula!G35+Formula!I35+Formula!K35))*(INDEX(Properties!A$1:CB$87,Formula!J35,41))</f>
        <v>1.1825000000000001</v>
      </c>
      <c r="DY35" s="75">
        <f>Formula!C35*(INDEX(Properties!A$1:CB$87,Formula!B35,41))+Formula!E35*(INDEX(Properties!A$1:CB$87,Formula!D35,41))+Formula!G35*(INDEX(Properties!A$1:CB$87,Formula!F35,41))+Formula!I35*(INDEX(Properties!A$1:CB$87,Formula!H35,41))+Formula!K35*(INDEX(Properties!A$1:CB$87,Formula!J35,41))</f>
        <v>9.4600000000000009</v>
      </c>
      <c r="DZ35" s="75">
        <f>VARP(IF(INDEX(Properties!A$1:CB$87,Formula!B35,41)&lt;&gt;"",INDEX(Properties!A$1:CB$87,Formula!B35,41)),IF(INDEX(Properties!A$1:CB$87,Formula!D35,41)&lt;&gt;"",INDEX(Properties!A$1:CB$87,Formula!D35,41)),IF(INDEX(Properties!A$1:CB$87,Formula!F35,41)&lt;&gt;"",INDEX(Properties!A$1:CB$87,Formula!F35,41)),IF(INDEX(Properties!A$1:CB$87,Formula!H35,41)&lt;&gt;"",INDEX(Properties!A$1:CB$87,Formula!H35,41)),IF(INDEX(Properties!A$1:CB$87,Formula!J35,41)&lt;&gt;"",INDEX(Properties!A$1:CB$87,Formula!J35,41)))</f>
        <v>0.30457600000000012</v>
      </c>
      <c r="EA35" s="75">
        <f>MAX(INDEX(Properties!A$1:CB$87,Formula!B35,41),INDEX(Properties!A$1:CB$87,Formula!D35,41),INDEX(Properties!A$1:CB$87,Formula!F35,41),INDEX(Properties!A$1:CB$87,Formula!H35,41),INDEX(Properties!A$1:CB$87,Formula!J35,41))</f>
        <v>1.26</v>
      </c>
      <c r="EB35" s="75">
        <f>MIN(IF(INDEX(Properties!A$1:CB$87,Formula!B35,41)=0,10^6,INDEX(Properties!A$1:CB$87,Formula!B35,41)),IF(INDEX(Properties!A$1:CB$87,Formula!D35,41)=0,10^6,INDEX(Properties!A$1:CB$87,Formula!D35,41)),IF(INDEX(Properties!A$1:CB$87,Formula!F35,41)=0,10^6,INDEX(Properties!A$1:CB$87,Formula!F35,41)),IF(INDEX(Properties!A$1:CB$87,Formula!H35,41)=0,10^6,INDEX(Properties!A$1:CB$87,Formula!H35,41)),IF(INDEX(Properties!A$1:CB$87,Formula!J35,41)=0,10^6,INDEX(Properties!A$1:CB$87,Formula!J35,41)))</f>
        <v>1</v>
      </c>
      <c r="EC35" s="75">
        <f t="shared" si="21"/>
        <v>0.26</v>
      </c>
      <c r="ED35" s="48">
        <f>((Formula!C35)/(Formula!C35+Formula!E35+Formula!G35+Formula!I35+Formula!K35))*(INDEX(Properties!A$1:CB$87,Formula!B35,45))+((Formula!E35)/(Formula!C35+Formula!E35+Formula!G35+Formula!I35+Formula!K35))*(INDEX(Properties!A$1:CB$87,Formula!D35,45))+((Formula!G35)/(Formula!C35+Formula!E35+Formula!G35+Formula!I35+Formula!K35))*(INDEX(Properties!A$1:CB$87,Formula!F35,45))+((Formula!I35)/(Formula!C35+Formula!E35+Formula!G35+Formula!I35+Formula!K35))*(INDEX(Properties!A$1:CB$87,Formula!H35,45))+((Formula!K35)/(Formula!C35+Formula!E35+Formula!G35+Formula!I35+Formula!K35))*(INDEX(Properties!A$1:CB$87,Formula!J35,45))</f>
        <v>1.59375</v>
      </c>
      <c r="EE35" s="48">
        <f>Formula!C35*(INDEX(Properties!A$1:CB$87,Formula!B35,45))+Formula!E35*(INDEX(Properties!A$1:CB$87,Formula!D35,45))+Formula!G35*(INDEX(Properties!A$1:CB$87,Formula!F35,45))+Formula!I35*(INDEX(Properties!A$1:CB$87,Formula!H35,45))+Formula!K35*(INDEX(Properties!A$1:CB$87,Formula!J35,45))</f>
        <v>12.75</v>
      </c>
      <c r="EF35" s="48">
        <f>VARP(IF(INDEX(Properties!A$1:CB$87,Formula!B35,45)&lt;&gt;"",INDEX(Properties!A$1:CB$87,Formula!B35,45)),IF(INDEX(Properties!A$1:CB$87,Formula!D35,45)&lt;&gt;"",INDEX(Properties!A$1:CB$87,Formula!D35,45)),IF(INDEX(Properties!A$1:CB$87,Formula!F35,45)&lt;&gt;"",INDEX(Properties!A$1:CB$87,Formula!F35,45)),IF(INDEX(Properties!A$1:CB$87,Formula!H35,45)&lt;&gt;"",INDEX(Properties!A$1:CB$87,Formula!H35,45)),IF(INDEX(Properties!A$1:CB$87,Formula!J35,45)&lt;&gt;"",INDEX(Properties!A$1:CB$87,Formula!J35,45)))</f>
        <v>2.4954160000000005</v>
      </c>
      <c r="EG35" s="48">
        <f>MAX(INDEX(Properties!A$1:CB$87,Formula!B35,45),INDEX(Properties!A$1:CB$87,Formula!D35,45),INDEX(Properties!A$1:CB$87,Formula!F35,45),INDEX(Properties!A$1:CB$87,Formula!H35,45),INDEX(Properties!A$1:CB$87,Formula!J35,45))</f>
        <v>3.91</v>
      </c>
      <c r="EH35" s="48">
        <f>MIN(IF(INDEX(Properties!A$1:CB$87,Formula!B35,45)=0,10^6,INDEX(Properties!A$1:CB$87,Formula!B35,45)),IF(INDEX(Properties!A$1:CB$87,Formula!D35,45)=0,10^6,INDEX(Properties!A$1:CB$87,Formula!D35,45)),IF(INDEX(Properties!A$1:CB$87,Formula!F35,45)=0,10^6,INDEX(Properties!A$1:CB$87,Formula!F35,45)),IF(INDEX(Properties!A$1:CB$87,Formula!H35,45)=0,10^6,INDEX(Properties!A$1:CB$87,Formula!H35,45)),IF(INDEX(Properties!A$1:CB$87,Formula!J35,45)=0,10^6,INDEX(Properties!A$1:CB$87,Formula!J35,45)))</f>
        <v>0.47</v>
      </c>
      <c r="EI35" s="48">
        <f t="shared" si="22"/>
        <v>3.4400000000000004</v>
      </c>
      <c r="EJ35" s="66">
        <f>((Formula!C35)/(Formula!C35+Formula!E35+Formula!G35+Formula!I35+Formula!K35))*(INDEX(Properties!A$1:CB$87,Formula!B35,46))+((Formula!E35)/(Formula!C35+Formula!E35+Formula!G35+Formula!I35+Formula!K35))*(INDEX(Properties!A$1:CB$87,Formula!D35,46))+((Formula!G35)/(Formula!C35+Formula!E35+Formula!G35+Formula!I35+Formula!K35))*(INDEX(Properties!A$1:CB$87,Formula!F35,46))+((Formula!I35)/(Formula!C35+Formula!E35+Formula!G35+Formula!I35+Formula!K35))*(INDEX(Properties!A$1:CB$87,Formula!H35,46))+((Formula!K35)/(Formula!C35+Formula!E35+Formula!G35+Formula!I35+Formula!K35))*(INDEX(Properties!A$1:CB$87,Formula!J35,46))</f>
        <v>1.1200000000000001</v>
      </c>
      <c r="EK35" s="66">
        <f>Formula!C35*(INDEX(Properties!A$1:CB$87,Formula!B35,46))+Formula!E35*(INDEX(Properties!A$1:CB$87,Formula!D35,46))+Formula!G35*(INDEX(Properties!A$1:CB$87,Formula!F35,46))+Formula!I35*(INDEX(Properties!A$1:CB$87,Formula!H35,46))+Formula!K35*(INDEX(Properties!A$1:CB$87,Formula!J35,46))</f>
        <v>8.9600000000000009</v>
      </c>
      <c r="EL35" s="66">
        <f>VARP(IF(INDEX(Properties!A$1:CB$87,Formula!B35,46)&lt;&gt;"",INDEX(Properties!A$1:CB$87,Formula!B35,46)),IF(INDEX(Properties!A$1:CB$87,Formula!D35,46)&lt;&gt;"",INDEX(Properties!A$1:CB$87,Formula!D35,46)),IF(INDEX(Properties!A$1:CB$87,Formula!F35,46)&lt;&gt;"",INDEX(Properties!A$1:CB$87,Formula!F35,46)),IF(INDEX(Properties!A$1:CB$87,Formula!H35,46)&lt;&gt;"",INDEX(Properties!A$1:CB$87,Formula!H35,46)),IF(INDEX(Properties!A$1:CB$87,Formula!J35,46)&lt;&gt;"",INDEX(Properties!A$1:CB$87,Formula!J35,46)))</f>
        <v>0.26893600000000001</v>
      </c>
      <c r="EM35" s="66">
        <f>MAX(INDEX(Properties!A$1:CB$87,Formula!B35,46),INDEX(Properties!A$1:CB$87,Formula!D35,46),INDEX(Properties!A$1:CB$87,Formula!F35,46),INDEX(Properties!A$1:CB$87,Formula!H35,46),INDEX(Properties!A$1:CB$87,Formula!J35,46))</f>
        <v>1.21</v>
      </c>
      <c r="EN35" s="66">
        <f>MIN(IF(INDEX(Properties!A$1:CB$87,Formula!B35,46)=0,10^6,INDEX(Properties!A$1:CB$87,Formula!B35,46)),IF(INDEX(Properties!A$1:CB$87,Formula!D35,46)=0,10^6,INDEX(Properties!A$1:CB$87,Formula!D35,46)),IF(INDEX(Properties!A$1:CB$87,Formula!F35,46)=0,10^6,INDEX(Properties!A$1:CB$87,Formula!F35,46)),IF(INDEX(Properties!A$1:CB$87,Formula!H35,46)=0,10^6,INDEX(Properties!A$1:CB$87,Formula!H35,46)),IF(INDEX(Properties!A$1:CB$87,Formula!J35,46)=0,10^6,INDEX(Properties!A$1:CB$87,Formula!J35,46)))</f>
        <v>0.75</v>
      </c>
      <c r="EO35" s="66">
        <f t="shared" si="23"/>
        <v>0.45999999999999996</v>
      </c>
      <c r="EP35" s="81">
        <f>((Formula!C35)/(Formula!C35+Formula!E35+Formula!G35+Formula!I35+Formula!K35))*(INDEX(Properties!A$1:CB$87,Formula!B35,52))+((Formula!E35)/(Formula!C35+Formula!E35+Formula!G35+Formula!I35+Formula!K35))*(INDEX(Properties!A$1:CB$87,Formula!D35,52))+((Formula!G35)/(Formula!C35+Formula!E35+Formula!G35+Formula!I35+Formula!K35))*(INDEX(Properties!A$1:CB$87,Formula!F35,52))+((Formula!I35)/(Formula!C35+Formula!E35+Formula!G35+Formula!I35+Formula!K35))*(INDEX(Properties!A$1:CB$87,Formula!H35,52))+((Formula!K35)/(Formula!C35+Formula!E35+Formula!G35+Formula!I35+Formula!K35))*(INDEX(Properties!A$1:CB$87,Formula!J35,52))</f>
        <v>8.1956249999999997</v>
      </c>
      <c r="EQ35" s="81">
        <f>Formula!C35*(INDEX(Properties!A$1:CB$87,Formula!B35,52))+Formula!E35*(INDEX(Properties!A$1:CB$87,Formula!D35,52))+Formula!G35*(INDEX(Properties!A$1:CB$87,Formula!F35,52))+Formula!I35*(INDEX(Properties!A$1:CB$87,Formula!H35,52))+Formula!K35*(INDEX(Properties!A$1:CB$87,Formula!J35,52))</f>
        <v>65.564999999999998</v>
      </c>
      <c r="ER35" s="81">
        <f>VARP(IF(INDEX(Properties!A$1:CB$87,Formula!B35,52)&lt;&gt;"",INDEX(Properties!A$1:CB$87,Formula!B35,52)),IF(INDEX(Properties!A$1:CB$87,Formula!D35,52)&lt;&gt;"",INDEX(Properties!A$1:CB$87,Formula!D35,52)),IF(INDEX(Properties!A$1:CB$87,Formula!F35,52)&lt;&gt;"",INDEX(Properties!A$1:CB$87,Formula!F35,52)),IF(INDEX(Properties!A$1:CB$87,Formula!H35,52)&lt;&gt;"",INDEX(Properties!A$1:CB$87,Formula!H35,52)),IF(INDEX(Properties!A$1:CB$87,Formula!J35,52)&lt;&gt;"",INDEX(Properties!A$1:CB$87,Formula!J35,52)))</f>
        <v>92.70115183999998</v>
      </c>
      <c r="ES35" s="81">
        <f>MAX(INDEX(Properties!A$1:CB$87,Formula!B35,52),INDEX(Properties!A$1:CB$87,Formula!D35,52),INDEX(Properties!A$1:CB$87,Formula!F35,52),INDEX(Properties!A$1:CB$87,Formula!H35,52),INDEX(Properties!A$1:CB$87,Formula!J35,52))</f>
        <v>23.5</v>
      </c>
      <c r="ET35" s="81">
        <f>MIN(IF(INDEX(Properties!A$1:CB$87,Formula!B35,52)=0,10^6,INDEX(Properties!A$1:CB$87,Formula!B35,52)),IF(INDEX(Properties!A$1:CB$87,Formula!D35,52)=0,10^6,INDEX(Properties!A$1:CB$87,Formula!D35,52)),IF(INDEX(Properties!A$1:CB$87,Formula!F35,52)=0,10^6,INDEX(Properties!A$1:CB$87,Formula!F35,52)),IF(INDEX(Properties!A$1:CB$87,Formula!H35,52)=0,10^6,INDEX(Properties!A$1:CB$87,Formula!H35,52)),IF(INDEX(Properties!A$1:CB$87,Formula!J35,52)=0,10^6,INDEX(Properties!A$1:CB$87,Formula!J35,52)))</f>
        <v>0.79300000000000004</v>
      </c>
      <c r="EU35" s="81">
        <f t="shared" si="24"/>
        <v>22.707000000000001</v>
      </c>
      <c r="EV35" s="39">
        <f>((Formula!C35)/(Formula!C35+Formula!E35+Formula!G35+Formula!I35+Formula!K35))*(INDEX(Properties!A$1:CB$87,Formula!B35,53))+((Formula!E35)/(Formula!C35+Formula!E35+Formula!G35+Formula!I35+Formula!K35))*(INDEX(Properties!A$1:CB$87,Formula!D35,53))+((Formula!G35)/(Formula!C35+Formula!E35+Formula!G35+Formula!I35+Formula!K35))*(INDEX(Properties!A$1:CB$87,Formula!F35,53))+((Formula!I35)/(Formula!C35+Formula!E35+Formula!G35+Formula!I35+Formula!K35))*(INDEX(Properties!A$1:CB$87,Formula!H35,53))+((Formula!K35)/(Formula!C35+Formula!E35+Formula!G35+Formula!I35+Formula!K35))*(INDEX(Properties!A$1:CB$87,Formula!J35,53))</f>
        <v>672.40000000000009</v>
      </c>
      <c r="EW35" s="39">
        <f>Formula!C35*(INDEX(Properties!A$1:CB$87,Formula!B35,53))+Formula!E35*(INDEX(Properties!A$1:CB$87,Formula!D35,53))+Formula!G35*(INDEX(Properties!A$1:CB$87,Formula!F35,53))+Formula!I35*(INDEX(Properties!A$1:CB$87,Formula!H35,53))+Formula!K35*(INDEX(Properties!A$1:CB$87,Formula!J35,53))</f>
        <v>5379.2000000000007</v>
      </c>
      <c r="EX35" s="39">
        <f>VARP(IF(INDEX(Properties!A$1:CB$87,Formula!B35,53)&lt;&gt;"",INDEX(Properties!A$1:CB$87,Formula!B35,53)),IF(INDEX(Properties!A$1:CB$87,Formula!D35,53)&lt;&gt;"",INDEX(Properties!A$1:CB$87,Formula!D35,53)),IF(INDEX(Properties!A$1:CB$87,Formula!F35,53)&lt;&gt;"",INDEX(Properties!A$1:CB$87,Formula!F35,53)),IF(INDEX(Properties!A$1:CB$87,Formula!H35,53)&lt;&gt;"",INDEX(Properties!A$1:CB$87,Formula!H35,53)),IF(INDEX(Properties!A$1:CB$87,Formula!J35,53)&lt;&gt;"",INDEX(Properties!A$1:CB$87,Formula!J35,53)))</f>
        <v>740234.32540000021</v>
      </c>
      <c r="EY35" s="39">
        <f>MAX(INDEX(Properties!A$1:CB$87,Formula!B35,53),INDEX(Properties!A$1:CB$87,Formula!D35,53),INDEX(Properties!A$1:CB$87,Formula!F35,53),INDEX(Properties!A$1:CB$87,Formula!H35,53),INDEX(Properties!A$1:CB$87,Formula!J35,53))</f>
        <v>1933.15</v>
      </c>
      <c r="EZ35" s="39">
        <f>MIN(IF(INDEX(Properties!A$1:CB$87,Formula!B35,53)=0,10^6,INDEX(Properties!A$1:CB$87,Formula!B35,53)),IF(INDEX(Properties!A$1:CB$87,Formula!D35,53)=0,10^6,INDEX(Properties!A$1:CB$87,Formula!D35,53)),IF(INDEX(Properties!A$1:CB$87,Formula!F35,53)=0,10^6,INDEX(Properties!A$1:CB$87,Formula!F35,53)),IF(INDEX(Properties!A$1:CB$87,Formula!H35,53)=0,10^6,INDEX(Properties!A$1:CB$87,Formula!H35,53)),IF(INDEX(Properties!A$1:CB$87,Formula!J35,53)=0,10^6,INDEX(Properties!A$1:CB$87,Formula!J35,53)))</f>
        <v>54.749999999999972</v>
      </c>
      <c r="FA35" s="39">
        <f t="shared" si="25"/>
        <v>1878.4</v>
      </c>
      <c r="FB35" s="54">
        <f>((Formula!C35)/(Formula!C35+Formula!E35+Formula!G35+Formula!I35+Formula!K35))*(INDEX(Properties!A$1:CB$87,Formula!B35,54))+((Formula!E35)/(Formula!C35+Formula!E35+Formula!G35+Formula!I35+Formula!K35))*(INDEX(Properties!A$1:CB$87,Formula!D35,54))+((Formula!G35)/(Formula!C35+Formula!E35+Formula!G35+Formula!I35+Formula!K35))*(INDEX(Properties!A$1:CB$87,Formula!F35,54))+((Formula!I35)/(Formula!C35+Formula!E35+Formula!G35+Formula!I35+Formula!K35))*(INDEX(Properties!A$1:CB$87,Formula!H35,54))+((Formula!K35)/(Formula!C35+Formula!E35+Formula!G35+Formula!I35+Formula!K35))*(INDEX(Properties!A$1:CB$87,Formula!J35,54))</f>
        <v>1387.9</v>
      </c>
      <c r="FC35" s="54">
        <f>Formula!C35*(INDEX(Properties!A$1:CB$87,Formula!B35,54))+Formula!E35*(INDEX(Properties!A$1:CB$87,Formula!D35,54))+Formula!G35*(INDEX(Properties!A$1:CB$87,Formula!F35,54))+Formula!I35*(INDEX(Properties!A$1:CB$87,Formula!H35,54))+Formula!K35*(INDEX(Properties!A$1:CB$87,Formula!J35,54))</f>
        <v>11103.2</v>
      </c>
      <c r="FD35" s="54">
        <f>VARP(IF(INDEX(Properties!A$1:CB$87,Formula!B35,54)&lt;&gt;"",INDEX(Properties!A$1:CB$87,Formula!B35,54)),IF(INDEX(Properties!A$1:CB$87,Formula!D35,54)&lt;&gt;"",INDEX(Properties!A$1:CB$87,Formula!D35,54)),IF(INDEX(Properties!A$1:CB$87,Formula!F35,54)&lt;&gt;"",INDEX(Properties!A$1:CB$87,Formula!F35,54)),IF(INDEX(Properties!A$1:CB$87,Formula!H35,54)&lt;&gt;"",INDEX(Properties!A$1:CB$87,Formula!H35,54)),IF(INDEX(Properties!A$1:CB$87,Formula!J35,54)&lt;&gt;"",INDEX(Properties!A$1:CB$87,Formula!J35,54)))</f>
        <v>2980039.2694000006</v>
      </c>
      <c r="FE35" s="54">
        <f>MAX(INDEX(Properties!A$1:CB$87,Formula!B35,54),INDEX(Properties!A$1:CB$87,Formula!D35,54),INDEX(Properties!A$1:CB$87,Formula!F35,54),INDEX(Properties!A$1:CB$87,Formula!H35,54),INDEX(Properties!A$1:CB$87,Formula!J35,54))</f>
        <v>3560.15</v>
      </c>
      <c r="FF35" s="54">
        <f>MIN(IF(INDEX(Properties!A$1:CB$87,Formula!B35,54)=0,10^6,INDEX(Properties!A$1:CB$87,Formula!B35,54)),IF(INDEX(Properties!A$1:CB$87,Formula!D35,54)=0,10^6,INDEX(Properties!A$1:CB$87,Formula!D35,54)),IF(INDEX(Properties!A$1:CB$87,Formula!F35,54)=0,10^6,INDEX(Properties!A$1:CB$87,Formula!F35,54)),IF(INDEX(Properties!A$1:CB$87,Formula!H35,54)=0,10^6,INDEX(Properties!A$1:CB$87,Formula!H35,54)),IF(INDEX(Properties!A$1:CB$87,Formula!J35,54)=0,10^6,INDEX(Properties!A$1:CB$87,Formula!J35,54)))</f>
        <v>90.149999999999977</v>
      </c>
      <c r="FG35" s="54">
        <f t="shared" si="26"/>
        <v>3470</v>
      </c>
      <c r="FH35" s="69">
        <f>((Formula!C35)/(Formula!C35+Formula!E35+Formula!G35+Formula!I35+Formula!K35))*(INDEX(Properties!A$1:CB$87,Formula!B35,55))+((Formula!E35)/(Formula!C35+Formula!E35+Formula!G35+Formula!I35+Formula!K35))*(INDEX(Properties!A$1:CB$87,Formula!D35,55))+((Formula!G35)/(Formula!C35+Formula!E35+Formula!G35+Formula!I35+Formula!K35))*(INDEX(Properties!A$1:CB$87,Formula!F35,55))+((Formula!I35)/(Formula!C35+Formula!E35+Formula!G35+Formula!I35+Formula!K35))*(INDEX(Properties!A$1:CB$87,Formula!H35,55))+((Formula!K35)/(Formula!C35+Formula!E35+Formula!G35+Formula!I35+Formula!K35))*(INDEX(Properties!A$1:CB$87,Formula!J35,55))</f>
        <v>2.5433937499999999</v>
      </c>
      <c r="FI35" s="69">
        <f>Formula!C35*(INDEX(Properties!A$1:CB$87,Formula!B35,55))+Formula!E35*(INDEX(Properties!A$1:CB$87,Formula!D35,54))+Formula!G35*(INDEX(Properties!A$1:CB$87,Formula!F35,55))+Formula!I35*(INDEX(Properties!A$1:CB$87,Formula!H35,55))+Formula!K35*(INDEX(Properties!A$1:CB$87,Formula!J35,55))</f>
        <v>3575.9571500000002</v>
      </c>
      <c r="FJ35" s="69">
        <f>VARP(IF(INDEX(Properties!A$1:CB$87,Formula!B35,55)&lt;&gt;"",INDEX(Properties!A$1:CB$87,Formula!B35,55)),IF(INDEX(Properties!A$1:CB$87,Formula!D35,55)&lt;&gt;"",INDEX(Properties!A$1:CB$87,Formula!D35,55)),IF(INDEX(Properties!A$1:CB$87,Formula!F35,55)&lt;&gt;"",INDEX(Properties!A$1:CB$87,Formula!F35,55)),IF(INDEX(Properties!A$1:CB$87,Formula!H35,55)&lt;&gt;"",INDEX(Properties!A$1:CB$87,Formula!H35,55)),IF(INDEX(Properties!A$1:CB$87,Formula!J35,55)&lt;&gt;"",INDEX(Properties!A$1:CB$87,Formula!J35,55)))</f>
        <v>10.412753191184002</v>
      </c>
      <c r="FK35" s="69">
        <f>MAX(INDEX(Properties!A$1:CB$87,Formula!B35,55),INDEX(Properties!A$1:CB$87,Formula!D35,55),INDEX(Properties!A$1:CB$87,Formula!F35,55),INDEX(Properties!A$1:CB$87,Formula!H35,55),INDEX(Properties!A$1:CB$87,Formula!J35,55))</f>
        <v>7.9</v>
      </c>
      <c r="FL35" s="69">
        <f>MIN(IF(INDEX(Properties!A$1:CB$87,Formula!B35,55)=0,10^6,INDEX(Properties!A$1:CB$87,Formula!B35,55)),IF(INDEX(Properties!A$1:CB$87,Formula!D35,55)=0,10^6,INDEX(Properties!A$1:CB$87,Formula!D35,55)),IF(INDEX(Properties!A$1:CB$87,Formula!F35,55)=0,10^6,INDEX(Properties!A$1:CB$87,Formula!F35,55)),IF(INDEX(Properties!A$1:CB$87,Formula!H35,55)=0,10^6,INDEX(Properties!A$1:CB$87,Formula!H35,55)),IF(INDEX(Properties!A$1:CB$87,Formula!J35,55)=0,10^6,INDEX(Properties!A$1:CB$87,Formula!J35,55)))</f>
        <v>1.4300000000000001E-3</v>
      </c>
      <c r="FM35" s="69">
        <f t="shared" si="27"/>
        <v>7.8985700000000003</v>
      </c>
      <c r="FN35" s="42">
        <f>((Formula!C35)/(Formula!C35+Formula!E35+Formula!G35+Formula!I35+Formula!K35))*(INDEX(Properties!A$1:CB$87,Formula!B35,56))+((Formula!E35)/(Formula!C35+Formula!E35+Formula!G35+Formula!I35+Formula!K35))*(INDEX(Properties!A$1:CB$87,Formula!D35,56))+((Formula!G35)/(Formula!C35+Formula!E35+Formula!G35+Formula!I35+Formula!K35))*(INDEX(Properties!A$1:CB$87,Formula!F35,56))+((Formula!I35)/(Formula!C35+Formula!E35+Formula!G35+Formula!I35+Formula!K35))*(INDEX(Properties!A$1:CB$87,Formula!H35,56))+((Formula!K35)/(Formula!C35+Formula!E35+Formula!G35+Formula!I35+Formula!K35))*(INDEX(Properties!A$1:CB$87,Formula!J35,56))</f>
        <v>0.69750000000000001</v>
      </c>
      <c r="FO35" s="42">
        <f>Formula!C35*(INDEX(Properties!A$1:CB$87,Formula!B35,56))+Formula!E35*(INDEX(Properties!A$1:CB$87,Formula!D35,56))+Formula!G35*(INDEX(Properties!A$1:CB$87,Formula!F35,56))+Formula!I35*(INDEX(Properties!A$1:CB$87,Formula!H35,56))+Formula!K35*(INDEX(Properties!A$1:CB$87,Formula!J35,56))</f>
        <v>5.58</v>
      </c>
      <c r="FP35" s="42">
        <f>VARP(IF(INDEX(Properties!A$1:CB$87,Formula!B35,56)&lt;&gt;"",INDEX(Properties!A$1:CB$87,Formula!B35,56)),IF(INDEX(Properties!A$1:CB$87,Formula!D35,56)&lt;&gt;"",INDEX(Properties!A$1:CB$87,Formula!D35,56)),IF(INDEX(Properties!A$1:CB$87,Formula!F35,56)&lt;&gt;"",INDEX(Properties!A$1:CB$87,Formula!F35,56)),IF(INDEX(Properties!A$1:CB$87,Formula!H35,56)&lt;&gt;"",INDEX(Properties!A$1:CB$87,Formula!H35,56)),IF(INDEX(Properties!A$1:CB$87,Formula!J35,56)&lt;&gt;"",INDEX(Properties!A$1:CB$87,Formula!J35,56)))</f>
        <v>0.12238400000000006</v>
      </c>
      <c r="FQ35" s="42">
        <f>MAX(INDEX(Properties!A$1:CB$87,Formula!B35,56),INDEX(Properties!A$1:CB$87,Formula!D35,56),INDEX(Properties!A$1:CB$87,Formula!F35,56),INDEX(Properties!A$1:CB$87,Formula!H35,56),INDEX(Properties!A$1:CB$87,Formula!J35,56))</f>
        <v>0.92</v>
      </c>
      <c r="FR35" s="42">
        <f>MIN(IF(INDEX(Properties!A$1:CB$87,Formula!B35,56)=0,10^6,INDEX(Properties!A$1:CB$87,Formula!B35,56)),IF(INDEX(Properties!A$1:CB$87,Formula!D35,56)=0,10^6,INDEX(Properties!A$1:CB$87,Formula!D35,56)),IF(INDEX(Properties!A$1:CB$87,Formula!F35,56)=0,10^6,INDEX(Properties!A$1:CB$87,Formula!F35,56)),IF(INDEX(Properties!A$1:CB$87,Formula!H35,56)=0,10^6,INDEX(Properties!A$1:CB$87,Formula!H35,56)),IF(INDEX(Properties!A$1:CB$87,Formula!J35,56)=0,10^6,INDEX(Properties!A$1:CB$87,Formula!J35,56)))</f>
        <v>0.23</v>
      </c>
      <c r="FS35" s="42">
        <f t="shared" si="28"/>
        <v>0.69000000000000006</v>
      </c>
      <c r="FT35" s="60">
        <f>((Formula!C35)/(Formula!C35+Formula!E35+Formula!G35+Formula!I35+Formula!K35))*(INDEX(Properties!A$1:CB$87,Formula!B35,57))+((Formula!E35)/(Formula!C35+Formula!E35+Formula!G35+Formula!I35+Formula!K35))*(INDEX(Properties!A$1:CB$87,Formula!D35,57))+((Formula!G35)/(Formula!C35+Formula!E35+Formula!G35+Formula!I35+Formula!K35))*(INDEX(Properties!A$1:CB$87,Formula!F35,57))+((Formula!I35)/(Formula!C35+Formula!E35+Formula!G35+Formula!I35+Formula!K35))*(INDEX(Properties!A$1:CB$87,Formula!H35,57))+((Formula!K35)/(Formula!C35+Formula!E35+Formula!G35+Formula!I35+Formula!K35))*(INDEX(Properties!A$1:CB$87,Formula!J35,57))</f>
        <v>4.5828687499999994</v>
      </c>
      <c r="FU35" s="60">
        <f>Formula!C35*(INDEX(Properties!A$1:CB$87,Formula!B35,57))+Formula!E35*(INDEX(Properties!A$1:CB$87,Formula!D35,57))+Formula!G35*(INDEX(Properties!A$1:CB$87,Formula!F35,57))+Formula!I35*(INDEX(Properties!A$1:CB$87,Formula!H35,57))+Formula!K35*(INDEX(Properties!A$1:CB$87,Formula!J35,57))</f>
        <v>36.662949999999995</v>
      </c>
      <c r="FV35" s="60">
        <f>VARP(IF(INDEX(Properties!A$1:CB$87,Formula!B35,57)&lt;&gt;"",INDEX(Properties!A$1:CB$87,Formula!B35,57)),IF(INDEX(Properties!A$1:CB$87,Formula!D35,57)&lt;&gt;"",INDEX(Properties!A$1:CB$87,Formula!D35,57)),IF(INDEX(Properties!A$1:CB$87,Formula!F35,57)&lt;&gt;"",INDEX(Properties!A$1:CB$87,Formula!F35,57)),IF(INDEX(Properties!A$1:CB$87,Formula!H35,57)&lt;&gt;"",INDEX(Properties!A$1:CB$87,Formula!H35,57)),IF(INDEX(Properties!A$1:CB$87,Formula!J35,57)&lt;&gt;"",INDEX(Properties!A$1:CB$87,Formula!J35,57)))</f>
        <v>41.484843809295995</v>
      </c>
      <c r="FW35" s="60">
        <f>MAX(INDEX(Properties!A$1:CB$87,Formula!B35,57),INDEX(Properties!A$1:CB$87,Formula!D35,57),INDEX(Properties!A$1:CB$87,Formula!F35,57),INDEX(Properties!A$1:CB$87,Formula!H35,57),INDEX(Properties!A$1:CB$87,Formula!J35,57))</f>
        <v>15.45</v>
      </c>
      <c r="FX35" s="60">
        <f>MIN(IF(INDEX(Properties!A$1:CB$87,Formula!B35,57)=0,10^6,INDEX(Properties!A$1:CB$87,Formula!B35,57)),IF(INDEX(Properties!A$1:CB$87,Formula!D35,57)=0,10^6,INDEX(Properties!A$1:CB$87,Formula!D35,57)),IF(INDEX(Properties!A$1:CB$87,Formula!F35,57)=0,10^6,INDEX(Properties!A$1:CB$87,Formula!F35,57)),IF(INDEX(Properties!A$1:CB$87,Formula!H35,57)=0,10^6,INDEX(Properties!A$1:CB$87,Formula!H35,57)),IF(INDEX(Properties!A$1:CB$87,Formula!J35,57)=0,10^6,INDEX(Properties!A$1:CB$87,Formula!J35,57)))</f>
        <v>0.22259000000000001</v>
      </c>
      <c r="FY35" s="60">
        <f t="shared" si="29"/>
        <v>15.227409999999999</v>
      </c>
      <c r="FZ35" s="72">
        <f>((Formula!C35)/(Formula!C35+Formula!E35+Formula!G35+Formula!I35+Formula!K35))*(INDEX(Properties!A$1:CB$87,Formula!B35,60))+((Formula!E35)/(Formula!C35+Formula!E35+Formula!G35+Formula!I35+Formula!K35))*(INDEX(Properties!A$1:CB$87,Formula!D35,60))+((Formula!G35)/(Formula!C35+Formula!E35+Formula!G35+Formula!I35+Formula!K35))*(INDEX(Properties!A$1:CB$87,Formula!F35,60))+((Formula!I35)/(Formula!C35+Formula!E35+Formula!G35+Formula!I35+Formula!K35))*(INDEX(Properties!A$1:CB$87,Formula!H35,60))+((Formula!K35)/(Formula!C35+Formula!E35+Formula!G35+Formula!I35+Formula!K35))*(INDEX(Properties!A$1:CB$87,Formula!J35,60))</f>
        <v>5.404212499999999</v>
      </c>
      <c r="GA35" s="72">
        <f>Formula!C35*(INDEX(Properties!A$1:CB$87,Formula!B35,60))+Formula!E35*(INDEX(Properties!A$1:CB$87,Formula!D35,60))+Formula!G35*(INDEX(Properties!A$1:CB$87,Formula!F35,60))+Formula!I35*(INDEX(Properties!A$1:CB$87,Formula!H35,60))+Formula!K35*(INDEX(Properties!A$1:CB$87,Formula!J35,60))</f>
        <v>43.233699999999992</v>
      </c>
      <c r="GB35" s="72">
        <f>VARP(IF(INDEX(Properties!A$1:CB$87,Formula!B35,60)&lt;&gt;"",INDEX(Properties!A$1:CB$87,Formula!B35,60)),IF(INDEX(Properties!A$1:CB$87,Formula!D35,60)&lt;&gt;"",INDEX(Properties!A$1:CB$87,Formula!D35,60)),IF(INDEX(Properties!A$1:CB$87,Formula!F35,60)&lt;&gt;"",INDEX(Properties!A$1:CB$87,Formula!F35,60)),IF(INDEX(Properties!A$1:CB$87,Formula!H35,60)&lt;&gt;"",INDEX(Properties!A$1:CB$87,Formula!H35,60)),IF(INDEX(Properties!A$1:CB$87,Formula!J35,60)&lt;&gt;"",INDEX(Properties!A$1:CB$87,Formula!J35,60)))</f>
        <v>76.074590404416</v>
      </c>
      <c r="GC35" s="72">
        <f>MAX(INDEX(Properties!A$1:CB$87,Formula!B35,60),INDEX(Properties!A$1:CB$87,Formula!D35,60),INDEX(Properties!A$1:CB$87,Formula!F35,60),INDEX(Properties!A$1:CB$87,Formula!H35,60),INDEX(Properties!A$1:CB$87,Formula!J35,60))</f>
        <v>21.9</v>
      </c>
      <c r="GD35" s="72">
        <f>MIN(IF(INDEX(Properties!A$1:CB$87,Formula!B35,60)=0,10^6,INDEX(Properties!A$1:CB$87,Formula!B35,60)),IF(INDEX(Properties!A$1:CB$87,Formula!D35,60)=0,10^6,INDEX(Properties!A$1:CB$87,Formula!D35,60)),IF(INDEX(Properties!A$1:CB$87,Formula!F35,60)=0,10^6,INDEX(Properties!A$1:CB$87,Formula!F35,60)),IF(INDEX(Properties!A$1:CB$87,Formula!H35,60)=0,10^6,INDEX(Properties!A$1:CB$87,Formula!H35,60)),IF(INDEX(Properties!A$1:CB$87,Formula!J35,60)=0,10^6,INDEX(Properties!A$1:CB$87,Formula!J35,60)))</f>
        <v>2.674E-2</v>
      </c>
      <c r="GE35" s="72">
        <f t="shared" si="30"/>
        <v>21.873259999999998</v>
      </c>
      <c r="GF35" s="51">
        <f>((Formula!C35)/(Formula!C35+Formula!E35+Formula!G35+Formula!I35+Formula!K35))*(INDEX(Properties!A$1:CB$87,Formula!B35,62))+((Formula!E35)/(Formula!C35+Formula!E35+Formula!G35+Formula!I35+Formula!K35))*(INDEX(Properties!A$1:CB$87,Formula!D35,62))+((Formula!G35)/(Formula!C35+Formula!E35+Formula!G35+Formula!I35+Formula!K35))*(INDEX(Properties!A$1:CB$87,Formula!F35,62))+((Formula!I35)/(Formula!C35+Formula!E35+Formula!G35+Formula!I35+Formula!K35))*(INDEX(Properties!A$1:CB$87,Formula!H35,62))+((Formula!K35)/(Formula!C35+Formula!E35+Formula!G35+Formula!I35+Formula!K35))*(INDEX(Properties!A$1:CB$87,Formula!J35,62))</f>
        <v>3.2787500000000001</v>
      </c>
      <c r="GG35" s="51">
        <f>Formula!C35*(INDEX(Properties!A$1:CB$87,Formula!B35,62))+Formula!E35*(INDEX(Properties!A$1:CB$87,Formula!D35,62))+Formula!G35*(INDEX(Properties!A$1:CB$87,Formula!F35,62))+Formula!I35*(INDEX(Properties!A$1:CB$87,Formula!H35,62))+Formula!K35*(INDEX(Properties!A$1:CB$87,Formula!J35,62))</f>
        <v>26.23</v>
      </c>
      <c r="GH35" s="51">
        <f>VARP(IF(INDEX(Properties!A$1:CB$87,Formula!B35,62)&lt;&gt;"",INDEX(Properties!A$1:CB$87,Formula!B35,62)),IF(INDEX(Properties!A$1:CB$87,Formula!D35,62)&lt;&gt;"",INDEX(Properties!A$1:CB$87,Formula!D35,62)),IF(INDEX(Properties!A$1:CB$87,Formula!F35,62)&lt;&gt;"",INDEX(Properties!A$1:CB$87,Formula!F35,62)),IF(INDEX(Properties!A$1:CB$87,Formula!H35,62)&lt;&gt;"",INDEX(Properties!A$1:CB$87,Formula!H35,62)),IF(INDEX(Properties!A$1:CB$87,Formula!J35,62)&lt;&gt;"",INDEX(Properties!A$1:CB$87,Formula!J35,62)))</f>
        <v>4.1136160000000004</v>
      </c>
      <c r="GI35" s="51">
        <f>MAX(INDEX(Properties!A$1:CB$87,Formula!B35,62),INDEX(Properties!A$1:CB$87,Formula!D35,62),INDEX(Properties!A$1:CB$87,Formula!F35,62),INDEX(Properties!A$1:CB$87,Formula!H35,62),INDEX(Properties!A$1:CB$87,Formula!J35,62))</f>
        <v>4.8499999999999996</v>
      </c>
      <c r="GJ35" s="51">
        <f>MIN(IF(INDEX(Properties!A$1:CB$87,Formula!B35,62)=0,10^6,INDEX(Properties!A$1:CB$87,Formula!B35,62)),IF(INDEX(Properties!A$1:CB$87,Formula!D35,62)=0,10^6,INDEX(Properties!A$1:CB$87,Formula!D35,62)),IF(INDEX(Properties!A$1:CB$87,Formula!F35,62)=0,10^6,INDEX(Properties!A$1:CB$87,Formula!F35,62)),IF(INDEX(Properties!A$1:CB$87,Formula!H35,62)=0,10^6,INDEX(Properties!A$1:CB$87,Formula!H35,62)),IF(INDEX(Properties!A$1:CB$87,Formula!J35,62)=0,10^6,INDEX(Properties!A$1:CB$87,Formula!J35,62)))</f>
        <v>2.62</v>
      </c>
      <c r="GK35" s="51">
        <f t="shared" si="31"/>
        <v>2.2299999999999995</v>
      </c>
      <c r="GL35" s="51">
        <f>Formula!P35</f>
        <v>62</v>
      </c>
      <c r="GM35" s="57">
        <f>Formula!O35</f>
        <v>3</v>
      </c>
      <c r="GN35" s="51">
        <f>Formula!N35</f>
        <v>0.1</v>
      </c>
    </row>
    <row r="36" spans="1:196" x14ac:dyDescent="0.3">
      <c r="A36" s="84" t="str">
        <f>Formula!A36</f>
        <v>Sr2GdSbO6</v>
      </c>
      <c r="B36" s="89">
        <f>((Formula!C36)/(Formula!C36+Formula!E36+Formula!G36+Formula!I36+Formula!K36))*(INDEX(Properties!A$1:CB$87,Formula!B36,3))+((Formula!E36)/(Formula!C36+Formula!E36+Formula!G36+Formula!I36+Formula!K36))*(INDEX(Properties!A$1:CB$87,Formula!D36,3))+((Formula!G36)/(Formula!C36+Formula!E36+Formula!G36+Formula!I36+Formula!K36))*(INDEX(Properties!A$1:CB$87,Formula!F36,3))+((Formula!I36)/(Formula!C36+Formula!E36+Formula!G36+Formula!I36+Formula!K36))*(INDEX(Properties!A$1:CB$87,Formula!H36,3))+((Formula!K36)/(Formula!C36+Formula!E36+Formula!G36+Formula!I36+Formula!K36))*(INDEX(Properties!A$1:CB$87,Formula!J36,3))</f>
        <v>55.024640000000005</v>
      </c>
      <c r="C36" s="85">
        <f>Formula!C36*(INDEX(Properties!A$1:CB$87,Formula!B36,3))+Formula!E36*(INDEX(Properties!A$1:CB$87,Formula!D36,3))+Formula!G36*(INDEX(Properties!A$1:CB$87,Formula!F36,3))+Formula!I36*(INDEX(Properties!A$1:CB$87,Formula!H36,3))+Formula!K36*(INDEX(Properties!A$1:CB$87,Formula!J36,3))</f>
        <v>550.24639999999999</v>
      </c>
      <c r="D36" s="85">
        <f>VARP(IF(INDEX(Properties!A$1:CB$87,Formula!B36,3)&lt;&gt;"",INDEX(Properties!A$1:CB$87,Formula!B36,3)),IF(INDEX(Properties!A$1:CB$87,Formula!D36,3)&lt;&gt;"",INDEX(Properties!A$1:CB$87,Formula!D36,3)),IF(INDEX(Properties!A$1:CB$87,Formula!F36,3)&lt;&gt;"",INDEX(Properties!A$1:CB$87,Formula!F36,3)),IF(INDEX(Properties!A$1:CB$87,Formula!H36,3)&lt;&gt;"",INDEX(Properties!A$1:CB$87,Formula!H36,3)),IF(INDEX(Properties!A$1:CB$87,Formula!J36,3)&lt;&gt;"",INDEX(Properties!A$1:CB$87,Formula!J36,3)))</f>
        <v>3641.0507502976002</v>
      </c>
      <c r="E36" s="85">
        <f>MAX(INDEX(Properties!A$1:CB$87,Formula!B36,3),INDEX(Properties!A$1:CB$87,Formula!D36,3),INDEX(Properties!A$1:CB$87,Formula!F36,3),INDEX(Properties!A$1:CB$87,Formula!H36,3),INDEX(Properties!A$1:CB$87,Formula!J36,3))</f>
        <v>157.25</v>
      </c>
      <c r="F36" s="85">
        <f>MIN(IF(INDEX(Properties!A$1:CB$87,Formula!B36,3)=0,10^6,INDEX(Properties!A$1:CB$87,Formula!B36,3)),IF(INDEX(Properties!A$1:CB$87,Formula!D36,3)=0,10^6,INDEX(Properties!A$1:CB$87,Formula!D36,3)),IF(INDEX(Properties!A$1:CB$87,Formula!F36,3)=0,10^6,INDEX(Properties!A$1:CB$87,Formula!F36,3)),IF(INDEX(Properties!A$1:CB$87,Formula!H36,3)=0,10^6,INDEX(Properties!A$1:CB$87,Formula!H36,3)),IF(INDEX(Properties!A$1:CB$87,Formula!J36,3)=0,10^6,INDEX(Properties!A$1:CB$87,Formula!J36,3)))</f>
        <v>15.9994</v>
      </c>
      <c r="G36" s="85">
        <f t="shared" si="0"/>
        <v>141.25059999999999</v>
      </c>
      <c r="H36" s="87">
        <f>((Formula!C36)/(Formula!C36+Formula!E36+Formula!G36+Formula!I36+Formula!K36))*(INDEX(Properties!A$1:CB$87,Formula!B36,4))+((Formula!E36)/(Formula!C36+Formula!E36+Formula!G36+Formula!I36+Formula!K36))*(INDEX(Properties!A$1:CB$87,Formula!D36,4))+((Formula!G36)/(Formula!C36+Formula!E36+Formula!G36+Formula!I36+Formula!K36))*(INDEX(Properties!A$1:CB$87,Formula!F36,4))+((Formula!I36)/(Formula!C36+Formula!E36+Formula!G36+Formula!I36+Formula!K36))*(INDEX(Properties!A$1:CB$87,Formula!H36,4))+((Formula!K36)/(Formula!C36+Formula!E36+Formula!G36+Formula!I36+Formula!K36))*(INDEX(Properties!A$1:CB$87,Formula!J36,4))</f>
        <v>23.900000000000002</v>
      </c>
      <c r="I36" s="87">
        <f>Formula!C36*(INDEX(Properties!A$1:CB$87,Formula!B36,4))+Formula!E36*(INDEX(Properties!A$1:CB$87,Formula!D36,4))+Formula!G36*(INDEX(Properties!A$1:CB$87,Formula!F36,4))+Formula!I36*(INDEX(Properties!A$1:CB$87,Formula!H36,4))+Formula!K36*(INDEX(Properties!A$1:CB$87,Formula!J36,4))</f>
        <v>239</v>
      </c>
      <c r="J36" s="87">
        <f>VARP(IF(INDEX(Properties!A$1:CB$87,Formula!B36,4)&lt;&gt;"",INDEX(Properties!A$1:CB$87,Formula!B36,4)),IF(INDEX(Properties!A$1:CB$87,Formula!D36,4)&lt;&gt;"",INDEX(Properties!A$1:CB$87,Formula!D36,4)),IF(INDEX(Properties!A$1:CB$87,Formula!F36,4)&lt;&gt;"",INDEX(Properties!A$1:CB$87,Formula!F36,4)),IF(INDEX(Properties!A$1:CB$87,Formula!H36,4)&lt;&gt;"",INDEX(Properties!A$1:CB$87,Formula!H36,4)),IF(INDEX(Properties!A$1:CB$87,Formula!J36,4)&lt;&gt;"",INDEX(Properties!A$1:CB$87,Formula!J36,4)))</f>
        <v>604.16</v>
      </c>
      <c r="K36" s="87">
        <f>MAX(INDEX(Properties!A$1:CB$87,Formula!B36,4),INDEX(Properties!A$1:CB$87,Formula!D36,4),INDEX(Properties!A$1:CB$87,Formula!F36,4),INDEX(Properties!A$1:CB$87,Formula!H36,4),INDEX(Properties!A$1:CB$87,Formula!J36,4))</f>
        <v>64</v>
      </c>
      <c r="L36" s="87">
        <f>MIN(IF(INDEX(Properties!A$1:CB$87,Formula!B36,4)=0,10^6,INDEX(Properties!A$1:CB$87,Formula!B36,4)),IF(INDEX(Properties!A$1:CB$87,Formula!D36,4)=0,10^6,INDEX(Properties!A$1:CB$87,Formula!D36,4)),IF(INDEX(Properties!A$1:CB$87,Formula!F36,4)=0,10^6,INDEX(Properties!A$1:CB$87,Formula!F36,4)),IF(INDEX(Properties!A$1:CB$87,Formula!H36,4)=0,10^6,INDEX(Properties!A$1:CB$87,Formula!H36,4)),IF(INDEX(Properties!A$1:CB$87,Formula!J36,4)=0,10^6,INDEX(Properties!A$1:CB$87,Formula!J36,4)))</f>
        <v>8</v>
      </c>
      <c r="M36" s="87">
        <f t="shared" si="1"/>
        <v>56</v>
      </c>
      <c r="N36" s="89">
        <f>((Formula!C36)/(Formula!C36+Formula!E36+Formula!G36+Formula!I36+Formula!K36))*(INDEX(Properties!A$1:CB$87,Formula!B36,5))+((Formula!E36)/(Formula!C36+Formula!E36+Formula!G36+Formula!I36+Formula!K36))*(INDEX(Properties!A$1:CB$87,Formula!D36,5))+((Formula!G36)/(Formula!C36+Formula!E36+Formula!G36+Formula!I36+Formula!K36))*(INDEX(Properties!A$1:CB$87,Formula!F36,5))+((Formula!I36)/(Formula!C36+Formula!E36+Formula!G36+Formula!I36+Formula!K36))*(INDEX(Properties!A$1:CB$87,Formula!H36,5))+((Formula!K36)/(Formula!C36+Formula!E36+Formula!G36+Formula!I36+Formula!K36))*(INDEX(Properties!A$1:CB$87,Formula!J36,5))</f>
        <v>3.3</v>
      </c>
      <c r="O36" s="89">
        <f>Formula!C36*(INDEX(Properties!A$1:CB$87,Formula!B36,5))+Formula!E36*(INDEX(Properties!A$1:CB$87,Formula!D36,5))+Formula!G36*(INDEX(Properties!A$1:CB$87,Formula!F36,5))+Formula!I36*(INDEX(Properties!A$1:CB$87,Formula!H36,5))+Formula!K36*(INDEX(Properties!A$1:CB$87,Formula!J36,5))</f>
        <v>33</v>
      </c>
      <c r="P36" s="89">
        <f>VARP(IF(INDEX(Properties!A$1:CB$87,Formula!B36,5)&lt;&gt;"",INDEX(Properties!A$1:CB$87,Formula!B36,5)),IF(INDEX(Properties!A$1:CB$87,Formula!D36,5)&lt;&gt;"",INDEX(Properties!A$1:CB$87,Formula!D36,5)),IF(INDEX(Properties!A$1:CB$87,Formula!F36,5)&lt;&gt;"",INDEX(Properties!A$1:CB$87,Formula!F36,5)),IF(INDEX(Properties!A$1:CB$87,Formula!H36,5)&lt;&gt;"",INDEX(Properties!A$1:CB$87,Formula!H36,5)),IF(INDEX(Properties!A$1:CB$87,Formula!J36,5)&lt;&gt;"",INDEX(Properties!A$1:CB$87,Formula!J36,5)))</f>
        <v>5.04</v>
      </c>
      <c r="Q36" s="89">
        <f>MAX(INDEX(Properties!A$1:CB$87,Formula!B36,5),INDEX(Properties!A$1:CB$87,Formula!D36,5),INDEX(Properties!A$1:CB$87,Formula!F36,5),INDEX(Properties!A$1:CB$87,Formula!H36,5),INDEX(Properties!A$1:CB$87,Formula!J36,5))</f>
        <v>6</v>
      </c>
      <c r="R36" s="89">
        <f>MIN(IF(INDEX(Properties!A$1:CB$87,Formula!B36,5)=0,10^6,INDEX(Properties!A$1:CB$87,Formula!B36,5)),IF(INDEX(Properties!A$1:CB$87,Formula!D36,5)=0,10^6,INDEX(Properties!A$1:CB$87,Formula!D36,5)),IF(INDEX(Properties!A$1:CB$87,Formula!F36,5)=0,10^6,INDEX(Properties!A$1:CB$87,Formula!F36,5)),IF(INDEX(Properties!A$1:CB$87,Formula!H36,5)=0,10^6,INDEX(Properties!A$1:CB$87,Formula!H36,5)),IF(INDEX(Properties!A$1:CB$87,Formula!J36,5)=0,10^6,INDEX(Properties!A$1:CB$87,Formula!J36,5)))</f>
        <v>2</v>
      </c>
      <c r="S36" s="89">
        <f t="shared" si="2"/>
        <v>4</v>
      </c>
      <c r="T36" s="60">
        <f>((Formula!C36)/(Formula!C36+Formula!E36+Formula!G36+Formula!I36+Formula!K36))*(INDEX(Properties!A$1:CB$87,Formula!B36,6))+((Formula!E36)/(Formula!C36+Formula!E36+Formula!G36+Formula!I36+Formula!K36))*(INDEX(Properties!A$1:CB$87,Formula!D36,6))+((Formula!G36)/(Formula!C36+Formula!E36+Formula!G36+Formula!I36+Formula!K36))*(INDEX(Properties!A$1:CB$87,Formula!F36,6))+((Formula!I36)/(Formula!C36+Formula!E36+Formula!G36+Formula!I36+Formula!K36))*(INDEX(Properties!A$1:CB$87,Formula!H36,6))+((Formula!K36)/(Formula!C36+Formula!E36+Formula!G36+Formula!I36+Formula!K36))*(INDEX(Properties!A$1:CB$87,Formula!J36,6))</f>
        <v>11.8</v>
      </c>
      <c r="U36" s="60">
        <f>Formula!C36*(INDEX(Properties!A$1:CB$87,Formula!B36,6))+Formula!E36*(INDEX(Properties!A$1:CB$87,Formula!D36,6))+Formula!G36*(INDEX(Properties!A$1:CB$87,Formula!F36,6))+Formula!I36*(INDEX(Properties!A$1:CB$87,Formula!H36,6))+Formula!K36*(INDEX(Properties!A$1:CB$87,Formula!J36,6))</f>
        <v>118</v>
      </c>
      <c r="V36" s="89">
        <f>VARP(IF(INDEX(Properties!A$1:CB$87,Formula!B36,6)&lt;&gt;"",INDEX(Properties!A$1:CB$87,Formula!B36,6)),IF(INDEX(Properties!A$1:CB$87,Formula!D36,6)&lt;&gt;"",INDEX(Properties!A$1:CB$87,Formula!D36,6)),IF(INDEX(Properties!A$1:CB$87,Formula!F36,6)&lt;&gt;"",INDEX(Properties!A$1:CB$87,Formula!F36,6)),IF(INDEX(Properties!A$1:CB$87,Formula!H36,6)&lt;&gt;"",INDEX(Properties!A$1:CB$87,Formula!H36,6)),IF(INDEX(Properties!A$1:CB$87,Formula!J36,6)&lt;&gt;"",INDEX(Properties!A$1:CB$87,Formula!J36,6)))</f>
        <v>46.96</v>
      </c>
      <c r="W36" s="60">
        <f>MAX(INDEX(Properties!A$1:CB$87,Formula!B36,6),INDEX(Properties!A$1:CB$87,Formula!D36,6),INDEX(Properties!A$1:CB$87,Formula!F36,6),INDEX(Properties!A$1:CB$87,Formula!H36,4),INDEX(Properties!A$1:CB$87,Formula!J36,6))</f>
        <v>15</v>
      </c>
      <c r="X36" s="60">
        <f>MIN(IF(INDEX(Properties!A$1:CB$87,Formula!B36,6)=0,10^6,INDEX(Properties!A$1:CB$87,Formula!B36,6)),IF(INDEX(Properties!A$1:CB$87,Formula!D36,6)=0,10^6,INDEX(Properties!A$1:CB$87,Formula!D36,6)),IF(INDEX(Properties!A$1:CB$87,Formula!F36,6)=0,10^6,INDEX(Properties!A$1:CB$87,Formula!F36,6)),IF(INDEX(Properties!A$1:CB$87,Formula!H36,6)=0,10^6,INDEX(Properties!A$1:CB$87,Formula!H36,6)),IF(INDEX(Properties!A$1:CB$87,Formula!J36,6)=0,10^6,INDEX(Properties!A$1:CB$87,Formula!J36,6)))</f>
        <v>2</v>
      </c>
      <c r="Y36" s="60">
        <f t="shared" si="3"/>
        <v>13</v>
      </c>
      <c r="Z36" s="72">
        <f>((Formula!C36)/(Formula!C36+Formula!E36+Formula!G36+Formula!I36+Formula!K36))*(INDEX(Properties!A$1:CB$87,Formula!B36,9))+((Formula!E36)/(Formula!C36+Formula!E36+Formula!G36+Formula!I36+Formula!K36))*(INDEX(Properties!A$1:CB$87,Formula!D36,9))+((Formula!G36)/(Formula!C36+Formula!E36+Formula!G36+Formula!I36+Formula!K36))*(INDEX(Properties!A$1:CB$87,Formula!F36,9))+((Formula!I36)/(Formula!C36+Formula!E36+Formula!G36+Formula!I36+Formula!K36))*(INDEX(Properties!A$1:CB$87,Formula!H36,9))+((Formula!K36)/(Formula!C36+Formula!E36+Formula!G36+Formula!I36+Formula!K36))*(INDEX(Properties!A$1:CB$87,Formula!J36,9))</f>
        <v>65</v>
      </c>
      <c r="AA36" s="72">
        <f>Formula!C36*(INDEX(Properties!A$1:CB$87,Formula!B36,9))+Formula!E36*(INDEX(Properties!A$1:CB$87,Formula!D36,9))+Formula!G36*(INDEX(Properties!A$1:CB$87,Formula!F36,9))+Formula!I36*(INDEX(Properties!A$1:CB$87,Formula!H36,9))+Formula!K36*(INDEX(Properties!A$1:CB$87,Formula!J36,9))</f>
        <v>650</v>
      </c>
      <c r="AB36" s="72">
        <f>VARP(IF(INDEX(Properties!A$1:CB$87,Formula!B36,9)&lt;&gt;"",INDEX(Properties!A$1:CB$87,Formula!B36,9)),IF(INDEX(Properties!A$1:CB$87,Formula!D36,9)&lt;&gt;"",INDEX(Properties!A$1:CB$87,Formula!D36,9)),IF(INDEX(Properties!A$1:CB$87,Formula!F36,9)&lt;&gt;"",INDEX(Properties!A$1:CB$87,Formula!F36,9)),IF(INDEX(Properties!A$1:CB$87,Formula!H36,9)&lt;&gt;"",INDEX(Properties!A$1:CB$87,Formula!H36,9)),IF(INDEX(Properties!A$1:CB$87,Formula!J36,9)&lt;&gt;"",INDEX(Properties!A$1:CB$87,Formula!J36,9)))</f>
        <v>1403.44</v>
      </c>
      <c r="AC36" s="72">
        <f>MAX(INDEX(Properties!A$1:CB$87,Formula!B36,9),INDEX(Properties!A$1:CB$87,Formula!D36,9),INDEX(Properties!A$1:CB$87,Formula!F36,9),INDEX(Properties!A$1:CB$87,Formula!H36,9),INDEX(Properties!A$1:CB$87,Formula!J36,9))</f>
        <v>87</v>
      </c>
      <c r="AD36" s="72">
        <f>MIN(IF(INDEX(Properties!A$1:CB$87,Formula!B36,9)=0,10^6,INDEX(Properties!A$1:CB$87,Formula!B36,9)),IF(INDEX(Properties!A$1:CB$87,Formula!D36,9)=0,10^6,INDEX(Properties!A$1:CB$87,Formula!D36,9)),IF(INDEX(Properties!A$1:CB$87,Formula!F36,9)=0,10^6,INDEX(Properties!A$1:CB$87,Formula!F36,9)),IF(INDEX(Properties!A$1:CB$87,Formula!H36,9)=0,10^6,INDEX(Properties!A$1:CB$87,Formula!H36,9)),IF(INDEX(Properties!A$1:CB$87,Formula!J36,9)=0,10^6,INDEX(Properties!A$1:CB$87,Formula!J36,9)))</f>
        <v>8</v>
      </c>
      <c r="AE36" s="72">
        <f t="shared" si="4"/>
        <v>79</v>
      </c>
      <c r="AF36" s="51">
        <f>((Formula!C36)/(Formula!C36+Formula!E36+Formula!G36+Formula!I36+Formula!K36))*(INDEX(Properties!A$1:CB$87,Formula!B36,10))+((Formula!E36)/(Formula!C36+Formula!E36+Formula!G36+Formula!I36+Formula!K36))*(INDEX(Properties!A$1:CB$87,Formula!D36,10))+((Formula!G36)/(Formula!C36+Formula!E36+Formula!G36+Formula!I36+Formula!K36))*(INDEX(Properties!A$1:CB$87,Formula!F36,10))+((Formula!I36)/(Formula!C36+Formula!E36+Formula!G36+Formula!I36+Formula!K36))*(INDEX(Properties!A$1:CB$87,Formula!H36,10))+((Formula!K36)/(Formula!C36+Formula!E36+Formula!G36+Formula!I36+Formula!K36))*(INDEX(Properties!A$1:CB$87,Formula!J36,10))</f>
        <v>5.5</v>
      </c>
      <c r="AG36" s="51">
        <f>Formula!C36*(INDEX(Properties!A$1:CB$87,Formula!B36,10))+Formula!E36*(INDEX(Properties!A$1:CB$87,Formula!D36,10))+Formula!G36*(INDEX(Properties!A$1:CB$87,Formula!F36,10))+Formula!I36*(INDEX(Properties!A$1:CB$87,Formula!H36,10))+Formula!K36*(INDEX(Properties!A$1:CB$87,Formula!J36,10))</f>
        <v>55</v>
      </c>
      <c r="AH36" s="51">
        <f>VARP(IF(INDEX(Properties!A$1:CB$87,Formula!B36,10)&lt;&gt;"",INDEX(Properties!A$1:CB$87,Formula!B36,10)),IF(INDEX(Properties!A$1:CB$87,Formula!D36,10)&lt;&gt;"",INDEX(Properties!A$1:CB$87,Formula!D36,10)),IF(INDEX(Properties!A$1:CB$87,Formula!F36,10)&lt;&gt;"",INDEX(Properties!A$1:CB$87,Formula!F36,10)),IF(INDEX(Properties!A$1:CB$87,Formula!H36,10)&lt;&gt;"",INDEX(Properties!A$1:CB$87,Formula!H36,10)),IF(INDEX(Properties!A$1:CB$87,Formula!J36,10)&lt;&gt;"",INDEX(Properties!A$1:CB$87,Formula!J36,10)))</f>
        <v>6.64</v>
      </c>
      <c r="AI36" s="51">
        <f>MAX(INDEX(Properties!A$1:CB$87,Formula!B36,10),INDEX(Properties!A$1:CB$87,Formula!D36,10),INDEX(Properties!A$1:CB$87,Formula!F36,10),INDEX(Properties!A$1:CB$87,Formula!H36,10),INDEX(Properties!A$1:CB$87,Formula!J36,10))</f>
        <v>7</v>
      </c>
      <c r="AJ36" s="51">
        <f>MIN(IF(INDEX(Properties!A$1:CB$87,Formula!B36,10)=0,10^6,INDEX(Properties!A$1:CB$87,Formula!B36,10)),IF(INDEX(Properties!A$1:CB$87,Formula!D36,10)=0,10^6,INDEX(Properties!A$1:CB$87,Formula!D36,10)),IF(INDEX(Properties!A$1:CB$87,Formula!F36,10)=0,10^6,INDEX(Properties!A$1:CB$87,Formula!F36,10)),IF(INDEX(Properties!A$1:CB$87,Formula!H36,10)=0,10^6,INDEX(Properties!A$1:CB$87,Formula!H36,10)),IF(INDEX(Properties!A$1:CB$87,Formula!J36,10)=0,10^6,INDEX(Properties!A$1:CB$87,Formula!J36,10)))</f>
        <v>2</v>
      </c>
      <c r="AK36" s="51">
        <f t="shared" si="5"/>
        <v>5</v>
      </c>
      <c r="AL36" s="57">
        <f>((Formula!C36)/(Formula!C36+Formula!E36+Formula!G36+Formula!I36+Formula!K36))*(INDEX(Properties!A$1:CB$87,Formula!B36,11))+((Formula!E36)/(Formula!C36+Formula!E36+Formula!G36+Formula!I36+Formula!K36))*(INDEX(Properties!A$1:CB$87,Formula!D36,11))+((Formula!G36)/(Formula!C36+Formula!E36+Formula!G36+Formula!I36+Formula!K36))*(INDEX(Properties!A$1:CB$87,Formula!F36,11))+((Formula!I36)/(Formula!C36+Formula!E36+Formula!G36+Formula!I36+Formula!K36))*(INDEX(Properties!A$1:CB$87,Formula!H36,11))+((Formula!K36)/(Formula!C36+Formula!E36+Formula!G36+Formula!I36+Formula!K36))*(INDEX(Properties!A$1:CB$87,Formula!J36,11))</f>
        <v>2</v>
      </c>
      <c r="AM36" s="57">
        <f>Formula!C36*(INDEX(Properties!A$1:CB$87,Formula!B36,11))+Formula!E36*(INDEX(Properties!A$1:CB$87,Formula!D36,11))+Formula!G36*(INDEX(Properties!A$1:CB$87,Formula!F36,11))+Formula!I36*(INDEX(Properties!A$1:CB$87,Formula!H36,11))+Formula!K36*(INDEX(Properties!A$1:CB$87,Formula!J36,11))</f>
        <v>20</v>
      </c>
      <c r="AN36" s="57">
        <f>VARP(IF(INDEX(Properties!A$1:CB$87,Formula!B36,11)&lt;&gt;"",INDEX(Properties!A$1:CB$87,Formula!B36,11)),IF(INDEX(Properties!A$1:CB$87,Formula!D36,11)&lt;&gt;"",INDEX(Properties!A$1:CB$87,Formula!D36,11)),IF(INDEX(Properties!A$1:CB$87,Formula!F36,11)&lt;&gt;"",INDEX(Properties!A$1:CB$87,Formula!F36,11)),IF(INDEX(Properties!A$1:CB$87,Formula!H36,11)&lt;&gt;"",INDEX(Properties!A$1:CB$87,Formula!H36,11)),IF(INDEX(Properties!A$1:CB$87,Formula!J36,11)&lt;&gt;"",INDEX(Properties!A$1:CB$87,Formula!J36,11)))</f>
        <v>0.64</v>
      </c>
      <c r="AO36" s="57">
        <f>MAX(INDEX(Properties!A$1:CB$87,Formula!B36,11),INDEX(Properties!A$1:CB$87,Formula!D36,11),INDEX(Properties!A$1:CB$87,Formula!F36,11),INDEX(Properties!A$1:CB$87,Formula!H36,11),INDEX(Properties!A$1:CB$87,Formula!J36,11))</f>
        <v>2</v>
      </c>
      <c r="AP36" s="57">
        <f>MIN(IF(Formula!B36=87,10^6,INDEX(Properties!A$1:CB$87,Formula!B36,11)),IF((Formula!D36)=87,10^6,INDEX(Properties!A$1:CB$87,Formula!D36,11)),IF((Formula!F36)=87,10^6,INDEX(Properties!A$1:CB$87,Formula!F36,11)),IF((Formula!H36)=87,10^6,INDEX(Properties!A$1:CB$87,Formula!H36,11)),IF(Formula!J36=87,10^6,INDEX(Properties!A$1:CB$87,Formula!J36,11)))</f>
        <v>2</v>
      </c>
      <c r="AQ36" s="57">
        <f t="shared" si="6"/>
        <v>0</v>
      </c>
      <c r="AR36" s="78">
        <f>((Formula!C36)/(Formula!C36+Formula!E36+Formula!G36+Formula!I36+Formula!K36))*(INDEX(Properties!A$1:CB$87,Formula!B36,12))+((Formula!E36)/(Formula!C36+Formula!E36+Formula!G36+Formula!I36+Formula!K36))*(INDEX(Properties!A$1:CB$87,Formula!D36,12))+((Formula!G36)/(Formula!C36+Formula!E36+Formula!G36+Formula!I36+Formula!K36))*(INDEX(Properties!A$1:CB$87,Formula!F36,12))+((Formula!I36)/(Formula!C36+Formula!E36+Formula!G36+Formula!I36+Formula!K36))*(INDEX(Properties!A$1:CB$87,Formula!H36,12))+((Formula!K36)/(Formula!C36+Formula!E36+Formula!G36+Formula!I36+Formula!K36))*(INDEX(Properties!A$1:CB$87,Formula!J36,12))</f>
        <v>2.7</v>
      </c>
      <c r="AS36" s="78">
        <f>Formula!C36*(INDEX(Properties!A$1:CB$87,Formula!B36,12))+Formula!E36*(INDEX(Properties!A$1:CB$87,Formula!D36,12))+Formula!G36*(INDEX(Properties!A$1:CB$87,Formula!F36,12))+Formula!I36*(INDEX(Properties!A$1:CB$87,Formula!H36,12))+Formula!K36*(INDEX(Properties!A$1:CB$87,Formula!J36,12))</f>
        <v>27</v>
      </c>
      <c r="AT36" s="78">
        <f>VARP(IF(INDEX(Properties!A$1:CB$87,Formula!B36,12)&lt;&gt;"",INDEX(Properties!A$1:CB$87,Formula!B36,12)),IF(INDEX(Properties!A$1:CB$87,Formula!D36,12)&lt;&gt;"",INDEX(Properties!A$1:CB$87,Formula!D36,12)),IF(INDEX(Properties!A$1:CB$87,Formula!F36,12)&lt;&gt;"",INDEX(Properties!A$1:CB$87,Formula!F36,12)),IF(INDEX(Properties!A$1:CB$87,Formula!H36,12)&lt;&gt;"",INDEX(Properties!A$1:CB$87,Formula!H36,12)),IF(INDEX(Properties!A$1:CB$87,Formula!J36,12)&lt;&gt;"",INDEX(Properties!A$1:CB$87,Formula!J36,12)))</f>
        <v>3.04</v>
      </c>
      <c r="AU36" s="78">
        <f>MAX(INDEX(Properties!A$1:CB$87,Formula!B36,12),INDEX(Properties!A$1:CB$87,Formula!D36,12),INDEX(Properties!A$1:CB$87,Formula!F36,12),INDEX(Properties!A$1:CB$87,Formula!H36,12),INDEX(Properties!A$1:CB$87,Formula!J36,12))</f>
        <v>4</v>
      </c>
      <c r="AV36" s="78">
        <f>MIN(IF(Formula!B36=87,10^6,INDEX(Properties!A$1:CB$87,Formula!B36,12)),IF((Formula!D36)=87,10^6,INDEX(Properties!A$1:CB$87,Formula!D36,12)),IF((Formula!F36)=87,10^6,INDEX(Properties!A$1:CB$87,Formula!F36,12)),IF((Formula!H36)=87,10^6,INDEX(Properties!A$1:CB$87,Formula!H36,12)),IF(Formula!J36=87,10^6,INDEX(Properties!A$1:CB$87,Formula!J36,12)))</f>
        <v>0</v>
      </c>
      <c r="AW36" s="78">
        <f t="shared" si="7"/>
        <v>4</v>
      </c>
      <c r="AX36" s="45">
        <f>((Formula!C36)/(Formula!C36+Formula!E36+Formula!G36+Formula!I36+Formula!K36))*(INDEX(Properties!A$1:CB$87,Formula!B36,13))+((Formula!E36)/(Formula!C36+Formula!E36+Formula!G36+Formula!I36+Formula!K36))*(INDEX(Properties!A$1:CB$87,Formula!D36,13))+((Formula!G36)/(Formula!C36+Formula!E36+Formula!G36+Formula!I36+Formula!K36))*(INDEX(Properties!A$1:CB$87,Formula!F36,13))+((Formula!I36)/(Formula!C36+Formula!E36+Formula!G36+Formula!I36+Formula!K36))*(INDEX(Properties!A$1:CB$87,Formula!H36,13))+((Formula!K36)/(Formula!C36+Formula!E36+Formula!G36+Formula!I36+Formula!K36))*(INDEX(Properties!A$1:CB$87,Formula!J36,13))</f>
        <v>1.1000000000000001</v>
      </c>
      <c r="AY36" s="45">
        <f>Formula!C36*(INDEX(Properties!A$1:CB$87,Formula!B36,13))+Formula!E36*(INDEX(Properties!A$1:CB$87,Formula!D36,13))+Formula!G36*(INDEX(Properties!A$1:CB$87,Formula!F36,13))+Formula!I36*(INDEX(Properties!A$1:CB$87,Formula!H36,13))+Formula!K36*(INDEX(Properties!A$1:CB$87,Formula!J36,13))</f>
        <v>11</v>
      </c>
      <c r="AZ36" s="45">
        <f>VARP(IF(INDEX(Properties!A$1:CB$87,Formula!B36,13)&lt;&gt;"",INDEX(Properties!A$1:CB$87,Formula!B36,13)),IF(INDEX(Properties!A$1:CB$87,Formula!D36,13)&lt;&gt;"",INDEX(Properties!A$1:CB$87,Formula!D36,13)),IF(INDEX(Properties!A$1:CB$87,Formula!F36,13)&lt;&gt;"",INDEX(Properties!A$1:CB$87,Formula!F36,13)),IF(INDEX(Properties!A$1:CB$87,Formula!H36,13)&lt;&gt;"",INDEX(Properties!A$1:CB$87,Formula!H36,13)),IF(INDEX(Properties!A$1:CB$87,Formula!J36,13)&lt;&gt;"",INDEX(Properties!A$1:CB$87,Formula!J36,13)))</f>
        <v>15.36</v>
      </c>
      <c r="BA36" s="45">
        <f>MAX(INDEX(Properties!A$1:CB$87,Formula!B36,13),INDEX(Properties!A$1:CB$87,Formula!D36,13),INDEX(Properties!A$1:CB$87,Formula!F36,13),INDEX(Properties!A$1:CB$87,Formula!H36,13),INDEX(Properties!A$1:CB$87,Formula!J36,13))</f>
        <v>10</v>
      </c>
      <c r="BB36" s="45">
        <f>MIN(IF(Formula!B36=87,10^6,INDEX(Properties!A$1:CB$87,Formula!B36,13)),IF((Formula!D36)=87,10^6,INDEX(Properties!A$1:CB$87,Formula!D36,13)),IF((Formula!F36)=87,10^6,INDEX(Properties!A$1:CB$87,Formula!F36,13)),IF((Formula!H36)=87,10^6,INDEX(Properties!A$1:CB$87,Formula!H36,13)),IF(Formula!J36=87,10^6,INDEX(Properties!A$1:CB$87,Formula!J36,13)))</f>
        <v>0</v>
      </c>
      <c r="BC36" s="45">
        <f t="shared" si="8"/>
        <v>10</v>
      </c>
      <c r="BD36" s="63">
        <f>((Formula!C36)/(Formula!C36+Formula!E36+Formula!G36+Formula!I36+Formula!K36))*(INDEX(Properties!A$1:CB$87,Formula!B36,14))+((Formula!E36)/(Formula!C36+Formula!E36+Formula!G36+Formula!I36+Formula!K36))*(INDEX(Properties!A$1:CB$87,Formula!D36,14))+((Formula!G36)/(Formula!C36+Formula!E36+Formula!G36+Formula!I36+Formula!K36))*(INDEX(Properties!A$1:CB$87,Formula!F36,14))+((Formula!I36)/(Formula!C36+Formula!E36+Formula!G36+Formula!I36+Formula!K36))*(INDEX(Properties!A$1:CB$87,Formula!H36,14))+((Formula!K36)/(Formula!C36+Formula!E36+Formula!G36+Formula!I36+Formula!K36))*(INDEX(Properties!A$1:CB$87,Formula!J36,14))</f>
        <v>0.70000000000000007</v>
      </c>
      <c r="BE36" s="63">
        <f>Formula!C36*(INDEX(Properties!A$1:CB$87,Formula!B36,14))+Formula!E36*(INDEX(Properties!A$1:CB$87,Formula!D36,14))+Formula!G36*(INDEX(Properties!A$1:CB$87,Formula!F36,14))+Formula!I36*(INDEX(Properties!A$1:CB$87,Formula!H36,14))+Formula!K36*(INDEX(Properties!A$1:CB$87,Formula!J36,14))</f>
        <v>7</v>
      </c>
      <c r="BF36" s="63">
        <f>VARP(IF(INDEX(Properties!A$1:CB$87,Formula!B36,14)&lt;&gt;"",INDEX(Properties!A$1:CB$87,Formula!B36,14)),IF(INDEX(Properties!A$1:CB$87,Formula!D36,14)&lt;&gt;"",INDEX(Properties!A$1:CB$87,Formula!D36,14)),IF(INDEX(Properties!A$1:CB$87,Formula!F36,14)&lt;&gt;"",INDEX(Properties!A$1:CB$87,Formula!F36,14)),IF(INDEX(Properties!A$1:CB$87,Formula!H36,14)&lt;&gt;"",INDEX(Properties!A$1:CB$87,Formula!H36,14)),IF(INDEX(Properties!A$1:CB$87,Formula!J36,14)&lt;&gt;"",INDEX(Properties!A$1:CB$87,Formula!J36,14)))</f>
        <v>7.84</v>
      </c>
      <c r="BG36" s="63">
        <f>MAX(INDEX(Properties!A$1:CB$87,Formula!B36,14),INDEX(Properties!A$1:CB$87,Formula!D36,14),INDEX(Properties!A$1:CB$87,Formula!F36,14),INDEX(Properties!A$1:CB$87,Formula!H36,14),INDEX(Properties!A$1:CB$87,Formula!J36,14))</f>
        <v>7</v>
      </c>
      <c r="BH36" s="63">
        <f>MIN(IF(Formula!B36=87,10^6,INDEX(Properties!A$1:CB$87,Formula!B36,14)),IF((Formula!D36)=87,10^6,INDEX(Properties!A$1:CB$87,Formula!D36,14)),IF((Formula!F36)=87,10^6,INDEX(Properties!A$1:CB$87,Formula!F36,14)),IF((Formula!H36)=87,10^6,INDEX(Properties!A$1:CB$87,Formula!H36,14)),IF(Formula!J36=87,10^6,INDEX(Properties!A$1:CB$87,Formula!J36,14)))</f>
        <v>0</v>
      </c>
      <c r="BI36" s="63">
        <f t="shared" si="9"/>
        <v>7</v>
      </c>
      <c r="BJ36" s="75">
        <f>((Formula!C36)/(Formula!C36+Formula!E36+Formula!G36+Formula!I36+Formula!K36))*(INDEX(Properties!A$1:CB$87,Formula!B36,19))+((Formula!E36)/(Formula!C36+Formula!E36+Formula!G36+Formula!I36+Formula!K36))*(INDEX(Properties!A$1:CB$87,Formula!D36,19))+((Formula!G36)/(Formula!C36+Formula!E36+Formula!G36+Formula!I36+Formula!K36))*(INDEX(Properties!A$1:CB$87,Formula!F36,19))+((Formula!I36)/(Formula!C36+Formula!E36+Formula!G36+Formula!I36+Formula!K36))*(INDEX(Properties!A$1:CB$87,Formula!H36,19))+((Formula!K36)/(Formula!C36+Formula!E36+Formula!G36+Formula!I36+Formula!K36))*(INDEX(Properties!A$1:CB$87,Formula!J36,19))</f>
        <v>6.5</v>
      </c>
      <c r="BK36" s="75">
        <f>Formula!C36*(INDEX(Properties!A$1:CB$87,Formula!B36,19))+Formula!E36*(INDEX(Properties!A$1:CB$87,Formula!D36,19))+Formula!G36*(INDEX(Properties!A$1:CB$87,Formula!F36,19))+Formula!I36*(INDEX(Properties!A$1:CB$87,Formula!H36,19))+Formula!K36*(INDEX(Properties!A$1:CB$87,Formula!J36,19))</f>
        <v>65</v>
      </c>
      <c r="BL36" s="75">
        <f>VARP(IF(INDEX(Properties!A$1:CB$87,Formula!B36,19)&lt;&gt;"",INDEX(Properties!A$1:CB$87,Formula!B36,19)),IF(INDEX(Properties!A$1:CB$87,Formula!D36,19)&lt;&gt;"",INDEX(Properties!A$1:CB$87,Formula!D36,19)),IF(INDEX(Properties!A$1:CB$87,Formula!F36,19)&lt;&gt;"",INDEX(Properties!A$1:CB$87,Formula!F36,19)),IF(INDEX(Properties!A$1:CB$87,Formula!H36,19)&lt;&gt;"",INDEX(Properties!A$1:CB$87,Formula!H36,19)),IF(INDEX(Properties!A$1:CB$87,Formula!J36,19)&lt;&gt;"",INDEX(Properties!A$1:CB$87,Formula!J36,19)))</f>
        <v>29.44</v>
      </c>
      <c r="BM36" s="75">
        <f>MAX(INDEX(Properties!A$1:CB$87,Formula!B36,19),INDEX(Properties!A$1:CB$87,Formula!D36,19),INDEX(Properties!A$1:CB$87,Formula!F36,19),INDEX(Properties!A$1:CB$87,Formula!H36,19),INDEX(Properties!A$1:CB$87,Formula!J36,19))</f>
        <v>15</v>
      </c>
      <c r="BN36" s="75">
        <f>MIN(IF(INDEX(Properties!A$1:CB$87,Formula!B36,19)=0,10^6,INDEX(Properties!A$1:CB$87,Formula!B36,19)),IF(INDEX(Properties!A$1:CB$87,Formula!D36,19)=0,10^6,INDEX(Properties!A$1:CB$87,Formula!D36,19)),IF(INDEX(Properties!A$1:CB$87,Formula!F36,19)=0,10^6,INDEX(Properties!A$1:CB$87,Formula!F36,19)),IF(INDEX(Properties!A$1:CB$87,Formula!H36,19)=0,10^6,INDEX(Properties!A$1:CB$87,Formula!H36,19)),IF(INDEX(Properties!A$1:CB$87,Formula!J36,19)=0,10^6,INDEX(Properties!A$1:CB$87,Formula!J36,19)))</f>
        <v>2</v>
      </c>
      <c r="BO36" s="75">
        <f t="shared" si="10"/>
        <v>13</v>
      </c>
      <c r="BP36" s="48">
        <f>((Formula!C36)/(Formula!C36+Formula!E36+Formula!G36+Formula!I36+Formula!K36))*(INDEX(Properties!A$1:CB$87,Formula!B36,20))+((Formula!E36)/(Formula!C36+Formula!E36+Formula!G36+Formula!I36+Formula!K36))*(INDEX(Properties!A$1:CB$87,Formula!D36,20))+((Formula!G36)/(Formula!C36+Formula!E36+Formula!G36+Formula!I36+Formula!K36))*(INDEX(Properties!A$1:CB$87,Formula!F36,20))+((Formula!I36)/(Formula!C36+Formula!E36+Formula!G36+Formula!I36+Formula!K36))*(INDEX(Properties!A$1:CB$87,Formula!H36,20))+((Formula!K36)/(Formula!C36+Formula!E36+Formula!G36+Formula!I36+Formula!K36))*(INDEX(Properties!A$1:CB$87,Formula!J36,20))</f>
        <v>4.6999999999999993</v>
      </c>
      <c r="BQ36" s="48">
        <f>Formula!C36*(INDEX(Properties!A$1:CB$87,Formula!B36,20))+Formula!E36*(INDEX(Properties!A$1:CB$87,Formula!D36,20))+Formula!G36*(INDEX(Properties!A$1:CB$87,Formula!F36,20))+Formula!I36*(INDEX(Properties!A$1:CB$87,Formula!H36,20))+Formula!K36*(INDEX(Properties!A$1:CB$87,Formula!J36,20))</f>
        <v>47</v>
      </c>
      <c r="BR36" s="48">
        <f>VARP(IF(INDEX(Properties!A$1:CB$87,Formula!B36,20)&lt;&gt;"",INDEX(Properties!A$1:CB$87,Formula!B36,20)),IF(INDEX(Properties!A$1:CB$87,Formula!D36,20)&lt;&gt;"",INDEX(Properties!A$1:CB$87,Formula!D36,20)),IF(INDEX(Properties!A$1:CB$87,Formula!F36,20)&lt;&gt;"",INDEX(Properties!A$1:CB$87,Formula!F36,20)),IF(INDEX(Properties!A$1:CB$87,Formula!H36,20)&lt;&gt;"",INDEX(Properties!A$1:CB$87,Formula!H36,20)),IF(INDEX(Properties!A$1:CB$87,Formula!J36,20)&lt;&gt;"",INDEX(Properties!A$1:CB$87,Formula!J36,20)))</f>
        <v>4.8</v>
      </c>
      <c r="BS36" s="48">
        <f>MAX(INDEX(Properties!A$1:CB$87,Formula!B36,20),INDEX(Properties!A$1:CB$87,Formula!D36,20),INDEX(Properties!A$1:CB$87,Formula!F36,20),INDEX(Properties!A$1:CB$87,Formula!H36,20),INDEX(Properties!A$1:CB$87,Formula!J36,20))</f>
        <v>6</v>
      </c>
      <c r="BT36" s="48">
        <f>MIN(IF(INDEX(Properties!A$1:CB$87,Formula!B36,20)=0,10^6,INDEX(Properties!A$1:CB$87,Formula!B36,20)),IF(INDEX(Properties!A$1:CB$87,Formula!D36,20)=0,10^6,INDEX(Properties!A$1:CB$87,Formula!D36,20)),IF(INDEX(Properties!A$1:CB$87,Formula!F36,20)=0,10^6,INDEX(Properties!A$1:CB$87,Formula!F36,20)),IF(INDEX(Properties!A$1:CB$87,Formula!H36,20)=0,10^6,INDEX(Properties!A$1:CB$87,Formula!H36,20)),IF(INDEX(Properties!A$1:CB$87,Formula!J36,20)=0,10^6,INDEX(Properties!A$1:CB$87,Formula!J36,20)))</f>
        <v>2</v>
      </c>
      <c r="BU36" s="48">
        <f t="shared" si="11"/>
        <v>4</v>
      </c>
      <c r="BV36" s="66">
        <f>((Formula!C36)/(Formula!C36+Formula!E36+Formula!G36+Formula!I36+Formula!K36))*(INDEX(Properties!A$1:CB$87,Formula!B36,21))+((Formula!E36)/(Formula!C36+Formula!E36+Formula!G36+Formula!I36+Formula!K36))*(INDEX(Properties!A$1:CB$87,Formula!D36,21))+((Formula!G36)/(Formula!C36+Formula!E36+Formula!G36+Formula!I36+Formula!K36))*(INDEX(Properties!A$1:CB$87,Formula!F36,21))+((Formula!I36)/(Formula!C36+Formula!E36+Formula!G36+Formula!I36+Formula!K36))*(INDEX(Properties!A$1:CB$87,Formula!H36,21))+((Formula!K36)/(Formula!C36+Formula!E36+Formula!G36+Formula!I36+Formula!K36))*(INDEX(Properties!A$1:CB$87,Formula!J36,21))</f>
        <v>4.8</v>
      </c>
      <c r="BW36" s="66">
        <f>Formula!C36*(INDEX(Properties!A$1:CB$87,Formula!B36,21))+Formula!E36*(INDEX(Properties!A$1:CB$87,Formula!D36,21))+Formula!G36*(INDEX(Properties!A$1:CB$87,Formula!F36,21))+Formula!I36*(INDEX(Properties!A$1:CB$87,Formula!H36,21))+Formula!K36*(INDEX(Properties!A$1:CB$87,Formula!J36,21))</f>
        <v>48</v>
      </c>
      <c r="BX36" s="66">
        <f>VARP(IF(INDEX(Properties!A$1:CB$87,Formula!B36,21)&lt;&gt;"",INDEX(Properties!A$1:CB$87,Formula!B36,21)),IF(INDEX(Properties!A$1:CB$87,Formula!D36,21)&lt;&gt;"",INDEX(Properties!A$1:CB$87,Formula!D36,21)),IF(INDEX(Properties!A$1:CB$87,Formula!F36,21)&lt;&gt;"",INDEX(Properties!A$1:CB$87,Formula!F36,21)),IF(INDEX(Properties!A$1:CB$87,Formula!H36,21)&lt;&gt;"",INDEX(Properties!A$1:CB$87,Formula!H36,21)),IF(INDEX(Properties!A$1:CB$87,Formula!J36,21)&lt;&gt;"",INDEX(Properties!A$1:CB$87,Formula!J36,21)))</f>
        <v>4.5599999999999996</v>
      </c>
      <c r="BY36" s="66">
        <f>MAX(INDEX(Properties!A$1:CB$87,Formula!B36,21),INDEX(Properties!A$1:CB$87,Formula!D36,21),INDEX(Properties!A$1:CB$87,Formula!F36,21),INDEX(Properties!A$1:CB$87,Formula!H36,21),INDEX(Properties!A$1:CB$87,Formula!J36,21))</f>
        <v>6</v>
      </c>
      <c r="BZ36" s="66">
        <f>MIN(IF(INDEX(Properties!A$1:CB$87,Formula!B36,21)=0,10^6,INDEX(Properties!A$1:CB$87,Formula!B36,21)),IF(INDEX(Properties!A$1:CB$87,Formula!D36,21)=0,10^6,INDEX(Properties!A$1:CB$87,Formula!D36,21)),IF(INDEX(Properties!A$1:CB$87,Formula!F36,21)=0,10^6,INDEX(Properties!A$1:CB$87,Formula!F36,21)),IF(INDEX(Properties!A$1:CB$87,Formula!H36,21)=0,10^6,INDEX(Properties!A$1:CB$87,Formula!H36,21)),IF(INDEX(Properties!A$1:CB$87,Formula!J36,21)=0,10^6,INDEX(Properties!A$1:CB$87,Formula!J36,21)))</f>
        <v>2</v>
      </c>
      <c r="CA36" s="66">
        <f t="shared" si="12"/>
        <v>4</v>
      </c>
      <c r="CB36" s="81">
        <f>((Formula!C36)/(Formula!C36+Formula!E36+Formula!G36+Formula!I36+Formula!K36))*(INDEX(Properties!A$1:CB$87,Formula!B36,23))+((Formula!E36)/(Formula!C36+Formula!E36+Formula!G36+Formula!I36+Formula!K36))*(INDEX(Properties!A$1:CB$87,Formula!D36,23))+((Formula!G36)/(Formula!C36+Formula!E36+Formula!G36+Formula!I36+Formula!K36))*(INDEX(Properties!A$1:CB$87,Formula!F36,23))+((Formula!I36)/(Formula!C36+Formula!E36+Formula!G36+Formula!I36+Formula!K36))*(INDEX(Properties!A$1:CB$87,Formula!H36,23))+((Formula!K36)/(Formula!C36+Formula!E36+Formula!G36+Formula!I36+Formula!K36))*(INDEX(Properties!A$1:CB$87,Formula!J36,23))</f>
        <v>1</v>
      </c>
      <c r="CC36" s="81">
        <f>Formula!C36*(INDEX(Properties!A$1:CB$87,Formula!B36,23))+Formula!E36*(INDEX(Properties!A$1:CB$87,Formula!D36,23))+Formula!G36*(INDEX(Properties!A$1:CB$87,Formula!F36,23))+Formula!I36*(INDEX(Properties!A$1:CB$87,Formula!H36,23))+Formula!K36*(INDEX(Properties!A$1:CB$87,Formula!J36,23))</f>
        <v>10</v>
      </c>
      <c r="CD36" s="81">
        <f>VARP(IF(INDEX(Properties!A$1:CB$87,Formula!B36,23)&lt;&gt;"",INDEX(Properties!A$1:CB$87,Formula!B36,23)),IF(INDEX(Properties!A$1:CB$87,Formula!D36,23)&lt;&gt;"",INDEX(Properties!A$1:CB$87,Formula!D36,23)),IF(INDEX(Properties!A$1:CB$87,Formula!F36,23)&lt;&gt;"",INDEX(Properties!A$1:CB$87,Formula!F36,23)),IF(INDEX(Properties!A$1:CB$87,Formula!H36,23)&lt;&gt;"",INDEX(Properties!A$1:CB$87,Formula!H36,23)),IF(INDEX(Properties!A$1:CB$87,Formula!J36,23)&lt;&gt;"",INDEX(Properties!A$1:CB$87,Formula!J36,23)))</f>
        <v>1.84</v>
      </c>
      <c r="CE36" s="81">
        <f>MAX(INDEX(Properties!A$1:CB$87,Formula!B36,23),INDEX(Properties!A$1:CB$87,Formula!D36,23),INDEX(Properties!A$1:CB$87,Formula!F36,23),INDEX(Properties!A$1:CB$87,Formula!H36,23),INDEX(Properties!A$1:CB$87,Formula!J36,23))</f>
        <v>3</v>
      </c>
      <c r="CF36" s="81">
        <f>MIN(IF(Formula!B36=87,10^6,INDEX(Properties!A$1:CB$87,Formula!B36,23)),IF((Formula!D36)=87,10^6,INDEX(Properties!A$1:CB$87,Formula!D36,23)),IF((Formula!F36)=87,10^6,INDEX(Properties!A$1:CB$87,Formula!F36,23)),IF((Formula!H36)=87,10^6,INDEX(Properties!A$1:CB$87,Formula!H36,23)),IF(Formula!J36=87,10^6,INDEX(Properties!A$1:CB$87,Formula!J36,23)))</f>
        <v>0</v>
      </c>
      <c r="CG36" s="81">
        <f t="shared" si="13"/>
        <v>3</v>
      </c>
      <c r="CH36" s="39">
        <f>((Formula!C36)/(Formula!C36+Formula!E36+Formula!G36+Formula!I36+Formula!K36))*(INDEX(Properties!A$1:CB$87,Formula!B36,26))+((Formula!E36)/(Formula!C36+Formula!E36+Formula!G36+Formula!I36+Formula!K36))*(INDEX(Properties!A$1:CB$87,Formula!D36,26))+((Formula!G36)/(Formula!C36+Formula!E36+Formula!G36+Formula!I36+Formula!K36))*(INDEX(Properties!A$1:CB$87,Formula!F36,26))+((Formula!I36)/(Formula!C36+Formula!E36+Formula!G36+Formula!I36+Formula!K36))*(INDEX(Properties!A$1:CB$87,Formula!H36,26))+((Formula!K36)/(Formula!C36+Formula!E36+Formula!G36+Formula!I36+Formula!K36))*(INDEX(Properties!A$1:CB$87,Formula!J36,26))</f>
        <v>10.78566</v>
      </c>
      <c r="CI36" s="39">
        <f>Formula!C36*(INDEX(Properties!A$1:CB$87,Formula!B36,26))+Formula!E36*(INDEX(Properties!A$1:CB$87,Formula!D36,26))+Formula!G36*(INDEX(Properties!A$1:CB$87,Formula!F36,26))+Formula!I36*(INDEX(Properties!A$1:CB$87,Formula!H36,26))+Formula!K36*(INDEX(Properties!A$1:CB$87,Formula!J36,26))</f>
        <v>107.8566</v>
      </c>
      <c r="CJ36" s="39">
        <f>VARP(IF(INDEX(Properties!A$1:CB$87,Formula!B36,26)&lt;&gt;"",INDEX(Properties!A$1:CB$87,Formula!B36,26)),IF(INDEX(Properties!A$1:CB$87,Formula!D36,26)&lt;&gt;"",INDEX(Properties!A$1:CB$87,Formula!D36,26)),IF(INDEX(Properties!A$1:CB$87,Formula!F36,26)&lt;&gt;"",INDEX(Properties!A$1:CB$87,Formula!F36,26)),IF(INDEX(Properties!A$1:CB$87,Formula!H36,26)&lt;&gt;"",INDEX(Properties!A$1:CB$87,Formula!H36,26)),IF(INDEX(Properties!A$1:CB$87,Formula!J36,26)&lt;&gt;"",INDEX(Properties!A$1:CB$87,Formula!J36,26)))</f>
        <v>19.527958066400007</v>
      </c>
      <c r="CK36" s="39">
        <f>MAX(INDEX(Properties!A$1:CB$87,Formula!B36,26),INDEX(Properties!A$1:CB$87,Formula!D36,26),INDEX(Properties!A$1:CB$87,Formula!F36,26),INDEX(Properties!A$1:CB$87,Formula!H36,26),INDEX(Properties!A$1:CB$87,Formula!J36,26))</f>
        <v>13.6181</v>
      </c>
      <c r="CL36" s="39">
        <f>MIN(IF(INDEX(Properties!A$1:CB$87,Formula!B36,26)=0,10^6,INDEX(Properties!A$1:CB$87,Formula!B36,26)),IF(INDEX(Properties!A$1:CB$87,Formula!D36,26)=0,10^6,INDEX(Properties!A$1:CB$87,Formula!D36,26)),IF(INDEX(Properties!A$1:CB$87,Formula!F36,26)=0,10^6,INDEX(Properties!A$1:CB$87,Formula!F36,26)),IF(INDEX(Properties!A$1:CB$87,Formula!H36,26)=0,10^6,INDEX(Properties!A$1:CB$87,Formula!H36,26)),IF(INDEX(Properties!A$1:CB$87,Formula!J36,26)=0,10^6,INDEX(Properties!A$1:CB$87,Formula!J36,26)))</f>
        <v>5.6948999999999996</v>
      </c>
      <c r="CM36" s="39">
        <f t="shared" si="14"/>
        <v>7.9232000000000005</v>
      </c>
      <c r="CN36" s="54">
        <f>((Formula!C36)/(Formula!C36+Formula!E36+Formula!G36+Formula!I36+Formula!K36))*(INDEX(Properties!A$1:CB$87,Formula!B36,30))+((Formula!E36)/(Formula!C36+Formula!E36+Formula!G36+Formula!I36+Formula!K36))*(INDEX(Properties!A$1:CB$87,Formula!D36,30))+((Formula!G36)/(Formula!C36+Formula!E36+Formula!G36+Formula!I36+Formula!K36))*(INDEX(Properties!A$1:CB$87,Formula!F36,30))+((Formula!I36)/(Formula!C36+Formula!E36+Formula!G36+Formula!I36+Formula!K36))*(INDEX(Properties!A$1:CB$87,Formula!H36,30))+((Formula!K36)/(Formula!C36+Formula!E36+Formula!G36+Formula!I36+Formula!K36))*(INDEX(Properties!A$1:CB$87,Formula!J36,30))</f>
        <v>2.5790000000000002</v>
      </c>
      <c r="CO36" s="54">
        <f>Formula!C36*(INDEX(Properties!A$1:CB$87,Formula!B36,30))+Formula!E36*(INDEX(Properties!A$1:CB$87,Formula!D36,30))+Formula!G36*(INDEX(Properties!A$1:CB$87,Formula!F36,30))+Formula!I36*(INDEX(Properties!A$1:CB$87,Formula!H36,30))+Formula!K36*(INDEX(Properties!A$1:CB$87,Formula!J36,30))</f>
        <v>25.79</v>
      </c>
      <c r="CP36" s="54">
        <f>VARP(IF(INDEX(Properties!A$1:CB$87,Formula!B36,30)&lt;&gt;"",INDEX(Properties!A$1:CB$87,Formula!B36,30)),IF(INDEX(Properties!A$1:CB$87,Formula!D36,30)&lt;&gt;"",INDEX(Properties!A$1:CB$87,Formula!D36,30)),IF(INDEX(Properties!A$1:CB$87,Formula!F36,30)&lt;&gt;"",INDEX(Properties!A$1:CB$87,Formula!F36,30)),IF(INDEX(Properties!A$1:CB$87,Formula!H36,30)&lt;&gt;"",INDEX(Properties!A$1:CB$87,Formula!H36,30)),IF(INDEX(Properties!A$1:CB$87,Formula!J36,30)&lt;&gt;"",INDEX(Properties!A$1:CB$87,Formula!J36,30)))</f>
        <v>1.3409360000000006</v>
      </c>
      <c r="CQ36" s="54">
        <f>MAX(INDEX(Properties!A$1:CB$87,Formula!B36,30),INDEX(Properties!A$1:CB$87,Formula!D36,30),INDEX(Properties!A$1:CB$87,Formula!F36,30),INDEX(Properties!A$1:CB$87,Formula!H36,30),INDEX(Properties!A$1:CB$87,Formula!J36,30))</f>
        <v>3.44</v>
      </c>
      <c r="CR36" s="54">
        <f>MIN(IF(INDEX(Properties!A$1:CB$87,Formula!B36,30)=0,10^6,INDEX(Properties!A$1:CB$87,Formula!B36,30)),IF(INDEX(Properties!A$1:CB$87,Formula!D36,30)=0,10^6,INDEX(Properties!A$1:CB$87,Formula!D36,30)),IF(INDEX(Properties!A$1:CB$87,Formula!F36,30)=0,10^6,INDEX(Properties!A$1:CB$87,Formula!F36,30)),IF(INDEX(Properties!A$1:CB$87,Formula!H36,30)=0,10^6,INDEX(Properties!A$1:CB$87,Formula!H36,30)),IF(INDEX(Properties!A$1:CB$87,Formula!J36,30)=0,10^6,INDEX(Properties!A$1:CB$87,Formula!J36,30)))</f>
        <v>0.95</v>
      </c>
      <c r="CS36" s="54">
        <f t="shared" si="15"/>
        <v>2.4900000000000002</v>
      </c>
      <c r="CT36" s="69">
        <f>((Formula!C36)/(Formula!C36+Formula!E36+Formula!G36+Formula!I36+Formula!K36))*(INDEX(Properties!A$1:CB$87,Formula!B36,31))+((Formula!E36)/(Formula!C36+Formula!E36+Formula!G36+Formula!I36+Formula!K36))*(INDEX(Properties!A$1:CB$87,Formula!D36,31))+((Formula!G36)/(Formula!C36+Formula!E36+Formula!G36+Formula!I36+Formula!K36))*(INDEX(Properties!A$1:CB$87,Formula!F36,31))+((Formula!I36)/(Formula!C36+Formula!E36+Formula!G36+Formula!I36+Formula!K36))*(INDEX(Properties!A$1:CB$87,Formula!H36,31))+((Formula!K36)/(Formula!C36+Formula!E36+Formula!G36+Formula!I36+Formula!K36))*(INDEX(Properties!A$1:CB$87,Formula!J36,31))</f>
        <v>2.5419999999999998</v>
      </c>
      <c r="CU36" s="69">
        <f>Formula!C36*(INDEX(Properties!A$1:CB$87,Formula!B36,31))+Formula!E36*(INDEX(Properties!A$1:CB$87,Formula!D36,31))+Formula!G36*(INDEX(Properties!A$1:CB$87,Formula!F36,31))+Formula!I36*(INDEX(Properties!A$1:CB$87,Formula!H36,31))+Formula!K36*(INDEX(Properties!A$1:CB$87,Formula!J36,31))</f>
        <v>25.419999999999998</v>
      </c>
      <c r="CV36" s="69">
        <f>VARP(IF(INDEX(Properties!A$1:CB$87,Formula!B36,31)&lt;&gt;"",INDEX(Properties!A$1:CB$87,Formula!B36,31)),IF(INDEX(Properties!A$1:CB$87,Formula!D36,31)&lt;&gt;"",INDEX(Properties!A$1:CB$87,Formula!D36,31)),IF(INDEX(Properties!A$1:CB$87,Formula!F36,31)&lt;&gt;"",INDEX(Properties!A$1:CB$87,Formula!F36,31)),IF(INDEX(Properties!A$1:CB$87,Formula!H36,31)&lt;&gt;"",INDEX(Properties!A$1:CB$87,Formula!H36,31)),IF(INDEX(Properties!A$1:CB$87,Formula!J36,31)&lt;&gt;"",INDEX(Properties!A$1:CB$87,Formula!J36,31)))</f>
        <v>1.2523359999999999</v>
      </c>
      <c r="CW36" s="69">
        <f>MAX(INDEX(Properties!A$1:CB$87,Formula!B36,31),INDEX(Properties!A$1:CB$87,Formula!D36,31),INDEX(Properties!A$1:CB$87,Formula!F36,31),INDEX(Properties!A$1:CB$87,Formula!H36,31),INDEX(Properties!A$1:CB$87,Formula!J36,31))</f>
        <v>3.32</v>
      </c>
      <c r="CX36" s="69">
        <f>MIN(IF(INDEX(Properties!A$1:CB$87,Formula!B36,31)=0,10^6,INDEX(Properties!A$1:CB$87,Formula!B36,31)),IF(INDEX(Properties!A$1:CB$87,Formula!D36,31)=0,10^6,INDEX(Properties!A$1:CB$87,Formula!D36,31)),IF(INDEX(Properties!A$1:CB$87,Formula!F36,31)=0,10^6,INDEX(Properties!A$1:CB$87,Formula!F36,31)),IF(INDEX(Properties!A$1:CB$87,Formula!H36,31)=0,10^6,INDEX(Properties!A$1:CB$87,Formula!H36,31)),IF(INDEX(Properties!A$1:CB$87,Formula!J36,31)=0,10^6,INDEX(Properties!A$1:CB$87,Formula!J36,31)))</f>
        <v>1.1000000000000001</v>
      </c>
      <c r="CY36" s="69">
        <f t="shared" si="16"/>
        <v>2.2199999999999998</v>
      </c>
      <c r="CZ36" s="42">
        <f>((Formula!C36)/(Formula!C36+Formula!E36+Formula!G36+Formula!I36+Formula!K36))*(INDEX(Properties!A$1:CB$87,Formula!B36,32))+((Formula!E36)/(Formula!C36+Formula!E36+Formula!G36+Formula!I36+Formula!K36))*(INDEX(Properties!A$1:CB$87,Formula!D36,32))+((Formula!G36)/(Formula!C36+Formula!E36+Formula!G36+Formula!I36+Formula!K36))*(INDEX(Properties!A$1:CB$87,Formula!F36,32))+((Formula!I36)/(Formula!C36+Formula!E36+Formula!G36+Formula!I36+Formula!K36))*(INDEX(Properties!A$1:CB$87,Formula!H36,32))+((Formula!K36)/(Formula!C36+Formula!E36+Formula!G36+Formula!I36+Formula!K36))*(INDEX(Properties!A$1:CB$87,Formula!J36,32))</f>
        <v>5.7190000000000003</v>
      </c>
      <c r="DA36" s="42">
        <f>Formula!C36*(INDEX(Properties!A$1:CB$87,Formula!B36,32))+Formula!E36*(INDEX(Properties!A$1:CB$87,Formula!D36,32))+Formula!G36*(INDEX(Properties!A$1:CB$87,Formula!F36,32))+Formula!I36*(INDEX(Properties!A$1:CB$87,Formula!H36,32))+Formula!K36*(INDEX(Properties!A$1:CB$87,Formula!J36,32))</f>
        <v>57.19</v>
      </c>
      <c r="DB36" s="42">
        <f>VARP(IF(INDEX(Properties!A$1:CB$87,Formula!B36,32)&lt;&gt;"",INDEX(Properties!A$1:CB$87,Formula!B36,32)),IF(INDEX(Properties!A$1:CB$87,Formula!D36,32)&lt;&gt;"",INDEX(Properties!A$1:CB$87,Formula!D36,32)),IF(INDEX(Properties!A$1:CB$87,Formula!F36,32)&lt;&gt;"",INDEX(Properties!A$1:CB$87,Formula!F36,32)),IF(INDEX(Properties!A$1:CB$87,Formula!H36,32)&lt;&gt;"",INDEX(Properties!A$1:CB$87,Formula!H36,32)),IF(INDEX(Properties!A$1:CB$87,Formula!J36,32)&lt;&gt;"",INDEX(Properties!A$1:CB$87,Formula!J36,32)))</f>
        <v>6.5608160000000018</v>
      </c>
      <c r="DC36" s="42">
        <f>MAX(INDEX(Properties!A$1:CB$87,Formula!B36,32),INDEX(Properties!A$1:CB$87,Formula!D36,32),INDEX(Properties!A$1:CB$87,Formula!F36,32),INDEX(Properties!A$1:CB$87,Formula!H36,32),INDEX(Properties!A$1:CB$87,Formula!J36,32))</f>
        <v>7.54</v>
      </c>
      <c r="DD36" s="42">
        <f>MIN(IF(INDEX(Properties!A$1:CB$87,Formula!B36,32)=0,10^6,INDEX(Properties!A$1:CB$87,Formula!B36,32)),IF(INDEX(Properties!A$1:CB$87,Formula!D36,32)=0,10^6,INDEX(Properties!A$1:CB$87,Formula!D36,32)),IF(INDEX(Properties!A$1:CB$87,Formula!F36,32)=0,10^6,INDEX(Properties!A$1:CB$87,Formula!F36,32)),IF(INDEX(Properties!A$1:CB$87,Formula!H36,32)=0,10^6,INDEX(Properties!A$1:CB$87,Formula!H36,32)),IF(INDEX(Properties!A$1:CB$87,Formula!J36,32)=0,10^6,INDEX(Properties!A$1:CB$87,Formula!J36,32)))</f>
        <v>2</v>
      </c>
      <c r="DE36" s="42">
        <f t="shared" si="17"/>
        <v>5.54</v>
      </c>
      <c r="DF36" s="60">
        <f>((Formula!C36)/(Formula!C36+Formula!E36+Formula!G36+Formula!I36+Formula!K36))*(INDEX(Properties!A$1:CB$87,Formula!B36,34))+((Formula!E36)/(Formula!C36+Formula!E36+Formula!G36+Formula!I36+Formula!K36))*(INDEX(Properties!A$1:CB$87,Formula!D36,34))+((Formula!G36)/(Formula!C36+Formula!E36+Formula!G36+Formula!I36+Formula!K36))*(INDEX(Properties!A$1:CB$87,Formula!F36,34))+((Formula!I36)/(Formula!C36+Formula!E36+Formula!G36+Formula!I36+Formula!K36))*(INDEX(Properties!A$1:CB$87,Formula!H36,34))+((Formula!K36)/(Formula!C36+Formula!E36+Formula!G36+Formula!I36+Formula!K36))*(INDEX(Properties!A$1:CB$87,Formula!J36,34))</f>
        <v>2.6659999999999999</v>
      </c>
      <c r="DG36" s="60">
        <f>Formula!C36*(INDEX(Properties!A$1:CB$87,Formula!B36,34))+Formula!E36*(INDEX(Properties!A$1:CB$87,Formula!D36,34))+Formula!G36*(INDEX(Properties!A$1:CB$87,Formula!F36,34))+Formula!I36*(INDEX(Properties!A$1:CB$87,Formula!H36,34))+Formula!K36*(INDEX(Properties!A$1:CB$87,Formula!J36,34))</f>
        <v>26.66</v>
      </c>
      <c r="DH36" s="60">
        <f>VARP(IF(INDEX(Properties!A$1:CB$87,Formula!B36,34)&lt;&gt;"",INDEX(Properties!A$1:CB$87,Formula!B36,34)),IF(INDEX(Properties!A$1:CB$87,Formula!D36,34)&lt;&gt;"",INDEX(Properties!A$1:CB$87,Formula!D36,34)),IF(INDEX(Properties!A$1:CB$87,Formula!F36,34)&lt;&gt;"",INDEX(Properties!A$1:CB$87,Formula!F36,34)),IF(INDEX(Properties!A$1:CB$87,Formula!H36,34)&lt;&gt;"",INDEX(Properties!A$1:CB$87,Formula!H36,34)),IF(INDEX(Properties!A$1:CB$87,Formula!J36,34)&lt;&gt;"",INDEX(Properties!A$1:CB$87,Formula!J36,34)))</f>
        <v>1.477700639999999</v>
      </c>
      <c r="DI36" s="60">
        <f>MAX(INDEX(Properties!A$1:CB$87,Formula!B36,34),INDEX(Properties!A$1:CB$87,Formula!D36,34),INDEX(Properties!A$1:CB$87,Formula!F36,34),INDEX(Properties!A$1:CB$87,Formula!H36,34),INDEX(Properties!A$1:CB$87,Formula!J36,34))</f>
        <v>3.61</v>
      </c>
      <c r="DJ36" s="60">
        <f>MIN(IF(INDEX(Properties!A$1:CB$87,Formula!B36,34)=0,10^6,INDEX(Properties!A$1:CB$87,Formula!B36,34)),IF(INDEX(Properties!A$1:CB$87,Formula!D36,34)=0,10^6,INDEX(Properties!A$1:CB$87,Formula!D36,34)),IF(INDEX(Properties!A$1:CB$87,Formula!F36,34)=0,10^6,INDEX(Properties!A$1:CB$87,Formula!F36,34)),IF(INDEX(Properties!A$1:CB$87,Formula!H36,34)=0,10^6,INDEX(Properties!A$1:CB$87,Formula!H36,34)),IF(INDEX(Properties!A$1:CB$87,Formula!J36,34)=0,10^6,INDEX(Properties!A$1:CB$87,Formula!J36,34)))</f>
        <v>0.96299999999999997</v>
      </c>
      <c r="DK36" s="60">
        <f t="shared" si="18"/>
        <v>2.6469999999999998</v>
      </c>
      <c r="DL36" s="45">
        <f>((Formula!C36)/(Formula!C36+Formula!E36+Formula!G36+Formula!I36+Formula!K36))*(INDEX(Properties!A$1:CB$87,Formula!B36,39))+((Formula!E36)/(Formula!C36+Formula!E36+Formula!G36+Formula!I36+Formula!K36))*(INDEX(Properties!A$1:CB$87,Formula!D36,39))+((Formula!G36)/(Formula!C36+Formula!E36+Formula!G36+Formula!I36+Formula!K36))*(INDEX(Properties!A$1:CB$87,Formula!F36,39))+((Formula!I36)/(Formula!C36+Formula!E36+Formula!G36+Formula!I36+Formula!K36))*(INDEX(Properties!A$1:CB$87,Formula!H36,39))+((Formula!K36)/(Formula!C36+Formula!E36+Formula!G36+Formula!I36+Formula!K36))*(INDEX(Properties!A$1:CB$87,Formula!J36,39))</f>
        <v>1.0920000000000001</v>
      </c>
      <c r="DM36" s="45">
        <f>Formula!C36*(INDEX(Properties!A$1:CB$87,Formula!B36,39))+Formula!E36*(INDEX(Properties!A$1:CB$87,Formula!D36,39))+Formula!G36*(INDEX(Properties!A$1:CB$87,Formula!F36,39))+Formula!I36*(INDEX(Properties!A$1:CB$87,Formula!H36,39))+Formula!K36*(INDEX(Properties!A$1:CB$87,Formula!J36,39))</f>
        <v>10.919999999999998</v>
      </c>
      <c r="DN36" s="45">
        <f>VARP(IF(INDEX(Properties!A$1:CB$87,Formula!B36,39)&lt;&gt;"",INDEX(Properties!A$1:CB$87,Formula!B36,39)),IF(INDEX(Properties!A$1:CB$87,Formula!D36,39)&lt;&gt;"",INDEX(Properties!A$1:CB$87,Formula!D36,39)),IF(INDEX(Properties!A$1:CB$87,Formula!F36,39)&lt;&gt;"",INDEX(Properties!A$1:CB$87,Formula!F36,39)),IF(INDEX(Properties!A$1:CB$87,Formula!H36,39)&lt;&gt;"",INDEX(Properties!A$1:CB$87,Formula!H36,39)),IF(INDEX(Properties!A$1:CB$87,Formula!J36,39)&lt;&gt;"",INDEX(Properties!A$1:CB$87,Formula!J36,39)))</f>
        <v>0.84210400000000019</v>
      </c>
      <c r="DO36" s="45">
        <f>MAX(INDEX(Properties!A$1:CB$87,Formula!B36,39),INDEX(Properties!A$1:CB$87,Formula!D36,39),INDEX(Properties!A$1:CB$87,Formula!F36,39),INDEX(Properties!A$1:CB$87,Formula!H36,39),INDEX(Properties!A$1:CB$87,Formula!J36,39))</f>
        <v>2.33</v>
      </c>
      <c r="DP36" s="45">
        <f>MIN(IF(INDEX(Properties!A$1:CB$87,Formula!B36,39)=0,10^6,INDEX(Properties!A$1:CB$87,Formula!B36,39)),IF(INDEX(Properties!A$1:CB$87,Formula!D36,39)=0,10^6,INDEX(Properties!A$1:CB$87,Formula!D36,39)),IF(INDEX(Properties!A$1:CB$87,Formula!F36,39)=0,10^6,INDEX(Properties!A$1:CB$87,Formula!F36,39)),IF(INDEX(Properties!A$1:CB$87,Formula!H36,39)=0,10^6,INDEX(Properties!A$1:CB$87,Formula!H36,39)),IF(INDEX(Properties!A$1:CB$87,Formula!J36,39)=0,10^6,INDEX(Properties!A$1:CB$87,Formula!J36,39)))</f>
        <v>0.48</v>
      </c>
      <c r="DQ36" s="45">
        <f t="shared" si="19"/>
        <v>1.85</v>
      </c>
      <c r="DR36" s="63">
        <f>((Formula!C36)/(Formula!C36+Formula!E36+Formula!G36+Formula!I36+Formula!K36))*(INDEX(Properties!A$1:CB$87,Formula!B36,40))+((Formula!E36)/(Formula!C36+Formula!E36+Formula!G36+Formula!I36+Formula!K36))*(INDEX(Properties!A$1:CB$87,Formula!D36,40))+((Formula!G36)/(Formula!C36+Formula!E36+Formula!G36+Formula!I36+Formula!K36))*(INDEX(Properties!A$1:CB$87,Formula!F36,40))+((Formula!I36)/(Formula!C36+Formula!E36+Formula!G36+Formula!I36+Formula!K36))*(INDEX(Properties!A$1:CB$87,Formula!H36,40))+((Formula!K36)/(Formula!C36+Formula!E36+Formula!G36+Formula!I36+Formula!K36))*(INDEX(Properties!A$1:CB$87,Formula!J36,40))</f>
        <v>1.121</v>
      </c>
      <c r="DS36" s="63">
        <f>Formula!C36*(INDEX(Properties!A$1:CB$87,Formula!B36,40))+Formula!E36*(INDEX(Properties!A$1:CB$87,Formula!D36,40))+Formula!G36*(INDEX(Properties!A$1:CB$87,Formula!F36,40))+Formula!I36*(INDEX(Properties!A$1:CB$87,Formula!H36,40))+Formula!K36*(INDEX(Properties!A$1:CB$87,Formula!J36,40))</f>
        <v>11.21</v>
      </c>
      <c r="DT36" s="63">
        <f>VARP(IF(INDEX(Properties!A$1:CB$87,Formula!B36,40)&lt;&gt;"",INDEX(Properties!A$1:CB$87,Formula!B36,40)),IF(INDEX(Properties!A$1:CB$87,Formula!D36,40)&lt;&gt;"",INDEX(Properties!A$1:CB$87,Formula!D36,40)),IF(INDEX(Properties!A$1:CB$87,Formula!F36,40)&lt;&gt;"",INDEX(Properties!A$1:CB$87,Formula!F36,40)),IF(INDEX(Properties!A$1:CB$87,Formula!H36,40)&lt;&gt;"",INDEX(Properties!A$1:CB$87,Formula!H36,40)),IF(INDEX(Properties!A$1:CB$87,Formula!J36,40)&lt;&gt;"",INDEX(Properties!A$1:CB$87,Formula!J36,40)))</f>
        <v>0.47077599999999975</v>
      </c>
      <c r="DU36" s="63">
        <f>MAX(INDEX(Properties!A$1:CB$87,Formula!B36,40),INDEX(Properties!A$1:CB$87,Formula!D36,40),INDEX(Properties!A$1:CB$87,Formula!F36,40),INDEX(Properties!A$1:CB$87,Formula!H36,40),INDEX(Properties!A$1:CB$87,Formula!J36,40))</f>
        <v>1.92</v>
      </c>
      <c r="DV36" s="63">
        <f>MIN(IF(INDEX(Properties!A$1:CB$87,Formula!B36,40)=0,10^6,INDEX(Properties!A$1:CB$87,Formula!B36,40)),IF(INDEX(Properties!A$1:CB$87,Formula!D36,40)=0,10^6,INDEX(Properties!A$1:CB$87,Formula!D36,40)),IF(INDEX(Properties!A$1:CB$87,Formula!F36,40)=0,10^6,INDEX(Properties!A$1:CB$87,Formula!F36,40)),IF(INDEX(Properties!A$1:CB$87,Formula!H36,40)=0,10^6,INDEX(Properties!A$1:CB$87,Formula!H36,40)),IF(INDEX(Properties!A$1:CB$87,Formula!J36,40)=0,10^6,INDEX(Properties!A$1:CB$87,Formula!J36,40)))</f>
        <v>0.73</v>
      </c>
      <c r="DW36" s="63">
        <f t="shared" si="20"/>
        <v>1.19</v>
      </c>
      <c r="DX36" s="75">
        <f>((Formula!C36)/(Formula!C36+Formula!E36+Formula!G36+Formula!I36+Formula!K36))*(INDEX(Properties!A$1:CB$87,Formula!B36,41))+((Formula!E36)/(Formula!C36+Formula!E36+Formula!G36+Formula!I36+Formula!K36))*(INDEX(Properties!A$1:CB$87,Formula!D36,41))+((Formula!G36)/(Formula!C36+Formula!E36+Formula!G36+Formula!I36+Formula!K36))*(INDEX(Properties!A$1:CB$87,Formula!F36,41))+((Formula!I36)/(Formula!C36+Formula!E36+Formula!G36+Formula!I36+Formula!K36))*(INDEX(Properties!A$1:CB$87,Formula!H36,41))+((Formula!K36)/(Formula!C36+Formula!E36+Formula!G36+Formula!I36+Formula!K36))*(INDEX(Properties!A$1:CB$87,Formula!J36,41))</f>
        <v>1.218</v>
      </c>
      <c r="DY36" s="75">
        <f>Formula!C36*(INDEX(Properties!A$1:CB$87,Formula!B36,41))+Formula!E36*(INDEX(Properties!A$1:CB$87,Formula!D36,41))+Formula!G36*(INDEX(Properties!A$1:CB$87,Formula!F36,41))+Formula!I36*(INDEX(Properties!A$1:CB$87,Formula!H36,41))+Formula!K36*(INDEX(Properties!A$1:CB$87,Formula!J36,41))</f>
        <v>12.18</v>
      </c>
      <c r="DZ36" s="75">
        <f>VARP(IF(INDEX(Properties!A$1:CB$87,Formula!B36,41)&lt;&gt;"",INDEX(Properties!A$1:CB$87,Formula!B36,41)),IF(INDEX(Properties!A$1:CB$87,Formula!D36,41)&lt;&gt;"",INDEX(Properties!A$1:CB$87,Formula!D36,41)),IF(INDEX(Properties!A$1:CB$87,Formula!F36,41)&lt;&gt;"",INDEX(Properties!A$1:CB$87,Formula!F36,41)),IF(INDEX(Properties!A$1:CB$87,Formula!H36,41)&lt;&gt;"",INDEX(Properties!A$1:CB$87,Formula!H36,41)),IF(INDEX(Properties!A$1:CB$87,Formula!J36,41)&lt;&gt;"",INDEX(Properties!A$1:CB$87,Formula!J36,41)))</f>
        <v>0.2295359999999998</v>
      </c>
      <c r="EA36" s="75">
        <f>MAX(INDEX(Properties!A$1:CB$87,Formula!B36,41),INDEX(Properties!A$1:CB$87,Formula!D36,41),INDEX(Properties!A$1:CB$87,Formula!F36,41),INDEX(Properties!A$1:CB$87,Formula!H36,41),INDEX(Properties!A$1:CB$87,Formula!J36,41))</f>
        <v>1.32</v>
      </c>
      <c r="EB36" s="75">
        <f>MIN(IF(INDEX(Properties!A$1:CB$87,Formula!B36,41)=0,10^6,INDEX(Properties!A$1:CB$87,Formula!B36,41)),IF(INDEX(Properties!A$1:CB$87,Formula!D36,41)=0,10^6,INDEX(Properties!A$1:CB$87,Formula!D36,41)),IF(INDEX(Properties!A$1:CB$87,Formula!F36,41)=0,10^6,INDEX(Properties!A$1:CB$87,Formula!F36,41)),IF(INDEX(Properties!A$1:CB$87,Formula!H36,41)=0,10^6,INDEX(Properties!A$1:CB$87,Formula!H36,41)),IF(INDEX(Properties!A$1:CB$87,Formula!J36,41)=0,10^6,INDEX(Properties!A$1:CB$87,Formula!J36,41)))</f>
        <v>0.9</v>
      </c>
      <c r="EC36" s="75">
        <f t="shared" si="21"/>
        <v>0.42000000000000004</v>
      </c>
      <c r="ED36" s="48">
        <f>((Formula!C36)/(Formula!C36+Formula!E36+Formula!G36+Formula!I36+Formula!K36))*(INDEX(Properties!A$1:CB$87,Formula!B36,45))+((Formula!E36)/(Formula!C36+Formula!E36+Formula!G36+Formula!I36+Formula!K36))*(INDEX(Properties!A$1:CB$87,Formula!D36,45))+((Formula!G36)/(Formula!C36+Formula!E36+Formula!G36+Formula!I36+Formula!K36))*(INDEX(Properties!A$1:CB$87,Formula!F36,45))+((Formula!I36)/(Formula!C36+Formula!E36+Formula!G36+Formula!I36+Formula!K36))*(INDEX(Properties!A$1:CB$87,Formula!H36,45))+((Formula!K36)/(Formula!C36+Formula!E36+Formula!G36+Formula!I36+Formula!K36))*(INDEX(Properties!A$1:CB$87,Formula!J36,45))</f>
        <v>1.492</v>
      </c>
      <c r="EE36" s="48">
        <f>Formula!C36*(INDEX(Properties!A$1:CB$87,Formula!B36,45))+Formula!E36*(INDEX(Properties!A$1:CB$87,Formula!D36,45))+Formula!G36*(INDEX(Properties!A$1:CB$87,Formula!F36,45))+Formula!I36*(INDEX(Properties!A$1:CB$87,Formula!H36,45))+Formula!K36*(INDEX(Properties!A$1:CB$87,Formula!J36,45))</f>
        <v>14.92</v>
      </c>
      <c r="EF36" s="48">
        <f>VARP(IF(INDEX(Properties!A$1:CB$87,Formula!B36,45)&lt;&gt;"",INDEX(Properties!A$1:CB$87,Formula!B36,45)),IF(INDEX(Properties!A$1:CB$87,Formula!D36,45)&lt;&gt;"",INDEX(Properties!A$1:CB$87,Formula!D36,45)),IF(INDEX(Properties!A$1:CB$87,Formula!F36,45)&lt;&gt;"",INDEX(Properties!A$1:CB$87,Formula!F36,45)),IF(INDEX(Properties!A$1:CB$87,Formula!H36,45)&lt;&gt;"",INDEX(Properties!A$1:CB$87,Formula!H36,45)),IF(INDEX(Properties!A$1:CB$87,Formula!J36,45)&lt;&gt;"",INDEX(Properties!A$1:CB$87,Formula!J36,45)))</f>
        <v>2.2848159999999997</v>
      </c>
      <c r="EG36" s="48">
        <f>MAX(INDEX(Properties!A$1:CB$87,Formula!B36,45),INDEX(Properties!A$1:CB$87,Formula!D36,45),INDEX(Properties!A$1:CB$87,Formula!F36,45),INDEX(Properties!A$1:CB$87,Formula!H36,45),INDEX(Properties!A$1:CB$87,Formula!J36,45))</f>
        <v>3.91</v>
      </c>
      <c r="EH36" s="48">
        <f>MIN(IF(INDEX(Properties!A$1:CB$87,Formula!B36,45)=0,10^6,INDEX(Properties!A$1:CB$87,Formula!B36,45)),IF(INDEX(Properties!A$1:CB$87,Formula!D36,45)=0,10^6,INDEX(Properties!A$1:CB$87,Formula!D36,45)),IF(INDEX(Properties!A$1:CB$87,Formula!F36,45)=0,10^6,INDEX(Properties!A$1:CB$87,Formula!F36,45)),IF(INDEX(Properties!A$1:CB$87,Formula!H36,45)=0,10^6,INDEX(Properties!A$1:CB$87,Formula!H36,45)),IF(INDEX(Properties!A$1:CB$87,Formula!J36,45)=0,10^6,INDEX(Properties!A$1:CB$87,Formula!J36,45)))</f>
        <v>0.47</v>
      </c>
      <c r="EI36" s="48">
        <f t="shared" si="22"/>
        <v>3.4400000000000004</v>
      </c>
      <c r="EJ36" s="66">
        <f>((Formula!C36)/(Formula!C36+Formula!E36+Formula!G36+Formula!I36+Formula!K36))*(INDEX(Properties!A$1:CB$87,Formula!B36,46))+((Formula!E36)/(Formula!C36+Formula!E36+Formula!G36+Formula!I36+Formula!K36))*(INDEX(Properties!A$1:CB$87,Formula!D36,46))+((Formula!G36)/(Formula!C36+Formula!E36+Formula!G36+Formula!I36+Formula!K36))*(INDEX(Properties!A$1:CB$87,Formula!F36,46))+((Formula!I36)/(Formula!C36+Formula!E36+Formula!G36+Formula!I36+Formula!K36))*(INDEX(Properties!A$1:CB$87,Formula!H36,46))+((Formula!K36)/(Formula!C36+Formula!E36+Formula!G36+Formula!I36+Formula!K36))*(INDEX(Properties!A$1:CB$87,Formula!J36,46))</f>
        <v>1.1879999999999999</v>
      </c>
      <c r="EK36" s="66">
        <f>Formula!C36*(INDEX(Properties!A$1:CB$87,Formula!B36,46))+Formula!E36*(INDEX(Properties!A$1:CB$87,Formula!D36,46))+Formula!G36*(INDEX(Properties!A$1:CB$87,Formula!F36,46))+Formula!I36*(INDEX(Properties!A$1:CB$87,Formula!H36,46))+Formula!K36*(INDEX(Properties!A$1:CB$87,Formula!J36,46))</f>
        <v>11.879999999999999</v>
      </c>
      <c r="EL36" s="66">
        <f>VARP(IF(INDEX(Properties!A$1:CB$87,Formula!B36,46)&lt;&gt;"",INDEX(Properties!A$1:CB$87,Formula!B36,46)),IF(INDEX(Properties!A$1:CB$87,Formula!D36,46)&lt;&gt;"",INDEX(Properties!A$1:CB$87,Formula!D36,46)),IF(INDEX(Properties!A$1:CB$87,Formula!F36,46)&lt;&gt;"",INDEX(Properties!A$1:CB$87,Formula!F36,46)),IF(INDEX(Properties!A$1:CB$87,Formula!H36,46)&lt;&gt;"",INDEX(Properties!A$1:CB$87,Formula!H36,46)),IF(INDEX(Properties!A$1:CB$87,Formula!J36,46)&lt;&gt;"",INDEX(Properties!A$1:CB$87,Formula!J36,46)))</f>
        <v>0.22297600000000004</v>
      </c>
      <c r="EM36" s="66">
        <f>MAX(INDEX(Properties!A$1:CB$87,Formula!B36,46),INDEX(Properties!A$1:CB$87,Formula!D36,46),INDEX(Properties!A$1:CB$87,Formula!F36,46),INDEX(Properties!A$1:CB$87,Formula!H36,46),INDEX(Properties!A$1:CB$87,Formula!J36,46))</f>
        <v>1.32</v>
      </c>
      <c r="EN36" s="66">
        <f>MIN(IF(INDEX(Properties!A$1:CB$87,Formula!B36,46)=0,10^6,INDEX(Properties!A$1:CB$87,Formula!B36,46)),IF(INDEX(Properties!A$1:CB$87,Formula!D36,46)=0,10^6,INDEX(Properties!A$1:CB$87,Formula!D36,46)),IF(INDEX(Properties!A$1:CB$87,Formula!F36,46)=0,10^6,INDEX(Properties!A$1:CB$87,Formula!F36,46)),IF(INDEX(Properties!A$1:CB$87,Formula!H36,46)=0,10^6,INDEX(Properties!A$1:CB$87,Formula!H36,46)),IF(INDEX(Properties!A$1:CB$87,Formula!J36,46)=0,10^6,INDEX(Properties!A$1:CB$87,Formula!J36,46)))</f>
        <v>0.9</v>
      </c>
      <c r="EO36" s="66">
        <f t="shared" si="23"/>
        <v>0.42000000000000004</v>
      </c>
      <c r="EP36" s="81">
        <f>((Formula!C36)/(Formula!C36+Formula!E36+Formula!G36+Formula!I36+Formula!K36))*(INDEX(Properties!A$1:CB$87,Formula!B36,52))+((Formula!E36)/(Formula!C36+Formula!E36+Formula!G36+Formula!I36+Formula!K36))*(INDEX(Properties!A$1:CB$87,Formula!D36,52))+((Formula!G36)/(Formula!C36+Formula!E36+Formula!G36+Formula!I36+Formula!K36))*(INDEX(Properties!A$1:CB$87,Formula!F36,52))+((Formula!I36)/(Formula!C36+Formula!E36+Formula!G36+Formula!I36+Formula!K36))*(INDEX(Properties!A$1:CB$87,Formula!H36,52))+((Formula!K36)/(Formula!C36+Formula!E36+Formula!G36+Formula!I36+Formula!K36))*(INDEX(Properties!A$1:CB$87,Formula!J36,52))</f>
        <v>9.0058000000000007</v>
      </c>
      <c r="EQ36" s="81">
        <f>Formula!C36*(INDEX(Properties!A$1:CB$87,Formula!B36,52))+Formula!E36*(INDEX(Properties!A$1:CB$87,Formula!D36,52))+Formula!G36*(INDEX(Properties!A$1:CB$87,Formula!F36,52))+Formula!I36*(INDEX(Properties!A$1:CB$87,Formula!H36,52))+Formula!K36*(INDEX(Properties!A$1:CB$87,Formula!J36,52))</f>
        <v>90.057999999999993</v>
      </c>
      <c r="ER36" s="81">
        <f>VARP(IF(INDEX(Properties!A$1:CB$87,Formula!B36,52)&lt;&gt;"",INDEX(Properties!A$1:CB$87,Formula!B36,52)),IF(INDEX(Properties!A$1:CB$87,Formula!D36,52)&lt;&gt;"",INDEX(Properties!A$1:CB$87,Formula!D36,52)),IF(INDEX(Properties!A$1:CB$87,Formula!F36,52)&lt;&gt;"",INDEX(Properties!A$1:CB$87,Formula!F36,52)),IF(INDEX(Properties!A$1:CB$87,Formula!H36,52)&lt;&gt;"",INDEX(Properties!A$1:CB$87,Formula!H36,52)),IF(INDEX(Properties!A$1:CB$87,Formula!J36,52)&lt;&gt;"",INDEX(Properties!A$1:CB$87,Formula!J36,52)))</f>
        <v>134.78252784000003</v>
      </c>
      <c r="ES36" s="81">
        <f>MAX(INDEX(Properties!A$1:CB$87,Formula!B36,52),INDEX(Properties!A$1:CB$87,Formula!D36,52),INDEX(Properties!A$1:CB$87,Formula!F36,52),INDEX(Properties!A$1:CB$87,Formula!H36,52),INDEX(Properties!A$1:CB$87,Formula!J36,52))</f>
        <v>27.6</v>
      </c>
      <c r="ET36" s="81">
        <f>MIN(IF(INDEX(Properties!A$1:CB$87,Formula!B36,52)=0,10^6,INDEX(Properties!A$1:CB$87,Formula!B36,52)),IF(INDEX(Properties!A$1:CB$87,Formula!D36,52)=0,10^6,INDEX(Properties!A$1:CB$87,Formula!D36,52)),IF(INDEX(Properties!A$1:CB$87,Formula!F36,52)=0,10^6,INDEX(Properties!A$1:CB$87,Formula!F36,52)),IF(INDEX(Properties!A$1:CB$87,Formula!H36,52)=0,10^6,INDEX(Properties!A$1:CB$87,Formula!H36,52)),IF(INDEX(Properties!A$1:CB$87,Formula!J36,52)=0,10^6,INDEX(Properties!A$1:CB$87,Formula!J36,52)))</f>
        <v>0.79300000000000004</v>
      </c>
      <c r="EU36" s="81">
        <f t="shared" si="24"/>
        <v>26.807000000000002</v>
      </c>
      <c r="EV36" s="39">
        <f>((Formula!C36)/(Formula!C36+Formula!E36+Formula!G36+Formula!I36+Formula!K36))*(INDEX(Properties!A$1:CB$87,Formula!B36,53))+((Formula!E36)/(Formula!C36+Formula!E36+Formula!G36+Formula!I36+Formula!K36))*(INDEX(Properties!A$1:CB$87,Formula!D36,53))+((Formula!G36)/(Formula!C36+Formula!E36+Formula!G36+Formula!I36+Formula!K36))*(INDEX(Properties!A$1:CB$87,Formula!F36,53))+((Formula!I36)/(Formula!C36+Formula!E36+Formula!G36+Formula!I36+Formula!K36))*(INDEX(Properties!A$1:CB$87,Formula!H36,53))+((Formula!K36)/(Formula!C36+Formula!E36+Formula!G36+Formula!I36+Formula!K36))*(INDEX(Properties!A$1:CB$87,Formula!J36,53))</f>
        <v>490.31000000000006</v>
      </c>
      <c r="EW36" s="39">
        <f>Formula!C36*(INDEX(Properties!A$1:CB$87,Formula!B36,53))+Formula!E36*(INDEX(Properties!A$1:CB$87,Formula!D36,53))+Formula!G36*(INDEX(Properties!A$1:CB$87,Formula!F36,53))+Formula!I36*(INDEX(Properties!A$1:CB$87,Formula!H36,53))+Formula!K36*(INDEX(Properties!A$1:CB$87,Formula!J36,53))</f>
        <v>4903.1000000000004</v>
      </c>
      <c r="EX36" s="39">
        <f>VARP(IF(INDEX(Properties!A$1:CB$87,Formula!B36,53)&lt;&gt;"",INDEX(Properties!A$1:CB$87,Formula!B36,53)),IF(INDEX(Properties!A$1:CB$87,Formula!D36,53)&lt;&gt;"",INDEX(Properties!A$1:CB$87,Formula!D36,53)),IF(INDEX(Properties!A$1:CB$87,Formula!F36,53)&lt;&gt;"",INDEX(Properties!A$1:CB$87,Formula!F36,53)),IF(INDEX(Properties!A$1:CB$87,Formula!H36,53)&lt;&gt;"",INDEX(Properties!A$1:CB$87,Formula!H36,53)),IF(INDEX(Properties!A$1:CB$87,Formula!J36,53)&lt;&gt;"",INDEX(Properties!A$1:CB$87,Formula!J36,53)))</f>
        <v>369766.49240000005</v>
      </c>
      <c r="EY36" s="39">
        <f>MAX(INDEX(Properties!A$1:CB$87,Formula!B36,53),INDEX(Properties!A$1:CB$87,Formula!D36,53),INDEX(Properties!A$1:CB$87,Formula!F36,53),INDEX(Properties!A$1:CB$87,Formula!H36,53),INDEX(Properties!A$1:CB$87,Formula!J36,53))</f>
        <v>1586.15</v>
      </c>
      <c r="EZ36" s="39">
        <f>MIN(IF(INDEX(Properties!A$1:CB$87,Formula!B36,53)=0,10^6,INDEX(Properties!A$1:CB$87,Formula!B36,53)),IF(INDEX(Properties!A$1:CB$87,Formula!D36,53)=0,10^6,INDEX(Properties!A$1:CB$87,Formula!D36,53)),IF(INDEX(Properties!A$1:CB$87,Formula!F36,53)=0,10^6,INDEX(Properties!A$1:CB$87,Formula!F36,53)),IF(INDEX(Properties!A$1:CB$87,Formula!H36,53)=0,10^6,INDEX(Properties!A$1:CB$87,Formula!H36,53)),IF(INDEX(Properties!A$1:CB$87,Formula!J36,53)=0,10^6,INDEX(Properties!A$1:CB$87,Formula!J36,53)))</f>
        <v>54.749999999999972</v>
      </c>
      <c r="FA36" s="39">
        <f t="shared" si="25"/>
        <v>1531.4</v>
      </c>
      <c r="FB36" s="54">
        <f>((Formula!C36)/(Formula!C36+Formula!E36+Formula!G36+Formula!I36+Formula!K36))*(INDEX(Properties!A$1:CB$87,Formula!B36,54))+((Formula!E36)/(Formula!C36+Formula!E36+Formula!G36+Formula!I36+Formula!K36))*(INDEX(Properties!A$1:CB$87,Formula!D36,54))+((Formula!G36)/(Formula!C36+Formula!E36+Formula!G36+Formula!I36+Formula!K36))*(INDEX(Properties!A$1:CB$87,Formula!F36,54))+((Formula!I36)/(Formula!C36+Formula!E36+Formula!G36+Formula!I36+Formula!K36))*(INDEX(Properties!A$1:CB$87,Formula!H36,54))+((Formula!K36)/(Formula!C36+Formula!E36+Formula!G36+Formula!I36+Formula!K36))*(INDEX(Properties!A$1:CB$87,Formula!J36,54))</f>
        <v>962.45000000000016</v>
      </c>
      <c r="FC36" s="54">
        <f>Formula!C36*(INDEX(Properties!A$1:CB$87,Formula!B36,54))+Formula!E36*(INDEX(Properties!A$1:CB$87,Formula!D36,54))+Formula!G36*(INDEX(Properties!A$1:CB$87,Formula!F36,54))+Formula!I36*(INDEX(Properties!A$1:CB$87,Formula!H36,54))+Formula!K36*(INDEX(Properties!A$1:CB$87,Formula!J36,54))</f>
        <v>9624.5</v>
      </c>
      <c r="FD36" s="54">
        <f>VARP(IF(INDEX(Properties!A$1:CB$87,Formula!B36,54)&lt;&gt;"",INDEX(Properties!A$1:CB$87,Formula!B36,54)),IF(INDEX(Properties!A$1:CB$87,Formula!D36,54)&lt;&gt;"",INDEX(Properties!A$1:CB$87,Formula!D36,54)),IF(INDEX(Properties!A$1:CB$87,Formula!F36,54)&lt;&gt;"",INDEX(Properties!A$1:CB$87,Formula!F36,54)),IF(INDEX(Properties!A$1:CB$87,Formula!H36,54)&lt;&gt;"",INDEX(Properties!A$1:CB$87,Formula!H36,54)),IF(INDEX(Properties!A$1:CB$87,Formula!J36,54)&lt;&gt;"",INDEX(Properties!A$1:CB$87,Formula!J36,54)))</f>
        <v>1794398.7556</v>
      </c>
      <c r="FE36" s="54">
        <f>MAX(INDEX(Properties!A$1:CB$87,Formula!B36,54),INDEX(Properties!A$1:CB$87,Formula!D36,54),INDEX(Properties!A$1:CB$87,Formula!F36,54),INDEX(Properties!A$1:CB$87,Formula!H36,54),INDEX(Properties!A$1:CB$87,Formula!J36,54))</f>
        <v>3546.15</v>
      </c>
      <c r="FF36" s="54">
        <f>MIN(IF(INDEX(Properties!A$1:CB$87,Formula!B36,54)=0,10^6,INDEX(Properties!A$1:CB$87,Formula!B36,54)),IF(INDEX(Properties!A$1:CB$87,Formula!D36,54)=0,10^6,INDEX(Properties!A$1:CB$87,Formula!D36,54)),IF(INDEX(Properties!A$1:CB$87,Formula!F36,54)=0,10^6,INDEX(Properties!A$1:CB$87,Formula!F36,54)),IF(INDEX(Properties!A$1:CB$87,Formula!H36,54)=0,10^6,INDEX(Properties!A$1:CB$87,Formula!H36,54)),IF(INDEX(Properties!A$1:CB$87,Formula!J36,54)=0,10^6,INDEX(Properties!A$1:CB$87,Formula!J36,54)))</f>
        <v>90.149999999999977</v>
      </c>
      <c r="FG36" s="54">
        <f t="shared" si="26"/>
        <v>3456</v>
      </c>
      <c r="FH36" s="69">
        <f>((Formula!C36)/(Formula!C36+Formula!E36+Formula!G36+Formula!I36+Formula!K36))*(INDEX(Properties!A$1:CB$87,Formula!B36,55))+((Formula!E36)/(Formula!C36+Formula!E36+Formula!G36+Formula!I36+Formula!K36))*(INDEX(Properties!A$1:CB$87,Formula!D36,55))+((Formula!G36)/(Formula!C36+Formula!E36+Formula!G36+Formula!I36+Formula!K36))*(INDEX(Properties!A$1:CB$87,Formula!F36,55))+((Formula!I36)/(Formula!C36+Formula!E36+Formula!G36+Formula!I36+Formula!K36))*(INDEX(Properties!A$1:CB$87,Formula!H36,55))+((Formula!K36)/(Formula!C36+Formula!E36+Formula!G36+Formula!I36+Formula!K36))*(INDEX(Properties!A$1:CB$87,Formula!J36,55))</f>
        <v>1.9858580000000001</v>
      </c>
      <c r="FI36" s="69">
        <f>Formula!C36*(INDEX(Properties!A$1:CB$87,Formula!B36,55))+Formula!E36*(INDEX(Properties!A$1:CB$87,Formula!D36,54))+Formula!G36*(INDEX(Properties!A$1:CB$87,Formula!F36,55))+Formula!I36*(INDEX(Properties!A$1:CB$87,Formula!H36,55))+Formula!K36*(INDEX(Properties!A$1:CB$87,Formula!J36,55))</f>
        <v>3558.1085800000005</v>
      </c>
      <c r="FJ36" s="69">
        <f>VARP(IF(INDEX(Properties!A$1:CB$87,Formula!B36,55)&lt;&gt;"",INDEX(Properties!A$1:CB$87,Formula!B36,55)),IF(INDEX(Properties!A$1:CB$87,Formula!D36,55)&lt;&gt;"",INDEX(Properties!A$1:CB$87,Formula!D36,55)),IF(INDEX(Properties!A$1:CB$87,Formula!F36,55)&lt;&gt;"",INDEX(Properties!A$1:CB$87,Formula!F36,55)),IF(INDEX(Properties!A$1:CB$87,Formula!H36,55)&lt;&gt;"",INDEX(Properties!A$1:CB$87,Formula!H36,55)),IF(INDEX(Properties!A$1:CB$87,Formula!J36,55)&lt;&gt;"",INDEX(Properties!A$1:CB$87,Formula!J36,55)))</f>
        <v>10.953494359184001</v>
      </c>
      <c r="FK36" s="69">
        <f>MAX(INDEX(Properties!A$1:CB$87,Formula!B36,55),INDEX(Properties!A$1:CB$87,Formula!D36,55),INDEX(Properties!A$1:CB$87,Formula!F36,55),INDEX(Properties!A$1:CB$87,Formula!H36,55),INDEX(Properties!A$1:CB$87,Formula!J36,55))</f>
        <v>7.9</v>
      </c>
      <c r="FL36" s="69">
        <f>MIN(IF(INDEX(Properties!A$1:CB$87,Formula!B36,55)=0,10^6,INDEX(Properties!A$1:CB$87,Formula!B36,55)),IF(INDEX(Properties!A$1:CB$87,Formula!D36,55)=0,10^6,INDEX(Properties!A$1:CB$87,Formula!D36,55)),IF(INDEX(Properties!A$1:CB$87,Formula!F36,55)=0,10^6,INDEX(Properties!A$1:CB$87,Formula!F36,55)),IF(INDEX(Properties!A$1:CB$87,Formula!H36,55)=0,10^6,INDEX(Properties!A$1:CB$87,Formula!H36,55)),IF(INDEX(Properties!A$1:CB$87,Formula!J36,55)=0,10^6,INDEX(Properties!A$1:CB$87,Formula!J36,55)))</f>
        <v>1.4300000000000001E-3</v>
      </c>
      <c r="FM36" s="69">
        <f t="shared" si="27"/>
        <v>7.8985700000000003</v>
      </c>
      <c r="FN36" s="42">
        <f>((Formula!C36)/(Formula!C36+Formula!E36+Formula!G36+Formula!I36+Formula!K36))*(INDEX(Properties!A$1:CB$87,Formula!B36,56))+((Formula!E36)/(Formula!C36+Formula!E36+Formula!G36+Formula!I36+Formula!K36))*(INDEX(Properties!A$1:CB$87,Formula!D36,56))+((Formula!G36)/(Formula!C36+Formula!E36+Formula!G36+Formula!I36+Formula!K36))*(INDEX(Properties!A$1:CB$87,Formula!F36,56))+((Formula!I36)/(Formula!C36+Formula!E36+Formula!G36+Formula!I36+Formula!K36))*(INDEX(Properties!A$1:CB$87,Formula!H36,56))+((Formula!K36)/(Formula!C36+Formula!E36+Formula!G36+Formula!I36+Formula!K36))*(INDEX(Properties!A$1:CB$87,Formula!J36,56))</f>
        <v>0.65600000000000003</v>
      </c>
      <c r="FO36" s="42">
        <f>Formula!C36*(INDEX(Properties!A$1:CB$87,Formula!B36,56))+Formula!E36*(INDEX(Properties!A$1:CB$87,Formula!D36,56))+Formula!G36*(INDEX(Properties!A$1:CB$87,Formula!F36,56))+Formula!I36*(INDEX(Properties!A$1:CB$87,Formula!H36,56))+Formula!K36*(INDEX(Properties!A$1:CB$87,Formula!J36,56))</f>
        <v>6.5600000000000005</v>
      </c>
      <c r="FP36" s="42">
        <f>VARP(IF(INDEX(Properties!A$1:CB$87,Formula!B36,56)&lt;&gt;"",INDEX(Properties!A$1:CB$87,Formula!B36,56)),IF(INDEX(Properties!A$1:CB$87,Formula!D36,56)&lt;&gt;"",INDEX(Properties!A$1:CB$87,Formula!D36,56)),IF(INDEX(Properties!A$1:CB$87,Formula!F36,56)&lt;&gt;"",INDEX(Properties!A$1:CB$87,Formula!F36,56)),IF(INDEX(Properties!A$1:CB$87,Formula!H36,56)&lt;&gt;"",INDEX(Properties!A$1:CB$87,Formula!H36,56)),IF(INDEX(Properties!A$1:CB$87,Formula!J36,56)&lt;&gt;"",INDEX(Properties!A$1:CB$87,Formula!J36,56)))</f>
        <v>9.6456000000000014E-2</v>
      </c>
      <c r="FQ36" s="42">
        <f>MAX(INDEX(Properties!A$1:CB$87,Formula!B36,56),INDEX(Properties!A$1:CB$87,Formula!D36,56),INDEX(Properties!A$1:CB$87,Formula!F36,56),INDEX(Properties!A$1:CB$87,Formula!H36,56),INDEX(Properties!A$1:CB$87,Formula!J36,56))</f>
        <v>0.92</v>
      </c>
      <c r="FR36" s="42">
        <f>MIN(IF(INDEX(Properties!A$1:CB$87,Formula!B36,56)=0,10^6,INDEX(Properties!A$1:CB$87,Formula!B36,56)),IF(INDEX(Properties!A$1:CB$87,Formula!D36,56)=0,10^6,INDEX(Properties!A$1:CB$87,Formula!D36,56)),IF(INDEX(Properties!A$1:CB$87,Formula!F36,56)=0,10^6,INDEX(Properties!A$1:CB$87,Formula!F36,56)),IF(INDEX(Properties!A$1:CB$87,Formula!H36,56)=0,10^6,INDEX(Properties!A$1:CB$87,Formula!H36,56)),IF(INDEX(Properties!A$1:CB$87,Formula!J36,56)=0,10^6,INDEX(Properties!A$1:CB$87,Formula!J36,56)))</f>
        <v>0.21</v>
      </c>
      <c r="FS36" s="42">
        <f t="shared" si="28"/>
        <v>0.71000000000000008</v>
      </c>
      <c r="FT36" s="60">
        <f>((Formula!C36)/(Formula!C36+Formula!E36+Formula!G36+Formula!I36+Formula!K36))*(INDEX(Properties!A$1:CB$87,Formula!B36,57))+((Formula!E36)/(Formula!C36+Formula!E36+Formula!G36+Formula!I36+Formula!K36))*(INDEX(Properties!A$1:CB$87,Formula!D36,57))+((Formula!G36)/(Formula!C36+Formula!E36+Formula!G36+Formula!I36+Formula!K36))*(INDEX(Properties!A$1:CB$87,Formula!F36,57))+((Formula!I36)/(Formula!C36+Formula!E36+Formula!G36+Formula!I36+Formula!K36))*(INDEX(Properties!A$1:CB$87,Formula!H36,57))+((Formula!K36)/(Formula!C36+Formula!E36+Formula!G36+Formula!I36+Formula!K36))*(INDEX(Properties!A$1:CB$87,Formula!J36,57))</f>
        <v>4.7855540000000003</v>
      </c>
      <c r="FU36" s="60">
        <f>Formula!C36*(INDEX(Properties!A$1:CB$87,Formula!B36,57))+Formula!E36*(INDEX(Properties!A$1:CB$87,Formula!D36,57))+Formula!G36*(INDEX(Properties!A$1:CB$87,Formula!F36,57))+Formula!I36*(INDEX(Properties!A$1:CB$87,Formula!H36,57))+Formula!K36*(INDEX(Properties!A$1:CB$87,Formula!J36,57))</f>
        <v>47.855540000000005</v>
      </c>
      <c r="FV36" s="60">
        <f>VARP(IF(INDEX(Properties!A$1:CB$87,Formula!B36,57)&lt;&gt;"",INDEX(Properties!A$1:CB$87,Formula!B36,57)),IF(INDEX(Properties!A$1:CB$87,Formula!D36,57)&lt;&gt;"",INDEX(Properties!A$1:CB$87,Formula!D36,57)),IF(INDEX(Properties!A$1:CB$87,Formula!F36,57)&lt;&gt;"",INDEX(Properties!A$1:CB$87,Formula!F36,57)),IF(INDEX(Properties!A$1:CB$87,Formula!H36,57)&lt;&gt;"",INDEX(Properties!A$1:CB$87,Formula!H36,57)),IF(INDEX(Properties!A$1:CB$87,Formula!J36,57)&lt;&gt;"",INDEX(Properties!A$1:CB$87,Formula!J36,57)))</f>
        <v>53.838480225296045</v>
      </c>
      <c r="FW36" s="60">
        <f>MAX(INDEX(Properties!A$1:CB$87,Formula!B36,57),INDEX(Properties!A$1:CB$87,Formula!D36,57),INDEX(Properties!A$1:CB$87,Formula!F36,57),INDEX(Properties!A$1:CB$87,Formula!H36,57),INDEX(Properties!A$1:CB$87,Formula!J36,57))</f>
        <v>19.87</v>
      </c>
      <c r="FX36" s="60">
        <f>MIN(IF(INDEX(Properties!A$1:CB$87,Formula!B36,57)=0,10^6,INDEX(Properties!A$1:CB$87,Formula!B36,57)),IF(INDEX(Properties!A$1:CB$87,Formula!D36,57)=0,10^6,INDEX(Properties!A$1:CB$87,Formula!D36,57)),IF(INDEX(Properties!A$1:CB$87,Formula!F36,57)=0,10^6,INDEX(Properties!A$1:CB$87,Formula!F36,57)),IF(INDEX(Properties!A$1:CB$87,Formula!H36,57)=0,10^6,INDEX(Properties!A$1:CB$87,Formula!H36,57)),IF(INDEX(Properties!A$1:CB$87,Formula!J36,57)=0,10^6,INDEX(Properties!A$1:CB$87,Formula!J36,57)))</f>
        <v>0.22259000000000001</v>
      </c>
      <c r="FY36" s="60">
        <f t="shared" si="29"/>
        <v>19.647410000000001</v>
      </c>
      <c r="FZ36" s="72">
        <f>((Formula!C36)/(Formula!C36+Formula!E36+Formula!G36+Formula!I36+Formula!K36))*(INDEX(Properties!A$1:CB$87,Formula!B36,60))+((Formula!E36)/(Formula!C36+Formula!E36+Formula!G36+Formula!I36+Formula!K36))*(INDEX(Properties!A$1:CB$87,Formula!D36,60))+((Formula!G36)/(Formula!C36+Formula!E36+Formula!G36+Formula!I36+Formula!K36))*(INDEX(Properties!A$1:CB$87,Formula!F36,60))+((Formula!I36)/(Formula!C36+Formula!E36+Formula!G36+Formula!I36+Formula!K36))*(INDEX(Properties!A$1:CB$87,Formula!H36,60))+((Formula!K36)/(Formula!C36+Formula!E36+Formula!G36+Formula!I36+Formula!K36))*(INDEX(Properties!A$1:CB$87,Formula!J36,60))</f>
        <v>10.566044</v>
      </c>
      <c r="GA36" s="72">
        <f>Formula!C36*(INDEX(Properties!A$1:CB$87,Formula!B36,60))+Formula!E36*(INDEX(Properties!A$1:CB$87,Formula!D36,60))+Formula!G36*(INDEX(Properties!A$1:CB$87,Formula!F36,60))+Formula!I36*(INDEX(Properties!A$1:CB$87,Formula!H36,60))+Formula!K36*(INDEX(Properties!A$1:CB$87,Formula!J36,60))</f>
        <v>105.66043999999998</v>
      </c>
      <c r="GB36" s="72">
        <f>VARP(IF(INDEX(Properties!A$1:CB$87,Formula!B36,60)&lt;&gt;"",INDEX(Properties!A$1:CB$87,Formula!B36,60)),IF(INDEX(Properties!A$1:CB$87,Formula!D36,60)&lt;&gt;"",INDEX(Properties!A$1:CB$87,Formula!D36,60)),IF(INDEX(Properties!A$1:CB$87,Formula!F36,60)&lt;&gt;"",INDEX(Properties!A$1:CB$87,Formula!F36,60)),IF(INDEX(Properties!A$1:CB$87,Formula!H36,60)&lt;&gt;"",INDEX(Properties!A$1:CB$87,Formula!H36,60)),IF(INDEX(Properties!A$1:CB$87,Formula!J36,60)&lt;&gt;"",INDEX(Properties!A$1:CB$87,Formula!J36,60)))</f>
        <v>192.51634256441594</v>
      </c>
      <c r="GC36" s="72">
        <f>MAX(INDEX(Properties!A$1:CB$87,Formula!B36,60),INDEX(Properties!A$1:CB$87,Formula!D36,60),INDEX(Properties!A$1:CB$87,Formula!F36,60),INDEX(Properties!A$1:CB$87,Formula!H36,60),INDEX(Properties!A$1:CB$87,Formula!J36,60))</f>
        <v>35.299999999999997</v>
      </c>
      <c r="GD36" s="72">
        <f>MIN(IF(INDEX(Properties!A$1:CB$87,Formula!B36,60)=0,10^6,INDEX(Properties!A$1:CB$87,Formula!B36,60)),IF(INDEX(Properties!A$1:CB$87,Formula!D36,60)=0,10^6,INDEX(Properties!A$1:CB$87,Formula!D36,60)),IF(INDEX(Properties!A$1:CB$87,Formula!F36,60)=0,10^6,INDEX(Properties!A$1:CB$87,Formula!F36,60)),IF(INDEX(Properties!A$1:CB$87,Formula!H36,60)=0,10^6,INDEX(Properties!A$1:CB$87,Formula!H36,60)),IF(INDEX(Properties!A$1:CB$87,Formula!J36,60)=0,10^6,INDEX(Properties!A$1:CB$87,Formula!J36,60)))</f>
        <v>2.674E-2</v>
      </c>
      <c r="GE36" s="72">
        <f t="shared" si="30"/>
        <v>35.273260000000001</v>
      </c>
      <c r="GF36" s="51">
        <f>((Formula!C36)/(Formula!C36+Formula!E36+Formula!G36+Formula!I36+Formula!K36))*(INDEX(Properties!A$1:CB$87,Formula!B36,62))+((Formula!E36)/(Formula!C36+Formula!E36+Formula!G36+Formula!I36+Formula!K36))*(INDEX(Properties!A$1:CB$87,Formula!D36,62))+((Formula!G36)/(Formula!C36+Formula!E36+Formula!G36+Formula!I36+Formula!K36))*(INDEX(Properties!A$1:CB$87,Formula!F36,62))+((Formula!I36)/(Formula!C36+Formula!E36+Formula!G36+Formula!I36+Formula!K36))*(INDEX(Properties!A$1:CB$87,Formula!H36,62))+((Formula!K36)/(Formula!C36+Formula!E36+Formula!G36+Formula!I36+Formula!K36))*(INDEX(Properties!A$1:CB$87,Formula!J36,62))</f>
        <v>2.605</v>
      </c>
      <c r="GG36" s="51">
        <f>Formula!C36*(INDEX(Properties!A$1:CB$87,Formula!B36,62))+Formula!E36*(INDEX(Properties!A$1:CB$87,Formula!D36,62))+Formula!G36*(INDEX(Properties!A$1:CB$87,Formula!F36,62))+Formula!I36*(INDEX(Properties!A$1:CB$87,Formula!H36,62))+Formula!K36*(INDEX(Properties!A$1:CB$87,Formula!J36,62))</f>
        <v>26.05</v>
      </c>
      <c r="GH36" s="51">
        <f>VARP(IF(INDEX(Properties!A$1:CB$87,Formula!B36,62)&lt;&gt;"",INDEX(Properties!A$1:CB$87,Formula!B36,62)),IF(INDEX(Properties!A$1:CB$87,Formula!D36,62)&lt;&gt;"",INDEX(Properties!A$1:CB$87,Formula!D36,62)),IF(INDEX(Properties!A$1:CB$87,Formula!F36,62)&lt;&gt;"",INDEX(Properties!A$1:CB$87,Formula!F36,62)),IF(INDEX(Properties!A$1:CB$87,Formula!H36,62)&lt;&gt;"",INDEX(Properties!A$1:CB$87,Formula!H36,62)),IF(INDEX(Properties!A$1:CB$87,Formula!J36,62)&lt;&gt;"",INDEX(Properties!A$1:CB$87,Formula!J36,62)))</f>
        <v>1.8604640000000001</v>
      </c>
      <c r="GI36" s="51">
        <f>MAX(INDEX(Properties!A$1:CB$87,Formula!B36,62),INDEX(Properties!A$1:CB$87,Formula!D36,62),INDEX(Properties!A$1:CB$87,Formula!F36,62),INDEX(Properties!A$1:CB$87,Formula!H36,62),INDEX(Properties!A$1:CB$87,Formula!J36,62))</f>
        <v>4.1399999999999997</v>
      </c>
      <c r="GJ36" s="51">
        <f>MIN(IF(INDEX(Properties!A$1:CB$87,Formula!B36,62)=0,10^6,INDEX(Properties!A$1:CB$87,Formula!B36,62)),IF(INDEX(Properties!A$1:CB$87,Formula!D36,62)=0,10^6,INDEX(Properties!A$1:CB$87,Formula!D36,62)),IF(INDEX(Properties!A$1:CB$87,Formula!F36,62)=0,10^6,INDEX(Properties!A$1:CB$87,Formula!F36,62)),IF(INDEX(Properties!A$1:CB$87,Formula!H36,62)=0,10^6,INDEX(Properties!A$1:CB$87,Formula!H36,62)),IF(INDEX(Properties!A$1:CB$87,Formula!J36,62)=0,10^6,INDEX(Properties!A$1:CB$87,Formula!J36,62)))</f>
        <v>1.72</v>
      </c>
      <c r="GK36" s="51">
        <f t="shared" si="31"/>
        <v>2.42</v>
      </c>
      <c r="GL36" s="51">
        <f>Formula!P36</f>
        <v>14</v>
      </c>
      <c r="GM36" s="57">
        <f>Formula!O36</f>
        <v>2</v>
      </c>
      <c r="GN36" s="51">
        <f>Formula!N36</f>
        <v>0.02</v>
      </c>
    </row>
    <row r="37" spans="1:196" x14ac:dyDescent="0.3">
      <c r="A37" s="84" t="str">
        <f>Formula!A37</f>
        <v>Y2(MoO4)3</v>
      </c>
      <c r="B37" s="89">
        <f>((Formula!C37)/(Formula!C37+Formula!E37+Formula!G37+Formula!I37+Formula!K37))*(INDEX(Properties!A$1:CB$87,Formula!B37,3))+((Formula!E37)/(Formula!C37+Formula!E37+Formula!G37+Formula!I37+Formula!K37))*(INDEX(Properties!A$1:CB$87,Formula!D37,3))+((Formula!G37)/(Formula!C37+Formula!E37+Formula!G37+Formula!I37+Formula!K37))*(INDEX(Properties!A$1:CB$87,Formula!F37,3))+((Formula!I37)/(Formula!C37+Formula!E37+Formula!G37+Formula!I37+Formula!K37))*(INDEX(Properties!A$1:CB$87,Formula!H37,3))+((Formula!K37)/(Formula!C37+Formula!E37+Formula!G37+Formula!I37+Formula!K37))*(INDEX(Properties!A$1:CB$87,Formula!J37,3))</f>
        <v>38.685557647058822</v>
      </c>
      <c r="C37" s="85">
        <f>Formula!C37*(INDEX(Properties!A$1:CB$87,Formula!B37,3))+Formula!E37*(INDEX(Properties!A$1:CB$87,Formula!D37,3))+Formula!G37*(INDEX(Properties!A$1:CB$87,Formula!F37,3))+Formula!I37*(INDEX(Properties!A$1:CB$87,Formula!H37,3))+Formula!K37*(INDEX(Properties!A$1:CB$87,Formula!J37,3))</f>
        <v>657.65448000000004</v>
      </c>
      <c r="D37" s="85">
        <f>VARP(IF(INDEX(Properties!A$1:CB$87,Formula!B37,3)&lt;&gt;"",INDEX(Properties!A$1:CB$87,Formula!B37,3)),IF(INDEX(Properties!A$1:CB$87,Formula!D37,3)&lt;&gt;"",INDEX(Properties!A$1:CB$87,Formula!D37,3)),IF(INDEX(Properties!A$1:CB$87,Formula!F37,3)&lt;&gt;"",INDEX(Properties!A$1:CB$87,Formula!F37,3)),IF(INDEX(Properties!A$1:CB$87,Formula!H37,3)&lt;&gt;"",INDEX(Properties!A$1:CB$87,Formula!H37,3)),IF(INDEX(Properties!A$1:CB$87,Formula!J37,3)&lt;&gt;"",INDEX(Properties!A$1:CB$87,Formula!J37,3)))</f>
        <v>1859.6132398748157</v>
      </c>
      <c r="E37" s="85">
        <f>MAX(INDEX(Properties!A$1:CB$87,Formula!B37,3),INDEX(Properties!A$1:CB$87,Formula!D37,3),INDEX(Properties!A$1:CB$87,Formula!F37,3),INDEX(Properties!A$1:CB$87,Formula!H37,3),INDEX(Properties!A$1:CB$87,Formula!J37,3))</f>
        <v>95.95</v>
      </c>
      <c r="F37" s="85">
        <f>MIN(IF(INDEX(Properties!A$1:CB$87,Formula!B37,3)=0,10^6,INDEX(Properties!A$1:CB$87,Formula!B37,3)),IF(INDEX(Properties!A$1:CB$87,Formula!D37,3)=0,10^6,INDEX(Properties!A$1:CB$87,Formula!D37,3)),IF(INDEX(Properties!A$1:CB$87,Formula!F37,3)=0,10^6,INDEX(Properties!A$1:CB$87,Formula!F37,3)),IF(INDEX(Properties!A$1:CB$87,Formula!H37,3)=0,10^6,INDEX(Properties!A$1:CB$87,Formula!H37,3)),IF(INDEX(Properties!A$1:CB$87,Formula!J37,3)=0,10^6,INDEX(Properties!A$1:CB$87,Formula!J37,3)))</f>
        <v>15.9994</v>
      </c>
      <c r="G37" s="85">
        <f t="shared" si="0"/>
        <v>79.950600000000009</v>
      </c>
      <c r="H37" s="87">
        <f>((Formula!C37)/(Formula!C37+Formula!E37+Formula!G37+Formula!I37+Formula!K37))*(INDEX(Properties!A$1:CB$87,Formula!B37,4))+((Formula!E37)/(Formula!C37+Formula!E37+Formula!G37+Formula!I37+Formula!K37))*(INDEX(Properties!A$1:CB$87,Formula!D37,4))+((Formula!G37)/(Formula!C37+Formula!E37+Formula!G37+Formula!I37+Formula!K37))*(INDEX(Properties!A$1:CB$87,Formula!F37,4))+((Formula!I37)/(Formula!C37+Formula!E37+Formula!G37+Formula!I37+Formula!K37))*(INDEX(Properties!A$1:CB$87,Formula!H37,4))+((Formula!K37)/(Formula!C37+Formula!E37+Formula!G37+Formula!I37+Formula!K37))*(INDEX(Properties!A$1:CB$87,Formula!J37,4))</f>
        <v>17.647058823529413</v>
      </c>
      <c r="I37" s="87">
        <f>Formula!C37*(INDEX(Properties!A$1:CB$87,Formula!B37,4))+Formula!E37*(INDEX(Properties!A$1:CB$87,Formula!D37,4))+Formula!G37*(INDEX(Properties!A$1:CB$87,Formula!F37,4))+Formula!I37*(INDEX(Properties!A$1:CB$87,Formula!H37,4))+Formula!K37*(INDEX(Properties!A$1:CB$87,Formula!J37,4))</f>
        <v>300</v>
      </c>
      <c r="J37" s="87">
        <f>VARP(IF(INDEX(Properties!A$1:CB$87,Formula!B37,4)&lt;&gt;"",INDEX(Properties!A$1:CB$87,Formula!B37,4)),IF(INDEX(Properties!A$1:CB$87,Formula!D37,4)&lt;&gt;"",INDEX(Properties!A$1:CB$87,Formula!D37,4)),IF(INDEX(Properties!A$1:CB$87,Formula!F37,4)&lt;&gt;"",INDEX(Properties!A$1:CB$87,Formula!F37,4)),IF(INDEX(Properties!A$1:CB$87,Formula!H37,4)&lt;&gt;"",INDEX(Properties!A$1:CB$87,Formula!H37,4)),IF(INDEX(Properties!A$1:CB$87,Formula!J37,4)&lt;&gt;"",INDEX(Properties!A$1:CB$87,Formula!J37,4)))</f>
        <v>352.96</v>
      </c>
      <c r="K37" s="87">
        <f>MAX(INDEX(Properties!A$1:CB$87,Formula!B37,4),INDEX(Properties!A$1:CB$87,Formula!D37,4),INDEX(Properties!A$1:CB$87,Formula!F37,4),INDEX(Properties!A$1:CB$87,Formula!H37,4),INDEX(Properties!A$1:CB$87,Formula!J37,4))</f>
        <v>42</v>
      </c>
      <c r="L37" s="87">
        <f>MIN(IF(INDEX(Properties!A$1:CB$87,Formula!B37,4)=0,10^6,INDEX(Properties!A$1:CB$87,Formula!B37,4)),IF(INDEX(Properties!A$1:CB$87,Formula!D37,4)=0,10^6,INDEX(Properties!A$1:CB$87,Formula!D37,4)),IF(INDEX(Properties!A$1:CB$87,Formula!F37,4)=0,10^6,INDEX(Properties!A$1:CB$87,Formula!F37,4)),IF(INDEX(Properties!A$1:CB$87,Formula!H37,4)=0,10^6,INDEX(Properties!A$1:CB$87,Formula!H37,4)),IF(INDEX(Properties!A$1:CB$87,Formula!J37,4)=0,10^6,INDEX(Properties!A$1:CB$87,Formula!J37,4)))</f>
        <v>8</v>
      </c>
      <c r="M37" s="87">
        <f t="shared" si="1"/>
        <v>34</v>
      </c>
      <c r="N37" s="89">
        <f>((Formula!C37)/(Formula!C37+Formula!E37+Formula!G37+Formula!I37+Formula!K37))*(INDEX(Properties!A$1:CB$87,Formula!B37,5))+((Formula!E37)/(Formula!C37+Formula!E37+Formula!G37+Formula!I37+Formula!K37))*(INDEX(Properties!A$1:CB$87,Formula!D37,5))+((Formula!G37)/(Formula!C37+Formula!E37+Formula!G37+Formula!I37+Formula!K37))*(INDEX(Properties!A$1:CB$87,Formula!F37,5))+((Formula!I37)/(Formula!C37+Formula!E37+Formula!G37+Formula!I37+Formula!K37))*(INDEX(Properties!A$1:CB$87,Formula!H37,5))+((Formula!K37)/(Formula!C37+Formula!E37+Formula!G37+Formula!I37+Formula!K37))*(INDEX(Properties!A$1:CB$87,Formula!J37,5))</f>
        <v>2.882352941176471</v>
      </c>
      <c r="O37" s="89">
        <f>Formula!C37*(INDEX(Properties!A$1:CB$87,Formula!B37,5))+Formula!E37*(INDEX(Properties!A$1:CB$87,Formula!D37,5))+Formula!G37*(INDEX(Properties!A$1:CB$87,Formula!F37,5))+Formula!I37*(INDEX(Properties!A$1:CB$87,Formula!H37,5))+Formula!K37*(INDEX(Properties!A$1:CB$87,Formula!J37,5))</f>
        <v>49</v>
      </c>
      <c r="P37" s="89">
        <f>VARP(IF(INDEX(Properties!A$1:CB$87,Formula!B37,5)&lt;&gt;"",INDEX(Properties!A$1:CB$87,Formula!B37,5)),IF(INDEX(Properties!A$1:CB$87,Formula!D37,5)&lt;&gt;"",INDEX(Properties!A$1:CB$87,Formula!D37,5)),IF(INDEX(Properties!A$1:CB$87,Formula!F37,5)&lt;&gt;"",INDEX(Properties!A$1:CB$87,Formula!F37,5)),IF(INDEX(Properties!A$1:CB$87,Formula!H37,5)&lt;&gt;"",INDEX(Properties!A$1:CB$87,Formula!H37,5)),IF(INDEX(Properties!A$1:CB$87,Formula!J37,5)&lt;&gt;"",INDEX(Properties!A$1:CB$87,Formula!J37,5)))</f>
        <v>5.04</v>
      </c>
      <c r="Q37" s="89">
        <f>MAX(INDEX(Properties!A$1:CB$87,Formula!B37,5),INDEX(Properties!A$1:CB$87,Formula!D37,5),INDEX(Properties!A$1:CB$87,Formula!F37,5),INDEX(Properties!A$1:CB$87,Formula!H37,5),INDEX(Properties!A$1:CB$87,Formula!J37,5))</f>
        <v>5</v>
      </c>
      <c r="R37" s="89">
        <f>MIN(IF(INDEX(Properties!A$1:CB$87,Formula!B37,5)=0,10^6,INDEX(Properties!A$1:CB$87,Formula!B37,5)),IF(INDEX(Properties!A$1:CB$87,Formula!D37,5)=0,10^6,INDEX(Properties!A$1:CB$87,Formula!D37,5)),IF(INDEX(Properties!A$1:CB$87,Formula!F37,5)=0,10^6,INDEX(Properties!A$1:CB$87,Formula!F37,5)),IF(INDEX(Properties!A$1:CB$87,Formula!H37,5)=0,10^6,INDEX(Properties!A$1:CB$87,Formula!H37,5)),IF(INDEX(Properties!A$1:CB$87,Formula!J37,5)=0,10^6,INDEX(Properties!A$1:CB$87,Formula!J37,5)))</f>
        <v>2</v>
      </c>
      <c r="S37" s="89">
        <f t="shared" si="2"/>
        <v>3</v>
      </c>
      <c r="T37" s="60">
        <f>((Formula!C37)/(Formula!C37+Formula!E37+Formula!G37+Formula!I37+Formula!K37))*(INDEX(Properties!A$1:CB$87,Formula!B37,6))+((Formula!E37)/(Formula!C37+Formula!E37+Formula!G37+Formula!I37+Formula!K37))*(INDEX(Properties!A$1:CB$87,Formula!D37,6))+((Formula!G37)/(Formula!C37+Formula!E37+Formula!G37+Formula!I37+Formula!K37))*(INDEX(Properties!A$1:CB$87,Formula!F37,6))+((Formula!I37)/(Formula!C37+Formula!E37+Formula!G37+Formula!I37+Formula!K37))*(INDEX(Properties!A$1:CB$87,Formula!H37,6))+((Formula!K37)/(Formula!C37+Formula!E37+Formula!G37+Formula!I37+Formula!K37))*(INDEX(Properties!A$1:CB$87,Formula!J37,6))</f>
        <v>12.705882352941178</v>
      </c>
      <c r="U37" s="60">
        <f>Formula!C37*(INDEX(Properties!A$1:CB$87,Formula!B37,6))+Formula!E37*(INDEX(Properties!A$1:CB$87,Formula!D37,6))+Formula!G37*(INDEX(Properties!A$1:CB$87,Formula!F37,6))+Formula!I37*(INDEX(Properties!A$1:CB$87,Formula!H37,6))+Formula!K37*(INDEX(Properties!A$1:CB$87,Formula!J37,6))</f>
        <v>216</v>
      </c>
      <c r="V37" s="89">
        <f>VARP(IF(INDEX(Properties!A$1:CB$87,Formula!B37,6)&lt;&gt;"",INDEX(Properties!A$1:CB$87,Formula!B37,6)),IF(INDEX(Properties!A$1:CB$87,Formula!D37,6)&lt;&gt;"",INDEX(Properties!A$1:CB$87,Formula!D37,6)),IF(INDEX(Properties!A$1:CB$87,Formula!F37,6)&lt;&gt;"",INDEX(Properties!A$1:CB$87,Formula!F37,6)),IF(INDEX(Properties!A$1:CB$87,Formula!H37,6)&lt;&gt;"",INDEX(Properties!A$1:CB$87,Formula!H37,6)),IF(INDEX(Properties!A$1:CB$87,Formula!J37,6)&lt;&gt;"",INDEX(Properties!A$1:CB$87,Formula!J37,6)))</f>
        <v>35.200000000000003</v>
      </c>
      <c r="W37" s="60">
        <f>MAX(INDEX(Properties!A$1:CB$87,Formula!B37,6),INDEX(Properties!A$1:CB$87,Formula!D37,6),INDEX(Properties!A$1:CB$87,Formula!F37,6),INDEX(Properties!A$1:CB$87,Formula!H37,4),INDEX(Properties!A$1:CB$87,Formula!J37,6))</f>
        <v>16</v>
      </c>
      <c r="X37" s="60">
        <f>MIN(IF(INDEX(Properties!A$1:CB$87,Formula!B37,6)=0,10^6,INDEX(Properties!A$1:CB$87,Formula!B37,6)),IF(INDEX(Properties!A$1:CB$87,Formula!D37,6)=0,10^6,INDEX(Properties!A$1:CB$87,Formula!D37,6)),IF(INDEX(Properties!A$1:CB$87,Formula!F37,6)=0,10^6,INDEX(Properties!A$1:CB$87,Formula!F37,6)),IF(INDEX(Properties!A$1:CB$87,Formula!H37,6)=0,10^6,INDEX(Properties!A$1:CB$87,Formula!H37,6)),IF(INDEX(Properties!A$1:CB$87,Formula!J37,6)=0,10^6,INDEX(Properties!A$1:CB$87,Formula!J37,6)))</f>
        <v>3</v>
      </c>
      <c r="Y37" s="60">
        <f t="shared" si="3"/>
        <v>13</v>
      </c>
      <c r="Z37" s="72">
        <f>((Formula!C37)/(Formula!C37+Formula!E37+Formula!G37+Formula!I37+Formula!K37))*(INDEX(Properties!A$1:CB$87,Formula!B37,9))+((Formula!E37)/(Formula!C37+Formula!E37+Formula!G37+Formula!I37+Formula!K37))*(INDEX(Properties!A$1:CB$87,Formula!D37,9))+((Formula!G37)/(Formula!C37+Formula!E37+Formula!G37+Formula!I37+Formula!K37))*(INDEX(Properties!A$1:CB$87,Formula!F37,9))+((Formula!I37)/(Formula!C37+Formula!E37+Formula!G37+Formula!I37+Formula!K37))*(INDEX(Properties!A$1:CB$87,Formula!H37,9))+((Formula!K37)/(Formula!C37+Formula!E37+Formula!G37+Formula!I37+Formula!K37))*(INDEX(Properties!A$1:CB$87,Formula!J37,9))</f>
        <v>71.64705882352942</v>
      </c>
      <c r="AA37" s="72">
        <f>Formula!C37*(INDEX(Properties!A$1:CB$87,Formula!B37,9))+Formula!E37*(INDEX(Properties!A$1:CB$87,Formula!D37,9))+Formula!G37*(INDEX(Properties!A$1:CB$87,Formula!F37,9))+Formula!I37*(INDEX(Properties!A$1:CB$87,Formula!H37,9))+Formula!K37*(INDEX(Properties!A$1:CB$87,Formula!J37,9))</f>
        <v>1218</v>
      </c>
      <c r="AB37" s="72">
        <f>VARP(IF(INDEX(Properties!A$1:CB$87,Formula!B37,9)&lt;&gt;"",INDEX(Properties!A$1:CB$87,Formula!B37,9)),IF(INDEX(Properties!A$1:CB$87,Formula!D37,9)&lt;&gt;"",INDEX(Properties!A$1:CB$87,Formula!D37,9)),IF(INDEX(Properties!A$1:CB$87,Formula!F37,9)&lt;&gt;"",INDEX(Properties!A$1:CB$87,Formula!F37,9)),IF(INDEX(Properties!A$1:CB$87,Formula!H37,9)&lt;&gt;"",INDEX(Properties!A$1:CB$87,Formula!H37,9)),IF(INDEX(Properties!A$1:CB$87,Formula!J37,9)&lt;&gt;"",INDEX(Properties!A$1:CB$87,Formula!J37,9)))</f>
        <v>1154.56</v>
      </c>
      <c r="AC37" s="72">
        <f>MAX(INDEX(Properties!A$1:CB$87,Formula!B37,9),INDEX(Properties!A$1:CB$87,Formula!D37,9),INDEX(Properties!A$1:CB$87,Formula!F37,9),INDEX(Properties!A$1:CB$87,Formula!H37,9),INDEX(Properties!A$1:CB$87,Formula!J37,9))</f>
        <v>87</v>
      </c>
      <c r="AD37" s="72">
        <f>MIN(IF(INDEX(Properties!A$1:CB$87,Formula!B37,9)=0,10^6,INDEX(Properties!A$1:CB$87,Formula!B37,9)),IF(INDEX(Properties!A$1:CB$87,Formula!D37,9)=0,10^6,INDEX(Properties!A$1:CB$87,Formula!D37,9)),IF(INDEX(Properties!A$1:CB$87,Formula!F37,9)=0,10^6,INDEX(Properties!A$1:CB$87,Formula!F37,9)),IF(INDEX(Properties!A$1:CB$87,Formula!H37,9)=0,10^6,INDEX(Properties!A$1:CB$87,Formula!H37,9)),IF(INDEX(Properties!A$1:CB$87,Formula!J37,9)=0,10^6,INDEX(Properties!A$1:CB$87,Formula!J37,9)))</f>
        <v>12</v>
      </c>
      <c r="AE37" s="72">
        <f t="shared" si="4"/>
        <v>75</v>
      </c>
      <c r="AF37" s="51">
        <f>((Formula!C37)/(Formula!C37+Formula!E37+Formula!G37+Formula!I37+Formula!K37))*(INDEX(Properties!A$1:CB$87,Formula!B37,10))+((Formula!E37)/(Formula!C37+Formula!E37+Formula!G37+Formula!I37+Formula!K37))*(INDEX(Properties!A$1:CB$87,Formula!D37,10))+((Formula!G37)/(Formula!C37+Formula!E37+Formula!G37+Formula!I37+Formula!K37))*(INDEX(Properties!A$1:CB$87,Formula!F37,10))+((Formula!I37)/(Formula!C37+Formula!E37+Formula!G37+Formula!I37+Formula!K37))*(INDEX(Properties!A$1:CB$87,Formula!H37,10))+((Formula!K37)/(Formula!C37+Formula!E37+Formula!G37+Formula!I37+Formula!K37))*(INDEX(Properties!A$1:CB$87,Formula!J37,10))</f>
        <v>6</v>
      </c>
      <c r="AG37" s="51">
        <f>Formula!C37*(INDEX(Properties!A$1:CB$87,Formula!B37,10))+Formula!E37*(INDEX(Properties!A$1:CB$87,Formula!D37,10))+Formula!G37*(INDEX(Properties!A$1:CB$87,Formula!F37,10))+Formula!I37*(INDEX(Properties!A$1:CB$87,Formula!H37,10))+Formula!K37*(INDEX(Properties!A$1:CB$87,Formula!J37,10))</f>
        <v>102</v>
      </c>
      <c r="AH37" s="51">
        <f>VARP(IF(INDEX(Properties!A$1:CB$87,Formula!B37,10)&lt;&gt;"",INDEX(Properties!A$1:CB$87,Formula!B37,10)),IF(INDEX(Properties!A$1:CB$87,Formula!D37,10)&lt;&gt;"",INDEX(Properties!A$1:CB$87,Formula!D37,10)),IF(INDEX(Properties!A$1:CB$87,Formula!F37,10)&lt;&gt;"",INDEX(Properties!A$1:CB$87,Formula!F37,10)),IF(INDEX(Properties!A$1:CB$87,Formula!H37,10)&lt;&gt;"",INDEX(Properties!A$1:CB$87,Formula!H37,10)),IF(INDEX(Properties!A$1:CB$87,Formula!J37,10)&lt;&gt;"",INDEX(Properties!A$1:CB$87,Formula!J37,10)))</f>
        <v>6.96</v>
      </c>
      <c r="AI37" s="51">
        <f>MAX(INDEX(Properties!A$1:CB$87,Formula!B37,10),INDEX(Properties!A$1:CB$87,Formula!D37,10),INDEX(Properties!A$1:CB$87,Formula!F37,10),INDEX(Properties!A$1:CB$87,Formula!H37,10),INDEX(Properties!A$1:CB$87,Formula!J37,10))</f>
        <v>7</v>
      </c>
      <c r="AJ37" s="51">
        <f>MIN(IF(INDEX(Properties!A$1:CB$87,Formula!B37,10)=0,10^6,INDEX(Properties!A$1:CB$87,Formula!B37,10)),IF(INDEX(Properties!A$1:CB$87,Formula!D37,10)=0,10^6,INDEX(Properties!A$1:CB$87,Formula!D37,10)),IF(INDEX(Properties!A$1:CB$87,Formula!F37,10)=0,10^6,INDEX(Properties!A$1:CB$87,Formula!F37,10)),IF(INDEX(Properties!A$1:CB$87,Formula!H37,10)=0,10^6,INDEX(Properties!A$1:CB$87,Formula!H37,10)),IF(INDEX(Properties!A$1:CB$87,Formula!J37,10)=0,10^6,INDEX(Properties!A$1:CB$87,Formula!J37,10)))</f>
        <v>3</v>
      </c>
      <c r="AK37" s="51">
        <f t="shared" si="5"/>
        <v>4</v>
      </c>
      <c r="AL37" s="57">
        <f>((Formula!C37)/(Formula!C37+Formula!E37+Formula!G37+Formula!I37+Formula!K37))*(INDEX(Properties!A$1:CB$87,Formula!B37,11))+((Formula!E37)/(Formula!C37+Formula!E37+Formula!G37+Formula!I37+Formula!K37))*(INDEX(Properties!A$1:CB$87,Formula!D37,11))+((Formula!G37)/(Formula!C37+Formula!E37+Formula!G37+Formula!I37+Formula!K37))*(INDEX(Properties!A$1:CB$87,Formula!F37,11))+((Formula!I37)/(Formula!C37+Formula!E37+Formula!G37+Formula!I37+Formula!K37))*(INDEX(Properties!A$1:CB$87,Formula!H37,11))+((Formula!K37)/(Formula!C37+Formula!E37+Formula!G37+Formula!I37+Formula!K37))*(INDEX(Properties!A$1:CB$87,Formula!J37,11))</f>
        <v>1.8235294117647061</v>
      </c>
      <c r="AM37" s="57">
        <f>Formula!C37*(INDEX(Properties!A$1:CB$87,Formula!B37,11))+Formula!E37*(INDEX(Properties!A$1:CB$87,Formula!D37,11))+Formula!G37*(INDEX(Properties!A$1:CB$87,Formula!F37,11))+Formula!I37*(INDEX(Properties!A$1:CB$87,Formula!H37,11))+Formula!K37*(INDEX(Properties!A$1:CB$87,Formula!J37,11))</f>
        <v>31</v>
      </c>
      <c r="AN37" s="57">
        <f>VARP(IF(INDEX(Properties!A$1:CB$87,Formula!B37,11)&lt;&gt;"",INDEX(Properties!A$1:CB$87,Formula!B37,11)),IF(INDEX(Properties!A$1:CB$87,Formula!D37,11)&lt;&gt;"",INDEX(Properties!A$1:CB$87,Formula!D37,11)),IF(INDEX(Properties!A$1:CB$87,Formula!F37,11)&lt;&gt;"",INDEX(Properties!A$1:CB$87,Formula!F37,11)),IF(INDEX(Properties!A$1:CB$87,Formula!H37,11)&lt;&gt;"",INDEX(Properties!A$1:CB$87,Formula!H37,11)),IF(INDEX(Properties!A$1:CB$87,Formula!J37,11)&lt;&gt;"",INDEX(Properties!A$1:CB$87,Formula!J37,11)))</f>
        <v>0.8</v>
      </c>
      <c r="AO37" s="57">
        <f>MAX(INDEX(Properties!A$1:CB$87,Formula!B37,11),INDEX(Properties!A$1:CB$87,Formula!D37,11),INDEX(Properties!A$1:CB$87,Formula!F37,11),INDEX(Properties!A$1:CB$87,Formula!H37,11),INDEX(Properties!A$1:CB$87,Formula!J37,11))</f>
        <v>2</v>
      </c>
      <c r="AP37" s="57">
        <f>MIN(IF(Formula!B37=87,10^6,INDEX(Properties!A$1:CB$87,Formula!B37,11)),IF((Formula!D37)=87,10^6,INDEX(Properties!A$1:CB$87,Formula!D37,11)),IF((Formula!F37)=87,10^6,INDEX(Properties!A$1:CB$87,Formula!F37,11)),IF((Formula!H37)=87,10^6,INDEX(Properties!A$1:CB$87,Formula!H37,11)),IF(Formula!J37=87,10^6,INDEX(Properties!A$1:CB$87,Formula!J37,11)))</f>
        <v>1</v>
      </c>
      <c r="AQ37" s="57">
        <f t="shared" si="6"/>
        <v>1</v>
      </c>
      <c r="AR37" s="78">
        <f>((Formula!C37)/(Formula!C37+Formula!E37+Formula!G37+Formula!I37+Formula!K37))*(INDEX(Properties!A$1:CB$87,Formula!B37,12))+((Formula!E37)/(Formula!C37+Formula!E37+Formula!G37+Formula!I37+Formula!K37))*(INDEX(Properties!A$1:CB$87,Formula!D37,12))+((Formula!G37)/(Formula!C37+Formula!E37+Formula!G37+Formula!I37+Formula!K37))*(INDEX(Properties!A$1:CB$87,Formula!F37,12))+((Formula!I37)/(Formula!C37+Formula!E37+Formula!G37+Formula!I37+Formula!K37))*(INDEX(Properties!A$1:CB$87,Formula!H37,12))+((Formula!K37)/(Formula!C37+Formula!E37+Formula!G37+Formula!I37+Formula!K37))*(INDEX(Properties!A$1:CB$87,Formula!J37,12))</f>
        <v>2.8235294117647061</v>
      </c>
      <c r="AS37" s="78">
        <f>Formula!C37*(INDEX(Properties!A$1:CB$87,Formula!B37,12))+Formula!E37*(INDEX(Properties!A$1:CB$87,Formula!D37,12))+Formula!G37*(INDEX(Properties!A$1:CB$87,Formula!F37,12))+Formula!I37*(INDEX(Properties!A$1:CB$87,Formula!H37,12))+Formula!K37*(INDEX(Properties!A$1:CB$87,Formula!J37,12))</f>
        <v>48</v>
      </c>
      <c r="AT37" s="78">
        <f>VARP(IF(INDEX(Properties!A$1:CB$87,Formula!B37,12)&lt;&gt;"",INDEX(Properties!A$1:CB$87,Formula!B37,12)),IF(INDEX(Properties!A$1:CB$87,Formula!D37,12)&lt;&gt;"",INDEX(Properties!A$1:CB$87,Formula!D37,12)),IF(INDEX(Properties!A$1:CB$87,Formula!F37,12)&lt;&gt;"",INDEX(Properties!A$1:CB$87,Formula!F37,12)),IF(INDEX(Properties!A$1:CB$87,Formula!H37,12)&lt;&gt;"",INDEX(Properties!A$1:CB$87,Formula!H37,12)),IF(INDEX(Properties!A$1:CB$87,Formula!J37,12)&lt;&gt;"",INDEX(Properties!A$1:CB$87,Formula!J37,12)))</f>
        <v>2.56</v>
      </c>
      <c r="AU37" s="78">
        <f>MAX(INDEX(Properties!A$1:CB$87,Formula!B37,12),INDEX(Properties!A$1:CB$87,Formula!D37,12),INDEX(Properties!A$1:CB$87,Formula!F37,12),INDEX(Properties!A$1:CB$87,Formula!H37,12),INDEX(Properties!A$1:CB$87,Formula!J37,12))</f>
        <v>4</v>
      </c>
      <c r="AV37" s="78">
        <f>MIN(IF(Formula!B37=87,10^6,INDEX(Properties!A$1:CB$87,Formula!B37,12)),IF((Formula!D37)=87,10^6,INDEX(Properties!A$1:CB$87,Formula!D37,12)),IF((Formula!F37)=87,10^6,INDEX(Properties!A$1:CB$87,Formula!F37,12)),IF((Formula!H37)=87,10^6,INDEX(Properties!A$1:CB$87,Formula!H37,12)),IF(Formula!J37=87,10^6,INDEX(Properties!A$1:CB$87,Formula!J37,12)))</f>
        <v>0</v>
      </c>
      <c r="AW37" s="78">
        <f t="shared" si="7"/>
        <v>4</v>
      </c>
      <c r="AX37" s="45">
        <f>((Formula!C37)/(Formula!C37+Formula!E37+Formula!G37+Formula!I37+Formula!K37))*(INDEX(Properties!A$1:CB$87,Formula!B37,13))+((Formula!E37)/(Formula!C37+Formula!E37+Formula!G37+Formula!I37+Formula!K37))*(INDEX(Properties!A$1:CB$87,Formula!D37,13))+((Formula!G37)/(Formula!C37+Formula!E37+Formula!G37+Formula!I37+Formula!K37))*(INDEX(Properties!A$1:CB$87,Formula!F37,13))+((Formula!I37)/(Formula!C37+Formula!E37+Formula!G37+Formula!I37+Formula!K37))*(INDEX(Properties!A$1:CB$87,Formula!H37,13))+((Formula!K37)/(Formula!C37+Formula!E37+Formula!G37+Formula!I37+Formula!K37))*(INDEX(Properties!A$1:CB$87,Formula!J37,13))</f>
        <v>1</v>
      </c>
      <c r="AY37" s="45">
        <f>Formula!C37*(INDEX(Properties!A$1:CB$87,Formula!B37,13))+Formula!E37*(INDEX(Properties!A$1:CB$87,Formula!D37,13))+Formula!G37*(INDEX(Properties!A$1:CB$87,Formula!F37,13))+Formula!I37*(INDEX(Properties!A$1:CB$87,Formula!H37,13))+Formula!K37*(INDEX(Properties!A$1:CB$87,Formula!J37,13))</f>
        <v>17</v>
      </c>
      <c r="AZ37" s="45">
        <f>VARP(IF(INDEX(Properties!A$1:CB$87,Formula!B37,13)&lt;&gt;"",INDEX(Properties!A$1:CB$87,Formula!B37,13)),IF(INDEX(Properties!A$1:CB$87,Formula!D37,13)&lt;&gt;"",INDEX(Properties!A$1:CB$87,Formula!D37,13)),IF(INDEX(Properties!A$1:CB$87,Formula!F37,13)&lt;&gt;"",INDEX(Properties!A$1:CB$87,Formula!F37,13)),IF(INDEX(Properties!A$1:CB$87,Formula!H37,13)&lt;&gt;"",INDEX(Properties!A$1:CB$87,Formula!H37,13)),IF(INDEX(Properties!A$1:CB$87,Formula!J37,13)&lt;&gt;"",INDEX(Properties!A$1:CB$87,Formula!J37,13)))</f>
        <v>3.76</v>
      </c>
      <c r="BA37" s="45">
        <f>MAX(INDEX(Properties!A$1:CB$87,Formula!B37,13),INDEX(Properties!A$1:CB$87,Formula!D37,13),INDEX(Properties!A$1:CB$87,Formula!F37,13),INDEX(Properties!A$1:CB$87,Formula!H37,13),INDEX(Properties!A$1:CB$87,Formula!J37,13))</f>
        <v>5</v>
      </c>
      <c r="BB37" s="45">
        <f>MIN(IF(Formula!B37=87,10^6,INDEX(Properties!A$1:CB$87,Formula!B37,13)),IF((Formula!D37)=87,10^6,INDEX(Properties!A$1:CB$87,Formula!D37,13)),IF((Formula!F37)=87,10^6,INDEX(Properties!A$1:CB$87,Formula!F37,13)),IF((Formula!H37)=87,10^6,INDEX(Properties!A$1:CB$87,Formula!H37,13)),IF(Formula!J37=87,10^6,INDEX(Properties!A$1:CB$87,Formula!J37,13)))</f>
        <v>0</v>
      </c>
      <c r="BC37" s="45">
        <f t="shared" si="8"/>
        <v>5</v>
      </c>
      <c r="BD37" s="63">
        <f>((Formula!C37)/(Formula!C37+Formula!E37+Formula!G37+Formula!I37+Formula!K37))*(INDEX(Properties!A$1:CB$87,Formula!B37,14))+((Formula!E37)/(Formula!C37+Formula!E37+Formula!G37+Formula!I37+Formula!K37))*(INDEX(Properties!A$1:CB$87,Formula!D37,14))+((Formula!G37)/(Formula!C37+Formula!E37+Formula!G37+Formula!I37+Formula!K37))*(INDEX(Properties!A$1:CB$87,Formula!F37,14))+((Formula!I37)/(Formula!C37+Formula!E37+Formula!G37+Formula!I37+Formula!K37))*(INDEX(Properties!A$1:CB$87,Formula!H37,14))+((Formula!K37)/(Formula!C37+Formula!E37+Formula!G37+Formula!I37+Formula!K37))*(INDEX(Properties!A$1:CB$87,Formula!J37,14))</f>
        <v>0</v>
      </c>
      <c r="BE37" s="63">
        <f>Formula!C37*(INDEX(Properties!A$1:CB$87,Formula!B37,14))+Formula!E37*(INDEX(Properties!A$1:CB$87,Formula!D37,14))+Formula!G37*(INDEX(Properties!A$1:CB$87,Formula!F37,14))+Formula!I37*(INDEX(Properties!A$1:CB$87,Formula!H37,14))+Formula!K37*(INDEX(Properties!A$1:CB$87,Formula!J37,14))</f>
        <v>0</v>
      </c>
      <c r="BF37" s="63">
        <f>VARP(IF(INDEX(Properties!A$1:CB$87,Formula!B37,14)&lt;&gt;"",INDEX(Properties!A$1:CB$87,Formula!B37,14)),IF(INDEX(Properties!A$1:CB$87,Formula!D37,14)&lt;&gt;"",INDEX(Properties!A$1:CB$87,Formula!D37,14)),IF(INDEX(Properties!A$1:CB$87,Formula!F37,14)&lt;&gt;"",INDEX(Properties!A$1:CB$87,Formula!F37,14)),IF(INDEX(Properties!A$1:CB$87,Formula!H37,14)&lt;&gt;"",INDEX(Properties!A$1:CB$87,Formula!H37,14)),IF(INDEX(Properties!A$1:CB$87,Formula!J37,14)&lt;&gt;"",INDEX(Properties!A$1:CB$87,Formula!J37,14)))</f>
        <v>0</v>
      </c>
      <c r="BG37" s="63">
        <f>MAX(INDEX(Properties!A$1:CB$87,Formula!B37,14),INDEX(Properties!A$1:CB$87,Formula!D37,14),INDEX(Properties!A$1:CB$87,Formula!F37,14),INDEX(Properties!A$1:CB$87,Formula!H37,14),INDEX(Properties!A$1:CB$87,Formula!J37,14))</f>
        <v>0</v>
      </c>
      <c r="BH37" s="63">
        <f>MIN(IF(Formula!B37=87,10^6,INDEX(Properties!A$1:CB$87,Formula!B37,14)),IF((Formula!D37)=87,10^6,INDEX(Properties!A$1:CB$87,Formula!D37,14)),IF((Formula!F37)=87,10^6,INDEX(Properties!A$1:CB$87,Formula!F37,14)),IF((Formula!H37)=87,10^6,INDEX(Properties!A$1:CB$87,Formula!H37,14)),IF(Formula!J37=87,10^6,INDEX(Properties!A$1:CB$87,Formula!J37,14)))</f>
        <v>0</v>
      </c>
      <c r="BI37" s="63">
        <f t="shared" si="9"/>
        <v>0</v>
      </c>
      <c r="BJ37" s="75">
        <f>((Formula!C37)/(Formula!C37+Formula!E37+Formula!G37+Formula!I37+Formula!K37))*(INDEX(Properties!A$1:CB$87,Formula!B37,19))+((Formula!E37)/(Formula!C37+Formula!E37+Formula!G37+Formula!I37+Formula!K37))*(INDEX(Properties!A$1:CB$87,Formula!D37,19))+((Formula!G37)/(Formula!C37+Formula!E37+Formula!G37+Formula!I37+Formula!K37))*(INDEX(Properties!A$1:CB$87,Formula!F37,19))+((Formula!I37)/(Formula!C37+Formula!E37+Formula!G37+Formula!I37+Formula!K37))*(INDEX(Properties!A$1:CB$87,Formula!H37,19))+((Formula!K37)/(Formula!C37+Formula!E37+Formula!G37+Formula!I37+Formula!K37))*(INDEX(Properties!A$1:CB$87,Formula!J37,19))</f>
        <v>5.6470588235294112</v>
      </c>
      <c r="BK37" s="75">
        <f>Formula!C37*(INDEX(Properties!A$1:CB$87,Formula!B37,19))+Formula!E37*(INDEX(Properties!A$1:CB$87,Formula!D37,19))+Formula!G37*(INDEX(Properties!A$1:CB$87,Formula!F37,19))+Formula!I37*(INDEX(Properties!A$1:CB$87,Formula!H37,19))+Formula!K37*(INDEX(Properties!A$1:CB$87,Formula!J37,19))</f>
        <v>96</v>
      </c>
      <c r="BL37" s="75">
        <f>VARP(IF(INDEX(Properties!A$1:CB$87,Formula!B37,19)&lt;&gt;"",INDEX(Properties!A$1:CB$87,Formula!B37,19)),IF(INDEX(Properties!A$1:CB$87,Formula!D37,19)&lt;&gt;"",INDEX(Properties!A$1:CB$87,Formula!D37,19)),IF(INDEX(Properties!A$1:CB$87,Formula!F37,19)&lt;&gt;"",INDEX(Properties!A$1:CB$87,Formula!F37,19)),IF(INDEX(Properties!A$1:CB$87,Formula!H37,19)&lt;&gt;"",INDEX(Properties!A$1:CB$87,Formula!H37,19)),IF(INDEX(Properties!A$1:CB$87,Formula!J37,19)&lt;&gt;"",INDEX(Properties!A$1:CB$87,Formula!J37,19)))</f>
        <v>7.2</v>
      </c>
      <c r="BM37" s="75">
        <f>MAX(INDEX(Properties!A$1:CB$87,Formula!B37,19),INDEX(Properties!A$1:CB$87,Formula!D37,19),INDEX(Properties!A$1:CB$87,Formula!F37,19),INDEX(Properties!A$1:CB$87,Formula!H37,19),INDEX(Properties!A$1:CB$87,Formula!J37,19))</f>
        <v>6</v>
      </c>
      <c r="BN37" s="75">
        <f>MIN(IF(INDEX(Properties!A$1:CB$87,Formula!B37,19)=0,10^6,INDEX(Properties!A$1:CB$87,Formula!B37,19)),IF(INDEX(Properties!A$1:CB$87,Formula!D37,19)=0,10^6,INDEX(Properties!A$1:CB$87,Formula!D37,19)),IF(INDEX(Properties!A$1:CB$87,Formula!F37,19)=0,10^6,INDEX(Properties!A$1:CB$87,Formula!F37,19)),IF(INDEX(Properties!A$1:CB$87,Formula!H37,19)=0,10^6,INDEX(Properties!A$1:CB$87,Formula!H37,19)),IF(INDEX(Properties!A$1:CB$87,Formula!J37,19)=0,10^6,INDEX(Properties!A$1:CB$87,Formula!J37,19)))</f>
        <v>3</v>
      </c>
      <c r="BO37" s="75">
        <f t="shared" si="10"/>
        <v>3</v>
      </c>
      <c r="BP37" s="48">
        <f>((Formula!C37)/(Formula!C37+Formula!E37+Formula!G37+Formula!I37+Formula!K37))*(INDEX(Properties!A$1:CB$87,Formula!B37,20))+((Formula!E37)/(Formula!C37+Formula!E37+Formula!G37+Formula!I37+Formula!K37))*(INDEX(Properties!A$1:CB$87,Formula!D37,20))+((Formula!G37)/(Formula!C37+Formula!E37+Formula!G37+Formula!I37+Formula!K37))*(INDEX(Properties!A$1:CB$87,Formula!F37,20))+((Formula!I37)/(Formula!C37+Formula!E37+Formula!G37+Formula!I37+Formula!K37))*(INDEX(Properties!A$1:CB$87,Formula!H37,20))+((Formula!K37)/(Formula!C37+Formula!E37+Formula!G37+Formula!I37+Formula!K37))*(INDEX(Properties!A$1:CB$87,Formula!J37,20))</f>
        <v>4.6470588235294121</v>
      </c>
      <c r="BQ37" s="48">
        <f>Formula!C37*(INDEX(Properties!A$1:CB$87,Formula!B37,20))+Formula!E37*(INDEX(Properties!A$1:CB$87,Formula!D37,20))+Formula!G37*(INDEX(Properties!A$1:CB$87,Formula!F37,20))+Formula!I37*(INDEX(Properties!A$1:CB$87,Formula!H37,20))+Formula!K37*(INDEX(Properties!A$1:CB$87,Formula!J37,20))</f>
        <v>79</v>
      </c>
      <c r="BR37" s="48">
        <f>VARP(IF(INDEX(Properties!A$1:CB$87,Formula!B37,20)&lt;&gt;"",INDEX(Properties!A$1:CB$87,Formula!B37,20)),IF(INDEX(Properties!A$1:CB$87,Formula!D37,20)&lt;&gt;"",INDEX(Properties!A$1:CB$87,Formula!D37,20)),IF(INDEX(Properties!A$1:CB$87,Formula!F37,20)&lt;&gt;"",INDEX(Properties!A$1:CB$87,Formula!F37,20)),IF(INDEX(Properties!A$1:CB$87,Formula!H37,20)&lt;&gt;"",INDEX(Properties!A$1:CB$87,Formula!H37,20)),IF(INDEX(Properties!A$1:CB$87,Formula!J37,20)&lt;&gt;"",INDEX(Properties!A$1:CB$87,Formula!J37,20)))</f>
        <v>4.96</v>
      </c>
      <c r="BS37" s="48">
        <f>MAX(INDEX(Properties!A$1:CB$87,Formula!B37,20),INDEX(Properties!A$1:CB$87,Formula!D37,20),INDEX(Properties!A$1:CB$87,Formula!F37,20),INDEX(Properties!A$1:CB$87,Formula!H37,20),INDEX(Properties!A$1:CB$87,Formula!J37,20))</f>
        <v>6</v>
      </c>
      <c r="BT37" s="48">
        <f>MIN(IF(INDEX(Properties!A$1:CB$87,Formula!B37,20)=0,10^6,INDEX(Properties!A$1:CB$87,Formula!B37,20)),IF(INDEX(Properties!A$1:CB$87,Formula!D37,20)=0,10^6,INDEX(Properties!A$1:CB$87,Formula!D37,20)),IF(INDEX(Properties!A$1:CB$87,Formula!F37,20)=0,10^6,INDEX(Properties!A$1:CB$87,Formula!F37,20)),IF(INDEX(Properties!A$1:CB$87,Formula!H37,20)=0,10^6,INDEX(Properties!A$1:CB$87,Formula!H37,20)),IF(INDEX(Properties!A$1:CB$87,Formula!J37,20)=0,10^6,INDEX(Properties!A$1:CB$87,Formula!J37,20)))</f>
        <v>1</v>
      </c>
      <c r="BU37" s="48">
        <f t="shared" si="11"/>
        <v>5</v>
      </c>
      <c r="BV37" s="66">
        <f>((Formula!C37)/(Formula!C37+Formula!E37+Formula!G37+Formula!I37+Formula!K37))*(INDEX(Properties!A$1:CB$87,Formula!B37,21))+((Formula!E37)/(Formula!C37+Formula!E37+Formula!G37+Formula!I37+Formula!K37))*(INDEX(Properties!A$1:CB$87,Formula!D37,21))+((Formula!G37)/(Formula!C37+Formula!E37+Formula!G37+Formula!I37+Formula!K37))*(INDEX(Properties!A$1:CB$87,Formula!F37,21))+((Formula!I37)/(Formula!C37+Formula!E37+Formula!G37+Formula!I37+Formula!K37))*(INDEX(Properties!A$1:CB$87,Formula!H37,21))+((Formula!K37)/(Formula!C37+Formula!E37+Formula!G37+Formula!I37+Formula!K37))*(INDEX(Properties!A$1:CB$87,Formula!J37,21))</f>
        <v>5.0588235294117645</v>
      </c>
      <c r="BW37" s="66">
        <f>Formula!C37*(INDEX(Properties!A$1:CB$87,Formula!B37,21))+Formula!E37*(INDEX(Properties!A$1:CB$87,Formula!D37,21))+Formula!G37*(INDEX(Properties!A$1:CB$87,Formula!F37,21))+Formula!I37*(INDEX(Properties!A$1:CB$87,Formula!H37,21))+Formula!K37*(INDEX(Properties!A$1:CB$87,Formula!J37,21))</f>
        <v>86</v>
      </c>
      <c r="BX37" s="66">
        <f>VARP(IF(INDEX(Properties!A$1:CB$87,Formula!B37,21)&lt;&gt;"",INDEX(Properties!A$1:CB$87,Formula!B37,21)),IF(INDEX(Properties!A$1:CB$87,Formula!D37,21)&lt;&gt;"",INDEX(Properties!A$1:CB$87,Formula!D37,21)),IF(INDEX(Properties!A$1:CB$87,Formula!F37,21)&lt;&gt;"",INDEX(Properties!A$1:CB$87,Formula!F37,21)),IF(INDEX(Properties!A$1:CB$87,Formula!H37,21)&lt;&gt;"",INDEX(Properties!A$1:CB$87,Formula!H37,21)),IF(INDEX(Properties!A$1:CB$87,Formula!J37,21)&lt;&gt;"",INDEX(Properties!A$1:CB$87,Formula!J37,21)))</f>
        <v>5.76</v>
      </c>
      <c r="BY37" s="66">
        <f>MAX(INDEX(Properties!A$1:CB$87,Formula!B37,21),INDEX(Properties!A$1:CB$87,Formula!D37,21),INDEX(Properties!A$1:CB$87,Formula!F37,21),INDEX(Properties!A$1:CB$87,Formula!H37,21),INDEX(Properties!A$1:CB$87,Formula!J37,21))</f>
        <v>6</v>
      </c>
      <c r="BZ37" s="66">
        <f>MIN(IF(INDEX(Properties!A$1:CB$87,Formula!B37,21)=0,10^6,INDEX(Properties!A$1:CB$87,Formula!B37,21)),IF(INDEX(Properties!A$1:CB$87,Formula!D37,21)=0,10^6,INDEX(Properties!A$1:CB$87,Formula!D37,21)),IF(INDEX(Properties!A$1:CB$87,Formula!F37,21)=0,10^6,INDEX(Properties!A$1:CB$87,Formula!F37,21)),IF(INDEX(Properties!A$1:CB$87,Formula!H37,21)=0,10^6,INDEX(Properties!A$1:CB$87,Formula!H37,21)),IF(INDEX(Properties!A$1:CB$87,Formula!J37,21)=0,10^6,INDEX(Properties!A$1:CB$87,Formula!J37,21)))</f>
        <v>1</v>
      </c>
      <c r="CA37" s="66">
        <f t="shared" si="12"/>
        <v>5</v>
      </c>
      <c r="CB37" s="81">
        <f>((Formula!C37)/(Formula!C37+Formula!E37+Formula!G37+Formula!I37+Formula!K37))*(INDEX(Properties!A$1:CB$87,Formula!B37,23))+((Formula!E37)/(Formula!C37+Formula!E37+Formula!G37+Formula!I37+Formula!K37))*(INDEX(Properties!A$1:CB$87,Formula!D37,23))+((Formula!G37)/(Formula!C37+Formula!E37+Formula!G37+Formula!I37+Formula!K37))*(INDEX(Properties!A$1:CB$87,Formula!F37,23))+((Formula!I37)/(Formula!C37+Formula!E37+Formula!G37+Formula!I37+Formula!K37))*(INDEX(Properties!A$1:CB$87,Formula!H37,23))+((Formula!K37)/(Formula!C37+Formula!E37+Formula!G37+Formula!I37+Formula!K37))*(INDEX(Properties!A$1:CB$87,Formula!J37,23))</f>
        <v>1.3729411764705883</v>
      </c>
      <c r="CC37" s="81">
        <f>Formula!C37*(INDEX(Properties!A$1:CB$87,Formula!B37,23))+Formula!E37*(INDEX(Properties!A$1:CB$87,Formula!D37,23))+Formula!G37*(INDEX(Properties!A$1:CB$87,Formula!F37,23))+Formula!I37*(INDEX(Properties!A$1:CB$87,Formula!H37,23))+Formula!K37*(INDEX(Properties!A$1:CB$87,Formula!J37,23))</f>
        <v>23.34</v>
      </c>
      <c r="CD37" s="81">
        <f>VARP(IF(INDEX(Properties!A$1:CB$87,Formula!B37,23)&lt;&gt;"",INDEX(Properties!A$1:CB$87,Formula!B37,23)),IF(INDEX(Properties!A$1:CB$87,Formula!D37,23)&lt;&gt;"",INDEX(Properties!A$1:CB$87,Formula!D37,23)),IF(INDEX(Properties!A$1:CB$87,Formula!F37,23)&lt;&gt;"",INDEX(Properties!A$1:CB$87,Formula!F37,23)),IF(INDEX(Properties!A$1:CB$87,Formula!H37,23)&lt;&gt;"",INDEX(Properties!A$1:CB$87,Formula!H37,23)),IF(INDEX(Properties!A$1:CB$87,Formula!J37,23)&lt;&gt;"",INDEX(Properties!A$1:CB$87,Formula!J37,23)))</f>
        <v>5.3981439999999994</v>
      </c>
      <c r="CE37" s="81">
        <f>MAX(INDEX(Properties!A$1:CB$87,Formula!B37,23),INDEX(Properties!A$1:CB$87,Formula!D37,23),INDEX(Properties!A$1:CB$87,Formula!F37,23),INDEX(Properties!A$1:CB$87,Formula!H37,23),INDEX(Properties!A$1:CB$87,Formula!J37,23))</f>
        <v>5.78</v>
      </c>
      <c r="CF37" s="81">
        <f>MIN(IF(Formula!B37=87,10^6,INDEX(Properties!A$1:CB$87,Formula!B37,23)),IF((Formula!D37)=87,10^6,INDEX(Properties!A$1:CB$87,Formula!D37,23)),IF((Formula!F37)=87,10^6,INDEX(Properties!A$1:CB$87,Formula!F37,23)),IF((Formula!H37)=87,10^6,INDEX(Properties!A$1:CB$87,Formula!H37,23)),IF(Formula!J37=87,10^6,INDEX(Properties!A$1:CB$87,Formula!J37,23)))</f>
        <v>0</v>
      </c>
      <c r="CG37" s="81">
        <f t="shared" si="13"/>
        <v>5.78</v>
      </c>
      <c r="CH37" s="39">
        <f>((Formula!C37)/(Formula!C37+Formula!E37+Formula!G37+Formula!I37+Formula!K37))*(INDEX(Properties!A$1:CB$87,Formula!B37,26))+((Formula!E37)/(Formula!C37+Formula!E37+Formula!G37+Formula!I37+Formula!K37))*(INDEX(Properties!A$1:CB$87,Formula!D37,26))+((Formula!G37)/(Formula!C37+Formula!E37+Formula!G37+Formula!I37+Formula!K37))*(INDEX(Properties!A$1:CB$87,Formula!F37,26))+((Formula!I37)/(Formula!C37+Formula!E37+Formula!G37+Formula!I37+Formula!K37))*(INDEX(Properties!A$1:CB$87,Formula!H37,26))+((Formula!K37)/(Formula!C37+Formula!E37+Formula!G37+Formula!I37+Formula!K37))*(INDEX(Properties!A$1:CB$87,Formula!J37,26))</f>
        <v>11.595823529411765</v>
      </c>
      <c r="CI37" s="39">
        <f>Formula!C37*(INDEX(Properties!A$1:CB$87,Formula!B37,26))+Formula!E37*(INDEX(Properties!A$1:CB$87,Formula!D37,26))+Formula!G37*(INDEX(Properties!A$1:CB$87,Formula!F37,26))+Formula!I37*(INDEX(Properties!A$1:CB$87,Formula!H37,26))+Formula!K37*(INDEX(Properties!A$1:CB$87,Formula!J37,26))</f>
        <v>197.12900000000002</v>
      </c>
      <c r="CJ37" s="39">
        <f>VARP(IF(INDEX(Properties!A$1:CB$87,Formula!B37,26)&lt;&gt;"",INDEX(Properties!A$1:CB$87,Formula!B37,26)),IF(INDEX(Properties!A$1:CB$87,Formula!D37,26)&lt;&gt;"",INDEX(Properties!A$1:CB$87,Formula!D37,26)),IF(INDEX(Properties!A$1:CB$87,Formula!F37,26)&lt;&gt;"",INDEX(Properties!A$1:CB$87,Formula!F37,26)),IF(INDEX(Properties!A$1:CB$87,Formula!H37,26)&lt;&gt;"",INDEX(Properties!A$1:CB$87,Formula!H37,26)),IF(INDEX(Properties!A$1:CB$87,Formula!J37,26)&lt;&gt;"",INDEX(Properties!A$1:CB$87,Formula!J37,26)))</f>
        <v>25.877664418400009</v>
      </c>
      <c r="CK37" s="39">
        <f>MAX(INDEX(Properties!A$1:CB$87,Formula!B37,26),INDEX(Properties!A$1:CB$87,Formula!D37,26),INDEX(Properties!A$1:CB$87,Formula!F37,26),INDEX(Properties!A$1:CB$87,Formula!H37,26),INDEX(Properties!A$1:CB$87,Formula!J37,26))</f>
        <v>13.6181</v>
      </c>
      <c r="CL37" s="39">
        <f>MIN(IF(INDEX(Properties!A$1:CB$87,Formula!B37,26)=0,10^6,INDEX(Properties!A$1:CB$87,Formula!B37,26)),IF(INDEX(Properties!A$1:CB$87,Formula!D37,26)=0,10^6,INDEX(Properties!A$1:CB$87,Formula!D37,26)),IF(INDEX(Properties!A$1:CB$87,Formula!F37,26)=0,10^6,INDEX(Properties!A$1:CB$87,Formula!F37,26)),IF(INDEX(Properties!A$1:CB$87,Formula!H37,26)=0,10^6,INDEX(Properties!A$1:CB$87,Formula!H37,26)),IF(INDEX(Properties!A$1:CB$87,Formula!J37,26)=0,10^6,INDEX(Properties!A$1:CB$87,Formula!J37,26)))</f>
        <v>6.2172999999999998</v>
      </c>
      <c r="CM37" s="39">
        <f t="shared" si="14"/>
        <v>7.4008000000000003</v>
      </c>
      <c r="CN37" s="54">
        <f>((Formula!C37)/(Formula!C37+Formula!E37+Formula!G37+Formula!I37+Formula!K37))*(INDEX(Properties!A$1:CB$87,Formula!B37,30))+((Formula!E37)/(Formula!C37+Formula!E37+Formula!G37+Formula!I37+Formula!K37))*(INDEX(Properties!A$1:CB$87,Formula!D37,30))+((Formula!G37)/(Formula!C37+Formula!E37+Formula!G37+Formula!I37+Formula!K37))*(INDEX(Properties!A$1:CB$87,Formula!F37,30))+((Formula!I37)/(Formula!C37+Formula!E37+Formula!G37+Formula!I37+Formula!K37))*(INDEX(Properties!A$1:CB$87,Formula!H37,30))+((Formula!K37)/(Formula!C37+Formula!E37+Formula!G37+Formula!I37+Formula!K37))*(INDEX(Properties!A$1:CB$87,Formula!J37,30))</f>
        <v>2.9529411764705884</v>
      </c>
      <c r="CO37" s="54">
        <f>Formula!C37*(INDEX(Properties!A$1:CB$87,Formula!B37,30))+Formula!E37*(INDEX(Properties!A$1:CB$87,Formula!D37,30))+Formula!G37*(INDEX(Properties!A$1:CB$87,Formula!F37,30))+Formula!I37*(INDEX(Properties!A$1:CB$87,Formula!H37,30))+Formula!K37*(INDEX(Properties!A$1:CB$87,Formula!J37,30))</f>
        <v>50.2</v>
      </c>
      <c r="CP37" s="54">
        <f>VARP(IF(INDEX(Properties!A$1:CB$87,Formula!B37,30)&lt;&gt;"",INDEX(Properties!A$1:CB$87,Formula!B37,30)),IF(INDEX(Properties!A$1:CB$87,Formula!D37,30)&lt;&gt;"",INDEX(Properties!A$1:CB$87,Formula!D37,30)),IF(INDEX(Properties!A$1:CB$87,Formula!F37,30)&lt;&gt;"",INDEX(Properties!A$1:CB$87,Formula!F37,30)),IF(INDEX(Properties!A$1:CB$87,Formula!H37,30)&lt;&gt;"",INDEX(Properties!A$1:CB$87,Formula!H37,30)),IF(INDEX(Properties!A$1:CB$87,Formula!J37,30)&lt;&gt;"",INDEX(Properties!A$1:CB$87,Formula!J37,30)))</f>
        <v>1.7370239999999999</v>
      </c>
      <c r="CQ37" s="54">
        <f>MAX(INDEX(Properties!A$1:CB$87,Formula!B37,30),INDEX(Properties!A$1:CB$87,Formula!D37,30),INDEX(Properties!A$1:CB$87,Formula!F37,30),INDEX(Properties!A$1:CB$87,Formula!H37,30),INDEX(Properties!A$1:CB$87,Formula!J37,30))</f>
        <v>3.44</v>
      </c>
      <c r="CR37" s="54">
        <f>MIN(IF(INDEX(Properties!A$1:CB$87,Formula!B37,30)=0,10^6,INDEX(Properties!A$1:CB$87,Formula!B37,30)),IF(INDEX(Properties!A$1:CB$87,Formula!D37,30)=0,10^6,INDEX(Properties!A$1:CB$87,Formula!D37,30)),IF(INDEX(Properties!A$1:CB$87,Formula!F37,30)=0,10^6,INDEX(Properties!A$1:CB$87,Formula!F37,30)),IF(INDEX(Properties!A$1:CB$87,Formula!H37,30)=0,10^6,INDEX(Properties!A$1:CB$87,Formula!H37,30)),IF(INDEX(Properties!A$1:CB$87,Formula!J37,30)=0,10^6,INDEX(Properties!A$1:CB$87,Formula!J37,30)))</f>
        <v>1.22</v>
      </c>
      <c r="CS37" s="54">
        <f t="shared" si="15"/>
        <v>2.2199999999999998</v>
      </c>
      <c r="CT37" s="69">
        <f>((Formula!C37)/(Formula!C37+Formula!E37+Formula!G37+Formula!I37+Formula!K37))*(INDEX(Properties!A$1:CB$87,Formula!B37,31))+((Formula!E37)/(Formula!C37+Formula!E37+Formula!G37+Formula!I37+Formula!K37))*(INDEX(Properties!A$1:CB$87,Formula!D37,31))+((Formula!G37)/(Formula!C37+Formula!E37+Formula!G37+Formula!I37+Formula!K37))*(INDEX(Properties!A$1:CB$87,Formula!F37,31))+((Formula!I37)/(Formula!C37+Formula!E37+Formula!G37+Formula!I37+Formula!K37))*(INDEX(Properties!A$1:CB$87,Formula!H37,31))+((Formula!K37)/(Formula!C37+Formula!E37+Formula!G37+Formula!I37+Formula!K37))*(INDEX(Properties!A$1:CB$87,Formula!J37,31))</f>
        <v>2.8517647058823532</v>
      </c>
      <c r="CU37" s="69">
        <f>Formula!C37*(INDEX(Properties!A$1:CB$87,Formula!B37,31))+Formula!E37*(INDEX(Properties!A$1:CB$87,Formula!D37,31))+Formula!G37*(INDEX(Properties!A$1:CB$87,Formula!F37,31))+Formula!I37*(INDEX(Properties!A$1:CB$87,Formula!H37,31))+Formula!K37*(INDEX(Properties!A$1:CB$87,Formula!J37,31))</f>
        <v>48.48</v>
      </c>
      <c r="CV37" s="69">
        <f>VARP(IF(INDEX(Properties!A$1:CB$87,Formula!B37,31)&lt;&gt;"",INDEX(Properties!A$1:CB$87,Formula!B37,31)),IF(INDEX(Properties!A$1:CB$87,Formula!D37,31)&lt;&gt;"",INDEX(Properties!A$1:CB$87,Formula!D37,31)),IF(INDEX(Properties!A$1:CB$87,Formula!F37,31)&lt;&gt;"",INDEX(Properties!A$1:CB$87,Formula!F37,31)),IF(INDEX(Properties!A$1:CB$87,Formula!H37,31)&lt;&gt;"",INDEX(Properties!A$1:CB$87,Formula!H37,31)),IF(INDEX(Properties!A$1:CB$87,Formula!J37,31)&lt;&gt;"",INDEX(Properties!A$1:CB$87,Formula!J37,31)))</f>
        <v>1.5752639999999998</v>
      </c>
      <c r="CW37" s="69">
        <f>MAX(INDEX(Properties!A$1:CB$87,Formula!B37,31),INDEX(Properties!A$1:CB$87,Formula!D37,31),INDEX(Properties!A$1:CB$87,Formula!F37,31),INDEX(Properties!A$1:CB$87,Formula!H37,31),INDEX(Properties!A$1:CB$87,Formula!J37,31))</f>
        <v>3.32</v>
      </c>
      <c r="CX37" s="69">
        <f>MIN(IF(INDEX(Properties!A$1:CB$87,Formula!B37,31)=0,10^6,INDEX(Properties!A$1:CB$87,Formula!B37,31)),IF(INDEX(Properties!A$1:CB$87,Formula!D37,31)=0,10^6,INDEX(Properties!A$1:CB$87,Formula!D37,31)),IF(INDEX(Properties!A$1:CB$87,Formula!F37,31)=0,10^6,INDEX(Properties!A$1:CB$87,Formula!F37,31)),IF(INDEX(Properties!A$1:CB$87,Formula!H37,31)=0,10^6,INDEX(Properties!A$1:CB$87,Formula!H37,31)),IF(INDEX(Properties!A$1:CB$87,Formula!J37,31)=0,10^6,INDEX(Properties!A$1:CB$87,Formula!J37,31)))</f>
        <v>1.41</v>
      </c>
      <c r="CY37" s="69">
        <f t="shared" si="16"/>
        <v>1.91</v>
      </c>
      <c r="CZ37" s="42">
        <f>((Formula!C37)/(Formula!C37+Formula!E37+Formula!G37+Formula!I37+Formula!K37))*(INDEX(Properties!A$1:CB$87,Formula!B37,32))+((Formula!E37)/(Formula!C37+Formula!E37+Formula!G37+Formula!I37+Formula!K37))*(INDEX(Properties!A$1:CB$87,Formula!D37,32))+((Formula!G37)/(Formula!C37+Formula!E37+Formula!G37+Formula!I37+Formula!K37))*(INDEX(Properties!A$1:CB$87,Formula!F37,32))+((Formula!I37)/(Formula!C37+Formula!E37+Formula!G37+Formula!I37+Formula!K37))*(INDEX(Properties!A$1:CB$87,Formula!H37,32))+((Formula!K37)/(Formula!C37+Formula!E37+Formula!G37+Formula!I37+Formula!K37))*(INDEX(Properties!A$1:CB$87,Formula!J37,32))</f>
        <v>6.3858823529411772</v>
      </c>
      <c r="DA37" s="42">
        <f>Formula!C37*(INDEX(Properties!A$1:CB$87,Formula!B37,32))+Formula!E37*(INDEX(Properties!A$1:CB$87,Formula!D37,32))+Formula!G37*(INDEX(Properties!A$1:CB$87,Formula!F37,32))+Formula!I37*(INDEX(Properties!A$1:CB$87,Formula!H37,32))+Formula!K37*(INDEX(Properties!A$1:CB$87,Formula!J37,32))</f>
        <v>108.56</v>
      </c>
      <c r="DB37" s="42">
        <f>VARP(IF(INDEX(Properties!A$1:CB$87,Formula!B37,32)&lt;&gt;"",INDEX(Properties!A$1:CB$87,Formula!B37,32)),IF(INDEX(Properties!A$1:CB$87,Formula!D37,32)&lt;&gt;"",INDEX(Properties!A$1:CB$87,Formula!D37,32)),IF(INDEX(Properties!A$1:CB$87,Formula!F37,32)&lt;&gt;"",INDEX(Properties!A$1:CB$87,Formula!F37,32)),IF(INDEX(Properties!A$1:CB$87,Formula!H37,32)&lt;&gt;"",INDEX(Properties!A$1:CB$87,Formula!H37,32)),IF(INDEX(Properties!A$1:CB$87,Formula!J37,32)&lt;&gt;"",INDEX(Properties!A$1:CB$87,Formula!J37,32)))</f>
        <v>7.8860640000000002</v>
      </c>
      <c r="DC37" s="42">
        <f>MAX(INDEX(Properties!A$1:CB$87,Formula!B37,32),INDEX(Properties!A$1:CB$87,Formula!D37,32),INDEX(Properties!A$1:CB$87,Formula!F37,32),INDEX(Properties!A$1:CB$87,Formula!H37,32),INDEX(Properties!A$1:CB$87,Formula!J37,32))</f>
        <v>7.54</v>
      </c>
      <c r="DD37" s="42">
        <f>MIN(IF(INDEX(Properties!A$1:CB$87,Formula!B37,32)=0,10^6,INDEX(Properties!A$1:CB$87,Formula!B37,32)),IF(INDEX(Properties!A$1:CB$87,Formula!D37,32)=0,10^6,INDEX(Properties!A$1:CB$87,Formula!D37,32)),IF(INDEX(Properties!A$1:CB$87,Formula!F37,32)=0,10^6,INDEX(Properties!A$1:CB$87,Formula!F37,32)),IF(INDEX(Properties!A$1:CB$87,Formula!H37,32)=0,10^6,INDEX(Properties!A$1:CB$87,Formula!H37,32)),IF(INDEX(Properties!A$1:CB$87,Formula!J37,32)=0,10^6,INDEX(Properties!A$1:CB$87,Formula!J37,32)))</f>
        <v>3.19</v>
      </c>
      <c r="DE37" s="42">
        <f t="shared" si="17"/>
        <v>4.3499999999999996</v>
      </c>
      <c r="DF37" s="60">
        <f>((Formula!C37)/(Formula!C37+Formula!E37+Formula!G37+Formula!I37+Formula!K37))*(INDEX(Properties!A$1:CB$87,Formula!B37,34))+((Formula!E37)/(Formula!C37+Formula!E37+Formula!G37+Formula!I37+Formula!K37))*(INDEX(Properties!A$1:CB$87,Formula!D37,34))+((Formula!G37)/(Formula!C37+Formula!E37+Formula!G37+Formula!I37+Formula!K37))*(INDEX(Properties!A$1:CB$87,Formula!F37,34))+((Formula!I37)/(Formula!C37+Formula!E37+Formula!G37+Formula!I37+Formula!K37))*(INDEX(Properties!A$1:CB$87,Formula!H37,34))+((Formula!K37)/(Formula!C37+Formula!E37+Formula!G37+Formula!I37+Formula!K37))*(INDEX(Properties!A$1:CB$87,Formula!J37,34))</f>
        <v>2.9394117647058824</v>
      </c>
      <c r="DG37" s="60">
        <f>Formula!C37*(INDEX(Properties!A$1:CB$87,Formula!B37,34))+Formula!E37*(INDEX(Properties!A$1:CB$87,Formula!D37,34))+Formula!G37*(INDEX(Properties!A$1:CB$87,Formula!F37,34))+Formula!I37*(INDEX(Properties!A$1:CB$87,Formula!H37,34))+Formula!K37*(INDEX(Properties!A$1:CB$87,Formula!J37,34))</f>
        <v>49.97</v>
      </c>
      <c r="DH37" s="60">
        <f>VARP(IF(INDEX(Properties!A$1:CB$87,Formula!B37,34)&lt;&gt;"",INDEX(Properties!A$1:CB$87,Formula!B37,34)),IF(INDEX(Properties!A$1:CB$87,Formula!D37,34)&lt;&gt;"",INDEX(Properties!A$1:CB$87,Formula!D37,34)),IF(INDEX(Properties!A$1:CB$87,Formula!F37,34)&lt;&gt;"",INDEX(Properties!A$1:CB$87,Formula!F37,34)),IF(INDEX(Properties!A$1:CB$87,Formula!H37,34)&lt;&gt;"",INDEX(Properties!A$1:CB$87,Formula!H37,34)),IF(INDEX(Properties!A$1:CB$87,Formula!J37,34)&lt;&gt;"",INDEX(Properties!A$1:CB$87,Formula!J37,34)))</f>
        <v>1.7518800000000008</v>
      </c>
      <c r="DI37" s="60">
        <f>MAX(INDEX(Properties!A$1:CB$87,Formula!B37,34),INDEX(Properties!A$1:CB$87,Formula!D37,34),INDEX(Properties!A$1:CB$87,Formula!F37,34),INDEX(Properties!A$1:CB$87,Formula!H37,34),INDEX(Properties!A$1:CB$87,Formula!J37,34))</f>
        <v>3.61</v>
      </c>
      <c r="DJ37" s="60">
        <f>MIN(IF(INDEX(Properties!A$1:CB$87,Formula!B37,34)=0,10^6,INDEX(Properties!A$1:CB$87,Formula!B37,34)),IF(INDEX(Properties!A$1:CB$87,Formula!D37,34)=0,10^6,INDEX(Properties!A$1:CB$87,Formula!D37,34)),IF(INDEX(Properties!A$1:CB$87,Formula!F37,34)=0,10^6,INDEX(Properties!A$1:CB$87,Formula!F37,34)),IF(INDEX(Properties!A$1:CB$87,Formula!H37,34)=0,10^6,INDEX(Properties!A$1:CB$87,Formula!H37,34)),IF(INDEX(Properties!A$1:CB$87,Formula!J37,34)=0,10^6,INDEX(Properties!A$1:CB$87,Formula!J37,34)))</f>
        <v>1.1200000000000001</v>
      </c>
      <c r="DK37" s="60">
        <f t="shared" si="18"/>
        <v>2.4899999999999998</v>
      </c>
      <c r="DL37" s="45">
        <f>((Formula!C37)/(Formula!C37+Formula!E37+Formula!G37+Formula!I37+Formula!K37))*(INDEX(Properties!A$1:CB$87,Formula!B37,39))+((Formula!E37)/(Formula!C37+Formula!E37+Formula!G37+Formula!I37+Formula!K37))*(INDEX(Properties!A$1:CB$87,Formula!D37,39))+((Formula!G37)/(Formula!C37+Formula!E37+Formula!G37+Formula!I37+Formula!K37))*(INDEX(Properties!A$1:CB$87,Formula!F37,39))+((Formula!I37)/(Formula!C37+Formula!E37+Formula!G37+Formula!I37+Formula!K37))*(INDEX(Properties!A$1:CB$87,Formula!H37,39))+((Formula!K37)/(Formula!C37+Formula!E37+Formula!G37+Formula!I37+Formula!K37))*(INDEX(Properties!A$1:CB$87,Formula!J37,39))</f>
        <v>0.92352941176470593</v>
      </c>
      <c r="DM37" s="45">
        <f>Formula!C37*(INDEX(Properties!A$1:CB$87,Formula!B37,39))+Formula!E37*(INDEX(Properties!A$1:CB$87,Formula!D37,39))+Formula!G37*(INDEX(Properties!A$1:CB$87,Formula!F37,39))+Formula!I37*(INDEX(Properties!A$1:CB$87,Formula!H37,39))+Formula!K37*(INDEX(Properties!A$1:CB$87,Formula!J37,39))</f>
        <v>15.7</v>
      </c>
      <c r="DN37" s="45">
        <f>VARP(IF(INDEX(Properties!A$1:CB$87,Formula!B37,39)&lt;&gt;"",INDEX(Properties!A$1:CB$87,Formula!B37,39)),IF(INDEX(Properties!A$1:CB$87,Formula!D37,39)&lt;&gt;"",INDEX(Properties!A$1:CB$87,Formula!D37,39)),IF(INDEX(Properties!A$1:CB$87,Formula!F37,39)&lt;&gt;"",INDEX(Properties!A$1:CB$87,Formula!F37,39)),IF(INDEX(Properties!A$1:CB$87,Formula!H37,39)&lt;&gt;"",INDEX(Properties!A$1:CB$87,Formula!H37,39)),IF(INDEX(Properties!A$1:CB$87,Formula!J37,39)&lt;&gt;"",INDEX(Properties!A$1:CB$87,Formula!J37,39)))</f>
        <v>0.85695999999999994</v>
      </c>
      <c r="DO37" s="45">
        <f>MAX(INDEX(Properties!A$1:CB$87,Formula!B37,39),INDEX(Properties!A$1:CB$87,Formula!D37,39),INDEX(Properties!A$1:CB$87,Formula!F37,39),INDEX(Properties!A$1:CB$87,Formula!H37,39),INDEX(Properties!A$1:CB$87,Formula!J37,39))</f>
        <v>2.12</v>
      </c>
      <c r="DP37" s="45">
        <f>MIN(IF(INDEX(Properties!A$1:CB$87,Formula!B37,39)=0,10^6,INDEX(Properties!A$1:CB$87,Formula!B37,39)),IF(INDEX(Properties!A$1:CB$87,Formula!D37,39)=0,10^6,INDEX(Properties!A$1:CB$87,Formula!D37,39)),IF(INDEX(Properties!A$1:CB$87,Formula!F37,39)=0,10^6,INDEX(Properties!A$1:CB$87,Formula!F37,39)),IF(INDEX(Properties!A$1:CB$87,Formula!H37,39)=0,10^6,INDEX(Properties!A$1:CB$87,Formula!H37,39)),IF(INDEX(Properties!A$1:CB$87,Formula!J37,39)=0,10^6,INDEX(Properties!A$1:CB$87,Formula!J37,39)))</f>
        <v>0.48</v>
      </c>
      <c r="DQ37" s="45">
        <f t="shared" si="19"/>
        <v>1.6400000000000001</v>
      </c>
      <c r="DR37" s="63">
        <f>((Formula!C37)/(Formula!C37+Formula!E37+Formula!G37+Formula!I37+Formula!K37))*(INDEX(Properties!A$1:CB$87,Formula!B37,40))+((Formula!E37)/(Formula!C37+Formula!E37+Formula!G37+Formula!I37+Formula!K37))*(INDEX(Properties!A$1:CB$87,Formula!D37,40))+((Formula!G37)/(Formula!C37+Formula!E37+Formula!G37+Formula!I37+Formula!K37))*(INDEX(Properties!A$1:CB$87,Formula!F37,40))+((Formula!I37)/(Formula!C37+Formula!E37+Formula!G37+Formula!I37+Formula!K37))*(INDEX(Properties!A$1:CB$87,Formula!H37,40))+((Formula!K37)/(Formula!C37+Formula!E37+Formula!G37+Formula!I37+Formula!K37))*(INDEX(Properties!A$1:CB$87,Formula!J37,40))</f>
        <v>0.96176470588235297</v>
      </c>
      <c r="DS37" s="63">
        <f>Formula!C37*(INDEX(Properties!A$1:CB$87,Formula!B37,40))+Formula!E37*(INDEX(Properties!A$1:CB$87,Formula!D37,40))+Formula!G37*(INDEX(Properties!A$1:CB$87,Formula!F37,40))+Formula!I37*(INDEX(Properties!A$1:CB$87,Formula!H37,40))+Formula!K37*(INDEX(Properties!A$1:CB$87,Formula!J37,40))</f>
        <v>16.350000000000001</v>
      </c>
      <c r="DT37" s="63">
        <f>VARP(IF(INDEX(Properties!A$1:CB$87,Formula!B37,40)&lt;&gt;"",INDEX(Properties!A$1:CB$87,Formula!B37,40)),IF(INDEX(Properties!A$1:CB$87,Formula!D37,40)&lt;&gt;"",INDEX(Properties!A$1:CB$87,Formula!D37,40)),IF(INDEX(Properties!A$1:CB$87,Formula!F37,40)&lt;&gt;"",INDEX(Properties!A$1:CB$87,Formula!F37,40)),IF(INDEX(Properties!A$1:CB$87,Formula!H37,40)&lt;&gt;"",INDEX(Properties!A$1:CB$87,Formula!H37,40)),IF(INDEX(Properties!A$1:CB$87,Formula!J37,40)&lt;&gt;"",INDEX(Properties!A$1:CB$87,Formula!J37,40)))</f>
        <v>0.47435999999999995</v>
      </c>
      <c r="DU37" s="63">
        <f>MAX(INDEX(Properties!A$1:CB$87,Formula!B37,40),INDEX(Properties!A$1:CB$87,Formula!D37,40),INDEX(Properties!A$1:CB$87,Formula!F37,40),INDEX(Properties!A$1:CB$87,Formula!H37,40),INDEX(Properties!A$1:CB$87,Formula!J37,40))</f>
        <v>1.62</v>
      </c>
      <c r="DV37" s="63">
        <f>MIN(IF(INDEX(Properties!A$1:CB$87,Formula!B37,40)=0,10^6,INDEX(Properties!A$1:CB$87,Formula!B37,40)),IF(INDEX(Properties!A$1:CB$87,Formula!D37,40)=0,10^6,INDEX(Properties!A$1:CB$87,Formula!D37,40)),IF(INDEX(Properties!A$1:CB$87,Formula!F37,40)=0,10^6,INDEX(Properties!A$1:CB$87,Formula!F37,40)),IF(INDEX(Properties!A$1:CB$87,Formula!H37,40)=0,10^6,INDEX(Properties!A$1:CB$87,Formula!H37,40)),IF(INDEX(Properties!A$1:CB$87,Formula!J37,40)=0,10^6,INDEX(Properties!A$1:CB$87,Formula!J37,40)))</f>
        <v>0.73</v>
      </c>
      <c r="DW37" s="63">
        <f t="shared" si="20"/>
        <v>0.89000000000000012</v>
      </c>
      <c r="DX37" s="75">
        <f>((Formula!C37)/(Formula!C37+Formula!E37+Formula!G37+Formula!I37+Formula!K37))*(INDEX(Properties!A$1:CB$87,Formula!B37,41))+((Formula!E37)/(Formula!C37+Formula!E37+Formula!G37+Formula!I37+Formula!K37))*(INDEX(Properties!A$1:CB$87,Formula!D37,41))+((Formula!G37)/(Formula!C37+Formula!E37+Formula!G37+Formula!I37+Formula!K37))*(INDEX(Properties!A$1:CB$87,Formula!F37,41))+((Formula!I37)/(Formula!C37+Formula!E37+Formula!G37+Formula!I37+Formula!K37))*(INDEX(Properties!A$1:CB$87,Formula!H37,41))+((Formula!K37)/(Formula!C37+Formula!E37+Formula!G37+Formula!I37+Formula!K37))*(INDEX(Properties!A$1:CB$87,Formula!J37,41))</f>
        <v>1.1582352941176473</v>
      </c>
      <c r="DY37" s="75">
        <f>Formula!C37*(INDEX(Properties!A$1:CB$87,Formula!B37,41))+Formula!E37*(INDEX(Properties!A$1:CB$87,Formula!D37,41))+Formula!G37*(INDEX(Properties!A$1:CB$87,Formula!F37,41))+Formula!I37*(INDEX(Properties!A$1:CB$87,Formula!H37,41))+Formula!K37*(INDEX(Properties!A$1:CB$87,Formula!J37,41))</f>
        <v>19.690000000000001</v>
      </c>
      <c r="DZ37" s="75">
        <f>VARP(IF(INDEX(Properties!A$1:CB$87,Formula!B37,41)&lt;&gt;"",INDEX(Properties!A$1:CB$87,Formula!B37,41)),IF(INDEX(Properties!A$1:CB$87,Formula!D37,41)&lt;&gt;"",INDEX(Properties!A$1:CB$87,Formula!D37,41)),IF(INDEX(Properties!A$1:CB$87,Formula!F37,41)&lt;&gt;"",INDEX(Properties!A$1:CB$87,Formula!F37,41)),IF(INDEX(Properties!A$1:CB$87,Formula!H37,41)&lt;&gt;"",INDEX(Properties!A$1:CB$87,Formula!H37,41)),IF(INDEX(Properties!A$1:CB$87,Formula!J37,41)&lt;&gt;"",INDEX(Properties!A$1:CB$87,Formula!J37,41)))</f>
        <v>0.2797440000000001</v>
      </c>
      <c r="EA37" s="75">
        <f>MAX(INDEX(Properties!A$1:CB$87,Formula!B37,41),INDEX(Properties!A$1:CB$87,Formula!D37,41),INDEX(Properties!A$1:CB$87,Formula!F37,41),INDEX(Properties!A$1:CB$87,Formula!H37,41),INDEX(Properties!A$1:CB$87,Formula!J37,41))</f>
        <v>1.26</v>
      </c>
      <c r="EB37" s="75">
        <f>MIN(IF(INDEX(Properties!A$1:CB$87,Formula!B37,41)=0,10^6,INDEX(Properties!A$1:CB$87,Formula!B37,41)),IF(INDEX(Properties!A$1:CB$87,Formula!D37,41)=0,10^6,INDEX(Properties!A$1:CB$87,Formula!D37,41)),IF(INDEX(Properties!A$1:CB$87,Formula!F37,41)=0,10^6,INDEX(Properties!A$1:CB$87,Formula!F37,41)),IF(INDEX(Properties!A$1:CB$87,Formula!H37,41)=0,10^6,INDEX(Properties!A$1:CB$87,Formula!H37,41)),IF(INDEX(Properties!A$1:CB$87,Formula!J37,41)=0,10^6,INDEX(Properties!A$1:CB$87,Formula!J37,41)))</f>
        <v>0.83</v>
      </c>
      <c r="EC37" s="75">
        <f t="shared" si="21"/>
        <v>0.43000000000000005</v>
      </c>
      <c r="ED37" s="48">
        <f>((Formula!C37)/(Formula!C37+Formula!E37+Formula!G37+Formula!I37+Formula!K37))*(INDEX(Properties!A$1:CB$87,Formula!B37,45))+((Formula!E37)/(Formula!C37+Formula!E37+Formula!G37+Formula!I37+Formula!K37))*(INDEX(Properties!A$1:CB$87,Formula!D37,45))+((Formula!G37)/(Formula!C37+Formula!E37+Formula!G37+Formula!I37+Formula!K37))*(INDEX(Properties!A$1:CB$87,Formula!F37,45))+((Formula!I37)/(Formula!C37+Formula!E37+Formula!G37+Formula!I37+Formula!K37))*(INDEX(Properties!A$1:CB$87,Formula!H37,45))+((Formula!K37)/(Formula!C37+Formula!E37+Formula!G37+Formula!I37+Formula!K37))*(INDEX(Properties!A$1:CB$87,Formula!J37,45))</f>
        <v>1.1576470588235295</v>
      </c>
      <c r="EE37" s="48">
        <f>Formula!C37*(INDEX(Properties!A$1:CB$87,Formula!B37,45))+Formula!E37*(INDEX(Properties!A$1:CB$87,Formula!D37,45))+Formula!G37*(INDEX(Properties!A$1:CB$87,Formula!F37,45))+Formula!I37*(INDEX(Properties!A$1:CB$87,Formula!H37,45))+Formula!K37*(INDEX(Properties!A$1:CB$87,Formula!J37,45))</f>
        <v>19.68</v>
      </c>
      <c r="EF37" s="48">
        <f>VARP(IF(INDEX(Properties!A$1:CB$87,Formula!B37,45)&lt;&gt;"",INDEX(Properties!A$1:CB$87,Formula!B37,45)),IF(INDEX(Properties!A$1:CB$87,Formula!D37,45)&lt;&gt;"",INDEX(Properties!A$1:CB$87,Formula!D37,45)),IF(INDEX(Properties!A$1:CB$87,Formula!F37,45)&lt;&gt;"",INDEX(Properties!A$1:CB$87,Formula!F37,45)),IF(INDEX(Properties!A$1:CB$87,Formula!H37,45)&lt;&gt;"",INDEX(Properties!A$1:CB$87,Formula!H37,45)),IF(INDEX(Properties!A$1:CB$87,Formula!J37,45)&lt;&gt;"",INDEX(Properties!A$1:CB$87,Formula!J37,45)))</f>
        <v>1.7495040000000004</v>
      </c>
      <c r="EG37" s="48">
        <f>MAX(INDEX(Properties!A$1:CB$87,Formula!B37,45),INDEX(Properties!A$1:CB$87,Formula!D37,45),INDEX(Properties!A$1:CB$87,Formula!F37,45),INDEX(Properties!A$1:CB$87,Formula!H37,45),INDEX(Properties!A$1:CB$87,Formula!J37,45))</f>
        <v>2.94</v>
      </c>
      <c r="EH37" s="48">
        <f>MIN(IF(INDEX(Properties!A$1:CB$87,Formula!B37,45)=0,10^6,INDEX(Properties!A$1:CB$87,Formula!B37,45)),IF(INDEX(Properties!A$1:CB$87,Formula!D37,45)=0,10^6,INDEX(Properties!A$1:CB$87,Formula!D37,45)),IF(INDEX(Properties!A$1:CB$87,Formula!F37,45)=0,10^6,INDEX(Properties!A$1:CB$87,Formula!F37,45)),IF(INDEX(Properties!A$1:CB$87,Formula!H37,45)=0,10^6,INDEX(Properties!A$1:CB$87,Formula!H37,45)),IF(INDEX(Properties!A$1:CB$87,Formula!J37,45)=0,10^6,INDEX(Properties!A$1:CB$87,Formula!J37,45)))</f>
        <v>0.47</v>
      </c>
      <c r="EI37" s="48">
        <f t="shared" si="22"/>
        <v>2.4699999999999998</v>
      </c>
      <c r="EJ37" s="66">
        <f>((Formula!C37)/(Formula!C37+Formula!E37+Formula!G37+Formula!I37+Formula!K37))*(INDEX(Properties!A$1:CB$87,Formula!B37,46))+((Formula!E37)/(Formula!C37+Formula!E37+Formula!G37+Formula!I37+Formula!K37))*(INDEX(Properties!A$1:CB$87,Formula!D37,46))+((Formula!G37)/(Formula!C37+Formula!E37+Formula!G37+Formula!I37+Formula!K37))*(INDEX(Properties!A$1:CB$87,Formula!F37,46))+((Formula!I37)/(Formula!C37+Formula!E37+Formula!G37+Formula!I37+Formula!K37))*(INDEX(Properties!A$1:CB$87,Formula!H37,46))+((Formula!K37)/(Formula!C37+Formula!E37+Formula!G37+Formula!I37+Formula!K37))*(INDEX(Properties!A$1:CB$87,Formula!J37,46))</f>
        <v>1.1158823529411765</v>
      </c>
      <c r="EK37" s="66">
        <f>Formula!C37*(INDEX(Properties!A$1:CB$87,Formula!B37,46))+Formula!E37*(INDEX(Properties!A$1:CB$87,Formula!D37,46))+Formula!G37*(INDEX(Properties!A$1:CB$87,Formula!F37,46))+Formula!I37*(INDEX(Properties!A$1:CB$87,Formula!H37,46))+Formula!K37*(INDEX(Properties!A$1:CB$87,Formula!J37,46))</f>
        <v>18.97</v>
      </c>
      <c r="EL37" s="66">
        <f>VARP(IF(INDEX(Properties!A$1:CB$87,Formula!B37,46)&lt;&gt;"",INDEX(Properties!A$1:CB$87,Formula!B37,46)),IF(INDEX(Properties!A$1:CB$87,Formula!D37,46)&lt;&gt;"",INDEX(Properties!A$1:CB$87,Formula!D37,46)),IF(INDEX(Properties!A$1:CB$87,Formula!F37,46)&lt;&gt;"",INDEX(Properties!A$1:CB$87,Formula!F37,46)),IF(INDEX(Properties!A$1:CB$87,Formula!H37,46)&lt;&gt;"",INDEX(Properties!A$1:CB$87,Formula!H37,46)),IF(INDEX(Properties!A$1:CB$87,Formula!J37,46)&lt;&gt;"",INDEX(Properties!A$1:CB$87,Formula!J37,46)))</f>
        <v>0.26429600000000009</v>
      </c>
      <c r="EM37" s="66">
        <f>MAX(INDEX(Properties!A$1:CB$87,Formula!B37,46),INDEX(Properties!A$1:CB$87,Formula!D37,46),INDEX(Properties!A$1:CB$87,Formula!F37,46),INDEX(Properties!A$1:CB$87,Formula!H37,46),INDEX(Properties!A$1:CB$87,Formula!J37,46))</f>
        <v>1.21</v>
      </c>
      <c r="EN37" s="66">
        <f>MIN(IF(INDEX(Properties!A$1:CB$87,Formula!B37,46)=0,10^6,INDEX(Properties!A$1:CB$87,Formula!B37,46)),IF(INDEX(Properties!A$1:CB$87,Formula!D37,46)=0,10^6,INDEX(Properties!A$1:CB$87,Formula!D37,46)),IF(INDEX(Properties!A$1:CB$87,Formula!F37,46)=0,10^6,INDEX(Properties!A$1:CB$87,Formula!F37,46)),IF(INDEX(Properties!A$1:CB$87,Formula!H37,46)=0,10^6,INDEX(Properties!A$1:CB$87,Formula!H37,46)),IF(INDEX(Properties!A$1:CB$87,Formula!J37,46)=0,10^6,INDEX(Properties!A$1:CB$87,Formula!J37,46)))</f>
        <v>0.79</v>
      </c>
      <c r="EO37" s="66">
        <f t="shared" si="23"/>
        <v>0.41999999999999993</v>
      </c>
      <c r="EP37" s="81">
        <f>((Formula!C37)/(Formula!C37+Formula!E37+Formula!G37+Formula!I37+Formula!K37))*(INDEX(Properties!A$1:CB$87,Formula!B37,52))+((Formula!E37)/(Formula!C37+Formula!E37+Formula!G37+Formula!I37+Formula!K37))*(INDEX(Properties!A$1:CB$87,Formula!D37,52))+((Formula!G37)/(Formula!C37+Formula!E37+Formula!G37+Formula!I37+Formula!K37))*(INDEX(Properties!A$1:CB$87,Formula!F37,52))+((Formula!I37)/(Formula!C37+Formula!E37+Formula!G37+Formula!I37+Formula!K37))*(INDEX(Properties!A$1:CB$87,Formula!H37,52))+((Formula!K37)/(Formula!C37+Formula!E37+Formula!G37+Formula!I37+Formula!K37))*(INDEX(Properties!A$1:CB$87,Formula!J37,52))</f>
        <v>5.4891764705882355</v>
      </c>
      <c r="EQ37" s="81">
        <f>Formula!C37*(INDEX(Properties!A$1:CB$87,Formula!B37,52))+Formula!E37*(INDEX(Properties!A$1:CB$87,Formula!D37,52))+Formula!G37*(INDEX(Properties!A$1:CB$87,Formula!F37,52))+Formula!I37*(INDEX(Properties!A$1:CB$87,Formula!H37,52))+Formula!K37*(INDEX(Properties!A$1:CB$87,Formula!J37,52))</f>
        <v>93.316000000000017</v>
      </c>
      <c r="ER37" s="81">
        <f>VARP(IF(INDEX(Properties!A$1:CB$87,Formula!B37,52)&lt;&gt;"",INDEX(Properties!A$1:CB$87,Formula!B37,52)),IF(INDEX(Properties!A$1:CB$87,Formula!D37,52)&lt;&gt;"",INDEX(Properties!A$1:CB$87,Formula!D37,52)),IF(INDEX(Properties!A$1:CB$87,Formula!F37,52)&lt;&gt;"",INDEX(Properties!A$1:CB$87,Formula!F37,52)),IF(INDEX(Properties!A$1:CB$87,Formula!H37,52)&lt;&gt;"",INDEX(Properties!A$1:CB$87,Formula!H37,52)),IF(INDEX(Properties!A$1:CB$87,Formula!J37,52)&lt;&gt;"",INDEX(Properties!A$1:CB$87,Formula!J37,52)))</f>
        <v>83.264495839999981</v>
      </c>
      <c r="ES37" s="81">
        <f>MAX(INDEX(Properties!A$1:CB$87,Formula!B37,52),INDEX(Properties!A$1:CB$87,Formula!D37,52),INDEX(Properties!A$1:CB$87,Formula!F37,52),INDEX(Properties!A$1:CB$87,Formula!H37,52),INDEX(Properties!A$1:CB$87,Formula!J37,52))</f>
        <v>22.7</v>
      </c>
      <c r="ET37" s="81">
        <f>MIN(IF(INDEX(Properties!A$1:CB$87,Formula!B37,52)=0,10^6,INDEX(Properties!A$1:CB$87,Formula!B37,52)),IF(INDEX(Properties!A$1:CB$87,Formula!D37,52)=0,10^6,INDEX(Properties!A$1:CB$87,Formula!D37,52)),IF(INDEX(Properties!A$1:CB$87,Formula!F37,52)=0,10^6,INDEX(Properties!A$1:CB$87,Formula!F37,52)),IF(INDEX(Properties!A$1:CB$87,Formula!H37,52)=0,10^6,INDEX(Properties!A$1:CB$87,Formula!H37,52)),IF(INDEX(Properties!A$1:CB$87,Formula!J37,52)=0,10^6,INDEX(Properties!A$1:CB$87,Formula!J37,52)))</f>
        <v>0.79300000000000004</v>
      </c>
      <c r="EU37" s="81">
        <f t="shared" si="24"/>
        <v>21.907</v>
      </c>
      <c r="EV37" s="39">
        <f>((Formula!C37)/(Formula!C37+Formula!E37+Formula!G37+Formula!I37+Formula!K37))*(INDEX(Properties!A$1:CB$87,Formula!B37,53))+((Formula!E37)/(Formula!C37+Formula!E37+Formula!G37+Formula!I37+Formula!K37))*(INDEX(Properties!A$1:CB$87,Formula!D37,53))+((Formula!G37)/(Formula!C37+Formula!E37+Formula!G37+Formula!I37+Formula!K37))*(INDEX(Properties!A$1:CB$87,Formula!F37,53))+((Formula!I37)/(Formula!C37+Formula!E37+Formula!G37+Formula!I37+Formula!K37))*(INDEX(Properties!A$1:CB$87,Formula!H37,53))+((Formula!K37)/(Formula!C37+Formula!E37+Formula!G37+Formula!I37+Formula!K37))*(INDEX(Properties!A$1:CB$87,Formula!J37,53))</f>
        <v>759.98529411764707</v>
      </c>
      <c r="EW37" s="39">
        <f>Formula!C37*(INDEX(Properties!A$1:CB$87,Formula!B37,53))+Formula!E37*(INDEX(Properties!A$1:CB$87,Formula!D37,53))+Formula!G37*(INDEX(Properties!A$1:CB$87,Formula!F37,53))+Formula!I37*(INDEX(Properties!A$1:CB$87,Formula!H37,53))+Formula!K37*(INDEX(Properties!A$1:CB$87,Formula!J37,53))</f>
        <v>12919.75</v>
      </c>
      <c r="EX37" s="39">
        <f>VARP(IF(INDEX(Properties!A$1:CB$87,Formula!B37,53)&lt;&gt;"",INDEX(Properties!A$1:CB$87,Formula!B37,53)),IF(INDEX(Properties!A$1:CB$87,Formula!D37,53)&lt;&gt;"",INDEX(Properties!A$1:CB$87,Formula!D37,53)),IF(INDEX(Properties!A$1:CB$87,Formula!F37,53)&lt;&gt;"",INDEX(Properties!A$1:CB$87,Formula!F37,53)),IF(INDEX(Properties!A$1:CB$87,Formula!H37,53)&lt;&gt;"",INDEX(Properties!A$1:CB$87,Formula!H37,53)),IF(INDEX(Properties!A$1:CB$87,Formula!J37,53)&lt;&gt;"",INDEX(Properties!A$1:CB$87,Formula!J37,53)))</f>
        <v>1417321.6774000002</v>
      </c>
      <c r="EY37" s="39">
        <f>MAX(INDEX(Properties!A$1:CB$87,Formula!B37,53),INDEX(Properties!A$1:CB$87,Formula!D37,53),INDEX(Properties!A$1:CB$87,Formula!F37,53),INDEX(Properties!A$1:CB$87,Formula!H37,53),INDEX(Properties!A$1:CB$87,Formula!J37,53))</f>
        <v>2890.15</v>
      </c>
      <c r="EZ37" s="39">
        <f>MIN(IF(INDEX(Properties!A$1:CB$87,Formula!B37,53)=0,10^6,INDEX(Properties!A$1:CB$87,Formula!B37,53)),IF(INDEX(Properties!A$1:CB$87,Formula!D37,53)=0,10^6,INDEX(Properties!A$1:CB$87,Formula!D37,53)),IF(INDEX(Properties!A$1:CB$87,Formula!F37,53)=0,10^6,INDEX(Properties!A$1:CB$87,Formula!F37,53)),IF(INDEX(Properties!A$1:CB$87,Formula!H37,53)=0,10^6,INDEX(Properties!A$1:CB$87,Formula!H37,53)),IF(INDEX(Properties!A$1:CB$87,Formula!J37,53)=0,10^6,INDEX(Properties!A$1:CB$87,Formula!J37,53)))</f>
        <v>54.749999999999972</v>
      </c>
      <c r="FA37" s="39">
        <f t="shared" si="25"/>
        <v>2835.4</v>
      </c>
      <c r="FB37" s="54">
        <f>((Formula!C37)/(Formula!C37+Formula!E37+Formula!G37+Formula!I37+Formula!K37))*(INDEX(Properties!A$1:CB$87,Formula!B37,54))+((Formula!E37)/(Formula!C37+Formula!E37+Formula!G37+Formula!I37+Formula!K37))*(INDEX(Properties!A$1:CB$87,Formula!D37,54))+((Formula!G37)/(Formula!C37+Formula!E37+Formula!G37+Formula!I37+Formula!K37))*(INDEX(Properties!A$1:CB$87,Formula!F37,54))+((Formula!I37)/(Formula!C37+Formula!E37+Formula!G37+Formula!I37+Formula!K37))*(INDEX(Properties!A$1:CB$87,Formula!H37,54))+((Formula!K37)/(Formula!C37+Formula!E37+Formula!G37+Formula!I37+Formula!K37))*(INDEX(Properties!A$1:CB$87,Formula!J37,54))</f>
        <v>1350.4441176470586</v>
      </c>
      <c r="FC37" s="54">
        <f>Formula!C37*(INDEX(Properties!A$1:CB$87,Formula!B37,54))+Formula!E37*(INDEX(Properties!A$1:CB$87,Formula!D37,54))+Formula!G37*(INDEX(Properties!A$1:CB$87,Formula!F37,54))+Formula!I37*(INDEX(Properties!A$1:CB$87,Formula!H37,54))+Formula!K37*(INDEX(Properties!A$1:CB$87,Formula!J37,54))</f>
        <v>22957.55</v>
      </c>
      <c r="FD37" s="54">
        <f>VARP(IF(INDEX(Properties!A$1:CB$87,Formula!B37,54)&lt;&gt;"",INDEX(Properties!A$1:CB$87,Formula!B37,54)),IF(INDEX(Properties!A$1:CB$87,Formula!D37,54)&lt;&gt;"",INDEX(Properties!A$1:CB$87,Formula!D37,54)),IF(INDEX(Properties!A$1:CB$87,Formula!F37,54)&lt;&gt;"",INDEX(Properties!A$1:CB$87,Formula!F37,54)),IF(INDEX(Properties!A$1:CB$87,Formula!H37,54)&lt;&gt;"",INDEX(Properties!A$1:CB$87,Formula!H37,54)),IF(INDEX(Properties!A$1:CB$87,Formula!J37,54)&lt;&gt;"",INDEX(Properties!A$1:CB$87,Formula!J37,54)))</f>
        <v>4432802.0454000011</v>
      </c>
      <c r="FE37" s="54">
        <f>MAX(INDEX(Properties!A$1:CB$87,Formula!B37,54),INDEX(Properties!A$1:CB$87,Formula!D37,54),INDEX(Properties!A$1:CB$87,Formula!F37,54),INDEX(Properties!A$1:CB$87,Formula!H37,54),INDEX(Properties!A$1:CB$87,Formula!J37,54))</f>
        <v>4885.1499999999996</v>
      </c>
      <c r="FF37" s="54">
        <f>MIN(IF(INDEX(Properties!A$1:CB$87,Formula!B37,54)=0,10^6,INDEX(Properties!A$1:CB$87,Formula!B37,54)),IF(INDEX(Properties!A$1:CB$87,Formula!D37,54)=0,10^6,INDEX(Properties!A$1:CB$87,Formula!D37,54)),IF(INDEX(Properties!A$1:CB$87,Formula!F37,54)=0,10^6,INDEX(Properties!A$1:CB$87,Formula!F37,54)),IF(INDEX(Properties!A$1:CB$87,Formula!H37,54)=0,10^6,INDEX(Properties!A$1:CB$87,Formula!H37,54)),IF(INDEX(Properties!A$1:CB$87,Formula!J37,54)=0,10^6,INDEX(Properties!A$1:CB$87,Formula!J37,54)))</f>
        <v>90.149999999999977</v>
      </c>
      <c r="FG37" s="54">
        <f t="shared" si="26"/>
        <v>4795</v>
      </c>
      <c r="FH37" s="69">
        <f>((Formula!C37)/(Formula!C37+Formula!E37+Formula!G37+Formula!I37+Formula!K37))*(INDEX(Properties!A$1:CB$87,Formula!B37,55))+((Formula!E37)/(Formula!C37+Formula!E37+Formula!G37+Formula!I37+Formula!K37))*(INDEX(Properties!A$1:CB$87,Formula!D37,55))+((Formula!G37)/(Formula!C37+Formula!E37+Formula!G37+Formula!I37+Formula!K37))*(INDEX(Properties!A$1:CB$87,Formula!F37,55))+((Formula!I37)/(Formula!C37+Formula!E37+Formula!G37+Formula!I37+Formula!K37))*(INDEX(Properties!A$1:CB$87,Formula!H37,55))+((Formula!K37)/(Formula!C37+Formula!E37+Formula!G37+Formula!I37+Formula!K37))*(INDEX(Properties!A$1:CB$87,Formula!J37,55))</f>
        <v>2.3268917647058824</v>
      </c>
      <c r="FI37" s="69">
        <f>Formula!C37*(INDEX(Properties!A$1:CB$87,Formula!B37,55))+Formula!E37*(INDEX(Properties!A$1:CB$87,Formula!D37,54))+Formula!G37*(INDEX(Properties!A$1:CB$87,Formula!F37,55))+Formula!I37*(INDEX(Properties!A$1:CB$87,Formula!H37,55))+Formula!K37*(INDEX(Properties!A$1:CB$87,Formula!J37,55))</f>
        <v>14664.407159999999</v>
      </c>
      <c r="FJ37" s="69">
        <f>VARP(IF(INDEX(Properties!A$1:CB$87,Formula!B37,55)&lt;&gt;"",INDEX(Properties!A$1:CB$87,Formula!B37,55)),IF(INDEX(Properties!A$1:CB$87,Formula!D37,55)&lt;&gt;"",INDEX(Properties!A$1:CB$87,Formula!D37,55)),IF(INDEX(Properties!A$1:CB$87,Formula!F37,55)&lt;&gt;"",INDEX(Properties!A$1:CB$87,Formula!F37,55)),IF(INDEX(Properties!A$1:CB$87,Formula!H37,55)&lt;&gt;"",INDEX(Properties!A$1:CB$87,Formula!H37,55)),IF(INDEX(Properties!A$1:CB$87,Formula!J37,55)&lt;&gt;"",INDEX(Properties!A$1:CB$87,Formula!J37,55)))</f>
        <v>16.194146079183998</v>
      </c>
      <c r="FK37" s="69">
        <f>MAX(INDEX(Properties!A$1:CB$87,Formula!B37,55),INDEX(Properties!A$1:CB$87,Formula!D37,55),INDEX(Properties!A$1:CB$87,Formula!F37,55),INDEX(Properties!A$1:CB$87,Formula!H37,55),INDEX(Properties!A$1:CB$87,Formula!J37,55))</f>
        <v>10.199999999999999</v>
      </c>
      <c r="FL37" s="69">
        <f>MIN(IF(INDEX(Properties!A$1:CB$87,Formula!B37,55)=0,10^6,INDEX(Properties!A$1:CB$87,Formula!B37,55)),IF(INDEX(Properties!A$1:CB$87,Formula!D37,55)=0,10^6,INDEX(Properties!A$1:CB$87,Formula!D37,55)),IF(INDEX(Properties!A$1:CB$87,Formula!F37,55)=0,10^6,INDEX(Properties!A$1:CB$87,Formula!F37,55)),IF(INDEX(Properties!A$1:CB$87,Formula!H37,55)=0,10^6,INDEX(Properties!A$1:CB$87,Formula!H37,55)),IF(INDEX(Properties!A$1:CB$87,Formula!J37,55)=0,10^6,INDEX(Properties!A$1:CB$87,Formula!J37,55)))</f>
        <v>1.4300000000000001E-3</v>
      </c>
      <c r="FM37" s="69">
        <f t="shared" si="27"/>
        <v>10.19857</v>
      </c>
      <c r="FN37" s="42">
        <f>((Formula!C37)/(Formula!C37+Formula!E37+Formula!G37+Formula!I37+Formula!K37))*(INDEX(Properties!A$1:CB$87,Formula!B37,56))+((Formula!E37)/(Formula!C37+Formula!E37+Formula!G37+Formula!I37+Formula!K37))*(INDEX(Properties!A$1:CB$87,Formula!D37,56))+((Formula!G37)/(Formula!C37+Formula!E37+Formula!G37+Formula!I37+Formula!K37))*(INDEX(Properties!A$1:CB$87,Formula!F37,56))+((Formula!I37)/(Formula!C37+Formula!E37+Formula!G37+Formula!I37+Formula!K37))*(INDEX(Properties!A$1:CB$87,Formula!H37,56))+((Formula!K37)/(Formula!C37+Formula!E37+Formula!G37+Formula!I37+Formula!K37))*(INDEX(Properties!A$1:CB$87,Formula!J37,56))</f>
        <v>0.72882352941176487</v>
      </c>
      <c r="FO37" s="42">
        <f>Formula!C37*(INDEX(Properties!A$1:CB$87,Formula!B37,56))+Formula!E37*(INDEX(Properties!A$1:CB$87,Formula!D37,56))+Formula!G37*(INDEX(Properties!A$1:CB$87,Formula!F37,56))+Formula!I37*(INDEX(Properties!A$1:CB$87,Formula!H37,56))+Formula!K37*(INDEX(Properties!A$1:CB$87,Formula!J37,56))</f>
        <v>12.39</v>
      </c>
      <c r="FP37" s="42">
        <f>VARP(IF(INDEX(Properties!A$1:CB$87,Formula!B37,56)&lt;&gt;"",INDEX(Properties!A$1:CB$87,Formula!B37,56)),IF(INDEX(Properties!A$1:CB$87,Formula!D37,56)&lt;&gt;"",INDEX(Properties!A$1:CB$87,Formula!D37,56)),IF(INDEX(Properties!A$1:CB$87,Formula!F37,56)&lt;&gt;"",INDEX(Properties!A$1:CB$87,Formula!F37,56)),IF(INDEX(Properties!A$1:CB$87,Formula!H37,56)&lt;&gt;"",INDEX(Properties!A$1:CB$87,Formula!H37,56)),IF(INDEX(Properties!A$1:CB$87,Formula!J37,56)&lt;&gt;"",INDEX(Properties!A$1:CB$87,Formula!J37,56)))</f>
        <v>0.11334399999999999</v>
      </c>
      <c r="FQ37" s="42">
        <f>MAX(INDEX(Properties!A$1:CB$87,Formula!B37,56),INDEX(Properties!A$1:CB$87,Formula!D37,56),INDEX(Properties!A$1:CB$87,Formula!F37,56),INDEX(Properties!A$1:CB$87,Formula!H37,56),INDEX(Properties!A$1:CB$87,Formula!J37,56))</f>
        <v>0.92</v>
      </c>
      <c r="FR37" s="42">
        <f>MIN(IF(INDEX(Properties!A$1:CB$87,Formula!B37,56)=0,10^6,INDEX(Properties!A$1:CB$87,Formula!B37,56)),IF(INDEX(Properties!A$1:CB$87,Formula!D37,56)=0,10^6,INDEX(Properties!A$1:CB$87,Formula!D37,56)),IF(INDEX(Properties!A$1:CB$87,Formula!F37,56)=0,10^6,INDEX(Properties!A$1:CB$87,Formula!F37,56)),IF(INDEX(Properties!A$1:CB$87,Formula!H37,56)=0,10^6,INDEX(Properties!A$1:CB$87,Formula!H37,56)),IF(INDEX(Properties!A$1:CB$87,Formula!J37,56)=0,10^6,INDEX(Properties!A$1:CB$87,Formula!J37,56)))</f>
        <v>0.25</v>
      </c>
      <c r="FS37" s="42">
        <f t="shared" si="28"/>
        <v>0.67</v>
      </c>
      <c r="FT37" s="60">
        <f>((Formula!C37)/(Formula!C37+Formula!E37+Formula!G37+Formula!I37+Formula!K37))*(INDEX(Properties!A$1:CB$87,Formula!B37,57))+((Formula!E37)/(Formula!C37+Formula!E37+Formula!G37+Formula!I37+Formula!K37))*(INDEX(Properties!A$1:CB$87,Formula!D37,57))+((Formula!G37)/(Formula!C37+Formula!E37+Formula!G37+Formula!I37+Formula!K37))*(INDEX(Properties!A$1:CB$87,Formula!F37,57))+((Formula!I37)/(Formula!C37+Formula!E37+Formula!G37+Formula!I37+Formula!K37))*(INDEX(Properties!A$1:CB$87,Formula!H37,57))+((Formula!K37)/(Formula!C37+Formula!E37+Formula!G37+Formula!I37+Formula!K37))*(INDEX(Properties!A$1:CB$87,Formula!J37,57))</f>
        <v>7.1453576470588231</v>
      </c>
      <c r="FU37" s="60">
        <f>Formula!C37*(INDEX(Properties!A$1:CB$87,Formula!B37,57))+Formula!E37*(INDEX(Properties!A$1:CB$87,Formula!D37,57))+Formula!G37*(INDEX(Properties!A$1:CB$87,Formula!F37,57))+Formula!I37*(INDEX(Properties!A$1:CB$87,Formula!H37,57))+Formula!K37*(INDEX(Properties!A$1:CB$87,Formula!J37,57))</f>
        <v>121.47108</v>
      </c>
      <c r="FV37" s="60">
        <f>VARP(IF(INDEX(Properties!A$1:CB$87,Formula!B37,57)&lt;&gt;"",INDEX(Properties!A$1:CB$87,Formula!B37,57)),IF(INDEX(Properties!A$1:CB$87,Formula!D37,57)&lt;&gt;"",INDEX(Properties!A$1:CB$87,Formula!D37,57)),IF(INDEX(Properties!A$1:CB$87,Formula!F37,57)&lt;&gt;"",INDEX(Properties!A$1:CB$87,Formula!F37,57)),IF(INDEX(Properties!A$1:CB$87,Formula!H37,57)&lt;&gt;"",INDEX(Properties!A$1:CB$87,Formula!H37,57)),IF(INDEX(Properties!A$1:CB$87,Formula!J37,57)&lt;&gt;"",INDEX(Properties!A$1:CB$87,Formula!J37,57)))</f>
        <v>154.684694929296</v>
      </c>
      <c r="FW37" s="60">
        <f>MAX(INDEX(Properties!A$1:CB$87,Formula!B37,57),INDEX(Properties!A$1:CB$87,Formula!D37,57),INDEX(Properties!A$1:CB$87,Formula!F37,57),INDEX(Properties!A$1:CB$87,Formula!H37,57),INDEX(Properties!A$1:CB$87,Formula!J37,57))</f>
        <v>32</v>
      </c>
      <c r="FX37" s="60">
        <f>MIN(IF(INDEX(Properties!A$1:CB$87,Formula!B37,57)=0,10^6,INDEX(Properties!A$1:CB$87,Formula!B37,57)),IF(INDEX(Properties!A$1:CB$87,Formula!D37,57)=0,10^6,INDEX(Properties!A$1:CB$87,Formula!D37,57)),IF(INDEX(Properties!A$1:CB$87,Formula!F37,57)=0,10^6,INDEX(Properties!A$1:CB$87,Formula!F37,57)),IF(INDEX(Properties!A$1:CB$87,Formula!H37,57)=0,10^6,INDEX(Properties!A$1:CB$87,Formula!H37,57)),IF(INDEX(Properties!A$1:CB$87,Formula!J37,57)=0,10^6,INDEX(Properties!A$1:CB$87,Formula!J37,57)))</f>
        <v>0.22259000000000001</v>
      </c>
      <c r="FY37" s="60">
        <f t="shared" si="29"/>
        <v>31.77741</v>
      </c>
      <c r="FZ37" s="72">
        <f>((Formula!C37)/(Formula!C37+Formula!E37+Formula!G37+Formula!I37+Formula!K37))*(INDEX(Properties!A$1:CB$87,Formula!B37,60))+((Formula!E37)/(Formula!C37+Formula!E37+Formula!G37+Formula!I37+Formula!K37))*(INDEX(Properties!A$1:CB$87,Formula!D37,60))+((Formula!G37)/(Formula!C37+Formula!E37+Formula!G37+Formula!I37+Formula!K37))*(INDEX(Properties!A$1:CB$87,Formula!F37,60))+((Formula!I37)/(Formula!C37+Formula!E37+Formula!G37+Formula!I37+Formula!K37))*(INDEX(Properties!A$1:CB$87,Formula!H37,60))+((Formula!K37)/(Formula!C37+Formula!E37+Formula!G37+Formula!I37+Formula!K37))*(INDEX(Properties!A$1:CB$87,Formula!J37,60))</f>
        <v>26.395345882352942</v>
      </c>
      <c r="GA37" s="72">
        <f>Formula!C37*(INDEX(Properties!A$1:CB$87,Formula!B37,60))+Formula!E37*(INDEX(Properties!A$1:CB$87,Formula!D37,60))+Formula!G37*(INDEX(Properties!A$1:CB$87,Formula!F37,60))+Formula!I37*(INDEX(Properties!A$1:CB$87,Formula!H37,60))+Formula!K37*(INDEX(Properties!A$1:CB$87,Formula!J37,60))</f>
        <v>448.72087999999997</v>
      </c>
      <c r="GB37" s="72">
        <f>VARP(IF(INDEX(Properties!A$1:CB$87,Formula!B37,60)&lt;&gt;"",INDEX(Properties!A$1:CB$87,Formula!B37,60)),IF(INDEX(Properties!A$1:CB$87,Formula!D37,60)&lt;&gt;"",INDEX(Properties!A$1:CB$87,Formula!D37,60)),IF(INDEX(Properties!A$1:CB$87,Formula!F37,60)&lt;&gt;"",INDEX(Properties!A$1:CB$87,Formula!F37,60)),IF(INDEX(Properties!A$1:CB$87,Formula!H37,60)&lt;&gt;"",INDEX(Properties!A$1:CB$87,Formula!H37,60)),IF(INDEX(Properties!A$1:CB$87,Formula!J37,60)&lt;&gt;"",INDEX(Properties!A$1:CB$87,Formula!J37,60)))</f>
        <v>2904.1545105644163</v>
      </c>
      <c r="GC37" s="72">
        <f>MAX(INDEX(Properties!A$1:CB$87,Formula!B37,60),INDEX(Properties!A$1:CB$87,Formula!D37,60),INDEX(Properties!A$1:CB$87,Formula!F37,60),INDEX(Properties!A$1:CB$87,Formula!H37,60),INDEX(Properties!A$1:CB$87,Formula!J37,60))</f>
        <v>138</v>
      </c>
      <c r="GD37" s="72">
        <f>MIN(IF(INDEX(Properties!A$1:CB$87,Formula!B37,60)=0,10^6,INDEX(Properties!A$1:CB$87,Formula!B37,60)),IF(INDEX(Properties!A$1:CB$87,Formula!D37,60)=0,10^6,INDEX(Properties!A$1:CB$87,Formula!D37,60)),IF(INDEX(Properties!A$1:CB$87,Formula!F37,60)=0,10^6,INDEX(Properties!A$1:CB$87,Formula!F37,60)),IF(INDEX(Properties!A$1:CB$87,Formula!H37,60)=0,10^6,INDEX(Properties!A$1:CB$87,Formula!H37,60)),IF(INDEX(Properties!A$1:CB$87,Formula!J37,60)=0,10^6,INDEX(Properties!A$1:CB$87,Formula!J37,60)))</f>
        <v>2.674E-2</v>
      </c>
      <c r="GE37" s="72">
        <f t="shared" si="30"/>
        <v>137.97326000000001</v>
      </c>
      <c r="GF37" s="51">
        <f>((Formula!C37)/(Formula!C37+Formula!E37+Formula!G37+Formula!I37+Formula!K37))*(INDEX(Properties!A$1:CB$87,Formula!B37,62))+((Formula!E37)/(Formula!C37+Formula!E37+Formula!G37+Formula!I37+Formula!K37))*(INDEX(Properties!A$1:CB$87,Formula!D37,62))+((Formula!G37)/(Formula!C37+Formula!E37+Formula!G37+Formula!I37+Formula!K37))*(INDEX(Properties!A$1:CB$87,Formula!F37,62))+((Formula!I37)/(Formula!C37+Formula!E37+Formula!G37+Formula!I37+Formula!K37))*(INDEX(Properties!A$1:CB$87,Formula!H37,62))+((Formula!K37)/(Formula!C37+Formula!E37+Formula!G37+Formula!I37+Formula!K37))*(INDEX(Properties!A$1:CB$87,Formula!J37,62))</f>
        <v>3.5670588235294121</v>
      </c>
      <c r="GG37" s="51">
        <f>Formula!C37*(INDEX(Properties!A$1:CB$87,Formula!B37,62))+Formula!E37*(INDEX(Properties!A$1:CB$87,Formula!D37,62))+Formula!G37*(INDEX(Properties!A$1:CB$87,Formula!F37,62))+Formula!I37*(INDEX(Properties!A$1:CB$87,Formula!H37,62))+Formula!K37*(INDEX(Properties!A$1:CB$87,Formula!J37,62))</f>
        <v>60.64</v>
      </c>
      <c r="GH37" s="51">
        <f>VARP(IF(INDEX(Properties!A$1:CB$87,Formula!B37,62)&lt;&gt;"",INDEX(Properties!A$1:CB$87,Formula!B37,62)),IF(INDEX(Properties!A$1:CB$87,Formula!D37,62)&lt;&gt;"",INDEX(Properties!A$1:CB$87,Formula!D37,62)),IF(INDEX(Properties!A$1:CB$87,Formula!F37,62)&lt;&gt;"",INDEX(Properties!A$1:CB$87,Formula!F37,62)),IF(INDEX(Properties!A$1:CB$87,Formula!H37,62)&lt;&gt;"",INDEX(Properties!A$1:CB$87,Formula!H37,62)),IF(INDEX(Properties!A$1:CB$87,Formula!J37,62)&lt;&gt;"",INDEX(Properties!A$1:CB$87,Formula!J37,62)))</f>
        <v>6.8660959999999989</v>
      </c>
      <c r="GI37" s="51">
        <f>MAX(INDEX(Properties!A$1:CB$87,Formula!B37,62),INDEX(Properties!A$1:CB$87,Formula!D37,62),INDEX(Properties!A$1:CB$87,Formula!F37,62),INDEX(Properties!A$1:CB$87,Formula!H37,62),INDEX(Properties!A$1:CB$87,Formula!J37,62))</f>
        <v>6.82</v>
      </c>
      <c r="GJ37" s="51">
        <f>MIN(IF(INDEX(Properties!A$1:CB$87,Formula!B37,62)=0,10^6,INDEX(Properties!A$1:CB$87,Formula!B37,62)),IF(INDEX(Properties!A$1:CB$87,Formula!D37,62)=0,10^6,INDEX(Properties!A$1:CB$87,Formula!D37,62)),IF(INDEX(Properties!A$1:CB$87,Formula!F37,62)=0,10^6,INDEX(Properties!A$1:CB$87,Formula!F37,62)),IF(INDEX(Properties!A$1:CB$87,Formula!H37,62)=0,10^6,INDEX(Properties!A$1:CB$87,Formula!H37,62)),IF(INDEX(Properties!A$1:CB$87,Formula!J37,62)=0,10^6,INDEX(Properties!A$1:CB$87,Formula!J37,62)))</f>
        <v>2.62</v>
      </c>
      <c r="GK37" s="51">
        <f t="shared" si="31"/>
        <v>4.2</v>
      </c>
      <c r="GL37" s="51">
        <f>Formula!P37</f>
        <v>113</v>
      </c>
      <c r="GM37" s="57">
        <f>Formula!O37</f>
        <v>4</v>
      </c>
      <c r="GN37" s="51">
        <f>Formula!N37</f>
        <v>7.0000000000000007E-2</v>
      </c>
    </row>
    <row r="38" spans="1:196" x14ac:dyDescent="0.3">
      <c r="A38" s="84" t="str">
        <f>Formula!A38</f>
        <v>Ba3Y4O9</v>
      </c>
      <c r="B38" s="89">
        <f>((Formula!C38)/(Formula!C38+Formula!E38+Formula!G38+Formula!I38+Formula!K38))*(INDEX(Properties!A$1:CB$87,Formula!B38,3))+((Formula!E38)/(Formula!C38+Formula!E38+Formula!G38+Formula!I38+Formula!K38))*(INDEX(Properties!A$1:CB$87,Formula!D38,3))+((Formula!G38)/(Formula!C38+Formula!E38+Formula!G38+Formula!I38+Formula!K38))*(INDEX(Properties!A$1:CB$87,Formula!F38,3))+((Formula!I38)/(Formula!C38+Formula!E38+Formula!G38+Formula!I38+Formula!K38))*(INDEX(Properties!A$1:CB$87,Formula!H38,3))+((Formula!K38)/(Formula!C38+Formula!E38+Formula!G38+Formula!I38+Formula!K38))*(INDEX(Properties!A$1:CB$87,Formula!J38,3))</f>
        <v>56.974935000000002</v>
      </c>
      <c r="C38" s="85">
        <f>Formula!C38*(INDEX(Properties!A$1:CB$87,Formula!B38,3))+Formula!E38*(INDEX(Properties!A$1:CB$87,Formula!D38,3))+Formula!G38*(INDEX(Properties!A$1:CB$87,Formula!F38,3))+Formula!I38*(INDEX(Properties!A$1:CB$87,Formula!H38,3))+Formula!K38*(INDEX(Properties!A$1:CB$87,Formula!J38,3))</f>
        <v>911.59896000000003</v>
      </c>
      <c r="D38" s="85">
        <f>VARP(IF(INDEX(Properties!A$1:CB$87,Formula!B38,3)&lt;&gt;"",INDEX(Properties!A$1:CB$87,Formula!B38,3)),IF(INDEX(Properties!A$1:CB$87,Formula!D38,3)&lt;&gt;"",INDEX(Properties!A$1:CB$87,Formula!D38,3)),IF(INDEX(Properties!A$1:CB$87,Formula!F38,3)&lt;&gt;"",INDEX(Properties!A$1:CB$87,Formula!F38,3)),IF(INDEX(Properties!A$1:CB$87,Formula!H38,3)&lt;&gt;"",INDEX(Properties!A$1:CB$87,Formula!H38,3)),IF(INDEX(Properties!A$1:CB$87,Formula!J38,3)&lt;&gt;"",INDEX(Properties!A$1:CB$87,Formula!J38,3)))</f>
        <v>3056.7284992764157</v>
      </c>
      <c r="E38" s="85">
        <f>MAX(INDEX(Properties!A$1:CB$87,Formula!B38,3),INDEX(Properties!A$1:CB$87,Formula!D38,3),INDEX(Properties!A$1:CB$87,Formula!F38,3),INDEX(Properties!A$1:CB$87,Formula!H38,3),INDEX(Properties!A$1:CB$87,Formula!J38,3))</f>
        <v>137.327</v>
      </c>
      <c r="F38" s="85">
        <f>MIN(IF(INDEX(Properties!A$1:CB$87,Formula!B38,3)=0,10^6,INDEX(Properties!A$1:CB$87,Formula!B38,3)),IF(INDEX(Properties!A$1:CB$87,Formula!D38,3)=0,10^6,INDEX(Properties!A$1:CB$87,Formula!D38,3)),IF(INDEX(Properties!A$1:CB$87,Formula!F38,3)=0,10^6,INDEX(Properties!A$1:CB$87,Formula!F38,3)),IF(INDEX(Properties!A$1:CB$87,Formula!H38,3)=0,10^6,INDEX(Properties!A$1:CB$87,Formula!H38,3)),IF(INDEX(Properties!A$1:CB$87,Formula!J38,3)=0,10^6,INDEX(Properties!A$1:CB$87,Formula!J38,3)))</f>
        <v>15.9994</v>
      </c>
      <c r="G38" s="85">
        <f t="shared" si="0"/>
        <v>121.3276</v>
      </c>
      <c r="H38" s="87">
        <f>((Formula!C38)/(Formula!C38+Formula!E38+Formula!G38+Formula!I38+Formula!K38))*(INDEX(Properties!A$1:CB$87,Formula!B38,4))+((Formula!E38)/(Formula!C38+Formula!E38+Formula!G38+Formula!I38+Formula!K38))*(INDEX(Properties!A$1:CB$87,Formula!D38,4))+((Formula!G38)/(Formula!C38+Formula!E38+Formula!G38+Formula!I38+Formula!K38))*(INDEX(Properties!A$1:CB$87,Formula!F38,4))+((Formula!I38)/(Formula!C38+Formula!E38+Formula!G38+Formula!I38+Formula!K38))*(INDEX(Properties!A$1:CB$87,Formula!H38,4))+((Formula!K38)/(Formula!C38+Formula!E38+Formula!G38+Formula!I38+Formula!K38))*(INDEX(Properties!A$1:CB$87,Formula!J38,4))</f>
        <v>24.75</v>
      </c>
      <c r="I38" s="87">
        <f>Formula!C38*(INDEX(Properties!A$1:CB$87,Formula!B38,4))+Formula!E38*(INDEX(Properties!A$1:CB$87,Formula!D38,4))+Formula!G38*(INDEX(Properties!A$1:CB$87,Formula!F38,4))+Formula!I38*(INDEX(Properties!A$1:CB$87,Formula!H38,4))+Formula!K38*(INDEX(Properties!A$1:CB$87,Formula!J38,4))</f>
        <v>396</v>
      </c>
      <c r="J38" s="87">
        <f>VARP(IF(INDEX(Properties!A$1:CB$87,Formula!B38,4)&lt;&gt;"",INDEX(Properties!A$1:CB$87,Formula!B38,4)),IF(INDEX(Properties!A$1:CB$87,Formula!D38,4)&lt;&gt;"",INDEX(Properties!A$1:CB$87,Formula!D38,4)),IF(INDEX(Properties!A$1:CB$87,Formula!F38,4)&lt;&gt;"",INDEX(Properties!A$1:CB$87,Formula!F38,4)),IF(INDEX(Properties!A$1:CB$87,Formula!H38,4)&lt;&gt;"",INDEX(Properties!A$1:CB$87,Formula!H38,4)),IF(INDEX(Properties!A$1:CB$87,Formula!J38,4)&lt;&gt;"",INDEX(Properties!A$1:CB$87,Formula!J38,4)))</f>
        <v>519.84</v>
      </c>
      <c r="K38" s="87">
        <f>MAX(INDEX(Properties!A$1:CB$87,Formula!B38,4),INDEX(Properties!A$1:CB$87,Formula!D38,4),INDEX(Properties!A$1:CB$87,Formula!F38,4),INDEX(Properties!A$1:CB$87,Formula!H38,4),INDEX(Properties!A$1:CB$87,Formula!J38,4))</f>
        <v>56</v>
      </c>
      <c r="L38" s="87">
        <f>MIN(IF(INDEX(Properties!A$1:CB$87,Formula!B38,4)=0,10^6,INDEX(Properties!A$1:CB$87,Formula!B38,4)),IF(INDEX(Properties!A$1:CB$87,Formula!D38,4)=0,10^6,INDEX(Properties!A$1:CB$87,Formula!D38,4)),IF(INDEX(Properties!A$1:CB$87,Formula!F38,4)=0,10^6,INDEX(Properties!A$1:CB$87,Formula!F38,4)),IF(INDEX(Properties!A$1:CB$87,Formula!H38,4)=0,10^6,INDEX(Properties!A$1:CB$87,Formula!H38,4)),IF(INDEX(Properties!A$1:CB$87,Formula!J38,4)=0,10^6,INDEX(Properties!A$1:CB$87,Formula!J38,4)))</f>
        <v>8</v>
      </c>
      <c r="M38" s="87">
        <f t="shared" si="1"/>
        <v>48</v>
      </c>
      <c r="N38" s="89">
        <f>((Formula!C38)/(Formula!C38+Formula!E38+Formula!G38+Formula!I38+Formula!K38))*(INDEX(Properties!A$1:CB$87,Formula!B38,5))+((Formula!E38)/(Formula!C38+Formula!E38+Formula!G38+Formula!I38+Formula!K38))*(INDEX(Properties!A$1:CB$87,Formula!D38,5))+((Formula!G38)/(Formula!C38+Formula!E38+Formula!G38+Formula!I38+Formula!K38))*(INDEX(Properties!A$1:CB$87,Formula!F38,5))+((Formula!I38)/(Formula!C38+Formula!E38+Formula!G38+Formula!I38+Formula!K38))*(INDEX(Properties!A$1:CB$87,Formula!H38,5))+((Formula!K38)/(Formula!C38+Formula!E38+Formula!G38+Formula!I38+Formula!K38))*(INDEX(Properties!A$1:CB$87,Formula!J38,5))</f>
        <v>3.5</v>
      </c>
      <c r="O38" s="89">
        <f>Formula!C38*(INDEX(Properties!A$1:CB$87,Formula!B38,5))+Formula!E38*(INDEX(Properties!A$1:CB$87,Formula!D38,5))+Formula!G38*(INDEX(Properties!A$1:CB$87,Formula!F38,5))+Formula!I38*(INDEX(Properties!A$1:CB$87,Formula!H38,5))+Formula!K38*(INDEX(Properties!A$1:CB$87,Formula!J38,5))</f>
        <v>56</v>
      </c>
      <c r="P38" s="89">
        <f>VARP(IF(INDEX(Properties!A$1:CB$87,Formula!B38,5)&lt;&gt;"",INDEX(Properties!A$1:CB$87,Formula!B38,5)),IF(INDEX(Properties!A$1:CB$87,Formula!D38,5)&lt;&gt;"",INDEX(Properties!A$1:CB$87,Formula!D38,5)),IF(INDEX(Properties!A$1:CB$87,Formula!F38,5)&lt;&gt;"",INDEX(Properties!A$1:CB$87,Formula!F38,5)),IF(INDEX(Properties!A$1:CB$87,Formula!H38,5)&lt;&gt;"",INDEX(Properties!A$1:CB$87,Formula!H38,5)),IF(INDEX(Properties!A$1:CB$87,Formula!J38,5)&lt;&gt;"",INDEX(Properties!A$1:CB$87,Formula!J38,5)))</f>
        <v>6.24</v>
      </c>
      <c r="Q38" s="89">
        <f>MAX(INDEX(Properties!A$1:CB$87,Formula!B38,5),INDEX(Properties!A$1:CB$87,Formula!D38,5),INDEX(Properties!A$1:CB$87,Formula!F38,5),INDEX(Properties!A$1:CB$87,Formula!H38,5),INDEX(Properties!A$1:CB$87,Formula!J38,5))</f>
        <v>6</v>
      </c>
      <c r="R38" s="89">
        <f>MIN(IF(INDEX(Properties!A$1:CB$87,Formula!B38,5)=0,10^6,INDEX(Properties!A$1:CB$87,Formula!B38,5)),IF(INDEX(Properties!A$1:CB$87,Formula!D38,5)=0,10^6,INDEX(Properties!A$1:CB$87,Formula!D38,5)),IF(INDEX(Properties!A$1:CB$87,Formula!F38,5)=0,10^6,INDEX(Properties!A$1:CB$87,Formula!F38,5)),IF(INDEX(Properties!A$1:CB$87,Formula!H38,5)=0,10^6,INDEX(Properties!A$1:CB$87,Formula!H38,5)),IF(INDEX(Properties!A$1:CB$87,Formula!J38,5)=0,10^6,INDEX(Properties!A$1:CB$87,Formula!J38,5)))</f>
        <v>2</v>
      </c>
      <c r="S38" s="89">
        <f t="shared" si="2"/>
        <v>4</v>
      </c>
      <c r="T38" s="60">
        <f>((Formula!C38)/(Formula!C38+Formula!E38+Formula!G38+Formula!I38+Formula!K38))*(INDEX(Properties!A$1:CB$87,Formula!B38,6))+((Formula!E38)/(Formula!C38+Formula!E38+Formula!G38+Formula!I38+Formula!K38))*(INDEX(Properties!A$1:CB$87,Formula!D38,6))+((Formula!G38)/(Formula!C38+Formula!E38+Formula!G38+Formula!I38+Formula!K38))*(INDEX(Properties!A$1:CB$87,Formula!F38,6))+((Formula!I38)/(Formula!C38+Formula!E38+Formula!G38+Formula!I38+Formula!K38))*(INDEX(Properties!A$1:CB$87,Formula!H38,6))+((Formula!K38)/(Formula!C38+Formula!E38+Formula!G38+Formula!I38+Formula!K38))*(INDEX(Properties!A$1:CB$87,Formula!J38,6))</f>
        <v>10.125</v>
      </c>
      <c r="U38" s="60">
        <f>Formula!C38*(INDEX(Properties!A$1:CB$87,Formula!B38,6))+Formula!E38*(INDEX(Properties!A$1:CB$87,Formula!D38,6))+Formula!G38*(INDEX(Properties!A$1:CB$87,Formula!F38,6))+Formula!I38*(INDEX(Properties!A$1:CB$87,Formula!H38,6))+Formula!K38*(INDEX(Properties!A$1:CB$87,Formula!J38,6))</f>
        <v>162</v>
      </c>
      <c r="V38" s="89">
        <f>VARP(IF(INDEX(Properties!A$1:CB$87,Formula!B38,6)&lt;&gt;"",INDEX(Properties!A$1:CB$87,Formula!B38,6)),IF(INDEX(Properties!A$1:CB$87,Formula!D38,6)&lt;&gt;"",INDEX(Properties!A$1:CB$87,Formula!D38,6)),IF(INDEX(Properties!A$1:CB$87,Formula!F38,6)&lt;&gt;"",INDEX(Properties!A$1:CB$87,Formula!F38,6)),IF(INDEX(Properties!A$1:CB$87,Formula!H38,6)&lt;&gt;"",INDEX(Properties!A$1:CB$87,Formula!H38,6)),IF(INDEX(Properties!A$1:CB$87,Formula!J38,6)&lt;&gt;"",INDEX(Properties!A$1:CB$87,Formula!J38,6)))</f>
        <v>36.159999999999997</v>
      </c>
      <c r="W38" s="60">
        <f>MAX(INDEX(Properties!A$1:CB$87,Formula!B38,6),INDEX(Properties!A$1:CB$87,Formula!D38,6),INDEX(Properties!A$1:CB$87,Formula!F38,6),INDEX(Properties!A$1:CB$87,Formula!H38,4),INDEX(Properties!A$1:CB$87,Formula!J38,6))</f>
        <v>16</v>
      </c>
      <c r="X38" s="60">
        <f>MIN(IF(INDEX(Properties!A$1:CB$87,Formula!B38,6)=0,10^6,INDEX(Properties!A$1:CB$87,Formula!B38,6)),IF(INDEX(Properties!A$1:CB$87,Formula!D38,6)=0,10^6,INDEX(Properties!A$1:CB$87,Formula!D38,6)),IF(INDEX(Properties!A$1:CB$87,Formula!F38,6)=0,10^6,INDEX(Properties!A$1:CB$87,Formula!F38,6)),IF(INDEX(Properties!A$1:CB$87,Formula!H38,6)=0,10^6,INDEX(Properties!A$1:CB$87,Formula!H38,6)),IF(INDEX(Properties!A$1:CB$87,Formula!J38,6)=0,10^6,INDEX(Properties!A$1:CB$87,Formula!J38,6)))</f>
        <v>2</v>
      </c>
      <c r="Y38" s="60">
        <f t="shared" si="3"/>
        <v>14</v>
      </c>
      <c r="Z38" s="72">
        <f>((Formula!C38)/(Formula!C38+Formula!E38+Formula!G38+Formula!I38+Formula!K38))*(INDEX(Properties!A$1:CB$87,Formula!B38,9))+((Formula!E38)/(Formula!C38+Formula!E38+Formula!G38+Formula!I38+Formula!K38))*(INDEX(Properties!A$1:CB$87,Formula!D38,9))+((Formula!G38)/(Formula!C38+Formula!E38+Formula!G38+Formula!I38+Formula!K38))*(INDEX(Properties!A$1:CB$87,Formula!F38,9))+((Formula!I38)/(Formula!C38+Formula!E38+Formula!G38+Formula!I38+Formula!K38))*(INDEX(Properties!A$1:CB$87,Formula!H38,9))+((Formula!K38)/(Formula!C38+Formula!E38+Formula!G38+Formula!I38+Formula!K38))*(INDEX(Properties!A$1:CB$87,Formula!J38,9))</f>
        <v>53.625</v>
      </c>
      <c r="AA38" s="72">
        <f>Formula!C38*(INDEX(Properties!A$1:CB$87,Formula!B38,9))+Formula!E38*(INDEX(Properties!A$1:CB$87,Formula!D38,9))+Formula!G38*(INDEX(Properties!A$1:CB$87,Formula!F38,9))+Formula!I38*(INDEX(Properties!A$1:CB$87,Formula!H38,9))+Formula!K38*(INDEX(Properties!A$1:CB$87,Formula!J38,9))</f>
        <v>858</v>
      </c>
      <c r="AB38" s="72">
        <f>VARP(IF(INDEX(Properties!A$1:CB$87,Formula!B38,9)&lt;&gt;"",INDEX(Properties!A$1:CB$87,Formula!B38,9)),IF(INDEX(Properties!A$1:CB$87,Formula!D38,9)&lt;&gt;"",INDEX(Properties!A$1:CB$87,Formula!D38,9)),IF(INDEX(Properties!A$1:CB$87,Formula!F38,9)&lt;&gt;"",INDEX(Properties!A$1:CB$87,Formula!F38,9)),IF(INDEX(Properties!A$1:CB$87,Formula!H38,9)&lt;&gt;"",INDEX(Properties!A$1:CB$87,Formula!H38,9)),IF(INDEX(Properties!A$1:CB$87,Formula!J38,9)&lt;&gt;"",INDEX(Properties!A$1:CB$87,Formula!J38,9)))</f>
        <v>1092.24</v>
      </c>
      <c r="AC38" s="72">
        <f>MAX(INDEX(Properties!A$1:CB$87,Formula!B38,9),INDEX(Properties!A$1:CB$87,Formula!D38,9),INDEX(Properties!A$1:CB$87,Formula!F38,9),INDEX(Properties!A$1:CB$87,Formula!H38,9),INDEX(Properties!A$1:CB$87,Formula!J38,9))</f>
        <v>87</v>
      </c>
      <c r="AD38" s="72">
        <f>MIN(IF(INDEX(Properties!A$1:CB$87,Formula!B38,9)=0,10^6,INDEX(Properties!A$1:CB$87,Formula!B38,9)),IF(INDEX(Properties!A$1:CB$87,Formula!D38,9)=0,10^6,INDEX(Properties!A$1:CB$87,Formula!D38,9)),IF(INDEX(Properties!A$1:CB$87,Formula!F38,9)=0,10^6,INDEX(Properties!A$1:CB$87,Formula!F38,9)),IF(INDEX(Properties!A$1:CB$87,Formula!H38,9)=0,10^6,INDEX(Properties!A$1:CB$87,Formula!H38,9)),IF(INDEX(Properties!A$1:CB$87,Formula!J38,9)=0,10^6,INDEX(Properties!A$1:CB$87,Formula!J38,9)))</f>
        <v>9</v>
      </c>
      <c r="AE38" s="72">
        <f t="shared" si="4"/>
        <v>78</v>
      </c>
      <c r="AF38" s="51">
        <f>((Formula!C38)/(Formula!C38+Formula!E38+Formula!G38+Formula!I38+Formula!K38))*(INDEX(Properties!A$1:CB$87,Formula!B38,10))+((Formula!E38)/(Formula!C38+Formula!E38+Formula!G38+Formula!I38+Formula!K38))*(INDEX(Properties!A$1:CB$87,Formula!D38,10))+((Formula!G38)/(Formula!C38+Formula!E38+Formula!G38+Formula!I38+Formula!K38))*(INDEX(Properties!A$1:CB$87,Formula!F38,10))+((Formula!I38)/(Formula!C38+Formula!E38+Formula!G38+Formula!I38+Formula!K38))*(INDEX(Properties!A$1:CB$87,Formula!H38,10))+((Formula!K38)/(Formula!C38+Formula!E38+Formula!G38+Formula!I38+Formula!K38))*(INDEX(Properties!A$1:CB$87,Formula!J38,10))</f>
        <v>5.0625</v>
      </c>
      <c r="AG38" s="51">
        <f>Formula!C38*(INDEX(Properties!A$1:CB$87,Formula!B38,10))+Formula!E38*(INDEX(Properties!A$1:CB$87,Formula!D38,10))+Formula!G38*(INDEX(Properties!A$1:CB$87,Formula!F38,10))+Formula!I38*(INDEX(Properties!A$1:CB$87,Formula!H38,10))+Formula!K38*(INDEX(Properties!A$1:CB$87,Formula!J38,10))</f>
        <v>81</v>
      </c>
      <c r="AH38" s="51">
        <f>VARP(IF(INDEX(Properties!A$1:CB$87,Formula!B38,10)&lt;&gt;"",INDEX(Properties!A$1:CB$87,Formula!B38,10)),IF(INDEX(Properties!A$1:CB$87,Formula!D38,10)&lt;&gt;"",INDEX(Properties!A$1:CB$87,Formula!D38,10)),IF(INDEX(Properties!A$1:CB$87,Formula!F38,10)&lt;&gt;"",INDEX(Properties!A$1:CB$87,Formula!F38,10)),IF(INDEX(Properties!A$1:CB$87,Formula!H38,10)&lt;&gt;"",INDEX(Properties!A$1:CB$87,Formula!H38,10)),IF(INDEX(Properties!A$1:CB$87,Formula!J38,10)&lt;&gt;"",INDEX(Properties!A$1:CB$87,Formula!J38,10)))</f>
        <v>6.64</v>
      </c>
      <c r="AI38" s="51">
        <f>MAX(INDEX(Properties!A$1:CB$87,Formula!B38,10),INDEX(Properties!A$1:CB$87,Formula!D38,10),INDEX(Properties!A$1:CB$87,Formula!F38,10),INDEX(Properties!A$1:CB$87,Formula!H38,10),INDEX(Properties!A$1:CB$87,Formula!J38,10))</f>
        <v>7</v>
      </c>
      <c r="AJ38" s="51">
        <f>MIN(IF(INDEX(Properties!A$1:CB$87,Formula!B38,10)=0,10^6,INDEX(Properties!A$1:CB$87,Formula!B38,10)),IF(INDEX(Properties!A$1:CB$87,Formula!D38,10)=0,10^6,INDEX(Properties!A$1:CB$87,Formula!D38,10)),IF(INDEX(Properties!A$1:CB$87,Formula!F38,10)=0,10^6,INDEX(Properties!A$1:CB$87,Formula!F38,10)),IF(INDEX(Properties!A$1:CB$87,Formula!H38,10)=0,10^6,INDEX(Properties!A$1:CB$87,Formula!H38,10)),IF(INDEX(Properties!A$1:CB$87,Formula!J38,10)=0,10^6,INDEX(Properties!A$1:CB$87,Formula!J38,10)))</f>
        <v>2</v>
      </c>
      <c r="AK38" s="51">
        <f t="shared" si="5"/>
        <v>5</v>
      </c>
      <c r="AL38" s="57">
        <f>((Formula!C38)/(Formula!C38+Formula!E38+Formula!G38+Formula!I38+Formula!K38))*(INDEX(Properties!A$1:CB$87,Formula!B38,11))+((Formula!E38)/(Formula!C38+Formula!E38+Formula!G38+Formula!I38+Formula!K38))*(INDEX(Properties!A$1:CB$87,Formula!D38,11))+((Formula!G38)/(Formula!C38+Formula!E38+Formula!G38+Formula!I38+Formula!K38))*(INDEX(Properties!A$1:CB$87,Formula!F38,11))+((Formula!I38)/(Formula!C38+Formula!E38+Formula!G38+Formula!I38+Formula!K38))*(INDEX(Properties!A$1:CB$87,Formula!H38,11))+((Formula!K38)/(Formula!C38+Formula!E38+Formula!G38+Formula!I38+Formula!K38))*(INDEX(Properties!A$1:CB$87,Formula!J38,11))</f>
        <v>2</v>
      </c>
      <c r="AM38" s="57">
        <f>Formula!C38*(INDEX(Properties!A$1:CB$87,Formula!B38,11))+Formula!E38*(INDEX(Properties!A$1:CB$87,Formula!D38,11))+Formula!G38*(INDEX(Properties!A$1:CB$87,Formula!F38,11))+Formula!I38*(INDEX(Properties!A$1:CB$87,Formula!H38,11))+Formula!K38*(INDEX(Properties!A$1:CB$87,Formula!J38,11))</f>
        <v>32</v>
      </c>
      <c r="AN38" s="57">
        <f>VARP(IF(INDEX(Properties!A$1:CB$87,Formula!B38,11)&lt;&gt;"",INDEX(Properties!A$1:CB$87,Formula!B38,11)),IF(INDEX(Properties!A$1:CB$87,Formula!D38,11)&lt;&gt;"",INDEX(Properties!A$1:CB$87,Formula!D38,11)),IF(INDEX(Properties!A$1:CB$87,Formula!F38,11)&lt;&gt;"",INDEX(Properties!A$1:CB$87,Formula!F38,11)),IF(INDEX(Properties!A$1:CB$87,Formula!H38,11)&lt;&gt;"",INDEX(Properties!A$1:CB$87,Formula!H38,11)),IF(INDEX(Properties!A$1:CB$87,Formula!J38,11)&lt;&gt;"",INDEX(Properties!A$1:CB$87,Formula!J38,11)))</f>
        <v>0.96</v>
      </c>
      <c r="AO38" s="57">
        <f>MAX(INDEX(Properties!A$1:CB$87,Formula!B38,11),INDEX(Properties!A$1:CB$87,Formula!D38,11),INDEX(Properties!A$1:CB$87,Formula!F38,11),INDEX(Properties!A$1:CB$87,Formula!H38,11),INDEX(Properties!A$1:CB$87,Formula!J38,11))</f>
        <v>2</v>
      </c>
      <c r="AP38" s="57">
        <f>MIN(IF(Formula!B38=87,10^6,INDEX(Properties!A$1:CB$87,Formula!B38,11)),IF((Formula!D38)=87,10^6,INDEX(Properties!A$1:CB$87,Formula!D38,11)),IF((Formula!F38)=87,10^6,INDEX(Properties!A$1:CB$87,Formula!F38,11)),IF((Formula!H38)=87,10^6,INDEX(Properties!A$1:CB$87,Formula!H38,11)),IF(Formula!J38=87,10^6,INDEX(Properties!A$1:CB$87,Formula!J38,11)))</f>
        <v>2</v>
      </c>
      <c r="AQ38" s="57">
        <f t="shared" si="6"/>
        <v>0</v>
      </c>
      <c r="AR38" s="78">
        <f>((Formula!C38)/(Formula!C38+Formula!E38+Formula!G38+Formula!I38+Formula!K38))*(INDEX(Properties!A$1:CB$87,Formula!B38,12))+((Formula!E38)/(Formula!C38+Formula!E38+Formula!G38+Formula!I38+Formula!K38))*(INDEX(Properties!A$1:CB$87,Formula!D38,12))+((Formula!G38)/(Formula!C38+Formula!E38+Formula!G38+Formula!I38+Formula!K38))*(INDEX(Properties!A$1:CB$87,Formula!F38,12))+((Formula!I38)/(Formula!C38+Formula!E38+Formula!G38+Formula!I38+Formula!K38))*(INDEX(Properties!A$1:CB$87,Formula!H38,12))+((Formula!K38)/(Formula!C38+Formula!E38+Formula!G38+Formula!I38+Formula!K38))*(INDEX(Properties!A$1:CB$87,Formula!J38,12))</f>
        <v>2.25</v>
      </c>
      <c r="AS38" s="78">
        <f>Formula!C38*(INDEX(Properties!A$1:CB$87,Formula!B38,12))+Formula!E38*(INDEX(Properties!A$1:CB$87,Formula!D38,12))+Formula!G38*(INDEX(Properties!A$1:CB$87,Formula!F38,12))+Formula!I38*(INDEX(Properties!A$1:CB$87,Formula!H38,12))+Formula!K38*(INDEX(Properties!A$1:CB$87,Formula!J38,12))</f>
        <v>36</v>
      </c>
      <c r="AT38" s="78">
        <f>VARP(IF(INDEX(Properties!A$1:CB$87,Formula!B38,12)&lt;&gt;"",INDEX(Properties!A$1:CB$87,Formula!B38,12)),IF(INDEX(Properties!A$1:CB$87,Formula!D38,12)&lt;&gt;"",INDEX(Properties!A$1:CB$87,Formula!D38,12)),IF(INDEX(Properties!A$1:CB$87,Formula!F38,12)&lt;&gt;"",INDEX(Properties!A$1:CB$87,Formula!F38,12)),IF(INDEX(Properties!A$1:CB$87,Formula!H38,12)&lt;&gt;"",INDEX(Properties!A$1:CB$87,Formula!H38,12)),IF(INDEX(Properties!A$1:CB$87,Formula!J38,12)&lt;&gt;"",INDEX(Properties!A$1:CB$87,Formula!J38,12)))</f>
        <v>2.56</v>
      </c>
      <c r="AU38" s="78">
        <f>MAX(INDEX(Properties!A$1:CB$87,Formula!B38,12),INDEX(Properties!A$1:CB$87,Formula!D38,12),INDEX(Properties!A$1:CB$87,Formula!F38,12),INDEX(Properties!A$1:CB$87,Formula!H38,12),INDEX(Properties!A$1:CB$87,Formula!J38,12))</f>
        <v>4</v>
      </c>
      <c r="AV38" s="78">
        <f>MIN(IF(Formula!B38=87,10^6,INDEX(Properties!A$1:CB$87,Formula!B38,12)),IF((Formula!D38)=87,10^6,INDEX(Properties!A$1:CB$87,Formula!D38,12)),IF((Formula!F38)=87,10^6,INDEX(Properties!A$1:CB$87,Formula!F38,12)),IF((Formula!H38)=87,10^6,INDEX(Properties!A$1:CB$87,Formula!H38,12)),IF(Formula!J38=87,10^6,INDEX(Properties!A$1:CB$87,Formula!J38,12)))</f>
        <v>0</v>
      </c>
      <c r="AW38" s="78">
        <f t="shared" si="7"/>
        <v>4</v>
      </c>
      <c r="AX38" s="45">
        <f>((Formula!C38)/(Formula!C38+Formula!E38+Formula!G38+Formula!I38+Formula!K38))*(INDEX(Properties!A$1:CB$87,Formula!B38,13))+((Formula!E38)/(Formula!C38+Formula!E38+Formula!G38+Formula!I38+Formula!K38))*(INDEX(Properties!A$1:CB$87,Formula!D38,13))+((Formula!G38)/(Formula!C38+Formula!E38+Formula!G38+Formula!I38+Formula!K38))*(INDEX(Properties!A$1:CB$87,Formula!F38,13))+((Formula!I38)/(Formula!C38+Formula!E38+Formula!G38+Formula!I38+Formula!K38))*(INDEX(Properties!A$1:CB$87,Formula!H38,13))+((Formula!K38)/(Formula!C38+Formula!E38+Formula!G38+Formula!I38+Formula!K38))*(INDEX(Properties!A$1:CB$87,Formula!J38,13))</f>
        <v>0.25</v>
      </c>
      <c r="AY38" s="45">
        <f>Formula!C38*(INDEX(Properties!A$1:CB$87,Formula!B38,13))+Formula!E38*(INDEX(Properties!A$1:CB$87,Formula!D38,13))+Formula!G38*(INDEX(Properties!A$1:CB$87,Formula!F38,13))+Formula!I38*(INDEX(Properties!A$1:CB$87,Formula!H38,13))+Formula!K38*(INDEX(Properties!A$1:CB$87,Formula!J38,13))</f>
        <v>4</v>
      </c>
      <c r="AZ38" s="45">
        <f>VARP(IF(INDEX(Properties!A$1:CB$87,Formula!B38,13)&lt;&gt;"",INDEX(Properties!A$1:CB$87,Formula!B38,13)),IF(INDEX(Properties!A$1:CB$87,Formula!D38,13)&lt;&gt;"",INDEX(Properties!A$1:CB$87,Formula!D38,13)),IF(INDEX(Properties!A$1:CB$87,Formula!F38,13)&lt;&gt;"",INDEX(Properties!A$1:CB$87,Formula!F38,13)),IF(INDEX(Properties!A$1:CB$87,Formula!H38,13)&lt;&gt;"",INDEX(Properties!A$1:CB$87,Formula!H38,13)),IF(INDEX(Properties!A$1:CB$87,Formula!J38,13)&lt;&gt;"",INDEX(Properties!A$1:CB$87,Formula!J38,13)))</f>
        <v>0.16</v>
      </c>
      <c r="BA38" s="45">
        <f>MAX(INDEX(Properties!A$1:CB$87,Formula!B38,13),INDEX(Properties!A$1:CB$87,Formula!D38,13),INDEX(Properties!A$1:CB$87,Formula!F38,13),INDEX(Properties!A$1:CB$87,Formula!H38,13),INDEX(Properties!A$1:CB$87,Formula!J38,13))</f>
        <v>1</v>
      </c>
      <c r="BB38" s="45">
        <f>MIN(IF(Formula!B38=87,10^6,INDEX(Properties!A$1:CB$87,Formula!B38,13)),IF((Formula!D38)=87,10^6,INDEX(Properties!A$1:CB$87,Formula!D38,13)),IF((Formula!F38)=87,10^6,INDEX(Properties!A$1:CB$87,Formula!F38,13)),IF((Formula!H38)=87,10^6,INDEX(Properties!A$1:CB$87,Formula!H38,13)),IF(Formula!J38=87,10^6,INDEX(Properties!A$1:CB$87,Formula!J38,13)))</f>
        <v>0</v>
      </c>
      <c r="BC38" s="45">
        <f t="shared" si="8"/>
        <v>1</v>
      </c>
      <c r="BD38" s="63">
        <f>((Formula!C38)/(Formula!C38+Formula!E38+Formula!G38+Formula!I38+Formula!K38))*(INDEX(Properties!A$1:CB$87,Formula!B38,14))+((Formula!E38)/(Formula!C38+Formula!E38+Formula!G38+Formula!I38+Formula!K38))*(INDEX(Properties!A$1:CB$87,Formula!D38,14))+((Formula!G38)/(Formula!C38+Formula!E38+Formula!G38+Formula!I38+Formula!K38))*(INDEX(Properties!A$1:CB$87,Formula!F38,14))+((Formula!I38)/(Formula!C38+Formula!E38+Formula!G38+Formula!I38+Formula!K38))*(INDEX(Properties!A$1:CB$87,Formula!H38,14))+((Formula!K38)/(Formula!C38+Formula!E38+Formula!G38+Formula!I38+Formula!K38))*(INDEX(Properties!A$1:CB$87,Formula!J38,14))</f>
        <v>0</v>
      </c>
      <c r="BE38" s="63">
        <f>Formula!C38*(INDEX(Properties!A$1:CB$87,Formula!B38,14))+Formula!E38*(INDEX(Properties!A$1:CB$87,Formula!D38,14))+Formula!G38*(INDEX(Properties!A$1:CB$87,Formula!F38,14))+Formula!I38*(INDEX(Properties!A$1:CB$87,Formula!H38,14))+Formula!K38*(INDEX(Properties!A$1:CB$87,Formula!J38,14))</f>
        <v>0</v>
      </c>
      <c r="BF38" s="63">
        <f>VARP(IF(INDEX(Properties!A$1:CB$87,Formula!B38,14)&lt;&gt;"",INDEX(Properties!A$1:CB$87,Formula!B38,14)),IF(INDEX(Properties!A$1:CB$87,Formula!D38,14)&lt;&gt;"",INDEX(Properties!A$1:CB$87,Formula!D38,14)),IF(INDEX(Properties!A$1:CB$87,Formula!F38,14)&lt;&gt;"",INDEX(Properties!A$1:CB$87,Formula!F38,14)),IF(INDEX(Properties!A$1:CB$87,Formula!H38,14)&lt;&gt;"",INDEX(Properties!A$1:CB$87,Formula!H38,14)),IF(INDEX(Properties!A$1:CB$87,Formula!J38,14)&lt;&gt;"",INDEX(Properties!A$1:CB$87,Formula!J38,14)))</f>
        <v>0</v>
      </c>
      <c r="BG38" s="63">
        <f>MAX(INDEX(Properties!A$1:CB$87,Formula!B38,14),INDEX(Properties!A$1:CB$87,Formula!D38,14),INDEX(Properties!A$1:CB$87,Formula!F38,14),INDEX(Properties!A$1:CB$87,Formula!H38,14),INDEX(Properties!A$1:CB$87,Formula!J38,14))</f>
        <v>0</v>
      </c>
      <c r="BH38" s="63">
        <f>MIN(IF(Formula!B38=87,10^6,INDEX(Properties!A$1:CB$87,Formula!B38,14)),IF((Formula!D38)=87,10^6,INDEX(Properties!A$1:CB$87,Formula!D38,14)),IF((Formula!F38)=87,10^6,INDEX(Properties!A$1:CB$87,Formula!F38,14)),IF((Formula!H38)=87,10^6,INDEX(Properties!A$1:CB$87,Formula!H38,14)),IF(Formula!J38=87,10^6,INDEX(Properties!A$1:CB$87,Formula!J38,14)))</f>
        <v>0</v>
      </c>
      <c r="BI38" s="63">
        <f t="shared" si="9"/>
        <v>0</v>
      </c>
      <c r="BJ38" s="75">
        <f>((Formula!C38)/(Formula!C38+Formula!E38+Formula!G38+Formula!I38+Formula!K38))*(INDEX(Properties!A$1:CB$87,Formula!B38,19))+((Formula!E38)/(Formula!C38+Formula!E38+Formula!G38+Formula!I38+Formula!K38))*(INDEX(Properties!A$1:CB$87,Formula!D38,19))+((Formula!G38)/(Formula!C38+Formula!E38+Formula!G38+Formula!I38+Formula!K38))*(INDEX(Properties!A$1:CB$87,Formula!F38,19))+((Formula!I38)/(Formula!C38+Formula!E38+Formula!G38+Formula!I38+Formula!K38))*(INDEX(Properties!A$1:CB$87,Formula!H38,19))+((Formula!K38)/(Formula!C38+Formula!E38+Formula!G38+Formula!I38+Formula!K38))*(INDEX(Properties!A$1:CB$87,Formula!J38,19))</f>
        <v>4.5</v>
      </c>
      <c r="BK38" s="75">
        <f>Formula!C38*(INDEX(Properties!A$1:CB$87,Formula!B38,19))+Formula!E38*(INDEX(Properties!A$1:CB$87,Formula!D38,19))+Formula!G38*(INDEX(Properties!A$1:CB$87,Formula!F38,19))+Formula!I38*(INDEX(Properties!A$1:CB$87,Formula!H38,19))+Formula!K38*(INDEX(Properties!A$1:CB$87,Formula!J38,19))</f>
        <v>72</v>
      </c>
      <c r="BL38" s="75">
        <f>VARP(IF(INDEX(Properties!A$1:CB$87,Formula!B38,19)&lt;&gt;"",INDEX(Properties!A$1:CB$87,Formula!B38,19)),IF(INDEX(Properties!A$1:CB$87,Formula!D38,19)&lt;&gt;"",INDEX(Properties!A$1:CB$87,Formula!D38,19)),IF(INDEX(Properties!A$1:CB$87,Formula!F38,19)&lt;&gt;"",INDEX(Properties!A$1:CB$87,Formula!F38,19)),IF(INDEX(Properties!A$1:CB$87,Formula!H38,19)&lt;&gt;"",INDEX(Properties!A$1:CB$87,Formula!H38,19)),IF(INDEX(Properties!A$1:CB$87,Formula!J38,19)&lt;&gt;"",INDEX(Properties!A$1:CB$87,Formula!J38,19)))</f>
        <v>4.96</v>
      </c>
      <c r="BM38" s="75">
        <f>MAX(INDEX(Properties!A$1:CB$87,Formula!B38,19),INDEX(Properties!A$1:CB$87,Formula!D38,19),INDEX(Properties!A$1:CB$87,Formula!F38,19),INDEX(Properties!A$1:CB$87,Formula!H38,19),INDEX(Properties!A$1:CB$87,Formula!J38,19))</f>
        <v>6</v>
      </c>
      <c r="BN38" s="75">
        <f>MIN(IF(INDEX(Properties!A$1:CB$87,Formula!B38,19)=0,10^6,INDEX(Properties!A$1:CB$87,Formula!B38,19)),IF(INDEX(Properties!A$1:CB$87,Formula!D38,19)=0,10^6,INDEX(Properties!A$1:CB$87,Formula!D38,19)),IF(INDEX(Properties!A$1:CB$87,Formula!F38,19)=0,10^6,INDEX(Properties!A$1:CB$87,Formula!F38,19)),IF(INDEX(Properties!A$1:CB$87,Formula!H38,19)=0,10^6,INDEX(Properties!A$1:CB$87,Formula!H38,19)),IF(INDEX(Properties!A$1:CB$87,Formula!J38,19)=0,10^6,INDEX(Properties!A$1:CB$87,Formula!J38,19)))</f>
        <v>2</v>
      </c>
      <c r="BO38" s="75">
        <f t="shared" si="10"/>
        <v>4</v>
      </c>
      <c r="BP38" s="48">
        <f>((Formula!C38)/(Formula!C38+Formula!E38+Formula!G38+Formula!I38+Formula!K38))*(INDEX(Properties!A$1:CB$87,Formula!B38,20))+((Formula!E38)/(Formula!C38+Formula!E38+Formula!G38+Formula!I38+Formula!K38))*(INDEX(Properties!A$1:CB$87,Formula!D38,20))+((Formula!G38)/(Formula!C38+Formula!E38+Formula!G38+Formula!I38+Formula!K38))*(INDEX(Properties!A$1:CB$87,Formula!F38,20))+((Formula!I38)/(Formula!C38+Formula!E38+Formula!G38+Formula!I38+Formula!K38))*(INDEX(Properties!A$1:CB$87,Formula!H38,20))+((Formula!K38)/(Formula!C38+Formula!E38+Formula!G38+Formula!I38+Formula!K38))*(INDEX(Properties!A$1:CB$87,Formula!J38,20))</f>
        <v>4.25</v>
      </c>
      <c r="BQ38" s="48">
        <f>Formula!C38*(INDEX(Properties!A$1:CB$87,Formula!B38,20))+Formula!E38*(INDEX(Properties!A$1:CB$87,Formula!D38,20))+Formula!G38*(INDEX(Properties!A$1:CB$87,Formula!F38,20))+Formula!I38*(INDEX(Properties!A$1:CB$87,Formula!H38,20))+Formula!K38*(INDEX(Properties!A$1:CB$87,Formula!J38,20))</f>
        <v>68</v>
      </c>
      <c r="BR38" s="48">
        <f>VARP(IF(INDEX(Properties!A$1:CB$87,Formula!B38,20)&lt;&gt;"",INDEX(Properties!A$1:CB$87,Formula!B38,20)),IF(INDEX(Properties!A$1:CB$87,Formula!D38,20)&lt;&gt;"",INDEX(Properties!A$1:CB$87,Formula!D38,20)),IF(INDEX(Properties!A$1:CB$87,Formula!F38,20)&lt;&gt;"",INDEX(Properties!A$1:CB$87,Formula!F38,20)),IF(INDEX(Properties!A$1:CB$87,Formula!H38,20)&lt;&gt;"",INDEX(Properties!A$1:CB$87,Formula!H38,20)),IF(INDEX(Properties!A$1:CB$87,Formula!J38,20)&lt;&gt;"",INDEX(Properties!A$1:CB$87,Formula!J38,20)))</f>
        <v>4.8</v>
      </c>
      <c r="BS38" s="48">
        <f>MAX(INDEX(Properties!A$1:CB$87,Formula!B38,20),INDEX(Properties!A$1:CB$87,Formula!D38,20),INDEX(Properties!A$1:CB$87,Formula!F38,20),INDEX(Properties!A$1:CB$87,Formula!H38,20),INDEX(Properties!A$1:CB$87,Formula!J38,20))</f>
        <v>6</v>
      </c>
      <c r="BT38" s="48">
        <f>MIN(IF(INDEX(Properties!A$1:CB$87,Formula!B38,20)=0,10^6,INDEX(Properties!A$1:CB$87,Formula!B38,20)),IF(INDEX(Properties!A$1:CB$87,Formula!D38,20)=0,10^6,INDEX(Properties!A$1:CB$87,Formula!D38,20)),IF(INDEX(Properties!A$1:CB$87,Formula!F38,20)=0,10^6,INDEX(Properties!A$1:CB$87,Formula!F38,20)),IF(INDEX(Properties!A$1:CB$87,Formula!H38,20)=0,10^6,INDEX(Properties!A$1:CB$87,Formula!H38,20)),IF(INDEX(Properties!A$1:CB$87,Formula!J38,20)=0,10^6,INDEX(Properties!A$1:CB$87,Formula!J38,20)))</f>
        <v>2</v>
      </c>
      <c r="BU38" s="48">
        <f t="shared" si="11"/>
        <v>4</v>
      </c>
      <c r="BV38" s="66">
        <f>((Formula!C38)/(Formula!C38+Formula!E38+Formula!G38+Formula!I38+Formula!K38))*(INDEX(Properties!A$1:CB$87,Formula!B38,21))+((Formula!E38)/(Formula!C38+Formula!E38+Formula!G38+Formula!I38+Formula!K38))*(INDEX(Properties!A$1:CB$87,Formula!D38,21))+((Formula!G38)/(Formula!C38+Formula!E38+Formula!G38+Formula!I38+Formula!K38))*(INDEX(Properties!A$1:CB$87,Formula!F38,21))+((Formula!I38)/(Formula!C38+Formula!E38+Formula!G38+Formula!I38+Formula!K38))*(INDEX(Properties!A$1:CB$87,Formula!H38,21))+((Formula!K38)/(Formula!C38+Formula!E38+Formula!G38+Formula!I38+Formula!K38))*(INDEX(Properties!A$1:CB$87,Formula!J38,21))</f>
        <v>4</v>
      </c>
      <c r="BW38" s="66">
        <f>Formula!C38*(INDEX(Properties!A$1:CB$87,Formula!B38,21))+Formula!E38*(INDEX(Properties!A$1:CB$87,Formula!D38,21))+Formula!G38*(INDEX(Properties!A$1:CB$87,Formula!F38,21))+Formula!I38*(INDEX(Properties!A$1:CB$87,Formula!H38,21))+Formula!K38*(INDEX(Properties!A$1:CB$87,Formula!J38,21))</f>
        <v>64</v>
      </c>
      <c r="BX38" s="66">
        <f>VARP(IF(INDEX(Properties!A$1:CB$87,Formula!B38,21)&lt;&gt;"",INDEX(Properties!A$1:CB$87,Formula!B38,21)),IF(INDEX(Properties!A$1:CB$87,Formula!D38,21)&lt;&gt;"",INDEX(Properties!A$1:CB$87,Formula!D38,21)),IF(INDEX(Properties!A$1:CB$87,Formula!F38,21)&lt;&gt;"",INDEX(Properties!A$1:CB$87,Formula!F38,21)),IF(INDEX(Properties!A$1:CB$87,Formula!H38,21)&lt;&gt;"",INDEX(Properties!A$1:CB$87,Formula!H38,21)),IF(INDEX(Properties!A$1:CB$87,Formula!J38,21)&lt;&gt;"",INDEX(Properties!A$1:CB$87,Formula!J38,21)))</f>
        <v>4.96</v>
      </c>
      <c r="BY38" s="66">
        <f>MAX(INDEX(Properties!A$1:CB$87,Formula!B38,21),INDEX(Properties!A$1:CB$87,Formula!D38,21),INDEX(Properties!A$1:CB$87,Formula!F38,21),INDEX(Properties!A$1:CB$87,Formula!H38,21),INDEX(Properties!A$1:CB$87,Formula!J38,21))</f>
        <v>6</v>
      </c>
      <c r="BZ38" s="66">
        <f>MIN(IF(INDEX(Properties!A$1:CB$87,Formula!B38,21)=0,10^6,INDEX(Properties!A$1:CB$87,Formula!B38,21)),IF(INDEX(Properties!A$1:CB$87,Formula!D38,21)=0,10^6,INDEX(Properties!A$1:CB$87,Formula!D38,21)),IF(INDEX(Properties!A$1:CB$87,Formula!F38,21)=0,10^6,INDEX(Properties!A$1:CB$87,Formula!F38,21)),IF(INDEX(Properties!A$1:CB$87,Formula!H38,21)=0,10^6,INDEX(Properties!A$1:CB$87,Formula!H38,21)),IF(INDEX(Properties!A$1:CB$87,Formula!J38,21)=0,10^6,INDEX(Properties!A$1:CB$87,Formula!J38,21)))</f>
        <v>1</v>
      </c>
      <c r="CA38" s="66">
        <f t="shared" si="12"/>
        <v>5</v>
      </c>
      <c r="CB38" s="81">
        <f>((Formula!C38)/(Formula!C38+Formula!E38+Formula!G38+Formula!I38+Formula!K38))*(INDEX(Properties!A$1:CB$87,Formula!B38,23))+((Formula!E38)/(Formula!C38+Formula!E38+Formula!G38+Formula!I38+Formula!K38))*(INDEX(Properties!A$1:CB$87,Formula!D38,23))+((Formula!G38)/(Formula!C38+Formula!E38+Formula!G38+Formula!I38+Formula!K38))*(INDEX(Properties!A$1:CB$87,Formula!F38,23))+((Formula!I38)/(Formula!C38+Formula!E38+Formula!G38+Formula!I38+Formula!K38))*(INDEX(Properties!A$1:CB$87,Formula!H38,23))+((Formula!K38)/(Formula!C38+Formula!E38+Formula!G38+Formula!I38+Formula!K38))*(INDEX(Properties!A$1:CB$87,Formula!J38,23))</f>
        <v>1.125</v>
      </c>
      <c r="CC38" s="81">
        <f>Formula!C38*(INDEX(Properties!A$1:CB$87,Formula!B38,23))+Formula!E38*(INDEX(Properties!A$1:CB$87,Formula!D38,23))+Formula!G38*(INDEX(Properties!A$1:CB$87,Formula!F38,23))+Formula!I38*(INDEX(Properties!A$1:CB$87,Formula!H38,23))+Formula!K38*(INDEX(Properties!A$1:CB$87,Formula!J38,23))</f>
        <v>18</v>
      </c>
      <c r="CD38" s="81">
        <f>VARP(IF(INDEX(Properties!A$1:CB$87,Formula!B38,23)&lt;&gt;"",INDEX(Properties!A$1:CB$87,Formula!B38,23)),IF(INDEX(Properties!A$1:CB$87,Formula!D38,23)&lt;&gt;"",INDEX(Properties!A$1:CB$87,Formula!D38,23)),IF(INDEX(Properties!A$1:CB$87,Formula!F38,23)&lt;&gt;"",INDEX(Properties!A$1:CB$87,Formula!F38,23)),IF(INDEX(Properties!A$1:CB$87,Formula!H38,23)&lt;&gt;"",INDEX(Properties!A$1:CB$87,Formula!H38,23)),IF(INDEX(Properties!A$1:CB$87,Formula!J38,23)&lt;&gt;"",INDEX(Properties!A$1:CB$87,Formula!J38,23)))</f>
        <v>1.6</v>
      </c>
      <c r="CE38" s="81">
        <f>MAX(INDEX(Properties!A$1:CB$87,Formula!B38,23),INDEX(Properties!A$1:CB$87,Formula!D38,23),INDEX(Properties!A$1:CB$87,Formula!F38,23),INDEX(Properties!A$1:CB$87,Formula!H38,23),INDEX(Properties!A$1:CB$87,Formula!J38,23))</f>
        <v>3</v>
      </c>
      <c r="CF38" s="81">
        <f>MIN(IF(Formula!B38=87,10^6,INDEX(Properties!A$1:CB$87,Formula!B38,23)),IF((Formula!D38)=87,10^6,INDEX(Properties!A$1:CB$87,Formula!D38,23)),IF((Formula!F38)=87,10^6,INDEX(Properties!A$1:CB$87,Formula!F38,23)),IF((Formula!H38)=87,10^6,INDEX(Properties!A$1:CB$87,Formula!H38,23)),IF(Formula!J38=87,10^6,INDEX(Properties!A$1:CB$87,Formula!J38,23)))</f>
        <v>0</v>
      </c>
      <c r="CG38" s="81">
        <f t="shared" si="13"/>
        <v>3</v>
      </c>
      <c r="CH38" s="39">
        <f>((Formula!C38)/(Formula!C38+Formula!E38+Formula!G38+Formula!I38+Formula!K38))*(INDEX(Properties!A$1:CB$87,Formula!B38,26))+((Formula!E38)/(Formula!C38+Formula!E38+Formula!G38+Formula!I38+Formula!K38))*(INDEX(Properties!A$1:CB$87,Formula!D38,26))+((Formula!G38)/(Formula!C38+Formula!E38+Formula!G38+Formula!I38+Formula!K38))*(INDEX(Properties!A$1:CB$87,Formula!F38,26))+((Formula!I38)/(Formula!C38+Formula!E38+Formula!G38+Formula!I38+Formula!K38))*(INDEX(Properties!A$1:CB$87,Formula!H38,26))+((Formula!K38)/(Formula!C38+Formula!E38+Formula!G38+Formula!I38+Formula!K38))*(INDEX(Properties!A$1:CB$87,Formula!J38,26))</f>
        <v>10.191700000000001</v>
      </c>
      <c r="CI38" s="39">
        <f>Formula!C38*(INDEX(Properties!A$1:CB$87,Formula!B38,26))+Formula!E38*(INDEX(Properties!A$1:CB$87,Formula!D38,26))+Formula!G38*(INDEX(Properties!A$1:CB$87,Formula!F38,26))+Formula!I38*(INDEX(Properties!A$1:CB$87,Formula!H38,26))+Formula!K38*(INDEX(Properties!A$1:CB$87,Formula!J38,26))</f>
        <v>163.06720000000001</v>
      </c>
      <c r="CJ38" s="39">
        <f>VARP(IF(INDEX(Properties!A$1:CB$87,Formula!B38,26)&lt;&gt;"",INDEX(Properties!A$1:CB$87,Formula!B38,26)),IF(INDEX(Properties!A$1:CB$87,Formula!D38,26)&lt;&gt;"",INDEX(Properties!A$1:CB$87,Formula!D38,26)),IF(INDEX(Properties!A$1:CB$87,Formula!F38,26)&lt;&gt;"",INDEX(Properties!A$1:CB$87,Formula!F38,26)),IF(INDEX(Properties!A$1:CB$87,Formula!H38,26)&lt;&gt;"",INDEX(Properties!A$1:CB$87,Formula!H38,26)),IF(INDEX(Properties!A$1:CB$87,Formula!J38,26)&lt;&gt;"",INDEX(Properties!A$1:CB$87,Formula!J38,26)))</f>
        <v>25.159568021600002</v>
      </c>
      <c r="CK38" s="39">
        <f>MAX(INDEX(Properties!A$1:CB$87,Formula!B38,26),INDEX(Properties!A$1:CB$87,Formula!D38,26),INDEX(Properties!A$1:CB$87,Formula!F38,26),INDEX(Properties!A$1:CB$87,Formula!H38,26),INDEX(Properties!A$1:CB$87,Formula!J38,26))</f>
        <v>13.6181</v>
      </c>
      <c r="CL38" s="39">
        <f>MIN(IF(INDEX(Properties!A$1:CB$87,Formula!B38,26)=0,10^6,INDEX(Properties!A$1:CB$87,Formula!B38,26)),IF(INDEX(Properties!A$1:CB$87,Formula!D38,26)=0,10^6,INDEX(Properties!A$1:CB$87,Formula!D38,26)),IF(INDEX(Properties!A$1:CB$87,Formula!F38,26)=0,10^6,INDEX(Properties!A$1:CB$87,Formula!F38,26)),IF(INDEX(Properties!A$1:CB$87,Formula!H38,26)=0,10^6,INDEX(Properties!A$1:CB$87,Formula!H38,26)),IF(INDEX(Properties!A$1:CB$87,Formula!J38,26)=0,10^6,INDEX(Properties!A$1:CB$87,Formula!J38,26)))</f>
        <v>5.2117000000000004</v>
      </c>
      <c r="CM38" s="39">
        <f t="shared" si="14"/>
        <v>8.4063999999999997</v>
      </c>
      <c r="CN38" s="54">
        <f>((Formula!C38)/(Formula!C38+Formula!E38+Formula!G38+Formula!I38+Formula!K38))*(INDEX(Properties!A$1:CB$87,Formula!B38,30))+((Formula!E38)/(Formula!C38+Formula!E38+Formula!G38+Formula!I38+Formula!K38))*(INDEX(Properties!A$1:CB$87,Formula!D38,30))+((Formula!G38)/(Formula!C38+Formula!E38+Formula!G38+Formula!I38+Formula!K38))*(INDEX(Properties!A$1:CB$87,Formula!F38,30))+((Formula!I38)/(Formula!C38+Formula!E38+Formula!G38+Formula!I38+Formula!K38))*(INDEX(Properties!A$1:CB$87,Formula!H38,30))+((Formula!K38)/(Formula!C38+Formula!E38+Formula!G38+Formula!I38+Formula!K38))*(INDEX(Properties!A$1:CB$87,Formula!J38,30))</f>
        <v>2.4068749999999999</v>
      </c>
      <c r="CO38" s="54">
        <f>Formula!C38*(INDEX(Properties!A$1:CB$87,Formula!B38,30))+Formula!E38*(INDEX(Properties!A$1:CB$87,Formula!D38,30))+Formula!G38*(INDEX(Properties!A$1:CB$87,Formula!F38,30))+Formula!I38*(INDEX(Properties!A$1:CB$87,Formula!H38,30))+Formula!K38*(INDEX(Properties!A$1:CB$87,Formula!J38,30))</f>
        <v>38.51</v>
      </c>
      <c r="CP38" s="54">
        <f>VARP(IF(INDEX(Properties!A$1:CB$87,Formula!B38,30)&lt;&gt;"",INDEX(Properties!A$1:CB$87,Formula!B38,30)),IF(INDEX(Properties!A$1:CB$87,Formula!D38,30)&lt;&gt;"",INDEX(Properties!A$1:CB$87,Formula!D38,30)),IF(INDEX(Properties!A$1:CB$87,Formula!F38,30)&lt;&gt;"",INDEX(Properties!A$1:CB$87,Formula!F38,30)),IF(INDEX(Properties!A$1:CB$87,Formula!H38,30)&lt;&gt;"",INDEX(Properties!A$1:CB$87,Formula!H38,30)),IF(INDEX(Properties!A$1:CB$87,Formula!J38,30)&lt;&gt;"",INDEX(Properties!A$1:CB$87,Formula!J38,30)))</f>
        <v>1.5907200000000001</v>
      </c>
      <c r="CQ38" s="54">
        <f>MAX(INDEX(Properties!A$1:CB$87,Formula!B38,30),INDEX(Properties!A$1:CB$87,Formula!D38,30),INDEX(Properties!A$1:CB$87,Formula!F38,30),INDEX(Properties!A$1:CB$87,Formula!H38,30),INDEX(Properties!A$1:CB$87,Formula!J38,30))</f>
        <v>3.44</v>
      </c>
      <c r="CR38" s="54">
        <f>MIN(IF(INDEX(Properties!A$1:CB$87,Formula!B38,30)=0,10^6,INDEX(Properties!A$1:CB$87,Formula!B38,30)),IF(INDEX(Properties!A$1:CB$87,Formula!D38,30)=0,10^6,INDEX(Properties!A$1:CB$87,Formula!D38,30)),IF(INDEX(Properties!A$1:CB$87,Formula!F38,30)=0,10^6,INDEX(Properties!A$1:CB$87,Formula!F38,30)),IF(INDEX(Properties!A$1:CB$87,Formula!H38,30)=0,10^6,INDEX(Properties!A$1:CB$87,Formula!H38,30)),IF(INDEX(Properties!A$1:CB$87,Formula!J38,30)=0,10^6,INDEX(Properties!A$1:CB$87,Formula!J38,30)))</f>
        <v>0.89</v>
      </c>
      <c r="CS38" s="54">
        <f t="shared" si="15"/>
        <v>2.5499999999999998</v>
      </c>
      <c r="CT38" s="69">
        <f>((Formula!C38)/(Formula!C38+Formula!E38+Formula!G38+Formula!I38+Formula!K38))*(INDEX(Properties!A$1:CB$87,Formula!B38,31))+((Formula!E38)/(Formula!C38+Formula!E38+Formula!G38+Formula!I38+Formula!K38))*(INDEX(Properties!A$1:CB$87,Formula!D38,31))+((Formula!G38)/(Formula!C38+Formula!E38+Formula!G38+Formula!I38+Formula!K38))*(INDEX(Properties!A$1:CB$87,Formula!F38,31))+((Formula!I38)/(Formula!C38+Formula!E38+Formula!G38+Formula!I38+Formula!K38))*(INDEX(Properties!A$1:CB$87,Formula!H38,31))+((Formula!K38)/(Formula!C38+Formula!E38+Formula!G38+Formula!I38+Formula!K38))*(INDEX(Properties!A$1:CB$87,Formula!J38,31))</f>
        <v>2.4224999999999999</v>
      </c>
      <c r="CU38" s="69">
        <f>Formula!C38*(INDEX(Properties!A$1:CB$87,Formula!B38,31))+Formula!E38*(INDEX(Properties!A$1:CB$87,Formula!D38,31))+Formula!G38*(INDEX(Properties!A$1:CB$87,Formula!F38,31))+Formula!I38*(INDEX(Properties!A$1:CB$87,Formula!H38,31))+Formula!K38*(INDEX(Properties!A$1:CB$87,Formula!J38,31))</f>
        <v>38.76</v>
      </c>
      <c r="CV38" s="69">
        <f>VARP(IF(INDEX(Properties!A$1:CB$87,Formula!B38,31)&lt;&gt;"",INDEX(Properties!A$1:CB$87,Formula!B38,31)),IF(INDEX(Properties!A$1:CB$87,Formula!D38,31)&lt;&gt;"",INDEX(Properties!A$1:CB$87,Formula!D38,31)),IF(INDEX(Properties!A$1:CB$87,Formula!F38,31)&lt;&gt;"",INDEX(Properties!A$1:CB$87,Formula!F38,31)),IF(INDEX(Properties!A$1:CB$87,Formula!H38,31)&lt;&gt;"",INDEX(Properties!A$1:CB$87,Formula!H38,31)),IF(INDEX(Properties!A$1:CB$87,Formula!J38,31)&lt;&gt;"",INDEX(Properties!A$1:CB$87,Formula!J38,31)))</f>
        <v>1.485136</v>
      </c>
      <c r="CW38" s="69">
        <f>MAX(INDEX(Properties!A$1:CB$87,Formula!B38,31),INDEX(Properties!A$1:CB$87,Formula!D38,31),INDEX(Properties!A$1:CB$87,Formula!F38,31),INDEX(Properties!A$1:CB$87,Formula!H38,31),INDEX(Properties!A$1:CB$87,Formula!J38,31))</f>
        <v>3.32</v>
      </c>
      <c r="CX38" s="69">
        <f>MIN(IF(INDEX(Properties!A$1:CB$87,Formula!B38,31)=0,10^6,INDEX(Properties!A$1:CB$87,Formula!B38,31)),IF(INDEX(Properties!A$1:CB$87,Formula!D38,31)=0,10^6,INDEX(Properties!A$1:CB$87,Formula!D38,31)),IF(INDEX(Properties!A$1:CB$87,Formula!F38,31)=0,10^6,INDEX(Properties!A$1:CB$87,Formula!F38,31)),IF(INDEX(Properties!A$1:CB$87,Formula!H38,31)=0,10^6,INDEX(Properties!A$1:CB$87,Formula!H38,31)),IF(INDEX(Properties!A$1:CB$87,Formula!J38,31)=0,10^6,INDEX(Properties!A$1:CB$87,Formula!J38,31)))</f>
        <v>1.08</v>
      </c>
      <c r="CY38" s="69">
        <f t="shared" si="16"/>
        <v>2.2399999999999998</v>
      </c>
      <c r="CZ38" s="42">
        <f>((Formula!C38)/(Formula!C38+Formula!E38+Formula!G38+Formula!I38+Formula!K38))*(INDEX(Properties!A$1:CB$87,Formula!B38,32))+((Formula!E38)/(Formula!C38+Formula!E38+Formula!G38+Formula!I38+Formula!K38))*(INDEX(Properties!A$1:CB$87,Formula!D38,32))+((Formula!G38)/(Formula!C38+Formula!E38+Formula!G38+Formula!I38+Formula!K38))*(INDEX(Properties!A$1:CB$87,Formula!F38,32))+((Formula!I38)/(Formula!C38+Formula!E38+Formula!G38+Formula!I38+Formula!K38))*(INDEX(Properties!A$1:CB$87,Formula!H38,32))+((Formula!K38)/(Formula!C38+Formula!E38+Formula!G38+Formula!I38+Formula!K38))*(INDEX(Properties!A$1:CB$87,Formula!J38,32))</f>
        <v>5.4887499999999996</v>
      </c>
      <c r="DA38" s="42">
        <f>Formula!C38*(INDEX(Properties!A$1:CB$87,Formula!B38,32))+Formula!E38*(INDEX(Properties!A$1:CB$87,Formula!D38,32))+Formula!G38*(INDEX(Properties!A$1:CB$87,Formula!F38,32))+Formula!I38*(INDEX(Properties!A$1:CB$87,Formula!H38,32))+Formula!K38*(INDEX(Properties!A$1:CB$87,Formula!J38,32))</f>
        <v>87.82</v>
      </c>
      <c r="DB38" s="42">
        <f>VARP(IF(INDEX(Properties!A$1:CB$87,Formula!B38,32)&lt;&gt;"",INDEX(Properties!A$1:CB$87,Formula!B38,32)),IF(INDEX(Properties!A$1:CB$87,Formula!D38,32)&lt;&gt;"",INDEX(Properties!A$1:CB$87,Formula!D38,32)),IF(INDEX(Properties!A$1:CB$87,Formula!F38,32)&lt;&gt;"",INDEX(Properties!A$1:CB$87,Formula!F38,32)),IF(INDEX(Properties!A$1:CB$87,Formula!H38,32)&lt;&gt;"",INDEX(Properties!A$1:CB$87,Formula!H38,32)),IF(INDEX(Properties!A$1:CB$87,Formula!J38,32)&lt;&gt;"",INDEX(Properties!A$1:CB$87,Formula!J38,32)))</f>
        <v>7.6616639999999991</v>
      </c>
      <c r="DC38" s="42">
        <f>MAX(INDEX(Properties!A$1:CB$87,Formula!B38,32),INDEX(Properties!A$1:CB$87,Formula!D38,32),INDEX(Properties!A$1:CB$87,Formula!F38,32),INDEX(Properties!A$1:CB$87,Formula!H38,32),INDEX(Properties!A$1:CB$87,Formula!J38,32))</f>
        <v>7.54</v>
      </c>
      <c r="DD38" s="42">
        <f>MIN(IF(INDEX(Properties!A$1:CB$87,Formula!B38,32)=0,10^6,INDEX(Properties!A$1:CB$87,Formula!B38,32)),IF(INDEX(Properties!A$1:CB$87,Formula!D38,32)=0,10^6,INDEX(Properties!A$1:CB$87,Formula!D38,32)),IF(INDEX(Properties!A$1:CB$87,Formula!F38,32)=0,10^6,INDEX(Properties!A$1:CB$87,Formula!F38,32)),IF(INDEX(Properties!A$1:CB$87,Formula!H38,32)=0,10^6,INDEX(Properties!A$1:CB$87,Formula!H38,32)),IF(INDEX(Properties!A$1:CB$87,Formula!J38,32)=0,10^6,INDEX(Properties!A$1:CB$87,Formula!J38,32)))</f>
        <v>2.4</v>
      </c>
      <c r="DE38" s="42">
        <f t="shared" si="17"/>
        <v>5.1400000000000006</v>
      </c>
      <c r="DF38" s="60">
        <f>((Formula!C38)/(Formula!C38+Formula!E38+Formula!G38+Formula!I38+Formula!K38))*(INDEX(Properties!A$1:CB$87,Formula!B38,34))+((Formula!E38)/(Formula!C38+Formula!E38+Formula!G38+Formula!I38+Formula!K38))*(INDEX(Properties!A$1:CB$87,Formula!D38,34))+((Formula!G38)/(Formula!C38+Formula!E38+Formula!G38+Formula!I38+Formula!K38))*(INDEX(Properties!A$1:CB$87,Formula!F38,34))+((Formula!I38)/(Formula!C38+Formula!E38+Formula!G38+Formula!I38+Formula!K38))*(INDEX(Properties!A$1:CB$87,Formula!H38,34))+((Formula!K38)/(Formula!C38+Formula!E38+Formula!G38+Formula!I38+Formula!K38))*(INDEX(Properties!A$1:CB$87,Formula!J38,34))</f>
        <v>2.4758125</v>
      </c>
      <c r="DG38" s="60">
        <f>Formula!C38*(INDEX(Properties!A$1:CB$87,Formula!B38,34))+Formula!E38*(INDEX(Properties!A$1:CB$87,Formula!D38,34))+Formula!G38*(INDEX(Properties!A$1:CB$87,Formula!F38,34))+Formula!I38*(INDEX(Properties!A$1:CB$87,Formula!H38,34))+Formula!K38*(INDEX(Properties!A$1:CB$87,Formula!J38,34))</f>
        <v>39.613</v>
      </c>
      <c r="DH38" s="60">
        <f>VARP(IF(INDEX(Properties!A$1:CB$87,Formula!B38,34)&lt;&gt;"",INDEX(Properties!A$1:CB$87,Formula!B38,34)),IF(INDEX(Properties!A$1:CB$87,Formula!D38,34)&lt;&gt;"",INDEX(Properties!A$1:CB$87,Formula!D38,34)),IF(INDEX(Properties!A$1:CB$87,Formula!F38,34)&lt;&gt;"",INDEX(Properties!A$1:CB$87,Formula!F38,34)),IF(INDEX(Properties!A$1:CB$87,Formula!H38,34)&lt;&gt;"",INDEX(Properties!A$1:CB$87,Formula!H38,34)),IF(INDEX(Properties!A$1:CB$87,Formula!J38,34)&lt;&gt;"",INDEX(Properties!A$1:CB$87,Formula!J38,34)))</f>
        <v>1.7531993599999998</v>
      </c>
      <c r="DI38" s="60">
        <f>MAX(INDEX(Properties!A$1:CB$87,Formula!B38,34),INDEX(Properties!A$1:CB$87,Formula!D38,34),INDEX(Properties!A$1:CB$87,Formula!F38,34),INDEX(Properties!A$1:CB$87,Formula!H38,34),INDEX(Properties!A$1:CB$87,Formula!J38,34))</f>
        <v>3.61</v>
      </c>
      <c r="DJ38" s="60">
        <f>MIN(IF(INDEX(Properties!A$1:CB$87,Formula!B38,34)=0,10^6,INDEX(Properties!A$1:CB$87,Formula!B38,34)),IF(INDEX(Properties!A$1:CB$87,Formula!D38,34)=0,10^6,INDEX(Properties!A$1:CB$87,Formula!D38,34)),IF(INDEX(Properties!A$1:CB$87,Formula!F38,34)=0,10^6,INDEX(Properties!A$1:CB$87,Formula!F38,34)),IF(INDEX(Properties!A$1:CB$87,Formula!H38,34)=0,10^6,INDEX(Properties!A$1:CB$87,Formula!H38,34)),IF(INDEX(Properties!A$1:CB$87,Formula!J38,34)=0,10^6,INDEX(Properties!A$1:CB$87,Formula!J38,34)))</f>
        <v>0.88100000000000001</v>
      </c>
      <c r="DK38" s="60">
        <f t="shared" si="18"/>
        <v>2.7290000000000001</v>
      </c>
      <c r="DL38" s="45">
        <f>((Formula!C38)/(Formula!C38+Formula!E38+Formula!G38+Formula!I38+Formula!K38))*(INDEX(Properties!A$1:CB$87,Formula!B38,39))+((Formula!E38)/(Formula!C38+Formula!E38+Formula!G38+Formula!I38+Formula!K38))*(INDEX(Properties!A$1:CB$87,Formula!D38,39))+((Formula!G38)/(Formula!C38+Formula!E38+Formula!G38+Formula!I38+Formula!K38))*(INDEX(Properties!A$1:CB$87,Formula!F38,39))+((Formula!I38)/(Formula!C38+Formula!E38+Formula!G38+Formula!I38+Formula!K38))*(INDEX(Properties!A$1:CB$87,Formula!H38,39))+((Formula!K38)/(Formula!C38+Formula!E38+Formula!G38+Formula!I38+Formula!K38))*(INDEX(Properties!A$1:CB$87,Formula!J38,39))</f>
        <v>1.274375</v>
      </c>
      <c r="DM38" s="45">
        <f>Formula!C38*(INDEX(Properties!A$1:CB$87,Formula!B38,39))+Formula!E38*(INDEX(Properties!A$1:CB$87,Formula!D38,39))+Formula!G38*(INDEX(Properties!A$1:CB$87,Formula!F38,39))+Formula!I38*(INDEX(Properties!A$1:CB$87,Formula!H38,39))+Formula!K38*(INDEX(Properties!A$1:CB$87,Formula!J38,39))</f>
        <v>20.39</v>
      </c>
      <c r="DN38" s="45">
        <f>VARP(IF(INDEX(Properties!A$1:CB$87,Formula!B38,39)&lt;&gt;"",INDEX(Properties!A$1:CB$87,Formula!B38,39)),IF(INDEX(Properties!A$1:CB$87,Formula!D38,39)&lt;&gt;"",INDEX(Properties!A$1:CB$87,Formula!D38,39)),IF(INDEX(Properties!A$1:CB$87,Formula!F38,39)&lt;&gt;"",INDEX(Properties!A$1:CB$87,Formula!F38,39)),IF(INDEX(Properties!A$1:CB$87,Formula!H38,39)&lt;&gt;"",INDEX(Properties!A$1:CB$87,Formula!H38,39)),IF(INDEX(Properties!A$1:CB$87,Formula!J38,39)&lt;&gt;"",INDEX(Properties!A$1:CB$87,Formula!J38,39)))</f>
        <v>1.1724639999999993</v>
      </c>
      <c r="DO38" s="45">
        <f>MAX(INDEX(Properties!A$1:CB$87,Formula!B38,39),INDEX(Properties!A$1:CB$87,Formula!D38,39),INDEX(Properties!A$1:CB$87,Formula!F38,39),INDEX(Properties!A$1:CB$87,Formula!H38,39),INDEX(Properties!A$1:CB$87,Formula!J38,39))</f>
        <v>2.5299999999999998</v>
      </c>
      <c r="DP38" s="45">
        <f>MIN(IF(INDEX(Properties!A$1:CB$87,Formula!B38,39)=0,10^6,INDEX(Properties!A$1:CB$87,Formula!B38,39)),IF(INDEX(Properties!A$1:CB$87,Formula!D38,39)=0,10^6,INDEX(Properties!A$1:CB$87,Formula!D38,39)),IF(INDEX(Properties!A$1:CB$87,Formula!F38,39)=0,10^6,INDEX(Properties!A$1:CB$87,Formula!F38,39)),IF(INDEX(Properties!A$1:CB$87,Formula!H38,39)=0,10^6,INDEX(Properties!A$1:CB$87,Formula!H38,39)),IF(INDEX(Properties!A$1:CB$87,Formula!J38,39)=0,10^6,INDEX(Properties!A$1:CB$87,Formula!J38,39)))</f>
        <v>0.48</v>
      </c>
      <c r="DQ38" s="45">
        <f t="shared" si="19"/>
        <v>2.0499999999999998</v>
      </c>
      <c r="DR38" s="63">
        <f>((Formula!C38)/(Formula!C38+Formula!E38+Formula!G38+Formula!I38+Formula!K38))*(INDEX(Properties!A$1:CB$87,Formula!B38,40))+((Formula!E38)/(Formula!C38+Formula!E38+Formula!G38+Formula!I38+Formula!K38))*(INDEX(Properties!A$1:CB$87,Formula!D38,40))+((Formula!G38)/(Formula!C38+Formula!E38+Formula!G38+Formula!I38+Formula!K38))*(INDEX(Properties!A$1:CB$87,Formula!F38,40))+((Formula!I38)/(Formula!C38+Formula!E38+Formula!G38+Formula!I38+Formula!K38))*(INDEX(Properties!A$1:CB$87,Formula!H38,40))+((Formula!K38)/(Formula!C38+Formula!E38+Formula!G38+Formula!I38+Formula!K38))*(INDEX(Properties!A$1:CB$87,Formula!J38,40))</f>
        <v>1.1868750000000001</v>
      </c>
      <c r="DS38" s="63">
        <f>Formula!C38*(INDEX(Properties!A$1:CB$87,Formula!B38,40))+Formula!E38*(INDEX(Properties!A$1:CB$87,Formula!D38,40))+Formula!G38*(INDEX(Properties!A$1:CB$87,Formula!F38,40))+Formula!I38*(INDEX(Properties!A$1:CB$87,Formula!H38,40))+Formula!K38*(INDEX(Properties!A$1:CB$87,Formula!J38,40))</f>
        <v>18.990000000000002</v>
      </c>
      <c r="DT38" s="63">
        <f>VARP(IF(INDEX(Properties!A$1:CB$87,Formula!B38,40)&lt;&gt;"",INDEX(Properties!A$1:CB$87,Formula!B38,40)),IF(INDEX(Properties!A$1:CB$87,Formula!D38,40)&lt;&gt;"",INDEX(Properties!A$1:CB$87,Formula!D38,40)),IF(INDEX(Properties!A$1:CB$87,Formula!F38,40)&lt;&gt;"",INDEX(Properties!A$1:CB$87,Formula!F38,40)),IF(INDEX(Properties!A$1:CB$87,Formula!H38,40)&lt;&gt;"",INDEX(Properties!A$1:CB$87,Formula!H38,40)),IF(INDEX(Properties!A$1:CB$87,Formula!J38,40)&lt;&gt;"",INDEX(Properties!A$1:CB$87,Formula!J38,40)))</f>
        <v>0.66558400000000006</v>
      </c>
      <c r="DU38" s="63">
        <f>MAX(INDEX(Properties!A$1:CB$87,Formula!B38,40),INDEX(Properties!A$1:CB$87,Formula!D38,40),INDEX(Properties!A$1:CB$87,Formula!F38,40),INDEX(Properties!A$1:CB$87,Formula!H38,40),INDEX(Properties!A$1:CB$87,Formula!J38,40))</f>
        <v>1.98</v>
      </c>
      <c r="DV38" s="63">
        <f>MIN(IF(INDEX(Properties!A$1:CB$87,Formula!B38,40)=0,10^6,INDEX(Properties!A$1:CB$87,Formula!B38,40)),IF(INDEX(Properties!A$1:CB$87,Formula!D38,40)=0,10^6,INDEX(Properties!A$1:CB$87,Formula!D38,40)),IF(INDEX(Properties!A$1:CB$87,Formula!F38,40)=0,10^6,INDEX(Properties!A$1:CB$87,Formula!F38,40)),IF(INDEX(Properties!A$1:CB$87,Formula!H38,40)=0,10^6,INDEX(Properties!A$1:CB$87,Formula!H38,40)),IF(INDEX(Properties!A$1:CB$87,Formula!J38,40)=0,10^6,INDEX(Properties!A$1:CB$87,Formula!J38,40)))</f>
        <v>0.73</v>
      </c>
      <c r="DW38" s="63">
        <f t="shared" si="20"/>
        <v>1.25</v>
      </c>
      <c r="DX38" s="75">
        <f>((Formula!C38)/(Formula!C38+Formula!E38+Formula!G38+Formula!I38+Formula!K38))*(INDEX(Properties!A$1:CB$87,Formula!B38,41))+((Formula!E38)/(Formula!C38+Formula!E38+Formula!G38+Formula!I38+Formula!K38))*(INDEX(Properties!A$1:CB$87,Formula!D38,41))+((Formula!G38)/(Formula!C38+Formula!E38+Formula!G38+Formula!I38+Formula!K38))*(INDEX(Properties!A$1:CB$87,Formula!F38,41))+((Formula!I38)/(Formula!C38+Formula!E38+Formula!G38+Formula!I38+Formula!K38))*(INDEX(Properties!A$1:CB$87,Formula!H38,41))+((Formula!K38)/(Formula!C38+Formula!E38+Formula!G38+Formula!I38+Formula!K38))*(INDEX(Properties!A$1:CB$87,Formula!J38,41))</f>
        <v>1.2481249999999999</v>
      </c>
      <c r="DY38" s="75">
        <f>Formula!C38*(INDEX(Properties!A$1:CB$87,Formula!B38,41))+Formula!E38*(INDEX(Properties!A$1:CB$87,Formula!D38,41))+Formula!G38*(INDEX(Properties!A$1:CB$87,Formula!F38,41))+Formula!I38*(INDEX(Properties!A$1:CB$87,Formula!H38,41))+Formula!K38*(INDEX(Properties!A$1:CB$87,Formula!J38,41))</f>
        <v>19.97</v>
      </c>
      <c r="DZ38" s="75">
        <f>VARP(IF(INDEX(Properties!A$1:CB$87,Formula!B38,41)&lt;&gt;"",INDEX(Properties!A$1:CB$87,Formula!B38,41)),IF(INDEX(Properties!A$1:CB$87,Formula!D38,41)&lt;&gt;"",INDEX(Properties!A$1:CB$87,Formula!D38,41)),IF(INDEX(Properties!A$1:CB$87,Formula!F38,41)&lt;&gt;"",INDEX(Properties!A$1:CB$87,Formula!F38,41)),IF(INDEX(Properties!A$1:CB$87,Formula!H38,41)&lt;&gt;"",INDEX(Properties!A$1:CB$87,Formula!H38,41)),IF(INDEX(Properties!A$1:CB$87,Formula!J38,41)&lt;&gt;"",INDEX(Properties!A$1:CB$87,Formula!J38,41)))</f>
        <v>0.40329599999999999</v>
      </c>
      <c r="EA38" s="75">
        <f>MAX(INDEX(Properties!A$1:CB$87,Formula!B38,41),INDEX(Properties!A$1:CB$87,Formula!D38,41),INDEX(Properties!A$1:CB$87,Formula!F38,41),INDEX(Properties!A$1:CB$87,Formula!H38,41),INDEX(Properties!A$1:CB$87,Formula!J38,41))</f>
        <v>1.49</v>
      </c>
      <c r="EB38" s="75">
        <f>MIN(IF(INDEX(Properties!A$1:CB$87,Formula!B38,41)=0,10^6,INDEX(Properties!A$1:CB$87,Formula!B38,41)),IF(INDEX(Properties!A$1:CB$87,Formula!D38,41)=0,10^6,INDEX(Properties!A$1:CB$87,Formula!D38,41)),IF(INDEX(Properties!A$1:CB$87,Formula!F38,41)=0,10^6,INDEX(Properties!A$1:CB$87,Formula!F38,41)),IF(INDEX(Properties!A$1:CB$87,Formula!H38,41)=0,10^6,INDEX(Properties!A$1:CB$87,Formula!H38,41)),IF(INDEX(Properties!A$1:CB$87,Formula!J38,41)=0,10^6,INDEX(Properties!A$1:CB$87,Formula!J38,41)))</f>
        <v>1.04</v>
      </c>
      <c r="EC38" s="75">
        <f t="shared" si="21"/>
        <v>0.44999999999999996</v>
      </c>
      <c r="ED38" s="48">
        <f>((Formula!C38)/(Formula!C38+Formula!E38+Formula!G38+Formula!I38+Formula!K38))*(INDEX(Properties!A$1:CB$87,Formula!B38,45))+((Formula!E38)/(Formula!C38+Formula!E38+Formula!G38+Formula!I38+Formula!K38))*(INDEX(Properties!A$1:CB$87,Formula!D38,45))+((Formula!G38)/(Formula!C38+Formula!E38+Formula!G38+Formula!I38+Formula!K38))*(INDEX(Properties!A$1:CB$87,Formula!F38,45))+((Formula!I38)/(Formula!C38+Formula!E38+Formula!G38+Formula!I38+Formula!K38))*(INDEX(Properties!A$1:CB$87,Formula!H38,45))+((Formula!K38)/(Formula!C38+Formula!E38+Formula!G38+Formula!I38+Formula!K38))*(INDEX(Properties!A$1:CB$87,Formula!J38,45))</f>
        <v>1.6368750000000001</v>
      </c>
      <c r="EE38" s="48">
        <f>Formula!C38*(INDEX(Properties!A$1:CB$87,Formula!B38,45))+Formula!E38*(INDEX(Properties!A$1:CB$87,Formula!D38,45))+Formula!G38*(INDEX(Properties!A$1:CB$87,Formula!F38,45))+Formula!I38*(INDEX(Properties!A$1:CB$87,Formula!H38,45))+Formula!K38*(INDEX(Properties!A$1:CB$87,Formula!J38,45))</f>
        <v>26.19</v>
      </c>
      <c r="EF38" s="48">
        <f>VARP(IF(INDEX(Properties!A$1:CB$87,Formula!B38,45)&lt;&gt;"",INDEX(Properties!A$1:CB$87,Formula!B38,45)),IF(INDEX(Properties!A$1:CB$87,Formula!D38,45)&lt;&gt;"",INDEX(Properties!A$1:CB$87,Formula!D38,45)),IF(INDEX(Properties!A$1:CB$87,Formula!F38,45)&lt;&gt;"",INDEX(Properties!A$1:CB$87,Formula!F38,45)),IF(INDEX(Properties!A$1:CB$87,Formula!H38,45)&lt;&gt;"",INDEX(Properties!A$1:CB$87,Formula!H38,45)),IF(INDEX(Properties!A$1:CB$87,Formula!J38,45)&lt;&gt;"",INDEX(Properties!A$1:CB$87,Formula!J38,45)))</f>
        <v>2.2298559999999998</v>
      </c>
      <c r="EG38" s="48">
        <f>MAX(INDEX(Properties!A$1:CB$87,Formula!B38,45),INDEX(Properties!A$1:CB$87,Formula!D38,45),INDEX(Properties!A$1:CB$87,Formula!F38,45),INDEX(Properties!A$1:CB$87,Formula!H38,45),INDEX(Properties!A$1:CB$87,Formula!J38,45))</f>
        <v>3.4</v>
      </c>
      <c r="EH38" s="48">
        <f>MIN(IF(INDEX(Properties!A$1:CB$87,Formula!B38,45)=0,10^6,INDEX(Properties!A$1:CB$87,Formula!B38,45)),IF(INDEX(Properties!A$1:CB$87,Formula!D38,45)=0,10^6,INDEX(Properties!A$1:CB$87,Formula!D38,45)),IF(INDEX(Properties!A$1:CB$87,Formula!F38,45)=0,10^6,INDEX(Properties!A$1:CB$87,Formula!F38,45)),IF(INDEX(Properties!A$1:CB$87,Formula!H38,45)=0,10^6,INDEX(Properties!A$1:CB$87,Formula!H38,45)),IF(INDEX(Properties!A$1:CB$87,Formula!J38,45)=0,10^6,INDEX(Properties!A$1:CB$87,Formula!J38,45)))</f>
        <v>0.47</v>
      </c>
      <c r="EI38" s="48">
        <f t="shared" si="22"/>
        <v>2.9299999999999997</v>
      </c>
      <c r="EJ38" s="66">
        <f>((Formula!C38)/(Formula!C38+Formula!E38+Formula!G38+Formula!I38+Formula!K38))*(INDEX(Properties!A$1:CB$87,Formula!B38,46))+((Formula!E38)/(Formula!C38+Formula!E38+Formula!G38+Formula!I38+Formula!K38))*(INDEX(Properties!A$1:CB$87,Formula!D38,46))+((Formula!G38)/(Formula!C38+Formula!E38+Formula!G38+Formula!I38+Formula!K38))*(INDEX(Properties!A$1:CB$87,Formula!F38,46))+((Formula!I38)/(Formula!C38+Formula!E38+Formula!G38+Formula!I38+Formula!K38))*(INDEX(Properties!A$1:CB$87,Formula!H38,46))+((Formula!K38)/(Formula!C38+Formula!E38+Formula!G38+Formula!I38+Formula!K38))*(INDEX(Properties!A$1:CB$87,Formula!J38,46))</f>
        <v>1.22</v>
      </c>
      <c r="EK38" s="66">
        <f>Formula!C38*(INDEX(Properties!A$1:CB$87,Formula!B38,46))+Formula!E38*(INDEX(Properties!A$1:CB$87,Formula!D38,46))+Formula!G38*(INDEX(Properties!A$1:CB$87,Formula!F38,46))+Formula!I38*(INDEX(Properties!A$1:CB$87,Formula!H38,46))+Formula!K38*(INDEX(Properties!A$1:CB$87,Formula!J38,46))</f>
        <v>19.52</v>
      </c>
      <c r="EL38" s="66">
        <f>VARP(IF(INDEX(Properties!A$1:CB$87,Formula!B38,46)&lt;&gt;"",INDEX(Properties!A$1:CB$87,Formula!B38,46)),IF(INDEX(Properties!A$1:CB$87,Formula!D38,46)&lt;&gt;"",INDEX(Properties!A$1:CB$87,Formula!D38,46)),IF(INDEX(Properties!A$1:CB$87,Formula!F38,46)&lt;&gt;"",INDEX(Properties!A$1:CB$87,Formula!F38,46)),IF(INDEX(Properties!A$1:CB$87,Formula!H38,46)&lt;&gt;"",INDEX(Properties!A$1:CB$87,Formula!H38,46)),IF(INDEX(Properties!A$1:CB$87,Formula!J38,46)&lt;&gt;"",INDEX(Properties!A$1:CB$87,Formula!J38,46)))</f>
        <v>0.39365599999999995</v>
      </c>
      <c r="EM38" s="66">
        <f>MAX(INDEX(Properties!A$1:CB$87,Formula!B38,46),INDEX(Properties!A$1:CB$87,Formula!D38,46),INDEX(Properties!A$1:CB$87,Formula!F38,46),INDEX(Properties!A$1:CB$87,Formula!H38,46),INDEX(Properties!A$1:CB$87,Formula!J38,46))</f>
        <v>1.49</v>
      </c>
      <c r="EN38" s="66">
        <f>MIN(IF(INDEX(Properties!A$1:CB$87,Formula!B38,46)=0,10^6,INDEX(Properties!A$1:CB$87,Formula!B38,46)),IF(INDEX(Properties!A$1:CB$87,Formula!D38,46)=0,10^6,INDEX(Properties!A$1:CB$87,Formula!D38,46)),IF(INDEX(Properties!A$1:CB$87,Formula!F38,46)=0,10^6,INDEX(Properties!A$1:CB$87,Formula!F38,46)),IF(INDEX(Properties!A$1:CB$87,Formula!H38,46)=0,10^6,INDEX(Properties!A$1:CB$87,Formula!H38,46)),IF(INDEX(Properties!A$1:CB$87,Formula!J38,46)=0,10^6,INDEX(Properties!A$1:CB$87,Formula!J38,46)))</f>
        <v>1.04</v>
      </c>
      <c r="EO38" s="66">
        <f t="shared" si="23"/>
        <v>0.44999999999999996</v>
      </c>
      <c r="EP38" s="81">
        <f>((Formula!C38)/(Formula!C38+Formula!E38+Formula!G38+Formula!I38+Formula!K38))*(INDEX(Properties!A$1:CB$87,Formula!B38,52))+((Formula!E38)/(Formula!C38+Formula!E38+Formula!G38+Formula!I38+Formula!K38))*(INDEX(Properties!A$1:CB$87,Formula!D38,52))+((Formula!G38)/(Formula!C38+Formula!E38+Formula!G38+Formula!I38+Formula!K38))*(INDEX(Properties!A$1:CB$87,Formula!F38,52))+((Formula!I38)/(Formula!C38+Formula!E38+Formula!G38+Formula!I38+Formula!K38))*(INDEX(Properties!A$1:CB$87,Formula!H38,52))+((Formula!K38)/(Formula!C38+Formula!E38+Formula!G38+Formula!I38+Formula!K38))*(INDEX(Properties!A$1:CB$87,Formula!J38,52))</f>
        <v>13.5648125</v>
      </c>
      <c r="EQ38" s="81">
        <f>Formula!C38*(INDEX(Properties!A$1:CB$87,Formula!B38,52))+Formula!E38*(INDEX(Properties!A$1:CB$87,Formula!D38,52))+Formula!G38*(INDEX(Properties!A$1:CB$87,Formula!F38,52))+Formula!I38*(INDEX(Properties!A$1:CB$87,Formula!H38,52))+Formula!K38*(INDEX(Properties!A$1:CB$87,Formula!J38,52))</f>
        <v>217.03700000000001</v>
      </c>
      <c r="ER38" s="81">
        <f>VARP(IF(INDEX(Properties!A$1:CB$87,Formula!B38,52)&lt;&gt;"",INDEX(Properties!A$1:CB$87,Formula!B38,52)),IF(INDEX(Properties!A$1:CB$87,Formula!D38,52)&lt;&gt;"",INDEX(Properties!A$1:CB$87,Formula!D38,52)),IF(INDEX(Properties!A$1:CB$87,Formula!F38,52)&lt;&gt;"",INDEX(Properties!A$1:CB$87,Formula!F38,52)),IF(INDEX(Properties!A$1:CB$87,Formula!H38,52)&lt;&gt;"",INDEX(Properties!A$1:CB$87,Formula!H38,52)),IF(INDEX(Properties!A$1:CB$87,Formula!J38,52)&lt;&gt;"",INDEX(Properties!A$1:CB$87,Formula!J38,52)))</f>
        <v>258.66755984000002</v>
      </c>
      <c r="ES38" s="81">
        <f>MAX(INDEX(Properties!A$1:CB$87,Formula!B38,52),INDEX(Properties!A$1:CB$87,Formula!D38,52),INDEX(Properties!A$1:CB$87,Formula!F38,52),INDEX(Properties!A$1:CB$87,Formula!H38,52),INDEX(Properties!A$1:CB$87,Formula!J38,52))</f>
        <v>39.700000000000003</v>
      </c>
      <c r="ET38" s="81">
        <f>MIN(IF(INDEX(Properties!A$1:CB$87,Formula!B38,52)=0,10^6,INDEX(Properties!A$1:CB$87,Formula!B38,52)),IF(INDEX(Properties!A$1:CB$87,Formula!D38,52)=0,10^6,INDEX(Properties!A$1:CB$87,Formula!D38,52)),IF(INDEX(Properties!A$1:CB$87,Formula!F38,52)=0,10^6,INDEX(Properties!A$1:CB$87,Formula!F38,52)),IF(INDEX(Properties!A$1:CB$87,Formula!H38,52)=0,10^6,INDEX(Properties!A$1:CB$87,Formula!H38,52)),IF(INDEX(Properties!A$1:CB$87,Formula!J38,52)=0,10^6,INDEX(Properties!A$1:CB$87,Formula!J38,52)))</f>
        <v>0.79300000000000004</v>
      </c>
      <c r="EU38" s="81">
        <f t="shared" si="24"/>
        <v>38.907000000000004</v>
      </c>
      <c r="EV38" s="39">
        <f>((Formula!C38)/(Formula!C38+Formula!E38+Formula!G38+Formula!I38+Formula!K38))*(INDEX(Properties!A$1:CB$87,Formula!B38,53))+((Formula!E38)/(Formula!C38+Formula!E38+Formula!G38+Formula!I38+Formula!K38))*(INDEX(Properties!A$1:CB$87,Formula!D38,53))+((Formula!G38)/(Formula!C38+Formula!E38+Formula!G38+Formula!I38+Formula!K38))*(INDEX(Properties!A$1:CB$87,Formula!F38,53))+((Formula!I38)/(Formula!C38+Formula!E38+Formula!G38+Formula!I38+Formula!K38))*(INDEX(Properties!A$1:CB$87,Formula!H38,53))+((Formula!K38)/(Formula!C38+Formula!E38+Formula!G38+Formula!I38+Formula!K38))*(INDEX(Properties!A$1:CB$87,Formula!J38,53))</f>
        <v>666.98749999999995</v>
      </c>
      <c r="EW38" s="39">
        <f>Formula!C38*(INDEX(Properties!A$1:CB$87,Formula!B38,53))+Formula!E38*(INDEX(Properties!A$1:CB$87,Formula!D38,53))+Formula!G38*(INDEX(Properties!A$1:CB$87,Formula!F38,53))+Formula!I38*(INDEX(Properties!A$1:CB$87,Formula!H38,53))+Formula!K38*(INDEX(Properties!A$1:CB$87,Formula!J38,53))</f>
        <v>10671.8</v>
      </c>
      <c r="EX38" s="39">
        <f>VARP(IF(INDEX(Properties!A$1:CB$87,Formula!B38,53)&lt;&gt;"",INDEX(Properties!A$1:CB$87,Formula!B38,53)),IF(INDEX(Properties!A$1:CB$87,Formula!D38,53)&lt;&gt;"",INDEX(Properties!A$1:CB$87,Formula!D38,53)),IF(INDEX(Properties!A$1:CB$87,Formula!F38,53)&lt;&gt;"",INDEX(Properties!A$1:CB$87,Formula!F38,53)),IF(INDEX(Properties!A$1:CB$87,Formula!H38,53)&lt;&gt;"",INDEX(Properties!A$1:CB$87,Formula!H38,53)),IF(INDEX(Properties!A$1:CB$87,Formula!J38,53)&lt;&gt;"",INDEX(Properties!A$1:CB$87,Formula!J38,53)))</f>
        <v>520407.72540000005</v>
      </c>
      <c r="EY38" s="39">
        <f>MAX(INDEX(Properties!A$1:CB$87,Formula!B38,53),INDEX(Properties!A$1:CB$87,Formula!D38,53),INDEX(Properties!A$1:CB$87,Formula!F38,53),INDEX(Properties!A$1:CB$87,Formula!H38,53),INDEX(Properties!A$1:CB$87,Formula!J38,53))</f>
        <v>1796.15</v>
      </c>
      <c r="EZ38" s="39">
        <f>MIN(IF(INDEX(Properties!A$1:CB$87,Formula!B38,53)=0,10^6,INDEX(Properties!A$1:CB$87,Formula!B38,53)),IF(INDEX(Properties!A$1:CB$87,Formula!D38,53)=0,10^6,INDEX(Properties!A$1:CB$87,Formula!D38,53)),IF(INDEX(Properties!A$1:CB$87,Formula!F38,53)=0,10^6,INDEX(Properties!A$1:CB$87,Formula!F38,53)),IF(INDEX(Properties!A$1:CB$87,Formula!H38,53)=0,10^6,INDEX(Properties!A$1:CB$87,Formula!H38,53)),IF(INDEX(Properties!A$1:CB$87,Formula!J38,53)=0,10^6,INDEX(Properties!A$1:CB$87,Formula!J38,53)))</f>
        <v>54.749999999999972</v>
      </c>
      <c r="FA38" s="39">
        <f t="shared" si="25"/>
        <v>1741.4</v>
      </c>
      <c r="FB38" s="54">
        <f>((Formula!C38)/(Formula!C38+Formula!E38+Formula!G38+Formula!I38+Formula!K38))*(INDEX(Properties!A$1:CB$87,Formula!B38,54))+((Formula!E38)/(Formula!C38+Formula!E38+Formula!G38+Formula!I38+Formula!K38))*(INDEX(Properties!A$1:CB$87,Formula!D38,54))+((Formula!G38)/(Formula!C38+Formula!E38+Formula!G38+Formula!I38+Formula!K38))*(INDEX(Properties!A$1:CB$87,Formula!F38,54))+((Formula!I38)/(Formula!C38+Formula!E38+Formula!G38+Formula!I38+Formula!K38))*(INDEX(Properties!A$1:CB$87,Formula!H38,54))+((Formula!K38)/(Formula!C38+Formula!E38+Formula!G38+Formula!I38+Formula!K38))*(INDEX(Properties!A$1:CB$87,Formula!J38,54))</f>
        <v>1311.9625000000001</v>
      </c>
      <c r="FC38" s="54">
        <f>Formula!C38*(INDEX(Properties!A$1:CB$87,Formula!B38,54))+Formula!E38*(INDEX(Properties!A$1:CB$87,Formula!D38,54))+Formula!G38*(INDEX(Properties!A$1:CB$87,Formula!F38,54))+Formula!I38*(INDEX(Properties!A$1:CB$87,Formula!H38,54))+Formula!K38*(INDEX(Properties!A$1:CB$87,Formula!J38,54))</f>
        <v>20991.4</v>
      </c>
      <c r="FD38" s="54">
        <f>VARP(IF(INDEX(Properties!A$1:CB$87,Formula!B38,54)&lt;&gt;"",INDEX(Properties!A$1:CB$87,Formula!B38,54)),IF(INDEX(Properties!A$1:CB$87,Formula!D38,54)&lt;&gt;"",INDEX(Properties!A$1:CB$87,Formula!D38,54)),IF(INDEX(Properties!A$1:CB$87,Formula!F38,54)&lt;&gt;"",INDEX(Properties!A$1:CB$87,Formula!F38,54)),IF(INDEX(Properties!A$1:CB$87,Formula!H38,54)&lt;&gt;"",INDEX(Properties!A$1:CB$87,Formula!H38,54)),IF(INDEX(Properties!A$1:CB$87,Formula!J38,54)&lt;&gt;"",INDEX(Properties!A$1:CB$87,Formula!J38,54)))</f>
        <v>2079857.7574000005</v>
      </c>
      <c r="FE38" s="54">
        <f>MAX(INDEX(Properties!A$1:CB$87,Formula!B38,54),INDEX(Properties!A$1:CB$87,Formula!D38,54),INDEX(Properties!A$1:CB$87,Formula!F38,54),INDEX(Properties!A$1:CB$87,Formula!H38,54),INDEX(Properties!A$1:CB$87,Formula!J38,54))</f>
        <v>3610.15</v>
      </c>
      <c r="FF38" s="54">
        <f>MIN(IF(INDEX(Properties!A$1:CB$87,Formula!B38,54)=0,10^6,INDEX(Properties!A$1:CB$87,Formula!B38,54)),IF(INDEX(Properties!A$1:CB$87,Formula!D38,54)=0,10^6,INDEX(Properties!A$1:CB$87,Formula!D38,54)),IF(INDEX(Properties!A$1:CB$87,Formula!F38,54)=0,10^6,INDEX(Properties!A$1:CB$87,Formula!F38,54)),IF(INDEX(Properties!A$1:CB$87,Formula!H38,54)=0,10^6,INDEX(Properties!A$1:CB$87,Formula!H38,54)),IF(INDEX(Properties!A$1:CB$87,Formula!J38,54)=0,10^6,INDEX(Properties!A$1:CB$87,Formula!J38,54)))</f>
        <v>90.149999999999977</v>
      </c>
      <c r="FG38" s="54">
        <f t="shared" si="26"/>
        <v>3520</v>
      </c>
      <c r="FH38" s="69">
        <f>((Formula!C38)/(Formula!C38+Formula!E38+Formula!G38+Formula!I38+Formula!K38))*(INDEX(Properties!A$1:CB$87,Formula!B38,55))+((Formula!E38)/(Formula!C38+Formula!E38+Formula!G38+Formula!I38+Formula!K38))*(INDEX(Properties!A$1:CB$87,Formula!D38,55))+((Formula!G38)/(Formula!C38+Formula!E38+Formula!G38+Formula!I38+Formula!K38))*(INDEX(Properties!A$1:CB$87,Formula!F38,55))+((Formula!I38)/(Formula!C38+Formula!E38+Formula!G38+Formula!I38+Formula!K38))*(INDEX(Properties!A$1:CB$87,Formula!H38,55))+((Formula!K38)/(Formula!C38+Formula!E38+Formula!G38+Formula!I38+Formula!K38))*(INDEX(Properties!A$1:CB$87,Formula!J38,55))</f>
        <v>1.7745543749999999</v>
      </c>
      <c r="FI38" s="69">
        <f>Formula!C38*(INDEX(Properties!A$1:CB$87,Formula!B38,55))+Formula!E38*(INDEX(Properties!A$1:CB$87,Formula!D38,54))+Formula!G38*(INDEX(Properties!A$1:CB$87,Formula!F38,55))+Formula!I38*(INDEX(Properties!A$1:CB$87,Formula!H38,55))+Formula!K38*(INDEX(Properties!A$1:CB$87,Formula!J38,55))</f>
        <v>14451.112870000001</v>
      </c>
      <c r="FJ38" s="69">
        <f>VARP(IF(INDEX(Properties!A$1:CB$87,Formula!B38,55)&lt;&gt;"",INDEX(Properties!A$1:CB$87,Formula!B38,55)),IF(INDEX(Properties!A$1:CB$87,Formula!D38,55)&lt;&gt;"",INDEX(Properties!A$1:CB$87,Formula!D38,55)),IF(INDEX(Properties!A$1:CB$87,Formula!F38,55)&lt;&gt;"",INDEX(Properties!A$1:CB$87,Formula!F38,55)),IF(INDEX(Properties!A$1:CB$87,Formula!H38,55)&lt;&gt;"",INDEX(Properties!A$1:CB$87,Formula!H38,55)),IF(INDEX(Properties!A$1:CB$87,Formula!J38,55)&lt;&gt;"",INDEX(Properties!A$1:CB$87,Formula!J38,55)))</f>
        <v>3.9044325591840003</v>
      </c>
      <c r="FK38" s="69">
        <f>MAX(INDEX(Properties!A$1:CB$87,Formula!B38,55),INDEX(Properties!A$1:CB$87,Formula!D38,55),INDEX(Properties!A$1:CB$87,Formula!F38,55),INDEX(Properties!A$1:CB$87,Formula!H38,55),INDEX(Properties!A$1:CB$87,Formula!J38,55))</f>
        <v>4.47</v>
      </c>
      <c r="FL38" s="69">
        <f>MIN(IF(INDEX(Properties!A$1:CB$87,Formula!B38,55)=0,10^6,INDEX(Properties!A$1:CB$87,Formula!B38,55)),IF(INDEX(Properties!A$1:CB$87,Formula!D38,55)=0,10^6,INDEX(Properties!A$1:CB$87,Formula!D38,55)),IF(INDEX(Properties!A$1:CB$87,Formula!F38,55)=0,10^6,INDEX(Properties!A$1:CB$87,Formula!F38,55)),IF(INDEX(Properties!A$1:CB$87,Formula!H38,55)=0,10^6,INDEX(Properties!A$1:CB$87,Formula!H38,55)),IF(INDEX(Properties!A$1:CB$87,Formula!J38,55)=0,10^6,INDEX(Properties!A$1:CB$87,Formula!J38,55)))</f>
        <v>1.4300000000000001E-3</v>
      </c>
      <c r="FM38" s="69">
        <f t="shared" si="27"/>
        <v>4.4685699999999997</v>
      </c>
      <c r="FN38" s="42">
        <f>((Formula!C38)/(Formula!C38+Formula!E38+Formula!G38+Formula!I38+Formula!K38))*(INDEX(Properties!A$1:CB$87,Formula!B38,56))+((Formula!E38)/(Formula!C38+Formula!E38+Formula!G38+Formula!I38+Formula!K38))*(INDEX(Properties!A$1:CB$87,Formula!D38,56))+((Formula!G38)/(Formula!C38+Formula!E38+Formula!G38+Formula!I38+Formula!K38))*(INDEX(Properties!A$1:CB$87,Formula!F38,56))+((Formula!I38)/(Formula!C38+Formula!E38+Formula!G38+Formula!I38+Formula!K38))*(INDEX(Properties!A$1:CB$87,Formula!H38,56))+((Formula!K38)/(Formula!C38+Formula!E38+Formula!G38+Formula!I38+Formula!K38))*(INDEX(Properties!A$1:CB$87,Formula!J38,56))</f>
        <v>0.63075000000000003</v>
      </c>
      <c r="FO38" s="42">
        <f>Formula!C38*(INDEX(Properties!A$1:CB$87,Formula!B38,56))+Formula!E38*(INDEX(Properties!A$1:CB$87,Formula!D38,56))+Formula!G38*(INDEX(Properties!A$1:CB$87,Formula!F38,56))+Formula!I38*(INDEX(Properties!A$1:CB$87,Formula!H38,56))+Formula!K38*(INDEX(Properties!A$1:CB$87,Formula!J38,56))</f>
        <v>10.092000000000001</v>
      </c>
      <c r="FP38" s="42">
        <f>VARP(IF(INDEX(Properties!A$1:CB$87,Formula!B38,56)&lt;&gt;"",INDEX(Properties!A$1:CB$87,Formula!B38,56)),IF(INDEX(Properties!A$1:CB$87,Formula!D38,56)&lt;&gt;"",INDEX(Properties!A$1:CB$87,Formula!D38,56)),IF(INDEX(Properties!A$1:CB$87,Formula!F38,56)&lt;&gt;"",INDEX(Properties!A$1:CB$87,Formula!F38,56)),IF(INDEX(Properties!A$1:CB$87,Formula!H38,56)&lt;&gt;"",INDEX(Properties!A$1:CB$87,Formula!H38,56)),IF(INDEX(Properties!A$1:CB$87,Formula!J38,56)&lt;&gt;"",INDEX(Properties!A$1:CB$87,Formula!J38,56)))</f>
        <v>0.11449216000000001</v>
      </c>
      <c r="FQ38" s="42">
        <f>MAX(INDEX(Properties!A$1:CB$87,Formula!B38,56),INDEX(Properties!A$1:CB$87,Formula!D38,56),INDEX(Properties!A$1:CB$87,Formula!F38,56),INDEX(Properties!A$1:CB$87,Formula!H38,56),INDEX(Properties!A$1:CB$87,Formula!J38,56))</f>
        <v>0.92</v>
      </c>
      <c r="FR38" s="42">
        <f>MIN(IF(INDEX(Properties!A$1:CB$87,Formula!B38,56)=0,10^6,INDEX(Properties!A$1:CB$87,Formula!B38,56)),IF(INDEX(Properties!A$1:CB$87,Formula!D38,56)=0,10^6,INDEX(Properties!A$1:CB$87,Formula!D38,56)),IF(INDEX(Properties!A$1:CB$87,Formula!F38,56)=0,10^6,INDEX(Properties!A$1:CB$87,Formula!F38,56)),IF(INDEX(Properties!A$1:CB$87,Formula!H38,56)=0,10^6,INDEX(Properties!A$1:CB$87,Formula!H38,56)),IF(INDEX(Properties!A$1:CB$87,Formula!J38,56)=0,10^6,INDEX(Properties!A$1:CB$87,Formula!J38,56)))</f>
        <v>0.20399999999999999</v>
      </c>
      <c r="FS38" s="42">
        <f t="shared" si="28"/>
        <v>0.71600000000000008</v>
      </c>
      <c r="FT38" s="60">
        <f>((Formula!C38)/(Formula!C38+Formula!E38+Formula!G38+Formula!I38+Formula!K38))*(INDEX(Properties!A$1:CB$87,Formula!B38,57))+((Formula!E38)/(Formula!C38+Formula!E38+Formula!G38+Formula!I38+Formula!K38))*(INDEX(Properties!A$1:CB$87,Formula!D38,57))+((Formula!G38)/(Formula!C38+Formula!E38+Formula!G38+Formula!I38+Formula!K38))*(INDEX(Properties!A$1:CB$87,Formula!F38,57))+((Formula!I38)/(Formula!C38+Formula!E38+Formula!G38+Formula!I38+Formula!K38))*(INDEX(Properties!A$1:CB$87,Formula!H38,57))+((Formula!K38)/(Formula!C38+Formula!E38+Formula!G38+Formula!I38+Formula!K38))*(INDEX(Properties!A$1:CB$87,Formula!J38,57))</f>
        <v>4.4283318749999996</v>
      </c>
      <c r="FU38" s="60">
        <f>Formula!C38*(INDEX(Properties!A$1:CB$87,Formula!B38,57))+Formula!E38*(INDEX(Properties!A$1:CB$87,Formula!D38,57))+Formula!G38*(INDEX(Properties!A$1:CB$87,Formula!F38,57))+Formula!I38*(INDEX(Properties!A$1:CB$87,Formula!H38,57))+Formula!K38*(INDEX(Properties!A$1:CB$87,Formula!J38,57))</f>
        <v>70.853309999999993</v>
      </c>
      <c r="FV38" s="60">
        <f>VARP(IF(INDEX(Properties!A$1:CB$87,Formula!B38,57)&lt;&gt;"",INDEX(Properties!A$1:CB$87,Formula!B38,57)),IF(INDEX(Properties!A$1:CB$87,Formula!D38,57)&lt;&gt;"",INDEX(Properties!A$1:CB$87,Formula!D38,57)),IF(INDEX(Properties!A$1:CB$87,Formula!F38,57)&lt;&gt;"",INDEX(Properties!A$1:CB$87,Formula!F38,57)),IF(INDEX(Properties!A$1:CB$87,Formula!H38,57)&lt;&gt;"",INDEX(Properties!A$1:CB$87,Formula!H38,57)),IF(INDEX(Properties!A$1:CB$87,Formula!J38,57)&lt;&gt;"",INDEX(Properties!A$1:CB$87,Formula!J38,57)))</f>
        <v>23.002519529296002</v>
      </c>
      <c r="FW38" s="60">
        <f>MAX(INDEX(Properties!A$1:CB$87,Formula!B38,57),INDEX(Properties!A$1:CB$87,Formula!D38,57),INDEX(Properties!A$1:CB$87,Formula!F38,57),INDEX(Properties!A$1:CB$87,Formula!H38,57),INDEX(Properties!A$1:CB$87,Formula!J38,57))</f>
        <v>11.4</v>
      </c>
      <c r="FX38" s="60">
        <f>MIN(IF(INDEX(Properties!A$1:CB$87,Formula!B38,57)=0,10^6,INDEX(Properties!A$1:CB$87,Formula!B38,57)),IF(INDEX(Properties!A$1:CB$87,Formula!D38,57)=0,10^6,INDEX(Properties!A$1:CB$87,Formula!D38,57)),IF(INDEX(Properties!A$1:CB$87,Formula!F38,57)=0,10^6,INDEX(Properties!A$1:CB$87,Formula!F38,57)),IF(INDEX(Properties!A$1:CB$87,Formula!H38,57)=0,10^6,INDEX(Properties!A$1:CB$87,Formula!H38,57)),IF(INDEX(Properties!A$1:CB$87,Formula!J38,57)=0,10^6,INDEX(Properties!A$1:CB$87,Formula!J38,57)))</f>
        <v>0.22259000000000001</v>
      </c>
      <c r="FY38" s="60">
        <f t="shared" si="29"/>
        <v>11.17741</v>
      </c>
      <c r="FZ38" s="72">
        <f>((Formula!C38)/(Formula!C38+Formula!E38+Formula!G38+Formula!I38+Formula!K38))*(INDEX(Properties!A$1:CB$87,Formula!B38,60))+((Formula!E38)/(Formula!C38+Formula!E38+Formula!G38+Formula!I38+Formula!K38))*(INDEX(Properties!A$1:CB$87,Formula!D38,60))+((Formula!G38)/(Formula!C38+Formula!E38+Formula!G38+Formula!I38+Formula!K38))*(INDEX(Properties!A$1:CB$87,Formula!F38,60))+((Formula!I38)/(Formula!C38+Formula!E38+Formula!G38+Formula!I38+Formula!K38))*(INDEX(Properties!A$1:CB$87,Formula!H38,60))+((Formula!K38)/(Formula!C38+Formula!E38+Formula!G38+Formula!I38+Formula!K38))*(INDEX(Properties!A$1:CB$87,Formula!J38,60))</f>
        <v>7.7650412500000003</v>
      </c>
      <c r="GA38" s="72">
        <f>Formula!C38*(INDEX(Properties!A$1:CB$87,Formula!B38,60))+Formula!E38*(INDEX(Properties!A$1:CB$87,Formula!D38,60))+Formula!G38*(INDEX(Properties!A$1:CB$87,Formula!F38,60))+Formula!I38*(INDEX(Properties!A$1:CB$87,Formula!H38,60))+Formula!K38*(INDEX(Properties!A$1:CB$87,Formula!J38,60))</f>
        <v>124.24066000000001</v>
      </c>
      <c r="GB38" s="72">
        <f>VARP(IF(INDEX(Properties!A$1:CB$87,Formula!B38,60)&lt;&gt;"",INDEX(Properties!A$1:CB$87,Formula!B38,60)),IF(INDEX(Properties!A$1:CB$87,Formula!D38,60)&lt;&gt;"",INDEX(Properties!A$1:CB$87,Formula!D38,60)),IF(INDEX(Properties!A$1:CB$87,Formula!F38,60)&lt;&gt;"",INDEX(Properties!A$1:CB$87,Formula!F38,60)),IF(INDEX(Properties!A$1:CB$87,Formula!H38,60)&lt;&gt;"",INDEX(Properties!A$1:CB$87,Formula!H38,60)),IF(INDEX(Properties!A$1:CB$87,Formula!J38,60)&lt;&gt;"",INDEX(Properties!A$1:CB$87,Formula!J38,60)))</f>
        <v>76.109558884415989</v>
      </c>
      <c r="GC38" s="72">
        <f>MAX(INDEX(Properties!A$1:CB$87,Formula!B38,60),INDEX(Properties!A$1:CB$87,Formula!D38,60),INDEX(Properties!A$1:CB$87,Formula!F38,60),INDEX(Properties!A$1:CB$87,Formula!H38,60),INDEX(Properties!A$1:CB$87,Formula!J38,60))</f>
        <v>18.399999999999999</v>
      </c>
      <c r="GD38" s="72">
        <f>MIN(IF(INDEX(Properties!A$1:CB$87,Formula!B38,60)=0,10^6,INDEX(Properties!A$1:CB$87,Formula!B38,60)),IF(INDEX(Properties!A$1:CB$87,Formula!D38,60)=0,10^6,INDEX(Properties!A$1:CB$87,Formula!D38,60)),IF(INDEX(Properties!A$1:CB$87,Formula!F38,60)=0,10^6,INDEX(Properties!A$1:CB$87,Formula!F38,60)),IF(INDEX(Properties!A$1:CB$87,Formula!H38,60)=0,10^6,INDEX(Properties!A$1:CB$87,Formula!H38,60)),IF(INDEX(Properties!A$1:CB$87,Formula!J38,60)=0,10^6,INDEX(Properties!A$1:CB$87,Formula!J38,60)))</f>
        <v>2.674E-2</v>
      </c>
      <c r="GE38" s="72">
        <f t="shared" si="30"/>
        <v>18.373259999999998</v>
      </c>
      <c r="GF38" s="51">
        <f>((Formula!C38)/(Formula!C38+Formula!E38+Formula!G38+Formula!I38+Formula!K38))*(INDEX(Properties!A$1:CB$87,Formula!B38,62))+((Formula!E38)/(Formula!C38+Formula!E38+Formula!G38+Formula!I38+Formula!K38))*(INDEX(Properties!A$1:CB$87,Formula!D38,62))+((Formula!G38)/(Formula!C38+Formula!E38+Formula!G38+Formula!I38+Formula!K38))*(INDEX(Properties!A$1:CB$87,Formula!F38,62))+((Formula!I38)/(Formula!C38+Formula!E38+Formula!G38+Formula!I38+Formula!K38))*(INDEX(Properties!A$1:CB$87,Formula!H38,62))+((Formula!K38)/(Formula!C38+Formula!E38+Formula!G38+Formula!I38+Formula!K38))*(INDEX(Properties!A$1:CB$87,Formula!J38,62))</f>
        <v>2.9225000000000003</v>
      </c>
      <c r="GG38" s="51">
        <f>Formula!C38*(INDEX(Properties!A$1:CB$87,Formula!B38,62))+Formula!E38*(INDEX(Properties!A$1:CB$87,Formula!D38,62))+Formula!G38*(INDEX(Properties!A$1:CB$87,Formula!F38,62))+Formula!I38*(INDEX(Properties!A$1:CB$87,Formula!H38,62))+Formula!K38*(INDEX(Properties!A$1:CB$87,Formula!J38,62))</f>
        <v>46.760000000000005</v>
      </c>
      <c r="GH38" s="51">
        <f>VARP(IF(INDEX(Properties!A$1:CB$87,Formula!B38,62)&lt;&gt;"",INDEX(Properties!A$1:CB$87,Formula!B38,62)),IF(INDEX(Properties!A$1:CB$87,Formula!D38,62)&lt;&gt;"",INDEX(Properties!A$1:CB$87,Formula!D38,62)),IF(INDEX(Properties!A$1:CB$87,Formula!F38,62)&lt;&gt;"",INDEX(Properties!A$1:CB$87,Formula!F38,62)),IF(INDEX(Properties!A$1:CB$87,Formula!H38,62)&lt;&gt;"",INDEX(Properties!A$1:CB$87,Formula!H38,62)),IF(INDEX(Properties!A$1:CB$87,Formula!J38,62)&lt;&gt;"",INDEX(Properties!A$1:CB$87,Formula!J38,62)))</f>
        <v>2.7529759999999999</v>
      </c>
      <c r="GI38" s="51">
        <f>MAX(INDEX(Properties!A$1:CB$87,Formula!B38,62),INDEX(Properties!A$1:CB$87,Formula!D38,62),INDEX(Properties!A$1:CB$87,Formula!F38,62),INDEX(Properties!A$1:CB$87,Formula!H38,62),INDEX(Properties!A$1:CB$87,Formula!J38,62))</f>
        <v>4.37</v>
      </c>
      <c r="GJ38" s="51">
        <f>MIN(IF(INDEX(Properties!A$1:CB$87,Formula!B38,62)=0,10^6,INDEX(Properties!A$1:CB$87,Formula!B38,62)),IF(INDEX(Properties!A$1:CB$87,Formula!D38,62)=0,10^6,INDEX(Properties!A$1:CB$87,Formula!D38,62)),IF(INDEX(Properties!A$1:CB$87,Formula!F38,62)=0,10^6,INDEX(Properties!A$1:CB$87,Formula!F38,62)),IF(INDEX(Properties!A$1:CB$87,Formula!H38,62)=0,10^6,INDEX(Properties!A$1:CB$87,Formula!H38,62)),IF(INDEX(Properties!A$1:CB$87,Formula!J38,62)=0,10^6,INDEX(Properties!A$1:CB$87,Formula!J38,62)))</f>
        <v>1.9</v>
      </c>
      <c r="GK38" s="51">
        <f t="shared" si="31"/>
        <v>2.4700000000000002</v>
      </c>
      <c r="GL38" s="51">
        <f>Formula!P38</f>
        <v>146</v>
      </c>
      <c r="GM38" s="57">
        <f>Formula!O38</f>
        <v>5</v>
      </c>
      <c r="GN38" s="51">
        <f>Formula!N38</f>
        <v>0.03</v>
      </c>
    </row>
    <row r="39" spans="1:196" x14ac:dyDescent="0.3">
      <c r="A39" s="84" t="str">
        <f>Formula!A39</f>
        <v>GdCa4O(BO3)3</v>
      </c>
      <c r="B39" s="89">
        <f>((Formula!C39)/(Formula!C39+Formula!E39+Formula!G39+Formula!I39+Formula!K39))*(INDEX(Properties!A$1:CB$87,Formula!B39,3))+((Formula!E39)/(Formula!C39+Formula!E39+Formula!G39+Formula!I39+Formula!K39))*(INDEX(Properties!A$1:CB$87,Formula!D39,3))+((Formula!G39)/(Formula!C39+Formula!E39+Formula!G39+Formula!I39+Formula!K39))*(INDEX(Properties!A$1:CB$87,Formula!F39,3))+((Formula!I39)/(Formula!C39+Formula!E39+Formula!G39+Formula!I39+Formula!K39))*(INDEX(Properties!A$1:CB$87,Formula!H39,3))+((Formula!K39)/(Formula!C39+Formula!E39+Formula!G39+Formula!I39+Formula!K39))*(INDEX(Properties!A$1:CB$87,Formula!J39,3))</f>
        <v>28.332722222222223</v>
      </c>
      <c r="C39" s="85">
        <f>Formula!C39*(INDEX(Properties!A$1:CB$87,Formula!B39,3))+Formula!E39*(INDEX(Properties!A$1:CB$87,Formula!D39,3))+Formula!G39*(INDEX(Properties!A$1:CB$87,Formula!F39,3))+Formula!I39*(INDEX(Properties!A$1:CB$87,Formula!H39,3))+Formula!K39*(INDEX(Properties!A$1:CB$87,Formula!J39,3))</f>
        <v>509.98900000000003</v>
      </c>
      <c r="D39" s="85">
        <f>VARP(IF(INDEX(Properties!A$1:CB$87,Formula!B39,3)&lt;&gt;"",INDEX(Properties!A$1:CB$87,Formula!B39,3)),IF(INDEX(Properties!A$1:CB$87,Formula!D39,3)&lt;&gt;"",INDEX(Properties!A$1:CB$87,Formula!D39,3)),IF(INDEX(Properties!A$1:CB$87,Formula!F39,3)&lt;&gt;"",INDEX(Properties!A$1:CB$87,Formula!F39,3)),IF(INDEX(Properties!A$1:CB$87,Formula!H39,3)&lt;&gt;"",INDEX(Properties!A$1:CB$87,Formula!H39,3)),IF(INDEX(Properties!A$1:CB$87,Formula!J39,3)&lt;&gt;"",INDEX(Properties!A$1:CB$87,Formula!J39,3)))</f>
        <v>3331.8125268896006</v>
      </c>
      <c r="E39" s="85">
        <f>MAX(INDEX(Properties!A$1:CB$87,Formula!B39,3),INDEX(Properties!A$1:CB$87,Formula!D39,3),INDEX(Properties!A$1:CB$87,Formula!F39,3),INDEX(Properties!A$1:CB$87,Formula!H39,3),INDEX(Properties!A$1:CB$87,Formula!J39,3))</f>
        <v>157.25</v>
      </c>
      <c r="F39" s="85">
        <f>MIN(IF(INDEX(Properties!A$1:CB$87,Formula!B39,3)=0,10^6,INDEX(Properties!A$1:CB$87,Formula!B39,3)),IF(INDEX(Properties!A$1:CB$87,Formula!D39,3)=0,10^6,INDEX(Properties!A$1:CB$87,Formula!D39,3)),IF(INDEX(Properties!A$1:CB$87,Formula!F39,3)=0,10^6,INDEX(Properties!A$1:CB$87,Formula!F39,3)),IF(INDEX(Properties!A$1:CB$87,Formula!H39,3)=0,10^6,INDEX(Properties!A$1:CB$87,Formula!H39,3)),IF(INDEX(Properties!A$1:CB$87,Formula!J39,3)=0,10^6,INDEX(Properties!A$1:CB$87,Formula!J39,3)))</f>
        <v>10.811</v>
      </c>
      <c r="G39" s="85">
        <f t="shared" si="0"/>
        <v>146.43899999999999</v>
      </c>
      <c r="H39" s="87">
        <f>((Formula!C39)/(Formula!C39+Formula!E39+Formula!G39+Formula!I39+Formula!K39))*(INDEX(Properties!A$1:CB$87,Formula!B39,4))+((Formula!E39)/(Formula!C39+Formula!E39+Formula!G39+Formula!I39+Formula!K39))*(INDEX(Properties!A$1:CB$87,Formula!D39,4))+((Formula!G39)/(Formula!C39+Formula!E39+Formula!G39+Formula!I39+Formula!K39))*(INDEX(Properties!A$1:CB$87,Formula!F39,4))+((Formula!I39)/(Formula!C39+Formula!E39+Formula!G39+Formula!I39+Formula!K39))*(INDEX(Properties!A$1:CB$87,Formula!H39,4))+((Formula!K39)/(Formula!C39+Formula!E39+Formula!G39+Formula!I39+Formula!K39))*(INDEX(Properties!A$1:CB$87,Formula!J39,4))</f>
        <v>13.277777777777779</v>
      </c>
      <c r="I39" s="87">
        <f>Formula!C39*(INDEX(Properties!A$1:CB$87,Formula!B39,4))+Formula!E39*(INDEX(Properties!A$1:CB$87,Formula!D39,4))+Formula!G39*(INDEX(Properties!A$1:CB$87,Formula!F39,4))+Formula!I39*(INDEX(Properties!A$1:CB$87,Formula!H39,4))+Formula!K39*(INDEX(Properties!A$1:CB$87,Formula!J39,4))</f>
        <v>239</v>
      </c>
      <c r="J39" s="87">
        <f>VARP(IF(INDEX(Properties!A$1:CB$87,Formula!B39,4)&lt;&gt;"",INDEX(Properties!A$1:CB$87,Formula!B39,4)),IF(INDEX(Properties!A$1:CB$87,Formula!D39,4)&lt;&gt;"",INDEX(Properties!A$1:CB$87,Formula!D39,4)),IF(INDEX(Properties!A$1:CB$87,Formula!F39,4)&lt;&gt;"",INDEX(Properties!A$1:CB$87,Formula!F39,4)),IF(INDEX(Properties!A$1:CB$87,Formula!H39,4)&lt;&gt;"",INDEX(Properties!A$1:CB$87,Formula!H39,4)),IF(INDEX(Properties!A$1:CB$87,Formula!J39,4)&lt;&gt;"",INDEX(Properties!A$1:CB$87,Formula!J39,4)))</f>
        <v>540.64</v>
      </c>
      <c r="K39" s="87">
        <f>MAX(INDEX(Properties!A$1:CB$87,Formula!B39,4),INDEX(Properties!A$1:CB$87,Formula!D39,4),INDEX(Properties!A$1:CB$87,Formula!F39,4),INDEX(Properties!A$1:CB$87,Formula!H39,4),INDEX(Properties!A$1:CB$87,Formula!J39,4))</f>
        <v>64</v>
      </c>
      <c r="L39" s="87">
        <f>MIN(IF(INDEX(Properties!A$1:CB$87,Formula!B39,4)=0,10^6,INDEX(Properties!A$1:CB$87,Formula!B39,4)),IF(INDEX(Properties!A$1:CB$87,Formula!D39,4)=0,10^6,INDEX(Properties!A$1:CB$87,Formula!D39,4)),IF(INDEX(Properties!A$1:CB$87,Formula!F39,4)=0,10^6,INDEX(Properties!A$1:CB$87,Formula!F39,4)),IF(INDEX(Properties!A$1:CB$87,Formula!H39,4)=0,10^6,INDEX(Properties!A$1:CB$87,Formula!H39,4)),IF(INDEX(Properties!A$1:CB$87,Formula!J39,4)=0,10^6,INDEX(Properties!A$1:CB$87,Formula!J39,4)))</f>
        <v>5</v>
      </c>
      <c r="M39" s="87">
        <f t="shared" si="1"/>
        <v>59</v>
      </c>
      <c r="N39" s="89">
        <f>((Formula!C39)/(Formula!C39+Formula!E39+Formula!G39+Formula!I39+Formula!K39))*(INDEX(Properties!A$1:CB$87,Formula!B39,5))+((Formula!E39)/(Formula!C39+Formula!E39+Formula!G39+Formula!I39+Formula!K39))*(INDEX(Properties!A$1:CB$87,Formula!D39,5))+((Formula!G39)/(Formula!C39+Formula!E39+Formula!G39+Formula!I39+Formula!K39))*(INDEX(Properties!A$1:CB$87,Formula!F39,5))+((Formula!I39)/(Formula!C39+Formula!E39+Formula!G39+Formula!I39+Formula!K39))*(INDEX(Properties!A$1:CB$87,Formula!H39,5))+((Formula!K39)/(Formula!C39+Formula!E39+Formula!G39+Formula!I39+Formula!K39))*(INDEX(Properties!A$1:CB$87,Formula!J39,5))</f>
        <v>2.6666666666666665</v>
      </c>
      <c r="O39" s="89">
        <f>Formula!C39*(INDEX(Properties!A$1:CB$87,Formula!B39,5))+Formula!E39*(INDEX(Properties!A$1:CB$87,Formula!D39,5))+Formula!G39*(INDEX(Properties!A$1:CB$87,Formula!F39,5))+Formula!I39*(INDEX(Properties!A$1:CB$87,Formula!H39,5))+Formula!K39*(INDEX(Properties!A$1:CB$87,Formula!J39,5))</f>
        <v>48</v>
      </c>
      <c r="P39" s="89">
        <f>VARP(IF(INDEX(Properties!A$1:CB$87,Formula!B39,5)&lt;&gt;"",INDEX(Properties!A$1:CB$87,Formula!B39,5)),IF(INDEX(Properties!A$1:CB$87,Formula!D39,5)&lt;&gt;"",INDEX(Properties!A$1:CB$87,Formula!D39,5)),IF(INDEX(Properties!A$1:CB$87,Formula!F39,5)&lt;&gt;"",INDEX(Properties!A$1:CB$87,Formula!F39,5)),IF(INDEX(Properties!A$1:CB$87,Formula!H39,5)&lt;&gt;"",INDEX(Properties!A$1:CB$87,Formula!H39,5)),IF(INDEX(Properties!A$1:CB$87,Formula!J39,5)&lt;&gt;"",INDEX(Properties!A$1:CB$87,Formula!J39,5)))</f>
        <v>4.16</v>
      </c>
      <c r="Q39" s="89">
        <f>MAX(INDEX(Properties!A$1:CB$87,Formula!B39,5),INDEX(Properties!A$1:CB$87,Formula!D39,5),INDEX(Properties!A$1:CB$87,Formula!F39,5),INDEX(Properties!A$1:CB$87,Formula!H39,5),INDEX(Properties!A$1:CB$87,Formula!J39,5))</f>
        <v>6</v>
      </c>
      <c r="R39" s="89">
        <f>MIN(IF(INDEX(Properties!A$1:CB$87,Formula!B39,5)=0,10^6,INDEX(Properties!A$1:CB$87,Formula!B39,5)),IF(INDEX(Properties!A$1:CB$87,Formula!D39,5)=0,10^6,INDEX(Properties!A$1:CB$87,Formula!D39,5)),IF(INDEX(Properties!A$1:CB$87,Formula!F39,5)=0,10^6,INDEX(Properties!A$1:CB$87,Formula!F39,5)),IF(INDEX(Properties!A$1:CB$87,Formula!H39,5)=0,10^6,INDEX(Properties!A$1:CB$87,Formula!H39,5)),IF(INDEX(Properties!A$1:CB$87,Formula!J39,5)=0,10^6,INDEX(Properties!A$1:CB$87,Formula!J39,5)))</f>
        <v>2</v>
      </c>
      <c r="S39" s="89">
        <f t="shared" si="2"/>
        <v>4</v>
      </c>
      <c r="T39" s="60">
        <f>((Formula!C39)/(Formula!C39+Formula!E39+Formula!G39+Formula!I39+Formula!K39))*(INDEX(Properties!A$1:CB$87,Formula!B39,6))+((Formula!E39)/(Formula!C39+Formula!E39+Formula!G39+Formula!I39+Formula!K39))*(INDEX(Properties!A$1:CB$87,Formula!D39,6))+((Formula!G39)/(Formula!C39+Formula!E39+Formula!G39+Formula!I39+Formula!K39))*(INDEX(Properties!A$1:CB$87,Formula!F39,6))+((Formula!I39)/(Formula!C39+Formula!E39+Formula!G39+Formula!I39+Formula!K39))*(INDEX(Properties!A$1:CB$87,Formula!H39,6))+((Formula!K39)/(Formula!C39+Formula!E39+Formula!G39+Formula!I39+Formula!K39))*(INDEX(Properties!A$1:CB$87,Formula!J39,6))</f>
        <v>11.666666666666668</v>
      </c>
      <c r="U39" s="60">
        <f>Formula!C39*(INDEX(Properties!A$1:CB$87,Formula!B39,6))+Formula!E39*(INDEX(Properties!A$1:CB$87,Formula!D39,6))+Formula!G39*(INDEX(Properties!A$1:CB$87,Formula!F39,6))+Formula!I39*(INDEX(Properties!A$1:CB$87,Formula!H39,6))+Formula!K39*(INDEX(Properties!A$1:CB$87,Formula!J39,6))</f>
        <v>210</v>
      </c>
      <c r="V39" s="89">
        <f>VARP(IF(INDEX(Properties!A$1:CB$87,Formula!B39,6)&lt;&gt;"",INDEX(Properties!A$1:CB$87,Formula!B39,6)),IF(INDEX(Properties!A$1:CB$87,Formula!D39,6)&lt;&gt;"",INDEX(Properties!A$1:CB$87,Formula!D39,6)),IF(INDEX(Properties!A$1:CB$87,Formula!F39,6)&lt;&gt;"",INDEX(Properties!A$1:CB$87,Formula!F39,6)),IF(INDEX(Properties!A$1:CB$87,Formula!H39,6)&lt;&gt;"",INDEX(Properties!A$1:CB$87,Formula!H39,6)),IF(INDEX(Properties!A$1:CB$87,Formula!J39,6)&lt;&gt;"",INDEX(Properties!A$1:CB$87,Formula!J39,6)))</f>
        <v>41.36</v>
      </c>
      <c r="W39" s="60">
        <f>MAX(INDEX(Properties!A$1:CB$87,Formula!B39,6),INDEX(Properties!A$1:CB$87,Formula!D39,6),INDEX(Properties!A$1:CB$87,Formula!F39,6),INDEX(Properties!A$1:CB$87,Formula!H39,4),INDEX(Properties!A$1:CB$87,Formula!J39,6))</f>
        <v>13</v>
      </c>
      <c r="X39" s="60">
        <f>MIN(IF(INDEX(Properties!A$1:CB$87,Formula!B39,6)=0,10^6,INDEX(Properties!A$1:CB$87,Formula!B39,6)),IF(INDEX(Properties!A$1:CB$87,Formula!D39,6)=0,10^6,INDEX(Properties!A$1:CB$87,Formula!D39,6)),IF(INDEX(Properties!A$1:CB$87,Formula!F39,6)=0,10^6,INDEX(Properties!A$1:CB$87,Formula!F39,6)),IF(INDEX(Properties!A$1:CB$87,Formula!H39,6)=0,10^6,INDEX(Properties!A$1:CB$87,Formula!H39,6)),IF(INDEX(Properties!A$1:CB$87,Formula!J39,6)=0,10^6,INDEX(Properties!A$1:CB$87,Formula!J39,6)))</f>
        <v>2</v>
      </c>
      <c r="Y39" s="60">
        <f t="shared" si="3"/>
        <v>11</v>
      </c>
      <c r="Z39" s="72">
        <f>((Formula!C39)/(Formula!C39+Formula!E39+Formula!G39+Formula!I39+Formula!K39))*(INDEX(Properties!A$1:CB$87,Formula!B39,9))+((Formula!E39)/(Formula!C39+Formula!E39+Formula!G39+Formula!I39+Formula!K39))*(INDEX(Properties!A$1:CB$87,Formula!D39,9))+((Formula!G39)/(Formula!C39+Formula!E39+Formula!G39+Formula!I39+Formula!K39))*(INDEX(Properties!A$1:CB$87,Formula!F39,9))+((Formula!I39)/(Formula!C39+Formula!E39+Formula!G39+Formula!I39+Formula!K39))*(INDEX(Properties!A$1:CB$87,Formula!H39,9))+((Formula!K39)/(Formula!C39+Formula!E39+Formula!G39+Formula!I39+Formula!K39))*(INDEX(Properties!A$1:CB$87,Formula!J39,9))</f>
        <v>63.388888888888893</v>
      </c>
      <c r="AA39" s="72">
        <f>Formula!C39*(INDEX(Properties!A$1:CB$87,Formula!B39,9))+Formula!E39*(INDEX(Properties!A$1:CB$87,Formula!D39,9))+Formula!G39*(INDEX(Properties!A$1:CB$87,Formula!F39,9))+Formula!I39*(INDEX(Properties!A$1:CB$87,Formula!H39,9))+Formula!K39*(INDEX(Properties!A$1:CB$87,Formula!J39,9))</f>
        <v>1141</v>
      </c>
      <c r="AB39" s="72">
        <f>VARP(IF(INDEX(Properties!A$1:CB$87,Formula!B39,9)&lt;&gt;"",INDEX(Properties!A$1:CB$87,Formula!B39,9)),IF(INDEX(Properties!A$1:CB$87,Formula!D39,9)&lt;&gt;"",INDEX(Properties!A$1:CB$87,Formula!D39,9)),IF(INDEX(Properties!A$1:CB$87,Formula!F39,9)&lt;&gt;"",INDEX(Properties!A$1:CB$87,Formula!F39,9)),IF(INDEX(Properties!A$1:CB$87,Formula!H39,9)&lt;&gt;"",INDEX(Properties!A$1:CB$87,Formula!H39,9)),IF(INDEX(Properties!A$1:CB$87,Formula!J39,9)&lt;&gt;"",INDEX(Properties!A$1:CB$87,Formula!J39,9)))</f>
        <v>1216.24</v>
      </c>
      <c r="AC39" s="72">
        <f>MAX(INDEX(Properties!A$1:CB$87,Formula!B39,9),INDEX(Properties!A$1:CB$87,Formula!D39,9),INDEX(Properties!A$1:CB$87,Formula!F39,9),INDEX(Properties!A$1:CB$87,Formula!H39,9),INDEX(Properties!A$1:CB$87,Formula!J39,9))</f>
        <v>87</v>
      </c>
      <c r="AD39" s="72">
        <f>MIN(IF(INDEX(Properties!A$1:CB$87,Formula!B39,9)=0,10^6,INDEX(Properties!A$1:CB$87,Formula!B39,9)),IF(INDEX(Properties!A$1:CB$87,Formula!D39,9)=0,10^6,INDEX(Properties!A$1:CB$87,Formula!D39,9)),IF(INDEX(Properties!A$1:CB$87,Formula!F39,9)=0,10^6,INDEX(Properties!A$1:CB$87,Formula!F39,9)),IF(INDEX(Properties!A$1:CB$87,Formula!H39,9)=0,10^6,INDEX(Properties!A$1:CB$87,Formula!H39,9)),IF(INDEX(Properties!A$1:CB$87,Formula!J39,9)=0,10^6,INDEX(Properties!A$1:CB$87,Formula!J39,9)))</f>
        <v>7</v>
      </c>
      <c r="AE39" s="72">
        <f t="shared" si="4"/>
        <v>80</v>
      </c>
      <c r="AF39" s="51">
        <f>((Formula!C39)/(Formula!C39+Formula!E39+Formula!G39+Formula!I39+Formula!K39))*(INDEX(Properties!A$1:CB$87,Formula!B39,10))+((Formula!E39)/(Formula!C39+Formula!E39+Formula!G39+Formula!I39+Formula!K39))*(INDEX(Properties!A$1:CB$87,Formula!D39,10))+((Formula!G39)/(Formula!C39+Formula!E39+Formula!G39+Formula!I39+Formula!K39))*(INDEX(Properties!A$1:CB$87,Formula!F39,10))+((Formula!I39)/(Formula!C39+Formula!E39+Formula!G39+Formula!I39+Formula!K39))*(INDEX(Properties!A$1:CB$87,Formula!H39,10))+((Formula!K39)/(Formula!C39+Formula!E39+Formula!G39+Formula!I39+Formula!K39))*(INDEX(Properties!A$1:CB$87,Formula!J39,10))</f>
        <v>5.5</v>
      </c>
      <c r="AG39" s="51">
        <f>Formula!C39*(INDEX(Properties!A$1:CB$87,Formula!B39,10))+Formula!E39*(INDEX(Properties!A$1:CB$87,Formula!D39,10))+Formula!G39*(INDEX(Properties!A$1:CB$87,Formula!F39,10))+Formula!I39*(INDEX(Properties!A$1:CB$87,Formula!H39,10))+Formula!K39*(INDEX(Properties!A$1:CB$87,Formula!J39,10))</f>
        <v>99</v>
      </c>
      <c r="AH39" s="51">
        <f>VARP(IF(INDEX(Properties!A$1:CB$87,Formula!B39,10)&lt;&gt;"",INDEX(Properties!A$1:CB$87,Formula!B39,10)),IF(INDEX(Properties!A$1:CB$87,Formula!D39,10)&lt;&gt;"",INDEX(Properties!A$1:CB$87,Formula!D39,10)),IF(INDEX(Properties!A$1:CB$87,Formula!F39,10)&lt;&gt;"",INDEX(Properties!A$1:CB$87,Formula!F39,10)),IF(INDEX(Properties!A$1:CB$87,Formula!H39,10)&lt;&gt;"",INDEX(Properties!A$1:CB$87,Formula!H39,10)),IF(INDEX(Properties!A$1:CB$87,Formula!J39,10)&lt;&gt;"",INDEX(Properties!A$1:CB$87,Formula!J39,10)))</f>
        <v>6.64</v>
      </c>
      <c r="AI39" s="51">
        <f>MAX(INDEX(Properties!A$1:CB$87,Formula!B39,10),INDEX(Properties!A$1:CB$87,Formula!D39,10),INDEX(Properties!A$1:CB$87,Formula!F39,10),INDEX(Properties!A$1:CB$87,Formula!H39,10),INDEX(Properties!A$1:CB$87,Formula!J39,10))</f>
        <v>7</v>
      </c>
      <c r="AJ39" s="51">
        <f>MIN(IF(INDEX(Properties!A$1:CB$87,Formula!B39,10)=0,10^6,INDEX(Properties!A$1:CB$87,Formula!B39,10)),IF(INDEX(Properties!A$1:CB$87,Formula!D39,10)=0,10^6,INDEX(Properties!A$1:CB$87,Formula!D39,10)),IF(INDEX(Properties!A$1:CB$87,Formula!F39,10)=0,10^6,INDEX(Properties!A$1:CB$87,Formula!F39,10)),IF(INDEX(Properties!A$1:CB$87,Formula!H39,10)=0,10^6,INDEX(Properties!A$1:CB$87,Formula!H39,10)),IF(INDEX(Properties!A$1:CB$87,Formula!J39,10)=0,10^6,INDEX(Properties!A$1:CB$87,Formula!J39,10)))</f>
        <v>2</v>
      </c>
      <c r="AK39" s="51">
        <f t="shared" si="5"/>
        <v>5</v>
      </c>
      <c r="AL39" s="57">
        <f>((Formula!C39)/(Formula!C39+Formula!E39+Formula!G39+Formula!I39+Formula!K39))*(INDEX(Properties!A$1:CB$87,Formula!B39,11))+((Formula!E39)/(Formula!C39+Formula!E39+Formula!G39+Formula!I39+Formula!K39))*(INDEX(Properties!A$1:CB$87,Formula!D39,11))+((Formula!G39)/(Formula!C39+Formula!E39+Formula!G39+Formula!I39+Formula!K39))*(INDEX(Properties!A$1:CB$87,Formula!F39,11))+((Formula!I39)/(Formula!C39+Formula!E39+Formula!G39+Formula!I39+Formula!K39))*(INDEX(Properties!A$1:CB$87,Formula!H39,11))+((Formula!K39)/(Formula!C39+Formula!E39+Formula!G39+Formula!I39+Formula!K39))*(INDEX(Properties!A$1:CB$87,Formula!J39,11))</f>
        <v>2</v>
      </c>
      <c r="AM39" s="57">
        <f>Formula!C39*(INDEX(Properties!A$1:CB$87,Formula!B39,11))+Formula!E39*(INDEX(Properties!A$1:CB$87,Formula!D39,11))+Formula!G39*(INDEX(Properties!A$1:CB$87,Formula!F39,11))+Formula!I39*(INDEX(Properties!A$1:CB$87,Formula!H39,11))+Formula!K39*(INDEX(Properties!A$1:CB$87,Formula!J39,11))</f>
        <v>36</v>
      </c>
      <c r="AN39" s="57">
        <f>VARP(IF(INDEX(Properties!A$1:CB$87,Formula!B39,11)&lt;&gt;"",INDEX(Properties!A$1:CB$87,Formula!B39,11)),IF(INDEX(Properties!A$1:CB$87,Formula!D39,11)&lt;&gt;"",INDEX(Properties!A$1:CB$87,Formula!D39,11)),IF(INDEX(Properties!A$1:CB$87,Formula!F39,11)&lt;&gt;"",INDEX(Properties!A$1:CB$87,Formula!F39,11)),IF(INDEX(Properties!A$1:CB$87,Formula!H39,11)&lt;&gt;"",INDEX(Properties!A$1:CB$87,Formula!H39,11)),IF(INDEX(Properties!A$1:CB$87,Formula!J39,11)&lt;&gt;"",INDEX(Properties!A$1:CB$87,Formula!J39,11)))</f>
        <v>0.64</v>
      </c>
      <c r="AO39" s="57">
        <f>MAX(INDEX(Properties!A$1:CB$87,Formula!B39,11),INDEX(Properties!A$1:CB$87,Formula!D39,11),INDEX(Properties!A$1:CB$87,Formula!F39,11),INDEX(Properties!A$1:CB$87,Formula!H39,11),INDEX(Properties!A$1:CB$87,Formula!J39,11))</f>
        <v>2</v>
      </c>
      <c r="AP39" s="57">
        <f>MIN(IF(Formula!B39=87,10^6,INDEX(Properties!A$1:CB$87,Formula!B39,11)),IF((Formula!D39)=87,10^6,INDEX(Properties!A$1:CB$87,Formula!D39,11)),IF((Formula!F39)=87,10^6,INDEX(Properties!A$1:CB$87,Formula!F39,11)),IF((Formula!H39)=87,10^6,INDEX(Properties!A$1:CB$87,Formula!H39,11)),IF(Formula!J39=87,10^6,INDEX(Properties!A$1:CB$87,Formula!J39,11)))</f>
        <v>2</v>
      </c>
      <c r="AQ39" s="57">
        <f t="shared" si="6"/>
        <v>0</v>
      </c>
      <c r="AR39" s="78">
        <f>((Formula!C39)/(Formula!C39+Formula!E39+Formula!G39+Formula!I39+Formula!K39))*(INDEX(Properties!A$1:CB$87,Formula!B39,12))+((Formula!E39)/(Formula!C39+Formula!E39+Formula!G39+Formula!I39+Formula!K39))*(INDEX(Properties!A$1:CB$87,Formula!D39,12))+((Formula!G39)/(Formula!C39+Formula!E39+Formula!G39+Formula!I39+Formula!K39))*(INDEX(Properties!A$1:CB$87,Formula!F39,12))+((Formula!I39)/(Formula!C39+Formula!E39+Formula!G39+Formula!I39+Formula!K39))*(INDEX(Properties!A$1:CB$87,Formula!H39,12))+((Formula!K39)/(Formula!C39+Formula!E39+Formula!G39+Formula!I39+Formula!K39))*(INDEX(Properties!A$1:CB$87,Formula!J39,12))</f>
        <v>2.3888888888888888</v>
      </c>
      <c r="AS39" s="78">
        <f>Formula!C39*(INDEX(Properties!A$1:CB$87,Formula!B39,12))+Formula!E39*(INDEX(Properties!A$1:CB$87,Formula!D39,12))+Formula!G39*(INDEX(Properties!A$1:CB$87,Formula!F39,12))+Formula!I39*(INDEX(Properties!A$1:CB$87,Formula!H39,12))+Formula!K39*(INDEX(Properties!A$1:CB$87,Formula!J39,12))</f>
        <v>43</v>
      </c>
      <c r="AT39" s="78">
        <f>VARP(IF(INDEX(Properties!A$1:CB$87,Formula!B39,12)&lt;&gt;"",INDEX(Properties!A$1:CB$87,Formula!B39,12)),IF(INDEX(Properties!A$1:CB$87,Formula!D39,12)&lt;&gt;"",INDEX(Properties!A$1:CB$87,Formula!D39,12)),IF(INDEX(Properties!A$1:CB$87,Formula!F39,12)&lt;&gt;"",INDEX(Properties!A$1:CB$87,Formula!F39,12)),IF(INDEX(Properties!A$1:CB$87,Formula!H39,12)&lt;&gt;"",INDEX(Properties!A$1:CB$87,Formula!H39,12)),IF(INDEX(Properties!A$1:CB$87,Formula!J39,12)&lt;&gt;"",INDEX(Properties!A$1:CB$87,Formula!J39,12)))</f>
        <v>2.4</v>
      </c>
      <c r="AU39" s="78">
        <f>MAX(INDEX(Properties!A$1:CB$87,Formula!B39,12),INDEX(Properties!A$1:CB$87,Formula!D39,12),INDEX(Properties!A$1:CB$87,Formula!F39,12),INDEX(Properties!A$1:CB$87,Formula!H39,12),INDEX(Properties!A$1:CB$87,Formula!J39,12))</f>
        <v>4</v>
      </c>
      <c r="AV39" s="78">
        <f>MIN(IF(Formula!B39=87,10^6,INDEX(Properties!A$1:CB$87,Formula!B39,12)),IF((Formula!D39)=87,10^6,INDEX(Properties!A$1:CB$87,Formula!D39,12)),IF((Formula!F39)=87,10^6,INDEX(Properties!A$1:CB$87,Formula!F39,12)),IF((Formula!H39)=87,10^6,INDEX(Properties!A$1:CB$87,Formula!H39,12)),IF(Formula!J39=87,10^6,INDEX(Properties!A$1:CB$87,Formula!J39,12)))</f>
        <v>0</v>
      </c>
      <c r="AW39" s="78">
        <f t="shared" si="7"/>
        <v>4</v>
      </c>
      <c r="AX39" s="45">
        <f>((Formula!C39)/(Formula!C39+Formula!E39+Formula!G39+Formula!I39+Formula!K39))*(INDEX(Properties!A$1:CB$87,Formula!B39,13))+((Formula!E39)/(Formula!C39+Formula!E39+Formula!G39+Formula!I39+Formula!K39))*(INDEX(Properties!A$1:CB$87,Formula!D39,13))+((Formula!G39)/(Formula!C39+Formula!E39+Formula!G39+Formula!I39+Formula!K39))*(INDEX(Properties!A$1:CB$87,Formula!F39,13))+((Formula!I39)/(Formula!C39+Formula!E39+Formula!G39+Formula!I39+Formula!K39))*(INDEX(Properties!A$1:CB$87,Formula!H39,13))+((Formula!K39)/(Formula!C39+Formula!E39+Formula!G39+Formula!I39+Formula!K39))*(INDEX(Properties!A$1:CB$87,Formula!J39,13))</f>
        <v>5.5555555555555552E-2</v>
      </c>
      <c r="AY39" s="45">
        <f>Formula!C39*(INDEX(Properties!A$1:CB$87,Formula!B39,13))+Formula!E39*(INDEX(Properties!A$1:CB$87,Formula!D39,13))+Formula!G39*(INDEX(Properties!A$1:CB$87,Formula!F39,13))+Formula!I39*(INDEX(Properties!A$1:CB$87,Formula!H39,13))+Formula!K39*(INDEX(Properties!A$1:CB$87,Formula!J39,13))</f>
        <v>1</v>
      </c>
      <c r="AZ39" s="45">
        <f>VARP(IF(INDEX(Properties!A$1:CB$87,Formula!B39,13)&lt;&gt;"",INDEX(Properties!A$1:CB$87,Formula!B39,13)),IF(INDEX(Properties!A$1:CB$87,Formula!D39,13)&lt;&gt;"",INDEX(Properties!A$1:CB$87,Formula!D39,13)),IF(INDEX(Properties!A$1:CB$87,Formula!F39,13)&lt;&gt;"",INDEX(Properties!A$1:CB$87,Formula!F39,13)),IF(INDEX(Properties!A$1:CB$87,Formula!H39,13)&lt;&gt;"",INDEX(Properties!A$1:CB$87,Formula!H39,13)),IF(INDEX(Properties!A$1:CB$87,Formula!J39,13)&lt;&gt;"",INDEX(Properties!A$1:CB$87,Formula!J39,13)))</f>
        <v>0.16</v>
      </c>
      <c r="BA39" s="45">
        <f>MAX(INDEX(Properties!A$1:CB$87,Formula!B39,13),INDEX(Properties!A$1:CB$87,Formula!D39,13),INDEX(Properties!A$1:CB$87,Formula!F39,13),INDEX(Properties!A$1:CB$87,Formula!H39,13),INDEX(Properties!A$1:CB$87,Formula!J39,13))</f>
        <v>1</v>
      </c>
      <c r="BB39" s="45">
        <f>MIN(IF(Formula!B39=87,10^6,INDEX(Properties!A$1:CB$87,Formula!B39,13)),IF((Formula!D39)=87,10^6,INDEX(Properties!A$1:CB$87,Formula!D39,13)),IF((Formula!F39)=87,10^6,INDEX(Properties!A$1:CB$87,Formula!F39,13)),IF((Formula!H39)=87,10^6,INDEX(Properties!A$1:CB$87,Formula!H39,13)),IF(Formula!J39=87,10^6,INDEX(Properties!A$1:CB$87,Formula!J39,13)))</f>
        <v>0</v>
      </c>
      <c r="BC39" s="45">
        <f t="shared" si="8"/>
        <v>1</v>
      </c>
      <c r="BD39" s="63">
        <f>((Formula!C39)/(Formula!C39+Formula!E39+Formula!G39+Formula!I39+Formula!K39))*(INDEX(Properties!A$1:CB$87,Formula!B39,14))+((Formula!E39)/(Formula!C39+Formula!E39+Formula!G39+Formula!I39+Formula!K39))*(INDEX(Properties!A$1:CB$87,Formula!D39,14))+((Formula!G39)/(Formula!C39+Formula!E39+Formula!G39+Formula!I39+Formula!K39))*(INDEX(Properties!A$1:CB$87,Formula!F39,14))+((Formula!I39)/(Formula!C39+Formula!E39+Formula!G39+Formula!I39+Formula!K39))*(INDEX(Properties!A$1:CB$87,Formula!H39,14))+((Formula!K39)/(Formula!C39+Formula!E39+Formula!G39+Formula!I39+Formula!K39))*(INDEX(Properties!A$1:CB$87,Formula!J39,14))</f>
        <v>0.38888888888888884</v>
      </c>
      <c r="BE39" s="63">
        <f>Formula!C39*(INDEX(Properties!A$1:CB$87,Formula!B39,14))+Formula!E39*(INDEX(Properties!A$1:CB$87,Formula!D39,14))+Formula!G39*(INDEX(Properties!A$1:CB$87,Formula!F39,14))+Formula!I39*(INDEX(Properties!A$1:CB$87,Formula!H39,14))+Formula!K39*(INDEX(Properties!A$1:CB$87,Formula!J39,14))</f>
        <v>7</v>
      </c>
      <c r="BF39" s="63">
        <f>VARP(IF(INDEX(Properties!A$1:CB$87,Formula!B39,14)&lt;&gt;"",INDEX(Properties!A$1:CB$87,Formula!B39,14)),IF(INDEX(Properties!A$1:CB$87,Formula!D39,14)&lt;&gt;"",INDEX(Properties!A$1:CB$87,Formula!D39,14)),IF(INDEX(Properties!A$1:CB$87,Formula!F39,14)&lt;&gt;"",INDEX(Properties!A$1:CB$87,Formula!F39,14)),IF(INDEX(Properties!A$1:CB$87,Formula!H39,14)&lt;&gt;"",INDEX(Properties!A$1:CB$87,Formula!H39,14)),IF(INDEX(Properties!A$1:CB$87,Formula!J39,14)&lt;&gt;"",INDEX(Properties!A$1:CB$87,Formula!J39,14)))</f>
        <v>7.84</v>
      </c>
      <c r="BG39" s="63">
        <f>MAX(INDEX(Properties!A$1:CB$87,Formula!B39,14),INDEX(Properties!A$1:CB$87,Formula!D39,14),INDEX(Properties!A$1:CB$87,Formula!F39,14),INDEX(Properties!A$1:CB$87,Formula!H39,14),INDEX(Properties!A$1:CB$87,Formula!J39,14))</f>
        <v>7</v>
      </c>
      <c r="BH39" s="63">
        <f>MIN(IF(Formula!B39=87,10^6,INDEX(Properties!A$1:CB$87,Formula!B39,14)),IF((Formula!D39)=87,10^6,INDEX(Properties!A$1:CB$87,Formula!D39,14)),IF((Formula!F39)=87,10^6,INDEX(Properties!A$1:CB$87,Formula!F39,14)),IF((Formula!H39)=87,10^6,INDEX(Properties!A$1:CB$87,Formula!H39,14)),IF(Formula!J39=87,10^6,INDEX(Properties!A$1:CB$87,Formula!J39,14)))</f>
        <v>0</v>
      </c>
      <c r="BI39" s="63">
        <f t="shared" si="9"/>
        <v>7</v>
      </c>
      <c r="BJ39" s="75">
        <f>((Formula!C39)/(Formula!C39+Formula!E39+Formula!G39+Formula!I39+Formula!K39))*(INDEX(Properties!A$1:CB$87,Formula!B39,19))+((Formula!E39)/(Formula!C39+Formula!E39+Formula!G39+Formula!I39+Formula!K39))*(INDEX(Properties!A$1:CB$87,Formula!D39,19))+((Formula!G39)/(Formula!C39+Formula!E39+Formula!G39+Formula!I39+Formula!K39))*(INDEX(Properties!A$1:CB$87,Formula!F39,19))+((Formula!I39)/(Formula!C39+Formula!E39+Formula!G39+Formula!I39+Formula!K39))*(INDEX(Properties!A$1:CB$87,Formula!H39,19))+((Formula!K39)/(Formula!C39+Formula!E39+Formula!G39+Formula!I39+Formula!K39))*(INDEX(Properties!A$1:CB$87,Formula!J39,19))</f>
        <v>4.8333333333333339</v>
      </c>
      <c r="BK39" s="75">
        <f>Formula!C39*(INDEX(Properties!A$1:CB$87,Formula!B39,19))+Formula!E39*(INDEX(Properties!A$1:CB$87,Formula!D39,19))+Formula!G39*(INDEX(Properties!A$1:CB$87,Formula!F39,19))+Formula!I39*(INDEX(Properties!A$1:CB$87,Formula!H39,19))+Formula!K39*(INDEX(Properties!A$1:CB$87,Formula!J39,19))</f>
        <v>87</v>
      </c>
      <c r="BL39" s="75">
        <f>VARP(IF(INDEX(Properties!A$1:CB$87,Formula!B39,19)&lt;&gt;"",INDEX(Properties!A$1:CB$87,Formula!B39,19)),IF(INDEX(Properties!A$1:CB$87,Formula!D39,19)&lt;&gt;"",INDEX(Properties!A$1:CB$87,Formula!D39,19)),IF(INDEX(Properties!A$1:CB$87,Formula!F39,19)&lt;&gt;"",INDEX(Properties!A$1:CB$87,Formula!F39,19)),IF(INDEX(Properties!A$1:CB$87,Formula!H39,19)&lt;&gt;"",INDEX(Properties!A$1:CB$87,Formula!H39,19)),IF(INDEX(Properties!A$1:CB$87,Formula!J39,19)&lt;&gt;"",INDEX(Properties!A$1:CB$87,Formula!J39,19)))</f>
        <v>12.16</v>
      </c>
      <c r="BM39" s="75">
        <f>MAX(INDEX(Properties!A$1:CB$87,Formula!B39,19),INDEX(Properties!A$1:CB$87,Formula!D39,19),INDEX(Properties!A$1:CB$87,Formula!F39,19),INDEX(Properties!A$1:CB$87,Formula!H39,19),INDEX(Properties!A$1:CB$87,Formula!J39,19))</f>
        <v>10</v>
      </c>
      <c r="BN39" s="75">
        <f>MIN(IF(INDEX(Properties!A$1:CB$87,Formula!B39,19)=0,10^6,INDEX(Properties!A$1:CB$87,Formula!B39,19)),IF(INDEX(Properties!A$1:CB$87,Formula!D39,19)=0,10^6,INDEX(Properties!A$1:CB$87,Formula!D39,19)),IF(INDEX(Properties!A$1:CB$87,Formula!F39,19)=0,10^6,INDEX(Properties!A$1:CB$87,Formula!F39,19)),IF(INDEX(Properties!A$1:CB$87,Formula!H39,19)=0,10^6,INDEX(Properties!A$1:CB$87,Formula!H39,19)),IF(INDEX(Properties!A$1:CB$87,Formula!J39,19)=0,10^6,INDEX(Properties!A$1:CB$87,Formula!J39,19)))</f>
        <v>2</v>
      </c>
      <c r="BO39" s="75">
        <f t="shared" si="10"/>
        <v>8</v>
      </c>
      <c r="BP39" s="48">
        <f>((Formula!C39)/(Formula!C39+Formula!E39+Formula!G39+Formula!I39+Formula!K39))*(INDEX(Properties!A$1:CB$87,Formula!B39,20))+((Formula!E39)/(Formula!C39+Formula!E39+Formula!G39+Formula!I39+Formula!K39))*(INDEX(Properties!A$1:CB$87,Formula!D39,20))+((Formula!G39)/(Formula!C39+Formula!E39+Formula!G39+Formula!I39+Formula!K39))*(INDEX(Properties!A$1:CB$87,Formula!F39,20))+((Formula!I39)/(Formula!C39+Formula!E39+Formula!G39+Formula!I39+Formula!K39))*(INDEX(Properties!A$1:CB$87,Formula!H39,20))+((Formula!K39)/(Formula!C39+Formula!E39+Formula!G39+Formula!I39+Formula!K39))*(INDEX(Properties!A$1:CB$87,Formula!J39,20))</f>
        <v>4.3888888888888893</v>
      </c>
      <c r="BQ39" s="48">
        <f>Formula!C39*(INDEX(Properties!A$1:CB$87,Formula!B39,20))+Formula!E39*(INDEX(Properties!A$1:CB$87,Formula!D39,20))+Formula!G39*(INDEX(Properties!A$1:CB$87,Formula!F39,20))+Formula!I39*(INDEX(Properties!A$1:CB$87,Formula!H39,20))+Formula!K39*(INDEX(Properties!A$1:CB$87,Formula!J39,20))</f>
        <v>79</v>
      </c>
      <c r="BR39" s="48">
        <f>VARP(IF(INDEX(Properties!A$1:CB$87,Formula!B39,20)&lt;&gt;"",INDEX(Properties!A$1:CB$87,Formula!B39,20)),IF(INDEX(Properties!A$1:CB$87,Formula!D39,20)&lt;&gt;"",INDEX(Properties!A$1:CB$87,Formula!D39,20)),IF(INDEX(Properties!A$1:CB$87,Formula!F39,20)&lt;&gt;"",INDEX(Properties!A$1:CB$87,Formula!F39,20)),IF(INDEX(Properties!A$1:CB$87,Formula!H39,20)&lt;&gt;"",INDEX(Properties!A$1:CB$87,Formula!H39,20)),IF(INDEX(Properties!A$1:CB$87,Formula!J39,20)&lt;&gt;"",INDEX(Properties!A$1:CB$87,Formula!J39,20)))</f>
        <v>3.84</v>
      </c>
      <c r="BS39" s="48">
        <f>MAX(INDEX(Properties!A$1:CB$87,Formula!B39,20),INDEX(Properties!A$1:CB$87,Formula!D39,20),INDEX(Properties!A$1:CB$87,Formula!F39,20),INDEX(Properties!A$1:CB$87,Formula!H39,20),INDEX(Properties!A$1:CB$87,Formula!J39,20))</f>
        <v>6</v>
      </c>
      <c r="BT39" s="48">
        <f>MIN(IF(INDEX(Properties!A$1:CB$87,Formula!B39,20)=0,10^6,INDEX(Properties!A$1:CB$87,Formula!B39,20)),IF(INDEX(Properties!A$1:CB$87,Formula!D39,20)=0,10^6,INDEX(Properties!A$1:CB$87,Formula!D39,20)),IF(INDEX(Properties!A$1:CB$87,Formula!F39,20)=0,10^6,INDEX(Properties!A$1:CB$87,Formula!F39,20)),IF(INDEX(Properties!A$1:CB$87,Formula!H39,20)=0,10^6,INDEX(Properties!A$1:CB$87,Formula!H39,20)),IF(INDEX(Properties!A$1:CB$87,Formula!J39,20)=0,10^6,INDEX(Properties!A$1:CB$87,Formula!J39,20)))</f>
        <v>2</v>
      </c>
      <c r="BU39" s="48">
        <f t="shared" si="11"/>
        <v>4</v>
      </c>
      <c r="BV39" s="66">
        <f>((Formula!C39)/(Formula!C39+Formula!E39+Formula!G39+Formula!I39+Formula!K39))*(INDEX(Properties!A$1:CB$87,Formula!B39,21))+((Formula!E39)/(Formula!C39+Formula!E39+Formula!G39+Formula!I39+Formula!K39))*(INDEX(Properties!A$1:CB$87,Formula!D39,21))+((Formula!G39)/(Formula!C39+Formula!E39+Formula!G39+Formula!I39+Formula!K39))*(INDEX(Properties!A$1:CB$87,Formula!F39,21))+((Formula!I39)/(Formula!C39+Formula!E39+Formula!G39+Formula!I39+Formula!K39))*(INDEX(Properties!A$1:CB$87,Formula!H39,21))+((Formula!K39)/(Formula!C39+Formula!E39+Formula!G39+Formula!I39+Formula!K39))*(INDEX(Properties!A$1:CB$87,Formula!J39,21))</f>
        <v>4.4444444444444446</v>
      </c>
      <c r="BW39" s="66">
        <f>Formula!C39*(INDEX(Properties!A$1:CB$87,Formula!B39,21))+Formula!E39*(INDEX(Properties!A$1:CB$87,Formula!D39,21))+Formula!G39*(INDEX(Properties!A$1:CB$87,Formula!F39,21))+Formula!I39*(INDEX(Properties!A$1:CB$87,Formula!H39,21))+Formula!K39*(INDEX(Properties!A$1:CB$87,Formula!J39,21))</f>
        <v>80</v>
      </c>
      <c r="BX39" s="66">
        <f>VARP(IF(INDEX(Properties!A$1:CB$87,Formula!B39,21)&lt;&gt;"",INDEX(Properties!A$1:CB$87,Formula!B39,21)),IF(INDEX(Properties!A$1:CB$87,Formula!D39,21)&lt;&gt;"",INDEX(Properties!A$1:CB$87,Formula!D39,21)),IF(INDEX(Properties!A$1:CB$87,Formula!F39,21)&lt;&gt;"",INDEX(Properties!A$1:CB$87,Formula!F39,21)),IF(INDEX(Properties!A$1:CB$87,Formula!H39,21)&lt;&gt;"",INDEX(Properties!A$1:CB$87,Formula!H39,21)),IF(INDEX(Properties!A$1:CB$87,Formula!J39,21)&lt;&gt;"",INDEX(Properties!A$1:CB$87,Formula!J39,21)))</f>
        <v>3.76</v>
      </c>
      <c r="BY39" s="66">
        <f>MAX(INDEX(Properties!A$1:CB$87,Formula!B39,21),INDEX(Properties!A$1:CB$87,Formula!D39,21),INDEX(Properties!A$1:CB$87,Formula!F39,21),INDEX(Properties!A$1:CB$87,Formula!H39,21),INDEX(Properties!A$1:CB$87,Formula!J39,21))</f>
        <v>6</v>
      </c>
      <c r="BZ39" s="66">
        <f>MIN(IF(INDEX(Properties!A$1:CB$87,Formula!B39,21)=0,10^6,INDEX(Properties!A$1:CB$87,Formula!B39,21)),IF(INDEX(Properties!A$1:CB$87,Formula!D39,21)=0,10^6,INDEX(Properties!A$1:CB$87,Formula!D39,21)),IF(INDEX(Properties!A$1:CB$87,Formula!F39,21)=0,10^6,INDEX(Properties!A$1:CB$87,Formula!F39,21)),IF(INDEX(Properties!A$1:CB$87,Formula!H39,21)=0,10^6,INDEX(Properties!A$1:CB$87,Formula!H39,21)),IF(INDEX(Properties!A$1:CB$87,Formula!J39,21)=0,10^6,INDEX(Properties!A$1:CB$87,Formula!J39,21)))</f>
        <v>2</v>
      </c>
      <c r="CA39" s="66">
        <f t="shared" si="12"/>
        <v>4</v>
      </c>
      <c r="CB39" s="81">
        <f>((Formula!C39)/(Formula!C39+Formula!E39+Formula!G39+Formula!I39+Formula!K39))*(INDEX(Properties!A$1:CB$87,Formula!B39,23))+((Formula!E39)/(Formula!C39+Formula!E39+Formula!G39+Formula!I39+Formula!K39))*(INDEX(Properties!A$1:CB$87,Formula!D39,23))+((Formula!G39)/(Formula!C39+Formula!E39+Formula!G39+Formula!I39+Formula!K39))*(INDEX(Properties!A$1:CB$87,Formula!F39,23))+((Formula!I39)/(Formula!C39+Formula!E39+Formula!G39+Formula!I39+Formula!K39))*(INDEX(Properties!A$1:CB$87,Formula!H39,23))+((Formula!K39)/(Formula!C39+Formula!E39+Formula!G39+Formula!I39+Formula!K39))*(INDEX(Properties!A$1:CB$87,Formula!J39,23))</f>
        <v>1.1111111111111112</v>
      </c>
      <c r="CC39" s="81">
        <f>Formula!C39*(INDEX(Properties!A$1:CB$87,Formula!B39,23))+Formula!E39*(INDEX(Properties!A$1:CB$87,Formula!D39,23))+Formula!G39*(INDEX(Properties!A$1:CB$87,Formula!F39,23))+Formula!I39*(INDEX(Properties!A$1:CB$87,Formula!H39,23))+Formula!K39*(INDEX(Properties!A$1:CB$87,Formula!J39,23))</f>
        <v>20</v>
      </c>
      <c r="CD39" s="81">
        <f>VARP(IF(INDEX(Properties!A$1:CB$87,Formula!B39,23)&lt;&gt;"",INDEX(Properties!A$1:CB$87,Formula!B39,23)),IF(INDEX(Properties!A$1:CB$87,Formula!D39,23)&lt;&gt;"",INDEX(Properties!A$1:CB$87,Formula!D39,23)),IF(INDEX(Properties!A$1:CB$87,Formula!F39,23)&lt;&gt;"",INDEX(Properties!A$1:CB$87,Formula!F39,23)),IF(INDEX(Properties!A$1:CB$87,Formula!H39,23)&lt;&gt;"",INDEX(Properties!A$1:CB$87,Formula!H39,23)),IF(INDEX(Properties!A$1:CB$87,Formula!J39,23)&lt;&gt;"",INDEX(Properties!A$1:CB$87,Formula!J39,23)))</f>
        <v>1.84</v>
      </c>
      <c r="CE39" s="81">
        <f>MAX(INDEX(Properties!A$1:CB$87,Formula!B39,23),INDEX(Properties!A$1:CB$87,Formula!D39,23),INDEX(Properties!A$1:CB$87,Formula!F39,23),INDEX(Properties!A$1:CB$87,Formula!H39,23),INDEX(Properties!A$1:CB$87,Formula!J39,23))</f>
        <v>3</v>
      </c>
      <c r="CF39" s="81">
        <f>MIN(IF(Formula!B39=87,10^6,INDEX(Properties!A$1:CB$87,Formula!B39,23)),IF((Formula!D39)=87,10^6,INDEX(Properties!A$1:CB$87,Formula!D39,23)),IF((Formula!F39)=87,10^6,INDEX(Properties!A$1:CB$87,Formula!F39,23)),IF((Formula!H39)=87,10^6,INDEX(Properties!A$1:CB$87,Formula!H39,23)),IF(Formula!J39=87,10^6,INDEX(Properties!A$1:CB$87,Formula!J39,23)))</f>
        <v>0</v>
      </c>
      <c r="CG39" s="81">
        <f t="shared" si="13"/>
        <v>3</v>
      </c>
      <c r="CH39" s="39">
        <f>((Formula!C39)/(Formula!C39+Formula!E39+Formula!G39+Formula!I39+Formula!K39))*(INDEX(Properties!A$1:CB$87,Formula!B39,26))+((Formula!E39)/(Formula!C39+Formula!E39+Formula!G39+Formula!I39+Formula!K39))*(INDEX(Properties!A$1:CB$87,Formula!D39,26))+((Formula!G39)/(Formula!C39+Formula!E39+Formula!G39+Formula!I39+Formula!K39))*(INDEX(Properties!A$1:CB$87,Formula!F39,26))+((Formula!I39)/(Formula!C39+Formula!E39+Formula!G39+Formula!I39+Formula!K39))*(INDEX(Properties!A$1:CB$87,Formula!H39,26))+((Formula!K39)/(Formula!C39+Formula!E39+Formula!G39+Formula!I39+Formula!K39))*(INDEX(Properties!A$1:CB$87,Formula!J39,26))</f>
        <v>10.648755555555557</v>
      </c>
      <c r="CI39" s="39">
        <f>Formula!C39*(INDEX(Properties!A$1:CB$87,Formula!B39,26))+Formula!E39*(INDEX(Properties!A$1:CB$87,Formula!D39,26))+Formula!G39*(INDEX(Properties!A$1:CB$87,Formula!F39,26))+Formula!I39*(INDEX(Properties!A$1:CB$87,Formula!H39,26))+Formula!K39*(INDEX(Properties!A$1:CB$87,Formula!J39,26))</f>
        <v>191.67760000000001</v>
      </c>
      <c r="CJ39" s="39">
        <f>VARP(IF(INDEX(Properties!A$1:CB$87,Formula!B39,26)&lt;&gt;"",INDEX(Properties!A$1:CB$87,Formula!B39,26)),IF(INDEX(Properties!A$1:CB$87,Formula!D39,26)&lt;&gt;"",INDEX(Properties!A$1:CB$87,Formula!D39,26)),IF(INDEX(Properties!A$1:CB$87,Formula!F39,26)&lt;&gt;"",INDEX(Properties!A$1:CB$87,Formula!F39,26)),IF(INDEX(Properties!A$1:CB$87,Formula!H39,26)&lt;&gt;"",INDEX(Properties!A$1:CB$87,Formula!H39,26)),IF(INDEX(Properties!A$1:CB$87,Formula!J39,26)&lt;&gt;"",INDEX(Properties!A$1:CB$87,Formula!J39,26)))</f>
        <v>19.171706105600016</v>
      </c>
      <c r="CK39" s="39">
        <f>MAX(INDEX(Properties!A$1:CB$87,Formula!B39,26),INDEX(Properties!A$1:CB$87,Formula!D39,26),INDEX(Properties!A$1:CB$87,Formula!F39,26),INDEX(Properties!A$1:CB$87,Formula!H39,26),INDEX(Properties!A$1:CB$87,Formula!J39,26))</f>
        <v>13.6181</v>
      </c>
      <c r="CL39" s="39">
        <f>MIN(IF(INDEX(Properties!A$1:CB$87,Formula!B39,26)=0,10^6,INDEX(Properties!A$1:CB$87,Formula!B39,26)),IF(INDEX(Properties!A$1:CB$87,Formula!D39,26)=0,10^6,INDEX(Properties!A$1:CB$87,Formula!D39,26)),IF(INDEX(Properties!A$1:CB$87,Formula!F39,26)=0,10^6,INDEX(Properties!A$1:CB$87,Formula!F39,26)),IF(INDEX(Properties!A$1:CB$87,Formula!H39,26)=0,10^6,INDEX(Properties!A$1:CB$87,Formula!H39,26)),IF(INDEX(Properties!A$1:CB$87,Formula!J39,26)=0,10^6,INDEX(Properties!A$1:CB$87,Formula!J39,26)))</f>
        <v>6.1132</v>
      </c>
      <c r="CM39" s="39">
        <f t="shared" si="14"/>
        <v>7.5049000000000001</v>
      </c>
      <c r="CN39" s="54">
        <f>((Formula!C39)/(Formula!C39+Formula!E39+Formula!G39+Formula!I39+Formula!K39))*(INDEX(Properties!A$1:CB$87,Formula!B39,30))+((Formula!E39)/(Formula!C39+Formula!E39+Formula!G39+Formula!I39+Formula!K39))*(INDEX(Properties!A$1:CB$87,Formula!D39,30))+((Formula!G39)/(Formula!C39+Formula!E39+Formula!G39+Formula!I39+Formula!K39))*(INDEX(Properties!A$1:CB$87,Formula!F39,30))+((Formula!I39)/(Formula!C39+Formula!E39+Formula!G39+Formula!I39+Formula!K39))*(INDEX(Properties!A$1:CB$87,Formula!H39,30))+((Formula!K39)/(Formula!C39+Formula!E39+Formula!G39+Formula!I39+Formula!K39))*(INDEX(Properties!A$1:CB$87,Formula!J39,30))</f>
        <v>2.54</v>
      </c>
      <c r="CO39" s="54">
        <f>Formula!C39*(INDEX(Properties!A$1:CB$87,Formula!B39,30))+Formula!E39*(INDEX(Properties!A$1:CB$87,Formula!D39,30))+Formula!G39*(INDEX(Properties!A$1:CB$87,Formula!F39,30))+Formula!I39*(INDEX(Properties!A$1:CB$87,Formula!H39,30))+Formula!K39*(INDEX(Properties!A$1:CB$87,Formula!J39,30))</f>
        <v>45.72</v>
      </c>
      <c r="CP39" s="54">
        <f>VARP(IF(INDEX(Properties!A$1:CB$87,Formula!B39,30)&lt;&gt;"",INDEX(Properties!A$1:CB$87,Formula!B39,30)),IF(INDEX(Properties!A$1:CB$87,Formula!D39,30)&lt;&gt;"",INDEX(Properties!A$1:CB$87,Formula!D39,30)),IF(INDEX(Properties!A$1:CB$87,Formula!F39,30)&lt;&gt;"",INDEX(Properties!A$1:CB$87,Formula!F39,30)),IF(INDEX(Properties!A$1:CB$87,Formula!H39,30)&lt;&gt;"",INDEX(Properties!A$1:CB$87,Formula!H39,30)),IF(INDEX(Properties!A$1:CB$87,Formula!J39,30)&lt;&gt;"",INDEX(Properties!A$1:CB$87,Formula!J39,30)))</f>
        <v>1.3277439999999996</v>
      </c>
      <c r="CQ39" s="54">
        <f>MAX(INDEX(Properties!A$1:CB$87,Formula!B39,30),INDEX(Properties!A$1:CB$87,Formula!D39,30),INDEX(Properties!A$1:CB$87,Formula!F39,30),INDEX(Properties!A$1:CB$87,Formula!H39,30),INDEX(Properties!A$1:CB$87,Formula!J39,30))</f>
        <v>3.44</v>
      </c>
      <c r="CR39" s="54">
        <f>MIN(IF(INDEX(Properties!A$1:CB$87,Formula!B39,30)=0,10^6,INDEX(Properties!A$1:CB$87,Formula!B39,30)),IF(INDEX(Properties!A$1:CB$87,Formula!D39,30)=0,10^6,INDEX(Properties!A$1:CB$87,Formula!D39,30)),IF(INDEX(Properties!A$1:CB$87,Formula!F39,30)=0,10^6,INDEX(Properties!A$1:CB$87,Formula!F39,30)),IF(INDEX(Properties!A$1:CB$87,Formula!H39,30)=0,10^6,INDEX(Properties!A$1:CB$87,Formula!H39,30)),IF(INDEX(Properties!A$1:CB$87,Formula!J39,30)=0,10^6,INDEX(Properties!A$1:CB$87,Formula!J39,30)))</f>
        <v>1</v>
      </c>
      <c r="CS39" s="54">
        <f t="shared" si="15"/>
        <v>2.44</v>
      </c>
      <c r="CT39" s="69">
        <f>((Formula!C39)/(Formula!C39+Formula!E39+Formula!G39+Formula!I39+Formula!K39))*(INDEX(Properties!A$1:CB$87,Formula!B39,31))+((Formula!E39)/(Formula!C39+Formula!E39+Formula!G39+Formula!I39+Formula!K39))*(INDEX(Properties!A$1:CB$87,Formula!D39,31))+((Formula!G39)/(Formula!C39+Formula!E39+Formula!G39+Formula!I39+Formula!K39))*(INDEX(Properties!A$1:CB$87,Formula!F39,31))+((Formula!I39)/(Formula!C39+Formula!E39+Formula!G39+Formula!I39+Formula!K39))*(INDEX(Properties!A$1:CB$87,Formula!H39,31))+((Formula!K39)/(Formula!C39+Formula!E39+Formula!G39+Formula!I39+Formula!K39))*(INDEX(Properties!A$1:CB$87,Formula!J39,31))</f>
        <v>2.4822222222222221</v>
      </c>
      <c r="CU39" s="69">
        <f>Formula!C39*(INDEX(Properties!A$1:CB$87,Formula!B39,31))+Formula!E39*(INDEX(Properties!A$1:CB$87,Formula!D39,31))+Formula!G39*(INDEX(Properties!A$1:CB$87,Formula!F39,31))+Formula!I39*(INDEX(Properties!A$1:CB$87,Formula!H39,31))+Formula!K39*(INDEX(Properties!A$1:CB$87,Formula!J39,31))</f>
        <v>44.679999999999993</v>
      </c>
      <c r="CV39" s="69">
        <f>VARP(IF(INDEX(Properties!A$1:CB$87,Formula!B39,31)&lt;&gt;"",INDEX(Properties!A$1:CB$87,Formula!B39,31)),IF(INDEX(Properties!A$1:CB$87,Formula!D39,31)&lt;&gt;"",INDEX(Properties!A$1:CB$87,Formula!D39,31)),IF(INDEX(Properties!A$1:CB$87,Formula!F39,31)&lt;&gt;"",INDEX(Properties!A$1:CB$87,Formula!F39,31)),IF(INDEX(Properties!A$1:CB$87,Formula!H39,31)&lt;&gt;"",INDEX(Properties!A$1:CB$87,Formula!H39,31)),IF(INDEX(Properties!A$1:CB$87,Formula!J39,31)&lt;&gt;"",INDEX(Properties!A$1:CB$87,Formula!J39,31)))</f>
        <v>1.1982559999999998</v>
      </c>
      <c r="CW39" s="69">
        <f>MAX(INDEX(Properties!A$1:CB$87,Formula!B39,31),INDEX(Properties!A$1:CB$87,Formula!D39,31),INDEX(Properties!A$1:CB$87,Formula!F39,31),INDEX(Properties!A$1:CB$87,Formula!H39,31),INDEX(Properties!A$1:CB$87,Formula!J39,31))</f>
        <v>3.32</v>
      </c>
      <c r="CX39" s="69">
        <f>MIN(IF(INDEX(Properties!A$1:CB$87,Formula!B39,31)=0,10^6,INDEX(Properties!A$1:CB$87,Formula!B39,31)),IF(INDEX(Properties!A$1:CB$87,Formula!D39,31)=0,10^6,INDEX(Properties!A$1:CB$87,Formula!D39,31)),IF(INDEX(Properties!A$1:CB$87,Formula!F39,31)=0,10^6,INDEX(Properties!A$1:CB$87,Formula!F39,31)),IF(INDEX(Properties!A$1:CB$87,Formula!H39,31)=0,10^6,INDEX(Properties!A$1:CB$87,Formula!H39,31)),IF(INDEX(Properties!A$1:CB$87,Formula!J39,31)=0,10^6,INDEX(Properties!A$1:CB$87,Formula!J39,31)))</f>
        <v>1.1000000000000001</v>
      </c>
      <c r="CY39" s="69">
        <f t="shared" si="16"/>
        <v>2.2199999999999998</v>
      </c>
      <c r="CZ39" s="42">
        <f>((Formula!C39)/(Formula!C39+Formula!E39+Formula!G39+Formula!I39+Formula!K39))*(INDEX(Properties!A$1:CB$87,Formula!B39,32))+((Formula!E39)/(Formula!C39+Formula!E39+Formula!G39+Formula!I39+Formula!K39))*(INDEX(Properties!A$1:CB$87,Formula!D39,32))+((Formula!G39)/(Formula!C39+Formula!E39+Formula!G39+Formula!I39+Formula!K39))*(INDEX(Properties!A$1:CB$87,Formula!F39,32))+((Formula!I39)/(Formula!C39+Formula!E39+Formula!G39+Formula!I39+Formula!K39))*(INDEX(Properties!A$1:CB$87,Formula!H39,32))+((Formula!K39)/(Formula!C39+Formula!E39+Formula!G39+Formula!I39+Formula!K39))*(INDEX(Properties!A$1:CB$87,Formula!J39,32))</f>
        <v>5.5650000000000004</v>
      </c>
      <c r="DA39" s="42">
        <f>Formula!C39*(INDEX(Properties!A$1:CB$87,Formula!B39,32))+Formula!E39*(INDEX(Properties!A$1:CB$87,Formula!D39,32))+Formula!G39*(INDEX(Properties!A$1:CB$87,Formula!F39,32))+Formula!I39*(INDEX(Properties!A$1:CB$87,Formula!H39,32))+Formula!K39*(INDEX(Properties!A$1:CB$87,Formula!J39,32))</f>
        <v>100.17000000000002</v>
      </c>
      <c r="DB39" s="42">
        <f>VARP(IF(INDEX(Properties!A$1:CB$87,Formula!B39,32)&lt;&gt;"",INDEX(Properties!A$1:CB$87,Formula!B39,32)),IF(INDEX(Properties!A$1:CB$87,Formula!D39,32)&lt;&gt;"",INDEX(Properties!A$1:CB$87,Formula!D39,32)),IF(INDEX(Properties!A$1:CB$87,Formula!F39,32)&lt;&gt;"",INDEX(Properties!A$1:CB$87,Formula!F39,32)),IF(INDEX(Properties!A$1:CB$87,Formula!H39,32)&lt;&gt;"",INDEX(Properties!A$1:CB$87,Formula!H39,32)),IF(INDEX(Properties!A$1:CB$87,Formula!J39,32)&lt;&gt;"",INDEX(Properties!A$1:CB$87,Formula!J39,32)))</f>
        <v>6.2036640000000007</v>
      </c>
      <c r="DC39" s="42">
        <f>MAX(INDEX(Properties!A$1:CB$87,Formula!B39,32),INDEX(Properties!A$1:CB$87,Formula!D39,32),INDEX(Properties!A$1:CB$87,Formula!F39,32),INDEX(Properties!A$1:CB$87,Formula!H39,32),INDEX(Properties!A$1:CB$87,Formula!J39,32))</f>
        <v>7.54</v>
      </c>
      <c r="DD39" s="42">
        <f>MIN(IF(INDEX(Properties!A$1:CB$87,Formula!B39,32)=0,10^6,INDEX(Properties!A$1:CB$87,Formula!B39,32)),IF(INDEX(Properties!A$1:CB$87,Formula!D39,32)=0,10^6,INDEX(Properties!A$1:CB$87,Formula!D39,32)),IF(INDEX(Properties!A$1:CB$87,Formula!F39,32)=0,10^6,INDEX(Properties!A$1:CB$87,Formula!F39,32)),IF(INDEX(Properties!A$1:CB$87,Formula!H39,32)=0,10^6,INDEX(Properties!A$1:CB$87,Formula!H39,32)),IF(INDEX(Properties!A$1:CB$87,Formula!J39,32)=0,10^6,INDEX(Properties!A$1:CB$87,Formula!J39,32)))</f>
        <v>2.2000000000000002</v>
      </c>
      <c r="DE39" s="42">
        <f t="shared" si="17"/>
        <v>5.34</v>
      </c>
      <c r="DF39" s="60">
        <f>((Formula!C39)/(Formula!C39+Formula!E39+Formula!G39+Formula!I39+Formula!K39))*(INDEX(Properties!A$1:CB$87,Formula!B39,34))+((Formula!E39)/(Formula!C39+Formula!E39+Formula!G39+Formula!I39+Formula!K39))*(INDEX(Properties!A$1:CB$87,Formula!D39,34))+((Formula!G39)/(Formula!C39+Formula!E39+Formula!G39+Formula!I39+Formula!K39))*(INDEX(Properties!A$1:CB$87,Formula!F39,34))+((Formula!I39)/(Formula!C39+Formula!E39+Formula!G39+Formula!I39+Formula!K39))*(INDEX(Properties!A$1:CB$87,Formula!H39,34))+((Formula!K39)/(Formula!C39+Formula!E39+Formula!G39+Formula!I39+Formula!K39))*(INDEX(Properties!A$1:CB$87,Formula!J39,34))</f>
        <v>2.6377222222222221</v>
      </c>
      <c r="DG39" s="60">
        <f>Formula!C39*(INDEX(Properties!A$1:CB$87,Formula!B39,34))+Formula!E39*(INDEX(Properties!A$1:CB$87,Formula!D39,34))+Formula!G39*(INDEX(Properties!A$1:CB$87,Formula!F39,34))+Formula!I39*(INDEX(Properties!A$1:CB$87,Formula!H39,34))+Formula!K39*(INDEX(Properties!A$1:CB$87,Formula!J39,34))</f>
        <v>47.478999999999999</v>
      </c>
      <c r="DH39" s="60">
        <f>VARP(IF(INDEX(Properties!A$1:CB$87,Formula!B39,34)&lt;&gt;"",INDEX(Properties!A$1:CB$87,Formula!B39,34)),IF(INDEX(Properties!A$1:CB$87,Formula!D39,34)&lt;&gt;"",INDEX(Properties!A$1:CB$87,Formula!D39,34)),IF(INDEX(Properties!A$1:CB$87,Formula!F39,34)&lt;&gt;"",INDEX(Properties!A$1:CB$87,Formula!F39,34)),IF(INDEX(Properties!A$1:CB$87,Formula!H39,34)&lt;&gt;"",INDEX(Properties!A$1:CB$87,Formula!H39,34)),IF(INDEX(Properties!A$1:CB$87,Formula!J39,34)&lt;&gt;"",INDEX(Properties!A$1:CB$87,Formula!J39,34)))</f>
        <v>1.4749424000000002</v>
      </c>
      <c r="DI39" s="60">
        <f>MAX(INDEX(Properties!A$1:CB$87,Formula!B39,34),INDEX(Properties!A$1:CB$87,Formula!D39,34),INDEX(Properties!A$1:CB$87,Formula!F39,34),INDEX(Properties!A$1:CB$87,Formula!H39,34),INDEX(Properties!A$1:CB$87,Formula!J39,34))</f>
        <v>3.61</v>
      </c>
      <c r="DJ39" s="60">
        <f>MIN(IF(INDEX(Properties!A$1:CB$87,Formula!B39,34)=0,10^6,INDEX(Properties!A$1:CB$87,Formula!B39,34)),IF(INDEX(Properties!A$1:CB$87,Formula!D39,34)=0,10^6,INDEX(Properties!A$1:CB$87,Formula!D39,34)),IF(INDEX(Properties!A$1:CB$87,Formula!F39,34)=0,10^6,INDEX(Properties!A$1:CB$87,Formula!F39,34)),IF(INDEX(Properties!A$1:CB$87,Formula!H39,34)=0,10^6,INDEX(Properties!A$1:CB$87,Formula!H39,34)),IF(INDEX(Properties!A$1:CB$87,Formula!J39,34)=0,10^6,INDEX(Properties!A$1:CB$87,Formula!J39,34)))</f>
        <v>1.034</v>
      </c>
      <c r="DK39" s="60">
        <f t="shared" si="18"/>
        <v>2.5759999999999996</v>
      </c>
      <c r="DL39" s="45">
        <f>((Formula!C39)/(Formula!C39+Formula!E39+Formula!G39+Formula!I39+Formula!K39))*(INDEX(Properties!A$1:CB$87,Formula!B39,39))+((Formula!E39)/(Formula!C39+Formula!E39+Formula!G39+Formula!I39+Formula!K39))*(INDEX(Properties!A$1:CB$87,Formula!D39,39))+((Formula!G39)/(Formula!C39+Formula!E39+Formula!G39+Formula!I39+Formula!K39))*(INDEX(Properties!A$1:CB$87,Formula!F39,39))+((Formula!I39)/(Formula!C39+Formula!E39+Formula!G39+Formula!I39+Formula!K39))*(INDEX(Properties!A$1:CB$87,Formula!H39,39))+((Formula!K39)/(Formula!C39+Formula!E39+Formula!G39+Formula!I39+Formula!K39))*(INDEX(Properties!A$1:CB$87,Formula!J39,39))</f>
        <v>0.9722222222222221</v>
      </c>
      <c r="DM39" s="45">
        <f>Formula!C39*(INDEX(Properties!A$1:CB$87,Formula!B39,39))+Formula!E39*(INDEX(Properties!A$1:CB$87,Formula!D39,39))+Formula!G39*(INDEX(Properties!A$1:CB$87,Formula!F39,39))+Formula!I39*(INDEX(Properties!A$1:CB$87,Formula!H39,39))+Formula!K39*(INDEX(Properties!A$1:CB$87,Formula!J39,39))</f>
        <v>17.5</v>
      </c>
      <c r="DN39" s="45">
        <f>VARP(IF(INDEX(Properties!A$1:CB$87,Formula!B39,39)&lt;&gt;"",INDEX(Properties!A$1:CB$87,Formula!B39,39)),IF(INDEX(Properties!A$1:CB$87,Formula!D39,39)&lt;&gt;"",INDEX(Properties!A$1:CB$87,Formula!D39,39)),IF(INDEX(Properties!A$1:CB$87,Formula!F39,39)&lt;&gt;"",INDEX(Properties!A$1:CB$87,Formula!F39,39)),IF(INDEX(Properties!A$1:CB$87,Formula!H39,39)&lt;&gt;"",INDEX(Properties!A$1:CB$87,Formula!H39,39)),IF(INDEX(Properties!A$1:CB$87,Formula!J39,39)&lt;&gt;"",INDEX(Properties!A$1:CB$87,Formula!J39,39)))</f>
        <v>0.77258400000000038</v>
      </c>
      <c r="DO39" s="45">
        <f>MAX(INDEX(Properties!A$1:CB$87,Formula!B39,39),INDEX(Properties!A$1:CB$87,Formula!D39,39),INDEX(Properties!A$1:CB$87,Formula!F39,39),INDEX(Properties!A$1:CB$87,Formula!H39,39),INDEX(Properties!A$1:CB$87,Formula!J39,39))</f>
        <v>2.33</v>
      </c>
      <c r="DP39" s="45">
        <f>MIN(IF(INDEX(Properties!A$1:CB$87,Formula!B39,39)=0,10^6,INDEX(Properties!A$1:CB$87,Formula!B39,39)),IF(INDEX(Properties!A$1:CB$87,Formula!D39,39)=0,10^6,INDEX(Properties!A$1:CB$87,Formula!D39,39)),IF(INDEX(Properties!A$1:CB$87,Formula!F39,39)=0,10^6,INDEX(Properties!A$1:CB$87,Formula!F39,39)),IF(INDEX(Properties!A$1:CB$87,Formula!H39,39)=0,10^6,INDEX(Properties!A$1:CB$87,Formula!H39,39)),IF(INDEX(Properties!A$1:CB$87,Formula!J39,39)=0,10^6,INDEX(Properties!A$1:CB$87,Formula!J39,39)))</f>
        <v>0.48</v>
      </c>
      <c r="DQ39" s="45">
        <f t="shared" si="19"/>
        <v>1.85</v>
      </c>
      <c r="DR39" s="63">
        <f>((Formula!C39)/(Formula!C39+Formula!E39+Formula!G39+Formula!I39+Formula!K39))*(INDEX(Properties!A$1:CB$87,Formula!B39,40))+((Formula!E39)/(Formula!C39+Formula!E39+Formula!G39+Formula!I39+Formula!K39))*(INDEX(Properties!A$1:CB$87,Formula!D39,40))+((Formula!G39)/(Formula!C39+Formula!E39+Formula!G39+Formula!I39+Formula!K39))*(INDEX(Properties!A$1:CB$87,Formula!F39,40))+((Formula!I39)/(Formula!C39+Formula!E39+Formula!G39+Formula!I39+Formula!K39))*(INDEX(Properties!A$1:CB$87,Formula!H39,40))+((Formula!K39)/(Formula!C39+Formula!E39+Formula!G39+Formula!I39+Formula!K39))*(INDEX(Properties!A$1:CB$87,Formula!J39,40))</f>
        <v>1.0183333333333333</v>
      </c>
      <c r="DS39" s="63">
        <f>Formula!C39*(INDEX(Properties!A$1:CB$87,Formula!B39,40))+Formula!E39*(INDEX(Properties!A$1:CB$87,Formula!D39,40))+Formula!G39*(INDEX(Properties!A$1:CB$87,Formula!F39,40))+Formula!I39*(INDEX(Properties!A$1:CB$87,Formula!H39,40))+Formula!K39*(INDEX(Properties!A$1:CB$87,Formula!J39,40))</f>
        <v>18.330000000000002</v>
      </c>
      <c r="DT39" s="63">
        <f>VARP(IF(INDEX(Properties!A$1:CB$87,Formula!B39,40)&lt;&gt;"",INDEX(Properties!A$1:CB$87,Formula!B39,40)),IF(INDEX(Properties!A$1:CB$87,Formula!D39,40)&lt;&gt;"",INDEX(Properties!A$1:CB$87,Formula!D39,40)),IF(INDEX(Properties!A$1:CB$87,Formula!F39,40)&lt;&gt;"",INDEX(Properties!A$1:CB$87,Formula!F39,40)),IF(INDEX(Properties!A$1:CB$87,Formula!H39,40)&lt;&gt;"",INDEX(Properties!A$1:CB$87,Formula!H39,40)),IF(INDEX(Properties!A$1:CB$87,Formula!J39,40)&lt;&gt;"",INDEX(Properties!A$1:CB$87,Formula!J39,40)))</f>
        <v>0.40459999999999979</v>
      </c>
      <c r="DU39" s="63">
        <f>MAX(INDEX(Properties!A$1:CB$87,Formula!B39,40),INDEX(Properties!A$1:CB$87,Formula!D39,40),INDEX(Properties!A$1:CB$87,Formula!F39,40),INDEX(Properties!A$1:CB$87,Formula!H39,40),INDEX(Properties!A$1:CB$87,Formula!J39,40))</f>
        <v>1.74</v>
      </c>
      <c r="DV39" s="63">
        <f>MIN(IF(INDEX(Properties!A$1:CB$87,Formula!B39,40)=0,10^6,INDEX(Properties!A$1:CB$87,Formula!B39,40)),IF(INDEX(Properties!A$1:CB$87,Formula!D39,40)=0,10^6,INDEX(Properties!A$1:CB$87,Formula!D39,40)),IF(INDEX(Properties!A$1:CB$87,Formula!F39,40)=0,10^6,INDEX(Properties!A$1:CB$87,Formula!F39,40)),IF(INDEX(Properties!A$1:CB$87,Formula!H39,40)=0,10^6,INDEX(Properties!A$1:CB$87,Formula!H39,40)),IF(INDEX(Properties!A$1:CB$87,Formula!J39,40)=0,10^6,INDEX(Properties!A$1:CB$87,Formula!J39,40)))</f>
        <v>0.73</v>
      </c>
      <c r="DW39" s="63">
        <f t="shared" si="20"/>
        <v>1.01</v>
      </c>
      <c r="DX39" s="75">
        <f>((Formula!C39)/(Formula!C39+Formula!E39+Formula!G39+Formula!I39+Formula!K39))*(INDEX(Properties!A$1:CB$87,Formula!B39,41))+((Formula!E39)/(Formula!C39+Formula!E39+Formula!G39+Formula!I39+Formula!K39))*(INDEX(Properties!A$1:CB$87,Formula!D39,41))+((Formula!G39)/(Formula!C39+Formula!E39+Formula!G39+Formula!I39+Formula!K39))*(INDEX(Properties!A$1:CB$87,Formula!F39,41))+((Formula!I39)/(Formula!C39+Formula!E39+Formula!G39+Formula!I39+Formula!K39))*(INDEX(Properties!A$1:CB$87,Formula!H39,41))+((Formula!K39)/(Formula!C39+Formula!E39+Formula!G39+Formula!I39+Formula!K39))*(INDEX(Properties!A$1:CB$87,Formula!J39,41))</f>
        <v>1.0816666666666666</v>
      </c>
      <c r="DY39" s="75">
        <f>Formula!C39*(INDEX(Properties!A$1:CB$87,Formula!B39,41))+Formula!E39*(INDEX(Properties!A$1:CB$87,Formula!D39,41))+Formula!G39*(INDEX(Properties!A$1:CB$87,Formula!F39,41))+Formula!I39*(INDEX(Properties!A$1:CB$87,Formula!H39,41))+Formula!K39*(INDEX(Properties!A$1:CB$87,Formula!J39,41))</f>
        <v>19.47</v>
      </c>
      <c r="DZ39" s="75">
        <f>VARP(IF(INDEX(Properties!A$1:CB$87,Formula!B39,41)&lt;&gt;"",INDEX(Properties!A$1:CB$87,Formula!B39,41)),IF(INDEX(Properties!A$1:CB$87,Formula!D39,41)&lt;&gt;"",INDEX(Properties!A$1:CB$87,Formula!D39,41)),IF(INDEX(Properties!A$1:CB$87,Formula!F39,41)&lt;&gt;"",INDEX(Properties!A$1:CB$87,Formula!F39,41)),IF(INDEX(Properties!A$1:CB$87,Formula!H39,41)&lt;&gt;"",INDEX(Properties!A$1:CB$87,Formula!H39,41)),IF(INDEX(Properties!A$1:CB$87,Formula!J39,41)&lt;&gt;"",INDEX(Properties!A$1:CB$87,Formula!J39,41)))</f>
        <v>0.23905600000000007</v>
      </c>
      <c r="EA39" s="75">
        <f>MAX(INDEX(Properties!A$1:CB$87,Formula!B39,41),INDEX(Properties!A$1:CB$87,Formula!D39,41),INDEX(Properties!A$1:CB$87,Formula!F39,41),INDEX(Properties!A$1:CB$87,Formula!H39,41),INDEX(Properties!A$1:CB$87,Formula!J39,41))</f>
        <v>1.26</v>
      </c>
      <c r="EB39" s="75">
        <f>MIN(IF(INDEX(Properties!A$1:CB$87,Formula!B39,41)=0,10^6,INDEX(Properties!A$1:CB$87,Formula!B39,41)),IF(INDEX(Properties!A$1:CB$87,Formula!D39,41)=0,10^6,INDEX(Properties!A$1:CB$87,Formula!D39,41)),IF(INDEX(Properties!A$1:CB$87,Formula!F39,41)=0,10^6,INDEX(Properties!A$1:CB$87,Formula!F39,41)),IF(INDEX(Properties!A$1:CB$87,Formula!H39,41)=0,10^6,INDEX(Properties!A$1:CB$87,Formula!H39,41)),IF(INDEX(Properties!A$1:CB$87,Formula!J39,41)=0,10^6,INDEX(Properties!A$1:CB$87,Formula!J39,41)))</f>
        <v>0.41</v>
      </c>
      <c r="EC39" s="75">
        <f t="shared" si="21"/>
        <v>0.85000000000000009</v>
      </c>
      <c r="ED39" s="48">
        <f>((Formula!C39)/(Formula!C39+Formula!E39+Formula!G39+Formula!I39+Formula!K39))*(INDEX(Properties!A$1:CB$87,Formula!B39,45))+((Formula!E39)/(Formula!C39+Formula!E39+Formula!G39+Formula!I39+Formula!K39))*(INDEX(Properties!A$1:CB$87,Formula!D39,45))+((Formula!G39)/(Formula!C39+Formula!E39+Formula!G39+Formula!I39+Formula!K39))*(INDEX(Properties!A$1:CB$87,Formula!F39,45))+((Formula!I39)/(Formula!C39+Formula!E39+Formula!G39+Formula!I39+Formula!K39))*(INDEX(Properties!A$1:CB$87,Formula!H39,45))+((Formula!K39)/(Formula!C39+Formula!E39+Formula!G39+Formula!I39+Formula!K39))*(INDEX(Properties!A$1:CB$87,Formula!J39,45))</f>
        <v>1.2783333333333333</v>
      </c>
      <c r="EE39" s="48">
        <f>Formula!C39*(INDEX(Properties!A$1:CB$87,Formula!B39,45))+Formula!E39*(INDEX(Properties!A$1:CB$87,Formula!D39,45))+Formula!G39*(INDEX(Properties!A$1:CB$87,Formula!F39,45))+Formula!I39*(INDEX(Properties!A$1:CB$87,Formula!H39,45))+Formula!K39*(INDEX(Properties!A$1:CB$87,Formula!J39,45))</f>
        <v>23.01</v>
      </c>
      <c r="EF39" s="48">
        <f>VARP(IF(INDEX(Properties!A$1:CB$87,Formula!B39,45)&lt;&gt;"",INDEX(Properties!A$1:CB$87,Formula!B39,45)),IF(INDEX(Properties!A$1:CB$87,Formula!D39,45)&lt;&gt;"",INDEX(Properties!A$1:CB$87,Formula!D39,45)),IF(INDEX(Properties!A$1:CB$87,Formula!F39,45)&lt;&gt;"",INDEX(Properties!A$1:CB$87,Formula!F39,45)),IF(INDEX(Properties!A$1:CB$87,Formula!H39,45)&lt;&gt;"",INDEX(Properties!A$1:CB$87,Formula!H39,45)),IF(INDEX(Properties!A$1:CB$87,Formula!J39,45)&lt;&gt;"",INDEX(Properties!A$1:CB$87,Formula!J39,45)))</f>
        <v>2.3533040000000005</v>
      </c>
      <c r="EG39" s="48">
        <f>MAX(INDEX(Properties!A$1:CB$87,Formula!B39,45),INDEX(Properties!A$1:CB$87,Formula!D39,45),INDEX(Properties!A$1:CB$87,Formula!F39,45),INDEX(Properties!A$1:CB$87,Formula!H39,45),INDEX(Properties!A$1:CB$87,Formula!J39,45))</f>
        <v>3.91</v>
      </c>
      <c r="EH39" s="48">
        <f>MIN(IF(INDEX(Properties!A$1:CB$87,Formula!B39,45)=0,10^6,INDEX(Properties!A$1:CB$87,Formula!B39,45)),IF(INDEX(Properties!A$1:CB$87,Formula!D39,45)=0,10^6,INDEX(Properties!A$1:CB$87,Formula!D39,45)),IF(INDEX(Properties!A$1:CB$87,Formula!F39,45)=0,10^6,INDEX(Properties!A$1:CB$87,Formula!F39,45)),IF(INDEX(Properties!A$1:CB$87,Formula!H39,45)=0,10^6,INDEX(Properties!A$1:CB$87,Formula!H39,45)),IF(INDEX(Properties!A$1:CB$87,Formula!J39,45)=0,10^6,INDEX(Properties!A$1:CB$87,Formula!J39,45)))</f>
        <v>0.47</v>
      </c>
      <c r="EI39" s="48">
        <f t="shared" si="22"/>
        <v>3.4400000000000004</v>
      </c>
      <c r="EJ39" s="66">
        <f>((Formula!C39)/(Formula!C39+Formula!E39+Formula!G39+Formula!I39+Formula!K39))*(INDEX(Properties!A$1:CB$87,Formula!B39,46))+((Formula!E39)/(Formula!C39+Formula!E39+Formula!G39+Formula!I39+Formula!K39))*(INDEX(Properties!A$1:CB$87,Formula!D39,46))+((Formula!G39)/(Formula!C39+Formula!E39+Formula!G39+Formula!I39+Formula!K39))*(INDEX(Properties!A$1:CB$87,Formula!F39,46))+((Formula!I39)/(Formula!C39+Formula!E39+Formula!G39+Formula!I39+Formula!K39))*(INDEX(Properties!A$1:CB$87,Formula!H39,46))+((Formula!K39)/(Formula!C39+Formula!E39+Formula!G39+Formula!I39+Formula!K39))*(INDEX(Properties!A$1:CB$87,Formula!J39,46))</f>
        <v>1.0272222222222223</v>
      </c>
      <c r="EK39" s="66">
        <f>Formula!C39*(INDEX(Properties!A$1:CB$87,Formula!B39,46))+Formula!E39*(INDEX(Properties!A$1:CB$87,Formula!D39,46))+Formula!G39*(INDEX(Properties!A$1:CB$87,Formula!F39,46))+Formula!I39*(INDEX(Properties!A$1:CB$87,Formula!H39,46))+Formula!K39*(INDEX(Properties!A$1:CB$87,Formula!J39,46))</f>
        <v>18.489999999999998</v>
      </c>
      <c r="EL39" s="66">
        <f>VARP(IF(INDEX(Properties!A$1:CB$87,Formula!B39,46)&lt;&gt;"",INDEX(Properties!A$1:CB$87,Formula!B39,46)),IF(INDEX(Properties!A$1:CB$87,Formula!D39,46)&lt;&gt;"",INDEX(Properties!A$1:CB$87,Formula!D39,46)),IF(INDEX(Properties!A$1:CB$87,Formula!F39,46)&lt;&gt;"",INDEX(Properties!A$1:CB$87,Formula!F39,46)),IF(INDEX(Properties!A$1:CB$87,Formula!H39,46)&lt;&gt;"",INDEX(Properties!A$1:CB$87,Formula!H39,46)),IF(INDEX(Properties!A$1:CB$87,Formula!J39,46)&lt;&gt;"",INDEX(Properties!A$1:CB$87,Formula!J39,46)))</f>
        <v>0.25682400000000016</v>
      </c>
      <c r="EM39" s="66">
        <f>MAX(INDEX(Properties!A$1:CB$87,Formula!B39,46),INDEX(Properties!A$1:CB$87,Formula!D39,46),INDEX(Properties!A$1:CB$87,Formula!F39,46),INDEX(Properties!A$1:CB$87,Formula!H39,46),INDEX(Properties!A$1:CB$87,Formula!J39,46))</f>
        <v>1.21</v>
      </c>
      <c r="EN39" s="66">
        <f>MIN(IF(INDEX(Properties!A$1:CB$87,Formula!B39,46)=0,10^6,INDEX(Properties!A$1:CB$87,Formula!B39,46)),IF(INDEX(Properties!A$1:CB$87,Formula!D39,46)=0,10^6,INDEX(Properties!A$1:CB$87,Formula!D39,46)),IF(INDEX(Properties!A$1:CB$87,Formula!F39,46)=0,10^6,INDEX(Properties!A$1:CB$87,Formula!F39,46)),IF(INDEX(Properties!A$1:CB$87,Formula!H39,46)=0,10^6,INDEX(Properties!A$1:CB$87,Formula!H39,46)),IF(INDEX(Properties!A$1:CB$87,Formula!J39,46)=0,10^6,INDEX(Properties!A$1:CB$87,Formula!J39,46)))</f>
        <v>0.25</v>
      </c>
      <c r="EO39" s="66">
        <f t="shared" si="23"/>
        <v>0.96</v>
      </c>
      <c r="EP39" s="81">
        <f>((Formula!C39)/(Formula!C39+Formula!E39+Formula!G39+Formula!I39+Formula!K39))*(INDEX(Properties!A$1:CB$87,Formula!B39,52))+((Formula!E39)/(Formula!C39+Formula!E39+Formula!G39+Formula!I39+Formula!K39))*(INDEX(Properties!A$1:CB$87,Formula!D39,52))+((Formula!G39)/(Formula!C39+Formula!E39+Formula!G39+Formula!I39+Formula!K39))*(INDEX(Properties!A$1:CB$87,Formula!F39,52))+((Formula!I39)/(Formula!C39+Formula!E39+Formula!G39+Formula!I39+Formula!K39))*(INDEX(Properties!A$1:CB$87,Formula!H39,52))+((Formula!K39)/(Formula!C39+Formula!E39+Formula!G39+Formula!I39+Formula!K39))*(INDEX(Properties!A$1:CB$87,Formula!J39,52))</f>
        <v>7.3127777777777769</v>
      </c>
      <c r="EQ39" s="81">
        <f>Formula!C39*(INDEX(Properties!A$1:CB$87,Formula!B39,52))+Formula!E39*(INDEX(Properties!A$1:CB$87,Formula!D39,52))+Formula!G39*(INDEX(Properties!A$1:CB$87,Formula!F39,52))+Formula!I39*(INDEX(Properties!A$1:CB$87,Formula!H39,52))+Formula!K39*(INDEX(Properties!A$1:CB$87,Formula!J39,52))</f>
        <v>131.63</v>
      </c>
      <c r="ER39" s="81">
        <f>VARP(IF(INDEX(Properties!A$1:CB$87,Formula!B39,52)&lt;&gt;"",INDEX(Properties!A$1:CB$87,Formula!B39,52)),IF(INDEX(Properties!A$1:CB$87,Formula!D39,52)&lt;&gt;"",INDEX(Properties!A$1:CB$87,Formula!D39,52)),IF(INDEX(Properties!A$1:CB$87,Formula!F39,52)&lt;&gt;"",INDEX(Properties!A$1:CB$87,Formula!F39,52)),IF(INDEX(Properties!A$1:CB$87,Formula!H39,52)&lt;&gt;"",INDEX(Properties!A$1:CB$87,Formula!H39,52)),IF(INDEX(Properties!A$1:CB$87,Formula!J39,52)&lt;&gt;"",INDEX(Properties!A$1:CB$87,Formula!J39,52)))</f>
        <v>115.97142384000003</v>
      </c>
      <c r="ES39" s="81">
        <f>MAX(INDEX(Properties!A$1:CB$87,Formula!B39,52),INDEX(Properties!A$1:CB$87,Formula!D39,52),INDEX(Properties!A$1:CB$87,Formula!F39,52),INDEX(Properties!A$1:CB$87,Formula!H39,52),INDEX(Properties!A$1:CB$87,Formula!J39,52))</f>
        <v>23.5</v>
      </c>
      <c r="ET39" s="81">
        <f>MIN(IF(INDEX(Properties!A$1:CB$87,Formula!B39,52)=0,10^6,INDEX(Properties!A$1:CB$87,Formula!B39,52)),IF(INDEX(Properties!A$1:CB$87,Formula!D39,52)=0,10^6,INDEX(Properties!A$1:CB$87,Formula!D39,52)),IF(INDEX(Properties!A$1:CB$87,Formula!F39,52)=0,10^6,INDEX(Properties!A$1:CB$87,Formula!F39,52)),IF(INDEX(Properties!A$1:CB$87,Formula!H39,52)=0,10^6,INDEX(Properties!A$1:CB$87,Formula!H39,52)),IF(INDEX(Properties!A$1:CB$87,Formula!J39,52)=0,10^6,INDEX(Properties!A$1:CB$87,Formula!J39,52)))</f>
        <v>0.79300000000000004</v>
      </c>
      <c r="EU39" s="81">
        <f t="shared" si="24"/>
        <v>22.707000000000001</v>
      </c>
      <c r="EV39" s="39">
        <f>((Formula!C39)/(Formula!C39+Formula!E39+Formula!G39+Formula!I39+Formula!K39))*(INDEX(Properties!A$1:CB$87,Formula!B39,53))+((Formula!E39)/(Formula!C39+Formula!E39+Formula!G39+Formula!I39+Formula!K39))*(INDEX(Properties!A$1:CB$87,Formula!D39,53))+((Formula!G39)/(Formula!C39+Formula!E39+Formula!G39+Formula!I39+Formula!K39))*(INDEX(Properties!A$1:CB$87,Formula!F39,53))+((Formula!I39)/(Formula!C39+Formula!E39+Formula!G39+Formula!I39+Formula!K39))*(INDEX(Properties!A$1:CB$87,Formula!H39,53))+((Formula!K39)/(Formula!C39+Formula!E39+Formula!G39+Formula!I39+Formula!K39))*(INDEX(Properties!A$1:CB$87,Formula!J39,53))</f>
        <v>757.70555555555552</v>
      </c>
      <c r="EW39" s="39">
        <f>Formula!C39*(INDEX(Properties!A$1:CB$87,Formula!B39,53))+Formula!E39*(INDEX(Properties!A$1:CB$87,Formula!D39,53))+Formula!G39*(INDEX(Properties!A$1:CB$87,Formula!F39,53))+Formula!I39*(INDEX(Properties!A$1:CB$87,Formula!H39,53))+Formula!K39*(INDEX(Properties!A$1:CB$87,Formula!J39,53))</f>
        <v>13638.7</v>
      </c>
      <c r="EX39" s="39">
        <f>VARP(IF(INDEX(Properties!A$1:CB$87,Formula!B39,53)&lt;&gt;"",INDEX(Properties!A$1:CB$87,Formula!B39,53)),IF(INDEX(Properties!A$1:CB$87,Formula!D39,53)&lt;&gt;"",INDEX(Properties!A$1:CB$87,Formula!D39,53)),IF(INDEX(Properties!A$1:CB$87,Formula!F39,53)&lt;&gt;"",INDEX(Properties!A$1:CB$87,Formula!F39,53)),IF(INDEX(Properties!A$1:CB$87,Formula!H39,53)&lt;&gt;"",INDEX(Properties!A$1:CB$87,Formula!H39,53)),IF(INDEX(Properties!A$1:CB$87,Formula!J39,53)&lt;&gt;"",INDEX(Properties!A$1:CB$87,Formula!J39,53)))</f>
        <v>815148.64439999999</v>
      </c>
      <c r="EY39" s="39">
        <f>MAX(INDEX(Properties!A$1:CB$87,Formula!B39,53),INDEX(Properties!A$1:CB$87,Formula!D39,53),INDEX(Properties!A$1:CB$87,Formula!F39,53),INDEX(Properties!A$1:CB$87,Formula!H39,53),INDEX(Properties!A$1:CB$87,Formula!J39,53))</f>
        <v>2352.15</v>
      </c>
      <c r="EZ39" s="39">
        <f>MIN(IF(INDEX(Properties!A$1:CB$87,Formula!B39,53)=0,10^6,INDEX(Properties!A$1:CB$87,Formula!B39,53)),IF(INDEX(Properties!A$1:CB$87,Formula!D39,53)=0,10^6,INDEX(Properties!A$1:CB$87,Formula!D39,53)),IF(INDEX(Properties!A$1:CB$87,Formula!F39,53)=0,10^6,INDEX(Properties!A$1:CB$87,Formula!F39,53)),IF(INDEX(Properties!A$1:CB$87,Formula!H39,53)=0,10^6,INDEX(Properties!A$1:CB$87,Formula!H39,53)),IF(INDEX(Properties!A$1:CB$87,Formula!J39,53)=0,10^6,INDEX(Properties!A$1:CB$87,Formula!J39,53)))</f>
        <v>54.749999999999972</v>
      </c>
      <c r="FA39" s="39">
        <f t="shared" si="25"/>
        <v>2297.4</v>
      </c>
      <c r="FB39" s="54">
        <f>((Formula!C39)/(Formula!C39+Formula!E39+Formula!G39+Formula!I39+Formula!K39))*(INDEX(Properties!A$1:CB$87,Formula!B39,54))+((Formula!E39)/(Formula!C39+Formula!E39+Formula!G39+Formula!I39+Formula!K39))*(INDEX(Properties!A$1:CB$87,Formula!D39,54))+((Formula!G39)/(Formula!C39+Formula!E39+Formula!G39+Formula!I39+Formula!K39))*(INDEX(Properties!A$1:CB$87,Formula!F39,54))+((Formula!I39)/(Formula!C39+Formula!E39+Formula!G39+Formula!I39+Formula!K39))*(INDEX(Properties!A$1:CB$87,Formula!H39,54))+((Formula!K39)/(Formula!C39+Formula!E39+Formula!G39+Formula!I39+Formula!K39))*(INDEX(Properties!A$1:CB$87,Formula!J39,54))</f>
        <v>1350.0694444444443</v>
      </c>
      <c r="FC39" s="54">
        <f>Formula!C39*(INDEX(Properties!A$1:CB$87,Formula!B39,54))+Formula!E39*(INDEX(Properties!A$1:CB$87,Formula!D39,54))+Formula!G39*(INDEX(Properties!A$1:CB$87,Formula!F39,54))+Formula!I39*(INDEX(Properties!A$1:CB$87,Formula!H39,54))+Formula!K39*(INDEX(Properties!A$1:CB$87,Formula!J39,54))</f>
        <v>24301.25</v>
      </c>
      <c r="FD39" s="54">
        <f>VARP(IF(INDEX(Properties!A$1:CB$87,Formula!B39,54)&lt;&gt;"",INDEX(Properties!A$1:CB$87,Formula!B39,54)),IF(INDEX(Properties!A$1:CB$87,Formula!D39,54)&lt;&gt;"",INDEX(Properties!A$1:CB$87,Formula!D39,54)),IF(INDEX(Properties!A$1:CB$87,Formula!F39,54)&lt;&gt;"",INDEX(Properties!A$1:CB$87,Formula!F39,54)),IF(INDEX(Properties!A$1:CB$87,Formula!H39,54)&lt;&gt;"",INDEX(Properties!A$1:CB$87,Formula!H39,54)),IF(INDEX(Properties!A$1:CB$87,Formula!J39,54)&lt;&gt;"",INDEX(Properties!A$1:CB$87,Formula!J39,54)))</f>
        <v>3050144.5774000012</v>
      </c>
      <c r="FE39" s="54">
        <f>MAX(INDEX(Properties!A$1:CB$87,Formula!B39,54),INDEX(Properties!A$1:CB$87,Formula!D39,54),INDEX(Properties!A$1:CB$87,Formula!F39,54),INDEX(Properties!A$1:CB$87,Formula!H39,54),INDEX(Properties!A$1:CB$87,Formula!J39,54))</f>
        <v>4275</v>
      </c>
      <c r="FF39" s="54">
        <f>MIN(IF(INDEX(Properties!A$1:CB$87,Formula!B39,54)=0,10^6,INDEX(Properties!A$1:CB$87,Formula!B39,54)),IF(INDEX(Properties!A$1:CB$87,Formula!D39,54)=0,10^6,INDEX(Properties!A$1:CB$87,Formula!D39,54)),IF(INDEX(Properties!A$1:CB$87,Formula!F39,54)=0,10^6,INDEX(Properties!A$1:CB$87,Formula!F39,54)),IF(INDEX(Properties!A$1:CB$87,Formula!H39,54)=0,10^6,INDEX(Properties!A$1:CB$87,Formula!H39,54)),IF(INDEX(Properties!A$1:CB$87,Formula!J39,54)=0,10^6,INDEX(Properties!A$1:CB$87,Formula!J39,54)))</f>
        <v>90.149999999999977</v>
      </c>
      <c r="FG39" s="54">
        <f t="shared" si="26"/>
        <v>4184.8500000000004</v>
      </c>
      <c r="FH39" s="69">
        <f>((Formula!C39)/(Formula!C39+Formula!E39+Formula!G39+Formula!I39+Formula!K39))*(INDEX(Properties!A$1:CB$87,Formula!B39,55))+((Formula!E39)/(Formula!C39+Formula!E39+Formula!G39+Formula!I39+Formula!K39))*(INDEX(Properties!A$1:CB$87,Formula!D39,55))+((Formula!G39)/(Formula!C39+Formula!E39+Formula!G39+Formula!I39+Formula!K39))*(INDEX(Properties!A$1:CB$87,Formula!F39,55))+((Formula!I39)/(Formula!C39+Formula!E39+Formula!G39+Formula!I39+Formula!K39))*(INDEX(Properties!A$1:CB$87,Formula!H39,55))+((Formula!K39)/(Formula!C39+Formula!E39+Formula!G39+Formula!I39+Formula!K39))*(INDEX(Properties!A$1:CB$87,Formula!J39,55))</f>
        <v>1.1741277777777779</v>
      </c>
      <c r="FI39" s="69">
        <f>Formula!C39*(INDEX(Properties!A$1:CB$87,Formula!B39,55))+Formula!E39*(INDEX(Properties!A$1:CB$87,Formula!D39,54))+Formula!G39*(INDEX(Properties!A$1:CB$87,Formula!F39,55))+Formula!I39*(INDEX(Properties!A$1:CB$87,Formula!H39,55))+Formula!K39*(INDEX(Properties!A$1:CB$87,Formula!J39,55))</f>
        <v>7043.5343000000003</v>
      </c>
      <c r="FJ39" s="69">
        <f>VARP(IF(INDEX(Properties!A$1:CB$87,Formula!B39,55)&lt;&gt;"",INDEX(Properties!A$1:CB$87,Formula!B39,55)),IF(INDEX(Properties!A$1:CB$87,Formula!D39,55)&lt;&gt;"",INDEX(Properties!A$1:CB$87,Formula!D39,55)),IF(INDEX(Properties!A$1:CB$87,Formula!F39,55)&lt;&gt;"",INDEX(Properties!A$1:CB$87,Formula!F39,55)),IF(INDEX(Properties!A$1:CB$87,Formula!H39,55)&lt;&gt;"",INDEX(Properties!A$1:CB$87,Formula!H39,55)),IF(INDEX(Properties!A$1:CB$87,Formula!J39,55)&lt;&gt;"",INDEX(Properties!A$1:CB$87,Formula!J39,55)))</f>
        <v>8.4961075511840018</v>
      </c>
      <c r="FK39" s="69">
        <f>MAX(INDEX(Properties!A$1:CB$87,Formula!B39,55),INDEX(Properties!A$1:CB$87,Formula!D39,55),INDEX(Properties!A$1:CB$87,Formula!F39,55),INDEX(Properties!A$1:CB$87,Formula!H39,55),INDEX(Properties!A$1:CB$87,Formula!J39,55))</f>
        <v>7.9</v>
      </c>
      <c r="FL39" s="69">
        <f>MIN(IF(INDEX(Properties!A$1:CB$87,Formula!B39,55)=0,10^6,INDEX(Properties!A$1:CB$87,Formula!B39,55)),IF(INDEX(Properties!A$1:CB$87,Formula!D39,55)=0,10^6,INDEX(Properties!A$1:CB$87,Formula!D39,55)),IF(INDEX(Properties!A$1:CB$87,Formula!F39,55)=0,10^6,INDEX(Properties!A$1:CB$87,Formula!F39,55)),IF(INDEX(Properties!A$1:CB$87,Formula!H39,55)=0,10^6,INDEX(Properties!A$1:CB$87,Formula!H39,55)),IF(INDEX(Properties!A$1:CB$87,Formula!J39,55)=0,10^6,INDEX(Properties!A$1:CB$87,Formula!J39,55)))</f>
        <v>1.4300000000000001E-3</v>
      </c>
      <c r="FM39" s="69">
        <f t="shared" si="27"/>
        <v>7.8985700000000003</v>
      </c>
      <c r="FN39" s="42">
        <f>((Formula!C39)/(Formula!C39+Formula!E39+Formula!G39+Formula!I39+Formula!K39))*(INDEX(Properties!A$1:CB$87,Formula!B39,56))+((Formula!E39)/(Formula!C39+Formula!E39+Formula!G39+Formula!I39+Formula!K39))*(INDEX(Properties!A$1:CB$87,Formula!D39,56))+((Formula!G39)/(Formula!C39+Formula!E39+Formula!G39+Formula!I39+Formula!K39))*(INDEX(Properties!A$1:CB$87,Formula!F39,56))+((Formula!I39)/(Formula!C39+Formula!E39+Formula!G39+Formula!I39+Formula!K39))*(INDEX(Properties!A$1:CB$87,Formula!H39,56))+((Formula!K39)/(Formula!C39+Formula!E39+Formula!G39+Formula!I39+Formula!K39))*(INDEX(Properties!A$1:CB$87,Formula!J39,56))</f>
        <v>0.8338888888888889</v>
      </c>
      <c r="FO39" s="42">
        <f>Formula!C39*(INDEX(Properties!A$1:CB$87,Formula!B39,56))+Formula!E39*(INDEX(Properties!A$1:CB$87,Formula!D39,56))+Formula!G39*(INDEX(Properties!A$1:CB$87,Formula!F39,56))+Formula!I39*(INDEX(Properties!A$1:CB$87,Formula!H39,56))+Formula!K39*(INDEX(Properties!A$1:CB$87,Formula!J39,56))</f>
        <v>15.010000000000002</v>
      </c>
      <c r="FP39" s="42">
        <f>VARP(IF(INDEX(Properties!A$1:CB$87,Formula!B39,56)&lt;&gt;"",INDEX(Properties!A$1:CB$87,Formula!B39,56)),IF(INDEX(Properties!A$1:CB$87,Formula!D39,56)&lt;&gt;"",INDEX(Properties!A$1:CB$87,Formula!D39,56)),IF(INDEX(Properties!A$1:CB$87,Formula!F39,56)&lt;&gt;"",INDEX(Properties!A$1:CB$87,Formula!F39,56)),IF(INDEX(Properties!A$1:CB$87,Formula!H39,56)&lt;&gt;"",INDEX(Properties!A$1:CB$87,Formula!H39,56)),IF(INDEX(Properties!A$1:CB$87,Formula!J39,56)&lt;&gt;"",INDEX(Properties!A$1:CB$87,Formula!J39,56)))</f>
        <v>0.15372000000000002</v>
      </c>
      <c r="FQ39" s="42">
        <f>MAX(INDEX(Properties!A$1:CB$87,Formula!B39,56),INDEX(Properties!A$1:CB$87,Formula!D39,56),INDEX(Properties!A$1:CB$87,Formula!F39,56),INDEX(Properties!A$1:CB$87,Formula!H39,56),INDEX(Properties!A$1:CB$87,Formula!J39,56))</f>
        <v>1.02</v>
      </c>
      <c r="FR39" s="42">
        <f>MIN(IF(INDEX(Properties!A$1:CB$87,Formula!B39,56)=0,10^6,INDEX(Properties!A$1:CB$87,Formula!B39,56)),IF(INDEX(Properties!A$1:CB$87,Formula!D39,56)=0,10^6,INDEX(Properties!A$1:CB$87,Formula!D39,56)),IF(INDEX(Properties!A$1:CB$87,Formula!F39,56)=0,10^6,INDEX(Properties!A$1:CB$87,Formula!F39,56)),IF(INDEX(Properties!A$1:CB$87,Formula!H39,56)=0,10^6,INDEX(Properties!A$1:CB$87,Formula!H39,56)),IF(INDEX(Properties!A$1:CB$87,Formula!J39,56)=0,10^6,INDEX(Properties!A$1:CB$87,Formula!J39,56)))</f>
        <v>0.23</v>
      </c>
      <c r="FS39" s="42">
        <f t="shared" si="28"/>
        <v>0.79</v>
      </c>
      <c r="FT39" s="60">
        <f>((Formula!C39)/(Formula!C39+Formula!E39+Formula!G39+Formula!I39+Formula!K39))*(INDEX(Properties!A$1:CB$87,Formula!B39,57))+((Formula!E39)/(Formula!C39+Formula!E39+Formula!G39+Formula!I39+Formula!K39))*(INDEX(Properties!A$1:CB$87,Formula!D39,57))+((Formula!G39)/(Formula!C39+Formula!E39+Formula!G39+Formula!I39+Formula!K39))*(INDEX(Properties!A$1:CB$87,Formula!F39,57))+((Formula!I39)/(Formula!C39+Formula!E39+Formula!G39+Formula!I39+Formula!K39))*(INDEX(Properties!A$1:CB$87,Formula!H39,57))+((Formula!K39)/(Formula!C39+Formula!E39+Formula!G39+Formula!I39+Formula!K39))*(INDEX(Properties!A$1:CB$87,Formula!J39,57))</f>
        <v>10.94643888888889</v>
      </c>
      <c r="FU39" s="60">
        <f>Formula!C39*(INDEX(Properties!A$1:CB$87,Formula!B39,57))+Formula!E39*(INDEX(Properties!A$1:CB$87,Formula!D39,57))+Formula!G39*(INDEX(Properties!A$1:CB$87,Formula!F39,57))+Formula!I39*(INDEX(Properties!A$1:CB$87,Formula!H39,57))+Formula!K39*(INDEX(Properties!A$1:CB$87,Formula!J39,57))</f>
        <v>197.0359</v>
      </c>
      <c r="FV39" s="60">
        <f>VARP(IF(INDEX(Properties!A$1:CB$87,Formula!B39,57)&lt;&gt;"",INDEX(Properties!A$1:CB$87,Formula!B39,57)),IF(INDEX(Properties!A$1:CB$87,Formula!D39,57)&lt;&gt;"",INDEX(Properties!A$1:CB$87,Formula!D39,57)),IF(INDEX(Properties!A$1:CB$87,Formula!F39,57)&lt;&gt;"",INDEX(Properties!A$1:CB$87,Formula!F39,57)),IF(INDEX(Properties!A$1:CB$87,Formula!H39,57)&lt;&gt;"",INDEX(Properties!A$1:CB$87,Formula!H39,57)),IF(INDEX(Properties!A$1:CB$87,Formula!J39,57)&lt;&gt;"",INDEX(Properties!A$1:CB$87,Formula!J39,57)))</f>
        <v>348.29522612129608</v>
      </c>
      <c r="FW39" s="60">
        <f>MAX(INDEX(Properties!A$1:CB$87,Formula!B39,57),INDEX(Properties!A$1:CB$87,Formula!D39,57),INDEX(Properties!A$1:CB$87,Formula!F39,57),INDEX(Properties!A$1:CB$87,Formula!H39,57),INDEX(Properties!A$1:CB$87,Formula!J39,57))</f>
        <v>50.2</v>
      </c>
      <c r="FX39" s="60">
        <f>MIN(IF(INDEX(Properties!A$1:CB$87,Formula!B39,57)=0,10^6,INDEX(Properties!A$1:CB$87,Formula!B39,57)),IF(INDEX(Properties!A$1:CB$87,Formula!D39,57)=0,10^6,INDEX(Properties!A$1:CB$87,Formula!D39,57)),IF(INDEX(Properties!A$1:CB$87,Formula!F39,57)=0,10^6,INDEX(Properties!A$1:CB$87,Formula!F39,57)),IF(INDEX(Properties!A$1:CB$87,Formula!H39,57)=0,10^6,INDEX(Properties!A$1:CB$87,Formula!H39,57)),IF(INDEX(Properties!A$1:CB$87,Formula!J39,57)=0,10^6,INDEX(Properties!A$1:CB$87,Formula!J39,57)))</f>
        <v>0.22259000000000001</v>
      </c>
      <c r="FY39" s="60">
        <f t="shared" si="29"/>
        <v>49.977410000000006</v>
      </c>
      <c r="FZ39" s="72">
        <f>((Formula!C39)/(Formula!C39+Formula!E39+Formula!G39+Formula!I39+Formula!K39))*(INDEX(Properties!A$1:CB$87,Formula!B39,60))+((Formula!E39)/(Formula!C39+Formula!E39+Formula!G39+Formula!I39+Formula!K39))*(INDEX(Properties!A$1:CB$87,Formula!D39,60))+((Formula!G39)/(Formula!C39+Formula!E39+Formula!G39+Formula!I39+Formula!K39))*(INDEX(Properties!A$1:CB$87,Formula!F39,60))+((Formula!I39)/(Formula!C39+Formula!E39+Formula!G39+Formula!I39+Formula!K39))*(INDEX(Properties!A$1:CB$87,Formula!H39,60))+((Formula!K39)/(Formula!C39+Formula!E39+Formula!G39+Formula!I39+Formula!K39))*(INDEX(Properties!A$1:CB$87,Formula!J39,60))</f>
        <v>49.548188888888888</v>
      </c>
      <c r="GA39" s="72">
        <f>Formula!C39*(INDEX(Properties!A$1:CB$87,Formula!B39,60))+Formula!E39*(INDEX(Properties!A$1:CB$87,Formula!D39,60))+Formula!G39*(INDEX(Properties!A$1:CB$87,Formula!F39,60))+Formula!I39*(INDEX(Properties!A$1:CB$87,Formula!H39,60))+Formula!K39*(INDEX(Properties!A$1:CB$87,Formula!J39,60))</f>
        <v>891.86739999999998</v>
      </c>
      <c r="GB39" s="72">
        <f>VARP(IF(INDEX(Properties!A$1:CB$87,Formula!B39,60)&lt;&gt;"",INDEX(Properties!A$1:CB$87,Formula!B39,60)),IF(INDEX(Properties!A$1:CB$87,Formula!D39,60)&lt;&gt;"",INDEX(Properties!A$1:CB$87,Formula!D39,60)),IF(INDEX(Properties!A$1:CB$87,Formula!F39,60)&lt;&gt;"",INDEX(Properties!A$1:CB$87,Formula!F39,60)),IF(INDEX(Properties!A$1:CB$87,Formula!H39,60)&lt;&gt;"",INDEX(Properties!A$1:CB$87,Formula!H39,60)),IF(INDEX(Properties!A$1:CB$87,Formula!J39,60)&lt;&gt;"",INDEX(Properties!A$1:CB$87,Formula!J39,60)))</f>
        <v>5909.6134404844161</v>
      </c>
      <c r="GC39" s="72">
        <f>MAX(INDEX(Properties!A$1:CB$87,Formula!B39,60),INDEX(Properties!A$1:CB$87,Formula!D39,60),INDEX(Properties!A$1:CB$87,Formula!F39,60),INDEX(Properties!A$1:CB$87,Formula!H39,60),INDEX(Properties!A$1:CB$87,Formula!J39,60))</f>
        <v>200</v>
      </c>
      <c r="GD39" s="72">
        <f>MIN(IF(INDEX(Properties!A$1:CB$87,Formula!B39,60)=0,10^6,INDEX(Properties!A$1:CB$87,Formula!B39,60)),IF(INDEX(Properties!A$1:CB$87,Formula!D39,60)=0,10^6,INDEX(Properties!A$1:CB$87,Formula!D39,60)),IF(INDEX(Properties!A$1:CB$87,Formula!F39,60)=0,10^6,INDEX(Properties!A$1:CB$87,Formula!F39,60)),IF(INDEX(Properties!A$1:CB$87,Formula!H39,60)=0,10^6,INDEX(Properties!A$1:CB$87,Formula!H39,60)),IF(INDEX(Properties!A$1:CB$87,Formula!J39,60)=0,10^6,INDEX(Properties!A$1:CB$87,Formula!J39,60)))</f>
        <v>2.674E-2</v>
      </c>
      <c r="GE39" s="72">
        <f t="shared" si="30"/>
        <v>199.97326000000001</v>
      </c>
      <c r="GF39" s="51">
        <f>((Formula!C39)/(Formula!C39+Formula!E39+Formula!G39+Formula!I39+Formula!K39))*(INDEX(Properties!A$1:CB$87,Formula!B39,62))+((Formula!E39)/(Formula!C39+Formula!E39+Formula!G39+Formula!I39+Formula!K39))*(INDEX(Properties!A$1:CB$87,Formula!D39,62))+((Formula!G39)/(Formula!C39+Formula!E39+Formula!G39+Formula!I39+Formula!K39))*(INDEX(Properties!A$1:CB$87,Formula!F39,62))+((Formula!I39)/(Formula!C39+Formula!E39+Formula!G39+Formula!I39+Formula!K39))*(INDEX(Properties!A$1:CB$87,Formula!H39,62))+((Formula!K39)/(Formula!C39+Formula!E39+Formula!G39+Formula!I39+Formula!K39))*(INDEX(Properties!A$1:CB$87,Formula!J39,62))</f>
        <v>3.0627777777777778</v>
      </c>
      <c r="GG39" s="51">
        <f>Formula!C39*(INDEX(Properties!A$1:CB$87,Formula!B39,62))+Formula!E39*(INDEX(Properties!A$1:CB$87,Formula!D39,62))+Formula!G39*(INDEX(Properties!A$1:CB$87,Formula!F39,62))+Formula!I39*(INDEX(Properties!A$1:CB$87,Formula!H39,62))+Formula!K39*(INDEX(Properties!A$1:CB$87,Formula!J39,62))</f>
        <v>55.13</v>
      </c>
      <c r="GH39" s="51">
        <f>VARP(IF(INDEX(Properties!A$1:CB$87,Formula!B39,62)&lt;&gt;"",INDEX(Properties!A$1:CB$87,Formula!B39,62)),IF(INDEX(Properties!A$1:CB$87,Formula!D39,62)&lt;&gt;"",INDEX(Properties!A$1:CB$87,Formula!D39,62)),IF(INDEX(Properties!A$1:CB$87,Formula!F39,62)&lt;&gt;"",INDEX(Properties!A$1:CB$87,Formula!F39,62)),IF(INDEX(Properties!A$1:CB$87,Formula!H39,62)&lt;&gt;"",INDEX(Properties!A$1:CB$87,Formula!H39,62)),IF(INDEX(Properties!A$1:CB$87,Formula!J39,62)&lt;&gt;"",INDEX(Properties!A$1:CB$87,Formula!J39,62)))</f>
        <v>3.923216</v>
      </c>
      <c r="GI39" s="51">
        <f>MAX(INDEX(Properties!A$1:CB$87,Formula!B39,62),INDEX(Properties!A$1:CB$87,Formula!D39,62),INDEX(Properties!A$1:CB$87,Formula!F39,62),INDEX(Properties!A$1:CB$87,Formula!H39,62),INDEX(Properties!A$1:CB$87,Formula!J39,62))</f>
        <v>5.81</v>
      </c>
      <c r="GJ39" s="51">
        <f>MIN(IF(INDEX(Properties!A$1:CB$87,Formula!B39,62)=0,10^6,INDEX(Properties!A$1:CB$87,Formula!B39,62)),IF(INDEX(Properties!A$1:CB$87,Formula!D39,62)=0,10^6,INDEX(Properties!A$1:CB$87,Formula!D39,62)),IF(INDEX(Properties!A$1:CB$87,Formula!F39,62)=0,10^6,INDEX(Properties!A$1:CB$87,Formula!F39,62)),IF(INDEX(Properties!A$1:CB$87,Formula!H39,62)=0,10^6,INDEX(Properties!A$1:CB$87,Formula!H39,62)),IF(INDEX(Properties!A$1:CB$87,Formula!J39,62)=0,10^6,INDEX(Properties!A$1:CB$87,Formula!J39,62)))</f>
        <v>1.84</v>
      </c>
      <c r="GK39" s="51">
        <f t="shared" si="31"/>
        <v>3.9699999999999998</v>
      </c>
      <c r="GL39" s="51">
        <f>Formula!P39</f>
        <v>8</v>
      </c>
      <c r="GM39" s="57">
        <f>Formula!O39</f>
        <v>2</v>
      </c>
      <c r="GN39" s="51">
        <f>Formula!N39</f>
        <v>0.05</v>
      </c>
    </row>
    <row r="40" spans="1:196" x14ac:dyDescent="0.3">
      <c r="A40" s="84" t="str">
        <f>Formula!A40</f>
        <v>YNb2VO9</v>
      </c>
      <c r="B40" s="89">
        <f>((Formula!C40)/(Formula!C40+Formula!E40+Formula!G40+Formula!I40+Formula!K40))*(INDEX(Properties!A$1:CB$87,Formula!B40,3))+((Formula!E40)/(Formula!C40+Formula!E40+Formula!G40+Formula!I40+Formula!K40))*(INDEX(Properties!A$1:CB$87,Formula!D40,3))+((Formula!G40)/(Formula!C40+Formula!E40+Formula!G40+Formula!I40+Formula!K40))*(INDEX(Properties!A$1:CB$87,Formula!F40,3))+((Formula!I40)/(Formula!C40+Formula!E40+Formula!G40+Formula!I40+Formula!K40))*(INDEX(Properties!A$1:CB$87,Formula!H40,3))+((Formula!K40)/(Formula!C40+Formula!E40+Formula!G40+Formula!I40+Formula!K40))*(INDEX(Properties!A$1:CB$87,Formula!J40,3))</f>
        <v>36.127284615384617</v>
      </c>
      <c r="C40" s="85">
        <f>Formula!C40*(INDEX(Properties!A$1:CB$87,Formula!B40,3))+Formula!E40*(INDEX(Properties!A$1:CB$87,Formula!D40,3))+Formula!G40*(INDEX(Properties!A$1:CB$87,Formula!F40,3))+Formula!I40*(INDEX(Properties!A$1:CB$87,Formula!H40,3))+Formula!K40*(INDEX(Properties!A$1:CB$87,Formula!J40,3))</f>
        <v>469.65469999999999</v>
      </c>
      <c r="D40" s="85">
        <f>VARP(IF(INDEX(Properties!A$1:CB$87,Formula!B40,3)&lt;&gt;"",INDEX(Properties!A$1:CB$87,Formula!B40,3)),IF(INDEX(Properties!A$1:CB$87,Formula!D40,3)&lt;&gt;"",INDEX(Properties!A$1:CB$87,Formula!D40,3)),IF(INDEX(Properties!A$1:CB$87,Formula!F40,3)&lt;&gt;"",INDEX(Properties!A$1:CB$87,Formula!F40,3)),IF(INDEX(Properties!A$1:CB$87,Formula!H40,3)&lt;&gt;"",INDEX(Properties!A$1:CB$87,Formula!H40,3)),IF(INDEX(Properties!A$1:CB$87,Formula!J40,3)&lt;&gt;"",INDEX(Properties!A$1:CB$87,Formula!J40,3)))</f>
        <v>1402.2476222946241</v>
      </c>
      <c r="E40" s="85">
        <f>MAX(INDEX(Properties!A$1:CB$87,Formula!B40,3),INDEX(Properties!A$1:CB$87,Formula!D40,3),INDEX(Properties!A$1:CB$87,Formula!F40,3),INDEX(Properties!A$1:CB$87,Formula!H40,3),INDEX(Properties!A$1:CB$87,Formula!J40,3))</f>
        <v>92.906379999999999</v>
      </c>
      <c r="F40" s="85">
        <f>MIN(IF(INDEX(Properties!A$1:CB$87,Formula!B40,3)=0,10^6,INDEX(Properties!A$1:CB$87,Formula!B40,3)),IF(INDEX(Properties!A$1:CB$87,Formula!D40,3)=0,10^6,INDEX(Properties!A$1:CB$87,Formula!D40,3)),IF(INDEX(Properties!A$1:CB$87,Formula!F40,3)=0,10^6,INDEX(Properties!A$1:CB$87,Formula!F40,3)),IF(INDEX(Properties!A$1:CB$87,Formula!H40,3)=0,10^6,INDEX(Properties!A$1:CB$87,Formula!H40,3)),IF(INDEX(Properties!A$1:CB$87,Formula!J40,3)=0,10^6,INDEX(Properties!A$1:CB$87,Formula!J40,3)))</f>
        <v>15.9994</v>
      </c>
      <c r="G40" s="85">
        <f t="shared" si="0"/>
        <v>76.906980000000004</v>
      </c>
      <c r="H40" s="87">
        <f>((Formula!C40)/(Formula!C40+Formula!E40+Formula!G40+Formula!I40+Formula!K40))*(INDEX(Properties!A$1:CB$87,Formula!B40,4))+((Formula!E40)/(Formula!C40+Formula!E40+Formula!G40+Formula!I40+Formula!K40))*(INDEX(Properties!A$1:CB$87,Formula!D40,4))+((Formula!G40)/(Formula!C40+Formula!E40+Formula!G40+Formula!I40+Formula!K40))*(INDEX(Properties!A$1:CB$87,Formula!F40,4))+((Formula!I40)/(Formula!C40+Formula!E40+Formula!G40+Formula!I40+Formula!K40))*(INDEX(Properties!A$1:CB$87,Formula!H40,4))+((Formula!K40)/(Formula!C40+Formula!E40+Formula!G40+Formula!I40+Formula!K40))*(INDEX(Properties!A$1:CB$87,Formula!J40,4))</f>
        <v>16.615384615384617</v>
      </c>
      <c r="I40" s="87">
        <f>Formula!C40*(INDEX(Properties!A$1:CB$87,Formula!B40,4))+Formula!E40*(INDEX(Properties!A$1:CB$87,Formula!D40,4))+Formula!G40*(INDEX(Properties!A$1:CB$87,Formula!F40,4))+Formula!I40*(INDEX(Properties!A$1:CB$87,Formula!H40,4))+Formula!K40*(INDEX(Properties!A$1:CB$87,Formula!J40,4))</f>
        <v>216</v>
      </c>
      <c r="J40" s="87">
        <f>VARP(IF(INDEX(Properties!A$1:CB$87,Formula!B40,4)&lt;&gt;"",INDEX(Properties!A$1:CB$87,Formula!B40,4)),IF(INDEX(Properties!A$1:CB$87,Formula!D40,4)&lt;&gt;"",INDEX(Properties!A$1:CB$87,Formula!D40,4)),IF(INDEX(Properties!A$1:CB$87,Formula!F40,4)&lt;&gt;"",INDEX(Properties!A$1:CB$87,Formula!F40,4)),IF(INDEX(Properties!A$1:CB$87,Formula!H40,4)&lt;&gt;"",INDEX(Properties!A$1:CB$87,Formula!H40,4)),IF(INDEX(Properties!A$1:CB$87,Formula!J40,4)&lt;&gt;"",INDEX(Properties!A$1:CB$87,Formula!J40,4)))</f>
        <v>266.16000000000003</v>
      </c>
      <c r="K40" s="87">
        <f>MAX(INDEX(Properties!A$1:CB$87,Formula!B40,4),INDEX(Properties!A$1:CB$87,Formula!D40,4),INDEX(Properties!A$1:CB$87,Formula!F40,4),INDEX(Properties!A$1:CB$87,Formula!H40,4),INDEX(Properties!A$1:CB$87,Formula!J40,4))</f>
        <v>41</v>
      </c>
      <c r="L40" s="87">
        <f>MIN(IF(INDEX(Properties!A$1:CB$87,Formula!B40,4)=0,10^6,INDEX(Properties!A$1:CB$87,Formula!B40,4)),IF(INDEX(Properties!A$1:CB$87,Formula!D40,4)=0,10^6,INDEX(Properties!A$1:CB$87,Formula!D40,4)),IF(INDEX(Properties!A$1:CB$87,Formula!F40,4)=0,10^6,INDEX(Properties!A$1:CB$87,Formula!F40,4)),IF(INDEX(Properties!A$1:CB$87,Formula!H40,4)=0,10^6,INDEX(Properties!A$1:CB$87,Formula!H40,4)),IF(INDEX(Properties!A$1:CB$87,Formula!J40,4)=0,10^6,INDEX(Properties!A$1:CB$87,Formula!J40,4)))</f>
        <v>8</v>
      </c>
      <c r="M40" s="87">
        <f t="shared" si="1"/>
        <v>33</v>
      </c>
      <c r="N40" s="89">
        <f>((Formula!C40)/(Formula!C40+Formula!E40+Formula!G40+Formula!I40+Formula!K40))*(INDEX(Properties!A$1:CB$87,Formula!B40,5))+((Formula!E40)/(Formula!C40+Formula!E40+Formula!G40+Formula!I40+Formula!K40))*(INDEX(Properties!A$1:CB$87,Formula!D40,5))+((Formula!G40)/(Formula!C40+Formula!E40+Formula!G40+Formula!I40+Formula!K40))*(INDEX(Properties!A$1:CB$87,Formula!F40,5))+((Formula!I40)/(Formula!C40+Formula!E40+Formula!G40+Formula!I40+Formula!K40))*(INDEX(Properties!A$1:CB$87,Formula!H40,5))+((Formula!K40)/(Formula!C40+Formula!E40+Formula!G40+Formula!I40+Formula!K40))*(INDEX(Properties!A$1:CB$87,Formula!J40,5))</f>
        <v>2.8461538461538463</v>
      </c>
      <c r="O40" s="89">
        <f>Formula!C40*(INDEX(Properties!A$1:CB$87,Formula!B40,5))+Formula!E40*(INDEX(Properties!A$1:CB$87,Formula!D40,5))+Formula!G40*(INDEX(Properties!A$1:CB$87,Formula!F40,5))+Formula!I40*(INDEX(Properties!A$1:CB$87,Formula!H40,5))+Formula!K40*(INDEX(Properties!A$1:CB$87,Formula!J40,5))</f>
        <v>37</v>
      </c>
      <c r="P40" s="89">
        <f>VARP(IF(INDEX(Properties!A$1:CB$87,Formula!B40,5)&lt;&gt;"",INDEX(Properties!A$1:CB$87,Formula!B40,5)),IF(INDEX(Properties!A$1:CB$87,Formula!D40,5)&lt;&gt;"",INDEX(Properties!A$1:CB$87,Formula!D40,5)),IF(INDEX(Properties!A$1:CB$87,Formula!F40,5)&lt;&gt;"",INDEX(Properties!A$1:CB$87,Formula!F40,5)),IF(INDEX(Properties!A$1:CB$87,Formula!H40,5)&lt;&gt;"",INDEX(Properties!A$1:CB$87,Formula!H40,5)),IF(INDEX(Properties!A$1:CB$87,Formula!J40,5)&lt;&gt;"",INDEX(Properties!A$1:CB$87,Formula!J40,5)))</f>
        <v>3.76</v>
      </c>
      <c r="Q40" s="89">
        <f>MAX(INDEX(Properties!A$1:CB$87,Formula!B40,5),INDEX(Properties!A$1:CB$87,Formula!D40,5),INDEX(Properties!A$1:CB$87,Formula!F40,5),INDEX(Properties!A$1:CB$87,Formula!H40,5),INDEX(Properties!A$1:CB$87,Formula!J40,5))</f>
        <v>5</v>
      </c>
      <c r="R40" s="89">
        <f>MIN(IF(INDEX(Properties!A$1:CB$87,Formula!B40,5)=0,10^6,INDEX(Properties!A$1:CB$87,Formula!B40,5)),IF(INDEX(Properties!A$1:CB$87,Formula!D40,5)=0,10^6,INDEX(Properties!A$1:CB$87,Formula!D40,5)),IF(INDEX(Properties!A$1:CB$87,Formula!F40,5)=0,10^6,INDEX(Properties!A$1:CB$87,Formula!F40,5)),IF(INDEX(Properties!A$1:CB$87,Formula!H40,5)=0,10^6,INDEX(Properties!A$1:CB$87,Formula!H40,5)),IF(INDEX(Properties!A$1:CB$87,Formula!J40,5)=0,10^6,INDEX(Properties!A$1:CB$87,Formula!J40,5)))</f>
        <v>2</v>
      </c>
      <c r="S40" s="89">
        <f t="shared" si="2"/>
        <v>3</v>
      </c>
      <c r="T40" s="60">
        <f>((Formula!C40)/(Formula!C40+Formula!E40+Formula!G40+Formula!I40+Formula!K40))*(INDEX(Properties!A$1:CB$87,Formula!B40,6))+((Formula!E40)/(Formula!C40+Formula!E40+Formula!G40+Formula!I40+Formula!K40))*(INDEX(Properties!A$1:CB$87,Formula!D40,6))+((Formula!G40)/(Formula!C40+Formula!E40+Formula!G40+Formula!I40+Formula!K40))*(INDEX(Properties!A$1:CB$87,Formula!F40,6))+((Formula!I40)/(Formula!C40+Formula!E40+Formula!G40+Formula!I40+Formula!K40))*(INDEX(Properties!A$1:CB$87,Formula!H40,6))+((Formula!K40)/(Formula!C40+Formula!E40+Formula!G40+Formula!I40+Formula!K40))*(INDEX(Properties!A$1:CB$87,Formula!J40,6))</f>
        <v>12.461538461538462</v>
      </c>
      <c r="U40" s="60">
        <f>Formula!C40*(INDEX(Properties!A$1:CB$87,Formula!B40,6))+Formula!E40*(INDEX(Properties!A$1:CB$87,Formula!D40,6))+Formula!G40*(INDEX(Properties!A$1:CB$87,Formula!F40,6))+Formula!I40*(INDEX(Properties!A$1:CB$87,Formula!H40,6))+Formula!K40*(INDEX(Properties!A$1:CB$87,Formula!J40,6))</f>
        <v>162</v>
      </c>
      <c r="V40" s="89">
        <f>VARP(IF(INDEX(Properties!A$1:CB$87,Formula!B40,6)&lt;&gt;"",INDEX(Properties!A$1:CB$87,Formula!B40,6)),IF(INDEX(Properties!A$1:CB$87,Formula!D40,6)&lt;&gt;"",INDEX(Properties!A$1:CB$87,Formula!D40,6)),IF(INDEX(Properties!A$1:CB$87,Formula!F40,6)&lt;&gt;"",INDEX(Properties!A$1:CB$87,Formula!F40,6)),IF(INDEX(Properties!A$1:CB$87,Formula!H40,6)&lt;&gt;"",INDEX(Properties!A$1:CB$87,Formula!H40,6)),IF(INDEX(Properties!A$1:CB$87,Formula!J40,6)&lt;&gt;"",INDEX(Properties!A$1:CB$87,Formula!J40,6)))</f>
        <v>29.36</v>
      </c>
      <c r="W40" s="60">
        <f>MAX(INDEX(Properties!A$1:CB$87,Formula!B40,6),INDEX(Properties!A$1:CB$87,Formula!D40,6),INDEX(Properties!A$1:CB$87,Formula!F40,6),INDEX(Properties!A$1:CB$87,Formula!H40,4),INDEX(Properties!A$1:CB$87,Formula!J40,6))</f>
        <v>8</v>
      </c>
      <c r="X40" s="60">
        <f>MIN(IF(INDEX(Properties!A$1:CB$87,Formula!B40,6)=0,10^6,INDEX(Properties!A$1:CB$87,Formula!B40,6)),IF(INDEX(Properties!A$1:CB$87,Formula!D40,6)=0,10^6,INDEX(Properties!A$1:CB$87,Formula!D40,6)),IF(INDEX(Properties!A$1:CB$87,Formula!F40,6)=0,10^6,INDEX(Properties!A$1:CB$87,Formula!F40,6)),IF(INDEX(Properties!A$1:CB$87,Formula!H40,6)=0,10^6,INDEX(Properties!A$1:CB$87,Formula!H40,6)),IF(INDEX(Properties!A$1:CB$87,Formula!J40,6)=0,10^6,INDEX(Properties!A$1:CB$87,Formula!J40,6)))</f>
        <v>3</v>
      </c>
      <c r="Y40" s="60">
        <f t="shared" si="3"/>
        <v>5</v>
      </c>
      <c r="Z40" s="72">
        <f>((Formula!C40)/(Formula!C40+Formula!E40+Formula!G40+Formula!I40+Formula!K40))*(INDEX(Properties!A$1:CB$87,Formula!B40,9))+((Formula!E40)/(Formula!C40+Formula!E40+Formula!G40+Formula!I40+Formula!K40))*(INDEX(Properties!A$1:CB$87,Formula!D40,9))+((Formula!G40)/(Formula!C40+Formula!E40+Formula!G40+Formula!I40+Formula!K40))*(INDEX(Properties!A$1:CB$87,Formula!F40,9))+((Formula!I40)/(Formula!C40+Formula!E40+Formula!G40+Formula!I40+Formula!K40))*(INDEX(Properties!A$1:CB$87,Formula!H40,9))+((Formula!K40)/(Formula!C40+Formula!E40+Formula!G40+Formula!I40+Formula!K40))*(INDEX(Properties!A$1:CB$87,Formula!J40,9))</f>
        <v>71.92307692307692</v>
      </c>
      <c r="AA40" s="72">
        <f>Formula!C40*(INDEX(Properties!A$1:CB$87,Formula!B40,9))+Formula!E40*(INDEX(Properties!A$1:CB$87,Formula!D40,9))+Formula!G40*(INDEX(Properties!A$1:CB$87,Formula!F40,9))+Formula!I40*(INDEX(Properties!A$1:CB$87,Formula!H40,9))+Formula!K40*(INDEX(Properties!A$1:CB$87,Formula!J40,9))</f>
        <v>935</v>
      </c>
      <c r="AB40" s="72">
        <f>VARP(IF(INDEX(Properties!A$1:CB$87,Formula!B40,9)&lt;&gt;"",INDEX(Properties!A$1:CB$87,Formula!B40,9)),IF(INDEX(Properties!A$1:CB$87,Formula!D40,9)&lt;&gt;"",INDEX(Properties!A$1:CB$87,Formula!D40,9)),IF(INDEX(Properties!A$1:CB$87,Formula!F40,9)&lt;&gt;"",INDEX(Properties!A$1:CB$87,Formula!F40,9)),IF(INDEX(Properties!A$1:CB$87,Formula!H40,9)&lt;&gt;"",INDEX(Properties!A$1:CB$87,Formula!H40,9)),IF(INDEX(Properties!A$1:CB$87,Formula!J40,9)&lt;&gt;"",INDEX(Properties!A$1:CB$87,Formula!J40,9)))</f>
        <v>933.04</v>
      </c>
      <c r="AC40" s="72">
        <f>MAX(INDEX(Properties!A$1:CB$87,Formula!B40,9),INDEX(Properties!A$1:CB$87,Formula!D40,9),INDEX(Properties!A$1:CB$87,Formula!F40,9),INDEX(Properties!A$1:CB$87,Formula!H40,9),INDEX(Properties!A$1:CB$87,Formula!J40,9))</f>
        <v>87</v>
      </c>
      <c r="AD40" s="72">
        <f>MIN(IF(INDEX(Properties!A$1:CB$87,Formula!B40,9)=0,10^6,INDEX(Properties!A$1:CB$87,Formula!B40,9)),IF(INDEX(Properties!A$1:CB$87,Formula!D40,9)=0,10^6,INDEX(Properties!A$1:CB$87,Formula!D40,9)),IF(INDEX(Properties!A$1:CB$87,Formula!F40,9)=0,10^6,INDEX(Properties!A$1:CB$87,Formula!F40,9)),IF(INDEX(Properties!A$1:CB$87,Formula!H40,9)=0,10^6,INDEX(Properties!A$1:CB$87,Formula!H40,9)),IF(INDEX(Properties!A$1:CB$87,Formula!J40,9)=0,10^6,INDEX(Properties!A$1:CB$87,Formula!J40,9)))</f>
        <v>12</v>
      </c>
      <c r="AE40" s="72">
        <f t="shared" si="4"/>
        <v>75</v>
      </c>
      <c r="AF40" s="51">
        <f>((Formula!C40)/(Formula!C40+Formula!E40+Formula!G40+Formula!I40+Formula!K40))*(INDEX(Properties!A$1:CB$87,Formula!B40,10))+((Formula!E40)/(Formula!C40+Formula!E40+Formula!G40+Formula!I40+Formula!K40))*(INDEX(Properties!A$1:CB$87,Formula!D40,10))+((Formula!G40)/(Formula!C40+Formula!E40+Formula!G40+Formula!I40+Formula!K40))*(INDEX(Properties!A$1:CB$87,Formula!F40,10))+((Formula!I40)/(Formula!C40+Formula!E40+Formula!G40+Formula!I40+Formula!K40))*(INDEX(Properties!A$1:CB$87,Formula!H40,10))+((Formula!K40)/(Formula!C40+Formula!E40+Formula!G40+Formula!I40+Formula!K40))*(INDEX(Properties!A$1:CB$87,Formula!J40,10))</f>
        <v>6</v>
      </c>
      <c r="AG40" s="51">
        <f>Formula!C40*(INDEX(Properties!A$1:CB$87,Formula!B40,10))+Formula!E40*(INDEX(Properties!A$1:CB$87,Formula!D40,10))+Formula!G40*(INDEX(Properties!A$1:CB$87,Formula!F40,10))+Formula!I40*(INDEX(Properties!A$1:CB$87,Formula!H40,10))+Formula!K40*(INDEX(Properties!A$1:CB$87,Formula!J40,10))</f>
        <v>78</v>
      </c>
      <c r="AH40" s="51">
        <f>VARP(IF(INDEX(Properties!A$1:CB$87,Formula!B40,10)&lt;&gt;"",INDEX(Properties!A$1:CB$87,Formula!B40,10)),IF(INDEX(Properties!A$1:CB$87,Formula!D40,10)&lt;&gt;"",INDEX(Properties!A$1:CB$87,Formula!D40,10)),IF(INDEX(Properties!A$1:CB$87,Formula!F40,10)&lt;&gt;"",INDEX(Properties!A$1:CB$87,Formula!F40,10)),IF(INDEX(Properties!A$1:CB$87,Formula!H40,10)&lt;&gt;"",INDEX(Properties!A$1:CB$87,Formula!H40,10)),IF(INDEX(Properties!A$1:CB$87,Formula!J40,10)&lt;&gt;"",INDEX(Properties!A$1:CB$87,Formula!J40,10)))</f>
        <v>5.04</v>
      </c>
      <c r="AI40" s="51">
        <f>MAX(INDEX(Properties!A$1:CB$87,Formula!B40,10),INDEX(Properties!A$1:CB$87,Formula!D40,10),INDEX(Properties!A$1:CB$87,Formula!F40,10),INDEX(Properties!A$1:CB$87,Formula!H40,10),INDEX(Properties!A$1:CB$87,Formula!J40,10))</f>
        <v>7</v>
      </c>
      <c r="AJ40" s="51">
        <f>MIN(IF(INDEX(Properties!A$1:CB$87,Formula!B40,10)=0,10^6,INDEX(Properties!A$1:CB$87,Formula!B40,10)),IF(INDEX(Properties!A$1:CB$87,Formula!D40,10)=0,10^6,INDEX(Properties!A$1:CB$87,Formula!D40,10)),IF(INDEX(Properties!A$1:CB$87,Formula!F40,10)=0,10^6,INDEX(Properties!A$1:CB$87,Formula!F40,10)),IF(INDEX(Properties!A$1:CB$87,Formula!H40,10)=0,10^6,INDEX(Properties!A$1:CB$87,Formula!H40,10)),IF(INDEX(Properties!A$1:CB$87,Formula!J40,10)=0,10^6,INDEX(Properties!A$1:CB$87,Formula!J40,10)))</f>
        <v>3</v>
      </c>
      <c r="AK40" s="51">
        <f t="shared" si="5"/>
        <v>4</v>
      </c>
      <c r="AL40" s="57">
        <f>((Formula!C40)/(Formula!C40+Formula!E40+Formula!G40+Formula!I40+Formula!K40))*(INDEX(Properties!A$1:CB$87,Formula!B40,11))+((Formula!E40)/(Formula!C40+Formula!E40+Formula!G40+Formula!I40+Formula!K40))*(INDEX(Properties!A$1:CB$87,Formula!D40,11))+((Formula!G40)/(Formula!C40+Formula!E40+Formula!G40+Formula!I40+Formula!K40))*(INDEX(Properties!A$1:CB$87,Formula!F40,11))+((Formula!I40)/(Formula!C40+Formula!E40+Formula!G40+Formula!I40+Formula!K40))*(INDEX(Properties!A$1:CB$87,Formula!H40,11))+((Formula!K40)/(Formula!C40+Formula!E40+Formula!G40+Formula!I40+Formula!K40))*(INDEX(Properties!A$1:CB$87,Formula!J40,11))</f>
        <v>1.8461538461538463</v>
      </c>
      <c r="AM40" s="57">
        <f>Formula!C40*(INDEX(Properties!A$1:CB$87,Formula!B40,11))+Formula!E40*(INDEX(Properties!A$1:CB$87,Formula!D40,11))+Formula!G40*(INDEX(Properties!A$1:CB$87,Formula!F40,11))+Formula!I40*(INDEX(Properties!A$1:CB$87,Formula!H40,11))+Formula!K40*(INDEX(Properties!A$1:CB$87,Formula!J40,11))</f>
        <v>24</v>
      </c>
      <c r="AN40" s="57">
        <f>VARP(IF(INDEX(Properties!A$1:CB$87,Formula!B40,11)&lt;&gt;"",INDEX(Properties!A$1:CB$87,Formula!B40,11)),IF(INDEX(Properties!A$1:CB$87,Formula!D40,11)&lt;&gt;"",INDEX(Properties!A$1:CB$87,Formula!D40,11)),IF(INDEX(Properties!A$1:CB$87,Formula!F40,11)&lt;&gt;"",INDEX(Properties!A$1:CB$87,Formula!F40,11)),IF(INDEX(Properties!A$1:CB$87,Formula!H40,11)&lt;&gt;"",INDEX(Properties!A$1:CB$87,Formula!H40,11)),IF(INDEX(Properties!A$1:CB$87,Formula!J40,11)&lt;&gt;"",INDEX(Properties!A$1:CB$87,Formula!J40,11)))</f>
        <v>0.64</v>
      </c>
      <c r="AO40" s="57">
        <f>MAX(INDEX(Properties!A$1:CB$87,Formula!B40,11),INDEX(Properties!A$1:CB$87,Formula!D40,11),INDEX(Properties!A$1:CB$87,Formula!F40,11),INDEX(Properties!A$1:CB$87,Formula!H40,11),INDEX(Properties!A$1:CB$87,Formula!J40,11))</f>
        <v>2</v>
      </c>
      <c r="AP40" s="57">
        <f>MIN(IF(Formula!B40=87,10^6,INDEX(Properties!A$1:CB$87,Formula!B40,11)),IF((Formula!D40)=87,10^6,INDEX(Properties!A$1:CB$87,Formula!D40,11)),IF((Formula!F40)=87,10^6,INDEX(Properties!A$1:CB$87,Formula!F40,11)),IF((Formula!H40)=87,10^6,INDEX(Properties!A$1:CB$87,Formula!H40,11)),IF(Formula!J40=87,10^6,INDEX(Properties!A$1:CB$87,Formula!J40,11)))</f>
        <v>1</v>
      </c>
      <c r="AQ40" s="57">
        <f t="shared" si="6"/>
        <v>1</v>
      </c>
      <c r="AR40" s="78">
        <f>((Formula!C40)/(Formula!C40+Formula!E40+Formula!G40+Formula!I40+Formula!K40))*(INDEX(Properties!A$1:CB$87,Formula!B40,12))+((Formula!E40)/(Formula!C40+Formula!E40+Formula!G40+Formula!I40+Formula!K40))*(INDEX(Properties!A$1:CB$87,Formula!D40,12))+((Formula!G40)/(Formula!C40+Formula!E40+Formula!G40+Formula!I40+Formula!K40))*(INDEX(Properties!A$1:CB$87,Formula!F40,12))+((Formula!I40)/(Formula!C40+Formula!E40+Formula!G40+Formula!I40+Formula!K40))*(INDEX(Properties!A$1:CB$87,Formula!H40,12))+((Formula!K40)/(Formula!C40+Formula!E40+Formula!G40+Formula!I40+Formula!K40))*(INDEX(Properties!A$1:CB$87,Formula!J40,12))</f>
        <v>2.7692307692307692</v>
      </c>
      <c r="AS40" s="78">
        <f>Formula!C40*(INDEX(Properties!A$1:CB$87,Formula!B40,12))+Formula!E40*(INDEX(Properties!A$1:CB$87,Formula!D40,12))+Formula!G40*(INDEX(Properties!A$1:CB$87,Formula!F40,12))+Formula!I40*(INDEX(Properties!A$1:CB$87,Formula!H40,12))+Formula!K40*(INDEX(Properties!A$1:CB$87,Formula!J40,12))</f>
        <v>36</v>
      </c>
      <c r="AT40" s="78">
        <f>VARP(IF(INDEX(Properties!A$1:CB$87,Formula!B40,12)&lt;&gt;"",INDEX(Properties!A$1:CB$87,Formula!B40,12)),IF(INDEX(Properties!A$1:CB$87,Formula!D40,12)&lt;&gt;"",INDEX(Properties!A$1:CB$87,Formula!D40,12)),IF(INDEX(Properties!A$1:CB$87,Formula!F40,12)&lt;&gt;"",INDEX(Properties!A$1:CB$87,Formula!F40,12)),IF(INDEX(Properties!A$1:CB$87,Formula!H40,12)&lt;&gt;"",INDEX(Properties!A$1:CB$87,Formula!H40,12)),IF(INDEX(Properties!A$1:CB$87,Formula!J40,12)&lt;&gt;"",INDEX(Properties!A$1:CB$87,Formula!J40,12)))</f>
        <v>2.56</v>
      </c>
      <c r="AU40" s="78">
        <f>MAX(INDEX(Properties!A$1:CB$87,Formula!B40,12),INDEX(Properties!A$1:CB$87,Formula!D40,12),INDEX(Properties!A$1:CB$87,Formula!F40,12),INDEX(Properties!A$1:CB$87,Formula!H40,12),INDEX(Properties!A$1:CB$87,Formula!J40,12))</f>
        <v>4</v>
      </c>
      <c r="AV40" s="78">
        <f>MIN(IF(Formula!B40=87,10^6,INDEX(Properties!A$1:CB$87,Formula!B40,12)),IF((Formula!D40)=87,10^6,INDEX(Properties!A$1:CB$87,Formula!D40,12)),IF((Formula!F40)=87,10^6,INDEX(Properties!A$1:CB$87,Formula!F40,12)),IF((Formula!H40)=87,10^6,INDEX(Properties!A$1:CB$87,Formula!H40,12)),IF(Formula!J40=87,10^6,INDEX(Properties!A$1:CB$87,Formula!J40,12)))</f>
        <v>0</v>
      </c>
      <c r="AW40" s="78">
        <f t="shared" si="7"/>
        <v>4</v>
      </c>
      <c r="AX40" s="45">
        <f>((Formula!C40)/(Formula!C40+Formula!E40+Formula!G40+Formula!I40+Formula!K40))*(INDEX(Properties!A$1:CB$87,Formula!B40,13))+((Formula!E40)/(Formula!C40+Formula!E40+Formula!G40+Formula!I40+Formula!K40))*(INDEX(Properties!A$1:CB$87,Formula!D40,13))+((Formula!G40)/(Formula!C40+Formula!E40+Formula!G40+Formula!I40+Formula!K40))*(INDEX(Properties!A$1:CB$87,Formula!F40,13))+((Formula!I40)/(Formula!C40+Formula!E40+Formula!G40+Formula!I40+Formula!K40))*(INDEX(Properties!A$1:CB$87,Formula!H40,13))+((Formula!K40)/(Formula!C40+Formula!E40+Formula!G40+Formula!I40+Formula!K40))*(INDEX(Properties!A$1:CB$87,Formula!J40,13))</f>
        <v>0.92307692307692313</v>
      </c>
      <c r="AY40" s="45">
        <f>Formula!C40*(INDEX(Properties!A$1:CB$87,Formula!B40,13))+Formula!E40*(INDEX(Properties!A$1:CB$87,Formula!D40,13))+Formula!G40*(INDEX(Properties!A$1:CB$87,Formula!F40,13))+Formula!I40*(INDEX(Properties!A$1:CB$87,Formula!H40,13))+Formula!K40*(INDEX(Properties!A$1:CB$87,Formula!J40,13))</f>
        <v>12</v>
      </c>
      <c r="AZ40" s="45">
        <f>VARP(IF(INDEX(Properties!A$1:CB$87,Formula!B40,13)&lt;&gt;"",INDEX(Properties!A$1:CB$87,Formula!B40,13)),IF(INDEX(Properties!A$1:CB$87,Formula!D40,13)&lt;&gt;"",INDEX(Properties!A$1:CB$87,Formula!D40,13)),IF(INDEX(Properties!A$1:CB$87,Formula!F40,13)&lt;&gt;"",INDEX(Properties!A$1:CB$87,Formula!F40,13)),IF(INDEX(Properties!A$1:CB$87,Formula!H40,13)&lt;&gt;"",INDEX(Properties!A$1:CB$87,Formula!H40,13)),IF(INDEX(Properties!A$1:CB$87,Formula!J40,13)&lt;&gt;"",INDEX(Properties!A$1:CB$87,Formula!J40,13)))</f>
        <v>2.64</v>
      </c>
      <c r="BA40" s="45">
        <f>MAX(INDEX(Properties!A$1:CB$87,Formula!B40,13),INDEX(Properties!A$1:CB$87,Formula!D40,13),INDEX(Properties!A$1:CB$87,Formula!F40,13),INDEX(Properties!A$1:CB$87,Formula!H40,13),INDEX(Properties!A$1:CB$87,Formula!J40,13))</f>
        <v>4</v>
      </c>
      <c r="BB40" s="45">
        <f>MIN(IF(Formula!B40=87,10^6,INDEX(Properties!A$1:CB$87,Formula!B40,13)),IF((Formula!D40)=87,10^6,INDEX(Properties!A$1:CB$87,Formula!D40,13)),IF((Formula!F40)=87,10^6,INDEX(Properties!A$1:CB$87,Formula!F40,13)),IF((Formula!H40)=87,10^6,INDEX(Properties!A$1:CB$87,Formula!H40,13)),IF(Formula!J40=87,10^6,INDEX(Properties!A$1:CB$87,Formula!J40,13)))</f>
        <v>0</v>
      </c>
      <c r="BC40" s="45">
        <f t="shared" si="8"/>
        <v>4</v>
      </c>
      <c r="BD40" s="63">
        <f>((Formula!C40)/(Formula!C40+Formula!E40+Formula!G40+Formula!I40+Formula!K40))*(INDEX(Properties!A$1:CB$87,Formula!B40,14))+((Formula!E40)/(Formula!C40+Formula!E40+Formula!G40+Formula!I40+Formula!K40))*(INDEX(Properties!A$1:CB$87,Formula!D40,14))+((Formula!G40)/(Formula!C40+Formula!E40+Formula!G40+Formula!I40+Formula!K40))*(INDEX(Properties!A$1:CB$87,Formula!F40,14))+((Formula!I40)/(Formula!C40+Formula!E40+Formula!G40+Formula!I40+Formula!K40))*(INDEX(Properties!A$1:CB$87,Formula!H40,14))+((Formula!K40)/(Formula!C40+Formula!E40+Formula!G40+Formula!I40+Formula!K40))*(INDEX(Properties!A$1:CB$87,Formula!J40,14))</f>
        <v>0</v>
      </c>
      <c r="BE40" s="63">
        <f>Formula!C40*(INDEX(Properties!A$1:CB$87,Formula!B40,14))+Formula!E40*(INDEX(Properties!A$1:CB$87,Formula!D40,14))+Formula!G40*(INDEX(Properties!A$1:CB$87,Formula!F40,14))+Formula!I40*(INDEX(Properties!A$1:CB$87,Formula!H40,14))+Formula!K40*(INDEX(Properties!A$1:CB$87,Formula!J40,14))</f>
        <v>0</v>
      </c>
      <c r="BF40" s="63">
        <f>VARP(IF(INDEX(Properties!A$1:CB$87,Formula!B40,14)&lt;&gt;"",INDEX(Properties!A$1:CB$87,Formula!B40,14)),IF(INDEX(Properties!A$1:CB$87,Formula!D40,14)&lt;&gt;"",INDEX(Properties!A$1:CB$87,Formula!D40,14)),IF(INDEX(Properties!A$1:CB$87,Formula!F40,14)&lt;&gt;"",INDEX(Properties!A$1:CB$87,Formula!F40,14)),IF(INDEX(Properties!A$1:CB$87,Formula!H40,14)&lt;&gt;"",INDEX(Properties!A$1:CB$87,Formula!H40,14)),IF(INDEX(Properties!A$1:CB$87,Formula!J40,14)&lt;&gt;"",INDEX(Properties!A$1:CB$87,Formula!J40,14)))</f>
        <v>0</v>
      </c>
      <c r="BG40" s="63">
        <f>MAX(INDEX(Properties!A$1:CB$87,Formula!B40,14),INDEX(Properties!A$1:CB$87,Formula!D40,14),INDEX(Properties!A$1:CB$87,Formula!F40,14),INDEX(Properties!A$1:CB$87,Formula!H40,14),INDEX(Properties!A$1:CB$87,Formula!J40,14))</f>
        <v>0</v>
      </c>
      <c r="BH40" s="63">
        <f>MIN(IF(Formula!B40=87,10^6,INDEX(Properties!A$1:CB$87,Formula!B40,14)),IF((Formula!D40)=87,10^6,INDEX(Properties!A$1:CB$87,Formula!D40,14)),IF((Formula!F40)=87,10^6,INDEX(Properties!A$1:CB$87,Formula!F40,14)),IF((Formula!H40)=87,10^6,INDEX(Properties!A$1:CB$87,Formula!H40,14)),IF(Formula!J40=87,10^6,INDEX(Properties!A$1:CB$87,Formula!J40,14)))</f>
        <v>0</v>
      </c>
      <c r="BI40" s="63">
        <f t="shared" si="9"/>
        <v>0</v>
      </c>
      <c r="BJ40" s="75">
        <f>((Formula!C40)/(Formula!C40+Formula!E40+Formula!G40+Formula!I40+Formula!K40))*(INDEX(Properties!A$1:CB$87,Formula!B40,19))+((Formula!E40)/(Formula!C40+Formula!E40+Formula!G40+Formula!I40+Formula!K40))*(INDEX(Properties!A$1:CB$87,Formula!D40,19))+((Formula!G40)/(Formula!C40+Formula!E40+Formula!G40+Formula!I40+Formula!K40))*(INDEX(Properties!A$1:CB$87,Formula!F40,19))+((Formula!I40)/(Formula!C40+Formula!E40+Formula!G40+Formula!I40+Formula!K40))*(INDEX(Properties!A$1:CB$87,Formula!H40,19))+((Formula!K40)/(Formula!C40+Formula!E40+Formula!G40+Formula!I40+Formula!K40))*(INDEX(Properties!A$1:CB$87,Formula!J40,19))</f>
        <v>5.5384615384615383</v>
      </c>
      <c r="BK40" s="75">
        <f>Formula!C40*(INDEX(Properties!A$1:CB$87,Formula!B40,19))+Formula!E40*(INDEX(Properties!A$1:CB$87,Formula!D40,19))+Formula!G40*(INDEX(Properties!A$1:CB$87,Formula!F40,19))+Formula!I40*(INDEX(Properties!A$1:CB$87,Formula!H40,19))+Formula!K40*(INDEX(Properties!A$1:CB$87,Formula!J40,19))</f>
        <v>72</v>
      </c>
      <c r="BL40" s="75">
        <f>VARP(IF(INDEX(Properties!A$1:CB$87,Formula!B40,19)&lt;&gt;"",INDEX(Properties!A$1:CB$87,Formula!B40,19)),IF(INDEX(Properties!A$1:CB$87,Formula!D40,19)&lt;&gt;"",INDEX(Properties!A$1:CB$87,Formula!D40,19)),IF(INDEX(Properties!A$1:CB$87,Formula!F40,19)&lt;&gt;"",INDEX(Properties!A$1:CB$87,Formula!F40,19)),IF(INDEX(Properties!A$1:CB$87,Formula!H40,19)&lt;&gt;"",INDEX(Properties!A$1:CB$87,Formula!H40,19)),IF(INDEX(Properties!A$1:CB$87,Formula!J40,19)&lt;&gt;"",INDEX(Properties!A$1:CB$87,Formula!J40,19)))</f>
        <v>4.5599999999999996</v>
      </c>
      <c r="BM40" s="75">
        <f>MAX(INDEX(Properties!A$1:CB$87,Formula!B40,19),INDEX(Properties!A$1:CB$87,Formula!D40,19),INDEX(Properties!A$1:CB$87,Formula!F40,19),INDEX(Properties!A$1:CB$87,Formula!H40,19),INDEX(Properties!A$1:CB$87,Formula!J40,19))</f>
        <v>6</v>
      </c>
      <c r="BN40" s="75">
        <f>MIN(IF(INDEX(Properties!A$1:CB$87,Formula!B40,19)=0,10^6,INDEX(Properties!A$1:CB$87,Formula!B40,19)),IF(INDEX(Properties!A$1:CB$87,Formula!D40,19)=0,10^6,INDEX(Properties!A$1:CB$87,Formula!D40,19)),IF(INDEX(Properties!A$1:CB$87,Formula!F40,19)=0,10^6,INDEX(Properties!A$1:CB$87,Formula!F40,19)),IF(INDEX(Properties!A$1:CB$87,Formula!H40,19)=0,10^6,INDEX(Properties!A$1:CB$87,Formula!H40,19)),IF(INDEX(Properties!A$1:CB$87,Formula!J40,19)=0,10^6,INDEX(Properties!A$1:CB$87,Formula!J40,19)))</f>
        <v>3</v>
      </c>
      <c r="BO40" s="75">
        <f t="shared" si="10"/>
        <v>3</v>
      </c>
      <c r="BP40" s="48">
        <f>((Formula!C40)/(Formula!C40+Formula!E40+Formula!G40+Formula!I40+Formula!K40))*(INDEX(Properties!A$1:CB$87,Formula!B40,20))+((Formula!E40)/(Formula!C40+Formula!E40+Formula!G40+Formula!I40+Formula!K40))*(INDEX(Properties!A$1:CB$87,Formula!D40,20))+((Formula!G40)/(Formula!C40+Formula!E40+Formula!G40+Formula!I40+Formula!K40))*(INDEX(Properties!A$1:CB$87,Formula!F40,20))+((Formula!I40)/(Formula!C40+Formula!E40+Formula!G40+Formula!I40+Formula!K40))*(INDEX(Properties!A$1:CB$87,Formula!H40,20))+((Formula!K40)/(Formula!C40+Formula!E40+Formula!G40+Formula!I40+Formula!K40))*(INDEX(Properties!A$1:CB$87,Formula!J40,20))</f>
        <v>4.615384615384615</v>
      </c>
      <c r="BQ40" s="48">
        <f>Formula!C40*(INDEX(Properties!A$1:CB$87,Formula!B40,20))+Formula!E40*(INDEX(Properties!A$1:CB$87,Formula!D40,20))+Formula!G40*(INDEX(Properties!A$1:CB$87,Formula!F40,20))+Formula!I40*(INDEX(Properties!A$1:CB$87,Formula!H40,20))+Formula!K40*(INDEX(Properties!A$1:CB$87,Formula!J40,20))</f>
        <v>60</v>
      </c>
      <c r="BR40" s="48">
        <f>VARP(IF(INDEX(Properties!A$1:CB$87,Formula!B40,20)&lt;&gt;"",INDEX(Properties!A$1:CB$87,Formula!B40,20)),IF(INDEX(Properties!A$1:CB$87,Formula!D40,20)&lt;&gt;"",INDEX(Properties!A$1:CB$87,Formula!D40,20)),IF(INDEX(Properties!A$1:CB$87,Formula!F40,20)&lt;&gt;"",INDEX(Properties!A$1:CB$87,Formula!F40,20)),IF(INDEX(Properties!A$1:CB$87,Formula!H40,20)&lt;&gt;"",INDEX(Properties!A$1:CB$87,Formula!H40,20)),IF(INDEX(Properties!A$1:CB$87,Formula!J40,20)&lt;&gt;"",INDEX(Properties!A$1:CB$87,Formula!J40,20)))</f>
        <v>4.16</v>
      </c>
      <c r="BS40" s="48">
        <f>MAX(INDEX(Properties!A$1:CB$87,Formula!B40,20),INDEX(Properties!A$1:CB$87,Formula!D40,20),INDEX(Properties!A$1:CB$87,Formula!F40,20),INDEX(Properties!A$1:CB$87,Formula!H40,20),INDEX(Properties!A$1:CB$87,Formula!J40,20))</f>
        <v>6</v>
      </c>
      <c r="BT40" s="48">
        <f>MIN(IF(INDEX(Properties!A$1:CB$87,Formula!B40,20)=0,10^6,INDEX(Properties!A$1:CB$87,Formula!B40,20)),IF(INDEX(Properties!A$1:CB$87,Formula!D40,20)=0,10^6,INDEX(Properties!A$1:CB$87,Formula!D40,20)),IF(INDEX(Properties!A$1:CB$87,Formula!F40,20)=0,10^6,INDEX(Properties!A$1:CB$87,Formula!F40,20)),IF(INDEX(Properties!A$1:CB$87,Formula!H40,20)=0,10^6,INDEX(Properties!A$1:CB$87,Formula!H40,20)),IF(INDEX(Properties!A$1:CB$87,Formula!J40,20)=0,10^6,INDEX(Properties!A$1:CB$87,Formula!J40,20)))</f>
        <v>1</v>
      </c>
      <c r="BU40" s="48">
        <f t="shared" si="11"/>
        <v>5</v>
      </c>
      <c r="BV40" s="66">
        <f>((Formula!C40)/(Formula!C40+Formula!E40+Formula!G40+Formula!I40+Formula!K40))*(INDEX(Properties!A$1:CB$87,Formula!B40,21))+((Formula!E40)/(Formula!C40+Formula!E40+Formula!G40+Formula!I40+Formula!K40))*(INDEX(Properties!A$1:CB$87,Formula!D40,21))+((Formula!G40)/(Formula!C40+Formula!E40+Formula!G40+Formula!I40+Formula!K40))*(INDEX(Properties!A$1:CB$87,Formula!F40,21))+((Formula!I40)/(Formula!C40+Formula!E40+Formula!G40+Formula!I40+Formula!K40))*(INDEX(Properties!A$1:CB$87,Formula!H40,21))+((Formula!K40)/(Formula!C40+Formula!E40+Formula!G40+Formula!I40+Formula!K40))*(INDEX(Properties!A$1:CB$87,Formula!J40,21))</f>
        <v>4.9230769230769225</v>
      </c>
      <c r="BW40" s="66">
        <f>Formula!C40*(INDEX(Properties!A$1:CB$87,Formula!B40,21))+Formula!E40*(INDEX(Properties!A$1:CB$87,Formula!D40,21))+Formula!G40*(INDEX(Properties!A$1:CB$87,Formula!F40,21))+Formula!I40*(INDEX(Properties!A$1:CB$87,Formula!H40,21))+Formula!K40*(INDEX(Properties!A$1:CB$87,Formula!J40,21))</f>
        <v>64</v>
      </c>
      <c r="BX40" s="66">
        <f>VARP(IF(INDEX(Properties!A$1:CB$87,Formula!B40,21)&lt;&gt;"",INDEX(Properties!A$1:CB$87,Formula!B40,21)),IF(INDEX(Properties!A$1:CB$87,Formula!D40,21)&lt;&gt;"",INDEX(Properties!A$1:CB$87,Formula!D40,21)),IF(INDEX(Properties!A$1:CB$87,Formula!F40,21)&lt;&gt;"",INDEX(Properties!A$1:CB$87,Formula!F40,21)),IF(INDEX(Properties!A$1:CB$87,Formula!H40,21)&lt;&gt;"",INDEX(Properties!A$1:CB$87,Formula!H40,21)),IF(INDEX(Properties!A$1:CB$87,Formula!J40,21)&lt;&gt;"",INDEX(Properties!A$1:CB$87,Formula!J40,21)))</f>
        <v>4.24</v>
      </c>
      <c r="BY40" s="66">
        <f>MAX(INDEX(Properties!A$1:CB$87,Formula!B40,21),INDEX(Properties!A$1:CB$87,Formula!D40,21),INDEX(Properties!A$1:CB$87,Formula!F40,21),INDEX(Properties!A$1:CB$87,Formula!H40,21),INDEX(Properties!A$1:CB$87,Formula!J40,21))</f>
        <v>6</v>
      </c>
      <c r="BZ40" s="66">
        <f>MIN(IF(INDEX(Properties!A$1:CB$87,Formula!B40,21)=0,10^6,INDEX(Properties!A$1:CB$87,Formula!B40,21)),IF(INDEX(Properties!A$1:CB$87,Formula!D40,21)=0,10^6,INDEX(Properties!A$1:CB$87,Formula!D40,21)),IF(INDEX(Properties!A$1:CB$87,Formula!F40,21)=0,10^6,INDEX(Properties!A$1:CB$87,Formula!F40,21)),IF(INDEX(Properties!A$1:CB$87,Formula!H40,21)=0,10^6,INDEX(Properties!A$1:CB$87,Formula!H40,21)),IF(INDEX(Properties!A$1:CB$87,Formula!J40,21)=0,10^6,INDEX(Properties!A$1:CB$87,Formula!J40,21)))</f>
        <v>1</v>
      </c>
      <c r="CA40" s="66">
        <f t="shared" si="12"/>
        <v>5</v>
      </c>
      <c r="CB40" s="81">
        <f>((Formula!C40)/(Formula!C40+Formula!E40+Formula!G40+Formula!I40+Formula!K40))*(INDEX(Properties!A$1:CB$87,Formula!B40,23))+((Formula!E40)/(Formula!C40+Formula!E40+Formula!G40+Formula!I40+Formula!K40))*(INDEX(Properties!A$1:CB$87,Formula!D40,23))+((Formula!G40)/(Formula!C40+Formula!E40+Formula!G40+Formula!I40+Formula!K40))*(INDEX(Properties!A$1:CB$87,Formula!F40,23))+((Formula!I40)/(Formula!C40+Formula!E40+Formula!G40+Formula!I40+Formula!K40))*(INDEX(Properties!A$1:CB$87,Formula!H40,23))+((Formula!K40)/(Formula!C40+Formula!E40+Formula!G40+Formula!I40+Formula!K40))*(INDEX(Properties!A$1:CB$87,Formula!J40,23))</f>
        <v>1.3846153846153846</v>
      </c>
      <c r="CC40" s="81">
        <f>Formula!C40*(INDEX(Properties!A$1:CB$87,Formula!B40,23))+Formula!E40*(INDEX(Properties!A$1:CB$87,Formula!D40,23))+Formula!G40*(INDEX(Properties!A$1:CB$87,Formula!F40,23))+Formula!I40*(INDEX(Properties!A$1:CB$87,Formula!H40,23))+Formula!K40*(INDEX(Properties!A$1:CB$87,Formula!J40,23))</f>
        <v>18</v>
      </c>
      <c r="CD40" s="81">
        <f>VARP(IF(INDEX(Properties!A$1:CB$87,Formula!B40,23)&lt;&gt;"",INDEX(Properties!A$1:CB$87,Formula!B40,23)),IF(INDEX(Properties!A$1:CB$87,Formula!D40,23)&lt;&gt;"",INDEX(Properties!A$1:CB$87,Formula!D40,23)),IF(INDEX(Properties!A$1:CB$87,Formula!F40,23)&lt;&gt;"",INDEX(Properties!A$1:CB$87,Formula!F40,23)),IF(INDEX(Properties!A$1:CB$87,Formula!H40,23)&lt;&gt;"",INDEX(Properties!A$1:CB$87,Formula!H40,23)),IF(INDEX(Properties!A$1:CB$87,Formula!J40,23)&lt;&gt;"",INDEX(Properties!A$1:CB$87,Formula!J40,23)))</f>
        <v>5.04</v>
      </c>
      <c r="CE40" s="81">
        <f>MAX(INDEX(Properties!A$1:CB$87,Formula!B40,23),INDEX(Properties!A$1:CB$87,Formula!D40,23),INDEX(Properties!A$1:CB$87,Formula!F40,23),INDEX(Properties!A$1:CB$87,Formula!H40,23),INDEX(Properties!A$1:CB$87,Formula!J40,23))</f>
        <v>5</v>
      </c>
      <c r="CF40" s="81">
        <f>MIN(IF(Formula!B40=87,10^6,INDEX(Properties!A$1:CB$87,Formula!B40,23)),IF((Formula!D40)=87,10^6,INDEX(Properties!A$1:CB$87,Formula!D40,23)),IF((Formula!F40)=87,10^6,INDEX(Properties!A$1:CB$87,Formula!F40,23)),IF((Formula!H40)=87,10^6,INDEX(Properties!A$1:CB$87,Formula!H40,23)),IF(Formula!J40=87,10^6,INDEX(Properties!A$1:CB$87,Formula!J40,23)))</f>
        <v>0</v>
      </c>
      <c r="CG40" s="81">
        <f t="shared" si="13"/>
        <v>5</v>
      </c>
      <c r="CH40" s="39">
        <f>((Formula!C40)/(Formula!C40+Formula!E40+Formula!G40+Formula!I40+Formula!K40))*(INDEX(Properties!A$1:CB$87,Formula!B40,26))+((Formula!E40)/(Formula!C40+Formula!E40+Formula!G40+Formula!I40+Formula!K40))*(INDEX(Properties!A$1:CB$87,Formula!D40,26))+((Formula!G40)/(Formula!C40+Formula!E40+Formula!G40+Formula!I40+Formula!K40))*(INDEX(Properties!A$1:CB$87,Formula!F40,26))+((Formula!I40)/(Formula!C40+Formula!E40+Formula!G40+Formula!I40+Formula!K40))*(INDEX(Properties!A$1:CB$87,Formula!H40,26))+((Formula!K40)/(Formula!C40+Formula!E40+Formula!G40+Formula!I40+Formula!K40))*(INDEX(Properties!A$1:CB$87,Formula!J40,26))</f>
        <v>11.464938461538461</v>
      </c>
      <c r="CI40" s="39">
        <f>Formula!C40*(INDEX(Properties!A$1:CB$87,Formula!B40,26))+Formula!E40*(INDEX(Properties!A$1:CB$87,Formula!D40,26))+Formula!G40*(INDEX(Properties!A$1:CB$87,Formula!F40,26))+Formula!I40*(INDEX(Properties!A$1:CB$87,Formula!H40,26))+Formula!K40*(INDEX(Properties!A$1:CB$87,Formula!J40,26))</f>
        <v>149.04419999999999</v>
      </c>
      <c r="CJ40" s="39">
        <f>VARP(IF(INDEX(Properties!A$1:CB$87,Formula!B40,26)&lt;&gt;"",INDEX(Properties!A$1:CB$87,Formula!B40,26)),IF(INDEX(Properties!A$1:CB$87,Formula!D40,26)&lt;&gt;"",INDEX(Properties!A$1:CB$87,Formula!D40,26)),IF(INDEX(Properties!A$1:CB$87,Formula!F40,26)&lt;&gt;"",INDEX(Properties!A$1:CB$87,Formula!F40,26)),IF(INDEX(Properties!A$1:CB$87,Formula!H40,26)&lt;&gt;"",INDEX(Properties!A$1:CB$87,Formula!H40,26)),IF(INDEX(Properties!A$1:CB$87,Formula!J40,26)&lt;&gt;"",INDEX(Properties!A$1:CB$87,Formula!J40,26)))</f>
        <v>18.596724500000008</v>
      </c>
      <c r="CK40" s="39">
        <f>MAX(INDEX(Properties!A$1:CB$87,Formula!B40,26),INDEX(Properties!A$1:CB$87,Formula!D40,26),INDEX(Properties!A$1:CB$87,Formula!F40,26),INDEX(Properties!A$1:CB$87,Formula!H40,26),INDEX(Properties!A$1:CB$87,Formula!J40,26))</f>
        <v>13.6181</v>
      </c>
      <c r="CL40" s="39">
        <f>MIN(IF(INDEX(Properties!A$1:CB$87,Formula!B40,26)=0,10^6,INDEX(Properties!A$1:CB$87,Formula!B40,26)),IF(INDEX(Properties!A$1:CB$87,Formula!D40,26)=0,10^6,INDEX(Properties!A$1:CB$87,Formula!D40,26)),IF(INDEX(Properties!A$1:CB$87,Formula!F40,26)=0,10^6,INDEX(Properties!A$1:CB$87,Formula!F40,26)),IF(INDEX(Properties!A$1:CB$87,Formula!H40,26)=0,10^6,INDEX(Properties!A$1:CB$87,Formula!H40,26)),IF(INDEX(Properties!A$1:CB$87,Formula!J40,26)=0,10^6,INDEX(Properties!A$1:CB$87,Formula!J40,26)))</f>
        <v>6.2172999999999998</v>
      </c>
      <c r="CM40" s="39">
        <f t="shared" si="14"/>
        <v>7.4008000000000003</v>
      </c>
      <c r="CN40" s="54">
        <f>((Formula!C40)/(Formula!C40+Formula!E40+Formula!G40+Formula!I40+Formula!K40))*(INDEX(Properties!A$1:CB$87,Formula!B40,30))+((Formula!E40)/(Formula!C40+Formula!E40+Formula!G40+Formula!I40+Formula!K40))*(INDEX(Properties!A$1:CB$87,Formula!D40,30))+((Formula!G40)/(Formula!C40+Formula!E40+Formula!G40+Formula!I40+Formula!K40))*(INDEX(Properties!A$1:CB$87,Formula!F40,30))+((Formula!I40)/(Formula!C40+Formula!E40+Formula!G40+Formula!I40+Formula!K40))*(INDEX(Properties!A$1:CB$87,Formula!H40,30))+((Formula!K40)/(Formula!C40+Formula!E40+Formula!G40+Formula!I40+Formula!K40))*(INDEX(Properties!A$1:CB$87,Formula!J40,30))</f>
        <v>2.8469230769230771</v>
      </c>
      <c r="CO40" s="54">
        <f>Formula!C40*(INDEX(Properties!A$1:CB$87,Formula!B40,30))+Formula!E40*(INDEX(Properties!A$1:CB$87,Formula!D40,30))+Formula!G40*(INDEX(Properties!A$1:CB$87,Formula!F40,30))+Formula!I40*(INDEX(Properties!A$1:CB$87,Formula!H40,30))+Formula!K40*(INDEX(Properties!A$1:CB$87,Formula!J40,30))</f>
        <v>37.01</v>
      </c>
      <c r="CP40" s="54">
        <f>VARP(IF(INDEX(Properties!A$1:CB$87,Formula!B40,30)&lt;&gt;"",INDEX(Properties!A$1:CB$87,Formula!B40,30)),IF(INDEX(Properties!A$1:CB$87,Formula!D40,30)&lt;&gt;"",INDEX(Properties!A$1:CB$87,Formula!D40,30)),IF(INDEX(Properties!A$1:CB$87,Formula!F40,30)&lt;&gt;"",INDEX(Properties!A$1:CB$87,Formula!F40,30)),IF(INDEX(Properties!A$1:CB$87,Formula!H40,30)&lt;&gt;"",INDEX(Properties!A$1:CB$87,Formula!H40,30)),IF(INDEX(Properties!A$1:CB$87,Formula!J40,30)&lt;&gt;"",INDEX(Properties!A$1:CB$87,Formula!J40,30)))</f>
        <v>1.2176959999999994</v>
      </c>
      <c r="CQ40" s="54">
        <f>MAX(INDEX(Properties!A$1:CB$87,Formula!B40,30),INDEX(Properties!A$1:CB$87,Formula!D40,30),INDEX(Properties!A$1:CB$87,Formula!F40,30),INDEX(Properties!A$1:CB$87,Formula!H40,30),INDEX(Properties!A$1:CB$87,Formula!J40,30))</f>
        <v>3.44</v>
      </c>
      <c r="CR40" s="54">
        <f>MIN(IF(INDEX(Properties!A$1:CB$87,Formula!B40,30)=0,10^6,INDEX(Properties!A$1:CB$87,Formula!B40,30)),IF(INDEX(Properties!A$1:CB$87,Formula!D40,30)=0,10^6,INDEX(Properties!A$1:CB$87,Formula!D40,30)),IF(INDEX(Properties!A$1:CB$87,Formula!F40,30)=0,10^6,INDEX(Properties!A$1:CB$87,Formula!F40,30)),IF(INDEX(Properties!A$1:CB$87,Formula!H40,30)=0,10^6,INDEX(Properties!A$1:CB$87,Formula!H40,30)),IF(INDEX(Properties!A$1:CB$87,Formula!J40,30)=0,10^6,INDEX(Properties!A$1:CB$87,Formula!J40,30)))</f>
        <v>1.22</v>
      </c>
      <c r="CS40" s="54">
        <f t="shared" si="15"/>
        <v>2.2199999999999998</v>
      </c>
      <c r="CT40" s="69">
        <f>((Formula!C40)/(Formula!C40+Formula!E40+Formula!G40+Formula!I40+Formula!K40))*(INDEX(Properties!A$1:CB$87,Formula!B40,31))+((Formula!E40)/(Formula!C40+Formula!E40+Formula!G40+Formula!I40+Formula!K40))*(INDEX(Properties!A$1:CB$87,Formula!D40,31))+((Formula!G40)/(Formula!C40+Formula!E40+Formula!G40+Formula!I40+Formula!K40))*(INDEX(Properties!A$1:CB$87,Formula!F40,31))+((Formula!I40)/(Formula!C40+Formula!E40+Formula!G40+Formula!I40+Formula!K40))*(INDEX(Properties!A$1:CB$87,Formula!H40,31))+((Formula!K40)/(Formula!C40+Formula!E40+Formula!G40+Formula!I40+Formula!K40))*(INDEX(Properties!A$1:CB$87,Formula!J40,31))</f>
        <v>2.8899999999999997</v>
      </c>
      <c r="CU40" s="69">
        <f>Formula!C40*(INDEX(Properties!A$1:CB$87,Formula!B40,31))+Formula!E40*(INDEX(Properties!A$1:CB$87,Formula!D40,31))+Formula!G40*(INDEX(Properties!A$1:CB$87,Formula!F40,31))+Formula!I40*(INDEX(Properties!A$1:CB$87,Formula!H40,31))+Formula!K40*(INDEX(Properties!A$1:CB$87,Formula!J40,31))</f>
        <v>37.57</v>
      </c>
      <c r="CV40" s="69">
        <f>VARP(IF(INDEX(Properties!A$1:CB$87,Formula!B40,31)&lt;&gt;"",INDEX(Properties!A$1:CB$87,Formula!B40,31)),IF(INDEX(Properties!A$1:CB$87,Formula!D40,31)&lt;&gt;"",INDEX(Properties!A$1:CB$87,Formula!D40,31)),IF(INDEX(Properties!A$1:CB$87,Formula!F40,31)&lt;&gt;"",INDEX(Properties!A$1:CB$87,Formula!F40,31)),IF(INDEX(Properties!A$1:CB$87,Formula!H40,31)&lt;&gt;"",INDEX(Properties!A$1:CB$87,Formula!H40,31)),IF(INDEX(Properties!A$1:CB$87,Formula!J40,31)&lt;&gt;"",INDEX(Properties!A$1:CB$87,Formula!J40,31)))</f>
        <v>1.1863439999999985</v>
      </c>
      <c r="CW40" s="69">
        <f>MAX(INDEX(Properties!A$1:CB$87,Formula!B40,31),INDEX(Properties!A$1:CB$87,Formula!D40,31),INDEX(Properties!A$1:CB$87,Formula!F40,31),INDEX(Properties!A$1:CB$87,Formula!H40,31),INDEX(Properties!A$1:CB$87,Formula!J40,31))</f>
        <v>3.32</v>
      </c>
      <c r="CX40" s="69">
        <f>MIN(IF(INDEX(Properties!A$1:CB$87,Formula!B40,31)=0,10^6,INDEX(Properties!A$1:CB$87,Formula!B40,31)),IF(INDEX(Properties!A$1:CB$87,Formula!D40,31)=0,10^6,INDEX(Properties!A$1:CB$87,Formula!D40,31)),IF(INDEX(Properties!A$1:CB$87,Formula!F40,31)=0,10^6,INDEX(Properties!A$1:CB$87,Formula!F40,31)),IF(INDEX(Properties!A$1:CB$87,Formula!H40,31)=0,10^6,INDEX(Properties!A$1:CB$87,Formula!H40,31)),IF(INDEX(Properties!A$1:CB$87,Formula!J40,31)=0,10^6,INDEX(Properties!A$1:CB$87,Formula!J40,31)))</f>
        <v>1.41</v>
      </c>
      <c r="CY40" s="69">
        <f t="shared" si="16"/>
        <v>1.91</v>
      </c>
      <c r="CZ40" s="42">
        <f>((Formula!C40)/(Formula!C40+Formula!E40+Formula!G40+Formula!I40+Formula!K40))*(INDEX(Properties!A$1:CB$87,Formula!B40,32))+((Formula!E40)/(Formula!C40+Formula!E40+Formula!G40+Formula!I40+Formula!K40))*(INDEX(Properties!A$1:CB$87,Formula!D40,32))+((Formula!G40)/(Formula!C40+Formula!E40+Formula!G40+Formula!I40+Formula!K40))*(INDEX(Properties!A$1:CB$87,Formula!F40,32))+((Formula!I40)/(Formula!C40+Formula!E40+Formula!G40+Formula!I40+Formula!K40))*(INDEX(Properties!A$1:CB$87,Formula!H40,32))+((Formula!K40)/(Formula!C40+Formula!E40+Formula!G40+Formula!I40+Formula!K40))*(INDEX(Properties!A$1:CB$87,Formula!J40,32))</f>
        <v>6.3576923076923073</v>
      </c>
      <c r="DA40" s="42">
        <f>Formula!C40*(INDEX(Properties!A$1:CB$87,Formula!B40,32))+Formula!E40*(INDEX(Properties!A$1:CB$87,Formula!D40,32))+Formula!G40*(INDEX(Properties!A$1:CB$87,Formula!F40,32))+Formula!I40*(INDEX(Properties!A$1:CB$87,Formula!H40,32))+Formula!K40*(INDEX(Properties!A$1:CB$87,Formula!J40,32))</f>
        <v>82.65</v>
      </c>
      <c r="DB40" s="42">
        <f>VARP(IF(INDEX(Properties!A$1:CB$87,Formula!B40,32)&lt;&gt;"",INDEX(Properties!A$1:CB$87,Formula!B40,32)),IF(INDEX(Properties!A$1:CB$87,Formula!D40,32)&lt;&gt;"",INDEX(Properties!A$1:CB$87,Formula!D40,32)),IF(INDEX(Properties!A$1:CB$87,Formula!F40,32)&lt;&gt;"",INDEX(Properties!A$1:CB$87,Formula!F40,32)),IF(INDEX(Properties!A$1:CB$87,Formula!H40,32)&lt;&gt;"",INDEX(Properties!A$1:CB$87,Formula!H40,32)),IF(INDEX(Properties!A$1:CB$87,Formula!J40,32)&lt;&gt;"",INDEX(Properties!A$1:CB$87,Formula!J40,32)))</f>
        <v>5.7579840000000013</v>
      </c>
      <c r="DC40" s="42">
        <f>MAX(INDEX(Properties!A$1:CB$87,Formula!B40,32),INDEX(Properties!A$1:CB$87,Formula!D40,32),INDEX(Properties!A$1:CB$87,Formula!F40,32),INDEX(Properties!A$1:CB$87,Formula!H40,32),INDEX(Properties!A$1:CB$87,Formula!J40,32))</f>
        <v>7.54</v>
      </c>
      <c r="DD40" s="42">
        <f>MIN(IF(INDEX(Properties!A$1:CB$87,Formula!B40,32)=0,10^6,INDEX(Properties!A$1:CB$87,Formula!B40,32)),IF(INDEX(Properties!A$1:CB$87,Formula!D40,32)=0,10^6,INDEX(Properties!A$1:CB$87,Formula!D40,32)),IF(INDEX(Properties!A$1:CB$87,Formula!F40,32)=0,10^6,INDEX(Properties!A$1:CB$87,Formula!F40,32)),IF(INDEX(Properties!A$1:CB$87,Formula!H40,32)=0,10^6,INDEX(Properties!A$1:CB$87,Formula!H40,32)),IF(INDEX(Properties!A$1:CB$87,Formula!J40,32)=0,10^6,INDEX(Properties!A$1:CB$87,Formula!J40,32)))</f>
        <v>3.19</v>
      </c>
      <c r="DE40" s="42">
        <f t="shared" si="17"/>
        <v>4.3499999999999996</v>
      </c>
      <c r="DF40" s="60">
        <f>((Formula!C40)/(Formula!C40+Formula!E40+Formula!G40+Formula!I40+Formula!K40))*(INDEX(Properties!A$1:CB$87,Formula!B40,34))+((Formula!E40)/(Formula!C40+Formula!E40+Formula!G40+Formula!I40+Formula!K40))*(INDEX(Properties!A$1:CB$87,Formula!D40,34))+((Formula!G40)/(Formula!C40+Formula!E40+Formula!G40+Formula!I40+Formula!K40))*(INDEX(Properties!A$1:CB$87,Formula!F40,34))+((Formula!I40)/(Formula!C40+Formula!E40+Formula!G40+Formula!I40+Formula!K40))*(INDEX(Properties!A$1:CB$87,Formula!H40,34))+((Formula!K40)/(Formula!C40+Formula!E40+Formula!G40+Formula!I40+Formula!K40))*(INDEX(Properties!A$1:CB$87,Formula!J40,34))</f>
        <v>2.92</v>
      </c>
      <c r="DG40" s="60">
        <f>Formula!C40*(INDEX(Properties!A$1:CB$87,Formula!B40,34))+Formula!E40*(INDEX(Properties!A$1:CB$87,Formula!D40,34))+Formula!G40*(INDEX(Properties!A$1:CB$87,Formula!F40,34))+Formula!I40*(INDEX(Properties!A$1:CB$87,Formula!H40,34))+Formula!K40*(INDEX(Properties!A$1:CB$87,Formula!J40,34))</f>
        <v>37.96</v>
      </c>
      <c r="DH40" s="60">
        <f>VARP(IF(INDEX(Properties!A$1:CB$87,Formula!B40,34)&lt;&gt;"",INDEX(Properties!A$1:CB$87,Formula!B40,34)),IF(INDEX(Properties!A$1:CB$87,Formula!D40,34)&lt;&gt;"",INDEX(Properties!A$1:CB$87,Formula!D40,34)),IF(INDEX(Properties!A$1:CB$87,Formula!F40,34)&lt;&gt;"",INDEX(Properties!A$1:CB$87,Formula!F40,34)),IF(INDEX(Properties!A$1:CB$87,Formula!H40,34)&lt;&gt;"",INDEX(Properties!A$1:CB$87,Formula!H40,34)),IF(INDEX(Properties!A$1:CB$87,Formula!J40,34)&lt;&gt;"",INDEX(Properties!A$1:CB$87,Formula!J40,34)))</f>
        <v>1.3699439999999996</v>
      </c>
      <c r="DI40" s="60">
        <f>MAX(INDEX(Properties!A$1:CB$87,Formula!B40,34),INDEX(Properties!A$1:CB$87,Formula!D40,34),INDEX(Properties!A$1:CB$87,Formula!F40,34),INDEX(Properties!A$1:CB$87,Formula!H40,34),INDEX(Properties!A$1:CB$87,Formula!J40,34))</f>
        <v>3.61</v>
      </c>
      <c r="DJ40" s="60">
        <f>MIN(IF(INDEX(Properties!A$1:CB$87,Formula!B40,34)=0,10^6,INDEX(Properties!A$1:CB$87,Formula!B40,34)),IF(INDEX(Properties!A$1:CB$87,Formula!D40,34)=0,10^6,INDEX(Properties!A$1:CB$87,Formula!D40,34)),IF(INDEX(Properties!A$1:CB$87,Formula!F40,34)=0,10^6,INDEX(Properties!A$1:CB$87,Formula!F40,34)),IF(INDEX(Properties!A$1:CB$87,Formula!H40,34)=0,10^6,INDEX(Properties!A$1:CB$87,Formula!H40,34)),IF(INDEX(Properties!A$1:CB$87,Formula!J40,34)=0,10^6,INDEX(Properties!A$1:CB$87,Formula!J40,34)))</f>
        <v>1.1200000000000001</v>
      </c>
      <c r="DK40" s="60">
        <f t="shared" si="18"/>
        <v>2.4899999999999998</v>
      </c>
      <c r="DL40" s="45">
        <f>((Formula!C40)/(Formula!C40+Formula!E40+Formula!G40+Formula!I40+Formula!K40))*(INDEX(Properties!A$1:CB$87,Formula!B40,39))+((Formula!E40)/(Formula!C40+Formula!E40+Formula!G40+Formula!I40+Formula!K40))*(INDEX(Properties!A$1:CB$87,Formula!D40,39))+((Formula!G40)/(Formula!C40+Formula!E40+Formula!G40+Formula!I40+Formula!K40))*(INDEX(Properties!A$1:CB$87,Formula!F40,39))+((Formula!I40)/(Formula!C40+Formula!E40+Formula!G40+Formula!I40+Formula!K40))*(INDEX(Properties!A$1:CB$87,Formula!H40,39))+((Formula!K40)/(Formula!C40+Formula!E40+Formula!G40+Formula!I40+Formula!K40))*(INDEX(Properties!A$1:CB$87,Formula!J40,39))</f>
        <v>0.93153846153846154</v>
      </c>
      <c r="DM40" s="45">
        <f>Formula!C40*(INDEX(Properties!A$1:CB$87,Formula!B40,39))+Formula!E40*(INDEX(Properties!A$1:CB$87,Formula!D40,39))+Formula!G40*(INDEX(Properties!A$1:CB$87,Formula!F40,39))+Formula!I40*(INDEX(Properties!A$1:CB$87,Formula!H40,39))+Formula!K40*(INDEX(Properties!A$1:CB$87,Formula!J40,39))</f>
        <v>12.11</v>
      </c>
      <c r="DN40" s="45">
        <f>VARP(IF(INDEX(Properties!A$1:CB$87,Formula!B40,39)&lt;&gt;"",INDEX(Properties!A$1:CB$87,Formula!B40,39)),IF(INDEX(Properties!A$1:CB$87,Formula!D40,39)&lt;&gt;"",INDEX(Properties!A$1:CB$87,Formula!D40,39)),IF(INDEX(Properties!A$1:CB$87,Formula!F40,39)&lt;&gt;"",INDEX(Properties!A$1:CB$87,Formula!F40,39)),IF(INDEX(Properties!A$1:CB$87,Formula!H40,39)&lt;&gt;"",INDEX(Properties!A$1:CB$87,Formula!H40,39)),IF(INDEX(Properties!A$1:CB$87,Formula!J40,39)&lt;&gt;"",INDEX(Properties!A$1:CB$87,Formula!J40,39)))</f>
        <v>0.73129600000000006</v>
      </c>
      <c r="DO40" s="45">
        <f>MAX(INDEX(Properties!A$1:CB$87,Formula!B40,39),INDEX(Properties!A$1:CB$87,Formula!D40,39),INDEX(Properties!A$1:CB$87,Formula!F40,39),INDEX(Properties!A$1:CB$87,Formula!H40,39),INDEX(Properties!A$1:CB$87,Formula!J40,39))</f>
        <v>2.12</v>
      </c>
      <c r="DP40" s="45">
        <f>MIN(IF(INDEX(Properties!A$1:CB$87,Formula!B40,39)=0,10^6,INDEX(Properties!A$1:CB$87,Formula!B40,39)),IF(INDEX(Properties!A$1:CB$87,Formula!D40,39)=0,10^6,INDEX(Properties!A$1:CB$87,Formula!D40,39)),IF(INDEX(Properties!A$1:CB$87,Formula!F40,39)=0,10^6,INDEX(Properties!A$1:CB$87,Formula!F40,39)),IF(INDEX(Properties!A$1:CB$87,Formula!H40,39)=0,10^6,INDEX(Properties!A$1:CB$87,Formula!H40,39)),IF(INDEX(Properties!A$1:CB$87,Formula!J40,39)=0,10^6,INDEX(Properties!A$1:CB$87,Formula!J40,39)))</f>
        <v>0.48</v>
      </c>
      <c r="DQ40" s="45">
        <f t="shared" si="19"/>
        <v>1.6400000000000001</v>
      </c>
      <c r="DR40" s="63">
        <f>((Formula!C40)/(Formula!C40+Formula!E40+Formula!G40+Formula!I40+Formula!K40))*(INDEX(Properties!A$1:CB$87,Formula!B40,40))+((Formula!E40)/(Formula!C40+Formula!E40+Formula!G40+Formula!I40+Formula!K40))*(INDEX(Properties!A$1:CB$87,Formula!D40,40))+((Formula!G40)/(Formula!C40+Formula!E40+Formula!G40+Formula!I40+Formula!K40))*(INDEX(Properties!A$1:CB$87,Formula!F40,40))+((Formula!I40)/(Formula!C40+Formula!E40+Formula!G40+Formula!I40+Formula!K40))*(INDEX(Properties!A$1:CB$87,Formula!H40,40))+((Formula!K40)/(Formula!C40+Formula!E40+Formula!G40+Formula!I40+Formula!K40))*(INDEX(Properties!A$1:CB$87,Formula!J40,40))</f>
        <v>0.93692307692307686</v>
      </c>
      <c r="DS40" s="63">
        <f>Formula!C40*(INDEX(Properties!A$1:CB$87,Formula!B40,40))+Formula!E40*(INDEX(Properties!A$1:CB$87,Formula!D40,40))+Formula!G40*(INDEX(Properties!A$1:CB$87,Formula!F40,40))+Formula!I40*(INDEX(Properties!A$1:CB$87,Formula!H40,40))+Formula!K40*(INDEX(Properties!A$1:CB$87,Formula!J40,40))</f>
        <v>12.18</v>
      </c>
      <c r="DT40" s="63">
        <f>VARP(IF(INDEX(Properties!A$1:CB$87,Formula!B40,40)&lt;&gt;"",INDEX(Properties!A$1:CB$87,Formula!B40,40)),IF(INDEX(Properties!A$1:CB$87,Formula!D40,40)&lt;&gt;"",INDEX(Properties!A$1:CB$87,Formula!D40,40)),IF(INDEX(Properties!A$1:CB$87,Formula!F40,40)&lt;&gt;"",INDEX(Properties!A$1:CB$87,Formula!F40,40)),IF(INDEX(Properties!A$1:CB$87,Formula!H40,40)&lt;&gt;"",INDEX(Properties!A$1:CB$87,Formula!H40,40)),IF(INDEX(Properties!A$1:CB$87,Formula!J40,40)&lt;&gt;"",INDEX(Properties!A$1:CB$87,Formula!J40,40)))</f>
        <v>0.33130399999999965</v>
      </c>
      <c r="DU40" s="63">
        <f>MAX(INDEX(Properties!A$1:CB$87,Formula!B40,40),INDEX(Properties!A$1:CB$87,Formula!D40,40),INDEX(Properties!A$1:CB$87,Formula!F40,40),INDEX(Properties!A$1:CB$87,Formula!H40,40),INDEX(Properties!A$1:CB$87,Formula!J40,40))</f>
        <v>1.62</v>
      </c>
      <c r="DV40" s="63">
        <f>MIN(IF(INDEX(Properties!A$1:CB$87,Formula!B40,40)=0,10^6,INDEX(Properties!A$1:CB$87,Formula!B40,40)),IF(INDEX(Properties!A$1:CB$87,Formula!D40,40)=0,10^6,INDEX(Properties!A$1:CB$87,Formula!D40,40)),IF(INDEX(Properties!A$1:CB$87,Formula!F40,40)=0,10^6,INDEX(Properties!A$1:CB$87,Formula!F40,40)),IF(INDEX(Properties!A$1:CB$87,Formula!H40,40)=0,10^6,INDEX(Properties!A$1:CB$87,Formula!H40,40)),IF(INDEX(Properties!A$1:CB$87,Formula!J40,40)=0,10^6,INDEX(Properties!A$1:CB$87,Formula!J40,40)))</f>
        <v>0.73</v>
      </c>
      <c r="DW40" s="63">
        <f t="shared" si="20"/>
        <v>0.89000000000000012</v>
      </c>
      <c r="DX40" s="75">
        <f>((Formula!C40)/(Formula!C40+Formula!E40+Formula!G40+Formula!I40+Formula!K40))*(INDEX(Properties!A$1:CB$87,Formula!B40,41))+((Formula!E40)/(Formula!C40+Formula!E40+Formula!G40+Formula!I40+Formula!K40))*(INDEX(Properties!A$1:CB$87,Formula!D40,41))+((Formula!G40)/(Formula!C40+Formula!E40+Formula!G40+Formula!I40+Formula!K40))*(INDEX(Properties!A$1:CB$87,Formula!F40,41))+((Formula!I40)/(Formula!C40+Formula!E40+Formula!G40+Formula!I40+Formula!K40))*(INDEX(Properties!A$1:CB$87,Formula!H40,41))+((Formula!K40)/(Formula!C40+Formula!E40+Formula!G40+Formula!I40+Formula!K40))*(INDEX(Properties!A$1:CB$87,Formula!J40,41))</f>
        <v>1.1561538461538463</v>
      </c>
      <c r="DY40" s="75">
        <f>Formula!C40*(INDEX(Properties!A$1:CB$87,Formula!B40,41))+Formula!E40*(INDEX(Properties!A$1:CB$87,Formula!D40,41))+Formula!G40*(INDEX(Properties!A$1:CB$87,Formula!F40,41))+Formula!I40*(INDEX(Properties!A$1:CB$87,Formula!H40,41))+Formula!K40*(INDEX(Properties!A$1:CB$87,Formula!J40,41))</f>
        <v>15.03</v>
      </c>
      <c r="DZ40" s="75">
        <f>VARP(IF(INDEX(Properties!A$1:CB$87,Formula!B40,41)&lt;&gt;"",INDEX(Properties!A$1:CB$87,Formula!B40,41)),IF(INDEX(Properties!A$1:CB$87,Formula!D40,41)&lt;&gt;"",INDEX(Properties!A$1:CB$87,Formula!D40,41)),IF(INDEX(Properties!A$1:CB$87,Formula!F40,41)&lt;&gt;"",INDEX(Properties!A$1:CB$87,Formula!F40,41)),IF(INDEX(Properties!A$1:CB$87,Formula!H40,41)&lt;&gt;"",INDEX(Properties!A$1:CB$87,Formula!H40,41)),IF(INDEX(Properties!A$1:CB$87,Formula!J40,41)&lt;&gt;"",INDEX(Properties!A$1:CB$87,Formula!J40,41)))</f>
        <v>0.18561599999999998</v>
      </c>
      <c r="EA40" s="75">
        <f>MAX(INDEX(Properties!A$1:CB$87,Formula!B40,41),INDEX(Properties!A$1:CB$87,Formula!D40,41),INDEX(Properties!A$1:CB$87,Formula!F40,41),INDEX(Properties!A$1:CB$87,Formula!H40,41),INDEX(Properties!A$1:CB$87,Formula!J40,41))</f>
        <v>1.26</v>
      </c>
      <c r="EB40" s="75">
        <f>MIN(IF(INDEX(Properties!A$1:CB$87,Formula!B40,41)=0,10^6,INDEX(Properties!A$1:CB$87,Formula!B40,41)),IF(INDEX(Properties!A$1:CB$87,Formula!D40,41)=0,10^6,INDEX(Properties!A$1:CB$87,Formula!D40,41)),IF(INDEX(Properties!A$1:CB$87,Formula!F40,41)=0,10^6,INDEX(Properties!A$1:CB$87,Formula!F40,41)),IF(INDEX(Properties!A$1:CB$87,Formula!H40,41)=0,10^6,INDEX(Properties!A$1:CB$87,Formula!H40,41)),IF(INDEX(Properties!A$1:CB$87,Formula!J40,41)=0,10^6,INDEX(Properties!A$1:CB$87,Formula!J40,41)))</f>
        <v>0.86</v>
      </c>
      <c r="EC40" s="75">
        <f t="shared" si="21"/>
        <v>0.4</v>
      </c>
      <c r="ED40" s="48">
        <f>((Formula!C40)/(Formula!C40+Formula!E40+Formula!G40+Formula!I40+Formula!K40))*(INDEX(Properties!A$1:CB$87,Formula!B40,45))+((Formula!E40)/(Formula!C40+Formula!E40+Formula!G40+Formula!I40+Formula!K40))*(INDEX(Properties!A$1:CB$87,Formula!D40,45))+((Formula!G40)/(Formula!C40+Formula!E40+Formula!G40+Formula!I40+Formula!K40))*(INDEX(Properties!A$1:CB$87,Formula!F40,45))+((Formula!I40)/(Formula!C40+Formula!E40+Formula!G40+Formula!I40+Formula!K40))*(INDEX(Properties!A$1:CB$87,Formula!H40,45))+((Formula!K40)/(Formula!C40+Formula!E40+Formula!G40+Formula!I40+Formula!K40))*(INDEX(Properties!A$1:CB$87,Formula!J40,45))</f>
        <v>1.1630769230769231</v>
      </c>
      <c r="EE40" s="48">
        <f>Formula!C40*(INDEX(Properties!A$1:CB$87,Formula!B40,45))+Formula!E40*(INDEX(Properties!A$1:CB$87,Formula!D40,45))+Formula!G40*(INDEX(Properties!A$1:CB$87,Formula!F40,45))+Formula!I40*(INDEX(Properties!A$1:CB$87,Formula!H40,45))+Formula!K40*(INDEX(Properties!A$1:CB$87,Formula!J40,45))</f>
        <v>15.119999999999997</v>
      </c>
      <c r="EF40" s="48">
        <f>VARP(IF(INDEX(Properties!A$1:CB$87,Formula!B40,45)&lt;&gt;"",INDEX(Properties!A$1:CB$87,Formula!B40,45)),IF(INDEX(Properties!A$1:CB$87,Formula!D40,45)&lt;&gt;"",INDEX(Properties!A$1:CB$87,Formula!D40,45)),IF(INDEX(Properties!A$1:CB$87,Formula!F40,45)&lt;&gt;"",INDEX(Properties!A$1:CB$87,Formula!F40,45)),IF(INDEX(Properties!A$1:CB$87,Formula!H40,45)&lt;&gt;"",INDEX(Properties!A$1:CB$87,Formula!H40,45)),IF(INDEX(Properties!A$1:CB$87,Formula!J40,45)&lt;&gt;"",INDEX(Properties!A$1:CB$87,Formula!J40,45)))</f>
        <v>1.5190000000000003</v>
      </c>
      <c r="EG40" s="48">
        <f>MAX(INDEX(Properties!A$1:CB$87,Formula!B40,45),INDEX(Properties!A$1:CB$87,Formula!D40,45),INDEX(Properties!A$1:CB$87,Formula!F40,45),INDEX(Properties!A$1:CB$87,Formula!H40,45),INDEX(Properties!A$1:CB$87,Formula!J40,45))</f>
        <v>2.94</v>
      </c>
      <c r="EH40" s="48">
        <f>MIN(IF(INDEX(Properties!A$1:CB$87,Formula!B40,45)=0,10^6,INDEX(Properties!A$1:CB$87,Formula!B40,45)),IF(INDEX(Properties!A$1:CB$87,Formula!D40,45)=0,10^6,INDEX(Properties!A$1:CB$87,Formula!D40,45)),IF(INDEX(Properties!A$1:CB$87,Formula!F40,45)=0,10^6,INDEX(Properties!A$1:CB$87,Formula!F40,45)),IF(INDEX(Properties!A$1:CB$87,Formula!H40,45)=0,10^6,INDEX(Properties!A$1:CB$87,Formula!H40,45)),IF(INDEX(Properties!A$1:CB$87,Formula!J40,45)=0,10^6,INDEX(Properties!A$1:CB$87,Formula!J40,45)))</f>
        <v>0.47</v>
      </c>
      <c r="EI40" s="48">
        <f t="shared" si="22"/>
        <v>2.4699999999999998</v>
      </c>
      <c r="EJ40" s="66">
        <f>((Formula!C40)/(Formula!C40+Formula!E40+Formula!G40+Formula!I40+Formula!K40))*(INDEX(Properties!A$1:CB$87,Formula!B40,46))+((Formula!E40)/(Formula!C40+Formula!E40+Formula!G40+Formula!I40+Formula!K40))*(INDEX(Properties!A$1:CB$87,Formula!D40,46))+((Formula!G40)/(Formula!C40+Formula!E40+Formula!G40+Formula!I40+Formula!K40))*(INDEX(Properties!A$1:CB$87,Formula!F40,46))+((Formula!I40)/(Formula!C40+Formula!E40+Formula!G40+Formula!I40+Formula!K40))*(INDEX(Properties!A$1:CB$87,Formula!H40,46))+((Formula!K40)/(Formula!C40+Formula!E40+Formula!G40+Formula!I40+Formula!K40))*(INDEX(Properties!A$1:CB$87,Formula!J40,46))</f>
        <v>1.0899999999999999</v>
      </c>
      <c r="EK40" s="66">
        <f>Formula!C40*(INDEX(Properties!A$1:CB$87,Formula!B40,46))+Formula!E40*(INDEX(Properties!A$1:CB$87,Formula!D40,46))+Formula!G40*(INDEX(Properties!A$1:CB$87,Formula!F40,46))+Formula!I40*(INDEX(Properties!A$1:CB$87,Formula!H40,46))+Formula!K40*(INDEX(Properties!A$1:CB$87,Formula!J40,46))</f>
        <v>14.170000000000002</v>
      </c>
      <c r="EL40" s="66">
        <f>VARP(IF(INDEX(Properties!A$1:CB$87,Formula!B40,46)&lt;&gt;"",INDEX(Properties!A$1:CB$87,Formula!B40,46)),IF(INDEX(Properties!A$1:CB$87,Formula!D40,46)&lt;&gt;"",INDEX(Properties!A$1:CB$87,Formula!D40,46)),IF(INDEX(Properties!A$1:CB$87,Formula!F40,46)&lt;&gt;"",INDEX(Properties!A$1:CB$87,Formula!F40,46)),IF(INDEX(Properties!A$1:CB$87,Formula!H40,46)&lt;&gt;"",INDEX(Properties!A$1:CB$87,Formula!H40,46)),IF(INDEX(Properties!A$1:CB$87,Formula!J40,46)&lt;&gt;"",INDEX(Properties!A$1:CB$87,Formula!J40,46)))</f>
        <v>0.17273600000000017</v>
      </c>
      <c r="EM40" s="66">
        <f>MAX(INDEX(Properties!A$1:CB$87,Formula!B40,46),INDEX(Properties!A$1:CB$87,Formula!D40,46),INDEX(Properties!A$1:CB$87,Formula!F40,46),INDEX(Properties!A$1:CB$87,Formula!H40,46),INDEX(Properties!A$1:CB$87,Formula!J40,46))</f>
        <v>1.21</v>
      </c>
      <c r="EN40" s="66">
        <f>MIN(IF(INDEX(Properties!A$1:CB$87,Formula!B40,46)=0,10^6,INDEX(Properties!A$1:CB$87,Formula!B40,46)),IF(INDEX(Properties!A$1:CB$87,Formula!D40,46)=0,10^6,INDEX(Properties!A$1:CB$87,Formula!D40,46)),IF(INDEX(Properties!A$1:CB$87,Formula!F40,46)=0,10^6,INDEX(Properties!A$1:CB$87,Formula!F40,46)),IF(INDEX(Properties!A$1:CB$87,Formula!H40,46)=0,10^6,INDEX(Properties!A$1:CB$87,Formula!H40,46)),IF(INDEX(Properties!A$1:CB$87,Formula!J40,46)=0,10^6,INDEX(Properties!A$1:CB$87,Formula!J40,46)))</f>
        <v>0.68</v>
      </c>
      <c r="EO40" s="66">
        <f t="shared" si="23"/>
        <v>0.52999999999999992</v>
      </c>
      <c r="EP40" s="81">
        <f>((Formula!C40)/(Formula!C40+Formula!E40+Formula!G40+Formula!I40+Formula!K40))*(INDEX(Properties!A$1:CB$87,Formula!B40,52))+((Formula!E40)/(Formula!C40+Formula!E40+Formula!G40+Formula!I40+Formula!K40))*(INDEX(Properties!A$1:CB$87,Formula!D40,52))+((Formula!G40)/(Formula!C40+Formula!E40+Formula!G40+Formula!I40+Formula!K40))*(INDEX(Properties!A$1:CB$87,Formula!F40,52))+((Formula!I40)/(Formula!C40+Formula!E40+Formula!G40+Formula!I40+Formula!K40))*(INDEX(Properties!A$1:CB$87,Formula!H40,52))+((Formula!K40)/(Formula!C40+Formula!E40+Formula!G40+Formula!I40+Formula!K40))*(INDEX(Properties!A$1:CB$87,Formula!J40,52))</f>
        <v>5.6643846153846154</v>
      </c>
      <c r="EQ40" s="81">
        <f>Formula!C40*(INDEX(Properties!A$1:CB$87,Formula!B40,52))+Formula!E40*(INDEX(Properties!A$1:CB$87,Formula!D40,52))+Formula!G40*(INDEX(Properties!A$1:CB$87,Formula!F40,52))+Formula!I40*(INDEX(Properties!A$1:CB$87,Formula!H40,52))+Formula!K40*(INDEX(Properties!A$1:CB$87,Formula!J40,52))</f>
        <v>73.637</v>
      </c>
      <c r="ER40" s="81">
        <f>VARP(IF(INDEX(Properties!A$1:CB$87,Formula!B40,52)&lt;&gt;"",INDEX(Properties!A$1:CB$87,Formula!B40,52)),IF(INDEX(Properties!A$1:CB$87,Formula!D40,52)&lt;&gt;"",INDEX(Properties!A$1:CB$87,Formula!D40,52)),IF(INDEX(Properties!A$1:CB$87,Formula!F40,52)&lt;&gt;"",INDEX(Properties!A$1:CB$87,Formula!F40,52)),IF(INDEX(Properties!A$1:CB$87,Formula!H40,52)&lt;&gt;"",INDEX(Properties!A$1:CB$87,Formula!H40,52)),IF(INDEX(Properties!A$1:CB$87,Formula!J40,52)&lt;&gt;"",INDEX(Properties!A$1:CB$87,Formula!J40,52)))</f>
        <v>76.760263839999993</v>
      </c>
      <c r="ES40" s="81">
        <f>MAX(INDEX(Properties!A$1:CB$87,Formula!B40,52),INDEX(Properties!A$1:CB$87,Formula!D40,52),INDEX(Properties!A$1:CB$87,Formula!F40,52),INDEX(Properties!A$1:CB$87,Formula!H40,52),INDEX(Properties!A$1:CB$87,Formula!J40,52))</f>
        <v>22.7</v>
      </c>
      <c r="ET40" s="81">
        <f>MIN(IF(INDEX(Properties!A$1:CB$87,Formula!B40,52)=0,10^6,INDEX(Properties!A$1:CB$87,Formula!B40,52)),IF(INDEX(Properties!A$1:CB$87,Formula!D40,52)=0,10^6,INDEX(Properties!A$1:CB$87,Formula!D40,52)),IF(INDEX(Properties!A$1:CB$87,Formula!F40,52)=0,10^6,INDEX(Properties!A$1:CB$87,Formula!F40,52)),IF(INDEX(Properties!A$1:CB$87,Formula!H40,52)=0,10^6,INDEX(Properties!A$1:CB$87,Formula!H40,52)),IF(INDEX(Properties!A$1:CB$87,Formula!J40,52)=0,10^6,INDEX(Properties!A$1:CB$87,Formula!J40,52)))</f>
        <v>0.79300000000000004</v>
      </c>
      <c r="EU40" s="81">
        <f t="shared" si="24"/>
        <v>21.907</v>
      </c>
      <c r="EV40" s="39">
        <f>((Formula!C40)/(Formula!C40+Formula!E40+Formula!G40+Formula!I40+Formula!K40))*(INDEX(Properties!A$1:CB$87,Formula!B40,53))+((Formula!E40)/(Formula!C40+Formula!E40+Formula!G40+Formula!I40+Formula!K40))*(INDEX(Properties!A$1:CB$87,Formula!D40,53))+((Formula!G40)/(Formula!C40+Formula!E40+Formula!G40+Formula!I40+Formula!K40))*(INDEX(Properties!A$1:CB$87,Formula!F40,53))+((Formula!I40)/(Formula!C40+Formula!E40+Formula!G40+Formula!I40+Formula!K40))*(INDEX(Properties!A$1:CB$87,Formula!H40,53))+((Formula!K40)/(Formula!C40+Formula!E40+Formula!G40+Formula!I40+Formula!K40))*(INDEX(Properties!A$1:CB$87,Formula!J40,53))</f>
        <v>764.18076923076933</v>
      </c>
      <c r="EW40" s="39">
        <f>Formula!C40*(INDEX(Properties!A$1:CB$87,Formula!B40,53))+Formula!E40*(INDEX(Properties!A$1:CB$87,Formula!D40,53))+Formula!G40*(INDEX(Properties!A$1:CB$87,Formula!F40,53))+Formula!I40*(INDEX(Properties!A$1:CB$87,Formula!H40,53))+Formula!K40*(INDEX(Properties!A$1:CB$87,Formula!J40,53))</f>
        <v>9934.35</v>
      </c>
      <c r="EX40" s="39">
        <f>VARP(IF(INDEX(Properties!A$1:CB$87,Formula!B40,53)&lt;&gt;"",INDEX(Properties!A$1:CB$87,Formula!B40,53)),IF(INDEX(Properties!A$1:CB$87,Formula!D40,53)&lt;&gt;"",INDEX(Properties!A$1:CB$87,Formula!D40,53)),IF(INDEX(Properties!A$1:CB$87,Formula!F40,53)&lt;&gt;"",INDEX(Properties!A$1:CB$87,Formula!F40,53)),IF(INDEX(Properties!A$1:CB$87,Formula!H40,53)&lt;&gt;"",INDEX(Properties!A$1:CB$87,Formula!H40,53)),IF(INDEX(Properties!A$1:CB$87,Formula!J40,53)&lt;&gt;"",INDEX(Properties!A$1:CB$87,Formula!J40,53)))</f>
        <v>1259145.6443999999</v>
      </c>
      <c r="EY40" s="39">
        <f>MAX(INDEX(Properties!A$1:CB$87,Formula!B40,53),INDEX(Properties!A$1:CB$87,Formula!D40,53),INDEX(Properties!A$1:CB$87,Formula!F40,53),INDEX(Properties!A$1:CB$87,Formula!H40,53),INDEX(Properties!A$1:CB$87,Formula!J40,53))</f>
        <v>2741.15</v>
      </c>
      <c r="EZ40" s="39">
        <f>MIN(IF(INDEX(Properties!A$1:CB$87,Formula!B40,53)=0,10^6,INDEX(Properties!A$1:CB$87,Formula!B40,53)),IF(INDEX(Properties!A$1:CB$87,Formula!D40,53)=0,10^6,INDEX(Properties!A$1:CB$87,Formula!D40,53)),IF(INDEX(Properties!A$1:CB$87,Formula!F40,53)=0,10^6,INDEX(Properties!A$1:CB$87,Formula!F40,53)),IF(INDEX(Properties!A$1:CB$87,Formula!H40,53)=0,10^6,INDEX(Properties!A$1:CB$87,Formula!H40,53)),IF(INDEX(Properties!A$1:CB$87,Formula!J40,53)=0,10^6,INDEX(Properties!A$1:CB$87,Formula!J40,53)))</f>
        <v>54.749999999999972</v>
      </c>
      <c r="FA40" s="39">
        <f t="shared" si="25"/>
        <v>2686.4</v>
      </c>
      <c r="FB40" s="54">
        <f>((Formula!C40)/(Formula!C40+Formula!E40+Formula!G40+Formula!I40+Formula!K40))*(INDEX(Properties!A$1:CB$87,Formula!B40,54))+((Formula!E40)/(Formula!C40+Formula!E40+Formula!G40+Formula!I40+Formula!K40))*(INDEX(Properties!A$1:CB$87,Formula!D40,54))+((Formula!G40)/(Formula!C40+Formula!E40+Formula!G40+Formula!I40+Formula!K40))*(INDEX(Properties!A$1:CB$87,Formula!F40,54))+((Formula!I40)/(Formula!C40+Formula!E40+Formula!G40+Formula!I40+Formula!K40))*(INDEX(Properties!A$1:CB$87,Formula!H40,54))+((Formula!K40)/(Formula!C40+Formula!E40+Formula!G40+Formula!I40+Formula!K40))*(INDEX(Properties!A$1:CB$87,Formula!J40,54))</f>
        <v>1392.6884615384615</v>
      </c>
      <c r="FC40" s="54">
        <f>Formula!C40*(INDEX(Properties!A$1:CB$87,Formula!B40,54))+Formula!E40*(INDEX(Properties!A$1:CB$87,Formula!D40,54))+Formula!G40*(INDEX(Properties!A$1:CB$87,Formula!F40,54))+Formula!I40*(INDEX(Properties!A$1:CB$87,Formula!H40,54))+Formula!K40*(INDEX(Properties!A$1:CB$87,Formula!J40,54))</f>
        <v>18104.949999999997</v>
      </c>
      <c r="FD40" s="54">
        <f>VARP(IF(INDEX(Properties!A$1:CB$87,Formula!B40,54)&lt;&gt;"",INDEX(Properties!A$1:CB$87,Formula!B40,54)),IF(INDEX(Properties!A$1:CB$87,Formula!D40,54)&lt;&gt;"",INDEX(Properties!A$1:CB$87,Formula!D40,54)),IF(INDEX(Properties!A$1:CB$87,Formula!F40,54)&lt;&gt;"",INDEX(Properties!A$1:CB$87,Formula!F40,54)),IF(INDEX(Properties!A$1:CB$87,Formula!H40,54)&lt;&gt;"",INDEX(Properties!A$1:CB$87,Formula!H40,54)),IF(INDEX(Properties!A$1:CB$87,Formula!J40,54)&lt;&gt;"",INDEX(Properties!A$1:CB$87,Formula!J40,54)))</f>
        <v>4188418.2596000014</v>
      </c>
      <c r="FE40" s="54">
        <f>MAX(INDEX(Properties!A$1:CB$87,Formula!B40,54),INDEX(Properties!A$1:CB$87,Formula!D40,54),INDEX(Properties!A$1:CB$87,Formula!F40,54),INDEX(Properties!A$1:CB$87,Formula!H40,54),INDEX(Properties!A$1:CB$87,Formula!J40,54))</f>
        <v>5015.1499999999996</v>
      </c>
      <c r="FF40" s="54">
        <f>MIN(IF(INDEX(Properties!A$1:CB$87,Formula!B40,54)=0,10^6,INDEX(Properties!A$1:CB$87,Formula!B40,54)),IF(INDEX(Properties!A$1:CB$87,Formula!D40,54)=0,10^6,INDEX(Properties!A$1:CB$87,Formula!D40,54)),IF(INDEX(Properties!A$1:CB$87,Formula!F40,54)=0,10^6,INDEX(Properties!A$1:CB$87,Formula!F40,54)),IF(INDEX(Properties!A$1:CB$87,Formula!H40,54)=0,10^6,INDEX(Properties!A$1:CB$87,Formula!H40,54)),IF(INDEX(Properties!A$1:CB$87,Formula!J40,54)=0,10^6,INDEX(Properties!A$1:CB$87,Formula!J40,54)))</f>
        <v>90.149999999999977</v>
      </c>
      <c r="FG40" s="54">
        <f t="shared" si="26"/>
        <v>4925</v>
      </c>
      <c r="FH40" s="69">
        <f>((Formula!C40)/(Formula!C40+Formula!E40+Formula!G40+Formula!I40+Formula!K40))*(INDEX(Properties!A$1:CB$87,Formula!B40,55))+((Formula!E40)/(Formula!C40+Formula!E40+Formula!G40+Formula!I40+Formula!K40))*(INDEX(Properties!A$1:CB$87,Formula!D40,55))+((Formula!G40)/(Formula!C40+Formula!E40+Formula!G40+Formula!I40+Formula!K40))*(INDEX(Properties!A$1:CB$87,Formula!F40,55))+((Formula!I40)/(Formula!C40+Formula!E40+Formula!G40+Formula!I40+Formula!K40))*(INDEX(Properties!A$1:CB$87,Formula!H40,55))+((Formula!K40)/(Formula!C40+Formula!E40+Formula!G40+Formula!I40+Formula!K40))*(INDEX(Properties!A$1:CB$87,Formula!J40,55))</f>
        <v>2.1332976923076923</v>
      </c>
      <c r="FI40" s="69">
        <f>Formula!C40*(INDEX(Properties!A$1:CB$87,Formula!B40,55))+Formula!E40*(INDEX(Properties!A$1:CB$87,Formula!D40,54))+Formula!G40*(INDEX(Properties!A$1:CB$87,Formula!F40,55))+Formula!I40*(INDEX(Properties!A$1:CB$87,Formula!H40,55))+Formula!K40*(INDEX(Properties!A$1:CB$87,Formula!J40,55))</f>
        <v>10040.89287</v>
      </c>
      <c r="FJ40" s="69">
        <f>VARP(IF(INDEX(Properties!A$1:CB$87,Formula!B40,55)&lt;&gt;"",INDEX(Properties!A$1:CB$87,Formula!B40,55)),IF(INDEX(Properties!A$1:CB$87,Formula!D40,55)&lt;&gt;"",INDEX(Properties!A$1:CB$87,Formula!D40,55)),IF(INDEX(Properties!A$1:CB$87,Formula!F40,55)&lt;&gt;"",INDEX(Properties!A$1:CB$87,Formula!F40,55)),IF(INDEX(Properties!A$1:CB$87,Formula!H40,55)&lt;&gt;"",INDEX(Properties!A$1:CB$87,Formula!H40,55)),IF(INDEX(Properties!A$1:CB$87,Formula!J40,55)&lt;&gt;"",INDEX(Properties!A$1:CB$87,Formula!J40,55)))</f>
        <v>11.480489567184001</v>
      </c>
      <c r="FK40" s="69">
        <f>MAX(INDEX(Properties!A$1:CB$87,Formula!B40,55),INDEX(Properties!A$1:CB$87,Formula!D40,55),INDEX(Properties!A$1:CB$87,Formula!F40,55),INDEX(Properties!A$1:CB$87,Formula!H40,55),INDEX(Properties!A$1:CB$87,Formula!J40,55))</f>
        <v>8.57</v>
      </c>
      <c r="FL40" s="69">
        <f>MIN(IF(INDEX(Properties!A$1:CB$87,Formula!B40,55)=0,10^6,INDEX(Properties!A$1:CB$87,Formula!B40,55)),IF(INDEX(Properties!A$1:CB$87,Formula!D40,55)=0,10^6,INDEX(Properties!A$1:CB$87,Formula!D40,55)),IF(INDEX(Properties!A$1:CB$87,Formula!F40,55)=0,10^6,INDEX(Properties!A$1:CB$87,Formula!F40,55)),IF(INDEX(Properties!A$1:CB$87,Formula!H40,55)=0,10^6,INDEX(Properties!A$1:CB$87,Formula!H40,55)),IF(INDEX(Properties!A$1:CB$87,Formula!J40,55)=0,10^6,INDEX(Properties!A$1:CB$87,Formula!J40,55)))</f>
        <v>1.4300000000000001E-3</v>
      </c>
      <c r="FM40" s="69">
        <f t="shared" si="27"/>
        <v>8.5685700000000011</v>
      </c>
      <c r="FN40" s="42">
        <f>((Formula!C40)/(Formula!C40+Formula!E40+Formula!G40+Formula!I40+Formula!K40))*(INDEX(Properties!A$1:CB$87,Formula!B40,56))+((Formula!E40)/(Formula!C40+Formula!E40+Formula!G40+Formula!I40+Formula!K40))*(INDEX(Properties!A$1:CB$87,Formula!D40,56))+((Formula!G40)/(Formula!C40+Formula!E40+Formula!G40+Formula!I40+Formula!K40))*(INDEX(Properties!A$1:CB$87,Formula!F40,56))+((Formula!I40)/(Formula!C40+Formula!E40+Formula!G40+Formula!I40+Formula!K40))*(INDEX(Properties!A$1:CB$87,Formula!H40,56))+((Formula!K40)/(Formula!C40+Formula!E40+Formula!G40+Formula!I40+Formula!K40))*(INDEX(Properties!A$1:CB$87,Formula!J40,56))</f>
        <v>0.73769230769230765</v>
      </c>
      <c r="FO40" s="42">
        <f>Formula!C40*(INDEX(Properties!A$1:CB$87,Formula!B40,56))+Formula!E40*(INDEX(Properties!A$1:CB$87,Formula!D40,56))+Formula!G40*(INDEX(Properties!A$1:CB$87,Formula!F40,56))+Formula!I40*(INDEX(Properties!A$1:CB$87,Formula!H40,56))+Formula!K40*(INDEX(Properties!A$1:CB$87,Formula!J40,56))</f>
        <v>9.5900000000000016</v>
      </c>
      <c r="FP40" s="42">
        <f>VARP(IF(INDEX(Properties!A$1:CB$87,Formula!B40,56)&lt;&gt;"",INDEX(Properties!A$1:CB$87,Formula!B40,56)),IF(INDEX(Properties!A$1:CB$87,Formula!D40,56)&lt;&gt;"",INDEX(Properties!A$1:CB$87,Formula!D40,56)),IF(INDEX(Properties!A$1:CB$87,Formula!F40,56)&lt;&gt;"",INDEX(Properties!A$1:CB$87,Formula!F40,56)),IF(INDEX(Properties!A$1:CB$87,Formula!H40,56)&lt;&gt;"",INDEX(Properties!A$1:CB$87,Formula!H40,56)),IF(INDEX(Properties!A$1:CB$87,Formula!J40,56)&lt;&gt;"",INDEX(Properties!A$1:CB$87,Formula!J40,56)))</f>
        <v>9.3583999999999945E-2</v>
      </c>
      <c r="FQ40" s="42">
        <f>MAX(INDEX(Properties!A$1:CB$87,Formula!B40,56),INDEX(Properties!A$1:CB$87,Formula!D40,56),INDEX(Properties!A$1:CB$87,Formula!F40,56),INDEX(Properties!A$1:CB$87,Formula!H40,56),INDEX(Properties!A$1:CB$87,Formula!J40,56))</f>
        <v>0.92</v>
      </c>
      <c r="FR40" s="42">
        <f>MIN(IF(INDEX(Properties!A$1:CB$87,Formula!B40,56)=0,10^6,INDEX(Properties!A$1:CB$87,Formula!B40,56)),IF(INDEX(Properties!A$1:CB$87,Formula!D40,56)=0,10^6,INDEX(Properties!A$1:CB$87,Formula!D40,56)),IF(INDEX(Properties!A$1:CB$87,Formula!F40,56)=0,10^6,INDEX(Properties!A$1:CB$87,Formula!F40,56)),IF(INDEX(Properties!A$1:CB$87,Formula!H40,56)=0,10^6,INDEX(Properties!A$1:CB$87,Formula!H40,56)),IF(INDEX(Properties!A$1:CB$87,Formula!J40,56)=0,10^6,INDEX(Properties!A$1:CB$87,Formula!J40,56)))</f>
        <v>0.26</v>
      </c>
      <c r="FS40" s="42">
        <f t="shared" si="28"/>
        <v>0.66</v>
      </c>
      <c r="FT40" s="60">
        <f>((Formula!C40)/(Formula!C40+Formula!E40+Formula!G40+Formula!I40+Formula!K40))*(INDEX(Properties!A$1:CB$87,Formula!B40,57))+((Formula!E40)/(Formula!C40+Formula!E40+Formula!G40+Formula!I40+Formula!K40))*(INDEX(Properties!A$1:CB$87,Formula!D40,57))+((Formula!G40)/(Formula!C40+Formula!E40+Formula!G40+Formula!I40+Formula!K40))*(INDEX(Properties!A$1:CB$87,Formula!F40,57))+((Formula!I40)/(Formula!C40+Formula!E40+Formula!G40+Formula!I40+Formula!K40))*(INDEX(Properties!A$1:CB$87,Formula!H40,57))+((Formula!K40)/(Formula!C40+Formula!E40+Formula!G40+Formula!I40+Formula!K40))*(INDEX(Properties!A$1:CB$87,Formula!J40,57))</f>
        <v>6.7002546153846154</v>
      </c>
      <c r="FU40" s="60">
        <f>Formula!C40*(INDEX(Properties!A$1:CB$87,Formula!B40,57))+Formula!E40*(INDEX(Properties!A$1:CB$87,Formula!D40,57))+Formula!G40*(INDEX(Properties!A$1:CB$87,Formula!F40,57))+Formula!I40*(INDEX(Properties!A$1:CB$87,Formula!H40,57))+Formula!K40*(INDEX(Properties!A$1:CB$87,Formula!J40,57))</f>
        <v>87.103309999999993</v>
      </c>
      <c r="FV40" s="60">
        <f>VARP(IF(INDEX(Properties!A$1:CB$87,Formula!B40,57)&lt;&gt;"",INDEX(Properties!A$1:CB$87,Formula!B40,57)),IF(INDEX(Properties!A$1:CB$87,Formula!D40,57)&lt;&gt;"",INDEX(Properties!A$1:CB$87,Formula!D40,57)),IF(INDEX(Properties!A$1:CB$87,Formula!F40,57)&lt;&gt;"",INDEX(Properties!A$1:CB$87,Formula!F40,57)),IF(INDEX(Properties!A$1:CB$87,Formula!H40,57)&lt;&gt;"",INDEX(Properties!A$1:CB$87,Formula!H40,57)),IF(INDEX(Properties!A$1:CB$87,Formula!J40,57)&lt;&gt;"",INDEX(Properties!A$1:CB$87,Formula!J40,57)))</f>
        <v>113.88104476929604</v>
      </c>
      <c r="FW40" s="60">
        <f>MAX(INDEX(Properties!A$1:CB$87,Formula!B40,57),INDEX(Properties!A$1:CB$87,Formula!D40,57),INDEX(Properties!A$1:CB$87,Formula!F40,57),INDEX(Properties!A$1:CB$87,Formula!H40,57),INDEX(Properties!A$1:CB$87,Formula!J40,57))</f>
        <v>26.4</v>
      </c>
      <c r="FX40" s="60">
        <f>MIN(IF(INDEX(Properties!A$1:CB$87,Formula!B40,57)=0,10^6,INDEX(Properties!A$1:CB$87,Formula!B40,57)),IF(INDEX(Properties!A$1:CB$87,Formula!D40,57)=0,10^6,INDEX(Properties!A$1:CB$87,Formula!D40,57)),IF(INDEX(Properties!A$1:CB$87,Formula!F40,57)=0,10^6,INDEX(Properties!A$1:CB$87,Formula!F40,57)),IF(INDEX(Properties!A$1:CB$87,Formula!H40,57)=0,10^6,INDEX(Properties!A$1:CB$87,Formula!H40,57)),IF(INDEX(Properties!A$1:CB$87,Formula!J40,57)=0,10^6,INDEX(Properties!A$1:CB$87,Formula!J40,57)))</f>
        <v>0.22259000000000001</v>
      </c>
      <c r="FY40" s="60">
        <f t="shared" si="29"/>
        <v>26.177409999999998</v>
      </c>
      <c r="FZ40" s="72">
        <f>((Formula!C40)/(Formula!C40+Formula!E40+Formula!G40+Formula!I40+Formula!K40))*(INDEX(Properties!A$1:CB$87,Formula!B40,60))+((Formula!E40)/(Formula!C40+Formula!E40+Formula!G40+Formula!I40+Formula!K40))*(INDEX(Properties!A$1:CB$87,Formula!D40,60))+((Formula!G40)/(Formula!C40+Formula!E40+Formula!G40+Formula!I40+Formula!K40))*(INDEX(Properties!A$1:CB$87,Formula!F40,60))+((Formula!I40)/(Formula!C40+Formula!E40+Formula!G40+Formula!I40+Formula!K40))*(INDEX(Properties!A$1:CB$87,Formula!H40,60))+((Formula!K40)/(Formula!C40+Formula!E40+Formula!G40+Formula!I40+Formula!K40))*(INDEX(Properties!A$1:CB$87,Formula!J40,60))</f>
        <v>11.964666153846157</v>
      </c>
      <c r="GA40" s="72">
        <f>Formula!C40*(INDEX(Properties!A$1:CB$87,Formula!B40,60))+Formula!E40*(INDEX(Properties!A$1:CB$87,Formula!D40,60))+Formula!G40*(INDEX(Properties!A$1:CB$87,Formula!F40,60))+Formula!I40*(INDEX(Properties!A$1:CB$87,Formula!H40,60))+Formula!K40*(INDEX(Properties!A$1:CB$87,Formula!J40,60))</f>
        <v>155.54066</v>
      </c>
      <c r="GB40" s="72">
        <f>VARP(IF(INDEX(Properties!A$1:CB$87,Formula!B40,60)&lt;&gt;"",INDEX(Properties!A$1:CB$87,Formula!B40,60)),IF(INDEX(Properties!A$1:CB$87,Formula!D40,60)&lt;&gt;"",INDEX(Properties!A$1:CB$87,Formula!D40,60)),IF(INDEX(Properties!A$1:CB$87,Formula!F40,60)&lt;&gt;"",INDEX(Properties!A$1:CB$87,Formula!F40,60)),IF(INDEX(Properties!A$1:CB$87,Formula!H40,60)&lt;&gt;"",INDEX(Properties!A$1:CB$87,Formula!H40,60)),IF(INDEX(Properties!A$1:CB$87,Formula!J40,60)&lt;&gt;"",INDEX(Properties!A$1:CB$87,Formula!J40,60)))</f>
        <v>411.28437168441587</v>
      </c>
      <c r="GC40" s="72">
        <f>MAX(INDEX(Properties!A$1:CB$87,Formula!B40,60),INDEX(Properties!A$1:CB$87,Formula!D40,60),INDEX(Properties!A$1:CB$87,Formula!F40,60),INDEX(Properties!A$1:CB$87,Formula!H40,60),INDEX(Properties!A$1:CB$87,Formula!J40,60))</f>
        <v>53.7</v>
      </c>
      <c r="GD40" s="72">
        <f>MIN(IF(INDEX(Properties!A$1:CB$87,Formula!B40,60)=0,10^6,INDEX(Properties!A$1:CB$87,Formula!B40,60)),IF(INDEX(Properties!A$1:CB$87,Formula!D40,60)=0,10^6,INDEX(Properties!A$1:CB$87,Formula!D40,60)),IF(INDEX(Properties!A$1:CB$87,Formula!F40,60)=0,10^6,INDEX(Properties!A$1:CB$87,Formula!F40,60)),IF(INDEX(Properties!A$1:CB$87,Formula!H40,60)=0,10^6,INDEX(Properties!A$1:CB$87,Formula!H40,60)),IF(INDEX(Properties!A$1:CB$87,Formula!J40,60)=0,10^6,INDEX(Properties!A$1:CB$87,Formula!J40,60)))</f>
        <v>2.674E-2</v>
      </c>
      <c r="GE40" s="72">
        <f t="shared" si="30"/>
        <v>53.673260000000006</v>
      </c>
      <c r="GF40" s="51">
        <f>((Formula!C40)/(Formula!C40+Formula!E40+Formula!G40+Formula!I40+Formula!K40))*(INDEX(Properties!A$1:CB$87,Formula!B40,62))+((Formula!E40)/(Formula!C40+Formula!E40+Formula!G40+Formula!I40+Formula!K40))*(INDEX(Properties!A$1:CB$87,Formula!D40,62))+((Formula!G40)/(Formula!C40+Formula!E40+Formula!G40+Formula!I40+Formula!K40))*(INDEX(Properties!A$1:CB$87,Formula!F40,62))+((Formula!I40)/(Formula!C40+Formula!E40+Formula!G40+Formula!I40+Formula!K40))*(INDEX(Properties!A$1:CB$87,Formula!H40,62))+((Formula!K40)/(Formula!C40+Formula!E40+Formula!G40+Formula!I40+Formula!K40))*(INDEX(Properties!A$1:CB$87,Formula!J40,62))</f>
        <v>3.7230769230769232</v>
      </c>
      <c r="GG40" s="51">
        <f>Formula!C40*(INDEX(Properties!A$1:CB$87,Formula!B40,62))+Formula!E40*(INDEX(Properties!A$1:CB$87,Formula!D40,62))+Formula!G40*(INDEX(Properties!A$1:CB$87,Formula!F40,62))+Formula!I40*(INDEX(Properties!A$1:CB$87,Formula!H40,62))+Formula!K40*(INDEX(Properties!A$1:CB$87,Formula!J40,62))</f>
        <v>48.400000000000006</v>
      </c>
      <c r="GH40" s="51">
        <f>VARP(IF(INDEX(Properties!A$1:CB$87,Formula!B40,62)&lt;&gt;"",INDEX(Properties!A$1:CB$87,Formula!B40,62)),IF(INDEX(Properties!A$1:CB$87,Formula!D40,62)&lt;&gt;"",INDEX(Properties!A$1:CB$87,Formula!D40,62)),IF(INDEX(Properties!A$1:CB$87,Formula!F40,62)&lt;&gt;"",INDEX(Properties!A$1:CB$87,Formula!F40,62)),IF(INDEX(Properties!A$1:CB$87,Formula!H40,62)&lt;&gt;"",INDEX(Properties!A$1:CB$87,Formula!H40,62)),IF(INDEX(Properties!A$1:CB$87,Formula!J40,62)&lt;&gt;"",INDEX(Properties!A$1:CB$87,Formula!J40,62)))</f>
        <v>6.499784</v>
      </c>
      <c r="GI40" s="51">
        <f>MAX(INDEX(Properties!A$1:CB$87,Formula!B40,62),INDEX(Properties!A$1:CB$87,Formula!D40,62),INDEX(Properties!A$1:CB$87,Formula!F40,62),INDEX(Properties!A$1:CB$87,Formula!H40,62),INDEX(Properties!A$1:CB$87,Formula!J40,62))</f>
        <v>7.57</v>
      </c>
      <c r="GJ40" s="51">
        <f>MIN(IF(INDEX(Properties!A$1:CB$87,Formula!B40,62)=0,10^6,INDEX(Properties!A$1:CB$87,Formula!B40,62)),IF(INDEX(Properties!A$1:CB$87,Formula!D40,62)=0,10^6,INDEX(Properties!A$1:CB$87,Formula!D40,62)),IF(INDEX(Properties!A$1:CB$87,Formula!F40,62)=0,10^6,INDEX(Properties!A$1:CB$87,Formula!F40,62)),IF(INDEX(Properties!A$1:CB$87,Formula!H40,62)=0,10^6,INDEX(Properties!A$1:CB$87,Formula!H40,62)),IF(INDEX(Properties!A$1:CB$87,Formula!J40,62)=0,10^6,INDEX(Properties!A$1:CB$87,Formula!J40,62)))</f>
        <v>2.62</v>
      </c>
      <c r="GK40" s="51">
        <f t="shared" si="31"/>
        <v>4.95</v>
      </c>
      <c r="GL40" s="51">
        <f>Formula!P40</f>
        <v>62</v>
      </c>
      <c r="GM40" s="57">
        <f>Formula!O40</f>
        <v>3</v>
      </c>
      <c r="GN40" s="51">
        <f>Formula!N40</f>
        <v>0.05</v>
      </c>
    </row>
    <row r="41" spans="1:196" x14ac:dyDescent="0.3">
      <c r="A41" s="84" t="str">
        <f>Formula!A41</f>
        <v>SrAlBO4</v>
      </c>
      <c r="B41" s="89">
        <f>((Formula!C41)/(Formula!C41+Formula!E41+Formula!G41+Formula!I41+Formula!K41))*(INDEX(Properties!A$1:CB$87,Formula!B41,3))+((Formula!E41)/(Formula!C41+Formula!E41+Formula!G41+Formula!I41+Formula!K41))*(INDEX(Properties!A$1:CB$87,Formula!D41,3))+((Formula!G41)/(Formula!C41+Formula!E41+Formula!G41+Formula!I41+Formula!K41))*(INDEX(Properties!A$1:CB$87,Formula!F41,3))+((Formula!I41)/(Formula!C41+Formula!E41+Formula!G41+Formula!I41+Formula!K41))*(INDEX(Properties!A$1:CB$87,Formula!H41,3))+((Formula!K41)/(Formula!C41+Formula!E41+Formula!G41+Formula!I41+Formula!K41))*(INDEX(Properties!A$1:CB$87,Formula!J41,3))</f>
        <v>27.058591285714286</v>
      </c>
      <c r="C41" s="85">
        <f>Formula!C41*(INDEX(Properties!A$1:CB$87,Formula!B41,3))+Formula!E41*(INDEX(Properties!A$1:CB$87,Formula!D41,3))+Formula!G41*(INDEX(Properties!A$1:CB$87,Formula!F41,3))+Formula!I41*(INDEX(Properties!A$1:CB$87,Formula!H41,3))+Formula!K41*(INDEX(Properties!A$1:CB$87,Formula!J41,3))</f>
        <v>189.41013900000002</v>
      </c>
      <c r="D41" s="85">
        <f>VARP(IF(INDEX(Properties!A$1:CB$87,Formula!B41,3)&lt;&gt;"",INDEX(Properties!A$1:CB$87,Formula!B41,3)),IF(INDEX(Properties!A$1:CB$87,Formula!D41,3)&lt;&gt;"",INDEX(Properties!A$1:CB$87,Formula!D41,3)),IF(INDEX(Properties!A$1:CB$87,Formula!F41,3)&lt;&gt;"",INDEX(Properties!A$1:CB$87,Formula!F41,3)),IF(INDEX(Properties!A$1:CB$87,Formula!H41,3)&lt;&gt;"",INDEX(Properties!A$1:CB$87,Formula!H41,3)),IF(INDEX(Properties!A$1:CB$87,Formula!J41,3)&lt;&gt;"",INDEX(Properties!A$1:CB$87,Formula!J41,3)))</f>
        <v>955.7318139641153</v>
      </c>
      <c r="E41" s="85">
        <f>MAX(INDEX(Properties!A$1:CB$87,Formula!B41,3),INDEX(Properties!A$1:CB$87,Formula!D41,3),INDEX(Properties!A$1:CB$87,Formula!F41,3),INDEX(Properties!A$1:CB$87,Formula!H41,3),INDEX(Properties!A$1:CB$87,Formula!J41,3))</f>
        <v>87.62</v>
      </c>
      <c r="F41" s="85">
        <f>MIN(IF(INDEX(Properties!A$1:CB$87,Formula!B41,3)=0,10^6,INDEX(Properties!A$1:CB$87,Formula!B41,3)),IF(INDEX(Properties!A$1:CB$87,Formula!D41,3)=0,10^6,INDEX(Properties!A$1:CB$87,Formula!D41,3)),IF(INDEX(Properties!A$1:CB$87,Formula!F41,3)=0,10^6,INDEX(Properties!A$1:CB$87,Formula!F41,3)),IF(INDEX(Properties!A$1:CB$87,Formula!H41,3)=0,10^6,INDEX(Properties!A$1:CB$87,Formula!H41,3)),IF(INDEX(Properties!A$1:CB$87,Formula!J41,3)=0,10^6,INDEX(Properties!A$1:CB$87,Formula!J41,3)))</f>
        <v>10.811</v>
      </c>
      <c r="G41" s="85">
        <f t="shared" si="0"/>
        <v>76.808999999999997</v>
      </c>
      <c r="H41" s="87">
        <f>((Formula!C41)/(Formula!C41+Formula!E41+Formula!G41+Formula!I41+Formula!K41))*(INDEX(Properties!A$1:CB$87,Formula!B41,4))+((Formula!E41)/(Formula!C41+Formula!E41+Formula!G41+Formula!I41+Formula!K41))*(INDEX(Properties!A$1:CB$87,Formula!D41,4))+((Formula!G41)/(Formula!C41+Formula!E41+Formula!G41+Formula!I41+Formula!K41))*(INDEX(Properties!A$1:CB$87,Formula!F41,4))+((Formula!I41)/(Formula!C41+Formula!E41+Formula!G41+Formula!I41+Formula!K41))*(INDEX(Properties!A$1:CB$87,Formula!H41,4))+((Formula!K41)/(Formula!C41+Formula!E41+Formula!G41+Formula!I41+Formula!K41))*(INDEX(Properties!A$1:CB$87,Formula!J41,4))</f>
        <v>12.571428571428569</v>
      </c>
      <c r="I41" s="87">
        <f>Formula!C41*(INDEX(Properties!A$1:CB$87,Formula!B41,4))+Formula!E41*(INDEX(Properties!A$1:CB$87,Formula!D41,4))+Formula!G41*(INDEX(Properties!A$1:CB$87,Formula!F41,4))+Formula!I41*(INDEX(Properties!A$1:CB$87,Formula!H41,4))+Formula!K41*(INDEX(Properties!A$1:CB$87,Formula!J41,4))</f>
        <v>88</v>
      </c>
      <c r="J41" s="87">
        <f>VARP(IF(INDEX(Properties!A$1:CB$87,Formula!B41,4)&lt;&gt;"",INDEX(Properties!A$1:CB$87,Formula!B41,4)),IF(INDEX(Properties!A$1:CB$87,Formula!D41,4)&lt;&gt;"",INDEX(Properties!A$1:CB$87,Formula!D41,4)),IF(INDEX(Properties!A$1:CB$87,Formula!F41,4)&lt;&gt;"",INDEX(Properties!A$1:CB$87,Formula!F41,4)),IF(INDEX(Properties!A$1:CB$87,Formula!H41,4)&lt;&gt;"",INDEX(Properties!A$1:CB$87,Formula!H41,4)),IF(INDEX(Properties!A$1:CB$87,Formula!J41,4)&lt;&gt;"",INDEX(Properties!A$1:CB$87,Formula!J41,4)))</f>
        <v>176.56</v>
      </c>
      <c r="K41" s="87">
        <f>MAX(INDEX(Properties!A$1:CB$87,Formula!B41,4),INDEX(Properties!A$1:CB$87,Formula!D41,4),INDEX(Properties!A$1:CB$87,Formula!F41,4),INDEX(Properties!A$1:CB$87,Formula!H41,4),INDEX(Properties!A$1:CB$87,Formula!J41,4))</f>
        <v>38</v>
      </c>
      <c r="L41" s="87">
        <f>MIN(IF(INDEX(Properties!A$1:CB$87,Formula!B41,4)=0,10^6,INDEX(Properties!A$1:CB$87,Formula!B41,4)),IF(INDEX(Properties!A$1:CB$87,Formula!D41,4)=0,10^6,INDEX(Properties!A$1:CB$87,Formula!D41,4)),IF(INDEX(Properties!A$1:CB$87,Formula!F41,4)=0,10^6,INDEX(Properties!A$1:CB$87,Formula!F41,4)),IF(INDEX(Properties!A$1:CB$87,Formula!H41,4)=0,10^6,INDEX(Properties!A$1:CB$87,Formula!H41,4)),IF(INDEX(Properties!A$1:CB$87,Formula!J41,4)=0,10^6,INDEX(Properties!A$1:CB$87,Formula!J41,4)))</f>
        <v>5</v>
      </c>
      <c r="M41" s="87">
        <f t="shared" si="1"/>
        <v>33</v>
      </c>
      <c r="N41" s="89">
        <f>((Formula!C41)/(Formula!C41+Formula!E41+Formula!G41+Formula!I41+Formula!K41))*(INDEX(Properties!A$1:CB$87,Formula!B41,5))+((Formula!E41)/(Formula!C41+Formula!E41+Formula!G41+Formula!I41+Formula!K41))*(INDEX(Properties!A$1:CB$87,Formula!D41,5))+((Formula!G41)/(Formula!C41+Formula!E41+Formula!G41+Formula!I41+Formula!K41))*(INDEX(Properties!A$1:CB$87,Formula!F41,5))+((Formula!I41)/(Formula!C41+Formula!E41+Formula!G41+Formula!I41+Formula!K41))*(INDEX(Properties!A$1:CB$87,Formula!H41,5))+((Formula!K41)/(Formula!C41+Formula!E41+Formula!G41+Formula!I41+Formula!K41))*(INDEX(Properties!A$1:CB$87,Formula!J41,5))</f>
        <v>2.5714285714285712</v>
      </c>
      <c r="O41" s="89">
        <f>Formula!C41*(INDEX(Properties!A$1:CB$87,Formula!B41,5))+Formula!E41*(INDEX(Properties!A$1:CB$87,Formula!D41,5))+Formula!G41*(INDEX(Properties!A$1:CB$87,Formula!F41,5))+Formula!I41*(INDEX(Properties!A$1:CB$87,Formula!H41,5))+Formula!K41*(INDEX(Properties!A$1:CB$87,Formula!J41,5))</f>
        <v>18</v>
      </c>
      <c r="P41" s="89">
        <f>VARP(IF(INDEX(Properties!A$1:CB$87,Formula!B41,5)&lt;&gt;"",INDEX(Properties!A$1:CB$87,Formula!B41,5)),IF(INDEX(Properties!A$1:CB$87,Formula!D41,5)&lt;&gt;"",INDEX(Properties!A$1:CB$87,Formula!D41,5)),IF(INDEX(Properties!A$1:CB$87,Formula!F41,5)&lt;&gt;"",INDEX(Properties!A$1:CB$87,Formula!F41,5)),IF(INDEX(Properties!A$1:CB$87,Formula!H41,5)&lt;&gt;"",INDEX(Properties!A$1:CB$87,Formula!H41,5)),IF(INDEX(Properties!A$1:CB$87,Formula!J41,5)&lt;&gt;"",INDEX(Properties!A$1:CB$87,Formula!J41,5)))</f>
        <v>2.64</v>
      </c>
      <c r="Q41" s="89">
        <f>MAX(INDEX(Properties!A$1:CB$87,Formula!B41,5),INDEX(Properties!A$1:CB$87,Formula!D41,5),INDEX(Properties!A$1:CB$87,Formula!F41,5),INDEX(Properties!A$1:CB$87,Formula!H41,5),INDEX(Properties!A$1:CB$87,Formula!J41,5))</f>
        <v>5</v>
      </c>
      <c r="R41" s="89">
        <f>MIN(IF(INDEX(Properties!A$1:CB$87,Formula!B41,5)=0,10^6,INDEX(Properties!A$1:CB$87,Formula!B41,5)),IF(INDEX(Properties!A$1:CB$87,Formula!D41,5)=0,10^6,INDEX(Properties!A$1:CB$87,Formula!D41,5)),IF(INDEX(Properties!A$1:CB$87,Formula!F41,5)=0,10^6,INDEX(Properties!A$1:CB$87,Formula!F41,5)),IF(INDEX(Properties!A$1:CB$87,Formula!H41,5)=0,10^6,INDEX(Properties!A$1:CB$87,Formula!H41,5)),IF(INDEX(Properties!A$1:CB$87,Formula!J41,5)=0,10^6,INDEX(Properties!A$1:CB$87,Formula!J41,5)))</f>
        <v>2</v>
      </c>
      <c r="S41" s="89">
        <f t="shared" si="2"/>
        <v>3</v>
      </c>
      <c r="T41" s="60">
        <f>((Formula!C41)/(Formula!C41+Formula!E41+Formula!G41+Formula!I41+Formula!K41))*(INDEX(Properties!A$1:CB$87,Formula!B41,6))+((Formula!E41)/(Formula!C41+Formula!E41+Formula!G41+Formula!I41+Formula!K41))*(INDEX(Properties!A$1:CB$87,Formula!D41,6))+((Formula!G41)/(Formula!C41+Formula!E41+Formula!G41+Formula!I41+Formula!K41))*(INDEX(Properties!A$1:CB$87,Formula!F41,6))+((Formula!I41)/(Formula!C41+Formula!E41+Formula!G41+Formula!I41+Formula!K41))*(INDEX(Properties!A$1:CB$87,Formula!H41,6))+((Formula!K41)/(Formula!C41+Formula!E41+Formula!G41+Formula!I41+Formula!K41))*(INDEX(Properties!A$1:CB$87,Formula!J41,6))</f>
        <v>13.142857142857142</v>
      </c>
      <c r="U41" s="60">
        <f>Formula!C41*(INDEX(Properties!A$1:CB$87,Formula!B41,6))+Formula!E41*(INDEX(Properties!A$1:CB$87,Formula!D41,6))+Formula!G41*(INDEX(Properties!A$1:CB$87,Formula!F41,6))+Formula!I41*(INDEX(Properties!A$1:CB$87,Formula!H41,6))+Formula!K41*(INDEX(Properties!A$1:CB$87,Formula!J41,6))</f>
        <v>92</v>
      </c>
      <c r="V41" s="89">
        <f>VARP(IF(INDEX(Properties!A$1:CB$87,Formula!B41,6)&lt;&gt;"",INDEX(Properties!A$1:CB$87,Formula!B41,6)),IF(INDEX(Properties!A$1:CB$87,Formula!D41,6)&lt;&gt;"",INDEX(Properties!A$1:CB$87,Formula!D41,6)),IF(INDEX(Properties!A$1:CB$87,Formula!F41,6)&lt;&gt;"",INDEX(Properties!A$1:CB$87,Formula!F41,6)),IF(INDEX(Properties!A$1:CB$87,Formula!H41,6)&lt;&gt;"",INDEX(Properties!A$1:CB$87,Formula!H41,6)),IF(INDEX(Properties!A$1:CB$87,Formula!J41,6)&lt;&gt;"",INDEX(Properties!A$1:CB$87,Formula!J41,6)))</f>
        <v>42.16</v>
      </c>
      <c r="W41" s="60">
        <f>MAX(INDEX(Properties!A$1:CB$87,Formula!B41,6),INDEX(Properties!A$1:CB$87,Formula!D41,6),INDEX(Properties!A$1:CB$87,Formula!F41,6),INDEX(Properties!A$1:CB$87,Formula!H41,4),INDEX(Properties!A$1:CB$87,Formula!J41,6))</f>
        <v>13</v>
      </c>
      <c r="X41" s="60">
        <f>MIN(IF(INDEX(Properties!A$1:CB$87,Formula!B41,6)=0,10^6,INDEX(Properties!A$1:CB$87,Formula!B41,6)),IF(INDEX(Properties!A$1:CB$87,Formula!D41,6)=0,10^6,INDEX(Properties!A$1:CB$87,Formula!D41,6)),IF(INDEX(Properties!A$1:CB$87,Formula!F41,6)=0,10^6,INDEX(Properties!A$1:CB$87,Formula!F41,6)),IF(INDEX(Properties!A$1:CB$87,Formula!H41,6)=0,10^6,INDEX(Properties!A$1:CB$87,Formula!H41,6)),IF(INDEX(Properties!A$1:CB$87,Formula!J41,6)=0,10^6,INDEX(Properties!A$1:CB$87,Formula!J41,6)))</f>
        <v>2</v>
      </c>
      <c r="Y41" s="60">
        <f t="shared" si="3"/>
        <v>11</v>
      </c>
      <c r="Z41" s="72">
        <f>((Formula!C41)/(Formula!C41+Formula!E41+Formula!G41+Formula!I41+Formula!K41))*(INDEX(Properties!A$1:CB$87,Formula!B41,9))+((Formula!E41)/(Formula!C41+Formula!E41+Formula!G41+Formula!I41+Formula!K41))*(INDEX(Properties!A$1:CB$87,Formula!D41,9))+((Formula!G41)/(Formula!C41+Formula!E41+Formula!G41+Formula!I41+Formula!K41))*(INDEX(Properties!A$1:CB$87,Formula!F41,9))+((Formula!I41)/(Formula!C41+Formula!E41+Formula!G41+Formula!I41+Formula!K41))*(INDEX(Properties!A$1:CB$87,Formula!H41,9))+((Formula!K41)/(Formula!C41+Formula!E41+Formula!G41+Formula!I41+Formula!K41))*(INDEX(Properties!A$1:CB$87,Formula!J41,9))</f>
        <v>71.571428571428555</v>
      </c>
      <c r="AA41" s="72">
        <f>Formula!C41*(INDEX(Properties!A$1:CB$87,Formula!B41,9))+Formula!E41*(INDEX(Properties!A$1:CB$87,Formula!D41,9))+Formula!G41*(INDEX(Properties!A$1:CB$87,Formula!F41,9))+Formula!I41*(INDEX(Properties!A$1:CB$87,Formula!H41,9))+Formula!K41*(INDEX(Properties!A$1:CB$87,Formula!J41,9))</f>
        <v>501</v>
      </c>
      <c r="AB41" s="72">
        <f>VARP(IF(INDEX(Properties!A$1:CB$87,Formula!B41,9)&lt;&gt;"",INDEX(Properties!A$1:CB$87,Formula!B41,9)),IF(INDEX(Properties!A$1:CB$87,Formula!D41,9)&lt;&gt;"",INDEX(Properties!A$1:CB$87,Formula!D41,9)),IF(INDEX(Properties!A$1:CB$87,Formula!F41,9)&lt;&gt;"",INDEX(Properties!A$1:CB$87,Formula!F41,9)),IF(INDEX(Properties!A$1:CB$87,Formula!H41,9)&lt;&gt;"",INDEX(Properties!A$1:CB$87,Formula!H41,9)),IF(INDEX(Properties!A$1:CB$87,Formula!J41,9)&lt;&gt;"",INDEX(Properties!A$1:CB$87,Formula!J41,9)))</f>
        <v>1325.2</v>
      </c>
      <c r="AC41" s="72">
        <f>MAX(INDEX(Properties!A$1:CB$87,Formula!B41,9),INDEX(Properties!A$1:CB$87,Formula!D41,9),INDEX(Properties!A$1:CB$87,Formula!F41,9),INDEX(Properties!A$1:CB$87,Formula!H41,9),INDEX(Properties!A$1:CB$87,Formula!J41,9))</f>
        <v>87</v>
      </c>
      <c r="AD41" s="72">
        <f>MIN(IF(INDEX(Properties!A$1:CB$87,Formula!B41,9)=0,10^6,INDEX(Properties!A$1:CB$87,Formula!B41,9)),IF(INDEX(Properties!A$1:CB$87,Formula!D41,9)=0,10^6,INDEX(Properties!A$1:CB$87,Formula!D41,9)),IF(INDEX(Properties!A$1:CB$87,Formula!F41,9)=0,10^6,INDEX(Properties!A$1:CB$87,Formula!F41,9)),IF(INDEX(Properties!A$1:CB$87,Formula!H41,9)=0,10^6,INDEX(Properties!A$1:CB$87,Formula!H41,9)),IF(INDEX(Properties!A$1:CB$87,Formula!J41,9)=0,10^6,INDEX(Properties!A$1:CB$87,Formula!J41,9)))</f>
        <v>8</v>
      </c>
      <c r="AE41" s="72">
        <f t="shared" si="4"/>
        <v>79</v>
      </c>
      <c r="AF41" s="51">
        <f>((Formula!C41)/(Formula!C41+Formula!E41+Formula!G41+Formula!I41+Formula!K41))*(INDEX(Properties!A$1:CB$87,Formula!B41,10))+((Formula!E41)/(Formula!C41+Formula!E41+Formula!G41+Formula!I41+Formula!K41))*(INDEX(Properties!A$1:CB$87,Formula!D41,10))+((Formula!G41)/(Formula!C41+Formula!E41+Formula!G41+Formula!I41+Formula!K41))*(INDEX(Properties!A$1:CB$87,Formula!F41,10))+((Formula!I41)/(Formula!C41+Formula!E41+Formula!G41+Formula!I41+Formula!K41))*(INDEX(Properties!A$1:CB$87,Formula!H41,10))+((Formula!K41)/(Formula!C41+Formula!E41+Formula!G41+Formula!I41+Formula!K41))*(INDEX(Properties!A$1:CB$87,Formula!J41,10))</f>
        <v>5.8571428571428568</v>
      </c>
      <c r="AG41" s="51">
        <f>Formula!C41*(INDEX(Properties!A$1:CB$87,Formula!B41,10))+Formula!E41*(INDEX(Properties!A$1:CB$87,Formula!D41,10))+Formula!G41*(INDEX(Properties!A$1:CB$87,Formula!F41,10))+Formula!I41*(INDEX(Properties!A$1:CB$87,Formula!H41,10))+Formula!K41*(INDEX(Properties!A$1:CB$87,Formula!J41,10))</f>
        <v>41</v>
      </c>
      <c r="AH41" s="51">
        <f>VARP(IF(INDEX(Properties!A$1:CB$87,Formula!B41,10)&lt;&gt;"",INDEX(Properties!A$1:CB$87,Formula!B41,10)),IF(INDEX(Properties!A$1:CB$87,Formula!D41,10)&lt;&gt;"",INDEX(Properties!A$1:CB$87,Formula!D41,10)),IF(INDEX(Properties!A$1:CB$87,Formula!F41,10)&lt;&gt;"",INDEX(Properties!A$1:CB$87,Formula!F41,10)),IF(INDEX(Properties!A$1:CB$87,Formula!H41,10)&lt;&gt;"",INDEX(Properties!A$1:CB$87,Formula!H41,10)),IF(INDEX(Properties!A$1:CB$87,Formula!J41,10)&lt;&gt;"",INDEX(Properties!A$1:CB$87,Formula!J41,10)))</f>
        <v>6.8</v>
      </c>
      <c r="AI41" s="51">
        <f>MAX(INDEX(Properties!A$1:CB$87,Formula!B41,10),INDEX(Properties!A$1:CB$87,Formula!D41,10),INDEX(Properties!A$1:CB$87,Formula!F41,10),INDEX(Properties!A$1:CB$87,Formula!H41,10),INDEX(Properties!A$1:CB$87,Formula!J41,10))</f>
        <v>7</v>
      </c>
      <c r="AJ41" s="51">
        <f>MIN(IF(INDEX(Properties!A$1:CB$87,Formula!B41,10)=0,10^6,INDEX(Properties!A$1:CB$87,Formula!B41,10)),IF(INDEX(Properties!A$1:CB$87,Formula!D41,10)=0,10^6,INDEX(Properties!A$1:CB$87,Formula!D41,10)),IF(INDEX(Properties!A$1:CB$87,Formula!F41,10)=0,10^6,INDEX(Properties!A$1:CB$87,Formula!F41,10)),IF(INDEX(Properties!A$1:CB$87,Formula!H41,10)=0,10^6,INDEX(Properties!A$1:CB$87,Formula!H41,10)),IF(INDEX(Properties!A$1:CB$87,Formula!J41,10)=0,10^6,INDEX(Properties!A$1:CB$87,Formula!J41,10)))</f>
        <v>2</v>
      </c>
      <c r="AK41" s="51">
        <f t="shared" si="5"/>
        <v>5</v>
      </c>
      <c r="AL41" s="57">
        <f>((Formula!C41)/(Formula!C41+Formula!E41+Formula!G41+Formula!I41+Formula!K41))*(INDEX(Properties!A$1:CB$87,Formula!B41,11))+((Formula!E41)/(Formula!C41+Formula!E41+Formula!G41+Formula!I41+Formula!K41))*(INDEX(Properties!A$1:CB$87,Formula!D41,11))+((Formula!G41)/(Formula!C41+Formula!E41+Formula!G41+Formula!I41+Formula!K41))*(INDEX(Properties!A$1:CB$87,Formula!F41,11))+((Formula!I41)/(Formula!C41+Formula!E41+Formula!G41+Formula!I41+Formula!K41))*(INDEX(Properties!A$1:CB$87,Formula!H41,11))+((Formula!K41)/(Formula!C41+Formula!E41+Formula!G41+Formula!I41+Formula!K41))*(INDEX(Properties!A$1:CB$87,Formula!J41,11))</f>
        <v>2</v>
      </c>
      <c r="AM41" s="57">
        <f>Formula!C41*(INDEX(Properties!A$1:CB$87,Formula!B41,11))+Formula!E41*(INDEX(Properties!A$1:CB$87,Formula!D41,11))+Formula!G41*(INDEX(Properties!A$1:CB$87,Formula!F41,11))+Formula!I41*(INDEX(Properties!A$1:CB$87,Formula!H41,11))+Formula!K41*(INDEX(Properties!A$1:CB$87,Formula!J41,11))</f>
        <v>14</v>
      </c>
      <c r="AN41" s="57">
        <f>VARP(IF(INDEX(Properties!A$1:CB$87,Formula!B41,11)&lt;&gt;"",INDEX(Properties!A$1:CB$87,Formula!B41,11)),IF(INDEX(Properties!A$1:CB$87,Formula!D41,11)&lt;&gt;"",INDEX(Properties!A$1:CB$87,Formula!D41,11)),IF(INDEX(Properties!A$1:CB$87,Formula!F41,11)&lt;&gt;"",INDEX(Properties!A$1:CB$87,Formula!F41,11)),IF(INDEX(Properties!A$1:CB$87,Formula!H41,11)&lt;&gt;"",INDEX(Properties!A$1:CB$87,Formula!H41,11)),IF(INDEX(Properties!A$1:CB$87,Formula!J41,11)&lt;&gt;"",INDEX(Properties!A$1:CB$87,Formula!J41,11)))</f>
        <v>0.64</v>
      </c>
      <c r="AO41" s="57">
        <f>MAX(INDEX(Properties!A$1:CB$87,Formula!B41,11),INDEX(Properties!A$1:CB$87,Formula!D41,11),INDEX(Properties!A$1:CB$87,Formula!F41,11),INDEX(Properties!A$1:CB$87,Formula!H41,11),INDEX(Properties!A$1:CB$87,Formula!J41,11))</f>
        <v>2</v>
      </c>
      <c r="AP41" s="57">
        <f>MIN(IF(Formula!B41=87,10^6,INDEX(Properties!A$1:CB$87,Formula!B41,11)),IF((Formula!D41)=87,10^6,INDEX(Properties!A$1:CB$87,Formula!D41,11)),IF((Formula!F41)=87,10^6,INDEX(Properties!A$1:CB$87,Formula!F41,11)),IF((Formula!H41)=87,10^6,INDEX(Properties!A$1:CB$87,Formula!H41,11)),IF(Formula!J41=87,10^6,INDEX(Properties!A$1:CB$87,Formula!J41,11)))</f>
        <v>2</v>
      </c>
      <c r="AQ41" s="57">
        <f t="shared" si="6"/>
        <v>0</v>
      </c>
      <c r="AR41" s="78">
        <f>((Formula!C41)/(Formula!C41+Formula!E41+Formula!G41+Formula!I41+Formula!K41))*(INDEX(Properties!A$1:CB$87,Formula!B41,12))+((Formula!E41)/(Formula!C41+Formula!E41+Formula!G41+Formula!I41+Formula!K41))*(INDEX(Properties!A$1:CB$87,Formula!D41,12))+((Formula!G41)/(Formula!C41+Formula!E41+Formula!G41+Formula!I41+Formula!K41))*(INDEX(Properties!A$1:CB$87,Formula!F41,12))+((Formula!I41)/(Formula!C41+Formula!E41+Formula!G41+Formula!I41+Formula!K41))*(INDEX(Properties!A$1:CB$87,Formula!H41,12))+((Formula!K41)/(Formula!C41+Formula!E41+Formula!G41+Formula!I41+Formula!K41))*(INDEX(Properties!A$1:CB$87,Formula!J41,12))</f>
        <v>2.5714285714285712</v>
      </c>
      <c r="AS41" s="78">
        <f>Formula!C41*(INDEX(Properties!A$1:CB$87,Formula!B41,12))+Formula!E41*(INDEX(Properties!A$1:CB$87,Formula!D41,12))+Formula!G41*(INDEX(Properties!A$1:CB$87,Formula!F41,12))+Formula!I41*(INDEX(Properties!A$1:CB$87,Formula!H41,12))+Formula!K41*(INDEX(Properties!A$1:CB$87,Formula!J41,12))</f>
        <v>18</v>
      </c>
      <c r="AT41" s="78">
        <f>VARP(IF(INDEX(Properties!A$1:CB$87,Formula!B41,12)&lt;&gt;"",INDEX(Properties!A$1:CB$87,Formula!B41,12)),IF(INDEX(Properties!A$1:CB$87,Formula!D41,12)&lt;&gt;"",INDEX(Properties!A$1:CB$87,Formula!D41,12)),IF(INDEX(Properties!A$1:CB$87,Formula!F41,12)&lt;&gt;"",INDEX(Properties!A$1:CB$87,Formula!F41,12)),IF(INDEX(Properties!A$1:CB$87,Formula!H41,12)&lt;&gt;"",INDEX(Properties!A$1:CB$87,Formula!H41,12)),IF(INDEX(Properties!A$1:CB$87,Formula!J41,12)&lt;&gt;"",INDEX(Properties!A$1:CB$87,Formula!J41,12)))</f>
        <v>2.16</v>
      </c>
      <c r="AU41" s="78">
        <f>MAX(INDEX(Properties!A$1:CB$87,Formula!B41,12),INDEX(Properties!A$1:CB$87,Formula!D41,12),INDEX(Properties!A$1:CB$87,Formula!F41,12),INDEX(Properties!A$1:CB$87,Formula!H41,12),INDEX(Properties!A$1:CB$87,Formula!J41,12))</f>
        <v>4</v>
      </c>
      <c r="AV41" s="78">
        <f>MIN(IF(Formula!B41=87,10^6,INDEX(Properties!A$1:CB$87,Formula!B41,12)),IF((Formula!D41)=87,10^6,INDEX(Properties!A$1:CB$87,Formula!D41,12)),IF((Formula!F41)=87,10^6,INDEX(Properties!A$1:CB$87,Formula!F41,12)),IF((Formula!H41)=87,10^6,INDEX(Properties!A$1:CB$87,Formula!H41,12)),IF(Formula!J41=87,10^6,INDEX(Properties!A$1:CB$87,Formula!J41,12)))</f>
        <v>0</v>
      </c>
      <c r="AW41" s="78">
        <f t="shared" si="7"/>
        <v>4</v>
      </c>
      <c r="AX41" s="45">
        <f>((Formula!C41)/(Formula!C41+Formula!E41+Formula!G41+Formula!I41+Formula!K41))*(INDEX(Properties!A$1:CB$87,Formula!B41,13))+((Formula!E41)/(Formula!C41+Formula!E41+Formula!G41+Formula!I41+Formula!K41))*(INDEX(Properties!A$1:CB$87,Formula!D41,13))+((Formula!G41)/(Formula!C41+Formula!E41+Formula!G41+Formula!I41+Formula!K41))*(INDEX(Properties!A$1:CB$87,Formula!F41,13))+((Formula!I41)/(Formula!C41+Formula!E41+Formula!G41+Formula!I41+Formula!K41))*(INDEX(Properties!A$1:CB$87,Formula!H41,13))+((Formula!K41)/(Formula!C41+Formula!E41+Formula!G41+Formula!I41+Formula!K41))*(INDEX(Properties!A$1:CB$87,Formula!J41,13))</f>
        <v>0</v>
      </c>
      <c r="AY41" s="45">
        <f>Formula!C41*(INDEX(Properties!A$1:CB$87,Formula!B41,13))+Formula!E41*(INDEX(Properties!A$1:CB$87,Formula!D41,13))+Formula!G41*(INDEX(Properties!A$1:CB$87,Formula!F41,13))+Formula!I41*(INDEX(Properties!A$1:CB$87,Formula!H41,13))+Formula!K41*(INDEX(Properties!A$1:CB$87,Formula!J41,13))</f>
        <v>0</v>
      </c>
      <c r="AZ41" s="45">
        <f>VARP(IF(INDEX(Properties!A$1:CB$87,Formula!B41,13)&lt;&gt;"",INDEX(Properties!A$1:CB$87,Formula!B41,13)),IF(INDEX(Properties!A$1:CB$87,Formula!D41,13)&lt;&gt;"",INDEX(Properties!A$1:CB$87,Formula!D41,13)),IF(INDEX(Properties!A$1:CB$87,Formula!F41,13)&lt;&gt;"",INDEX(Properties!A$1:CB$87,Formula!F41,13)),IF(INDEX(Properties!A$1:CB$87,Formula!H41,13)&lt;&gt;"",INDEX(Properties!A$1:CB$87,Formula!H41,13)),IF(INDEX(Properties!A$1:CB$87,Formula!J41,13)&lt;&gt;"",INDEX(Properties!A$1:CB$87,Formula!J41,13)))</f>
        <v>0</v>
      </c>
      <c r="BA41" s="45">
        <f>MAX(INDEX(Properties!A$1:CB$87,Formula!B41,13),INDEX(Properties!A$1:CB$87,Formula!D41,13),INDEX(Properties!A$1:CB$87,Formula!F41,13),INDEX(Properties!A$1:CB$87,Formula!H41,13),INDEX(Properties!A$1:CB$87,Formula!J41,13))</f>
        <v>0</v>
      </c>
      <c r="BB41" s="45">
        <f>MIN(IF(Formula!B41=87,10^6,INDEX(Properties!A$1:CB$87,Formula!B41,13)),IF((Formula!D41)=87,10^6,INDEX(Properties!A$1:CB$87,Formula!D41,13)),IF((Formula!F41)=87,10^6,INDEX(Properties!A$1:CB$87,Formula!F41,13)),IF((Formula!H41)=87,10^6,INDEX(Properties!A$1:CB$87,Formula!H41,13)),IF(Formula!J41=87,10^6,INDEX(Properties!A$1:CB$87,Formula!J41,13)))</f>
        <v>0</v>
      </c>
      <c r="BC41" s="45">
        <f t="shared" si="8"/>
        <v>0</v>
      </c>
      <c r="BD41" s="63">
        <f>((Formula!C41)/(Formula!C41+Formula!E41+Formula!G41+Formula!I41+Formula!K41))*(INDEX(Properties!A$1:CB$87,Formula!B41,14))+((Formula!E41)/(Formula!C41+Formula!E41+Formula!G41+Formula!I41+Formula!K41))*(INDEX(Properties!A$1:CB$87,Formula!D41,14))+((Formula!G41)/(Formula!C41+Formula!E41+Formula!G41+Formula!I41+Formula!K41))*(INDEX(Properties!A$1:CB$87,Formula!F41,14))+((Formula!I41)/(Formula!C41+Formula!E41+Formula!G41+Formula!I41+Formula!K41))*(INDEX(Properties!A$1:CB$87,Formula!H41,14))+((Formula!K41)/(Formula!C41+Formula!E41+Formula!G41+Formula!I41+Formula!K41))*(INDEX(Properties!A$1:CB$87,Formula!J41,14))</f>
        <v>0</v>
      </c>
      <c r="BE41" s="63">
        <f>Formula!C41*(INDEX(Properties!A$1:CB$87,Formula!B41,14))+Formula!E41*(INDEX(Properties!A$1:CB$87,Formula!D41,14))+Formula!G41*(INDEX(Properties!A$1:CB$87,Formula!F41,14))+Formula!I41*(INDEX(Properties!A$1:CB$87,Formula!H41,14))+Formula!K41*(INDEX(Properties!A$1:CB$87,Formula!J41,14))</f>
        <v>0</v>
      </c>
      <c r="BF41" s="63">
        <f>VARP(IF(INDEX(Properties!A$1:CB$87,Formula!B41,14)&lt;&gt;"",INDEX(Properties!A$1:CB$87,Formula!B41,14)),IF(INDEX(Properties!A$1:CB$87,Formula!D41,14)&lt;&gt;"",INDEX(Properties!A$1:CB$87,Formula!D41,14)),IF(INDEX(Properties!A$1:CB$87,Formula!F41,14)&lt;&gt;"",INDEX(Properties!A$1:CB$87,Formula!F41,14)),IF(INDEX(Properties!A$1:CB$87,Formula!H41,14)&lt;&gt;"",INDEX(Properties!A$1:CB$87,Formula!H41,14)),IF(INDEX(Properties!A$1:CB$87,Formula!J41,14)&lt;&gt;"",INDEX(Properties!A$1:CB$87,Formula!J41,14)))</f>
        <v>0</v>
      </c>
      <c r="BG41" s="63">
        <f>MAX(INDEX(Properties!A$1:CB$87,Formula!B41,14),INDEX(Properties!A$1:CB$87,Formula!D41,14),INDEX(Properties!A$1:CB$87,Formula!F41,14),INDEX(Properties!A$1:CB$87,Formula!H41,14),INDEX(Properties!A$1:CB$87,Formula!J41,14))</f>
        <v>0</v>
      </c>
      <c r="BH41" s="63">
        <f>MIN(IF(Formula!B41=87,10^6,INDEX(Properties!A$1:CB$87,Formula!B41,14)),IF((Formula!D41)=87,10^6,INDEX(Properties!A$1:CB$87,Formula!D41,14)),IF((Formula!F41)=87,10^6,INDEX(Properties!A$1:CB$87,Formula!F41,14)),IF((Formula!H41)=87,10^6,INDEX(Properties!A$1:CB$87,Formula!H41,14)),IF(Formula!J41=87,10^6,INDEX(Properties!A$1:CB$87,Formula!J41,14)))</f>
        <v>0</v>
      </c>
      <c r="BI41" s="63">
        <f t="shared" si="9"/>
        <v>0</v>
      </c>
      <c r="BJ41" s="75">
        <f>((Formula!C41)/(Formula!C41+Formula!E41+Formula!G41+Formula!I41+Formula!K41))*(INDEX(Properties!A$1:CB$87,Formula!B41,19))+((Formula!E41)/(Formula!C41+Formula!E41+Formula!G41+Formula!I41+Formula!K41))*(INDEX(Properties!A$1:CB$87,Formula!D41,19))+((Formula!G41)/(Formula!C41+Formula!E41+Formula!G41+Formula!I41+Formula!K41))*(INDEX(Properties!A$1:CB$87,Formula!F41,19))+((Formula!I41)/(Formula!C41+Formula!E41+Formula!G41+Formula!I41+Formula!K41))*(INDEX(Properties!A$1:CB$87,Formula!H41,19))+((Formula!K41)/(Formula!C41+Formula!E41+Formula!G41+Formula!I41+Formula!K41))*(INDEX(Properties!A$1:CB$87,Formula!J41,19))</f>
        <v>4.5714285714285712</v>
      </c>
      <c r="BK41" s="75">
        <f>Formula!C41*(INDEX(Properties!A$1:CB$87,Formula!B41,19))+Formula!E41*(INDEX(Properties!A$1:CB$87,Formula!D41,19))+Formula!G41*(INDEX(Properties!A$1:CB$87,Formula!F41,19))+Formula!I41*(INDEX(Properties!A$1:CB$87,Formula!H41,19))+Formula!K41*(INDEX(Properties!A$1:CB$87,Formula!J41,19))</f>
        <v>32</v>
      </c>
      <c r="BL41" s="75">
        <f>VARP(IF(INDEX(Properties!A$1:CB$87,Formula!B41,19)&lt;&gt;"",INDEX(Properties!A$1:CB$87,Formula!B41,19)),IF(INDEX(Properties!A$1:CB$87,Formula!D41,19)&lt;&gt;"",INDEX(Properties!A$1:CB$87,Formula!D41,19)),IF(INDEX(Properties!A$1:CB$87,Formula!F41,19)&lt;&gt;"",INDEX(Properties!A$1:CB$87,Formula!F41,19)),IF(INDEX(Properties!A$1:CB$87,Formula!H41,19)&lt;&gt;"",INDEX(Properties!A$1:CB$87,Formula!H41,19)),IF(INDEX(Properties!A$1:CB$87,Formula!J41,19)&lt;&gt;"",INDEX(Properties!A$1:CB$87,Formula!J41,19)))</f>
        <v>3.76</v>
      </c>
      <c r="BM41" s="75">
        <f>MAX(INDEX(Properties!A$1:CB$87,Formula!B41,19),INDEX(Properties!A$1:CB$87,Formula!D41,19),INDEX(Properties!A$1:CB$87,Formula!F41,19),INDEX(Properties!A$1:CB$87,Formula!H41,19),INDEX(Properties!A$1:CB$87,Formula!J41,19))</f>
        <v>6</v>
      </c>
      <c r="BN41" s="75">
        <f>MIN(IF(INDEX(Properties!A$1:CB$87,Formula!B41,19)=0,10^6,INDEX(Properties!A$1:CB$87,Formula!B41,19)),IF(INDEX(Properties!A$1:CB$87,Formula!D41,19)=0,10^6,INDEX(Properties!A$1:CB$87,Formula!D41,19)),IF(INDEX(Properties!A$1:CB$87,Formula!F41,19)=0,10^6,INDEX(Properties!A$1:CB$87,Formula!F41,19)),IF(INDEX(Properties!A$1:CB$87,Formula!H41,19)=0,10^6,INDEX(Properties!A$1:CB$87,Formula!H41,19)),IF(INDEX(Properties!A$1:CB$87,Formula!J41,19)=0,10^6,INDEX(Properties!A$1:CB$87,Formula!J41,19)))</f>
        <v>2</v>
      </c>
      <c r="BO41" s="75">
        <f t="shared" si="10"/>
        <v>4</v>
      </c>
      <c r="BP41" s="48">
        <f>((Formula!C41)/(Formula!C41+Formula!E41+Formula!G41+Formula!I41+Formula!K41))*(INDEX(Properties!A$1:CB$87,Formula!B41,20))+((Formula!E41)/(Formula!C41+Formula!E41+Formula!G41+Formula!I41+Formula!K41))*(INDEX(Properties!A$1:CB$87,Formula!D41,20))+((Formula!G41)/(Formula!C41+Formula!E41+Formula!G41+Formula!I41+Formula!K41))*(INDEX(Properties!A$1:CB$87,Formula!F41,20))+((Formula!I41)/(Formula!C41+Formula!E41+Formula!G41+Formula!I41+Formula!K41))*(INDEX(Properties!A$1:CB$87,Formula!H41,20))+((Formula!K41)/(Formula!C41+Formula!E41+Formula!G41+Formula!I41+Formula!K41))*(INDEX(Properties!A$1:CB$87,Formula!J41,20))</f>
        <v>4.5714285714285712</v>
      </c>
      <c r="BQ41" s="48">
        <f>Formula!C41*(INDEX(Properties!A$1:CB$87,Formula!B41,20))+Formula!E41*(INDEX(Properties!A$1:CB$87,Formula!D41,20))+Formula!G41*(INDEX(Properties!A$1:CB$87,Formula!F41,20))+Formula!I41*(INDEX(Properties!A$1:CB$87,Formula!H41,20))+Formula!K41*(INDEX(Properties!A$1:CB$87,Formula!J41,20))</f>
        <v>32</v>
      </c>
      <c r="BR41" s="48">
        <f>VARP(IF(INDEX(Properties!A$1:CB$87,Formula!B41,20)&lt;&gt;"",INDEX(Properties!A$1:CB$87,Formula!B41,20)),IF(INDEX(Properties!A$1:CB$87,Formula!D41,20)&lt;&gt;"",INDEX(Properties!A$1:CB$87,Formula!D41,20)),IF(INDEX(Properties!A$1:CB$87,Formula!F41,20)&lt;&gt;"",INDEX(Properties!A$1:CB$87,Formula!F41,20)),IF(INDEX(Properties!A$1:CB$87,Formula!H41,20)&lt;&gt;"",INDEX(Properties!A$1:CB$87,Formula!H41,20)),IF(INDEX(Properties!A$1:CB$87,Formula!J41,20)&lt;&gt;"",INDEX(Properties!A$1:CB$87,Formula!J41,20)))</f>
        <v>3.76</v>
      </c>
      <c r="BS41" s="48">
        <f>MAX(INDEX(Properties!A$1:CB$87,Formula!B41,20),INDEX(Properties!A$1:CB$87,Formula!D41,20),INDEX(Properties!A$1:CB$87,Formula!F41,20),INDEX(Properties!A$1:CB$87,Formula!H41,20),INDEX(Properties!A$1:CB$87,Formula!J41,20))</f>
        <v>6</v>
      </c>
      <c r="BT41" s="48">
        <f>MIN(IF(INDEX(Properties!A$1:CB$87,Formula!B41,20)=0,10^6,INDEX(Properties!A$1:CB$87,Formula!B41,20)),IF(INDEX(Properties!A$1:CB$87,Formula!D41,20)=0,10^6,INDEX(Properties!A$1:CB$87,Formula!D41,20)),IF(INDEX(Properties!A$1:CB$87,Formula!F41,20)=0,10^6,INDEX(Properties!A$1:CB$87,Formula!F41,20)),IF(INDEX(Properties!A$1:CB$87,Formula!H41,20)=0,10^6,INDEX(Properties!A$1:CB$87,Formula!H41,20)),IF(INDEX(Properties!A$1:CB$87,Formula!J41,20)=0,10^6,INDEX(Properties!A$1:CB$87,Formula!J41,20)))</f>
        <v>2</v>
      </c>
      <c r="BU41" s="48">
        <f t="shared" si="11"/>
        <v>4</v>
      </c>
      <c r="BV41" s="66">
        <f>((Formula!C41)/(Formula!C41+Formula!E41+Formula!G41+Formula!I41+Formula!K41))*(INDEX(Properties!A$1:CB$87,Formula!B41,21))+((Formula!E41)/(Formula!C41+Formula!E41+Formula!G41+Formula!I41+Formula!K41))*(INDEX(Properties!A$1:CB$87,Formula!D41,21))+((Formula!G41)/(Formula!C41+Formula!E41+Formula!G41+Formula!I41+Formula!K41))*(INDEX(Properties!A$1:CB$87,Formula!F41,21))+((Formula!I41)/(Formula!C41+Formula!E41+Formula!G41+Formula!I41+Formula!K41))*(INDEX(Properties!A$1:CB$87,Formula!H41,21))+((Formula!K41)/(Formula!C41+Formula!E41+Formula!G41+Formula!I41+Formula!K41))*(INDEX(Properties!A$1:CB$87,Formula!J41,21))</f>
        <v>4.5714285714285712</v>
      </c>
      <c r="BW41" s="66">
        <f>Formula!C41*(INDEX(Properties!A$1:CB$87,Formula!B41,21))+Formula!E41*(INDEX(Properties!A$1:CB$87,Formula!D41,21))+Formula!G41*(INDEX(Properties!A$1:CB$87,Formula!F41,21))+Formula!I41*(INDEX(Properties!A$1:CB$87,Formula!H41,21))+Formula!K41*(INDEX(Properties!A$1:CB$87,Formula!J41,21))</f>
        <v>32</v>
      </c>
      <c r="BX41" s="66">
        <f>VARP(IF(INDEX(Properties!A$1:CB$87,Formula!B41,21)&lt;&gt;"",INDEX(Properties!A$1:CB$87,Formula!B41,21)),IF(INDEX(Properties!A$1:CB$87,Formula!D41,21)&lt;&gt;"",INDEX(Properties!A$1:CB$87,Formula!D41,21)),IF(INDEX(Properties!A$1:CB$87,Formula!F41,21)&lt;&gt;"",INDEX(Properties!A$1:CB$87,Formula!F41,21)),IF(INDEX(Properties!A$1:CB$87,Formula!H41,21)&lt;&gt;"",INDEX(Properties!A$1:CB$87,Formula!H41,21)),IF(INDEX(Properties!A$1:CB$87,Formula!J41,21)&lt;&gt;"",INDEX(Properties!A$1:CB$87,Formula!J41,21)))</f>
        <v>3.76</v>
      </c>
      <c r="BY41" s="66">
        <f>MAX(INDEX(Properties!A$1:CB$87,Formula!B41,21),INDEX(Properties!A$1:CB$87,Formula!D41,21),INDEX(Properties!A$1:CB$87,Formula!F41,21),INDEX(Properties!A$1:CB$87,Formula!H41,21),INDEX(Properties!A$1:CB$87,Formula!J41,21))</f>
        <v>6</v>
      </c>
      <c r="BZ41" s="66">
        <f>MIN(IF(INDEX(Properties!A$1:CB$87,Formula!B41,21)=0,10^6,INDEX(Properties!A$1:CB$87,Formula!B41,21)),IF(INDEX(Properties!A$1:CB$87,Formula!D41,21)=0,10^6,INDEX(Properties!A$1:CB$87,Formula!D41,21)),IF(INDEX(Properties!A$1:CB$87,Formula!F41,21)=0,10^6,INDEX(Properties!A$1:CB$87,Formula!F41,21)),IF(INDEX(Properties!A$1:CB$87,Formula!H41,21)=0,10^6,INDEX(Properties!A$1:CB$87,Formula!H41,21)),IF(INDEX(Properties!A$1:CB$87,Formula!J41,21)=0,10^6,INDEX(Properties!A$1:CB$87,Formula!J41,21)))</f>
        <v>2</v>
      </c>
      <c r="CA41" s="66">
        <f t="shared" si="12"/>
        <v>4</v>
      </c>
      <c r="CB41" s="81">
        <f>((Formula!C41)/(Formula!C41+Formula!E41+Formula!G41+Formula!I41+Formula!K41))*(INDEX(Properties!A$1:CB$87,Formula!B41,23))+((Formula!E41)/(Formula!C41+Formula!E41+Formula!G41+Formula!I41+Formula!K41))*(INDEX(Properties!A$1:CB$87,Formula!D41,23))+((Formula!G41)/(Formula!C41+Formula!E41+Formula!G41+Formula!I41+Formula!K41))*(INDEX(Properties!A$1:CB$87,Formula!F41,23))+((Formula!I41)/(Formula!C41+Formula!E41+Formula!G41+Formula!I41+Formula!K41))*(INDEX(Properties!A$1:CB$87,Formula!H41,23))+((Formula!K41)/(Formula!C41+Formula!E41+Formula!G41+Formula!I41+Formula!K41))*(INDEX(Properties!A$1:CB$87,Formula!J41,23))</f>
        <v>1.1428571428571428</v>
      </c>
      <c r="CC41" s="81">
        <f>Formula!C41*(INDEX(Properties!A$1:CB$87,Formula!B41,23))+Formula!E41*(INDEX(Properties!A$1:CB$87,Formula!D41,23))+Formula!G41*(INDEX(Properties!A$1:CB$87,Formula!F41,23))+Formula!I41*(INDEX(Properties!A$1:CB$87,Formula!H41,23))+Formula!K41*(INDEX(Properties!A$1:CB$87,Formula!J41,23))</f>
        <v>8</v>
      </c>
      <c r="CD41" s="81">
        <f>VARP(IF(INDEX(Properties!A$1:CB$87,Formula!B41,23)&lt;&gt;"",INDEX(Properties!A$1:CB$87,Formula!B41,23)),IF(INDEX(Properties!A$1:CB$87,Formula!D41,23)&lt;&gt;"",INDEX(Properties!A$1:CB$87,Formula!D41,23)),IF(INDEX(Properties!A$1:CB$87,Formula!F41,23)&lt;&gt;"",INDEX(Properties!A$1:CB$87,Formula!F41,23)),IF(INDEX(Properties!A$1:CB$87,Formula!H41,23)&lt;&gt;"",INDEX(Properties!A$1:CB$87,Formula!H41,23)),IF(INDEX(Properties!A$1:CB$87,Formula!J41,23)&lt;&gt;"",INDEX(Properties!A$1:CB$87,Formula!J41,23)))</f>
        <v>1.84</v>
      </c>
      <c r="CE41" s="81">
        <f>MAX(INDEX(Properties!A$1:CB$87,Formula!B41,23),INDEX(Properties!A$1:CB$87,Formula!D41,23),INDEX(Properties!A$1:CB$87,Formula!F41,23),INDEX(Properties!A$1:CB$87,Formula!H41,23),INDEX(Properties!A$1:CB$87,Formula!J41,23))</f>
        <v>3</v>
      </c>
      <c r="CF41" s="81">
        <f>MIN(IF(Formula!B41=87,10^6,INDEX(Properties!A$1:CB$87,Formula!B41,23)),IF((Formula!D41)=87,10^6,INDEX(Properties!A$1:CB$87,Formula!D41,23)),IF((Formula!F41)=87,10^6,INDEX(Properties!A$1:CB$87,Formula!F41,23)),IF((Formula!H41)=87,10^6,INDEX(Properties!A$1:CB$87,Formula!H41,23)),IF(Formula!J41=87,10^6,INDEX(Properties!A$1:CB$87,Formula!J41,23)))</f>
        <v>0</v>
      </c>
      <c r="CG41" s="81">
        <f t="shared" si="13"/>
        <v>3</v>
      </c>
      <c r="CH41" s="39">
        <f>((Formula!C41)/(Formula!C41+Formula!E41+Formula!G41+Formula!I41+Formula!K41))*(INDEX(Properties!A$1:CB$87,Formula!B41,26))+((Formula!E41)/(Formula!C41+Formula!E41+Formula!G41+Formula!I41+Formula!K41))*(INDEX(Properties!A$1:CB$87,Formula!D41,26))+((Formula!G41)/(Formula!C41+Formula!E41+Formula!G41+Formula!I41+Formula!K41))*(INDEX(Properties!A$1:CB$87,Formula!F41,26))+((Formula!I41)/(Formula!C41+Formula!E41+Formula!G41+Formula!I41+Formula!K41))*(INDEX(Properties!A$1:CB$87,Formula!H41,26))+((Formula!K41)/(Formula!C41+Formula!E41+Formula!G41+Formula!I41+Formula!K41))*(INDEX(Properties!A$1:CB$87,Formula!J41,26))</f>
        <v>10.635871428571427</v>
      </c>
      <c r="CI41" s="39">
        <f>Formula!C41*(INDEX(Properties!A$1:CB$87,Formula!B41,26))+Formula!E41*(INDEX(Properties!A$1:CB$87,Formula!D41,26))+Formula!G41*(INDEX(Properties!A$1:CB$87,Formula!F41,26))+Formula!I41*(INDEX(Properties!A$1:CB$87,Formula!H41,26))+Formula!K41*(INDEX(Properties!A$1:CB$87,Formula!J41,26))</f>
        <v>74.451099999999997</v>
      </c>
      <c r="CJ41" s="39">
        <f>VARP(IF(INDEX(Properties!A$1:CB$87,Formula!B41,26)&lt;&gt;"",INDEX(Properties!A$1:CB$87,Formula!B41,26)),IF(INDEX(Properties!A$1:CB$87,Formula!D41,26)&lt;&gt;"",INDEX(Properties!A$1:CB$87,Formula!D41,26)),IF(INDEX(Properties!A$1:CB$87,Formula!F41,26)&lt;&gt;"",INDEX(Properties!A$1:CB$87,Formula!F41,26)),IF(INDEX(Properties!A$1:CB$87,Formula!H41,26)&lt;&gt;"",INDEX(Properties!A$1:CB$87,Formula!H41,26)),IF(INDEX(Properties!A$1:CB$87,Formula!J41,26)&lt;&gt;"",INDEX(Properties!A$1:CB$87,Formula!J41,26)))</f>
        <v>19.364429042399998</v>
      </c>
      <c r="CK41" s="39">
        <f>MAX(INDEX(Properties!A$1:CB$87,Formula!B41,26),INDEX(Properties!A$1:CB$87,Formula!D41,26),INDEX(Properties!A$1:CB$87,Formula!F41,26),INDEX(Properties!A$1:CB$87,Formula!H41,26),INDEX(Properties!A$1:CB$87,Formula!J41,26))</f>
        <v>13.6181</v>
      </c>
      <c r="CL41" s="39">
        <f>MIN(IF(INDEX(Properties!A$1:CB$87,Formula!B41,26)=0,10^6,INDEX(Properties!A$1:CB$87,Formula!B41,26)),IF(INDEX(Properties!A$1:CB$87,Formula!D41,26)=0,10^6,INDEX(Properties!A$1:CB$87,Formula!D41,26)),IF(INDEX(Properties!A$1:CB$87,Formula!F41,26)=0,10^6,INDEX(Properties!A$1:CB$87,Formula!F41,26)),IF(INDEX(Properties!A$1:CB$87,Formula!H41,26)=0,10^6,INDEX(Properties!A$1:CB$87,Formula!H41,26)),IF(INDEX(Properties!A$1:CB$87,Formula!J41,26)=0,10^6,INDEX(Properties!A$1:CB$87,Formula!J41,26)))</f>
        <v>5.6948999999999996</v>
      </c>
      <c r="CM41" s="39">
        <f t="shared" si="14"/>
        <v>7.9232000000000005</v>
      </c>
      <c r="CN41" s="54">
        <f>((Formula!C41)/(Formula!C41+Formula!E41+Formula!G41+Formula!I41+Formula!K41))*(INDEX(Properties!A$1:CB$87,Formula!B41,30))+((Formula!E41)/(Formula!C41+Formula!E41+Formula!G41+Formula!I41+Formula!K41))*(INDEX(Properties!A$1:CB$87,Formula!D41,30))+((Formula!G41)/(Formula!C41+Formula!E41+Formula!G41+Formula!I41+Formula!K41))*(INDEX(Properties!A$1:CB$87,Formula!F41,30))+((Formula!I41)/(Formula!C41+Formula!E41+Formula!G41+Formula!I41+Formula!K41))*(INDEX(Properties!A$1:CB$87,Formula!H41,30))+((Formula!K41)/(Formula!C41+Formula!E41+Formula!G41+Formula!I41+Formula!K41))*(INDEX(Properties!A$1:CB$87,Formula!J41,30))</f>
        <v>2.6228571428571428</v>
      </c>
      <c r="CO41" s="54">
        <f>Formula!C41*(INDEX(Properties!A$1:CB$87,Formula!B41,30))+Formula!E41*(INDEX(Properties!A$1:CB$87,Formula!D41,30))+Formula!G41*(INDEX(Properties!A$1:CB$87,Formula!F41,30))+Formula!I41*(INDEX(Properties!A$1:CB$87,Formula!H41,30))+Formula!K41*(INDEX(Properties!A$1:CB$87,Formula!J41,30))</f>
        <v>18.36</v>
      </c>
      <c r="CP41" s="54">
        <f>VARP(IF(INDEX(Properties!A$1:CB$87,Formula!B41,30)&lt;&gt;"",INDEX(Properties!A$1:CB$87,Formula!B41,30)),IF(INDEX(Properties!A$1:CB$87,Formula!D41,30)&lt;&gt;"",INDEX(Properties!A$1:CB$87,Formula!D41,30)),IF(INDEX(Properties!A$1:CB$87,Formula!F41,30)&lt;&gt;"",INDEX(Properties!A$1:CB$87,Formula!F41,30)),IF(INDEX(Properties!A$1:CB$87,Formula!H41,30)&lt;&gt;"",INDEX(Properties!A$1:CB$87,Formula!H41,30)),IF(INDEX(Properties!A$1:CB$87,Formula!J41,30)&lt;&gt;"",INDEX(Properties!A$1:CB$87,Formula!J41,30)))</f>
        <v>1.3122960000000006</v>
      </c>
      <c r="CQ41" s="54">
        <f>MAX(INDEX(Properties!A$1:CB$87,Formula!B41,30),INDEX(Properties!A$1:CB$87,Formula!D41,30),INDEX(Properties!A$1:CB$87,Formula!F41,30),INDEX(Properties!A$1:CB$87,Formula!H41,30),INDEX(Properties!A$1:CB$87,Formula!J41,30))</f>
        <v>3.44</v>
      </c>
      <c r="CR41" s="54">
        <f>MIN(IF(INDEX(Properties!A$1:CB$87,Formula!B41,30)=0,10^6,INDEX(Properties!A$1:CB$87,Formula!B41,30)),IF(INDEX(Properties!A$1:CB$87,Formula!D41,30)=0,10^6,INDEX(Properties!A$1:CB$87,Formula!D41,30)),IF(INDEX(Properties!A$1:CB$87,Formula!F41,30)=0,10^6,INDEX(Properties!A$1:CB$87,Formula!F41,30)),IF(INDEX(Properties!A$1:CB$87,Formula!H41,30)=0,10^6,INDEX(Properties!A$1:CB$87,Formula!H41,30)),IF(INDEX(Properties!A$1:CB$87,Formula!J41,30)=0,10^6,INDEX(Properties!A$1:CB$87,Formula!J41,30)))</f>
        <v>0.95</v>
      </c>
      <c r="CS41" s="54">
        <f t="shared" si="15"/>
        <v>2.4900000000000002</v>
      </c>
      <c r="CT41" s="69">
        <f>((Formula!C41)/(Formula!C41+Formula!E41+Formula!G41+Formula!I41+Formula!K41))*(INDEX(Properties!A$1:CB$87,Formula!B41,31))+((Formula!E41)/(Formula!C41+Formula!E41+Formula!G41+Formula!I41+Formula!K41))*(INDEX(Properties!A$1:CB$87,Formula!D41,31))+((Formula!G41)/(Formula!C41+Formula!E41+Formula!G41+Formula!I41+Formula!K41))*(INDEX(Properties!A$1:CB$87,Formula!F41,31))+((Formula!I41)/(Formula!C41+Formula!E41+Formula!G41+Formula!I41+Formula!K41))*(INDEX(Properties!A$1:CB$87,Formula!H41,31))+((Formula!K41)/(Formula!C41+Formula!E41+Formula!G41+Formula!I41+Formula!K41))*(INDEX(Properties!A$1:CB$87,Formula!J41,31))</f>
        <v>2.5642857142857141</v>
      </c>
      <c r="CU41" s="69">
        <f>Formula!C41*(INDEX(Properties!A$1:CB$87,Formula!B41,31))+Formula!E41*(INDEX(Properties!A$1:CB$87,Formula!D41,31))+Formula!G41*(INDEX(Properties!A$1:CB$87,Formula!F41,31))+Formula!I41*(INDEX(Properties!A$1:CB$87,Formula!H41,31))+Formula!K41*(INDEX(Properties!A$1:CB$87,Formula!J41,31))</f>
        <v>17.95</v>
      </c>
      <c r="CV41" s="69">
        <f>VARP(IF(INDEX(Properties!A$1:CB$87,Formula!B41,31)&lt;&gt;"",INDEX(Properties!A$1:CB$87,Formula!B41,31)),IF(INDEX(Properties!A$1:CB$87,Formula!D41,31)&lt;&gt;"",INDEX(Properties!A$1:CB$87,Formula!D41,31)),IF(INDEX(Properties!A$1:CB$87,Formula!F41,31)&lt;&gt;"",INDEX(Properties!A$1:CB$87,Formula!F41,31)),IF(INDEX(Properties!A$1:CB$87,Formula!H41,31)&lt;&gt;"",INDEX(Properties!A$1:CB$87,Formula!H41,31)),IF(INDEX(Properties!A$1:CB$87,Formula!J41,31)&lt;&gt;"",INDEX(Properties!A$1:CB$87,Formula!J41,31)))</f>
        <v>1.1661759999999999</v>
      </c>
      <c r="CW41" s="69">
        <f>MAX(INDEX(Properties!A$1:CB$87,Formula!B41,31),INDEX(Properties!A$1:CB$87,Formula!D41,31),INDEX(Properties!A$1:CB$87,Formula!F41,31),INDEX(Properties!A$1:CB$87,Formula!H41,31),INDEX(Properties!A$1:CB$87,Formula!J41,31))</f>
        <v>3.32</v>
      </c>
      <c r="CX41" s="69">
        <f>MIN(IF(INDEX(Properties!A$1:CB$87,Formula!B41,31)=0,10^6,INDEX(Properties!A$1:CB$87,Formula!B41,31)),IF(INDEX(Properties!A$1:CB$87,Formula!D41,31)=0,10^6,INDEX(Properties!A$1:CB$87,Formula!D41,31)),IF(INDEX(Properties!A$1:CB$87,Formula!F41,31)=0,10^6,INDEX(Properties!A$1:CB$87,Formula!F41,31)),IF(INDEX(Properties!A$1:CB$87,Formula!H41,31)=0,10^6,INDEX(Properties!A$1:CB$87,Formula!H41,31)),IF(INDEX(Properties!A$1:CB$87,Formula!J41,31)=0,10^6,INDEX(Properties!A$1:CB$87,Formula!J41,31)))</f>
        <v>1.1299999999999999</v>
      </c>
      <c r="CY41" s="69">
        <f t="shared" si="16"/>
        <v>2.19</v>
      </c>
      <c r="CZ41" s="42">
        <f>((Formula!C41)/(Formula!C41+Formula!E41+Formula!G41+Formula!I41+Formula!K41))*(INDEX(Properties!A$1:CB$87,Formula!B41,32))+((Formula!E41)/(Formula!C41+Formula!E41+Formula!G41+Formula!I41+Formula!K41))*(INDEX(Properties!A$1:CB$87,Formula!D41,32))+((Formula!G41)/(Formula!C41+Formula!E41+Formula!G41+Formula!I41+Formula!K41))*(INDEX(Properties!A$1:CB$87,Formula!F41,32))+((Formula!I41)/(Formula!C41+Formula!E41+Formula!G41+Formula!I41+Formula!K41))*(INDEX(Properties!A$1:CB$87,Formula!H41,32))+((Formula!K41)/(Formula!C41+Formula!E41+Formula!G41+Formula!I41+Formula!K41))*(INDEX(Properties!A$1:CB$87,Formula!J41,32))</f>
        <v>5.668571428571429</v>
      </c>
      <c r="DA41" s="42">
        <f>Formula!C41*(INDEX(Properties!A$1:CB$87,Formula!B41,32))+Formula!E41*(INDEX(Properties!A$1:CB$87,Formula!D41,32))+Formula!G41*(INDEX(Properties!A$1:CB$87,Formula!F41,32))+Formula!I41*(INDEX(Properties!A$1:CB$87,Formula!H41,32))+Formula!K41*(INDEX(Properties!A$1:CB$87,Formula!J41,32))</f>
        <v>39.68</v>
      </c>
      <c r="DB41" s="42">
        <f>VARP(IF(INDEX(Properties!A$1:CB$87,Formula!B41,32)&lt;&gt;"",INDEX(Properties!A$1:CB$87,Formula!B41,32)),IF(INDEX(Properties!A$1:CB$87,Formula!D41,32)&lt;&gt;"",INDEX(Properties!A$1:CB$87,Formula!D41,32)),IF(INDEX(Properties!A$1:CB$87,Formula!F41,32)&lt;&gt;"",INDEX(Properties!A$1:CB$87,Formula!F41,32)),IF(INDEX(Properties!A$1:CB$87,Formula!H41,32)&lt;&gt;"",INDEX(Properties!A$1:CB$87,Formula!H41,32)),IF(INDEX(Properties!A$1:CB$87,Formula!J41,32)&lt;&gt;"",INDEX(Properties!A$1:CB$87,Formula!J41,32)))</f>
        <v>6.2959760000000031</v>
      </c>
      <c r="DC41" s="42">
        <f>MAX(INDEX(Properties!A$1:CB$87,Formula!B41,32),INDEX(Properties!A$1:CB$87,Formula!D41,32),INDEX(Properties!A$1:CB$87,Formula!F41,32),INDEX(Properties!A$1:CB$87,Formula!H41,32),INDEX(Properties!A$1:CB$87,Formula!J41,32))</f>
        <v>7.54</v>
      </c>
      <c r="DD41" s="42">
        <f>MIN(IF(INDEX(Properties!A$1:CB$87,Formula!B41,32)=0,10^6,INDEX(Properties!A$1:CB$87,Formula!B41,32)),IF(INDEX(Properties!A$1:CB$87,Formula!D41,32)=0,10^6,INDEX(Properties!A$1:CB$87,Formula!D41,32)),IF(INDEX(Properties!A$1:CB$87,Formula!F41,32)=0,10^6,INDEX(Properties!A$1:CB$87,Formula!F41,32)),IF(INDEX(Properties!A$1:CB$87,Formula!H41,32)=0,10^6,INDEX(Properties!A$1:CB$87,Formula!H41,32)),IF(INDEX(Properties!A$1:CB$87,Formula!J41,32)=0,10^6,INDEX(Properties!A$1:CB$87,Formula!J41,32)))</f>
        <v>2</v>
      </c>
      <c r="DE41" s="42">
        <f t="shared" si="17"/>
        <v>5.54</v>
      </c>
      <c r="DF41" s="60">
        <f>((Formula!C41)/(Formula!C41+Formula!E41+Formula!G41+Formula!I41+Formula!K41))*(INDEX(Properties!A$1:CB$87,Formula!B41,34))+((Formula!E41)/(Formula!C41+Formula!E41+Formula!G41+Formula!I41+Formula!K41))*(INDEX(Properties!A$1:CB$87,Formula!D41,34))+((Formula!G41)/(Formula!C41+Formula!E41+Formula!G41+Formula!I41+Formula!K41))*(INDEX(Properties!A$1:CB$87,Formula!F41,34))+((Formula!I41)/(Formula!C41+Formula!E41+Formula!G41+Formula!I41+Formula!K41))*(INDEX(Properties!A$1:CB$87,Formula!H41,34))+((Formula!K41)/(Formula!C41+Formula!E41+Formula!G41+Formula!I41+Formula!K41))*(INDEX(Properties!A$1:CB$87,Formula!J41,34))</f>
        <v>2.7238571428571428</v>
      </c>
      <c r="DG41" s="60">
        <f>Formula!C41*(INDEX(Properties!A$1:CB$87,Formula!B41,34))+Formula!E41*(INDEX(Properties!A$1:CB$87,Formula!D41,34))+Formula!G41*(INDEX(Properties!A$1:CB$87,Formula!F41,34))+Formula!I41*(INDEX(Properties!A$1:CB$87,Formula!H41,34))+Formula!K41*(INDEX(Properties!A$1:CB$87,Formula!J41,34))</f>
        <v>19.067</v>
      </c>
      <c r="DH41" s="60">
        <f>VARP(IF(INDEX(Properties!A$1:CB$87,Formula!B41,34)&lt;&gt;"",INDEX(Properties!A$1:CB$87,Formula!B41,34)),IF(INDEX(Properties!A$1:CB$87,Formula!D41,34)&lt;&gt;"",INDEX(Properties!A$1:CB$87,Formula!D41,34)),IF(INDEX(Properties!A$1:CB$87,Formula!F41,34)&lt;&gt;"",INDEX(Properties!A$1:CB$87,Formula!F41,34)),IF(INDEX(Properties!A$1:CB$87,Formula!H41,34)&lt;&gt;"",INDEX(Properties!A$1:CB$87,Formula!H41,34)),IF(INDEX(Properties!A$1:CB$87,Formula!J41,34)&lt;&gt;"",INDEX(Properties!A$1:CB$87,Formula!J41,34)))</f>
        <v>1.4396410400000008</v>
      </c>
      <c r="DI41" s="60">
        <f>MAX(INDEX(Properties!A$1:CB$87,Formula!B41,34),INDEX(Properties!A$1:CB$87,Formula!D41,34),INDEX(Properties!A$1:CB$87,Formula!F41,34),INDEX(Properties!A$1:CB$87,Formula!H41,34),INDEX(Properties!A$1:CB$87,Formula!J41,34))</f>
        <v>3.61</v>
      </c>
      <c r="DJ41" s="60">
        <f>MIN(IF(INDEX(Properties!A$1:CB$87,Formula!B41,34)=0,10^6,INDEX(Properties!A$1:CB$87,Formula!B41,34)),IF(INDEX(Properties!A$1:CB$87,Formula!D41,34)=0,10^6,INDEX(Properties!A$1:CB$87,Formula!D41,34)),IF(INDEX(Properties!A$1:CB$87,Formula!F41,34)=0,10^6,INDEX(Properties!A$1:CB$87,Formula!F41,34)),IF(INDEX(Properties!A$1:CB$87,Formula!H41,34)=0,10^6,INDEX(Properties!A$1:CB$87,Formula!H41,34)),IF(INDEX(Properties!A$1:CB$87,Formula!J41,34)=0,10^6,INDEX(Properties!A$1:CB$87,Formula!J41,34)))</f>
        <v>0.96299999999999997</v>
      </c>
      <c r="DK41" s="60">
        <f t="shared" si="18"/>
        <v>2.6469999999999998</v>
      </c>
      <c r="DL41" s="45">
        <f>((Formula!C41)/(Formula!C41+Formula!E41+Formula!G41+Formula!I41+Formula!K41))*(INDEX(Properties!A$1:CB$87,Formula!B41,39))+((Formula!E41)/(Formula!C41+Formula!E41+Formula!G41+Formula!I41+Formula!K41))*(INDEX(Properties!A$1:CB$87,Formula!D41,39))+((Formula!G41)/(Formula!C41+Formula!E41+Formula!G41+Formula!I41+Formula!K41))*(INDEX(Properties!A$1:CB$87,Formula!F41,39))+((Formula!I41)/(Formula!C41+Formula!E41+Formula!G41+Formula!I41+Formula!K41))*(INDEX(Properties!A$1:CB$87,Formula!H41,39))+((Formula!K41)/(Formula!C41+Formula!E41+Formula!G41+Formula!I41+Formula!K41))*(INDEX(Properties!A$1:CB$87,Formula!J41,39))</f>
        <v>0.87999999999999989</v>
      </c>
      <c r="DM41" s="45">
        <f>Formula!C41*(INDEX(Properties!A$1:CB$87,Formula!B41,39))+Formula!E41*(INDEX(Properties!A$1:CB$87,Formula!D41,39))+Formula!G41*(INDEX(Properties!A$1:CB$87,Formula!F41,39))+Formula!I41*(INDEX(Properties!A$1:CB$87,Formula!H41,39))+Formula!K41*(INDEX(Properties!A$1:CB$87,Formula!J41,39))</f>
        <v>6.16</v>
      </c>
      <c r="DN41" s="45">
        <f>VARP(IF(INDEX(Properties!A$1:CB$87,Formula!B41,39)&lt;&gt;"",INDEX(Properties!A$1:CB$87,Formula!B41,39)),IF(INDEX(Properties!A$1:CB$87,Formula!D41,39)&lt;&gt;"",INDEX(Properties!A$1:CB$87,Formula!D41,39)),IF(INDEX(Properties!A$1:CB$87,Formula!F41,39)&lt;&gt;"",INDEX(Properties!A$1:CB$87,Formula!F41,39)),IF(INDEX(Properties!A$1:CB$87,Formula!H41,39)&lt;&gt;"",INDEX(Properties!A$1:CB$87,Formula!H41,39)),IF(INDEX(Properties!A$1:CB$87,Formula!J41,39)&lt;&gt;"",INDEX(Properties!A$1:CB$87,Formula!J41,39)))</f>
        <v>0.54402399999999973</v>
      </c>
      <c r="DO41" s="45">
        <f>MAX(INDEX(Properties!A$1:CB$87,Formula!B41,39),INDEX(Properties!A$1:CB$87,Formula!D41,39),INDEX(Properties!A$1:CB$87,Formula!F41,39),INDEX(Properties!A$1:CB$87,Formula!H41,39),INDEX(Properties!A$1:CB$87,Formula!J41,39))</f>
        <v>2.19</v>
      </c>
      <c r="DP41" s="45">
        <f>MIN(IF(INDEX(Properties!A$1:CB$87,Formula!B41,39)=0,10^6,INDEX(Properties!A$1:CB$87,Formula!B41,39)),IF(INDEX(Properties!A$1:CB$87,Formula!D41,39)=0,10^6,INDEX(Properties!A$1:CB$87,Formula!D41,39)),IF(INDEX(Properties!A$1:CB$87,Formula!F41,39)=0,10^6,INDEX(Properties!A$1:CB$87,Formula!F41,39)),IF(INDEX(Properties!A$1:CB$87,Formula!H41,39)=0,10^6,INDEX(Properties!A$1:CB$87,Formula!H41,39)),IF(INDEX(Properties!A$1:CB$87,Formula!J41,39)=0,10^6,INDEX(Properties!A$1:CB$87,Formula!J41,39)))</f>
        <v>0.48</v>
      </c>
      <c r="DQ41" s="45">
        <f t="shared" si="19"/>
        <v>1.71</v>
      </c>
      <c r="DR41" s="63">
        <f>((Formula!C41)/(Formula!C41+Formula!E41+Formula!G41+Formula!I41+Formula!K41))*(INDEX(Properties!A$1:CB$87,Formula!B41,40))+((Formula!E41)/(Formula!C41+Formula!E41+Formula!G41+Formula!I41+Formula!K41))*(INDEX(Properties!A$1:CB$87,Formula!D41,40))+((Formula!G41)/(Formula!C41+Formula!E41+Formula!G41+Formula!I41+Formula!K41))*(INDEX(Properties!A$1:CB$87,Formula!F41,40))+((Formula!I41)/(Formula!C41+Formula!E41+Formula!G41+Formula!I41+Formula!K41))*(INDEX(Properties!A$1:CB$87,Formula!H41,40))+((Formula!K41)/(Formula!C41+Formula!E41+Formula!G41+Formula!I41+Formula!K41))*(INDEX(Properties!A$1:CB$87,Formula!J41,40))</f>
        <v>0.97714285714285709</v>
      </c>
      <c r="DS41" s="63">
        <f>Formula!C41*(INDEX(Properties!A$1:CB$87,Formula!B41,40))+Formula!E41*(INDEX(Properties!A$1:CB$87,Formula!D41,40))+Formula!G41*(INDEX(Properties!A$1:CB$87,Formula!F41,40))+Formula!I41*(INDEX(Properties!A$1:CB$87,Formula!H41,40))+Formula!K41*(INDEX(Properties!A$1:CB$87,Formula!J41,40))</f>
        <v>6.84</v>
      </c>
      <c r="DT41" s="63">
        <f>VARP(IF(INDEX(Properties!A$1:CB$87,Formula!B41,40)&lt;&gt;"",INDEX(Properties!A$1:CB$87,Formula!B41,40)),IF(INDEX(Properties!A$1:CB$87,Formula!D41,40)&lt;&gt;"",INDEX(Properties!A$1:CB$87,Formula!D41,40)),IF(INDEX(Properties!A$1:CB$87,Formula!F41,40)&lt;&gt;"",INDEX(Properties!A$1:CB$87,Formula!F41,40)),IF(INDEX(Properties!A$1:CB$87,Formula!H41,40)&lt;&gt;"",INDEX(Properties!A$1:CB$87,Formula!H41,40)),IF(INDEX(Properties!A$1:CB$87,Formula!J41,40)&lt;&gt;"",INDEX(Properties!A$1:CB$87,Formula!J41,40)))</f>
        <v>0.39191999999999994</v>
      </c>
      <c r="DU41" s="63">
        <f>MAX(INDEX(Properties!A$1:CB$87,Formula!B41,40),INDEX(Properties!A$1:CB$87,Formula!D41,40),INDEX(Properties!A$1:CB$87,Formula!F41,40),INDEX(Properties!A$1:CB$87,Formula!H41,40),INDEX(Properties!A$1:CB$87,Formula!J41,40))</f>
        <v>1.92</v>
      </c>
      <c r="DV41" s="63">
        <f>MIN(IF(INDEX(Properties!A$1:CB$87,Formula!B41,40)=0,10^6,INDEX(Properties!A$1:CB$87,Formula!B41,40)),IF(INDEX(Properties!A$1:CB$87,Formula!D41,40)=0,10^6,INDEX(Properties!A$1:CB$87,Formula!D41,40)),IF(INDEX(Properties!A$1:CB$87,Formula!F41,40)=0,10^6,INDEX(Properties!A$1:CB$87,Formula!F41,40)),IF(INDEX(Properties!A$1:CB$87,Formula!H41,40)=0,10^6,INDEX(Properties!A$1:CB$87,Formula!H41,40)),IF(INDEX(Properties!A$1:CB$87,Formula!J41,40)=0,10^6,INDEX(Properties!A$1:CB$87,Formula!J41,40)))</f>
        <v>0.73</v>
      </c>
      <c r="DW41" s="63">
        <f t="shared" si="20"/>
        <v>1.19</v>
      </c>
      <c r="DX41" s="75">
        <f>((Formula!C41)/(Formula!C41+Formula!E41+Formula!G41+Formula!I41+Formula!K41))*(INDEX(Properties!A$1:CB$87,Formula!B41,41))+((Formula!E41)/(Formula!C41+Formula!E41+Formula!G41+Formula!I41+Formula!K41))*(INDEX(Properties!A$1:CB$87,Formula!D41,41))+((Formula!G41)/(Formula!C41+Formula!E41+Formula!G41+Formula!I41+Formula!K41))*(INDEX(Properties!A$1:CB$87,Formula!F41,41))+((Formula!I41)/(Formula!C41+Formula!E41+Formula!G41+Formula!I41+Formula!K41))*(INDEX(Properties!A$1:CB$87,Formula!H41,41))+((Formula!K41)/(Formula!C41+Formula!E41+Formula!G41+Formula!I41+Formula!K41))*(INDEX(Properties!A$1:CB$87,Formula!J41,41))</f>
        <v>1.0642857142857143</v>
      </c>
      <c r="DY41" s="75">
        <f>Formula!C41*(INDEX(Properties!A$1:CB$87,Formula!B41,41))+Formula!E41*(INDEX(Properties!A$1:CB$87,Formula!D41,41))+Formula!G41*(INDEX(Properties!A$1:CB$87,Formula!F41,41))+Formula!I41*(INDEX(Properties!A$1:CB$87,Formula!H41,41))+Formula!K41*(INDEX(Properties!A$1:CB$87,Formula!J41,41))</f>
        <v>7.45</v>
      </c>
      <c r="DZ41" s="75">
        <f>VARP(IF(INDEX(Properties!A$1:CB$87,Formula!B41,41)&lt;&gt;"",INDEX(Properties!A$1:CB$87,Formula!B41,41)),IF(INDEX(Properties!A$1:CB$87,Formula!D41,41)&lt;&gt;"",INDEX(Properties!A$1:CB$87,Formula!D41,41)),IF(INDEX(Properties!A$1:CB$87,Formula!F41,41)&lt;&gt;"",INDEX(Properties!A$1:CB$87,Formula!F41,41)),IF(INDEX(Properties!A$1:CB$87,Formula!H41,41)&lt;&gt;"",INDEX(Properties!A$1:CB$87,Formula!H41,41)),IF(INDEX(Properties!A$1:CB$87,Formula!J41,41)&lt;&gt;"",INDEX(Properties!A$1:CB$87,Formula!J41,41)))</f>
        <v>0.25334400000000007</v>
      </c>
      <c r="EA41" s="75">
        <f>MAX(INDEX(Properties!A$1:CB$87,Formula!B41,41),INDEX(Properties!A$1:CB$87,Formula!D41,41),INDEX(Properties!A$1:CB$87,Formula!F41,41),INDEX(Properties!A$1:CB$87,Formula!H41,41),INDEX(Properties!A$1:CB$87,Formula!J41,41))</f>
        <v>1.32</v>
      </c>
      <c r="EB41" s="75">
        <f>MIN(IF(INDEX(Properties!A$1:CB$87,Formula!B41,41)=0,10^6,INDEX(Properties!A$1:CB$87,Formula!B41,41)),IF(INDEX(Properties!A$1:CB$87,Formula!D41,41)=0,10^6,INDEX(Properties!A$1:CB$87,Formula!D41,41)),IF(INDEX(Properties!A$1:CB$87,Formula!F41,41)=0,10^6,INDEX(Properties!A$1:CB$87,Formula!F41,41)),IF(INDEX(Properties!A$1:CB$87,Formula!H41,41)=0,10^6,INDEX(Properties!A$1:CB$87,Formula!H41,41)),IF(INDEX(Properties!A$1:CB$87,Formula!J41,41)=0,10^6,INDEX(Properties!A$1:CB$87,Formula!J41,41)))</f>
        <v>0.41</v>
      </c>
      <c r="EC41" s="75">
        <f t="shared" si="21"/>
        <v>0.91000000000000014</v>
      </c>
      <c r="ED41" s="48">
        <f>((Formula!C41)/(Formula!C41+Formula!E41+Formula!G41+Formula!I41+Formula!K41))*(INDEX(Properties!A$1:CB$87,Formula!B41,45))+((Formula!E41)/(Formula!C41+Formula!E41+Formula!G41+Formula!I41+Formula!K41))*(INDEX(Properties!A$1:CB$87,Formula!D41,45))+((Formula!G41)/(Formula!C41+Formula!E41+Formula!G41+Formula!I41+Formula!K41))*(INDEX(Properties!A$1:CB$87,Formula!F41,45))+((Formula!I41)/(Formula!C41+Formula!E41+Formula!G41+Formula!I41+Formula!K41))*(INDEX(Properties!A$1:CB$87,Formula!H41,45))+((Formula!K41)/(Formula!C41+Formula!E41+Formula!G41+Formula!I41+Formula!K41))*(INDEX(Properties!A$1:CB$87,Formula!J41,45))</f>
        <v>1.0814285714285714</v>
      </c>
      <c r="EE41" s="48">
        <f>Formula!C41*(INDEX(Properties!A$1:CB$87,Formula!B41,45))+Formula!E41*(INDEX(Properties!A$1:CB$87,Formula!D41,45))+Formula!G41*(INDEX(Properties!A$1:CB$87,Formula!F41,45))+Formula!I41*(INDEX(Properties!A$1:CB$87,Formula!H41,45))+Formula!K41*(INDEX(Properties!A$1:CB$87,Formula!J41,45))</f>
        <v>7.5699999999999994</v>
      </c>
      <c r="EF41" s="48">
        <f>VARP(IF(INDEX(Properties!A$1:CB$87,Formula!B41,45)&lt;&gt;"",INDEX(Properties!A$1:CB$87,Formula!B41,45)),IF(INDEX(Properties!A$1:CB$87,Formula!D41,45)&lt;&gt;"",INDEX(Properties!A$1:CB$87,Formula!D41,45)),IF(INDEX(Properties!A$1:CB$87,Formula!F41,45)&lt;&gt;"",INDEX(Properties!A$1:CB$87,Formula!F41,45)),IF(INDEX(Properties!A$1:CB$87,Formula!H41,45)&lt;&gt;"",INDEX(Properties!A$1:CB$87,Formula!H41,45)),IF(INDEX(Properties!A$1:CB$87,Formula!J41,45)&lt;&gt;"",INDEX(Properties!A$1:CB$87,Formula!J41,45)))</f>
        <v>1.2796560000000008</v>
      </c>
      <c r="EG41" s="48">
        <f>MAX(INDEX(Properties!A$1:CB$87,Formula!B41,45),INDEX(Properties!A$1:CB$87,Formula!D41,45),INDEX(Properties!A$1:CB$87,Formula!F41,45),INDEX(Properties!A$1:CB$87,Formula!H41,45),INDEX(Properties!A$1:CB$87,Formula!J41,45))</f>
        <v>3.21</v>
      </c>
      <c r="EH41" s="48">
        <f>MIN(IF(INDEX(Properties!A$1:CB$87,Formula!B41,45)=0,10^6,INDEX(Properties!A$1:CB$87,Formula!B41,45)),IF(INDEX(Properties!A$1:CB$87,Formula!D41,45)=0,10^6,INDEX(Properties!A$1:CB$87,Formula!D41,45)),IF(INDEX(Properties!A$1:CB$87,Formula!F41,45)=0,10^6,INDEX(Properties!A$1:CB$87,Formula!F41,45)),IF(INDEX(Properties!A$1:CB$87,Formula!H41,45)=0,10^6,INDEX(Properties!A$1:CB$87,Formula!H41,45)),IF(INDEX(Properties!A$1:CB$87,Formula!J41,45)=0,10^6,INDEX(Properties!A$1:CB$87,Formula!J41,45)))</f>
        <v>0.47</v>
      </c>
      <c r="EI41" s="48">
        <f t="shared" si="22"/>
        <v>2.74</v>
      </c>
      <c r="EJ41" s="66">
        <f>((Formula!C41)/(Formula!C41+Formula!E41+Formula!G41+Formula!I41+Formula!K41))*(INDEX(Properties!A$1:CB$87,Formula!B41,46))+((Formula!E41)/(Formula!C41+Formula!E41+Formula!G41+Formula!I41+Formula!K41))*(INDEX(Properties!A$1:CB$87,Formula!D41,46))+((Formula!G41)/(Formula!C41+Formula!E41+Formula!G41+Formula!I41+Formula!K41))*(INDEX(Properties!A$1:CB$87,Formula!F41,46))+((Formula!I41)/(Formula!C41+Formula!E41+Formula!G41+Formula!I41+Formula!K41))*(INDEX(Properties!A$1:CB$87,Formula!H41,46))+((Formula!K41)/(Formula!C41+Formula!E41+Formula!G41+Formula!I41+Formula!K41))*(INDEX(Properties!A$1:CB$87,Formula!J41,46))</f>
        <v>0.99142857142857133</v>
      </c>
      <c r="EK41" s="66">
        <f>Formula!C41*(INDEX(Properties!A$1:CB$87,Formula!B41,46))+Formula!E41*(INDEX(Properties!A$1:CB$87,Formula!D41,46))+Formula!G41*(INDEX(Properties!A$1:CB$87,Formula!F41,46))+Formula!I41*(INDEX(Properties!A$1:CB$87,Formula!H41,46))+Formula!K41*(INDEX(Properties!A$1:CB$87,Formula!J41,46))</f>
        <v>6.9399999999999995</v>
      </c>
      <c r="EL41" s="66">
        <f>VARP(IF(INDEX(Properties!A$1:CB$87,Formula!B41,46)&lt;&gt;"",INDEX(Properties!A$1:CB$87,Formula!B41,46)),IF(INDEX(Properties!A$1:CB$87,Formula!D41,46)&lt;&gt;"",INDEX(Properties!A$1:CB$87,Formula!D41,46)),IF(INDEX(Properties!A$1:CB$87,Formula!F41,46)&lt;&gt;"",INDEX(Properties!A$1:CB$87,Formula!F41,46)),IF(INDEX(Properties!A$1:CB$87,Formula!H41,46)&lt;&gt;"",INDEX(Properties!A$1:CB$87,Formula!H41,46)),IF(INDEX(Properties!A$1:CB$87,Formula!J41,46)&lt;&gt;"",INDEX(Properties!A$1:CB$87,Formula!J41,46)))</f>
        <v>0.27173599999999998</v>
      </c>
      <c r="EM41" s="66">
        <f>MAX(INDEX(Properties!A$1:CB$87,Formula!B41,46),INDEX(Properties!A$1:CB$87,Formula!D41,46),INDEX(Properties!A$1:CB$87,Formula!F41,46),INDEX(Properties!A$1:CB$87,Formula!H41,46),INDEX(Properties!A$1:CB$87,Formula!J41,46))</f>
        <v>1.32</v>
      </c>
      <c r="EN41" s="66">
        <f>MIN(IF(INDEX(Properties!A$1:CB$87,Formula!B41,46)=0,10^6,INDEX(Properties!A$1:CB$87,Formula!B41,46)),IF(INDEX(Properties!A$1:CB$87,Formula!D41,46)=0,10^6,INDEX(Properties!A$1:CB$87,Formula!D41,46)),IF(INDEX(Properties!A$1:CB$87,Formula!F41,46)=0,10^6,INDEX(Properties!A$1:CB$87,Formula!F41,46)),IF(INDEX(Properties!A$1:CB$87,Formula!H41,46)=0,10^6,INDEX(Properties!A$1:CB$87,Formula!H41,46)),IF(INDEX(Properties!A$1:CB$87,Formula!J41,46)=0,10^6,INDEX(Properties!A$1:CB$87,Formula!J41,46)))</f>
        <v>0.25</v>
      </c>
      <c r="EO41" s="66">
        <f t="shared" si="23"/>
        <v>1.07</v>
      </c>
      <c r="EP41" s="81">
        <f>((Formula!C41)/(Formula!C41+Formula!E41+Formula!G41+Formula!I41+Formula!K41))*(INDEX(Properties!A$1:CB$87,Formula!B41,52))+((Formula!E41)/(Formula!C41+Formula!E41+Formula!G41+Formula!I41+Formula!K41))*(INDEX(Properties!A$1:CB$87,Formula!D41,52))+((Formula!G41)/(Formula!C41+Formula!E41+Formula!G41+Formula!I41+Formula!K41))*(INDEX(Properties!A$1:CB$87,Formula!F41,52))+((Formula!I41)/(Formula!C41+Formula!E41+Formula!G41+Formula!I41+Formula!K41))*(INDEX(Properties!A$1:CB$87,Formula!H41,52))+((Formula!K41)/(Formula!C41+Formula!E41+Formula!G41+Formula!I41+Formula!K41))*(INDEX(Properties!A$1:CB$87,Formula!J41,52))</f>
        <v>6.0102857142857147</v>
      </c>
      <c r="EQ41" s="81">
        <f>Formula!C41*(INDEX(Properties!A$1:CB$87,Formula!B41,52))+Formula!E41*(INDEX(Properties!A$1:CB$87,Formula!D41,52))+Formula!G41*(INDEX(Properties!A$1:CB$87,Formula!F41,52))+Formula!I41*(INDEX(Properties!A$1:CB$87,Formula!H41,52))+Formula!K41*(INDEX(Properties!A$1:CB$87,Formula!J41,52))</f>
        <v>42.072000000000003</v>
      </c>
      <c r="ER41" s="81">
        <f>VARP(IF(INDEX(Properties!A$1:CB$87,Formula!B41,52)&lt;&gt;"",INDEX(Properties!A$1:CB$87,Formula!B41,52)),IF(INDEX(Properties!A$1:CB$87,Formula!D41,52)&lt;&gt;"",INDEX(Properties!A$1:CB$87,Formula!D41,52)),IF(INDEX(Properties!A$1:CB$87,Formula!F41,52)&lt;&gt;"",INDEX(Properties!A$1:CB$87,Formula!F41,52)),IF(INDEX(Properties!A$1:CB$87,Formula!H41,52)&lt;&gt;"",INDEX(Properties!A$1:CB$87,Formula!H41,52)),IF(INDEX(Properties!A$1:CB$87,Formula!J41,52)&lt;&gt;"",INDEX(Properties!A$1:CB$87,Formula!J41,52)))</f>
        <v>105.03439984000001</v>
      </c>
      <c r="ES41" s="81">
        <f>MAX(INDEX(Properties!A$1:CB$87,Formula!B41,52),INDEX(Properties!A$1:CB$87,Formula!D41,52),INDEX(Properties!A$1:CB$87,Formula!F41,52),INDEX(Properties!A$1:CB$87,Formula!H41,52),INDEX(Properties!A$1:CB$87,Formula!J41,52))</f>
        <v>27.6</v>
      </c>
      <c r="ET41" s="81">
        <f>MIN(IF(INDEX(Properties!A$1:CB$87,Formula!B41,52)=0,10^6,INDEX(Properties!A$1:CB$87,Formula!B41,52)),IF(INDEX(Properties!A$1:CB$87,Formula!D41,52)=0,10^6,INDEX(Properties!A$1:CB$87,Formula!D41,52)),IF(INDEX(Properties!A$1:CB$87,Formula!F41,52)=0,10^6,INDEX(Properties!A$1:CB$87,Formula!F41,52)),IF(INDEX(Properties!A$1:CB$87,Formula!H41,52)=0,10^6,INDEX(Properties!A$1:CB$87,Formula!H41,52)),IF(INDEX(Properties!A$1:CB$87,Formula!J41,52)=0,10^6,INDEX(Properties!A$1:CB$87,Formula!J41,52)))</f>
        <v>0.79300000000000004</v>
      </c>
      <c r="EU41" s="81">
        <f t="shared" si="24"/>
        <v>26.807000000000002</v>
      </c>
      <c r="EV41" s="39">
        <f>((Formula!C41)/(Formula!C41+Formula!E41+Formula!G41+Formula!I41+Formula!K41))*(INDEX(Properties!A$1:CB$87,Formula!B41,53))+((Formula!E41)/(Formula!C41+Formula!E41+Formula!G41+Formula!I41+Formula!K41))*(INDEX(Properties!A$1:CB$87,Formula!D41,53))+((Formula!G41)/(Formula!C41+Formula!E41+Formula!G41+Formula!I41+Formula!K41))*(INDEX(Properties!A$1:CB$87,Formula!F41,53))+((Formula!I41)/(Formula!C41+Formula!E41+Formula!G41+Formula!I41+Formula!K41))*(INDEX(Properties!A$1:CB$87,Formula!H41,53))+((Formula!K41)/(Formula!C41+Formula!E41+Formula!G41+Formula!I41+Formula!K41))*(INDEX(Properties!A$1:CB$87,Formula!J41,53))</f>
        <v>649.49285714285702</v>
      </c>
      <c r="EW41" s="39">
        <f>Formula!C41*(INDEX(Properties!A$1:CB$87,Formula!B41,53))+Formula!E41*(INDEX(Properties!A$1:CB$87,Formula!D41,53))+Formula!G41*(INDEX(Properties!A$1:CB$87,Formula!F41,53))+Formula!I41*(INDEX(Properties!A$1:CB$87,Formula!H41,53))+Formula!K41*(INDEX(Properties!A$1:CB$87,Formula!J41,53))</f>
        <v>4546.4500000000007</v>
      </c>
      <c r="EX41" s="39">
        <f>VARP(IF(INDEX(Properties!A$1:CB$87,Formula!B41,53)&lt;&gt;"",INDEX(Properties!A$1:CB$87,Formula!B41,53)),IF(INDEX(Properties!A$1:CB$87,Formula!D41,53)&lt;&gt;"",INDEX(Properties!A$1:CB$87,Formula!D41,53)),IF(INDEX(Properties!A$1:CB$87,Formula!F41,53)&lt;&gt;"",INDEX(Properties!A$1:CB$87,Formula!F41,53)),IF(INDEX(Properties!A$1:CB$87,Formula!H41,53)&lt;&gt;"",INDEX(Properties!A$1:CB$87,Formula!H41,53)),IF(INDEX(Properties!A$1:CB$87,Formula!J41,53)&lt;&gt;"",INDEX(Properties!A$1:CB$87,Formula!J41,53)))</f>
        <v>730343.47239999997</v>
      </c>
      <c r="EY41" s="39">
        <f>MAX(INDEX(Properties!A$1:CB$87,Formula!B41,53),INDEX(Properties!A$1:CB$87,Formula!D41,53),INDEX(Properties!A$1:CB$87,Formula!F41,53),INDEX(Properties!A$1:CB$87,Formula!H41,53),INDEX(Properties!A$1:CB$87,Formula!J41,53))</f>
        <v>2352.15</v>
      </c>
      <c r="EZ41" s="39">
        <f>MIN(IF(INDEX(Properties!A$1:CB$87,Formula!B41,53)=0,10^6,INDEX(Properties!A$1:CB$87,Formula!B41,53)),IF(INDEX(Properties!A$1:CB$87,Formula!D41,53)=0,10^6,INDEX(Properties!A$1:CB$87,Formula!D41,53)),IF(INDEX(Properties!A$1:CB$87,Formula!F41,53)=0,10^6,INDEX(Properties!A$1:CB$87,Formula!F41,53)),IF(INDEX(Properties!A$1:CB$87,Formula!H41,53)=0,10^6,INDEX(Properties!A$1:CB$87,Formula!H41,53)),IF(INDEX(Properties!A$1:CB$87,Formula!J41,53)=0,10^6,INDEX(Properties!A$1:CB$87,Formula!J41,53)))</f>
        <v>54.749999999999972</v>
      </c>
      <c r="FA41" s="39">
        <f t="shared" si="25"/>
        <v>2297.4</v>
      </c>
      <c r="FB41" s="54">
        <f>((Formula!C41)/(Formula!C41+Formula!E41+Formula!G41+Formula!I41+Formula!K41))*(INDEX(Properties!A$1:CB$87,Formula!B41,54))+((Formula!E41)/(Formula!C41+Formula!E41+Formula!G41+Formula!I41+Formula!K41))*(INDEX(Properties!A$1:CB$87,Formula!D41,54))+((Formula!G41)/(Formula!C41+Formula!E41+Formula!G41+Formula!I41+Formula!K41))*(INDEX(Properties!A$1:CB$87,Formula!F41,54))+((Formula!I41)/(Formula!C41+Formula!E41+Formula!G41+Formula!I41+Formula!K41))*(INDEX(Properties!A$1:CB$87,Formula!H41,54))+((Formula!K41)/(Formula!C41+Formula!E41+Formula!G41+Formula!I41+Formula!K41))*(INDEX(Properties!A$1:CB$87,Formula!J41,54))</f>
        <v>1290.4142857142858</v>
      </c>
      <c r="FC41" s="54">
        <f>Formula!C41*(INDEX(Properties!A$1:CB$87,Formula!B41,54))+Formula!E41*(INDEX(Properties!A$1:CB$87,Formula!D41,54))+Formula!G41*(INDEX(Properties!A$1:CB$87,Formula!F41,54))+Formula!I41*(INDEX(Properties!A$1:CB$87,Formula!H41,54))+Formula!K41*(INDEX(Properties!A$1:CB$87,Formula!J41,54))</f>
        <v>9032.9</v>
      </c>
      <c r="FD41" s="54">
        <f>VARP(IF(INDEX(Properties!A$1:CB$87,Formula!B41,54)&lt;&gt;"",INDEX(Properties!A$1:CB$87,Formula!B41,54)),IF(INDEX(Properties!A$1:CB$87,Formula!D41,54)&lt;&gt;"",INDEX(Properties!A$1:CB$87,Formula!D41,54)),IF(INDEX(Properties!A$1:CB$87,Formula!F41,54)&lt;&gt;"",INDEX(Properties!A$1:CB$87,Formula!F41,54)),IF(INDEX(Properties!A$1:CB$87,Formula!H41,54)&lt;&gt;"",INDEX(Properties!A$1:CB$87,Formula!H41,54)),IF(INDEX(Properties!A$1:CB$87,Formula!J41,54)&lt;&gt;"",INDEX(Properties!A$1:CB$87,Formula!J41,54)))</f>
        <v>2636442.8334000022</v>
      </c>
      <c r="FE41" s="54">
        <f>MAX(INDEX(Properties!A$1:CB$87,Formula!B41,54),INDEX(Properties!A$1:CB$87,Formula!D41,54),INDEX(Properties!A$1:CB$87,Formula!F41,54),INDEX(Properties!A$1:CB$87,Formula!H41,54),INDEX(Properties!A$1:CB$87,Formula!J41,54))</f>
        <v>4275</v>
      </c>
      <c r="FF41" s="54">
        <f>MIN(IF(INDEX(Properties!A$1:CB$87,Formula!B41,54)=0,10^6,INDEX(Properties!A$1:CB$87,Formula!B41,54)),IF(INDEX(Properties!A$1:CB$87,Formula!D41,54)=0,10^6,INDEX(Properties!A$1:CB$87,Formula!D41,54)),IF(INDEX(Properties!A$1:CB$87,Formula!F41,54)=0,10^6,INDEX(Properties!A$1:CB$87,Formula!F41,54)),IF(INDEX(Properties!A$1:CB$87,Formula!H41,54)=0,10^6,INDEX(Properties!A$1:CB$87,Formula!H41,54)),IF(INDEX(Properties!A$1:CB$87,Formula!J41,54)=0,10^6,INDEX(Properties!A$1:CB$87,Formula!J41,54)))</f>
        <v>90.149999999999977</v>
      </c>
      <c r="FG41" s="54">
        <f t="shared" si="26"/>
        <v>4184.8500000000004</v>
      </c>
      <c r="FH41" s="69">
        <f>((Formula!C41)/(Formula!C41+Formula!E41+Formula!G41+Formula!I41+Formula!K41))*(INDEX(Properties!A$1:CB$87,Formula!B41,55))+((Formula!E41)/(Formula!C41+Formula!E41+Formula!G41+Formula!I41+Formula!K41))*(INDEX(Properties!A$1:CB$87,Formula!D41,55))+((Formula!G41)/(Formula!C41+Formula!E41+Formula!G41+Formula!I41+Formula!K41))*(INDEX(Properties!A$1:CB$87,Formula!F41,55))+((Formula!I41)/(Formula!C41+Formula!E41+Formula!G41+Formula!I41+Formula!K41))*(INDEX(Properties!A$1:CB$87,Formula!H41,55))+((Formula!K41)/(Formula!C41+Formula!E41+Formula!G41+Formula!I41+Formula!K41))*(INDEX(Properties!A$1:CB$87,Formula!J41,55))</f>
        <v>1.0965314285714285</v>
      </c>
      <c r="FI41" s="69">
        <f>Formula!C41*(INDEX(Properties!A$1:CB$87,Formula!B41,55))+Formula!E41*(INDEX(Properties!A$1:CB$87,Formula!D41,54))+Formula!G41*(INDEX(Properties!A$1:CB$87,Formula!F41,55))+Formula!I41*(INDEX(Properties!A$1:CB$87,Formula!H41,55))+Formula!K41*(INDEX(Properties!A$1:CB$87,Formula!J41,55))</f>
        <v>2745.1257200000005</v>
      </c>
      <c r="FJ41" s="69">
        <f>VARP(IF(INDEX(Properties!A$1:CB$87,Formula!B41,55)&lt;&gt;"",INDEX(Properties!A$1:CB$87,Formula!B41,55)),IF(INDEX(Properties!A$1:CB$87,Formula!D41,55)&lt;&gt;"",INDEX(Properties!A$1:CB$87,Formula!D41,55)),IF(INDEX(Properties!A$1:CB$87,Formula!F41,55)&lt;&gt;"",INDEX(Properties!A$1:CB$87,Formula!F41,55)),IF(INDEX(Properties!A$1:CB$87,Formula!H41,55)&lt;&gt;"",INDEX(Properties!A$1:CB$87,Formula!H41,55)),IF(INDEX(Properties!A$1:CB$87,Formula!J41,55)&lt;&gt;"",INDEX(Properties!A$1:CB$87,Formula!J41,55)))</f>
        <v>1.5824668791840006</v>
      </c>
      <c r="FK41" s="69">
        <f>MAX(INDEX(Properties!A$1:CB$87,Formula!B41,55),INDEX(Properties!A$1:CB$87,Formula!D41,55),INDEX(Properties!A$1:CB$87,Formula!F41,55),INDEX(Properties!A$1:CB$87,Formula!H41,55),INDEX(Properties!A$1:CB$87,Formula!J41,55))</f>
        <v>2.7</v>
      </c>
      <c r="FL41" s="69">
        <f>MIN(IF(INDEX(Properties!A$1:CB$87,Formula!B41,55)=0,10^6,INDEX(Properties!A$1:CB$87,Formula!B41,55)),IF(INDEX(Properties!A$1:CB$87,Formula!D41,55)=0,10^6,INDEX(Properties!A$1:CB$87,Formula!D41,55)),IF(INDEX(Properties!A$1:CB$87,Formula!F41,55)=0,10^6,INDEX(Properties!A$1:CB$87,Formula!F41,55)),IF(INDEX(Properties!A$1:CB$87,Formula!H41,55)=0,10^6,INDEX(Properties!A$1:CB$87,Formula!H41,55)),IF(INDEX(Properties!A$1:CB$87,Formula!J41,55)=0,10^6,INDEX(Properties!A$1:CB$87,Formula!J41,55)))</f>
        <v>1.4300000000000001E-3</v>
      </c>
      <c r="FM41" s="69">
        <f t="shared" si="27"/>
        <v>2.6985700000000001</v>
      </c>
      <c r="FN41" s="42">
        <f>((Formula!C41)/(Formula!C41+Formula!E41+Formula!G41+Formula!I41+Formula!K41))*(INDEX(Properties!A$1:CB$87,Formula!B41,56))+((Formula!E41)/(Formula!C41+Formula!E41+Formula!G41+Formula!I41+Formula!K41))*(INDEX(Properties!A$1:CB$87,Formula!D41,56))+((Formula!G41)/(Formula!C41+Formula!E41+Formula!G41+Formula!I41+Formula!K41))*(INDEX(Properties!A$1:CB$87,Formula!F41,56))+((Formula!I41)/(Formula!C41+Formula!E41+Formula!G41+Formula!I41+Formula!K41))*(INDEX(Properties!A$1:CB$87,Formula!H41,56))+((Formula!K41)/(Formula!C41+Formula!E41+Formula!G41+Formula!I41+Formula!K41))*(INDEX(Properties!A$1:CB$87,Formula!J41,56))</f>
        <v>0.84285714285714275</v>
      </c>
      <c r="FO41" s="42">
        <f>Formula!C41*(INDEX(Properties!A$1:CB$87,Formula!B41,56))+Formula!E41*(INDEX(Properties!A$1:CB$87,Formula!D41,56))+Formula!G41*(INDEX(Properties!A$1:CB$87,Formula!F41,56))+Formula!I41*(INDEX(Properties!A$1:CB$87,Formula!H41,56))+Formula!K41*(INDEX(Properties!A$1:CB$87,Formula!J41,56))</f>
        <v>5.9</v>
      </c>
      <c r="FP41" s="42">
        <f>VARP(IF(INDEX(Properties!A$1:CB$87,Formula!B41,56)&lt;&gt;"",INDEX(Properties!A$1:CB$87,Formula!B41,56)),IF(INDEX(Properties!A$1:CB$87,Formula!D41,56)&lt;&gt;"",INDEX(Properties!A$1:CB$87,Formula!D41,56)),IF(INDEX(Properties!A$1:CB$87,Formula!F41,56)&lt;&gt;"",INDEX(Properties!A$1:CB$87,Formula!F41,56)),IF(INDEX(Properties!A$1:CB$87,Formula!H41,56)&lt;&gt;"",INDEX(Properties!A$1:CB$87,Formula!H41,56)),IF(INDEX(Properties!A$1:CB$87,Formula!J41,56)&lt;&gt;"",INDEX(Properties!A$1:CB$87,Formula!J41,56)))</f>
        <v>0.16297600000000004</v>
      </c>
      <c r="FQ41" s="42">
        <f>MAX(INDEX(Properties!A$1:CB$87,Formula!B41,56),INDEX(Properties!A$1:CB$87,Formula!D41,56),INDEX(Properties!A$1:CB$87,Formula!F41,56),INDEX(Properties!A$1:CB$87,Formula!H41,56),INDEX(Properties!A$1:CB$87,Formula!J41,56))</f>
        <v>1.02</v>
      </c>
      <c r="FR41" s="42">
        <f>MIN(IF(INDEX(Properties!A$1:CB$87,Formula!B41,56)=0,10^6,INDEX(Properties!A$1:CB$87,Formula!B41,56)),IF(INDEX(Properties!A$1:CB$87,Formula!D41,56)=0,10^6,INDEX(Properties!A$1:CB$87,Formula!D41,56)),IF(INDEX(Properties!A$1:CB$87,Formula!F41,56)=0,10^6,INDEX(Properties!A$1:CB$87,Formula!F41,56)),IF(INDEX(Properties!A$1:CB$87,Formula!H41,56)=0,10^6,INDEX(Properties!A$1:CB$87,Formula!H41,56)),IF(INDEX(Properties!A$1:CB$87,Formula!J41,56)=0,10^6,INDEX(Properties!A$1:CB$87,Formula!J41,56)))</f>
        <v>0.3</v>
      </c>
      <c r="FS41" s="42">
        <f t="shared" si="28"/>
        <v>0.72</v>
      </c>
      <c r="FT41" s="60">
        <f>((Formula!C41)/(Formula!C41+Formula!E41+Formula!G41+Formula!I41+Formula!K41))*(INDEX(Properties!A$1:CB$87,Formula!B41,57))+((Formula!E41)/(Formula!C41+Formula!E41+Formula!G41+Formula!I41+Formula!K41))*(INDEX(Properties!A$1:CB$87,Formula!D41,57))+((Formula!G41)/(Formula!C41+Formula!E41+Formula!G41+Formula!I41+Formula!K41))*(INDEX(Properties!A$1:CB$87,Formula!F41,57))+((Formula!I41)/(Formula!C41+Formula!E41+Formula!G41+Formula!I41+Formula!K41))*(INDEX(Properties!A$1:CB$87,Formula!H41,57))+((Formula!K41)/(Formula!C41+Formula!E41+Formula!G41+Formula!I41+Formula!K41))*(INDEX(Properties!A$1:CB$87,Formula!J41,57))</f>
        <v>10.025765714285715</v>
      </c>
      <c r="FU41" s="60">
        <f>Formula!C41*(INDEX(Properties!A$1:CB$87,Formula!B41,57))+Formula!E41*(INDEX(Properties!A$1:CB$87,Formula!D41,57))+Formula!G41*(INDEX(Properties!A$1:CB$87,Formula!F41,57))+Formula!I41*(INDEX(Properties!A$1:CB$87,Formula!H41,57))+Formula!K41*(INDEX(Properties!A$1:CB$87,Formula!J41,57))</f>
        <v>70.180360000000007</v>
      </c>
      <c r="FV41" s="60">
        <f>VARP(IF(INDEX(Properties!A$1:CB$87,Formula!B41,57)&lt;&gt;"",INDEX(Properties!A$1:CB$87,Formula!B41,57)),IF(INDEX(Properties!A$1:CB$87,Formula!D41,57)&lt;&gt;"",INDEX(Properties!A$1:CB$87,Formula!D41,57)),IF(INDEX(Properties!A$1:CB$87,Formula!F41,57)&lt;&gt;"",INDEX(Properties!A$1:CB$87,Formula!F41,57)),IF(INDEX(Properties!A$1:CB$87,Formula!H41,57)&lt;&gt;"",INDEX(Properties!A$1:CB$87,Formula!H41,57)),IF(INDEX(Properties!A$1:CB$87,Formula!J41,57)&lt;&gt;"",INDEX(Properties!A$1:CB$87,Formula!J41,57)))</f>
        <v>347.80072252129611</v>
      </c>
      <c r="FW41" s="60">
        <f>MAX(INDEX(Properties!A$1:CB$87,Formula!B41,57),INDEX(Properties!A$1:CB$87,Formula!D41,57),INDEX(Properties!A$1:CB$87,Formula!F41,57),INDEX(Properties!A$1:CB$87,Formula!H41,57),INDEX(Properties!A$1:CB$87,Formula!J41,57))</f>
        <v>50.2</v>
      </c>
      <c r="FX41" s="60">
        <f>MIN(IF(INDEX(Properties!A$1:CB$87,Formula!B41,57)=0,10^6,INDEX(Properties!A$1:CB$87,Formula!B41,57)),IF(INDEX(Properties!A$1:CB$87,Formula!D41,57)=0,10^6,INDEX(Properties!A$1:CB$87,Formula!D41,57)),IF(INDEX(Properties!A$1:CB$87,Formula!F41,57)=0,10^6,INDEX(Properties!A$1:CB$87,Formula!F41,57)),IF(INDEX(Properties!A$1:CB$87,Formula!H41,57)=0,10^6,INDEX(Properties!A$1:CB$87,Formula!H41,57)),IF(INDEX(Properties!A$1:CB$87,Formula!J41,57)=0,10^6,INDEX(Properties!A$1:CB$87,Formula!J41,57)))</f>
        <v>0.22259000000000001</v>
      </c>
      <c r="FY41" s="60">
        <f t="shared" si="29"/>
        <v>49.977410000000006</v>
      </c>
      <c r="FZ41" s="72">
        <f>((Formula!C41)/(Formula!C41+Formula!E41+Formula!G41+Formula!I41+Formula!K41))*(INDEX(Properties!A$1:CB$87,Formula!B41,60))+((Formula!E41)/(Formula!C41+Formula!E41+Formula!G41+Formula!I41+Formula!K41))*(INDEX(Properties!A$1:CB$87,Formula!D41,60))+((Formula!G41)/(Formula!C41+Formula!E41+Formula!G41+Formula!I41+Formula!K41))*(INDEX(Properties!A$1:CB$87,Formula!F41,60))+((Formula!I41)/(Formula!C41+Formula!E41+Formula!G41+Formula!I41+Formula!K41))*(INDEX(Properties!A$1:CB$87,Formula!H41,60))+((Formula!K41)/(Formula!C41+Formula!E41+Formula!G41+Formula!I41+Formula!K41))*(INDEX(Properties!A$1:CB$87,Formula!J41,60))</f>
        <v>42.77242285714285</v>
      </c>
      <c r="GA41" s="72">
        <f>Formula!C41*(INDEX(Properties!A$1:CB$87,Formula!B41,60))+Formula!E41*(INDEX(Properties!A$1:CB$87,Formula!D41,60))+Formula!G41*(INDEX(Properties!A$1:CB$87,Formula!F41,60))+Formula!I41*(INDEX(Properties!A$1:CB$87,Formula!H41,60))+Formula!K41*(INDEX(Properties!A$1:CB$87,Formula!J41,60))</f>
        <v>299.40696000000003</v>
      </c>
      <c r="GB41" s="72">
        <f>VARP(IF(INDEX(Properties!A$1:CB$87,Formula!B41,60)&lt;&gt;"",INDEX(Properties!A$1:CB$87,Formula!B41,60)),IF(INDEX(Properties!A$1:CB$87,Formula!D41,60)&lt;&gt;"",INDEX(Properties!A$1:CB$87,Formula!D41,60)),IF(INDEX(Properties!A$1:CB$87,Formula!F41,60)&lt;&gt;"",INDEX(Properties!A$1:CB$87,Formula!F41,60)),IF(INDEX(Properties!A$1:CB$87,Formula!H41,60)&lt;&gt;"",INDEX(Properties!A$1:CB$87,Formula!H41,60)),IF(INDEX(Properties!A$1:CB$87,Formula!J41,60)&lt;&gt;"",INDEX(Properties!A$1:CB$87,Formula!J41,60)))</f>
        <v>8044.9582518444149</v>
      </c>
      <c r="GC41" s="72">
        <f>MAX(INDEX(Properties!A$1:CB$87,Formula!B41,60),INDEX(Properties!A$1:CB$87,Formula!D41,60),INDEX(Properties!A$1:CB$87,Formula!F41,60),INDEX(Properties!A$1:CB$87,Formula!H41,60),INDEX(Properties!A$1:CB$87,Formula!J41,60))</f>
        <v>237</v>
      </c>
      <c r="GD41" s="72">
        <f>MIN(IF(INDEX(Properties!A$1:CB$87,Formula!B41,60)=0,10^6,INDEX(Properties!A$1:CB$87,Formula!B41,60)),IF(INDEX(Properties!A$1:CB$87,Formula!D41,60)=0,10^6,INDEX(Properties!A$1:CB$87,Formula!D41,60)),IF(INDEX(Properties!A$1:CB$87,Formula!F41,60)=0,10^6,INDEX(Properties!A$1:CB$87,Formula!F41,60)),IF(INDEX(Properties!A$1:CB$87,Formula!H41,60)=0,10^6,INDEX(Properties!A$1:CB$87,Formula!H41,60)),IF(INDEX(Properties!A$1:CB$87,Formula!J41,60)=0,10^6,INDEX(Properties!A$1:CB$87,Formula!J41,60)))</f>
        <v>2.674E-2</v>
      </c>
      <c r="GE41" s="72">
        <f t="shared" si="30"/>
        <v>236.97326000000001</v>
      </c>
      <c r="GF41" s="51">
        <f>((Formula!C41)/(Formula!C41+Formula!E41+Formula!G41+Formula!I41+Formula!K41))*(INDEX(Properties!A$1:CB$87,Formula!B41,62))+((Formula!E41)/(Formula!C41+Formula!E41+Formula!G41+Formula!I41+Formula!K41))*(INDEX(Properties!A$1:CB$87,Formula!D41,62))+((Formula!G41)/(Formula!C41+Formula!E41+Formula!G41+Formula!I41+Formula!K41))*(INDEX(Properties!A$1:CB$87,Formula!F41,62))+((Formula!I41)/(Formula!C41+Formula!E41+Formula!G41+Formula!I41+Formula!K41))*(INDEX(Properties!A$1:CB$87,Formula!H41,62))+((Formula!K41)/(Formula!C41+Formula!E41+Formula!G41+Formula!I41+Formula!K41))*(INDEX(Properties!A$1:CB$87,Formula!J41,62))</f>
        <v>3.0571428571428569</v>
      </c>
      <c r="GG41" s="51">
        <f>Formula!C41*(INDEX(Properties!A$1:CB$87,Formula!B41,62))+Formula!E41*(INDEX(Properties!A$1:CB$87,Formula!D41,62))+Formula!G41*(INDEX(Properties!A$1:CB$87,Formula!F41,62))+Formula!I41*(INDEX(Properties!A$1:CB$87,Formula!H41,62))+Formula!K41*(INDEX(Properties!A$1:CB$87,Formula!J41,62))</f>
        <v>21.4</v>
      </c>
      <c r="GH41" s="51">
        <f>VARP(IF(INDEX(Properties!A$1:CB$87,Formula!B41,62)&lt;&gt;"",INDEX(Properties!A$1:CB$87,Formula!B41,62)),IF(INDEX(Properties!A$1:CB$87,Formula!D41,62)&lt;&gt;"",INDEX(Properties!A$1:CB$87,Formula!D41,62)),IF(INDEX(Properties!A$1:CB$87,Formula!F41,62)&lt;&gt;"",INDEX(Properties!A$1:CB$87,Formula!F41,62)),IF(INDEX(Properties!A$1:CB$87,Formula!H41,62)&lt;&gt;"",INDEX(Properties!A$1:CB$87,Formula!H41,62)),IF(INDEX(Properties!A$1:CB$87,Formula!J41,62)&lt;&gt;"",INDEX(Properties!A$1:CB$87,Formula!J41,62)))</f>
        <v>3.6809360000000013</v>
      </c>
      <c r="GI41" s="51">
        <f>MAX(INDEX(Properties!A$1:CB$87,Formula!B41,62),INDEX(Properties!A$1:CB$87,Formula!D41,62),INDEX(Properties!A$1:CB$87,Formula!F41,62),INDEX(Properties!A$1:CB$87,Formula!H41,62),INDEX(Properties!A$1:CB$87,Formula!J41,62))</f>
        <v>5.81</v>
      </c>
      <c r="GJ41" s="51">
        <f>MIN(IF(INDEX(Properties!A$1:CB$87,Formula!B41,62)=0,10^6,INDEX(Properties!A$1:CB$87,Formula!B41,62)),IF(INDEX(Properties!A$1:CB$87,Formula!D41,62)=0,10^6,INDEX(Properties!A$1:CB$87,Formula!D41,62)),IF(INDEX(Properties!A$1:CB$87,Formula!F41,62)=0,10^6,INDEX(Properties!A$1:CB$87,Formula!F41,62)),IF(INDEX(Properties!A$1:CB$87,Formula!H41,62)=0,10^6,INDEX(Properties!A$1:CB$87,Formula!H41,62)),IF(INDEX(Properties!A$1:CB$87,Formula!J41,62)=0,10^6,INDEX(Properties!A$1:CB$87,Formula!J41,62)))</f>
        <v>1.72</v>
      </c>
      <c r="GK41" s="51">
        <f t="shared" si="31"/>
        <v>4.09</v>
      </c>
      <c r="GL41" s="51">
        <f>Formula!P41</f>
        <v>56</v>
      </c>
      <c r="GM41" s="57">
        <f>Formula!O41</f>
        <v>3</v>
      </c>
      <c r="GN41" s="51">
        <f>Formula!N41</f>
        <v>5.0000000000000001E-3</v>
      </c>
    </row>
    <row r="42" spans="1:196" x14ac:dyDescent="0.3">
      <c r="A42" s="84" t="str">
        <f>Formula!A42</f>
        <v>NaGdMgWO6</v>
      </c>
      <c r="B42" s="89">
        <f>((Formula!C42)/(Formula!C42+Formula!E42+Formula!G42+Formula!I42+Formula!K42))*(INDEX(Properties!A$1:CB$87,Formula!B42,3))+((Formula!E42)/(Formula!C42+Formula!E42+Formula!G42+Formula!I42+Formula!K42))*(INDEX(Properties!A$1:CB$87,Formula!D42,3))+((Formula!G42)/(Formula!C42+Formula!E42+Formula!G42+Formula!I42+Formula!K42))*(INDEX(Properties!A$1:CB$87,Formula!F42,3))+((Formula!I42)/(Formula!C42+Formula!E42+Formula!G42+Formula!I42+Formula!K42))*(INDEX(Properties!A$1:CB$87,Formula!H42,3))+((Formula!K42)/(Formula!C42+Formula!E42+Formula!G42+Formula!I42+Formula!K42))*(INDEX(Properties!A$1:CB$87,Formula!J42,3))</f>
        <v>48.438116800000003</v>
      </c>
      <c r="C42" s="85">
        <f>Formula!C42*(INDEX(Properties!A$1:CB$87,Formula!B42,3))+Formula!E42*(INDEX(Properties!A$1:CB$87,Formula!D42,3))+Formula!G42*(INDEX(Properties!A$1:CB$87,Formula!F42,3))+Formula!I42*(INDEX(Properties!A$1:CB$87,Formula!H42,3))+Formula!K42*(INDEX(Properties!A$1:CB$87,Formula!J42,3))</f>
        <v>484.381168</v>
      </c>
      <c r="D42" s="85">
        <f>VARP(IF(INDEX(Properties!A$1:CB$87,Formula!B42,3)&lt;&gt;"",INDEX(Properties!A$1:CB$87,Formula!B42,3)),IF(INDEX(Properties!A$1:CB$87,Formula!D42,3)&lt;&gt;"",INDEX(Properties!A$1:CB$87,Formula!D42,3)),IF(INDEX(Properties!A$1:CB$87,Formula!F42,3)&lt;&gt;"",INDEX(Properties!A$1:CB$87,Formula!F42,3)),IF(INDEX(Properties!A$1:CB$87,Formula!H42,3)&lt;&gt;"",INDEX(Properties!A$1:CB$87,Formula!H42,3)),IF(INDEX(Properties!A$1:CB$87,Formula!J42,3)&lt;&gt;"",INDEX(Properties!A$1:CB$87,Formula!J42,3)))</f>
        <v>5438.928058448676</v>
      </c>
      <c r="E42" s="85">
        <f>MAX(INDEX(Properties!A$1:CB$87,Formula!B42,3),INDEX(Properties!A$1:CB$87,Formula!D42,3),INDEX(Properties!A$1:CB$87,Formula!F42,3),INDEX(Properties!A$1:CB$87,Formula!H42,3),INDEX(Properties!A$1:CB$87,Formula!J42,3))</f>
        <v>183.84</v>
      </c>
      <c r="F42" s="85">
        <f>MIN(IF(INDEX(Properties!A$1:CB$87,Formula!B42,3)=0,10^6,INDEX(Properties!A$1:CB$87,Formula!B42,3)),IF(INDEX(Properties!A$1:CB$87,Formula!D42,3)=0,10^6,INDEX(Properties!A$1:CB$87,Formula!D42,3)),IF(INDEX(Properties!A$1:CB$87,Formula!F42,3)=0,10^6,INDEX(Properties!A$1:CB$87,Formula!F42,3)),IF(INDEX(Properties!A$1:CB$87,Formula!H42,3)=0,10^6,INDEX(Properties!A$1:CB$87,Formula!H42,3)),IF(INDEX(Properties!A$1:CB$87,Formula!J42,3)=0,10^6,INDEX(Properties!A$1:CB$87,Formula!J42,3)))</f>
        <v>15.9994</v>
      </c>
      <c r="G42" s="85">
        <f t="shared" si="0"/>
        <v>167.84059999999999</v>
      </c>
      <c r="H42" s="87">
        <f>((Formula!C42)/(Formula!C42+Formula!E42+Formula!G42+Formula!I42+Formula!K42))*(INDEX(Properties!A$1:CB$87,Formula!B42,4))+((Formula!E42)/(Formula!C42+Formula!E42+Formula!G42+Formula!I42+Formula!K42))*(INDEX(Properties!A$1:CB$87,Formula!D42,4))+((Formula!G42)/(Formula!C42+Formula!E42+Formula!G42+Formula!I42+Formula!K42))*(INDEX(Properties!A$1:CB$87,Formula!F42,4))+((Formula!I42)/(Formula!C42+Formula!E42+Formula!G42+Formula!I42+Formula!K42))*(INDEX(Properties!A$1:CB$87,Formula!H42,4))+((Formula!K42)/(Formula!C42+Formula!E42+Formula!G42+Formula!I42+Formula!K42))*(INDEX(Properties!A$1:CB$87,Formula!J42,4))</f>
        <v>20.900000000000002</v>
      </c>
      <c r="I42" s="87">
        <f>Formula!C42*(INDEX(Properties!A$1:CB$87,Formula!B42,4))+Formula!E42*(INDEX(Properties!A$1:CB$87,Formula!D42,4))+Formula!G42*(INDEX(Properties!A$1:CB$87,Formula!F42,4))+Formula!I42*(INDEX(Properties!A$1:CB$87,Formula!H42,4))+Formula!K42*(INDEX(Properties!A$1:CB$87,Formula!J42,4))</f>
        <v>209</v>
      </c>
      <c r="J42" s="87">
        <f>VARP(IF(INDEX(Properties!A$1:CB$87,Formula!B42,4)&lt;&gt;"",INDEX(Properties!A$1:CB$87,Formula!B42,4)),IF(INDEX(Properties!A$1:CB$87,Formula!D42,4)&lt;&gt;"",INDEX(Properties!A$1:CB$87,Formula!D42,4)),IF(INDEX(Properties!A$1:CB$87,Formula!F42,4)&lt;&gt;"",INDEX(Properties!A$1:CB$87,Formula!F42,4)),IF(INDEX(Properties!A$1:CB$87,Formula!H42,4)&lt;&gt;"",INDEX(Properties!A$1:CB$87,Formula!H42,4)),IF(INDEX(Properties!A$1:CB$87,Formula!J42,4)&lt;&gt;"",INDEX(Properties!A$1:CB$87,Formula!J42,4)))</f>
        <v>837.76</v>
      </c>
      <c r="K42" s="87">
        <f>MAX(INDEX(Properties!A$1:CB$87,Formula!B42,4),INDEX(Properties!A$1:CB$87,Formula!D42,4),INDEX(Properties!A$1:CB$87,Formula!F42,4),INDEX(Properties!A$1:CB$87,Formula!H42,4),INDEX(Properties!A$1:CB$87,Formula!J42,4))</f>
        <v>74</v>
      </c>
      <c r="L42" s="87">
        <f>MIN(IF(INDEX(Properties!A$1:CB$87,Formula!B42,4)=0,10^6,INDEX(Properties!A$1:CB$87,Formula!B42,4)),IF(INDEX(Properties!A$1:CB$87,Formula!D42,4)=0,10^6,INDEX(Properties!A$1:CB$87,Formula!D42,4)),IF(INDEX(Properties!A$1:CB$87,Formula!F42,4)=0,10^6,INDEX(Properties!A$1:CB$87,Formula!F42,4)),IF(INDEX(Properties!A$1:CB$87,Formula!H42,4)=0,10^6,INDEX(Properties!A$1:CB$87,Formula!H42,4)),IF(INDEX(Properties!A$1:CB$87,Formula!J42,4)=0,10^6,INDEX(Properties!A$1:CB$87,Formula!J42,4)))</f>
        <v>8</v>
      </c>
      <c r="M42" s="87">
        <f t="shared" si="1"/>
        <v>66</v>
      </c>
      <c r="N42" s="89">
        <f>((Formula!C42)/(Formula!C42+Formula!E42+Formula!G42+Formula!I42+Formula!K42))*(INDEX(Properties!A$1:CB$87,Formula!B42,5))+((Formula!E42)/(Formula!C42+Formula!E42+Formula!G42+Formula!I42+Formula!K42))*(INDEX(Properties!A$1:CB$87,Formula!D42,5))+((Formula!G42)/(Formula!C42+Formula!E42+Formula!G42+Formula!I42+Formula!K42))*(INDEX(Properties!A$1:CB$87,Formula!F42,5))+((Formula!I42)/(Formula!C42+Formula!E42+Formula!G42+Formula!I42+Formula!K42))*(INDEX(Properties!A$1:CB$87,Formula!H42,5))+((Formula!K42)/(Formula!C42+Formula!E42+Formula!G42+Formula!I42+Formula!K42))*(INDEX(Properties!A$1:CB$87,Formula!J42,5))</f>
        <v>3</v>
      </c>
      <c r="O42" s="89">
        <f>Formula!C42*(INDEX(Properties!A$1:CB$87,Formula!B42,5))+Formula!E42*(INDEX(Properties!A$1:CB$87,Formula!D42,5))+Formula!G42*(INDEX(Properties!A$1:CB$87,Formula!F42,5))+Formula!I42*(INDEX(Properties!A$1:CB$87,Formula!H42,5))+Formula!K42*(INDEX(Properties!A$1:CB$87,Formula!J42,5))</f>
        <v>30</v>
      </c>
      <c r="P42" s="89">
        <f>VARP(IF(INDEX(Properties!A$1:CB$87,Formula!B42,5)&lt;&gt;"",INDEX(Properties!A$1:CB$87,Formula!B42,5)),IF(INDEX(Properties!A$1:CB$87,Formula!D42,5)&lt;&gt;"",INDEX(Properties!A$1:CB$87,Formula!D42,5)),IF(INDEX(Properties!A$1:CB$87,Formula!F42,5)&lt;&gt;"",INDEX(Properties!A$1:CB$87,Formula!F42,5)),IF(INDEX(Properties!A$1:CB$87,Formula!H42,5)&lt;&gt;"",INDEX(Properties!A$1:CB$87,Formula!H42,5)),IF(INDEX(Properties!A$1:CB$87,Formula!J42,5)&lt;&gt;"",INDEX(Properties!A$1:CB$87,Formula!J42,5)))</f>
        <v>2.8</v>
      </c>
      <c r="Q42" s="89">
        <f>MAX(INDEX(Properties!A$1:CB$87,Formula!B42,5),INDEX(Properties!A$1:CB$87,Formula!D42,5),INDEX(Properties!A$1:CB$87,Formula!F42,5),INDEX(Properties!A$1:CB$87,Formula!H42,5),INDEX(Properties!A$1:CB$87,Formula!J42,5))</f>
        <v>6</v>
      </c>
      <c r="R42" s="89">
        <f>MIN(IF(INDEX(Properties!A$1:CB$87,Formula!B42,5)=0,10^6,INDEX(Properties!A$1:CB$87,Formula!B42,5)),IF(INDEX(Properties!A$1:CB$87,Formula!D42,5)=0,10^6,INDEX(Properties!A$1:CB$87,Formula!D42,5)),IF(INDEX(Properties!A$1:CB$87,Formula!F42,5)=0,10^6,INDEX(Properties!A$1:CB$87,Formula!F42,5)),IF(INDEX(Properties!A$1:CB$87,Formula!H42,5)=0,10^6,INDEX(Properties!A$1:CB$87,Formula!H42,5)),IF(INDEX(Properties!A$1:CB$87,Formula!J42,5)=0,10^6,INDEX(Properties!A$1:CB$87,Formula!J42,5)))</f>
        <v>2</v>
      </c>
      <c r="S42" s="89">
        <f t="shared" si="2"/>
        <v>4</v>
      </c>
      <c r="T42" s="60">
        <f>((Formula!C42)/(Formula!C42+Formula!E42+Formula!G42+Formula!I42+Formula!K42))*(INDEX(Properties!A$1:CB$87,Formula!B42,6))+((Formula!E42)/(Formula!C42+Formula!E42+Formula!G42+Formula!I42+Formula!K42))*(INDEX(Properties!A$1:CB$87,Formula!D42,6))+((Formula!G42)/(Formula!C42+Formula!E42+Formula!G42+Formula!I42+Formula!K42))*(INDEX(Properties!A$1:CB$87,Formula!F42,6))+((Formula!I42)/(Formula!C42+Formula!E42+Formula!G42+Formula!I42+Formula!K42))*(INDEX(Properties!A$1:CB$87,Formula!H42,6))+((Formula!K42)/(Formula!C42+Formula!E42+Formula!G42+Formula!I42+Formula!K42))*(INDEX(Properties!A$1:CB$87,Formula!J42,6))</f>
        <v>10.8</v>
      </c>
      <c r="U42" s="60">
        <f>Formula!C42*(INDEX(Properties!A$1:CB$87,Formula!B42,6))+Formula!E42*(INDEX(Properties!A$1:CB$87,Formula!D42,6))+Formula!G42*(INDEX(Properties!A$1:CB$87,Formula!F42,6))+Formula!I42*(INDEX(Properties!A$1:CB$87,Formula!H42,6))+Formula!K42*(INDEX(Properties!A$1:CB$87,Formula!J42,6))</f>
        <v>108</v>
      </c>
      <c r="V42" s="89">
        <f>VARP(IF(INDEX(Properties!A$1:CB$87,Formula!B42,6)&lt;&gt;"",INDEX(Properties!A$1:CB$87,Formula!B42,6)),IF(INDEX(Properties!A$1:CB$87,Formula!D42,6)&lt;&gt;"",INDEX(Properties!A$1:CB$87,Formula!D42,6)),IF(INDEX(Properties!A$1:CB$87,Formula!F42,6)&lt;&gt;"",INDEX(Properties!A$1:CB$87,Formula!F42,6)),IF(INDEX(Properties!A$1:CB$87,Formula!H42,6)&lt;&gt;"",INDEX(Properties!A$1:CB$87,Formula!H42,6)),IF(INDEX(Properties!A$1:CB$87,Formula!J42,6)&lt;&gt;"",INDEX(Properties!A$1:CB$87,Formula!J42,6)))</f>
        <v>29.84</v>
      </c>
      <c r="W42" s="60">
        <f>MAX(INDEX(Properties!A$1:CB$87,Formula!B42,6),INDEX(Properties!A$1:CB$87,Formula!D42,6),INDEX(Properties!A$1:CB$87,Formula!F42,6),INDEX(Properties!A$1:CB$87,Formula!H42,4),INDEX(Properties!A$1:CB$87,Formula!J42,6))</f>
        <v>74</v>
      </c>
      <c r="X42" s="60">
        <f>MIN(IF(INDEX(Properties!A$1:CB$87,Formula!B42,6)=0,10^6,INDEX(Properties!A$1:CB$87,Formula!B42,6)),IF(INDEX(Properties!A$1:CB$87,Formula!D42,6)=0,10^6,INDEX(Properties!A$1:CB$87,Formula!D42,6)),IF(INDEX(Properties!A$1:CB$87,Formula!F42,6)=0,10^6,INDEX(Properties!A$1:CB$87,Formula!F42,6)),IF(INDEX(Properties!A$1:CB$87,Formula!H42,6)=0,10^6,INDEX(Properties!A$1:CB$87,Formula!H42,6)),IF(INDEX(Properties!A$1:CB$87,Formula!J42,6)=0,10^6,INDEX(Properties!A$1:CB$87,Formula!J42,6)))</f>
        <v>1</v>
      </c>
      <c r="Y42" s="60">
        <f t="shared" si="3"/>
        <v>73</v>
      </c>
      <c r="Z42" s="72">
        <f>((Formula!C42)/(Formula!C42+Formula!E42+Formula!G42+Formula!I42+Formula!K42))*(INDEX(Properties!A$1:CB$87,Formula!B42,9))+((Formula!E42)/(Formula!C42+Formula!E42+Formula!G42+Formula!I42+Formula!K42))*(INDEX(Properties!A$1:CB$87,Formula!D42,9))+((Formula!G42)/(Formula!C42+Formula!E42+Formula!G42+Formula!I42+Formula!K42))*(INDEX(Properties!A$1:CB$87,Formula!F42,9))+((Formula!I42)/(Formula!C42+Formula!E42+Formula!G42+Formula!I42+Formula!K42))*(INDEX(Properties!A$1:CB$87,Formula!H42,9))+((Formula!K42)/(Formula!C42+Formula!E42+Formula!G42+Formula!I42+Formula!K42))*(INDEX(Properties!A$1:CB$87,Formula!J42,9))</f>
        <v>67</v>
      </c>
      <c r="AA42" s="72">
        <f>Formula!C42*(INDEX(Properties!A$1:CB$87,Formula!B42,9))+Formula!E42*(INDEX(Properties!A$1:CB$87,Formula!D42,9))+Formula!G42*(INDEX(Properties!A$1:CB$87,Formula!F42,9))+Formula!I42*(INDEX(Properties!A$1:CB$87,Formula!H42,9))+Formula!K42*(INDEX(Properties!A$1:CB$87,Formula!J42,9))</f>
        <v>670</v>
      </c>
      <c r="AB42" s="72">
        <f>VARP(IF(INDEX(Properties!A$1:CB$87,Formula!B42,9)&lt;&gt;"",INDEX(Properties!A$1:CB$87,Formula!B42,9)),IF(INDEX(Properties!A$1:CB$87,Formula!D42,9)&lt;&gt;"",INDEX(Properties!A$1:CB$87,Formula!D42,9)),IF(INDEX(Properties!A$1:CB$87,Formula!F42,9)&lt;&gt;"",INDEX(Properties!A$1:CB$87,Formula!F42,9)),IF(INDEX(Properties!A$1:CB$87,Formula!H42,9)&lt;&gt;"",INDEX(Properties!A$1:CB$87,Formula!H42,9)),IF(INDEX(Properties!A$1:CB$87,Formula!J42,9)&lt;&gt;"",INDEX(Properties!A$1:CB$87,Formula!J42,9)))</f>
        <v>896.4</v>
      </c>
      <c r="AC42" s="72">
        <f>MAX(INDEX(Properties!A$1:CB$87,Formula!B42,9),INDEX(Properties!A$1:CB$87,Formula!D42,9),INDEX(Properties!A$1:CB$87,Formula!F42,9),INDEX(Properties!A$1:CB$87,Formula!H42,9),INDEX(Properties!A$1:CB$87,Formula!J42,9))</f>
        <v>87</v>
      </c>
      <c r="AD42" s="72">
        <f>MIN(IF(INDEX(Properties!A$1:CB$87,Formula!B42,9)=0,10^6,INDEX(Properties!A$1:CB$87,Formula!B42,9)),IF(INDEX(Properties!A$1:CB$87,Formula!D42,9)=0,10^6,INDEX(Properties!A$1:CB$87,Formula!D42,9)),IF(INDEX(Properties!A$1:CB$87,Formula!F42,9)=0,10^6,INDEX(Properties!A$1:CB$87,Formula!F42,9)),IF(INDEX(Properties!A$1:CB$87,Formula!H42,9)=0,10^6,INDEX(Properties!A$1:CB$87,Formula!H42,9)),IF(INDEX(Properties!A$1:CB$87,Formula!J42,9)=0,10^6,INDEX(Properties!A$1:CB$87,Formula!J42,9)))</f>
        <v>2</v>
      </c>
      <c r="AE42" s="72">
        <f t="shared" si="4"/>
        <v>85</v>
      </c>
      <c r="AF42" s="51">
        <f>((Formula!C42)/(Formula!C42+Formula!E42+Formula!G42+Formula!I42+Formula!K42))*(INDEX(Properties!A$1:CB$87,Formula!B42,10))+((Formula!E42)/(Formula!C42+Formula!E42+Formula!G42+Formula!I42+Formula!K42))*(INDEX(Properties!A$1:CB$87,Formula!D42,10))+((Formula!G42)/(Formula!C42+Formula!E42+Formula!G42+Formula!I42+Formula!K42))*(INDEX(Properties!A$1:CB$87,Formula!F42,10))+((Formula!I42)/(Formula!C42+Formula!E42+Formula!G42+Formula!I42+Formula!K42))*(INDEX(Properties!A$1:CB$87,Formula!H42,10))+((Formula!K42)/(Formula!C42+Formula!E42+Formula!G42+Formula!I42+Formula!K42))*(INDEX(Properties!A$1:CB$87,Formula!J42,10))</f>
        <v>5.2</v>
      </c>
      <c r="AG42" s="51">
        <f>Formula!C42*(INDEX(Properties!A$1:CB$87,Formula!B42,10))+Formula!E42*(INDEX(Properties!A$1:CB$87,Formula!D42,10))+Formula!G42*(INDEX(Properties!A$1:CB$87,Formula!F42,10))+Formula!I42*(INDEX(Properties!A$1:CB$87,Formula!H42,10))+Formula!K42*(INDEX(Properties!A$1:CB$87,Formula!J42,10))</f>
        <v>52</v>
      </c>
      <c r="AH42" s="51">
        <f>VARP(IF(INDEX(Properties!A$1:CB$87,Formula!B42,10)&lt;&gt;"",INDEX(Properties!A$1:CB$87,Formula!B42,10)),IF(INDEX(Properties!A$1:CB$87,Formula!D42,10)&lt;&gt;"",INDEX(Properties!A$1:CB$87,Formula!D42,10)),IF(INDEX(Properties!A$1:CB$87,Formula!F42,10)&lt;&gt;"",INDEX(Properties!A$1:CB$87,Formula!F42,10)),IF(INDEX(Properties!A$1:CB$87,Formula!H42,10)&lt;&gt;"",INDEX(Properties!A$1:CB$87,Formula!H42,10)),IF(INDEX(Properties!A$1:CB$87,Formula!J42,10)&lt;&gt;"",INDEX(Properties!A$1:CB$87,Formula!J42,10)))</f>
        <v>4.24</v>
      </c>
      <c r="AI42" s="51">
        <f>MAX(INDEX(Properties!A$1:CB$87,Formula!B42,10),INDEX(Properties!A$1:CB$87,Formula!D42,10),INDEX(Properties!A$1:CB$87,Formula!F42,10),INDEX(Properties!A$1:CB$87,Formula!H42,10),INDEX(Properties!A$1:CB$87,Formula!J42,10))</f>
        <v>7</v>
      </c>
      <c r="AJ42" s="51">
        <f>MIN(IF(INDEX(Properties!A$1:CB$87,Formula!B42,10)=0,10^6,INDEX(Properties!A$1:CB$87,Formula!B42,10)),IF(INDEX(Properties!A$1:CB$87,Formula!D42,10)=0,10^6,INDEX(Properties!A$1:CB$87,Formula!D42,10)),IF(INDEX(Properties!A$1:CB$87,Formula!F42,10)=0,10^6,INDEX(Properties!A$1:CB$87,Formula!F42,10)),IF(INDEX(Properties!A$1:CB$87,Formula!H42,10)=0,10^6,INDEX(Properties!A$1:CB$87,Formula!H42,10)),IF(INDEX(Properties!A$1:CB$87,Formula!J42,10)=0,10^6,INDEX(Properties!A$1:CB$87,Formula!J42,10)))</f>
        <v>1</v>
      </c>
      <c r="AK42" s="51">
        <f t="shared" si="5"/>
        <v>6</v>
      </c>
      <c r="AL42" s="57">
        <f>((Formula!C42)/(Formula!C42+Formula!E42+Formula!G42+Formula!I42+Formula!K42))*(INDEX(Properties!A$1:CB$87,Formula!B42,11))+((Formula!E42)/(Formula!C42+Formula!E42+Formula!G42+Formula!I42+Formula!K42))*(INDEX(Properties!A$1:CB$87,Formula!D42,11))+((Formula!G42)/(Formula!C42+Formula!E42+Formula!G42+Formula!I42+Formula!K42))*(INDEX(Properties!A$1:CB$87,Formula!F42,11))+((Formula!I42)/(Formula!C42+Formula!E42+Formula!G42+Formula!I42+Formula!K42))*(INDEX(Properties!A$1:CB$87,Formula!H42,11))+((Formula!K42)/(Formula!C42+Formula!E42+Formula!G42+Formula!I42+Formula!K42))*(INDEX(Properties!A$1:CB$87,Formula!J42,11))</f>
        <v>1.9</v>
      </c>
      <c r="AM42" s="57">
        <f>Formula!C42*(INDEX(Properties!A$1:CB$87,Formula!B42,11))+Formula!E42*(INDEX(Properties!A$1:CB$87,Formula!D42,11))+Formula!G42*(INDEX(Properties!A$1:CB$87,Formula!F42,11))+Formula!I42*(INDEX(Properties!A$1:CB$87,Formula!H42,11))+Formula!K42*(INDEX(Properties!A$1:CB$87,Formula!J42,11))</f>
        <v>19</v>
      </c>
      <c r="AN42" s="57">
        <f>VARP(IF(INDEX(Properties!A$1:CB$87,Formula!B42,11)&lt;&gt;"",INDEX(Properties!A$1:CB$87,Formula!B42,11)),IF(INDEX(Properties!A$1:CB$87,Formula!D42,11)&lt;&gt;"",INDEX(Properties!A$1:CB$87,Formula!D42,11)),IF(INDEX(Properties!A$1:CB$87,Formula!F42,11)&lt;&gt;"",INDEX(Properties!A$1:CB$87,Formula!F42,11)),IF(INDEX(Properties!A$1:CB$87,Formula!H42,11)&lt;&gt;"",INDEX(Properties!A$1:CB$87,Formula!H42,11)),IF(INDEX(Properties!A$1:CB$87,Formula!J42,11)&lt;&gt;"",INDEX(Properties!A$1:CB$87,Formula!J42,11)))</f>
        <v>0.16</v>
      </c>
      <c r="AO42" s="57">
        <f>MAX(INDEX(Properties!A$1:CB$87,Formula!B42,11),INDEX(Properties!A$1:CB$87,Formula!D42,11),INDEX(Properties!A$1:CB$87,Formula!F42,11),INDEX(Properties!A$1:CB$87,Formula!H42,11),INDEX(Properties!A$1:CB$87,Formula!J42,11))</f>
        <v>2</v>
      </c>
      <c r="AP42" s="57">
        <f>MIN(IF(Formula!B42=87,10^6,INDEX(Properties!A$1:CB$87,Formula!B42,11)),IF((Formula!D42)=87,10^6,INDEX(Properties!A$1:CB$87,Formula!D42,11)),IF((Formula!F42)=87,10^6,INDEX(Properties!A$1:CB$87,Formula!F42,11)),IF((Formula!H42)=87,10^6,INDEX(Properties!A$1:CB$87,Formula!H42,11)),IF(Formula!J42=87,10^6,INDEX(Properties!A$1:CB$87,Formula!J42,11)))</f>
        <v>1</v>
      </c>
      <c r="AQ42" s="57">
        <f t="shared" si="6"/>
        <v>1</v>
      </c>
      <c r="AR42" s="78">
        <f>((Formula!C42)/(Formula!C42+Formula!E42+Formula!G42+Formula!I42+Formula!K42))*(INDEX(Properties!A$1:CB$87,Formula!B42,12))+((Formula!E42)/(Formula!C42+Formula!E42+Formula!G42+Formula!I42+Formula!K42))*(INDEX(Properties!A$1:CB$87,Formula!D42,12))+((Formula!G42)/(Formula!C42+Formula!E42+Formula!G42+Formula!I42+Formula!K42))*(INDEX(Properties!A$1:CB$87,Formula!F42,12))+((Formula!I42)/(Formula!C42+Formula!E42+Formula!G42+Formula!I42+Formula!K42))*(INDEX(Properties!A$1:CB$87,Formula!H42,12))+((Formula!K42)/(Formula!C42+Formula!E42+Formula!G42+Formula!I42+Formula!K42))*(INDEX(Properties!A$1:CB$87,Formula!J42,12))</f>
        <v>2.4</v>
      </c>
      <c r="AS42" s="78">
        <f>Formula!C42*(INDEX(Properties!A$1:CB$87,Formula!B42,12))+Formula!E42*(INDEX(Properties!A$1:CB$87,Formula!D42,12))+Formula!G42*(INDEX(Properties!A$1:CB$87,Formula!F42,12))+Formula!I42*(INDEX(Properties!A$1:CB$87,Formula!H42,12))+Formula!K42*(INDEX(Properties!A$1:CB$87,Formula!J42,12))</f>
        <v>24</v>
      </c>
      <c r="AT42" s="78">
        <f>VARP(IF(INDEX(Properties!A$1:CB$87,Formula!B42,12)&lt;&gt;"",INDEX(Properties!A$1:CB$87,Formula!B42,12)),IF(INDEX(Properties!A$1:CB$87,Formula!D42,12)&lt;&gt;"",INDEX(Properties!A$1:CB$87,Formula!D42,12)),IF(INDEX(Properties!A$1:CB$87,Formula!F42,12)&lt;&gt;"",INDEX(Properties!A$1:CB$87,Formula!F42,12)),IF(INDEX(Properties!A$1:CB$87,Formula!H42,12)&lt;&gt;"",INDEX(Properties!A$1:CB$87,Formula!H42,12)),IF(INDEX(Properties!A$1:CB$87,Formula!J42,12)&lt;&gt;"",INDEX(Properties!A$1:CB$87,Formula!J42,12)))</f>
        <v>2.56</v>
      </c>
      <c r="AU42" s="78">
        <f>MAX(INDEX(Properties!A$1:CB$87,Formula!B42,12),INDEX(Properties!A$1:CB$87,Formula!D42,12),INDEX(Properties!A$1:CB$87,Formula!F42,12),INDEX(Properties!A$1:CB$87,Formula!H42,12),INDEX(Properties!A$1:CB$87,Formula!J42,12))</f>
        <v>4</v>
      </c>
      <c r="AV42" s="78">
        <f>MIN(IF(Formula!B42=87,10^6,INDEX(Properties!A$1:CB$87,Formula!B42,12)),IF((Formula!D42)=87,10^6,INDEX(Properties!A$1:CB$87,Formula!D42,12)),IF((Formula!F42)=87,10^6,INDEX(Properties!A$1:CB$87,Formula!F42,12)),IF((Formula!H42)=87,10^6,INDEX(Properties!A$1:CB$87,Formula!H42,12)),IF(Formula!J42=87,10^6,INDEX(Properties!A$1:CB$87,Formula!J42,12)))</f>
        <v>0</v>
      </c>
      <c r="AW42" s="78">
        <f t="shared" si="7"/>
        <v>4</v>
      </c>
      <c r="AX42" s="45">
        <f>((Formula!C42)/(Formula!C42+Formula!E42+Formula!G42+Formula!I42+Formula!K42))*(INDEX(Properties!A$1:CB$87,Formula!B42,13))+((Formula!E42)/(Formula!C42+Formula!E42+Formula!G42+Formula!I42+Formula!K42))*(INDEX(Properties!A$1:CB$87,Formula!D42,13))+((Formula!G42)/(Formula!C42+Formula!E42+Formula!G42+Formula!I42+Formula!K42))*(INDEX(Properties!A$1:CB$87,Formula!F42,13))+((Formula!I42)/(Formula!C42+Formula!E42+Formula!G42+Formula!I42+Formula!K42))*(INDEX(Properties!A$1:CB$87,Formula!H42,13))+((Formula!K42)/(Formula!C42+Formula!E42+Formula!G42+Formula!I42+Formula!K42))*(INDEX(Properties!A$1:CB$87,Formula!J42,13))</f>
        <v>0.5</v>
      </c>
      <c r="AY42" s="45">
        <f>Formula!C42*(INDEX(Properties!A$1:CB$87,Formula!B42,13))+Formula!E42*(INDEX(Properties!A$1:CB$87,Formula!D42,13))+Formula!G42*(INDEX(Properties!A$1:CB$87,Formula!F42,13))+Formula!I42*(INDEX(Properties!A$1:CB$87,Formula!H42,13))+Formula!K42*(INDEX(Properties!A$1:CB$87,Formula!J42,13))</f>
        <v>5</v>
      </c>
      <c r="AZ42" s="45">
        <f>VARP(IF(INDEX(Properties!A$1:CB$87,Formula!B42,13)&lt;&gt;"",INDEX(Properties!A$1:CB$87,Formula!B42,13)),IF(INDEX(Properties!A$1:CB$87,Formula!D42,13)&lt;&gt;"",INDEX(Properties!A$1:CB$87,Formula!D42,13)),IF(INDEX(Properties!A$1:CB$87,Formula!F42,13)&lt;&gt;"",INDEX(Properties!A$1:CB$87,Formula!F42,13)),IF(INDEX(Properties!A$1:CB$87,Formula!H42,13)&lt;&gt;"",INDEX(Properties!A$1:CB$87,Formula!H42,13)),IF(INDEX(Properties!A$1:CB$87,Formula!J42,13)&lt;&gt;"",INDEX(Properties!A$1:CB$87,Formula!J42,13)))</f>
        <v>2.4</v>
      </c>
      <c r="BA42" s="45">
        <f>MAX(INDEX(Properties!A$1:CB$87,Formula!B42,13),INDEX(Properties!A$1:CB$87,Formula!D42,13),INDEX(Properties!A$1:CB$87,Formula!F42,13),INDEX(Properties!A$1:CB$87,Formula!H42,13),INDEX(Properties!A$1:CB$87,Formula!J42,13))</f>
        <v>4</v>
      </c>
      <c r="BB42" s="45">
        <f>MIN(IF(Formula!B42=87,10^6,INDEX(Properties!A$1:CB$87,Formula!B42,13)),IF((Formula!D42)=87,10^6,INDEX(Properties!A$1:CB$87,Formula!D42,13)),IF((Formula!F42)=87,10^6,INDEX(Properties!A$1:CB$87,Formula!F42,13)),IF((Formula!H42)=87,10^6,INDEX(Properties!A$1:CB$87,Formula!H42,13)),IF(Formula!J42=87,10^6,INDEX(Properties!A$1:CB$87,Formula!J42,13)))</f>
        <v>0</v>
      </c>
      <c r="BC42" s="45">
        <f t="shared" si="8"/>
        <v>4</v>
      </c>
      <c r="BD42" s="63">
        <f>((Formula!C42)/(Formula!C42+Formula!E42+Formula!G42+Formula!I42+Formula!K42))*(INDEX(Properties!A$1:CB$87,Formula!B42,14))+((Formula!E42)/(Formula!C42+Formula!E42+Formula!G42+Formula!I42+Formula!K42))*(INDEX(Properties!A$1:CB$87,Formula!D42,14))+((Formula!G42)/(Formula!C42+Formula!E42+Formula!G42+Formula!I42+Formula!K42))*(INDEX(Properties!A$1:CB$87,Formula!F42,14))+((Formula!I42)/(Formula!C42+Formula!E42+Formula!G42+Formula!I42+Formula!K42))*(INDEX(Properties!A$1:CB$87,Formula!H42,14))+((Formula!K42)/(Formula!C42+Formula!E42+Formula!G42+Formula!I42+Formula!K42))*(INDEX(Properties!A$1:CB$87,Formula!J42,14))</f>
        <v>2.1</v>
      </c>
      <c r="BE42" s="63">
        <f>Formula!C42*(INDEX(Properties!A$1:CB$87,Formula!B42,14))+Formula!E42*(INDEX(Properties!A$1:CB$87,Formula!D42,14))+Formula!G42*(INDEX(Properties!A$1:CB$87,Formula!F42,14))+Formula!I42*(INDEX(Properties!A$1:CB$87,Formula!H42,14))+Formula!K42*(INDEX(Properties!A$1:CB$87,Formula!J42,14))</f>
        <v>21</v>
      </c>
      <c r="BF42" s="63">
        <f>VARP(IF(INDEX(Properties!A$1:CB$87,Formula!B42,14)&lt;&gt;"",INDEX(Properties!A$1:CB$87,Formula!B42,14)),IF(INDEX(Properties!A$1:CB$87,Formula!D42,14)&lt;&gt;"",INDEX(Properties!A$1:CB$87,Formula!D42,14)),IF(INDEX(Properties!A$1:CB$87,Formula!F42,14)&lt;&gt;"",INDEX(Properties!A$1:CB$87,Formula!F42,14)),IF(INDEX(Properties!A$1:CB$87,Formula!H42,14)&lt;&gt;"",INDEX(Properties!A$1:CB$87,Formula!H42,14)),IF(INDEX(Properties!A$1:CB$87,Formula!J42,14)&lt;&gt;"",INDEX(Properties!A$1:CB$87,Formula!J42,14)))</f>
        <v>31.36</v>
      </c>
      <c r="BG42" s="63">
        <f>MAX(INDEX(Properties!A$1:CB$87,Formula!B42,14),INDEX(Properties!A$1:CB$87,Formula!D42,14),INDEX(Properties!A$1:CB$87,Formula!F42,14),INDEX(Properties!A$1:CB$87,Formula!H42,14),INDEX(Properties!A$1:CB$87,Formula!J42,14))</f>
        <v>14</v>
      </c>
      <c r="BH42" s="63">
        <f>MIN(IF(Formula!B42=87,10^6,INDEX(Properties!A$1:CB$87,Formula!B42,14)),IF((Formula!D42)=87,10^6,INDEX(Properties!A$1:CB$87,Formula!D42,14)),IF((Formula!F42)=87,10^6,INDEX(Properties!A$1:CB$87,Formula!F42,14)),IF((Formula!H42)=87,10^6,INDEX(Properties!A$1:CB$87,Formula!H42,14)),IF(Formula!J42=87,10^6,INDEX(Properties!A$1:CB$87,Formula!J42,14)))</f>
        <v>0</v>
      </c>
      <c r="BI42" s="63">
        <f t="shared" si="9"/>
        <v>14</v>
      </c>
      <c r="BJ42" s="75">
        <f>((Formula!C42)/(Formula!C42+Formula!E42+Formula!G42+Formula!I42+Formula!K42))*(INDEX(Properties!A$1:CB$87,Formula!B42,19))+((Formula!E42)/(Formula!C42+Formula!E42+Formula!G42+Formula!I42+Formula!K42))*(INDEX(Properties!A$1:CB$87,Formula!D42,19))+((Formula!G42)/(Formula!C42+Formula!E42+Formula!G42+Formula!I42+Formula!K42))*(INDEX(Properties!A$1:CB$87,Formula!F42,19))+((Formula!I42)/(Formula!C42+Formula!E42+Formula!G42+Formula!I42+Formula!K42))*(INDEX(Properties!A$1:CB$87,Formula!H42,19))+((Formula!K42)/(Formula!C42+Formula!E42+Formula!G42+Formula!I42+Formula!K42))*(INDEX(Properties!A$1:CB$87,Formula!J42,19))</f>
        <v>6.8999999999999995</v>
      </c>
      <c r="BK42" s="75">
        <f>Formula!C42*(INDEX(Properties!A$1:CB$87,Formula!B42,19))+Formula!E42*(INDEX(Properties!A$1:CB$87,Formula!D42,19))+Formula!G42*(INDEX(Properties!A$1:CB$87,Formula!F42,19))+Formula!I42*(INDEX(Properties!A$1:CB$87,Formula!H42,19))+Formula!K42*(INDEX(Properties!A$1:CB$87,Formula!J42,19))</f>
        <v>69</v>
      </c>
      <c r="BL42" s="75">
        <f>VARP(IF(INDEX(Properties!A$1:CB$87,Formula!B42,19)&lt;&gt;"",INDEX(Properties!A$1:CB$87,Formula!B42,19)),IF(INDEX(Properties!A$1:CB$87,Formula!D42,19)&lt;&gt;"",INDEX(Properties!A$1:CB$87,Formula!D42,19)),IF(INDEX(Properties!A$1:CB$87,Formula!F42,19)&lt;&gt;"",INDEX(Properties!A$1:CB$87,Formula!F42,19)),IF(INDEX(Properties!A$1:CB$87,Formula!H42,19)&lt;&gt;"",INDEX(Properties!A$1:CB$87,Formula!H42,19)),IF(INDEX(Properties!A$1:CB$87,Formula!J42,19)&lt;&gt;"",INDEX(Properties!A$1:CB$87,Formula!J42,19)))</f>
        <v>47.36</v>
      </c>
      <c r="BM42" s="75">
        <f>MAX(INDEX(Properties!A$1:CB$87,Formula!B42,19),INDEX(Properties!A$1:CB$87,Formula!D42,19),INDEX(Properties!A$1:CB$87,Formula!F42,19),INDEX(Properties!A$1:CB$87,Formula!H42,19),INDEX(Properties!A$1:CB$87,Formula!J42,19))</f>
        <v>20</v>
      </c>
      <c r="BN42" s="75">
        <f>MIN(IF(INDEX(Properties!A$1:CB$87,Formula!B42,19)=0,10^6,INDEX(Properties!A$1:CB$87,Formula!B42,19)),IF(INDEX(Properties!A$1:CB$87,Formula!D42,19)=0,10^6,INDEX(Properties!A$1:CB$87,Formula!D42,19)),IF(INDEX(Properties!A$1:CB$87,Formula!F42,19)=0,10^6,INDEX(Properties!A$1:CB$87,Formula!F42,19)),IF(INDEX(Properties!A$1:CB$87,Formula!H42,19)=0,10^6,INDEX(Properties!A$1:CB$87,Formula!H42,19)),IF(INDEX(Properties!A$1:CB$87,Formula!J42,19)=0,10^6,INDEX(Properties!A$1:CB$87,Formula!J42,19)))</f>
        <v>1</v>
      </c>
      <c r="BO42" s="75">
        <f t="shared" si="10"/>
        <v>19</v>
      </c>
      <c r="BP42" s="48">
        <f>((Formula!C42)/(Formula!C42+Formula!E42+Formula!G42+Formula!I42+Formula!K42))*(INDEX(Properties!A$1:CB$87,Formula!B42,20))+((Formula!E42)/(Formula!C42+Formula!E42+Formula!G42+Formula!I42+Formula!K42))*(INDEX(Properties!A$1:CB$87,Formula!D42,20))+((Formula!G42)/(Formula!C42+Formula!E42+Formula!G42+Formula!I42+Formula!K42))*(INDEX(Properties!A$1:CB$87,Formula!F42,20))+((Formula!I42)/(Formula!C42+Formula!E42+Formula!G42+Formula!I42+Formula!K42))*(INDEX(Properties!A$1:CB$87,Formula!H42,20))+((Formula!K42)/(Formula!C42+Formula!E42+Formula!G42+Formula!I42+Formula!K42))*(INDEX(Properties!A$1:CB$87,Formula!J42,20))</f>
        <v>4.3</v>
      </c>
      <c r="BQ42" s="48">
        <f>Formula!C42*(INDEX(Properties!A$1:CB$87,Formula!B42,20))+Formula!E42*(INDEX(Properties!A$1:CB$87,Formula!D42,20))+Formula!G42*(INDEX(Properties!A$1:CB$87,Formula!F42,20))+Formula!I42*(INDEX(Properties!A$1:CB$87,Formula!H42,20))+Formula!K42*(INDEX(Properties!A$1:CB$87,Formula!J42,20))</f>
        <v>43</v>
      </c>
      <c r="BR42" s="48">
        <f>VARP(IF(INDEX(Properties!A$1:CB$87,Formula!B42,20)&lt;&gt;"",INDEX(Properties!A$1:CB$87,Formula!B42,20)),IF(INDEX(Properties!A$1:CB$87,Formula!D42,20)&lt;&gt;"",INDEX(Properties!A$1:CB$87,Formula!D42,20)),IF(INDEX(Properties!A$1:CB$87,Formula!F42,20)&lt;&gt;"",INDEX(Properties!A$1:CB$87,Formula!F42,20)),IF(INDEX(Properties!A$1:CB$87,Formula!H42,20)&lt;&gt;"",INDEX(Properties!A$1:CB$87,Formula!H42,20)),IF(INDEX(Properties!A$1:CB$87,Formula!J42,20)&lt;&gt;"",INDEX(Properties!A$1:CB$87,Formula!J42,20)))</f>
        <v>3.04</v>
      </c>
      <c r="BS42" s="48">
        <f>MAX(INDEX(Properties!A$1:CB$87,Formula!B42,20),INDEX(Properties!A$1:CB$87,Formula!D42,20),INDEX(Properties!A$1:CB$87,Formula!F42,20),INDEX(Properties!A$1:CB$87,Formula!H42,20),INDEX(Properties!A$1:CB$87,Formula!J42,20))</f>
        <v>6</v>
      </c>
      <c r="BT42" s="48">
        <f>MIN(IF(INDEX(Properties!A$1:CB$87,Formula!B42,20)=0,10^6,INDEX(Properties!A$1:CB$87,Formula!B42,20)),IF(INDEX(Properties!A$1:CB$87,Formula!D42,20)=0,10^6,INDEX(Properties!A$1:CB$87,Formula!D42,20)),IF(INDEX(Properties!A$1:CB$87,Formula!F42,20)=0,10^6,INDEX(Properties!A$1:CB$87,Formula!F42,20)),IF(INDEX(Properties!A$1:CB$87,Formula!H42,20)=0,10^6,INDEX(Properties!A$1:CB$87,Formula!H42,20)),IF(INDEX(Properties!A$1:CB$87,Formula!J42,20)=0,10^6,INDEX(Properties!A$1:CB$87,Formula!J42,20)))</f>
        <v>1</v>
      </c>
      <c r="BU42" s="48">
        <f t="shared" si="11"/>
        <v>5</v>
      </c>
      <c r="BV42" s="66">
        <f>((Formula!C42)/(Formula!C42+Formula!E42+Formula!G42+Formula!I42+Formula!K42))*(INDEX(Properties!A$1:CB$87,Formula!B42,21))+((Formula!E42)/(Formula!C42+Formula!E42+Formula!G42+Formula!I42+Formula!K42))*(INDEX(Properties!A$1:CB$87,Formula!D42,21))+((Formula!G42)/(Formula!C42+Formula!E42+Formula!G42+Formula!I42+Formula!K42))*(INDEX(Properties!A$1:CB$87,Formula!F42,21))+((Formula!I42)/(Formula!C42+Formula!E42+Formula!G42+Formula!I42+Formula!K42))*(INDEX(Properties!A$1:CB$87,Formula!H42,21))+((Formula!K42)/(Formula!C42+Formula!E42+Formula!G42+Formula!I42+Formula!K42))*(INDEX(Properties!A$1:CB$87,Formula!J42,21))</f>
        <v>4.5999999999999996</v>
      </c>
      <c r="BW42" s="66">
        <f>Formula!C42*(INDEX(Properties!A$1:CB$87,Formula!B42,21))+Formula!E42*(INDEX(Properties!A$1:CB$87,Formula!D42,21))+Formula!G42*(INDEX(Properties!A$1:CB$87,Formula!F42,21))+Formula!I42*(INDEX(Properties!A$1:CB$87,Formula!H42,21))+Formula!K42*(INDEX(Properties!A$1:CB$87,Formula!J42,21))</f>
        <v>46</v>
      </c>
      <c r="BX42" s="66">
        <f>VARP(IF(INDEX(Properties!A$1:CB$87,Formula!B42,21)&lt;&gt;"",INDEX(Properties!A$1:CB$87,Formula!B42,21)),IF(INDEX(Properties!A$1:CB$87,Formula!D42,21)&lt;&gt;"",INDEX(Properties!A$1:CB$87,Formula!D42,21)),IF(INDEX(Properties!A$1:CB$87,Formula!F42,21)&lt;&gt;"",INDEX(Properties!A$1:CB$87,Formula!F42,21)),IF(INDEX(Properties!A$1:CB$87,Formula!H42,21)&lt;&gt;"",INDEX(Properties!A$1:CB$87,Formula!H42,21)),IF(INDEX(Properties!A$1:CB$87,Formula!J42,21)&lt;&gt;"",INDEX(Properties!A$1:CB$87,Formula!J42,21)))</f>
        <v>2.96</v>
      </c>
      <c r="BY42" s="66">
        <f>MAX(INDEX(Properties!A$1:CB$87,Formula!B42,21),INDEX(Properties!A$1:CB$87,Formula!D42,21),INDEX(Properties!A$1:CB$87,Formula!F42,21),INDEX(Properties!A$1:CB$87,Formula!H42,21),INDEX(Properties!A$1:CB$87,Formula!J42,21))</f>
        <v>6</v>
      </c>
      <c r="BZ42" s="66">
        <f>MIN(IF(INDEX(Properties!A$1:CB$87,Formula!B42,21)=0,10^6,INDEX(Properties!A$1:CB$87,Formula!B42,21)),IF(INDEX(Properties!A$1:CB$87,Formula!D42,21)=0,10^6,INDEX(Properties!A$1:CB$87,Formula!D42,21)),IF(INDEX(Properties!A$1:CB$87,Formula!F42,21)=0,10^6,INDEX(Properties!A$1:CB$87,Formula!F42,21)),IF(INDEX(Properties!A$1:CB$87,Formula!H42,21)=0,10^6,INDEX(Properties!A$1:CB$87,Formula!H42,21)),IF(INDEX(Properties!A$1:CB$87,Formula!J42,21)=0,10^6,INDEX(Properties!A$1:CB$87,Formula!J42,21)))</f>
        <v>1</v>
      </c>
      <c r="CA42" s="66">
        <f t="shared" si="12"/>
        <v>5</v>
      </c>
      <c r="CB42" s="81">
        <f>((Formula!C42)/(Formula!C42+Formula!E42+Formula!G42+Formula!I42+Formula!K42))*(INDEX(Properties!A$1:CB$87,Formula!B42,23))+((Formula!E42)/(Formula!C42+Formula!E42+Formula!G42+Formula!I42+Formula!K42))*(INDEX(Properties!A$1:CB$87,Formula!D42,23))+((Formula!G42)/(Formula!C42+Formula!E42+Formula!G42+Formula!I42+Formula!K42))*(INDEX(Properties!A$1:CB$87,Formula!F42,23))+((Formula!I42)/(Formula!C42+Formula!E42+Formula!G42+Formula!I42+Formula!K42))*(INDEX(Properties!A$1:CB$87,Formula!H42,23))+((Formula!K42)/(Formula!C42+Formula!E42+Formula!G42+Formula!I42+Formula!K42))*(INDEX(Properties!A$1:CB$87,Formula!J42,23))</f>
        <v>1.1780000000000002</v>
      </c>
      <c r="CC42" s="81">
        <f>Formula!C42*(INDEX(Properties!A$1:CB$87,Formula!B42,23))+Formula!E42*(INDEX(Properties!A$1:CB$87,Formula!D42,23))+Formula!G42*(INDEX(Properties!A$1:CB$87,Formula!F42,23))+Formula!I42*(INDEX(Properties!A$1:CB$87,Formula!H42,23))+Formula!K42*(INDEX(Properties!A$1:CB$87,Formula!J42,23))</f>
        <v>11.780000000000001</v>
      </c>
      <c r="CD42" s="81">
        <f>VARP(IF(INDEX(Properties!A$1:CB$87,Formula!B42,23)&lt;&gt;"",INDEX(Properties!A$1:CB$87,Formula!B42,23)),IF(INDEX(Properties!A$1:CB$87,Formula!D42,23)&lt;&gt;"",INDEX(Properties!A$1:CB$87,Formula!D42,23)),IF(INDEX(Properties!A$1:CB$87,Formula!F42,23)&lt;&gt;"",INDEX(Properties!A$1:CB$87,Formula!F42,23)),IF(INDEX(Properties!A$1:CB$87,Formula!H42,23)&lt;&gt;"",INDEX(Properties!A$1:CB$87,Formula!H42,23)),IF(INDEX(Properties!A$1:CB$87,Formula!J42,23)&lt;&gt;"",INDEX(Properties!A$1:CB$87,Formula!J42,23)))</f>
        <v>3.9309439999999993</v>
      </c>
      <c r="CE42" s="81">
        <f>MAX(INDEX(Properties!A$1:CB$87,Formula!B42,23),INDEX(Properties!A$1:CB$87,Formula!D42,23),INDEX(Properties!A$1:CB$87,Formula!F42,23),INDEX(Properties!A$1:CB$87,Formula!H42,23),INDEX(Properties!A$1:CB$87,Formula!J42,23))</f>
        <v>5.78</v>
      </c>
      <c r="CF42" s="81">
        <f>MIN(IF(Formula!B42=87,10^6,INDEX(Properties!A$1:CB$87,Formula!B42,23)),IF((Formula!D42)=87,10^6,INDEX(Properties!A$1:CB$87,Formula!D42,23)),IF((Formula!F42)=87,10^6,INDEX(Properties!A$1:CB$87,Formula!F42,23)),IF((Formula!H42)=87,10^6,INDEX(Properties!A$1:CB$87,Formula!H42,23)),IF(Formula!J42=87,10^6,INDEX(Properties!A$1:CB$87,Formula!J42,23)))</f>
        <v>0</v>
      </c>
      <c r="CG42" s="81">
        <f t="shared" si="13"/>
        <v>5.78</v>
      </c>
      <c r="CH42" s="39">
        <f>((Formula!C42)/(Formula!C42+Formula!E42+Formula!G42+Formula!I42+Formula!K42))*(INDEX(Properties!A$1:CB$87,Formula!B42,26))+((Formula!E42)/(Formula!C42+Formula!E42+Formula!G42+Formula!I42+Formula!K42))*(INDEX(Properties!A$1:CB$87,Formula!D42,26))+((Formula!G42)/(Formula!C42+Formula!E42+Formula!G42+Formula!I42+Formula!K42))*(INDEX(Properties!A$1:CB$87,Formula!F42,26))+((Formula!I42)/(Formula!C42+Formula!E42+Formula!G42+Formula!I42+Formula!K42))*(INDEX(Properties!A$1:CB$87,Formula!H42,26))+((Formula!K42)/(Formula!C42+Formula!E42+Formula!G42+Formula!I42+Formula!K42))*(INDEX(Properties!A$1:CB$87,Formula!J42,26))</f>
        <v>10.850770000000001</v>
      </c>
      <c r="CI42" s="39">
        <f>Formula!C42*(INDEX(Properties!A$1:CB$87,Formula!B42,26))+Formula!E42*(INDEX(Properties!A$1:CB$87,Formula!D42,26))+Formula!G42*(INDEX(Properties!A$1:CB$87,Formula!F42,26))+Formula!I42*(INDEX(Properties!A$1:CB$87,Formula!H42,26))+Formula!K42*(INDEX(Properties!A$1:CB$87,Formula!J42,26))</f>
        <v>108.5077</v>
      </c>
      <c r="CJ42" s="39">
        <f>VARP(IF(INDEX(Properties!A$1:CB$87,Formula!B42,26)&lt;&gt;"",INDEX(Properties!A$1:CB$87,Formula!B42,26)),IF(INDEX(Properties!A$1:CB$87,Formula!D42,26)&lt;&gt;"",INDEX(Properties!A$1:CB$87,Formula!D42,26)),IF(INDEX(Properties!A$1:CB$87,Formula!F42,26)&lt;&gt;"",INDEX(Properties!A$1:CB$87,Formula!F42,26)),IF(INDEX(Properties!A$1:CB$87,Formula!H42,26)&lt;&gt;"",INDEX(Properties!A$1:CB$87,Formula!H42,26)),IF(INDEX(Properties!A$1:CB$87,Formula!J42,26)&lt;&gt;"",INDEX(Properties!A$1:CB$87,Formula!J42,26)))</f>
        <v>8.6559791464000053</v>
      </c>
      <c r="CK42" s="39">
        <f>MAX(INDEX(Properties!A$1:CB$87,Formula!B42,26),INDEX(Properties!A$1:CB$87,Formula!D42,26),INDEX(Properties!A$1:CB$87,Formula!F42,26),INDEX(Properties!A$1:CB$87,Formula!H42,26),INDEX(Properties!A$1:CB$87,Formula!J42,26))</f>
        <v>13.6181</v>
      </c>
      <c r="CL42" s="39">
        <f>MIN(IF(INDEX(Properties!A$1:CB$87,Formula!B42,26)=0,10^6,INDEX(Properties!A$1:CB$87,Formula!B42,26)),IF(INDEX(Properties!A$1:CB$87,Formula!D42,26)=0,10^6,INDEX(Properties!A$1:CB$87,Formula!D42,26)),IF(INDEX(Properties!A$1:CB$87,Formula!F42,26)=0,10^6,INDEX(Properties!A$1:CB$87,Formula!F42,26)),IF(INDEX(Properties!A$1:CB$87,Formula!H42,26)=0,10^6,INDEX(Properties!A$1:CB$87,Formula!H42,26)),IF(INDEX(Properties!A$1:CB$87,Formula!J42,26)=0,10^6,INDEX(Properties!A$1:CB$87,Formula!J42,26)))</f>
        <v>5.1391</v>
      </c>
      <c r="CM42" s="39">
        <f t="shared" si="14"/>
        <v>8.4789999999999992</v>
      </c>
      <c r="CN42" s="54">
        <f>((Formula!C42)/(Formula!C42+Formula!E42+Formula!G42+Formula!I42+Formula!K42))*(INDEX(Properties!A$1:CB$87,Formula!B42,30))+((Formula!E42)/(Formula!C42+Formula!E42+Formula!G42+Formula!I42+Formula!K42))*(INDEX(Properties!A$1:CB$87,Formula!D42,30))+((Formula!G42)/(Formula!C42+Formula!E42+Formula!G42+Formula!I42+Formula!K42))*(INDEX(Properties!A$1:CB$87,Formula!F42,30))+((Formula!I42)/(Formula!C42+Formula!E42+Formula!G42+Formula!I42+Formula!K42))*(INDEX(Properties!A$1:CB$87,Formula!H42,30))+((Formula!K42)/(Formula!C42+Formula!E42+Formula!G42+Formula!I42+Formula!K42))*(INDEX(Properties!A$1:CB$87,Formula!J42,30))</f>
        <v>2.6440000000000001</v>
      </c>
      <c r="CO42" s="54">
        <f>Formula!C42*(INDEX(Properties!A$1:CB$87,Formula!B42,30))+Formula!E42*(INDEX(Properties!A$1:CB$87,Formula!D42,30))+Formula!G42*(INDEX(Properties!A$1:CB$87,Formula!F42,30))+Formula!I42*(INDEX(Properties!A$1:CB$87,Formula!H42,30))+Formula!K42*(INDEX(Properties!A$1:CB$87,Formula!J42,30))</f>
        <v>26.44</v>
      </c>
      <c r="CP42" s="54">
        <f>VARP(IF(INDEX(Properties!A$1:CB$87,Formula!B42,30)&lt;&gt;"",INDEX(Properties!A$1:CB$87,Formula!B42,30)),IF(INDEX(Properties!A$1:CB$87,Formula!D42,30)&lt;&gt;"",INDEX(Properties!A$1:CB$87,Formula!D42,30)),IF(INDEX(Properties!A$1:CB$87,Formula!F42,30)&lt;&gt;"",INDEX(Properties!A$1:CB$87,Formula!F42,30)),IF(INDEX(Properties!A$1:CB$87,Formula!H42,30)&lt;&gt;"",INDEX(Properties!A$1:CB$87,Formula!H42,30)),IF(INDEX(Properties!A$1:CB$87,Formula!J42,30)&lt;&gt;"",INDEX(Properties!A$1:CB$87,Formula!J42,30)))</f>
        <v>0.86973599999999973</v>
      </c>
      <c r="CQ42" s="54">
        <f>MAX(INDEX(Properties!A$1:CB$87,Formula!B42,30),INDEX(Properties!A$1:CB$87,Formula!D42,30),INDEX(Properties!A$1:CB$87,Formula!F42,30),INDEX(Properties!A$1:CB$87,Formula!H42,30),INDEX(Properties!A$1:CB$87,Formula!J42,30))</f>
        <v>3.44</v>
      </c>
      <c r="CR42" s="54">
        <f>MIN(IF(INDEX(Properties!A$1:CB$87,Formula!B42,30)=0,10^6,INDEX(Properties!A$1:CB$87,Formula!B42,30)),IF(INDEX(Properties!A$1:CB$87,Formula!D42,30)=0,10^6,INDEX(Properties!A$1:CB$87,Formula!D42,30)),IF(INDEX(Properties!A$1:CB$87,Formula!F42,30)=0,10^6,INDEX(Properties!A$1:CB$87,Formula!F42,30)),IF(INDEX(Properties!A$1:CB$87,Formula!H42,30)=0,10^6,INDEX(Properties!A$1:CB$87,Formula!H42,30)),IF(INDEX(Properties!A$1:CB$87,Formula!J42,30)=0,10^6,INDEX(Properties!A$1:CB$87,Formula!J42,30)))</f>
        <v>0.93</v>
      </c>
      <c r="CS42" s="54">
        <f t="shared" si="15"/>
        <v>2.5099999999999998</v>
      </c>
      <c r="CT42" s="69">
        <f>((Formula!C42)/(Formula!C42+Formula!E42+Formula!G42+Formula!I42+Formula!K42))*(INDEX(Properties!A$1:CB$87,Formula!B42,31))+((Formula!E42)/(Formula!C42+Formula!E42+Formula!G42+Formula!I42+Formula!K42))*(INDEX(Properties!A$1:CB$87,Formula!D42,31))+((Formula!G42)/(Formula!C42+Formula!E42+Formula!G42+Formula!I42+Formula!K42))*(INDEX(Properties!A$1:CB$87,Formula!F42,31))+((Formula!I42)/(Formula!C42+Formula!E42+Formula!G42+Formula!I42+Formula!K42))*(INDEX(Properties!A$1:CB$87,Formula!H42,31))+((Formula!K42)/(Formula!C42+Formula!E42+Formula!G42+Formula!I42+Formula!K42))*(INDEX(Properties!A$1:CB$87,Formula!J42,31))</f>
        <v>2.5009999999999999</v>
      </c>
      <c r="CU42" s="69">
        <f>Formula!C42*(INDEX(Properties!A$1:CB$87,Formula!B42,31))+Formula!E42*(INDEX(Properties!A$1:CB$87,Formula!D42,31))+Formula!G42*(INDEX(Properties!A$1:CB$87,Formula!F42,31))+Formula!I42*(INDEX(Properties!A$1:CB$87,Formula!H42,31))+Formula!K42*(INDEX(Properties!A$1:CB$87,Formula!J42,31))</f>
        <v>25.009999999999998</v>
      </c>
      <c r="CV42" s="69">
        <f>VARP(IF(INDEX(Properties!A$1:CB$87,Formula!B42,31)&lt;&gt;"",INDEX(Properties!A$1:CB$87,Formula!B42,31)),IF(INDEX(Properties!A$1:CB$87,Formula!D42,31)&lt;&gt;"",INDEX(Properties!A$1:CB$87,Formula!D42,31)),IF(INDEX(Properties!A$1:CB$87,Formula!F42,31)&lt;&gt;"",INDEX(Properties!A$1:CB$87,Formula!F42,31)),IF(INDEX(Properties!A$1:CB$87,Formula!H42,31)&lt;&gt;"",INDEX(Properties!A$1:CB$87,Formula!H42,31)),IF(INDEX(Properties!A$1:CB$87,Formula!J42,31)&lt;&gt;"",INDEX(Properties!A$1:CB$87,Formula!J42,31)))</f>
        <v>0.7598159999999996</v>
      </c>
      <c r="CW42" s="69">
        <f>MAX(INDEX(Properties!A$1:CB$87,Formula!B42,31),INDEX(Properties!A$1:CB$87,Formula!D42,31),INDEX(Properties!A$1:CB$87,Formula!F42,31),INDEX(Properties!A$1:CB$87,Formula!H42,31),INDEX(Properties!A$1:CB$87,Formula!J42,31))</f>
        <v>3.32</v>
      </c>
      <c r="CX42" s="69">
        <f>MIN(IF(INDEX(Properties!A$1:CB$87,Formula!B42,31)=0,10^6,INDEX(Properties!A$1:CB$87,Formula!B42,31)),IF(INDEX(Properties!A$1:CB$87,Formula!D42,31)=0,10^6,INDEX(Properties!A$1:CB$87,Formula!D42,31)),IF(INDEX(Properties!A$1:CB$87,Formula!F42,31)=0,10^6,INDEX(Properties!A$1:CB$87,Formula!F42,31)),IF(INDEX(Properties!A$1:CB$87,Formula!H42,31)=0,10^6,INDEX(Properties!A$1:CB$87,Formula!H42,31)),IF(INDEX(Properties!A$1:CB$87,Formula!J42,31)=0,10^6,INDEX(Properties!A$1:CB$87,Formula!J42,31)))</f>
        <v>0.89</v>
      </c>
      <c r="CY42" s="69">
        <f t="shared" si="16"/>
        <v>2.4299999999999997</v>
      </c>
      <c r="CZ42" s="42">
        <f>((Formula!C42)/(Formula!C42+Formula!E42+Formula!G42+Formula!I42+Formula!K42))*(INDEX(Properties!A$1:CB$87,Formula!B42,32))+((Formula!E42)/(Formula!C42+Formula!E42+Formula!G42+Formula!I42+Formula!K42))*(INDEX(Properties!A$1:CB$87,Formula!D42,32))+((Formula!G42)/(Formula!C42+Formula!E42+Formula!G42+Formula!I42+Formula!K42))*(INDEX(Properties!A$1:CB$87,Formula!F42,32))+((Formula!I42)/(Formula!C42+Formula!E42+Formula!G42+Formula!I42+Formula!K42))*(INDEX(Properties!A$1:CB$87,Formula!H42,32))+((Formula!K42)/(Formula!C42+Formula!E42+Formula!G42+Formula!I42+Formula!K42))*(INDEX(Properties!A$1:CB$87,Formula!J42,32))</f>
        <v>5.9340000000000002</v>
      </c>
      <c r="DA42" s="42">
        <f>Formula!C42*(INDEX(Properties!A$1:CB$87,Formula!B42,32))+Formula!E42*(INDEX(Properties!A$1:CB$87,Formula!D42,32))+Formula!G42*(INDEX(Properties!A$1:CB$87,Formula!F42,32))+Formula!I42*(INDEX(Properties!A$1:CB$87,Formula!H42,32))+Formula!K42*(INDEX(Properties!A$1:CB$87,Formula!J42,32))</f>
        <v>59.34</v>
      </c>
      <c r="DB42" s="42">
        <f>VARP(IF(INDEX(Properties!A$1:CB$87,Formula!B42,32)&lt;&gt;"",INDEX(Properties!A$1:CB$87,Formula!B42,32)),IF(INDEX(Properties!A$1:CB$87,Formula!D42,32)&lt;&gt;"",INDEX(Properties!A$1:CB$87,Formula!D42,32)),IF(INDEX(Properties!A$1:CB$87,Formula!F42,32)&lt;&gt;"",INDEX(Properties!A$1:CB$87,Formula!F42,32)),IF(INDEX(Properties!A$1:CB$87,Formula!H42,32)&lt;&gt;"",INDEX(Properties!A$1:CB$87,Formula!H42,32)),IF(INDEX(Properties!A$1:CB$87,Formula!J42,32)&lt;&gt;"",INDEX(Properties!A$1:CB$87,Formula!J42,32)))</f>
        <v>2.8697359999999956</v>
      </c>
      <c r="DC42" s="42">
        <f>MAX(INDEX(Properties!A$1:CB$87,Formula!B42,32),INDEX(Properties!A$1:CB$87,Formula!D42,32),INDEX(Properties!A$1:CB$87,Formula!F42,32),INDEX(Properties!A$1:CB$87,Formula!H42,32),INDEX(Properties!A$1:CB$87,Formula!J42,32))</f>
        <v>7.54</v>
      </c>
      <c r="DD42" s="42">
        <f>MIN(IF(INDEX(Properties!A$1:CB$87,Formula!B42,32)=0,10^6,INDEX(Properties!A$1:CB$87,Formula!B42,32)),IF(INDEX(Properties!A$1:CB$87,Formula!D42,32)=0,10^6,INDEX(Properties!A$1:CB$87,Formula!D42,32)),IF(INDEX(Properties!A$1:CB$87,Formula!F42,32)=0,10^6,INDEX(Properties!A$1:CB$87,Formula!F42,32)),IF(INDEX(Properties!A$1:CB$87,Formula!H42,32)=0,10^6,INDEX(Properties!A$1:CB$87,Formula!H42,32)),IF(INDEX(Properties!A$1:CB$87,Formula!J42,32)=0,10^6,INDEX(Properties!A$1:CB$87,Formula!J42,32)))</f>
        <v>2.85</v>
      </c>
      <c r="DE42" s="42">
        <f t="shared" si="17"/>
        <v>4.6899999999999995</v>
      </c>
      <c r="DF42" s="60">
        <f>((Formula!C42)/(Formula!C42+Formula!E42+Formula!G42+Formula!I42+Formula!K42))*(INDEX(Properties!A$1:CB$87,Formula!B42,34))+((Formula!E42)/(Formula!C42+Formula!E42+Formula!G42+Formula!I42+Formula!K42))*(INDEX(Properties!A$1:CB$87,Formula!D42,34))+((Formula!G42)/(Formula!C42+Formula!E42+Formula!G42+Formula!I42+Formula!K42))*(INDEX(Properties!A$1:CB$87,Formula!F42,34))+((Formula!I42)/(Formula!C42+Formula!E42+Formula!G42+Formula!I42+Formula!K42))*(INDEX(Properties!A$1:CB$87,Formula!H42,34))+((Formula!K42)/(Formula!C42+Formula!E42+Formula!G42+Formula!I42+Formula!K42))*(INDEX(Properties!A$1:CB$87,Formula!J42,34))</f>
        <v>2.6381999999999999</v>
      </c>
      <c r="DG42" s="60">
        <f>Formula!C42*(INDEX(Properties!A$1:CB$87,Formula!B42,34))+Formula!E42*(INDEX(Properties!A$1:CB$87,Formula!D42,34))+Formula!G42*(INDEX(Properties!A$1:CB$87,Formula!F42,34))+Formula!I42*(INDEX(Properties!A$1:CB$87,Formula!H42,34))+Formula!K42*(INDEX(Properties!A$1:CB$87,Formula!J42,34))</f>
        <v>26.381999999999998</v>
      </c>
      <c r="DH42" s="60">
        <f>VARP(IF(INDEX(Properties!A$1:CB$87,Formula!B42,34)&lt;&gt;"",INDEX(Properties!A$1:CB$87,Formula!B42,34)),IF(INDEX(Properties!A$1:CB$87,Formula!D42,34)&lt;&gt;"",INDEX(Properties!A$1:CB$87,Formula!D42,34)),IF(INDEX(Properties!A$1:CB$87,Formula!F42,34)&lt;&gt;"",INDEX(Properties!A$1:CB$87,Formula!F42,34)),IF(INDEX(Properties!A$1:CB$87,Formula!H42,34)&lt;&gt;"",INDEX(Properties!A$1:CB$87,Formula!H42,34)),IF(INDEX(Properties!A$1:CB$87,Formula!J42,34)&lt;&gt;"",INDEX(Properties!A$1:CB$87,Formula!J42,34)))</f>
        <v>0.98473304000000039</v>
      </c>
      <c r="DI42" s="60">
        <f>MAX(INDEX(Properties!A$1:CB$87,Formula!B42,34),INDEX(Properties!A$1:CB$87,Formula!D42,34),INDEX(Properties!A$1:CB$87,Formula!F42,34),INDEX(Properties!A$1:CB$87,Formula!H42,34),INDEX(Properties!A$1:CB$87,Formula!J42,34))</f>
        <v>3.61</v>
      </c>
      <c r="DJ42" s="60">
        <f>MIN(IF(INDEX(Properties!A$1:CB$87,Formula!B42,34)=0,10^6,INDEX(Properties!A$1:CB$87,Formula!B42,34)),IF(INDEX(Properties!A$1:CB$87,Formula!D42,34)=0,10^6,INDEX(Properties!A$1:CB$87,Formula!D42,34)),IF(INDEX(Properties!A$1:CB$87,Formula!F42,34)=0,10^6,INDEX(Properties!A$1:CB$87,Formula!F42,34)),IF(INDEX(Properties!A$1:CB$87,Formula!H42,34)=0,10^6,INDEX(Properties!A$1:CB$87,Formula!H42,34)),IF(INDEX(Properties!A$1:CB$87,Formula!J42,34)=0,10^6,INDEX(Properties!A$1:CB$87,Formula!J42,34)))</f>
        <v>0.86899999999999999</v>
      </c>
      <c r="DK42" s="60">
        <f t="shared" si="18"/>
        <v>2.7409999999999997</v>
      </c>
      <c r="DL42" s="45">
        <f>((Formula!C42)/(Formula!C42+Formula!E42+Formula!G42+Formula!I42+Formula!K42))*(INDEX(Properties!A$1:CB$87,Formula!B42,39))+((Formula!E42)/(Formula!C42+Formula!E42+Formula!G42+Formula!I42+Formula!K42))*(INDEX(Properties!A$1:CB$87,Formula!D42,39))+((Formula!G42)/(Formula!C42+Formula!E42+Formula!G42+Formula!I42+Formula!K42))*(INDEX(Properties!A$1:CB$87,Formula!F42,39))+((Formula!I42)/(Formula!C42+Formula!E42+Formula!G42+Formula!I42+Formula!K42))*(INDEX(Properties!A$1:CB$87,Formula!H42,39))+((Formula!K42)/(Formula!C42+Formula!E42+Formula!G42+Formula!I42+Formula!K42))*(INDEX(Properties!A$1:CB$87,Formula!J42,39))</f>
        <v>1.0490000000000002</v>
      </c>
      <c r="DM42" s="45">
        <f>Formula!C42*(INDEX(Properties!A$1:CB$87,Formula!B42,39))+Formula!E42*(INDEX(Properties!A$1:CB$87,Formula!D42,39))+Formula!G42*(INDEX(Properties!A$1:CB$87,Formula!F42,39))+Formula!I42*(INDEX(Properties!A$1:CB$87,Formula!H42,39))+Formula!K42*(INDEX(Properties!A$1:CB$87,Formula!J42,39))</f>
        <v>10.49</v>
      </c>
      <c r="DN42" s="45">
        <f>VARP(IF(INDEX(Properties!A$1:CB$87,Formula!B42,39)&lt;&gt;"",INDEX(Properties!A$1:CB$87,Formula!B42,39)),IF(INDEX(Properties!A$1:CB$87,Formula!D42,39)&lt;&gt;"",INDEX(Properties!A$1:CB$87,Formula!D42,39)),IF(INDEX(Properties!A$1:CB$87,Formula!F42,39)&lt;&gt;"",INDEX(Properties!A$1:CB$87,Formula!F42,39)),IF(INDEX(Properties!A$1:CB$87,Formula!H42,39)&lt;&gt;"",INDEX(Properties!A$1:CB$87,Formula!H42,39)),IF(INDEX(Properties!A$1:CB$87,Formula!J42,39)&lt;&gt;"",INDEX(Properties!A$1:CB$87,Formula!J42,39)))</f>
        <v>0.40141600000000038</v>
      </c>
      <c r="DO42" s="45">
        <f>MAX(INDEX(Properties!A$1:CB$87,Formula!B42,39),INDEX(Properties!A$1:CB$87,Formula!D42,39),INDEX(Properties!A$1:CB$87,Formula!F42,39),INDEX(Properties!A$1:CB$87,Formula!H42,39),INDEX(Properties!A$1:CB$87,Formula!J42,39))</f>
        <v>2.33</v>
      </c>
      <c r="DP42" s="45">
        <f>MIN(IF(INDEX(Properties!A$1:CB$87,Formula!B42,39)=0,10^6,INDEX(Properties!A$1:CB$87,Formula!B42,39)),IF(INDEX(Properties!A$1:CB$87,Formula!D42,39)=0,10^6,INDEX(Properties!A$1:CB$87,Formula!D42,39)),IF(INDEX(Properties!A$1:CB$87,Formula!F42,39)=0,10^6,INDEX(Properties!A$1:CB$87,Formula!F42,39)),IF(INDEX(Properties!A$1:CB$87,Formula!H42,39)=0,10^6,INDEX(Properties!A$1:CB$87,Formula!H42,39)),IF(INDEX(Properties!A$1:CB$87,Formula!J42,39)=0,10^6,INDEX(Properties!A$1:CB$87,Formula!J42,39)))</f>
        <v>0.48</v>
      </c>
      <c r="DQ42" s="45">
        <f t="shared" si="19"/>
        <v>1.85</v>
      </c>
      <c r="DR42" s="63">
        <f>((Formula!C42)/(Formula!C42+Formula!E42+Formula!G42+Formula!I42+Formula!K42))*(INDEX(Properties!A$1:CB$87,Formula!B42,40))+((Formula!E42)/(Formula!C42+Formula!E42+Formula!G42+Formula!I42+Formula!K42))*(INDEX(Properties!A$1:CB$87,Formula!D42,40))+((Formula!G42)/(Formula!C42+Formula!E42+Formula!G42+Formula!I42+Formula!K42))*(INDEX(Properties!A$1:CB$87,Formula!F42,40))+((Formula!I42)/(Formula!C42+Formula!E42+Formula!G42+Formula!I42+Formula!K42))*(INDEX(Properties!A$1:CB$87,Formula!H42,40))+((Formula!K42)/(Formula!C42+Formula!E42+Formula!G42+Formula!I42+Formula!K42))*(INDEX(Properties!A$1:CB$87,Formula!J42,40))</f>
        <v>1.0290000000000001</v>
      </c>
      <c r="DS42" s="63">
        <f>Formula!C42*(INDEX(Properties!A$1:CB$87,Formula!B42,40))+Formula!E42*(INDEX(Properties!A$1:CB$87,Formula!D42,40))+Formula!G42*(INDEX(Properties!A$1:CB$87,Formula!F42,40))+Formula!I42*(INDEX(Properties!A$1:CB$87,Formula!H42,40))+Formula!K42*(INDEX(Properties!A$1:CB$87,Formula!J42,40))</f>
        <v>10.29</v>
      </c>
      <c r="DT42" s="63">
        <f>VARP(IF(INDEX(Properties!A$1:CB$87,Formula!B42,40)&lt;&gt;"",INDEX(Properties!A$1:CB$87,Formula!B42,40)),IF(INDEX(Properties!A$1:CB$87,Formula!D42,40)&lt;&gt;"",INDEX(Properties!A$1:CB$87,Formula!D42,40)),IF(INDEX(Properties!A$1:CB$87,Formula!F42,40)&lt;&gt;"",INDEX(Properties!A$1:CB$87,Formula!F42,40)),IF(INDEX(Properties!A$1:CB$87,Formula!H42,40)&lt;&gt;"",INDEX(Properties!A$1:CB$87,Formula!H42,40)),IF(INDEX(Properties!A$1:CB$87,Formula!J42,40)&lt;&gt;"",INDEX(Properties!A$1:CB$87,Formula!J42,40)))</f>
        <v>0.10005599999999959</v>
      </c>
      <c r="DU42" s="63">
        <f>MAX(INDEX(Properties!A$1:CB$87,Formula!B42,40),INDEX(Properties!A$1:CB$87,Formula!D42,40),INDEX(Properties!A$1:CB$87,Formula!F42,40),INDEX(Properties!A$1:CB$87,Formula!H42,40),INDEX(Properties!A$1:CB$87,Formula!J42,40))</f>
        <v>1.61</v>
      </c>
      <c r="DV42" s="63">
        <f>MIN(IF(INDEX(Properties!A$1:CB$87,Formula!B42,40)=0,10^6,INDEX(Properties!A$1:CB$87,Formula!B42,40)),IF(INDEX(Properties!A$1:CB$87,Formula!D42,40)=0,10^6,INDEX(Properties!A$1:CB$87,Formula!D42,40)),IF(INDEX(Properties!A$1:CB$87,Formula!F42,40)=0,10^6,INDEX(Properties!A$1:CB$87,Formula!F42,40)),IF(INDEX(Properties!A$1:CB$87,Formula!H42,40)=0,10^6,INDEX(Properties!A$1:CB$87,Formula!H42,40)),IF(INDEX(Properties!A$1:CB$87,Formula!J42,40)=0,10^6,INDEX(Properties!A$1:CB$87,Formula!J42,40)))</f>
        <v>0.73</v>
      </c>
      <c r="DW42" s="63">
        <f t="shared" si="20"/>
        <v>0.88000000000000012</v>
      </c>
      <c r="DX42" s="75">
        <f>((Formula!C42)/(Formula!C42+Formula!E42+Formula!G42+Formula!I42+Formula!K42))*(INDEX(Properties!A$1:CB$87,Formula!B42,41))+((Formula!E42)/(Formula!C42+Formula!E42+Formula!G42+Formula!I42+Formula!K42))*(INDEX(Properties!A$1:CB$87,Formula!D42,41))+((Formula!G42)/(Formula!C42+Formula!E42+Formula!G42+Formula!I42+Formula!K42))*(INDEX(Properties!A$1:CB$87,Formula!F42,41))+((Formula!I42)/(Formula!C42+Formula!E42+Formula!G42+Formula!I42+Formula!K42))*(INDEX(Properties!A$1:CB$87,Formula!H42,41))+((Formula!K42)/(Formula!C42+Formula!E42+Formula!G42+Formula!I42+Formula!K42))*(INDEX(Properties!A$1:CB$87,Formula!J42,41))</f>
        <v>1.1459999999999999</v>
      </c>
      <c r="DY42" s="75">
        <f>Formula!C42*(INDEX(Properties!A$1:CB$87,Formula!B42,41))+Formula!E42*(INDEX(Properties!A$1:CB$87,Formula!D42,41))+Formula!G42*(INDEX(Properties!A$1:CB$87,Formula!F42,41))+Formula!I42*(INDEX(Properties!A$1:CB$87,Formula!H42,41))+Formula!K42*(INDEX(Properties!A$1:CB$87,Formula!J42,41))</f>
        <v>11.46</v>
      </c>
      <c r="DZ42" s="75">
        <f>VARP(IF(INDEX(Properties!A$1:CB$87,Formula!B42,41)&lt;&gt;"",INDEX(Properties!A$1:CB$87,Formula!B42,41)),IF(INDEX(Properties!A$1:CB$87,Formula!D42,41)&lt;&gt;"",INDEX(Properties!A$1:CB$87,Formula!D42,41)),IF(INDEX(Properties!A$1:CB$87,Formula!F42,41)&lt;&gt;"",INDEX(Properties!A$1:CB$87,Formula!F42,41)),IF(INDEX(Properties!A$1:CB$87,Formula!H42,41)&lt;&gt;"",INDEX(Properties!A$1:CB$87,Formula!H42,41)),IF(INDEX(Properties!A$1:CB$87,Formula!J42,41)&lt;&gt;"",INDEX(Properties!A$1:CB$87,Formula!J42,41)))</f>
        <v>3.0815999999999944E-2</v>
      </c>
      <c r="EA42" s="75">
        <f>MAX(INDEX(Properties!A$1:CB$87,Formula!B42,41),INDEX(Properties!A$1:CB$87,Formula!D42,41),INDEX(Properties!A$1:CB$87,Formula!F42,41),INDEX(Properties!A$1:CB$87,Formula!H42,41),INDEX(Properties!A$1:CB$87,Formula!J42,41))</f>
        <v>1.26</v>
      </c>
      <c r="EB42" s="75">
        <f>MIN(IF(INDEX(Properties!A$1:CB$87,Formula!B42,41)=0,10^6,INDEX(Properties!A$1:CB$87,Formula!B42,41)),IF(INDEX(Properties!A$1:CB$87,Formula!D42,41)=0,10^6,INDEX(Properties!A$1:CB$87,Formula!D42,41)),IF(INDEX(Properties!A$1:CB$87,Formula!F42,41)=0,10^6,INDEX(Properties!A$1:CB$87,Formula!F42,41)),IF(INDEX(Properties!A$1:CB$87,Formula!H42,41)=0,10^6,INDEX(Properties!A$1:CB$87,Formula!H42,41)),IF(INDEX(Properties!A$1:CB$87,Formula!J42,41)=0,10^6,INDEX(Properties!A$1:CB$87,Formula!J42,41)))</f>
        <v>0.8</v>
      </c>
      <c r="EC42" s="75">
        <f t="shared" si="21"/>
        <v>0.45999999999999996</v>
      </c>
      <c r="ED42" s="48">
        <f>((Formula!C42)/(Formula!C42+Formula!E42+Formula!G42+Formula!I42+Formula!K42))*(INDEX(Properties!A$1:CB$87,Formula!B42,45))+((Formula!E42)/(Formula!C42+Formula!E42+Formula!G42+Formula!I42+Formula!K42))*(INDEX(Properties!A$1:CB$87,Formula!D42,45))+((Formula!G42)/(Formula!C42+Formula!E42+Formula!G42+Formula!I42+Formula!K42))*(INDEX(Properties!A$1:CB$87,Formula!F42,45))+((Formula!I42)/(Formula!C42+Formula!E42+Formula!G42+Formula!I42+Formula!K42))*(INDEX(Properties!A$1:CB$87,Formula!H42,45))+((Formula!K42)/(Formula!C42+Formula!E42+Formula!G42+Formula!I42+Formula!K42))*(INDEX(Properties!A$1:CB$87,Formula!J42,45))</f>
        <v>1.415</v>
      </c>
      <c r="EE42" s="48">
        <f>Formula!C42*(INDEX(Properties!A$1:CB$87,Formula!B42,45))+Formula!E42*(INDEX(Properties!A$1:CB$87,Formula!D42,45))+Formula!G42*(INDEX(Properties!A$1:CB$87,Formula!F42,45))+Formula!I42*(INDEX(Properties!A$1:CB$87,Formula!H42,45))+Formula!K42*(INDEX(Properties!A$1:CB$87,Formula!J42,45))</f>
        <v>14.15</v>
      </c>
      <c r="EF42" s="48">
        <f>VARP(IF(INDEX(Properties!A$1:CB$87,Formula!B42,45)&lt;&gt;"",INDEX(Properties!A$1:CB$87,Formula!B42,45)),IF(INDEX(Properties!A$1:CB$87,Formula!D42,45)&lt;&gt;"",INDEX(Properties!A$1:CB$87,Formula!D42,45)),IF(INDEX(Properties!A$1:CB$87,Formula!F42,45)&lt;&gt;"",INDEX(Properties!A$1:CB$87,Formula!F42,45)),IF(INDEX(Properties!A$1:CB$87,Formula!H42,45)&lt;&gt;"",INDEX(Properties!A$1:CB$87,Formula!H42,45)),IF(INDEX(Properties!A$1:CB$87,Formula!J42,45)&lt;&gt;"",INDEX(Properties!A$1:CB$87,Formula!J42,45)))</f>
        <v>1.2624000000000002</v>
      </c>
      <c r="EG42" s="48">
        <f>MAX(INDEX(Properties!A$1:CB$87,Formula!B42,45),INDEX(Properties!A$1:CB$87,Formula!D42,45),INDEX(Properties!A$1:CB$87,Formula!F42,45),INDEX(Properties!A$1:CB$87,Formula!H42,45),INDEX(Properties!A$1:CB$87,Formula!J42,45))</f>
        <v>3.91</v>
      </c>
      <c r="EH42" s="48">
        <f>MIN(IF(INDEX(Properties!A$1:CB$87,Formula!B42,45)=0,10^6,INDEX(Properties!A$1:CB$87,Formula!B42,45)),IF(INDEX(Properties!A$1:CB$87,Formula!D42,45)=0,10^6,INDEX(Properties!A$1:CB$87,Formula!D42,45)),IF(INDEX(Properties!A$1:CB$87,Formula!F42,45)=0,10^6,INDEX(Properties!A$1:CB$87,Formula!F42,45)),IF(INDEX(Properties!A$1:CB$87,Formula!H42,45)=0,10^6,INDEX(Properties!A$1:CB$87,Formula!H42,45)),IF(INDEX(Properties!A$1:CB$87,Formula!J42,45)=0,10^6,INDEX(Properties!A$1:CB$87,Formula!J42,45)))</f>
        <v>0.47</v>
      </c>
      <c r="EI42" s="48">
        <f t="shared" si="22"/>
        <v>3.4400000000000004</v>
      </c>
      <c r="EJ42" s="66">
        <f>((Formula!C42)/(Formula!C42+Formula!E42+Formula!G42+Formula!I42+Formula!K42))*(INDEX(Properties!A$1:CB$87,Formula!B42,46))+((Formula!E42)/(Formula!C42+Formula!E42+Formula!G42+Formula!I42+Formula!K42))*(INDEX(Properties!A$1:CB$87,Formula!D42,46))+((Formula!G42)/(Formula!C42+Formula!E42+Formula!G42+Formula!I42+Formula!K42))*(INDEX(Properties!A$1:CB$87,Formula!F42,46))+((Formula!I42)/(Formula!C42+Formula!E42+Formula!G42+Formula!I42+Formula!K42))*(INDEX(Properties!A$1:CB$87,Formula!H42,46))+((Formula!K42)/(Formula!C42+Formula!E42+Formula!G42+Formula!I42+Formula!K42))*(INDEX(Properties!A$1:CB$87,Formula!J42,46))</f>
        <v>1.1099999999999999</v>
      </c>
      <c r="EK42" s="66">
        <f>Formula!C42*(INDEX(Properties!A$1:CB$87,Formula!B42,46))+Formula!E42*(INDEX(Properties!A$1:CB$87,Formula!D42,46))+Formula!G42*(INDEX(Properties!A$1:CB$87,Formula!F42,46))+Formula!I42*(INDEX(Properties!A$1:CB$87,Formula!H42,46))+Formula!K42*(INDEX(Properties!A$1:CB$87,Formula!J42,46))</f>
        <v>11.1</v>
      </c>
      <c r="EL42" s="66">
        <f>VARP(IF(INDEX(Properties!A$1:CB$87,Formula!B42,46)&lt;&gt;"",INDEX(Properties!A$1:CB$87,Formula!B42,46)),IF(INDEX(Properties!A$1:CB$87,Formula!D42,46)&lt;&gt;"",INDEX(Properties!A$1:CB$87,Formula!D42,46)),IF(INDEX(Properties!A$1:CB$87,Formula!F42,46)&lt;&gt;"",INDEX(Properties!A$1:CB$87,Formula!F42,46)),IF(INDEX(Properties!A$1:CB$87,Formula!H42,46)&lt;&gt;"",INDEX(Properties!A$1:CB$87,Formula!H42,46)),IF(INDEX(Properties!A$1:CB$87,Formula!J42,46)&lt;&gt;"",INDEX(Properties!A$1:CB$87,Formula!J42,46)))</f>
        <v>3.2560000000000144E-2</v>
      </c>
      <c r="EM42" s="66">
        <f>MAX(INDEX(Properties!A$1:CB$87,Formula!B42,46),INDEX(Properties!A$1:CB$87,Formula!D42,46),INDEX(Properties!A$1:CB$87,Formula!F42,46),INDEX(Properties!A$1:CB$87,Formula!H42,46),INDEX(Properties!A$1:CB$87,Formula!J42,46))</f>
        <v>1.21</v>
      </c>
      <c r="EN42" s="66">
        <f>MIN(IF(INDEX(Properties!A$1:CB$87,Formula!B42,46)=0,10^6,INDEX(Properties!A$1:CB$87,Formula!B42,46)),IF(INDEX(Properties!A$1:CB$87,Formula!D42,46)=0,10^6,INDEX(Properties!A$1:CB$87,Formula!D42,46)),IF(INDEX(Properties!A$1:CB$87,Formula!F42,46)=0,10^6,INDEX(Properties!A$1:CB$87,Formula!F42,46)),IF(INDEX(Properties!A$1:CB$87,Formula!H42,46)=0,10^6,INDEX(Properties!A$1:CB$87,Formula!H42,46)),IF(INDEX(Properties!A$1:CB$87,Formula!J42,46)=0,10^6,INDEX(Properties!A$1:CB$87,Formula!J42,46)))</f>
        <v>0.74</v>
      </c>
      <c r="EO42" s="66">
        <f t="shared" si="23"/>
        <v>0.47</v>
      </c>
      <c r="EP42" s="81">
        <f>((Formula!C42)/(Formula!C42+Formula!E42+Formula!G42+Formula!I42+Formula!K42))*(INDEX(Properties!A$1:CB$87,Formula!B42,52))+((Formula!E42)/(Formula!C42+Formula!E42+Formula!G42+Formula!I42+Formula!K42))*(INDEX(Properties!A$1:CB$87,Formula!D42,52))+((Formula!G42)/(Formula!C42+Formula!E42+Formula!G42+Formula!I42+Formula!K42))*(INDEX(Properties!A$1:CB$87,Formula!F42,52))+((Formula!I42)/(Formula!C42+Formula!E42+Formula!G42+Formula!I42+Formula!K42))*(INDEX(Properties!A$1:CB$87,Formula!H42,52))+((Formula!K42)/(Formula!C42+Formula!E42+Formula!G42+Formula!I42+Formula!K42))*(INDEX(Properties!A$1:CB$87,Formula!J42,52))</f>
        <v>7.3558000000000021</v>
      </c>
      <c r="EQ42" s="81">
        <f>Formula!C42*(INDEX(Properties!A$1:CB$87,Formula!B42,52))+Formula!E42*(INDEX(Properties!A$1:CB$87,Formula!D42,52))+Formula!G42*(INDEX(Properties!A$1:CB$87,Formula!F42,52))+Formula!I42*(INDEX(Properties!A$1:CB$87,Formula!H42,52))+Formula!K42*(INDEX(Properties!A$1:CB$87,Formula!J42,52))</f>
        <v>73.557999999999993</v>
      </c>
      <c r="ER42" s="81">
        <f>VARP(IF(INDEX(Properties!A$1:CB$87,Formula!B42,52)&lt;&gt;"",INDEX(Properties!A$1:CB$87,Formula!B42,52)),IF(INDEX(Properties!A$1:CB$87,Formula!D42,52)&lt;&gt;"",INDEX(Properties!A$1:CB$87,Formula!D42,52)),IF(INDEX(Properties!A$1:CB$87,Formula!F42,52)&lt;&gt;"",INDEX(Properties!A$1:CB$87,Formula!F42,52)),IF(INDEX(Properties!A$1:CB$87,Formula!H42,52)&lt;&gt;"",INDEX(Properties!A$1:CB$87,Formula!H42,52)),IF(INDEX(Properties!A$1:CB$87,Formula!J42,52)&lt;&gt;"",INDEX(Properties!A$1:CB$87,Formula!J42,52)))</f>
        <v>75.354343839999927</v>
      </c>
      <c r="ES42" s="81">
        <f>MAX(INDEX(Properties!A$1:CB$87,Formula!B42,52),INDEX(Properties!A$1:CB$87,Formula!D42,52),INDEX(Properties!A$1:CB$87,Formula!F42,52),INDEX(Properties!A$1:CB$87,Formula!H42,52),INDEX(Properties!A$1:CB$87,Formula!J42,52))</f>
        <v>23.6</v>
      </c>
      <c r="ET42" s="81">
        <f>MIN(IF(INDEX(Properties!A$1:CB$87,Formula!B42,52)=0,10^6,INDEX(Properties!A$1:CB$87,Formula!B42,52)),IF(INDEX(Properties!A$1:CB$87,Formula!D42,52)=0,10^6,INDEX(Properties!A$1:CB$87,Formula!D42,52)),IF(INDEX(Properties!A$1:CB$87,Formula!F42,52)=0,10^6,INDEX(Properties!A$1:CB$87,Formula!F42,52)),IF(INDEX(Properties!A$1:CB$87,Formula!H42,52)=0,10^6,INDEX(Properties!A$1:CB$87,Formula!H42,52)),IF(INDEX(Properties!A$1:CB$87,Formula!J42,52)=0,10^6,INDEX(Properties!A$1:CB$87,Formula!J42,52)))</f>
        <v>0.79300000000000004</v>
      </c>
      <c r="EU42" s="81">
        <f t="shared" si="24"/>
        <v>22.807000000000002</v>
      </c>
      <c r="EV42" s="39">
        <f>((Formula!C42)/(Formula!C42+Formula!E42+Formula!G42+Formula!I42+Formula!K42))*(INDEX(Properties!A$1:CB$87,Formula!B42,53))+((Formula!E42)/(Formula!C42+Formula!E42+Formula!G42+Formula!I42+Formula!K42))*(INDEX(Properties!A$1:CB$87,Formula!D42,53))+((Formula!G42)/(Formula!C42+Formula!E42+Formula!G42+Formula!I42+Formula!K42))*(INDEX(Properties!A$1:CB$87,Formula!F42,53))+((Formula!I42)/(Formula!C42+Formula!E42+Formula!G42+Formula!I42+Formula!K42))*(INDEX(Properties!A$1:CB$87,Formula!H42,53))+((Formula!K42)/(Formula!C42+Formula!E42+Formula!G42+Formula!I42+Formula!K42))*(INDEX(Properties!A$1:CB$87,Formula!J42,53))</f>
        <v>689.09</v>
      </c>
      <c r="EW42" s="39">
        <f>Formula!C42*(INDEX(Properties!A$1:CB$87,Formula!B42,53))+Formula!E42*(INDEX(Properties!A$1:CB$87,Formula!D42,53))+Formula!G42*(INDEX(Properties!A$1:CB$87,Formula!F42,53))+Formula!I42*(INDEX(Properties!A$1:CB$87,Formula!H42,53))+Formula!K42*(INDEX(Properties!A$1:CB$87,Formula!J42,53))</f>
        <v>6890.9</v>
      </c>
      <c r="EX42" s="39">
        <f>VARP(IF(INDEX(Properties!A$1:CB$87,Formula!B42,53)&lt;&gt;"",INDEX(Properties!A$1:CB$87,Formula!B42,53)),IF(INDEX(Properties!A$1:CB$87,Formula!D42,53)&lt;&gt;"",INDEX(Properties!A$1:CB$87,Formula!D42,53)),IF(INDEX(Properties!A$1:CB$87,Formula!F42,53)&lt;&gt;"",INDEX(Properties!A$1:CB$87,Formula!F42,53)),IF(INDEX(Properties!A$1:CB$87,Formula!H42,53)&lt;&gt;"",INDEX(Properties!A$1:CB$87,Formula!H42,53)),IF(INDEX(Properties!A$1:CB$87,Formula!J42,53)&lt;&gt;"",INDEX(Properties!A$1:CB$87,Formula!J42,53)))</f>
        <v>1663018.6016000011</v>
      </c>
      <c r="EY42" s="39">
        <f>MAX(INDEX(Properties!A$1:CB$87,Formula!B42,53),INDEX(Properties!A$1:CB$87,Formula!D42,53),INDEX(Properties!A$1:CB$87,Formula!F42,53),INDEX(Properties!A$1:CB$87,Formula!H42,53),INDEX(Properties!A$1:CB$87,Formula!J42,53))</f>
        <v>3683.15</v>
      </c>
      <c r="EZ42" s="39">
        <f>MIN(IF(INDEX(Properties!A$1:CB$87,Formula!B42,53)=0,10^6,INDEX(Properties!A$1:CB$87,Formula!B42,53)),IF(INDEX(Properties!A$1:CB$87,Formula!D42,53)=0,10^6,INDEX(Properties!A$1:CB$87,Formula!D42,53)),IF(INDEX(Properties!A$1:CB$87,Formula!F42,53)=0,10^6,INDEX(Properties!A$1:CB$87,Formula!F42,53)),IF(INDEX(Properties!A$1:CB$87,Formula!H42,53)=0,10^6,INDEX(Properties!A$1:CB$87,Formula!H42,53)),IF(INDEX(Properties!A$1:CB$87,Formula!J42,53)=0,10^6,INDEX(Properties!A$1:CB$87,Formula!J42,53)))</f>
        <v>54.749999999999972</v>
      </c>
      <c r="FA42" s="39">
        <f t="shared" si="25"/>
        <v>3628.4</v>
      </c>
      <c r="FB42" s="54">
        <f>((Formula!C42)/(Formula!C42+Formula!E42+Formula!G42+Formula!I42+Formula!K42))*(INDEX(Properties!A$1:CB$87,Formula!B42,54))+((Formula!E42)/(Formula!C42+Formula!E42+Formula!G42+Formula!I42+Formula!K42))*(INDEX(Properties!A$1:CB$87,Formula!D42,54))+((Formula!G42)/(Formula!C42+Formula!E42+Formula!G42+Formula!I42+Formula!K42))*(INDEX(Properties!A$1:CB$87,Formula!F42,54))+((Formula!I42)/(Formula!C42+Formula!E42+Formula!G42+Formula!I42+Formula!K42))*(INDEX(Properties!A$1:CB$87,Formula!H42,54))+((Formula!K42)/(Formula!C42+Formula!E42+Formula!G42+Formula!I42+Formula!K42))*(INDEX(Properties!A$1:CB$87,Formula!J42,54))</f>
        <v>1253.95</v>
      </c>
      <c r="FC42" s="54">
        <f>Formula!C42*(INDEX(Properties!A$1:CB$87,Formula!B42,54))+Formula!E42*(INDEX(Properties!A$1:CB$87,Formula!D42,54))+Formula!G42*(INDEX(Properties!A$1:CB$87,Formula!F42,54))+Formula!I42*(INDEX(Properties!A$1:CB$87,Formula!H42,54))+Formula!K42*(INDEX(Properties!A$1:CB$87,Formula!J42,54))</f>
        <v>12539.5</v>
      </c>
      <c r="FD42" s="54">
        <f>VARP(IF(INDEX(Properties!A$1:CB$87,Formula!B42,54)&lt;&gt;"",INDEX(Properties!A$1:CB$87,Formula!B42,54)),IF(INDEX(Properties!A$1:CB$87,Formula!D42,54)&lt;&gt;"",INDEX(Properties!A$1:CB$87,Formula!D42,54)),IF(INDEX(Properties!A$1:CB$87,Formula!F42,54)&lt;&gt;"",INDEX(Properties!A$1:CB$87,Formula!F42,54)),IF(INDEX(Properties!A$1:CB$87,Formula!H42,54)&lt;&gt;"",INDEX(Properties!A$1:CB$87,Formula!H42,54)),IF(INDEX(Properties!A$1:CB$87,Formula!J42,54)&lt;&gt;"",INDEX(Properties!A$1:CB$87,Formula!J42,54)))</f>
        <v>4350572.2399999984</v>
      </c>
      <c r="FE42" s="54">
        <f>MAX(INDEX(Properties!A$1:CB$87,Formula!B42,54),INDEX(Properties!A$1:CB$87,Formula!D42,54),INDEX(Properties!A$1:CB$87,Formula!F42,54),INDEX(Properties!A$1:CB$87,Formula!H42,54),INDEX(Properties!A$1:CB$87,Formula!J42,54))</f>
        <v>5933.15</v>
      </c>
      <c r="FF42" s="54">
        <f>MIN(IF(INDEX(Properties!A$1:CB$87,Formula!B42,54)=0,10^6,INDEX(Properties!A$1:CB$87,Formula!B42,54)),IF(INDEX(Properties!A$1:CB$87,Formula!D42,54)=0,10^6,INDEX(Properties!A$1:CB$87,Formula!D42,54)),IF(INDEX(Properties!A$1:CB$87,Formula!F42,54)=0,10^6,INDEX(Properties!A$1:CB$87,Formula!F42,54)),IF(INDEX(Properties!A$1:CB$87,Formula!H42,54)=0,10^6,INDEX(Properties!A$1:CB$87,Formula!H42,54)),IF(INDEX(Properties!A$1:CB$87,Formula!J42,54)=0,10^6,INDEX(Properties!A$1:CB$87,Formula!J42,54)))</f>
        <v>90.149999999999977</v>
      </c>
      <c r="FG42" s="54">
        <f t="shared" si="26"/>
        <v>5843</v>
      </c>
      <c r="FH42" s="69">
        <f>((Formula!C42)/(Formula!C42+Formula!E42+Formula!G42+Formula!I42+Formula!K42))*(INDEX(Properties!A$1:CB$87,Formula!B42,55))+((Formula!E42)/(Formula!C42+Formula!E42+Formula!G42+Formula!I42+Formula!K42))*(INDEX(Properties!A$1:CB$87,Formula!D42,55))+((Formula!G42)/(Formula!C42+Formula!E42+Formula!G42+Formula!I42+Formula!K42))*(INDEX(Properties!A$1:CB$87,Formula!F42,55))+((Formula!I42)/(Formula!C42+Formula!E42+Formula!G42+Formula!I42+Formula!K42))*(INDEX(Properties!A$1:CB$87,Formula!H42,55))+((Formula!K42)/(Formula!C42+Formula!E42+Formula!G42+Formula!I42+Formula!K42))*(INDEX(Properties!A$1:CB$87,Formula!J42,55))</f>
        <v>2.9919580000000003</v>
      </c>
      <c r="FI42" s="69">
        <f>Formula!C42*(INDEX(Properties!A$1:CB$87,Formula!B42,55))+Formula!E42*(INDEX(Properties!A$1:CB$87,Formula!D42,54))+Formula!G42*(INDEX(Properties!A$1:CB$87,Formula!F42,55))+Formula!I42*(INDEX(Properties!A$1:CB$87,Formula!H42,55))+Formula!K42*(INDEX(Properties!A$1:CB$87,Formula!J42,55))</f>
        <v>3568.1695800000002</v>
      </c>
      <c r="FJ42" s="69">
        <f>VARP(IF(INDEX(Properties!A$1:CB$87,Formula!B42,55)&lt;&gt;"",INDEX(Properties!A$1:CB$87,Formula!B42,55)),IF(INDEX(Properties!A$1:CB$87,Formula!D42,55)&lt;&gt;"",INDEX(Properties!A$1:CB$87,Formula!D42,55)),IF(INDEX(Properties!A$1:CB$87,Formula!F42,55)&lt;&gt;"",INDEX(Properties!A$1:CB$87,Formula!F42,55)),IF(INDEX(Properties!A$1:CB$87,Formula!H42,55)&lt;&gt;"",INDEX(Properties!A$1:CB$87,Formula!H42,55)),IF(INDEX(Properties!A$1:CB$87,Formula!J42,55)&lt;&gt;"",INDEX(Properties!A$1:CB$87,Formula!J42,55)))</f>
        <v>51.983949868784002</v>
      </c>
      <c r="FK42" s="69">
        <f>MAX(INDEX(Properties!A$1:CB$87,Formula!B42,55),INDEX(Properties!A$1:CB$87,Formula!D42,55),INDEX(Properties!A$1:CB$87,Formula!F42,55),INDEX(Properties!A$1:CB$87,Formula!H42,55),INDEX(Properties!A$1:CB$87,Formula!J42,55))</f>
        <v>19.3</v>
      </c>
      <c r="FL42" s="69">
        <f>MIN(IF(INDEX(Properties!A$1:CB$87,Formula!B42,55)=0,10^6,INDEX(Properties!A$1:CB$87,Formula!B42,55)),IF(INDEX(Properties!A$1:CB$87,Formula!D42,55)=0,10^6,INDEX(Properties!A$1:CB$87,Formula!D42,55)),IF(INDEX(Properties!A$1:CB$87,Formula!F42,55)=0,10^6,INDEX(Properties!A$1:CB$87,Formula!F42,55)),IF(INDEX(Properties!A$1:CB$87,Formula!H42,55)=0,10^6,INDEX(Properties!A$1:CB$87,Formula!H42,55)),IF(INDEX(Properties!A$1:CB$87,Formula!J42,55)=0,10^6,INDEX(Properties!A$1:CB$87,Formula!J42,55)))</f>
        <v>1.4300000000000001E-3</v>
      </c>
      <c r="FM42" s="69">
        <f t="shared" si="27"/>
        <v>19.298570000000002</v>
      </c>
      <c r="FN42" s="42">
        <f>((Formula!C42)/(Formula!C42+Formula!E42+Formula!G42+Formula!I42+Formula!K42))*(INDEX(Properties!A$1:CB$87,Formula!B42,56))+((Formula!E42)/(Formula!C42+Formula!E42+Formula!G42+Formula!I42+Formula!K42))*(INDEX(Properties!A$1:CB$87,Formula!D42,56))+((Formula!G42)/(Formula!C42+Formula!E42+Formula!G42+Formula!I42+Formula!K42))*(INDEX(Properties!A$1:CB$87,Formula!F42,56))+((Formula!I42)/(Formula!C42+Formula!E42+Formula!G42+Formula!I42+Formula!K42))*(INDEX(Properties!A$1:CB$87,Formula!H42,56))+((Formula!K42)/(Formula!C42+Formula!E42+Formula!G42+Formula!I42+Formula!K42))*(INDEX(Properties!A$1:CB$87,Formula!J42,56))</f>
        <v>0.81300000000000006</v>
      </c>
      <c r="FO42" s="42">
        <f>Formula!C42*(INDEX(Properties!A$1:CB$87,Formula!B42,56))+Formula!E42*(INDEX(Properties!A$1:CB$87,Formula!D42,56))+Formula!G42*(INDEX(Properties!A$1:CB$87,Formula!F42,56))+Formula!I42*(INDEX(Properties!A$1:CB$87,Formula!H42,56))+Formula!K42*(INDEX(Properties!A$1:CB$87,Formula!J42,56))</f>
        <v>8.1300000000000008</v>
      </c>
      <c r="FP42" s="42">
        <f>VARP(IF(INDEX(Properties!A$1:CB$87,Formula!B42,56)&lt;&gt;"",INDEX(Properties!A$1:CB$87,Formula!B42,56)),IF(INDEX(Properties!A$1:CB$87,Formula!D42,56)&lt;&gt;"",INDEX(Properties!A$1:CB$87,Formula!D42,56)),IF(INDEX(Properties!A$1:CB$87,Formula!F42,56)&lt;&gt;"",INDEX(Properties!A$1:CB$87,Formula!F42,56)),IF(INDEX(Properties!A$1:CB$87,Formula!H42,56)&lt;&gt;"",INDEX(Properties!A$1:CB$87,Formula!H42,56)),IF(INDEX(Properties!A$1:CB$87,Formula!J42,56)&lt;&gt;"",INDEX(Properties!A$1:CB$87,Formula!J42,56)))</f>
        <v>0.19546400000000005</v>
      </c>
      <c r="FQ42" s="42">
        <f>MAX(INDEX(Properties!A$1:CB$87,Formula!B42,56),INDEX(Properties!A$1:CB$87,Formula!D42,56),INDEX(Properties!A$1:CB$87,Formula!F42,56),INDEX(Properties!A$1:CB$87,Formula!H42,56),INDEX(Properties!A$1:CB$87,Formula!J42,56))</f>
        <v>1.23</v>
      </c>
      <c r="FR42" s="42">
        <f>MIN(IF(INDEX(Properties!A$1:CB$87,Formula!B42,56)=0,10^6,INDEX(Properties!A$1:CB$87,Formula!B42,56)),IF(INDEX(Properties!A$1:CB$87,Formula!D42,56)=0,10^6,INDEX(Properties!A$1:CB$87,Formula!D42,56)),IF(INDEX(Properties!A$1:CB$87,Formula!F42,56)=0,10^6,INDEX(Properties!A$1:CB$87,Formula!F42,56)),IF(INDEX(Properties!A$1:CB$87,Formula!H42,56)=0,10^6,INDEX(Properties!A$1:CB$87,Formula!H42,56)),IF(INDEX(Properties!A$1:CB$87,Formula!J42,56)=0,10^6,INDEX(Properties!A$1:CB$87,Formula!J42,56)))</f>
        <v>0.13</v>
      </c>
      <c r="FS42" s="42">
        <f t="shared" si="28"/>
        <v>1.1000000000000001</v>
      </c>
      <c r="FT42" s="60">
        <f>((Formula!C42)/(Formula!C42+Formula!E42+Formula!G42+Formula!I42+Formula!K42))*(INDEX(Properties!A$1:CB$87,Formula!B42,57))+((Formula!E42)/(Formula!C42+Formula!E42+Formula!G42+Formula!I42+Formula!K42))*(INDEX(Properties!A$1:CB$87,Formula!D42,57))+((Formula!G42)/(Formula!C42+Formula!E42+Formula!G42+Formula!I42+Formula!K42))*(INDEX(Properties!A$1:CB$87,Formula!F42,57))+((Formula!I42)/(Formula!C42+Formula!E42+Formula!G42+Formula!I42+Formula!K42))*(INDEX(Properties!A$1:CB$87,Formula!H42,57))+((Formula!K42)/(Formula!C42+Formula!E42+Formula!G42+Formula!I42+Formula!K42))*(INDEX(Properties!A$1:CB$87,Formula!J42,57))</f>
        <v>5.8337540000000008</v>
      </c>
      <c r="FU42" s="60">
        <f>Formula!C42*(INDEX(Properties!A$1:CB$87,Formula!B42,57))+Formula!E42*(INDEX(Properties!A$1:CB$87,Formula!D42,57))+Formula!G42*(INDEX(Properties!A$1:CB$87,Formula!F42,57))+Formula!I42*(INDEX(Properties!A$1:CB$87,Formula!H42,57))+Formula!K42*(INDEX(Properties!A$1:CB$87,Formula!J42,57))</f>
        <v>58.337539999999997</v>
      </c>
      <c r="FV42" s="60">
        <f>VARP(IF(INDEX(Properties!A$1:CB$87,Formula!B42,57)&lt;&gt;"",INDEX(Properties!A$1:CB$87,Formula!B42,57)),IF(INDEX(Properties!A$1:CB$87,Formula!D42,57)&lt;&gt;"",INDEX(Properties!A$1:CB$87,Formula!D42,57)),IF(INDEX(Properties!A$1:CB$87,Formula!F42,57)&lt;&gt;"",INDEX(Properties!A$1:CB$87,Formula!F42,57)),IF(INDEX(Properties!A$1:CB$87,Formula!H42,57)&lt;&gt;"",INDEX(Properties!A$1:CB$87,Formula!H42,57)),IF(INDEX(Properties!A$1:CB$87,Formula!J42,57)&lt;&gt;"",INDEX(Properties!A$1:CB$87,Formula!J42,57)))</f>
        <v>157.24100523489599</v>
      </c>
      <c r="FW42" s="60">
        <f>MAX(INDEX(Properties!A$1:CB$87,Formula!B42,57),INDEX(Properties!A$1:CB$87,Formula!D42,57),INDEX(Properties!A$1:CB$87,Formula!F42,57),INDEX(Properties!A$1:CB$87,Formula!H42,57),INDEX(Properties!A$1:CB$87,Formula!J42,57))</f>
        <v>35.4</v>
      </c>
      <c r="FX42" s="60">
        <f>MIN(IF(INDEX(Properties!A$1:CB$87,Formula!B42,57)=0,10^6,INDEX(Properties!A$1:CB$87,Formula!B42,57)),IF(INDEX(Properties!A$1:CB$87,Formula!D42,57)=0,10^6,INDEX(Properties!A$1:CB$87,Formula!D42,57)),IF(INDEX(Properties!A$1:CB$87,Formula!F42,57)=0,10^6,INDEX(Properties!A$1:CB$87,Formula!F42,57)),IF(INDEX(Properties!A$1:CB$87,Formula!H42,57)=0,10^6,INDEX(Properties!A$1:CB$87,Formula!H42,57)),IF(INDEX(Properties!A$1:CB$87,Formula!J42,57)=0,10^6,INDEX(Properties!A$1:CB$87,Formula!J42,57)))</f>
        <v>0.22259000000000001</v>
      </c>
      <c r="FY42" s="60">
        <f t="shared" si="29"/>
        <v>35.177410000000002</v>
      </c>
      <c r="FZ42" s="72">
        <f>((Formula!C42)/(Formula!C42+Formula!E42+Formula!G42+Formula!I42+Formula!K42))*(INDEX(Properties!A$1:CB$87,Formula!B42,60))+((Formula!E42)/(Formula!C42+Formula!E42+Formula!G42+Formula!I42+Formula!K42))*(INDEX(Properties!A$1:CB$87,Formula!D42,60))+((Formula!G42)/(Formula!C42+Formula!E42+Formula!G42+Formula!I42+Formula!K42))*(INDEX(Properties!A$1:CB$87,Formula!F42,60))+((Formula!I42)/(Formula!C42+Formula!E42+Formula!G42+Formula!I42+Formula!K42))*(INDEX(Properties!A$1:CB$87,Formula!H42,60))+((Formula!K42)/(Formula!C42+Formula!E42+Formula!G42+Formula!I42+Formula!K42))*(INDEX(Properties!A$1:CB$87,Formula!J42,60))</f>
        <v>48.176044000000012</v>
      </c>
      <c r="GA42" s="72">
        <f>Formula!C42*(INDEX(Properties!A$1:CB$87,Formula!B42,60))+Formula!E42*(INDEX(Properties!A$1:CB$87,Formula!D42,60))+Formula!G42*(INDEX(Properties!A$1:CB$87,Formula!F42,60))+Formula!I42*(INDEX(Properties!A$1:CB$87,Formula!H42,60))+Formula!K42*(INDEX(Properties!A$1:CB$87,Formula!J42,60))</f>
        <v>481.76044000000002</v>
      </c>
      <c r="GB42" s="72">
        <f>VARP(IF(INDEX(Properties!A$1:CB$87,Formula!B42,60)&lt;&gt;"",INDEX(Properties!A$1:CB$87,Formula!B42,60)),IF(INDEX(Properties!A$1:CB$87,Formula!D42,60)&lt;&gt;"",INDEX(Properties!A$1:CB$87,Formula!D42,60)),IF(INDEX(Properties!A$1:CB$87,Formula!F42,60)&lt;&gt;"",INDEX(Properties!A$1:CB$87,Formula!F42,60)),IF(INDEX(Properties!A$1:CB$87,Formula!H42,60)&lt;&gt;"",INDEX(Properties!A$1:CB$87,Formula!H42,60)),IF(INDEX(Properties!A$1:CB$87,Formula!J42,60)&lt;&gt;"",INDEX(Properties!A$1:CB$87,Formula!J42,60)))</f>
        <v>5642.4994756844162</v>
      </c>
      <c r="GC42" s="72">
        <f>MAX(INDEX(Properties!A$1:CB$87,Formula!B42,60),INDEX(Properties!A$1:CB$87,Formula!D42,60),INDEX(Properties!A$1:CB$87,Formula!F42,60),INDEX(Properties!A$1:CB$87,Formula!H42,60),INDEX(Properties!A$1:CB$87,Formula!J42,60))</f>
        <v>174</v>
      </c>
      <c r="GD42" s="72">
        <f>MIN(IF(INDEX(Properties!A$1:CB$87,Formula!B42,60)=0,10^6,INDEX(Properties!A$1:CB$87,Formula!B42,60)),IF(INDEX(Properties!A$1:CB$87,Formula!D42,60)=0,10^6,INDEX(Properties!A$1:CB$87,Formula!D42,60)),IF(INDEX(Properties!A$1:CB$87,Formula!F42,60)=0,10^6,INDEX(Properties!A$1:CB$87,Formula!F42,60)),IF(INDEX(Properties!A$1:CB$87,Formula!H42,60)=0,10^6,INDEX(Properties!A$1:CB$87,Formula!H42,60)),IF(INDEX(Properties!A$1:CB$87,Formula!J42,60)=0,10^6,INDEX(Properties!A$1:CB$87,Formula!J42,60)))</f>
        <v>2.674E-2</v>
      </c>
      <c r="GE42" s="72">
        <f t="shared" si="30"/>
        <v>173.97326000000001</v>
      </c>
      <c r="GF42" s="51">
        <f>((Formula!C42)/(Formula!C42+Formula!E42+Formula!G42+Formula!I42+Formula!K42))*(INDEX(Properties!A$1:CB$87,Formula!B42,62))+((Formula!E42)/(Formula!C42+Formula!E42+Formula!G42+Formula!I42+Formula!K42))*(INDEX(Properties!A$1:CB$87,Formula!D42,62))+((Formula!G42)/(Formula!C42+Formula!E42+Formula!G42+Formula!I42+Formula!K42))*(INDEX(Properties!A$1:CB$87,Formula!F42,62))+((Formula!I42)/(Formula!C42+Formula!E42+Formula!G42+Formula!I42+Formula!K42))*(INDEX(Properties!A$1:CB$87,Formula!H42,62))+((Formula!K42)/(Formula!C42+Formula!E42+Formula!G42+Formula!I42+Formula!K42))*(INDEX(Properties!A$1:CB$87,Formula!J42,62))</f>
        <v>3.1383000000000001</v>
      </c>
      <c r="GG42" s="51">
        <f>Formula!C42*(INDEX(Properties!A$1:CB$87,Formula!B42,62))+Formula!E42*(INDEX(Properties!A$1:CB$87,Formula!D42,62))+Formula!G42*(INDEX(Properties!A$1:CB$87,Formula!F42,62))+Formula!I42*(INDEX(Properties!A$1:CB$87,Formula!H42,62))+Formula!K42*(INDEX(Properties!A$1:CB$87,Formula!J42,62))</f>
        <v>31.383000000000003</v>
      </c>
      <c r="GH42" s="51">
        <f>VARP(IF(INDEX(Properties!A$1:CB$87,Formula!B42,62)&lt;&gt;"",INDEX(Properties!A$1:CB$87,Formula!B42,62)),IF(INDEX(Properties!A$1:CB$87,Formula!D42,62)&lt;&gt;"",INDEX(Properties!A$1:CB$87,Formula!D42,62)),IF(INDEX(Properties!A$1:CB$87,Formula!F42,62)&lt;&gt;"",INDEX(Properties!A$1:CB$87,Formula!F42,62)),IF(INDEX(Properties!A$1:CB$87,Formula!H42,62)&lt;&gt;"",INDEX(Properties!A$1:CB$87,Formula!H42,62)),IF(INDEX(Properties!A$1:CB$87,Formula!J42,62)&lt;&gt;"",INDEX(Properties!A$1:CB$87,Formula!J42,62)))</f>
        <v>7.9758502399999998</v>
      </c>
      <c r="GI42" s="51">
        <f>MAX(INDEX(Properties!A$1:CB$87,Formula!B42,62),INDEX(Properties!A$1:CB$87,Formula!D42,62),INDEX(Properties!A$1:CB$87,Formula!F42,62),INDEX(Properties!A$1:CB$87,Formula!H42,62),INDEX(Properties!A$1:CB$87,Formula!J42,62))</f>
        <v>8.9</v>
      </c>
      <c r="GJ42" s="51">
        <f>MIN(IF(INDEX(Properties!A$1:CB$87,Formula!B42,62)=0,10^6,INDEX(Properties!A$1:CB$87,Formula!B42,62)),IF(INDEX(Properties!A$1:CB$87,Formula!D42,62)=0,10^6,INDEX(Properties!A$1:CB$87,Formula!D42,62)),IF(INDEX(Properties!A$1:CB$87,Formula!F42,62)=0,10^6,INDEX(Properties!A$1:CB$87,Formula!F42,62)),IF(INDEX(Properties!A$1:CB$87,Formula!H42,62)=0,10^6,INDEX(Properties!A$1:CB$87,Formula!H42,62)),IF(INDEX(Properties!A$1:CB$87,Formula!J42,62)=0,10^6,INDEX(Properties!A$1:CB$87,Formula!J42,62)))</f>
        <v>1.113</v>
      </c>
      <c r="GK42" s="51">
        <f t="shared" si="31"/>
        <v>7.7870000000000008</v>
      </c>
      <c r="GL42" s="51">
        <f>Formula!P42</f>
        <v>4</v>
      </c>
      <c r="GM42" s="57">
        <f>Formula!O42</f>
        <v>2</v>
      </c>
      <c r="GN42" s="51">
        <f>Formula!N42</f>
        <v>5.0000000000000001E-3</v>
      </c>
    </row>
    <row r="43" spans="1:196" x14ac:dyDescent="0.3">
      <c r="A43" s="84" t="str">
        <f>Formula!A43</f>
        <v>BaZrO3</v>
      </c>
      <c r="B43" s="89">
        <f>((Formula!C43)/(Formula!C43+Formula!E43+Formula!G43+Formula!I43+Formula!K43))*(INDEX(Properties!A$1:CB$87,Formula!B43,3))+((Formula!E43)/(Formula!C43+Formula!E43+Formula!G43+Formula!I43+Formula!K43))*(INDEX(Properties!A$1:CB$87,Formula!D43,3))+((Formula!G43)/(Formula!C43+Formula!E43+Formula!G43+Formula!I43+Formula!K43))*(INDEX(Properties!A$1:CB$87,Formula!F43,3))+((Formula!I43)/(Formula!C43+Formula!E43+Formula!G43+Formula!I43+Formula!K43))*(INDEX(Properties!A$1:CB$87,Formula!H43,3))+((Formula!K43)/(Formula!C43+Formula!E43+Formula!G43+Formula!I43+Formula!K43))*(INDEX(Properties!A$1:CB$87,Formula!J43,3))</f>
        <v>55.309840000000001</v>
      </c>
      <c r="C43" s="85">
        <f>Formula!C43*(INDEX(Properties!A$1:CB$87,Formula!B43,3))+Formula!E43*(INDEX(Properties!A$1:CB$87,Formula!D43,3))+Formula!G43*(INDEX(Properties!A$1:CB$87,Formula!F43,3))+Formula!I43*(INDEX(Properties!A$1:CB$87,Formula!H43,3))+Formula!K43*(INDEX(Properties!A$1:CB$87,Formula!J43,3))</f>
        <v>276.54919999999998</v>
      </c>
      <c r="D43" s="85">
        <f>VARP(IF(INDEX(Properties!A$1:CB$87,Formula!B43,3)&lt;&gt;"",INDEX(Properties!A$1:CB$87,Formula!B43,3)),IF(INDEX(Properties!A$1:CB$87,Formula!D43,3)&lt;&gt;"",INDEX(Properties!A$1:CB$87,Formula!D43,3)),IF(INDEX(Properties!A$1:CB$87,Formula!F43,3)&lt;&gt;"",INDEX(Properties!A$1:CB$87,Formula!F43,3)),IF(INDEX(Properties!A$1:CB$87,Formula!H43,3)&lt;&gt;"",INDEX(Properties!A$1:CB$87,Formula!H43,3)),IF(INDEX(Properties!A$1:CB$87,Formula!J43,3)&lt;&gt;"",INDEX(Properties!A$1:CB$87,Formula!J43,3)))</f>
        <v>3095.1048554656004</v>
      </c>
      <c r="E43" s="85">
        <f>MAX(INDEX(Properties!A$1:CB$87,Formula!B43,3),INDEX(Properties!A$1:CB$87,Formula!D43,3),INDEX(Properties!A$1:CB$87,Formula!F43,3),INDEX(Properties!A$1:CB$87,Formula!H43,3),INDEX(Properties!A$1:CB$87,Formula!J43,3))</f>
        <v>137.327</v>
      </c>
      <c r="F43" s="85">
        <f>MIN(IF(INDEX(Properties!A$1:CB$87,Formula!B43,3)=0,10^6,INDEX(Properties!A$1:CB$87,Formula!B43,3)),IF(INDEX(Properties!A$1:CB$87,Formula!D43,3)=0,10^6,INDEX(Properties!A$1:CB$87,Formula!D43,3)),IF(INDEX(Properties!A$1:CB$87,Formula!F43,3)=0,10^6,INDEX(Properties!A$1:CB$87,Formula!F43,3)),IF(INDEX(Properties!A$1:CB$87,Formula!H43,3)=0,10^6,INDEX(Properties!A$1:CB$87,Formula!H43,3)),IF(INDEX(Properties!A$1:CB$87,Formula!J43,3)=0,10^6,INDEX(Properties!A$1:CB$87,Formula!J43,3)))</f>
        <v>15.9994</v>
      </c>
      <c r="G43" s="85">
        <f t="shared" si="0"/>
        <v>121.3276</v>
      </c>
      <c r="H43" s="87">
        <f>((Formula!C43)/(Formula!C43+Formula!E43+Formula!G43+Formula!I43+Formula!K43))*(INDEX(Properties!A$1:CB$87,Formula!B43,4))+((Formula!E43)/(Formula!C43+Formula!E43+Formula!G43+Formula!I43+Formula!K43))*(INDEX(Properties!A$1:CB$87,Formula!D43,4))+((Formula!G43)/(Formula!C43+Formula!E43+Formula!G43+Formula!I43+Formula!K43))*(INDEX(Properties!A$1:CB$87,Formula!F43,4))+((Formula!I43)/(Formula!C43+Formula!E43+Formula!G43+Formula!I43+Formula!K43))*(INDEX(Properties!A$1:CB$87,Formula!H43,4))+((Formula!K43)/(Formula!C43+Formula!E43+Formula!G43+Formula!I43+Formula!K43))*(INDEX(Properties!A$1:CB$87,Formula!J43,4))</f>
        <v>24.000000000000004</v>
      </c>
      <c r="I43" s="87">
        <f>Formula!C43*(INDEX(Properties!A$1:CB$87,Formula!B43,4))+Formula!E43*(INDEX(Properties!A$1:CB$87,Formula!D43,4))+Formula!G43*(INDEX(Properties!A$1:CB$87,Formula!F43,4))+Formula!I43*(INDEX(Properties!A$1:CB$87,Formula!H43,4))+Formula!K43*(INDEX(Properties!A$1:CB$87,Formula!J43,4))</f>
        <v>120</v>
      </c>
      <c r="J43" s="87">
        <f>VARP(IF(INDEX(Properties!A$1:CB$87,Formula!B43,4)&lt;&gt;"",INDEX(Properties!A$1:CB$87,Formula!B43,4)),IF(INDEX(Properties!A$1:CB$87,Formula!D43,4)&lt;&gt;"",INDEX(Properties!A$1:CB$87,Formula!D43,4)),IF(INDEX(Properties!A$1:CB$87,Formula!F43,4)&lt;&gt;"",INDEX(Properties!A$1:CB$87,Formula!F43,4)),IF(INDEX(Properties!A$1:CB$87,Formula!H43,4)&lt;&gt;"",INDEX(Properties!A$1:CB$87,Formula!H43,4)),IF(INDEX(Properties!A$1:CB$87,Formula!J43,4)&lt;&gt;"",INDEX(Properties!A$1:CB$87,Formula!J43,4)))</f>
        <v>527.36</v>
      </c>
      <c r="K43" s="87">
        <f>MAX(INDEX(Properties!A$1:CB$87,Formula!B43,4),INDEX(Properties!A$1:CB$87,Formula!D43,4),INDEX(Properties!A$1:CB$87,Formula!F43,4),INDEX(Properties!A$1:CB$87,Formula!H43,4),INDEX(Properties!A$1:CB$87,Formula!J43,4))</f>
        <v>56</v>
      </c>
      <c r="L43" s="87">
        <f>MIN(IF(INDEX(Properties!A$1:CB$87,Formula!B43,4)=0,10^6,INDEX(Properties!A$1:CB$87,Formula!B43,4)),IF(INDEX(Properties!A$1:CB$87,Formula!D43,4)=0,10^6,INDEX(Properties!A$1:CB$87,Formula!D43,4)),IF(INDEX(Properties!A$1:CB$87,Formula!F43,4)=0,10^6,INDEX(Properties!A$1:CB$87,Formula!F43,4)),IF(INDEX(Properties!A$1:CB$87,Formula!H43,4)=0,10^6,INDEX(Properties!A$1:CB$87,Formula!H43,4)),IF(INDEX(Properties!A$1:CB$87,Formula!J43,4)=0,10^6,INDEX(Properties!A$1:CB$87,Formula!J43,4)))</f>
        <v>8</v>
      </c>
      <c r="M43" s="87">
        <f t="shared" si="1"/>
        <v>48</v>
      </c>
      <c r="N43" s="89">
        <f>((Formula!C43)/(Formula!C43+Formula!E43+Formula!G43+Formula!I43+Formula!K43))*(INDEX(Properties!A$1:CB$87,Formula!B43,5))+((Formula!E43)/(Formula!C43+Formula!E43+Formula!G43+Formula!I43+Formula!K43))*(INDEX(Properties!A$1:CB$87,Formula!D43,5))+((Formula!G43)/(Formula!C43+Formula!E43+Formula!G43+Formula!I43+Formula!K43))*(INDEX(Properties!A$1:CB$87,Formula!F43,5))+((Formula!I43)/(Formula!C43+Formula!E43+Formula!G43+Formula!I43+Formula!K43))*(INDEX(Properties!A$1:CB$87,Formula!H43,5))+((Formula!K43)/(Formula!C43+Formula!E43+Formula!G43+Formula!I43+Formula!K43))*(INDEX(Properties!A$1:CB$87,Formula!J43,5))</f>
        <v>3.4000000000000004</v>
      </c>
      <c r="O43" s="89">
        <f>Formula!C43*(INDEX(Properties!A$1:CB$87,Formula!B43,5))+Formula!E43*(INDEX(Properties!A$1:CB$87,Formula!D43,5))+Formula!G43*(INDEX(Properties!A$1:CB$87,Formula!F43,5))+Formula!I43*(INDEX(Properties!A$1:CB$87,Formula!H43,5))+Formula!K43*(INDEX(Properties!A$1:CB$87,Formula!J43,5))</f>
        <v>17</v>
      </c>
      <c r="P43" s="89">
        <f>VARP(IF(INDEX(Properties!A$1:CB$87,Formula!B43,5)&lt;&gt;"",INDEX(Properties!A$1:CB$87,Formula!B43,5)),IF(INDEX(Properties!A$1:CB$87,Formula!D43,5)&lt;&gt;"",INDEX(Properties!A$1:CB$87,Formula!D43,5)),IF(INDEX(Properties!A$1:CB$87,Formula!F43,5)&lt;&gt;"",INDEX(Properties!A$1:CB$87,Formula!F43,5)),IF(INDEX(Properties!A$1:CB$87,Formula!H43,5)&lt;&gt;"",INDEX(Properties!A$1:CB$87,Formula!H43,5)),IF(INDEX(Properties!A$1:CB$87,Formula!J43,5)&lt;&gt;"",INDEX(Properties!A$1:CB$87,Formula!J43,5)))</f>
        <v>6.24</v>
      </c>
      <c r="Q43" s="89">
        <f>MAX(INDEX(Properties!A$1:CB$87,Formula!B43,5),INDEX(Properties!A$1:CB$87,Formula!D43,5),INDEX(Properties!A$1:CB$87,Formula!F43,5),INDEX(Properties!A$1:CB$87,Formula!H43,5),INDEX(Properties!A$1:CB$87,Formula!J43,5))</f>
        <v>6</v>
      </c>
      <c r="R43" s="89">
        <f>MIN(IF(INDEX(Properties!A$1:CB$87,Formula!B43,5)=0,10^6,INDEX(Properties!A$1:CB$87,Formula!B43,5)),IF(INDEX(Properties!A$1:CB$87,Formula!D43,5)=0,10^6,INDEX(Properties!A$1:CB$87,Formula!D43,5)),IF(INDEX(Properties!A$1:CB$87,Formula!F43,5)=0,10^6,INDEX(Properties!A$1:CB$87,Formula!F43,5)),IF(INDEX(Properties!A$1:CB$87,Formula!H43,5)=0,10^6,INDEX(Properties!A$1:CB$87,Formula!H43,5)),IF(INDEX(Properties!A$1:CB$87,Formula!J43,5)=0,10^6,INDEX(Properties!A$1:CB$87,Formula!J43,5)))</f>
        <v>2</v>
      </c>
      <c r="S43" s="89">
        <f t="shared" si="2"/>
        <v>4</v>
      </c>
      <c r="T43" s="60">
        <f>((Formula!C43)/(Formula!C43+Formula!E43+Formula!G43+Formula!I43+Formula!K43))*(INDEX(Properties!A$1:CB$87,Formula!B43,6))+((Formula!E43)/(Formula!C43+Formula!E43+Formula!G43+Formula!I43+Formula!K43))*(INDEX(Properties!A$1:CB$87,Formula!D43,6))+((Formula!G43)/(Formula!C43+Formula!E43+Formula!G43+Formula!I43+Formula!K43))*(INDEX(Properties!A$1:CB$87,Formula!F43,6))+((Formula!I43)/(Formula!C43+Formula!E43+Formula!G43+Formula!I43+Formula!K43))*(INDEX(Properties!A$1:CB$87,Formula!H43,6))+((Formula!K43)/(Formula!C43+Formula!E43+Formula!G43+Formula!I43+Formula!K43))*(INDEX(Properties!A$1:CB$87,Formula!J43,6))</f>
        <v>10.8</v>
      </c>
      <c r="U43" s="60">
        <f>Formula!C43*(INDEX(Properties!A$1:CB$87,Formula!B43,6))+Formula!E43*(INDEX(Properties!A$1:CB$87,Formula!D43,6))+Formula!G43*(INDEX(Properties!A$1:CB$87,Formula!F43,6))+Formula!I43*(INDEX(Properties!A$1:CB$87,Formula!H43,6))+Formula!K43*(INDEX(Properties!A$1:CB$87,Formula!J43,6))</f>
        <v>54</v>
      </c>
      <c r="V43" s="89">
        <f>VARP(IF(INDEX(Properties!A$1:CB$87,Formula!B43,6)&lt;&gt;"",INDEX(Properties!A$1:CB$87,Formula!B43,6)),IF(INDEX(Properties!A$1:CB$87,Formula!D43,6)&lt;&gt;"",INDEX(Properties!A$1:CB$87,Formula!D43,6)),IF(INDEX(Properties!A$1:CB$87,Formula!F43,6)&lt;&gt;"",INDEX(Properties!A$1:CB$87,Formula!F43,6)),IF(INDEX(Properties!A$1:CB$87,Formula!H43,6)&lt;&gt;"",INDEX(Properties!A$1:CB$87,Formula!H43,6)),IF(INDEX(Properties!A$1:CB$87,Formula!J43,6)&lt;&gt;"",INDEX(Properties!A$1:CB$87,Formula!J43,6)))</f>
        <v>35.840000000000003</v>
      </c>
      <c r="W43" s="60">
        <f>MAX(INDEX(Properties!A$1:CB$87,Formula!B43,6),INDEX(Properties!A$1:CB$87,Formula!D43,6),INDEX(Properties!A$1:CB$87,Formula!F43,6),INDEX(Properties!A$1:CB$87,Formula!H43,4),INDEX(Properties!A$1:CB$87,Formula!J43,6))</f>
        <v>16</v>
      </c>
      <c r="X43" s="60">
        <f>MIN(IF(INDEX(Properties!A$1:CB$87,Formula!B43,6)=0,10^6,INDEX(Properties!A$1:CB$87,Formula!B43,6)),IF(INDEX(Properties!A$1:CB$87,Formula!D43,6)=0,10^6,INDEX(Properties!A$1:CB$87,Formula!D43,6)),IF(INDEX(Properties!A$1:CB$87,Formula!F43,6)=0,10^6,INDEX(Properties!A$1:CB$87,Formula!F43,6)),IF(INDEX(Properties!A$1:CB$87,Formula!H43,6)=0,10^6,INDEX(Properties!A$1:CB$87,Formula!H43,6)),IF(INDEX(Properties!A$1:CB$87,Formula!J43,6)=0,10^6,INDEX(Properties!A$1:CB$87,Formula!J43,6)))</f>
        <v>2</v>
      </c>
      <c r="Y43" s="60">
        <f t="shared" si="3"/>
        <v>14</v>
      </c>
      <c r="Z43" s="72">
        <f>((Formula!C43)/(Formula!C43+Formula!E43+Formula!G43+Formula!I43+Formula!K43))*(INDEX(Properties!A$1:CB$87,Formula!B43,9))+((Formula!E43)/(Formula!C43+Formula!E43+Formula!G43+Formula!I43+Formula!K43))*(INDEX(Properties!A$1:CB$87,Formula!D43,9))+((Formula!G43)/(Formula!C43+Formula!E43+Formula!G43+Formula!I43+Formula!K43))*(INDEX(Properties!A$1:CB$87,Formula!F43,9))+((Formula!I43)/(Formula!C43+Formula!E43+Formula!G43+Formula!I43+Formula!K43))*(INDEX(Properties!A$1:CB$87,Formula!H43,9))+((Formula!K43)/(Formula!C43+Formula!E43+Formula!G43+Formula!I43+Formula!K43))*(INDEX(Properties!A$1:CB$87,Formula!J43,9))</f>
        <v>62.8</v>
      </c>
      <c r="AA43" s="72">
        <f>Formula!C43*(INDEX(Properties!A$1:CB$87,Formula!B43,9))+Formula!E43*(INDEX(Properties!A$1:CB$87,Formula!D43,9))+Formula!G43*(INDEX(Properties!A$1:CB$87,Formula!F43,9))+Formula!I43*(INDEX(Properties!A$1:CB$87,Formula!H43,9))+Formula!K43*(INDEX(Properties!A$1:CB$87,Formula!J43,9))</f>
        <v>314</v>
      </c>
      <c r="AB43" s="72">
        <f>VARP(IF(INDEX(Properties!A$1:CB$87,Formula!B43,9)&lt;&gt;"",INDEX(Properties!A$1:CB$87,Formula!B43,9)),IF(INDEX(Properties!A$1:CB$87,Formula!D43,9)&lt;&gt;"",INDEX(Properties!A$1:CB$87,Formula!D43,9)),IF(INDEX(Properties!A$1:CB$87,Formula!F43,9)&lt;&gt;"",INDEX(Properties!A$1:CB$87,Formula!F43,9)),IF(INDEX(Properties!A$1:CB$87,Formula!H43,9)&lt;&gt;"",INDEX(Properties!A$1:CB$87,Formula!H43,9)),IF(INDEX(Properties!A$1:CB$87,Formula!J43,9)&lt;&gt;"",INDEX(Properties!A$1:CB$87,Formula!J43,9)))</f>
        <v>1133.2</v>
      </c>
      <c r="AC43" s="72">
        <f>MAX(INDEX(Properties!A$1:CB$87,Formula!B43,9),INDEX(Properties!A$1:CB$87,Formula!D43,9),INDEX(Properties!A$1:CB$87,Formula!F43,9),INDEX(Properties!A$1:CB$87,Formula!H43,9),INDEX(Properties!A$1:CB$87,Formula!J43,9))</f>
        <v>87</v>
      </c>
      <c r="AD43" s="72">
        <f>MIN(IF(INDEX(Properties!A$1:CB$87,Formula!B43,9)=0,10^6,INDEX(Properties!A$1:CB$87,Formula!B43,9)),IF(INDEX(Properties!A$1:CB$87,Formula!D43,9)=0,10^6,INDEX(Properties!A$1:CB$87,Formula!D43,9)),IF(INDEX(Properties!A$1:CB$87,Formula!F43,9)=0,10^6,INDEX(Properties!A$1:CB$87,Formula!F43,9)),IF(INDEX(Properties!A$1:CB$87,Formula!H43,9)=0,10^6,INDEX(Properties!A$1:CB$87,Formula!H43,9)),IF(INDEX(Properties!A$1:CB$87,Formula!J43,9)=0,10^6,INDEX(Properties!A$1:CB$87,Formula!J43,9)))</f>
        <v>9</v>
      </c>
      <c r="AE43" s="72">
        <f t="shared" si="4"/>
        <v>78</v>
      </c>
      <c r="AF43" s="51">
        <f>((Formula!C43)/(Formula!C43+Formula!E43+Formula!G43+Formula!I43+Formula!K43))*(INDEX(Properties!A$1:CB$87,Formula!B43,10))+((Formula!E43)/(Formula!C43+Formula!E43+Formula!G43+Formula!I43+Formula!K43))*(INDEX(Properties!A$1:CB$87,Formula!D43,10))+((Formula!G43)/(Formula!C43+Formula!E43+Formula!G43+Formula!I43+Formula!K43))*(INDEX(Properties!A$1:CB$87,Formula!F43,10))+((Formula!I43)/(Formula!C43+Formula!E43+Formula!G43+Formula!I43+Formula!K43))*(INDEX(Properties!A$1:CB$87,Formula!H43,10))+((Formula!K43)/(Formula!C43+Formula!E43+Formula!G43+Formula!I43+Formula!K43))*(INDEX(Properties!A$1:CB$87,Formula!J43,10))</f>
        <v>5.4</v>
      </c>
      <c r="AG43" s="51">
        <f>Formula!C43*(INDEX(Properties!A$1:CB$87,Formula!B43,10))+Formula!E43*(INDEX(Properties!A$1:CB$87,Formula!D43,10))+Formula!G43*(INDEX(Properties!A$1:CB$87,Formula!F43,10))+Formula!I43*(INDEX(Properties!A$1:CB$87,Formula!H43,10))+Formula!K43*(INDEX(Properties!A$1:CB$87,Formula!J43,10))</f>
        <v>27</v>
      </c>
      <c r="AH43" s="51">
        <f>VARP(IF(INDEX(Properties!A$1:CB$87,Formula!B43,10)&lt;&gt;"",INDEX(Properties!A$1:CB$87,Formula!B43,10)),IF(INDEX(Properties!A$1:CB$87,Formula!D43,10)&lt;&gt;"",INDEX(Properties!A$1:CB$87,Formula!D43,10)),IF(INDEX(Properties!A$1:CB$87,Formula!F43,10)&lt;&gt;"",INDEX(Properties!A$1:CB$87,Formula!F43,10)),IF(INDEX(Properties!A$1:CB$87,Formula!H43,10)&lt;&gt;"",INDEX(Properties!A$1:CB$87,Formula!H43,10)),IF(INDEX(Properties!A$1:CB$87,Formula!J43,10)&lt;&gt;"",INDEX(Properties!A$1:CB$87,Formula!J43,10)))</f>
        <v>7.04</v>
      </c>
      <c r="AI43" s="51">
        <f>MAX(INDEX(Properties!A$1:CB$87,Formula!B43,10),INDEX(Properties!A$1:CB$87,Formula!D43,10),INDEX(Properties!A$1:CB$87,Formula!F43,10),INDEX(Properties!A$1:CB$87,Formula!H43,10),INDEX(Properties!A$1:CB$87,Formula!J43,10))</f>
        <v>7</v>
      </c>
      <c r="AJ43" s="51">
        <f>MIN(IF(INDEX(Properties!A$1:CB$87,Formula!B43,10)=0,10^6,INDEX(Properties!A$1:CB$87,Formula!B43,10)),IF(INDEX(Properties!A$1:CB$87,Formula!D43,10)=0,10^6,INDEX(Properties!A$1:CB$87,Formula!D43,10)),IF(INDEX(Properties!A$1:CB$87,Formula!F43,10)=0,10^6,INDEX(Properties!A$1:CB$87,Formula!F43,10)),IF(INDEX(Properties!A$1:CB$87,Formula!H43,10)=0,10^6,INDEX(Properties!A$1:CB$87,Formula!H43,10)),IF(INDEX(Properties!A$1:CB$87,Formula!J43,10)=0,10^6,INDEX(Properties!A$1:CB$87,Formula!J43,10)))</f>
        <v>2</v>
      </c>
      <c r="AK43" s="51">
        <f t="shared" si="5"/>
        <v>5</v>
      </c>
      <c r="AL43" s="57">
        <f>((Formula!C43)/(Formula!C43+Formula!E43+Formula!G43+Formula!I43+Formula!K43))*(INDEX(Properties!A$1:CB$87,Formula!B43,11))+((Formula!E43)/(Formula!C43+Formula!E43+Formula!G43+Formula!I43+Formula!K43))*(INDEX(Properties!A$1:CB$87,Formula!D43,11))+((Formula!G43)/(Formula!C43+Formula!E43+Formula!G43+Formula!I43+Formula!K43))*(INDEX(Properties!A$1:CB$87,Formula!F43,11))+((Formula!I43)/(Formula!C43+Formula!E43+Formula!G43+Formula!I43+Formula!K43))*(INDEX(Properties!A$1:CB$87,Formula!H43,11))+((Formula!K43)/(Formula!C43+Formula!E43+Formula!G43+Formula!I43+Formula!K43))*(INDEX(Properties!A$1:CB$87,Formula!J43,11))</f>
        <v>2</v>
      </c>
      <c r="AM43" s="57">
        <f>Formula!C43*(INDEX(Properties!A$1:CB$87,Formula!B43,11))+Formula!E43*(INDEX(Properties!A$1:CB$87,Formula!D43,11))+Formula!G43*(INDEX(Properties!A$1:CB$87,Formula!F43,11))+Formula!I43*(INDEX(Properties!A$1:CB$87,Formula!H43,11))+Formula!K43*(INDEX(Properties!A$1:CB$87,Formula!J43,11))</f>
        <v>10</v>
      </c>
      <c r="AN43" s="57">
        <f>VARP(IF(INDEX(Properties!A$1:CB$87,Formula!B43,11)&lt;&gt;"",INDEX(Properties!A$1:CB$87,Formula!B43,11)),IF(INDEX(Properties!A$1:CB$87,Formula!D43,11)&lt;&gt;"",INDEX(Properties!A$1:CB$87,Formula!D43,11)),IF(INDEX(Properties!A$1:CB$87,Formula!F43,11)&lt;&gt;"",INDEX(Properties!A$1:CB$87,Formula!F43,11)),IF(INDEX(Properties!A$1:CB$87,Formula!H43,11)&lt;&gt;"",INDEX(Properties!A$1:CB$87,Formula!H43,11)),IF(INDEX(Properties!A$1:CB$87,Formula!J43,11)&lt;&gt;"",INDEX(Properties!A$1:CB$87,Formula!J43,11)))</f>
        <v>0.96</v>
      </c>
      <c r="AO43" s="57">
        <f>MAX(INDEX(Properties!A$1:CB$87,Formula!B43,11),INDEX(Properties!A$1:CB$87,Formula!D43,11),INDEX(Properties!A$1:CB$87,Formula!F43,11),INDEX(Properties!A$1:CB$87,Formula!H43,11),INDEX(Properties!A$1:CB$87,Formula!J43,11))</f>
        <v>2</v>
      </c>
      <c r="AP43" s="57">
        <f>MIN(IF(Formula!B43=87,10^6,INDEX(Properties!A$1:CB$87,Formula!B43,11)),IF((Formula!D43)=87,10^6,INDEX(Properties!A$1:CB$87,Formula!D43,11)),IF((Formula!F43)=87,10^6,INDEX(Properties!A$1:CB$87,Formula!F43,11)),IF((Formula!H43)=87,10^6,INDEX(Properties!A$1:CB$87,Formula!H43,11)),IF(Formula!J43=87,10^6,INDEX(Properties!A$1:CB$87,Formula!J43,11)))</f>
        <v>2</v>
      </c>
      <c r="AQ43" s="57">
        <f t="shared" si="6"/>
        <v>0</v>
      </c>
      <c r="AR43" s="78">
        <f>((Formula!C43)/(Formula!C43+Formula!E43+Formula!G43+Formula!I43+Formula!K43))*(INDEX(Properties!A$1:CB$87,Formula!B43,12))+((Formula!E43)/(Formula!C43+Formula!E43+Formula!G43+Formula!I43+Formula!K43))*(INDEX(Properties!A$1:CB$87,Formula!D43,12))+((Formula!G43)/(Formula!C43+Formula!E43+Formula!G43+Formula!I43+Formula!K43))*(INDEX(Properties!A$1:CB$87,Formula!F43,12))+((Formula!I43)/(Formula!C43+Formula!E43+Formula!G43+Formula!I43+Formula!K43))*(INDEX(Properties!A$1:CB$87,Formula!H43,12))+((Formula!K43)/(Formula!C43+Formula!E43+Formula!G43+Formula!I43+Formula!K43))*(INDEX(Properties!A$1:CB$87,Formula!J43,12))</f>
        <v>2.4</v>
      </c>
      <c r="AS43" s="78">
        <f>Formula!C43*(INDEX(Properties!A$1:CB$87,Formula!B43,12))+Formula!E43*(INDEX(Properties!A$1:CB$87,Formula!D43,12))+Formula!G43*(INDEX(Properties!A$1:CB$87,Formula!F43,12))+Formula!I43*(INDEX(Properties!A$1:CB$87,Formula!H43,12))+Formula!K43*(INDEX(Properties!A$1:CB$87,Formula!J43,12))</f>
        <v>12</v>
      </c>
      <c r="AT43" s="78">
        <f>VARP(IF(INDEX(Properties!A$1:CB$87,Formula!B43,12)&lt;&gt;"",INDEX(Properties!A$1:CB$87,Formula!B43,12)),IF(INDEX(Properties!A$1:CB$87,Formula!D43,12)&lt;&gt;"",INDEX(Properties!A$1:CB$87,Formula!D43,12)),IF(INDEX(Properties!A$1:CB$87,Formula!F43,12)&lt;&gt;"",INDEX(Properties!A$1:CB$87,Formula!F43,12)),IF(INDEX(Properties!A$1:CB$87,Formula!H43,12)&lt;&gt;"",INDEX(Properties!A$1:CB$87,Formula!H43,12)),IF(INDEX(Properties!A$1:CB$87,Formula!J43,12)&lt;&gt;"",INDEX(Properties!A$1:CB$87,Formula!J43,12)))</f>
        <v>2.56</v>
      </c>
      <c r="AU43" s="78">
        <f>MAX(INDEX(Properties!A$1:CB$87,Formula!B43,12),INDEX(Properties!A$1:CB$87,Formula!D43,12),INDEX(Properties!A$1:CB$87,Formula!F43,12),INDEX(Properties!A$1:CB$87,Formula!H43,12),INDEX(Properties!A$1:CB$87,Formula!J43,12))</f>
        <v>4</v>
      </c>
      <c r="AV43" s="78">
        <f>MIN(IF(Formula!B43=87,10^6,INDEX(Properties!A$1:CB$87,Formula!B43,12)),IF((Formula!D43)=87,10^6,INDEX(Properties!A$1:CB$87,Formula!D43,12)),IF((Formula!F43)=87,10^6,INDEX(Properties!A$1:CB$87,Formula!F43,12)),IF((Formula!H43)=87,10^6,INDEX(Properties!A$1:CB$87,Formula!H43,12)),IF(Formula!J43=87,10^6,INDEX(Properties!A$1:CB$87,Formula!J43,12)))</f>
        <v>0</v>
      </c>
      <c r="AW43" s="78">
        <f t="shared" si="7"/>
        <v>4</v>
      </c>
      <c r="AX43" s="45">
        <f>((Formula!C43)/(Formula!C43+Formula!E43+Formula!G43+Formula!I43+Formula!K43))*(INDEX(Properties!A$1:CB$87,Formula!B43,13))+((Formula!E43)/(Formula!C43+Formula!E43+Formula!G43+Formula!I43+Formula!K43))*(INDEX(Properties!A$1:CB$87,Formula!D43,13))+((Formula!G43)/(Formula!C43+Formula!E43+Formula!G43+Formula!I43+Formula!K43))*(INDEX(Properties!A$1:CB$87,Formula!F43,13))+((Formula!I43)/(Formula!C43+Formula!E43+Formula!G43+Formula!I43+Formula!K43))*(INDEX(Properties!A$1:CB$87,Formula!H43,13))+((Formula!K43)/(Formula!C43+Formula!E43+Formula!G43+Formula!I43+Formula!K43))*(INDEX(Properties!A$1:CB$87,Formula!J43,13))</f>
        <v>0.4</v>
      </c>
      <c r="AY43" s="45">
        <f>Formula!C43*(INDEX(Properties!A$1:CB$87,Formula!B43,13))+Formula!E43*(INDEX(Properties!A$1:CB$87,Formula!D43,13))+Formula!G43*(INDEX(Properties!A$1:CB$87,Formula!F43,13))+Formula!I43*(INDEX(Properties!A$1:CB$87,Formula!H43,13))+Formula!K43*(INDEX(Properties!A$1:CB$87,Formula!J43,13))</f>
        <v>2</v>
      </c>
      <c r="AZ43" s="45">
        <f>VARP(IF(INDEX(Properties!A$1:CB$87,Formula!B43,13)&lt;&gt;"",INDEX(Properties!A$1:CB$87,Formula!B43,13)),IF(INDEX(Properties!A$1:CB$87,Formula!D43,13)&lt;&gt;"",INDEX(Properties!A$1:CB$87,Formula!D43,13)),IF(INDEX(Properties!A$1:CB$87,Formula!F43,13)&lt;&gt;"",INDEX(Properties!A$1:CB$87,Formula!F43,13)),IF(INDEX(Properties!A$1:CB$87,Formula!H43,13)&lt;&gt;"",INDEX(Properties!A$1:CB$87,Formula!H43,13)),IF(INDEX(Properties!A$1:CB$87,Formula!J43,13)&lt;&gt;"",INDEX(Properties!A$1:CB$87,Formula!J43,13)))</f>
        <v>0.64</v>
      </c>
      <c r="BA43" s="45">
        <f>MAX(INDEX(Properties!A$1:CB$87,Formula!B43,13),INDEX(Properties!A$1:CB$87,Formula!D43,13),INDEX(Properties!A$1:CB$87,Formula!F43,13),INDEX(Properties!A$1:CB$87,Formula!H43,13),INDEX(Properties!A$1:CB$87,Formula!J43,13))</f>
        <v>2</v>
      </c>
      <c r="BB43" s="45">
        <f>MIN(IF(Formula!B43=87,10^6,INDEX(Properties!A$1:CB$87,Formula!B43,13)),IF((Formula!D43)=87,10^6,INDEX(Properties!A$1:CB$87,Formula!D43,13)),IF((Formula!F43)=87,10^6,INDEX(Properties!A$1:CB$87,Formula!F43,13)),IF((Formula!H43)=87,10^6,INDEX(Properties!A$1:CB$87,Formula!H43,13)),IF(Formula!J43=87,10^6,INDEX(Properties!A$1:CB$87,Formula!J43,13)))</f>
        <v>0</v>
      </c>
      <c r="BC43" s="45">
        <f t="shared" si="8"/>
        <v>2</v>
      </c>
      <c r="BD43" s="63">
        <f>((Formula!C43)/(Formula!C43+Formula!E43+Formula!G43+Formula!I43+Formula!K43))*(INDEX(Properties!A$1:CB$87,Formula!B43,14))+((Formula!E43)/(Formula!C43+Formula!E43+Formula!G43+Formula!I43+Formula!K43))*(INDEX(Properties!A$1:CB$87,Formula!D43,14))+((Formula!G43)/(Formula!C43+Formula!E43+Formula!G43+Formula!I43+Formula!K43))*(INDEX(Properties!A$1:CB$87,Formula!F43,14))+((Formula!I43)/(Formula!C43+Formula!E43+Formula!G43+Formula!I43+Formula!K43))*(INDEX(Properties!A$1:CB$87,Formula!H43,14))+((Formula!K43)/(Formula!C43+Formula!E43+Formula!G43+Formula!I43+Formula!K43))*(INDEX(Properties!A$1:CB$87,Formula!J43,14))</f>
        <v>0</v>
      </c>
      <c r="BE43" s="63">
        <f>Formula!C43*(INDEX(Properties!A$1:CB$87,Formula!B43,14))+Formula!E43*(INDEX(Properties!A$1:CB$87,Formula!D43,14))+Formula!G43*(INDEX(Properties!A$1:CB$87,Formula!F43,14))+Formula!I43*(INDEX(Properties!A$1:CB$87,Formula!H43,14))+Formula!K43*(INDEX(Properties!A$1:CB$87,Formula!J43,14))</f>
        <v>0</v>
      </c>
      <c r="BF43" s="63">
        <f>VARP(IF(INDEX(Properties!A$1:CB$87,Formula!B43,14)&lt;&gt;"",INDEX(Properties!A$1:CB$87,Formula!B43,14)),IF(INDEX(Properties!A$1:CB$87,Formula!D43,14)&lt;&gt;"",INDEX(Properties!A$1:CB$87,Formula!D43,14)),IF(INDEX(Properties!A$1:CB$87,Formula!F43,14)&lt;&gt;"",INDEX(Properties!A$1:CB$87,Formula!F43,14)),IF(INDEX(Properties!A$1:CB$87,Formula!H43,14)&lt;&gt;"",INDEX(Properties!A$1:CB$87,Formula!H43,14)),IF(INDEX(Properties!A$1:CB$87,Formula!J43,14)&lt;&gt;"",INDEX(Properties!A$1:CB$87,Formula!J43,14)))</f>
        <v>0</v>
      </c>
      <c r="BG43" s="63">
        <f>MAX(INDEX(Properties!A$1:CB$87,Formula!B43,14),INDEX(Properties!A$1:CB$87,Formula!D43,14),INDEX(Properties!A$1:CB$87,Formula!F43,14),INDEX(Properties!A$1:CB$87,Formula!H43,14),INDEX(Properties!A$1:CB$87,Formula!J43,14))</f>
        <v>0</v>
      </c>
      <c r="BH43" s="63">
        <f>MIN(IF(Formula!B43=87,10^6,INDEX(Properties!A$1:CB$87,Formula!B43,14)),IF((Formula!D43)=87,10^6,INDEX(Properties!A$1:CB$87,Formula!D43,14)),IF((Formula!F43)=87,10^6,INDEX(Properties!A$1:CB$87,Formula!F43,14)),IF((Formula!H43)=87,10^6,INDEX(Properties!A$1:CB$87,Formula!H43,14)),IF(Formula!J43=87,10^6,INDEX(Properties!A$1:CB$87,Formula!J43,14)))</f>
        <v>0</v>
      </c>
      <c r="BI43" s="63">
        <f t="shared" si="9"/>
        <v>0</v>
      </c>
      <c r="BJ43" s="75">
        <f>((Formula!C43)/(Formula!C43+Formula!E43+Formula!G43+Formula!I43+Formula!K43))*(INDEX(Properties!A$1:CB$87,Formula!B43,19))+((Formula!E43)/(Formula!C43+Formula!E43+Formula!G43+Formula!I43+Formula!K43))*(INDEX(Properties!A$1:CB$87,Formula!D43,19))+((Formula!G43)/(Formula!C43+Formula!E43+Formula!G43+Formula!I43+Formula!K43))*(INDEX(Properties!A$1:CB$87,Formula!F43,19))+((Formula!I43)/(Formula!C43+Formula!E43+Formula!G43+Formula!I43+Formula!K43))*(INDEX(Properties!A$1:CB$87,Formula!H43,19))+((Formula!K43)/(Formula!C43+Formula!E43+Formula!G43+Formula!I43+Formula!K43))*(INDEX(Properties!A$1:CB$87,Formula!J43,19))</f>
        <v>4.8</v>
      </c>
      <c r="BK43" s="75">
        <f>Formula!C43*(INDEX(Properties!A$1:CB$87,Formula!B43,19))+Formula!E43*(INDEX(Properties!A$1:CB$87,Formula!D43,19))+Formula!G43*(INDEX(Properties!A$1:CB$87,Formula!F43,19))+Formula!I43*(INDEX(Properties!A$1:CB$87,Formula!H43,19))+Formula!K43*(INDEX(Properties!A$1:CB$87,Formula!J43,19))</f>
        <v>24</v>
      </c>
      <c r="BL43" s="75">
        <f>VARP(IF(INDEX(Properties!A$1:CB$87,Formula!B43,19)&lt;&gt;"",INDEX(Properties!A$1:CB$87,Formula!B43,19)),IF(INDEX(Properties!A$1:CB$87,Formula!D43,19)&lt;&gt;"",INDEX(Properties!A$1:CB$87,Formula!D43,19)),IF(INDEX(Properties!A$1:CB$87,Formula!F43,19)&lt;&gt;"",INDEX(Properties!A$1:CB$87,Formula!F43,19)),IF(INDEX(Properties!A$1:CB$87,Formula!H43,19)&lt;&gt;"",INDEX(Properties!A$1:CB$87,Formula!H43,19)),IF(INDEX(Properties!A$1:CB$87,Formula!J43,19)&lt;&gt;"",INDEX(Properties!A$1:CB$87,Formula!J43,19)))</f>
        <v>5.44</v>
      </c>
      <c r="BM43" s="75">
        <f>MAX(INDEX(Properties!A$1:CB$87,Formula!B43,19),INDEX(Properties!A$1:CB$87,Formula!D43,19),INDEX(Properties!A$1:CB$87,Formula!F43,19),INDEX(Properties!A$1:CB$87,Formula!H43,19),INDEX(Properties!A$1:CB$87,Formula!J43,19))</f>
        <v>6</v>
      </c>
      <c r="BN43" s="75">
        <f>MIN(IF(INDEX(Properties!A$1:CB$87,Formula!B43,19)=0,10^6,INDEX(Properties!A$1:CB$87,Formula!B43,19)),IF(INDEX(Properties!A$1:CB$87,Formula!D43,19)=0,10^6,INDEX(Properties!A$1:CB$87,Formula!D43,19)),IF(INDEX(Properties!A$1:CB$87,Formula!F43,19)=0,10^6,INDEX(Properties!A$1:CB$87,Formula!F43,19)),IF(INDEX(Properties!A$1:CB$87,Formula!H43,19)=0,10^6,INDEX(Properties!A$1:CB$87,Formula!H43,19)),IF(INDEX(Properties!A$1:CB$87,Formula!J43,19)=0,10^6,INDEX(Properties!A$1:CB$87,Formula!J43,19)))</f>
        <v>2</v>
      </c>
      <c r="BO43" s="75">
        <f t="shared" si="10"/>
        <v>4</v>
      </c>
      <c r="BP43" s="48">
        <f>((Formula!C43)/(Formula!C43+Formula!E43+Formula!G43+Formula!I43+Formula!K43))*(INDEX(Properties!A$1:CB$87,Formula!B43,20))+((Formula!E43)/(Formula!C43+Formula!E43+Formula!G43+Formula!I43+Formula!K43))*(INDEX(Properties!A$1:CB$87,Formula!D43,20))+((Formula!G43)/(Formula!C43+Formula!E43+Formula!G43+Formula!I43+Formula!K43))*(INDEX(Properties!A$1:CB$87,Formula!F43,20))+((Formula!I43)/(Formula!C43+Formula!E43+Formula!G43+Formula!I43+Formula!K43))*(INDEX(Properties!A$1:CB$87,Formula!H43,20))+((Formula!K43)/(Formula!C43+Formula!E43+Formula!G43+Formula!I43+Formula!K43))*(INDEX(Properties!A$1:CB$87,Formula!J43,20))</f>
        <v>4.3999999999999995</v>
      </c>
      <c r="BQ43" s="48">
        <f>Formula!C43*(INDEX(Properties!A$1:CB$87,Formula!B43,20))+Formula!E43*(INDEX(Properties!A$1:CB$87,Formula!D43,20))+Formula!G43*(INDEX(Properties!A$1:CB$87,Formula!F43,20))+Formula!I43*(INDEX(Properties!A$1:CB$87,Formula!H43,20))+Formula!K43*(INDEX(Properties!A$1:CB$87,Formula!J43,20))</f>
        <v>22</v>
      </c>
      <c r="BR43" s="48">
        <f>VARP(IF(INDEX(Properties!A$1:CB$87,Formula!B43,20)&lt;&gt;"",INDEX(Properties!A$1:CB$87,Formula!B43,20)),IF(INDEX(Properties!A$1:CB$87,Formula!D43,20)&lt;&gt;"",INDEX(Properties!A$1:CB$87,Formula!D43,20)),IF(INDEX(Properties!A$1:CB$87,Formula!F43,20)&lt;&gt;"",INDEX(Properties!A$1:CB$87,Formula!F43,20)),IF(INDEX(Properties!A$1:CB$87,Formula!H43,20)&lt;&gt;"",INDEX(Properties!A$1:CB$87,Formula!H43,20)),IF(INDEX(Properties!A$1:CB$87,Formula!J43,20)&lt;&gt;"",INDEX(Properties!A$1:CB$87,Formula!J43,20)))</f>
        <v>4.8</v>
      </c>
      <c r="BS43" s="48">
        <f>MAX(INDEX(Properties!A$1:CB$87,Formula!B43,20),INDEX(Properties!A$1:CB$87,Formula!D43,20),INDEX(Properties!A$1:CB$87,Formula!F43,20),INDEX(Properties!A$1:CB$87,Formula!H43,20),INDEX(Properties!A$1:CB$87,Formula!J43,20))</f>
        <v>6</v>
      </c>
      <c r="BT43" s="48">
        <f>MIN(IF(INDEX(Properties!A$1:CB$87,Formula!B43,20)=0,10^6,INDEX(Properties!A$1:CB$87,Formula!B43,20)),IF(INDEX(Properties!A$1:CB$87,Formula!D43,20)=0,10^6,INDEX(Properties!A$1:CB$87,Formula!D43,20)),IF(INDEX(Properties!A$1:CB$87,Formula!F43,20)=0,10^6,INDEX(Properties!A$1:CB$87,Formula!F43,20)),IF(INDEX(Properties!A$1:CB$87,Formula!H43,20)=0,10^6,INDEX(Properties!A$1:CB$87,Formula!H43,20)),IF(INDEX(Properties!A$1:CB$87,Formula!J43,20)=0,10^6,INDEX(Properties!A$1:CB$87,Formula!J43,20)))</f>
        <v>2</v>
      </c>
      <c r="BU43" s="48">
        <f t="shared" si="11"/>
        <v>4</v>
      </c>
      <c r="BV43" s="66">
        <f>((Formula!C43)/(Formula!C43+Formula!E43+Formula!G43+Formula!I43+Formula!K43))*(INDEX(Properties!A$1:CB$87,Formula!B43,21))+((Formula!E43)/(Formula!C43+Formula!E43+Formula!G43+Formula!I43+Formula!K43))*(INDEX(Properties!A$1:CB$87,Formula!D43,21))+((Formula!G43)/(Formula!C43+Formula!E43+Formula!G43+Formula!I43+Formula!K43))*(INDEX(Properties!A$1:CB$87,Formula!F43,21))+((Formula!I43)/(Formula!C43+Formula!E43+Formula!G43+Formula!I43+Formula!K43))*(INDEX(Properties!A$1:CB$87,Formula!H43,21))+((Formula!K43)/(Formula!C43+Formula!E43+Formula!G43+Formula!I43+Formula!K43))*(INDEX(Properties!A$1:CB$87,Formula!J43,21))</f>
        <v>4.3999999999999995</v>
      </c>
      <c r="BW43" s="66">
        <f>Formula!C43*(INDEX(Properties!A$1:CB$87,Formula!B43,21))+Formula!E43*(INDEX(Properties!A$1:CB$87,Formula!D43,21))+Formula!G43*(INDEX(Properties!A$1:CB$87,Formula!F43,21))+Formula!I43*(INDEX(Properties!A$1:CB$87,Formula!H43,21))+Formula!K43*(INDEX(Properties!A$1:CB$87,Formula!J43,21))</f>
        <v>22</v>
      </c>
      <c r="BX43" s="66">
        <f>VARP(IF(INDEX(Properties!A$1:CB$87,Formula!B43,21)&lt;&gt;"",INDEX(Properties!A$1:CB$87,Formula!B43,21)),IF(INDEX(Properties!A$1:CB$87,Formula!D43,21)&lt;&gt;"",INDEX(Properties!A$1:CB$87,Formula!D43,21)),IF(INDEX(Properties!A$1:CB$87,Formula!F43,21)&lt;&gt;"",INDEX(Properties!A$1:CB$87,Formula!F43,21)),IF(INDEX(Properties!A$1:CB$87,Formula!H43,21)&lt;&gt;"",INDEX(Properties!A$1:CB$87,Formula!H43,21)),IF(INDEX(Properties!A$1:CB$87,Formula!J43,21)&lt;&gt;"",INDEX(Properties!A$1:CB$87,Formula!J43,21)))</f>
        <v>4.8</v>
      </c>
      <c r="BY43" s="66">
        <f>MAX(INDEX(Properties!A$1:CB$87,Formula!B43,21),INDEX(Properties!A$1:CB$87,Formula!D43,21),INDEX(Properties!A$1:CB$87,Formula!F43,21),INDEX(Properties!A$1:CB$87,Formula!H43,21),INDEX(Properties!A$1:CB$87,Formula!J43,21))</f>
        <v>6</v>
      </c>
      <c r="BZ43" s="66">
        <f>MIN(IF(INDEX(Properties!A$1:CB$87,Formula!B43,21)=0,10^6,INDEX(Properties!A$1:CB$87,Formula!B43,21)),IF(INDEX(Properties!A$1:CB$87,Formula!D43,21)=0,10^6,INDEX(Properties!A$1:CB$87,Formula!D43,21)),IF(INDEX(Properties!A$1:CB$87,Formula!F43,21)=0,10^6,INDEX(Properties!A$1:CB$87,Formula!F43,21)),IF(INDEX(Properties!A$1:CB$87,Formula!H43,21)=0,10^6,INDEX(Properties!A$1:CB$87,Formula!H43,21)),IF(INDEX(Properties!A$1:CB$87,Formula!J43,21)=0,10^6,INDEX(Properties!A$1:CB$87,Formula!J43,21)))</f>
        <v>2</v>
      </c>
      <c r="CA43" s="66">
        <f t="shared" si="12"/>
        <v>4</v>
      </c>
      <c r="CB43" s="81">
        <f>((Formula!C43)/(Formula!C43+Formula!E43+Formula!G43+Formula!I43+Formula!K43))*(INDEX(Properties!A$1:CB$87,Formula!B43,23))+((Formula!E43)/(Formula!C43+Formula!E43+Formula!G43+Formula!I43+Formula!K43))*(INDEX(Properties!A$1:CB$87,Formula!D43,23))+((Formula!G43)/(Formula!C43+Formula!E43+Formula!G43+Formula!I43+Formula!K43))*(INDEX(Properties!A$1:CB$87,Formula!F43,23))+((Formula!I43)/(Formula!C43+Formula!E43+Formula!G43+Formula!I43+Formula!K43))*(INDEX(Properties!A$1:CB$87,Formula!H43,23))+((Formula!K43)/(Formula!C43+Formula!E43+Formula!G43+Formula!I43+Formula!K43))*(INDEX(Properties!A$1:CB$87,Formula!J43,23))</f>
        <v>1.2000000000000002</v>
      </c>
      <c r="CC43" s="81">
        <f>Formula!C43*(INDEX(Properties!A$1:CB$87,Formula!B43,23))+Formula!E43*(INDEX(Properties!A$1:CB$87,Formula!D43,23))+Formula!G43*(INDEX(Properties!A$1:CB$87,Formula!F43,23))+Formula!I43*(INDEX(Properties!A$1:CB$87,Formula!H43,23))+Formula!K43*(INDEX(Properties!A$1:CB$87,Formula!J43,23))</f>
        <v>6</v>
      </c>
      <c r="CD43" s="81">
        <f>VARP(IF(INDEX(Properties!A$1:CB$87,Formula!B43,23)&lt;&gt;"",INDEX(Properties!A$1:CB$87,Formula!B43,23)),IF(INDEX(Properties!A$1:CB$87,Formula!D43,23)&lt;&gt;"",INDEX(Properties!A$1:CB$87,Formula!D43,23)),IF(INDEX(Properties!A$1:CB$87,Formula!F43,23)&lt;&gt;"",INDEX(Properties!A$1:CB$87,Formula!F43,23)),IF(INDEX(Properties!A$1:CB$87,Formula!H43,23)&lt;&gt;"",INDEX(Properties!A$1:CB$87,Formula!H43,23)),IF(INDEX(Properties!A$1:CB$87,Formula!J43,23)&lt;&gt;"",INDEX(Properties!A$1:CB$87,Formula!J43,23)))</f>
        <v>2.56</v>
      </c>
      <c r="CE43" s="81">
        <f>MAX(INDEX(Properties!A$1:CB$87,Formula!B43,23),INDEX(Properties!A$1:CB$87,Formula!D43,23),INDEX(Properties!A$1:CB$87,Formula!F43,23),INDEX(Properties!A$1:CB$87,Formula!H43,23),INDEX(Properties!A$1:CB$87,Formula!J43,23))</f>
        <v>4</v>
      </c>
      <c r="CF43" s="81">
        <f>MIN(IF(Formula!B43=87,10^6,INDEX(Properties!A$1:CB$87,Formula!B43,23)),IF((Formula!D43)=87,10^6,INDEX(Properties!A$1:CB$87,Formula!D43,23)),IF((Formula!F43)=87,10^6,INDEX(Properties!A$1:CB$87,Formula!F43,23)),IF((Formula!H43)=87,10^6,INDEX(Properties!A$1:CB$87,Formula!H43,23)),IF(Formula!J43=87,10^6,INDEX(Properties!A$1:CB$87,Formula!J43,23)))</f>
        <v>0</v>
      </c>
      <c r="CG43" s="81">
        <f t="shared" si="13"/>
        <v>4</v>
      </c>
      <c r="CH43" s="39">
        <f>((Formula!C43)/(Formula!C43+Formula!E43+Formula!G43+Formula!I43+Formula!K43))*(INDEX(Properties!A$1:CB$87,Formula!B43,26))+((Formula!E43)/(Formula!C43+Formula!E43+Formula!G43+Formula!I43+Formula!K43))*(INDEX(Properties!A$1:CB$87,Formula!D43,26))+((Formula!G43)/(Formula!C43+Formula!E43+Formula!G43+Formula!I43+Formula!K43))*(INDEX(Properties!A$1:CB$87,Formula!F43,26))+((Formula!I43)/(Formula!C43+Formula!E43+Formula!G43+Formula!I43+Formula!K43))*(INDEX(Properties!A$1:CB$87,Formula!H43,26))+((Formula!K43)/(Formula!C43+Formula!E43+Formula!G43+Formula!I43+Formula!K43))*(INDEX(Properties!A$1:CB$87,Formula!J43,26))</f>
        <v>10.53998</v>
      </c>
      <c r="CI43" s="39">
        <f>Formula!C43*(INDEX(Properties!A$1:CB$87,Formula!B43,26))+Formula!E43*(INDEX(Properties!A$1:CB$87,Formula!D43,26))+Formula!G43*(INDEX(Properties!A$1:CB$87,Formula!F43,26))+Formula!I43*(INDEX(Properties!A$1:CB$87,Formula!H43,26))+Formula!K43*(INDEX(Properties!A$1:CB$87,Formula!J43,26))</f>
        <v>52.6999</v>
      </c>
      <c r="CJ43" s="39">
        <f>VARP(IF(INDEX(Properties!A$1:CB$87,Formula!B43,26)&lt;&gt;"",INDEX(Properties!A$1:CB$87,Formula!B43,26)),IF(INDEX(Properties!A$1:CB$87,Formula!D43,26)&lt;&gt;"",INDEX(Properties!A$1:CB$87,Formula!D43,26)),IF(INDEX(Properties!A$1:CB$87,Formula!F43,26)&lt;&gt;"",INDEX(Properties!A$1:CB$87,Formula!F43,26)),IF(INDEX(Properties!A$1:CB$87,Formula!H43,26)&lt;&gt;"",INDEX(Properties!A$1:CB$87,Formula!H43,26)),IF(INDEX(Properties!A$1:CB$87,Formula!J43,26)&lt;&gt;"",INDEX(Properties!A$1:CB$87,Formula!J43,26)))</f>
        <v>25.388618034399997</v>
      </c>
      <c r="CK43" s="39">
        <f>MAX(INDEX(Properties!A$1:CB$87,Formula!B43,26),INDEX(Properties!A$1:CB$87,Formula!D43,26),INDEX(Properties!A$1:CB$87,Formula!F43,26),INDEX(Properties!A$1:CB$87,Formula!H43,26),INDEX(Properties!A$1:CB$87,Formula!J43,26))</f>
        <v>13.6181</v>
      </c>
      <c r="CL43" s="39">
        <f>MIN(IF(INDEX(Properties!A$1:CB$87,Formula!B43,26)=0,10^6,INDEX(Properties!A$1:CB$87,Formula!B43,26)),IF(INDEX(Properties!A$1:CB$87,Formula!D43,26)=0,10^6,INDEX(Properties!A$1:CB$87,Formula!D43,26)),IF(INDEX(Properties!A$1:CB$87,Formula!F43,26)=0,10^6,INDEX(Properties!A$1:CB$87,Formula!F43,26)),IF(INDEX(Properties!A$1:CB$87,Formula!H43,26)=0,10^6,INDEX(Properties!A$1:CB$87,Formula!H43,26)),IF(INDEX(Properties!A$1:CB$87,Formula!J43,26)=0,10^6,INDEX(Properties!A$1:CB$87,Formula!J43,26)))</f>
        <v>5.2117000000000004</v>
      </c>
      <c r="CM43" s="39">
        <f t="shared" si="14"/>
        <v>8.4063999999999997</v>
      </c>
      <c r="CN43" s="54">
        <f>((Formula!C43)/(Formula!C43+Formula!E43+Formula!G43+Formula!I43+Formula!K43))*(INDEX(Properties!A$1:CB$87,Formula!B43,30))+((Formula!E43)/(Formula!C43+Formula!E43+Formula!G43+Formula!I43+Formula!K43))*(INDEX(Properties!A$1:CB$87,Formula!D43,30))+((Formula!G43)/(Formula!C43+Formula!E43+Formula!G43+Formula!I43+Formula!K43))*(INDEX(Properties!A$1:CB$87,Formula!F43,30))+((Formula!I43)/(Formula!C43+Formula!E43+Formula!G43+Formula!I43+Formula!K43))*(INDEX(Properties!A$1:CB$87,Formula!H43,30))+((Formula!K43)/(Formula!C43+Formula!E43+Formula!G43+Formula!I43+Formula!K43))*(INDEX(Properties!A$1:CB$87,Formula!J43,30))</f>
        <v>2.508</v>
      </c>
      <c r="CO43" s="54">
        <f>Formula!C43*(INDEX(Properties!A$1:CB$87,Formula!B43,30))+Formula!E43*(INDEX(Properties!A$1:CB$87,Formula!D43,30))+Formula!G43*(INDEX(Properties!A$1:CB$87,Formula!F43,30))+Formula!I43*(INDEX(Properties!A$1:CB$87,Formula!H43,30))+Formula!K43*(INDEX(Properties!A$1:CB$87,Formula!J43,30))</f>
        <v>12.540000000000001</v>
      </c>
      <c r="CP43" s="54">
        <f>VARP(IF(INDEX(Properties!A$1:CB$87,Formula!B43,30)&lt;&gt;"",INDEX(Properties!A$1:CB$87,Formula!B43,30)),IF(INDEX(Properties!A$1:CB$87,Formula!D43,30)&lt;&gt;"",INDEX(Properties!A$1:CB$87,Formula!D43,30)),IF(INDEX(Properties!A$1:CB$87,Formula!F43,30)&lt;&gt;"",INDEX(Properties!A$1:CB$87,Formula!F43,30)),IF(INDEX(Properties!A$1:CB$87,Formula!H43,30)&lt;&gt;"",INDEX(Properties!A$1:CB$87,Formula!H43,30)),IF(INDEX(Properties!A$1:CB$87,Formula!J43,30)&lt;&gt;"",INDEX(Properties!A$1:CB$87,Formula!J43,30)))</f>
        <v>1.5974959999999998</v>
      </c>
      <c r="CQ43" s="54">
        <f>MAX(INDEX(Properties!A$1:CB$87,Formula!B43,30),INDEX(Properties!A$1:CB$87,Formula!D43,30),INDEX(Properties!A$1:CB$87,Formula!F43,30),INDEX(Properties!A$1:CB$87,Formula!H43,30),INDEX(Properties!A$1:CB$87,Formula!J43,30))</f>
        <v>3.44</v>
      </c>
      <c r="CR43" s="54">
        <f>MIN(IF(INDEX(Properties!A$1:CB$87,Formula!B43,30)=0,10^6,INDEX(Properties!A$1:CB$87,Formula!B43,30)),IF(INDEX(Properties!A$1:CB$87,Formula!D43,30)=0,10^6,INDEX(Properties!A$1:CB$87,Formula!D43,30)),IF(INDEX(Properties!A$1:CB$87,Formula!F43,30)=0,10^6,INDEX(Properties!A$1:CB$87,Formula!F43,30)),IF(INDEX(Properties!A$1:CB$87,Formula!H43,30)=0,10^6,INDEX(Properties!A$1:CB$87,Formula!H43,30)),IF(INDEX(Properties!A$1:CB$87,Formula!J43,30)=0,10^6,INDEX(Properties!A$1:CB$87,Formula!J43,30)))</f>
        <v>0.89</v>
      </c>
      <c r="CS43" s="54">
        <f t="shared" si="15"/>
        <v>2.5499999999999998</v>
      </c>
      <c r="CT43" s="69">
        <f>((Formula!C43)/(Formula!C43+Formula!E43+Formula!G43+Formula!I43+Formula!K43))*(INDEX(Properties!A$1:CB$87,Formula!B43,31))+((Formula!E43)/(Formula!C43+Formula!E43+Formula!G43+Formula!I43+Formula!K43))*(INDEX(Properties!A$1:CB$87,Formula!D43,31))+((Formula!G43)/(Formula!C43+Formula!E43+Formula!G43+Formula!I43+Formula!K43))*(INDEX(Properties!A$1:CB$87,Formula!F43,31))+((Formula!I43)/(Formula!C43+Formula!E43+Formula!G43+Formula!I43+Formula!K43))*(INDEX(Properties!A$1:CB$87,Formula!H43,31))+((Formula!K43)/(Formula!C43+Formula!E43+Formula!G43+Formula!I43+Formula!K43))*(INDEX(Properties!A$1:CB$87,Formula!J43,31))</f>
        <v>2.548</v>
      </c>
      <c r="CU43" s="69">
        <f>Formula!C43*(INDEX(Properties!A$1:CB$87,Formula!B43,31))+Formula!E43*(INDEX(Properties!A$1:CB$87,Formula!D43,31))+Formula!G43*(INDEX(Properties!A$1:CB$87,Formula!F43,31))+Formula!I43*(INDEX(Properties!A$1:CB$87,Formula!H43,31))+Formula!K43*(INDEX(Properties!A$1:CB$87,Formula!J43,31))</f>
        <v>12.739999999999998</v>
      </c>
      <c r="CV43" s="69">
        <f>VARP(IF(INDEX(Properties!A$1:CB$87,Formula!B43,31)&lt;&gt;"",INDEX(Properties!A$1:CB$87,Formula!B43,31)),IF(INDEX(Properties!A$1:CB$87,Formula!D43,31)&lt;&gt;"",INDEX(Properties!A$1:CB$87,Formula!D43,31)),IF(INDEX(Properties!A$1:CB$87,Formula!F43,31)&lt;&gt;"",INDEX(Properties!A$1:CB$87,Formula!F43,31)),IF(INDEX(Properties!A$1:CB$87,Formula!H43,31)&lt;&gt;"",INDEX(Properties!A$1:CB$87,Formula!H43,31)),IF(INDEX(Properties!A$1:CB$87,Formula!J43,31)&lt;&gt;"",INDEX(Properties!A$1:CB$87,Formula!J43,31)))</f>
        <v>1.5273599999999998</v>
      </c>
      <c r="CW43" s="69">
        <f>MAX(INDEX(Properties!A$1:CB$87,Formula!B43,31),INDEX(Properties!A$1:CB$87,Formula!D43,31),INDEX(Properties!A$1:CB$87,Formula!F43,31),INDEX(Properties!A$1:CB$87,Formula!H43,31),INDEX(Properties!A$1:CB$87,Formula!J43,31))</f>
        <v>3.32</v>
      </c>
      <c r="CX43" s="69">
        <f>MIN(IF(INDEX(Properties!A$1:CB$87,Formula!B43,31)=0,10^6,INDEX(Properties!A$1:CB$87,Formula!B43,31)),IF(INDEX(Properties!A$1:CB$87,Formula!D43,31)=0,10^6,INDEX(Properties!A$1:CB$87,Formula!D43,31)),IF(INDEX(Properties!A$1:CB$87,Formula!F43,31)=0,10^6,INDEX(Properties!A$1:CB$87,Formula!F43,31)),IF(INDEX(Properties!A$1:CB$87,Formula!H43,31)=0,10^6,INDEX(Properties!A$1:CB$87,Formula!H43,31)),IF(INDEX(Properties!A$1:CB$87,Formula!J43,31)=0,10^6,INDEX(Properties!A$1:CB$87,Formula!J43,31)))</f>
        <v>1.08</v>
      </c>
      <c r="CY43" s="69">
        <f t="shared" si="16"/>
        <v>2.2399999999999998</v>
      </c>
      <c r="CZ43" s="42">
        <f>((Formula!C43)/(Formula!C43+Formula!E43+Formula!G43+Formula!I43+Formula!K43))*(INDEX(Properties!A$1:CB$87,Formula!B43,32))+((Formula!E43)/(Formula!C43+Formula!E43+Formula!G43+Formula!I43+Formula!K43))*(INDEX(Properties!A$1:CB$87,Formula!D43,32))+((Formula!G43)/(Formula!C43+Formula!E43+Formula!G43+Formula!I43+Formula!K43))*(INDEX(Properties!A$1:CB$87,Formula!F43,32))+((Formula!I43)/(Formula!C43+Formula!E43+Formula!G43+Formula!I43+Formula!K43))*(INDEX(Properties!A$1:CB$87,Formula!H43,32))+((Formula!K43)/(Formula!C43+Formula!E43+Formula!G43+Formula!I43+Formula!K43))*(INDEX(Properties!A$1:CB$87,Formula!J43,32))</f>
        <v>5.7320000000000002</v>
      </c>
      <c r="DA43" s="42">
        <f>Formula!C43*(INDEX(Properties!A$1:CB$87,Formula!B43,32))+Formula!E43*(INDEX(Properties!A$1:CB$87,Formula!D43,32))+Formula!G43*(INDEX(Properties!A$1:CB$87,Formula!F43,32))+Formula!I43*(INDEX(Properties!A$1:CB$87,Formula!H43,32))+Formula!K43*(INDEX(Properties!A$1:CB$87,Formula!J43,32))</f>
        <v>28.66</v>
      </c>
      <c r="DB43" s="42">
        <f>VARP(IF(INDEX(Properties!A$1:CB$87,Formula!B43,32)&lt;&gt;"",INDEX(Properties!A$1:CB$87,Formula!B43,32)),IF(INDEX(Properties!A$1:CB$87,Formula!D43,32)&lt;&gt;"",INDEX(Properties!A$1:CB$87,Formula!D43,32)),IF(INDEX(Properties!A$1:CB$87,Formula!F43,32)&lt;&gt;"",INDEX(Properties!A$1:CB$87,Formula!F43,32)),IF(INDEX(Properties!A$1:CB$87,Formula!H43,32)&lt;&gt;"",INDEX(Properties!A$1:CB$87,Formula!H43,32)),IF(INDEX(Properties!A$1:CB$87,Formula!J43,32)&lt;&gt;"",INDEX(Properties!A$1:CB$87,Formula!J43,32)))</f>
        <v>7.795583999999999</v>
      </c>
      <c r="DC43" s="42">
        <f>MAX(INDEX(Properties!A$1:CB$87,Formula!B43,32),INDEX(Properties!A$1:CB$87,Formula!D43,32),INDEX(Properties!A$1:CB$87,Formula!F43,32),INDEX(Properties!A$1:CB$87,Formula!H43,32),INDEX(Properties!A$1:CB$87,Formula!J43,32))</f>
        <v>7.54</v>
      </c>
      <c r="DD43" s="42">
        <f>MIN(IF(INDEX(Properties!A$1:CB$87,Formula!B43,32)=0,10^6,INDEX(Properties!A$1:CB$87,Formula!B43,32)),IF(INDEX(Properties!A$1:CB$87,Formula!D43,32)=0,10^6,INDEX(Properties!A$1:CB$87,Formula!D43,32)),IF(INDEX(Properties!A$1:CB$87,Formula!F43,32)=0,10^6,INDEX(Properties!A$1:CB$87,Formula!F43,32)),IF(INDEX(Properties!A$1:CB$87,Formula!H43,32)=0,10^6,INDEX(Properties!A$1:CB$87,Formula!H43,32)),IF(INDEX(Properties!A$1:CB$87,Formula!J43,32)=0,10^6,INDEX(Properties!A$1:CB$87,Formula!J43,32)))</f>
        <v>2.4</v>
      </c>
      <c r="DE43" s="42">
        <f t="shared" si="17"/>
        <v>5.1400000000000006</v>
      </c>
      <c r="DF43" s="60">
        <f>((Formula!C43)/(Formula!C43+Formula!E43+Formula!G43+Formula!I43+Formula!K43))*(INDEX(Properties!A$1:CB$87,Formula!B43,34))+((Formula!E43)/(Formula!C43+Formula!E43+Formula!G43+Formula!I43+Formula!K43))*(INDEX(Properties!A$1:CB$87,Formula!D43,34))+((Formula!G43)/(Formula!C43+Formula!E43+Formula!G43+Formula!I43+Formula!K43))*(INDEX(Properties!A$1:CB$87,Formula!F43,34))+((Formula!I43)/(Formula!C43+Formula!E43+Formula!G43+Formula!I43+Formula!K43))*(INDEX(Properties!A$1:CB$87,Formula!H43,34))+((Formula!K43)/(Formula!C43+Formula!E43+Formula!G43+Formula!I43+Formula!K43))*(INDEX(Properties!A$1:CB$87,Formula!J43,34))</f>
        <v>2.6061999999999999</v>
      </c>
      <c r="DG43" s="60">
        <f>Formula!C43*(INDEX(Properties!A$1:CB$87,Formula!B43,34))+Formula!E43*(INDEX(Properties!A$1:CB$87,Formula!D43,34))+Formula!G43*(INDEX(Properties!A$1:CB$87,Formula!F43,34))+Formula!I43*(INDEX(Properties!A$1:CB$87,Formula!H43,34))+Formula!K43*(INDEX(Properties!A$1:CB$87,Formula!J43,34))</f>
        <v>13.031000000000001</v>
      </c>
      <c r="DH43" s="60">
        <f>VARP(IF(INDEX(Properties!A$1:CB$87,Formula!B43,34)&lt;&gt;"",INDEX(Properties!A$1:CB$87,Formula!B43,34)),IF(INDEX(Properties!A$1:CB$87,Formula!D43,34)&lt;&gt;"",INDEX(Properties!A$1:CB$87,Formula!D43,34)),IF(INDEX(Properties!A$1:CB$87,Formula!F43,34)&lt;&gt;"",INDEX(Properties!A$1:CB$87,Formula!F43,34)),IF(INDEX(Properties!A$1:CB$87,Formula!H43,34)&lt;&gt;"",INDEX(Properties!A$1:CB$87,Formula!H43,34)),IF(INDEX(Properties!A$1:CB$87,Formula!J43,34)&lt;&gt;"",INDEX(Properties!A$1:CB$87,Formula!J43,34)))</f>
        <v>1.7594233599999998</v>
      </c>
      <c r="DI43" s="60">
        <f>MAX(INDEX(Properties!A$1:CB$87,Formula!B43,34),INDEX(Properties!A$1:CB$87,Formula!D43,34),INDEX(Properties!A$1:CB$87,Formula!F43,34),INDEX(Properties!A$1:CB$87,Formula!H43,34),INDEX(Properties!A$1:CB$87,Formula!J43,34))</f>
        <v>3.61</v>
      </c>
      <c r="DJ43" s="60">
        <f>MIN(IF(INDEX(Properties!A$1:CB$87,Formula!B43,34)=0,10^6,INDEX(Properties!A$1:CB$87,Formula!B43,34)),IF(INDEX(Properties!A$1:CB$87,Formula!D43,34)=0,10^6,INDEX(Properties!A$1:CB$87,Formula!D43,34)),IF(INDEX(Properties!A$1:CB$87,Formula!F43,34)=0,10^6,INDEX(Properties!A$1:CB$87,Formula!F43,34)),IF(INDEX(Properties!A$1:CB$87,Formula!H43,34)=0,10^6,INDEX(Properties!A$1:CB$87,Formula!H43,34)),IF(INDEX(Properties!A$1:CB$87,Formula!J43,34)=0,10^6,INDEX(Properties!A$1:CB$87,Formula!J43,34)))</f>
        <v>0.88100000000000001</v>
      </c>
      <c r="DK43" s="60">
        <f t="shared" si="18"/>
        <v>2.7290000000000001</v>
      </c>
      <c r="DL43" s="45">
        <f>((Formula!C43)/(Formula!C43+Formula!E43+Formula!G43+Formula!I43+Formula!K43))*(INDEX(Properties!A$1:CB$87,Formula!B43,39))+((Formula!E43)/(Formula!C43+Formula!E43+Formula!G43+Formula!I43+Formula!K43))*(INDEX(Properties!A$1:CB$87,Formula!D43,39))+((Formula!G43)/(Formula!C43+Formula!E43+Formula!G43+Formula!I43+Formula!K43))*(INDEX(Properties!A$1:CB$87,Formula!F43,39))+((Formula!I43)/(Formula!C43+Formula!E43+Formula!G43+Formula!I43+Formula!K43))*(INDEX(Properties!A$1:CB$87,Formula!H43,39))+((Formula!K43)/(Formula!C43+Formula!E43+Formula!G43+Formula!I43+Formula!K43))*(INDEX(Properties!A$1:CB$87,Formula!J43,39))</f>
        <v>1.206</v>
      </c>
      <c r="DM43" s="45">
        <f>Formula!C43*(INDEX(Properties!A$1:CB$87,Formula!B43,39))+Formula!E43*(INDEX(Properties!A$1:CB$87,Formula!D43,39))+Formula!G43*(INDEX(Properties!A$1:CB$87,Formula!F43,39))+Formula!I43*(INDEX(Properties!A$1:CB$87,Formula!H43,39))+Formula!K43*(INDEX(Properties!A$1:CB$87,Formula!J43,39))</f>
        <v>6.0299999999999994</v>
      </c>
      <c r="DN43" s="45">
        <f>VARP(IF(INDEX(Properties!A$1:CB$87,Formula!B43,39)&lt;&gt;"",INDEX(Properties!A$1:CB$87,Formula!B43,39)),IF(INDEX(Properties!A$1:CB$87,Formula!D43,39)&lt;&gt;"",INDEX(Properties!A$1:CB$87,Formula!D43,39)),IF(INDEX(Properties!A$1:CB$87,Formula!F43,39)&lt;&gt;"",INDEX(Properties!A$1:CB$87,Formula!F43,39)),IF(INDEX(Properties!A$1:CB$87,Formula!H43,39)&lt;&gt;"",INDEX(Properties!A$1:CB$87,Formula!H43,39)),IF(INDEX(Properties!A$1:CB$87,Formula!J43,39)&lt;&gt;"",INDEX(Properties!A$1:CB$87,Formula!J43,39)))</f>
        <v>1.1467839999999996</v>
      </c>
      <c r="DO43" s="45">
        <f>MAX(INDEX(Properties!A$1:CB$87,Formula!B43,39),INDEX(Properties!A$1:CB$87,Formula!D43,39),INDEX(Properties!A$1:CB$87,Formula!F43,39),INDEX(Properties!A$1:CB$87,Formula!H43,39),INDEX(Properties!A$1:CB$87,Formula!J43,39))</f>
        <v>2.5299999999999998</v>
      </c>
      <c r="DP43" s="45">
        <f>MIN(IF(INDEX(Properties!A$1:CB$87,Formula!B43,39)=0,10^6,INDEX(Properties!A$1:CB$87,Formula!B43,39)),IF(INDEX(Properties!A$1:CB$87,Formula!D43,39)=0,10^6,INDEX(Properties!A$1:CB$87,Formula!D43,39)),IF(INDEX(Properties!A$1:CB$87,Formula!F43,39)=0,10^6,INDEX(Properties!A$1:CB$87,Formula!F43,39)),IF(INDEX(Properties!A$1:CB$87,Formula!H43,39)=0,10^6,INDEX(Properties!A$1:CB$87,Formula!H43,39)),IF(INDEX(Properties!A$1:CB$87,Formula!J43,39)=0,10^6,INDEX(Properties!A$1:CB$87,Formula!J43,39)))</f>
        <v>0.48</v>
      </c>
      <c r="DQ43" s="45">
        <f t="shared" si="19"/>
        <v>2.0499999999999998</v>
      </c>
      <c r="DR43" s="63">
        <f>((Formula!C43)/(Formula!C43+Formula!E43+Formula!G43+Formula!I43+Formula!K43))*(INDEX(Properties!A$1:CB$87,Formula!B43,40))+((Formula!E43)/(Formula!C43+Formula!E43+Formula!G43+Formula!I43+Formula!K43))*(INDEX(Properties!A$1:CB$87,Formula!D43,40))+((Formula!G43)/(Formula!C43+Formula!E43+Formula!G43+Formula!I43+Formula!K43))*(INDEX(Properties!A$1:CB$87,Formula!F43,40))+((Formula!I43)/(Formula!C43+Formula!E43+Formula!G43+Formula!I43+Formula!K43))*(INDEX(Properties!A$1:CB$87,Formula!H43,40))+((Formula!K43)/(Formula!C43+Formula!E43+Formula!G43+Formula!I43+Formula!K43))*(INDEX(Properties!A$1:CB$87,Formula!J43,40))</f>
        <v>1.1299999999999999</v>
      </c>
      <c r="DS43" s="63">
        <f>Formula!C43*(INDEX(Properties!A$1:CB$87,Formula!B43,40))+Formula!E43*(INDEX(Properties!A$1:CB$87,Formula!D43,40))+Formula!G43*(INDEX(Properties!A$1:CB$87,Formula!F43,40))+Formula!I43*(INDEX(Properties!A$1:CB$87,Formula!H43,40))+Formula!K43*(INDEX(Properties!A$1:CB$87,Formula!J43,40))</f>
        <v>5.65</v>
      </c>
      <c r="DT43" s="63">
        <f>VARP(IF(INDEX(Properties!A$1:CB$87,Formula!B43,40)&lt;&gt;"",INDEX(Properties!A$1:CB$87,Formula!B43,40)),IF(INDEX(Properties!A$1:CB$87,Formula!D43,40)&lt;&gt;"",INDEX(Properties!A$1:CB$87,Formula!D43,40)),IF(INDEX(Properties!A$1:CB$87,Formula!F43,40)&lt;&gt;"",INDEX(Properties!A$1:CB$87,Formula!F43,40)),IF(INDEX(Properties!A$1:CB$87,Formula!H43,40)&lt;&gt;"",INDEX(Properties!A$1:CB$87,Formula!H43,40)),IF(INDEX(Properties!A$1:CB$87,Formula!J43,40)&lt;&gt;"",INDEX(Properties!A$1:CB$87,Formula!J43,40)))</f>
        <v>0.62649599999999983</v>
      </c>
      <c r="DU43" s="63">
        <f>MAX(INDEX(Properties!A$1:CB$87,Formula!B43,40),INDEX(Properties!A$1:CB$87,Formula!D43,40),INDEX(Properties!A$1:CB$87,Formula!F43,40),INDEX(Properties!A$1:CB$87,Formula!H43,40),INDEX(Properties!A$1:CB$87,Formula!J43,40))</f>
        <v>1.98</v>
      </c>
      <c r="DV43" s="63">
        <f>MIN(IF(INDEX(Properties!A$1:CB$87,Formula!B43,40)=0,10^6,INDEX(Properties!A$1:CB$87,Formula!B43,40)),IF(INDEX(Properties!A$1:CB$87,Formula!D43,40)=0,10^6,INDEX(Properties!A$1:CB$87,Formula!D43,40)),IF(INDEX(Properties!A$1:CB$87,Formula!F43,40)=0,10^6,INDEX(Properties!A$1:CB$87,Formula!F43,40)),IF(INDEX(Properties!A$1:CB$87,Formula!H43,40)=0,10^6,INDEX(Properties!A$1:CB$87,Formula!H43,40)),IF(INDEX(Properties!A$1:CB$87,Formula!J43,40)=0,10^6,INDEX(Properties!A$1:CB$87,Formula!J43,40)))</f>
        <v>0.73</v>
      </c>
      <c r="DW43" s="63">
        <f t="shared" si="20"/>
        <v>1.25</v>
      </c>
      <c r="DX43" s="75">
        <f>((Formula!C43)/(Formula!C43+Formula!E43+Formula!G43+Formula!I43+Formula!K43))*(INDEX(Properties!A$1:CB$87,Formula!B43,41))+((Formula!E43)/(Formula!C43+Formula!E43+Formula!G43+Formula!I43+Formula!K43))*(INDEX(Properties!A$1:CB$87,Formula!D43,41))+((Formula!G43)/(Formula!C43+Formula!E43+Formula!G43+Formula!I43+Formula!K43))*(INDEX(Properties!A$1:CB$87,Formula!F43,41))+((Formula!I43)/(Formula!C43+Formula!E43+Formula!G43+Formula!I43+Formula!K43))*(INDEX(Properties!A$1:CB$87,Formula!H43,41))+((Formula!K43)/(Formula!C43+Formula!E43+Formula!G43+Formula!I43+Formula!K43))*(INDEX(Properties!A$1:CB$87,Formula!J43,41))</f>
        <v>1.226</v>
      </c>
      <c r="DY43" s="75">
        <f>Formula!C43*(INDEX(Properties!A$1:CB$87,Formula!B43,41))+Formula!E43*(INDEX(Properties!A$1:CB$87,Formula!D43,41))+Formula!G43*(INDEX(Properties!A$1:CB$87,Formula!F43,41))+Formula!I43*(INDEX(Properties!A$1:CB$87,Formula!H43,41))+Formula!K43*(INDEX(Properties!A$1:CB$87,Formula!J43,41))</f>
        <v>6.1300000000000008</v>
      </c>
      <c r="DZ43" s="75">
        <f>VARP(IF(INDEX(Properties!A$1:CB$87,Formula!B43,41)&lt;&gt;"",INDEX(Properties!A$1:CB$87,Formula!B43,41)),IF(INDEX(Properties!A$1:CB$87,Formula!D43,41)&lt;&gt;"",INDEX(Properties!A$1:CB$87,Formula!D43,41)),IF(INDEX(Properties!A$1:CB$87,Formula!F43,41)&lt;&gt;"",INDEX(Properties!A$1:CB$87,Formula!F43,41)),IF(INDEX(Properties!A$1:CB$87,Formula!H43,41)&lt;&gt;"",INDEX(Properties!A$1:CB$87,Formula!H43,41)),IF(INDEX(Properties!A$1:CB$87,Formula!J43,41)&lt;&gt;"",INDEX(Properties!A$1:CB$87,Formula!J43,41)))</f>
        <v>0.38817599999999991</v>
      </c>
      <c r="EA43" s="75">
        <f>MAX(INDEX(Properties!A$1:CB$87,Formula!B43,41),INDEX(Properties!A$1:CB$87,Formula!D43,41),INDEX(Properties!A$1:CB$87,Formula!F43,41),INDEX(Properties!A$1:CB$87,Formula!H43,41),INDEX(Properties!A$1:CB$87,Formula!J43,41))</f>
        <v>1.49</v>
      </c>
      <c r="EB43" s="75">
        <f>MIN(IF(INDEX(Properties!A$1:CB$87,Formula!B43,41)=0,10^6,INDEX(Properties!A$1:CB$87,Formula!B43,41)),IF(INDEX(Properties!A$1:CB$87,Formula!D43,41)=0,10^6,INDEX(Properties!A$1:CB$87,Formula!D43,41)),IF(INDEX(Properties!A$1:CB$87,Formula!F43,41)=0,10^6,INDEX(Properties!A$1:CB$87,Formula!F43,41)),IF(INDEX(Properties!A$1:CB$87,Formula!H43,41)=0,10^6,INDEX(Properties!A$1:CB$87,Formula!H43,41)),IF(INDEX(Properties!A$1:CB$87,Formula!J43,41)=0,10^6,INDEX(Properties!A$1:CB$87,Formula!J43,41)))</f>
        <v>0.86</v>
      </c>
      <c r="EC43" s="75">
        <f t="shared" si="21"/>
        <v>0.63</v>
      </c>
      <c r="ED43" s="48">
        <f>((Formula!C43)/(Formula!C43+Formula!E43+Formula!G43+Formula!I43+Formula!K43))*(INDEX(Properties!A$1:CB$87,Formula!B43,45))+((Formula!E43)/(Formula!C43+Formula!E43+Formula!G43+Formula!I43+Formula!K43))*(INDEX(Properties!A$1:CB$87,Formula!D43,45))+((Formula!G43)/(Formula!C43+Formula!E43+Formula!G43+Formula!I43+Formula!K43))*(INDEX(Properties!A$1:CB$87,Formula!F43,45))+((Formula!I43)/(Formula!C43+Formula!E43+Formula!G43+Formula!I43+Formula!K43))*(INDEX(Properties!A$1:CB$87,Formula!H43,45))+((Formula!K43)/(Formula!C43+Formula!E43+Formula!G43+Formula!I43+Formula!K43))*(INDEX(Properties!A$1:CB$87,Formula!J43,45))</f>
        <v>1.528</v>
      </c>
      <c r="EE43" s="48">
        <f>Formula!C43*(INDEX(Properties!A$1:CB$87,Formula!B43,45))+Formula!E43*(INDEX(Properties!A$1:CB$87,Formula!D43,45))+Formula!G43*(INDEX(Properties!A$1:CB$87,Formula!F43,45))+Formula!I43*(INDEX(Properties!A$1:CB$87,Formula!H43,45))+Formula!K43*(INDEX(Properties!A$1:CB$87,Formula!J43,45))</f>
        <v>7.6400000000000006</v>
      </c>
      <c r="EF43" s="48">
        <f>VARP(IF(INDEX(Properties!A$1:CB$87,Formula!B43,45)&lt;&gt;"",INDEX(Properties!A$1:CB$87,Formula!B43,45)),IF(INDEX(Properties!A$1:CB$87,Formula!D43,45)&lt;&gt;"",INDEX(Properties!A$1:CB$87,Formula!D43,45)),IF(INDEX(Properties!A$1:CB$87,Formula!F43,45)&lt;&gt;"",INDEX(Properties!A$1:CB$87,Formula!F43,45)),IF(INDEX(Properties!A$1:CB$87,Formula!H43,45)&lt;&gt;"",INDEX(Properties!A$1:CB$87,Formula!H43,45)),IF(INDEX(Properties!A$1:CB$87,Formula!J43,45)&lt;&gt;"",INDEX(Properties!A$1:CB$87,Formula!J43,45)))</f>
        <v>2.1623600000000001</v>
      </c>
      <c r="EG43" s="48">
        <f>MAX(INDEX(Properties!A$1:CB$87,Formula!B43,45),INDEX(Properties!A$1:CB$87,Formula!D43,45),INDEX(Properties!A$1:CB$87,Formula!F43,45),INDEX(Properties!A$1:CB$87,Formula!H43,45),INDEX(Properties!A$1:CB$87,Formula!J43,45))</f>
        <v>3.4</v>
      </c>
      <c r="EH43" s="48">
        <f>MIN(IF(INDEX(Properties!A$1:CB$87,Formula!B43,45)=0,10^6,INDEX(Properties!A$1:CB$87,Formula!B43,45)),IF(INDEX(Properties!A$1:CB$87,Formula!D43,45)=0,10^6,INDEX(Properties!A$1:CB$87,Formula!D43,45)),IF(INDEX(Properties!A$1:CB$87,Formula!F43,45)=0,10^6,INDEX(Properties!A$1:CB$87,Formula!F43,45)),IF(INDEX(Properties!A$1:CB$87,Formula!H43,45)=0,10^6,INDEX(Properties!A$1:CB$87,Formula!H43,45)),IF(INDEX(Properties!A$1:CB$87,Formula!J43,45)=0,10^6,INDEX(Properties!A$1:CB$87,Formula!J43,45)))</f>
        <v>0.47</v>
      </c>
      <c r="EI43" s="48">
        <f t="shared" si="22"/>
        <v>2.9299999999999997</v>
      </c>
      <c r="EJ43" s="66">
        <f>((Formula!C43)/(Formula!C43+Formula!E43+Formula!G43+Formula!I43+Formula!K43))*(INDEX(Properties!A$1:CB$87,Formula!B43,46))+((Formula!E43)/(Formula!C43+Formula!E43+Formula!G43+Formula!I43+Formula!K43))*(INDEX(Properties!A$1:CB$87,Formula!D43,46))+((Formula!G43)/(Formula!C43+Formula!E43+Formula!G43+Formula!I43+Formula!K43))*(INDEX(Properties!A$1:CB$87,Formula!F43,46))+((Formula!I43)/(Formula!C43+Formula!E43+Formula!G43+Formula!I43+Formula!K43))*(INDEX(Properties!A$1:CB$87,Formula!H43,46))+((Formula!K43)/(Formula!C43+Formula!E43+Formula!G43+Formula!I43+Formula!K43))*(INDEX(Properties!A$1:CB$87,Formula!J43,46))</f>
        <v>1.196</v>
      </c>
      <c r="EK43" s="66">
        <f>Formula!C43*(INDEX(Properties!A$1:CB$87,Formula!B43,46))+Formula!E43*(INDEX(Properties!A$1:CB$87,Formula!D43,46))+Formula!G43*(INDEX(Properties!A$1:CB$87,Formula!F43,46))+Formula!I43*(INDEX(Properties!A$1:CB$87,Formula!H43,46))+Formula!K43*(INDEX(Properties!A$1:CB$87,Formula!J43,46))</f>
        <v>5.98</v>
      </c>
      <c r="EL43" s="66">
        <f>VARP(IF(INDEX(Properties!A$1:CB$87,Formula!B43,46)&lt;&gt;"",INDEX(Properties!A$1:CB$87,Formula!B43,46)),IF(INDEX(Properties!A$1:CB$87,Formula!D43,46)&lt;&gt;"",INDEX(Properties!A$1:CB$87,Formula!D43,46)),IF(INDEX(Properties!A$1:CB$87,Formula!F43,46)&lt;&gt;"",INDEX(Properties!A$1:CB$87,Formula!F43,46)),IF(INDEX(Properties!A$1:CB$87,Formula!H43,46)&lt;&gt;"",INDEX(Properties!A$1:CB$87,Formula!H43,46)),IF(INDEX(Properties!A$1:CB$87,Formula!J43,46)&lt;&gt;"",INDEX(Properties!A$1:CB$87,Formula!J43,46)))</f>
        <v>0.37781599999999999</v>
      </c>
      <c r="EM43" s="66">
        <f>MAX(INDEX(Properties!A$1:CB$87,Formula!B43,46),INDEX(Properties!A$1:CB$87,Formula!D43,46),INDEX(Properties!A$1:CB$87,Formula!F43,46),INDEX(Properties!A$1:CB$87,Formula!H43,46),INDEX(Properties!A$1:CB$87,Formula!J43,46))</f>
        <v>1.49</v>
      </c>
      <c r="EN43" s="66">
        <f>MIN(IF(INDEX(Properties!A$1:CB$87,Formula!B43,46)=0,10^6,INDEX(Properties!A$1:CB$87,Formula!B43,46)),IF(INDEX(Properties!A$1:CB$87,Formula!D43,46)=0,10^6,INDEX(Properties!A$1:CB$87,Formula!D43,46)),IF(INDEX(Properties!A$1:CB$87,Formula!F43,46)=0,10^6,INDEX(Properties!A$1:CB$87,Formula!F43,46)),IF(INDEX(Properties!A$1:CB$87,Formula!H43,46)=0,10^6,INDEX(Properties!A$1:CB$87,Formula!H43,46)),IF(INDEX(Properties!A$1:CB$87,Formula!J43,46)=0,10^6,INDEX(Properties!A$1:CB$87,Formula!J43,46)))</f>
        <v>0.86</v>
      </c>
      <c r="EO43" s="66">
        <f t="shared" si="23"/>
        <v>0.63</v>
      </c>
      <c r="EP43" s="81">
        <f>((Formula!C43)/(Formula!C43+Formula!E43+Formula!G43+Formula!I43+Formula!K43))*(INDEX(Properties!A$1:CB$87,Formula!B43,52))+((Formula!E43)/(Formula!C43+Formula!E43+Formula!G43+Formula!I43+Formula!K43))*(INDEX(Properties!A$1:CB$87,Formula!D43,52))+((Formula!G43)/(Formula!C43+Formula!E43+Formula!G43+Formula!I43+Formula!K43))*(INDEX(Properties!A$1:CB$87,Formula!F43,52))+((Formula!I43)/(Formula!C43+Formula!E43+Formula!G43+Formula!I43+Formula!K43))*(INDEX(Properties!A$1:CB$87,Formula!H43,52))+((Formula!K43)/(Formula!C43+Formula!E43+Formula!G43+Formula!I43+Formula!K43))*(INDEX(Properties!A$1:CB$87,Formula!J43,52))</f>
        <v>11.995800000000001</v>
      </c>
      <c r="EQ43" s="81">
        <f>Formula!C43*(INDEX(Properties!A$1:CB$87,Formula!B43,52))+Formula!E43*(INDEX(Properties!A$1:CB$87,Formula!D43,52))+Formula!G43*(INDEX(Properties!A$1:CB$87,Formula!F43,52))+Formula!I43*(INDEX(Properties!A$1:CB$87,Formula!H43,52))+Formula!K43*(INDEX(Properties!A$1:CB$87,Formula!J43,52))</f>
        <v>59.978999999999999</v>
      </c>
      <c r="ER43" s="81">
        <f>VARP(IF(INDEX(Properties!A$1:CB$87,Formula!B43,52)&lt;&gt;"",INDEX(Properties!A$1:CB$87,Formula!B43,52)),IF(INDEX(Properties!A$1:CB$87,Formula!D43,52)&lt;&gt;"",INDEX(Properties!A$1:CB$87,Formula!D43,52)),IF(INDEX(Properties!A$1:CB$87,Formula!F43,52)&lt;&gt;"",INDEX(Properties!A$1:CB$87,Formula!F43,52)),IF(INDEX(Properties!A$1:CB$87,Formula!H43,52)&lt;&gt;"",INDEX(Properties!A$1:CB$87,Formula!H43,52)),IF(INDEX(Properties!A$1:CB$87,Formula!J43,52)&lt;&gt;"",INDEX(Properties!A$1:CB$87,Formula!J43,52)))</f>
        <v>243.03607183999998</v>
      </c>
      <c r="ES43" s="81">
        <f>MAX(INDEX(Properties!A$1:CB$87,Formula!B43,52),INDEX(Properties!A$1:CB$87,Formula!D43,52),INDEX(Properties!A$1:CB$87,Formula!F43,52),INDEX(Properties!A$1:CB$87,Formula!H43,52),INDEX(Properties!A$1:CB$87,Formula!J43,52))</f>
        <v>39.700000000000003</v>
      </c>
      <c r="ET43" s="81">
        <f>MIN(IF(INDEX(Properties!A$1:CB$87,Formula!B43,52)=0,10^6,INDEX(Properties!A$1:CB$87,Formula!B43,52)),IF(INDEX(Properties!A$1:CB$87,Formula!D43,52)=0,10^6,INDEX(Properties!A$1:CB$87,Formula!D43,52)),IF(INDEX(Properties!A$1:CB$87,Formula!F43,52)=0,10^6,INDEX(Properties!A$1:CB$87,Formula!F43,52)),IF(INDEX(Properties!A$1:CB$87,Formula!H43,52)=0,10^6,INDEX(Properties!A$1:CB$87,Formula!H43,52)),IF(INDEX(Properties!A$1:CB$87,Formula!J43,52)=0,10^6,INDEX(Properties!A$1:CB$87,Formula!J43,52)))</f>
        <v>0.79300000000000004</v>
      </c>
      <c r="EU43" s="81">
        <f t="shared" si="24"/>
        <v>38.907000000000004</v>
      </c>
      <c r="EV43" s="39">
        <f>((Formula!C43)/(Formula!C43+Formula!E43+Formula!G43+Formula!I43+Formula!K43))*(INDEX(Properties!A$1:CB$87,Formula!B43,53))+((Formula!E43)/(Formula!C43+Formula!E43+Formula!G43+Formula!I43+Formula!K43))*(INDEX(Properties!A$1:CB$87,Formula!D43,53))+((Formula!G43)/(Formula!C43+Formula!E43+Formula!G43+Formula!I43+Formula!K43))*(INDEX(Properties!A$1:CB$87,Formula!F43,53))+((Formula!I43)/(Formula!C43+Formula!E43+Formula!G43+Formula!I43+Formula!K43))*(INDEX(Properties!A$1:CB$87,Formula!H43,53))+((Formula!K43)/(Formula!C43+Formula!E43+Formula!G43+Formula!I43+Formula!K43))*(INDEX(Properties!A$1:CB$87,Formula!J43,53))</f>
        <v>657.5100000000001</v>
      </c>
      <c r="EW43" s="39">
        <f>Formula!C43*(INDEX(Properties!A$1:CB$87,Formula!B43,53))+Formula!E43*(INDEX(Properties!A$1:CB$87,Formula!D43,53))+Formula!G43*(INDEX(Properties!A$1:CB$87,Formula!F43,53))+Formula!I43*(INDEX(Properties!A$1:CB$87,Formula!H43,53))+Formula!K43*(INDEX(Properties!A$1:CB$87,Formula!J43,53))</f>
        <v>3287.55</v>
      </c>
      <c r="EX43" s="39">
        <f>VARP(IF(INDEX(Properties!A$1:CB$87,Formula!B43,53)&lt;&gt;"",INDEX(Properties!A$1:CB$87,Formula!B43,53)),IF(INDEX(Properties!A$1:CB$87,Formula!D43,53)&lt;&gt;"",INDEX(Properties!A$1:CB$87,Formula!D43,53)),IF(INDEX(Properties!A$1:CB$87,Formula!F43,53)&lt;&gt;"",INDEX(Properties!A$1:CB$87,Formula!F43,53)),IF(INDEX(Properties!A$1:CB$87,Formula!H43,53)&lt;&gt;"",INDEX(Properties!A$1:CB$87,Formula!H43,53)),IF(INDEX(Properties!A$1:CB$87,Formula!J43,53)&lt;&gt;"",INDEX(Properties!A$1:CB$87,Formula!J43,53)))</f>
        <v>699112.62939999998</v>
      </c>
      <c r="EY43" s="39">
        <f>MAX(INDEX(Properties!A$1:CB$87,Formula!B43,53),INDEX(Properties!A$1:CB$87,Formula!D43,53),INDEX(Properties!A$1:CB$87,Formula!F43,53),INDEX(Properties!A$1:CB$87,Formula!H43,53),INDEX(Properties!A$1:CB$87,Formula!J43,53))</f>
        <v>2125.15</v>
      </c>
      <c r="EZ43" s="39">
        <f>MIN(IF(INDEX(Properties!A$1:CB$87,Formula!B43,53)=0,10^6,INDEX(Properties!A$1:CB$87,Formula!B43,53)),IF(INDEX(Properties!A$1:CB$87,Formula!D43,53)=0,10^6,INDEX(Properties!A$1:CB$87,Formula!D43,53)),IF(INDEX(Properties!A$1:CB$87,Formula!F43,53)=0,10^6,INDEX(Properties!A$1:CB$87,Formula!F43,53)),IF(INDEX(Properties!A$1:CB$87,Formula!H43,53)=0,10^6,INDEX(Properties!A$1:CB$87,Formula!H43,53)),IF(INDEX(Properties!A$1:CB$87,Formula!J43,53)=0,10^6,INDEX(Properties!A$1:CB$87,Formula!J43,53)))</f>
        <v>54.749999999999972</v>
      </c>
      <c r="FA43" s="39">
        <f t="shared" si="25"/>
        <v>2070.4</v>
      </c>
      <c r="FB43" s="54">
        <f>((Formula!C43)/(Formula!C43+Formula!E43+Formula!G43+Formula!I43+Formula!K43))*(INDEX(Properties!A$1:CB$87,Formula!B43,54))+((Formula!E43)/(Formula!C43+Formula!E43+Formula!G43+Formula!I43+Formula!K43))*(INDEX(Properties!A$1:CB$87,Formula!D43,54))+((Formula!G43)/(Formula!C43+Formula!E43+Formula!G43+Formula!I43+Formula!K43))*(INDEX(Properties!A$1:CB$87,Formula!F43,54))+((Formula!I43)/(Formula!C43+Formula!E43+Formula!G43+Formula!I43+Formula!K43))*(INDEX(Properties!A$1:CB$87,Formula!H43,54))+((Formula!K43)/(Formula!C43+Formula!E43+Formula!G43+Formula!I43+Formula!K43))*(INDEX(Properties!A$1:CB$87,Formula!J43,54))</f>
        <v>1366.75</v>
      </c>
      <c r="FC43" s="54">
        <f>Formula!C43*(INDEX(Properties!A$1:CB$87,Formula!B43,54))+Formula!E43*(INDEX(Properties!A$1:CB$87,Formula!D43,54))+Formula!G43*(INDEX(Properties!A$1:CB$87,Formula!F43,54))+Formula!I43*(INDEX(Properties!A$1:CB$87,Formula!H43,54))+Formula!K43*(INDEX(Properties!A$1:CB$87,Formula!J43,54))</f>
        <v>6833.7499999999991</v>
      </c>
      <c r="FD43" s="54">
        <f>VARP(IF(INDEX(Properties!A$1:CB$87,Formula!B43,54)&lt;&gt;"",INDEX(Properties!A$1:CB$87,Formula!B43,54)),IF(INDEX(Properties!A$1:CB$87,Formula!D43,54)&lt;&gt;"",INDEX(Properties!A$1:CB$87,Formula!D43,54)),IF(INDEX(Properties!A$1:CB$87,Formula!F43,54)&lt;&gt;"",INDEX(Properties!A$1:CB$87,Formula!F43,54)),IF(INDEX(Properties!A$1:CB$87,Formula!H43,54)&lt;&gt;"",INDEX(Properties!A$1:CB$87,Formula!H43,54)),IF(INDEX(Properties!A$1:CB$87,Formula!J43,54)&lt;&gt;"",INDEX(Properties!A$1:CB$87,Formula!J43,54)))</f>
        <v>3287697.1173999999</v>
      </c>
      <c r="FE43" s="54">
        <f>MAX(INDEX(Properties!A$1:CB$87,Formula!B43,54),INDEX(Properties!A$1:CB$87,Formula!D43,54),INDEX(Properties!A$1:CB$87,Formula!F43,54),INDEX(Properties!A$1:CB$87,Formula!H43,54),INDEX(Properties!A$1:CB$87,Formula!J43,54))</f>
        <v>4650.1499999999996</v>
      </c>
      <c r="FF43" s="54">
        <f>MIN(IF(INDEX(Properties!A$1:CB$87,Formula!B43,54)=0,10^6,INDEX(Properties!A$1:CB$87,Formula!B43,54)),IF(INDEX(Properties!A$1:CB$87,Formula!D43,54)=0,10^6,INDEX(Properties!A$1:CB$87,Formula!D43,54)),IF(INDEX(Properties!A$1:CB$87,Formula!F43,54)=0,10^6,INDEX(Properties!A$1:CB$87,Formula!F43,54)),IF(INDEX(Properties!A$1:CB$87,Formula!H43,54)=0,10^6,INDEX(Properties!A$1:CB$87,Formula!H43,54)),IF(INDEX(Properties!A$1:CB$87,Formula!J43,54)=0,10^6,INDEX(Properties!A$1:CB$87,Formula!J43,54)))</f>
        <v>90.149999999999977</v>
      </c>
      <c r="FG43" s="54">
        <f t="shared" si="26"/>
        <v>4560</v>
      </c>
      <c r="FH43" s="69">
        <f>((Formula!C43)/(Formula!C43+Formula!E43+Formula!G43+Formula!I43+Formula!K43))*(INDEX(Properties!A$1:CB$87,Formula!B43,55))+((Formula!E43)/(Formula!C43+Formula!E43+Formula!G43+Formula!I43+Formula!K43))*(INDEX(Properties!A$1:CB$87,Formula!D43,55))+((Formula!G43)/(Formula!C43+Formula!E43+Formula!G43+Formula!I43+Formula!K43))*(INDEX(Properties!A$1:CB$87,Formula!F43,55))+((Formula!I43)/(Formula!C43+Formula!E43+Formula!G43+Formula!I43+Formula!K43))*(INDEX(Properties!A$1:CB$87,Formula!H43,55))+((Formula!K43)/(Formula!C43+Formula!E43+Formula!G43+Formula!I43+Formula!K43))*(INDEX(Properties!A$1:CB$87,Formula!J43,55))</f>
        <v>2.0028580000000002</v>
      </c>
      <c r="FI43" s="69">
        <f>Formula!C43*(INDEX(Properties!A$1:CB$87,Formula!B43,55))+Formula!E43*(INDEX(Properties!A$1:CB$87,Formula!D43,54))+Formula!G43*(INDEX(Properties!A$1:CB$87,Formula!F43,55))+Formula!I43*(INDEX(Properties!A$1:CB$87,Formula!H43,55))+Formula!K43*(INDEX(Properties!A$1:CB$87,Formula!J43,55))</f>
        <v>4653.6542899999995</v>
      </c>
      <c r="FJ43" s="69">
        <f>VARP(IF(INDEX(Properties!A$1:CB$87,Formula!B43,55)&lt;&gt;"",INDEX(Properties!A$1:CB$87,Formula!B43,55)),IF(INDEX(Properties!A$1:CB$87,Formula!D43,55)&lt;&gt;"",INDEX(Properties!A$1:CB$87,Formula!D43,55)),IF(INDEX(Properties!A$1:CB$87,Formula!F43,55)&lt;&gt;"",INDEX(Properties!A$1:CB$87,Formula!F43,55)),IF(INDEX(Properties!A$1:CB$87,Formula!H43,55)&lt;&gt;"",INDEX(Properties!A$1:CB$87,Formula!H43,55)),IF(INDEX(Properties!A$1:CB$87,Formula!J43,55)&lt;&gt;"",INDEX(Properties!A$1:CB$87,Formula!J43,55)))</f>
        <v>6.9168711831840008</v>
      </c>
      <c r="FK43" s="69">
        <f>MAX(INDEX(Properties!A$1:CB$87,Formula!B43,55),INDEX(Properties!A$1:CB$87,Formula!D43,55),INDEX(Properties!A$1:CB$87,Formula!F43,55),INDEX(Properties!A$1:CB$87,Formula!H43,55),INDEX(Properties!A$1:CB$87,Formula!J43,55))</f>
        <v>6.51</v>
      </c>
      <c r="FL43" s="69">
        <f>MIN(IF(INDEX(Properties!A$1:CB$87,Formula!B43,55)=0,10^6,INDEX(Properties!A$1:CB$87,Formula!B43,55)),IF(INDEX(Properties!A$1:CB$87,Formula!D43,55)=0,10^6,INDEX(Properties!A$1:CB$87,Formula!D43,55)),IF(INDEX(Properties!A$1:CB$87,Formula!F43,55)=0,10^6,INDEX(Properties!A$1:CB$87,Formula!F43,55)),IF(INDEX(Properties!A$1:CB$87,Formula!H43,55)=0,10^6,INDEX(Properties!A$1:CB$87,Formula!H43,55)),IF(INDEX(Properties!A$1:CB$87,Formula!J43,55)=0,10^6,INDEX(Properties!A$1:CB$87,Formula!J43,55)))</f>
        <v>1.4300000000000001E-3</v>
      </c>
      <c r="FM43" s="69">
        <f t="shared" si="27"/>
        <v>6.5085699999999997</v>
      </c>
      <c r="FN43" s="42">
        <f>((Formula!C43)/(Formula!C43+Formula!E43+Formula!G43+Formula!I43+Formula!K43))*(INDEX(Properties!A$1:CB$87,Formula!B43,56))+((Formula!E43)/(Formula!C43+Formula!E43+Formula!G43+Formula!I43+Formula!K43))*(INDEX(Properties!A$1:CB$87,Formula!D43,56))+((Formula!G43)/(Formula!C43+Formula!E43+Formula!G43+Formula!I43+Formula!K43))*(INDEX(Properties!A$1:CB$87,Formula!F43,56))+((Formula!I43)/(Formula!C43+Formula!E43+Formula!G43+Formula!I43+Formula!K43))*(INDEX(Properties!A$1:CB$87,Formula!H43,56))+((Formula!K43)/(Formula!C43+Formula!E43+Formula!G43+Formula!I43+Formula!K43))*(INDEX(Properties!A$1:CB$87,Formula!J43,56))</f>
        <v>0.64680000000000004</v>
      </c>
      <c r="FO43" s="42">
        <f>Formula!C43*(INDEX(Properties!A$1:CB$87,Formula!B43,56))+Formula!E43*(INDEX(Properties!A$1:CB$87,Formula!D43,56))+Formula!G43*(INDEX(Properties!A$1:CB$87,Formula!F43,56))+Formula!I43*(INDEX(Properties!A$1:CB$87,Formula!H43,56))+Formula!K43*(INDEX(Properties!A$1:CB$87,Formula!J43,56))</f>
        <v>3.234</v>
      </c>
      <c r="FP43" s="42">
        <f>VARP(IF(INDEX(Properties!A$1:CB$87,Formula!B43,56)&lt;&gt;"",INDEX(Properties!A$1:CB$87,Formula!B43,56)),IF(INDEX(Properties!A$1:CB$87,Formula!D43,56)&lt;&gt;"",INDEX(Properties!A$1:CB$87,Formula!D43,56)),IF(INDEX(Properties!A$1:CB$87,Formula!F43,56)&lt;&gt;"",INDEX(Properties!A$1:CB$87,Formula!F43,56)),IF(INDEX(Properties!A$1:CB$87,Formula!H43,56)&lt;&gt;"",INDEX(Properties!A$1:CB$87,Formula!H43,56)),IF(INDEX(Properties!A$1:CB$87,Formula!J43,56)&lt;&gt;"",INDEX(Properties!A$1:CB$87,Formula!J43,56)))</f>
        <v>0.11445376</v>
      </c>
      <c r="FQ43" s="42">
        <f>MAX(INDEX(Properties!A$1:CB$87,Formula!B43,56),INDEX(Properties!A$1:CB$87,Formula!D43,56),INDEX(Properties!A$1:CB$87,Formula!F43,56),INDEX(Properties!A$1:CB$87,Formula!H43,56),INDEX(Properties!A$1:CB$87,Formula!J43,56))</f>
        <v>0.92</v>
      </c>
      <c r="FR43" s="42">
        <f>MIN(IF(INDEX(Properties!A$1:CB$87,Formula!B43,56)=0,10^6,INDEX(Properties!A$1:CB$87,Formula!B43,56)),IF(INDEX(Properties!A$1:CB$87,Formula!D43,56)=0,10^6,INDEX(Properties!A$1:CB$87,Formula!D43,56)),IF(INDEX(Properties!A$1:CB$87,Formula!F43,56)=0,10^6,INDEX(Properties!A$1:CB$87,Formula!F43,56)),IF(INDEX(Properties!A$1:CB$87,Formula!H43,56)=0,10^6,INDEX(Properties!A$1:CB$87,Formula!H43,56)),IF(INDEX(Properties!A$1:CB$87,Formula!J43,56)=0,10^6,INDEX(Properties!A$1:CB$87,Formula!J43,56)))</f>
        <v>0.20399999999999999</v>
      </c>
      <c r="FS43" s="42">
        <f t="shared" si="28"/>
        <v>0.71600000000000008</v>
      </c>
      <c r="FT43" s="60">
        <f>((Formula!C43)/(Formula!C43+Formula!E43+Formula!G43+Formula!I43+Formula!K43))*(INDEX(Properties!A$1:CB$87,Formula!B43,57))+((Formula!E43)/(Formula!C43+Formula!E43+Formula!G43+Formula!I43+Formula!K43))*(INDEX(Properties!A$1:CB$87,Formula!D43,57))+((Formula!G43)/(Formula!C43+Formula!E43+Formula!G43+Formula!I43+Formula!K43))*(INDEX(Properties!A$1:CB$87,Formula!F43,57))+((Formula!I43)/(Formula!C43+Formula!E43+Formula!G43+Formula!I43+Formula!K43))*(INDEX(Properties!A$1:CB$87,Formula!H43,57))+((Formula!K43)/(Formula!C43+Formula!E43+Formula!G43+Formula!I43+Formula!K43))*(INDEX(Properties!A$1:CB$87,Formula!J43,57))</f>
        <v>5.0635539999999999</v>
      </c>
      <c r="FU43" s="60">
        <f>Formula!C43*(INDEX(Properties!A$1:CB$87,Formula!B43,57))+Formula!E43*(INDEX(Properties!A$1:CB$87,Formula!D43,57))+Formula!G43*(INDEX(Properties!A$1:CB$87,Formula!F43,57))+Formula!I43*(INDEX(Properties!A$1:CB$87,Formula!H43,57))+Formula!K43*(INDEX(Properties!A$1:CB$87,Formula!J43,57))</f>
        <v>25.317769999999999</v>
      </c>
      <c r="FV43" s="60">
        <f>VARP(IF(INDEX(Properties!A$1:CB$87,Formula!B43,57)&lt;&gt;"",INDEX(Properties!A$1:CB$87,Formula!B43,57)),IF(INDEX(Properties!A$1:CB$87,Formula!D43,57)&lt;&gt;"",INDEX(Properties!A$1:CB$87,Formula!D43,57)),IF(INDEX(Properties!A$1:CB$87,Formula!F43,57)&lt;&gt;"",INDEX(Properties!A$1:CB$87,Formula!F43,57)),IF(INDEX(Properties!A$1:CB$87,Formula!H43,57)&lt;&gt;"",INDEX(Properties!A$1:CB$87,Formula!H43,57)),IF(INDEX(Properties!A$1:CB$87,Formula!J43,57)&lt;&gt;"",INDEX(Properties!A$1:CB$87,Formula!J43,57)))</f>
        <v>44.398579929295991</v>
      </c>
      <c r="FW43" s="60">
        <f>MAX(INDEX(Properties!A$1:CB$87,Formula!B43,57),INDEX(Properties!A$1:CB$87,Formula!D43,57),INDEX(Properties!A$1:CB$87,Formula!F43,57),INDEX(Properties!A$1:CB$87,Formula!H43,57),INDEX(Properties!A$1:CB$87,Formula!J43,57))</f>
        <v>16.899999999999999</v>
      </c>
      <c r="FX43" s="60">
        <f>MIN(IF(INDEX(Properties!A$1:CB$87,Formula!B43,57)=0,10^6,INDEX(Properties!A$1:CB$87,Formula!B43,57)),IF(INDEX(Properties!A$1:CB$87,Formula!D43,57)=0,10^6,INDEX(Properties!A$1:CB$87,Formula!D43,57)),IF(INDEX(Properties!A$1:CB$87,Formula!F43,57)=0,10^6,INDEX(Properties!A$1:CB$87,Formula!F43,57)),IF(INDEX(Properties!A$1:CB$87,Formula!H43,57)=0,10^6,INDEX(Properties!A$1:CB$87,Formula!H43,57)),IF(INDEX(Properties!A$1:CB$87,Formula!J43,57)=0,10^6,INDEX(Properties!A$1:CB$87,Formula!J43,57)))</f>
        <v>0.22259000000000001</v>
      </c>
      <c r="FY43" s="60">
        <f t="shared" si="29"/>
        <v>16.677409999999998</v>
      </c>
      <c r="FZ43" s="72">
        <f>((Formula!C43)/(Formula!C43+Formula!E43+Formula!G43+Formula!I43+Formula!K43))*(INDEX(Properties!A$1:CB$87,Formula!B43,60))+((Formula!E43)/(Formula!C43+Formula!E43+Formula!G43+Formula!I43+Formula!K43))*(INDEX(Properties!A$1:CB$87,Formula!D43,60))+((Formula!G43)/(Formula!C43+Formula!E43+Formula!G43+Formula!I43+Formula!K43))*(INDEX(Properties!A$1:CB$87,Formula!F43,60))+((Formula!I43)/(Formula!C43+Formula!E43+Formula!G43+Formula!I43+Formula!K43))*(INDEX(Properties!A$1:CB$87,Formula!H43,60))+((Formula!K43)/(Formula!C43+Formula!E43+Formula!G43+Formula!I43+Formula!K43))*(INDEX(Properties!A$1:CB$87,Formula!J43,60))</f>
        <v>8.2360439999999997</v>
      </c>
      <c r="GA43" s="72">
        <f>Formula!C43*(INDEX(Properties!A$1:CB$87,Formula!B43,60))+Formula!E43*(INDEX(Properties!A$1:CB$87,Formula!D43,60))+Formula!G43*(INDEX(Properties!A$1:CB$87,Formula!F43,60))+Formula!I43*(INDEX(Properties!A$1:CB$87,Formula!H43,60))+Formula!K43*(INDEX(Properties!A$1:CB$87,Formula!J43,60))</f>
        <v>41.180219999999991</v>
      </c>
      <c r="GB43" s="72">
        <f>VARP(IF(INDEX(Properties!A$1:CB$87,Formula!B43,60)&lt;&gt;"",INDEX(Properties!A$1:CB$87,Formula!B43,60)),IF(INDEX(Properties!A$1:CB$87,Formula!D43,60)&lt;&gt;"",INDEX(Properties!A$1:CB$87,Formula!D43,60)),IF(INDEX(Properties!A$1:CB$87,Formula!F43,60)&lt;&gt;"",INDEX(Properties!A$1:CB$87,Formula!F43,60)),IF(INDEX(Properties!A$1:CB$87,Formula!H43,60)&lt;&gt;"",INDEX(Properties!A$1:CB$87,Formula!H43,60)),IF(INDEX(Properties!A$1:CB$87,Formula!J43,60)&lt;&gt;"",INDEX(Properties!A$1:CB$87,Formula!J43,60)))</f>
        <v>103.11379328441599</v>
      </c>
      <c r="GC43" s="72">
        <f>MAX(INDEX(Properties!A$1:CB$87,Formula!B43,60),INDEX(Properties!A$1:CB$87,Formula!D43,60),INDEX(Properties!A$1:CB$87,Formula!F43,60),INDEX(Properties!A$1:CB$87,Formula!H43,60),INDEX(Properties!A$1:CB$87,Formula!J43,60))</f>
        <v>22.7</v>
      </c>
      <c r="GD43" s="72">
        <f>MIN(IF(INDEX(Properties!A$1:CB$87,Formula!B43,60)=0,10^6,INDEX(Properties!A$1:CB$87,Formula!B43,60)),IF(INDEX(Properties!A$1:CB$87,Formula!D43,60)=0,10^6,INDEX(Properties!A$1:CB$87,Formula!D43,60)),IF(INDEX(Properties!A$1:CB$87,Formula!F43,60)=0,10^6,INDEX(Properties!A$1:CB$87,Formula!F43,60)),IF(INDEX(Properties!A$1:CB$87,Formula!H43,60)=0,10^6,INDEX(Properties!A$1:CB$87,Formula!H43,60)),IF(INDEX(Properties!A$1:CB$87,Formula!J43,60)=0,10^6,INDEX(Properties!A$1:CB$87,Formula!J43,60)))</f>
        <v>2.674E-2</v>
      </c>
      <c r="GE43" s="72">
        <f t="shared" si="30"/>
        <v>22.673259999999999</v>
      </c>
      <c r="GF43" s="51">
        <f>((Formula!C43)/(Formula!C43+Formula!E43+Formula!G43+Formula!I43+Formula!K43))*(INDEX(Properties!A$1:CB$87,Formula!B43,62))+((Formula!E43)/(Formula!C43+Formula!E43+Formula!G43+Formula!I43+Formula!K43))*(INDEX(Properties!A$1:CB$87,Formula!D43,62))+((Formula!G43)/(Formula!C43+Formula!E43+Formula!G43+Formula!I43+Formula!K43))*(INDEX(Properties!A$1:CB$87,Formula!F43,62))+((Formula!I43)/(Formula!C43+Formula!E43+Formula!G43+Formula!I43+Formula!K43))*(INDEX(Properties!A$1:CB$87,Formula!H43,62))+((Formula!K43)/(Formula!C43+Formula!E43+Formula!G43+Formula!I43+Formula!K43))*(INDEX(Properties!A$1:CB$87,Formula!J43,62))</f>
        <v>3.202</v>
      </c>
      <c r="GG43" s="51">
        <f>Formula!C43*(INDEX(Properties!A$1:CB$87,Formula!B43,62))+Formula!E43*(INDEX(Properties!A$1:CB$87,Formula!D43,62))+Formula!G43*(INDEX(Properties!A$1:CB$87,Formula!F43,62))+Formula!I43*(INDEX(Properties!A$1:CB$87,Formula!H43,62))+Formula!K43*(INDEX(Properties!A$1:CB$87,Formula!J43,62))</f>
        <v>16.010000000000002</v>
      </c>
      <c r="GH43" s="51">
        <f>VARP(IF(INDEX(Properties!A$1:CB$87,Formula!B43,62)&lt;&gt;"",INDEX(Properties!A$1:CB$87,Formula!B43,62)),IF(INDEX(Properties!A$1:CB$87,Formula!D43,62)&lt;&gt;"",INDEX(Properties!A$1:CB$87,Formula!D43,62)),IF(INDEX(Properties!A$1:CB$87,Formula!F43,62)&lt;&gt;"",INDEX(Properties!A$1:CB$87,Formula!F43,62)),IF(INDEX(Properties!A$1:CB$87,Formula!H43,62)&lt;&gt;"",INDEX(Properties!A$1:CB$87,Formula!H43,62)),IF(INDEX(Properties!A$1:CB$87,Formula!J43,62)&lt;&gt;"",INDEX(Properties!A$1:CB$87,Formula!J43,62)))</f>
        <v>5.2676640000000008</v>
      </c>
      <c r="GI43" s="51">
        <f>MAX(INDEX(Properties!A$1:CB$87,Formula!B43,62),INDEX(Properties!A$1:CB$87,Formula!D43,62),INDEX(Properties!A$1:CB$87,Formula!F43,62),INDEX(Properties!A$1:CB$87,Formula!H43,62),INDEX(Properties!A$1:CB$87,Formula!J43,62))</f>
        <v>6.25</v>
      </c>
      <c r="GJ43" s="51">
        <f>MIN(IF(INDEX(Properties!A$1:CB$87,Formula!B43,62)=0,10^6,INDEX(Properties!A$1:CB$87,Formula!B43,62)),IF(INDEX(Properties!A$1:CB$87,Formula!D43,62)=0,10^6,INDEX(Properties!A$1:CB$87,Formula!D43,62)),IF(INDEX(Properties!A$1:CB$87,Formula!F43,62)=0,10^6,INDEX(Properties!A$1:CB$87,Formula!F43,62)),IF(INDEX(Properties!A$1:CB$87,Formula!H43,62)=0,10^6,INDEX(Properties!A$1:CB$87,Formula!H43,62)),IF(INDEX(Properties!A$1:CB$87,Formula!J43,62)=0,10^6,INDEX(Properties!A$1:CB$87,Formula!J43,62)))</f>
        <v>1.9</v>
      </c>
      <c r="GK43" s="51">
        <f t="shared" si="31"/>
        <v>4.3499999999999996</v>
      </c>
      <c r="GL43" s="51">
        <f>Formula!P43</f>
        <v>221</v>
      </c>
      <c r="GM43" s="57">
        <f>Formula!O43</f>
        <v>7</v>
      </c>
      <c r="GN43" s="51">
        <f>Formula!N43</f>
        <v>0.05</v>
      </c>
    </row>
    <row r="44" spans="1:196" x14ac:dyDescent="0.3">
      <c r="A44" s="84" t="str">
        <f>Formula!A44</f>
        <v>Y2TiO5</v>
      </c>
      <c r="B44" s="89">
        <f>((Formula!C44)/(Formula!C44+Formula!E44+Formula!G44+Formula!I44+Formula!K44))*(INDEX(Properties!A$1:CB$87,Formula!B44,3))+((Formula!E44)/(Formula!C44+Formula!E44+Formula!G44+Formula!I44+Formula!K44))*(INDEX(Properties!A$1:CB$87,Formula!D44,3))+((Formula!G44)/(Formula!C44+Formula!E44+Formula!G44+Formula!I44+Formula!K44))*(INDEX(Properties!A$1:CB$87,Formula!F44,3))+((Formula!I44)/(Formula!C44+Formula!E44+Formula!G44+Formula!I44+Formula!K44))*(INDEX(Properties!A$1:CB$87,Formula!H44,3))+((Formula!K44)/(Formula!C44+Formula!E44+Formula!G44+Formula!I44+Formula!K44))*(INDEX(Properties!A$1:CB$87,Formula!J44,3))</f>
        <v>38.20946</v>
      </c>
      <c r="C44" s="85">
        <f>Formula!C44*(INDEX(Properties!A$1:CB$87,Formula!B44,3))+Formula!E44*(INDEX(Properties!A$1:CB$87,Formula!D44,3))+Formula!G44*(INDEX(Properties!A$1:CB$87,Formula!F44,3))+Formula!I44*(INDEX(Properties!A$1:CB$87,Formula!H44,3))+Formula!K44*(INDEX(Properties!A$1:CB$87,Formula!J44,3))</f>
        <v>305.67568</v>
      </c>
      <c r="D44" s="85">
        <f>VARP(IF(INDEX(Properties!A$1:CB$87,Formula!B44,3)&lt;&gt;"",INDEX(Properties!A$1:CB$87,Formula!B44,3)),IF(INDEX(Properties!A$1:CB$87,Formula!D44,3)&lt;&gt;"",INDEX(Properties!A$1:CB$87,Formula!D44,3)),IF(INDEX(Properties!A$1:CB$87,Formula!F44,3)&lt;&gt;"",INDEX(Properties!A$1:CB$87,Formula!F44,3)),IF(INDEX(Properties!A$1:CB$87,Formula!H44,3)&lt;&gt;"",INDEX(Properties!A$1:CB$87,Formula!H44,3)),IF(INDEX(Properties!A$1:CB$87,Formula!J44,3)&lt;&gt;"",INDEX(Properties!A$1:CB$87,Formula!J44,3)))</f>
        <v>1156.7214825084154</v>
      </c>
      <c r="E44" s="85">
        <f>MAX(INDEX(Properties!A$1:CB$87,Formula!B44,3),INDEX(Properties!A$1:CB$87,Formula!D44,3),INDEX(Properties!A$1:CB$87,Formula!F44,3),INDEX(Properties!A$1:CB$87,Formula!H44,3),INDEX(Properties!A$1:CB$87,Formula!J44,3))</f>
        <v>88.905839999999998</v>
      </c>
      <c r="F44" s="85">
        <f>MIN(IF(INDEX(Properties!A$1:CB$87,Formula!B44,3)=0,10^6,INDEX(Properties!A$1:CB$87,Formula!B44,3)),IF(INDEX(Properties!A$1:CB$87,Formula!D44,3)=0,10^6,INDEX(Properties!A$1:CB$87,Formula!D44,3)),IF(INDEX(Properties!A$1:CB$87,Formula!F44,3)=0,10^6,INDEX(Properties!A$1:CB$87,Formula!F44,3)),IF(INDEX(Properties!A$1:CB$87,Formula!H44,3)=0,10^6,INDEX(Properties!A$1:CB$87,Formula!H44,3)),IF(INDEX(Properties!A$1:CB$87,Formula!J44,3)=0,10^6,INDEX(Properties!A$1:CB$87,Formula!J44,3)))</f>
        <v>15.9994</v>
      </c>
      <c r="G44" s="85">
        <f t="shared" si="0"/>
        <v>72.906440000000003</v>
      </c>
      <c r="H44" s="87">
        <f>((Formula!C44)/(Formula!C44+Formula!E44+Formula!G44+Formula!I44+Formula!K44))*(INDEX(Properties!A$1:CB$87,Formula!B44,4))+((Formula!E44)/(Formula!C44+Formula!E44+Formula!G44+Formula!I44+Formula!K44))*(INDEX(Properties!A$1:CB$87,Formula!D44,4))+((Formula!G44)/(Formula!C44+Formula!E44+Formula!G44+Formula!I44+Formula!K44))*(INDEX(Properties!A$1:CB$87,Formula!F44,4))+((Formula!I44)/(Formula!C44+Formula!E44+Formula!G44+Formula!I44+Formula!K44))*(INDEX(Properties!A$1:CB$87,Formula!H44,4))+((Formula!K44)/(Formula!C44+Formula!E44+Formula!G44+Formula!I44+Formula!K44))*(INDEX(Properties!A$1:CB$87,Formula!J44,4))</f>
        <v>17.5</v>
      </c>
      <c r="I44" s="87">
        <f>Formula!C44*(INDEX(Properties!A$1:CB$87,Formula!B44,4))+Formula!E44*(INDEX(Properties!A$1:CB$87,Formula!D44,4))+Formula!G44*(INDEX(Properties!A$1:CB$87,Formula!F44,4))+Formula!I44*(INDEX(Properties!A$1:CB$87,Formula!H44,4))+Formula!K44*(INDEX(Properties!A$1:CB$87,Formula!J44,4))</f>
        <v>140</v>
      </c>
      <c r="J44" s="87">
        <f>VARP(IF(INDEX(Properties!A$1:CB$87,Formula!B44,4)&lt;&gt;"",INDEX(Properties!A$1:CB$87,Formula!B44,4)),IF(INDEX(Properties!A$1:CB$87,Formula!D44,4)&lt;&gt;"",INDEX(Properties!A$1:CB$87,Formula!D44,4)),IF(INDEX(Properties!A$1:CB$87,Formula!F44,4)&lt;&gt;"",INDEX(Properties!A$1:CB$87,Formula!F44,4)),IF(INDEX(Properties!A$1:CB$87,Formula!H44,4)&lt;&gt;"",INDEX(Properties!A$1:CB$87,Formula!H44,4)),IF(INDEX(Properties!A$1:CB$87,Formula!J44,4)&lt;&gt;"",INDEX(Properties!A$1:CB$87,Formula!J44,4)))</f>
        <v>223.36</v>
      </c>
      <c r="K44" s="87">
        <f>MAX(INDEX(Properties!A$1:CB$87,Formula!B44,4),INDEX(Properties!A$1:CB$87,Formula!D44,4),INDEX(Properties!A$1:CB$87,Formula!F44,4),INDEX(Properties!A$1:CB$87,Formula!H44,4),INDEX(Properties!A$1:CB$87,Formula!J44,4))</f>
        <v>39</v>
      </c>
      <c r="L44" s="87">
        <f>MIN(IF(INDEX(Properties!A$1:CB$87,Formula!B44,4)=0,10^6,INDEX(Properties!A$1:CB$87,Formula!B44,4)),IF(INDEX(Properties!A$1:CB$87,Formula!D44,4)=0,10^6,INDEX(Properties!A$1:CB$87,Formula!D44,4)),IF(INDEX(Properties!A$1:CB$87,Formula!F44,4)=0,10^6,INDEX(Properties!A$1:CB$87,Formula!F44,4)),IF(INDEX(Properties!A$1:CB$87,Formula!H44,4)=0,10^6,INDEX(Properties!A$1:CB$87,Formula!H44,4)),IF(INDEX(Properties!A$1:CB$87,Formula!J44,4)=0,10^6,INDEX(Properties!A$1:CB$87,Formula!J44,4)))</f>
        <v>8</v>
      </c>
      <c r="M44" s="87">
        <f t="shared" si="1"/>
        <v>31</v>
      </c>
      <c r="N44" s="89">
        <f>((Formula!C44)/(Formula!C44+Formula!E44+Formula!G44+Formula!I44+Formula!K44))*(INDEX(Properties!A$1:CB$87,Formula!B44,5))+((Formula!E44)/(Formula!C44+Formula!E44+Formula!G44+Formula!I44+Formula!K44))*(INDEX(Properties!A$1:CB$87,Formula!D44,5))+((Formula!G44)/(Formula!C44+Formula!E44+Formula!G44+Formula!I44+Formula!K44))*(INDEX(Properties!A$1:CB$87,Formula!F44,5))+((Formula!I44)/(Formula!C44+Formula!E44+Formula!G44+Formula!I44+Formula!K44))*(INDEX(Properties!A$1:CB$87,Formula!H44,5))+((Formula!K44)/(Formula!C44+Formula!E44+Formula!G44+Formula!I44+Formula!K44))*(INDEX(Properties!A$1:CB$87,Formula!J44,5))</f>
        <v>3</v>
      </c>
      <c r="O44" s="89">
        <f>Formula!C44*(INDEX(Properties!A$1:CB$87,Formula!B44,5))+Formula!E44*(INDEX(Properties!A$1:CB$87,Formula!D44,5))+Formula!G44*(INDEX(Properties!A$1:CB$87,Formula!F44,5))+Formula!I44*(INDEX(Properties!A$1:CB$87,Formula!H44,5))+Formula!K44*(INDEX(Properties!A$1:CB$87,Formula!J44,5))</f>
        <v>24</v>
      </c>
      <c r="P44" s="89">
        <f>VARP(IF(INDEX(Properties!A$1:CB$87,Formula!B44,5)&lt;&gt;"",INDEX(Properties!A$1:CB$87,Formula!B44,5)),IF(INDEX(Properties!A$1:CB$87,Formula!D44,5)&lt;&gt;"",INDEX(Properties!A$1:CB$87,Formula!D44,5)),IF(INDEX(Properties!A$1:CB$87,Formula!F44,5)&lt;&gt;"",INDEX(Properties!A$1:CB$87,Formula!F44,5)),IF(INDEX(Properties!A$1:CB$87,Formula!H44,5)&lt;&gt;"",INDEX(Properties!A$1:CB$87,Formula!H44,5)),IF(INDEX(Properties!A$1:CB$87,Formula!J44,5)&lt;&gt;"",INDEX(Properties!A$1:CB$87,Formula!J44,5)))</f>
        <v>4.16</v>
      </c>
      <c r="Q44" s="89">
        <f>MAX(INDEX(Properties!A$1:CB$87,Formula!B44,5),INDEX(Properties!A$1:CB$87,Formula!D44,5),INDEX(Properties!A$1:CB$87,Formula!F44,5),INDEX(Properties!A$1:CB$87,Formula!H44,5),INDEX(Properties!A$1:CB$87,Formula!J44,5))</f>
        <v>5</v>
      </c>
      <c r="R44" s="89">
        <f>MIN(IF(INDEX(Properties!A$1:CB$87,Formula!B44,5)=0,10^6,INDEX(Properties!A$1:CB$87,Formula!B44,5)),IF(INDEX(Properties!A$1:CB$87,Formula!D44,5)=0,10^6,INDEX(Properties!A$1:CB$87,Formula!D44,5)),IF(INDEX(Properties!A$1:CB$87,Formula!F44,5)=0,10^6,INDEX(Properties!A$1:CB$87,Formula!F44,5)),IF(INDEX(Properties!A$1:CB$87,Formula!H44,5)=0,10^6,INDEX(Properties!A$1:CB$87,Formula!H44,5)),IF(INDEX(Properties!A$1:CB$87,Formula!J44,5)=0,10^6,INDEX(Properties!A$1:CB$87,Formula!J44,5)))</f>
        <v>2</v>
      </c>
      <c r="S44" s="89">
        <f t="shared" si="2"/>
        <v>3</v>
      </c>
      <c r="T44" s="60">
        <f>((Formula!C44)/(Formula!C44+Formula!E44+Formula!G44+Formula!I44+Formula!K44))*(INDEX(Properties!A$1:CB$87,Formula!B44,6))+((Formula!E44)/(Formula!C44+Formula!E44+Formula!G44+Formula!I44+Formula!K44))*(INDEX(Properties!A$1:CB$87,Formula!D44,6))+((Formula!G44)/(Formula!C44+Formula!E44+Formula!G44+Formula!I44+Formula!K44))*(INDEX(Properties!A$1:CB$87,Formula!F44,6))+((Formula!I44)/(Formula!C44+Formula!E44+Formula!G44+Formula!I44+Formula!K44))*(INDEX(Properties!A$1:CB$87,Formula!H44,6))+((Formula!K44)/(Formula!C44+Formula!E44+Formula!G44+Formula!I44+Formula!K44))*(INDEX(Properties!A$1:CB$87,Formula!J44,6))</f>
        <v>11.25</v>
      </c>
      <c r="U44" s="60">
        <f>Formula!C44*(INDEX(Properties!A$1:CB$87,Formula!B44,6))+Formula!E44*(INDEX(Properties!A$1:CB$87,Formula!D44,6))+Formula!G44*(INDEX(Properties!A$1:CB$87,Formula!F44,6))+Formula!I44*(INDEX(Properties!A$1:CB$87,Formula!H44,6))+Formula!K44*(INDEX(Properties!A$1:CB$87,Formula!J44,6))</f>
        <v>90</v>
      </c>
      <c r="V44" s="89">
        <f>VARP(IF(INDEX(Properties!A$1:CB$87,Formula!B44,6)&lt;&gt;"",INDEX(Properties!A$1:CB$87,Formula!B44,6)),IF(INDEX(Properties!A$1:CB$87,Formula!D44,6)&lt;&gt;"",INDEX(Properties!A$1:CB$87,Formula!D44,6)),IF(INDEX(Properties!A$1:CB$87,Formula!F44,6)&lt;&gt;"",INDEX(Properties!A$1:CB$87,Formula!F44,6)),IF(INDEX(Properties!A$1:CB$87,Formula!H44,6)&lt;&gt;"",INDEX(Properties!A$1:CB$87,Formula!H44,6)),IF(INDEX(Properties!A$1:CB$87,Formula!J44,6)&lt;&gt;"",INDEX(Properties!A$1:CB$87,Formula!J44,6)))</f>
        <v>35.04</v>
      </c>
      <c r="W44" s="60">
        <f>MAX(INDEX(Properties!A$1:CB$87,Formula!B44,6),INDEX(Properties!A$1:CB$87,Formula!D44,6),INDEX(Properties!A$1:CB$87,Formula!F44,6),INDEX(Properties!A$1:CB$87,Formula!H44,4),INDEX(Properties!A$1:CB$87,Formula!J44,6))</f>
        <v>16</v>
      </c>
      <c r="X44" s="60">
        <f>MIN(IF(INDEX(Properties!A$1:CB$87,Formula!B44,6)=0,10^6,INDEX(Properties!A$1:CB$87,Formula!B44,6)),IF(INDEX(Properties!A$1:CB$87,Formula!D44,6)=0,10^6,INDEX(Properties!A$1:CB$87,Formula!D44,6)),IF(INDEX(Properties!A$1:CB$87,Formula!F44,6)=0,10^6,INDEX(Properties!A$1:CB$87,Formula!F44,6)),IF(INDEX(Properties!A$1:CB$87,Formula!H44,6)=0,10^6,INDEX(Properties!A$1:CB$87,Formula!H44,6)),IF(INDEX(Properties!A$1:CB$87,Formula!J44,6)=0,10^6,INDEX(Properties!A$1:CB$87,Formula!J44,6)))</f>
        <v>3</v>
      </c>
      <c r="Y44" s="60">
        <f t="shared" si="3"/>
        <v>13</v>
      </c>
      <c r="Z44" s="72">
        <f>((Formula!C44)/(Formula!C44+Formula!E44+Formula!G44+Formula!I44+Formula!K44))*(INDEX(Properties!A$1:CB$87,Formula!B44,9))+((Formula!E44)/(Formula!C44+Formula!E44+Formula!G44+Formula!I44+Formula!K44))*(INDEX(Properties!A$1:CB$87,Formula!D44,9))+((Formula!G44)/(Formula!C44+Formula!E44+Formula!G44+Formula!I44+Formula!K44))*(INDEX(Properties!A$1:CB$87,Formula!F44,9))+((Formula!I44)/(Formula!C44+Formula!E44+Formula!G44+Formula!I44+Formula!K44))*(INDEX(Properties!A$1:CB$87,Formula!H44,9))+((Formula!K44)/(Formula!C44+Formula!E44+Formula!G44+Formula!I44+Formula!K44))*(INDEX(Properties!A$1:CB$87,Formula!J44,9))</f>
        <v>62.75</v>
      </c>
      <c r="AA44" s="72">
        <f>Formula!C44*(INDEX(Properties!A$1:CB$87,Formula!B44,9))+Formula!E44*(INDEX(Properties!A$1:CB$87,Formula!D44,9))+Formula!G44*(INDEX(Properties!A$1:CB$87,Formula!F44,9))+Formula!I44*(INDEX(Properties!A$1:CB$87,Formula!H44,9))+Formula!K44*(INDEX(Properties!A$1:CB$87,Formula!J44,9))</f>
        <v>502</v>
      </c>
      <c r="AB44" s="72">
        <f>VARP(IF(INDEX(Properties!A$1:CB$87,Formula!B44,9)&lt;&gt;"",INDEX(Properties!A$1:CB$87,Formula!B44,9)),IF(INDEX(Properties!A$1:CB$87,Formula!D44,9)&lt;&gt;"",INDEX(Properties!A$1:CB$87,Formula!D44,9)),IF(INDEX(Properties!A$1:CB$87,Formula!F44,9)&lt;&gt;"",INDEX(Properties!A$1:CB$87,Formula!F44,9)),IF(INDEX(Properties!A$1:CB$87,Formula!H44,9)&lt;&gt;"",INDEX(Properties!A$1:CB$87,Formula!H44,9)),IF(INDEX(Properties!A$1:CB$87,Formula!J44,9)&lt;&gt;"",INDEX(Properties!A$1:CB$87,Formula!J44,9)))</f>
        <v>1105.8399999999999</v>
      </c>
      <c r="AC44" s="72">
        <f>MAX(INDEX(Properties!A$1:CB$87,Formula!B44,9),INDEX(Properties!A$1:CB$87,Formula!D44,9),INDEX(Properties!A$1:CB$87,Formula!F44,9),INDEX(Properties!A$1:CB$87,Formula!H44,9),INDEX(Properties!A$1:CB$87,Formula!J44,9))</f>
        <v>87</v>
      </c>
      <c r="AD44" s="72">
        <f>MIN(IF(INDEX(Properties!A$1:CB$87,Formula!B44,9)=0,10^6,INDEX(Properties!A$1:CB$87,Formula!B44,9)),IF(INDEX(Properties!A$1:CB$87,Formula!D44,9)=0,10^6,INDEX(Properties!A$1:CB$87,Formula!D44,9)),IF(INDEX(Properties!A$1:CB$87,Formula!F44,9)=0,10^6,INDEX(Properties!A$1:CB$87,Formula!F44,9)),IF(INDEX(Properties!A$1:CB$87,Formula!H44,9)=0,10^6,INDEX(Properties!A$1:CB$87,Formula!H44,9)),IF(INDEX(Properties!A$1:CB$87,Formula!J44,9)=0,10^6,INDEX(Properties!A$1:CB$87,Formula!J44,9)))</f>
        <v>12</v>
      </c>
      <c r="AE44" s="72">
        <f t="shared" si="4"/>
        <v>75</v>
      </c>
      <c r="AF44" s="51">
        <f>((Formula!C44)/(Formula!C44+Formula!E44+Formula!G44+Formula!I44+Formula!K44))*(INDEX(Properties!A$1:CB$87,Formula!B44,10))+((Formula!E44)/(Formula!C44+Formula!E44+Formula!G44+Formula!I44+Formula!K44))*(INDEX(Properties!A$1:CB$87,Formula!D44,10))+((Formula!G44)/(Formula!C44+Formula!E44+Formula!G44+Formula!I44+Formula!K44))*(INDEX(Properties!A$1:CB$87,Formula!F44,10))+((Formula!I44)/(Formula!C44+Formula!E44+Formula!G44+Formula!I44+Formula!K44))*(INDEX(Properties!A$1:CB$87,Formula!H44,10))+((Formula!K44)/(Formula!C44+Formula!E44+Formula!G44+Formula!I44+Formula!K44))*(INDEX(Properties!A$1:CB$87,Formula!J44,10))</f>
        <v>5.625</v>
      </c>
      <c r="AG44" s="51">
        <f>Formula!C44*(INDEX(Properties!A$1:CB$87,Formula!B44,10))+Formula!E44*(INDEX(Properties!A$1:CB$87,Formula!D44,10))+Formula!G44*(INDEX(Properties!A$1:CB$87,Formula!F44,10))+Formula!I44*(INDEX(Properties!A$1:CB$87,Formula!H44,10))+Formula!K44*(INDEX(Properties!A$1:CB$87,Formula!J44,10))</f>
        <v>45</v>
      </c>
      <c r="AH44" s="51">
        <f>VARP(IF(INDEX(Properties!A$1:CB$87,Formula!B44,10)&lt;&gt;"",INDEX(Properties!A$1:CB$87,Formula!B44,10)),IF(INDEX(Properties!A$1:CB$87,Formula!D44,10)&lt;&gt;"",INDEX(Properties!A$1:CB$87,Formula!D44,10)),IF(INDEX(Properties!A$1:CB$87,Formula!F44,10)&lt;&gt;"",INDEX(Properties!A$1:CB$87,Formula!F44,10)),IF(INDEX(Properties!A$1:CB$87,Formula!H44,10)&lt;&gt;"",INDEX(Properties!A$1:CB$87,Formula!H44,10)),IF(INDEX(Properties!A$1:CB$87,Formula!J44,10)&lt;&gt;"",INDEX(Properties!A$1:CB$87,Formula!J44,10)))</f>
        <v>6.96</v>
      </c>
      <c r="AI44" s="51">
        <f>MAX(INDEX(Properties!A$1:CB$87,Formula!B44,10),INDEX(Properties!A$1:CB$87,Formula!D44,10),INDEX(Properties!A$1:CB$87,Formula!F44,10),INDEX(Properties!A$1:CB$87,Formula!H44,10),INDEX(Properties!A$1:CB$87,Formula!J44,10))</f>
        <v>7</v>
      </c>
      <c r="AJ44" s="51">
        <f>MIN(IF(INDEX(Properties!A$1:CB$87,Formula!B44,10)=0,10^6,INDEX(Properties!A$1:CB$87,Formula!B44,10)),IF(INDEX(Properties!A$1:CB$87,Formula!D44,10)=0,10^6,INDEX(Properties!A$1:CB$87,Formula!D44,10)),IF(INDEX(Properties!A$1:CB$87,Formula!F44,10)=0,10^6,INDEX(Properties!A$1:CB$87,Formula!F44,10)),IF(INDEX(Properties!A$1:CB$87,Formula!H44,10)=0,10^6,INDEX(Properties!A$1:CB$87,Formula!H44,10)),IF(INDEX(Properties!A$1:CB$87,Formula!J44,10)=0,10^6,INDEX(Properties!A$1:CB$87,Formula!J44,10)))</f>
        <v>3</v>
      </c>
      <c r="AK44" s="51">
        <f t="shared" si="5"/>
        <v>4</v>
      </c>
      <c r="AL44" s="57">
        <f>((Formula!C44)/(Formula!C44+Formula!E44+Formula!G44+Formula!I44+Formula!K44))*(INDEX(Properties!A$1:CB$87,Formula!B44,11))+((Formula!E44)/(Formula!C44+Formula!E44+Formula!G44+Formula!I44+Formula!K44))*(INDEX(Properties!A$1:CB$87,Formula!D44,11))+((Formula!G44)/(Formula!C44+Formula!E44+Formula!G44+Formula!I44+Formula!K44))*(INDEX(Properties!A$1:CB$87,Formula!F44,11))+((Formula!I44)/(Formula!C44+Formula!E44+Formula!G44+Formula!I44+Formula!K44))*(INDEX(Properties!A$1:CB$87,Formula!H44,11))+((Formula!K44)/(Formula!C44+Formula!E44+Formula!G44+Formula!I44+Formula!K44))*(INDEX(Properties!A$1:CB$87,Formula!J44,11))</f>
        <v>2</v>
      </c>
      <c r="AM44" s="57">
        <f>Formula!C44*(INDEX(Properties!A$1:CB$87,Formula!B44,11))+Formula!E44*(INDEX(Properties!A$1:CB$87,Formula!D44,11))+Formula!G44*(INDEX(Properties!A$1:CB$87,Formula!F44,11))+Formula!I44*(INDEX(Properties!A$1:CB$87,Formula!H44,11))+Formula!K44*(INDEX(Properties!A$1:CB$87,Formula!J44,11))</f>
        <v>16</v>
      </c>
      <c r="AN44" s="57">
        <f>VARP(IF(INDEX(Properties!A$1:CB$87,Formula!B44,11)&lt;&gt;"",INDEX(Properties!A$1:CB$87,Formula!B44,11)),IF(INDEX(Properties!A$1:CB$87,Formula!D44,11)&lt;&gt;"",INDEX(Properties!A$1:CB$87,Formula!D44,11)),IF(INDEX(Properties!A$1:CB$87,Formula!F44,11)&lt;&gt;"",INDEX(Properties!A$1:CB$87,Formula!F44,11)),IF(INDEX(Properties!A$1:CB$87,Formula!H44,11)&lt;&gt;"",INDEX(Properties!A$1:CB$87,Formula!H44,11)),IF(INDEX(Properties!A$1:CB$87,Formula!J44,11)&lt;&gt;"",INDEX(Properties!A$1:CB$87,Formula!J44,11)))</f>
        <v>0.96</v>
      </c>
      <c r="AO44" s="57">
        <f>MAX(INDEX(Properties!A$1:CB$87,Formula!B44,11),INDEX(Properties!A$1:CB$87,Formula!D44,11),INDEX(Properties!A$1:CB$87,Formula!F44,11),INDEX(Properties!A$1:CB$87,Formula!H44,11),INDEX(Properties!A$1:CB$87,Formula!J44,11))</f>
        <v>2</v>
      </c>
      <c r="AP44" s="57">
        <f>MIN(IF(Formula!B44=87,10^6,INDEX(Properties!A$1:CB$87,Formula!B44,11)),IF((Formula!D44)=87,10^6,INDEX(Properties!A$1:CB$87,Formula!D44,11)),IF((Formula!F44)=87,10^6,INDEX(Properties!A$1:CB$87,Formula!F44,11)),IF((Formula!H44)=87,10^6,INDEX(Properties!A$1:CB$87,Formula!H44,11)),IF(Formula!J44=87,10^6,INDEX(Properties!A$1:CB$87,Formula!J44,11)))</f>
        <v>2</v>
      </c>
      <c r="AQ44" s="57">
        <f t="shared" si="6"/>
        <v>0</v>
      </c>
      <c r="AR44" s="78">
        <f>((Formula!C44)/(Formula!C44+Formula!E44+Formula!G44+Formula!I44+Formula!K44))*(INDEX(Properties!A$1:CB$87,Formula!B44,12))+((Formula!E44)/(Formula!C44+Formula!E44+Formula!G44+Formula!I44+Formula!K44))*(INDEX(Properties!A$1:CB$87,Formula!D44,12))+((Formula!G44)/(Formula!C44+Formula!E44+Formula!G44+Formula!I44+Formula!K44))*(INDEX(Properties!A$1:CB$87,Formula!F44,12))+((Formula!I44)/(Formula!C44+Formula!E44+Formula!G44+Formula!I44+Formula!K44))*(INDEX(Properties!A$1:CB$87,Formula!H44,12))+((Formula!K44)/(Formula!C44+Formula!E44+Formula!G44+Formula!I44+Formula!K44))*(INDEX(Properties!A$1:CB$87,Formula!J44,12))</f>
        <v>2.5</v>
      </c>
      <c r="AS44" s="78">
        <f>Formula!C44*(INDEX(Properties!A$1:CB$87,Formula!B44,12))+Formula!E44*(INDEX(Properties!A$1:CB$87,Formula!D44,12))+Formula!G44*(INDEX(Properties!A$1:CB$87,Formula!F44,12))+Formula!I44*(INDEX(Properties!A$1:CB$87,Formula!H44,12))+Formula!K44*(INDEX(Properties!A$1:CB$87,Formula!J44,12))</f>
        <v>20</v>
      </c>
      <c r="AT44" s="78">
        <f>VARP(IF(INDEX(Properties!A$1:CB$87,Formula!B44,12)&lt;&gt;"",INDEX(Properties!A$1:CB$87,Formula!B44,12)),IF(INDEX(Properties!A$1:CB$87,Formula!D44,12)&lt;&gt;"",INDEX(Properties!A$1:CB$87,Formula!D44,12)),IF(INDEX(Properties!A$1:CB$87,Formula!F44,12)&lt;&gt;"",INDEX(Properties!A$1:CB$87,Formula!F44,12)),IF(INDEX(Properties!A$1:CB$87,Formula!H44,12)&lt;&gt;"",INDEX(Properties!A$1:CB$87,Formula!H44,12)),IF(INDEX(Properties!A$1:CB$87,Formula!J44,12)&lt;&gt;"",INDEX(Properties!A$1:CB$87,Formula!J44,12)))</f>
        <v>2.56</v>
      </c>
      <c r="AU44" s="78">
        <f>MAX(INDEX(Properties!A$1:CB$87,Formula!B44,12),INDEX(Properties!A$1:CB$87,Formula!D44,12),INDEX(Properties!A$1:CB$87,Formula!F44,12),INDEX(Properties!A$1:CB$87,Formula!H44,12),INDEX(Properties!A$1:CB$87,Formula!J44,12))</f>
        <v>4</v>
      </c>
      <c r="AV44" s="78">
        <f>MIN(IF(Formula!B44=87,10^6,INDEX(Properties!A$1:CB$87,Formula!B44,12)),IF((Formula!D44)=87,10^6,INDEX(Properties!A$1:CB$87,Formula!D44,12)),IF((Formula!F44)=87,10^6,INDEX(Properties!A$1:CB$87,Formula!F44,12)),IF((Formula!H44)=87,10^6,INDEX(Properties!A$1:CB$87,Formula!H44,12)),IF(Formula!J44=87,10^6,INDEX(Properties!A$1:CB$87,Formula!J44,12)))</f>
        <v>0</v>
      </c>
      <c r="AW44" s="78">
        <f t="shared" si="7"/>
        <v>4</v>
      </c>
      <c r="AX44" s="45">
        <f>((Formula!C44)/(Formula!C44+Formula!E44+Formula!G44+Formula!I44+Formula!K44))*(INDEX(Properties!A$1:CB$87,Formula!B44,13))+((Formula!E44)/(Formula!C44+Formula!E44+Formula!G44+Formula!I44+Formula!K44))*(INDEX(Properties!A$1:CB$87,Formula!D44,13))+((Formula!G44)/(Formula!C44+Formula!E44+Formula!G44+Formula!I44+Formula!K44))*(INDEX(Properties!A$1:CB$87,Formula!F44,13))+((Formula!I44)/(Formula!C44+Formula!E44+Formula!G44+Formula!I44+Formula!K44))*(INDEX(Properties!A$1:CB$87,Formula!H44,13))+((Formula!K44)/(Formula!C44+Formula!E44+Formula!G44+Formula!I44+Formula!K44))*(INDEX(Properties!A$1:CB$87,Formula!J44,13))</f>
        <v>0.5</v>
      </c>
      <c r="AY44" s="45">
        <f>Formula!C44*(INDEX(Properties!A$1:CB$87,Formula!B44,13))+Formula!E44*(INDEX(Properties!A$1:CB$87,Formula!D44,13))+Formula!G44*(INDEX(Properties!A$1:CB$87,Formula!F44,13))+Formula!I44*(INDEX(Properties!A$1:CB$87,Formula!H44,13))+Formula!K44*(INDEX(Properties!A$1:CB$87,Formula!J44,13))</f>
        <v>4</v>
      </c>
      <c r="AZ44" s="45">
        <f>VARP(IF(INDEX(Properties!A$1:CB$87,Formula!B44,13)&lt;&gt;"",INDEX(Properties!A$1:CB$87,Formula!B44,13)),IF(INDEX(Properties!A$1:CB$87,Formula!D44,13)&lt;&gt;"",INDEX(Properties!A$1:CB$87,Formula!D44,13)),IF(INDEX(Properties!A$1:CB$87,Formula!F44,13)&lt;&gt;"",INDEX(Properties!A$1:CB$87,Formula!F44,13)),IF(INDEX(Properties!A$1:CB$87,Formula!H44,13)&lt;&gt;"",INDEX(Properties!A$1:CB$87,Formula!H44,13)),IF(INDEX(Properties!A$1:CB$87,Formula!J44,13)&lt;&gt;"",INDEX(Properties!A$1:CB$87,Formula!J44,13)))</f>
        <v>0.64</v>
      </c>
      <c r="BA44" s="45">
        <f>MAX(INDEX(Properties!A$1:CB$87,Formula!B44,13),INDEX(Properties!A$1:CB$87,Formula!D44,13),INDEX(Properties!A$1:CB$87,Formula!F44,13),INDEX(Properties!A$1:CB$87,Formula!H44,13),INDEX(Properties!A$1:CB$87,Formula!J44,13))</f>
        <v>2</v>
      </c>
      <c r="BB44" s="45">
        <f>MIN(IF(Formula!B44=87,10^6,INDEX(Properties!A$1:CB$87,Formula!B44,13)),IF((Formula!D44)=87,10^6,INDEX(Properties!A$1:CB$87,Formula!D44,13)),IF((Formula!F44)=87,10^6,INDEX(Properties!A$1:CB$87,Formula!F44,13)),IF((Formula!H44)=87,10^6,INDEX(Properties!A$1:CB$87,Formula!H44,13)),IF(Formula!J44=87,10^6,INDEX(Properties!A$1:CB$87,Formula!J44,13)))</f>
        <v>0</v>
      </c>
      <c r="BC44" s="45">
        <f t="shared" si="8"/>
        <v>2</v>
      </c>
      <c r="BD44" s="63">
        <f>((Formula!C44)/(Formula!C44+Formula!E44+Formula!G44+Formula!I44+Formula!K44))*(INDEX(Properties!A$1:CB$87,Formula!B44,14))+((Formula!E44)/(Formula!C44+Formula!E44+Formula!G44+Formula!I44+Formula!K44))*(INDEX(Properties!A$1:CB$87,Formula!D44,14))+((Formula!G44)/(Formula!C44+Formula!E44+Formula!G44+Formula!I44+Formula!K44))*(INDEX(Properties!A$1:CB$87,Formula!F44,14))+((Formula!I44)/(Formula!C44+Formula!E44+Formula!G44+Formula!I44+Formula!K44))*(INDEX(Properties!A$1:CB$87,Formula!H44,14))+((Formula!K44)/(Formula!C44+Formula!E44+Formula!G44+Formula!I44+Formula!K44))*(INDEX(Properties!A$1:CB$87,Formula!J44,14))</f>
        <v>0</v>
      </c>
      <c r="BE44" s="63">
        <f>Formula!C44*(INDEX(Properties!A$1:CB$87,Formula!B44,14))+Formula!E44*(INDEX(Properties!A$1:CB$87,Formula!D44,14))+Formula!G44*(INDEX(Properties!A$1:CB$87,Formula!F44,14))+Formula!I44*(INDEX(Properties!A$1:CB$87,Formula!H44,14))+Formula!K44*(INDEX(Properties!A$1:CB$87,Formula!J44,14))</f>
        <v>0</v>
      </c>
      <c r="BF44" s="63">
        <f>VARP(IF(INDEX(Properties!A$1:CB$87,Formula!B44,14)&lt;&gt;"",INDEX(Properties!A$1:CB$87,Formula!B44,14)),IF(INDEX(Properties!A$1:CB$87,Formula!D44,14)&lt;&gt;"",INDEX(Properties!A$1:CB$87,Formula!D44,14)),IF(INDEX(Properties!A$1:CB$87,Formula!F44,14)&lt;&gt;"",INDEX(Properties!A$1:CB$87,Formula!F44,14)),IF(INDEX(Properties!A$1:CB$87,Formula!H44,14)&lt;&gt;"",INDEX(Properties!A$1:CB$87,Formula!H44,14)),IF(INDEX(Properties!A$1:CB$87,Formula!J44,14)&lt;&gt;"",INDEX(Properties!A$1:CB$87,Formula!J44,14)))</f>
        <v>0</v>
      </c>
      <c r="BG44" s="63">
        <f>MAX(INDEX(Properties!A$1:CB$87,Formula!B44,14),INDEX(Properties!A$1:CB$87,Formula!D44,14),INDEX(Properties!A$1:CB$87,Formula!F44,14),INDEX(Properties!A$1:CB$87,Formula!H44,14),INDEX(Properties!A$1:CB$87,Formula!J44,14))</f>
        <v>0</v>
      </c>
      <c r="BH44" s="63">
        <f>MIN(IF(Formula!B44=87,10^6,INDEX(Properties!A$1:CB$87,Formula!B44,14)),IF((Formula!D44)=87,10^6,INDEX(Properties!A$1:CB$87,Formula!D44,14)),IF((Formula!F44)=87,10^6,INDEX(Properties!A$1:CB$87,Formula!F44,14)),IF((Formula!H44)=87,10^6,INDEX(Properties!A$1:CB$87,Formula!H44,14)),IF(Formula!J44=87,10^6,INDEX(Properties!A$1:CB$87,Formula!J44,14)))</f>
        <v>0</v>
      </c>
      <c r="BI44" s="63">
        <f t="shared" si="9"/>
        <v>0</v>
      </c>
      <c r="BJ44" s="75">
        <f>((Formula!C44)/(Formula!C44+Formula!E44+Formula!G44+Formula!I44+Formula!K44))*(INDEX(Properties!A$1:CB$87,Formula!B44,19))+((Formula!E44)/(Formula!C44+Formula!E44+Formula!G44+Formula!I44+Formula!K44))*(INDEX(Properties!A$1:CB$87,Formula!D44,19))+((Formula!G44)/(Formula!C44+Formula!E44+Formula!G44+Formula!I44+Formula!K44))*(INDEX(Properties!A$1:CB$87,Formula!F44,19))+((Formula!I44)/(Formula!C44+Formula!E44+Formula!G44+Formula!I44+Formula!K44))*(INDEX(Properties!A$1:CB$87,Formula!H44,19))+((Formula!K44)/(Formula!C44+Formula!E44+Formula!G44+Formula!I44+Formula!K44))*(INDEX(Properties!A$1:CB$87,Formula!J44,19))</f>
        <v>5</v>
      </c>
      <c r="BK44" s="75">
        <f>Formula!C44*(INDEX(Properties!A$1:CB$87,Formula!B44,19))+Formula!E44*(INDEX(Properties!A$1:CB$87,Formula!D44,19))+Formula!G44*(INDEX(Properties!A$1:CB$87,Formula!F44,19))+Formula!I44*(INDEX(Properties!A$1:CB$87,Formula!H44,19))+Formula!K44*(INDEX(Properties!A$1:CB$87,Formula!J44,19))</f>
        <v>40</v>
      </c>
      <c r="BL44" s="75">
        <f>VARP(IF(INDEX(Properties!A$1:CB$87,Formula!B44,19)&lt;&gt;"",INDEX(Properties!A$1:CB$87,Formula!B44,19)),IF(INDEX(Properties!A$1:CB$87,Formula!D44,19)&lt;&gt;"",INDEX(Properties!A$1:CB$87,Formula!D44,19)),IF(INDEX(Properties!A$1:CB$87,Formula!F44,19)&lt;&gt;"",INDEX(Properties!A$1:CB$87,Formula!F44,19)),IF(INDEX(Properties!A$1:CB$87,Formula!H44,19)&lt;&gt;"",INDEX(Properties!A$1:CB$87,Formula!H44,19)),IF(INDEX(Properties!A$1:CB$87,Formula!J44,19)&lt;&gt;"",INDEX(Properties!A$1:CB$87,Formula!J44,19)))</f>
        <v>5.44</v>
      </c>
      <c r="BM44" s="75">
        <f>MAX(INDEX(Properties!A$1:CB$87,Formula!B44,19),INDEX(Properties!A$1:CB$87,Formula!D44,19),INDEX(Properties!A$1:CB$87,Formula!F44,19),INDEX(Properties!A$1:CB$87,Formula!H44,19),INDEX(Properties!A$1:CB$87,Formula!J44,19))</f>
        <v>6</v>
      </c>
      <c r="BN44" s="75">
        <f>MIN(IF(INDEX(Properties!A$1:CB$87,Formula!B44,19)=0,10^6,INDEX(Properties!A$1:CB$87,Formula!B44,19)),IF(INDEX(Properties!A$1:CB$87,Formula!D44,19)=0,10^6,INDEX(Properties!A$1:CB$87,Formula!D44,19)),IF(INDEX(Properties!A$1:CB$87,Formula!F44,19)=0,10^6,INDEX(Properties!A$1:CB$87,Formula!F44,19)),IF(INDEX(Properties!A$1:CB$87,Formula!H44,19)=0,10^6,INDEX(Properties!A$1:CB$87,Formula!H44,19)),IF(INDEX(Properties!A$1:CB$87,Formula!J44,19)=0,10^6,INDEX(Properties!A$1:CB$87,Formula!J44,19)))</f>
        <v>3</v>
      </c>
      <c r="BO44" s="75">
        <f t="shared" si="10"/>
        <v>3</v>
      </c>
      <c r="BP44" s="48">
        <f>((Formula!C44)/(Formula!C44+Formula!E44+Formula!G44+Formula!I44+Formula!K44))*(INDEX(Properties!A$1:CB$87,Formula!B44,20))+((Formula!E44)/(Formula!C44+Formula!E44+Formula!G44+Formula!I44+Formula!K44))*(INDEX(Properties!A$1:CB$87,Formula!D44,20))+((Formula!G44)/(Formula!C44+Formula!E44+Formula!G44+Formula!I44+Formula!K44))*(INDEX(Properties!A$1:CB$87,Formula!F44,20))+((Formula!I44)/(Formula!C44+Formula!E44+Formula!G44+Formula!I44+Formula!K44))*(INDEX(Properties!A$1:CB$87,Formula!H44,20))+((Formula!K44)/(Formula!C44+Formula!E44+Formula!G44+Formula!I44+Formula!K44))*(INDEX(Properties!A$1:CB$87,Formula!J44,20))</f>
        <v>4.5</v>
      </c>
      <c r="BQ44" s="48">
        <f>Formula!C44*(INDEX(Properties!A$1:CB$87,Formula!B44,20))+Formula!E44*(INDEX(Properties!A$1:CB$87,Formula!D44,20))+Formula!G44*(INDEX(Properties!A$1:CB$87,Formula!F44,20))+Formula!I44*(INDEX(Properties!A$1:CB$87,Formula!H44,20))+Formula!K44*(INDEX(Properties!A$1:CB$87,Formula!J44,20))</f>
        <v>36</v>
      </c>
      <c r="BR44" s="48">
        <f>VARP(IF(INDEX(Properties!A$1:CB$87,Formula!B44,20)&lt;&gt;"",INDEX(Properties!A$1:CB$87,Formula!B44,20)),IF(INDEX(Properties!A$1:CB$87,Formula!D44,20)&lt;&gt;"",INDEX(Properties!A$1:CB$87,Formula!D44,20)),IF(INDEX(Properties!A$1:CB$87,Formula!F44,20)&lt;&gt;"",INDEX(Properties!A$1:CB$87,Formula!F44,20)),IF(INDEX(Properties!A$1:CB$87,Formula!H44,20)&lt;&gt;"",INDEX(Properties!A$1:CB$87,Formula!H44,20)),IF(INDEX(Properties!A$1:CB$87,Formula!J44,20)&lt;&gt;"",INDEX(Properties!A$1:CB$87,Formula!J44,20)))</f>
        <v>4.8</v>
      </c>
      <c r="BS44" s="48">
        <f>MAX(INDEX(Properties!A$1:CB$87,Formula!B44,20),INDEX(Properties!A$1:CB$87,Formula!D44,20),INDEX(Properties!A$1:CB$87,Formula!F44,20),INDEX(Properties!A$1:CB$87,Formula!H44,20),INDEX(Properties!A$1:CB$87,Formula!J44,20))</f>
        <v>6</v>
      </c>
      <c r="BT44" s="48">
        <f>MIN(IF(INDEX(Properties!A$1:CB$87,Formula!B44,20)=0,10^6,INDEX(Properties!A$1:CB$87,Formula!B44,20)),IF(INDEX(Properties!A$1:CB$87,Formula!D44,20)=0,10^6,INDEX(Properties!A$1:CB$87,Formula!D44,20)),IF(INDEX(Properties!A$1:CB$87,Formula!F44,20)=0,10^6,INDEX(Properties!A$1:CB$87,Formula!F44,20)),IF(INDEX(Properties!A$1:CB$87,Formula!H44,20)=0,10^6,INDEX(Properties!A$1:CB$87,Formula!H44,20)),IF(INDEX(Properties!A$1:CB$87,Formula!J44,20)=0,10^6,INDEX(Properties!A$1:CB$87,Formula!J44,20)))</f>
        <v>2</v>
      </c>
      <c r="BU44" s="48">
        <f t="shared" si="11"/>
        <v>4</v>
      </c>
      <c r="BV44" s="66">
        <f>((Formula!C44)/(Formula!C44+Formula!E44+Formula!G44+Formula!I44+Formula!K44))*(INDEX(Properties!A$1:CB$87,Formula!B44,21))+((Formula!E44)/(Formula!C44+Formula!E44+Formula!G44+Formula!I44+Formula!K44))*(INDEX(Properties!A$1:CB$87,Formula!D44,21))+((Formula!G44)/(Formula!C44+Formula!E44+Formula!G44+Formula!I44+Formula!K44))*(INDEX(Properties!A$1:CB$87,Formula!F44,21))+((Formula!I44)/(Formula!C44+Formula!E44+Formula!G44+Formula!I44+Formula!K44))*(INDEX(Properties!A$1:CB$87,Formula!H44,21))+((Formula!K44)/(Formula!C44+Formula!E44+Formula!G44+Formula!I44+Formula!K44))*(INDEX(Properties!A$1:CB$87,Formula!J44,21))</f>
        <v>4.25</v>
      </c>
      <c r="BW44" s="66">
        <f>Formula!C44*(INDEX(Properties!A$1:CB$87,Formula!B44,21))+Formula!E44*(INDEX(Properties!A$1:CB$87,Formula!D44,21))+Formula!G44*(INDEX(Properties!A$1:CB$87,Formula!F44,21))+Formula!I44*(INDEX(Properties!A$1:CB$87,Formula!H44,21))+Formula!K44*(INDEX(Properties!A$1:CB$87,Formula!J44,21))</f>
        <v>34</v>
      </c>
      <c r="BX44" s="66">
        <f>VARP(IF(INDEX(Properties!A$1:CB$87,Formula!B44,21)&lt;&gt;"",INDEX(Properties!A$1:CB$87,Formula!B44,21)),IF(INDEX(Properties!A$1:CB$87,Formula!D44,21)&lt;&gt;"",INDEX(Properties!A$1:CB$87,Formula!D44,21)),IF(INDEX(Properties!A$1:CB$87,Formula!F44,21)&lt;&gt;"",INDEX(Properties!A$1:CB$87,Formula!F44,21)),IF(INDEX(Properties!A$1:CB$87,Formula!H44,21)&lt;&gt;"",INDEX(Properties!A$1:CB$87,Formula!H44,21)),IF(INDEX(Properties!A$1:CB$87,Formula!J44,21)&lt;&gt;"",INDEX(Properties!A$1:CB$87,Formula!J44,21)))</f>
        <v>4.96</v>
      </c>
      <c r="BY44" s="66">
        <f>MAX(INDEX(Properties!A$1:CB$87,Formula!B44,21),INDEX(Properties!A$1:CB$87,Formula!D44,21),INDEX(Properties!A$1:CB$87,Formula!F44,21),INDEX(Properties!A$1:CB$87,Formula!H44,21),INDEX(Properties!A$1:CB$87,Formula!J44,21))</f>
        <v>6</v>
      </c>
      <c r="BZ44" s="66">
        <f>MIN(IF(INDEX(Properties!A$1:CB$87,Formula!B44,21)=0,10^6,INDEX(Properties!A$1:CB$87,Formula!B44,21)),IF(INDEX(Properties!A$1:CB$87,Formula!D44,21)=0,10^6,INDEX(Properties!A$1:CB$87,Formula!D44,21)),IF(INDEX(Properties!A$1:CB$87,Formula!F44,21)=0,10^6,INDEX(Properties!A$1:CB$87,Formula!F44,21)),IF(INDEX(Properties!A$1:CB$87,Formula!H44,21)=0,10^6,INDEX(Properties!A$1:CB$87,Formula!H44,21)),IF(INDEX(Properties!A$1:CB$87,Formula!J44,21)=0,10^6,INDEX(Properties!A$1:CB$87,Formula!J44,21)))</f>
        <v>1</v>
      </c>
      <c r="CA44" s="66">
        <f t="shared" si="12"/>
        <v>5</v>
      </c>
      <c r="CB44" s="81">
        <f>((Formula!C44)/(Formula!C44+Formula!E44+Formula!G44+Formula!I44+Formula!K44))*(INDEX(Properties!A$1:CB$87,Formula!B44,23))+((Formula!E44)/(Formula!C44+Formula!E44+Formula!G44+Formula!I44+Formula!K44))*(INDEX(Properties!A$1:CB$87,Formula!D44,23))+((Formula!G44)/(Formula!C44+Formula!E44+Formula!G44+Formula!I44+Formula!K44))*(INDEX(Properties!A$1:CB$87,Formula!F44,23))+((Formula!I44)/(Formula!C44+Formula!E44+Formula!G44+Formula!I44+Formula!K44))*(INDEX(Properties!A$1:CB$87,Formula!H44,23))+((Formula!K44)/(Formula!C44+Formula!E44+Formula!G44+Formula!I44+Formula!K44))*(INDEX(Properties!A$1:CB$87,Formula!J44,23))</f>
        <v>1.25</v>
      </c>
      <c r="CC44" s="81">
        <f>Formula!C44*(INDEX(Properties!A$1:CB$87,Formula!B44,23))+Formula!E44*(INDEX(Properties!A$1:CB$87,Formula!D44,23))+Formula!G44*(INDEX(Properties!A$1:CB$87,Formula!F44,23))+Formula!I44*(INDEX(Properties!A$1:CB$87,Formula!H44,23))+Formula!K44*(INDEX(Properties!A$1:CB$87,Formula!J44,23))</f>
        <v>10</v>
      </c>
      <c r="CD44" s="81">
        <f>VARP(IF(INDEX(Properties!A$1:CB$87,Formula!B44,23)&lt;&gt;"",INDEX(Properties!A$1:CB$87,Formula!B44,23)),IF(INDEX(Properties!A$1:CB$87,Formula!D44,23)&lt;&gt;"",INDEX(Properties!A$1:CB$87,Formula!D44,23)),IF(INDEX(Properties!A$1:CB$87,Formula!F44,23)&lt;&gt;"",INDEX(Properties!A$1:CB$87,Formula!F44,23)),IF(INDEX(Properties!A$1:CB$87,Formula!H44,23)&lt;&gt;"",INDEX(Properties!A$1:CB$87,Formula!H44,23)),IF(INDEX(Properties!A$1:CB$87,Formula!J44,23)&lt;&gt;"",INDEX(Properties!A$1:CB$87,Formula!J44,23)))</f>
        <v>3.04</v>
      </c>
      <c r="CE44" s="81">
        <f>MAX(INDEX(Properties!A$1:CB$87,Formula!B44,23),INDEX(Properties!A$1:CB$87,Formula!D44,23),INDEX(Properties!A$1:CB$87,Formula!F44,23),INDEX(Properties!A$1:CB$87,Formula!H44,23),INDEX(Properties!A$1:CB$87,Formula!J44,23))</f>
        <v>4</v>
      </c>
      <c r="CF44" s="81">
        <f>MIN(IF(Formula!B44=87,10^6,INDEX(Properties!A$1:CB$87,Formula!B44,23)),IF((Formula!D44)=87,10^6,INDEX(Properties!A$1:CB$87,Formula!D44,23)),IF((Formula!F44)=87,10^6,INDEX(Properties!A$1:CB$87,Formula!F44,23)),IF((Formula!H44)=87,10^6,INDEX(Properties!A$1:CB$87,Formula!H44,23)),IF(Formula!J44=87,10^6,INDEX(Properties!A$1:CB$87,Formula!J44,23)))</f>
        <v>0</v>
      </c>
      <c r="CG44" s="81">
        <f t="shared" si="13"/>
        <v>4</v>
      </c>
      <c r="CH44" s="39">
        <f>((Formula!C44)/(Formula!C44+Formula!E44+Formula!G44+Formula!I44+Formula!K44))*(INDEX(Properties!A$1:CB$87,Formula!B44,26))+((Formula!E44)/(Formula!C44+Formula!E44+Formula!G44+Formula!I44+Formula!K44))*(INDEX(Properties!A$1:CB$87,Formula!D44,26))+((Formula!G44)/(Formula!C44+Formula!E44+Formula!G44+Formula!I44+Formula!K44))*(INDEX(Properties!A$1:CB$87,Formula!F44,26))+((Formula!I44)/(Formula!C44+Formula!E44+Formula!G44+Formula!I44+Formula!K44))*(INDEX(Properties!A$1:CB$87,Formula!H44,26))+((Formula!K44)/(Formula!C44+Formula!E44+Formula!G44+Formula!I44+Formula!K44))*(INDEX(Properties!A$1:CB$87,Formula!J44,26))</f>
        <v>10.91915</v>
      </c>
      <c r="CI44" s="39">
        <f>Formula!C44*(INDEX(Properties!A$1:CB$87,Formula!B44,26))+Formula!E44*(INDEX(Properties!A$1:CB$87,Formula!D44,26))+Formula!G44*(INDEX(Properties!A$1:CB$87,Formula!F44,26))+Formula!I44*(INDEX(Properties!A$1:CB$87,Formula!H44,26))+Formula!K44*(INDEX(Properties!A$1:CB$87,Formula!J44,26))</f>
        <v>87.353200000000001</v>
      </c>
      <c r="CJ44" s="39">
        <f>VARP(IF(INDEX(Properties!A$1:CB$87,Formula!B44,26)&lt;&gt;"",INDEX(Properties!A$1:CB$87,Formula!B44,26)),IF(INDEX(Properties!A$1:CB$87,Formula!D44,26)&lt;&gt;"",INDEX(Properties!A$1:CB$87,Formula!D44,26)),IF(INDEX(Properties!A$1:CB$87,Formula!F44,26)&lt;&gt;"",INDEX(Properties!A$1:CB$87,Formula!F44,26)),IF(INDEX(Properties!A$1:CB$87,Formula!H44,26)&lt;&gt;"",INDEX(Properties!A$1:CB$87,Formula!H44,26)),IF(INDEX(Properties!A$1:CB$87,Formula!J44,26)&lt;&gt;"",INDEX(Properties!A$1:CB$87,Formula!J44,26)))</f>
        <v>25.708394011999999</v>
      </c>
      <c r="CK44" s="39">
        <f>MAX(INDEX(Properties!A$1:CB$87,Formula!B44,26),INDEX(Properties!A$1:CB$87,Formula!D44,26),INDEX(Properties!A$1:CB$87,Formula!F44,26),INDEX(Properties!A$1:CB$87,Formula!H44,26),INDEX(Properties!A$1:CB$87,Formula!J44,26))</f>
        <v>13.6181</v>
      </c>
      <c r="CL44" s="39">
        <f>MIN(IF(INDEX(Properties!A$1:CB$87,Formula!B44,26)=0,10^6,INDEX(Properties!A$1:CB$87,Formula!B44,26)),IF(INDEX(Properties!A$1:CB$87,Formula!D44,26)=0,10^6,INDEX(Properties!A$1:CB$87,Formula!D44,26)),IF(INDEX(Properties!A$1:CB$87,Formula!F44,26)=0,10^6,INDEX(Properties!A$1:CB$87,Formula!F44,26)),IF(INDEX(Properties!A$1:CB$87,Formula!H44,26)=0,10^6,INDEX(Properties!A$1:CB$87,Formula!H44,26)),IF(INDEX(Properties!A$1:CB$87,Formula!J44,26)=0,10^6,INDEX(Properties!A$1:CB$87,Formula!J44,26)))</f>
        <v>6.2172999999999998</v>
      </c>
      <c r="CM44" s="39">
        <f t="shared" si="14"/>
        <v>7.4008000000000003</v>
      </c>
      <c r="CN44" s="54">
        <f>((Formula!C44)/(Formula!C44+Formula!E44+Formula!G44+Formula!I44+Formula!K44))*(INDEX(Properties!A$1:CB$87,Formula!B44,30))+((Formula!E44)/(Formula!C44+Formula!E44+Formula!G44+Formula!I44+Formula!K44))*(INDEX(Properties!A$1:CB$87,Formula!D44,30))+((Formula!G44)/(Formula!C44+Formula!E44+Formula!G44+Formula!I44+Formula!K44))*(INDEX(Properties!A$1:CB$87,Formula!F44,30))+((Formula!I44)/(Formula!C44+Formula!E44+Formula!G44+Formula!I44+Formula!K44))*(INDEX(Properties!A$1:CB$87,Formula!H44,30))+((Formula!K44)/(Formula!C44+Formula!E44+Formula!G44+Formula!I44+Formula!K44))*(INDEX(Properties!A$1:CB$87,Formula!J44,30))</f>
        <v>2.6475</v>
      </c>
      <c r="CO44" s="54">
        <f>Formula!C44*(INDEX(Properties!A$1:CB$87,Formula!B44,30))+Formula!E44*(INDEX(Properties!A$1:CB$87,Formula!D44,30))+Formula!G44*(INDEX(Properties!A$1:CB$87,Formula!F44,30))+Formula!I44*(INDEX(Properties!A$1:CB$87,Formula!H44,30))+Formula!K44*(INDEX(Properties!A$1:CB$87,Formula!J44,30))</f>
        <v>21.18</v>
      </c>
      <c r="CP44" s="54">
        <f>VARP(IF(INDEX(Properties!A$1:CB$87,Formula!B44,30)&lt;&gt;"",INDEX(Properties!A$1:CB$87,Formula!B44,30)),IF(INDEX(Properties!A$1:CB$87,Formula!D44,30)&lt;&gt;"",INDEX(Properties!A$1:CB$87,Formula!D44,30)),IF(INDEX(Properties!A$1:CB$87,Formula!F44,30)&lt;&gt;"",INDEX(Properties!A$1:CB$87,Formula!F44,30)),IF(INDEX(Properties!A$1:CB$87,Formula!H44,30)&lt;&gt;"",INDEX(Properties!A$1:CB$87,Formula!H44,30)),IF(INDEX(Properties!A$1:CB$87,Formula!J44,30)&lt;&gt;"",INDEX(Properties!A$1:CB$87,Formula!J44,30)))</f>
        <v>1.6011199999999999</v>
      </c>
      <c r="CQ44" s="54">
        <f>MAX(INDEX(Properties!A$1:CB$87,Formula!B44,30),INDEX(Properties!A$1:CB$87,Formula!D44,30),INDEX(Properties!A$1:CB$87,Formula!F44,30),INDEX(Properties!A$1:CB$87,Formula!H44,30),INDEX(Properties!A$1:CB$87,Formula!J44,30))</f>
        <v>3.44</v>
      </c>
      <c r="CR44" s="54">
        <f>MIN(IF(INDEX(Properties!A$1:CB$87,Formula!B44,30)=0,10^6,INDEX(Properties!A$1:CB$87,Formula!B44,30)),IF(INDEX(Properties!A$1:CB$87,Formula!D44,30)=0,10^6,INDEX(Properties!A$1:CB$87,Formula!D44,30)),IF(INDEX(Properties!A$1:CB$87,Formula!F44,30)=0,10^6,INDEX(Properties!A$1:CB$87,Formula!F44,30)),IF(INDEX(Properties!A$1:CB$87,Formula!H44,30)=0,10^6,INDEX(Properties!A$1:CB$87,Formula!H44,30)),IF(INDEX(Properties!A$1:CB$87,Formula!J44,30)=0,10^6,INDEX(Properties!A$1:CB$87,Formula!J44,30)))</f>
        <v>1.22</v>
      </c>
      <c r="CS44" s="54">
        <f t="shared" si="15"/>
        <v>2.2199999999999998</v>
      </c>
      <c r="CT44" s="69">
        <f>((Formula!C44)/(Formula!C44+Formula!E44+Formula!G44+Formula!I44+Formula!K44))*(INDEX(Properties!A$1:CB$87,Formula!B44,31))+((Formula!E44)/(Formula!C44+Formula!E44+Formula!G44+Formula!I44+Formula!K44))*(INDEX(Properties!A$1:CB$87,Formula!D44,31))+((Formula!G44)/(Formula!C44+Formula!E44+Formula!G44+Formula!I44+Formula!K44))*(INDEX(Properties!A$1:CB$87,Formula!F44,31))+((Formula!I44)/(Formula!C44+Formula!E44+Formula!G44+Formula!I44+Formula!K44))*(INDEX(Properties!A$1:CB$87,Formula!H44,31))+((Formula!K44)/(Formula!C44+Formula!E44+Formula!G44+Formula!I44+Formula!K44))*(INDEX(Properties!A$1:CB$87,Formula!J44,31))</f>
        <v>2.6599999999999997</v>
      </c>
      <c r="CU44" s="69">
        <f>Formula!C44*(INDEX(Properties!A$1:CB$87,Formula!B44,31))+Formula!E44*(INDEX(Properties!A$1:CB$87,Formula!D44,31))+Formula!G44*(INDEX(Properties!A$1:CB$87,Formula!F44,31))+Formula!I44*(INDEX(Properties!A$1:CB$87,Formula!H44,31))+Formula!K44*(INDEX(Properties!A$1:CB$87,Formula!J44,31))</f>
        <v>21.279999999999998</v>
      </c>
      <c r="CV44" s="69">
        <f>VARP(IF(INDEX(Properties!A$1:CB$87,Formula!B44,31)&lt;&gt;"",INDEX(Properties!A$1:CB$87,Formula!B44,31)),IF(INDEX(Properties!A$1:CB$87,Formula!D44,31)&lt;&gt;"",INDEX(Properties!A$1:CB$87,Formula!D44,31)),IF(INDEX(Properties!A$1:CB$87,Formula!F44,31)&lt;&gt;"",INDEX(Properties!A$1:CB$87,Formula!F44,31)),IF(INDEX(Properties!A$1:CB$87,Formula!H44,31)&lt;&gt;"",INDEX(Properties!A$1:CB$87,Formula!H44,31)),IF(INDEX(Properties!A$1:CB$87,Formula!J44,31)&lt;&gt;"",INDEX(Properties!A$1:CB$87,Formula!J44,31)))</f>
        <v>1.5568959999999998</v>
      </c>
      <c r="CW44" s="69">
        <f>MAX(INDEX(Properties!A$1:CB$87,Formula!B44,31),INDEX(Properties!A$1:CB$87,Formula!D44,31),INDEX(Properties!A$1:CB$87,Formula!F44,31),INDEX(Properties!A$1:CB$87,Formula!H44,31),INDEX(Properties!A$1:CB$87,Formula!J44,31))</f>
        <v>3.32</v>
      </c>
      <c r="CX44" s="69">
        <f>MIN(IF(INDEX(Properties!A$1:CB$87,Formula!B44,31)=0,10^6,INDEX(Properties!A$1:CB$87,Formula!B44,31)),IF(INDEX(Properties!A$1:CB$87,Formula!D44,31)=0,10^6,INDEX(Properties!A$1:CB$87,Formula!D44,31)),IF(INDEX(Properties!A$1:CB$87,Formula!F44,31)=0,10^6,INDEX(Properties!A$1:CB$87,Formula!F44,31)),IF(INDEX(Properties!A$1:CB$87,Formula!H44,31)=0,10^6,INDEX(Properties!A$1:CB$87,Formula!H44,31)),IF(INDEX(Properties!A$1:CB$87,Formula!J44,31)=0,10^6,INDEX(Properties!A$1:CB$87,Formula!J44,31)))</f>
        <v>1.41</v>
      </c>
      <c r="CY44" s="69">
        <f t="shared" si="16"/>
        <v>1.91</v>
      </c>
      <c r="CZ44" s="42">
        <f>((Formula!C44)/(Formula!C44+Formula!E44+Formula!G44+Formula!I44+Formula!K44))*(INDEX(Properties!A$1:CB$87,Formula!B44,32))+((Formula!E44)/(Formula!C44+Formula!E44+Formula!G44+Formula!I44+Formula!K44))*(INDEX(Properties!A$1:CB$87,Formula!D44,32))+((Formula!G44)/(Formula!C44+Formula!E44+Formula!G44+Formula!I44+Formula!K44))*(INDEX(Properties!A$1:CB$87,Formula!F44,32))+((Formula!I44)/(Formula!C44+Formula!E44+Formula!G44+Formula!I44+Formula!K44))*(INDEX(Properties!A$1:CB$87,Formula!H44,32))+((Formula!K44)/(Formula!C44+Formula!E44+Formula!G44+Formula!I44+Formula!K44))*(INDEX(Properties!A$1:CB$87,Formula!J44,32))</f>
        <v>5.9412500000000001</v>
      </c>
      <c r="DA44" s="42">
        <f>Formula!C44*(INDEX(Properties!A$1:CB$87,Formula!B44,32))+Formula!E44*(INDEX(Properties!A$1:CB$87,Formula!D44,32))+Formula!G44*(INDEX(Properties!A$1:CB$87,Formula!F44,32))+Formula!I44*(INDEX(Properties!A$1:CB$87,Formula!H44,32))+Formula!K44*(INDEX(Properties!A$1:CB$87,Formula!J44,32))</f>
        <v>47.53</v>
      </c>
      <c r="DB44" s="42">
        <f>VARP(IF(INDEX(Properties!A$1:CB$87,Formula!B44,32)&lt;&gt;"",INDEX(Properties!A$1:CB$87,Formula!B44,32)),IF(INDEX(Properties!A$1:CB$87,Formula!D44,32)&lt;&gt;"",INDEX(Properties!A$1:CB$87,Formula!D44,32)),IF(INDEX(Properties!A$1:CB$87,Formula!F44,32)&lt;&gt;"",INDEX(Properties!A$1:CB$87,Formula!F44,32)),IF(INDEX(Properties!A$1:CB$87,Formula!H44,32)&lt;&gt;"",INDEX(Properties!A$1:CB$87,Formula!H44,32)),IF(INDEX(Properties!A$1:CB$87,Formula!J44,32)&lt;&gt;"",INDEX(Properties!A$1:CB$87,Formula!J44,32)))</f>
        <v>7.7431440000000009</v>
      </c>
      <c r="DC44" s="42">
        <f>MAX(INDEX(Properties!A$1:CB$87,Formula!B44,32),INDEX(Properties!A$1:CB$87,Formula!D44,32),INDEX(Properties!A$1:CB$87,Formula!F44,32),INDEX(Properties!A$1:CB$87,Formula!H44,32),INDEX(Properties!A$1:CB$87,Formula!J44,32))</f>
        <v>7.54</v>
      </c>
      <c r="DD44" s="42">
        <f>MIN(IF(INDEX(Properties!A$1:CB$87,Formula!B44,32)=0,10^6,INDEX(Properties!A$1:CB$87,Formula!B44,32)),IF(INDEX(Properties!A$1:CB$87,Formula!D44,32)=0,10^6,INDEX(Properties!A$1:CB$87,Formula!D44,32)),IF(INDEX(Properties!A$1:CB$87,Formula!F44,32)=0,10^6,INDEX(Properties!A$1:CB$87,Formula!F44,32)),IF(INDEX(Properties!A$1:CB$87,Formula!H44,32)=0,10^6,INDEX(Properties!A$1:CB$87,Formula!H44,32)),IF(INDEX(Properties!A$1:CB$87,Formula!J44,32)=0,10^6,INDEX(Properties!A$1:CB$87,Formula!J44,32)))</f>
        <v>3.19</v>
      </c>
      <c r="DE44" s="42">
        <f t="shared" si="17"/>
        <v>4.3499999999999996</v>
      </c>
      <c r="DF44" s="60">
        <f>((Formula!C44)/(Formula!C44+Formula!E44+Formula!G44+Formula!I44+Formula!K44))*(INDEX(Properties!A$1:CB$87,Formula!B44,34))+((Formula!E44)/(Formula!C44+Formula!E44+Formula!G44+Formula!I44+Formula!K44))*(INDEX(Properties!A$1:CB$87,Formula!D44,34))+((Formula!G44)/(Formula!C44+Formula!E44+Formula!G44+Formula!I44+Formula!K44))*(INDEX(Properties!A$1:CB$87,Formula!F44,34))+((Formula!I44)/(Formula!C44+Formula!E44+Formula!G44+Formula!I44+Formula!K44))*(INDEX(Properties!A$1:CB$87,Formula!H44,34))+((Formula!K44)/(Formula!C44+Formula!E44+Formula!G44+Formula!I44+Formula!K44))*(INDEX(Properties!A$1:CB$87,Formula!J44,34))</f>
        <v>2.7087500000000002</v>
      </c>
      <c r="DG44" s="60">
        <f>Formula!C44*(INDEX(Properties!A$1:CB$87,Formula!B44,34))+Formula!E44*(INDEX(Properties!A$1:CB$87,Formula!D44,34))+Formula!G44*(INDEX(Properties!A$1:CB$87,Formula!F44,34))+Formula!I44*(INDEX(Properties!A$1:CB$87,Formula!H44,34))+Formula!K44*(INDEX(Properties!A$1:CB$87,Formula!J44,34))</f>
        <v>21.67</v>
      </c>
      <c r="DH44" s="60">
        <f>VARP(IF(INDEX(Properties!A$1:CB$87,Formula!B44,34)&lt;&gt;"",INDEX(Properties!A$1:CB$87,Formula!B44,34)),IF(INDEX(Properties!A$1:CB$87,Formula!D44,34)&lt;&gt;"",INDEX(Properties!A$1:CB$87,Formula!D44,34)),IF(INDEX(Properties!A$1:CB$87,Formula!F44,34)&lt;&gt;"",INDEX(Properties!A$1:CB$87,Formula!F44,34)),IF(INDEX(Properties!A$1:CB$87,Formula!H44,34)&lt;&gt;"",INDEX(Properties!A$1:CB$87,Formula!H44,34)),IF(INDEX(Properties!A$1:CB$87,Formula!J44,34)&lt;&gt;"",INDEX(Properties!A$1:CB$87,Formula!J44,34)))</f>
        <v>1.7448960000000002</v>
      </c>
      <c r="DI44" s="60">
        <f>MAX(INDEX(Properties!A$1:CB$87,Formula!B44,34),INDEX(Properties!A$1:CB$87,Formula!D44,34),INDEX(Properties!A$1:CB$87,Formula!F44,34),INDEX(Properties!A$1:CB$87,Formula!H44,34),INDEX(Properties!A$1:CB$87,Formula!J44,34))</f>
        <v>3.61</v>
      </c>
      <c r="DJ44" s="60">
        <f>MIN(IF(INDEX(Properties!A$1:CB$87,Formula!B44,34)=0,10^6,INDEX(Properties!A$1:CB$87,Formula!B44,34)),IF(INDEX(Properties!A$1:CB$87,Formula!D44,34)=0,10^6,INDEX(Properties!A$1:CB$87,Formula!D44,34)),IF(INDEX(Properties!A$1:CB$87,Formula!F44,34)=0,10^6,INDEX(Properties!A$1:CB$87,Formula!F44,34)),IF(INDEX(Properties!A$1:CB$87,Formula!H44,34)=0,10^6,INDEX(Properties!A$1:CB$87,Formula!H44,34)),IF(INDEX(Properties!A$1:CB$87,Formula!J44,34)=0,10^6,INDEX(Properties!A$1:CB$87,Formula!J44,34)))</f>
        <v>1.1200000000000001</v>
      </c>
      <c r="DK44" s="60">
        <f t="shared" si="18"/>
        <v>2.4899999999999998</v>
      </c>
      <c r="DL44" s="45">
        <f>((Formula!C44)/(Formula!C44+Formula!E44+Formula!G44+Formula!I44+Formula!K44))*(INDEX(Properties!A$1:CB$87,Formula!B44,39))+((Formula!E44)/(Formula!C44+Formula!E44+Formula!G44+Formula!I44+Formula!K44))*(INDEX(Properties!A$1:CB$87,Formula!D44,39))+((Formula!G44)/(Formula!C44+Formula!E44+Formula!G44+Formula!I44+Formula!K44))*(INDEX(Properties!A$1:CB$87,Formula!F44,39))+((Formula!I44)/(Formula!C44+Formula!E44+Formula!G44+Formula!I44+Formula!K44))*(INDEX(Properties!A$1:CB$87,Formula!H44,39))+((Formula!K44)/(Formula!C44+Formula!E44+Formula!G44+Formula!I44+Formula!K44))*(INDEX(Properties!A$1:CB$87,Formula!J44,39))</f>
        <v>1.05</v>
      </c>
      <c r="DM44" s="45">
        <f>Formula!C44*(INDEX(Properties!A$1:CB$87,Formula!B44,39))+Formula!E44*(INDEX(Properties!A$1:CB$87,Formula!D44,39))+Formula!G44*(INDEX(Properties!A$1:CB$87,Formula!F44,39))+Formula!I44*(INDEX(Properties!A$1:CB$87,Formula!H44,39))+Formula!K44*(INDEX(Properties!A$1:CB$87,Formula!J44,39))</f>
        <v>8.4</v>
      </c>
      <c r="DN44" s="45">
        <f>VARP(IF(INDEX(Properties!A$1:CB$87,Formula!B44,39)&lt;&gt;"",INDEX(Properties!A$1:CB$87,Formula!B44,39)),IF(INDEX(Properties!A$1:CB$87,Formula!D44,39)&lt;&gt;"",INDEX(Properties!A$1:CB$87,Formula!D44,39)),IF(INDEX(Properties!A$1:CB$87,Formula!F44,39)&lt;&gt;"",INDEX(Properties!A$1:CB$87,Formula!F44,39)),IF(INDEX(Properties!A$1:CB$87,Formula!H44,39)&lt;&gt;"",INDEX(Properties!A$1:CB$87,Formula!H44,39)),IF(INDEX(Properties!A$1:CB$87,Formula!J44,39)&lt;&gt;"",INDEX(Properties!A$1:CB$87,Formula!J44,39)))</f>
        <v>0.80409600000000025</v>
      </c>
      <c r="DO44" s="45">
        <f>MAX(INDEX(Properties!A$1:CB$87,Formula!B44,39),INDEX(Properties!A$1:CB$87,Formula!D44,39),INDEX(Properties!A$1:CB$87,Formula!F44,39),INDEX(Properties!A$1:CB$87,Formula!H44,39),INDEX(Properties!A$1:CB$87,Formula!J44,39))</f>
        <v>2.12</v>
      </c>
      <c r="DP44" s="45">
        <f>MIN(IF(INDEX(Properties!A$1:CB$87,Formula!B44,39)=0,10^6,INDEX(Properties!A$1:CB$87,Formula!B44,39)),IF(INDEX(Properties!A$1:CB$87,Formula!D44,39)=0,10^6,INDEX(Properties!A$1:CB$87,Formula!D44,39)),IF(INDEX(Properties!A$1:CB$87,Formula!F44,39)=0,10^6,INDEX(Properties!A$1:CB$87,Formula!F44,39)),IF(INDEX(Properties!A$1:CB$87,Formula!H44,39)=0,10^6,INDEX(Properties!A$1:CB$87,Formula!H44,39)),IF(INDEX(Properties!A$1:CB$87,Formula!J44,39)=0,10^6,INDEX(Properties!A$1:CB$87,Formula!J44,39)))</f>
        <v>0.48</v>
      </c>
      <c r="DQ44" s="45">
        <f t="shared" si="19"/>
        <v>1.6400000000000001</v>
      </c>
      <c r="DR44" s="63">
        <f>((Formula!C44)/(Formula!C44+Formula!E44+Formula!G44+Formula!I44+Formula!K44))*(INDEX(Properties!A$1:CB$87,Formula!B44,40))+((Formula!E44)/(Formula!C44+Formula!E44+Formula!G44+Formula!I44+Formula!K44))*(INDEX(Properties!A$1:CB$87,Formula!D44,40))+((Formula!G44)/(Formula!C44+Formula!E44+Formula!G44+Formula!I44+Formula!K44))*(INDEX(Properties!A$1:CB$87,Formula!F44,40))+((Formula!I44)/(Formula!C44+Formula!E44+Formula!G44+Formula!I44+Formula!K44))*(INDEX(Properties!A$1:CB$87,Formula!H44,40))+((Formula!K44)/(Formula!C44+Formula!E44+Formula!G44+Formula!I44+Formula!K44))*(INDEX(Properties!A$1:CB$87,Formula!J44,40))</f>
        <v>1.03125</v>
      </c>
      <c r="DS44" s="63">
        <f>Formula!C44*(INDEX(Properties!A$1:CB$87,Formula!B44,40))+Formula!E44*(INDEX(Properties!A$1:CB$87,Formula!D44,40))+Formula!G44*(INDEX(Properties!A$1:CB$87,Formula!F44,40))+Formula!I44*(INDEX(Properties!A$1:CB$87,Formula!H44,40))+Formula!K44*(INDEX(Properties!A$1:CB$87,Formula!J44,40))</f>
        <v>8.25</v>
      </c>
      <c r="DT44" s="63">
        <f>VARP(IF(INDEX(Properties!A$1:CB$87,Formula!B44,40)&lt;&gt;"",INDEX(Properties!A$1:CB$87,Formula!B44,40)),IF(INDEX(Properties!A$1:CB$87,Formula!D44,40)&lt;&gt;"",INDEX(Properties!A$1:CB$87,Formula!D44,40)),IF(INDEX(Properties!A$1:CB$87,Formula!F44,40)&lt;&gt;"",INDEX(Properties!A$1:CB$87,Formula!F44,40)),IF(INDEX(Properties!A$1:CB$87,Formula!H44,40)&lt;&gt;"",INDEX(Properties!A$1:CB$87,Formula!H44,40)),IF(INDEX(Properties!A$1:CB$87,Formula!J44,40)&lt;&gt;"",INDEX(Properties!A$1:CB$87,Formula!J44,40)))</f>
        <v>0.45081600000000011</v>
      </c>
      <c r="DU44" s="63">
        <f>MAX(INDEX(Properties!A$1:CB$87,Formula!B44,40),INDEX(Properties!A$1:CB$87,Formula!D44,40),INDEX(Properties!A$1:CB$87,Formula!F44,40),INDEX(Properties!A$1:CB$87,Formula!H44,40),INDEX(Properties!A$1:CB$87,Formula!J44,40))</f>
        <v>1.62</v>
      </c>
      <c r="DV44" s="63">
        <f>MIN(IF(INDEX(Properties!A$1:CB$87,Formula!B44,40)=0,10^6,INDEX(Properties!A$1:CB$87,Formula!B44,40)),IF(INDEX(Properties!A$1:CB$87,Formula!D44,40)=0,10^6,INDEX(Properties!A$1:CB$87,Formula!D44,40)),IF(INDEX(Properties!A$1:CB$87,Formula!F44,40)=0,10^6,INDEX(Properties!A$1:CB$87,Formula!F44,40)),IF(INDEX(Properties!A$1:CB$87,Formula!H44,40)=0,10^6,INDEX(Properties!A$1:CB$87,Formula!H44,40)),IF(INDEX(Properties!A$1:CB$87,Formula!J44,40)=0,10^6,INDEX(Properties!A$1:CB$87,Formula!J44,40)))</f>
        <v>0.73</v>
      </c>
      <c r="DW44" s="63">
        <f t="shared" si="20"/>
        <v>0.89000000000000012</v>
      </c>
      <c r="DX44" s="75">
        <f>((Formula!C44)/(Formula!C44+Formula!E44+Formula!G44+Formula!I44+Formula!K44))*(INDEX(Properties!A$1:CB$87,Formula!B44,41))+((Formula!E44)/(Formula!C44+Formula!E44+Formula!G44+Formula!I44+Formula!K44))*(INDEX(Properties!A$1:CB$87,Formula!D44,41))+((Formula!G44)/(Formula!C44+Formula!E44+Formula!G44+Formula!I44+Formula!K44))*(INDEX(Properties!A$1:CB$87,Formula!F44,41))+((Formula!I44)/(Formula!C44+Formula!E44+Formula!G44+Formula!I44+Formula!K44))*(INDEX(Properties!A$1:CB$87,Formula!H44,41))+((Formula!K44)/(Formula!C44+Formula!E44+Formula!G44+Formula!I44+Formula!K44))*(INDEX(Properties!A$1:CB$87,Formula!J44,41))</f>
        <v>1.1724999999999999</v>
      </c>
      <c r="DY44" s="75">
        <f>Formula!C44*(INDEX(Properties!A$1:CB$87,Formula!B44,41))+Formula!E44*(INDEX(Properties!A$1:CB$87,Formula!D44,41))+Formula!G44*(INDEX(Properties!A$1:CB$87,Formula!F44,41))+Formula!I44*(INDEX(Properties!A$1:CB$87,Formula!H44,41))+Formula!K44*(INDEX(Properties!A$1:CB$87,Formula!J44,41))</f>
        <v>9.379999999999999</v>
      </c>
      <c r="DZ44" s="75">
        <f>VARP(IF(INDEX(Properties!A$1:CB$87,Formula!B44,41)&lt;&gt;"",INDEX(Properties!A$1:CB$87,Formula!B44,41)),IF(INDEX(Properties!A$1:CB$87,Formula!D44,41)&lt;&gt;"",INDEX(Properties!A$1:CB$87,Formula!D44,41)),IF(INDEX(Properties!A$1:CB$87,Formula!F44,41)&lt;&gt;"",INDEX(Properties!A$1:CB$87,Formula!F44,41)),IF(INDEX(Properties!A$1:CB$87,Formula!H44,41)&lt;&gt;"",INDEX(Properties!A$1:CB$87,Formula!H44,41)),IF(INDEX(Properties!A$1:CB$87,Formula!J44,41)&lt;&gt;"",INDEX(Properties!A$1:CB$87,Formula!J44,41)))</f>
        <v>0.29824000000000006</v>
      </c>
      <c r="EA44" s="75">
        <f>MAX(INDEX(Properties!A$1:CB$87,Formula!B44,41),INDEX(Properties!A$1:CB$87,Formula!D44,41),INDEX(Properties!A$1:CB$87,Formula!F44,41),INDEX(Properties!A$1:CB$87,Formula!H44,41),INDEX(Properties!A$1:CB$87,Formula!J44,41))</f>
        <v>1.26</v>
      </c>
      <c r="EB44" s="75">
        <f>MIN(IF(INDEX(Properties!A$1:CB$87,Formula!B44,41)=0,10^6,INDEX(Properties!A$1:CB$87,Formula!B44,41)),IF(INDEX(Properties!A$1:CB$87,Formula!D44,41)=0,10^6,INDEX(Properties!A$1:CB$87,Formula!D44,41)),IF(INDEX(Properties!A$1:CB$87,Formula!F44,41)=0,10^6,INDEX(Properties!A$1:CB$87,Formula!F44,41)),IF(INDEX(Properties!A$1:CB$87,Formula!H44,41)=0,10^6,INDEX(Properties!A$1:CB$87,Formula!H44,41)),IF(INDEX(Properties!A$1:CB$87,Formula!J44,41)=0,10^6,INDEX(Properties!A$1:CB$87,Formula!J44,41)))</f>
        <v>1</v>
      </c>
      <c r="EC44" s="75">
        <f t="shared" si="21"/>
        <v>0.26</v>
      </c>
      <c r="ED44" s="48">
        <f>((Formula!C44)/(Formula!C44+Formula!E44+Formula!G44+Formula!I44+Formula!K44))*(INDEX(Properties!A$1:CB$87,Formula!B44,45))+((Formula!E44)/(Formula!C44+Formula!E44+Formula!G44+Formula!I44+Formula!K44))*(INDEX(Properties!A$1:CB$87,Formula!D44,45))+((Formula!G44)/(Formula!C44+Formula!E44+Formula!G44+Formula!I44+Formula!K44))*(INDEX(Properties!A$1:CB$87,Formula!F44,45))+((Formula!I44)/(Formula!C44+Formula!E44+Formula!G44+Formula!I44+Formula!K44))*(INDEX(Properties!A$1:CB$87,Formula!H44,45))+((Formula!K44)/(Formula!C44+Formula!E44+Formula!G44+Formula!I44+Formula!K44))*(INDEX(Properties!A$1:CB$87,Formula!J44,45))</f>
        <v>1.3512500000000001</v>
      </c>
      <c r="EE44" s="48">
        <f>Formula!C44*(INDEX(Properties!A$1:CB$87,Formula!B44,45))+Formula!E44*(INDEX(Properties!A$1:CB$87,Formula!D44,45))+Formula!G44*(INDEX(Properties!A$1:CB$87,Formula!F44,45))+Formula!I44*(INDEX(Properties!A$1:CB$87,Formula!H44,45))+Formula!K44*(INDEX(Properties!A$1:CB$87,Formula!J44,45))</f>
        <v>10.81</v>
      </c>
      <c r="EF44" s="48">
        <f>VARP(IF(INDEX(Properties!A$1:CB$87,Formula!B44,45)&lt;&gt;"",INDEX(Properties!A$1:CB$87,Formula!B44,45)),IF(INDEX(Properties!A$1:CB$87,Formula!D44,45)&lt;&gt;"",INDEX(Properties!A$1:CB$87,Formula!D44,45)),IF(INDEX(Properties!A$1:CB$87,Formula!F44,45)&lt;&gt;"",INDEX(Properties!A$1:CB$87,Formula!F44,45)),IF(INDEX(Properties!A$1:CB$87,Formula!H44,45)&lt;&gt;"",INDEX(Properties!A$1:CB$87,Formula!H44,45)),IF(INDEX(Properties!A$1:CB$87,Formula!J44,45)&lt;&gt;"",INDEX(Properties!A$1:CB$87,Formula!J44,45)))</f>
        <v>1.6689760000000005</v>
      </c>
      <c r="EG44" s="48">
        <f>MAX(INDEX(Properties!A$1:CB$87,Formula!B44,45),INDEX(Properties!A$1:CB$87,Formula!D44,45),INDEX(Properties!A$1:CB$87,Formula!F44,45),INDEX(Properties!A$1:CB$87,Formula!H44,45),INDEX(Properties!A$1:CB$87,Formula!J44,45))</f>
        <v>2.94</v>
      </c>
      <c r="EH44" s="48">
        <f>MIN(IF(INDEX(Properties!A$1:CB$87,Formula!B44,45)=0,10^6,INDEX(Properties!A$1:CB$87,Formula!B44,45)),IF(INDEX(Properties!A$1:CB$87,Formula!D44,45)=0,10^6,INDEX(Properties!A$1:CB$87,Formula!D44,45)),IF(INDEX(Properties!A$1:CB$87,Formula!F44,45)=0,10^6,INDEX(Properties!A$1:CB$87,Formula!F44,45)),IF(INDEX(Properties!A$1:CB$87,Formula!H44,45)=0,10^6,INDEX(Properties!A$1:CB$87,Formula!H44,45)),IF(INDEX(Properties!A$1:CB$87,Formula!J44,45)=0,10^6,INDEX(Properties!A$1:CB$87,Formula!J44,45)))</f>
        <v>0.47</v>
      </c>
      <c r="EI44" s="48">
        <f t="shared" si="22"/>
        <v>2.4699999999999998</v>
      </c>
      <c r="EJ44" s="66">
        <f>((Formula!C44)/(Formula!C44+Formula!E44+Formula!G44+Formula!I44+Formula!K44))*(INDEX(Properties!A$1:CB$87,Formula!B44,46))+((Formula!E44)/(Formula!C44+Formula!E44+Formula!G44+Formula!I44+Formula!K44))*(INDEX(Properties!A$1:CB$87,Formula!D44,46))+((Formula!G44)/(Formula!C44+Formula!E44+Formula!G44+Formula!I44+Formula!K44))*(INDEX(Properties!A$1:CB$87,Formula!F44,46))+((Formula!I44)/(Formula!C44+Formula!E44+Formula!G44+Formula!I44+Formula!K44))*(INDEX(Properties!A$1:CB$87,Formula!H44,46))+((Formula!K44)/(Formula!C44+Formula!E44+Formula!G44+Formula!I44+Formula!K44))*(INDEX(Properties!A$1:CB$87,Formula!J44,46))</f>
        <v>1.1099999999999999</v>
      </c>
      <c r="EK44" s="66">
        <f>Formula!C44*(INDEX(Properties!A$1:CB$87,Formula!B44,46))+Formula!E44*(INDEX(Properties!A$1:CB$87,Formula!D44,46))+Formula!G44*(INDEX(Properties!A$1:CB$87,Formula!F44,46))+Formula!I44*(INDEX(Properties!A$1:CB$87,Formula!H44,46))+Formula!K44*(INDEX(Properties!A$1:CB$87,Formula!J44,46))</f>
        <v>8.879999999999999</v>
      </c>
      <c r="EL44" s="66">
        <f>VARP(IF(INDEX(Properties!A$1:CB$87,Formula!B44,46)&lt;&gt;"",INDEX(Properties!A$1:CB$87,Formula!B44,46)),IF(INDEX(Properties!A$1:CB$87,Formula!D44,46)&lt;&gt;"",INDEX(Properties!A$1:CB$87,Formula!D44,46)),IF(INDEX(Properties!A$1:CB$87,Formula!F44,46)&lt;&gt;"",INDEX(Properties!A$1:CB$87,Formula!F44,46)),IF(INDEX(Properties!A$1:CB$87,Formula!H44,46)&lt;&gt;"",INDEX(Properties!A$1:CB$87,Formula!H44,46)),IF(INDEX(Properties!A$1:CB$87,Formula!J44,46)&lt;&gt;"",INDEX(Properties!A$1:CB$87,Formula!J44,46)))</f>
        <v>0.26164000000000004</v>
      </c>
      <c r="EM44" s="66">
        <f>MAX(INDEX(Properties!A$1:CB$87,Formula!B44,46),INDEX(Properties!A$1:CB$87,Formula!D44,46),INDEX(Properties!A$1:CB$87,Formula!F44,46),INDEX(Properties!A$1:CB$87,Formula!H44,46),INDEX(Properties!A$1:CB$87,Formula!J44,46))</f>
        <v>1.21</v>
      </c>
      <c r="EN44" s="66">
        <f>MIN(IF(INDEX(Properties!A$1:CB$87,Formula!B44,46)=0,10^6,INDEX(Properties!A$1:CB$87,Formula!B44,46)),IF(INDEX(Properties!A$1:CB$87,Formula!D44,46)=0,10^6,INDEX(Properties!A$1:CB$87,Formula!D44,46)),IF(INDEX(Properties!A$1:CB$87,Formula!F44,46)=0,10^6,INDEX(Properties!A$1:CB$87,Formula!F44,46)),IF(INDEX(Properties!A$1:CB$87,Formula!H44,46)=0,10^6,INDEX(Properties!A$1:CB$87,Formula!H44,46)),IF(INDEX(Properties!A$1:CB$87,Formula!J44,46)=0,10^6,INDEX(Properties!A$1:CB$87,Formula!J44,46)))</f>
        <v>0.75</v>
      </c>
      <c r="EO44" s="66">
        <f t="shared" si="23"/>
        <v>0.45999999999999996</v>
      </c>
      <c r="EP44" s="81">
        <f>((Formula!C44)/(Formula!C44+Formula!E44+Formula!G44+Formula!I44+Formula!K44))*(INDEX(Properties!A$1:CB$87,Formula!B44,52))+((Formula!E44)/(Formula!C44+Formula!E44+Formula!G44+Formula!I44+Formula!K44))*(INDEX(Properties!A$1:CB$87,Formula!D44,52))+((Formula!G44)/(Formula!C44+Formula!E44+Formula!G44+Formula!I44+Formula!K44))*(INDEX(Properties!A$1:CB$87,Formula!F44,52))+((Formula!I44)/(Formula!C44+Formula!E44+Formula!G44+Formula!I44+Formula!K44))*(INDEX(Properties!A$1:CB$87,Formula!H44,52))+((Formula!K44)/(Formula!C44+Formula!E44+Formula!G44+Formula!I44+Formula!K44))*(INDEX(Properties!A$1:CB$87,Formula!J44,52))</f>
        <v>7.9956250000000004</v>
      </c>
      <c r="EQ44" s="81">
        <f>Formula!C44*(INDEX(Properties!A$1:CB$87,Formula!B44,52))+Formula!E44*(INDEX(Properties!A$1:CB$87,Formula!D44,52))+Formula!G44*(INDEX(Properties!A$1:CB$87,Formula!F44,52))+Formula!I44*(INDEX(Properties!A$1:CB$87,Formula!H44,52))+Formula!K44*(INDEX(Properties!A$1:CB$87,Formula!J44,52))</f>
        <v>63.965000000000003</v>
      </c>
      <c r="ER44" s="81">
        <f>VARP(IF(INDEX(Properties!A$1:CB$87,Formula!B44,52)&lt;&gt;"",INDEX(Properties!A$1:CB$87,Formula!B44,52)),IF(INDEX(Properties!A$1:CB$87,Formula!D44,52)&lt;&gt;"",INDEX(Properties!A$1:CB$87,Formula!D44,52)),IF(INDEX(Properties!A$1:CB$87,Formula!F44,52)&lt;&gt;"",INDEX(Properties!A$1:CB$87,Formula!F44,52)),IF(INDEX(Properties!A$1:CB$87,Formula!H44,52)&lt;&gt;"",INDEX(Properties!A$1:CB$87,Formula!H44,52)),IF(INDEX(Properties!A$1:CB$87,Formula!J44,52)&lt;&gt;"",INDEX(Properties!A$1:CB$87,Formula!J44,52)))</f>
        <v>87.772703839999991</v>
      </c>
      <c r="ES44" s="81">
        <f>MAX(INDEX(Properties!A$1:CB$87,Formula!B44,52),INDEX(Properties!A$1:CB$87,Formula!D44,52),INDEX(Properties!A$1:CB$87,Formula!F44,52),INDEX(Properties!A$1:CB$87,Formula!H44,52),INDEX(Properties!A$1:CB$87,Formula!J44,52))</f>
        <v>22.7</v>
      </c>
      <c r="ET44" s="81">
        <f>MIN(IF(INDEX(Properties!A$1:CB$87,Formula!B44,52)=0,10^6,INDEX(Properties!A$1:CB$87,Formula!B44,52)),IF(INDEX(Properties!A$1:CB$87,Formula!D44,52)=0,10^6,INDEX(Properties!A$1:CB$87,Formula!D44,52)),IF(INDEX(Properties!A$1:CB$87,Formula!F44,52)=0,10^6,INDEX(Properties!A$1:CB$87,Formula!F44,52)),IF(INDEX(Properties!A$1:CB$87,Formula!H44,52)=0,10^6,INDEX(Properties!A$1:CB$87,Formula!H44,52)),IF(INDEX(Properties!A$1:CB$87,Formula!J44,52)=0,10^6,INDEX(Properties!A$1:CB$87,Formula!J44,52)))</f>
        <v>0.79300000000000004</v>
      </c>
      <c r="EU44" s="81">
        <f t="shared" si="24"/>
        <v>21.907</v>
      </c>
      <c r="EV44" s="39">
        <f>((Formula!C44)/(Formula!C44+Formula!E44+Formula!G44+Formula!I44+Formula!K44))*(INDEX(Properties!A$1:CB$87,Formula!B44,53))+((Formula!E44)/(Formula!C44+Formula!E44+Formula!G44+Formula!I44+Formula!K44))*(INDEX(Properties!A$1:CB$87,Formula!D44,53))+((Formula!G44)/(Formula!C44+Formula!E44+Formula!G44+Formula!I44+Formula!K44))*(INDEX(Properties!A$1:CB$87,Formula!F44,53))+((Formula!I44)/(Formula!C44+Formula!E44+Formula!G44+Formula!I44+Formula!K44))*(INDEX(Properties!A$1:CB$87,Formula!H44,53))+((Formula!K44)/(Formula!C44+Formula!E44+Formula!G44+Formula!I44+Formula!K44))*(INDEX(Properties!A$1:CB$87,Formula!J44,53))</f>
        <v>724.90000000000009</v>
      </c>
      <c r="EW44" s="39">
        <f>Formula!C44*(INDEX(Properties!A$1:CB$87,Formula!B44,53))+Formula!E44*(INDEX(Properties!A$1:CB$87,Formula!D44,53))+Formula!G44*(INDEX(Properties!A$1:CB$87,Formula!F44,53))+Formula!I44*(INDEX(Properties!A$1:CB$87,Formula!H44,53))+Formula!K44*(INDEX(Properties!A$1:CB$87,Formula!J44,53))</f>
        <v>5799.2000000000007</v>
      </c>
      <c r="EX44" s="39">
        <f>VARP(IF(INDEX(Properties!A$1:CB$87,Formula!B44,53)&lt;&gt;"",INDEX(Properties!A$1:CB$87,Formula!B44,53)),IF(INDEX(Properties!A$1:CB$87,Formula!D44,53)&lt;&gt;"",INDEX(Properties!A$1:CB$87,Formula!D44,53)),IF(INDEX(Properties!A$1:CB$87,Formula!F44,53)&lt;&gt;"",INDEX(Properties!A$1:CB$87,Formula!F44,53)),IF(INDEX(Properties!A$1:CB$87,Formula!H44,53)&lt;&gt;"",INDEX(Properties!A$1:CB$87,Formula!H44,53)),IF(INDEX(Properties!A$1:CB$87,Formula!J44,53)&lt;&gt;"",INDEX(Properties!A$1:CB$87,Formula!J44,53)))</f>
        <v>820482.88540000026</v>
      </c>
      <c r="EY44" s="39">
        <f>MAX(INDEX(Properties!A$1:CB$87,Formula!B44,53),INDEX(Properties!A$1:CB$87,Formula!D44,53),INDEX(Properties!A$1:CB$87,Formula!F44,53),INDEX(Properties!A$1:CB$87,Formula!H44,53),INDEX(Properties!A$1:CB$87,Formula!J44,53))</f>
        <v>1933.15</v>
      </c>
      <c r="EZ44" s="39">
        <f>MIN(IF(INDEX(Properties!A$1:CB$87,Formula!B44,53)=0,10^6,INDEX(Properties!A$1:CB$87,Formula!B44,53)),IF(INDEX(Properties!A$1:CB$87,Formula!D44,53)=0,10^6,INDEX(Properties!A$1:CB$87,Formula!D44,53)),IF(INDEX(Properties!A$1:CB$87,Formula!F44,53)=0,10^6,INDEX(Properties!A$1:CB$87,Formula!F44,53)),IF(INDEX(Properties!A$1:CB$87,Formula!H44,53)=0,10^6,INDEX(Properties!A$1:CB$87,Formula!H44,53)),IF(INDEX(Properties!A$1:CB$87,Formula!J44,53)=0,10^6,INDEX(Properties!A$1:CB$87,Formula!J44,53)))</f>
        <v>54.749999999999972</v>
      </c>
      <c r="FA44" s="39">
        <f t="shared" si="25"/>
        <v>1878.4</v>
      </c>
      <c r="FB44" s="54">
        <f>((Formula!C44)/(Formula!C44+Formula!E44+Formula!G44+Formula!I44+Formula!K44))*(INDEX(Properties!A$1:CB$87,Formula!B44,54))+((Formula!E44)/(Formula!C44+Formula!E44+Formula!G44+Formula!I44+Formula!K44))*(INDEX(Properties!A$1:CB$87,Formula!D44,54))+((Formula!G44)/(Formula!C44+Formula!E44+Formula!G44+Formula!I44+Formula!K44))*(INDEX(Properties!A$1:CB$87,Formula!F44,54))+((Formula!I44)/(Formula!C44+Formula!E44+Formula!G44+Formula!I44+Formula!K44))*(INDEX(Properties!A$1:CB$87,Formula!H44,54))+((Formula!K44)/(Formula!C44+Formula!E44+Formula!G44+Formula!I44+Formula!K44))*(INDEX(Properties!A$1:CB$87,Formula!J44,54))</f>
        <v>1403.9</v>
      </c>
      <c r="FC44" s="54">
        <f>Formula!C44*(INDEX(Properties!A$1:CB$87,Formula!B44,54))+Formula!E44*(INDEX(Properties!A$1:CB$87,Formula!D44,54))+Formula!G44*(INDEX(Properties!A$1:CB$87,Formula!F44,54))+Formula!I44*(INDEX(Properties!A$1:CB$87,Formula!H44,54))+Formula!K44*(INDEX(Properties!A$1:CB$87,Formula!J44,54))</f>
        <v>11231.2</v>
      </c>
      <c r="FD44" s="54">
        <f>VARP(IF(INDEX(Properties!A$1:CB$87,Formula!B44,54)&lt;&gt;"",INDEX(Properties!A$1:CB$87,Formula!B44,54)),IF(INDEX(Properties!A$1:CB$87,Formula!D44,54)&lt;&gt;"",INDEX(Properties!A$1:CB$87,Formula!D44,54)),IF(INDEX(Properties!A$1:CB$87,Formula!F44,54)&lt;&gt;"",INDEX(Properties!A$1:CB$87,Formula!F44,54)),IF(INDEX(Properties!A$1:CB$87,Formula!H44,54)&lt;&gt;"",INDEX(Properties!A$1:CB$87,Formula!H44,54)),IF(INDEX(Properties!A$1:CB$87,Formula!J44,54)&lt;&gt;"",INDEX(Properties!A$1:CB$87,Formula!J44,54)))</f>
        <v>3034630.2454000004</v>
      </c>
      <c r="FE44" s="54">
        <f>MAX(INDEX(Properties!A$1:CB$87,Formula!B44,54),INDEX(Properties!A$1:CB$87,Formula!D44,54),INDEX(Properties!A$1:CB$87,Formula!F44,54),INDEX(Properties!A$1:CB$87,Formula!H44,54),INDEX(Properties!A$1:CB$87,Formula!J44,54))</f>
        <v>3610.15</v>
      </c>
      <c r="FF44" s="54">
        <f>MIN(IF(INDEX(Properties!A$1:CB$87,Formula!B44,54)=0,10^6,INDEX(Properties!A$1:CB$87,Formula!B44,54)),IF(INDEX(Properties!A$1:CB$87,Formula!D44,54)=0,10^6,INDEX(Properties!A$1:CB$87,Formula!D44,54)),IF(INDEX(Properties!A$1:CB$87,Formula!F44,54)=0,10^6,INDEX(Properties!A$1:CB$87,Formula!F44,54)),IF(INDEX(Properties!A$1:CB$87,Formula!H44,54)=0,10^6,INDEX(Properties!A$1:CB$87,Formula!H44,54)),IF(INDEX(Properties!A$1:CB$87,Formula!J44,54)=0,10^6,INDEX(Properties!A$1:CB$87,Formula!J44,54)))</f>
        <v>90.149999999999977</v>
      </c>
      <c r="FG44" s="54">
        <f t="shared" si="26"/>
        <v>3520</v>
      </c>
      <c r="FH44" s="69">
        <f>((Formula!C44)/(Formula!C44+Formula!E44+Formula!G44+Formula!I44+Formula!K44))*(INDEX(Properties!A$1:CB$87,Formula!B44,55))+((Formula!E44)/(Formula!C44+Formula!E44+Formula!G44+Formula!I44+Formula!K44))*(INDEX(Properties!A$1:CB$87,Formula!D44,55))+((Formula!G44)/(Formula!C44+Formula!E44+Formula!G44+Formula!I44+Formula!K44))*(INDEX(Properties!A$1:CB$87,Formula!F44,55))+((Formula!I44)/(Formula!C44+Formula!E44+Formula!G44+Formula!I44+Formula!K44))*(INDEX(Properties!A$1:CB$87,Formula!H44,55))+((Formula!K44)/(Formula!C44+Formula!E44+Formula!G44+Formula!I44+Formula!K44))*(INDEX(Properties!A$1:CB$87,Formula!J44,55))</f>
        <v>1.68589375</v>
      </c>
      <c r="FI44" s="69">
        <f>Formula!C44*(INDEX(Properties!A$1:CB$87,Formula!B44,55))+Formula!E44*(INDEX(Properties!A$1:CB$87,Formula!D44,54))+Formula!G44*(INDEX(Properties!A$1:CB$87,Formula!F44,55))+Formula!I44*(INDEX(Properties!A$1:CB$87,Formula!H44,55))+Formula!K44*(INDEX(Properties!A$1:CB$87,Formula!J44,55))</f>
        <v>3569.0971500000001</v>
      </c>
      <c r="FJ44" s="69">
        <f>VARP(IF(INDEX(Properties!A$1:CB$87,Formula!B44,55)&lt;&gt;"",INDEX(Properties!A$1:CB$87,Formula!B44,55)),IF(INDEX(Properties!A$1:CB$87,Formula!D44,55)&lt;&gt;"",INDEX(Properties!A$1:CB$87,Formula!D44,55)),IF(INDEX(Properties!A$1:CB$87,Formula!F44,55)&lt;&gt;"",INDEX(Properties!A$1:CB$87,Formula!F44,55)),IF(INDEX(Properties!A$1:CB$87,Formula!H44,55)&lt;&gt;"",INDEX(Properties!A$1:CB$87,Formula!H44,55)),IF(INDEX(Properties!A$1:CB$87,Formula!J44,55)&lt;&gt;"",INDEX(Properties!A$1:CB$87,Formula!J44,55)))</f>
        <v>4.8702655831840023</v>
      </c>
      <c r="FK44" s="69">
        <f>MAX(INDEX(Properties!A$1:CB$87,Formula!B44,55),INDEX(Properties!A$1:CB$87,Formula!D44,55),INDEX(Properties!A$1:CB$87,Formula!F44,55),INDEX(Properties!A$1:CB$87,Formula!H44,55),INDEX(Properties!A$1:CB$87,Formula!J44,55))</f>
        <v>4.54</v>
      </c>
      <c r="FL44" s="69">
        <f>MIN(IF(INDEX(Properties!A$1:CB$87,Formula!B44,55)=0,10^6,INDEX(Properties!A$1:CB$87,Formula!B44,55)),IF(INDEX(Properties!A$1:CB$87,Formula!D44,55)=0,10^6,INDEX(Properties!A$1:CB$87,Formula!D44,55)),IF(INDEX(Properties!A$1:CB$87,Formula!F44,55)=0,10^6,INDEX(Properties!A$1:CB$87,Formula!F44,55)),IF(INDEX(Properties!A$1:CB$87,Formula!H44,55)=0,10^6,INDEX(Properties!A$1:CB$87,Formula!H44,55)),IF(INDEX(Properties!A$1:CB$87,Formula!J44,55)=0,10^6,INDEX(Properties!A$1:CB$87,Formula!J44,55)))</f>
        <v>1.4300000000000001E-3</v>
      </c>
      <c r="FM44" s="69">
        <f t="shared" si="27"/>
        <v>4.53857</v>
      </c>
      <c r="FN44" s="42">
        <f>((Formula!C44)/(Formula!C44+Formula!E44+Formula!G44+Formula!I44+Formula!K44))*(INDEX(Properties!A$1:CB$87,Formula!B44,56))+((Formula!E44)/(Formula!C44+Formula!E44+Formula!G44+Formula!I44+Formula!K44))*(INDEX(Properties!A$1:CB$87,Formula!D44,56))+((Formula!G44)/(Formula!C44+Formula!E44+Formula!G44+Formula!I44+Formula!K44))*(INDEX(Properties!A$1:CB$87,Formula!F44,56))+((Formula!I44)/(Formula!C44+Formula!E44+Formula!G44+Formula!I44+Formula!K44))*(INDEX(Properties!A$1:CB$87,Formula!H44,56))+((Formula!K44)/(Formula!C44+Formula!E44+Formula!G44+Formula!I44+Formula!K44))*(INDEX(Properties!A$1:CB$87,Formula!J44,56))</f>
        <v>0.71500000000000008</v>
      </c>
      <c r="FO44" s="42">
        <f>Formula!C44*(INDEX(Properties!A$1:CB$87,Formula!B44,56))+Formula!E44*(INDEX(Properties!A$1:CB$87,Formula!D44,56))+Formula!G44*(INDEX(Properties!A$1:CB$87,Formula!F44,56))+Formula!I44*(INDEX(Properties!A$1:CB$87,Formula!H44,56))+Formula!K44*(INDEX(Properties!A$1:CB$87,Formula!J44,56))</f>
        <v>5.7200000000000006</v>
      </c>
      <c r="FP44" s="42">
        <f>VARP(IF(INDEX(Properties!A$1:CB$87,Formula!B44,56)&lt;&gt;"",INDEX(Properties!A$1:CB$87,Formula!B44,56)),IF(INDEX(Properties!A$1:CB$87,Formula!D44,56)&lt;&gt;"",INDEX(Properties!A$1:CB$87,Formula!D44,56)),IF(INDEX(Properties!A$1:CB$87,Formula!F44,56)&lt;&gt;"",INDEX(Properties!A$1:CB$87,Formula!F44,56)),IF(INDEX(Properties!A$1:CB$87,Formula!H44,56)&lt;&gt;"",INDEX(Properties!A$1:CB$87,Formula!H44,56)),IF(INDEX(Properties!A$1:CB$87,Formula!J44,56)&lt;&gt;"",INDEX(Properties!A$1:CB$87,Formula!J44,56)))</f>
        <v>0.12025599999999999</v>
      </c>
      <c r="FQ44" s="42">
        <f>MAX(INDEX(Properties!A$1:CB$87,Formula!B44,56),INDEX(Properties!A$1:CB$87,Formula!D44,56),INDEX(Properties!A$1:CB$87,Formula!F44,56),INDEX(Properties!A$1:CB$87,Formula!H44,56),INDEX(Properties!A$1:CB$87,Formula!J44,56))</f>
        <v>0.92</v>
      </c>
      <c r="FR44" s="42">
        <f>MIN(IF(INDEX(Properties!A$1:CB$87,Formula!B44,56)=0,10^6,INDEX(Properties!A$1:CB$87,Formula!B44,56)),IF(INDEX(Properties!A$1:CB$87,Formula!D44,56)=0,10^6,INDEX(Properties!A$1:CB$87,Formula!D44,56)),IF(INDEX(Properties!A$1:CB$87,Formula!F44,56)=0,10^6,INDEX(Properties!A$1:CB$87,Formula!F44,56)),IF(INDEX(Properties!A$1:CB$87,Formula!H44,56)=0,10^6,INDEX(Properties!A$1:CB$87,Formula!H44,56)),IF(INDEX(Properties!A$1:CB$87,Formula!J44,56)=0,10^6,INDEX(Properties!A$1:CB$87,Formula!J44,56)))</f>
        <v>0.3</v>
      </c>
      <c r="FS44" s="42">
        <f t="shared" si="28"/>
        <v>0.62000000000000011</v>
      </c>
      <c r="FT44" s="60">
        <f>((Formula!C44)/(Formula!C44+Formula!E44+Formula!G44+Formula!I44+Formula!K44))*(INDEX(Properties!A$1:CB$87,Formula!B44,57))+((Formula!E44)/(Formula!C44+Formula!E44+Formula!G44+Formula!I44+Formula!K44))*(INDEX(Properties!A$1:CB$87,Formula!D44,57))+((Formula!G44)/(Formula!C44+Formula!E44+Formula!G44+Formula!I44+Formula!K44))*(INDEX(Properties!A$1:CB$87,Formula!F44,57))+((Formula!I44)/(Formula!C44+Formula!E44+Formula!G44+Formula!I44+Formula!K44))*(INDEX(Properties!A$1:CB$87,Formula!H44,57))+((Formula!K44)/(Formula!C44+Formula!E44+Formula!G44+Formula!I44+Formula!K44))*(INDEX(Properties!A$1:CB$87,Formula!J44,57))</f>
        <v>4.9203687499999997</v>
      </c>
      <c r="FU44" s="60">
        <f>Formula!C44*(INDEX(Properties!A$1:CB$87,Formula!B44,57))+Formula!E44*(INDEX(Properties!A$1:CB$87,Formula!D44,57))+Formula!G44*(INDEX(Properties!A$1:CB$87,Formula!F44,57))+Formula!I44*(INDEX(Properties!A$1:CB$87,Formula!H44,57))+Formula!K44*(INDEX(Properties!A$1:CB$87,Formula!J44,57))</f>
        <v>39.362949999999998</v>
      </c>
      <c r="FV44" s="60">
        <f>VARP(IF(INDEX(Properties!A$1:CB$87,Formula!B44,57)&lt;&gt;"",INDEX(Properties!A$1:CB$87,Formula!B44,57)),IF(INDEX(Properties!A$1:CB$87,Formula!D44,57)&lt;&gt;"",INDEX(Properties!A$1:CB$87,Formula!D44,57)),IF(INDEX(Properties!A$1:CB$87,Formula!F44,57)&lt;&gt;"",INDEX(Properties!A$1:CB$87,Formula!F44,57)),IF(INDEX(Properties!A$1:CB$87,Formula!H44,57)&lt;&gt;"",INDEX(Properties!A$1:CB$87,Formula!H44,57)),IF(INDEX(Properties!A$1:CB$87,Formula!J44,57)&lt;&gt;"",INDEX(Properties!A$1:CB$87,Formula!J44,57)))</f>
        <v>44.425404089296009</v>
      </c>
      <c r="FW44" s="60">
        <f>MAX(INDEX(Properties!A$1:CB$87,Formula!B44,57),INDEX(Properties!A$1:CB$87,Formula!D44,57),INDEX(Properties!A$1:CB$87,Formula!F44,57),INDEX(Properties!A$1:CB$87,Formula!H44,57),INDEX(Properties!A$1:CB$87,Formula!J44,57))</f>
        <v>15.45</v>
      </c>
      <c r="FX44" s="60">
        <f>MIN(IF(INDEX(Properties!A$1:CB$87,Formula!B44,57)=0,10^6,INDEX(Properties!A$1:CB$87,Formula!B44,57)),IF(INDEX(Properties!A$1:CB$87,Formula!D44,57)=0,10^6,INDEX(Properties!A$1:CB$87,Formula!D44,57)),IF(INDEX(Properties!A$1:CB$87,Formula!F44,57)=0,10^6,INDEX(Properties!A$1:CB$87,Formula!F44,57)),IF(INDEX(Properties!A$1:CB$87,Formula!H44,57)=0,10^6,INDEX(Properties!A$1:CB$87,Formula!H44,57)),IF(INDEX(Properties!A$1:CB$87,Formula!J44,57)=0,10^6,INDEX(Properties!A$1:CB$87,Formula!J44,57)))</f>
        <v>0.22259000000000001</v>
      </c>
      <c r="FY44" s="60">
        <f t="shared" si="29"/>
        <v>15.227409999999999</v>
      </c>
      <c r="FZ44" s="72">
        <f>((Formula!C44)/(Formula!C44+Formula!E44+Formula!G44+Formula!I44+Formula!K44))*(INDEX(Properties!A$1:CB$87,Formula!B44,60))+((Formula!E44)/(Formula!C44+Formula!E44+Formula!G44+Formula!I44+Formula!K44))*(INDEX(Properties!A$1:CB$87,Formula!D44,60))+((Formula!G44)/(Formula!C44+Formula!E44+Formula!G44+Formula!I44+Formula!K44))*(INDEX(Properties!A$1:CB$87,Formula!F44,60))+((Formula!I44)/(Formula!C44+Formula!E44+Formula!G44+Formula!I44+Formula!K44))*(INDEX(Properties!A$1:CB$87,Formula!H44,60))+((Formula!K44)/(Formula!C44+Formula!E44+Formula!G44+Formula!I44+Formula!K44))*(INDEX(Properties!A$1:CB$87,Formula!J44,60))</f>
        <v>7.0542124999999993</v>
      </c>
      <c r="GA44" s="72">
        <f>Formula!C44*(INDEX(Properties!A$1:CB$87,Formula!B44,60))+Formula!E44*(INDEX(Properties!A$1:CB$87,Formula!D44,60))+Formula!G44*(INDEX(Properties!A$1:CB$87,Formula!F44,60))+Formula!I44*(INDEX(Properties!A$1:CB$87,Formula!H44,60))+Formula!K44*(INDEX(Properties!A$1:CB$87,Formula!J44,60))</f>
        <v>56.433699999999995</v>
      </c>
      <c r="GB44" s="72">
        <f>VARP(IF(INDEX(Properties!A$1:CB$87,Formula!B44,60)&lt;&gt;"",INDEX(Properties!A$1:CB$87,Formula!B44,60)),IF(INDEX(Properties!A$1:CB$87,Formula!D44,60)&lt;&gt;"",INDEX(Properties!A$1:CB$87,Formula!D44,60)),IF(INDEX(Properties!A$1:CB$87,Formula!F44,60)&lt;&gt;"",INDEX(Properties!A$1:CB$87,Formula!F44,60)),IF(INDEX(Properties!A$1:CB$87,Formula!H44,60)&lt;&gt;"",INDEX(Properties!A$1:CB$87,Formula!H44,60)),IF(INDEX(Properties!A$1:CB$87,Formula!J44,60)&lt;&gt;"",INDEX(Properties!A$1:CB$87,Formula!J44,60)))</f>
        <v>93.854071684416013</v>
      </c>
      <c r="GC44" s="72">
        <f>MAX(INDEX(Properties!A$1:CB$87,Formula!B44,60),INDEX(Properties!A$1:CB$87,Formula!D44,60),INDEX(Properties!A$1:CB$87,Formula!F44,60),INDEX(Properties!A$1:CB$87,Formula!H44,60),INDEX(Properties!A$1:CB$87,Formula!J44,60))</f>
        <v>21.9</v>
      </c>
      <c r="GD44" s="72">
        <f>MIN(IF(INDEX(Properties!A$1:CB$87,Formula!B44,60)=0,10^6,INDEX(Properties!A$1:CB$87,Formula!B44,60)),IF(INDEX(Properties!A$1:CB$87,Formula!D44,60)=0,10^6,INDEX(Properties!A$1:CB$87,Formula!D44,60)),IF(INDEX(Properties!A$1:CB$87,Formula!F44,60)=0,10^6,INDEX(Properties!A$1:CB$87,Formula!F44,60)),IF(INDEX(Properties!A$1:CB$87,Formula!H44,60)=0,10^6,INDEX(Properties!A$1:CB$87,Formula!H44,60)),IF(INDEX(Properties!A$1:CB$87,Formula!J44,60)=0,10^6,INDEX(Properties!A$1:CB$87,Formula!J44,60)))</f>
        <v>2.674E-2</v>
      </c>
      <c r="GE44" s="72">
        <f t="shared" si="30"/>
        <v>21.873259999999998</v>
      </c>
      <c r="GF44" s="51">
        <f>((Formula!C44)/(Formula!C44+Formula!E44+Formula!G44+Formula!I44+Formula!K44))*(INDEX(Properties!A$1:CB$87,Formula!B44,62))+((Formula!E44)/(Formula!C44+Formula!E44+Formula!G44+Formula!I44+Formula!K44))*(INDEX(Properties!A$1:CB$87,Formula!D44,62))+((Formula!G44)/(Formula!C44+Formula!E44+Formula!G44+Formula!I44+Formula!K44))*(INDEX(Properties!A$1:CB$87,Formula!F44,62))+((Formula!I44)/(Formula!C44+Formula!E44+Formula!G44+Formula!I44+Formula!K44))*(INDEX(Properties!A$1:CB$87,Formula!H44,62))+((Formula!K44)/(Formula!C44+Formula!E44+Formula!G44+Formula!I44+Formula!K44))*(INDEX(Properties!A$1:CB$87,Formula!J44,62))</f>
        <v>3.3362500000000002</v>
      </c>
      <c r="GG44" s="51">
        <f>Formula!C44*(INDEX(Properties!A$1:CB$87,Formula!B44,62))+Formula!E44*(INDEX(Properties!A$1:CB$87,Formula!D44,62))+Formula!G44*(INDEX(Properties!A$1:CB$87,Formula!F44,62))+Formula!I44*(INDEX(Properties!A$1:CB$87,Formula!H44,62))+Formula!K44*(INDEX(Properties!A$1:CB$87,Formula!J44,62))</f>
        <v>26.69</v>
      </c>
      <c r="GH44" s="51">
        <f>VARP(IF(INDEX(Properties!A$1:CB$87,Formula!B44,62)&lt;&gt;"",INDEX(Properties!A$1:CB$87,Formula!B44,62)),IF(INDEX(Properties!A$1:CB$87,Formula!D44,62)&lt;&gt;"",INDEX(Properties!A$1:CB$87,Formula!D44,62)),IF(INDEX(Properties!A$1:CB$87,Formula!F44,62)&lt;&gt;"",INDEX(Properties!A$1:CB$87,Formula!F44,62)),IF(INDEX(Properties!A$1:CB$87,Formula!H44,62)&lt;&gt;"",INDEX(Properties!A$1:CB$87,Formula!H44,62)),IF(INDEX(Properties!A$1:CB$87,Formula!J44,62)&lt;&gt;"",INDEX(Properties!A$1:CB$87,Formula!J44,62)))</f>
        <v>4.2893360000000005</v>
      </c>
      <c r="GI44" s="51">
        <f>MAX(INDEX(Properties!A$1:CB$87,Formula!B44,62),INDEX(Properties!A$1:CB$87,Formula!D44,62),INDEX(Properties!A$1:CB$87,Formula!F44,62),INDEX(Properties!A$1:CB$87,Formula!H44,62),INDEX(Properties!A$1:CB$87,Formula!J44,62))</f>
        <v>4.8499999999999996</v>
      </c>
      <c r="GJ44" s="51">
        <f>MIN(IF(INDEX(Properties!A$1:CB$87,Formula!B44,62)=0,10^6,INDEX(Properties!A$1:CB$87,Formula!B44,62)),IF(INDEX(Properties!A$1:CB$87,Formula!D44,62)=0,10^6,INDEX(Properties!A$1:CB$87,Formula!D44,62)),IF(INDEX(Properties!A$1:CB$87,Formula!F44,62)=0,10^6,INDEX(Properties!A$1:CB$87,Formula!F44,62)),IF(INDEX(Properties!A$1:CB$87,Formula!H44,62)=0,10^6,INDEX(Properties!A$1:CB$87,Formula!H44,62)),IF(INDEX(Properties!A$1:CB$87,Formula!J44,62)=0,10^6,INDEX(Properties!A$1:CB$87,Formula!J44,62)))</f>
        <v>2.62</v>
      </c>
      <c r="GK44" s="51">
        <f t="shared" si="31"/>
        <v>2.2299999999999995</v>
      </c>
      <c r="GL44" s="51">
        <f>Formula!P44</f>
        <v>62</v>
      </c>
      <c r="GM44" s="57">
        <f>Formula!O44</f>
        <v>3</v>
      </c>
      <c r="GN44" s="51">
        <f>Formula!N44</f>
        <v>0.1</v>
      </c>
    </row>
    <row r="45" spans="1:196" x14ac:dyDescent="0.3">
      <c r="A45" s="84" t="str">
        <f>Formula!A45</f>
        <v>SrLaZnNbO6</v>
      </c>
      <c r="B45" s="89">
        <f>((Formula!C45)/(Formula!C45+Formula!E45+Formula!G45+Formula!I45+Formula!K45))*(INDEX(Properties!A$1:CB$87,Formula!B45,3))+((Formula!E45)/(Formula!C45+Formula!E45+Formula!G45+Formula!I45+Formula!K45))*(INDEX(Properties!A$1:CB$87,Formula!D45,3))+((Formula!G45)/(Formula!C45+Formula!E45+Formula!G45+Formula!I45+Formula!K45))*(INDEX(Properties!A$1:CB$87,Formula!F45,3))+((Formula!I45)/(Formula!C45+Formula!E45+Formula!G45+Formula!I45+Formula!K45))*(INDEX(Properties!A$1:CB$87,Formula!H45,3))+((Formula!K45)/(Formula!C45+Formula!E45+Formula!G45+Formula!I45+Formula!K45))*(INDEX(Properties!A$1:CB$87,Formula!J45,3))</f>
        <v>48.080827999999997</v>
      </c>
      <c r="C45" s="85">
        <f>Formula!C45*(INDEX(Properties!A$1:CB$87,Formula!B45,3))+Formula!E45*(INDEX(Properties!A$1:CB$87,Formula!D45,3))+Formula!G45*(INDEX(Properties!A$1:CB$87,Formula!F45,3))+Formula!I45*(INDEX(Properties!A$1:CB$87,Formula!H45,3))+Formula!K45*(INDEX(Properties!A$1:CB$87,Formula!J45,3))</f>
        <v>480.80827999999997</v>
      </c>
      <c r="D45" s="85">
        <f>VARP(IF(INDEX(Properties!A$1:CB$87,Formula!B45,3)&lt;&gt;"",INDEX(Properties!A$1:CB$87,Formula!B45,3)),IF(INDEX(Properties!A$1:CB$87,Formula!D45,3)&lt;&gt;"",INDEX(Properties!A$1:CB$87,Formula!D45,3)),IF(INDEX(Properties!A$1:CB$87,Formula!F45,3)&lt;&gt;"",INDEX(Properties!A$1:CB$87,Formula!F45,3)),IF(INDEX(Properties!A$1:CB$87,Formula!H45,3)&lt;&gt;"",INDEX(Properties!A$1:CB$87,Formula!H45,3)),IF(INDEX(Properties!A$1:CB$87,Formula!J45,3)&lt;&gt;"",INDEX(Properties!A$1:CB$87,Formula!J45,3)))</f>
        <v>1600.837308053344</v>
      </c>
      <c r="E45" s="85">
        <f>MAX(INDEX(Properties!A$1:CB$87,Formula!B45,3),INDEX(Properties!A$1:CB$87,Formula!D45,3),INDEX(Properties!A$1:CB$87,Formula!F45,3),INDEX(Properties!A$1:CB$87,Formula!H45,3),INDEX(Properties!A$1:CB$87,Formula!J45,3))</f>
        <v>138.90549999999999</v>
      </c>
      <c r="F45" s="85">
        <f>MIN(IF(INDEX(Properties!A$1:CB$87,Formula!B45,3)=0,10^6,INDEX(Properties!A$1:CB$87,Formula!B45,3)),IF(INDEX(Properties!A$1:CB$87,Formula!D45,3)=0,10^6,INDEX(Properties!A$1:CB$87,Formula!D45,3)),IF(INDEX(Properties!A$1:CB$87,Formula!F45,3)=0,10^6,INDEX(Properties!A$1:CB$87,Formula!F45,3)),IF(INDEX(Properties!A$1:CB$87,Formula!H45,3)=0,10^6,INDEX(Properties!A$1:CB$87,Formula!H45,3)),IF(INDEX(Properties!A$1:CB$87,Formula!J45,3)=0,10^6,INDEX(Properties!A$1:CB$87,Formula!J45,3)))</f>
        <v>15.9994</v>
      </c>
      <c r="G45" s="85">
        <f t="shared" si="0"/>
        <v>122.9061</v>
      </c>
      <c r="H45" s="87">
        <f>((Formula!C45)/(Formula!C45+Formula!E45+Formula!G45+Formula!I45+Formula!K45))*(INDEX(Properties!A$1:CB$87,Formula!B45,4))+((Formula!E45)/(Formula!C45+Formula!E45+Formula!G45+Formula!I45+Formula!K45))*(INDEX(Properties!A$1:CB$87,Formula!D45,4))+((Formula!G45)/(Formula!C45+Formula!E45+Formula!G45+Formula!I45+Formula!K45))*(INDEX(Properties!A$1:CB$87,Formula!F45,4))+((Formula!I45)/(Formula!C45+Formula!E45+Formula!G45+Formula!I45+Formula!K45))*(INDEX(Properties!A$1:CB$87,Formula!H45,4))+((Formula!K45)/(Formula!C45+Formula!E45+Formula!G45+Formula!I45+Formula!K45))*(INDEX(Properties!A$1:CB$87,Formula!J45,4))</f>
        <v>21.400000000000002</v>
      </c>
      <c r="I45" s="87">
        <f>Formula!C45*(INDEX(Properties!A$1:CB$87,Formula!B45,4))+Formula!E45*(INDEX(Properties!A$1:CB$87,Formula!D45,4))+Formula!G45*(INDEX(Properties!A$1:CB$87,Formula!F45,4))+Formula!I45*(INDEX(Properties!A$1:CB$87,Formula!H45,4))+Formula!K45*(INDEX(Properties!A$1:CB$87,Formula!J45,4))</f>
        <v>214</v>
      </c>
      <c r="J45" s="87">
        <f>VARP(IF(INDEX(Properties!A$1:CB$87,Formula!B45,4)&lt;&gt;"",INDEX(Properties!A$1:CB$87,Formula!B45,4)),IF(INDEX(Properties!A$1:CB$87,Formula!D45,4)&lt;&gt;"",INDEX(Properties!A$1:CB$87,Formula!D45,4)),IF(INDEX(Properties!A$1:CB$87,Formula!F45,4)&lt;&gt;"",INDEX(Properties!A$1:CB$87,Formula!F45,4)),IF(INDEX(Properties!A$1:CB$87,Formula!H45,4)&lt;&gt;"",INDEX(Properties!A$1:CB$87,Formula!H45,4)),IF(INDEX(Properties!A$1:CB$87,Formula!J45,4)&lt;&gt;"",INDEX(Properties!A$1:CB$87,Formula!J45,4)))</f>
        <v>256.56</v>
      </c>
      <c r="K45" s="87">
        <f>MAX(INDEX(Properties!A$1:CB$87,Formula!B45,4),INDEX(Properties!A$1:CB$87,Formula!D45,4),INDEX(Properties!A$1:CB$87,Formula!F45,4),INDEX(Properties!A$1:CB$87,Formula!H45,4),INDEX(Properties!A$1:CB$87,Formula!J45,4))</f>
        <v>57</v>
      </c>
      <c r="L45" s="87">
        <f>MIN(IF(INDEX(Properties!A$1:CB$87,Formula!B45,4)=0,10^6,INDEX(Properties!A$1:CB$87,Formula!B45,4)),IF(INDEX(Properties!A$1:CB$87,Formula!D45,4)=0,10^6,INDEX(Properties!A$1:CB$87,Formula!D45,4)),IF(INDEX(Properties!A$1:CB$87,Formula!F45,4)=0,10^6,INDEX(Properties!A$1:CB$87,Formula!F45,4)),IF(INDEX(Properties!A$1:CB$87,Formula!H45,4)=0,10^6,INDEX(Properties!A$1:CB$87,Formula!H45,4)),IF(INDEX(Properties!A$1:CB$87,Formula!J45,4)=0,10^6,INDEX(Properties!A$1:CB$87,Formula!J45,4)))</f>
        <v>8</v>
      </c>
      <c r="M45" s="87">
        <f t="shared" si="1"/>
        <v>49</v>
      </c>
      <c r="N45" s="89">
        <f>((Formula!C45)/(Formula!C45+Formula!E45+Formula!G45+Formula!I45+Formula!K45))*(INDEX(Properties!A$1:CB$87,Formula!B45,5))+((Formula!E45)/(Formula!C45+Formula!E45+Formula!G45+Formula!I45+Formula!K45))*(INDEX(Properties!A$1:CB$87,Formula!D45,5))+((Formula!G45)/(Formula!C45+Formula!E45+Formula!G45+Formula!I45+Formula!K45))*(INDEX(Properties!A$1:CB$87,Formula!F45,5))+((Formula!I45)/(Formula!C45+Formula!E45+Formula!G45+Formula!I45+Formula!K45))*(INDEX(Properties!A$1:CB$87,Formula!H45,5))+((Formula!K45)/(Formula!C45+Formula!E45+Formula!G45+Formula!I45+Formula!K45))*(INDEX(Properties!A$1:CB$87,Formula!J45,5))</f>
        <v>3.2</v>
      </c>
      <c r="O45" s="89">
        <f>Formula!C45*(INDEX(Properties!A$1:CB$87,Formula!B45,5))+Formula!E45*(INDEX(Properties!A$1:CB$87,Formula!D45,5))+Formula!G45*(INDEX(Properties!A$1:CB$87,Formula!F45,5))+Formula!I45*(INDEX(Properties!A$1:CB$87,Formula!H45,5))+Formula!K45*(INDEX(Properties!A$1:CB$87,Formula!J45,5))</f>
        <v>32</v>
      </c>
      <c r="P45" s="89">
        <f>VARP(IF(INDEX(Properties!A$1:CB$87,Formula!B45,5)&lt;&gt;"",INDEX(Properties!A$1:CB$87,Formula!B45,5)),IF(INDEX(Properties!A$1:CB$87,Formula!D45,5)&lt;&gt;"",INDEX(Properties!A$1:CB$87,Formula!D45,5)),IF(INDEX(Properties!A$1:CB$87,Formula!F45,5)&lt;&gt;"",INDEX(Properties!A$1:CB$87,Formula!F45,5)),IF(INDEX(Properties!A$1:CB$87,Formula!H45,5)&lt;&gt;"",INDEX(Properties!A$1:CB$87,Formula!H45,5)),IF(INDEX(Properties!A$1:CB$87,Formula!J45,5)&lt;&gt;"",INDEX(Properties!A$1:CB$87,Formula!J45,5)))</f>
        <v>1.84</v>
      </c>
      <c r="Q45" s="89">
        <f>MAX(INDEX(Properties!A$1:CB$87,Formula!B45,5),INDEX(Properties!A$1:CB$87,Formula!D45,5),INDEX(Properties!A$1:CB$87,Formula!F45,5),INDEX(Properties!A$1:CB$87,Formula!H45,5),INDEX(Properties!A$1:CB$87,Formula!J45,5))</f>
        <v>6</v>
      </c>
      <c r="R45" s="89">
        <f>MIN(IF(INDEX(Properties!A$1:CB$87,Formula!B45,5)=0,10^6,INDEX(Properties!A$1:CB$87,Formula!B45,5)),IF(INDEX(Properties!A$1:CB$87,Formula!D45,5)=0,10^6,INDEX(Properties!A$1:CB$87,Formula!D45,5)),IF(INDEX(Properties!A$1:CB$87,Formula!F45,5)=0,10^6,INDEX(Properties!A$1:CB$87,Formula!F45,5)),IF(INDEX(Properties!A$1:CB$87,Formula!H45,5)=0,10^6,INDEX(Properties!A$1:CB$87,Formula!H45,5)),IF(INDEX(Properties!A$1:CB$87,Formula!J45,5)=0,10^6,INDEX(Properties!A$1:CB$87,Formula!J45,5)))</f>
        <v>2</v>
      </c>
      <c r="S45" s="89">
        <f t="shared" si="2"/>
        <v>4</v>
      </c>
      <c r="T45" s="60">
        <f>((Formula!C45)/(Formula!C45+Formula!E45+Formula!G45+Formula!I45+Formula!K45))*(INDEX(Properties!A$1:CB$87,Formula!B45,6))+((Formula!E45)/(Formula!C45+Formula!E45+Formula!G45+Formula!I45+Formula!K45))*(INDEX(Properties!A$1:CB$87,Formula!D45,6))+((Formula!G45)/(Formula!C45+Formula!E45+Formula!G45+Formula!I45+Formula!K45))*(INDEX(Properties!A$1:CB$87,Formula!F45,6))+((Formula!I45)/(Formula!C45+Formula!E45+Formula!G45+Formula!I45+Formula!K45))*(INDEX(Properties!A$1:CB$87,Formula!H45,6))+((Formula!K45)/(Formula!C45+Formula!E45+Formula!G45+Formula!I45+Formula!K45))*(INDEX(Properties!A$1:CB$87,Formula!J45,6))</f>
        <v>11.8</v>
      </c>
      <c r="U45" s="60">
        <f>Formula!C45*(INDEX(Properties!A$1:CB$87,Formula!B45,6))+Formula!E45*(INDEX(Properties!A$1:CB$87,Formula!D45,6))+Formula!G45*(INDEX(Properties!A$1:CB$87,Formula!F45,6))+Formula!I45*(INDEX(Properties!A$1:CB$87,Formula!H45,6))+Formula!K45*(INDEX(Properties!A$1:CB$87,Formula!J45,6))</f>
        <v>118</v>
      </c>
      <c r="V45" s="89">
        <f>VARP(IF(INDEX(Properties!A$1:CB$87,Formula!B45,6)&lt;&gt;"",INDEX(Properties!A$1:CB$87,Formula!B45,6)),IF(INDEX(Properties!A$1:CB$87,Formula!D45,6)&lt;&gt;"",INDEX(Properties!A$1:CB$87,Formula!D45,6)),IF(INDEX(Properties!A$1:CB$87,Formula!F45,6)&lt;&gt;"",INDEX(Properties!A$1:CB$87,Formula!F45,6)),IF(INDEX(Properties!A$1:CB$87,Formula!H45,6)&lt;&gt;"",INDEX(Properties!A$1:CB$87,Formula!H45,6)),IF(INDEX(Properties!A$1:CB$87,Formula!J45,6)&lt;&gt;"",INDEX(Properties!A$1:CB$87,Formula!J45,6)))</f>
        <v>29.84</v>
      </c>
      <c r="W45" s="60">
        <f>MAX(INDEX(Properties!A$1:CB$87,Formula!B45,6),INDEX(Properties!A$1:CB$87,Formula!D45,6),INDEX(Properties!A$1:CB$87,Formula!F45,6),INDEX(Properties!A$1:CB$87,Formula!H45,4),INDEX(Properties!A$1:CB$87,Formula!J45,6))</f>
        <v>41</v>
      </c>
      <c r="X45" s="60">
        <f>MIN(IF(INDEX(Properties!A$1:CB$87,Formula!B45,6)=0,10^6,INDEX(Properties!A$1:CB$87,Formula!B45,6)),IF(INDEX(Properties!A$1:CB$87,Formula!D45,6)=0,10^6,INDEX(Properties!A$1:CB$87,Formula!D45,6)),IF(INDEX(Properties!A$1:CB$87,Formula!F45,6)=0,10^6,INDEX(Properties!A$1:CB$87,Formula!F45,6)),IF(INDEX(Properties!A$1:CB$87,Formula!H45,6)=0,10^6,INDEX(Properties!A$1:CB$87,Formula!H45,6)),IF(INDEX(Properties!A$1:CB$87,Formula!J45,6)=0,10^6,INDEX(Properties!A$1:CB$87,Formula!J45,6)))</f>
        <v>2</v>
      </c>
      <c r="Y45" s="60">
        <f t="shared" si="3"/>
        <v>39</v>
      </c>
      <c r="Z45" s="72">
        <f>((Formula!C45)/(Formula!C45+Formula!E45+Formula!G45+Formula!I45+Formula!K45))*(INDEX(Properties!A$1:CB$87,Formula!B45,9))+((Formula!E45)/(Formula!C45+Formula!E45+Formula!G45+Formula!I45+Formula!K45))*(INDEX(Properties!A$1:CB$87,Formula!D45,9))+((Formula!G45)/(Formula!C45+Formula!E45+Formula!G45+Formula!I45+Formula!K45))*(INDEX(Properties!A$1:CB$87,Formula!F45,9))+((Formula!I45)/(Formula!C45+Formula!E45+Formula!G45+Formula!I45+Formula!K45))*(INDEX(Properties!A$1:CB$87,Formula!H45,9))+((Formula!K45)/(Formula!C45+Formula!E45+Formula!G45+Formula!I45+Formula!K45))*(INDEX(Properties!A$1:CB$87,Formula!J45,9))</f>
        <v>65.899999999999991</v>
      </c>
      <c r="AA45" s="72">
        <f>Formula!C45*(INDEX(Properties!A$1:CB$87,Formula!B45,9))+Formula!E45*(INDEX(Properties!A$1:CB$87,Formula!D45,9))+Formula!G45*(INDEX(Properties!A$1:CB$87,Formula!F45,9))+Formula!I45*(INDEX(Properties!A$1:CB$87,Formula!H45,9))+Formula!K45*(INDEX(Properties!A$1:CB$87,Formula!J45,9))</f>
        <v>659</v>
      </c>
      <c r="AB45" s="72">
        <f>VARP(IF(INDEX(Properties!A$1:CB$87,Formula!B45,9)&lt;&gt;"",INDEX(Properties!A$1:CB$87,Formula!B45,9)),IF(INDEX(Properties!A$1:CB$87,Formula!D45,9)&lt;&gt;"",INDEX(Properties!A$1:CB$87,Formula!D45,9)),IF(INDEX(Properties!A$1:CB$87,Formula!F45,9)&lt;&gt;"",INDEX(Properties!A$1:CB$87,Formula!F45,9)),IF(INDEX(Properties!A$1:CB$87,Formula!H45,9)&lt;&gt;"",INDEX(Properties!A$1:CB$87,Formula!H45,9)),IF(INDEX(Properties!A$1:CB$87,Formula!J45,9)&lt;&gt;"",INDEX(Properties!A$1:CB$87,Formula!J45,9)))</f>
        <v>947.36</v>
      </c>
      <c r="AC45" s="72">
        <f>MAX(INDEX(Properties!A$1:CB$87,Formula!B45,9),INDEX(Properties!A$1:CB$87,Formula!D45,9),INDEX(Properties!A$1:CB$87,Formula!F45,9),INDEX(Properties!A$1:CB$87,Formula!H45,9),INDEX(Properties!A$1:CB$87,Formula!J45,9))</f>
        <v>87</v>
      </c>
      <c r="AD45" s="72">
        <f>MIN(IF(INDEX(Properties!A$1:CB$87,Formula!B45,9)=0,10^6,INDEX(Properties!A$1:CB$87,Formula!B45,9)),IF(INDEX(Properties!A$1:CB$87,Formula!D45,9)=0,10^6,INDEX(Properties!A$1:CB$87,Formula!D45,9)),IF(INDEX(Properties!A$1:CB$87,Formula!F45,9)=0,10^6,INDEX(Properties!A$1:CB$87,Formula!F45,9)),IF(INDEX(Properties!A$1:CB$87,Formula!H45,9)=0,10^6,INDEX(Properties!A$1:CB$87,Formula!H45,9)),IF(INDEX(Properties!A$1:CB$87,Formula!J45,9)=0,10^6,INDEX(Properties!A$1:CB$87,Formula!J45,9)))</f>
        <v>8</v>
      </c>
      <c r="AE45" s="72">
        <f t="shared" si="4"/>
        <v>79</v>
      </c>
      <c r="AF45" s="51">
        <f>((Formula!C45)/(Formula!C45+Formula!E45+Formula!G45+Formula!I45+Formula!K45))*(INDEX(Properties!A$1:CB$87,Formula!B45,10))+((Formula!E45)/(Formula!C45+Formula!E45+Formula!G45+Formula!I45+Formula!K45))*(INDEX(Properties!A$1:CB$87,Formula!D45,10))+((Formula!G45)/(Formula!C45+Formula!E45+Formula!G45+Formula!I45+Formula!K45))*(INDEX(Properties!A$1:CB$87,Formula!F45,10))+((Formula!I45)/(Formula!C45+Formula!E45+Formula!G45+Formula!I45+Formula!K45))*(INDEX(Properties!A$1:CB$87,Formula!H45,10))+((Formula!K45)/(Formula!C45+Formula!E45+Formula!G45+Formula!I45+Formula!K45))*(INDEX(Properties!A$1:CB$87,Formula!J45,10))</f>
        <v>5.5</v>
      </c>
      <c r="AG45" s="51">
        <f>Formula!C45*(INDEX(Properties!A$1:CB$87,Formula!B45,10))+Formula!E45*(INDEX(Properties!A$1:CB$87,Formula!D45,10))+Formula!G45*(INDEX(Properties!A$1:CB$87,Formula!F45,10))+Formula!I45*(INDEX(Properties!A$1:CB$87,Formula!H45,10))+Formula!K45*(INDEX(Properties!A$1:CB$87,Formula!J45,10))</f>
        <v>55</v>
      </c>
      <c r="AH45" s="51">
        <f>VARP(IF(INDEX(Properties!A$1:CB$87,Formula!B45,10)&lt;&gt;"",INDEX(Properties!A$1:CB$87,Formula!B45,10)),IF(INDEX(Properties!A$1:CB$87,Formula!D45,10)&lt;&gt;"",INDEX(Properties!A$1:CB$87,Formula!D45,10)),IF(INDEX(Properties!A$1:CB$87,Formula!F45,10)&lt;&gt;"",INDEX(Properties!A$1:CB$87,Formula!F45,10)),IF(INDEX(Properties!A$1:CB$87,Formula!H45,10)&lt;&gt;"",INDEX(Properties!A$1:CB$87,Formula!H45,10)),IF(INDEX(Properties!A$1:CB$87,Formula!J45,10)&lt;&gt;"",INDEX(Properties!A$1:CB$87,Formula!J45,10)))</f>
        <v>2.8</v>
      </c>
      <c r="AI45" s="51">
        <f>MAX(INDEX(Properties!A$1:CB$87,Formula!B45,10),INDEX(Properties!A$1:CB$87,Formula!D45,10),INDEX(Properties!A$1:CB$87,Formula!F45,10),INDEX(Properties!A$1:CB$87,Formula!H45,10),INDEX(Properties!A$1:CB$87,Formula!J45,10))</f>
        <v>7</v>
      </c>
      <c r="AJ45" s="51">
        <f>MIN(IF(INDEX(Properties!A$1:CB$87,Formula!B45,10)=0,10^6,INDEX(Properties!A$1:CB$87,Formula!B45,10)),IF(INDEX(Properties!A$1:CB$87,Formula!D45,10)=0,10^6,INDEX(Properties!A$1:CB$87,Formula!D45,10)),IF(INDEX(Properties!A$1:CB$87,Formula!F45,10)=0,10^6,INDEX(Properties!A$1:CB$87,Formula!F45,10)),IF(INDEX(Properties!A$1:CB$87,Formula!H45,10)=0,10^6,INDEX(Properties!A$1:CB$87,Formula!H45,10)),IF(INDEX(Properties!A$1:CB$87,Formula!J45,10)=0,10^6,INDEX(Properties!A$1:CB$87,Formula!J45,10)))</f>
        <v>2</v>
      </c>
      <c r="AK45" s="51">
        <f t="shared" si="5"/>
        <v>5</v>
      </c>
      <c r="AL45" s="57">
        <f>((Formula!C45)/(Formula!C45+Formula!E45+Formula!G45+Formula!I45+Formula!K45))*(INDEX(Properties!A$1:CB$87,Formula!B45,11))+((Formula!E45)/(Formula!C45+Formula!E45+Formula!G45+Formula!I45+Formula!K45))*(INDEX(Properties!A$1:CB$87,Formula!D45,11))+((Formula!G45)/(Formula!C45+Formula!E45+Formula!G45+Formula!I45+Formula!K45))*(INDEX(Properties!A$1:CB$87,Formula!F45,11))+((Formula!I45)/(Formula!C45+Formula!E45+Formula!G45+Formula!I45+Formula!K45))*(INDEX(Properties!A$1:CB$87,Formula!H45,11))+((Formula!K45)/(Formula!C45+Formula!E45+Formula!G45+Formula!I45+Formula!K45))*(INDEX(Properties!A$1:CB$87,Formula!J45,11))</f>
        <v>1.9</v>
      </c>
      <c r="AM45" s="57">
        <f>Formula!C45*(INDEX(Properties!A$1:CB$87,Formula!B45,11))+Formula!E45*(INDEX(Properties!A$1:CB$87,Formula!D45,11))+Formula!G45*(INDEX(Properties!A$1:CB$87,Formula!F45,11))+Formula!I45*(INDEX(Properties!A$1:CB$87,Formula!H45,11))+Formula!K45*(INDEX(Properties!A$1:CB$87,Formula!J45,11))</f>
        <v>19</v>
      </c>
      <c r="AN45" s="57">
        <f>VARP(IF(INDEX(Properties!A$1:CB$87,Formula!B45,11)&lt;&gt;"",INDEX(Properties!A$1:CB$87,Formula!B45,11)),IF(INDEX(Properties!A$1:CB$87,Formula!D45,11)&lt;&gt;"",INDEX(Properties!A$1:CB$87,Formula!D45,11)),IF(INDEX(Properties!A$1:CB$87,Formula!F45,11)&lt;&gt;"",INDEX(Properties!A$1:CB$87,Formula!F45,11)),IF(INDEX(Properties!A$1:CB$87,Formula!H45,11)&lt;&gt;"",INDEX(Properties!A$1:CB$87,Formula!H45,11)),IF(INDEX(Properties!A$1:CB$87,Formula!J45,11)&lt;&gt;"",INDEX(Properties!A$1:CB$87,Formula!J45,11)))</f>
        <v>0.16</v>
      </c>
      <c r="AO45" s="57">
        <f>MAX(INDEX(Properties!A$1:CB$87,Formula!B45,11),INDEX(Properties!A$1:CB$87,Formula!D45,11),INDEX(Properties!A$1:CB$87,Formula!F45,11),INDEX(Properties!A$1:CB$87,Formula!H45,11),INDEX(Properties!A$1:CB$87,Formula!J45,11))</f>
        <v>2</v>
      </c>
      <c r="AP45" s="57">
        <f>MIN(IF(Formula!B45=87,10^6,INDEX(Properties!A$1:CB$87,Formula!B45,11)),IF((Formula!D45)=87,10^6,INDEX(Properties!A$1:CB$87,Formula!D45,11)),IF((Formula!F45)=87,10^6,INDEX(Properties!A$1:CB$87,Formula!F45,11)),IF((Formula!H45)=87,10^6,INDEX(Properties!A$1:CB$87,Formula!H45,11)),IF(Formula!J45=87,10^6,INDEX(Properties!A$1:CB$87,Formula!J45,11)))</f>
        <v>1</v>
      </c>
      <c r="AQ45" s="57">
        <f t="shared" si="6"/>
        <v>1</v>
      </c>
      <c r="AR45" s="78">
        <f>((Formula!C45)/(Formula!C45+Formula!E45+Formula!G45+Formula!I45+Formula!K45))*(INDEX(Properties!A$1:CB$87,Formula!B45,12))+((Formula!E45)/(Formula!C45+Formula!E45+Formula!G45+Formula!I45+Formula!K45))*(INDEX(Properties!A$1:CB$87,Formula!D45,12))+((Formula!G45)/(Formula!C45+Formula!E45+Formula!G45+Formula!I45+Formula!K45))*(INDEX(Properties!A$1:CB$87,Formula!F45,12))+((Formula!I45)/(Formula!C45+Formula!E45+Formula!G45+Formula!I45+Formula!K45))*(INDEX(Properties!A$1:CB$87,Formula!H45,12))+((Formula!K45)/(Formula!C45+Formula!E45+Formula!G45+Formula!I45+Formula!K45))*(INDEX(Properties!A$1:CB$87,Formula!J45,12))</f>
        <v>2.4</v>
      </c>
      <c r="AS45" s="78">
        <f>Formula!C45*(INDEX(Properties!A$1:CB$87,Formula!B45,12))+Formula!E45*(INDEX(Properties!A$1:CB$87,Formula!D45,12))+Formula!G45*(INDEX(Properties!A$1:CB$87,Formula!F45,12))+Formula!I45*(INDEX(Properties!A$1:CB$87,Formula!H45,12))+Formula!K45*(INDEX(Properties!A$1:CB$87,Formula!J45,12))</f>
        <v>24</v>
      </c>
      <c r="AT45" s="78">
        <f>VARP(IF(INDEX(Properties!A$1:CB$87,Formula!B45,12)&lt;&gt;"",INDEX(Properties!A$1:CB$87,Formula!B45,12)),IF(INDEX(Properties!A$1:CB$87,Formula!D45,12)&lt;&gt;"",INDEX(Properties!A$1:CB$87,Formula!D45,12)),IF(INDEX(Properties!A$1:CB$87,Formula!F45,12)&lt;&gt;"",INDEX(Properties!A$1:CB$87,Formula!F45,12)),IF(INDEX(Properties!A$1:CB$87,Formula!H45,12)&lt;&gt;"",INDEX(Properties!A$1:CB$87,Formula!H45,12)),IF(INDEX(Properties!A$1:CB$87,Formula!J45,12)&lt;&gt;"",INDEX(Properties!A$1:CB$87,Formula!J45,12)))</f>
        <v>2.56</v>
      </c>
      <c r="AU45" s="78">
        <f>MAX(INDEX(Properties!A$1:CB$87,Formula!B45,12),INDEX(Properties!A$1:CB$87,Formula!D45,12),INDEX(Properties!A$1:CB$87,Formula!F45,12),INDEX(Properties!A$1:CB$87,Formula!H45,12),INDEX(Properties!A$1:CB$87,Formula!J45,12))</f>
        <v>4</v>
      </c>
      <c r="AV45" s="78">
        <f>MIN(IF(Formula!B45=87,10^6,INDEX(Properties!A$1:CB$87,Formula!B45,12)),IF((Formula!D45)=87,10^6,INDEX(Properties!A$1:CB$87,Formula!D45,12)),IF((Formula!F45)=87,10^6,INDEX(Properties!A$1:CB$87,Formula!F45,12)),IF((Formula!H45)=87,10^6,INDEX(Properties!A$1:CB$87,Formula!H45,12)),IF(Formula!J45=87,10^6,INDEX(Properties!A$1:CB$87,Formula!J45,12)))</f>
        <v>0</v>
      </c>
      <c r="AW45" s="78">
        <f t="shared" si="7"/>
        <v>4</v>
      </c>
      <c r="AX45" s="45">
        <f>((Formula!C45)/(Formula!C45+Formula!E45+Formula!G45+Formula!I45+Formula!K45))*(INDEX(Properties!A$1:CB$87,Formula!B45,13))+((Formula!E45)/(Formula!C45+Formula!E45+Formula!G45+Formula!I45+Formula!K45))*(INDEX(Properties!A$1:CB$87,Formula!D45,13))+((Formula!G45)/(Formula!C45+Formula!E45+Formula!G45+Formula!I45+Formula!K45))*(INDEX(Properties!A$1:CB$87,Formula!F45,13))+((Formula!I45)/(Formula!C45+Formula!E45+Formula!G45+Formula!I45+Formula!K45))*(INDEX(Properties!A$1:CB$87,Formula!H45,13))+((Formula!K45)/(Formula!C45+Formula!E45+Formula!G45+Formula!I45+Formula!K45))*(INDEX(Properties!A$1:CB$87,Formula!J45,13))</f>
        <v>1.5</v>
      </c>
      <c r="AY45" s="45">
        <f>Formula!C45*(INDEX(Properties!A$1:CB$87,Formula!B45,13))+Formula!E45*(INDEX(Properties!A$1:CB$87,Formula!D45,13))+Formula!G45*(INDEX(Properties!A$1:CB$87,Formula!F45,13))+Formula!I45*(INDEX(Properties!A$1:CB$87,Formula!H45,13))+Formula!K45*(INDEX(Properties!A$1:CB$87,Formula!J45,13))</f>
        <v>15</v>
      </c>
      <c r="AZ45" s="45">
        <f>VARP(IF(INDEX(Properties!A$1:CB$87,Formula!B45,13)&lt;&gt;"",INDEX(Properties!A$1:CB$87,Formula!B45,13)),IF(INDEX(Properties!A$1:CB$87,Formula!D45,13)&lt;&gt;"",INDEX(Properties!A$1:CB$87,Formula!D45,13)),IF(INDEX(Properties!A$1:CB$87,Formula!F45,13)&lt;&gt;"",INDEX(Properties!A$1:CB$87,Formula!F45,13)),IF(INDEX(Properties!A$1:CB$87,Formula!H45,13)&lt;&gt;"",INDEX(Properties!A$1:CB$87,Formula!H45,13)),IF(INDEX(Properties!A$1:CB$87,Formula!J45,13)&lt;&gt;"",INDEX(Properties!A$1:CB$87,Formula!J45,13)))</f>
        <v>14.4</v>
      </c>
      <c r="BA45" s="45">
        <f>MAX(INDEX(Properties!A$1:CB$87,Formula!B45,13),INDEX(Properties!A$1:CB$87,Formula!D45,13),INDEX(Properties!A$1:CB$87,Formula!F45,13),INDEX(Properties!A$1:CB$87,Formula!H45,13),INDEX(Properties!A$1:CB$87,Formula!J45,13))</f>
        <v>10</v>
      </c>
      <c r="BB45" s="45">
        <f>MIN(IF(Formula!B45=87,10^6,INDEX(Properties!A$1:CB$87,Formula!B45,13)),IF((Formula!D45)=87,10^6,INDEX(Properties!A$1:CB$87,Formula!D45,13)),IF((Formula!F45)=87,10^6,INDEX(Properties!A$1:CB$87,Formula!F45,13)),IF((Formula!H45)=87,10^6,INDEX(Properties!A$1:CB$87,Formula!H45,13)),IF(Formula!J45=87,10^6,INDEX(Properties!A$1:CB$87,Formula!J45,13)))</f>
        <v>0</v>
      </c>
      <c r="BC45" s="45">
        <f t="shared" si="8"/>
        <v>10</v>
      </c>
      <c r="BD45" s="63">
        <f>((Formula!C45)/(Formula!C45+Formula!E45+Formula!G45+Formula!I45+Formula!K45))*(INDEX(Properties!A$1:CB$87,Formula!B45,14))+((Formula!E45)/(Formula!C45+Formula!E45+Formula!G45+Formula!I45+Formula!K45))*(INDEX(Properties!A$1:CB$87,Formula!D45,14))+((Formula!G45)/(Formula!C45+Formula!E45+Formula!G45+Formula!I45+Formula!K45))*(INDEX(Properties!A$1:CB$87,Formula!F45,14))+((Formula!I45)/(Formula!C45+Formula!E45+Formula!G45+Formula!I45+Formula!K45))*(INDEX(Properties!A$1:CB$87,Formula!H45,14))+((Formula!K45)/(Formula!C45+Formula!E45+Formula!G45+Formula!I45+Formula!K45))*(INDEX(Properties!A$1:CB$87,Formula!J45,14))</f>
        <v>0</v>
      </c>
      <c r="BE45" s="63">
        <f>Formula!C45*(INDEX(Properties!A$1:CB$87,Formula!B45,14))+Formula!E45*(INDEX(Properties!A$1:CB$87,Formula!D45,14))+Formula!G45*(INDEX(Properties!A$1:CB$87,Formula!F45,14))+Formula!I45*(INDEX(Properties!A$1:CB$87,Formula!H45,14))+Formula!K45*(INDEX(Properties!A$1:CB$87,Formula!J45,14))</f>
        <v>0</v>
      </c>
      <c r="BF45" s="63">
        <f>VARP(IF(INDEX(Properties!A$1:CB$87,Formula!B45,14)&lt;&gt;"",INDEX(Properties!A$1:CB$87,Formula!B45,14)),IF(INDEX(Properties!A$1:CB$87,Formula!D45,14)&lt;&gt;"",INDEX(Properties!A$1:CB$87,Formula!D45,14)),IF(INDEX(Properties!A$1:CB$87,Formula!F45,14)&lt;&gt;"",INDEX(Properties!A$1:CB$87,Formula!F45,14)),IF(INDEX(Properties!A$1:CB$87,Formula!H45,14)&lt;&gt;"",INDEX(Properties!A$1:CB$87,Formula!H45,14)),IF(INDEX(Properties!A$1:CB$87,Formula!J45,14)&lt;&gt;"",INDEX(Properties!A$1:CB$87,Formula!J45,14)))</f>
        <v>0</v>
      </c>
      <c r="BG45" s="63">
        <f>MAX(INDEX(Properties!A$1:CB$87,Formula!B45,14),INDEX(Properties!A$1:CB$87,Formula!D45,14),INDEX(Properties!A$1:CB$87,Formula!F45,14),INDEX(Properties!A$1:CB$87,Formula!H45,14),INDEX(Properties!A$1:CB$87,Formula!J45,14))</f>
        <v>0</v>
      </c>
      <c r="BH45" s="63">
        <f>MIN(IF(Formula!B45=87,10^6,INDEX(Properties!A$1:CB$87,Formula!B45,14)),IF((Formula!D45)=87,10^6,INDEX(Properties!A$1:CB$87,Formula!D45,14)),IF((Formula!F45)=87,10^6,INDEX(Properties!A$1:CB$87,Formula!F45,14)),IF((Formula!H45)=87,10^6,INDEX(Properties!A$1:CB$87,Formula!H45,14)),IF(Formula!J45=87,10^6,INDEX(Properties!A$1:CB$87,Formula!J45,14)))</f>
        <v>0</v>
      </c>
      <c r="BI45" s="63">
        <f t="shared" si="9"/>
        <v>0</v>
      </c>
      <c r="BJ45" s="75">
        <f>((Formula!C45)/(Formula!C45+Formula!E45+Formula!G45+Formula!I45+Formula!K45))*(INDEX(Properties!A$1:CB$87,Formula!B45,19))+((Formula!E45)/(Formula!C45+Formula!E45+Formula!G45+Formula!I45+Formula!K45))*(INDEX(Properties!A$1:CB$87,Formula!D45,19))+((Formula!G45)/(Formula!C45+Formula!E45+Formula!G45+Formula!I45+Formula!K45))*(INDEX(Properties!A$1:CB$87,Formula!F45,19))+((Formula!I45)/(Formula!C45+Formula!E45+Formula!G45+Formula!I45+Formula!K45))*(INDEX(Properties!A$1:CB$87,Formula!H45,19))+((Formula!K45)/(Formula!C45+Formula!E45+Formula!G45+Formula!I45+Formula!K45))*(INDEX(Properties!A$1:CB$87,Formula!J45,19))</f>
        <v>5.8</v>
      </c>
      <c r="BK45" s="75">
        <f>Formula!C45*(INDEX(Properties!A$1:CB$87,Formula!B45,19))+Formula!E45*(INDEX(Properties!A$1:CB$87,Formula!D45,19))+Formula!G45*(INDEX(Properties!A$1:CB$87,Formula!F45,19))+Formula!I45*(INDEX(Properties!A$1:CB$87,Formula!H45,19))+Formula!K45*(INDEX(Properties!A$1:CB$87,Formula!J45,19))</f>
        <v>58</v>
      </c>
      <c r="BL45" s="75">
        <f>VARP(IF(INDEX(Properties!A$1:CB$87,Formula!B45,19)&lt;&gt;"",INDEX(Properties!A$1:CB$87,Formula!B45,19)),IF(INDEX(Properties!A$1:CB$87,Formula!D45,19)&lt;&gt;"",INDEX(Properties!A$1:CB$87,Formula!D45,19)),IF(INDEX(Properties!A$1:CB$87,Formula!F45,19)&lt;&gt;"",INDEX(Properties!A$1:CB$87,Formula!F45,19)),IF(INDEX(Properties!A$1:CB$87,Formula!H45,19)&lt;&gt;"",INDEX(Properties!A$1:CB$87,Formula!H45,19)),IF(INDEX(Properties!A$1:CB$87,Formula!J45,19)&lt;&gt;"",INDEX(Properties!A$1:CB$87,Formula!J45,19)))</f>
        <v>12.24</v>
      </c>
      <c r="BM45" s="75">
        <f>MAX(INDEX(Properties!A$1:CB$87,Formula!B45,19),INDEX(Properties!A$1:CB$87,Formula!D45,19),INDEX(Properties!A$1:CB$87,Formula!F45,19),INDEX(Properties!A$1:CB$87,Formula!H45,19),INDEX(Properties!A$1:CB$87,Formula!J45,19))</f>
        <v>12</v>
      </c>
      <c r="BN45" s="75">
        <f>MIN(IF(INDEX(Properties!A$1:CB$87,Formula!B45,19)=0,10^6,INDEX(Properties!A$1:CB$87,Formula!B45,19)),IF(INDEX(Properties!A$1:CB$87,Formula!D45,19)=0,10^6,INDEX(Properties!A$1:CB$87,Formula!D45,19)),IF(INDEX(Properties!A$1:CB$87,Formula!F45,19)=0,10^6,INDEX(Properties!A$1:CB$87,Formula!F45,19)),IF(INDEX(Properties!A$1:CB$87,Formula!H45,19)=0,10^6,INDEX(Properties!A$1:CB$87,Formula!H45,19)),IF(INDEX(Properties!A$1:CB$87,Formula!J45,19)=0,10^6,INDEX(Properties!A$1:CB$87,Formula!J45,19)))</f>
        <v>2</v>
      </c>
      <c r="BO45" s="75">
        <f t="shared" si="10"/>
        <v>10</v>
      </c>
      <c r="BP45" s="48">
        <f>((Formula!C45)/(Formula!C45+Formula!E45+Formula!G45+Formula!I45+Formula!K45))*(INDEX(Properties!A$1:CB$87,Formula!B45,20))+((Formula!E45)/(Formula!C45+Formula!E45+Formula!G45+Formula!I45+Formula!K45))*(INDEX(Properties!A$1:CB$87,Formula!D45,20))+((Formula!G45)/(Formula!C45+Formula!E45+Formula!G45+Formula!I45+Formula!K45))*(INDEX(Properties!A$1:CB$87,Formula!F45,20))+((Formula!I45)/(Formula!C45+Formula!E45+Formula!G45+Formula!I45+Formula!K45))*(INDEX(Properties!A$1:CB$87,Formula!H45,20))+((Formula!K45)/(Formula!C45+Formula!E45+Formula!G45+Formula!I45+Formula!K45))*(INDEX(Properties!A$1:CB$87,Formula!J45,20))</f>
        <v>4.3</v>
      </c>
      <c r="BQ45" s="48">
        <f>Formula!C45*(INDEX(Properties!A$1:CB$87,Formula!B45,20))+Formula!E45*(INDEX(Properties!A$1:CB$87,Formula!D45,20))+Formula!G45*(INDEX(Properties!A$1:CB$87,Formula!F45,20))+Formula!I45*(INDEX(Properties!A$1:CB$87,Formula!H45,20))+Formula!K45*(INDEX(Properties!A$1:CB$87,Formula!J45,20))</f>
        <v>43</v>
      </c>
      <c r="BR45" s="48">
        <f>VARP(IF(INDEX(Properties!A$1:CB$87,Formula!B45,20)&lt;&gt;"",INDEX(Properties!A$1:CB$87,Formula!B45,20)),IF(INDEX(Properties!A$1:CB$87,Formula!D45,20)&lt;&gt;"",INDEX(Properties!A$1:CB$87,Formula!D45,20)),IF(INDEX(Properties!A$1:CB$87,Formula!F45,20)&lt;&gt;"",INDEX(Properties!A$1:CB$87,Formula!F45,20)),IF(INDEX(Properties!A$1:CB$87,Formula!H45,20)&lt;&gt;"",INDEX(Properties!A$1:CB$87,Formula!H45,20)),IF(INDEX(Properties!A$1:CB$87,Formula!J45,20)&lt;&gt;"",INDEX(Properties!A$1:CB$87,Formula!J45,20)))</f>
        <v>3.04</v>
      </c>
      <c r="BS45" s="48">
        <f>MAX(INDEX(Properties!A$1:CB$87,Formula!B45,20),INDEX(Properties!A$1:CB$87,Formula!D45,20),INDEX(Properties!A$1:CB$87,Formula!F45,20),INDEX(Properties!A$1:CB$87,Formula!H45,20),INDEX(Properties!A$1:CB$87,Formula!J45,20))</f>
        <v>6</v>
      </c>
      <c r="BT45" s="48">
        <f>MIN(IF(INDEX(Properties!A$1:CB$87,Formula!B45,20)=0,10^6,INDEX(Properties!A$1:CB$87,Formula!B45,20)),IF(INDEX(Properties!A$1:CB$87,Formula!D45,20)=0,10^6,INDEX(Properties!A$1:CB$87,Formula!D45,20)),IF(INDEX(Properties!A$1:CB$87,Formula!F45,20)=0,10^6,INDEX(Properties!A$1:CB$87,Formula!F45,20)),IF(INDEX(Properties!A$1:CB$87,Formula!H45,20)=0,10^6,INDEX(Properties!A$1:CB$87,Formula!H45,20)),IF(INDEX(Properties!A$1:CB$87,Formula!J45,20)=0,10^6,INDEX(Properties!A$1:CB$87,Formula!J45,20)))</f>
        <v>1</v>
      </c>
      <c r="BU45" s="48">
        <f t="shared" si="11"/>
        <v>5</v>
      </c>
      <c r="BV45" s="66">
        <f>((Formula!C45)/(Formula!C45+Formula!E45+Formula!G45+Formula!I45+Formula!K45))*(INDEX(Properties!A$1:CB$87,Formula!B45,21))+((Formula!E45)/(Formula!C45+Formula!E45+Formula!G45+Formula!I45+Formula!K45))*(INDEX(Properties!A$1:CB$87,Formula!D45,21))+((Formula!G45)/(Formula!C45+Formula!E45+Formula!G45+Formula!I45+Formula!K45))*(INDEX(Properties!A$1:CB$87,Formula!F45,21))+((Formula!I45)/(Formula!C45+Formula!E45+Formula!G45+Formula!I45+Formula!K45))*(INDEX(Properties!A$1:CB$87,Formula!H45,21))+((Formula!K45)/(Formula!C45+Formula!E45+Formula!G45+Formula!I45+Formula!K45))*(INDEX(Properties!A$1:CB$87,Formula!J45,21))</f>
        <v>4.3</v>
      </c>
      <c r="BW45" s="66">
        <f>Formula!C45*(INDEX(Properties!A$1:CB$87,Formula!B45,21))+Formula!E45*(INDEX(Properties!A$1:CB$87,Formula!D45,21))+Formula!G45*(INDEX(Properties!A$1:CB$87,Formula!F45,21))+Formula!I45*(INDEX(Properties!A$1:CB$87,Formula!H45,21))+Formula!K45*(INDEX(Properties!A$1:CB$87,Formula!J45,21))</f>
        <v>43</v>
      </c>
      <c r="BX45" s="66">
        <f>VARP(IF(INDEX(Properties!A$1:CB$87,Formula!B45,21)&lt;&gt;"",INDEX(Properties!A$1:CB$87,Formula!B45,21)),IF(INDEX(Properties!A$1:CB$87,Formula!D45,21)&lt;&gt;"",INDEX(Properties!A$1:CB$87,Formula!D45,21)),IF(INDEX(Properties!A$1:CB$87,Formula!F45,21)&lt;&gt;"",INDEX(Properties!A$1:CB$87,Formula!F45,21)),IF(INDEX(Properties!A$1:CB$87,Formula!H45,21)&lt;&gt;"",INDEX(Properties!A$1:CB$87,Formula!H45,21)),IF(INDEX(Properties!A$1:CB$87,Formula!J45,21)&lt;&gt;"",INDEX(Properties!A$1:CB$87,Formula!J45,21)))</f>
        <v>3.44</v>
      </c>
      <c r="BY45" s="66">
        <f>MAX(INDEX(Properties!A$1:CB$87,Formula!B45,21),INDEX(Properties!A$1:CB$87,Formula!D45,21),INDEX(Properties!A$1:CB$87,Formula!F45,21),INDEX(Properties!A$1:CB$87,Formula!H45,21),INDEX(Properties!A$1:CB$87,Formula!J45,21))</f>
        <v>6</v>
      </c>
      <c r="BZ45" s="66">
        <f>MIN(IF(INDEX(Properties!A$1:CB$87,Formula!B45,21)=0,10^6,INDEX(Properties!A$1:CB$87,Formula!B45,21)),IF(INDEX(Properties!A$1:CB$87,Formula!D45,21)=0,10^6,INDEX(Properties!A$1:CB$87,Formula!D45,21)),IF(INDEX(Properties!A$1:CB$87,Formula!F45,21)=0,10^6,INDEX(Properties!A$1:CB$87,Formula!F45,21)),IF(INDEX(Properties!A$1:CB$87,Formula!H45,21)=0,10^6,INDEX(Properties!A$1:CB$87,Formula!H45,21)),IF(INDEX(Properties!A$1:CB$87,Formula!J45,21)=0,10^6,INDEX(Properties!A$1:CB$87,Formula!J45,21)))</f>
        <v>1</v>
      </c>
      <c r="CA45" s="66">
        <f t="shared" si="12"/>
        <v>5</v>
      </c>
      <c r="CB45" s="81">
        <f>((Formula!C45)/(Formula!C45+Formula!E45+Formula!G45+Formula!I45+Formula!K45))*(INDEX(Properties!A$1:CB$87,Formula!B45,23))+((Formula!E45)/(Formula!C45+Formula!E45+Formula!G45+Formula!I45+Formula!K45))*(INDEX(Properties!A$1:CB$87,Formula!D45,23))+((Formula!G45)/(Formula!C45+Formula!E45+Formula!G45+Formula!I45+Formula!K45))*(INDEX(Properties!A$1:CB$87,Formula!F45,23))+((Formula!I45)/(Formula!C45+Formula!E45+Formula!G45+Formula!I45+Formula!K45))*(INDEX(Properties!A$1:CB$87,Formula!H45,23))+((Formula!K45)/(Formula!C45+Formula!E45+Formula!G45+Formula!I45+Formula!K45))*(INDEX(Properties!A$1:CB$87,Formula!J45,23))</f>
        <v>1.444</v>
      </c>
      <c r="CC45" s="81">
        <f>Formula!C45*(INDEX(Properties!A$1:CB$87,Formula!B45,23))+Formula!E45*(INDEX(Properties!A$1:CB$87,Formula!D45,23))+Formula!G45*(INDEX(Properties!A$1:CB$87,Formula!F45,23))+Formula!I45*(INDEX(Properties!A$1:CB$87,Formula!H45,23))+Formula!K45*(INDEX(Properties!A$1:CB$87,Formula!J45,23))</f>
        <v>14.440000000000001</v>
      </c>
      <c r="CD45" s="81">
        <f>VARP(IF(INDEX(Properties!A$1:CB$87,Formula!B45,23)&lt;&gt;"",INDEX(Properties!A$1:CB$87,Formula!B45,23)),IF(INDEX(Properties!A$1:CB$87,Formula!D45,23)&lt;&gt;"",INDEX(Properties!A$1:CB$87,Formula!D45,23)),IF(INDEX(Properties!A$1:CB$87,Formula!F45,23)&lt;&gt;"",INDEX(Properties!A$1:CB$87,Formula!F45,23)),IF(INDEX(Properties!A$1:CB$87,Formula!H45,23)&lt;&gt;"",INDEX(Properties!A$1:CB$87,Formula!H45,23)),IF(INDEX(Properties!A$1:CB$87,Formula!J45,23)&lt;&gt;"",INDEX(Properties!A$1:CB$87,Formula!J45,23)))</f>
        <v>3.2021759999999984</v>
      </c>
      <c r="CE45" s="81">
        <f>MAX(INDEX(Properties!A$1:CB$87,Formula!B45,23),INDEX(Properties!A$1:CB$87,Formula!D45,23),INDEX(Properties!A$1:CB$87,Formula!F45,23),INDEX(Properties!A$1:CB$87,Formula!H45,23),INDEX(Properties!A$1:CB$87,Formula!J45,23))</f>
        <v>5</v>
      </c>
      <c r="CF45" s="81">
        <f>MIN(IF(Formula!B45=87,10^6,INDEX(Properties!A$1:CB$87,Formula!B45,23)),IF((Formula!D45)=87,10^6,INDEX(Properties!A$1:CB$87,Formula!D45,23)),IF((Formula!F45)=87,10^6,INDEX(Properties!A$1:CB$87,Formula!F45,23)),IF((Formula!H45)=87,10^6,INDEX(Properties!A$1:CB$87,Formula!H45,23)),IF(Formula!J45=87,10^6,INDEX(Properties!A$1:CB$87,Formula!J45,23)))</f>
        <v>0</v>
      </c>
      <c r="CG45" s="81">
        <f t="shared" si="13"/>
        <v>5</v>
      </c>
      <c r="CH45" s="39">
        <f>((Formula!C45)/(Formula!C45+Formula!E45+Formula!G45+Formula!I45+Formula!K45))*(INDEX(Properties!A$1:CB$87,Formula!B45,26))+((Formula!E45)/(Formula!C45+Formula!E45+Formula!G45+Formula!I45+Formula!K45))*(INDEX(Properties!A$1:CB$87,Formula!D45,26))+((Formula!G45)/(Formula!C45+Formula!E45+Formula!G45+Formula!I45+Formula!K45))*(INDEX(Properties!A$1:CB$87,Formula!F45,26))+((Formula!I45)/(Formula!C45+Formula!E45+Formula!G45+Formula!I45+Formula!K45))*(INDEX(Properties!A$1:CB$87,Formula!H45,26))+((Formula!K45)/(Formula!C45+Formula!E45+Formula!G45+Formula!I45+Formula!K45))*(INDEX(Properties!A$1:CB$87,Formula!J45,26))</f>
        <v>10.913349999999999</v>
      </c>
      <c r="CI45" s="39">
        <f>Formula!C45*(INDEX(Properties!A$1:CB$87,Formula!B45,26))+Formula!E45*(INDEX(Properties!A$1:CB$87,Formula!D45,26))+Formula!G45*(INDEX(Properties!A$1:CB$87,Formula!F45,26))+Formula!I45*(INDEX(Properties!A$1:CB$87,Formula!H45,26))+Formula!K45*(INDEX(Properties!A$1:CB$87,Formula!J45,26))</f>
        <v>109.1335</v>
      </c>
      <c r="CJ45" s="39">
        <f>VARP(IF(INDEX(Properties!A$1:CB$87,Formula!B45,26)&lt;&gt;"",INDEX(Properties!A$1:CB$87,Formula!B45,26)),IF(INDEX(Properties!A$1:CB$87,Formula!D45,26)&lt;&gt;"",INDEX(Properties!A$1:CB$87,Formula!D45,26)),IF(INDEX(Properties!A$1:CB$87,Formula!F45,26)&lt;&gt;"",INDEX(Properties!A$1:CB$87,Formula!F45,26)),IF(INDEX(Properties!A$1:CB$87,Formula!H45,26)&lt;&gt;"",INDEX(Properties!A$1:CB$87,Formula!H45,26)),IF(INDEX(Properties!A$1:CB$87,Formula!J45,26)&lt;&gt;"",INDEX(Properties!A$1:CB$87,Formula!J45,26)))</f>
        <v>9.2029000559999989</v>
      </c>
      <c r="CK45" s="39">
        <f>MAX(INDEX(Properties!A$1:CB$87,Formula!B45,26),INDEX(Properties!A$1:CB$87,Formula!D45,26),INDEX(Properties!A$1:CB$87,Formula!F45,26),INDEX(Properties!A$1:CB$87,Formula!H45,26),INDEX(Properties!A$1:CB$87,Formula!J45,26))</f>
        <v>13.6181</v>
      </c>
      <c r="CL45" s="39">
        <f>MIN(IF(INDEX(Properties!A$1:CB$87,Formula!B45,26)=0,10^6,INDEX(Properties!A$1:CB$87,Formula!B45,26)),IF(INDEX(Properties!A$1:CB$87,Formula!D45,26)=0,10^6,INDEX(Properties!A$1:CB$87,Formula!D45,26)),IF(INDEX(Properties!A$1:CB$87,Formula!F45,26)=0,10^6,INDEX(Properties!A$1:CB$87,Formula!F45,26)),IF(INDEX(Properties!A$1:CB$87,Formula!H45,26)=0,10^6,INDEX(Properties!A$1:CB$87,Formula!H45,26)),IF(INDEX(Properties!A$1:CB$87,Formula!J45,26)=0,10^6,INDEX(Properties!A$1:CB$87,Formula!J45,26)))</f>
        <v>5.5769000000000002</v>
      </c>
      <c r="CM45" s="39">
        <f t="shared" si="14"/>
        <v>8.0411999999999999</v>
      </c>
      <c r="CN45" s="54">
        <f>((Formula!C45)/(Formula!C45+Formula!E45+Formula!G45+Formula!I45+Formula!K45))*(INDEX(Properties!A$1:CB$87,Formula!B45,30))+((Formula!E45)/(Formula!C45+Formula!E45+Formula!G45+Formula!I45+Formula!K45))*(INDEX(Properties!A$1:CB$87,Formula!D45,30))+((Formula!G45)/(Formula!C45+Formula!E45+Formula!G45+Formula!I45+Formula!K45))*(INDEX(Properties!A$1:CB$87,Formula!F45,30))+((Formula!I45)/(Formula!C45+Formula!E45+Formula!G45+Formula!I45+Formula!K45))*(INDEX(Properties!A$1:CB$87,Formula!H45,30))+((Formula!K45)/(Formula!C45+Formula!E45+Formula!G45+Formula!I45+Formula!K45))*(INDEX(Properties!A$1:CB$87,Formula!J45,30))</f>
        <v>2.5940000000000003</v>
      </c>
      <c r="CO45" s="54">
        <f>Formula!C45*(INDEX(Properties!A$1:CB$87,Formula!B45,30))+Formula!E45*(INDEX(Properties!A$1:CB$87,Formula!D45,30))+Formula!G45*(INDEX(Properties!A$1:CB$87,Formula!F45,30))+Formula!I45*(INDEX(Properties!A$1:CB$87,Formula!H45,30))+Formula!K45*(INDEX(Properties!A$1:CB$87,Formula!J45,30))</f>
        <v>25.94</v>
      </c>
      <c r="CP45" s="54">
        <f>VARP(IF(INDEX(Properties!A$1:CB$87,Formula!B45,30)&lt;&gt;"",INDEX(Properties!A$1:CB$87,Formula!B45,30)),IF(INDEX(Properties!A$1:CB$87,Formula!D45,30)&lt;&gt;"",INDEX(Properties!A$1:CB$87,Formula!D45,30)),IF(INDEX(Properties!A$1:CB$87,Formula!F45,30)&lt;&gt;"",INDEX(Properties!A$1:CB$87,Formula!F45,30)),IF(INDEX(Properties!A$1:CB$87,Formula!H45,30)&lt;&gt;"",INDEX(Properties!A$1:CB$87,Formula!H45,30)),IF(INDEX(Properties!A$1:CB$87,Formula!J45,30)&lt;&gt;"",INDEX(Properties!A$1:CB$87,Formula!J45,30)))</f>
        <v>0.79021599999999981</v>
      </c>
      <c r="CQ45" s="54">
        <f>MAX(INDEX(Properties!A$1:CB$87,Formula!B45,30),INDEX(Properties!A$1:CB$87,Formula!D45,30),INDEX(Properties!A$1:CB$87,Formula!F45,30),INDEX(Properties!A$1:CB$87,Formula!H45,30),INDEX(Properties!A$1:CB$87,Formula!J45,30))</f>
        <v>3.44</v>
      </c>
      <c r="CR45" s="54">
        <f>MIN(IF(INDEX(Properties!A$1:CB$87,Formula!B45,30)=0,10^6,INDEX(Properties!A$1:CB$87,Formula!B45,30)),IF(INDEX(Properties!A$1:CB$87,Formula!D45,30)=0,10^6,INDEX(Properties!A$1:CB$87,Formula!D45,30)),IF(INDEX(Properties!A$1:CB$87,Formula!F45,30)=0,10^6,INDEX(Properties!A$1:CB$87,Formula!F45,30)),IF(INDEX(Properties!A$1:CB$87,Formula!H45,30)=0,10^6,INDEX(Properties!A$1:CB$87,Formula!H45,30)),IF(INDEX(Properties!A$1:CB$87,Formula!J45,30)=0,10^6,INDEX(Properties!A$1:CB$87,Formula!J45,30)))</f>
        <v>0.95</v>
      </c>
      <c r="CS45" s="54">
        <f t="shared" si="15"/>
        <v>2.4900000000000002</v>
      </c>
      <c r="CT45" s="69">
        <f>((Formula!C45)/(Formula!C45+Formula!E45+Formula!G45+Formula!I45+Formula!K45))*(INDEX(Properties!A$1:CB$87,Formula!B45,31))+((Formula!E45)/(Formula!C45+Formula!E45+Formula!G45+Formula!I45+Formula!K45))*(INDEX(Properties!A$1:CB$87,Formula!D45,31))+((Formula!G45)/(Formula!C45+Formula!E45+Formula!G45+Formula!I45+Formula!K45))*(INDEX(Properties!A$1:CB$87,Formula!F45,31))+((Formula!I45)/(Formula!C45+Formula!E45+Formula!G45+Formula!I45+Formula!K45))*(INDEX(Properties!A$1:CB$87,Formula!H45,31))+((Formula!K45)/(Formula!C45+Formula!E45+Formula!G45+Formula!I45+Formula!K45))*(INDEX(Properties!A$1:CB$87,Formula!J45,31))</f>
        <v>2.5869999999999997</v>
      </c>
      <c r="CU45" s="69">
        <f>Formula!C45*(INDEX(Properties!A$1:CB$87,Formula!B45,31))+Formula!E45*(INDEX(Properties!A$1:CB$87,Formula!D45,31))+Formula!G45*(INDEX(Properties!A$1:CB$87,Formula!F45,31))+Formula!I45*(INDEX(Properties!A$1:CB$87,Formula!H45,31))+Formula!K45*(INDEX(Properties!A$1:CB$87,Formula!J45,31))</f>
        <v>25.869999999999997</v>
      </c>
      <c r="CV45" s="69">
        <f>VARP(IF(INDEX(Properties!A$1:CB$87,Formula!B45,31)&lt;&gt;"",INDEX(Properties!A$1:CB$87,Formula!B45,31)),IF(INDEX(Properties!A$1:CB$87,Formula!D45,31)&lt;&gt;"",INDEX(Properties!A$1:CB$87,Formula!D45,31)),IF(INDEX(Properties!A$1:CB$87,Formula!F45,31)&lt;&gt;"",INDEX(Properties!A$1:CB$87,Formula!F45,31)),IF(INDEX(Properties!A$1:CB$87,Formula!H45,31)&lt;&gt;"",INDEX(Properties!A$1:CB$87,Formula!H45,31)),IF(INDEX(Properties!A$1:CB$87,Formula!J45,31)&lt;&gt;"",INDEX(Properties!A$1:CB$87,Formula!J45,31)))</f>
        <v>0.62594400000000006</v>
      </c>
      <c r="CW45" s="69">
        <f>MAX(INDEX(Properties!A$1:CB$87,Formula!B45,31),INDEX(Properties!A$1:CB$87,Formula!D45,31),INDEX(Properties!A$1:CB$87,Formula!F45,31),INDEX(Properties!A$1:CB$87,Formula!H45,31),INDEX(Properties!A$1:CB$87,Formula!J45,31))</f>
        <v>3.32</v>
      </c>
      <c r="CX45" s="69">
        <f>MIN(IF(INDEX(Properties!A$1:CB$87,Formula!B45,31)=0,10^6,INDEX(Properties!A$1:CB$87,Formula!B45,31)),IF(INDEX(Properties!A$1:CB$87,Formula!D45,31)=0,10^6,INDEX(Properties!A$1:CB$87,Formula!D45,31)),IF(INDEX(Properties!A$1:CB$87,Formula!F45,31)=0,10^6,INDEX(Properties!A$1:CB$87,Formula!F45,31)),IF(INDEX(Properties!A$1:CB$87,Formula!H45,31)=0,10^6,INDEX(Properties!A$1:CB$87,Formula!H45,31)),IF(INDEX(Properties!A$1:CB$87,Formula!J45,31)=0,10^6,INDEX(Properties!A$1:CB$87,Formula!J45,31)))</f>
        <v>1.1299999999999999</v>
      </c>
      <c r="CY45" s="69">
        <f t="shared" si="16"/>
        <v>2.19</v>
      </c>
      <c r="CZ45" s="42">
        <f>((Formula!C45)/(Formula!C45+Formula!E45+Formula!G45+Formula!I45+Formula!K45))*(INDEX(Properties!A$1:CB$87,Formula!B45,32))+((Formula!E45)/(Formula!C45+Formula!E45+Formula!G45+Formula!I45+Formula!K45))*(INDEX(Properties!A$1:CB$87,Formula!D45,32))+((Formula!G45)/(Formula!C45+Formula!E45+Formula!G45+Formula!I45+Formula!K45))*(INDEX(Properties!A$1:CB$87,Formula!F45,32))+((Formula!I45)/(Formula!C45+Formula!E45+Formula!G45+Formula!I45+Formula!K45))*(INDEX(Properties!A$1:CB$87,Formula!H45,32))+((Formula!K45)/(Formula!C45+Formula!E45+Formula!G45+Formula!I45+Formula!K45))*(INDEX(Properties!A$1:CB$87,Formula!J45,32))</f>
        <v>5.8789999999999996</v>
      </c>
      <c r="DA45" s="42">
        <f>Formula!C45*(INDEX(Properties!A$1:CB$87,Formula!B45,32))+Formula!E45*(INDEX(Properties!A$1:CB$87,Formula!D45,32))+Formula!G45*(INDEX(Properties!A$1:CB$87,Formula!F45,32))+Formula!I45*(INDEX(Properties!A$1:CB$87,Formula!H45,32))+Formula!K45*(INDEX(Properties!A$1:CB$87,Formula!J45,32))</f>
        <v>58.790000000000006</v>
      </c>
      <c r="DB45" s="42">
        <f>VARP(IF(INDEX(Properties!A$1:CB$87,Formula!B45,32)&lt;&gt;"",INDEX(Properties!A$1:CB$87,Formula!B45,32)),IF(INDEX(Properties!A$1:CB$87,Formula!D45,32)&lt;&gt;"",INDEX(Properties!A$1:CB$87,Formula!D45,32)),IF(INDEX(Properties!A$1:CB$87,Formula!F45,32)&lt;&gt;"",INDEX(Properties!A$1:CB$87,Formula!F45,32)),IF(INDEX(Properties!A$1:CB$87,Formula!H45,32)&lt;&gt;"",INDEX(Properties!A$1:CB$87,Formula!H45,32)),IF(INDEX(Properties!A$1:CB$87,Formula!J45,32)&lt;&gt;"",INDEX(Properties!A$1:CB$87,Formula!J45,32)))</f>
        <v>3.4612960000000021</v>
      </c>
      <c r="DC45" s="42">
        <f>MAX(INDEX(Properties!A$1:CB$87,Formula!B45,32),INDEX(Properties!A$1:CB$87,Formula!D45,32),INDEX(Properties!A$1:CB$87,Formula!F45,32),INDEX(Properties!A$1:CB$87,Formula!H45,32),INDEX(Properties!A$1:CB$87,Formula!J45,32))</f>
        <v>7.54</v>
      </c>
      <c r="DD45" s="42">
        <f>MIN(IF(INDEX(Properties!A$1:CB$87,Formula!B45,32)=0,10^6,INDEX(Properties!A$1:CB$87,Formula!B45,32)),IF(INDEX(Properties!A$1:CB$87,Formula!D45,32)=0,10^6,INDEX(Properties!A$1:CB$87,Formula!D45,32)),IF(INDEX(Properties!A$1:CB$87,Formula!F45,32)=0,10^6,INDEX(Properties!A$1:CB$87,Formula!F45,32)),IF(INDEX(Properties!A$1:CB$87,Formula!H45,32)=0,10^6,INDEX(Properties!A$1:CB$87,Formula!H45,32)),IF(INDEX(Properties!A$1:CB$87,Formula!J45,32)=0,10^6,INDEX(Properties!A$1:CB$87,Formula!J45,32)))</f>
        <v>2</v>
      </c>
      <c r="DE45" s="42">
        <f t="shared" si="17"/>
        <v>5.54</v>
      </c>
      <c r="DF45" s="60">
        <f>((Formula!C45)/(Formula!C45+Formula!E45+Formula!G45+Formula!I45+Formula!K45))*(INDEX(Properties!A$1:CB$87,Formula!B45,34))+((Formula!E45)/(Formula!C45+Formula!E45+Formula!G45+Formula!I45+Formula!K45))*(INDEX(Properties!A$1:CB$87,Formula!D45,34))+((Formula!G45)/(Formula!C45+Formula!E45+Formula!G45+Formula!I45+Formula!K45))*(INDEX(Properties!A$1:CB$87,Formula!F45,34))+((Formula!I45)/(Formula!C45+Formula!E45+Formula!G45+Formula!I45+Formula!K45))*(INDEX(Properties!A$1:CB$87,Formula!H45,34))+((Formula!K45)/(Formula!C45+Formula!E45+Formula!G45+Formula!I45+Formula!K45))*(INDEX(Properties!A$1:CB$87,Formula!J45,34))</f>
        <v>2.6713</v>
      </c>
      <c r="DG45" s="60">
        <f>Formula!C45*(INDEX(Properties!A$1:CB$87,Formula!B45,34))+Formula!E45*(INDEX(Properties!A$1:CB$87,Formula!D45,34))+Formula!G45*(INDEX(Properties!A$1:CB$87,Formula!F45,34))+Formula!I45*(INDEX(Properties!A$1:CB$87,Formula!H45,34))+Formula!K45*(INDEX(Properties!A$1:CB$87,Formula!J45,34))</f>
        <v>26.713000000000001</v>
      </c>
      <c r="DH45" s="60">
        <f>VARP(IF(INDEX(Properties!A$1:CB$87,Formula!B45,34)&lt;&gt;"",INDEX(Properties!A$1:CB$87,Formula!B45,34)),IF(INDEX(Properties!A$1:CB$87,Formula!D45,34)&lt;&gt;"",INDEX(Properties!A$1:CB$87,Formula!D45,34)),IF(INDEX(Properties!A$1:CB$87,Formula!F45,34)&lt;&gt;"",INDEX(Properties!A$1:CB$87,Formula!F45,34)),IF(INDEX(Properties!A$1:CB$87,Formula!H45,34)&lt;&gt;"",INDEX(Properties!A$1:CB$87,Formula!H45,34)),IF(INDEX(Properties!A$1:CB$87,Formula!J45,34)&lt;&gt;"",INDEX(Properties!A$1:CB$87,Formula!J45,34)))</f>
        <v>0.93085103999999996</v>
      </c>
      <c r="DI45" s="60">
        <f>MAX(INDEX(Properties!A$1:CB$87,Formula!B45,34),INDEX(Properties!A$1:CB$87,Formula!D45,34),INDEX(Properties!A$1:CB$87,Formula!F45,34),INDEX(Properties!A$1:CB$87,Formula!H45,34),INDEX(Properties!A$1:CB$87,Formula!J45,34))</f>
        <v>3.61</v>
      </c>
      <c r="DJ45" s="60">
        <f>MIN(IF(INDEX(Properties!A$1:CB$87,Formula!B45,34)=0,10^6,INDEX(Properties!A$1:CB$87,Formula!B45,34)),IF(INDEX(Properties!A$1:CB$87,Formula!D45,34)=0,10^6,INDEX(Properties!A$1:CB$87,Formula!D45,34)),IF(INDEX(Properties!A$1:CB$87,Formula!F45,34)=0,10^6,INDEX(Properties!A$1:CB$87,Formula!F45,34)),IF(INDEX(Properties!A$1:CB$87,Formula!H45,34)=0,10^6,INDEX(Properties!A$1:CB$87,Formula!H45,34)),IF(INDEX(Properties!A$1:CB$87,Formula!J45,34)=0,10^6,INDEX(Properties!A$1:CB$87,Formula!J45,34)))</f>
        <v>0.96299999999999997</v>
      </c>
      <c r="DK45" s="60">
        <f t="shared" si="18"/>
        <v>2.6469999999999998</v>
      </c>
      <c r="DL45" s="45">
        <f>((Formula!C45)/(Formula!C45+Formula!E45+Formula!G45+Formula!I45+Formula!K45))*(INDEX(Properties!A$1:CB$87,Formula!B45,39))+((Formula!E45)/(Formula!C45+Formula!E45+Formula!G45+Formula!I45+Formula!K45))*(INDEX(Properties!A$1:CB$87,Formula!D45,39))+((Formula!G45)/(Formula!C45+Formula!E45+Formula!G45+Formula!I45+Formula!K45))*(INDEX(Properties!A$1:CB$87,Formula!F45,39))+((Formula!I45)/(Formula!C45+Formula!E45+Formula!G45+Formula!I45+Formula!K45))*(INDEX(Properties!A$1:CB$87,Formula!H45,39))+((Formula!K45)/(Formula!C45+Formula!E45+Formula!G45+Formula!I45+Formula!K45))*(INDEX(Properties!A$1:CB$87,Formula!J45,39))</f>
        <v>1.042</v>
      </c>
      <c r="DM45" s="45">
        <f>Formula!C45*(INDEX(Properties!A$1:CB$87,Formula!B45,39))+Formula!E45*(INDEX(Properties!A$1:CB$87,Formula!D45,39))+Formula!G45*(INDEX(Properties!A$1:CB$87,Formula!F45,39))+Formula!I45*(INDEX(Properties!A$1:CB$87,Formula!H45,39))+Formula!K45*(INDEX(Properties!A$1:CB$87,Formula!J45,39))</f>
        <v>10.419999999999998</v>
      </c>
      <c r="DN45" s="45">
        <f>VARP(IF(INDEX(Properties!A$1:CB$87,Formula!B45,39)&lt;&gt;"",INDEX(Properties!A$1:CB$87,Formula!B45,39)),IF(INDEX(Properties!A$1:CB$87,Formula!D45,39)&lt;&gt;"",INDEX(Properties!A$1:CB$87,Formula!D45,39)),IF(INDEX(Properties!A$1:CB$87,Formula!F45,39)&lt;&gt;"",INDEX(Properties!A$1:CB$87,Formula!F45,39)),IF(INDEX(Properties!A$1:CB$87,Formula!H45,39)&lt;&gt;"",INDEX(Properties!A$1:CB$87,Formula!H45,39)),IF(INDEX(Properties!A$1:CB$87,Formula!J45,39)&lt;&gt;"",INDEX(Properties!A$1:CB$87,Formula!J45,39)))</f>
        <v>0.38034400000000007</v>
      </c>
      <c r="DO45" s="45">
        <f>MAX(INDEX(Properties!A$1:CB$87,Formula!B45,39),INDEX(Properties!A$1:CB$87,Formula!D45,39),INDEX(Properties!A$1:CB$87,Formula!F45,39),INDEX(Properties!A$1:CB$87,Formula!H45,39),INDEX(Properties!A$1:CB$87,Formula!J45,39))</f>
        <v>2.19</v>
      </c>
      <c r="DP45" s="45">
        <f>MIN(IF(INDEX(Properties!A$1:CB$87,Formula!B45,39)=0,10^6,INDEX(Properties!A$1:CB$87,Formula!B45,39)),IF(INDEX(Properties!A$1:CB$87,Formula!D45,39)=0,10^6,INDEX(Properties!A$1:CB$87,Formula!D45,39)),IF(INDEX(Properties!A$1:CB$87,Formula!F45,39)=0,10^6,INDEX(Properties!A$1:CB$87,Formula!F45,39)),IF(INDEX(Properties!A$1:CB$87,Formula!H45,39)=0,10^6,INDEX(Properties!A$1:CB$87,Formula!H45,39)),IF(INDEX(Properties!A$1:CB$87,Formula!J45,39)=0,10^6,INDEX(Properties!A$1:CB$87,Formula!J45,39)))</f>
        <v>0.48</v>
      </c>
      <c r="DQ45" s="45">
        <f t="shared" si="19"/>
        <v>1.71</v>
      </c>
      <c r="DR45" s="63">
        <f>((Formula!C45)/(Formula!C45+Formula!E45+Formula!G45+Formula!I45+Formula!K45))*(INDEX(Properties!A$1:CB$87,Formula!B45,40))+((Formula!E45)/(Formula!C45+Formula!E45+Formula!G45+Formula!I45+Formula!K45))*(INDEX(Properties!A$1:CB$87,Formula!D45,40))+((Formula!G45)/(Formula!C45+Formula!E45+Formula!G45+Formula!I45+Formula!K45))*(INDEX(Properties!A$1:CB$87,Formula!F45,40))+((Formula!I45)/(Formula!C45+Formula!E45+Formula!G45+Formula!I45+Formula!K45))*(INDEX(Properties!A$1:CB$87,Formula!H45,40))+((Formula!K45)/(Formula!C45+Formula!E45+Formula!G45+Formula!I45+Formula!K45))*(INDEX(Properties!A$1:CB$87,Formula!J45,40))</f>
        <v>1.0669999999999999</v>
      </c>
      <c r="DS45" s="63">
        <f>Formula!C45*(INDEX(Properties!A$1:CB$87,Formula!B45,40))+Formula!E45*(INDEX(Properties!A$1:CB$87,Formula!D45,40))+Formula!G45*(INDEX(Properties!A$1:CB$87,Formula!F45,40))+Formula!I45*(INDEX(Properties!A$1:CB$87,Formula!H45,40))+Formula!K45*(INDEX(Properties!A$1:CB$87,Formula!J45,40))</f>
        <v>10.67</v>
      </c>
      <c r="DT45" s="63">
        <f>VARP(IF(INDEX(Properties!A$1:CB$87,Formula!B45,40)&lt;&gt;"",INDEX(Properties!A$1:CB$87,Formula!B45,40)),IF(INDEX(Properties!A$1:CB$87,Formula!D45,40)&lt;&gt;"",INDEX(Properties!A$1:CB$87,Formula!D45,40)),IF(INDEX(Properties!A$1:CB$87,Formula!F45,40)&lt;&gt;"",INDEX(Properties!A$1:CB$87,Formula!F45,40)),IF(INDEX(Properties!A$1:CB$87,Formula!H45,40)&lt;&gt;"",INDEX(Properties!A$1:CB$87,Formula!H45,40)),IF(INDEX(Properties!A$1:CB$87,Formula!J45,40)&lt;&gt;"",INDEX(Properties!A$1:CB$87,Formula!J45,40)))</f>
        <v>0.16246400000000022</v>
      </c>
      <c r="DU45" s="63">
        <f>MAX(INDEX(Properties!A$1:CB$87,Formula!B45,40),INDEX(Properties!A$1:CB$87,Formula!D45,40),INDEX(Properties!A$1:CB$87,Formula!F45,40),INDEX(Properties!A$1:CB$87,Formula!H45,40),INDEX(Properties!A$1:CB$87,Formula!J45,40))</f>
        <v>1.92</v>
      </c>
      <c r="DV45" s="63">
        <f>MIN(IF(INDEX(Properties!A$1:CB$87,Formula!B45,40)=0,10^6,INDEX(Properties!A$1:CB$87,Formula!B45,40)),IF(INDEX(Properties!A$1:CB$87,Formula!D45,40)=0,10^6,INDEX(Properties!A$1:CB$87,Formula!D45,40)),IF(INDEX(Properties!A$1:CB$87,Formula!F45,40)=0,10^6,INDEX(Properties!A$1:CB$87,Formula!F45,40)),IF(INDEX(Properties!A$1:CB$87,Formula!H45,40)=0,10^6,INDEX(Properties!A$1:CB$87,Formula!H45,40)),IF(INDEX(Properties!A$1:CB$87,Formula!J45,40)=0,10^6,INDEX(Properties!A$1:CB$87,Formula!J45,40)))</f>
        <v>0.73</v>
      </c>
      <c r="DW45" s="63">
        <f t="shared" si="20"/>
        <v>1.19</v>
      </c>
      <c r="DX45" s="75">
        <f>((Formula!C45)/(Formula!C45+Formula!E45+Formula!G45+Formula!I45+Formula!K45))*(INDEX(Properties!A$1:CB$87,Formula!B45,41))+((Formula!E45)/(Formula!C45+Formula!E45+Formula!G45+Formula!I45+Formula!K45))*(INDEX(Properties!A$1:CB$87,Formula!D45,41))+((Formula!G45)/(Formula!C45+Formula!E45+Formula!G45+Formula!I45+Formula!K45))*(INDEX(Properties!A$1:CB$87,Formula!F45,41))+((Formula!I45)/(Formula!C45+Formula!E45+Formula!G45+Formula!I45+Formula!K45))*(INDEX(Properties!A$1:CB$87,Formula!H45,41))+((Formula!K45)/(Formula!C45+Formula!E45+Formula!G45+Formula!I45+Formula!K45))*(INDEX(Properties!A$1:CB$87,Formula!J45,41))</f>
        <v>1.179</v>
      </c>
      <c r="DY45" s="75">
        <f>Formula!C45*(INDEX(Properties!A$1:CB$87,Formula!B45,41))+Formula!E45*(INDEX(Properties!A$1:CB$87,Formula!D45,41))+Formula!G45*(INDEX(Properties!A$1:CB$87,Formula!F45,41))+Formula!I45*(INDEX(Properties!A$1:CB$87,Formula!H45,41))+Formula!K45*(INDEX(Properties!A$1:CB$87,Formula!J45,41))</f>
        <v>11.790000000000001</v>
      </c>
      <c r="DZ45" s="75">
        <f>VARP(IF(INDEX(Properties!A$1:CB$87,Formula!B45,41)&lt;&gt;"",INDEX(Properties!A$1:CB$87,Formula!B45,41)),IF(INDEX(Properties!A$1:CB$87,Formula!D45,41)&lt;&gt;"",INDEX(Properties!A$1:CB$87,Formula!D45,41)),IF(INDEX(Properties!A$1:CB$87,Formula!F45,41)&lt;&gt;"",INDEX(Properties!A$1:CB$87,Formula!F45,41)),IF(INDEX(Properties!A$1:CB$87,Formula!H45,41)&lt;&gt;"",INDEX(Properties!A$1:CB$87,Formula!H45,41)),IF(INDEX(Properties!A$1:CB$87,Formula!J45,41)&lt;&gt;"",INDEX(Properties!A$1:CB$87,Formula!J45,41)))</f>
        <v>3.6975999999999939E-2</v>
      </c>
      <c r="EA45" s="75">
        <f>MAX(INDEX(Properties!A$1:CB$87,Formula!B45,41),INDEX(Properties!A$1:CB$87,Formula!D45,41),INDEX(Properties!A$1:CB$87,Formula!F45,41),INDEX(Properties!A$1:CB$87,Formula!H45,41),INDEX(Properties!A$1:CB$87,Formula!J45,41))</f>
        <v>1.32</v>
      </c>
      <c r="EB45" s="75">
        <f>MIN(IF(INDEX(Properties!A$1:CB$87,Formula!B45,41)=0,10^6,INDEX(Properties!A$1:CB$87,Formula!B45,41)),IF(INDEX(Properties!A$1:CB$87,Formula!D45,41)=0,10^6,INDEX(Properties!A$1:CB$87,Formula!D45,41)),IF(INDEX(Properties!A$1:CB$87,Formula!F45,41)=0,10^6,INDEX(Properties!A$1:CB$87,Formula!F45,41)),IF(INDEX(Properties!A$1:CB$87,Formula!H45,41)=0,10^6,INDEX(Properties!A$1:CB$87,Formula!H45,41)),IF(INDEX(Properties!A$1:CB$87,Formula!J45,41)=0,10^6,INDEX(Properties!A$1:CB$87,Formula!J45,41)))</f>
        <v>0.86</v>
      </c>
      <c r="EC45" s="75">
        <f t="shared" si="21"/>
        <v>0.46000000000000008</v>
      </c>
      <c r="ED45" s="48">
        <f>((Formula!C45)/(Formula!C45+Formula!E45+Formula!G45+Formula!I45+Formula!K45))*(INDEX(Properties!A$1:CB$87,Formula!B45,45))+((Formula!E45)/(Formula!C45+Formula!E45+Formula!G45+Formula!I45+Formula!K45))*(INDEX(Properties!A$1:CB$87,Formula!D45,45))+((Formula!G45)/(Formula!C45+Formula!E45+Formula!G45+Formula!I45+Formula!K45))*(INDEX(Properties!A$1:CB$87,Formula!F45,45))+((Formula!I45)/(Formula!C45+Formula!E45+Formula!G45+Formula!I45+Formula!K45))*(INDEX(Properties!A$1:CB$87,Formula!H45,45))+((Formula!K45)/(Formula!C45+Formula!E45+Formula!G45+Formula!I45+Formula!K45))*(INDEX(Properties!A$1:CB$87,Formula!J45,45))</f>
        <v>1.375</v>
      </c>
      <c r="EE45" s="48">
        <f>Formula!C45*(INDEX(Properties!A$1:CB$87,Formula!B45,45))+Formula!E45*(INDEX(Properties!A$1:CB$87,Formula!D45,45))+Formula!G45*(INDEX(Properties!A$1:CB$87,Formula!F45,45))+Formula!I45*(INDEX(Properties!A$1:CB$87,Formula!H45,45))+Formula!K45*(INDEX(Properties!A$1:CB$87,Formula!J45,45))</f>
        <v>13.75</v>
      </c>
      <c r="EF45" s="48">
        <f>VARP(IF(INDEX(Properties!A$1:CB$87,Formula!B45,45)&lt;&gt;"",INDEX(Properties!A$1:CB$87,Formula!B45,45)),IF(INDEX(Properties!A$1:CB$87,Formula!D45,45)&lt;&gt;"",INDEX(Properties!A$1:CB$87,Formula!D45,45)),IF(INDEX(Properties!A$1:CB$87,Formula!F45,45)&lt;&gt;"",INDEX(Properties!A$1:CB$87,Formula!F45,45)),IF(INDEX(Properties!A$1:CB$87,Formula!H45,45)&lt;&gt;"",INDEX(Properties!A$1:CB$87,Formula!H45,45)),IF(INDEX(Properties!A$1:CB$87,Formula!J45,45)&lt;&gt;"",INDEX(Properties!A$1:CB$87,Formula!J45,45)))</f>
        <v>1.0342799999999999</v>
      </c>
      <c r="EG45" s="48">
        <f>MAX(INDEX(Properties!A$1:CB$87,Formula!B45,45),INDEX(Properties!A$1:CB$87,Formula!D45,45),INDEX(Properties!A$1:CB$87,Formula!F45,45),INDEX(Properties!A$1:CB$87,Formula!H45,45),INDEX(Properties!A$1:CB$87,Formula!J45,45))</f>
        <v>3.21</v>
      </c>
      <c r="EH45" s="48">
        <f>MIN(IF(INDEX(Properties!A$1:CB$87,Formula!B45,45)=0,10^6,INDEX(Properties!A$1:CB$87,Formula!B45,45)),IF(INDEX(Properties!A$1:CB$87,Formula!D45,45)=0,10^6,INDEX(Properties!A$1:CB$87,Formula!D45,45)),IF(INDEX(Properties!A$1:CB$87,Formula!F45,45)=0,10^6,INDEX(Properties!A$1:CB$87,Formula!F45,45)),IF(INDEX(Properties!A$1:CB$87,Formula!H45,45)=0,10^6,INDEX(Properties!A$1:CB$87,Formula!H45,45)),IF(INDEX(Properties!A$1:CB$87,Formula!J45,45)=0,10^6,INDEX(Properties!A$1:CB$87,Formula!J45,45)))</f>
        <v>0.47</v>
      </c>
      <c r="EI45" s="48">
        <f t="shared" si="22"/>
        <v>2.74</v>
      </c>
      <c r="EJ45" s="66">
        <f>((Formula!C45)/(Formula!C45+Formula!E45+Formula!G45+Formula!I45+Formula!K45))*(INDEX(Properties!A$1:CB$87,Formula!B45,46))+((Formula!E45)/(Formula!C45+Formula!E45+Formula!G45+Formula!I45+Formula!K45))*(INDEX(Properties!A$1:CB$87,Formula!D45,46))+((Formula!G45)/(Formula!C45+Formula!E45+Formula!G45+Formula!I45+Formula!K45))*(INDEX(Properties!A$1:CB$87,Formula!F45,46))+((Formula!I45)/(Formula!C45+Formula!E45+Formula!G45+Formula!I45+Formula!K45))*(INDEX(Properties!A$1:CB$87,Formula!H45,46))+((Formula!K45)/(Formula!C45+Formula!E45+Formula!G45+Formula!I45+Formula!K45))*(INDEX(Properties!A$1:CB$87,Formula!J45,46))</f>
        <v>1.1459999999999999</v>
      </c>
      <c r="EK45" s="66">
        <f>Formula!C45*(INDEX(Properties!A$1:CB$87,Formula!B45,46))+Formula!E45*(INDEX(Properties!A$1:CB$87,Formula!D45,46))+Formula!G45*(INDEX(Properties!A$1:CB$87,Formula!F45,46))+Formula!I45*(INDEX(Properties!A$1:CB$87,Formula!H45,46))+Formula!K45*(INDEX(Properties!A$1:CB$87,Formula!J45,46))</f>
        <v>11.46</v>
      </c>
      <c r="EL45" s="66">
        <f>VARP(IF(INDEX(Properties!A$1:CB$87,Formula!B45,46)&lt;&gt;"",INDEX(Properties!A$1:CB$87,Formula!B45,46)),IF(INDEX(Properties!A$1:CB$87,Formula!D45,46)&lt;&gt;"",INDEX(Properties!A$1:CB$87,Formula!D45,46)),IF(INDEX(Properties!A$1:CB$87,Formula!F45,46)&lt;&gt;"",INDEX(Properties!A$1:CB$87,Formula!F45,46)),IF(INDEX(Properties!A$1:CB$87,Formula!H45,46)&lt;&gt;"",INDEX(Properties!A$1:CB$87,Formula!H45,46)),IF(INDEX(Properties!A$1:CB$87,Formula!J45,46)&lt;&gt;"",INDEX(Properties!A$1:CB$87,Formula!J45,46)))</f>
        <v>7.1696000000000162E-2</v>
      </c>
      <c r="EM45" s="66">
        <f>MAX(INDEX(Properties!A$1:CB$87,Formula!B45,46),INDEX(Properties!A$1:CB$87,Formula!D45,46),INDEX(Properties!A$1:CB$87,Formula!F45,46),INDEX(Properties!A$1:CB$87,Formula!H45,46),INDEX(Properties!A$1:CB$87,Formula!J45,46))</f>
        <v>1.36</v>
      </c>
      <c r="EN45" s="66">
        <f>MIN(IF(INDEX(Properties!A$1:CB$87,Formula!B45,46)=0,10^6,INDEX(Properties!A$1:CB$87,Formula!B45,46)),IF(INDEX(Properties!A$1:CB$87,Formula!D45,46)=0,10^6,INDEX(Properties!A$1:CB$87,Formula!D45,46)),IF(INDEX(Properties!A$1:CB$87,Formula!F45,46)=0,10^6,INDEX(Properties!A$1:CB$87,Formula!F45,46)),IF(INDEX(Properties!A$1:CB$87,Formula!H45,46)=0,10^6,INDEX(Properties!A$1:CB$87,Formula!H45,46)),IF(INDEX(Properties!A$1:CB$87,Formula!J45,46)=0,10^6,INDEX(Properties!A$1:CB$87,Formula!J45,46)))</f>
        <v>0.74</v>
      </c>
      <c r="EO45" s="66">
        <f t="shared" si="23"/>
        <v>0.62000000000000011</v>
      </c>
      <c r="EP45" s="81">
        <f>((Formula!C45)/(Formula!C45+Formula!E45+Formula!G45+Formula!I45+Formula!K45))*(INDEX(Properties!A$1:CB$87,Formula!B45,52))+((Formula!E45)/(Formula!C45+Formula!E45+Formula!G45+Formula!I45+Formula!K45))*(INDEX(Properties!A$1:CB$87,Formula!D45,52))+((Formula!G45)/(Formula!C45+Formula!E45+Formula!G45+Formula!I45+Formula!K45))*(INDEX(Properties!A$1:CB$87,Formula!F45,52))+((Formula!I45)/(Formula!C45+Formula!E45+Formula!G45+Formula!I45+Formula!K45))*(INDEX(Properties!A$1:CB$87,Formula!H45,52))+((Formula!K45)/(Formula!C45+Formula!E45+Formula!G45+Formula!I45+Formula!K45))*(INDEX(Properties!A$1:CB$87,Formula!J45,52))</f>
        <v>8.5558000000000014</v>
      </c>
      <c r="EQ45" s="81">
        <f>Formula!C45*(INDEX(Properties!A$1:CB$87,Formula!B45,52))+Formula!E45*(INDEX(Properties!A$1:CB$87,Formula!D45,52))+Formula!G45*(INDEX(Properties!A$1:CB$87,Formula!F45,52))+Formula!I45*(INDEX(Properties!A$1:CB$87,Formula!H45,52))+Formula!K45*(INDEX(Properties!A$1:CB$87,Formula!J45,52))</f>
        <v>85.558000000000007</v>
      </c>
      <c r="ER45" s="81">
        <f>VARP(IF(INDEX(Properties!A$1:CB$87,Formula!B45,52)&lt;&gt;"",INDEX(Properties!A$1:CB$87,Formula!B45,52)),IF(INDEX(Properties!A$1:CB$87,Formula!D45,52)&lt;&gt;"",INDEX(Properties!A$1:CB$87,Formula!D45,52)),IF(INDEX(Properties!A$1:CB$87,Formula!F45,52)&lt;&gt;"",INDEX(Properties!A$1:CB$87,Formula!F45,52)),IF(INDEX(Properties!A$1:CB$87,Formula!H45,52)&lt;&gt;"",INDEX(Properties!A$1:CB$87,Formula!H45,52)),IF(INDEX(Properties!A$1:CB$87,Formula!J45,52)&lt;&gt;"",INDEX(Properties!A$1:CB$87,Formula!J45,52)))</f>
        <v>137.11306383999997</v>
      </c>
      <c r="ES45" s="81">
        <f>MAX(INDEX(Properties!A$1:CB$87,Formula!B45,52),INDEX(Properties!A$1:CB$87,Formula!D45,52),INDEX(Properties!A$1:CB$87,Formula!F45,52),INDEX(Properties!A$1:CB$87,Formula!H45,52),INDEX(Properties!A$1:CB$87,Formula!J45,52))</f>
        <v>31.1</v>
      </c>
      <c r="ET45" s="81">
        <f>MIN(IF(INDEX(Properties!A$1:CB$87,Formula!B45,52)=0,10^6,INDEX(Properties!A$1:CB$87,Formula!B45,52)),IF(INDEX(Properties!A$1:CB$87,Formula!D45,52)=0,10^6,INDEX(Properties!A$1:CB$87,Formula!D45,52)),IF(INDEX(Properties!A$1:CB$87,Formula!F45,52)=0,10^6,INDEX(Properties!A$1:CB$87,Formula!F45,52)),IF(INDEX(Properties!A$1:CB$87,Formula!H45,52)=0,10^6,INDEX(Properties!A$1:CB$87,Formula!H45,52)),IF(INDEX(Properties!A$1:CB$87,Formula!J45,52)=0,10^6,INDEX(Properties!A$1:CB$87,Formula!J45,52)))</f>
        <v>0.79300000000000004</v>
      </c>
      <c r="EU45" s="81">
        <f t="shared" si="24"/>
        <v>30.307000000000002</v>
      </c>
      <c r="EV45" s="39">
        <f>((Formula!C45)/(Formula!C45+Formula!E45+Formula!G45+Formula!I45+Formula!K45))*(INDEX(Properties!A$1:CB$87,Formula!B45,53))+((Formula!E45)/(Formula!C45+Formula!E45+Formula!G45+Formula!I45+Formula!K45))*(INDEX(Properties!A$1:CB$87,Formula!D45,53))+((Formula!G45)/(Formula!C45+Formula!E45+Formula!G45+Formula!I45+Formula!K45))*(INDEX(Properties!A$1:CB$87,Formula!F45,53))+((Formula!I45)/(Formula!C45+Formula!E45+Formula!G45+Formula!I45+Formula!K45))*(INDEX(Properties!A$1:CB$87,Formula!H45,53))+((Formula!K45)/(Formula!C45+Formula!E45+Formula!G45+Formula!I45+Formula!K45))*(INDEX(Properties!A$1:CB$87,Formula!J45,53))</f>
        <v>599.7700000000001</v>
      </c>
      <c r="EW45" s="39">
        <f>Formula!C45*(INDEX(Properties!A$1:CB$87,Formula!B45,53))+Formula!E45*(INDEX(Properties!A$1:CB$87,Formula!D45,53))+Formula!G45*(INDEX(Properties!A$1:CB$87,Formula!F45,53))+Formula!I45*(INDEX(Properties!A$1:CB$87,Formula!H45,53))+Formula!K45*(INDEX(Properties!A$1:CB$87,Formula!J45,53))</f>
        <v>5997.7000000000007</v>
      </c>
      <c r="EX45" s="39">
        <f>VARP(IF(INDEX(Properties!A$1:CB$87,Formula!B45,53)&lt;&gt;"",INDEX(Properties!A$1:CB$87,Formula!B45,53)),IF(INDEX(Properties!A$1:CB$87,Formula!D45,53)&lt;&gt;"",INDEX(Properties!A$1:CB$87,Formula!D45,53)),IF(INDEX(Properties!A$1:CB$87,Formula!F45,53)&lt;&gt;"",INDEX(Properties!A$1:CB$87,Formula!F45,53)),IF(INDEX(Properties!A$1:CB$87,Formula!H45,53)&lt;&gt;"",INDEX(Properties!A$1:CB$87,Formula!H45,53)),IF(INDEX(Properties!A$1:CB$87,Formula!J45,53)&lt;&gt;"",INDEX(Properties!A$1:CB$87,Formula!J45,53)))</f>
        <v>790753.25439999998</v>
      </c>
      <c r="EY45" s="39">
        <f>MAX(INDEX(Properties!A$1:CB$87,Formula!B45,53),INDEX(Properties!A$1:CB$87,Formula!D45,53),INDEX(Properties!A$1:CB$87,Formula!F45,53),INDEX(Properties!A$1:CB$87,Formula!H45,53),INDEX(Properties!A$1:CB$87,Formula!J45,53))</f>
        <v>2741.15</v>
      </c>
      <c r="EZ45" s="39">
        <f>MIN(IF(INDEX(Properties!A$1:CB$87,Formula!B45,53)=0,10^6,INDEX(Properties!A$1:CB$87,Formula!B45,53)),IF(INDEX(Properties!A$1:CB$87,Formula!D45,53)=0,10^6,INDEX(Properties!A$1:CB$87,Formula!D45,53)),IF(INDEX(Properties!A$1:CB$87,Formula!F45,53)=0,10^6,INDEX(Properties!A$1:CB$87,Formula!F45,53)),IF(INDEX(Properties!A$1:CB$87,Formula!H45,53)=0,10^6,INDEX(Properties!A$1:CB$87,Formula!H45,53)),IF(INDEX(Properties!A$1:CB$87,Formula!J45,53)=0,10^6,INDEX(Properties!A$1:CB$87,Formula!J45,53)))</f>
        <v>54.749999999999972</v>
      </c>
      <c r="FA45" s="39">
        <f t="shared" si="25"/>
        <v>2686.4</v>
      </c>
      <c r="FB45" s="54">
        <f>((Formula!C45)/(Formula!C45+Formula!E45+Formula!G45+Formula!I45+Formula!K45))*(INDEX(Properties!A$1:CB$87,Formula!B45,54))+((Formula!E45)/(Formula!C45+Formula!E45+Formula!G45+Formula!I45+Formula!K45))*(INDEX(Properties!A$1:CB$87,Formula!D45,54))+((Formula!G45)/(Formula!C45+Formula!E45+Formula!G45+Formula!I45+Formula!K45))*(INDEX(Properties!A$1:CB$87,Formula!F45,54))+((Formula!I45)/(Formula!C45+Formula!E45+Formula!G45+Formula!I45+Formula!K45))*(INDEX(Properties!A$1:CB$87,Formula!H45,54))+((Formula!K45)/(Formula!C45+Formula!E45+Formula!G45+Formula!I45+Formula!K45))*(INDEX(Properties!A$1:CB$87,Formula!J45,54))</f>
        <v>1211.95</v>
      </c>
      <c r="FC45" s="54">
        <f>Formula!C45*(INDEX(Properties!A$1:CB$87,Formula!B45,54))+Formula!E45*(INDEX(Properties!A$1:CB$87,Formula!D45,54))+Formula!G45*(INDEX(Properties!A$1:CB$87,Formula!F45,54))+Formula!I45*(INDEX(Properties!A$1:CB$87,Formula!H45,54))+Formula!K45*(INDEX(Properties!A$1:CB$87,Formula!J45,54))</f>
        <v>12119.5</v>
      </c>
      <c r="FD45" s="54">
        <f>VARP(IF(INDEX(Properties!A$1:CB$87,Formula!B45,54)&lt;&gt;"",INDEX(Properties!A$1:CB$87,Formula!B45,54)),IF(INDEX(Properties!A$1:CB$87,Formula!D45,54)&lt;&gt;"",INDEX(Properties!A$1:CB$87,Formula!D45,54)),IF(INDEX(Properties!A$1:CB$87,Formula!F45,54)&lt;&gt;"",INDEX(Properties!A$1:CB$87,Formula!F45,54)),IF(INDEX(Properties!A$1:CB$87,Formula!H45,54)&lt;&gt;"",INDEX(Properties!A$1:CB$87,Formula!H45,54)),IF(INDEX(Properties!A$1:CB$87,Formula!J45,54)&lt;&gt;"",INDEX(Properties!A$1:CB$87,Formula!J45,54)))</f>
        <v>3191219.8399999989</v>
      </c>
      <c r="FE45" s="54">
        <f>MAX(INDEX(Properties!A$1:CB$87,Formula!B45,54),INDEX(Properties!A$1:CB$87,Formula!D45,54),INDEX(Properties!A$1:CB$87,Formula!F45,54),INDEX(Properties!A$1:CB$87,Formula!H45,54),INDEX(Properties!A$1:CB$87,Formula!J45,54))</f>
        <v>5015.1499999999996</v>
      </c>
      <c r="FF45" s="54">
        <f>MIN(IF(INDEX(Properties!A$1:CB$87,Formula!B45,54)=0,10^6,INDEX(Properties!A$1:CB$87,Formula!B45,54)),IF(INDEX(Properties!A$1:CB$87,Formula!D45,54)=0,10^6,INDEX(Properties!A$1:CB$87,Formula!D45,54)),IF(INDEX(Properties!A$1:CB$87,Formula!F45,54)=0,10^6,INDEX(Properties!A$1:CB$87,Formula!F45,54)),IF(INDEX(Properties!A$1:CB$87,Formula!H45,54)=0,10^6,INDEX(Properties!A$1:CB$87,Formula!H45,54)),IF(INDEX(Properties!A$1:CB$87,Formula!J45,54)=0,10^6,INDEX(Properties!A$1:CB$87,Formula!J45,54)))</f>
        <v>90.149999999999977</v>
      </c>
      <c r="FG45" s="54">
        <f t="shared" si="26"/>
        <v>4925</v>
      </c>
      <c r="FH45" s="69">
        <f>((Formula!C45)/(Formula!C45+Formula!E45+Formula!G45+Formula!I45+Formula!K45))*(INDEX(Properties!A$1:CB$87,Formula!B45,55))+((Formula!E45)/(Formula!C45+Formula!E45+Formula!G45+Formula!I45+Formula!K45))*(INDEX(Properties!A$1:CB$87,Formula!D45,55))+((Formula!G45)/(Formula!C45+Formula!E45+Formula!G45+Formula!I45+Formula!K45))*(INDEX(Properties!A$1:CB$87,Formula!F45,55))+((Formula!I45)/(Formula!C45+Formula!E45+Formula!G45+Formula!I45+Formula!K45))*(INDEX(Properties!A$1:CB$87,Formula!H45,55))+((Formula!K45)/(Formula!C45+Formula!E45+Formula!G45+Formula!I45+Formula!K45))*(INDEX(Properties!A$1:CB$87,Formula!J45,55))</f>
        <v>2.4488580000000004</v>
      </c>
      <c r="FI45" s="69">
        <f>Formula!C45*(INDEX(Properties!A$1:CB$87,Formula!B45,55))+Formula!E45*(INDEX(Properties!A$1:CB$87,Formula!D45,54))+Formula!G45*(INDEX(Properties!A$1:CB$87,Formula!F45,55))+Formula!I45*(INDEX(Properties!A$1:CB$87,Formula!H45,55))+Formula!K45*(INDEX(Properties!A$1:CB$87,Formula!J45,55))</f>
        <v>3745.4885800000006</v>
      </c>
      <c r="FJ45" s="69">
        <f>VARP(IF(INDEX(Properties!A$1:CB$87,Formula!B45,55)&lt;&gt;"",INDEX(Properties!A$1:CB$87,Formula!B45,55)),IF(INDEX(Properties!A$1:CB$87,Formula!D45,55)&lt;&gt;"",INDEX(Properties!A$1:CB$87,Formula!D45,55)),IF(INDEX(Properties!A$1:CB$87,Formula!F45,55)&lt;&gt;"",INDEX(Properties!A$1:CB$87,Formula!F45,55)),IF(INDEX(Properties!A$1:CB$87,Formula!H45,55)&lt;&gt;"",INDEX(Properties!A$1:CB$87,Formula!H45,55)),IF(INDEX(Properties!A$1:CB$87,Formula!J45,55)&lt;&gt;"",INDEX(Properties!A$1:CB$87,Formula!J45,55)))</f>
        <v>9.8306238151840031</v>
      </c>
      <c r="FK45" s="69">
        <f>MAX(INDEX(Properties!A$1:CB$87,Formula!B45,55),INDEX(Properties!A$1:CB$87,Formula!D45,55),INDEX(Properties!A$1:CB$87,Formula!F45,55),INDEX(Properties!A$1:CB$87,Formula!H45,55),INDEX(Properties!A$1:CB$87,Formula!J45,55))</f>
        <v>8.57</v>
      </c>
      <c r="FL45" s="69">
        <f>MIN(IF(INDEX(Properties!A$1:CB$87,Formula!B45,55)=0,10^6,INDEX(Properties!A$1:CB$87,Formula!B45,55)),IF(INDEX(Properties!A$1:CB$87,Formula!D45,55)=0,10^6,INDEX(Properties!A$1:CB$87,Formula!D45,55)),IF(INDEX(Properties!A$1:CB$87,Formula!F45,55)=0,10^6,INDEX(Properties!A$1:CB$87,Formula!F45,55)),IF(INDEX(Properties!A$1:CB$87,Formula!H45,55)=0,10^6,INDEX(Properties!A$1:CB$87,Formula!H45,55)),IF(INDEX(Properties!A$1:CB$87,Formula!J45,55)=0,10^6,INDEX(Properties!A$1:CB$87,Formula!J45,55)))</f>
        <v>1.4300000000000001E-3</v>
      </c>
      <c r="FM45" s="69">
        <f t="shared" si="27"/>
        <v>8.5685700000000011</v>
      </c>
      <c r="FN45" s="42">
        <f>((Formula!C45)/(Formula!C45+Formula!E45+Formula!G45+Formula!I45+Formula!K45))*(INDEX(Properties!A$1:CB$87,Formula!B45,56))+((Formula!E45)/(Formula!C45+Formula!E45+Formula!G45+Formula!I45+Formula!K45))*(INDEX(Properties!A$1:CB$87,Formula!D45,56))+((Formula!G45)/(Formula!C45+Formula!E45+Formula!G45+Formula!I45+Formula!K45))*(INDEX(Properties!A$1:CB$87,Formula!F45,56))+((Formula!I45)/(Formula!C45+Formula!E45+Formula!G45+Formula!I45+Formula!K45))*(INDEX(Properties!A$1:CB$87,Formula!H45,56))+((Formula!K45)/(Formula!C45+Formula!E45+Formula!G45+Formula!I45+Formula!K45))*(INDEX(Properties!A$1:CB$87,Formula!J45,56))</f>
        <v>0.66600000000000004</v>
      </c>
      <c r="FO45" s="42">
        <f>Formula!C45*(INDEX(Properties!A$1:CB$87,Formula!B45,56))+Formula!E45*(INDEX(Properties!A$1:CB$87,Formula!D45,56))+Formula!G45*(INDEX(Properties!A$1:CB$87,Formula!F45,56))+Formula!I45*(INDEX(Properties!A$1:CB$87,Formula!H45,56))+Formula!K45*(INDEX(Properties!A$1:CB$87,Formula!J45,56))</f>
        <v>6.66</v>
      </c>
      <c r="FP45" s="42">
        <f>VARP(IF(INDEX(Properties!A$1:CB$87,Formula!B45,56)&lt;&gt;"",INDEX(Properties!A$1:CB$87,Formula!B45,56)),IF(INDEX(Properties!A$1:CB$87,Formula!D45,56)&lt;&gt;"",INDEX(Properties!A$1:CB$87,Formula!D45,56)),IF(INDEX(Properties!A$1:CB$87,Formula!F45,56)&lt;&gt;"",INDEX(Properties!A$1:CB$87,Formula!F45,56)),IF(INDEX(Properties!A$1:CB$87,Formula!H45,56)&lt;&gt;"",INDEX(Properties!A$1:CB$87,Formula!H45,56)),IF(INDEX(Properties!A$1:CB$87,Formula!J45,56)&lt;&gt;"",INDEX(Properties!A$1:CB$87,Formula!J45,56)))</f>
        <v>6.8696000000000021E-2</v>
      </c>
      <c r="FQ45" s="42">
        <f>MAX(INDEX(Properties!A$1:CB$87,Formula!B45,56),INDEX(Properties!A$1:CB$87,Formula!D45,56),INDEX(Properties!A$1:CB$87,Formula!F45,56),INDEX(Properties!A$1:CB$87,Formula!H45,56),INDEX(Properties!A$1:CB$87,Formula!J45,56))</f>
        <v>0.92</v>
      </c>
      <c r="FR45" s="42">
        <f>MIN(IF(INDEX(Properties!A$1:CB$87,Formula!B45,56)=0,10^6,INDEX(Properties!A$1:CB$87,Formula!B45,56)),IF(INDEX(Properties!A$1:CB$87,Formula!D45,56)=0,10^6,INDEX(Properties!A$1:CB$87,Formula!D45,56)),IF(INDEX(Properties!A$1:CB$87,Formula!F45,56)=0,10^6,INDEX(Properties!A$1:CB$87,Formula!F45,56)),IF(INDEX(Properties!A$1:CB$87,Formula!H45,56)=0,10^6,INDEX(Properties!A$1:CB$87,Formula!H45,56)),IF(INDEX(Properties!A$1:CB$87,Formula!J45,56)=0,10^6,INDEX(Properties!A$1:CB$87,Formula!J45,56)))</f>
        <v>0.19</v>
      </c>
      <c r="FS45" s="42">
        <f t="shared" si="28"/>
        <v>0.73</v>
      </c>
      <c r="FT45" s="60">
        <f>((Formula!C45)/(Formula!C45+Formula!E45+Formula!G45+Formula!I45+Formula!K45))*(INDEX(Properties!A$1:CB$87,Formula!B45,57))+((Formula!E45)/(Formula!C45+Formula!E45+Formula!G45+Formula!I45+Formula!K45))*(INDEX(Properties!A$1:CB$87,Formula!D45,57))+((Formula!G45)/(Formula!C45+Formula!E45+Formula!G45+Formula!I45+Formula!K45))*(INDEX(Properties!A$1:CB$87,Formula!F45,57))+((Formula!I45)/(Formula!C45+Formula!E45+Formula!G45+Formula!I45+Formula!K45))*(INDEX(Properties!A$1:CB$87,Formula!H45,57))+((Formula!K45)/(Formula!C45+Formula!E45+Formula!G45+Formula!I45+Formula!K45))*(INDEX(Properties!A$1:CB$87,Formula!J45,57))</f>
        <v>4.9557540000000007</v>
      </c>
      <c r="FU45" s="60">
        <f>Formula!C45*(INDEX(Properties!A$1:CB$87,Formula!B45,57))+Formula!E45*(INDEX(Properties!A$1:CB$87,Formula!D45,57))+Formula!G45*(INDEX(Properties!A$1:CB$87,Formula!F45,57))+Formula!I45*(INDEX(Properties!A$1:CB$87,Formula!H45,57))+Formula!K45*(INDEX(Properties!A$1:CB$87,Formula!J45,57))</f>
        <v>49.557539999999996</v>
      </c>
      <c r="FV45" s="60">
        <f>VARP(IF(INDEX(Properties!A$1:CB$87,Formula!B45,57)&lt;&gt;"",INDEX(Properties!A$1:CB$87,Formula!B45,57)),IF(INDEX(Properties!A$1:CB$87,Formula!D45,57)&lt;&gt;"",INDEX(Properties!A$1:CB$87,Formula!D45,57)),IF(INDEX(Properties!A$1:CB$87,Formula!F45,57)&lt;&gt;"",INDEX(Properties!A$1:CB$87,Formula!F45,57)),IF(INDEX(Properties!A$1:CB$87,Formula!H45,57)&lt;&gt;"",INDEX(Properties!A$1:CB$87,Formula!H45,57)),IF(INDEX(Properties!A$1:CB$87,Formula!J45,57)&lt;&gt;"",INDEX(Properties!A$1:CB$87,Formula!J45,57)))</f>
        <v>77.715114050896005</v>
      </c>
      <c r="FW45" s="60">
        <f>MAX(INDEX(Properties!A$1:CB$87,Formula!B45,57),INDEX(Properties!A$1:CB$87,Formula!D45,57),INDEX(Properties!A$1:CB$87,Formula!F45,57),INDEX(Properties!A$1:CB$87,Formula!H45,57),INDEX(Properties!A$1:CB$87,Formula!J45,57))</f>
        <v>26.4</v>
      </c>
      <c r="FX45" s="60">
        <f>MIN(IF(INDEX(Properties!A$1:CB$87,Formula!B45,57)=0,10^6,INDEX(Properties!A$1:CB$87,Formula!B45,57)),IF(INDEX(Properties!A$1:CB$87,Formula!D45,57)=0,10^6,INDEX(Properties!A$1:CB$87,Formula!D45,57)),IF(INDEX(Properties!A$1:CB$87,Formula!F45,57)=0,10^6,INDEX(Properties!A$1:CB$87,Formula!F45,57)),IF(INDEX(Properties!A$1:CB$87,Formula!H45,57)=0,10^6,INDEX(Properties!A$1:CB$87,Formula!H45,57)),IF(INDEX(Properties!A$1:CB$87,Formula!J45,57)=0,10^6,INDEX(Properties!A$1:CB$87,Formula!J45,57)))</f>
        <v>0.22259000000000001</v>
      </c>
      <c r="FY45" s="60">
        <f t="shared" si="29"/>
        <v>26.177409999999998</v>
      </c>
      <c r="FZ45" s="72">
        <f>((Formula!C45)/(Formula!C45+Formula!E45+Formula!G45+Formula!I45+Formula!K45))*(INDEX(Properties!A$1:CB$87,Formula!B45,60))+((Formula!E45)/(Formula!C45+Formula!E45+Formula!G45+Formula!I45+Formula!K45))*(INDEX(Properties!A$1:CB$87,Formula!D45,60))+((Formula!G45)/(Formula!C45+Formula!E45+Formula!G45+Formula!I45+Formula!K45))*(INDEX(Properties!A$1:CB$87,Formula!F45,60))+((Formula!I45)/(Formula!C45+Formula!E45+Formula!G45+Formula!I45+Formula!K45))*(INDEX(Properties!A$1:CB$87,Formula!H45,60))+((Formula!K45)/(Formula!C45+Formula!E45+Formula!G45+Formula!I45+Formula!K45))*(INDEX(Properties!A$1:CB$87,Formula!J45,60))</f>
        <v>21.866044000000002</v>
      </c>
      <c r="GA45" s="72">
        <f>Formula!C45*(INDEX(Properties!A$1:CB$87,Formula!B45,60))+Formula!E45*(INDEX(Properties!A$1:CB$87,Formula!D45,60))+Formula!G45*(INDEX(Properties!A$1:CB$87,Formula!F45,60))+Formula!I45*(INDEX(Properties!A$1:CB$87,Formula!H45,60))+Formula!K45*(INDEX(Properties!A$1:CB$87,Formula!J45,60))</f>
        <v>218.66043999999999</v>
      </c>
      <c r="GB45" s="72">
        <f>VARP(IF(INDEX(Properties!A$1:CB$87,Formula!B45,60)&lt;&gt;"",INDEX(Properties!A$1:CB$87,Formula!B45,60)),IF(INDEX(Properties!A$1:CB$87,Formula!D45,60)&lt;&gt;"",INDEX(Properties!A$1:CB$87,Formula!D45,60)),IF(INDEX(Properties!A$1:CB$87,Formula!F45,60)&lt;&gt;"",INDEX(Properties!A$1:CB$87,Formula!F45,60)),IF(INDEX(Properties!A$1:CB$87,Formula!H45,60)&lt;&gt;"",INDEX(Properties!A$1:CB$87,Formula!H45,60)),IF(INDEX(Properties!A$1:CB$87,Formula!J45,60)&lt;&gt;"",INDEX(Properties!A$1:CB$87,Formula!J45,60)))</f>
        <v>1643.4486992044156</v>
      </c>
      <c r="GC45" s="72">
        <f>MAX(INDEX(Properties!A$1:CB$87,Formula!B45,60),INDEX(Properties!A$1:CB$87,Formula!D45,60),INDEX(Properties!A$1:CB$87,Formula!F45,60),INDEX(Properties!A$1:CB$87,Formula!H45,60),INDEX(Properties!A$1:CB$87,Formula!J45,60))</f>
        <v>116</v>
      </c>
      <c r="GD45" s="72">
        <f>MIN(IF(INDEX(Properties!A$1:CB$87,Formula!B45,60)=0,10^6,INDEX(Properties!A$1:CB$87,Formula!B45,60)),IF(INDEX(Properties!A$1:CB$87,Formula!D45,60)=0,10^6,INDEX(Properties!A$1:CB$87,Formula!D45,60)),IF(INDEX(Properties!A$1:CB$87,Formula!F45,60)=0,10^6,INDEX(Properties!A$1:CB$87,Formula!F45,60)),IF(INDEX(Properties!A$1:CB$87,Formula!H45,60)=0,10^6,INDEX(Properties!A$1:CB$87,Formula!H45,60)),IF(INDEX(Properties!A$1:CB$87,Formula!J45,60)=0,10^6,INDEX(Properties!A$1:CB$87,Formula!J45,60)))</f>
        <v>2.674E-2</v>
      </c>
      <c r="GE45" s="72">
        <f t="shared" si="30"/>
        <v>115.97326</v>
      </c>
      <c r="GF45" s="51">
        <f>((Formula!C45)/(Formula!C45+Formula!E45+Formula!G45+Formula!I45+Formula!K45))*(INDEX(Properties!A$1:CB$87,Formula!B45,62))+((Formula!E45)/(Formula!C45+Formula!E45+Formula!G45+Formula!I45+Formula!K45))*(INDEX(Properties!A$1:CB$87,Formula!D45,62))+((Formula!G45)/(Formula!C45+Formula!E45+Formula!G45+Formula!I45+Formula!K45))*(INDEX(Properties!A$1:CB$87,Formula!F45,62))+((Formula!I45)/(Formula!C45+Formula!E45+Formula!G45+Formula!I45+Formula!K45))*(INDEX(Properties!A$1:CB$87,Formula!H45,62))+((Formula!K45)/(Formula!C45+Formula!E45+Formula!G45+Formula!I45+Formula!K45))*(INDEX(Properties!A$1:CB$87,Formula!J45,62))</f>
        <v>3.0830000000000002</v>
      </c>
      <c r="GG45" s="51">
        <f>Formula!C45*(INDEX(Properties!A$1:CB$87,Formula!B45,62))+Formula!E45*(INDEX(Properties!A$1:CB$87,Formula!D45,62))+Formula!G45*(INDEX(Properties!A$1:CB$87,Formula!F45,62))+Formula!I45*(INDEX(Properties!A$1:CB$87,Formula!H45,62))+Formula!K45*(INDEX(Properties!A$1:CB$87,Formula!J45,62))</f>
        <v>30.83</v>
      </c>
      <c r="GH45" s="51">
        <f>VARP(IF(INDEX(Properties!A$1:CB$87,Formula!B45,62)&lt;&gt;"",INDEX(Properties!A$1:CB$87,Formula!B45,62)),IF(INDEX(Properties!A$1:CB$87,Formula!D45,62)&lt;&gt;"",INDEX(Properties!A$1:CB$87,Formula!D45,62)),IF(INDEX(Properties!A$1:CB$87,Formula!F45,62)&lt;&gt;"",INDEX(Properties!A$1:CB$87,Formula!F45,62)),IF(INDEX(Properties!A$1:CB$87,Formula!H45,62)&lt;&gt;"",INDEX(Properties!A$1:CB$87,Formula!H45,62)),IF(INDEX(Properties!A$1:CB$87,Formula!J45,62)&lt;&gt;"",INDEX(Properties!A$1:CB$87,Formula!J45,62)))</f>
        <v>5.2121039999999992</v>
      </c>
      <c r="GI45" s="51">
        <f>MAX(INDEX(Properties!A$1:CB$87,Formula!B45,62),INDEX(Properties!A$1:CB$87,Formula!D45,62),INDEX(Properties!A$1:CB$87,Formula!F45,62),INDEX(Properties!A$1:CB$87,Formula!H45,62),INDEX(Properties!A$1:CB$87,Formula!J45,62))</f>
        <v>7.57</v>
      </c>
      <c r="GJ45" s="51">
        <f>MIN(IF(INDEX(Properties!A$1:CB$87,Formula!B45,62)=0,10^6,INDEX(Properties!A$1:CB$87,Formula!B45,62)),IF(INDEX(Properties!A$1:CB$87,Formula!D45,62)=0,10^6,INDEX(Properties!A$1:CB$87,Formula!D45,62)),IF(INDEX(Properties!A$1:CB$87,Formula!F45,62)=0,10^6,INDEX(Properties!A$1:CB$87,Formula!F45,62)),IF(INDEX(Properties!A$1:CB$87,Formula!H45,62)=0,10^6,INDEX(Properties!A$1:CB$87,Formula!H45,62)),IF(INDEX(Properties!A$1:CB$87,Formula!J45,62)=0,10^6,INDEX(Properties!A$1:CB$87,Formula!J45,62)))</f>
        <v>1.35</v>
      </c>
      <c r="GK45" s="51">
        <f t="shared" si="31"/>
        <v>6.2200000000000006</v>
      </c>
      <c r="GL45" s="51">
        <f>Formula!P45</f>
        <v>225</v>
      </c>
      <c r="GM45" s="57">
        <f>Formula!O45</f>
        <v>7</v>
      </c>
      <c r="GN45" s="51">
        <f>Formula!N45</f>
        <v>0.05</v>
      </c>
    </row>
    <row r="46" spans="1:196" x14ac:dyDescent="0.3">
      <c r="A46" s="84" t="str">
        <f>Formula!A46</f>
        <v>SrLaGaO4</v>
      </c>
      <c r="B46" s="89">
        <f>((Formula!C46)/(Formula!C46+Formula!E46+Formula!G46+Formula!I46+Formula!K46))*(INDEX(Properties!A$1:CB$87,Formula!B46,3))+((Formula!E46)/(Formula!C46+Formula!E46+Formula!G46+Formula!I46+Formula!K46))*(INDEX(Properties!A$1:CB$87,Formula!D46,3))+((Formula!G46)/(Formula!C46+Formula!E46+Formula!G46+Formula!I46+Formula!K46))*(INDEX(Properties!A$1:CB$87,Formula!F46,3))+((Formula!I46)/(Formula!C46+Formula!E46+Formula!G46+Formula!I46+Formula!K46))*(INDEX(Properties!A$1:CB$87,Formula!H46,3))+((Formula!K46)/(Formula!C46+Formula!E46+Formula!G46+Formula!I46+Formula!K46))*(INDEX(Properties!A$1:CB$87,Formula!J46,3))</f>
        <v>51.463728571428568</v>
      </c>
      <c r="C46" s="85">
        <f>Formula!C46*(INDEX(Properties!A$1:CB$87,Formula!B46,3))+Formula!E46*(INDEX(Properties!A$1:CB$87,Formula!D46,3))+Formula!G46*(INDEX(Properties!A$1:CB$87,Formula!F46,3))+Formula!I46*(INDEX(Properties!A$1:CB$87,Formula!H46,3))+Formula!K46*(INDEX(Properties!A$1:CB$87,Formula!J46,3))</f>
        <v>360.24609999999996</v>
      </c>
      <c r="D46" s="85">
        <f>VARP(IF(INDEX(Properties!A$1:CB$87,Formula!B46,3)&lt;&gt;"",INDEX(Properties!A$1:CB$87,Formula!B46,3)),IF(INDEX(Properties!A$1:CB$87,Formula!D46,3)&lt;&gt;"",INDEX(Properties!A$1:CB$87,Formula!D46,3)),IF(INDEX(Properties!A$1:CB$87,Formula!F46,3)&lt;&gt;"",INDEX(Properties!A$1:CB$87,Formula!F46,3)),IF(INDEX(Properties!A$1:CB$87,Formula!H46,3)&lt;&gt;"",INDEX(Properties!A$1:CB$87,Formula!H46,3)),IF(INDEX(Properties!A$1:CB$87,Formula!J46,3)&lt;&gt;"",INDEX(Properties!A$1:CB$87,Formula!J46,3)))</f>
        <v>2517.905929745601</v>
      </c>
      <c r="E46" s="85">
        <f>MAX(INDEX(Properties!A$1:CB$87,Formula!B46,3),INDEX(Properties!A$1:CB$87,Formula!D46,3),INDEX(Properties!A$1:CB$87,Formula!F46,3),INDEX(Properties!A$1:CB$87,Formula!H46,3),INDEX(Properties!A$1:CB$87,Formula!J46,3))</f>
        <v>138.90549999999999</v>
      </c>
      <c r="F46" s="85">
        <f>MIN(IF(INDEX(Properties!A$1:CB$87,Formula!B46,3)=0,10^6,INDEX(Properties!A$1:CB$87,Formula!B46,3)),IF(INDEX(Properties!A$1:CB$87,Formula!D46,3)=0,10^6,INDEX(Properties!A$1:CB$87,Formula!D46,3)),IF(INDEX(Properties!A$1:CB$87,Formula!F46,3)=0,10^6,INDEX(Properties!A$1:CB$87,Formula!F46,3)),IF(INDEX(Properties!A$1:CB$87,Formula!H46,3)=0,10^6,INDEX(Properties!A$1:CB$87,Formula!H46,3)),IF(INDEX(Properties!A$1:CB$87,Formula!J46,3)=0,10^6,INDEX(Properties!A$1:CB$87,Formula!J46,3)))</f>
        <v>15.9994</v>
      </c>
      <c r="G46" s="85">
        <f t="shared" si="0"/>
        <v>122.9061</v>
      </c>
      <c r="H46" s="87">
        <f>((Formula!C46)/(Formula!C46+Formula!E46+Formula!G46+Formula!I46+Formula!K46))*(INDEX(Properties!A$1:CB$87,Formula!B46,4))+((Formula!E46)/(Formula!C46+Formula!E46+Formula!G46+Formula!I46+Formula!K46))*(INDEX(Properties!A$1:CB$87,Formula!D46,4))+((Formula!G46)/(Formula!C46+Formula!E46+Formula!G46+Formula!I46+Formula!K46))*(INDEX(Properties!A$1:CB$87,Formula!F46,4))+((Formula!I46)/(Formula!C46+Formula!E46+Formula!G46+Formula!I46+Formula!K46))*(INDEX(Properties!A$1:CB$87,Formula!H46,4))+((Formula!K46)/(Formula!C46+Formula!E46+Formula!G46+Formula!I46+Formula!K46))*(INDEX(Properties!A$1:CB$87,Formula!J46,4))</f>
        <v>22.571428571428569</v>
      </c>
      <c r="I46" s="87">
        <f>Formula!C46*(INDEX(Properties!A$1:CB$87,Formula!B46,4))+Formula!E46*(INDEX(Properties!A$1:CB$87,Formula!D46,4))+Formula!G46*(INDEX(Properties!A$1:CB$87,Formula!F46,4))+Formula!I46*(INDEX(Properties!A$1:CB$87,Formula!H46,4))+Formula!K46*(INDEX(Properties!A$1:CB$87,Formula!J46,4))</f>
        <v>158</v>
      </c>
      <c r="J46" s="87">
        <f>VARP(IF(INDEX(Properties!A$1:CB$87,Formula!B46,4)&lt;&gt;"",INDEX(Properties!A$1:CB$87,Formula!B46,4)),IF(INDEX(Properties!A$1:CB$87,Formula!D46,4)&lt;&gt;"",INDEX(Properties!A$1:CB$87,Formula!D46,4)),IF(INDEX(Properties!A$1:CB$87,Formula!F46,4)&lt;&gt;"",INDEX(Properties!A$1:CB$87,Formula!F46,4)),IF(INDEX(Properties!A$1:CB$87,Formula!H46,4)&lt;&gt;"",INDEX(Properties!A$1:CB$87,Formula!H46,4)),IF(INDEX(Properties!A$1:CB$87,Formula!J46,4)&lt;&gt;"",INDEX(Properties!A$1:CB$87,Formula!J46,4)))</f>
        <v>425.36</v>
      </c>
      <c r="K46" s="87">
        <f>MAX(INDEX(Properties!A$1:CB$87,Formula!B46,4),INDEX(Properties!A$1:CB$87,Formula!D46,4),INDEX(Properties!A$1:CB$87,Formula!F46,4),INDEX(Properties!A$1:CB$87,Formula!H46,4),INDEX(Properties!A$1:CB$87,Formula!J46,4))</f>
        <v>57</v>
      </c>
      <c r="L46" s="87">
        <f>MIN(IF(INDEX(Properties!A$1:CB$87,Formula!B46,4)=0,10^6,INDEX(Properties!A$1:CB$87,Formula!B46,4)),IF(INDEX(Properties!A$1:CB$87,Formula!D46,4)=0,10^6,INDEX(Properties!A$1:CB$87,Formula!D46,4)),IF(INDEX(Properties!A$1:CB$87,Formula!F46,4)=0,10^6,INDEX(Properties!A$1:CB$87,Formula!F46,4)),IF(INDEX(Properties!A$1:CB$87,Formula!H46,4)=0,10^6,INDEX(Properties!A$1:CB$87,Formula!H46,4)),IF(INDEX(Properties!A$1:CB$87,Formula!J46,4)=0,10^6,INDEX(Properties!A$1:CB$87,Formula!J46,4)))</f>
        <v>8</v>
      </c>
      <c r="M46" s="87">
        <f t="shared" si="1"/>
        <v>49</v>
      </c>
      <c r="N46" s="89">
        <f>((Formula!C46)/(Formula!C46+Formula!E46+Formula!G46+Formula!I46+Formula!K46))*(INDEX(Properties!A$1:CB$87,Formula!B46,5))+((Formula!E46)/(Formula!C46+Formula!E46+Formula!G46+Formula!I46+Formula!K46))*(INDEX(Properties!A$1:CB$87,Formula!D46,5))+((Formula!G46)/(Formula!C46+Formula!E46+Formula!G46+Formula!I46+Formula!K46))*(INDEX(Properties!A$1:CB$87,Formula!F46,5))+((Formula!I46)/(Formula!C46+Formula!E46+Formula!G46+Formula!I46+Formula!K46))*(INDEX(Properties!A$1:CB$87,Formula!H46,5))+((Formula!K46)/(Formula!C46+Formula!E46+Formula!G46+Formula!I46+Formula!K46))*(INDEX(Properties!A$1:CB$87,Formula!J46,5))</f>
        <v>3.2857142857142851</v>
      </c>
      <c r="O46" s="89">
        <f>Formula!C46*(INDEX(Properties!A$1:CB$87,Formula!B46,5))+Formula!E46*(INDEX(Properties!A$1:CB$87,Formula!D46,5))+Formula!G46*(INDEX(Properties!A$1:CB$87,Formula!F46,5))+Formula!I46*(INDEX(Properties!A$1:CB$87,Formula!H46,5))+Formula!K46*(INDEX(Properties!A$1:CB$87,Formula!J46,5))</f>
        <v>23</v>
      </c>
      <c r="P46" s="89">
        <f>VARP(IF(INDEX(Properties!A$1:CB$87,Formula!B46,5)&lt;&gt;"",INDEX(Properties!A$1:CB$87,Formula!B46,5)),IF(INDEX(Properties!A$1:CB$87,Formula!D46,5)&lt;&gt;"",INDEX(Properties!A$1:CB$87,Formula!D46,5)),IF(INDEX(Properties!A$1:CB$87,Formula!F46,5)&lt;&gt;"",INDEX(Properties!A$1:CB$87,Formula!F46,5)),IF(INDEX(Properties!A$1:CB$87,Formula!H46,5)&lt;&gt;"",INDEX(Properties!A$1:CB$87,Formula!H46,5)),IF(INDEX(Properties!A$1:CB$87,Formula!J46,5)&lt;&gt;"",INDEX(Properties!A$1:CB$87,Formula!J46,5)))</f>
        <v>4.6399999999999997</v>
      </c>
      <c r="Q46" s="89">
        <f>MAX(INDEX(Properties!A$1:CB$87,Formula!B46,5),INDEX(Properties!A$1:CB$87,Formula!D46,5),INDEX(Properties!A$1:CB$87,Formula!F46,5),INDEX(Properties!A$1:CB$87,Formula!H46,5),INDEX(Properties!A$1:CB$87,Formula!J46,5))</f>
        <v>6</v>
      </c>
      <c r="R46" s="89">
        <f>MIN(IF(INDEX(Properties!A$1:CB$87,Formula!B46,5)=0,10^6,INDEX(Properties!A$1:CB$87,Formula!B46,5)),IF(INDEX(Properties!A$1:CB$87,Formula!D46,5)=0,10^6,INDEX(Properties!A$1:CB$87,Formula!D46,5)),IF(INDEX(Properties!A$1:CB$87,Formula!F46,5)=0,10^6,INDEX(Properties!A$1:CB$87,Formula!F46,5)),IF(INDEX(Properties!A$1:CB$87,Formula!H46,5)=0,10^6,INDEX(Properties!A$1:CB$87,Formula!H46,5)),IF(INDEX(Properties!A$1:CB$87,Formula!J46,5)=0,10^6,INDEX(Properties!A$1:CB$87,Formula!J46,5)))</f>
        <v>2</v>
      </c>
      <c r="S46" s="89">
        <f t="shared" si="2"/>
        <v>4</v>
      </c>
      <c r="T46" s="60">
        <f>((Formula!C46)/(Formula!C46+Formula!E46+Formula!G46+Formula!I46+Formula!K46))*(INDEX(Properties!A$1:CB$87,Formula!B46,6))+((Formula!E46)/(Formula!C46+Formula!E46+Formula!G46+Formula!I46+Formula!K46))*(INDEX(Properties!A$1:CB$87,Formula!D46,6))+((Formula!G46)/(Formula!C46+Formula!E46+Formula!G46+Formula!I46+Formula!K46))*(INDEX(Properties!A$1:CB$87,Formula!F46,6))+((Formula!I46)/(Formula!C46+Formula!E46+Formula!G46+Formula!I46+Formula!K46))*(INDEX(Properties!A$1:CB$87,Formula!H46,6))+((Formula!K46)/(Formula!C46+Formula!E46+Formula!G46+Formula!I46+Formula!K46))*(INDEX(Properties!A$1:CB$87,Formula!J46,6))</f>
        <v>11.714285714285714</v>
      </c>
      <c r="U46" s="60">
        <f>Formula!C46*(INDEX(Properties!A$1:CB$87,Formula!B46,6))+Formula!E46*(INDEX(Properties!A$1:CB$87,Formula!D46,6))+Formula!G46*(INDEX(Properties!A$1:CB$87,Formula!F46,6))+Formula!I46*(INDEX(Properties!A$1:CB$87,Formula!H46,6))+Formula!K46*(INDEX(Properties!A$1:CB$87,Formula!J46,6))</f>
        <v>82</v>
      </c>
      <c r="V46" s="89">
        <f>VARP(IF(INDEX(Properties!A$1:CB$87,Formula!B46,6)&lt;&gt;"",INDEX(Properties!A$1:CB$87,Formula!B46,6)),IF(INDEX(Properties!A$1:CB$87,Formula!D46,6)&lt;&gt;"",INDEX(Properties!A$1:CB$87,Formula!D46,6)),IF(INDEX(Properties!A$1:CB$87,Formula!F46,6)&lt;&gt;"",INDEX(Properties!A$1:CB$87,Formula!F46,6)),IF(INDEX(Properties!A$1:CB$87,Formula!H46,6)&lt;&gt;"",INDEX(Properties!A$1:CB$87,Formula!H46,6)),IF(INDEX(Properties!A$1:CB$87,Formula!J46,6)&lt;&gt;"",INDEX(Properties!A$1:CB$87,Formula!J46,6)))</f>
        <v>41.36</v>
      </c>
      <c r="W46" s="60">
        <f>MAX(INDEX(Properties!A$1:CB$87,Formula!B46,6),INDEX(Properties!A$1:CB$87,Formula!D46,6),INDEX(Properties!A$1:CB$87,Formula!F46,6),INDEX(Properties!A$1:CB$87,Formula!H46,4),INDEX(Properties!A$1:CB$87,Formula!J46,6))</f>
        <v>13</v>
      </c>
      <c r="X46" s="60">
        <f>MIN(IF(INDEX(Properties!A$1:CB$87,Formula!B46,6)=0,10^6,INDEX(Properties!A$1:CB$87,Formula!B46,6)),IF(INDEX(Properties!A$1:CB$87,Formula!D46,6)=0,10^6,INDEX(Properties!A$1:CB$87,Formula!D46,6)),IF(INDEX(Properties!A$1:CB$87,Formula!F46,6)=0,10^6,INDEX(Properties!A$1:CB$87,Formula!F46,6)),IF(INDEX(Properties!A$1:CB$87,Formula!H46,6)=0,10^6,INDEX(Properties!A$1:CB$87,Formula!H46,6)),IF(INDEX(Properties!A$1:CB$87,Formula!J46,6)=0,10^6,INDEX(Properties!A$1:CB$87,Formula!J46,6)))</f>
        <v>2</v>
      </c>
      <c r="Y46" s="60">
        <f t="shared" si="3"/>
        <v>11</v>
      </c>
      <c r="Z46" s="72">
        <f>((Formula!C46)/(Formula!C46+Formula!E46+Formula!G46+Formula!I46+Formula!K46))*(INDEX(Properties!A$1:CB$87,Formula!B46,9))+((Formula!E46)/(Formula!C46+Formula!E46+Formula!G46+Formula!I46+Formula!K46))*(INDEX(Properties!A$1:CB$87,Formula!D46,9))+((Formula!G46)/(Formula!C46+Formula!E46+Formula!G46+Formula!I46+Formula!K46))*(INDEX(Properties!A$1:CB$87,Formula!F46,9))+((Formula!I46)/(Formula!C46+Formula!E46+Formula!G46+Formula!I46+Formula!K46))*(INDEX(Properties!A$1:CB$87,Formula!H46,9))+((Formula!K46)/(Formula!C46+Formula!E46+Formula!G46+Formula!I46+Formula!K46))*(INDEX(Properties!A$1:CB$87,Formula!J46,9))</f>
        <v>63.285714285714278</v>
      </c>
      <c r="AA46" s="72">
        <f>Formula!C46*(INDEX(Properties!A$1:CB$87,Formula!B46,9))+Formula!E46*(INDEX(Properties!A$1:CB$87,Formula!D46,9))+Formula!G46*(INDEX(Properties!A$1:CB$87,Formula!F46,9))+Formula!I46*(INDEX(Properties!A$1:CB$87,Formula!H46,9))+Formula!K46*(INDEX(Properties!A$1:CB$87,Formula!J46,9))</f>
        <v>443</v>
      </c>
      <c r="AB46" s="72">
        <f>VARP(IF(INDEX(Properties!A$1:CB$87,Formula!B46,9)&lt;&gt;"",INDEX(Properties!A$1:CB$87,Formula!B46,9)),IF(INDEX(Properties!A$1:CB$87,Formula!D46,9)&lt;&gt;"",INDEX(Properties!A$1:CB$87,Formula!D46,9)),IF(INDEX(Properties!A$1:CB$87,Formula!F46,9)&lt;&gt;"",INDEX(Properties!A$1:CB$87,Formula!F46,9)),IF(INDEX(Properties!A$1:CB$87,Formula!H46,9)&lt;&gt;"",INDEX(Properties!A$1:CB$87,Formula!H46,9)),IF(INDEX(Properties!A$1:CB$87,Formula!J46,9)&lt;&gt;"",INDEX(Properties!A$1:CB$87,Formula!J46,9)))</f>
        <v>1330.64</v>
      </c>
      <c r="AC46" s="72">
        <f>MAX(INDEX(Properties!A$1:CB$87,Formula!B46,9),INDEX(Properties!A$1:CB$87,Formula!D46,9),INDEX(Properties!A$1:CB$87,Formula!F46,9),INDEX(Properties!A$1:CB$87,Formula!H46,9),INDEX(Properties!A$1:CB$87,Formula!J46,9))</f>
        <v>87</v>
      </c>
      <c r="AD46" s="72">
        <f>MIN(IF(INDEX(Properties!A$1:CB$87,Formula!B46,9)=0,10^6,INDEX(Properties!A$1:CB$87,Formula!B46,9)),IF(INDEX(Properties!A$1:CB$87,Formula!D46,9)=0,10^6,INDEX(Properties!A$1:CB$87,Formula!D46,9)),IF(INDEX(Properties!A$1:CB$87,Formula!F46,9)=0,10^6,INDEX(Properties!A$1:CB$87,Formula!F46,9)),IF(INDEX(Properties!A$1:CB$87,Formula!H46,9)=0,10^6,INDEX(Properties!A$1:CB$87,Formula!H46,9)),IF(INDEX(Properties!A$1:CB$87,Formula!J46,9)=0,10^6,INDEX(Properties!A$1:CB$87,Formula!J46,9)))</f>
        <v>8</v>
      </c>
      <c r="AE46" s="72">
        <f t="shared" si="4"/>
        <v>79</v>
      </c>
      <c r="AF46" s="51">
        <f>((Formula!C46)/(Formula!C46+Formula!E46+Formula!G46+Formula!I46+Formula!K46))*(INDEX(Properties!A$1:CB$87,Formula!B46,10))+((Formula!E46)/(Formula!C46+Formula!E46+Formula!G46+Formula!I46+Formula!K46))*(INDEX(Properties!A$1:CB$87,Formula!D46,10))+((Formula!G46)/(Formula!C46+Formula!E46+Formula!G46+Formula!I46+Formula!K46))*(INDEX(Properties!A$1:CB$87,Formula!F46,10))+((Formula!I46)/(Formula!C46+Formula!E46+Formula!G46+Formula!I46+Formula!K46))*(INDEX(Properties!A$1:CB$87,Formula!H46,10))+((Formula!K46)/(Formula!C46+Formula!E46+Formula!G46+Formula!I46+Formula!K46))*(INDEX(Properties!A$1:CB$87,Formula!J46,10))</f>
        <v>5.4285714285714288</v>
      </c>
      <c r="AG46" s="51">
        <f>Formula!C46*(INDEX(Properties!A$1:CB$87,Formula!B46,10))+Formula!E46*(INDEX(Properties!A$1:CB$87,Formula!D46,10))+Formula!G46*(INDEX(Properties!A$1:CB$87,Formula!F46,10))+Formula!I46*(INDEX(Properties!A$1:CB$87,Formula!H46,10))+Formula!K46*(INDEX(Properties!A$1:CB$87,Formula!J46,10))</f>
        <v>38</v>
      </c>
      <c r="AH46" s="51">
        <f>VARP(IF(INDEX(Properties!A$1:CB$87,Formula!B46,10)&lt;&gt;"",INDEX(Properties!A$1:CB$87,Formula!B46,10)),IF(INDEX(Properties!A$1:CB$87,Formula!D46,10)&lt;&gt;"",INDEX(Properties!A$1:CB$87,Formula!D46,10)),IF(INDEX(Properties!A$1:CB$87,Formula!F46,10)&lt;&gt;"",INDEX(Properties!A$1:CB$87,Formula!F46,10)),IF(INDEX(Properties!A$1:CB$87,Formula!H46,10)&lt;&gt;"",INDEX(Properties!A$1:CB$87,Formula!H46,10)),IF(INDEX(Properties!A$1:CB$87,Formula!J46,10)&lt;&gt;"",INDEX(Properties!A$1:CB$87,Formula!J46,10)))</f>
        <v>5.84</v>
      </c>
      <c r="AI46" s="51">
        <f>MAX(INDEX(Properties!A$1:CB$87,Formula!B46,10),INDEX(Properties!A$1:CB$87,Formula!D46,10),INDEX(Properties!A$1:CB$87,Formula!F46,10),INDEX(Properties!A$1:CB$87,Formula!H46,10),INDEX(Properties!A$1:CB$87,Formula!J46,10))</f>
        <v>7</v>
      </c>
      <c r="AJ46" s="51">
        <f>MIN(IF(INDEX(Properties!A$1:CB$87,Formula!B46,10)=0,10^6,INDEX(Properties!A$1:CB$87,Formula!B46,10)),IF(INDEX(Properties!A$1:CB$87,Formula!D46,10)=0,10^6,INDEX(Properties!A$1:CB$87,Formula!D46,10)),IF(INDEX(Properties!A$1:CB$87,Formula!F46,10)=0,10^6,INDEX(Properties!A$1:CB$87,Formula!F46,10)),IF(INDEX(Properties!A$1:CB$87,Formula!H46,10)=0,10^6,INDEX(Properties!A$1:CB$87,Formula!H46,10)),IF(INDEX(Properties!A$1:CB$87,Formula!J46,10)=0,10^6,INDEX(Properties!A$1:CB$87,Formula!J46,10)))</f>
        <v>2</v>
      </c>
      <c r="AK46" s="51">
        <f t="shared" si="5"/>
        <v>5</v>
      </c>
      <c r="AL46" s="57">
        <f>((Formula!C46)/(Formula!C46+Formula!E46+Formula!G46+Formula!I46+Formula!K46))*(INDEX(Properties!A$1:CB$87,Formula!B46,11))+((Formula!E46)/(Formula!C46+Formula!E46+Formula!G46+Formula!I46+Formula!K46))*(INDEX(Properties!A$1:CB$87,Formula!D46,11))+((Formula!G46)/(Formula!C46+Formula!E46+Formula!G46+Formula!I46+Formula!K46))*(INDEX(Properties!A$1:CB$87,Formula!F46,11))+((Formula!I46)/(Formula!C46+Formula!E46+Formula!G46+Formula!I46+Formula!K46))*(INDEX(Properties!A$1:CB$87,Formula!H46,11))+((Formula!K46)/(Formula!C46+Formula!E46+Formula!G46+Formula!I46+Formula!K46))*(INDEX(Properties!A$1:CB$87,Formula!J46,11))</f>
        <v>2</v>
      </c>
      <c r="AM46" s="57">
        <f>Formula!C46*(INDEX(Properties!A$1:CB$87,Formula!B46,11))+Formula!E46*(INDEX(Properties!A$1:CB$87,Formula!D46,11))+Formula!G46*(INDEX(Properties!A$1:CB$87,Formula!F46,11))+Formula!I46*(INDEX(Properties!A$1:CB$87,Formula!H46,11))+Formula!K46*(INDEX(Properties!A$1:CB$87,Formula!J46,11))</f>
        <v>14</v>
      </c>
      <c r="AN46" s="57">
        <f>VARP(IF(INDEX(Properties!A$1:CB$87,Formula!B46,11)&lt;&gt;"",INDEX(Properties!A$1:CB$87,Formula!B46,11)),IF(INDEX(Properties!A$1:CB$87,Formula!D46,11)&lt;&gt;"",INDEX(Properties!A$1:CB$87,Formula!D46,11)),IF(INDEX(Properties!A$1:CB$87,Formula!F46,11)&lt;&gt;"",INDEX(Properties!A$1:CB$87,Formula!F46,11)),IF(INDEX(Properties!A$1:CB$87,Formula!H46,11)&lt;&gt;"",INDEX(Properties!A$1:CB$87,Formula!H46,11)),IF(INDEX(Properties!A$1:CB$87,Formula!J46,11)&lt;&gt;"",INDEX(Properties!A$1:CB$87,Formula!J46,11)))</f>
        <v>0.64</v>
      </c>
      <c r="AO46" s="57">
        <f>MAX(INDEX(Properties!A$1:CB$87,Formula!B46,11),INDEX(Properties!A$1:CB$87,Formula!D46,11),INDEX(Properties!A$1:CB$87,Formula!F46,11),INDEX(Properties!A$1:CB$87,Formula!H46,11),INDEX(Properties!A$1:CB$87,Formula!J46,11))</f>
        <v>2</v>
      </c>
      <c r="AP46" s="57">
        <f>MIN(IF(Formula!B46=87,10^6,INDEX(Properties!A$1:CB$87,Formula!B46,11)),IF((Formula!D46)=87,10^6,INDEX(Properties!A$1:CB$87,Formula!D46,11)),IF((Formula!F46)=87,10^6,INDEX(Properties!A$1:CB$87,Formula!F46,11)),IF((Formula!H46)=87,10^6,INDEX(Properties!A$1:CB$87,Formula!H46,11)),IF(Formula!J46=87,10^6,INDEX(Properties!A$1:CB$87,Formula!J46,11)))</f>
        <v>2</v>
      </c>
      <c r="AQ46" s="57">
        <f t="shared" si="6"/>
        <v>0</v>
      </c>
      <c r="AR46" s="78">
        <f>((Formula!C46)/(Formula!C46+Formula!E46+Formula!G46+Formula!I46+Formula!K46))*(INDEX(Properties!A$1:CB$87,Formula!B46,12))+((Formula!E46)/(Formula!C46+Formula!E46+Formula!G46+Formula!I46+Formula!K46))*(INDEX(Properties!A$1:CB$87,Formula!D46,12))+((Formula!G46)/(Formula!C46+Formula!E46+Formula!G46+Formula!I46+Formula!K46))*(INDEX(Properties!A$1:CB$87,Formula!F46,12))+((Formula!I46)/(Formula!C46+Formula!E46+Formula!G46+Formula!I46+Formula!K46))*(INDEX(Properties!A$1:CB$87,Formula!H46,12))+((Formula!K46)/(Formula!C46+Formula!E46+Formula!G46+Formula!I46+Formula!K46))*(INDEX(Properties!A$1:CB$87,Formula!J46,12))</f>
        <v>2.4285714285714284</v>
      </c>
      <c r="AS46" s="78">
        <f>Formula!C46*(INDEX(Properties!A$1:CB$87,Formula!B46,12))+Formula!E46*(INDEX(Properties!A$1:CB$87,Formula!D46,12))+Formula!G46*(INDEX(Properties!A$1:CB$87,Formula!F46,12))+Formula!I46*(INDEX(Properties!A$1:CB$87,Formula!H46,12))+Formula!K46*(INDEX(Properties!A$1:CB$87,Formula!J46,12))</f>
        <v>17</v>
      </c>
      <c r="AT46" s="78">
        <f>VARP(IF(INDEX(Properties!A$1:CB$87,Formula!B46,12)&lt;&gt;"",INDEX(Properties!A$1:CB$87,Formula!B46,12)),IF(INDEX(Properties!A$1:CB$87,Formula!D46,12)&lt;&gt;"",INDEX(Properties!A$1:CB$87,Formula!D46,12)),IF(INDEX(Properties!A$1:CB$87,Formula!F46,12)&lt;&gt;"",INDEX(Properties!A$1:CB$87,Formula!F46,12)),IF(INDEX(Properties!A$1:CB$87,Formula!H46,12)&lt;&gt;"",INDEX(Properties!A$1:CB$87,Formula!H46,12)),IF(INDEX(Properties!A$1:CB$87,Formula!J46,12)&lt;&gt;"",INDEX(Properties!A$1:CB$87,Formula!J46,12)))</f>
        <v>2.4</v>
      </c>
      <c r="AU46" s="78">
        <f>MAX(INDEX(Properties!A$1:CB$87,Formula!B46,12),INDEX(Properties!A$1:CB$87,Formula!D46,12),INDEX(Properties!A$1:CB$87,Formula!F46,12),INDEX(Properties!A$1:CB$87,Formula!H46,12),INDEX(Properties!A$1:CB$87,Formula!J46,12))</f>
        <v>4</v>
      </c>
      <c r="AV46" s="78">
        <f>MIN(IF(Formula!B46=87,10^6,INDEX(Properties!A$1:CB$87,Formula!B46,12)),IF((Formula!D46)=87,10^6,INDEX(Properties!A$1:CB$87,Formula!D46,12)),IF((Formula!F46)=87,10^6,INDEX(Properties!A$1:CB$87,Formula!F46,12)),IF((Formula!H46)=87,10^6,INDEX(Properties!A$1:CB$87,Formula!H46,12)),IF(Formula!J46=87,10^6,INDEX(Properties!A$1:CB$87,Formula!J46,12)))</f>
        <v>0</v>
      </c>
      <c r="AW46" s="78">
        <f t="shared" si="7"/>
        <v>4</v>
      </c>
      <c r="AX46" s="45">
        <f>((Formula!C46)/(Formula!C46+Formula!E46+Formula!G46+Formula!I46+Formula!K46))*(INDEX(Properties!A$1:CB$87,Formula!B46,13))+((Formula!E46)/(Formula!C46+Formula!E46+Formula!G46+Formula!I46+Formula!K46))*(INDEX(Properties!A$1:CB$87,Formula!D46,13))+((Formula!G46)/(Formula!C46+Formula!E46+Formula!G46+Formula!I46+Formula!K46))*(INDEX(Properties!A$1:CB$87,Formula!F46,13))+((Formula!I46)/(Formula!C46+Formula!E46+Formula!G46+Formula!I46+Formula!K46))*(INDEX(Properties!A$1:CB$87,Formula!H46,13))+((Formula!K46)/(Formula!C46+Formula!E46+Formula!G46+Formula!I46+Formula!K46))*(INDEX(Properties!A$1:CB$87,Formula!J46,13))</f>
        <v>1.5714285714285712</v>
      </c>
      <c r="AY46" s="45">
        <f>Formula!C46*(INDEX(Properties!A$1:CB$87,Formula!B46,13))+Formula!E46*(INDEX(Properties!A$1:CB$87,Formula!D46,13))+Formula!G46*(INDEX(Properties!A$1:CB$87,Formula!F46,13))+Formula!I46*(INDEX(Properties!A$1:CB$87,Formula!H46,13))+Formula!K46*(INDEX(Properties!A$1:CB$87,Formula!J46,13))</f>
        <v>11</v>
      </c>
      <c r="AZ46" s="45">
        <f>VARP(IF(INDEX(Properties!A$1:CB$87,Formula!B46,13)&lt;&gt;"",INDEX(Properties!A$1:CB$87,Formula!B46,13)),IF(INDEX(Properties!A$1:CB$87,Formula!D46,13)&lt;&gt;"",INDEX(Properties!A$1:CB$87,Formula!D46,13)),IF(INDEX(Properties!A$1:CB$87,Formula!F46,13)&lt;&gt;"",INDEX(Properties!A$1:CB$87,Formula!F46,13)),IF(INDEX(Properties!A$1:CB$87,Formula!H46,13)&lt;&gt;"",INDEX(Properties!A$1:CB$87,Formula!H46,13)),IF(INDEX(Properties!A$1:CB$87,Formula!J46,13)&lt;&gt;"",INDEX(Properties!A$1:CB$87,Formula!J46,13)))</f>
        <v>15.36</v>
      </c>
      <c r="BA46" s="45">
        <f>MAX(INDEX(Properties!A$1:CB$87,Formula!B46,13),INDEX(Properties!A$1:CB$87,Formula!D46,13),INDEX(Properties!A$1:CB$87,Formula!F46,13),INDEX(Properties!A$1:CB$87,Formula!H46,13),INDEX(Properties!A$1:CB$87,Formula!J46,13))</f>
        <v>10</v>
      </c>
      <c r="BB46" s="45">
        <f>MIN(IF(Formula!B46=87,10^6,INDEX(Properties!A$1:CB$87,Formula!B46,13)),IF((Formula!D46)=87,10^6,INDEX(Properties!A$1:CB$87,Formula!D46,13)),IF((Formula!F46)=87,10^6,INDEX(Properties!A$1:CB$87,Formula!F46,13)),IF((Formula!H46)=87,10^6,INDEX(Properties!A$1:CB$87,Formula!H46,13)),IF(Formula!J46=87,10^6,INDEX(Properties!A$1:CB$87,Formula!J46,13)))</f>
        <v>0</v>
      </c>
      <c r="BC46" s="45">
        <f t="shared" si="8"/>
        <v>10</v>
      </c>
      <c r="BD46" s="63">
        <f>((Formula!C46)/(Formula!C46+Formula!E46+Formula!G46+Formula!I46+Formula!K46))*(INDEX(Properties!A$1:CB$87,Formula!B46,14))+((Formula!E46)/(Formula!C46+Formula!E46+Formula!G46+Formula!I46+Formula!K46))*(INDEX(Properties!A$1:CB$87,Formula!D46,14))+((Formula!G46)/(Formula!C46+Formula!E46+Formula!G46+Formula!I46+Formula!K46))*(INDEX(Properties!A$1:CB$87,Formula!F46,14))+((Formula!I46)/(Formula!C46+Formula!E46+Formula!G46+Formula!I46+Formula!K46))*(INDEX(Properties!A$1:CB$87,Formula!H46,14))+((Formula!K46)/(Formula!C46+Formula!E46+Formula!G46+Formula!I46+Formula!K46))*(INDEX(Properties!A$1:CB$87,Formula!J46,14))</f>
        <v>0</v>
      </c>
      <c r="BE46" s="63">
        <f>Formula!C46*(INDEX(Properties!A$1:CB$87,Formula!B46,14))+Formula!E46*(INDEX(Properties!A$1:CB$87,Formula!D46,14))+Formula!G46*(INDEX(Properties!A$1:CB$87,Formula!F46,14))+Formula!I46*(INDEX(Properties!A$1:CB$87,Formula!H46,14))+Formula!K46*(INDEX(Properties!A$1:CB$87,Formula!J46,14))</f>
        <v>0</v>
      </c>
      <c r="BF46" s="63">
        <f>VARP(IF(INDEX(Properties!A$1:CB$87,Formula!B46,14)&lt;&gt;"",INDEX(Properties!A$1:CB$87,Formula!B46,14)),IF(INDEX(Properties!A$1:CB$87,Formula!D46,14)&lt;&gt;"",INDEX(Properties!A$1:CB$87,Formula!D46,14)),IF(INDEX(Properties!A$1:CB$87,Formula!F46,14)&lt;&gt;"",INDEX(Properties!A$1:CB$87,Formula!F46,14)),IF(INDEX(Properties!A$1:CB$87,Formula!H46,14)&lt;&gt;"",INDEX(Properties!A$1:CB$87,Formula!H46,14)),IF(INDEX(Properties!A$1:CB$87,Formula!J46,14)&lt;&gt;"",INDEX(Properties!A$1:CB$87,Formula!J46,14)))</f>
        <v>0</v>
      </c>
      <c r="BG46" s="63">
        <f>MAX(INDEX(Properties!A$1:CB$87,Formula!B46,14),INDEX(Properties!A$1:CB$87,Formula!D46,14),INDEX(Properties!A$1:CB$87,Formula!F46,14),INDEX(Properties!A$1:CB$87,Formula!H46,14),INDEX(Properties!A$1:CB$87,Formula!J46,14))</f>
        <v>0</v>
      </c>
      <c r="BH46" s="63">
        <f>MIN(IF(Formula!B46=87,10^6,INDEX(Properties!A$1:CB$87,Formula!B46,14)),IF((Formula!D46)=87,10^6,INDEX(Properties!A$1:CB$87,Formula!D46,14)),IF((Formula!F46)=87,10^6,INDEX(Properties!A$1:CB$87,Formula!F46,14)),IF((Formula!H46)=87,10^6,INDEX(Properties!A$1:CB$87,Formula!H46,14)),IF(Formula!J46=87,10^6,INDEX(Properties!A$1:CB$87,Formula!J46,14)))</f>
        <v>0</v>
      </c>
      <c r="BI46" s="63">
        <f t="shared" si="9"/>
        <v>0</v>
      </c>
      <c r="BJ46" s="75">
        <f>((Formula!C46)/(Formula!C46+Formula!E46+Formula!G46+Formula!I46+Formula!K46))*(INDEX(Properties!A$1:CB$87,Formula!B46,19))+((Formula!E46)/(Formula!C46+Formula!E46+Formula!G46+Formula!I46+Formula!K46))*(INDEX(Properties!A$1:CB$87,Formula!D46,19))+((Formula!G46)/(Formula!C46+Formula!E46+Formula!G46+Formula!I46+Formula!K46))*(INDEX(Properties!A$1:CB$87,Formula!F46,19))+((Formula!I46)/(Formula!C46+Formula!E46+Formula!G46+Formula!I46+Formula!K46))*(INDEX(Properties!A$1:CB$87,Formula!H46,19))+((Formula!K46)/(Formula!C46+Formula!E46+Formula!G46+Formula!I46+Formula!K46))*(INDEX(Properties!A$1:CB$87,Formula!J46,19))</f>
        <v>6</v>
      </c>
      <c r="BK46" s="75">
        <f>Formula!C46*(INDEX(Properties!A$1:CB$87,Formula!B46,19))+Formula!E46*(INDEX(Properties!A$1:CB$87,Formula!D46,19))+Formula!G46*(INDEX(Properties!A$1:CB$87,Formula!F46,19))+Formula!I46*(INDEX(Properties!A$1:CB$87,Formula!H46,19))+Formula!K46*(INDEX(Properties!A$1:CB$87,Formula!J46,19))</f>
        <v>42</v>
      </c>
      <c r="BL46" s="75">
        <f>VARP(IF(INDEX(Properties!A$1:CB$87,Formula!B46,19)&lt;&gt;"",INDEX(Properties!A$1:CB$87,Formula!B46,19)),IF(INDEX(Properties!A$1:CB$87,Formula!D46,19)&lt;&gt;"",INDEX(Properties!A$1:CB$87,Formula!D46,19)),IF(INDEX(Properties!A$1:CB$87,Formula!F46,19)&lt;&gt;"",INDEX(Properties!A$1:CB$87,Formula!F46,19)),IF(INDEX(Properties!A$1:CB$87,Formula!H46,19)&lt;&gt;"",INDEX(Properties!A$1:CB$87,Formula!H46,19)),IF(INDEX(Properties!A$1:CB$87,Formula!J46,19)&lt;&gt;"",INDEX(Properties!A$1:CB$87,Formula!J46,19)))</f>
        <v>20.56</v>
      </c>
      <c r="BM46" s="75">
        <f>MAX(INDEX(Properties!A$1:CB$87,Formula!B46,19),INDEX(Properties!A$1:CB$87,Formula!D46,19),INDEX(Properties!A$1:CB$87,Formula!F46,19),INDEX(Properties!A$1:CB$87,Formula!H46,19),INDEX(Properties!A$1:CB$87,Formula!J46,19))</f>
        <v>13</v>
      </c>
      <c r="BN46" s="75">
        <f>MIN(IF(INDEX(Properties!A$1:CB$87,Formula!B46,19)=0,10^6,INDEX(Properties!A$1:CB$87,Formula!B46,19)),IF(INDEX(Properties!A$1:CB$87,Formula!D46,19)=0,10^6,INDEX(Properties!A$1:CB$87,Formula!D46,19)),IF(INDEX(Properties!A$1:CB$87,Formula!F46,19)=0,10^6,INDEX(Properties!A$1:CB$87,Formula!F46,19)),IF(INDEX(Properties!A$1:CB$87,Formula!H46,19)=0,10^6,INDEX(Properties!A$1:CB$87,Formula!H46,19)),IF(INDEX(Properties!A$1:CB$87,Formula!J46,19)=0,10^6,INDEX(Properties!A$1:CB$87,Formula!J46,19)))</f>
        <v>2</v>
      </c>
      <c r="BO46" s="75">
        <f t="shared" si="10"/>
        <v>11</v>
      </c>
      <c r="BP46" s="48">
        <f>((Formula!C46)/(Formula!C46+Formula!E46+Formula!G46+Formula!I46+Formula!K46))*(INDEX(Properties!A$1:CB$87,Formula!B46,20))+((Formula!E46)/(Formula!C46+Formula!E46+Formula!G46+Formula!I46+Formula!K46))*(INDEX(Properties!A$1:CB$87,Formula!D46,20))+((Formula!G46)/(Formula!C46+Formula!E46+Formula!G46+Formula!I46+Formula!K46))*(INDEX(Properties!A$1:CB$87,Formula!F46,20))+((Formula!I46)/(Formula!C46+Formula!E46+Formula!G46+Formula!I46+Formula!K46))*(INDEX(Properties!A$1:CB$87,Formula!H46,20))+((Formula!K46)/(Formula!C46+Formula!E46+Formula!G46+Formula!I46+Formula!K46))*(INDEX(Properties!A$1:CB$87,Formula!J46,20))</f>
        <v>4.4285714285714288</v>
      </c>
      <c r="BQ46" s="48">
        <f>Formula!C46*(INDEX(Properties!A$1:CB$87,Formula!B46,20))+Formula!E46*(INDEX(Properties!A$1:CB$87,Formula!D46,20))+Formula!G46*(INDEX(Properties!A$1:CB$87,Formula!F46,20))+Formula!I46*(INDEX(Properties!A$1:CB$87,Formula!H46,20))+Formula!K46*(INDEX(Properties!A$1:CB$87,Formula!J46,20))</f>
        <v>31</v>
      </c>
      <c r="BR46" s="48">
        <f>VARP(IF(INDEX(Properties!A$1:CB$87,Formula!B46,20)&lt;&gt;"",INDEX(Properties!A$1:CB$87,Formula!B46,20)),IF(INDEX(Properties!A$1:CB$87,Formula!D46,20)&lt;&gt;"",INDEX(Properties!A$1:CB$87,Formula!D46,20)),IF(INDEX(Properties!A$1:CB$87,Formula!F46,20)&lt;&gt;"",INDEX(Properties!A$1:CB$87,Formula!F46,20)),IF(INDEX(Properties!A$1:CB$87,Formula!H46,20)&lt;&gt;"",INDEX(Properties!A$1:CB$87,Formula!H46,20)),IF(INDEX(Properties!A$1:CB$87,Formula!J46,20)&lt;&gt;"",INDEX(Properties!A$1:CB$87,Formula!J46,20)))</f>
        <v>3.84</v>
      </c>
      <c r="BS46" s="48">
        <f>MAX(INDEX(Properties!A$1:CB$87,Formula!B46,20),INDEX(Properties!A$1:CB$87,Formula!D46,20),INDEX(Properties!A$1:CB$87,Formula!F46,20),INDEX(Properties!A$1:CB$87,Formula!H46,20),INDEX(Properties!A$1:CB$87,Formula!J46,20))</f>
        <v>6</v>
      </c>
      <c r="BT46" s="48">
        <f>MIN(IF(INDEX(Properties!A$1:CB$87,Formula!B46,20)=0,10^6,INDEX(Properties!A$1:CB$87,Formula!B46,20)),IF(INDEX(Properties!A$1:CB$87,Formula!D46,20)=0,10^6,INDEX(Properties!A$1:CB$87,Formula!D46,20)),IF(INDEX(Properties!A$1:CB$87,Formula!F46,20)=0,10^6,INDEX(Properties!A$1:CB$87,Formula!F46,20)),IF(INDEX(Properties!A$1:CB$87,Formula!H46,20)=0,10^6,INDEX(Properties!A$1:CB$87,Formula!H46,20)),IF(INDEX(Properties!A$1:CB$87,Formula!J46,20)=0,10^6,INDEX(Properties!A$1:CB$87,Formula!J46,20)))</f>
        <v>2</v>
      </c>
      <c r="BU46" s="48">
        <f t="shared" si="11"/>
        <v>4</v>
      </c>
      <c r="BV46" s="66">
        <f>((Formula!C46)/(Formula!C46+Formula!E46+Formula!G46+Formula!I46+Formula!K46))*(INDEX(Properties!A$1:CB$87,Formula!B46,21))+((Formula!E46)/(Formula!C46+Formula!E46+Formula!G46+Formula!I46+Formula!K46))*(INDEX(Properties!A$1:CB$87,Formula!D46,21))+((Formula!G46)/(Formula!C46+Formula!E46+Formula!G46+Formula!I46+Formula!K46))*(INDEX(Properties!A$1:CB$87,Formula!F46,21))+((Formula!I46)/(Formula!C46+Formula!E46+Formula!G46+Formula!I46+Formula!K46))*(INDEX(Properties!A$1:CB$87,Formula!H46,21))+((Formula!K46)/(Formula!C46+Formula!E46+Formula!G46+Formula!I46+Formula!K46))*(INDEX(Properties!A$1:CB$87,Formula!J46,21))</f>
        <v>4.2857142857142856</v>
      </c>
      <c r="BW46" s="66">
        <f>Formula!C46*(INDEX(Properties!A$1:CB$87,Formula!B46,21))+Formula!E46*(INDEX(Properties!A$1:CB$87,Formula!D46,21))+Formula!G46*(INDEX(Properties!A$1:CB$87,Formula!F46,21))+Formula!I46*(INDEX(Properties!A$1:CB$87,Formula!H46,21))+Formula!K46*(INDEX(Properties!A$1:CB$87,Formula!J46,21))</f>
        <v>30</v>
      </c>
      <c r="BX46" s="66">
        <f>VARP(IF(INDEX(Properties!A$1:CB$87,Formula!B46,21)&lt;&gt;"",INDEX(Properties!A$1:CB$87,Formula!B46,21)),IF(INDEX(Properties!A$1:CB$87,Formula!D46,21)&lt;&gt;"",INDEX(Properties!A$1:CB$87,Formula!D46,21)),IF(INDEX(Properties!A$1:CB$87,Formula!F46,21)&lt;&gt;"",INDEX(Properties!A$1:CB$87,Formula!F46,21)),IF(INDEX(Properties!A$1:CB$87,Formula!H46,21)&lt;&gt;"",INDEX(Properties!A$1:CB$87,Formula!H46,21)),IF(INDEX(Properties!A$1:CB$87,Formula!J46,21)&lt;&gt;"",INDEX(Properties!A$1:CB$87,Formula!J46,21)))</f>
        <v>4.24</v>
      </c>
      <c r="BY46" s="66">
        <f>MAX(INDEX(Properties!A$1:CB$87,Formula!B46,21),INDEX(Properties!A$1:CB$87,Formula!D46,21),INDEX(Properties!A$1:CB$87,Formula!F46,21),INDEX(Properties!A$1:CB$87,Formula!H46,21),INDEX(Properties!A$1:CB$87,Formula!J46,21))</f>
        <v>6</v>
      </c>
      <c r="BZ46" s="66">
        <f>MIN(IF(INDEX(Properties!A$1:CB$87,Formula!B46,21)=0,10^6,INDEX(Properties!A$1:CB$87,Formula!B46,21)),IF(INDEX(Properties!A$1:CB$87,Formula!D46,21)=0,10^6,INDEX(Properties!A$1:CB$87,Formula!D46,21)),IF(INDEX(Properties!A$1:CB$87,Formula!F46,21)=0,10^6,INDEX(Properties!A$1:CB$87,Formula!F46,21)),IF(INDEX(Properties!A$1:CB$87,Formula!H46,21)=0,10^6,INDEX(Properties!A$1:CB$87,Formula!H46,21)),IF(INDEX(Properties!A$1:CB$87,Formula!J46,21)=0,10^6,INDEX(Properties!A$1:CB$87,Formula!J46,21)))</f>
        <v>1</v>
      </c>
      <c r="CA46" s="66">
        <f t="shared" si="12"/>
        <v>5</v>
      </c>
      <c r="CB46" s="81">
        <f>((Formula!C46)/(Formula!C46+Formula!E46+Formula!G46+Formula!I46+Formula!K46))*(INDEX(Properties!A$1:CB$87,Formula!B46,23))+((Formula!E46)/(Formula!C46+Formula!E46+Formula!G46+Formula!I46+Formula!K46))*(INDEX(Properties!A$1:CB$87,Formula!D46,23))+((Formula!G46)/(Formula!C46+Formula!E46+Formula!G46+Formula!I46+Formula!K46))*(INDEX(Properties!A$1:CB$87,Formula!F46,23))+((Formula!I46)/(Formula!C46+Formula!E46+Formula!G46+Formula!I46+Formula!K46))*(INDEX(Properties!A$1:CB$87,Formula!H46,23))+((Formula!K46)/(Formula!C46+Formula!E46+Formula!G46+Formula!I46+Formula!K46))*(INDEX(Properties!A$1:CB$87,Formula!J46,23))</f>
        <v>1.2057142857142855</v>
      </c>
      <c r="CC46" s="81">
        <f>Formula!C46*(INDEX(Properties!A$1:CB$87,Formula!B46,23))+Formula!E46*(INDEX(Properties!A$1:CB$87,Formula!D46,23))+Formula!G46*(INDEX(Properties!A$1:CB$87,Formula!F46,23))+Formula!I46*(INDEX(Properties!A$1:CB$87,Formula!H46,23))+Formula!K46*(INDEX(Properties!A$1:CB$87,Formula!J46,23))</f>
        <v>8.44</v>
      </c>
      <c r="CD46" s="81">
        <f>VARP(IF(INDEX(Properties!A$1:CB$87,Formula!B46,23)&lt;&gt;"",INDEX(Properties!A$1:CB$87,Formula!B46,23)),IF(INDEX(Properties!A$1:CB$87,Formula!D46,23)&lt;&gt;"",INDEX(Properties!A$1:CB$87,Formula!D46,23)),IF(INDEX(Properties!A$1:CB$87,Formula!F46,23)&lt;&gt;"",INDEX(Properties!A$1:CB$87,Formula!F46,23)),IF(INDEX(Properties!A$1:CB$87,Formula!H46,23)&lt;&gt;"",INDEX(Properties!A$1:CB$87,Formula!H46,23)),IF(INDEX(Properties!A$1:CB$87,Formula!J46,23)&lt;&gt;"",INDEX(Properties!A$1:CB$87,Formula!J46,23)))</f>
        <v>2.1173759999999993</v>
      </c>
      <c r="CE46" s="81">
        <f>MAX(INDEX(Properties!A$1:CB$87,Formula!B46,23),INDEX(Properties!A$1:CB$87,Formula!D46,23),INDEX(Properties!A$1:CB$87,Formula!F46,23),INDEX(Properties!A$1:CB$87,Formula!H46,23),INDEX(Properties!A$1:CB$87,Formula!J46,23))</f>
        <v>3.44</v>
      </c>
      <c r="CF46" s="81">
        <f>MIN(IF(Formula!B46=87,10^6,INDEX(Properties!A$1:CB$87,Formula!B46,23)),IF((Formula!D46)=87,10^6,INDEX(Properties!A$1:CB$87,Formula!D46,23)),IF((Formula!F46)=87,10^6,INDEX(Properties!A$1:CB$87,Formula!F46,23)),IF((Formula!H46)=87,10^6,INDEX(Properties!A$1:CB$87,Formula!H46,23)),IF(Formula!J46=87,10^6,INDEX(Properties!A$1:CB$87,Formula!J46,23)))</f>
        <v>0</v>
      </c>
      <c r="CG46" s="81">
        <f t="shared" si="13"/>
        <v>3.44</v>
      </c>
      <c r="CH46" s="39">
        <f>((Formula!C46)/(Formula!C46+Formula!E46+Formula!G46+Formula!I46+Formula!K46))*(INDEX(Properties!A$1:CB$87,Formula!B46,26))+((Formula!E46)/(Formula!C46+Formula!E46+Formula!G46+Formula!I46+Formula!K46))*(INDEX(Properties!A$1:CB$87,Formula!D46,26))+((Formula!G46)/(Formula!C46+Formula!E46+Formula!G46+Formula!I46+Formula!K46))*(INDEX(Properties!A$1:CB$87,Formula!F46,26))+((Formula!I46)/(Formula!C46+Formula!E46+Formula!G46+Formula!I46+Formula!K46))*(INDEX(Properties!A$1:CB$87,Formula!H46,26))+((Formula!K46)/(Formula!C46+Formula!E46+Formula!G46+Formula!I46+Formula!K46))*(INDEX(Properties!A$1:CB$87,Formula!J46,26))</f>
        <v>10.249071428571428</v>
      </c>
      <c r="CI46" s="39">
        <f>Formula!C46*(INDEX(Properties!A$1:CB$87,Formula!B46,26))+Formula!E46*(INDEX(Properties!A$1:CB$87,Formula!D46,26))+Formula!G46*(INDEX(Properties!A$1:CB$87,Formula!F46,26))+Formula!I46*(INDEX(Properties!A$1:CB$87,Formula!H46,26))+Formula!K46*(INDEX(Properties!A$1:CB$87,Formula!J46,26))</f>
        <v>71.743499999999997</v>
      </c>
      <c r="CJ46" s="39">
        <f>VARP(IF(INDEX(Properties!A$1:CB$87,Formula!B46,26)&lt;&gt;"",INDEX(Properties!A$1:CB$87,Formula!B46,26)),IF(INDEX(Properties!A$1:CB$87,Formula!D46,26)&lt;&gt;"",INDEX(Properties!A$1:CB$87,Formula!D46,26)),IF(INDEX(Properties!A$1:CB$87,Formula!F46,26)&lt;&gt;"",INDEX(Properties!A$1:CB$87,Formula!F46,26)),IF(INDEX(Properties!A$1:CB$87,Formula!H46,26)&lt;&gt;"",INDEX(Properties!A$1:CB$87,Formula!H46,26)),IF(INDEX(Properties!A$1:CB$87,Formula!J46,26)&lt;&gt;"",INDEX(Properties!A$1:CB$87,Formula!J46,26)))</f>
        <v>18.829882478400005</v>
      </c>
      <c r="CK46" s="39">
        <f>MAX(INDEX(Properties!A$1:CB$87,Formula!B46,26),INDEX(Properties!A$1:CB$87,Formula!D46,26),INDEX(Properties!A$1:CB$87,Formula!F46,26),INDEX(Properties!A$1:CB$87,Formula!H46,26),INDEX(Properties!A$1:CB$87,Formula!J46,26))</f>
        <v>13.6181</v>
      </c>
      <c r="CL46" s="39">
        <f>MIN(IF(INDEX(Properties!A$1:CB$87,Formula!B46,26)=0,10^6,INDEX(Properties!A$1:CB$87,Formula!B46,26)),IF(INDEX(Properties!A$1:CB$87,Formula!D46,26)=0,10^6,INDEX(Properties!A$1:CB$87,Formula!D46,26)),IF(INDEX(Properties!A$1:CB$87,Formula!F46,26)=0,10^6,INDEX(Properties!A$1:CB$87,Formula!F46,26)),IF(INDEX(Properties!A$1:CB$87,Formula!H46,26)=0,10^6,INDEX(Properties!A$1:CB$87,Formula!H46,26)),IF(INDEX(Properties!A$1:CB$87,Formula!J46,26)=0,10^6,INDEX(Properties!A$1:CB$87,Formula!J46,26)))</f>
        <v>5.5769000000000002</v>
      </c>
      <c r="CM46" s="39">
        <f t="shared" si="14"/>
        <v>8.0411999999999999</v>
      </c>
      <c r="CN46" s="54">
        <f>((Formula!C46)/(Formula!C46+Formula!E46+Formula!G46+Formula!I46+Formula!K46))*(INDEX(Properties!A$1:CB$87,Formula!B46,30))+((Formula!E46)/(Formula!C46+Formula!E46+Formula!G46+Formula!I46+Formula!K46))*(INDEX(Properties!A$1:CB$87,Formula!D46,30))+((Formula!G46)/(Formula!C46+Formula!E46+Formula!G46+Formula!I46+Formula!K46))*(INDEX(Properties!A$1:CB$87,Formula!F46,30))+((Formula!I46)/(Formula!C46+Formula!E46+Formula!G46+Formula!I46+Formula!K46))*(INDEX(Properties!A$1:CB$87,Formula!H46,30))+((Formula!K46)/(Formula!C46+Formula!E46+Formula!G46+Formula!I46+Formula!K46))*(INDEX(Properties!A$1:CB$87,Formula!J46,30))</f>
        <v>2.5171428571428569</v>
      </c>
      <c r="CO46" s="54">
        <f>Formula!C46*(INDEX(Properties!A$1:CB$87,Formula!B46,30))+Formula!E46*(INDEX(Properties!A$1:CB$87,Formula!D46,30))+Formula!G46*(INDEX(Properties!A$1:CB$87,Formula!F46,30))+Formula!I46*(INDEX(Properties!A$1:CB$87,Formula!H46,30))+Formula!K46*(INDEX(Properties!A$1:CB$87,Formula!J46,30))</f>
        <v>17.62</v>
      </c>
      <c r="CP46" s="54">
        <f>VARP(IF(INDEX(Properties!A$1:CB$87,Formula!B46,30)&lt;&gt;"",INDEX(Properties!A$1:CB$87,Formula!B46,30)),IF(INDEX(Properties!A$1:CB$87,Formula!D46,30)&lt;&gt;"",INDEX(Properties!A$1:CB$87,Formula!D46,30)),IF(INDEX(Properties!A$1:CB$87,Formula!F46,30)&lt;&gt;"",INDEX(Properties!A$1:CB$87,Formula!F46,30)),IF(INDEX(Properties!A$1:CB$87,Formula!H46,30)&lt;&gt;"",INDEX(Properties!A$1:CB$87,Formula!H46,30)),IF(INDEX(Properties!A$1:CB$87,Formula!J46,30)&lt;&gt;"",INDEX(Properties!A$1:CB$87,Formula!J46,30)))</f>
        <v>1.3128400000000002</v>
      </c>
      <c r="CQ46" s="54">
        <f>MAX(INDEX(Properties!A$1:CB$87,Formula!B46,30),INDEX(Properties!A$1:CB$87,Formula!D46,30),INDEX(Properties!A$1:CB$87,Formula!F46,30),INDEX(Properties!A$1:CB$87,Formula!H46,30),INDEX(Properties!A$1:CB$87,Formula!J46,30))</f>
        <v>3.44</v>
      </c>
      <c r="CR46" s="54">
        <f>MIN(IF(INDEX(Properties!A$1:CB$87,Formula!B46,30)=0,10^6,INDEX(Properties!A$1:CB$87,Formula!B46,30)),IF(INDEX(Properties!A$1:CB$87,Formula!D46,30)=0,10^6,INDEX(Properties!A$1:CB$87,Formula!D46,30)),IF(INDEX(Properties!A$1:CB$87,Formula!F46,30)=0,10^6,INDEX(Properties!A$1:CB$87,Formula!F46,30)),IF(INDEX(Properties!A$1:CB$87,Formula!H46,30)=0,10^6,INDEX(Properties!A$1:CB$87,Formula!H46,30)),IF(INDEX(Properties!A$1:CB$87,Formula!J46,30)=0,10^6,INDEX(Properties!A$1:CB$87,Formula!J46,30)))</f>
        <v>0.95</v>
      </c>
      <c r="CS46" s="54">
        <f t="shared" si="15"/>
        <v>2.4900000000000002</v>
      </c>
      <c r="CT46" s="69">
        <f>((Formula!C46)/(Formula!C46+Formula!E46+Formula!G46+Formula!I46+Formula!K46))*(INDEX(Properties!A$1:CB$87,Formula!B46,31))+((Formula!E46)/(Formula!C46+Formula!E46+Formula!G46+Formula!I46+Formula!K46))*(INDEX(Properties!A$1:CB$87,Formula!D46,31))+((Formula!G46)/(Formula!C46+Formula!E46+Formula!G46+Formula!I46+Formula!K46))*(INDEX(Properties!A$1:CB$87,Formula!F46,31))+((Formula!I46)/(Formula!C46+Formula!E46+Formula!G46+Formula!I46+Formula!K46))*(INDEX(Properties!A$1:CB$87,Formula!H46,31))+((Formula!K46)/(Formula!C46+Formula!E46+Formula!G46+Formula!I46+Formula!K46))*(INDEX(Properties!A$1:CB$87,Formula!J46,31))</f>
        <v>2.4942857142857142</v>
      </c>
      <c r="CU46" s="69">
        <f>Formula!C46*(INDEX(Properties!A$1:CB$87,Formula!B46,31))+Formula!E46*(INDEX(Properties!A$1:CB$87,Formula!D46,31))+Formula!G46*(INDEX(Properties!A$1:CB$87,Formula!F46,31))+Formula!I46*(INDEX(Properties!A$1:CB$87,Formula!H46,31))+Formula!K46*(INDEX(Properties!A$1:CB$87,Formula!J46,31))</f>
        <v>17.46</v>
      </c>
      <c r="CV46" s="69">
        <f>VARP(IF(INDEX(Properties!A$1:CB$87,Formula!B46,31)&lt;&gt;"",INDEX(Properties!A$1:CB$87,Formula!B46,31)),IF(INDEX(Properties!A$1:CB$87,Formula!D46,31)&lt;&gt;"",INDEX(Properties!A$1:CB$87,Formula!D46,31)),IF(INDEX(Properties!A$1:CB$87,Formula!F46,31)&lt;&gt;"",INDEX(Properties!A$1:CB$87,Formula!F46,31)),IF(INDEX(Properties!A$1:CB$87,Formula!H46,31)&lt;&gt;"",INDEX(Properties!A$1:CB$87,Formula!H46,31)),IF(INDEX(Properties!A$1:CB$87,Formula!J46,31)&lt;&gt;"",INDEX(Properties!A$1:CB$87,Formula!J46,31)))</f>
        <v>1.1523599999999998</v>
      </c>
      <c r="CW46" s="69">
        <f>MAX(INDEX(Properties!A$1:CB$87,Formula!B46,31),INDEX(Properties!A$1:CB$87,Formula!D46,31),INDEX(Properties!A$1:CB$87,Formula!F46,31),INDEX(Properties!A$1:CB$87,Formula!H46,31),INDEX(Properties!A$1:CB$87,Formula!J46,31))</f>
        <v>3.32</v>
      </c>
      <c r="CX46" s="69">
        <f>MIN(IF(INDEX(Properties!A$1:CB$87,Formula!B46,31)=0,10^6,INDEX(Properties!A$1:CB$87,Formula!B46,31)),IF(INDEX(Properties!A$1:CB$87,Formula!D46,31)=0,10^6,INDEX(Properties!A$1:CB$87,Formula!D46,31)),IF(INDEX(Properties!A$1:CB$87,Formula!F46,31)=0,10^6,INDEX(Properties!A$1:CB$87,Formula!F46,31)),IF(INDEX(Properties!A$1:CB$87,Formula!H46,31)=0,10^6,INDEX(Properties!A$1:CB$87,Formula!H46,31)),IF(INDEX(Properties!A$1:CB$87,Formula!J46,31)=0,10^6,INDEX(Properties!A$1:CB$87,Formula!J46,31)))</f>
        <v>1.1299999999999999</v>
      </c>
      <c r="CY46" s="69">
        <f t="shared" si="16"/>
        <v>2.19</v>
      </c>
      <c r="CZ46" s="42">
        <f>((Formula!C46)/(Formula!C46+Formula!E46+Formula!G46+Formula!I46+Formula!K46))*(INDEX(Properties!A$1:CB$87,Formula!B46,32))+((Formula!E46)/(Formula!C46+Formula!E46+Formula!G46+Formula!I46+Formula!K46))*(INDEX(Properties!A$1:CB$87,Formula!D46,32))+((Formula!G46)/(Formula!C46+Formula!E46+Formula!G46+Formula!I46+Formula!K46))*(INDEX(Properties!A$1:CB$87,Formula!F46,32))+((Formula!I46)/(Formula!C46+Formula!E46+Formula!G46+Formula!I46+Formula!K46))*(INDEX(Properties!A$1:CB$87,Formula!H46,32))+((Formula!K46)/(Formula!C46+Formula!E46+Formula!G46+Formula!I46+Formula!K46))*(INDEX(Properties!A$1:CB$87,Formula!J46,32))</f>
        <v>5.4942857142857147</v>
      </c>
      <c r="DA46" s="42">
        <f>Formula!C46*(INDEX(Properties!A$1:CB$87,Formula!B46,32))+Formula!E46*(INDEX(Properties!A$1:CB$87,Formula!D46,32))+Formula!G46*(INDEX(Properties!A$1:CB$87,Formula!F46,32))+Formula!I46*(INDEX(Properties!A$1:CB$87,Formula!H46,32))+Formula!K46*(INDEX(Properties!A$1:CB$87,Formula!J46,32))</f>
        <v>38.46</v>
      </c>
      <c r="DB46" s="42">
        <f>VARP(IF(INDEX(Properties!A$1:CB$87,Formula!B46,32)&lt;&gt;"",INDEX(Properties!A$1:CB$87,Formula!B46,32)),IF(INDEX(Properties!A$1:CB$87,Formula!D46,32)&lt;&gt;"",INDEX(Properties!A$1:CB$87,Formula!D46,32)),IF(INDEX(Properties!A$1:CB$87,Formula!F46,32)&lt;&gt;"",INDEX(Properties!A$1:CB$87,Formula!F46,32)),IF(INDEX(Properties!A$1:CB$87,Formula!H46,32)&lt;&gt;"",INDEX(Properties!A$1:CB$87,Formula!H46,32)),IF(INDEX(Properties!A$1:CB$87,Formula!J46,32)&lt;&gt;"",INDEX(Properties!A$1:CB$87,Formula!J46,32)))</f>
        <v>6.1040959999999993</v>
      </c>
      <c r="DC46" s="42">
        <f>MAX(INDEX(Properties!A$1:CB$87,Formula!B46,32),INDEX(Properties!A$1:CB$87,Formula!D46,32),INDEX(Properties!A$1:CB$87,Formula!F46,32),INDEX(Properties!A$1:CB$87,Formula!H46,32),INDEX(Properties!A$1:CB$87,Formula!J46,32))</f>
        <v>7.54</v>
      </c>
      <c r="DD46" s="42">
        <f>MIN(IF(INDEX(Properties!A$1:CB$87,Formula!B46,32)=0,10^6,INDEX(Properties!A$1:CB$87,Formula!B46,32)),IF(INDEX(Properties!A$1:CB$87,Formula!D46,32)=0,10^6,INDEX(Properties!A$1:CB$87,Formula!D46,32)),IF(INDEX(Properties!A$1:CB$87,Formula!F46,32)=0,10^6,INDEX(Properties!A$1:CB$87,Formula!F46,32)),IF(INDEX(Properties!A$1:CB$87,Formula!H46,32)=0,10^6,INDEX(Properties!A$1:CB$87,Formula!H46,32)),IF(INDEX(Properties!A$1:CB$87,Formula!J46,32)=0,10^6,INDEX(Properties!A$1:CB$87,Formula!J46,32)))</f>
        <v>2</v>
      </c>
      <c r="DE46" s="42">
        <f t="shared" si="17"/>
        <v>5.54</v>
      </c>
      <c r="DF46" s="60">
        <f>((Formula!C46)/(Formula!C46+Formula!E46+Formula!G46+Formula!I46+Formula!K46))*(INDEX(Properties!A$1:CB$87,Formula!B46,34))+((Formula!E46)/(Formula!C46+Formula!E46+Formula!G46+Formula!I46+Formula!K46))*(INDEX(Properties!A$1:CB$87,Formula!D46,34))+((Formula!G46)/(Formula!C46+Formula!E46+Formula!G46+Formula!I46+Formula!K46))*(INDEX(Properties!A$1:CB$87,Formula!F46,34))+((Formula!I46)/(Formula!C46+Formula!E46+Formula!G46+Formula!I46+Formula!K46))*(INDEX(Properties!A$1:CB$87,Formula!H46,34))+((Formula!K46)/(Formula!C46+Formula!E46+Formula!G46+Formula!I46+Formula!K46))*(INDEX(Properties!A$1:CB$87,Formula!J46,34))</f>
        <v>2.6069999999999998</v>
      </c>
      <c r="DG46" s="60">
        <f>Formula!C46*(INDEX(Properties!A$1:CB$87,Formula!B46,34))+Formula!E46*(INDEX(Properties!A$1:CB$87,Formula!D46,34))+Formula!G46*(INDEX(Properties!A$1:CB$87,Formula!F46,34))+Formula!I46*(INDEX(Properties!A$1:CB$87,Formula!H46,34))+Formula!K46*(INDEX(Properties!A$1:CB$87,Formula!J46,34))</f>
        <v>18.248999999999999</v>
      </c>
      <c r="DH46" s="60">
        <f>VARP(IF(INDEX(Properties!A$1:CB$87,Formula!B46,34)&lt;&gt;"",INDEX(Properties!A$1:CB$87,Formula!B46,34)),IF(INDEX(Properties!A$1:CB$87,Formula!D46,34)&lt;&gt;"",INDEX(Properties!A$1:CB$87,Formula!D46,34)),IF(INDEX(Properties!A$1:CB$87,Formula!F46,34)&lt;&gt;"",INDEX(Properties!A$1:CB$87,Formula!F46,34)),IF(INDEX(Properties!A$1:CB$87,Formula!H46,34)&lt;&gt;"",INDEX(Properties!A$1:CB$87,Formula!H46,34)),IF(INDEX(Properties!A$1:CB$87,Formula!J46,34)&lt;&gt;"",INDEX(Properties!A$1:CB$87,Formula!J46,34)))</f>
        <v>1.4445585599999995</v>
      </c>
      <c r="DI46" s="60">
        <f>MAX(INDEX(Properties!A$1:CB$87,Formula!B46,34),INDEX(Properties!A$1:CB$87,Formula!D46,34),INDEX(Properties!A$1:CB$87,Formula!F46,34),INDEX(Properties!A$1:CB$87,Formula!H46,34),INDEX(Properties!A$1:CB$87,Formula!J46,34))</f>
        <v>3.61</v>
      </c>
      <c r="DJ46" s="60">
        <f>MIN(IF(INDEX(Properties!A$1:CB$87,Formula!B46,34)=0,10^6,INDEX(Properties!A$1:CB$87,Formula!B46,34)),IF(INDEX(Properties!A$1:CB$87,Formula!D46,34)=0,10^6,INDEX(Properties!A$1:CB$87,Formula!D46,34)),IF(INDEX(Properties!A$1:CB$87,Formula!F46,34)=0,10^6,INDEX(Properties!A$1:CB$87,Formula!F46,34)),IF(INDEX(Properties!A$1:CB$87,Formula!H46,34)=0,10^6,INDEX(Properties!A$1:CB$87,Formula!H46,34)),IF(INDEX(Properties!A$1:CB$87,Formula!J46,34)=0,10^6,INDEX(Properties!A$1:CB$87,Formula!J46,34)))</f>
        <v>0.96299999999999997</v>
      </c>
      <c r="DK46" s="60">
        <f t="shared" si="18"/>
        <v>2.6469999999999998</v>
      </c>
      <c r="DL46" s="45">
        <f>((Formula!C46)/(Formula!C46+Formula!E46+Formula!G46+Formula!I46+Formula!K46))*(INDEX(Properties!A$1:CB$87,Formula!B46,39))+((Formula!E46)/(Formula!C46+Formula!E46+Formula!G46+Formula!I46+Formula!K46))*(INDEX(Properties!A$1:CB$87,Formula!D46,39))+((Formula!G46)/(Formula!C46+Formula!E46+Formula!G46+Formula!I46+Formula!K46))*(INDEX(Properties!A$1:CB$87,Formula!F46,39))+((Formula!I46)/(Formula!C46+Formula!E46+Formula!G46+Formula!I46+Formula!K46))*(INDEX(Properties!A$1:CB$87,Formula!H46,39))+((Formula!K46)/(Formula!C46+Formula!E46+Formula!G46+Formula!I46+Formula!K46))*(INDEX(Properties!A$1:CB$87,Formula!J46,39))</f>
        <v>1.06</v>
      </c>
      <c r="DM46" s="45">
        <f>Formula!C46*(INDEX(Properties!A$1:CB$87,Formula!B46,39))+Formula!E46*(INDEX(Properties!A$1:CB$87,Formula!D46,39))+Formula!G46*(INDEX(Properties!A$1:CB$87,Formula!F46,39))+Formula!I46*(INDEX(Properties!A$1:CB$87,Formula!H46,39))+Formula!K46*(INDEX(Properties!A$1:CB$87,Formula!J46,39))</f>
        <v>7.42</v>
      </c>
      <c r="DN46" s="45">
        <f>VARP(IF(INDEX(Properties!A$1:CB$87,Formula!B46,39)&lt;&gt;"",INDEX(Properties!A$1:CB$87,Formula!B46,39)),IF(INDEX(Properties!A$1:CB$87,Formula!D46,39)&lt;&gt;"",INDEX(Properties!A$1:CB$87,Formula!D46,39)),IF(INDEX(Properties!A$1:CB$87,Formula!F46,39)&lt;&gt;"",INDEX(Properties!A$1:CB$87,Formula!F46,39)),IF(INDEX(Properties!A$1:CB$87,Formula!H46,39)&lt;&gt;"",INDEX(Properties!A$1:CB$87,Formula!H46,39)),IF(INDEX(Properties!A$1:CB$87,Formula!J46,39)&lt;&gt;"",INDEX(Properties!A$1:CB$87,Formula!J46,39)))</f>
        <v>0.70530399999999982</v>
      </c>
      <c r="DO46" s="45">
        <f>MAX(INDEX(Properties!A$1:CB$87,Formula!B46,39),INDEX(Properties!A$1:CB$87,Formula!D46,39),INDEX(Properties!A$1:CB$87,Formula!F46,39),INDEX(Properties!A$1:CB$87,Formula!H46,39),INDEX(Properties!A$1:CB$87,Formula!J46,39))</f>
        <v>2.19</v>
      </c>
      <c r="DP46" s="45">
        <f>MIN(IF(INDEX(Properties!A$1:CB$87,Formula!B46,39)=0,10^6,INDEX(Properties!A$1:CB$87,Formula!B46,39)),IF(INDEX(Properties!A$1:CB$87,Formula!D46,39)=0,10^6,INDEX(Properties!A$1:CB$87,Formula!D46,39)),IF(INDEX(Properties!A$1:CB$87,Formula!F46,39)=0,10^6,INDEX(Properties!A$1:CB$87,Formula!F46,39)),IF(INDEX(Properties!A$1:CB$87,Formula!H46,39)=0,10^6,INDEX(Properties!A$1:CB$87,Formula!H46,39)),IF(INDEX(Properties!A$1:CB$87,Formula!J46,39)=0,10^6,INDEX(Properties!A$1:CB$87,Formula!J46,39)))</f>
        <v>0.48</v>
      </c>
      <c r="DQ46" s="45">
        <f t="shared" si="19"/>
        <v>1.71</v>
      </c>
      <c r="DR46" s="63">
        <f>((Formula!C46)/(Formula!C46+Formula!E46+Formula!G46+Formula!I46+Formula!K46))*(INDEX(Properties!A$1:CB$87,Formula!B46,40))+((Formula!E46)/(Formula!C46+Formula!E46+Formula!G46+Formula!I46+Formula!K46))*(INDEX(Properties!A$1:CB$87,Formula!D46,40))+((Formula!G46)/(Formula!C46+Formula!E46+Formula!G46+Formula!I46+Formula!K46))*(INDEX(Properties!A$1:CB$87,Formula!F46,40))+((Formula!I46)/(Formula!C46+Formula!E46+Formula!G46+Formula!I46+Formula!K46))*(INDEX(Properties!A$1:CB$87,Formula!H46,40))+((Formula!K46)/(Formula!C46+Formula!E46+Formula!G46+Formula!I46+Formula!K46))*(INDEX(Properties!A$1:CB$87,Formula!J46,40))</f>
        <v>1.1128571428571428</v>
      </c>
      <c r="DS46" s="63">
        <f>Formula!C46*(INDEX(Properties!A$1:CB$87,Formula!B46,40))+Formula!E46*(INDEX(Properties!A$1:CB$87,Formula!D46,40))+Formula!G46*(INDEX(Properties!A$1:CB$87,Formula!F46,40))+Formula!I46*(INDEX(Properties!A$1:CB$87,Formula!H46,40))+Formula!K46*(INDEX(Properties!A$1:CB$87,Formula!J46,40))</f>
        <v>7.79</v>
      </c>
      <c r="DT46" s="63">
        <f>VARP(IF(INDEX(Properties!A$1:CB$87,Formula!B46,40)&lt;&gt;"",INDEX(Properties!A$1:CB$87,Formula!B46,40)),IF(INDEX(Properties!A$1:CB$87,Formula!D46,40)&lt;&gt;"",INDEX(Properties!A$1:CB$87,Formula!D46,40)),IF(INDEX(Properties!A$1:CB$87,Formula!F46,40)&lt;&gt;"",INDEX(Properties!A$1:CB$87,Formula!F46,40)),IF(INDEX(Properties!A$1:CB$87,Formula!H46,40)&lt;&gt;"",INDEX(Properties!A$1:CB$87,Formula!H46,40)),IF(INDEX(Properties!A$1:CB$87,Formula!J46,40)&lt;&gt;"",INDEX(Properties!A$1:CB$87,Formula!J46,40)))</f>
        <v>0.47819999999999979</v>
      </c>
      <c r="DU46" s="63">
        <f>MAX(INDEX(Properties!A$1:CB$87,Formula!B46,40),INDEX(Properties!A$1:CB$87,Formula!D46,40),INDEX(Properties!A$1:CB$87,Formula!F46,40),INDEX(Properties!A$1:CB$87,Formula!H46,40),INDEX(Properties!A$1:CB$87,Formula!J46,40))</f>
        <v>1.92</v>
      </c>
      <c r="DV46" s="63">
        <f>MIN(IF(INDEX(Properties!A$1:CB$87,Formula!B46,40)=0,10^6,INDEX(Properties!A$1:CB$87,Formula!B46,40)),IF(INDEX(Properties!A$1:CB$87,Formula!D46,40)=0,10^6,INDEX(Properties!A$1:CB$87,Formula!D46,40)),IF(INDEX(Properties!A$1:CB$87,Formula!F46,40)=0,10^6,INDEX(Properties!A$1:CB$87,Formula!F46,40)),IF(INDEX(Properties!A$1:CB$87,Formula!H46,40)=0,10^6,INDEX(Properties!A$1:CB$87,Formula!H46,40)),IF(INDEX(Properties!A$1:CB$87,Formula!J46,40)=0,10^6,INDEX(Properties!A$1:CB$87,Formula!J46,40)))</f>
        <v>0.73</v>
      </c>
      <c r="DW46" s="63">
        <f t="shared" si="20"/>
        <v>1.19</v>
      </c>
      <c r="DX46" s="75">
        <f>((Formula!C46)/(Formula!C46+Formula!E46+Formula!G46+Formula!I46+Formula!K46))*(INDEX(Properties!A$1:CB$87,Formula!B46,41))+((Formula!E46)/(Formula!C46+Formula!E46+Formula!G46+Formula!I46+Formula!K46))*(INDEX(Properties!A$1:CB$87,Formula!D46,41))+((Formula!G46)/(Formula!C46+Formula!E46+Formula!G46+Formula!I46+Formula!K46))*(INDEX(Properties!A$1:CB$87,Formula!F46,41))+((Formula!I46)/(Formula!C46+Formula!E46+Formula!G46+Formula!I46+Formula!K46))*(INDEX(Properties!A$1:CB$87,Formula!H46,41))+((Formula!K46)/(Formula!C46+Formula!E46+Formula!G46+Formula!I46+Formula!K46))*(INDEX(Properties!A$1:CB$87,Formula!J46,41))</f>
        <v>1.1842857142857142</v>
      </c>
      <c r="DY46" s="75">
        <f>Formula!C46*(INDEX(Properties!A$1:CB$87,Formula!B46,41))+Formula!E46*(INDEX(Properties!A$1:CB$87,Formula!D46,41))+Formula!G46*(INDEX(Properties!A$1:CB$87,Formula!F46,41))+Formula!I46*(INDEX(Properties!A$1:CB$87,Formula!H46,41))+Formula!K46*(INDEX(Properties!A$1:CB$87,Formula!J46,41))</f>
        <v>8.2899999999999991</v>
      </c>
      <c r="DZ46" s="75">
        <f>VARP(IF(INDEX(Properties!A$1:CB$87,Formula!B46,41)&lt;&gt;"",INDEX(Properties!A$1:CB$87,Formula!B46,41)),IF(INDEX(Properties!A$1:CB$87,Formula!D46,41)&lt;&gt;"",INDEX(Properties!A$1:CB$87,Formula!D46,41)),IF(INDEX(Properties!A$1:CB$87,Formula!F46,41)&lt;&gt;"",INDEX(Properties!A$1:CB$87,Formula!F46,41)),IF(INDEX(Properties!A$1:CB$87,Formula!H46,41)&lt;&gt;"",INDEX(Properties!A$1:CB$87,Formula!H46,41)),IF(INDEX(Properties!A$1:CB$87,Formula!J46,41)&lt;&gt;"",INDEX(Properties!A$1:CB$87,Formula!J46,41)))</f>
        <v>0.24169600000000002</v>
      </c>
      <c r="EA46" s="75">
        <f>MAX(INDEX(Properties!A$1:CB$87,Formula!B46,41),INDEX(Properties!A$1:CB$87,Formula!D46,41),INDEX(Properties!A$1:CB$87,Formula!F46,41),INDEX(Properties!A$1:CB$87,Formula!H46,41),INDEX(Properties!A$1:CB$87,Formula!J46,41))</f>
        <v>1.32</v>
      </c>
      <c r="EB46" s="75">
        <f>MIN(IF(INDEX(Properties!A$1:CB$87,Formula!B46,41)=0,10^6,INDEX(Properties!A$1:CB$87,Formula!B46,41)),IF(INDEX(Properties!A$1:CB$87,Formula!D46,41)=0,10^6,INDEX(Properties!A$1:CB$87,Formula!D46,41)),IF(INDEX(Properties!A$1:CB$87,Formula!F46,41)=0,10^6,INDEX(Properties!A$1:CB$87,Formula!F46,41)),IF(INDEX(Properties!A$1:CB$87,Formula!H46,41)=0,10^6,INDEX(Properties!A$1:CB$87,Formula!H46,41)),IF(INDEX(Properties!A$1:CB$87,Formula!J46,41)=0,10^6,INDEX(Properties!A$1:CB$87,Formula!J46,41)))</f>
        <v>0.76</v>
      </c>
      <c r="EC46" s="75">
        <f t="shared" si="21"/>
        <v>0.56000000000000005</v>
      </c>
      <c r="ED46" s="48">
        <f>((Formula!C46)/(Formula!C46+Formula!E46+Formula!G46+Formula!I46+Formula!K46))*(INDEX(Properties!A$1:CB$87,Formula!B46,45))+((Formula!E46)/(Formula!C46+Formula!E46+Formula!G46+Formula!I46+Formula!K46))*(INDEX(Properties!A$1:CB$87,Formula!D46,45))+((Formula!G46)/(Formula!C46+Formula!E46+Formula!G46+Formula!I46+Formula!K46))*(INDEX(Properties!A$1:CB$87,Formula!F46,45))+((Formula!I46)/(Formula!C46+Formula!E46+Formula!G46+Formula!I46+Formula!K46))*(INDEX(Properties!A$1:CB$87,Formula!H46,45))+((Formula!K46)/(Formula!C46+Formula!E46+Formula!G46+Formula!I46+Formula!K46))*(INDEX(Properties!A$1:CB$87,Formula!J46,45))</f>
        <v>1.41</v>
      </c>
      <c r="EE46" s="48">
        <f>Formula!C46*(INDEX(Properties!A$1:CB$87,Formula!B46,45))+Formula!E46*(INDEX(Properties!A$1:CB$87,Formula!D46,45))+Formula!G46*(INDEX(Properties!A$1:CB$87,Formula!F46,45))+Formula!I46*(INDEX(Properties!A$1:CB$87,Formula!H46,45))+Formula!K46*(INDEX(Properties!A$1:CB$87,Formula!J46,45))</f>
        <v>9.870000000000001</v>
      </c>
      <c r="EF46" s="48">
        <f>VARP(IF(INDEX(Properties!A$1:CB$87,Formula!B46,45)&lt;&gt;"",INDEX(Properties!A$1:CB$87,Formula!B46,45)),IF(INDEX(Properties!A$1:CB$87,Formula!D46,45)&lt;&gt;"",INDEX(Properties!A$1:CB$87,Formula!D46,45)),IF(INDEX(Properties!A$1:CB$87,Formula!F46,45)&lt;&gt;"",INDEX(Properties!A$1:CB$87,Formula!F46,45)),IF(INDEX(Properties!A$1:CB$87,Formula!H46,45)&lt;&gt;"",INDEX(Properties!A$1:CB$87,Formula!H46,45)),IF(INDEX(Properties!A$1:CB$87,Formula!J46,45)&lt;&gt;"",INDEX(Properties!A$1:CB$87,Formula!J46,45)))</f>
        <v>1.7174159999999994</v>
      </c>
      <c r="EG46" s="48">
        <f>MAX(INDEX(Properties!A$1:CB$87,Formula!B46,45),INDEX(Properties!A$1:CB$87,Formula!D46,45),INDEX(Properties!A$1:CB$87,Formula!F46,45),INDEX(Properties!A$1:CB$87,Formula!H46,45),INDEX(Properties!A$1:CB$87,Formula!J46,45))</f>
        <v>3.21</v>
      </c>
      <c r="EH46" s="48">
        <f>MIN(IF(INDEX(Properties!A$1:CB$87,Formula!B46,45)=0,10^6,INDEX(Properties!A$1:CB$87,Formula!B46,45)),IF(INDEX(Properties!A$1:CB$87,Formula!D46,45)=0,10^6,INDEX(Properties!A$1:CB$87,Formula!D46,45)),IF(INDEX(Properties!A$1:CB$87,Formula!F46,45)=0,10^6,INDEX(Properties!A$1:CB$87,Formula!F46,45)),IF(INDEX(Properties!A$1:CB$87,Formula!H46,45)=0,10^6,INDEX(Properties!A$1:CB$87,Formula!H46,45)),IF(INDEX(Properties!A$1:CB$87,Formula!J46,45)=0,10^6,INDEX(Properties!A$1:CB$87,Formula!J46,45)))</f>
        <v>0.47</v>
      </c>
      <c r="EI46" s="48">
        <f t="shared" si="22"/>
        <v>2.74</v>
      </c>
      <c r="EJ46" s="66">
        <f>((Formula!C46)/(Formula!C46+Formula!E46+Formula!G46+Formula!I46+Formula!K46))*(INDEX(Properties!A$1:CB$87,Formula!B46,46))+((Formula!E46)/(Formula!C46+Formula!E46+Formula!G46+Formula!I46+Formula!K46))*(INDEX(Properties!A$1:CB$87,Formula!D46,46))+((Formula!G46)/(Formula!C46+Formula!E46+Formula!G46+Formula!I46+Formula!K46))*(INDEX(Properties!A$1:CB$87,Formula!F46,46))+((Formula!I46)/(Formula!C46+Formula!E46+Formula!G46+Formula!I46+Formula!K46))*(INDEX(Properties!A$1:CB$87,Formula!H46,46))+((Formula!K46)/(Formula!C46+Formula!E46+Formula!G46+Formula!I46+Formula!K46))*(INDEX(Properties!A$1:CB$87,Formula!J46,46))</f>
        <v>1.1828571428571428</v>
      </c>
      <c r="EK46" s="66">
        <f>Formula!C46*(INDEX(Properties!A$1:CB$87,Formula!B46,46))+Formula!E46*(INDEX(Properties!A$1:CB$87,Formula!D46,46))+Formula!G46*(INDEX(Properties!A$1:CB$87,Formula!F46,46))+Formula!I46*(INDEX(Properties!A$1:CB$87,Formula!H46,46))+Formula!K46*(INDEX(Properties!A$1:CB$87,Formula!J46,46))</f>
        <v>8.2800000000000011</v>
      </c>
      <c r="EL46" s="66">
        <f>VARP(IF(INDEX(Properties!A$1:CB$87,Formula!B46,46)&lt;&gt;"",INDEX(Properties!A$1:CB$87,Formula!B46,46)),IF(INDEX(Properties!A$1:CB$87,Formula!D46,46)&lt;&gt;"",INDEX(Properties!A$1:CB$87,Formula!D46,46)),IF(INDEX(Properties!A$1:CB$87,Formula!F46,46)&lt;&gt;"",INDEX(Properties!A$1:CB$87,Formula!F46,46)),IF(INDEX(Properties!A$1:CB$87,Formula!H46,46)&lt;&gt;"",INDEX(Properties!A$1:CB$87,Formula!H46,46)),IF(INDEX(Properties!A$1:CB$87,Formula!J46,46)&lt;&gt;"",INDEX(Properties!A$1:CB$87,Formula!J46,46)))</f>
        <v>0.26184000000000013</v>
      </c>
      <c r="EM46" s="66">
        <f>MAX(INDEX(Properties!A$1:CB$87,Formula!B46,46),INDEX(Properties!A$1:CB$87,Formula!D46,46),INDEX(Properties!A$1:CB$87,Formula!F46,46),INDEX(Properties!A$1:CB$87,Formula!H46,46),INDEX(Properties!A$1:CB$87,Formula!J46,46))</f>
        <v>1.36</v>
      </c>
      <c r="EN46" s="66">
        <f>MIN(IF(INDEX(Properties!A$1:CB$87,Formula!B46,46)=0,10^6,INDEX(Properties!A$1:CB$87,Formula!B46,46)),IF(INDEX(Properties!A$1:CB$87,Formula!D46,46)=0,10^6,INDEX(Properties!A$1:CB$87,Formula!D46,46)),IF(INDEX(Properties!A$1:CB$87,Formula!F46,46)=0,10^6,INDEX(Properties!A$1:CB$87,Formula!F46,46)),IF(INDEX(Properties!A$1:CB$87,Formula!H46,46)=0,10^6,INDEX(Properties!A$1:CB$87,Formula!H46,46)),IF(INDEX(Properties!A$1:CB$87,Formula!J46,46)=0,10^6,INDEX(Properties!A$1:CB$87,Formula!J46,46)))</f>
        <v>0.76</v>
      </c>
      <c r="EO46" s="66">
        <f t="shared" si="23"/>
        <v>0.60000000000000009</v>
      </c>
      <c r="EP46" s="81">
        <f>((Formula!C46)/(Formula!C46+Formula!E46+Formula!G46+Formula!I46+Formula!K46))*(INDEX(Properties!A$1:CB$87,Formula!B46,52))+((Formula!E46)/(Formula!C46+Formula!E46+Formula!G46+Formula!I46+Formula!K46))*(INDEX(Properties!A$1:CB$87,Formula!D46,52))+((Formula!G46)/(Formula!C46+Formula!E46+Formula!G46+Formula!I46+Formula!K46))*(INDEX(Properties!A$1:CB$87,Formula!F46,52))+((Formula!I46)/(Formula!C46+Formula!E46+Formula!G46+Formula!I46+Formula!K46))*(INDEX(Properties!A$1:CB$87,Formula!H46,52))+((Formula!K46)/(Formula!C46+Formula!E46+Formula!G46+Formula!I46+Formula!K46))*(INDEX(Properties!A$1:CB$87,Formula!J46,52))</f>
        <v>9.9960000000000004</v>
      </c>
      <c r="EQ46" s="81">
        <f>Formula!C46*(INDEX(Properties!A$1:CB$87,Formula!B46,52))+Formula!E46*(INDEX(Properties!A$1:CB$87,Formula!D46,52))+Formula!G46*(INDEX(Properties!A$1:CB$87,Formula!F46,52))+Formula!I46*(INDEX(Properties!A$1:CB$87,Formula!H46,52))+Formula!K46*(INDEX(Properties!A$1:CB$87,Formula!J46,52))</f>
        <v>69.971999999999994</v>
      </c>
      <c r="ER46" s="81">
        <f>VARP(IF(INDEX(Properties!A$1:CB$87,Formula!B46,52)&lt;&gt;"",INDEX(Properties!A$1:CB$87,Formula!B46,52)),IF(INDEX(Properties!A$1:CB$87,Formula!D46,52)&lt;&gt;"",INDEX(Properties!A$1:CB$87,Formula!D46,52)),IF(INDEX(Properties!A$1:CB$87,Formula!F46,52)&lt;&gt;"",INDEX(Properties!A$1:CB$87,Formula!F46,52)),IF(INDEX(Properties!A$1:CB$87,Formula!H46,52)&lt;&gt;"",INDEX(Properties!A$1:CB$87,Formula!H46,52)),IF(INDEX(Properties!A$1:CB$87,Formula!J46,52)&lt;&gt;"",INDEX(Properties!A$1:CB$87,Formula!J46,52)))</f>
        <v>176.28922384000001</v>
      </c>
      <c r="ES46" s="81">
        <f>MAX(INDEX(Properties!A$1:CB$87,Formula!B46,52),INDEX(Properties!A$1:CB$87,Formula!D46,52),INDEX(Properties!A$1:CB$87,Formula!F46,52),INDEX(Properties!A$1:CB$87,Formula!H46,52),INDEX(Properties!A$1:CB$87,Formula!J46,52))</f>
        <v>31.1</v>
      </c>
      <c r="ET46" s="81">
        <f>MIN(IF(INDEX(Properties!A$1:CB$87,Formula!B46,52)=0,10^6,INDEX(Properties!A$1:CB$87,Formula!B46,52)),IF(INDEX(Properties!A$1:CB$87,Formula!D46,52)=0,10^6,INDEX(Properties!A$1:CB$87,Formula!D46,52)),IF(INDEX(Properties!A$1:CB$87,Formula!F46,52)=0,10^6,INDEX(Properties!A$1:CB$87,Formula!F46,52)),IF(INDEX(Properties!A$1:CB$87,Formula!H46,52)=0,10^6,INDEX(Properties!A$1:CB$87,Formula!H46,52)),IF(INDEX(Properties!A$1:CB$87,Formula!J46,52)=0,10^6,INDEX(Properties!A$1:CB$87,Formula!J46,52)))</f>
        <v>0.79300000000000004</v>
      </c>
      <c r="EU46" s="81">
        <f t="shared" si="24"/>
        <v>30.307000000000002</v>
      </c>
      <c r="EV46" s="39">
        <f>((Formula!C46)/(Formula!C46+Formula!E46+Formula!G46+Formula!I46+Formula!K46))*(INDEX(Properties!A$1:CB$87,Formula!B46,53))+((Formula!E46)/(Formula!C46+Formula!E46+Formula!G46+Formula!I46+Formula!K46))*(INDEX(Properties!A$1:CB$87,Formula!D46,53))+((Formula!G46)/(Formula!C46+Formula!E46+Formula!G46+Formula!I46+Formula!K46))*(INDEX(Properties!A$1:CB$87,Formula!F46,53))+((Formula!I46)/(Formula!C46+Formula!E46+Formula!G46+Formula!I46+Formula!K46))*(INDEX(Properties!A$1:CB$87,Formula!H46,53))+((Formula!K46)/(Formula!C46+Formula!E46+Formula!G46+Formula!I46+Formula!K46))*(INDEX(Properties!A$1:CB$87,Formula!J46,53))</f>
        <v>393.89285714285711</v>
      </c>
      <c r="EW46" s="39">
        <f>Formula!C46*(INDEX(Properties!A$1:CB$87,Formula!B46,53))+Formula!E46*(INDEX(Properties!A$1:CB$87,Formula!D46,53))+Formula!G46*(INDEX(Properties!A$1:CB$87,Formula!F46,53))+Formula!I46*(INDEX(Properties!A$1:CB$87,Formula!H46,53))+Formula!K46*(INDEX(Properties!A$1:CB$87,Formula!J46,53))</f>
        <v>2757.25</v>
      </c>
      <c r="EX46" s="39">
        <f>VARP(IF(INDEX(Properties!A$1:CB$87,Formula!B46,53)&lt;&gt;"",INDEX(Properties!A$1:CB$87,Formula!B46,53)),IF(INDEX(Properties!A$1:CB$87,Formula!D46,53)&lt;&gt;"",INDEX(Properties!A$1:CB$87,Formula!D46,53)),IF(INDEX(Properties!A$1:CB$87,Formula!F46,53)&lt;&gt;"",INDEX(Properties!A$1:CB$87,Formula!F46,53)),IF(INDEX(Properties!A$1:CB$87,Formula!H46,53)&lt;&gt;"",INDEX(Properties!A$1:CB$87,Formula!H46,53)),IF(INDEX(Properties!A$1:CB$87,Formula!J46,53)&lt;&gt;"",INDEX(Properties!A$1:CB$87,Formula!J46,53)))</f>
        <v>251946.00200000009</v>
      </c>
      <c r="EY46" s="39">
        <f>MAX(INDEX(Properties!A$1:CB$87,Formula!B46,53),INDEX(Properties!A$1:CB$87,Formula!D46,53),INDEX(Properties!A$1:CB$87,Formula!F46,53),INDEX(Properties!A$1:CB$87,Formula!H46,53),INDEX(Properties!A$1:CB$87,Formula!J46,53))</f>
        <v>1193.1500000000001</v>
      </c>
      <c r="EZ46" s="39">
        <f>MIN(IF(INDEX(Properties!A$1:CB$87,Formula!B46,53)=0,10^6,INDEX(Properties!A$1:CB$87,Formula!B46,53)),IF(INDEX(Properties!A$1:CB$87,Formula!D46,53)=0,10^6,INDEX(Properties!A$1:CB$87,Formula!D46,53)),IF(INDEX(Properties!A$1:CB$87,Formula!F46,53)=0,10^6,INDEX(Properties!A$1:CB$87,Formula!F46,53)),IF(INDEX(Properties!A$1:CB$87,Formula!H46,53)=0,10^6,INDEX(Properties!A$1:CB$87,Formula!H46,53)),IF(INDEX(Properties!A$1:CB$87,Formula!J46,53)=0,10^6,INDEX(Properties!A$1:CB$87,Formula!J46,53)))</f>
        <v>54.749999999999972</v>
      </c>
      <c r="FA46" s="39">
        <f t="shared" si="25"/>
        <v>1138.4000000000001</v>
      </c>
      <c r="FB46" s="54">
        <f>((Formula!C46)/(Formula!C46+Formula!E46+Formula!G46+Formula!I46+Formula!K46))*(INDEX(Properties!A$1:CB$87,Formula!B46,54))+((Formula!E46)/(Formula!C46+Formula!E46+Formula!G46+Formula!I46+Formula!K46))*(INDEX(Properties!A$1:CB$87,Formula!D46,54))+((Formula!G46)/(Formula!C46+Formula!E46+Formula!G46+Formula!I46+Formula!K46))*(INDEX(Properties!A$1:CB$87,Formula!F46,54))+((Formula!I46)/(Formula!C46+Formula!E46+Formula!G46+Formula!I46+Formula!K46))*(INDEX(Properties!A$1:CB$87,Formula!H46,54))+((Formula!K46)/(Formula!C46+Formula!E46+Formula!G46+Formula!I46+Formula!K46))*(INDEX(Properties!A$1:CB$87,Formula!J46,54))</f>
        <v>1203.0071428571428</v>
      </c>
      <c r="FC46" s="54">
        <f>Formula!C46*(INDEX(Properties!A$1:CB$87,Formula!B46,54))+Formula!E46*(INDEX(Properties!A$1:CB$87,Formula!D46,54))+Formula!G46*(INDEX(Properties!A$1:CB$87,Formula!F46,54))+Formula!I46*(INDEX(Properties!A$1:CB$87,Formula!H46,54))+Formula!K46*(INDEX(Properties!A$1:CB$87,Formula!J46,54))</f>
        <v>8421.0500000000011</v>
      </c>
      <c r="FD46" s="54">
        <f>VARP(IF(INDEX(Properties!A$1:CB$87,Formula!B46,54)&lt;&gt;"",INDEX(Properties!A$1:CB$87,Formula!B46,54)),IF(INDEX(Properties!A$1:CB$87,Formula!D46,54)&lt;&gt;"",INDEX(Properties!A$1:CB$87,Formula!D46,54)),IF(INDEX(Properties!A$1:CB$87,Formula!F46,54)&lt;&gt;"",INDEX(Properties!A$1:CB$87,Formula!F46,54)),IF(INDEX(Properties!A$1:CB$87,Formula!H46,54)&lt;&gt;"",INDEX(Properties!A$1:CB$87,Formula!H46,54)),IF(INDEX(Properties!A$1:CB$87,Formula!J46,54)&lt;&gt;"",INDEX(Properties!A$1:CB$87,Formula!J46,54)))</f>
        <v>2104248.6036000005</v>
      </c>
      <c r="FE46" s="54">
        <f>MAX(INDEX(Properties!A$1:CB$87,Formula!B46,54),INDEX(Properties!A$1:CB$87,Formula!D46,54),INDEX(Properties!A$1:CB$87,Formula!F46,54),INDEX(Properties!A$1:CB$87,Formula!H46,54),INDEX(Properties!A$1:CB$87,Formula!J46,54))</f>
        <v>3727.15</v>
      </c>
      <c r="FF46" s="54">
        <f>MIN(IF(INDEX(Properties!A$1:CB$87,Formula!B46,54)=0,10^6,INDEX(Properties!A$1:CB$87,Formula!B46,54)),IF(INDEX(Properties!A$1:CB$87,Formula!D46,54)=0,10^6,INDEX(Properties!A$1:CB$87,Formula!D46,54)),IF(INDEX(Properties!A$1:CB$87,Formula!F46,54)=0,10^6,INDEX(Properties!A$1:CB$87,Formula!F46,54)),IF(INDEX(Properties!A$1:CB$87,Formula!H46,54)=0,10^6,INDEX(Properties!A$1:CB$87,Formula!H46,54)),IF(INDEX(Properties!A$1:CB$87,Formula!J46,54)=0,10^6,INDEX(Properties!A$1:CB$87,Formula!J46,54)))</f>
        <v>90.149999999999977</v>
      </c>
      <c r="FG46" s="54">
        <f t="shared" si="26"/>
        <v>3637</v>
      </c>
      <c r="FH46" s="69">
        <f>((Formula!C46)/(Formula!C46+Formula!E46+Formula!G46+Formula!I46+Formula!K46))*(INDEX(Properties!A$1:CB$87,Formula!B46,55))+((Formula!E46)/(Formula!C46+Formula!E46+Formula!G46+Formula!I46+Formula!K46))*(INDEX(Properties!A$1:CB$87,Formula!D46,55))+((Formula!G46)/(Formula!C46+Formula!E46+Formula!G46+Formula!I46+Formula!K46))*(INDEX(Properties!A$1:CB$87,Formula!F46,55))+((Formula!I46)/(Formula!C46+Formula!E46+Formula!G46+Formula!I46+Formula!K46))*(INDEX(Properties!A$1:CB$87,Formula!H46,55))+((Formula!K46)/(Formula!C46+Formula!E46+Formula!G46+Formula!I46+Formula!K46))*(INDEX(Properties!A$1:CB$87,Formula!J46,55))</f>
        <v>2.09796</v>
      </c>
      <c r="FI46" s="69">
        <f>Formula!C46*(INDEX(Properties!A$1:CB$87,Formula!B46,55))+Formula!E46*(INDEX(Properties!A$1:CB$87,Formula!D46,54))+Formula!G46*(INDEX(Properties!A$1:CB$87,Formula!F46,55))+Formula!I46*(INDEX(Properties!A$1:CB$87,Formula!H46,55))+Formula!K46*(INDEX(Properties!A$1:CB$87,Formula!J46,55))</f>
        <v>3735.6857200000004</v>
      </c>
      <c r="FJ46" s="69">
        <f>VARP(IF(INDEX(Properties!A$1:CB$87,Formula!B46,55)&lt;&gt;"",INDEX(Properties!A$1:CB$87,Formula!B46,55)),IF(INDEX(Properties!A$1:CB$87,Formula!D46,55)&lt;&gt;"",INDEX(Properties!A$1:CB$87,Formula!D46,55)),IF(INDEX(Properties!A$1:CB$87,Formula!F46,55)&lt;&gt;"",INDEX(Properties!A$1:CB$87,Formula!F46,55)),IF(INDEX(Properties!A$1:CB$87,Formula!H46,55)&lt;&gt;"",INDEX(Properties!A$1:CB$87,Formula!H46,55)),IF(INDEX(Properties!A$1:CB$87,Formula!J46,55)&lt;&gt;"",INDEX(Properties!A$1:CB$87,Formula!J46,55)))</f>
        <v>7.288104935184001</v>
      </c>
      <c r="FK46" s="69">
        <f>MAX(INDEX(Properties!A$1:CB$87,Formula!B46,55),INDEX(Properties!A$1:CB$87,Formula!D46,55),INDEX(Properties!A$1:CB$87,Formula!F46,55),INDEX(Properties!A$1:CB$87,Formula!H46,55),INDEX(Properties!A$1:CB$87,Formula!J46,55))</f>
        <v>6.15</v>
      </c>
      <c r="FL46" s="69">
        <f>MIN(IF(INDEX(Properties!A$1:CB$87,Formula!B46,55)=0,10^6,INDEX(Properties!A$1:CB$87,Formula!B46,55)),IF(INDEX(Properties!A$1:CB$87,Formula!D46,55)=0,10^6,INDEX(Properties!A$1:CB$87,Formula!D46,55)),IF(INDEX(Properties!A$1:CB$87,Formula!F46,55)=0,10^6,INDEX(Properties!A$1:CB$87,Formula!F46,55)),IF(INDEX(Properties!A$1:CB$87,Formula!H46,55)=0,10^6,INDEX(Properties!A$1:CB$87,Formula!H46,55)),IF(INDEX(Properties!A$1:CB$87,Formula!J46,55)=0,10^6,INDEX(Properties!A$1:CB$87,Formula!J46,55)))</f>
        <v>1.4300000000000001E-3</v>
      </c>
      <c r="FM46" s="69">
        <f t="shared" si="27"/>
        <v>6.1485700000000003</v>
      </c>
      <c r="FN46" s="42">
        <f>((Formula!C46)/(Formula!C46+Formula!E46+Formula!G46+Formula!I46+Formula!K46))*(INDEX(Properties!A$1:CB$87,Formula!B46,56))+((Formula!E46)/(Formula!C46+Formula!E46+Formula!G46+Formula!I46+Formula!K46))*(INDEX(Properties!A$1:CB$87,Formula!D46,56))+((Formula!G46)/(Formula!C46+Formula!E46+Formula!G46+Formula!I46+Formula!K46))*(INDEX(Properties!A$1:CB$87,Formula!F46,56))+((Formula!I46)/(Formula!C46+Formula!E46+Formula!G46+Formula!I46+Formula!K46))*(INDEX(Properties!A$1:CB$87,Formula!H46,56))+((Formula!K46)/(Formula!C46+Formula!E46+Formula!G46+Formula!I46+Formula!K46))*(INDEX(Properties!A$1:CB$87,Formula!J46,56))</f>
        <v>0.64857142857142858</v>
      </c>
      <c r="FO46" s="42">
        <f>Formula!C46*(INDEX(Properties!A$1:CB$87,Formula!B46,56))+Formula!E46*(INDEX(Properties!A$1:CB$87,Formula!D46,56))+Formula!G46*(INDEX(Properties!A$1:CB$87,Formula!F46,56))+Formula!I46*(INDEX(Properties!A$1:CB$87,Formula!H46,56))+Formula!K46*(INDEX(Properties!A$1:CB$87,Formula!J46,56))</f>
        <v>4.54</v>
      </c>
      <c r="FP46" s="42">
        <f>VARP(IF(INDEX(Properties!A$1:CB$87,Formula!B46,56)&lt;&gt;"",INDEX(Properties!A$1:CB$87,Formula!B46,56)),IF(INDEX(Properties!A$1:CB$87,Formula!D46,56)&lt;&gt;"",INDEX(Properties!A$1:CB$87,Formula!D46,56)),IF(INDEX(Properties!A$1:CB$87,Formula!F46,56)&lt;&gt;"",INDEX(Properties!A$1:CB$87,Formula!F46,56)),IF(INDEX(Properties!A$1:CB$87,Formula!H46,56)&lt;&gt;"",INDEX(Properties!A$1:CB$87,Formula!H46,56)),IF(INDEX(Properties!A$1:CB$87,Formula!J46,56)&lt;&gt;"",INDEX(Properties!A$1:CB$87,Formula!J46,56)))</f>
        <v>9.5143999999999979E-2</v>
      </c>
      <c r="FQ46" s="42">
        <f>MAX(INDEX(Properties!A$1:CB$87,Formula!B46,56),INDEX(Properties!A$1:CB$87,Formula!D46,56),INDEX(Properties!A$1:CB$87,Formula!F46,56),INDEX(Properties!A$1:CB$87,Formula!H46,56),INDEX(Properties!A$1:CB$87,Formula!J46,56))</f>
        <v>0.92</v>
      </c>
      <c r="FR46" s="42">
        <f>MIN(IF(INDEX(Properties!A$1:CB$87,Formula!B46,56)=0,10^6,INDEX(Properties!A$1:CB$87,Formula!B46,56)),IF(INDEX(Properties!A$1:CB$87,Formula!D46,56)=0,10^6,INDEX(Properties!A$1:CB$87,Formula!D46,56)),IF(INDEX(Properties!A$1:CB$87,Formula!F46,56)=0,10^6,INDEX(Properties!A$1:CB$87,Formula!F46,56)),IF(INDEX(Properties!A$1:CB$87,Formula!H46,56)=0,10^6,INDEX(Properties!A$1:CB$87,Formula!H46,56)),IF(INDEX(Properties!A$1:CB$87,Formula!J46,56)=0,10^6,INDEX(Properties!A$1:CB$87,Formula!J46,56)))</f>
        <v>0.19</v>
      </c>
      <c r="FS46" s="42">
        <f t="shared" si="28"/>
        <v>0.73</v>
      </c>
      <c r="FT46" s="60">
        <f>((Formula!C46)/(Formula!C46+Formula!E46+Formula!G46+Formula!I46+Formula!K46))*(INDEX(Properties!A$1:CB$87,Formula!B46,57))+((Formula!E46)/(Formula!C46+Formula!E46+Formula!G46+Formula!I46+Formula!K46))*(INDEX(Properties!A$1:CB$87,Formula!D46,57))+((Formula!G46)/(Formula!C46+Formula!E46+Formula!G46+Formula!I46+Formula!K46))*(INDEX(Properties!A$1:CB$87,Formula!F46,57))+((Formula!I46)/(Formula!C46+Formula!E46+Formula!G46+Formula!I46+Formula!K46))*(INDEX(Properties!A$1:CB$87,Formula!H46,57))+((Formula!K46)/(Formula!C46+Formula!E46+Formula!G46+Formula!I46+Formula!K46))*(INDEX(Properties!A$1:CB$87,Formula!J46,57))</f>
        <v>2.9971942857142855</v>
      </c>
      <c r="FU46" s="60">
        <f>Formula!C46*(INDEX(Properties!A$1:CB$87,Formula!B46,57))+Formula!E46*(INDEX(Properties!A$1:CB$87,Formula!D46,57))+Formula!G46*(INDEX(Properties!A$1:CB$87,Formula!F46,57))+Formula!I46*(INDEX(Properties!A$1:CB$87,Formula!H46,57))+Formula!K46*(INDEX(Properties!A$1:CB$87,Formula!J46,57))</f>
        <v>20.980360000000001</v>
      </c>
      <c r="FV46" s="60">
        <f>VARP(IF(INDEX(Properties!A$1:CB$87,Formula!B46,57)&lt;&gt;"",INDEX(Properties!A$1:CB$87,Formula!B46,57)),IF(INDEX(Properties!A$1:CB$87,Formula!D46,57)&lt;&gt;"",INDEX(Properties!A$1:CB$87,Formula!D46,57)),IF(INDEX(Properties!A$1:CB$87,Formula!F46,57)&lt;&gt;"",INDEX(Properties!A$1:CB$87,Formula!F46,57)),IF(INDEX(Properties!A$1:CB$87,Formula!H46,57)&lt;&gt;"",INDEX(Properties!A$1:CB$87,Formula!H46,57)),IF(INDEX(Properties!A$1:CB$87,Formula!J46,57)&lt;&gt;"",INDEX(Properties!A$1:CB$87,Formula!J46,57)))</f>
        <v>11.221476761295998</v>
      </c>
      <c r="FW46" s="60">
        <f>MAX(INDEX(Properties!A$1:CB$87,Formula!B46,57),INDEX(Properties!A$1:CB$87,Formula!D46,57),INDEX(Properties!A$1:CB$87,Formula!F46,57),INDEX(Properties!A$1:CB$87,Formula!H46,57),INDEX(Properties!A$1:CB$87,Formula!J46,57))</f>
        <v>8.3000000000000007</v>
      </c>
      <c r="FX46" s="60">
        <f>MIN(IF(INDEX(Properties!A$1:CB$87,Formula!B46,57)=0,10^6,INDEX(Properties!A$1:CB$87,Formula!B46,57)),IF(INDEX(Properties!A$1:CB$87,Formula!D46,57)=0,10^6,INDEX(Properties!A$1:CB$87,Formula!D46,57)),IF(INDEX(Properties!A$1:CB$87,Formula!F46,57)=0,10^6,INDEX(Properties!A$1:CB$87,Formula!F46,57)),IF(INDEX(Properties!A$1:CB$87,Formula!H46,57)=0,10^6,INDEX(Properties!A$1:CB$87,Formula!H46,57)),IF(INDEX(Properties!A$1:CB$87,Formula!J46,57)=0,10^6,INDEX(Properties!A$1:CB$87,Formula!J46,57)))</f>
        <v>0.22259000000000001</v>
      </c>
      <c r="FY46" s="60">
        <f t="shared" si="29"/>
        <v>8.0774100000000004</v>
      </c>
      <c r="FZ46" s="72">
        <f>((Formula!C46)/(Formula!C46+Formula!E46+Formula!G46+Formula!I46+Formula!K46))*(INDEX(Properties!A$1:CB$87,Formula!B46,60))+((Formula!E46)/(Formula!C46+Formula!E46+Formula!G46+Formula!I46+Formula!K46))*(INDEX(Properties!A$1:CB$87,Formula!D46,60))+((Formula!G46)/(Formula!C46+Formula!E46+Formula!G46+Formula!I46+Formula!K46))*(INDEX(Properties!A$1:CB$87,Formula!F46,60))+((Formula!I46)/(Formula!C46+Formula!E46+Formula!G46+Formula!I46+Formula!K46))*(INDEX(Properties!A$1:CB$87,Formula!H46,60))+((Formula!K46)/(Formula!C46+Formula!E46+Formula!G46+Formula!I46+Formula!K46))*(INDEX(Properties!A$1:CB$87,Formula!J46,60))</f>
        <v>12.786708571428569</v>
      </c>
      <c r="GA46" s="72">
        <f>Formula!C46*(INDEX(Properties!A$1:CB$87,Formula!B46,60))+Formula!E46*(INDEX(Properties!A$1:CB$87,Formula!D46,60))+Formula!G46*(INDEX(Properties!A$1:CB$87,Formula!F46,60))+Formula!I46*(INDEX(Properties!A$1:CB$87,Formula!H46,60))+Formula!K46*(INDEX(Properties!A$1:CB$87,Formula!J46,60))</f>
        <v>89.506960000000007</v>
      </c>
      <c r="GB46" s="72">
        <f>VARP(IF(INDEX(Properties!A$1:CB$87,Formula!B46,60)&lt;&gt;"",INDEX(Properties!A$1:CB$87,Formula!B46,60)),IF(INDEX(Properties!A$1:CB$87,Formula!D46,60)&lt;&gt;"",INDEX(Properties!A$1:CB$87,Formula!D46,60)),IF(INDEX(Properties!A$1:CB$87,Formula!F46,60)&lt;&gt;"",INDEX(Properties!A$1:CB$87,Formula!F46,60)),IF(INDEX(Properties!A$1:CB$87,Formula!H46,60)&lt;&gt;"",INDEX(Properties!A$1:CB$87,Formula!H46,60)),IF(INDEX(Properties!A$1:CB$87,Formula!J46,60)&lt;&gt;"",INDEX(Properties!A$1:CB$87,Formula!J46,60)))</f>
        <v>295.45446992441595</v>
      </c>
      <c r="GC46" s="72">
        <f>MAX(INDEX(Properties!A$1:CB$87,Formula!B46,60),INDEX(Properties!A$1:CB$87,Formula!D46,60),INDEX(Properties!A$1:CB$87,Formula!F46,60),INDEX(Properties!A$1:CB$87,Formula!H46,60),INDEX(Properties!A$1:CB$87,Formula!J46,60))</f>
        <v>40.6</v>
      </c>
      <c r="GD46" s="72">
        <f>MIN(IF(INDEX(Properties!A$1:CB$87,Formula!B46,60)=0,10^6,INDEX(Properties!A$1:CB$87,Formula!B46,60)),IF(INDEX(Properties!A$1:CB$87,Formula!D46,60)=0,10^6,INDEX(Properties!A$1:CB$87,Formula!D46,60)),IF(INDEX(Properties!A$1:CB$87,Formula!F46,60)=0,10^6,INDEX(Properties!A$1:CB$87,Formula!F46,60)),IF(INDEX(Properties!A$1:CB$87,Formula!H46,60)=0,10^6,INDEX(Properties!A$1:CB$87,Formula!H46,60)),IF(INDEX(Properties!A$1:CB$87,Formula!J46,60)=0,10^6,INDEX(Properties!A$1:CB$87,Formula!J46,60)))</f>
        <v>2.674E-2</v>
      </c>
      <c r="GE46" s="72">
        <f t="shared" si="30"/>
        <v>40.573260000000005</v>
      </c>
      <c r="GF46" s="51">
        <f>((Formula!C46)/(Formula!C46+Formula!E46+Formula!G46+Formula!I46+Formula!K46))*(INDEX(Properties!A$1:CB$87,Formula!B46,62))+((Formula!E46)/(Formula!C46+Formula!E46+Formula!G46+Formula!I46+Formula!K46))*(INDEX(Properties!A$1:CB$87,Formula!D46,62))+((Formula!G46)/(Formula!C46+Formula!E46+Formula!G46+Formula!I46+Formula!K46))*(INDEX(Properties!A$1:CB$87,Formula!F46,62))+((Formula!I46)/(Formula!C46+Formula!E46+Formula!G46+Formula!I46+Formula!K46))*(INDEX(Properties!A$1:CB$87,Formula!H46,62))+((Formula!K46)/(Formula!C46+Formula!E46+Formula!G46+Formula!I46+Formula!K46))*(INDEX(Properties!A$1:CB$87,Formula!J46,62))</f>
        <v>2.7828571428571429</v>
      </c>
      <c r="GG46" s="51">
        <f>Formula!C46*(INDEX(Properties!A$1:CB$87,Formula!B46,62))+Formula!E46*(INDEX(Properties!A$1:CB$87,Formula!D46,62))+Formula!G46*(INDEX(Properties!A$1:CB$87,Formula!F46,62))+Formula!I46*(INDEX(Properties!A$1:CB$87,Formula!H46,62))+Formula!K46*(INDEX(Properties!A$1:CB$87,Formula!J46,62))</f>
        <v>19.48</v>
      </c>
      <c r="GH46" s="51">
        <f>VARP(IF(INDEX(Properties!A$1:CB$87,Formula!B46,62)&lt;&gt;"",INDEX(Properties!A$1:CB$87,Formula!B46,62)),IF(INDEX(Properties!A$1:CB$87,Formula!D46,62)&lt;&gt;"",INDEX(Properties!A$1:CB$87,Formula!D46,62)),IF(INDEX(Properties!A$1:CB$87,Formula!F46,62)&lt;&gt;"",INDEX(Properties!A$1:CB$87,Formula!F46,62)),IF(INDEX(Properties!A$1:CB$87,Formula!H46,62)&lt;&gt;"",INDEX(Properties!A$1:CB$87,Formula!H46,62)),IF(INDEX(Properties!A$1:CB$87,Formula!J46,62)&lt;&gt;"",INDEX(Properties!A$1:CB$87,Formula!J46,62)))</f>
        <v>2.1389840000000002</v>
      </c>
      <c r="GI46" s="51">
        <f>MAX(INDEX(Properties!A$1:CB$87,Formula!B46,62),INDEX(Properties!A$1:CB$87,Formula!D46,62),INDEX(Properties!A$1:CB$87,Formula!F46,62),INDEX(Properties!A$1:CB$87,Formula!H46,62),INDEX(Properties!A$1:CB$87,Formula!J46,62))</f>
        <v>4.47</v>
      </c>
      <c r="GJ46" s="51">
        <f>MIN(IF(INDEX(Properties!A$1:CB$87,Formula!B46,62)=0,10^6,INDEX(Properties!A$1:CB$87,Formula!B46,62)),IF(INDEX(Properties!A$1:CB$87,Formula!D46,62)=0,10^6,INDEX(Properties!A$1:CB$87,Formula!D46,62)),IF(INDEX(Properties!A$1:CB$87,Formula!F46,62)=0,10^6,INDEX(Properties!A$1:CB$87,Formula!F46,62)),IF(INDEX(Properties!A$1:CB$87,Formula!H46,62)=0,10^6,INDEX(Properties!A$1:CB$87,Formula!H46,62)),IF(INDEX(Properties!A$1:CB$87,Formula!J46,62)=0,10^6,INDEX(Properties!A$1:CB$87,Formula!J46,62)))</f>
        <v>1.72</v>
      </c>
      <c r="GK46" s="51">
        <f t="shared" si="31"/>
        <v>2.75</v>
      </c>
      <c r="GL46" s="51">
        <f>Formula!P46</f>
        <v>139</v>
      </c>
      <c r="GM46" s="57">
        <f>Formula!O46</f>
        <v>4</v>
      </c>
      <c r="GN46" s="51">
        <f>Formula!N46</f>
        <v>0.1</v>
      </c>
    </row>
    <row r="47" spans="1:196" x14ac:dyDescent="0.3">
      <c r="A47" s="84" t="str">
        <f>Formula!A47</f>
        <v>K2MgP2O7</v>
      </c>
      <c r="B47" s="89">
        <f>((Formula!C47)/(Formula!C47+Formula!E47+Formula!G47+Formula!I47+Formula!K47))*(INDEX(Properties!A$1:CB$87,Formula!B47,3))+((Formula!E47)/(Formula!C47+Formula!E47+Formula!G47+Formula!I47+Formula!K47))*(INDEX(Properties!A$1:CB$87,Formula!D47,3))+((Formula!G47)/(Formula!C47+Formula!E47+Formula!G47+Formula!I47+Formula!K47))*(INDEX(Properties!A$1:CB$87,Formula!F47,3))+((Formula!I47)/(Formula!C47+Formula!E47+Formula!G47+Formula!I47+Formula!K47))*(INDEX(Properties!A$1:CB$87,Formula!H47,3))+((Formula!K47)/(Formula!C47+Formula!E47+Formula!G47+Formula!I47+Formula!K47))*(INDEX(Properties!A$1:CB$87,Formula!J47,3))</f>
        <v>23.037077</v>
      </c>
      <c r="C47" s="85">
        <f>Formula!C47*(INDEX(Properties!A$1:CB$87,Formula!B47,3))+Formula!E47*(INDEX(Properties!A$1:CB$87,Formula!D47,3))+Formula!G47*(INDEX(Properties!A$1:CB$87,Formula!F47,3))+Formula!I47*(INDEX(Properties!A$1:CB$87,Formula!H47,3))+Formula!K47*(INDEX(Properties!A$1:CB$87,Formula!J47,3))</f>
        <v>276.44492400000001</v>
      </c>
      <c r="D47" s="85">
        <f>VARP(IF(INDEX(Properties!A$1:CB$87,Formula!B47,3)&lt;&gt;"",INDEX(Properties!A$1:CB$87,Formula!B47,3)),IF(INDEX(Properties!A$1:CB$87,Formula!D47,3)&lt;&gt;"",INDEX(Properties!A$1:CB$87,Formula!D47,3)),IF(INDEX(Properties!A$1:CB$87,Formula!F47,3)&lt;&gt;"",INDEX(Properties!A$1:CB$87,Formula!F47,3)),IF(INDEX(Properties!A$1:CB$87,Formula!H47,3)&lt;&gt;"",INDEX(Properties!A$1:CB$87,Formula!H47,3)),IF(INDEX(Properties!A$1:CB$87,Formula!J47,3)&lt;&gt;"",INDEX(Properties!A$1:CB$87,Formula!J47,3)))</f>
        <v>179.63442959103122</v>
      </c>
      <c r="E47" s="85">
        <f>MAX(INDEX(Properties!A$1:CB$87,Formula!B47,3),INDEX(Properties!A$1:CB$87,Formula!D47,3),INDEX(Properties!A$1:CB$87,Formula!F47,3),INDEX(Properties!A$1:CB$87,Formula!H47,3),INDEX(Properties!A$1:CB$87,Formula!J47,3))</f>
        <v>39.098300000000002</v>
      </c>
      <c r="F47" s="85">
        <f>MIN(IF(INDEX(Properties!A$1:CB$87,Formula!B47,3)=0,10^6,INDEX(Properties!A$1:CB$87,Formula!B47,3)),IF(INDEX(Properties!A$1:CB$87,Formula!D47,3)=0,10^6,INDEX(Properties!A$1:CB$87,Formula!D47,3)),IF(INDEX(Properties!A$1:CB$87,Formula!F47,3)=0,10^6,INDEX(Properties!A$1:CB$87,Formula!F47,3)),IF(INDEX(Properties!A$1:CB$87,Formula!H47,3)=0,10^6,INDEX(Properties!A$1:CB$87,Formula!H47,3)),IF(INDEX(Properties!A$1:CB$87,Formula!J47,3)=0,10^6,INDEX(Properties!A$1:CB$87,Formula!J47,3)))</f>
        <v>15.9994</v>
      </c>
      <c r="G47" s="85">
        <f t="shared" si="0"/>
        <v>23.0989</v>
      </c>
      <c r="H47" s="87">
        <f>((Formula!C47)/(Formula!C47+Formula!E47+Formula!G47+Formula!I47+Formula!K47))*(INDEX(Properties!A$1:CB$87,Formula!B47,4))+((Formula!E47)/(Formula!C47+Formula!E47+Formula!G47+Formula!I47+Formula!K47))*(INDEX(Properties!A$1:CB$87,Formula!D47,4))+((Formula!G47)/(Formula!C47+Formula!E47+Formula!G47+Formula!I47+Formula!K47))*(INDEX(Properties!A$1:CB$87,Formula!F47,4))+((Formula!I47)/(Formula!C47+Formula!E47+Formula!G47+Formula!I47+Formula!K47))*(INDEX(Properties!A$1:CB$87,Formula!H47,4))+((Formula!K47)/(Formula!C47+Formula!E47+Formula!G47+Formula!I47+Formula!K47))*(INDEX(Properties!A$1:CB$87,Formula!J47,4))</f>
        <v>11.333333333333332</v>
      </c>
      <c r="I47" s="87">
        <f>Formula!C47*(INDEX(Properties!A$1:CB$87,Formula!B47,4))+Formula!E47*(INDEX(Properties!A$1:CB$87,Formula!D47,4))+Formula!G47*(INDEX(Properties!A$1:CB$87,Formula!F47,4))+Formula!I47*(INDEX(Properties!A$1:CB$87,Formula!H47,4))+Formula!K47*(INDEX(Properties!A$1:CB$87,Formula!J47,4))</f>
        <v>136</v>
      </c>
      <c r="J47" s="87">
        <f>VARP(IF(INDEX(Properties!A$1:CB$87,Formula!B47,4)&lt;&gt;"",INDEX(Properties!A$1:CB$87,Formula!B47,4)),IF(INDEX(Properties!A$1:CB$87,Formula!D47,4)&lt;&gt;"",INDEX(Properties!A$1:CB$87,Formula!D47,4)),IF(INDEX(Properties!A$1:CB$87,Formula!F47,4)&lt;&gt;"",INDEX(Properties!A$1:CB$87,Formula!F47,4)),IF(INDEX(Properties!A$1:CB$87,Formula!H47,4)&lt;&gt;"",INDEX(Properties!A$1:CB$87,Formula!H47,4)),IF(INDEX(Properties!A$1:CB$87,Formula!J47,4)&lt;&gt;"",INDEX(Properties!A$1:CB$87,Formula!J47,4)))</f>
        <v>42.16</v>
      </c>
      <c r="K47" s="87">
        <f>MAX(INDEX(Properties!A$1:CB$87,Formula!B47,4),INDEX(Properties!A$1:CB$87,Formula!D47,4),INDEX(Properties!A$1:CB$87,Formula!F47,4),INDEX(Properties!A$1:CB$87,Formula!H47,4),INDEX(Properties!A$1:CB$87,Formula!J47,4))</f>
        <v>19</v>
      </c>
      <c r="L47" s="87">
        <f>MIN(IF(INDEX(Properties!A$1:CB$87,Formula!B47,4)=0,10^6,INDEX(Properties!A$1:CB$87,Formula!B47,4)),IF(INDEX(Properties!A$1:CB$87,Formula!D47,4)=0,10^6,INDEX(Properties!A$1:CB$87,Formula!D47,4)),IF(INDEX(Properties!A$1:CB$87,Formula!F47,4)=0,10^6,INDEX(Properties!A$1:CB$87,Formula!F47,4)),IF(INDEX(Properties!A$1:CB$87,Formula!H47,4)=0,10^6,INDEX(Properties!A$1:CB$87,Formula!H47,4)),IF(INDEX(Properties!A$1:CB$87,Formula!J47,4)=0,10^6,INDEX(Properties!A$1:CB$87,Formula!J47,4)))</f>
        <v>8</v>
      </c>
      <c r="M47" s="87">
        <f t="shared" si="1"/>
        <v>11</v>
      </c>
      <c r="N47" s="89">
        <f>((Formula!C47)/(Formula!C47+Formula!E47+Formula!G47+Formula!I47+Formula!K47))*(INDEX(Properties!A$1:CB$87,Formula!B47,5))+((Formula!E47)/(Formula!C47+Formula!E47+Formula!G47+Formula!I47+Formula!K47))*(INDEX(Properties!A$1:CB$87,Formula!D47,5))+((Formula!G47)/(Formula!C47+Formula!E47+Formula!G47+Formula!I47+Formula!K47))*(INDEX(Properties!A$1:CB$87,Formula!F47,5))+((Formula!I47)/(Formula!C47+Formula!E47+Formula!G47+Formula!I47+Formula!K47))*(INDEX(Properties!A$1:CB$87,Formula!H47,5))+((Formula!K47)/(Formula!C47+Formula!E47+Formula!G47+Formula!I47+Formula!K47))*(INDEX(Properties!A$1:CB$87,Formula!J47,5))</f>
        <v>2.583333333333333</v>
      </c>
      <c r="O47" s="89">
        <f>Formula!C47*(INDEX(Properties!A$1:CB$87,Formula!B47,5))+Formula!E47*(INDEX(Properties!A$1:CB$87,Formula!D47,5))+Formula!G47*(INDEX(Properties!A$1:CB$87,Formula!F47,5))+Formula!I47*(INDEX(Properties!A$1:CB$87,Formula!H47,5))+Formula!K47*(INDEX(Properties!A$1:CB$87,Formula!J47,5))</f>
        <v>31</v>
      </c>
      <c r="P47" s="89">
        <f>VARP(IF(INDEX(Properties!A$1:CB$87,Formula!B47,5)&lt;&gt;"",INDEX(Properties!A$1:CB$87,Formula!B47,5)),IF(INDEX(Properties!A$1:CB$87,Formula!D47,5)&lt;&gt;"",INDEX(Properties!A$1:CB$87,Formula!D47,5)),IF(INDEX(Properties!A$1:CB$87,Formula!F47,5)&lt;&gt;"",INDEX(Properties!A$1:CB$87,Formula!F47,5)),IF(INDEX(Properties!A$1:CB$87,Formula!H47,5)&lt;&gt;"",INDEX(Properties!A$1:CB$87,Formula!H47,5)),IF(INDEX(Properties!A$1:CB$87,Formula!J47,5)&lt;&gt;"",INDEX(Properties!A$1:CB$87,Formula!J47,5)))</f>
        <v>1.84</v>
      </c>
      <c r="Q47" s="89">
        <f>MAX(INDEX(Properties!A$1:CB$87,Formula!B47,5),INDEX(Properties!A$1:CB$87,Formula!D47,5),INDEX(Properties!A$1:CB$87,Formula!F47,5),INDEX(Properties!A$1:CB$87,Formula!H47,5),INDEX(Properties!A$1:CB$87,Formula!J47,5))</f>
        <v>4</v>
      </c>
      <c r="R47" s="89">
        <f>MIN(IF(INDEX(Properties!A$1:CB$87,Formula!B47,5)=0,10^6,INDEX(Properties!A$1:CB$87,Formula!B47,5)),IF(INDEX(Properties!A$1:CB$87,Formula!D47,5)=0,10^6,INDEX(Properties!A$1:CB$87,Formula!D47,5)),IF(INDEX(Properties!A$1:CB$87,Formula!F47,5)=0,10^6,INDEX(Properties!A$1:CB$87,Formula!F47,5)),IF(INDEX(Properties!A$1:CB$87,Formula!H47,5)=0,10^6,INDEX(Properties!A$1:CB$87,Formula!H47,5)),IF(INDEX(Properties!A$1:CB$87,Formula!J47,5)=0,10^6,INDEX(Properties!A$1:CB$87,Formula!J47,5)))</f>
        <v>2</v>
      </c>
      <c r="S47" s="89">
        <f t="shared" si="2"/>
        <v>2</v>
      </c>
      <c r="T47" s="60">
        <f>((Formula!C47)/(Formula!C47+Formula!E47+Formula!G47+Formula!I47+Formula!K47))*(INDEX(Properties!A$1:CB$87,Formula!B47,6))+((Formula!E47)/(Formula!C47+Formula!E47+Formula!G47+Formula!I47+Formula!K47))*(INDEX(Properties!A$1:CB$87,Formula!D47,6))+((Formula!G47)/(Formula!C47+Formula!E47+Formula!G47+Formula!I47+Formula!K47))*(INDEX(Properties!A$1:CB$87,Formula!F47,6))+((Formula!I47)/(Formula!C47+Formula!E47+Formula!G47+Formula!I47+Formula!K47))*(INDEX(Properties!A$1:CB$87,Formula!H47,6))+((Formula!K47)/(Formula!C47+Formula!E47+Formula!G47+Formula!I47+Formula!K47))*(INDEX(Properties!A$1:CB$87,Formula!J47,6))</f>
        <v>12.166666666666668</v>
      </c>
      <c r="U47" s="60">
        <f>Formula!C47*(INDEX(Properties!A$1:CB$87,Formula!B47,6))+Formula!E47*(INDEX(Properties!A$1:CB$87,Formula!D47,6))+Formula!G47*(INDEX(Properties!A$1:CB$87,Formula!F47,6))+Formula!I47*(INDEX(Properties!A$1:CB$87,Formula!H47,6))+Formula!K47*(INDEX(Properties!A$1:CB$87,Formula!J47,6))</f>
        <v>146</v>
      </c>
      <c r="V47" s="89">
        <f>VARP(IF(INDEX(Properties!A$1:CB$87,Formula!B47,6)&lt;&gt;"",INDEX(Properties!A$1:CB$87,Formula!B47,6)),IF(INDEX(Properties!A$1:CB$87,Formula!D47,6)&lt;&gt;"",INDEX(Properties!A$1:CB$87,Formula!D47,6)),IF(INDEX(Properties!A$1:CB$87,Formula!F47,6)&lt;&gt;"",INDEX(Properties!A$1:CB$87,Formula!F47,6)),IF(INDEX(Properties!A$1:CB$87,Formula!H47,6)&lt;&gt;"",INDEX(Properties!A$1:CB$87,Formula!H47,6)),IF(INDEX(Properties!A$1:CB$87,Formula!J47,6)&lt;&gt;"",INDEX(Properties!A$1:CB$87,Formula!J47,6)))</f>
        <v>50.96</v>
      </c>
      <c r="W47" s="60">
        <f>MAX(INDEX(Properties!A$1:CB$87,Formula!B47,6),INDEX(Properties!A$1:CB$87,Formula!D47,6),INDEX(Properties!A$1:CB$87,Formula!F47,6),INDEX(Properties!A$1:CB$87,Formula!H47,4),INDEX(Properties!A$1:CB$87,Formula!J47,6))</f>
        <v>15</v>
      </c>
      <c r="X47" s="60">
        <f>MIN(IF(INDEX(Properties!A$1:CB$87,Formula!B47,6)=0,10^6,INDEX(Properties!A$1:CB$87,Formula!B47,6)),IF(INDEX(Properties!A$1:CB$87,Formula!D47,6)=0,10^6,INDEX(Properties!A$1:CB$87,Formula!D47,6)),IF(INDEX(Properties!A$1:CB$87,Formula!F47,6)=0,10^6,INDEX(Properties!A$1:CB$87,Formula!F47,6)),IF(INDEX(Properties!A$1:CB$87,Formula!H47,6)=0,10^6,INDEX(Properties!A$1:CB$87,Formula!H47,6)),IF(INDEX(Properties!A$1:CB$87,Formula!J47,6)=0,10^6,INDEX(Properties!A$1:CB$87,Formula!J47,6)))</f>
        <v>1</v>
      </c>
      <c r="Y47" s="60">
        <f t="shared" si="3"/>
        <v>14</v>
      </c>
      <c r="Z47" s="72">
        <f>((Formula!C47)/(Formula!C47+Formula!E47+Formula!G47+Formula!I47+Formula!K47))*(INDEX(Properties!A$1:CB$87,Formula!B47,9))+((Formula!E47)/(Formula!C47+Formula!E47+Formula!G47+Formula!I47+Formula!K47))*(INDEX(Properties!A$1:CB$87,Formula!D47,9))+((Formula!G47)/(Formula!C47+Formula!E47+Formula!G47+Formula!I47+Formula!K47))*(INDEX(Properties!A$1:CB$87,Formula!F47,9))+((Formula!I47)/(Formula!C47+Formula!E47+Formula!G47+Formula!I47+Formula!K47))*(INDEX(Properties!A$1:CB$87,Formula!H47,9))+((Formula!K47)/(Formula!C47+Formula!E47+Formula!G47+Formula!I47+Formula!K47))*(INDEX(Properties!A$1:CB$87,Formula!J47,9))</f>
        <v>70.75</v>
      </c>
      <c r="AA47" s="72">
        <f>Formula!C47*(INDEX(Properties!A$1:CB$87,Formula!B47,9))+Formula!E47*(INDEX(Properties!A$1:CB$87,Formula!D47,9))+Formula!G47*(INDEX(Properties!A$1:CB$87,Formula!F47,9))+Formula!I47*(INDEX(Properties!A$1:CB$87,Formula!H47,9))+Formula!K47*(INDEX(Properties!A$1:CB$87,Formula!J47,9))</f>
        <v>849</v>
      </c>
      <c r="AB47" s="72">
        <f>VARP(IF(INDEX(Properties!A$1:CB$87,Formula!B47,9)&lt;&gt;"",INDEX(Properties!A$1:CB$87,Formula!B47,9)),IF(INDEX(Properties!A$1:CB$87,Formula!D47,9)&lt;&gt;"",INDEX(Properties!A$1:CB$87,Formula!D47,9)),IF(INDEX(Properties!A$1:CB$87,Formula!F47,9)&lt;&gt;"",INDEX(Properties!A$1:CB$87,Formula!F47,9)),IF(INDEX(Properties!A$1:CB$87,Formula!H47,9)&lt;&gt;"",INDEX(Properties!A$1:CB$87,Formula!H47,9)),IF(INDEX(Properties!A$1:CB$87,Formula!J47,9)&lt;&gt;"",INDEX(Properties!A$1:CB$87,Formula!J47,9)))</f>
        <v>1494.96</v>
      </c>
      <c r="AC47" s="72">
        <f>MAX(INDEX(Properties!A$1:CB$87,Formula!B47,9),INDEX(Properties!A$1:CB$87,Formula!D47,9),INDEX(Properties!A$1:CB$87,Formula!F47,9),INDEX(Properties!A$1:CB$87,Formula!H47,9),INDEX(Properties!A$1:CB$87,Formula!J47,9))</f>
        <v>87</v>
      </c>
      <c r="AD47" s="72">
        <f>MIN(IF(INDEX(Properties!A$1:CB$87,Formula!B47,9)=0,10^6,INDEX(Properties!A$1:CB$87,Formula!B47,9)),IF(INDEX(Properties!A$1:CB$87,Formula!D47,9)=0,10^6,INDEX(Properties!A$1:CB$87,Formula!D47,9)),IF(INDEX(Properties!A$1:CB$87,Formula!F47,9)=0,10^6,INDEX(Properties!A$1:CB$87,Formula!F47,9)),IF(INDEX(Properties!A$1:CB$87,Formula!H47,9)=0,10^6,INDEX(Properties!A$1:CB$87,Formula!H47,9)),IF(INDEX(Properties!A$1:CB$87,Formula!J47,9)=0,10^6,INDEX(Properties!A$1:CB$87,Formula!J47,9)))</f>
        <v>3</v>
      </c>
      <c r="AE47" s="72">
        <f t="shared" si="4"/>
        <v>84</v>
      </c>
      <c r="AF47" s="51">
        <f>((Formula!C47)/(Formula!C47+Formula!E47+Formula!G47+Formula!I47+Formula!K47))*(INDEX(Properties!A$1:CB$87,Formula!B47,10))+((Formula!E47)/(Formula!C47+Formula!E47+Formula!G47+Formula!I47+Formula!K47))*(INDEX(Properties!A$1:CB$87,Formula!D47,10))+((Formula!G47)/(Formula!C47+Formula!E47+Formula!G47+Formula!I47+Formula!K47))*(INDEX(Properties!A$1:CB$87,Formula!F47,10))+((Formula!I47)/(Formula!C47+Formula!E47+Formula!G47+Formula!I47+Formula!K47))*(INDEX(Properties!A$1:CB$87,Formula!H47,10))+((Formula!K47)/(Formula!C47+Formula!E47+Formula!G47+Formula!I47+Formula!K47))*(INDEX(Properties!A$1:CB$87,Formula!J47,10))</f>
        <v>5.5833333333333339</v>
      </c>
      <c r="AG47" s="51">
        <f>Formula!C47*(INDEX(Properties!A$1:CB$87,Formula!B47,10))+Formula!E47*(INDEX(Properties!A$1:CB$87,Formula!D47,10))+Formula!G47*(INDEX(Properties!A$1:CB$87,Formula!F47,10))+Formula!I47*(INDEX(Properties!A$1:CB$87,Formula!H47,10))+Formula!K47*(INDEX(Properties!A$1:CB$87,Formula!J47,10))</f>
        <v>67</v>
      </c>
      <c r="AH47" s="51">
        <f>VARP(IF(INDEX(Properties!A$1:CB$87,Formula!B47,10)&lt;&gt;"",INDEX(Properties!A$1:CB$87,Formula!B47,10)),IF(INDEX(Properties!A$1:CB$87,Formula!D47,10)&lt;&gt;"",INDEX(Properties!A$1:CB$87,Formula!D47,10)),IF(INDEX(Properties!A$1:CB$87,Formula!F47,10)&lt;&gt;"",INDEX(Properties!A$1:CB$87,Formula!F47,10)),IF(INDEX(Properties!A$1:CB$87,Formula!H47,10)&lt;&gt;"",INDEX(Properties!A$1:CB$87,Formula!H47,10)),IF(INDEX(Properties!A$1:CB$87,Formula!J47,10)&lt;&gt;"",INDEX(Properties!A$1:CB$87,Formula!J47,10)))</f>
        <v>9.0399999999999991</v>
      </c>
      <c r="AI47" s="51">
        <f>MAX(INDEX(Properties!A$1:CB$87,Formula!B47,10),INDEX(Properties!A$1:CB$87,Formula!D47,10),INDEX(Properties!A$1:CB$87,Formula!F47,10),INDEX(Properties!A$1:CB$87,Formula!H47,10),INDEX(Properties!A$1:CB$87,Formula!J47,10))</f>
        <v>7</v>
      </c>
      <c r="AJ47" s="51">
        <f>MIN(IF(INDEX(Properties!A$1:CB$87,Formula!B47,10)=0,10^6,INDEX(Properties!A$1:CB$87,Formula!B47,10)),IF(INDEX(Properties!A$1:CB$87,Formula!D47,10)=0,10^6,INDEX(Properties!A$1:CB$87,Formula!D47,10)),IF(INDEX(Properties!A$1:CB$87,Formula!F47,10)=0,10^6,INDEX(Properties!A$1:CB$87,Formula!F47,10)),IF(INDEX(Properties!A$1:CB$87,Formula!H47,10)=0,10^6,INDEX(Properties!A$1:CB$87,Formula!H47,10)),IF(INDEX(Properties!A$1:CB$87,Formula!J47,10)=0,10^6,INDEX(Properties!A$1:CB$87,Formula!J47,10)))</f>
        <v>1</v>
      </c>
      <c r="AK47" s="51">
        <f t="shared" si="5"/>
        <v>6</v>
      </c>
      <c r="AL47" s="57">
        <f>((Formula!C47)/(Formula!C47+Formula!E47+Formula!G47+Formula!I47+Formula!K47))*(INDEX(Properties!A$1:CB$87,Formula!B47,11))+((Formula!E47)/(Formula!C47+Formula!E47+Formula!G47+Formula!I47+Formula!K47))*(INDEX(Properties!A$1:CB$87,Formula!D47,11))+((Formula!G47)/(Formula!C47+Formula!E47+Formula!G47+Formula!I47+Formula!K47))*(INDEX(Properties!A$1:CB$87,Formula!F47,11))+((Formula!I47)/(Formula!C47+Formula!E47+Formula!G47+Formula!I47+Formula!K47))*(INDEX(Properties!A$1:CB$87,Formula!H47,11))+((Formula!K47)/(Formula!C47+Formula!E47+Formula!G47+Formula!I47+Formula!K47))*(INDEX(Properties!A$1:CB$87,Formula!J47,11))</f>
        <v>1.8333333333333335</v>
      </c>
      <c r="AM47" s="57">
        <f>Formula!C47*(INDEX(Properties!A$1:CB$87,Formula!B47,11))+Formula!E47*(INDEX(Properties!A$1:CB$87,Formula!D47,11))+Formula!G47*(INDEX(Properties!A$1:CB$87,Formula!F47,11))+Formula!I47*(INDEX(Properties!A$1:CB$87,Formula!H47,11))+Formula!K47*(INDEX(Properties!A$1:CB$87,Formula!J47,11))</f>
        <v>22</v>
      </c>
      <c r="AN47" s="57">
        <f>VARP(IF(INDEX(Properties!A$1:CB$87,Formula!B47,11)&lt;&gt;"",INDEX(Properties!A$1:CB$87,Formula!B47,11)),IF(INDEX(Properties!A$1:CB$87,Formula!D47,11)&lt;&gt;"",INDEX(Properties!A$1:CB$87,Formula!D47,11)),IF(INDEX(Properties!A$1:CB$87,Formula!F47,11)&lt;&gt;"",INDEX(Properties!A$1:CB$87,Formula!F47,11)),IF(INDEX(Properties!A$1:CB$87,Formula!H47,11)&lt;&gt;"",INDEX(Properties!A$1:CB$87,Formula!H47,11)),IF(INDEX(Properties!A$1:CB$87,Formula!J47,11)&lt;&gt;"",INDEX(Properties!A$1:CB$87,Formula!J47,11)))</f>
        <v>0.64</v>
      </c>
      <c r="AO47" s="57">
        <f>MAX(INDEX(Properties!A$1:CB$87,Formula!B47,11),INDEX(Properties!A$1:CB$87,Formula!D47,11),INDEX(Properties!A$1:CB$87,Formula!F47,11),INDEX(Properties!A$1:CB$87,Formula!H47,11),INDEX(Properties!A$1:CB$87,Formula!J47,11))</f>
        <v>2</v>
      </c>
      <c r="AP47" s="57">
        <f>MIN(IF(Formula!B47=87,10^6,INDEX(Properties!A$1:CB$87,Formula!B47,11)),IF((Formula!D47)=87,10^6,INDEX(Properties!A$1:CB$87,Formula!D47,11)),IF((Formula!F47)=87,10^6,INDEX(Properties!A$1:CB$87,Formula!F47,11)),IF((Formula!H47)=87,10^6,INDEX(Properties!A$1:CB$87,Formula!H47,11)),IF(Formula!J47=87,10^6,INDEX(Properties!A$1:CB$87,Formula!J47,11)))</f>
        <v>1</v>
      </c>
      <c r="AQ47" s="57">
        <f t="shared" si="6"/>
        <v>1</v>
      </c>
      <c r="AR47" s="78">
        <f>((Formula!C47)/(Formula!C47+Formula!E47+Formula!G47+Formula!I47+Formula!K47))*(INDEX(Properties!A$1:CB$87,Formula!B47,12))+((Formula!E47)/(Formula!C47+Formula!E47+Formula!G47+Formula!I47+Formula!K47))*(INDEX(Properties!A$1:CB$87,Formula!D47,12))+((Formula!G47)/(Formula!C47+Formula!E47+Formula!G47+Formula!I47+Formula!K47))*(INDEX(Properties!A$1:CB$87,Formula!F47,12))+((Formula!I47)/(Formula!C47+Formula!E47+Formula!G47+Formula!I47+Formula!K47))*(INDEX(Properties!A$1:CB$87,Formula!H47,12))+((Formula!K47)/(Formula!C47+Formula!E47+Formula!G47+Formula!I47+Formula!K47))*(INDEX(Properties!A$1:CB$87,Formula!J47,12))</f>
        <v>2.8333333333333335</v>
      </c>
      <c r="AS47" s="78">
        <f>Formula!C47*(INDEX(Properties!A$1:CB$87,Formula!B47,12))+Formula!E47*(INDEX(Properties!A$1:CB$87,Formula!D47,12))+Formula!G47*(INDEX(Properties!A$1:CB$87,Formula!F47,12))+Formula!I47*(INDEX(Properties!A$1:CB$87,Formula!H47,12))+Formula!K47*(INDEX(Properties!A$1:CB$87,Formula!J47,12))</f>
        <v>34</v>
      </c>
      <c r="AT47" s="78">
        <f>VARP(IF(INDEX(Properties!A$1:CB$87,Formula!B47,12)&lt;&gt;"",INDEX(Properties!A$1:CB$87,Formula!B47,12)),IF(INDEX(Properties!A$1:CB$87,Formula!D47,12)&lt;&gt;"",INDEX(Properties!A$1:CB$87,Formula!D47,12)),IF(INDEX(Properties!A$1:CB$87,Formula!F47,12)&lt;&gt;"",INDEX(Properties!A$1:CB$87,Formula!F47,12)),IF(INDEX(Properties!A$1:CB$87,Formula!H47,12)&lt;&gt;"",INDEX(Properties!A$1:CB$87,Formula!H47,12)),IF(INDEX(Properties!A$1:CB$87,Formula!J47,12)&lt;&gt;"",INDEX(Properties!A$1:CB$87,Formula!J47,12)))</f>
        <v>3.04</v>
      </c>
      <c r="AU47" s="78">
        <f>MAX(INDEX(Properties!A$1:CB$87,Formula!B47,12),INDEX(Properties!A$1:CB$87,Formula!D47,12),INDEX(Properties!A$1:CB$87,Formula!F47,12),INDEX(Properties!A$1:CB$87,Formula!H47,12),INDEX(Properties!A$1:CB$87,Formula!J47,12))</f>
        <v>4</v>
      </c>
      <c r="AV47" s="78">
        <f>MIN(IF(Formula!B47=87,10^6,INDEX(Properties!A$1:CB$87,Formula!B47,12)),IF((Formula!D47)=87,10^6,INDEX(Properties!A$1:CB$87,Formula!D47,12)),IF((Formula!F47)=87,10^6,INDEX(Properties!A$1:CB$87,Formula!F47,12)),IF((Formula!H47)=87,10^6,INDEX(Properties!A$1:CB$87,Formula!H47,12)),IF(Formula!J47=87,10^6,INDEX(Properties!A$1:CB$87,Formula!J47,12)))</f>
        <v>0</v>
      </c>
      <c r="AW47" s="78">
        <f t="shared" si="7"/>
        <v>4</v>
      </c>
      <c r="AX47" s="45">
        <f>((Formula!C47)/(Formula!C47+Formula!E47+Formula!G47+Formula!I47+Formula!K47))*(INDEX(Properties!A$1:CB$87,Formula!B47,13))+((Formula!E47)/(Formula!C47+Formula!E47+Formula!G47+Formula!I47+Formula!K47))*(INDEX(Properties!A$1:CB$87,Formula!D47,13))+((Formula!G47)/(Formula!C47+Formula!E47+Formula!G47+Formula!I47+Formula!K47))*(INDEX(Properties!A$1:CB$87,Formula!F47,13))+((Formula!I47)/(Formula!C47+Formula!E47+Formula!G47+Formula!I47+Formula!K47))*(INDEX(Properties!A$1:CB$87,Formula!H47,13))+((Formula!K47)/(Formula!C47+Formula!E47+Formula!G47+Formula!I47+Formula!K47))*(INDEX(Properties!A$1:CB$87,Formula!J47,13))</f>
        <v>0</v>
      </c>
      <c r="AY47" s="45">
        <f>Formula!C47*(INDEX(Properties!A$1:CB$87,Formula!B47,13))+Formula!E47*(INDEX(Properties!A$1:CB$87,Formula!D47,13))+Formula!G47*(INDEX(Properties!A$1:CB$87,Formula!F47,13))+Formula!I47*(INDEX(Properties!A$1:CB$87,Formula!H47,13))+Formula!K47*(INDEX(Properties!A$1:CB$87,Formula!J47,13))</f>
        <v>0</v>
      </c>
      <c r="AZ47" s="45">
        <f>VARP(IF(INDEX(Properties!A$1:CB$87,Formula!B47,13)&lt;&gt;"",INDEX(Properties!A$1:CB$87,Formula!B47,13)),IF(INDEX(Properties!A$1:CB$87,Formula!D47,13)&lt;&gt;"",INDEX(Properties!A$1:CB$87,Formula!D47,13)),IF(INDEX(Properties!A$1:CB$87,Formula!F47,13)&lt;&gt;"",INDEX(Properties!A$1:CB$87,Formula!F47,13)),IF(INDEX(Properties!A$1:CB$87,Formula!H47,13)&lt;&gt;"",INDEX(Properties!A$1:CB$87,Formula!H47,13)),IF(INDEX(Properties!A$1:CB$87,Formula!J47,13)&lt;&gt;"",INDEX(Properties!A$1:CB$87,Formula!J47,13)))</f>
        <v>0</v>
      </c>
      <c r="BA47" s="45">
        <f>MAX(INDEX(Properties!A$1:CB$87,Formula!B47,13),INDEX(Properties!A$1:CB$87,Formula!D47,13),INDEX(Properties!A$1:CB$87,Formula!F47,13),INDEX(Properties!A$1:CB$87,Formula!H47,13),INDEX(Properties!A$1:CB$87,Formula!J47,13))</f>
        <v>0</v>
      </c>
      <c r="BB47" s="45">
        <f>MIN(IF(Formula!B47=87,10^6,INDEX(Properties!A$1:CB$87,Formula!B47,13)),IF((Formula!D47)=87,10^6,INDEX(Properties!A$1:CB$87,Formula!D47,13)),IF((Formula!F47)=87,10^6,INDEX(Properties!A$1:CB$87,Formula!F47,13)),IF((Formula!H47)=87,10^6,INDEX(Properties!A$1:CB$87,Formula!H47,13)),IF(Formula!J47=87,10^6,INDEX(Properties!A$1:CB$87,Formula!J47,13)))</f>
        <v>0</v>
      </c>
      <c r="BC47" s="45">
        <f t="shared" si="8"/>
        <v>0</v>
      </c>
      <c r="BD47" s="63">
        <f>((Formula!C47)/(Formula!C47+Formula!E47+Formula!G47+Formula!I47+Formula!K47))*(INDEX(Properties!A$1:CB$87,Formula!B47,14))+((Formula!E47)/(Formula!C47+Formula!E47+Formula!G47+Formula!I47+Formula!K47))*(INDEX(Properties!A$1:CB$87,Formula!D47,14))+((Formula!G47)/(Formula!C47+Formula!E47+Formula!G47+Formula!I47+Formula!K47))*(INDEX(Properties!A$1:CB$87,Formula!F47,14))+((Formula!I47)/(Formula!C47+Formula!E47+Formula!G47+Formula!I47+Formula!K47))*(INDEX(Properties!A$1:CB$87,Formula!H47,14))+((Formula!K47)/(Formula!C47+Formula!E47+Formula!G47+Formula!I47+Formula!K47))*(INDEX(Properties!A$1:CB$87,Formula!J47,14))</f>
        <v>0</v>
      </c>
      <c r="BE47" s="63">
        <f>Formula!C47*(INDEX(Properties!A$1:CB$87,Formula!B47,14))+Formula!E47*(INDEX(Properties!A$1:CB$87,Formula!D47,14))+Formula!G47*(INDEX(Properties!A$1:CB$87,Formula!F47,14))+Formula!I47*(INDEX(Properties!A$1:CB$87,Formula!H47,14))+Formula!K47*(INDEX(Properties!A$1:CB$87,Formula!J47,14))</f>
        <v>0</v>
      </c>
      <c r="BF47" s="63">
        <f>VARP(IF(INDEX(Properties!A$1:CB$87,Formula!B47,14)&lt;&gt;"",INDEX(Properties!A$1:CB$87,Formula!B47,14)),IF(INDEX(Properties!A$1:CB$87,Formula!D47,14)&lt;&gt;"",INDEX(Properties!A$1:CB$87,Formula!D47,14)),IF(INDEX(Properties!A$1:CB$87,Formula!F47,14)&lt;&gt;"",INDEX(Properties!A$1:CB$87,Formula!F47,14)),IF(INDEX(Properties!A$1:CB$87,Formula!H47,14)&lt;&gt;"",INDEX(Properties!A$1:CB$87,Formula!H47,14)),IF(INDEX(Properties!A$1:CB$87,Formula!J47,14)&lt;&gt;"",INDEX(Properties!A$1:CB$87,Formula!J47,14)))</f>
        <v>0</v>
      </c>
      <c r="BG47" s="63">
        <f>MAX(INDEX(Properties!A$1:CB$87,Formula!B47,14),INDEX(Properties!A$1:CB$87,Formula!D47,14),INDEX(Properties!A$1:CB$87,Formula!F47,14),INDEX(Properties!A$1:CB$87,Formula!H47,14),INDEX(Properties!A$1:CB$87,Formula!J47,14))</f>
        <v>0</v>
      </c>
      <c r="BH47" s="63">
        <f>MIN(IF(Formula!B47=87,10^6,INDEX(Properties!A$1:CB$87,Formula!B47,14)),IF((Formula!D47)=87,10^6,INDEX(Properties!A$1:CB$87,Formula!D47,14)),IF((Formula!F47)=87,10^6,INDEX(Properties!A$1:CB$87,Formula!F47,14)),IF((Formula!H47)=87,10^6,INDEX(Properties!A$1:CB$87,Formula!H47,14)),IF(Formula!J47=87,10^6,INDEX(Properties!A$1:CB$87,Formula!J47,14)))</f>
        <v>0</v>
      </c>
      <c r="BI47" s="63">
        <f t="shared" si="9"/>
        <v>0</v>
      </c>
      <c r="BJ47" s="75">
        <f>((Formula!C47)/(Formula!C47+Formula!E47+Formula!G47+Formula!I47+Formula!K47))*(INDEX(Properties!A$1:CB$87,Formula!B47,19))+((Formula!E47)/(Formula!C47+Formula!E47+Formula!G47+Formula!I47+Formula!K47))*(INDEX(Properties!A$1:CB$87,Formula!D47,19))+((Formula!G47)/(Formula!C47+Formula!E47+Formula!G47+Formula!I47+Formula!K47))*(INDEX(Properties!A$1:CB$87,Formula!F47,19))+((Formula!I47)/(Formula!C47+Formula!E47+Formula!G47+Formula!I47+Formula!K47))*(INDEX(Properties!A$1:CB$87,Formula!H47,19))+((Formula!K47)/(Formula!C47+Formula!E47+Formula!G47+Formula!I47+Formula!K47))*(INDEX(Properties!A$1:CB$87,Formula!J47,19))</f>
        <v>4.6666666666666661</v>
      </c>
      <c r="BK47" s="75">
        <f>Formula!C47*(INDEX(Properties!A$1:CB$87,Formula!B47,19))+Formula!E47*(INDEX(Properties!A$1:CB$87,Formula!D47,19))+Formula!G47*(INDEX(Properties!A$1:CB$87,Formula!F47,19))+Formula!I47*(INDEX(Properties!A$1:CB$87,Formula!H47,19))+Formula!K47*(INDEX(Properties!A$1:CB$87,Formula!J47,19))</f>
        <v>56</v>
      </c>
      <c r="BL47" s="75">
        <f>VARP(IF(INDEX(Properties!A$1:CB$87,Formula!B47,19)&lt;&gt;"",INDEX(Properties!A$1:CB$87,Formula!B47,19)),IF(INDEX(Properties!A$1:CB$87,Formula!D47,19)&lt;&gt;"",INDEX(Properties!A$1:CB$87,Formula!D47,19)),IF(INDEX(Properties!A$1:CB$87,Formula!F47,19)&lt;&gt;"",INDEX(Properties!A$1:CB$87,Formula!F47,19)),IF(INDEX(Properties!A$1:CB$87,Formula!H47,19)&lt;&gt;"",INDEX(Properties!A$1:CB$87,Formula!H47,19)),IF(INDEX(Properties!A$1:CB$87,Formula!J47,19)&lt;&gt;"",INDEX(Properties!A$1:CB$87,Formula!J47,19)))</f>
        <v>5.36</v>
      </c>
      <c r="BM47" s="75">
        <f>MAX(INDEX(Properties!A$1:CB$87,Formula!B47,19),INDEX(Properties!A$1:CB$87,Formula!D47,19),INDEX(Properties!A$1:CB$87,Formula!F47,19),INDEX(Properties!A$1:CB$87,Formula!H47,19),INDEX(Properties!A$1:CB$87,Formula!J47,19))</f>
        <v>6</v>
      </c>
      <c r="BN47" s="75">
        <f>MIN(IF(INDEX(Properties!A$1:CB$87,Formula!B47,19)=0,10^6,INDEX(Properties!A$1:CB$87,Formula!B47,19)),IF(INDEX(Properties!A$1:CB$87,Formula!D47,19)=0,10^6,INDEX(Properties!A$1:CB$87,Formula!D47,19)),IF(INDEX(Properties!A$1:CB$87,Formula!F47,19)=0,10^6,INDEX(Properties!A$1:CB$87,Formula!F47,19)),IF(INDEX(Properties!A$1:CB$87,Formula!H47,19)=0,10^6,INDEX(Properties!A$1:CB$87,Formula!H47,19)),IF(INDEX(Properties!A$1:CB$87,Formula!J47,19)=0,10^6,INDEX(Properties!A$1:CB$87,Formula!J47,19)))</f>
        <v>1</v>
      </c>
      <c r="BO47" s="75">
        <f t="shared" si="10"/>
        <v>5</v>
      </c>
      <c r="BP47" s="48">
        <f>((Formula!C47)/(Formula!C47+Formula!E47+Formula!G47+Formula!I47+Formula!K47))*(INDEX(Properties!A$1:CB$87,Formula!B47,20))+((Formula!E47)/(Formula!C47+Formula!E47+Formula!G47+Formula!I47+Formula!K47))*(INDEX(Properties!A$1:CB$87,Formula!D47,20))+((Formula!G47)/(Formula!C47+Formula!E47+Formula!G47+Formula!I47+Formula!K47))*(INDEX(Properties!A$1:CB$87,Formula!F47,20))+((Formula!I47)/(Formula!C47+Formula!E47+Formula!G47+Formula!I47+Formula!K47))*(INDEX(Properties!A$1:CB$87,Formula!H47,20))+((Formula!K47)/(Formula!C47+Formula!E47+Formula!G47+Formula!I47+Formula!K47))*(INDEX(Properties!A$1:CB$87,Formula!J47,20))</f>
        <v>4.6666666666666661</v>
      </c>
      <c r="BQ47" s="48">
        <f>Formula!C47*(INDEX(Properties!A$1:CB$87,Formula!B47,20))+Formula!E47*(INDEX(Properties!A$1:CB$87,Formula!D47,20))+Formula!G47*(INDEX(Properties!A$1:CB$87,Formula!F47,20))+Formula!I47*(INDEX(Properties!A$1:CB$87,Formula!H47,20))+Formula!K47*(INDEX(Properties!A$1:CB$87,Formula!J47,20))</f>
        <v>56</v>
      </c>
      <c r="BR47" s="48">
        <f>VARP(IF(INDEX(Properties!A$1:CB$87,Formula!B47,20)&lt;&gt;"",INDEX(Properties!A$1:CB$87,Formula!B47,20)),IF(INDEX(Properties!A$1:CB$87,Formula!D47,20)&lt;&gt;"",INDEX(Properties!A$1:CB$87,Formula!D47,20)),IF(INDEX(Properties!A$1:CB$87,Formula!F47,20)&lt;&gt;"",INDEX(Properties!A$1:CB$87,Formula!F47,20)),IF(INDEX(Properties!A$1:CB$87,Formula!H47,20)&lt;&gt;"",INDEX(Properties!A$1:CB$87,Formula!H47,20)),IF(INDEX(Properties!A$1:CB$87,Formula!J47,20)&lt;&gt;"",INDEX(Properties!A$1:CB$87,Formula!J47,20)))</f>
        <v>5.36</v>
      </c>
      <c r="BS47" s="48">
        <f>MAX(INDEX(Properties!A$1:CB$87,Formula!B47,20),INDEX(Properties!A$1:CB$87,Formula!D47,20),INDEX(Properties!A$1:CB$87,Formula!F47,20),INDEX(Properties!A$1:CB$87,Formula!H47,20),INDEX(Properties!A$1:CB$87,Formula!J47,20))</f>
        <v>6</v>
      </c>
      <c r="BT47" s="48">
        <f>MIN(IF(INDEX(Properties!A$1:CB$87,Formula!B47,20)=0,10^6,INDEX(Properties!A$1:CB$87,Formula!B47,20)),IF(INDEX(Properties!A$1:CB$87,Formula!D47,20)=0,10^6,INDEX(Properties!A$1:CB$87,Formula!D47,20)),IF(INDEX(Properties!A$1:CB$87,Formula!F47,20)=0,10^6,INDEX(Properties!A$1:CB$87,Formula!F47,20)),IF(INDEX(Properties!A$1:CB$87,Formula!H47,20)=0,10^6,INDEX(Properties!A$1:CB$87,Formula!H47,20)),IF(INDEX(Properties!A$1:CB$87,Formula!J47,20)=0,10^6,INDEX(Properties!A$1:CB$87,Formula!J47,20)))</f>
        <v>1</v>
      </c>
      <c r="BU47" s="48">
        <f t="shared" si="11"/>
        <v>5</v>
      </c>
      <c r="BV47" s="66">
        <f>((Formula!C47)/(Formula!C47+Formula!E47+Formula!G47+Formula!I47+Formula!K47))*(INDEX(Properties!A$1:CB$87,Formula!B47,21))+((Formula!E47)/(Formula!C47+Formula!E47+Formula!G47+Formula!I47+Formula!K47))*(INDEX(Properties!A$1:CB$87,Formula!D47,21))+((Formula!G47)/(Formula!C47+Formula!E47+Formula!G47+Formula!I47+Formula!K47))*(INDEX(Properties!A$1:CB$87,Formula!F47,21))+((Formula!I47)/(Formula!C47+Formula!E47+Formula!G47+Formula!I47+Formula!K47))*(INDEX(Properties!A$1:CB$87,Formula!H47,21))+((Formula!K47)/(Formula!C47+Formula!E47+Formula!G47+Formula!I47+Formula!K47))*(INDEX(Properties!A$1:CB$87,Formula!J47,21))</f>
        <v>4.6666666666666661</v>
      </c>
      <c r="BW47" s="66">
        <f>Formula!C47*(INDEX(Properties!A$1:CB$87,Formula!B47,21))+Formula!E47*(INDEX(Properties!A$1:CB$87,Formula!D47,21))+Formula!G47*(INDEX(Properties!A$1:CB$87,Formula!F47,21))+Formula!I47*(INDEX(Properties!A$1:CB$87,Formula!H47,21))+Formula!K47*(INDEX(Properties!A$1:CB$87,Formula!J47,21))</f>
        <v>56</v>
      </c>
      <c r="BX47" s="66">
        <f>VARP(IF(INDEX(Properties!A$1:CB$87,Formula!B47,21)&lt;&gt;"",INDEX(Properties!A$1:CB$87,Formula!B47,21)),IF(INDEX(Properties!A$1:CB$87,Formula!D47,21)&lt;&gt;"",INDEX(Properties!A$1:CB$87,Formula!D47,21)),IF(INDEX(Properties!A$1:CB$87,Formula!F47,21)&lt;&gt;"",INDEX(Properties!A$1:CB$87,Formula!F47,21)),IF(INDEX(Properties!A$1:CB$87,Formula!H47,21)&lt;&gt;"",INDEX(Properties!A$1:CB$87,Formula!H47,21)),IF(INDEX(Properties!A$1:CB$87,Formula!J47,21)&lt;&gt;"",INDEX(Properties!A$1:CB$87,Formula!J47,21)))</f>
        <v>5.36</v>
      </c>
      <c r="BY47" s="66">
        <f>MAX(INDEX(Properties!A$1:CB$87,Formula!B47,21),INDEX(Properties!A$1:CB$87,Formula!D47,21),INDEX(Properties!A$1:CB$87,Formula!F47,21),INDEX(Properties!A$1:CB$87,Formula!H47,21),INDEX(Properties!A$1:CB$87,Formula!J47,21))</f>
        <v>6</v>
      </c>
      <c r="BZ47" s="66">
        <f>MIN(IF(INDEX(Properties!A$1:CB$87,Formula!B47,21)=0,10^6,INDEX(Properties!A$1:CB$87,Formula!B47,21)),IF(INDEX(Properties!A$1:CB$87,Formula!D47,21)=0,10^6,INDEX(Properties!A$1:CB$87,Formula!D47,21)),IF(INDEX(Properties!A$1:CB$87,Formula!F47,21)=0,10^6,INDEX(Properties!A$1:CB$87,Formula!F47,21)),IF(INDEX(Properties!A$1:CB$87,Formula!H47,21)=0,10^6,INDEX(Properties!A$1:CB$87,Formula!H47,21)),IF(INDEX(Properties!A$1:CB$87,Formula!J47,21)=0,10^6,INDEX(Properties!A$1:CB$87,Formula!J47,21)))</f>
        <v>1</v>
      </c>
      <c r="CA47" s="66">
        <f t="shared" si="12"/>
        <v>5</v>
      </c>
      <c r="CB47" s="81">
        <f>((Formula!C47)/(Formula!C47+Formula!E47+Formula!G47+Formula!I47+Formula!K47))*(INDEX(Properties!A$1:CB$87,Formula!B47,23))+((Formula!E47)/(Formula!C47+Formula!E47+Formula!G47+Formula!I47+Formula!K47))*(INDEX(Properties!A$1:CB$87,Formula!D47,23))+((Formula!G47)/(Formula!C47+Formula!E47+Formula!G47+Formula!I47+Formula!K47))*(INDEX(Properties!A$1:CB$87,Formula!F47,23))+((Formula!I47)/(Formula!C47+Formula!E47+Formula!G47+Formula!I47+Formula!K47))*(INDEX(Properties!A$1:CB$87,Formula!H47,23))+((Formula!K47)/(Formula!C47+Formula!E47+Formula!G47+Formula!I47+Formula!K47))*(INDEX(Properties!A$1:CB$87,Formula!J47,23))</f>
        <v>0.83333333333333326</v>
      </c>
      <c r="CC47" s="81">
        <f>Formula!C47*(INDEX(Properties!A$1:CB$87,Formula!B47,23))+Formula!E47*(INDEX(Properties!A$1:CB$87,Formula!D47,23))+Formula!G47*(INDEX(Properties!A$1:CB$87,Formula!F47,23))+Formula!I47*(INDEX(Properties!A$1:CB$87,Formula!H47,23))+Formula!K47*(INDEX(Properties!A$1:CB$87,Formula!J47,23))</f>
        <v>10</v>
      </c>
      <c r="CD47" s="81">
        <f>VARP(IF(INDEX(Properties!A$1:CB$87,Formula!B47,23)&lt;&gt;"",INDEX(Properties!A$1:CB$87,Formula!B47,23)),IF(INDEX(Properties!A$1:CB$87,Formula!D47,23)&lt;&gt;"",INDEX(Properties!A$1:CB$87,Formula!D47,23)),IF(INDEX(Properties!A$1:CB$87,Formula!F47,23)&lt;&gt;"",INDEX(Properties!A$1:CB$87,Formula!F47,23)),IF(INDEX(Properties!A$1:CB$87,Formula!H47,23)&lt;&gt;"",INDEX(Properties!A$1:CB$87,Formula!H47,23)),IF(INDEX(Properties!A$1:CB$87,Formula!J47,23)&lt;&gt;"",INDEX(Properties!A$1:CB$87,Formula!J47,23)))</f>
        <v>1.36</v>
      </c>
      <c r="CE47" s="81">
        <f>MAX(INDEX(Properties!A$1:CB$87,Formula!B47,23),INDEX(Properties!A$1:CB$87,Formula!D47,23),INDEX(Properties!A$1:CB$87,Formula!F47,23),INDEX(Properties!A$1:CB$87,Formula!H47,23),INDEX(Properties!A$1:CB$87,Formula!J47,23))</f>
        <v>3</v>
      </c>
      <c r="CF47" s="81">
        <f>MIN(IF(Formula!B47=87,10^6,INDEX(Properties!A$1:CB$87,Formula!B47,23)),IF((Formula!D47)=87,10^6,INDEX(Properties!A$1:CB$87,Formula!D47,23)),IF((Formula!F47)=87,10^6,INDEX(Properties!A$1:CB$87,Formula!F47,23)),IF((Formula!H47)=87,10^6,INDEX(Properties!A$1:CB$87,Formula!H47,23)),IF(Formula!J47=87,10^6,INDEX(Properties!A$1:CB$87,Formula!J47,23)))</f>
        <v>0</v>
      </c>
      <c r="CG47" s="81">
        <f t="shared" si="13"/>
        <v>3</v>
      </c>
      <c r="CH47" s="39">
        <f>((Formula!C47)/(Formula!C47+Formula!E47+Formula!G47+Formula!I47+Formula!K47))*(INDEX(Properties!A$1:CB$87,Formula!B47,26))+((Formula!E47)/(Formula!C47+Formula!E47+Formula!G47+Formula!I47+Formula!K47))*(INDEX(Properties!A$1:CB$87,Formula!D47,26))+((Formula!G47)/(Formula!C47+Formula!E47+Formula!G47+Formula!I47+Formula!K47))*(INDEX(Properties!A$1:CB$87,Formula!F47,26))+((Formula!I47)/(Formula!C47+Formula!E47+Formula!G47+Formula!I47+Formula!K47))*(INDEX(Properties!A$1:CB$87,Formula!H47,26))+((Formula!K47)/(Formula!C47+Formula!E47+Formula!G47+Formula!I47+Formula!K47))*(INDEX(Properties!A$1:CB$87,Formula!J47,26))</f>
        <v>11.052308333333334</v>
      </c>
      <c r="CI47" s="39">
        <f>Formula!C47*(INDEX(Properties!A$1:CB$87,Formula!B47,26))+Formula!E47*(INDEX(Properties!A$1:CB$87,Formula!D47,26))+Formula!G47*(INDEX(Properties!A$1:CB$87,Formula!F47,26))+Formula!I47*(INDEX(Properties!A$1:CB$87,Formula!H47,26))+Formula!K47*(INDEX(Properties!A$1:CB$87,Formula!J47,26))</f>
        <v>132.6277</v>
      </c>
      <c r="CJ47" s="39">
        <f>VARP(IF(INDEX(Properties!A$1:CB$87,Formula!B47,26)&lt;&gt;"",INDEX(Properties!A$1:CB$87,Formula!B47,26)),IF(INDEX(Properties!A$1:CB$87,Formula!D47,26)&lt;&gt;"",INDEX(Properties!A$1:CB$87,Formula!D47,26)),IF(INDEX(Properties!A$1:CB$87,Formula!F47,26)&lt;&gt;"",INDEX(Properties!A$1:CB$87,Formula!F47,26)),IF(INDEX(Properties!A$1:CB$87,Formula!H47,26)&lt;&gt;"",INDEX(Properties!A$1:CB$87,Formula!H47,26)),IF(INDEX(Properties!A$1:CB$87,Formula!J47,26)&lt;&gt;"",INDEX(Properties!A$1:CB$87,Formula!J47,26)))</f>
        <v>22.441482730400004</v>
      </c>
      <c r="CK47" s="39">
        <f>MAX(INDEX(Properties!A$1:CB$87,Formula!B47,26),INDEX(Properties!A$1:CB$87,Formula!D47,26),INDEX(Properties!A$1:CB$87,Formula!F47,26),INDEX(Properties!A$1:CB$87,Formula!H47,26),INDEX(Properties!A$1:CB$87,Formula!J47,26))</f>
        <v>13.6181</v>
      </c>
      <c r="CL47" s="39">
        <f>MIN(IF(INDEX(Properties!A$1:CB$87,Formula!B47,26)=0,10^6,INDEX(Properties!A$1:CB$87,Formula!B47,26)),IF(INDEX(Properties!A$1:CB$87,Formula!D47,26)=0,10^6,INDEX(Properties!A$1:CB$87,Formula!D47,26)),IF(INDEX(Properties!A$1:CB$87,Formula!F47,26)=0,10^6,INDEX(Properties!A$1:CB$87,Formula!F47,26)),IF(INDEX(Properties!A$1:CB$87,Formula!H47,26)=0,10^6,INDEX(Properties!A$1:CB$87,Formula!H47,26)),IF(INDEX(Properties!A$1:CB$87,Formula!J47,26)=0,10^6,INDEX(Properties!A$1:CB$87,Formula!J47,26)))</f>
        <v>4.3407</v>
      </c>
      <c r="CM47" s="39">
        <f t="shared" si="14"/>
        <v>9.2774000000000001</v>
      </c>
      <c r="CN47" s="54">
        <f>((Formula!C47)/(Formula!C47+Formula!E47+Formula!G47+Formula!I47+Formula!K47))*(INDEX(Properties!A$1:CB$87,Formula!B47,30))+((Formula!E47)/(Formula!C47+Formula!E47+Formula!G47+Formula!I47+Formula!K47))*(INDEX(Properties!A$1:CB$87,Formula!D47,30))+((Formula!G47)/(Formula!C47+Formula!E47+Formula!G47+Formula!I47+Formula!K47))*(INDEX(Properties!A$1:CB$87,Formula!F47,30))+((Formula!I47)/(Formula!C47+Formula!E47+Formula!G47+Formula!I47+Formula!K47))*(INDEX(Properties!A$1:CB$87,Formula!H47,30))+((Formula!K47)/(Formula!C47+Formula!E47+Formula!G47+Formula!I47+Formula!K47))*(INDEX(Properties!A$1:CB$87,Formula!J47,30))</f>
        <v>2.6175000000000002</v>
      </c>
      <c r="CO47" s="54">
        <f>Formula!C47*(INDEX(Properties!A$1:CB$87,Formula!B47,30))+Formula!E47*(INDEX(Properties!A$1:CB$87,Formula!D47,30))+Formula!G47*(INDEX(Properties!A$1:CB$87,Formula!F47,30))+Formula!I47*(INDEX(Properties!A$1:CB$87,Formula!H47,30))+Formula!K47*(INDEX(Properties!A$1:CB$87,Formula!J47,30))</f>
        <v>31.409999999999997</v>
      </c>
      <c r="CP47" s="54">
        <f>VARP(IF(INDEX(Properties!A$1:CB$87,Formula!B47,30)&lt;&gt;"",INDEX(Properties!A$1:CB$87,Formula!B47,30)),IF(INDEX(Properties!A$1:CB$87,Formula!D47,30)&lt;&gt;"",INDEX(Properties!A$1:CB$87,Formula!D47,30)),IF(INDEX(Properties!A$1:CB$87,Formula!F47,30)&lt;&gt;"",INDEX(Properties!A$1:CB$87,Formula!F47,30)),IF(INDEX(Properties!A$1:CB$87,Formula!H47,30)&lt;&gt;"",INDEX(Properties!A$1:CB$87,Formula!H47,30)),IF(INDEX(Properties!A$1:CB$87,Formula!J47,30)&lt;&gt;"",INDEX(Properties!A$1:CB$87,Formula!J47,30)))</f>
        <v>1.3949360000000004</v>
      </c>
      <c r="CQ47" s="54">
        <f>MAX(INDEX(Properties!A$1:CB$87,Formula!B47,30),INDEX(Properties!A$1:CB$87,Formula!D47,30),INDEX(Properties!A$1:CB$87,Formula!F47,30),INDEX(Properties!A$1:CB$87,Formula!H47,30),INDEX(Properties!A$1:CB$87,Formula!J47,30))</f>
        <v>3.44</v>
      </c>
      <c r="CR47" s="54">
        <f>MIN(IF(INDEX(Properties!A$1:CB$87,Formula!B47,30)=0,10^6,INDEX(Properties!A$1:CB$87,Formula!B47,30)),IF(INDEX(Properties!A$1:CB$87,Formula!D47,30)=0,10^6,INDEX(Properties!A$1:CB$87,Formula!D47,30)),IF(INDEX(Properties!A$1:CB$87,Formula!F47,30)=0,10^6,INDEX(Properties!A$1:CB$87,Formula!F47,30)),IF(INDEX(Properties!A$1:CB$87,Formula!H47,30)=0,10^6,INDEX(Properties!A$1:CB$87,Formula!H47,30)),IF(INDEX(Properties!A$1:CB$87,Formula!J47,30)=0,10^6,INDEX(Properties!A$1:CB$87,Formula!J47,30)))</f>
        <v>0.82</v>
      </c>
      <c r="CS47" s="54">
        <f t="shared" si="15"/>
        <v>2.62</v>
      </c>
      <c r="CT47" s="69">
        <f>((Formula!C47)/(Formula!C47+Formula!E47+Formula!G47+Formula!I47+Formula!K47))*(INDEX(Properties!A$1:CB$87,Formula!B47,31))+((Formula!E47)/(Formula!C47+Formula!E47+Formula!G47+Formula!I47+Formula!K47))*(INDEX(Properties!A$1:CB$87,Formula!D47,31))+((Formula!G47)/(Formula!C47+Formula!E47+Formula!G47+Formula!I47+Formula!K47))*(INDEX(Properties!A$1:CB$87,Formula!F47,31))+((Formula!I47)/(Formula!C47+Formula!E47+Formula!G47+Formula!I47+Formula!K47))*(INDEX(Properties!A$1:CB$87,Formula!H47,31))+((Formula!K47)/(Formula!C47+Formula!E47+Formula!G47+Formula!I47+Formula!K47))*(INDEX(Properties!A$1:CB$87,Formula!J47,31))</f>
        <v>2.5658333333333334</v>
      </c>
      <c r="CU47" s="69">
        <f>Formula!C47*(INDEX(Properties!A$1:CB$87,Formula!B47,31))+Formula!E47*(INDEX(Properties!A$1:CB$87,Formula!D47,31))+Formula!G47*(INDEX(Properties!A$1:CB$87,Formula!F47,31))+Formula!I47*(INDEX(Properties!A$1:CB$87,Formula!H47,31))+Formula!K47*(INDEX(Properties!A$1:CB$87,Formula!J47,31))</f>
        <v>30.79</v>
      </c>
      <c r="CV47" s="69">
        <f>VARP(IF(INDEX(Properties!A$1:CB$87,Formula!B47,31)&lt;&gt;"",INDEX(Properties!A$1:CB$87,Formula!B47,31)),IF(INDEX(Properties!A$1:CB$87,Formula!D47,31)&lt;&gt;"",INDEX(Properties!A$1:CB$87,Formula!D47,31)),IF(INDEX(Properties!A$1:CB$87,Formula!F47,31)&lt;&gt;"",INDEX(Properties!A$1:CB$87,Formula!F47,31)),IF(INDEX(Properties!A$1:CB$87,Formula!H47,31)&lt;&gt;"",INDEX(Properties!A$1:CB$87,Formula!H47,31)),IF(INDEX(Properties!A$1:CB$87,Formula!J47,31)&lt;&gt;"",INDEX(Properties!A$1:CB$87,Formula!J47,31)))</f>
        <v>1.3496799999999995</v>
      </c>
      <c r="CW47" s="69">
        <f>MAX(INDEX(Properties!A$1:CB$87,Formula!B47,31),INDEX(Properties!A$1:CB$87,Formula!D47,31),INDEX(Properties!A$1:CB$87,Formula!F47,31),INDEX(Properties!A$1:CB$87,Formula!H47,31),INDEX(Properties!A$1:CB$87,Formula!J47,31))</f>
        <v>3.32</v>
      </c>
      <c r="CX47" s="69">
        <f>MIN(IF(INDEX(Properties!A$1:CB$87,Formula!B47,31)=0,10^6,INDEX(Properties!A$1:CB$87,Formula!B47,31)),IF(INDEX(Properties!A$1:CB$87,Formula!D47,31)=0,10^6,INDEX(Properties!A$1:CB$87,Formula!D47,31)),IF(INDEX(Properties!A$1:CB$87,Formula!F47,31)=0,10^6,INDEX(Properties!A$1:CB$87,Formula!F47,31)),IF(INDEX(Properties!A$1:CB$87,Formula!H47,31)=0,10^6,INDEX(Properties!A$1:CB$87,Formula!H47,31)),IF(INDEX(Properties!A$1:CB$87,Formula!J47,31)=0,10^6,INDEX(Properties!A$1:CB$87,Formula!J47,31)))</f>
        <v>0.8</v>
      </c>
      <c r="CY47" s="69">
        <f t="shared" si="16"/>
        <v>2.5199999999999996</v>
      </c>
      <c r="CZ47" s="42">
        <f>((Formula!C47)/(Formula!C47+Formula!E47+Formula!G47+Formula!I47+Formula!K47))*(INDEX(Properties!A$1:CB$87,Formula!B47,32))+((Formula!E47)/(Formula!C47+Formula!E47+Formula!G47+Formula!I47+Formula!K47))*(INDEX(Properties!A$1:CB$87,Formula!D47,32))+((Formula!G47)/(Formula!C47+Formula!E47+Formula!G47+Formula!I47+Formula!K47))*(INDEX(Properties!A$1:CB$87,Formula!F47,32))+((Formula!I47)/(Formula!C47+Formula!E47+Formula!G47+Formula!I47+Formula!K47))*(INDEX(Properties!A$1:CB$87,Formula!H47,32))+((Formula!K47)/(Formula!C47+Formula!E47+Formula!G47+Formula!I47+Formula!K47))*(INDEX(Properties!A$1:CB$87,Formula!J47,32))</f>
        <v>6.0508333333333333</v>
      </c>
      <c r="DA47" s="42">
        <f>Formula!C47*(INDEX(Properties!A$1:CB$87,Formula!B47,32))+Formula!E47*(INDEX(Properties!A$1:CB$87,Formula!D47,32))+Formula!G47*(INDEX(Properties!A$1:CB$87,Formula!F47,32))+Formula!I47*(INDEX(Properties!A$1:CB$87,Formula!H47,32))+Formula!K47*(INDEX(Properties!A$1:CB$87,Formula!J47,32))</f>
        <v>72.61</v>
      </c>
      <c r="DB47" s="42">
        <f>VARP(IF(INDEX(Properties!A$1:CB$87,Formula!B47,32)&lt;&gt;"",INDEX(Properties!A$1:CB$87,Formula!B47,32)),IF(INDEX(Properties!A$1:CB$87,Formula!D47,32)&lt;&gt;"",INDEX(Properties!A$1:CB$87,Formula!D47,32)),IF(INDEX(Properties!A$1:CB$87,Formula!F47,32)&lt;&gt;"",INDEX(Properties!A$1:CB$87,Formula!F47,32)),IF(INDEX(Properties!A$1:CB$87,Formula!H47,32)&lt;&gt;"",INDEX(Properties!A$1:CB$87,Formula!H47,32)),IF(INDEX(Properties!A$1:CB$87,Formula!J47,32)&lt;&gt;"",INDEX(Properties!A$1:CB$87,Formula!J47,32)))</f>
        <v>6.725024000000003</v>
      </c>
      <c r="DC47" s="42">
        <f>MAX(INDEX(Properties!A$1:CB$87,Formula!B47,32),INDEX(Properties!A$1:CB$87,Formula!D47,32),INDEX(Properties!A$1:CB$87,Formula!F47,32),INDEX(Properties!A$1:CB$87,Formula!H47,32),INDEX(Properties!A$1:CB$87,Formula!J47,32))</f>
        <v>7.54</v>
      </c>
      <c r="DD47" s="42">
        <f>MIN(IF(INDEX(Properties!A$1:CB$87,Formula!B47,32)=0,10^6,INDEX(Properties!A$1:CB$87,Formula!B47,32)),IF(INDEX(Properties!A$1:CB$87,Formula!D47,32)=0,10^6,INDEX(Properties!A$1:CB$87,Formula!D47,32)),IF(INDEX(Properties!A$1:CB$87,Formula!F47,32)=0,10^6,INDEX(Properties!A$1:CB$87,Formula!F47,32)),IF(INDEX(Properties!A$1:CB$87,Formula!H47,32)=0,10^6,INDEX(Properties!A$1:CB$87,Formula!H47,32)),IF(INDEX(Properties!A$1:CB$87,Formula!J47,32)=0,10^6,INDEX(Properties!A$1:CB$87,Formula!J47,32)))</f>
        <v>2.42</v>
      </c>
      <c r="DE47" s="42">
        <f t="shared" si="17"/>
        <v>5.12</v>
      </c>
      <c r="DF47" s="60">
        <f>((Formula!C47)/(Formula!C47+Formula!E47+Formula!G47+Formula!I47+Formula!K47))*(INDEX(Properties!A$1:CB$87,Formula!B47,34))+((Formula!E47)/(Formula!C47+Formula!E47+Formula!G47+Formula!I47+Formula!K47))*(INDEX(Properties!A$1:CB$87,Formula!D47,34))+((Formula!G47)/(Formula!C47+Formula!E47+Formula!G47+Formula!I47+Formula!K47))*(INDEX(Properties!A$1:CB$87,Formula!F47,34))+((Formula!I47)/(Formula!C47+Formula!E47+Formula!G47+Formula!I47+Formula!K47))*(INDEX(Properties!A$1:CB$87,Formula!H47,34))+((Formula!K47)/(Formula!C47+Formula!E47+Formula!G47+Formula!I47+Formula!K47))*(INDEX(Properties!A$1:CB$87,Formula!J47,34))</f>
        <v>2.7114166666666666</v>
      </c>
      <c r="DG47" s="60">
        <f>Formula!C47*(INDEX(Properties!A$1:CB$87,Formula!B47,34))+Formula!E47*(INDEX(Properties!A$1:CB$87,Formula!D47,34))+Formula!G47*(INDEX(Properties!A$1:CB$87,Formula!F47,34))+Formula!I47*(INDEX(Properties!A$1:CB$87,Formula!H47,34))+Formula!K47*(INDEX(Properties!A$1:CB$87,Formula!J47,34))</f>
        <v>32.536999999999999</v>
      </c>
      <c r="DH47" s="60">
        <f>VARP(IF(INDEX(Properties!A$1:CB$87,Formula!B47,34)&lt;&gt;"",INDEX(Properties!A$1:CB$87,Formula!B47,34)),IF(INDEX(Properties!A$1:CB$87,Formula!D47,34)&lt;&gt;"",INDEX(Properties!A$1:CB$87,Formula!D47,34)),IF(INDEX(Properties!A$1:CB$87,Formula!F47,34)&lt;&gt;"",INDEX(Properties!A$1:CB$87,Formula!F47,34)),IF(INDEX(Properties!A$1:CB$87,Formula!H47,34)&lt;&gt;"",INDEX(Properties!A$1:CB$87,Formula!H47,34)),IF(INDEX(Properties!A$1:CB$87,Formula!J47,34)&lt;&gt;"",INDEX(Properties!A$1:CB$87,Formula!J47,34)))</f>
        <v>1.5736587999999998</v>
      </c>
      <c r="DI47" s="60">
        <f>MAX(INDEX(Properties!A$1:CB$87,Formula!B47,34),INDEX(Properties!A$1:CB$87,Formula!D47,34),INDEX(Properties!A$1:CB$87,Formula!F47,34),INDEX(Properties!A$1:CB$87,Formula!H47,34),INDEX(Properties!A$1:CB$87,Formula!J47,34))</f>
        <v>3.61</v>
      </c>
      <c r="DJ47" s="60">
        <f>MIN(IF(INDEX(Properties!A$1:CB$87,Formula!B47,34)=0,10^6,INDEX(Properties!A$1:CB$87,Formula!B47,34)),IF(INDEX(Properties!A$1:CB$87,Formula!D47,34)=0,10^6,INDEX(Properties!A$1:CB$87,Formula!D47,34)),IF(INDEX(Properties!A$1:CB$87,Formula!F47,34)=0,10^6,INDEX(Properties!A$1:CB$87,Formula!F47,34)),IF(INDEX(Properties!A$1:CB$87,Formula!H47,34)=0,10^6,INDEX(Properties!A$1:CB$87,Formula!H47,34)),IF(INDEX(Properties!A$1:CB$87,Formula!J47,34)=0,10^6,INDEX(Properties!A$1:CB$87,Formula!J47,34)))</f>
        <v>0.73399999999999999</v>
      </c>
      <c r="DK47" s="60">
        <f t="shared" si="18"/>
        <v>2.8759999999999999</v>
      </c>
      <c r="DL47" s="45">
        <f>((Formula!C47)/(Formula!C47+Formula!E47+Formula!G47+Formula!I47+Formula!K47))*(INDEX(Properties!A$1:CB$87,Formula!B47,39))+((Formula!E47)/(Formula!C47+Formula!E47+Formula!G47+Formula!I47+Formula!K47))*(INDEX(Properties!A$1:CB$87,Formula!D47,39))+((Formula!G47)/(Formula!C47+Formula!E47+Formula!G47+Formula!I47+Formula!K47))*(INDEX(Properties!A$1:CB$87,Formula!F47,39))+((Formula!I47)/(Formula!C47+Formula!E47+Formula!G47+Formula!I47+Formula!K47))*(INDEX(Properties!A$1:CB$87,Formula!H47,39))+((Formula!K47)/(Formula!C47+Formula!E47+Formula!G47+Formula!I47+Formula!K47))*(INDEX(Properties!A$1:CB$87,Formula!J47,39))</f>
        <v>0.96916666666666673</v>
      </c>
      <c r="DM47" s="45">
        <f>Formula!C47*(INDEX(Properties!A$1:CB$87,Formula!B47,39))+Formula!E47*(INDEX(Properties!A$1:CB$87,Formula!D47,39))+Formula!G47*(INDEX(Properties!A$1:CB$87,Formula!F47,39))+Formula!I47*(INDEX(Properties!A$1:CB$87,Formula!H47,39))+Formula!K47*(INDEX(Properties!A$1:CB$87,Formula!J47,39))</f>
        <v>11.629999999999999</v>
      </c>
      <c r="DN47" s="45">
        <f>VARP(IF(INDEX(Properties!A$1:CB$87,Formula!B47,39)&lt;&gt;"",INDEX(Properties!A$1:CB$87,Formula!B47,39)),IF(INDEX(Properties!A$1:CB$87,Formula!D47,39)&lt;&gt;"",INDEX(Properties!A$1:CB$87,Formula!D47,39)),IF(INDEX(Properties!A$1:CB$87,Formula!F47,39)&lt;&gt;"",INDEX(Properties!A$1:CB$87,Formula!F47,39)),IF(INDEX(Properties!A$1:CB$87,Formula!H47,39)&lt;&gt;"",INDEX(Properties!A$1:CB$87,Formula!H47,39)),IF(INDEX(Properties!A$1:CB$87,Formula!J47,39)&lt;&gt;"",INDEX(Properties!A$1:CB$87,Formula!J47,39)))</f>
        <v>0.69901599999999997</v>
      </c>
      <c r="DO47" s="45">
        <f>MAX(INDEX(Properties!A$1:CB$87,Formula!B47,39),INDEX(Properties!A$1:CB$87,Formula!D47,39),INDEX(Properties!A$1:CB$87,Formula!F47,39),INDEX(Properties!A$1:CB$87,Formula!H47,39),INDEX(Properties!A$1:CB$87,Formula!J47,39))</f>
        <v>2.4300000000000002</v>
      </c>
      <c r="DP47" s="45">
        <f>MIN(IF(INDEX(Properties!A$1:CB$87,Formula!B47,39)=0,10^6,INDEX(Properties!A$1:CB$87,Formula!B47,39)),IF(INDEX(Properties!A$1:CB$87,Formula!D47,39)=0,10^6,INDEX(Properties!A$1:CB$87,Formula!D47,39)),IF(INDEX(Properties!A$1:CB$87,Formula!F47,39)=0,10^6,INDEX(Properties!A$1:CB$87,Formula!F47,39)),IF(INDEX(Properties!A$1:CB$87,Formula!H47,39)=0,10^6,INDEX(Properties!A$1:CB$87,Formula!H47,39)),IF(INDEX(Properties!A$1:CB$87,Formula!J47,39)=0,10^6,INDEX(Properties!A$1:CB$87,Formula!J47,39)))</f>
        <v>0.48</v>
      </c>
      <c r="DQ47" s="45">
        <f t="shared" si="19"/>
        <v>1.9500000000000002</v>
      </c>
      <c r="DR47" s="63">
        <f>((Formula!C47)/(Formula!C47+Formula!E47+Formula!G47+Formula!I47+Formula!K47))*(INDEX(Properties!A$1:CB$87,Formula!B47,40))+((Formula!E47)/(Formula!C47+Formula!E47+Formula!G47+Formula!I47+Formula!K47))*(INDEX(Properties!A$1:CB$87,Formula!D47,40))+((Formula!G47)/(Formula!C47+Formula!E47+Formula!G47+Formula!I47+Formula!K47))*(INDEX(Properties!A$1:CB$87,Formula!F47,40))+((Formula!I47)/(Formula!C47+Formula!E47+Formula!G47+Formula!I47+Formula!K47))*(INDEX(Properties!A$1:CB$87,Formula!H47,40))+((Formula!K47)/(Formula!C47+Formula!E47+Formula!G47+Formula!I47+Formula!K47))*(INDEX(Properties!A$1:CB$87,Formula!J47,40))</f>
        <v>1.0375000000000001</v>
      </c>
      <c r="DS47" s="63">
        <f>Formula!C47*(INDEX(Properties!A$1:CB$87,Formula!B47,40))+Formula!E47*(INDEX(Properties!A$1:CB$87,Formula!D47,40))+Formula!G47*(INDEX(Properties!A$1:CB$87,Formula!F47,40))+Formula!I47*(INDEX(Properties!A$1:CB$87,Formula!H47,40))+Formula!K47*(INDEX(Properties!A$1:CB$87,Formula!J47,40))</f>
        <v>12.45</v>
      </c>
      <c r="DT47" s="63">
        <f>VARP(IF(INDEX(Properties!A$1:CB$87,Formula!B47,40)&lt;&gt;"",INDEX(Properties!A$1:CB$87,Formula!B47,40)),IF(INDEX(Properties!A$1:CB$87,Formula!D47,40)&lt;&gt;"",INDEX(Properties!A$1:CB$87,Formula!D47,40)),IF(INDEX(Properties!A$1:CB$87,Formula!F47,40)&lt;&gt;"",INDEX(Properties!A$1:CB$87,Formula!F47,40)),IF(INDEX(Properties!A$1:CB$87,Formula!H47,40)&lt;&gt;"",INDEX(Properties!A$1:CB$87,Formula!H47,40)),IF(INDEX(Properties!A$1:CB$87,Formula!J47,40)&lt;&gt;"",INDEX(Properties!A$1:CB$87,Formula!J47,40)))</f>
        <v>0.41751999999999967</v>
      </c>
      <c r="DU47" s="63">
        <f>MAX(INDEX(Properties!A$1:CB$87,Formula!B47,40),INDEX(Properties!A$1:CB$87,Formula!D47,40),INDEX(Properties!A$1:CB$87,Formula!F47,40),INDEX(Properties!A$1:CB$87,Formula!H47,40),INDEX(Properties!A$1:CB$87,Formula!J47,40))</f>
        <v>1.96</v>
      </c>
      <c r="DV47" s="63">
        <f>MIN(IF(INDEX(Properties!A$1:CB$87,Formula!B47,40)=0,10^6,INDEX(Properties!A$1:CB$87,Formula!B47,40)),IF(INDEX(Properties!A$1:CB$87,Formula!D47,40)=0,10^6,INDEX(Properties!A$1:CB$87,Formula!D47,40)),IF(INDEX(Properties!A$1:CB$87,Formula!F47,40)=0,10^6,INDEX(Properties!A$1:CB$87,Formula!F47,40)),IF(INDEX(Properties!A$1:CB$87,Formula!H47,40)=0,10^6,INDEX(Properties!A$1:CB$87,Formula!H47,40)),IF(INDEX(Properties!A$1:CB$87,Formula!J47,40)=0,10^6,INDEX(Properties!A$1:CB$87,Formula!J47,40)))</f>
        <v>0.73</v>
      </c>
      <c r="DW47" s="63">
        <f t="shared" si="20"/>
        <v>1.23</v>
      </c>
      <c r="DX47" s="75">
        <f>((Formula!C47)/(Formula!C47+Formula!E47+Formula!G47+Formula!I47+Formula!K47))*(INDEX(Properties!A$1:CB$87,Formula!B47,41))+((Formula!E47)/(Formula!C47+Formula!E47+Formula!G47+Formula!I47+Formula!K47))*(INDEX(Properties!A$1:CB$87,Formula!D47,41))+((Formula!G47)/(Formula!C47+Formula!E47+Formula!G47+Formula!I47+Formula!K47))*(INDEX(Properties!A$1:CB$87,Formula!F47,41))+((Formula!I47)/(Formula!C47+Formula!E47+Formula!G47+Formula!I47+Formula!K47))*(INDEX(Properties!A$1:CB$87,Formula!H47,41))+((Formula!K47)/(Formula!C47+Formula!E47+Formula!G47+Formula!I47+Formula!K47))*(INDEX(Properties!A$1:CB$87,Formula!J47,41))</f>
        <v>1.1566666666666667</v>
      </c>
      <c r="DY47" s="75">
        <f>Formula!C47*(INDEX(Properties!A$1:CB$87,Formula!B47,41))+Formula!E47*(INDEX(Properties!A$1:CB$87,Formula!D47,41))+Formula!G47*(INDEX(Properties!A$1:CB$87,Formula!F47,41))+Formula!I47*(INDEX(Properties!A$1:CB$87,Formula!H47,41))+Formula!K47*(INDEX(Properties!A$1:CB$87,Formula!J47,41))</f>
        <v>13.879999999999999</v>
      </c>
      <c r="DZ47" s="75">
        <f>VARP(IF(INDEX(Properties!A$1:CB$87,Formula!B47,41)&lt;&gt;"",INDEX(Properties!A$1:CB$87,Formula!B47,41)),IF(INDEX(Properties!A$1:CB$87,Formula!D47,41)&lt;&gt;"",INDEX(Properties!A$1:CB$87,Formula!D47,41)),IF(INDEX(Properties!A$1:CB$87,Formula!F47,41)&lt;&gt;"",INDEX(Properties!A$1:CB$87,Formula!F47,41)),IF(INDEX(Properties!A$1:CB$87,Formula!H47,41)&lt;&gt;"",INDEX(Properties!A$1:CB$87,Formula!H47,41)),IF(INDEX(Properties!A$1:CB$87,Formula!J47,41)&lt;&gt;"",INDEX(Properties!A$1:CB$87,Formula!J47,41)))</f>
        <v>0.2824640000000001</v>
      </c>
      <c r="EA47" s="75">
        <f>MAX(INDEX(Properties!A$1:CB$87,Formula!B47,41),INDEX(Properties!A$1:CB$87,Formula!D47,41),INDEX(Properties!A$1:CB$87,Formula!F47,41),INDEX(Properties!A$1:CB$87,Formula!H47,41),INDEX(Properties!A$1:CB$87,Formula!J47,41))</f>
        <v>1.52</v>
      </c>
      <c r="EB47" s="75">
        <f>MIN(IF(INDEX(Properties!A$1:CB$87,Formula!B47,41)=0,10^6,INDEX(Properties!A$1:CB$87,Formula!B47,41)),IF(INDEX(Properties!A$1:CB$87,Formula!D47,41)=0,10^6,INDEX(Properties!A$1:CB$87,Formula!D47,41)),IF(INDEX(Properties!A$1:CB$87,Formula!F47,41)=0,10^6,INDEX(Properties!A$1:CB$87,Formula!F47,41)),IF(INDEX(Properties!A$1:CB$87,Formula!H47,41)=0,10^6,INDEX(Properties!A$1:CB$87,Formula!H47,41)),IF(INDEX(Properties!A$1:CB$87,Formula!J47,41)=0,10^6,INDEX(Properties!A$1:CB$87,Formula!J47,41)))</f>
        <v>0.57999999999999996</v>
      </c>
      <c r="EC47" s="75">
        <f t="shared" si="21"/>
        <v>0.94000000000000006</v>
      </c>
      <c r="ED47" s="48">
        <f>((Formula!C47)/(Formula!C47+Formula!E47+Formula!G47+Formula!I47+Formula!K47))*(INDEX(Properties!A$1:CB$87,Formula!B47,45))+((Formula!E47)/(Formula!C47+Formula!E47+Formula!G47+Formula!I47+Formula!K47))*(INDEX(Properties!A$1:CB$87,Formula!D47,45))+((Formula!G47)/(Formula!C47+Formula!E47+Formula!G47+Formula!I47+Formula!K47))*(INDEX(Properties!A$1:CB$87,Formula!F47,45))+((Formula!I47)/(Formula!C47+Formula!E47+Formula!G47+Formula!I47+Formula!K47))*(INDEX(Properties!A$1:CB$87,Formula!H47,45))+((Formula!K47)/(Formula!C47+Formula!E47+Formula!G47+Formula!I47+Formula!K47))*(INDEX(Properties!A$1:CB$87,Formula!J47,45))</f>
        <v>1.2650000000000001</v>
      </c>
      <c r="EE47" s="48">
        <f>Formula!C47*(INDEX(Properties!A$1:CB$87,Formula!B47,45))+Formula!E47*(INDEX(Properties!A$1:CB$87,Formula!D47,45))+Formula!G47*(INDEX(Properties!A$1:CB$87,Formula!F47,45))+Formula!I47*(INDEX(Properties!A$1:CB$87,Formula!H47,45))+Formula!K47*(INDEX(Properties!A$1:CB$87,Formula!J47,45))</f>
        <v>15.18</v>
      </c>
      <c r="EF47" s="48">
        <f>VARP(IF(INDEX(Properties!A$1:CB$87,Formula!B47,45)&lt;&gt;"",INDEX(Properties!A$1:CB$87,Formula!B47,45)),IF(INDEX(Properties!A$1:CB$87,Formula!D47,45)&lt;&gt;"",INDEX(Properties!A$1:CB$87,Formula!D47,45)),IF(INDEX(Properties!A$1:CB$87,Formula!F47,45)&lt;&gt;"",INDEX(Properties!A$1:CB$87,Formula!F47,45)),IF(INDEX(Properties!A$1:CB$87,Formula!H47,45)&lt;&gt;"",INDEX(Properties!A$1:CB$87,Formula!H47,45)),IF(INDEX(Properties!A$1:CB$87,Formula!J47,45)&lt;&gt;"",INDEX(Properties!A$1:CB$87,Formula!J47,45)))</f>
        <v>1.690904</v>
      </c>
      <c r="EG47" s="48">
        <f>MAX(INDEX(Properties!A$1:CB$87,Formula!B47,45),INDEX(Properties!A$1:CB$87,Formula!D47,45),INDEX(Properties!A$1:CB$87,Formula!F47,45),INDEX(Properties!A$1:CB$87,Formula!H47,45),INDEX(Properties!A$1:CB$87,Formula!J47,45))</f>
        <v>3.69</v>
      </c>
      <c r="EH47" s="48">
        <f>MIN(IF(INDEX(Properties!A$1:CB$87,Formula!B47,45)=0,10^6,INDEX(Properties!A$1:CB$87,Formula!B47,45)),IF(INDEX(Properties!A$1:CB$87,Formula!D47,45)=0,10^6,INDEX(Properties!A$1:CB$87,Formula!D47,45)),IF(INDEX(Properties!A$1:CB$87,Formula!F47,45)=0,10^6,INDEX(Properties!A$1:CB$87,Formula!F47,45)),IF(INDEX(Properties!A$1:CB$87,Formula!H47,45)=0,10^6,INDEX(Properties!A$1:CB$87,Formula!H47,45)),IF(INDEX(Properties!A$1:CB$87,Formula!J47,45)=0,10^6,INDEX(Properties!A$1:CB$87,Formula!J47,45)))</f>
        <v>0.47</v>
      </c>
      <c r="EI47" s="48">
        <f t="shared" si="22"/>
        <v>3.2199999999999998</v>
      </c>
      <c r="EJ47" s="66">
        <f>((Formula!C47)/(Formula!C47+Formula!E47+Formula!G47+Formula!I47+Formula!K47))*(INDEX(Properties!A$1:CB$87,Formula!B47,46))+((Formula!E47)/(Formula!C47+Formula!E47+Formula!G47+Formula!I47+Formula!K47))*(INDEX(Properties!A$1:CB$87,Formula!D47,46))+((Formula!G47)/(Formula!C47+Formula!E47+Formula!G47+Formula!I47+Formula!K47))*(INDEX(Properties!A$1:CB$87,Formula!F47,46))+((Formula!I47)/(Formula!C47+Formula!E47+Formula!G47+Formula!I47+Formula!K47))*(INDEX(Properties!A$1:CB$87,Formula!H47,46))+((Formula!K47)/(Formula!C47+Formula!E47+Formula!G47+Formula!I47+Formula!K47))*(INDEX(Properties!A$1:CB$87,Formula!J47,46))</f>
        <v>1.0825</v>
      </c>
      <c r="EK47" s="66">
        <f>Formula!C47*(INDEX(Properties!A$1:CB$87,Formula!B47,46))+Formula!E47*(INDEX(Properties!A$1:CB$87,Formula!D47,46))+Formula!G47*(INDEX(Properties!A$1:CB$87,Formula!F47,46))+Formula!I47*(INDEX(Properties!A$1:CB$87,Formula!H47,46))+Formula!K47*(INDEX(Properties!A$1:CB$87,Formula!J47,46))</f>
        <v>12.989999999999998</v>
      </c>
      <c r="EL47" s="66">
        <f>VARP(IF(INDEX(Properties!A$1:CB$87,Formula!B47,46)&lt;&gt;"",INDEX(Properties!A$1:CB$87,Formula!B47,46)),IF(INDEX(Properties!A$1:CB$87,Formula!D47,46)&lt;&gt;"",INDEX(Properties!A$1:CB$87,Formula!D47,46)),IF(INDEX(Properties!A$1:CB$87,Formula!F47,46)&lt;&gt;"",INDEX(Properties!A$1:CB$87,Formula!F47,46)),IF(INDEX(Properties!A$1:CB$87,Formula!H47,46)&lt;&gt;"",INDEX(Properties!A$1:CB$87,Formula!H47,46)),IF(INDEX(Properties!A$1:CB$87,Formula!J47,46)&lt;&gt;"",INDEX(Properties!A$1:CB$87,Formula!J47,46)))</f>
        <v>0.31363999999999997</v>
      </c>
      <c r="EM47" s="66">
        <f>MAX(INDEX(Properties!A$1:CB$87,Formula!B47,46),INDEX(Properties!A$1:CB$87,Formula!D47,46),INDEX(Properties!A$1:CB$87,Formula!F47,46),INDEX(Properties!A$1:CB$87,Formula!H47,46),INDEX(Properties!A$1:CB$87,Formula!J47,46))</f>
        <v>1.52</v>
      </c>
      <c r="EN47" s="66">
        <f>MIN(IF(INDEX(Properties!A$1:CB$87,Formula!B47,46)=0,10^6,INDEX(Properties!A$1:CB$87,Formula!B47,46)),IF(INDEX(Properties!A$1:CB$87,Formula!D47,46)=0,10^6,INDEX(Properties!A$1:CB$87,Formula!D47,46)),IF(INDEX(Properties!A$1:CB$87,Formula!F47,46)=0,10^6,INDEX(Properties!A$1:CB$87,Formula!F47,46)),IF(INDEX(Properties!A$1:CB$87,Formula!H47,46)=0,10^6,INDEX(Properties!A$1:CB$87,Formula!H47,46)),IF(INDEX(Properties!A$1:CB$87,Formula!J47,46)=0,10^6,INDEX(Properties!A$1:CB$87,Formula!J47,46)))</f>
        <v>0.31</v>
      </c>
      <c r="EO47" s="66">
        <f t="shared" si="23"/>
        <v>1.21</v>
      </c>
      <c r="EP47" s="81">
        <f>((Formula!C47)/(Formula!C47+Formula!E47+Formula!G47+Formula!I47+Formula!K47))*(INDEX(Properties!A$1:CB$87,Formula!B47,52))+((Formula!E47)/(Formula!C47+Formula!E47+Formula!G47+Formula!I47+Formula!K47))*(INDEX(Properties!A$1:CB$87,Formula!D47,52))+((Formula!G47)/(Formula!C47+Formula!E47+Formula!G47+Formula!I47+Formula!K47))*(INDEX(Properties!A$1:CB$87,Formula!F47,52))+((Formula!I47)/(Formula!C47+Formula!E47+Formula!G47+Formula!I47+Formula!K47))*(INDEX(Properties!A$1:CB$87,Formula!H47,52))+((Formula!K47)/(Formula!C47+Formula!E47+Formula!G47+Formula!I47+Formula!K47))*(INDEX(Properties!A$1:CB$87,Formula!J47,52))</f>
        <v>9.1792499999999979</v>
      </c>
      <c r="EQ47" s="81">
        <f>Formula!C47*(INDEX(Properties!A$1:CB$87,Formula!B47,52))+Formula!E47*(INDEX(Properties!A$1:CB$87,Formula!D47,52))+Formula!G47*(INDEX(Properties!A$1:CB$87,Formula!F47,52))+Formula!I47*(INDEX(Properties!A$1:CB$87,Formula!H47,52))+Formula!K47*(INDEX(Properties!A$1:CB$87,Formula!J47,52))</f>
        <v>110.151</v>
      </c>
      <c r="ER47" s="81">
        <f>VARP(IF(INDEX(Properties!A$1:CB$87,Formula!B47,52)&lt;&gt;"",INDEX(Properties!A$1:CB$87,Formula!B47,52)),IF(INDEX(Properties!A$1:CB$87,Formula!D47,52)&lt;&gt;"",INDEX(Properties!A$1:CB$87,Formula!D47,52)),IF(INDEX(Properties!A$1:CB$87,Formula!F47,52)&lt;&gt;"",INDEX(Properties!A$1:CB$87,Formula!F47,52)),IF(INDEX(Properties!A$1:CB$87,Formula!H47,52)&lt;&gt;"",INDEX(Properties!A$1:CB$87,Formula!H47,52)),IF(INDEX(Properties!A$1:CB$87,Formula!J47,52)&lt;&gt;"",INDEX(Properties!A$1:CB$87,Formula!J47,52)))</f>
        <v>265.51207183999998</v>
      </c>
      <c r="ES47" s="81">
        <f>MAX(INDEX(Properties!A$1:CB$87,Formula!B47,52),INDEX(Properties!A$1:CB$87,Formula!D47,52),INDEX(Properties!A$1:CB$87,Formula!F47,52),INDEX(Properties!A$1:CB$87,Formula!H47,52),INDEX(Properties!A$1:CB$87,Formula!J47,52))</f>
        <v>43.4</v>
      </c>
      <c r="ET47" s="81">
        <f>MIN(IF(INDEX(Properties!A$1:CB$87,Formula!B47,52)=0,10^6,INDEX(Properties!A$1:CB$87,Formula!B47,52)),IF(INDEX(Properties!A$1:CB$87,Formula!D47,52)=0,10^6,INDEX(Properties!A$1:CB$87,Formula!D47,52)),IF(INDEX(Properties!A$1:CB$87,Formula!F47,52)=0,10^6,INDEX(Properties!A$1:CB$87,Formula!F47,52)),IF(INDEX(Properties!A$1:CB$87,Formula!H47,52)=0,10^6,INDEX(Properties!A$1:CB$87,Formula!H47,52)),IF(INDEX(Properties!A$1:CB$87,Formula!J47,52)=0,10^6,INDEX(Properties!A$1:CB$87,Formula!J47,52)))</f>
        <v>0.79300000000000004</v>
      </c>
      <c r="EU47" s="81">
        <f t="shared" si="24"/>
        <v>42.606999999999999</v>
      </c>
      <c r="EV47" s="39">
        <f>((Formula!C47)/(Formula!C47+Formula!E47+Formula!G47+Formula!I47+Formula!K47))*(INDEX(Properties!A$1:CB$87,Formula!B47,53))+((Formula!E47)/(Formula!C47+Formula!E47+Formula!G47+Formula!I47+Formula!K47))*(INDEX(Properties!A$1:CB$87,Formula!D47,53))+((Formula!G47)/(Formula!C47+Formula!E47+Formula!G47+Formula!I47+Formula!K47))*(INDEX(Properties!A$1:CB$87,Formula!F47,53))+((Formula!I47)/(Formula!C47+Formula!E47+Formula!G47+Formula!I47+Formula!K47))*(INDEX(Properties!A$1:CB$87,Formula!H47,53))+((Formula!K47)/(Formula!C47+Formula!E47+Formula!G47+Formula!I47+Formula!K47))*(INDEX(Properties!A$1:CB$87,Formula!J47,53))</f>
        <v>217.72499999999997</v>
      </c>
      <c r="EW47" s="39">
        <f>Formula!C47*(INDEX(Properties!A$1:CB$87,Formula!B47,53))+Formula!E47*(INDEX(Properties!A$1:CB$87,Formula!D47,53))+Formula!G47*(INDEX(Properties!A$1:CB$87,Formula!F47,53))+Formula!I47*(INDEX(Properties!A$1:CB$87,Formula!H47,53))+Formula!K47*(INDEX(Properties!A$1:CB$87,Formula!J47,53))</f>
        <v>2612.6999999999998</v>
      </c>
      <c r="EX47" s="39">
        <f>VARP(IF(INDEX(Properties!A$1:CB$87,Formula!B47,53)&lt;&gt;"",INDEX(Properties!A$1:CB$87,Formula!B47,53)),IF(INDEX(Properties!A$1:CB$87,Formula!D47,53)&lt;&gt;"",INDEX(Properties!A$1:CB$87,Formula!D47,53)),IF(INDEX(Properties!A$1:CB$87,Formula!F47,53)&lt;&gt;"",INDEX(Properties!A$1:CB$87,Formula!F47,53)),IF(INDEX(Properties!A$1:CB$87,Formula!H47,53)&lt;&gt;"",INDEX(Properties!A$1:CB$87,Formula!H47,53)),IF(INDEX(Properties!A$1:CB$87,Formula!J47,53)&lt;&gt;"",INDEX(Properties!A$1:CB$87,Formula!J47,53)))</f>
        <v>107086.40939999999</v>
      </c>
      <c r="EY47" s="39">
        <f>MAX(INDEX(Properties!A$1:CB$87,Formula!B47,53),INDEX(Properties!A$1:CB$87,Formula!D47,53),INDEX(Properties!A$1:CB$87,Formula!F47,53),INDEX(Properties!A$1:CB$87,Formula!H47,53),INDEX(Properties!A$1:CB$87,Formula!J47,53))</f>
        <v>922.15</v>
      </c>
      <c r="EZ47" s="39">
        <f>MIN(IF(INDEX(Properties!A$1:CB$87,Formula!B47,53)=0,10^6,INDEX(Properties!A$1:CB$87,Formula!B47,53)),IF(INDEX(Properties!A$1:CB$87,Formula!D47,53)=0,10^6,INDEX(Properties!A$1:CB$87,Formula!D47,53)),IF(INDEX(Properties!A$1:CB$87,Formula!F47,53)=0,10^6,INDEX(Properties!A$1:CB$87,Formula!F47,53)),IF(INDEX(Properties!A$1:CB$87,Formula!H47,53)=0,10^6,INDEX(Properties!A$1:CB$87,Formula!H47,53)),IF(INDEX(Properties!A$1:CB$87,Formula!J47,53)=0,10^6,INDEX(Properties!A$1:CB$87,Formula!J47,53)))</f>
        <v>54.749999999999972</v>
      </c>
      <c r="FA47" s="39">
        <f t="shared" si="25"/>
        <v>867.4</v>
      </c>
      <c r="FB47" s="54">
        <f>((Formula!C47)/(Formula!C47+Formula!E47+Formula!G47+Formula!I47+Formula!K47))*(INDEX(Properties!A$1:CB$87,Formula!B47,54))+((Formula!E47)/(Formula!C47+Formula!E47+Formula!G47+Formula!I47+Formula!K47))*(INDEX(Properties!A$1:CB$87,Formula!D47,54))+((Formula!G47)/(Formula!C47+Formula!E47+Formula!G47+Formula!I47+Formula!K47))*(INDEX(Properties!A$1:CB$87,Formula!F47,54))+((Formula!I47)/(Formula!C47+Formula!E47+Formula!G47+Formula!I47+Formula!K47))*(INDEX(Properties!A$1:CB$87,Formula!H47,54))+((Formula!K47)/(Formula!C47+Formula!E47+Formula!G47+Formula!I47+Formula!K47))*(INDEX(Properties!A$1:CB$87,Formula!J47,54))</f>
        <v>430.56666666666666</v>
      </c>
      <c r="FC47" s="54">
        <f>Formula!C47*(INDEX(Properties!A$1:CB$87,Formula!B47,54))+Formula!E47*(INDEX(Properties!A$1:CB$87,Formula!D47,54))+Formula!G47*(INDEX(Properties!A$1:CB$87,Formula!F47,54))+Formula!I47*(INDEX(Properties!A$1:CB$87,Formula!H47,54))+Formula!K47*(INDEX(Properties!A$1:CB$87,Formula!J47,54))</f>
        <v>5166.8</v>
      </c>
      <c r="FD47" s="54">
        <f>VARP(IF(INDEX(Properties!A$1:CB$87,Formula!B47,54)&lt;&gt;"",INDEX(Properties!A$1:CB$87,Formula!B47,54)),IF(INDEX(Properties!A$1:CB$87,Formula!D47,54)&lt;&gt;"",INDEX(Properties!A$1:CB$87,Formula!D47,54)),IF(INDEX(Properties!A$1:CB$87,Formula!F47,54)&lt;&gt;"",INDEX(Properties!A$1:CB$87,Formula!F47,54)),IF(INDEX(Properties!A$1:CB$87,Formula!H47,54)&lt;&gt;"",INDEX(Properties!A$1:CB$87,Formula!H47,54)),IF(INDEX(Properties!A$1:CB$87,Formula!J47,54)&lt;&gt;"",INDEX(Properties!A$1:CB$87,Formula!J47,54)))</f>
        <v>278369.03160000005</v>
      </c>
      <c r="FE47" s="54">
        <f>MAX(INDEX(Properties!A$1:CB$87,Formula!B47,54),INDEX(Properties!A$1:CB$87,Formula!D47,54),INDEX(Properties!A$1:CB$87,Formula!F47,54),INDEX(Properties!A$1:CB$87,Formula!H47,54),INDEX(Properties!A$1:CB$87,Formula!J47,54))</f>
        <v>1363.15</v>
      </c>
      <c r="FF47" s="54">
        <f>MIN(IF(INDEX(Properties!A$1:CB$87,Formula!B47,54)=0,10^6,INDEX(Properties!A$1:CB$87,Formula!B47,54)),IF(INDEX(Properties!A$1:CB$87,Formula!D47,54)=0,10^6,INDEX(Properties!A$1:CB$87,Formula!D47,54)),IF(INDEX(Properties!A$1:CB$87,Formula!F47,54)=0,10^6,INDEX(Properties!A$1:CB$87,Formula!F47,54)),IF(INDEX(Properties!A$1:CB$87,Formula!H47,54)=0,10^6,INDEX(Properties!A$1:CB$87,Formula!H47,54)),IF(INDEX(Properties!A$1:CB$87,Formula!J47,54)=0,10^6,INDEX(Properties!A$1:CB$87,Formula!J47,54)))</f>
        <v>90.149999999999977</v>
      </c>
      <c r="FG47" s="54">
        <f t="shared" si="26"/>
        <v>1273</v>
      </c>
      <c r="FH47" s="69">
        <f>((Formula!C47)/(Formula!C47+Formula!E47+Formula!G47+Formula!I47+Formula!K47))*(INDEX(Properties!A$1:CB$87,Formula!B47,55))+((Formula!E47)/(Formula!C47+Formula!E47+Formula!G47+Formula!I47+Formula!K47))*(INDEX(Properties!A$1:CB$87,Formula!D47,55))+((Formula!G47)/(Formula!C47+Formula!E47+Formula!G47+Formula!I47+Formula!K47))*(INDEX(Properties!A$1:CB$87,Formula!F47,55))+((Formula!I47)/(Formula!C47+Formula!E47+Formula!G47+Formula!I47+Formula!K47))*(INDEX(Properties!A$1:CB$87,Formula!H47,55))+((Formula!K47)/(Formula!C47+Formula!E47+Formula!G47+Formula!I47+Formula!K47))*(INDEX(Properties!A$1:CB$87,Formula!J47,55))</f>
        <v>0.59250083333333337</v>
      </c>
      <c r="FI47" s="69">
        <f>Formula!C47*(INDEX(Properties!A$1:CB$87,Formula!B47,55))+Formula!E47*(INDEX(Properties!A$1:CB$87,Formula!D47,54))+Formula!G47*(INDEX(Properties!A$1:CB$87,Formula!F47,55))+Formula!I47*(INDEX(Properties!A$1:CB$87,Formula!H47,55))+Formula!K47*(INDEX(Properties!A$1:CB$87,Formula!J47,55))</f>
        <v>1368.5200100000002</v>
      </c>
      <c r="FJ47" s="69">
        <f>VARP(IF(INDEX(Properties!A$1:CB$87,Formula!B47,55)&lt;&gt;"",INDEX(Properties!A$1:CB$87,Formula!B47,55)),IF(INDEX(Properties!A$1:CB$87,Formula!D47,55)&lt;&gt;"",INDEX(Properties!A$1:CB$87,Formula!D47,55)),IF(INDEX(Properties!A$1:CB$87,Formula!F47,55)&lt;&gt;"",INDEX(Properties!A$1:CB$87,Formula!F47,55)),IF(INDEX(Properties!A$1:CB$87,Formula!H47,55)&lt;&gt;"",INDEX(Properties!A$1:CB$87,Formula!H47,55)),IF(INDEX(Properties!A$1:CB$87,Formula!J47,55)&lt;&gt;"",INDEX(Properties!A$1:CB$87,Formula!J47,55)))</f>
        <v>0.63395867918400028</v>
      </c>
      <c r="FK47" s="69">
        <f>MAX(INDEX(Properties!A$1:CB$87,Formula!B47,55),INDEX(Properties!A$1:CB$87,Formula!D47,55),INDEX(Properties!A$1:CB$87,Formula!F47,55),INDEX(Properties!A$1:CB$87,Formula!H47,55),INDEX(Properties!A$1:CB$87,Formula!J47,55))</f>
        <v>1.82</v>
      </c>
      <c r="FL47" s="69">
        <f>MIN(IF(INDEX(Properties!A$1:CB$87,Formula!B47,55)=0,10^6,INDEX(Properties!A$1:CB$87,Formula!B47,55)),IF(INDEX(Properties!A$1:CB$87,Formula!D47,55)=0,10^6,INDEX(Properties!A$1:CB$87,Formula!D47,55)),IF(INDEX(Properties!A$1:CB$87,Formula!F47,55)=0,10^6,INDEX(Properties!A$1:CB$87,Formula!F47,55)),IF(INDEX(Properties!A$1:CB$87,Formula!H47,55)=0,10^6,INDEX(Properties!A$1:CB$87,Formula!H47,55)),IF(INDEX(Properties!A$1:CB$87,Formula!J47,55)=0,10^6,INDEX(Properties!A$1:CB$87,Formula!J47,55)))</f>
        <v>1.4300000000000001E-3</v>
      </c>
      <c r="FM47" s="69">
        <f t="shared" si="27"/>
        <v>1.81857</v>
      </c>
      <c r="FN47" s="42">
        <f>((Formula!C47)/(Formula!C47+Formula!E47+Formula!G47+Formula!I47+Formula!K47))*(INDEX(Properties!A$1:CB$87,Formula!B47,56))+((Formula!E47)/(Formula!C47+Formula!E47+Formula!G47+Formula!I47+Formula!K47))*(INDEX(Properties!A$1:CB$87,Formula!D47,56))+((Formula!G47)/(Formula!C47+Formula!E47+Formula!G47+Formula!I47+Formula!K47))*(INDEX(Properties!A$1:CB$87,Formula!F47,56))+((Formula!I47)/(Formula!C47+Formula!E47+Formula!G47+Formula!I47+Formula!K47))*(INDEX(Properties!A$1:CB$87,Formula!H47,56))+((Formula!K47)/(Formula!C47+Formula!E47+Formula!G47+Formula!I47+Formula!K47))*(INDEX(Properties!A$1:CB$87,Formula!J47,56))</f>
        <v>0.875</v>
      </c>
      <c r="FO47" s="42">
        <f>Formula!C47*(INDEX(Properties!A$1:CB$87,Formula!B47,56))+Formula!E47*(INDEX(Properties!A$1:CB$87,Formula!D47,56))+Formula!G47*(INDEX(Properties!A$1:CB$87,Formula!F47,56))+Formula!I47*(INDEX(Properties!A$1:CB$87,Formula!H47,56))+Formula!K47*(INDEX(Properties!A$1:CB$87,Formula!J47,56))</f>
        <v>10.5</v>
      </c>
      <c r="FP47" s="42">
        <f>VARP(IF(INDEX(Properties!A$1:CB$87,Formula!B47,56)&lt;&gt;"",INDEX(Properties!A$1:CB$87,Formula!B47,56)),IF(INDEX(Properties!A$1:CB$87,Formula!D47,56)&lt;&gt;"",INDEX(Properties!A$1:CB$87,Formula!D47,56)),IF(INDEX(Properties!A$1:CB$87,Formula!F47,56)&lt;&gt;"",INDEX(Properties!A$1:CB$87,Formula!F47,56)),IF(INDEX(Properties!A$1:CB$87,Formula!H47,56)&lt;&gt;"",INDEX(Properties!A$1:CB$87,Formula!H47,56)),IF(INDEX(Properties!A$1:CB$87,Formula!J47,56)&lt;&gt;"",INDEX(Properties!A$1:CB$87,Formula!J47,56)))</f>
        <v>0.12957600000000005</v>
      </c>
      <c r="FQ47" s="42">
        <f>MAX(INDEX(Properties!A$1:CB$87,Formula!B47,56),INDEX(Properties!A$1:CB$87,Formula!D47,56),INDEX(Properties!A$1:CB$87,Formula!F47,56),INDEX(Properties!A$1:CB$87,Formula!H47,56),INDEX(Properties!A$1:CB$87,Formula!J47,56))</f>
        <v>1.02</v>
      </c>
      <c r="FR47" s="42">
        <f>MIN(IF(INDEX(Properties!A$1:CB$87,Formula!B47,56)=0,10^6,INDEX(Properties!A$1:CB$87,Formula!B47,56)),IF(INDEX(Properties!A$1:CB$87,Formula!D47,56)=0,10^6,INDEX(Properties!A$1:CB$87,Formula!D47,56)),IF(INDEX(Properties!A$1:CB$87,Formula!F47,56)=0,10^6,INDEX(Properties!A$1:CB$87,Formula!F47,56)),IF(INDEX(Properties!A$1:CB$87,Formula!H47,56)=0,10^6,INDEX(Properties!A$1:CB$87,Formula!H47,56)),IF(INDEX(Properties!A$1:CB$87,Formula!J47,56)=0,10^6,INDEX(Properties!A$1:CB$87,Formula!J47,56)))</f>
        <v>0.75</v>
      </c>
      <c r="FS47" s="42">
        <f t="shared" si="28"/>
        <v>0.27</v>
      </c>
      <c r="FT47" s="60">
        <f>((Formula!C47)/(Formula!C47+Formula!E47+Formula!G47+Formula!I47+Formula!K47))*(INDEX(Properties!A$1:CB$87,Formula!B47,57))+((Formula!E47)/(Formula!C47+Formula!E47+Formula!G47+Formula!I47+Formula!K47))*(INDEX(Properties!A$1:CB$87,Formula!D47,57))+((Formula!G47)/(Formula!C47+Formula!E47+Formula!G47+Formula!I47+Formula!K47))*(INDEX(Properties!A$1:CB$87,Formula!F47,57))+((Formula!I47)/(Formula!C47+Formula!E47+Formula!G47+Formula!I47+Formula!K47))*(INDEX(Properties!A$1:CB$87,Formula!H47,57))+((Formula!K47)/(Formula!C47+Formula!E47+Formula!G47+Formula!I47+Formula!K47))*(INDEX(Properties!A$1:CB$87,Formula!J47,57))</f>
        <v>1.3745108333333333</v>
      </c>
      <c r="FU47" s="60">
        <f>Formula!C47*(INDEX(Properties!A$1:CB$87,Formula!B47,57))+Formula!E47*(INDEX(Properties!A$1:CB$87,Formula!D47,57))+Formula!G47*(INDEX(Properties!A$1:CB$87,Formula!F47,57))+Formula!I47*(INDEX(Properties!A$1:CB$87,Formula!H47,57))+Formula!K47*(INDEX(Properties!A$1:CB$87,Formula!J47,57))</f>
        <v>16.494129999999998</v>
      </c>
      <c r="FV47" s="60">
        <f>VARP(IF(INDEX(Properties!A$1:CB$87,Formula!B47,57)&lt;&gt;"",INDEX(Properties!A$1:CB$87,Formula!B47,57)),IF(INDEX(Properties!A$1:CB$87,Formula!D47,57)&lt;&gt;"",INDEX(Properties!A$1:CB$87,Formula!D47,57)),IF(INDEX(Properties!A$1:CB$87,Formula!F47,57)&lt;&gt;"",INDEX(Properties!A$1:CB$87,Formula!F47,57)),IF(INDEX(Properties!A$1:CB$87,Formula!H47,57)&lt;&gt;"",INDEX(Properties!A$1:CB$87,Formula!H47,57)),IF(INDEX(Properties!A$1:CB$87,Formula!J47,57)&lt;&gt;"",INDEX(Properties!A$1:CB$87,Formula!J47,57)))</f>
        <v>11.298563605296003</v>
      </c>
      <c r="FW47" s="60">
        <f>MAX(INDEX(Properties!A$1:CB$87,Formula!B47,57),INDEX(Properties!A$1:CB$87,Formula!D47,57),INDEX(Properties!A$1:CB$87,Formula!F47,57),INDEX(Properties!A$1:CB$87,Formula!H47,57),INDEX(Properties!A$1:CB$87,Formula!J47,57))</f>
        <v>8.9540000000000006</v>
      </c>
      <c r="FX47" s="60">
        <f>MIN(IF(INDEX(Properties!A$1:CB$87,Formula!B47,57)=0,10^6,INDEX(Properties!A$1:CB$87,Formula!B47,57)),IF(INDEX(Properties!A$1:CB$87,Formula!D47,57)=0,10^6,INDEX(Properties!A$1:CB$87,Formula!D47,57)),IF(INDEX(Properties!A$1:CB$87,Formula!F47,57)=0,10^6,INDEX(Properties!A$1:CB$87,Formula!F47,57)),IF(INDEX(Properties!A$1:CB$87,Formula!H47,57)=0,10^6,INDEX(Properties!A$1:CB$87,Formula!H47,57)),IF(INDEX(Properties!A$1:CB$87,Formula!J47,57)=0,10^6,INDEX(Properties!A$1:CB$87,Formula!J47,57)))</f>
        <v>0.22259000000000001</v>
      </c>
      <c r="FY47" s="60">
        <f t="shared" si="29"/>
        <v>8.7314100000000003</v>
      </c>
      <c r="FZ47" s="72">
        <f>((Formula!C47)/(Formula!C47+Formula!E47+Formula!G47+Formula!I47+Formula!K47))*(INDEX(Properties!A$1:CB$87,Formula!B47,60))+((Formula!E47)/(Formula!C47+Formula!E47+Formula!G47+Formula!I47+Formula!K47))*(INDEX(Properties!A$1:CB$87,Formula!D47,60))+((Formula!G47)/(Formula!C47+Formula!E47+Formula!G47+Formula!I47+Formula!K47))*(INDEX(Properties!A$1:CB$87,Formula!F47,60))+((Formula!I47)/(Formula!C47+Formula!E47+Formula!G47+Formula!I47+Formula!K47))*(INDEX(Properties!A$1:CB$87,Formula!H47,60))+((Formula!K47)/(Formula!C47+Formula!E47+Formula!G47+Formula!I47+Formula!K47))*(INDEX(Properties!A$1:CB$87,Formula!J47,60))</f>
        <v>30.121431666666666</v>
      </c>
      <c r="GA47" s="72">
        <f>Formula!C47*(INDEX(Properties!A$1:CB$87,Formula!B47,60))+Formula!E47*(INDEX(Properties!A$1:CB$87,Formula!D47,60))+Formula!G47*(INDEX(Properties!A$1:CB$87,Formula!F47,60))+Formula!I47*(INDEX(Properties!A$1:CB$87,Formula!H47,60))+Formula!K47*(INDEX(Properties!A$1:CB$87,Formula!J47,60))</f>
        <v>361.45718000000005</v>
      </c>
      <c r="GB47" s="72">
        <f>VARP(IF(INDEX(Properties!A$1:CB$87,Formula!B47,60)&lt;&gt;"",INDEX(Properties!A$1:CB$87,Formula!B47,60)),IF(INDEX(Properties!A$1:CB$87,Formula!D47,60)&lt;&gt;"",INDEX(Properties!A$1:CB$87,Formula!D47,60)),IF(INDEX(Properties!A$1:CB$87,Formula!F47,60)&lt;&gt;"",INDEX(Properties!A$1:CB$87,Formula!F47,60)),IF(INDEX(Properties!A$1:CB$87,Formula!H47,60)&lt;&gt;"",INDEX(Properties!A$1:CB$87,Formula!H47,60)),IF(INDEX(Properties!A$1:CB$87,Formula!J47,60)&lt;&gt;"",INDEX(Properties!A$1:CB$87,Formula!J47,60)))</f>
        <v>4288.1273584124147</v>
      </c>
      <c r="GC47" s="72">
        <f>MAX(INDEX(Properties!A$1:CB$87,Formula!B47,60),INDEX(Properties!A$1:CB$87,Formula!D47,60),INDEX(Properties!A$1:CB$87,Formula!F47,60),INDEX(Properties!A$1:CB$87,Formula!H47,60),INDEX(Properties!A$1:CB$87,Formula!J47,60))</f>
        <v>156</v>
      </c>
      <c r="GD47" s="72">
        <f>MIN(IF(INDEX(Properties!A$1:CB$87,Formula!B47,60)=0,10^6,INDEX(Properties!A$1:CB$87,Formula!B47,60)),IF(INDEX(Properties!A$1:CB$87,Formula!D47,60)=0,10^6,INDEX(Properties!A$1:CB$87,Formula!D47,60)),IF(INDEX(Properties!A$1:CB$87,Formula!F47,60)=0,10^6,INDEX(Properties!A$1:CB$87,Formula!F47,60)),IF(INDEX(Properties!A$1:CB$87,Formula!H47,60)=0,10^6,INDEX(Properties!A$1:CB$87,Formula!H47,60)),IF(INDEX(Properties!A$1:CB$87,Formula!J47,60)=0,10^6,INDEX(Properties!A$1:CB$87,Formula!J47,60)))</f>
        <v>2.674E-2</v>
      </c>
      <c r="GE47" s="72">
        <f t="shared" si="30"/>
        <v>155.97326000000001</v>
      </c>
      <c r="GF47" s="51">
        <f>((Formula!C47)/(Formula!C47+Formula!E47+Formula!G47+Formula!I47+Formula!K47))*(INDEX(Properties!A$1:CB$87,Formula!B47,62))+((Formula!E47)/(Formula!C47+Formula!E47+Formula!G47+Formula!I47+Formula!K47))*(INDEX(Properties!A$1:CB$87,Formula!D47,62))+((Formula!G47)/(Formula!C47+Formula!E47+Formula!G47+Formula!I47+Formula!K47))*(INDEX(Properties!A$1:CB$87,Formula!F47,62))+((Formula!I47)/(Formula!C47+Formula!E47+Formula!G47+Formula!I47+Formula!K47))*(INDEX(Properties!A$1:CB$87,Formula!H47,62))+((Formula!K47)/(Formula!C47+Formula!E47+Formula!G47+Formula!I47+Formula!K47))*(INDEX(Properties!A$1:CB$87,Formula!J47,62))</f>
        <v>2.3815</v>
      </c>
      <c r="GG47" s="51">
        <f>Formula!C47*(INDEX(Properties!A$1:CB$87,Formula!B47,62))+Formula!E47*(INDEX(Properties!A$1:CB$87,Formula!D47,62))+Formula!G47*(INDEX(Properties!A$1:CB$87,Formula!F47,62))+Formula!I47*(INDEX(Properties!A$1:CB$87,Formula!H47,62))+Formula!K47*(INDEX(Properties!A$1:CB$87,Formula!J47,62))</f>
        <v>28.577999999999999</v>
      </c>
      <c r="GH47" s="51">
        <f>VARP(IF(INDEX(Properties!A$1:CB$87,Formula!B47,62)&lt;&gt;"",INDEX(Properties!A$1:CB$87,Formula!B47,62)),IF(INDEX(Properties!A$1:CB$87,Formula!D47,62)&lt;&gt;"",INDEX(Properties!A$1:CB$87,Formula!D47,62)),IF(INDEX(Properties!A$1:CB$87,Formula!F47,62)&lt;&gt;"",INDEX(Properties!A$1:CB$87,Formula!F47,62)),IF(INDEX(Properties!A$1:CB$87,Formula!H47,62)&lt;&gt;"",INDEX(Properties!A$1:CB$87,Formula!H47,62)),IF(INDEX(Properties!A$1:CB$87,Formula!J47,62)&lt;&gt;"",INDEX(Properties!A$1:CB$87,Formula!J47,62)))</f>
        <v>1.4704297600000007</v>
      </c>
      <c r="GI47" s="51">
        <f>MAX(INDEX(Properties!A$1:CB$87,Formula!B47,62),INDEX(Properties!A$1:CB$87,Formula!D47,62),INDEX(Properties!A$1:CB$87,Formula!F47,62),INDEX(Properties!A$1:CB$87,Formula!H47,62),INDEX(Properties!A$1:CB$87,Formula!J47,62))</f>
        <v>3.43</v>
      </c>
      <c r="GJ47" s="51">
        <f>MIN(IF(INDEX(Properties!A$1:CB$87,Formula!B47,62)=0,10^6,INDEX(Properties!A$1:CB$87,Formula!B47,62)),IF(INDEX(Properties!A$1:CB$87,Formula!D47,62)=0,10^6,INDEX(Properties!A$1:CB$87,Formula!D47,62)),IF(INDEX(Properties!A$1:CB$87,Formula!F47,62)=0,10^6,INDEX(Properties!A$1:CB$87,Formula!F47,62)),IF(INDEX(Properties!A$1:CB$87,Formula!H47,62)=0,10^6,INDEX(Properties!A$1:CB$87,Formula!H47,62)),IF(INDEX(Properties!A$1:CB$87,Formula!J47,62)=0,10^6,INDEX(Properties!A$1:CB$87,Formula!J47,62)))</f>
        <v>0.93400000000000005</v>
      </c>
      <c r="GK47" s="51">
        <f t="shared" si="31"/>
        <v>2.496</v>
      </c>
      <c r="GL47" s="51">
        <f>Formula!P47</f>
        <v>62</v>
      </c>
      <c r="GM47" s="57">
        <f>Formula!O47</f>
        <v>3</v>
      </c>
      <c r="GN47" s="51">
        <f>Formula!N47</f>
        <v>0.02</v>
      </c>
    </row>
    <row r="48" spans="1:196" x14ac:dyDescent="0.3">
      <c r="A48" s="84" t="str">
        <f>Formula!A48</f>
        <v>Sr3NaSbO6</v>
      </c>
      <c r="B48" s="89">
        <f>((Formula!C48)/(Formula!C48+Formula!E48+Formula!G48+Formula!I48+Formula!K48))*(INDEX(Properties!A$1:CB$87,Formula!B48,3))+((Formula!E48)/(Formula!C48+Formula!E48+Formula!G48+Formula!I48+Formula!K48))*(INDEX(Properties!A$1:CB$87,Formula!D48,3))+((Formula!G48)/(Formula!C48+Formula!E48+Formula!G48+Formula!I48+Formula!K48))*(INDEX(Properties!A$1:CB$87,Formula!F48,3))+((Formula!I48)/(Formula!C48+Formula!E48+Formula!G48+Formula!I48+Formula!K48))*(INDEX(Properties!A$1:CB$87,Formula!H48,3))+((Formula!K48)/(Formula!C48+Formula!E48+Formula!G48+Formula!I48+Formula!K48))*(INDEX(Properties!A$1:CB$87,Formula!J48,3))</f>
        <v>45.782378909090909</v>
      </c>
      <c r="C48" s="85">
        <f>Formula!C48*(INDEX(Properties!A$1:CB$87,Formula!B48,3))+Formula!E48*(INDEX(Properties!A$1:CB$87,Formula!D48,3))+Formula!G48*(INDEX(Properties!A$1:CB$87,Formula!F48,3))+Formula!I48*(INDEX(Properties!A$1:CB$87,Formula!H48,3))+Formula!K48*(INDEX(Properties!A$1:CB$87,Formula!J48,3))</f>
        <v>503.60616800000003</v>
      </c>
      <c r="D48" s="85">
        <f>VARP(IF(INDEX(Properties!A$1:CB$87,Formula!B48,3)&lt;&gt;"",INDEX(Properties!A$1:CB$87,Formula!B48,3)),IF(INDEX(Properties!A$1:CB$87,Formula!D48,3)&lt;&gt;"",INDEX(Properties!A$1:CB$87,Formula!D48,3)),IF(INDEX(Properties!A$1:CB$87,Formula!F48,3)&lt;&gt;"",INDEX(Properties!A$1:CB$87,Formula!F48,3)),IF(INDEX(Properties!A$1:CB$87,Formula!H48,3)&lt;&gt;"",INDEX(Properties!A$1:CB$87,Formula!H48,3)),IF(INDEX(Properties!A$1:CB$87,Formula!J48,3)&lt;&gt;"",INDEX(Properties!A$1:CB$87,Formula!J48,3)))</f>
        <v>2189.9647020902758</v>
      </c>
      <c r="E48" s="85">
        <f>MAX(INDEX(Properties!A$1:CB$87,Formula!B48,3),INDEX(Properties!A$1:CB$87,Formula!D48,3),INDEX(Properties!A$1:CB$87,Formula!F48,3),INDEX(Properties!A$1:CB$87,Formula!H48,3),INDEX(Properties!A$1:CB$87,Formula!J48,3))</f>
        <v>121.76</v>
      </c>
      <c r="F48" s="85">
        <f>MIN(IF(INDEX(Properties!A$1:CB$87,Formula!B48,3)=0,10^6,INDEX(Properties!A$1:CB$87,Formula!B48,3)),IF(INDEX(Properties!A$1:CB$87,Formula!D48,3)=0,10^6,INDEX(Properties!A$1:CB$87,Formula!D48,3)),IF(INDEX(Properties!A$1:CB$87,Formula!F48,3)=0,10^6,INDEX(Properties!A$1:CB$87,Formula!F48,3)),IF(INDEX(Properties!A$1:CB$87,Formula!H48,3)=0,10^6,INDEX(Properties!A$1:CB$87,Formula!H48,3)),IF(INDEX(Properties!A$1:CB$87,Formula!J48,3)=0,10^6,INDEX(Properties!A$1:CB$87,Formula!J48,3)))</f>
        <v>15.9994</v>
      </c>
      <c r="G48" s="85">
        <f t="shared" si="0"/>
        <v>105.76060000000001</v>
      </c>
      <c r="H48" s="87">
        <f>((Formula!C48)/(Formula!C48+Formula!E48+Formula!G48+Formula!I48+Formula!K48))*(INDEX(Properties!A$1:CB$87,Formula!B48,4))+((Formula!E48)/(Formula!C48+Formula!E48+Formula!G48+Formula!I48+Formula!K48))*(INDEX(Properties!A$1:CB$87,Formula!D48,4))+((Formula!G48)/(Formula!C48+Formula!E48+Formula!G48+Formula!I48+Formula!K48))*(INDEX(Properties!A$1:CB$87,Formula!F48,4))+((Formula!I48)/(Formula!C48+Formula!E48+Formula!G48+Formula!I48+Formula!K48))*(INDEX(Properties!A$1:CB$87,Formula!H48,4))+((Formula!K48)/(Formula!C48+Formula!E48+Formula!G48+Formula!I48+Formula!K48))*(INDEX(Properties!A$1:CB$87,Formula!J48,4))</f>
        <v>20.363636363636363</v>
      </c>
      <c r="I48" s="87">
        <f>Formula!C48*(INDEX(Properties!A$1:CB$87,Formula!B48,4))+Formula!E48*(INDEX(Properties!A$1:CB$87,Formula!D48,4))+Formula!G48*(INDEX(Properties!A$1:CB$87,Formula!F48,4))+Formula!I48*(INDEX(Properties!A$1:CB$87,Formula!H48,4))+Formula!K48*(INDEX(Properties!A$1:CB$87,Formula!J48,4))</f>
        <v>224</v>
      </c>
      <c r="J48" s="87">
        <f>VARP(IF(INDEX(Properties!A$1:CB$87,Formula!B48,4)&lt;&gt;"",INDEX(Properties!A$1:CB$87,Formula!B48,4)),IF(INDEX(Properties!A$1:CB$87,Formula!D48,4)&lt;&gt;"",INDEX(Properties!A$1:CB$87,Formula!D48,4)),IF(INDEX(Properties!A$1:CB$87,Formula!F48,4)&lt;&gt;"",INDEX(Properties!A$1:CB$87,Formula!F48,4)),IF(INDEX(Properties!A$1:CB$87,Formula!H48,4)&lt;&gt;"",INDEX(Properties!A$1:CB$87,Formula!H48,4)),IF(INDEX(Properties!A$1:CB$87,Formula!J48,4)&lt;&gt;"",INDEX(Properties!A$1:CB$87,Formula!J48,4)))</f>
        <v>379.44</v>
      </c>
      <c r="K48" s="87">
        <f>MAX(INDEX(Properties!A$1:CB$87,Formula!B48,4),INDEX(Properties!A$1:CB$87,Formula!D48,4),INDEX(Properties!A$1:CB$87,Formula!F48,4),INDEX(Properties!A$1:CB$87,Formula!H48,4),INDEX(Properties!A$1:CB$87,Formula!J48,4))</f>
        <v>51</v>
      </c>
      <c r="L48" s="87">
        <f>MIN(IF(INDEX(Properties!A$1:CB$87,Formula!B48,4)=0,10^6,INDEX(Properties!A$1:CB$87,Formula!B48,4)),IF(INDEX(Properties!A$1:CB$87,Formula!D48,4)=0,10^6,INDEX(Properties!A$1:CB$87,Formula!D48,4)),IF(INDEX(Properties!A$1:CB$87,Formula!F48,4)=0,10^6,INDEX(Properties!A$1:CB$87,Formula!F48,4)),IF(INDEX(Properties!A$1:CB$87,Formula!H48,4)=0,10^6,INDEX(Properties!A$1:CB$87,Formula!H48,4)),IF(INDEX(Properties!A$1:CB$87,Formula!J48,4)=0,10^6,INDEX(Properties!A$1:CB$87,Formula!J48,4)))</f>
        <v>8</v>
      </c>
      <c r="M48" s="87">
        <f t="shared" si="1"/>
        <v>43</v>
      </c>
      <c r="N48" s="89">
        <f>((Formula!C48)/(Formula!C48+Formula!E48+Formula!G48+Formula!I48+Formula!K48))*(INDEX(Properties!A$1:CB$87,Formula!B48,5))+((Formula!E48)/(Formula!C48+Formula!E48+Formula!G48+Formula!I48+Formula!K48))*(INDEX(Properties!A$1:CB$87,Formula!D48,5))+((Formula!G48)/(Formula!C48+Formula!E48+Formula!G48+Formula!I48+Formula!K48))*(INDEX(Properties!A$1:CB$87,Formula!F48,5))+((Formula!I48)/(Formula!C48+Formula!E48+Formula!G48+Formula!I48+Formula!K48))*(INDEX(Properties!A$1:CB$87,Formula!H48,5))+((Formula!K48)/(Formula!C48+Formula!E48+Formula!G48+Formula!I48+Formula!K48))*(INDEX(Properties!A$1:CB$87,Formula!J48,5))</f>
        <v>3.1818181818181817</v>
      </c>
      <c r="O48" s="89">
        <f>Formula!C48*(INDEX(Properties!A$1:CB$87,Formula!B48,5))+Formula!E48*(INDEX(Properties!A$1:CB$87,Formula!D48,5))+Formula!G48*(INDEX(Properties!A$1:CB$87,Formula!F48,5))+Formula!I48*(INDEX(Properties!A$1:CB$87,Formula!H48,5))+Formula!K48*(INDEX(Properties!A$1:CB$87,Formula!J48,5))</f>
        <v>35</v>
      </c>
      <c r="P48" s="89">
        <f>VARP(IF(INDEX(Properties!A$1:CB$87,Formula!B48,5)&lt;&gt;"",INDEX(Properties!A$1:CB$87,Formula!B48,5)),IF(INDEX(Properties!A$1:CB$87,Formula!D48,5)&lt;&gt;"",INDEX(Properties!A$1:CB$87,Formula!D48,5)),IF(INDEX(Properties!A$1:CB$87,Formula!F48,5)&lt;&gt;"",INDEX(Properties!A$1:CB$87,Formula!F48,5)),IF(INDEX(Properties!A$1:CB$87,Formula!H48,5)&lt;&gt;"",INDEX(Properties!A$1:CB$87,Formula!H48,5)),IF(INDEX(Properties!A$1:CB$87,Formula!J48,5)&lt;&gt;"",INDEX(Properties!A$1:CB$87,Formula!J48,5)))</f>
        <v>3.6</v>
      </c>
      <c r="Q48" s="89">
        <f>MAX(INDEX(Properties!A$1:CB$87,Formula!B48,5),INDEX(Properties!A$1:CB$87,Formula!D48,5),INDEX(Properties!A$1:CB$87,Formula!F48,5),INDEX(Properties!A$1:CB$87,Formula!H48,5),INDEX(Properties!A$1:CB$87,Formula!J48,5))</f>
        <v>5</v>
      </c>
      <c r="R48" s="89">
        <f>MIN(IF(INDEX(Properties!A$1:CB$87,Formula!B48,5)=0,10^6,INDEX(Properties!A$1:CB$87,Formula!B48,5)),IF(INDEX(Properties!A$1:CB$87,Formula!D48,5)=0,10^6,INDEX(Properties!A$1:CB$87,Formula!D48,5)),IF(INDEX(Properties!A$1:CB$87,Formula!F48,5)=0,10^6,INDEX(Properties!A$1:CB$87,Formula!F48,5)),IF(INDEX(Properties!A$1:CB$87,Formula!H48,5)=0,10^6,INDEX(Properties!A$1:CB$87,Formula!H48,5)),IF(INDEX(Properties!A$1:CB$87,Formula!J48,5)=0,10^6,INDEX(Properties!A$1:CB$87,Formula!J48,5)))</f>
        <v>2</v>
      </c>
      <c r="S48" s="89">
        <f t="shared" si="2"/>
        <v>3</v>
      </c>
      <c r="T48" s="60">
        <f>((Formula!C48)/(Formula!C48+Formula!E48+Formula!G48+Formula!I48+Formula!K48))*(INDEX(Properties!A$1:CB$87,Formula!B48,6))+((Formula!E48)/(Formula!C48+Formula!E48+Formula!G48+Formula!I48+Formula!K48))*(INDEX(Properties!A$1:CB$87,Formula!D48,6))+((Formula!G48)/(Formula!C48+Formula!E48+Formula!G48+Formula!I48+Formula!K48))*(INDEX(Properties!A$1:CB$87,Formula!F48,6))+((Formula!I48)/(Formula!C48+Formula!E48+Formula!G48+Formula!I48+Formula!K48))*(INDEX(Properties!A$1:CB$87,Formula!H48,6))+((Formula!K48)/(Formula!C48+Formula!E48+Formula!G48+Formula!I48+Formula!K48))*(INDEX(Properties!A$1:CB$87,Formula!J48,6))</f>
        <v>10.727272727272727</v>
      </c>
      <c r="U48" s="60">
        <f>Formula!C48*(INDEX(Properties!A$1:CB$87,Formula!B48,6))+Formula!E48*(INDEX(Properties!A$1:CB$87,Formula!D48,6))+Formula!G48*(INDEX(Properties!A$1:CB$87,Formula!F48,6))+Formula!I48*(INDEX(Properties!A$1:CB$87,Formula!H48,6))+Formula!K48*(INDEX(Properties!A$1:CB$87,Formula!J48,6))</f>
        <v>118</v>
      </c>
      <c r="V48" s="89">
        <f>VARP(IF(INDEX(Properties!A$1:CB$87,Formula!B48,6)&lt;&gt;"",INDEX(Properties!A$1:CB$87,Formula!B48,6)),IF(INDEX(Properties!A$1:CB$87,Formula!D48,6)&lt;&gt;"",INDEX(Properties!A$1:CB$87,Formula!D48,6)),IF(INDEX(Properties!A$1:CB$87,Formula!F48,6)&lt;&gt;"",INDEX(Properties!A$1:CB$87,Formula!F48,6)),IF(INDEX(Properties!A$1:CB$87,Formula!H48,6)&lt;&gt;"",INDEX(Properties!A$1:CB$87,Formula!H48,6)),IF(INDEX(Properties!A$1:CB$87,Formula!J48,6)&lt;&gt;"",INDEX(Properties!A$1:CB$87,Formula!J48,6)))</f>
        <v>50.96</v>
      </c>
      <c r="W48" s="60">
        <f>MAX(INDEX(Properties!A$1:CB$87,Formula!B48,6),INDEX(Properties!A$1:CB$87,Formula!D48,6),INDEX(Properties!A$1:CB$87,Formula!F48,6),INDEX(Properties!A$1:CB$87,Formula!H48,4),INDEX(Properties!A$1:CB$87,Formula!J48,6))</f>
        <v>15</v>
      </c>
      <c r="X48" s="60">
        <f>MIN(IF(INDEX(Properties!A$1:CB$87,Formula!B48,6)=0,10^6,INDEX(Properties!A$1:CB$87,Formula!B48,6)),IF(INDEX(Properties!A$1:CB$87,Formula!D48,6)=0,10^6,INDEX(Properties!A$1:CB$87,Formula!D48,6)),IF(INDEX(Properties!A$1:CB$87,Formula!F48,6)=0,10^6,INDEX(Properties!A$1:CB$87,Formula!F48,6)),IF(INDEX(Properties!A$1:CB$87,Formula!H48,6)=0,10^6,INDEX(Properties!A$1:CB$87,Formula!H48,6)),IF(INDEX(Properties!A$1:CB$87,Formula!J48,6)=0,10^6,INDEX(Properties!A$1:CB$87,Formula!J48,6)))</f>
        <v>1</v>
      </c>
      <c r="Y48" s="60">
        <f t="shared" si="3"/>
        <v>14</v>
      </c>
      <c r="Z48" s="72">
        <f>((Formula!C48)/(Formula!C48+Formula!E48+Formula!G48+Formula!I48+Formula!K48))*(INDEX(Properties!A$1:CB$87,Formula!B48,9))+((Formula!E48)/(Formula!C48+Formula!E48+Formula!G48+Formula!I48+Formula!K48))*(INDEX(Properties!A$1:CB$87,Formula!D48,9))+((Formula!G48)/(Formula!C48+Formula!E48+Formula!G48+Formula!I48+Formula!K48))*(INDEX(Properties!A$1:CB$87,Formula!F48,9))+((Formula!I48)/(Formula!C48+Formula!E48+Formula!G48+Formula!I48+Formula!K48))*(INDEX(Properties!A$1:CB$87,Formula!H48,9))+((Formula!K48)/(Formula!C48+Formula!E48+Formula!G48+Formula!I48+Formula!K48))*(INDEX(Properties!A$1:CB$87,Formula!J48,9))</f>
        <v>57.545454545454547</v>
      </c>
      <c r="AA48" s="72">
        <f>Formula!C48*(INDEX(Properties!A$1:CB$87,Formula!B48,9))+Formula!E48*(INDEX(Properties!A$1:CB$87,Formula!D48,9))+Formula!G48*(INDEX(Properties!A$1:CB$87,Formula!F48,9))+Formula!I48*(INDEX(Properties!A$1:CB$87,Formula!H48,9))+Formula!K48*(INDEX(Properties!A$1:CB$87,Formula!J48,9))</f>
        <v>633</v>
      </c>
      <c r="AB48" s="72">
        <f>VARP(IF(INDEX(Properties!A$1:CB$87,Formula!B48,9)&lt;&gt;"",INDEX(Properties!A$1:CB$87,Formula!B48,9)),IF(INDEX(Properties!A$1:CB$87,Formula!D48,9)&lt;&gt;"",INDEX(Properties!A$1:CB$87,Formula!D48,9)),IF(INDEX(Properties!A$1:CB$87,Formula!F48,9)&lt;&gt;"",INDEX(Properties!A$1:CB$87,Formula!F48,9)),IF(INDEX(Properties!A$1:CB$87,Formula!H48,9)&lt;&gt;"",INDEX(Properties!A$1:CB$87,Formula!H48,9)),IF(INDEX(Properties!A$1:CB$87,Formula!J48,9)&lt;&gt;"",INDEX(Properties!A$1:CB$87,Formula!J48,9)))</f>
        <v>1647.44</v>
      </c>
      <c r="AC48" s="72">
        <f>MAX(INDEX(Properties!A$1:CB$87,Formula!B48,9),INDEX(Properties!A$1:CB$87,Formula!D48,9),INDEX(Properties!A$1:CB$87,Formula!F48,9),INDEX(Properties!A$1:CB$87,Formula!H48,9),INDEX(Properties!A$1:CB$87,Formula!J48,9))</f>
        <v>87</v>
      </c>
      <c r="AD48" s="72">
        <f>MIN(IF(INDEX(Properties!A$1:CB$87,Formula!B48,9)=0,10^6,INDEX(Properties!A$1:CB$87,Formula!B48,9)),IF(INDEX(Properties!A$1:CB$87,Formula!D48,9)=0,10^6,INDEX(Properties!A$1:CB$87,Formula!D48,9)),IF(INDEX(Properties!A$1:CB$87,Formula!F48,9)=0,10^6,INDEX(Properties!A$1:CB$87,Formula!F48,9)),IF(INDEX(Properties!A$1:CB$87,Formula!H48,9)=0,10^6,INDEX(Properties!A$1:CB$87,Formula!H48,9)),IF(INDEX(Properties!A$1:CB$87,Formula!J48,9)=0,10^6,INDEX(Properties!A$1:CB$87,Formula!J48,9)))</f>
        <v>2</v>
      </c>
      <c r="AE48" s="72">
        <f t="shared" si="4"/>
        <v>85</v>
      </c>
      <c r="AF48" s="51">
        <f>((Formula!C48)/(Formula!C48+Formula!E48+Formula!G48+Formula!I48+Formula!K48))*(INDEX(Properties!A$1:CB$87,Formula!B48,10))+((Formula!E48)/(Formula!C48+Formula!E48+Formula!G48+Formula!I48+Formula!K48))*(INDEX(Properties!A$1:CB$87,Formula!D48,10))+((Formula!G48)/(Formula!C48+Formula!E48+Formula!G48+Formula!I48+Formula!K48))*(INDEX(Properties!A$1:CB$87,Formula!F48,10))+((Formula!I48)/(Formula!C48+Formula!E48+Formula!G48+Formula!I48+Formula!K48))*(INDEX(Properties!A$1:CB$87,Formula!H48,10))+((Formula!K48)/(Formula!C48+Formula!E48+Formula!G48+Formula!I48+Formula!K48))*(INDEX(Properties!A$1:CB$87,Formula!J48,10))</f>
        <v>5</v>
      </c>
      <c r="AG48" s="51">
        <f>Formula!C48*(INDEX(Properties!A$1:CB$87,Formula!B48,10))+Formula!E48*(INDEX(Properties!A$1:CB$87,Formula!D48,10))+Formula!G48*(INDEX(Properties!A$1:CB$87,Formula!F48,10))+Formula!I48*(INDEX(Properties!A$1:CB$87,Formula!H48,10))+Formula!K48*(INDEX(Properties!A$1:CB$87,Formula!J48,10))</f>
        <v>55</v>
      </c>
      <c r="AH48" s="51">
        <f>VARP(IF(INDEX(Properties!A$1:CB$87,Formula!B48,10)&lt;&gt;"",INDEX(Properties!A$1:CB$87,Formula!B48,10)),IF(INDEX(Properties!A$1:CB$87,Formula!D48,10)&lt;&gt;"",INDEX(Properties!A$1:CB$87,Formula!D48,10)),IF(INDEX(Properties!A$1:CB$87,Formula!F48,10)&lt;&gt;"",INDEX(Properties!A$1:CB$87,Formula!F48,10)),IF(INDEX(Properties!A$1:CB$87,Formula!H48,10)&lt;&gt;"",INDEX(Properties!A$1:CB$87,Formula!H48,10)),IF(INDEX(Properties!A$1:CB$87,Formula!J48,10)&lt;&gt;"",INDEX(Properties!A$1:CB$87,Formula!J48,10)))</f>
        <v>7.76</v>
      </c>
      <c r="AI48" s="51">
        <f>MAX(INDEX(Properties!A$1:CB$87,Formula!B48,10),INDEX(Properties!A$1:CB$87,Formula!D48,10),INDEX(Properties!A$1:CB$87,Formula!F48,10),INDEX(Properties!A$1:CB$87,Formula!H48,10),INDEX(Properties!A$1:CB$87,Formula!J48,10))</f>
        <v>7</v>
      </c>
      <c r="AJ48" s="51">
        <f>MIN(IF(INDEX(Properties!A$1:CB$87,Formula!B48,10)=0,10^6,INDEX(Properties!A$1:CB$87,Formula!B48,10)),IF(INDEX(Properties!A$1:CB$87,Formula!D48,10)=0,10^6,INDEX(Properties!A$1:CB$87,Formula!D48,10)),IF(INDEX(Properties!A$1:CB$87,Formula!F48,10)=0,10^6,INDEX(Properties!A$1:CB$87,Formula!F48,10)),IF(INDEX(Properties!A$1:CB$87,Formula!H48,10)=0,10^6,INDEX(Properties!A$1:CB$87,Formula!H48,10)),IF(INDEX(Properties!A$1:CB$87,Formula!J48,10)=0,10^6,INDEX(Properties!A$1:CB$87,Formula!J48,10)))</f>
        <v>1</v>
      </c>
      <c r="AK48" s="51">
        <f t="shared" si="5"/>
        <v>6</v>
      </c>
      <c r="AL48" s="57">
        <f>((Formula!C48)/(Formula!C48+Formula!E48+Formula!G48+Formula!I48+Formula!K48))*(INDEX(Properties!A$1:CB$87,Formula!B48,11))+((Formula!E48)/(Formula!C48+Formula!E48+Formula!G48+Formula!I48+Formula!K48))*(INDEX(Properties!A$1:CB$87,Formula!D48,11))+((Formula!G48)/(Formula!C48+Formula!E48+Formula!G48+Formula!I48+Formula!K48))*(INDEX(Properties!A$1:CB$87,Formula!F48,11))+((Formula!I48)/(Formula!C48+Formula!E48+Formula!G48+Formula!I48+Formula!K48))*(INDEX(Properties!A$1:CB$87,Formula!H48,11))+((Formula!K48)/(Formula!C48+Formula!E48+Formula!G48+Formula!I48+Formula!K48))*(INDEX(Properties!A$1:CB$87,Formula!J48,11))</f>
        <v>1.9090909090909089</v>
      </c>
      <c r="AM48" s="57">
        <f>Formula!C48*(INDEX(Properties!A$1:CB$87,Formula!B48,11))+Formula!E48*(INDEX(Properties!A$1:CB$87,Formula!D48,11))+Formula!G48*(INDEX(Properties!A$1:CB$87,Formula!F48,11))+Formula!I48*(INDEX(Properties!A$1:CB$87,Formula!H48,11))+Formula!K48*(INDEX(Properties!A$1:CB$87,Formula!J48,11))</f>
        <v>21</v>
      </c>
      <c r="AN48" s="57">
        <f>VARP(IF(INDEX(Properties!A$1:CB$87,Formula!B48,11)&lt;&gt;"",INDEX(Properties!A$1:CB$87,Formula!B48,11)),IF(INDEX(Properties!A$1:CB$87,Formula!D48,11)&lt;&gt;"",INDEX(Properties!A$1:CB$87,Formula!D48,11)),IF(INDEX(Properties!A$1:CB$87,Formula!F48,11)&lt;&gt;"",INDEX(Properties!A$1:CB$87,Formula!F48,11)),IF(INDEX(Properties!A$1:CB$87,Formula!H48,11)&lt;&gt;"",INDEX(Properties!A$1:CB$87,Formula!H48,11)),IF(INDEX(Properties!A$1:CB$87,Formula!J48,11)&lt;&gt;"",INDEX(Properties!A$1:CB$87,Formula!J48,11)))</f>
        <v>0.64</v>
      </c>
      <c r="AO48" s="57">
        <f>MAX(INDEX(Properties!A$1:CB$87,Formula!B48,11),INDEX(Properties!A$1:CB$87,Formula!D48,11),INDEX(Properties!A$1:CB$87,Formula!F48,11),INDEX(Properties!A$1:CB$87,Formula!H48,11),INDEX(Properties!A$1:CB$87,Formula!J48,11))</f>
        <v>2</v>
      </c>
      <c r="AP48" s="57">
        <f>MIN(IF(Formula!B48=87,10^6,INDEX(Properties!A$1:CB$87,Formula!B48,11)),IF((Formula!D48)=87,10^6,INDEX(Properties!A$1:CB$87,Formula!D48,11)),IF((Formula!F48)=87,10^6,INDEX(Properties!A$1:CB$87,Formula!F48,11)),IF((Formula!H48)=87,10^6,INDEX(Properties!A$1:CB$87,Formula!H48,11)),IF(Formula!J48=87,10^6,INDEX(Properties!A$1:CB$87,Formula!J48,11)))</f>
        <v>1</v>
      </c>
      <c r="AQ48" s="57">
        <f t="shared" si="6"/>
        <v>1</v>
      </c>
      <c r="AR48" s="78">
        <f>((Formula!C48)/(Formula!C48+Formula!E48+Formula!G48+Formula!I48+Formula!K48))*(INDEX(Properties!A$1:CB$87,Formula!B48,12))+((Formula!E48)/(Formula!C48+Formula!E48+Formula!G48+Formula!I48+Formula!K48))*(INDEX(Properties!A$1:CB$87,Formula!D48,12))+((Formula!G48)/(Formula!C48+Formula!E48+Formula!G48+Formula!I48+Formula!K48))*(INDEX(Properties!A$1:CB$87,Formula!F48,12))+((Formula!I48)/(Formula!C48+Formula!E48+Formula!G48+Formula!I48+Formula!K48))*(INDEX(Properties!A$1:CB$87,Formula!H48,12))+((Formula!K48)/(Formula!C48+Formula!E48+Formula!G48+Formula!I48+Formula!K48))*(INDEX(Properties!A$1:CB$87,Formula!J48,12))</f>
        <v>2.4545454545454541</v>
      </c>
      <c r="AS48" s="78">
        <f>Formula!C48*(INDEX(Properties!A$1:CB$87,Formula!B48,12))+Formula!E48*(INDEX(Properties!A$1:CB$87,Formula!D48,12))+Formula!G48*(INDEX(Properties!A$1:CB$87,Formula!F48,12))+Formula!I48*(INDEX(Properties!A$1:CB$87,Formula!H48,12))+Formula!K48*(INDEX(Properties!A$1:CB$87,Formula!J48,12))</f>
        <v>27</v>
      </c>
      <c r="AT48" s="78">
        <f>VARP(IF(INDEX(Properties!A$1:CB$87,Formula!B48,12)&lt;&gt;"",INDEX(Properties!A$1:CB$87,Formula!B48,12)),IF(INDEX(Properties!A$1:CB$87,Formula!D48,12)&lt;&gt;"",INDEX(Properties!A$1:CB$87,Formula!D48,12)),IF(INDEX(Properties!A$1:CB$87,Formula!F48,12)&lt;&gt;"",INDEX(Properties!A$1:CB$87,Formula!F48,12)),IF(INDEX(Properties!A$1:CB$87,Formula!H48,12)&lt;&gt;"",INDEX(Properties!A$1:CB$87,Formula!H48,12)),IF(INDEX(Properties!A$1:CB$87,Formula!J48,12)&lt;&gt;"",INDEX(Properties!A$1:CB$87,Formula!J48,12)))</f>
        <v>3.04</v>
      </c>
      <c r="AU48" s="78">
        <f>MAX(INDEX(Properties!A$1:CB$87,Formula!B48,12),INDEX(Properties!A$1:CB$87,Formula!D48,12),INDEX(Properties!A$1:CB$87,Formula!F48,12),INDEX(Properties!A$1:CB$87,Formula!H48,12),INDEX(Properties!A$1:CB$87,Formula!J48,12))</f>
        <v>4</v>
      </c>
      <c r="AV48" s="78">
        <f>MIN(IF(Formula!B48=87,10^6,INDEX(Properties!A$1:CB$87,Formula!B48,12)),IF((Formula!D48)=87,10^6,INDEX(Properties!A$1:CB$87,Formula!D48,12)),IF((Formula!F48)=87,10^6,INDEX(Properties!A$1:CB$87,Formula!F48,12)),IF((Formula!H48)=87,10^6,INDEX(Properties!A$1:CB$87,Formula!H48,12)),IF(Formula!J48=87,10^6,INDEX(Properties!A$1:CB$87,Formula!J48,12)))</f>
        <v>0</v>
      </c>
      <c r="AW48" s="78">
        <f t="shared" si="7"/>
        <v>4</v>
      </c>
      <c r="AX48" s="45">
        <f>((Formula!C48)/(Formula!C48+Formula!E48+Formula!G48+Formula!I48+Formula!K48))*(INDEX(Properties!A$1:CB$87,Formula!B48,13))+((Formula!E48)/(Formula!C48+Formula!E48+Formula!G48+Formula!I48+Formula!K48))*(INDEX(Properties!A$1:CB$87,Formula!D48,13))+((Formula!G48)/(Formula!C48+Formula!E48+Formula!G48+Formula!I48+Formula!K48))*(INDEX(Properties!A$1:CB$87,Formula!F48,13))+((Formula!I48)/(Formula!C48+Formula!E48+Formula!G48+Formula!I48+Formula!K48))*(INDEX(Properties!A$1:CB$87,Formula!H48,13))+((Formula!K48)/(Formula!C48+Formula!E48+Formula!G48+Formula!I48+Formula!K48))*(INDEX(Properties!A$1:CB$87,Formula!J48,13))</f>
        <v>0.90909090909090917</v>
      </c>
      <c r="AY48" s="45">
        <f>Formula!C48*(INDEX(Properties!A$1:CB$87,Formula!B48,13))+Formula!E48*(INDEX(Properties!A$1:CB$87,Formula!D48,13))+Formula!G48*(INDEX(Properties!A$1:CB$87,Formula!F48,13))+Formula!I48*(INDEX(Properties!A$1:CB$87,Formula!H48,13))+Formula!K48*(INDEX(Properties!A$1:CB$87,Formula!J48,13))</f>
        <v>10</v>
      </c>
      <c r="AZ48" s="45">
        <f>VARP(IF(INDEX(Properties!A$1:CB$87,Formula!B48,13)&lt;&gt;"",INDEX(Properties!A$1:CB$87,Formula!B48,13)),IF(INDEX(Properties!A$1:CB$87,Formula!D48,13)&lt;&gt;"",INDEX(Properties!A$1:CB$87,Formula!D48,13)),IF(INDEX(Properties!A$1:CB$87,Formula!F48,13)&lt;&gt;"",INDEX(Properties!A$1:CB$87,Formula!F48,13)),IF(INDEX(Properties!A$1:CB$87,Formula!H48,13)&lt;&gt;"",INDEX(Properties!A$1:CB$87,Formula!H48,13)),IF(INDEX(Properties!A$1:CB$87,Formula!J48,13)&lt;&gt;"",INDEX(Properties!A$1:CB$87,Formula!J48,13)))</f>
        <v>16</v>
      </c>
      <c r="BA48" s="45">
        <f>MAX(INDEX(Properties!A$1:CB$87,Formula!B48,13),INDEX(Properties!A$1:CB$87,Formula!D48,13),INDEX(Properties!A$1:CB$87,Formula!F48,13),INDEX(Properties!A$1:CB$87,Formula!H48,13),INDEX(Properties!A$1:CB$87,Formula!J48,13))</f>
        <v>10</v>
      </c>
      <c r="BB48" s="45">
        <f>MIN(IF(Formula!B48=87,10^6,INDEX(Properties!A$1:CB$87,Formula!B48,13)),IF((Formula!D48)=87,10^6,INDEX(Properties!A$1:CB$87,Formula!D48,13)),IF((Formula!F48)=87,10^6,INDEX(Properties!A$1:CB$87,Formula!F48,13)),IF((Formula!H48)=87,10^6,INDEX(Properties!A$1:CB$87,Formula!H48,13)),IF(Formula!J48=87,10^6,INDEX(Properties!A$1:CB$87,Formula!J48,13)))</f>
        <v>0</v>
      </c>
      <c r="BC48" s="45">
        <f t="shared" si="8"/>
        <v>10</v>
      </c>
      <c r="BD48" s="63">
        <f>((Formula!C48)/(Formula!C48+Formula!E48+Formula!G48+Formula!I48+Formula!K48))*(INDEX(Properties!A$1:CB$87,Formula!B48,14))+((Formula!E48)/(Formula!C48+Formula!E48+Formula!G48+Formula!I48+Formula!K48))*(INDEX(Properties!A$1:CB$87,Formula!D48,14))+((Formula!G48)/(Formula!C48+Formula!E48+Formula!G48+Formula!I48+Formula!K48))*(INDEX(Properties!A$1:CB$87,Formula!F48,14))+((Formula!I48)/(Formula!C48+Formula!E48+Formula!G48+Formula!I48+Formula!K48))*(INDEX(Properties!A$1:CB$87,Formula!H48,14))+((Formula!K48)/(Formula!C48+Formula!E48+Formula!G48+Formula!I48+Formula!K48))*(INDEX(Properties!A$1:CB$87,Formula!J48,14))</f>
        <v>0</v>
      </c>
      <c r="BE48" s="63">
        <f>Formula!C48*(INDEX(Properties!A$1:CB$87,Formula!B48,14))+Formula!E48*(INDEX(Properties!A$1:CB$87,Formula!D48,14))+Formula!G48*(INDEX(Properties!A$1:CB$87,Formula!F48,14))+Formula!I48*(INDEX(Properties!A$1:CB$87,Formula!H48,14))+Formula!K48*(INDEX(Properties!A$1:CB$87,Formula!J48,14))</f>
        <v>0</v>
      </c>
      <c r="BF48" s="63">
        <f>VARP(IF(INDEX(Properties!A$1:CB$87,Formula!B48,14)&lt;&gt;"",INDEX(Properties!A$1:CB$87,Formula!B48,14)),IF(INDEX(Properties!A$1:CB$87,Formula!D48,14)&lt;&gt;"",INDEX(Properties!A$1:CB$87,Formula!D48,14)),IF(INDEX(Properties!A$1:CB$87,Formula!F48,14)&lt;&gt;"",INDEX(Properties!A$1:CB$87,Formula!F48,14)),IF(INDEX(Properties!A$1:CB$87,Formula!H48,14)&lt;&gt;"",INDEX(Properties!A$1:CB$87,Formula!H48,14)),IF(INDEX(Properties!A$1:CB$87,Formula!J48,14)&lt;&gt;"",INDEX(Properties!A$1:CB$87,Formula!J48,14)))</f>
        <v>0</v>
      </c>
      <c r="BG48" s="63">
        <f>MAX(INDEX(Properties!A$1:CB$87,Formula!B48,14),INDEX(Properties!A$1:CB$87,Formula!D48,14),INDEX(Properties!A$1:CB$87,Formula!F48,14),INDEX(Properties!A$1:CB$87,Formula!H48,14),INDEX(Properties!A$1:CB$87,Formula!J48,14))</f>
        <v>0</v>
      </c>
      <c r="BH48" s="63">
        <f>MIN(IF(Formula!B48=87,10^6,INDEX(Properties!A$1:CB$87,Formula!B48,14)),IF((Formula!D48)=87,10^6,INDEX(Properties!A$1:CB$87,Formula!D48,14)),IF((Formula!F48)=87,10^6,INDEX(Properties!A$1:CB$87,Formula!F48,14)),IF((Formula!H48)=87,10^6,INDEX(Properties!A$1:CB$87,Formula!H48,14)),IF(Formula!J48=87,10^6,INDEX(Properties!A$1:CB$87,Formula!J48,14)))</f>
        <v>0</v>
      </c>
      <c r="BI48" s="63">
        <f t="shared" si="9"/>
        <v>0</v>
      </c>
      <c r="BJ48" s="75">
        <f>((Formula!C48)/(Formula!C48+Formula!E48+Formula!G48+Formula!I48+Formula!K48))*(INDEX(Properties!A$1:CB$87,Formula!B48,19))+((Formula!E48)/(Formula!C48+Formula!E48+Formula!G48+Formula!I48+Formula!K48))*(INDEX(Properties!A$1:CB$87,Formula!D48,19))+((Formula!G48)/(Formula!C48+Formula!E48+Formula!G48+Formula!I48+Formula!K48))*(INDEX(Properties!A$1:CB$87,Formula!F48,19))+((Formula!I48)/(Formula!C48+Formula!E48+Formula!G48+Formula!I48+Formula!K48))*(INDEX(Properties!A$1:CB$87,Formula!H48,19))+((Formula!K48)/(Formula!C48+Formula!E48+Formula!G48+Formula!I48+Formula!K48))*(INDEX(Properties!A$1:CB$87,Formula!J48,19))</f>
        <v>5.2727272727272725</v>
      </c>
      <c r="BK48" s="75">
        <f>Formula!C48*(INDEX(Properties!A$1:CB$87,Formula!B48,19))+Formula!E48*(INDEX(Properties!A$1:CB$87,Formula!D48,19))+Formula!G48*(INDEX(Properties!A$1:CB$87,Formula!F48,19))+Formula!I48*(INDEX(Properties!A$1:CB$87,Formula!H48,19))+Formula!K48*(INDEX(Properties!A$1:CB$87,Formula!J48,19))</f>
        <v>58</v>
      </c>
      <c r="BL48" s="75">
        <f>VARP(IF(INDEX(Properties!A$1:CB$87,Formula!B48,19)&lt;&gt;"",INDEX(Properties!A$1:CB$87,Formula!B48,19)),IF(INDEX(Properties!A$1:CB$87,Formula!D48,19)&lt;&gt;"",INDEX(Properties!A$1:CB$87,Formula!D48,19)),IF(INDEX(Properties!A$1:CB$87,Formula!F48,19)&lt;&gt;"",INDEX(Properties!A$1:CB$87,Formula!F48,19)),IF(INDEX(Properties!A$1:CB$87,Formula!H48,19)&lt;&gt;"",INDEX(Properties!A$1:CB$87,Formula!H48,19)),IF(INDEX(Properties!A$1:CB$87,Formula!J48,19)&lt;&gt;"",INDEX(Properties!A$1:CB$87,Formula!J48,19)))</f>
        <v>30.16</v>
      </c>
      <c r="BM48" s="75">
        <f>MAX(INDEX(Properties!A$1:CB$87,Formula!B48,19),INDEX(Properties!A$1:CB$87,Formula!D48,19),INDEX(Properties!A$1:CB$87,Formula!F48,19),INDEX(Properties!A$1:CB$87,Formula!H48,19),INDEX(Properties!A$1:CB$87,Formula!J48,19))</f>
        <v>15</v>
      </c>
      <c r="BN48" s="75">
        <f>MIN(IF(INDEX(Properties!A$1:CB$87,Formula!B48,19)=0,10^6,INDEX(Properties!A$1:CB$87,Formula!B48,19)),IF(INDEX(Properties!A$1:CB$87,Formula!D48,19)=0,10^6,INDEX(Properties!A$1:CB$87,Formula!D48,19)),IF(INDEX(Properties!A$1:CB$87,Formula!F48,19)=0,10^6,INDEX(Properties!A$1:CB$87,Formula!F48,19)),IF(INDEX(Properties!A$1:CB$87,Formula!H48,19)=0,10^6,INDEX(Properties!A$1:CB$87,Formula!H48,19)),IF(INDEX(Properties!A$1:CB$87,Formula!J48,19)=0,10^6,INDEX(Properties!A$1:CB$87,Formula!J48,19)))</f>
        <v>1</v>
      </c>
      <c r="BO48" s="75">
        <f t="shared" si="10"/>
        <v>14</v>
      </c>
      <c r="BP48" s="48">
        <f>((Formula!C48)/(Formula!C48+Formula!E48+Formula!G48+Formula!I48+Formula!K48))*(INDEX(Properties!A$1:CB$87,Formula!B48,20))+((Formula!E48)/(Formula!C48+Formula!E48+Formula!G48+Formula!I48+Formula!K48))*(INDEX(Properties!A$1:CB$87,Formula!D48,20))+((Formula!G48)/(Formula!C48+Formula!E48+Formula!G48+Formula!I48+Formula!K48))*(INDEX(Properties!A$1:CB$87,Formula!F48,20))+((Formula!I48)/(Formula!C48+Formula!E48+Formula!G48+Formula!I48+Formula!K48))*(INDEX(Properties!A$1:CB$87,Formula!H48,20))+((Formula!K48)/(Formula!C48+Formula!E48+Formula!G48+Formula!I48+Formula!K48))*(INDEX(Properties!A$1:CB$87,Formula!J48,20))</f>
        <v>4.3636363636363633</v>
      </c>
      <c r="BQ48" s="48">
        <f>Formula!C48*(INDEX(Properties!A$1:CB$87,Formula!B48,20))+Formula!E48*(INDEX(Properties!A$1:CB$87,Formula!D48,20))+Formula!G48*(INDEX(Properties!A$1:CB$87,Formula!F48,20))+Formula!I48*(INDEX(Properties!A$1:CB$87,Formula!H48,20))+Formula!K48*(INDEX(Properties!A$1:CB$87,Formula!J48,20))</f>
        <v>48</v>
      </c>
      <c r="BR48" s="48">
        <f>VARP(IF(INDEX(Properties!A$1:CB$87,Formula!B48,20)&lt;&gt;"",INDEX(Properties!A$1:CB$87,Formula!B48,20)),IF(INDEX(Properties!A$1:CB$87,Formula!D48,20)&lt;&gt;"",INDEX(Properties!A$1:CB$87,Formula!D48,20)),IF(INDEX(Properties!A$1:CB$87,Formula!F48,20)&lt;&gt;"",INDEX(Properties!A$1:CB$87,Formula!F48,20)),IF(INDEX(Properties!A$1:CB$87,Formula!H48,20)&lt;&gt;"",INDEX(Properties!A$1:CB$87,Formula!H48,20)),IF(INDEX(Properties!A$1:CB$87,Formula!J48,20)&lt;&gt;"",INDEX(Properties!A$1:CB$87,Formula!J48,20)))</f>
        <v>5.36</v>
      </c>
      <c r="BS48" s="48">
        <f>MAX(INDEX(Properties!A$1:CB$87,Formula!B48,20),INDEX(Properties!A$1:CB$87,Formula!D48,20),INDEX(Properties!A$1:CB$87,Formula!F48,20),INDEX(Properties!A$1:CB$87,Formula!H48,20),INDEX(Properties!A$1:CB$87,Formula!J48,20))</f>
        <v>6</v>
      </c>
      <c r="BT48" s="48">
        <f>MIN(IF(INDEX(Properties!A$1:CB$87,Formula!B48,20)=0,10^6,INDEX(Properties!A$1:CB$87,Formula!B48,20)),IF(INDEX(Properties!A$1:CB$87,Formula!D48,20)=0,10^6,INDEX(Properties!A$1:CB$87,Formula!D48,20)),IF(INDEX(Properties!A$1:CB$87,Formula!F48,20)=0,10^6,INDEX(Properties!A$1:CB$87,Formula!F48,20)),IF(INDEX(Properties!A$1:CB$87,Formula!H48,20)=0,10^6,INDEX(Properties!A$1:CB$87,Formula!H48,20)),IF(INDEX(Properties!A$1:CB$87,Formula!J48,20)=0,10^6,INDEX(Properties!A$1:CB$87,Formula!J48,20)))</f>
        <v>1</v>
      </c>
      <c r="BU48" s="48">
        <f t="shared" si="11"/>
        <v>5</v>
      </c>
      <c r="BV48" s="66">
        <f>((Formula!C48)/(Formula!C48+Formula!E48+Formula!G48+Formula!I48+Formula!K48))*(INDEX(Properties!A$1:CB$87,Formula!B48,21))+((Formula!E48)/(Formula!C48+Formula!E48+Formula!G48+Formula!I48+Formula!K48))*(INDEX(Properties!A$1:CB$87,Formula!D48,21))+((Formula!G48)/(Formula!C48+Formula!E48+Formula!G48+Formula!I48+Formula!K48))*(INDEX(Properties!A$1:CB$87,Formula!F48,21))+((Formula!I48)/(Formula!C48+Formula!E48+Formula!G48+Formula!I48+Formula!K48))*(INDEX(Properties!A$1:CB$87,Formula!H48,21))+((Formula!K48)/(Formula!C48+Formula!E48+Formula!G48+Formula!I48+Formula!K48))*(INDEX(Properties!A$1:CB$87,Formula!J48,21))</f>
        <v>4.3636363636363633</v>
      </c>
      <c r="BW48" s="66">
        <f>Formula!C48*(INDEX(Properties!A$1:CB$87,Formula!B48,21))+Formula!E48*(INDEX(Properties!A$1:CB$87,Formula!D48,21))+Formula!G48*(INDEX(Properties!A$1:CB$87,Formula!F48,21))+Formula!I48*(INDEX(Properties!A$1:CB$87,Formula!H48,21))+Formula!K48*(INDEX(Properties!A$1:CB$87,Formula!J48,21))</f>
        <v>48</v>
      </c>
      <c r="BX48" s="66">
        <f>VARP(IF(INDEX(Properties!A$1:CB$87,Formula!B48,21)&lt;&gt;"",INDEX(Properties!A$1:CB$87,Formula!B48,21)),IF(INDEX(Properties!A$1:CB$87,Formula!D48,21)&lt;&gt;"",INDEX(Properties!A$1:CB$87,Formula!D48,21)),IF(INDEX(Properties!A$1:CB$87,Formula!F48,21)&lt;&gt;"",INDEX(Properties!A$1:CB$87,Formula!F48,21)),IF(INDEX(Properties!A$1:CB$87,Formula!H48,21)&lt;&gt;"",INDEX(Properties!A$1:CB$87,Formula!H48,21)),IF(INDEX(Properties!A$1:CB$87,Formula!J48,21)&lt;&gt;"",INDEX(Properties!A$1:CB$87,Formula!J48,21)))</f>
        <v>5.36</v>
      </c>
      <c r="BY48" s="66">
        <f>MAX(INDEX(Properties!A$1:CB$87,Formula!B48,21),INDEX(Properties!A$1:CB$87,Formula!D48,21),INDEX(Properties!A$1:CB$87,Formula!F48,21),INDEX(Properties!A$1:CB$87,Formula!H48,21),INDEX(Properties!A$1:CB$87,Formula!J48,21))</f>
        <v>6</v>
      </c>
      <c r="BZ48" s="66">
        <f>MIN(IF(INDEX(Properties!A$1:CB$87,Formula!B48,21)=0,10^6,INDEX(Properties!A$1:CB$87,Formula!B48,21)),IF(INDEX(Properties!A$1:CB$87,Formula!D48,21)=0,10^6,INDEX(Properties!A$1:CB$87,Formula!D48,21)),IF(INDEX(Properties!A$1:CB$87,Formula!F48,21)=0,10^6,INDEX(Properties!A$1:CB$87,Formula!F48,21)),IF(INDEX(Properties!A$1:CB$87,Formula!H48,21)=0,10^6,INDEX(Properties!A$1:CB$87,Formula!H48,21)),IF(INDEX(Properties!A$1:CB$87,Formula!J48,21)=0,10^6,INDEX(Properties!A$1:CB$87,Formula!J48,21)))</f>
        <v>1</v>
      </c>
      <c r="CA48" s="66">
        <f t="shared" si="12"/>
        <v>5</v>
      </c>
      <c r="CB48" s="81">
        <f>((Formula!C48)/(Formula!C48+Formula!E48+Formula!G48+Formula!I48+Formula!K48))*(INDEX(Properties!A$1:CB$87,Formula!B48,23))+((Formula!E48)/(Formula!C48+Formula!E48+Formula!G48+Formula!I48+Formula!K48))*(INDEX(Properties!A$1:CB$87,Formula!D48,23))+((Formula!G48)/(Formula!C48+Formula!E48+Formula!G48+Formula!I48+Formula!K48))*(INDEX(Properties!A$1:CB$87,Formula!F48,23))+((Formula!I48)/(Formula!C48+Formula!E48+Formula!G48+Formula!I48+Formula!K48))*(INDEX(Properties!A$1:CB$87,Formula!H48,23))+((Formula!K48)/(Formula!C48+Formula!E48+Formula!G48+Formula!I48+Formula!K48))*(INDEX(Properties!A$1:CB$87,Formula!J48,23))</f>
        <v>0.90909090909090906</v>
      </c>
      <c r="CC48" s="81">
        <f>Formula!C48*(INDEX(Properties!A$1:CB$87,Formula!B48,23))+Formula!E48*(INDEX(Properties!A$1:CB$87,Formula!D48,23))+Formula!G48*(INDEX(Properties!A$1:CB$87,Formula!F48,23))+Formula!I48*(INDEX(Properties!A$1:CB$87,Formula!H48,23))+Formula!K48*(INDEX(Properties!A$1:CB$87,Formula!J48,23))</f>
        <v>10</v>
      </c>
      <c r="CD48" s="81">
        <f>VARP(IF(INDEX(Properties!A$1:CB$87,Formula!B48,23)&lt;&gt;"",INDEX(Properties!A$1:CB$87,Formula!B48,23)),IF(INDEX(Properties!A$1:CB$87,Formula!D48,23)&lt;&gt;"",INDEX(Properties!A$1:CB$87,Formula!D48,23)),IF(INDEX(Properties!A$1:CB$87,Formula!F48,23)&lt;&gt;"",INDEX(Properties!A$1:CB$87,Formula!F48,23)),IF(INDEX(Properties!A$1:CB$87,Formula!H48,23)&lt;&gt;"",INDEX(Properties!A$1:CB$87,Formula!H48,23)),IF(INDEX(Properties!A$1:CB$87,Formula!J48,23)&lt;&gt;"",INDEX(Properties!A$1:CB$87,Formula!J48,23)))</f>
        <v>1.36</v>
      </c>
      <c r="CE48" s="81">
        <f>MAX(INDEX(Properties!A$1:CB$87,Formula!B48,23),INDEX(Properties!A$1:CB$87,Formula!D48,23),INDEX(Properties!A$1:CB$87,Formula!F48,23),INDEX(Properties!A$1:CB$87,Formula!H48,23),INDEX(Properties!A$1:CB$87,Formula!J48,23))</f>
        <v>3</v>
      </c>
      <c r="CF48" s="81">
        <f>MIN(IF(Formula!B48=87,10^6,INDEX(Properties!A$1:CB$87,Formula!B48,23)),IF((Formula!D48)=87,10^6,INDEX(Properties!A$1:CB$87,Formula!D48,23)),IF((Formula!F48)=87,10^6,INDEX(Properties!A$1:CB$87,Formula!F48,23)),IF((Formula!H48)=87,10^6,INDEX(Properties!A$1:CB$87,Formula!H48,23)),IF(Formula!J48=87,10^6,INDEX(Properties!A$1:CB$87,Formula!J48,23)))</f>
        <v>0</v>
      </c>
      <c r="CG48" s="81">
        <f t="shared" si="13"/>
        <v>3</v>
      </c>
      <c r="CH48" s="39">
        <f>((Formula!C48)/(Formula!C48+Formula!E48+Formula!G48+Formula!I48+Formula!K48))*(INDEX(Properties!A$1:CB$87,Formula!B48,26))+((Formula!E48)/(Formula!C48+Formula!E48+Formula!G48+Formula!I48+Formula!K48))*(INDEX(Properties!A$1:CB$87,Formula!D48,26))+((Formula!G48)/(Formula!C48+Formula!E48+Formula!G48+Formula!I48+Formula!K48))*(INDEX(Properties!A$1:CB$87,Formula!F48,26))+((Formula!I48)/(Formula!C48+Formula!E48+Formula!G48+Formula!I48+Formula!K48))*(INDEX(Properties!A$1:CB$87,Formula!H48,26))+((Formula!K48)/(Formula!C48+Formula!E48+Formula!G48+Formula!I48+Formula!K48))*(INDEX(Properties!A$1:CB$87,Formula!J48,26))</f>
        <v>10.230981818181817</v>
      </c>
      <c r="CI48" s="39">
        <f>Formula!C48*(INDEX(Properties!A$1:CB$87,Formula!B48,26))+Formula!E48*(INDEX(Properties!A$1:CB$87,Formula!D48,26))+Formula!G48*(INDEX(Properties!A$1:CB$87,Formula!F48,26))+Formula!I48*(INDEX(Properties!A$1:CB$87,Formula!H48,26))+Formula!K48*(INDEX(Properties!A$1:CB$87,Formula!J48,26))</f>
        <v>112.5408</v>
      </c>
      <c r="CJ48" s="39">
        <f>VARP(IF(INDEX(Properties!A$1:CB$87,Formula!B48,26)&lt;&gt;"",INDEX(Properties!A$1:CB$87,Formula!B48,26)),IF(INDEX(Properties!A$1:CB$87,Formula!D48,26)&lt;&gt;"",INDEX(Properties!A$1:CB$87,Formula!D48,26)),IF(INDEX(Properties!A$1:CB$87,Formula!F48,26)&lt;&gt;"",INDEX(Properties!A$1:CB$87,Formula!F48,26)),IF(INDEX(Properties!A$1:CB$87,Formula!H48,26)&lt;&gt;"",INDEX(Properties!A$1:CB$87,Formula!H48,26)),IF(INDEX(Properties!A$1:CB$87,Formula!J48,26)&lt;&gt;"",INDEX(Properties!A$1:CB$87,Formula!J48,26)))</f>
        <v>19.960020188000016</v>
      </c>
      <c r="CK48" s="39">
        <f>MAX(INDEX(Properties!A$1:CB$87,Formula!B48,26),INDEX(Properties!A$1:CB$87,Formula!D48,26),INDEX(Properties!A$1:CB$87,Formula!F48,26),INDEX(Properties!A$1:CB$87,Formula!H48,26),INDEX(Properties!A$1:CB$87,Formula!J48,26))</f>
        <v>13.6181</v>
      </c>
      <c r="CL48" s="39">
        <f>MIN(IF(INDEX(Properties!A$1:CB$87,Formula!B48,26)=0,10^6,INDEX(Properties!A$1:CB$87,Formula!B48,26)),IF(INDEX(Properties!A$1:CB$87,Formula!D48,26)=0,10^6,INDEX(Properties!A$1:CB$87,Formula!D48,26)),IF(INDEX(Properties!A$1:CB$87,Formula!F48,26)=0,10^6,INDEX(Properties!A$1:CB$87,Formula!F48,26)),IF(INDEX(Properties!A$1:CB$87,Formula!H48,26)=0,10^6,INDEX(Properties!A$1:CB$87,Formula!H48,26)),IF(INDEX(Properties!A$1:CB$87,Formula!J48,26)=0,10^6,INDEX(Properties!A$1:CB$87,Formula!J48,26)))</f>
        <v>5.1391</v>
      </c>
      <c r="CM48" s="39">
        <f t="shared" si="14"/>
        <v>8.4789999999999992</v>
      </c>
      <c r="CN48" s="54">
        <f>((Formula!C48)/(Formula!C48+Formula!E48+Formula!G48+Formula!I48+Formula!K48))*(INDEX(Properties!A$1:CB$87,Formula!B48,30))+((Formula!E48)/(Formula!C48+Formula!E48+Formula!G48+Formula!I48+Formula!K48))*(INDEX(Properties!A$1:CB$87,Formula!D48,30))+((Formula!G48)/(Formula!C48+Formula!E48+Formula!G48+Formula!I48+Formula!K48))*(INDEX(Properties!A$1:CB$87,Formula!F48,30))+((Formula!I48)/(Formula!C48+Formula!E48+Formula!G48+Formula!I48+Formula!K48))*(INDEX(Properties!A$1:CB$87,Formula!H48,30))+((Formula!K48)/(Formula!C48+Formula!E48+Formula!G48+Formula!I48+Formula!K48))*(INDEX(Properties!A$1:CB$87,Formula!J48,30))</f>
        <v>2.4063636363636363</v>
      </c>
      <c r="CO48" s="54">
        <f>Formula!C48*(INDEX(Properties!A$1:CB$87,Formula!B48,30))+Formula!E48*(INDEX(Properties!A$1:CB$87,Formula!D48,30))+Formula!G48*(INDEX(Properties!A$1:CB$87,Formula!F48,30))+Formula!I48*(INDEX(Properties!A$1:CB$87,Formula!H48,30))+Formula!K48*(INDEX(Properties!A$1:CB$87,Formula!J48,30))</f>
        <v>26.47</v>
      </c>
      <c r="CP48" s="54">
        <f>VARP(IF(INDEX(Properties!A$1:CB$87,Formula!B48,30)&lt;&gt;"",INDEX(Properties!A$1:CB$87,Formula!B48,30)),IF(INDEX(Properties!A$1:CB$87,Formula!D48,30)&lt;&gt;"",INDEX(Properties!A$1:CB$87,Formula!D48,30)),IF(INDEX(Properties!A$1:CB$87,Formula!F48,30)&lt;&gt;"",INDEX(Properties!A$1:CB$87,Formula!F48,30)),IF(INDEX(Properties!A$1:CB$87,Formula!H48,30)&lt;&gt;"",INDEX(Properties!A$1:CB$87,Formula!H48,30)),IF(INDEX(Properties!A$1:CB$87,Formula!J48,30)&lt;&gt;"",INDEX(Properties!A$1:CB$87,Formula!J48,30)))</f>
        <v>1.3880240000000004</v>
      </c>
      <c r="CQ48" s="54">
        <f>MAX(INDEX(Properties!A$1:CB$87,Formula!B48,30),INDEX(Properties!A$1:CB$87,Formula!D48,30),INDEX(Properties!A$1:CB$87,Formula!F48,30),INDEX(Properties!A$1:CB$87,Formula!H48,30),INDEX(Properties!A$1:CB$87,Formula!J48,30))</f>
        <v>3.44</v>
      </c>
      <c r="CR48" s="54">
        <f>MIN(IF(INDEX(Properties!A$1:CB$87,Formula!B48,30)=0,10^6,INDEX(Properties!A$1:CB$87,Formula!B48,30)),IF(INDEX(Properties!A$1:CB$87,Formula!D48,30)=0,10^6,INDEX(Properties!A$1:CB$87,Formula!D48,30)),IF(INDEX(Properties!A$1:CB$87,Formula!F48,30)=0,10^6,INDEX(Properties!A$1:CB$87,Formula!F48,30)),IF(INDEX(Properties!A$1:CB$87,Formula!H48,30)=0,10^6,INDEX(Properties!A$1:CB$87,Formula!H48,30)),IF(INDEX(Properties!A$1:CB$87,Formula!J48,30)=0,10^6,INDEX(Properties!A$1:CB$87,Formula!J48,30)))</f>
        <v>0.93</v>
      </c>
      <c r="CS48" s="54">
        <f t="shared" si="15"/>
        <v>2.5099999999999998</v>
      </c>
      <c r="CT48" s="69">
        <f>((Formula!C48)/(Formula!C48+Formula!E48+Formula!G48+Formula!I48+Formula!K48))*(INDEX(Properties!A$1:CB$87,Formula!B48,31))+((Formula!E48)/(Formula!C48+Formula!E48+Formula!G48+Formula!I48+Formula!K48))*(INDEX(Properties!A$1:CB$87,Formula!D48,31))+((Formula!G48)/(Formula!C48+Formula!E48+Formula!G48+Formula!I48+Formula!K48))*(INDEX(Properties!A$1:CB$87,Formula!F48,31))+((Formula!I48)/(Formula!C48+Formula!E48+Formula!G48+Formula!I48+Formula!K48))*(INDEX(Properties!A$1:CB$87,Formula!H48,31))+((Formula!K48)/(Formula!C48+Formula!E48+Formula!G48+Formula!I48+Formula!K48))*(INDEX(Properties!A$1:CB$87,Formula!J48,31))</f>
        <v>2.3945454545454541</v>
      </c>
      <c r="CU48" s="69">
        <f>Formula!C48*(INDEX(Properties!A$1:CB$87,Formula!B48,31))+Formula!E48*(INDEX(Properties!A$1:CB$87,Formula!D48,31))+Formula!G48*(INDEX(Properties!A$1:CB$87,Formula!F48,31))+Formula!I48*(INDEX(Properties!A$1:CB$87,Formula!H48,31))+Formula!K48*(INDEX(Properties!A$1:CB$87,Formula!J48,31))</f>
        <v>26.339999999999996</v>
      </c>
      <c r="CV48" s="69">
        <f>VARP(IF(INDEX(Properties!A$1:CB$87,Formula!B48,31)&lt;&gt;"",INDEX(Properties!A$1:CB$87,Formula!B48,31)),IF(INDEX(Properties!A$1:CB$87,Formula!D48,31)&lt;&gt;"",INDEX(Properties!A$1:CB$87,Formula!D48,31)),IF(INDEX(Properties!A$1:CB$87,Formula!F48,31)&lt;&gt;"",INDEX(Properties!A$1:CB$87,Formula!F48,31)),IF(INDEX(Properties!A$1:CB$87,Formula!H48,31)&lt;&gt;"",INDEX(Properties!A$1:CB$87,Formula!H48,31)),IF(INDEX(Properties!A$1:CB$87,Formula!J48,31)&lt;&gt;"",INDEX(Properties!A$1:CB$87,Formula!J48,31)))</f>
        <v>1.2961839999999993</v>
      </c>
      <c r="CW48" s="69">
        <f>MAX(INDEX(Properties!A$1:CB$87,Formula!B48,31),INDEX(Properties!A$1:CB$87,Formula!D48,31),INDEX(Properties!A$1:CB$87,Formula!F48,31),INDEX(Properties!A$1:CB$87,Formula!H48,31),INDEX(Properties!A$1:CB$87,Formula!J48,31))</f>
        <v>3.32</v>
      </c>
      <c r="CX48" s="69">
        <f>MIN(IF(INDEX(Properties!A$1:CB$87,Formula!B48,31)=0,10^6,INDEX(Properties!A$1:CB$87,Formula!B48,31)),IF(INDEX(Properties!A$1:CB$87,Formula!D48,31)=0,10^6,INDEX(Properties!A$1:CB$87,Formula!D48,31)),IF(INDEX(Properties!A$1:CB$87,Formula!F48,31)=0,10^6,INDEX(Properties!A$1:CB$87,Formula!F48,31)),IF(INDEX(Properties!A$1:CB$87,Formula!H48,31)=0,10^6,INDEX(Properties!A$1:CB$87,Formula!H48,31)),IF(INDEX(Properties!A$1:CB$87,Formula!J48,31)=0,10^6,INDEX(Properties!A$1:CB$87,Formula!J48,31)))</f>
        <v>0.89</v>
      </c>
      <c r="CY48" s="69">
        <f t="shared" si="16"/>
        <v>2.4299999999999997</v>
      </c>
      <c r="CZ48" s="42">
        <f>((Formula!C48)/(Formula!C48+Formula!E48+Formula!G48+Formula!I48+Formula!K48))*(INDEX(Properties!A$1:CB$87,Formula!B48,32))+((Formula!E48)/(Formula!C48+Formula!E48+Formula!G48+Formula!I48+Formula!K48))*(INDEX(Properties!A$1:CB$87,Formula!D48,32))+((Formula!G48)/(Formula!C48+Formula!E48+Formula!G48+Formula!I48+Formula!K48))*(INDEX(Properties!A$1:CB$87,Formula!F48,32))+((Formula!I48)/(Formula!C48+Formula!E48+Formula!G48+Formula!I48+Formula!K48))*(INDEX(Properties!A$1:CB$87,Formula!H48,32))+((Formula!K48)/(Formula!C48+Formula!E48+Formula!G48+Formula!I48+Formula!K48))*(INDEX(Properties!A$1:CB$87,Formula!J48,32))</f>
        <v>5.3581818181818175</v>
      </c>
      <c r="DA48" s="42">
        <f>Formula!C48*(INDEX(Properties!A$1:CB$87,Formula!B48,32))+Formula!E48*(INDEX(Properties!A$1:CB$87,Formula!D48,32))+Formula!G48*(INDEX(Properties!A$1:CB$87,Formula!F48,32))+Formula!I48*(INDEX(Properties!A$1:CB$87,Formula!H48,32))+Formula!K48*(INDEX(Properties!A$1:CB$87,Formula!J48,32))</f>
        <v>58.94</v>
      </c>
      <c r="DB48" s="42">
        <f>VARP(IF(INDEX(Properties!A$1:CB$87,Formula!B48,32)&lt;&gt;"",INDEX(Properties!A$1:CB$87,Formula!B48,32)),IF(INDEX(Properties!A$1:CB$87,Formula!D48,32)&lt;&gt;"",INDEX(Properties!A$1:CB$87,Formula!D48,32)),IF(INDEX(Properties!A$1:CB$87,Formula!F48,32)&lt;&gt;"",INDEX(Properties!A$1:CB$87,Formula!F48,32)),IF(INDEX(Properties!A$1:CB$87,Formula!H48,32)&lt;&gt;"",INDEX(Properties!A$1:CB$87,Formula!H48,32)),IF(INDEX(Properties!A$1:CB$87,Formula!J48,32)&lt;&gt;"",INDEX(Properties!A$1:CB$87,Formula!J48,32)))</f>
        <v>6.610616000000002</v>
      </c>
      <c r="DC48" s="42">
        <f>MAX(INDEX(Properties!A$1:CB$87,Formula!B48,32),INDEX(Properties!A$1:CB$87,Formula!D48,32),INDEX(Properties!A$1:CB$87,Formula!F48,32),INDEX(Properties!A$1:CB$87,Formula!H48,32),INDEX(Properties!A$1:CB$87,Formula!J48,32))</f>
        <v>7.54</v>
      </c>
      <c r="DD48" s="42">
        <f>MIN(IF(INDEX(Properties!A$1:CB$87,Formula!B48,32)=0,10^6,INDEX(Properties!A$1:CB$87,Formula!B48,32)),IF(INDEX(Properties!A$1:CB$87,Formula!D48,32)=0,10^6,INDEX(Properties!A$1:CB$87,Formula!D48,32)),IF(INDEX(Properties!A$1:CB$87,Formula!F48,32)=0,10^6,INDEX(Properties!A$1:CB$87,Formula!F48,32)),IF(INDEX(Properties!A$1:CB$87,Formula!H48,32)=0,10^6,INDEX(Properties!A$1:CB$87,Formula!H48,32)),IF(INDEX(Properties!A$1:CB$87,Formula!J48,32)=0,10^6,INDEX(Properties!A$1:CB$87,Formula!J48,32)))</f>
        <v>2</v>
      </c>
      <c r="DE48" s="42">
        <f t="shared" si="17"/>
        <v>5.54</v>
      </c>
      <c r="DF48" s="60">
        <f>((Formula!C48)/(Formula!C48+Formula!E48+Formula!G48+Formula!I48+Formula!K48))*(INDEX(Properties!A$1:CB$87,Formula!B48,34))+((Formula!E48)/(Formula!C48+Formula!E48+Formula!G48+Formula!I48+Formula!K48))*(INDEX(Properties!A$1:CB$87,Formula!D48,34))+((Formula!G48)/(Formula!C48+Formula!E48+Formula!G48+Formula!I48+Formula!K48))*(INDEX(Properties!A$1:CB$87,Formula!F48,34))+((Formula!I48)/(Formula!C48+Formula!E48+Formula!G48+Formula!I48+Formula!K48))*(INDEX(Properties!A$1:CB$87,Formula!H48,34))+((Formula!K48)/(Formula!C48+Formula!E48+Formula!G48+Formula!I48+Formula!K48))*(INDEX(Properties!A$1:CB$87,Formula!J48,34))</f>
        <v>2.491090909090909</v>
      </c>
      <c r="DG48" s="60">
        <f>Formula!C48*(INDEX(Properties!A$1:CB$87,Formula!B48,34))+Formula!E48*(INDEX(Properties!A$1:CB$87,Formula!D48,34))+Formula!G48*(INDEX(Properties!A$1:CB$87,Formula!F48,34))+Formula!I48*(INDEX(Properties!A$1:CB$87,Formula!H48,34))+Formula!K48*(INDEX(Properties!A$1:CB$87,Formula!J48,34))</f>
        <v>27.402000000000001</v>
      </c>
      <c r="DH48" s="60">
        <f>VARP(IF(INDEX(Properties!A$1:CB$87,Formula!B48,34)&lt;&gt;"",INDEX(Properties!A$1:CB$87,Formula!B48,34)),IF(INDEX(Properties!A$1:CB$87,Formula!D48,34)&lt;&gt;"",INDEX(Properties!A$1:CB$87,Formula!D48,34)),IF(INDEX(Properties!A$1:CB$87,Formula!F48,34)&lt;&gt;"",INDEX(Properties!A$1:CB$87,Formula!F48,34)),IF(INDEX(Properties!A$1:CB$87,Formula!H48,34)&lt;&gt;"",INDEX(Properties!A$1:CB$87,Formula!H48,34)),IF(INDEX(Properties!A$1:CB$87,Formula!J48,34)&lt;&gt;"",INDEX(Properties!A$1:CB$87,Formula!J48,34)))</f>
        <v>1.5243581599999998</v>
      </c>
      <c r="DI48" s="60">
        <f>MAX(INDEX(Properties!A$1:CB$87,Formula!B48,34),INDEX(Properties!A$1:CB$87,Formula!D48,34),INDEX(Properties!A$1:CB$87,Formula!F48,34),INDEX(Properties!A$1:CB$87,Formula!H48,34),INDEX(Properties!A$1:CB$87,Formula!J48,34))</f>
        <v>3.61</v>
      </c>
      <c r="DJ48" s="60">
        <f>MIN(IF(INDEX(Properties!A$1:CB$87,Formula!B48,34)=0,10^6,INDEX(Properties!A$1:CB$87,Formula!B48,34)),IF(INDEX(Properties!A$1:CB$87,Formula!D48,34)=0,10^6,INDEX(Properties!A$1:CB$87,Formula!D48,34)),IF(INDEX(Properties!A$1:CB$87,Formula!F48,34)=0,10^6,INDEX(Properties!A$1:CB$87,Formula!F48,34)),IF(INDEX(Properties!A$1:CB$87,Formula!H48,34)=0,10^6,INDEX(Properties!A$1:CB$87,Formula!H48,34)),IF(INDEX(Properties!A$1:CB$87,Formula!J48,34)=0,10^6,INDEX(Properties!A$1:CB$87,Formula!J48,34)))</f>
        <v>0.86899999999999999</v>
      </c>
      <c r="DK48" s="60">
        <f t="shared" si="18"/>
        <v>2.7409999999999997</v>
      </c>
      <c r="DL48" s="45">
        <f>((Formula!C48)/(Formula!C48+Formula!E48+Formula!G48+Formula!I48+Formula!K48))*(INDEX(Properties!A$1:CB$87,Formula!B48,39))+((Formula!E48)/(Formula!C48+Formula!E48+Formula!G48+Formula!I48+Formula!K48))*(INDEX(Properties!A$1:CB$87,Formula!D48,39))+((Formula!G48)/(Formula!C48+Formula!E48+Formula!G48+Formula!I48+Formula!K48))*(INDEX(Properties!A$1:CB$87,Formula!F48,39))+((Formula!I48)/(Formula!C48+Formula!E48+Formula!G48+Formula!I48+Formula!K48))*(INDEX(Properties!A$1:CB$87,Formula!H48,39))+((Formula!K48)/(Formula!C48+Formula!E48+Formula!G48+Formula!I48+Formula!K48))*(INDEX(Properties!A$1:CB$87,Formula!J48,39))</f>
        <v>1.1527272727272726</v>
      </c>
      <c r="DM48" s="45">
        <f>Formula!C48*(INDEX(Properties!A$1:CB$87,Formula!B48,39))+Formula!E48*(INDEX(Properties!A$1:CB$87,Formula!D48,39))+Formula!G48*(INDEX(Properties!A$1:CB$87,Formula!F48,39))+Formula!I48*(INDEX(Properties!A$1:CB$87,Formula!H48,39))+Formula!K48*(INDEX(Properties!A$1:CB$87,Formula!J48,39))</f>
        <v>12.68</v>
      </c>
      <c r="DN48" s="45">
        <f>VARP(IF(INDEX(Properties!A$1:CB$87,Formula!B48,39)&lt;&gt;"",INDEX(Properties!A$1:CB$87,Formula!B48,39)),IF(INDEX(Properties!A$1:CB$87,Formula!D48,39)&lt;&gt;"",INDEX(Properties!A$1:CB$87,Formula!D48,39)),IF(INDEX(Properties!A$1:CB$87,Formula!F48,39)&lt;&gt;"",INDEX(Properties!A$1:CB$87,Formula!F48,39)),IF(INDEX(Properties!A$1:CB$87,Formula!H48,39)&lt;&gt;"",INDEX(Properties!A$1:CB$87,Formula!H48,39)),IF(INDEX(Properties!A$1:CB$87,Formula!J48,39)&lt;&gt;"",INDEX(Properties!A$1:CB$87,Formula!J48,39)))</f>
        <v>0.68867999999999996</v>
      </c>
      <c r="DO48" s="45">
        <f>MAX(INDEX(Properties!A$1:CB$87,Formula!B48,39),INDEX(Properties!A$1:CB$87,Formula!D48,39),INDEX(Properties!A$1:CB$87,Formula!F48,39),INDEX(Properties!A$1:CB$87,Formula!H48,39),INDEX(Properties!A$1:CB$87,Formula!J48,39))</f>
        <v>2.19</v>
      </c>
      <c r="DP48" s="45">
        <f>MIN(IF(INDEX(Properties!A$1:CB$87,Formula!B48,39)=0,10^6,INDEX(Properties!A$1:CB$87,Formula!B48,39)),IF(INDEX(Properties!A$1:CB$87,Formula!D48,39)=0,10^6,INDEX(Properties!A$1:CB$87,Formula!D48,39)),IF(INDEX(Properties!A$1:CB$87,Formula!F48,39)=0,10^6,INDEX(Properties!A$1:CB$87,Formula!F48,39)),IF(INDEX(Properties!A$1:CB$87,Formula!H48,39)=0,10^6,INDEX(Properties!A$1:CB$87,Formula!H48,39)),IF(INDEX(Properties!A$1:CB$87,Formula!J48,39)=0,10^6,INDEX(Properties!A$1:CB$87,Formula!J48,39)))</f>
        <v>0.48</v>
      </c>
      <c r="DQ48" s="45">
        <f t="shared" si="19"/>
        <v>1.71</v>
      </c>
      <c r="DR48" s="63">
        <f>((Formula!C48)/(Formula!C48+Formula!E48+Formula!G48+Formula!I48+Formula!K48))*(INDEX(Properties!A$1:CB$87,Formula!B48,40))+((Formula!E48)/(Formula!C48+Formula!E48+Formula!G48+Formula!I48+Formula!K48))*(INDEX(Properties!A$1:CB$87,Formula!D48,40))+((Formula!G48)/(Formula!C48+Formula!E48+Formula!G48+Formula!I48+Formula!K48))*(INDEX(Properties!A$1:CB$87,Formula!F48,40))+((Formula!I48)/(Formula!C48+Formula!E48+Formula!G48+Formula!I48+Formula!K48))*(INDEX(Properties!A$1:CB$87,Formula!H48,40))+((Formula!K48)/(Formula!C48+Formula!E48+Formula!G48+Formula!I48+Formula!K48))*(INDEX(Properties!A$1:CB$87,Formula!J48,40))</f>
        <v>1.1872727272727273</v>
      </c>
      <c r="DS48" s="63">
        <f>Formula!C48*(INDEX(Properties!A$1:CB$87,Formula!B48,40))+Formula!E48*(INDEX(Properties!A$1:CB$87,Formula!D48,40))+Formula!G48*(INDEX(Properties!A$1:CB$87,Formula!F48,40))+Formula!I48*(INDEX(Properties!A$1:CB$87,Formula!H48,40))+Formula!K48*(INDEX(Properties!A$1:CB$87,Formula!J48,40))</f>
        <v>13.059999999999999</v>
      </c>
      <c r="DT48" s="63">
        <f>VARP(IF(INDEX(Properties!A$1:CB$87,Formula!B48,40)&lt;&gt;"",INDEX(Properties!A$1:CB$87,Formula!B48,40)),IF(INDEX(Properties!A$1:CB$87,Formula!D48,40)&lt;&gt;"",INDEX(Properties!A$1:CB$87,Formula!D48,40)),IF(INDEX(Properties!A$1:CB$87,Formula!F48,40)&lt;&gt;"",INDEX(Properties!A$1:CB$87,Formula!F48,40)),IF(INDEX(Properties!A$1:CB$87,Formula!H48,40)&lt;&gt;"",INDEX(Properties!A$1:CB$87,Formula!H48,40)),IF(INDEX(Properties!A$1:CB$87,Formula!J48,40)&lt;&gt;"",INDEX(Properties!A$1:CB$87,Formula!J48,40)))</f>
        <v>0.45806399999999997</v>
      </c>
      <c r="DU48" s="63">
        <f>MAX(INDEX(Properties!A$1:CB$87,Formula!B48,40),INDEX(Properties!A$1:CB$87,Formula!D48,40),INDEX(Properties!A$1:CB$87,Formula!F48,40),INDEX(Properties!A$1:CB$87,Formula!H48,40),INDEX(Properties!A$1:CB$87,Formula!J48,40))</f>
        <v>1.92</v>
      </c>
      <c r="DV48" s="63">
        <f>MIN(IF(INDEX(Properties!A$1:CB$87,Formula!B48,40)=0,10^6,INDEX(Properties!A$1:CB$87,Formula!B48,40)),IF(INDEX(Properties!A$1:CB$87,Formula!D48,40)=0,10^6,INDEX(Properties!A$1:CB$87,Formula!D48,40)),IF(INDEX(Properties!A$1:CB$87,Formula!F48,40)=0,10^6,INDEX(Properties!A$1:CB$87,Formula!F48,40)),IF(INDEX(Properties!A$1:CB$87,Formula!H48,40)=0,10^6,INDEX(Properties!A$1:CB$87,Formula!H48,40)),IF(INDEX(Properties!A$1:CB$87,Formula!J48,40)=0,10^6,INDEX(Properties!A$1:CB$87,Formula!J48,40)))</f>
        <v>0.73</v>
      </c>
      <c r="DW48" s="63">
        <f t="shared" si="20"/>
        <v>1.19</v>
      </c>
      <c r="DX48" s="75">
        <f>((Formula!C48)/(Formula!C48+Formula!E48+Formula!G48+Formula!I48+Formula!K48))*(INDEX(Properties!A$1:CB$87,Formula!B48,41))+((Formula!E48)/(Formula!C48+Formula!E48+Formula!G48+Formula!I48+Formula!K48))*(INDEX(Properties!A$1:CB$87,Formula!D48,41))+((Formula!G48)/(Formula!C48+Formula!E48+Formula!G48+Formula!I48+Formula!K48))*(INDEX(Properties!A$1:CB$87,Formula!F48,41))+((Formula!I48)/(Formula!C48+Formula!E48+Formula!G48+Formula!I48+Formula!K48))*(INDEX(Properties!A$1:CB$87,Formula!H48,41))+((Formula!K48)/(Formula!C48+Formula!E48+Formula!G48+Formula!I48+Formula!K48))*(INDEX(Properties!A$1:CB$87,Formula!J48,41))</f>
        <v>1.2345454545454544</v>
      </c>
      <c r="DY48" s="75">
        <f>Formula!C48*(INDEX(Properties!A$1:CB$87,Formula!B48,41))+Formula!E48*(INDEX(Properties!A$1:CB$87,Formula!D48,41))+Formula!G48*(INDEX(Properties!A$1:CB$87,Formula!F48,41))+Formula!I48*(INDEX(Properties!A$1:CB$87,Formula!H48,41))+Formula!K48*(INDEX(Properties!A$1:CB$87,Formula!J48,41))</f>
        <v>13.580000000000002</v>
      </c>
      <c r="DZ48" s="75">
        <f>VARP(IF(INDEX(Properties!A$1:CB$87,Formula!B48,41)&lt;&gt;"",INDEX(Properties!A$1:CB$87,Formula!B48,41)),IF(INDEX(Properties!A$1:CB$87,Formula!D48,41)&lt;&gt;"",INDEX(Properties!A$1:CB$87,Formula!D48,41)),IF(INDEX(Properties!A$1:CB$87,Formula!F48,41)&lt;&gt;"",INDEX(Properties!A$1:CB$87,Formula!F48,41)),IF(INDEX(Properties!A$1:CB$87,Formula!H48,41)&lt;&gt;"",INDEX(Properties!A$1:CB$87,Formula!H48,41)),IF(INDEX(Properties!A$1:CB$87,Formula!J48,41)&lt;&gt;"",INDEX(Properties!A$1:CB$87,Formula!J48,41)))</f>
        <v>0.23593599999999995</v>
      </c>
      <c r="EA48" s="75">
        <f>MAX(INDEX(Properties!A$1:CB$87,Formula!B48,41),INDEX(Properties!A$1:CB$87,Formula!D48,41),INDEX(Properties!A$1:CB$87,Formula!F48,41),INDEX(Properties!A$1:CB$87,Formula!H48,41),INDEX(Properties!A$1:CB$87,Formula!J48,41))</f>
        <v>1.32</v>
      </c>
      <c r="EB48" s="75">
        <f>MIN(IF(INDEX(Properties!A$1:CB$87,Formula!B48,41)=0,10^6,INDEX(Properties!A$1:CB$87,Formula!B48,41)),IF(INDEX(Properties!A$1:CB$87,Formula!D48,41)=0,10^6,INDEX(Properties!A$1:CB$87,Formula!D48,41)),IF(INDEX(Properties!A$1:CB$87,Formula!F48,41)=0,10^6,INDEX(Properties!A$1:CB$87,Formula!F48,41)),IF(INDEX(Properties!A$1:CB$87,Formula!H48,41)=0,10^6,INDEX(Properties!A$1:CB$87,Formula!H48,41)),IF(INDEX(Properties!A$1:CB$87,Formula!J48,41)=0,10^6,INDEX(Properties!A$1:CB$87,Formula!J48,41)))</f>
        <v>0.9</v>
      </c>
      <c r="EC48" s="75">
        <f t="shared" si="21"/>
        <v>0.42000000000000004</v>
      </c>
      <c r="ED48" s="48">
        <f>((Formula!C48)/(Formula!C48+Formula!E48+Formula!G48+Formula!I48+Formula!K48))*(INDEX(Properties!A$1:CB$87,Formula!B48,45))+((Formula!E48)/(Formula!C48+Formula!E48+Formula!G48+Formula!I48+Formula!K48))*(INDEX(Properties!A$1:CB$87,Formula!D48,45))+((Formula!G48)/(Formula!C48+Formula!E48+Formula!G48+Formula!I48+Formula!K48))*(INDEX(Properties!A$1:CB$87,Formula!F48,45))+((Formula!I48)/(Formula!C48+Formula!E48+Formula!G48+Formula!I48+Formula!K48))*(INDEX(Properties!A$1:CB$87,Formula!H48,45))+((Formula!K48)/(Formula!C48+Formula!E48+Formula!G48+Formula!I48+Formula!K48))*(INDEX(Properties!A$1:CB$87,Formula!J48,45))</f>
        <v>1.5336363636363635</v>
      </c>
      <c r="EE48" s="48">
        <f>Formula!C48*(INDEX(Properties!A$1:CB$87,Formula!B48,45))+Formula!E48*(INDEX(Properties!A$1:CB$87,Formula!D48,45))+Formula!G48*(INDEX(Properties!A$1:CB$87,Formula!F48,45))+Formula!I48*(INDEX(Properties!A$1:CB$87,Formula!H48,45))+Formula!K48*(INDEX(Properties!A$1:CB$87,Formula!J48,45))</f>
        <v>16.869999999999997</v>
      </c>
      <c r="EF48" s="48">
        <f>VARP(IF(INDEX(Properties!A$1:CB$87,Formula!B48,45)&lt;&gt;"",INDEX(Properties!A$1:CB$87,Formula!B48,45)),IF(INDEX(Properties!A$1:CB$87,Formula!D48,45)&lt;&gt;"",INDEX(Properties!A$1:CB$87,Formula!D48,45)),IF(INDEX(Properties!A$1:CB$87,Formula!F48,45)&lt;&gt;"",INDEX(Properties!A$1:CB$87,Formula!F48,45)),IF(INDEX(Properties!A$1:CB$87,Formula!H48,45)&lt;&gt;"",INDEX(Properties!A$1:CB$87,Formula!H48,45)),IF(INDEX(Properties!A$1:CB$87,Formula!J48,45)&lt;&gt;"",INDEX(Properties!A$1:CB$87,Formula!J48,45)))</f>
        <v>1.5116799999999995</v>
      </c>
      <c r="EG48" s="48">
        <f>MAX(INDEX(Properties!A$1:CB$87,Formula!B48,45),INDEX(Properties!A$1:CB$87,Formula!D48,45),INDEX(Properties!A$1:CB$87,Formula!F48,45),INDEX(Properties!A$1:CB$87,Formula!H48,45),INDEX(Properties!A$1:CB$87,Formula!J48,45))</f>
        <v>3.21</v>
      </c>
      <c r="EH48" s="48">
        <f>MIN(IF(INDEX(Properties!A$1:CB$87,Formula!B48,45)=0,10^6,INDEX(Properties!A$1:CB$87,Formula!B48,45)),IF(INDEX(Properties!A$1:CB$87,Formula!D48,45)=0,10^6,INDEX(Properties!A$1:CB$87,Formula!D48,45)),IF(INDEX(Properties!A$1:CB$87,Formula!F48,45)=0,10^6,INDEX(Properties!A$1:CB$87,Formula!F48,45)),IF(INDEX(Properties!A$1:CB$87,Formula!H48,45)=0,10^6,INDEX(Properties!A$1:CB$87,Formula!H48,45)),IF(INDEX(Properties!A$1:CB$87,Formula!J48,45)=0,10^6,INDEX(Properties!A$1:CB$87,Formula!J48,45)))</f>
        <v>0.47</v>
      </c>
      <c r="EI48" s="48">
        <f t="shared" si="22"/>
        <v>2.74</v>
      </c>
      <c r="EJ48" s="66">
        <f>((Formula!C48)/(Formula!C48+Formula!E48+Formula!G48+Formula!I48+Formula!K48))*(INDEX(Properties!A$1:CB$87,Formula!B48,46))+((Formula!E48)/(Formula!C48+Formula!E48+Formula!G48+Formula!I48+Formula!K48))*(INDEX(Properties!A$1:CB$87,Formula!D48,46))+((Formula!G48)/(Formula!C48+Formula!E48+Formula!G48+Formula!I48+Formula!K48))*(INDEX(Properties!A$1:CB$87,Formula!F48,46))+((Formula!I48)/(Formula!C48+Formula!E48+Formula!G48+Formula!I48+Formula!K48))*(INDEX(Properties!A$1:CB$87,Formula!H48,46))+((Formula!K48)/(Formula!C48+Formula!E48+Formula!G48+Formula!I48+Formula!K48))*(INDEX(Properties!A$1:CB$87,Formula!J48,46))</f>
        <v>1.2072727272727271</v>
      </c>
      <c r="EK48" s="66">
        <f>Formula!C48*(INDEX(Properties!A$1:CB$87,Formula!B48,46))+Formula!E48*(INDEX(Properties!A$1:CB$87,Formula!D48,46))+Formula!G48*(INDEX(Properties!A$1:CB$87,Formula!F48,46))+Formula!I48*(INDEX(Properties!A$1:CB$87,Formula!H48,46))+Formula!K48*(INDEX(Properties!A$1:CB$87,Formula!J48,46))</f>
        <v>13.280000000000001</v>
      </c>
      <c r="EL48" s="66">
        <f>VARP(IF(INDEX(Properties!A$1:CB$87,Formula!B48,46)&lt;&gt;"",INDEX(Properties!A$1:CB$87,Formula!B48,46)),IF(INDEX(Properties!A$1:CB$87,Formula!D48,46)&lt;&gt;"",INDEX(Properties!A$1:CB$87,Formula!D48,46)),IF(INDEX(Properties!A$1:CB$87,Formula!F48,46)&lt;&gt;"",INDEX(Properties!A$1:CB$87,Formula!F48,46)),IF(INDEX(Properties!A$1:CB$87,Formula!H48,46)&lt;&gt;"",INDEX(Properties!A$1:CB$87,Formula!H48,46)),IF(INDEX(Properties!A$1:CB$87,Formula!J48,46)&lt;&gt;"",INDEX(Properties!A$1:CB$87,Formula!J48,46)))</f>
        <v>0.22969600000000001</v>
      </c>
      <c r="EM48" s="66">
        <f>MAX(INDEX(Properties!A$1:CB$87,Formula!B48,46),INDEX(Properties!A$1:CB$87,Formula!D48,46),INDEX(Properties!A$1:CB$87,Formula!F48,46),INDEX(Properties!A$1:CB$87,Formula!H48,46),INDEX(Properties!A$1:CB$87,Formula!J48,46))</f>
        <v>1.32</v>
      </c>
      <c r="EN48" s="66">
        <f>MIN(IF(INDEX(Properties!A$1:CB$87,Formula!B48,46)=0,10^6,INDEX(Properties!A$1:CB$87,Formula!B48,46)),IF(INDEX(Properties!A$1:CB$87,Formula!D48,46)=0,10^6,INDEX(Properties!A$1:CB$87,Formula!D48,46)),IF(INDEX(Properties!A$1:CB$87,Formula!F48,46)=0,10^6,INDEX(Properties!A$1:CB$87,Formula!F48,46)),IF(INDEX(Properties!A$1:CB$87,Formula!H48,46)=0,10^6,INDEX(Properties!A$1:CB$87,Formula!H48,46)),IF(INDEX(Properties!A$1:CB$87,Formula!J48,46)=0,10^6,INDEX(Properties!A$1:CB$87,Formula!J48,46)))</f>
        <v>0.9</v>
      </c>
      <c r="EO48" s="66">
        <f t="shared" si="23"/>
        <v>0.42000000000000004</v>
      </c>
      <c r="EP48" s="81">
        <f>((Formula!C48)/(Formula!C48+Formula!E48+Formula!G48+Formula!I48+Formula!K48))*(INDEX(Properties!A$1:CB$87,Formula!B48,52))+((Formula!E48)/(Formula!C48+Formula!E48+Formula!G48+Formula!I48+Formula!K48))*(INDEX(Properties!A$1:CB$87,Formula!D48,52))+((Formula!G48)/(Formula!C48+Formula!E48+Formula!G48+Formula!I48+Formula!K48))*(INDEX(Properties!A$1:CB$87,Formula!F48,52))+((Formula!I48)/(Formula!C48+Formula!E48+Formula!G48+Formula!I48+Formula!K48))*(INDEX(Properties!A$1:CB$87,Formula!H48,52))+((Formula!K48)/(Formula!C48+Formula!E48+Formula!G48+Formula!I48+Formula!K48))*(INDEX(Properties!A$1:CB$87,Formula!J48,52))</f>
        <v>10.705272727272726</v>
      </c>
      <c r="EQ48" s="81">
        <f>Formula!C48*(INDEX(Properties!A$1:CB$87,Formula!B48,52))+Formula!E48*(INDEX(Properties!A$1:CB$87,Formula!D48,52))+Formula!G48*(INDEX(Properties!A$1:CB$87,Formula!F48,52))+Formula!I48*(INDEX(Properties!A$1:CB$87,Formula!H48,52))+Formula!K48*(INDEX(Properties!A$1:CB$87,Formula!J48,52))</f>
        <v>117.758</v>
      </c>
      <c r="ER48" s="81">
        <f>VARP(IF(INDEX(Properties!A$1:CB$87,Formula!B48,52)&lt;&gt;"",INDEX(Properties!A$1:CB$87,Formula!B48,52)),IF(INDEX(Properties!A$1:CB$87,Formula!D48,52)&lt;&gt;"",INDEX(Properties!A$1:CB$87,Formula!D48,52)),IF(INDEX(Properties!A$1:CB$87,Formula!F48,52)&lt;&gt;"",INDEX(Properties!A$1:CB$87,Formula!F48,52)),IF(INDEX(Properties!A$1:CB$87,Formula!H48,52)&lt;&gt;"",INDEX(Properties!A$1:CB$87,Formula!H48,52)),IF(INDEX(Properties!A$1:CB$87,Formula!J48,52)&lt;&gt;"",INDEX(Properties!A$1:CB$87,Formula!J48,52)))</f>
        <v>135.25618384000003</v>
      </c>
      <c r="ES48" s="81">
        <f>MAX(INDEX(Properties!A$1:CB$87,Formula!B48,52),INDEX(Properties!A$1:CB$87,Formula!D48,52),INDEX(Properties!A$1:CB$87,Formula!F48,52),INDEX(Properties!A$1:CB$87,Formula!H48,52),INDEX(Properties!A$1:CB$87,Formula!J48,52))</f>
        <v>27.6</v>
      </c>
      <c r="ET48" s="81">
        <f>MIN(IF(INDEX(Properties!A$1:CB$87,Formula!B48,52)=0,10^6,INDEX(Properties!A$1:CB$87,Formula!B48,52)),IF(INDEX(Properties!A$1:CB$87,Formula!D48,52)=0,10^6,INDEX(Properties!A$1:CB$87,Formula!D48,52)),IF(INDEX(Properties!A$1:CB$87,Formula!F48,52)=0,10^6,INDEX(Properties!A$1:CB$87,Formula!F48,52)),IF(INDEX(Properties!A$1:CB$87,Formula!H48,52)=0,10^6,INDEX(Properties!A$1:CB$87,Formula!H48,52)),IF(INDEX(Properties!A$1:CB$87,Formula!J48,52)=0,10^6,INDEX(Properties!A$1:CB$87,Formula!J48,52)))</f>
        <v>0.79300000000000004</v>
      </c>
      <c r="EU48" s="81">
        <f t="shared" si="24"/>
        <v>26.807000000000002</v>
      </c>
      <c r="EV48" s="39">
        <f>((Formula!C48)/(Formula!C48+Formula!E48+Formula!G48+Formula!I48+Formula!K48))*(INDEX(Properties!A$1:CB$87,Formula!B48,53))+((Formula!E48)/(Formula!C48+Formula!E48+Formula!G48+Formula!I48+Formula!K48))*(INDEX(Properties!A$1:CB$87,Formula!D48,53))+((Formula!G48)/(Formula!C48+Formula!E48+Formula!G48+Formula!I48+Formula!K48))*(INDEX(Properties!A$1:CB$87,Formula!F48,53))+((Formula!I48)/(Formula!C48+Formula!E48+Formula!G48+Formula!I48+Formula!K48))*(INDEX(Properties!A$1:CB$87,Formula!H48,53))+((Formula!K48)/(Formula!C48+Formula!E48+Formula!G48+Formula!I48+Formula!K48))*(INDEX(Properties!A$1:CB$87,Formula!J48,53))</f>
        <v>430.00454545454545</v>
      </c>
      <c r="EW48" s="39">
        <f>Formula!C48*(INDEX(Properties!A$1:CB$87,Formula!B48,53))+Formula!E48*(INDEX(Properties!A$1:CB$87,Formula!D48,53))+Formula!G48*(INDEX(Properties!A$1:CB$87,Formula!F48,53))+Formula!I48*(INDEX(Properties!A$1:CB$87,Formula!H48,53))+Formula!K48*(INDEX(Properties!A$1:CB$87,Formula!J48,53))</f>
        <v>4730.05</v>
      </c>
      <c r="EX48" s="39">
        <f>VARP(IF(INDEX(Properties!A$1:CB$87,Formula!B48,53)&lt;&gt;"",INDEX(Properties!A$1:CB$87,Formula!B48,53)),IF(INDEX(Properties!A$1:CB$87,Formula!D48,53)&lt;&gt;"",INDEX(Properties!A$1:CB$87,Formula!D48,53)),IF(INDEX(Properties!A$1:CB$87,Formula!F48,53)&lt;&gt;"",INDEX(Properties!A$1:CB$87,Formula!F48,53)),IF(INDEX(Properties!A$1:CB$87,Formula!H48,53)&lt;&gt;"",INDEX(Properties!A$1:CB$87,Formula!H48,53)),IF(INDEX(Properties!A$1:CB$87,Formula!J48,53)&lt;&gt;"",INDEX(Properties!A$1:CB$87,Formula!J48,53)))</f>
        <v>183777.70200000002</v>
      </c>
      <c r="EY48" s="39">
        <f>MAX(INDEX(Properties!A$1:CB$87,Formula!B48,53),INDEX(Properties!A$1:CB$87,Formula!D48,53),INDEX(Properties!A$1:CB$87,Formula!F48,53),INDEX(Properties!A$1:CB$87,Formula!H48,53),INDEX(Properties!A$1:CB$87,Formula!J48,53))</f>
        <v>1042.1500000000001</v>
      </c>
      <c r="EZ48" s="39">
        <f>MIN(IF(INDEX(Properties!A$1:CB$87,Formula!B48,53)=0,10^6,INDEX(Properties!A$1:CB$87,Formula!B48,53)),IF(INDEX(Properties!A$1:CB$87,Formula!D48,53)=0,10^6,INDEX(Properties!A$1:CB$87,Formula!D48,53)),IF(INDEX(Properties!A$1:CB$87,Formula!F48,53)=0,10^6,INDEX(Properties!A$1:CB$87,Formula!F48,53)),IF(INDEX(Properties!A$1:CB$87,Formula!H48,53)=0,10^6,INDEX(Properties!A$1:CB$87,Formula!H48,53)),IF(INDEX(Properties!A$1:CB$87,Formula!J48,53)=0,10^6,INDEX(Properties!A$1:CB$87,Formula!J48,53)))</f>
        <v>54.749999999999972</v>
      </c>
      <c r="FA48" s="39">
        <f t="shared" si="25"/>
        <v>987.40000000000009</v>
      </c>
      <c r="FB48" s="54">
        <f>((Formula!C48)/(Formula!C48+Formula!E48+Formula!G48+Formula!I48+Formula!K48))*(INDEX(Properties!A$1:CB$87,Formula!B48,54))+((Formula!E48)/(Formula!C48+Formula!E48+Formula!G48+Formula!I48+Formula!K48))*(INDEX(Properties!A$1:CB$87,Formula!D48,54))+((Formula!G48)/(Formula!C48+Formula!E48+Formula!G48+Formula!I48+Formula!K48))*(INDEX(Properties!A$1:CB$87,Formula!F48,54))+((Formula!I48)/(Formula!C48+Formula!E48+Formula!G48+Formula!I48+Formula!K48))*(INDEX(Properties!A$1:CB$87,Formula!H48,54))+((Formula!K48)/(Formula!C48+Formula!E48+Formula!G48+Formula!I48+Formula!K48))*(INDEX(Properties!A$1:CB$87,Formula!J48,54))</f>
        <v>808.33181818181811</v>
      </c>
      <c r="FC48" s="54">
        <f>Formula!C48*(INDEX(Properties!A$1:CB$87,Formula!B48,54))+Formula!E48*(INDEX(Properties!A$1:CB$87,Formula!D48,54))+Formula!G48*(INDEX(Properties!A$1:CB$87,Formula!F48,54))+Formula!I48*(INDEX(Properties!A$1:CB$87,Formula!H48,54))+Formula!K48*(INDEX(Properties!A$1:CB$87,Formula!J48,54))</f>
        <v>8891.65</v>
      </c>
      <c r="FD48" s="54">
        <f>VARP(IF(INDEX(Properties!A$1:CB$87,Formula!B48,54)&lt;&gt;"",INDEX(Properties!A$1:CB$87,Formula!B48,54)),IF(INDEX(Properties!A$1:CB$87,Formula!D48,54)&lt;&gt;"",INDEX(Properties!A$1:CB$87,Formula!D48,54)),IF(INDEX(Properties!A$1:CB$87,Formula!F48,54)&lt;&gt;"",INDEX(Properties!A$1:CB$87,Formula!F48,54)),IF(INDEX(Properties!A$1:CB$87,Formula!H48,54)&lt;&gt;"",INDEX(Properties!A$1:CB$87,Formula!H48,54)),IF(INDEX(Properties!A$1:CB$87,Formula!J48,54)&lt;&gt;"",INDEX(Properties!A$1:CB$87,Formula!J48,54)))</f>
        <v>755389.27560000028</v>
      </c>
      <c r="FE48" s="54">
        <f>MAX(INDEX(Properties!A$1:CB$87,Formula!B48,54),INDEX(Properties!A$1:CB$87,Formula!D48,54),INDEX(Properties!A$1:CB$87,Formula!F48,54),INDEX(Properties!A$1:CB$87,Formula!H48,54),INDEX(Properties!A$1:CB$87,Formula!J48,54))</f>
        <v>2223.15</v>
      </c>
      <c r="FF48" s="54">
        <f>MIN(IF(INDEX(Properties!A$1:CB$87,Formula!B48,54)=0,10^6,INDEX(Properties!A$1:CB$87,Formula!B48,54)),IF(INDEX(Properties!A$1:CB$87,Formula!D48,54)=0,10^6,INDEX(Properties!A$1:CB$87,Formula!D48,54)),IF(INDEX(Properties!A$1:CB$87,Formula!F48,54)=0,10^6,INDEX(Properties!A$1:CB$87,Formula!F48,54)),IF(INDEX(Properties!A$1:CB$87,Formula!H48,54)=0,10^6,INDEX(Properties!A$1:CB$87,Formula!H48,54)),IF(INDEX(Properties!A$1:CB$87,Formula!J48,54)=0,10^6,INDEX(Properties!A$1:CB$87,Formula!J48,54)))</f>
        <v>90.149999999999977</v>
      </c>
      <c r="FG48" s="54">
        <f t="shared" si="26"/>
        <v>2133</v>
      </c>
      <c r="FH48" s="69">
        <f>((Formula!C48)/(Formula!C48+Formula!E48+Formula!G48+Formula!I48+Formula!K48))*(INDEX(Properties!A$1:CB$87,Formula!B48,55))+((Formula!E48)/(Formula!C48+Formula!E48+Formula!G48+Formula!I48+Formula!K48))*(INDEX(Properties!A$1:CB$87,Formula!D48,55))+((Formula!G48)/(Formula!C48+Formula!E48+Formula!G48+Formula!I48+Formula!K48))*(INDEX(Properties!A$1:CB$87,Formula!F48,55))+((Formula!I48)/(Formula!C48+Formula!E48+Formula!G48+Formula!I48+Formula!K48))*(INDEX(Properties!A$1:CB$87,Formula!H48,55))+((Formula!K48)/(Formula!C48+Formula!E48+Formula!G48+Formula!I48+Formula!K48))*(INDEX(Properties!A$1:CB$87,Formula!J48,55))</f>
        <v>1.4145072727272727</v>
      </c>
      <c r="FI48" s="69">
        <f>Formula!C48*(INDEX(Properties!A$1:CB$87,Formula!B48,55))+Formula!E48*(INDEX(Properties!A$1:CB$87,Formula!D48,54))+Formula!G48*(INDEX(Properties!A$1:CB$87,Formula!F48,55))+Formula!I48*(INDEX(Properties!A$1:CB$87,Formula!H48,55))+Formula!K48*(INDEX(Properties!A$1:CB$87,Formula!J48,55))</f>
        <v>1170.7385800000002</v>
      </c>
      <c r="FJ48" s="69">
        <f>VARP(IF(INDEX(Properties!A$1:CB$87,Formula!B48,55)&lt;&gt;"",INDEX(Properties!A$1:CB$87,Formula!B48,55)),IF(INDEX(Properties!A$1:CB$87,Formula!D48,55)&lt;&gt;"",INDEX(Properties!A$1:CB$87,Formula!D48,55)),IF(INDEX(Properties!A$1:CB$87,Formula!F48,55)&lt;&gt;"",INDEX(Properties!A$1:CB$87,Formula!F48,55)),IF(INDEX(Properties!A$1:CB$87,Formula!H48,55)&lt;&gt;"",INDEX(Properties!A$1:CB$87,Formula!H48,55)),IF(INDEX(Properties!A$1:CB$87,Formula!J48,55)&lt;&gt;"",INDEX(Properties!A$1:CB$87,Formula!J48,55)))</f>
        <v>6.2858039967839998</v>
      </c>
      <c r="FK48" s="69">
        <f>MAX(INDEX(Properties!A$1:CB$87,Formula!B48,55),INDEX(Properties!A$1:CB$87,Formula!D48,55),INDEX(Properties!A$1:CB$87,Formula!F48,55),INDEX(Properties!A$1:CB$87,Formula!H48,55),INDEX(Properties!A$1:CB$87,Formula!J48,55))</f>
        <v>6.69</v>
      </c>
      <c r="FL48" s="69">
        <f>MIN(IF(INDEX(Properties!A$1:CB$87,Formula!B48,55)=0,10^6,INDEX(Properties!A$1:CB$87,Formula!B48,55)),IF(INDEX(Properties!A$1:CB$87,Formula!D48,55)=0,10^6,INDEX(Properties!A$1:CB$87,Formula!D48,55)),IF(INDEX(Properties!A$1:CB$87,Formula!F48,55)=0,10^6,INDEX(Properties!A$1:CB$87,Formula!F48,55)),IF(INDEX(Properties!A$1:CB$87,Formula!H48,55)=0,10^6,INDEX(Properties!A$1:CB$87,Formula!H48,55)),IF(INDEX(Properties!A$1:CB$87,Formula!J48,55)=0,10^6,INDEX(Properties!A$1:CB$87,Formula!J48,55)))</f>
        <v>1.4300000000000001E-3</v>
      </c>
      <c r="FM48" s="69">
        <f t="shared" si="27"/>
        <v>6.6885700000000003</v>
      </c>
      <c r="FN48" s="42">
        <f>((Formula!C48)/(Formula!C48+Formula!E48+Formula!G48+Formula!I48+Formula!K48))*(INDEX(Properties!A$1:CB$87,Formula!B48,56))+((Formula!E48)/(Formula!C48+Formula!E48+Formula!G48+Formula!I48+Formula!K48))*(INDEX(Properties!A$1:CB$87,Formula!D48,56))+((Formula!G48)/(Formula!C48+Formula!E48+Formula!G48+Formula!I48+Formula!K48))*(INDEX(Properties!A$1:CB$87,Formula!F48,56))+((Formula!I48)/(Formula!C48+Formula!E48+Formula!G48+Formula!I48+Formula!K48))*(INDEX(Properties!A$1:CB$87,Formula!H48,56))+((Formula!K48)/(Formula!C48+Formula!E48+Formula!G48+Formula!I48+Formula!K48))*(INDEX(Properties!A$1:CB$87,Formula!J48,56))</f>
        <v>0.71454545454545459</v>
      </c>
      <c r="FO48" s="42">
        <f>Formula!C48*(INDEX(Properties!A$1:CB$87,Formula!B48,56))+Formula!E48*(INDEX(Properties!A$1:CB$87,Formula!D48,56))+Formula!G48*(INDEX(Properties!A$1:CB$87,Formula!F48,56))+Formula!I48*(INDEX(Properties!A$1:CB$87,Formula!H48,56))+Formula!K48*(INDEX(Properties!A$1:CB$87,Formula!J48,56))</f>
        <v>7.86</v>
      </c>
      <c r="FP48" s="42">
        <f>VARP(IF(INDEX(Properties!A$1:CB$87,Formula!B48,56)&lt;&gt;"",INDEX(Properties!A$1:CB$87,Formula!B48,56)),IF(INDEX(Properties!A$1:CB$87,Formula!D48,56)&lt;&gt;"",INDEX(Properties!A$1:CB$87,Formula!D48,56)),IF(INDEX(Properties!A$1:CB$87,Formula!F48,56)&lt;&gt;"",INDEX(Properties!A$1:CB$87,Formula!F48,56)),IF(INDEX(Properties!A$1:CB$87,Formula!H48,56)&lt;&gt;"",INDEX(Properties!A$1:CB$87,Formula!H48,56)),IF(INDEX(Properties!A$1:CB$87,Formula!J48,56)&lt;&gt;"",INDEX(Properties!A$1:CB$87,Formula!J48,56)))</f>
        <v>0.21565600000000007</v>
      </c>
      <c r="FQ48" s="42">
        <f>MAX(INDEX(Properties!A$1:CB$87,Formula!B48,56),INDEX(Properties!A$1:CB$87,Formula!D48,56),INDEX(Properties!A$1:CB$87,Formula!F48,56),INDEX(Properties!A$1:CB$87,Formula!H48,56),INDEX(Properties!A$1:CB$87,Formula!J48,56))</f>
        <v>1.23</v>
      </c>
      <c r="FR48" s="42">
        <f>MIN(IF(INDEX(Properties!A$1:CB$87,Formula!B48,56)=0,10^6,INDEX(Properties!A$1:CB$87,Formula!B48,56)),IF(INDEX(Properties!A$1:CB$87,Formula!D48,56)=0,10^6,INDEX(Properties!A$1:CB$87,Formula!D48,56)),IF(INDEX(Properties!A$1:CB$87,Formula!F48,56)=0,10^6,INDEX(Properties!A$1:CB$87,Formula!F48,56)),IF(INDEX(Properties!A$1:CB$87,Formula!H48,56)=0,10^6,INDEX(Properties!A$1:CB$87,Formula!H48,56)),IF(INDEX(Properties!A$1:CB$87,Formula!J48,56)=0,10^6,INDEX(Properties!A$1:CB$87,Formula!J48,56)))</f>
        <v>0.21</v>
      </c>
      <c r="FS48" s="42">
        <f t="shared" si="28"/>
        <v>1.02</v>
      </c>
      <c r="FT48" s="60">
        <f>((Formula!C48)/(Formula!C48+Formula!E48+Formula!G48+Formula!I48+Formula!K48))*(INDEX(Properties!A$1:CB$87,Formula!B48,57))+((Formula!E48)/(Formula!C48+Formula!E48+Formula!G48+Formula!I48+Formula!K48))*(INDEX(Properties!A$1:CB$87,Formula!D48,57))+((Formula!G48)/(Formula!C48+Formula!E48+Formula!G48+Formula!I48+Formula!K48))*(INDEX(Properties!A$1:CB$87,Formula!F48,57))+((Formula!I48)/(Formula!C48+Formula!E48+Formula!G48+Formula!I48+Formula!K48))*(INDEX(Properties!A$1:CB$87,Formula!H48,57))+((Formula!K48)/(Formula!C48+Formula!E48+Formula!G48+Formula!I48+Formula!K48))*(INDEX(Properties!A$1:CB$87,Formula!J48,57))</f>
        <v>4.4275945454545456</v>
      </c>
      <c r="FU48" s="60">
        <f>Formula!C48*(INDEX(Properties!A$1:CB$87,Formula!B48,57))+Formula!E48*(INDEX(Properties!A$1:CB$87,Formula!D48,57))+Formula!G48*(INDEX(Properties!A$1:CB$87,Formula!F48,57))+Formula!I48*(INDEX(Properties!A$1:CB$87,Formula!H48,57))+Formula!K48*(INDEX(Properties!A$1:CB$87,Formula!J48,57))</f>
        <v>48.703540000000004</v>
      </c>
      <c r="FV48" s="60">
        <f>VARP(IF(INDEX(Properties!A$1:CB$87,Formula!B48,57)&lt;&gt;"",INDEX(Properties!A$1:CB$87,Formula!B48,57)),IF(INDEX(Properties!A$1:CB$87,Formula!D48,57)&lt;&gt;"",INDEX(Properties!A$1:CB$87,Formula!D48,57)),IF(INDEX(Properties!A$1:CB$87,Formula!F48,57)&lt;&gt;"",INDEX(Properties!A$1:CB$87,Formula!F48,57)),IF(INDEX(Properties!A$1:CB$87,Formula!H48,57)&lt;&gt;"",INDEX(Properties!A$1:CB$87,Formula!H48,57)),IF(INDEX(Properties!A$1:CB$87,Formula!J48,57)&lt;&gt;"",INDEX(Properties!A$1:CB$87,Formula!J48,57)))</f>
        <v>55.684543319696004</v>
      </c>
      <c r="FW48" s="60">
        <f>MAX(INDEX(Properties!A$1:CB$87,Formula!B48,57),INDEX(Properties!A$1:CB$87,Formula!D48,57),INDEX(Properties!A$1:CB$87,Formula!F48,57),INDEX(Properties!A$1:CB$87,Formula!H48,57),INDEX(Properties!A$1:CB$87,Formula!J48,57))</f>
        <v>19.87</v>
      </c>
      <c r="FX48" s="60">
        <f>MIN(IF(INDEX(Properties!A$1:CB$87,Formula!B48,57)=0,10^6,INDEX(Properties!A$1:CB$87,Formula!B48,57)),IF(INDEX(Properties!A$1:CB$87,Formula!D48,57)=0,10^6,INDEX(Properties!A$1:CB$87,Formula!D48,57)),IF(INDEX(Properties!A$1:CB$87,Formula!F48,57)=0,10^6,INDEX(Properties!A$1:CB$87,Formula!F48,57)),IF(INDEX(Properties!A$1:CB$87,Formula!H48,57)=0,10^6,INDEX(Properties!A$1:CB$87,Formula!H48,57)),IF(INDEX(Properties!A$1:CB$87,Formula!J48,57)=0,10^6,INDEX(Properties!A$1:CB$87,Formula!J48,57)))</f>
        <v>0.22259000000000001</v>
      </c>
      <c r="FY48" s="60">
        <f t="shared" si="29"/>
        <v>19.647410000000001</v>
      </c>
      <c r="FZ48" s="72">
        <f>((Formula!C48)/(Formula!C48+Formula!E48+Formula!G48+Formula!I48+Formula!K48))*(INDEX(Properties!A$1:CB$87,Formula!B48,60))+((Formula!E48)/(Formula!C48+Formula!E48+Formula!G48+Formula!I48+Formula!K48))*(INDEX(Properties!A$1:CB$87,Formula!D48,60))+((Formula!G48)/(Formula!C48+Formula!E48+Formula!G48+Formula!I48+Formula!K48))*(INDEX(Properties!A$1:CB$87,Formula!F48,60))+((Formula!I48)/(Formula!C48+Formula!E48+Formula!G48+Formula!I48+Formula!K48))*(INDEX(Properties!A$1:CB$87,Formula!H48,60))+((Formula!K48)/(Formula!C48+Formula!E48+Formula!G48+Formula!I48+Formula!K48))*(INDEX(Properties!A$1:CB$87,Formula!J48,60))</f>
        <v>24.66913090909091</v>
      </c>
      <c r="GA48" s="72">
        <f>Formula!C48*(INDEX(Properties!A$1:CB$87,Formula!B48,60))+Formula!E48*(INDEX(Properties!A$1:CB$87,Formula!D48,60))+Formula!G48*(INDEX(Properties!A$1:CB$87,Formula!F48,60))+Formula!I48*(INDEX(Properties!A$1:CB$87,Formula!H48,60))+Formula!K48*(INDEX(Properties!A$1:CB$87,Formula!J48,60))</f>
        <v>271.36043999999998</v>
      </c>
      <c r="GB48" s="72">
        <f>VARP(IF(INDEX(Properties!A$1:CB$87,Formula!B48,60)&lt;&gt;"",INDEX(Properties!A$1:CB$87,Formula!B48,60)),IF(INDEX(Properties!A$1:CB$87,Formula!D48,60)&lt;&gt;"",INDEX(Properties!A$1:CB$87,Formula!D48,60)),IF(INDEX(Properties!A$1:CB$87,Formula!F48,60)&lt;&gt;"",INDEX(Properties!A$1:CB$87,Formula!F48,60)),IF(INDEX(Properties!A$1:CB$87,Formula!H48,60)&lt;&gt;"",INDEX(Properties!A$1:CB$87,Formula!H48,60)),IF(INDEX(Properties!A$1:CB$87,Formula!J48,60)&lt;&gt;"",INDEX(Properties!A$1:CB$87,Formula!J48,60)))</f>
        <v>2733.4725908844161</v>
      </c>
      <c r="GC48" s="72">
        <f>MAX(INDEX(Properties!A$1:CB$87,Formula!B48,60),INDEX(Properties!A$1:CB$87,Formula!D48,60),INDEX(Properties!A$1:CB$87,Formula!F48,60),INDEX(Properties!A$1:CB$87,Formula!H48,60),INDEX(Properties!A$1:CB$87,Formula!J48,60))</f>
        <v>141</v>
      </c>
      <c r="GD48" s="72">
        <f>MIN(IF(INDEX(Properties!A$1:CB$87,Formula!B48,60)=0,10^6,INDEX(Properties!A$1:CB$87,Formula!B48,60)),IF(INDEX(Properties!A$1:CB$87,Formula!D48,60)=0,10^6,INDEX(Properties!A$1:CB$87,Formula!D48,60)),IF(INDEX(Properties!A$1:CB$87,Formula!F48,60)=0,10^6,INDEX(Properties!A$1:CB$87,Formula!F48,60)),IF(INDEX(Properties!A$1:CB$87,Formula!H48,60)=0,10^6,INDEX(Properties!A$1:CB$87,Formula!H48,60)),IF(INDEX(Properties!A$1:CB$87,Formula!J48,60)=0,10^6,INDEX(Properties!A$1:CB$87,Formula!J48,60)))</f>
        <v>2.674E-2</v>
      </c>
      <c r="GE48" s="72">
        <f t="shared" si="30"/>
        <v>140.97326000000001</v>
      </c>
      <c r="GF48" s="51">
        <f>((Formula!C48)/(Formula!C48+Formula!E48+Formula!G48+Formula!I48+Formula!K48))*(INDEX(Properties!A$1:CB$87,Formula!B48,62))+((Formula!E48)/(Formula!C48+Formula!E48+Formula!G48+Formula!I48+Formula!K48))*(INDEX(Properties!A$1:CB$87,Formula!D48,62))+((Formula!G48)/(Formula!C48+Formula!E48+Formula!G48+Formula!I48+Formula!K48))*(INDEX(Properties!A$1:CB$87,Formula!F48,62))+((Formula!I48)/(Formula!C48+Formula!E48+Formula!G48+Formula!I48+Formula!K48))*(INDEX(Properties!A$1:CB$87,Formula!H48,62))+((Formula!K48)/(Formula!C48+Formula!E48+Formula!G48+Formula!I48+Formula!K48))*(INDEX(Properties!A$1:CB$87,Formula!J48,62))</f>
        <v>2.2493636363636362</v>
      </c>
      <c r="GG48" s="51">
        <f>Formula!C48*(INDEX(Properties!A$1:CB$87,Formula!B48,62))+Formula!E48*(INDEX(Properties!A$1:CB$87,Formula!D48,62))+Formula!G48*(INDEX(Properties!A$1:CB$87,Formula!F48,62))+Formula!I48*(INDEX(Properties!A$1:CB$87,Formula!H48,62))+Formula!K48*(INDEX(Properties!A$1:CB$87,Formula!J48,62))</f>
        <v>24.743000000000002</v>
      </c>
      <c r="GH48" s="51">
        <f>VARP(IF(INDEX(Properties!A$1:CB$87,Formula!B48,62)&lt;&gt;"",INDEX(Properties!A$1:CB$87,Formula!B48,62)),IF(INDEX(Properties!A$1:CB$87,Formula!D48,62)&lt;&gt;"",INDEX(Properties!A$1:CB$87,Formula!D48,62)),IF(INDEX(Properties!A$1:CB$87,Formula!F48,62)&lt;&gt;"",INDEX(Properties!A$1:CB$87,Formula!F48,62)),IF(INDEX(Properties!A$1:CB$87,Formula!H48,62)&lt;&gt;"",INDEX(Properties!A$1:CB$87,Formula!H48,62)),IF(INDEX(Properties!A$1:CB$87,Formula!J48,62)&lt;&gt;"",INDEX(Properties!A$1:CB$87,Formula!J48,62)))</f>
        <v>1.03324544</v>
      </c>
      <c r="GI48" s="51">
        <f>MAX(INDEX(Properties!A$1:CB$87,Formula!B48,62),INDEX(Properties!A$1:CB$87,Formula!D48,62),INDEX(Properties!A$1:CB$87,Formula!F48,62),INDEX(Properties!A$1:CB$87,Formula!H48,62),INDEX(Properties!A$1:CB$87,Formula!J48,62))</f>
        <v>2.75</v>
      </c>
      <c r="GJ48" s="51">
        <f>MIN(IF(INDEX(Properties!A$1:CB$87,Formula!B48,62)=0,10^6,INDEX(Properties!A$1:CB$87,Formula!B48,62)),IF(INDEX(Properties!A$1:CB$87,Formula!D48,62)=0,10^6,INDEX(Properties!A$1:CB$87,Formula!D48,62)),IF(INDEX(Properties!A$1:CB$87,Formula!F48,62)=0,10^6,INDEX(Properties!A$1:CB$87,Formula!F48,62)),IF(INDEX(Properties!A$1:CB$87,Formula!H48,62)=0,10^6,INDEX(Properties!A$1:CB$87,Formula!H48,62)),IF(INDEX(Properties!A$1:CB$87,Formula!J48,62)=0,10^6,INDEX(Properties!A$1:CB$87,Formula!J48,62)))</f>
        <v>1.113</v>
      </c>
      <c r="GK48" s="51">
        <f t="shared" si="31"/>
        <v>1.637</v>
      </c>
      <c r="GL48" s="51">
        <f>Formula!P48</f>
        <v>167</v>
      </c>
      <c r="GM48" s="57">
        <f>Formula!O48</f>
        <v>5</v>
      </c>
      <c r="GN48" s="51">
        <f>Formula!N48</f>
        <v>0.03</v>
      </c>
    </row>
    <row r="49" spans="1:196" x14ac:dyDescent="0.3">
      <c r="A49" s="84" t="str">
        <f>Formula!A49</f>
        <v>Y2Sn2O7</v>
      </c>
      <c r="B49" s="89">
        <f>((Formula!C49)/(Formula!C49+Formula!E49+Formula!G49+Formula!I49+Formula!K49))*(INDEX(Properties!A$1:CB$87,Formula!B49,3))+((Formula!E49)/(Formula!C49+Formula!E49+Formula!G49+Formula!I49+Formula!K49))*(INDEX(Properties!A$1:CB$87,Formula!D49,3))+((Formula!G49)/(Formula!C49+Formula!E49+Formula!G49+Formula!I49+Formula!K49))*(INDEX(Properties!A$1:CB$87,Formula!F49,3))+((Formula!I49)/(Formula!C49+Formula!E49+Formula!G49+Formula!I49+Formula!K49))*(INDEX(Properties!A$1:CB$87,Formula!H49,3))+((Formula!K49)/(Formula!C49+Formula!E49+Formula!G49+Formula!I49+Formula!K49))*(INDEX(Properties!A$1:CB$87,Formula!J49,3))</f>
        <v>47.929770909090905</v>
      </c>
      <c r="C49" s="85">
        <f>Formula!C49*(INDEX(Properties!A$1:CB$87,Formula!B49,3))+Formula!E49*(INDEX(Properties!A$1:CB$87,Formula!D49,3))+Formula!G49*(INDEX(Properties!A$1:CB$87,Formula!F49,3))+Formula!I49*(INDEX(Properties!A$1:CB$87,Formula!H49,3))+Formula!K49*(INDEX(Properties!A$1:CB$87,Formula!J49,3))</f>
        <v>527.22748000000001</v>
      </c>
      <c r="D49" s="85">
        <f>VARP(IF(INDEX(Properties!A$1:CB$87,Formula!B49,3)&lt;&gt;"",INDEX(Properties!A$1:CB$87,Formula!B49,3)),IF(INDEX(Properties!A$1:CB$87,Formula!D49,3)&lt;&gt;"",INDEX(Properties!A$1:CB$87,Formula!D49,3)),IF(INDEX(Properties!A$1:CB$87,Formula!F49,3)&lt;&gt;"",INDEX(Properties!A$1:CB$87,Formula!F49,3)),IF(INDEX(Properties!A$1:CB$87,Formula!H49,3)&lt;&gt;"",INDEX(Properties!A$1:CB$87,Formula!H49,3)),IF(INDEX(Properties!A$1:CB$87,Formula!J49,3)&lt;&gt;"",INDEX(Properties!A$1:CB$87,Formula!J49,3)))</f>
        <v>2450.3076348828163</v>
      </c>
      <c r="E49" s="85">
        <f>MAX(INDEX(Properties!A$1:CB$87,Formula!B49,3),INDEX(Properties!A$1:CB$87,Formula!D49,3),INDEX(Properties!A$1:CB$87,Formula!F49,3),INDEX(Properties!A$1:CB$87,Formula!H49,3),INDEX(Properties!A$1:CB$87,Formula!J49,3))</f>
        <v>118.71</v>
      </c>
      <c r="F49" s="85">
        <f>MIN(IF(INDEX(Properties!A$1:CB$87,Formula!B49,3)=0,10^6,INDEX(Properties!A$1:CB$87,Formula!B49,3)),IF(INDEX(Properties!A$1:CB$87,Formula!D49,3)=0,10^6,INDEX(Properties!A$1:CB$87,Formula!D49,3)),IF(INDEX(Properties!A$1:CB$87,Formula!F49,3)=0,10^6,INDEX(Properties!A$1:CB$87,Formula!F49,3)),IF(INDEX(Properties!A$1:CB$87,Formula!H49,3)=0,10^6,INDEX(Properties!A$1:CB$87,Formula!H49,3)),IF(INDEX(Properties!A$1:CB$87,Formula!J49,3)=0,10^6,INDEX(Properties!A$1:CB$87,Formula!J49,3)))</f>
        <v>15.9994</v>
      </c>
      <c r="G49" s="85">
        <f t="shared" si="0"/>
        <v>102.7106</v>
      </c>
      <c r="H49" s="87">
        <f>((Formula!C49)/(Formula!C49+Formula!E49+Formula!G49+Formula!I49+Formula!K49))*(INDEX(Properties!A$1:CB$87,Formula!B49,4))+((Formula!E49)/(Formula!C49+Formula!E49+Formula!G49+Formula!I49+Formula!K49))*(INDEX(Properties!A$1:CB$87,Formula!D49,4))+((Formula!G49)/(Formula!C49+Formula!E49+Formula!G49+Formula!I49+Formula!K49))*(INDEX(Properties!A$1:CB$87,Formula!F49,4))+((Formula!I49)/(Formula!C49+Formula!E49+Formula!G49+Formula!I49+Formula!K49))*(INDEX(Properties!A$1:CB$87,Formula!H49,4))+((Formula!K49)/(Formula!C49+Formula!E49+Formula!G49+Formula!I49+Formula!K49))*(INDEX(Properties!A$1:CB$87,Formula!J49,4))</f>
        <v>21.272727272727273</v>
      </c>
      <c r="I49" s="87">
        <f>Formula!C49*(INDEX(Properties!A$1:CB$87,Formula!B49,4))+Formula!E49*(INDEX(Properties!A$1:CB$87,Formula!D49,4))+Formula!G49*(INDEX(Properties!A$1:CB$87,Formula!F49,4))+Formula!I49*(INDEX(Properties!A$1:CB$87,Formula!H49,4))+Formula!K49*(INDEX(Properties!A$1:CB$87,Formula!J49,4))</f>
        <v>234</v>
      </c>
      <c r="J49" s="87">
        <f>VARP(IF(INDEX(Properties!A$1:CB$87,Formula!B49,4)&lt;&gt;"",INDEX(Properties!A$1:CB$87,Formula!B49,4)),IF(INDEX(Properties!A$1:CB$87,Formula!D49,4)&lt;&gt;"",INDEX(Properties!A$1:CB$87,Formula!D49,4)),IF(INDEX(Properties!A$1:CB$87,Formula!F49,4)&lt;&gt;"",INDEX(Properties!A$1:CB$87,Formula!F49,4)),IF(INDEX(Properties!A$1:CB$87,Formula!H49,4)&lt;&gt;"",INDEX(Properties!A$1:CB$87,Formula!H49,4)),IF(INDEX(Properties!A$1:CB$87,Formula!J49,4)&lt;&gt;"",INDEX(Properties!A$1:CB$87,Formula!J49,4)))</f>
        <v>440.64</v>
      </c>
      <c r="K49" s="87">
        <f>MAX(INDEX(Properties!A$1:CB$87,Formula!B49,4),INDEX(Properties!A$1:CB$87,Formula!D49,4),INDEX(Properties!A$1:CB$87,Formula!F49,4),INDEX(Properties!A$1:CB$87,Formula!H49,4),INDEX(Properties!A$1:CB$87,Formula!J49,4))</f>
        <v>50</v>
      </c>
      <c r="L49" s="87">
        <f>MIN(IF(INDEX(Properties!A$1:CB$87,Formula!B49,4)=0,10^6,INDEX(Properties!A$1:CB$87,Formula!B49,4)),IF(INDEX(Properties!A$1:CB$87,Formula!D49,4)=0,10^6,INDEX(Properties!A$1:CB$87,Formula!D49,4)),IF(INDEX(Properties!A$1:CB$87,Formula!F49,4)=0,10^6,INDEX(Properties!A$1:CB$87,Formula!F49,4)),IF(INDEX(Properties!A$1:CB$87,Formula!H49,4)=0,10^6,INDEX(Properties!A$1:CB$87,Formula!H49,4)),IF(INDEX(Properties!A$1:CB$87,Formula!J49,4)=0,10^6,INDEX(Properties!A$1:CB$87,Formula!J49,4)))</f>
        <v>8</v>
      </c>
      <c r="M49" s="87">
        <f t="shared" si="1"/>
        <v>42</v>
      </c>
      <c r="N49" s="89">
        <f>((Formula!C49)/(Formula!C49+Formula!E49+Formula!G49+Formula!I49+Formula!K49))*(INDEX(Properties!A$1:CB$87,Formula!B49,5))+((Formula!E49)/(Formula!C49+Formula!E49+Formula!G49+Formula!I49+Formula!K49))*(INDEX(Properties!A$1:CB$87,Formula!D49,5))+((Formula!G49)/(Formula!C49+Formula!E49+Formula!G49+Formula!I49+Formula!K49))*(INDEX(Properties!A$1:CB$87,Formula!F49,5))+((Formula!I49)/(Formula!C49+Formula!E49+Formula!G49+Formula!I49+Formula!K49))*(INDEX(Properties!A$1:CB$87,Formula!H49,5))+((Formula!K49)/(Formula!C49+Formula!E49+Formula!G49+Formula!I49+Formula!K49))*(INDEX(Properties!A$1:CB$87,Formula!J49,5))</f>
        <v>3.0909090909090908</v>
      </c>
      <c r="O49" s="89">
        <f>Formula!C49*(INDEX(Properties!A$1:CB$87,Formula!B49,5))+Formula!E49*(INDEX(Properties!A$1:CB$87,Formula!D49,5))+Formula!G49*(INDEX(Properties!A$1:CB$87,Formula!F49,5))+Formula!I49*(INDEX(Properties!A$1:CB$87,Formula!H49,5))+Formula!K49*(INDEX(Properties!A$1:CB$87,Formula!J49,5))</f>
        <v>34</v>
      </c>
      <c r="P49" s="89">
        <f>VARP(IF(INDEX(Properties!A$1:CB$87,Formula!B49,5)&lt;&gt;"",INDEX(Properties!A$1:CB$87,Formula!B49,5)),IF(INDEX(Properties!A$1:CB$87,Formula!D49,5)&lt;&gt;"",INDEX(Properties!A$1:CB$87,Formula!D49,5)),IF(INDEX(Properties!A$1:CB$87,Formula!F49,5)&lt;&gt;"",INDEX(Properties!A$1:CB$87,Formula!F49,5)),IF(INDEX(Properties!A$1:CB$87,Formula!H49,5)&lt;&gt;"",INDEX(Properties!A$1:CB$87,Formula!H49,5)),IF(INDEX(Properties!A$1:CB$87,Formula!J49,5)&lt;&gt;"",INDEX(Properties!A$1:CB$87,Formula!J49,5)))</f>
        <v>5.04</v>
      </c>
      <c r="Q49" s="89">
        <f>MAX(INDEX(Properties!A$1:CB$87,Formula!B49,5),INDEX(Properties!A$1:CB$87,Formula!D49,5),INDEX(Properties!A$1:CB$87,Formula!F49,5),INDEX(Properties!A$1:CB$87,Formula!H49,5),INDEX(Properties!A$1:CB$87,Formula!J49,5))</f>
        <v>5</v>
      </c>
      <c r="R49" s="89">
        <f>MIN(IF(INDEX(Properties!A$1:CB$87,Formula!B49,5)=0,10^6,INDEX(Properties!A$1:CB$87,Formula!B49,5)),IF(INDEX(Properties!A$1:CB$87,Formula!D49,5)=0,10^6,INDEX(Properties!A$1:CB$87,Formula!D49,5)),IF(INDEX(Properties!A$1:CB$87,Formula!F49,5)=0,10^6,INDEX(Properties!A$1:CB$87,Formula!F49,5)),IF(INDEX(Properties!A$1:CB$87,Formula!H49,5)=0,10^6,INDEX(Properties!A$1:CB$87,Formula!H49,5)),IF(INDEX(Properties!A$1:CB$87,Formula!J49,5)=0,10^6,INDEX(Properties!A$1:CB$87,Formula!J49,5)))</f>
        <v>2</v>
      </c>
      <c r="S49" s="89">
        <f t="shared" si="2"/>
        <v>3</v>
      </c>
      <c r="T49" s="60">
        <f>((Formula!C49)/(Formula!C49+Formula!E49+Formula!G49+Formula!I49+Formula!K49))*(INDEX(Properties!A$1:CB$87,Formula!B49,6))+((Formula!E49)/(Formula!C49+Formula!E49+Formula!G49+Formula!I49+Formula!K49))*(INDEX(Properties!A$1:CB$87,Formula!D49,6))+((Formula!G49)/(Formula!C49+Formula!E49+Formula!G49+Formula!I49+Formula!K49))*(INDEX(Properties!A$1:CB$87,Formula!F49,6))+((Formula!I49)/(Formula!C49+Formula!E49+Formula!G49+Formula!I49+Formula!K49))*(INDEX(Properties!A$1:CB$87,Formula!H49,6))+((Formula!K49)/(Formula!C49+Formula!E49+Formula!G49+Formula!I49+Formula!K49))*(INDEX(Properties!A$1:CB$87,Formula!J49,6))</f>
        <v>13.272727272727273</v>
      </c>
      <c r="U49" s="60">
        <f>Formula!C49*(INDEX(Properties!A$1:CB$87,Formula!B49,6))+Formula!E49*(INDEX(Properties!A$1:CB$87,Formula!D49,6))+Formula!G49*(INDEX(Properties!A$1:CB$87,Formula!F49,6))+Formula!I49*(INDEX(Properties!A$1:CB$87,Formula!H49,6))+Formula!K49*(INDEX(Properties!A$1:CB$87,Formula!J49,6))</f>
        <v>146</v>
      </c>
      <c r="V49" s="89">
        <f>VARP(IF(INDEX(Properties!A$1:CB$87,Formula!B49,6)&lt;&gt;"",INDEX(Properties!A$1:CB$87,Formula!B49,6)),IF(INDEX(Properties!A$1:CB$87,Formula!D49,6)&lt;&gt;"",INDEX(Properties!A$1:CB$87,Formula!D49,6)),IF(INDEX(Properties!A$1:CB$87,Formula!F49,6)&lt;&gt;"",INDEX(Properties!A$1:CB$87,Formula!F49,6)),IF(INDEX(Properties!A$1:CB$87,Formula!H49,6)&lt;&gt;"",INDEX(Properties!A$1:CB$87,Formula!H49,6)),IF(INDEX(Properties!A$1:CB$87,Formula!J49,6)&lt;&gt;"",INDEX(Properties!A$1:CB$87,Formula!J49,6)))</f>
        <v>48.64</v>
      </c>
      <c r="W49" s="60">
        <f>MAX(INDEX(Properties!A$1:CB$87,Formula!B49,6),INDEX(Properties!A$1:CB$87,Formula!D49,6),INDEX(Properties!A$1:CB$87,Formula!F49,6),INDEX(Properties!A$1:CB$87,Formula!H49,4),INDEX(Properties!A$1:CB$87,Formula!J49,6))</f>
        <v>16</v>
      </c>
      <c r="X49" s="60">
        <f>MIN(IF(INDEX(Properties!A$1:CB$87,Formula!B49,6)=0,10^6,INDEX(Properties!A$1:CB$87,Formula!B49,6)),IF(INDEX(Properties!A$1:CB$87,Formula!D49,6)=0,10^6,INDEX(Properties!A$1:CB$87,Formula!D49,6)),IF(INDEX(Properties!A$1:CB$87,Formula!F49,6)=0,10^6,INDEX(Properties!A$1:CB$87,Formula!F49,6)),IF(INDEX(Properties!A$1:CB$87,Formula!H49,6)=0,10^6,INDEX(Properties!A$1:CB$87,Formula!H49,6)),IF(INDEX(Properties!A$1:CB$87,Formula!J49,6)=0,10^6,INDEX(Properties!A$1:CB$87,Formula!J49,6)))</f>
        <v>3</v>
      </c>
      <c r="Y49" s="60">
        <f t="shared" si="3"/>
        <v>13</v>
      </c>
      <c r="Z49" s="72">
        <f>((Formula!C49)/(Formula!C49+Formula!E49+Formula!G49+Formula!I49+Formula!K49))*(INDEX(Properties!A$1:CB$87,Formula!B49,9))+((Formula!E49)/(Formula!C49+Formula!E49+Formula!G49+Formula!I49+Formula!K49))*(INDEX(Properties!A$1:CB$87,Formula!D49,9))+((Formula!G49)/(Formula!C49+Formula!E49+Formula!G49+Formula!I49+Formula!K49))*(INDEX(Properties!A$1:CB$87,Formula!F49,9))+((Formula!I49)/(Formula!C49+Formula!E49+Formula!G49+Formula!I49+Formula!K49))*(INDEX(Properties!A$1:CB$87,Formula!H49,9))+((Formula!K49)/(Formula!C49+Formula!E49+Formula!G49+Formula!I49+Formula!K49))*(INDEX(Properties!A$1:CB$87,Formula!J49,9))</f>
        <v>72.090909090909093</v>
      </c>
      <c r="AA49" s="72">
        <f>Formula!C49*(INDEX(Properties!A$1:CB$87,Formula!B49,9))+Formula!E49*(INDEX(Properties!A$1:CB$87,Formula!D49,9))+Formula!G49*(INDEX(Properties!A$1:CB$87,Formula!F49,9))+Formula!I49*(INDEX(Properties!A$1:CB$87,Formula!H49,9))+Formula!K49*(INDEX(Properties!A$1:CB$87,Formula!J49,9))</f>
        <v>793</v>
      </c>
      <c r="AB49" s="72">
        <f>VARP(IF(INDEX(Properties!A$1:CB$87,Formula!B49,9)&lt;&gt;"",INDEX(Properties!A$1:CB$87,Formula!B49,9)),IF(INDEX(Properties!A$1:CB$87,Formula!D49,9)&lt;&gt;"",INDEX(Properties!A$1:CB$87,Formula!D49,9)),IF(INDEX(Properties!A$1:CB$87,Formula!F49,9)&lt;&gt;"",INDEX(Properties!A$1:CB$87,Formula!F49,9)),IF(INDEX(Properties!A$1:CB$87,Formula!H49,9)&lt;&gt;"",INDEX(Properties!A$1:CB$87,Formula!H49,9)),IF(INDEX(Properties!A$1:CB$87,Formula!J49,9)&lt;&gt;"",INDEX(Properties!A$1:CB$87,Formula!J49,9)))</f>
        <v>1540.96</v>
      </c>
      <c r="AC49" s="72">
        <f>MAX(INDEX(Properties!A$1:CB$87,Formula!B49,9),INDEX(Properties!A$1:CB$87,Formula!D49,9),INDEX(Properties!A$1:CB$87,Formula!F49,9),INDEX(Properties!A$1:CB$87,Formula!H49,9),INDEX(Properties!A$1:CB$87,Formula!J49,9))</f>
        <v>87</v>
      </c>
      <c r="AD49" s="72">
        <f>MIN(IF(INDEX(Properties!A$1:CB$87,Formula!B49,9)=0,10^6,INDEX(Properties!A$1:CB$87,Formula!B49,9)),IF(INDEX(Properties!A$1:CB$87,Formula!D49,9)=0,10^6,INDEX(Properties!A$1:CB$87,Formula!D49,9)),IF(INDEX(Properties!A$1:CB$87,Formula!F49,9)=0,10^6,INDEX(Properties!A$1:CB$87,Formula!F49,9)),IF(INDEX(Properties!A$1:CB$87,Formula!H49,9)=0,10^6,INDEX(Properties!A$1:CB$87,Formula!H49,9)),IF(INDEX(Properties!A$1:CB$87,Formula!J49,9)=0,10^6,INDEX(Properties!A$1:CB$87,Formula!J49,9)))</f>
        <v>12</v>
      </c>
      <c r="AE49" s="72">
        <f t="shared" si="4"/>
        <v>75</v>
      </c>
      <c r="AF49" s="51">
        <f>((Formula!C49)/(Formula!C49+Formula!E49+Formula!G49+Formula!I49+Formula!K49))*(INDEX(Properties!A$1:CB$87,Formula!B49,10))+((Formula!E49)/(Formula!C49+Formula!E49+Formula!G49+Formula!I49+Formula!K49))*(INDEX(Properties!A$1:CB$87,Formula!D49,10))+((Formula!G49)/(Formula!C49+Formula!E49+Formula!G49+Formula!I49+Formula!K49))*(INDEX(Properties!A$1:CB$87,Formula!F49,10))+((Formula!I49)/(Formula!C49+Formula!E49+Formula!G49+Formula!I49+Formula!K49))*(INDEX(Properties!A$1:CB$87,Formula!H49,10))+((Formula!K49)/(Formula!C49+Formula!E49+Formula!G49+Formula!I49+Formula!K49))*(INDEX(Properties!A$1:CB$87,Formula!J49,10))</f>
        <v>5.9090909090909083</v>
      </c>
      <c r="AG49" s="51">
        <f>Formula!C49*(INDEX(Properties!A$1:CB$87,Formula!B49,10))+Formula!E49*(INDEX(Properties!A$1:CB$87,Formula!D49,10))+Formula!G49*(INDEX(Properties!A$1:CB$87,Formula!F49,10))+Formula!I49*(INDEX(Properties!A$1:CB$87,Formula!H49,10))+Formula!K49*(INDEX(Properties!A$1:CB$87,Formula!J49,10))</f>
        <v>65</v>
      </c>
      <c r="AH49" s="51">
        <f>VARP(IF(INDEX(Properties!A$1:CB$87,Formula!B49,10)&lt;&gt;"",INDEX(Properties!A$1:CB$87,Formula!B49,10)),IF(INDEX(Properties!A$1:CB$87,Formula!D49,10)&lt;&gt;"",INDEX(Properties!A$1:CB$87,Formula!D49,10)),IF(INDEX(Properties!A$1:CB$87,Formula!F49,10)&lt;&gt;"",INDEX(Properties!A$1:CB$87,Formula!F49,10)),IF(INDEX(Properties!A$1:CB$87,Formula!H49,10)&lt;&gt;"",INDEX(Properties!A$1:CB$87,Formula!H49,10)),IF(INDEX(Properties!A$1:CB$87,Formula!J49,10)&lt;&gt;"",INDEX(Properties!A$1:CB$87,Formula!J49,10)))</f>
        <v>7.6</v>
      </c>
      <c r="AI49" s="51">
        <f>MAX(INDEX(Properties!A$1:CB$87,Formula!B49,10),INDEX(Properties!A$1:CB$87,Formula!D49,10),INDEX(Properties!A$1:CB$87,Formula!F49,10),INDEX(Properties!A$1:CB$87,Formula!H49,10),INDEX(Properties!A$1:CB$87,Formula!J49,10))</f>
        <v>7</v>
      </c>
      <c r="AJ49" s="51">
        <f>MIN(IF(INDEX(Properties!A$1:CB$87,Formula!B49,10)=0,10^6,INDEX(Properties!A$1:CB$87,Formula!B49,10)),IF(INDEX(Properties!A$1:CB$87,Formula!D49,10)=0,10^6,INDEX(Properties!A$1:CB$87,Formula!D49,10)),IF(INDEX(Properties!A$1:CB$87,Formula!F49,10)=0,10^6,INDEX(Properties!A$1:CB$87,Formula!F49,10)),IF(INDEX(Properties!A$1:CB$87,Formula!H49,10)=0,10^6,INDEX(Properties!A$1:CB$87,Formula!H49,10)),IF(INDEX(Properties!A$1:CB$87,Formula!J49,10)=0,10^6,INDEX(Properties!A$1:CB$87,Formula!J49,10)))</f>
        <v>3</v>
      </c>
      <c r="AK49" s="51">
        <f t="shared" si="5"/>
        <v>4</v>
      </c>
      <c r="AL49" s="57">
        <f>((Formula!C49)/(Formula!C49+Formula!E49+Formula!G49+Formula!I49+Formula!K49))*(INDEX(Properties!A$1:CB$87,Formula!B49,11))+((Formula!E49)/(Formula!C49+Formula!E49+Formula!G49+Formula!I49+Formula!K49))*(INDEX(Properties!A$1:CB$87,Formula!D49,11))+((Formula!G49)/(Formula!C49+Formula!E49+Formula!G49+Formula!I49+Formula!K49))*(INDEX(Properties!A$1:CB$87,Formula!F49,11))+((Formula!I49)/(Formula!C49+Formula!E49+Formula!G49+Formula!I49+Formula!K49))*(INDEX(Properties!A$1:CB$87,Formula!H49,11))+((Formula!K49)/(Formula!C49+Formula!E49+Formula!G49+Formula!I49+Formula!K49))*(INDEX(Properties!A$1:CB$87,Formula!J49,11))</f>
        <v>2</v>
      </c>
      <c r="AM49" s="57">
        <f>Formula!C49*(INDEX(Properties!A$1:CB$87,Formula!B49,11))+Formula!E49*(INDEX(Properties!A$1:CB$87,Formula!D49,11))+Formula!G49*(INDEX(Properties!A$1:CB$87,Formula!F49,11))+Formula!I49*(INDEX(Properties!A$1:CB$87,Formula!H49,11))+Formula!K49*(INDEX(Properties!A$1:CB$87,Formula!J49,11))</f>
        <v>22</v>
      </c>
      <c r="AN49" s="57">
        <f>VARP(IF(INDEX(Properties!A$1:CB$87,Formula!B49,11)&lt;&gt;"",INDEX(Properties!A$1:CB$87,Formula!B49,11)),IF(INDEX(Properties!A$1:CB$87,Formula!D49,11)&lt;&gt;"",INDEX(Properties!A$1:CB$87,Formula!D49,11)),IF(INDEX(Properties!A$1:CB$87,Formula!F49,11)&lt;&gt;"",INDEX(Properties!A$1:CB$87,Formula!F49,11)),IF(INDEX(Properties!A$1:CB$87,Formula!H49,11)&lt;&gt;"",INDEX(Properties!A$1:CB$87,Formula!H49,11)),IF(INDEX(Properties!A$1:CB$87,Formula!J49,11)&lt;&gt;"",INDEX(Properties!A$1:CB$87,Formula!J49,11)))</f>
        <v>0.96</v>
      </c>
      <c r="AO49" s="57">
        <f>MAX(INDEX(Properties!A$1:CB$87,Formula!B49,11),INDEX(Properties!A$1:CB$87,Formula!D49,11),INDEX(Properties!A$1:CB$87,Formula!F49,11),INDEX(Properties!A$1:CB$87,Formula!H49,11),INDEX(Properties!A$1:CB$87,Formula!J49,11))</f>
        <v>2</v>
      </c>
      <c r="AP49" s="57">
        <f>MIN(IF(Formula!B49=87,10^6,INDEX(Properties!A$1:CB$87,Formula!B49,11)),IF((Formula!D49)=87,10^6,INDEX(Properties!A$1:CB$87,Formula!D49,11)),IF((Formula!F49)=87,10^6,INDEX(Properties!A$1:CB$87,Formula!F49,11)),IF((Formula!H49)=87,10^6,INDEX(Properties!A$1:CB$87,Formula!H49,11)),IF(Formula!J49=87,10^6,INDEX(Properties!A$1:CB$87,Formula!J49,11)))</f>
        <v>2</v>
      </c>
      <c r="AQ49" s="57">
        <f t="shared" si="6"/>
        <v>0</v>
      </c>
      <c r="AR49" s="78">
        <f>((Formula!C49)/(Formula!C49+Formula!E49+Formula!G49+Formula!I49+Formula!K49))*(INDEX(Properties!A$1:CB$87,Formula!B49,12))+((Formula!E49)/(Formula!C49+Formula!E49+Formula!G49+Formula!I49+Formula!K49))*(INDEX(Properties!A$1:CB$87,Formula!D49,12))+((Formula!G49)/(Formula!C49+Formula!E49+Formula!G49+Formula!I49+Formula!K49))*(INDEX(Properties!A$1:CB$87,Formula!F49,12))+((Formula!I49)/(Formula!C49+Formula!E49+Formula!G49+Formula!I49+Formula!K49))*(INDEX(Properties!A$1:CB$87,Formula!H49,12))+((Formula!K49)/(Formula!C49+Formula!E49+Formula!G49+Formula!I49+Formula!K49))*(INDEX(Properties!A$1:CB$87,Formula!J49,12))</f>
        <v>2.9090909090909092</v>
      </c>
      <c r="AS49" s="78">
        <f>Formula!C49*(INDEX(Properties!A$1:CB$87,Formula!B49,12))+Formula!E49*(INDEX(Properties!A$1:CB$87,Formula!D49,12))+Formula!G49*(INDEX(Properties!A$1:CB$87,Formula!F49,12))+Formula!I49*(INDEX(Properties!A$1:CB$87,Formula!H49,12))+Formula!K49*(INDEX(Properties!A$1:CB$87,Formula!J49,12))</f>
        <v>32</v>
      </c>
      <c r="AT49" s="78">
        <f>VARP(IF(INDEX(Properties!A$1:CB$87,Formula!B49,12)&lt;&gt;"",INDEX(Properties!A$1:CB$87,Formula!B49,12)),IF(INDEX(Properties!A$1:CB$87,Formula!D49,12)&lt;&gt;"",INDEX(Properties!A$1:CB$87,Formula!D49,12)),IF(INDEX(Properties!A$1:CB$87,Formula!F49,12)&lt;&gt;"",INDEX(Properties!A$1:CB$87,Formula!F49,12)),IF(INDEX(Properties!A$1:CB$87,Formula!H49,12)&lt;&gt;"",INDEX(Properties!A$1:CB$87,Formula!H49,12)),IF(INDEX(Properties!A$1:CB$87,Formula!J49,12)&lt;&gt;"",INDEX(Properties!A$1:CB$87,Formula!J49,12)))</f>
        <v>2.56</v>
      </c>
      <c r="AU49" s="78">
        <f>MAX(INDEX(Properties!A$1:CB$87,Formula!B49,12),INDEX(Properties!A$1:CB$87,Formula!D49,12),INDEX(Properties!A$1:CB$87,Formula!F49,12),INDEX(Properties!A$1:CB$87,Formula!H49,12),INDEX(Properties!A$1:CB$87,Formula!J49,12))</f>
        <v>4</v>
      </c>
      <c r="AV49" s="78">
        <f>MIN(IF(Formula!B49=87,10^6,INDEX(Properties!A$1:CB$87,Formula!B49,12)),IF((Formula!D49)=87,10^6,INDEX(Properties!A$1:CB$87,Formula!D49,12)),IF((Formula!F49)=87,10^6,INDEX(Properties!A$1:CB$87,Formula!F49,12)),IF((Formula!H49)=87,10^6,INDEX(Properties!A$1:CB$87,Formula!H49,12)),IF(Formula!J49=87,10^6,INDEX(Properties!A$1:CB$87,Formula!J49,12)))</f>
        <v>0</v>
      </c>
      <c r="AW49" s="78">
        <f t="shared" si="7"/>
        <v>4</v>
      </c>
      <c r="AX49" s="45">
        <f>((Formula!C49)/(Formula!C49+Formula!E49+Formula!G49+Formula!I49+Formula!K49))*(INDEX(Properties!A$1:CB$87,Formula!B49,13))+((Formula!E49)/(Formula!C49+Formula!E49+Formula!G49+Formula!I49+Formula!K49))*(INDEX(Properties!A$1:CB$87,Formula!D49,13))+((Formula!G49)/(Formula!C49+Formula!E49+Formula!G49+Formula!I49+Formula!K49))*(INDEX(Properties!A$1:CB$87,Formula!F49,13))+((Formula!I49)/(Formula!C49+Formula!E49+Formula!G49+Formula!I49+Formula!K49))*(INDEX(Properties!A$1:CB$87,Formula!H49,13))+((Formula!K49)/(Formula!C49+Formula!E49+Formula!G49+Formula!I49+Formula!K49))*(INDEX(Properties!A$1:CB$87,Formula!J49,13))</f>
        <v>2</v>
      </c>
      <c r="AY49" s="45">
        <f>Formula!C49*(INDEX(Properties!A$1:CB$87,Formula!B49,13))+Formula!E49*(INDEX(Properties!A$1:CB$87,Formula!D49,13))+Formula!G49*(INDEX(Properties!A$1:CB$87,Formula!F49,13))+Formula!I49*(INDEX(Properties!A$1:CB$87,Formula!H49,13))+Formula!K49*(INDEX(Properties!A$1:CB$87,Formula!J49,13))</f>
        <v>22</v>
      </c>
      <c r="AZ49" s="45">
        <f>VARP(IF(INDEX(Properties!A$1:CB$87,Formula!B49,13)&lt;&gt;"",INDEX(Properties!A$1:CB$87,Formula!B49,13)),IF(INDEX(Properties!A$1:CB$87,Formula!D49,13)&lt;&gt;"",INDEX(Properties!A$1:CB$87,Formula!D49,13)),IF(INDEX(Properties!A$1:CB$87,Formula!F49,13)&lt;&gt;"",INDEX(Properties!A$1:CB$87,Formula!F49,13)),IF(INDEX(Properties!A$1:CB$87,Formula!H49,13)&lt;&gt;"",INDEX(Properties!A$1:CB$87,Formula!H49,13)),IF(INDEX(Properties!A$1:CB$87,Formula!J49,13)&lt;&gt;"",INDEX(Properties!A$1:CB$87,Formula!J49,13)))</f>
        <v>15.36</v>
      </c>
      <c r="BA49" s="45">
        <f>MAX(INDEX(Properties!A$1:CB$87,Formula!B49,13),INDEX(Properties!A$1:CB$87,Formula!D49,13),INDEX(Properties!A$1:CB$87,Formula!F49,13),INDEX(Properties!A$1:CB$87,Formula!H49,13),INDEX(Properties!A$1:CB$87,Formula!J49,13))</f>
        <v>10</v>
      </c>
      <c r="BB49" s="45">
        <f>MIN(IF(Formula!B49=87,10^6,INDEX(Properties!A$1:CB$87,Formula!B49,13)),IF((Formula!D49)=87,10^6,INDEX(Properties!A$1:CB$87,Formula!D49,13)),IF((Formula!F49)=87,10^6,INDEX(Properties!A$1:CB$87,Formula!F49,13)),IF((Formula!H49)=87,10^6,INDEX(Properties!A$1:CB$87,Formula!H49,13)),IF(Formula!J49=87,10^6,INDEX(Properties!A$1:CB$87,Formula!J49,13)))</f>
        <v>0</v>
      </c>
      <c r="BC49" s="45">
        <f t="shared" si="8"/>
        <v>10</v>
      </c>
      <c r="BD49" s="63">
        <f>((Formula!C49)/(Formula!C49+Formula!E49+Formula!G49+Formula!I49+Formula!K49))*(INDEX(Properties!A$1:CB$87,Formula!B49,14))+((Formula!E49)/(Formula!C49+Formula!E49+Formula!G49+Formula!I49+Formula!K49))*(INDEX(Properties!A$1:CB$87,Formula!D49,14))+((Formula!G49)/(Formula!C49+Formula!E49+Formula!G49+Formula!I49+Formula!K49))*(INDEX(Properties!A$1:CB$87,Formula!F49,14))+((Formula!I49)/(Formula!C49+Formula!E49+Formula!G49+Formula!I49+Formula!K49))*(INDEX(Properties!A$1:CB$87,Formula!H49,14))+((Formula!K49)/(Formula!C49+Formula!E49+Formula!G49+Formula!I49+Formula!K49))*(INDEX(Properties!A$1:CB$87,Formula!J49,14))</f>
        <v>0</v>
      </c>
      <c r="BE49" s="63">
        <f>Formula!C49*(INDEX(Properties!A$1:CB$87,Formula!B49,14))+Formula!E49*(INDEX(Properties!A$1:CB$87,Formula!D49,14))+Formula!G49*(INDEX(Properties!A$1:CB$87,Formula!F49,14))+Formula!I49*(INDEX(Properties!A$1:CB$87,Formula!H49,14))+Formula!K49*(INDEX(Properties!A$1:CB$87,Formula!J49,14))</f>
        <v>0</v>
      </c>
      <c r="BF49" s="63">
        <f>VARP(IF(INDEX(Properties!A$1:CB$87,Formula!B49,14)&lt;&gt;"",INDEX(Properties!A$1:CB$87,Formula!B49,14)),IF(INDEX(Properties!A$1:CB$87,Formula!D49,14)&lt;&gt;"",INDEX(Properties!A$1:CB$87,Formula!D49,14)),IF(INDEX(Properties!A$1:CB$87,Formula!F49,14)&lt;&gt;"",INDEX(Properties!A$1:CB$87,Formula!F49,14)),IF(INDEX(Properties!A$1:CB$87,Formula!H49,14)&lt;&gt;"",INDEX(Properties!A$1:CB$87,Formula!H49,14)),IF(INDEX(Properties!A$1:CB$87,Formula!J49,14)&lt;&gt;"",INDEX(Properties!A$1:CB$87,Formula!J49,14)))</f>
        <v>0</v>
      </c>
      <c r="BG49" s="63">
        <f>MAX(INDEX(Properties!A$1:CB$87,Formula!B49,14),INDEX(Properties!A$1:CB$87,Formula!D49,14),INDEX(Properties!A$1:CB$87,Formula!F49,14),INDEX(Properties!A$1:CB$87,Formula!H49,14),INDEX(Properties!A$1:CB$87,Formula!J49,14))</f>
        <v>0</v>
      </c>
      <c r="BH49" s="63">
        <f>MIN(IF(Formula!B49=87,10^6,INDEX(Properties!A$1:CB$87,Formula!B49,14)),IF((Formula!D49)=87,10^6,INDEX(Properties!A$1:CB$87,Formula!D49,14)),IF((Formula!F49)=87,10^6,INDEX(Properties!A$1:CB$87,Formula!F49,14)),IF((Formula!H49)=87,10^6,INDEX(Properties!A$1:CB$87,Formula!H49,14)),IF(Formula!J49=87,10^6,INDEX(Properties!A$1:CB$87,Formula!J49,14)))</f>
        <v>0</v>
      </c>
      <c r="BI49" s="63">
        <f t="shared" si="9"/>
        <v>0</v>
      </c>
      <c r="BJ49" s="75">
        <f>((Formula!C49)/(Formula!C49+Formula!E49+Formula!G49+Formula!I49+Formula!K49))*(INDEX(Properties!A$1:CB$87,Formula!B49,19))+((Formula!E49)/(Formula!C49+Formula!E49+Formula!G49+Formula!I49+Formula!K49))*(INDEX(Properties!A$1:CB$87,Formula!D49,19))+((Formula!G49)/(Formula!C49+Formula!E49+Formula!G49+Formula!I49+Formula!K49))*(INDEX(Properties!A$1:CB$87,Formula!F49,19))+((Formula!I49)/(Formula!C49+Formula!E49+Formula!G49+Formula!I49+Formula!K49))*(INDEX(Properties!A$1:CB$87,Formula!H49,19))+((Formula!K49)/(Formula!C49+Formula!E49+Formula!G49+Formula!I49+Formula!K49))*(INDEX(Properties!A$1:CB$87,Formula!J49,19))</f>
        <v>6.9090909090909092</v>
      </c>
      <c r="BK49" s="75">
        <f>Formula!C49*(INDEX(Properties!A$1:CB$87,Formula!B49,19))+Formula!E49*(INDEX(Properties!A$1:CB$87,Formula!D49,19))+Formula!G49*(INDEX(Properties!A$1:CB$87,Formula!F49,19))+Formula!I49*(INDEX(Properties!A$1:CB$87,Formula!H49,19))+Formula!K49*(INDEX(Properties!A$1:CB$87,Formula!J49,19))</f>
        <v>76</v>
      </c>
      <c r="BL49" s="75">
        <f>VARP(IF(INDEX(Properties!A$1:CB$87,Formula!B49,19)&lt;&gt;"",INDEX(Properties!A$1:CB$87,Formula!B49,19)),IF(INDEX(Properties!A$1:CB$87,Formula!D49,19)&lt;&gt;"",INDEX(Properties!A$1:CB$87,Formula!D49,19)),IF(INDEX(Properties!A$1:CB$87,Formula!F49,19)&lt;&gt;"",INDEX(Properties!A$1:CB$87,Formula!F49,19)),IF(INDEX(Properties!A$1:CB$87,Formula!H49,19)&lt;&gt;"",INDEX(Properties!A$1:CB$87,Formula!H49,19)),IF(INDEX(Properties!A$1:CB$87,Formula!J49,19)&lt;&gt;"",INDEX(Properties!A$1:CB$87,Formula!J49,19)))</f>
        <v>27.04</v>
      </c>
      <c r="BM49" s="75">
        <f>MAX(INDEX(Properties!A$1:CB$87,Formula!B49,19),INDEX(Properties!A$1:CB$87,Formula!D49,19),INDEX(Properties!A$1:CB$87,Formula!F49,19),INDEX(Properties!A$1:CB$87,Formula!H49,19),INDEX(Properties!A$1:CB$87,Formula!J49,19))</f>
        <v>14</v>
      </c>
      <c r="BN49" s="75">
        <f>MIN(IF(INDEX(Properties!A$1:CB$87,Formula!B49,19)=0,10^6,INDEX(Properties!A$1:CB$87,Formula!B49,19)),IF(INDEX(Properties!A$1:CB$87,Formula!D49,19)=0,10^6,INDEX(Properties!A$1:CB$87,Formula!D49,19)),IF(INDEX(Properties!A$1:CB$87,Formula!F49,19)=0,10^6,INDEX(Properties!A$1:CB$87,Formula!F49,19)),IF(INDEX(Properties!A$1:CB$87,Formula!H49,19)=0,10^6,INDEX(Properties!A$1:CB$87,Formula!H49,19)),IF(INDEX(Properties!A$1:CB$87,Formula!J49,19)=0,10^6,INDEX(Properties!A$1:CB$87,Formula!J49,19)))</f>
        <v>3</v>
      </c>
      <c r="BO49" s="75">
        <f t="shared" si="10"/>
        <v>11</v>
      </c>
      <c r="BP49" s="48">
        <f>((Formula!C49)/(Formula!C49+Formula!E49+Formula!G49+Formula!I49+Formula!K49))*(INDEX(Properties!A$1:CB$87,Formula!B49,20))+((Formula!E49)/(Formula!C49+Formula!E49+Formula!G49+Formula!I49+Formula!K49))*(INDEX(Properties!A$1:CB$87,Formula!D49,20))+((Formula!G49)/(Formula!C49+Formula!E49+Formula!G49+Formula!I49+Formula!K49))*(INDEX(Properties!A$1:CB$87,Formula!F49,20))+((Formula!I49)/(Formula!C49+Formula!E49+Formula!G49+Formula!I49+Formula!K49))*(INDEX(Properties!A$1:CB$87,Formula!H49,20))+((Formula!K49)/(Formula!C49+Formula!E49+Formula!G49+Formula!I49+Formula!K49))*(INDEX(Properties!A$1:CB$87,Formula!J49,20))</f>
        <v>4.9090909090909092</v>
      </c>
      <c r="BQ49" s="48">
        <f>Formula!C49*(INDEX(Properties!A$1:CB$87,Formula!B49,20))+Formula!E49*(INDEX(Properties!A$1:CB$87,Formula!D49,20))+Formula!G49*(INDEX(Properties!A$1:CB$87,Formula!F49,20))+Formula!I49*(INDEX(Properties!A$1:CB$87,Formula!H49,20))+Formula!K49*(INDEX(Properties!A$1:CB$87,Formula!J49,20))</f>
        <v>54</v>
      </c>
      <c r="BR49" s="48">
        <f>VARP(IF(INDEX(Properties!A$1:CB$87,Formula!B49,20)&lt;&gt;"",INDEX(Properties!A$1:CB$87,Formula!B49,20)),IF(INDEX(Properties!A$1:CB$87,Formula!D49,20)&lt;&gt;"",INDEX(Properties!A$1:CB$87,Formula!D49,20)),IF(INDEX(Properties!A$1:CB$87,Formula!F49,20)&lt;&gt;"",INDEX(Properties!A$1:CB$87,Formula!F49,20)),IF(INDEX(Properties!A$1:CB$87,Formula!H49,20)&lt;&gt;"",INDEX(Properties!A$1:CB$87,Formula!H49,20)),IF(INDEX(Properties!A$1:CB$87,Formula!J49,20)&lt;&gt;"",INDEX(Properties!A$1:CB$87,Formula!J49,20)))</f>
        <v>5.44</v>
      </c>
      <c r="BS49" s="48">
        <f>MAX(INDEX(Properties!A$1:CB$87,Formula!B49,20),INDEX(Properties!A$1:CB$87,Formula!D49,20),INDEX(Properties!A$1:CB$87,Formula!F49,20),INDEX(Properties!A$1:CB$87,Formula!H49,20),INDEX(Properties!A$1:CB$87,Formula!J49,20))</f>
        <v>6</v>
      </c>
      <c r="BT49" s="48">
        <f>MIN(IF(INDEX(Properties!A$1:CB$87,Formula!B49,20)=0,10^6,INDEX(Properties!A$1:CB$87,Formula!B49,20)),IF(INDEX(Properties!A$1:CB$87,Formula!D49,20)=0,10^6,INDEX(Properties!A$1:CB$87,Formula!D49,20)),IF(INDEX(Properties!A$1:CB$87,Formula!F49,20)=0,10^6,INDEX(Properties!A$1:CB$87,Formula!F49,20)),IF(INDEX(Properties!A$1:CB$87,Formula!H49,20)=0,10^6,INDEX(Properties!A$1:CB$87,Formula!H49,20)),IF(INDEX(Properties!A$1:CB$87,Formula!J49,20)=0,10^6,INDEX(Properties!A$1:CB$87,Formula!J49,20)))</f>
        <v>2</v>
      </c>
      <c r="BU49" s="48">
        <f t="shared" si="11"/>
        <v>4</v>
      </c>
      <c r="BV49" s="66">
        <f>((Formula!C49)/(Formula!C49+Formula!E49+Formula!G49+Formula!I49+Formula!K49))*(INDEX(Properties!A$1:CB$87,Formula!B49,21))+((Formula!E49)/(Formula!C49+Formula!E49+Formula!G49+Formula!I49+Formula!K49))*(INDEX(Properties!A$1:CB$87,Formula!D49,21))+((Formula!G49)/(Formula!C49+Formula!E49+Formula!G49+Formula!I49+Formula!K49))*(INDEX(Properties!A$1:CB$87,Formula!F49,21))+((Formula!I49)/(Formula!C49+Formula!E49+Formula!G49+Formula!I49+Formula!K49))*(INDEX(Properties!A$1:CB$87,Formula!H49,21))+((Formula!K49)/(Formula!C49+Formula!E49+Formula!G49+Formula!I49+Formula!K49))*(INDEX(Properties!A$1:CB$87,Formula!J49,21))</f>
        <v>4.7272727272727275</v>
      </c>
      <c r="BW49" s="66">
        <f>Formula!C49*(INDEX(Properties!A$1:CB$87,Formula!B49,21))+Formula!E49*(INDEX(Properties!A$1:CB$87,Formula!D49,21))+Formula!G49*(INDEX(Properties!A$1:CB$87,Formula!F49,21))+Formula!I49*(INDEX(Properties!A$1:CB$87,Formula!H49,21))+Formula!K49*(INDEX(Properties!A$1:CB$87,Formula!J49,21))</f>
        <v>52</v>
      </c>
      <c r="BX49" s="66">
        <f>VARP(IF(INDEX(Properties!A$1:CB$87,Formula!B49,21)&lt;&gt;"",INDEX(Properties!A$1:CB$87,Formula!B49,21)),IF(INDEX(Properties!A$1:CB$87,Formula!D49,21)&lt;&gt;"",INDEX(Properties!A$1:CB$87,Formula!D49,21)),IF(INDEX(Properties!A$1:CB$87,Formula!F49,21)&lt;&gt;"",INDEX(Properties!A$1:CB$87,Formula!F49,21)),IF(INDEX(Properties!A$1:CB$87,Formula!H49,21)&lt;&gt;"",INDEX(Properties!A$1:CB$87,Formula!H49,21)),IF(INDEX(Properties!A$1:CB$87,Formula!J49,21)&lt;&gt;"",INDEX(Properties!A$1:CB$87,Formula!J49,21)))</f>
        <v>5.76</v>
      </c>
      <c r="BY49" s="66">
        <f>MAX(INDEX(Properties!A$1:CB$87,Formula!B49,21),INDEX(Properties!A$1:CB$87,Formula!D49,21),INDEX(Properties!A$1:CB$87,Formula!F49,21),INDEX(Properties!A$1:CB$87,Formula!H49,21),INDEX(Properties!A$1:CB$87,Formula!J49,21))</f>
        <v>6</v>
      </c>
      <c r="BZ49" s="66">
        <f>MIN(IF(INDEX(Properties!A$1:CB$87,Formula!B49,21)=0,10^6,INDEX(Properties!A$1:CB$87,Formula!B49,21)),IF(INDEX(Properties!A$1:CB$87,Formula!D49,21)=0,10^6,INDEX(Properties!A$1:CB$87,Formula!D49,21)),IF(INDEX(Properties!A$1:CB$87,Formula!F49,21)=0,10^6,INDEX(Properties!A$1:CB$87,Formula!F49,21)),IF(INDEX(Properties!A$1:CB$87,Formula!H49,21)=0,10^6,INDEX(Properties!A$1:CB$87,Formula!H49,21)),IF(INDEX(Properties!A$1:CB$87,Formula!J49,21)=0,10^6,INDEX(Properties!A$1:CB$87,Formula!J49,21)))</f>
        <v>1</v>
      </c>
      <c r="CA49" s="66">
        <f t="shared" si="12"/>
        <v>5</v>
      </c>
      <c r="CB49" s="81">
        <f>((Formula!C49)/(Formula!C49+Formula!E49+Formula!G49+Formula!I49+Formula!K49))*(INDEX(Properties!A$1:CB$87,Formula!B49,23))+((Formula!E49)/(Formula!C49+Formula!E49+Formula!G49+Formula!I49+Formula!K49))*(INDEX(Properties!A$1:CB$87,Formula!D49,23))+((Formula!G49)/(Formula!C49+Formula!E49+Formula!G49+Formula!I49+Formula!K49))*(INDEX(Properties!A$1:CB$87,Formula!F49,23))+((Formula!I49)/(Formula!C49+Formula!E49+Formula!G49+Formula!I49+Formula!K49))*(INDEX(Properties!A$1:CB$87,Formula!H49,23))+((Formula!K49)/(Formula!C49+Formula!E49+Formula!G49+Formula!I49+Formula!K49))*(INDEX(Properties!A$1:CB$87,Formula!J49,23))</f>
        <v>1.2727272727272727</v>
      </c>
      <c r="CC49" s="81">
        <f>Formula!C49*(INDEX(Properties!A$1:CB$87,Formula!B49,23))+Formula!E49*(INDEX(Properties!A$1:CB$87,Formula!D49,23))+Formula!G49*(INDEX(Properties!A$1:CB$87,Formula!F49,23))+Formula!I49*(INDEX(Properties!A$1:CB$87,Formula!H49,23))+Formula!K49*(INDEX(Properties!A$1:CB$87,Formula!J49,23))</f>
        <v>14</v>
      </c>
      <c r="CD49" s="81">
        <f>VARP(IF(INDEX(Properties!A$1:CB$87,Formula!B49,23)&lt;&gt;"",INDEX(Properties!A$1:CB$87,Formula!B49,23)),IF(INDEX(Properties!A$1:CB$87,Formula!D49,23)&lt;&gt;"",INDEX(Properties!A$1:CB$87,Formula!D49,23)),IF(INDEX(Properties!A$1:CB$87,Formula!F49,23)&lt;&gt;"",INDEX(Properties!A$1:CB$87,Formula!F49,23)),IF(INDEX(Properties!A$1:CB$87,Formula!H49,23)&lt;&gt;"",INDEX(Properties!A$1:CB$87,Formula!H49,23)),IF(INDEX(Properties!A$1:CB$87,Formula!J49,23)&lt;&gt;"",INDEX(Properties!A$1:CB$87,Formula!J49,23)))</f>
        <v>3.04</v>
      </c>
      <c r="CE49" s="81">
        <f>MAX(INDEX(Properties!A$1:CB$87,Formula!B49,23),INDEX(Properties!A$1:CB$87,Formula!D49,23),INDEX(Properties!A$1:CB$87,Formula!F49,23),INDEX(Properties!A$1:CB$87,Formula!H49,23),INDEX(Properties!A$1:CB$87,Formula!J49,23))</f>
        <v>4</v>
      </c>
      <c r="CF49" s="81">
        <f>MIN(IF(Formula!B49=87,10^6,INDEX(Properties!A$1:CB$87,Formula!B49,23)),IF((Formula!D49)=87,10^6,INDEX(Properties!A$1:CB$87,Formula!D49,23)),IF((Formula!F49)=87,10^6,INDEX(Properties!A$1:CB$87,Formula!F49,23)),IF((Formula!H49)=87,10^6,INDEX(Properties!A$1:CB$87,Formula!H49,23)),IF(Formula!J49=87,10^6,INDEX(Properties!A$1:CB$87,Formula!J49,23)))</f>
        <v>0</v>
      </c>
      <c r="CG49" s="81">
        <f t="shared" si="13"/>
        <v>4</v>
      </c>
      <c r="CH49" s="39">
        <f>((Formula!C49)/(Formula!C49+Formula!E49+Formula!G49+Formula!I49+Formula!K49))*(INDEX(Properties!A$1:CB$87,Formula!B49,26))+((Formula!E49)/(Formula!C49+Formula!E49+Formula!G49+Formula!I49+Formula!K49))*(INDEX(Properties!A$1:CB$87,Formula!D49,26))+((Formula!G49)/(Formula!C49+Formula!E49+Formula!G49+Formula!I49+Formula!K49))*(INDEX(Properties!A$1:CB$87,Formula!F49,26))+((Formula!I49)/(Formula!C49+Formula!E49+Formula!G49+Formula!I49+Formula!K49))*(INDEX(Properties!A$1:CB$87,Formula!H49,26))+((Formula!K49)/(Formula!C49+Formula!E49+Formula!G49+Formula!I49+Formula!K49))*(INDEX(Properties!A$1:CB$87,Formula!J49,26))</f>
        <v>11.131736363636364</v>
      </c>
      <c r="CI49" s="39">
        <f>Formula!C49*(INDEX(Properties!A$1:CB$87,Formula!B49,26))+Formula!E49*(INDEX(Properties!A$1:CB$87,Formula!D49,26))+Formula!G49*(INDEX(Properties!A$1:CB$87,Formula!F49,26))+Formula!I49*(INDEX(Properties!A$1:CB$87,Formula!H49,26))+Formula!K49*(INDEX(Properties!A$1:CB$87,Formula!J49,26))</f>
        <v>122.4491</v>
      </c>
      <c r="CJ49" s="39">
        <f>VARP(IF(INDEX(Properties!A$1:CB$87,Formula!B49,26)&lt;&gt;"",INDEX(Properties!A$1:CB$87,Formula!B49,26)),IF(INDEX(Properties!A$1:CB$87,Formula!D49,26)&lt;&gt;"",INDEX(Properties!A$1:CB$87,Formula!D49,26)),IF(INDEX(Properties!A$1:CB$87,Formula!F49,26)&lt;&gt;"",INDEX(Properties!A$1:CB$87,Formula!F49,26)),IF(INDEX(Properties!A$1:CB$87,Formula!H49,26)&lt;&gt;"",INDEX(Properties!A$1:CB$87,Formula!H49,26)),IF(INDEX(Properties!A$1:CB$87,Formula!J49,26)&lt;&gt;"",INDEX(Properties!A$1:CB$87,Formula!J49,26)))</f>
        <v>26.059492882400004</v>
      </c>
      <c r="CK49" s="39">
        <f>MAX(INDEX(Properties!A$1:CB$87,Formula!B49,26),INDEX(Properties!A$1:CB$87,Formula!D49,26),INDEX(Properties!A$1:CB$87,Formula!F49,26),INDEX(Properties!A$1:CB$87,Formula!H49,26),INDEX(Properties!A$1:CB$87,Formula!J49,26))</f>
        <v>13.6181</v>
      </c>
      <c r="CL49" s="39">
        <f>MIN(IF(INDEX(Properties!A$1:CB$87,Formula!B49,26)=0,10^6,INDEX(Properties!A$1:CB$87,Formula!B49,26)),IF(INDEX(Properties!A$1:CB$87,Formula!D49,26)=0,10^6,INDEX(Properties!A$1:CB$87,Formula!D49,26)),IF(INDEX(Properties!A$1:CB$87,Formula!F49,26)=0,10^6,INDEX(Properties!A$1:CB$87,Formula!F49,26)),IF(INDEX(Properties!A$1:CB$87,Formula!H49,26)=0,10^6,INDEX(Properties!A$1:CB$87,Formula!H49,26)),IF(INDEX(Properties!A$1:CB$87,Formula!J49,26)=0,10^6,INDEX(Properties!A$1:CB$87,Formula!J49,26)))</f>
        <v>6.2172999999999998</v>
      </c>
      <c r="CM49" s="39">
        <f t="shared" si="14"/>
        <v>7.4008000000000003</v>
      </c>
      <c r="CN49" s="54">
        <f>((Formula!C49)/(Formula!C49+Formula!E49+Formula!G49+Formula!I49+Formula!K49))*(INDEX(Properties!A$1:CB$87,Formula!B49,30))+((Formula!E49)/(Formula!C49+Formula!E49+Formula!G49+Formula!I49+Formula!K49))*(INDEX(Properties!A$1:CB$87,Formula!D49,30))+((Formula!G49)/(Formula!C49+Formula!E49+Formula!G49+Formula!I49+Formula!K49))*(INDEX(Properties!A$1:CB$87,Formula!F49,30))+((Formula!I49)/(Formula!C49+Formula!E49+Formula!G49+Formula!I49+Formula!K49))*(INDEX(Properties!A$1:CB$87,Formula!H49,30))+((Formula!K49)/(Formula!C49+Formula!E49+Formula!G49+Formula!I49+Formula!K49))*(INDEX(Properties!A$1:CB$87,Formula!J49,30))</f>
        <v>2.7672727272727271</v>
      </c>
      <c r="CO49" s="54">
        <f>Formula!C49*(INDEX(Properties!A$1:CB$87,Formula!B49,30))+Formula!E49*(INDEX(Properties!A$1:CB$87,Formula!D49,30))+Formula!G49*(INDEX(Properties!A$1:CB$87,Formula!F49,30))+Formula!I49*(INDEX(Properties!A$1:CB$87,Formula!H49,30))+Formula!K49*(INDEX(Properties!A$1:CB$87,Formula!J49,30))</f>
        <v>30.439999999999998</v>
      </c>
      <c r="CP49" s="54">
        <f>VARP(IF(INDEX(Properties!A$1:CB$87,Formula!B49,30)&lt;&gt;"",INDEX(Properties!A$1:CB$87,Formula!B49,30)),IF(INDEX(Properties!A$1:CB$87,Formula!D49,30)&lt;&gt;"",INDEX(Properties!A$1:CB$87,Formula!D49,30)),IF(INDEX(Properties!A$1:CB$87,Formula!F49,30)&lt;&gt;"",INDEX(Properties!A$1:CB$87,Formula!F49,30)),IF(INDEX(Properties!A$1:CB$87,Formula!H49,30)&lt;&gt;"",INDEX(Properties!A$1:CB$87,Formula!H49,30)),IF(INDEX(Properties!A$1:CB$87,Formula!J49,30)&lt;&gt;"",INDEX(Properties!A$1:CB$87,Formula!J49,30)))</f>
        <v>1.6797440000000003</v>
      </c>
      <c r="CQ49" s="54">
        <f>MAX(INDEX(Properties!A$1:CB$87,Formula!B49,30),INDEX(Properties!A$1:CB$87,Formula!D49,30),INDEX(Properties!A$1:CB$87,Formula!F49,30),INDEX(Properties!A$1:CB$87,Formula!H49,30),INDEX(Properties!A$1:CB$87,Formula!J49,30))</f>
        <v>3.44</v>
      </c>
      <c r="CR49" s="54">
        <f>MIN(IF(INDEX(Properties!A$1:CB$87,Formula!B49,30)=0,10^6,INDEX(Properties!A$1:CB$87,Formula!B49,30)),IF(INDEX(Properties!A$1:CB$87,Formula!D49,30)=0,10^6,INDEX(Properties!A$1:CB$87,Formula!D49,30)),IF(INDEX(Properties!A$1:CB$87,Formula!F49,30)=0,10^6,INDEX(Properties!A$1:CB$87,Formula!F49,30)),IF(INDEX(Properties!A$1:CB$87,Formula!H49,30)=0,10^6,INDEX(Properties!A$1:CB$87,Formula!H49,30)),IF(INDEX(Properties!A$1:CB$87,Formula!J49,30)=0,10^6,INDEX(Properties!A$1:CB$87,Formula!J49,30)))</f>
        <v>1.22</v>
      </c>
      <c r="CS49" s="54">
        <f t="shared" si="15"/>
        <v>2.2199999999999998</v>
      </c>
      <c r="CT49" s="69">
        <f>((Formula!C49)/(Formula!C49+Formula!E49+Formula!G49+Formula!I49+Formula!K49))*(INDEX(Properties!A$1:CB$87,Formula!B49,31))+((Formula!E49)/(Formula!C49+Formula!E49+Formula!G49+Formula!I49+Formula!K49))*(INDEX(Properties!A$1:CB$87,Formula!D49,31))+((Formula!G49)/(Formula!C49+Formula!E49+Formula!G49+Formula!I49+Formula!K49))*(INDEX(Properties!A$1:CB$87,Formula!F49,31))+((Formula!I49)/(Formula!C49+Formula!E49+Formula!G49+Formula!I49+Formula!K49))*(INDEX(Properties!A$1:CB$87,Formula!H49,31))+((Formula!K49)/(Formula!C49+Formula!E49+Formula!G49+Formula!I49+Formula!K49))*(INDEX(Properties!A$1:CB$87,Formula!J49,31))</f>
        <v>2.7109090909090909</v>
      </c>
      <c r="CU49" s="69">
        <f>Formula!C49*(INDEX(Properties!A$1:CB$87,Formula!B49,31))+Formula!E49*(INDEX(Properties!A$1:CB$87,Formula!D49,31))+Formula!G49*(INDEX(Properties!A$1:CB$87,Formula!F49,31))+Formula!I49*(INDEX(Properties!A$1:CB$87,Formula!H49,31))+Formula!K49*(INDEX(Properties!A$1:CB$87,Formula!J49,31))</f>
        <v>29.82</v>
      </c>
      <c r="CV49" s="69">
        <f>VARP(IF(INDEX(Properties!A$1:CB$87,Formula!B49,31)&lt;&gt;"",INDEX(Properties!A$1:CB$87,Formula!B49,31)),IF(INDEX(Properties!A$1:CB$87,Formula!D49,31)&lt;&gt;"",INDEX(Properties!A$1:CB$87,Formula!D49,31)),IF(INDEX(Properties!A$1:CB$87,Formula!F49,31)&lt;&gt;"",INDEX(Properties!A$1:CB$87,Formula!F49,31)),IF(INDEX(Properties!A$1:CB$87,Formula!H49,31)&lt;&gt;"",INDEX(Properties!A$1:CB$87,Formula!H49,31)),IF(INDEX(Properties!A$1:CB$87,Formula!J49,31)&lt;&gt;"",INDEX(Properties!A$1:CB$87,Formula!J49,31)))</f>
        <v>1.561296</v>
      </c>
      <c r="CW49" s="69">
        <f>MAX(INDEX(Properties!A$1:CB$87,Formula!B49,31),INDEX(Properties!A$1:CB$87,Formula!D49,31),INDEX(Properties!A$1:CB$87,Formula!F49,31),INDEX(Properties!A$1:CB$87,Formula!H49,31),INDEX(Properties!A$1:CB$87,Formula!J49,31))</f>
        <v>3.32</v>
      </c>
      <c r="CX49" s="69">
        <f>MIN(IF(INDEX(Properties!A$1:CB$87,Formula!B49,31)=0,10^6,INDEX(Properties!A$1:CB$87,Formula!B49,31)),IF(INDEX(Properties!A$1:CB$87,Formula!D49,31)=0,10^6,INDEX(Properties!A$1:CB$87,Formula!D49,31)),IF(INDEX(Properties!A$1:CB$87,Formula!F49,31)=0,10^6,INDEX(Properties!A$1:CB$87,Formula!F49,31)),IF(INDEX(Properties!A$1:CB$87,Formula!H49,31)=0,10^6,INDEX(Properties!A$1:CB$87,Formula!H49,31)),IF(INDEX(Properties!A$1:CB$87,Formula!J49,31)=0,10^6,INDEX(Properties!A$1:CB$87,Formula!J49,31)))</f>
        <v>1.41</v>
      </c>
      <c r="CY49" s="69">
        <f t="shared" si="16"/>
        <v>1.91</v>
      </c>
      <c r="CZ49" s="42">
        <f>((Formula!C49)/(Formula!C49+Formula!E49+Formula!G49+Formula!I49+Formula!K49))*(INDEX(Properties!A$1:CB$87,Formula!B49,32))+((Formula!E49)/(Formula!C49+Formula!E49+Formula!G49+Formula!I49+Formula!K49))*(INDEX(Properties!A$1:CB$87,Formula!D49,32))+((Formula!G49)/(Formula!C49+Formula!E49+Formula!G49+Formula!I49+Formula!K49))*(INDEX(Properties!A$1:CB$87,Formula!F49,32))+((Formula!I49)/(Formula!C49+Formula!E49+Formula!G49+Formula!I49+Formula!K49))*(INDEX(Properties!A$1:CB$87,Formula!H49,32))+((Formula!K49)/(Formula!C49+Formula!E49+Formula!G49+Formula!I49+Formula!K49))*(INDEX(Properties!A$1:CB$87,Formula!J49,32))</f>
        <v>6.16</v>
      </c>
      <c r="DA49" s="42">
        <f>Formula!C49*(INDEX(Properties!A$1:CB$87,Formula!B49,32))+Formula!E49*(INDEX(Properties!A$1:CB$87,Formula!D49,32))+Formula!G49*(INDEX(Properties!A$1:CB$87,Formula!F49,32))+Formula!I49*(INDEX(Properties!A$1:CB$87,Formula!H49,32))+Formula!K49*(INDEX(Properties!A$1:CB$87,Formula!J49,32))</f>
        <v>67.760000000000005</v>
      </c>
      <c r="DB49" s="42">
        <f>VARP(IF(INDEX(Properties!A$1:CB$87,Formula!B49,32)&lt;&gt;"",INDEX(Properties!A$1:CB$87,Formula!B49,32)),IF(INDEX(Properties!A$1:CB$87,Formula!D49,32)&lt;&gt;"",INDEX(Properties!A$1:CB$87,Formula!D49,32)),IF(INDEX(Properties!A$1:CB$87,Formula!F49,32)&lt;&gt;"",INDEX(Properties!A$1:CB$87,Formula!F49,32)),IF(INDEX(Properties!A$1:CB$87,Formula!H49,32)&lt;&gt;"",INDEX(Properties!A$1:CB$87,Formula!H49,32)),IF(INDEX(Properties!A$1:CB$87,Formula!J49,32)&lt;&gt;"",INDEX(Properties!A$1:CB$87,Formula!J49,32)))</f>
        <v>8.067503999999996</v>
      </c>
      <c r="DC49" s="42">
        <f>MAX(INDEX(Properties!A$1:CB$87,Formula!B49,32),INDEX(Properties!A$1:CB$87,Formula!D49,32),INDEX(Properties!A$1:CB$87,Formula!F49,32),INDEX(Properties!A$1:CB$87,Formula!H49,32),INDEX(Properties!A$1:CB$87,Formula!J49,32))</f>
        <v>7.54</v>
      </c>
      <c r="DD49" s="42">
        <f>MIN(IF(INDEX(Properties!A$1:CB$87,Formula!B49,32)=0,10^6,INDEX(Properties!A$1:CB$87,Formula!B49,32)),IF(INDEX(Properties!A$1:CB$87,Formula!D49,32)=0,10^6,INDEX(Properties!A$1:CB$87,Formula!D49,32)),IF(INDEX(Properties!A$1:CB$87,Formula!F49,32)=0,10^6,INDEX(Properties!A$1:CB$87,Formula!F49,32)),IF(INDEX(Properties!A$1:CB$87,Formula!H49,32)=0,10^6,INDEX(Properties!A$1:CB$87,Formula!H49,32)),IF(INDEX(Properties!A$1:CB$87,Formula!J49,32)=0,10^6,INDEX(Properties!A$1:CB$87,Formula!J49,32)))</f>
        <v>3.19</v>
      </c>
      <c r="DE49" s="42">
        <f t="shared" si="17"/>
        <v>4.3499999999999996</v>
      </c>
      <c r="DF49" s="60">
        <f>((Formula!C49)/(Formula!C49+Formula!E49+Formula!G49+Formula!I49+Formula!K49))*(INDEX(Properties!A$1:CB$87,Formula!B49,34))+((Formula!E49)/(Formula!C49+Formula!E49+Formula!G49+Formula!I49+Formula!K49))*(INDEX(Properties!A$1:CB$87,Formula!D49,34))+((Formula!G49)/(Formula!C49+Formula!E49+Formula!G49+Formula!I49+Formula!K49))*(INDEX(Properties!A$1:CB$87,Formula!F49,34))+((Formula!I49)/(Formula!C49+Formula!E49+Formula!G49+Formula!I49+Formula!K49))*(INDEX(Properties!A$1:CB$87,Formula!H49,34))+((Formula!K49)/(Formula!C49+Formula!E49+Formula!G49+Formula!I49+Formula!K49))*(INDEX(Properties!A$1:CB$87,Formula!J49,34))</f>
        <v>2.8325454545454547</v>
      </c>
      <c r="DG49" s="60">
        <f>Formula!C49*(INDEX(Properties!A$1:CB$87,Formula!B49,34))+Formula!E49*(INDEX(Properties!A$1:CB$87,Formula!D49,34))+Formula!G49*(INDEX(Properties!A$1:CB$87,Formula!F49,34))+Formula!I49*(INDEX(Properties!A$1:CB$87,Formula!H49,34))+Formula!K49*(INDEX(Properties!A$1:CB$87,Formula!J49,34))</f>
        <v>31.158000000000001</v>
      </c>
      <c r="DH49" s="60">
        <f>VARP(IF(INDEX(Properties!A$1:CB$87,Formula!B49,34)&lt;&gt;"",INDEX(Properties!A$1:CB$87,Formula!B49,34)),IF(INDEX(Properties!A$1:CB$87,Formula!D49,34)&lt;&gt;"",INDEX(Properties!A$1:CB$87,Formula!D49,34)),IF(INDEX(Properties!A$1:CB$87,Formula!F49,34)&lt;&gt;"",INDEX(Properties!A$1:CB$87,Formula!F49,34)),IF(INDEX(Properties!A$1:CB$87,Formula!H49,34)&lt;&gt;"",INDEX(Properties!A$1:CB$87,Formula!H49,34)),IF(INDEX(Properties!A$1:CB$87,Formula!J49,34)&lt;&gt;"",INDEX(Properties!A$1:CB$87,Formula!J49,34)))</f>
        <v>1.8044985599999992</v>
      </c>
      <c r="DI49" s="60">
        <f>MAX(INDEX(Properties!A$1:CB$87,Formula!B49,34),INDEX(Properties!A$1:CB$87,Formula!D49,34),INDEX(Properties!A$1:CB$87,Formula!F49,34),INDEX(Properties!A$1:CB$87,Formula!H49,34),INDEX(Properties!A$1:CB$87,Formula!J49,34))</f>
        <v>3.61</v>
      </c>
      <c r="DJ49" s="60">
        <f>MIN(IF(INDEX(Properties!A$1:CB$87,Formula!B49,34)=0,10^6,INDEX(Properties!A$1:CB$87,Formula!B49,34)),IF(INDEX(Properties!A$1:CB$87,Formula!D49,34)=0,10^6,INDEX(Properties!A$1:CB$87,Formula!D49,34)),IF(INDEX(Properties!A$1:CB$87,Formula!F49,34)=0,10^6,INDEX(Properties!A$1:CB$87,Formula!F49,34)),IF(INDEX(Properties!A$1:CB$87,Formula!H49,34)=0,10^6,INDEX(Properties!A$1:CB$87,Formula!H49,34)),IF(INDEX(Properties!A$1:CB$87,Formula!J49,34)=0,10^6,INDEX(Properties!A$1:CB$87,Formula!J49,34)))</f>
        <v>1.1200000000000001</v>
      </c>
      <c r="DK49" s="60">
        <f t="shared" si="18"/>
        <v>2.4899999999999998</v>
      </c>
      <c r="DL49" s="45">
        <f>((Formula!C49)/(Formula!C49+Formula!E49+Formula!G49+Formula!I49+Formula!K49))*(INDEX(Properties!A$1:CB$87,Formula!B49,39))+((Formula!E49)/(Formula!C49+Formula!E49+Formula!G49+Formula!I49+Formula!K49))*(INDEX(Properties!A$1:CB$87,Formula!D49,39))+((Formula!G49)/(Formula!C49+Formula!E49+Formula!G49+Formula!I49+Formula!K49))*(INDEX(Properties!A$1:CB$87,Formula!F49,39))+((Formula!I49)/(Formula!C49+Formula!E49+Formula!G49+Formula!I49+Formula!K49))*(INDEX(Properties!A$1:CB$87,Formula!H49,39))+((Formula!K49)/(Formula!C49+Formula!E49+Formula!G49+Formula!I49+Formula!K49))*(INDEX(Properties!A$1:CB$87,Formula!J49,39))</f>
        <v>0.95454545454545459</v>
      </c>
      <c r="DM49" s="45">
        <f>Formula!C49*(INDEX(Properties!A$1:CB$87,Formula!B49,39))+Formula!E49*(INDEX(Properties!A$1:CB$87,Formula!D49,39))+Formula!G49*(INDEX(Properties!A$1:CB$87,Formula!F49,39))+Formula!I49*(INDEX(Properties!A$1:CB$87,Formula!H49,39))+Formula!K49*(INDEX(Properties!A$1:CB$87,Formula!J49,39))</f>
        <v>10.5</v>
      </c>
      <c r="DN49" s="45">
        <f>VARP(IF(INDEX(Properties!A$1:CB$87,Formula!B49,39)&lt;&gt;"",INDEX(Properties!A$1:CB$87,Formula!B49,39)),IF(INDEX(Properties!A$1:CB$87,Formula!D49,39)&lt;&gt;"",INDEX(Properties!A$1:CB$87,Formula!D49,39)),IF(INDEX(Properties!A$1:CB$87,Formula!F49,39)&lt;&gt;"",INDEX(Properties!A$1:CB$87,Formula!F49,39)),IF(INDEX(Properties!A$1:CB$87,Formula!H49,39)&lt;&gt;"",INDEX(Properties!A$1:CB$87,Formula!H49,39)),IF(INDEX(Properties!A$1:CB$87,Formula!J49,39)&lt;&gt;"",INDEX(Properties!A$1:CB$87,Formula!J49,39)))</f>
        <v>0.70935999999999988</v>
      </c>
      <c r="DO49" s="45">
        <f>MAX(INDEX(Properties!A$1:CB$87,Formula!B49,39),INDEX(Properties!A$1:CB$87,Formula!D49,39),INDEX(Properties!A$1:CB$87,Formula!F49,39),INDEX(Properties!A$1:CB$87,Formula!H49,39),INDEX(Properties!A$1:CB$87,Formula!J49,39))</f>
        <v>2.12</v>
      </c>
      <c r="DP49" s="45">
        <f>MIN(IF(INDEX(Properties!A$1:CB$87,Formula!B49,39)=0,10^6,INDEX(Properties!A$1:CB$87,Formula!B49,39)),IF(INDEX(Properties!A$1:CB$87,Formula!D49,39)=0,10^6,INDEX(Properties!A$1:CB$87,Formula!D49,39)),IF(INDEX(Properties!A$1:CB$87,Formula!F49,39)=0,10^6,INDEX(Properties!A$1:CB$87,Formula!F49,39)),IF(INDEX(Properties!A$1:CB$87,Formula!H49,39)=0,10^6,INDEX(Properties!A$1:CB$87,Formula!H49,39)),IF(INDEX(Properties!A$1:CB$87,Formula!J49,39)=0,10^6,INDEX(Properties!A$1:CB$87,Formula!J49,39)))</f>
        <v>0.48</v>
      </c>
      <c r="DQ49" s="45">
        <f t="shared" si="19"/>
        <v>1.6400000000000001</v>
      </c>
      <c r="DR49" s="63">
        <f>((Formula!C49)/(Formula!C49+Formula!E49+Formula!G49+Formula!I49+Formula!K49))*(INDEX(Properties!A$1:CB$87,Formula!B49,40))+((Formula!E49)/(Formula!C49+Formula!E49+Formula!G49+Formula!I49+Formula!K49))*(INDEX(Properties!A$1:CB$87,Formula!D49,40))+((Formula!G49)/(Formula!C49+Formula!E49+Formula!G49+Formula!I49+Formula!K49))*(INDEX(Properties!A$1:CB$87,Formula!F49,40))+((Formula!I49)/(Formula!C49+Formula!E49+Formula!G49+Formula!I49+Formula!K49))*(INDEX(Properties!A$1:CB$87,Formula!H49,40))+((Formula!K49)/(Formula!C49+Formula!E49+Formula!G49+Formula!I49+Formula!K49))*(INDEX(Properties!A$1:CB$87,Formula!J49,40))</f>
        <v>1.0154545454545454</v>
      </c>
      <c r="DS49" s="63">
        <f>Formula!C49*(INDEX(Properties!A$1:CB$87,Formula!B49,40))+Formula!E49*(INDEX(Properties!A$1:CB$87,Formula!D49,40))+Formula!G49*(INDEX(Properties!A$1:CB$87,Formula!F49,40))+Formula!I49*(INDEX(Properties!A$1:CB$87,Formula!H49,40))+Formula!K49*(INDEX(Properties!A$1:CB$87,Formula!J49,40))</f>
        <v>11.17</v>
      </c>
      <c r="DT49" s="63">
        <f>VARP(IF(INDEX(Properties!A$1:CB$87,Formula!B49,40)&lt;&gt;"",INDEX(Properties!A$1:CB$87,Formula!B49,40)),IF(INDEX(Properties!A$1:CB$87,Formula!D49,40)&lt;&gt;"",INDEX(Properties!A$1:CB$87,Formula!D49,40)),IF(INDEX(Properties!A$1:CB$87,Formula!F49,40)&lt;&gt;"",INDEX(Properties!A$1:CB$87,Formula!F49,40)),IF(INDEX(Properties!A$1:CB$87,Formula!H49,40)&lt;&gt;"",INDEX(Properties!A$1:CB$87,Formula!H49,40)),IF(INDEX(Properties!A$1:CB$87,Formula!J49,40)&lt;&gt;"",INDEX(Properties!A$1:CB$87,Formula!J49,40)))</f>
        <v>0.46357600000000004</v>
      </c>
      <c r="DU49" s="63">
        <f>MAX(INDEX(Properties!A$1:CB$87,Formula!B49,40),INDEX(Properties!A$1:CB$87,Formula!D49,40),INDEX(Properties!A$1:CB$87,Formula!F49,40),INDEX(Properties!A$1:CB$87,Formula!H49,40),INDEX(Properties!A$1:CB$87,Formula!J49,40))</f>
        <v>1.62</v>
      </c>
      <c r="DV49" s="63">
        <f>MIN(IF(INDEX(Properties!A$1:CB$87,Formula!B49,40)=0,10^6,INDEX(Properties!A$1:CB$87,Formula!B49,40)),IF(INDEX(Properties!A$1:CB$87,Formula!D49,40)=0,10^6,INDEX(Properties!A$1:CB$87,Formula!D49,40)),IF(INDEX(Properties!A$1:CB$87,Formula!F49,40)=0,10^6,INDEX(Properties!A$1:CB$87,Formula!F49,40)),IF(INDEX(Properties!A$1:CB$87,Formula!H49,40)=0,10^6,INDEX(Properties!A$1:CB$87,Formula!H49,40)),IF(INDEX(Properties!A$1:CB$87,Formula!J49,40)=0,10^6,INDEX(Properties!A$1:CB$87,Formula!J49,40)))</f>
        <v>0.73</v>
      </c>
      <c r="DW49" s="63">
        <f t="shared" si="20"/>
        <v>0.89000000000000012</v>
      </c>
      <c r="DX49" s="75">
        <f>((Formula!C49)/(Formula!C49+Formula!E49+Formula!G49+Formula!I49+Formula!K49))*(INDEX(Properties!A$1:CB$87,Formula!B49,41))+((Formula!E49)/(Formula!C49+Formula!E49+Formula!G49+Formula!I49+Formula!K49))*(INDEX(Properties!A$1:CB$87,Formula!D49,41))+((Formula!G49)/(Formula!C49+Formula!E49+Formula!G49+Formula!I49+Formula!K49))*(INDEX(Properties!A$1:CB$87,Formula!F49,41))+((Formula!I49)/(Formula!C49+Formula!E49+Formula!G49+Formula!I49+Formula!K49))*(INDEX(Properties!A$1:CB$87,Formula!H49,41))+((Formula!K49)/(Formula!C49+Formula!E49+Formula!G49+Formula!I49+Formula!K49))*(INDEX(Properties!A$1:CB$87,Formula!J49,41))</f>
        <v>1.1418181818181818</v>
      </c>
      <c r="DY49" s="75">
        <f>Formula!C49*(INDEX(Properties!A$1:CB$87,Formula!B49,41))+Formula!E49*(INDEX(Properties!A$1:CB$87,Formula!D49,41))+Formula!G49*(INDEX(Properties!A$1:CB$87,Formula!F49,41))+Formula!I49*(INDEX(Properties!A$1:CB$87,Formula!H49,41))+Formula!K49*(INDEX(Properties!A$1:CB$87,Formula!J49,41))</f>
        <v>12.56</v>
      </c>
      <c r="DZ49" s="75">
        <f>VARP(IF(INDEX(Properties!A$1:CB$87,Formula!B49,41)&lt;&gt;"",INDEX(Properties!A$1:CB$87,Formula!B49,41)),IF(INDEX(Properties!A$1:CB$87,Formula!D49,41)&lt;&gt;"",INDEX(Properties!A$1:CB$87,Formula!D49,41)),IF(INDEX(Properties!A$1:CB$87,Formula!F49,41)&lt;&gt;"",INDEX(Properties!A$1:CB$87,Formula!F49,41)),IF(INDEX(Properties!A$1:CB$87,Formula!H49,41)&lt;&gt;"",INDEX(Properties!A$1:CB$87,Formula!H49,41)),IF(INDEX(Properties!A$1:CB$87,Formula!J49,41)&lt;&gt;"",INDEX(Properties!A$1:CB$87,Formula!J49,41)))</f>
        <v>0.2797440000000001</v>
      </c>
      <c r="EA49" s="75">
        <f>MAX(INDEX(Properties!A$1:CB$87,Formula!B49,41),INDEX(Properties!A$1:CB$87,Formula!D49,41),INDEX(Properties!A$1:CB$87,Formula!F49,41),INDEX(Properties!A$1:CB$87,Formula!H49,41),INDEX(Properties!A$1:CB$87,Formula!J49,41))</f>
        <v>1.26</v>
      </c>
      <c r="EB49" s="75">
        <f>MIN(IF(INDEX(Properties!A$1:CB$87,Formula!B49,41)=0,10^6,INDEX(Properties!A$1:CB$87,Formula!B49,41)),IF(INDEX(Properties!A$1:CB$87,Formula!D49,41)=0,10^6,INDEX(Properties!A$1:CB$87,Formula!D49,41)),IF(INDEX(Properties!A$1:CB$87,Formula!F49,41)=0,10^6,INDEX(Properties!A$1:CB$87,Formula!F49,41)),IF(INDEX(Properties!A$1:CB$87,Formula!H49,41)=0,10^6,INDEX(Properties!A$1:CB$87,Formula!H49,41)),IF(INDEX(Properties!A$1:CB$87,Formula!J49,41)=0,10^6,INDEX(Properties!A$1:CB$87,Formula!J49,41)))</f>
        <v>0.83</v>
      </c>
      <c r="EC49" s="75">
        <f t="shared" si="21"/>
        <v>0.43000000000000005</v>
      </c>
      <c r="ED49" s="48">
        <f>((Formula!C49)/(Formula!C49+Formula!E49+Formula!G49+Formula!I49+Formula!K49))*(INDEX(Properties!A$1:CB$87,Formula!B49,45))+((Formula!E49)/(Formula!C49+Formula!E49+Formula!G49+Formula!I49+Formula!K49))*(INDEX(Properties!A$1:CB$87,Formula!D49,45))+((Formula!G49)/(Formula!C49+Formula!E49+Formula!G49+Formula!I49+Formula!K49))*(INDEX(Properties!A$1:CB$87,Formula!F49,45))+((Formula!I49)/(Formula!C49+Formula!E49+Formula!G49+Formula!I49+Formula!K49))*(INDEX(Properties!A$1:CB$87,Formula!H49,45))+((Formula!K49)/(Formula!C49+Formula!E49+Formula!G49+Formula!I49+Formula!K49))*(INDEX(Properties!A$1:CB$87,Formula!J49,45))</f>
        <v>1.1754545454545453</v>
      </c>
      <c r="EE49" s="48">
        <f>Formula!C49*(INDEX(Properties!A$1:CB$87,Formula!B49,45))+Formula!E49*(INDEX(Properties!A$1:CB$87,Formula!D49,45))+Formula!G49*(INDEX(Properties!A$1:CB$87,Formula!F49,45))+Formula!I49*(INDEX(Properties!A$1:CB$87,Formula!H49,45))+Formula!K49*(INDEX(Properties!A$1:CB$87,Formula!J49,45))</f>
        <v>12.93</v>
      </c>
      <c r="EF49" s="48">
        <f>VARP(IF(INDEX(Properties!A$1:CB$87,Formula!B49,45)&lt;&gt;"",INDEX(Properties!A$1:CB$87,Formula!B49,45)),IF(INDEX(Properties!A$1:CB$87,Formula!D49,45)&lt;&gt;"",INDEX(Properties!A$1:CB$87,Formula!D49,45)),IF(INDEX(Properties!A$1:CB$87,Formula!F49,45)&lt;&gt;"",INDEX(Properties!A$1:CB$87,Formula!F49,45)),IF(INDEX(Properties!A$1:CB$87,Formula!H49,45)&lt;&gt;"",INDEX(Properties!A$1:CB$87,Formula!H49,45)),IF(INDEX(Properties!A$1:CB$87,Formula!J49,45)&lt;&gt;"",INDEX(Properties!A$1:CB$87,Formula!J49,45)))</f>
        <v>1.3604159999999996</v>
      </c>
      <c r="EG49" s="48">
        <f>MAX(INDEX(Properties!A$1:CB$87,Formula!B49,45),INDEX(Properties!A$1:CB$87,Formula!D49,45),INDEX(Properties!A$1:CB$87,Formula!F49,45),INDEX(Properties!A$1:CB$87,Formula!H49,45),INDEX(Properties!A$1:CB$87,Formula!J49,45))</f>
        <v>2.94</v>
      </c>
      <c r="EH49" s="48">
        <f>MIN(IF(INDEX(Properties!A$1:CB$87,Formula!B49,45)=0,10^6,INDEX(Properties!A$1:CB$87,Formula!B49,45)),IF(INDEX(Properties!A$1:CB$87,Formula!D49,45)=0,10^6,INDEX(Properties!A$1:CB$87,Formula!D49,45)),IF(INDEX(Properties!A$1:CB$87,Formula!F49,45)=0,10^6,INDEX(Properties!A$1:CB$87,Formula!F49,45)),IF(INDEX(Properties!A$1:CB$87,Formula!H49,45)=0,10^6,INDEX(Properties!A$1:CB$87,Formula!H49,45)),IF(INDEX(Properties!A$1:CB$87,Formula!J49,45)=0,10^6,INDEX(Properties!A$1:CB$87,Formula!J49,45)))</f>
        <v>0.47</v>
      </c>
      <c r="EI49" s="48">
        <f t="shared" si="22"/>
        <v>2.4699999999999998</v>
      </c>
      <c r="EJ49" s="66">
        <f>((Formula!C49)/(Formula!C49+Formula!E49+Formula!G49+Formula!I49+Formula!K49))*(INDEX(Properties!A$1:CB$87,Formula!B49,46))+((Formula!E49)/(Formula!C49+Formula!E49+Formula!G49+Formula!I49+Formula!K49))*(INDEX(Properties!A$1:CB$87,Formula!D49,46))+((Formula!G49)/(Formula!C49+Formula!E49+Formula!G49+Formula!I49+Formula!K49))*(INDEX(Properties!A$1:CB$87,Formula!F49,46))+((Formula!I49)/(Formula!C49+Formula!E49+Formula!G49+Formula!I49+Formula!K49))*(INDEX(Properties!A$1:CB$87,Formula!H49,46))+((Formula!K49)/(Formula!C49+Formula!E49+Formula!G49+Formula!I49+Formula!K49))*(INDEX(Properties!A$1:CB$87,Formula!J49,46))</f>
        <v>1.0845454545454545</v>
      </c>
      <c r="EK49" s="66">
        <f>Formula!C49*(INDEX(Properties!A$1:CB$87,Formula!B49,46))+Formula!E49*(INDEX(Properties!A$1:CB$87,Formula!D49,46))+Formula!G49*(INDEX(Properties!A$1:CB$87,Formula!F49,46))+Formula!I49*(INDEX(Properties!A$1:CB$87,Formula!H49,46))+Formula!K49*(INDEX(Properties!A$1:CB$87,Formula!J49,46))</f>
        <v>11.93</v>
      </c>
      <c r="EL49" s="66">
        <f>VARP(IF(INDEX(Properties!A$1:CB$87,Formula!B49,46)&lt;&gt;"",INDEX(Properties!A$1:CB$87,Formula!B49,46)),IF(INDEX(Properties!A$1:CB$87,Formula!D49,46)&lt;&gt;"",INDEX(Properties!A$1:CB$87,Formula!D49,46)),IF(INDEX(Properties!A$1:CB$87,Formula!F49,46)&lt;&gt;"",INDEX(Properties!A$1:CB$87,Formula!F49,46)),IF(INDEX(Properties!A$1:CB$87,Formula!H49,46)&lt;&gt;"",INDEX(Properties!A$1:CB$87,Formula!H49,46)),IF(INDEX(Properties!A$1:CB$87,Formula!J49,46)&lt;&gt;"",INDEX(Properties!A$1:CB$87,Formula!J49,46)))</f>
        <v>0.25861599999999996</v>
      </c>
      <c r="EM49" s="66">
        <f>MAX(INDEX(Properties!A$1:CB$87,Formula!B49,46),INDEX(Properties!A$1:CB$87,Formula!D49,46),INDEX(Properties!A$1:CB$87,Formula!F49,46),INDEX(Properties!A$1:CB$87,Formula!H49,46),INDEX(Properties!A$1:CB$87,Formula!J49,46))</f>
        <v>1.21</v>
      </c>
      <c r="EN49" s="66">
        <f>MIN(IF(INDEX(Properties!A$1:CB$87,Formula!B49,46)=0,10^6,INDEX(Properties!A$1:CB$87,Formula!B49,46)),IF(INDEX(Properties!A$1:CB$87,Formula!D49,46)=0,10^6,INDEX(Properties!A$1:CB$87,Formula!D49,46)),IF(INDEX(Properties!A$1:CB$87,Formula!F49,46)=0,10^6,INDEX(Properties!A$1:CB$87,Formula!F49,46)),IF(INDEX(Properties!A$1:CB$87,Formula!H49,46)=0,10^6,INDEX(Properties!A$1:CB$87,Formula!H49,46)),IF(INDEX(Properties!A$1:CB$87,Formula!J49,46)=0,10^6,INDEX(Properties!A$1:CB$87,Formula!J49,46)))</f>
        <v>0.69</v>
      </c>
      <c r="EO49" s="66">
        <f t="shared" si="23"/>
        <v>0.52</v>
      </c>
      <c r="EP49" s="81">
        <f>((Formula!C49)/(Formula!C49+Formula!E49+Formula!G49+Formula!I49+Formula!K49))*(INDEX(Properties!A$1:CB$87,Formula!B49,52))+((Formula!E49)/(Formula!C49+Formula!E49+Formula!G49+Formula!I49+Formula!K49))*(INDEX(Properties!A$1:CB$87,Formula!D49,52))+((Formula!G49)/(Formula!C49+Formula!E49+Formula!G49+Formula!I49+Formula!K49))*(INDEX(Properties!A$1:CB$87,Formula!F49,52))+((Formula!I49)/(Formula!C49+Formula!E49+Formula!G49+Formula!I49+Formula!K49))*(INDEX(Properties!A$1:CB$87,Formula!H49,52))+((Formula!K49)/(Formula!C49+Formula!E49+Formula!G49+Formula!I49+Formula!K49))*(INDEX(Properties!A$1:CB$87,Formula!J49,52))</f>
        <v>6.0319090909090907</v>
      </c>
      <c r="EQ49" s="81">
        <f>Formula!C49*(INDEX(Properties!A$1:CB$87,Formula!B49,52))+Formula!E49*(INDEX(Properties!A$1:CB$87,Formula!D49,52))+Formula!G49*(INDEX(Properties!A$1:CB$87,Formula!F49,52))+Formula!I49*(INDEX(Properties!A$1:CB$87,Formula!H49,52))+Formula!K49*(INDEX(Properties!A$1:CB$87,Formula!J49,52))</f>
        <v>66.350999999999999</v>
      </c>
      <c r="ER49" s="81">
        <f>VARP(IF(INDEX(Properties!A$1:CB$87,Formula!B49,52)&lt;&gt;"",INDEX(Properties!A$1:CB$87,Formula!B49,52)),IF(INDEX(Properties!A$1:CB$87,Formula!D49,52)&lt;&gt;"",INDEX(Properties!A$1:CB$87,Formula!D49,52)),IF(INDEX(Properties!A$1:CB$87,Formula!F49,52)&lt;&gt;"",INDEX(Properties!A$1:CB$87,Formula!F49,52)),IF(INDEX(Properties!A$1:CB$87,Formula!H49,52)&lt;&gt;"",INDEX(Properties!A$1:CB$87,Formula!H49,52)),IF(INDEX(Properties!A$1:CB$87,Formula!J49,52)&lt;&gt;"",INDEX(Properties!A$1:CB$87,Formula!J49,52)))</f>
        <v>76.121639839999972</v>
      </c>
      <c r="ES49" s="81">
        <f>MAX(INDEX(Properties!A$1:CB$87,Formula!B49,52),INDEX(Properties!A$1:CB$87,Formula!D49,52),INDEX(Properties!A$1:CB$87,Formula!F49,52),INDEX(Properties!A$1:CB$87,Formula!H49,52),INDEX(Properties!A$1:CB$87,Formula!J49,52))</f>
        <v>22.7</v>
      </c>
      <c r="ET49" s="81">
        <f>MIN(IF(INDEX(Properties!A$1:CB$87,Formula!B49,52)=0,10^6,INDEX(Properties!A$1:CB$87,Formula!B49,52)),IF(INDEX(Properties!A$1:CB$87,Formula!D49,52)=0,10^6,INDEX(Properties!A$1:CB$87,Formula!D49,52)),IF(INDEX(Properties!A$1:CB$87,Formula!F49,52)=0,10^6,INDEX(Properties!A$1:CB$87,Formula!F49,52)),IF(INDEX(Properties!A$1:CB$87,Formula!H49,52)=0,10^6,INDEX(Properties!A$1:CB$87,Formula!H49,52)),IF(INDEX(Properties!A$1:CB$87,Formula!J49,52)=0,10^6,INDEX(Properties!A$1:CB$87,Formula!J49,52)))</f>
        <v>0.79300000000000004</v>
      </c>
      <c r="EU49" s="81">
        <f t="shared" si="24"/>
        <v>21.907</v>
      </c>
      <c r="EV49" s="39">
        <f>((Formula!C49)/(Formula!C49+Formula!E49+Formula!G49+Formula!I49+Formula!K49))*(INDEX(Properties!A$1:CB$87,Formula!B49,53))+((Formula!E49)/(Formula!C49+Formula!E49+Formula!G49+Formula!I49+Formula!K49))*(INDEX(Properties!A$1:CB$87,Formula!D49,53))+((Formula!G49)/(Formula!C49+Formula!E49+Formula!G49+Formula!I49+Formula!K49))*(INDEX(Properties!A$1:CB$87,Formula!F49,53))+((Formula!I49)/(Formula!C49+Formula!E49+Formula!G49+Formula!I49+Formula!K49))*(INDEX(Properties!A$1:CB$87,Formula!H49,53))+((Formula!K49)/(Formula!C49+Formula!E49+Formula!G49+Formula!I49+Formula!K49))*(INDEX(Properties!A$1:CB$87,Formula!J49,53))</f>
        <v>453.25909090909096</v>
      </c>
      <c r="EW49" s="39">
        <f>Formula!C49*(INDEX(Properties!A$1:CB$87,Formula!B49,53))+Formula!E49*(INDEX(Properties!A$1:CB$87,Formula!D49,53))+Formula!G49*(INDEX(Properties!A$1:CB$87,Formula!F49,53))+Formula!I49*(INDEX(Properties!A$1:CB$87,Formula!H49,53))+Formula!K49*(INDEX(Properties!A$1:CB$87,Formula!J49,53))</f>
        <v>4985.8500000000004</v>
      </c>
      <c r="EX49" s="39">
        <f>VARP(IF(INDEX(Properties!A$1:CB$87,Formula!B49,53)&lt;&gt;"",INDEX(Properties!A$1:CB$87,Formula!B49,53)),IF(INDEX(Properties!A$1:CB$87,Formula!D49,53)&lt;&gt;"",INDEX(Properties!A$1:CB$87,Formula!D49,53)),IF(INDEX(Properties!A$1:CB$87,Formula!F49,53)&lt;&gt;"",INDEX(Properties!A$1:CB$87,Formula!F49,53)),IF(INDEX(Properties!A$1:CB$87,Formula!H49,53)&lt;&gt;"",INDEX(Properties!A$1:CB$87,Formula!H49,53)),IF(INDEX(Properties!A$1:CB$87,Formula!J49,53)&lt;&gt;"",INDEX(Properties!A$1:CB$87,Formula!J49,53)))</f>
        <v>474826.91740000003</v>
      </c>
      <c r="EY49" s="39">
        <f>MAX(INDEX(Properties!A$1:CB$87,Formula!B49,53),INDEX(Properties!A$1:CB$87,Formula!D49,53),INDEX(Properties!A$1:CB$87,Formula!F49,53),INDEX(Properties!A$1:CB$87,Formula!H49,53),INDEX(Properties!A$1:CB$87,Formula!J49,53))</f>
        <v>1796.15</v>
      </c>
      <c r="EZ49" s="39">
        <f>MIN(IF(INDEX(Properties!A$1:CB$87,Formula!B49,53)=0,10^6,INDEX(Properties!A$1:CB$87,Formula!B49,53)),IF(INDEX(Properties!A$1:CB$87,Formula!D49,53)=0,10^6,INDEX(Properties!A$1:CB$87,Formula!D49,53)),IF(INDEX(Properties!A$1:CB$87,Formula!F49,53)=0,10^6,INDEX(Properties!A$1:CB$87,Formula!F49,53)),IF(INDEX(Properties!A$1:CB$87,Formula!H49,53)=0,10^6,INDEX(Properties!A$1:CB$87,Formula!H49,53)),IF(INDEX(Properties!A$1:CB$87,Formula!J49,53)=0,10^6,INDEX(Properties!A$1:CB$87,Formula!J49,53)))</f>
        <v>54.749999999999972</v>
      </c>
      <c r="FA49" s="39">
        <f t="shared" si="25"/>
        <v>1741.4</v>
      </c>
      <c r="FB49" s="54">
        <f>((Formula!C49)/(Formula!C49+Formula!E49+Formula!G49+Formula!I49+Formula!K49))*(INDEX(Properties!A$1:CB$87,Formula!B49,54))+((Formula!E49)/(Formula!C49+Formula!E49+Formula!G49+Formula!I49+Formula!K49))*(INDEX(Properties!A$1:CB$87,Formula!D49,54))+((Formula!G49)/(Formula!C49+Formula!E49+Formula!G49+Formula!I49+Formula!K49))*(INDEX(Properties!A$1:CB$87,Formula!F49,54))+((Formula!I49)/(Formula!C49+Formula!E49+Formula!G49+Formula!I49+Formula!K49))*(INDEX(Properties!A$1:CB$87,Formula!H49,54))+((Formula!K49)/(Formula!C49+Formula!E49+Formula!G49+Formula!I49+Formula!K49))*(INDEX(Properties!A$1:CB$87,Formula!J49,54))</f>
        <v>1176.1499999999999</v>
      </c>
      <c r="FC49" s="54">
        <f>Formula!C49*(INDEX(Properties!A$1:CB$87,Formula!B49,54))+Formula!E49*(INDEX(Properties!A$1:CB$87,Formula!D49,54))+Formula!G49*(INDEX(Properties!A$1:CB$87,Formula!F49,54))+Formula!I49*(INDEX(Properties!A$1:CB$87,Formula!H49,54))+Formula!K49*(INDEX(Properties!A$1:CB$87,Formula!J49,54))</f>
        <v>12937.65</v>
      </c>
      <c r="FD49" s="54">
        <f>VARP(IF(INDEX(Properties!A$1:CB$87,Formula!B49,54)&lt;&gt;"",INDEX(Properties!A$1:CB$87,Formula!B49,54)),IF(INDEX(Properties!A$1:CB$87,Formula!D49,54)&lt;&gt;"",INDEX(Properties!A$1:CB$87,Formula!D49,54)),IF(INDEX(Properties!A$1:CB$87,Formula!F49,54)&lt;&gt;"",INDEX(Properties!A$1:CB$87,Formula!F49,54)),IF(INDEX(Properties!A$1:CB$87,Formula!H49,54)&lt;&gt;"",INDEX(Properties!A$1:CB$87,Formula!H49,54)),IF(INDEX(Properties!A$1:CB$87,Formula!J49,54)&lt;&gt;"",INDEX(Properties!A$1:CB$87,Formula!J49,54)))</f>
        <v>2342557.6774000004</v>
      </c>
      <c r="FE49" s="54">
        <f>MAX(INDEX(Properties!A$1:CB$87,Formula!B49,54),INDEX(Properties!A$1:CB$87,Formula!D49,54),INDEX(Properties!A$1:CB$87,Formula!F49,54),INDEX(Properties!A$1:CB$87,Formula!H49,54),INDEX(Properties!A$1:CB$87,Formula!J49,54))</f>
        <v>3610.15</v>
      </c>
      <c r="FF49" s="54">
        <f>MIN(IF(INDEX(Properties!A$1:CB$87,Formula!B49,54)=0,10^6,INDEX(Properties!A$1:CB$87,Formula!B49,54)),IF(INDEX(Properties!A$1:CB$87,Formula!D49,54)=0,10^6,INDEX(Properties!A$1:CB$87,Formula!D49,54)),IF(INDEX(Properties!A$1:CB$87,Formula!F49,54)=0,10^6,INDEX(Properties!A$1:CB$87,Formula!F49,54)),IF(INDEX(Properties!A$1:CB$87,Formula!H49,54)=0,10^6,INDEX(Properties!A$1:CB$87,Formula!H49,54)),IF(INDEX(Properties!A$1:CB$87,Formula!J49,54)=0,10^6,INDEX(Properties!A$1:CB$87,Formula!J49,54)))</f>
        <v>90.149999999999977</v>
      </c>
      <c r="FG49" s="54">
        <f t="shared" si="26"/>
        <v>3520</v>
      </c>
      <c r="FH49" s="69">
        <f>((Formula!C49)/(Formula!C49+Formula!E49+Formula!G49+Formula!I49+Formula!K49))*(INDEX(Properties!A$1:CB$87,Formula!B49,55))+((Formula!E49)/(Formula!C49+Formula!E49+Formula!G49+Formula!I49+Formula!K49))*(INDEX(Properties!A$1:CB$87,Formula!D49,55))+((Formula!G49)/(Formula!C49+Formula!E49+Formula!G49+Formula!I49+Formula!K49))*(INDEX(Properties!A$1:CB$87,Formula!F49,55))+((Formula!I49)/(Formula!C49+Formula!E49+Formula!G49+Formula!I49+Formula!K49))*(INDEX(Properties!A$1:CB$87,Formula!H49,55))+((Formula!K49)/(Formula!C49+Formula!E49+Formula!G49+Formula!I49+Formula!K49))*(INDEX(Properties!A$1:CB$87,Formula!J49,55))</f>
        <v>2.1427281818181818</v>
      </c>
      <c r="FI49" s="69">
        <f>Formula!C49*(INDEX(Properties!A$1:CB$87,Formula!B49,55))+Formula!E49*(INDEX(Properties!A$1:CB$87,Formula!D49,54))+Formula!G49*(INDEX(Properties!A$1:CB$87,Formula!F49,55))+Formula!I49*(INDEX(Properties!A$1:CB$87,Formula!H49,55))+Formula!K49*(INDEX(Properties!A$1:CB$87,Formula!J49,55))</f>
        <v>5095.2500099999997</v>
      </c>
      <c r="FJ49" s="69">
        <f>VARP(IF(INDEX(Properties!A$1:CB$87,Formula!B49,55)&lt;&gt;"",INDEX(Properties!A$1:CB$87,Formula!B49,55)),IF(INDEX(Properties!A$1:CB$87,Formula!D49,55)&lt;&gt;"",INDEX(Properties!A$1:CB$87,Formula!D49,55)),IF(INDEX(Properties!A$1:CB$87,Formula!F49,55)&lt;&gt;"",INDEX(Properties!A$1:CB$87,Formula!F49,55)),IF(INDEX(Properties!A$1:CB$87,Formula!H49,55)&lt;&gt;"",INDEX(Properties!A$1:CB$87,Formula!H49,55)),IF(INDEX(Properties!A$1:CB$87,Formula!J49,55)&lt;&gt;"",INDEX(Properties!A$1:CB$87,Formula!J49,55)))</f>
        <v>9.1313166951840028</v>
      </c>
      <c r="FK49" s="69">
        <f>MAX(INDEX(Properties!A$1:CB$87,Formula!B49,55),INDEX(Properties!A$1:CB$87,Formula!D49,55),INDEX(Properties!A$1:CB$87,Formula!F49,55),INDEX(Properties!A$1:CB$87,Formula!H49,55),INDEX(Properties!A$1:CB$87,Formula!J49,55))</f>
        <v>7.31</v>
      </c>
      <c r="FL49" s="69">
        <f>MIN(IF(INDEX(Properties!A$1:CB$87,Formula!B49,55)=0,10^6,INDEX(Properties!A$1:CB$87,Formula!B49,55)),IF(INDEX(Properties!A$1:CB$87,Formula!D49,55)=0,10^6,INDEX(Properties!A$1:CB$87,Formula!D49,55)),IF(INDEX(Properties!A$1:CB$87,Formula!F49,55)=0,10^6,INDEX(Properties!A$1:CB$87,Formula!F49,55)),IF(INDEX(Properties!A$1:CB$87,Formula!H49,55)=0,10^6,INDEX(Properties!A$1:CB$87,Formula!H49,55)),IF(INDEX(Properties!A$1:CB$87,Formula!J49,55)=0,10^6,INDEX(Properties!A$1:CB$87,Formula!J49,55)))</f>
        <v>1.4300000000000001E-3</v>
      </c>
      <c r="FM49" s="69">
        <f t="shared" si="27"/>
        <v>7.3085699999999996</v>
      </c>
      <c r="FN49" s="42">
        <f>((Formula!C49)/(Formula!C49+Formula!E49+Formula!G49+Formula!I49+Formula!K49))*(INDEX(Properties!A$1:CB$87,Formula!B49,56))+((Formula!E49)/(Formula!C49+Formula!E49+Formula!G49+Formula!I49+Formula!K49))*(INDEX(Properties!A$1:CB$87,Formula!D49,56))+((Formula!G49)/(Formula!C49+Formula!E49+Formula!G49+Formula!I49+Formula!K49))*(INDEX(Properties!A$1:CB$87,Formula!F49,56))+((Formula!I49)/(Formula!C49+Formula!E49+Formula!G49+Formula!I49+Formula!K49))*(INDEX(Properties!A$1:CB$87,Formula!H49,56))+((Formula!K49)/(Formula!C49+Formula!E49+Formula!G49+Formula!I49+Formula!K49))*(INDEX(Properties!A$1:CB$87,Formula!J49,56))</f>
        <v>0.68127272727272725</v>
      </c>
      <c r="FO49" s="42">
        <f>Formula!C49*(INDEX(Properties!A$1:CB$87,Formula!B49,56))+Formula!E49*(INDEX(Properties!A$1:CB$87,Formula!D49,56))+Formula!G49*(INDEX(Properties!A$1:CB$87,Formula!F49,56))+Formula!I49*(INDEX(Properties!A$1:CB$87,Formula!H49,56))+Formula!K49*(INDEX(Properties!A$1:CB$87,Formula!J49,56))</f>
        <v>7.4940000000000007</v>
      </c>
      <c r="FP49" s="42">
        <f>VARP(IF(INDEX(Properties!A$1:CB$87,Formula!B49,56)&lt;&gt;"",INDEX(Properties!A$1:CB$87,Formula!B49,56)),IF(INDEX(Properties!A$1:CB$87,Formula!D49,56)&lt;&gt;"",INDEX(Properties!A$1:CB$87,Formula!D49,56)),IF(INDEX(Properties!A$1:CB$87,Formula!F49,56)&lt;&gt;"",INDEX(Properties!A$1:CB$87,Formula!F49,56)),IF(INDEX(Properties!A$1:CB$87,Formula!H49,56)&lt;&gt;"",INDEX(Properties!A$1:CB$87,Formula!H49,56)),IF(INDEX(Properties!A$1:CB$87,Formula!J49,56)&lt;&gt;"",INDEX(Properties!A$1:CB$87,Formula!J49,56)))</f>
        <v>0.11383344000000001</v>
      </c>
      <c r="FQ49" s="42">
        <f>MAX(INDEX(Properties!A$1:CB$87,Formula!B49,56),INDEX(Properties!A$1:CB$87,Formula!D49,56),INDEX(Properties!A$1:CB$87,Formula!F49,56),INDEX(Properties!A$1:CB$87,Formula!H49,56),INDEX(Properties!A$1:CB$87,Formula!J49,56))</f>
        <v>0.92</v>
      </c>
      <c r="FR49" s="42">
        <f>MIN(IF(INDEX(Properties!A$1:CB$87,Formula!B49,56)=0,10^6,INDEX(Properties!A$1:CB$87,Formula!B49,56)),IF(INDEX(Properties!A$1:CB$87,Formula!D49,56)=0,10^6,INDEX(Properties!A$1:CB$87,Formula!D49,56)),IF(INDEX(Properties!A$1:CB$87,Formula!F49,56)=0,10^6,INDEX(Properties!A$1:CB$87,Formula!F49,56)),IF(INDEX(Properties!A$1:CB$87,Formula!H49,56)=0,10^6,INDEX(Properties!A$1:CB$87,Formula!H49,56)),IF(INDEX(Properties!A$1:CB$87,Formula!J49,56)=0,10^6,INDEX(Properties!A$1:CB$87,Formula!J49,56)))</f>
        <v>0.22700000000000001</v>
      </c>
      <c r="FS49" s="42">
        <f t="shared" si="28"/>
        <v>0.69300000000000006</v>
      </c>
      <c r="FT49" s="60">
        <f>((Formula!C49)/(Formula!C49+Formula!E49+Formula!G49+Formula!I49+Formula!K49))*(INDEX(Properties!A$1:CB$87,Formula!B49,57))+((Formula!E49)/(Formula!C49+Formula!E49+Formula!G49+Formula!I49+Formula!K49))*(INDEX(Properties!A$1:CB$87,Formula!D49,57))+((Formula!G49)/(Formula!C49+Formula!E49+Formula!G49+Formula!I49+Formula!K49))*(INDEX(Properties!A$1:CB$87,Formula!F49,57))+((Formula!I49)/(Formula!C49+Formula!E49+Formula!G49+Formula!I49+Formula!K49))*(INDEX(Properties!A$1:CB$87,Formula!H49,57))+((Formula!K49)/(Formula!C49+Formula!E49+Formula!G49+Formula!I49+Formula!K49))*(INDEX(Properties!A$1:CB$87,Formula!J49,57))</f>
        <v>3.4923754545454546</v>
      </c>
      <c r="FU49" s="60">
        <f>Formula!C49*(INDEX(Properties!A$1:CB$87,Formula!B49,57))+Formula!E49*(INDEX(Properties!A$1:CB$87,Formula!D49,57))+Formula!G49*(INDEX(Properties!A$1:CB$87,Formula!F49,57))+Formula!I49*(INDEX(Properties!A$1:CB$87,Formula!H49,57))+Formula!K49*(INDEX(Properties!A$1:CB$87,Formula!J49,57))</f>
        <v>38.416130000000003</v>
      </c>
      <c r="FV49" s="60">
        <f>VARP(IF(INDEX(Properties!A$1:CB$87,Formula!B49,57)&lt;&gt;"",INDEX(Properties!A$1:CB$87,Formula!B49,57)),IF(INDEX(Properties!A$1:CB$87,Formula!D49,57)&lt;&gt;"",INDEX(Properties!A$1:CB$87,Formula!D49,57)),IF(INDEX(Properties!A$1:CB$87,Formula!F49,57)&lt;&gt;"",INDEX(Properties!A$1:CB$87,Formula!F49,57)),IF(INDEX(Properties!A$1:CB$87,Formula!H49,57)&lt;&gt;"",INDEX(Properties!A$1:CB$87,Formula!H49,57)),IF(INDEX(Properties!A$1:CB$87,Formula!J49,57)&lt;&gt;"",INDEX(Properties!A$1:CB$87,Formula!J49,57)))</f>
        <v>21.968005080495995</v>
      </c>
      <c r="FW49" s="60">
        <f>MAX(INDEX(Properties!A$1:CB$87,Formula!B49,57),INDEX(Properties!A$1:CB$87,Formula!D49,57),INDEX(Properties!A$1:CB$87,Formula!F49,57),INDEX(Properties!A$1:CB$87,Formula!H49,57),INDEX(Properties!A$1:CB$87,Formula!J49,57))</f>
        <v>11.4</v>
      </c>
      <c r="FX49" s="60">
        <f>MIN(IF(INDEX(Properties!A$1:CB$87,Formula!B49,57)=0,10^6,INDEX(Properties!A$1:CB$87,Formula!B49,57)),IF(INDEX(Properties!A$1:CB$87,Formula!D49,57)=0,10^6,INDEX(Properties!A$1:CB$87,Formula!D49,57)),IF(INDEX(Properties!A$1:CB$87,Formula!F49,57)=0,10^6,INDEX(Properties!A$1:CB$87,Formula!F49,57)),IF(INDEX(Properties!A$1:CB$87,Formula!H49,57)=0,10^6,INDEX(Properties!A$1:CB$87,Formula!H49,57)),IF(INDEX(Properties!A$1:CB$87,Formula!J49,57)=0,10^6,INDEX(Properties!A$1:CB$87,Formula!J49,57)))</f>
        <v>0.22259000000000001</v>
      </c>
      <c r="FY49" s="60">
        <f t="shared" si="29"/>
        <v>11.17741</v>
      </c>
      <c r="FZ49" s="72">
        <f>((Formula!C49)/(Formula!C49+Formula!E49+Formula!G49+Formula!I49+Formula!K49))*(INDEX(Properties!A$1:CB$87,Formula!B49,60))+((Formula!E49)/(Formula!C49+Formula!E49+Formula!G49+Formula!I49+Formula!K49))*(INDEX(Properties!A$1:CB$87,Formula!D49,60))+((Formula!G49)/(Formula!C49+Formula!E49+Formula!G49+Formula!I49+Formula!K49))*(INDEX(Properties!A$1:CB$87,Formula!F49,60))+((Formula!I49)/(Formula!C49+Formula!E49+Formula!G49+Formula!I49+Formula!K49))*(INDEX(Properties!A$1:CB$87,Formula!H49,60))+((Formula!K49)/(Formula!C49+Formula!E49+Formula!G49+Formula!I49+Formula!K49))*(INDEX(Properties!A$1:CB$87,Formula!J49,60))</f>
        <v>15.253379999999998</v>
      </c>
      <c r="GA49" s="72">
        <f>Formula!C49*(INDEX(Properties!A$1:CB$87,Formula!B49,60))+Formula!E49*(INDEX(Properties!A$1:CB$87,Formula!D49,60))+Formula!G49*(INDEX(Properties!A$1:CB$87,Formula!F49,60))+Formula!I49*(INDEX(Properties!A$1:CB$87,Formula!H49,60))+Formula!K49*(INDEX(Properties!A$1:CB$87,Formula!J49,60))</f>
        <v>167.78718000000001</v>
      </c>
      <c r="GB49" s="72">
        <f>VARP(IF(INDEX(Properties!A$1:CB$87,Formula!B49,60)&lt;&gt;"",INDEX(Properties!A$1:CB$87,Formula!B49,60)),IF(INDEX(Properties!A$1:CB$87,Formula!D49,60)&lt;&gt;"",INDEX(Properties!A$1:CB$87,Formula!D49,60)),IF(INDEX(Properties!A$1:CB$87,Formula!F49,60)&lt;&gt;"",INDEX(Properties!A$1:CB$87,Formula!F49,60)),IF(INDEX(Properties!A$1:CB$87,Formula!H49,60)&lt;&gt;"",INDEX(Properties!A$1:CB$87,Formula!H49,60)),IF(INDEX(Properties!A$1:CB$87,Formula!J49,60)&lt;&gt;"",INDEX(Properties!A$1:CB$87,Formula!J49,60)))</f>
        <v>665.20324944441586</v>
      </c>
      <c r="GC49" s="72">
        <f>MAX(INDEX(Properties!A$1:CB$87,Formula!B49,60),INDEX(Properties!A$1:CB$87,Formula!D49,60),INDEX(Properties!A$1:CB$87,Formula!F49,60),INDEX(Properties!A$1:CB$87,Formula!H49,60),INDEX(Properties!A$1:CB$87,Formula!J49,60))</f>
        <v>66.599999999999994</v>
      </c>
      <c r="GD49" s="72">
        <f>MIN(IF(INDEX(Properties!A$1:CB$87,Formula!B49,60)=0,10^6,INDEX(Properties!A$1:CB$87,Formula!B49,60)),IF(INDEX(Properties!A$1:CB$87,Formula!D49,60)=0,10^6,INDEX(Properties!A$1:CB$87,Formula!D49,60)),IF(INDEX(Properties!A$1:CB$87,Formula!F49,60)=0,10^6,INDEX(Properties!A$1:CB$87,Formula!F49,60)),IF(INDEX(Properties!A$1:CB$87,Formula!H49,60)=0,10^6,INDEX(Properties!A$1:CB$87,Formula!H49,60)),IF(INDEX(Properties!A$1:CB$87,Formula!J49,60)=0,10^6,INDEX(Properties!A$1:CB$87,Formula!J49,60)))</f>
        <v>2.674E-2</v>
      </c>
      <c r="GE49" s="72">
        <f t="shared" si="30"/>
        <v>66.573259999999991</v>
      </c>
      <c r="GF49" s="51">
        <f>((Formula!C49)/(Formula!C49+Formula!E49+Formula!G49+Formula!I49+Formula!K49))*(INDEX(Properties!A$1:CB$87,Formula!B49,62))+((Formula!E49)/(Formula!C49+Formula!E49+Formula!G49+Formula!I49+Formula!K49))*(INDEX(Properties!A$1:CB$87,Formula!D49,62))+((Formula!G49)/(Formula!C49+Formula!E49+Formula!G49+Formula!I49+Formula!K49))*(INDEX(Properties!A$1:CB$87,Formula!F49,62))+((Formula!I49)/(Formula!C49+Formula!E49+Formula!G49+Formula!I49+Formula!K49))*(INDEX(Properties!A$1:CB$87,Formula!H49,62))+((Formula!K49)/(Formula!C49+Formula!E49+Formula!G49+Formula!I49+Formula!K49))*(INDEX(Properties!A$1:CB$87,Formula!J49,62))</f>
        <v>3.0327272727272727</v>
      </c>
      <c r="GG49" s="51">
        <f>Formula!C49*(INDEX(Properties!A$1:CB$87,Formula!B49,62))+Formula!E49*(INDEX(Properties!A$1:CB$87,Formula!D49,62))+Formula!G49*(INDEX(Properties!A$1:CB$87,Formula!F49,62))+Formula!I49*(INDEX(Properties!A$1:CB$87,Formula!H49,62))+Formula!K49*(INDEX(Properties!A$1:CB$87,Formula!J49,62))</f>
        <v>33.36</v>
      </c>
      <c r="GH49" s="51">
        <f>VARP(IF(INDEX(Properties!A$1:CB$87,Formula!B49,62)&lt;&gt;"",INDEX(Properties!A$1:CB$87,Formula!B49,62)),IF(INDEX(Properties!A$1:CB$87,Formula!D49,62)&lt;&gt;"",INDEX(Properties!A$1:CB$87,Formula!D49,62)),IF(INDEX(Properties!A$1:CB$87,Formula!F49,62)&lt;&gt;"",INDEX(Properties!A$1:CB$87,Formula!F49,62)),IF(INDEX(Properties!A$1:CB$87,Formula!H49,62)&lt;&gt;"",INDEX(Properties!A$1:CB$87,Formula!H49,62)),IF(INDEX(Properties!A$1:CB$87,Formula!J49,62)&lt;&gt;"",INDEX(Properties!A$1:CB$87,Formula!J49,62)))</f>
        <v>3.0595040000000004</v>
      </c>
      <c r="GI49" s="51">
        <f>MAX(INDEX(Properties!A$1:CB$87,Formula!B49,62),INDEX(Properties!A$1:CB$87,Formula!D49,62),INDEX(Properties!A$1:CB$87,Formula!F49,62),INDEX(Properties!A$1:CB$87,Formula!H49,62),INDEX(Properties!A$1:CB$87,Formula!J49,62))</f>
        <v>4.37</v>
      </c>
      <c r="GJ49" s="51">
        <f>MIN(IF(INDEX(Properties!A$1:CB$87,Formula!B49,62)=0,10^6,INDEX(Properties!A$1:CB$87,Formula!B49,62)),IF(INDEX(Properties!A$1:CB$87,Formula!D49,62)=0,10^6,INDEX(Properties!A$1:CB$87,Formula!D49,62)),IF(INDEX(Properties!A$1:CB$87,Formula!F49,62)=0,10^6,INDEX(Properties!A$1:CB$87,Formula!F49,62)),IF(INDEX(Properties!A$1:CB$87,Formula!H49,62)=0,10^6,INDEX(Properties!A$1:CB$87,Formula!H49,62)),IF(INDEX(Properties!A$1:CB$87,Formula!J49,62)=0,10^6,INDEX(Properties!A$1:CB$87,Formula!J49,62)))</f>
        <v>2.62</v>
      </c>
      <c r="GK49" s="51">
        <f t="shared" si="31"/>
        <v>1.75</v>
      </c>
      <c r="GL49" s="51">
        <f>Formula!P49</f>
        <v>227</v>
      </c>
      <c r="GM49" s="57">
        <f>Formula!O49</f>
        <v>7</v>
      </c>
      <c r="GN49" s="51">
        <f>Formula!N49</f>
        <v>7.0000000000000007E-2</v>
      </c>
    </row>
    <row r="50" spans="1:196" x14ac:dyDescent="0.3">
      <c r="A50" s="84" t="str">
        <f>Formula!A50</f>
        <v>Ba3(PO4)2</v>
      </c>
      <c r="B50" s="89">
        <f>((Formula!C50)/(Formula!C50+Formula!E50+Formula!G50+Formula!I50+Formula!K50))*(INDEX(Properties!A$1:CB$87,Formula!B50,3))+((Formula!E50)/(Formula!C50+Formula!E50+Formula!G50+Formula!I50+Formula!K50))*(INDEX(Properties!A$1:CB$87,Formula!D50,3))+((Formula!G50)/(Formula!C50+Formula!E50+Formula!G50+Formula!I50+Formula!K50))*(INDEX(Properties!A$1:CB$87,Formula!F50,3))+((Formula!I50)/(Formula!C50+Formula!E50+Formula!G50+Formula!I50+Formula!K50))*(INDEX(Properties!A$1:CB$87,Formula!H50,3))+((Formula!K50)/(Formula!C50+Formula!E50+Formula!G50+Formula!I50+Formula!K50))*(INDEX(Properties!A$1:CB$87,Formula!J50,3))</f>
        <v>46.666094153846153</v>
      </c>
      <c r="C50" s="85">
        <f>Formula!C50*(INDEX(Properties!A$1:CB$87,Formula!B50,3))+Formula!E50*(INDEX(Properties!A$1:CB$87,Formula!D50,3))+Formula!G50*(INDEX(Properties!A$1:CB$87,Formula!F50,3))+Formula!I50*(INDEX(Properties!A$1:CB$87,Formula!H50,3))+Formula!K50*(INDEX(Properties!A$1:CB$87,Formula!J50,3))</f>
        <v>606.65922399999999</v>
      </c>
      <c r="D50" s="85">
        <f>VARP(IF(INDEX(Properties!A$1:CB$87,Formula!B50,3)&lt;&gt;"",INDEX(Properties!A$1:CB$87,Formula!B50,3)),IF(INDEX(Properties!A$1:CB$87,Formula!D50,3)&lt;&gt;"",INDEX(Properties!A$1:CB$87,Formula!D50,3)),IF(INDEX(Properties!A$1:CB$87,Formula!F50,3)&lt;&gt;"",INDEX(Properties!A$1:CB$87,Formula!F50,3)),IF(INDEX(Properties!A$1:CB$87,Formula!H50,3)&lt;&gt;"",INDEX(Properties!A$1:CB$87,Formula!H50,3)),IF(INDEX(Properties!A$1:CB$87,Formula!J50,3)&lt;&gt;"",INDEX(Properties!A$1:CB$87,Formula!J50,3)))</f>
        <v>2719.9834531321189</v>
      </c>
      <c r="E50" s="85">
        <f>MAX(INDEX(Properties!A$1:CB$87,Formula!B50,3),INDEX(Properties!A$1:CB$87,Formula!D50,3),INDEX(Properties!A$1:CB$87,Formula!F50,3),INDEX(Properties!A$1:CB$87,Formula!H50,3),INDEX(Properties!A$1:CB$87,Formula!J50,3))</f>
        <v>138.90549999999999</v>
      </c>
      <c r="F50" s="85">
        <f>MIN(IF(INDEX(Properties!A$1:CB$87,Formula!B50,3)=0,10^6,INDEX(Properties!A$1:CB$87,Formula!B50,3)),IF(INDEX(Properties!A$1:CB$87,Formula!D50,3)=0,10^6,INDEX(Properties!A$1:CB$87,Formula!D50,3)),IF(INDEX(Properties!A$1:CB$87,Formula!F50,3)=0,10^6,INDEX(Properties!A$1:CB$87,Formula!F50,3)),IF(INDEX(Properties!A$1:CB$87,Formula!H50,3)=0,10^6,INDEX(Properties!A$1:CB$87,Formula!H50,3)),IF(INDEX(Properties!A$1:CB$87,Formula!J50,3)=0,10^6,INDEX(Properties!A$1:CB$87,Formula!J50,3)))</f>
        <v>15.9994</v>
      </c>
      <c r="G50" s="85">
        <f t="shared" si="0"/>
        <v>122.9061</v>
      </c>
      <c r="H50" s="87">
        <f>((Formula!C50)/(Formula!C50+Formula!E50+Formula!G50+Formula!I50+Formula!K50))*(INDEX(Properties!A$1:CB$87,Formula!B50,4))+((Formula!E50)/(Formula!C50+Formula!E50+Formula!G50+Formula!I50+Formula!K50))*(INDEX(Properties!A$1:CB$87,Formula!D50,4))+((Formula!G50)/(Formula!C50+Formula!E50+Formula!G50+Formula!I50+Formula!K50))*(INDEX(Properties!A$1:CB$87,Formula!F50,4))+((Formula!I50)/(Formula!C50+Formula!E50+Formula!G50+Formula!I50+Formula!K50))*(INDEX(Properties!A$1:CB$87,Formula!H50,4))+((Formula!K50)/(Formula!C50+Formula!E50+Formula!G50+Formula!I50+Formula!K50))*(INDEX(Properties!A$1:CB$87,Formula!J50,4))</f>
        <v>20.384615384615387</v>
      </c>
      <c r="I50" s="87">
        <f>Formula!C50*(INDEX(Properties!A$1:CB$87,Formula!B50,4))+Formula!E50*(INDEX(Properties!A$1:CB$87,Formula!D50,4))+Formula!G50*(INDEX(Properties!A$1:CB$87,Formula!F50,4))+Formula!I50*(INDEX(Properties!A$1:CB$87,Formula!H50,4))+Formula!K50*(INDEX(Properties!A$1:CB$87,Formula!J50,4))</f>
        <v>265</v>
      </c>
      <c r="J50" s="87">
        <f>VARP(IF(INDEX(Properties!A$1:CB$87,Formula!B50,4)&lt;&gt;"",INDEX(Properties!A$1:CB$87,Formula!B50,4)),IF(INDEX(Properties!A$1:CB$87,Formula!D50,4)&lt;&gt;"",INDEX(Properties!A$1:CB$87,Formula!D50,4)),IF(INDEX(Properties!A$1:CB$87,Formula!F50,4)&lt;&gt;"",INDEX(Properties!A$1:CB$87,Formula!F50,4)),IF(INDEX(Properties!A$1:CB$87,Formula!H50,4)&lt;&gt;"",INDEX(Properties!A$1:CB$87,Formula!H50,4)),IF(INDEX(Properties!A$1:CB$87,Formula!J50,4)&lt;&gt;"",INDEX(Properties!A$1:CB$87,Formula!J50,4)))</f>
        <v>451.6</v>
      </c>
      <c r="K50" s="87">
        <f>MAX(INDEX(Properties!A$1:CB$87,Formula!B50,4),INDEX(Properties!A$1:CB$87,Formula!D50,4),INDEX(Properties!A$1:CB$87,Formula!F50,4),INDEX(Properties!A$1:CB$87,Formula!H50,4),INDEX(Properties!A$1:CB$87,Formula!J50,4))</f>
        <v>57</v>
      </c>
      <c r="L50" s="87">
        <f>MIN(IF(INDEX(Properties!A$1:CB$87,Formula!B50,4)=0,10^6,INDEX(Properties!A$1:CB$87,Formula!B50,4)),IF(INDEX(Properties!A$1:CB$87,Formula!D50,4)=0,10^6,INDEX(Properties!A$1:CB$87,Formula!D50,4)),IF(INDEX(Properties!A$1:CB$87,Formula!F50,4)=0,10^6,INDEX(Properties!A$1:CB$87,Formula!F50,4)),IF(INDEX(Properties!A$1:CB$87,Formula!H50,4)=0,10^6,INDEX(Properties!A$1:CB$87,Formula!H50,4)),IF(INDEX(Properties!A$1:CB$87,Formula!J50,4)=0,10^6,INDEX(Properties!A$1:CB$87,Formula!J50,4)))</f>
        <v>8</v>
      </c>
      <c r="M50" s="87">
        <f t="shared" si="1"/>
        <v>49</v>
      </c>
      <c r="N50" s="89">
        <f>((Formula!C50)/(Formula!C50+Formula!E50+Formula!G50+Formula!I50+Formula!K50))*(INDEX(Properties!A$1:CB$87,Formula!B50,5))+((Formula!E50)/(Formula!C50+Formula!E50+Formula!G50+Formula!I50+Formula!K50))*(INDEX(Properties!A$1:CB$87,Formula!D50,5))+((Formula!G50)/(Formula!C50+Formula!E50+Formula!G50+Formula!I50+Formula!K50))*(INDEX(Properties!A$1:CB$87,Formula!F50,5))+((Formula!I50)/(Formula!C50+Formula!E50+Formula!G50+Formula!I50+Formula!K50))*(INDEX(Properties!A$1:CB$87,Formula!H50,5))+((Formula!K50)/(Formula!C50+Formula!E50+Formula!G50+Formula!I50+Formula!K50))*(INDEX(Properties!A$1:CB$87,Formula!J50,5))</f>
        <v>3.0769230769230771</v>
      </c>
      <c r="O50" s="89">
        <f>Formula!C50*(INDEX(Properties!A$1:CB$87,Formula!B50,5))+Formula!E50*(INDEX(Properties!A$1:CB$87,Formula!D50,5))+Formula!G50*(INDEX(Properties!A$1:CB$87,Formula!F50,5))+Formula!I50*(INDEX(Properties!A$1:CB$87,Formula!H50,5))+Formula!K50*(INDEX(Properties!A$1:CB$87,Formula!J50,5))</f>
        <v>40</v>
      </c>
      <c r="P50" s="89">
        <f>VARP(IF(INDEX(Properties!A$1:CB$87,Formula!B50,5)&lt;&gt;"",INDEX(Properties!A$1:CB$87,Formula!B50,5)),IF(INDEX(Properties!A$1:CB$87,Formula!D50,5)&lt;&gt;"",INDEX(Properties!A$1:CB$87,Formula!D50,5)),IF(INDEX(Properties!A$1:CB$87,Formula!F50,5)&lt;&gt;"",INDEX(Properties!A$1:CB$87,Formula!F50,5)),IF(INDEX(Properties!A$1:CB$87,Formula!H50,5)&lt;&gt;"",INDEX(Properties!A$1:CB$87,Formula!H50,5)),IF(INDEX(Properties!A$1:CB$87,Formula!J50,5)&lt;&gt;"",INDEX(Properties!A$1:CB$87,Formula!J50,5)))</f>
        <v>4.96</v>
      </c>
      <c r="Q50" s="89">
        <f>MAX(INDEX(Properties!A$1:CB$87,Formula!B50,5),INDEX(Properties!A$1:CB$87,Formula!D50,5),INDEX(Properties!A$1:CB$87,Formula!F50,5),INDEX(Properties!A$1:CB$87,Formula!H50,5),INDEX(Properties!A$1:CB$87,Formula!J50,5))</f>
        <v>6</v>
      </c>
      <c r="R50" s="89">
        <f>MIN(IF(INDEX(Properties!A$1:CB$87,Formula!B50,5)=0,10^6,INDEX(Properties!A$1:CB$87,Formula!B50,5)),IF(INDEX(Properties!A$1:CB$87,Formula!D50,5)=0,10^6,INDEX(Properties!A$1:CB$87,Formula!D50,5)),IF(INDEX(Properties!A$1:CB$87,Formula!F50,5)=0,10^6,INDEX(Properties!A$1:CB$87,Formula!F50,5)),IF(INDEX(Properties!A$1:CB$87,Formula!H50,5)=0,10^6,INDEX(Properties!A$1:CB$87,Formula!H50,5)),IF(INDEX(Properties!A$1:CB$87,Formula!J50,5)=0,10^6,INDEX(Properties!A$1:CB$87,Formula!J50,5)))</f>
        <v>2</v>
      </c>
      <c r="S50" s="89">
        <f t="shared" si="2"/>
        <v>4</v>
      </c>
      <c r="T50" s="60">
        <f>((Formula!C50)/(Formula!C50+Formula!E50+Formula!G50+Formula!I50+Formula!K50))*(INDEX(Properties!A$1:CB$87,Formula!B50,6))+((Formula!E50)/(Formula!C50+Formula!E50+Formula!G50+Formula!I50+Formula!K50))*(INDEX(Properties!A$1:CB$87,Formula!D50,6))+((Formula!G50)/(Formula!C50+Formula!E50+Formula!G50+Formula!I50+Formula!K50))*(INDEX(Properties!A$1:CB$87,Formula!F50,6))+((Formula!I50)/(Formula!C50+Formula!E50+Formula!G50+Formula!I50+Formula!K50))*(INDEX(Properties!A$1:CB$87,Formula!H50,6))+((Formula!K50)/(Formula!C50+Formula!E50+Formula!G50+Formula!I50+Formula!K50))*(INDEX(Properties!A$1:CB$87,Formula!J50,6))</f>
        <v>12.846153846153847</v>
      </c>
      <c r="U50" s="60">
        <f>Formula!C50*(INDEX(Properties!A$1:CB$87,Formula!B50,6))+Formula!E50*(INDEX(Properties!A$1:CB$87,Formula!D50,6))+Formula!G50*(INDEX(Properties!A$1:CB$87,Formula!F50,6))+Formula!I50*(INDEX(Properties!A$1:CB$87,Formula!H50,6))+Formula!K50*(INDEX(Properties!A$1:CB$87,Formula!J50,6))</f>
        <v>167</v>
      </c>
      <c r="V50" s="89">
        <f>VARP(IF(INDEX(Properties!A$1:CB$87,Formula!B50,6)&lt;&gt;"",INDEX(Properties!A$1:CB$87,Formula!B50,6)),IF(INDEX(Properties!A$1:CB$87,Formula!D50,6)&lt;&gt;"",INDEX(Properties!A$1:CB$87,Formula!D50,6)),IF(INDEX(Properties!A$1:CB$87,Formula!F50,6)&lt;&gt;"",INDEX(Properties!A$1:CB$87,Formula!F50,6)),IF(INDEX(Properties!A$1:CB$87,Formula!H50,6)&lt;&gt;"",INDEX(Properties!A$1:CB$87,Formula!H50,6)),IF(INDEX(Properties!A$1:CB$87,Formula!J50,6)&lt;&gt;"",INDEX(Properties!A$1:CB$87,Formula!J50,6)))</f>
        <v>51.76</v>
      </c>
      <c r="W50" s="60">
        <f>MAX(INDEX(Properties!A$1:CB$87,Formula!B50,6),INDEX(Properties!A$1:CB$87,Formula!D50,6),INDEX(Properties!A$1:CB$87,Formula!F50,6),INDEX(Properties!A$1:CB$87,Formula!H50,4),INDEX(Properties!A$1:CB$87,Formula!J50,6))</f>
        <v>16</v>
      </c>
      <c r="X50" s="60">
        <f>MIN(IF(INDEX(Properties!A$1:CB$87,Formula!B50,6)=0,10^6,INDEX(Properties!A$1:CB$87,Formula!B50,6)),IF(INDEX(Properties!A$1:CB$87,Formula!D50,6)=0,10^6,INDEX(Properties!A$1:CB$87,Formula!D50,6)),IF(INDEX(Properties!A$1:CB$87,Formula!F50,6)=0,10^6,INDEX(Properties!A$1:CB$87,Formula!F50,6)),IF(INDEX(Properties!A$1:CB$87,Formula!H50,6)=0,10^6,INDEX(Properties!A$1:CB$87,Formula!H50,6)),IF(INDEX(Properties!A$1:CB$87,Formula!J50,6)=0,10^6,INDEX(Properties!A$1:CB$87,Formula!J50,6)))</f>
        <v>3</v>
      </c>
      <c r="Y50" s="60">
        <f t="shared" si="3"/>
        <v>13</v>
      </c>
      <c r="Z50" s="72">
        <f>((Formula!C50)/(Formula!C50+Formula!E50+Formula!G50+Formula!I50+Formula!K50))*(INDEX(Properties!A$1:CB$87,Formula!B50,9))+((Formula!E50)/(Formula!C50+Formula!E50+Formula!G50+Formula!I50+Formula!K50))*(INDEX(Properties!A$1:CB$87,Formula!D50,9))+((Formula!G50)/(Formula!C50+Formula!E50+Formula!G50+Formula!I50+Formula!K50))*(INDEX(Properties!A$1:CB$87,Formula!F50,9))+((Formula!I50)/(Formula!C50+Formula!E50+Formula!G50+Formula!I50+Formula!K50))*(INDEX(Properties!A$1:CB$87,Formula!H50,9))+((Formula!K50)/(Formula!C50+Formula!E50+Formula!G50+Formula!I50+Formula!K50))*(INDEX(Properties!A$1:CB$87,Formula!J50,9))</f>
        <v>69.307692307692307</v>
      </c>
      <c r="AA50" s="72">
        <f>Formula!C50*(INDEX(Properties!A$1:CB$87,Formula!B50,9))+Formula!E50*(INDEX(Properties!A$1:CB$87,Formula!D50,9))+Formula!G50*(INDEX(Properties!A$1:CB$87,Formula!F50,9))+Formula!I50*(INDEX(Properties!A$1:CB$87,Formula!H50,9))+Formula!K50*(INDEX(Properties!A$1:CB$87,Formula!J50,9))</f>
        <v>901</v>
      </c>
      <c r="AB50" s="72">
        <f>VARP(IF(INDEX(Properties!A$1:CB$87,Formula!B50,9)&lt;&gt;"",INDEX(Properties!A$1:CB$87,Formula!B50,9)),IF(INDEX(Properties!A$1:CB$87,Formula!D50,9)&lt;&gt;"",INDEX(Properties!A$1:CB$87,Formula!D50,9)),IF(INDEX(Properties!A$1:CB$87,Formula!F50,9)&lt;&gt;"",INDEX(Properties!A$1:CB$87,Formula!F50,9)),IF(INDEX(Properties!A$1:CB$87,Formula!H50,9)&lt;&gt;"",INDEX(Properties!A$1:CB$87,Formula!H50,9)),IF(INDEX(Properties!A$1:CB$87,Formula!J50,9)&lt;&gt;"",INDEX(Properties!A$1:CB$87,Formula!J50,9)))</f>
        <v>1585.84</v>
      </c>
      <c r="AC50" s="72">
        <f>MAX(INDEX(Properties!A$1:CB$87,Formula!B50,9),INDEX(Properties!A$1:CB$87,Formula!D50,9),INDEX(Properties!A$1:CB$87,Formula!F50,9),INDEX(Properties!A$1:CB$87,Formula!H50,9),INDEX(Properties!A$1:CB$87,Formula!J50,9))</f>
        <v>87</v>
      </c>
      <c r="AD50" s="72">
        <f>MIN(IF(INDEX(Properties!A$1:CB$87,Formula!B50,9)=0,10^6,INDEX(Properties!A$1:CB$87,Formula!B50,9)),IF(INDEX(Properties!A$1:CB$87,Formula!D50,9)=0,10^6,INDEX(Properties!A$1:CB$87,Formula!D50,9)),IF(INDEX(Properties!A$1:CB$87,Formula!F50,9)=0,10^6,INDEX(Properties!A$1:CB$87,Formula!F50,9)),IF(INDEX(Properties!A$1:CB$87,Formula!H50,9)=0,10^6,INDEX(Properties!A$1:CB$87,Formula!H50,9)),IF(INDEX(Properties!A$1:CB$87,Formula!J50,9)=0,10^6,INDEX(Properties!A$1:CB$87,Formula!J50,9)))</f>
        <v>13</v>
      </c>
      <c r="AE50" s="72">
        <f t="shared" si="4"/>
        <v>74</v>
      </c>
      <c r="AF50" s="51">
        <f>((Formula!C50)/(Formula!C50+Formula!E50+Formula!G50+Formula!I50+Formula!K50))*(INDEX(Properties!A$1:CB$87,Formula!B50,10))+((Formula!E50)/(Formula!C50+Formula!E50+Formula!G50+Formula!I50+Formula!K50))*(INDEX(Properties!A$1:CB$87,Formula!D50,10))+((Formula!G50)/(Formula!C50+Formula!E50+Formula!G50+Formula!I50+Formula!K50))*(INDEX(Properties!A$1:CB$87,Formula!F50,10))+((Formula!I50)/(Formula!C50+Formula!E50+Formula!G50+Formula!I50+Formula!K50))*(INDEX(Properties!A$1:CB$87,Formula!H50,10))+((Formula!K50)/(Formula!C50+Formula!E50+Formula!G50+Formula!I50+Formula!K50))*(INDEX(Properties!A$1:CB$87,Formula!J50,10))</f>
        <v>6.0769230769230775</v>
      </c>
      <c r="AG50" s="51">
        <f>Formula!C50*(INDEX(Properties!A$1:CB$87,Formula!B50,10))+Formula!E50*(INDEX(Properties!A$1:CB$87,Formula!D50,10))+Formula!G50*(INDEX(Properties!A$1:CB$87,Formula!F50,10))+Formula!I50*(INDEX(Properties!A$1:CB$87,Formula!H50,10))+Formula!K50*(INDEX(Properties!A$1:CB$87,Formula!J50,10))</f>
        <v>79</v>
      </c>
      <c r="AH50" s="51">
        <f>VARP(IF(INDEX(Properties!A$1:CB$87,Formula!B50,10)&lt;&gt;"",INDEX(Properties!A$1:CB$87,Formula!B50,10)),IF(INDEX(Properties!A$1:CB$87,Formula!D50,10)&lt;&gt;"",INDEX(Properties!A$1:CB$87,Formula!D50,10)),IF(INDEX(Properties!A$1:CB$87,Formula!F50,10)&lt;&gt;"",INDEX(Properties!A$1:CB$87,Formula!F50,10)),IF(INDEX(Properties!A$1:CB$87,Formula!H50,10)&lt;&gt;"",INDEX(Properties!A$1:CB$87,Formula!H50,10)),IF(INDEX(Properties!A$1:CB$87,Formula!J50,10)&lt;&gt;"",INDEX(Properties!A$1:CB$87,Formula!J50,10)))</f>
        <v>9.84</v>
      </c>
      <c r="AI50" s="51">
        <f>MAX(INDEX(Properties!A$1:CB$87,Formula!B50,10),INDEX(Properties!A$1:CB$87,Formula!D50,10),INDEX(Properties!A$1:CB$87,Formula!F50,10),INDEX(Properties!A$1:CB$87,Formula!H50,10),INDEX(Properties!A$1:CB$87,Formula!J50,10))</f>
        <v>7</v>
      </c>
      <c r="AJ50" s="51">
        <f>MIN(IF(INDEX(Properties!A$1:CB$87,Formula!B50,10)=0,10^6,INDEX(Properties!A$1:CB$87,Formula!B50,10)),IF(INDEX(Properties!A$1:CB$87,Formula!D50,10)=0,10^6,INDEX(Properties!A$1:CB$87,Formula!D50,10)),IF(INDEX(Properties!A$1:CB$87,Formula!F50,10)=0,10^6,INDEX(Properties!A$1:CB$87,Formula!F50,10)),IF(INDEX(Properties!A$1:CB$87,Formula!H50,10)=0,10^6,INDEX(Properties!A$1:CB$87,Formula!H50,10)),IF(INDEX(Properties!A$1:CB$87,Formula!J50,10)=0,10^6,INDEX(Properties!A$1:CB$87,Formula!J50,10)))</f>
        <v>3</v>
      </c>
      <c r="AK50" s="51">
        <f t="shared" si="5"/>
        <v>4</v>
      </c>
      <c r="AL50" s="57">
        <f>((Formula!C50)/(Formula!C50+Formula!E50+Formula!G50+Formula!I50+Formula!K50))*(INDEX(Properties!A$1:CB$87,Formula!B50,11))+((Formula!E50)/(Formula!C50+Formula!E50+Formula!G50+Formula!I50+Formula!K50))*(INDEX(Properties!A$1:CB$87,Formula!D50,11))+((Formula!G50)/(Formula!C50+Formula!E50+Formula!G50+Formula!I50+Formula!K50))*(INDEX(Properties!A$1:CB$87,Formula!F50,11))+((Formula!I50)/(Formula!C50+Formula!E50+Formula!G50+Formula!I50+Formula!K50))*(INDEX(Properties!A$1:CB$87,Formula!H50,11))+((Formula!K50)/(Formula!C50+Formula!E50+Formula!G50+Formula!I50+Formula!K50))*(INDEX(Properties!A$1:CB$87,Formula!J50,11))</f>
        <v>2</v>
      </c>
      <c r="AM50" s="57">
        <f>Formula!C50*(INDEX(Properties!A$1:CB$87,Formula!B50,11))+Formula!E50*(INDEX(Properties!A$1:CB$87,Formula!D50,11))+Formula!G50*(INDEX(Properties!A$1:CB$87,Formula!F50,11))+Formula!I50*(INDEX(Properties!A$1:CB$87,Formula!H50,11))+Formula!K50*(INDEX(Properties!A$1:CB$87,Formula!J50,11))</f>
        <v>26</v>
      </c>
      <c r="AN50" s="57">
        <f>VARP(IF(INDEX(Properties!A$1:CB$87,Formula!B50,11)&lt;&gt;"",INDEX(Properties!A$1:CB$87,Formula!B50,11)),IF(INDEX(Properties!A$1:CB$87,Formula!D50,11)&lt;&gt;"",INDEX(Properties!A$1:CB$87,Formula!D50,11)),IF(INDEX(Properties!A$1:CB$87,Formula!F50,11)&lt;&gt;"",INDEX(Properties!A$1:CB$87,Formula!F50,11)),IF(INDEX(Properties!A$1:CB$87,Formula!H50,11)&lt;&gt;"",INDEX(Properties!A$1:CB$87,Formula!H50,11)),IF(INDEX(Properties!A$1:CB$87,Formula!J50,11)&lt;&gt;"",INDEX(Properties!A$1:CB$87,Formula!J50,11)))</f>
        <v>0.96</v>
      </c>
      <c r="AO50" s="57">
        <f>MAX(INDEX(Properties!A$1:CB$87,Formula!B50,11),INDEX(Properties!A$1:CB$87,Formula!D50,11),INDEX(Properties!A$1:CB$87,Formula!F50,11),INDEX(Properties!A$1:CB$87,Formula!H50,11),INDEX(Properties!A$1:CB$87,Formula!J50,11))</f>
        <v>2</v>
      </c>
      <c r="AP50" s="57">
        <f>MIN(IF(Formula!B50=87,10^6,INDEX(Properties!A$1:CB$87,Formula!B50,11)),IF((Formula!D50)=87,10^6,INDEX(Properties!A$1:CB$87,Formula!D50,11)),IF((Formula!F50)=87,10^6,INDEX(Properties!A$1:CB$87,Formula!F50,11)),IF((Formula!H50)=87,10^6,INDEX(Properties!A$1:CB$87,Formula!H50,11)),IF(Formula!J50=87,10^6,INDEX(Properties!A$1:CB$87,Formula!J50,11)))</f>
        <v>2</v>
      </c>
      <c r="AQ50" s="57">
        <f t="shared" si="6"/>
        <v>0</v>
      </c>
      <c r="AR50" s="78">
        <f>((Formula!C50)/(Formula!C50+Formula!E50+Formula!G50+Formula!I50+Formula!K50))*(INDEX(Properties!A$1:CB$87,Formula!B50,12))+((Formula!E50)/(Formula!C50+Formula!E50+Formula!G50+Formula!I50+Formula!K50))*(INDEX(Properties!A$1:CB$87,Formula!D50,12))+((Formula!G50)/(Formula!C50+Formula!E50+Formula!G50+Formula!I50+Formula!K50))*(INDEX(Properties!A$1:CB$87,Formula!F50,12))+((Formula!I50)/(Formula!C50+Formula!E50+Formula!G50+Formula!I50+Formula!K50))*(INDEX(Properties!A$1:CB$87,Formula!H50,12))+((Formula!K50)/(Formula!C50+Formula!E50+Formula!G50+Formula!I50+Formula!K50))*(INDEX(Properties!A$1:CB$87,Formula!J50,12))</f>
        <v>2.9230769230769234</v>
      </c>
      <c r="AS50" s="78">
        <f>Formula!C50*(INDEX(Properties!A$1:CB$87,Formula!B50,12))+Formula!E50*(INDEX(Properties!A$1:CB$87,Formula!D50,12))+Formula!G50*(INDEX(Properties!A$1:CB$87,Formula!F50,12))+Formula!I50*(INDEX(Properties!A$1:CB$87,Formula!H50,12))+Formula!K50*(INDEX(Properties!A$1:CB$87,Formula!J50,12))</f>
        <v>38</v>
      </c>
      <c r="AT50" s="78">
        <f>VARP(IF(INDEX(Properties!A$1:CB$87,Formula!B50,12)&lt;&gt;"",INDEX(Properties!A$1:CB$87,Formula!B50,12)),IF(INDEX(Properties!A$1:CB$87,Formula!D50,12)&lt;&gt;"",INDEX(Properties!A$1:CB$87,Formula!D50,12)),IF(INDEX(Properties!A$1:CB$87,Formula!F50,12)&lt;&gt;"",INDEX(Properties!A$1:CB$87,Formula!F50,12)),IF(INDEX(Properties!A$1:CB$87,Formula!H50,12)&lt;&gt;"",INDEX(Properties!A$1:CB$87,Formula!H50,12)),IF(INDEX(Properties!A$1:CB$87,Formula!J50,12)&lt;&gt;"",INDEX(Properties!A$1:CB$87,Formula!J50,12)))</f>
        <v>3.04</v>
      </c>
      <c r="AU50" s="78">
        <f>MAX(INDEX(Properties!A$1:CB$87,Formula!B50,12),INDEX(Properties!A$1:CB$87,Formula!D50,12),INDEX(Properties!A$1:CB$87,Formula!F50,12),INDEX(Properties!A$1:CB$87,Formula!H50,12),INDEX(Properties!A$1:CB$87,Formula!J50,12))</f>
        <v>4</v>
      </c>
      <c r="AV50" s="78">
        <f>MIN(IF(Formula!B50=87,10^6,INDEX(Properties!A$1:CB$87,Formula!B50,12)),IF((Formula!D50)=87,10^6,INDEX(Properties!A$1:CB$87,Formula!D50,12)),IF((Formula!F50)=87,10^6,INDEX(Properties!A$1:CB$87,Formula!F50,12)),IF((Formula!H50)=87,10^6,INDEX(Properties!A$1:CB$87,Formula!H50,12)),IF(Formula!J50=87,10^6,INDEX(Properties!A$1:CB$87,Formula!J50,12)))</f>
        <v>0</v>
      </c>
      <c r="AW50" s="78">
        <f t="shared" si="7"/>
        <v>4</v>
      </c>
      <c r="AX50" s="45">
        <f>((Formula!C50)/(Formula!C50+Formula!E50+Formula!G50+Formula!I50+Formula!K50))*(INDEX(Properties!A$1:CB$87,Formula!B50,13))+((Formula!E50)/(Formula!C50+Formula!E50+Formula!G50+Formula!I50+Formula!K50))*(INDEX(Properties!A$1:CB$87,Formula!D50,13))+((Formula!G50)/(Formula!C50+Formula!E50+Formula!G50+Formula!I50+Formula!K50))*(INDEX(Properties!A$1:CB$87,Formula!F50,13))+((Formula!I50)/(Formula!C50+Formula!E50+Formula!G50+Formula!I50+Formula!K50))*(INDEX(Properties!A$1:CB$87,Formula!H50,13))+((Formula!K50)/(Formula!C50+Formula!E50+Formula!G50+Formula!I50+Formula!K50))*(INDEX(Properties!A$1:CB$87,Formula!J50,13))</f>
        <v>0.23076923076923078</v>
      </c>
      <c r="AY50" s="45">
        <f>Formula!C50*(INDEX(Properties!A$1:CB$87,Formula!B50,13))+Formula!E50*(INDEX(Properties!A$1:CB$87,Formula!D50,13))+Formula!G50*(INDEX(Properties!A$1:CB$87,Formula!F50,13))+Formula!I50*(INDEX(Properties!A$1:CB$87,Formula!H50,13))+Formula!K50*(INDEX(Properties!A$1:CB$87,Formula!J50,13))</f>
        <v>3</v>
      </c>
      <c r="AZ50" s="45">
        <f>VARP(IF(INDEX(Properties!A$1:CB$87,Formula!B50,13)&lt;&gt;"",INDEX(Properties!A$1:CB$87,Formula!B50,13)),IF(INDEX(Properties!A$1:CB$87,Formula!D50,13)&lt;&gt;"",INDEX(Properties!A$1:CB$87,Formula!D50,13)),IF(INDEX(Properties!A$1:CB$87,Formula!F50,13)&lt;&gt;"",INDEX(Properties!A$1:CB$87,Formula!F50,13)),IF(INDEX(Properties!A$1:CB$87,Formula!H50,13)&lt;&gt;"",INDEX(Properties!A$1:CB$87,Formula!H50,13)),IF(INDEX(Properties!A$1:CB$87,Formula!J50,13)&lt;&gt;"",INDEX(Properties!A$1:CB$87,Formula!J50,13)))</f>
        <v>0.16</v>
      </c>
      <c r="BA50" s="45">
        <f>MAX(INDEX(Properties!A$1:CB$87,Formula!B50,13),INDEX(Properties!A$1:CB$87,Formula!D50,13),INDEX(Properties!A$1:CB$87,Formula!F50,13),INDEX(Properties!A$1:CB$87,Formula!H50,13),INDEX(Properties!A$1:CB$87,Formula!J50,13))</f>
        <v>1</v>
      </c>
      <c r="BB50" s="45">
        <f>MIN(IF(Formula!B50=87,10^6,INDEX(Properties!A$1:CB$87,Formula!B50,13)),IF((Formula!D50)=87,10^6,INDEX(Properties!A$1:CB$87,Formula!D50,13)),IF((Formula!F50)=87,10^6,INDEX(Properties!A$1:CB$87,Formula!F50,13)),IF((Formula!H50)=87,10^6,INDEX(Properties!A$1:CB$87,Formula!H50,13)),IF(Formula!J50=87,10^6,INDEX(Properties!A$1:CB$87,Formula!J50,13)))</f>
        <v>0</v>
      </c>
      <c r="BC50" s="45">
        <f t="shared" si="8"/>
        <v>1</v>
      </c>
      <c r="BD50" s="63">
        <f>((Formula!C50)/(Formula!C50+Formula!E50+Formula!G50+Formula!I50+Formula!K50))*(INDEX(Properties!A$1:CB$87,Formula!B50,14))+((Formula!E50)/(Formula!C50+Formula!E50+Formula!G50+Formula!I50+Formula!K50))*(INDEX(Properties!A$1:CB$87,Formula!D50,14))+((Formula!G50)/(Formula!C50+Formula!E50+Formula!G50+Formula!I50+Formula!K50))*(INDEX(Properties!A$1:CB$87,Formula!F50,14))+((Formula!I50)/(Formula!C50+Formula!E50+Formula!G50+Formula!I50+Formula!K50))*(INDEX(Properties!A$1:CB$87,Formula!H50,14))+((Formula!K50)/(Formula!C50+Formula!E50+Formula!G50+Formula!I50+Formula!K50))*(INDEX(Properties!A$1:CB$87,Formula!J50,14))</f>
        <v>0</v>
      </c>
      <c r="BE50" s="63">
        <f>Formula!C50*(INDEX(Properties!A$1:CB$87,Formula!B50,14))+Formula!E50*(INDEX(Properties!A$1:CB$87,Formula!D50,14))+Formula!G50*(INDEX(Properties!A$1:CB$87,Formula!F50,14))+Formula!I50*(INDEX(Properties!A$1:CB$87,Formula!H50,14))+Formula!K50*(INDEX(Properties!A$1:CB$87,Formula!J50,14))</f>
        <v>0</v>
      </c>
      <c r="BF50" s="63">
        <f>VARP(IF(INDEX(Properties!A$1:CB$87,Formula!B50,14)&lt;&gt;"",INDEX(Properties!A$1:CB$87,Formula!B50,14)),IF(INDEX(Properties!A$1:CB$87,Formula!D50,14)&lt;&gt;"",INDEX(Properties!A$1:CB$87,Formula!D50,14)),IF(INDEX(Properties!A$1:CB$87,Formula!F50,14)&lt;&gt;"",INDEX(Properties!A$1:CB$87,Formula!F50,14)),IF(INDEX(Properties!A$1:CB$87,Formula!H50,14)&lt;&gt;"",INDEX(Properties!A$1:CB$87,Formula!H50,14)),IF(INDEX(Properties!A$1:CB$87,Formula!J50,14)&lt;&gt;"",INDEX(Properties!A$1:CB$87,Formula!J50,14)))</f>
        <v>0</v>
      </c>
      <c r="BG50" s="63">
        <f>MAX(INDEX(Properties!A$1:CB$87,Formula!B50,14),INDEX(Properties!A$1:CB$87,Formula!D50,14),INDEX(Properties!A$1:CB$87,Formula!F50,14),INDEX(Properties!A$1:CB$87,Formula!H50,14),INDEX(Properties!A$1:CB$87,Formula!J50,14))</f>
        <v>0</v>
      </c>
      <c r="BH50" s="63">
        <f>MIN(IF(Formula!B50=87,10^6,INDEX(Properties!A$1:CB$87,Formula!B50,14)),IF((Formula!D50)=87,10^6,INDEX(Properties!A$1:CB$87,Formula!D50,14)),IF((Formula!F50)=87,10^6,INDEX(Properties!A$1:CB$87,Formula!F50,14)),IF((Formula!H50)=87,10^6,INDEX(Properties!A$1:CB$87,Formula!H50,14)),IF(Formula!J50=87,10^6,INDEX(Properties!A$1:CB$87,Formula!J50,14)))</f>
        <v>0</v>
      </c>
      <c r="BI50" s="63">
        <f t="shared" si="9"/>
        <v>0</v>
      </c>
      <c r="BJ50" s="75">
        <f>((Formula!C50)/(Formula!C50+Formula!E50+Formula!G50+Formula!I50+Formula!K50))*(INDEX(Properties!A$1:CB$87,Formula!B50,19))+((Formula!E50)/(Formula!C50+Formula!E50+Formula!G50+Formula!I50+Formula!K50))*(INDEX(Properties!A$1:CB$87,Formula!D50,19))+((Formula!G50)/(Formula!C50+Formula!E50+Formula!G50+Formula!I50+Formula!K50))*(INDEX(Properties!A$1:CB$87,Formula!F50,19))+((Formula!I50)/(Formula!C50+Formula!E50+Formula!G50+Formula!I50+Formula!K50))*(INDEX(Properties!A$1:CB$87,Formula!H50,19))+((Formula!K50)/(Formula!C50+Formula!E50+Formula!G50+Formula!I50+Formula!K50))*(INDEX(Properties!A$1:CB$87,Formula!J50,19))</f>
        <v>5.1538461538461542</v>
      </c>
      <c r="BK50" s="75">
        <f>Formula!C50*(INDEX(Properties!A$1:CB$87,Formula!B50,19))+Formula!E50*(INDEX(Properties!A$1:CB$87,Formula!D50,19))+Formula!G50*(INDEX(Properties!A$1:CB$87,Formula!F50,19))+Formula!I50*(INDEX(Properties!A$1:CB$87,Formula!H50,19))+Formula!K50*(INDEX(Properties!A$1:CB$87,Formula!J50,19))</f>
        <v>67</v>
      </c>
      <c r="BL50" s="75">
        <f>VARP(IF(INDEX(Properties!A$1:CB$87,Formula!B50,19)&lt;&gt;"",INDEX(Properties!A$1:CB$87,Formula!B50,19)),IF(INDEX(Properties!A$1:CB$87,Formula!D50,19)&lt;&gt;"",INDEX(Properties!A$1:CB$87,Formula!D50,19)),IF(INDEX(Properties!A$1:CB$87,Formula!F50,19)&lt;&gt;"",INDEX(Properties!A$1:CB$87,Formula!F50,19)),IF(INDEX(Properties!A$1:CB$87,Formula!H50,19)&lt;&gt;"",INDEX(Properties!A$1:CB$87,Formula!H50,19)),IF(INDEX(Properties!A$1:CB$87,Formula!J50,19)&lt;&gt;"",INDEX(Properties!A$1:CB$87,Formula!J50,19)))</f>
        <v>6.16</v>
      </c>
      <c r="BM50" s="75">
        <f>MAX(INDEX(Properties!A$1:CB$87,Formula!B50,19),INDEX(Properties!A$1:CB$87,Formula!D50,19),INDEX(Properties!A$1:CB$87,Formula!F50,19),INDEX(Properties!A$1:CB$87,Formula!H50,19),INDEX(Properties!A$1:CB$87,Formula!J50,19))</f>
        <v>6</v>
      </c>
      <c r="BN50" s="75">
        <f>MIN(IF(INDEX(Properties!A$1:CB$87,Formula!B50,19)=0,10^6,INDEX(Properties!A$1:CB$87,Formula!B50,19)),IF(INDEX(Properties!A$1:CB$87,Formula!D50,19)=0,10^6,INDEX(Properties!A$1:CB$87,Formula!D50,19)),IF(INDEX(Properties!A$1:CB$87,Formula!F50,19)=0,10^6,INDEX(Properties!A$1:CB$87,Formula!F50,19)),IF(INDEX(Properties!A$1:CB$87,Formula!H50,19)=0,10^6,INDEX(Properties!A$1:CB$87,Formula!H50,19)),IF(INDEX(Properties!A$1:CB$87,Formula!J50,19)=0,10^6,INDEX(Properties!A$1:CB$87,Formula!J50,19)))</f>
        <v>3</v>
      </c>
      <c r="BO50" s="75">
        <f t="shared" si="10"/>
        <v>3</v>
      </c>
      <c r="BP50" s="48">
        <f>((Formula!C50)/(Formula!C50+Formula!E50+Formula!G50+Formula!I50+Formula!K50))*(INDEX(Properties!A$1:CB$87,Formula!B50,20))+((Formula!E50)/(Formula!C50+Formula!E50+Formula!G50+Formula!I50+Formula!K50))*(INDEX(Properties!A$1:CB$87,Formula!D50,20))+((Formula!G50)/(Formula!C50+Formula!E50+Formula!G50+Formula!I50+Formula!K50))*(INDEX(Properties!A$1:CB$87,Formula!F50,20))+((Formula!I50)/(Formula!C50+Formula!E50+Formula!G50+Formula!I50+Formula!K50))*(INDEX(Properties!A$1:CB$87,Formula!H50,20))+((Formula!K50)/(Formula!C50+Formula!E50+Formula!G50+Formula!I50+Formula!K50))*(INDEX(Properties!A$1:CB$87,Formula!J50,20))</f>
        <v>4.9230769230769234</v>
      </c>
      <c r="BQ50" s="48">
        <f>Formula!C50*(INDEX(Properties!A$1:CB$87,Formula!B50,20))+Formula!E50*(INDEX(Properties!A$1:CB$87,Formula!D50,20))+Formula!G50*(INDEX(Properties!A$1:CB$87,Formula!F50,20))+Formula!I50*(INDEX(Properties!A$1:CB$87,Formula!H50,20))+Formula!K50*(INDEX(Properties!A$1:CB$87,Formula!J50,20))</f>
        <v>64</v>
      </c>
      <c r="BR50" s="48">
        <f>VARP(IF(INDEX(Properties!A$1:CB$87,Formula!B50,20)&lt;&gt;"",INDEX(Properties!A$1:CB$87,Formula!B50,20)),IF(INDEX(Properties!A$1:CB$87,Formula!D50,20)&lt;&gt;"",INDEX(Properties!A$1:CB$87,Formula!D50,20)),IF(INDEX(Properties!A$1:CB$87,Formula!F50,20)&lt;&gt;"",INDEX(Properties!A$1:CB$87,Formula!F50,20)),IF(INDEX(Properties!A$1:CB$87,Formula!H50,20)&lt;&gt;"",INDEX(Properties!A$1:CB$87,Formula!H50,20)),IF(INDEX(Properties!A$1:CB$87,Formula!J50,20)&lt;&gt;"",INDEX(Properties!A$1:CB$87,Formula!J50,20)))</f>
        <v>6.24</v>
      </c>
      <c r="BS50" s="48">
        <f>MAX(INDEX(Properties!A$1:CB$87,Formula!B50,20),INDEX(Properties!A$1:CB$87,Formula!D50,20),INDEX(Properties!A$1:CB$87,Formula!F50,20),INDEX(Properties!A$1:CB$87,Formula!H50,20),INDEX(Properties!A$1:CB$87,Formula!J50,20))</f>
        <v>6</v>
      </c>
      <c r="BT50" s="48">
        <f>MIN(IF(INDEX(Properties!A$1:CB$87,Formula!B50,20)=0,10^6,INDEX(Properties!A$1:CB$87,Formula!B50,20)),IF(INDEX(Properties!A$1:CB$87,Formula!D50,20)=0,10^6,INDEX(Properties!A$1:CB$87,Formula!D50,20)),IF(INDEX(Properties!A$1:CB$87,Formula!F50,20)=0,10^6,INDEX(Properties!A$1:CB$87,Formula!F50,20)),IF(INDEX(Properties!A$1:CB$87,Formula!H50,20)=0,10^6,INDEX(Properties!A$1:CB$87,Formula!H50,20)),IF(INDEX(Properties!A$1:CB$87,Formula!J50,20)=0,10^6,INDEX(Properties!A$1:CB$87,Formula!J50,20)))</f>
        <v>2</v>
      </c>
      <c r="BU50" s="48">
        <f t="shared" si="11"/>
        <v>4</v>
      </c>
      <c r="BV50" s="66">
        <f>((Formula!C50)/(Formula!C50+Formula!E50+Formula!G50+Formula!I50+Formula!K50))*(INDEX(Properties!A$1:CB$87,Formula!B50,21))+((Formula!E50)/(Formula!C50+Formula!E50+Formula!G50+Formula!I50+Formula!K50))*(INDEX(Properties!A$1:CB$87,Formula!D50,21))+((Formula!G50)/(Formula!C50+Formula!E50+Formula!G50+Formula!I50+Formula!K50))*(INDEX(Properties!A$1:CB$87,Formula!F50,21))+((Formula!I50)/(Formula!C50+Formula!E50+Formula!G50+Formula!I50+Formula!K50))*(INDEX(Properties!A$1:CB$87,Formula!H50,21))+((Formula!K50)/(Formula!C50+Formula!E50+Formula!G50+Formula!I50+Formula!K50))*(INDEX(Properties!A$1:CB$87,Formula!J50,21))</f>
        <v>4.6923076923076925</v>
      </c>
      <c r="BW50" s="66">
        <f>Formula!C50*(INDEX(Properties!A$1:CB$87,Formula!B50,21))+Formula!E50*(INDEX(Properties!A$1:CB$87,Formula!D50,21))+Formula!G50*(INDEX(Properties!A$1:CB$87,Formula!F50,21))+Formula!I50*(INDEX(Properties!A$1:CB$87,Formula!H50,21))+Formula!K50*(INDEX(Properties!A$1:CB$87,Formula!J50,21))</f>
        <v>61</v>
      </c>
      <c r="BX50" s="66">
        <f>VARP(IF(INDEX(Properties!A$1:CB$87,Formula!B50,21)&lt;&gt;"",INDEX(Properties!A$1:CB$87,Formula!B50,21)),IF(INDEX(Properties!A$1:CB$87,Formula!D50,21)&lt;&gt;"",INDEX(Properties!A$1:CB$87,Formula!D50,21)),IF(INDEX(Properties!A$1:CB$87,Formula!F50,21)&lt;&gt;"",INDEX(Properties!A$1:CB$87,Formula!F50,21)),IF(INDEX(Properties!A$1:CB$87,Formula!H50,21)&lt;&gt;"",INDEX(Properties!A$1:CB$87,Formula!H50,21)),IF(INDEX(Properties!A$1:CB$87,Formula!J50,21)&lt;&gt;"",INDEX(Properties!A$1:CB$87,Formula!J50,21)))</f>
        <v>6.64</v>
      </c>
      <c r="BY50" s="66">
        <f>MAX(INDEX(Properties!A$1:CB$87,Formula!B50,21),INDEX(Properties!A$1:CB$87,Formula!D50,21),INDEX(Properties!A$1:CB$87,Formula!F50,21),INDEX(Properties!A$1:CB$87,Formula!H50,21),INDEX(Properties!A$1:CB$87,Formula!J50,21))</f>
        <v>6</v>
      </c>
      <c r="BZ50" s="66">
        <f>MIN(IF(INDEX(Properties!A$1:CB$87,Formula!B50,21)=0,10^6,INDEX(Properties!A$1:CB$87,Formula!B50,21)),IF(INDEX(Properties!A$1:CB$87,Formula!D50,21)=0,10^6,INDEX(Properties!A$1:CB$87,Formula!D50,21)),IF(INDEX(Properties!A$1:CB$87,Formula!F50,21)=0,10^6,INDEX(Properties!A$1:CB$87,Formula!F50,21)),IF(INDEX(Properties!A$1:CB$87,Formula!H50,21)=0,10^6,INDEX(Properties!A$1:CB$87,Formula!H50,21)),IF(INDEX(Properties!A$1:CB$87,Formula!J50,21)=0,10^6,INDEX(Properties!A$1:CB$87,Formula!J50,21)))</f>
        <v>1</v>
      </c>
      <c r="CA50" s="66">
        <f t="shared" si="12"/>
        <v>5</v>
      </c>
      <c r="CB50" s="81">
        <f>((Formula!C50)/(Formula!C50+Formula!E50+Formula!G50+Formula!I50+Formula!K50))*(INDEX(Properties!A$1:CB$87,Formula!B50,23))+((Formula!E50)/(Formula!C50+Formula!E50+Formula!G50+Formula!I50+Formula!K50))*(INDEX(Properties!A$1:CB$87,Formula!D50,23))+((Formula!G50)/(Formula!C50+Formula!E50+Formula!G50+Formula!I50+Formula!K50))*(INDEX(Properties!A$1:CB$87,Formula!F50,23))+((Formula!I50)/(Formula!C50+Formula!E50+Formula!G50+Formula!I50+Formula!K50))*(INDEX(Properties!A$1:CB$87,Formula!H50,23))+((Formula!K50)/(Formula!C50+Formula!E50+Formula!G50+Formula!I50+Formula!K50))*(INDEX(Properties!A$1:CB$87,Formula!J50,23))</f>
        <v>1.1538461538461537</v>
      </c>
      <c r="CC50" s="81">
        <f>Formula!C50*(INDEX(Properties!A$1:CB$87,Formula!B50,23))+Formula!E50*(INDEX(Properties!A$1:CB$87,Formula!D50,23))+Formula!G50*(INDEX(Properties!A$1:CB$87,Formula!F50,23))+Formula!I50*(INDEX(Properties!A$1:CB$87,Formula!H50,23))+Formula!K50*(INDEX(Properties!A$1:CB$87,Formula!J50,23))</f>
        <v>15</v>
      </c>
      <c r="CD50" s="81">
        <f>VARP(IF(INDEX(Properties!A$1:CB$87,Formula!B50,23)&lt;&gt;"",INDEX(Properties!A$1:CB$87,Formula!B50,23)),IF(INDEX(Properties!A$1:CB$87,Formula!D50,23)&lt;&gt;"",INDEX(Properties!A$1:CB$87,Formula!D50,23)),IF(INDEX(Properties!A$1:CB$87,Formula!F50,23)&lt;&gt;"",INDEX(Properties!A$1:CB$87,Formula!F50,23)),IF(INDEX(Properties!A$1:CB$87,Formula!H50,23)&lt;&gt;"",INDEX(Properties!A$1:CB$87,Formula!H50,23)),IF(INDEX(Properties!A$1:CB$87,Formula!J50,23)&lt;&gt;"",INDEX(Properties!A$1:CB$87,Formula!J50,23)))</f>
        <v>2.16</v>
      </c>
      <c r="CE50" s="81">
        <f>MAX(INDEX(Properties!A$1:CB$87,Formula!B50,23),INDEX(Properties!A$1:CB$87,Formula!D50,23),INDEX(Properties!A$1:CB$87,Formula!F50,23),INDEX(Properties!A$1:CB$87,Formula!H50,23),INDEX(Properties!A$1:CB$87,Formula!J50,23))</f>
        <v>3</v>
      </c>
      <c r="CF50" s="81">
        <f>MIN(IF(Formula!B50=87,10^6,INDEX(Properties!A$1:CB$87,Formula!B50,23)),IF((Formula!D50)=87,10^6,INDEX(Properties!A$1:CB$87,Formula!D50,23)),IF((Formula!F50)=87,10^6,INDEX(Properties!A$1:CB$87,Formula!F50,23)),IF((Formula!H50)=87,10^6,INDEX(Properties!A$1:CB$87,Formula!H50,23)),IF(Formula!J50=87,10^6,INDEX(Properties!A$1:CB$87,Formula!J50,23)))</f>
        <v>0</v>
      </c>
      <c r="CG50" s="81">
        <f t="shared" si="13"/>
        <v>3</v>
      </c>
      <c r="CH50" s="39">
        <f>((Formula!C50)/(Formula!C50+Formula!E50+Formula!G50+Formula!I50+Formula!K50))*(INDEX(Properties!A$1:CB$87,Formula!B50,26))+((Formula!E50)/(Formula!C50+Formula!E50+Formula!G50+Formula!I50+Formula!K50))*(INDEX(Properties!A$1:CB$87,Formula!D50,26))+((Formula!G50)/(Formula!C50+Formula!E50+Formula!G50+Formula!I50+Formula!K50))*(INDEX(Properties!A$1:CB$87,Formula!F50,26))+((Formula!I50)/(Formula!C50+Formula!E50+Formula!G50+Formula!I50+Formula!K50))*(INDEX(Properties!A$1:CB$87,Formula!H50,26))+((Formula!K50)/(Formula!C50+Formula!E50+Formula!G50+Formula!I50+Formula!K50))*(INDEX(Properties!A$1:CB$87,Formula!J50,26))</f>
        <v>11.280684615384615</v>
      </c>
      <c r="CI50" s="39">
        <f>Formula!C50*(INDEX(Properties!A$1:CB$87,Formula!B50,26))+Formula!E50*(INDEX(Properties!A$1:CB$87,Formula!D50,26))+Formula!G50*(INDEX(Properties!A$1:CB$87,Formula!F50,26))+Formula!I50*(INDEX(Properties!A$1:CB$87,Formula!H50,26))+Formula!K50*(INDEX(Properties!A$1:CB$87,Formula!J50,26))</f>
        <v>146.6489</v>
      </c>
      <c r="CJ50" s="39">
        <f>VARP(IF(INDEX(Properties!A$1:CB$87,Formula!B50,26)&lt;&gt;"",INDEX(Properties!A$1:CB$87,Formula!B50,26)),IF(INDEX(Properties!A$1:CB$87,Formula!D50,26)&lt;&gt;"",INDEX(Properties!A$1:CB$87,Formula!D50,26)),IF(INDEX(Properties!A$1:CB$87,Formula!F50,26)&lt;&gt;"",INDEX(Properties!A$1:CB$87,Formula!F50,26)),IF(INDEX(Properties!A$1:CB$87,Formula!H50,26)&lt;&gt;"",INDEX(Properties!A$1:CB$87,Formula!H50,26)),IF(INDEX(Properties!A$1:CB$87,Formula!J50,26)&lt;&gt;"",INDEX(Properties!A$1:CB$87,Formula!J50,26)))</f>
        <v>30.064935026400008</v>
      </c>
      <c r="CK50" s="39">
        <f>MAX(INDEX(Properties!A$1:CB$87,Formula!B50,26),INDEX(Properties!A$1:CB$87,Formula!D50,26),INDEX(Properties!A$1:CB$87,Formula!F50,26),INDEX(Properties!A$1:CB$87,Formula!H50,26),INDEX(Properties!A$1:CB$87,Formula!J50,26))</f>
        <v>13.6181</v>
      </c>
      <c r="CL50" s="39">
        <f>MIN(IF(INDEX(Properties!A$1:CB$87,Formula!B50,26)=0,10^6,INDEX(Properties!A$1:CB$87,Formula!B50,26)),IF(INDEX(Properties!A$1:CB$87,Formula!D50,26)=0,10^6,INDEX(Properties!A$1:CB$87,Formula!D50,26)),IF(INDEX(Properties!A$1:CB$87,Formula!F50,26)=0,10^6,INDEX(Properties!A$1:CB$87,Formula!F50,26)),IF(INDEX(Properties!A$1:CB$87,Formula!H50,26)=0,10^6,INDEX(Properties!A$1:CB$87,Formula!H50,26)),IF(INDEX(Properties!A$1:CB$87,Formula!J50,26)=0,10^6,INDEX(Properties!A$1:CB$87,Formula!J50,26)))</f>
        <v>5.5769000000000002</v>
      </c>
      <c r="CM50" s="39">
        <f t="shared" si="14"/>
        <v>8.0411999999999999</v>
      </c>
      <c r="CN50" s="54">
        <f>((Formula!C50)/(Formula!C50+Formula!E50+Formula!G50+Formula!I50+Formula!K50))*(INDEX(Properties!A$1:CB$87,Formula!B50,30))+((Formula!E50)/(Formula!C50+Formula!E50+Formula!G50+Formula!I50+Formula!K50))*(INDEX(Properties!A$1:CB$87,Formula!D50,30))+((Formula!G50)/(Formula!C50+Formula!E50+Formula!G50+Formula!I50+Formula!K50))*(INDEX(Properties!A$1:CB$87,Formula!F50,30))+((Formula!I50)/(Formula!C50+Formula!E50+Formula!G50+Formula!I50+Formula!K50))*(INDEX(Properties!A$1:CB$87,Formula!H50,30))+((Formula!K50)/(Formula!C50+Formula!E50+Formula!G50+Formula!I50+Formula!K50))*(INDEX(Properties!A$1:CB$87,Formula!J50,30))</f>
        <v>2.7076923076923078</v>
      </c>
      <c r="CO50" s="54">
        <f>Formula!C50*(INDEX(Properties!A$1:CB$87,Formula!B50,30))+Formula!E50*(INDEX(Properties!A$1:CB$87,Formula!D50,30))+Formula!G50*(INDEX(Properties!A$1:CB$87,Formula!F50,30))+Formula!I50*(INDEX(Properties!A$1:CB$87,Formula!H50,30))+Formula!K50*(INDEX(Properties!A$1:CB$87,Formula!J50,30))</f>
        <v>35.200000000000003</v>
      </c>
      <c r="CP50" s="54">
        <f>VARP(IF(INDEX(Properties!A$1:CB$87,Formula!B50,30)&lt;&gt;"",INDEX(Properties!A$1:CB$87,Formula!B50,30)),IF(INDEX(Properties!A$1:CB$87,Formula!D50,30)&lt;&gt;"",INDEX(Properties!A$1:CB$87,Formula!D50,30)),IF(INDEX(Properties!A$1:CB$87,Formula!F50,30)&lt;&gt;"",INDEX(Properties!A$1:CB$87,Formula!F50,30)),IF(INDEX(Properties!A$1:CB$87,Formula!H50,30)&lt;&gt;"",INDEX(Properties!A$1:CB$87,Formula!H50,30)),IF(INDEX(Properties!A$1:CB$87,Formula!J50,30)&lt;&gt;"",INDEX(Properties!A$1:CB$87,Formula!J50,30)))</f>
        <v>1.7562239999999998</v>
      </c>
      <c r="CQ50" s="54">
        <f>MAX(INDEX(Properties!A$1:CB$87,Formula!B50,30),INDEX(Properties!A$1:CB$87,Formula!D50,30),INDEX(Properties!A$1:CB$87,Formula!F50,30),INDEX(Properties!A$1:CB$87,Formula!H50,30),INDEX(Properties!A$1:CB$87,Formula!J50,30))</f>
        <v>3.44</v>
      </c>
      <c r="CR50" s="54">
        <f>MIN(IF(INDEX(Properties!A$1:CB$87,Formula!B50,30)=0,10^6,INDEX(Properties!A$1:CB$87,Formula!B50,30)),IF(INDEX(Properties!A$1:CB$87,Formula!D50,30)=0,10^6,INDEX(Properties!A$1:CB$87,Formula!D50,30)),IF(INDEX(Properties!A$1:CB$87,Formula!F50,30)=0,10^6,INDEX(Properties!A$1:CB$87,Formula!F50,30)),IF(INDEX(Properties!A$1:CB$87,Formula!H50,30)=0,10^6,INDEX(Properties!A$1:CB$87,Formula!H50,30)),IF(INDEX(Properties!A$1:CB$87,Formula!J50,30)=0,10^6,INDEX(Properties!A$1:CB$87,Formula!J50,30)))</f>
        <v>1.1000000000000001</v>
      </c>
      <c r="CS50" s="54">
        <f t="shared" si="15"/>
        <v>2.34</v>
      </c>
      <c r="CT50" s="69">
        <f>((Formula!C50)/(Formula!C50+Formula!E50+Formula!G50+Formula!I50+Formula!K50))*(INDEX(Properties!A$1:CB$87,Formula!B50,31))+((Formula!E50)/(Formula!C50+Formula!E50+Formula!G50+Formula!I50+Formula!K50))*(INDEX(Properties!A$1:CB$87,Formula!D50,31))+((Formula!G50)/(Formula!C50+Formula!E50+Formula!G50+Formula!I50+Formula!K50))*(INDEX(Properties!A$1:CB$87,Formula!F50,31))+((Formula!I50)/(Formula!C50+Formula!E50+Formula!G50+Formula!I50+Formula!K50))*(INDEX(Properties!A$1:CB$87,Formula!H50,31))+((Formula!K50)/(Formula!C50+Formula!E50+Formula!G50+Formula!I50+Formula!K50))*(INDEX(Properties!A$1:CB$87,Formula!J50,31))</f>
        <v>2.7115384615384617</v>
      </c>
      <c r="CU50" s="69">
        <f>Formula!C50*(INDEX(Properties!A$1:CB$87,Formula!B50,31))+Formula!E50*(INDEX(Properties!A$1:CB$87,Formula!D50,31))+Formula!G50*(INDEX(Properties!A$1:CB$87,Formula!F50,31))+Formula!I50*(INDEX(Properties!A$1:CB$87,Formula!H50,31))+Formula!K50*(INDEX(Properties!A$1:CB$87,Formula!J50,31))</f>
        <v>35.25</v>
      </c>
      <c r="CV50" s="69">
        <f>VARP(IF(INDEX(Properties!A$1:CB$87,Formula!B50,31)&lt;&gt;"",INDEX(Properties!A$1:CB$87,Formula!B50,31)),IF(INDEX(Properties!A$1:CB$87,Formula!D50,31)&lt;&gt;"",INDEX(Properties!A$1:CB$87,Formula!D50,31)),IF(INDEX(Properties!A$1:CB$87,Formula!F50,31)&lt;&gt;"",INDEX(Properties!A$1:CB$87,Formula!F50,31)),IF(INDEX(Properties!A$1:CB$87,Formula!H50,31)&lt;&gt;"",INDEX(Properties!A$1:CB$87,Formula!H50,31)),IF(INDEX(Properties!A$1:CB$87,Formula!J50,31)&lt;&gt;"",INDEX(Properties!A$1:CB$87,Formula!J50,31)))</f>
        <v>1.6910559999999999</v>
      </c>
      <c r="CW50" s="69">
        <f>MAX(INDEX(Properties!A$1:CB$87,Formula!B50,31),INDEX(Properties!A$1:CB$87,Formula!D50,31),INDEX(Properties!A$1:CB$87,Formula!F50,31),INDEX(Properties!A$1:CB$87,Formula!H50,31),INDEX(Properties!A$1:CB$87,Formula!J50,31))</f>
        <v>3.32</v>
      </c>
      <c r="CX50" s="69">
        <f>MIN(IF(INDEX(Properties!A$1:CB$87,Formula!B50,31)=0,10^6,INDEX(Properties!A$1:CB$87,Formula!B50,31)),IF(INDEX(Properties!A$1:CB$87,Formula!D50,31)=0,10^6,INDEX(Properties!A$1:CB$87,Formula!D50,31)),IF(INDEX(Properties!A$1:CB$87,Formula!F50,31)=0,10^6,INDEX(Properties!A$1:CB$87,Formula!F50,31)),IF(INDEX(Properties!A$1:CB$87,Formula!H50,31)=0,10^6,INDEX(Properties!A$1:CB$87,Formula!H50,31)),IF(INDEX(Properties!A$1:CB$87,Formula!J50,31)=0,10^6,INDEX(Properties!A$1:CB$87,Formula!J50,31)))</f>
        <v>1.35</v>
      </c>
      <c r="CY50" s="69">
        <f t="shared" si="16"/>
        <v>1.9699999999999998</v>
      </c>
      <c r="CZ50" s="42">
        <f>((Formula!C50)/(Formula!C50+Formula!E50+Formula!G50+Formula!I50+Formula!K50))*(INDEX(Properties!A$1:CB$87,Formula!B50,32))+((Formula!E50)/(Formula!C50+Formula!E50+Formula!G50+Formula!I50+Formula!K50))*(INDEX(Properties!A$1:CB$87,Formula!D50,32))+((Formula!G50)/(Formula!C50+Formula!E50+Formula!G50+Formula!I50+Formula!K50))*(INDEX(Properties!A$1:CB$87,Formula!F50,32))+((Formula!I50)/(Formula!C50+Formula!E50+Formula!G50+Formula!I50+Formula!K50))*(INDEX(Properties!A$1:CB$87,Formula!H50,32))+((Formula!K50)/(Formula!C50+Formula!E50+Formula!G50+Formula!I50+Formula!K50))*(INDEX(Properties!A$1:CB$87,Formula!J50,32))</f>
        <v>6.2200000000000006</v>
      </c>
      <c r="DA50" s="42">
        <f>Formula!C50*(INDEX(Properties!A$1:CB$87,Formula!B50,32))+Formula!E50*(INDEX(Properties!A$1:CB$87,Formula!D50,32))+Formula!G50*(INDEX(Properties!A$1:CB$87,Formula!F50,32))+Formula!I50*(INDEX(Properties!A$1:CB$87,Formula!H50,32))+Formula!K50*(INDEX(Properties!A$1:CB$87,Formula!J50,32))</f>
        <v>80.86</v>
      </c>
      <c r="DB50" s="42">
        <f>VARP(IF(INDEX(Properties!A$1:CB$87,Formula!B50,32)&lt;&gt;"",INDEX(Properties!A$1:CB$87,Formula!B50,32)),IF(INDEX(Properties!A$1:CB$87,Formula!D50,32)&lt;&gt;"",INDEX(Properties!A$1:CB$87,Formula!D50,32)),IF(INDEX(Properties!A$1:CB$87,Formula!F50,32)&lt;&gt;"",INDEX(Properties!A$1:CB$87,Formula!F50,32)),IF(INDEX(Properties!A$1:CB$87,Formula!H50,32)&lt;&gt;"",INDEX(Properties!A$1:CB$87,Formula!H50,32)),IF(INDEX(Properties!A$1:CB$87,Formula!J50,32)&lt;&gt;"",INDEX(Properties!A$1:CB$87,Formula!J50,32)))</f>
        <v>9.0336959999999955</v>
      </c>
      <c r="DC50" s="42">
        <f>MAX(INDEX(Properties!A$1:CB$87,Formula!B50,32),INDEX(Properties!A$1:CB$87,Formula!D50,32),INDEX(Properties!A$1:CB$87,Formula!F50,32),INDEX(Properties!A$1:CB$87,Formula!H50,32),INDEX(Properties!A$1:CB$87,Formula!J50,32))</f>
        <v>7.54</v>
      </c>
      <c r="DD50" s="42">
        <f>MIN(IF(INDEX(Properties!A$1:CB$87,Formula!B50,32)=0,10^6,INDEX(Properties!A$1:CB$87,Formula!B50,32)),IF(INDEX(Properties!A$1:CB$87,Formula!D50,32)=0,10^6,INDEX(Properties!A$1:CB$87,Formula!D50,32)),IF(INDEX(Properties!A$1:CB$87,Formula!F50,32)=0,10^6,INDEX(Properties!A$1:CB$87,Formula!F50,32)),IF(INDEX(Properties!A$1:CB$87,Formula!H50,32)=0,10^6,INDEX(Properties!A$1:CB$87,Formula!H50,32)),IF(INDEX(Properties!A$1:CB$87,Formula!J50,32)=0,10^6,INDEX(Properties!A$1:CB$87,Formula!J50,32)))</f>
        <v>3.1</v>
      </c>
      <c r="DE50" s="42">
        <f t="shared" si="17"/>
        <v>4.4399999999999995</v>
      </c>
      <c r="DF50" s="60">
        <f>((Formula!C50)/(Formula!C50+Formula!E50+Formula!G50+Formula!I50+Formula!K50))*(INDEX(Properties!A$1:CB$87,Formula!B50,34))+((Formula!E50)/(Formula!C50+Formula!E50+Formula!G50+Formula!I50+Formula!K50))*(INDEX(Properties!A$1:CB$87,Formula!D50,34))+((Formula!G50)/(Formula!C50+Formula!E50+Formula!G50+Formula!I50+Formula!K50))*(INDEX(Properties!A$1:CB$87,Formula!F50,34))+((Formula!I50)/(Formula!C50+Formula!E50+Formula!G50+Formula!I50+Formula!K50))*(INDEX(Properties!A$1:CB$87,Formula!H50,34))+((Formula!K50)/(Formula!C50+Formula!E50+Formula!G50+Formula!I50+Formula!K50))*(INDEX(Properties!A$1:CB$87,Formula!J50,34))</f>
        <v>2.8196923076923079</v>
      </c>
      <c r="DG50" s="60">
        <f>Formula!C50*(INDEX(Properties!A$1:CB$87,Formula!B50,34))+Formula!E50*(INDEX(Properties!A$1:CB$87,Formula!D50,34))+Formula!G50*(INDEX(Properties!A$1:CB$87,Formula!F50,34))+Formula!I50*(INDEX(Properties!A$1:CB$87,Formula!H50,34))+Formula!K50*(INDEX(Properties!A$1:CB$87,Formula!J50,34))</f>
        <v>36.655999999999999</v>
      </c>
      <c r="DH50" s="60">
        <f>VARP(IF(INDEX(Properties!A$1:CB$87,Formula!B50,34)&lt;&gt;"",INDEX(Properties!A$1:CB$87,Formula!B50,34)),IF(INDEX(Properties!A$1:CB$87,Formula!D50,34)&lt;&gt;"",INDEX(Properties!A$1:CB$87,Formula!D50,34)),IF(INDEX(Properties!A$1:CB$87,Formula!F50,34)&lt;&gt;"",INDEX(Properties!A$1:CB$87,Formula!F50,34)),IF(INDEX(Properties!A$1:CB$87,Formula!H50,34)&lt;&gt;"",INDEX(Properties!A$1:CB$87,Formula!H50,34)),IF(INDEX(Properties!A$1:CB$87,Formula!J50,34)&lt;&gt;"",INDEX(Properties!A$1:CB$87,Formula!J50,34)))</f>
        <v>1.9254734400000006</v>
      </c>
      <c r="DI50" s="60">
        <f>MAX(INDEX(Properties!A$1:CB$87,Formula!B50,34),INDEX(Properties!A$1:CB$87,Formula!D50,34),INDEX(Properties!A$1:CB$87,Formula!F50,34),INDEX(Properties!A$1:CB$87,Formula!H50,34),INDEX(Properties!A$1:CB$87,Formula!J50,34))</f>
        <v>3.61</v>
      </c>
      <c r="DJ50" s="60">
        <f>MIN(IF(INDEX(Properties!A$1:CB$87,Formula!B50,34)=0,10^6,INDEX(Properties!A$1:CB$87,Formula!B50,34)),IF(INDEX(Properties!A$1:CB$87,Formula!D50,34)=0,10^6,INDEX(Properties!A$1:CB$87,Formula!D50,34)),IF(INDEX(Properties!A$1:CB$87,Formula!F50,34)=0,10^6,INDEX(Properties!A$1:CB$87,Formula!F50,34)),IF(INDEX(Properties!A$1:CB$87,Formula!H50,34)=0,10^6,INDEX(Properties!A$1:CB$87,Formula!H50,34)),IF(INDEX(Properties!A$1:CB$87,Formula!J50,34)=0,10^6,INDEX(Properties!A$1:CB$87,Formula!J50,34)))</f>
        <v>1.0900000000000001</v>
      </c>
      <c r="DK50" s="60">
        <f t="shared" si="18"/>
        <v>2.5199999999999996</v>
      </c>
      <c r="DL50" s="45">
        <f>((Formula!C50)/(Formula!C50+Formula!E50+Formula!G50+Formula!I50+Formula!K50))*(INDEX(Properties!A$1:CB$87,Formula!B50,39))+((Formula!E50)/(Formula!C50+Formula!E50+Formula!G50+Formula!I50+Formula!K50))*(INDEX(Properties!A$1:CB$87,Formula!D50,39))+((Formula!G50)/(Formula!C50+Formula!E50+Formula!G50+Formula!I50+Formula!K50))*(INDEX(Properties!A$1:CB$87,Formula!F50,39))+((Formula!I50)/(Formula!C50+Formula!E50+Formula!G50+Formula!I50+Formula!K50))*(INDEX(Properties!A$1:CB$87,Formula!H50,39))+((Formula!K50)/(Formula!C50+Formula!E50+Formula!G50+Formula!I50+Formula!K50))*(INDEX(Properties!A$1:CB$87,Formula!J50,39))</f>
        <v>0.89615384615384608</v>
      </c>
      <c r="DM50" s="45">
        <f>Formula!C50*(INDEX(Properties!A$1:CB$87,Formula!B50,39))+Formula!E50*(INDEX(Properties!A$1:CB$87,Formula!D50,39))+Formula!G50*(INDEX(Properties!A$1:CB$87,Formula!F50,39))+Formula!I50*(INDEX(Properties!A$1:CB$87,Formula!H50,39))+Formula!K50*(INDEX(Properties!A$1:CB$87,Formula!J50,39))</f>
        <v>11.649999999999999</v>
      </c>
      <c r="DN50" s="45">
        <f>VARP(IF(INDEX(Properties!A$1:CB$87,Formula!B50,39)&lt;&gt;"",INDEX(Properties!A$1:CB$87,Formula!B50,39)),IF(INDEX(Properties!A$1:CB$87,Formula!D50,39)&lt;&gt;"",INDEX(Properties!A$1:CB$87,Formula!D50,39)),IF(INDEX(Properties!A$1:CB$87,Formula!F50,39)&lt;&gt;"",INDEX(Properties!A$1:CB$87,Formula!F50,39)),IF(INDEX(Properties!A$1:CB$87,Formula!H50,39)&lt;&gt;"",INDEX(Properties!A$1:CB$87,Formula!H50,39)),IF(INDEX(Properties!A$1:CB$87,Formula!J50,39)&lt;&gt;"",INDEX(Properties!A$1:CB$87,Formula!J50,39)))</f>
        <v>0.53353600000000023</v>
      </c>
      <c r="DO50" s="45">
        <f>MAX(INDEX(Properties!A$1:CB$87,Formula!B50,39),INDEX(Properties!A$1:CB$87,Formula!D50,39),INDEX(Properties!A$1:CB$87,Formula!F50,39),INDEX(Properties!A$1:CB$87,Formula!H50,39),INDEX(Properties!A$1:CB$87,Formula!J50,39))</f>
        <v>1.95</v>
      </c>
      <c r="DP50" s="45">
        <f>MIN(IF(INDEX(Properties!A$1:CB$87,Formula!B50,39)=0,10^6,INDEX(Properties!A$1:CB$87,Formula!B50,39)),IF(INDEX(Properties!A$1:CB$87,Formula!D50,39)=0,10^6,INDEX(Properties!A$1:CB$87,Formula!D50,39)),IF(INDEX(Properties!A$1:CB$87,Formula!F50,39)=0,10^6,INDEX(Properties!A$1:CB$87,Formula!F50,39)),IF(INDEX(Properties!A$1:CB$87,Formula!H50,39)=0,10^6,INDEX(Properties!A$1:CB$87,Formula!H50,39)),IF(INDEX(Properties!A$1:CB$87,Formula!J50,39)=0,10^6,INDEX(Properties!A$1:CB$87,Formula!J50,39)))</f>
        <v>0.48</v>
      </c>
      <c r="DQ50" s="45">
        <f t="shared" si="19"/>
        <v>1.47</v>
      </c>
      <c r="DR50" s="63">
        <f>((Formula!C50)/(Formula!C50+Formula!E50+Formula!G50+Formula!I50+Formula!K50))*(INDEX(Properties!A$1:CB$87,Formula!B50,40))+((Formula!E50)/(Formula!C50+Formula!E50+Formula!G50+Formula!I50+Formula!K50))*(INDEX(Properties!A$1:CB$87,Formula!D50,40))+((Formula!G50)/(Formula!C50+Formula!E50+Formula!G50+Formula!I50+Formula!K50))*(INDEX(Properties!A$1:CB$87,Formula!F50,40))+((Formula!I50)/(Formula!C50+Formula!E50+Formula!G50+Formula!I50+Formula!K50))*(INDEX(Properties!A$1:CB$87,Formula!H50,40))+((Formula!K50)/(Formula!C50+Formula!E50+Formula!G50+Formula!I50+Formula!K50))*(INDEX(Properties!A$1:CB$87,Formula!J50,40))</f>
        <v>1.0023076923076923</v>
      </c>
      <c r="DS50" s="63">
        <f>Formula!C50*(INDEX(Properties!A$1:CB$87,Formula!B50,40))+Formula!E50*(INDEX(Properties!A$1:CB$87,Formula!D50,40))+Formula!G50*(INDEX(Properties!A$1:CB$87,Formula!F50,40))+Formula!I50*(INDEX(Properties!A$1:CB$87,Formula!H50,40))+Formula!K50*(INDEX(Properties!A$1:CB$87,Formula!J50,40))</f>
        <v>13.030000000000001</v>
      </c>
      <c r="DT50" s="63">
        <f>VARP(IF(INDEX(Properties!A$1:CB$87,Formula!B50,40)&lt;&gt;"",INDEX(Properties!A$1:CB$87,Formula!B50,40)),IF(INDEX(Properties!A$1:CB$87,Formula!D50,40)&lt;&gt;"",INDEX(Properties!A$1:CB$87,Formula!D50,40)),IF(INDEX(Properties!A$1:CB$87,Formula!F50,40)&lt;&gt;"",INDEX(Properties!A$1:CB$87,Formula!F50,40)),IF(INDEX(Properties!A$1:CB$87,Formula!H50,40)&lt;&gt;"",INDEX(Properties!A$1:CB$87,Formula!H50,40)),IF(INDEX(Properties!A$1:CB$87,Formula!J50,40)&lt;&gt;"",INDEX(Properties!A$1:CB$87,Formula!J50,40)))</f>
        <v>0.41810399999999992</v>
      </c>
      <c r="DU50" s="63">
        <f>MAX(INDEX(Properties!A$1:CB$87,Formula!B50,40),INDEX(Properties!A$1:CB$87,Formula!D50,40),INDEX(Properties!A$1:CB$87,Formula!F50,40),INDEX(Properties!A$1:CB$87,Formula!H50,40),INDEX(Properties!A$1:CB$87,Formula!J50,40))</f>
        <v>1.69</v>
      </c>
      <c r="DV50" s="63">
        <f>MIN(IF(INDEX(Properties!A$1:CB$87,Formula!B50,40)=0,10^6,INDEX(Properties!A$1:CB$87,Formula!B50,40)),IF(INDEX(Properties!A$1:CB$87,Formula!D50,40)=0,10^6,INDEX(Properties!A$1:CB$87,Formula!D50,40)),IF(INDEX(Properties!A$1:CB$87,Formula!F50,40)=0,10^6,INDEX(Properties!A$1:CB$87,Formula!F50,40)),IF(INDEX(Properties!A$1:CB$87,Formula!H50,40)=0,10^6,INDEX(Properties!A$1:CB$87,Formula!H50,40)),IF(INDEX(Properties!A$1:CB$87,Formula!J50,40)=0,10^6,INDEX(Properties!A$1:CB$87,Formula!J50,40)))</f>
        <v>0.73</v>
      </c>
      <c r="DW50" s="63">
        <f t="shared" si="20"/>
        <v>0.96</v>
      </c>
      <c r="DX50" s="75">
        <f>((Formula!C50)/(Formula!C50+Formula!E50+Formula!G50+Formula!I50+Formula!K50))*(INDEX(Properties!A$1:CB$87,Formula!B50,41))+((Formula!E50)/(Formula!C50+Formula!E50+Formula!G50+Formula!I50+Formula!K50))*(INDEX(Properties!A$1:CB$87,Formula!D50,41))+((Formula!G50)/(Formula!C50+Formula!E50+Formula!G50+Formula!I50+Formula!K50))*(INDEX(Properties!A$1:CB$87,Formula!F50,41))+((Formula!I50)/(Formula!C50+Formula!E50+Formula!G50+Formula!I50+Formula!K50))*(INDEX(Properties!A$1:CB$87,Formula!H50,41))+((Formula!K50)/(Formula!C50+Formula!E50+Formula!G50+Formula!I50+Formula!K50))*(INDEX(Properties!A$1:CB$87,Formula!J50,41))</f>
        <v>1.1346153846153846</v>
      </c>
      <c r="DY50" s="75">
        <f>Formula!C50*(INDEX(Properties!A$1:CB$87,Formula!B50,41))+Formula!E50*(INDEX(Properties!A$1:CB$87,Formula!D50,41))+Formula!G50*(INDEX(Properties!A$1:CB$87,Formula!F50,41))+Formula!I50*(INDEX(Properties!A$1:CB$87,Formula!H50,41))+Formula!K50*(INDEX(Properties!A$1:CB$87,Formula!J50,41))</f>
        <v>14.75</v>
      </c>
      <c r="DZ50" s="75">
        <f>VARP(IF(INDEX(Properties!A$1:CB$87,Formula!B50,41)&lt;&gt;"",INDEX(Properties!A$1:CB$87,Formula!B50,41)),IF(INDEX(Properties!A$1:CB$87,Formula!D50,41)&lt;&gt;"",INDEX(Properties!A$1:CB$87,Formula!D50,41)),IF(INDEX(Properties!A$1:CB$87,Formula!F50,41)&lt;&gt;"",INDEX(Properties!A$1:CB$87,Formula!F50,41)),IF(INDEX(Properties!A$1:CB$87,Formula!H50,41)&lt;&gt;"",INDEX(Properties!A$1:CB$87,Formula!H50,41)),IF(INDEX(Properties!A$1:CB$87,Formula!J50,41)&lt;&gt;"",INDEX(Properties!A$1:CB$87,Formula!J50,41)))</f>
        <v>0.29617600000000011</v>
      </c>
      <c r="EA50" s="75">
        <f>MAX(INDEX(Properties!A$1:CB$87,Formula!B50,41),INDEX(Properties!A$1:CB$87,Formula!D50,41),INDEX(Properties!A$1:CB$87,Formula!F50,41),INDEX(Properties!A$1:CB$87,Formula!H50,41),INDEX(Properties!A$1:CB$87,Formula!J50,41))</f>
        <v>1.26</v>
      </c>
      <c r="EB50" s="75">
        <f>MIN(IF(INDEX(Properties!A$1:CB$87,Formula!B50,41)=0,10^6,INDEX(Properties!A$1:CB$87,Formula!B50,41)),IF(INDEX(Properties!A$1:CB$87,Formula!D50,41)=0,10^6,INDEX(Properties!A$1:CB$87,Formula!D50,41)),IF(INDEX(Properties!A$1:CB$87,Formula!F50,41)=0,10^6,INDEX(Properties!A$1:CB$87,Formula!F50,41)),IF(INDEX(Properties!A$1:CB$87,Formula!H50,41)=0,10^6,INDEX(Properties!A$1:CB$87,Formula!H50,41)),IF(INDEX(Properties!A$1:CB$87,Formula!J50,41)=0,10^6,INDEX(Properties!A$1:CB$87,Formula!J50,41)))</f>
        <v>0.57999999999999996</v>
      </c>
      <c r="EC50" s="75">
        <f t="shared" si="21"/>
        <v>0.68</v>
      </c>
      <c r="ED50" s="48">
        <f>((Formula!C50)/(Formula!C50+Formula!E50+Formula!G50+Formula!I50+Formula!K50))*(INDEX(Properties!A$1:CB$87,Formula!B50,45))+((Formula!E50)/(Formula!C50+Formula!E50+Formula!G50+Formula!I50+Formula!K50))*(INDEX(Properties!A$1:CB$87,Formula!D50,45))+((Formula!G50)/(Formula!C50+Formula!E50+Formula!G50+Formula!I50+Formula!K50))*(INDEX(Properties!A$1:CB$87,Formula!F50,45))+((Formula!I50)/(Formula!C50+Formula!E50+Formula!G50+Formula!I50+Formula!K50))*(INDEX(Properties!A$1:CB$87,Formula!H50,45))+((Formula!K50)/(Formula!C50+Formula!E50+Formula!G50+Formula!I50+Formula!K50))*(INDEX(Properties!A$1:CB$87,Formula!J50,45))</f>
        <v>1.1907692307692308</v>
      </c>
      <c r="EE50" s="48">
        <f>Formula!C50*(INDEX(Properties!A$1:CB$87,Formula!B50,45))+Formula!E50*(INDEX(Properties!A$1:CB$87,Formula!D50,45))+Formula!G50*(INDEX(Properties!A$1:CB$87,Formula!F50,45))+Formula!I50*(INDEX(Properties!A$1:CB$87,Formula!H50,45))+Formula!K50*(INDEX(Properties!A$1:CB$87,Formula!J50,45))</f>
        <v>15.48</v>
      </c>
      <c r="EF50" s="48">
        <f>VARP(IF(INDEX(Properties!A$1:CB$87,Formula!B50,45)&lt;&gt;"",INDEX(Properties!A$1:CB$87,Formula!B50,45)),IF(INDEX(Properties!A$1:CB$87,Formula!D50,45)&lt;&gt;"",INDEX(Properties!A$1:CB$87,Formula!D50,45)),IF(INDEX(Properties!A$1:CB$87,Formula!F50,45)&lt;&gt;"",INDEX(Properties!A$1:CB$87,Formula!F50,45)),IF(INDEX(Properties!A$1:CB$87,Formula!H50,45)&lt;&gt;"",INDEX(Properties!A$1:CB$87,Formula!H50,45)),IF(INDEX(Properties!A$1:CB$87,Formula!J50,45)&lt;&gt;"",INDEX(Properties!A$1:CB$87,Formula!J50,45)))</f>
        <v>1.331216</v>
      </c>
      <c r="EG50" s="48">
        <f>MAX(INDEX(Properties!A$1:CB$87,Formula!B50,45),INDEX(Properties!A$1:CB$87,Formula!D50,45),INDEX(Properties!A$1:CB$87,Formula!F50,45),INDEX(Properties!A$1:CB$87,Formula!H50,45),INDEX(Properties!A$1:CB$87,Formula!J50,45))</f>
        <v>3.08</v>
      </c>
      <c r="EH50" s="48">
        <f>MIN(IF(INDEX(Properties!A$1:CB$87,Formula!B50,45)=0,10^6,INDEX(Properties!A$1:CB$87,Formula!B50,45)),IF(INDEX(Properties!A$1:CB$87,Formula!D50,45)=0,10^6,INDEX(Properties!A$1:CB$87,Formula!D50,45)),IF(INDEX(Properties!A$1:CB$87,Formula!F50,45)=0,10^6,INDEX(Properties!A$1:CB$87,Formula!F50,45)),IF(INDEX(Properties!A$1:CB$87,Formula!H50,45)=0,10^6,INDEX(Properties!A$1:CB$87,Formula!H50,45)),IF(INDEX(Properties!A$1:CB$87,Formula!J50,45)=0,10^6,INDEX(Properties!A$1:CB$87,Formula!J50,45)))</f>
        <v>0.47</v>
      </c>
      <c r="EI50" s="48">
        <f t="shared" si="22"/>
        <v>2.6100000000000003</v>
      </c>
      <c r="EJ50" s="66">
        <f>((Formula!C50)/(Formula!C50+Formula!E50+Formula!G50+Formula!I50+Formula!K50))*(INDEX(Properties!A$1:CB$87,Formula!B50,46))+((Formula!E50)/(Formula!C50+Formula!E50+Formula!G50+Formula!I50+Formula!K50))*(INDEX(Properties!A$1:CB$87,Formula!D50,46))+((Formula!G50)/(Formula!C50+Formula!E50+Formula!G50+Formula!I50+Formula!K50))*(INDEX(Properties!A$1:CB$87,Formula!F50,46))+((Formula!I50)/(Formula!C50+Formula!E50+Formula!G50+Formula!I50+Formula!K50))*(INDEX(Properties!A$1:CB$87,Formula!H50,46))+((Formula!K50)/(Formula!C50+Formula!E50+Formula!G50+Formula!I50+Formula!K50))*(INDEX(Properties!A$1:CB$87,Formula!J50,46))</f>
        <v>1.1061538461538463</v>
      </c>
      <c r="EK50" s="66">
        <f>Formula!C50*(INDEX(Properties!A$1:CB$87,Formula!B50,46))+Formula!E50*(INDEX(Properties!A$1:CB$87,Formula!D50,46))+Formula!G50*(INDEX(Properties!A$1:CB$87,Formula!F50,46))+Formula!I50*(INDEX(Properties!A$1:CB$87,Formula!H50,46))+Formula!K50*(INDEX(Properties!A$1:CB$87,Formula!J50,46))</f>
        <v>14.379999999999999</v>
      </c>
      <c r="EL50" s="66">
        <f>VARP(IF(INDEX(Properties!A$1:CB$87,Formula!B50,46)&lt;&gt;"",INDEX(Properties!A$1:CB$87,Formula!B50,46)),IF(INDEX(Properties!A$1:CB$87,Formula!D50,46)&lt;&gt;"",INDEX(Properties!A$1:CB$87,Formula!D50,46)),IF(INDEX(Properties!A$1:CB$87,Formula!F50,46)&lt;&gt;"",INDEX(Properties!A$1:CB$87,Formula!F50,46)),IF(INDEX(Properties!A$1:CB$87,Formula!H50,46)&lt;&gt;"",INDEX(Properties!A$1:CB$87,Formula!H50,46)),IF(INDEX(Properties!A$1:CB$87,Formula!J50,46)&lt;&gt;"",INDEX(Properties!A$1:CB$87,Formula!J50,46)))</f>
        <v>0.35018400000000016</v>
      </c>
      <c r="EM50" s="66">
        <f>MAX(INDEX(Properties!A$1:CB$87,Formula!B50,46),INDEX(Properties!A$1:CB$87,Formula!D50,46),INDEX(Properties!A$1:CB$87,Formula!F50,46),INDEX(Properties!A$1:CB$87,Formula!H50,46),INDEX(Properties!A$1:CB$87,Formula!J50,46))</f>
        <v>1.36</v>
      </c>
      <c r="EN50" s="66">
        <f>MIN(IF(INDEX(Properties!A$1:CB$87,Formula!B50,46)=0,10^6,INDEX(Properties!A$1:CB$87,Formula!B50,46)),IF(INDEX(Properties!A$1:CB$87,Formula!D50,46)=0,10^6,INDEX(Properties!A$1:CB$87,Formula!D50,46)),IF(INDEX(Properties!A$1:CB$87,Formula!F50,46)=0,10^6,INDEX(Properties!A$1:CB$87,Formula!F50,46)),IF(INDEX(Properties!A$1:CB$87,Formula!H50,46)=0,10^6,INDEX(Properties!A$1:CB$87,Formula!H50,46)),IF(INDEX(Properties!A$1:CB$87,Formula!J50,46)=0,10^6,INDEX(Properties!A$1:CB$87,Formula!J50,46)))</f>
        <v>0.31</v>
      </c>
      <c r="EO50" s="66">
        <f t="shared" si="23"/>
        <v>1.05</v>
      </c>
      <c r="EP50" s="81">
        <f>((Formula!C50)/(Formula!C50+Formula!E50+Formula!G50+Formula!I50+Formula!K50))*(INDEX(Properties!A$1:CB$87,Formula!B50,52))+((Formula!E50)/(Formula!C50+Formula!E50+Formula!G50+Formula!I50+Formula!K50))*(INDEX(Properties!A$1:CB$87,Formula!D50,52))+((Formula!G50)/(Formula!C50+Formula!E50+Formula!G50+Formula!I50+Formula!K50))*(INDEX(Properties!A$1:CB$87,Formula!F50,52))+((Formula!I50)/(Formula!C50+Formula!E50+Formula!G50+Formula!I50+Formula!K50))*(INDEX(Properties!A$1:CB$87,Formula!H50,52))+((Formula!K50)/(Formula!C50+Formula!E50+Formula!G50+Formula!I50+Formula!K50))*(INDEX(Properties!A$1:CB$87,Formula!J50,52))</f>
        <v>8.2187692307692313</v>
      </c>
      <c r="EQ50" s="81">
        <f>Formula!C50*(INDEX(Properties!A$1:CB$87,Formula!B50,52))+Formula!E50*(INDEX(Properties!A$1:CB$87,Formula!D50,52))+Formula!G50*(INDEX(Properties!A$1:CB$87,Formula!F50,52))+Formula!I50*(INDEX(Properties!A$1:CB$87,Formula!H50,52))+Formula!K50*(INDEX(Properties!A$1:CB$87,Formula!J50,52))</f>
        <v>106.84400000000001</v>
      </c>
      <c r="ER50" s="81">
        <f>VARP(IF(INDEX(Properties!A$1:CB$87,Formula!B50,52)&lt;&gt;"",INDEX(Properties!A$1:CB$87,Formula!B50,52)),IF(INDEX(Properties!A$1:CB$87,Formula!D50,52)&lt;&gt;"",INDEX(Properties!A$1:CB$87,Formula!D50,52)),IF(INDEX(Properties!A$1:CB$87,Formula!F50,52)&lt;&gt;"",INDEX(Properties!A$1:CB$87,Formula!F50,52)),IF(INDEX(Properties!A$1:CB$87,Formula!H50,52)&lt;&gt;"",INDEX(Properties!A$1:CB$87,Formula!H50,52)),IF(INDEX(Properties!A$1:CB$87,Formula!J50,52)&lt;&gt;"",INDEX(Properties!A$1:CB$87,Formula!J50,52)))</f>
        <v>145.76964784</v>
      </c>
      <c r="ES50" s="81">
        <f>MAX(INDEX(Properties!A$1:CB$87,Formula!B50,52),INDEX(Properties!A$1:CB$87,Formula!D50,52),INDEX(Properties!A$1:CB$87,Formula!F50,52),INDEX(Properties!A$1:CB$87,Formula!H50,52),INDEX(Properties!A$1:CB$87,Formula!J50,52))</f>
        <v>31.1</v>
      </c>
      <c r="ET50" s="81">
        <f>MIN(IF(INDEX(Properties!A$1:CB$87,Formula!B50,52)=0,10^6,INDEX(Properties!A$1:CB$87,Formula!B50,52)),IF(INDEX(Properties!A$1:CB$87,Formula!D50,52)=0,10^6,INDEX(Properties!A$1:CB$87,Formula!D50,52)),IF(INDEX(Properties!A$1:CB$87,Formula!F50,52)=0,10^6,INDEX(Properties!A$1:CB$87,Formula!F50,52)),IF(INDEX(Properties!A$1:CB$87,Formula!H50,52)=0,10^6,INDEX(Properties!A$1:CB$87,Formula!H50,52)),IF(INDEX(Properties!A$1:CB$87,Formula!J50,52)=0,10^6,INDEX(Properties!A$1:CB$87,Formula!J50,52)))</f>
        <v>0.79300000000000004</v>
      </c>
      <c r="EU50" s="81">
        <f t="shared" si="24"/>
        <v>30.307000000000002</v>
      </c>
      <c r="EV50" s="39">
        <f>((Formula!C50)/(Formula!C50+Formula!E50+Formula!G50+Formula!I50+Formula!K50))*(INDEX(Properties!A$1:CB$87,Formula!B50,53))+((Formula!E50)/(Formula!C50+Formula!E50+Formula!G50+Formula!I50+Formula!K50))*(INDEX(Properties!A$1:CB$87,Formula!D50,53))+((Formula!G50)/(Formula!C50+Formula!E50+Formula!G50+Formula!I50+Formula!K50))*(INDEX(Properties!A$1:CB$87,Formula!F50,53))+((Formula!I50)/(Formula!C50+Formula!E50+Formula!G50+Formula!I50+Formula!K50))*(INDEX(Properties!A$1:CB$87,Formula!H50,53))+((Formula!K50)/(Formula!C50+Formula!E50+Formula!G50+Formula!I50+Formula!K50))*(INDEX(Properties!A$1:CB$87,Formula!J50,53))</f>
        <v>357.84230769230771</v>
      </c>
      <c r="EW50" s="39">
        <f>Formula!C50*(INDEX(Properties!A$1:CB$87,Formula!B50,53))+Formula!E50*(INDEX(Properties!A$1:CB$87,Formula!D50,53))+Formula!G50*(INDEX(Properties!A$1:CB$87,Formula!F50,53))+Formula!I50*(INDEX(Properties!A$1:CB$87,Formula!H50,53))+Formula!K50*(INDEX(Properties!A$1:CB$87,Formula!J50,53))</f>
        <v>4651.9500000000007</v>
      </c>
      <c r="EX50" s="39">
        <f>VARP(IF(INDEX(Properties!A$1:CB$87,Formula!B50,53)&lt;&gt;"",INDEX(Properties!A$1:CB$87,Formula!B50,53)),IF(INDEX(Properties!A$1:CB$87,Formula!D50,53)&lt;&gt;"",INDEX(Properties!A$1:CB$87,Formula!D50,53)),IF(INDEX(Properties!A$1:CB$87,Formula!F50,53)&lt;&gt;"",INDEX(Properties!A$1:CB$87,Formula!F50,53)),IF(INDEX(Properties!A$1:CB$87,Formula!H50,53)&lt;&gt;"",INDEX(Properties!A$1:CB$87,Formula!H50,53)),IF(INDEX(Properties!A$1:CB$87,Formula!J50,53)&lt;&gt;"",INDEX(Properties!A$1:CB$87,Formula!J50,53)))</f>
        <v>207462.6286</v>
      </c>
      <c r="EY50" s="39">
        <f>MAX(INDEX(Properties!A$1:CB$87,Formula!B50,53),INDEX(Properties!A$1:CB$87,Formula!D50,53),INDEX(Properties!A$1:CB$87,Formula!F50,53),INDEX(Properties!A$1:CB$87,Formula!H50,53),INDEX(Properties!A$1:CB$87,Formula!J50,53))</f>
        <v>1193.1500000000001</v>
      </c>
      <c r="EZ50" s="39">
        <f>MIN(IF(INDEX(Properties!A$1:CB$87,Formula!B50,53)=0,10^6,INDEX(Properties!A$1:CB$87,Formula!B50,53)),IF(INDEX(Properties!A$1:CB$87,Formula!D50,53)=0,10^6,INDEX(Properties!A$1:CB$87,Formula!D50,53)),IF(INDEX(Properties!A$1:CB$87,Formula!F50,53)=0,10^6,INDEX(Properties!A$1:CB$87,Formula!F50,53)),IF(INDEX(Properties!A$1:CB$87,Formula!H50,53)=0,10^6,INDEX(Properties!A$1:CB$87,Formula!H50,53)),IF(INDEX(Properties!A$1:CB$87,Formula!J50,53)=0,10^6,INDEX(Properties!A$1:CB$87,Formula!J50,53)))</f>
        <v>54.749999999999972</v>
      </c>
      <c r="FA50" s="39">
        <f t="shared" si="25"/>
        <v>1138.4000000000001</v>
      </c>
      <c r="FB50" s="54">
        <f>((Formula!C50)/(Formula!C50+Formula!E50+Formula!G50+Formula!I50+Formula!K50))*(INDEX(Properties!A$1:CB$87,Formula!B50,54))+((Formula!E50)/(Formula!C50+Formula!E50+Formula!G50+Formula!I50+Formula!K50))*(INDEX(Properties!A$1:CB$87,Formula!D50,54))+((Formula!G50)/(Formula!C50+Formula!E50+Formula!G50+Formula!I50+Formula!K50))*(INDEX(Properties!A$1:CB$87,Formula!F50,54))+((Formula!I50)/(Formula!C50+Formula!E50+Formula!G50+Formula!I50+Formula!K50))*(INDEX(Properties!A$1:CB$87,Formula!H50,54))+((Formula!K50)/(Formula!C50+Formula!E50+Formula!G50+Formula!I50+Formula!K50))*(INDEX(Properties!A$1:CB$87,Formula!J50,54))</f>
        <v>1000.6884615384616</v>
      </c>
      <c r="FC50" s="54">
        <f>Formula!C50*(INDEX(Properties!A$1:CB$87,Formula!B50,54))+Formula!E50*(INDEX(Properties!A$1:CB$87,Formula!D50,54))+Formula!G50*(INDEX(Properties!A$1:CB$87,Formula!F50,54))+Formula!I50*(INDEX(Properties!A$1:CB$87,Formula!H50,54))+Formula!K50*(INDEX(Properties!A$1:CB$87,Formula!J50,54))</f>
        <v>13008.95</v>
      </c>
      <c r="FD50" s="54">
        <f>VARP(IF(INDEX(Properties!A$1:CB$87,Formula!B50,54)&lt;&gt;"",INDEX(Properties!A$1:CB$87,Formula!B50,54)),IF(INDEX(Properties!A$1:CB$87,Formula!D50,54)&lt;&gt;"",INDEX(Properties!A$1:CB$87,Formula!D50,54)),IF(INDEX(Properties!A$1:CB$87,Formula!F50,54)&lt;&gt;"",INDEX(Properties!A$1:CB$87,Formula!F50,54)),IF(INDEX(Properties!A$1:CB$87,Formula!H50,54)&lt;&gt;"",INDEX(Properties!A$1:CB$87,Formula!H50,54)),IF(INDEX(Properties!A$1:CB$87,Formula!J50,54)&lt;&gt;"",INDEX(Properties!A$1:CB$87,Formula!J50,54)))</f>
        <v>2077116.4854000001</v>
      </c>
      <c r="FE50" s="54">
        <f>MAX(INDEX(Properties!A$1:CB$87,Formula!B50,54),INDEX(Properties!A$1:CB$87,Formula!D50,54),INDEX(Properties!A$1:CB$87,Formula!F50,54),INDEX(Properties!A$1:CB$87,Formula!H50,54),INDEX(Properties!A$1:CB$87,Formula!J50,54))</f>
        <v>3727.15</v>
      </c>
      <c r="FF50" s="54">
        <f>MIN(IF(INDEX(Properties!A$1:CB$87,Formula!B50,54)=0,10^6,INDEX(Properties!A$1:CB$87,Formula!B50,54)),IF(INDEX(Properties!A$1:CB$87,Formula!D50,54)=0,10^6,INDEX(Properties!A$1:CB$87,Formula!D50,54)),IF(INDEX(Properties!A$1:CB$87,Formula!F50,54)=0,10^6,INDEX(Properties!A$1:CB$87,Formula!F50,54)),IF(INDEX(Properties!A$1:CB$87,Formula!H50,54)=0,10^6,INDEX(Properties!A$1:CB$87,Formula!H50,54)),IF(INDEX(Properties!A$1:CB$87,Formula!J50,54)=0,10^6,INDEX(Properties!A$1:CB$87,Formula!J50,54)))</f>
        <v>90.149999999999977</v>
      </c>
      <c r="FG50" s="54">
        <f t="shared" si="26"/>
        <v>3637</v>
      </c>
      <c r="FH50" s="69">
        <f>((Formula!C50)/(Formula!C50+Formula!E50+Formula!G50+Formula!I50+Formula!K50))*(INDEX(Properties!A$1:CB$87,Formula!B50,55))+((Formula!E50)/(Formula!C50+Formula!E50+Formula!G50+Formula!I50+Formula!K50))*(INDEX(Properties!A$1:CB$87,Formula!D50,55))+((Formula!G50)/(Formula!C50+Formula!E50+Formula!G50+Formula!I50+Formula!K50))*(INDEX(Properties!A$1:CB$87,Formula!F50,55))+((Formula!I50)/(Formula!C50+Formula!E50+Formula!G50+Formula!I50+Formula!K50))*(INDEX(Properties!A$1:CB$87,Formula!H50,55))+((Formula!K50)/(Formula!C50+Formula!E50+Formula!G50+Formula!I50+Formula!K50))*(INDEX(Properties!A$1:CB$87,Formula!J50,55))</f>
        <v>1.7001107692307693</v>
      </c>
      <c r="FI50" s="69">
        <f>Formula!C50*(INDEX(Properties!A$1:CB$87,Formula!B50,55))+Formula!E50*(INDEX(Properties!A$1:CB$87,Formula!D50,54))+Formula!G50*(INDEX(Properties!A$1:CB$87,Formula!F50,55))+Formula!I50*(INDEX(Properties!A$1:CB$87,Formula!H50,55))+Formula!K50*(INDEX(Properties!A$1:CB$87,Formula!J50,55))</f>
        <v>1124.76144</v>
      </c>
      <c r="FJ50" s="69">
        <f>VARP(IF(INDEX(Properties!A$1:CB$87,Formula!B50,55)&lt;&gt;"",INDEX(Properties!A$1:CB$87,Formula!B50,55)),IF(INDEX(Properties!A$1:CB$87,Formula!D50,55)&lt;&gt;"",INDEX(Properties!A$1:CB$87,Formula!D50,55)),IF(INDEX(Properties!A$1:CB$87,Formula!F50,55)&lt;&gt;"",INDEX(Properties!A$1:CB$87,Formula!F50,55)),IF(INDEX(Properties!A$1:CB$87,Formula!H50,55)&lt;&gt;"",INDEX(Properties!A$1:CB$87,Formula!H50,55)),IF(INDEX(Properties!A$1:CB$87,Formula!J50,55)&lt;&gt;"",INDEX(Properties!A$1:CB$87,Formula!J50,55)))</f>
        <v>5.6852325591839996</v>
      </c>
      <c r="FK50" s="69">
        <f>MAX(INDEX(Properties!A$1:CB$87,Formula!B50,55),INDEX(Properties!A$1:CB$87,Formula!D50,55),INDEX(Properties!A$1:CB$87,Formula!F50,55),INDEX(Properties!A$1:CB$87,Formula!H50,55),INDEX(Properties!A$1:CB$87,Formula!J50,55))</f>
        <v>6.15</v>
      </c>
      <c r="FL50" s="69">
        <f>MIN(IF(INDEX(Properties!A$1:CB$87,Formula!B50,55)=0,10^6,INDEX(Properties!A$1:CB$87,Formula!B50,55)),IF(INDEX(Properties!A$1:CB$87,Formula!D50,55)=0,10^6,INDEX(Properties!A$1:CB$87,Formula!D50,55)),IF(INDEX(Properties!A$1:CB$87,Formula!F50,55)=0,10^6,INDEX(Properties!A$1:CB$87,Formula!F50,55)),IF(INDEX(Properties!A$1:CB$87,Formula!H50,55)=0,10^6,INDEX(Properties!A$1:CB$87,Formula!H50,55)),IF(INDEX(Properties!A$1:CB$87,Formula!J50,55)=0,10^6,INDEX(Properties!A$1:CB$87,Formula!J50,55)))</f>
        <v>1.4300000000000001E-3</v>
      </c>
      <c r="FM50" s="69">
        <f t="shared" si="27"/>
        <v>6.1485700000000003</v>
      </c>
      <c r="FN50" s="42">
        <f>((Formula!C50)/(Formula!C50+Formula!E50+Formula!G50+Formula!I50+Formula!K50))*(INDEX(Properties!A$1:CB$87,Formula!B50,56))+((Formula!E50)/(Formula!C50+Formula!E50+Formula!G50+Formula!I50+Formula!K50))*(INDEX(Properties!A$1:CB$87,Formula!D50,56))+((Formula!G50)/(Formula!C50+Formula!E50+Formula!G50+Formula!I50+Formula!K50))*(INDEX(Properties!A$1:CB$87,Formula!F50,56))+((Formula!I50)/(Formula!C50+Formula!E50+Formula!G50+Formula!I50+Formula!K50))*(INDEX(Properties!A$1:CB$87,Formula!H50,56))+((Formula!K50)/(Formula!C50+Formula!E50+Formula!G50+Formula!I50+Formula!K50))*(INDEX(Properties!A$1:CB$87,Formula!J50,56))</f>
        <v>0.72846153846153849</v>
      </c>
      <c r="FO50" s="42">
        <f>Formula!C50*(INDEX(Properties!A$1:CB$87,Formula!B50,56))+Formula!E50*(INDEX(Properties!A$1:CB$87,Formula!D50,56))+Formula!G50*(INDEX(Properties!A$1:CB$87,Formula!F50,56))+Formula!I50*(INDEX(Properties!A$1:CB$87,Formula!H50,56))+Formula!K50*(INDEX(Properties!A$1:CB$87,Formula!J50,56))</f>
        <v>9.4700000000000006</v>
      </c>
      <c r="FP50" s="42">
        <f>VARP(IF(INDEX(Properties!A$1:CB$87,Formula!B50,56)&lt;&gt;"",INDEX(Properties!A$1:CB$87,Formula!B50,56)),IF(INDEX(Properties!A$1:CB$87,Formula!D50,56)&lt;&gt;"",INDEX(Properties!A$1:CB$87,Formula!D50,56)),IF(INDEX(Properties!A$1:CB$87,Formula!F50,56)&lt;&gt;"",INDEX(Properties!A$1:CB$87,Formula!F50,56)),IF(INDEX(Properties!A$1:CB$87,Formula!H50,56)&lt;&gt;"",INDEX(Properties!A$1:CB$87,Formula!H50,56)),IF(INDEX(Properties!A$1:CB$87,Formula!J50,56)&lt;&gt;"",INDEX(Properties!A$1:CB$87,Formula!J50,56)))</f>
        <v>0.15370400000000004</v>
      </c>
      <c r="FQ50" s="42">
        <f>MAX(INDEX(Properties!A$1:CB$87,Formula!B50,56),INDEX(Properties!A$1:CB$87,Formula!D50,56),INDEX(Properties!A$1:CB$87,Formula!F50,56),INDEX(Properties!A$1:CB$87,Formula!H50,56),INDEX(Properties!A$1:CB$87,Formula!J50,56))</f>
        <v>0.92</v>
      </c>
      <c r="FR50" s="42">
        <f>MIN(IF(INDEX(Properties!A$1:CB$87,Formula!B50,56)=0,10^6,INDEX(Properties!A$1:CB$87,Formula!B50,56)),IF(INDEX(Properties!A$1:CB$87,Formula!D50,56)=0,10^6,INDEX(Properties!A$1:CB$87,Formula!D50,56)),IF(INDEX(Properties!A$1:CB$87,Formula!F50,56)=0,10^6,INDEX(Properties!A$1:CB$87,Formula!F50,56)),IF(INDEX(Properties!A$1:CB$87,Formula!H50,56)=0,10^6,INDEX(Properties!A$1:CB$87,Formula!H50,56)),IF(INDEX(Properties!A$1:CB$87,Formula!J50,56)=0,10^6,INDEX(Properties!A$1:CB$87,Formula!J50,56)))</f>
        <v>0.19</v>
      </c>
      <c r="FS50" s="42">
        <f t="shared" si="28"/>
        <v>0.73</v>
      </c>
      <c r="FT50" s="60">
        <f>((Formula!C50)/(Formula!C50+Formula!E50+Formula!G50+Formula!I50+Formula!K50))*(INDEX(Properties!A$1:CB$87,Formula!B50,57))+((Formula!E50)/(Formula!C50+Formula!E50+Formula!G50+Formula!I50+Formula!K50))*(INDEX(Properties!A$1:CB$87,Formula!D50,57))+((Formula!G50)/(Formula!C50+Formula!E50+Formula!G50+Formula!I50+Formula!K50))*(INDEX(Properties!A$1:CB$87,Formula!F50,57))+((Formula!I50)/(Formula!C50+Formula!E50+Formula!G50+Formula!I50+Formula!K50))*(INDEX(Properties!A$1:CB$87,Formula!H50,57))+((Formula!K50)/(Formula!C50+Formula!E50+Formula!G50+Formula!I50+Formula!K50))*(INDEX(Properties!A$1:CB$87,Formula!J50,57))</f>
        <v>1.6688246153846154</v>
      </c>
      <c r="FU50" s="60">
        <f>Formula!C50*(INDEX(Properties!A$1:CB$87,Formula!B50,57))+Formula!E50*(INDEX(Properties!A$1:CB$87,Formula!D50,57))+Formula!G50*(INDEX(Properties!A$1:CB$87,Formula!F50,57))+Formula!I50*(INDEX(Properties!A$1:CB$87,Formula!H50,57))+Formula!K50*(INDEX(Properties!A$1:CB$87,Formula!J50,57))</f>
        <v>21.69472</v>
      </c>
      <c r="FV50" s="60">
        <f>VARP(IF(INDEX(Properties!A$1:CB$87,Formula!B50,57)&lt;&gt;"",INDEX(Properties!A$1:CB$87,Formula!B50,57)),IF(INDEX(Properties!A$1:CB$87,Formula!D50,57)&lt;&gt;"",INDEX(Properties!A$1:CB$87,Formula!D50,57)),IF(INDEX(Properties!A$1:CB$87,Formula!F50,57)&lt;&gt;"",INDEX(Properties!A$1:CB$87,Formula!F50,57)),IF(INDEX(Properties!A$1:CB$87,Formula!H50,57)&lt;&gt;"",INDEX(Properties!A$1:CB$87,Formula!H50,57)),IF(INDEX(Properties!A$1:CB$87,Formula!J50,57)&lt;&gt;"",INDEX(Properties!A$1:CB$87,Formula!J50,57)))</f>
        <v>5.7794152788959998</v>
      </c>
      <c r="FW50" s="60">
        <f>MAX(INDEX(Properties!A$1:CB$87,Formula!B50,57),INDEX(Properties!A$1:CB$87,Formula!D50,57),INDEX(Properties!A$1:CB$87,Formula!F50,57),INDEX(Properties!A$1:CB$87,Formula!H50,57),INDEX(Properties!A$1:CB$87,Formula!J50,57))</f>
        <v>6.2</v>
      </c>
      <c r="FX50" s="60">
        <f>MIN(IF(INDEX(Properties!A$1:CB$87,Formula!B50,57)=0,10^6,INDEX(Properties!A$1:CB$87,Formula!B50,57)),IF(INDEX(Properties!A$1:CB$87,Formula!D50,57)=0,10^6,INDEX(Properties!A$1:CB$87,Formula!D50,57)),IF(INDEX(Properties!A$1:CB$87,Formula!F50,57)=0,10^6,INDEX(Properties!A$1:CB$87,Formula!F50,57)),IF(INDEX(Properties!A$1:CB$87,Formula!H50,57)=0,10^6,INDEX(Properties!A$1:CB$87,Formula!H50,57)),IF(INDEX(Properties!A$1:CB$87,Formula!J50,57)=0,10^6,INDEX(Properties!A$1:CB$87,Formula!J50,57)))</f>
        <v>0.22259000000000001</v>
      </c>
      <c r="FY50" s="60">
        <f t="shared" si="29"/>
        <v>5.9774099999999999</v>
      </c>
      <c r="FZ50" s="72">
        <f>((Formula!C50)/(Formula!C50+Formula!E50+Formula!G50+Formula!I50+Formula!K50))*(INDEX(Properties!A$1:CB$87,Formula!B50,60))+((Formula!E50)/(Formula!C50+Formula!E50+Formula!G50+Formula!I50+Formula!K50))*(INDEX(Properties!A$1:CB$87,Formula!D50,60))+((Formula!G50)/(Formula!C50+Formula!E50+Formula!G50+Formula!I50+Formula!K50))*(INDEX(Properties!A$1:CB$87,Formula!F50,60))+((Formula!I50)/(Formula!C50+Formula!E50+Formula!G50+Formula!I50+Formula!K50))*(INDEX(Properties!A$1:CB$87,Formula!H50,60))+((Formula!K50)/(Formula!C50+Formula!E50+Formula!G50+Formula!I50+Formula!K50))*(INDEX(Properties!A$1:CB$87,Formula!J50,60))</f>
        <v>3.1679938461538462</v>
      </c>
      <c r="GA50" s="72">
        <f>Formula!C50*(INDEX(Properties!A$1:CB$87,Formula!B50,60))+Formula!E50*(INDEX(Properties!A$1:CB$87,Formula!D50,60))+Formula!G50*(INDEX(Properties!A$1:CB$87,Formula!F50,60))+Formula!I50*(INDEX(Properties!A$1:CB$87,Formula!H50,60))+Formula!K50*(INDEX(Properties!A$1:CB$87,Formula!J50,60))</f>
        <v>41.183920000000001</v>
      </c>
      <c r="GB50" s="72">
        <f>VARP(IF(INDEX(Properties!A$1:CB$87,Formula!B50,60)&lt;&gt;"",INDEX(Properties!A$1:CB$87,Formula!B50,60)),IF(INDEX(Properties!A$1:CB$87,Formula!D50,60)&lt;&gt;"",INDEX(Properties!A$1:CB$87,Formula!D50,60)),IF(INDEX(Properties!A$1:CB$87,Formula!F50,60)&lt;&gt;"",INDEX(Properties!A$1:CB$87,Formula!F50,60)),IF(INDEX(Properties!A$1:CB$87,Formula!H50,60)&lt;&gt;"",INDEX(Properties!A$1:CB$87,Formula!H50,60)),IF(INDEX(Properties!A$1:CB$87,Formula!J50,60)&lt;&gt;"",INDEX(Properties!A$1:CB$87,Formula!J50,60)))</f>
        <v>28.885768492416002</v>
      </c>
      <c r="GC50" s="72">
        <f>MAX(INDEX(Properties!A$1:CB$87,Formula!B50,60),INDEX(Properties!A$1:CB$87,Formula!D50,60),INDEX(Properties!A$1:CB$87,Formula!F50,60),INDEX(Properties!A$1:CB$87,Formula!H50,60),INDEX(Properties!A$1:CB$87,Formula!J50,60))</f>
        <v>13.5</v>
      </c>
      <c r="GD50" s="72">
        <f>MIN(IF(INDEX(Properties!A$1:CB$87,Formula!B50,60)=0,10^6,INDEX(Properties!A$1:CB$87,Formula!B50,60)),IF(INDEX(Properties!A$1:CB$87,Formula!D50,60)=0,10^6,INDEX(Properties!A$1:CB$87,Formula!D50,60)),IF(INDEX(Properties!A$1:CB$87,Formula!F50,60)=0,10^6,INDEX(Properties!A$1:CB$87,Formula!F50,60)),IF(INDEX(Properties!A$1:CB$87,Formula!H50,60)=0,10^6,INDEX(Properties!A$1:CB$87,Formula!H50,60)),IF(INDEX(Properties!A$1:CB$87,Formula!J50,60)=0,10^6,INDEX(Properties!A$1:CB$87,Formula!J50,60)))</f>
        <v>2.674E-2</v>
      </c>
      <c r="GE50" s="72">
        <f t="shared" si="30"/>
        <v>13.47326</v>
      </c>
      <c r="GF50" s="51">
        <f>((Formula!C50)/(Formula!C50+Formula!E50+Formula!G50+Formula!I50+Formula!K50))*(INDEX(Properties!A$1:CB$87,Formula!B50,62))+((Formula!E50)/(Formula!C50+Formula!E50+Formula!G50+Formula!I50+Formula!K50))*(INDEX(Properties!A$1:CB$87,Formula!D50,62))+((Formula!G50)/(Formula!C50+Formula!E50+Formula!G50+Formula!I50+Formula!K50))*(INDEX(Properties!A$1:CB$87,Formula!F50,62))+((Formula!I50)/(Formula!C50+Formula!E50+Formula!G50+Formula!I50+Formula!K50))*(INDEX(Properties!A$1:CB$87,Formula!H50,62))+((Formula!K50)/(Formula!C50+Formula!E50+Formula!G50+Formula!I50+Formula!K50))*(INDEX(Properties!A$1:CB$87,Formula!J50,62))</f>
        <v>3.1715384615384616</v>
      </c>
      <c r="GG50" s="51">
        <f>Formula!C50*(INDEX(Properties!A$1:CB$87,Formula!B50,62))+Formula!E50*(INDEX(Properties!A$1:CB$87,Formula!D50,62))+Formula!G50*(INDEX(Properties!A$1:CB$87,Formula!F50,62))+Formula!I50*(INDEX(Properties!A$1:CB$87,Formula!H50,62))+Formula!K50*(INDEX(Properties!A$1:CB$87,Formula!J50,62))</f>
        <v>41.230000000000004</v>
      </c>
      <c r="GH50" s="51">
        <f>VARP(IF(INDEX(Properties!A$1:CB$87,Formula!B50,62)&lt;&gt;"",INDEX(Properties!A$1:CB$87,Formula!B50,62)),IF(INDEX(Properties!A$1:CB$87,Formula!D50,62)&lt;&gt;"",INDEX(Properties!A$1:CB$87,Formula!D50,62)),IF(INDEX(Properties!A$1:CB$87,Formula!F50,62)&lt;&gt;"",INDEX(Properties!A$1:CB$87,Formula!F50,62)),IF(INDEX(Properties!A$1:CB$87,Formula!H50,62)&lt;&gt;"",INDEX(Properties!A$1:CB$87,Formula!H50,62)),IF(INDEX(Properties!A$1:CB$87,Formula!J50,62)&lt;&gt;"",INDEX(Properties!A$1:CB$87,Formula!J50,62)))</f>
        <v>3.2952240000000002</v>
      </c>
      <c r="GI50" s="51">
        <f>MAX(INDEX(Properties!A$1:CB$87,Formula!B50,62),INDEX(Properties!A$1:CB$87,Formula!D50,62),INDEX(Properties!A$1:CB$87,Formula!F50,62),INDEX(Properties!A$1:CB$87,Formula!H50,62),INDEX(Properties!A$1:CB$87,Formula!J50,62))</f>
        <v>4.47</v>
      </c>
      <c r="GJ50" s="51">
        <f>MIN(IF(INDEX(Properties!A$1:CB$87,Formula!B50,62)=0,10^6,INDEX(Properties!A$1:CB$87,Formula!B50,62)),IF(INDEX(Properties!A$1:CB$87,Formula!D50,62)=0,10^6,INDEX(Properties!A$1:CB$87,Formula!D50,62)),IF(INDEX(Properties!A$1:CB$87,Formula!F50,62)=0,10^6,INDEX(Properties!A$1:CB$87,Formula!F50,62)),IF(INDEX(Properties!A$1:CB$87,Formula!H50,62)=0,10^6,INDEX(Properties!A$1:CB$87,Formula!H50,62)),IF(INDEX(Properties!A$1:CB$87,Formula!J50,62)=0,10^6,INDEX(Properties!A$1:CB$87,Formula!J50,62)))</f>
        <v>2.62</v>
      </c>
      <c r="GK50" s="51">
        <f t="shared" si="31"/>
        <v>1.8499999999999996</v>
      </c>
      <c r="GL50" s="51">
        <f>Formula!P50</f>
        <v>166</v>
      </c>
      <c r="GM50" s="57">
        <f>Formula!O50</f>
        <v>5</v>
      </c>
      <c r="GN50" s="51">
        <f>Formula!N50</f>
        <v>5.0000000000000001E-3</v>
      </c>
    </row>
    <row r="51" spans="1:196" x14ac:dyDescent="0.3">
      <c r="A51" s="84" t="str">
        <f>Formula!A51</f>
        <v>Sr2InTaO6</v>
      </c>
      <c r="B51" s="89">
        <f>((Formula!C51)/(Formula!C51+Formula!E51+Formula!G51+Formula!I51+Formula!K51))*(INDEX(Properties!A$1:CB$87,Formula!B51,3))+((Formula!E51)/(Formula!C51+Formula!E51+Formula!G51+Formula!I51+Formula!K51))*(INDEX(Properties!A$1:CB$87,Formula!D51,3))+((Formula!G51)/(Formula!C51+Formula!E51+Formula!G51+Formula!I51+Formula!K51))*(INDEX(Properties!A$1:CB$87,Formula!F51,3))+((Formula!I51)/(Formula!C51+Formula!E51+Formula!G51+Formula!I51+Formula!K51))*(INDEX(Properties!A$1:CB$87,Formula!H51,3))+((Formula!K51)/(Formula!C51+Formula!E51+Formula!G51+Formula!I51+Formula!K51))*(INDEX(Properties!A$1:CB$87,Formula!J51,3))</f>
        <v>56.700229999999998</v>
      </c>
      <c r="C51" s="85">
        <f>Formula!C51*(INDEX(Properties!A$1:CB$87,Formula!B51,3))+Formula!E51*(INDEX(Properties!A$1:CB$87,Formula!D51,3))+Formula!G51*(INDEX(Properties!A$1:CB$87,Formula!F51,3))+Formula!I51*(INDEX(Properties!A$1:CB$87,Formula!H51,3))+Formula!K51*(INDEX(Properties!A$1:CB$87,Formula!J51,3))</f>
        <v>567.00229999999999</v>
      </c>
      <c r="D51" s="85">
        <f>VARP(IF(INDEX(Properties!A$1:CB$87,Formula!B51,3)&lt;&gt;"",INDEX(Properties!A$1:CB$87,Formula!B51,3)),IF(INDEX(Properties!A$1:CB$87,Formula!D51,3)&lt;&gt;"",INDEX(Properties!A$1:CB$87,Formula!D51,3)),IF(INDEX(Properties!A$1:CB$87,Formula!F51,3)&lt;&gt;"",INDEX(Properties!A$1:CB$87,Formula!F51,3)),IF(INDEX(Properties!A$1:CB$87,Formula!H51,3)&lt;&gt;"",INDEX(Properties!A$1:CB$87,Formula!H51,3)),IF(INDEX(Properties!A$1:CB$87,Formula!J51,3)&lt;&gt;"",INDEX(Properties!A$1:CB$87,Formula!J51,3)))</f>
        <v>4391.3674535103992</v>
      </c>
      <c r="E51" s="85">
        <f>MAX(INDEX(Properties!A$1:CB$87,Formula!B51,3),INDEX(Properties!A$1:CB$87,Formula!D51,3),INDEX(Properties!A$1:CB$87,Formula!F51,3),INDEX(Properties!A$1:CB$87,Formula!H51,3),INDEX(Properties!A$1:CB$87,Formula!J51,3))</f>
        <v>180.9479</v>
      </c>
      <c r="F51" s="85">
        <f>MIN(IF(INDEX(Properties!A$1:CB$87,Formula!B51,3)=0,10^6,INDEX(Properties!A$1:CB$87,Formula!B51,3)),IF(INDEX(Properties!A$1:CB$87,Formula!D51,3)=0,10^6,INDEX(Properties!A$1:CB$87,Formula!D51,3)),IF(INDEX(Properties!A$1:CB$87,Formula!F51,3)=0,10^6,INDEX(Properties!A$1:CB$87,Formula!F51,3)),IF(INDEX(Properties!A$1:CB$87,Formula!H51,3)=0,10^6,INDEX(Properties!A$1:CB$87,Formula!H51,3)),IF(INDEX(Properties!A$1:CB$87,Formula!J51,3)=0,10^6,INDEX(Properties!A$1:CB$87,Formula!J51,3)))</f>
        <v>15.9994</v>
      </c>
      <c r="G51" s="85">
        <f t="shared" si="0"/>
        <v>164.9485</v>
      </c>
      <c r="H51" s="87">
        <f>((Formula!C51)/(Formula!C51+Formula!E51+Formula!G51+Formula!I51+Formula!K51))*(INDEX(Properties!A$1:CB$87,Formula!B51,4))+((Formula!E51)/(Formula!C51+Formula!E51+Formula!G51+Formula!I51+Formula!K51))*(INDEX(Properties!A$1:CB$87,Formula!D51,4))+((Formula!G51)/(Formula!C51+Formula!E51+Formula!G51+Formula!I51+Formula!K51))*(INDEX(Properties!A$1:CB$87,Formula!F51,4))+((Formula!I51)/(Formula!C51+Formula!E51+Formula!G51+Formula!I51+Formula!K51))*(INDEX(Properties!A$1:CB$87,Formula!H51,4))+((Formula!K51)/(Formula!C51+Formula!E51+Formula!G51+Formula!I51+Formula!K51))*(INDEX(Properties!A$1:CB$87,Formula!J51,4))</f>
        <v>24.6</v>
      </c>
      <c r="I51" s="87">
        <f>Formula!C51*(INDEX(Properties!A$1:CB$87,Formula!B51,4))+Formula!E51*(INDEX(Properties!A$1:CB$87,Formula!D51,4))+Formula!G51*(INDEX(Properties!A$1:CB$87,Formula!F51,4))+Formula!I51*(INDEX(Properties!A$1:CB$87,Formula!H51,4))+Formula!K51*(INDEX(Properties!A$1:CB$87,Formula!J51,4))</f>
        <v>246</v>
      </c>
      <c r="J51" s="87">
        <f>VARP(IF(INDEX(Properties!A$1:CB$87,Formula!B51,4)&lt;&gt;"",INDEX(Properties!A$1:CB$87,Formula!B51,4)),IF(INDEX(Properties!A$1:CB$87,Formula!D51,4)&lt;&gt;"",INDEX(Properties!A$1:CB$87,Formula!D51,4)),IF(INDEX(Properties!A$1:CB$87,Formula!F51,4)&lt;&gt;"",INDEX(Properties!A$1:CB$87,Formula!F51,4)),IF(INDEX(Properties!A$1:CB$87,Formula!H51,4)&lt;&gt;"",INDEX(Properties!A$1:CB$87,Formula!H51,4)),IF(INDEX(Properties!A$1:CB$87,Formula!J51,4)&lt;&gt;"",INDEX(Properties!A$1:CB$87,Formula!J51,4)))</f>
        <v>718.64</v>
      </c>
      <c r="K51" s="87">
        <f>MAX(INDEX(Properties!A$1:CB$87,Formula!B51,4),INDEX(Properties!A$1:CB$87,Formula!D51,4),INDEX(Properties!A$1:CB$87,Formula!F51,4),INDEX(Properties!A$1:CB$87,Formula!H51,4),INDEX(Properties!A$1:CB$87,Formula!J51,4))</f>
        <v>73</v>
      </c>
      <c r="L51" s="87">
        <f>MIN(IF(INDEX(Properties!A$1:CB$87,Formula!B51,4)=0,10^6,INDEX(Properties!A$1:CB$87,Formula!B51,4)),IF(INDEX(Properties!A$1:CB$87,Formula!D51,4)=0,10^6,INDEX(Properties!A$1:CB$87,Formula!D51,4)),IF(INDEX(Properties!A$1:CB$87,Formula!F51,4)=0,10^6,INDEX(Properties!A$1:CB$87,Formula!F51,4)),IF(INDEX(Properties!A$1:CB$87,Formula!H51,4)=0,10^6,INDEX(Properties!A$1:CB$87,Formula!H51,4)),IF(INDEX(Properties!A$1:CB$87,Formula!J51,4)=0,10^6,INDEX(Properties!A$1:CB$87,Formula!J51,4)))</f>
        <v>8</v>
      </c>
      <c r="M51" s="87">
        <f t="shared" si="1"/>
        <v>65</v>
      </c>
      <c r="N51" s="89">
        <f>((Formula!C51)/(Formula!C51+Formula!E51+Formula!G51+Formula!I51+Formula!K51))*(INDEX(Properties!A$1:CB$87,Formula!B51,5))+((Formula!E51)/(Formula!C51+Formula!E51+Formula!G51+Formula!I51+Formula!K51))*(INDEX(Properties!A$1:CB$87,Formula!D51,5))+((Formula!G51)/(Formula!C51+Formula!E51+Formula!G51+Formula!I51+Formula!K51))*(INDEX(Properties!A$1:CB$87,Formula!F51,5))+((Formula!I51)/(Formula!C51+Formula!E51+Formula!G51+Formula!I51+Formula!K51))*(INDEX(Properties!A$1:CB$87,Formula!H51,5))+((Formula!K51)/(Formula!C51+Formula!E51+Formula!G51+Formula!I51+Formula!K51))*(INDEX(Properties!A$1:CB$87,Formula!J51,5))</f>
        <v>3.3</v>
      </c>
      <c r="O51" s="89">
        <f>Formula!C51*(INDEX(Properties!A$1:CB$87,Formula!B51,5))+Formula!E51*(INDEX(Properties!A$1:CB$87,Formula!D51,5))+Formula!G51*(INDEX(Properties!A$1:CB$87,Formula!F51,5))+Formula!I51*(INDEX(Properties!A$1:CB$87,Formula!H51,5))+Formula!K51*(INDEX(Properties!A$1:CB$87,Formula!J51,5))</f>
        <v>33</v>
      </c>
      <c r="P51" s="89">
        <f>VARP(IF(INDEX(Properties!A$1:CB$87,Formula!B51,5)&lt;&gt;"",INDEX(Properties!A$1:CB$87,Formula!B51,5)),IF(INDEX(Properties!A$1:CB$87,Formula!D51,5)&lt;&gt;"",INDEX(Properties!A$1:CB$87,Formula!D51,5)),IF(INDEX(Properties!A$1:CB$87,Formula!F51,5)&lt;&gt;"",INDEX(Properties!A$1:CB$87,Formula!F51,5)),IF(INDEX(Properties!A$1:CB$87,Formula!H51,5)&lt;&gt;"",INDEX(Properties!A$1:CB$87,Formula!H51,5)),IF(INDEX(Properties!A$1:CB$87,Formula!J51,5)&lt;&gt;"",INDEX(Properties!A$1:CB$87,Formula!J51,5)))</f>
        <v>5.04</v>
      </c>
      <c r="Q51" s="89">
        <f>MAX(INDEX(Properties!A$1:CB$87,Formula!B51,5),INDEX(Properties!A$1:CB$87,Formula!D51,5),INDEX(Properties!A$1:CB$87,Formula!F51,5),INDEX(Properties!A$1:CB$87,Formula!H51,5),INDEX(Properties!A$1:CB$87,Formula!J51,5))</f>
        <v>6</v>
      </c>
      <c r="R51" s="89">
        <f>MIN(IF(INDEX(Properties!A$1:CB$87,Formula!B51,5)=0,10^6,INDEX(Properties!A$1:CB$87,Formula!B51,5)),IF(INDEX(Properties!A$1:CB$87,Formula!D51,5)=0,10^6,INDEX(Properties!A$1:CB$87,Formula!D51,5)),IF(INDEX(Properties!A$1:CB$87,Formula!F51,5)=0,10^6,INDEX(Properties!A$1:CB$87,Formula!F51,5)),IF(INDEX(Properties!A$1:CB$87,Formula!H51,5)=0,10^6,INDEX(Properties!A$1:CB$87,Formula!H51,5)),IF(INDEX(Properties!A$1:CB$87,Formula!J51,5)=0,10^6,INDEX(Properties!A$1:CB$87,Formula!J51,5)))</f>
        <v>2</v>
      </c>
      <c r="S51" s="89">
        <f t="shared" si="2"/>
        <v>4</v>
      </c>
      <c r="T51" s="60">
        <f>((Formula!C51)/(Formula!C51+Formula!E51+Formula!G51+Formula!I51+Formula!K51))*(INDEX(Properties!A$1:CB$87,Formula!B51,6))+((Formula!E51)/(Formula!C51+Formula!E51+Formula!G51+Formula!I51+Formula!K51))*(INDEX(Properties!A$1:CB$87,Formula!D51,6))+((Formula!G51)/(Formula!C51+Formula!E51+Formula!G51+Formula!I51+Formula!K51))*(INDEX(Properties!A$1:CB$87,Formula!F51,6))+((Formula!I51)/(Formula!C51+Formula!E51+Formula!G51+Formula!I51+Formula!K51))*(INDEX(Properties!A$1:CB$87,Formula!H51,6))+((Formula!K51)/(Formula!C51+Formula!E51+Formula!G51+Formula!I51+Formula!K51))*(INDEX(Properties!A$1:CB$87,Formula!J51,6))</f>
        <v>11.8</v>
      </c>
      <c r="U51" s="60">
        <f>Formula!C51*(INDEX(Properties!A$1:CB$87,Formula!B51,6))+Formula!E51*(INDEX(Properties!A$1:CB$87,Formula!D51,6))+Formula!G51*(INDEX(Properties!A$1:CB$87,Formula!F51,6))+Formula!I51*(INDEX(Properties!A$1:CB$87,Formula!H51,6))+Formula!K51*(INDEX(Properties!A$1:CB$87,Formula!J51,6))</f>
        <v>118</v>
      </c>
      <c r="V51" s="89">
        <f>VARP(IF(INDEX(Properties!A$1:CB$87,Formula!B51,6)&lt;&gt;"",INDEX(Properties!A$1:CB$87,Formula!B51,6)),IF(INDEX(Properties!A$1:CB$87,Formula!D51,6)&lt;&gt;"",INDEX(Properties!A$1:CB$87,Formula!D51,6)),IF(INDEX(Properties!A$1:CB$87,Formula!F51,6)&lt;&gt;"",INDEX(Properties!A$1:CB$87,Formula!F51,6)),IF(INDEX(Properties!A$1:CB$87,Formula!H51,6)&lt;&gt;"",INDEX(Properties!A$1:CB$87,Formula!H51,6)),IF(INDEX(Properties!A$1:CB$87,Formula!J51,6)&lt;&gt;"",INDEX(Properties!A$1:CB$87,Formula!J51,6)))</f>
        <v>38.96</v>
      </c>
      <c r="W51" s="60">
        <f>MAX(INDEX(Properties!A$1:CB$87,Formula!B51,6),INDEX(Properties!A$1:CB$87,Formula!D51,6),INDEX(Properties!A$1:CB$87,Formula!F51,6),INDEX(Properties!A$1:CB$87,Formula!H51,4),INDEX(Properties!A$1:CB$87,Formula!J51,6))</f>
        <v>13</v>
      </c>
      <c r="X51" s="60">
        <f>MIN(IF(INDEX(Properties!A$1:CB$87,Formula!B51,6)=0,10^6,INDEX(Properties!A$1:CB$87,Formula!B51,6)),IF(INDEX(Properties!A$1:CB$87,Formula!D51,6)=0,10^6,INDEX(Properties!A$1:CB$87,Formula!D51,6)),IF(INDEX(Properties!A$1:CB$87,Formula!F51,6)=0,10^6,INDEX(Properties!A$1:CB$87,Formula!F51,6)),IF(INDEX(Properties!A$1:CB$87,Formula!H51,6)=0,10^6,INDEX(Properties!A$1:CB$87,Formula!H51,6)),IF(INDEX(Properties!A$1:CB$87,Formula!J51,6)=0,10^6,INDEX(Properties!A$1:CB$87,Formula!J51,6)))</f>
        <v>2</v>
      </c>
      <c r="Y51" s="60">
        <f t="shared" si="3"/>
        <v>11</v>
      </c>
      <c r="Z51" s="72">
        <f>((Formula!C51)/(Formula!C51+Formula!E51+Formula!G51+Formula!I51+Formula!K51))*(INDEX(Properties!A$1:CB$87,Formula!B51,9))+((Formula!E51)/(Formula!C51+Formula!E51+Formula!G51+Formula!I51+Formula!K51))*(INDEX(Properties!A$1:CB$87,Formula!D51,9))+((Formula!G51)/(Formula!C51+Formula!E51+Formula!G51+Formula!I51+Formula!K51))*(INDEX(Properties!A$1:CB$87,Formula!F51,9))+((Formula!I51)/(Formula!C51+Formula!E51+Formula!G51+Formula!I51+Formula!K51))*(INDEX(Properties!A$1:CB$87,Formula!H51,9))+((Formula!K51)/(Formula!C51+Formula!E51+Formula!G51+Formula!I51+Formula!K51))*(INDEX(Properties!A$1:CB$87,Formula!J51,9))</f>
        <v>66.099999999999994</v>
      </c>
      <c r="AA51" s="72">
        <f>Formula!C51*(INDEX(Properties!A$1:CB$87,Formula!B51,9))+Formula!E51*(INDEX(Properties!A$1:CB$87,Formula!D51,9))+Formula!G51*(INDEX(Properties!A$1:CB$87,Formula!F51,9))+Formula!I51*(INDEX(Properties!A$1:CB$87,Formula!H51,9))+Formula!K51*(INDEX(Properties!A$1:CB$87,Formula!J51,9))</f>
        <v>661</v>
      </c>
      <c r="AB51" s="72">
        <f>VARP(IF(INDEX(Properties!A$1:CB$87,Formula!B51,9)&lt;&gt;"",INDEX(Properties!A$1:CB$87,Formula!B51,9)),IF(INDEX(Properties!A$1:CB$87,Formula!D51,9)&lt;&gt;"",INDEX(Properties!A$1:CB$87,Formula!D51,9)),IF(INDEX(Properties!A$1:CB$87,Formula!F51,9)&lt;&gt;"",INDEX(Properties!A$1:CB$87,Formula!F51,9)),IF(INDEX(Properties!A$1:CB$87,Formula!H51,9)&lt;&gt;"",INDEX(Properties!A$1:CB$87,Formula!H51,9)),IF(INDEX(Properties!A$1:CB$87,Formula!J51,9)&lt;&gt;"",INDEX(Properties!A$1:CB$87,Formula!J51,9)))</f>
        <v>1211.44</v>
      </c>
      <c r="AC51" s="72">
        <f>MAX(INDEX(Properties!A$1:CB$87,Formula!B51,9),INDEX(Properties!A$1:CB$87,Formula!D51,9),INDEX(Properties!A$1:CB$87,Formula!F51,9),INDEX(Properties!A$1:CB$87,Formula!H51,9),INDEX(Properties!A$1:CB$87,Formula!J51,9))</f>
        <v>87</v>
      </c>
      <c r="AD51" s="72">
        <f>MIN(IF(INDEX(Properties!A$1:CB$87,Formula!B51,9)=0,10^6,INDEX(Properties!A$1:CB$87,Formula!B51,9)),IF(INDEX(Properties!A$1:CB$87,Formula!D51,9)=0,10^6,INDEX(Properties!A$1:CB$87,Formula!D51,9)),IF(INDEX(Properties!A$1:CB$87,Formula!F51,9)=0,10^6,INDEX(Properties!A$1:CB$87,Formula!F51,9)),IF(INDEX(Properties!A$1:CB$87,Formula!H51,9)=0,10^6,INDEX(Properties!A$1:CB$87,Formula!H51,9)),IF(INDEX(Properties!A$1:CB$87,Formula!J51,9)=0,10^6,INDEX(Properties!A$1:CB$87,Formula!J51,9)))</f>
        <v>8</v>
      </c>
      <c r="AE51" s="72">
        <f t="shared" si="4"/>
        <v>79</v>
      </c>
      <c r="AF51" s="51">
        <f>((Formula!C51)/(Formula!C51+Formula!E51+Formula!G51+Formula!I51+Formula!K51))*(INDEX(Properties!A$1:CB$87,Formula!B51,10))+((Formula!E51)/(Formula!C51+Formula!E51+Formula!G51+Formula!I51+Formula!K51))*(INDEX(Properties!A$1:CB$87,Formula!D51,10))+((Formula!G51)/(Formula!C51+Formula!E51+Formula!G51+Formula!I51+Formula!K51))*(INDEX(Properties!A$1:CB$87,Formula!F51,10))+((Formula!I51)/(Formula!C51+Formula!E51+Formula!G51+Formula!I51+Formula!K51))*(INDEX(Properties!A$1:CB$87,Formula!H51,10))+((Formula!K51)/(Formula!C51+Formula!E51+Formula!G51+Formula!I51+Formula!K51))*(INDEX(Properties!A$1:CB$87,Formula!J51,10))</f>
        <v>5.5</v>
      </c>
      <c r="AG51" s="51">
        <f>Formula!C51*(INDEX(Properties!A$1:CB$87,Formula!B51,10))+Formula!E51*(INDEX(Properties!A$1:CB$87,Formula!D51,10))+Formula!G51*(INDEX(Properties!A$1:CB$87,Formula!F51,10))+Formula!I51*(INDEX(Properties!A$1:CB$87,Formula!H51,10))+Formula!K51*(INDEX(Properties!A$1:CB$87,Formula!J51,10))</f>
        <v>55</v>
      </c>
      <c r="AH51" s="51">
        <f>VARP(IF(INDEX(Properties!A$1:CB$87,Formula!B51,10)&lt;&gt;"",INDEX(Properties!A$1:CB$87,Formula!B51,10)),IF(INDEX(Properties!A$1:CB$87,Formula!D51,10)&lt;&gt;"",INDEX(Properties!A$1:CB$87,Formula!D51,10)),IF(INDEX(Properties!A$1:CB$87,Formula!F51,10)&lt;&gt;"",INDEX(Properties!A$1:CB$87,Formula!F51,10)),IF(INDEX(Properties!A$1:CB$87,Formula!H51,10)&lt;&gt;"",INDEX(Properties!A$1:CB$87,Formula!H51,10)),IF(INDEX(Properties!A$1:CB$87,Formula!J51,10)&lt;&gt;"",INDEX(Properties!A$1:CB$87,Formula!J51,10)))</f>
        <v>5.84</v>
      </c>
      <c r="AI51" s="51">
        <f>MAX(INDEX(Properties!A$1:CB$87,Formula!B51,10),INDEX(Properties!A$1:CB$87,Formula!D51,10),INDEX(Properties!A$1:CB$87,Formula!F51,10),INDEX(Properties!A$1:CB$87,Formula!H51,10),INDEX(Properties!A$1:CB$87,Formula!J51,10))</f>
        <v>7</v>
      </c>
      <c r="AJ51" s="51">
        <f>MIN(IF(INDEX(Properties!A$1:CB$87,Formula!B51,10)=0,10^6,INDEX(Properties!A$1:CB$87,Formula!B51,10)),IF(INDEX(Properties!A$1:CB$87,Formula!D51,10)=0,10^6,INDEX(Properties!A$1:CB$87,Formula!D51,10)),IF(INDEX(Properties!A$1:CB$87,Formula!F51,10)=0,10^6,INDEX(Properties!A$1:CB$87,Formula!F51,10)),IF(INDEX(Properties!A$1:CB$87,Formula!H51,10)=0,10^6,INDEX(Properties!A$1:CB$87,Formula!H51,10)),IF(INDEX(Properties!A$1:CB$87,Formula!J51,10)=0,10^6,INDEX(Properties!A$1:CB$87,Formula!J51,10)))</f>
        <v>2</v>
      </c>
      <c r="AK51" s="51">
        <f t="shared" si="5"/>
        <v>5</v>
      </c>
      <c r="AL51" s="57">
        <f>((Formula!C51)/(Formula!C51+Formula!E51+Formula!G51+Formula!I51+Formula!K51))*(INDEX(Properties!A$1:CB$87,Formula!B51,11))+((Formula!E51)/(Formula!C51+Formula!E51+Formula!G51+Formula!I51+Formula!K51))*(INDEX(Properties!A$1:CB$87,Formula!D51,11))+((Formula!G51)/(Formula!C51+Formula!E51+Formula!G51+Formula!I51+Formula!K51))*(INDEX(Properties!A$1:CB$87,Formula!F51,11))+((Formula!I51)/(Formula!C51+Formula!E51+Formula!G51+Formula!I51+Formula!K51))*(INDEX(Properties!A$1:CB$87,Formula!H51,11))+((Formula!K51)/(Formula!C51+Formula!E51+Formula!G51+Formula!I51+Formula!K51))*(INDEX(Properties!A$1:CB$87,Formula!J51,11))</f>
        <v>2</v>
      </c>
      <c r="AM51" s="57">
        <f>Formula!C51*(INDEX(Properties!A$1:CB$87,Formula!B51,11))+Formula!E51*(INDEX(Properties!A$1:CB$87,Formula!D51,11))+Formula!G51*(INDEX(Properties!A$1:CB$87,Formula!F51,11))+Formula!I51*(INDEX(Properties!A$1:CB$87,Formula!H51,11))+Formula!K51*(INDEX(Properties!A$1:CB$87,Formula!J51,11))</f>
        <v>20</v>
      </c>
      <c r="AN51" s="57">
        <f>VARP(IF(INDEX(Properties!A$1:CB$87,Formula!B51,11)&lt;&gt;"",INDEX(Properties!A$1:CB$87,Formula!B51,11)),IF(INDEX(Properties!A$1:CB$87,Formula!D51,11)&lt;&gt;"",INDEX(Properties!A$1:CB$87,Formula!D51,11)),IF(INDEX(Properties!A$1:CB$87,Formula!F51,11)&lt;&gt;"",INDEX(Properties!A$1:CB$87,Formula!F51,11)),IF(INDEX(Properties!A$1:CB$87,Formula!H51,11)&lt;&gt;"",INDEX(Properties!A$1:CB$87,Formula!H51,11)),IF(INDEX(Properties!A$1:CB$87,Formula!J51,11)&lt;&gt;"",INDEX(Properties!A$1:CB$87,Formula!J51,11)))</f>
        <v>0.64</v>
      </c>
      <c r="AO51" s="57">
        <f>MAX(INDEX(Properties!A$1:CB$87,Formula!B51,11),INDEX(Properties!A$1:CB$87,Formula!D51,11),INDEX(Properties!A$1:CB$87,Formula!F51,11),INDEX(Properties!A$1:CB$87,Formula!H51,11),INDEX(Properties!A$1:CB$87,Formula!J51,11))</f>
        <v>2</v>
      </c>
      <c r="AP51" s="57">
        <f>MIN(IF(Formula!B51=87,10^6,INDEX(Properties!A$1:CB$87,Formula!B51,11)),IF((Formula!D51)=87,10^6,INDEX(Properties!A$1:CB$87,Formula!D51,11)),IF((Formula!F51)=87,10^6,INDEX(Properties!A$1:CB$87,Formula!F51,11)),IF((Formula!H51)=87,10^6,INDEX(Properties!A$1:CB$87,Formula!H51,11)),IF(Formula!J51=87,10^6,INDEX(Properties!A$1:CB$87,Formula!J51,11)))</f>
        <v>2</v>
      </c>
      <c r="AQ51" s="57">
        <f t="shared" si="6"/>
        <v>0</v>
      </c>
      <c r="AR51" s="78">
        <f>((Formula!C51)/(Formula!C51+Formula!E51+Formula!G51+Formula!I51+Formula!K51))*(INDEX(Properties!A$1:CB$87,Formula!B51,12))+((Formula!E51)/(Formula!C51+Formula!E51+Formula!G51+Formula!I51+Formula!K51))*(INDEX(Properties!A$1:CB$87,Formula!D51,12))+((Formula!G51)/(Formula!C51+Formula!E51+Formula!G51+Formula!I51+Formula!K51))*(INDEX(Properties!A$1:CB$87,Formula!F51,12))+((Formula!I51)/(Formula!C51+Formula!E51+Formula!G51+Formula!I51+Formula!K51))*(INDEX(Properties!A$1:CB$87,Formula!H51,12))+((Formula!K51)/(Formula!C51+Formula!E51+Formula!G51+Formula!I51+Formula!K51))*(INDEX(Properties!A$1:CB$87,Formula!J51,12))</f>
        <v>2.5</v>
      </c>
      <c r="AS51" s="78">
        <f>Formula!C51*(INDEX(Properties!A$1:CB$87,Formula!B51,12))+Formula!E51*(INDEX(Properties!A$1:CB$87,Formula!D51,12))+Formula!G51*(INDEX(Properties!A$1:CB$87,Formula!F51,12))+Formula!I51*(INDEX(Properties!A$1:CB$87,Formula!H51,12))+Formula!K51*(INDEX(Properties!A$1:CB$87,Formula!J51,12))</f>
        <v>25</v>
      </c>
      <c r="AT51" s="78">
        <f>VARP(IF(INDEX(Properties!A$1:CB$87,Formula!B51,12)&lt;&gt;"",INDEX(Properties!A$1:CB$87,Formula!B51,12)),IF(INDEX(Properties!A$1:CB$87,Formula!D51,12)&lt;&gt;"",INDEX(Properties!A$1:CB$87,Formula!D51,12)),IF(INDEX(Properties!A$1:CB$87,Formula!F51,12)&lt;&gt;"",INDEX(Properties!A$1:CB$87,Formula!F51,12)),IF(INDEX(Properties!A$1:CB$87,Formula!H51,12)&lt;&gt;"",INDEX(Properties!A$1:CB$87,Formula!H51,12)),IF(INDEX(Properties!A$1:CB$87,Formula!J51,12)&lt;&gt;"",INDEX(Properties!A$1:CB$87,Formula!J51,12)))</f>
        <v>2.4</v>
      </c>
      <c r="AU51" s="78">
        <f>MAX(INDEX(Properties!A$1:CB$87,Formula!B51,12),INDEX(Properties!A$1:CB$87,Formula!D51,12),INDEX(Properties!A$1:CB$87,Formula!F51,12),INDEX(Properties!A$1:CB$87,Formula!H51,12),INDEX(Properties!A$1:CB$87,Formula!J51,12))</f>
        <v>4</v>
      </c>
      <c r="AV51" s="78">
        <f>MIN(IF(Formula!B51=87,10^6,INDEX(Properties!A$1:CB$87,Formula!B51,12)),IF((Formula!D51)=87,10^6,INDEX(Properties!A$1:CB$87,Formula!D51,12)),IF((Formula!F51)=87,10^6,INDEX(Properties!A$1:CB$87,Formula!F51,12)),IF((Formula!H51)=87,10^6,INDEX(Properties!A$1:CB$87,Formula!H51,12)),IF(Formula!J51=87,10^6,INDEX(Properties!A$1:CB$87,Formula!J51,12)))</f>
        <v>0</v>
      </c>
      <c r="AW51" s="78">
        <f t="shared" si="7"/>
        <v>4</v>
      </c>
      <c r="AX51" s="45">
        <f>((Formula!C51)/(Formula!C51+Formula!E51+Formula!G51+Formula!I51+Formula!K51))*(INDEX(Properties!A$1:CB$87,Formula!B51,13))+((Formula!E51)/(Formula!C51+Formula!E51+Formula!G51+Formula!I51+Formula!K51))*(INDEX(Properties!A$1:CB$87,Formula!D51,13))+((Formula!G51)/(Formula!C51+Formula!E51+Formula!G51+Formula!I51+Formula!K51))*(INDEX(Properties!A$1:CB$87,Formula!F51,13))+((Formula!I51)/(Formula!C51+Formula!E51+Formula!G51+Formula!I51+Formula!K51))*(INDEX(Properties!A$1:CB$87,Formula!H51,13))+((Formula!K51)/(Formula!C51+Formula!E51+Formula!G51+Formula!I51+Formula!K51))*(INDEX(Properties!A$1:CB$87,Formula!J51,13))</f>
        <v>1.3</v>
      </c>
      <c r="AY51" s="45">
        <f>Formula!C51*(INDEX(Properties!A$1:CB$87,Formula!B51,13))+Formula!E51*(INDEX(Properties!A$1:CB$87,Formula!D51,13))+Formula!G51*(INDEX(Properties!A$1:CB$87,Formula!F51,13))+Formula!I51*(INDEX(Properties!A$1:CB$87,Formula!H51,13))+Formula!K51*(INDEX(Properties!A$1:CB$87,Formula!J51,13))</f>
        <v>13</v>
      </c>
      <c r="AZ51" s="45">
        <f>VARP(IF(INDEX(Properties!A$1:CB$87,Formula!B51,13)&lt;&gt;"",INDEX(Properties!A$1:CB$87,Formula!B51,13)),IF(INDEX(Properties!A$1:CB$87,Formula!D51,13)&lt;&gt;"",INDEX(Properties!A$1:CB$87,Formula!D51,13)),IF(INDEX(Properties!A$1:CB$87,Formula!F51,13)&lt;&gt;"",INDEX(Properties!A$1:CB$87,Formula!F51,13)),IF(INDEX(Properties!A$1:CB$87,Formula!H51,13)&lt;&gt;"",INDEX(Properties!A$1:CB$87,Formula!H51,13)),IF(INDEX(Properties!A$1:CB$87,Formula!J51,13)&lt;&gt;"",INDEX(Properties!A$1:CB$87,Formula!J51,13)))</f>
        <v>15.04</v>
      </c>
      <c r="BA51" s="45">
        <f>MAX(INDEX(Properties!A$1:CB$87,Formula!B51,13),INDEX(Properties!A$1:CB$87,Formula!D51,13),INDEX(Properties!A$1:CB$87,Formula!F51,13),INDEX(Properties!A$1:CB$87,Formula!H51,13),INDEX(Properties!A$1:CB$87,Formula!J51,13))</f>
        <v>10</v>
      </c>
      <c r="BB51" s="45">
        <f>MIN(IF(Formula!B51=87,10^6,INDEX(Properties!A$1:CB$87,Formula!B51,13)),IF((Formula!D51)=87,10^6,INDEX(Properties!A$1:CB$87,Formula!D51,13)),IF((Formula!F51)=87,10^6,INDEX(Properties!A$1:CB$87,Formula!F51,13)),IF((Formula!H51)=87,10^6,INDEX(Properties!A$1:CB$87,Formula!H51,13)),IF(Formula!J51=87,10^6,INDEX(Properties!A$1:CB$87,Formula!J51,13)))</f>
        <v>0</v>
      </c>
      <c r="BC51" s="45">
        <f t="shared" si="8"/>
        <v>10</v>
      </c>
      <c r="BD51" s="63">
        <f>((Formula!C51)/(Formula!C51+Formula!E51+Formula!G51+Formula!I51+Formula!K51))*(INDEX(Properties!A$1:CB$87,Formula!B51,14))+((Formula!E51)/(Formula!C51+Formula!E51+Formula!G51+Formula!I51+Formula!K51))*(INDEX(Properties!A$1:CB$87,Formula!D51,14))+((Formula!G51)/(Formula!C51+Formula!E51+Formula!G51+Formula!I51+Formula!K51))*(INDEX(Properties!A$1:CB$87,Formula!F51,14))+((Formula!I51)/(Formula!C51+Formula!E51+Formula!G51+Formula!I51+Formula!K51))*(INDEX(Properties!A$1:CB$87,Formula!H51,14))+((Formula!K51)/(Formula!C51+Formula!E51+Formula!G51+Formula!I51+Formula!K51))*(INDEX(Properties!A$1:CB$87,Formula!J51,14))</f>
        <v>1.4000000000000001</v>
      </c>
      <c r="BE51" s="63">
        <f>Formula!C51*(INDEX(Properties!A$1:CB$87,Formula!B51,14))+Formula!E51*(INDEX(Properties!A$1:CB$87,Formula!D51,14))+Formula!G51*(INDEX(Properties!A$1:CB$87,Formula!F51,14))+Formula!I51*(INDEX(Properties!A$1:CB$87,Formula!H51,14))+Formula!K51*(INDEX(Properties!A$1:CB$87,Formula!J51,14))</f>
        <v>14</v>
      </c>
      <c r="BF51" s="63">
        <f>VARP(IF(INDEX(Properties!A$1:CB$87,Formula!B51,14)&lt;&gt;"",INDEX(Properties!A$1:CB$87,Formula!B51,14)),IF(INDEX(Properties!A$1:CB$87,Formula!D51,14)&lt;&gt;"",INDEX(Properties!A$1:CB$87,Formula!D51,14)),IF(INDEX(Properties!A$1:CB$87,Formula!F51,14)&lt;&gt;"",INDEX(Properties!A$1:CB$87,Formula!F51,14)),IF(INDEX(Properties!A$1:CB$87,Formula!H51,14)&lt;&gt;"",INDEX(Properties!A$1:CB$87,Formula!H51,14)),IF(INDEX(Properties!A$1:CB$87,Formula!J51,14)&lt;&gt;"",INDEX(Properties!A$1:CB$87,Formula!J51,14)))</f>
        <v>31.36</v>
      </c>
      <c r="BG51" s="63">
        <f>MAX(INDEX(Properties!A$1:CB$87,Formula!B51,14),INDEX(Properties!A$1:CB$87,Formula!D51,14),INDEX(Properties!A$1:CB$87,Formula!F51,14),INDEX(Properties!A$1:CB$87,Formula!H51,14),INDEX(Properties!A$1:CB$87,Formula!J51,14))</f>
        <v>14</v>
      </c>
      <c r="BH51" s="63">
        <f>MIN(IF(Formula!B51=87,10^6,INDEX(Properties!A$1:CB$87,Formula!B51,14)),IF((Formula!D51)=87,10^6,INDEX(Properties!A$1:CB$87,Formula!D51,14)),IF((Formula!F51)=87,10^6,INDEX(Properties!A$1:CB$87,Formula!F51,14)),IF((Formula!H51)=87,10^6,INDEX(Properties!A$1:CB$87,Formula!H51,14)),IF(Formula!J51=87,10^6,INDEX(Properties!A$1:CB$87,Formula!J51,14)))</f>
        <v>0</v>
      </c>
      <c r="BI51" s="63">
        <f t="shared" si="9"/>
        <v>14</v>
      </c>
      <c r="BJ51" s="75">
        <f>((Formula!C51)/(Formula!C51+Formula!E51+Formula!G51+Formula!I51+Formula!K51))*(INDEX(Properties!A$1:CB$87,Formula!B51,19))+((Formula!E51)/(Formula!C51+Formula!E51+Formula!G51+Formula!I51+Formula!K51))*(INDEX(Properties!A$1:CB$87,Formula!D51,19))+((Formula!G51)/(Formula!C51+Formula!E51+Formula!G51+Formula!I51+Formula!K51))*(INDEX(Properties!A$1:CB$87,Formula!F51,19))+((Formula!I51)/(Formula!C51+Formula!E51+Formula!G51+Formula!I51+Formula!K51))*(INDEX(Properties!A$1:CB$87,Formula!H51,19))+((Formula!K51)/(Formula!C51+Formula!E51+Formula!G51+Formula!I51+Formula!K51))*(INDEX(Properties!A$1:CB$87,Formula!J51,19))</f>
        <v>7.2</v>
      </c>
      <c r="BK51" s="75">
        <f>Formula!C51*(INDEX(Properties!A$1:CB$87,Formula!B51,19))+Formula!E51*(INDEX(Properties!A$1:CB$87,Formula!D51,19))+Formula!G51*(INDEX(Properties!A$1:CB$87,Formula!F51,19))+Formula!I51*(INDEX(Properties!A$1:CB$87,Formula!H51,19))+Formula!K51*(INDEX(Properties!A$1:CB$87,Formula!J51,19))</f>
        <v>72</v>
      </c>
      <c r="BL51" s="75">
        <f>VARP(IF(INDEX(Properties!A$1:CB$87,Formula!B51,19)&lt;&gt;"",INDEX(Properties!A$1:CB$87,Formula!B51,19)),IF(INDEX(Properties!A$1:CB$87,Formula!D51,19)&lt;&gt;"",INDEX(Properties!A$1:CB$87,Formula!D51,19)),IF(INDEX(Properties!A$1:CB$87,Formula!F51,19)&lt;&gt;"",INDEX(Properties!A$1:CB$87,Formula!F51,19)),IF(INDEX(Properties!A$1:CB$87,Formula!H51,19)&lt;&gt;"",INDEX(Properties!A$1:CB$87,Formula!H51,19)),IF(INDEX(Properties!A$1:CB$87,Formula!J51,19)&lt;&gt;"",INDEX(Properties!A$1:CB$87,Formula!J51,19)))</f>
        <v>50</v>
      </c>
      <c r="BM51" s="75">
        <f>MAX(INDEX(Properties!A$1:CB$87,Formula!B51,19),INDEX(Properties!A$1:CB$87,Formula!D51,19),INDEX(Properties!A$1:CB$87,Formula!F51,19),INDEX(Properties!A$1:CB$87,Formula!H51,19),INDEX(Properties!A$1:CB$87,Formula!J51,19))</f>
        <v>19</v>
      </c>
      <c r="BN51" s="75">
        <f>MIN(IF(INDEX(Properties!A$1:CB$87,Formula!B51,19)=0,10^6,INDEX(Properties!A$1:CB$87,Formula!B51,19)),IF(INDEX(Properties!A$1:CB$87,Formula!D51,19)=0,10^6,INDEX(Properties!A$1:CB$87,Formula!D51,19)),IF(INDEX(Properties!A$1:CB$87,Formula!F51,19)=0,10^6,INDEX(Properties!A$1:CB$87,Formula!F51,19)),IF(INDEX(Properties!A$1:CB$87,Formula!H51,19)=0,10^6,INDEX(Properties!A$1:CB$87,Formula!H51,19)),IF(INDEX(Properties!A$1:CB$87,Formula!J51,19)=0,10^6,INDEX(Properties!A$1:CB$87,Formula!J51,19)))</f>
        <v>2</v>
      </c>
      <c r="BO51" s="75">
        <f t="shared" si="10"/>
        <v>17</v>
      </c>
      <c r="BP51" s="48">
        <f>((Formula!C51)/(Formula!C51+Formula!E51+Formula!G51+Formula!I51+Formula!K51))*(INDEX(Properties!A$1:CB$87,Formula!B51,20))+((Formula!E51)/(Formula!C51+Formula!E51+Formula!G51+Formula!I51+Formula!K51))*(INDEX(Properties!A$1:CB$87,Formula!D51,20))+((Formula!G51)/(Formula!C51+Formula!E51+Formula!G51+Formula!I51+Formula!K51))*(INDEX(Properties!A$1:CB$87,Formula!F51,20))+((Formula!I51)/(Formula!C51+Formula!E51+Formula!G51+Formula!I51+Formula!K51))*(INDEX(Properties!A$1:CB$87,Formula!H51,20))+((Formula!K51)/(Formula!C51+Formula!E51+Formula!G51+Formula!I51+Formula!K51))*(INDEX(Properties!A$1:CB$87,Formula!J51,20))</f>
        <v>4.5</v>
      </c>
      <c r="BQ51" s="48">
        <f>Formula!C51*(INDEX(Properties!A$1:CB$87,Formula!B51,20))+Formula!E51*(INDEX(Properties!A$1:CB$87,Formula!D51,20))+Formula!G51*(INDEX(Properties!A$1:CB$87,Formula!F51,20))+Formula!I51*(INDEX(Properties!A$1:CB$87,Formula!H51,20))+Formula!K51*(INDEX(Properties!A$1:CB$87,Formula!J51,20))</f>
        <v>45</v>
      </c>
      <c r="BR51" s="48">
        <f>VARP(IF(INDEX(Properties!A$1:CB$87,Formula!B51,20)&lt;&gt;"",INDEX(Properties!A$1:CB$87,Formula!B51,20)),IF(INDEX(Properties!A$1:CB$87,Formula!D51,20)&lt;&gt;"",INDEX(Properties!A$1:CB$87,Formula!D51,20)),IF(INDEX(Properties!A$1:CB$87,Formula!F51,20)&lt;&gt;"",INDEX(Properties!A$1:CB$87,Formula!F51,20)),IF(INDEX(Properties!A$1:CB$87,Formula!H51,20)&lt;&gt;"",INDEX(Properties!A$1:CB$87,Formula!H51,20)),IF(INDEX(Properties!A$1:CB$87,Formula!J51,20)&lt;&gt;"",INDEX(Properties!A$1:CB$87,Formula!J51,20)))</f>
        <v>3.84</v>
      </c>
      <c r="BS51" s="48">
        <f>MAX(INDEX(Properties!A$1:CB$87,Formula!B51,20),INDEX(Properties!A$1:CB$87,Formula!D51,20),INDEX(Properties!A$1:CB$87,Formula!F51,20),INDEX(Properties!A$1:CB$87,Formula!H51,20),INDEX(Properties!A$1:CB$87,Formula!J51,20))</f>
        <v>6</v>
      </c>
      <c r="BT51" s="48">
        <f>MIN(IF(INDEX(Properties!A$1:CB$87,Formula!B51,20)=0,10^6,INDEX(Properties!A$1:CB$87,Formula!B51,20)),IF(INDEX(Properties!A$1:CB$87,Formula!D51,20)=0,10^6,INDEX(Properties!A$1:CB$87,Formula!D51,20)),IF(INDEX(Properties!A$1:CB$87,Formula!F51,20)=0,10^6,INDEX(Properties!A$1:CB$87,Formula!F51,20)),IF(INDEX(Properties!A$1:CB$87,Formula!H51,20)=0,10^6,INDEX(Properties!A$1:CB$87,Formula!H51,20)),IF(INDEX(Properties!A$1:CB$87,Formula!J51,20)=0,10^6,INDEX(Properties!A$1:CB$87,Formula!J51,20)))</f>
        <v>2</v>
      </c>
      <c r="BU51" s="48">
        <f t="shared" si="11"/>
        <v>4</v>
      </c>
      <c r="BV51" s="66">
        <f>((Formula!C51)/(Formula!C51+Formula!E51+Formula!G51+Formula!I51+Formula!K51))*(INDEX(Properties!A$1:CB$87,Formula!B51,21))+((Formula!E51)/(Formula!C51+Formula!E51+Formula!G51+Formula!I51+Formula!K51))*(INDEX(Properties!A$1:CB$87,Formula!D51,21))+((Formula!G51)/(Formula!C51+Formula!E51+Formula!G51+Formula!I51+Formula!K51))*(INDEX(Properties!A$1:CB$87,Formula!F51,21))+((Formula!I51)/(Formula!C51+Formula!E51+Formula!G51+Formula!I51+Formula!K51))*(INDEX(Properties!A$1:CB$87,Formula!H51,21))+((Formula!K51)/(Formula!C51+Formula!E51+Formula!G51+Formula!I51+Formula!K51))*(INDEX(Properties!A$1:CB$87,Formula!J51,21))</f>
        <v>4.5999999999999996</v>
      </c>
      <c r="BW51" s="66">
        <f>Formula!C51*(INDEX(Properties!A$1:CB$87,Formula!B51,21))+Formula!E51*(INDEX(Properties!A$1:CB$87,Formula!D51,21))+Formula!G51*(INDEX(Properties!A$1:CB$87,Formula!F51,21))+Formula!I51*(INDEX(Properties!A$1:CB$87,Formula!H51,21))+Formula!K51*(INDEX(Properties!A$1:CB$87,Formula!J51,21))</f>
        <v>46</v>
      </c>
      <c r="BX51" s="66">
        <f>VARP(IF(INDEX(Properties!A$1:CB$87,Formula!B51,21)&lt;&gt;"",INDEX(Properties!A$1:CB$87,Formula!B51,21)),IF(INDEX(Properties!A$1:CB$87,Formula!D51,21)&lt;&gt;"",INDEX(Properties!A$1:CB$87,Formula!D51,21)),IF(INDEX(Properties!A$1:CB$87,Formula!F51,21)&lt;&gt;"",INDEX(Properties!A$1:CB$87,Formula!F51,21)),IF(INDEX(Properties!A$1:CB$87,Formula!H51,21)&lt;&gt;"",INDEX(Properties!A$1:CB$87,Formula!H51,21)),IF(INDEX(Properties!A$1:CB$87,Formula!J51,21)&lt;&gt;"",INDEX(Properties!A$1:CB$87,Formula!J51,21)))</f>
        <v>3.76</v>
      </c>
      <c r="BY51" s="66">
        <f>MAX(INDEX(Properties!A$1:CB$87,Formula!B51,21),INDEX(Properties!A$1:CB$87,Formula!D51,21),INDEX(Properties!A$1:CB$87,Formula!F51,21),INDEX(Properties!A$1:CB$87,Formula!H51,21),INDEX(Properties!A$1:CB$87,Formula!J51,21))</f>
        <v>6</v>
      </c>
      <c r="BZ51" s="66">
        <f>MIN(IF(INDEX(Properties!A$1:CB$87,Formula!B51,21)=0,10^6,INDEX(Properties!A$1:CB$87,Formula!B51,21)),IF(INDEX(Properties!A$1:CB$87,Formula!D51,21)=0,10^6,INDEX(Properties!A$1:CB$87,Formula!D51,21)),IF(INDEX(Properties!A$1:CB$87,Formula!F51,21)=0,10^6,INDEX(Properties!A$1:CB$87,Formula!F51,21)),IF(INDEX(Properties!A$1:CB$87,Formula!H51,21)=0,10^6,INDEX(Properties!A$1:CB$87,Formula!H51,21)),IF(INDEX(Properties!A$1:CB$87,Formula!J51,21)=0,10^6,INDEX(Properties!A$1:CB$87,Formula!J51,21)))</f>
        <v>2</v>
      </c>
      <c r="CA51" s="66">
        <f t="shared" si="12"/>
        <v>4</v>
      </c>
      <c r="CB51" s="81">
        <f>((Formula!C51)/(Formula!C51+Formula!E51+Formula!G51+Formula!I51+Formula!K51))*(INDEX(Properties!A$1:CB$87,Formula!B51,23))+((Formula!E51)/(Formula!C51+Formula!E51+Formula!G51+Formula!I51+Formula!K51))*(INDEX(Properties!A$1:CB$87,Formula!D51,23))+((Formula!G51)/(Formula!C51+Formula!E51+Formula!G51+Formula!I51+Formula!K51))*(INDEX(Properties!A$1:CB$87,Formula!F51,23))+((Formula!I51)/(Formula!C51+Formula!E51+Formula!G51+Formula!I51+Formula!K51))*(INDEX(Properties!A$1:CB$87,Formula!H51,23))+((Formula!K51)/(Formula!C51+Formula!E51+Formula!G51+Formula!I51+Formula!K51))*(INDEX(Properties!A$1:CB$87,Formula!J51,23))</f>
        <v>1.244</v>
      </c>
      <c r="CC51" s="81">
        <f>Formula!C51*(INDEX(Properties!A$1:CB$87,Formula!B51,23))+Formula!E51*(INDEX(Properties!A$1:CB$87,Formula!D51,23))+Formula!G51*(INDEX(Properties!A$1:CB$87,Formula!F51,23))+Formula!I51*(INDEX(Properties!A$1:CB$87,Formula!H51,23))+Formula!K51*(INDEX(Properties!A$1:CB$87,Formula!J51,23))</f>
        <v>12.44</v>
      </c>
      <c r="CD51" s="81">
        <f>VARP(IF(INDEX(Properties!A$1:CB$87,Formula!B51,23)&lt;&gt;"",INDEX(Properties!A$1:CB$87,Formula!B51,23)),IF(INDEX(Properties!A$1:CB$87,Formula!D51,23)&lt;&gt;"",INDEX(Properties!A$1:CB$87,Formula!D51,23)),IF(INDEX(Properties!A$1:CB$87,Formula!F51,23)&lt;&gt;"",INDEX(Properties!A$1:CB$87,Formula!F51,23)),IF(INDEX(Properties!A$1:CB$87,Formula!H51,23)&lt;&gt;"",INDEX(Properties!A$1:CB$87,Formula!H51,23)),IF(INDEX(Properties!A$1:CB$87,Formula!J51,23)&lt;&gt;"",INDEX(Properties!A$1:CB$87,Formula!J51,23)))</f>
        <v>3.8069759999999997</v>
      </c>
      <c r="CE51" s="81">
        <f>MAX(INDEX(Properties!A$1:CB$87,Formula!B51,23),INDEX(Properties!A$1:CB$87,Formula!D51,23),INDEX(Properties!A$1:CB$87,Formula!F51,23),INDEX(Properties!A$1:CB$87,Formula!H51,23),INDEX(Properties!A$1:CB$87,Formula!J51,23))</f>
        <v>5</v>
      </c>
      <c r="CF51" s="81">
        <f>MIN(IF(Formula!B51=87,10^6,INDEX(Properties!A$1:CB$87,Formula!B51,23)),IF((Formula!D51)=87,10^6,INDEX(Properties!A$1:CB$87,Formula!D51,23)),IF((Formula!F51)=87,10^6,INDEX(Properties!A$1:CB$87,Formula!F51,23)),IF((Formula!H51)=87,10^6,INDEX(Properties!A$1:CB$87,Formula!H51,23)),IF(Formula!J51=87,10^6,INDEX(Properties!A$1:CB$87,Formula!J51,23)))</f>
        <v>0</v>
      </c>
      <c r="CG51" s="81">
        <f t="shared" si="13"/>
        <v>5</v>
      </c>
      <c r="CH51" s="39">
        <f>((Formula!C51)/(Formula!C51+Formula!E51+Formula!G51+Formula!I51+Formula!K51))*(INDEX(Properties!A$1:CB$87,Formula!B51,26))+((Formula!E51)/(Formula!C51+Formula!E51+Formula!G51+Formula!I51+Formula!K51))*(INDEX(Properties!A$1:CB$87,Formula!D51,26))+((Formula!G51)/(Formula!C51+Formula!E51+Formula!G51+Formula!I51+Formula!K51))*(INDEX(Properties!A$1:CB$87,Formula!F51,26))+((Formula!I51)/(Formula!C51+Formula!E51+Formula!G51+Formula!I51+Formula!K51))*(INDEX(Properties!A$1:CB$87,Formula!H51,26))+((Formula!K51)/(Formula!C51+Formula!E51+Formula!G51+Formula!I51+Formula!K51))*(INDEX(Properties!A$1:CB$87,Formula!J51,26))</f>
        <v>10.643439999999998</v>
      </c>
      <c r="CI51" s="39">
        <f>Formula!C51*(INDEX(Properties!A$1:CB$87,Formula!B51,26))+Formula!E51*(INDEX(Properties!A$1:CB$87,Formula!D51,26))+Formula!G51*(INDEX(Properties!A$1:CB$87,Formula!F51,26))+Formula!I51*(INDEX(Properties!A$1:CB$87,Formula!H51,26))+Formula!K51*(INDEX(Properties!A$1:CB$87,Formula!J51,26))</f>
        <v>106.43440000000001</v>
      </c>
      <c r="CJ51" s="39">
        <f>VARP(IF(INDEX(Properties!A$1:CB$87,Formula!B51,26)&lt;&gt;"",INDEX(Properties!A$1:CB$87,Formula!B51,26)),IF(INDEX(Properties!A$1:CB$87,Formula!D51,26)&lt;&gt;"",INDEX(Properties!A$1:CB$87,Formula!D51,26)),IF(INDEX(Properties!A$1:CB$87,Formula!F51,26)&lt;&gt;"",INDEX(Properties!A$1:CB$87,Formula!F51,26)),IF(INDEX(Properties!A$1:CB$87,Formula!H51,26)&lt;&gt;"",INDEX(Properties!A$1:CB$87,Formula!H51,26)),IF(INDEX(Properties!A$1:CB$87,Formula!J51,26)&lt;&gt;"",INDEX(Properties!A$1:CB$87,Formula!J51,26)))</f>
        <v>19.034395708000002</v>
      </c>
      <c r="CK51" s="39">
        <f>MAX(INDEX(Properties!A$1:CB$87,Formula!B51,26),INDEX(Properties!A$1:CB$87,Formula!D51,26),INDEX(Properties!A$1:CB$87,Formula!F51,26),INDEX(Properties!A$1:CB$87,Formula!H51,26),INDEX(Properties!A$1:CB$87,Formula!J51,26))</f>
        <v>13.6181</v>
      </c>
      <c r="CL51" s="39">
        <f>MIN(IF(INDEX(Properties!A$1:CB$87,Formula!B51,26)=0,10^6,INDEX(Properties!A$1:CB$87,Formula!B51,26)),IF(INDEX(Properties!A$1:CB$87,Formula!D51,26)=0,10^6,INDEX(Properties!A$1:CB$87,Formula!D51,26)),IF(INDEX(Properties!A$1:CB$87,Formula!F51,26)=0,10^6,INDEX(Properties!A$1:CB$87,Formula!F51,26)),IF(INDEX(Properties!A$1:CB$87,Formula!H51,26)=0,10^6,INDEX(Properties!A$1:CB$87,Formula!H51,26)),IF(INDEX(Properties!A$1:CB$87,Formula!J51,26)=0,10^6,INDEX(Properties!A$1:CB$87,Formula!J51,26)))</f>
        <v>5.6948999999999996</v>
      </c>
      <c r="CM51" s="39">
        <f t="shared" si="14"/>
        <v>7.9232000000000005</v>
      </c>
      <c r="CN51" s="54">
        <f>((Formula!C51)/(Formula!C51+Formula!E51+Formula!G51+Formula!I51+Formula!K51))*(INDEX(Properties!A$1:CB$87,Formula!B51,30))+((Formula!E51)/(Formula!C51+Formula!E51+Formula!G51+Formula!I51+Formula!K51))*(INDEX(Properties!A$1:CB$87,Formula!D51,30))+((Formula!G51)/(Formula!C51+Formula!E51+Formula!G51+Formula!I51+Formula!K51))*(INDEX(Properties!A$1:CB$87,Formula!F51,30))+((Formula!I51)/(Formula!C51+Formula!E51+Formula!G51+Formula!I51+Formula!K51))*(INDEX(Properties!A$1:CB$87,Formula!H51,30))+((Formula!K51)/(Formula!C51+Formula!E51+Formula!G51+Formula!I51+Formula!K51))*(INDEX(Properties!A$1:CB$87,Formula!J51,30))</f>
        <v>2.5819999999999999</v>
      </c>
      <c r="CO51" s="54">
        <f>Formula!C51*(INDEX(Properties!A$1:CB$87,Formula!B51,30))+Formula!E51*(INDEX(Properties!A$1:CB$87,Formula!D51,30))+Formula!G51*(INDEX(Properties!A$1:CB$87,Formula!F51,30))+Formula!I51*(INDEX(Properties!A$1:CB$87,Formula!H51,30))+Formula!K51*(INDEX(Properties!A$1:CB$87,Formula!J51,30))</f>
        <v>25.82</v>
      </c>
      <c r="CP51" s="54">
        <f>VARP(IF(INDEX(Properties!A$1:CB$87,Formula!B51,30)&lt;&gt;"",INDEX(Properties!A$1:CB$87,Formula!B51,30)),IF(INDEX(Properties!A$1:CB$87,Formula!D51,30)&lt;&gt;"",INDEX(Properties!A$1:CB$87,Formula!D51,30)),IF(INDEX(Properties!A$1:CB$87,Formula!F51,30)&lt;&gt;"",INDEX(Properties!A$1:CB$87,Formula!F51,30)),IF(INDEX(Properties!A$1:CB$87,Formula!H51,30)&lt;&gt;"",INDEX(Properties!A$1:CB$87,Formula!H51,30)),IF(INDEX(Properties!A$1:CB$87,Formula!J51,30)&lt;&gt;"",INDEX(Properties!A$1:CB$87,Formula!J51,30)))</f>
        <v>1.2777439999999998</v>
      </c>
      <c r="CQ51" s="54">
        <f>MAX(INDEX(Properties!A$1:CB$87,Formula!B51,30),INDEX(Properties!A$1:CB$87,Formula!D51,30),INDEX(Properties!A$1:CB$87,Formula!F51,30),INDEX(Properties!A$1:CB$87,Formula!H51,30),INDEX(Properties!A$1:CB$87,Formula!J51,30))</f>
        <v>3.44</v>
      </c>
      <c r="CR51" s="54">
        <f>MIN(IF(INDEX(Properties!A$1:CB$87,Formula!B51,30)=0,10^6,INDEX(Properties!A$1:CB$87,Formula!B51,30)),IF(INDEX(Properties!A$1:CB$87,Formula!D51,30)=0,10^6,INDEX(Properties!A$1:CB$87,Formula!D51,30)),IF(INDEX(Properties!A$1:CB$87,Formula!F51,30)=0,10^6,INDEX(Properties!A$1:CB$87,Formula!F51,30)),IF(INDEX(Properties!A$1:CB$87,Formula!H51,30)=0,10^6,INDEX(Properties!A$1:CB$87,Formula!H51,30)),IF(INDEX(Properties!A$1:CB$87,Formula!J51,30)=0,10^6,INDEX(Properties!A$1:CB$87,Formula!J51,30)))</f>
        <v>0.95</v>
      </c>
      <c r="CS51" s="54">
        <f t="shared" si="15"/>
        <v>2.4900000000000002</v>
      </c>
      <c r="CT51" s="69">
        <f>((Formula!C51)/(Formula!C51+Formula!E51+Formula!G51+Formula!I51+Formula!K51))*(INDEX(Properties!A$1:CB$87,Formula!B51,31))+((Formula!E51)/(Formula!C51+Formula!E51+Formula!G51+Formula!I51+Formula!K51))*(INDEX(Properties!A$1:CB$87,Formula!D51,31))+((Formula!G51)/(Formula!C51+Formula!E51+Formula!G51+Formula!I51+Formula!K51))*(INDEX(Properties!A$1:CB$87,Formula!F51,31))+((Formula!I51)/(Formula!C51+Formula!E51+Formula!G51+Formula!I51+Formula!K51))*(INDEX(Properties!A$1:CB$87,Formula!H51,31))+((Formula!K51)/(Formula!C51+Formula!E51+Formula!G51+Formula!I51+Formula!K51))*(INDEX(Properties!A$1:CB$87,Formula!J51,31))</f>
        <v>2.5749999999999997</v>
      </c>
      <c r="CU51" s="69">
        <f>Formula!C51*(INDEX(Properties!A$1:CB$87,Formula!B51,31))+Formula!E51*(INDEX(Properties!A$1:CB$87,Formula!D51,31))+Formula!G51*(INDEX(Properties!A$1:CB$87,Formula!F51,31))+Formula!I51*(INDEX(Properties!A$1:CB$87,Formula!H51,31))+Formula!K51*(INDEX(Properties!A$1:CB$87,Formula!J51,31))</f>
        <v>25.75</v>
      </c>
      <c r="CV51" s="69">
        <f>VARP(IF(INDEX(Properties!A$1:CB$87,Formula!B51,31)&lt;&gt;"",INDEX(Properties!A$1:CB$87,Formula!B51,31)),IF(INDEX(Properties!A$1:CB$87,Formula!D51,31)&lt;&gt;"",INDEX(Properties!A$1:CB$87,Formula!D51,31)),IF(INDEX(Properties!A$1:CB$87,Formula!F51,31)&lt;&gt;"",INDEX(Properties!A$1:CB$87,Formula!F51,31)),IF(INDEX(Properties!A$1:CB$87,Formula!H51,31)&lt;&gt;"",INDEX(Properties!A$1:CB$87,Formula!H51,31)),IF(INDEX(Properties!A$1:CB$87,Formula!J51,31)&lt;&gt;"",INDEX(Properties!A$1:CB$87,Formula!J51,31)))</f>
        <v>1.171144</v>
      </c>
      <c r="CW51" s="69">
        <f>MAX(INDEX(Properties!A$1:CB$87,Formula!B51,31),INDEX(Properties!A$1:CB$87,Formula!D51,31),INDEX(Properties!A$1:CB$87,Formula!F51,31),INDEX(Properties!A$1:CB$87,Formula!H51,31),INDEX(Properties!A$1:CB$87,Formula!J51,31))</f>
        <v>3.32</v>
      </c>
      <c r="CX51" s="69">
        <f>MIN(IF(INDEX(Properties!A$1:CB$87,Formula!B51,31)=0,10^6,INDEX(Properties!A$1:CB$87,Formula!B51,31)),IF(INDEX(Properties!A$1:CB$87,Formula!D51,31)=0,10^6,INDEX(Properties!A$1:CB$87,Formula!D51,31)),IF(INDEX(Properties!A$1:CB$87,Formula!F51,31)=0,10^6,INDEX(Properties!A$1:CB$87,Formula!F51,31)),IF(INDEX(Properties!A$1:CB$87,Formula!H51,31)=0,10^6,INDEX(Properties!A$1:CB$87,Formula!H51,31)),IF(INDEX(Properties!A$1:CB$87,Formula!J51,31)=0,10^6,INDEX(Properties!A$1:CB$87,Formula!J51,31)))</f>
        <v>1.1299999999999999</v>
      </c>
      <c r="CY51" s="69">
        <f t="shared" si="16"/>
        <v>2.19</v>
      </c>
      <c r="CZ51" s="42">
        <f>((Formula!C51)/(Formula!C51+Formula!E51+Formula!G51+Formula!I51+Formula!K51))*(INDEX(Properties!A$1:CB$87,Formula!B51,32))+((Formula!E51)/(Formula!C51+Formula!E51+Formula!G51+Formula!I51+Formula!K51))*(INDEX(Properties!A$1:CB$87,Formula!D51,32))+((Formula!G51)/(Formula!C51+Formula!E51+Formula!G51+Formula!I51+Formula!K51))*(INDEX(Properties!A$1:CB$87,Formula!F51,32))+((Formula!I51)/(Formula!C51+Formula!E51+Formula!G51+Formula!I51+Formula!K51))*(INDEX(Properties!A$1:CB$87,Formula!H51,32))+((Formula!K51)/(Formula!C51+Formula!E51+Formula!G51+Formula!I51+Formula!K51))*(INDEX(Properties!A$1:CB$87,Formula!J51,32))</f>
        <v>5.6449999999999996</v>
      </c>
      <c r="DA51" s="42">
        <f>Formula!C51*(INDEX(Properties!A$1:CB$87,Formula!B51,32))+Formula!E51*(INDEX(Properties!A$1:CB$87,Formula!D51,32))+Formula!G51*(INDEX(Properties!A$1:CB$87,Formula!F51,32))+Formula!I51*(INDEX(Properties!A$1:CB$87,Formula!H51,32))+Formula!K51*(INDEX(Properties!A$1:CB$87,Formula!J51,32))</f>
        <v>56.45</v>
      </c>
      <c r="DB51" s="42">
        <f>VARP(IF(INDEX(Properties!A$1:CB$87,Formula!B51,32)&lt;&gt;"",INDEX(Properties!A$1:CB$87,Formula!B51,32)),IF(INDEX(Properties!A$1:CB$87,Formula!D51,32)&lt;&gt;"",INDEX(Properties!A$1:CB$87,Formula!D51,32)),IF(INDEX(Properties!A$1:CB$87,Formula!F51,32)&lt;&gt;"",INDEX(Properties!A$1:CB$87,Formula!F51,32)),IF(INDEX(Properties!A$1:CB$87,Formula!H51,32)&lt;&gt;"",INDEX(Properties!A$1:CB$87,Formula!H51,32)),IF(INDEX(Properties!A$1:CB$87,Formula!J51,32)&lt;&gt;"",INDEX(Properties!A$1:CB$87,Formula!J51,32)))</f>
        <v>6.2482400000000009</v>
      </c>
      <c r="DC51" s="42">
        <f>MAX(INDEX(Properties!A$1:CB$87,Formula!B51,32),INDEX(Properties!A$1:CB$87,Formula!D51,32),INDEX(Properties!A$1:CB$87,Formula!F51,32),INDEX(Properties!A$1:CB$87,Formula!H51,32),INDEX(Properties!A$1:CB$87,Formula!J51,32))</f>
        <v>7.54</v>
      </c>
      <c r="DD51" s="42">
        <f>MIN(IF(INDEX(Properties!A$1:CB$87,Formula!B51,32)=0,10^6,INDEX(Properties!A$1:CB$87,Formula!B51,32)),IF(INDEX(Properties!A$1:CB$87,Formula!D51,32)=0,10^6,INDEX(Properties!A$1:CB$87,Formula!D51,32)),IF(INDEX(Properties!A$1:CB$87,Formula!F51,32)=0,10^6,INDEX(Properties!A$1:CB$87,Formula!F51,32)),IF(INDEX(Properties!A$1:CB$87,Formula!H51,32)=0,10^6,INDEX(Properties!A$1:CB$87,Formula!H51,32)),IF(INDEX(Properties!A$1:CB$87,Formula!J51,32)=0,10^6,INDEX(Properties!A$1:CB$87,Formula!J51,32)))</f>
        <v>2</v>
      </c>
      <c r="DE51" s="42">
        <f t="shared" si="17"/>
        <v>5.54</v>
      </c>
      <c r="DF51" s="60">
        <f>((Formula!C51)/(Formula!C51+Formula!E51+Formula!G51+Formula!I51+Formula!K51))*(INDEX(Properties!A$1:CB$87,Formula!B51,34))+((Formula!E51)/(Formula!C51+Formula!E51+Formula!G51+Formula!I51+Formula!K51))*(INDEX(Properties!A$1:CB$87,Formula!D51,34))+((Formula!G51)/(Formula!C51+Formula!E51+Formula!G51+Formula!I51+Formula!K51))*(INDEX(Properties!A$1:CB$87,Formula!F51,34))+((Formula!I51)/(Formula!C51+Formula!E51+Formula!G51+Formula!I51+Formula!K51))*(INDEX(Properties!A$1:CB$87,Formula!H51,34))+((Formula!K51)/(Formula!C51+Formula!E51+Formula!G51+Formula!I51+Formula!K51))*(INDEX(Properties!A$1:CB$87,Formula!J51,34))</f>
        <v>2.6581999999999999</v>
      </c>
      <c r="DG51" s="60">
        <f>Formula!C51*(INDEX(Properties!A$1:CB$87,Formula!B51,34))+Formula!E51*(INDEX(Properties!A$1:CB$87,Formula!D51,34))+Formula!G51*(INDEX(Properties!A$1:CB$87,Formula!F51,34))+Formula!I51*(INDEX(Properties!A$1:CB$87,Formula!H51,34))+Formula!K51*(INDEX(Properties!A$1:CB$87,Formula!J51,34))</f>
        <v>26.582000000000001</v>
      </c>
      <c r="DH51" s="60">
        <f>VARP(IF(INDEX(Properties!A$1:CB$87,Formula!B51,34)&lt;&gt;"",INDEX(Properties!A$1:CB$87,Formula!B51,34)),IF(INDEX(Properties!A$1:CB$87,Formula!D51,34)&lt;&gt;"",INDEX(Properties!A$1:CB$87,Formula!D51,34)),IF(INDEX(Properties!A$1:CB$87,Formula!F51,34)&lt;&gt;"",INDEX(Properties!A$1:CB$87,Formula!F51,34)),IF(INDEX(Properties!A$1:CB$87,Formula!H51,34)&lt;&gt;"",INDEX(Properties!A$1:CB$87,Formula!H51,34)),IF(INDEX(Properties!A$1:CB$87,Formula!J51,34)&lt;&gt;"",INDEX(Properties!A$1:CB$87,Formula!J51,34)))</f>
        <v>1.4078905600000007</v>
      </c>
      <c r="DI51" s="60">
        <f>MAX(INDEX(Properties!A$1:CB$87,Formula!B51,34),INDEX(Properties!A$1:CB$87,Formula!D51,34),INDEX(Properties!A$1:CB$87,Formula!F51,34),INDEX(Properties!A$1:CB$87,Formula!H51,34),INDEX(Properties!A$1:CB$87,Formula!J51,34))</f>
        <v>3.61</v>
      </c>
      <c r="DJ51" s="60">
        <f>MIN(IF(INDEX(Properties!A$1:CB$87,Formula!B51,34)=0,10^6,INDEX(Properties!A$1:CB$87,Formula!B51,34)),IF(INDEX(Properties!A$1:CB$87,Formula!D51,34)=0,10^6,INDEX(Properties!A$1:CB$87,Formula!D51,34)),IF(INDEX(Properties!A$1:CB$87,Formula!F51,34)=0,10^6,INDEX(Properties!A$1:CB$87,Formula!F51,34)),IF(INDEX(Properties!A$1:CB$87,Formula!H51,34)=0,10^6,INDEX(Properties!A$1:CB$87,Formula!H51,34)),IF(INDEX(Properties!A$1:CB$87,Formula!J51,34)=0,10^6,INDEX(Properties!A$1:CB$87,Formula!J51,34)))</f>
        <v>0.96299999999999997</v>
      </c>
      <c r="DK51" s="60">
        <f t="shared" si="18"/>
        <v>2.6469999999999998</v>
      </c>
      <c r="DL51" s="45">
        <f>((Formula!C51)/(Formula!C51+Formula!E51+Formula!G51+Formula!I51+Formula!K51))*(INDEX(Properties!A$1:CB$87,Formula!B51,39))+((Formula!E51)/(Formula!C51+Formula!E51+Formula!G51+Formula!I51+Formula!K51))*(INDEX(Properties!A$1:CB$87,Formula!D51,39))+((Formula!G51)/(Formula!C51+Formula!E51+Formula!G51+Formula!I51+Formula!K51))*(INDEX(Properties!A$1:CB$87,Formula!F51,39))+((Formula!I51)/(Formula!C51+Formula!E51+Formula!G51+Formula!I51+Formula!K51))*(INDEX(Properties!A$1:CB$87,Formula!H51,39))+((Formula!K51)/(Formula!C51+Formula!E51+Formula!G51+Formula!I51+Formula!K51))*(INDEX(Properties!A$1:CB$87,Formula!J51,39))</f>
        <v>1.0820000000000001</v>
      </c>
      <c r="DM51" s="45">
        <f>Formula!C51*(INDEX(Properties!A$1:CB$87,Formula!B51,39))+Formula!E51*(INDEX(Properties!A$1:CB$87,Formula!D51,39))+Formula!G51*(INDEX(Properties!A$1:CB$87,Formula!F51,39))+Formula!I51*(INDEX(Properties!A$1:CB$87,Formula!H51,39))+Formula!K51*(INDEX(Properties!A$1:CB$87,Formula!J51,39))</f>
        <v>10.82</v>
      </c>
      <c r="DN51" s="45">
        <f>VARP(IF(INDEX(Properties!A$1:CB$87,Formula!B51,39)&lt;&gt;"",INDEX(Properties!A$1:CB$87,Formula!B51,39)),IF(INDEX(Properties!A$1:CB$87,Formula!D51,39)&lt;&gt;"",INDEX(Properties!A$1:CB$87,Formula!D51,39)),IF(INDEX(Properties!A$1:CB$87,Formula!F51,39)&lt;&gt;"",INDEX(Properties!A$1:CB$87,Formula!F51,39)),IF(INDEX(Properties!A$1:CB$87,Formula!H51,39)&lt;&gt;"",INDEX(Properties!A$1:CB$87,Formula!H51,39)),IF(INDEX(Properties!A$1:CB$87,Formula!J51,39)&lt;&gt;"",INDEX(Properties!A$1:CB$87,Formula!J51,39)))</f>
        <v>0.73950399999999972</v>
      </c>
      <c r="DO51" s="45">
        <f>MAX(INDEX(Properties!A$1:CB$87,Formula!B51,39),INDEX(Properties!A$1:CB$87,Formula!D51,39),INDEX(Properties!A$1:CB$87,Formula!F51,39),INDEX(Properties!A$1:CB$87,Formula!H51,39),INDEX(Properties!A$1:CB$87,Formula!J51,39))</f>
        <v>2.19</v>
      </c>
      <c r="DP51" s="45">
        <f>MIN(IF(INDEX(Properties!A$1:CB$87,Formula!B51,39)=0,10^6,INDEX(Properties!A$1:CB$87,Formula!B51,39)),IF(INDEX(Properties!A$1:CB$87,Formula!D51,39)=0,10^6,INDEX(Properties!A$1:CB$87,Formula!D51,39)),IF(INDEX(Properties!A$1:CB$87,Formula!F51,39)=0,10^6,INDEX(Properties!A$1:CB$87,Formula!F51,39)),IF(INDEX(Properties!A$1:CB$87,Formula!H51,39)=0,10^6,INDEX(Properties!A$1:CB$87,Formula!H51,39)),IF(INDEX(Properties!A$1:CB$87,Formula!J51,39)=0,10^6,INDEX(Properties!A$1:CB$87,Formula!J51,39)))</f>
        <v>0.48</v>
      </c>
      <c r="DQ51" s="45">
        <f t="shared" si="19"/>
        <v>1.71</v>
      </c>
      <c r="DR51" s="63">
        <f>((Formula!C51)/(Formula!C51+Formula!E51+Formula!G51+Formula!I51+Formula!K51))*(INDEX(Properties!A$1:CB$87,Formula!B51,40))+((Formula!E51)/(Formula!C51+Formula!E51+Formula!G51+Formula!I51+Formula!K51))*(INDEX(Properties!A$1:CB$87,Formula!D51,40))+((Formula!G51)/(Formula!C51+Formula!E51+Formula!G51+Formula!I51+Formula!K51))*(INDEX(Properties!A$1:CB$87,Formula!F51,40))+((Formula!I51)/(Formula!C51+Formula!E51+Formula!G51+Formula!I51+Formula!K51))*(INDEX(Properties!A$1:CB$87,Formula!H51,40))+((Formula!K51)/(Formula!C51+Formula!E51+Formula!G51+Formula!I51+Formula!K51))*(INDEX(Properties!A$1:CB$87,Formula!J51,40))</f>
        <v>1.1040000000000001</v>
      </c>
      <c r="DS51" s="63">
        <f>Formula!C51*(INDEX(Properties!A$1:CB$87,Formula!B51,40))+Formula!E51*(INDEX(Properties!A$1:CB$87,Formula!D51,40))+Formula!G51*(INDEX(Properties!A$1:CB$87,Formula!F51,40))+Formula!I51*(INDEX(Properties!A$1:CB$87,Formula!H51,40))+Formula!K51*(INDEX(Properties!A$1:CB$87,Formula!J51,40))</f>
        <v>11.04</v>
      </c>
      <c r="DT51" s="63">
        <f>VARP(IF(INDEX(Properties!A$1:CB$87,Formula!B51,40)&lt;&gt;"",INDEX(Properties!A$1:CB$87,Formula!B51,40)),IF(INDEX(Properties!A$1:CB$87,Formula!D51,40)&lt;&gt;"",INDEX(Properties!A$1:CB$87,Formula!D51,40)),IF(INDEX(Properties!A$1:CB$87,Formula!F51,40)&lt;&gt;"",INDEX(Properties!A$1:CB$87,Formula!F51,40)),IF(INDEX(Properties!A$1:CB$87,Formula!H51,40)&lt;&gt;"",INDEX(Properties!A$1:CB$87,Formula!H51,40)),IF(INDEX(Properties!A$1:CB$87,Formula!J51,40)&lt;&gt;"",INDEX(Properties!A$1:CB$87,Formula!J51,40)))</f>
        <v>0.44262399999999968</v>
      </c>
      <c r="DU51" s="63">
        <f>MAX(INDEX(Properties!A$1:CB$87,Formula!B51,40),INDEX(Properties!A$1:CB$87,Formula!D51,40),INDEX(Properties!A$1:CB$87,Formula!F51,40),INDEX(Properties!A$1:CB$87,Formula!H51,40),INDEX(Properties!A$1:CB$87,Formula!J51,40))</f>
        <v>1.92</v>
      </c>
      <c r="DV51" s="63">
        <f>MIN(IF(INDEX(Properties!A$1:CB$87,Formula!B51,40)=0,10^6,INDEX(Properties!A$1:CB$87,Formula!B51,40)),IF(INDEX(Properties!A$1:CB$87,Formula!D51,40)=0,10^6,INDEX(Properties!A$1:CB$87,Formula!D51,40)),IF(INDEX(Properties!A$1:CB$87,Formula!F51,40)=0,10^6,INDEX(Properties!A$1:CB$87,Formula!F51,40)),IF(INDEX(Properties!A$1:CB$87,Formula!H51,40)=0,10^6,INDEX(Properties!A$1:CB$87,Formula!H51,40)),IF(INDEX(Properties!A$1:CB$87,Formula!J51,40)=0,10^6,INDEX(Properties!A$1:CB$87,Formula!J51,40)))</f>
        <v>0.73</v>
      </c>
      <c r="DW51" s="63">
        <f t="shared" si="20"/>
        <v>1.19</v>
      </c>
      <c r="DX51" s="75">
        <f>((Formula!C51)/(Formula!C51+Formula!E51+Formula!G51+Formula!I51+Formula!K51))*(INDEX(Properties!A$1:CB$87,Formula!B51,41))+((Formula!E51)/(Formula!C51+Formula!E51+Formula!G51+Formula!I51+Formula!K51))*(INDEX(Properties!A$1:CB$87,Formula!D51,41))+((Formula!G51)/(Formula!C51+Formula!E51+Formula!G51+Formula!I51+Formula!K51))*(INDEX(Properties!A$1:CB$87,Formula!F51,41))+((Formula!I51)/(Formula!C51+Formula!E51+Formula!G51+Formula!I51+Formula!K51))*(INDEX(Properties!A$1:CB$87,Formula!H51,41))+((Formula!K51)/(Formula!C51+Formula!E51+Formula!G51+Formula!I51+Formula!K51))*(INDEX(Properties!A$1:CB$87,Formula!J51,41))</f>
        <v>1.2</v>
      </c>
      <c r="DY51" s="75">
        <f>Formula!C51*(INDEX(Properties!A$1:CB$87,Formula!B51,41))+Formula!E51*(INDEX(Properties!A$1:CB$87,Formula!D51,41))+Formula!G51*(INDEX(Properties!A$1:CB$87,Formula!F51,41))+Formula!I51*(INDEX(Properties!A$1:CB$87,Formula!H51,41))+Formula!K51*(INDEX(Properties!A$1:CB$87,Formula!J51,41))</f>
        <v>12</v>
      </c>
      <c r="DZ51" s="75">
        <f>VARP(IF(INDEX(Properties!A$1:CB$87,Formula!B51,41)&lt;&gt;"",INDEX(Properties!A$1:CB$87,Formula!B51,41)),IF(INDEX(Properties!A$1:CB$87,Formula!D51,41)&lt;&gt;"",INDEX(Properties!A$1:CB$87,Formula!D51,41)),IF(INDEX(Properties!A$1:CB$87,Formula!F51,41)&lt;&gt;"",INDEX(Properties!A$1:CB$87,Formula!F51,41)),IF(INDEX(Properties!A$1:CB$87,Formula!H51,41)&lt;&gt;"",INDEX(Properties!A$1:CB$87,Formula!H51,41)),IF(INDEX(Properties!A$1:CB$87,Formula!J51,41)&lt;&gt;"",INDEX(Properties!A$1:CB$87,Formula!J51,41)))</f>
        <v>0.22326400000000021</v>
      </c>
      <c r="EA51" s="75">
        <f>MAX(INDEX(Properties!A$1:CB$87,Formula!B51,41),INDEX(Properties!A$1:CB$87,Formula!D51,41),INDEX(Properties!A$1:CB$87,Formula!F51,41),INDEX(Properties!A$1:CB$87,Formula!H51,41),INDEX(Properties!A$1:CB$87,Formula!J51,41))</f>
        <v>1.32</v>
      </c>
      <c r="EB51" s="75">
        <f>MIN(IF(INDEX(Properties!A$1:CB$87,Formula!B51,41)=0,10^6,INDEX(Properties!A$1:CB$87,Formula!B51,41)),IF(INDEX(Properties!A$1:CB$87,Formula!D51,41)=0,10^6,INDEX(Properties!A$1:CB$87,Formula!D51,41)),IF(INDEX(Properties!A$1:CB$87,Formula!F51,41)=0,10^6,INDEX(Properties!A$1:CB$87,Formula!F51,41)),IF(INDEX(Properties!A$1:CB$87,Formula!H51,41)=0,10^6,INDEX(Properties!A$1:CB$87,Formula!H51,41)),IF(INDEX(Properties!A$1:CB$87,Formula!J51,41)=0,10^6,INDEX(Properties!A$1:CB$87,Formula!J51,41)))</f>
        <v>0.86</v>
      </c>
      <c r="EC51" s="75">
        <f t="shared" si="21"/>
        <v>0.46000000000000008</v>
      </c>
      <c r="ED51" s="48">
        <f>((Formula!C51)/(Formula!C51+Formula!E51+Formula!G51+Formula!I51+Formula!K51))*(INDEX(Properties!A$1:CB$87,Formula!B51,45))+((Formula!E51)/(Formula!C51+Formula!E51+Formula!G51+Formula!I51+Formula!K51))*(INDEX(Properties!A$1:CB$87,Formula!D51,45))+((Formula!G51)/(Formula!C51+Formula!E51+Formula!G51+Formula!I51+Formula!K51))*(INDEX(Properties!A$1:CB$87,Formula!F51,45))+((Formula!I51)/(Formula!C51+Formula!E51+Formula!G51+Formula!I51+Formula!K51))*(INDEX(Properties!A$1:CB$87,Formula!H51,45))+((Formula!K51)/(Formula!C51+Formula!E51+Formula!G51+Formula!I51+Formula!K51))*(INDEX(Properties!A$1:CB$87,Formula!J51,45))</f>
        <v>1.4079999999999999</v>
      </c>
      <c r="EE51" s="48">
        <f>Formula!C51*(INDEX(Properties!A$1:CB$87,Formula!B51,45))+Formula!E51*(INDEX(Properties!A$1:CB$87,Formula!D51,45))+Formula!G51*(INDEX(Properties!A$1:CB$87,Formula!F51,45))+Formula!I51*(INDEX(Properties!A$1:CB$87,Formula!H51,45))+Formula!K51*(INDEX(Properties!A$1:CB$87,Formula!J51,45))</f>
        <v>14.079999999999998</v>
      </c>
      <c r="EF51" s="48">
        <f>VARP(IF(INDEX(Properties!A$1:CB$87,Formula!B51,45)&lt;&gt;"",INDEX(Properties!A$1:CB$87,Formula!B51,45)),IF(INDEX(Properties!A$1:CB$87,Formula!D51,45)&lt;&gt;"",INDEX(Properties!A$1:CB$87,Formula!D51,45)),IF(INDEX(Properties!A$1:CB$87,Formula!F51,45)&lt;&gt;"",INDEX(Properties!A$1:CB$87,Formula!F51,45)),IF(INDEX(Properties!A$1:CB$87,Formula!H51,45)&lt;&gt;"",INDEX(Properties!A$1:CB$87,Formula!H51,45)),IF(INDEX(Properties!A$1:CB$87,Formula!J51,45)&lt;&gt;"",INDEX(Properties!A$1:CB$87,Formula!J51,45)))</f>
        <v>1.5987039999999997</v>
      </c>
      <c r="EG51" s="48">
        <f>MAX(INDEX(Properties!A$1:CB$87,Formula!B51,45),INDEX(Properties!A$1:CB$87,Formula!D51,45),INDEX(Properties!A$1:CB$87,Formula!F51,45),INDEX(Properties!A$1:CB$87,Formula!H51,45),INDEX(Properties!A$1:CB$87,Formula!J51,45))</f>
        <v>3.21</v>
      </c>
      <c r="EH51" s="48">
        <f>MIN(IF(INDEX(Properties!A$1:CB$87,Formula!B51,45)=0,10^6,INDEX(Properties!A$1:CB$87,Formula!B51,45)),IF(INDEX(Properties!A$1:CB$87,Formula!D51,45)=0,10^6,INDEX(Properties!A$1:CB$87,Formula!D51,45)),IF(INDEX(Properties!A$1:CB$87,Formula!F51,45)=0,10^6,INDEX(Properties!A$1:CB$87,Formula!F51,45)),IF(INDEX(Properties!A$1:CB$87,Formula!H51,45)=0,10^6,INDEX(Properties!A$1:CB$87,Formula!H51,45)),IF(INDEX(Properties!A$1:CB$87,Formula!J51,45)=0,10^6,INDEX(Properties!A$1:CB$87,Formula!J51,45)))</f>
        <v>0.47</v>
      </c>
      <c r="EI51" s="48">
        <f t="shared" si="22"/>
        <v>2.74</v>
      </c>
      <c r="EJ51" s="66">
        <f>((Formula!C51)/(Formula!C51+Formula!E51+Formula!G51+Formula!I51+Formula!K51))*(INDEX(Properties!A$1:CB$87,Formula!B51,46))+((Formula!E51)/(Formula!C51+Formula!E51+Formula!G51+Formula!I51+Formula!K51))*(INDEX(Properties!A$1:CB$87,Formula!D51,46))+((Formula!G51)/(Formula!C51+Formula!E51+Formula!G51+Formula!I51+Formula!K51))*(INDEX(Properties!A$1:CB$87,Formula!F51,46))+((Formula!I51)/(Formula!C51+Formula!E51+Formula!G51+Formula!I51+Formula!K51))*(INDEX(Properties!A$1:CB$87,Formula!H51,46))+((Formula!K51)/(Formula!C51+Formula!E51+Formula!G51+Formula!I51+Formula!K51))*(INDEX(Properties!A$1:CB$87,Formula!J51,46))</f>
        <v>1.1619999999999999</v>
      </c>
      <c r="EK51" s="66">
        <f>Formula!C51*(INDEX(Properties!A$1:CB$87,Formula!B51,46))+Formula!E51*(INDEX(Properties!A$1:CB$87,Formula!D51,46))+Formula!G51*(INDEX(Properties!A$1:CB$87,Formula!F51,46))+Formula!I51*(INDEX(Properties!A$1:CB$87,Formula!H51,46))+Formula!K51*(INDEX(Properties!A$1:CB$87,Formula!J51,46))</f>
        <v>11.620000000000001</v>
      </c>
      <c r="EL51" s="66">
        <f>VARP(IF(INDEX(Properties!A$1:CB$87,Formula!B51,46)&lt;&gt;"",INDEX(Properties!A$1:CB$87,Formula!B51,46)),IF(INDEX(Properties!A$1:CB$87,Formula!D51,46)&lt;&gt;"",INDEX(Properties!A$1:CB$87,Formula!D51,46)),IF(INDEX(Properties!A$1:CB$87,Formula!F51,46)&lt;&gt;"",INDEX(Properties!A$1:CB$87,Formula!F51,46)),IF(INDEX(Properties!A$1:CB$87,Formula!H51,46)&lt;&gt;"",INDEX(Properties!A$1:CB$87,Formula!H51,46)),IF(INDEX(Properties!A$1:CB$87,Formula!J51,46)&lt;&gt;"",INDEX(Properties!A$1:CB$87,Formula!J51,46)))</f>
        <v>0.21719999999999998</v>
      </c>
      <c r="EM51" s="66">
        <f>MAX(INDEX(Properties!A$1:CB$87,Formula!B51,46),INDEX(Properties!A$1:CB$87,Formula!D51,46),INDEX(Properties!A$1:CB$87,Formula!F51,46),INDEX(Properties!A$1:CB$87,Formula!H51,46),INDEX(Properties!A$1:CB$87,Formula!J51,46))</f>
        <v>1.32</v>
      </c>
      <c r="EN51" s="66">
        <f>MIN(IF(INDEX(Properties!A$1:CB$87,Formula!B51,46)=0,10^6,INDEX(Properties!A$1:CB$87,Formula!B51,46)),IF(INDEX(Properties!A$1:CB$87,Formula!D51,46)=0,10^6,INDEX(Properties!A$1:CB$87,Formula!D51,46)),IF(INDEX(Properties!A$1:CB$87,Formula!F51,46)=0,10^6,INDEX(Properties!A$1:CB$87,Formula!F51,46)),IF(INDEX(Properties!A$1:CB$87,Formula!H51,46)=0,10^6,INDEX(Properties!A$1:CB$87,Formula!H51,46)),IF(INDEX(Properties!A$1:CB$87,Formula!J51,46)=0,10^6,INDEX(Properties!A$1:CB$87,Formula!J51,46)))</f>
        <v>0.78</v>
      </c>
      <c r="EO51" s="66">
        <f t="shared" si="23"/>
        <v>0.54</v>
      </c>
      <c r="EP51" s="81">
        <f>((Formula!C51)/(Formula!C51+Formula!E51+Formula!G51+Formula!I51+Formula!K51))*(INDEX(Properties!A$1:CB$87,Formula!B51,52))+((Formula!E51)/(Formula!C51+Formula!E51+Formula!G51+Formula!I51+Formula!K51))*(INDEX(Properties!A$1:CB$87,Formula!D51,52))+((Formula!G51)/(Formula!C51+Formula!E51+Formula!G51+Formula!I51+Formula!K51))*(INDEX(Properties!A$1:CB$87,Formula!F51,52))+((Formula!I51)/(Formula!C51+Formula!E51+Formula!G51+Formula!I51+Formula!K51))*(INDEX(Properties!A$1:CB$87,Formula!H51,52))+((Formula!K51)/(Formula!C51+Formula!E51+Formula!G51+Formula!I51+Formula!K51))*(INDEX(Properties!A$1:CB$87,Formula!J51,52))</f>
        <v>8.2758000000000003</v>
      </c>
      <c r="EQ51" s="81">
        <f>Formula!C51*(INDEX(Properties!A$1:CB$87,Formula!B51,52))+Formula!E51*(INDEX(Properties!A$1:CB$87,Formula!D51,52))+Formula!G51*(INDEX(Properties!A$1:CB$87,Formula!F51,52))+Formula!I51*(INDEX(Properties!A$1:CB$87,Formula!H51,52))+Formula!K51*(INDEX(Properties!A$1:CB$87,Formula!J51,52))</f>
        <v>82.757999999999996</v>
      </c>
      <c r="ER51" s="81">
        <f>VARP(IF(INDEX(Properties!A$1:CB$87,Formula!B51,52)&lt;&gt;"",INDEX(Properties!A$1:CB$87,Formula!B51,52)),IF(INDEX(Properties!A$1:CB$87,Formula!D51,52)&lt;&gt;"",INDEX(Properties!A$1:CB$87,Formula!D51,52)),IF(INDEX(Properties!A$1:CB$87,Formula!F51,52)&lt;&gt;"",INDEX(Properties!A$1:CB$87,Formula!F51,52)),IF(INDEX(Properties!A$1:CB$87,Formula!H51,52)&lt;&gt;"",INDEX(Properties!A$1:CB$87,Formula!H51,52)),IF(INDEX(Properties!A$1:CB$87,Formula!J51,52)&lt;&gt;"",INDEX(Properties!A$1:CB$87,Formula!J51,52)))</f>
        <v>100.78883983999999</v>
      </c>
      <c r="ES51" s="81">
        <f>MAX(INDEX(Properties!A$1:CB$87,Formula!B51,52),INDEX(Properties!A$1:CB$87,Formula!D51,52),INDEX(Properties!A$1:CB$87,Formula!F51,52),INDEX(Properties!A$1:CB$87,Formula!H51,52),INDEX(Properties!A$1:CB$87,Formula!J51,52))</f>
        <v>27.6</v>
      </c>
      <c r="ET51" s="81">
        <f>MIN(IF(INDEX(Properties!A$1:CB$87,Formula!B51,52)=0,10^6,INDEX(Properties!A$1:CB$87,Formula!B51,52)),IF(INDEX(Properties!A$1:CB$87,Formula!D51,52)=0,10^6,INDEX(Properties!A$1:CB$87,Formula!D51,52)),IF(INDEX(Properties!A$1:CB$87,Formula!F51,52)=0,10^6,INDEX(Properties!A$1:CB$87,Formula!F51,52)),IF(INDEX(Properties!A$1:CB$87,Formula!H51,52)=0,10^6,INDEX(Properties!A$1:CB$87,Formula!H51,52)),IF(INDEX(Properties!A$1:CB$87,Formula!J51,52)=0,10^6,INDEX(Properties!A$1:CB$87,Formula!J51,52)))</f>
        <v>0.79300000000000004</v>
      </c>
      <c r="EU51" s="81">
        <f t="shared" si="24"/>
        <v>26.807000000000002</v>
      </c>
      <c r="EV51" s="39">
        <f>((Formula!C51)/(Formula!C51+Formula!E51+Formula!G51+Formula!I51+Formula!K51))*(INDEX(Properties!A$1:CB$87,Formula!B51,53))+((Formula!E51)/(Formula!C51+Formula!E51+Formula!G51+Formula!I51+Formula!K51))*(INDEX(Properties!A$1:CB$87,Formula!D51,53))+((Formula!G51)/(Formula!C51+Formula!E51+Formula!G51+Formula!I51+Formula!K51))*(INDEX(Properties!A$1:CB$87,Formula!F51,53))+((Formula!I51)/(Formula!C51+Formula!E51+Formula!G51+Formula!I51+Formula!K51))*(INDEX(Properties!A$1:CB$87,Formula!H51,53))+((Formula!K51)/(Formula!C51+Formula!E51+Formula!G51+Formula!I51+Formula!K51))*(INDEX(Properties!A$1:CB$87,Formula!J51,53))</f>
        <v>611.17000000000007</v>
      </c>
      <c r="EW51" s="39">
        <f>Formula!C51*(INDEX(Properties!A$1:CB$87,Formula!B51,53))+Formula!E51*(INDEX(Properties!A$1:CB$87,Formula!D51,53))+Formula!G51*(INDEX(Properties!A$1:CB$87,Formula!F51,53))+Formula!I51*(INDEX(Properties!A$1:CB$87,Formula!H51,53))+Formula!K51*(INDEX(Properties!A$1:CB$87,Formula!J51,53))</f>
        <v>6111.7000000000007</v>
      </c>
      <c r="EX51" s="39">
        <f>VARP(IF(INDEX(Properties!A$1:CB$87,Formula!B51,53)&lt;&gt;"",INDEX(Properties!A$1:CB$87,Formula!B51,53)),IF(INDEX(Properties!A$1:CB$87,Formula!D51,53)&lt;&gt;"",INDEX(Properties!A$1:CB$87,Formula!D51,53)),IF(INDEX(Properties!A$1:CB$87,Formula!F51,53)&lt;&gt;"",INDEX(Properties!A$1:CB$87,Formula!F51,53)),IF(INDEX(Properties!A$1:CB$87,Formula!H51,53)&lt;&gt;"",INDEX(Properties!A$1:CB$87,Formula!H51,53)),IF(INDEX(Properties!A$1:CB$87,Formula!J51,53)&lt;&gt;"",INDEX(Properties!A$1:CB$87,Formula!J51,53)))</f>
        <v>1472232.2884</v>
      </c>
      <c r="EY51" s="39">
        <f>MAX(INDEX(Properties!A$1:CB$87,Formula!B51,53),INDEX(Properties!A$1:CB$87,Formula!D51,53),INDEX(Properties!A$1:CB$87,Formula!F51,53),INDEX(Properties!A$1:CB$87,Formula!H51,53),INDEX(Properties!A$1:CB$87,Formula!J51,53))</f>
        <v>3269.15</v>
      </c>
      <c r="EZ51" s="39">
        <f>MIN(IF(INDEX(Properties!A$1:CB$87,Formula!B51,53)=0,10^6,INDEX(Properties!A$1:CB$87,Formula!B51,53)),IF(INDEX(Properties!A$1:CB$87,Formula!D51,53)=0,10^6,INDEX(Properties!A$1:CB$87,Formula!D51,53)),IF(INDEX(Properties!A$1:CB$87,Formula!F51,53)=0,10^6,INDEX(Properties!A$1:CB$87,Formula!F51,53)),IF(INDEX(Properties!A$1:CB$87,Formula!H51,53)=0,10^6,INDEX(Properties!A$1:CB$87,Formula!H51,53)),IF(INDEX(Properties!A$1:CB$87,Formula!J51,53)=0,10^6,INDEX(Properties!A$1:CB$87,Formula!J51,53)))</f>
        <v>54.749999999999972</v>
      </c>
      <c r="FA51" s="39">
        <f t="shared" si="25"/>
        <v>3214.4</v>
      </c>
      <c r="FB51" s="54">
        <f>((Formula!C51)/(Formula!C51+Formula!E51+Formula!G51+Formula!I51+Formula!K51))*(INDEX(Properties!A$1:CB$87,Formula!B51,54))+((Formula!E51)/(Formula!C51+Formula!E51+Formula!G51+Formula!I51+Formula!K51))*(INDEX(Properties!A$1:CB$87,Formula!D51,54))+((Formula!G51)/(Formula!C51+Formula!E51+Formula!G51+Formula!I51+Formula!K51))*(INDEX(Properties!A$1:CB$87,Formula!F51,54))+((Formula!I51)/(Formula!C51+Formula!E51+Formula!G51+Formula!I51+Formula!K51))*(INDEX(Properties!A$1:CB$87,Formula!H51,54))+((Formula!K51)/(Formula!C51+Formula!E51+Formula!G51+Formula!I51+Formula!K51))*(INDEX(Properties!A$1:CB$87,Formula!J51,54))</f>
        <v>1190.6499999999999</v>
      </c>
      <c r="FC51" s="54">
        <f>Formula!C51*(INDEX(Properties!A$1:CB$87,Formula!B51,54))+Formula!E51*(INDEX(Properties!A$1:CB$87,Formula!D51,54))+Formula!G51*(INDEX(Properties!A$1:CB$87,Formula!F51,54))+Formula!I51*(INDEX(Properties!A$1:CB$87,Formula!H51,54))+Formula!K51*(INDEX(Properties!A$1:CB$87,Formula!J51,54))</f>
        <v>11906.5</v>
      </c>
      <c r="FD51" s="54">
        <f>VARP(IF(INDEX(Properties!A$1:CB$87,Formula!B51,54)&lt;&gt;"",INDEX(Properties!A$1:CB$87,Formula!B51,54)),IF(INDEX(Properties!A$1:CB$87,Formula!D51,54)&lt;&gt;"",INDEX(Properties!A$1:CB$87,Formula!D51,54)),IF(INDEX(Properties!A$1:CB$87,Formula!F51,54)&lt;&gt;"",INDEX(Properties!A$1:CB$87,Formula!F51,54)),IF(INDEX(Properties!A$1:CB$87,Formula!H51,54)&lt;&gt;"",INDEX(Properties!A$1:CB$87,Formula!H51,54)),IF(INDEX(Properties!A$1:CB$87,Formula!J51,54)&lt;&gt;"",INDEX(Properties!A$1:CB$87,Formula!J51,54)))</f>
        <v>4311597.8195999991</v>
      </c>
      <c r="FE51" s="54">
        <f>MAX(INDEX(Properties!A$1:CB$87,Formula!B51,54),INDEX(Properties!A$1:CB$87,Formula!D51,54),INDEX(Properties!A$1:CB$87,Formula!F51,54),INDEX(Properties!A$1:CB$87,Formula!H51,54),INDEX(Properties!A$1:CB$87,Formula!J51,54))</f>
        <v>5698.15</v>
      </c>
      <c r="FF51" s="54">
        <f>MIN(IF(INDEX(Properties!A$1:CB$87,Formula!B51,54)=0,10^6,INDEX(Properties!A$1:CB$87,Formula!B51,54)),IF(INDEX(Properties!A$1:CB$87,Formula!D51,54)=0,10^6,INDEX(Properties!A$1:CB$87,Formula!D51,54)),IF(INDEX(Properties!A$1:CB$87,Formula!F51,54)=0,10^6,INDEX(Properties!A$1:CB$87,Formula!F51,54)),IF(INDEX(Properties!A$1:CB$87,Formula!H51,54)=0,10^6,INDEX(Properties!A$1:CB$87,Formula!H51,54)),IF(INDEX(Properties!A$1:CB$87,Formula!J51,54)=0,10^6,INDEX(Properties!A$1:CB$87,Formula!J51,54)))</f>
        <v>90.149999999999977</v>
      </c>
      <c r="FG51" s="54">
        <f t="shared" si="26"/>
        <v>5608</v>
      </c>
      <c r="FH51" s="69">
        <f>((Formula!C51)/(Formula!C51+Formula!E51+Formula!G51+Formula!I51+Formula!K51))*(INDEX(Properties!A$1:CB$87,Formula!B51,55))+((Formula!E51)/(Formula!C51+Formula!E51+Formula!G51+Formula!I51+Formula!K51))*(INDEX(Properties!A$1:CB$87,Formula!D51,55))+((Formula!G51)/(Formula!C51+Formula!E51+Formula!G51+Formula!I51+Formula!K51))*(INDEX(Properties!A$1:CB$87,Formula!F51,55))+((Formula!I51)/(Formula!C51+Formula!E51+Formula!G51+Formula!I51+Formula!K51))*(INDEX(Properties!A$1:CB$87,Formula!H51,55))+((Formula!K51)/(Formula!C51+Formula!E51+Formula!G51+Formula!I51+Formula!K51))*(INDEX(Properties!A$1:CB$87,Formula!J51,55))</f>
        <v>2.9178580000000003</v>
      </c>
      <c r="FI51" s="69">
        <f>Formula!C51*(INDEX(Properties!A$1:CB$87,Formula!B51,55))+Formula!E51*(INDEX(Properties!A$1:CB$87,Formula!D51,54))+Formula!G51*(INDEX(Properties!A$1:CB$87,Formula!F51,55))+Formula!I51*(INDEX(Properties!A$1:CB$87,Formula!H51,55))+Formula!K51*(INDEX(Properties!A$1:CB$87,Formula!J51,55))</f>
        <v>2375.0185800000004</v>
      </c>
      <c r="FJ51" s="69">
        <f>VARP(IF(INDEX(Properties!A$1:CB$87,Formula!B51,55)&lt;&gt;"",INDEX(Properties!A$1:CB$87,Formula!B51,55)),IF(INDEX(Properties!A$1:CB$87,Formula!D51,55)&lt;&gt;"",INDEX(Properties!A$1:CB$87,Formula!D51,55)),IF(INDEX(Properties!A$1:CB$87,Formula!F51,55)&lt;&gt;"",INDEX(Properties!A$1:CB$87,Formula!F51,55)),IF(INDEX(Properties!A$1:CB$87,Formula!H51,55)&lt;&gt;"",INDEX(Properties!A$1:CB$87,Formula!H51,55)),IF(INDEX(Properties!A$1:CB$87,Formula!J51,55)&lt;&gt;"",INDEX(Properties!A$1:CB$87,Formula!J51,55)))</f>
        <v>39.004700151184018</v>
      </c>
      <c r="FK51" s="69">
        <f>MAX(INDEX(Properties!A$1:CB$87,Formula!B51,55),INDEX(Properties!A$1:CB$87,Formula!D51,55),INDEX(Properties!A$1:CB$87,Formula!F51,55),INDEX(Properties!A$1:CB$87,Formula!H51,55),INDEX(Properties!A$1:CB$87,Formula!J51,55))</f>
        <v>16.600000000000001</v>
      </c>
      <c r="FL51" s="69">
        <f>MIN(IF(INDEX(Properties!A$1:CB$87,Formula!B51,55)=0,10^6,INDEX(Properties!A$1:CB$87,Formula!B51,55)),IF(INDEX(Properties!A$1:CB$87,Formula!D51,55)=0,10^6,INDEX(Properties!A$1:CB$87,Formula!D51,55)),IF(INDEX(Properties!A$1:CB$87,Formula!F51,55)=0,10^6,INDEX(Properties!A$1:CB$87,Formula!F51,55)),IF(INDEX(Properties!A$1:CB$87,Formula!H51,55)=0,10^6,INDEX(Properties!A$1:CB$87,Formula!H51,55)),IF(INDEX(Properties!A$1:CB$87,Formula!J51,55)=0,10^6,INDEX(Properties!A$1:CB$87,Formula!J51,55)))</f>
        <v>1.4300000000000001E-3</v>
      </c>
      <c r="FM51" s="69">
        <f t="shared" si="27"/>
        <v>16.598570000000002</v>
      </c>
      <c r="FN51" s="42">
        <f>((Formula!C51)/(Formula!C51+Formula!E51+Formula!G51+Formula!I51+Formula!K51))*(INDEX(Properties!A$1:CB$87,Formula!B51,56))+((Formula!E51)/(Formula!C51+Formula!E51+Formula!G51+Formula!I51+Formula!K51))*(INDEX(Properties!A$1:CB$87,Formula!D51,56))+((Formula!G51)/(Formula!C51+Formula!E51+Formula!G51+Formula!I51+Formula!K51))*(INDEX(Properties!A$1:CB$87,Formula!F51,56))+((Formula!I51)/(Formula!C51+Formula!E51+Formula!G51+Formula!I51+Formula!K51))*(INDEX(Properties!A$1:CB$87,Formula!H51,56))+((Formula!K51)/(Formula!C51+Formula!E51+Formula!G51+Formula!I51+Formula!K51))*(INDEX(Properties!A$1:CB$87,Formula!J51,56))</f>
        <v>0.64900000000000002</v>
      </c>
      <c r="FO51" s="42">
        <f>Formula!C51*(INDEX(Properties!A$1:CB$87,Formula!B51,56))+Formula!E51*(INDEX(Properties!A$1:CB$87,Formula!D51,56))+Formula!G51*(INDEX(Properties!A$1:CB$87,Formula!F51,56))+Formula!I51*(INDEX(Properties!A$1:CB$87,Formula!H51,56))+Formula!K51*(INDEX(Properties!A$1:CB$87,Formula!J51,56))</f>
        <v>6.49</v>
      </c>
      <c r="FP51" s="42">
        <f>VARP(IF(INDEX(Properties!A$1:CB$87,Formula!B51,56)&lt;&gt;"",INDEX(Properties!A$1:CB$87,Formula!B51,56)),IF(INDEX(Properties!A$1:CB$87,Formula!D51,56)&lt;&gt;"",INDEX(Properties!A$1:CB$87,Formula!D51,56)),IF(INDEX(Properties!A$1:CB$87,Formula!F51,56)&lt;&gt;"",INDEX(Properties!A$1:CB$87,Formula!F51,56)),IF(INDEX(Properties!A$1:CB$87,Formula!H51,56)&lt;&gt;"",INDEX(Properties!A$1:CB$87,Formula!H51,56)),IF(INDEX(Properties!A$1:CB$87,Formula!J51,56)&lt;&gt;"",INDEX(Properties!A$1:CB$87,Formula!J51,56)))</f>
        <v>0.10065600000000004</v>
      </c>
      <c r="FQ51" s="42">
        <f>MAX(INDEX(Properties!A$1:CB$87,Formula!B51,56),INDEX(Properties!A$1:CB$87,Formula!D51,56),INDEX(Properties!A$1:CB$87,Formula!F51,56),INDEX(Properties!A$1:CB$87,Formula!H51,56),INDEX(Properties!A$1:CB$87,Formula!J51,56))</f>
        <v>0.92</v>
      </c>
      <c r="FR51" s="42">
        <f>MIN(IF(INDEX(Properties!A$1:CB$87,Formula!B51,56)=0,10^6,INDEX(Properties!A$1:CB$87,Formula!B51,56)),IF(INDEX(Properties!A$1:CB$87,Formula!D51,56)=0,10^6,INDEX(Properties!A$1:CB$87,Formula!D51,56)),IF(INDEX(Properties!A$1:CB$87,Formula!F51,56)=0,10^6,INDEX(Properties!A$1:CB$87,Formula!F51,56)),IF(INDEX(Properties!A$1:CB$87,Formula!H51,56)=0,10^6,INDEX(Properties!A$1:CB$87,Formula!H51,56)),IF(INDEX(Properties!A$1:CB$87,Formula!J51,56)=0,10^6,INDEX(Properties!A$1:CB$87,Formula!J51,56)))</f>
        <v>0.14000000000000001</v>
      </c>
      <c r="FS51" s="42">
        <f t="shared" si="28"/>
        <v>0.78</v>
      </c>
      <c r="FT51" s="60">
        <f>((Formula!C51)/(Formula!C51+Formula!E51+Formula!G51+Formula!I51+Formula!K51))*(INDEX(Properties!A$1:CB$87,Formula!B51,57))+((Formula!E51)/(Formula!C51+Formula!E51+Formula!G51+Formula!I51+Formula!K51))*(INDEX(Properties!A$1:CB$87,Formula!D51,57))+((Formula!G51)/(Formula!C51+Formula!E51+Formula!G51+Formula!I51+Formula!K51))*(INDEX(Properties!A$1:CB$87,Formula!F51,57))+((Formula!I51)/(Formula!C51+Formula!E51+Formula!G51+Formula!I51+Formula!K51))*(INDEX(Properties!A$1:CB$87,Formula!H51,57))+((Formula!K51)/(Formula!C51+Formula!E51+Formula!G51+Formula!I51+Formula!K51))*(INDEX(Properties!A$1:CB$87,Formula!J51,57))</f>
        <v>5.2798540000000003</v>
      </c>
      <c r="FU51" s="60">
        <f>Formula!C51*(INDEX(Properties!A$1:CB$87,Formula!B51,57))+Formula!E51*(INDEX(Properties!A$1:CB$87,Formula!D51,57))+Formula!G51*(INDEX(Properties!A$1:CB$87,Formula!F51,57))+Formula!I51*(INDEX(Properties!A$1:CB$87,Formula!H51,57))+Formula!K51*(INDEX(Properties!A$1:CB$87,Formula!J51,57))</f>
        <v>52.798540000000003</v>
      </c>
      <c r="FV51" s="60">
        <f>VARP(IF(INDEX(Properties!A$1:CB$87,Formula!B51,57)&lt;&gt;"",INDEX(Properties!A$1:CB$87,Formula!B51,57)),IF(INDEX(Properties!A$1:CB$87,Formula!D51,57)&lt;&gt;"",INDEX(Properties!A$1:CB$87,Formula!D51,57)),IF(INDEX(Properties!A$1:CB$87,Formula!F51,57)&lt;&gt;"",INDEX(Properties!A$1:CB$87,Formula!F51,57)),IF(INDEX(Properties!A$1:CB$87,Formula!H51,57)&lt;&gt;"",INDEX(Properties!A$1:CB$87,Formula!H51,57)),IF(INDEX(Properties!A$1:CB$87,Formula!J51,57)&lt;&gt;"",INDEX(Properties!A$1:CB$87,Formula!J51,57)))</f>
        <v>140.33696627569603</v>
      </c>
      <c r="FW51" s="60">
        <f>MAX(INDEX(Properties!A$1:CB$87,Formula!B51,57),INDEX(Properties!A$1:CB$87,Formula!D51,57),INDEX(Properties!A$1:CB$87,Formula!F51,57),INDEX(Properties!A$1:CB$87,Formula!H51,57),INDEX(Properties!A$1:CB$87,Formula!J51,57))</f>
        <v>31.6</v>
      </c>
      <c r="FX51" s="60">
        <f>MIN(IF(INDEX(Properties!A$1:CB$87,Formula!B51,57)=0,10^6,INDEX(Properties!A$1:CB$87,Formula!B51,57)),IF(INDEX(Properties!A$1:CB$87,Formula!D51,57)=0,10^6,INDEX(Properties!A$1:CB$87,Formula!D51,57)),IF(INDEX(Properties!A$1:CB$87,Formula!F51,57)=0,10^6,INDEX(Properties!A$1:CB$87,Formula!F51,57)),IF(INDEX(Properties!A$1:CB$87,Formula!H51,57)=0,10^6,INDEX(Properties!A$1:CB$87,Formula!H51,57)),IF(INDEX(Properties!A$1:CB$87,Formula!J51,57)=0,10^6,INDEX(Properties!A$1:CB$87,Formula!J51,57)))</f>
        <v>0.22259000000000001</v>
      </c>
      <c r="FY51" s="60">
        <f t="shared" si="29"/>
        <v>31.377410000000001</v>
      </c>
      <c r="FZ51" s="72">
        <f>((Formula!C51)/(Formula!C51+Formula!E51+Formula!G51+Formula!I51+Formula!K51))*(INDEX(Properties!A$1:CB$87,Formula!B51,60))+((Formula!E51)/(Formula!C51+Formula!E51+Formula!G51+Formula!I51+Formula!K51))*(INDEX(Properties!A$1:CB$87,Formula!D51,60))+((Formula!G51)/(Formula!C51+Formula!E51+Formula!G51+Formula!I51+Formula!K51))*(INDEX(Properties!A$1:CB$87,Formula!F51,60))+((Formula!I51)/(Formula!C51+Formula!E51+Formula!G51+Formula!I51+Formula!K51))*(INDEX(Properties!A$1:CB$87,Formula!H51,60))+((Formula!K51)/(Formula!C51+Formula!E51+Formula!G51+Formula!I51+Formula!K51))*(INDEX(Properties!A$1:CB$87,Formula!J51,60))</f>
        <v>20.986044</v>
      </c>
      <c r="GA51" s="72">
        <f>Formula!C51*(INDEX(Properties!A$1:CB$87,Formula!B51,60))+Formula!E51*(INDEX(Properties!A$1:CB$87,Formula!D51,60))+Formula!G51*(INDEX(Properties!A$1:CB$87,Formula!F51,60))+Formula!I51*(INDEX(Properties!A$1:CB$87,Formula!H51,60))+Formula!K51*(INDEX(Properties!A$1:CB$87,Formula!J51,60))</f>
        <v>209.86043999999998</v>
      </c>
      <c r="GB51" s="72">
        <f>VARP(IF(INDEX(Properties!A$1:CB$87,Formula!B51,60)&lt;&gt;"",INDEX(Properties!A$1:CB$87,Formula!B51,60)),IF(INDEX(Properties!A$1:CB$87,Formula!D51,60)&lt;&gt;"",INDEX(Properties!A$1:CB$87,Formula!D51,60)),IF(INDEX(Properties!A$1:CB$87,Formula!F51,60)&lt;&gt;"",INDEX(Properties!A$1:CB$87,Formula!F51,60)),IF(INDEX(Properties!A$1:CB$87,Formula!H51,60)&lt;&gt;"",INDEX(Properties!A$1:CB$87,Formula!H51,60)),IF(INDEX(Properties!A$1:CB$87,Formula!J51,60)&lt;&gt;"",INDEX(Properties!A$1:CB$87,Formula!J51,60)))</f>
        <v>1025.1926379244164</v>
      </c>
      <c r="GC51" s="72">
        <f>MAX(INDEX(Properties!A$1:CB$87,Formula!B51,60),INDEX(Properties!A$1:CB$87,Formula!D51,60),INDEX(Properties!A$1:CB$87,Formula!F51,60),INDEX(Properties!A$1:CB$87,Formula!H51,60),INDEX(Properties!A$1:CB$87,Formula!J51,60))</f>
        <v>81.599999999999994</v>
      </c>
      <c r="GD51" s="72">
        <f>MIN(IF(INDEX(Properties!A$1:CB$87,Formula!B51,60)=0,10^6,INDEX(Properties!A$1:CB$87,Formula!B51,60)),IF(INDEX(Properties!A$1:CB$87,Formula!D51,60)=0,10^6,INDEX(Properties!A$1:CB$87,Formula!D51,60)),IF(INDEX(Properties!A$1:CB$87,Formula!F51,60)=0,10^6,INDEX(Properties!A$1:CB$87,Formula!F51,60)),IF(INDEX(Properties!A$1:CB$87,Formula!H51,60)=0,10^6,INDEX(Properties!A$1:CB$87,Formula!H51,60)),IF(INDEX(Properties!A$1:CB$87,Formula!J51,60)=0,10^6,INDEX(Properties!A$1:CB$87,Formula!J51,60)))</f>
        <v>2.674E-2</v>
      </c>
      <c r="GE51" s="72">
        <f t="shared" si="30"/>
        <v>81.573259999999991</v>
      </c>
      <c r="GF51" s="51">
        <f>((Formula!C51)/(Formula!C51+Formula!E51+Formula!G51+Formula!I51+Formula!K51))*(INDEX(Properties!A$1:CB$87,Formula!B51,62))+((Formula!E51)/(Formula!C51+Formula!E51+Formula!G51+Formula!I51+Formula!K51))*(INDEX(Properties!A$1:CB$87,Formula!D51,62))+((Formula!G51)/(Formula!C51+Formula!E51+Formula!G51+Formula!I51+Formula!K51))*(INDEX(Properties!A$1:CB$87,Formula!F51,62))+((Formula!I51)/(Formula!C51+Formula!E51+Formula!G51+Formula!I51+Formula!K51))*(INDEX(Properties!A$1:CB$87,Formula!H51,62))+((Formula!K51)/(Formula!C51+Formula!E51+Formula!G51+Formula!I51+Formula!K51))*(INDEX(Properties!A$1:CB$87,Formula!J51,62))</f>
        <v>2.9780000000000002</v>
      </c>
      <c r="GG51" s="51">
        <f>Formula!C51*(INDEX(Properties!A$1:CB$87,Formula!B51,62))+Formula!E51*(INDEX(Properties!A$1:CB$87,Formula!D51,62))+Formula!G51*(INDEX(Properties!A$1:CB$87,Formula!F51,62))+Formula!I51*(INDEX(Properties!A$1:CB$87,Formula!H51,62))+Formula!K51*(INDEX(Properties!A$1:CB$87,Formula!J51,62))</f>
        <v>29.78</v>
      </c>
      <c r="GH51" s="51">
        <f>VARP(IF(INDEX(Properties!A$1:CB$87,Formula!B51,62)&lt;&gt;"",INDEX(Properties!A$1:CB$87,Formula!B51,62)),IF(INDEX(Properties!A$1:CB$87,Formula!D51,62)&lt;&gt;"",INDEX(Properties!A$1:CB$87,Formula!D51,62)),IF(INDEX(Properties!A$1:CB$87,Formula!F51,62)&lt;&gt;"",INDEX(Properties!A$1:CB$87,Formula!F51,62)),IF(INDEX(Properties!A$1:CB$87,Formula!H51,62)&lt;&gt;"",INDEX(Properties!A$1:CB$87,Formula!H51,62)),IF(INDEX(Properties!A$1:CB$87,Formula!J51,62)&lt;&gt;"",INDEX(Properties!A$1:CB$87,Formula!J51,62)))</f>
        <v>7.4045760000000005</v>
      </c>
      <c r="GI51" s="51">
        <f>MAX(INDEX(Properties!A$1:CB$87,Formula!B51,62),INDEX(Properties!A$1:CB$87,Formula!D51,62),INDEX(Properties!A$1:CB$87,Formula!F51,62),INDEX(Properties!A$1:CB$87,Formula!H51,62),INDEX(Properties!A$1:CB$87,Formula!J51,62))</f>
        <v>8.1</v>
      </c>
      <c r="GJ51" s="51">
        <f>MIN(IF(INDEX(Properties!A$1:CB$87,Formula!B51,62)=0,10^6,INDEX(Properties!A$1:CB$87,Formula!B51,62)),IF(INDEX(Properties!A$1:CB$87,Formula!D51,62)=0,10^6,INDEX(Properties!A$1:CB$87,Formula!D51,62)),IF(INDEX(Properties!A$1:CB$87,Formula!F51,62)=0,10^6,INDEX(Properties!A$1:CB$87,Formula!F51,62)),IF(INDEX(Properties!A$1:CB$87,Formula!H51,62)=0,10^6,INDEX(Properties!A$1:CB$87,Formula!H51,62)),IF(INDEX(Properties!A$1:CB$87,Formula!J51,62)=0,10^6,INDEX(Properties!A$1:CB$87,Formula!J51,62)))</f>
        <v>1.72</v>
      </c>
      <c r="GK51" s="51">
        <f t="shared" si="31"/>
        <v>6.38</v>
      </c>
      <c r="GL51" s="51">
        <f>Formula!P51</f>
        <v>14</v>
      </c>
      <c r="GM51" s="57">
        <f>Formula!O51</f>
        <v>2</v>
      </c>
      <c r="GN51" s="51">
        <f>Formula!N51</f>
        <v>0.1</v>
      </c>
    </row>
    <row r="52" spans="1:196" x14ac:dyDescent="0.3">
      <c r="A52" s="84" t="str">
        <f>Formula!A52</f>
        <v>K2Zr(PO4)2</v>
      </c>
      <c r="B52" s="89">
        <f>((Formula!C52)/(Formula!C52+Formula!E52+Formula!G52+Formula!I52+Formula!K52))*(INDEX(Properties!A$1:CB$87,Formula!B52,3))+((Formula!E52)/(Formula!C52+Formula!E52+Formula!G52+Formula!I52+Formula!K52))*(INDEX(Properties!A$1:CB$87,Formula!D52,3))+((Formula!G52)/(Formula!C52+Formula!E52+Formula!G52+Formula!I52+Formula!K52))*(INDEX(Properties!A$1:CB$87,Formula!F52,3))+((Formula!I52)/(Formula!C52+Formula!E52+Formula!G52+Formula!I52+Formula!K52))*(INDEX(Properties!A$1:CB$87,Formula!H52,3))+((Formula!K52)/(Formula!C52+Formula!E52+Formula!G52+Formula!I52+Formula!K52))*(INDEX(Properties!A$1:CB$87,Formula!J52,3))</f>
        <v>27.643332615384619</v>
      </c>
      <c r="C52" s="85">
        <f>Formula!C52*(INDEX(Properties!A$1:CB$87,Formula!B52,3))+Formula!E52*(INDEX(Properties!A$1:CB$87,Formula!D52,3))+Formula!G52*(INDEX(Properties!A$1:CB$87,Formula!F52,3))+Formula!I52*(INDEX(Properties!A$1:CB$87,Formula!H52,3))+Formula!K52*(INDEX(Properties!A$1:CB$87,Formula!J52,3))</f>
        <v>359.36332400000003</v>
      </c>
      <c r="D52" s="85">
        <f>VARP(IF(INDEX(Properties!A$1:CB$87,Formula!B52,3)&lt;&gt;"",INDEX(Properties!A$1:CB$87,Formula!B52,3)),IF(INDEX(Properties!A$1:CB$87,Formula!D52,3)&lt;&gt;"",INDEX(Properties!A$1:CB$87,Formula!D52,3)),IF(INDEX(Properties!A$1:CB$87,Formula!F52,3)&lt;&gt;"",INDEX(Properties!A$1:CB$87,Formula!F52,3)),IF(INDEX(Properties!A$1:CB$87,Formula!H52,3)&lt;&gt;"",INDEX(Properties!A$1:CB$87,Formula!H52,3)),IF(INDEX(Properties!A$1:CB$87,Formula!J52,3)&lt;&gt;"",INDEX(Properties!A$1:CB$87,Formula!J52,3)))</f>
        <v>955.82276050479049</v>
      </c>
      <c r="E52" s="85">
        <f>MAX(INDEX(Properties!A$1:CB$87,Formula!B52,3),INDEX(Properties!A$1:CB$87,Formula!D52,3),INDEX(Properties!A$1:CB$87,Formula!F52,3),INDEX(Properties!A$1:CB$87,Formula!H52,3),INDEX(Properties!A$1:CB$87,Formula!J52,3))</f>
        <v>91.224000000000004</v>
      </c>
      <c r="F52" s="85">
        <f>MIN(IF(INDEX(Properties!A$1:CB$87,Formula!B52,3)=0,10^6,INDEX(Properties!A$1:CB$87,Formula!B52,3)),IF(INDEX(Properties!A$1:CB$87,Formula!D52,3)=0,10^6,INDEX(Properties!A$1:CB$87,Formula!D52,3)),IF(INDEX(Properties!A$1:CB$87,Formula!F52,3)=0,10^6,INDEX(Properties!A$1:CB$87,Formula!F52,3)),IF(INDEX(Properties!A$1:CB$87,Formula!H52,3)=0,10^6,INDEX(Properties!A$1:CB$87,Formula!H52,3)),IF(INDEX(Properties!A$1:CB$87,Formula!J52,3)=0,10^6,INDEX(Properties!A$1:CB$87,Formula!J52,3)))</f>
        <v>15.9994</v>
      </c>
      <c r="G52" s="85">
        <f t="shared" si="0"/>
        <v>75.224600000000009</v>
      </c>
      <c r="H52" s="87">
        <f>((Formula!C52)/(Formula!C52+Formula!E52+Formula!G52+Formula!I52+Formula!K52))*(INDEX(Properties!A$1:CB$87,Formula!B52,4))+((Formula!E52)/(Formula!C52+Formula!E52+Formula!G52+Formula!I52+Formula!K52))*(INDEX(Properties!A$1:CB$87,Formula!D52,4))+((Formula!G52)/(Formula!C52+Formula!E52+Formula!G52+Formula!I52+Formula!K52))*(INDEX(Properties!A$1:CB$87,Formula!F52,4))+((Formula!I52)/(Formula!C52+Formula!E52+Formula!G52+Formula!I52+Formula!K52))*(INDEX(Properties!A$1:CB$87,Formula!H52,4))+((Formula!K52)/(Formula!C52+Formula!E52+Formula!G52+Formula!I52+Formula!K52))*(INDEX(Properties!A$1:CB$87,Formula!J52,4))</f>
        <v>13.230769230769232</v>
      </c>
      <c r="I52" s="87">
        <f>Formula!C52*(INDEX(Properties!A$1:CB$87,Formula!B52,4))+Formula!E52*(INDEX(Properties!A$1:CB$87,Formula!D52,4))+Formula!G52*(INDEX(Properties!A$1:CB$87,Formula!F52,4))+Formula!I52*(INDEX(Properties!A$1:CB$87,Formula!H52,4))+Formula!K52*(INDEX(Properties!A$1:CB$87,Formula!J52,4))</f>
        <v>172</v>
      </c>
      <c r="J52" s="87">
        <f>VARP(IF(INDEX(Properties!A$1:CB$87,Formula!B52,4)&lt;&gt;"",INDEX(Properties!A$1:CB$87,Formula!B52,4)),IF(INDEX(Properties!A$1:CB$87,Formula!D52,4)&lt;&gt;"",INDEX(Properties!A$1:CB$87,Formula!D52,4)),IF(INDEX(Properties!A$1:CB$87,Formula!F52,4)&lt;&gt;"",INDEX(Properties!A$1:CB$87,Formula!F52,4)),IF(INDEX(Properties!A$1:CB$87,Formula!H52,4)&lt;&gt;"",INDEX(Properties!A$1:CB$87,Formula!H52,4)),IF(INDEX(Properties!A$1:CB$87,Formula!J52,4)&lt;&gt;"",INDEX(Properties!A$1:CB$87,Formula!J52,4)))</f>
        <v>181.04</v>
      </c>
      <c r="K52" s="87">
        <f>MAX(INDEX(Properties!A$1:CB$87,Formula!B52,4),INDEX(Properties!A$1:CB$87,Formula!D52,4),INDEX(Properties!A$1:CB$87,Formula!F52,4),INDEX(Properties!A$1:CB$87,Formula!H52,4),INDEX(Properties!A$1:CB$87,Formula!J52,4))</f>
        <v>40</v>
      </c>
      <c r="L52" s="87">
        <f>MIN(IF(INDEX(Properties!A$1:CB$87,Formula!B52,4)=0,10^6,INDEX(Properties!A$1:CB$87,Formula!B52,4)),IF(INDEX(Properties!A$1:CB$87,Formula!D52,4)=0,10^6,INDEX(Properties!A$1:CB$87,Formula!D52,4)),IF(INDEX(Properties!A$1:CB$87,Formula!F52,4)=0,10^6,INDEX(Properties!A$1:CB$87,Formula!F52,4)),IF(INDEX(Properties!A$1:CB$87,Formula!H52,4)=0,10^6,INDEX(Properties!A$1:CB$87,Formula!H52,4)),IF(INDEX(Properties!A$1:CB$87,Formula!J52,4)=0,10^6,INDEX(Properties!A$1:CB$87,Formula!J52,4)))</f>
        <v>8</v>
      </c>
      <c r="M52" s="87">
        <f t="shared" si="1"/>
        <v>32</v>
      </c>
      <c r="N52" s="89">
        <f>((Formula!C52)/(Formula!C52+Formula!E52+Formula!G52+Formula!I52+Formula!K52))*(INDEX(Properties!A$1:CB$87,Formula!B52,5))+((Formula!E52)/(Formula!C52+Formula!E52+Formula!G52+Formula!I52+Formula!K52))*(INDEX(Properties!A$1:CB$87,Formula!D52,5))+((Formula!G52)/(Formula!C52+Formula!E52+Formula!G52+Formula!I52+Formula!K52))*(INDEX(Properties!A$1:CB$87,Formula!F52,5))+((Formula!I52)/(Formula!C52+Formula!E52+Formula!G52+Formula!I52+Formula!K52))*(INDEX(Properties!A$1:CB$87,Formula!H52,5))+((Formula!K52)/(Formula!C52+Formula!E52+Formula!G52+Formula!I52+Formula!K52))*(INDEX(Properties!A$1:CB$87,Formula!J52,5))</f>
        <v>2.6923076923076925</v>
      </c>
      <c r="O52" s="89">
        <f>Formula!C52*(INDEX(Properties!A$1:CB$87,Formula!B52,5))+Formula!E52*(INDEX(Properties!A$1:CB$87,Formula!D52,5))+Formula!G52*(INDEX(Properties!A$1:CB$87,Formula!F52,5))+Formula!I52*(INDEX(Properties!A$1:CB$87,Formula!H52,5))+Formula!K52*(INDEX(Properties!A$1:CB$87,Formula!J52,5))</f>
        <v>35</v>
      </c>
      <c r="P52" s="89">
        <f>VARP(IF(INDEX(Properties!A$1:CB$87,Formula!B52,5)&lt;&gt;"",INDEX(Properties!A$1:CB$87,Formula!B52,5)),IF(INDEX(Properties!A$1:CB$87,Formula!D52,5)&lt;&gt;"",INDEX(Properties!A$1:CB$87,Formula!D52,5)),IF(INDEX(Properties!A$1:CB$87,Formula!F52,5)&lt;&gt;"",INDEX(Properties!A$1:CB$87,Formula!F52,5)),IF(INDEX(Properties!A$1:CB$87,Formula!H52,5)&lt;&gt;"",INDEX(Properties!A$1:CB$87,Formula!H52,5)),IF(INDEX(Properties!A$1:CB$87,Formula!J52,5)&lt;&gt;"",INDEX(Properties!A$1:CB$87,Formula!J52,5)))</f>
        <v>2.96</v>
      </c>
      <c r="Q52" s="89">
        <f>MAX(INDEX(Properties!A$1:CB$87,Formula!B52,5),INDEX(Properties!A$1:CB$87,Formula!D52,5),INDEX(Properties!A$1:CB$87,Formula!F52,5),INDEX(Properties!A$1:CB$87,Formula!H52,5),INDEX(Properties!A$1:CB$87,Formula!J52,5))</f>
        <v>5</v>
      </c>
      <c r="R52" s="89">
        <f>MIN(IF(INDEX(Properties!A$1:CB$87,Formula!B52,5)=0,10^6,INDEX(Properties!A$1:CB$87,Formula!B52,5)),IF(INDEX(Properties!A$1:CB$87,Formula!D52,5)=0,10^6,INDEX(Properties!A$1:CB$87,Formula!D52,5)),IF(INDEX(Properties!A$1:CB$87,Formula!F52,5)=0,10^6,INDEX(Properties!A$1:CB$87,Formula!F52,5)),IF(INDEX(Properties!A$1:CB$87,Formula!H52,5)=0,10^6,INDEX(Properties!A$1:CB$87,Formula!H52,5)),IF(INDEX(Properties!A$1:CB$87,Formula!J52,5)=0,10^6,INDEX(Properties!A$1:CB$87,Formula!J52,5)))</f>
        <v>2</v>
      </c>
      <c r="S52" s="89">
        <f t="shared" si="2"/>
        <v>3</v>
      </c>
      <c r="T52" s="60">
        <f>((Formula!C52)/(Formula!C52+Formula!E52+Formula!G52+Formula!I52+Formula!K52))*(INDEX(Properties!A$1:CB$87,Formula!B52,6))+((Formula!E52)/(Formula!C52+Formula!E52+Formula!G52+Formula!I52+Formula!K52))*(INDEX(Properties!A$1:CB$87,Formula!D52,6))+((Formula!G52)/(Formula!C52+Formula!E52+Formula!G52+Formula!I52+Formula!K52))*(INDEX(Properties!A$1:CB$87,Formula!F52,6))+((Formula!I52)/(Formula!C52+Formula!E52+Formula!G52+Formula!I52+Formula!K52))*(INDEX(Properties!A$1:CB$87,Formula!H52,6))+((Formula!K52)/(Formula!C52+Formula!E52+Formula!G52+Formula!I52+Formula!K52))*(INDEX(Properties!A$1:CB$87,Formula!J52,6))</f>
        <v>12.615384615384617</v>
      </c>
      <c r="U52" s="60">
        <f>Formula!C52*(INDEX(Properties!A$1:CB$87,Formula!B52,6))+Formula!E52*(INDEX(Properties!A$1:CB$87,Formula!D52,6))+Formula!G52*(INDEX(Properties!A$1:CB$87,Formula!F52,6))+Formula!I52*(INDEX(Properties!A$1:CB$87,Formula!H52,6))+Formula!K52*(INDEX(Properties!A$1:CB$87,Formula!J52,6))</f>
        <v>164</v>
      </c>
      <c r="V52" s="89">
        <f>VARP(IF(INDEX(Properties!A$1:CB$87,Formula!B52,6)&lt;&gt;"",INDEX(Properties!A$1:CB$87,Formula!B52,6)),IF(INDEX(Properties!A$1:CB$87,Formula!D52,6)&lt;&gt;"",INDEX(Properties!A$1:CB$87,Formula!D52,6)),IF(INDEX(Properties!A$1:CB$87,Formula!F52,6)&lt;&gt;"",INDEX(Properties!A$1:CB$87,Formula!F52,6)),IF(INDEX(Properties!A$1:CB$87,Formula!H52,6)&lt;&gt;"",INDEX(Properties!A$1:CB$87,Formula!H52,6)),IF(INDEX(Properties!A$1:CB$87,Formula!J52,6)&lt;&gt;"",INDEX(Properties!A$1:CB$87,Formula!J52,6)))</f>
        <v>47.76</v>
      </c>
      <c r="W52" s="60">
        <f>MAX(INDEX(Properties!A$1:CB$87,Formula!B52,6),INDEX(Properties!A$1:CB$87,Formula!D52,6),INDEX(Properties!A$1:CB$87,Formula!F52,6),INDEX(Properties!A$1:CB$87,Formula!H52,4),INDEX(Properties!A$1:CB$87,Formula!J52,6))</f>
        <v>15</v>
      </c>
      <c r="X52" s="60">
        <f>MIN(IF(INDEX(Properties!A$1:CB$87,Formula!B52,6)=0,10^6,INDEX(Properties!A$1:CB$87,Formula!B52,6)),IF(INDEX(Properties!A$1:CB$87,Formula!D52,6)=0,10^6,INDEX(Properties!A$1:CB$87,Formula!D52,6)),IF(INDEX(Properties!A$1:CB$87,Formula!F52,6)=0,10^6,INDEX(Properties!A$1:CB$87,Formula!F52,6)),IF(INDEX(Properties!A$1:CB$87,Formula!H52,6)=0,10^6,INDEX(Properties!A$1:CB$87,Formula!H52,6)),IF(INDEX(Properties!A$1:CB$87,Formula!J52,6)=0,10^6,INDEX(Properties!A$1:CB$87,Formula!J52,6)))</f>
        <v>1</v>
      </c>
      <c r="Y52" s="60">
        <f t="shared" si="3"/>
        <v>14</v>
      </c>
      <c r="Z52" s="72">
        <f>((Formula!C52)/(Formula!C52+Formula!E52+Formula!G52+Formula!I52+Formula!K52))*(INDEX(Properties!A$1:CB$87,Formula!B52,9))+((Formula!E52)/(Formula!C52+Formula!E52+Formula!G52+Formula!I52+Formula!K52))*(INDEX(Properties!A$1:CB$87,Formula!D52,9))+((Formula!G52)/(Formula!C52+Formula!E52+Formula!G52+Formula!I52+Formula!K52))*(INDEX(Properties!A$1:CB$87,Formula!F52,9))+((Formula!I52)/(Formula!C52+Formula!E52+Formula!G52+Formula!I52+Formula!K52))*(INDEX(Properties!A$1:CB$87,Formula!H52,9))+((Formula!K52)/(Formula!C52+Formula!E52+Formula!G52+Formula!I52+Formula!K52))*(INDEX(Properties!A$1:CB$87,Formula!J52,9))</f>
        <v>70.15384615384616</v>
      </c>
      <c r="AA52" s="72">
        <f>Formula!C52*(INDEX(Properties!A$1:CB$87,Formula!B52,9))+Formula!E52*(INDEX(Properties!A$1:CB$87,Formula!D52,9))+Formula!G52*(INDEX(Properties!A$1:CB$87,Formula!F52,9))+Formula!I52*(INDEX(Properties!A$1:CB$87,Formula!H52,9))+Formula!K52*(INDEX(Properties!A$1:CB$87,Formula!J52,9))</f>
        <v>912</v>
      </c>
      <c r="AB52" s="72">
        <f>VARP(IF(INDEX(Properties!A$1:CB$87,Formula!B52,9)&lt;&gt;"",INDEX(Properties!A$1:CB$87,Formula!B52,9)),IF(INDEX(Properties!A$1:CB$87,Formula!D52,9)&lt;&gt;"",INDEX(Properties!A$1:CB$87,Formula!D52,9)),IF(INDEX(Properties!A$1:CB$87,Formula!F52,9)&lt;&gt;"",INDEX(Properties!A$1:CB$87,Formula!F52,9)),IF(INDEX(Properties!A$1:CB$87,Formula!H52,9)&lt;&gt;"",INDEX(Properties!A$1:CB$87,Formula!H52,9)),IF(INDEX(Properties!A$1:CB$87,Formula!J52,9)&lt;&gt;"",INDEX(Properties!A$1:CB$87,Formula!J52,9)))</f>
        <v>1397.04</v>
      </c>
      <c r="AC52" s="72">
        <f>MAX(INDEX(Properties!A$1:CB$87,Formula!B52,9),INDEX(Properties!A$1:CB$87,Formula!D52,9),INDEX(Properties!A$1:CB$87,Formula!F52,9),INDEX(Properties!A$1:CB$87,Formula!H52,9),INDEX(Properties!A$1:CB$87,Formula!J52,9))</f>
        <v>87</v>
      </c>
      <c r="AD52" s="72">
        <f>MIN(IF(INDEX(Properties!A$1:CB$87,Formula!B52,9)=0,10^6,INDEX(Properties!A$1:CB$87,Formula!B52,9)),IF(INDEX(Properties!A$1:CB$87,Formula!D52,9)=0,10^6,INDEX(Properties!A$1:CB$87,Formula!D52,9)),IF(INDEX(Properties!A$1:CB$87,Formula!F52,9)=0,10^6,INDEX(Properties!A$1:CB$87,Formula!F52,9)),IF(INDEX(Properties!A$1:CB$87,Formula!H52,9)=0,10^6,INDEX(Properties!A$1:CB$87,Formula!H52,9)),IF(INDEX(Properties!A$1:CB$87,Formula!J52,9)=0,10^6,INDEX(Properties!A$1:CB$87,Formula!J52,9)))</f>
        <v>3</v>
      </c>
      <c r="AE52" s="72">
        <f t="shared" si="4"/>
        <v>84</v>
      </c>
      <c r="AF52" s="51">
        <f>((Formula!C52)/(Formula!C52+Formula!E52+Formula!G52+Formula!I52+Formula!K52))*(INDEX(Properties!A$1:CB$87,Formula!B52,10))+((Formula!E52)/(Formula!C52+Formula!E52+Formula!G52+Formula!I52+Formula!K52))*(INDEX(Properties!A$1:CB$87,Formula!D52,10))+((Formula!G52)/(Formula!C52+Formula!E52+Formula!G52+Formula!I52+Formula!K52))*(INDEX(Properties!A$1:CB$87,Formula!F52,10))+((Formula!I52)/(Formula!C52+Formula!E52+Formula!G52+Formula!I52+Formula!K52))*(INDEX(Properties!A$1:CB$87,Formula!H52,10))+((Formula!K52)/(Formula!C52+Formula!E52+Formula!G52+Formula!I52+Formula!K52))*(INDEX(Properties!A$1:CB$87,Formula!J52,10))</f>
        <v>5.8461538461538467</v>
      </c>
      <c r="AG52" s="51">
        <f>Formula!C52*(INDEX(Properties!A$1:CB$87,Formula!B52,10))+Formula!E52*(INDEX(Properties!A$1:CB$87,Formula!D52,10))+Formula!G52*(INDEX(Properties!A$1:CB$87,Formula!F52,10))+Formula!I52*(INDEX(Properties!A$1:CB$87,Formula!H52,10))+Formula!K52*(INDEX(Properties!A$1:CB$87,Formula!J52,10))</f>
        <v>76</v>
      </c>
      <c r="AH52" s="51">
        <f>VARP(IF(INDEX(Properties!A$1:CB$87,Formula!B52,10)&lt;&gt;"",INDEX(Properties!A$1:CB$87,Formula!B52,10)),IF(INDEX(Properties!A$1:CB$87,Formula!D52,10)&lt;&gt;"",INDEX(Properties!A$1:CB$87,Formula!D52,10)),IF(INDEX(Properties!A$1:CB$87,Formula!F52,10)&lt;&gt;"",INDEX(Properties!A$1:CB$87,Formula!F52,10)),IF(INDEX(Properties!A$1:CB$87,Formula!H52,10)&lt;&gt;"",INDEX(Properties!A$1:CB$87,Formula!H52,10)),IF(INDEX(Properties!A$1:CB$87,Formula!J52,10)&lt;&gt;"",INDEX(Properties!A$1:CB$87,Formula!J52,10)))</f>
        <v>8.56</v>
      </c>
      <c r="AI52" s="51">
        <f>MAX(INDEX(Properties!A$1:CB$87,Formula!B52,10),INDEX(Properties!A$1:CB$87,Formula!D52,10),INDEX(Properties!A$1:CB$87,Formula!F52,10),INDEX(Properties!A$1:CB$87,Formula!H52,10),INDEX(Properties!A$1:CB$87,Formula!J52,10))</f>
        <v>7</v>
      </c>
      <c r="AJ52" s="51">
        <f>MIN(IF(INDEX(Properties!A$1:CB$87,Formula!B52,10)=0,10^6,INDEX(Properties!A$1:CB$87,Formula!B52,10)),IF(INDEX(Properties!A$1:CB$87,Formula!D52,10)=0,10^6,INDEX(Properties!A$1:CB$87,Formula!D52,10)),IF(INDEX(Properties!A$1:CB$87,Formula!F52,10)=0,10^6,INDEX(Properties!A$1:CB$87,Formula!F52,10)),IF(INDEX(Properties!A$1:CB$87,Formula!H52,10)=0,10^6,INDEX(Properties!A$1:CB$87,Formula!H52,10)),IF(INDEX(Properties!A$1:CB$87,Formula!J52,10)=0,10^6,INDEX(Properties!A$1:CB$87,Formula!J52,10)))</f>
        <v>1</v>
      </c>
      <c r="AK52" s="51">
        <f t="shared" si="5"/>
        <v>6</v>
      </c>
      <c r="AL52" s="57">
        <f>((Formula!C52)/(Formula!C52+Formula!E52+Formula!G52+Formula!I52+Formula!K52))*(INDEX(Properties!A$1:CB$87,Formula!B52,11))+((Formula!E52)/(Formula!C52+Formula!E52+Formula!G52+Formula!I52+Formula!K52))*(INDEX(Properties!A$1:CB$87,Formula!D52,11))+((Formula!G52)/(Formula!C52+Formula!E52+Formula!G52+Formula!I52+Formula!K52))*(INDEX(Properties!A$1:CB$87,Formula!F52,11))+((Formula!I52)/(Formula!C52+Formula!E52+Formula!G52+Formula!I52+Formula!K52))*(INDEX(Properties!A$1:CB$87,Formula!H52,11))+((Formula!K52)/(Formula!C52+Formula!E52+Formula!G52+Formula!I52+Formula!K52))*(INDEX(Properties!A$1:CB$87,Formula!J52,11))</f>
        <v>1.8461538461538463</v>
      </c>
      <c r="AM52" s="57">
        <f>Formula!C52*(INDEX(Properties!A$1:CB$87,Formula!B52,11))+Formula!E52*(INDEX(Properties!A$1:CB$87,Formula!D52,11))+Formula!G52*(INDEX(Properties!A$1:CB$87,Formula!F52,11))+Formula!I52*(INDEX(Properties!A$1:CB$87,Formula!H52,11))+Formula!K52*(INDEX(Properties!A$1:CB$87,Formula!J52,11))</f>
        <v>24</v>
      </c>
      <c r="AN52" s="57">
        <f>VARP(IF(INDEX(Properties!A$1:CB$87,Formula!B52,11)&lt;&gt;"",INDEX(Properties!A$1:CB$87,Formula!B52,11)),IF(INDEX(Properties!A$1:CB$87,Formula!D52,11)&lt;&gt;"",INDEX(Properties!A$1:CB$87,Formula!D52,11)),IF(INDEX(Properties!A$1:CB$87,Formula!F52,11)&lt;&gt;"",INDEX(Properties!A$1:CB$87,Formula!F52,11)),IF(INDEX(Properties!A$1:CB$87,Formula!H52,11)&lt;&gt;"",INDEX(Properties!A$1:CB$87,Formula!H52,11)),IF(INDEX(Properties!A$1:CB$87,Formula!J52,11)&lt;&gt;"",INDEX(Properties!A$1:CB$87,Formula!J52,11)))</f>
        <v>0.64</v>
      </c>
      <c r="AO52" s="57">
        <f>MAX(INDEX(Properties!A$1:CB$87,Formula!B52,11),INDEX(Properties!A$1:CB$87,Formula!D52,11),INDEX(Properties!A$1:CB$87,Formula!F52,11),INDEX(Properties!A$1:CB$87,Formula!H52,11),INDEX(Properties!A$1:CB$87,Formula!J52,11))</f>
        <v>2</v>
      </c>
      <c r="AP52" s="57">
        <f>MIN(IF(Formula!B52=87,10^6,INDEX(Properties!A$1:CB$87,Formula!B52,11)),IF((Formula!D52)=87,10^6,INDEX(Properties!A$1:CB$87,Formula!D52,11)),IF((Formula!F52)=87,10^6,INDEX(Properties!A$1:CB$87,Formula!F52,11)),IF((Formula!H52)=87,10^6,INDEX(Properties!A$1:CB$87,Formula!H52,11)),IF(Formula!J52=87,10^6,INDEX(Properties!A$1:CB$87,Formula!J52,11)))</f>
        <v>1</v>
      </c>
      <c r="AQ52" s="57">
        <f t="shared" si="6"/>
        <v>1</v>
      </c>
      <c r="AR52" s="78">
        <f>((Formula!C52)/(Formula!C52+Formula!E52+Formula!G52+Formula!I52+Formula!K52))*(INDEX(Properties!A$1:CB$87,Formula!B52,12))+((Formula!E52)/(Formula!C52+Formula!E52+Formula!G52+Formula!I52+Formula!K52))*(INDEX(Properties!A$1:CB$87,Formula!D52,12))+((Formula!G52)/(Formula!C52+Formula!E52+Formula!G52+Formula!I52+Formula!K52))*(INDEX(Properties!A$1:CB$87,Formula!F52,12))+((Formula!I52)/(Formula!C52+Formula!E52+Formula!G52+Formula!I52+Formula!K52))*(INDEX(Properties!A$1:CB$87,Formula!H52,12))+((Formula!K52)/(Formula!C52+Formula!E52+Formula!G52+Formula!I52+Formula!K52))*(INDEX(Properties!A$1:CB$87,Formula!J52,12))</f>
        <v>2.9230769230769234</v>
      </c>
      <c r="AS52" s="78">
        <f>Formula!C52*(INDEX(Properties!A$1:CB$87,Formula!B52,12))+Formula!E52*(INDEX(Properties!A$1:CB$87,Formula!D52,12))+Formula!G52*(INDEX(Properties!A$1:CB$87,Formula!F52,12))+Formula!I52*(INDEX(Properties!A$1:CB$87,Formula!H52,12))+Formula!K52*(INDEX(Properties!A$1:CB$87,Formula!J52,12))</f>
        <v>38</v>
      </c>
      <c r="AT52" s="78">
        <f>VARP(IF(INDEX(Properties!A$1:CB$87,Formula!B52,12)&lt;&gt;"",INDEX(Properties!A$1:CB$87,Formula!B52,12)),IF(INDEX(Properties!A$1:CB$87,Formula!D52,12)&lt;&gt;"",INDEX(Properties!A$1:CB$87,Formula!D52,12)),IF(INDEX(Properties!A$1:CB$87,Formula!F52,12)&lt;&gt;"",INDEX(Properties!A$1:CB$87,Formula!F52,12)),IF(INDEX(Properties!A$1:CB$87,Formula!H52,12)&lt;&gt;"",INDEX(Properties!A$1:CB$87,Formula!H52,12)),IF(INDEX(Properties!A$1:CB$87,Formula!J52,12)&lt;&gt;"",INDEX(Properties!A$1:CB$87,Formula!J52,12)))</f>
        <v>3.04</v>
      </c>
      <c r="AU52" s="78">
        <f>MAX(INDEX(Properties!A$1:CB$87,Formula!B52,12),INDEX(Properties!A$1:CB$87,Formula!D52,12),INDEX(Properties!A$1:CB$87,Formula!F52,12),INDEX(Properties!A$1:CB$87,Formula!H52,12),INDEX(Properties!A$1:CB$87,Formula!J52,12))</f>
        <v>4</v>
      </c>
      <c r="AV52" s="78">
        <f>MIN(IF(Formula!B52=87,10^6,INDEX(Properties!A$1:CB$87,Formula!B52,12)),IF((Formula!D52)=87,10^6,INDEX(Properties!A$1:CB$87,Formula!D52,12)),IF((Formula!F52)=87,10^6,INDEX(Properties!A$1:CB$87,Formula!F52,12)),IF((Formula!H52)=87,10^6,INDEX(Properties!A$1:CB$87,Formula!H52,12)),IF(Formula!J52=87,10^6,INDEX(Properties!A$1:CB$87,Formula!J52,12)))</f>
        <v>0</v>
      </c>
      <c r="AW52" s="78">
        <f t="shared" si="7"/>
        <v>4</v>
      </c>
      <c r="AX52" s="45">
        <f>((Formula!C52)/(Formula!C52+Formula!E52+Formula!G52+Formula!I52+Formula!K52))*(INDEX(Properties!A$1:CB$87,Formula!B52,13))+((Formula!E52)/(Formula!C52+Formula!E52+Formula!G52+Formula!I52+Formula!K52))*(INDEX(Properties!A$1:CB$87,Formula!D52,13))+((Formula!G52)/(Formula!C52+Formula!E52+Formula!G52+Formula!I52+Formula!K52))*(INDEX(Properties!A$1:CB$87,Formula!F52,13))+((Formula!I52)/(Formula!C52+Formula!E52+Formula!G52+Formula!I52+Formula!K52))*(INDEX(Properties!A$1:CB$87,Formula!H52,13))+((Formula!K52)/(Formula!C52+Formula!E52+Formula!G52+Formula!I52+Formula!K52))*(INDEX(Properties!A$1:CB$87,Formula!J52,13))</f>
        <v>0.15384615384615385</v>
      </c>
      <c r="AY52" s="45">
        <f>Formula!C52*(INDEX(Properties!A$1:CB$87,Formula!B52,13))+Formula!E52*(INDEX(Properties!A$1:CB$87,Formula!D52,13))+Formula!G52*(INDEX(Properties!A$1:CB$87,Formula!F52,13))+Formula!I52*(INDEX(Properties!A$1:CB$87,Formula!H52,13))+Formula!K52*(INDEX(Properties!A$1:CB$87,Formula!J52,13))</f>
        <v>2</v>
      </c>
      <c r="AZ52" s="45">
        <f>VARP(IF(INDEX(Properties!A$1:CB$87,Formula!B52,13)&lt;&gt;"",INDEX(Properties!A$1:CB$87,Formula!B52,13)),IF(INDEX(Properties!A$1:CB$87,Formula!D52,13)&lt;&gt;"",INDEX(Properties!A$1:CB$87,Formula!D52,13)),IF(INDEX(Properties!A$1:CB$87,Formula!F52,13)&lt;&gt;"",INDEX(Properties!A$1:CB$87,Formula!F52,13)),IF(INDEX(Properties!A$1:CB$87,Formula!H52,13)&lt;&gt;"",INDEX(Properties!A$1:CB$87,Formula!H52,13)),IF(INDEX(Properties!A$1:CB$87,Formula!J52,13)&lt;&gt;"",INDEX(Properties!A$1:CB$87,Formula!J52,13)))</f>
        <v>0.64</v>
      </c>
      <c r="BA52" s="45">
        <f>MAX(INDEX(Properties!A$1:CB$87,Formula!B52,13),INDEX(Properties!A$1:CB$87,Formula!D52,13),INDEX(Properties!A$1:CB$87,Formula!F52,13),INDEX(Properties!A$1:CB$87,Formula!H52,13),INDEX(Properties!A$1:CB$87,Formula!J52,13))</f>
        <v>2</v>
      </c>
      <c r="BB52" s="45">
        <f>MIN(IF(Formula!B52=87,10^6,INDEX(Properties!A$1:CB$87,Formula!B52,13)),IF((Formula!D52)=87,10^6,INDEX(Properties!A$1:CB$87,Formula!D52,13)),IF((Formula!F52)=87,10^6,INDEX(Properties!A$1:CB$87,Formula!F52,13)),IF((Formula!H52)=87,10^6,INDEX(Properties!A$1:CB$87,Formula!H52,13)),IF(Formula!J52=87,10^6,INDEX(Properties!A$1:CB$87,Formula!J52,13)))</f>
        <v>0</v>
      </c>
      <c r="BC52" s="45">
        <f t="shared" si="8"/>
        <v>2</v>
      </c>
      <c r="BD52" s="63">
        <f>((Formula!C52)/(Formula!C52+Formula!E52+Formula!G52+Formula!I52+Formula!K52))*(INDEX(Properties!A$1:CB$87,Formula!B52,14))+((Formula!E52)/(Formula!C52+Formula!E52+Formula!G52+Formula!I52+Formula!K52))*(INDEX(Properties!A$1:CB$87,Formula!D52,14))+((Formula!G52)/(Formula!C52+Formula!E52+Formula!G52+Formula!I52+Formula!K52))*(INDEX(Properties!A$1:CB$87,Formula!F52,14))+((Formula!I52)/(Formula!C52+Formula!E52+Formula!G52+Formula!I52+Formula!K52))*(INDEX(Properties!A$1:CB$87,Formula!H52,14))+((Formula!K52)/(Formula!C52+Formula!E52+Formula!G52+Formula!I52+Formula!K52))*(INDEX(Properties!A$1:CB$87,Formula!J52,14))</f>
        <v>0</v>
      </c>
      <c r="BE52" s="63">
        <f>Formula!C52*(INDEX(Properties!A$1:CB$87,Formula!B52,14))+Formula!E52*(INDEX(Properties!A$1:CB$87,Formula!D52,14))+Formula!G52*(INDEX(Properties!A$1:CB$87,Formula!F52,14))+Formula!I52*(INDEX(Properties!A$1:CB$87,Formula!H52,14))+Formula!K52*(INDEX(Properties!A$1:CB$87,Formula!J52,14))</f>
        <v>0</v>
      </c>
      <c r="BF52" s="63">
        <f>VARP(IF(INDEX(Properties!A$1:CB$87,Formula!B52,14)&lt;&gt;"",INDEX(Properties!A$1:CB$87,Formula!B52,14)),IF(INDEX(Properties!A$1:CB$87,Formula!D52,14)&lt;&gt;"",INDEX(Properties!A$1:CB$87,Formula!D52,14)),IF(INDEX(Properties!A$1:CB$87,Formula!F52,14)&lt;&gt;"",INDEX(Properties!A$1:CB$87,Formula!F52,14)),IF(INDEX(Properties!A$1:CB$87,Formula!H52,14)&lt;&gt;"",INDEX(Properties!A$1:CB$87,Formula!H52,14)),IF(INDEX(Properties!A$1:CB$87,Formula!J52,14)&lt;&gt;"",INDEX(Properties!A$1:CB$87,Formula!J52,14)))</f>
        <v>0</v>
      </c>
      <c r="BG52" s="63">
        <f>MAX(INDEX(Properties!A$1:CB$87,Formula!B52,14),INDEX(Properties!A$1:CB$87,Formula!D52,14),INDEX(Properties!A$1:CB$87,Formula!F52,14),INDEX(Properties!A$1:CB$87,Formula!H52,14),INDEX(Properties!A$1:CB$87,Formula!J52,14))</f>
        <v>0</v>
      </c>
      <c r="BH52" s="63">
        <f>MIN(IF(Formula!B52=87,10^6,INDEX(Properties!A$1:CB$87,Formula!B52,14)),IF((Formula!D52)=87,10^6,INDEX(Properties!A$1:CB$87,Formula!D52,14)),IF((Formula!F52)=87,10^6,INDEX(Properties!A$1:CB$87,Formula!F52,14)),IF((Formula!H52)=87,10^6,INDEX(Properties!A$1:CB$87,Formula!H52,14)),IF(Formula!J52=87,10^6,INDEX(Properties!A$1:CB$87,Formula!J52,14)))</f>
        <v>0</v>
      </c>
      <c r="BI52" s="63">
        <f t="shared" si="9"/>
        <v>0</v>
      </c>
      <c r="BJ52" s="75">
        <f>((Formula!C52)/(Formula!C52+Formula!E52+Formula!G52+Formula!I52+Formula!K52))*(INDEX(Properties!A$1:CB$87,Formula!B52,19))+((Formula!E52)/(Formula!C52+Formula!E52+Formula!G52+Formula!I52+Formula!K52))*(INDEX(Properties!A$1:CB$87,Formula!D52,19))+((Formula!G52)/(Formula!C52+Formula!E52+Formula!G52+Formula!I52+Formula!K52))*(INDEX(Properties!A$1:CB$87,Formula!F52,19))+((Formula!I52)/(Formula!C52+Formula!E52+Formula!G52+Formula!I52+Formula!K52))*(INDEX(Properties!A$1:CB$87,Formula!H52,19))+((Formula!K52)/(Formula!C52+Formula!E52+Formula!G52+Formula!I52+Formula!K52))*(INDEX(Properties!A$1:CB$87,Formula!J52,19))</f>
        <v>4.9230769230769234</v>
      </c>
      <c r="BK52" s="75">
        <f>Formula!C52*(INDEX(Properties!A$1:CB$87,Formula!B52,19))+Formula!E52*(INDEX(Properties!A$1:CB$87,Formula!D52,19))+Formula!G52*(INDEX(Properties!A$1:CB$87,Formula!F52,19))+Formula!I52*(INDEX(Properties!A$1:CB$87,Formula!H52,19))+Formula!K52*(INDEX(Properties!A$1:CB$87,Formula!J52,19))</f>
        <v>64</v>
      </c>
      <c r="BL52" s="75">
        <f>VARP(IF(INDEX(Properties!A$1:CB$87,Formula!B52,19)&lt;&gt;"",INDEX(Properties!A$1:CB$87,Formula!B52,19)),IF(INDEX(Properties!A$1:CB$87,Formula!D52,19)&lt;&gt;"",INDEX(Properties!A$1:CB$87,Formula!D52,19)),IF(INDEX(Properties!A$1:CB$87,Formula!F52,19)&lt;&gt;"",INDEX(Properties!A$1:CB$87,Formula!F52,19)),IF(INDEX(Properties!A$1:CB$87,Formula!H52,19)&lt;&gt;"",INDEX(Properties!A$1:CB$87,Formula!H52,19)),IF(INDEX(Properties!A$1:CB$87,Formula!J52,19)&lt;&gt;"",INDEX(Properties!A$1:CB$87,Formula!J52,19)))</f>
        <v>5.36</v>
      </c>
      <c r="BM52" s="75">
        <f>MAX(INDEX(Properties!A$1:CB$87,Formula!B52,19),INDEX(Properties!A$1:CB$87,Formula!D52,19),INDEX(Properties!A$1:CB$87,Formula!F52,19),INDEX(Properties!A$1:CB$87,Formula!H52,19),INDEX(Properties!A$1:CB$87,Formula!J52,19))</f>
        <v>6</v>
      </c>
      <c r="BN52" s="75">
        <f>MIN(IF(INDEX(Properties!A$1:CB$87,Formula!B52,19)=0,10^6,INDEX(Properties!A$1:CB$87,Formula!B52,19)),IF(INDEX(Properties!A$1:CB$87,Formula!D52,19)=0,10^6,INDEX(Properties!A$1:CB$87,Formula!D52,19)),IF(INDEX(Properties!A$1:CB$87,Formula!F52,19)=0,10^6,INDEX(Properties!A$1:CB$87,Formula!F52,19)),IF(INDEX(Properties!A$1:CB$87,Formula!H52,19)=0,10^6,INDEX(Properties!A$1:CB$87,Formula!H52,19)),IF(INDEX(Properties!A$1:CB$87,Formula!J52,19)=0,10^6,INDEX(Properties!A$1:CB$87,Formula!J52,19)))</f>
        <v>1</v>
      </c>
      <c r="BO52" s="75">
        <f t="shared" si="10"/>
        <v>5</v>
      </c>
      <c r="BP52" s="48">
        <f>((Formula!C52)/(Formula!C52+Formula!E52+Formula!G52+Formula!I52+Formula!K52))*(INDEX(Properties!A$1:CB$87,Formula!B52,20))+((Formula!E52)/(Formula!C52+Formula!E52+Formula!G52+Formula!I52+Formula!K52))*(INDEX(Properties!A$1:CB$87,Formula!D52,20))+((Formula!G52)/(Formula!C52+Formula!E52+Formula!G52+Formula!I52+Formula!K52))*(INDEX(Properties!A$1:CB$87,Formula!F52,20))+((Formula!I52)/(Formula!C52+Formula!E52+Formula!G52+Formula!I52+Formula!K52))*(INDEX(Properties!A$1:CB$87,Formula!H52,20))+((Formula!K52)/(Formula!C52+Formula!E52+Formula!G52+Formula!I52+Formula!K52))*(INDEX(Properties!A$1:CB$87,Formula!J52,20))</f>
        <v>4.7692307692307701</v>
      </c>
      <c r="BQ52" s="48">
        <f>Formula!C52*(INDEX(Properties!A$1:CB$87,Formula!B52,20))+Formula!E52*(INDEX(Properties!A$1:CB$87,Formula!D52,20))+Formula!G52*(INDEX(Properties!A$1:CB$87,Formula!F52,20))+Formula!I52*(INDEX(Properties!A$1:CB$87,Formula!H52,20))+Formula!K52*(INDEX(Properties!A$1:CB$87,Formula!J52,20))</f>
        <v>62</v>
      </c>
      <c r="BR52" s="48">
        <f>VARP(IF(INDEX(Properties!A$1:CB$87,Formula!B52,20)&lt;&gt;"",INDEX(Properties!A$1:CB$87,Formula!B52,20)),IF(INDEX(Properties!A$1:CB$87,Formula!D52,20)&lt;&gt;"",INDEX(Properties!A$1:CB$87,Formula!D52,20)),IF(INDEX(Properties!A$1:CB$87,Formula!F52,20)&lt;&gt;"",INDEX(Properties!A$1:CB$87,Formula!F52,20)),IF(INDEX(Properties!A$1:CB$87,Formula!H52,20)&lt;&gt;"",INDEX(Properties!A$1:CB$87,Formula!H52,20)),IF(INDEX(Properties!A$1:CB$87,Formula!J52,20)&lt;&gt;"",INDEX(Properties!A$1:CB$87,Formula!J52,20)))</f>
        <v>5.36</v>
      </c>
      <c r="BS52" s="48">
        <f>MAX(INDEX(Properties!A$1:CB$87,Formula!B52,20),INDEX(Properties!A$1:CB$87,Formula!D52,20),INDEX(Properties!A$1:CB$87,Formula!F52,20),INDEX(Properties!A$1:CB$87,Formula!H52,20),INDEX(Properties!A$1:CB$87,Formula!J52,20))</f>
        <v>6</v>
      </c>
      <c r="BT52" s="48">
        <f>MIN(IF(INDEX(Properties!A$1:CB$87,Formula!B52,20)=0,10^6,INDEX(Properties!A$1:CB$87,Formula!B52,20)),IF(INDEX(Properties!A$1:CB$87,Formula!D52,20)=0,10^6,INDEX(Properties!A$1:CB$87,Formula!D52,20)),IF(INDEX(Properties!A$1:CB$87,Formula!F52,20)=0,10^6,INDEX(Properties!A$1:CB$87,Formula!F52,20)),IF(INDEX(Properties!A$1:CB$87,Formula!H52,20)=0,10^6,INDEX(Properties!A$1:CB$87,Formula!H52,20)),IF(INDEX(Properties!A$1:CB$87,Formula!J52,20)=0,10^6,INDEX(Properties!A$1:CB$87,Formula!J52,20)))</f>
        <v>1</v>
      </c>
      <c r="BU52" s="48">
        <f t="shared" si="11"/>
        <v>5</v>
      </c>
      <c r="BV52" s="66">
        <f>((Formula!C52)/(Formula!C52+Formula!E52+Formula!G52+Formula!I52+Formula!K52))*(INDEX(Properties!A$1:CB$87,Formula!B52,21))+((Formula!E52)/(Formula!C52+Formula!E52+Formula!G52+Formula!I52+Formula!K52))*(INDEX(Properties!A$1:CB$87,Formula!D52,21))+((Formula!G52)/(Formula!C52+Formula!E52+Formula!G52+Formula!I52+Formula!K52))*(INDEX(Properties!A$1:CB$87,Formula!F52,21))+((Formula!I52)/(Formula!C52+Formula!E52+Formula!G52+Formula!I52+Formula!K52))*(INDEX(Properties!A$1:CB$87,Formula!H52,21))+((Formula!K52)/(Formula!C52+Formula!E52+Formula!G52+Formula!I52+Formula!K52))*(INDEX(Properties!A$1:CB$87,Formula!J52,21))</f>
        <v>4.7692307692307701</v>
      </c>
      <c r="BW52" s="66">
        <f>Formula!C52*(INDEX(Properties!A$1:CB$87,Formula!B52,21))+Formula!E52*(INDEX(Properties!A$1:CB$87,Formula!D52,21))+Formula!G52*(INDEX(Properties!A$1:CB$87,Formula!F52,21))+Formula!I52*(INDEX(Properties!A$1:CB$87,Formula!H52,21))+Formula!K52*(INDEX(Properties!A$1:CB$87,Formula!J52,21))</f>
        <v>62</v>
      </c>
      <c r="BX52" s="66">
        <f>VARP(IF(INDEX(Properties!A$1:CB$87,Formula!B52,21)&lt;&gt;"",INDEX(Properties!A$1:CB$87,Formula!B52,21)),IF(INDEX(Properties!A$1:CB$87,Formula!D52,21)&lt;&gt;"",INDEX(Properties!A$1:CB$87,Formula!D52,21)),IF(INDEX(Properties!A$1:CB$87,Formula!F52,21)&lt;&gt;"",INDEX(Properties!A$1:CB$87,Formula!F52,21)),IF(INDEX(Properties!A$1:CB$87,Formula!H52,21)&lt;&gt;"",INDEX(Properties!A$1:CB$87,Formula!H52,21)),IF(INDEX(Properties!A$1:CB$87,Formula!J52,21)&lt;&gt;"",INDEX(Properties!A$1:CB$87,Formula!J52,21)))</f>
        <v>5.36</v>
      </c>
      <c r="BY52" s="66">
        <f>MAX(INDEX(Properties!A$1:CB$87,Formula!B52,21),INDEX(Properties!A$1:CB$87,Formula!D52,21),INDEX(Properties!A$1:CB$87,Formula!F52,21),INDEX(Properties!A$1:CB$87,Formula!H52,21),INDEX(Properties!A$1:CB$87,Formula!J52,21))</f>
        <v>6</v>
      </c>
      <c r="BZ52" s="66">
        <f>MIN(IF(INDEX(Properties!A$1:CB$87,Formula!B52,21)=0,10^6,INDEX(Properties!A$1:CB$87,Formula!B52,21)),IF(INDEX(Properties!A$1:CB$87,Formula!D52,21)=0,10^6,INDEX(Properties!A$1:CB$87,Formula!D52,21)),IF(INDEX(Properties!A$1:CB$87,Formula!F52,21)=0,10^6,INDEX(Properties!A$1:CB$87,Formula!F52,21)),IF(INDEX(Properties!A$1:CB$87,Formula!H52,21)=0,10^6,INDEX(Properties!A$1:CB$87,Formula!H52,21)),IF(INDEX(Properties!A$1:CB$87,Formula!J52,21)=0,10^6,INDEX(Properties!A$1:CB$87,Formula!J52,21)))</f>
        <v>1</v>
      </c>
      <c r="CA52" s="66">
        <f t="shared" si="12"/>
        <v>5</v>
      </c>
      <c r="CB52" s="81">
        <f>((Formula!C52)/(Formula!C52+Formula!E52+Formula!G52+Formula!I52+Formula!K52))*(INDEX(Properties!A$1:CB$87,Formula!B52,23))+((Formula!E52)/(Formula!C52+Formula!E52+Formula!G52+Formula!I52+Formula!K52))*(INDEX(Properties!A$1:CB$87,Formula!D52,23))+((Formula!G52)/(Formula!C52+Formula!E52+Formula!G52+Formula!I52+Formula!K52))*(INDEX(Properties!A$1:CB$87,Formula!F52,23))+((Formula!I52)/(Formula!C52+Formula!E52+Formula!G52+Formula!I52+Formula!K52))*(INDEX(Properties!A$1:CB$87,Formula!H52,23))+((Formula!K52)/(Formula!C52+Formula!E52+Formula!G52+Formula!I52+Formula!K52))*(INDEX(Properties!A$1:CB$87,Formula!J52,23))</f>
        <v>0.92307692307692313</v>
      </c>
      <c r="CC52" s="81">
        <f>Formula!C52*(INDEX(Properties!A$1:CB$87,Formula!B52,23))+Formula!E52*(INDEX(Properties!A$1:CB$87,Formula!D52,23))+Formula!G52*(INDEX(Properties!A$1:CB$87,Formula!F52,23))+Formula!I52*(INDEX(Properties!A$1:CB$87,Formula!H52,23))+Formula!K52*(INDEX(Properties!A$1:CB$87,Formula!J52,23))</f>
        <v>12</v>
      </c>
      <c r="CD52" s="81">
        <f>VARP(IF(INDEX(Properties!A$1:CB$87,Formula!B52,23)&lt;&gt;"",INDEX(Properties!A$1:CB$87,Formula!B52,23)),IF(INDEX(Properties!A$1:CB$87,Formula!D52,23)&lt;&gt;"",INDEX(Properties!A$1:CB$87,Formula!D52,23)),IF(INDEX(Properties!A$1:CB$87,Formula!F52,23)&lt;&gt;"",INDEX(Properties!A$1:CB$87,Formula!F52,23)),IF(INDEX(Properties!A$1:CB$87,Formula!H52,23)&lt;&gt;"",INDEX(Properties!A$1:CB$87,Formula!H52,23)),IF(INDEX(Properties!A$1:CB$87,Formula!J52,23)&lt;&gt;"",INDEX(Properties!A$1:CB$87,Formula!J52,23)))</f>
        <v>2.64</v>
      </c>
      <c r="CE52" s="81">
        <f>MAX(INDEX(Properties!A$1:CB$87,Formula!B52,23),INDEX(Properties!A$1:CB$87,Formula!D52,23),INDEX(Properties!A$1:CB$87,Formula!F52,23),INDEX(Properties!A$1:CB$87,Formula!H52,23),INDEX(Properties!A$1:CB$87,Formula!J52,23))</f>
        <v>4</v>
      </c>
      <c r="CF52" s="81">
        <f>MIN(IF(Formula!B52=87,10^6,INDEX(Properties!A$1:CB$87,Formula!B52,23)),IF((Formula!D52)=87,10^6,INDEX(Properties!A$1:CB$87,Formula!D52,23)),IF((Formula!F52)=87,10^6,INDEX(Properties!A$1:CB$87,Formula!F52,23)),IF((Formula!H52)=87,10^6,INDEX(Properties!A$1:CB$87,Formula!H52,23)),IF(Formula!J52=87,10^6,INDEX(Properties!A$1:CB$87,Formula!J52,23)))</f>
        <v>0</v>
      </c>
      <c r="CG52" s="81">
        <f t="shared" si="13"/>
        <v>4</v>
      </c>
      <c r="CH52" s="39">
        <f>((Formula!C52)/(Formula!C52+Formula!E52+Formula!G52+Formula!I52+Formula!K52))*(INDEX(Properties!A$1:CB$87,Formula!B52,26))+((Formula!E52)/(Formula!C52+Formula!E52+Formula!G52+Formula!I52+Formula!K52))*(INDEX(Properties!A$1:CB$87,Formula!D52,26))+((Formula!G52)/(Formula!C52+Formula!E52+Formula!G52+Formula!I52+Formula!K52))*(INDEX(Properties!A$1:CB$87,Formula!F52,26))+((Formula!I52)/(Formula!C52+Formula!E52+Formula!G52+Formula!I52+Formula!K52))*(INDEX(Properties!A$1:CB$87,Formula!H52,26))+((Formula!K52)/(Formula!C52+Formula!E52+Formula!G52+Formula!I52+Formula!K52))*(INDEX(Properties!A$1:CB$87,Formula!J52,26))</f>
        <v>11.171807692307693</v>
      </c>
      <c r="CI52" s="39">
        <f>Formula!C52*(INDEX(Properties!A$1:CB$87,Formula!B52,26))+Formula!E52*(INDEX(Properties!A$1:CB$87,Formula!D52,26))+Formula!G52*(INDEX(Properties!A$1:CB$87,Formula!F52,26))+Formula!I52*(INDEX(Properties!A$1:CB$87,Formula!H52,26))+Formula!K52*(INDEX(Properties!A$1:CB$87,Formula!J52,26))</f>
        <v>145.23349999999999</v>
      </c>
      <c r="CJ52" s="39">
        <f>VARP(IF(INDEX(Properties!A$1:CB$87,Formula!B52,26)&lt;&gt;"",INDEX(Properties!A$1:CB$87,Formula!B52,26)),IF(INDEX(Properties!A$1:CB$87,Formula!D52,26)&lt;&gt;"",INDEX(Properties!A$1:CB$87,Formula!D52,26)),IF(INDEX(Properties!A$1:CB$87,Formula!F52,26)&lt;&gt;"",INDEX(Properties!A$1:CB$87,Formula!F52,26)),IF(INDEX(Properties!A$1:CB$87,Formula!H52,26)&lt;&gt;"",INDEX(Properties!A$1:CB$87,Formula!H52,26)),IF(INDEX(Properties!A$1:CB$87,Formula!J52,26)&lt;&gt;"",INDEX(Properties!A$1:CB$87,Formula!J52,26)))</f>
        <v>22.432193865600002</v>
      </c>
      <c r="CK52" s="39">
        <f>MAX(INDEX(Properties!A$1:CB$87,Formula!B52,26),INDEX(Properties!A$1:CB$87,Formula!D52,26),INDEX(Properties!A$1:CB$87,Formula!F52,26),INDEX(Properties!A$1:CB$87,Formula!H52,26),INDEX(Properties!A$1:CB$87,Formula!J52,26))</f>
        <v>13.6181</v>
      </c>
      <c r="CL52" s="39">
        <f>MIN(IF(INDEX(Properties!A$1:CB$87,Formula!B52,26)=0,10^6,INDEX(Properties!A$1:CB$87,Formula!B52,26)),IF(INDEX(Properties!A$1:CB$87,Formula!D52,26)=0,10^6,INDEX(Properties!A$1:CB$87,Formula!D52,26)),IF(INDEX(Properties!A$1:CB$87,Formula!F52,26)=0,10^6,INDEX(Properties!A$1:CB$87,Formula!F52,26)),IF(INDEX(Properties!A$1:CB$87,Formula!H52,26)=0,10^6,INDEX(Properties!A$1:CB$87,Formula!H52,26)),IF(INDEX(Properties!A$1:CB$87,Formula!J52,26)=0,10^6,INDEX(Properties!A$1:CB$87,Formula!J52,26)))</f>
        <v>4.3407</v>
      </c>
      <c r="CM52" s="39">
        <f t="shared" si="14"/>
        <v>9.2774000000000001</v>
      </c>
      <c r="CN52" s="54">
        <f>((Formula!C52)/(Formula!C52+Formula!E52+Formula!G52+Formula!I52+Formula!K52))*(INDEX(Properties!A$1:CB$87,Formula!B52,30))+((Formula!E52)/(Formula!C52+Formula!E52+Formula!G52+Formula!I52+Formula!K52))*(INDEX(Properties!A$1:CB$87,Formula!D52,30))+((Formula!G52)/(Formula!C52+Formula!E52+Formula!G52+Formula!I52+Formula!K52))*(INDEX(Properties!A$1:CB$87,Formula!F52,30))+((Formula!I52)/(Formula!C52+Formula!E52+Formula!G52+Formula!I52+Formula!K52))*(INDEX(Properties!A$1:CB$87,Formula!H52,30))+((Formula!K52)/(Formula!C52+Formula!E52+Formula!G52+Formula!I52+Formula!K52))*(INDEX(Properties!A$1:CB$87,Formula!J52,30))</f>
        <v>2.6823076923076927</v>
      </c>
      <c r="CO52" s="54">
        <f>Formula!C52*(INDEX(Properties!A$1:CB$87,Formula!B52,30))+Formula!E52*(INDEX(Properties!A$1:CB$87,Formula!D52,30))+Formula!G52*(INDEX(Properties!A$1:CB$87,Formula!F52,30))+Formula!I52*(INDEX(Properties!A$1:CB$87,Formula!H52,30))+Formula!K52*(INDEX(Properties!A$1:CB$87,Formula!J52,30))</f>
        <v>34.869999999999997</v>
      </c>
      <c r="CP52" s="54">
        <f>VARP(IF(INDEX(Properties!A$1:CB$87,Formula!B52,30)&lt;&gt;"",INDEX(Properties!A$1:CB$87,Formula!B52,30)),IF(INDEX(Properties!A$1:CB$87,Formula!D52,30)&lt;&gt;"",INDEX(Properties!A$1:CB$87,Formula!D52,30)),IF(INDEX(Properties!A$1:CB$87,Formula!F52,30)&lt;&gt;"",INDEX(Properties!A$1:CB$87,Formula!F52,30)),IF(INDEX(Properties!A$1:CB$87,Formula!H52,30)&lt;&gt;"",INDEX(Properties!A$1:CB$87,Formula!H52,30)),IF(INDEX(Properties!A$1:CB$87,Formula!J52,30)&lt;&gt;"",INDEX(Properties!A$1:CB$87,Formula!J52,30)))</f>
        <v>1.3930639999999999</v>
      </c>
      <c r="CQ52" s="54">
        <f>MAX(INDEX(Properties!A$1:CB$87,Formula!B52,30),INDEX(Properties!A$1:CB$87,Formula!D52,30),INDEX(Properties!A$1:CB$87,Formula!F52,30),INDEX(Properties!A$1:CB$87,Formula!H52,30),INDEX(Properties!A$1:CB$87,Formula!J52,30))</f>
        <v>3.44</v>
      </c>
      <c r="CR52" s="54">
        <f>MIN(IF(INDEX(Properties!A$1:CB$87,Formula!B52,30)=0,10^6,INDEX(Properties!A$1:CB$87,Formula!B52,30)),IF(INDEX(Properties!A$1:CB$87,Formula!D52,30)=0,10^6,INDEX(Properties!A$1:CB$87,Formula!D52,30)),IF(INDEX(Properties!A$1:CB$87,Formula!F52,30)=0,10^6,INDEX(Properties!A$1:CB$87,Formula!F52,30)),IF(INDEX(Properties!A$1:CB$87,Formula!H52,30)=0,10^6,INDEX(Properties!A$1:CB$87,Formula!H52,30)),IF(INDEX(Properties!A$1:CB$87,Formula!J52,30)=0,10^6,INDEX(Properties!A$1:CB$87,Formula!J52,30)))</f>
        <v>0.82</v>
      </c>
      <c r="CS52" s="54">
        <f t="shared" si="15"/>
        <v>2.62</v>
      </c>
      <c r="CT52" s="69">
        <f>((Formula!C52)/(Formula!C52+Formula!E52+Formula!G52+Formula!I52+Formula!K52))*(INDEX(Properties!A$1:CB$87,Formula!B52,31))+((Formula!E52)/(Formula!C52+Formula!E52+Formula!G52+Formula!I52+Formula!K52))*(INDEX(Properties!A$1:CB$87,Formula!D52,31))+((Formula!G52)/(Formula!C52+Formula!E52+Formula!G52+Formula!I52+Formula!K52))*(INDEX(Properties!A$1:CB$87,Formula!F52,31))+((Formula!I52)/(Formula!C52+Formula!E52+Formula!G52+Formula!I52+Formula!K52))*(INDEX(Properties!A$1:CB$87,Formula!H52,31))+((Formula!K52)/(Formula!C52+Formula!E52+Formula!G52+Formula!I52+Formula!K52))*(INDEX(Properties!A$1:CB$87,Formula!J52,31))</f>
        <v>2.6538461538461537</v>
      </c>
      <c r="CU52" s="69">
        <f>Formula!C52*(INDEX(Properties!A$1:CB$87,Formula!B52,31))+Formula!E52*(INDEX(Properties!A$1:CB$87,Formula!D52,31))+Formula!G52*(INDEX(Properties!A$1:CB$87,Formula!F52,31))+Formula!I52*(INDEX(Properties!A$1:CB$87,Formula!H52,31))+Formula!K52*(INDEX(Properties!A$1:CB$87,Formula!J52,31))</f>
        <v>34.5</v>
      </c>
      <c r="CV52" s="69">
        <f>VARP(IF(INDEX(Properties!A$1:CB$87,Formula!B52,31)&lt;&gt;"",INDEX(Properties!A$1:CB$87,Formula!B52,31)),IF(INDEX(Properties!A$1:CB$87,Formula!D52,31)&lt;&gt;"",INDEX(Properties!A$1:CB$87,Formula!D52,31)),IF(INDEX(Properties!A$1:CB$87,Formula!F52,31)&lt;&gt;"",INDEX(Properties!A$1:CB$87,Formula!F52,31)),IF(INDEX(Properties!A$1:CB$87,Formula!H52,31)&lt;&gt;"",INDEX(Properties!A$1:CB$87,Formula!H52,31)),IF(INDEX(Properties!A$1:CB$87,Formula!J52,31)&lt;&gt;"",INDEX(Properties!A$1:CB$87,Formula!J52,31)))</f>
        <v>1.3365759999999995</v>
      </c>
      <c r="CW52" s="69">
        <f>MAX(INDEX(Properties!A$1:CB$87,Formula!B52,31),INDEX(Properties!A$1:CB$87,Formula!D52,31),INDEX(Properties!A$1:CB$87,Formula!F52,31),INDEX(Properties!A$1:CB$87,Formula!H52,31),INDEX(Properties!A$1:CB$87,Formula!J52,31))</f>
        <v>3.32</v>
      </c>
      <c r="CX52" s="69">
        <f>MIN(IF(INDEX(Properties!A$1:CB$87,Formula!B52,31)=0,10^6,INDEX(Properties!A$1:CB$87,Formula!B52,31)),IF(INDEX(Properties!A$1:CB$87,Formula!D52,31)=0,10^6,INDEX(Properties!A$1:CB$87,Formula!D52,31)),IF(INDEX(Properties!A$1:CB$87,Formula!F52,31)=0,10^6,INDEX(Properties!A$1:CB$87,Formula!F52,31)),IF(INDEX(Properties!A$1:CB$87,Formula!H52,31)=0,10^6,INDEX(Properties!A$1:CB$87,Formula!H52,31)),IF(INDEX(Properties!A$1:CB$87,Formula!J52,31)=0,10^6,INDEX(Properties!A$1:CB$87,Formula!J52,31)))</f>
        <v>0.8</v>
      </c>
      <c r="CY52" s="69">
        <f t="shared" si="16"/>
        <v>2.5199999999999996</v>
      </c>
      <c r="CZ52" s="42">
        <f>((Formula!C52)/(Formula!C52+Formula!E52+Formula!G52+Formula!I52+Formula!K52))*(INDEX(Properties!A$1:CB$87,Formula!B52,32))+((Formula!E52)/(Formula!C52+Formula!E52+Formula!G52+Formula!I52+Formula!K52))*(INDEX(Properties!A$1:CB$87,Formula!D52,32))+((Formula!G52)/(Formula!C52+Formula!E52+Formula!G52+Formula!I52+Formula!K52))*(INDEX(Properties!A$1:CB$87,Formula!F52,32))+((Formula!I52)/(Formula!C52+Formula!E52+Formula!G52+Formula!I52+Formula!K52))*(INDEX(Properties!A$1:CB$87,Formula!H52,32))+((Formula!K52)/(Formula!C52+Formula!E52+Formula!G52+Formula!I52+Formula!K52))*(INDEX(Properties!A$1:CB$87,Formula!J52,32))</f>
        <v>6.1569230769230776</v>
      </c>
      <c r="DA52" s="42">
        <f>Formula!C52*(INDEX(Properties!A$1:CB$87,Formula!B52,32))+Formula!E52*(INDEX(Properties!A$1:CB$87,Formula!D52,32))+Formula!G52*(INDEX(Properties!A$1:CB$87,Formula!F52,32))+Formula!I52*(INDEX(Properties!A$1:CB$87,Formula!H52,32))+Formula!K52*(INDEX(Properties!A$1:CB$87,Formula!J52,32))</f>
        <v>80.039999999999992</v>
      </c>
      <c r="DB52" s="42">
        <f>VARP(IF(INDEX(Properties!A$1:CB$87,Formula!B52,32)&lt;&gt;"",INDEX(Properties!A$1:CB$87,Formula!B52,32)),IF(INDEX(Properties!A$1:CB$87,Formula!D52,32)&lt;&gt;"",INDEX(Properties!A$1:CB$87,Formula!D52,32)),IF(INDEX(Properties!A$1:CB$87,Formula!F52,32)&lt;&gt;"",INDEX(Properties!A$1:CB$87,Formula!F52,32)),IF(INDEX(Properties!A$1:CB$87,Formula!H52,32)&lt;&gt;"",INDEX(Properties!A$1:CB$87,Formula!H52,32)),IF(INDEX(Properties!A$1:CB$87,Formula!J52,32)&lt;&gt;"",INDEX(Properties!A$1:CB$87,Formula!J52,32)))</f>
        <v>6.7320640000000029</v>
      </c>
      <c r="DC52" s="42">
        <f>MAX(INDEX(Properties!A$1:CB$87,Formula!B52,32),INDEX(Properties!A$1:CB$87,Formula!D52,32),INDEX(Properties!A$1:CB$87,Formula!F52,32),INDEX(Properties!A$1:CB$87,Formula!H52,32),INDEX(Properties!A$1:CB$87,Formula!J52,32))</f>
        <v>7.54</v>
      </c>
      <c r="DD52" s="42">
        <f>MIN(IF(INDEX(Properties!A$1:CB$87,Formula!B52,32)=0,10^6,INDEX(Properties!A$1:CB$87,Formula!B52,32)),IF(INDEX(Properties!A$1:CB$87,Formula!D52,32)=0,10^6,INDEX(Properties!A$1:CB$87,Formula!D52,32)),IF(INDEX(Properties!A$1:CB$87,Formula!F52,32)=0,10^6,INDEX(Properties!A$1:CB$87,Formula!F52,32)),IF(INDEX(Properties!A$1:CB$87,Formula!H52,32)=0,10^6,INDEX(Properties!A$1:CB$87,Formula!H52,32)),IF(INDEX(Properties!A$1:CB$87,Formula!J52,32)=0,10^6,INDEX(Properties!A$1:CB$87,Formula!J52,32)))</f>
        <v>2.42</v>
      </c>
      <c r="DE52" s="42">
        <f t="shared" si="17"/>
        <v>5.12</v>
      </c>
      <c r="DF52" s="60">
        <f>((Formula!C52)/(Formula!C52+Formula!E52+Formula!G52+Formula!I52+Formula!K52))*(INDEX(Properties!A$1:CB$87,Formula!B52,34))+((Formula!E52)/(Formula!C52+Formula!E52+Formula!G52+Formula!I52+Formula!K52))*(INDEX(Properties!A$1:CB$87,Formula!D52,34))+((Formula!G52)/(Formula!C52+Formula!E52+Formula!G52+Formula!I52+Formula!K52))*(INDEX(Properties!A$1:CB$87,Formula!F52,34))+((Formula!I52)/(Formula!C52+Formula!E52+Formula!G52+Formula!I52+Formula!K52))*(INDEX(Properties!A$1:CB$87,Formula!H52,34))+((Formula!K52)/(Formula!C52+Formula!E52+Formula!G52+Formula!I52+Formula!K52))*(INDEX(Properties!A$1:CB$87,Formula!J52,34))</f>
        <v>2.7826153846153847</v>
      </c>
      <c r="DG52" s="60">
        <f>Formula!C52*(INDEX(Properties!A$1:CB$87,Formula!B52,34))+Formula!E52*(INDEX(Properties!A$1:CB$87,Formula!D52,34))+Formula!G52*(INDEX(Properties!A$1:CB$87,Formula!F52,34))+Formula!I52*(INDEX(Properties!A$1:CB$87,Formula!H52,34))+Formula!K52*(INDEX(Properties!A$1:CB$87,Formula!J52,34))</f>
        <v>36.173999999999999</v>
      </c>
      <c r="DH52" s="60">
        <f>VARP(IF(INDEX(Properties!A$1:CB$87,Formula!B52,34)&lt;&gt;"",INDEX(Properties!A$1:CB$87,Formula!B52,34)),IF(INDEX(Properties!A$1:CB$87,Formula!D52,34)&lt;&gt;"",INDEX(Properties!A$1:CB$87,Formula!D52,34)),IF(INDEX(Properties!A$1:CB$87,Formula!F52,34)&lt;&gt;"",INDEX(Properties!A$1:CB$87,Formula!F52,34)),IF(INDEX(Properties!A$1:CB$87,Formula!H52,34)&lt;&gt;"",INDEX(Properties!A$1:CB$87,Formula!H52,34)),IF(INDEX(Properties!A$1:CB$87,Formula!J52,34)&lt;&gt;"",INDEX(Properties!A$1:CB$87,Formula!J52,34)))</f>
        <v>1.5706974400000002</v>
      </c>
      <c r="DI52" s="60">
        <f>MAX(INDEX(Properties!A$1:CB$87,Formula!B52,34),INDEX(Properties!A$1:CB$87,Formula!D52,34),INDEX(Properties!A$1:CB$87,Formula!F52,34),INDEX(Properties!A$1:CB$87,Formula!H52,34),INDEX(Properties!A$1:CB$87,Formula!J52,34))</f>
        <v>3.61</v>
      </c>
      <c r="DJ52" s="60">
        <f>MIN(IF(INDEX(Properties!A$1:CB$87,Formula!B52,34)=0,10^6,INDEX(Properties!A$1:CB$87,Formula!B52,34)),IF(INDEX(Properties!A$1:CB$87,Formula!D52,34)=0,10^6,INDEX(Properties!A$1:CB$87,Formula!D52,34)),IF(INDEX(Properties!A$1:CB$87,Formula!F52,34)=0,10^6,INDEX(Properties!A$1:CB$87,Formula!F52,34)),IF(INDEX(Properties!A$1:CB$87,Formula!H52,34)=0,10^6,INDEX(Properties!A$1:CB$87,Formula!H52,34)),IF(INDEX(Properties!A$1:CB$87,Formula!J52,34)=0,10^6,INDEX(Properties!A$1:CB$87,Formula!J52,34)))</f>
        <v>0.73399999999999999</v>
      </c>
      <c r="DK52" s="60">
        <f t="shared" si="18"/>
        <v>2.8759999999999999</v>
      </c>
      <c r="DL52" s="45">
        <f>((Formula!C52)/(Formula!C52+Formula!E52+Formula!G52+Formula!I52+Formula!K52))*(INDEX(Properties!A$1:CB$87,Formula!B52,39))+((Formula!E52)/(Formula!C52+Formula!E52+Formula!G52+Formula!I52+Formula!K52))*(INDEX(Properties!A$1:CB$87,Formula!D52,39))+((Formula!G52)/(Formula!C52+Formula!E52+Formula!G52+Formula!I52+Formula!K52))*(INDEX(Properties!A$1:CB$87,Formula!F52,39))+((Formula!I52)/(Formula!C52+Formula!E52+Formula!G52+Formula!I52+Formula!K52))*(INDEX(Properties!A$1:CB$87,Formula!H52,39))+((Formula!K52)/(Formula!C52+Formula!E52+Formula!G52+Formula!I52+Formula!K52))*(INDEX(Properties!A$1:CB$87,Formula!J52,39))</f>
        <v>0.97846153846153849</v>
      </c>
      <c r="DM52" s="45">
        <f>Formula!C52*(INDEX(Properties!A$1:CB$87,Formula!B52,39))+Formula!E52*(INDEX(Properties!A$1:CB$87,Formula!D52,39))+Formula!G52*(INDEX(Properties!A$1:CB$87,Formula!F52,39))+Formula!I52*(INDEX(Properties!A$1:CB$87,Formula!H52,39))+Formula!K52*(INDEX(Properties!A$1:CB$87,Formula!J52,39))</f>
        <v>12.719999999999999</v>
      </c>
      <c r="DN52" s="45">
        <f>VARP(IF(INDEX(Properties!A$1:CB$87,Formula!B52,39)&lt;&gt;"",INDEX(Properties!A$1:CB$87,Formula!B52,39)),IF(INDEX(Properties!A$1:CB$87,Formula!D52,39)&lt;&gt;"",INDEX(Properties!A$1:CB$87,Formula!D52,39)),IF(INDEX(Properties!A$1:CB$87,Formula!F52,39)&lt;&gt;"",INDEX(Properties!A$1:CB$87,Formula!F52,39)),IF(INDEX(Properties!A$1:CB$87,Formula!H52,39)&lt;&gt;"",INDEX(Properties!A$1:CB$87,Formula!H52,39)),IF(INDEX(Properties!A$1:CB$87,Formula!J52,39)&lt;&gt;"",INDEX(Properties!A$1:CB$87,Formula!J52,39)))</f>
        <v>0.85175999999999963</v>
      </c>
      <c r="DO52" s="45">
        <f>MAX(INDEX(Properties!A$1:CB$87,Formula!B52,39),INDEX(Properties!A$1:CB$87,Formula!D52,39),INDEX(Properties!A$1:CB$87,Formula!F52,39),INDEX(Properties!A$1:CB$87,Formula!H52,39),INDEX(Properties!A$1:CB$87,Formula!J52,39))</f>
        <v>2.4300000000000002</v>
      </c>
      <c r="DP52" s="45">
        <f>MIN(IF(INDEX(Properties!A$1:CB$87,Formula!B52,39)=0,10^6,INDEX(Properties!A$1:CB$87,Formula!B52,39)),IF(INDEX(Properties!A$1:CB$87,Formula!D52,39)=0,10^6,INDEX(Properties!A$1:CB$87,Formula!D52,39)),IF(INDEX(Properties!A$1:CB$87,Formula!F52,39)=0,10^6,INDEX(Properties!A$1:CB$87,Formula!F52,39)),IF(INDEX(Properties!A$1:CB$87,Formula!H52,39)=0,10^6,INDEX(Properties!A$1:CB$87,Formula!H52,39)),IF(INDEX(Properties!A$1:CB$87,Formula!J52,39)=0,10^6,INDEX(Properties!A$1:CB$87,Formula!J52,39)))</f>
        <v>0.48</v>
      </c>
      <c r="DQ52" s="45">
        <f t="shared" si="19"/>
        <v>1.9500000000000002</v>
      </c>
      <c r="DR52" s="63">
        <f>((Formula!C52)/(Formula!C52+Formula!E52+Formula!G52+Formula!I52+Formula!K52))*(INDEX(Properties!A$1:CB$87,Formula!B52,40))+((Formula!E52)/(Formula!C52+Formula!E52+Formula!G52+Formula!I52+Formula!K52))*(INDEX(Properties!A$1:CB$87,Formula!D52,40))+((Formula!G52)/(Formula!C52+Formula!E52+Formula!G52+Formula!I52+Formula!K52))*(INDEX(Properties!A$1:CB$87,Formula!F52,40))+((Formula!I52)/(Formula!C52+Formula!E52+Formula!G52+Formula!I52+Formula!K52))*(INDEX(Properties!A$1:CB$87,Formula!H52,40))+((Formula!K52)/(Formula!C52+Formula!E52+Formula!G52+Formula!I52+Formula!K52))*(INDEX(Properties!A$1:CB$87,Formula!J52,40))</f>
        <v>1.0276923076923077</v>
      </c>
      <c r="DS52" s="63">
        <f>Formula!C52*(INDEX(Properties!A$1:CB$87,Formula!B52,40))+Formula!E52*(INDEX(Properties!A$1:CB$87,Formula!D52,40))+Formula!G52*(INDEX(Properties!A$1:CB$87,Formula!F52,40))+Formula!I52*(INDEX(Properties!A$1:CB$87,Formula!H52,40))+Formula!K52*(INDEX(Properties!A$1:CB$87,Formula!J52,40))</f>
        <v>13.36</v>
      </c>
      <c r="DT52" s="63">
        <f>VARP(IF(INDEX(Properties!A$1:CB$87,Formula!B52,40)&lt;&gt;"",INDEX(Properties!A$1:CB$87,Formula!B52,40)),IF(INDEX(Properties!A$1:CB$87,Formula!D52,40)&lt;&gt;"",INDEX(Properties!A$1:CB$87,Formula!D52,40)),IF(INDEX(Properties!A$1:CB$87,Formula!F52,40)&lt;&gt;"",INDEX(Properties!A$1:CB$87,Formula!F52,40)),IF(INDEX(Properties!A$1:CB$87,Formula!H52,40)&lt;&gt;"",INDEX(Properties!A$1:CB$87,Formula!H52,40)),IF(INDEX(Properties!A$1:CB$87,Formula!J52,40)&lt;&gt;"",INDEX(Properties!A$1:CB$87,Formula!J52,40)))</f>
        <v>0.44358399999999959</v>
      </c>
      <c r="DU52" s="63">
        <f>MAX(INDEX(Properties!A$1:CB$87,Formula!B52,40),INDEX(Properties!A$1:CB$87,Formula!D52,40),INDEX(Properties!A$1:CB$87,Formula!F52,40),INDEX(Properties!A$1:CB$87,Formula!H52,40),INDEX(Properties!A$1:CB$87,Formula!J52,40))</f>
        <v>1.96</v>
      </c>
      <c r="DV52" s="63">
        <f>MIN(IF(INDEX(Properties!A$1:CB$87,Formula!B52,40)=0,10^6,INDEX(Properties!A$1:CB$87,Formula!B52,40)),IF(INDEX(Properties!A$1:CB$87,Formula!D52,40)=0,10^6,INDEX(Properties!A$1:CB$87,Formula!D52,40)),IF(INDEX(Properties!A$1:CB$87,Formula!F52,40)=0,10^6,INDEX(Properties!A$1:CB$87,Formula!F52,40)),IF(INDEX(Properties!A$1:CB$87,Formula!H52,40)=0,10^6,INDEX(Properties!A$1:CB$87,Formula!H52,40)),IF(INDEX(Properties!A$1:CB$87,Formula!J52,40)=0,10^6,INDEX(Properties!A$1:CB$87,Formula!J52,40)))</f>
        <v>0.73</v>
      </c>
      <c r="DW52" s="63">
        <f t="shared" si="20"/>
        <v>1.23</v>
      </c>
      <c r="DX52" s="75">
        <f>((Formula!C52)/(Formula!C52+Formula!E52+Formula!G52+Formula!I52+Formula!K52))*(INDEX(Properties!A$1:CB$87,Formula!B52,41))+((Formula!E52)/(Formula!C52+Formula!E52+Formula!G52+Formula!I52+Formula!K52))*(INDEX(Properties!A$1:CB$87,Formula!D52,41))+((Formula!G52)/(Formula!C52+Formula!E52+Formula!G52+Formula!I52+Formula!K52))*(INDEX(Properties!A$1:CB$87,Formula!F52,41))+((Formula!I52)/(Formula!C52+Formula!E52+Formula!G52+Formula!I52+Formula!K52))*(INDEX(Properties!A$1:CB$87,Formula!H52,41))+((Formula!K52)/(Formula!C52+Formula!E52+Formula!G52+Formula!I52+Formula!K52))*(INDEX(Properties!A$1:CB$87,Formula!J52,41))</f>
        <v>1.1646153846153848</v>
      </c>
      <c r="DY52" s="75">
        <f>Formula!C52*(INDEX(Properties!A$1:CB$87,Formula!B52,41))+Formula!E52*(INDEX(Properties!A$1:CB$87,Formula!D52,41))+Formula!G52*(INDEX(Properties!A$1:CB$87,Formula!F52,41))+Formula!I52*(INDEX(Properties!A$1:CB$87,Formula!H52,41))+Formula!K52*(INDEX(Properties!A$1:CB$87,Formula!J52,41))</f>
        <v>15.14</v>
      </c>
      <c r="DZ52" s="75">
        <f>VARP(IF(INDEX(Properties!A$1:CB$87,Formula!B52,41)&lt;&gt;"",INDEX(Properties!A$1:CB$87,Formula!B52,41)),IF(INDEX(Properties!A$1:CB$87,Formula!D52,41)&lt;&gt;"",INDEX(Properties!A$1:CB$87,Formula!D52,41)),IF(INDEX(Properties!A$1:CB$87,Formula!F52,41)&lt;&gt;"",INDEX(Properties!A$1:CB$87,Formula!F52,41)),IF(INDEX(Properties!A$1:CB$87,Formula!H52,41)&lt;&gt;"",INDEX(Properties!A$1:CB$87,Formula!H52,41)),IF(INDEX(Properties!A$1:CB$87,Formula!J52,41)&lt;&gt;"",INDEX(Properties!A$1:CB$87,Formula!J52,41)))</f>
        <v>0.2824640000000001</v>
      </c>
      <c r="EA52" s="75">
        <f>MAX(INDEX(Properties!A$1:CB$87,Formula!B52,41),INDEX(Properties!A$1:CB$87,Formula!D52,41),INDEX(Properties!A$1:CB$87,Formula!F52,41),INDEX(Properties!A$1:CB$87,Formula!H52,41),INDEX(Properties!A$1:CB$87,Formula!J52,41))</f>
        <v>1.52</v>
      </c>
      <c r="EB52" s="75">
        <f>MIN(IF(INDEX(Properties!A$1:CB$87,Formula!B52,41)=0,10^6,INDEX(Properties!A$1:CB$87,Formula!B52,41)),IF(INDEX(Properties!A$1:CB$87,Formula!D52,41)=0,10^6,INDEX(Properties!A$1:CB$87,Formula!D52,41)),IF(INDEX(Properties!A$1:CB$87,Formula!F52,41)=0,10^6,INDEX(Properties!A$1:CB$87,Formula!F52,41)),IF(INDEX(Properties!A$1:CB$87,Formula!H52,41)=0,10^6,INDEX(Properties!A$1:CB$87,Formula!H52,41)),IF(INDEX(Properties!A$1:CB$87,Formula!J52,41)=0,10^6,INDEX(Properties!A$1:CB$87,Formula!J52,41)))</f>
        <v>0.57999999999999996</v>
      </c>
      <c r="EC52" s="75">
        <f t="shared" si="21"/>
        <v>0.94000000000000006</v>
      </c>
      <c r="ED52" s="48">
        <f>((Formula!C52)/(Formula!C52+Formula!E52+Formula!G52+Formula!I52+Formula!K52))*(INDEX(Properties!A$1:CB$87,Formula!B52,45))+((Formula!E52)/(Formula!C52+Formula!E52+Formula!G52+Formula!I52+Formula!K52))*(INDEX(Properties!A$1:CB$87,Formula!D52,45))+((Formula!G52)/(Formula!C52+Formula!E52+Formula!G52+Formula!I52+Formula!K52))*(INDEX(Properties!A$1:CB$87,Formula!F52,45))+((Formula!I52)/(Formula!C52+Formula!E52+Formula!G52+Formula!I52+Formula!K52))*(INDEX(Properties!A$1:CB$87,Formula!H52,45))+((Formula!K52)/(Formula!C52+Formula!E52+Formula!G52+Formula!I52+Formula!K52))*(INDEX(Properties!A$1:CB$87,Formula!J52,45))</f>
        <v>1.2653846153846156</v>
      </c>
      <c r="EE52" s="48">
        <f>Formula!C52*(INDEX(Properties!A$1:CB$87,Formula!B52,45))+Formula!E52*(INDEX(Properties!A$1:CB$87,Formula!D52,45))+Formula!G52*(INDEX(Properties!A$1:CB$87,Formula!F52,45))+Formula!I52*(INDEX(Properties!A$1:CB$87,Formula!H52,45))+Formula!K52*(INDEX(Properties!A$1:CB$87,Formula!J52,45))</f>
        <v>16.450000000000003</v>
      </c>
      <c r="EF52" s="48">
        <f>VARP(IF(INDEX(Properties!A$1:CB$87,Formula!B52,45)&lt;&gt;"",INDEX(Properties!A$1:CB$87,Formula!B52,45)),IF(INDEX(Properties!A$1:CB$87,Formula!D52,45)&lt;&gt;"",INDEX(Properties!A$1:CB$87,Formula!D52,45)),IF(INDEX(Properties!A$1:CB$87,Formula!F52,45)&lt;&gt;"",INDEX(Properties!A$1:CB$87,Formula!F52,45)),IF(INDEX(Properties!A$1:CB$87,Formula!H52,45)&lt;&gt;"",INDEX(Properties!A$1:CB$87,Formula!H52,45)),IF(INDEX(Properties!A$1:CB$87,Formula!J52,45)&lt;&gt;"",INDEX(Properties!A$1:CB$87,Formula!J52,45)))</f>
        <v>1.967384</v>
      </c>
      <c r="EG52" s="48">
        <f>MAX(INDEX(Properties!A$1:CB$87,Formula!B52,45),INDEX(Properties!A$1:CB$87,Formula!D52,45),INDEX(Properties!A$1:CB$87,Formula!F52,45),INDEX(Properties!A$1:CB$87,Formula!H52,45),INDEX(Properties!A$1:CB$87,Formula!J52,45))</f>
        <v>3.69</v>
      </c>
      <c r="EH52" s="48">
        <f>MIN(IF(INDEX(Properties!A$1:CB$87,Formula!B52,45)=0,10^6,INDEX(Properties!A$1:CB$87,Formula!B52,45)),IF(INDEX(Properties!A$1:CB$87,Formula!D52,45)=0,10^6,INDEX(Properties!A$1:CB$87,Formula!D52,45)),IF(INDEX(Properties!A$1:CB$87,Formula!F52,45)=0,10^6,INDEX(Properties!A$1:CB$87,Formula!F52,45)),IF(INDEX(Properties!A$1:CB$87,Formula!H52,45)=0,10^6,INDEX(Properties!A$1:CB$87,Formula!H52,45)),IF(INDEX(Properties!A$1:CB$87,Formula!J52,45)=0,10^6,INDEX(Properties!A$1:CB$87,Formula!J52,45)))</f>
        <v>0.47</v>
      </c>
      <c r="EI52" s="48">
        <f t="shared" si="22"/>
        <v>3.2199999999999998</v>
      </c>
      <c r="EJ52" s="66">
        <f>((Formula!C52)/(Formula!C52+Formula!E52+Formula!G52+Formula!I52+Formula!K52))*(INDEX(Properties!A$1:CB$87,Formula!B52,46))+((Formula!E52)/(Formula!C52+Formula!E52+Formula!G52+Formula!I52+Formula!K52))*(INDEX(Properties!A$1:CB$87,Formula!D52,46))+((Formula!G52)/(Formula!C52+Formula!E52+Formula!G52+Formula!I52+Formula!K52))*(INDEX(Properties!A$1:CB$87,Formula!F52,46))+((Formula!I52)/(Formula!C52+Formula!E52+Formula!G52+Formula!I52+Formula!K52))*(INDEX(Properties!A$1:CB$87,Formula!H52,46))+((Formula!K52)/(Formula!C52+Formula!E52+Formula!G52+Formula!I52+Formula!K52))*(INDEX(Properties!A$1:CB$87,Formula!J52,46))</f>
        <v>1.0923076923076924</v>
      </c>
      <c r="EK52" s="66">
        <f>Formula!C52*(INDEX(Properties!A$1:CB$87,Formula!B52,46))+Formula!E52*(INDEX(Properties!A$1:CB$87,Formula!D52,46))+Formula!G52*(INDEX(Properties!A$1:CB$87,Formula!F52,46))+Formula!I52*(INDEX(Properties!A$1:CB$87,Formula!H52,46))+Formula!K52*(INDEX(Properties!A$1:CB$87,Formula!J52,46))</f>
        <v>14.2</v>
      </c>
      <c r="EL52" s="66">
        <f>VARP(IF(INDEX(Properties!A$1:CB$87,Formula!B52,46)&lt;&gt;"",INDEX(Properties!A$1:CB$87,Formula!B52,46)),IF(INDEX(Properties!A$1:CB$87,Formula!D52,46)&lt;&gt;"",INDEX(Properties!A$1:CB$87,Formula!D52,46)),IF(INDEX(Properties!A$1:CB$87,Formula!F52,46)&lt;&gt;"",INDEX(Properties!A$1:CB$87,Formula!F52,46)),IF(INDEX(Properties!A$1:CB$87,Formula!H52,46)&lt;&gt;"",INDEX(Properties!A$1:CB$87,Formula!H52,46)),IF(INDEX(Properties!A$1:CB$87,Formula!J52,46)&lt;&gt;"",INDEX(Properties!A$1:CB$87,Formula!J52,46)))</f>
        <v>0.31363999999999997</v>
      </c>
      <c r="EM52" s="66">
        <f>MAX(INDEX(Properties!A$1:CB$87,Formula!B52,46),INDEX(Properties!A$1:CB$87,Formula!D52,46),INDEX(Properties!A$1:CB$87,Formula!F52,46),INDEX(Properties!A$1:CB$87,Formula!H52,46),INDEX(Properties!A$1:CB$87,Formula!J52,46))</f>
        <v>1.52</v>
      </c>
      <c r="EN52" s="66">
        <f>MIN(IF(INDEX(Properties!A$1:CB$87,Formula!B52,46)=0,10^6,INDEX(Properties!A$1:CB$87,Formula!B52,46)),IF(INDEX(Properties!A$1:CB$87,Formula!D52,46)=0,10^6,INDEX(Properties!A$1:CB$87,Formula!D52,46)),IF(INDEX(Properties!A$1:CB$87,Formula!F52,46)=0,10^6,INDEX(Properties!A$1:CB$87,Formula!F52,46)),IF(INDEX(Properties!A$1:CB$87,Formula!H52,46)=0,10^6,INDEX(Properties!A$1:CB$87,Formula!H52,46)),IF(INDEX(Properties!A$1:CB$87,Formula!J52,46)=0,10^6,INDEX(Properties!A$1:CB$87,Formula!J52,46)))</f>
        <v>0.31</v>
      </c>
      <c r="EO52" s="66">
        <f t="shared" si="23"/>
        <v>1.21</v>
      </c>
      <c r="EP52" s="81">
        <f>((Formula!C52)/(Formula!C52+Formula!E52+Formula!G52+Formula!I52+Formula!K52))*(INDEX(Properties!A$1:CB$87,Formula!B52,52))+((Formula!E52)/(Formula!C52+Formula!E52+Formula!G52+Formula!I52+Formula!K52))*(INDEX(Properties!A$1:CB$87,Formula!D52,52))+((Formula!G52)/(Formula!C52+Formula!E52+Formula!G52+Formula!I52+Formula!K52))*(INDEX(Properties!A$1:CB$87,Formula!F52,52))+((Formula!I52)/(Formula!C52+Formula!E52+Formula!G52+Formula!I52+Formula!K52))*(INDEX(Properties!A$1:CB$87,Formula!H52,52))+((Formula!K52)/(Formula!C52+Formula!E52+Formula!G52+Formula!I52+Formula!K52))*(INDEX(Properties!A$1:CB$87,Formula!J52,52))</f>
        <v>9.0956923076923069</v>
      </c>
      <c r="EQ52" s="81">
        <f>Formula!C52*(INDEX(Properties!A$1:CB$87,Formula!B52,52))+Formula!E52*(INDEX(Properties!A$1:CB$87,Formula!D52,52))+Formula!G52*(INDEX(Properties!A$1:CB$87,Formula!F52,52))+Formula!I52*(INDEX(Properties!A$1:CB$87,Formula!H52,52))+Formula!K52*(INDEX(Properties!A$1:CB$87,Formula!J52,52))</f>
        <v>118.24399999999999</v>
      </c>
      <c r="ER52" s="81">
        <f>VARP(IF(INDEX(Properties!A$1:CB$87,Formula!B52,52)&lt;&gt;"",INDEX(Properties!A$1:CB$87,Formula!B52,52)),IF(INDEX(Properties!A$1:CB$87,Formula!D52,52)&lt;&gt;"",INDEX(Properties!A$1:CB$87,Formula!D52,52)),IF(INDEX(Properties!A$1:CB$87,Formula!F52,52)&lt;&gt;"",INDEX(Properties!A$1:CB$87,Formula!F52,52)),IF(INDEX(Properties!A$1:CB$87,Formula!H52,52)&lt;&gt;"",INDEX(Properties!A$1:CB$87,Formula!H52,52)),IF(INDEX(Properties!A$1:CB$87,Formula!J52,52)&lt;&gt;"",INDEX(Properties!A$1:CB$87,Formula!J52,52)))</f>
        <v>270.88895984000004</v>
      </c>
      <c r="ES52" s="81">
        <f>MAX(INDEX(Properties!A$1:CB$87,Formula!B52,52),INDEX(Properties!A$1:CB$87,Formula!D52,52),INDEX(Properties!A$1:CB$87,Formula!F52,52),INDEX(Properties!A$1:CB$87,Formula!H52,52),INDEX(Properties!A$1:CB$87,Formula!J52,52))</f>
        <v>43.4</v>
      </c>
      <c r="ET52" s="81">
        <f>MIN(IF(INDEX(Properties!A$1:CB$87,Formula!B52,52)=0,10^6,INDEX(Properties!A$1:CB$87,Formula!B52,52)),IF(INDEX(Properties!A$1:CB$87,Formula!D52,52)=0,10^6,INDEX(Properties!A$1:CB$87,Formula!D52,52)),IF(INDEX(Properties!A$1:CB$87,Formula!F52,52)=0,10^6,INDEX(Properties!A$1:CB$87,Formula!F52,52)),IF(INDEX(Properties!A$1:CB$87,Formula!H52,52)=0,10^6,INDEX(Properties!A$1:CB$87,Formula!H52,52)),IF(INDEX(Properties!A$1:CB$87,Formula!J52,52)=0,10^6,INDEX(Properties!A$1:CB$87,Formula!J52,52)))</f>
        <v>0.79300000000000004</v>
      </c>
      <c r="EU52" s="81">
        <f t="shared" si="24"/>
        <v>42.606999999999999</v>
      </c>
      <c r="EV52" s="39">
        <f>((Formula!C52)/(Formula!C52+Formula!E52+Formula!G52+Formula!I52+Formula!K52))*(INDEX(Properties!A$1:CB$87,Formula!B52,53))+((Formula!E52)/(Formula!C52+Formula!E52+Formula!G52+Formula!I52+Formula!K52))*(INDEX(Properties!A$1:CB$87,Formula!D52,53))+((Formula!G52)/(Formula!C52+Formula!E52+Formula!G52+Formula!I52+Formula!K52))*(INDEX(Properties!A$1:CB$87,Formula!F52,53))+((Formula!I52)/(Formula!C52+Formula!E52+Formula!G52+Formula!I52+Formula!K52))*(INDEX(Properties!A$1:CB$87,Formula!H52,53))+((Formula!K52)/(Formula!C52+Formula!E52+Formula!G52+Formula!I52+Formula!K52))*(INDEX(Properties!A$1:CB$87,Formula!J52,53))</f>
        <v>297.72692307692307</v>
      </c>
      <c r="EW52" s="39">
        <f>Formula!C52*(INDEX(Properties!A$1:CB$87,Formula!B52,53))+Formula!E52*(INDEX(Properties!A$1:CB$87,Formula!D52,53))+Formula!G52*(INDEX(Properties!A$1:CB$87,Formula!F52,53))+Formula!I52*(INDEX(Properties!A$1:CB$87,Formula!H52,53))+Formula!K52*(INDEX(Properties!A$1:CB$87,Formula!J52,53))</f>
        <v>3870.45</v>
      </c>
      <c r="EX52" s="39">
        <f>VARP(IF(INDEX(Properties!A$1:CB$87,Formula!B52,53)&lt;&gt;"",INDEX(Properties!A$1:CB$87,Formula!B52,53)),IF(INDEX(Properties!A$1:CB$87,Formula!D52,53)&lt;&gt;"",INDEX(Properties!A$1:CB$87,Formula!D52,53)),IF(INDEX(Properties!A$1:CB$87,Formula!F52,53)&lt;&gt;"",INDEX(Properties!A$1:CB$87,Formula!F52,53)),IF(INDEX(Properties!A$1:CB$87,Formula!H52,53)&lt;&gt;"",INDEX(Properties!A$1:CB$87,Formula!H52,53)),IF(INDEX(Properties!A$1:CB$87,Formula!J52,53)&lt;&gt;"",INDEX(Properties!A$1:CB$87,Formula!J52,53)))</f>
        <v>625454.29740000004</v>
      </c>
      <c r="EY52" s="39">
        <f>MAX(INDEX(Properties!A$1:CB$87,Formula!B52,53),INDEX(Properties!A$1:CB$87,Formula!D52,53),INDEX(Properties!A$1:CB$87,Formula!F52,53),INDEX(Properties!A$1:CB$87,Formula!H52,53),INDEX(Properties!A$1:CB$87,Formula!J52,53))</f>
        <v>2125.15</v>
      </c>
      <c r="EZ52" s="39">
        <f>MIN(IF(INDEX(Properties!A$1:CB$87,Formula!B52,53)=0,10^6,INDEX(Properties!A$1:CB$87,Formula!B52,53)),IF(INDEX(Properties!A$1:CB$87,Formula!D52,53)=0,10^6,INDEX(Properties!A$1:CB$87,Formula!D52,53)),IF(INDEX(Properties!A$1:CB$87,Formula!F52,53)=0,10^6,INDEX(Properties!A$1:CB$87,Formula!F52,53)),IF(INDEX(Properties!A$1:CB$87,Formula!H52,53)=0,10^6,INDEX(Properties!A$1:CB$87,Formula!H52,53)),IF(INDEX(Properties!A$1:CB$87,Formula!J52,53)=0,10^6,INDEX(Properties!A$1:CB$87,Formula!J52,53)))</f>
        <v>54.749999999999972</v>
      </c>
      <c r="FA52" s="39">
        <f t="shared" si="25"/>
        <v>2070.4</v>
      </c>
      <c r="FB52" s="54">
        <f>((Formula!C52)/(Formula!C52+Formula!E52+Formula!G52+Formula!I52+Formula!K52))*(INDEX(Properties!A$1:CB$87,Formula!B52,54))+((Formula!E52)/(Formula!C52+Formula!E52+Formula!G52+Formula!I52+Formula!K52))*(INDEX(Properties!A$1:CB$87,Formula!D52,54))+((Formula!G52)/(Formula!C52+Formula!E52+Formula!G52+Formula!I52+Formula!K52))*(INDEX(Properties!A$1:CB$87,Formula!F52,54))+((Formula!I52)/(Formula!C52+Formula!E52+Formula!G52+Formula!I52+Formula!K52))*(INDEX(Properties!A$1:CB$87,Formula!H52,54))+((Formula!K52)/(Formula!C52+Formula!E52+Formula!G52+Formula!I52+Formula!K52))*(INDEX(Properties!A$1:CB$87,Formula!J52,54))</f>
        <v>657.22692307692307</v>
      </c>
      <c r="FC52" s="54">
        <f>Formula!C52*(INDEX(Properties!A$1:CB$87,Formula!B52,54))+Formula!E52*(INDEX(Properties!A$1:CB$87,Formula!D52,54))+Formula!G52*(INDEX(Properties!A$1:CB$87,Formula!F52,54))+Formula!I52*(INDEX(Properties!A$1:CB$87,Formula!H52,54))+Formula!K52*(INDEX(Properties!A$1:CB$87,Formula!J52,54))</f>
        <v>8543.9500000000007</v>
      </c>
      <c r="FD52" s="54">
        <f>VARP(IF(INDEX(Properties!A$1:CB$87,Formula!B52,54)&lt;&gt;"",INDEX(Properties!A$1:CB$87,Formula!B52,54)),IF(INDEX(Properties!A$1:CB$87,Formula!D52,54)&lt;&gt;"",INDEX(Properties!A$1:CB$87,Formula!D52,54)),IF(INDEX(Properties!A$1:CB$87,Formula!F52,54)&lt;&gt;"",INDEX(Properties!A$1:CB$87,Formula!F52,54)),IF(INDEX(Properties!A$1:CB$87,Formula!H52,54)&lt;&gt;"",INDEX(Properties!A$1:CB$87,Formula!H52,54)),IF(INDEX(Properties!A$1:CB$87,Formula!J52,54)&lt;&gt;"",INDEX(Properties!A$1:CB$87,Formula!J52,54)))</f>
        <v>3000044.4756000005</v>
      </c>
      <c r="FE52" s="54">
        <f>MAX(INDEX(Properties!A$1:CB$87,Formula!B52,54),INDEX(Properties!A$1:CB$87,Formula!D52,54),INDEX(Properties!A$1:CB$87,Formula!F52,54),INDEX(Properties!A$1:CB$87,Formula!H52,54),INDEX(Properties!A$1:CB$87,Formula!J52,54))</f>
        <v>4650.1499999999996</v>
      </c>
      <c r="FF52" s="54">
        <f>MIN(IF(INDEX(Properties!A$1:CB$87,Formula!B52,54)=0,10^6,INDEX(Properties!A$1:CB$87,Formula!B52,54)),IF(INDEX(Properties!A$1:CB$87,Formula!D52,54)=0,10^6,INDEX(Properties!A$1:CB$87,Formula!D52,54)),IF(INDEX(Properties!A$1:CB$87,Formula!F52,54)=0,10^6,INDEX(Properties!A$1:CB$87,Formula!F52,54)),IF(INDEX(Properties!A$1:CB$87,Formula!H52,54)=0,10^6,INDEX(Properties!A$1:CB$87,Formula!H52,54)),IF(INDEX(Properties!A$1:CB$87,Formula!J52,54)=0,10^6,INDEX(Properties!A$1:CB$87,Formula!J52,54)))</f>
        <v>90.149999999999977</v>
      </c>
      <c r="FG52" s="54">
        <f t="shared" si="26"/>
        <v>4560</v>
      </c>
      <c r="FH52" s="69">
        <f>((Formula!C52)/(Formula!C52+Formula!E52+Formula!G52+Formula!I52+Formula!K52))*(INDEX(Properties!A$1:CB$87,Formula!B52,55))+((Formula!E52)/(Formula!C52+Formula!E52+Formula!G52+Formula!I52+Formula!K52))*(INDEX(Properties!A$1:CB$87,Formula!D52,55))+((Formula!G52)/(Formula!C52+Formula!E52+Formula!G52+Formula!I52+Formula!K52))*(INDEX(Properties!A$1:CB$87,Formula!F52,55))+((Formula!I52)/(Formula!C52+Formula!E52+Formula!G52+Formula!I52+Formula!K52))*(INDEX(Properties!A$1:CB$87,Formula!H52,55))+((Formula!K52)/(Formula!C52+Formula!E52+Formula!G52+Formula!I52+Formula!K52))*(INDEX(Properties!A$1:CB$87,Formula!J52,55))</f>
        <v>0.91395692307692311</v>
      </c>
      <c r="FI52" s="69">
        <f>Formula!C52*(INDEX(Properties!A$1:CB$87,Formula!B52,55))+Formula!E52*(INDEX(Properties!A$1:CB$87,Formula!D52,54))+Formula!G52*(INDEX(Properties!A$1:CB$87,Formula!F52,55))+Formula!I52*(INDEX(Properties!A$1:CB$87,Formula!H52,55))+Formula!K52*(INDEX(Properties!A$1:CB$87,Formula!J52,55))</f>
        <v>4655.5214400000004</v>
      </c>
      <c r="FJ52" s="69">
        <f>VARP(IF(INDEX(Properties!A$1:CB$87,Formula!B52,55)&lt;&gt;"",INDEX(Properties!A$1:CB$87,Formula!B52,55)),IF(INDEX(Properties!A$1:CB$87,Formula!D52,55)&lt;&gt;"",INDEX(Properties!A$1:CB$87,Formula!D52,55)),IF(INDEX(Properties!A$1:CB$87,Formula!F52,55)&lt;&gt;"",INDEX(Properties!A$1:CB$87,Formula!F52,55)),IF(INDEX(Properties!A$1:CB$87,Formula!H52,55)&lt;&gt;"",INDEX(Properties!A$1:CB$87,Formula!H52,55)),IF(INDEX(Properties!A$1:CB$87,Formula!J52,55)&lt;&gt;"",INDEX(Properties!A$1:CB$87,Formula!J52,55)))</f>
        <v>5.9071249911840029</v>
      </c>
      <c r="FK52" s="69">
        <f>MAX(INDEX(Properties!A$1:CB$87,Formula!B52,55),INDEX(Properties!A$1:CB$87,Formula!D52,55),INDEX(Properties!A$1:CB$87,Formula!F52,55),INDEX(Properties!A$1:CB$87,Formula!H52,55),INDEX(Properties!A$1:CB$87,Formula!J52,55))</f>
        <v>6.51</v>
      </c>
      <c r="FL52" s="69">
        <f>MIN(IF(INDEX(Properties!A$1:CB$87,Formula!B52,55)=0,10^6,INDEX(Properties!A$1:CB$87,Formula!B52,55)),IF(INDEX(Properties!A$1:CB$87,Formula!D52,55)=0,10^6,INDEX(Properties!A$1:CB$87,Formula!D52,55)),IF(INDEX(Properties!A$1:CB$87,Formula!F52,55)=0,10^6,INDEX(Properties!A$1:CB$87,Formula!F52,55)),IF(INDEX(Properties!A$1:CB$87,Formula!H52,55)=0,10^6,INDEX(Properties!A$1:CB$87,Formula!H52,55)),IF(INDEX(Properties!A$1:CB$87,Formula!J52,55)=0,10^6,INDEX(Properties!A$1:CB$87,Formula!J52,55)))</f>
        <v>1.4300000000000001E-3</v>
      </c>
      <c r="FM52" s="69">
        <f t="shared" si="27"/>
        <v>6.5085699999999997</v>
      </c>
      <c r="FN52" s="42">
        <f>((Formula!C52)/(Formula!C52+Formula!E52+Formula!G52+Formula!I52+Formula!K52))*(INDEX(Properties!A$1:CB$87,Formula!B52,56))+((Formula!E52)/(Formula!C52+Formula!E52+Formula!G52+Formula!I52+Formula!K52))*(INDEX(Properties!A$1:CB$87,Formula!D52,56))+((Formula!G52)/(Formula!C52+Formula!E52+Formula!G52+Formula!I52+Formula!K52))*(INDEX(Properties!A$1:CB$87,Formula!F52,56))+((Formula!I52)/(Formula!C52+Formula!E52+Formula!G52+Formula!I52+Formula!K52))*(INDEX(Properties!A$1:CB$87,Formula!H52,56))+((Formula!K52)/(Formula!C52+Formula!E52+Formula!G52+Formula!I52+Formula!K52))*(INDEX(Properties!A$1:CB$87,Formula!J52,56))</f>
        <v>0.82076923076923092</v>
      </c>
      <c r="FO52" s="42">
        <f>Formula!C52*(INDEX(Properties!A$1:CB$87,Formula!B52,56))+Formula!E52*(INDEX(Properties!A$1:CB$87,Formula!D52,56))+Formula!G52*(INDEX(Properties!A$1:CB$87,Formula!F52,56))+Formula!I52*(INDEX(Properties!A$1:CB$87,Formula!H52,56))+Formula!K52*(INDEX(Properties!A$1:CB$87,Formula!J52,56))</f>
        <v>10.67</v>
      </c>
      <c r="FP52" s="42">
        <f>VARP(IF(INDEX(Properties!A$1:CB$87,Formula!B52,56)&lt;&gt;"",INDEX(Properties!A$1:CB$87,Formula!B52,56)),IF(INDEX(Properties!A$1:CB$87,Formula!D52,56)&lt;&gt;"",INDEX(Properties!A$1:CB$87,Formula!D52,56)),IF(INDEX(Properties!A$1:CB$87,Formula!F52,56)&lt;&gt;"",INDEX(Properties!A$1:CB$87,Formula!F52,56)),IF(INDEX(Properties!A$1:CB$87,Formula!H52,56)&lt;&gt;"",INDEX(Properties!A$1:CB$87,Formula!H52,56)),IF(INDEX(Properties!A$1:CB$87,Formula!J52,56)&lt;&gt;"",INDEX(Properties!A$1:CB$87,Formula!J52,56)))</f>
        <v>0.12117599999999999</v>
      </c>
      <c r="FQ52" s="42">
        <f>MAX(INDEX(Properties!A$1:CB$87,Formula!B52,56),INDEX(Properties!A$1:CB$87,Formula!D52,56),INDEX(Properties!A$1:CB$87,Formula!F52,56),INDEX(Properties!A$1:CB$87,Formula!H52,56),INDEX(Properties!A$1:CB$87,Formula!J52,56))</f>
        <v>0.92</v>
      </c>
      <c r="FR52" s="42">
        <f>MIN(IF(INDEX(Properties!A$1:CB$87,Formula!B52,56)=0,10^6,INDEX(Properties!A$1:CB$87,Formula!B52,56)),IF(INDEX(Properties!A$1:CB$87,Formula!D52,56)=0,10^6,INDEX(Properties!A$1:CB$87,Formula!D52,56)),IF(INDEX(Properties!A$1:CB$87,Formula!F52,56)=0,10^6,INDEX(Properties!A$1:CB$87,Formula!F52,56)),IF(INDEX(Properties!A$1:CB$87,Formula!H52,56)=0,10^6,INDEX(Properties!A$1:CB$87,Formula!H52,56)),IF(INDEX(Properties!A$1:CB$87,Formula!J52,56)=0,10^6,INDEX(Properties!A$1:CB$87,Formula!J52,56)))</f>
        <v>0.27</v>
      </c>
      <c r="FS52" s="42">
        <f t="shared" si="28"/>
        <v>0.65</v>
      </c>
      <c r="FT52" s="60">
        <f>((Formula!C52)/(Formula!C52+Formula!E52+Formula!G52+Formula!I52+Formula!K52))*(INDEX(Properties!A$1:CB$87,Formula!B52,57))+((Formula!E52)/(Formula!C52+Formula!E52+Formula!G52+Formula!I52+Formula!K52))*(INDEX(Properties!A$1:CB$87,Formula!D52,57))+((Formula!G52)/(Formula!C52+Formula!E52+Formula!G52+Formula!I52+Formula!K52))*(INDEX(Properties!A$1:CB$87,Formula!F52,57))+((Formula!I52)/(Formula!C52+Formula!E52+Formula!G52+Formula!I52+Formula!K52))*(INDEX(Properties!A$1:CB$87,Formula!H52,57))+((Formula!K52)/(Formula!C52+Formula!E52+Formula!G52+Formula!I52+Formula!K52))*(INDEX(Properties!A$1:CB$87,Formula!J52,57))</f>
        <v>1.8971323076923077</v>
      </c>
      <c r="FU52" s="60">
        <f>Formula!C52*(INDEX(Properties!A$1:CB$87,Formula!B52,57))+Formula!E52*(INDEX(Properties!A$1:CB$87,Formula!D52,57))+Formula!G52*(INDEX(Properties!A$1:CB$87,Formula!F52,57))+Formula!I52*(INDEX(Properties!A$1:CB$87,Formula!H52,57))+Formula!K52*(INDEX(Properties!A$1:CB$87,Formula!J52,57))</f>
        <v>24.662719999999997</v>
      </c>
      <c r="FV52" s="60">
        <f>VARP(IF(INDEX(Properties!A$1:CB$87,Formula!B52,57)&lt;&gt;"",INDEX(Properties!A$1:CB$87,Formula!B52,57)),IF(INDEX(Properties!A$1:CB$87,Formula!D52,57)&lt;&gt;"",INDEX(Properties!A$1:CB$87,Formula!D52,57)),IF(INDEX(Properties!A$1:CB$87,Formula!F52,57)&lt;&gt;"",INDEX(Properties!A$1:CB$87,Formula!F52,57)),IF(INDEX(Properties!A$1:CB$87,Formula!H52,57)&lt;&gt;"",INDEX(Properties!A$1:CB$87,Formula!H52,57)),IF(INDEX(Properties!A$1:CB$87,Formula!J52,57)&lt;&gt;"",INDEX(Properties!A$1:CB$87,Formula!J52,57)))</f>
        <v>42.125490154095999</v>
      </c>
      <c r="FW52" s="60">
        <f>MAX(INDEX(Properties!A$1:CB$87,Formula!B52,57),INDEX(Properties!A$1:CB$87,Formula!D52,57),INDEX(Properties!A$1:CB$87,Formula!F52,57),INDEX(Properties!A$1:CB$87,Formula!H52,57),INDEX(Properties!A$1:CB$87,Formula!J52,57))</f>
        <v>16.899999999999999</v>
      </c>
      <c r="FX52" s="60">
        <f>MIN(IF(INDEX(Properties!A$1:CB$87,Formula!B52,57)=0,10^6,INDEX(Properties!A$1:CB$87,Formula!B52,57)),IF(INDEX(Properties!A$1:CB$87,Formula!D52,57)=0,10^6,INDEX(Properties!A$1:CB$87,Formula!D52,57)),IF(INDEX(Properties!A$1:CB$87,Formula!F52,57)=0,10^6,INDEX(Properties!A$1:CB$87,Formula!F52,57)),IF(INDEX(Properties!A$1:CB$87,Formula!H52,57)=0,10^6,INDEX(Properties!A$1:CB$87,Formula!H52,57)),IF(INDEX(Properties!A$1:CB$87,Formula!J52,57)=0,10^6,INDEX(Properties!A$1:CB$87,Formula!J52,57)))</f>
        <v>0.22259000000000001</v>
      </c>
      <c r="FY52" s="60">
        <f t="shared" si="29"/>
        <v>16.677409999999998</v>
      </c>
      <c r="FZ52" s="72">
        <f>((Formula!C52)/(Formula!C52+Formula!E52+Formula!G52+Formula!I52+Formula!K52))*(INDEX(Properties!A$1:CB$87,Formula!B52,60))+((Formula!E52)/(Formula!C52+Formula!E52+Formula!G52+Formula!I52+Formula!K52))*(INDEX(Properties!A$1:CB$87,Formula!D52,60))+((Formula!G52)/(Formula!C52+Formula!E52+Formula!G52+Formula!I52+Formula!K52))*(INDEX(Properties!A$1:CB$87,Formula!F52,60))+((Formula!I52)/(Formula!C52+Formula!E52+Formula!G52+Formula!I52+Formula!K52))*(INDEX(Properties!A$1:CB$87,Formula!H52,60))+((Formula!K52)/(Formula!C52+Formula!E52+Formula!G52+Formula!I52+Formula!K52))*(INDEX(Properties!A$1:CB$87,Formula!J52,60))</f>
        <v>17.552609230769228</v>
      </c>
      <c r="GA52" s="72">
        <f>Formula!C52*(INDEX(Properties!A$1:CB$87,Formula!B52,60))+Formula!E52*(INDEX(Properties!A$1:CB$87,Formula!D52,60))+Formula!G52*(INDEX(Properties!A$1:CB$87,Formula!F52,60))+Formula!I52*(INDEX(Properties!A$1:CB$87,Formula!H52,60))+Formula!K52*(INDEX(Properties!A$1:CB$87,Formula!J52,60))</f>
        <v>228.18392</v>
      </c>
      <c r="GB52" s="72">
        <f>VARP(IF(INDEX(Properties!A$1:CB$87,Formula!B52,60)&lt;&gt;"",INDEX(Properties!A$1:CB$87,Formula!B52,60)),IF(INDEX(Properties!A$1:CB$87,Formula!D52,60)&lt;&gt;"",INDEX(Properties!A$1:CB$87,Formula!D52,60)),IF(INDEX(Properties!A$1:CB$87,Formula!F52,60)&lt;&gt;"",INDEX(Properties!A$1:CB$87,Formula!F52,60)),IF(INDEX(Properties!A$1:CB$87,Formula!H52,60)&lt;&gt;"",INDEX(Properties!A$1:CB$87,Formula!H52,60)),IF(INDEX(Properties!A$1:CB$87,Formula!J52,60)&lt;&gt;"",INDEX(Properties!A$1:CB$87,Formula!J52,60)))</f>
        <v>1571.5985537724162</v>
      </c>
      <c r="GC52" s="72">
        <f>MAX(INDEX(Properties!A$1:CB$87,Formula!B52,60),INDEX(Properties!A$1:CB$87,Formula!D52,60),INDEX(Properties!A$1:CB$87,Formula!F52,60),INDEX(Properties!A$1:CB$87,Formula!H52,60),INDEX(Properties!A$1:CB$87,Formula!J52,60))</f>
        <v>102.4</v>
      </c>
      <c r="GD52" s="72">
        <f>MIN(IF(INDEX(Properties!A$1:CB$87,Formula!B52,60)=0,10^6,INDEX(Properties!A$1:CB$87,Formula!B52,60)),IF(INDEX(Properties!A$1:CB$87,Formula!D52,60)=0,10^6,INDEX(Properties!A$1:CB$87,Formula!D52,60)),IF(INDEX(Properties!A$1:CB$87,Formula!F52,60)=0,10^6,INDEX(Properties!A$1:CB$87,Formula!F52,60)),IF(INDEX(Properties!A$1:CB$87,Formula!H52,60)=0,10^6,INDEX(Properties!A$1:CB$87,Formula!H52,60)),IF(INDEX(Properties!A$1:CB$87,Formula!J52,60)=0,10^6,INDEX(Properties!A$1:CB$87,Formula!J52,60)))</f>
        <v>2.674E-2</v>
      </c>
      <c r="GE52" s="72">
        <f t="shared" si="30"/>
        <v>102.37326</v>
      </c>
      <c r="GF52" s="51">
        <f>((Formula!C52)/(Formula!C52+Formula!E52+Formula!G52+Formula!I52+Formula!K52))*(INDEX(Properties!A$1:CB$87,Formula!B52,62))+((Formula!E52)/(Formula!C52+Formula!E52+Formula!G52+Formula!I52+Formula!K52))*(INDEX(Properties!A$1:CB$87,Formula!D52,62))+((Formula!G52)/(Formula!C52+Formula!E52+Formula!G52+Formula!I52+Formula!K52))*(INDEX(Properties!A$1:CB$87,Formula!F52,62))+((Formula!I52)/(Formula!C52+Formula!E52+Formula!G52+Formula!I52+Formula!K52))*(INDEX(Properties!A$1:CB$87,Formula!H52,62))+((Formula!K52)/(Formula!C52+Formula!E52+Formula!G52+Formula!I52+Formula!K52))*(INDEX(Properties!A$1:CB$87,Formula!J52,62))</f>
        <v>2.7644615384615387</v>
      </c>
      <c r="GG52" s="51">
        <f>Formula!C52*(INDEX(Properties!A$1:CB$87,Formula!B52,62))+Formula!E52*(INDEX(Properties!A$1:CB$87,Formula!D52,62))+Formula!G52*(INDEX(Properties!A$1:CB$87,Formula!F52,62))+Formula!I52*(INDEX(Properties!A$1:CB$87,Formula!H52,62))+Formula!K52*(INDEX(Properties!A$1:CB$87,Formula!J52,62))</f>
        <v>35.938000000000002</v>
      </c>
      <c r="GH52" s="51">
        <f>VARP(IF(INDEX(Properties!A$1:CB$87,Formula!B52,62)&lt;&gt;"",INDEX(Properties!A$1:CB$87,Formula!B52,62)),IF(INDEX(Properties!A$1:CB$87,Formula!D52,62)&lt;&gt;"",INDEX(Properties!A$1:CB$87,Formula!D52,62)),IF(INDEX(Properties!A$1:CB$87,Formula!F52,62)&lt;&gt;"",INDEX(Properties!A$1:CB$87,Formula!F52,62)),IF(INDEX(Properties!A$1:CB$87,Formula!H52,62)&lt;&gt;"",INDEX(Properties!A$1:CB$87,Formula!H52,62)),IF(INDEX(Properties!A$1:CB$87,Formula!J52,62)&lt;&gt;"",INDEX(Properties!A$1:CB$87,Formula!J52,62)))</f>
        <v>4.7072809600000003</v>
      </c>
      <c r="GI52" s="51">
        <f>MAX(INDEX(Properties!A$1:CB$87,Formula!B52,62),INDEX(Properties!A$1:CB$87,Formula!D52,62),INDEX(Properties!A$1:CB$87,Formula!F52,62),INDEX(Properties!A$1:CB$87,Formula!H52,62),INDEX(Properties!A$1:CB$87,Formula!J52,62))</f>
        <v>6.25</v>
      </c>
      <c r="GJ52" s="51">
        <f>MIN(IF(INDEX(Properties!A$1:CB$87,Formula!B52,62)=0,10^6,INDEX(Properties!A$1:CB$87,Formula!B52,62)),IF(INDEX(Properties!A$1:CB$87,Formula!D52,62)=0,10^6,INDEX(Properties!A$1:CB$87,Formula!D52,62)),IF(INDEX(Properties!A$1:CB$87,Formula!F52,62)=0,10^6,INDEX(Properties!A$1:CB$87,Formula!F52,62)),IF(INDEX(Properties!A$1:CB$87,Formula!H52,62)=0,10^6,INDEX(Properties!A$1:CB$87,Formula!H52,62)),IF(INDEX(Properties!A$1:CB$87,Formula!J52,62)=0,10^6,INDEX(Properties!A$1:CB$87,Formula!J52,62)))</f>
        <v>0.93400000000000005</v>
      </c>
      <c r="GK52" s="51">
        <f t="shared" si="31"/>
        <v>5.3159999999999998</v>
      </c>
      <c r="GL52" s="51">
        <f>Formula!P52</f>
        <v>147</v>
      </c>
      <c r="GM52" s="57">
        <f>Formula!O52</f>
        <v>5</v>
      </c>
      <c r="GN52" s="51">
        <f>Formula!N52</f>
        <v>0.02</v>
      </c>
    </row>
    <row r="53" spans="1:196" x14ac:dyDescent="0.3">
      <c r="A53" s="84" t="str">
        <f>Formula!A53</f>
        <v>ZrO2</v>
      </c>
      <c r="B53" s="89">
        <f>((Formula!C53)/(Formula!C53+Formula!E53+Formula!G53+Formula!I53+Formula!K53))*(INDEX(Properties!A$1:CB$87,Formula!B53,3))+((Formula!E53)/(Formula!C53+Formula!E53+Formula!G53+Formula!I53+Formula!K53))*(INDEX(Properties!A$1:CB$87,Formula!D53,3))+((Formula!G53)/(Formula!C53+Formula!E53+Formula!G53+Formula!I53+Formula!K53))*(INDEX(Properties!A$1:CB$87,Formula!F53,3))+((Formula!I53)/(Formula!C53+Formula!E53+Formula!G53+Formula!I53+Formula!K53))*(INDEX(Properties!A$1:CB$87,Formula!H53,3))+((Formula!K53)/(Formula!C53+Formula!E53+Formula!G53+Formula!I53+Formula!K53))*(INDEX(Properties!A$1:CB$87,Formula!J53,3))</f>
        <v>41.074266666666666</v>
      </c>
      <c r="C53" s="85">
        <f>Formula!C53*(INDEX(Properties!A$1:CB$87,Formula!B53,3))+Formula!E53*(INDEX(Properties!A$1:CB$87,Formula!D53,3))+Formula!G53*(INDEX(Properties!A$1:CB$87,Formula!F53,3))+Formula!I53*(INDEX(Properties!A$1:CB$87,Formula!H53,3))+Formula!K53*(INDEX(Properties!A$1:CB$87,Formula!J53,3))</f>
        <v>123.22280000000001</v>
      </c>
      <c r="D53" s="85">
        <f>VARP(IF(INDEX(Properties!A$1:CB$87,Formula!B53,3)&lt;&gt;"",INDEX(Properties!A$1:CB$87,Formula!B53,3)),IF(INDEX(Properties!A$1:CB$87,Formula!D53,3)&lt;&gt;"",INDEX(Properties!A$1:CB$87,Formula!D53,3)),IF(INDEX(Properties!A$1:CB$87,Formula!F53,3)&lt;&gt;"",INDEX(Properties!A$1:CB$87,Formula!F53,3)),IF(INDEX(Properties!A$1:CB$87,Formula!H53,3)&lt;&gt;"",INDEX(Properties!A$1:CB$87,Formula!H53,3)),IF(INDEX(Properties!A$1:CB$87,Formula!J53,3)&lt;&gt;"",INDEX(Properties!A$1:CB$87,Formula!J53,3)))</f>
        <v>1255.6854949695999</v>
      </c>
      <c r="E53" s="85">
        <f>MAX(INDEX(Properties!A$1:CB$87,Formula!B53,3),INDEX(Properties!A$1:CB$87,Formula!D53,3),INDEX(Properties!A$1:CB$87,Formula!F53,3),INDEX(Properties!A$1:CB$87,Formula!H53,3),INDEX(Properties!A$1:CB$87,Formula!J53,3))</f>
        <v>91.224000000000004</v>
      </c>
      <c r="F53" s="85">
        <f>MIN(IF(INDEX(Properties!A$1:CB$87,Formula!B53,3)=0,10^6,INDEX(Properties!A$1:CB$87,Formula!B53,3)),IF(INDEX(Properties!A$1:CB$87,Formula!D53,3)=0,10^6,INDEX(Properties!A$1:CB$87,Formula!D53,3)),IF(INDEX(Properties!A$1:CB$87,Formula!F53,3)=0,10^6,INDEX(Properties!A$1:CB$87,Formula!F53,3)),IF(INDEX(Properties!A$1:CB$87,Formula!H53,3)=0,10^6,INDEX(Properties!A$1:CB$87,Formula!H53,3)),IF(INDEX(Properties!A$1:CB$87,Formula!J53,3)=0,10^6,INDEX(Properties!A$1:CB$87,Formula!J53,3)))</f>
        <v>15.9994</v>
      </c>
      <c r="G53" s="85">
        <f t="shared" si="0"/>
        <v>75.224600000000009</v>
      </c>
      <c r="H53" s="87">
        <f>((Formula!C53)/(Formula!C53+Formula!E53+Formula!G53+Formula!I53+Formula!K53))*(INDEX(Properties!A$1:CB$87,Formula!B53,4))+((Formula!E53)/(Formula!C53+Formula!E53+Formula!G53+Formula!I53+Formula!K53))*(INDEX(Properties!A$1:CB$87,Formula!D53,4))+((Formula!G53)/(Formula!C53+Formula!E53+Formula!G53+Formula!I53+Formula!K53))*(INDEX(Properties!A$1:CB$87,Formula!F53,4))+((Formula!I53)/(Formula!C53+Formula!E53+Formula!G53+Formula!I53+Formula!K53))*(INDEX(Properties!A$1:CB$87,Formula!H53,4))+((Formula!K53)/(Formula!C53+Formula!E53+Formula!G53+Formula!I53+Formula!K53))*(INDEX(Properties!A$1:CB$87,Formula!J53,4))</f>
        <v>18.666666666666664</v>
      </c>
      <c r="I53" s="87">
        <f>Formula!C53*(INDEX(Properties!A$1:CB$87,Formula!B53,4))+Formula!E53*(INDEX(Properties!A$1:CB$87,Formula!D53,4))+Formula!G53*(INDEX(Properties!A$1:CB$87,Formula!F53,4))+Formula!I53*(INDEX(Properties!A$1:CB$87,Formula!H53,4))+Formula!K53*(INDEX(Properties!A$1:CB$87,Formula!J53,4))</f>
        <v>56</v>
      </c>
      <c r="J53" s="87">
        <f>VARP(IF(INDEX(Properties!A$1:CB$87,Formula!B53,4)&lt;&gt;"",INDEX(Properties!A$1:CB$87,Formula!B53,4)),IF(INDEX(Properties!A$1:CB$87,Formula!D53,4)&lt;&gt;"",INDEX(Properties!A$1:CB$87,Formula!D53,4)),IF(INDEX(Properties!A$1:CB$87,Formula!F53,4)&lt;&gt;"",INDEX(Properties!A$1:CB$87,Formula!F53,4)),IF(INDEX(Properties!A$1:CB$87,Formula!H53,4)&lt;&gt;"",INDEX(Properties!A$1:CB$87,Formula!H53,4)),IF(INDEX(Properties!A$1:CB$87,Formula!J53,4)&lt;&gt;"",INDEX(Properties!A$1:CB$87,Formula!J53,4)))</f>
        <v>240.64</v>
      </c>
      <c r="K53" s="87">
        <f>MAX(INDEX(Properties!A$1:CB$87,Formula!B53,4),INDEX(Properties!A$1:CB$87,Formula!D53,4),INDEX(Properties!A$1:CB$87,Formula!F53,4),INDEX(Properties!A$1:CB$87,Formula!H53,4),INDEX(Properties!A$1:CB$87,Formula!J53,4))</f>
        <v>40</v>
      </c>
      <c r="L53" s="87">
        <f>MIN(IF(INDEX(Properties!A$1:CB$87,Formula!B53,4)=0,10^6,INDEX(Properties!A$1:CB$87,Formula!B53,4)),IF(INDEX(Properties!A$1:CB$87,Formula!D53,4)=0,10^6,INDEX(Properties!A$1:CB$87,Formula!D53,4)),IF(INDEX(Properties!A$1:CB$87,Formula!F53,4)=0,10^6,INDEX(Properties!A$1:CB$87,Formula!F53,4)),IF(INDEX(Properties!A$1:CB$87,Formula!H53,4)=0,10^6,INDEX(Properties!A$1:CB$87,Formula!H53,4)),IF(INDEX(Properties!A$1:CB$87,Formula!J53,4)=0,10^6,INDEX(Properties!A$1:CB$87,Formula!J53,4)))</f>
        <v>8</v>
      </c>
      <c r="M53" s="87">
        <f t="shared" si="1"/>
        <v>32</v>
      </c>
      <c r="N53" s="89">
        <f>((Formula!C53)/(Formula!C53+Formula!E53+Formula!G53+Formula!I53+Formula!K53))*(INDEX(Properties!A$1:CB$87,Formula!B53,5))+((Formula!E53)/(Formula!C53+Formula!E53+Formula!G53+Formula!I53+Formula!K53))*(INDEX(Properties!A$1:CB$87,Formula!D53,5))+((Formula!G53)/(Formula!C53+Formula!E53+Formula!G53+Formula!I53+Formula!K53))*(INDEX(Properties!A$1:CB$87,Formula!F53,5))+((Formula!I53)/(Formula!C53+Formula!E53+Formula!G53+Formula!I53+Formula!K53))*(INDEX(Properties!A$1:CB$87,Formula!H53,5))+((Formula!K53)/(Formula!C53+Formula!E53+Formula!G53+Formula!I53+Formula!K53))*(INDEX(Properties!A$1:CB$87,Formula!J53,5))</f>
        <v>3</v>
      </c>
      <c r="O53" s="89">
        <f>Formula!C53*(INDEX(Properties!A$1:CB$87,Formula!B53,5))+Formula!E53*(INDEX(Properties!A$1:CB$87,Formula!D53,5))+Formula!G53*(INDEX(Properties!A$1:CB$87,Formula!F53,5))+Formula!I53*(INDEX(Properties!A$1:CB$87,Formula!H53,5))+Formula!K53*(INDEX(Properties!A$1:CB$87,Formula!J53,5))</f>
        <v>9</v>
      </c>
      <c r="P53" s="89">
        <f>VARP(IF(INDEX(Properties!A$1:CB$87,Formula!B53,5)&lt;&gt;"",INDEX(Properties!A$1:CB$87,Formula!B53,5)),IF(INDEX(Properties!A$1:CB$87,Formula!D53,5)&lt;&gt;"",INDEX(Properties!A$1:CB$87,Formula!D53,5)),IF(INDEX(Properties!A$1:CB$87,Formula!F53,5)&lt;&gt;"",INDEX(Properties!A$1:CB$87,Formula!F53,5)),IF(INDEX(Properties!A$1:CB$87,Formula!H53,5)&lt;&gt;"",INDEX(Properties!A$1:CB$87,Formula!H53,5)),IF(INDEX(Properties!A$1:CB$87,Formula!J53,5)&lt;&gt;"",INDEX(Properties!A$1:CB$87,Formula!J53,5)))</f>
        <v>3.84</v>
      </c>
      <c r="Q53" s="89">
        <f>MAX(INDEX(Properties!A$1:CB$87,Formula!B53,5),INDEX(Properties!A$1:CB$87,Formula!D53,5),INDEX(Properties!A$1:CB$87,Formula!F53,5),INDEX(Properties!A$1:CB$87,Formula!H53,5),INDEX(Properties!A$1:CB$87,Formula!J53,5))</f>
        <v>5</v>
      </c>
      <c r="R53" s="89">
        <f>MIN(IF(INDEX(Properties!A$1:CB$87,Formula!B53,5)=0,10^6,INDEX(Properties!A$1:CB$87,Formula!B53,5)),IF(INDEX(Properties!A$1:CB$87,Formula!D53,5)=0,10^6,INDEX(Properties!A$1:CB$87,Formula!D53,5)),IF(INDEX(Properties!A$1:CB$87,Formula!F53,5)=0,10^6,INDEX(Properties!A$1:CB$87,Formula!F53,5)),IF(INDEX(Properties!A$1:CB$87,Formula!H53,5)=0,10^6,INDEX(Properties!A$1:CB$87,Formula!H53,5)),IF(INDEX(Properties!A$1:CB$87,Formula!J53,5)=0,10^6,INDEX(Properties!A$1:CB$87,Formula!J53,5)))</f>
        <v>2</v>
      </c>
      <c r="S53" s="89">
        <f t="shared" si="2"/>
        <v>3</v>
      </c>
      <c r="T53" s="60">
        <f>((Formula!C53)/(Formula!C53+Formula!E53+Formula!G53+Formula!I53+Formula!K53))*(INDEX(Properties!A$1:CB$87,Formula!B53,6))+((Formula!E53)/(Formula!C53+Formula!E53+Formula!G53+Formula!I53+Formula!K53))*(INDEX(Properties!A$1:CB$87,Formula!D53,6))+((Formula!G53)/(Formula!C53+Formula!E53+Formula!G53+Formula!I53+Formula!K53))*(INDEX(Properties!A$1:CB$87,Formula!F53,6))+((Formula!I53)/(Formula!C53+Formula!E53+Formula!G53+Formula!I53+Formula!K53))*(INDEX(Properties!A$1:CB$87,Formula!H53,6))+((Formula!K53)/(Formula!C53+Formula!E53+Formula!G53+Formula!I53+Formula!K53))*(INDEX(Properties!A$1:CB$87,Formula!J53,6))</f>
        <v>12</v>
      </c>
      <c r="U53" s="60">
        <f>Formula!C53*(INDEX(Properties!A$1:CB$87,Formula!B53,6))+Formula!E53*(INDEX(Properties!A$1:CB$87,Formula!D53,6))+Formula!G53*(INDEX(Properties!A$1:CB$87,Formula!F53,6))+Formula!I53*(INDEX(Properties!A$1:CB$87,Formula!H53,6))+Formula!K53*(INDEX(Properties!A$1:CB$87,Formula!J53,6))</f>
        <v>36</v>
      </c>
      <c r="V53" s="89">
        <f>VARP(IF(INDEX(Properties!A$1:CB$87,Formula!B53,6)&lt;&gt;"",INDEX(Properties!A$1:CB$87,Formula!B53,6)),IF(INDEX(Properties!A$1:CB$87,Formula!D53,6)&lt;&gt;"",INDEX(Properties!A$1:CB$87,Formula!D53,6)),IF(INDEX(Properties!A$1:CB$87,Formula!F53,6)&lt;&gt;"",INDEX(Properties!A$1:CB$87,Formula!F53,6)),IF(INDEX(Properties!A$1:CB$87,Formula!H53,6)&lt;&gt;"",INDEX(Properties!A$1:CB$87,Formula!H53,6)),IF(INDEX(Properties!A$1:CB$87,Formula!J53,6)&lt;&gt;"",INDEX(Properties!A$1:CB$87,Formula!J53,6)))</f>
        <v>38.4</v>
      </c>
      <c r="W53" s="60">
        <f>MAX(INDEX(Properties!A$1:CB$87,Formula!B53,6),INDEX(Properties!A$1:CB$87,Formula!D53,6),INDEX(Properties!A$1:CB$87,Formula!F53,6),INDEX(Properties!A$1:CB$87,Formula!H53,4),INDEX(Properties!A$1:CB$87,Formula!J53,6))</f>
        <v>16</v>
      </c>
      <c r="X53" s="60">
        <f>MIN(IF(INDEX(Properties!A$1:CB$87,Formula!B53,6)=0,10^6,INDEX(Properties!A$1:CB$87,Formula!B53,6)),IF(INDEX(Properties!A$1:CB$87,Formula!D53,6)=0,10^6,INDEX(Properties!A$1:CB$87,Formula!D53,6)),IF(INDEX(Properties!A$1:CB$87,Formula!F53,6)=0,10^6,INDEX(Properties!A$1:CB$87,Formula!F53,6)),IF(INDEX(Properties!A$1:CB$87,Formula!H53,6)=0,10^6,INDEX(Properties!A$1:CB$87,Formula!H53,6)),IF(INDEX(Properties!A$1:CB$87,Formula!J53,6)=0,10^6,INDEX(Properties!A$1:CB$87,Formula!J53,6)))</f>
        <v>4</v>
      </c>
      <c r="Y53" s="60">
        <f t="shared" si="3"/>
        <v>12</v>
      </c>
      <c r="Z53" s="72">
        <f>((Formula!C53)/(Formula!C53+Formula!E53+Formula!G53+Formula!I53+Formula!K53))*(INDEX(Properties!A$1:CB$87,Formula!B53,9))+((Formula!E53)/(Formula!C53+Formula!E53+Formula!G53+Formula!I53+Formula!K53))*(INDEX(Properties!A$1:CB$87,Formula!D53,9))+((Formula!G53)/(Formula!C53+Formula!E53+Formula!G53+Formula!I53+Formula!K53))*(INDEX(Properties!A$1:CB$87,Formula!F53,9))+((Formula!I53)/(Formula!C53+Formula!E53+Formula!G53+Formula!I53+Formula!K53))*(INDEX(Properties!A$1:CB$87,Formula!H53,9))+((Formula!K53)/(Formula!C53+Formula!E53+Formula!G53+Formula!I53+Formula!K53))*(INDEX(Properties!A$1:CB$87,Formula!J53,9))</f>
        <v>72.666666666666671</v>
      </c>
      <c r="AA53" s="72">
        <f>Formula!C53*(INDEX(Properties!A$1:CB$87,Formula!B53,9))+Formula!E53*(INDEX(Properties!A$1:CB$87,Formula!D53,9))+Formula!G53*(INDEX(Properties!A$1:CB$87,Formula!F53,9))+Formula!I53*(INDEX(Properties!A$1:CB$87,Formula!H53,9))+Formula!K53*(INDEX(Properties!A$1:CB$87,Formula!J53,9))</f>
        <v>218</v>
      </c>
      <c r="AB53" s="72">
        <f>VARP(IF(INDEX(Properties!A$1:CB$87,Formula!B53,9)&lt;&gt;"",INDEX(Properties!A$1:CB$87,Formula!B53,9)),IF(INDEX(Properties!A$1:CB$87,Formula!D53,9)&lt;&gt;"",INDEX(Properties!A$1:CB$87,Formula!D53,9)),IF(INDEX(Properties!A$1:CB$87,Formula!F53,9)&lt;&gt;"",INDEX(Properties!A$1:CB$87,Formula!F53,9)),IF(INDEX(Properties!A$1:CB$87,Formula!H53,9)&lt;&gt;"",INDEX(Properties!A$1:CB$87,Formula!H53,9)),IF(INDEX(Properties!A$1:CB$87,Formula!J53,9)&lt;&gt;"",INDEX(Properties!A$1:CB$87,Formula!J53,9)))</f>
        <v>1214.56</v>
      </c>
      <c r="AC53" s="72">
        <f>MAX(INDEX(Properties!A$1:CB$87,Formula!B53,9),INDEX(Properties!A$1:CB$87,Formula!D53,9),INDEX(Properties!A$1:CB$87,Formula!F53,9),INDEX(Properties!A$1:CB$87,Formula!H53,9),INDEX(Properties!A$1:CB$87,Formula!J53,9))</f>
        <v>87</v>
      </c>
      <c r="AD53" s="72">
        <f>MIN(IF(INDEX(Properties!A$1:CB$87,Formula!B53,9)=0,10^6,INDEX(Properties!A$1:CB$87,Formula!B53,9)),IF(INDEX(Properties!A$1:CB$87,Formula!D53,9)=0,10^6,INDEX(Properties!A$1:CB$87,Formula!D53,9)),IF(INDEX(Properties!A$1:CB$87,Formula!F53,9)=0,10^6,INDEX(Properties!A$1:CB$87,Formula!F53,9)),IF(INDEX(Properties!A$1:CB$87,Formula!H53,9)=0,10^6,INDEX(Properties!A$1:CB$87,Formula!H53,9)),IF(INDEX(Properties!A$1:CB$87,Formula!J53,9)=0,10^6,INDEX(Properties!A$1:CB$87,Formula!J53,9)))</f>
        <v>44</v>
      </c>
      <c r="AE53" s="72">
        <f t="shared" si="4"/>
        <v>43</v>
      </c>
      <c r="AF53" s="51">
        <f>((Formula!C53)/(Formula!C53+Formula!E53+Formula!G53+Formula!I53+Formula!K53))*(INDEX(Properties!A$1:CB$87,Formula!B53,10))+((Formula!E53)/(Formula!C53+Formula!E53+Formula!G53+Formula!I53+Formula!K53))*(INDEX(Properties!A$1:CB$87,Formula!D53,10))+((Formula!G53)/(Formula!C53+Formula!E53+Formula!G53+Formula!I53+Formula!K53))*(INDEX(Properties!A$1:CB$87,Formula!F53,10))+((Formula!I53)/(Formula!C53+Formula!E53+Formula!G53+Formula!I53+Formula!K53))*(INDEX(Properties!A$1:CB$87,Formula!H53,10))+((Formula!K53)/(Formula!C53+Formula!E53+Formula!G53+Formula!I53+Formula!K53))*(INDEX(Properties!A$1:CB$87,Formula!J53,10))</f>
        <v>5.9999999999999991</v>
      </c>
      <c r="AG53" s="51">
        <f>Formula!C53*(INDEX(Properties!A$1:CB$87,Formula!B53,10))+Formula!E53*(INDEX(Properties!A$1:CB$87,Formula!D53,10))+Formula!G53*(INDEX(Properties!A$1:CB$87,Formula!F53,10))+Formula!I53*(INDEX(Properties!A$1:CB$87,Formula!H53,10))+Formula!K53*(INDEX(Properties!A$1:CB$87,Formula!J53,10))</f>
        <v>18</v>
      </c>
      <c r="AH53" s="51">
        <f>VARP(IF(INDEX(Properties!A$1:CB$87,Formula!B53,10)&lt;&gt;"",INDEX(Properties!A$1:CB$87,Formula!B53,10)),IF(INDEX(Properties!A$1:CB$87,Formula!D53,10)&lt;&gt;"",INDEX(Properties!A$1:CB$87,Formula!D53,10)),IF(INDEX(Properties!A$1:CB$87,Formula!F53,10)&lt;&gt;"",INDEX(Properties!A$1:CB$87,Formula!F53,10)),IF(INDEX(Properties!A$1:CB$87,Formula!H53,10)&lt;&gt;"",INDEX(Properties!A$1:CB$87,Formula!H53,10)),IF(INDEX(Properties!A$1:CB$87,Formula!J53,10)&lt;&gt;"",INDEX(Properties!A$1:CB$87,Formula!J53,10)))</f>
        <v>8.16</v>
      </c>
      <c r="AI53" s="51">
        <f>MAX(INDEX(Properties!A$1:CB$87,Formula!B53,10),INDEX(Properties!A$1:CB$87,Formula!D53,10),INDEX(Properties!A$1:CB$87,Formula!F53,10),INDEX(Properties!A$1:CB$87,Formula!H53,10),INDEX(Properties!A$1:CB$87,Formula!J53,10))</f>
        <v>7</v>
      </c>
      <c r="AJ53" s="51">
        <f>MIN(IF(INDEX(Properties!A$1:CB$87,Formula!B53,10)=0,10^6,INDEX(Properties!A$1:CB$87,Formula!B53,10)),IF(INDEX(Properties!A$1:CB$87,Formula!D53,10)=0,10^6,INDEX(Properties!A$1:CB$87,Formula!D53,10)),IF(INDEX(Properties!A$1:CB$87,Formula!F53,10)=0,10^6,INDEX(Properties!A$1:CB$87,Formula!F53,10)),IF(INDEX(Properties!A$1:CB$87,Formula!H53,10)=0,10^6,INDEX(Properties!A$1:CB$87,Formula!H53,10)),IF(INDEX(Properties!A$1:CB$87,Formula!J53,10)=0,10^6,INDEX(Properties!A$1:CB$87,Formula!J53,10)))</f>
        <v>4</v>
      </c>
      <c r="AK53" s="51">
        <f t="shared" si="5"/>
        <v>3</v>
      </c>
      <c r="AL53" s="57">
        <f>((Formula!C53)/(Formula!C53+Formula!E53+Formula!G53+Formula!I53+Formula!K53))*(INDEX(Properties!A$1:CB$87,Formula!B53,11))+((Formula!E53)/(Formula!C53+Formula!E53+Formula!G53+Formula!I53+Formula!K53))*(INDEX(Properties!A$1:CB$87,Formula!D53,11))+((Formula!G53)/(Formula!C53+Formula!E53+Formula!G53+Formula!I53+Formula!K53))*(INDEX(Properties!A$1:CB$87,Formula!F53,11))+((Formula!I53)/(Formula!C53+Formula!E53+Formula!G53+Formula!I53+Formula!K53))*(INDEX(Properties!A$1:CB$87,Formula!H53,11))+((Formula!K53)/(Formula!C53+Formula!E53+Formula!G53+Formula!I53+Formula!K53))*(INDEX(Properties!A$1:CB$87,Formula!J53,11))</f>
        <v>2</v>
      </c>
      <c r="AM53" s="57">
        <f>Formula!C53*(INDEX(Properties!A$1:CB$87,Formula!B53,11))+Formula!E53*(INDEX(Properties!A$1:CB$87,Formula!D53,11))+Formula!G53*(INDEX(Properties!A$1:CB$87,Formula!F53,11))+Formula!I53*(INDEX(Properties!A$1:CB$87,Formula!H53,11))+Formula!K53*(INDEX(Properties!A$1:CB$87,Formula!J53,11))</f>
        <v>6</v>
      </c>
      <c r="AN53" s="57">
        <f>VARP(IF(INDEX(Properties!A$1:CB$87,Formula!B53,11)&lt;&gt;"",INDEX(Properties!A$1:CB$87,Formula!B53,11)),IF(INDEX(Properties!A$1:CB$87,Formula!D53,11)&lt;&gt;"",INDEX(Properties!A$1:CB$87,Formula!D53,11)),IF(INDEX(Properties!A$1:CB$87,Formula!F53,11)&lt;&gt;"",INDEX(Properties!A$1:CB$87,Formula!F53,11)),IF(INDEX(Properties!A$1:CB$87,Formula!H53,11)&lt;&gt;"",INDEX(Properties!A$1:CB$87,Formula!H53,11)),IF(INDEX(Properties!A$1:CB$87,Formula!J53,11)&lt;&gt;"",INDEX(Properties!A$1:CB$87,Formula!J53,11)))</f>
        <v>0.96</v>
      </c>
      <c r="AO53" s="57">
        <f>MAX(INDEX(Properties!A$1:CB$87,Formula!B53,11),INDEX(Properties!A$1:CB$87,Formula!D53,11),INDEX(Properties!A$1:CB$87,Formula!F53,11),INDEX(Properties!A$1:CB$87,Formula!H53,11),INDEX(Properties!A$1:CB$87,Formula!J53,11))</f>
        <v>2</v>
      </c>
      <c r="AP53" s="57">
        <f>MIN(IF(Formula!B53=87,10^6,INDEX(Properties!A$1:CB$87,Formula!B53,11)),IF((Formula!D53)=87,10^6,INDEX(Properties!A$1:CB$87,Formula!D53,11)),IF((Formula!F53)=87,10^6,INDEX(Properties!A$1:CB$87,Formula!F53,11)),IF((Formula!H53)=87,10^6,INDEX(Properties!A$1:CB$87,Formula!H53,11)),IF(Formula!J53=87,10^6,INDEX(Properties!A$1:CB$87,Formula!J53,11)))</f>
        <v>2</v>
      </c>
      <c r="AQ53" s="57">
        <f t="shared" si="6"/>
        <v>0</v>
      </c>
      <c r="AR53" s="78">
        <f>((Formula!C53)/(Formula!C53+Formula!E53+Formula!G53+Formula!I53+Formula!K53))*(INDEX(Properties!A$1:CB$87,Formula!B53,12))+((Formula!E53)/(Formula!C53+Formula!E53+Formula!G53+Formula!I53+Formula!K53))*(INDEX(Properties!A$1:CB$87,Formula!D53,12))+((Formula!G53)/(Formula!C53+Formula!E53+Formula!G53+Formula!I53+Formula!K53))*(INDEX(Properties!A$1:CB$87,Formula!F53,12))+((Formula!I53)/(Formula!C53+Formula!E53+Formula!G53+Formula!I53+Formula!K53))*(INDEX(Properties!A$1:CB$87,Formula!H53,12))+((Formula!K53)/(Formula!C53+Formula!E53+Formula!G53+Formula!I53+Formula!K53))*(INDEX(Properties!A$1:CB$87,Formula!J53,12))</f>
        <v>2.6666666666666665</v>
      </c>
      <c r="AS53" s="78">
        <f>Formula!C53*(INDEX(Properties!A$1:CB$87,Formula!B53,12))+Formula!E53*(INDEX(Properties!A$1:CB$87,Formula!D53,12))+Formula!G53*(INDEX(Properties!A$1:CB$87,Formula!F53,12))+Formula!I53*(INDEX(Properties!A$1:CB$87,Formula!H53,12))+Formula!K53*(INDEX(Properties!A$1:CB$87,Formula!J53,12))</f>
        <v>8</v>
      </c>
      <c r="AT53" s="78">
        <f>VARP(IF(INDEX(Properties!A$1:CB$87,Formula!B53,12)&lt;&gt;"",INDEX(Properties!A$1:CB$87,Formula!B53,12)),IF(INDEX(Properties!A$1:CB$87,Formula!D53,12)&lt;&gt;"",INDEX(Properties!A$1:CB$87,Formula!D53,12)),IF(INDEX(Properties!A$1:CB$87,Formula!F53,12)&lt;&gt;"",INDEX(Properties!A$1:CB$87,Formula!F53,12)),IF(INDEX(Properties!A$1:CB$87,Formula!H53,12)&lt;&gt;"",INDEX(Properties!A$1:CB$87,Formula!H53,12)),IF(INDEX(Properties!A$1:CB$87,Formula!J53,12)&lt;&gt;"",INDEX(Properties!A$1:CB$87,Formula!J53,12)))</f>
        <v>2.56</v>
      </c>
      <c r="AU53" s="78">
        <f>MAX(INDEX(Properties!A$1:CB$87,Formula!B53,12),INDEX(Properties!A$1:CB$87,Formula!D53,12),INDEX(Properties!A$1:CB$87,Formula!F53,12),INDEX(Properties!A$1:CB$87,Formula!H53,12),INDEX(Properties!A$1:CB$87,Formula!J53,12))</f>
        <v>4</v>
      </c>
      <c r="AV53" s="78">
        <f>MIN(IF(Formula!B53=87,10^6,INDEX(Properties!A$1:CB$87,Formula!B53,12)),IF((Formula!D53)=87,10^6,INDEX(Properties!A$1:CB$87,Formula!D53,12)),IF((Formula!F53)=87,10^6,INDEX(Properties!A$1:CB$87,Formula!F53,12)),IF((Formula!H53)=87,10^6,INDEX(Properties!A$1:CB$87,Formula!H53,12)),IF(Formula!J53=87,10^6,INDEX(Properties!A$1:CB$87,Formula!J53,12)))</f>
        <v>0</v>
      </c>
      <c r="AW53" s="78">
        <f t="shared" si="7"/>
        <v>4</v>
      </c>
      <c r="AX53" s="45">
        <f>((Formula!C53)/(Formula!C53+Formula!E53+Formula!G53+Formula!I53+Formula!K53))*(INDEX(Properties!A$1:CB$87,Formula!B53,13))+((Formula!E53)/(Formula!C53+Formula!E53+Formula!G53+Formula!I53+Formula!K53))*(INDEX(Properties!A$1:CB$87,Formula!D53,13))+((Formula!G53)/(Formula!C53+Formula!E53+Formula!G53+Formula!I53+Formula!K53))*(INDEX(Properties!A$1:CB$87,Formula!F53,13))+((Formula!I53)/(Formula!C53+Formula!E53+Formula!G53+Formula!I53+Formula!K53))*(INDEX(Properties!A$1:CB$87,Formula!H53,13))+((Formula!K53)/(Formula!C53+Formula!E53+Formula!G53+Formula!I53+Formula!K53))*(INDEX(Properties!A$1:CB$87,Formula!J53,13))</f>
        <v>0.66666666666666663</v>
      </c>
      <c r="AY53" s="45">
        <f>Formula!C53*(INDEX(Properties!A$1:CB$87,Formula!B53,13))+Formula!E53*(INDEX(Properties!A$1:CB$87,Formula!D53,13))+Formula!G53*(INDEX(Properties!A$1:CB$87,Formula!F53,13))+Formula!I53*(INDEX(Properties!A$1:CB$87,Formula!H53,13))+Formula!K53*(INDEX(Properties!A$1:CB$87,Formula!J53,13))</f>
        <v>2</v>
      </c>
      <c r="AZ53" s="45">
        <f>VARP(IF(INDEX(Properties!A$1:CB$87,Formula!B53,13)&lt;&gt;"",INDEX(Properties!A$1:CB$87,Formula!B53,13)),IF(INDEX(Properties!A$1:CB$87,Formula!D53,13)&lt;&gt;"",INDEX(Properties!A$1:CB$87,Formula!D53,13)),IF(INDEX(Properties!A$1:CB$87,Formula!F53,13)&lt;&gt;"",INDEX(Properties!A$1:CB$87,Formula!F53,13)),IF(INDEX(Properties!A$1:CB$87,Formula!H53,13)&lt;&gt;"",INDEX(Properties!A$1:CB$87,Formula!H53,13)),IF(INDEX(Properties!A$1:CB$87,Formula!J53,13)&lt;&gt;"",INDEX(Properties!A$1:CB$87,Formula!J53,13)))</f>
        <v>0.64</v>
      </c>
      <c r="BA53" s="45">
        <f>MAX(INDEX(Properties!A$1:CB$87,Formula!B53,13),INDEX(Properties!A$1:CB$87,Formula!D53,13),INDEX(Properties!A$1:CB$87,Formula!F53,13),INDEX(Properties!A$1:CB$87,Formula!H53,13),INDEX(Properties!A$1:CB$87,Formula!J53,13))</f>
        <v>2</v>
      </c>
      <c r="BB53" s="45">
        <f>MIN(IF(Formula!B53=87,10^6,INDEX(Properties!A$1:CB$87,Formula!B53,13)),IF((Formula!D53)=87,10^6,INDEX(Properties!A$1:CB$87,Formula!D53,13)),IF((Formula!F53)=87,10^6,INDEX(Properties!A$1:CB$87,Formula!F53,13)),IF((Formula!H53)=87,10^6,INDEX(Properties!A$1:CB$87,Formula!H53,13)),IF(Formula!J53=87,10^6,INDEX(Properties!A$1:CB$87,Formula!J53,13)))</f>
        <v>0</v>
      </c>
      <c r="BC53" s="45">
        <f t="shared" si="8"/>
        <v>2</v>
      </c>
      <c r="BD53" s="63">
        <f>((Formula!C53)/(Formula!C53+Formula!E53+Formula!G53+Formula!I53+Formula!K53))*(INDEX(Properties!A$1:CB$87,Formula!B53,14))+((Formula!E53)/(Formula!C53+Formula!E53+Formula!G53+Formula!I53+Formula!K53))*(INDEX(Properties!A$1:CB$87,Formula!D53,14))+((Formula!G53)/(Formula!C53+Formula!E53+Formula!G53+Formula!I53+Formula!K53))*(INDEX(Properties!A$1:CB$87,Formula!F53,14))+((Formula!I53)/(Formula!C53+Formula!E53+Formula!G53+Formula!I53+Formula!K53))*(INDEX(Properties!A$1:CB$87,Formula!H53,14))+((Formula!K53)/(Formula!C53+Formula!E53+Formula!G53+Formula!I53+Formula!K53))*(INDEX(Properties!A$1:CB$87,Formula!J53,14))</f>
        <v>0</v>
      </c>
      <c r="BE53" s="63">
        <f>Formula!C53*(INDEX(Properties!A$1:CB$87,Formula!B53,14))+Formula!E53*(INDEX(Properties!A$1:CB$87,Formula!D53,14))+Formula!G53*(INDEX(Properties!A$1:CB$87,Formula!F53,14))+Formula!I53*(INDEX(Properties!A$1:CB$87,Formula!H53,14))+Formula!K53*(INDEX(Properties!A$1:CB$87,Formula!J53,14))</f>
        <v>0</v>
      </c>
      <c r="BF53" s="63">
        <f>VARP(IF(INDEX(Properties!A$1:CB$87,Formula!B53,14)&lt;&gt;"",INDEX(Properties!A$1:CB$87,Formula!B53,14)),IF(INDEX(Properties!A$1:CB$87,Formula!D53,14)&lt;&gt;"",INDEX(Properties!A$1:CB$87,Formula!D53,14)),IF(INDEX(Properties!A$1:CB$87,Formula!F53,14)&lt;&gt;"",INDEX(Properties!A$1:CB$87,Formula!F53,14)),IF(INDEX(Properties!A$1:CB$87,Formula!H53,14)&lt;&gt;"",INDEX(Properties!A$1:CB$87,Formula!H53,14)),IF(INDEX(Properties!A$1:CB$87,Formula!J53,14)&lt;&gt;"",INDEX(Properties!A$1:CB$87,Formula!J53,14)))</f>
        <v>0</v>
      </c>
      <c r="BG53" s="63">
        <f>MAX(INDEX(Properties!A$1:CB$87,Formula!B53,14),INDEX(Properties!A$1:CB$87,Formula!D53,14),INDEX(Properties!A$1:CB$87,Formula!F53,14),INDEX(Properties!A$1:CB$87,Formula!H53,14),INDEX(Properties!A$1:CB$87,Formula!J53,14))</f>
        <v>0</v>
      </c>
      <c r="BH53" s="63">
        <f>MIN(IF(Formula!B53=87,10^6,INDEX(Properties!A$1:CB$87,Formula!B53,14)),IF((Formula!D53)=87,10^6,INDEX(Properties!A$1:CB$87,Formula!D53,14)),IF((Formula!F53)=87,10^6,INDEX(Properties!A$1:CB$87,Formula!F53,14)),IF((Formula!H53)=87,10^6,INDEX(Properties!A$1:CB$87,Formula!H53,14)),IF(Formula!J53=87,10^6,INDEX(Properties!A$1:CB$87,Formula!J53,14)))</f>
        <v>0</v>
      </c>
      <c r="BI53" s="63">
        <f t="shared" si="9"/>
        <v>0</v>
      </c>
      <c r="BJ53" s="75">
        <f>((Formula!C53)/(Formula!C53+Formula!E53+Formula!G53+Formula!I53+Formula!K53))*(INDEX(Properties!A$1:CB$87,Formula!B53,19))+((Formula!E53)/(Formula!C53+Formula!E53+Formula!G53+Formula!I53+Formula!K53))*(INDEX(Properties!A$1:CB$87,Formula!D53,19))+((Formula!G53)/(Formula!C53+Formula!E53+Formula!G53+Formula!I53+Formula!K53))*(INDEX(Properties!A$1:CB$87,Formula!F53,19))+((Formula!I53)/(Formula!C53+Formula!E53+Formula!G53+Formula!I53+Formula!K53))*(INDEX(Properties!A$1:CB$87,Formula!H53,19))+((Formula!K53)/(Formula!C53+Formula!E53+Formula!G53+Formula!I53+Formula!K53))*(INDEX(Properties!A$1:CB$87,Formula!J53,19))</f>
        <v>5.333333333333333</v>
      </c>
      <c r="BK53" s="75">
        <f>Formula!C53*(INDEX(Properties!A$1:CB$87,Formula!B53,19))+Formula!E53*(INDEX(Properties!A$1:CB$87,Formula!D53,19))+Formula!G53*(INDEX(Properties!A$1:CB$87,Formula!F53,19))+Formula!I53*(INDEX(Properties!A$1:CB$87,Formula!H53,19))+Formula!K53*(INDEX(Properties!A$1:CB$87,Formula!J53,19))</f>
        <v>16</v>
      </c>
      <c r="BL53" s="75">
        <f>VARP(IF(INDEX(Properties!A$1:CB$87,Formula!B53,19)&lt;&gt;"",INDEX(Properties!A$1:CB$87,Formula!B53,19)),IF(INDEX(Properties!A$1:CB$87,Formula!D53,19)&lt;&gt;"",INDEX(Properties!A$1:CB$87,Formula!D53,19)),IF(INDEX(Properties!A$1:CB$87,Formula!F53,19)&lt;&gt;"",INDEX(Properties!A$1:CB$87,Formula!F53,19)),IF(INDEX(Properties!A$1:CB$87,Formula!H53,19)&lt;&gt;"",INDEX(Properties!A$1:CB$87,Formula!H53,19)),IF(INDEX(Properties!A$1:CB$87,Formula!J53,19)&lt;&gt;"",INDEX(Properties!A$1:CB$87,Formula!J53,19)))</f>
        <v>6.4</v>
      </c>
      <c r="BM53" s="75">
        <f>MAX(INDEX(Properties!A$1:CB$87,Formula!B53,19),INDEX(Properties!A$1:CB$87,Formula!D53,19),INDEX(Properties!A$1:CB$87,Formula!F53,19),INDEX(Properties!A$1:CB$87,Formula!H53,19),INDEX(Properties!A$1:CB$87,Formula!J53,19))</f>
        <v>6</v>
      </c>
      <c r="BN53" s="75">
        <f>MIN(IF(INDEX(Properties!A$1:CB$87,Formula!B53,19)=0,10^6,INDEX(Properties!A$1:CB$87,Formula!B53,19)),IF(INDEX(Properties!A$1:CB$87,Formula!D53,19)=0,10^6,INDEX(Properties!A$1:CB$87,Formula!D53,19)),IF(INDEX(Properties!A$1:CB$87,Formula!F53,19)=0,10^6,INDEX(Properties!A$1:CB$87,Formula!F53,19)),IF(INDEX(Properties!A$1:CB$87,Formula!H53,19)=0,10^6,INDEX(Properties!A$1:CB$87,Formula!H53,19)),IF(INDEX(Properties!A$1:CB$87,Formula!J53,19)=0,10^6,INDEX(Properties!A$1:CB$87,Formula!J53,19)))</f>
        <v>4</v>
      </c>
      <c r="BO53" s="75">
        <f t="shared" si="10"/>
        <v>2</v>
      </c>
      <c r="BP53" s="48">
        <f>((Formula!C53)/(Formula!C53+Formula!E53+Formula!G53+Formula!I53+Formula!K53))*(INDEX(Properties!A$1:CB$87,Formula!B53,20))+((Formula!E53)/(Formula!C53+Formula!E53+Formula!G53+Formula!I53+Formula!K53))*(INDEX(Properties!A$1:CB$87,Formula!D53,20))+((Formula!G53)/(Formula!C53+Formula!E53+Formula!G53+Formula!I53+Formula!K53))*(INDEX(Properties!A$1:CB$87,Formula!F53,20))+((Formula!I53)/(Formula!C53+Formula!E53+Formula!G53+Formula!I53+Formula!K53))*(INDEX(Properties!A$1:CB$87,Formula!H53,20))+((Formula!K53)/(Formula!C53+Formula!E53+Formula!G53+Formula!I53+Formula!K53))*(INDEX(Properties!A$1:CB$87,Formula!J53,20))</f>
        <v>4.666666666666667</v>
      </c>
      <c r="BQ53" s="48">
        <f>Formula!C53*(INDEX(Properties!A$1:CB$87,Formula!B53,20))+Formula!E53*(INDEX(Properties!A$1:CB$87,Formula!D53,20))+Formula!G53*(INDEX(Properties!A$1:CB$87,Formula!F53,20))+Formula!I53*(INDEX(Properties!A$1:CB$87,Formula!H53,20))+Formula!K53*(INDEX(Properties!A$1:CB$87,Formula!J53,20))</f>
        <v>14</v>
      </c>
      <c r="BR53" s="48">
        <f>VARP(IF(INDEX(Properties!A$1:CB$87,Formula!B53,20)&lt;&gt;"",INDEX(Properties!A$1:CB$87,Formula!B53,20)),IF(INDEX(Properties!A$1:CB$87,Formula!D53,20)&lt;&gt;"",INDEX(Properties!A$1:CB$87,Formula!D53,20)),IF(INDEX(Properties!A$1:CB$87,Formula!F53,20)&lt;&gt;"",INDEX(Properties!A$1:CB$87,Formula!F53,20)),IF(INDEX(Properties!A$1:CB$87,Formula!H53,20)&lt;&gt;"",INDEX(Properties!A$1:CB$87,Formula!H53,20)),IF(INDEX(Properties!A$1:CB$87,Formula!J53,20)&lt;&gt;"",INDEX(Properties!A$1:CB$87,Formula!J53,20)))</f>
        <v>5.44</v>
      </c>
      <c r="BS53" s="48">
        <f>MAX(INDEX(Properties!A$1:CB$87,Formula!B53,20),INDEX(Properties!A$1:CB$87,Formula!D53,20),INDEX(Properties!A$1:CB$87,Formula!F53,20),INDEX(Properties!A$1:CB$87,Formula!H53,20),INDEX(Properties!A$1:CB$87,Formula!J53,20))</f>
        <v>6</v>
      </c>
      <c r="BT53" s="48">
        <f>MIN(IF(INDEX(Properties!A$1:CB$87,Formula!B53,20)=0,10^6,INDEX(Properties!A$1:CB$87,Formula!B53,20)),IF(INDEX(Properties!A$1:CB$87,Formula!D53,20)=0,10^6,INDEX(Properties!A$1:CB$87,Formula!D53,20)),IF(INDEX(Properties!A$1:CB$87,Formula!F53,20)=0,10^6,INDEX(Properties!A$1:CB$87,Formula!F53,20)),IF(INDEX(Properties!A$1:CB$87,Formula!H53,20)=0,10^6,INDEX(Properties!A$1:CB$87,Formula!H53,20)),IF(INDEX(Properties!A$1:CB$87,Formula!J53,20)=0,10^6,INDEX(Properties!A$1:CB$87,Formula!J53,20)))</f>
        <v>2</v>
      </c>
      <c r="BU53" s="48">
        <f t="shared" si="11"/>
        <v>4</v>
      </c>
      <c r="BV53" s="66">
        <f>((Formula!C53)/(Formula!C53+Formula!E53+Formula!G53+Formula!I53+Formula!K53))*(INDEX(Properties!A$1:CB$87,Formula!B53,21))+((Formula!E53)/(Formula!C53+Formula!E53+Formula!G53+Formula!I53+Formula!K53))*(INDEX(Properties!A$1:CB$87,Formula!D53,21))+((Formula!G53)/(Formula!C53+Formula!E53+Formula!G53+Formula!I53+Formula!K53))*(INDEX(Properties!A$1:CB$87,Formula!F53,21))+((Formula!I53)/(Formula!C53+Formula!E53+Formula!G53+Formula!I53+Formula!K53))*(INDEX(Properties!A$1:CB$87,Formula!H53,21))+((Formula!K53)/(Formula!C53+Formula!E53+Formula!G53+Formula!I53+Formula!K53))*(INDEX(Properties!A$1:CB$87,Formula!J53,21))</f>
        <v>4.666666666666667</v>
      </c>
      <c r="BW53" s="66">
        <f>Formula!C53*(INDEX(Properties!A$1:CB$87,Formula!B53,21))+Formula!E53*(INDEX(Properties!A$1:CB$87,Formula!D53,21))+Formula!G53*(INDEX(Properties!A$1:CB$87,Formula!F53,21))+Formula!I53*(INDEX(Properties!A$1:CB$87,Formula!H53,21))+Formula!K53*(INDEX(Properties!A$1:CB$87,Formula!J53,21))</f>
        <v>14</v>
      </c>
      <c r="BX53" s="66">
        <f>VARP(IF(INDEX(Properties!A$1:CB$87,Formula!B53,21)&lt;&gt;"",INDEX(Properties!A$1:CB$87,Formula!B53,21)),IF(INDEX(Properties!A$1:CB$87,Formula!D53,21)&lt;&gt;"",INDEX(Properties!A$1:CB$87,Formula!D53,21)),IF(INDEX(Properties!A$1:CB$87,Formula!F53,21)&lt;&gt;"",INDEX(Properties!A$1:CB$87,Formula!F53,21)),IF(INDEX(Properties!A$1:CB$87,Formula!H53,21)&lt;&gt;"",INDEX(Properties!A$1:CB$87,Formula!H53,21)),IF(INDEX(Properties!A$1:CB$87,Formula!J53,21)&lt;&gt;"",INDEX(Properties!A$1:CB$87,Formula!J53,21)))</f>
        <v>5.44</v>
      </c>
      <c r="BY53" s="66">
        <f>MAX(INDEX(Properties!A$1:CB$87,Formula!B53,21),INDEX(Properties!A$1:CB$87,Formula!D53,21),INDEX(Properties!A$1:CB$87,Formula!F53,21),INDEX(Properties!A$1:CB$87,Formula!H53,21),INDEX(Properties!A$1:CB$87,Formula!J53,21))</f>
        <v>6</v>
      </c>
      <c r="BZ53" s="66">
        <f>MIN(IF(INDEX(Properties!A$1:CB$87,Formula!B53,21)=0,10^6,INDEX(Properties!A$1:CB$87,Formula!B53,21)),IF(INDEX(Properties!A$1:CB$87,Formula!D53,21)=0,10^6,INDEX(Properties!A$1:CB$87,Formula!D53,21)),IF(INDEX(Properties!A$1:CB$87,Formula!F53,21)=0,10^6,INDEX(Properties!A$1:CB$87,Formula!F53,21)),IF(INDEX(Properties!A$1:CB$87,Formula!H53,21)=0,10^6,INDEX(Properties!A$1:CB$87,Formula!H53,21)),IF(INDEX(Properties!A$1:CB$87,Formula!J53,21)=0,10^6,INDEX(Properties!A$1:CB$87,Formula!J53,21)))</f>
        <v>2</v>
      </c>
      <c r="CA53" s="66">
        <f t="shared" si="12"/>
        <v>4</v>
      </c>
      <c r="CB53" s="81">
        <f>((Formula!C53)/(Formula!C53+Formula!E53+Formula!G53+Formula!I53+Formula!K53))*(INDEX(Properties!A$1:CB$87,Formula!B53,23))+((Formula!E53)/(Formula!C53+Formula!E53+Formula!G53+Formula!I53+Formula!K53))*(INDEX(Properties!A$1:CB$87,Formula!D53,23))+((Formula!G53)/(Formula!C53+Formula!E53+Formula!G53+Formula!I53+Formula!K53))*(INDEX(Properties!A$1:CB$87,Formula!F53,23))+((Formula!I53)/(Formula!C53+Formula!E53+Formula!G53+Formula!I53+Formula!K53))*(INDEX(Properties!A$1:CB$87,Formula!H53,23))+((Formula!K53)/(Formula!C53+Formula!E53+Formula!G53+Formula!I53+Formula!K53))*(INDEX(Properties!A$1:CB$87,Formula!J53,23))</f>
        <v>1.3333333333333333</v>
      </c>
      <c r="CC53" s="81">
        <f>Formula!C53*(INDEX(Properties!A$1:CB$87,Formula!B53,23))+Formula!E53*(INDEX(Properties!A$1:CB$87,Formula!D53,23))+Formula!G53*(INDEX(Properties!A$1:CB$87,Formula!F53,23))+Formula!I53*(INDEX(Properties!A$1:CB$87,Formula!H53,23))+Formula!K53*(INDEX(Properties!A$1:CB$87,Formula!J53,23))</f>
        <v>4</v>
      </c>
      <c r="CD53" s="81">
        <f>VARP(IF(INDEX(Properties!A$1:CB$87,Formula!B53,23)&lt;&gt;"",INDEX(Properties!A$1:CB$87,Formula!B53,23)),IF(INDEX(Properties!A$1:CB$87,Formula!D53,23)&lt;&gt;"",INDEX(Properties!A$1:CB$87,Formula!D53,23)),IF(INDEX(Properties!A$1:CB$87,Formula!F53,23)&lt;&gt;"",INDEX(Properties!A$1:CB$87,Formula!F53,23)),IF(INDEX(Properties!A$1:CB$87,Formula!H53,23)&lt;&gt;"",INDEX(Properties!A$1:CB$87,Formula!H53,23)),IF(INDEX(Properties!A$1:CB$87,Formula!J53,23)&lt;&gt;"",INDEX(Properties!A$1:CB$87,Formula!J53,23)))</f>
        <v>2.56</v>
      </c>
      <c r="CE53" s="81">
        <f>MAX(INDEX(Properties!A$1:CB$87,Formula!B53,23),INDEX(Properties!A$1:CB$87,Formula!D53,23),INDEX(Properties!A$1:CB$87,Formula!F53,23),INDEX(Properties!A$1:CB$87,Formula!H53,23),INDEX(Properties!A$1:CB$87,Formula!J53,23))</f>
        <v>4</v>
      </c>
      <c r="CF53" s="81">
        <f>MIN(IF(Formula!B53=87,10^6,INDEX(Properties!A$1:CB$87,Formula!B53,23)),IF((Formula!D53)=87,10^6,INDEX(Properties!A$1:CB$87,Formula!D53,23)),IF((Formula!F53)=87,10^6,INDEX(Properties!A$1:CB$87,Formula!F53,23)),IF((Formula!H53)=87,10^6,INDEX(Properties!A$1:CB$87,Formula!H53,23)),IF(Formula!J53=87,10^6,INDEX(Properties!A$1:CB$87,Formula!J53,23)))</f>
        <v>0</v>
      </c>
      <c r="CG53" s="81">
        <f t="shared" si="13"/>
        <v>4</v>
      </c>
      <c r="CH53" s="39">
        <f>((Formula!C53)/(Formula!C53+Formula!E53+Formula!G53+Formula!I53+Formula!K53))*(INDEX(Properties!A$1:CB$87,Formula!B53,26))+((Formula!E53)/(Formula!C53+Formula!E53+Formula!G53+Formula!I53+Formula!K53))*(INDEX(Properties!A$1:CB$87,Formula!D53,26))+((Formula!G53)/(Formula!C53+Formula!E53+Formula!G53+Formula!I53+Formula!K53))*(INDEX(Properties!A$1:CB$87,Formula!F53,26))+((Formula!I53)/(Formula!C53+Formula!E53+Formula!G53+Formula!I53+Formula!K53))*(INDEX(Properties!A$1:CB$87,Formula!H53,26))+((Formula!K53)/(Formula!C53+Formula!E53+Formula!G53+Formula!I53+Formula!K53))*(INDEX(Properties!A$1:CB$87,Formula!J53,26))</f>
        <v>11.290033333333332</v>
      </c>
      <c r="CI53" s="39">
        <f>Formula!C53*(INDEX(Properties!A$1:CB$87,Formula!B53,26))+Formula!E53*(INDEX(Properties!A$1:CB$87,Formula!D53,26))+Formula!G53*(INDEX(Properties!A$1:CB$87,Formula!F53,26))+Formula!I53*(INDEX(Properties!A$1:CB$87,Formula!H53,26))+Formula!K53*(INDEX(Properties!A$1:CB$87,Formula!J53,26))</f>
        <v>33.870100000000001</v>
      </c>
      <c r="CJ53" s="39">
        <f>VARP(IF(INDEX(Properties!A$1:CB$87,Formula!B53,26)&lt;&gt;"",INDEX(Properties!A$1:CB$87,Formula!B53,26)),IF(INDEX(Properties!A$1:CB$87,Formula!D53,26)&lt;&gt;"",INDEX(Properties!A$1:CB$87,Formula!D53,26)),IF(INDEX(Properties!A$1:CB$87,Formula!F53,26)&lt;&gt;"",INDEX(Properties!A$1:CB$87,Formula!F53,26)),IF(INDEX(Properties!A$1:CB$87,Formula!H53,26)&lt;&gt;"",INDEX(Properties!A$1:CB$87,Formula!H53,26)),IF(INDEX(Properties!A$1:CB$87,Formula!J53,26)&lt;&gt;"",INDEX(Properties!A$1:CB$87,Formula!J53,26)))</f>
        <v>29.486515204000007</v>
      </c>
      <c r="CK53" s="39">
        <f>MAX(INDEX(Properties!A$1:CB$87,Formula!B53,26),INDEX(Properties!A$1:CB$87,Formula!D53,26),INDEX(Properties!A$1:CB$87,Formula!F53,26),INDEX(Properties!A$1:CB$87,Formula!H53,26),INDEX(Properties!A$1:CB$87,Formula!J53,26))</f>
        <v>13.6181</v>
      </c>
      <c r="CL53" s="39">
        <f>MIN(IF(INDEX(Properties!A$1:CB$87,Formula!B53,26)=0,10^6,INDEX(Properties!A$1:CB$87,Formula!B53,26)),IF(INDEX(Properties!A$1:CB$87,Formula!D53,26)=0,10^6,INDEX(Properties!A$1:CB$87,Formula!D53,26)),IF(INDEX(Properties!A$1:CB$87,Formula!F53,26)=0,10^6,INDEX(Properties!A$1:CB$87,Formula!F53,26)),IF(INDEX(Properties!A$1:CB$87,Formula!H53,26)=0,10^6,INDEX(Properties!A$1:CB$87,Formula!H53,26)),IF(INDEX(Properties!A$1:CB$87,Formula!J53,26)=0,10^6,INDEX(Properties!A$1:CB$87,Formula!J53,26)))</f>
        <v>6.6338999999999997</v>
      </c>
      <c r="CM53" s="39">
        <f t="shared" si="14"/>
        <v>6.9842000000000004</v>
      </c>
      <c r="CN53" s="54">
        <f>((Formula!C53)/(Formula!C53+Formula!E53+Formula!G53+Formula!I53+Formula!K53))*(INDEX(Properties!A$1:CB$87,Formula!B53,30))+((Formula!E53)/(Formula!C53+Formula!E53+Formula!G53+Formula!I53+Formula!K53))*(INDEX(Properties!A$1:CB$87,Formula!D53,30))+((Formula!G53)/(Formula!C53+Formula!E53+Formula!G53+Formula!I53+Formula!K53))*(INDEX(Properties!A$1:CB$87,Formula!F53,30))+((Formula!I53)/(Formula!C53+Formula!E53+Formula!G53+Formula!I53+Formula!K53))*(INDEX(Properties!A$1:CB$87,Formula!H53,30))+((Formula!K53)/(Formula!C53+Formula!E53+Formula!G53+Formula!I53+Formula!K53))*(INDEX(Properties!A$1:CB$87,Formula!J53,30))</f>
        <v>2.7366666666666664</v>
      </c>
      <c r="CO53" s="54">
        <f>Formula!C53*(INDEX(Properties!A$1:CB$87,Formula!B53,30))+Formula!E53*(INDEX(Properties!A$1:CB$87,Formula!D53,30))+Formula!G53*(INDEX(Properties!A$1:CB$87,Formula!F53,30))+Formula!I53*(INDEX(Properties!A$1:CB$87,Formula!H53,30))+Formula!K53*(INDEX(Properties!A$1:CB$87,Formula!J53,30))</f>
        <v>8.2100000000000009</v>
      </c>
      <c r="CP53" s="54">
        <f>VARP(IF(INDEX(Properties!A$1:CB$87,Formula!B53,30)&lt;&gt;"",INDEX(Properties!A$1:CB$87,Formula!B53,30)),IF(INDEX(Properties!A$1:CB$87,Formula!D53,30)&lt;&gt;"",INDEX(Properties!A$1:CB$87,Formula!D53,30)),IF(INDEX(Properties!A$1:CB$87,Formula!F53,30)&lt;&gt;"",INDEX(Properties!A$1:CB$87,Formula!F53,30)),IF(INDEX(Properties!A$1:CB$87,Formula!H53,30)&lt;&gt;"",INDEX(Properties!A$1:CB$87,Formula!H53,30)),IF(INDEX(Properties!A$1:CB$87,Formula!J53,30)&lt;&gt;"",INDEX(Properties!A$1:CB$87,Formula!J53,30)))</f>
        <v>1.8103839999999998</v>
      </c>
      <c r="CQ53" s="54">
        <f>MAX(INDEX(Properties!A$1:CB$87,Formula!B53,30),INDEX(Properties!A$1:CB$87,Formula!D53,30),INDEX(Properties!A$1:CB$87,Formula!F53,30),INDEX(Properties!A$1:CB$87,Formula!H53,30),INDEX(Properties!A$1:CB$87,Formula!J53,30))</f>
        <v>3.44</v>
      </c>
      <c r="CR53" s="54">
        <f>MIN(IF(INDEX(Properties!A$1:CB$87,Formula!B53,30)=0,10^6,INDEX(Properties!A$1:CB$87,Formula!B53,30)),IF(INDEX(Properties!A$1:CB$87,Formula!D53,30)=0,10^6,INDEX(Properties!A$1:CB$87,Formula!D53,30)),IF(INDEX(Properties!A$1:CB$87,Formula!F53,30)=0,10^6,INDEX(Properties!A$1:CB$87,Formula!F53,30)),IF(INDEX(Properties!A$1:CB$87,Formula!H53,30)=0,10^6,INDEX(Properties!A$1:CB$87,Formula!H53,30)),IF(INDEX(Properties!A$1:CB$87,Formula!J53,30)=0,10^6,INDEX(Properties!A$1:CB$87,Formula!J53,30)))</f>
        <v>1.33</v>
      </c>
      <c r="CS53" s="54">
        <f t="shared" si="15"/>
        <v>2.11</v>
      </c>
      <c r="CT53" s="69">
        <f>((Formula!C53)/(Formula!C53+Formula!E53+Formula!G53+Formula!I53+Formula!K53))*(INDEX(Properties!A$1:CB$87,Formula!B53,31))+((Formula!E53)/(Formula!C53+Formula!E53+Formula!G53+Formula!I53+Formula!K53))*(INDEX(Properties!A$1:CB$87,Formula!D53,31))+((Formula!G53)/(Formula!C53+Formula!E53+Formula!G53+Formula!I53+Formula!K53))*(INDEX(Properties!A$1:CB$87,Formula!F53,31))+((Formula!I53)/(Formula!C53+Formula!E53+Formula!G53+Formula!I53+Formula!K53))*(INDEX(Properties!A$1:CB$87,Formula!H53,31))+((Formula!K53)/(Formula!C53+Formula!E53+Formula!G53+Formula!I53+Formula!K53))*(INDEX(Properties!A$1:CB$87,Formula!J53,31))</f>
        <v>2.7799999999999994</v>
      </c>
      <c r="CU53" s="69">
        <f>Formula!C53*(INDEX(Properties!A$1:CB$87,Formula!B53,31))+Formula!E53*(INDEX(Properties!A$1:CB$87,Formula!D53,31))+Formula!G53*(INDEX(Properties!A$1:CB$87,Formula!F53,31))+Formula!I53*(INDEX(Properties!A$1:CB$87,Formula!H53,31))+Formula!K53*(INDEX(Properties!A$1:CB$87,Formula!J53,31))</f>
        <v>8.34</v>
      </c>
      <c r="CV53" s="69">
        <f>VARP(IF(INDEX(Properties!A$1:CB$87,Formula!B53,31)&lt;&gt;"",INDEX(Properties!A$1:CB$87,Formula!B53,31)),IF(INDEX(Properties!A$1:CB$87,Formula!D53,31)&lt;&gt;"",INDEX(Properties!A$1:CB$87,Formula!D53,31)),IF(INDEX(Properties!A$1:CB$87,Formula!F53,31)&lt;&gt;"",INDEX(Properties!A$1:CB$87,Formula!F53,31)),IF(INDEX(Properties!A$1:CB$87,Formula!H53,31)&lt;&gt;"",INDEX(Properties!A$1:CB$87,Formula!H53,31)),IF(INDEX(Properties!A$1:CB$87,Formula!J53,31)&lt;&gt;"",INDEX(Properties!A$1:CB$87,Formula!J53,31)))</f>
        <v>1.7744639999999996</v>
      </c>
      <c r="CW53" s="69">
        <f>MAX(INDEX(Properties!A$1:CB$87,Formula!B53,31),INDEX(Properties!A$1:CB$87,Formula!D53,31),INDEX(Properties!A$1:CB$87,Formula!F53,31),INDEX(Properties!A$1:CB$87,Formula!H53,31),INDEX(Properties!A$1:CB$87,Formula!J53,31))</f>
        <v>3.32</v>
      </c>
      <c r="CX53" s="69">
        <f>MIN(IF(INDEX(Properties!A$1:CB$87,Formula!B53,31)=0,10^6,INDEX(Properties!A$1:CB$87,Formula!B53,31)),IF(INDEX(Properties!A$1:CB$87,Formula!D53,31)=0,10^6,INDEX(Properties!A$1:CB$87,Formula!D53,31)),IF(INDEX(Properties!A$1:CB$87,Formula!F53,31)=0,10^6,INDEX(Properties!A$1:CB$87,Formula!F53,31)),IF(INDEX(Properties!A$1:CB$87,Formula!H53,31)=0,10^6,INDEX(Properties!A$1:CB$87,Formula!H53,31)),IF(INDEX(Properties!A$1:CB$87,Formula!J53,31)=0,10^6,INDEX(Properties!A$1:CB$87,Formula!J53,31)))</f>
        <v>1.7</v>
      </c>
      <c r="CY53" s="69">
        <f t="shared" si="16"/>
        <v>1.6199999999999999</v>
      </c>
      <c r="CZ53" s="42">
        <f>((Formula!C53)/(Formula!C53+Formula!E53+Formula!G53+Formula!I53+Formula!K53))*(INDEX(Properties!A$1:CB$87,Formula!B53,32))+((Formula!E53)/(Formula!C53+Formula!E53+Formula!G53+Formula!I53+Formula!K53))*(INDEX(Properties!A$1:CB$87,Formula!D53,32))+((Formula!G53)/(Formula!C53+Formula!E53+Formula!G53+Formula!I53+Formula!K53))*(INDEX(Properties!A$1:CB$87,Formula!F53,32))+((Formula!I53)/(Formula!C53+Formula!E53+Formula!G53+Formula!I53+Formula!K53))*(INDEX(Properties!A$1:CB$87,Formula!H53,32))+((Formula!K53)/(Formula!C53+Formula!E53+Formula!G53+Formula!I53+Formula!K53))*(INDEX(Properties!A$1:CB$87,Formula!J53,32))</f>
        <v>6.24</v>
      </c>
      <c r="DA53" s="42">
        <f>Formula!C53*(INDEX(Properties!A$1:CB$87,Formula!B53,32))+Formula!E53*(INDEX(Properties!A$1:CB$87,Formula!D53,32))+Formula!G53*(INDEX(Properties!A$1:CB$87,Formula!F53,32))+Formula!I53*(INDEX(Properties!A$1:CB$87,Formula!H53,32))+Formula!K53*(INDEX(Properties!A$1:CB$87,Formula!J53,32))</f>
        <v>18.72</v>
      </c>
      <c r="DB53" s="42">
        <f>VARP(IF(INDEX(Properties!A$1:CB$87,Formula!B53,32)&lt;&gt;"",INDEX(Properties!A$1:CB$87,Formula!B53,32)),IF(INDEX(Properties!A$1:CB$87,Formula!D53,32)&lt;&gt;"",INDEX(Properties!A$1:CB$87,Formula!D53,32)),IF(INDEX(Properties!A$1:CB$87,Formula!F53,32)&lt;&gt;"",INDEX(Properties!A$1:CB$87,Formula!F53,32)),IF(INDEX(Properties!A$1:CB$87,Formula!H53,32)&lt;&gt;"",INDEX(Properties!A$1:CB$87,Formula!H53,32)),IF(INDEX(Properties!A$1:CB$87,Formula!J53,32)&lt;&gt;"",INDEX(Properties!A$1:CB$87,Formula!J53,32)))</f>
        <v>9.0205440000000028</v>
      </c>
      <c r="DC53" s="42">
        <f>MAX(INDEX(Properties!A$1:CB$87,Formula!B53,32),INDEX(Properties!A$1:CB$87,Formula!D53,32),INDEX(Properties!A$1:CB$87,Formula!F53,32),INDEX(Properties!A$1:CB$87,Formula!H53,32),INDEX(Properties!A$1:CB$87,Formula!J53,32))</f>
        <v>7.54</v>
      </c>
      <c r="DD53" s="42">
        <f>MIN(IF(INDEX(Properties!A$1:CB$87,Formula!B53,32)=0,10^6,INDEX(Properties!A$1:CB$87,Formula!B53,32)),IF(INDEX(Properties!A$1:CB$87,Formula!D53,32)=0,10^6,INDEX(Properties!A$1:CB$87,Formula!D53,32)),IF(INDEX(Properties!A$1:CB$87,Formula!F53,32)=0,10^6,INDEX(Properties!A$1:CB$87,Formula!F53,32)),IF(INDEX(Properties!A$1:CB$87,Formula!H53,32)=0,10^6,INDEX(Properties!A$1:CB$87,Formula!H53,32)),IF(INDEX(Properties!A$1:CB$87,Formula!J53,32)=0,10^6,INDEX(Properties!A$1:CB$87,Formula!J53,32)))</f>
        <v>3.64</v>
      </c>
      <c r="DE53" s="42">
        <f t="shared" si="17"/>
        <v>3.9</v>
      </c>
      <c r="DF53" s="60">
        <f>((Formula!C53)/(Formula!C53+Formula!E53+Formula!G53+Formula!I53+Formula!K53))*(INDEX(Properties!A$1:CB$87,Formula!B53,34))+((Formula!E53)/(Formula!C53+Formula!E53+Formula!G53+Formula!I53+Formula!K53))*(INDEX(Properties!A$1:CB$87,Formula!D53,34))+((Formula!G53)/(Formula!C53+Formula!E53+Formula!G53+Formula!I53+Formula!K53))*(INDEX(Properties!A$1:CB$87,Formula!F53,34))+((Formula!I53)/(Formula!C53+Formula!E53+Formula!G53+Formula!I53+Formula!K53))*(INDEX(Properties!A$1:CB$87,Formula!H53,34))+((Formula!K53)/(Formula!C53+Formula!E53+Formula!G53+Formula!I53+Formula!K53))*(INDEX(Properties!A$1:CB$87,Formula!J53,34))</f>
        <v>2.8466666666666662</v>
      </c>
      <c r="DG53" s="60">
        <f>Formula!C53*(INDEX(Properties!A$1:CB$87,Formula!B53,34))+Formula!E53*(INDEX(Properties!A$1:CB$87,Formula!D53,34))+Formula!G53*(INDEX(Properties!A$1:CB$87,Formula!F53,34))+Formula!I53*(INDEX(Properties!A$1:CB$87,Formula!H53,34))+Formula!K53*(INDEX(Properties!A$1:CB$87,Formula!J53,34))</f>
        <v>8.5399999999999991</v>
      </c>
      <c r="DH53" s="60">
        <f>VARP(IF(INDEX(Properties!A$1:CB$87,Formula!B53,34)&lt;&gt;"",INDEX(Properties!A$1:CB$87,Formula!B53,34)),IF(INDEX(Properties!A$1:CB$87,Formula!D53,34)&lt;&gt;"",INDEX(Properties!A$1:CB$87,Formula!D53,34)),IF(INDEX(Properties!A$1:CB$87,Formula!F53,34)&lt;&gt;"",INDEX(Properties!A$1:CB$87,Formula!F53,34)),IF(INDEX(Properties!A$1:CB$87,Formula!H53,34)&lt;&gt;"",INDEX(Properties!A$1:CB$87,Formula!H53,34)),IF(INDEX(Properties!A$1:CB$87,Formula!J53,34)&lt;&gt;"",INDEX(Properties!A$1:CB$87,Formula!J53,34)))</f>
        <v>1.9827040000000002</v>
      </c>
      <c r="DI53" s="60">
        <f>MAX(INDEX(Properties!A$1:CB$87,Formula!B53,34),INDEX(Properties!A$1:CB$87,Formula!D53,34),INDEX(Properties!A$1:CB$87,Formula!F53,34),INDEX(Properties!A$1:CB$87,Formula!H53,34),INDEX(Properties!A$1:CB$87,Formula!J53,34))</f>
        <v>3.61</v>
      </c>
      <c r="DJ53" s="60">
        <f>MIN(IF(INDEX(Properties!A$1:CB$87,Formula!B53,34)=0,10^6,INDEX(Properties!A$1:CB$87,Formula!B53,34)),IF(INDEX(Properties!A$1:CB$87,Formula!D53,34)=0,10^6,INDEX(Properties!A$1:CB$87,Formula!D53,34)),IF(INDEX(Properties!A$1:CB$87,Formula!F53,34)=0,10^6,INDEX(Properties!A$1:CB$87,Formula!F53,34)),IF(INDEX(Properties!A$1:CB$87,Formula!H53,34)=0,10^6,INDEX(Properties!A$1:CB$87,Formula!H53,34)),IF(INDEX(Properties!A$1:CB$87,Formula!J53,34)=0,10^6,INDEX(Properties!A$1:CB$87,Formula!J53,34)))</f>
        <v>1.32</v>
      </c>
      <c r="DK53" s="60">
        <f t="shared" si="18"/>
        <v>2.29</v>
      </c>
      <c r="DL53" s="45">
        <f>((Formula!C53)/(Formula!C53+Formula!E53+Formula!G53+Formula!I53+Formula!K53))*(INDEX(Properties!A$1:CB$87,Formula!B53,39))+((Formula!E53)/(Formula!C53+Formula!E53+Formula!G53+Formula!I53+Formula!K53))*(INDEX(Properties!A$1:CB$87,Formula!D53,39))+((Formula!G53)/(Formula!C53+Formula!E53+Formula!G53+Formula!I53+Formula!K53))*(INDEX(Properties!A$1:CB$87,Formula!F53,39))+((Formula!I53)/(Formula!C53+Formula!E53+Formula!G53+Formula!I53+Formula!K53))*(INDEX(Properties!A$1:CB$87,Formula!H53,39))+((Formula!K53)/(Formula!C53+Formula!E53+Formula!G53+Formula!I53+Formula!K53))*(INDEX(Properties!A$1:CB$87,Formula!J53,39))</f>
        <v>1.0066666666666666</v>
      </c>
      <c r="DM53" s="45">
        <f>Formula!C53*(INDEX(Properties!A$1:CB$87,Formula!B53,39))+Formula!E53*(INDEX(Properties!A$1:CB$87,Formula!D53,39))+Formula!G53*(INDEX(Properties!A$1:CB$87,Formula!F53,39))+Formula!I53*(INDEX(Properties!A$1:CB$87,Formula!H53,39))+Formula!K53*(INDEX(Properties!A$1:CB$87,Formula!J53,39))</f>
        <v>3.02</v>
      </c>
      <c r="DN53" s="45">
        <f>VARP(IF(INDEX(Properties!A$1:CB$87,Formula!B53,39)&lt;&gt;"",INDEX(Properties!A$1:CB$87,Formula!B53,39)),IF(INDEX(Properties!A$1:CB$87,Formula!D53,39)&lt;&gt;"",INDEX(Properties!A$1:CB$87,Formula!D53,39)),IF(INDEX(Properties!A$1:CB$87,Formula!F53,39)&lt;&gt;"",INDEX(Properties!A$1:CB$87,Formula!F53,39)),IF(INDEX(Properties!A$1:CB$87,Formula!H53,39)&lt;&gt;"",INDEX(Properties!A$1:CB$87,Formula!H53,39)),IF(INDEX(Properties!A$1:CB$87,Formula!J53,39)&lt;&gt;"",INDEX(Properties!A$1:CB$87,Formula!J53,39)))</f>
        <v>0.63673600000000008</v>
      </c>
      <c r="DO53" s="45">
        <f>MAX(INDEX(Properties!A$1:CB$87,Formula!B53,39),INDEX(Properties!A$1:CB$87,Formula!D53,39),INDEX(Properties!A$1:CB$87,Formula!F53,39),INDEX(Properties!A$1:CB$87,Formula!H53,39),INDEX(Properties!A$1:CB$87,Formula!J53,39))</f>
        <v>2.06</v>
      </c>
      <c r="DP53" s="45">
        <f>MIN(IF(INDEX(Properties!A$1:CB$87,Formula!B53,39)=0,10^6,INDEX(Properties!A$1:CB$87,Formula!B53,39)),IF(INDEX(Properties!A$1:CB$87,Formula!D53,39)=0,10^6,INDEX(Properties!A$1:CB$87,Formula!D53,39)),IF(INDEX(Properties!A$1:CB$87,Formula!F53,39)=0,10^6,INDEX(Properties!A$1:CB$87,Formula!F53,39)),IF(INDEX(Properties!A$1:CB$87,Formula!H53,39)=0,10^6,INDEX(Properties!A$1:CB$87,Formula!H53,39)),IF(INDEX(Properties!A$1:CB$87,Formula!J53,39)=0,10^6,INDEX(Properties!A$1:CB$87,Formula!J53,39)))</f>
        <v>0.48</v>
      </c>
      <c r="DQ53" s="45">
        <f t="shared" si="19"/>
        <v>1.58</v>
      </c>
      <c r="DR53" s="63">
        <f>((Formula!C53)/(Formula!C53+Formula!E53+Formula!G53+Formula!I53+Formula!K53))*(INDEX(Properties!A$1:CB$87,Formula!B53,40))+((Formula!E53)/(Formula!C53+Formula!E53+Formula!G53+Formula!I53+Formula!K53))*(INDEX(Properties!A$1:CB$87,Formula!D53,40))+((Formula!G53)/(Formula!C53+Formula!E53+Formula!G53+Formula!I53+Formula!K53))*(INDEX(Properties!A$1:CB$87,Formula!F53,40))+((Formula!I53)/(Formula!C53+Formula!E53+Formula!G53+Formula!I53+Formula!K53))*(INDEX(Properties!A$1:CB$87,Formula!H53,40))+((Formula!K53)/(Formula!C53+Formula!E53+Formula!G53+Formula!I53+Formula!K53))*(INDEX(Properties!A$1:CB$87,Formula!J53,40))</f>
        <v>0.98</v>
      </c>
      <c r="DS53" s="63">
        <f>Formula!C53*(INDEX(Properties!A$1:CB$87,Formula!B53,40))+Formula!E53*(INDEX(Properties!A$1:CB$87,Formula!D53,40))+Formula!G53*(INDEX(Properties!A$1:CB$87,Formula!F53,40))+Formula!I53*(INDEX(Properties!A$1:CB$87,Formula!H53,40))+Formula!K53*(INDEX(Properties!A$1:CB$87,Formula!J53,40))</f>
        <v>2.94</v>
      </c>
      <c r="DT53" s="63">
        <f>VARP(IF(INDEX(Properties!A$1:CB$87,Formula!B53,40)&lt;&gt;"",INDEX(Properties!A$1:CB$87,Formula!B53,40)),IF(INDEX(Properties!A$1:CB$87,Formula!D53,40)&lt;&gt;"",INDEX(Properties!A$1:CB$87,Formula!D53,40)),IF(INDEX(Properties!A$1:CB$87,Formula!F53,40)&lt;&gt;"",INDEX(Properties!A$1:CB$87,Formula!F53,40)),IF(INDEX(Properties!A$1:CB$87,Formula!H53,40)&lt;&gt;"",INDEX(Properties!A$1:CB$87,Formula!H53,40)),IF(INDEX(Properties!A$1:CB$87,Formula!J53,40)&lt;&gt;"",INDEX(Properties!A$1:CB$87,Formula!J53,40)))</f>
        <v>0.349296</v>
      </c>
      <c r="DU53" s="63">
        <f>MAX(INDEX(Properties!A$1:CB$87,Formula!B53,40),INDEX(Properties!A$1:CB$87,Formula!D53,40),INDEX(Properties!A$1:CB$87,Formula!F53,40),INDEX(Properties!A$1:CB$87,Formula!H53,40),INDEX(Properties!A$1:CB$87,Formula!J53,40))</f>
        <v>1.48</v>
      </c>
      <c r="DV53" s="63">
        <f>MIN(IF(INDEX(Properties!A$1:CB$87,Formula!B53,40)=0,10^6,INDEX(Properties!A$1:CB$87,Formula!B53,40)),IF(INDEX(Properties!A$1:CB$87,Formula!D53,40)=0,10^6,INDEX(Properties!A$1:CB$87,Formula!D53,40)),IF(INDEX(Properties!A$1:CB$87,Formula!F53,40)=0,10^6,INDEX(Properties!A$1:CB$87,Formula!F53,40)),IF(INDEX(Properties!A$1:CB$87,Formula!H53,40)=0,10^6,INDEX(Properties!A$1:CB$87,Formula!H53,40)),IF(INDEX(Properties!A$1:CB$87,Formula!J53,40)=0,10^6,INDEX(Properties!A$1:CB$87,Formula!J53,40)))</f>
        <v>0.73</v>
      </c>
      <c r="DW53" s="63">
        <f t="shared" si="20"/>
        <v>0.75</v>
      </c>
      <c r="DX53" s="75">
        <f>((Formula!C53)/(Formula!C53+Formula!E53+Formula!G53+Formula!I53+Formula!K53))*(INDEX(Properties!A$1:CB$87,Formula!B53,41))+((Formula!E53)/(Formula!C53+Formula!E53+Formula!G53+Formula!I53+Formula!K53))*(INDEX(Properties!A$1:CB$87,Formula!D53,41))+((Formula!G53)/(Formula!C53+Formula!E53+Formula!G53+Formula!I53+Formula!K53))*(INDEX(Properties!A$1:CB$87,Formula!F53,41))+((Formula!I53)/(Formula!C53+Formula!E53+Formula!G53+Formula!I53+Formula!K53))*(INDEX(Properties!A$1:CB$87,Formula!H53,41))+((Formula!K53)/(Formula!C53+Formula!E53+Formula!G53+Formula!I53+Formula!K53))*(INDEX(Properties!A$1:CB$87,Formula!J53,41))</f>
        <v>1.1266666666666665</v>
      </c>
      <c r="DY53" s="75">
        <f>Formula!C53*(INDEX(Properties!A$1:CB$87,Formula!B53,41))+Formula!E53*(INDEX(Properties!A$1:CB$87,Formula!D53,41))+Formula!G53*(INDEX(Properties!A$1:CB$87,Formula!F53,41))+Formula!I53*(INDEX(Properties!A$1:CB$87,Formula!H53,41))+Formula!K53*(INDEX(Properties!A$1:CB$87,Formula!J53,41))</f>
        <v>3.38</v>
      </c>
      <c r="DZ53" s="75">
        <f>VARP(IF(INDEX(Properties!A$1:CB$87,Formula!B53,41)&lt;&gt;"",INDEX(Properties!A$1:CB$87,Formula!B53,41)),IF(INDEX(Properties!A$1:CB$87,Formula!D53,41)&lt;&gt;"",INDEX(Properties!A$1:CB$87,Formula!D53,41)),IF(INDEX(Properties!A$1:CB$87,Formula!F53,41)&lt;&gt;"",INDEX(Properties!A$1:CB$87,Formula!F53,41)),IF(INDEX(Properties!A$1:CB$87,Formula!H53,41)&lt;&gt;"",INDEX(Properties!A$1:CB$87,Formula!H53,41)),IF(INDEX(Properties!A$1:CB$87,Formula!J53,41)&lt;&gt;"",INDEX(Properties!A$1:CB$87,Formula!J53,41)))</f>
        <v>0.28566399999999992</v>
      </c>
      <c r="EA53" s="75">
        <f>MAX(INDEX(Properties!A$1:CB$87,Formula!B53,41),INDEX(Properties!A$1:CB$87,Formula!D53,41),INDEX(Properties!A$1:CB$87,Formula!F53,41),INDEX(Properties!A$1:CB$87,Formula!H53,41),INDEX(Properties!A$1:CB$87,Formula!J53,41))</f>
        <v>1.26</v>
      </c>
      <c r="EB53" s="75">
        <f>MIN(IF(INDEX(Properties!A$1:CB$87,Formula!B53,41)=0,10^6,INDEX(Properties!A$1:CB$87,Formula!B53,41)),IF(INDEX(Properties!A$1:CB$87,Formula!D53,41)=0,10^6,INDEX(Properties!A$1:CB$87,Formula!D53,41)),IF(INDEX(Properties!A$1:CB$87,Formula!F53,41)=0,10^6,INDEX(Properties!A$1:CB$87,Formula!F53,41)),IF(INDEX(Properties!A$1:CB$87,Formula!H53,41)=0,10^6,INDEX(Properties!A$1:CB$87,Formula!H53,41)),IF(INDEX(Properties!A$1:CB$87,Formula!J53,41)=0,10^6,INDEX(Properties!A$1:CB$87,Formula!J53,41)))</f>
        <v>0.86</v>
      </c>
      <c r="EC53" s="75">
        <f t="shared" si="21"/>
        <v>0.4</v>
      </c>
      <c r="ED53" s="48">
        <f>((Formula!C53)/(Formula!C53+Formula!E53+Formula!G53+Formula!I53+Formula!K53))*(INDEX(Properties!A$1:CB$87,Formula!B53,45))+((Formula!E53)/(Formula!C53+Formula!E53+Formula!G53+Formula!I53+Formula!K53))*(INDEX(Properties!A$1:CB$87,Formula!D53,45))+((Formula!G53)/(Formula!C53+Formula!E53+Formula!G53+Formula!I53+Formula!K53))*(INDEX(Properties!A$1:CB$87,Formula!F53,45))+((Formula!I53)/(Formula!C53+Formula!E53+Formula!G53+Formula!I53+Formula!K53))*(INDEX(Properties!A$1:CB$87,Formula!H53,45))+((Formula!K53)/(Formula!C53+Formula!E53+Formula!G53+Formula!I53+Formula!K53))*(INDEX(Properties!A$1:CB$87,Formula!J53,45))</f>
        <v>1.2566666666666666</v>
      </c>
      <c r="EE53" s="48">
        <f>Formula!C53*(INDEX(Properties!A$1:CB$87,Formula!B53,45))+Formula!E53*(INDEX(Properties!A$1:CB$87,Formula!D53,45))+Formula!G53*(INDEX(Properties!A$1:CB$87,Formula!F53,45))+Formula!I53*(INDEX(Properties!A$1:CB$87,Formula!H53,45))+Formula!K53*(INDEX(Properties!A$1:CB$87,Formula!J53,45))</f>
        <v>3.77</v>
      </c>
      <c r="EF53" s="48">
        <f>VARP(IF(INDEX(Properties!A$1:CB$87,Formula!B53,45)&lt;&gt;"",INDEX(Properties!A$1:CB$87,Formula!B53,45)),IF(INDEX(Properties!A$1:CB$87,Formula!D53,45)&lt;&gt;"",INDEX(Properties!A$1:CB$87,Formula!D53,45)),IF(INDEX(Properties!A$1:CB$87,Formula!F53,45)&lt;&gt;"",INDEX(Properties!A$1:CB$87,Formula!F53,45)),IF(INDEX(Properties!A$1:CB$87,Formula!H53,45)&lt;&gt;"",INDEX(Properties!A$1:CB$87,Formula!H53,45)),IF(INDEX(Properties!A$1:CB$87,Formula!J53,45)&lt;&gt;"",INDEX(Properties!A$1:CB$87,Formula!J53,45)))</f>
        <v>1.2103600000000001</v>
      </c>
      <c r="EG53" s="48">
        <f>MAX(INDEX(Properties!A$1:CB$87,Formula!B53,45),INDEX(Properties!A$1:CB$87,Formula!D53,45),INDEX(Properties!A$1:CB$87,Formula!F53,45),INDEX(Properties!A$1:CB$87,Formula!H53,45),INDEX(Properties!A$1:CB$87,Formula!J53,45))</f>
        <v>2.83</v>
      </c>
      <c r="EH53" s="48">
        <f>MIN(IF(INDEX(Properties!A$1:CB$87,Formula!B53,45)=0,10^6,INDEX(Properties!A$1:CB$87,Formula!B53,45)),IF(INDEX(Properties!A$1:CB$87,Formula!D53,45)=0,10^6,INDEX(Properties!A$1:CB$87,Formula!D53,45)),IF(INDEX(Properties!A$1:CB$87,Formula!F53,45)=0,10^6,INDEX(Properties!A$1:CB$87,Formula!F53,45)),IF(INDEX(Properties!A$1:CB$87,Formula!H53,45)=0,10^6,INDEX(Properties!A$1:CB$87,Formula!H53,45)),IF(INDEX(Properties!A$1:CB$87,Formula!J53,45)=0,10^6,INDEX(Properties!A$1:CB$87,Formula!J53,45)))</f>
        <v>0.47</v>
      </c>
      <c r="EI53" s="48">
        <f t="shared" si="22"/>
        <v>2.3600000000000003</v>
      </c>
      <c r="EJ53" s="66">
        <f>((Formula!C53)/(Formula!C53+Formula!E53+Formula!G53+Formula!I53+Formula!K53))*(INDEX(Properties!A$1:CB$87,Formula!B53,46))+((Formula!E53)/(Formula!C53+Formula!E53+Formula!G53+Formula!I53+Formula!K53))*(INDEX(Properties!A$1:CB$87,Formula!D53,46))+((Formula!G53)/(Formula!C53+Formula!E53+Formula!G53+Formula!I53+Formula!K53))*(INDEX(Properties!A$1:CB$87,Formula!F53,46))+((Formula!I53)/(Formula!C53+Formula!E53+Formula!G53+Formula!I53+Formula!K53))*(INDEX(Properties!A$1:CB$87,Formula!H53,46))+((Formula!K53)/(Formula!C53+Formula!E53+Formula!G53+Formula!I53+Formula!K53))*(INDEX(Properties!A$1:CB$87,Formula!J53,46))</f>
        <v>1.0933333333333333</v>
      </c>
      <c r="EK53" s="66">
        <f>Formula!C53*(INDEX(Properties!A$1:CB$87,Formula!B53,46))+Formula!E53*(INDEX(Properties!A$1:CB$87,Formula!D53,46))+Formula!G53*(INDEX(Properties!A$1:CB$87,Formula!F53,46))+Formula!I53*(INDEX(Properties!A$1:CB$87,Formula!H53,46))+Formula!K53*(INDEX(Properties!A$1:CB$87,Formula!J53,46))</f>
        <v>3.28</v>
      </c>
      <c r="EL53" s="66">
        <f>VARP(IF(INDEX(Properties!A$1:CB$87,Formula!B53,46)&lt;&gt;"",INDEX(Properties!A$1:CB$87,Formula!B53,46)),IF(INDEX(Properties!A$1:CB$87,Formula!D53,46)&lt;&gt;"",INDEX(Properties!A$1:CB$87,Formula!D53,46)),IF(INDEX(Properties!A$1:CB$87,Formula!F53,46)&lt;&gt;"",INDEX(Properties!A$1:CB$87,Formula!F53,46)),IF(INDEX(Properties!A$1:CB$87,Formula!H53,46)&lt;&gt;"",INDEX(Properties!A$1:CB$87,Formula!H53,46)),IF(INDEX(Properties!A$1:CB$87,Formula!J53,46)&lt;&gt;"",INDEX(Properties!A$1:CB$87,Formula!J53,46)))</f>
        <v>0.26934400000000003</v>
      </c>
      <c r="EM53" s="66">
        <f>MAX(INDEX(Properties!A$1:CB$87,Formula!B53,46),INDEX(Properties!A$1:CB$87,Formula!D53,46),INDEX(Properties!A$1:CB$87,Formula!F53,46),INDEX(Properties!A$1:CB$87,Formula!H53,46),INDEX(Properties!A$1:CB$87,Formula!J53,46))</f>
        <v>1.21</v>
      </c>
      <c r="EN53" s="66">
        <f>MIN(IF(INDEX(Properties!A$1:CB$87,Formula!B53,46)=0,10^6,INDEX(Properties!A$1:CB$87,Formula!B53,46)),IF(INDEX(Properties!A$1:CB$87,Formula!D53,46)=0,10^6,INDEX(Properties!A$1:CB$87,Formula!D53,46)),IF(INDEX(Properties!A$1:CB$87,Formula!F53,46)=0,10^6,INDEX(Properties!A$1:CB$87,Formula!F53,46)),IF(INDEX(Properties!A$1:CB$87,Formula!H53,46)=0,10^6,INDEX(Properties!A$1:CB$87,Formula!H53,46)),IF(INDEX(Properties!A$1:CB$87,Formula!J53,46)=0,10^6,INDEX(Properties!A$1:CB$87,Formula!J53,46)))</f>
        <v>0.86</v>
      </c>
      <c r="EO53" s="66">
        <f t="shared" si="23"/>
        <v>0.35</v>
      </c>
      <c r="EP53" s="81">
        <f>((Formula!C53)/(Formula!C53+Formula!E53+Formula!G53+Formula!I53+Formula!K53))*(INDEX(Properties!A$1:CB$87,Formula!B53,52))+((Formula!E53)/(Formula!C53+Formula!E53+Formula!G53+Formula!I53+Formula!K53))*(INDEX(Properties!A$1:CB$87,Formula!D53,52))+((Formula!G53)/(Formula!C53+Formula!E53+Formula!G53+Formula!I53+Formula!K53))*(INDEX(Properties!A$1:CB$87,Formula!F53,52))+((Formula!I53)/(Formula!C53+Formula!E53+Formula!G53+Formula!I53+Formula!K53))*(INDEX(Properties!A$1:CB$87,Formula!H53,52))+((Formula!K53)/(Formula!C53+Formula!E53+Formula!G53+Formula!I53+Formula!K53))*(INDEX(Properties!A$1:CB$87,Formula!J53,52))</f>
        <v>6.495333333333333</v>
      </c>
      <c r="EQ53" s="81">
        <f>Formula!C53*(INDEX(Properties!A$1:CB$87,Formula!B53,52))+Formula!E53*(INDEX(Properties!A$1:CB$87,Formula!D53,52))+Formula!G53*(INDEX(Properties!A$1:CB$87,Formula!F53,52))+Formula!I53*(INDEX(Properties!A$1:CB$87,Formula!H53,52))+Formula!K53*(INDEX(Properties!A$1:CB$87,Formula!J53,52))</f>
        <v>19.485999999999997</v>
      </c>
      <c r="ER53" s="81">
        <f>VARP(IF(INDEX(Properties!A$1:CB$87,Formula!B53,52)&lt;&gt;"",INDEX(Properties!A$1:CB$87,Formula!B53,52)),IF(INDEX(Properties!A$1:CB$87,Formula!D53,52)&lt;&gt;"",INDEX(Properties!A$1:CB$87,Formula!D53,52)),IF(INDEX(Properties!A$1:CB$87,Formula!F53,52)&lt;&gt;"",INDEX(Properties!A$1:CB$87,Formula!F53,52)),IF(INDEX(Properties!A$1:CB$87,Formula!H53,52)&lt;&gt;"",INDEX(Properties!A$1:CB$87,Formula!H53,52)),IF(INDEX(Properties!A$1:CB$87,Formula!J53,52)&lt;&gt;"",INDEX(Properties!A$1:CB$87,Formula!J53,52)))</f>
        <v>50.230639840000002</v>
      </c>
      <c r="ES53" s="81">
        <f>MAX(INDEX(Properties!A$1:CB$87,Formula!B53,52),INDEX(Properties!A$1:CB$87,Formula!D53,52),INDEX(Properties!A$1:CB$87,Formula!F53,52),INDEX(Properties!A$1:CB$87,Formula!H53,52),INDEX(Properties!A$1:CB$87,Formula!J53,52))</f>
        <v>17.899999999999999</v>
      </c>
      <c r="ET53" s="81">
        <f>MIN(IF(INDEX(Properties!A$1:CB$87,Formula!B53,52)=0,10^6,INDEX(Properties!A$1:CB$87,Formula!B53,52)),IF(INDEX(Properties!A$1:CB$87,Formula!D53,52)=0,10^6,INDEX(Properties!A$1:CB$87,Formula!D53,52)),IF(INDEX(Properties!A$1:CB$87,Formula!F53,52)=0,10^6,INDEX(Properties!A$1:CB$87,Formula!F53,52)),IF(INDEX(Properties!A$1:CB$87,Formula!H53,52)=0,10^6,INDEX(Properties!A$1:CB$87,Formula!H53,52)),IF(INDEX(Properties!A$1:CB$87,Formula!J53,52)=0,10^6,INDEX(Properties!A$1:CB$87,Formula!J53,52)))</f>
        <v>0.79300000000000004</v>
      </c>
      <c r="EU53" s="81">
        <f t="shared" si="24"/>
        <v>17.106999999999999</v>
      </c>
      <c r="EV53" s="39">
        <f>((Formula!C53)/(Formula!C53+Formula!E53+Formula!G53+Formula!I53+Formula!K53))*(INDEX(Properties!A$1:CB$87,Formula!B53,53))+((Formula!E53)/(Formula!C53+Formula!E53+Formula!G53+Formula!I53+Formula!K53))*(INDEX(Properties!A$1:CB$87,Formula!D53,53))+((Formula!G53)/(Formula!C53+Formula!E53+Formula!G53+Formula!I53+Formula!K53))*(INDEX(Properties!A$1:CB$87,Formula!F53,53))+((Formula!I53)/(Formula!C53+Formula!E53+Formula!G53+Formula!I53+Formula!K53))*(INDEX(Properties!A$1:CB$87,Formula!H53,53))+((Formula!K53)/(Formula!C53+Formula!E53+Formula!G53+Formula!I53+Formula!K53))*(INDEX(Properties!A$1:CB$87,Formula!J53,53))</f>
        <v>744.88333333333333</v>
      </c>
      <c r="EW53" s="39">
        <f>Formula!C53*(INDEX(Properties!A$1:CB$87,Formula!B53,53))+Formula!E53*(INDEX(Properties!A$1:CB$87,Formula!D53,53))+Formula!G53*(INDEX(Properties!A$1:CB$87,Formula!F53,53))+Formula!I53*(INDEX(Properties!A$1:CB$87,Formula!H53,53))+Formula!K53*(INDEX(Properties!A$1:CB$87,Formula!J53,53))</f>
        <v>2234.65</v>
      </c>
      <c r="EX53" s="39">
        <f>VARP(IF(INDEX(Properties!A$1:CB$87,Formula!B53,53)&lt;&gt;"",INDEX(Properties!A$1:CB$87,Formula!B53,53)),IF(INDEX(Properties!A$1:CB$87,Formula!D53,53)&lt;&gt;"",INDEX(Properties!A$1:CB$87,Formula!D53,53)),IF(INDEX(Properties!A$1:CB$87,Formula!F53,53)&lt;&gt;"",INDEX(Properties!A$1:CB$87,Formula!F53,53)),IF(INDEX(Properties!A$1:CB$87,Formula!H53,53)&lt;&gt;"",INDEX(Properties!A$1:CB$87,Formula!H53,53)),IF(INDEX(Properties!A$1:CB$87,Formula!J53,53)&lt;&gt;"",INDEX(Properties!A$1:CB$87,Formula!J53,53)))</f>
        <v>713773.45659999992</v>
      </c>
      <c r="EY53" s="39">
        <f>MAX(INDEX(Properties!A$1:CB$87,Formula!B53,53),INDEX(Properties!A$1:CB$87,Formula!D53,53),INDEX(Properties!A$1:CB$87,Formula!F53,53),INDEX(Properties!A$1:CB$87,Formula!H53,53),INDEX(Properties!A$1:CB$87,Formula!J53,53))</f>
        <v>2125.15</v>
      </c>
      <c r="EZ53" s="39">
        <f>MIN(IF(INDEX(Properties!A$1:CB$87,Formula!B53,53)=0,10^6,INDEX(Properties!A$1:CB$87,Formula!B53,53)),IF(INDEX(Properties!A$1:CB$87,Formula!D53,53)=0,10^6,INDEX(Properties!A$1:CB$87,Formula!D53,53)),IF(INDEX(Properties!A$1:CB$87,Formula!F53,53)=0,10^6,INDEX(Properties!A$1:CB$87,Formula!F53,53)),IF(INDEX(Properties!A$1:CB$87,Formula!H53,53)=0,10^6,INDEX(Properties!A$1:CB$87,Formula!H53,53)),IF(INDEX(Properties!A$1:CB$87,Formula!J53,53)=0,10^6,INDEX(Properties!A$1:CB$87,Formula!J53,53)))</f>
        <v>54.749999999999972</v>
      </c>
      <c r="FA53" s="39">
        <f t="shared" si="25"/>
        <v>2070.4</v>
      </c>
      <c r="FB53" s="54">
        <f>((Formula!C53)/(Formula!C53+Formula!E53+Formula!G53+Formula!I53+Formula!K53))*(INDEX(Properties!A$1:CB$87,Formula!B53,54))+((Formula!E53)/(Formula!C53+Formula!E53+Formula!G53+Formula!I53+Formula!K53))*(INDEX(Properties!A$1:CB$87,Formula!D53,54))+((Formula!G53)/(Formula!C53+Formula!E53+Formula!G53+Formula!I53+Formula!K53))*(INDEX(Properties!A$1:CB$87,Formula!F53,54))+((Formula!I53)/(Formula!C53+Formula!E53+Formula!G53+Formula!I53+Formula!K53))*(INDEX(Properties!A$1:CB$87,Formula!H53,54))+((Formula!K53)/(Formula!C53+Formula!E53+Formula!G53+Formula!I53+Formula!K53))*(INDEX(Properties!A$1:CB$87,Formula!J53,54))</f>
        <v>1610.1499999999996</v>
      </c>
      <c r="FC53" s="54">
        <f>Formula!C53*(INDEX(Properties!A$1:CB$87,Formula!B53,54))+Formula!E53*(INDEX(Properties!A$1:CB$87,Formula!D53,54))+Formula!G53*(INDEX(Properties!A$1:CB$87,Formula!F53,54))+Formula!I53*(INDEX(Properties!A$1:CB$87,Formula!H53,54))+Formula!K53*(INDEX(Properties!A$1:CB$87,Formula!J53,54))</f>
        <v>4830.45</v>
      </c>
      <c r="FD53" s="54">
        <f>VARP(IF(INDEX(Properties!A$1:CB$87,Formula!B53,54)&lt;&gt;"",INDEX(Properties!A$1:CB$87,Formula!B53,54)),IF(INDEX(Properties!A$1:CB$87,Formula!D53,54)&lt;&gt;"",INDEX(Properties!A$1:CB$87,Formula!D53,54)),IF(INDEX(Properties!A$1:CB$87,Formula!F53,54)&lt;&gt;"",INDEX(Properties!A$1:CB$87,Formula!F53,54)),IF(INDEX(Properties!A$1:CB$87,Formula!H53,54)&lt;&gt;"",INDEX(Properties!A$1:CB$87,Formula!H53,54)),IF(INDEX(Properties!A$1:CB$87,Formula!J53,54)&lt;&gt;"",INDEX(Properties!A$1:CB$87,Formula!J53,54)))</f>
        <v>3427586.6454000003</v>
      </c>
      <c r="FE53" s="54">
        <f>MAX(INDEX(Properties!A$1:CB$87,Formula!B53,54),INDEX(Properties!A$1:CB$87,Formula!D53,54),INDEX(Properties!A$1:CB$87,Formula!F53,54),INDEX(Properties!A$1:CB$87,Formula!H53,54),INDEX(Properties!A$1:CB$87,Formula!J53,54))</f>
        <v>4650.1499999999996</v>
      </c>
      <c r="FF53" s="54">
        <f>MIN(IF(INDEX(Properties!A$1:CB$87,Formula!B53,54)=0,10^6,INDEX(Properties!A$1:CB$87,Formula!B53,54)),IF(INDEX(Properties!A$1:CB$87,Formula!D53,54)=0,10^6,INDEX(Properties!A$1:CB$87,Formula!D53,54)),IF(INDEX(Properties!A$1:CB$87,Formula!F53,54)=0,10^6,INDEX(Properties!A$1:CB$87,Formula!F53,54)),IF(INDEX(Properties!A$1:CB$87,Formula!H53,54)=0,10^6,INDEX(Properties!A$1:CB$87,Formula!H53,54)),IF(INDEX(Properties!A$1:CB$87,Formula!J53,54)=0,10^6,INDEX(Properties!A$1:CB$87,Formula!J53,54)))</f>
        <v>90.149999999999977</v>
      </c>
      <c r="FG53" s="54">
        <f t="shared" si="26"/>
        <v>4560</v>
      </c>
      <c r="FH53" s="69">
        <f>((Formula!C53)/(Formula!C53+Formula!E53+Formula!G53+Formula!I53+Formula!K53))*(INDEX(Properties!A$1:CB$87,Formula!B53,55))+((Formula!E53)/(Formula!C53+Formula!E53+Formula!G53+Formula!I53+Formula!K53))*(INDEX(Properties!A$1:CB$87,Formula!D53,55))+((Formula!G53)/(Formula!C53+Formula!E53+Formula!G53+Formula!I53+Formula!K53))*(INDEX(Properties!A$1:CB$87,Formula!F53,55))+((Formula!I53)/(Formula!C53+Formula!E53+Formula!G53+Formula!I53+Formula!K53))*(INDEX(Properties!A$1:CB$87,Formula!H53,55))+((Formula!K53)/(Formula!C53+Formula!E53+Formula!G53+Formula!I53+Formula!K53))*(INDEX(Properties!A$1:CB$87,Formula!J53,55))</f>
        <v>2.1709533333333333</v>
      </c>
      <c r="FI53" s="69">
        <f>Formula!C53*(INDEX(Properties!A$1:CB$87,Formula!B53,55))+Formula!E53*(INDEX(Properties!A$1:CB$87,Formula!D53,54))+Formula!G53*(INDEX(Properties!A$1:CB$87,Formula!F53,55))+Formula!I53*(INDEX(Properties!A$1:CB$87,Formula!H53,55))+Formula!K53*(INDEX(Properties!A$1:CB$87,Formula!J53,55))</f>
        <v>186.80999999999995</v>
      </c>
      <c r="FJ53" s="69">
        <f>VARP(IF(INDEX(Properties!A$1:CB$87,Formula!B53,55)&lt;&gt;"",INDEX(Properties!A$1:CB$87,Formula!B53,55)),IF(INDEX(Properties!A$1:CB$87,Formula!D53,55)&lt;&gt;"",INDEX(Properties!A$1:CB$87,Formula!D53,55)),IF(INDEX(Properties!A$1:CB$87,Formula!F53,55)&lt;&gt;"",INDEX(Properties!A$1:CB$87,Formula!F53,55)),IF(INDEX(Properties!A$1:CB$87,Formula!H53,55)&lt;&gt;"",INDEX(Properties!A$1:CB$87,Formula!H53,55)),IF(INDEX(Properties!A$1:CB$87,Formula!J53,55)&lt;&gt;"",INDEX(Properties!A$1:CB$87,Formula!J53,55)))</f>
        <v>6.780071583184001</v>
      </c>
      <c r="FK53" s="69">
        <f>MAX(INDEX(Properties!A$1:CB$87,Formula!B53,55),INDEX(Properties!A$1:CB$87,Formula!D53,55),INDEX(Properties!A$1:CB$87,Formula!F53,55),INDEX(Properties!A$1:CB$87,Formula!H53,55),INDEX(Properties!A$1:CB$87,Formula!J53,55))</f>
        <v>6.51</v>
      </c>
      <c r="FL53" s="69">
        <f>MIN(IF(INDEX(Properties!A$1:CB$87,Formula!B53,55)=0,10^6,INDEX(Properties!A$1:CB$87,Formula!B53,55)),IF(INDEX(Properties!A$1:CB$87,Formula!D53,55)=0,10^6,INDEX(Properties!A$1:CB$87,Formula!D53,55)),IF(INDEX(Properties!A$1:CB$87,Formula!F53,55)=0,10^6,INDEX(Properties!A$1:CB$87,Formula!F53,55)),IF(INDEX(Properties!A$1:CB$87,Formula!H53,55)=0,10^6,INDEX(Properties!A$1:CB$87,Formula!H53,55)),IF(INDEX(Properties!A$1:CB$87,Formula!J53,55)=0,10^6,INDEX(Properties!A$1:CB$87,Formula!J53,55)))</f>
        <v>1.4300000000000001E-3</v>
      </c>
      <c r="FM53" s="69">
        <f t="shared" si="27"/>
        <v>6.5085699999999997</v>
      </c>
      <c r="FN53" s="42">
        <f>((Formula!C53)/(Formula!C53+Formula!E53+Formula!G53+Formula!I53+Formula!K53))*(INDEX(Properties!A$1:CB$87,Formula!B53,56))+((Formula!E53)/(Formula!C53+Formula!E53+Formula!G53+Formula!I53+Formula!K53))*(INDEX(Properties!A$1:CB$87,Formula!D53,56))+((Formula!G53)/(Formula!C53+Formula!E53+Formula!G53+Formula!I53+Formula!K53))*(INDEX(Properties!A$1:CB$87,Formula!F53,56))+((Formula!I53)/(Formula!C53+Formula!E53+Formula!G53+Formula!I53+Formula!K53))*(INDEX(Properties!A$1:CB$87,Formula!H53,56))+((Formula!K53)/(Formula!C53+Formula!E53+Formula!G53+Formula!I53+Formula!K53))*(INDEX(Properties!A$1:CB$87,Formula!J53,56))</f>
        <v>0.70333333333333325</v>
      </c>
      <c r="FO53" s="42">
        <f>Formula!C53*(INDEX(Properties!A$1:CB$87,Formula!B53,56))+Formula!E53*(INDEX(Properties!A$1:CB$87,Formula!D53,56))+Formula!G53*(INDEX(Properties!A$1:CB$87,Formula!F53,56))+Formula!I53*(INDEX(Properties!A$1:CB$87,Formula!H53,56))+Formula!K53*(INDEX(Properties!A$1:CB$87,Formula!J53,56))</f>
        <v>2.1100000000000003</v>
      </c>
      <c r="FP53" s="42">
        <f>VARP(IF(INDEX(Properties!A$1:CB$87,Formula!B53,56)&lt;&gt;"",INDEX(Properties!A$1:CB$87,Formula!B53,56)),IF(INDEX(Properties!A$1:CB$87,Formula!D53,56)&lt;&gt;"",INDEX(Properties!A$1:CB$87,Formula!D53,56)),IF(INDEX(Properties!A$1:CB$87,Formula!F53,56)&lt;&gt;"",INDEX(Properties!A$1:CB$87,Formula!F53,56)),IF(INDEX(Properties!A$1:CB$87,Formula!H53,56)&lt;&gt;"",INDEX(Properties!A$1:CB$87,Formula!H53,56)),IF(INDEX(Properties!A$1:CB$87,Formula!J53,56)&lt;&gt;"",INDEX(Properties!A$1:CB$87,Formula!J53,56)))</f>
        <v>0.127216</v>
      </c>
      <c r="FQ53" s="42">
        <f>MAX(INDEX(Properties!A$1:CB$87,Formula!B53,56),INDEX(Properties!A$1:CB$87,Formula!D53,56),INDEX(Properties!A$1:CB$87,Formula!F53,56),INDEX(Properties!A$1:CB$87,Formula!H53,56),INDEX(Properties!A$1:CB$87,Formula!J53,56))</f>
        <v>0.92</v>
      </c>
      <c r="FR53" s="42">
        <f>MIN(IF(INDEX(Properties!A$1:CB$87,Formula!B53,56)=0,10^6,INDEX(Properties!A$1:CB$87,Formula!B53,56)),IF(INDEX(Properties!A$1:CB$87,Formula!D53,56)=0,10^6,INDEX(Properties!A$1:CB$87,Formula!D53,56)),IF(INDEX(Properties!A$1:CB$87,Formula!F53,56)=0,10^6,INDEX(Properties!A$1:CB$87,Formula!F53,56)),IF(INDEX(Properties!A$1:CB$87,Formula!H53,56)=0,10^6,INDEX(Properties!A$1:CB$87,Formula!H53,56)),IF(INDEX(Properties!A$1:CB$87,Formula!J53,56)=0,10^6,INDEX(Properties!A$1:CB$87,Formula!J53,56)))</f>
        <v>0.27</v>
      </c>
      <c r="FS53" s="42">
        <f t="shared" si="28"/>
        <v>0.65</v>
      </c>
      <c r="FT53" s="60">
        <f>((Formula!C53)/(Formula!C53+Formula!E53+Formula!G53+Formula!I53+Formula!K53))*(INDEX(Properties!A$1:CB$87,Formula!B53,57))+((Formula!E53)/(Formula!C53+Formula!E53+Formula!G53+Formula!I53+Formula!K53))*(INDEX(Properties!A$1:CB$87,Formula!D53,57))+((Formula!G53)/(Formula!C53+Formula!E53+Formula!G53+Formula!I53+Formula!K53))*(INDEX(Properties!A$1:CB$87,Formula!F53,57))+((Formula!I53)/(Formula!C53+Formula!E53+Formula!G53+Formula!I53+Formula!K53))*(INDEX(Properties!A$1:CB$87,Formula!H53,57))+((Formula!K53)/(Formula!C53+Formula!E53+Formula!G53+Formula!I53+Formula!K53))*(INDEX(Properties!A$1:CB$87,Formula!J53,57))</f>
        <v>5.7817266666666658</v>
      </c>
      <c r="FU53" s="60">
        <f>Formula!C53*(INDEX(Properties!A$1:CB$87,Formula!B53,57))+Formula!E53*(INDEX(Properties!A$1:CB$87,Formula!D53,57))+Formula!G53*(INDEX(Properties!A$1:CB$87,Formula!F53,57))+Formula!I53*(INDEX(Properties!A$1:CB$87,Formula!H53,57))+Formula!K53*(INDEX(Properties!A$1:CB$87,Formula!J53,57))</f>
        <v>17.345179999999999</v>
      </c>
      <c r="FV53" s="60">
        <f>VARP(IF(INDEX(Properties!A$1:CB$87,Formula!B53,57)&lt;&gt;"",INDEX(Properties!A$1:CB$87,Formula!B53,57)),IF(INDEX(Properties!A$1:CB$87,Formula!D53,57)&lt;&gt;"",INDEX(Properties!A$1:CB$87,Formula!D53,57)),IF(INDEX(Properties!A$1:CB$87,Formula!F53,57)&lt;&gt;"",INDEX(Properties!A$1:CB$87,Formula!F53,57)),IF(INDEX(Properties!A$1:CB$87,Formula!H53,57)&lt;&gt;"",INDEX(Properties!A$1:CB$87,Formula!H53,57)),IF(INDEX(Properties!A$1:CB$87,Formula!J53,57)&lt;&gt;"",INDEX(Properties!A$1:CB$87,Formula!J53,57)))</f>
        <v>45.404585729295988</v>
      </c>
      <c r="FW53" s="60">
        <f>MAX(INDEX(Properties!A$1:CB$87,Formula!B53,57),INDEX(Properties!A$1:CB$87,Formula!D53,57),INDEX(Properties!A$1:CB$87,Formula!F53,57),INDEX(Properties!A$1:CB$87,Formula!H53,57),INDEX(Properties!A$1:CB$87,Formula!J53,57))</f>
        <v>16.899999999999999</v>
      </c>
      <c r="FX53" s="60">
        <f>MIN(IF(INDEX(Properties!A$1:CB$87,Formula!B53,57)=0,10^6,INDEX(Properties!A$1:CB$87,Formula!B53,57)),IF(INDEX(Properties!A$1:CB$87,Formula!D53,57)=0,10^6,INDEX(Properties!A$1:CB$87,Formula!D53,57)),IF(INDEX(Properties!A$1:CB$87,Formula!F53,57)=0,10^6,INDEX(Properties!A$1:CB$87,Formula!F53,57)),IF(INDEX(Properties!A$1:CB$87,Formula!H53,57)=0,10^6,INDEX(Properties!A$1:CB$87,Formula!H53,57)),IF(INDEX(Properties!A$1:CB$87,Formula!J53,57)=0,10^6,INDEX(Properties!A$1:CB$87,Formula!J53,57)))</f>
        <v>0.22259000000000001</v>
      </c>
      <c r="FY53" s="60">
        <f t="shared" si="29"/>
        <v>16.677409999999998</v>
      </c>
      <c r="FZ53" s="72">
        <f>((Formula!C53)/(Formula!C53+Formula!E53+Formula!G53+Formula!I53+Formula!K53))*(INDEX(Properties!A$1:CB$87,Formula!B53,60))+((Formula!E53)/(Formula!C53+Formula!E53+Formula!G53+Formula!I53+Formula!K53))*(INDEX(Properties!A$1:CB$87,Formula!D53,60))+((Formula!G53)/(Formula!C53+Formula!E53+Formula!G53+Formula!I53+Formula!K53))*(INDEX(Properties!A$1:CB$87,Formula!F53,60))+((Formula!I53)/(Formula!C53+Formula!E53+Formula!G53+Formula!I53+Formula!K53))*(INDEX(Properties!A$1:CB$87,Formula!H53,60))+((Formula!K53)/(Formula!C53+Formula!E53+Formula!G53+Formula!I53+Formula!K53))*(INDEX(Properties!A$1:CB$87,Formula!J53,60))</f>
        <v>7.5844933333333335</v>
      </c>
      <c r="GA53" s="72">
        <f>Formula!C53*(INDEX(Properties!A$1:CB$87,Formula!B53,60))+Formula!E53*(INDEX(Properties!A$1:CB$87,Formula!D53,60))+Formula!G53*(INDEX(Properties!A$1:CB$87,Formula!F53,60))+Formula!I53*(INDEX(Properties!A$1:CB$87,Formula!H53,60))+Formula!K53*(INDEX(Properties!A$1:CB$87,Formula!J53,60))</f>
        <v>22.75348</v>
      </c>
      <c r="GB53" s="72">
        <f>VARP(IF(INDEX(Properties!A$1:CB$87,Formula!B53,60)&lt;&gt;"",INDEX(Properties!A$1:CB$87,Formula!B53,60)),IF(INDEX(Properties!A$1:CB$87,Formula!D53,60)&lt;&gt;"",INDEX(Properties!A$1:CB$87,Formula!D53,60)),IF(INDEX(Properties!A$1:CB$87,Formula!F53,60)&lt;&gt;"",INDEX(Properties!A$1:CB$87,Formula!F53,60)),IF(INDEX(Properties!A$1:CB$87,Formula!H53,60)&lt;&gt;"",INDEX(Properties!A$1:CB$87,Formula!H53,60)),IF(INDEX(Properties!A$1:CB$87,Formula!J53,60)&lt;&gt;"",INDEX(Properties!A$1:CB$87,Formula!J53,60)))</f>
        <v>82.397954564415997</v>
      </c>
      <c r="GC53" s="72">
        <f>MAX(INDEX(Properties!A$1:CB$87,Formula!B53,60),INDEX(Properties!A$1:CB$87,Formula!D53,60),INDEX(Properties!A$1:CB$87,Formula!F53,60),INDEX(Properties!A$1:CB$87,Formula!H53,60),INDEX(Properties!A$1:CB$87,Formula!J53,60))</f>
        <v>22.7</v>
      </c>
      <c r="GD53" s="72">
        <f>MIN(IF(INDEX(Properties!A$1:CB$87,Formula!B53,60)=0,10^6,INDEX(Properties!A$1:CB$87,Formula!B53,60)),IF(INDEX(Properties!A$1:CB$87,Formula!D53,60)=0,10^6,INDEX(Properties!A$1:CB$87,Formula!D53,60)),IF(INDEX(Properties!A$1:CB$87,Formula!F53,60)=0,10^6,INDEX(Properties!A$1:CB$87,Formula!F53,60)),IF(INDEX(Properties!A$1:CB$87,Formula!H53,60)=0,10^6,INDEX(Properties!A$1:CB$87,Formula!H53,60)),IF(INDEX(Properties!A$1:CB$87,Formula!J53,60)=0,10^6,INDEX(Properties!A$1:CB$87,Formula!J53,60)))</f>
        <v>2.674E-2</v>
      </c>
      <c r="GE53" s="72">
        <f t="shared" si="30"/>
        <v>22.673259999999999</v>
      </c>
      <c r="GF53" s="51">
        <f>((Formula!C53)/(Formula!C53+Formula!E53+Formula!G53+Formula!I53+Formula!K53))*(INDEX(Properties!A$1:CB$87,Formula!B53,62))+((Formula!E53)/(Formula!C53+Formula!E53+Formula!G53+Formula!I53+Formula!K53))*(INDEX(Properties!A$1:CB$87,Formula!D53,62))+((Formula!G53)/(Formula!C53+Formula!E53+Formula!G53+Formula!I53+Formula!K53))*(INDEX(Properties!A$1:CB$87,Formula!F53,62))+((Formula!I53)/(Formula!C53+Formula!E53+Formula!G53+Formula!I53+Formula!K53))*(INDEX(Properties!A$1:CB$87,Formula!H53,62))+((Formula!K53)/(Formula!C53+Formula!E53+Formula!G53+Formula!I53+Formula!K53))*(INDEX(Properties!A$1:CB$87,Formula!J53,62))</f>
        <v>3.8299999999999996</v>
      </c>
      <c r="GG53" s="51">
        <f>Formula!C53*(INDEX(Properties!A$1:CB$87,Formula!B53,62))+Formula!E53*(INDEX(Properties!A$1:CB$87,Formula!D53,62))+Formula!G53*(INDEX(Properties!A$1:CB$87,Formula!F53,62))+Formula!I53*(INDEX(Properties!A$1:CB$87,Formula!H53,62))+Formula!K53*(INDEX(Properties!A$1:CB$87,Formula!J53,62))</f>
        <v>11.49</v>
      </c>
      <c r="GH53" s="51">
        <f>VARP(IF(INDEX(Properties!A$1:CB$87,Formula!B53,62)&lt;&gt;"",INDEX(Properties!A$1:CB$87,Formula!B53,62)),IF(INDEX(Properties!A$1:CB$87,Formula!D53,62)&lt;&gt;"",INDEX(Properties!A$1:CB$87,Formula!D53,62)),IF(INDEX(Properties!A$1:CB$87,Formula!F53,62)&lt;&gt;"",INDEX(Properties!A$1:CB$87,Formula!F53,62)),IF(INDEX(Properties!A$1:CB$87,Formula!H53,62)&lt;&gt;"",INDEX(Properties!A$1:CB$87,Formula!H53,62)),IF(INDEX(Properties!A$1:CB$87,Formula!J53,62)&lt;&gt;"",INDEX(Properties!A$1:CB$87,Formula!J53,62)))</f>
        <v>6.0383039999999992</v>
      </c>
      <c r="GI53" s="51">
        <f>MAX(INDEX(Properties!A$1:CB$87,Formula!B53,62),INDEX(Properties!A$1:CB$87,Formula!D53,62),INDEX(Properties!A$1:CB$87,Formula!F53,62),INDEX(Properties!A$1:CB$87,Formula!H53,62),INDEX(Properties!A$1:CB$87,Formula!J53,62))</f>
        <v>6.25</v>
      </c>
      <c r="GJ53" s="51">
        <f>MIN(IF(INDEX(Properties!A$1:CB$87,Formula!B53,62)=0,10^6,INDEX(Properties!A$1:CB$87,Formula!B53,62)),IF(INDEX(Properties!A$1:CB$87,Formula!D53,62)=0,10^6,INDEX(Properties!A$1:CB$87,Formula!D53,62)),IF(INDEX(Properties!A$1:CB$87,Formula!F53,62)=0,10^6,INDEX(Properties!A$1:CB$87,Formula!F53,62)),IF(INDEX(Properties!A$1:CB$87,Formula!H53,62)=0,10^6,INDEX(Properties!A$1:CB$87,Formula!H53,62)),IF(INDEX(Properties!A$1:CB$87,Formula!J53,62)=0,10^6,INDEX(Properties!A$1:CB$87,Formula!J53,62)))</f>
        <v>2.62</v>
      </c>
      <c r="GK53" s="51">
        <f t="shared" si="31"/>
        <v>3.63</v>
      </c>
      <c r="GL53" s="51">
        <f>Formula!P53</f>
        <v>137</v>
      </c>
      <c r="GM53" s="57">
        <f>Formula!O53</f>
        <v>4</v>
      </c>
      <c r="GN53" s="51">
        <f>Formula!N53</f>
        <v>0.02</v>
      </c>
    </row>
    <row r="54" spans="1:196" x14ac:dyDescent="0.3">
      <c r="A54" s="84" t="str">
        <f>Formula!A54</f>
        <v>CaAl2Si2O8</v>
      </c>
      <c r="B54" s="89">
        <f>((Formula!C54)/(Formula!C54+Formula!E54+Formula!G54+Formula!I54+Formula!K54))*(INDEX(Properties!A$1:CB$87,Formula!B54,3))+((Formula!E54)/(Formula!C54+Formula!E54+Formula!G54+Formula!I54+Formula!K54))*(INDEX(Properties!A$1:CB$87,Formula!D54,3))+((Formula!G54)/(Formula!C54+Formula!E54+Formula!G54+Formula!I54+Formula!K54))*(INDEX(Properties!A$1:CB$87,Formula!F54,3))+((Formula!I54)/(Formula!C54+Formula!E54+Formula!G54+Formula!I54+Formula!K54))*(INDEX(Properties!A$1:CB$87,Formula!H54,3))+((Formula!K54)/(Formula!C54+Formula!E54+Formula!G54+Formula!I54+Formula!K54))*(INDEX(Properties!A$1:CB$87,Formula!J54,3))</f>
        <v>21.400559846153847</v>
      </c>
      <c r="C54" s="85">
        <f>Formula!C54*(INDEX(Properties!A$1:CB$87,Formula!B54,3))+Formula!E54*(INDEX(Properties!A$1:CB$87,Formula!D54,3))+Formula!G54*(INDEX(Properties!A$1:CB$87,Formula!F54,3))+Formula!I54*(INDEX(Properties!A$1:CB$87,Formula!H54,3))+Formula!K54*(INDEX(Properties!A$1:CB$87,Formula!J54,3))</f>
        <v>278.20727799999997</v>
      </c>
      <c r="D54" s="85">
        <f>VARP(IF(INDEX(Properties!A$1:CB$87,Formula!B54,3)&lt;&gt;"",INDEX(Properties!A$1:CB$87,Formula!B54,3)),IF(INDEX(Properties!A$1:CB$87,Formula!D54,3)&lt;&gt;"",INDEX(Properties!A$1:CB$87,Formula!D54,3)),IF(INDEX(Properties!A$1:CB$87,Formula!F54,3)&lt;&gt;"",INDEX(Properties!A$1:CB$87,Formula!F54,3)),IF(INDEX(Properties!A$1:CB$87,Formula!H54,3)&lt;&gt;"",INDEX(Properties!A$1:CB$87,Formula!H54,3)),IF(INDEX(Properties!A$1:CB$87,Formula!J54,3)&lt;&gt;"",INDEX(Properties!A$1:CB$87,Formula!J54,3)))</f>
        <v>181.68167545871546</v>
      </c>
      <c r="E54" s="85">
        <f>MAX(INDEX(Properties!A$1:CB$87,Formula!B54,3),INDEX(Properties!A$1:CB$87,Formula!D54,3),INDEX(Properties!A$1:CB$87,Formula!F54,3),INDEX(Properties!A$1:CB$87,Formula!H54,3),INDEX(Properties!A$1:CB$87,Formula!J54,3))</f>
        <v>40.078000000000003</v>
      </c>
      <c r="F54" s="85">
        <f>MIN(IF(INDEX(Properties!A$1:CB$87,Formula!B54,3)=0,10^6,INDEX(Properties!A$1:CB$87,Formula!B54,3)),IF(INDEX(Properties!A$1:CB$87,Formula!D54,3)=0,10^6,INDEX(Properties!A$1:CB$87,Formula!D54,3)),IF(INDEX(Properties!A$1:CB$87,Formula!F54,3)=0,10^6,INDEX(Properties!A$1:CB$87,Formula!F54,3)),IF(INDEX(Properties!A$1:CB$87,Formula!H54,3)=0,10^6,INDEX(Properties!A$1:CB$87,Formula!H54,3)),IF(INDEX(Properties!A$1:CB$87,Formula!J54,3)=0,10^6,INDEX(Properties!A$1:CB$87,Formula!J54,3)))</f>
        <v>15.9994</v>
      </c>
      <c r="G54" s="85">
        <f t="shared" si="0"/>
        <v>24.078600000000002</v>
      </c>
      <c r="H54" s="87">
        <f>((Formula!C54)/(Formula!C54+Formula!E54+Formula!G54+Formula!I54+Formula!K54))*(INDEX(Properties!A$1:CB$87,Formula!B54,4))+((Formula!E54)/(Formula!C54+Formula!E54+Formula!G54+Formula!I54+Formula!K54))*(INDEX(Properties!A$1:CB$87,Formula!D54,4))+((Formula!G54)/(Formula!C54+Formula!E54+Formula!G54+Formula!I54+Formula!K54))*(INDEX(Properties!A$1:CB$87,Formula!F54,4))+((Formula!I54)/(Formula!C54+Formula!E54+Formula!G54+Formula!I54+Formula!K54))*(INDEX(Properties!A$1:CB$87,Formula!H54,4))+((Formula!K54)/(Formula!C54+Formula!E54+Formula!G54+Formula!I54+Formula!K54))*(INDEX(Properties!A$1:CB$87,Formula!J54,4))</f>
        <v>10.615384615384617</v>
      </c>
      <c r="I54" s="87">
        <f>Formula!C54*(INDEX(Properties!A$1:CB$87,Formula!B54,4))+Formula!E54*(INDEX(Properties!A$1:CB$87,Formula!D54,4))+Formula!G54*(INDEX(Properties!A$1:CB$87,Formula!F54,4))+Formula!I54*(INDEX(Properties!A$1:CB$87,Formula!H54,4))+Formula!K54*(INDEX(Properties!A$1:CB$87,Formula!J54,4))</f>
        <v>138</v>
      </c>
      <c r="J54" s="87">
        <f>VARP(IF(INDEX(Properties!A$1:CB$87,Formula!B54,4)&lt;&gt;"",INDEX(Properties!A$1:CB$87,Formula!B54,4)),IF(INDEX(Properties!A$1:CB$87,Formula!D54,4)&lt;&gt;"",INDEX(Properties!A$1:CB$87,Formula!D54,4)),IF(INDEX(Properties!A$1:CB$87,Formula!F54,4)&lt;&gt;"",INDEX(Properties!A$1:CB$87,Formula!F54,4)),IF(INDEX(Properties!A$1:CB$87,Formula!H54,4)&lt;&gt;"",INDEX(Properties!A$1:CB$87,Formula!H54,4)),IF(INDEX(Properties!A$1:CB$87,Formula!J54,4)&lt;&gt;"",INDEX(Properties!A$1:CB$87,Formula!J54,4)))</f>
        <v>44.8</v>
      </c>
      <c r="K54" s="87">
        <f>MAX(INDEX(Properties!A$1:CB$87,Formula!B54,4),INDEX(Properties!A$1:CB$87,Formula!D54,4),INDEX(Properties!A$1:CB$87,Formula!F54,4),INDEX(Properties!A$1:CB$87,Formula!H54,4),INDEX(Properties!A$1:CB$87,Formula!J54,4))</f>
        <v>20</v>
      </c>
      <c r="L54" s="87">
        <f>MIN(IF(INDEX(Properties!A$1:CB$87,Formula!B54,4)=0,10^6,INDEX(Properties!A$1:CB$87,Formula!B54,4)),IF(INDEX(Properties!A$1:CB$87,Formula!D54,4)=0,10^6,INDEX(Properties!A$1:CB$87,Formula!D54,4)),IF(INDEX(Properties!A$1:CB$87,Formula!F54,4)=0,10^6,INDEX(Properties!A$1:CB$87,Formula!F54,4)),IF(INDEX(Properties!A$1:CB$87,Formula!H54,4)=0,10^6,INDEX(Properties!A$1:CB$87,Formula!H54,4)),IF(INDEX(Properties!A$1:CB$87,Formula!J54,4)=0,10^6,INDEX(Properties!A$1:CB$87,Formula!J54,4)))</f>
        <v>8</v>
      </c>
      <c r="M54" s="87">
        <f t="shared" si="1"/>
        <v>12</v>
      </c>
      <c r="N54" s="89">
        <f>((Formula!C54)/(Formula!C54+Formula!E54+Formula!G54+Formula!I54+Formula!K54))*(INDEX(Properties!A$1:CB$87,Formula!B54,5))+((Formula!E54)/(Formula!C54+Formula!E54+Formula!G54+Formula!I54+Formula!K54))*(INDEX(Properties!A$1:CB$87,Formula!D54,5))+((Formula!G54)/(Formula!C54+Formula!E54+Formula!G54+Formula!I54+Formula!K54))*(INDEX(Properties!A$1:CB$87,Formula!F54,5))+((Formula!I54)/(Formula!C54+Formula!E54+Formula!G54+Formula!I54+Formula!K54))*(INDEX(Properties!A$1:CB$87,Formula!H54,5))+((Formula!K54)/(Formula!C54+Formula!E54+Formula!G54+Formula!I54+Formula!K54))*(INDEX(Properties!A$1:CB$87,Formula!J54,5))</f>
        <v>2.4615384615384617</v>
      </c>
      <c r="O54" s="89">
        <f>Formula!C54*(INDEX(Properties!A$1:CB$87,Formula!B54,5))+Formula!E54*(INDEX(Properties!A$1:CB$87,Formula!D54,5))+Formula!G54*(INDEX(Properties!A$1:CB$87,Formula!F54,5))+Formula!I54*(INDEX(Properties!A$1:CB$87,Formula!H54,5))+Formula!K54*(INDEX(Properties!A$1:CB$87,Formula!J54,5))</f>
        <v>32</v>
      </c>
      <c r="P54" s="89">
        <f>VARP(IF(INDEX(Properties!A$1:CB$87,Formula!B54,5)&lt;&gt;"",INDEX(Properties!A$1:CB$87,Formula!B54,5)),IF(INDEX(Properties!A$1:CB$87,Formula!D54,5)&lt;&gt;"",INDEX(Properties!A$1:CB$87,Formula!D54,5)),IF(INDEX(Properties!A$1:CB$87,Formula!F54,5)&lt;&gt;"",INDEX(Properties!A$1:CB$87,Formula!F54,5)),IF(INDEX(Properties!A$1:CB$87,Formula!H54,5)&lt;&gt;"",INDEX(Properties!A$1:CB$87,Formula!H54,5)),IF(INDEX(Properties!A$1:CB$87,Formula!J54,5)&lt;&gt;"",INDEX(Properties!A$1:CB$87,Formula!J54,5)))</f>
        <v>1.84</v>
      </c>
      <c r="Q54" s="89">
        <f>MAX(INDEX(Properties!A$1:CB$87,Formula!B54,5),INDEX(Properties!A$1:CB$87,Formula!D54,5),INDEX(Properties!A$1:CB$87,Formula!F54,5),INDEX(Properties!A$1:CB$87,Formula!H54,5),INDEX(Properties!A$1:CB$87,Formula!J54,5))</f>
        <v>4</v>
      </c>
      <c r="R54" s="89">
        <f>MIN(IF(INDEX(Properties!A$1:CB$87,Formula!B54,5)=0,10^6,INDEX(Properties!A$1:CB$87,Formula!B54,5)),IF(INDEX(Properties!A$1:CB$87,Formula!D54,5)=0,10^6,INDEX(Properties!A$1:CB$87,Formula!D54,5)),IF(INDEX(Properties!A$1:CB$87,Formula!F54,5)=0,10^6,INDEX(Properties!A$1:CB$87,Formula!F54,5)),IF(INDEX(Properties!A$1:CB$87,Formula!H54,5)=0,10^6,INDEX(Properties!A$1:CB$87,Formula!H54,5)),IF(INDEX(Properties!A$1:CB$87,Formula!J54,5)=0,10^6,INDEX(Properties!A$1:CB$87,Formula!J54,5)))</f>
        <v>2</v>
      </c>
      <c r="S54" s="89">
        <f t="shared" si="2"/>
        <v>2</v>
      </c>
      <c r="T54" s="60">
        <f>((Formula!C54)/(Formula!C54+Formula!E54+Formula!G54+Formula!I54+Formula!K54))*(INDEX(Properties!A$1:CB$87,Formula!B54,6))+((Formula!E54)/(Formula!C54+Formula!E54+Formula!G54+Formula!I54+Formula!K54))*(INDEX(Properties!A$1:CB$87,Formula!D54,6))+((Formula!G54)/(Formula!C54+Formula!E54+Formula!G54+Formula!I54+Formula!K54))*(INDEX(Properties!A$1:CB$87,Formula!F54,6))+((Formula!I54)/(Formula!C54+Formula!E54+Formula!G54+Formula!I54+Formula!K54))*(INDEX(Properties!A$1:CB$87,Formula!H54,6))+((Formula!K54)/(Formula!C54+Formula!E54+Formula!G54+Formula!I54+Formula!K54))*(INDEX(Properties!A$1:CB$87,Formula!J54,6))</f>
        <v>14.153846153846155</v>
      </c>
      <c r="U54" s="60">
        <f>Formula!C54*(INDEX(Properties!A$1:CB$87,Formula!B54,6))+Formula!E54*(INDEX(Properties!A$1:CB$87,Formula!D54,6))+Formula!G54*(INDEX(Properties!A$1:CB$87,Formula!F54,6))+Formula!I54*(INDEX(Properties!A$1:CB$87,Formula!H54,6))+Formula!K54*(INDEX(Properties!A$1:CB$87,Formula!J54,6))</f>
        <v>184</v>
      </c>
      <c r="V54" s="89">
        <f>VARP(IF(INDEX(Properties!A$1:CB$87,Formula!B54,6)&lt;&gt;"",INDEX(Properties!A$1:CB$87,Formula!B54,6)),IF(INDEX(Properties!A$1:CB$87,Formula!D54,6)&lt;&gt;"",INDEX(Properties!A$1:CB$87,Formula!D54,6)),IF(INDEX(Properties!A$1:CB$87,Formula!F54,6)&lt;&gt;"",INDEX(Properties!A$1:CB$87,Formula!F54,6)),IF(INDEX(Properties!A$1:CB$87,Formula!H54,6)&lt;&gt;"",INDEX(Properties!A$1:CB$87,Formula!H54,6)),IF(INDEX(Properties!A$1:CB$87,Formula!J54,6)&lt;&gt;"",INDEX(Properties!A$1:CB$87,Formula!J54,6)))</f>
        <v>44</v>
      </c>
      <c r="W54" s="60">
        <f>MAX(INDEX(Properties!A$1:CB$87,Formula!B54,6),INDEX(Properties!A$1:CB$87,Formula!D54,6),INDEX(Properties!A$1:CB$87,Formula!F54,6),INDEX(Properties!A$1:CB$87,Formula!H54,4),INDEX(Properties!A$1:CB$87,Formula!J54,6))</f>
        <v>14</v>
      </c>
      <c r="X54" s="60">
        <f>MIN(IF(INDEX(Properties!A$1:CB$87,Formula!B54,6)=0,10^6,INDEX(Properties!A$1:CB$87,Formula!B54,6)),IF(INDEX(Properties!A$1:CB$87,Formula!D54,6)=0,10^6,INDEX(Properties!A$1:CB$87,Formula!D54,6)),IF(INDEX(Properties!A$1:CB$87,Formula!F54,6)=0,10^6,INDEX(Properties!A$1:CB$87,Formula!F54,6)),IF(INDEX(Properties!A$1:CB$87,Formula!H54,6)=0,10^6,INDEX(Properties!A$1:CB$87,Formula!H54,6)),IF(INDEX(Properties!A$1:CB$87,Formula!J54,6)=0,10^6,INDEX(Properties!A$1:CB$87,Formula!J54,6)))</f>
        <v>2</v>
      </c>
      <c r="Y54" s="60">
        <f t="shared" si="3"/>
        <v>12</v>
      </c>
      <c r="Z54" s="72">
        <f>((Formula!C54)/(Formula!C54+Formula!E54+Formula!G54+Formula!I54+Formula!K54))*(INDEX(Properties!A$1:CB$87,Formula!B54,9))+((Formula!E54)/(Formula!C54+Formula!E54+Formula!G54+Formula!I54+Formula!K54))*(INDEX(Properties!A$1:CB$87,Formula!D54,9))+((Formula!G54)/(Formula!C54+Formula!E54+Formula!G54+Formula!I54+Formula!K54))*(INDEX(Properties!A$1:CB$87,Formula!F54,9))+((Formula!I54)/(Formula!C54+Formula!E54+Formula!G54+Formula!I54+Formula!K54))*(INDEX(Properties!A$1:CB$87,Formula!H54,9))+((Formula!K54)/(Formula!C54+Formula!E54+Formula!G54+Formula!I54+Formula!K54))*(INDEX(Properties!A$1:CB$87,Formula!J54,9))</f>
        <v>77.307692307692307</v>
      </c>
      <c r="AA54" s="72">
        <f>Formula!C54*(INDEX(Properties!A$1:CB$87,Formula!B54,9))+Formula!E54*(INDEX(Properties!A$1:CB$87,Formula!D54,9))+Formula!G54*(INDEX(Properties!A$1:CB$87,Formula!F54,9))+Formula!I54*(INDEX(Properties!A$1:CB$87,Formula!H54,9))+Formula!K54*(INDEX(Properties!A$1:CB$87,Formula!J54,9))</f>
        <v>1005</v>
      </c>
      <c r="AB54" s="72">
        <f>VARP(IF(INDEX(Properties!A$1:CB$87,Formula!B54,9)&lt;&gt;"",INDEX(Properties!A$1:CB$87,Formula!B54,9)),IF(INDEX(Properties!A$1:CB$87,Formula!D54,9)&lt;&gt;"",INDEX(Properties!A$1:CB$87,Formula!D54,9)),IF(INDEX(Properties!A$1:CB$87,Formula!F54,9)&lt;&gt;"",INDEX(Properties!A$1:CB$87,Formula!F54,9)),IF(INDEX(Properties!A$1:CB$87,Formula!H54,9)&lt;&gt;"",INDEX(Properties!A$1:CB$87,Formula!H54,9)),IF(INDEX(Properties!A$1:CB$87,Formula!J54,9)&lt;&gt;"",INDEX(Properties!A$1:CB$87,Formula!J54,9)))</f>
        <v>1405.2</v>
      </c>
      <c r="AC54" s="72">
        <f>MAX(INDEX(Properties!A$1:CB$87,Formula!B54,9),INDEX(Properties!A$1:CB$87,Formula!D54,9),INDEX(Properties!A$1:CB$87,Formula!F54,9),INDEX(Properties!A$1:CB$87,Formula!H54,9),INDEX(Properties!A$1:CB$87,Formula!J54,9))</f>
        <v>87</v>
      </c>
      <c r="AD54" s="72">
        <f>MIN(IF(INDEX(Properties!A$1:CB$87,Formula!B54,9)=0,10^6,INDEX(Properties!A$1:CB$87,Formula!B54,9)),IF(INDEX(Properties!A$1:CB$87,Formula!D54,9)=0,10^6,INDEX(Properties!A$1:CB$87,Formula!D54,9)),IF(INDEX(Properties!A$1:CB$87,Formula!F54,9)=0,10^6,INDEX(Properties!A$1:CB$87,Formula!F54,9)),IF(INDEX(Properties!A$1:CB$87,Formula!H54,9)=0,10^6,INDEX(Properties!A$1:CB$87,Formula!H54,9)),IF(INDEX(Properties!A$1:CB$87,Formula!J54,9)=0,10^6,INDEX(Properties!A$1:CB$87,Formula!J54,9)))</f>
        <v>7</v>
      </c>
      <c r="AE54" s="72">
        <f t="shared" si="4"/>
        <v>80</v>
      </c>
      <c r="AF54" s="51">
        <f>((Formula!C54)/(Formula!C54+Formula!E54+Formula!G54+Formula!I54+Formula!K54))*(INDEX(Properties!A$1:CB$87,Formula!B54,10))+((Formula!E54)/(Formula!C54+Formula!E54+Formula!G54+Formula!I54+Formula!K54))*(INDEX(Properties!A$1:CB$87,Formula!D54,10))+((Formula!G54)/(Formula!C54+Formula!E54+Formula!G54+Formula!I54+Formula!K54))*(INDEX(Properties!A$1:CB$87,Formula!F54,10))+((Formula!I54)/(Formula!C54+Formula!E54+Formula!G54+Formula!I54+Formula!K54))*(INDEX(Properties!A$1:CB$87,Formula!H54,10))+((Formula!K54)/(Formula!C54+Formula!E54+Formula!G54+Formula!I54+Formula!K54))*(INDEX(Properties!A$1:CB$87,Formula!J54,10))</f>
        <v>6.1538461538461551</v>
      </c>
      <c r="AG54" s="51">
        <f>Formula!C54*(INDEX(Properties!A$1:CB$87,Formula!B54,10))+Formula!E54*(INDEX(Properties!A$1:CB$87,Formula!D54,10))+Formula!G54*(INDEX(Properties!A$1:CB$87,Formula!F54,10))+Formula!I54*(INDEX(Properties!A$1:CB$87,Formula!H54,10))+Formula!K54*(INDEX(Properties!A$1:CB$87,Formula!J54,10))</f>
        <v>80</v>
      </c>
      <c r="AH54" s="51">
        <f>VARP(IF(INDEX(Properties!A$1:CB$87,Formula!B54,10)&lt;&gt;"",INDEX(Properties!A$1:CB$87,Formula!B54,10)),IF(INDEX(Properties!A$1:CB$87,Formula!D54,10)&lt;&gt;"",INDEX(Properties!A$1:CB$87,Formula!D54,10)),IF(INDEX(Properties!A$1:CB$87,Formula!F54,10)&lt;&gt;"",INDEX(Properties!A$1:CB$87,Formula!F54,10)),IF(INDEX(Properties!A$1:CB$87,Formula!H54,10)&lt;&gt;"",INDEX(Properties!A$1:CB$87,Formula!H54,10)),IF(INDEX(Properties!A$1:CB$87,Formula!J54,10)&lt;&gt;"",INDEX(Properties!A$1:CB$87,Formula!J54,10)))</f>
        <v>6.8</v>
      </c>
      <c r="AI54" s="51">
        <f>MAX(INDEX(Properties!A$1:CB$87,Formula!B54,10),INDEX(Properties!A$1:CB$87,Formula!D54,10),INDEX(Properties!A$1:CB$87,Formula!F54,10),INDEX(Properties!A$1:CB$87,Formula!H54,10),INDEX(Properties!A$1:CB$87,Formula!J54,10))</f>
        <v>7</v>
      </c>
      <c r="AJ54" s="51">
        <f>MIN(IF(INDEX(Properties!A$1:CB$87,Formula!B54,10)=0,10^6,INDEX(Properties!A$1:CB$87,Formula!B54,10)),IF(INDEX(Properties!A$1:CB$87,Formula!D54,10)=0,10^6,INDEX(Properties!A$1:CB$87,Formula!D54,10)),IF(INDEX(Properties!A$1:CB$87,Formula!F54,10)=0,10^6,INDEX(Properties!A$1:CB$87,Formula!F54,10)),IF(INDEX(Properties!A$1:CB$87,Formula!H54,10)=0,10^6,INDEX(Properties!A$1:CB$87,Formula!H54,10)),IF(INDEX(Properties!A$1:CB$87,Formula!J54,10)=0,10^6,INDEX(Properties!A$1:CB$87,Formula!J54,10)))</f>
        <v>2</v>
      </c>
      <c r="AK54" s="51">
        <f t="shared" si="5"/>
        <v>5</v>
      </c>
      <c r="AL54" s="57">
        <f>((Formula!C54)/(Formula!C54+Formula!E54+Formula!G54+Formula!I54+Formula!K54))*(INDEX(Properties!A$1:CB$87,Formula!B54,11))+((Formula!E54)/(Formula!C54+Formula!E54+Formula!G54+Formula!I54+Formula!K54))*(INDEX(Properties!A$1:CB$87,Formula!D54,11))+((Formula!G54)/(Formula!C54+Formula!E54+Formula!G54+Formula!I54+Formula!K54))*(INDEX(Properties!A$1:CB$87,Formula!F54,11))+((Formula!I54)/(Formula!C54+Formula!E54+Formula!G54+Formula!I54+Formula!K54))*(INDEX(Properties!A$1:CB$87,Formula!H54,11))+((Formula!K54)/(Formula!C54+Formula!E54+Formula!G54+Formula!I54+Formula!K54))*(INDEX(Properties!A$1:CB$87,Formula!J54,11))</f>
        <v>2</v>
      </c>
      <c r="AM54" s="57">
        <f>Formula!C54*(INDEX(Properties!A$1:CB$87,Formula!B54,11))+Formula!E54*(INDEX(Properties!A$1:CB$87,Formula!D54,11))+Formula!G54*(INDEX(Properties!A$1:CB$87,Formula!F54,11))+Formula!I54*(INDEX(Properties!A$1:CB$87,Formula!H54,11))+Formula!K54*(INDEX(Properties!A$1:CB$87,Formula!J54,11))</f>
        <v>26</v>
      </c>
      <c r="AN54" s="57">
        <f>VARP(IF(INDEX(Properties!A$1:CB$87,Formula!B54,11)&lt;&gt;"",INDEX(Properties!A$1:CB$87,Formula!B54,11)),IF(INDEX(Properties!A$1:CB$87,Formula!D54,11)&lt;&gt;"",INDEX(Properties!A$1:CB$87,Formula!D54,11)),IF(INDEX(Properties!A$1:CB$87,Formula!F54,11)&lt;&gt;"",INDEX(Properties!A$1:CB$87,Formula!F54,11)),IF(INDEX(Properties!A$1:CB$87,Formula!H54,11)&lt;&gt;"",INDEX(Properties!A$1:CB$87,Formula!H54,11)),IF(INDEX(Properties!A$1:CB$87,Formula!J54,11)&lt;&gt;"",INDEX(Properties!A$1:CB$87,Formula!J54,11)))</f>
        <v>0.64</v>
      </c>
      <c r="AO54" s="57">
        <f>MAX(INDEX(Properties!A$1:CB$87,Formula!B54,11),INDEX(Properties!A$1:CB$87,Formula!D54,11),INDEX(Properties!A$1:CB$87,Formula!F54,11),INDEX(Properties!A$1:CB$87,Formula!H54,11),INDEX(Properties!A$1:CB$87,Formula!J54,11))</f>
        <v>2</v>
      </c>
      <c r="AP54" s="57">
        <f>MIN(IF(Formula!B54=87,10^6,INDEX(Properties!A$1:CB$87,Formula!B54,11)),IF((Formula!D54)=87,10^6,INDEX(Properties!A$1:CB$87,Formula!D54,11)),IF((Formula!F54)=87,10^6,INDEX(Properties!A$1:CB$87,Formula!F54,11)),IF((Formula!H54)=87,10^6,INDEX(Properties!A$1:CB$87,Formula!H54,11)),IF(Formula!J54=87,10^6,INDEX(Properties!A$1:CB$87,Formula!J54,11)))</f>
        <v>2</v>
      </c>
      <c r="AQ54" s="57">
        <f t="shared" si="6"/>
        <v>0</v>
      </c>
      <c r="AR54" s="78">
        <f>((Formula!C54)/(Formula!C54+Formula!E54+Formula!G54+Formula!I54+Formula!K54))*(INDEX(Properties!A$1:CB$87,Formula!B54,12))+((Formula!E54)/(Formula!C54+Formula!E54+Formula!G54+Formula!I54+Formula!K54))*(INDEX(Properties!A$1:CB$87,Formula!D54,12))+((Formula!G54)/(Formula!C54+Formula!E54+Formula!G54+Formula!I54+Formula!K54))*(INDEX(Properties!A$1:CB$87,Formula!F54,12))+((Formula!I54)/(Formula!C54+Formula!E54+Formula!G54+Formula!I54+Formula!K54))*(INDEX(Properties!A$1:CB$87,Formula!H54,12))+((Formula!K54)/(Formula!C54+Formula!E54+Formula!G54+Formula!I54+Formula!K54))*(INDEX(Properties!A$1:CB$87,Formula!J54,12))</f>
        <v>2.9230769230769234</v>
      </c>
      <c r="AS54" s="78">
        <f>Formula!C54*(INDEX(Properties!A$1:CB$87,Formula!B54,12))+Formula!E54*(INDEX(Properties!A$1:CB$87,Formula!D54,12))+Formula!G54*(INDEX(Properties!A$1:CB$87,Formula!F54,12))+Formula!I54*(INDEX(Properties!A$1:CB$87,Formula!H54,12))+Formula!K54*(INDEX(Properties!A$1:CB$87,Formula!J54,12))</f>
        <v>38</v>
      </c>
      <c r="AT54" s="78">
        <f>VARP(IF(INDEX(Properties!A$1:CB$87,Formula!B54,12)&lt;&gt;"",INDEX(Properties!A$1:CB$87,Formula!B54,12)),IF(INDEX(Properties!A$1:CB$87,Formula!D54,12)&lt;&gt;"",INDEX(Properties!A$1:CB$87,Formula!D54,12)),IF(INDEX(Properties!A$1:CB$87,Formula!F54,12)&lt;&gt;"",INDEX(Properties!A$1:CB$87,Formula!F54,12)),IF(INDEX(Properties!A$1:CB$87,Formula!H54,12)&lt;&gt;"",INDEX(Properties!A$1:CB$87,Formula!H54,12)),IF(INDEX(Properties!A$1:CB$87,Formula!J54,12)&lt;&gt;"",INDEX(Properties!A$1:CB$87,Formula!J54,12)))</f>
        <v>2.2400000000000002</v>
      </c>
      <c r="AU54" s="78">
        <f>MAX(INDEX(Properties!A$1:CB$87,Formula!B54,12),INDEX(Properties!A$1:CB$87,Formula!D54,12),INDEX(Properties!A$1:CB$87,Formula!F54,12),INDEX(Properties!A$1:CB$87,Formula!H54,12),INDEX(Properties!A$1:CB$87,Formula!J54,12))</f>
        <v>4</v>
      </c>
      <c r="AV54" s="78">
        <f>MIN(IF(Formula!B54=87,10^6,INDEX(Properties!A$1:CB$87,Formula!B54,12)),IF((Formula!D54)=87,10^6,INDEX(Properties!A$1:CB$87,Formula!D54,12)),IF((Formula!F54)=87,10^6,INDEX(Properties!A$1:CB$87,Formula!F54,12)),IF((Formula!H54)=87,10^6,INDEX(Properties!A$1:CB$87,Formula!H54,12)),IF(Formula!J54=87,10^6,INDEX(Properties!A$1:CB$87,Formula!J54,12)))</f>
        <v>0</v>
      </c>
      <c r="AW54" s="78">
        <f t="shared" si="7"/>
        <v>4</v>
      </c>
      <c r="AX54" s="45">
        <f>((Formula!C54)/(Formula!C54+Formula!E54+Formula!G54+Formula!I54+Formula!K54))*(INDEX(Properties!A$1:CB$87,Formula!B54,13))+((Formula!E54)/(Formula!C54+Formula!E54+Formula!G54+Formula!I54+Formula!K54))*(INDEX(Properties!A$1:CB$87,Formula!D54,13))+((Formula!G54)/(Formula!C54+Formula!E54+Formula!G54+Formula!I54+Formula!K54))*(INDEX(Properties!A$1:CB$87,Formula!F54,13))+((Formula!I54)/(Formula!C54+Formula!E54+Formula!G54+Formula!I54+Formula!K54))*(INDEX(Properties!A$1:CB$87,Formula!H54,13))+((Formula!K54)/(Formula!C54+Formula!E54+Formula!G54+Formula!I54+Formula!K54))*(INDEX(Properties!A$1:CB$87,Formula!J54,13))</f>
        <v>0</v>
      </c>
      <c r="AY54" s="45">
        <f>Formula!C54*(INDEX(Properties!A$1:CB$87,Formula!B54,13))+Formula!E54*(INDEX(Properties!A$1:CB$87,Formula!D54,13))+Formula!G54*(INDEX(Properties!A$1:CB$87,Formula!F54,13))+Formula!I54*(INDEX(Properties!A$1:CB$87,Formula!H54,13))+Formula!K54*(INDEX(Properties!A$1:CB$87,Formula!J54,13))</f>
        <v>0</v>
      </c>
      <c r="AZ54" s="45">
        <f>VARP(IF(INDEX(Properties!A$1:CB$87,Formula!B54,13)&lt;&gt;"",INDEX(Properties!A$1:CB$87,Formula!B54,13)),IF(INDEX(Properties!A$1:CB$87,Formula!D54,13)&lt;&gt;"",INDEX(Properties!A$1:CB$87,Formula!D54,13)),IF(INDEX(Properties!A$1:CB$87,Formula!F54,13)&lt;&gt;"",INDEX(Properties!A$1:CB$87,Formula!F54,13)),IF(INDEX(Properties!A$1:CB$87,Formula!H54,13)&lt;&gt;"",INDEX(Properties!A$1:CB$87,Formula!H54,13)),IF(INDEX(Properties!A$1:CB$87,Formula!J54,13)&lt;&gt;"",INDEX(Properties!A$1:CB$87,Formula!J54,13)))</f>
        <v>0</v>
      </c>
      <c r="BA54" s="45">
        <f>MAX(INDEX(Properties!A$1:CB$87,Formula!B54,13),INDEX(Properties!A$1:CB$87,Formula!D54,13),INDEX(Properties!A$1:CB$87,Formula!F54,13),INDEX(Properties!A$1:CB$87,Formula!H54,13),INDEX(Properties!A$1:CB$87,Formula!J54,13))</f>
        <v>0</v>
      </c>
      <c r="BB54" s="45">
        <f>MIN(IF(Formula!B54=87,10^6,INDEX(Properties!A$1:CB$87,Formula!B54,13)),IF((Formula!D54)=87,10^6,INDEX(Properties!A$1:CB$87,Formula!D54,13)),IF((Formula!F54)=87,10^6,INDEX(Properties!A$1:CB$87,Formula!F54,13)),IF((Formula!H54)=87,10^6,INDEX(Properties!A$1:CB$87,Formula!H54,13)),IF(Formula!J54=87,10^6,INDEX(Properties!A$1:CB$87,Formula!J54,13)))</f>
        <v>0</v>
      </c>
      <c r="BC54" s="45">
        <f t="shared" si="8"/>
        <v>0</v>
      </c>
      <c r="BD54" s="63">
        <f>((Formula!C54)/(Formula!C54+Formula!E54+Formula!G54+Formula!I54+Formula!K54))*(INDEX(Properties!A$1:CB$87,Formula!B54,14))+((Formula!E54)/(Formula!C54+Formula!E54+Formula!G54+Formula!I54+Formula!K54))*(INDEX(Properties!A$1:CB$87,Formula!D54,14))+((Formula!G54)/(Formula!C54+Formula!E54+Formula!G54+Formula!I54+Formula!K54))*(INDEX(Properties!A$1:CB$87,Formula!F54,14))+((Formula!I54)/(Formula!C54+Formula!E54+Formula!G54+Formula!I54+Formula!K54))*(INDEX(Properties!A$1:CB$87,Formula!H54,14))+((Formula!K54)/(Formula!C54+Formula!E54+Formula!G54+Formula!I54+Formula!K54))*(INDEX(Properties!A$1:CB$87,Formula!J54,14))</f>
        <v>0</v>
      </c>
      <c r="BE54" s="63">
        <f>Formula!C54*(INDEX(Properties!A$1:CB$87,Formula!B54,14))+Formula!E54*(INDEX(Properties!A$1:CB$87,Formula!D54,14))+Formula!G54*(INDEX(Properties!A$1:CB$87,Formula!F54,14))+Formula!I54*(INDEX(Properties!A$1:CB$87,Formula!H54,14))+Formula!K54*(INDEX(Properties!A$1:CB$87,Formula!J54,14))</f>
        <v>0</v>
      </c>
      <c r="BF54" s="63">
        <f>VARP(IF(INDEX(Properties!A$1:CB$87,Formula!B54,14)&lt;&gt;"",INDEX(Properties!A$1:CB$87,Formula!B54,14)),IF(INDEX(Properties!A$1:CB$87,Formula!D54,14)&lt;&gt;"",INDEX(Properties!A$1:CB$87,Formula!D54,14)),IF(INDEX(Properties!A$1:CB$87,Formula!F54,14)&lt;&gt;"",INDEX(Properties!A$1:CB$87,Formula!F54,14)),IF(INDEX(Properties!A$1:CB$87,Formula!H54,14)&lt;&gt;"",INDEX(Properties!A$1:CB$87,Formula!H54,14)),IF(INDEX(Properties!A$1:CB$87,Formula!J54,14)&lt;&gt;"",INDEX(Properties!A$1:CB$87,Formula!J54,14)))</f>
        <v>0</v>
      </c>
      <c r="BG54" s="63">
        <f>MAX(INDEX(Properties!A$1:CB$87,Formula!B54,14),INDEX(Properties!A$1:CB$87,Formula!D54,14),INDEX(Properties!A$1:CB$87,Formula!F54,14),INDEX(Properties!A$1:CB$87,Formula!H54,14),INDEX(Properties!A$1:CB$87,Formula!J54,14))</f>
        <v>0</v>
      </c>
      <c r="BH54" s="63">
        <f>MIN(IF(Formula!B54=87,10^6,INDEX(Properties!A$1:CB$87,Formula!B54,14)),IF((Formula!D54)=87,10^6,INDEX(Properties!A$1:CB$87,Formula!D54,14)),IF((Formula!F54)=87,10^6,INDEX(Properties!A$1:CB$87,Formula!F54,14)),IF((Formula!H54)=87,10^6,INDEX(Properties!A$1:CB$87,Formula!H54,14)),IF(Formula!J54=87,10^6,INDEX(Properties!A$1:CB$87,Formula!J54,14)))</f>
        <v>0</v>
      </c>
      <c r="BI54" s="63">
        <f t="shared" si="9"/>
        <v>0</v>
      </c>
      <c r="BJ54" s="75">
        <f>((Formula!C54)/(Formula!C54+Formula!E54+Formula!G54+Formula!I54+Formula!K54))*(INDEX(Properties!A$1:CB$87,Formula!B54,19))+((Formula!E54)/(Formula!C54+Formula!E54+Formula!G54+Formula!I54+Formula!K54))*(INDEX(Properties!A$1:CB$87,Formula!D54,19))+((Formula!G54)/(Formula!C54+Formula!E54+Formula!G54+Formula!I54+Formula!K54))*(INDEX(Properties!A$1:CB$87,Formula!F54,19))+((Formula!I54)/(Formula!C54+Formula!E54+Formula!G54+Formula!I54+Formula!K54))*(INDEX(Properties!A$1:CB$87,Formula!H54,19))+((Formula!K54)/(Formula!C54+Formula!E54+Formula!G54+Formula!I54+Formula!K54))*(INDEX(Properties!A$1:CB$87,Formula!J54,19))</f>
        <v>4.9230769230769234</v>
      </c>
      <c r="BK54" s="75">
        <f>Formula!C54*(INDEX(Properties!A$1:CB$87,Formula!B54,19))+Formula!E54*(INDEX(Properties!A$1:CB$87,Formula!D54,19))+Formula!G54*(INDEX(Properties!A$1:CB$87,Formula!F54,19))+Formula!I54*(INDEX(Properties!A$1:CB$87,Formula!H54,19))+Formula!K54*(INDEX(Properties!A$1:CB$87,Formula!J54,19))</f>
        <v>64</v>
      </c>
      <c r="BL54" s="75">
        <f>VARP(IF(INDEX(Properties!A$1:CB$87,Formula!B54,19)&lt;&gt;"",INDEX(Properties!A$1:CB$87,Formula!B54,19)),IF(INDEX(Properties!A$1:CB$87,Formula!D54,19)&lt;&gt;"",INDEX(Properties!A$1:CB$87,Formula!D54,19)),IF(INDEX(Properties!A$1:CB$87,Formula!F54,19)&lt;&gt;"",INDEX(Properties!A$1:CB$87,Formula!F54,19)),IF(INDEX(Properties!A$1:CB$87,Formula!H54,19)&lt;&gt;"",INDEX(Properties!A$1:CB$87,Formula!H54,19)),IF(INDEX(Properties!A$1:CB$87,Formula!J54,19)&lt;&gt;"",INDEX(Properties!A$1:CB$87,Formula!J54,19)))</f>
        <v>4</v>
      </c>
      <c r="BM54" s="75">
        <f>MAX(INDEX(Properties!A$1:CB$87,Formula!B54,19),INDEX(Properties!A$1:CB$87,Formula!D54,19),INDEX(Properties!A$1:CB$87,Formula!F54,19),INDEX(Properties!A$1:CB$87,Formula!H54,19),INDEX(Properties!A$1:CB$87,Formula!J54,19))</f>
        <v>6</v>
      </c>
      <c r="BN54" s="75">
        <f>MIN(IF(INDEX(Properties!A$1:CB$87,Formula!B54,19)=0,10^6,INDEX(Properties!A$1:CB$87,Formula!B54,19)),IF(INDEX(Properties!A$1:CB$87,Formula!D54,19)=0,10^6,INDEX(Properties!A$1:CB$87,Formula!D54,19)),IF(INDEX(Properties!A$1:CB$87,Formula!F54,19)=0,10^6,INDEX(Properties!A$1:CB$87,Formula!F54,19)),IF(INDEX(Properties!A$1:CB$87,Formula!H54,19)=0,10^6,INDEX(Properties!A$1:CB$87,Formula!H54,19)),IF(INDEX(Properties!A$1:CB$87,Formula!J54,19)=0,10^6,INDEX(Properties!A$1:CB$87,Formula!J54,19)))</f>
        <v>2</v>
      </c>
      <c r="BO54" s="75">
        <f t="shared" si="10"/>
        <v>4</v>
      </c>
      <c r="BP54" s="48">
        <f>((Formula!C54)/(Formula!C54+Formula!E54+Formula!G54+Formula!I54+Formula!K54))*(INDEX(Properties!A$1:CB$87,Formula!B54,20))+((Formula!E54)/(Formula!C54+Formula!E54+Formula!G54+Formula!I54+Formula!K54))*(INDEX(Properties!A$1:CB$87,Formula!D54,20))+((Formula!G54)/(Formula!C54+Formula!E54+Formula!G54+Formula!I54+Formula!K54))*(INDEX(Properties!A$1:CB$87,Formula!F54,20))+((Formula!I54)/(Formula!C54+Formula!E54+Formula!G54+Formula!I54+Formula!K54))*(INDEX(Properties!A$1:CB$87,Formula!H54,20))+((Formula!K54)/(Formula!C54+Formula!E54+Formula!G54+Formula!I54+Formula!K54))*(INDEX(Properties!A$1:CB$87,Formula!J54,20))</f>
        <v>4.9230769230769234</v>
      </c>
      <c r="BQ54" s="48">
        <f>Formula!C54*(INDEX(Properties!A$1:CB$87,Formula!B54,20))+Formula!E54*(INDEX(Properties!A$1:CB$87,Formula!D54,20))+Formula!G54*(INDEX(Properties!A$1:CB$87,Formula!F54,20))+Formula!I54*(INDEX(Properties!A$1:CB$87,Formula!H54,20))+Formula!K54*(INDEX(Properties!A$1:CB$87,Formula!J54,20))</f>
        <v>64</v>
      </c>
      <c r="BR54" s="48">
        <f>VARP(IF(INDEX(Properties!A$1:CB$87,Formula!B54,20)&lt;&gt;"",INDEX(Properties!A$1:CB$87,Formula!B54,20)),IF(INDEX(Properties!A$1:CB$87,Formula!D54,20)&lt;&gt;"",INDEX(Properties!A$1:CB$87,Formula!D54,20)),IF(INDEX(Properties!A$1:CB$87,Formula!F54,20)&lt;&gt;"",INDEX(Properties!A$1:CB$87,Formula!F54,20)),IF(INDEX(Properties!A$1:CB$87,Formula!H54,20)&lt;&gt;"",INDEX(Properties!A$1:CB$87,Formula!H54,20)),IF(INDEX(Properties!A$1:CB$87,Formula!J54,20)&lt;&gt;"",INDEX(Properties!A$1:CB$87,Formula!J54,20)))</f>
        <v>4</v>
      </c>
      <c r="BS54" s="48">
        <f>MAX(INDEX(Properties!A$1:CB$87,Formula!B54,20),INDEX(Properties!A$1:CB$87,Formula!D54,20),INDEX(Properties!A$1:CB$87,Formula!F54,20),INDEX(Properties!A$1:CB$87,Formula!H54,20),INDEX(Properties!A$1:CB$87,Formula!J54,20))</f>
        <v>6</v>
      </c>
      <c r="BT54" s="48">
        <f>MIN(IF(INDEX(Properties!A$1:CB$87,Formula!B54,20)=0,10^6,INDEX(Properties!A$1:CB$87,Formula!B54,20)),IF(INDEX(Properties!A$1:CB$87,Formula!D54,20)=0,10^6,INDEX(Properties!A$1:CB$87,Formula!D54,20)),IF(INDEX(Properties!A$1:CB$87,Formula!F54,20)=0,10^6,INDEX(Properties!A$1:CB$87,Formula!F54,20)),IF(INDEX(Properties!A$1:CB$87,Formula!H54,20)=0,10^6,INDEX(Properties!A$1:CB$87,Formula!H54,20)),IF(INDEX(Properties!A$1:CB$87,Formula!J54,20)=0,10^6,INDEX(Properties!A$1:CB$87,Formula!J54,20)))</f>
        <v>2</v>
      </c>
      <c r="BU54" s="48">
        <f t="shared" si="11"/>
        <v>4</v>
      </c>
      <c r="BV54" s="66">
        <f>((Formula!C54)/(Formula!C54+Formula!E54+Formula!G54+Formula!I54+Formula!K54))*(INDEX(Properties!A$1:CB$87,Formula!B54,21))+((Formula!E54)/(Formula!C54+Formula!E54+Formula!G54+Formula!I54+Formula!K54))*(INDEX(Properties!A$1:CB$87,Formula!D54,21))+((Formula!G54)/(Formula!C54+Formula!E54+Formula!G54+Formula!I54+Formula!K54))*(INDEX(Properties!A$1:CB$87,Formula!F54,21))+((Formula!I54)/(Formula!C54+Formula!E54+Formula!G54+Formula!I54+Formula!K54))*(INDEX(Properties!A$1:CB$87,Formula!H54,21))+((Formula!K54)/(Formula!C54+Formula!E54+Formula!G54+Formula!I54+Formula!K54))*(INDEX(Properties!A$1:CB$87,Formula!J54,21))</f>
        <v>4.9230769230769234</v>
      </c>
      <c r="BW54" s="66">
        <f>Formula!C54*(INDEX(Properties!A$1:CB$87,Formula!B54,21))+Formula!E54*(INDEX(Properties!A$1:CB$87,Formula!D54,21))+Formula!G54*(INDEX(Properties!A$1:CB$87,Formula!F54,21))+Formula!I54*(INDEX(Properties!A$1:CB$87,Formula!H54,21))+Formula!K54*(INDEX(Properties!A$1:CB$87,Formula!J54,21))</f>
        <v>64</v>
      </c>
      <c r="BX54" s="66">
        <f>VARP(IF(INDEX(Properties!A$1:CB$87,Formula!B54,21)&lt;&gt;"",INDEX(Properties!A$1:CB$87,Formula!B54,21)),IF(INDEX(Properties!A$1:CB$87,Formula!D54,21)&lt;&gt;"",INDEX(Properties!A$1:CB$87,Formula!D54,21)),IF(INDEX(Properties!A$1:CB$87,Formula!F54,21)&lt;&gt;"",INDEX(Properties!A$1:CB$87,Formula!F54,21)),IF(INDEX(Properties!A$1:CB$87,Formula!H54,21)&lt;&gt;"",INDEX(Properties!A$1:CB$87,Formula!H54,21)),IF(INDEX(Properties!A$1:CB$87,Formula!J54,21)&lt;&gt;"",INDEX(Properties!A$1:CB$87,Formula!J54,21)))</f>
        <v>4</v>
      </c>
      <c r="BY54" s="66">
        <f>MAX(INDEX(Properties!A$1:CB$87,Formula!B54,21),INDEX(Properties!A$1:CB$87,Formula!D54,21),INDEX(Properties!A$1:CB$87,Formula!F54,21),INDEX(Properties!A$1:CB$87,Formula!H54,21),INDEX(Properties!A$1:CB$87,Formula!J54,21))</f>
        <v>6</v>
      </c>
      <c r="BZ54" s="66">
        <f>MIN(IF(INDEX(Properties!A$1:CB$87,Formula!B54,21)=0,10^6,INDEX(Properties!A$1:CB$87,Formula!B54,21)),IF(INDEX(Properties!A$1:CB$87,Formula!D54,21)=0,10^6,INDEX(Properties!A$1:CB$87,Formula!D54,21)),IF(INDEX(Properties!A$1:CB$87,Formula!F54,21)=0,10^6,INDEX(Properties!A$1:CB$87,Formula!F54,21)),IF(INDEX(Properties!A$1:CB$87,Formula!H54,21)=0,10^6,INDEX(Properties!A$1:CB$87,Formula!H54,21)),IF(INDEX(Properties!A$1:CB$87,Formula!J54,21)=0,10^6,INDEX(Properties!A$1:CB$87,Formula!J54,21)))</f>
        <v>2</v>
      </c>
      <c r="CA54" s="66">
        <f t="shared" si="12"/>
        <v>4</v>
      </c>
      <c r="CB54" s="81">
        <f>((Formula!C54)/(Formula!C54+Formula!E54+Formula!G54+Formula!I54+Formula!K54))*(INDEX(Properties!A$1:CB$87,Formula!B54,23))+((Formula!E54)/(Formula!C54+Formula!E54+Formula!G54+Formula!I54+Formula!K54))*(INDEX(Properties!A$1:CB$87,Formula!D54,23))+((Formula!G54)/(Formula!C54+Formula!E54+Formula!G54+Formula!I54+Formula!K54))*(INDEX(Properties!A$1:CB$87,Formula!F54,23))+((Formula!I54)/(Formula!C54+Formula!E54+Formula!G54+Formula!I54+Formula!K54))*(INDEX(Properties!A$1:CB$87,Formula!H54,23))+((Formula!K54)/(Formula!C54+Formula!E54+Formula!G54+Formula!I54+Formula!K54))*(INDEX(Properties!A$1:CB$87,Formula!J54,23))</f>
        <v>1.2307692307692308</v>
      </c>
      <c r="CC54" s="81">
        <f>Formula!C54*(INDEX(Properties!A$1:CB$87,Formula!B54,23))+Formula!E54*(INDEX(Properties!A$1:CB$87,Formula!D54,23))+Formula!G54*(INDEX(Properties!A$1:CB$87,Formula!F54,23))+Formula!I54*(INDEX(Properties!A$1:CB$87,Formula!H54,23))+Formula!K54*(INDEX(Properties!A$1:CB$87,Formula!J54,23))</f>
        <v>16</v>
      </c>
      <c r="CD54" s="81">
        <f>VARP(IF(INDEX(Properties!A$1:CB$87,Formula!B54,23)&lt;&gt;"",INDEX(Properties!A$1:CB$87,Formula!B54,23)),IF(INDEX(Properties!A$1:CB$87,Formula!D54,23)&lt;&gt;"",INDEX(Properties!A$1:CB$87,Formula!D54,23)),IF(INDEX(Properties!A$1:CB$87,Formula!F54,23)&lt;&gt;"",INDEX(Properties!A$1:CB$87,Formula!F54,23)),IF(INDEX(Properties!A$1:CB$87,Formula!H54,23)&lt;&gt;"",INDEX(Properties!A$1:CB$87,Formula!H54,23)),IF(INDEX(Properties!A$1:CB$87,Formula!J54,23)&lt;&gt;"",INDEX(Properties!A$1:CB$87,Formula!J54,23)))</f>
        <v>2.56</v>
      </c>
      <c r="CE54" s="81">
        <f>MAX(INDEX(Properties!A$1:CB$87,Formula!B54,23),INDEX(Properties!A$1:CB$87,Formula!D54,23),INDEX(Properties!A$1:CB$87,Formula!F54,23),INDEX(Properties!A$1:CB$87,Formula!H54,23),INDEX(Properties!A$1:CB$87,Formula!J54,23))</f>
        <v>4</v>
      </c>
      <c r="CF54" s="81">
        <f>MIN(IF(Formula!B54=87,10^6,INDEX(Properties!A$1:CB$87,Formula!B54,23)),IF((Formula!D54)=87,10^6,INDEX(Properties!A$1:CB$87,Formula!D54,23)),IF((Formula!F54)=87,10^6,INDEX(Properties!A$1:CB$87,Formula!F54,23)),IF((Formula!H54)=87,10^6,INDEX(Properties!A$1:CB$87,Formula!H54,23)),IF(Formula!J54=87,10^6,INDEX(Properties!A$1:CB$87,Formula!J54,23)))</f>
        <v>0</v>
      </c>
      <c r="CG54" s="81">
        <f t="shared" si="13"/>
        <v>4</v>
      </c>
      <c r="CH54" s="39">
        <f>((Formula!C54)/(Formula!C54+Formula!E54+Formula!G54+Formula!I54+Formula!K54))*(INDEX(Properties!A$1:CB$87,Formula!B54,26))+((Formula!E54)/(Formula!C54+Formula!E54+Formula!G54+Formula!I54+Formula!K54))*(INDEX(Properties!A$1:CB$87,Formula!D54,26))+((Formula!G54)/(Formula!C54+Formula!E54+Formula!G54+Formula!I54+Formula!K54))*(INDEX(Properties!A$1:CB$87,Formula!F54,26))+((Formula!I54)/(Formula!C54+Formula!E54+Formula!G54+Formula!I54+Formula!K54))*(INDEX(Properties!A$1:CB$87,Formula!H54,26))+((Formula!K54)/(Formula!C54+Formula!E54+Formula!G54+Formula!I54+Formula!K54))*(INDEX(Properties!A$1:CB$87,Formula!J54,26))</f>
        <v>11.025615384615385</v>
      </c>
      <c r="CI54" s="39">
        <f>Formula!C54*(INDEX(Properties!A$1:CB$87,Formula!B54,26))+Formula!E54*(INDEX(Properties!A$1:CB$87,Formula!D54,26))+Formula!G54*(INDEX(Properties!A$1:CB$87,Formula!F54,26))+Formula!I54*(INDEX(Properties!A$1:CB$87,Formula!H54,26))+Formula!K54*(INDEX(Properties!A$1:CB$87,Formula!J54,26))</f>
        <v>143.333</v>
      </c>
      <c r="CJ54" s="39">
        <f>VARP(IF(INDEX(Properties!A$1:CB$87,Formula!B54,26)&lt;&gt;"",INDEX(Properties!A$1:CB$87,Formula!B54,26)),IF(INDEX(Properties!A$1:CB$87,Formula!D54,26)&lt;&gt;"",INDEX(Properties!A$1:CB$87,Formula!D54,26)),IF(INDEX(Properties!A$1:CB$87,Formula!F54,26)&lt;&gt;"",INDEX(Properties!A$1:CB$87,Formula!F54,26)),IF(INDEX(Properties!A$1:CB$87,Formula!H54,26)&lt;&gt;"",INDEX(Properties!A$1:CB$87,Formula!H54,26)),IF(INDEX(Properties!A$1:CB$87,Formula!J54,26)&lt;&gt;"",INDEX(Properties!A$1:CB$87,Formula!J54,26)))</f>
        <v>19.136950738399992</v>
      </c>
      <c r="CK54" s="39">
        <f>MAX(INDEX(Properties!A$1:CB$87,Formula!B54,26),INDEX(Properties!A$1:CB$87,Formula!D54,26),INDEX(Properties!A$1:CB$87,Formula!F54,26),INDEX(Properties!A$1:CB$87,Formula!H54,26),INDEX(Properties!A$1:CB$87,Formula!J54,26))</f>
        <v>13.6181</v>
      </c>
      <c r="CL54" s="39">
        <f>MIN(IF(INDEX(Properties!A$1:CB$87,Formula!B54,26)=0,10^6,INDEX(Properties!A$1:CB$87,Formula!B54,26)),IF(INDEX(Properties!A$1:CB$87,Formula!D54,26)=0,10^6,INDEX(Properties!A$1:CB$87,Formula!D54,26)),IF(INDEX(Properties!A$1:CB$87,Formula!F54,26)=0,10^6,INDEX(Properties!A$1:CB$87,Formula!F54,26)),IF(INDEX(Properties!A$1:CB$87,Formula!H54,26)=0,10^6,INDEX(Properties!A$1:CB$87,Formula!H54,26)),IF(INDEX(Properties!A$1:CB$87,Formula!J54,26)=0,10^6,INDEX(Properties!A$1:CB$87,Formula!J54,26)))</f>
        <v>5.9858000000000002</v>
      </c>
      <c r="CM54" s="39">
        <f t="shared" si="14"/>
        <v>7.6322999999999999</v>
      </c>
      <c r="CN54" s="54">
        <f>((Formula!C54)/(Formula!C54+Formula!E54+Formula!G54+Formula!I54+Formula!K54))*(INDEX(Properties!A$1:CB$87,Formula!B54,30))+((Formula!E54)/(Formula!C54+Formula!E54+Formula!G54+Formula!I54+Formula!K54))*(INDEX(Properties!A$1:CB$87,Formula!D54,30))+((Formula!G54)/(Formula!C54+Formula!E54+Formula!G54+Formula!I54+Formula!K54))*(INDEX(Properties!A$1:CB$87,Formula!F54,30))+((Formula!I54)/(Formula!C54+Formula!E54+Formula!G54+Formula!I54+Formula!K54))*(INDEX(Properties!A$1:CB$87,Formula!H54,30))+((Formula!K54)/(Formula!C54+Formula!E54+Formula!G54+Formula!I54+Formula!K54))*(INDEX(Properties!A$1:CB$87,Formula!J54,30))</f>
        <v>2.7338461538461543</v>
      </c>
      <c r="CO54" s="54">
        <f>Formula!C54*(INDEX(Properties!A$1:CB$87,Formula!B54,30))+Formula!E54*(INDEX(Properties!A$1:CB$87,Formula!D54,30))+Formula!G54*(INDEX(Properties!A$1:CB$87,Formula!F54,30))+Formula!I54*(INDEX(Properties!A$1:CB$87,Formula!H54,30))+Formula!K54*(INDEX(Properties!A$1:CB$87,Formula!J54,30))</f>
        <v>35.54</v>
      </c>
      <c r="CP54" s="54">
        <f>VARP(IF(INDEX(Properties!A$1:CB$87,Formula!B54,30)&lt;&gt;"",INDEX(Properties!A$1:CB$87,Formula!B54,30)),IF(INDEX(Properties!A$1:CB$87,Formula!D54,30)&lt;&gt;"",INDEX(Properties!A$1:CB$87,Formula!D54,30)),IF(INDEX(Properties!A$1:CB$87,Formula!F54,30)&lt;&gt;"",INDEX(Properties!A$1:CB$87,Formula!F54,30)),IF(INDEX(Properties!A$1:CB$87,Formula!H54,30)&lt;&gt;"",INDEX(Properties!A$1:CB$87,Formula!H54,30)),IF(INDEX(Properties!A$1:CB$87,Formula!J54,30)&lt;&gt;"",INDEX(Properties!A$1:CB$87,Formula!J54,30)))</f>
        <v>1.27904</v>
      </c>
      <c r="CQ54" s="54">
        <f>MAX(INDEX(Properties!A$1:CB$87,Formula!B54,30),INDEX(Properties!A$1:CB$87,Formula!D54,30),INDEX(Properties!A$1:CB$87,Formula!F54,30),INDEX(Properties!A$1:CB$87,Formula!H54,30),INDEX(Properties!A$1:CB$87,Formula!J54,30))</f>
        <v>3.44</v>
      </c>
      <c r="CR54" s="54">
        <f>MIN(IF(INDEX(Properties!A$1:CB$87,Formula!B54,30)=0,10^6,INDEX(Properties!A$1:CB$87,Formula!B54,30)),IF(INDEX(Properties!A$1:CB$87,Formula!D54,30)=0,10^6,INDEX(Properties!A$1:CB$87,Formula!D54,30)),IF(INDEX(Properties!A$1:CB$87,Formula!F54,30)=0,10^6,INDEX(Properties!A$1:CB$87,Formula!F54,30)),IF(INDEX(Properties!A$1:CB$87,Formula!H54,30)=0,10^6,INDEX(Properties!A$1:CB$87,Formula!H54,30)),IF(INDEX(Properties!A$1:CB$87,Formula!J54,30)=0,10^6,INDEX(Properties!A$1:CB$87,Formula!J54,30)))</f>
        <v>1</v>
      </c>
      <c r="CS54" s="54">
        <f t="shared" si="15"/>
        <v>2.44</v>
      </c>
      <c r="CT54" s="69">
        <f>((Formula!C54)/(Formula!C54+Formula!E54+Formula!G54+Formula!I54+Formula!K54))*(INDEX(Properties!A$1:CB$87,Formula!B54,31))+((Formula!E54)/(Formula!C54+Formula!E54+Formula!G54+Formula!I54+Formula!K54))*(INDEX(Properties!A$1:CB$87,Formula!D54,31))+((Formula!G54)/(Formula!C54+Formula!E54+Formula!G54+Formula!I54+Formula!K54))*(INDEX(Properties!A$1:CB$87,Formula!F54,31))+((Formula!I54)/(Formula!C54+Formula!E54+Formula!G54+Formula!I54+Formula!K54))*(INDEX(Properties!A$1:CB$87,Formula!H54,31))+((Formula!K54)/(Formula!C54+Formula!E54+Formula!G54+Formula!I54+Formula!K54))*(INDEX(Properties!A$1:CB$87,Formula!J54,31))</f>
        <v>2.69</v>
      </c>
      <c r="CU54" s="69">
        <f>Formula!C54*(INDEX(Properties!A$1:CB$87,Formula!B54,31))+Formula!E54*(INDEX(Properties!A$1:CB$87,Formula!D54,31))+Formula!G54*(INDEX(Properties!A$1:CB$87,Formula!F54,31))+Formula!I54*(INDEX(Properties!A$1:CB$87,Formula!H54,31))+Formula!K54*(INDEX(Properties!A$1:CB$87,Formula!J54,31))</f>
        <v>34.97</v>
      </c>
      <c r="CV54" s="69">
        <f>VARP(IF(INDEX(Properties!A$1:CB$87,Formula!B54,31)&lt;&gt;"",INDEX(Properties!A$1:CB$87,Formula!B54,31)),IF(INDEX(Properties!A$1:CB$87,Formula!D54,31)&lt;&gt;"",INDEX(Properties!A$1:CB$87,Formula!D54,31)),IF(INDEX(Properties!A$1:CB$87,Formula!F54,31)&lt;&gt;"",INDEX(Properties!A$1:CB$87,Formula!F54,31)),IF(INDEX(Properties!A$1:CB$87,Formula!H54,31)&lt;&gt;"",INDEX(Properties!A$1:CB$87,Formula!H54,31)),IF(INDEX(Properties!A$1:CB$87,Formula!J54,31)&lt;&gt;"",INDEX(Properties!A$1:CB$87,Formula!J54,31)))</f>
        <v>1.1693760000000004</v>
      </c>
      <c r="CW54" s="69">
        <f>MAX(INDEX(Properties!A$1:CB$87,Formula!B54,31),INDEX(Properties!A$1:CB$87,Formula!D54,31),INDEX(Properties!A$1:CB$87,Formula!F54,31),INDEX(Properties!A$1:CB$87,Formula!H54,31),INDEX(Properties!A$1:CB$87,Formula!J54,31))</f>
        <v>3.32</v>
      </c>
      <c r="CX54" s="69">
        <f>MIN(IF(INDEX(Properties!A$1:CB$87,Formula!B54,31)=0,10^6,INDEX(Properties!A$1:CB$87,Formula!B54,31)),IF(INDEX(Properties!A$1:CB$87,Formula!D54,31)=0,10^6,INDEX(Properties!A$1:CB$87,Formula!D54,31)),IF(INDEX(Properties!A$1:CB$87,Formula!F54,31)=0,10^6,INDEX(Properties!A$1:CB$87,Formula!F54,31)),IF(INDEX(Properties!A$1:CB$87,Formula!H54,31)=0,10^6,INDEX(Properties!A$1:CB$87,Formula!H54,31)),IF(INDEX(Properties!A$1:CB$87,Formula!J54,31)=0,10^6,INDEX(Properties!A$1:CB$87,Formula!J54,31)))</f>
        <v>1.17</v>
      </c>
      <c r="CY54" s="69">
        <f t="shared" si="16"/>
        <v>2.15</v>
      </c>
      <c r="CZ54" s="42">
        <f>((Formula!C54)/(Formula!C54+Formula!E54+Formula!G54+Formula!I54+Formula!K54))*(INDEX(Properties!A$1:CB$87,Formula!B54,32))+((Formula!E54)/(Formula!C54+Formula!E54+Formula!G54+Formula!I54+Formula!K54))*(INDEX(Properties!A$1:CB$87,Formula!D54,32))+((Formula!G54)/(Formula!C54+Formula!E54+Formula!G54+Formula!I54+Formula!K54))*(INDEX(Properties!A$1:CB$87,Formula!F54,32))+((Formula!I54)/(Formula!C54+Formula!E54+Formula!G54+Formula!I54+Formula!K54))*(INDEX(Properties!A$1:CB$87,Formula!H54,32))+((Formula!K54)/(Formula!C54+Formula!E54+Formula!G54+Formula!I54+Formula!K54))*(INDEX(Properties!A$1:CB$87,Formula!J54,32))</f>
        <v>6.0400000000000009</v>
      </c>
      <c r="DA54" s="42">
        <f>Formula!C54*(INDEX(Properties!A$1:CB$87,Formula!B54,32))+Formula!E54*(INDEX(Properties!A$1:CB$87,Formula!D54,32))+Formula!G54*(INDEX(Properties!A$1:CB$87,Formula!F54,32))+Formula!I54*(INDEX(Properties!A$1:CB$87,Formula!H54,32))+Formula!K54*(INDEX(Properties!A$1:CB$87,Formula!J54,32))</f>
        <v>78.52</v>
      </c>
      <c r="DB54" s="42">
        <f>VARP(IF(INDEX(Properties!A$1:CB$87,Formula!B54,32)&lt;&gt;"",INDEX(Properties!A$1:CB$87,Formula!B54,32)),IF(INDEX(Properties!A$1:CB$87,Formula!D54,32)&lt;&gt;"",INDEX(Properties!A$1:CB$87,Formula!D54,32)),IF(INDEX(Properties!A$1:CB$87,Formula!F54,32)&lt;&gt;"",INDEX(Properties!A$1:CB$87,Formula!F54,32)),IF(INDEX(Properties!A$1:CB$87,Formula!H54,32)&lt;&gt;"",INDEX(Properties!A$1:CB$87,Formula!H54,32)),IF(INDEX(Properties!A$1:CB$87,Formula!J54,32)&lt;&gt;"",INDEX(Properties!A$1:CB$87,Formula!J54,32)))</f>
        <v>6.3871759999999993</v>
      </c>
      <c r="DC54" s="42">
        <f>MAX(INDEX(Properties!A$1:CB$87,Formula!B54,32),INDEX(Properties!A$1:CB$87,Formula!D54,32),INDEX(Properties!A$1:CB$87,Formula!F54,32),INDEX(Properties!A$1:CB$87,Formula!H54,32),INDEX(Properties!A$1:CB$87,Formula!J54,32))</f>
        <v>7.54</v>
      </c>
      <c r="DD54" s="42">
        <f>MIN(IF(INDEX(Properties!A$1:CB$87,Formula!B54,32)=0,10^6,INDEX(Properties!A$1:CB$87,Formula!B54,32)),IF(INDEX(Properties!A$1:CB$87,Formula!D54,32)=0,10^6,INDEX(Properties!A$1:CB$87,Formula!D54,32)),IF(INDEX(Properties!A$1:CB$87,Formula!F54,32)=0,10^6,INDEX(Properties!A$1:CB$87,Formula!F54,32)),IF(INDEX(Properties!A$1:CB$87,Formula!H54,32)=0,10^6,INDEX(Properties!A$1:CB$87,Formula!H54,32)),IF(INDEX(Properties!A$1:CB$87,Formula!J54,32)=0,10^6,INDEX(Properties!A$1:CB$87,Formula!J54,32)))</f>
        <v>2.2000000000000002</v>
      </c>
      <c r="DE54" s="42">
        <f t="shared" si="17"/>
        <v>5.34</v>
      </c>
      <c r="DF54" s="60">
        <f>((Formula!C54)/(Formula!C54+Formula!E54+Formula!G54+Formula!I54+Formula!K54))*(INDEX(Properties!A$1:CB$87,Formula!B54,34))+((Formula!E54)/(Formula!C54+Formula!E54+Formula!G54+Formula!I54+Formula!K54))*(INDEX(Properties!A$1:CB$87,Formula!D54,34))+((Formula!G54)/(Formula!C54+Formula!E54+Formula!G54+Formula!I54+Formula!K54))*(INDEX(Properties!A$1:CB$87,Formula!F54,34))+((Formula!I54)/(Formula!C54+Formula!E54+Formula!G54+Formula!I54+Formula!K54))*(INDEX(Properties!A$1:CB$87,Formula!H54,34))+((Formula!K54)/(Formula!C54+Formula!E54+Formula!G54+Formula!I54+Formula!K54))*(INDEX(Properties!A$1:CB$87,Formula!J54,34))</f>
        <v>2.8439999999999999</v>
      </c>
      <c r="DG54" s="60">
        <f>Formula!C54*(INDEX(Properties!A$1:CB$87,Formula!B54,34))+Formula!E54*(INDEX(Properties!A$1:CB$87,Formula!D54,34))+Formula!G54*(INDEX(Properties!A$1:CB$87,Formula!F54,34))+Formula!I54*(INDEX(Properties!A$1:CB$87,Formula!H54,34))+Formula!K54*(INDEX(Properties!A$1:CB$87,Formula!J54,34))</f>
        <v>36.971999999999994</v>
      </c>
      <c r="DH54" s="60">
        <f>VARP(IF(INDEX(Properties!A$1:CB$87,Formula!B54,34)&lt;&gt;"",INDEX(Properties!A$1:CB$87,Formula!B54,34)),IF(INDEX(Properties!A$1:CB$87,Formula!D54,34)&lt;&gt;"",INDEX(Properties!A$1:CB$87,Formula!D54,34)),IF(INDEX(Properties!A$1:CB$87,Formula!F54,34)&lt;&gt;"",INDEX(Properties!A$1:CB$87,Formula!F54,34)),IF(INDEX(Properties!A$1:CB$87,Formula!H54,34)&lt;&gt;"",INDEX(Properties!A$1:CB$87,Formula!H54,34)),IF(INDEX(Properties!A$1:CB$87,Formula!J54,34)&lt;&gt;"",INDEX(Properties!A$1:CB$87,Formula!J54,34)))</f>
        <v>1.4028990400000003</v>
      </c>
      <c r="DI54" s="60">
        <f>MAX(INDEX(Properties!A$1:CB$87,Formula!B54,34),INDEX(Properties!A$1:CB$87,Formula!D54,34),INDEX(Properties!A$1:CB$87,Formula!F54,34),INDEX(Properties!A$1:CB$87,Formula!H54,34),INDEX(Properties!A$1:CB$87,Formula!J54,34))</f>
        <v>3.61</v>
      </c>
      <c r="DJ54" s="60">
        <f>MIN(IF(INDEX(Properties!A$1:CB$87,Formula!B54,34)=0,10^6,INDEX(Properties!A$1:CB$87,Formula!B54,34)),IF(INDEX(Properties!A$1:CB$87,Formula!D54,34)=0,10^6,INDEX(Properties!A$1:CB$87,Formula!D54,34)),IF(INDEX(Properties!A$1:CB$87,Formula!F54,34)=0,10^6,INDEX(Properties!A$1:CB$87,Formula!F54,34)),IF(INDEX(Properties!A$1:CB$87,Formula!H54,34)=0,10^6,INDEX(Properties!A$1:CB$87,Formula!H54,34)),IF(INDEX(Properties!A$1:CB$87,Formula!J54,34)=0,10^6,INDEX(Properties!A$1:CB$87,Formula!J54,34)))</f>
        <v>1.034</v>
      </c>
      <c r="DK54" s="60">
        <f t="shared" si="18"/>
        <v>2.5759999999999996</v>
      </c>
      <c r="DL54" s="45">
        <f>((Formula!C54)/(Formula!C54+Formula!E54+Formula!G54+Formula!I54+Formula!K54))*(INDEX(Properties!A$1:CB$87,Formula!B54,39))+((Formula!E54)/(Formula!C54+Formula!E54+Formula!G54+Formula!I54+Formula!K54))*(INDEX(Properties!A$1:CB$87,Formula!D54,39))+((Formula!G54)/(Formula!C54+Formula!E54+Formula!G54+Formula!I54+Formula!K54))*(INDEX(Properties!A$1:CB$87,Formula!F54,39))+((Formula!I54)/(Formula!C54+Formula!E54+Formula!G54+Formula!I54+Formula!K54))*(INDEX(Properties!A$1:CB$87,Formula!H54,39))+((Formula!K54)/(Formula!C54+Formula!E54+Formula!G54+Formula!I54+Formula!K54))*(INDEX(Properties!A$1:CB$87,Formula!J54,39))</f>
        <v>0.79692307692307685</v>
      </c>
      <c r="DM54" s="45">
        <f>Formula!C54*(INDEX(Properties!A$1:CB$87,Formula!B54,39))+Formula!E54*(INDEX(Properties!A$1:CB$87,Formula!D54,39))+Formula!G54*(INDEX(Properties!A$1:CB$87,Formula!F54,39))+Formula!I54*(INDEX(Properties!A$1:CB$87,Formula!H54,39))+Formula!K54*(INDEX(Properties!A$1:CB$87,Formula!J54,39))</f>
        <v>10.36</v>
      </c>
      <c r="DN54" s="45">
        <f>VARP(IF(INDEX(Properties!A$1:CB$87,Formula!B54,39)&lt;&gt;"",INDEX(Properties!A$1:CB$87,Formula!B54,39)),IF(INDEX(Properties!A$1:CB$87,Formula!D54,39)&lt;&gt;"",INDEX(Properties!A$1:CB$87,Formula!D54,39)),IF(INDEX(Properties!A$1:CB$87,Formula!F54,39)&lt;&gt;"",INDEX(Properties!A$1:CB$87,Formula!F54,39)),IF(INDEX(Properties!A$1:CB$87,Formula!H54,39)&lt;&gt;"",INDEX(Properties!A$1:CB$87,Formula!H54,39)),IF(INDEX(Properties!A$1:CB$87,Formula!J54,39)&lt;&gt;"",INDEX(Properties!A$1:CB$87,Formula!J54,39)))</f>
        <v>0.43633599999999972</v>
      </c>
      <c r="DO54" s="45">
        <f>MAX(INDEX(Properties!A$1:CB$87,Formula!B54,39),INDEX(Properties!A$1:CB$87,Formula!D54,39),INDEX(Properties!A$1:CB$87,Formula!F54,39),INDEX(Properties!A$1:CB$87,Formula!H54,39),INDEX(Properties!A$1:CB$87,Formula!J54,39))</f>
        <v>1.94</v>
      </c>
      <c r="DP54" s="45">
        <f>MIN(IF(INDEX(Properties!A$1:CB$87,Formula!B54,39)=0,10^6,INDEX(Properties!A$1:CB$87,Formula!B54,39)),IF(INDEX(Properties!A$1:CB$87,Formula!D54,39)=0,10^6,INDEX(Properties!A$1:CB$87,Formula!D54,39)),IF(INDEX(Properties!A$1:CB$87,Formula!F54,39)=0,10^6,INDEX(Properties!A$1:CB$87,Formula!F54,39)),IF(INDEX(Properties!A$1:CB$87,Formula!H54,39)=0,10^6,INDEX(Properties!A$1:CB$87,Formula!H54,39)),IF(INDEX(Properties!A$1:CB$87,Formula!J54,39)=0,10^6,INDEX(Properties!A$1:CB$87,Formula!J54,39)))</f>
        <v>0.48</v>
      </c>
      <c r="DQ54" s="45">
        <f t="shared" si="19"/>
        <v>1.46</v>
      </c>
      <c r="DR54" s="63">
        <f>((Formula!C54)/(Formula!C54+Formula!E54+Formula!G54+Formula!I54+Formula!K54))*(INDEX(Properties!A$1:CB$87,Formula!B54,40))+((Formula!E54)/(Formula!C54+Formula!E54+Formula!G54+Formula!I54+Formula!K54))*(INDEX(Properties!A$1:CB$87,Formula!D54,40))+((Formula!G54)/(Formula!C54+Formula!E54+Formula!G54+Formula!I54+Formula!K54))*(INDEX(Properties!A$1:CB$87,Formula!F54,40))+((Formula!I54)/(Formula!C54+Formula!E54+Formula!G54+Formula!I54+Formula!K54))*(INDEX(Properties!A$1:CB$87,Formula!H54,40))+((Formula!K54)/(Formula!C54+Formula!E54+Formula!G54+Formula!I54+Formula!K54))*(INDEX(Properties!A$1:CB$87,Formula!J54,40))</f>
        <v>0.93538461538461548</v>
      </c>
      <c r="DS54" s="63">
        <f>Formula!C54*(INDEX(Properties!A$1:CB$87,Formula!B54,40))+Formula!E54*(INDEX(Properties!A$1:CB$87,Formula!D54,40))+Formula!G54*(INDEX(Properties!A$1:CB$87,Formula!F54,40))+Formula!I54*(INDEX(Properties!A$1:CB$87,Formula!H54,40))+Formula!K54*(INDEX(Properties!A$1:CB$87,Formula!J54,40))</f>
        <v>12.16</v>
      </c>
      <c r="DT54" s="63">
        <f>VARP(IF(INDEX(Properties!A$1:CB$87,Formula!B54,40)&lt;&gt;"",INDEX(Properties!A$1:CB$87,Formula!B54,40)),IF(INDEX(Properties!A$1:CB$87,Formula!D54,40)&lt;&gt;"",INDEX(Properties!A$1:CB$87,Formula!D54,40)),IF(INDEX(Properties!A$1:CB$87,Formula!F54,40)&lt;&gt;"",INDEX(Properties!A$1:CB$87,Formula!F54,40)),IF(INDEX(Properties!A$1:CB$87,Formula!H54,40)&lt;&gt;"",INDEX(Properties!A$1:CB$87,Formula!H54,40)),IF(INDEX(Properties!A$1:CB$87,Formula!J54,40)&lt;&gt;"",INDEX(Properties!A$1:CB$87,Formula!J54,40)))</f>
        <v>0.33069599999999993</v>
      </c>
      <c r="DU54" s="63">
        <f>MAX(INDEX(Properties!A$1:CB$87,Formula!B54,40),INDEX(Properties!A$1:CB$87,Formula!D54,40),INDEX(Properties!A$1:CB$87,Formula!F54,40),INDEX(Properties!A$1:CB$87,Formula!H54,40),INDEX(Properties!A$1:CB$87,Formula!J54,40))</f>
        <v>1.74</v>
      </c>
      <c r="DV54" s="63">
        <f>MIN(IF(INDEX(Properties!A$1:CB$87,Formula!B54,40)=0,10^6,INDEX(Properties!A$1:CB$87,Formula!B54,40)),IF(INDEX(Properties!A$1:CB$87,Formula!D54,40)=0,10^6,INDEX(Properties!A$1:CB$87,Formula!D54,40)),IF(INDEX(Properties!A$1:CB$87,Formula!F54,40)=0,10^6,INDEX(Properties!A$1:CB$87,Formula!F54,40)),IF(INDEX(Properties!A$1:CB$87,Formula!H54,40)=0,10^6,INDEX(Properties!A$1:CB$87,Formula!H54,40)),IF(INDEX(Properties!A$1:CB$87,Formula!J54,40)=0,10^6,INDEX(Properties!A$1:CB$87,Formula!J54,40)))</f>
        <v>0.73</v>
      </c>
      <c r="DW54" s="63">
        <f t="shared" si="20"/>
        <v>1.01</v>
      </c>
      <c r="DX54" s="75">
        <f>((Formula!C54)/(Formula!C54+Formula!E54+Formula!G54+Formula!I54+Formula!K54))*(INDEX(Properties!A$1:CB$87,Formula!B54,41))+((Formula!E54)/(Formula!C54+Formula!E54+Formula!G54+Formula!I54+Formula!K54))*(INDEX(Properties!A$1:CB$87,Formula!D54,41))+((Formula!G54)/(Formula!C54+Formula!E54+Formula!G54+Formula!I54+Formula!K54))*(INDEX(Properties!A$1:CB$87,Formula!F54,41))+((Formula!I54)/(Formula!C54+Formula!E54+Formula!G54+Formula!I54+Formula!K54))*(INDEX(Properties!A$1:CB$87,Formula!H54,41))+((Formula!K54)/(Formula!C54+Formula!E54+Formula!G54+Formula!I54+Formula!K54))*(INDEX(Properties!A$1:CB$87,Formula!J54,41))</f>
        <v>1.0507692307692309</v>
      </c>
      <c r="DY54" s="75">
        <f>Formula!C54*(INDEX(Properties!A$1:CB$87,Formula!B54,41))+Formula!E54*(INDEX(Properties!A$1:CB$87,Formula!D54,41))+Formula!G54*(INDEX(Properties!A$1:CB$87,Formula!F54,41))+Formula!I54*(INDEX(Properties!A$1:CB$87,Formula!H54,41))+Formula!K54*(INDEX(Properties!A$1:CB$87,Formula!J54,41))</f>
        <v>13.66</v>
      </c>
      <c r="DZ54" s="75">
        <f>VARP(IF(INDEX(Properties!A$1:CB$87,Formula!B54,41)&lt;&gt;"",INDEX(Properties!A$1:CB$87,Formula!B54,41)),IF(INDEX(Properties!A$1:CB$87,Formula!D54,41)&lt;&gt;"",INDEX(Properties!A$1:CB$87,Formula!D54,41)),IF(INDEX(Properties!A$1:CB$87,Formula!F54,41)&lt;&gt;"",INDEX(Properties!A$1:CB$87,Formula!F54,41)),IF(INDEX(Properties!A$1:CB$87,Formula!H54,41)&lt;&gt;"",INDEX(Properties!A$1:CB$87,Formula!H54,41)),IF(INDEX(Properties!A$1:CB$87,Formula!J54,41)&lt;&gt;"",INDEX(Properties!A$1:CB$87,Formula!J54,41)))</f>
        <v>0.20406399999999997</v>
      </c>
      <c r="EA54" s="75">
        <f>MAX(INDEX(Properties!A$1:CB$87,Formula!B54,41),INDEX(Properties!A$1:CB$87,Formula!D54,41),INDEX(Properties!A$1:CB$87,Formula!F54,41),INDEX(Properties!A$1:CB$87,Formula!H54,41),INDEX(Properties!A$1:CB$87,Formula!J54,41))</f>
        <v>1.26</v>
      </c>
      <c r="EB54" s="75">
        <f>MIN(IF(INDEX(Properties!A$1:CB$87,Formula!B54,41)=0,10^6,INDEX(Properties!A$1:CB$87,Formula!B54,41)),IF(INDEX(Properties!A$1:CB$87,Formula!D54,41)=0,10^6,INDEX(Properties!A$1:CB$87,Formula!D54,41)),IF(INDEX(Properties!A$1:CB$87,Formula!F54,41)=0,10^6,INDEX(Properties!A$1:CB$87,Formula!F54,41)),IF(INDEX(Properties!A$1:CB$87,Formula!H54,41)=0,10^6,INDEX(Properties!A$1:CB$87,Formula!H54,41)),IF(INDEX(Properties!A$1:CB$87,Formula!J54,41)=0,10^6,INDEX(Properties!A$1:CB$87,Formula!J54,41)))</f>
        <v>0.54</v>
      </c>
      <c r="EC54" s="75">
        <f t="shared" si="21"/>
        <v>0.72</v>
      </c>
      <c r="ED54" s="48">
        <f>((Formula!C54)/(Formula!C54+Formula!E54+Formula!G54+Formula!I54+Formula!K54))*(INDEX(Properties!A$1:CB$87,Formula!B54,45))+((Formula!E54)/(Formula!C54+Formula!E54+Formula!G54+Formula!I54+Formula!K54))*(INDEX(Properties!A$1:CB$87,Formula!D54,45))+((Formula!G54)/(Formula!C54+Formula!E54+Formula!G54+Formula!I54+Formula!K54))*(INDEX(Properties!A$1:CB$87,Formula!F54,45))+((Formula!I54)/(Formula!C54+Formula!E54+Formula!G54+Formula!I54+Formula!K54))*(INDEX(Properties!A$1:CB$87,Formula!H54,45))+((Formula!K54)/(Formula!C54+Formula!E54+Formula!G54+Formula!I54+Formula!K54))*(INDEX(Properties!A$1:CB$87,Formula!J54,45))</f>
        <v>0.99692307692307702</v>
      </c>
      <c r="EE54" s="48">
        <f>Formula!C54*(INDEX(Properties!A$1:CB$87,Formula!B54,45))+Formula!E54*(INDEX(Properties!A$1:CB$87,Formula!D54,45))+Formula!G54*(INDEX(Properties!A$1:CB$87,Formula!F54,45))+Formula!I54*(INDEX(Properties!A$1:CB$87,Formula!H54,45))+Formula!K54*(INDEX(Properties!A$1:CB$87,Formula!J54,45))</f>
        <v>12.959999999999999</v>
      </c>
      <c r="EF54" s="48">
        <f>VARP(IF(INDEX(Properties!A$1:CB$87,Formula!B54,45)&lt;&gt;"",INDEX(Properties!A$1:CB$87,Formula!B54,45)),IF(INDEX(Properties!A$1:CB$87,Formula!D54,45)&lt;&gt;"",INDEX(Properties!A$1:CB$87,Formula!D54,45)),IF(INDEX(Properties!A$1:CB$87,Formula!F54,45)&lt;&gt;"",INDEX(Properties!A$1:CB$87,Formula!F54,45)),IF(INDEX(Properties!A$1:CB$87,Formula!H54,45)&lt;&gt;"",INDEX(Properties!A$1:CB$87,Formula!H54,45)),IF(INDEX(Properties!A$1:CB$87,Formula!J54,45)&lt;&gt;"",INDEX(Properties!A$1:CB$87,Formula!J54,45)))</f>
        <v>1.0853440000000001</v>
      </c>
      <c r="EG54" s="48">
        <f>MAX(INDEX(Properties!A$1:CB$87,Formula!B54,45),INDEX(Properties!A$1:CB$87,Formula!D54,45),INDEX(Properties!A$1:CB$87,Formula!F54,45),INDEX(Properties!A$1:CB$87,Formula!H54,45),INDEX(Properties!A$1:CB$87,Formula!J54,45))</f>
        <v>3</v>
      </c>
      <c r="EH54" s="48">
        <f>MIN(IF(INDEX(Properties!A$1:CB$87,Formula!B54,45)=0,10^6,INDEX(Properties!A$1:CB$87,Formula!B54,45)),IF(INDEX(Properties!A$1:CB$87,Formula!D54,45)=0,10^6,INDEX(Properties!A$1:CB$87,Formula!D54,45)),IF(INDEX(Properties!A$1:CB$87,Formula!F54,45)=0,10^6,INDEX(Properties!A$1:CB$87,Formula!F54,45)),IF(INDEX(Properties!A$1:CB$87,Formula!H54,45)=0,10^6,INDEX(Properties!A$1:CB$87,Formula!H54,45)),IF(INDEX(Properties!A$1:CB$87,Formula!J54,45)=0,10^6,INDEX(Properties!A$1:CB$87,Formula!J54,45)))</f>
        <v>0.47</v>
      </c>
      <c r="EI54" s="48">
        <f t="shared" si="22"/>
        <v>2.5300000000000002</v>
      </c>
      <c r="EJ54" s="66">
        <f>((Formula!C54)/(Formula!C54+Formula!E54+Formula!G54+Formula!I54+Formula!K54))*(INDEX(Properties!A$1:CB$87,Formula!B54,46))+((Formula!E54)/(Formula!C54+Formula!E54+Formula!G54+Formula!I54+Formula!K54))*(INDEX(Properties!A$1:CB$87,Formula!D54,46))+((Formula!G54)/(Formula!C54+Formula!E54+Formula!G54+Formula!I54+Formula!K54))*(INDEX(Properties!A$1:CB$87,Formula!F54,46))+((Formula!I54)/(Formula!C54+Formula!E54+Formula!G54+Formula!I54+Formula!K54))*(INDEX(Properties!A$1:CB$87,Formula!H54,46))+((Formula!K54)/(Formula!C54+Formula!E54+Formula!G54+Formula!I54+Formula!K54))*(INDEX(Properties!A$1:CB$87,Formula!J54,46))</f>
        <v>0.97538461538461552</v>
      </c>
      <c r="EK54" s="66">
        <f>Formula!C54*(INDEX(Properties!A$1:CB$87,Formula!B54,46))+Formula!E54*(INDEX(Properties!A$1:CB$87,Formula!D54,46))+Formula!G54*(INDEX(Properties!A$1:CB$87,Formula!F54,46))+Formula!I54*(INDEX(Properties!A$1:CB$87,Formula!H54,46))+Formula!K54*(INDEX(Properties!A$1:CB$87,Formula!J54,46))</f>
        <v>12.68</v>
      </c>
      <c r="EL54" s="66">
        <f>VARP(IF(INDEX(Properties!A$1:CB$87,Formula!B54,46)&lt;&gt;"",INDEX(Properties!A$1:CB$87,Formula!B54,46)),IF(INDEX(Properties!A$1:CB$87,Formula!D54,46)&lt;&gt;"",INDEX(Properties!A$1:CB$87,Formula!D54,46)),IF(INDEX(Properties!A$1:CB$87,Formula!F54,46)&lt;&gt;"",INDEX(Properties!A$1:CB$87,Formula!F54,46)),IF(INDEX(Properties!A$1:CB$87,Formula!H54,46)&lt;&gt;"",INDEX(Properties!A$1:CB$87,Formula!H54,46)),IF(INDEX(Properties!A$1:CB$87,Formula!J54,46)&lt;&gt;"",INDEX(Properties!A$1:CB$87,Formula!J54,46)))</f>
        <v>0.21058400000000005</v>
      </c>
      <c r="EM54" s="66">
        <f>MAX(INDEX(Properties!A$1:CB$87,Formula!B54,46),INDEX(Properties!A$1:CB$87,Formula!D54,46),INDEX(Properties!A$1:CB$87,Formula!F54,46),INDEX(Properties!A$1:CB$87,Formula!H54,46),INDEX(Properties!A$1:CB$87,Formula!J54,46))</f>
        <v>1.21</v>
      </c>
      <c r="EN54" s="66">
        <f>MIN(IF(INDEX(Properties!A$1:CB$87,Formula!B54,46)=0,10^6,INDEX(Properties!A$1:CB$87,Formula!B54,46)),IF(INDEX(Properties!A$1:CB$87,Formula!D54,46)=0,10^6,INDEX(Properties!A$1:CB$87,Formula!D54,46)),IF(INDEX(Properties!A$1:CB$87,Formula!F54,46)=0,10^6,INDEX(Properties!A$1:CB$87,Formula!F54,46)),IF(INDEX(Properties!A$1:CB$87,Formula!H54,46)=0,10^6,INDEX(Properties!A$1:CB$87,Formula!H54,46)),IF(INDEX(Properties!A$1:CB$87,Formula!J54,46)=0,10^6,INDEX(Properties!A$1:CB$87,Formula!J54,46)))</f>
        <v>0.4</v>
      </c>
      <c r="EO54" s="66">
        <f t="shared" si="23"/>
        <v>0.80999999999999994</v>
      </c>
      <c r="EP54" s="81">
        <f>((Formula!C54)/(Formula!C54+Formula!E54+Formula!G54+Formula!I54+Formula!K54))*(INDEX(Properties!A$1:CB$87,Formula!B54,52))+((Formula!E54)/(Formula!C54+Formula!E54+Formula!G54+Formula!I54+Formula!K54))*(INDEX(Properties!A$1:CB$87,Formula!D54,52))+((Formula!G54)/(Formula!C54+Formula!E54+Formula!G54+Formula!I54+Formula!K54))*(INDEX(Properties!A$1:CB$87,Formula!F54,52))+((Formula!I54)/(Formula!C54+Formula!E54+Formula!G54+Formula!I54+Formula!K54))*(INDEX(Properties!A$1:CB$87,Formula!H54,52))+((Formula!K54)/(Formula!C54+Formula!E54+Formula!G54+Formula!I54+Formula!K54))*(INDEX(Properties!A$1:CB$87,Formula!J54,52))</f>
        <v>4.3495384615384625</v>
      </c>
      <c r="EQ54" s="81">
        <f>Formula!C54*(INDEX(Properties!A$1:CB$87,Formula!B54,52))+Formula!E54*(INDEX(Properties!A$1:CB$87,Formula!D54,52))+Formula!G54*(INDEX(Properties!A$1:CB$87,Formula!F54,52))+Formula!I54*(INDEX(Properties!A$1:CB$87,Formula!H54,52))+Formula!K54*(INDEX(Properties!A$1:CB$87,Formula!J54,52))</f>
        <v>56.544000000000004</v>
      </c>
      <c r="ER54" s="81">
        <f>VARP(IF(INDEX(Properties!A$1:CB$87,Formula!B54,52)&lt;&gt;"",INDEX(Properties!A$1:CB$87,Formula!B54,52)),IF(INDEX(Properties!A$1:CB$87,Formula!D54,52)&lt;&gt;"",INDEX(Properties!A$1:CB$87,Formula!D54,52)),IF(INDEX(Properties!A$1:CB$87,Formula!F54,52)&lt;&gt;"",INDEX(Properties!A$1:CB$87,Formula!F54,52)),IF(INDEX(Properties!A$1:CB$87,Formula!H54,52)&lt;&gt;"",INDEX(Properties!A$1:CB$87,Formula!H54,52)),IF(INDEX(Properties!A$1:CB$87,Formula!J54,52)&lt;&gt;"",INDEX(Properties!A$1:CB$87,Formula!J54,52)))</f>
        <v>68.073055839999995</v>
      </c>
      <c r="ES54" s="81">
        <f>MAX(INDEX(Properties!A$1:CB$87,Formula!B54,52),INDEX(Properties!A$1:CB$87,Formula!D54,52),INDEX(Properties!A$1:CB$87,Formula!F54,52),INDEX(Properties!A$1:CB$87,Formula!H54,52),INDEX(Properties!A$1:CB$87,Formula!J54,52))</f>
        <v>22.8</v>
      </c>
      <c r="ET54" s="81">
        <f>MIN(IF(INDEX(Properties!A$1:CB$87,Formula!B54,52)=0,10^6,INDEX(Properties!A$1:CB$87,Formula!B54,52)),IF(INDEX(Properties!A$1:CB$87,Formula!D54,52)=0,10^6,INDEX(Properties!A$1:CB$87,Formula!D54,52)),IF(INDEX(Properties!A$1:CB$87,Formula!F54,52)=0,10^6,INDEX(Properties!A$1:CB$87,Formula!F54,52)),IF(INDEX(Properties!A$1:CB$87,Formula!H54,52)=0,10^6,INDEX(Properties!A$1:CB$87,Formula!H54,52)),IF(INDEX(Properties!A$1:CB$87,Formula!J54,52)=0,10^6,INDEX(Properties!A$1:CB$87,Formula!J54,52)))</f>
        <v>0.79300000000000004</v>
      </c>
      <c r="EU54" s="81">
        <f t="shared" si="24"/>
        <v>22.007000000000001</v>
      </c>
      <c r="EV54" s="39">
        <f>((Formula!C54)/(Formula!C54+Formula!E54+Formula!G54+Formula!I54+Formula!K54))*(INDEX(Properties!A$1:CB$87,Formula!B54,53))+((Formula!E54)/(Formula!C54+Formula!E54+Formula!G54+Formula!I54+Formula!K54))*(INDEX(Properties!A$1:CB$87,Formula!D54,53))+((Formula!G54)/(Formula!C54+Formula!E54+Formula!G54+Formula!I54+Formula!K54))*(INDEX(Properties!A$1:CB$87,Formula!F54,53))+((Formula!I54)/(Formula!C54+Formula!E54+Formula!G54+Formula!I54+Formula!K54))*(INDEX(Properties!A$1:CB$87,Formula!H54,53))+((Formula!K54)/(Formula!C54+Formula!E54+Formula!G54+Formula!I54+Formula!K54))*(INDEX(Properties!A$1:CB$87,Formula!J54,53))</f>
        <v>521.75</v>
      </c>
      <c r="EW54" s="39">
        <f>Formula!C54*(INDEX(Properties!A$1:CB$87,Formula!B54,53))+Formula!E54*(INDEX(Properties!A$1:CB$87,Formula!D54,53))+Formula!G54*(INDEX(Properties!A$1:CB$87,Formula!F54,53))+Formula!I54*(INDEX(Properties!A$1:CB$87,Formula!H54,53))+Formula!K54*(INDEX(Properties!A$1:CB$87,Formula!J54,53))</f>
        <v>6782.75</v>
      </c>
      <c r="EX54" s="39">
        <f>VARP(IF(INDEX(Properties!A$1:CB$87,Formula!B54,53)&lt;&gt;"",INDEX(Properties!A$1:CB$87,Formula!B54,53)),IF(INDEX(Properties!A$1:CB$87,Formula!D54,53)&lt;&gt;"",INDEX(Properties!A$1:CB$87,Formula!D54,53)),IF(INDEX(Properties!A$1:CB$87,Formula!F54,53)&lt;&gt;"",INDEX(Properties!A$1:CB$87,Formula!F54,53)),IF(INDEX(Properties!A$1:CB$87,Formula!H54,53)&lt;&gt;"",INDEX(Properties!A$1:CB$87,Formula!H54,53)),IF(INDEX(Properties!A$1:CB$87,Formula!J54,53)&lt;&gt;"",INDEX(Properties!A$1:CB$87,Formula!J54,53)))</f>
        <v>416223.51640000014</v>
      </c>
      <c r="EY54" s="39">
        <f>MAX(INDEX(Properties!A$1:CB$87,Formula!B54,53),INDEX(Properties!A$1:CB$87,Formula!D54,53),INDEX(Properties!A$1:CB$87,Formula!F54,53),INDEX(Properties!A$1:CB$87,Formula!H54,53),INDEX(Properties!A$1:CB$87,Formula!J54,53))</f>
        <v>1683.15</v>
      </c>
      <c r="EZ54" s="39">
        <f>MIN(IF(INDEX(Properties!A$1:CB$87,Formula!B54,53)=0,10^6,INDEX(Properties!A$1:CB$87,Formula!B54,53)),IF(INDEX(Properties!A$1:CB$87,Formula!D54,53)=0,10^6,INDEX(Properties!A$1:CB$87,Formula!D54,53)),IF(INDEX(Properties!A$1:CB$87,Formula!F54,53)=0,10^6,INDEX(Properties!A$1:CB$87,Formula!F54,53)),IF(INDEX(Properties!A$1:CB$87,Formula!H54,53)=0,10^6,INDEX(Properties!A$1:CB$87,Formula!H54,53)),IF(INDEX(Properties!A$1:CB$87,Formula!J54,53)=0,10^6,INDEX(Properties!A$1:CB$87,Formula!J54,53)))</f>
        <v>54.749999999999972</v>
      </c>
      <c r="FA54" s="39">
        <f t="shared" si="25"/>
        <v>1628.4</v>
      </c>
      <c r="FB54" s="54">
        <f>((Formula!C54)/(Formula!C54+Formula!E54+Formula!G54+Formula!I54+Formula!K54))*(INDEX(Properties!A$1:CB$87,Formula!B54,54))+((Formula!E54)/(Formula!C54+Formula!E54+Formula!G54+Formula!I54+Formula!K54))*(INDEX(Properties!A$1:CB$87,Formula!D54,54))+((Formula!G54)/(Formula!C54+Formula!E54+Formula!G54+Formula!I54+Formula!K54))*(INDEX(Properties!A$1:CB$87,Formula!F54,54))+((Formula!I54)/(Formula!C54+Formula!E54+Formula!G54+Formula!I54+Formula!K54))*(INDEX(Properties!A$1:CB$87,Formula!H54,54))+((Formula!K54)/(Formula!C54+Formula!E54+Formula!G54+Formula!I54+Formula!K54))*(INDEX(Properties!A$1:CB$87,Formula!J54,54))</f>
        <v>1016.5346153846154</v>
      </c>
      <c r="FC54" s="54">
        <f>Formula!C54*(INDEX(Properties!A$1:CB$87,Formula!B54,54))+Formula!E54*(INDEX(Properties!A$1:CB$87,Formula!D54,54))+Formula!G54*(INDEX(Properties!A$1:CB$87,Formula!F54,54))+Formula!I54*(INDEX(Properties!A$1:CB$87,Formula!H54,54))+Formula!K54*(INDEX(Properties!A$1:CB$87,Formula!J54,54))</f>
        <v>13214.95</v>
      </c>
      <c r="FD54" s="54">
        <f>VARP(IF(INDEX(Properties!A$1:CB$87,Formula!B54,54)&lt;&gt;"",INDEX(Properties!A$1:CB$87,Formula!B54,54)),IF(INDEX(Properties!A$1:CB$87,Formula!D54,54)&lt;&gt;"",INDEX(Properties!A$1:CB$87,Formula!D54,54)),IF(INDEX(Properties!A$1:CB$87,Formula!F54,54)&lt;&gt;"",INDEX(Properties!A$1:CB$87,Formula!F54,54)),IF(INDEX(Properties!A$1:CB$87,Formula!H54,54)&lt;&gt;"",INDEX(Properties!A$1:CB$87,Formula!H54,54)),IF(INDEX(Properties!A$1:CB$87,Formula!J54,54)&lt;&gt;"",INDEX(Properties!A$1:CB$87,Formula!J54,54)))</f>
        <v>1419664.1836000003</v>
      </c>
      <c r="FE54" s="54">
        <f>MAX(INDEX(Properties!A$1:CB$87,Formula!B54,54),INDEX(Properties!A$1:CB$87,Formula!D54,54),INDEX(Properties!A$1:CB$87,Formula!F54,54),INDEX(Properties!A$1:CB$87,Formula!H54,54),INDEX(Properties!A$1:CB$87,Formula!J54,54))</f>
        <v>2740.15</v>
      </c>
      <c r="FF54" s="54">
        <f>MIN(IF(INDEX(Properties!A$1:CB$87,Formula!B54,54)=0,10^6,INDEX(Properties!A$1:CB$87,Formula!B54,54)),IF(INDEX(Properties!A$1:CB$87,Formula!D54,54)=0,10^6,INDEX(Properties!A$1:CB$87,Formula!D54,54)),IF(INDEX(Properties!A$1:CB$87,Formula!F54,54)=0,10^6,INDEX(Properties!A$1:CB$87,Formula!F54,54)),IF(INDEX(Properties!A$1:CB$87,Formula!H54,54)=0,10^6,INDEX(Properties!A$1:CB$87,Formula!H54,54)),IF(INDEX(Properties!A$1:CB$87,Formula!J54,54)=0,10^6,INDEX(Properties!A$1:CB$87,Formula!J54,54)))</f>
        <v>90.149999999999977</v>
      </c>
      <c r="FG54" s="54">
        <f t="shared" si="26"/>
        <v>2650</v>
      </c>
      <c r="FH54" s="69">
        <f>((Formula!C54)/(Formula!C54+Formula!E54+Formula!G54+Formula!I54+Formula!K54))*(INDEX(Properties!A$1:CB$87,Formula!B54,55))+((Formula!E54)/(Formula!C54+Formula!E54+Formula!G54+Formula!I54+Formula!K54))*(INDEX(Properties!A$1:CB$87,Formula!D54,55))+((Formula!G54)/(Formula!C54+Formula!E54+Formula!G54+Formula!I54+Formula!K54))*(INDEX(Properties!A$1:CB$87,Formula!F54,55))+((Formula!I54)/(Formula!C54+Formula!E54+Formula!G54+Formula!I54+Formula!K54))*(INDEX(Properties!A$1:CB$87,Formula!H54,55))+((Formula!K54)/(Formula!C54+Formula!E54+Formula!G54+Formula!I54+Formula!K54))*(INDEX(Properties!A$1:CB$87,Formula!J54,55))</f>
        <v>0.89395692307692309</v>
      </c>
      <c r="FI54" s="69">
        <f>Formula!C54*(INDEX(Properties!A$1:CB$87,Formula!B54,55))+Formula!E54*(INDEX(Properties!A$1:CB$87,Formula!D54,54))+Formula!G54*(INDEX(Properties!A$1:CB$87,Formula!F54,55))+Formula!I54*(INDEX(Properties!A$1:CB$87,Formula!H54,55))+Formula!K54*(INDEX(Properties!A$1:CB$87,Formula!J54,55))</f>
        <v>5486.5214400000004</v>
      </c>
      <c r="FJ54" s="69">
        <f>VARP(IF(INDEX(Properties!A$1:CB$87,Formula!B54,55)&lt;&gt;"",INDEX(Properties!A$1:CB$87,Formula!B54,55)),IF(INDEX(Properties!A$1:CB$87,Formula!D54,55)&lt;&gt;"",INDEX(Properties!A$1:CB$87,Formula!D54,55)),IF(INDEX(Properties!A$1:CB$87,Formula!F54,55)&lt;&gt;"",INDEX(Properties!A$1:CB$87,Formula!F54,55)),IF(INDEX(Properties!A$1:CB$87,Formula!H54,55)&lt;&gt;"",INDEX(Properties!A$1:CB$87,Formula!H54,55)),IF(INDEX(Properties!A$1:CB$87,Formula!J54,55)&lt;&gt;"",INDEX(Properties!A$1:CB$87,Formula!J54,55)))</f>
        <v>1.2916715751840004</v>
      </c>
      <c r="FK54" s="69">
        <f>MAX(INDEX(Properties!A$1:CB$87,Formula!B54,55),INDEX(Properties!A$1:CB$87,Formula!D54,55),INDEX(Properties!A$1:CB$87,Formula!F54,55),INDEX(Properties!A$1:CB$87,Formula!H54,55),INDEX(Properties!A$1:CB$87,Formula!J54,55))</f>
        <v>2.7</v>
      </c>
      <c r="FL54" s="69">
        <f>MIN(IF(INDEX(Properties!A$1:CB$87,Formula!B54,55)=0,10^6,INDEX(Properties!A$1:CB$87,Formula!B54,55)),IF(INDEX(Properties!A$1:CB$87,Formula!D54,55)=0,10^6,INDEX(Properties!A$1:CB$87,Formula!D54,55)),IF(INDEX(Properties!A$1:CB$87,Formula!F54,55)=0,10^6,INDEX(Properties!A$1:CB$87,Formula!F54,55)),IF(INDEX(Properties!A$1:CB$87,Formula!H54,55)=0,10^6,INDEX(Properties!A$1:CB$87,Formula!H54,55)),IF(INDEX(Properties!A$1:CB$87,Formula!J54,55)=0,10^6,INDEX(Properties!A$1:CB$87,Formula!J54,55)))</f>
        <v>1.4300000000000001E-3</v>
      </c>
      <c r="FM54" s="69">
        <f t="shared" si="27"/>
        <v>2.6985700000000001</v>
      </c>
      <c r="FN54" s="42">
        <f>((Formula!C54)/(Formula!C54+Formula!E54+Formula!G54+Formula!I54+Formula!K54))*(INDEX(Properties!A$1:CB$87,Formula!B54,56))+((Formula!E54)/(Formula!C54+Formula!E54+Formula!G54+Formula!I54+Formula!K54))*(INDEX(Properties!A$1:CB$87,Formula!D54,56))+((Formula!G54)/(Formula!C54+Formula!E54+Formula!G54+Formula!I54+Formula!K54))*(INDEX(Properties!A$1:CB$87,Formula!F54,56))+((Formula!I54)/(Formula!C54+Formula!E54+Formula!G54+Formula!I54+Formula!K54))*(INDEX(Properties!A$1:CB$87,Formula!H54,56))+((Formula!K54)/(Formula!C54+Formula!E54+Formula!G54+Formula!I54+Formula!K54))*(INDEX(Properties!A$1:CB$87,Formula!J54,56))</f>
        <v>0.86230769230769244</v>
      </c>
      <c r="FO54" s="42">
        <f>Formula!C54*(INDEX(Properties!A$1:CB$87,Formula!B54,56))+Formula!E54*(INDEX(Properties!A$1:CB$87,Formula!D54,56))+Formula!G54*(INDEX(Properties!A$1:CB$87,Formula!F54,56))+Formula!I54*(INDEX(Properties!A$1:CB$87,Formula!H54,56))+Formula!K54*(INDEX(Properties!A$1:CB$87,Formula!J54,56))</f>
        <v>11.21</v>
      </c>
      <c r="FP54" s="42">
        <f>VARP(IF(INDEX(Properties!A$1:CB$87,Formula!B54,56)&lt;&gt;"",INDEX(Properties!A$1:CB$87,Formula!B54,56)),IF(INDEX(Properties!A$1:CB$87,Formula!D54,56)&lt;&gt;"",INDEX(Properties!A$1:CB$87,Formula!D54,56)),IF(INDEX(Properties!A$1:CB$87,Formula!F54,56)&lt;&gt;"",INDEX(Properties!A$1:CB$87,Formula!F54,56)),IF(INDEX(Properties!A$1:CB$87,Formula!H54,56)&lt;&gt;"",INDEX(Properties!A$1:CB$87,Formula!H54,56)),IF(INDEX(Properties!A$1:CB$87,Formula!J54,56)&lt;&gt;"",INDEX(Properties!A$1:CB$87,Formula!J54,56)))</f>
        <v>0.11205600000000004</v>
      </c>
      <c r="FQ54" s="42">
        <f>MAX(INDEX(Properties!A$1:CB$87,Formula!B54,56),INDEX(Properties!A$1:CB$87,Formula!D54,56),INDEX(Properties!A$1:CB$87,Formula!F54,56),INDEX(Properties!A$1:CB$87,Formula!H54,56),INDEX(Properties!A$1:CB$87,Formula!J54,56))</f>
        <v>0.92</v>
      </c>
      <c r="FR54" s="42">
        <f>MIN(IF(INDEX(Properties!A$1:CB$87,Formula!B54,56)=0,10^6,INDEX(Properties!A$1:CB$87,Formula!B54,56)),IF(INDEX(Properties!A$1:CB$87,Formula!D54,56)=0,10^6,INDEX(Properties!A$1:CB$87,Formula!D54,56)),IF(INDEX(Properties!A$1:CB$87,Formula!F54,56)=0,10^6,INDEX(Properties!A$1:CB$87,Formula!F54,56)),IF(INDEX(Properties!A$1:CB$87,Formula!H54,56)=0,10^6,INDEX(Properties!A$1:CB$87,Formula!H54,56)),IF(INDEX(Properties!A$1:CB$87,Formula!J54,56)=0,10^6,INDEX(Properties!A$1:CB$87,Formula!J54,56)))</f>
        <v>0.63</v>
      </c>
      <c r="FS54" s="42">
        <f t="shared" si="28"/>
        <v>0.29000000000000004</v>
      </c>
      <c r="FT54" s="60">
        <f>((Formula!C54)/(Formula!C54+Formula!E54+Formula!G54+Formula!I54+Formula!K54))*(INDEX(Properties!A$1:CB$87,Formula!B54,57))+((Formula!E54)/(Formula!C54+Formula!E54+Formula!G54+Formula!I54+Formula!K54))*(INDEX(Properties!A$1:CB$87,Formula!D54,57))+((Formula!G54)/(Formula!C54+Formula!E54+Formula!G54+Formula!I54+Formula!K54))*(INDEX(Properties!A$1:CB$87,Formula!F54,57))+((Formula!I54)/(Formula!C54+Formula!E54+Formula!G54+Formula!I54+Formula!K54))*(INDEX(Properties!A$1:CB$87,Formula!H54,57))+((Formula!K54)/(Formula!C54+Formula!E54+Formula!G54+Formula!I54+Formula!K54))*(INDEX(Properties!A$1:CB$87,Formula!J54,57))</f>
        <v>10.230824615384616</v>
      </c>
      <c r="FU54" s="60">
        <f>Formula!C54*(INDEX(Properties!A$1:CB$87,Formula!B54,57))+Formula!E54*(INDEX(Properties!A$1:CB$87,Formula!D54,57))+Formula!G54*(INDEX(Properties!A$1:CB$87,Formula!F54,57))+Formula!I54*(INDEX(Properties!A$1:CB$87,Formula!H54,57))+Formula!K54*(INDEX(Properties!A$1:CB$87,Formula!J54,57))</f>
        <v>133.00072</v>
      </c>
      <c r="FV54" s="60">
        <f>VARP(IF(INDEX(Properties!A$1:CB$87,Formula!B54,57)&lt;&gt;"",INDEX(Properties!A$1:CB$87,Formula!B54,57)),IF(INDEX(Properties!A$1:CB$87,Formula!D54,57)&lt;&gt;"",INDEX(Properties!A$1:CB$87,Formula!D54,57)),IF(INDEX(Properties!A$1:CB$87,Formula!F54,57)&lt;&gt;"",INDEX(Properties!A$1:CB$87,Formula!F54,57)),IF(INDEX(Properties!A$1:CB$87,Formula!H54,57)&lt;&gt;"",INDEX(Properties!A$1:CB$87,Formula!H54,57)),IF(INDEX(Properties!A$1:CB$87,Formula!J54,57)&lt;&gt;"",INDEX(Properties!A$1:CB$87,Formula!J54,57)))</f>
        <v>352.36662427329605</v>
      </c>
      <c r="FW54" s="60">
        <f>MAX(INDEX(Properties!A$1:CB$87,Formula!B54,57),INDEX(Properties!A$1:CB$87,Formula!D54,57),INDEX(Properties!A$1:CB$87,Formula!F54,57),INDEX(Properties!A$1:CB$87,Formula!H54,57),INDEX(Properties!A$1:CB$87,Formula!J54,57))</f>
        <v>50.55</v>
      </c>
      <c r="FX54" s="60">
        <f>MIN(IF(INDEX(Properties!A$1:CB$87,Formula!B54,57)=0,10^6,INDEX(Properties!A$1:CB$87,Formula!B54,57)),IF(INDEX(Properties!A$1:CB$87,Formula!D54,57)=0,10^6,INDEX(Properties!A$1:CB$87,Formula!D54,57)),IF(INDEX(Properties!A$1:CB$87,Formula!F54,57)=0,10^6,INDEX(Properties!A$1:CB$87,Formula!F54,57)),IF(INDEX(Properties!A$1:CB$87,Formula!H54,57)=0,10^6,INDEX(Properties!A$1:CB$87,Formula!H54,57)),IF(INDEX(Properties!A$1:CB$87,Formula!J54,57)=0,10^6,INDEX(Properties!A$1:CB$87,Formula!J54,57)))</f>
        <v>0.22259000000000001</v>
      </c>
      <c r="FY54" s="60">
        <f t="shared" si="29"/>
        <v>50.32741</v>
      </c>
      <c r="FZ54" s="72">
        <f>((Formula!C54)/(Formula!C54+Formula!E54+Formula!G54+Formula!I54+Formula!K54))*(INDEX(Properties!A$1:CB$87,Formula!B54,60))+((Formula!E54)/(Formula!C54+Formula!E54+Formula!G54+Formula!I54+Formula!K54))*(INDEX(Properties!A$1:CB$87,Formula!D54,60))+((Formula!G54)/(Formula!C54+Formula!E54+Formula!G54+Formula!I54+Formula!K54))*(INDEX(Properties!A$1:CB$87,Formula!F54,60))+((Formula!I54)/(Formula!C54+Formula!E54+Formula!G54+Formula!I54+Formula!K54))*(INDEX(Properties!A$1:CB$87,Formula!H54,60))+((Formula!K54)/(Formula!C54+Formula!E54+Formula!G54+Formula!I54+Formula!K54))*(INDEX(Properties!A$1:CB$87,Formula!J54,60))</f>
        <v>74.631840000000011</v>
      </c>
      <c r="GA54" s="72">
        <f>Formula!C54*(INDEX(Properties!A$1:CB$87,Formula!B54,60))+Formula!E54*(INDEX(Properties!A$1:CB$87,Formula!D54,60))+Formula!G54*(INDEX(Properties!A$1:CB$87,Formula!F54,60))+Formula!I54*(INDEX(Properties!A$1:CB$87,Formula!H54,60))+Formula!K54*(INDEX(Properties!A$1:CB$87,Formula!J54,60))</f>
        <v>970.21392000000003</v>
      </c>
      <c r="GB54" s="72">
        <f>VARP(IF(INDEX(Properties!A$1:CB$87,Formula!B54,60)&lt;&gt;"",INDEX(Properties!A$1:CB$87,Formula!B54,60)),IF(INDEX(Properties!A$1:CB$87,Formula!D54,60)&lt;&gt;"",INDEX(Properties!A$1:CB$87,Formula!D54,60)),IF(INDEX(Properties!A$1:CB$87,Formula!F54,60)&lt;&gt;"",INDEX(Properties!A$1:CB$87,Formula!F54,60)),IF(INDEX(Properties!A$1:CB$87,Formula!H54,60)&lt;&gt;"",INDEX(Properties!A$1:CB$87,Formula!H54,60)),IF(INDEX(Properties!A$1:CB$87,Formula!J54,60)&lt;&gt;"",INDEX(Properties!A$1:CB$87,Formula!J54,60)))</f>
        <v>9924.3486824044157</v>
      </c>
      <c r="GC54" s="72">
        <f>MAX(INDEX(Properties!A$1:CB$87,Formula!B54,60),INDEX(Properties!A$1:CB$87,Formula!D54,60),INDEX(Properties!A$1:CB$87,Formula!F54,60),INDEX(Properties!A$1:CB$87,Formula!H54,60),INDEX(Properties!A$1:CB$87,Formula!J54,60))</f>
        <v>237</v>
      </c>
      <c r="GD54" s="72">
        <f>MIN(IF(INDEX(Properties!A$1:CB$87,Formula!B54,60)=0,10^6,INDEX(Properties!A$1:CB$87,Formula!B54,60)),IF(INDEX(Properties!A$1:CB$87,Formula!D54,60)=0,10^6,INDEX(Properties!A$1:CB$87,Formula!D54,60)),IF(INDEX(Properties!A$1:CB$87,Formula!F54,60)=0,10^6,INDEX(Properties!A$1:CB$87,Formula!F54,60)),IF(INDEX(Properties!A$1:CB$87,Formula!H54,60)=0,10^6,INDEX(Properties!A$1:CB$87,Formula!H54,60)),IF(INDEX(Properties!A$1:CB$87,Formula!J54,60)=0,10^6,INDEX(Properties!A$1:CB$87,Formula!J54,60)))</f>
        <v>2.674E-2</v>
      </c>
      <c r="GE54" s="72">
        <f t="shared" si="30"/>
        <v>236.97326000000001</v>
      </c>
      <c r="GF54" s="51">
        <f>((Formula!C54)/(Formula!C54+Formula!E54+Formula!G54+Formula!I54+Formula!K54))*(INDEX(Properties!A$1:CB$87,Formula!B54,62))+((Formula!E54)/(Formula!C54+Formula!E54+Formula!G54+Formula!I54+Formula!K54))*(INDEX(Properties!A$1:CB$87,Formula!D54,62))+((Formula!G54)/(Formula!C54+Formula!E54+Formula!G54+Formula!I54+Formula!K54))*(INDEX(Properties!A$1:CB$87,Formula!F54,62))+((Formula!I54)/(Formula!C54+Formula!E54+Formula!G54+Formula!I54+Formula!K54))*(INDEX(Properties!A$1:CB$87,Formula!H54,62))+((Formula!K54)/(Formula!C54+Formula!E54+Formula!G54+Formula!I54+Formula!K54))*(INDEX(Properties!A$1:CB$87,Formula!J54,62))</f>
        <v>2.9876923076923081</v>
      </c>
      <c r="GG54" s="51">
        <f>Formula!C54*(INDEX(Properties!A$1:CB$87,Formula!B54,62))+Formula!E54*(INDEX(Properties!A$1:CB$87,Formula!D54,62))+Formula!G54*(INDEX(Properties!A$1:CB$87,Formula!F54,62))+Formula!I54*(INDEX(Properties!A$1:CB$87,Formula!H54,62))+Formula!K54*(INDEX(Properties!A$1:CB$87,Formula!J54,62))</f>
        <v>38.840000000000003</v>
      </c>
      <c r="GH54" s="51">
        <f>VARP(IF(INDEX(Properties!A$1:CB$87,Formula!B54,62)&lt;&gt;"",INDEX(Properties!A$1:CB$87,Formula!B54,62)),IF(INDEX(Properties!A$1:CB$87,Formula!D54,62)&lt;&gt;"",INDEX(Properties!A$1:CB$87,Formula!D54,62)),IF(INDEX(Properties!A$1:CB$87,Formula!F54,62)&lt;&gt;"",INDEX(Properties!A$1:CB$87,Formula!F54,62)),IF(INDEX(Properties!A$1:CB$87,Formula!H54,62)&lt;&gt;"",INDEX(Properties!A$1:CB$87,Formula!H54,62)),IF(INDEX(Properties!A$1:CB$87,Formula!J54,62)&lt;&gt;"",INDEX(Properties!A$1:CB$87,Formula!J54,62)))</f>
        <v>2.4057839999999997</v>
      </c>
      <c r="GI54" s="51">
        <f>MAX(INDEX(Properties!A$1:CB$87,Formula!B54,62),INDEX(Properties!A$1:CB$87,Formula!D54,62),INDEX(Properties!A$1:CB$87,Formula!F54,62),INDEX(Properties!A$1:CB$87,Formula!H54,62),INDEX(Properties!A$1:CB$87,Formula!J54,62))</f>
        <v>4.63</v>
      </c>
      <c r="GJ54" s="51">
        <f>MIN(IF(INDEX(Properties!A$1:CB$87,Formula!B54,62)=0,10^6,INDEX(Properties!A$1:CB$87,Formula!B54,62)),IF(INDEX(Properties!A$1:CB$87,Formula!D54,62)=0,10^6,INDEX(Properties!A$1:CB$87,Formula!D54,62)),IF(INDEX(Properties!A$1:CB$87,Formula!F54,62)=0,10^6,INDEX(Properties!A$1:CB$87,Formula!F54,62)),IF(INDEX(Properties!A$1:CB$87,Formula!H54,62)=0,10^6,INDEX(Properties!A$1:CB$87,Formula!H54,62)),IF(INDEX(Properties!A$1:CB$87,Formula!J54,62)=0,10^6,INDEX(Properties!A$1:CB$87,Formula!J54,62)))</f>
        <v>1.84</v>
      </c>
      <c r="GK54" s="51">
        <f t="shared" si="31"/>
        <v>2.79</v>
      </c>
      <c r="GL54" s="51">
        <f>Formula!P54</f>
        <v>2</v>
      </c>
      <c r="GM54" s="57">
        <f>Formula!O54</f>
        <v>1</v>
      </c>
      <c r="GN54" s="51">
        <f>Formula!N54</f>
        <v>0.03</v>
      </c>
    </row>
    <row r="55" spans="1:196" x14ac:dyDescent="0.3">
      <c r="A55" s="84" t="str">
        <f>Formula!A55</f>
        <v>Y4Al2O9</v>
      </c>
      <c r="B55" s="89">
        <f>((Formula!C55)/(Formula!C55+Formula!E55+Formula!G55+Formula!I55+Formula!K55))*(INDEX(Properties!A$1:CB$87,Formula!B55,3))+((Formula!E55)/(Formula!C55+Formula!E55+Formula!G55+Formula!I55+Formula!K55))*(INDEX(Properties!A$1:CB$87,Formula!D55,3))+((Formula!G55)/(Formula!C55+Formula!E55+Formula!G55+Formula!I55+Formula!K55))*(INDEX(Properties!A$1:CB$87,Formula!F55,3))+((Formula!I55)/(Formula!C55+Formula!E55+Formula!G55+Formula!I55+Formula!K55))*(INDEX(Properties!A$1:CB$87,Formula!H55,3))+((Formula!K55)/(Formula!C55+Formula!E55+Formula!G55+Formula!I55+Formula!K55))*(INDEX(Properties!A$1:CB$87,Formula!J55,3))</f>
        <v>36.90540253333333</v>
      </c>
      <c r="C55" s="85">
        <f>Formula!C55*(INDEX(Properties!A$1:CB$87,Formula!B55,3))+Formula!E55*(INDEX(Properties!A$1:CB$87,Formula!D55,3))+Formula!G55*(INDEX(Properties!A$1:CB$87,Formula!F55,3))+Formula!I55*(INDEX(Properties!A$1:CB$87,Formula!H55,3))+Formula!K55*(INDEX(Properties!A$1:CB$87,Formula!J55,3))</f>
        <v>553.58103800000004</v>
      </c>
      <c r="D55" s="85">
        <f>VARP(IF(INDEX(Properties!A$1:CB$87,Formula!B55,3)&lt;&gt;"",INDEX(Properties!A$1:CB$87,Formula!B55,3)),IF(INDEX(Properties!A$1:CB$87,Formula!D55,3)&lt;&gt;"",INDEX(Properties!A$1:CB$87,Formula!D55,3)),IF(INDEX(Properties!A$1:CB$87,Formula!F55,3)&lt;&gt;"",INDEX(Properties!A$1:CB$87,Formula!F55,3)),IF(INDEX(Properties!A$1:CB$87,Formula!H55,3)&lt;&gt;"",INDEX(Properties!A$1:CB$87,Formula!H55,3)),IF(INDEX(Properties!A$1:CB$87,Formula!J55,3)&lt;&gt;"",INDEX(Properties!A$1:CB$87,Formula!J55,3)))</f>
        <v>1081.8816276550306</v>
      </c>
      <c r="E55" s="85">
        <f>MAX(INDEX(Properties!A$1:CB$87,Formula!B55,3),INDEX(Properties!A$1:CB$87,Formula!D55,3),INDEX(Properties!A$1:CB$87,Formula!F55,3),INDEX(Properties!A$1:CB$87,Formula!H55,3),INDEX(Properties!A$1:CB$87,Formula!J55,3))</f>
        <v>88.905839999999998</v>
      </c>
      <c r="F55" s="85">
        <f>MIN(IF(INDEX(Properties!A$1:CB$87,Formula!B55,3)=0,10^6,INDEX(Properties!A$1:CB$87,Formula!B55,3)),IF(INDEX(Properties!A$1:CB$87,Formula!D55,3)=0,10^6,INDEX(Properties!A$1:CB$87,Formula!D55,3)),IF(INDEX(Properties!A$1:CB$87,Formula!F55,3)=0,10^6,INDEX(Properties!A$1:CB$87,Formula!F55,3)),IF(INDEX(Properties!A$1:CB$87,Formula!H55,3)=0,10^6,INDEX(Properties!A$1:CB$87,Formula!H55,3)),IF(INDEX(Properties!A$1:CB$87,Formula!J55,3)=0,10^6,INDEX(Properties!A$1:CB$87,Formula!J55,3)))</f>
        <v>15.9994</v>
      </c>
      <c r="G55" s="85">
        <f t="shared" si="0"/>
        <v>72.906440000000003</v>
      </c>
      <c r="H55" s="87">
        <f>((Formula!C55)/(Formula!C55+Formula!E55+Formula!G55+Formula!I55+Formula!K55))*(INDEX(Properties!A$1:CB$87,Formula!B55,4))+((Formula!E55)/(Formula!C55+Formula!E55+Formula!G55+Formula!I55+Formula!K55))*(INDEX(Properties!A$1:CB$87,Formula!D55,4))+((Formula!G55)/(Formula!C55+Formula!E55+Formula!G55+Formula!I55+Formula!K55))*(INDEX(Properties!A$1:CB$87,Formula!F55,4))+((Formula!I55)/(Formula!C55+Formula!E55+Formula!G55+Formula!I55+Formula!K55))*(INDEX(Properties!A$1:CB$87,Formula!H55,4))+((Formula!K55)/(Formula!C55+Formula!E55+Formula!G55+Formula!I55+Formula!K55))*(INDEX(Properties!A$1:CB$87,Formula!J55,4))</f>
        <v>16.933333333333334</v>
      </c>
      <c r="I55" s="87">
        <f>Formula!C55*(INDEX(Properties!A$1:CB$87,Formula!B55,4))+Formula!E55*(INDEX(Properties!A$1:CB$87,Formula!D55,4))+Formula!G55*(INDEX(Properties!A$1:CB$87,Formula!F55,4))+Formula!I55*(INDEX(Properties!A$1:CB$87,Formula!H55,4))+Formula!K55*(INDEX(Properties!A$1:CB$87,Formula!J55,4))</f>
        <v>254</v>
      </c>
      <c r="J55" s="87">
        <f>VARP(IF(INDEX(Properties!A$1:CB$87,Formula!B55,4)&lt;&gt;"",INDEX(Properties!A$1:CB$87,Formula!B55,4)),IF(INDEX(Properties!A$1:CB$87,Formula!D55,4)&lt;&gt;"",INDEX(Properties!A$1:CB$87,Formula!D55,4)),IF(INDEX(Properties!A$1:CB$87,Formula!F55,4)&lt;&gt;"",INDEX(Properties!A$1:CB$87,Formula!F55,4)),IF(INDEX(Properties!A$1:CB$87,Formula!H55,4)&lt;&gt;"",INDEX(Properties!A$1:CB$87,Formula!H55,4)),IF(INDEX(Properties!A$1:CB$87,Formula!J55,4)&lt;&gt;"",INDEX(Properties!A$1:CB$87,Formula!J55,4)))</f>
        <v>206.8</v>
      </c>
      <c r="K55" s="87">
        <f>MAX(INDEX(Properties!A$1:CB$87,Formula!B55,4),INDEX(Properties!A$1:CB$87,Formula!D55,4),INDEX(Properties!A$1:CB$87,Formula!F55,4),INDEX(Properties!A$1:CB$87,Formula!H55,4),INDEX(Properties!A$1:CB$87,Formula!J55,4))</f>
        <v>39</v>
      </c>
      <c r="L55" s="87">
        <f>MIN(IF(INDEX(Properties!A$1:CB$87,Formula!B55,4)=0,10^6,INDEX(Properties!A$1:CB$87,Formula!B55,4)),IF(INDEX(Properties!A$1:CB$87,Formula!D55,4)=0,10^6,INDEX(Properties!A$1:CB$87,Formula!D55,4)),IF(INDEX(Properties!A$1:CB$87,Formula!F55,4)=0,10^6,INDEX(Properties!A$1:CB$87,Formula!F55,4)),IF(INDEX(Properties!A$1:CB$87,Formula!H55,4)=0,10^6,INDEX(Properties!A$1:CB$87,Formula!H55,4)),IF(INDEX(Properties!A$1:CB$87,Formula!J55,4)=0,10^6,INDEX(Properties!A$1:CB$87,Formula!J55,4)))</f>
        <v>8</v>
      </c>
      <c r="M55" s="87">
        <f t="shared" si="1"/>
        <v>31</v>
      </c>
      <c r="N55" s="89">
        <f>((Formula!C55)/(Formula!C55+Formula!E55+Formula!G55+Formula!I55+Formula!K55))*(INDEX(Properties!A$1:CB$87,Formula!B55,5))+((Formula!E55)/(Formula!C55+Formula!E55+Formula!G55+Formula!I55+Formula!K55))*(INDEX(Properties!A$1:CB$87,Formula!D55,5))+((Formula!G55)/(Formula!C55+Formula!E55+Formula!G55+Formula!I55+Formula!K55))*(INDEX(Properties!A$1:CB$87,Formula!F55,5))+((Formula!I55)/(Formula!C55+Formula!E55+Formula!G55+Formula!I55+Formula!K55))*(INDEX(Properties!A$1:CB$87,Formula!H55,5))+((Formula!K55)/(Formula!C55+Formula!E55+Formula!G55+Formula!I55+Formula!K55))*(INDEX(Properties!A$1:CB$87,Formula!J55,5))</f>
        <v>2.9333333333333336</v>
      </c>
      <c r="O55" s="89">
        <f>Formula!C55*(INDEX(Properties!A$1:CB$87,Formula!B55,5))+Formula!E55*(INDEX(Properties!A$1:CB$87,Formula!D55,5))+Formula!G55*(INDEX(Properties!A$1:CB$87,Formula!F55,5))+Formula!I55*(INDEX(Properties!A$1:CB$87,Formula!H55,5))+Formula!K55*(INDEX(Properties!A$1:CB$87,Formula!J55,5))</f>
        <v>44</v>
      </c>
      <c r="P55" s="89">
        <f>VARP(IF(INDEX(Properties!A$1:CB$87,Formula!B55,5)&lt;&gt;"",INDEX(Properties!A$1:CB$87,Formula!B55,5)),IF(INDEX(Properties!A$1:CB$87,Formula!D55,5)&lt;&gt;"",INDEX(Properties!A$1:CB$87,Formula!D55,5)),IF(INDEX(Properties!A$1:CB$87,Formula!F55,5)&lt;&gt;"",INDEX(Properties!A$1:CB$87,Formula!F55,5)),IF(INDEX(Properties!A$1:CB$87,Formula!H55,5)&lt;&gt;"",INDEX(Properties!A$1:CB$87,Formula!H55,5)),IF(INDEX(Properties!A$1:CB$87,Formula!J55,5)&lt;&gt;"",INDEX(Properties!A$1:CB$87,Formula!J55,5)))</f>
        <v>3.6</v>
      </c>
      <c r="Q55" s="89">
        <f>MAX(INDEX(Properties!A$1:CB$87,Formula!B55,5),INDEX(Properties!A$1:CB$87,Formula!D55,5),INDEX(Properties!A$1:CB$87,Formula!F55,5),INDEX(Properties!A$1:CB$87,Formula!H55,5),INDEX(Properties!A$1:CB$87,Formula!J55,5))</f>
        <v>5</v>
      </c>
      <c r="R55" s="89">
        <f>MIN(IF(INDEX(Properties!A$1:CB$87,Formula!B55,5)=0,10^6,INDEX(Properties!A$1:CB$87,Formula!B55,5)),IF(INDEX(Properties!A$1:CB$87,Formula!D55,5)=0,10^6,INDEX(Properties!A$1:CB$87,Formula!D55,5)),IF(INDEX(Properties!A$1:CB$87,Formula!F55,5)=0,10^6,INDEX(Properties!A$1:CB$87,Formula!F55,5)),IF(INDEX(Properties!A$1:CB$87,Formula!H55,5)=0,10^6,INDEX(Properties!A$1:CB$87,Formula!H55,5)),IF(INDEX(Properties!A$1:CB$87,Formula!J55,5)=0,10^6,INDEX(Properties!A$1:CB$87,Formula!J55,5)))</f>
        <v>2</v>
      </c>
      <c r="S55" s="89">
        <f t="shared" si="2"/>
        <v>3</v>
      </c>
      <c r="T55" s="60">
        <f>((Formula!C55)/(Formula!C55+Formula!E55+Formula!G55+Formula!I55+Formula!K55))*(INDEX(Properties!A$1:CB$87,Formula!B55,6))+((Formula!E55)/(Formula!C55+Formula!E55+Formula!G55+Formula!I55+Formula!K55))*(INDEX(Properties!A$1:CB$87,Formula!D55,6))+((Formula!G55)/(Formula!C55+Formula!E55+Formula!G55+Formula!I55+Formula!K55))*(INDEX(Properties!A$1:CB$87,Formula!F55,6))+((Formula!I55)/(Formula!C55+Formula!E55+Formula!G55+Formula!I55+Formula!K55))*(INDEX(Properties!A$1:CB$87,Formula!H55,6))+((Formula!K55)/(Formula!C55+Formula!E55+Formula!G55+Formula!I55+Formula!K55))*(INDEX(Properties!A$1:CB$87,Formula!J55,6))</f>
        <v>12.133333333333333</v>
      </c>
      <c r="U55" s="60">
        <f>Formula!C55*(INDEX(Properties!A$1:CB$87,Formula!B55,6))+Formula!E55*(INDEX(Properties!A$1:CB$87,Formula!D55,6))+Formula!G55*(INDEX(Properties!A$1:CB$87,Formula!F55,6))+Formula!I55*(INDEX(Properties!A$1:CB$87,Formula!H55,6))+Formula!K55*(INDEX(Properties!A$1:CB$87,Formula!J55,6))</f>
        <v>182</v>
      </c>
      <c r="V55" s="89">
        <f>VARP(IF(INDEX(Properties!A$1:CB$87,Formula!B55,6)&lt;&gt;"",INDEX(Properties!A$1:CB$87,Formula!B55,6)),IF(INDEX(Properties!A$1:CB$87,Formula!D55,6)&lt;&gt;"",INDEX(Properties!A$1:CB$87,Formula!D55,6)),IF(INDEX(Properties!A$1:CB$87,Formula!F55,6)&lt;&gt;"",INDEX(Properties!A$1:CB$87,Formula!F55,6)),IF(INDEX(Properties!A$1:CB$87,Formula!H55,6)&lt;&gt;"",INDEX(Properties!A$1:CB$87,Formula!H55,6)),IF(INDEX(Properties!A$1:CB$87,Formula!J55,6)&lt;&gt;"",INDEX(Properties!A$1:CB$87,Formula!J55,6)))</f>
        <v>45.84</v>
      </c>
      <c r="W55" s="60">
        <f>MAX(INDEX(Properties!A$1:CB$87,Formula!B55,6),INDEX(Properties!A$1:CB$87,Formula!D55,6),INDEX(Properties!A$1:CB$87,Formula!F55,6),INDEX(Properties!A$1:CB$87,Formula!H55,4),INDEX(Properties!A$1:CB$87,Formula!J55,6))</f>
        <v>16</v>
      </c>
      <c r="X55" s="60">
        <f>MIN(IF(INDEX(Properties!A$1:CB$87,Formula!B55,6)=0,10^6,INDEX(Properties!A$1:CB$87,Formula!B55,6)),IF(INDEX(Properties!A$1:CB$87,Formula!D55,6)=0,10^6,INDEX(Properties!A$1:CB$87,Formula!D55,6)),IF(INDEX(Properties!A$1:CB$87,Formula!F55,6)=0,10^6,INDEX(Properties!A$1:CB$87,Formula!F55,6)),IF(INDEX(Properties!A$1:CB$87,Formula!H55,6)=0,10^6,INDEX(Properties!A$1:CB$87,Formula!H55,6)),IF(INDEX(Properties!A$1:CB$87,Formula!J55,6)=0,10^6,INDEX(Properties!A$1:CB$87,Formula!J55,6)))</f>
        <v>3</v>
      </c>
      <c r="Y55" s="60">
        <f t="shared" si="3"/>
        <v>13</v>
      </c>
      <c r="Z55" s="72">
        <f>((Formula!C55)/(Formula!C55+Formula!E55+Formula!G55+Formula!I55+Formula!K55))*(INDEX(Properties!A$1:CB$87,Formula!B55,9))+((Formula!E55)/(Formula!C55+Formula!E55+Formula!G55+Formula!I55+Formula!K55))*(INDEX(Properties!A$1:CB$87,Formula!D55,9))+((Formula!G55)/(Formula!C55+Formula!E55+Formula!G55+Formula!I55+Formula!K55))*(INDEX(Properties!A$1:CB$87,Formula!F55,9))+((Formula!I55)/(Formula!C55+Formula!E55+Formula!G55+Formula!I55+Formula!K55))*(INDEX(Properties!A$1:CB$87,Formula!H55,9))+((Formula!K55)/(Formula!C55+Formula!E55+Formula!G55+Formula!I55+Formula!K55))*(INDEX(Properties!A$1:CB$87,Formula!J55,9))</f>
        <v>65.133333333333326</v>
      </c>
      <c r="AA55" s="72">
        <f>Formula!C55*(INDEX(Properties!A$1:CB$87,Formula!B55,9))+Formula!E55*(INDEX(Properties!A$1:CB$87,Formula!D55,9))+Formula!G55*(INDEX(Properties!A$1:CB$87,Formula!F55,9))+Formula!I55*(INDEX(Properties!A$1:CB$87,Formula!H55,9))+Formula!K55*(INDEX(Properties!A$1:CB$87,Formula!J55,9))</f>
        <v>977</v>
      </c>
      <c r="AB55" s="72">
        <f>VARP(IF(INDEX(Properties!A$1:CB$87,Formula!B55,9)&lt;&gt;"",INDEX(Properties!A$1:CB$87,Formula!B55,9)),IF(INDEX(Properties!A$1:CB$87,Formula!D55,9)&lt;&gt;"",INDEX(Properties!A$1:CB$87,Formula!D55,9)),IF(INDEX(Properties!A$1:CB$87,Formula!F55,9)&lt;&gt;"",INDEX(Properties!A$1:CB$87,Formula!F55,9)),IF(INDEX(Properties!A$1:CB$87,Formula!H55,9)&lt;&gt;"",INDEX(Properties!A$1:CB$87,Formula!H55,9)),IF(INDEX(Properties!A$1:CB$87,Formula!J55,9)&lt;&gt;"",INDEX(Properties!A$1:CB$87,Formula!J55,9)))</f>
        <v>1425.04</v>
      </c>
      <c r="AC55" s="72">
        <f>MAX(INDEX(Properties!A$1:CB$87,Formula!B55,9),INDEX(Properties!A$1:CB$87,Formula!D55,9),INDEX(Properties!A$1:CB$87,Formula!F55,9),INDEX(Properties!A$1:CB$87,Formula!H55,9),INDEX(Properties!A$1:CB$87,Formula!J55,9))</f>
        <v>87</v>
      </c>
      <c r="AD55" s="72">
        <f>MIN(IF(INDEX(Properties!A$1:CB$87,Formula!B55,9)=0,10^6,INDEX(Properties!A$1:CB$87,Formula!B55,9)),IF(INDEX(Properties!A$1:CB$87,Formula!D55,9)=0,10^6,INDEX(Properties!A$1:CB$87,Formula!D55,9)),IF(INDEX(Properties!A$1:CB$87,Formula!F55,9)=0,10^6,INDEX(Properties!A$1:CB$87,Formula!F55,9)),IF(INDEX(Properties!A$1:CB$87,Formula!H55,9)=0,10^6,INDEX(Properties!A$1:CB$87,Formula!H55,9)),IF(INDEX(Properties!A$1:CB$87,Formula!J55,9)=0,10^6,INDEX(Properties!A$1:CB$87,Formula!J55,9)))</f>
        <v>12</v>
      </c>
      <c r="AE55" s="72">
        <f t="shared" si="4"/>
        <v>75</v>
      </c>
      <c r="AF55" s="51">
        <f>((Formula!C55)/(Formula!C55+Formula!E55+Formula!G55+Formula!I55+Formula!K55))*(INDEX(Properties!A$1:CB$87,Formula!B55,10))+((Formula!E55)/(Formula!C55+Formula!E55+Formula!G55+Formula!I55+Formula!K55))*(INDEX(Properties!A$1:CB$87,Formula!D55,10))+((Formula!G55)/(Formula!C55+Formula!E55+Formula!G55+Formula!I55+Formula!K55))*(INDEX(Properties!A$1:CB$87,Formula!F55,10))+((Formula!I55)/(Formula!C55+Formula!E55+Formula!G55+Formula!I55+Formula!K55))*(INDEX(Properties!A$1:CB$87,Formula!H55,10))+((Formula!K55)/(Formula!C55+Formula!E55+Formula!G55+Formula!I55+Formula!K55))*(INDEX(Properties!A$1:CB$87,Formula!J55,10))</f>
        <v>5.666666666666667</v>
      </c>
      <c r="AG55" s="51">
        <f>Formula!C55*(INDEX(Properties!A$1:CB$87,Formula!B55,10))+Formula!E55*(INDEX(Properties!A$1:CB$87,Formula!D55,10))+Formula!G55*(INDEX(Properties!A$1:CB$87,Formula!F55,10))+Formula!I55*(INDEX(Properties!A$1:CB$87,Formula!H55,10))+Formula!K55*(INDEX(Properties!A$1:CB$87,Formula!J55,10))</f>
        <v>85</v>
      </c>
      <c r="AH55" s="51">
        <f>VARP(IF(INDEX(Properties!A$1:CB$87,Formula!B55,10)&lt;&gt;"",INDEX(Properties!A$1:CB$87,Formula!B55,10)),IF(INDEX(Properties!A$1:CB$87,Formula!D55,10)&lt;&gt;"",INDEX(Properties!A$1:CB$87,Formula!D55,10)),IF(INDEX(Properties!A$1:CB$87,Formula!F55,10)&lt;&gt;"",INDEX(Properties!A$1:CB$87,Formula!F55,10)),IF(INDEX(Properties!A$1:CB$87,Formula!H55,10)&lt;&gt;"",INDEX(Properties!A$1:CB$87,Formula!H55,10)),IF(INDEX(Properties!A$1:CB$87,Formula!J55,10)&lt;&gt;"",INDEX(Properties!A$1:CB$87,Formula!J55,10)))</f>
        <v>7.6</v>
      </c>
      <c r="AI55" s="51">
        <f>MAX(INDEX(Properties!A$1:CB$87,Formula!B55,10),INDEX(Properties!A$1:CB$87,Formula!D55,10),INDEX(Properties!A$1:CB$87,Formula!F55,10),INDEX(Properties!A$1:CB$87,Formula!H55,10),INDEX(Properties!A$1:CB$87,Formula!J55,10))</f>
        <v>7</v>
      </c>
      <c r="AJ55" s="51">
        <f>MIN(IF(INDEX(Properties!A$1:CB$87,Formula!B55,10)=0,10^6,INDEX(Properties!A$1:CB$87,Formula!B55,10)),IF(INDEX(Properties!A$1:CB$87,Formula!D55,10)=0,10^6,INDEX(Properties!A$1:CB$87,Formula!D55,10)),IF(INDEX(Properties!A$1:CB$87,Formula!F55,10)=0,10^6,INDEX(Properties!A$1:CB$87,Formula!F55,10)),IF(INDEX(Properties!A$1:CB$87,Formula!H55,10)=0,10^6,INDEX(Properties!A$1:CB$87,Formula!H55,10)),IF(INDEX(Properties!A$1:CB$87,Formula!J55,10)=0,10^6,INDEX(Properties!A$1:CB$87,Formula!J55,10)))</f>
        <v>3</v>
      </c>
      <c r="AK55" s="51">
        <f t="shared" si="5"/>
        <v>4</v>
      </c>
      <c r="AL55" s="57">
        <f>((Formula!C55)/(Formula!C55+Formula!E55+Formula!G55+Formula!I55+Formula!K55))*(INDEX(Properties!A$1:CB$87,Formula!B55,11))+((Formula!E55)/(Formula!C55+Formula!E55+Formula!G55+Formula!I55+Formula!K55))*(INDEX(Properties!A$1:CB$87,Formula!D55,11))+((Formula!G55)/(Formula!C55+Formula!E55+Formula!G55+Formula!I55+Formula!K55))*(INDEX(Properties!A$1:CB$87,Formula!F55,11))+((Formula!I55)/(Formula!C55+Formula!E55+Formula!G55+Formula!I55+Formula!K55))*(INDEX(Properties!A$1:CB$87,Formula!H55,11))+((Formula!K55)/(Formula!C55+Formula!E55+Formula!G55+Formula!I55+Formula!K55))*(INDEX(Properties!A$1:CB$87,Formula!J55,11))</f>
        <v>2</v>
      </c>
      <c r="AM55" s="57">
        <f>Formula!C55*(INDEX(Properties!A$1:CB$87,Formula!B55,11))+Formula!E55*(INDEX(Properties!A$1:CB$87,Formula!D55,11))+Formula!G55*(INDEX(Properties!A$1:CB$87,Formula!F55,11))+Formula!I55*(INDEX(Properties!A$1:CB$87,Formula!H55,11))+Formula!K55*(INDEX(Properties!A$1:CB$87,Formula!J55,11))</f>
        <v>30</v>
      </c>
      <c r="AN55" s="57">
        <f>VARP(IF(INDEX(Properties!A$1:CB$87,Formula!B55,11)&lt;&gt;"",INDEX(Properties!A$1:CB$87,Formula!B55,11)),IF(INDEX(Properties!A$1:CB$87,Formula!D55,11)&lt;&gt;"",INDEX(Properties!A$1:CB$87,Formula!D55,11)),IF(INDEX(Properties!A$1:CB$87,Formula!F55,11)&lt;&gt;"",INDEX(Properties!A$1:CB$87,Formula!F55,11)),IF(INDEX(Properties!A$1:CB$87,Formula!H55,11)&lt;&gt;"",INDEX(Properties!A$1:CB$87,Formula!H55,11)),IF(INDEX(Properties!A$1:CB$87,Formula!J55,11)&lt;&gt;"",INDEX(Properties!A$1:CB$87,Formula!J55,11)))</f>
        <v>0.96</v>
      </c>
      <c r="AO55" s="57">
        <f>MAX(INDEX(Properties!A$1:CB$87,Formula!B55,11),INDEX(Properties!A$1:CB$87,Formula!D55,11),INDEX(Properties!A$1:CB$87,Formula!F55,11),INDEX(Properties!A$1:CB$87,Formula!H55,11),INDEX(Properties!A$1:CB$87,Formula!J55,11))</f>
        <v>2</v>
      </c>
      <c r="AP55" s="57">
        <f>MIN(IF(Formula!B55=87,10^6,INDEX(Properties!A$1:CB$87,Formula!B55,11)),IF((Formula!D55)=87,10^6,INDEX(Properties!A$1:CB$87,Formula!D55,11)),IF((Formula!F55)=87,10^6,INDEX(Properties!A$1:CB$87,Formula!F55,11)),IF((Formula!H55)=87,10^6,INDEX(Properties!A$1:CB$87,Formula!H55,11)),IF(Formula!J55=87,10^6,INDEX(Properties!A$1:CB$87,Formula!J55,11)))</f>
        <v>2</v>
      </c>
      <c r="AQ55" s="57">
        <f t="shared" si="6"/>
        <v>0</v>
      </c>
      <c r="AR55" s="78">
        <f>((Formula!C55)/(Formula!C55+Formula!E55+Formula!G55+Formula!I55+Formula!K55))*(INDEX(Properties!A$1:CB$87,Formula!B55,12))+((Formula!E55)/(Formula!C55+Formula!E55+Formula!G55+Formula!I55+Formula!K55))*(INDEX(Properties!A$1:CB$87,Formula!D55,12))+((Formula!G55)/(Formula!C55+Formula!E55+Formula!G55+Formula!I55+Formula!K55))*(INDEX(Properties!A$1:CB$87,Formula!F55,12))+((Formula!I55)/(Formula!C55+Formula!E55+Formula!G55+Formula!I55+Formula!K55))*(INDEX(Properties!A$1:CB$87,Formula!H55,12))+((Formula!K55)/(Formula!C55+Formula!E55+Formula!G55+Formula!I55+Formula!K55))*(INDEX(Properties!A$1:CB$87,Formula!J55,12))</f>
        <v>2.5333333333333332</v>
      </c>
      <c r="AS55" s="78">
        <f>Formula!C55*(INDEX(Properties!A$1:CB$87,Formula!B55,12))+Formula!E55*(INDEX(Properties!A$1:CB$87,Formula!D55,12))+Formula!G55*(INDEX(Properties!A$1:CB$87,Formula!F55,12))+Formula!I55*(INDEX(Properties!A$1:CB$87,Formula!H55,12))+Formula!K55*(INDEX(Properties!A$1:CB$87,Formula!J55,12))</f>
        <v>38</v>
      </c>
      <c r="AT55" s="78">
        <f>VARP(IF(INDEX(Properties!A$1:CB$87,Formula!B55,12)&lt;&gt;"",INDEX(Properties!A$1:CB$87,Formula!B55,12)),IF(INDEX(Properties!A$1:CB$87,Formula!D55,12)&lt;&gt;"",INDEX(Properties!A$1:CB$87,Formula!D55,12)),IF(INDEX(Properties!A$1:CB$87,Formula!F55,12)&lt;&gt;"",INDEX(Properties!A$1:CB$87,Formula!F55,12)),IF(INDEX(Properties!A$1:CB$87,Formula!H55,12)&lt;&gt;"",INDEX(Properties!A$1:CB$87,Formula!H55,12)),IF(INDEX(Properties!A$1:CB$87,Formula!J55,12)&lt;&gt;"",INDEX(Properties!A$1:CB$87,Formula!J55,12)))</f>
        <v>2.4</v>
      </c>
      <c r="AU55" s="78">
        <f>MAX(INDEX(Properties!A$1:CB$87,Formula!B55,12),INDEX(Properties!A$1:CB$87,Formula!D55,12),INDEX(Properties!A$1:CB$87,Formula!F55,12),INDEX(Properties!A$1:CB$87,Formula!H55,12),INDEX(Properties!A$1:CB$87,Formula!J55,12))</f>
        <v>4</v>
      </c>
      <c r="AV55" s="78">
        <f>MIN(IF(Formula!B55=87,10^6,INDEX(Properties!A$1:CB$87,Formula!B55,12)),IF((Formula!D55)=87,10^6,INDEX(Properties!A$1:CB$87,Formula!D55,12)),IF((Formula!F55)=87,10^6,INDEX(Properties!A$1:CB$87,Formula!F55,12)),IF((Formula!H55)=87,10^6,INDEX(Properties!A$1:CB$87,Formula!H55,12)),IF(Formula!J55=87,10^6,INDEX(Properties!A$1:CB$87,Formula!J55,12)))</f>
        <v>0</v>
      </c>
      <c r="AW55" s="78">
        <f t="shared" si="7"/>
        <v>4</v>
      </c>
      <c r="AX55" s="45">
        <f>((Formula!C55)/(Formula!C55+Formula!E55+Formula!G55+Formula!I55+Formula!K55))*(INDEX(Properties!A$1:CB$87,Formula!B55,13))+((Formula!E55)/(Formula!C55+Formula!E55+Formula!G55+Formula!I55+Formula!K55))*(INDEX(Properties!A$1:CB$87,Formula!D55,13))+((Formula!G55)/(Formula!C55+Formula!E55+Formula!G55+Formula!I55+Formula!K55))*(INDEX(Properties!A$1:CB$87,Formula!F55,13))+((Formula!I55)/(Formula!C55+Formula!E55+Formula!G55+Formula!I55+Formula!K55))*(INDEX(Properties!A$1:CB$87,Formula!H55,13))+((Formula!K55)/(Formula!C55+Formula!E55+Formula!G55+Formula!I55+Formula!K55))*(INDEX(Properties!A$1:CB$87,Formula!J55,13))</f>
        <v>0.26666666666666666</v>
      </c>
      <c r="AY55" s="45">
        <f>Formula!C55*(INDEX(Properties!A$1:CB$87,Formula!B55,13))+Formula!E55*(INDEX(Properties!A$1:CB$87,Formula!D55,13))+Formula!G55*(INDEX(Properties!A$1:CB$87,Formula!F55,13))+Formula!I55*(INDEX(Properties!A$1:CB$87,Formula!H55,13))+Formula!K55*(INDEX(Properties!A$1:CB$87,Formula!J55,13))</f>
        <v>4</v>
      </c>
      <c r="AZ55" s="45">
        <f>VARP(IF(INDEX(Properties!A$1:CB$87,Formula!B55,13)&lt;&gt;"",INDEX(Properties!A$1:CB$87,Formula!B55,13)),IF(INDEX(Properties!A$1:CB$87,Formula!D55,13)&lt;&gt;"",INDEX(Properties!A$1:CB$87,Formula!D55,13)),IF(INDEX(Properties!A$1:CB$87,Formula!F55,13)&lt;&gt;"",INDEX(Properties!A$1:CB$87,Formula!F55,13)),IF(INDEX(Properties!A$1:CB$87,Formula!H55,13)&lt;&gt;"",INDEX(Properties!A$1:CB$87,Formula!H55,13)),IF(INDEX(Properties!A$1:CB$87,Formula!J55,13)&lt;&gt;"",INDEX(Properties!A$1:CB$87,Formula!J55,13)))</f>
        <v>0.16</v>
      </c>
      <c r="BA55" s="45">
        <f>MAX(INDEX(Properties!A$1:CB$87,Formula!B55,13),INDEX(Properties!A$1:CB$87,Formula!D55,13),INDEX(Properties!A$1:CB$87,Formula!F55,13),INDEX(Properties!A$1:CB$87,Formula!H55,13),INDEX(Properties!A$1:CB$87,Formula!J55,13))</f>
        <v>1</v>
      </c>
      <c r="BB55" s="45">
        <f>MIN(IF(Formula!B55=87,10^6,INDEX(Properties!A$1:CB$87,Formula!B55,13)),IF((Formula!D55)=87,10^6,INDEX(Properties!A$1:CB$87,Formula!D55,13)),IF((Formula!F55)=87,10^6,INDEX(Properties!A$1:CB$87,Formula!F55,13)),IF((Formula!H55)=87,10^6,INDEX(Properties!A$1:CB$87,Formula!H55,13)),IF(Formula!J55=87,10^6,INDEX(Properties!A$1:CB$87,Formula!J55,13)))</f>
        <v>0</v>
      </c>
      <c r="BC55" s="45">
        <f t="shared" si="8"/>
        <v>1</v>
      </c>
      <c r="BD55" s="63">
        <f>((Formula!C55)/(Formula!C55+Formula!E55+Formula!G55+Formula!I55+Formula!K55))*(INDEX(Properties!A$1:CB$87,Formula!B55,14))+((Formula!E55)/(Formula!C55+Formula!E55+Formula!G55+Formula!I55+Formula!K55))*(INDEX(Properties!A$1:CB$87,Formula!D55,14))+((Formula!G55)/(Formula!C55+Formula!E55+Formula!G55+Formula!I55+Formula!K55))*(INDEX(Properties!A$1:CB$87,Formula!F55,14))+((Formula!I55)/(Formula!C55+Formula!E55+Formula!G55+Formula!I55+Formula!K55))*(INDEX(Properties!A$1:CB$87,Formula!H55,14))+((Formula!K55)/(Formula!C55+Formula!E55+Formula!G55+Formula!I55+Formula!K55))*(INDEX(Properties!A$1:CB$87,Formula!J55,14))</f>
        <v>0</v>
      </c>
      <c r="BE55" s="63">
        <f>Formula!C55*(INDEX(Properties!A$1:CB$87,Formula!B55,14))+Formula!E55*(INDEX(Properties!A$1:CB$87,Formula!D55,14))+Formula!G55*(INDEX(Properties!A$1:CB$87,Formula!F55,14))+Formula!I55*(INDEX(Properties!A$1:CB$87,Formula!H55,14))+Formula!K55*(INDEX(Properties!A$1:CB$87,Formula!J55,14))</f>
        <v>0</v>
      </c>
      <c r="BF55" s="63">
        <f>VARP(IF(INDEX(Properties!A$1:CB$87,Formula!B55,14)&lt;&gt;"",INDEX(Properties!A$1:CB$87,Formula!B55,14)),IF(INDEX(Properties!A$1:CB$87,Formula!D55,14)&lt;&gt;"",INDEX(Properties!A$1:CB$87,Formula!D55,14)),IF(INDEX(Properties!A$1:CB$87,Formula!F55,14)&lt;&gt;"",INDEX(Properties!A$1:CB$87,Formula!F55,14)),IF(INDEX(Properties!A$1:CB$87,Formula!H55,14)&lt;&gt;"",INDEX(Properties!A$1:CB$87,Formula!H55,14)),IF(INDEX(Properties!A$1:CB$87,Formula!J55,14)&lt;&gt;"",INDEX(Properties!A$1:CB$87,Formula!J55,14)))</f>
        <v>0</v>
      </c>
      <c r="BG55" s="63">
        <f>MAX(INDEX(Properties!A$1:CB$87,Formula!B55,14),INDEX(Properties!A$1:CB$87,Formula!D55,14),INDEX(Properties!A$1:CB$87,Formula!F55,14),INDEX(Properties!A$1:CB$87,Formula!H55,14),INDEX(Properties!A$1:CB$87,Formula!J55,14))</f>
        <v>0</v>
      </c>
      <c r="BH55" s="63">
        <f>MIN(IF(Formula!B55=87,10^6,INDEX(Properties!A$1:CB$87,Formula!B55,14)),IF((Formula!D55)=87,10^6,INDEX(Properties!A$1:CB$87,Formula!D55,14)),IF((Formula!F55)=87,10^6,INDEX(Properties!A$1:CB$87,Formula!F55,14)),IF((Formula!H55)=87,10^6,INDEX(Properties!A$1:CB$87,Formula!H55,14)),IF(Formula!J55=87,10^6,INDEX(Properties!A$1:CB$87,Formula!J55,14)))</f>
        <v>0</v>
      </c>
      <c r="BI55" s="63">
        <f t="shared" si="9"/>
        <v>0</v>
      </c>
      <c r="BJ55" s="75">
        <f>((Formula!C55)/(Formula!C55+Formula!E55+Formula!G55+Formula!I55+Formula!K55))*(INDEX(Properties!A$1:CB$87,Formula!B55,19))+((Formula!E55)/(Formula!C55+Formula!E55+Formula!G55+Formula!I55+Formula!K55))*(INDEX(Properties!A$1:CB$87,Formula!D55,19))+((Formula!G55)/(Formula!C55+Formula!E55+Formula!G55+Formula!I55+Formula!K55))*(INDEX(Properties!A$1:CB$87,Formula!F55,19))+((Formula!I55)/(Formula!C55+Formula!E55+Formula!G55+Formula!I55+Formula!K55))*(INDEX(Properties!A$1:CB$87,Formula!H55,19))+((Formula!K55)/(Formula!C55+Formula!E55+Formula!G55+Formula!I55+Formula!K55))*(INDEX(Properties!A$1:CB$87,Formula!J55,19))</f>
        <v>4.8</v>
      </c>
      <c r="BK55" s="75">
        <f>Formula!C55*(INDEX(Properties!A$1:CB$87,Formula!B55,19))+Formula!E55*(INDEX(Properties!A$1:CB$87,Formula!D55,19))+Formula!G55*(INDEX(Properties!A$1:CB$87,Formula!F55,19))+Formula!I55*(INDEX(Properties!A$1:CB$87,Formula!H55,19))+Formula!K55*(INDEX(Properties!A$1:CB$87,Formula!J55,19))</f>
        <v>72</v>
      </c>
      <c r="BL55" s="75">
        <f>VARP(IF(INDEX(Properties!A$1:CB$87,Formula!B55,19)&lt;&gt;"",INDEX(Properties!A$1:CB$87,Formula!B55,19)),IF(INDEX(Properties!A$1:CB$87,Formula!D55,19)&lt;&gt;"",INDEX(Properties!A$1:CB$87,Formula!D55,19)),IF(INDEX(Properties!A$1:CB$87,Formula!F55,19)&lt;&gt;"",INDEX(Properties!A$1:CB$87,Formula!F55,19)),IF(INDEX(Properties!A$1:CB$87,Formula!H55,19)&lt;&gt;"",INDEX(Properties!A$1:CB$87,Formula!H55,19)),IF(INDEX(Properties!A$1:CB$87,Formula!J55,19)&lt;&gt;"",INDEX(Properties!A$1:CB$87,Formula!J55,19)))</f>
        <v>5.04</v>
      </c>
      <c r="BM55" s="75">
        <f>MAX(INDEX(Properties!A$1:CB$87,Formula!B55,19),INDEX(Properties!A$1:CB$87,Formula!D55,19),INDEX(Properties!A$1:CB$87,Formula!F55,19),INDEX(Properties!A$1:CB$87,Formula!H55,19),INDEX(Properties!A$1:CB$87,Formula!J55,19))</f>
        <v>6</v>
      </c>
      <c r="BN55" s="75">
        <f>MIN(IF(INDEX(Properties!A$1:CB$87,Formula!B55,19)=0,10^6,INDEX(Properties!A$1:CB$87,Formula!B55,19)),IF(INDEX(Properties!A$1:CB$87,Formula!D55,19)=0,10^6,INDEX(Properties!A$1:CB$87,Formula!D55,19)),IF(INDEX(Properties!A$1:CB$87,Formula!F55,19)=0,10^6,INDEX(Properties!A$1:CB$87,Formula!F55,19)),IF(INDEX(Properties!A$1:CB$87,Formula!H55,19)=0,10^6,INDEX(Properties!A$1:CB$87,Formula!H55,19)),IF(INDEX(Properties!A$1:CB$87,Formula!J55,19)=0,10^6,INDEX(Properties!A$1:CB$87,Formula!J55,19)))</f>
        <v>3</v>
      </c>
      <c r="BO55" s="75">
        <f t="shared" si="10"/>
        <v>3</v>
      </c>
      <c r="BP55" s="48">
        <f>((Formula!C55)/(Formula!C55+Formula!E55+Formula!G55+Formula!I55+Formula!K55))*(INDEX(Properties!A$1:CB$87,Formula!B55,20))+((Formula!E55)/(Formula!C55+Formula!E55+Formula!G55+Formula!I55+Formula!K55))*(INDEX(Properties!A$1:CB$87,Formula!D55,20))+((Formula!G55)/(Formula!C55+Formula!E55+Formula!G55+Formula!I55+Formula!K55))*(INDEX(Properties!A$1:CB$87,Formula!F55,20))+((Formula!I55)/(Formula!C55+Formula!E55+Formula!G55+Formula!I55+Formula!K55))*(INDEX(Properties!A$1:CB$87,Formula!H55,20))+((Formula!K55)/(Formula!C55+Formula!E55+Formula!G55+Formula!I55+Formula!K55))*(INDEX(Properties!A$1:CB$87,Formula!J55,20))</f>
        <v>4.5333333333333332</v>
      </c>
      <c r="BQ55" s="48">
        <f>Formula!C55*(INDEX(Properties!A$1:CB$87,Formula!B55,20))+Formula!E55*(INDEX(Properties!A$1:CB$87,Formula!D55,20))+Formula!G55*(INDEX(Properties!A$1:CB$87,Formula!F55,20))+Formula!I55*(INDEX(Properties!A$1:CB$87,Formula!H55,20))+Formula!K55*(INDEX(Properties!A$1:CB$87,Formula!J55,20))</f>
        <v>68</v>
      </c>
      <c r="BR55" s="48">
        <f>VARP(IF(INDEX(Properties!A$1:CB$87,Formula!B55,20)&lt;&gt;"",INDEX(Properties!A$1:CB$87,Formula!B55,20)),IF(INDEX(Properties!A$1:CB$87,Formula!D55,20)&lt;&gt;"",INDEX(Properties!A$1:CB$87,Formula!D55,20)),IF(INDEX(Properties!A$1:CB$87,Formula!F55,20)&lt;&gt;"",INDEX(Properties!A$1:CB$87,Formula!F55,20)),IF(INDEX(Properties!A$1:CB$87,Formula!H55,20)&lt;&gt;"",INDEX(Properties!A$1:CB$87,Formula!H55,20)),IF(INDEX(Properties!A$1:CB$87,Formula!J55,20)&lt;&gt;"",INDEX(Properties!A$1:CB$87,Formula!J55,20)))</f>
        <v>4.96</v>
      </c>
      <c r="BS55" s="48">
        <f>MAX(INDEX(Properties!A$1:CB$87,Formula!B55,20),INDEX(Properties!A$1:CB$87,Formula!D55,20),INDEX(Properties!A$1:CB$87,Formula!F55,20),INDEX(Properties!A$1:CB$87,Formula!H55,20),INDEX(Properties!A$1:CB$87,Formula!J55,20))</f>
        <v>6</v>
      </c>
      <c r="BT55" s="48">
        <f>MIN(IF(INDEX(Properties!A$1:CB$87,Formula!B55,20)=0,10^6,INDEX(Properties!A$1:CB$87,Formula!B55,20)),IF(INDEX(Properties!A$1:CB$87,Formula!D55,20)=0,10^6,INDEX(Properties!A$1:CB$87,Formula!D55,20)),IF(INDEX(Properties!A$1:CB$87,Formula!F55,20)=0,10^6,INDEX(Properties!A$1:CB$87,Formula!F55,20)),IF(INDEX(Properties!A$1:CB$87,Formula!H55,20)=0,10^6,INDEX(Properties!A$1:CB$87,Formula!H55,20)),IF(INDEX(Properties!A$1:CB$87,Formula!J55,20)=0,10^6,INDEX(Properties!A$1:CB$87,Formula!J55,20)))</f>
        <v>2</v>
      </c>
      <c r="BU55" s="48">
        <f t="shared" si="11"/>
        <v>4</v>
      </c>
      <c r="BV55" s="66">
        <f>((Formula!C55)/(Formula!C55+Formula!E55+Formula!G55+Formula!I55+Formula!K55))*(INDEX(Properties!A$1:CB$87,Formula!B55,21))+((Formula!E55)/(Formula!C55+Formula!E55+Formula!G55+Formula!I55+Formula!K55))*(INDEX(Properties!A$1:CB$87,Formula!D55,21))+((Formula!G55)/(Formula!C55+Formula!E55+Formula!G55+Formula!I55+Formula!K55))*(INDEX(Properties!A$1:CB$87,Formula!F55,21))+((Formula!I55)/(Formula!C55+Formula!E55+Formula!G55+Formula!I55+Formula!K55))*(INDEX(Properties!A$1:CB$87,Formula!H55,21))+((Formula!K55)/(Formula!C55+Formula!E55+Formula!G55+Formula!I55+Formula!K55))*(INDEX(Properties!A$1:CB$87,Formula!J55,21))</f>
        <v>4.2666666666666666</v>
      </c>
      <c r="BW55" s="66">
        <f>Formula!C55*(INDEX(Properties!A$1:CB$87,Formula!B55,21))+Formula!E55*(INDEX(Properties!A$1:CB$87,Formula!D55,21))+Formula!G55*(INDEX(Properties!A$1:CB$87,Formula!F55,21))+Formula!I55*(INDEX(Properties!A$1:CB$87,Formula!H55,21))+Formula!K55*(INDEX(Properties!A$1:CB$87,Formula!J55,21))</f>
        <v>64</v>
      </c>
      <c r="BX55" s="66">
        <f>VARP(IF(INDEX(Properties!A$1:CB$87,Formula!B55,21)&lt;&gt;"",INDEX(Properties!A$1:CB$87,Formula!B55,21)),IF(INDEX(Properties!A$1:CB$87,Formula!D55,21)&lt;&gt;"",INDEX(Properties!A$1:CB$87,Formula!D55,21)),IF(INDEX(Properties!A$1:CB$87,Formula!F55,21)&lt;&gt;"",INDEX(Properties!A$1:CB$87,Formula!F55,21)),IF(INDEX(Properties!A$1:CB$87,Formula!H55,21)&lt;&gt;"",INDEX(Properties!A$1:CB$87,Formula!H55,21)),IF(INDEX(Properties!A$1:CB$87,Formula!J55,21)&lt;&gt;"",INDEX(Properties!A$1:CB$87,Formula!J55,21)))</f>
        <v>5.2</v>
      </c>
      <c r="BY55" s="66">
        <f>MAX(INDEX(Properties!A$1:CB$87,Formula!B55,21),INDEX(Properties!A$1:CB$87,Formula!D55,21),INDEX(Properties!A$1:CB$87,Formula!F55,21),INDEX(Properties!A$1:CB$87,Formula!H55,21),INDEX(Properties!A$1:CB$87,Formula!J55,21))</f>
        <v>6</v>
      </c>
      <c r="BZ55" s="66">
        <f>MIN(IF(INDEX(Properties!A$1:CB$87,Formula!B55,21)=0,10^6,INDEX(Properties!A$1:CB$87,Formula!B55,21)),IF(INDEX(Properties!A$1:CB$87,Formula!D55,21)=0,10^6,INDEX(Properties!A$1:CB$87,Formula!D55,21)),IF(INDEX(Properties!A$1:CB$87,Formula!F55,21)=0,10^6,INDEX(Properties!A$1:CB$87,Formula!F55,21)),IF(INDEX(Properties!A$1:CB$87,Formula!H55,21)=0,10^6,INDEX(Properties!A$1:CB$87,Formula!H55,21)),IF(INDEX(Properties!A$1:CB$87,Formula!J55,21)=0,10^6,INDEX(Properties!A$1:CB$87,Formula!J55,21)))</f>
        <v>1</v>
      </c>
      <c r="CA55" s="66">
        <f t="shared" si="12"/>
        <v>5</v>
      </c>
      <c r="CB55" s="81">
        <f>((Formula!C55)/(Formula!C55+Formula!E55+Formula!G55+Formula!I55+Formula!K55))*(INDEX(Properties!A$1:CB$87,Formula!B55,23))+((Formula!E55)/(Formula!C55+Formula!E55+Formula!G55+Formula!I55+Formula!K55))*(INDEX(Properties!A$1:CB$87,Formula!D55,23))+((Formula!G55)/(Formula!C55+Formula!E55+Formula!G55+Formula!I55+Formula!K55))*(INDEX(Properties!A$1:CB$87,Formula!F55,23))+((Formula!I55)/(Formula!C55+Formula!E55+Formula!G55+Formula!I55+Formula!K55))*(INDEX(Properties!A$1:CB$87,Formula!H55,23))+((Formula!K55)/(Formula!C55+Formula!E55+Formula!G55+Formula!I55+Formula!K55))*(INDEX(Properties!A$1:CB$87,Formula!J55,23))</f>
        <v>1.2000000000000002</v>
      </c>
      <c r="CC55" s="81">
        <f>Formula!C55*(INDEX(Properties!A$1:CB$87,Formula!B55,23))+Formula!E55*(INDEX(Properties!A$1:CB$87,Formula!D55,23))+Formula!G55*(INDEX(Properties!A$1:CB$87,Formula!F55,23))+Formula!I55*(INDEX(Properties!A$1:CB$87,Formula!H55,23))+Formula!K55*(INDEX(Properties!A$1:CB$87,Formula!J55,23))</f>
        <v>18</v>
      </c>
      <c r="CD55" s="81">
        <f>VARP(IF(INDEX(Properties!A$1:CB$87,Formula!B55,23)&lt;&gt;"",INDEX(Properties!A$1:CB$87,Formula!B55,23)),IF(INDEX(Properties!A$1:CB$87,Formula!D55,23)&lt;&gt;"",INDEX(Properties!A$1:CB$87,Formula!D55,23)),IF(INDEX(Properties!A$1:CB$87,Formula!F55,23)&lt;&gt;"",INDEX(Properties!A$1:CB$87,Formula!F55,23)),IF(INDEX(Properties!A$1:CB$87,Formula!H55,23)&lt;&gt;"",INDEX(Properties!A$1:CB$87,Formula!H55,23)),IF(INDEX(Properties!A$1:CB$87,Formula!J55,23)&lt;&gt;"",INDEX(Properties!A$1:CB$87,Formula!J55,23)))</f>
        <v>2.16</v>
      </c>
      <c r="CE55" s="81">
        <f>MAX(INDEX(Properties!A$1:CB$87,Formula!B55,23),INDEX(Properties!A$1:CB$87,Formula!D55,23),INDEX(Properties!A$1:CB$87,Formula!F55,23),INDEX(Properties!A$1:CB$87,Formula!H55,23),INDEX(Properties!A$1:CB$87,Formula!J55,23))</f>
        <v>3</v>
      </c>
      <c r="CF55" s="81">
        <f>MIN(IF(Formula!B55=87,10^6,INDEX(Properties!A$1:CB$87,Formula!B55,23)),IF((Formula!D55)=87,10^6,INDEX(Properties!A$1:CB$87,Formula!D55,23)),IF((Formula!F55)=87,10^6,INDEX(Properties!A$1:CB$87,Formula!F55,23)),IF((Formula!H55)=87,10^6,INDEX(Properties!A$1:CB$87,Formula!H55,23)),IF(Formula!J55=87,10^6,INDEX(Properties!A$1:CB$87,Formula!J55,23)))</f>
        <v>0</v>
      </c>
      <c r="CG55" s="81">
        <f t="shared" si="13"/>
        <v>3</v>
      </c>
      <c r="CH55" s="39">
        <f>((Formula!C55)/(Formula!C55+Formula!E55+Formula!G55+Formula!I55+Formula!K55))*(INDEX(Properties!A$1:CB$87,Formula!B55,26))+((Formula!E55)/(Formula!C55+Formula!E55+Formula!G55+Formula!I55+Formula!K55))*(INDEX(Properties!A$1:CB$87,Formula!D55,26))+((Formula!G55)/(Formula!C55+Formula!E55+Formula!G55+Formula!I55+Formula!K55))*(INDEX(Properties!A$1:CB$87,Formula!F55,26))+((Formula!I55)/(Formula!C55+Formula!E55+Formula!G55+Formula!I55+Formula!K55))*(INDEX(Properties!A$1:CB$87,Formula!H55,26))+((Formula!K55)/(Formula!C55+Formula!E55+Formula!G55+Formula!I55+Formula!K55))*(INDEX(Properties!A$1:CB$87,Formula!J55,26))</f>
        <v>10.626913333333333</v>
      </c>
      <c r="CI55" s="39">
        <f>Formula!C55*(INDEX(Properties!A$1:CB$87,Formula!B55,26))+Formula!E55*(INDEX(Properties!A$1:CB$87,Formula!D55,26))+Formula!G55*(INDEX(Properties!A$1:CB$87,Formula!F55,26))+Formula!I55*(INDEX(Properties!A$1:CB$87,Formula!H55,26))+Formula!K55*(INDEX(Properties!A$1:CB$87,Formula!J55,26))</f>
        <v>159.40370000000001</v>
      </c>
      <c r="CJ55" s="39">
        <f>VARP(IF(INDEX(Properties!A$1:CB$87,Formula!B55,26)&lt;&gt;"",INDEX(Properties!A$1:CB$87,Formula!B55,26)),IF(INDEX(Properties!A$1:CB$87,Formula!D55,26)&lt;&gt;"",INDEX(Properties!A$1:CB$87,Formula!D55,26)),IF(INDEX(Properties!A$1:CB$87,Formula!F55,26)&lt;&gt;"",INDEX(Properties!A$1:CB$87,Formula!F55,26)),IF(INDEX(Properties!A$1:CB$87,Formula!H55,26)&lt;&gt;"",INDEX(Properties!A$1:CB$87,Formula!H55,26)),IF(INDEX(Properties!A$1:CB$87,Formula!J55,26)&lt;&gt;"",INDEX(Properties!A$1:CB$87,Formula!J55,26)))</f>
        <v>25.318078930399999</v>
      </c>
      <c r="CK55" s="39">
        <f>MAX(INDEX(Properties!A$1:CB$87,Formula!B55,26),INDEX(Properties!A$1:CB$87,Formula!D55,26),INDEX(Properties!A$1:CB$87,Formula!F55,26),INDEX(Properties!A$1:CB$87,Formula!H55,26),INDEX(Properties!A$1:CB$87,Formula!J55,26))</f>
        <v>13.6181</v>
      </c>
      <c r="CL55" s="39">
        <f>MIN(IF(INDEX(Properties!A$1:CB$87,Formula!B55,26)=0,10^6,INDEX(Properties!A$1:CB$87,Formula!B55,26)),IF(INDEX(Properties!A$1:CB$87,Formula!D55,26)=0,10^6,INDEX(Properties!A$1:CB$87,Formula!D55,26)),IF(INDEX(Properties!A$1:CB$87,Formula!F55,26)=0,10^6,INDEX(Properties!A$1:CB$87,Formula!F55,26)),IF(INDEX(Properties!A$1:CB$87,Formula!H55,26)=0,10^6,INDEX(Properties!A$1:CB$87,Formula!H55,26)),IF(INDEX(Properties!A$1:CB$87,Formula!J55,26)=0,10^6,INDEX(Properties!A$1:CB$87,Formula!J55,26)))</f>
        <v>5.9858000000000002</v>
      </c>
      <c r="CM55" s="39">
        <f t="shared" si="14"/>
        <v>7.6322999999999999</v>
      </c>
      <c r="CN55" s="54">
        <f>((Formula!C55)/(Formula!C55+Formula!E55+Formula!G55+Formula!I55+Formula!K55))*(INDEX(Properties!A$1:CB$87,Formula!B55,30))+((Formula!E55)/(Formula!C55+Formula!E55+Formula!G55+Formula!I55+Formula!K55))*(INDEX(Properties!A$1:CB$87,Formula!D55,30))+((Formula!G55)/(Formula!C55+Formula!E55+Formula!G55+Formula!I55+Formula!K55))*(INDEX(Properties!A$1:CB$87,Formula!F55,30))+((Formula!I55)/(Formula!C55+Formula!E55+Formula!G55+Formula!I55+Formula!K55))*(INDEX(Properties!A$1:CB$87,Formula!H55,30))+((Formula!K55)/(Formula!C55+Formula!E55+Formula!G55+Formula!I55+Formula!K55))*(INDEX(Properties!A$1:CB$87,Formula!J55,30))</f>
        <v>2.6040000000000001</v>
      </c>
      <c r="CO55" s="54">
        <f>Formula!C55*(INDEX(Properties!A$1:CB$87,Formula!B55,30))+Formula!E55*(INDEX(Properties!A$1:CB$87,Formula!D55,30))+Formula!G55*(INDEX(Properties!A$1:CB$87,Formula!F55,30))+Formula!I55*(INDEX(Properties!A$1:CB$87,Formula!H55,30))+Formula!K55*(INDEX(Properties!A$1:CB$87,Formula!J55,30))</f>
        <v>39.06</v>
      </c>
      <c r="CP55" s="54">
        <f>VARP(IF(INDEX(Properties!A$1:CB$87,Formula!B55,30)&lt;&gt;"",INDEX(Properties!A$1:CB$87,Formula!B55,30)),IF(INDEX(Properties!A$1:CB$87,Formula!D55,30)&lt;&gt;"",INDEX(Properties!A$1:CB$87,Formula!D55,30)),IF(INDEX(Properties!A$1:CB$87,Formula!F55,30)&lt;&gt;"",INDEX(Properties!A$1:CB$87,Formula!F55,30)),IF(INDEX(Properties!A$1:CB$87,Formula!H55,30)&lt;&gt;"",INDEX(Properties!A$1:CB$87,Formula!H55,30)),IF(INDEX(Properties!A$1:CB$87,Formula!J55,30)&lt;&gt;"",INDEX(Properties!A$1:CB$87,Formula!J55,30)))</f>
        <v>1.6103040000000002</v>
      </c>
      <c r="CQ55" s="54">
        <f>MAX(INDEX(Properties!A$1:CB$87,Formula!B55,30),INDEX(Properties!A$1:CB$87,Formula!D55,30),INDEX(Properties!A$1:CB$87,Formula!F55,30),INDEX(Properties!A$1:CB$87,Formula!H55,30),INDEX(Properties!A$1:CB$87,Formula!J55,30))</f>
        <v>3.44</v>
      </c>
      <c r="CR55" s="54">
        <f>MIN(IF(INDEX(Properties!A$1:CB$87,Formula!B55,30)=0,10^6,INDEX(Properties!A$1:CB$87,Formula!B55,30)),IF(INDEX(Properties!A$1:CB$87,Formula!D55,30)=0,10^6,INDEX(Properties!A$1:CB$87,Formula!D55,30)),IF(INDEX(Properties!A$1:CB$87,Formula!F55,30)=0,10^6,INDEX(Properties!A$1:CB$87,Formula!F55,30)),IF(INDEX(Properties!A$1:CB$87,Formula!H55,30)=0,10^6,INDEX(Properties!A$1:CB$87,Formula!H55,30)),IF(INDEX(Properties!A$1:CB$87,Formula!J55,30)=0,10^6,INDEX(Properties!A$1:CB$87,Formula!J55,30)))</f>
        <v>1.22</v>
      </c>
      <c r="CS55" s="54">
        <f t="shared" si="15"/>
        <v>2.2199999999999998</v>
      </c>
      <c r="CT55" s="69">
        <f>((Formula!C55)/(Formula!C55+Formula!E55+Formula!G55+Formula!I55+Formula!K55))*(INDEX(Properties!A$1:CB$87,Formula!B55,31))+((Formula!E55)/(Formula!C55+Formula!E55+Formula!G55+Formula!I55+Formula!K55))*(INDEX(Properties!A$1:CB$87,Formula!D55,31))+((Formula!G55)/(Formula!C55+Formula!E55+Formula!G55+Formula!I55+Formula!K55))*(INDEX(Properties!A$1:CB$87,Formula!F55,31))+((Formula!I55)/(Formula!C55+Formula!E55+Formula!G55+Formula!I55+Formula!K55))*(INDEX(Properties!A$1:CB$87,Formula!H55,31))+((Formula!K55)/(Formula!C55+Formula!E55+Formula!G55+Formula!I55+Formula!K55))*(INDEX(Properties!A$1:CB$87,Formula!J55,31))</f>
        <v>2.5866666666666664</v>
      </c>
      <c r="CU55" s="69">
        <f>Formula!C55*(INDEX(Properties!A$1:CB$87,Formula!B55,31))+Formula!E55*(INDEX(Properties!A$1:CB$87,Formula!D55,31))+Formula!G55*(INDEX(Properties!A$1:CB$87,Formula!F55,31))+Formula!I55*(INDEX(Properties!A$1:CB$87,Formula!H55,31))+Formula!K55*(INDEX(Properties!A$1:CB$87,Formula!J55,31))</f>
        <v>38.799999999999997</v>
      </c>
      <c r="CV55" s="69">
        <f>VARP(IF(INDEX(Properties!A$1:CB$87,Formula!B55,31)&lt;&gt;"",INDEX(Properties!A$1:CB$87,Formula!B55,31)),IF(INDEX(Properties!A$1:CB$87,Formula!D55,31)&lt;&gt;"",INDEX(Properties!A$1:CB$87,Formula!D55,31)),IF(INDEX(Properties!A$1:CB$87,Formula!F55,31)&lt;&gt;"",INDEX(Properties!A$1:CB$87,Formula!F55,31)),IF(INDEX(Properties!A$1:CB$87,Formula!H55,31)&lt;&gt;"",INDEX(Properties!A$1:CB$87,Formula!H55,31)),IF(INDEX(Properties!A$1:CB$87,Formula!J55,31)&lt;&gt;"",INDEX(Properties!A$1:CB$87,Formula!J55,31)))</f>
        <v>1.5169440000000001</v>
      </c>
      <c r="CW55" s="69">
        <f>MAX(INDEX(Properties!A$1:CB$87,Formula!B55,31),INDEX(Properties!A$1:CB$87,Formula!D55,31),INDEX(Properties!A$1:CB$87,Formula!F55,31),INDEX(Properties!A$1:CB$87,Formula!H55,31),INDEX(Properties!A$1:CB$87,Formula!J55,31))</f>
        <v>3.32</v>
      </c>
      <c r="CX55" s="69">
        <f>MIN(IF(INDEX(Properties!A$1:CB$87,Formula!B55,31)=0,10^6,INDEX(Properties!A$1:CB$87,Formula!B55,31)),IF(INDEX(Properties!A$1:CB$87,Formula!D55,31)=0,10^6,INDEX(Properties!A$1:CB$87,Formula!D55,31)),IF(INDEX(Properties!A$1:CB$87,Formula!F55,31)=0,10^6,INDEX(Properties!A$1:CB$87,Formula!F55,31)),IF(INDEX(Properties!A$1:CB$87,Formula!H55,31)=0,10^6,INDEX(Properties!A$1:CB$87,Formula!H55,31)),IF(INDEX(Properties!A$1:CB$87,Formula!J55,31)=0,10^6,INDEX(Properties!A$1:CB$87,Formula!J55,31)))</f>
        <v>1.41</v>
      </c>
      <c r="CY55" s="69">
        <f t="shared" si="16"/>
        <v>1.91</v>
      </c>
      <c r="CZ55" s="42">
        <f>((Formula!C55)/(Formula!C55+Formula!E55+Formula!G55+Formula!I55+Formula!K55))*(INDEX(Properties!A$1:CB$87,Formula!B55,32))+((Formula!E55)/(Formula!C55+Formula!E55+Formula!G55+Formula!I55+Formula!K55))*(INDEX(Properties!A$1:CB$87,Formula!D55,32))+((Formula!G55)/(Formula!C55+Formula!E55+Formula!G55+Formula!I55+Formula!K55))*(INDEX(Properties!A$1:CB$87,Formula!F55,32))+((Formula!I55)/(Formula!C55+Formula!E55+Formula!G55+Formula!I55+Formula!K55))*(INDEX(Properties!A$1:CB$87,Formula!H55,32))+((Formula!K55)/(Formula!C55+Formula!E55+Formula!G55+Formula!I55+Formula!K55))*(INDEX(Properties!A$1:CB$87,Formula!J55,32))</f>
        <v>5.8053333333333335</v>
      </c>
      <c r="DA55" s="42">
        <f>Formula!C55*(INDEX(Properties!A$1:CB$87,Formula!B55,32))+Formula!E55*(INDEX(Properties!A$1:CB$87,Formula!D55,32))+Formula!G55*(INDEX(Properties!A$1:CB$87,Formula!F55,32))+Formula!I55*(INDEX(Properties!A$1:CB$87,Formula!H55,32))+Formula!K55*(INDEX(Properties!A$1:CB$87,Formula!J55,32))</f>
        <v>87.08</v>
      </c>
      <c r="DB55" s="42">
        <f>VARP(IF(INDEX(Properties!A$1:CB$87,Formula!B55,32)&lt;&gt;"",INDEX(Properties!A$1:CB$87,Formula!B55,32)),IF(INDEX(Properties!A$1:CB$87,Formula!D55,32)&lt;&gt;"",INDEX(Properties!A$1:CB$87,Formula!D55,32)),IF(INDEX(Properties!A$1:CB$87,Formula!F55,32)&lt;&gt;"",INDEX(Properties!A$1:CB$87,Formula!F55,32)),IF(INDEX(Properties!A$1:CB$87,Formula!H55,32)&lt;&gt;"",INDEX(Properties!A$1:CB$87,Formula!H55,32)),IF(INDEX(Properties!A$1:CB$87,Formula!J55,32)&lt;&gt;"",INDEX(Properties!A$1:CB$87,Formula!J55,32)))</f>
        <v>7.6968559999999995</v>
      </c>
      <c r="DC55" s="42">
        <f>MAX(INDEX(Properties!A$1:CB$87,Formula!B55,32),INDEX(Properties!A$1:CB$87,Formula!D55,32),INDEX(Properties!A$1:CB$87,Formula!F55,32),INDEX(Properties!A$1:CB$87,Formula!H55,32),INDEX(Properties!A$1:CB$87,Formula!J55,32))</f>
        <v>7.54</v>
      </c>
      <c r="DD55" s="42">
        <f>MIN(IF(INDEX(Properties!A$1:CB$87,Formula!B55,32)=0,10^6,INDEX(Properties!A$1:CB$87,Formula!B55,32)),IF(INDEX(Properties!A$1:CB$87,Formula!D55,32)=0,10^6,INDEX(Properties!A$1:CB$87,Formula!D55,32)),IF(INDEX(Properties!A$1:CB$87,Formula!F55,32)=0,10^6,INDEX(Properties!A$1:CB$87,Formula!F55,32)),IF(INDEX(Properties!A$1:CB$87,Formula!H55,32)=0,10^6,INDEX(Properties!A$1:CB$87,Formula!H55,32)),IF(INDEX(Properties!A$1:CB$87,Formula!J55,32)=0,10^6,INDEX(Properties!A$1:CB$87,Formula!J55,32)))</f>
        <v>3.19</v>
      </c>
      <c r="DE55" s="42">
        <f t="shared" si="17"/>
        <v>4.3499999999999996</v>
      </c>
      <c r="DF55" s="60">
        <f>((Formula!C55)/(Formula!C55+Formula!E55+Formula!G55+Formula!I55+Formula!K55))*(INDEX(Properties!A$1:CB$87,Formula!B55,34))+((Formula!E55)/(Formula!C55+Formula!E55+Formula!G55+Formula!I55+Formula!K55))*(INDEX(Properties!A$1:CB$87,Formula!D55,34))+((Formula!G55)/(Formula!C55+Formula!E55+Formula!G55+Formula!I55+Formula!K55))*(INDEX(Properties!A$1:CB$87,Formula!F55,34))+((Formula!I55)/(Formula!C55+Formula!E55+Formula!G55+Formula!I55+Formula!K55))*(INDEX(Properties!A$1:CB$87,Formula!H55,34))+((Formula!K55)/(Formula!C55+Formula!E55+Formula!G55+Formula!I55+Formula!K55))*(INDEX(Properties!A$1:CB$87,Formula!J55,34))</f>
        <v>2.6797333333333331</v>
      </c>
      <c r="DG55" s="60">
        <f>Formula!C55*(INDEX(Properties!A$1:CB$87,Formula!B55,34))+Formula!E55*(INDEX(Properties!A$1:CB$87,Formula!D55,34))+Formula!G55*(INDEX(Properties!A$1:CB$87,Formula!F55,34))+Formula!I55*(INDEX(Properties!A$1:CB$87,Formula!H55,34))+Formula!K55*(INDEX(Properties!A$1:CB$87,Formula!J55,34))</f>
        <v>40.196000000000005</v>
      </c>
      <c r="DH55" s="60">
        <f>VARP(IF(INDEX(Properties!A$1:CB$87,Formula!B55,34)&lt;&gt;"",INDEX(Properties!A$1:CB$87,Formula!B55,34)),IF(INDEX(Properties!A$1:CB$87,Formula!D55,34)&lt;&gt;"",INDEX(Properties!A$1:CB$87,Formula!D55,34)),IF(INDEX(Properties!A$1:CB$87,Formula!F55,34)&lt;&gt;"",INDEX(Properties!A$1:CB$87,Formula!F55,34)),IF(INDEX(Properties!A$1:CB$87,Formula!H55,34)&lt;&gt;"",INDEX(Properties!A$1:CB$87,Formula!H55,34)),IF(INDEX(Properties!A$1:CB$87,Formula!J55,34)&lt;&gt;"",INDEX(Properties!A$1:CB$87,Formula!J55,34)))</f>
        <v>1.7683078400000005</v>
      </c>
      <c r="DI55" s="60">
        <f>MAX(INDEX(Properties!A$1:CB$87,Formula!B55,34),INDEX(Properties!A$1:CB$87,Formula!D55,34),INDEX(Properties!A$1:CB$87,Formula!F55,34),INDEX(Properties!A$1:CB$87,Formula!H55,34),INDEX(Properties!A$1:CB$87,Formula!J55,34))</f>
        <v>3.61</v>
      </c>
      <c r="DJ55" s="60">
        <f>MIN(IF(INDEX(Properties!A$1:CB$87,Formula!B55,34)=0,10^6,INDEX(Properties!A$1:CB$87,Formula!B55,34)),IF(INDEX(Properties!A$1:CB$87,Formula!D55,34)=0,10^6,INDEX(Properties!A$1:CB$87,Formula!D55,34)),IF(INDEX(Properties!A$1:CB$87,Formula!F55,34)=0,10^6,INDEX(Properties!A$1:CB$87,Formula!F55,34)),IF(INDEX(Properties!A$1:CB$87,Formula!H55,34)=0,10^6,INDEX(Properties!A$1:CB$87,Formula!H55,34)),IF(INDEX(Properties!A$1:CB$87,Formula!J55,34)=0,10^6,INDEX(Properties!A$1:CB$87,Formula!J55,34)))</f>
        <v>1.1200000000000001</v>
      </c>
      <c r="DK55" s="60">
        <f t="shared" si="18"/>
        <v>2.4899999999999998</v>
      </c>
      <c r="DL55" s="45">
        <f>((Formula!C55)/(Formula!C55+Formula!E55+Formula!G55+Formula!I55+Formula!K55))*(INDEX(Properties!A$1:CB$87,Formula!B55,39))+((Formula!E55)/(Formula!C55+Formula!E55+Formula!G55+Formula!I55+Formula!K55))*(INDEX(Properties!A$1:CB$87,Formula!D55,39))+((Formula!G55)/(Formula!C55+Formula!E55+Formula!G55+Formula!I55+Formula!K55))*(INDEX(Properties!A$1:CB$87,Formula!F55,39))+((Formula!I55)/(Formula!C55+Formula!E55+Formula!G55+Formula!I55+Formula!K55))*(INDEX(Properties!A$1:CB$87,Formula!H55,39))+((Formula!K55)/(Formula!C55+Formula!E55+Formula!G55+Formula!I55+Formula!K55))*(INDEX(Properties!A$1:CB$87,Formula!J55,39))</f>
        <v>1.0106666666666666</v>
      </c>
      <c r="DM55" s="45">
        <f>Formula!C55*(INDEX(Properties!A$1:CB$87,Formula!B55,39))+Formula!E55*(INDEX(Properties!A$1:CB$87,Formula!D55,39))+Formula!G55*(INDEX(Properties!A$1:CB$87,Formula!F55,39))+Formula!I55*(INDEX(Properties!A$1:CB$87,Formula!H55,39))+Formula!K55*(INDEX(Properties!A$1:CB$87,Formula!J55,39))</f>
        <v>15.16</v>
      </c>
      <c r="DN55" s="45">
        <f>VARP(IF(INDEX(Properties!A$1:CB$87,Formula!B55,39)&lt;&gt;"",INDEX(Properties!A$1:CB$87,Formula!B55,39)),IF(INDEX(Properties!A$1:CB$87,Formula!D55,39)&lt;&gt;"",INDEX(Properties!A$1:CB$87,Formula!D55,39)),IF(INDEX(Properties!A$1:CB$87,Formula!F55,39)&lt;&gt;"",INDEX(Properties!A$1:CB$87,Formula!F55,39)),IF(INDEX(Properties!A$1:CB$87,Formula!H55,39)&lt;&gt;"",INDEX(Properties!A$1:CB$87,Formula!H55,39)),IF(INDEX(Properties!A$1:CB$87,Formula!J55,39)&lt;&gt;"",INDEX(Properties!A$1:CB$87,Formula!J55,39)))</f>
        <v>0.65190400000000026</v>
      </c>
      <c r="DO55" s="45">
        <f>MAX(INDEX(Properties!A$1:CB$87,Formula!B55,39),INDEX(Properties!A$1:CB$87,Formula!D55,39),INDEX(Properties!A$1:CB$87,Formula!F55,39),INDEX(Properties!A$1:CB$87,Formula!H55,39),INDEX(Properties!A$1:CB$87,Formula!J55,39))</f>
        <v>2.12</v>
      </c>
      <c r="DP55" s="45">
        <f>MIN(IF(INDEX(Properties!A$1:CB$87,Formula!B55,39)=0,10^6,INDEX(Properties!A$1:CB$87,Formula!B55,39)),IF(INDEX(Properties!A$1:CB$87,Formula!D55,39)=0,10^6,INDEX(Properties!A$1:CB$87,Formula!D55,39)),IF(INDEX(Properties!A$1:CB$87,Formula!F55,39)=0,10^6,INDEX(Properties!A$1:CB$87,Formula!F55,39)),IF(INDEX(Properties!A$1:CB$87,Formula!H55,39)=0,10^6,INDEX(Properties!A$1:CB$87,Formula!H55,39)),IF(INDEX(Properties!A$1:CB$87,Formula!J55,39)=0,10^6,INDEX(Properties!A$1:CB$87,Formula!J55,39)))</f>
        <v>0.48</v>
      </c>
      <c r="DQ55" s="45">
        <f t="shared" si="19"/>
        <v>1.6400000000000001</v>
      </c>
      <c r="DR55" s="63">
        <f>((Formula!C55)/(Formula!C55+Formula!E55+Formula!G55+Formula!I55+Formula!K55))*(INDEX(Properties!A$1:CB$87,Formula!B55,40))+((Formula!E55)/(Formula!C55+Formula!E55+Formula!G55+Formula!I55+Formula!K55))*(INDEX(Properties!A$1:CB$87,Formula!D55,40))+((Formula!G55)/(Formula!C55+Formula!E55+Formula!G55+Formula!I55+Formula!K55))*(INDEX(Properties!A$1:CB$87,Formula!F55,40))+((Formula!I55)/(Formula!C55+Formula!E55+Formula!G55+Formula!I55+Formula!K55))*(INDEX(Properties!A$1:CB$87,Formula!H55,40))+((Formula!K55)/(Formula!C55+Formula!E55+Formula!G55+Formula!I55+Formula!K55))*(INDEX(Properties!A$1:CB$87,Formula!J55,40))</f>
        <v>1.0273333333333332</v>
      </c>
      <c r="DS55" s="63">
        <f>Formula!C55*(INDEX(Properties!A$1:CB$87,Formula!B55,40))+Formula!E55*(INDEX(Properties!A$1:CB$87,Formula!D55,40))+Formula!G55*(INDEX(Properties!A$1:CB$87,Formula!F55,40))+Formula!I55*(INDEX(Properties!A$1:CB$87,Formula!H55,40))+Formula!K55*(INDEX(Properties!A$1:CB$87,Formula!J55,40))</f>
        <v>15.41</v>
      </c>
      <c r="DT55" s="63">
        <f>VARP(IF(INDEX(Properties!A$1:CB$87,Formula!B55,40)&lt;&gt;"",INDEX(Properties!A$1:CB$87,Formula!B55,40)),IF(INDEX(Properties!A$1:CB$87,Formula!D55,40)&lt;&gt;"",INDEX(Properties!A$1:CB$87,Formula!D55,40)),IF(INDEX(Properties!A$1:CB$87,Formula!F55,40)&lt;&gt;"",INDEX(Properties!A$1:CB$87,Formula!F55,40)),IF(INDEX(Properties!A$1:CB$87,Formula!H55,40)&lt;&gt;"",INDEX(Properties!A$1:CB$87,Formula!H55,40)),IF(INDEX(Properties!A$1:CB$87,Formula!J55,40)&lt;&gt;"",INDEX(Properties!A$1:CB$87,Formula!J55,40)))</f>
        <v>0.41150400000000004</v>
      </c>
      <c r="DU55" s="63">
        <f>MAX(INDEX(Properties!A$1:CB$87,Formula!B55,40),INDEX(Properties!A$1:CB$87,Formula!D55,40),INDEX(Properties!A$1:CB$87,Formula!F55,40),INDEX(Properties!A$1:CB$87,Formula!H55,40),INDEX(Properties!A$1:CB$87,Formula!J55,40))</f>
        <v>1.62</v>
      </c>
      <c r="DV55" s="63">
        <f>MIN(IF(INDEX(Properties!A$1:CB$87,Formula!B55,40)=0,10^6,INDEX(Properties!A$1:CB$87,Formula!B55,40)),IF(INDEX(Properties!A$1:CB$87,Formula!D55,40)=0,10^6,INDEX(Properties!A$1:CB$87,Formula!D55,40)),IF(INDEX(Properties!A$1:CB$87,Formula!F55,40)=0,10^6,INDEX(Properties!A$1:CB$87,Formula!F55,40)),IF(INDEX(Properties!A$1:CB$87,Formula!H55,40)=0,10^6,INDEX(Properties!A$1:CB$87,Formula!H55,40)),IF(INDEX(Properties!A$1:CB$87,Formula!J55,40)=0,10^6,INDEX(Properties!A$1:CB$87,Formula!J55,40)))</f>
        <v>0.73</v>
      </c>
      <c r="DW55" s="63">
        <f t="shared" si="20"/>
        <v>0.89000000000000012</v>
      </c>
      <c r="DX55" s="75">
        <f>((Formula!C55)/(Formula!C55+Formula!E55+Formula!G55+Formula!I55+Formula!K55))*(INDEX(Properties!A$1:CB$87,Formula!B55,41))+((Formula!E55)/(Formula!C55+Formula!E55+Formula!G55+Formula!I55+Formula!K55))*(INDEX(Properties!A$1:CB$87,Formula!D55,41))+((Formula!G55)/(Formula!C55+Formula!E55+Formula!G55+Formula!I55+Formula!K55))*(INDEX(Properties!A$1:CB$87,Formula!F55,41))+((Formula!I55)/(Formula!C55+Formula!E55+Formula!G55+Formula!I55+Formula!K55))*(INDEX(Properties!A$1:CB$87,Formula!H55,41))+((Formula!K55)/(Formula!C55+Formula!E55+Formula!G55+Formula!I55+Formula!K55))*(INDEX(Properties!A$1:CB$87,Formula!J55,41))</f>
        <v>1.1240000000000001</v>
      </c>
      <c r="DY55" s="75">
        <f>Formula!C55*(INDEX(Properties!A$1:CB$87,Formula!B55,41))+Formula!E55*(INDEX(Properties!A$1:CB$87,Formula!D55,41))+Formula!G55*(INDEX(Properties!A$1:CB$87,Formula!F55,41))+Formula!I55*(INDEX(Properties!A$1:CB$87,Formula!H55,41))+Formula!K55*(INDEX(Properties!A$1:CB$87,Formula!J55,41))</f>
        <v>16.86</v>
      </c>
      <c r="DZ55" s="75">
        <f>VARP(IF(INDEX(Properties!A$1:CB$87,Formula!B55,41)&lt;&gt;"",INDEX(Properties!A$1:CB$87,Formula!B55,41)),IF(INDEX(Properties!A$1:CB$87,Formula!D55,41)&lt;&gt;"",INDEX(Properties!A$1:CB$87,Formula!D55,41)),IF(INDEX(Properties!A$1:CB$87,Formula!F55,41)&lt;&gt;"",INDEX(Properties!A$1:CB$87,Formula!F55,41)),IF(INDEX(Properties!A$1:CB$87,Formula!H55,41)&lt;&gt;"",INDEX(Properties!A$1:CB$87,Formula!H55,41)),IF(INDEX(Properties!A$1:CB$87,Formula!J55,41)&lt;&gt;"",INDEX(Properties!A$1:CB$87,Formula!J55,41)))</f>
        <v>0.27110400000000001</v>
      </c>
      <c r="EA55" s="75">
        <f>MAX(INDEX(Properties!A$1:CB$87,Formula!B55,41),INDEX(Properties!A$1:CB$87,Formula!D55,41),INDEX(Properties!A$1:CB$87,Formula!F55,41),INDEX(Properties!A$1:CB$87,Formula!H55,41),INDEX(Properties!A$1:CB$87,Formula!J55,41))</f>
        <v>1.26</v>
      </c>
      <c r="EB55" s="75">
        <f>MIN(IF(INDEX(Properties!A$1:CB$87,Formula!B55,41)=0,10^6,INDEX(Properties!A$1:CB$87,Formula!B55,41)),IF(INDEX(Properties!A$1:CB$87,Formula!D55,41)=0,10^6,INDEX(Properties!A$1:CB$87,Formula!D55,41)),IF(INDEX(Properties!A$1:CB$87,Formula!F55,41)=0,10^6,INDEX(Properties!A$1:CB$87,Formula!F55,41)),IF(INDEX(Properties!A$1:CB$87,Formula!H55,41)=0,10^6,INDEX(Properties!A$1:CB$87,Formula!H55,41)),IF(INDEX(Properties!A$1:CB$87,Formula!J55,41)=0,10^6,INDEX(Properties!A$1:CB$87,Formula!J55,41)))</f>
        <v>0.68</v>
      </c>
      <c r="EC55" s="75">
        <f t="shared" si="21"/>
        <v>0.57999999999999996</v>
      </c>
      <c r="ED55" s="48">
        <f>((Formula!C55)/(Formula!C55+Formula!E55+Formula!G55+Formula!I55+Formula!K55))*(INDEX(Properties!A$1:CB$87,Formula!B55,45))+((Formula!E55)/(Formula!C55+Formula!E55+Formula!G55+Formula!I55+Formula!K55))*(INDEX(Properties!A$1:CB$87,Formula!D55,45))+((Formula!G55)/(Formula!C55+Formula!E55+Formula!G55+Formula!I55+Formula!K55))*(INDEX(Properties!A$1:CB$87,Formula!F55,45))+((Formula!I55)/(Formula!C55+Formula!E55+Formula!G55+Formula!I55+Formula!K55))*(INDEX(Properties!A$1:CB$87,Formula!H55,45))+((Formula!K55)/(Formula!C55+Formula!E55+Formula!G55+Formula!I55+Formula!K55))*(INDEX(Properties!A$1:CB$87,Formula!J55,45))</f>
        <v>1.29</v>
      </c>
      <c r="EE55" s="48">
        <f>Formula!C55*(INDEX(Properties!A$1:CB$87,Formula!B55,45))+Formula!E55*(INDEX(Properties!A$1:CB$87,Formula!D55,45))+Formula!G55*(INDEX(Properties!A$1:CB$87,Formula!F55,45))+Formula!I55*(INDEX(Properties!A$1:CB$87,Formula!H55,45))+Formula!K55*(INDEX(Properties!A$1:CB$87,Formula!J55,45))</f>
        <v>19.349999999999998</v>
      </c>
      <c r="EF55" s="48">
        <f>VARP(IF(INDEX(Properties!A$1:CB$87,Formula!B55,45)&lt;&gt;"",INDEX(Properties!A$1:CB$87,Formula!B55,45)),IF(INDEX(Properties!A$1:CB$87,Formula!D55,45)&lt;&gt;"",INDEX(Properties!A$1:CB$87,Formula!D55,45)),IF(INDEX(Properties!A$1:CB$87,Formula!F55,45)&lt;&gt;"",INDEX(Properties!A$1:CB$87,Formula!F55,45)),IF(INDEX(Properties!A$1:CB$87,Formula!H55,45)&lt;&gt;"",INDEX(Properties!A$1:CB$87,Formula!H55,45)),IF(INDEX(Properties!A$1:CB$87,Formula!J55,45)&lt;&gt;"",INDEX(Properties!A$1:CB$87,Formula!J55,45)))</f>
        <v>1.301056</v>
      </c>
      <c r="EG55" s="48">
        <f>MAX(INDEX(Properties!A$1:CB$87,Formula!B55,45),INDEX(Properties!A$1:CB$87,Formula!D55,45),INDEX(Properties!A$1:CB$87,Formula!F55,45),INDEX(Properties!A$1:CB$87,Formula!H55,45),INDEX(Properties!A$1:CB$87,Formula!J55,45))</f>
        <v>2.94</v>
      </c>
      <c r="EH55" s="48">
        <f>MIN(IF(INDEX(Properties!A$1:CB$87,Formula!B55,45)=0,10^6,INDEX(Properties!A$1:CB$87,Formula!B55,45)),IF(INDEX(Properties!A$1:CB$87,Formula!D55,45)=0,10^6,INDEX(Properties!A$1:CB$87,Formula!D55,45)),IF(INDEX(Properties!A$1:CB$87,Formula!F55,45)=0,10^6,INDEX(Properties!A$1:CB$87,Formula!F55,45)),IF(INDEX(Properties!A$1:CB$87,Formula!H55,45)=0,10^6,INDEX(Properties!A$1:CB$87,Formula!H55,45)),IF(INDEX(Properties!A$1:CB$87,Formula!J55,45)=0,10^6,INDEX(Properties!A$1:CB$87,Formula!J55,45)))</f>
        <v>0.47</v>
      </c>
      <c r="EI55" s="48">
        <f t="shared" si="22"/>
        <v>2.4699999999999998</v>
      </c>
      <c r="EJ55" s="66">
        <f>((Formula!C55)/(Formula!C55+Formula!E55+Formula!G55+Formula!I55+Formula!K55))*(INDEX(Properties!A$1:CB$87,Formula!B55,46))+((Formula!E55)/(Formula!C55+Formula!E55+Formula!G55+Formula!I55+Formula!K55))*(INDEX(Properties!A$1:CB$87,Formula!D55,46))+((Formula!G55)/(Formula!C55+Formula!E55+Formula!G55+Formula!I55+Formula!K55))*(INDEX(Properties!A$1:CB$87,Formula!F55,46))+((Formula!I55)/(Formula!C55+Formula!E55+Formula!G55+Formula!I55+Formula!K55))*(INDEX(Properties!A$1:CB$87,Formula!H55,46))+((Formula!K55)/(Formula!C55+Formula!E55+Formula!G55+Formula!I55+Formula!K55))*(INDEX(Properties!A$1:CB$87,Formula!J55,46))</f>
        <v>1.0739999999999998</v>
      </c>
      <c r="EK55" s="66">
        <f>Formula!C55*(INDEX(Properties!A$1:CB$87,Formula!B55,46))+Formula!E55*(INDEX(Properties!A$1:CB$87,Formula!D55,46))+Formula!G55*(INDEX(Properties!A$1:CB$87,Formula!F55,46))+Formula!I55*(INDEX(Properties!A$1:CB$87,Formula!H55,46))+Formula!K55*(INDEX(Properties!A$1:CB$87,Formula!J55,46))</f>
        <v>16.11</v>
      </c>
      <c r="EL55" s="66">
        <f>VARP(IF(INDEX(Properties!A$1:CB$87,Formula!B55,46)&lt;&gt;"",INDEX(Properties!A$1:CB$87,Formula!B55,46)),IF(INDEX(Properties!A$1:CB$87,Formula!D55,46)&lt;&gt;"",INDEX(Properties!A$1:CB$87,Formula!D55,46)),IF(INDEX(Properties!A$1:CB$87,Formula!F55,46)&lt;&gt;"",INDEX(Properties!A$1:CB$87,Formula!F55,46)),IF(INDEX(Properties!A$1:CB$87,Formula!H55,46)&lt;&gt;"",INDEX(Properties!A$1:CB$87,Formula!H55,46)),IF(INDEX(Properties!A$1:CB$87,Formula!J55,46)&lt;&gt;"",INDEX(Properties!A$1:CB$87,Formula!J55,46)))</f>
        <v>0.25618399999999991</v>
      </c>
      <c r="EM55" s="66">
        <f>MAX(INDEX(Properties!A$1:CB$87,Formula!B55,46),INDEX(Properties!A$1:CB$87,Formula!D55,46),INDEX(Properties!A$1:CB$87,Formula!F55,46),INDEX(Properties!A$1:CB$87,Formula!H55,46),INDEX(Properties!A$1:CB$87,Formula!J55,46))</f>
        <v>1.21</v>
      </c>
      <c r="EN55" s="66">
        <f>MIN(IF(INDEX(Properties!A$1:CB$87,Formula!B55,46)=0,10^6,INDEX(Properties!A$1:CB$87,Formula!B55,46)),IF(INDEX(Properties!A$1:CB$87,Formula!D55,46)=0,10^6,INDEX(Properties!A$1:CB$87,Formula!D55,46)),IF(INDEX(Properties!A$1:CB$87,Formula!F55,46)=0,10^6,INDEX(Properties!A$1:CB$87,Formula!F55,46)),IF(INDEX(Properties!A$1:CB$87,Formula!H55,46)=0,10^6,INDEX(Properties!A$1:CB$87,Formula!H55,46)),IF(INDEX(Properties!A$1:CB$87,Formula!J55,46)=0,10^6,INDEX(Properties!A$1:CB$87,Formula!J55,46)))</f>
        <v>0.53</v>
      </c>
      <c r="EO55" s="66">
        <f t="shared" si="23"/>
        <v>0.67999999999999994</v>
      </c>
      <c r="EP55" s="81">
        <f>((Formula!C55)/(Formula!C55+Formula!E55+Formula!G55+Formula!I55+Formula!K55))*(INDEX(Properties!A$1:CB$87,Formula!B55,52))+((Formula!E55)/(Formula!C55+Formula!E55+Formula!G55+Formula!I55+Formula!K55))*(INDEX(Properties!A$1:CB$87,Formula!D55,52))+((Formula!G55)/(Formula!C55+Formula!E55+Formula!G55+Formula!I55+Formula!K55))*(INDEX(Properties!A$1:CB$87,Formula!F55,52))+((Formula!I55)/(Formula!C55+Formula!E55+Formula!G55+Formula!I55+Formula!K55))*(INDEX(Properties!A$1:CB$87,Formula!H55,52))+((Formula!K55)/(Formula!C55+Formula!E55+Formula!G55+Formula!I55+Formula!K55))*(INDEX(Properties!A$1:CB$87,Formula!J55,52))</f>
        <v>7.6357999999999997</v>
      </c>
      <c r="EQ55" s="81">
        <f>Formula!C55*(INDEX(Properties!A$1:CB$87,Formula!B55,52))+Formula!E55*(INDEX(Properties!A$1:CB$87,Formula!D55,52))+Formula!G55*(INDEX(Properties!A$1:CB$87,Formula!F55,52))+Formula!I55*(INDEX(Properties!A$1:CB$87,Formula!H55,52))+Formula!K55*(INDEX(Properties!A$1:CB$87,Formula!J55,52))</f>
        <v>114.53700000000001</v>
      </c>
      <c r="ER55" s="81">
        <f>VARP(IF(INDEX(Properties!A$1:CB$87,Formula!B55,52)&lt;&gt;"",INDEX(Properties!A$1:CB$87,Formula!B55,52)),IF(INDEX(Properties!A$1:CB$87,Formula!D55,52)&lt;&gt;"",INDEX(Properties!A$1:CB$87,Formula!D55,52)),IF(INDEX(Properties!A$1:CB$87,Formula!F55,52)&lt;&gt;"",INDEX(Properties!A$1:CB$87,Formula!F55,52)),IF(INDEX(Properties!A$1:CB$87,Formula!H55,52)&lt;&gt;"",INDEX(Properties!A$1:CB$87,Formula!H55,52)),IF(INDEX(Properties!A$1:CB$87,Formula!J55,52)&lt;&gt;"",INDEX(Properties!A$1:CB$87,Formula!J55,52)))</f>
        <v>76.529975839999992</v>
      </c>
      <c r="ES55" s="81">
        <f>MAX(INDEX(Properties!A$1:CB$87,Formula!B55,52),INDEX(Properties!A$1:CB$87,Formula!D55,52),INDEX(Properties!A$1:CB$87,Formula!F55,52),INDEX(Properties!A$1:CB$87,Formula!H55,52),INDEX(Properties!A$1:CB$87,Formula!J55,52))</f>
        <v>22.7</v>
      </c>
      <c r="ET55" s="81">
        <f>MIN(IF(INDEX(Properties!A$1:CB$87,Formula!B55,52)=0,10^6,INDEX(Properties!A$1:CB$87,Formula!B55,52)),IF(INDEX(Properties!A$1:CB$87,Formula!D55,52)=0,10^6,INDEX(Properties!A$1:CB$87,Formula!D55,52)),IF(INDEX(Properties!A$1:CB$87,Formula!F55,52)=0,10^6,INDEX(Properties!A$1:CB$87,Formula!F55,52)),IF(INDEX(Properties!A$1:CB$87,Formula!H55,52)=0,10^6,INDEX(Properties!A$1:CB$87,Formula!H55,52)),IF(INDEX(Properties!A$1:CB$87,Formula!J55,52)=0,10^6,INDEX(Properties!A$1:CB$87,Formula!J55,52)))</f>
        <v>0.79300000000000004</v>
      </c>
      <c r="EU55" s="81">
        <f t="shared" si="24"/>
        <v>21.907</v>
      </c>
      <c r="EV55" s="39">
        <f>((Formula!C55)/(Formula!C55+Formula!E55+Formula!G55+Formula!I55+Formula!K55))*(INDEX(Properties!A$1:CB$87,Formula!B55,53))+((Formula!E55)/(Formula!C55+Formula!E55+Formula!G55+Formula!I55+Formula!K55))*(INDEX(Properties!A$1:CB$87,Formula!D55,53))+((Formula!G55)/(Formula!C55+Formula!E55+Formula!G55+Formula!I55+Formula!K55))*(INDEX(Properties!A$1:CB$87,Formula!F55,53))+((Formula!I55)/(Formula!C55+Formula!E55+Formula!G55+Formula!I55+Formula!K55))*(INDEX(Properties!A$1:CB$87,Formula!H55,53))+((Formula!K55)/(Formula!C55+Formula!E55+Formula!G55+Formula!I55+Formula!K55))*(INDEX(Properties!A$1:CB$87,Formula!J55,53))</f>
        <v>636.24333333333334</v>
      </c>
      <c r="EW55" s="39">
        <f>Formula!C55*(INDEX(Properties!A$1:CB$87,Formula!B55,53))+Formula!E55*(INDEX(Properties!A$1:CB$87,Formula!D55,53))+Formula!G55*(INDEX(Properties!A$1:CB$87,Formula!F55,53))+Formula!I55*(INDEX(Properties!A$1:CB$87,Formula!H55,53))+Formula!K55*(INDEX(Properties!A$1:CB$87,Formula!J55,53))</f>
        <v>9543.65</v>
      </c>
      <c r="EX55" s="39">
        <f>VARP(IF(INDEX(Properties!A$1:CB$87,Formula!B55,53)&lt;&gt;"",INDEX(Properties!A$1:CB$87,Formula!B55,53)),IF(INDEX(Properties!A$1:CB$87,Formula!D55,53)&lt;&gt;"",INDEX(Properties!A$1:CB$87,Formula!D55,53)),IF(INDEX(Properties!A$1:CB$87,Formula!F55,53)&lt;&gt;"",INDEX(Properties!A$1:CB$87,Formula!F55,53)),IF(INDEX(Properties!A$1:CB$87,Formula!H55,53)&lt;&gt;"",INDEX(Properties!A$1:CB$87,Formula!H55,53)),IF(INDEX(Properties!A$1:CB$87,Formula!J55,53)&lt;&gt;"",INDEX(Properties!A$1:CB$87,Formula!J55,53)))</f>
        <v>509946.88540000009</v>
      </c>
      <c r="EY55" s="39">
        <f>MAX(INDEX(Properties!A$1:CB$87,Formula!B55,53),INDEX(Properties!A$1:CB$87,Formula!D55,53),INDEX(Properties!A$1:CB$87,Formula!F55,53),INDEX(Properties!A$1:CB$87,Formula!H55,53),INDEX(Properties!A$1:CB$87,Formula!J55,53))</f>
        <v>1796.15</v>
      </c>
      <c r="EZ55" s="39">
        <f>MIN(IF(INDEX(Properties!A$1:CB$87,Formula!B55,53)=0,10^6,INDEX(Properties!A$1:CB$87,Formula!B55,53)),IF(INDEX(Properties!A$1:CB$87,Formula!D55,53)=0,10^6,INDEX(Properties!A$1:CB$87,Formula!D55,53)),IF(INDEX(Properties!A$1:CB$87,Formula!F55,53)=0,10^6,INDEX(Properties!A$1:CB$87,Formula!F55,53)),IF(INDEX(Properties!A$1:CB$87,Formula!H55,53)=0,10^6,INDEX(Properties!A$1:CB$87,Formula!H55,53)),IF(INDEX(Properties!A$1:CB$87,Formula!J55,53)=0,10^6,INDEX(Properties!A$1:CB$87,Formula!J55,53)))</f>
        <v>54.749999999999972</v>
      </c>
      <c r="FA55" s="39">
        <f t="shared" si="25"/>
        <v>1741.4</v>
      </c>
      <c r="FB55" s="54">
        <f>((Formula!C55)/(Formula!C55+Formula!E55+Formula!G55+Formula!I55+Formula!K55))*(INDEX(Properties!A$1:CB$87,Formula!B55,54))+((Formula!E55)/(Formula!C55+Formula!E55+Formula!G55+Formula!I55+Formula!K55))*(INDEX(Properties!A$1:CB$87,Formula!D55,54))+((Formula!G55)/(Formula!C55+Formula!E55+Formula!G55+Formula!I55+Formula!K55))*(INDEX(Properties!A$1:CB$87,Formula!F55,54))+((Formula!I55)/(Formula!C55+Formula!E55+Formula!G55+Formula!I55+Formula!K55))*(INDEX(Properties!A$1:CB$87,Formula!H55,54))+((Formula!K55)/(Formula!C55+Formula!E55+Formula!G55+Formula!I55+Formula!K55))*(INDEX(Properties!A$1:CB$87,Formula!J55,54))</f>
        <v>1382.1499999999999</v>
      </c>
      <c r="FC55" s="54">
        <f>Formula!C55*(INDEX(Properties!A$1:CB$87,Formula!B55,54))+Formula!E55*(INDEX(Properties!A$1:CB$87,Formula!D55,54))+Formula!G55*(INDEX(Properties!A$1:CB$87,Formula!F55,54))+Formula!I55*(INDEX(Properties!A$1:CB$87,Formula!H55,54))+Formula!K55*(INDEX(Properties!A$1:CB$87,Formula!J55,54))</f>
        <v>20732.25</v>
      </c>
      <c r="FD55" s="54">
        <f>VARP(IF(INDEX(Properties!A$1:CB$87,Formula!B55,54)&lt;&gt;"",INDEX(Properties!A$1:CB$87,Formula!B55,54)),IF(INDEX(Properties!A$1:CB$87,Formula!D55,54)&lt;&gt;"",INDEX(Properties!A$1:CB$87,Formula!D55,54)),IF(INDEX(Properties!A$1:CB$87,Formula!F55,54)&lt;&gt;"",INDEX(Properties!A$1:CB$87,Formula!F55,54)),IF(INDEX(Properties!A$1:CB$87,Formula!H55,54)&lt;&gt;"",INDEX(Properties!A$1:CB$87,Formula!H55,54)),IF(INDEX(Properties!A$1:CB$87,Formula!J55,54)&lt;&gt;"",INDEX(Properties!A$1:CB$87,Formula!J55,54)))</f>
        <v>2450770.5654000002</v>
      </c>
      <c r="FE55" s="54">
        <f>MAX(INDEX(Properties!A$1:CB$87,Formula!B55,54),INDEX(Properties!A$1:CB$87,Formula!D55,54),INDEX(Properties!A$1:CB$87,Formula!F55,54),INDEX(Properties!A$1:CB$87,Formula!H55,54),INDEX(Properties!A$1:CB$87,Formula!J55,54))</f>
        <v>3610.15</v>
      </c>
      <c r="FF55" s="54">
        <f>MIN(IF(INDEX(Properties!A$1:CB$87,Formula!B55,54)=0,10^6,INDEX(Properties!A$1:CB$87,Formula!B55,54)),IF(INDEX(Properties!A$1:CB$87,Formula!D55,54)=0,10^6,INDEX(Properties!A$1:CB$87,Formula!D55,54)),IF(INDEX(Properties!A$1:CB$87,Formula!F55,54)=0,10^6,INDEX(Properties!A$1:CB$87,Formula!F55,54)),IF(INDEX(Properties!A$1:CB$87,Formula!H55,54)=0,10^6,INDEX(Properties!A$1:CB$87,Formula!H55,54)),IF(INDEX(Properties!A$1:CB$87,Formula!J55,54)=0,10^6,INDEX(Properties!A$1:CB$87,Formula!J55,54)))</f>
        <v>90.149999999999977</v>
      </c>
      <c r="FG55" s="54">
        <f t="shared" si="26"/>
        <v>3520</v>
      </c>
      <c r="FH55" s="69">
        <f>((Formula!C55)/(Formula!C55+Formula!E55+Formula!G55+Formula!I55+Formula!K55))*(INDEX(Properties!A$1:CB$87,Formula!B55,55))+((Formula!E55)/(Formula!C55+Formula!E55+Formula!G55+Formula!I55+Formula!K55))*(INDEX(Properties!A$1:CB$87,Formula!D55,55))+((Formula!G55)/(Formula!C55+Formula!E55+Formula!G55+Formula!I55+Formula!K55))*(INDEX(Properties!A$1:CB$87,Formula!F55,55))+((Formula!I55)/(Formula!C55+Formula!E55+Formula!G55+Formula!I55+Formula!K55))*(INDEX(Properties!A$1:CB$87,Formula!H55,55))+((Formula!K55)/(Formula!C55+Formula!E55+Formula!G55+Formula!I55+Formula!K55))*(INDEX(Properties!A$1:CB$87,Formula!J55,55))</f>
        <v>1.5528580000000001</v>
      </c>
      <c r="FI55" s="69">
        <f>Formula!C55*(INDEX(Properties!A$1:CB$87,Formula!B55,55))+Formula!E55*(INDEX(Properties!A$1:CB$87,Formula!D55,54))+Formula!G55*(INDEX(Properties!A$1:CB$87,Formula!F55,55))+Formula!I55*(INDEX(Properties!A$1:CB$87,Formula!H55,55))+Formula!K55*(INDEX(Properties!A$1:CB$87,Formula!J55,55))</f>
        <v>5498.1928699999999</v>
      </c>
      <c r="FJ55" s="69">
        <f>VARP(IF(INDEX(Properties!A$1:CB$87,Formula!B55,55)&lt;&gt;"",INDEX(Properties!A$1:CB$87,Formula!B55,55)),IF(INDEX(Properties!A$1:CB$87,Formula!D55,55)&lt;&gt;"",INDEX(Properties!A$1:CB$87,Formula!D55,55)),IF(INDEX(Properties!A$1:CB$87,Formula!F55,55)&lt;&gt;"",INDEX(Properties!A$1:CB$87,Formula!F55,55)),IF(INDEX(Properties!A$1:CB$87,Formula!H55,55)&lt;&gt;"",INDEX(Properties!A$1:CB$87,Formula!H55,55)),IF(INDEX(Properties!A$1:CB$87,Formula!J55,55)&lt;&gt;"",INDEX(Properties!A$1:CB$87,Formula!J55,55)))</f>
        <v>3.3970040791839993</v>
      </c>
      <c r="FK55" s="69">
        <f>MAX(INDEX(Properties!A$1:CB$87,Formula!B55,55),INDEX(Properties!A$1:CB$87,Formula!D55,55),INDEX(Properties!A$1:CB$87,Formula!F55,55),INDEX(Properties!A$1:CB$87,Formula!H55,55),INDEX(Properties!A$1:CB$87,Formula!J55,55))</f>
        <v>4.47</v>
      </c>
      <c r="FL55" s="69">
        <f>MIN(IF(INDEX(Properties!A$1:CB$87,Formula!B55,55)=0,10^6,INDEX(Properties!A$1:CB$87,Formula!B55,55)),IF(INDEX(Properties!A$1:CB$87,Formula!D55,55)=0,10^6,INDEX(Properties!A$1:CB$87,Formula!D55,55)),IF(INDEX(Properties!A$1:CB$87,Formula!F55,55)=0,10^6,INDEX(Properties!A$1:CB$87,Formula!F55,55)),IF(INDEX(Properties!A$1:CB$87,Formula!H55,55)=0,10^6,INDEX(Properties!A$1:CB$87,Formula!H55,55)),IF(INDEX(Properties!A$1:CB$87,Formula!J55,55)=0,10^6,INDEX(Properties!A$1:CB$87,Formula!J55,55)))</f>
        <v>1.4300000000000001E-3</v>
      </c>
      <c r="FM55" s="69">
        <f t="shared" si="27"/>
        <v>4.4685699999999997</v>
      </c>
      <c r="FN55" s="42">
        <f>((Formula!C55)/(Formula!C55+Formula!E55+Formula!G55+Formula!I55+Formula!K55))*(INDEX(Properties!A$1:CB$87,Formula!B55,56))+((Formula!E55)/(Formula!C55+Formula!E55+Formula!G55+Formula!I55+Formula!K55))*(INDEX(Properties!A$1:CB$87,Formula!D55,56))+((Formula!G55)/(Formula!C55+Formula!E55+Formula!G55+Formula!I55+Formula!K55))*(INDEX(Properties!A$1:CB$87,Formula!F55,56))+((Formula!I55)/(Formula!C55+Formula!E55+Formula!G55+Formula!I55+Formula!K55))*(INDEX(Properties!A$1:CB$87,Formula!H55,56))+((Formula!K55)/(Formula!C55+Formula!E55+Formula!G55+Formula!I55+Formula!K55))*(INDEX(Properties!A$1:CB$87,Formula!J55,56))</f>
        <v>0.752</v>
      </c>
      <c r="FO55" s="42">
        <f>Formula!C55*(INDEX(Properties!A$1:CB$87,Formula!B55,56))+Formula!E55*(INDEX(Properties!A$1:CB$87,Formula!D55,56))+Formula!G55*(INDEX(Properties!A$1:CB$87,Formula!F55,56))+Formula!I55*(INDEX(Properties!A$1:CB$87,Formula!H55,56))+Formula!K55*(INDEX(Properties!A$1:CB$87,Formula!J55,56))</f>
        <v>11.280000000000001</v>
      </c>
      <c r="FP55" s="42">
        <f>VARP(IF(INDEX(Properties!A$1:CB$87,Formula!B55,56)&lt;&gt;"",INDEX(Properties!A$1:CB$87,Formula!B55,56)),IF(INDEX(Properties!A$1:CB$87,Formula!D55,56)&lt;&gt;"",INDEX(Properties!A$1:CB$87,Formula!D55,56)),IF(INDEX(Properties!A$1:CB$87,Formula!F55,56)&lt;&gt;"",INDEX(Properties!A$1:CB$87,Formula!F55,56)),IF(INDEX(Properties!A$1:CB$87,Formula!H55,56)&lt;&gt;"",INDEX(Properties!A$1:CB$87,Formula!H55,56)),IF(INDEX(Properties!A$1:CB$87,Formula!J55,56)&lt;&gt;"",INDEX(Properties!A$1:CB$87,Formula!J55,56)))</f>
        <v>0.16950399999999996</v>
      </c>
      <c r="FQ55" s="42">
        <f>MAX(INDEX(Properties!A$1:CB$87,Formula!B55,56),INDEX(Properties!A$1:CB$87,Formula!D55,56),INDEX(Properties!A$1:CB$87,Formula!F55,56),INDEX(Properties!A$1:CB$87,Formula!H55,56),INDEX(Properties!A$1:CB$87,Formula!J55,56))</f>
        <v>0.92</v>
      </c>
      <c r="FR55" s="42">
        <f>MIN(IF(INDEX(Properties!A$1:CB$87,Formula!B55,56)=0,10^6,INDEX(Properties!A$1:CB$87,Formula!B55,56)),IF(INDEX(Properties!A$1:CB$87,Formula!D55,56)=0,10^6,INDEX(Properties!A$1:CB$87,Formula!D55,56)),IF(INDEX(Properties!A$1:CB$87,Formula!F55,56)=0,10^6,INDEX(Properties!A$1:CB$87,Formula!F55,56)),IF(INDEX(Properties!A$1:CB$87,Formula!H55,56)=0,10^6,INDEX(Properties!A$1:CB$87,Formula!H55,56)),IF(INDEX(Properties!A$1:CB$87,Formula!J55,56)=0,10^6,INDEX(Properties!A$1:CB$87,Formula!J55,56)))</f>
        <v>0.3</v>
      </c>
      <c r="FS55" s="42">
        <f t="shared" si="28"/>
        <v>0.62000000000000011</v>
      </c>
      <c r="FT55" s="60">
        <f>((Formula!C55)/(Formula!C55+Formula!E55+Formula!G55+Formula!I55+Formula!K55))*(INDEX(Properties!A$1:CB$87,Formula!B55,57))+((Formula!E55)/(Formula!C55+Formula!E55+Formula!G55+Formula!I55+Formula!K55))*(INDEX(Properties!A$1:CB$87,Formula!D55,57))+((Formula!G55)/(Formula!C55+Formula!E55+Formula!G55+Formula!I55+Formula!K55))*(INDEX(Properties!A$1:CB$87,Formula!F55,57))+((Formula!I55)/(Formula!C55+Formula!E55+Formula!G55+Formula!I55+Formula!K55))*(INDEX(Properties!A$1:CB$87,Formula!H55,57))+((Formula!K55)/(Formula!C55+Formula!E55+Formula!G55+Formula!I55+Formula!K55))*(INDEX(Properties!A$1:CB$87,Formula!J55,57))</f>
        <v>4.6122206666666665</v>
      </c>
      <c r="FU55" s="60">
        <f>Formula!C55*(INDEX(Properties!A$1:CB$87,Formula!B55,57))+Formula!E55*(INDEX(Properties!A$1:CB$87,Formula!D55,57))+Formula!G55*(INDEX(Properties!A$1:CB$87,Formula!F55,57))+Formula!I55*(INDEX(Properties!A$1:CB$87,Formula!H55,57))+Formula!K55*(INDEX(Properties!A$1:CB$87,Formula!J55,57))</f>
        <v>69.183310000000006</v>
      </c>
      <c r="FV55" s="60">
        <f>VARP(IF(INDEX(Properties!A$1:CB$87,Formula!B55,57)&lt;&gt;"",INDEX(Properties!A$1:CB$87,Formula!B55,57)),IF(INDEX(Properties!A$1:CB$87,Formula!D55,57)&lt;&gt;"",INDEX(Properties!A$1:CB$87,Formula!D55,57)),IF(INDEX(Properties!A$1:CB$87,Formula!F55,57)&lt;&gt;"",INDEX(Properties!A$1:CB$87,Formula!F55,57)),IF(INDEX(Properties!A$1:CB$87,Formula!H55,57)&lt;&gt;"",INDEX(Properties!A$1:CB$87,Formula!H55,57)),IF(INDEX(Properties!A$1:CB$87,Formula!J55,57)&lt;&gt;"",INDEX(Properties!A$1:CB$87,Formula!J55,57)))</f>
        <v>29.193761641295996</v>
      </c>
      <c r="FW55" s="60">
        <f>MAX(INDEX(Properties!A$1:CB$87,Formula!B55,57),INDEX(Properties!A$1:CB$87,Formula!D55,57),INDEX(Properties!A$1:CB$87,Formula!F55,57),INDEX(Properties!A$1:CB$87,Formula!H55,57),INDEX(Properties!A$1:CB$87,Formula!J55,57))</f>
        <v>11.4</v>
      </c>
      <c r="FX55" s="60">
        <f>MIN(IF(INDEX(Properties!A$1:CB$87,Formula!B55,57)=0,10^6,INDEX(Properties!A$1:CB$87,Formula!B55,57)),IF(INDEX(Properties!A$1:CB$87,Formula!D55,57)=0,10^6,INDEX(Properties!A$1:CB$87,Formula!D55,57)),IF(INDEX(Properties!A$1:CB$87,Formula!F55,57)=0,10^6,INDEX(Properties!A$1:CB$87,Formula!F55,57)),IF(INDEX(Properties!A$1:CB$87,Formula!H55,57)=0,10^6,INDEX(Properties!A$1:CB$87,Formula!H55,57)),IF(INDEX(Properties!A$1:CB$87,Formula!J55,57)=0,10^6,INDEX(Properties!A$1:CB$87,Formula!J55,57)))</f>
        <v>0.22259000000000001</v>
      </c>
      <c r="FY55" s="60">
        <f t="shared" si="29"/>
        <v>11.17741</v>
      </c>
      <c r="FZ55" s="72">
        <f>((Formula!C55)/(Formula!C55+Formula!E55+Formula!G55+Formula!I55+Formula!K55))*(INDEX(Properties!A$1:CB$87,Formula!B55,60))+((Formula!E55)/(Formula!C55+Formula!E55+Formula!G55+Formula!I55+Formula!K55))*(INDEX(Properties!A$1:CB$87,Formula!D55,60))+((Formula!G55)/(Formula!C55+Formula!E55+Formula!G55+Formula!I55+Formula!K55))*(INDEX(Properties!A$1:CB$87,Formula!F55,60))+((Formula!I55)/(Formula!C55+Formula!E55+Formula!G55+Formula!I55+Formula!K55))*(INDEX(Properties!A$1:CB$87,Formula!H55,60))+((Formula!K55)/(Formula!C55+Formula!E55+Formula!G55+Formula!I55+Formula!K55))*(INDEX(Properties!A$1:CB$87,Formula!J55,60))</f>
        <v>36.202710666666668</v>
      </c>
      <c r="GA55" s="72">
        <f>Formula!C55*(INDEX(Properties!A$1:CB$87,Formula!B55,60))+Formula!E55*(INDEX(Properties!A$1:CB$87,Formula!D55,60))+Formula!G55*(INDEX(Properties!A$1:CB$87,Formula!F55,60))+Formula!I55*(INDEX(Properties!A$1:CB$87,Formula!H55,60))+Formula!K55*(INDEX(Properties!A$1:CB$87,Formula!J55,60))</f>
        <v>543.04066</v>
      </c>
      <c r="GB55" s="72">
        <f>VARP(IF(INDEX(Properties!A$1:CB$87,Formula!B55,60)&lt;&gt;"",INDEX(Properties!A$1:CB$87,Formula!B55,60)),IF(INDEX(Properties!A$1:CB$87,Formula!D55,60)&lt;&gt;"",INDEX(Properties!A$1:CB$87,Formula!D55,60)),IF(INDEX(Properties!A$1:CB$87,Formula!F55,60)&lt;&gt;"",INDEX(Properties!A$1:CB$87,Formula!F55,60)),IF(INDEX(Properties!A$1:CB$87,Formula!H55,60)&lt;&gt;"",INDEX(Properties!A$1:CB$87,Formula!H55,60)),IF(INDEX(Properties!A$1:CB$87,Formula!J55,60)&lt;&gt;"",INDEX(Properties!A$1:CB$87,Formula!J55,60)))</f>
        <v>8707.7187297644159</v>
      </c>
      <c r="GC55" s="72">
        <f>MAX(INDEX(Properties!A$1:CB$87,Formula!B55,60),INDEX(Properties!A$1:CB$87,Formula!D55,60),INDEX(Properties!A$1:CB$87,Formula!F55,60),INDEX(Properties!A$1:CB$87,Formula!H55,60),INDEX(Properties!A$1:CB$87,Formula!J55,60))</f>
        <v>237</v>
      </c>
      <c r="GD55" s="72">
        <f>MIN(IF(INDEX(Properties!A$1:CB$87,Formula!B55,60)=0,10^6,INDEX(Properties!A$1:CB$87,Formula!B55,60)),IF(INDEX(Properties!A$1:CB$87,Formula!D55,60)=0,10^6,INDEX(Properties!A$1:CB$87,Formula!D55,60)),IF(INDEX(Properties!A$1:CB$87,Formula!F55,60)=0,10^6,INDEX(Properties!A$1:CB$87,Formula!F55,60)),IF(INDEX(Properties!A$1:CB$87,Formula!H55,60)=0,10^6,INDEX(Properties!A$1:CB$87,Formula!H55,60)),IF(INDEX(Properties!A$1:CB$87,Formula!J55,60)=0,10^6,INDEX(Properties!A$1:CB$87,Formula!J55,60)))</f>
        <v>2.674E-2</v>
      </c>
      <c r="GE55" s="72">
        <f t="shared" si="30"/>
        <v>236.97326000000001</v>
      </c>
      <c r="GF55" s="51">
        <f>((Formula!C55)/(Formula!C55+Formula!E55+Formula!G55+Formula!I55+Formula!K55))*(INDEX(Properties!A$1:CB$87,Formula!B55,62))+((Formula!E55)/(Formula!C55+Formula!E55+Formula!G55+Formula!I55+Formula!K55))*(INDEX(Properties!A$1:CB$87,Formula!D55,62))+((Formula!G55)/(Formula!C55+Formula!E55+Formula!G55+Formula!I55+Formula!K55))*(INDEX(Properties!A$1:CB$87,Formula!F55,62))+((Formula!I55)/(Formula!C55+Formula!E55+Formula!G55+Formula!I55+Formula!K55))*(INDEX(Properties!A$1:CB$87,Formula!H55,62))+((Formula!K55)/(Formula!C55+Formula!E55+Formula!G55+Formula!I55+Formula!K55))*(INDEX(Properties!A$1:CB$87,Formula!J55,62))</f>
        <v>3.1893333333333334</v>
      </c>
      <c r="GG55" s="51">
        <f>Formula!C55*(INDEX(Properties!A$1:CB$87,Formula!B55,62))+Formula!E55*(INDEX(Properties!A$1:CB$87,Formula!D55,62))+Formula!G55*(INDEX(Properties!A$1:CB$87,Formula!F55,62))+Formula!I55*(INDEX(Properties!A$1:CB$87,Formula!H55,62))+Formula!K55*(INDEX(Properties!A$1:CB$87,Formula!J55,62))</f>
        <v>47.84</v>
      </c>
      <c r="GH55" s="51">
        <f>VARP(IF(INDEX(Properties!A$1:CB$87,Formula!B55,62)&lt;&gt;"",INDEX(Properties!A$1:CB$87,Formula!B55,62)),IF(INDEX(Properties!A$1:CB$87,Formula!D55,62)&lt;&gt;"",INDEX(Properties!A$1:CB$87,Formula!D55,62)),IF(INDEX(Properties!A$1:CB$87,Formula!F55,62)&lt;&gt;"",INDEX(Properties!A$1:CB$87,Formula!F55,62)),IF(INDEX(Properties!A$1:CB$87,Formula!H55,62)&lt;&gt;"",INDEX(Properties!A$1:CB$87,Formula!H55,62)),IF(INDEX(Properties!A$1:CB$87,Formula!J55,62)&lt;&gt;"",INDEX(Properties!A$1:CB$87,Formula!J55,62)))</f>
        <v>3.1809040000000004</v>
      </c>
      <c r="GI55" s="51">
        <f>MAX(INDEX(Properties!A$1:CB$87,Formula!B55,62),INDEX(Properties!A$1:CB$87,Formula!D55,62),INDEX(Properties!A$1:CB$87,Formula!F55,62),INDEX(Properties!A$1:CB$87,Formula!H55,62),INDEX(Properties!A$1:CB$87,Formula!J55,62))</f>
        <v>4.37</v>
      </c>
      <c r="GJ55" s="51">
        <f>MIN(IF(INDEX(Properties!A$1:CB$87,Formula!B55,62)=0,10^6,INDEX(Properties!A$1:CB$87,Formula!B55,62)),IF(INDEX(Properties!A$1:CB$87,Formula!D55,62)=0,10^6,INDEX(Properties!A$1:CB$87,Formula!D55,62)),IF(INDEX(Properties!A$1:CB$87,Formula!F55,62)=0,10^6,INDEX(Properties!A$1:CB$87,Formula!F55,62)),IF(INDEX(Properties!A$1:CB$87,Formula!H55,62)=0,10^6,INDEX(Properties!A$1:CB$87,Formula!H55,62)),IF(INDEX(Properties!A$1:CB$87,Formula!J55,62)=0,10^6,INDEX(Properties!A$1:CB$87,Formula!J55,62)))</f>
        <v>2.62</v>
      </c>
      <c r="GK55" s="51">
        <f t="shared" si="31"/>
        <v>1.75</v>
      </c>
      <c r="GL55" s="51">
        <f>Formula!P55</f>
        <v>14</v>
      </c>
      <c r="GM55" s="57">
        <f>Formula!O55</f>
        <v>2</v>
      </c>
      <c r="GN55" s="51">
        <f>Formula!N55</f>
        <v>0.05</v>
      </c>
    </row>
    <row r="56" spans="1:196" x14ac:dyDescent="0.3">
      <c r="A56" s="84" t="str">
        <f>Formula!A56</f>
        <v>Bi4Ge3O12</v>
      </c>
      <c r="B56" s="89">
        <f>((Formula!C56)/(Formula!C56+Formula!E56+Formula!G56+Formula!I56+Formula!K56))*(INDEX(Properties!A$1:CB$87,Formula!B56,3))+((Formula!E56)/(Formula!C56+Formula!E56+Formula!G56+Formula!I56+Formula!K56))*(INDEX(Properties!A$1:CB$87,Formula!D56,3))+((Formula!G56)/(Formula!C56+Formula!E56+Formula!G56+Formula!I56+Formula!K56))*(INDEX(Properties!A$1:CB$87,Formula!F56,3))+((Formula!I56)/(Formula!C56+Formula!E56+Formula!G56+Formula!I56+Formula!K56))*(INDEX(Properties!A$1:CB$87,Formula!H56,3))+((Formula!K56)/(Formula!C56+Formula!E56+Formula!G56+Formula!I56+Formula!K56))*(INDEX(Properties!A$1:CB$87,Formula!J56,3))</f>
        <v>65.568646315789465</v>
      </c>
      <c r="C56" s="85">
        <f>Formula!C56*(INDEX(Properties!A$1:CB$87,Formula!B56,3))+Formula!E56*(INDEX(Properties!A$1:CB$87,Formula!D56,3))+Formula!G56*(INDEX(Properties!A$1:CB$87,Formula!F56,3))+Formula!I56*(INDEX(Properties!A$1:CB$87,Formula!H56,3))+Formula!K56*(INDEX(Properties!A$1:CB$87,Formula!J56,3))</f>
        <v>1245.8042799999998</v>
      </c>
      <c r="D56" s="85">
        <f>VARP(IF(INDEX(Properties!A$1:CB$87,Formula!B56,3)&lt;&gt;"",INDEX(Properties!A$1:CB$87,Formula!B56,3)),IF(INDEX(Properties!A$1:CB$87,Formula!D56,3)&lt;&gt;"",INDEX(Properties!A$1:CB$87,Formula!D56,3)),IF(INDEX(Properties!A$1:CB$87,Formula!F56,3)&lt;&gt;"",INDEX(Properties!A$1:CB$87,Formula!F56,3)),IF(INDEX(Properties!A$1:CB$87,Formula!H56,3)&lt;&gt;"",INDEX(Properties!A$1:CB$87,Formula!H56,3)),IF(INDEX(Properties!A$1:CB$87,Formula!J56,3)&lt;&gt;"",INDEX(Properties!A$1:CB$87,Formula!J56,3)))</f>
        <v>6297.9155411612637</v>
      </c>
      <c r="E56" s="85">
        <f>MAX(INDEX(Properties!A$1:CB$87,Formula!B56,3),INDEX(Properties!A$1:CB$87,Formula!D56,3),INDEX(Properties!A$1:CB$87,Formula!F56,3),INDEX(Properties!A$1:CB$87,Formula!H56,3),INDEX(Properties!A$1:CB$87,Formula!J56,3))</f>
        <v>208.98036999999999</v>
      </c>
      <c r="F56" s="85">
        <f>MIN(IF(INDEX(Properties!A$1:CB$87,Formula!B56,3)=0,10^6,INDEX(Properties!A$1:CB$87,Formula!B56,3)),IF(INDEX(Properties!A$1:CB$87,Formula!D56,3)=0,10^6,INDEX(Properties!A$1:CB$87,Formula!D56,3)),IF(INDEX(Properties!A$1:CB$87,Formula!F56,3)=0,10^6,INDEX(Properties!A$1:CB$87,Formula!F56,3)),IF(INDEX(Properties!A$1:CB$87,Formula!H56,3)=0,10^6,INDEX(Properties!A$1:CB$87,Formula!H56,3)),IF(INDEX(Properties!A$1:CB$87,Formula!J56,3)=0,10^6,INDEX(Properties!A$1:CB$87,Formula!J56,3)))</f>
        <v>15.9994</v>
      </c>
      <c r="G56" s="85">
        <f t="shared" si="0"/>
        <v>192.98096999999999</v>
      </c>
      <c r="H56" s="87">
        <f>((Formula!C56)/(Formula!C56+Formula!E56+Formula!G56+Formula!I56+Formula!K56))*(INDEX(Properties!A$1:CB$87,Formula!B56,4))+((Formula!E56)/(Formula!C56+Formula!E56+Formula!G56+Formula!I56+Formula!K56))*(INDEX(Properties!A$1:CB$87,Formula!D56,4))+((Formula!G56)/(Formula!C56+Formula!E56+Formula!G56+Formula!I56+Formula!K56))*(INDEX(Properties!A$1:CB$87,Formula!F56,4))+((Formula!I56)/(Formula!C56+Formula!E56+Formula!G56+Formula!I56+Formula!K56))*(INDEX(Properties!A$1:CB$87,Formula!H56,4))+((Formula!K56)/(Formula!C56+Formula!E56+Formula!G56+Formula!I56+Formula!K56))*(INDEX(Properties!A$1:CB$87,Formula!J56,4))</f>
        <v>27.578947368421055</v>
      </c>
      <c r="I56" s="87">
        <f>Formula!C56*(INDEX(Properties!A$1:CB$87,Formula!B56,4))+Formula!E56*(INDEX(Properties!A$1:CB$87,Formula!D56,4))+Formula!G56*(INDEX(Properties!A$1:CB$87,Formula!F56,4))+Formula!I56*(INDEX(Properties!A$1:CB$87,Formula!H56,4))+Formula!K56*(INDEX(Properties!A$1:CB$87,Formula!J56,4))</f>
        <v>524</v>
      </c>
      <c r="J56" s="87">
        <f>VARP(IF(INDEX(Properties!A$1:CB$87,Formula!B56,4)&lt;&gt;"",INDEX(Properties!A$1:CB$87,Formula!B56,4)),IF(INDEX(Properties!A$1:CB$87,Formula!D56,4)&lt;&gt;"",INDEX(Properties!A$1:CB$87,Formula!D56,4)),IF(INDEX(Properties!A$1:CB$87,Formula!F56,4)&lt;&gt;"",INDEX(Properties!A$1:CB$87,Formula!F56,4)),IF(INDEX(Properties!A$1:CB$87,Formula!H56,4)&lt;&gt;"",INDEX(Properties!A$1:CB$87,Formula!H56,4)),IF(INDEX(Properties!A$1:CB$87,Formula!J56,4)&lt;&gt;"",INDEX(Properties!A$1:CB$87,Formula!J56,4)))</f>
        <v>990.24</v>
      </c>
      <c r="K56" s="87">
        <f>MAX(INDEX(Properties!A$1:CB$87,Formula!B56,4),INDEX(Properties!A$1:CB$87,Formula!D56,4),INDEX(Properties!A$1:CB$87,Formula!F56,4),INDEX(Properties!A$1:CB$87,Formula!H56,4),INDEX(Properties!A$1:CB$87,Formula!J56,4))</f>
        <v>83</v>
      </c>
      <c r="L56" s="87">
        <f>MIN(IF(INDEX(Properties!A$1:CB$87,Formula!B56,4)=0,10^6,INDEX(Properties!A$1:CB$87,Formula!B56,4)),IF(INDEX(Properties!A$1:CB$87,Formula!D56,4)=0,10^6,INDEX(Properties!A$1:CB$87,Formula!D56,4)),IF(INDEX(Properties!A$1:CB$87,Formula!F56,4)=0,10^6,INDEX(Properties!A$1:CB$87,Formula!F56,4)),IF(INDEX(Properties!A$1:CB$87,Formula!H56,4)=0,10^6,INDEX(Properties!A$1:CB$87,Formula!H56,4)),IF(INDEX(Properties!A$1:CB$87,Formula!J56,4)=0,10^6,INDEX(Properties!A$1:CB$87,Formula!J56,4)))</f>
        <v>8</v>
      </c>
      <c r="M56" s="87">
        <f t="shared" si="1"/>
        <v>75</v>
      </c>
      <c r="N56" s="89">
        <f>((Formula!C56)/(Formula!C56+Formula!E56+Formula!G56+Formula!I56+Formula!K56))*(INDEX(Properties!A$1:CB$87,Formula!B56,5))+((Formula!E56)/(Formula!C56+Formula!E56+Formula!G56+Formula!I56+Formula!K56))*(INDEX(Properties!A$1:CB$87,Formula!D56,5))+((Formula!G56)/(Formula!C56+Formula!E56+Formula!G56+Formula!I56+Formula!K56))*(INDEX(Properties!A$1:CB$87,Formula!F56,5))+((Formula!I56)/(Formula!C56+Formula!E56+Formula!G56+Formula!I56+Formula!K56))*(INDEX(Properties!A$1:CB$87,Formula!H56,5))+((Formula!K56)/(Formula!C56+Formula!E56+Formula!G56+Formula!I56+Formula!K56))*(INDEX(Properties!A$1:CB$87,Formula!J56,5))</f>
        <v>3.1578947368421053</v>
      </c>
      <c r="O56" s="89">
        <f>Formula!C56*(INDEX(Properties!A$1:CB$87,Formula!B56,5))+Formula!E56*(INDEX(Properties!A$1:CB$87,Formula!D56,5))+Formula!G56*(INDEX(Properties!A$1:CB$87,Formula!F56,5))+Formula!I56*(INDEX(Properties!A$1:CB$87,Formula!H56,5))+Formula!K56*(INDEX(Properties!A$1:CB$87,Formula!J56,5))</f>
        <v>60</v>
      </c>
      <c r="P56" s="89">
        <f>VARP(IF(INDEX(Properties!A$1:CB$87,Formula!B56,5)&lt;&gt;"",INDEX(Properties!A$1:CB$87,Formula!B56,5)),IF(INDEX(Properties!A$1:CB$87,Formula!D56,5)&lt;&gt;"",INDEX(Properties!A$1:CB$87,Formula!D56,5)),IF(INDEX(Properties!A$1:CB$87,Formula!F56,5)&lt;&gt;"",INDEX(Properties!A$1:CB$87,Formula!F56,5)),IF(INDEX(Properties!A$1:CB$87,Formula!H56,5)&lt;&gt;"",INDEX(Properties!A$1:CB$87,Formula!H56,5)),IF(INDEX(Properties!A$1:CB$87,Formula!J56,5)&lt;&gt;"",INDEX(Properties!A$1:CB$87,Formula!J56,5)))</f>
        <v>5.44</v>
      </c>
      <c r="Q56" s="89">
        <f>MAX(INDEX(Properties!A$1:CB$87,Formula!B56,5),INDEX(Properties!A$1:CB$87,Formula!D56,5),INDEX(Properties!A$1:CB$87,Formula!F56,5),INDEX(Properties!A$1:CB$87,Formula!H56,5),INDEX(Properties!A$1:CB$87,Formula!J56,5))</f>
        <v>6</v>
      </c>
      <c r="R56" s="89">
        <f>MIN(IF(INDEX(Properties!A$1:CB$87,Formula!B56,5)=0,10^6,INDEX(Properties!A$1:CB$87,Formula!B56,5)),IF(INDEX(Properties!A$1:CB$87,Formula!D56,5)=0,10^6,INDEX(Properties!A$1:CB$87,Formula!D56,5)),IF(INDEX(Properties!A$1:CB$87,Formula!F56,5)=0,10^6,INDEX(Properties!A$1:CB$87,Formula!F56,5)),IF(INDEX(Properties!A$1:CB$87,Formula!H56,5)=0,10^6,INDEX(Properties!A$1:CB$87,Formula!H56,5)),IF(INDEX(Properties!A$1:CB$87,Formula!J56,5)=0,10^6,INDEX(Properties!A$1:CB$87,Formula!J56,5)))</f>
        <v>2</v>
      </c>
      <c r="S56" s="89">
        <f t="shared" si="2"/>
        <v>4</v>
      </c>
      <c r="T56" s="60">
        <f>((Formula!C56)/(Formula!C56+Formula!E56+Formula!G56+Formula!I56+Formula!K56))*(INDEX(Properties!A$1:CB$87,Formula!B56,6))+((Formula!E56)/(Formula!C56+Formula!E56+Formula!G56+Formula!I56+Formula!K56))*(INDEX(Properties!A$1:CB$87,Formula!D56,6))+((Formula!G56)/(Formula!C56+Formula!E56+Formula!G56+Formula!I56+Formula!K56))*(INDEX(Properties!A$1:CB$87,Formula!F56,6))+((Formula!I56)/(Formula!C56+Formula!E56+Formula!G56+Formula!I56+Formula!K56))*(INDEX(Properties!A$1:CB$87,Formula!H56,6))+((Formula!K56)/(Formula!C56+Formula!E56+Formula!G56+Formula!I56+Formula!K56))*(INDEX(Properties!A$1:CB$87,Formula!J56,6))</f>
        <v>15.473684210526315</v>
      </c>
      <c r="U56" s="60">
        <f>Formula!C56*(INDEX(Properties!A$1:CB$87,Formula!B56,6))+Formula!E56*(INDEX(Properties!A$1:CB$87,Formula!D56,6))+Formula!G56*(INDEX(Properties!A$1:CB$87,Formula!F56,6))+Formula!I56*(INDEX(Properties!A$1:CB$87,Formula!H56,6))+Formula!K56*(INDEX(Properties!A$1:CB$87,Formula!J56,6))</f>
        <v>294</v>
      </c>
      <c r="V56" s="89">
        <f>VARP(IF(INDEX(Properties!A$1:CB$87,Formula!B56,6)&lt;&gt;"",INDEX(Properties!A$1:CB$87,Formula!B56,6)),IF(INDEX(Properties!A$1:CB$87,Formula!D56,6)&lt;&gt;"",INDEX(Properties!A$1:CB$87,Formula!D56,6)),IF(INDEX(Properties!A$1:CB$87,Formula!F56,6)&lt;&gt;"",INDEX(Properties!A$1:CB$87,Formula!F56,6)),IF(INDEX(Properties!A$1:CB$87,Formula!H56,6)&lt;&gt;"",INDEX(Properties!A$1:CB$87,Formula!H56,6)),IF(INDEX(Properties!A$1:CB$87,Formula!J56,6)&lt;&gt;"",INDEX(Properties!A$1:CB$87,Formula!J56,6)))</f>
        <v>54.4</v>
      </c>
      <c r="W56" s="60">
        <f>MAX(INDEX(Properties!A$1:CB$87,Formula!B56,6),INDEX(Properties!A$1:CB$87,Formula!D56,6),INDEX(Properties!A$1:CB$87,Formula!F56,6),INDEX(Properties!A$1:CB$87,Formula!H56,4),INDEX(Properties!A$1:CB$87,Formula!J56,6))</f>
        <v>16</v>
      </c>
      <c r="X56" s="60">
        <f>MIN(IF(INDEX(Properties!A$1:CB$87,Formula!B56,6)=0,10^6,INDEX(Properties!A$1:CB$87,Formula!B56,6)),IF(INDEX(Properties!A$1:CB$87,Formula!D56,6)=0,10^6,INDEX(Properties!A$1:CB$87,Formula!D56,6)),IF(INDEX(Properties!A$1:CB$87,Formula!F56,6)=0,10^6,INDEX(Properties!A$1:CB$87,Formula!F56,6)),IF(INDEX(Properties!A$1:CB$87,Formula!H56,6)=0,10^6,INDEX(Properties!A$1:CB$87,Formula!H56,6)),IF(INDEX(Properties!A$1:CB$87,Formula!J56,6)=0,10^6,INDEX(Properties!A$1:CB$87,Formula!J56,6)))</f>
        <v>14</v>
      </c>
      <c r="Y56" s="60">
        <f t="shared" si="3"/>
        <v>2</v>
      </c>
      <c r="Z56" s="72">
        <f>((Formula!C56)/(Formula!C56+Formula!E56+Formula!G56+Formula!I56+Formula!K56))*(INDEX(Properties!A$1:CB$87,Formula!B56,9))+((Formula!E56)/(Formula!C56+Formula!E56+Formula!G56+Formula!I56+Formula!K56))*(INDEX(Properties!A$1:CB$87,Formula!D56,9))+((Formula!G56)/(Formula!C56+Formula!E56+Formula!G56+Formula!I56+Formula!K56))*(INDEX(Properties!A$1:CB$87,Formula!F56,9))+((Formula!I56)/(Formula!C56+Formula!E56+Formula!G56+Formula!I56+Formula!K56))*(INDEX(Properties!A$1:CB$87,Formula!H56,9))+((Formula!K56)/(Formula!C56+Formula!E56+Formula!G56+Formula!I56+Formula!K56))*(INDEX(Properties!A$1:CB$87,Formula!J56,9))</f>
        <v>85.526315789473685</v>
      </c>
      <c r="AA56" s="72">
        <f>Formula!C56*(INDEX(Properties!A$1:CB$87,Formula!B56,9))+Formula!E56*(INDEX(Properties!A$1:CB$87,Formula!D56,9))+Formula!G56*(INDEX(Properties!A$1:CB$87,Formula!F56,9))+Formula!I56*(INDEX(Properties!A$1:CB$87,Formula!H56,9))+Formula!K56*(INDEX(Properties!A$1:CB$87,Formula!J56,9))</f>
        <v>1625</v>
      </c>
      <c r="AB56" s="72">
        <f>VARP(IF(INDEX(Properties!A$1:CB$87,Formula!B56,9)&lt;&gt;"",INDEX(Properties!A$1:CB$87,Formula!B56,9)),IF(INDEX(Properties!A$1:CB$87,Formula!D56,9)&lt;&gt;"",INDEX(Properties!A$1:CB$87,Formula!D56,9)),IF(INDEX(Properties!A$1:CB$87,Formula!F56,9)&lt;&gt;"",INDEX(Properties!A$1:CB$87,Formula!F56,9)),IF(INDEX(Properties!A$1:CB$87,Formula!H56,9)&lt;&gt;"",INDEX(Properties!A$1:CB$87,Formula!H56,9)),IF(INDEX(Properties!A$1:CB$87,Formula!J56,9)&lt;&gt;"",INDEX(Properties!A$1:CB$87,Formula!J56,9)))</f>
        <v>1701.04</v>
      </c>
      <c r="AC56" s="72">
        <f>MAX(INDEX(Properties!A$1:CB$87,Formula!B56,9),INDEX(Properties!A$1:CB$87,Formula!D56,9),INDEX(Properties!A$1:CB$87,Formula!F56,9),INDEX(Properties!A$1:CB$87,Formula!H56,9),INDEX(Properties!A$1:CB$87,Formula!J56,9))</f>
        <v>87</v>
      </c>
      <c r="AD56" s="72">
        <f>MIN(IF(INDEX(Properties!A$1:CB$87,Formula!B56,9)=0,10^6,INDEX(Properties!A$1:CB$87,Formula!B56,9)),IF(INDEX(Properties!A$1:CB$87,Formula!D56,9)=0,10^6,INDEX(Properties!A$1:CB$87,Formula!D56,9)),IF(INDEX(Properties!A$1:CB$87,Formula!F56,9)=0,10^6,INDEX(Properties!A$1:CB$87,Formula!F56,9)),IF(INDEX(Properties!A$1:CB$87,Formula!H56,9)=0,10^6,INDEX(Properties!A$1:CB$87,Formula!H56,9)),IF(INDEX(Properties!A$1:CB$87,Formula!J56,9)=0,10^6,INDEX(Properties!A$1:CB$87,Formula!J56,9)))</f>
        <v>79</v>
      </c>
      <c r="AE56" s="72">
        <f t="shared" si="4"/>
        <v>8</v>
      </c>
      <c r="AF56" s="51">
        <f>((Formula!C56)/(Formula!C56+Formula!E56+Formula!G56+Formula!I56+Formula!K56))*(INDEX(Properties!A$1:CB$87,Formula!B56,10))+((Formula!E56)/(Formula!C56+Formula!E56+Formula!G56+Formula!I56+Formula!K56))*(INDEX(Properties!A$1:CB$87,Formula!D56,10))+((Formula!G56)/(Formula!C56+Formula!E56+Formula!G56+Formula!I56+Formula!K56))*(INDEX(Properties!A$1:CB$87,Formula!F56,10))+((Formula!I56)/(Formula!C56+Formula!E56+Formula!G56+Formula!I56+Formula!K56))*(INDEX(Properties!A$1:CB$87,Formula!H56,10))+((Formula!K56)/(Formula!C56+Formula!E56+Formula!G56+Formula!I56+Formula!K56))*(INDEX(Properties!A$1:CB$87,Formula!J56,10))</f>
        <v>6.4210526315789469</v>
      </c>
      <c r="AG56" s="51">
        <f>Formula!C56*(INDEX(Properties!A$1:CB$87,Formula!B56,10))+Formula!E56*(INDEX(Properties!A$1:CB$87,Formula!D56,10))+Formula!G56*(INDEX(Properties!A$1:CB$87,Formula!F56,10))+Formula!I56*(INDEX(Properties!A$1:CB$87,Formula!H56,10))+Formula!K56*(INDEX(Properties!A$1:CB$87,Formula!J56,10))</f>
        <v>122</v>
      </c>
      <c r="AH56" s="51">
        <f>VARP(IF(INDEX(Properties!A$1:CB$87,Formula!B56,10)&lt;&gt;"",INDEX(Properties!A$1:CB$87,Formula!B56,10)),IF(INDEX(Properties!A$1:CB$87,Formula!D56,10)&lt;&gt;"",INDEX(Properties!A$1:CB$87,Formula!D56,10)),IF(INDEX(Properties!A$1:CB$87,Formula!F56,10)&lt;&gt;"",INDEX(Properties!A$1:CB$87,Formula!F56,10)),IF(INDEX(Properties!A$1:CB$87,Formula!H56,10)&lt;&gt;"",INDEX(Properties!A$1:CB$87,Formula!H56,10)),IF(INDEX(Properties!A$1:CB$87,Formula!J56,10)&lt;&gt;"",INDEX(Properties!A$1:CB$87,Formula!J56,10)))</f>
        <v>9.0399999999999991</v>
      </c>
      <c r="AI56" s="51">
        <f>MAX(INDEX(Properties!A$1:CB$87,Formula!B56,10),INDEX(Properties!A$1:CB$87,Formula!D56,10),INDEX(Properties!A$1:CB$87,Formula!F56,10),INDEX(Properties!A$1:CB$87,Formula!H56,10),INDEX(Properties!A$1:CB$87,Formula!J56,10))</f>
        <v>7</v>
      </c>
      <c r="AJ56" s="51">
        <f>MIN(IF(INDEX(Properties!A$1:CB$87,Formula!B56,10)=0,10^6,INDEX(Properties!A$1:CB$87,Formula!B56,10)),IF(INDEX(Properties!A$1:CB$87,Formula!D56,10)=0,10^6,INDEX(Properties!A$1:CB$87,Formula!D56,10)),IF(INDEX(Properties!A$1:CB$87,Formula!F56,10)=0,10^6,INDEX(Properties!A$1:CB$87,Formula!F56,10)),IF(INDEX(Properties!A$1:CB$87,Formula!H56,10)=0,10^6,INDEX(Properties!A$1:CB$87,Formula!H56,10)),IF(INDEX(Properties!A$1:CB$87,Formula!J56,10)=0,10^6,INDEX(Properties!A$1:CB$87,Formula!J56,10)))</f>
        <v>5</v>
      </c>
      <c r="AK56" s="51">
        <f t="shared" si="5"/>
        <v>2</v>
      </c>
      <c r="AL56" s="57">
        <f>((Formula!C56)/(Formula!C56+Formula!E56+Formula!G56+Formula!I56+Formula!K56))*(INDEX(Properties!A$1:CB$87,Formula!B56,11))+((Formula!E56)/(Formula!C56+Formula!E56+Formula!G56+Formula!I56+Formula!K56))*(INDEX(Properties!A$1:CB$87,Formula!D56,11))+((Formula!G56)/(Formula!C56+Formula!E56+Formula!G56+Formula!I56+Formula!K56))*(INDEX(Properties!A$1:CB$87,Formula!F56,11))+((Formula!I56)/(Formula!C56+Formula!E56+Formula!G56+Formula!I56+Formula!K56))*(INDEX(Properties!A$1:CB$87,Formula!H56,11))+((Formula!K56)/(Formula!C56+Formula!E56+Formula!G56+Formula!I56+Formula!K56))*(INDEX(Properties!A$1:CB$87,Formula!J56,11))</f>
        <v>2</v>
      </c>
      <c r="AM56" s="57">
        <f>Formula!C56*(INDEX(Properties!A$1:CB$87,Formula!B56,11))+Formula!E56*(INDEX(Properties!A$1:CB$87,Formula!D56,11))+Formula!G56*(INDEX(Properties!A$1:CB$87,Formula!F56,11))+Formula!I56*(INDEX(Properties!A$1:CB$87,Formula!H56,11))+Formula!K56*(INDEX(Properties!A$1:CB$87,Formula!J56,11))</f>
        <v>38</v>
      </c>
      <c r="AN56" s="57">
        <f>VARP(IF(INDEX(Properties!A$1:CB$87,Formula!B56,11)&lt;&gt;"",INDEX(Properties!A$1:CB$87,Formula!B56,11)),IF(INDEX(Properties!A$1:CB$87,Formula!D56,11)&lt;&gt;"",INDEX(Properties!A$1:CB$87,Formula!D56,11)),IF(INDEX(Properties!A$1:CB$87,Formula!F56,11)&lt;&gt;"",INDEX(Properties!A$1:CB$87,Formula!F56,11)),IF(INDEX(Properties!A$1:CB$87,Formula!H56,11)&lt;&gt;"",INDEX(Properties!A$1:CB$87,Formula!H56,11)),IF(INDEX(Properties!A$1:CB$87,Formula!J56,11)&lt;&gt;"",INDEX(Properties!A$1:CB$87,Formula!J56,11)))</f>
        <v>0.96</v>
      </c>
      <c r="AO56" s="57">
        <f>MAX(INDEX(Properties!A$1:CB$87,Formula!B56,11),INDEX(Properties!A$1:CB$87,Formula!D56,11),INDEX(Properties!A$1:CB$87,Formula!F56,11),INDEX(Properties!A$1:CB$87,Formula!H56,11),INDEX(Properties!A$1:CB$87,Formula!J56,11))</f>
        <v>2</v>
      </c>
      <c r="AP56" s="57">
        <f>MIN(IF(Formula!B56=87,10^6,INDEX(Properties!A$1:CB$87,Formula!B56,11)),IF((Formula!D56)=87,10^6,INDEX(Properties!A$1:CB$87,Formula!D56,11)),IF((Formula!F56)=87,10^6,INDEX(Properties!A$1:CB$87,Formula!F56,11)),IF((Formula!H56)=87,10^6,INDEX(Properties!A$1:CB$87,Formula!H56,11)),IF(Formula!J56=87,10^6,INDEX(Properties!A$1:CB$87,Formula!J56,11)))</f>
        <v>2</v>
      </c>
      <c r="AQ56" s="57">
        <f t="shared" si="6"/>
        <v>0</v>
      </c>
      <c r="AR56" s="78">
        <f>((Formula!C56)/(Formula!C56+Formula!E56+Formula!G56+Formula!I56+Formula!K56))*(INDEX(Properties!A$1:CB$87,Formula!B56,12))+((Formula!E56)/(Formula!C56+Formula!E56+Formula!G56+Formula!I56+Formula!K56))*(INDEX(Properties!A$1:CB$87,Formula!D56,12))+((Formula!G56)/(Formula!C56+Formula!E56+Formula!G56+Formula!I56+Formula!K56))*(INDEX(Properties!A$1:CB$87,Formula!F56,12))+((Formula!I56)/(Formula!C56+Formula!E56+Formula!G56+Formula!I56+Formula!K56))*(INDEX(Properties!A$1:CB$87,Formula!H56,12))+((Formula!K56)/(Formula!C56+Formula!E56+Formula!G56+Formula!I56+Formula!K56))*(INDEX(Properties!A$1:CB$87,Formula!J56,12))</f>
        <v>3.4736842105263155</v>
      </c>
      <c r="AS56" s="78">
        <f>Formula!C56*(INDEX(Properties!A$1:CB$87,Formula!B56,12))+Formula!E56*(INDEX(Properties!A$1:CB$87,Formula!D56,12))+Formula!G56*(INDEX(Properties!A$1:CB$87,Formula!F56,12))+Formula!I56*(INDEX(Properties!A$1:CB$87,Formula!H56,12))+Formula!K56*(INDEX(Properties!A$1:CB$87,Formula!J56,12))</f>
        <v>66</v>
      </c>
      <c r="AT56" s="78">
        <f>VARP(IF(INDEX(Properties!A$1:CB$87,Formula!B56,12)&lt;&gt;"",INDEX(Properties!A$1:CB$87,Formula!B56,12)),IF(INDEX(Properties!A$1:CB$87,Formula!D56,12)&lt;&gt;"",INDEX(Properties!A$1:CB$87,Formula!D56,12)),IF(INDEX(Properties!A$1:CB$87,Formula!F56,12)&lt;&gt;"",INDEX(Properties!A$1:CB$87,Formula!F56,12)),IF(INDEX(Properties!A$1:CB$87,Formula!H56,12)&lt;&gt;"",INDEX(Properties!A$1:CB$87,Formula!H56,12)),IF(INDEX(Properties!A$1:CB$87,Formula!J56,12)&lt;&gt;"",INDEX(Properties!A$1:CB$87,Formula!J56,12)))</f>
        <v>2.56</v>
      </c>
      <c r="AU56" s="78">
        <f>MAX(INDEX(Properties!A$1:CB$87,Formula!B56,12),INDEX(Properties!A$1:CB$87,Formula!D56,12),INDEX(Properties!A$1:CB$87,Formula!F56,12),INDEX(Properties!A$1:CB$87,Formula!H56,12),INDEX(Properties!A$1:CB$87,Formula!J56,12))</f>
        <v>4</v>
      </c>
      <c r="AV56" s="78">
        <f>MIN(IF(Formula!B56=87,10^6,INDEX(Properties!A$1:CB$87,Formula!B56,12)),IF((Formula!D56)=87,10^6,INDEX(Properties!A$1:CB$87,Formula!D56,12)),IF((Formula!F56)=87,10^6,INDEX(Properties!A$1:CB$87,Formula!F56,12)),IF((Formula!H56)=87,10^6,INDEX(Properties!A$1:CB$87,Formula!H56,12)),IF(Formula!J56=87,10^6,INDEX(Properties!A$1:CB$87,Formula!J56,12)))</f>
        <v>2</v>
      </c>
      <c r="AW56" s="78">
        <f t="shared" si="7"/>
        <v>2</v>
      </c>
      <c r="AX56" s="45">
        <f>((Formula!C56)/(Formula!C56+Formula!E56+Formula!G56+Formula!I56+Formula!K56))*(INDEX(Properties!A$1:CB$87,Formula!B56,13))+((Formula!E56)/(Formula!C56+Formula!E56+Formula!G56+Formula!I56+Formula!K56))*(INDEX(Properties!A$1:CB$87,Formula!D56,13))+((Formula!G56)/(Formula!C56+Formula!E56+Formula!G56+Formula!I56+Formula!K56))*(INDEX(Properties!A$1:CB$87,Formula!F56,13))+((Formula!I56)/(Formula!C56+Formula!E56+Formula!G56+Formula!I56+Formula!K56))*(INDEX(Properties!A$1:CB$87,Formula!H56,13))+((Formula!K56)/(Formula!C56+Formula!E56+Formula!G56+Formula!I56+Formula!K56))*(INDEX(Properties!A$1:CB$87,Formula!J56,13))</f>
        <v>3.6842105263157894</v>
      </c>
      <c r="AY56" s="45">
        <f>Formula!C56*(INDEX(Properties!A$1:CB$87,Formula!B56,13))+Formula!E56*(INDEX(Properties!A$1:CB$87,Formula!D56,13))+Formula!G56*(INDEX(Properties!A$1:CB$87,Formula!F56,13))+Formula!I56*(INDEX(Properties!A$1:CB$87,Formula!H56,13))+Formula!K56*(INDEX(Properties!A$1:CB$87,Formula!J56,13))</f>
        <v>70</v>
      </c>
      <c r="AZ56" s="45">
        <f>VARP(IF(INDEX(Properties!A$1:CB$87,Formula!B56,13)&lt;&gt;"",INDEX(Properties!A$1:CB$87,Formula!B56,13)),IF(INDEX(Properties!A$1:CB$87,Formula!D56,13)&lt;&gt;"",INDEX(Properties!A$1:CB$87,Formula!D56,13)),IF(INDEX(Properties!A$1:CB$87,Formula!F56,13)&lt;&gt;"",INDEX(Properties!A$1:CB$87,Formula!F56,13)),IF(INDEX(Properties!A$1:CB$87,Formula!H56,13)&lt;&gt;"",INDEX(Properties!A$1:CB$87,Formula!H56,13)),IF(INDEX(Properties!A$1:CB$87,Formula!J56,13)&lt;&gt;"",INDEX(Properties!A$1:CB$87,Formula!J56,13)))</f>
        <v>24</v>
      </c>
      <c r="BA56" s="45">
        <f>MAX(INDEX(Properties!A$1:CB$87,Formula!B56,13),INDEX(Properties!A$1:CB$87,Formula!D56,13),INDEX(Properties!A$1:CB$87,Formula!F56,13),INDEX(Properties!A$1:CB$87,Formula!H56,13),INDEX(Properties!A$1:CB$87,Formula!J56,13))</f>
        <v>10</v>
      </c>
      <c r="BB56" s="45">
        <f>MIN(IF(Formula!B56=87,10^6,INDEX(Properties!A$1:CB$87,Formula!B56,13)),IF((Formula!D56)=87,10^6,INDEX(Properties!A$1:CB$87,Formula!D56,13)),IF((Formula!F56)=87,10^6,INDEX(Properties!A$1:CB$87,Formula!F56,13)),IF((Formula!H56)=87,10^6,INDEX(Properties!A$1:CB$87,Formula!H56,13)),IF(Formula!J56=87,10^6,INDEX(Properties!A$1:CB$87,Formula!J56,13)))</f>
        <v>0</v>
      </c>
      <c r="BC56" s="45">
        <f t="shared" si="8"/>
        <v>10</v>
      </c>
      <c r="BD56" s="63">
        <f>((Formula!C56)/(Formula!C56+Formula!E56+Formula!G56+Formula!I56+Formula!K56))*(INDEX(Properties!A$1:CB$87,Formula!B56,14))+((Formula!E56)/(Formula!C56+Formula!E56+Formula!G56+Formula!I56+Formula!K56))*(INDEX(Properties!A$1:CB$87,Formula!D56,14))+((Formula!G56)/(Formula!C56+Formula!E56+Formula!G56+Formula!I56+Formula!K56))*(INDEX(Properties!A$1:CB$87,Formula!F56,14))+((Formula!I56)/(Formula!C56+Formula!E56+Formula!G56+Formula!I56+Formula!K56))*(INDEX(Properties!A$1:CB$87,Formula!H56,14))+((Formula!K56)/(Formula!C56+Formula!E56+Formula!G56+Formula!I56+Formula!K56))*(INDEX(Properties!A$1:CB$87,Formula!J56,14))</f>
        <v>2.9473684210526314</v>
      </c>
      <c r="BE56" s="63">
        <f>Formula!C56*(INDEX(Properties!A$1:CB$87,Formula!B56,14))+Formula!E56*(INDEX(Properties!A$1:CB$87,Formula!D56,14))+Formula!G56*(INDEX(Properties!A$1:CB$87,Formula!F56,14))+Formula!I56*(INDEX(Properties!A$1:CB$87,Formula!H56,14))+Formula!K56*(INDEX(Properties!A$1:CB$87,Formula!J56,14))</f>
        <v>56</v>
      </c>
      <c r="BF56" s="63">
        <f>VARP(IF(INDEX(Properties!A$1:CB$87,Formula!B56,14)&lt;&gt;"",INDEX(Properties!A$1:CB$87,Formula!B56,14)),IF(INDEX(Properties!A$1:CB$87,Formula!D56,14)&lt;&gt;"",INDEX(Properties!A$1:CB$87,Formula!D56,14)),IF(INDEX(Properties!A$1:CB$87,Formula!F56,14)&lt;&gt;"",INDEX(Properties!A$1:CB$87,Formula!F56,14)),IF(INDEX(Properties!A$1:CB$87,Formula!H56,14)&lt;&gt;"",INDEX(Properties!A$1:CB$87,Formula!H56,14)),IF(INDEX(Properties!A$1:CB$87,Formula!J56,14)&lt;&gt;"",INDEX(Properties!A$1:CB$87,Formula!J56,14)))</f>
        <v>31.36</v>
      </c>
      <c r="BG56" s="63">
        <f>MAX(INDEX(Properties!A$1:CB$87,Formula!B56,14),INDEX(Properties!A$1:CB$87,Formula!D56,14),INDEX(Properties!A$1:CB$87,Formula!F56,14),INDEX(Properties!A$1:CB$87,Formula!H56,14),INDEX(Properties!A$1:CB$87,Formula!J56,14))</f>
        <v>14</v>
      </c>
      <c r="BH56" s="63">
        <f>MIN(IF(Formula!B56=87,10^6,INDEX(Properties!A$1:CB$87,Formula!B56,14)),IF((Formula!D56)=87,10^6,INDEX(Properties!A$1:CB$87,Formula!D56,14)),IF((Formula!F56)=87,10^6,INDEX(Properties!A$1:CB$87,Formula!F56,14)),IF((Formula!H56)=87,10^6,INDEX(Properties!A$1:CB$87,Formula!H56,14)),IF(Formula!J56=87,10^6,INDEX(Properties!A$1:CB$87,Formula!J56,14)))</f>
        <v>0</v>
      </c>
      <c r="BI56" s="63">
        <f t="shared" si="9"/>
        <v>14</v>
      </c>
      <c r="BJ56" s="75">
        <f>((Formula!C56)/(Formula!C56+Formula!E56+Formula!G56+Formula!I56+Formula!K56))*(INDEX(Properties!A$1:CB$87,Formula!B56,19))+((Formula!E56)/(Formula!C56+Formula!E56+Formula!G56+Formula!I56+Formula!K56))*(INDEX(Properties!A$1:CB$87,Formula!D56,19))+((Formula!G56)/(Formula!C56+Formula!E56+Formula!G56+Formula!I56+Formula!K56))*(INDEX(Properties!A$1:CB$87,Formula!F56,19))+((Formula!I56)/(Formula!C56+Formula!E56+Formula!G56+Formula!I56+Formula!K56))*(INDEX(Properties!A$1:CB$87,Formula!H56,19))+((Formula!K56)/(Formula!C56+Formula!E56+Formula!G56+Formula!I56+Formula!K56))*(INDEX(Properties!A$1:CB$87,Formula!J56,19))</f>
        <v>12.105263157894735</v>
      </c>
      <c r="BK56" s="75">
        <f>Formula!C56*(INDEX(Properties!A$1:CB$87,Formula!B56,19))+Formula!E56*(INDEX(Properties!A$1:CB$87,Formula!D56,19))+Formula!G56*(INDEX(Properties!A$1:CB$87,Formula!F56,19))+Formula!I56*(INDEX(Properties!A$1:CB$87,Formula!H56,19))+Formula!K56*(INDEX(Properties!A$1:CB$87,Formula!J56,19))</f>
        <v>230</v>
      </c>
      <c r="BL56" s="75">
        <f>VARP(IF(INDEX(Properties!A$1:CB$87,Formula!B56,19)&lt;&gt;"",INDEX(Properties!A$1:CB$87,Formula!B56,19)),IF(INDEX(Properties!A$1:CB$87,Formula!D56,19)&lt;&gt;"",INDEX(Properties!A$1:CB$87,Formula!D56,19)),IF(INDEX(Properties!A$1:CB$87,Formula!F56,19)&lt;&gt;"",INDEX(Properties!A$1:CB$87,Formula!F56,19)),IF(INDEX(Properties!A$1:CB$87,Formula!H56,19)&lt;&gt;"",INDEX(Properties!A$1:CB$87,Formula!H56,19)),IF(INDEX(Properties!A$1:CB$87,Formula!J56,19)&lt;&gt;"",INDEX(Properties!A$1:CB$87,Formula!J56,19)))</f>
        <v>118.56</v>
      </c>
      <c r="BM56" s="75">
        <f>MAX(INDEX(Properties!A$1:CB$87,Formula!B56,19),INDEX(Properties!A$1:CB$87,Formula!D56,19),INDEX(Properties!A$1:CB$87,Formula!F56,19),INDEX(Properties!A$1:CB$87,Formula!H56,19),INDEX(Properties!A$1:CB$87,Formula!J56,19))</f>
        <v>29</v>
      </c>
      <c r="BN56" s="75">
        <f>MIN(IF(INDEX(Properties!A$1:CB$87,Formula!B56,19)=0,10^6,INDEX(Properties!A$1:CB$87,Formula!B56,19)),IF(INDEX(Properties!A$1:CB$87,Formula!D56,19)=0,10^6,INDEX(Properties!A$1:CB$87,Formula!D56,19)),IF(INDEX(Properties!A$1:CB$87,Formula!F56,19)=0,10^6,INDEX(Properties!A$1:CB$87,Formula!F56,19)),IF(INDEX(Properties!A$1:CB$87,Formula!H56,19)=0,10^6,INDEX(Properties!A$1:CB$87,Formula!H56,19)),IF(INDEX(Properties!A$1:CB$87,Formula!J56,19)=0,10^6,INDEX(Properties!A$1:CB$87,Formula!J56,19)))</f>
        <v>6</v>
      </c>
      <c r="BO56" s="75">
        <f t="shared" si="10"/>
        <v>23</v>
      </c>
      <c r="BP56" s="48">
        <f>((Formula!C56)/(Formula!C56+Formula!E56+Formula!G56+Formula!I56+Formula!K56))*(INDEX(Properties!A$1:CB$87,Formula!B56,20))+((Formula!E56)/(Formula!C56+Formula!E56+Formula!G56+Formula!I56+Formula!K56))*(INDEX(Properties!A$1:CB$87,Formula!D56,20))+((Formula!G56)/(Formula!C56+Formula!E56+Formula!G56+Formula!I56+Formula!K56))*(INDEX(Properties!A$1:CB$87,Formula!F56,20))+((Formula!I56)/(Formula!C56+Formula!E56+Formula!G56+Formula!I56+Formula!K56))*(INDEX(Properties!A$1:CB$87,Formula!H56,20))+((Formula!K56)/(Formula!C56+Formula!E56+Formula!G56+Formula!I56+Formula!K56))*(INDEX(Properties!A$1:CB$87,Formula!J56,20))</f>
        <v>5.473684210526315</v>
      </c>
      <c r="BQ56" s="48">
        <f>Formula!C56*(INDEX(Properties!A$1:CB$87,Formula!B56,20))+Formula!E56*(INDEX(Properties!A$1:CB$87,Formula!D56,20))+Formula!G56*(INDEX(Properties!A$1:CB$87,Formula!F56,20))+Formula!I56*(INDEX(Properties!A$1:CB$87,Formula!H56,20))+Formula!K56*(INDEX(Properties!A$1:CB$87,Formula!J56,20))</f>
        <v>104</v>
      </c>
      <c r="BR56" s="48">
        <f>VARP(IF(INDEX(Properties!A$1:CB$87,Formula!B56,20)&lt;&gt;"",INDEX(Properties!A$1:CB$87,Formula!B56,20)),IF(INDEX(Properties!A$1:CB$87,Formula!D56,20)&lt;&gt;"",INDEX(Properties!A$1:CB$87,Formula!D56,20)),IF(INDEX(Properties!A$1:CB$87,Formula!F56,20)&lt;&gt;"",INDEX(Properties!A$1:CB$87,Formula!F56,20)),IF(INDEX(Properties!A$1:CB$87,Formula!H56,20)&lt;&gt;"",INDEX(Properties!A$1:CB$87,Formula!H56,20)),IF(INDEX(Properties!A$1:CB$87,Formula!J56,20)&lt;&gt;"",INDEX(Properties!A$1:CB$87,Formula!J56,20)))</f>
        <v>6.4</v>
      </c>
      <c r="BS56" s="48">
        <f>MAX(INDEX(Properties!A$1:CB$87,Formula!B56,20),INDEX(Properties!A$1:CB$87,Formula!D56,20),INDEX(Properties!A$1:CB$87,Formula!F56,20),INDEX(Properties!A$1:CB$87,Formula!H56,20),INDEX(Properties!A$1:CB$87,Formula!J56,20))</f>
        <v>6</v>
      </c>
      <c r="BT56" s="48">
        <f>MIN(IF(INDEX(Properties!A$1:CB$87,Formula!B56,20)=0,10^6,INDEX(Properties!A$1:CB$87,Formula!B56,20)),IF(INDEX(Properties!A$1:CB$87,Formula!D56,20)=0,10^6,INDEX(Properties!A$1:CB$87,Formula!D56,20)),IF(INDEX(Properties!A$1:CB$87,Formula!F56,20)=0,10^6,INDEX(Properties!A$1:CB$87,Formula!F56,20)),IF(INDEX(Properties!A$1:CB$87,Formula!H56,20)=0,10^6,INDEX(Properties!A$1:CB$87,Formula!H56,20)),IF(INDEX(Properties!A$1:CB$87,Formula!J56,20)=0,10^6,INDEX(Properties!A$1:CB$87,Formula!J56,20)))</f>
        <v>4</v>
      </c>
      <c r="BU56" s="48">
        <f t="shared" si="11"/>
        <v>2</v>
      </c>
      <c r="BV56" s="66">
        <f>((Formula!C56)/(Formula!C56+Formula!E56+Formula!G56+Formula!I56+Formula!K56))*(INDEX(Properties!A$1:CB$87,Formula!B56,21))+((Formula!E56)/(Formula!C56+Formula!E56+Formula!G56+Formula!I56+Formula!K56))*(INDEX(Properties!A$1:CB$87,Formula!D56,21))+((Formula!G56)/(Formula!C56+Formula!E56+Formula!G56+Formula!I56+Formula!K56))*(INDEX(Properties!A$1:CB$87,Formula!F56,21))+((Formula!I56)/(Formula!C56+Formula!E56+Formula!G56+Formula!I56+Formula!K56))*(INDEX(Properties!A$1:CB$87,Formula!H56,21))+((Formula!K56)/(Formula!C56+Formula!E56+Formula!G56+Formula!I56+Formula!K56))*(INDEX(Properties!A$1:CB$87,Formula!J56,21))</f>
        <v>5.473684210526315</v>
      </c>
      <c r="BW56" s="66">
        <f>Formula!C56*(INDEX(Properties!A$1:CB$87,Formula!B56,21))+Formula!E56*(INDEX(Properties!A$1:CB$87,Formula!D56,21))+Formula!G56*(INDEX(Properties!A$1:CB$87,Formula!F56,21))+Formula!I56*(INDEX(Properties!A$1:CB$87,Formula!H56,21))+Formula!K56*(INDEX(Properties!A$1:CB$87,Formula!J56,21))</f>
        <v>104</v>
      </c>
      <c r="BX56" s="66">
        <f>VARP(IF(INDEX(Properties!A$1:CB$87,Formula!B56,21)&lt;&gt;"",INDEX(Properties!A$1:CB$87,Formula!B56,21)),IF(INDEX(Properties!A$1:CB$87,Formula!D56,21)&lt;&gt;"",INDEX(Properties!A$1:CB$87,Formula!D56,21)),IF(INDEX(Properties!A$1:CB$87,Formula!F56,21)&lt;&gt;"",INDEX(Properties!A$1:CB$87,Formula!F56,21)),IF(INDEX(Properties!A$1:CB$87,Formula!H56,21)&lt;&gt;"",INDEX(Properties!A$1:CB$87,Formula!H56,21)),IF(INDEX(Properties!A$1:CB$87,Formula!J56,21)&lt;&gt;"",INDEX(Properties!A$1:CB$87,Formula!J56,21)))</f>
        <v>6.4</v>
      </c>
      <c r="BY56" s="66">
        <f>MAX(INDEX(Properties!A$1:CB$87,Formula!B56,21),INDEX(Properties!A$1:CB$87,Formula!D56,21),INDEX(Properties!A$1:CB$87,Formula!F56,21),INDEX(Properties!A$1:CB$87,Formula!H56,21),INDEX(Properties!A$1:CB$87,Formula!J56,21))</f>
        <v>6</v>
      </c>
      <c r="BZ56" s="66">
        <f>MIN(IF(INDEX(Properties!A$1:CB$87,Formula!B56,21)=0,10^6,INDEX(Properties!A$1:CB$87,Formula!B56,21)),IF(INDEX(Properties!A$1:CB$87,Formula!D56,21)=0,10^6,INDEX(Properties!A$1:CB$87,Formula!D56,21)),IF(INDEX(Properties!A$1:CB$87,Formula!F56,21)=0,10^6,INDEX(Properties!A$1:CB$87,Formula!F56,21)),IF(INDEX(Properties!A$1:CB$87,Formula!H56,21)=0,10^6,INDEX(Properties!A$1:CB$87,Formula!H56,21)),IF(INDEX(Properties!A$1:CB$87,Formula!J56,21)=0,10^6,INDEX(Properties!A$1:CB$87,Formula!J56,21)))</f>
        <v>4</v>
      </c>
      <c r="CA56" s="66">
        <f t="shared" si="12"/>
        <v>2</v>
      </c>
      <c r="CB56" s="81">
        <f>((Formula!C56)/(Formula!C56+Formula!E56+Formula!G56+Formula!I56+Formula!K56))*(INDEX(Properties!A$1:CB$87,Formula!B56,23))+((Formula!E56)/(Formula!C56+Formula!E56+Formula!G56+Formula!I56+Formula!K56))*(INDEX(Properties!A$1:CB$87,Formula!D56,23))+((Formula!G56)/(Formula!C56+Formula!E56+Formula!G56+Formula!I56+Formula!K56))*(INDEX(Properties!A$1:CB$87,Formula!F56,23))+((Formula!I56)/(Formula!C56+Formula!E56+Formula!G56+Formula!I56+Formula!K56))*(INDEX(Properties!A$1:CB$87,Formula!H56,23))+((Formula!K56)/(Formula!C56+Formula!E56+Formula!G56+Formula!I56+Formula!K56))*(INDEX(Properties!A$1:CB$87,Formula!J56,23))</f>
        <v>1.263157894736842</v>
      </c>
      <c r="CC56" s="81">
        <f>Formula!C56*(INDEX(Properties!A$1:CB$87,Formula!B56,23))+Formula!E56*(INDEX(Properties!A$1:CB$87,Formula!D56,23))+Formula!G56*(INDEX(Properties!A$1:CB$87,Formula!F56,23))+Formula!I56*(INDEX(Properties!A$1:CB$87,Formula!H56,23))+Formula!K56*(INDEX(Properties!A$1:CB$87,Formula!J56,23))</f>
        <v>24</v>
      </c>
      <c r="CD56" s="81">
        <f>VARP(IF(INDEX(Properties!A$1:CB$87,Formula!B56,23)&lt;&gt;"",INDEX(Properties!A$1:CB$87,Formula!B56,23)),IF(INDEX(Properties!A$1:CB$87,Formula!D56,23)&lt;&gt;"",INDEX(Properties!A$1:CB$87,Formula!D56,23)),IF(INDEX(Properties!A$1:CB$87,Formula!F56,23)&lt;&gt;"",INDEX(Properties!A$1:CB$87,Formula!F56,23)),IF(INDEX(Properties!A$1:CB$87,Formula!H56,23)&lt;&gt;"",INDEX(Properties!A$1:CB$87,Formula!H56,23)),IF(INDEX(Properties!A$1:CB$87,Formula!J56,23)&lt;&gt;"",INDEX(Properties!A$1:CB$87,Formula!J56,23)))</f>
        <v>3.04</v>
      </c>
      <c r="CE56" s="81">
        <f>MAX(INDEX(Properties!A$1:CB$87,Formula!B56,23),INDEX(Properties!A$1:CB$87,Formula!D56,23),INDEX(Properties!A$1:CB$87,Formula!F56,23),INDEX(Properties!A$1:CB$87,Formula!H56,23),INDEX(Properties!A$1:CB$87,Formula!J56,23))</f>
        <v>4</v>
      </c>
      <c r="CF56" s="81">
        <f>MIN(IF(Formula!B56=87,10^6,INDEX(Properties!A$1:CB$87,Formula!B56,23)),IF((Formula!D56)=87,10^6,INDEX(Properties!A$1:CB$87,Formula!D56,23)),IF((Formula!F56)=87,10^6,INDEX(Properties!A$1:CB$87,Formula!F56,23)),IF((Formula!H56)=87,10^6,INDEX(Properties!A$1:CB$87,Formula!H56,23)),IF(Formula!J56=87,10^6,INDEX(Properties!A$1:CB$87,Formula!J56,23)))</f>
        <v>0</v>
      </c>
      <c r="CG56" s="81">
        <f t="shared" si="13"/>
        <v>4</v>
      </c>
      <c r="CH56" s="39">
        <f>((Formula!C56)/(Formula!C56+Formula!E56+Formula!G56+Formula!I56+Formula!K56))*(INDEX(Properties!A$1:CB$87,Formula!B56,26))+((Formula!E56)/(Formula!C56+Formula!E56+Formula!G56+Formula!I56+Formula!K56))*(INDEX(Properties!A$1:CB$87,Formula!D56,26))+((Formula!G56)/(Formula!C56+Formula!E56+Formula!G56+Formula!I56+Formula!K56))*(INDEX(Properties!A$1:CB$87,Formula!F56,26))+((Formula!I56)/(Formula!C56+Formula!E56+Formula!G56+Formula!I56+Formula!K56))*(INDEX(Properties!A$1:CB$87,Formula!H56,26))+((Formula!K56)/(Formula!C56+Formula!E56+Formula!G56+Formula!I56+Formula!K56))*(INDEX(Properties!A$1:CB$87,Formula!J56,26))</f>
        <v>11.381968421052632</v>
      </c>
      <c r="CI56" s="39">
        <f>Formula!C56*(INDEX(Properties!A$1:CB$87,Formula!B56,26))+Formula!E56*(INDEX(Properties!A$1:CB$87,Formula!D56,26))+Formula!G56*(INDEX(Properties!A$1:CB$87,Formula!F56,26))+Formula!I56*(INDEX(Properties!A$1:CB$87,Formula!H56,26))+Formula!K56*(INDEX(Properties!A$1:CB$87,Formula!J56,26))</f>
        <v>216.25740000000002</v>
      </c>
      <c r="CJ56" s="39">
        <f>VARP(IF(INDEX(Properties!A$1:CB$87,Formula!B56,26)&lt;&gt;"",INDEX(Properties!A$1:CB$87,Formula!B56,26)),IF(INDEX(Properties!A$1:CB$87,Formula!D56,26)&lt;&gt;"",INDEX(Properties!A$1:CB$87,Formula!D56,26)),IF(INDEX(Properties!A$1:CB$87,Formula!F56,26)&lt;&gt;"",INDEX(Properties!A$1:CB$87,Formula!F56,26)),IF(INDEX(Properties!A$1:CB$87,Formula!H56,26)&lt;&gt;"",INDEX(Properties!A$1:CB$87,Formula!H56,26)),IF(INDEX(Properties!A$1:CB$87,Formula!J56,26)&lt;&gt;"",INDEX(Properties!A$1:CB$87,Formula!J56,26)))</f>
        <v>27.001823283999997</v>
      </c>
      <c r="CK56" s="39">
        <f>MAX(INDEX(Properties!A$1:CB$87,Formula!B56,26),INDEX(Properties!A$1:CB$87,Formula!D56,26),INDEX(Properties!A$1:CB$87,Formula!F56,26),INDEX(Properties!A$1:CB$87,Formula!H56,26),INDEX(Properties!A$1:CB$87,Formula!J56,26))</f>
        <v>13.6181</v>
      </c>
      <c r="CL56" s="39">
        <f>MIN(IF(INDEX(Properties!A$1:CB$87,Formula!B56,26)=0,10^6,INDEX(Properties!A$1:CB$87,Formula!B56,26)),IF(INDEX(Properties!A$1:CB$87,Formula!D56,26)=0,10^6,INDEX(Properties!A$1:CB$87,Formula!D56,26)),IF(INDEX(Properties!A$1:CB$87,Formula!F56,26)=0,10^6,INDEX(Properties!A$1:CB$87,Formula!F56,26)),IF(INDEX(Properties!A$1:CB$87,Formula!H56,26)=0,10^6,INDEX(Properties!A$1:CB$87,Formula!H56,26)),IF(INDEX(Properties!A$1:CB$87,Formula!J56,26)=0,10^6,INDEX(Properties!A$1:CB$87,Formula!J56,26)))</f>
        <v>7.2854999999999999</v>
      </c>
      <c r="CM56" s="39">
        <f t="shared" si="14"/>
        <v>6.3326000000000002</v>
      </c>
      <c r="CN56" s="54">
        <f>((Formula!C56)/(Formula!C56+Formula!E56+Formula!G56+Formula!I56+Formula!K56))*(INDEX(Properties!A$1:CB$87,Formula!B56,30))+((Formula!E56)/(Formula!C56+Formula!E56+Formula!G56+Formula!I56+Formula!K56))*(INDEX(Properties!A$1:CB$87,Formula!D56,30))+((Formula!G56)/(Formula!C56+Formula!E56+Formula!G56+Formula!I56+Formula!K56))*(INDEX(Properties!A$1:CB$87,Formula!F56,30))+((Formula!I56)/(Formula!C56+Formula!E56+Formula!G56+Formula!I56+Formula!K56))*(INDEX(Properties!A$1:CB$87,Formula!H56,30))+((Formula!K56)/(Formula!C56+Formula!E56+Formula!G56+Formula!I56+Formula!K56))*(INDEX(Properties!A$1:CB$87,Formula!J56,30))</f>
        <v>2.9152631578947368</v>
      </c>
      <c r="CO56" s="54">
        <f>Formula!C56*(INDEX(Properties!A$1:CB$87,Formula!B56,30))+Formula!E56*(INDEX(Properties!A$1:CB$87,Formula!D56,30))+Formula!G56*(INDEX(Properties!A$1:CB$87,Formula!F56,30))+Formula!I56*(INDEX(Properties!A$1:CB$87,Formula!H56,30))+Formula!K56*(INDEX(Properties!A$1:CB$87,Formula!J56,30))</f>
        <v>55.39</v>
      </c>
      <c r="CP56" s="54">
        <f>VARP(IF(INDEX(Properties!A$1:CB$87,Formula!B56,30)&lt;&gt;"",INDEX(Properties!A$1:CB$87,Formula!B56,30)),IF(INDEX(Properties!A$1:CB$87,Formula!D56,30)&lt;&gt;"",INDEX(Properties!A$1:CB$87,Formula!D56,30)),IF(INDEX(Properties!A$1:CB$87,Formula!F56,30)&lt;&gt;"",INDEX(Properties!A$1:CB$87,Formula!F56,30)),IF(INDEX(Properties!A$1:CB$87,Formula!H56,30)&lt;&gt;"",INDEX(Properties!A$1:CB$87,Formula!H56,30)),IF(INDEX(Properties!A$1:CB$87,Formula!J56,30)&lt;&gt;"",INDEX(Properties!A$1:CB$87,Formula!J56,30)))</f>
        <v>1.7587839999999999</v>
      </c>
      <c r="CQ56" s="54">
        <f>MAX(INDEX(Properties!A$1:CB$87,Formula!B56,30),INDEX(Properties!A$1:CB$87,Formula!D56,30),INDEX(Properties!A$1:CB$87,Formula!F56,30),INDEX(Properties!A$1:CB$87,Formula!H56,30),INDEX(Properties!A$1:CB$87,Formula!J56,30))</f>
        <v>3.44</v>
      </c>
      <c r="CR56" s="54">
        <f>MIN(IF(INDEX(Properties!A$1:CB$87,Formula!B56,30)=0,10^6,INDEX(Properties!A$1:CB$87,Formula!B56,30)),IF(INDEX(Properties!A$1:CB$87,Formula!D56,30)=0,10^6,INDEX(Properties!A$1:CB$87,Formula!D56,30)),IF(INDEX(Properties!A$1:CB$87,Formula!F56,30)=0,10^6,INDEX(Properties!A$1:CB$87,Formula!F56,30)),IF(INDEX(Properties!A$1:CB$87,Formula!H56,30)=0,10^6,INDEX(Properties!A$1:CB$87,Formula!H56,30)),IF(INDEX(Properties!A$1:CB$87,Formula!J56,30)=0,10^6,INDEX(Properties!A$1:CB$87,Formula!J56,30)))</f>
        <v>2.0099999999999998</v>
      </c>
      <c r="CS56" s="54">
        <f t="shared" si="15"/>
        <v>1.4300000000000002</v>
      </c>
      <c r="CT56" s="69">
        <f>((Formula!C56)/(Formula!C56+Formula!E56+Formula!G56+Formula!I56+Formula!K56))*(INDEX(Properties!A$1:CB$87,Formula!B56,31))+((Formula!E56)/(Formula!C56+Formula!E56+Formula!G56+Formula!I56+Formula!K56))*(INDEX(Properties!A$1:CB$87,Formula!D56,31))+((Formula!G56)/(Formula!C56+Formula!E56+Formula!G56+Formula!I56+Formula!K56))*(INDEX(Properties!A$1:CB$87,Formula!F56,31))+((Formula!I56)/(Formula!C56+Formula!E56+Formula!G56+Formula!I56+Formula!K56))*(INDEX(Properties!A$1:CB$87,Formula!H56,31))+((Formula!K56)/(Formula!C56+Formula!E56+Formula!G56+Formula!I56+Formula!K56))*(INDEX(Properties!A$1:CB$87,Formula!J56,31))</f>
        <v>2.8615789473684208</v>
      </c>
      <c r="CU56" s="69">
        <f>Formula!C56*(INDEX(Properties!A$1:CB$87,Formula!B56,31))+Formula!E56*(INDEX(Properties!A$1:CB$87,Formula!D56,31))+Formula!G56*(INDEX(Properties!A$1:CB$87,Formula!F56,31))+Formula!I56*(INDEX(Properties!A$1:CB$87,Formula!H56,31))+Formula!K56*(INDEX(Properties!A$1:CB$87,Formula!J56,31))</f>
        <v>54.37</v>
      </c>
      <c r="CV56" s="69">
        <f>VARP(IF(INDEX(Properties!A$1:CB$87,Formula!B56,31)&lt;&gt;"",INDEX(Properties!A$1:CB$87,Formula!B56,31)),IF(INDEX(Properties!A$1:CB$87,Formula!D56,31)&lt;&gt;"",INDEX(Properties!A$1:CB$87,Formula!D56,31)),IF(INDEX(Properties!A$1:CB$87,Formula!F56,31)&lt;&gt;"",INDEX(Properties!A$1:CB$87,Formula!F56,31)),IF(INDEX(Properties!A$1:CB$87,Formula!H56,31)&lt;&gt;"",INDEX(Properties!A$1:CB$87,Formula!H56,31)),IF(INDEX(Properties!A$1:CB$87,Formula!J56,31)&lt;&gt;"",INDEX(Properties!A$1:CB$87,Formula!J56,31)))</f>
        <v>1.6923200000000005</v>
      </c>
      <c r="CW56" s="69">
        <f>MAX(INDEX(Properties!A$1:CB$87,Formula!B56,31),INDEX(Properties!A$1:CB$87,Formula!D56,31),INDEX(Properties!A$1:CB$87,Formula!F56,31),INDEX(Properties!A$1:CB$87,Formula!H56,31),INDEX(Properties!A$1:CB$87,Formula!J56,31))</f>
        <v>3.32</v>
      </c>
      <c r="CX56" s="69">
        <f>MIN(IF(INDEX(Properties!A$1:CB$87,Formula!B56,31)=0,10^6,INDEX(Properties!A$1:CB$87,Formula!B56,31)),IF(INDEX(Properties!A$1:CB$87,Formula!D56,31)=0,10^6,INDEX(Properties!A$1:CB$87,Formula!D56,31)),IF(INDEX(Properties!A$1:CB$87,Formula!F56,31)=0,10^6,INDEX(Properties!A$1:CB$87,Formula!F56,31)),IF(INDEX(Properties!A$1:CB$87,Formula!H56,31)=0,10^6,INDEX(Properties!A$1:CB$87,Formula!H56,31)),IF(INDEX(Properties!A$1:CB$87,Formula!J56,31)=0,10^6,INDEX(Properties!A$1:CB$87,Formula!J56,31)))</f>
        <v>1.99</v>
      </c>
      <c r="CY56" s="69">
        <f t="shared" si="16"/>
        <v>1.3299999999999998</v>
      </c>
      <c r="CZ56" s="42">
        <f>((Formula!C56)/(Formula!C56+Formula!E56+Formula!G56+Formula!I56+Formula!K56))*(INDEX(Properties!A$1:CB$87,Formula!B56,32))+((Formula!E56)/(Formula!C56+Formula!E56+Formula!G56+Formula!I56+Formula!K56))*(INDEX(Properties!A$1:CB$87,Formula!D56,32))+((Formula!G56)/(Formula!C56+Formula!E56+Formula!G56+Formula!I56+Formula!K56))*(INDEX(Properties!A$1:CB$87,Formula!F56,32))+((Formula!I56)/(Formula!C56+Formula!E56+Formula!G56+Formula!I56+Formula!K56))*(INDEX(Properties!A$1:CB$87,Formula!H56,32))+((Formula!K56)/(Formula!C56+Formula!E56+Formula!G56+Formula!I56+Formula!K56))*(INDEX(Properties!A$1:CB$87,Formula!J56,32))</f>
        <v>6.4757894736842108</v>
      </c>
      <c r="DA56" s="42">
        <f>Formula!C56*(INDEX(Properties!A$1:CB$87,Formula!B56,32))+Formula!E56*(INDEX(Properties!A$1:CB$87,Formula!D56,32))+Formula!G56*(INDEX(Properties!A$1:CB$87,Formula!F56,32))+Formula!I56*(INDEX(Properties!A$1:CB$87,Formula!H56,32))+Formula!K56*(INDEX(Properties!A$1:CB$87,Formula!J56,32))</f>
        <v>123.04</v>
      </c>
      <c r="DB56" s="42">
        <f>VARP(IF(INDEX(Properties!A$1:CB$87,Formula!B56,32)&lt;&gt;"",INDEX(Properties!A$1:CB$87,Formula!B56,32)),IF(INDEX(Properties!A$1:CB$87,Formula!D56,32)&lt;&gt;"",INDEX(Properties!A$1:CB$87,Formula!D56,32)),IF(INDEX(Properties!A$1:CB$87,Formula!F56,32)&lt;&gt;"",INDEX(Properties!A$1:CB$87,Formula!F56,32)),IF(INDEX(Properties!A$1:CB$87,Formula!H56,32)&lt;&gt;"",INDEX(Properties!A$1:CB$87,Formula!H56,32)),IF(INDEX(Properties!A$1:CB$87,Formula!J56,32)&lt;&gt;"",INDEX(Properties!A$1:CB$87,Formula!J56,32)))</f>
        <v>8.6715840000000028</v>
      </c>
      <c r="DC56" s="42">
        <f>MAX(INDEX(Properties!A$1:CB$87,Formula!B56,32),INDEX(Properties!A$1:CB$87,Formula!D56,32),INDEX(Properties!A$1:CB$87,Formula!F56,32),INDEX(Properties!A$1:CB$87,Formula!H56,32),INDEX(Properties!A$1:CB$87,Formula!J56,32))</f>
        <v>7.54</v>
      </c>
      <c r="DD56" s="42">
        <f>MIN(IF(INDEX(Properties!A$1:CB$87,Formula!B56,32)=0,10^6,INDEX(Properties!A$1:CB$87,Formula!B56,32)),IF(INDEX(Properties!A$1:CB$87,Formula!D56,32)=0,10^6,INDEX(Properties!A$1:CB$87,Formula!D56,32)),IF(INDEX(Properties!A$1:CB$87,Formula!F56,32)=0,10^6,INDEX(Properties!A$1:CB$87,Formula!F56,32)),IF(INDEX(Properties!A$1:CB$87,Formula!H56,32)=0,10^6,INDEX(Properties!A$1:CB$87,Formula!H56,32)),IF(INDEX(Properties!A$1:CB$87,Formula!J56,32)=0,10^6,INDEX(Properties!A$1:CB$87,Formula!J56,32)))</f>
        <v>4.5999999999999996</v>
      </c>
      <c r="DE56" s="42">
        <f t="shared" si="17"/>
        <v>2.9400000000000004</v>
      </c>
      <c r="DF56" s="60">
        <f>((Formula!C56)/(Formula!C56+Formula!E56+Formula!G56+Formula!I56+Formula!K56))*(INDEX(Properties!A$1:CB$87,Formula!B56,34))+((Formula!E56)/(Formula!C56+Formula!E56+Formula!G56+Formula!I56+Formula!K56))*(INDEX(Properties!A$1:CB$87,Formula!D56,34))+((Formula!G56)/(Formula!C56+Formula!E56+Formula!G56+Formula!I56+Formula!K56))*(INDEX(Properties!A$1:CB$87,Formula!F56,34))+((Formula!I56)/(Formula!C56+Formula!E56+Formula!G56+Formula!I56+Formula!K56))*(INDEX(Properties!A$1:CB$87,Formula!H56,34))+((Formula!K56)/(Formula!C56+Formula!E56+Formula!G56+Formula!I56+Formula!K56))*(INDEX(Properties!A$1:CB$87,Formula!J56,34))</f>
        <v>3.0179999999999998</v>
      </c>
      <c r="DG56" s="60">
        <f>Formula!C56*(INDEX(Properties!A$1:CB$87,Formula!B56,34))+Formula!E56*(INDEX(Properties!A$1:CB$87,Formula!D56,34))+Formula!G56*(INDEX(Properties!A$1:CB$87,Formula!F56,34))+Formula!I56*(INDEX(Properties!A$1:CB$87,Formula!H56,34))+Formula!K56*(INDEX(Properties!A$1:CB$87,Formula!J56,34))</f>
        <v>57.341999999999999</v>
      </c>
      <c r="DH56" s="60">
        <f>VARP(IF(INDEX(Properties!A$1:CB$87,Formula!B56,34)&lt;&gt;"",INDEX(Properties!A$1:CB$87,Formula!B56,34)),IF(INDEX(Properties!A$1:CB$87,Formula!D56,34)&lt;&gt;"",INDEX(Properties!A$1:CB$87,Formula!D56,34)),IF(INDEX(Properties!A$1:CB$87,Formula!F56,34)&lt;&gt;"",INDEX(Properties!A$1:CB$87,Formula!F56,34)),IF(INDEX(Properties!A$1:CB$87,Formula!H56,34)&lt;&gt;"",INDEX(Properties!A$1:CB$87,Formula!H56,34)),IF(INDEX(Properties!A$1:CB$87,Formula!J56,34)&lt;&gt;"",INDEX(Properties!A$1:CB$87,Formula!J56,34)))</f>
        <v>1.8907273600000005</v>
      </c>
      <c r="DI56" s="60">
        <f>MAX(INDEX(Properties!A$1:CB$87,Formula!B56,34),INDEX(Properties!A$1:CB$87,Formula!D56,34),INDEX(Properties!A$1:CB$87,Formula!F56,34),INDEX(Properties!A$1:CB$87,Formula!H56,34),INDEX(Properties!A$1:CB$87,Formula!J56,34))</f>
        <v>3.61</v>
      </c>
      <c r="DJ56" s="60">
        <f>MIN(IF(INDEX(Properties!A$1:CB$87,Formula!B56,34)=0,10^6,INDEX(Properties!A$1:CB$87,Formula!B56,34)),IF(INDEX(Properties!A$1:CB$87,Formula!D56,34)=0,10^6,INDEX(Properties!A$1:CB$87,Formula!D56,34)),IF(INDEX(Properties!A$1:CB$87,Formula!F56,34)=0,10^6,INDEX(Properties!A$1:CB$87,Formula!F56,34)),IF(INDEX(Properties!A$1:CB$87,Formula!H56,34)=0,10^6,INDEX(Properties!A$1:CB$87,Formula!H56,34)),IF(INDEX(Properties!A$1:CB$87,Formula!J56,34)=0,10^6,INDEX(Properties!A$1:CB$87,Formula!J56,34)))</f>
        <v>1.994</v>
      </c>
      <c r="DK56" s="60">
        <f t="shared" si="18"/>
        <v>1.6159999999999999</v>
      </c>
      <c r="DL56" s="45">
        <f>((Formula!C56)/(Formula!C56+Formula!E56+Formula!G56+Formula!I56+Formula!K56))*(INDEX(Properties!A$1:CB$87,Formula!B56,39))+((Formula!E56)/(Formula!C56+Formula!E56+Formula!G56+Formula!I56+Formula!K56))*(INDEX(Properties!A$1:CB$87,Formula!D56,39))+((Formula!G56)/(Formula!C56+Formula!E56+Formula!G56+Formula!I56+Formula!K56))*(INDEX(Properties!A$1:CB$87,Formula!F56,39))+((Formula!I56)/(Formula!C56+Formula!E56+Formula!G56+Formula!I56+Formula!K56))*(INDEX(Properties!A$1:CB$87,Formula!H56,39))+((Formula!K56)/(Formula!C56+Formula!E56+Formula!G56+Formula!I56+Formula!K56))*(INDEX(Properties!A$1:CB$87,Formula!J56,39))</f>
        <v>0.80157894736842095</v>
      </c>
      <c r="DM56" s="45">
        <f>Formula!C56*(INDEX(Properties!A$1:CB$87,Formula!B56,39))+Formula!E56*(INDEX(Properties!A$1:CB$87,Formula!D56,39))+Formula!G56*(INDEX(Properties!A$1:CB$87,Formula!F56,39))+Formula!I56*(INDEX(Properties!A$1:CB$87,Formula!H56,39))+Formula!K56*(INDEX(Properties!A$1:CB$87,Formula!J56,39))</f>
        <v>15.229999999999999</v>
      </c>
      <c r="DN56" s="45">
        <f>VARP(IF(INDEX(Properties!A$1:CB$87,Formula!B56,39)&lt;&gt;"",INDEX(Properties!A$1:CB$87,Formula!B56,39)),IF(INDEX(Properties!A$1:CB$87,Formula!D56,39)&lt;&gt;"",INDEX(Properties!A$1:CB$87,Formula!D56,39)),IF(INDEX(Properties!A$1:CB$87,Formula!F56,39)&lt;&gt;"",INDEX(Properties!A$1:CB$87,Formula!F56,39)),IF(INDEX(Properties!A$1:CB$87,Formula!H56,39)&lt;&gt;"",INDEX(Properties!A$1:CB$87,Formula!H56,39)),IF(INDEX(Properties!A$1:CB$87,Formula!J56,39)&lt;&gt;"",INDEX(Properties!A$1:CB$87,Formula!J56,39)))</f>
        <v>0.36813600000000007</v>
      </c>
      <c r="DO56" s="45">
        <f>MAX(INDEX(Properties!A$1:CB$87,Formula!B56,39),INDEX(Properties!A$1:CB$87,Formula!D56,39),INDEX(Properties!A$1:CB$87,Formula!F56,39),INDEX(Properties!A$1:CB$87,Formula!H56,39),INDEX(Properties!A$1:CB$87,Formula!J56,39))</f>
        <v>1.43</v>
      </c>
      <c r="DP56" s="45">
        <f>MIN(IF(INDEX(Properties!A$1:CB$87,Formula!B56,39)=0,10^6,INDEX(Properties!A$1:CB$87,Formula!B56,39)),IF(INDEX(Properties!A$1:CB$87,Formula!D56,39)=0,10^6,INDEX(Properties!A$1:CB$87,Formula!D56,39)),IF(INDEX(Properties!A$1:CB$87,Formula!F56,39)=0,10^6,INDEX(Properties!A$1:CB$87,Formula!F56,39)),IF(INDEX(Properties!A$1:CB$87,Formula!H56,39)=0,10^6,INDEX(Properties!A$1:CB$87,Formula!H56,39)),IF(INDEX(Properties!A$1:CB$87,Formula!J56,39)=0,10^6,INDEX(Properties!A$1:CB$87,Formula!J56,39)))</f>
        <v>0.48</v>
      </c>
      <c r="DQ56" s="45">
        <f t="shared" si="19"/>
        <v>0.95</v>
      </c>
      <c r="DR56" s="63">
        <f>((Formula!C56)/(Formula!C56+Formula!E56+Formula!G56+Formula!I56+Formula!K56))*(INDEX(Properties!A$1:CB$87,Formula!B56,40))+((Formula!E56)/(Formula!C56+Formula!E56+Formula!G56+Formula!I56+Formula!K56))*(INDEX(Properties!A$1:CB$87,Formula!D56,40))+((Formula!G56)/(Formula!C56+Formula!E56+Formula!G56+Formula!I56+Formula!K56))*(INDEX(Properties!A$1:CB$87,Formula!F56,40))+((Formula!I56)/(Formula!C56+Formula!E56+Formula!G56+Formula!I56+Formula!K56))*(INDEX(Properties!A$1:CB$87,Formula!H56,40))+((Formula!K56)/(Formula!C56+Formula!E56+Formula!G56+Formula!I56+Formula!K56))*(INDEX(Properties!A$1:CB$87,Formula!J56,40))</f>
        <v>0.96105263157894738</v>
      </c>
      <c r="DS56" s="63">
        <f>Formula!C56*(INDEX(Properties!A$1:CB$87,Formula!B56,40))+Formula!E56*(INDEX(Properties!A$1:CB$87,Formula!D56,40))+Formula!G56*(INDEX(Properties!A$1:CB$87,Formula!F56,40))+Formula!I56*(INDEX(Properties!A$1:CB$87,Formula!H56,40))+Formula!K56*(INDEX(Properties!A$1:CB$87,Formula!J56,40))</f>
        <v>18.259999999999998</v>
      </c>
      <c r="DT56" s="63">
        <f>VARP(IF(INDEX(Properties!A$1:CB$87,Formula!B56,40)&lt;&gt;"",INDEX(Properties!A$1:CB$87,Formula!B56,40)),IF(INDEX(Properties!A$1:CB$87,Formula!D56,40)&lt;&gt;"",INDEX(Properties!A$1:CB$87,Formula!D56,40)),IF(INDEX(Properties!A$1:CB$87,Formula!F56,40)&lt;&gt;"",INDEX(Properties!A$1:CB$87,Formula!F56,40)),IF(INDEX(Properties!A$1:CB$87,Formula!H56,40)&lt;&gt;"",INDEX(Properties!A$1:CB$87,Formula!H56,40)),IF(INDEX(Properties!A$1:CB$87,Formula!J56,40)&lt;&gt;"",INDEX(Properties!A$1:CB$87,Formula!J56,40)))</f>
        <v>0.365456</v>
      </c>
      <c r="DU56" s="63">
        <f>MAX(INDEX(Properties!A$1:CB$87,Formula!B56,40),INDEX(Properties!A$1:CB$87,Formula!D56,40),INDEX(Properties!A$1:CB$87,Formula!F56,40),INDEX(Properties!A$1:CB$87,Formula!H56,40),INDEX(Properties!A$1:CB$87,Formula!J56,40))</f>
        <v>1.46</v>
      </c>
      <c r="DV56" s="63">
        <f>MIN(IF(INDEX(Properties!A$1:CB$87,Formula!B56,40)=0,10^6,INDEX(Properties!A$1:CB$87,Formula!B56,40)),IF(INDEX(Properties!A$1:CB$87,Formula!D56,40)=0,10^6,INDEX(Properties!A$1:CB$87,Formula!D56,40)),IF(INDEX(Properties!A$1:CB$87,Formula!F56,40)=0,10^6,INDEX(Properties!A$1:CB$87,Formula!F56,40)),IF(INDEX(Properties!A$1:CB$87,Formula!H56,40)=0,10^6,INDEX(Properties!A$1:CB$87,Formula!H56,40)),IF(INDEX(Properties!A$1:CB$87,Formula!J56,40)=0,10^6,INDEX(Properties!A$1:CB$87,Formula!J56,40)))</f>
        <v>0.73</v>
      </c>
      <c r="DW56" s="63">
        <f t="shared" si="20"/>
        <v>0.73</v>
      </c>
      <c r="DX56" s="75">
        <f>((Formula!C56)/(Formula!C56+Formula!E56+Formula!G56+Formula!I56+Formula!K56))*(INDEX(Properties!A$1:CB$87,Formula!B56,41))+((Formula!E56)/(Formula!C56+Formula!E56+Formula!G56+Formula!I56+Formula!K56))*(INDEX(Properties!A$1:CB$87,Formula!D56,41))+((Formula!G56)/(Formula!C56+Formula!E56+Formula!G56+Formula!I56+Formula!K56))*(INDEX(Properties!A$1:CB$87,Formula!F56,41))+((Formula!I56)/(Formula!C56+Formula!E56+Formula!G56+Formula!I56+Formula!K56))*(INDEX(Properties!A$1:CB$87,Formula!H56,41))+((Formula!K56)/(Formula!C56+Formula!E56+Formula!G56+Formula!I56+Formula!K56))*(INDEX(Properties!A$1:CB$87,Formula!J56,41))</f>
        <v>1.1794736842105262</v>
      </c>
      <c r="DY56" s="75">
        <f>Formula!C56*(INDEX(Properties!A$1:CB$87,Formula!B56,41))+Formula!E56*(INDEX(Properties!A$1:CB$87,Formula!D56,41))+Formula!G56*(INDEX(Properties!A$1:CB$87,Formula!F56,41))+Formula!I56*(INDEX(Properties!A$1:CB$87,Formula!H56,41))+Formula!K56*(INDEX(Properties!A$1:CB$87,Formula!J56,41))</f>
        <v>22.41</v>
      </c>
      <c r="DZ56" s="75">
        <f>VARP(IF(INDEX(Properties!A$1:CB$87,Formula!B56,41)&lt;&gt;"",INDEX(Properties!A$1:CB$87,Formula!B56,41)),IF(INDEX(Properties!A$1:CB$87,Formula!D56,41)&lt;&gt;"",INDEX(Properties!A$1:CB$87,Formula!D56,41)),IF(INDEX(Properties!A$1:CB$87,Formula!F56,41)&lt;&gt;"",INDEX(Properties!A$1:CB$87,Formula!F56,41)),IF(INDEX(Properties!A$1:CB$87,Formula!H56,41)&lt;&gt;"",INDEX(Properties!A$1:CB$87,Formula!H56,41)),IF(INDEX(Properties!A$1:CB$87,Formula!J56,41)&lt;&gt;"",INDEX(Properties!A$1:CB$87,Formula!J56,41)))</f>
        <v>0.30708000000000008</v>
      </c>
      <c r="EA56" s="75">
        <f>MAX(INDEX(Properties!A$1:CB$87,Formula!B56,41),INDEX(Properties!A$1:CB$87,Formula!D56,41),INDEX(Properties!A$1:CB$87,Formula!F56,41),INDEX(Properties!A$1:CB$87,Formula!H56,41),INDEX(Properties!A$1:CB$87,Formula!J56,41))</f>
        <v>1.26</v>
      </c>
      <c r="EB56" s="75">
        <f>MIN(IF(INDEX(Properties!A$1:CB$87,Formula!B56,41)=0,10^6,INDEX(Properties!A$1:CB$87,Formula!B56,41)),IF(INDEX(Properties!A$1:CB$87,Formula!D56,41)=0,10^6,INDEX(Properties!A$1:CB$87,Formula!D56,41)),IF(INDEX(Properties!A$1:CB$87,Formula!F56,41)=0,10^6,INDEX(Properties!A$1:CB$87,Formula!F56,41)),IF(INDEX(Properties!A$1:CB$87,Formula!H56,41)=0,10^6,INDEX(Properties!A$1:CB$87,Formula!H56,41)),IF(INDEX(Properties!A$1:CB$87,Formula!J56,41)=0,10^6,INDEX(Properties!A$1:CB$87,Formula!J56,41)))</f>
        <v>0.87</v>
      </c>
      <c r="EC56" s="75">
        <f t="shared" si="21"/>
        <v>0.39</v>
      </c>
      <c r="ED56" s="48">
        <f>((Formula!C56)/(Formula!C56+Formula!E56+Formula!G56+Formula!I56+Formula!K56))*(INDEX(Properties!A$1:CB$87,Formula!B56,45))+((Formula!E56)/(Formula!C56+Formula!E56+Formula!G56+Formula!I56+Formula!K56))*(INDEX(Properties!A$1:CB$87,Formula!D56,45))+((Formula!G56)/(Formula!C56+Formula!E56+Formula!G56+Formula!I56+Formula!K56))*(INDEX(Properties!A$1:CB$87,Formula!F56,45))+((Formula!I56)/(Formula!C56+Formula!E56+Formula!G56+Formula!I56+Formula!K56))*(INDEX(Properties!A$1:CB$87,Formula!H56,45))+((Formula!K56)/(Formula!C56+Formula!E56+Formula!G56+Formula!I56+Formula!K56))*(INDEX(Properties!A$1:CB$87,Formula!J56,45))</f>
        <v>0.96421052631578941</v>
      </c>
      <c r="EE56" s="48">
        <f>Formula!C56*(INDEX(Properties!A$1:CB$87,Formula!B56,45))+Formula!E56*(INDEX(Properties!A$1:CB$87,Formula!D56,45))+Formula!G56*(INDEX(Properties!A$1:CB$87,Formula!F56,45))+Formula!I56*(INDEX(Properties!A$1:CB$87,Formula!H56,45))+Formula!K56*(INDEX(Properties!A$1:CB$87,Formula!J56,45))</f>
        <v>18.32</v>
      </c>
      <c r="EF56" s="48">
        <f>VARP(IF(INDEX(Properties!A$1:CB$87,Formula!B56,45)&lt;&gt;"",INDEX(Properties!A$1:CB$87,Formula!B56,45)),IF(INDEX(Properties!A$1:CB$87,Formula!D56,45)&lt;&gt;"",INDEX(Properties!A$1:CB$87,Formula!D56,45)),IF(INDEX(Properties!A$1:CB$87,Formula!F56,45)&lt;&gt;"",INDEX(Properties!A$1:CB$87,Formula!F56,45)),IF(INDEX(Properties!A$1:CB$87,Formula!H56,45)&lt;&gt;"",INDEX(Properties!A$1:CB$87,Formula!H56,45)),IF(INDEX(Properties!A$1:CB$87,Formula!J56,45)&lt;&gt;"",INDEX(Properties!A$1:CB$87,Formula!J56,45)))</f>
        <v>0.68126399999999987</v>
      </c>
      <c r="EG56" s="48">
        <f>MAX(INDEX(Properties!A$1:CB$87,Formula!B56,45),INDEX(Properties!A$1:CB$87,Formula!D56,45),INDEX(Properties!A$1:CB$87,Formula!F56,45),INDEX(Properties!A$1:CB$87,Formula!H56,45),INDEX(Properties!A$1:CB$87,Formula!J56,45))</f>
        <v>2</v>
      </c>
      <c r="EH56" s="48">
        <f>MIN(IF(INDEX(Properties!A$1:CB$87,Formula!B56,45)=0,10^6,INDEX(Properties!A$1:CB$87,Formula!B56,45)),IF(INDEX(Properties!A$1:CB$87,Formula!D56,45)=0,10^6,INDEX(Properties!A$1:CB$87,Formula!D56,45)),IF(INDEX(Properties!A$1:CB$87,Formula!F56,45)=0,10^6,INDEX(Properties!A$1:CB$87,Formula!F56,45)),IF(INDEX(Properties!A$1:CB$87,Formula!H56,45)=0,10^6,INDEX(Properties!A$1:CB$87,Formula!H56,45)),IF(INDEX(Properties!A$1:CB$87,Formula!J56,45)=0,10^6,INDEX(Properties!A$1:CB$87,Formula!J56,45)))</f>
        <v>0.47</v>
      </c>
      <c r="EI56" s="48">
        <f t="shared" si="22"/>
        <v>1.53</v>
      </c>
      <c r="EJ56" s="66">
        <f>((Formula!C56)/(Formula!C56+Formula!E56+Formula!G56+Formula!I56+Formula!K56))*(INDEX(Properties!A$1:CB$87,Formula!B56,46))+((Formula!E56)/(Formula!C56+Formula!E56+Formula!G56+Formula!I56+Formula!K56))*(INDEX(Properties!A$1:CB$87,Formula!D56,46))+((Formula!G56)/(Formula!C56+Formula!E56+Formula!G56+Formula!I56+Formula!K56))*(INDEX(Properties!A$1:CB$87,Formula!F56,46))+((Formula!I56)/(Formula!C56+Formula!E56+Formula!G56+Formula!I56+Formula!K56))*(INDEX(Properties!A$1:CB$87,Formula!H56,46))+((Formula!K56)/(Formula!C56+Formula!E56+Formula!G56+Formula!I56+Formula!K56))*(INDEX(Properties!A$1:CB$87,Formula!J56,46))</f>
        <v>1.0942105263157895</v>
      </c>
      <c r="EK56" s="66">
        <f>Formula!C56*(INDEX(Properties!A$1:CB$87,Formula!B56,46))+Formula!E56*(INDEX(Properties!A$1:CB$87,Formula!D56,46))+Formula!G56*(INDEX(Properties!A$1:CB$87,Formula!F56,46))+Formula!I56*(INDEX(Properties!A$1:CB$87,Formula!H56,46))+Formula!K56*(INDEX(Properties!A$1:CB$87,Formula!J56,46))</f>
        <v>20.79</v>
      </c>
      <c r="EL56" s="66">
        <f>VARP(IF(INDEX(Properties!A$1:CB$87,Formula!B56,46)&lt;&gt;"",INDEX(Properties!A$1:CB$87,Formula!B56,46)),IF(INDEX(Properties!A$1:CB$87,Formula!D56,46)&lt;&gt;"",INDEX(Properties!A$1:CB$87,Formula!D56,46)),IF(INDEX(Properties!A$1:CB$87,Formula!F56,46)&lt;&gt;"",INDEX(Properties!A$1:CB$87,Formula!F56,46)),IF(INDEX(Properties!A$1:CB$87,Formula!H56,46)&lt;&gt;"",INDEX(Properties!A$1:CB$87,Formula!H56,46)),IF(INDEX(Properties!A$1:CB$87,Formula!J56,46)&lt;&gt;"",INDEX(Properties!A$1:CB$87,Formula!J56,46)))</f>
        <v>0.28405599999999998</v>
      </c>
      <c r="EM56" s="66">
        <f>MAX(INDEX(Properties!A$1:CB$87,Formula!B56,46),INDEX(Properties!A$1:CB$87,Formula!D56,46),INDEX(Properties!A$1:CB$87,Formula!F56,46),INDEX(Properties!A$1:CB$87,Formula!H56,46),INDEX(Properties!A$1:CB$87,Formula!J56,46))</f>
        <v>1.21</v>
      </c>
      <c r="EN56" s="66">
        <f>MIN(IF(INDEX(Properties!A$1:CB$87,Formula!B56,46)=0,10^6,INDEX(Properties!A$1:CB$87,Formula!B56,46)),IF(INDEX(Properties!A$1:CB$87,Formula!D56,46)=0,10^6,INDEX(Properties!A$1:CB$87,Formula!D56,46)),IF(INDEX(Properties!A$1:CB$87,Formula!F56,46)=0,10^6,INDEX(Properties!A$1:CB$87,Formula!F56,46)),IF(INDEX(Properties!A$1:CB$87,Formula!H56,46)=0,10^6,INDEX(Properties!A$1:CB$87,Formula!H56,46)),IF(INDEX(Properties!A$1:CB$87,Formula!J56,46)=0,10^6,INDEX(Properties!A$1:CB$87,Formula!J56,46)))</f>
        <v>0.53</v>
      </c>
      <c r="EO56" s="66">
        <f t="shared" si="23"/>
        <v>0.67999999999999994</v>
      </c>
      <c r="EP56" s="81">
        <f>((Formula!C56)/(Formula!C56+Formula!E56+Formula!G56+Formula!I56+Formula!K56))*(INDEX(Properties!A$1:CB$87,Formula!B56,52))+((Formula!E56)/(Formula!C56+Formula!E56+Formula!G56+Formula!I56+Formula!K56))*(INDEX(Properties!A$1:CB$87,Formula!D56,52))+((Formula!G56)/(Formula!C56+Formula!E56+Formula!G56+Formula!I56+Formula!K56))*(INDEX(Properties!A$1:CB$87,Formula!F56,52))+((Formula!I56)/(Formula!C56+Formula!E56+Formula!G56+Formula!I56+Formula!K56))*(INDEX(Properties!A$1:CB$87,Formula!H56,52))+((Formula!K56)/(Formula!C56+Formula!E56+Formula!G56+Formula!I56+Formula!K56))*(INDEX(Properties!A$1:CB$87,Formula!J56,52))</f>
        <v>3.0218947368421052</v>
      </c>
      <c r="EQ56" s="81">
        <f>Formula!C56*(INDEX(Properties!A$1:CB$87,Formula!B56,52))+Formula!E56*(INDEX(Properties!A$1:CB$87,Formula!D56,52))+Formula!G56*(INDEX(Properties!A$1:CB$87,Formula!F56,52))+Formula!I56*(INDEX(Properties!A$1:CB$87,Formula!H56,52))+Formula!K56*(INDEX(Properties!A$1:CB$87,Formula!J56,52))</f>
        <v>57.415999999999997</v>
      </c>
      <c r="ER56" s="81">
        <f>VARP(IF(INDEX(Properties!A$1:CB$87,Formula!B56,52)&lt;&gt;"",INDEX(Properties!A$1:CB$87,Formula!B56,52)),IF(INDEX(Properties!A$1:CB$87,Formula!D56,52)&lt;&gt;"",INDEX(Properties!A$1:CB$87,Formula!D56,52)),IF(INDEX(Properties!A$1:CB$87,Formula!F56,52)&lt;&gt;"",INDEX(Properties!A$1:CB$87,Formula!F56,52)),IF(INDEX(Properties!A$1:CB$87,Formula!H56,52)&lt;&gt;"",INDEX(Properties!A$1:CB$87,Formula!H56,52)),IF(INDEX(Properties!A$1:CB$87,Formula!J56,52)&lt;&gt;"",INDEX(Properties!A$1:CB$87,Formula!J56,52)))</f>
        <v>10.34817584</v>
      </c>
      <c r="ES56" s="81">
        <f>MAX(INDEX(Properties!A$1:CB$87,Formula!B56,52),INDEX(Properties!A$1:CB$87,Formula!D56,52),INDEX(Properties!A$1:CB$87,Formula!F56,52),INDEX(Properties!A$1:CB$87,Formula!H56,52),INDEX(Properties!A$1:CB$87,Formula!J56,52))</f>
        <v>7.4</v>
      </c>
      <c r="ET56" s="81">
        <f>MIN(IF(INDEX(Properties!A$1:CB$87,Formula!B56,52)=0,10^6,INDEX(Properties!A$1:CB$87,Formula!B56,52)),IF(INDEX(Properties!A$1:CB$87,Formula!D56,52)=0,10^6,INDEX(Properties!A$1:CB$87,Formula!D56,52)),IF(INDEX(Properties!A$1:CB$87,Formula!F56,52)=0,10^6,INDEX(Properties!A$1:CB$87,Formula!F56,52)),IF(INDEX(Properties!A$1:CB$87,Formula!H56,52)=0,10^6,INDEX(Properties!A$1:CB$87,Formula!H56,52)),IF(INDEX(Properties!A$1:CB$87,Formula!J56,52)=0,10^6,INDEX(Properties!A$1:CB$87,Formula!J56,52)))</f>
        <v>0.79300000000000004</v>
      </c>
      <c r="EU56" s="81">
        <f t="shared" si="24"/>
        <v>6.6070000000000002</v>
      </c>
      <c r="EV56" s="39">
        <f>((Formula!C56)/(Formula!C56+Formula!E56+Formula!G56+Formula!I56+Formula!K56))*(INDEX(Properties!A$1:CB$87,Formula!B56,53))+((Formula!E56)/(Formula!C56+Formula!E56+Formula!G56+Formula!I56+Formula!K56))*(INDEX(Properties!A$1:CB$87,Formula!D56,53))+((Formula!G56)/(Formula!C56+Formula!E56+Formula!G56+Formula!I56+Formula!K56))*(INDEX(Properties!A$1:CB$87,Formula!F56,53))+((Formula!I56)/(Formula!C56+Formula!E56+Formula!G56+Formula!I56+Formula!K56))*(INDEX(Properties!A$1:CB$87,Formula!H56,53))+((Formula!K56)/(Formula!C56+Formula!E56+Formula!G56+Formula!I56+Formula!K56))*(INDEX(Properties!A$1:CB$87,Formula!J56,53))</f>
        <v>341.85526315789468</v>
      </c>
      <c r="EW56" s="39">
        <f>Formula!C56*(INDEX(Properties!A$1:CB$87,Formula!B56,53))+Formula!E56*(INDEX(Properties!A$1:CB$87,Formula!D56,53))+Formula!G56*(INDEX(Properties!A$1:CB$87,Formula!F56,53))+Formula!I56*(INDEX(Properties!A$1:CB$87,Formula!H56,53))+Formula!K56*(INDEX(Properties!A$1:CB$87,Formula!J56,53))</f>
        <v>6495.25</v>
      </c>
      <c r="EX56" s="39">
        <f>VARP(IF(INDEX(Properties!A$1:CB$87,Formula!B56,53)&lt;&gt;"",INDEX(Properties!A$1:CB$87,Formula!B56,53)),IF(INDEX(Properties!A$1:CB$87,Formula!D56,53)&lt;&gt;"",INDEX(Properties!A$1:CB$87,Formula!D56,53)),IF(INDEX(Properties!A$1:CB$87,Formula!F56,53)&lt;&gt;"",INDEX(Properties!A$1:CB$87,Formula!F56,53)),IF(INDEX(Properties!A$1:CB$87,Formula!H56,53)&lt;&gt;"",INDEX(Properties!A$1:CB$87,Formula!H56,53)),IF(INDEX(Properties!A$1:CB$87,Formula!J56,53)&lt;&gt;"",INDEX(Properties!A$1:CB$87,Formula!J56,53)))</f>
        <v>225351.88540000003</v>
      </c>
      <c r="EY56" s="39">
        <f>MAX(INDEX(Properties!A$1:CB$87,Formula!B56,53),INDEX(Properties!A$1:CB$87,Formula!D56,53),INDEX(Properties!A$1:CB$87,Formula!F56,53),INDEX(Properties!A$1:CB$87,Formula!H56,53),INDEX(Properties!A$1:CB$87,Formula!J56,53))</f>
        <v>1220.55</v>
      </c>
      <c r="EZ56" s="39">
        <f>MIN(IF(INDEX(Properties!A$1:CB$87,Formula!B56,53)=0,10^6,INDEX(Properties!A$1:CB$87,Formula!B56,53)),IF(INDEX(Properties!A$1:CB$87,Formula!D56,53)=0,10^6,INDEX(Properties!A$1:CB$87,Formula!D56,53)),IF(INDEX(Properties!A$1:CB$87,Formula!F56,53)=0,10^6,INDEX(Properties!A$1:CB$87,Formula!F56,53)),IF(INDEX(Properties!A$1:CB$87,Formula!H56,53)=0,10^6,INDEX(Properties!A$1:CB$87,Formula!H56,53)),IF(INDEX(Properties!A$1:CB$87,Formula!J56,53)=0,10^6,INDEX(Properties!A$1:CB$87,Formula!J56,53)))</f>
        <v>54.749999999999972</v>
      </c>
      <c r="FA56" s="39">
        <f t="shared" si="25"/>
        <v>1165.8</v>
      </c>
      <c r="FB56" s="54">
        <f>((Formula!C56)/(Formula!C56+Formula!E56+Formula!G56+Formula!I56+Formula!K56))*(INDEX(Properties!A$1:CB$87,Formula!B56,54))+((Formula!E56)/(Formula!C56+Formula!E56+Formula!G56+Formula!I56+Formula!K56))*(INDEX(Properties!A$1:CB$87,Formula!D56,54))+((Formula!G56)/(Formula!C56+Formula!E56+Formula!G56+Formula!I56+Formula!K56))*(INDEX(Properties!A$1:CB$87,Formula!F56,54))+((Formula!I56)/(Formula!C56+Formula!E56+Formula!G56+Formula!I56+Formula!K56))*(INDEX(Properties!A$1:CB$87,Formula!H56,54))+((Formula!K56)/(Formula!C56+Formula!E56+Formula!G56+Formula!I56+Formula!K56))*(INDEX(Properties!A$1:CB$87,Formula!J56,54))</f>
        <v>932.8342105263157</v>
      </c>
      <c r="FC56" s="54">
        <f>Formula!C56*(INDEX(Properties!A$1:CB$87,Formula!B56,54))+Formula!E56*(INDEX(Properties!A$1:CB$87,Formula!D56,54))+Formula!G56*(INDEX(Properties!A$1:CB$87,Formula!F56,54))+Formula!I56*(INDEX(Properties!A$1:CB$87,Formula!H56,54))+Formula!K56*(INDEX(Properties!A$1:CB$87,Formula!J56,54))</f>
        <v>17723.850000000002</v>
      </c>
      <c r="FD56" s="54">
        <f>VARP(IF(INDEX(Properties!A$1:CB$87,Formula!B56,54)&lt;&gt;"",INDEX(Properties!A$1:CB$87,Formula!B56,54)),IF(INDEX(Properties!A$1:CB$87,Formula!D56,54)&lt;&gt;"",INDEX(Properties!A$1:CB$87,Formula!D56,54)),IF(INDEX(Properties!A$1:CB$87,Formula!F56,54)&lt;&gt;"",INDEX(Properties!A$1:CB$87,Formula!F56,54)),IF(INDEX(Properties!A$1:CB$87,Formula!H56,54)&lt;&gt;"",INDEX(Properties!A$1:CB$87,Formula!H56,54)),IF(INDEX(Properties!A$1:CB$87,Formula!J56,54)&lt;&gt;"",INDEX(Properties!A$1:CB$87,Formula!J56,54)))</f>
        <v>1589013.189400001</v>
      </c>
      <c r="FE56" s="54">
        <f>MAX(INDEX(Properties!A$1:CB$87,Formula!B56,54),INDEX(Properties!A$1:CB$87,Formula!D56,54),INDEX(Properties!A$1:CB$87,Formula!F56,54),INDEX(Properties!A$1:CB$87,Formula!H56,54),INDEX(Properties!A$1:CB$87,Formula!J56,54))</f>
        <v>3103.15</v>
      </c>
      <c r="FF56" s="54">
        <f>MIN(IF(INDEX(Properties!A$1:CB$87,Formula!B56,54)=0,10^6,INDEX(Properties!A$1:CB$87,Formula!B56,54)),IF(INDEX(Properties!A$1:CB$87,Formula!D56,54)=0,10^6,INDEX(Properties!A$1:CB$87,Formula!D56,54)),IF(INDEX(Properties!A$1:CB$87,Formula!F56,54)=0,10^6,INDEX(Properties!A$1:CB$87,Formula!F56,54)),IF(INDEX(Properties!A$1:CB$87,Formula!H56,54)=0,10^6,INDEX(Properties!A$1:CB$87,Formula!H56,54)),IF(INDEX(Properties!A$1:CB$87,Formula!J56,54)=0,10^6,INDEX(Properties!A$1:CB$87,Formula!J56,54)))</f>
        <v>90.149999999999977</v>
      </c>
      <c r="FG56" s="54">
        <f t="shared" si="26"/>
        <v>3013</v>
      </c>
      <c r="FH56" s="69">
        <f>((Formula!C56)/(Formula!C56+Formula!E56+Formula!G56+Formula!I56+Formula!K56))*(INDEX(Properties!A$1:CB$87,Formula!B56,55))+((Formula!E56)/(Formula!C56+Formula!E56+Formula!G56+Formula!I56+Formula!K56))*(INDEX(Properties!A$1:CB$87,Formula!D56,55))+((Formula!G56)/(Formula!C56+Formula!E56+Formula!G56+Formula!I56+Formula!K56))*(INDEX(Properties!A$1:CB$87,Formula!F56,55))+((Formula!I56)/(Formula!C56+Formula!E56+Formula!G56+Formula!I56+Formula!K56))*(INDEX(Properties!A$1:CB$87,Formula!H56,55))+((Formula!K56)/(Formula!C56+Formula!E56+Formula!G56+Formula!I56+Formula!K56))*(INDEX(Properties!A$1:CB$87,Formula!J56,55))</f>
        <v>2.8935347368421049</v>
      </c>
      <c r="FI56" s="69">
        <f>Formula!C56*(INDEX(Properties!A$1:CB$87,Formula!B56,55))+Formula!E56*(INDEX(Properties!A$1:CB$87,Formula!D56,54))+Formula!G56*(INDEX(Properties!A$1:CB$87,Formula!F56,55))+Formula!I56*(INDEX(Properties!A$1:CB$87,Formula!H56,55))+Formula!K56*(INDEX(Properties!A$1:CB$87,Formula!J56,55))</f>
        <v>9348.4671600000001</v>
      </c>
      <c r="FJ56" s="69">
        <f>VARP(IF(INDEX(Properties!A$1:CB$87,Formula!B56,55)&lt;&gt;"",INDEX(Properties!A$1:CB$87,Formula!B56,55)),IF(INDEX(Properties!A$1:CB$87,Formula!D56,55)&lt;&gt;"",INDEX(Properties!A$1:CB$87,Formula!D56,55)),IF(INDEX(Properties!A$1:CB$87,Formula!F56,55)&lt;&gt;"",INDEX(Properties!A$1:CB$87,Formula!F56,55)),IF(INDEX(Properties!A$1:CB$87,Formula!H56,55)&lt;&gt;"",INDEX(Properties!A$1:CB$87,Formula!H56,55)),IF(INDEX(Properties!A$1:CB$87,Formula!J56,55)&lt;&gt;"",INDEX(Properties!A$1:CB$87,Formula!J56,55)))</f>
        <v>15.587060319184001</v>
      </c>
      <c r="FK56" s="69">
        <f>MAX(INDEX(Properties!A$1:CB$87,Formula!B56,55),INDEX(Properties!A$1:CB$87,Formula!D56,55),INDEX(Properties!A$1:CB$87,Formula!F56,55),INDEX(Properties!A$1:CB$87,Formula!H56,55),INDEX(Properties!A$1:CB$87,Formula!J56,55))</f>
        <v>9.75</v>
      </c>
      <c r="FL56" s="69">
        <f>MIN(IF(INDEX(Properties!A$1:CB$87,Formula!B56,55)=0,10^6,INDEX(Properties!A$1:CB$87,Formula!B56,55)),IF(INDEX(Properties!A$1:CB$87,Formula!D56,55)=0,10^6,INDEX(Properties!A$1:CB$87,Formula!D56,55)),IF(INDEX(Properties!A$1:CB$87,Formula!F56,55)=0,10^6,INDEX(Properties!A$1:CB$87,Formula!F56,55)),IF(INDEX(Properties!A$1:CB$87,Formula!H56,55)=0,10^6,INDEX(Properties!A$1:CB$87,Formula!H56,55)),IF(INDEX(Properties!A$1:CB$87,Formula!J56,55)=0,10^6,INDEX(Properties!A$1:CB$87,Formula!J56,55)))</f>
        <v>1.4300000000000001E-3</v>
      </c>
      <c r="FM56" s="69">
        <f t="shared" si="27"/>
        <v>9.7485700000000008</v>
      </c>
      <c r="FN56" s="42">
        <f>((Formula!C56)/(Formula!C56+Formula!E56+Formula!G56+Formula!I56+Formula!K56))*(INDEX(Properties!A$1:CB$87,Formula!B56,56))+((Formula!E56)/(Formula!C56+Formula!E56+Formula!G56+Formula!I56+Formula!K56))*(INDEX(Properties!A$1:CB$87,Formula!D56,56))+((Formula!G56)/(Formula!C56+Formula!E56+Formula!G56+Formula!I56+Formula!K56))*(INDEX(Properties!A$1:CB$87,Formula!F56,56))+((Formula!I56)/(Formula!C56+Formula!E56+Formula!G56+Formula!I56+Formula!K56))*(INDEX(Properties!A$1:CB$87,Formula!H56,56))+((Formula!K56)/(Formula!C56+Formula!E56+Formula!G56+Formula!I56+Formula!K56))*(INDEX(Properties!A$1:CB$87,Formula!J56,56))</f>
        <v>0.65684210526315789</v>
      </c>
      <c r="FO56" s="42">
        <f>Formula!C56*(INDEX(Properties!A$1:CB$87,Formula!B56,56))+Formula!E56*(INDEX(Properties!A$1:CB$87,Formula!D56,56))+Formula!G56*(INDEX(Properties!A$1:CB$87,Formula!F56,56))+Formula!I56*(INDEX(Properties!A$1:CB$87,Formula!H56,56))+Formula!K56*(INDEX(Properties!A$1:CB$87,Formula!J56,56))</f>
        <v>12.48</v>
      </c>
      <c r="FP56" s="42">
        <f>VARP(IF(INDEX(Properties!A$1:CB$87,Formula!B56,56)&lt;&gt;"",INDEX(Properties!A$1:CB$87,Formula!B56,56)),IF(INDEX(Properties!A$1:CB$87,Formula!D56,56)&lt;&gt;"",INDEX(Properties!A$1:CB$87,Formula!D56,56)),IF(INDEX(Properties!A$1:CB$87,Formula!F56,56)&lt;&gt;"",INDEX(Properties!A$1:CB$87,Formula!F56,56)),IF(INDEX(Properties!A$1:CB$87,Formula!H56,56)&lt;&gt;"",INDEX(Properties!A$1:CB$87,Formula!H56,56)),IF(INDEX(Properties!A$1:CB$87,Formula!J56,56)&lt;&gt;"",INDEX(Properties!A$1:CB$87,Formula!J56,56)))</f>
        <v>0.11865600000000001</v>
      </c>
      <c r="FQ56" s="42">
        <f>MAX(INDEX(Properties!A$1:CB$87,Formula!B56,56),INDEX(Properties!A$1:CB$87,Formula!D56,56),INDEX(Properties!A$1:CB$87,Formula!F56,56),INDEX(Properties!A$1:CB$87,Formula!H56,56),INDEX(Properties!A$1:CB$87,Formula!J56,56))</f>
        <v>0.92</v>
      </c>
      <c r="FR56" s="42">
        <f>MIN(IF(INDEX(Properties!A$1:CB$87,Formula!B56,56)=0,10^6,INDEX(Properties!A$1:CB$87,Formula!B56,56)),IF(INDEX(Properties!A$1:CB$87,Formula!D56,56)=0,10^6,INDEX(Properties!A$1:CB$87,Formula!D56,56)),IF(INDEX(Properties!A$1:CB$87,Formula!F56,56)=0,10^6,INDEX(Properties!A$1:CB$87,Formula!F56,56)),IF(INDEX(Properties!A$1:CB$87,Formula!H56,56)=0,10^6,INDEX(Properties!A$1:CB$87,Formula!H56,56)),IF(INDEX(Properties!A$1:CB$87,Formula!J56,56)=0,10^6,INDEX(Properties!A$1:CB$87,Formula!J56,56)))</f>
        <v>0.12</v>
      </c>
      <c r="FS56" s="42">
        <f t="shared" si="28"/>
        <v>0.8</v>
      </c>
      <c r="FT56" s="60">
        <f>((Formula!C56)/(Formula!C56+Formula!E56+Formula!G56+Formula!I56+Formula!K56))*(INDEX(Properties!A$1:CB$87,Formula!B56,57))+((Formula!E56)/(Formula!C56+Formula!E56+Formula!G56+Formula!I56+Formula!K56))*(INDEX(Properties!A$1:CB$87,Formula!D56,57))+((Formula!G56)/(Formula!C56+Formula!E56+Formula!G56+Formula!I56+Formula!K56))*(INDEX(Properties!A$1:CB$87,Formula!F56,57))+((Formula!I56)/(Formula!C56+Formula!E56+Formula!G56+Formula!I56+Formula!K56))*(INDEX(Properties!A$1:CB$87,Formula!H56,57))+((Formula!K56)/(Formula!C56+Formula!E56+Formula!G56+Formula!I56+Formula!K56))*(INDEX(Properties!A$1:CB$87,Formula!J56,57))</f>
        <v>8.3521621052631563</v>
      </c>
      <c r="FU56" s="60">
        <f>Formula!C56*(INDEX(Properties!A$1:CB$87,Formula!B56,57))+Formula!E56*(INDEX(Properties!A$1:CB$87,Formula!D56,57))+Formula!G56*(INDEX(Properties!A$1:CB$87,Formula!F56,57))+Formula!I56*(INDEX(Properties!A$1:CB$87,Formula!H56,57))+Formula!K56*(INDEX(Properties!A$1:CB$87,Formula!J56,57))</f>
        <v>158.69107999999997</v>
      </c>
      <c r="FV56" s="60">
        <f>VARP(IF(INDEX(Properties!A$1:CB$87,Formula!B56,57)&lt;&gt;"",INDEX(Properties!A$1:CB$87,Formula!B56,57)),IF(INDEX(Properties!A$1:CB$87,Formula!D56,57)&lt;&gt;"",INDEX(Properties!A$1:CB$87,Formula!D56,57)),IF(INDEX(Properties!A$1:CB$87,Formula!F56,57)&lt;&gt;"",INDEX(Properties!A$1:CB$87,Formula!F56,57)),IF(INDEX(Properties!A$1:CB$87,Formula!H56,57)&lt;&gt;"",INDEX(Properties!A$1:CB$87,Formula!H56,57)),IF(INDEX(Properties!A$1:CB$87,Formula!J56,57)&lt;&gt;"",INDEX(Properties!A$1:CB$87,Formula!J56,57)))</f>
        <v>204.51572408129599</v>
      </c>
      <c r="FW56" s="60">
        <f>MAX(INDEX(Properties!A$1:CB$87,Formula!B56,57),INDEX(Properties!A$1:CB$87,Formula!D56,57),INDEX(Properties!A$1:CB$87,Formula!F56,57),INDEX(Properties!A$1:CB$87,Formula!H56,57),INDEX(Properties!A$1:CB$87,Formula!J56,57))</f>
        <v>36.94</v>
      </c>
      <c r="FX56" s="60">
        <f>MIN(IF(INDEX(Properties!A$1:CB$87,Formula!B56,57)=0,10^6,INDEX(Properties!A$1:CB$87,Formula!B56,57)),IF(INDEX(Properties!A$1:CB$87,Formula!D56,57)=0,10^6,INDEX(Properties!A$1:CB$87,Formula!D56,57)),IF(INDEX(Properties!A$1:CB$87,Formula!F56,57)=0,10^6,INDEX(Properties!A$1:CB$87,Formula!F56,57)),IF(INDEX(Properties!A$1:CB$87,Formula!H56,57)=0,10^6,INDEX(Properties!A$1:CB$87,Formula!H56,57)),IF(INDEX(Properties!A$1:CB$87,Formula!J56,57)=0,10^6,INDEX(Properties!A$1:CB$87,Formula!J56,57)))</f>
        <v>0.22259000000000001</v>
      </c>
      <c r="FY56" s="60">
        <f t="shared" si="29"/>
        <v>36.717410000000001</v>
      </c>
      <c r="FZ56" s="72">
        <f>((Formula!C56)/(Formula!C56+Formula!E56+Formula!G56+Formula!I56+Formula!K56))*(INDEX(Properties!A$1:CB$87,Formula!B56,60))+((Formula!E56)/(Formula!C56+Formula!E56+Formula!G56+Formula!I56+Formula!K56))*(INDEX(Properties!A$1:CB$87,Formula!D56,60))+((Formula!G56)/(Formula!C56+Formula!E56+Formula!G56+Formula!I56+Formula!K56))*(INDEX(Properties!A$1:CB$87,Formula!F56,60))+((Formula!I56)/(Formula!C56+Formula!E56+Formula!G56+Formula!I56+Formula!K56))*(INDEX(Properties!A$1:CB$87,Formula!H56,60))+((Formula!K56)/(Formula!C56+Formula!E56+Formula!G56+Formula!I56+Formula!K56))*(INDEX(Properties!A$1:CB$87,Formula!J56,60))</f>
        <v>11.131625263157893</v>
      </c>
      <c r="GA56" s="72">
        <f>Formula!C56*(INDEX(Properties!A$1:CB$87,Formula!B56,60))+Formula!E56*(INDEX(Properties!A$1:CB$87,Formula!D56,60))+Formula!G56*(INDEX(Properties!A$1:CB$87,Formula!F56,60))+Formula!I56*(INDEX(Properties!A$1:CB$87,Formula!H56,60))+Formula!K56*(INDEX(Properties!A$1:CB$87,Formula!J56,60))</f>
        <v>211.50087999999997</v>
      </c>
      <c r="GB56" s="72">
        <f>VARP(IF(INDEX(Properties!A$1:CB$87,Formula!B56,60)&lt;&gt;"",INDEX(Properties!A$1:CB$87,Formula!B56,60)),IF(INDEX(Properties!A$1:CB$87,Formula!D56,60)&lt;&gt;"",INDEX(Properties!A$1:CB$87,Formula!D56,60)),IF(INDEX(Properties!A$1:CB$87,Formula!F56,60)&lt;&gt;"",INDEX(Properties!A$1:CB$87,Formula!F56,60)),IF(INDEX(Properties!A$1:CB$87,Formula!H56,60)&lt;&gt;"",INDEX(Properties!A$1:CB$87,Formula!H56,60)),IF(INDEX(Properties!A$1:CB$87,Formula!J56,60)&lt;&gt;"",INDEX(Properties!A$1:CB$87,Formula!J56,60)))</f>
        <v>546.13360482041605</v>
      </c>
      <c r="GC56" s="72">
        <f>MAX(INDEX(Properties!A$1:CB$87,Formula!B56,60),INDEX(Properties!A$1:CB$87,Formula!D56,60),INDEX(Properties!A$1:CB$87,Formula!F56,60),INDEX(Properties!A$1:CB$87,Formula!H56,60),INDEX(Properties!A$1:CB$87,Formula!J56,60))</f>
        <v>59.9</v>
      </c>
      <c r="GD56" s="72">
        <f>MIN(IF(INDEX(Properties!A$1:CB$87,Formula!B56,60)=0,10^6,INDEX(Properties!A$1:CB$87,Formula!B56,60)),IF(INDEX(Properties!A$1:CB$87,Formula!D56,60)=0,10^6,INDEX(Properties!A$1:CB$87,Formula!D56,60)),IF(INDEX(Properties!A$1:CB$87,Formula!F56,60)=0,10^6,INDEX(Properties!A$1:CB$87,Formula!F56,60)),IF(INDEX(Properties!A$1:CB$87,Formula!H56,60)=0,10^6,INDEX(Properties!A$1:CB$87,Formula!H56,60)),IF(INDEX(Properties!A$1:CB$87,Formula!J56,60)=0,10^6,INDEX(Properties!A$1:CB$87,Formula!J56,60)))</f>
        <v>2.674E-2</v>
      </c>
      <c r="GE56" s="72">
        <f t="shared" si="30"/>
        <v>59.873260000000002</v>
      </c>
      <c r="GF56" s="51">
        <f>((Formula!C56)/(Formula!C56+Formula!E56+Formula!G56+Formula!I56+Formula!K56))*(INDEX(Properties!A$1:CB$87,Formula!B56,62))+((Formula!E56)/(Formula!C56+Formula!E56+Formula!G56+Formula!I56+Formula!K56))*(INDEX(Properties!A$1:CB$87,Formula!D56,62))+((Formula!G56)/(Formula!C56+Formula!E56+Formula!G56+Formula!I56+Formula!K56))*(INDEX(Properties!A$1:CB$87,Formula!F56,62))+((Formula!I56)/(Formula!C56+Formula!E56+Formula!G56+Formula!I56+Formula!K56))*(INDEX(Properties!A$1:CB$87,Formula!H56,62))+((Formula!K56)/(Formula!C56+Formula!E56+Formula!G56+Formula!I56+Formula!K56))*(INDEX(Properties!A$1:CB$87,Formula!J56,62))</f>
        <v>2.7215789473684211</v>
      </c>
      <c r="GG56" s="51">
        <f>Formula!C56*(INDEX(Properties!A$1:CB$87,Formula!B56,62))+Formula!E56*(INDEX(Properties!A$1:CB$87,Formula!D56,62))+Formula!G56*(INDEX(Properties!A$1:CB$87,Formula!F56,62))+Formula!I56*(INDEX(Properties!A$1:CB$87,Formula!H56,62))+Formula!K56*(INDEX(Properties!A$1:CB$87,Formula!J56,62))</f>
        <v>51.710000000000008</v>
      </c>
      <c r="GH56" s="51">
        <f>VARP(IF(INDEX(Properties!A$1:CB$87,Formula!B56,62)&lt;&gt;"",INDEX(Properties!A$1:CB$87,Formula!B56,62)),IF(INDEX(Properties!A$1:CB$87,Formula!D56,62)&lt;&gt;"",INDEX(Properties!A$1:CB$87,Formula!D56,62)),IF(INDEX(Properties!A$1:CB$87,Formula!F56,62)&lt;&gt;"",INDEX(Properties!A$1:CB$87,Formula!F56,62)),IF(INDEX(Properties!A$1:CB$87,Formula!H56,62)&lt;&gt;"",INDEX(Properties!A$1:CB$87,Formula!H56,62)),IF(INDEX(Properties!A$1:CB$87,Formula!J56,62)&lt;&gt;"",INDEX(Properties!A$1:CB$87,Formula!J56,62)))</f>
        <v>2.2949600000000006</v>
      </c>
      <c r="GI56" s="51">
        <f>MAX(INDEX(Properties!A$1:CB$87,Formula!B56,62),INDEX(Properties!A$1:CB$87,Formula!D56,62),INDEX(Properties!A$1:CB$87,Formula!F56,62),INDEX(Properties!A$1:CB$87,Formula!H56,62),INDEX(Properties!A$1:CB$87,Formula!J56,62))</f>
        <v>3.85</v>
      </c>
      <c r="GJ56" s="51">
        <f>MIN(IF(INDEX(Properties!A$1:CB$87,Formula!B56,62)=0,10^6,INDEX(Properties!A$1:CB$87,Formula!B56,62)),IF(INDEX(Properties!A$1:CB$87,Formula!D56,62)=0,10^6,INDEX(Properties!A$1:CB$87,Formula!D56,62)),IF(INDEX(Properties!A$1:CB$87,Formula!F56,62)=0,10^6,INDEX(Properties!A$1:CB$87,Formula!F56,62)),IF(INDEX(Properties!A$1:CB$87,Formula!H56,62)=0,10^6,INDEX(Properties!A$1:CB$87,Formula!H56,62)),IF(INDEX(Properties!A$1:CB$87,Formula!J56,62)=0,10^6,INDEX(Properties!A$1:CB$87,Formula!J56,62)))</f>
        <v>2.1800000000000002</v>
      </c>
      <c r="GK56" s="51">
        <f t="shared" si="31"/>
        <v>1.67</v>
      </c>
      <c r="GL56" s="51">
        <f>Formula!P56</f>
        <v>220</v>
      </c>
      <c r="GM56" s="57">
        <f>Formula!O56</f>
        <v>7</v>
      </c>
      <c r="GN56" s="51">
        <f>Formula!N56</f>
        <v>0.03</v>
      </c>
    </row>
    <row r="57" spans="1:196" x14ac:dyDescent="0.3">
      <c r="A57" s="84" t="str">
        <f>Formula!A57</f>
        <v>LaCa4O(BO3)3</v>
      </c>
      <c r="B57" s="89">
        <f>((Formula!C57)/(Formula!C57+Formula!E57+Formula!G57+Formula!I57+Formula!K57))*(INDEX(Properties!A$1:CB$87,Formula!B57,3))+((Formula!E57)/(Formula!C57+Formula!E57+Formula!G57+Formula!I57+Formula!K57))*(INDEX(Properties!A$1:CB$87,Formula!D57,3))+((Formula!G57)/(Formula!C57+Formula!E57+Formula!G57+Formula!I57+Formula!K57))*(INDEX(Properties!A$1:CB$87,Formula!F57,3))+((Formula!I57)/(Formula!C57+Formula!E57+Formula!G57+Formula!I57+Formula!K57))*(INDEX(Properties!A$1:CB$87,Formula!H57,3))+((Formula!K57)/(Formula!C57+Formula!E57+Formula!G57+Formula!I57+Formula!K57))*(INDEX(Properties!A$1:CB$87,Formula!J57,3))</f>
        <v>27.313583333333334</v>
      </c>
      <c r="C57" s="85">
        <f>Formula!C57*(INDEX(Properties!A$1:CB$87,Formula!B57,3))+Formula!E57*(INDEX(Properties!A$1:CB$87,Formula!D57,3))+Formula!G57*(INDEX(Properties!A$1:CB$87,Formula!F57,3))+Formula!I57*(INDEX(Properties!A$1:CB$87,Formula!H57,3))+Formula!K57*(INDEX(Properties!A$1:CB$87,Formula!J57,3))</f>
        <v>491.64449999999999</v>
      </c>
      <c r="D57" s="85">
        <f>VARP(IF(INDEX(Properties!A$1:CB$87,Formula!B57,3)&lt;&gt;"",INDEX(Properties!A$1:CB$87,Formula!B57,3)),IF(INDEX(Properties!A$1:CB$87,Formula!D57,3)&lt;&gt;"",INDEX(Properties!A$1:CB$87,Formula!D57,3)),IF(INDEX(Properties!A$1:CB$87,Formula!F57,3)&lt;&gt;"",INDEX(Properties!A$1:CB$87,Formula!F57,3)),IF(INDEX(Properties!A$1:CB$87,Formula!H57,3)&lt;&gt;"",INDEX(Properties!A$1:CB$87,Formula!H57,3)),IF(INDEX(Properties!A$1:CB$87,Formula!J57,3)&lt;&gt;"",INDEX(Properties!A$1:CB$87,Formula!J57,3)))</f>
        <v>2560.723336033599</v>
      </c>
      <c r="E57" s="85">
        <f>MAX(INDEX(Properties!A$1:CB$87,Formula!B57,3),INDEX(Properties!A$1:CB$87,Formula!D57,3),INDEX(Properties!A$1:CB$87,Formula!F57,3),INDEX(Properties!A$1:CB$87,Formula!H57,3),INDEX(Properties!A$1:CB$87,Formula!J57,3))</f>
        <v>138.90549999999999</v>
      </c>
      <c r="F57" s="85">
        <f>MIN(IF(INDEX(Properties!A$1:CB$87,Formula!B57,3)=0,10^6,INDEX(Properties!A$1:CB$87,Formula!B57,3)),IF(INDEX(Properties!A$1:CB$87,Formula!D57,3)=0,10^6,INDEX(Properties!A$1:CB$87,Formula!D57,3)),IF(INDEX(Properties!A$1:CB$87,Formula!F57,3)=0,10^6,INDEX(Properties!A$1:CB$87,Formula!F57,3)),IF(INDEX(Properties!A$1:CB$87,Formula!H57,3)=0,10^6,INDEX(Properties!A$1:CB$87,Formula!H57,3)),IF(INDEX(Properties!A$1:CB$87,Formula!J57,3)=0,10^6,INDEX(Properties!A$1:CB$87,Formula!J57,3)))</f>
        <v>10.811</v>
      </c>
      <c r="G57" s="85">
        <f t="shared" si="0"/>
        <v>128.09449999999998</v>
      </c>
      <c r="H57" s="87">
        <f>((Formula!C57)/(Formula!C57+Formula!E57+Formula!G57+Formula!I57+Formula!K57))*(INDEX(Properties!A$1:CB$87,Formula!B57,4))+((Formula!E57)/(Formula!C57+Formula!E57+Formula!G57+Formula!I57+Formula!K57))*(INDEX(Properties!A$1:CB$87,Formula!D57,4))+((Formula!G57)/(Formula!C57+Formula!E57+Formula!G57+Formula!I57+Formula!K57))*(INDEX(Properties!A$1:CB$87,Formula!F57,4))+((Formula!I57)/(Formula!C57+Formula!E57+Formula!G57+Formula!I57+Formula!K57))*(INDEX(Properties!A$1:CB$87,Formula!H57,4))+((Formula!K57)/(Formula!C57+Formula!E57+Formula!G57+Formula!I57+Formula!K57))*(INDEX(Properties!A$1:CB$87,Formula!J57,4))</f>
        <v>12.888888888888889</v>
      </c>
      <c r="I57" s="87">
        <f>Formula!C57*(INDEX(Properties!A$1:CB$87,Formula!B57,4))+Formula!E57*(INDEX(Properties!A$1:CB$87,Formula!D57,4))+Formula!G57*(INDEX(Properties!A$1:CB$87,Formula!F57,4))+Formula!I57*(INDEX(Properties!A$1:CB$87,Formula!H57,4))+Formula!K57*(INDEX(Properties!A$1:CB$87,Formula!J57,4))</f>
        <v>232</v>
      </c>
      <c r="J57" s="87">
        <f>VARP(IF(INDEX(Properties!A$1:CB$87,Formula!B57,4)&lt;&gt;"",INDEX(Properties!A$1:CB$87,Formula!B57,4)),IF(INDEX(Properties!A$1:CB$87,Formula!D57,4)&lt;&gt;"",INDEX(Properties!A$1:CB$87,Formula!D57,4)),IF(INDEX(Properties!A$1:CB$87,Formula!F57,4)&lt;&gt;"",INDEX(Properties!A$1:CB$87,Formula!F57,4)),IF(INDEX(Properties!A$1:CB$87,Formula!H57,4)&lt;&gt;"",INDEX(Properties!A$1:CB$87,Formula!H57,4)),IF(INDEX(Properties!A$1:CB$87,Formula!J57,4)&lt;&gt;"",INDEX(Properties!A$1:CB$87,Formula!J57,4)))</f>
        <v>423.6</v>
      </c>
      <c r="K57" s="87">
        <f>MAX(INDEX(Properties!A$1:CB$87,Formula!B57,4),INDEX(Properties!A$1:CB$87,Formula!D57,4),INDEX(Properties!A$1:CB$87,Formula!F57,4),INDEX(Properties!A$1:CB$87,Formula!H57,4),INDEX(Properties!A$1:CB$87,Formula!J57,4))</f>
        <v>57</v>
      </c>
      <c r="L57" s="87">
        <f>MIN(IF(INDEX(Properties!A$1:CB$87,Formula!B57,4)=0,10^6,INDEX(Properties!A$1:CB$87,Formula!B57,4)),IF(INDEX(Properties!A$1:CB$87,Formula!D57,4)=0,10^6,INDEX(Properties!A$1:CB$87,Formula!D57,4)),IF(INDEX(Properties!A$1:CB$87,Formula!F57,4)=0,10^6,INDEX(Properties!A$1:CB$87,Formula!F57,4)),IF(INDEX(Properties!A$1:CB$87,Formula!H57,4)=0,10^6,INDEX(Properties!A$1:CB$87,Formula!H57,4)),IF(INDEX(Properties!A$1:CB$87,Formula!J57,4)=0,10^6,INDEX(Properties!A$1:CB$87,Formula!J57,4)))</f>
        <v>5</v>
      </c>
      <c r="M57" s="87">
        <f t="shared" si="1"/>
        <v>52</v>
      </c>
      <c r="N57" s="89">
        <f>((Formula!C57)/(Formula!C57+Formula!E57+Formula!G57+Formula!I57+Formula!K57))*(INDEX(Properties!A$1:CB$87,Formula!B57,5))+((Formula!E57)/(Formula!C57+Formula!E57+Formula!G57+Formula!I57+Formula!K57))*(INDEX(Properties!A$1:CB$87,Formula!D57,5))+((Formula!G57)/(Formula!C57+Formula!E57+Formula!G57+Formula!I57+Formula!K57))*(INDEX(Properties!A$1:CB$87,Formula!F57,5))+((Formula!I57)/(Formula!C57+Formula!E57+Formula!G57+Formula!I57+Formula!K57))*(INDEX(Properties!A$1:CB$87,Formula!H57,5))+((Formula!K57)/(Formula!C57+Formula!E57+Formula!G57+Formula!I57+Formula!K57))*(INDEX(Properties!A$1:CB$87,Formula!J57,5))</f>
        <v>2.6666666666666665</v>
      </c>
      <c r="O57" s="89">
        <f>Formula!C57*(INDEX(Properties!A$1:CB$87,Formula!B57,5))+Formula!E57*(INDEX(Properties!A$1:CB$87,Formula!D57,5))+Formula!G57*(INDEX(Properties!A$1:CB$87,Formula!F57,5))+Formula!I57*(INDEX(Properties!A$1:CB$87,Formula!H57,5))+Formula!K57*(INDEX(Properties!A$1:CB$87,Formula!J57,5))</f>
        <v>48</v>
      </c>
      <c r="P57" s="89">
        <f>VARP(IF(INDEX(Properties!A$1:CB$87,Formula!B57,5)&lt;&gt;"",INDEX(Properties!A$1:CB$87,Formula!B57,5)),IF(INDEX(Properties!A$1:CB$87,Formula!D57,5)&lt;&gt;"",INDEX(Properties!A$1:CB$87,Formula!D57,5)),IF(INDEX(Properties!A$1:CB$87,Formula!F57,5)&lt;&gt;"",INDEX(Properties!A$1:CB$87,Formula!F57,5)),IF(INDEX(Properties!A$1:CB$87,Formula!H57,5)&lt;&gt;"",INDEX(Properties!A$1:CB$87,Formula!H57,5)),IF(INDEX(Properties!A$1:CB$87,Formula!J57,5)&lt;&gt;"",INDEX(Properties!A$1:CB$87,Formula!J57,5)))</f>
        <v>4.16</v>
      </c>
      <c r="Q57" s="89">
        <f>MAX(INDEX(Properties!A$1:CB$87,Formula!B57,5),INDEX(Properties!A$1:CB$87,Formula!D57,5),INDEX(Properties!A$1:CB$87,Formula!F57,5),INDEX(Properties!A$1:CB$87,Formula!H57,5),INDEX(Properties!A$1:CB$87,Formula!J57,5))</f>
        <v>6</v>
      </c>
      <c r="R57" s="89">
        <f>MIN(IF(INDEX(Properties!A$1:CB$87,Formula!B57,5)=0,10^6,INDEX(Properties!A$1:CB$87,Formula!B57,5)),IF(INDEX(Properties!A$1:CB$87,Formula!D57,5)=0,10^6,INDEX(Properties!A$1:CB$87,Formula!D57,5)),IF(INDEX(Properties!A$1:CB$87,Formula!F57,5)=0,10^6,INDEX(Properties!A$1:CB$87,Formula!F57,5)),IF(INDEX(Properties!A$1:CB$87,Formula!H57,5)=0,10^6,INDEX(Properties!A$1:CB$87,Formula!H57,5)),IF(INDEX(Properties!A$1:CB$87,Formula!J57,5)=0,10^6,INDEX(Properties!A$1:CB$87,Formula!J57,5)))</f>
        <v>2</v>
      </c>
      <c r="S57" s="89">
        <f t="shared" si="2"/>
        <v>4</v>
      </c>
      <c r="T57" s="60">
        <f>((Formula!C57)/(Formula!C57+Formula!E57+Formula!G57+Formula!I57+Formula!K57))*(INDEX(Properties!A$1:CB$87,Formula!B57,6))+((Formula!E57)/(Formula!C57+Formula!E57+Formula!G57+Formula!I57+Formula!K57))*(INDEX(Properties!A$1:CB$87,Formula!D57,6))+((Formula!G57)/(Formula!C57+Formula!E57+Formula!G57+Formula!I57+Formula!K57))*(INDEX(Properties!A$1:CB$87,Formula!F57,6))+((Formula!I57)/(Formula!C57+Formula!E57+Formula!G57+Formula!I57+Formula!K57))*(INDEX(Properties!A$1:CB$87,Formula!H57,6))+((Formula!K57)/(Formula!C57+Formula!E57+Formula!G57+Formula!I57+Formula!K57))*(INDEX(Properties!A$1:CB$87,Formula!J57,6))</f>
        <v>11.666666666666668</v>
      </c>
      <c r="U57" s="60">
        <f>Formula!C57*(INDEX(Properties!A$1:CB$87,Formula!B57,6))+Formula!E57*(INDEX(Properties!A$1:CB$87,Formula!D57,6))+Formula!G57*(INDEX(Properties!A$1:CB$87,Formula!F57,6))+Formula!I57*(INDEX(Properties!A$1:CB$87,Formula!H57,6))+Formula!K57*(INDEX(Properties!A$1:CB$87,Formula!J57,6))</f>
        <v>210</v>
      </c>
      <c r="V57" s="89">
        <f>VARP(IF(INDEX(Properties!A$1:CB$87,Formula!B57,6)&lt;&gt;"",INDEX(Properties!A$1:CB$87,Formula!B57,6)),IF(INDEX(Properties!A$1:CB$87,Formula!D57,6)&lt;&gt;"",INDEX(Properties!A$1:CB$87,Formula!D57,6)),IF(INDEX(Properties!A$1:CB$87,Formula!F57,6)&lt;&gt;"",INDEX(Properties!A$1:CB$87,Formula!F57,6)),IF(INDEX(Properties!A$1:CB$87,Formula!H57,6)&lt;&gt;"",INDEX(Properties!A$1:CB$87,Formula!H57,6)),IF(INDEX(Properties!A$1:CB$87,Formula!J57,6)&lt;&gt;"",INDEX(Properties!A$1:CB$87,Formula!J57,6)))</f>
        <v>41.36</v>
      </c>
      <c r="W57" s="60">
        <f>MAX(INDEX(Properties!A$1:CB$87,Formula!B57,6),INDEX(Properties!A$1:CB$87,Formula!D57,6),INDEX(Properties!A$1:CB$87,Formula!F57,6),INDEX(Properties!A$1:CB$87,Formula!H57,4),INDEX(Properties!A$1:CB$87,Formula!J57,6))</f>
        <v>13</v>
      </c>
      <c r="X57" s="60">
        <f>MIN(IF(INDEX(Properties!A$1:CB$87,Formula!B57,6)=0,10^6,INDEX(Properties!A$1:CB$87,Formula!B57,6)),IF(INDEX(Properties!A$1:CB$87,Formula!D57,6)=0,10^6,INDEX(Properties!A$1:CB$87,Formula!D57,6)),IF(INDEX(Properties!A$1:CB$87,Formula!F57,6)=0,10^6,INDEX(Properties!A$1:CB$87,Formula!F57,6)),IF(INDEX(Properties!A$1:CB$87,Formula!H57,6)=0,10^6,INDEX(Properties!A$1:CB$87,Formula!H57,6)),IF(INDEX(Properties!A$1:CB$87,Formula!J57,6)=0,10^6,INDEX(Properties!A$1:CB$87,Formula!J57,6)))</f>
        <v>2</v>
      </c>
      <c r="Y57" s="60">
        <f t="shared" si="3"/>
        <v>11</v>
      </c>
      <c r="Z57" s="72">
        <f>((Formula!C57)/(Formula!C57+Formula!E57+Formula!G57+Formula!I57+Formula!K57))*(INDEX(Properties!A$1:CB$87,Formula!B57,9))+((Formula!E57)/(Formula!C57+Formula!E57+Formula!G57+Formula!I57+Formula!K57))*(INDEX(Properties!A$1:CB$87,Formula!D57,9))+((Formula!G57)/(Formula!C57+Formula!E57+Formula!G57+Formula!I57+Formula!K57))*(INDEX(Properties!A$1:CB$87,Formula!F57,9))+((Formula!I57)/(Formula!C57+Formula!E57+Formula!G57+Formula!I57+Formula!K57))*(INDEX(Properties!A$1:CB$87,Formula!H57,9))+((Formula!K57)/(Formula!C57+Formula!E57+Formula!G57+Formula!I57+Formula!K57))*(INDEX(Properties!A$1:CB$87,Formula!J57,9))</f>
        <v>62.611111111111114</v>
      </c>
      <c r="AA57" s="72">
        <f>Formula!C57*(INDEX(Properties!A$1:CB$87,Formula!B57,9))+Formula!E57*(INDEX(Properties!A$1:CB$87,Formula!D57,9))+Formula!G57*(INDEX(Properties!A$1:CB$87,Formula!F57,9))+Formula!I57*(INDEX(Properties!A$1:CB$87,Formula!H57,9))+Formula!K57*(INDEX(Properties!A$1:CB$87,Formula!J57,9))</f>
        <v>1127</v>
      </c>
      <c r="AB57" s="72">
        <f>VARP(IF(INDEX(Properties!A$1:CB$87,Formula!B57,9)&lt;&gt;"",INDEX(Properties!A$1:CB$87,Formula!B57,9)),IF(INDEX(Properties!A$1:CB$87,Formula!D57,9)&lt;&gt;"",INDEX(Properties!A$1:CB$87,Formula!D57,9)),IF(INDEX(Properties!A$1:CB$87,Formula!F57,9)&lt;&gt;"",INDEX(Properties!A$1:CB$87,Formula!F57,9)),IF(INDEX(Properties!A$1:CB$87,Formula!H57,9)&lt;&gt;"",INDEX(Properties!A$1:CB$87,Formula!H57,9)),IF(INDEX(Properties!A$1:CB$87,Formula!J57,9)&lt;&gt;"",INDEX(Properties!A$1:CB$87,Formula!J57,9)))</f>
        <v>1312.56</v>
      </c>
      <c r="AC57" s="72">
        <f>MAX(INDEX(Properties!A$1:CB$87,Formula!B57,9),INDEX(Properties!A$1:CB$87,Formula!D57,9),INDEX(Properties!A$1:CB$87,Formula!F57,9),INDEX(Properties!A$1:CB$87,Formula!H57,9),INDEX(Properties!A$1:CB$87,Formula!J57,9))</f>
        <v>87</v>
      </c>
      <c r="AD57" s="72">
        <f>MIN(IF(INDEX(Properties!A$1:CB$87,Formula!B57,9)=0,10^6,INDEX(Properties!A$1:CB$87,Formula!B57,9)),IF(INDEX(Properties!A$1:CB$87,Formula!D57,9)=0,10^6,INDEX(Properties!A$1:CB$87,Formula!D57,9)),IF(INDEX(Properties!A$1:CB$87,Formula!F57,9)=0,10^6,INDEX(Properties!A$1:CB$87,Formula!F57,9)),IF(INDEX(Properties!A$1:CB$87,Formula!H57,9)=0,10^6,INDEX(Properties!A$1:CB$87,Formula!H57,9)),IF(INDEX(Properties!A$1:CB$87,Formula!J57,9)=0,10^6,INDEX(Properties!A$1:CB$87,Formula!J57,9)))</f>
        <v>7</v>
      </c>
      <c r="AE57" s="72">
        <f t="shared" si="4"/>
        <v>80</v>
      </c>
      <c r="AF57" s="51">
        <f>((Formula!C57)/(Formula!C57+Formula!E57+Formula!G57+Formula!I57+Formula!K57))*(INDEX(Properties!A$1:CB$87,Formula!B57,10))+((Formula!E57)/(Formula!C57+Formula!E57+Formula!G57+Formula!I57+Formula!K57))*(INDEX(Properties!A$1:CB$87,Formula!D57,10))+((Formula!G57)/(Formula!C57+Formula!E57+Formula!G57+Formula!I57+Formula!K57))*(INDEX(Properties!A$1:CB$87,Formula!F57,10))+((Formula!I57)/(Formula!C57+Formula!E57+Formula!G57+Formula!I57+Formula!K57))*(INDEX(Properties!A$1:CB$87,Formula!H57,10))+((Formula!K57)/(Formula!C57+Formula!E57+Formula!G57+Formula!I57+Formula!K57))*(INDEX(Properties!A$1:CB$87,Formula!J57,10))</f>
        <v>5.5</v>
      </c>
      <c r="AG57" s="51">
        <f>Formula!C57*(INDEX(Properties!A$1:CB$87,Formula!B57,10))+Formula!E57*(INDEX(Properties!A$1:CB$87,Formula!D57,10))+Formula!G57*(INDEX(Properties!A$1:CB$87,Formula!F57,10))+Formula!I57*(INDEX(Properties!A$1:CB$87,Formula!H57,10))+Formula!K57*(INDEX(Properties!A$1:CB$87,Formula!J57,10))</f>
        <v>99</v>
      </c>
      <c r="AH57" s="51">
        <f>VARP(IF(INDEX(Properties!A$1:CB$87,Formula!B57,10)&lt;&gt;"",INDEX(Properties!A$1:CB$87,Formula!B57,10)),IF(INDEX(Properties!A$1:CB$87,Formula!D57,10)&lt;&gt;"",INDEX(Properties!A$1:CB$87,Formula!D57,10)),IF(INDEX(Properties!A$1:CB$87,Formula!F57,10)&lt;&gt;"",INDEX(Properties!A$1:CB$87,Formula!F57,10)),IF(INDEX(Properties!A$1:CB$87,Formula!H57,10)&lt;&gt;"",INDEX(Properties!A$1:CB$87,Formula!H57,10)),IF(INDEX(Properties!A$1:CB$87,Formula!J57,10)&lt;&gt;"",INDEX(Properties!A$1:CB$87,Formula!J57,10)))</f>
        <v>6.64</v>
      </c>
      <c r="AI57" s="51">
        <f>MAX(INDEX(Properties!A$1:CB$87,Formula!B57,10),INDEX(Properties!A$1:CB$87,Formula!D57,10),INDEX(Properties!A$1:CB$87,Formula!F57,10),INDEX(Properties!A$1:CB$87,Formula!H57,10),INDEX(Properties!A$1:CB$87,Formula!J57,10))</f>
        <v>7</v>
      </c>
      <c r="AJ57" s="51">
        <f>MIN(IF(INDEX(Properties!A$1:CB$87,Formula!B57,10)=0,10^6,INDEX(Properties!A$1:CB$87,Formula!B57,10)),IF(INDEX(Properties!A$1:CB$87,Formula!D57,10)=0,10^6,INDEX(Properties!A$1:CB$87,Formula!D57,10)),IF(INDEX(Properties!A$1:CB$87,Formula!F57,10)=0,10^6,INDEX(Properties!A$1:CB$87,Formula!F57,10)),IF(INDEX(Properties!A$1:CB$87,Formula!H57,10)=0,10^6,INDEX(Properties!A$1:CB$87,Formula!H57,10)),IF(INDEX(Properties!A$1:CB$87,Formula!J57,10)=0,10^6,INDEX(Properties!A$1:CB$87,Formula!J57,10)))</f>
        <v>2</v>
      </c>
      <c r="AK57" s="51">
        <f t="shared" si="5"/>
        <v>5</v>
      </c>
      <c r="AL57" s="57">
        <f>((Formula!C57)/(Formula!C57+Formula!E57+Formula!G57+Formula!I57+Formula!K57))*(INDEX(Properties!A$1:CB$87,Formula!B57,11))+((Formula!E57)/(Formula!C57+Formula!E57+Formula!G57+Formula!I57+Formula!K57))*(INDEX(Properties!A$1:CB$87,Formula!D57,11))+((Formula!G57)/(Formula!C57+Formula!E57+Formula!G57+Formula!I57+Formula!K57))*(INDEX(Properties!A$1:CB$87,Formula!F57,11))+((Formula!I57)/(Formula!C57+Formula!E57+Formula!G57+Formula!I57+Formula!K57))*(INDEX(Properties!A$1:CB$87,Formula!H57,11))+((Formula!K57)/(Formula!C57+Formula!E57+Formula!G57+Formula!I57+Formula!K57))*(INDEX(Properties!A$1:CB$87,Formula!J57,11))</f>
        <v>2</v>
      </c>
      <c r="AM57" s="57">
        <f>Formula!C57*(INDEX(Properties!A$1:CB$87,Formula!B57,11))+Formula!E57*(INDEX(Properties!A$1:CB$87,Formula!D57,11))+Formula!G57*(INDEX(Properties!A$1:CB$87,Formula!F57,11))+Formula!I57*(INDEX(Properties!A$1:CB$87,Formula!H57,11))+Formula!K57*(INDEX(Properties!A$1:CB$87,Formula!J57,11))</f>
        <v>36</v>
      </c>
      <c r="AN57" s="57">
        <f>VARP(IF(INDEX(Properties!A$1:CB$87,Formula!B57,11)&lt;&gt;"",INDEX(Properties!A$1:CB$87,Formula!B57,11)),IF(INDEX(Properties!A$1:CB$87,Formula!D57,11)&lt;&gt;"",INDEX(Properties!A$1:CB$87,Formula!D57,11)),IF(INDEX(Properties!A$1:CB$87,Formula!F57,11)&lt;&gt;"",INDEX(Properties!A$1:CB$87,Formula!F57,11)),IF(INDEX(Properties!A$1:CB$87,Formula!H57,11)&lt;&gt;"",INDEX(Properties!A$1:CB$87,Formula!H57,11)),IF(INDEX(Properties!A$1:CB$87,Formula!J57,11)&lt;&gt;"",INDEX(Properties!A$1:CB$87,Formula!J57,11)))</f>
        <v>0.64</v>
      </c>
      <c r="AO57" s="57">
        <f>MAX(INDEX(Properties!A$1:CB$87,Formula!B57,11),INDEX(Properties!A$1:CB$87,Formula!D57,11),INDEX(Properties!A$1:CB$87,Formula!F57,11),INDEX(Properties!A$1:CB$87,Formula!H57,11),INDEX(Properties!A$1:CB$87,Formula!J57,11))</f>
        <v>2</v>
      </c>
      <c r="AP57" s="57">
        <f>MIN(IF(Formula!B57=87,10^6,INDEX(Properties!A$1:CB$87,Formula!B57,11)),IF((Formula!D57)=87,10^6,INDEX(Properties!A$1:CB$87,Formula!D57,11)),IF((Formula!F57)=87,10^6,INDEX(Properties!A$1:CB$87,Formula!F57,11)),IF((Formula!H57)=87,10^6,INDEX(Properties!A$1:CB$87,Formula!H57,11)),IF(Formula!J57=87,10^6,INDEX(Properties!A$1:CB$87,Formula!J57,11)))</f>
        <v>2</v>
      </c>
      <c r="AQ57" s="57">
        <f t="shared" si="6"/>
        <v>0</v>
      </c>
      <c r="AR57" s="78">
        <f>((Formula!C57)/(Formula!C57+Formula!E57+Formula!G57+Formula!I57+Formula!K57))*(INDEX(Properties!A$1:CB$87,Formula!B57,12))+((Formula!E57)/(Formula!C57+Formula!E57+Formula!G57+Formula!I57+Formula!K57))*(INDEX(Properties!A$1:CB$87,Formula!D57,12))+((Formula!G57)/(Formula!C57+Formula!E57+Formula!G57+Formula!I57+Formula!K57))*(INDEX(Properties!A$1:CB$87,Formula!F57,12))+((Formula!I57)/(Formula!C57+Formula!E57+Formula!G57+Formula!I57+Formula!K57))*(INDEX(Properties!A$1:CB$87,Formula!H57,12))+((Formula!K57)/(Formula!C57+Formula!E57+Formula!G57+Formula!I57+Formula!K57))*(INDEX(Properties!A$1:CB$87,Formula!J57,12))</f>
        <v>2.3888888888888888</v>
      </c>
      <c r="AS57" s="78">
        <f>Formula!C57*(INDEX(Properties!A$1:CB$87,Formula!B57,12))+Formula!E57*(INDEX(Properties!A$1:CB$87,Formula!D57,12))+Formula!G57*(INDEX(Properties!A$1:CB$87,Formula!F57,12))+Formula!I57*(INDEX(Properties!A$1:CB$87,Formula!H57,12))+Formula!K57*(INDEX(Properties!A$1:CB$87,Formula!J57,12))</f>
        <v>43</v>
      </c>
      <c r="AT57" s="78">
        <f>VARP(IF(INDEX(Properties!A$1:CB$87,Formula!B57,12)&lt;&gt;"",INDEX(Properties!A$1:CB$87,Formula!B57,12)),IF(INDEX(Properties!A$1:CB$87,Formula!D57,12)&lt;&gt;"",INDEX(Properties!A$1:CB$87,Formula!D57,12)),IF(INDEX(Properties!A$1:CB$87,Formula!F57,12)&lt;&gt;"",INDEX(Properties!A$1:CB$87,Formula!F57,12)),IF(INDEX(Properties!A$1:CB$87,Formula!H57,12)&lt;&gt;"",INDEX(Properties!A$1:CB$87,Formula!H57,12)),IF(INDEX(Properties!A$1:CB$87,Formula!J57,12)&lt;&gt;"",INDEX(Properties!A$1:CB$87,Formula!J57,12)))</f>
        <v>2.4</v>
      </c>
      <c r="AU57" s="78">
        <f>MAX(INDEX(Properties!A$1:CB$87,Formula!B57,12),INDEX(Properties!A$1:CB$87,Formula!D57,12),INDEX(Properties!A$1:CB$87,Formula!F57,12),INDEX(Properties!A$1:CB$87,Formula!H57,12),INDEX(Properties!A$1:CB$87,Formula!J57,12))</f>
        <v>4</v>
      </c>
      <c r="AV57" s="78">
        <f>MIN(IF(Formula!B57=87,10^6,INDEX(Properties!A$1:CB$87,Formula!B57,12)),IF((Formula!D57)=87,10^6,INDEX(Properties!A$1:CB$87,Formula!D57,12)),IF((Formula!F57)=87,10^6,INDEX(Properties!A$1:CB$87,Formula!F57,12)),IF((Formula!H57)=87,10^6,INDEX(Properties!A$1:CB$87,Formula!H57,12)),IF(Formula!J57=87,10^6,INDEX(Properties!A$1:CB$87,Formula!J57,12)))</f>
        <v>0</v>
      </c>
      <c r="AW57" s="78">
        <f t="shared" si="7"/>
        <v>4</v>
      </c>
      <c r="AX57" s="45">
        <f>((Formula!C57)/(Formula!C57+Formula!E57+Formula!G57+Formula!I57+Formula!K57))*(INDEX(Properties!A$1:CB$87,Formula!B57,13))+((Formula!E57)/(Formula!C57+Formula!E57+Formula!G57+Formula!I57+Formula!K57))*(INDEX(Properties!A$1:CB$87,Formula!D57,13))+((Formula!G57)/(Formula!C57+Formula!E57+Formula!G57+Formula!I57+Formula!K57))*(INDEX(Properties!A$1:CB$87,Formula!F57,13))+((Formula!I57)/(Formula!C57+Formula!E57+Formula!G57+Formula!I57+Formula!K57))*(INDEX(Properties!A$1:CB$87,Formula!H57,13))+((Formula!K57)/(Formula!C57+Formula!E57+Formula!G57+Formula!I57+Formula!K57))*(INDEX(Properties!A$1:CB$87,Formula!J57,13))</f>
        <v>5.5555555555555552E-2</v>
      </c>
      <c r="AY57" s="45">
        <f>Formula!C57*(INDEX(Properties!A$1:CB$87,Formula!B57,13))+Formula!E57*(INDEX(Properties!A$1:CB$87,Formula!D57,13))+Formula!G57*(INDEX(Properties!A$1:CB$87,Formula!F57,13))+Formula!I57*(INDEX(Properties!A$1:CB$87,Formula!H57,13))+Formula!K57*(INDEX(Properties!A$1:CB$87,Formula!J57,13))</f>
        <v>1</v>
      </c>
      <c r="AZ57" s="45">
        <f>VARP(IF(INDEX(Properties!A$1:CB$87,Formula!B57,13)&lt;&gt;"",INDEX(Properties!A$1:CB$87,Formula!B57,13)),IF(INDEX(Properties!A$1:CB$87,Formula!D57,13)&lt;&gt;"",INDEX(Properties!A$1:CB$87,Formula!D57,13)),IF(INDEX(Properties!A$1:CB$87,Formula!F57,13)&lt;&gt;"",INDEX(Properties!A$1:CB$87,Formula!F57,13)),IF(INDEX(Properties!A$1:CB$87,Formula!H57,13)&lt;&gt;"",INDEX(Properties!A$1:CB$87,Formula!H57,13)),IF(INDEX(Properties!A$1:CB$87,Formula!J57,13)&lt;&gt;"",INDEX(Properties!A$1:CB$87,Formula!J57,13)))</f>
        <v>0.16</v>
      </c>
      <c r="BA57" s="45">
        <f>MAX(INDEX(Properties!A$1:CB$87,Formula!B57,13),INDEX(Properties!A$1:CB$87,Formula!D57,13),INDEX(Properties!A$1:CB$87,Formula!F57,13),INDEX(Properties!A$1:CB$87,Formula!H57,13),INDEX(Properties!A$1:CB$87,Formula!J57,13))</f>
        <v>1</v>
      </c>
      <c r="BB57" s="45">
        <f>MIN(IF(Formula!B57=87,10^6,INDEX(Properties!A$1:CB$87,Formula!B57,13)),IF((Formula!D57)=87,10^6,INDEX(Properties!A$1:CB$87,Formula!D57,13)),IF((Formula!F57)=87,10^6,INDEX(Properties!A$1:CB$87,Formula!F57,13)),IF((Formula!H57)=87,10^6,INDEX(Properties!A$1:CB$87,Formula!H57,13)),IF(Formula!J57=87,10^6,INDEX(Properties!A$1:CB$87,Formula!J57,13)))</f>
        <v>0</v>
      </c>
      <c r="BC57" s="45">
        <f t="shared" si="8"/>
        <v>1</v>
      </c>
      <c r="BD57" s="63">
        <f>((Formula!C57)/(Formula!C57+Formula!E57+Formula!G57+Formula!I57+Formula!K57))*(INDEX(Properties!A$1:CB$87,Formula!B57,14))+((Formula!E57)/(Formula!C57+Formula!E57+Formula!G57+Formula!I57+Formula!K57))*(INDEX(Properties!A$1:CB$87,Formula!D57,14))+((Formula!G57)/(Formula!C57+Formula!E57+Formula!G57+Formula!I57+Formula!K57))*(INDEX(Properties!A$1:CB$87,Formula!F57,14))+((Formula!I57)/(Formula!C57+Formula!E57+Formula!G57+Formula!I57+Formula!K57))*(INDEX(Properties!A$1:CB$87,Formula!H57,14))+((Formula!K57)/(Formula!C57+Formula!E57+Formula!G57+Formula!I57+Formula!K57))*(INDEX(Properties!A$1:CB$87,Formula!J57,14))</f>
        <v>0</v>
      </c>
      <c r="BE57" s="63">
        <f>Formula!C57*(INDEX(Properties!A$1:CB$87,Formula!B57,14))+Formula!E57*(INDEX(Properties!A$1:CB$87,Formula!D57,14))+Formula!G57*(INDEX(Properties!A$1:CB$87,Formula!F57,14))+Formula!I57*(INDEX(Properties!A$1:CB$87,Formula!H57,14))+Formula!K57*(INDEX(Properties!A$1:CB$87,Formula!J57,14))</f>
        <v>0</v>
      </c>
      <c r="BF57" s="63">
        <f>VARP(IF(INDEX(Properties!A$1:CB$87,Formula!B57,14)&lt;&gt;"",INDEX(Properties!A$1:CB$87,Formula!B57,14)),IF(INDEX(Properties!A$1:CB$87,Formula!D57,14)&lt;&gt;"",INDEX(Properties!A$1:CB$87,Formula!D57,14)),IF(INDEX(Properties!A$1:CB$87,Formula!F57,14)&lt;&gt;"",INDEX(Properties!A$1:CB$87,Formula!F57,14)),IF(INDEX(Properties!A$1:CB$87,Formula!H57,14)&lt;&gt;"",INDEX(Properties!A$1:CB$87,Formula!H57,14)),IF(INDEX(Properties!A$1:CB$87,Formula!J57,14)&lt;&gt;"",INDEX(Properties!A$1:CB$87,Formula!J57,14)))</f>
        <v>0</v>
      </c>
      <c r="BG57" s="63">
        <f>MAX(INDEX(Properties!A$1:CB$87,Formula!B57,14),INDEX(Properties!A$1:CB$87,Formula!D57,14),INDEX(Properties!A$1:CB$87,Formula!F57,14),INDEX(Properties!A$1:CB$87,Formula!H57,14),INDEX(Properties!A$1:CB$87,Formula!J57,14))</f>
        <v>0</v>
      </c>
      <c r="BH57" s="63">
        <f>MIN(IF(Formula!B57=87,10^6,INDEX(Properties!A$1:CB$87,Formula!B57,14)),IF((Formula!D57)=87,10^6,INDEX(Properties!A$1:CB$87,Formula!D57,14)),IF((Formula!F57)=87,10^6,INDEX(Properties!A$1:CB$87,Formula!F57,14)),IF((Formula!H57)=87,10^6,INDEX(Properties!A$1:CB$87,Formula!H57,14)),IF(Formula!J57=87,10^6,INDEX(Properties!A$1:CB$87,Formula!J57,14)))</f>
        <v>0</v>
      </c>
      <c r="BI57" s="63">
        <f t="shared" si="9"/>
        <v>0</v>
      </c>
      <c r="BJ57" s="75">
        <f>((Formula!C57)/(Formula!C57+Formula!E57+Formula!G57+Formula!I57+Formula!K57))*(INDEX(Properties!A$1:CB$87,Formula!B57,19))+((Formula!E57)/(Formula!C57+Formula!E57+Formula!G57+Formula!I57+Formula!K57))*(INDEX(Properties!A$1:CB$87,Formula!D57,19))+((Formula!G57)/(Formula!C57+Formula!E57+Formula!G57+Formula!I57+Formula!K57))*(INDEX(Properties!A$1:CB$87,Formula!F57,19))+((Formula!I57)/(Formula!C57+Formula!E57+Formula!G57+Formula!I57+Formula!K57))*(INDEX(Properties!A$1:CB$87,Formula!H57,19))+((Formula!K57)/(Formula!C57+Formula!E57+Formula!G57+Formula!I57+Formula!K57))*(INDEX(Properties!A$1:CB$87,Formula!J57,19))</f>
        <v>4.4444444444444446</v>
      </c>
      <c r="BK57" s="75">
        <f>Formula!C57*(INDEX(Properties!A$1:CB$87,Formula!B57,19))+Formula!E57*(INDEX(Properties!A$1:CB$87,Formula!D57,19))+Formula!G57*(INDEX(Properties!A$1:CB$87,Formula!F57,19))+Formula!I57*(INDEX(Properties!A$1:CB$87,Formula!H57,19))+Formula!K57*(INDEX(Properties!A$1:CB$87,Formula!J57,19))</f>
        <v>80</v>
      </c>
      <c r="BL57" s="75">
        <f>VARP(IF(INDEX(Properties!A$1:CB$87,Formula!B57,19)&lt;&gt;"",INDEX(Properties!A$1:CB$87,Formula!B57,19)),IF(INDEX(Properties!A$1:CB$87,Formula!D57,19)&lt;&gt;"",INDEX(Properties!A$1:CB$87,Formula!D57,19)),IF(INDEX(Properties!A$1:CB$87,Formula!F57,19)&lt;&gt;"",INDEX(Properties!A$1:CB$87,Formula!F57,19)),IF(INDEX(Properties!A$1:CB$87,Formula!H57,19)&lt;&gt;"",INDEX(Properties!A$1:CB$87,Formula!H57,19)),IF(INDEX(Properties!A$1:CB$87,Formula!J57,19)&lt;&gt;"",INDEX(Properties!A$1:CB$87,Formula!J57,19)))</f>
        <v>3.76</v>
      </c>
      <c r="BM57" s="75">
        <f>MAX(INDEX(Properties!A$1:CB$87,Formula!B57,19),INDEX(Properties!A$1:CB$87,Formula!D57,19),INDEX(Properties!A$1:CB$87,Formula!F57,19),INDEX(Properties!A$1:CB$87,Formula!H57,19),INDEX(Properties!A$1:CB$87,Formula!J57,19))</f>
        <v>6</v>
      </c>
      <c r="BN57" s="75">
        <f>MIN(IF(INDEX(Properties!A$1:CB$87,Formula!B57,19)=0,10^6,INDEX(Properties!A$1:CB$87,Formula!B57,19)),IF(INDEX(Properties!A$1:CB$87,Formula!D57,19)=0,10^6,INDEX(Properties!A$1:CB$87,Formula!D57,19)),IF(INDEX(Properties!A$1:CB$87,Formula!F57,19)=0,10^6,INDEX(Properties!A$1:CB$87,Formula!F57,19)),IF(INDEX(Properties!A$1:CB$87,Formula!H57,19)=0,10^6,INDEX(Properties!A$1:CB$87,Formula!H57,19)),IF(INDEX(Properties!A$1:CB$87,Formula!J57,19)=0,10^6,INDEX(Properties!A$1:CB$87,Formula!J57,19)))</f>
        <v>2</v>
      </c>
      <c r="BO57" s="75">
        <f t="shared" si="10"/>
        <v>4</v>
      </c>
      <c r="BP57" s="48">
        <f>((Formula!C57)/(Formula!C57+Formula!E57+Formula!G57+Formula!I57+Formula!K57))*(INDEX(Properties!A$1:CB$87,Formula!B57,20))+((Formula!E57)/(Formula!C57+Formula!E57+Formula!G57+Formula!I57+Formula!K57))*(INDEX(Properties!A$1:CB$87,Formula!D57,20))+((Formula!G57)/(Formula!C57+Formula!E57+Formula!G57+Formula!I57+Formula!K57))*(INDEX(Properties!A$1:CB$87,Formula!F57,20))+((Formula!I57)/(Formula!C57+Formula!E57+Formula!G57+Formula!I57+Formula!K57))*(INDEX(Properties!A$1:CB$87,Formula!H57,20))+((Formula!K57)/(Formula!C57+Formula!E57+Formula!G57+Formula!I57+Formula!K57))*(INDEX(Properties!A$1:CB$87,Formula!J57,20))</f>
        <v>4.3888888888888893</v>
      </c>
      <c r="BQ57" s="48">
        <f>Formula!C57*(INDEX(Properties!A$1:CB$87,Formula!B57,20))+Formula!E57*(INDEX(Properties!A$1:CB$87,Formula!D57,20))+Formula!G57*(INDEX(Properties!A$1:CB$87,Formula!F57,20))+Formula!I57*(INDEX(Properties!A$1:CB$87,Formula!H57,20))+Formula!K57*(INDEX(Properties!A$1:CB$87,Formula!J57,20))</f>
        <v>79</v>
      </c>
      <c r="BR57" s="48">
        <f>VARP(IF(INDEX(Properties!A$1:CB$87,Formula!B57,20)&lt;&gt;"",INDEX(Properties!A$1:CB$87,Formula!B57,20)),IF(INDEX(Properties!A$1:CB$87,Formula!D57,20)&lt;&gt;"",INDEX(Properties!A$1:CB$87,Formula!D57,20)),IF(INDEX(Properties!A$1:CB$87,Formula!F57,20)&lt;&gt;"",INDEX(Properties!A$1:CB$87,Formula!F57,20)),IF(INDEX(Properties!A$1:CB$87,Formula!H57,20)&lt;&gt;"",INDEX(Properties!A$1:CB$87,Formula!H57,20)),IF(INDEX(Properties!A$1:CB$87,Formula!J57,20)&lt;&gt;"",INDEX(Properties!A$1:CB$87,Formula!J57,20)))</f>
        <v>3.84</v>
      </c>
      <c r="BS57" s="48">
        <f>MAX(INDEX(Properties!A$1:CB$87,Formula!B57,20),INDEX(Properties!A$1:CB$87,Formula!D57,20),INDEX(Properties!A$1:CB$87,Formula!F57,20),INDEX(Properties!A$1:CB$87,Formula!H57,20),INDEX(Properties!A$1:CB$87,Formula!J57,20))</f>
        <v>6</v>
      </c>
      <c r="BT57" s="48">
        <f>MIN(IF(INDEX(Properties!A$1:CB$87,Formula!B57,20)=0,10^6,INDEX(Properties!A$1:CB$87,Formula!B57,20)),IF(INDEX(Properties!A$1:CB$87,Formula!D57,20)=0,10^6,INDEX(Properties!A$1:CB$87,Formula!D57,20)),IF(INDEX(Properties!A$1:CB$87,Formula!F57,20)=0,10^6,INDEX(Properties!A$1:CB$87,Formula!F57,20)),IF(INDEX(Properties!A$1:CB$87,Formula!H57,20)=0,10^6,INDEX(Properties!A$1:CB$87,Formula!H57,20)),IF(INDEX(Properties!A$1:CB$87,Formula!J57,20)=0,10^6,INDEX(Properties!A$1:CB$87,Formula!J57,20)))</f>
        <v>2</v>
      </c>
      <c r="BU57" s="48">
        <f t="shared" si="11"/>
        <v>4</v>
      </c>
      <c r="BV57" s="66">
        <f>((Formula!C57)/(Formula!C57+Formula!E57+Formula!G57+Formula!I57+Formula!K57))*(INDEX(Properties!A$1:CB$87,Formula!B57,21))+((Formula!E57)/(Formula!C57+Formula!E57+Formula!G57+Formula!I57+Formula!K57))*(INDEX(Properties!A$1:CB$87,Formula!D57,21))+((Formula!G57)/(Formula!C57+Formula!E57+Formula!G57+Formula!I57+Formula!K57))*(INDEX(Properties!A$1:CB$87,Formula!F57,21))+((Formula!I57)/(Formula!C57+Formula!E57+Formula!G57+Formula!I57+Formula!K57))*(INDEX(Properties!A$1:CB$87,Formula!H57,21))+((Formula!K57)/(Formula!C57+Formula!E57+Formula!G57+Formula!I57+Formula!K57))*(INDEX(Properties!A$1:CB$87,Formula!J57,21))</f>
        <v>4.3333333333333339</v>
      </c>
      <c r="BW57" s="66">
        <f>Formula!C57*(INDEX(Properties!A$1:CB$87,Formula!B57,21))+Formula!E57*(INDEX(Properties!A$1:CB$87,Formula!D57,21))+Formula!G57*(INDEX(Properties!A$1:CB$87,Formula!F57,21))+Formula!I57*(INDEX(Properties!A$1:CB$87,Formula!H57,21))+Formula!K57*(INDEX(Properties!A$1:CB$87,Formula!J57,21))</f>
        <v>78</v>
      </c>
      <c r="BX57" s="66">
        <f>VARP(IF(INDEX(Properties!A$1:CB$87,Formula!B57,21)&lt;&gt;"",INDEX(Properties!A$1:CB$87,Formula!B57,21)),IF(INDEX(Properties!A$1:CB$87,Formula!D57,21)&lt;&gt;"",INDEX(Properties!A$1:CB$87,Formula!D57,21)),IF(INDEX(Properties!A$1:CB$87,Formula!F57,21)&lt;&gt;"",INDEX(Properties!A$1:CB$87,Formula!F57,21)),IF(INDEX(Properties!A$1:CB$87,Formula!H57,21)&lt;&gt;"",INDEX(Properties!A$1:CB$87,Formula!H57,21)),IF(INDEX(Properties!A$1:CB$87,Formula!J57,21)&lt;&gt;"",INDEX(Properties!A$1:CB$87,Formula!J57,21)))</f>
        <v>4.24</v>
      </c>
      <c r="BY57" s="66">
        <f>MAX(INDEX(Properties!A$1:CB$87,Formula!B57,21),INDEX(Properties!A$1:CB$87,Formula!D57,21),INDEX(Properties!A$1:CB$87,Formula!F57,21),INDEX(Properties!A$1:CB$87,Formula!H57,21),INDEX(Properties!A$1:CB$87,Formula!J57,21))</f>
        <v>6</v>
      </c>
      <c r="BZ57" s="66">
        <f>MIN(IF(INDEX(Properties!A$1:CB$87,Formula!B57,21)=0,10^6,INDEX(Properties!A$1:CB$87,Formula!B57,21)),IF(INDEX(Properties!A$1:CB$87,Formula!D57,21)=0,10^6,INDEX(Properties!A$1:CB$87,Formula!D57,21)),IF(INDEX(Properties!A$1:CB$87,Formula!F57,21)=0,10^6,INDEX(Properties!A$1:CB$87,Formula!F57,21)),IF(INDEX(Properties!A$1:CB$87,Formula!H57,21)=0,10^6,INDEX(Properties!A$1:CB$87,Formula!H57,21)),IF(INDEX(Properties!A$1:CB$87,Formula!J57,21)=0,10^6,INDEX(Properties!A$1:CB$87,Formula!J57,21)))</f>
        <v>1</v>
      </c>
      <c r="CA57" s="66">
        <f t="shared" si="12"/>
        <v>5</v>
      </c>
      <c r="CB57" s="81">
        <f>((Formula!C57)/(Formula!C57+Formula!E57+Formula!G57+Formula!I57+Formula!K57))*(INDEX(Properties!A$1:CB$87,Formula!B57,23))+((Formula!E57)/(Formula!C57+Formula!E57+Formula!G57+Formula!I57+Formula!K57))*(INDEX(Properties!A$1:CB$87,Formula!D57,23))+((Formula!G57)/(Formula!C57+Formula!E57+Formula!G57+Formula!I57+Formula!K57))*(INDEX(Properties!A$1:CB$87,Formula!F57,23))+((Formula!I57)/(Formula!C57+Formula!E57+Formula!G57+Formula!I57+Formula!K57))*(INDEX(Properties!A$1:CB$87,Formula!H57,23))+((Formula!K57)/(Formula!C57+Formula!E57+Formula!G57+Formula!I57+Formula!K57))*(INDEX(Properties!A$1:CB$87,Formula!J57,23))</f>
        <v>1.1111111111111112</v>
      </c>
      <c r="CC57" s="81">
        <f>Formula!C57*(INDEX(Properties!A$1:CB$87,Formula!B57,23))+Formula!E57*(INDEX(Properties!A$1:CB$87,Formula!D57,23))+Formula!G57*(INDEX(Properties!A$1:CB$87,Formula!F57,23))+Formula!I57*(INDEX(Properties!A$1:CB$87,Formula!H57,23))+Formula!K57*(INDEX(Properties!A$1:CB$87,Formula!J57,23))</f>
        <v>20</v>
      </c>
      <c r="CD57" s="81">
        <f>VARP(IF(INDEX(Properties!A$1:CB$87,Formula!B57,23)&lt;&gt;"",INDEX(Properties!A$1:CB$87,Formula!B57,23)),IF(INDEX(Properties!A$1:CB$87,Formula!D57,23)&lt;&gt;"",INDEX(Properties!A$1:CB$87,Formula!D57,23)),IF(INDEX(Properties!A$1:CB$87,Formula!F57,23)&lt;&gt;"",INDEX(Properties!A$1:CB$87,Formula!F57,23)),IF(INDEX(Properties!A$1:CB$87,Formula!H57,23)&lt;&gt;"",INDEX(Properties!A$1:CB$87,Formula!H57,23)),IF(INDEX(Properties!A$1:CB$87,Formula!J57,23)&lt;&gt;"",INDEX(Properties!A$1:CB$87,Formula!J57,23)))</f>
        <v>1.84</v>
      </c>
      <c r="CE57" s="81">
        <f>MAX(INDEX(Properties!A$1:CB$87,Formula!B57,23),INDEX(Properties!A$1:CB$87,Formula!D57,23),INDEX(Properties!A$1:CB$87,Formula!F57,23),INDEX(Properties!A$1:CB$87,Formula!H57,23),INDEX(Properties!A$1:CB$87,Formula!J57,23))</f>
        <v>3</v>
      </c>
      <c r="CF57" s="81">
        <f>MIN(IF(Formula!B57=87,10^6,INDEX(Properties!A$1:CB$87,Formula!B57,23)),IF((Formula!D57)=87,10^6,INDEX(Properties!A$1:CB$87,Formula!D57,23)),IF((Formula!F57)=87,10^6,INDEX(Properties!A$1:CB$87,Formula!F57,23)),IF((Formula!H57)=87,10^6,INDEX(Properties!A$1:CB$87,Formula!H57,23)),IF(Formula!J57=87,10^6,INDEX(Properties!A$1:CB$87,Formula!J57,23)))</f>
        <v>0</v>
      </c>
      <c r="CG57" s="81">
        <f t="shared" si="13"/>
        <v>3</v>
      </c>
      <c r="CH57" s="39">
        <f>((Formula!C57)/(Formula!C57+Formula!E57+Formula!G57+Formula!I57+Formula!K57))*(INDEX(Properties!A$1:CB$87,Formula!B57,26))+((Formula!E57)/(Formula!C57+Formula!E57+Formula!G57+Formula!I57+Formula!K57))*(INDEX(Properties!A$1:CB$87,Formula!D57,26))+((Formula!G57)/(Formula!C57+Formula!E57+Formula!G57+Formula!I57+Formula!K57))*(INDEX(Properties!A$1:CB$87,Formula!F57,26))+((Formula!I57)/(Formula!C57+Formula!E57+Formula!G57+Formula!I57+Formula!K57))*(INDEX(Properties!A$1:CB$87,Formula!H57,26))+((Formula!K57)/(Formula!C57+Formula!E57+Formula!G57+Formula!I57+Formula!K57))*(INDEX(Properties!A$1:CB$87,Formula!J57,26))</f>
        <v>10.616927777777779</v>
      </c>
      <c r="CI57" s="39">
        <f>Formula!C57*(INDEX(Properties!A$1:CB$87,Formula!B57,26))+Formula!E57*(INDEX(Properties!A$1:CB$87,Formula!D57,26))+Formula!G57*(INDEX(Properties!A$1:CB$87,Formula!F57,26))+Formula!I57*(INDEX(Properties!A$1:CB$87,Formula!H57,26))+Formula!K57*(INDEX(Properties!A$1:CB$87,Formula!J57,26))</f>
        <v>191.10470000000001</v>
      </c>
      <c r="CJ57" s="39">
        <f>VARP(IF(INDEX(Properties!A$1:CB$87,Formula!B57,26)&lt;&gt;"",INDEX(Properties!A$1:CB$87,Formula!B57,26)),IF(INDEX(Properties!A$1:CB$87,Formula!D57,26)&lt;&gt;"",INDEX(Properties!A$1:CB$87,Formula!D57,26)),IF(INDEX(Properties!A$1:CB$87,Formula!F57,26)&lt;&gt;"",INDEX(Properties!A$1:CB$87,Formula!F57,26)),IF(INDEX(Properties!A$1:CB$87,Formula!H57,26)&lt;&gt;"",INDEX(Properties!A$1:CB$87,Formula!H57,26)),IF(INDEX(Properties!A$1:CB$87,Formula!J57,26)&lt;&gt;"",INDEX(Properties!A$1:CB$87,Formula!J57,26)))</f>
        <v>19.381428754400005</v>
      </c>
      <c r="CK57" s="39">
        <f>MAX(INDEX(Properties!A$1:CB$87,Formula!B57,26),INDEX(Properties!A$1:CB$87,Formula!D57,26),INDEX(Properties!A$1:CB$87,Formula!F57,26),INDEX(Properties!A$1:CB$87,Formula!H57,26),INDEX(Properties!A$1:CB$87,Formula!J57,26))</f>
        <v>13.6181</v>
      </c>
      <c r="CL57" s="39">
        <f>MIN(IF(INDEX(Properties!A$1:CB$87,Formula!B57,26)=0,10^6,INDEX(Properties!A$1:CB$87,Formula!B57,26)),IF(INDEX(Properties!A$1:CB$87,Formula!D57,26)=0,10^6,INDEX(Properties!A$1:CB$87,Formula!D57,26)),IF(INDEX(Properties!A$1:CB$87,Formula!F57,26)=0,10^6,INDEX(Properties!A$1:CB$87,Formula!F57,26)),IF(INDEX(Properties!A$1:CB$87,Formula!H57,26)=0,10^6,INDEX(Properties!A$1:CB$87,Formula!H57,26)),IF(INDEX(Properties!A$1:CB$87,Formula!J57,26)=0,10^6,INDEX(Properties!A$1:CB$87,Formula!J57,26)))</f>
        <v>5.5769000000000002</v>
      </c>
      <c r="CM57" s="39">
        <f t="shared" si="14"/>
        <v>8.0411999999999999</v>
      </c>
      <c r="CN57" s="54">
        <f>((Formula!C57)/(Formula!C57+Formula!E57+Formula!G57+Formula!I57+Formula!K57))*(INDEX(Properties!A$1:CB$87,Formula!B57,30))+((Formula!E57)/(Formula!C57+Formula!E57+Formula!G57+Formula!I57+Formula!K57))*(INDEX(Properties!A$1:CB$87,Formula!D57,30))+((Formula!G57)/(Formula!C57+Formula!E57+Formula!G57+Formula!I57+Formula!K57))*(INDEX(Properties!A$1:CB$87,Formula!F57,30))+((Formula!I57)/(Formula!C57+Formula!E57+Formula!G57+Formula!I57+Formula!K57))*(INDEX(Properties!A$1:CB$87,Formula!H57,30))+((Formula!K57)/(Formula!C57+Formula!E57+Formula!G57+Formula!I57+Formula!K57))*(INDEX(Properties!A$1:CB$87,Formula!J57,30))</f>
        <v>2.5344444444444445</v>
      </c>
      <c r="CO57" s="54">
        <f>Formula!C57*(INDEX(Properties!A$1:CB$87,Formula!B57,30))+Formula!E57*(INDEX(Properties!A$1:CB$87,Formula!D57,30))+Formula!G57*(INDEX(Properties!A$1:CB$87,Formula!F57,30))+Formula!I57*(INDEX(Properties!A$1:CB$87,Formula!H57,30))+Formula!K57*(INDEX(Properties!A$1:CB$87,Formula!J57,30))</f>
        <v>45.62</v>
      </c>
      <c r="CP57" s="54">
        <f>VARP(IF(INDEX(Properties!A$1:CB$87,Formula!B57,30)&lt;&gt;"",INDEX(Properties!A$1:CB$87,Formula!B57,30)),IF(INDEX(Properties!A$1:CB$87,Formula!D57,30)&lt;&gt;"",INDEX(Properties!A$1:CB$87,Formula!D57,30)),IF(INDEX(Properties!A$1:CB$87,Formula!F57,30)&lt;&gt;"",INDEX(Properties!A$1:CB$87,Formula!F57,30)),IF(INDEX(Properties!A$1:CB$87,Formula!H57,30)&lt;&gt;"",INDEX(Properties!A$1:CB$87,Formula!H57,30)),IF(INDEX(Properties!A$1:CB$87,Formula!J57,30)&lt;&gt;"",INDEX(Properties!A$1:CB$87,Formula!J57,30)))</f>
        <v>1.3427839999999991</v>
      </c>
      <c r="CQ57" s="54">
        <f>MAX(INDEX(Properties!A$1:CB$87,Formula!B57,30),INDEX(Properties!A$1:CB$87,Formula!D57,30),INDEX(Properties!A$1:CB$87,Formula!F57,30),INDEX(Properties!A$1:CB$87,Formula!H57,30),INDEX(Properties!A$1:CB$87,Formula!J57,30))</f>
        <v>3.44</v>
      </c>
      <c r="CR57" s="54">
        <f>MIN(IF(INDEX(Properties!A$1:CB$87,Formula!B57,30)=0,10^6,INDEX(Properties!A$1:CB$87,Formula!B57,30)),IF(INDEX(Properties!A$1:CB$87,Formula!D57,30)=0,10^6,INDEX(Properties!A$1:CB$87,Formula!D57,30)),IF(INDEX(Properties!A$1:CB$87,Formula!F57,30)=0,10^6,INDEX(Properties!A$1:CB$87,Formula!F57,30)),IF(INDEX(Properties!A$1:CB$87,Formula!H57,30)=0,10^6,INDEX(Properties!A$1:CB$87,Formula!H57,30)),IF(INDEX(Properties!A$1:CB$87,Formula!J57,30)=0,10^6,INDEX(Properties!A$1:CB$87,Formula!J57,30)))</f>
        <v>1</v>
      </c>
      <c r="CS57" s="54">
        <f t="shared" si="15"/>
        <v>2.44</v>
      </c>
      <c r="CT57" s="69">
        <f>((Formula!C57)/(Formula!C57+Formula!E57+Formula!G57+Formula!I57+Formula!K57))*(INDEX(Properties!A$1:CB$87,Formula!B57,31))+((Formula!E57)/(Formula!C57+Formula!E57+Formula!G57+Formula!I57+Formula!K57))*(INDEX(Properties!A$1:CB$87,Formula!D57,31))+((Formula!G57)/(Formula!C57+Formula!E57+Formula!G57+Formula!I57+Formula!K57))*(INDEX(Properties!A$1:CB$87,Formula!F57,31))+((Formula!I57)/(Formula!C57+Formula!E57+Formula!G57+Formula!I57+Formula!K57))*(INDEX(Properties!A$1:CB$87,Formula!H57,31))+((Formula!K57)/(Formula!C57+Formula!E57+Formula!G57+Formula!I57+Formula!K57))*(INDEX(Properties!A$1:CB$87,Formula!J57,31))</f>
        <v>2.4961111111111109</v>
      </c>
      <c r="CU57" s="69">
        <f>Formula!C57*(INDEX(Properties!A$1:CB$87,Formula!B57,31))+Formula!E57*(INDEX(Properties!A$1:CB$87,Formula!D57,31))+Formula!G57*(INDEX(Properties!A$1:CB$87,Formula!F57,31))+Formula!I57*(INDEX(Properties!A$1:CB$87,Formula!H57,31))+Formula!K57*(INDEX(Properties!A$1:CB$87,Formula!J57,31))</f>
        <v>44.929999999999993</v>
      </c>
      <c r="CV57" s="69">
        <f>VARP(IF(INDEX(Properties!A$1:CB$87,Formula!B57,31)&lt;&gt;"",INDEX(Properties!A$1:CB$87,Formula!B57,31)),IF(INDEX(Properties!A$1:CB$87,Formula!D57,31)&lt;&gt;"",INDEX(Properties!A$1:CB$87,Formula!D57,31)),IF(INDEX(Properties!A$1:CB$87,Formula!F57,31)&lt;&gt;"",INDEX(Properties!A$1:CB$87,Formula!F57,31)),IF(INDEX(Properties!A$1:CB$87,Formula!H57,31)&lt;&gt;"",INDEX(Properties!A$1:CB$87,Formula!H57,31)),IF(INDEX(Properties!A$1:CB$87,Formula!J57,31)&lt;&gt;"",INDEX(Properties!A$1:CB$87,Formula!J57,31)))</f>
        <v>1.1684559999999999</v>
      </c>
      <c r="CW57" s="69">
        <f>MAX(INDEX(Properties!A$1:CB$87,Formula!B57,31),INDEX(Properties!A$1:CB$87,Formula!D57,31),INDEX(Properties!A$1:CB$87,Formula!F57,31),INDEX(Properties!A$1:CB$87,Formula!H57,31),INDEX(Properties!A$1:CB$87,Formula!J57,31))</f>
        <v>3.32</v>
      </c>
      <c r="CX57" s="69">
        <f>MIN(IF(INDEX(Properties!A$1:CB$87,Formula!B57,31)=0,10^6,INDEX(Properties!A$1:CB$87,Formula!B57,31)),IF(INDEX(Properties!A$1:CB$87,Formula!D57,31)=0,10^6,INDEX(Properties!A$1:CB$87,Formula!D57,31)),IF(INDEX(Properties!A$1:CB$87,Formula!F57,31)=0,10^6,INDEX(Properties!A$1:CB$87,Formula!F57,31)),IF(INDEX(Properties!A$1:CB$87,Formula!H57,31)=0,10^6,INDEX(Properties!A$1:CB$87,Formula!H57,31)),IF(INDEX(Properties!A$1:CB$87,Formula!J57,31)=0,10^6,INDEX(Properties!A$1:CB$87,Formula!J57,31)))</f>
        <v>1.17</v>
      </c>
      <c r="CY57" s="69">
        <f t="shared" si="16"/>
        <v>2.15</v>
      </c>
      <c r="CZ57" s="42">
        <f>((Formula!C57)/(Formula!C57+Formula!E57+Formula!G57+Formula!I57+Formula!K57))*(INDEX(Properties!A$1:CB$87,Formula!B57,32))+((Formula!E57)/(Formula!C57+Formula!E57+Formula!G57+Formula!I57+Formula!K57))*(INDEX(Properties!A$1:CB$87,Formula!D57,32))+((Formula!G57)/(Formula!C57+Formula!E57+Formula!G57+Formula!I57+Formula!K57))*(INDEX(Properties!A$1:CB$87,Formula!F57,32))+((Formula!I57)/(Formula!C57+Formula!E57+Formula!G57+Formula!I57+Formula!K57))*(INDEX(Properties!A$1:CB$87,Formula!H57,32))+((Formula!K57)/(Formula!C57+Formula!E57+Formula!G57+Formula!I57+Formula!K57))*(INDEX(Properties!A$1:CB$87,Formula!J57,32))</f>
        <v>5.5650000000000004</v>
      </c>
      <c r="DA57" s="42">
        <f>Formula!C57*(INDEX(Properties!A$1:CB$87,Formula!B57,32))+Formula!E57*(INDEX(Properties!A$1:CB$87,Formula!D57,32))+Formula!G57*(INDEX(Properties!A$1:CB$87,Formula!F57,32))+Formula!I57*(INDEX(Properties!A$1:CB$87,Formula!H57,32))+Formula!K57*(INDEX(Properties!A$1:CB$87,Formula!J57,32))</f>
        <v>100.17000000000002</v>
      </c>
      <c r="DB57" s="42">
        <f>VARP(IF(INDEX(Properties!A$1:CB$87,Formula!B57,32)&lt;&gt;"",INDEX(Properties!A$1:CB$87,Formula!B57,32)),IF(INDEX(Properties!A$1:CB$87,Formula!D57,32)&lt;&gt;"",INDEX(Properties!A$1:CB$87,Formula!D57,32)),IF(INDEX(Properties!A$1:CB$87,Formula!F57,32)&lt;&gt;"",INDEX(Properties!A$1:CB$87,Formula!F57,32)),IF(INDEX(Properties!A$1:CB$87,Formula!H57,32)&lt;&gt;"",INDEX(Properties!A$1:CB$87,Formula!H57,32)),IF(INDEX(Properties!A$1:CB$87,Formula!J57,32)&lt;&gt;"",INDEX(Properties!A$1:CB$87,Formula!J57,32)))</f>
        <v>6.2036640000000007</v>
      </c>
      <c r="DC57" s="42">
        <f>MAX(INDEX(Properties!A$1:CB$87,Formula!B57,32),INDEX(Properties!A$1:CB$87,Formula!D57,32),INDEX(Properties!A$1:CB$87,Formula!F57,32),INDEX(Properties!A$1:CB$87,Formula!H57,32),INDEX(Properties!A$1:CB$87,Formula!J57,32))</f>
        <v>7.54</v>
      </c>
      <c r="DD57" s="42">
        <f>MIN(IF(INDEX(Properties!A$1:CB$87,Formula!B57,32)=0,10^6,INDEX(Properties!A$1:CB$87,Formula!B57,32)),IF(INDEX(Properties!A$1:CB$87,Formula!D57,32)=0,10^6,INDEX(Properties!A$1:CB$87,Formula!D57,32)),IF(INDEX(Properties!A$1:CB$87,Formula!F57,32)=0,10^6,INDEX(Properties!A$1:CB$87,Formula!F57,32)),IF(INDEX(Properties!A$1:CB$87,Formula!H57,32)=0,10^6,INDEX(Properties!A$1:CB$87,Formula!H57,32)),IF(INDEX(Properties!A$1:CB$87,Formula!J57,32)=0,10^6,INDEX(Properties!A$1:CB$87,Formula!J57,32)))</f>
        <v>2.2000000000000002</v>
      </c>
      <c r="DE57" s="42">
        <f t="shared" si="17"/>
        <v>5.34</v>
      </c>
      <c r="DF57" s="60">
        <f>((Formula!C57)/(Formula!C57+Formula!E57+Formula!G57+Formula!I57+Formula!K57))*(INDEX(Properties!A$1:CB$87,Formula!B57,34))+((Formula!E57)/(Formula!C57+Formula!E57+Formula!G57+Formula!I57+Formula!K57))*(INDEX(Properties!A$1:CB$87,Formula!D57,34))+((Formula!G57)/(Formula!C57+Formula!E57+Formula!G57+Formula!I57+Formula!K57))*(INDEX(Properties!A$1:CB$87,Formula!F57,34))+((Formula!I57)/(Formula!C57+Formula!E57+Formula!G57+Formula!I57+Formula!K57))*(INDEX(Properties!A$1:CB$87,Formula!H57,34))+((Formula!K57)/(Formula!C57+Formula!E57+Formula!G57+Formula!I57+Formula!K57))*(INDEX(Properties!A$1:CB$87,Formula!J57,34))</f>
        <v>2.6377222222222221</v>
      </c>
      <c r="DG57" s="60">
        <f>Formula!C57*(INDEX(Properties!A$1:CB$87,Formula!B57,34))+Formula!E57*(INDEX(Properties!A$1:CB$87,Formula!D57,34))+Formula!G57*(INDEX(Properties!A$1:CB$87,Formula!F57,34))+Formula!I57*(INDEX(Properties!A$1:CB$87,Formula!H57,34))+Formula!K57*(INDEX(Properties!A$1:CB$87,Formula!J57,34))</f>
        <v>47.478999999999999</v>
      </c>
      <c r="DH57" s="60">
        <f>VARP(IF(INDEX(Properties!A$1:CB$87,Formula!B57,34)&lt;&gt;"",INDEX(Properties!A$1:CB$87,Formula!B57,34)),IF(INDEX(Properties!A$1:CB$87,Formula!D57,34)&lt;&gt;"",INDEX(Properties!A$1:CB$87,Formula!D57,34)),IF(INDEX(Properties!A$1:CB$87,Formula!F57,34)&lt;&gt;"",INDEX(Properties!A$1:CB$87,Formula!F57,34)),IF(INDEX(Properties!A$1:CB$87,Formula!H57,34)&lt;&gt;"",INDEX(Properties!A$1:CB$87,Formula!H57,34)),IF(INDEX(Properties!A$1:CB$87,Formula!J57,34)&lt;&gt;"",INDEX(Properties!A$1:CB$87,Formula!J57,34)))</f>
        <v>1.4749424000000002</v>
      </c>
      <c r="DI57" s="60">
        <f>MAX(INDEX(Properties!A$1:CB$87,Formula!B57,34),INDEX(Properties!A$1:CB$87,Formula!D57,34),INDEX(Properties!A$1:CB$87,Formula!F57,34),INDEX(Properties!A$1:CB$87,Formula!H57,34),INDEX(Properties!A$1:CB$87,Formula!J57,34))</f>
        <v>3.61</v>
      </c>
      <c r="DJ57" s="60">
        <f>MIN(IF(INDEX(Properties!A$1:CB$87,Formula!B57,34)=0,10^6,INDEX(Properties!A$1:CB$87,Formula!B57,34)),IF(INDEX(Properties!A$1:CB$87,Formula!D57,34)=0,10^6,INDEX(Properties!A$1:CB$87,Formula!D57,34)),IF(INDEX(Properties!A$1:CB$87,Formula!F57,34)=0,10^6,INDEX(Properties!A$1:CB$87,Formula!F57,34)),IF(INDEX(Properties!A$1:CB$87,Formula!H57,34)=0,10^6,INDEX(Properties!A$1:CB$87,Formula!H57,34)),IF(INDEX(Properties!A$1:CB$87,Formula!J57,34)=0,10^6,INDEX(Properties!A$1:CB$87,Formula!J57,34)))</f>
        <v>1.034</v>
      </c>
      <c r="DK57" s="60">
        <f t="shared" si="18"/>
        <v>2.5759999999999996</v>
      </c>
      <c r="DL57" s="45">
        <f>((Formula!C57)/(Formula!C57+Formula!E57+Formula!G57+Formula!I57+Formula!K57))*(INDEX(Properties!A$1:CB$87,Formula!B57,39))+((Formula!E57)/(Formula!C57+Formula!E57+Formula!G57+Formula!I57+Formula!K57))*(INDEX(Properties!A$1:CB$87,Formula!D57,39))+((Formula!G57)/(Formula!C57+Formula!E57+Formula!G57+Formula!I57+Formula!K57))*(INDEX(Properties!A$1:CB$87,Formula!F57,39))+((Formula!I57)/(Formula!C57+Formula!E57+Formula!G57+Formula!I57+Formula!K57))*(INDEX(Properties!A$1:CB$87,Formula!H57,39))+((Formula!K57)/(Formula!C57+Formula!E57+Formula!G57+Formula!I57+Formula!K57))*(INDEX(Properties!A$1:CB$87,Formula!J57,39))</f>
        <v>0.95111111111111102</v>
      </c>
      <c r="DM57" s="45">
        <f>Formula!C57*(INDEX(Properties!A$1:CB$87,Formula!B57,39))+Formula!E57*(INDEX(Properties!A$1:CB$87,Formula!D57,39))+Formula!G57*(INDEX(Properties!A$1:CB$87,Formula!F57,39))+Formula!I57*(INDEX(Properties!A$1:CB$87,Formula!H57,39))+Formula!K57*(INDEX(Properties!A$1:CB$87,Formula!J57,39))</f>
        <v>17.119999999999997</v>
      </c>
      <c r="DN57" s="45">
        <f>VARP(IF(INDEX(Properties!A$1:CB$87,Formula!B57,39)&lt;&gt;"",INDEX(Properties!A$1:CB$87,Formula!B57,39)),IF(INDEX(Properties!A$1:CB$87,Formula!D57,39)&lt;&gt;"",INDEX(Properties!A$1:CB$87,Formula!D57,39)),IF(INDEX(Properties!A$1:CB$87,Formula!F57,39)&lt;&gt;"",INDEX(Properties!A$1:CB$87,Formula!F57,39)),IF(INDEX(Properties!A$1:CB$87,Formula!H57,39)&lt;&gt;"",INDEX(Properties!A$1:CB$87,Formula!H57,39)),IF(INDEX(Properties!A$1:CB$87,Formula!J57,39)&lt;&gt;"",INDEX(Properties!A$1:CB$87,Formula!J57,39)))</f>
        <v>0.6123759999999997</v>
      </c>
      <c r="DO57" s="45">
        <f>MAX(INDEX(Properties!A$1:CB$87,Formula!B57,39),INDEX(Properties!A$1:CB$87,Formula!D57,39),INDEX(Properties!A$1:CB$87,Formula!F57,39),INDEX(Properties!A$1:CB$87,Formula!H57,39),INDEX(Properties!A$1:CB$87,Formula!J57,39))</f>
        <v>1.95</v>
      </c>
      <c r="DP57" s="45">
        <f>MIN(IF(INDEX(Properties!A$1:CB$87,Formula!B57,39)=0,10^6,INDEX(Properties!A$1:CB$87,Formula!B57,39)),IF(INDEX(Properties!A$1:CB$87,Formula!D57,39)=0,10^6,INDEX(Properties!A$1:CB$87,Formula!D57,39)),IF(INDEX(Properties!A$1:CB$87,Formula!F57,39)=0,10^6,INDEX(Properties!A$1:CB$87,Formula!F57,39)),IF(INDEX(Properties!A$1:CB$87,Formula!H57,39)=0,10^6,INDEX(Properties!A$1:CB$87,Formula!H57,39)),IF(INDEX(Properties!A$1:CB$87,Formula!J57,39)=0,10^6,INDEX(Properties!A$1:CB$87,Formula!J57,39)))</f>
        <v>0.48</v>
      </c>
      <c r="DQ57" s="45">
        <f t="shared" si="19"/>
        <v>1.47</v>
      </c>
      <c r="DR57" s="63">
        <f>((Formula!C57)/(Formula!C57+Formula!E57+Formula!G57+Formula!I57+Formula!K57))*(INDEX(Properties!A$1:CB$87,Formula!B57,40))+((Formula!E57)/(Formula!C57+Formula!E57+Formula!G57+Formula!I57+Formula!K57))*(INDEX(Properties!A$1:CB$87,Formula!D57,40))+((Formula!G57)/(Formula!C57+Formula!E57+Formula!G57+Formula!I57+Formula!K57))*(INDEX(Properties!A$1:CB$87,Formula!F57,40))+((Formula!I57)/(Formula!C57+Formula!E57+Formula!G57+Formula!I57+Formula!K57))*(INDEX(Properties!A$1:CB$87,Formula!H57,40))+((Formula!K57)/(Formula!C57+Formula!E57+Formula!G57+Formula!I57+Formula!K57))*(INDEX(Properties!A$1:CB$87,Formula!J57,40))</f>
        <v>1.0227777777777778</v>
      </c>
      <c r="DS57" s="63">
        <f>Formula!C57*(INDEX(Properties!A$1:CB$87,Formula!B57,40))+Formula!E57*(INDEX(Properties!A$1:CB$87,Formula!D57,40))+Formula!G57*(INDEX(Properties!A$1:CB$87,Formula!F57,40))+Formula!I57*(INDEX(Properties!A$1:CB$87,Formula!H57,40))+Formula!K57*(INDEX(Properties!A$1:CB$87,Formula!J57,40))</f>
        <v>18.41</v>
      </c>
      <c r="DT57" s="63">
        <f>VARP(IF(INDEX(Properties!A$1:CB$87,Formula!B57,40)&lt;&gt;"",INDEX(Properties!A$1:CB$87,Formula!B57,40)),IF(INDEX(Properties!A$1:CB$87,Formula!D57,40)&lt;&gt;"",INDEX(Properties!A$1:CB$87,Formula!D57,40)),IF(INDEX(Properties!A$1:CB$87,Formula!F57,40)&lt;&gt;"",INDEX(Properties!A$1:CB$87,Formula!F57,40)),IF(INDEX(Properties!A$1:CB$87,Formula!H57,40)&lt;&gt;"",INDEX(Properties!A$1:CB$87,Formula!H57,40)),IF(INDEX(Properties!A$1:CB$87,Formula!J57,40)&lt;&gt;"",INDEX(Properties!A$1:CB$87,Formula!J57,40)))</f>
        <v>0.42578399999999961</v>
      </c>
      <c r="DU57" s="63">
        <f>MAX(INDEX(Properties!A$1:CB$87,Formula!B57,40),INDEX(Properties!A$1:CB$87,Formula!D57,40),INDEX(Properties!A$1:CB$87,Formula!F57,40),INDEX(Properties!A$1:CB$87,Formula!H57,40),INDEX(Properties!A$1:CB$87,Formula!J57,40))</f>
        <v>1.74</v>
      </c>
      <c r="DV57" s="63">
        <f>MIN(IF(INDEX(Properties!A$1:CB$87,Formula!B57,40)=0,10^6,INDEX(Properties!A$1:CB$87,Formula!B57,40)),IF(INDEX(Properties!A$1:CB$87,Formula!D57,40)=0,10^6,INDEX(Properties!A$1:CB$87,Formula!D57,40)),IF(INDEX(Properties!A$1:CB$87,Formula!F57,40)=0,10^6,INDEX(Properties!A$1:CB$87,Formula!F57,40)),IF(INDEX(Properties!A$1:CB$87,Formula!H57,40)=0,10^6,INDEX(Properties!A$1:CB$87,Formula!H57,40)),IF(INDEX(Properties!A$1:CB$87,Formula!J57,40)=0,10^6,INDEX(Properties!A$1:CB$87,Formula!J57,40)))</f>
        <v>0.73</v>
      </c>
      <c r="DW57" s="63">
        <f t="shared" si="20"/>
        <v>1.01</v>
      </c>
      <c r="DX57" s="75">
        <f>((Formula!C57)/(Formula!C57+Formula!E57+Formula!G57+Formula!I57+Formula!K57))*(INDEX(Properties!A$1:CB$87,Formula!B57,41))+((Formula!E57)/(Formula!C57+Formula!E57+Formula!G57+Formula!I57+Formula!K57))*(INDEX(Properties!A$1:CB$87,Formula!D57,41))+((Formula!G57)/(Formula!C57+Formula!E57+Formula!G57+Formula!I57+Formula!K57))*(INDEX(Properties!A$1:CB$87,Formula!F57,41))+((Formula!I57)/(Formula!C57+Formula!E57+Formula!G57+Formula!I57+Formula!K57))*(INDEX(Properties!A$1:CB$87,Formula!H57,41))+((Formula!K57)/(Formula!C57+Formula!E57+Formula!G57+Formula!I57+Formula!K57))*(INDEX(Properties!A$1:CB$87,Formula!J57,41))</f>
        <v>1.0866666666666667</v>
      </c>
      <c r="DY57" s="75">
        <f>Formula!C57*(INDEX(Properties!A$1:CB$87,Formula!B57,41))+Formula!E57*(INDEX(Properties!A$1:CB$87,Formula!D57,41))+Formula!G57*(INDEX(Properties!A$1:CB$87,Formula!F57,41))+Formula!I57*(INDEX(Properties!A$1:CB$87,Formula!H57,41))+Formula!K57*(INDEX(Properties!A$1:CB$87,Formula!J57,41))</f>
        <v>19.559999999999999</v>
      </c>
      <c r="DZ57" s="75">
        <f>VARP(IF(INDEX(Properties!A$1:CB$87,Formula!B57,41)&lt;&gt;"",INDEX(Properties!A$1:CB$87,Formula!B57,41)),IF(INDEX(Properties!A$1:CB$87,Formula!D57,41)&lt;&gt;"",INDEX(Properties!A$1:CB$87,Formula!D57,41)),IF(INDEX(Properties!A$1:CB$87,Formula!F57,41)&lt;&gt;"",INDEX(Properties!A$1:CB$87,Formula!F57,41)),IF(INDEX(Properties!A$1:CB$87,Formula!H57,41)&lt;&gt;"",INDEX(Properties!A$1:CB$87,Formula!H57,41)),IF(INDEX(Properties!A$1:CB$87,Formula!J57,41)&lt;&gt;"",INDEX(Properties!A$1:CB$87,Formula!J57,41)))</f>
        <v>0.25122400000000006</v>
      </c>
      <c r="EA57" s="75">
        <f>MAX(INDEX(Properties!A$1:CB$87,Formula!B57,41),INDEX(Properties!A$1:CB$87,Formula!D57,41),INDEX(Properties!A$1:CB$87,Formula!F57,41),INDEX(Properties!A$1:CB$87,Formula!H57,41),INDEX(Properties!A$1:CB$87,Formula!J57,41))</f>
        <v>1.26</v>
      </c>
      <c r="EB57" s="75">
        <f>MIN(IF(INDEX(Properties!A$1:CB$87,Formula!B57,41)=0,10^6,INDEX(Properties!A$1:CB$87,Formula!B57,41)),IF(INDEX(Properties!A$1:CB$87,Formula!D57,41)=0,10^6,INDEX(Properties!A$1:CB$87,Formula!D57,41)),IF(INDEX(Properties!A$1:CB$87,Formula!F57,41)=0,10^6,INDEX(Properties!A$1:CB$87,Formula!F57,41)),IF(INDEX(Properties!A$1:CB$87,Formula!H57,41)=0,10^6,INDEX(Properties!A$1:CB$87,Formula!H57,41)),IF(INDEX(Properties!A$1:CB$87,Formula!J57,41)=0,10^6,INDEX(Properties!A$1:CB$87,Formula!J57,41)))</f>
        <v>0.41</v>
      </c>
      <c r="EC57" s="75">
        <f t="shared" si="21"/>
        <v>0.85000000000000009</v>
      </c>
      <c r="ED57" s="48">
        <f>((Formula!C57)/(Formula!C57+Formula!E57+Formula!G57+Formula!I57+Formula!K57))*(INDEX(Properties!A$1:CB$87,Formula!B57,45))+((Formula!E57)/(Formula!C57+Formula!E57+Formula!G57+Formula!I57+Formula!K57))*(INDEX(Properties!A$1:CB$87,Formula!D57,45))+((Formula!G57)/(Formula!C57+Formula!E57+Formula!G57+Formula!I57+Formula!K57))*(INDEX(Properties!A$1:CB$87,Formula!F57,45))+((Formula!I57)/(Formula!C57+Formula!E57+Formula!G57+Formula!I57+Formula!K57))*(INDEX(Properties!A$1:CB$87,Formula!H57,45))+((Formula!K57)/(Formula!C57+Formula!E57+Formula!G57+Formula!I57+Formula!K57))*(INDEX(Properties!A$1:CB$87,Formula!J57,45))</f>
        <v>1.2322222222222221</v>
      </c>
      <c r="EE57" s="48">
        <f>Formula!C57*(INDEX(Properties!A$1:CB$87,Formula!B57,45))+Formula!E57*(INDEX(Properties!A$1:CB$87,Formula!D57,45))+Formula!G57*(INDEX(Properties!A$1:CB$87,Formula!F57,45))+Formula!I57*(INDEX(Properties!A$1:CB$87,Formula!H57,45))+Formula!K57*(INDEX(Properties!A$1:CB$87,Formula!J57,45))</f>
        <v>22.18</v>
      </c>
      <c r="EF57" s="48">
        <f>VARP(IF(INDEX(Properties!A$1:CB$87,Formula!B57,45)&lt;&gt;"",INDEX(Properties!A$1:CB$87,Formula!B57,45)),IF(INDEX(Properties!A$1:CB$87,Formula!D57,45)&lt;&gt;"",INDEX(Properties!A$1:CB$87,Formula!D57,45)),IF(INDEX(Properties!A$1:CB$87,Formula!F57,45)&lt;&gt;"",INDEX(Properties!A$1:CB$87,Formula!F57,45)),IF(INDEX(Properties!A$1:CB$87,Formula!H57,45)&lt;&gt;"",INDEX(Properties!A$1:CB$87,Formula!H57,45)),IF(INDEX(Properties!A$1:CB$87,Formula!J57,45)&lt;&gt;"",INDEX(Properties!A$1:CB$87,Formula!J57,45)))</f>
        <v>1.7085600000000005</v>
      </c>
      <c r="EG57" s="48">
        <f>MAX(INDEX(Properties!A$1:CB$87,Formula!B57,45),INDEX(Properties!A$1:CB$87,Formula!D57,45),INDEX(Properties!A$1:CB$87,Formula!F57,45),INDEX(Properties!A$1:CB$87,Formula!H57,45),INDEX(Properties!A$1:CB$87,Formula!J57,45))</f>
        <v>3.08</v>
      </c>
      <c r="EH57" s="48">
        <f>MIN(IF(INDEX(Properties!A$1:CB$87,Formula!B57,45)=0,10^6,INDEX(Properties!A$1:CB$87,Formula!B57,45)),IF(INDEX(Properties!A$1:CB$87,Formula!D57,45)=0,10^6,INDEX(Properties!A$1:CB$87,Formula!D57,45)),IF(INDEX(Properties!A$1:CB$87,Formula!F57,45)=0,10^6,INDEX(Properties!A$1:CB$87,Formula!F57,45)),IF(INDEX(Properties!A$1:CB$87,Formula!H57,45)=0,10^6,INDEX(Properties!A$1:CB$87,Formula!H57,45)),IF(INDEX(Properties!A$1:CB$87,Formula!J57,45)=0,10^6,INDEX(Properties!A$1:CB$87,Formula!J57,45)))</f>
        <v>0.47</v>
      </c>
      <c r="EI57" s="48">
        <f t="shared" si="22"/>
        <v>2.6100000000000003</v>
      </c>
      <c r="EJ57" s="66">
        <f>((Formula!C57)/(Formula!C57+Formula!E57+Formula!G57+Formula!I57+Formula!K57))*(INDEX(Properties!A$1:CB$87,Formula!B57,46))+((Formula!E57)/(Formula!C57+Formula!E57+Formula!G57+Formula!I57+Formula!K57))*(INDEX(Properties!A$1:CB$87,Formula!D57,46))+((Formula!G57)/(Formula!C57+Formula!E57+Formula!G57+Formula!I57+Formula!K57))*(INDEX(Properties!A$1:CB$87,Formula!F57,46))+((Formula!I57)/(Formula!C57+Formula!E57+Formula!G57+Formula!I57+Formula!K57))*(INDEX(Properties!A$1:CB$87,Formula!H57,46))+((Formula!K57)/(Formula!C57+Formula!E57+Formula!G57+Formula!I57+Formula!K57))*(INDEX(Properties!A$1:CB$87,Formula!J57,46))</f>
        <v>1.0427777777777778</v>
      </c>
      <c r="EK57" s="66">
        <f>Formula!C57*(INDEX(Properties!A$1:CB$87,Formula!B57,46))+Formula!E57*(INDEX(Properties!A$1:CB$87,Formula!D57,46))+Formula!G57*(INDEX(Properties!A$1:CB$87,Formula!F57,46))+Formula!I57*(INDEX(Properties!A$1:CB$87,Formula!H57,46))+Formula!K57*(INDEX(Properties!A$1:CB$87,Formula!J57,46))</f>
        <v>18.77</v>
      </c>
      <c r="EL57" s="66">
        <f>VARP(IF(INDEX(Properties!A$1:CB$87,Formula!B57,46)&lt;&gt;"",INDEX(Properties!A$1:CB$87,Formula!B57,46)),IF(INDEX(Properties!A$1:CB$87,Formula!D57,46)&lt;&gt;"",INDEX(Properties!A$1:CB$87,Formula!D57,46)),IF(INDEX(Properties!A$1:CB$87,Formula!F57,46)&lt;&gt;"",INDEX(Properties!A$1:CB$87,Formula!F57,46)),IF(INDEX(Properties!A$1:CB$87,Formula!H57,46)&lt;&gt;"",INDEX(Properties!A$1:CB$87,Formula!H57,46)),IF(INDEX(Properties!A$1:CB$87,Formula!J57,46)&lt;&gt;"",INDEX(Properties!A$1:CB$87,Formula!J57,46)))</f>
        <v>0.30789600000000023</v>
      </c>
      <c r="EM57" s="66">
        <f>MAX(INDEX(Properties!A$1:CB$87,Formula!B57,46),INDEX(Properties!A$1:CB$87,Formula!D57,46),INDEX(Properties!A$1:CB$87,Formula!F57,46),INDEX(Properties!A$1:CB$87,Formula!H57,46),INDEX(Properties!A$1:CB$87,Formula!J57,46))</f>
        <v>1.36</v>
      </c>
      <c r="EN57" s="66">
        <f>MIN(IF(INDEX(Properties!A$1:CB$87,Formula!B57,46)=0,10^6,INDEX(Properties!A$1:CB$87,Formula!B57,46)),IF(INDEX(Properties!A$1:CB$87,Formula!D57,46)=0,10^6,INDEX(Properties!A$1:CB$87,Formula!D57,46)),IF(INDEX(Properties!A$1:CB$87,Formula!F57,46)=0,10^6,INDEX(Properties!A$1:CB$87,Formula!F57,46)),IF(INDEX(Properties!A$1:CB$87,Formula!H57,46)=0,10^6,INDEX(Properties!A$1:CB$87,Formula!H57,46)),IF(INDEX(Properties!A$1:CB$87,Formula!J57,46)=0,10^6,INDEX(Properties!A$1:CB$87,Formula!J57,46)))</f>
        <v>0.25</v>
      </c>
      <c r="EO57" s="66">
        <f t="shared" si="23"/>
        <v>1.1100000000000001</v>
      </c>
      <c r="EP57" s="81">
        <f>((Formula!C57)/(Formula!C57+Formula!E57+Formula!G57+Formula!I57+Formula!K57))*(INDEX(Properties!A$1:CB$87,Formula!B57,52))+((Formula!E57)/(Formula!C57+Formula!E57+Formula!G57+Formula!I57+Formula!K57))*(INDEX(Properties!A$1:CB$87,Formula!D57,52))+((Formula!G57)/(Formula!C57+Formula!E57+Formula!G57+Formula!I57+Formula!K57))*(INDEX(Properties!A$1:CB$87,Formula!F57,52))+((Formula!I57)/(Formula!C57+Formula!E57+Formula!G57+Formula!I57+Formula!K57))*(INDEX(Properties!A$1:CB$87,Formula!H57,52))+((Formula!K57)/(Formula!C57+Formula!E57+Formula!G57+Formula!I57+Formula!K57))*(INDEX(Properties!A$1:CB$87,Formula!J57,52))</f>
        <v>7.7349999999999994</v>
      </c>
      <c r="EQ57" s="81">
        <f>Formula!C57*(INDEX(Properties!A$1:CB$87,Formula!B57,52))+Formula!E57*(INDEX(Properties!A$1:CB$87,Formula!D57,52))+Formula!G57*(INDEX(Properties!A$1:CB$87,Formula!F57,52))+Formula!I57*(INDEX(Properties!A$1:CB$87,Formula!H57,52))+Formula!K57*(INDEX(Properties!A$1:CB$87,Formula!J57,52))</f>
        <v>139.23000000000002</v>
      </c>
      <c r="ER57" s="81">
        <f>VARP(IF(INDEX(Properties!A$1:CB$87,Formula!B57,52)&lt;&gt;"",INDEX(Properties!A$1:CB$87,Formula!B57,52)),IF(INDEX(Properties!A$1:CB$87,Formula!D57,52)&lt;&gt;"",INDEX(Properties!A$1:CB$87,Formula!D57,52)),IF(INDEX(Properties!A$1:CB$87,Formula!F57,52)&lt;&gt;"",INDEX(Properties!A$1:CB$87,Formula!F57,52)),IF(INDEX(Properties!A$1:CB$87,Formula!H57,52)&lt;&gt;"",INDEX(Properties!A$1:CB$87,Formula!H57,52)),IF(INDEX(Properties!A$1:CB$87,Formula!J57,52)&lt;&gt;"",INDEX(Properties!A$1:CB$87,Formula!J57,52)))</f>
        <v>166.19647983999999</v>
      </c>
      <c r="ES57" s="81">
        <f>MAX(INDEX(Properties!A$1:CB$87,Formula!B57,52),INDEX(Properties!A$1:CB$87,Formula!D57,52),INDEX(Properties!A$1:CB$87,Formula!F57,52),INDEX(Properties!A$1:CB$87,Formula!H57,52),INDEX(Properties!A$1:CB$87,Formula!J57,52))</f>
        <v>31.1</v>
      </c>
      <c r="ET57" s="81">
        <f>MIN(IF(INDEX(Properties!A$1:CB$87,Formula!B57,52)=0,10^6,INDEX(Properties!A$1:CB$87,Formula!B57,52)),IF(INDEX(Properties!A$1:CB$87,Formula!D57,52)=0,10^6,INDEX(Properties!A$1:CB$87,Formula!D57,52)),IF(INDEX(Properties!A$1:CB$87,Formula!F57,52)=0,10^6,INDEX(Properties!A$1:CB$87,Formula!F57,52)),IF(INDEX(Properties!A$1:CB$87,Formula!H57,52)=0,10^6,INDEX(Properties!A$1:CB$87,Formula!H57,52)),IF(INDEX(Properties!A$1:CB$87,Formula!J57,52)=0,10^6,INDEX(Properties!A$1:CB$87,Formula!J57,52)))</f>
        <v>0.79300000000000004</v>
      </c>
      <c r="EU57" s="81">
        <f t="shared" si="24"/>
        <v>30.307000000000002</v>
      </c>
      <c r="EV57" s="39">
        <f>((Formula!C57)/(Formula!C57+Formula!E57+Formula!G57+Formula!I57+Formula!K57))*(INDEX(Properties!A$1:CB$87,Formula!B57,53))+((Formula!E57)/(Formula!C57+Formula!E57+Formula!G57+Formula!I57+Formula!K57))*(INDEX(Properties!A$1:CB$87,Formula!D57,53))+((Formula!G57)/(Formula!C57+Formula!E57+Formula!G57+Formula!I57+Formula!K57))*(INDEX(Properties!A$1:CB$87,Formula!F57,53))+((Formula!I57)/(Formula!C57+Formula!E57+Formula!G57+Formula!I57+Formula!K57))*(INDEX(Properties!A$1:CB$87,Formula!H57,53))+((Formula!K57)/(Formula!C57+Formula!E57+Formula!G57+Formula!I57+Formula!K57))*(INDEX(Properties!A$1:CB$87,Formula!J57,53))</f>
        <v>735.87222222222215</v>
      </c>
      <c r="EW57" s="39">
        <f>Formula!C57*(INDEX(Properties!A$1:CB$87,Formula!B57,53))+Formula!E57*(INDEX(Properties!A$1:CB$87,Formula!D57,53))+Formula!G57*(INDEX(Properties!A$1:CB$87,Formula!F57,53))+Formula!I57*(INDEX(Properties!A$1:CB$87,Formula!H57,53))+Formula!K57*(INDEX(Properties!A$1:CB$87,Formula!J57,53))</f>
        <v>13245.7</v>
      </c>
      <c r="EX57" s="39">
        <f>VARP(IF(INDEX(Properties!A$1:CB$87,Formula!B57,53)&lt;&gt;"",INDEX(Properties!A$1:CB$87,Formula!B57,53)),IF(INDEX(Properties!A$1:CB$87,Formula!D57,53)&lt;&gt;"",INDEX(Properties!A$1:CB$87,Formula!D57,53)),IF(INDEX(Properties!A$1:CB$87,Formula!F57,53)&lt;&gt;"",INDEX(Properties!A$1:CB$87,Formula!F57,53)),IF(INDEX(Properties!A$1:CB$87,Formula!H57,53)&lt;&gt;"",INDEX(Properties!A$1:CB$87,Formula!H57,53)),IF(INDEX(Properties!A$1:CB$87,Formula!J57,53)&lt;&gt;"",INDEX(Properties!A$1:CB$87,Formula!J57,53)))</f>
        <v>751025.19239999994</v>
      </c>
      <c r="EY57" s="39">
        <f>MAX(INDEX(Properties!A$1:CB$87,Formula!B57,53),INDEX(Properties!A$1:CB$87,Formula!D57,53),INDEX(Properties!A$1:CB$87,Formula!F57,53),INDEX(Properties!A$1:CB$87,Formula!H57,53),INDEX(Properties!A$1:CB$87,Formula!J57,53))</f>
        <v>2352.15</v>
      </c>
      <c r="EZ57" s="39">
        <f>MIN(IF(INDEX(Properties!A$1:CB$87,Formula!B57,53)=0,10^6,INDEX(Properties!A$1:CB$87,Formula!B57,53)),IF(INDEX(Properties!A$1:CB$87,Formula!D57,53)=0,10^6,INDEX(Properties!A$1:CB$87,Formula!D57,53)),IF(INDEX(Properties!A$1:CB$87,Formula!F57,53)=0,10^6,INDEX(Properties!A$1:CB$87,Formula!F57,53)),IF(INDEX(Properties!A$1:CB$87,Formula!H57,53)=0,10^6,INDEX(Properties!A$1:CB$87,Formula!H57,53)),IF(INDEX(Properties!A$1:CB$87,Formula!J57,53)=0,10^6,INDEX(Properties!A$1:CB$87,Formula!J57,53)))</f>
        <v>54.749999999999972</v>
      </c>
      <c r="FA57" s="39">
        <f t="shared" si="25"/>
        <v>2297.4</v>
      </c>
      <c r="FB57" s="54">
        <f>((Formula!C57)/(Formula!C57+Formula!E57+Formula!G57+Formula!I57+Formula!K57))*(INDEX(Properties!A$1:CB$87,Formula!B57,54))+((Formula!E57)/(Formula!C57+Formula!E57+Formula!G57+Formula!I57+Formula!K57))*(INDEX(Properties!A$1:CB$87,Formula!D57,54))+((Formula!G57)/(Formula!C57+Formula!E57+Formula!G57+Formula!I57+Formula!K57))*(INDEX(Properties!A$1:CB$87,Formula!F57,54))+((Formula!I57)/(Formula!C57+Formula!E57+Formula!G57+Formula!I57+Formula!K57))*(INDEX(Properties!A$1:CB$87,Formula!H57,54))+((Formula!K57)/(Formula!C57+Formula!E57+Formula!G57+Formula!I57+Formula!K57))*(INDEX(Properties!A$1:CB$87,Formula!J57,54))</f>
        <v>1360.1249999999998</v>
      </c>
      <c r="FC57" s="54">
        <f>Formula!C57*(INDEX(Properties!A$1:CB$87,Formula!B57,54))+Formula!E57*(INDEX(Properties!A$1:CB$87,Formula!D57,54))+Formula!G57*(INDEX(Properties!A$1:CB$87,Formula!F57,54))+Formula!I57*(INDEX(Properties!A$1:CB$87,Formula!H57,54))+Formula!K57*(INDEX(Properties!A$1:CB$87,Formula!J57,54))</f>
        <v>24482.25</v>
      </c>
      <c r="FD57" s="54">
        <f>VARP(IF(INDEX(Properties!A$1:CB$87,Formula!B57,54)&lt;&gt;"",INDEX(Properties!A$1:CB$87,Formula!B57,54)),IF(INDEX(Properties!A$1:CB$87,Formula!D57,54)&lt;&gt;"",INDEX(Properties!A$1:CB$87,Formula!D57,54)),IF(INDEX(Properties!A$1:CB$87,Formula!F57,54)&lt;&gt;"",INDEX(Properties!A$1:CB$87,Formula!F57,54)),IF(INDEX(Properties!A$1:CB$87,Formula!H57,54)&lt;&gt;"",INDEX(Properties!A$1:CB$87,Formula!H57,54)),IF(INDEX(Properties!A$1:CB$87,Formula!J57,54)&lt;&gt;"",INDEX(Properties!A$1:CB$87,Formula!J57,54)))</f>
        <v>3172128.4414000022</v>
      </c>
      <c r="FE57" s="54">
        <f>MAX(INDEX(Properties!A$1:CB$87,Formula!B57,54),INDEX(Properties!A$1:CB$87,Formula!D57,54),INDEX(Properties!A$1:CB$87,Formula!F57,54),INDEX(Properties!A$1:CB$87,Formula!H57,54),INDEX(Properties!A$1:CB$87,Formula!J57,54))</f>
        <v>4275</v>
      </c>
      <c r="FF57" s="54">
        <f>MIN(IF(INDEX(Properties!A$1:CB$87,Formula!B57,54)=0,10^6,INDEX(Properties!A$1:CB$87,Formula!B57,54)),IF(INDEX(Properties!A$1:CB$87,Formula!D57,54)=0,10^6,INDEX(Properties!A$1:CB$87,Formula!D57,54)),IF(INDEX(Properties!A$1:CB$87,Formula!F57,54)=0,10^6,INDEX(Properties!A$1:CB$87,Formula!F57,54)),IF(INDEX(Properties!A$1:CB$87,Formula!H57,54)=0,10^6,INDEX(Properties!A$1:CB$87,Formula!H57,54)),IF(INDEX(Properties!A$1:CB$87,Formula!J57,54)=0,10^6,INDEX(Properties!A$1:CB$87,Formula!J57,54)))</f>
        <v>90.149999999999977</v>
      </c>
      <c r="FG57" s="54">
        <f t="shared" si="26"/>
        <v>4184.8500000000004</v>
      </c>
      <c r="FH57" s="69">
        <f>((Formula!C57)/(Formula!C57+Formula!E57+Formula!G57+Formula!I57+Formula!K57))*(INDEX(Properties!A$1:CB$87,Formula!B57,55))+((Formula!E57)/(Formula!C57+Formula!E57+Formula!G57+Formula!I57+Formula!K57))*(INDEX(Properties!A$1:CB$87,Formula!D57,55))+((Formula!G57)/(Formula!C57+Formula!E57+Formula!G57+Formula!I57+Formula!K57))*(INDEX(Properties!A$1:CB$87,Formula!F57,55))+((Formula!I57)/(Formula!C57+Formula!E57+Formula!G57+Formula!I57+Formula!K57))*(INDEX(Properties!A$1:CB$87,Formula!H57,55))+((Formula!K57)/(Formula!C57+Formula!E57+Formula!G57+Formula!I57+Formula!K57))*(INDEX(Properties!A$1:CB$87,Formula!J57,55))</f>
        <v>1.0769055555555556</v>
      </c>
      <c r="FI57" s="69">
        <f>Formula!C57*(INDEX(Properties!A$1:CB$87,Formula!B57,55))+Formula!E57*(INDEX(Properties!A$1:CB$87,Formula!D57,54))+Formula!G57*(INDEX(Properties!A$1:CB$87,Formula!F57,55))+Formula!I57*(INDEX(Properties!A$1:CB$87,Formula!H57,55))+Formula!K57*(INDEX(Properties!A$1:CB$87,Formula!J57,55))</f>
        <v>7041.7843000000003</v>
      </c>
      <c r="FJ57" s="69">
        <f>VARP(IF(INDEX(Properties!A$1:CB$87,Formula!B57,55)&lt;&gt;"",INDEX(Properties!A$1:CB$87,Formula!B57,55)),IF(INDEX(Properties!A$1:CB$87,Formula!D57,55)&lt;&gt;"",INDEX(Properties!A$1:CB$87,Formula!D57,55)),IF(INDEX(Properties!A$1:CB$87,Formula!F57,55)&lt;&gt;"",INDEX(Properties!A$1:CB$87,Formula!F57,55)),IF(INDEX(Properties!A$1:CB$87,Formula!H57,55)&lt;&gt;"",INDEX(Properties!A$1:CB$87,Formula!H57,55)),IF(INDEX(Properties!A$1:CB$87,Formula!J57,55)&lt;&gt;"",INDEX(Properties!A$1:CB$87,Formula!J57,55)))</f>
        <v>5.1069077511840026</v>
      </c>
      <c r="FK57" s="69">
        <f>MAX(INDEX(Properties!A$1:CB$87,Formula!B57,55),INDEX(Properties!A$1:CB$87,Formula!D57,55),INDEX(Properties!A$1:CB$87,Formula!F57,55),INDEX(Properties!A$1:CB$87,Formula!H57,55),INDEX(Properties!A$1:CB$87,Formula!J57,55))</f>
        <v>6.15</v>
      </c>
      <c r="FL57" s="69">
        <f>MIN(IF(INDEX(Properties!A$1:CB$87,Formula!B57,55)=0,10^6,INDEX(Properties!A$1:CB$87,Formula!B57,55)),IF(INDEX(Properties!A$1:CB$87,Formula!D57,55)=0,10^6,INDEX(Properties!A$1:CB$87,Formula!D57,55)),IF(INDEX(Properties!A$1:CB$87,Formula!F57,55)=0,10^6,INDEX(Properties!A$1:CB$87,Formula!F57,55)),IF(INDEX(Properties!A$1:CB$87,Formula!H57,55)=0,10^6,INDEX(Properties!A$1:CB$87,Formula!H57,55)),IF(INDEX(Properties!A$1:CB$87,Formula!J57,55)=0,10^6,INDEX(Properties!A$1:CB$87,Formula!J57,55)))</f>
        <v>1.4300000000000001E-3</v>
      </c>
      <c r="FM57" s="69">
        <f t="shared" si="27"/>
        <v>6.1485700000000003</v>
      </c>
      <c r="FN57" s="42">
        <f>((Formula!C57)/(Formula!C57+Formula!E57+Formula!G57+Formula!I57+Formula!K57))*(INDEX(Properties!A$1:CB$87,Formula!B57,56))+((Formula!E57)/(Formula!C57+Formula!E57+Formula!G57+Formula!I57+Formula!K57))*(INDEX(Properties!A$1:CB$87,Formula!D57,56))+((Formula!G57)/(Formula!C57+Formula!E57+Formula!G57+Formula!I57+Formula!K57))*(INDEX(Properties!A$1:CB$87,Formula!F57,56))+((Formula!I57)/(Formula!C57+Formula!E57+Formula!G57+Formula!I57+Formula!K57))*(INDEX(Properties!A$1:CB$87,Formula!H57,56))+((Formula!K57)/(Formula!C57+Formula!E57+Formula!G57+Formula!I57+Formula!K57))*(INDEX(Properties!A$1:CB$87,Formula!J57,56))</f>
        <v>0.83166666666666678</v>
      </c>
      <c r="FO57" s="42">
        <f>Formula!C57*(INDEX(Properties!A$1:CB$87,Formula!B57,56))+Formula!E57*(INDEX(Properties!A$1:CB$87,Formula!D57,56))+Formula!G57*(INDEX(Properties!A$1:CB$87,Formula!F57,56))+Formula!I57*(INDEX(Properties!A$1:CB$87,Formula!H57,56))+Formula!K57*(INDEX(Properties!A$1:CB$87,Formula!J57,56))</f>
        <v>14.97</v>
      </c>
      <c r="FP57" s="42">
        <f>VARP(IF(INDEX(Properties!A$1:CB$87,Formula!B57,56)&lt;&gt;"",INDEX(Properties!A$1:CB$87,Formula!B57,56)),IF(INDEX(Properties!A$1:CB$87,Formula!D57,56)&lt;&gt;"",INDEX(Properties!A$1:CB$87,Formula!D57,56)),IF(INDEX(Properties!A$1:CB$87,Formula!F57,56)&lt;&gt;"",INDEX(Properties!A$1:CB$87,Formula!F57,56)),IF(INDEX(Properties!A$1:CB$87,Formula!H57,56)&lt;&gt;"",INDEX(Properties!A$1:CB$87,Formula!H57,56)),IF(INDEX(Properties!A$1:CB$87,Formula!J57,56)&lt;&gt;"",INDEX(Properties!A$1:CB$87,Formula!J57,56)))</f>
        <v>0.15925599999999995</v>
      </c>
      <c r="FQ57" s="42">
        <f>MAX(INDEX(Properties!A$1:CB$87,Formula!B57,56),INDEX(Properties!A$1:CB$87,Formula!D57,56),INDEX(Properties!A$1:CB$87,Formula!F57,56),INDEX(Properties!A$1:CB$87,Formula!H57,56),INDEX(Properties!A$1:CB$87,Formula!J57,56))</f>
        <v>1.02</v>
      </c>
      <c r="FR57" s="42">
        <f>MIN(IF(INDEX(Properties!A$1:CB$87,Formula!B57,56)=0,10^6,INDEX(Properties!A$1:CB$87,Formula!B57,56)),IF(INDEX(Properties!A$1:CB$87,Formula!D57,56)=0,10^6,INDEX(Properties!A$1:CB$87,Formula!D57,56)),IF(INDEX(Properties!A$1:CB$87,Formula!F57,56)=0,10^6,INDEX(Properties!A$1:CB$87,Formula!F57,56)),IF(INDEX(Properties!A$1:CB$87,Formula!H57,56)=0,10^6,INDEX(Properties!A$1:CB$87,Formula!H57,56)),IF(INDEX(Properties!A$1:CB$87,Formula!J57,56)=0,10^6,INDEX(Properties!A$1:CB$87,Formula!J57,56)))</f>
        <v>0.19</v>
      </c>
      <c r="FS57" s="42">
        <f t="shared" si="28"/>
        <v>0.83000000000000007</v>
      </c>
      <c r="FT57" s="60">
        <f>((Formula!C57)/(Formula!C57+Formula!E57+Formula!G57+Formula!I57+Formula!K57))*(INDEX(Properties!A$1:CB$87,Formula!B57,57))+((Formula!E57)/(Formula!C57+Formula!E57+Formula!G57+Formula!I57+Formula!K57))*(INDEX(Properties!A$1:CB$87,Formula!D57,57))+((Formula!G57)/(Formula!C57+Formula!E57+Formula!G57+Formula!I57+Formula!K57))*(INDEX(Properties!A$1:CB$87,Formula!F57,57))+((Formula!I57)/(Formula!C57+Formula!E57+Formula!G57+Formula!I57+Formula!K57))*(INDEX(Properties!A$1:CB$87,Formula!H57,57))+((Formula!K57)/(Formula!C57+Formula!E57+Formula!G57+Formula!I57+Formula!K57))*(INDEX(Properties!A$1:CB$87,Formula!J57,57))</f>
        <v>10.73255</v>
      </c>
      <c r="FU57" s="60">
        <f>Formula!C57*(INDEX(Properties!A$1:CB$87,Formula!B57,57))+Formula!E57*(INDEX(Properties!A$1:CB$87,Formula!D57,57))+Formula!G57*(INDEX(Properties!A$1:CB$87,Formula!F57,57))+Formula!I57*(INDEX(Properties!A$1:CB$87,Formula!H57,57))+Formula!K57*(INDEX(Properties!A$1:CB$87,Formula!J57,57))</f>
        <v>193.18590000000003</v>
      </c>
      <c r="FV57" s="60">
        <f>VARP(IF(INDEX(Properties!A$1:CB$87,Formula!B57,57)&lt;&gt;"",INDEX(Properties!A$1:CB$87,Formula!B57,57)),IF(INDEX(Properties!A$1:CB$87,Formula!D57,57)&lt;&gt;"",INDEX(Properties!A$1:CB$87,Formula!D57,57)),IF(INDEX(Properties!A$1:CB$87,Formula!F57,57)&lt;&gt;"",INDEX(Properties!A$1:CB$87,Formula!F57,57)),IF(INDEX(Properties!A$1:CB$87,Formula!H57,57)&lt;&gt;"",INDEX(Properties!A$1:CB$87,Formula!H57,57)),IF(INDEX(Properties!A$1:CB$87,Formula!J57,57)&lt;&gt;"",INDEX(Properties!A$1:CB$87,Formula!J57,57)))</f>
        <v>356.44570384129611</v>
      </c>
      <c r="FW57" s="60">
        <f>MAX(INDEX(Properties!A$1:CB$87,Formula!B57,57),INDEX(Properties!A$1:CB$87,Formula!D57,57),INDEX(Properties!A$1:CB$87,Formula!F57,57),INDEX(Properties!A$1:CB$87,Formula!H57,57),INDEX(Properties!A$1:CB$87,Formula!J57,57))</f>
        <v>50.2</v>
      </c>
      <c r="FX57" s="60">
        <f>MIN(IF(INDEX(Properties!A$1:CB$87,Formula!B57,57)=0,10^6,INDEX(Properties!A$1:CB$87,Formula!B57,57)),IF(INDEX(Properties!A$1:CB$87,Formula!D57,57)=0,10^6,INDEX(Properties!A$1:CB$87,Formula!D57,57)),IF(INDEX(Properties!A$1:CB$87,Formula!F57,57)=0,10^6,INDEX(Properties!A$1:CB$87,Formula!F57,57)),IF(INDEX(Properties!A$1:CB$87,Formula!H57,57)=0,10^6,INDEX(Properties!A$1:CB$87,Formula!H57,57)),IF(INDEX(Properties!A$1:CB$87,Formula!J57,57)=0,10^6,INDEX(Properties!A$1:CB$87,Formula!J57,57)))</f>
        <v>0.22259000000000001</v>
      </c>
      <c r="FY57" s="60">
        <f t="shared" si="29"/>
        <v>49.977410000000006</v>
      </c>
      <c r="FZ57" s="72">
        <f>((Formula!C57)/(Formula!C57+Formula!E57+Formula!G57+Formula!I57+Formula!K57))*(INDEX(Properties!A$1:CB$87,Formula!B57,60))+((Formula!E57)/(Formula!C57+Formula!E57+Formula!G57+Formula!I57+Formula!K57))*(INDEX(Properties!A$1:CB$87,Formula!D57,60))+((Formula!G57)/(Formula!C57+Formula!E57+Formula!G57+Formula!I57+Formula!K57))*(INDEX(Properties!A$1:CB$87,Formula!F57,60))+((Formula!I57)/(Formula!C57+Formula!E57+Formula!G57+Formula!I57+Formula!K57))*(INDEX(Properties!A$1:CB$87,Formula!H57,60))+((Formula!K57)/(Formula!C57+Formula!E57+Formula!G57+Formula!I57+Formula!K57))*(INDEX(Properties!A$1:CB$87,Formula!J57,60))</f>
        <v>49.709299999999999</v>
      </c>
      <c r="GA57" s="72">
        <f>Formula!C57*(INDEX(Properties!A$1:CB$87,Formula!B57,60))+Formula!E57*(INDEX(Properties!A$1:CB$87,Formula!D57,60))+Formula!G57*(INDEX(Properties!A$1:CB$87,Formula!F57,60))+Formula!I57*(INDEX(Properties!A$1:CB$87,Formula!H57,60))+Formula!K57*(INDEX(Properties!A$1:CB$87,Formula!J57,60))</f>
        <v>894.76739999999995</v>
      </c>
      <c r="GB57" s="72">
        <f>VARP(IF(INDEX(Properties!A$1:CB$87,Formula!B57,60)&lt;&gt;"",INDEX(Properties!A$1:CB$87,Formula!B57,60)),IF(INDEX(Properties!A$1:CB$87,Formula!D57,60)&lt;&gt;"",INDEX(Properties!A$1:CB$87,Formula!D57,60)),IF(INDEX(Properties!A$1:CB$87,Formula!F57,60)&lt;&gt;"",INDEX(Properties!A$1:CB$87,Formula!F57,60)),IF(INDEX(Properties!A$1:CB$87,Formula!H57,60)&lt;&gt;"",INDEX(Properties!A$1:CB$87,Formula!H57,60)),IF(INDEX(Properties!A$1:CB$87,Formula!J57,60)&lt;&gt;"",INDEX(Properties!A$1:CB$87,Formula!J57,60)))</f>
        <v>5868.125636804416</v>
      </c>
      <c r="GC57" s="72">
        <f>MAX(INDEX(Properties!A$1:CB$87,Formula!B57,60),INDEX(Properties!A$1:CB$87,Formula!D57,60),INDEX(Properties!A$1:CB$87,Formula!F57,60),INDEX(Properties!A$1:CB$87,Formula!H57,60),INDEX(Properties!A$1:CB$87,Formula!J57,60))</f>
        <v>200</v>
      </c>
      <c r="GD57" s="72">
        <f>MIN(IF(INDEX(Properties!A$1:CB$87,Formula!B57,60)=0,10^6,INDEX(Properties!A$1:CB$87,Formula!B57,60)),IF(INDEX(Properties!A$1:CB$87,Formula!D57,60)=0,10^6,INDEX(Properties!A$1:CB$87,Formula!D57,60)),IF(INDEX(Properties!A$1:CB$87,Formula!F57,60)=0,10^6,INDEX(Properties!A$1:CB$87,Formula!F57,60)),IF(INDEX(Properties!A$1:CB$87,Formula!H57,60)=0,10^6,INDEX(Properties!A$1:CB$87,Formula!H57,60)),IF(INDEX(Properties!A$1:CB$87,Formula!J57,60)=0,10^6,INDEX(Properties!A$1:CB$87,Formula!J57,60)))</f>
        <v>2.674E-2</v>
      </c>
      <c r="GE57" s="72">
        <f t="shared" si="30"/>
        <v>199.97326000000001</v>
      </c>
      <c r="GF57" s="51">
        <f>((Formula!C57)/(Formula!C57+Formula!E57+Formula!G57+Formula!I57+Formula!K57))*(INDEX(Properties!A$1:CB$87,Formula!B57,62))+((Formula!E57)/(Formula!C57+Formula!E57+Formula!G57+Formula!I57+Formula!K57))*(INDEX(Properties!A$1:CB$87,Formula!D57,62))+((Formula!G57)/(Formula!C57+Formula!E57+Formula!G57+Formula!I57+Formula!K57))*(INDEX(Properties!A$1:CB$87,Formula!F57,62))+((Formula!I57)/(Formula!C57+Formula!E57+Formula!G57+Formula!I57+Formula!K57))*(INDEX(Properties!A$1:CB$87,Formula!H57,62))+((Formula!K57)/(Formula!C57+Formula!E57+Formula!G57+Formula!I57+Formula!K57))*(INDEX(Properties!A$1:CB$87,Formula!J57,62))</f>
        <v>3.0811111111111114</v>
      </c>
      <c r="GG57" s="51">
        <f>Formula!C57*(INDEX(Properties!A$1:CB$87,Formula!B57,62))+Formula!E57*(INDEX(Properties!A$1:CB$87,Formula!D57,62))+Formula!G57*(INDEX(Properties!A$1:CB$87,Formula!F57,62))+Formula!I57*(INDEX(Properties!A$1:CB$87,Formula!H57,62))+Formula!K57*(INDEX(Properties!A$1:CB$87,Formula!J57,62))</f>
        <v>55.46</v>
      </c>
      <c r="GH57" s="51">
        <f>VARP(IF(INDEX(Properties!A$1:CB$87,Formula!B57,62)&lt;&gt;"",INDEX(Properties!A$1:CB$87,Formula!B57,62)),IF(INDEX(Properties!A$1:CB$87,Formula!D57,62)&lt;&gt;"",INDEX(Properties!A$1:CB$87,Formula!D57,62)),IF(INDEX(Properties!A$1:CB$87,Formula!F57,62)&lt;&gt;"",INDEX(Properties!A$1:CB$87,Formula!F57,62)),IF(INDEX(Properties!A$1:CB$87,Formula!H57,62)&lt;&gt;"",INDEX(Properties!A$1:CB$87,Formula!H57,62)),IF(INDEX(Properties!A$1:CB$87,Formula!J57,62)&lt;&gt;"",INDEX(Properties!A$1:CB$87,Formula!J57,62)))</f>
        <v>4.1066959999999995</v>
      </c>
      <c r="GI57" s="51">
        <f>MAX(INDEX(Properties!A$1:CB$87,Formula!B57,62),INDEX(Properties!A$1:CB$87,Formula!D57,62),INDEX(Properties!A$1:CB$87,Formula!F57,62),INDEX(Properties!A$1:CB$87,Formula!H57,62),INDEX(Properties!A$1:CB$87,Formula!J57,62))</f>
        <v>5.81</v>
      </c>
      <c r="GJ57" s="51">
        <f>MIN(IF(INDEX(Properties!A$1:CB$87,Formula!B57,62)=0,10^6,INDEX(Properties!A$1:CB$87,Formula!B57,62)),IF(INDEX(Properties!A$1:CB$87,Formula!D57,62)=0,10^6,INDEX(Properties!A$1:CB$87,Formula!D57,62)),IF(INDEX(Properties!A$1:CB$87,Formula!F57,62)=0,10^6,INDEX(Properties!A$1:CB$87,Formula!F57,62)),IF(INDEX(Properties!A$1:CB$87,Formula!H57,62)=0,10^6,INDEX(Properties!A$1:CB$87,Formula!H57,62)),IF(INDEX(Properties!A$1:CB$87,Formula!J57,62)=0,10^6,INDEX(Properties!A$1:CB$87,Formula!J57,62)))</f>
        <v>1.84</v>
      </c>
      <c r="GK57" s="51">
        <f t="shared" si="31"/>
        <v>3.9699999999999998</v>
      </c>
      <c r="GL57" s="51">
        <f>Formula!P57</f>
        <v>8</v>
      </c>
      <c r="GM57" s="57">
        <f>Formula!O57</f>
        <v>2</v>
      </c>
      <c r="GN57" s="51">
        <f>Formula!N57</f>
        <v>0.05</v>
      </c>
    </row>
    <row r="58" spans="1:196" x14ac:dyDescent="0.3">
      <c r="A58" s="84" t="str">
        <f>Formula!A58</f>
        <v>CaAl4O7</v>
      </c>
      <c r="B58" s="89">
        <f>((Formula!C58)/(Formula!C58+Formula!E58+Formula!G58+Formula!I58+Formula!K58))*(INDEX(Properties!A$1:CB$87,Formula!B58,3))+((Formula!E58)/(Formula!C58+Formula!E58+Formula!G58+Formula!I58+Formula!K58))*(INDEX(Properties!A$1:CB$87,Formula!D58,3))+((Formula!G58)/(Formula!C58+Formula!E58+Formula!G58+Formula!I58+Formula!K58))*(INDEX(Properties!A$1:CB$87,Formula!F58,3))+((Formula!I58)/(Formula!C58+Formula!E58+Formula!G58+Formula!I58+Formula!K58))*(INDEX(Properties!A$1:CB$87,Formula!H58,3))+((Formula!K58)/(Formula!C58+Formula!E58+Formula!G58+Formula!I58+Formula!K58))*(INDEX(Properties!A$1:CB$87,Formula!J58,3))</f>
        <v>21.666663</v>
      </c>
      <c r="C58" s="85">
        <f>Formula!C58*(INDEX(Properties!A$1:CB$87,Formula!B58,3))+Formula!E58*(INDEX(Properties!A$1:CB$87,Formula!D58,3))+Formula!G58*(INDEX(Properties!A$1:CB$87,Formula!F58,3))+Formula!I58*(INDEX(Properties!A$1:CB$87,Formula!H58,3))+Formula!K58*(INDEX(Properties!A$1:CB$87,Formula!J58,3))</f>
        <v>259.999956</v>
      </c>
      <c r="D58" s="85">
        <f>VARP(IF(INDEX(Properties!A$1:CB$87,Formula!B58,3)&lt;&gt;"",INDEX(Properties!A$1:CB$87,Formula!B58,3)),IF(INDEX(Properties!A$1:CB$87,Formula!D58,3)&lt;&gt;"",INDEX(Properties!A$1:CB$87,Formula!D58,3)),IF(INDEX(Properties!A$1:CB$87,Formula!F58,3)&lt;&gt;"",INDEX(Properties!A$1:CB$87,Formula!F58,3)),IF(INDEX(Properties!A$1:CB$87,Formula!H58,3)&lt;&gt;"",INDEX(Properties!A$1:CB$87,Formula!H58,3)),IF(INDEX(Properties!A$1:CB$87,Formula!J58,3)&lt;&gt;"",INDEX(Properties!A$1:CB$87,Formula!J58,3)))</f>
        <v>242.09457232147545</v>
      </c>
      <c r="E58" s="85">
        <f>MAX(INDEX(Properties!A$1:CB$87,Formula!B58,3),INDEX(Properties!A$1:CB$87,Formula!D58,3),INDEX(Properties!A$1:CB$87,Formula!F58,3),INDEX(Properties!A$1:CB$87,Formula!H58,3),INDEX(Properties!A$1:CB$87,Formula!J58,3))</f>
        <v>40.078000000000003</v>
      </c>
      <c r="F58" s="85">
        <f>MIN(IF(INDEX(Properties!A$1:CB$87,Formula!B58,3)=0,10^6,INDEX(Properties!A$1:CB$87,Formula!B58,3)),IF(INDEX(Properties!A$1:CB$87,Formula!D58,3)=0,10^6,INDEX(Properties!A$1:CB$87,Formula!D58,3)),IF(INDEX(Properties!A$1:CB$87,Formula!F58,3)=0,10^6,INDEX(Properties!A$1:CB$87,Formula!F58,3)),IF(INDEX(Properties!A$1:CB$87,Formula!H58,3)=0,10^6,INDEX(Properties!A$1:CB$87,Formula!H58,3)),IF(INDEX(Properties!A$1:CB$87,Formula!J58,3)=0,10^6,INDEX(Properties!A$1:CB$87,Formula!J58,3)))</f>
        <v>15.9994</v>
      </c>
      <c r="G58" s="85">
        <f t="shared" si="0"/>
        <v>24.078600000000002</v>
      </c>
      <c r="H58" s="87">
        <f>((Formula!C58)/(Formula!C58+Formula!E58+Formula!G58+Formula!I58+Formula!K58))*(INDEX(Properties!A$1:CB$87,Formula!B58,4))+((Formula!E58)/(Formula!C58+Formula!E58+Formula!G58+Formula!I58+Formula!K58))*(INDEX(Properties!A$1:CB$87,Formula!D58,4))+((Formula!G58)/(Formula!C58+Formula!E58+Formula!G58+Formula!I58+Formula!K58))*(INDEX(Properties!A$1:CB$87,Formula!F58,4))+((Formula!I58)/(Formula!C58+Formula!E58+Formula!G58+Formula!I58+Formula!K58))*(INDEX(Properties!A$1:CB$87,Formula!H58,4))+((Formula!K58)/(Formula!C58+Formula!E58+Formula!G58+Formula!I58+Formula!K58))*(INDEX(Properties!A$1:CB$87,Formula!J58,4))</f>
        <v>10.666666666666668</v>
      </c>
      <c r="I58" s="87">
        <f>Formula!C58*(INDEX(Properties!A$1:CB$87,Formula!B58,4))+Formula!E58*(INDEX(Properties!A$1:CB$87,Formula!D58,4))+Formula!G58*(INDEX(Properties!A$1:CB$87,Formula!F58,4))+Formula!I58*(INDEX(Properties!A$1:CB$87,Formula!H58,4))+Formula!K58*(INDEX(Properties!A$1:CB$87,Formula!J58,4))</f>
        <v>128</v>
      </c>
      <c r="J58" s="87">
        <f>VARP(IF(INDEX(Properties!A$1:CB$87,Formula!B58,4)&lt;&gt;"",INDEX(Properties!A$1:CB$87,Formula!B58,4)),IF(INDEX(Properties!A$1:CB$87,Formula!D58,4)&lt;&gt;"",INDEX(Properties!A$1:CB$87,Formula!D58,4)),IF(INDEX(Properties!A$1:CB$87,Formula!F58,4)&lt;&gt;"",INDEX(Properties!A$1:CB$87,Formula!F58,4)),IF(INDEX(Properties!A$1:CB$87,Formula!H58,4)&lt;&gt;"",INDEX(Properties!A$1:CB$87,Formula!H58,4)),IF(INDEX(Properties!A$1:CB$87,Formula!J58,4)&lt;&gt;"",INDEX(Properties!A$1:CB$87,Formula!J58,4)))</f>
        <v>59.36</v>
      </c>
      <c r="K58" s="87">
        <f>MAX(INDEX(Properties!A$1:CB$87,Formula!B58,4),INDEX(Properties!A$1:CB$87,Formula!D58,4),INDEX(Properties!A$1:CB$87,Formula!F58,4),INDEX(Properties!A$1:CB$87,Formula!H58,4),INDEX(Properties!A$1:CB$87,Formula!J58,4))</f>
        <v>20</v>
      </c>
      <c r="L58" s="87">
        <f>MIN(IF(INDEX(Properties!A$1:CB$87,Formula!B58,4)=0,10^6,INDEX(Properties!A$1:CB$87,Formula!B58,4)),IF(INDEX(Properties!A$1:CB$87,Formula!D58,4)=0,10^6,INDEX(Properties!A$1:CB$87,Formula!D58,4)),IF(INDEX(Properties!A$1:CB$87,Formula!F58,4)=0,10^6,INDEX(Properties!A$1:CB$87,Formula!F58,4)),IF(INDEX(Properties!A$1:CB$87,Formula!H58,4)=0,10^6,INDEX(Properties!A$1:CB$87,Formula!H58,4)),IF(INDEX(Properties!A$1:CB$87,Formula!J58,4)=0,10^6,INDEX(Properties!A$1:CB$87,Formula!J58,4)))</f>
        <v>8</v>
      </c>
      <c r="M58" s="87">
        <f t="shared" si="1"/>
        <v>12</v>
      </c>
      <c r="N58" s="89">
        <f>((Formula!C58)/(Formula!C58+Formula!E58+Formula!G58+Formula!I58+Formula!K58))*(INDEX(Properties!A$1:CB$87,Formula!B58,5))+((Formula!E58)/(Formula!C58+Formula!E58+Formula!G58+Formula!I58+Formula!K58))*(INDEX(Properties!A$1:CB$87,Formula!D58,5))+((Formula!G58)/(Formula!C58+Formula!E58+Formula!G58+Formula!I58+Formula!K58))*(INDEX(Properties!A$1:CB$87,Formula!F58,5))+((Formula!I58)/(Formula!C58+Formula!E58+Formula!G58+Formula!I58+Formula!K58))*(INDEX(Properties!A$1:CB$87,Formula!H58,5))+((Formula!K58)/(Formula!C58+Formula!E58+Formula!G58+Formula!I58+Formula!K58))*(INDEX(Properties!A$1:CB$87,Formula!J58,5))</f>
        <v>2.5</v>
      </c>
      <c r="O58" s="89">
        <f>Formula!C58*(INDEX(Properties!A$1:CB$87,Formula!B58,5))+Formula!E58*(INDEX(Properties!A$1:CB$87,Formula!D58,5))+Formula!G58*(INDEX(Properties!A$1:CB$87,Formula!F58,5))+Formula!I58*(INDEX(Properties!A$1:CB$87,Formula!H58,5))+Formula!K58*(INDEX(Properties!A$1:CB$87,Formula!J58,5))</f>
        <v>30</v>
      </c>
      <c r="P58" s="89">
        <f>VARP(IF(INDEX(Properties!A$1:CB$87,Formula!B58,5)&lt;&gt;"",INDEX(Properties!A$1:CB$87,Formula!B58,5)),IF(INDEX(Properties!A$1:CB$87,Formula!D58,5)&lt;&gt;"",INDEX(Properties!A$1:CB$87,Formula!D58,5)),IF(INDEX(Properties!A$1:CB$87,Formula!F58,5)&lt;&gt;"",INDEX(Properties!A$1:CB$87,Formula!F58,5)),IF(INDEX(Properties!A$1:CB$87,Formula!H58,5)&lt;&gt;"",INDEX(Properties!A$1:CB$87,Formula!H58,5)),IF(INDEX(Properties!A$1:CB$87,Formula!J58,5)&lt;&gt;"",INDEX(Properties!A$1:CB$87,Formula!J58,5)))</f>
        <v>2.56</v>
      </c>
      <c r="Q58" s="89">
        <f>MAX(INDEX(Properties!A$1:CB$87,Formula!B58,5),INDEX(Properties!A$1:CB$87,Formula!D58,5),INDEX(Properties!A$1:CB$87,Formula!F58,5),INDEX(Properties!A$1:CB$87,Formula!H58,5),INDEX(Properties!A$1:CB$87,Formula!J58,5))</f>
        <v>4</v>
      </c>
      <c r="R58" s="89">
        <f>MIN(IF(INDEX(Properties!A$1:CB$87,Formula!B58,5)=0,10^6,INDEX(Properties!A$1:CB$87,Formula!B58,5)),IF(INDEX(Properties!A$1:CB$87,Formula!D58,5)=0,10^6,INDEX(Properties!A$1:CB$87,Formula!D58,5)),IF(INDEX(Properties!A$1:CB$87,Formula!F58,5)=0,10^6,INDEX(Properties!A$1:CB$87,Formula!F58,5)),IF(INDEX(Properties!A$1:CB$87,Formula!H58,5)=0,10^6,INDEX(Properties!A$1:CB$87,Formula!H58,5)),IF(INDEX(Properties!A$1:CB$87,Formula!J58,5)=0,10^6,INDEX(Properties!A$1:CB$87,Formula!J58,5)))</f>
        <v>2</v>
      </c>
      <c r="S58" s="89">
        <f t="shared" si="2"/>
        <v>2</v>
      </c>
      <c r="T58" s="60">
        <f>((Formula!C58)/(Formula!C58+Formula!E58+Formula!G58+Formula!I58+Formula!K58))*(INDEX(Properties!A$1:CB$87,Formula!B58,6))+((Formula!E58)/(Formula!C58+Formula!E58+Formula!G58+Formula!I58+Formula!K58))*(INDEX(Properties!A$1:CB$87,Formula!D58,6))+((Formula!G58)/(Formula!C58+Formula!E58+Formula!G58+Formula!I58+Formula!K58))*(INDEX(Properties!A$1:CB$87,Formula!F58,6))+((Formula!I58)/(Formula!C58+Formula!E58+Formula!G58+Formula!I58+Formula!K58))*(INDEX(Properties!A$1:CB$87,Formula!H58,6))+((Formula!K58)/(Formula!C58+Formula!E58+Formula!G58+Formula!I58+Formula!K58))*(INDEX(Properties!A$1:CB$87,Formula!J58,6))</f>
        <v>13.833333333333334</v>
      </c>
      <c r="U58" s="60">
        <f>Formula!C58*(INDEX(Properties!A$1:CB$87,Formula!B58,6))+Formula!E58*(INDEX(Properties!A$1:CB$87,Formula!D58,6))+Formula!G58*(INDEX(Properties!A$1:CB$87,Formula!F58,6))+Formula!I58*(INDEX(Properties!A$1:CB$87,Formula!H58,6))+Formula!K58*(INDEX(Properties!A$1:CB$87,Formula!J58,6))</f>
        <v>166</v>
      </c>
      <c r="V58" s="89">
        <f>VARP(IF(INDEX(Properties!A$1:CB$87,Formula!B58,6)&lt;&gt;"",INDEX(Properties!A$1:CB$87,Formula!B58,6)),IF(INDEX(Properties!A$1:CB$87,Formula!D58,6)&lt;&gt;"",INDEX(Properties!A$1:CB$87,Formula!D58,6)),IF(INDEX(Properties!A$1:CB$87,Formula!F58,6)&lt;&gt;"",INDEX(Properties!A$1:CB$87,Formula!F58,6)),IF(INDEX(Properties!A$1:CB$87,Formula!H58,6)&lt;&gt;"",INDEX(Properties!A$1:CB$87,Formula!H58,6)),IF(INDEX(Properties!A$1:CB$87,Formula!J58,6)&lt;&gt;"",INDEX(Properties!A$1:CB$87,Formula!J58,6)))</f>
        <v>47.36</v>
      </c>
      <c r="W58" s="60">
        <f>MAX(INDEX(Properties!A$1:CB$87,Formula!B58,6),INDEX(Properties!A$1:CB$87,Formula!D58,6),INDEX(Properties!A$1:CB$87,Formula!F58,6),INDEX(Properties!A$1:CB$87,Formula!H58,4),INDEX(Properties!A$1:CB$87,Formula!J58,6))</f>
        <v>16</v>
      </c>
      <c r="X58" s="60">
        <f>MIN(IF(INDEX(Properties!A$1:CB$87,Formula!B58,6)=0,10^6,INDEX(Properties!A$1:CB$87,Formula!B58,6)),IF(INDEX(Properties!A$1:CB$87,Formula!D58,6)=0,10^6,INDEX(Properties!A$1:CB$87,Formula!D58,6)),IF(INDEX(Properties!A$1:CB$87,Formula!F58,6)=0,10^6,INDEX(Properties!A$1:CB$87,Formula!F58,6)),IF(INDEX(Properties!A$1:CB$87,Formula!H58,6)=0,10^6,INDEX(Properties!A$1:CB$87,Formula!H58,6)),IF(INDEX(Properties!A$1:CB$87,Formula!J58,6)=0,10^6,INDEX(Properties!A$1:CB$87,Formula!J58,6)))</f>
        <v>2</v>
      </c>
      <c r="Y58" s="60">
        <f t="shared" si="3"/>
        <v>14</v>
      </c>
      <c r="Z58" s="72">
        <f>((Formula!C58)/(Formula!C58+Formula!E58+Formula!G58+Formula!I58+Formula!K58))*(INDEX(Properties!A$1:CB$87,Formula!B58,9))+((Formula!E58)/(Formula!C58+Formula!E58+Formula!G58+Formula!I58+Formula!K58))*(INDEX(Properties!A$1:CB$87,Formula!D58,9))+((Formula!G58)/(Formula!C58+Formula!E58+Formula!G58+Formula!I58+Formula!K58))*(INDEX(Properties!A$1:CB$87,Formula!F58,9))+((Formula!I58)/(Formula!C58+Formula!E58+Formula!G58+Formula!I58+Formula!K58))*(INDEX(Properties!A$1:CB$87,Formula!H58,9))+((Formula!K58)/(Formula!C58+Formula!E58+Formula!G58+Formula!I58+Formula!K58))*(INDEX(Properties!A$1:CB$87,Formula!J58,9))</f>
        <v>75.666666666666657</v>
      </c>
      <c r="AA58" s="72">
        <f>Formula!C58*(INDEX(Properties!A$1:CB$87,Formula!B58,9))+Formula!E58*(INDEX(Properties!A$1:CB$87,Formula!D58,9))+Formula!G58*(INDEX(Properties!A$1:CB$87,Formula!F58,9))+Formula!I58*(INDEX(Properties!A$1:CB$87,Formula!H58,9))+Formula!K58*(INDEX(Properties!A$1:CB$87,Formula!J58,9))</f>
        <v>908</v>
      </c>
      <c r="AB58" s="72">
        <f>VARP(IF(INDEX(Properties!A$1:CB$87,Formula!B58,9)&lt;&gt;"",INDEX(Properties!A$1:CB$87,Formula!B58,9)),IF(INDEX(Properties!A$1:CB$87,Formula!D58,9)&lt;&gt;"",INDEX(Properties!A$1:CB$87,Formula!D58,9)),IF(INDEX(Properties!A$1:CB$87,Formula!F58,9)&lt;&gt;"",INDEX(Properties!A$1:CB$87,Formula!F58,9)),IF(INDEX(Properties!A$1:CB$87,Formula!H58,9)&lt;&gt;"",INDEX(Properties!A$1:CB$87,Formula!H58,9)),IF(INDEX(Properties!A$1:CB$87,Formula!J58,9)&lt;&gt;"",INDEX(Properties!A$1:CB$87,Formula!J58,9)))</f>
        <v>1473.84</v>
      </c>
      <c r="AC58" s="72">
        <f>MAX(INDEX(Properties!A$1:CB$87,Formula!B58,9),INDEX(Properties!A$1:CB$87,Formula!D58,9),INDEX(Properties!A$1:CB$87,Formula!F58,9),INDEX(Properties!A$1:CB$87,Formula!H58,9),INDEX(Properties!A$1:CB$87,Formula!J58,9))</f>
        <v>87</v>
      </c>
      <c r="AD58" s="72">
        <f>MIN(IF(INDEX(Properties!A$1:CB$87,Formula!B58,9)=0,10^6,INDEX(Properties!A$1:CB$87,Formula!B58,9)),IF(INDEX(Properties!A$1:CB$87,Formula!D58,9)=0,10^6,INDEX(Properties!A$1:CB$87,Formula!D58,9)),IF(INDEX(Properties!A$1:CB$87,Formula!F58,9)=0,10^6,INDEX(Properties!A$1:CB$87,Formula!F58,9)),IF(INDEX(Properties!A$1:CB$87,Formula!H58,9)=0,10^6,INDEX(Properties!A$1:CB$87,Formula!H58,9)),IF(INDEX(Properties!A$1:CB$87,Formula!J58,9)=0,10^6,INDEX(Properties!A$1:CB$87,Formula!J58,9)))</f>
        <v>7</v>
      </c>
      <c r="AE58" s="72">
        <f t="shared" si="4"/>
        <v>80</v>
      </c>
      <c r="AF58" s="51">
        <f>((Formula!C58)/(Formula!C58+Formula!E58+Formula!G58+Formula!I58+Formula!K58))*(INDEX(Properties!A$1:CB$87,Formula!B58,10))+((Formula!E58)/(Formula!C58+Formula!E58+Formula!G58+Formula!I58+Formula!K58))*(INDEX(Properties!A$1:CB$87,Formula!D58,10))+((Formula!G58)/(Formula!C58+Formula!E58+Formula!G58+Formula!I58+Formula!K58))*(INDEX(Properties!A$1:CB$87,Formula!F58,10))+((Formula!I58)/(Formula!C58+Formula!E58+Formula!G58+Formula!I58+Formula!K58))*(INDEX(Properties!A$1:CB$87,Formula!H58,10))+((Formula!K58)/(Formula!C58+Formula!E58+Formula!G58+Formula!I58+Formula!K58))*(INDEX(Properties!A$1:CB$87,Formula!J58,10))</f>
        <v>5.916666666666667</v>
      </c>
      <c r="AG58" s="51">
        <f>Formula!C58*(INDEX(Properties!A$1:CB$87,Formula!B58,10))+Formula!E58*(INDEX(Properties!A$1:CB$87,Formula!D58,10))+Formula!G58*(INDEX(Properties!A$1:CB$87,Formula!F58,10))+Formula!I58*(INDEX(Properties!A$1:CB$87,Formula!H58,10))+Formula!K58*(INDEX(Properties!A$1:CB$87,Formula!J58,10))</f>
        <v>71</v>
      </c>
      <c r="AH58" s="51">
        <f>VARP(IF(INDEX(Properties!A$1:CB$87,Formula!B58,10)&lt;&gt;"",INDEX(Properties!A$1:CB$87,Formula!B58,10)),IF(INDEX(Properties!A$1:CB$87,Formula!D58,10)&lt;&gt;"",INDEX(Properties!A$1:CB$87,Formula!D58,10)),IF(INDEX(Properties!A$1:CB$87,Formula!F58,10)&lt;&gt;"",INDEX(Properties!A$1:CB$87,Formula!F58,10)),IF(INDEX(Properties!A$1:CB$87,Formula!H58,10)&lt;&gt;"",INDEX(Properties!A$1:CB$87,Formula!H58,10)),IF(INDEX(Properties!A$1:CB$87,Formula!J58,10)&lt;&gt;"",INDEX(Properties!A$1:CB$87,Formula!J58,10)))</f>
        <v>7.76</v>
      </c>
      <c r="AI58" s="51">
        <f>MAX(INDEX(Properties!A$1:CB$87,Formula!B58,10),INDEX(Properties!A$1:CB$87,Formula!D58,10),INDEX(Properties!A$1:CB$87,Formula!F58,10),INDEX(Properties!A$1:CB$87,Formula!H58,10),INDEX(Properties!A$1:CB$87,Formula!J58,10))</f>
        <v>7</v>
      </c>
      <c r="AJ58" s="51">
        <f>MIN(IF(INDEX(Properties!A$1:CB$87,Formula!B58,10)=0,10^6,INDEX(Properties!A$1:CB$87,Formula!B58,10)),IF(INDEX(Properties!A$1:CB$87,Formula!D58,10)=0,10^6,INDEX(Properties!A$1:CB$87,Formula!D58,10)),IF(INDEX(Properties!A$1:CB$87,Formula!F58,10)=0,10^6,INDEX(Properties!A$1:CB$87,Formula!F58,10)),IF(INDEX(Properties!A$1:CB$87,Formula!H58,10)=0,10^6,INDEX(Properties!A$1:CB$87,Formula!H58,10)),IF(INDEX(Properties!A$1:CB$87,Formula!J58,10)=0,10^6,INDEX(Properties!A$1:CB$87,Formula!J58,10)))</f>
        <v>2</v>
      </c>
      <c r="AK58" s="51">
        <f t="shared" si="5"/>
        <v>5</v>
      </c>
      <c r="AL58" s="57">
        <f>((Formula!C58)/(Formula!C58+Formula!E58+Formula!G58+Formula!I58+Formula!K58))*(INDEX(Properties!A$1:CB$87,Formula!B58,11))+((Formula!E58)/(Formula!C58+Formula!E58+Formula!G58+Formula!I58+Formula!K58))*(INDEX(Properties!A$1:CB$87,Formula!D58,11))+((Formula!G58)/(Formula!C58+Formula!E58+Formula!G58+Formula!I58+Formula!K58))*(INDEX(Properties!A$1:CB$87,Formula!F58,11))+((Formula!I58)/(Formula!C58+Formula!E58+Formula!G58+Formula!I58+Formula!K58))*(INDEX(Properties!A$1:CB$87,Formula!H58,11))+((Formula!K58)/(Formula!C58+Formula!E58+Formula!G58+Formula!I58+Formula!K58))*(INDEX(Properties!A$1:CB$87,Formula!J58,11))</f>
        <v>2</v>
      </c>
      <c r="AM58" s="57">
        <f>Formula!C58*(INDEX(Properties!A$1:CB$87,Formula!B58,11))+Formula!E58*(INDEX(Properties!A$1:CB$87,Formula!D58,11))+Formula!G58*(INDEX(Properties!A$1:CB$87,Formula!F58,11))+Formula!I58*(INDEX(Properties!A$1:CB$87,Formula!H58,11))+Formula!K58*(INDEX(Properties!A$1:CB$87,Formula!J58,11))</f>
        <v>24</v>
      </c>
      <c r="AN58" s="57">
        <f>VARP(IF(INDEX(Properties!A$1:CB$87,Formula!B58,11)&lt;&gt;"",INDEX(Properties!A$1:CB$87,Formula!B58,11)),IF(INDEX(Properties!A$1:CB$87,Formula!D58,11)&lt;&gt;"",INDEX(Properties!A$1:CB$87,Formula!D58,11)),IF(INDEX(Properties!A$1:CB$87,Formula!F58,11)&lt;&gt;"",INDEX(Properties!A$1:CB$87,Formula!F58,11)),IF(INDEX(Properties!A$1:CB$87,Formula!H58,11)&lt;&gt;"",INDEX(Properties!A$1:CB$87,Formula!H58,11)),IF(INDEX(Properties!A$1:CB$87,Formula!J58,11)&lt;&gt;"",INDEX(Properties!A$1:CB$87,Formula!J58,11)))</f>
        <v>0.96</v>
      </c>
      <c r="AO58" s="57">
        <f>MAX(INDEX(Properties!A$1:CB$87,Formula!B58,11),INDEX(Properties!A$1:CB$87,Formula!D58,11),INDEX(Properties!A$1:CB$87,Formula!F58,11),INDEX(Properties!A$1:CB$87,Formula!H58,11),INDEX(Properties!A$1:CB$87,Formula!J58,11))</f>
        <v>2</v>
      </c>
      <c r="AP58" s="57">
        <f>MIN(IF(Formula!B58=87,10^6,INDEX(Properties!A$1:CB$87,Formula!B58,11)),IF((Formula!D58)=87,10^6,INDEX(Properties!A$1:CB$87,Formula!D58,11)),IF((Formula!F58)=87,10^6,INDEX(Properties!A$1:CB$87,Formula!F58,11)),IF((Formula!H58)=87,10^6,INDEX(Properties!A$1:CB$87,Formula!H58,11)),IF(Formula!J58=87,10^6,INDEX(Properties!A$1:CB$87,Formula!J58,11)))</f>
        <v>2</v>
      </c>
      <c r="AQ58" s="57">
        <f t="shared" si="6"/>
        <v>0</v>
      </c>
      <c r="AR58" s="78">
        <f>((Formula!C58)/(Formula!C58+Formula!E58+Formula!G58+Formula!I58+Formula!K58))*(INDEX(Properties!A$1:CB$87,Formula!B58,12))+((Formula!E58)/(Formula!C58+Formula!E58+Formula!G58+Formula!I58+Formula!K58))*(INDEX(Properties!A$1:CB$87,Formula!D58,12))+((Formula!G58)/(Formula!C58+Formula!E58+Formula!G58+Formula!I58+Formula!K58))*(INDEX(Properties!A$1:CB$87,Formula!F58,12))+((Formula!I58)/(Formula!C58+Formula!E58+Formula!G58+Formula!I58+Formula!K58))*(INDEX(Properties!A$1:CB$87,Formula!H58,12))+((Formula!K58)/(Formula!C58+Formula!E58+Formula!G58+Formula!I58+Formula!K58))*(INDEX(Properties!A$1:CB$87,Formula!J58,12))</f>
        <v>2.666666666666667</v>
      </c>
      <c r="AS58" s="78">
        <f>Formula!C58*(INDEX(Properties!A$1:CB$87,Formula!B58,12))+Formula!E58*(INDEX(Properties!A$1:CB$87,Formula!D58,12))+Formula!G58*(INDEX(Properties!A$1:CB$87,Formula!F58,12))+Formula!I58*(INDEX(Properties!A$1:CB$87,Formula!H58,12))+Formula!K58*(INDEX(Properties!A$1:CB$87,Formula!J58,12))</f>
        <v>32</v>
      </c>
      <c r="AT58" s="78">
        <f>VARP(IF(INDEX(Properties!A$1:CB$87,Formula!B58,12)&lt;&gt;"",INDEX(Properties!A$1:CB$87,Formula!B58,12)),IF(INDEX(Properties!A$1:CB$87,Formula!D58,12)&lt;&gt;"",INDEX(Properties!A$1:CB$87,Formula!D58,12)),IF(INDEX(Properties!A$1:CB$87,Formula!F58,12)&lt;&gt;"",INDEX(Properties!A$1:CB$87,Formula!F58,12)),IF(INDEX(Properties!A$1:CB$87,Formula!H58,12)&lt;&gt;"",INDEX(Properties!A$1:CB$87,Formula!H58,12)),IF(INDEX(Properties!A$1:CB$87,Formula!J58,12)&lt;&gt;"",INDEX(Properties!A$1:CB$87,Formula!J58,12)))</f>
        <v>2.4</v>
      </c>
      <c r="AU58" s="78">
        <f>MAX(INDEX(Properties!A$1:CB$87,Formula!B58,12),INDEX(Properties!A$1:CB$87,Formula!D58,12),INDEX(Properties!A$1:CB$87,Formula!F58,12),INDEX(Properties!A$1:CB$87,Formula!H58,12),INDEX(Properties!A$1:CB$87,Formula!J58,12))</f>
        <v>4</v>
      </c>
      <c r="AV58" s="78">
        <f>MIN(IF(Formula!B58=87,10^6,INDEX(Properties!A$1:CB$87,Formula!B58,12)),IF((Formula!D58)=87,10^6,INDEX(Properties!A$1:CB$87,Formula!D58,12)),IF((Formula!F58)=87,10^6,INDEX(Properties!A$1:CB$87,Formula!F58,12)),IF((Formula!H58)=87,10^6,INDEX(Properties!A$1:CB$87,Formula!H58,12)),IF(Formula!J58=87,10^6,INDEX(Properties!A$1:CB$87,Formula!J58,12)))</f>
        <v>0</v>
      </c>
      <c r="AW58" s="78">
        <f t="shared" si="7"/>
        <v>4</v>
      </c>
      <c r="AX58" s="45">
        <f>((Formula!C58)/(Formula!C58+Formula!E58+Formula!G58+Formula!I58+Formula!K58))*(INDEX(Properties!A$1:CB$87,Formula!B58,13))+((Formula!E58)/(Formula!C58+Formula!E58+Formula!G58+Formula!I58+Formula!K58))*(INDEX(Properties!A$1:CB$87,Formula!D58,13))+((Formula!G58)/(Formula!C58+Formula!E58+Formula!G58+Formula!I58+Formula!K58))*(INDEX(Properties!A$1:CB$87,Formula!F58,13))+((Formula!I58)/(Formula!C58+Formula!E58+Formula!G58+Formula!I58+Formula!K58))*(INDEX(Properties!A$1:CB$87,Formula!H58,13))+((Formula!K58)/(Formula!C58+Formula!E58+Formula!G58+Formula!I58+Formula!K58))*(INDEX(Properties!A$1:CB$87,Formula!J58,13))</f>
        <v>0</v>
      </c>
      <c r="AY58" s="45">
        <f>Formula!C58*(INDEX(Properties!A$1:CB$87,Formula!B58,13))+Formula!E58*(INDEX(Properties!A$1:CB$87,Formula!D58,13))+Formula!G58*(INDEX(Properties!A$1:CB$87,Formula!F58,13))+Formula!I58*(INDEX(Properties!A$1:CB$87,Formula!H58,13))+Formula!K58*(INDEX(Properties!A$1:CB$87,Formula!J58,13))</f>
        <v>0</v>
      </c>
      <c r="AZ58" s="45">
        <f>VARP(IF(INDEX(Properties!A$1:CB$87,Formula!B58,13)&lt;&gt;"",INDEX(Properties!A$1:CB$87,Formula!B58,13)),IF(INDEX(Properties!A$1:CB$87,Formula!D58,13)&lt;&gt;"",INDEX(Properties!A$1:CB$87,Formula!D58,13)),IF(INDEX(Properties!A$1:CB$87,Formula!F58,13)&lt;&gt;"",INDEX(Properties!A$1:CB$87,Formula!F58,13)),IF(INDEX(Properties!A$1:CB$87,Formula!H58,13)&lt;&gt;"",INDEX(Properties!A$1:CB$87,Formula!H58,13)),IF(INDEX(Properties!A$1:CB$87,Formula!J58,13)&lt;&gt;"",INDEX(Properties!A$1:CB$87,Formula!J58,13)))</f>
        <v>0</v>
      </c>
      <c r="BA58" s="45">
        <f>MAX(INDEX(Properties!A$1:CB$87,Formula!B58,13),INDEX(Properties!A$1:CB$87,Formula!D58,13),INDEX(Properties!A$1:CB$87,Formula!F58,13),INDEX(Properties!A$1:CB$87,Formula!H58,13),INDEX(Properties!A$1:CB$87,Formula!J58,13))</f>
        <v>0</v>
      </c>
      <c r="BB58" s="45">
        <f>MIN(IF(Formula!B58=87,10^6,INDEX(Properties!A$1:CB$87,Formula!B58,13)),IF((Formula!D58)=87,10^6,INDEX(Properties!A$1:CB$87,Formula!D58,13)),IF((Formula!F58)=87,10^6,INDEX(Properties!A$1:CB$87,Formula!F58,13)),IF((Formula!H58)=87,10^6,INDEX(Properties!A$1:CB$87,Formula!H58,13)),IF(Formula!J58=87,10^6,INDEX(Properties!A$1:CB$87,Formula!J58,13)))</f>
        <v>0</v>
      </c>
      <c r="BC58" s="45">
        <f t="shared" si="8"/>
        <v>0</v>
      </c>
      <c r="BD58" s="63">
        <f>((Formula!C58)/(Formula!C58+Formula!E58+Formula!G58+Formula!I58+Formula!K58))*(INDEX(Properties!A$1:CB$87,Formula!B58,14))+((Formula!E58)/(Formula!C58+Formula!E58+Formula!G58+Formula!I58+Formula!K58))*(INDEX(Properties!A$1:CB$87,Formula!D58,14))+((Formula!G58)/(Formula!C58+Formula!E58+Formula!G58+Formula!I58+Formula!K58))*(INDEX(Properties!A$1:CB$87,Formula!F58,14))+((Formula!I58)/(Formula!C58+Formula!E58+Formula!G58+Formula!I58+Formula!K58))*(INDEX(Properties!A$1:CB$87,Formula!H58,14))+((Formula!K58)/(Formula!C58+Formula!E58+Formula!G58+Formula!I58+Formula!K58))*(INDEX(Properties!A$1:CB$87,Formula!J58,14))</f>
        <v>0</v>
      </c>
      <c r="BE58" s="63">
        <f>Formula!C58*(INDEX(Properties!A$1:CB$87,Formula!B58,14))+Formula!E58*(INDEX(Properties!A$1:CB$87,Formula!D58,14))+Formula!G58*(INDEX(Properties!A$1:CB$87,Formula!F58,14))+Formula!I58*(INDEX(Properties!A$1:CB$87,Formula!H58,14))+Formula!K58*(INDEX(Properties!A$1:CB$87,Formula!J58,14))</f>
        <v>0</v>
      </c>
      <c r="BF58" s="63">
        <f>VARP(IF(INDEX(Properties!A$1:CB$87,Formula!B58,14)&lt;&gt;"",INDEX(Properties!A$1:CB$87,Formula!B58,14)),IF(INDEX(Properties!A$1:CB$87,Formula!D58,14)&lt;&gt;"",INDEX(Properties!A$1:CB$87,Formula!D58,14)),IF(INDEX(Properties!A$1:CB$87,Formula!F58,14)&lt;&gt;"",INDEX(Properties!A$1:CB$87,Formula!F58,14)),IF(INDEX(Properties!A$1:CB$87,Formula!H58,14)&lt;&gt;"",INDEX(Properties!A$1:CB$87,Formula!H58,14)),IF(INDEX(Properties!A$1:CB$87,Formula!J58,14)&lt;&gt;"",INDEX(Properties!A$1:CB$87,Formula!J58,14)))</f>
        <v>0</v>
      </c>
      <c r="BG58" s="63">
        <f>MAX(INDEX(Properties!A$1:CB$87,Formula!B58,14),INDEX(Properties!A$1:CB$87,Formula!D58,14),INDEX(Properties!A$1:CB$87,Formula!F58,14),INDEX(Properties!A$1:CB$87,Formula!H58,14),INDEX(Properties!A$1:CB$87,Formula!J58,14))</f>
        <v>0</v>
      </c>
      <c r="BH58" s="63">
        <f>MIN(IF(Formula!B58=87,10^6,INDEX(Properties!A$1:CB$87,Formula!B58,14)),IF((Formula!D58)=87,10^6,INDEX(Properties!A$1:CB$87,Formula!D58,14)),IF((Formula!F58)=87,10^6,INDEX(Properties!A$1:CB$87,Formula!F58,14)),IF((Formula!H58)=87,10^6,INDEX(Properties!A$1:CB$87,Formula!H58,14)),IF(Formula!J58=87,10^6,INDEX(Properties!A$1:CB$87,Formula!J58,14)))</f>
        <v>0</v>
      </c>
      <c r="BI58" s="63">
        <f t="shared" si="9"/>
        <v>0</v>
      </c>
      <c r="BJ58" s="75">
        <f>((Formula!C58)/(Formula!C58+Formula!E58+Formula!G58+Formula!I58+Formula!K58))*(INDEX(Properties!A$1:CB$87,Formula!B58,19))+((Formula!E58)/(Formula!C58+Formula!E58+Formula!G58+Formula!I58+Formula!K58))*(INDEX(Properties!A$1:CB$87,Formula!D58,19))+((Formula!G58)/(Formula!C58+Formula!E58+Formula!G58+Formula!I58+Formula!K58))*(INDEX(Properties!A$1:CB$87,Formula!F58,19))+((Formula!I58)/(Formula!C58+Formula!E58+Formula!G58+Formula!I58+Formula!K58))*(INDEX(Properties!A$1:CB$87,Formula!H58,19))+((Formula!K58)/(Formula!C58+Formula!E58+Formula!G58+Formula!I58+Formula!K58))*(INDEX(Properties!A$1:CB$87,Formula!J58,19))</f>
        <v>4.666666666666667</v>
      </c>
      <c r="BK58" s="75">
        <f>Formula!C58*(INDEX(Properties!A$1:CB$87,Formula!B58,19))+Formula!E58*(INDEX(Properties!A$1:CB$87,Formula!D58,19))+Formula!G58*(INDEX(Properties!A$1:CB$87,Formula!F58,19))+Formula!I58*(INDEX(Properties!A$1:CB$87,Formula!H58,19))+Formula!K58*(INDEX(Properties!A$1:CB$87,Formula!J58,19))</f>
        <v>56</v>
      </c>
      <c r="BL58" s="75">
        <f>VARP(IF(INDEX(Properties!A$1:CB$87,Formula!B58,19)&lt;&gt;"",INDEX(Properties!A$1:CB$87,Formula!B58,19)),IF(INDEX(Properties!A$1:CB$87,Formula!D58,19)&lt;&gt;"",INDEX(Properties!A$1:CB$87,Formula!D58,19)),IF(INDEX(Properties!A$1:CB$87,Formula!F58,19)&lt;&gt;"",INDEX(Properties!A$1:CB$87,Formula!F58,19)),IF(INDEX(Properties!A$1:CB$87,Formula!H58,19)&lt;&gt;"",INDEX(Properties!A$1:CB$87,Formula!H58,19)),IF(INDEX(Properties!A$1:CB$87,Formula!J58,19)&lt;&gt;"",INDEX(Properties!A$1:CB$87,Formula!J58,19)))</f>
        <v>4.96</v>
      </c>
      <c r="BM58" s="75">
        <f>MAX(INDEX(Properties!A$1:CB$87,Formula!B58,19),INDEX(Properties!A$1:CB$87,Formula!D58,19),INDEX(Properties!A$1:CB$87,Formula!F58,19),INDEX(Properties!A$1:CB$87,Formula!H58,19),INDEX(Properties!A$1:CB$87,Formula!J58,19))</f>
        <v>6</v>
      </c>
      <c r="BN58" s="75">
        <f>MIN(IF(INDEX(Properties!A$1:CB$87,Formula!B58,19)=0,10^6,INDEX(Properties!A$1:CB$87,Formula!B58,19)),IF(INDEX(Properties!A$1:CB$87,Formula!D58,19)=0,10^6,INDEX(Properties!A$1:CB$87,Formula!D58,19)),IF(INDEX(Properties!A$1:CB$87,Formula!F58,19)=0,10^6,INDEX(Properties!A$1:CB$87,Formula!F58,19)),IF(INDEX(Properties!A$1:CB$87,Formula!H58,19)=0,10^6,INDEX(Properties!A$1:CB$87,Formula!H58,19)),IF(INDEX(Properties!A$1:CB$87,Formula!J58,19)=0,10^6,INDEX(Properties!A$1:CB$87,Formula!J58,19)))</f>
        <v>2</v>
      </c>
      <c r="BO58" s="75">
        <f t="shared" si="10"/>
        <v>4</v>
      </c>
      <c r="BP58" s="48">
        <f>((Formula!C58)/(Formula!C58+Formula!E58+Formula!G58+Formula!I58+Formula!K58))*(INDEX(Properties!A$1:CB$87,Formula!B58,20))+((Formula!E58)/(Formula!C58+Formula!E58+Formula!G58+Formula!I58+Formula!K58))*(INDEX(Properties!A$1:CB$87,Formula!D58,20))+((Formula!G58)/(Formula!C58+Formula!E58+Formula!G58+Formula!I58+Formula!K58))*(INDEX(Properties!A$1:CB$87,Formula!F58,20))+((Formula!I58)/(Formula!C58+Formula!E58+Formula!G58+Formula!I58+Formula!K58))*(INDEX(Properties!A$1:CB$87,Formula!H58,20))+((Formula!K58)/(Formula!C58+Formula!E58+Formula!G58+Formula!I58+Formula!K58))*(INDEX(Properties!A$1:CB$87,Formula!J58,20))</f>
        <v>4.666666666666667</v>
      </c>
      <c r="BQ58" s="48">
        <f>Formula!C58*(INDEX(Properties!A$1:CB$87,Formula!B58,20))+Formula!E58*(INDEX(Properties!A$1:CB$87,Formula!D58,20))+Formula!G58*(INDEX(Properties!A$1:CB$87,Formula!F58,20))+Formula!I58*(INDEX(Properties!A$1:CB$87,Formula!H58,20))+Formula!K58*(INDEX(Properties!A$1:CB$87,Formula!J58,20))</f>
        <v>56</v>
      </c>
      <c r="BR58" s="48">
        <f>VARP(IF(INDEX(Properties!A$1:CB$87,Formula!B58,20)&lt;&gt;"",INDEX(Properties!A$1:CB$87,Formula!B58,20)),IF(INDEX(Properties!A$1:CB$87,Formula!D58,20)&lt;&gt;"",INDEX(Properties!A$1:CB$87,Formula!D58,20)),IF(INDEX(Properties!A$1:CB$87,Formula!F58,20)&lt;&gt;"",INDEX(Properties!A$1:CB$87,Formula!F58,20)),IF(INDEX(Properties!A$1:CB$87,Formula!H58,20)&lt;&gt;"",INDEX(Properties!A$1:CB$87,Formula!H58,20)),IF(INDEX(Properties!A$1:CB$87,Formula!J58,20)&lt;&gt;"",INDEX(Properties!A$1:CB$87,Formula!J58,20)))</f>
        <v>4.96</v>
      </c>
      <c r="BS58" s="48">
        <f>MAX(INDEX(Properties!A$1:CB$87,Formula!B58,20),INDEX(Properties!A$1:CB$87,Formula!D58,20),INDEX(Properties!A$1:CB$87,Formula!F58,20),INDEX(Properties!A$1:CB$87,Formula!H58,20),INDEX(Properties!A$1:CB$87,Formula!J58,20))</f>
        <v>6</v>
      </c>
      <c r="BT58" s="48">
        <f>MIN(IF(INDEX(Properties!A$1:CB$87,Formula!B58,20)=0,10^6,INDEX(Properties!A$1:CB$87,Formula!B58,20)),IF(INDEX(Properties!A$1:CB$87,Formula!D58,20)=0,10^6,INDEX(Properties!A$1:CB$87,Formula!D58,20)),IF(INDEX(Properties!A$1:CB$87,Formula!F58,20)=0,10^6,INDEX(Properties!A$1:CB$87,Formula!F58,20)),IF(INDEX(Properties!A$1:CB$87,Formula!H58,20)=0,10^6,INDEX(Properties!A$1:CB$87,Formula!H58,20)),IF(INDEX(Properties!A$1:CB$87,Formula!J58,20)=0,10^6,INDEX(Properties!A$1:CB$87,Formula!J58,20)))</f>
        <v>2</v>
      </c>
      <c r="BU58" s="48">
        <f t="shared" si="11"/>
        <v>4</v>
      </c>
      <c r="BV58" s="66">
        <f>((Formula!C58)/(Formula!C58+Formula!E58+Formula!G58+Formula!I58+Formula!K58))*(INDEX(Properties!A$1:CB$87,Formula!B58,21))+((Formula!E58)/(Formula!C58+Formula!E58+Formula!G58+Formula!I58+Formula!K58))*(INDEX(Properties!A$1:CB$87,Formula!D58,21))+((Formula!G58)/(Formula!C58+Formula!E58+Formula!G58+Formula!I58+Formula!K58))*(INDEX(Properties!A$1:CB$87,Formula!F58,21))+((Formula!I58)/(Formula!C58+Formula!E58+Formula!G58+Formula!I58+Formula!K58))*(INDEX(Properties!A$1:CB$87,Formula!H58,21))+((Formula!K58)/(Formula!C58+Formula!E58+Formula!G58+Formula!I58+Formula!K58))*(INDEX(Properties!A$1:CB$87,Formula!J58,21))</f>
        <v>4.666666666666667</v>
      </c>
      <c r="BW58" s="66">
        <f>Formula!C58*(INDEX(Properties!A$1:CB$87,Formula!B58,21))+Formula!E58*(INDEX(Properties!A$1:CB$87,Formula!D58,21))+Formula!G58*(INDEX(Properties!A$1:CB$87,Formula!F58,21))+Formula!I58*(INDEX(Properties!A$1:CB$87,Formula!H58,21))+Formula!K58*(INDEX(Properties!A$1:CB$87,Formula!J58,21))</f>
        <v>56</v>
      </c>
      <c r="BX58" s="66">
        <f>VARP(IF(INDEX(Properties!A$1:CB$87,Formula!B58,21)&lt;&gt;"",INDEX(Properties!A$1:CB$87,Formula!B58,21)),IF(INDEX(Properties!A$1:CB$87,Formula!D58,21)&lt;&gt;"",INDEX(Properties!A$1:CB$87,Formula!D58,21)),IF(INDEX(Properties!A$1:CB$87,Formula!F58,21)&lt;&gt;"",INDEX(Properties!A$1:CB$87,Formula!F58,21)),IF(INDEX(Properties!A$1:CB$87,Formula!H58,21)&lt;&gt;"",INDEX(Properties!A$1:CB$87,Formula!H58,21)),IF(INDEX(Properties!A$1:CB$87,Formula!J58,21)&lt;&gt;"",INDEX(Properties!A$1:CB$87,Formula!J58,21)))</f>
        <v>4.96</v>
      </c>
      <c r="BY58" s="66">
        <f>MAX(INDEX(Properties!A$1:CB$87,Formula!B58,21),INDEX(Properties!A$1:CB$87,Formula!D58,21),INDEX(Properties!A$1:CB$87,Formula!F58,21),INDEX(Properties!A$1:CB$87,Formula!H58,21),INDEX(Properties!A$1:CB$87,Formula!J58,21))</f>
        <v>6</v>
      </c>
      <c r="BZ58" s="66">
        <f>MIN(IF(INDEX(Properties!A$1:CB$87,Formula!B58,21)=0,10^6,INDEX(Properties!A$1:CB$87,Formula!B58,21)),IF(INDEX(Properties!A$1:CB$87,Formula!D58,21)=0,10^6,INDEX(Properties!A$1:CB$87,Formula!D58,21)),IF(INDEX(Properties!A$1:CB$87,Formula!F58,21)=0,10^6,INDEX(Properties!A$1:CB$87,Formula!F58,21)),IF(INDEX(Properties!A$1:CB$87,Formula!H58,21)=0,10^6,INDEX(Properties!A$1:CB$87,Formula!H58,21)),IF(INDEX(Properties!A$1:CB$87,Formula!J58,21)=0,10^6,INDEX(Properties!A$1:CB$87,Formula!J58,21)))</f>
        <v>2</v>
      </c>
      <c r="CA58" s="66">
        <f t="shared" si="12"/>
        <v>4</v>
      </c>
      <c r="CB58" s="81">
        <f>((Formula!C58)/(Formula!C58+Formula!E58+Formula!G58+Formula!I58+Formula!K58))*(INDEX(Properties!A$1:CB$87,Formula!B58,23))+((Formula!E58)/(Formula!C58+Formula!E58+Formula!G58+Formula!I58+Formula!K58))*(INDEX(Properties!A$1:CB$87,Formula!D58,23))+((Formula!G58)/(Formula!C58+Formula!E58+Formula!G58+Formula!I58+Formula!K58))*(INDEX(Properties!A$1:CB$87,Formula!F58,23))+((Formula!I58)/(Formula!C58+Formula!E58+Formula!G58+Formula!I58+Formula!K58))*(INDEX(Properties!A$1:CB$87,Formula!H58,23))+((Formula!K58)/(Formula!C58+Formula!E58+Formula!G58+Formula!I58+Formula!K58))*(INDEX(Properties!A$1:CB$87,Formula!J58,23))</f>
        <v>1.1666666666666667</v>
      </c>
      <c r="CC58" s="81">
        <f>Formula!C58*(INDEX(Properties!A$1:CB$87,Formula!B58,23))+Formula!E58*(INDEX(Properties!A$1:CB$87,Formula!D58,23))+Formula!G58*(INDEX(Properties!A$1:CB$87,Formula!F58,23))+Formula!I58*(INDEX(Properties!A$1:CB$87,Formula!H58,23))+Formula!K58*(INDEX(Properties!A$1:CB$87,Formula!J58,23))</f>
        <v>14</v>
      </c>
      <c r="CD58" s="81">
        <f>VARP(IF(INDEX(Properties!A$1:CB$87,Formula!B58,23)&lt;&gt;"",INDEX(Properties!A$1:CB$87,Formula!B58,23)),IF(INDEX(Properties!A$1:CB$87,Formula!D58,23)&lt;&gt;"",INDEX(Properties!A$1:CB$87,Formula!D58,23)),IF(INDEX(Properties!A$1:CB$87,Formula!F58,23)&lt;&gt;"",INDEX(Properties!A$1:CB$87,Formula!F58,23)),IF(INDEX(Properties!A$1:CB$87,Formula!H58,23)&lt;&gt;"",INDEX(Properties!A$1:CB$87,Formula!H58,23)),IF(INDEX(Properties!A$1:CB$87,Formula!J58,23)&lt;&gt;"",INDEX(Properties!A$1:CB$87,Formula!J58,23)))</f>
        <v>1.6</v>
      </c>
      <c r="CE58" s="81">
        <f>MAX(INDEX(Properties!A$1:CB$87,Formula!B58,23),INDEX(Properties!A$1:CB$87,Formula!D58,23),INDEX(Properties!A$1:CB$87,Formula!F58,23),INDEX(Properties!A$1:CB$87,Formula!H58,23),INDEX(Properties!A$1:CB$87,Formula!J58,23))</f>
        <v>3</v>
      </c>
      <c r="CF58" s="81">
        <f>MIN(IF(Formula!B58=87,10^6,INDEX(Properties!A$1:CB$87,Formula!B58,23)),IF((Formula!D58)=87,10^6,INDEX(Properties!A$1:CB$87,Formula!D58,23)),IF((Formula!F58)=87,10^6,INDEX(Properties!A$1:CB$87,Formula!F58,23)),IF((Formula!H58)=87,10^6,INDEX(Properties!A$1:CB$87,Formula!H58,23)),IF(Formula!J58=87,10^6,INDEX(Properties!A$1:CB$87,Formula!J58,23)))</f>
        <v>0</v>
      </c>
      <c r="CG58" s="81">
        <f t="shared" si="13"/>
        <v>3</v>
      </c>
      <c r="CH58" s="39">
        <f>((Formula!C58)/(Formula!C58+Formula!E58+Formula!G58+Formula!I58+Formula!K58))*(INDEX(Properties!A$1:CB$87,Formula!B58,26))+((Formula!E58)/(Formula!C58+Formula!E58+Formula!G58+Formula!I58+Formula!K58))*(INDEX(Properties!A$1:CB$87,Formula!D58,26))+((Formula!G58)/(Formula!C58+Formula!E58+Formula!G58+Formula!I58+Formula!K58))*(INDEX(Properties!A$1:CB$87,Formula!F58,26))+((Formula!I58)/(Formula!C58+Formula!E58+Formula!G58+Formula!I58+Formula!K58))*(INDEX(Properties!A$1:CB$87,Formula!H58,26))+((Formula!K58)/(Formula!C58+Formula!E58+Formula!G58+Formula!I58+Formula!K58))*(INDEX(Properties!A$1:CB$87,Formula!J58,26))</f>
        <v>10.448591666666667</v>
      </c>
      <c r="CI58" s="39">
        <f>Formula!C58*(INDEX(Properties!A$1:CB$87,Formula!B58,26))+Formula!E58*(INDEX(Properties!A$1:CB$87,Formula!D58,26))+Formula!G58*(INDEX(Properties!A$1:CB$87,Formula!F58,26))+Formula!I58*(INDEX(Properties!A$1:CB$87,Formula!H58,26))+Formula!K58*(INDEX(Properties!A$1:CB$87,Formula!J58,26))</f>
        <v>125.3831</v>
      </c>
      <c r="CJ58" s="39">
        <f>VARP(IF(INDEX(Properties!A$1:CB$87,Formula!B58,26)&lt;&gt;"",INDEX(Properties!A$1:CB$87,Formula!B58,26)),IF(INDEX(Properties!A$1:CB$87,Formula!D58,26)&lt;&gt;"",INDEX(Properties!A$1:CB$87,Formula!D58,26)),IF(INDEX(Properties!A$1:CB$87,Formula!F58,26)&lt;&gt;"",INDEX(Properties!A$1:CB$87,Formula!F58,26)),IF(INDEX(Properties!A$1:CB$87,Formula!H58,26)&lt;&gt;"",INDEX(Properties!A$1:CB$87,Formula!H58,26)),IF(INDEX(Properties!A$1:CB$87,Formula!J58,26)&lt;&gt;"",INDEX(Properties!A$1:CB$87,Formula!J58,26)))</f>
        <v>25.275963401599988</v>
      </c>
      <c r="CK58" s="39">
        <f>MAX(INDEX(Properties!A$1:CB$87,Formula!B58,26),INDEX(Properties!A$1:CB$87,Formula!D58,26),INDEX(Properties!A$1:CB$87,Formula!F58,26),INDEX(Properties!A$1:CB$87,Formula!H58,26),INDEX(Properties!A$1:CB$87,Formula!J58,26))</f>
        <v>13.6181</v>
      </c>
      <c r="CL58" s="39">
        <f>MIN(IF(INDEX(Properties!A$1:CB$87,Formula!B58,26)=0,10^6,INDEX(Properties!A$1:CB$87,Formula!B58,26)),IF(INDEX(Properties!A$1:CB$87,Formula!D58,26)=0,10^6,INDEX(Properties!A$1:CB$87,Formula!D58,26)),IF(INDEX(Properties!A$1:CB$87,Formula!F58,26)=0,10^6,INDEX(Properties!A$1:CB$87,Formula!F58,26)),IF(INDEX(Properties!A$1:CB$87,Formula!H58,26)=0,10^6,INDEX(Properties!A$1:CB$87,Formula!H58,26)),IF(INDEX(Properties!A$1:CB$87,Formula!J58,26)=0,10^6,INDEX(Properties!A$1:CB$87,Formula!J58,26)))</f>
        <v>5.9858000000000002</v>
      </c>
      <c r="CM58" s="39">
        <f t="shared" si="14"/>
        <v>7.6322999999999999</v>
      </c>
      <c r="CN58" s="54">
        <f>((Formula!C58)/(Formula!C58+Formula!E58+Formula!G58+Formula!I58+Formula!K58))*(INDEX(Properties!A$1:CB$87,Formula!B58,30))+((Formula!E58)/(Formula!C58+Formula!E58+Formula!G58+Formula!I58+Formula!K58))*(INDEX(Properties!A$1:CB$87,Formula!D58,30))+((Formula!G58)/(Formula!C58+Formula!E58+Formula!G58+Formula!I58+Formula!K58))*(INDEX(Properties!A$1:CB$87,Formula!F58,30))+((Formula!I58)/(Formula!C58+Formula!E58+Formula!G58+Formula!I58+Formula!K58))*(INDEX(Properties!A$1:CB$87,Formula!H58,30))+((Formula!K58)/(Formula!C58+Formula!E58+Formula!G58+Formula!I58+Formula!K58))*(INDEX(Properties!A$1:CB$87,Formula!J58,30))</f>
        <v>2.6266666666666669</v>
      </c>
      <c r="CO58" s="54">
        <f>Formula!C58*(INDEX(Properties!A$1:CB$87,Formula!B58,30))+Formula!E58*(INDEX(Properties!A$1:CB$87,Formula!D58,30))+Formula!G58*(INDEX(Properties!A$1:CB$87,Formula!F58,30))+Formula!I58*(INDEX(Properties!A$1:CB$87,Formula!H58,30))+Formula!K58*(INDEX(Properties!A$1:CB$87,Formula!J58,30))</f>
        <v>31.52</v>
      </c>
      <c r="CP58" s="54">
        <f>VARP(IF(INDEX(Properties!A$1:CB$87,Formula!B58,30)&lt;&gt;"",INDEX(Properties!A$1:CB$87,Formula!B58,30)),IF(INDEX(Properties!A$1:CB$87,Formula!D58,30)&lt;&gt;"",INDEX(Properties!A$1:CB$87,Formula!D58,30)),IF(INDEX(Properties!A$1:CB$87,Formula!F58,30)&lt;&gt;"",INDEX(Properties!A$1:CB$87,Formula!F58,30)),IF(INDEX(Properties!A$1:CB$87,Formula!H58,30)&lt;&gt;"",INDEX(Properties!A$1:CB$87,Formula!H58,30)),IF(INDEX(Properties!A$1:CB$87,Formula!J58,30)&lt;&gt;"",INDEX(Properties!A$1:CB$87,Formula!J58,30)))</f>
        <v>1.6210399999999998</v>
      </c>
      <c r="CQ58" s="54">
        <f>MAX(INDEX(Properties!A$1:CB$87,Formula!B58,30),INDEX(Properties!A$1:CB$87,Formula!D58,30),INDEX(Properties!A$1:CB$87,Formula!F58,30),INDEX(Properties!A$1:CB$87,Formula!H58,30),INDEX(Properties!A$1:CB$87,Formula!J58,30))</f>
        <v>3.44</v>
      </c>
      <c r="CR58" s="54">
        <f>MIN(IF(INDEX(Properties!A$1:CB$87,Formula!B58,30)=0,10^6,INDEX(Properties!A$1:CB$87,Formula!B58,30)),IF(INDEX(Properties!A$1:CB$87,Formula!D58,30)=0,10^6,INDEX(Properties!A$1:CB$87,Formula!D58,30)),IF(INDEX(Properties!A$1:CB$87,Formula!F58,30)=0,10^6,INDEX(Properties!A$1:CB$87,Formula!F58,30)),IF(INDEX(Properties!A$1:CB$87,Formula!H58,30)=0,10^6,INDEX(Properties!A$1:CB$87,Formula!H58,30)),IF(INDEX(Properties!A$1:CB$87,Formula!J58,30)=0,10^6,INDEX(Properties!A$1:CB$87,Formula!J58,30)))</f>
        <v>1</v>
      </c>
      <c r="CS58" s="54">
        <f t="shared" si="15"/>
        <v>2.44</v>
      </c>
      <c r="CT58" s="69">
        <f>((Formula!C58)/(Formula!C58+Formula!E58+Formula!G58+Formula!I58+Formula!K58))*(INDEX(Properties!A$1:CB$87,Formula!B58,31))+((Formula!E58)/(Formula!C58+Formula!E58+Formula!G58+Formula!I58+Formula!K58))*(INDEX(Properties!A$1:CB$87,Formula!D58,31))+((Formula!G58)/(Formula!C58+Formula!E58+Formula!G58+Formula!I58+Formula!K58))*(INDEX(Properties!A$1:CB$87,Formula!F58,31))+((Formula!I58)/(Formula!C58+Formula!E58+Formula!G58+Formula!I58+Formula!K58))*(INDEX(Properties!A$1:CB$87,Formula!H58,31))+((Formula!K58)/(Formula!C58+Formula!E58+Formula!G58+Formula!I58+Formula!K58))*(INDEX(Properties!A$1:CB$87,Formula!J58,31))</f>
        <v>2.5808333333333335</v>
      </c>
      <c r="CU58" s="69">
        <f>Formula!C58*(INDEX(Properties!A$1:CB$87,Formula!B58,31))+Formula!E58*(INDEX(Properties!A$1:CB$87,Formula!D58,31))+Formula!G58*(INDEX(Properties!A$1:CB$87,Formula!F58,31))+Formula!I58*(INDEX(Properties!A$1:CB$87,Formula!H58,31))+Formula!K58*(INDEX(Properties!A$1:CB$87,Formula!J58,31))</f>
        <v>30.97</v>
      </c>
      <c r="CV58" s="69">
        <f>VARP(IF(INDEX(Properties!A$1:CB$87,Formula!B58,31)&lt;&gt;"",INDEX(Properties!A$1:CB$87,Formula!B58,31)),IF(INDEX(Properties!A$1:CB$87,Formula!D58,31)&lt;&gt;"",INDEX(Properties!A$1:CB$87,Formula!D58,31)),IF(INDEX(Properties!A$1:CB$87,Formula!F58,31)&lt;&gt;"",INDEX(Properties!A$1:CB$87,Formula!F58,31)),IF(INDEX(Properties!A$1:CB$87,Formula!H58,31)&lt;&gt;"",INDEX(Properties!A$1:CB$87,Formula!H58,31)),IF(INDEX(Properties!A$1:CB$87,Formula!J58,31)&lt;&gt;"",INDEX(Properties!A$1:CB$87,Formula!J58,31)))</f>
        <v>1.5131040000000004</v>
      </c>
      <c r="CW58" s="69">
        <f>MAX(INDEX(Properties!A$1:CB$87,Formula!B58,31),INDEX(Properties!A$1:CB$87,Formula!D58,31),INDEX(Properties!A$1:CB$87,Formula!F58,31),INDEX(Properties!A$1:CB$87,Formula!H58,31),INDEX(Properties!A$1:CB$87,Formula!J58,31))</f>
        <v>3.32</v>
      </c>
      <c r="CX58" s="69">
        <f>MIN(IF(INDEX(Properties!A$1:CB$87,Formula!B58,31)=0,10^6,INDEX(Properties!A$1:CB$87,Formula!B58,31)),IF(INDEX(Properties!A$1:CB$87,Formula!D58,31)=0,10^6,INDEX(Properties!A$1:CB$87,Formula!D58,31)),IF(INDEX(Properties!A$1:CB$87,Formula!F58,31)=0,10^6,INDEX(Properties!A$1:CB$87,Formula!F58,31)),IF(INDEX(Properties!A$1:CB$87,Formula!H58,31)=0,10^6,INDEX(Properties!A$1:CB$87,Formula!H58,31)),IF(INDEX(Properties!A$1:CB$87,Formula!J58,31)=0,10^6,INDEX(Properties!A$1:CB$87,Formula!J58,31)))</f>
        <v>1.17</v>
      </c>
      <c r="CY58" s="69">
        <f t="shared" si="16"/>
        <v>2.15</v>
      </c>
      <c r="CZ58" s="42">
        <f>((Formula!C58)/(Formula!C58+Formula!E58+Formula!G58+Formula!I58+Formula!K58))*(INDEX(Properties!A$1:CB$87,Formula!B58,32))+((Formula!E58)/(Formula!C58+Formula!E58+Formula!G58+Formula!I58+Formula!K58))*(INDEX(Properties!A$1:CB$87,Formula!D58,32))+((Formula!G58)/(Formula!C58+Formula!E58+Formula!G58+Formula!I58+Formula!K58))*(INDEX(Properties!A$1:CB$87,Formula!F58,32))+((Formula!I58)/(Formula!C58+Formula!E58+Formula!G58+Formula!I58+Formula!K58))*(INDEX(Properties!A$1:CB$87,Formula!H58,32))+((Formula!K58)/(Formula!C58+Formula!E58+Formula!G58+Formula!I58+Formula!K58))*(INDEX(Properties!A$1:CB$87,Formula!J58,32))</f>
        <v>5.6583333333333332</v>
      </c>
      <c r="DA58" s="42">
        <f>Formula!C58*(INDEX(Properties!A$1:CB$87,Formula!B58,32))+Formula!E58*(INDEX(Properties!A$1:CB$87,Formula!D58,32))+Formula!G58*(INDEX(Properties!A$1:CB$87,Formula!F58,32))+Formula!I58*(INDEX(Properties!A$1:CB$87,Formula!H58,32))+Formula!K58*(INDEX(Properties!A$1:CB$87,Formula!J58,32))</f>
        <v>67.900000000000006</v>
      </c>
      <c r="DB58" s="42">
        <f>VARP(IF(INDEX(Properties!A$1:CB$87,Formula!B58,32)&lt;&gt;"",INDEX(Properties!A$1:CB$87,Formula!B58,32)),IF(INDEX(Properties!A$1:CB$87,Formula!D58,32)&lt;&gt;"",INDEX(Properties!A$1:CB$87,Formula!D58,32)),IF(INDEX(Properties!A$1:CB$87,Formula!F58,32)&lt;&gt;"",INDEX(Properties!A$1:CB$87,Formula!F58,32)),IF(INDEX(Properties!A$1:CB$87,Formula!H58,32)&lt;&gt;"",INDEX(Properties!A$1:CB$87,Formula!H58,32)),IF(INDEX(Properties!A$1:CB$87,Formula!J58,32)&lt;&gt;"",INDEX(Properties!A$1:CB$87,Formula!J58,32)))</f>
        <v>7.6960640000000016</v>
      </c>
      <c r="DC58" s="42">
        <f>MAX(INDEX(Properties!A$1:CB$87,Formula!B58,32),INDEX(Properties!A$1:CB$87,Formula!D58,32),INDEX(Properties!A$1:CB$87,Formula!F58,32),INDEX(Properties!A$1:CB$87,Formula!H58,32),INDEX(Properties!A$1:CB$87,Formula!J58,32))</f>
        <v>7.54</v>
      </c>
      <c r="DD58" s="42">
        <f>MIN(IF(INDEX(Properties!A$1:CB$87,Formula!B58,32)=0,10^6,INDEX(Properties!A$1:CB$87,Formula!B58,32)),IF(INDEX(Properties!A$1:CB$87,Formula!D58,32)=0,10^6,INDEX(Properties!A$1:CB$87,Formula!D58,32)),IF(INDEX(Properties!A$1:CB$87,Formula!F58,32)=0,10^6,INDEX(Properties!A$1:CB$87,Formula!F58,32)),IF(INDEX(Properties!A$1:CB$87,Formula!H58,32)=0,10^6,INDEX(Properties!A$1:CB$87,Formula!H58,32)),IF(INDEX(Properties!A$1:CB$87,Formula!J58,32)=0,10^6,INDEX(Properties!A$1:CB$87,Formula!J58,32)))</f>
        <v>2.2000000000000002</v>
      </c>
      <c r="DE58" s="42">
        <f t="shared" si="17"/>
        <v>5.34</v>
      </c>
      <c r="DF58" s="60">
        <f>((Formula!C58)/(Formula!C58+Formula!E58+Formula!G58+Formula!I58+Formula!K58))*(INDEX(Properties!A$1:CB$87,Formula!B58,34))+((Formula!E58)/(Formula!C58+Formula!E58+Formula!G58+Formula!I58+Formula!K58))*(INDEX(Properties!A$1:CB$87,Formula!D58,34))+((Formula!G58)/(Formula!C58+Formula!E58+Formula!G58+Formula!I58+Formula!K58))*(INDEX(Properties!A$1:CB$87,Formula!F58,34))+((Formula!I58)/(Formula!C58+Formula!E58+Formula!G58+Formula!I58+Formula!K58))*(INDEX(Properties!A$1:CB$87,Formula!H58,34))+((Formula!K58)/(Formula!C58+Formula!E58+Formula!G58+Formula!I58+Formula!K58))*(INDEX(Properties!A$1:CB$87,Formula!J58,34))</f>
        <v>2.7296666666666667</v>
      </c>
      <c r="DG58" s="60">
        <f>Formula!C58*(INDEX(Properties!A$1:CB$87,Formula!B58,34))+Formula!E58*(INDEX(Properties!A$1:CB$87,Formula!D58,34))+Formula!G58*(INDEX(Properties!A$1:CB$87,Formula!F58,34))+Formula!I58*(INDEX(Properties!A$1:CB$87,Formula!H58,34))+Formula!K58*(INDEX(Properties!A$1:CB$87,Formula!J58,34))</f>
        <v>32.756</v>
      </c>
      <c r="DH58" s="60">
        <f>VARP(IF(INDEX(Properties!A$1:CB$87,Formula!B58,34)&lt;&gt;"",INDEX(Properties!A$1:CB$87,Formula!B58,34)),IF(INDEX(Properties!A$1:CB$87,Formula!D58,34)&lt;&gt;"",INDEX(Properties!A$1:CB$87,Formula!D58,34)),IF(INDEX(Properties!A$1:CB$87,Formula!F58,34)&lt;&gt;"",INDEX(Properties!A$1:CB$87,Formula!F58,34)),IF(INDEX(Properties!A$1:CB$87,Formula!H58,34)&lt;&gt;"",INDEX(Properties!A$1:CB$87,Formula!H58,34)),IF(INDEX(Properties!A$1:CB$87,Formula!J58,34)&lt;&gt;"",INDEX(Properties!A$1:CB$87,Formula!J58,34)))</f>
        <v>1.7746030400000001</v>
      </c>
      <c r="DI58" s="60">
        <f>MAX(INDEX(Properties!A$1:CB$87,Formula!B58,34),INDEX(Properties!A$1:CB$87,Formula!D58,34),INDEX(Properties!A$1:CB$87,Formula!F58,34),INDEX(Properties!A$1:CB$87,Formula!H58,34),INDEX(Properties!A$1:CB$87,Formula!J58,34))</f>
        <v>3.61</v>
      </c>
      <c r="DJ58" s="60">
        <f>MIN(IF(INDEX(Properties!A$1:CB$87,Formula!B58,34)=0,10^6,INDEX(Properties!A$1:CB$87,Formula!B58,34)),IF(INDEX(Properties!A$1:CB$87,Formula!D58,34)=0,10^6,INDEX(Properties!A$1:CB$87,Formula!D58,34)),IF(INDEX(Properties!A$1:CB$87,Formula!F58,34)=0,10^6,INDEX(Properties!A$1:CB$87,Formula!F58,34)),IF(INDEX(Properties!A$1:CB$87,Formula!H58,34)=0,10^6,INDEX(Properties!A$1:CB$87,Formula!H58,34)),IF(INDEX(Properties!A$1:CB$87,Formula!J58,34)=0,10^6,INDEX(Properties!A$1:CB$87,Formula!J58,34)))</f>
        <v>1.034</v>
      </c>
      <c r="DK58" s="60">
        <f t="shared" si="18"/>
        <v>2.5759999999999996</v>
      </c>
      <c r="DL58" s="45">
        <f>((Formula!C58)/(Formula!C58+Formula!E58+Formula!G58+Formula!I58+Formula!K58))*(INDEX(Properties!A$1:CB$87,Formula!B58,39))+((Formula!E58)/(Formula!C58+Formula!E58+Formula!G58+Formula!I58+Formula!K58))*(INDEX(Properties!A$1:CB$87,Formula!D58,39))+((Formula!G58)/(Formula!C58+Formula!E58+Formula!G58+Formula!I58+Formula!K58))*(INDEX(Properties!A$1:CB$87,Formula!F58,39))+((Formula!I58)/(Formula!C58+Formula!E58+Formula!G58+Formula!I58+Formula!K58))*(INDEX(Properties!A$1:CB$87,Formula!H58,39))+((Formula!K58)/(Formula!C58+Formula!E58+Formula!G58+Formula!I58+Formula!K58))*(INDEX(Properties!A$1:CB$87,Formula!J58,39))</f>
        <v>0.83499999999999996</v>
      </c>
      <c r="DM58" s="45">
        <f>Formula!C58*(INDEX(Properties!A$1:CB$87,Formula!B58,39))+Formula!E58*(INDEX(Properties!A$1:CB$87,Formula!D58,39))+Formula!G58*(INDEX(Properties!A$1:CB$87,Formula!F58,39))+Formula!I58*(INDEX(Properties!A$1:CB$87,Formula!H58,39))+Formula!K58*(INDEX(Properties!A$1:CB$87,Formula!J58,39))</f>
        <v>10.02</v>
      </c>
      <c r="DN58" s="45">
        <f>VARP(IF(INDEX(Properties!A$1:CB$87,Formula!B58,39)&lt;&gt;"",INDEX(Properties!A$1:CB$87,Formula!B58,39)),IF(INDEX(Properties!A$1:CB$87,Formula!D58,39)&lt;&gt;"",INDEX(Properties!A$1:CB$87,Formula!D58,39)),IF(INDEX(Properties!A$1:CB$87,Formula!F58,39)&lt;&gt;"",INDEX(Properties!A$1:CB$87,Formula!F58,39)),IF(INDEX(Properties!A$1:CB$87,Formula!H58,39)&lt;&gt;"",INDEX(Properties!A$1:CB$87,Formula!H58,39)),IF(INDEX(Properties!A$1:CB$87,Formula!J58,39)&lt;&gt;"",INDEX(Properties!A$1:CB$87,Formula!J58,39)))</f>
        <v>0.55888000000000004</v>
      </c>
      <c r="DO58" s="45">
        <f>MAX(INDEX(Properties!A$1:CB$87,Formula!B58,39),INDEX(Properties!A$1:CB$87,Formula!D58,39),INDEX(Properties!A$1:CB$87,Formula!F58,39),INDEX(Properties!A$1:CB$87,Formula!H58,39),INDEX(Properties!A$1:CB$87,Formula!J58,39))</f>
        <v>1.94</v>
      </c>
      <c r="DP58" s="45">
        <f>MIN(IF(INDEX(Properties!A$1:CB$87,Formula!B58,39)=0,10^6,INDEX(Properties!A$1:CB$87,Formula!B58,39)),IF(INDEX(Properties!A$1:CB$87,Formula!D58,39)=0,10^6,INDEX(Properties!A$1:CB$87,Formula!D58,39)),IF(INDEX(Properties!A$1:CB$87,Formula!F58,39)=0,10^6,INDEX(Properties!A$1:CB$87,Formula!F58,39)),IF(INDEX(Properties!A$1:CB$87,Formula!H58,39)=0,10^6,INDEX(Properties!A$1:CB$87,Formula!H58,39)),IF(INDEX(Properties!A$1:CB$87,Formula!J58,39)=0,10^6,INDEX(Properties!A$1:CB$87,Formula!J58,39)))</f>
        <v>0.48</v>
      </c>
      <c r="DQ58" s="45">
        <f t="shared" si="19"/>
        <v>1.46</v>
      </c>
      <c r="DR58" s="63">
        <f>((Formula!C58)/(Formula!C58+Formula!E58+Formula!G58+Formula!I58+Formula!K58))*(INDEX(Properties!A$1:CB$87,Formula!B58,40))+((Formula!E58)/(Formula!C58+Formula!E58+Formula!G58+Formula!I58+Formula!K58))*(INDEX(Properties!A$1:CB$87,Formula!D58,40))+((Formula!G58)/(Formula!C58+Formula!E58+Formula!G58+Formula!I58+Formula!K58))*(INDEX(Properties!A$1:CB$87,Formula!F58,40))+((Formula!I58)/(Formula!C58+Formula!E58+Formula!G58+Formula!I58+Formula!K58))*(INDEX(Properties!A$1:CB$87,Formula!H58,40))+((Formula!K58)/(Formula!C58+Formula!E58+Formula!G58+Formula!I58+Formula!K58))*(INDEX(Properties!A$1:CB$87,Formula!J58,40))</f>
        <v>0.96416666666666662</v>
      </c>
      <c r="DS58" s="63">
        <f>Formula!C58*(INDEX(Properties!A$1:CB$87,Formula!B58,40))+Formula!E58*(INDEX(Properties!A$1:CB$87,Formula!D58,40))+Formula!G58*(INDEX(Properties!A$1:CB$87,Formula!F58,40))+Formula!I58*(INDEX(Properties!A$1:CB$87,Formula!H58,40))+Formula!K58*(INDEX(Properties!A$1:CB$87,Formula!J58,40))</f>
        <v>11.57</v>
      </c>
      <c r="DT58" s="63">
        <f>VARP(IF(INDEX(Properties!A$1:CB$87,Formula!B58,40)&lt;&gt;"",INDEX(Properties!A$1:CB$87,Formula!B58,40)),IF(INDEX(Properties!A$1:CB$87,Formula!D58,40)&lt;&gt;"",INDEX(Properties!A$1:CB$87,Formula!D58,40)),IF(INDEX(Properties!A$1:CB$87,Formula!F58,40)&lt;&gt;"",INDEX(Properties!A$1:CB$87,Formula!F58,40)),IF(INDEX(Properties!A$1:CB$87,Formula!H58,40)&lt;&gt;"",INDEX(Properties!A$1:CB$87,Formula!H58,40)),IF(INDEX(Properties!A$1:CB$87,Formula!J58,40)&lt;&gt;"",INDEX(Properties!A$1:CB$87,Formula!J58,40)))</f>
        <v>0.45767999999999992</v>
      </c>
      <c r="DU58" s="63">
        <f>MAX(INDEX(Properties!A$1:CB$87,Formula!B58,40),INDEX(Properties!A$1:CB$87,Formula!D58,40),INDEX(Properties!A$1:CB$87,Formula!F58,40),INDEX(Properties!A$1:CB$87,Formula!H58,40),INDEX(Properties!A$1:CB$87,Formula!J58,40))</f>
        <v>1.74</v>
      </c>
      <c r="DV58" s="63">
        <f>MIN(IF(INDEX(Properties!A$1:CB$87,Formula!B58,40)=0,10^6,INDEX(Properties!A$1:CB$87,Formula!B58,40)),IF(INDEX(Properties!A$1:CB$87,Formula!D58,40)=0,10^6,INDEX(Properties!A$1:CB$87,Formula!D58,40)),IF(INDEX(Properties!A$1:CB$87,Formula!F58,40)=0,10^6,INDEX(Properties!A$1:CB$87,Formula!F58,40)),IF(INDEX(Properties!A$1:CB$87,Formula!H58,40)=0,10^6,INDEX(Properties!A$1:CB$87,Formula!H58,40)),IF(INDEX(Properties!A$1:CB$87,Formula!J58,40)=0,10^6,INDEX(Properties!A$1:CB$87,Formula!J58,40)))</f>
        <v>0.73</v>
      </c>
      <c r="DW58" s="63">
        <f t="shared" si="20"/>
        <v>1.01</v>
      </c>
      <c r="DX58" s="75">
        <f>((Formula!C58)/(Formula!C58+Formula!E58+Formula!G58+Formula!I58+Formula!K58))*(INDEX(Properties!A$1:CB$87,Formula!B58,41))+((Formula!E58)/(Formula!C58+Formula!E58+Formula!G58+Formula!I58+Formula!K58))*(INDEX(Properties!A$1:CB$87,Formula!D58,41))+((Formula!G58)/(Formula!C58+Formula!E58+Formula!G58+Formula!I58+Formula!K58))*(INDEX(Properties!A$1:CB$87,Formula!F58,41))+((Formula!I58)/(Formula!C58+Formula!E58+Formula!G58+Formula!I58+Formula!K58))*(INDEX(Properties!A$1:CB$87,Formula!H58,41))+((Formula!K58)/(Formula!C58+Formula!E58+Formula!G58+Formula!I58+Formula!K58))*(INDEX(Properties!A$1:CB$87,Formula!J58,41))</f>
        <v>1.0566666666666666</v>
      </c>
      <c r="DY58" s="75">
        <f>Formula!C58*(INDEX(Properties!A$1:CB$87,Formula!B58,41))+Formula!E58*(INDEX(Properties!A$1:CB$87,Formula!D58,41))+Formula!G58*(INDEX(Properties!A$1:CB$87,Formula!F58,41))+Formula!I58*(INDEX(Properties!A$1:CB$87,Formula!H58,41))+Formula!K58*(INDEX(Properties!A$1:CB$87,Formula!J58,41))</f>
        <v>12.68</v>
      </c>
      <c r="DZ58" s="75">
        <f>VARP(IF(INDEX(Properties!A$1:CB$87,Formula!B58,41)&lt;&gt;"",INDEX(Properties!A$1:CB$87,Formula!B58,41)),IF(INDEX(Properties!A$1:CB$87,Formula!D58,41)&lt;&gt;"",INDEX(Properties!A$1:CB$87,Formula!D58,41)),IF(INDEX(Properties!A$1:CB$87,Formula!F58,41)&lt;&gt;"",INDEX(Properties!A$1:CB$87,Formula!F58,41)),IF(INDEX(Properties!A$1:CB$87,Formula!H58,41)&lt;&gt;"",INDEX(Properties!A$1:CB$87,Formula!H58,41)),IF(INDEX(Properties!A$1:CB$87,Formula!J58,41)&lt;&gt;"",INDEX(Properties!A$1:CB$87,Formula!J58,41)))</f>
        <v>0.29046400000000006</v>
      </c>
      <c r="EA58" s="75">
        <f>MAX(INDEX(Properties!A$1:CB$87,Formula!B58,41),INDEX(Properties!A$1:CB$87,Formula!D58,41),INDEX(Properties!A$1:CB$87,Formula!F58,41),INDEX(Properties!A$1:CB$87,Formula!H58,41),INDEX(Properties!A$1:CB$87,Formula!J58,41))</f>
        <v>1.26</v>
      </c>
      <c r="EB58" s="75">
        <f>MIN(IF(INDEX(Properties!A$1:CB$87,Formula!B58,41)=0,10^6,INDEX(Properties!A$1:CB$87,Formula!B58,41)),IF(INDEX(Properties!A$1:CB$87,Formula!D58,41)=0,10^6,INDEX(Properties!A$1:CB$87,Formula!D58,41)),IF(INDEX(Properties!A$1:CB$87,Formula!F58,41)=0,10^6,INDEX(Properties!A$1:CB$87,Formula!F58,41)),IF(INDEX(Properties!A$1:CB$87,Formula!H58,41)=0,10^6,INDEX(Properties!A$1:CB$87,Formula!H58,41)),IF(INDEX(Properties!A$1:CB$87,Formula!J58,41)=0,10^6,INDEX(Properties!A$1:CB$87,Formula!J58,41)))</f>
        <v>0.68</v>
      </c>
      <c r="EC58" s="75">
        <f t="shared" si="21"/>
        <v>0.57999999999999996</v>
      </c>
      <c r="ED58" s="48">
        <f>((Formula!C58)/(Formula!C58+Formula!E58+Formula!G58+Formula!I58+Formula!K58))*(INDEX(Properties!A$1:CB$87,Formula!B58,45))+((Formula!E58)/(Formula!C58+Formula!E58+Formula!G58+Formula!I58+Formula!K58))*(INDEX(Properties!A$1:CB$87,Formula!D58,45))+((Formula!G58)/(Formula!C58+Formula!E58+Formula!G58+Formula!I58+Formula!K58))*(INDEX(Properties!A$1:CB$87,Formula!F58,45))+((Formula!I58)/(Formula!C58+Formula!E58+Formula!G58+Formula!I58+Formula!K58))*(INDEX(Properties!A$1:CB$87,Formula!H58,45))+((Formula!K58)/(Formula!C58+Formula!E58+Formula!G58+Formula!I58+Formula!K58))*(INDEX(Properties!A$1:CB$87,Formula!J58,45))</f>
        <v>1.0841666666666665</v>
      </c>
      <c r="EE58" s="48">
        <f>Formula!C58*(INDEX(Properties!A$1:CB$87,Formula!B58,45))+Formula!E58*(INDEX(Properties!A$1:CB$87,Formula!D58,45))+Formula!G58*(INDEX(Properties!A$1:CB$87,Formula!F58,45))+Formula!I58*(INDEX(Properties!A$1:CB$87,Formula!H58,45))+Formula!K58*(INDEX(Properties!A$1:CB$87,Formula!J58,45))</f>
        <v>13.009999999999998</v>
      </c>
      <c r="EF58" s="48">
        <f>VARP(IF(INDEX(Properties!A$1:CB$87,Formula!B58,45)&lt;&gt;"",INDEX(Properties!A$1:CB$87,Formula!B58,45)),IF(INDEX(Properties!A$1:CB$87,Formula!D58,45)&lt;&gt;"",INDEX(Properties!A$1:CB$87,Formula!D58,45)),IF(INDEX(Properties!A$1:CB$87,Formula!F58,45)&lt;&gt;"",INDEX(Properties!A$1:CB$87,Formula!F58,45)),IF(INDEX(Properties!A$1:CB$87,Formula!H58,45)&lt;&gt;"",INDEX(Properties!A$1:CB$87,Formula!H58,45)),IF(INDEX(Properties!A$1:CB$87,Formula!J58,45)&lt;&gt;"",INDEX(Properties!A$1:CB$87,Formula!J58,45)))</f>
        <v>1.3477600000000003</v>
      </c>
      <c r="EG58" s="48">
        <f>MAX(INDEX(Properties!A$1:CB$87,Formula!B58,45),INDEX(Properties!A$1:CB$87,Formula!D58,45),INDEX(Properties!A$1:CB$87,Formula!F58,45),INDEX(Properties!A$1:CB$87,Formula!H58,45),INDEX(Properties!A$1:CB$87,Formula!J58,45))</f>
        <v>3</v>
      </c>
      <c r="EH58" s="48">
        <f>MIN(IF(INDEX(Properties!A$1:CB$87,Formula!B58,45)=0,10^6,INDEX(Properties!A$1:CB$87,Formula!B58,45)),IF(INDEX(Properties!A$1:CB$87,Formula!D58,45)=0,10^6,INDEX(Properties!A$1:CB$87,Formula!D58,45)),IF(INDEX(Properties!A$1:CB$87,Formula!F58,45)=0,10^6,INDEX(Properties!A$1:CB$87,Formula!F58,45)),IF(INDEX(Properties!A$1:CB$87,Formula!H58,45)=0,10^6,INDEX(Properties!A$1:CB$87,Formula!H58,45)),IF(INDEX(Properties!A$1:CB$87,Formula!J58,45)=0,10^6,INDEX(Properties!A$1:CB$87,Formula!J58,45)))</f>
        <v>0.47</v>
      </c>
      <c r="EI58" s="48">
        <f t="shared" si="22"/>
        <v>2.5300000000000002</v>
      </c>
      <c r="EJ58" s="66">
        <f>((Formula!C58)/(Formula!C58+Formula!E58+Formula!G58+Formula!I58+Formula!K58))*(INDEX(Properties!A$1:CB$87,Formula!B58,46))+((Formula!E58)/(Formula!C58+Formula!E58+Formula!G58+Formula!I58+Formula!K58))*(INDEX(Properties!A$1:CB$87,Formula!D58,46))+((Formula!G58)/(Formula!C58+Formula!E58+Formula!G58+Formula!I58+Formula!K58))*(INDEX(Properties!A$1:CB$87,Formula!F58,46))+((Formula!I58)/(Formula!C58+Formula!E58+Formula!G58+Formula!I58+Formula!K58))*(INDEX(Properties!A$1:CB$87,Formula!H58,46))+((Formula!K58)/(Formula!C58+Formula!E58+Formula!G58+Formula!I58+Formula!K58))*(INDEX(Properties!A$1:CB$87,Formula!J58,46))</f>
        <v>0.97750000000000004</v>
      </c>
      <c r="EK58" s="66">
        <f>Formula!C58*(INDEX(Properties!A$1:CB$87,Formula!B58,46))+Formula!E58*(INDEX(Properties!A$1:CB$87,Formula!D58,46))+Formula!G58*(INDEX(Properties!A$1:CB$87,Formula!F58,46))+Formula!I58*(INDEX(Properties!A$1:CB$87,Formula!H58,46))+Formula!K58*(INDEX(Properties!A$1:CB$87,Formula!J58,46))</f>
        <v>11.729999999999999</v>
      </c>
      <c r="EL58" s="66">
        <f>VARP(IF(INDEX(Properties!A$1:CB$87,Formula!B58,46)&lt;&gt;"",INDEX(Properties!A$1:CB$87,Formula!B58,46)),IF(INDEX(Properties!A$1:CB$87,Formula!D58,46)&lt;&gt;"",INDEX(Properties!A$1:CB$87,Formula!D58,46)),IF(INDEX(Properties!A$1:CB$87,Formula!F58,46)&lt;&gt;"",INDEX(Properties!A$1:CB$87,Formula!F58,46)),IF(INDEX(Properties!A$1:CB$87,Formula!H58,46)&lt;&gt;"",INDEX(Properties!A$1:CB$87,Formula!H58,46)),IF(INDEX(Properties!A$1:CB$87,Formula!J58,46)&lt;&gt;"",INDEX(Properties!A$1:CB$87,Formula!J58,46)))</f>
        <v>0.277144</v>
      </c>
      <c r="EM58" s="66">
        <f>MAX(INDEX(Properties!A$1:CB$87,Formula!B58,46),INDEX(Properties!A$1:CB$87,Formula!D58,46),INDEX(Properties!A$1:CB$87,Formula!F58,46),INDEX(Properties!A$1:CB$87,Formula!H58,46),INDEX(Properties!A$1:CB$87,Formula!J58,46))</f>
        <v>1.21</v>
      </c>
      <c r="EN58" s="66">
        <f>MIN(IF(INDEX(Properties!A$1:CB$87,Formula!B58,46)=0,10^6,INDEX(Properties!A$1:CB$87,Formula!B58,46)),IF(INDEX(Properties!A$1:CB$87,Formula!D58,46)=0,10^6,INDEX(Properties!A$1:CB$87,Formula!D58,46)),IF(INDEX(Properties!A$1:CB$87,Formula!F58,46)=0,10^6,INDEX(Properties!A$1:CB$87,Formula!F58,46)),IF(INDEX(Properties!A$1:CB$87,Formula!H58,46)=0,10^6,INDEX(Properties!A$1:CB$87,Formula!H58,46)),IF(INDEX(Properties!A$1:CB$87,Formula!J58,46)=0,10^6,INDEX(Properties!A$1:CB$87,Formula!J58,46)))</f>
        <v>0.53</v>
      </c>
      <c r="EO58" s="66">
        <f t="shared" si="23"/>
        <v>0.67999999999999994</v>
      </c>
      <c r="EP58" s="81">
        <f>((Formula!C58)/(Formula!C58+Formula!E58+Formula!G58+Formula!I58+Formula!K58))*(INDEX(Properties!A$1:CB$87,Formula!B58,52))+((Formula!E58)/(Formula!C58+Formula!E58+Formula!G58+Formula!I58+Formula!K58))*(INDEX(Properties!A$1:CB$87,Formula!D58,52))+((Formula!G58)/(Formula!C58+Formula!E58+Formula!G58+Formula!I58+Formula!K58))*(INDEX(Properties!A$1:CB$87,Formula!F58,52))+((Formula!I58)/(Formula!C58+Formula!E58+Formula!G58+Formula!I58+Formula!K58))*(INDEX(Properties!A$1:CB$87,Formula!H58,52))+((Formula!K58)/(Formula!C58+Formula!E58+Formula!G58+Formula!I58+Formula!K58))*(INDEX(Properties!A$1:CB$87,Formula!J58,52))</f>
        <v>5.1292499999999999</v>
      </c>
      <c r="EQ58" s="81">
        <f>Formula!C58*(INDEX(Properties!A$1:CB$87,Formula!B58,52))+Formula!E58*(INDEX(Properties!A$1:CB$87,Formula!D58,52))+Formula!G58*(INDEX(Properties!A$1:CB$87,Formula!F58,52))+Formula!I58*(INDEX(Properties!A$1:CB$87,Formula!H58,52))+Formula!K58*(INDEX(Properties!A$1:CB$87,Formula!J58,52))</f>
        <v>61.551000000000002</v>
      </c>
      <c r="ER58" s="81">
        <f>VARP(IF(INDEX(Properties!A$1:CB$87,Formula!B58,52)&lt;&gt;"",INDEX(Properties!A$1:CB$87,Formula!B58,52)),IF(INDEX(Properties!A$1:CB$87,Formula!D58,52)&lt;&gt;"",INDEX(Properties!A$1:CB$87,Formula!D58,52)),IF(INDEX(Properties!A$1:CB$87,Formula!F58,52)&lt;&gt;"",INDEX(Properties!A$1:CB$87,Formula!F58,52)),IF(INDEX(Properties!A$1:CB$87,Formula!H58,52)&lt;&gt;"",INDEX(Properties!A$1:CB$87,Formula!H58,52)),IF(INDEX(Properties!A$1:CB$87,Formula!J58,52)&lt;&gt;"",INDEX(Properties!A$1:CB$87,Formula!J58,52)))</f>
        <v>77.18523184</v>
      </c>
      <c r="ES58" s="81">
        <f>MAX(INDEX(Properties!A$1:CB$87,Formula!B58,52),INDEX(Properties!A$1:CB$87,Formula!D58,52),INDEX(Properties!A$1:CB$87,Formula!F58,52),INDEX(Properties!A$1:CB$87,Formula!H58,52),INDEX(Properties!A$1:CB$87,Formula!J58,52))</f>
        <v>22.8</v>
      </c>
      <c r="ET58" s="81">
        <f>MIN(IF(INDEX(Properties!A$1:CB$87,Formula!B58,52)=0,10^6,INDEX(Properties!A$1:CB$87,Formula!B58,52)),IF(INDEX(Properties!A$1:CB$87,Formula!D58,52)=0,10^6,INDEX(Properties!A$1:CB$87,Formula!D58,52)),IF(INDEX(Properties!A$1:CB$87,Formula!F58,52)=0,10^6,INDEX(Properties!A$1:CB$87,Formula!F58,52)),IF(INDEX(Properties!A$1:CB$87,Formula!H58,52)=0,10^6,INDEX(Properties!A$1:CB$87,Formula!H58,52)),IF(INDEX(Properties!A$1:CB$87,Formula!J58,52)=0,10^6,INDEX(Properties!A$1:CB$87,Formula!J58,52)))</f>
        <v>0.79300000000000004</v>
      </c>
      <c r="EU58" s="81">
        <f t="shared" si="24"/>
        <v>22.007000000000001</v>
      </c>
      <c r="EV58" s="39">
        <f>((Formula!C58)/(Formula!C58+Formula!E58+Formula!G58+Formula!I58+Formula!K58))*(INDEX(Properties!A$1:CB$87,Formula!B58,53))+((Formula!E58)/(Formula!C58+Formula!E58+Formula!G58+Formula!I58+Formula!K58))*(INDEX(Properties!A$1:CB$87,Formula!D58,53))+((Formula!G58)/(Formula!C58+Formula!E58+Formula!G58+Formula!I58+Formula!K58))*(INDEX(Properties!A$1:CB$87,Formula!F58,53))+((Formula!I58)/(Formula!C58+Formula!E58+Formula!G58+Formula!I58+Formula!K58))*(INDEX(Properties!A$1:CB$87,Formula!H58,53))+((Formula!K58)/(Formula!C58+Formula!E58+Formula!G58+Formula!I58+Formula!K58))*(INDEX(Properties!A$1:CB$87,Formula!J58,53))</f>
        <v>435.66666666666663</v>
      </c>
      <c r="EW58" s="39">
        <f>Formula!C58*(INDEX(Properties!A$1:CB$87,Formula!B58,53))+Formula!E58*(INDEX(Properties!A$1:CB$87,Formula!D58,53))+Formula!G58*(INDEX(Properties!A$1:CB$87,Formula!F58,53))+Formula!I58*(INDEX(Properties!A$1:CB$87,Formula!H58,53))+Formula!K58*(INDEX(Properties!A$1:CB$87,Formula!J58,53))</f>
        <v>5228</v>
      </c>
      <c r="EX58" s="39">
        <f>VARP(IF(INDEX(Properties!A$1:CB$87,Formula!B58,53)&lt;&gt;"",INDEX(Properties!A$1:CB$87,Formula!B58,53)),IF(INDEX(Properties!A$1:CB$87,Formula!D58,53)&lt;&gt;"",INDEX(Properties!A$1:CB$87,Formula!D58,53)),IF(INDEX(Properties!A$1:CB$87,Formula!F58,53)&lt;&gt;"",INDEX(Properties!A$1:CB$87,Formula!F58,53)),IF(INDEX(Properties!A$1:CB$87,Formula!H58,53)&lt;&gt;"",INDEX(Properties!A$1:CB$87,Formula!H58,53)),IF(INDEX(Properties!A$1:CB$87,Formula!J58,53)&lt;&gt;"",INDEX(Properties!A$1:CB$87,Formula!J58,53)))</f>
        <v>245720.42140000005</v>
      </c>
      <c r="EY58" s="39">
        <f>MAX(INDEX(Properties!A$1:CB$87,Formula!B58,53),INDEX(Properties!A$1:CB$87,Formula!D58,53),INDEX(Properties!A$1:CB$87,Formula!F58,53),INDEX(Properties!A$1:CB$87,Formula!H58,53),INDEX(Properties!A$1:CB$87,Formula!J58,53))</f>
        <v>1112.1500000000001</v>
      </c>
      <c r="EZ58" s="39">
        <f>MIN(IF(INDEX(Properties!A$1:CB$87,Formula!B58,53)=0,10^6,INDEX(Properties!A$1:CB$87,Formula!B58,53)),IF(INDEX(Properties!A$1:CB$87,Formula!D58,53)=0,10^6,INDEX(Properties!A$1:CB$87,Formula!D58,53)),IF(INDEX(Properties!A$1:CB$87,Formula!F58,53)=0,10^6,INDEX(Properties!A$1:CB$87,Formula!F58,53)),IF(INDEX(Properties!A$1:CB$87,Formula!H58,53)=0,10^6,INDEX(Properties!A$1:CB$87,Formula!H58,53)),IF(INDEX(Properties!A$1:CB$87,Formula!J58,53)=0,10^6,INDEX(Properties!A$1:CB$87,Formula!J58,53)))</f>
        <v>54.749999999999972</v>
      </c>
      <c r="FA58" s="39">
        <f t="shared" si="25"/>
        <v>1057.4000000000001</v>
      </c>
      <c r="FB58" s="54">
        <f>((Formula!C58)/(Formula!C58+Formula!E58+Formula!G58+Formula!I58+Formula!K58))*(INDEX(Properties!A$1:CB$87,Formula!B58,54))+((Formula!E58)/(Formula!C58+Formula!E58+Formula!G58+Formula!I58+Formula!K58))*(INDEX(Properties!A$1:CB$87,Formula!D58,54))+((Formula!G58)/(Formula!C58+Formula!E58+Formula!G58+Formula!I58+Formula!K58))*(INDEX(Properties!A$1:CB$87,Formula!F58,54))+((Formula!I58)/(Formula!C58+Formula!E58+Formula!G58+Formula!I58+Formula!K58))*(INDEX(Properties!A$1:CB$87,Formula!H58,54))+((Formula!K58)/(Formula!C58+Formula!E58+Formula!G58+Formula!I58+Formula!K58))*(INDEX(Properties!A$1:CB$87,Formula!J58,54))</f>
        <v>1112.4000000000001</v>
      </c>
      <c r="FC58" s="54">
        <f>Formula!C58*(INDEX(Properties!A$1:CB$87,Formula!B58,54))+Formula!E58*(INDEX(Properties!A$1:CB$87,Formula!D58,54))+Formula!G58*(INDEX(Properties!A$1:CB$87,Formula!F58,54))+Formula!I58*(INDEX(Properties!A$1:CB$87,Formula!H58,54))+Formula!K58*(INDEX(Properties!A$1:CB$87,Formula!J58,54))</f>
        <v>13348.8</v>
      </c>
      <c r="FD58" s="54">
        <f>VARP(IF(INDEX(Properties!A$1:CB$87,Formula!B58,54)&lt;&gt;"",INDEX(Properties!A$1:CB$87,Formula!B58,54)),IF(INDEX(Properties!A$1:CB$87,Formula!D58,54)&lt;&gt;"",INDEX(Properties!A$1:CB$87,Formula!D58,54)),IF(INDEX(Properties!A$1:CB$87,Formula!F58,54)&lt;&gt;"",INDEX(Properties!A$1:CB$87,Formula!F58,54)),IF(INDEX(Properties!A$1:CB$87,Formula!H58,54)&lt;&gt;"",INDEX(Properties!A$1:CB$87,Formula!H58,54)),IF(INDEX(Properties!A$1:CB$87,Formula!J58,54)&lt;&gt;"",INDEX(Properties!A$1:CB$87,Formula!J58,54)))</f>
        <v>1279037.1334000006</v>
      </c>
      <c r="FE58" s="54">
        <f>MAX(INDEX(Properties!A$1:CB$87,Formula!B58,54),INDEX(Properties!A$1:CB$87,Formula!D58,54),INDEX(Properties!A$1:CB$87,Formula!F58,54),INDEX(Properties!A$1:CB$87,Formula!H58,54),INDEX(Properties!A$1:CB$87,Formula!J58,54))</f>
        <v>2740.15</v>
      </c>
      <c r="FF58" s="54">
        <f>MIN(IF(INDEX(Properties!A$1:CB$87,Formula!B58,54)=0,10^6,INDEX(Properties!A$1:CB$87,Formula!B58,54)),IF(INDEX(Properties!A$1:CB$87,Formula!D58,54)=0,10^6,INDEX(Properties!A$1:CB$87,Formula!D58,54)),IF(INDEX(Properties!A$1:CB$87,Formula!F58,54)=0,10^6,INDEX(Properties!A$1:CB$87,Formula!F58,54)),IF(INDEX(Properties!A$1:CB$87,Formula!H58,54)=0,10^6,INDEX(Properties!A$1:CB$87,Formula!H58,54)),IF(INDEX(Properties!A$1:CB$87,Formula!J58,54)=0,10^6,INDEX(Properties!A$1:CB$87,Formula!J58,54)))</f>
        <v>90.149999999999977</v>
      </c>
      <c r="FG58" s="54">
        <f t="shared" si="26"/>
        <v>2650</v>
      </c>
      <c r="FH58" s="69">
        <f>((Formula!C58)/(Formula!C58+Formula!E58+Formula!G58+Formula!I58+Formula!K58))*(INDEX(Properties!A$1:CB$87,Formula!B58,55))+((Formula!E58)/(Formula!C58+Formula!E58+Formula!G58+Formula!I58+Formula!K58))*(INDEX(Properties!A$1:CB$87,Formula!D58,55))+((Formula!G58)/(Formula!C58+Formula!E58+Formula!G58+Formula!I58+Formula!K58))*(INDEX(Properties!A$1:CB$87,Formula!F58,55))+((Formula!I58)/(Formula!C58+Formula!E58+Formula!G58+Formula!I58+Formula!K58))*(INDEX(Properties!A$1:CB$87,Formula!H58,55))+((Formula!K58)/(Formula!C58+Formula!E58+Formula!G58+Formula!I58+Formula!K58))*(INDEX(Properties!A$1:CB$87,Formula!J58,55))</f>
        <v>1.0300008333333335</v>
      </c>
      <c r="FI58" s="69">
        <f>Formula!C58*(INDEX(Properties!A$1:CB$87,Formula!B58,55))+Formula!E58*(INDEX(Properties!A$1:CB$87,Formula!D58,54))+Formula!G58*(INDEX(Properties!A$1:CB$87,Formula!F58,55))+Formula!I58*(INDEX(Properties!A$1:CB$87,Formula!H58,55))+Formula!K58*(INDEX(Properties!A$1:CB$87,Formula!J58,55))</f>
        <v>10962.16001</v>
      </c>
      <c r="FJ58" s="69">
        <f>VARP(IF(INDEX(Properties!A$1:CB$87,Formula!B58,55)&lt;&gt;"",INDEX(Properties!A$1:CB$87,Formula!B58,55)),IF(INDEX(Properties!A$1:CB$87,Formula!D58,55)&lt;&gt;"",INDEX(Properties!A$1:CB$87,Formula!D58,55)),IF(INDEX(Properties!A$1:CB$87,Formula!F58,55)&lt;&gt;"",INDEX(Properties!A$1:CB$87,Formula!F58,55)),IF(INDEX(Properties!A$1:CB$87,Formula!H58,55)&lt;&gt;"",INDEX(Properties!A$1:CB$87,Formula!H58,55)),IF(INDEX(Properties!A$1:CB$87,Formula!J58,55)&lt;&gt;"",INDEX(Properties!A$1:CB$87,Formula!J58,55)))</f>
        <v>1.2155141271840002</v>
      </c>
      <c r="FK58" s="69">
        <f>MAX(INDEX(Properties!A$1:CB$87,Formula!B58,55),INDEX(Properties!A$1:CB$87,Formula!D58,55),INDEX(Properties!A$1:CB$87,Formula!F58,55),INDEX(Properties!A$1:CB$87,Formula!H58,55),INDEX(Properties!A$1:CB$87,Formula!J58,55))</f>
        <v>2.7</v>
      </c>
      <c r="FL58" s="69">
        <f>MIN(IF(INDEX(Properties!A$1:CB$87,Formula!B58,55)=0,10^6,INDEX(Properties!A$1:CB$87,Formula!B58,55)),IF(INDEX(Properties!A$1:CB$87,Formula!D58,55)=0,10^6,INDEX(Properties!A$1:CB$87,Formula!D58,55)),IF(INDEX(Properties!A$1:CB$87,Formula!F58,55)=0,10^6,INDEX(Properties!A$1:CB$87,Formula!F58,55)),IF(INDEX(Properties!A$1:CB$87,Formula!H58,55)=0,10^6,INDEX(Properties!A$1:CB$87,Formula!H58,55)),IF(INDEX(Properties!A$1:CB$87,Formula!J58,55)=0,10^6,INDEX(Properties!A$1:CB$87,Formula!J58,55)))</f>
        <v>1.4300000000000001E-3</v>
      </c>
      <c r="FM58" s="69">
        <f t="shared" si="27"/>
        <v>2.6985700000000001</v>
      </c>
      <c r="FN58" s="42">
        <f>((Formula!C58)/(Formula!C58+Formula!E58+Formula!G58+Formula!I58+Formula!K58))*(INDEX(Properties!A$1:CB$87,Formula!B58,56))+((Formula!E58)/(Formula!C58+Formula!E58+Formula!G58+Formula!I58+Formula!K58))*(INDEX(Properties!A$1:CB$87,Formula!D58,56))+((Formula!G58)/(Formula!C58+Formula!E58+Formula!G58+Formula!I58+Formula!K58))*(INDEX(Properties!A$1:CB$87,Formula!F58,56))+((Formula!I58)/(Formula!C58+Formula!E58+Formula!G58+Formula!I58+Formula!K58))*(INDEX(Properties!A$1:CB$87,Formula!H58,56))+((Formula!K58)/(Formula!C58+Formula!E58+Formula!G58+Formula!I58+Formula!K58))*(INDEX(Properties!A$1:CB$87,Formula!J58,56))</f>
        <v>0.88916666666666666</v>
      </c>
      <c r="FO58" s="42">
        <f>Formula!C58*(INDEX(Properties!A$1:CB$87,Formula!B58,56))+Formula!E58*(INDEX(Properties!A$1:CB$87,Formula!D58,56))+Formula!G58*(INDEX(Properties!A$1:CB$87,Formula!F58,56))+Formula!I58*(INDEX(Properties!A$1:CB$87,Formula!H58,56))+Formula!K58*(INDEX(Properties!A$1:CB$87,Formula!J58,56))</f>
        <v>10.670000000000002</v>
      </c>
      <c r="FP58" s="42">
        <f>VARP(IF(INDEX(Properties!A$1:CB$87,Formula!B58,56)&lt;&gt;"",INDEX(Properties!A$1:CB$87,Formula!B58,56)),IF(INDEX(Properties!A$1:CB$87,Formula!D58,56)&lt;&gt;"",INDEX(Properties!A$1:CB$87,Formula!D58,56)),IF(INDEX(Properties!A$1:CB$87,Formula!F58,56)&lt;&gt;"",INDEX(Properties!A$1:CB$87,Formula!F58,56)),IF(INDEX(Properties!A$1:CB$87,Formula!H58,56)&lt;&gt;"",INDEX(Properties!A$1:CB$87,Formula!H58,56)),IF(INDEX(Properties!A$1:CB$87,Formula!J58,56)&lt;&gt;"",INDEX(Properties!A$1:CB$87,Formula!J58,56)))</f>
        <v>0.17055999999999996</v>
      </c>
      <c r="FQ58" s="42">
        <f>MAX(INDEX(Properties!A$1:CB$87,Formula!B58,56),INDEX(Properties!A$1:CB$87,Formula!D58,56),INDEX(Properties!A$1:CB$87,Formula!F58,56),INDEX(Properties!A$1:CB$87,Formula!H58,56),INDEX(Properties!A$1:CB$87,Formula!J58,56))</f>
        <v>0.92</v>
      </c>
      <c r="FR58" s="42">
        <f>MIN(IF(INDEX(Properties!A$1:CB$87,Formula!B58,56)=0,10^6,INDEX(Properties!A$1:CB$87,Formula!B58,56)),IF(INDEX(Properties!A$1:CB$87,Formula!D58,56)=0,10^6,INDEX(Properties!A$1:CB$87,Formula!D58,56)),IF(INDEX(Properties!A$1:CB$87,Formula!F58,56)=0,10^6,INDEX(Properties!A$1:CB$87,Formula!F58,56)),IF(INDEX(Properties!A$1:CB$87,Formula!H58,56)=0,10^6,INDEX(Properties!A$1:CB$87,Formula!H58,56)),IF(INDEX(Properties!A$1:CB$87,Formula!J58,56)=0,10^6,INDEX(Properties!A$1:CB$87,Formula!J58,56)))</f>
        <v>0.63</v>
      </c>
      <c r="FS58" s="42">
        <f t="shared" si="28"/>
        <v>0.29000000000000004</v>
      </c>
      <c r="FT58" s="60">
        <f>((Formula!C58)/(Formula!C58+Formula!E58+Formula!G58+Formula!I58+Formula!K58))*(INDEX(Properties!A$1:CB$87,Formula!B58,57))+((Formula!E58)/(Formula!C58+Formula!E58+Formula!G58+Formula!I58+Formula!K58))*(INDEX(Properties!A$1:CB$87,Formula!D58,57))+((Formula!G58)/(Formula!C58+Formula!E58+Formula!G58+Formula!I58+Formula!K58))*(INDEX(Properties!A$1:CB$87,Formula!F58,57))+((Formula!I58)/(Formula!C58+Formula!E58+Formula!G58+Formula!I58+Formula!K58))*(INDEX(Properties!A$1:CB$87,Formula!H58,57))+((Formula!K58)/(Formula!C58+Formula!E58+Formula!G58+Formula!I58+Formula!K58))*(INDEX(Properties!A$1:CB$87,Formula!J58,57))</f>
        <v>4.4381774999999992</v>
      </c>
      <c r="FU58" s="60">
        <f>Formula!C58*(INDEX(Properties!A$1:CB$87,Formula!B58,57))+Formula!E58*(INDEX(Properties!A$1:CB$87,Formula!D58,57))+Formula!G58*(INDEX(Properties!A$1:CB$87,Formula!F58,57))+Formula!I58*(INDEX(Properties!A$1:CB$87,Formula!H58,57))+Formula!K58*(INDEX(Properties!A$1:CB$87,Formula!J58,57))</f>
        <v>53.258129999999994</v>
      </c>
      <c r="FV58" s="60">
        <f>VARP(IF(INDEX(Properties!A$1:CB$87,Formula!B58,57)&lt;&gt;"",INDEX(Properties!A$1:CB$87,Formula!B58,57)),IF(INDEX(Properties!A$1:CB$87,Formula!D58,57)&lt;&gt;"",INDEX(Properties!A$1:CB$87,Formula!D58,57)),IF(INDEX(Properties!A$1:CB$87,Formula!F58,57)&lt;&gt;"",INDEX(Properties!A$1:CB$87,Formula!F58,57)),IF(INDEX(Properties!A$1:CB$87,Formula!H58,57)&lt;&gt;"",INDEX(Properties!A$1:CB$87,Formula!H58,57)),IF(INDEX(Properties!A$1:CB$87,Formula!J58,57)&lt;&gt;"",INDEX(Properties!A$1:CB$87,Formula!J58,57)))</f>
        <v>22.588898233295996</v>
      </c>
      <c r="FW58" s="60">
        <f>MAX(INDEX(Properties!A$1:CB$87,Formula!B58,57),INDEX(Properties!A$1:CB$87,Formula!D58,57),INDEX(Properties!A$1:CB$87,Formula!F58,57),INDEX(Properties!A$1:CB$87,Formula!H58,57),INDEX(Properties!A$1:CB$87,Formula!J58,57))</f>
        <v>10.79</v>
      </c>
      <c r="FX58" s="60">
        <f>MIN(IF(INDEX(Properties!A$1:CB$87,Formula!B58,57)=0,10^6,INDEX(Properties!A$1:CB$87,Formula!B58,57)),IF(INDEX(Properties!A$1:CB$87,Formula!D58,57)=0,10^6,INDEX(Properties!A$1:CB$87,Formula!D58,57)),IF(INDEX(Properties!A$1:CB$87,Formula!F58,57)=0,10^6,INDEX(Properties!A$1:CB$87,Formula!F58,57)),IF(INDEX(Properties!A$1:CB$87,Formula!H58,57)=0,10^6,INDEX(Properties!A$1:CB$87,Formula!H58,57)),IF(INDEX(Properties!A$1:CB$87,Formula!J58,57)=0,10^6,INDEX(Properties!A$1:CB$87,Formula!J58,57)))</f>
        <v>0.22259000000000001</v>
      </c>
      <c r="FY58" s="60">
        <f t="shared" si="29"/>
        <v>10.567409999999999</v>
      </c>
      <c r="FZ58" s="72">
        <f>((Formula!C58)/(Formula!C58+Formula!E58+Formula!G58+Formula!I58+Formula!K58))*(INDEX(Properties!A$1:CB$87,Formula!B58,60))+((Formula!E58)/(Formula!C58+Formula!E58+Formula!G58+Formula!I58+Formula!K58))*(INDEX(Properties!A$1:CB$87,Formula!D58,60))+((Formula!G58)/(Formula!C58+Formula!E58+Formula!G58+Formula!I58+Formula!K58))*(INDEX(Properties!A$1:CB$87,Formula!F58,60))+((Formula!I58)/(Formula!C58+Formula!E58+Formula!G58+Formula!I58+Formula!K58))*(INDEX(Properties!A$1:CB$87,Formula!H58,60))+((Formula!K58)/(Formula!C58+Formula!E58+Formula!G58+Formula!I58+Formula!K58))*(INDEX(Properties!A$1:CB$87,Formula!J58,60))</f>
        <v>95.682264999999987</v>
      </c>
      <c r="GA58" s="72">
        <f>Formula!C58*(INDEX(Properties!A$1:CB$87,Formula!B58,60))+Formula!E58*(INDEX(Properties!A$1:CB$87,Formula!D58,60))+Formula!G58*(INDEX(Properties!A$1:CB$87,Formula!F58,60))+Formula!I58*(INDEX(Properties!A$1:CB$87,Formula!H58,60))+Formula!K58*(INDEX(Properties!A$1:CB$87,Formula!J58,60))</f>
        <v>1148.1871799999999</v>
      </c>
      <c r="GB58" s="72">
        <f>VARP(IF(INDEX(Properties!A$1:CB$87,Formula!B58,60)&lt;&gt;"",INDEX(Properties!A$1:CB$87,Formula!B58,60)),IF(INDEX(Properties!A$1:CB$87,Formula!D58,60)&lt;&gt;"",INDEX(Properties!A$1:CB$87,Formula!D58,60)),IF(INDEX(Properties!A$1:CB$87,Formula!F58,60)&lt;&gt;"",INDEX(Properties!A$1:CB$87,Formula!F58,60)),IF(INDEX(Properties!A$1:CB$87,Formula!H58,60)&lt;&gt;"",INDEX(Properties!A$1:CB$87,Formula!H58,60)),IF(INDEX(Properties!A$1:CB$87,Formula!J58,60)&lt;&gt;"",INDEX(Properties!A$1:CB$87,Formula!J58,60)))</f>
        <v>11594.105284004416</v>
      </c>
      <c r="GC58" s="72">
        <f>MAX(INDEX(Properties!A$1:CB$87,Formula!B58,60),INDEX(Properties!A$1:CB$87,Formula!D58,60),INDEX(Properties!A$1:CB$87,Formula!F58,60),INDEX(Properties!A$1:CB$87,Formula!H58,60),INDEX(Properties!A$1:CB$87,Formula!J58,60))</f>
        <v>237</v>
      </c>
      <c r="GD58" s="72">
        <f>MIN(IF(INDEX(Properties!A$1:CB$87,Formula!B58,60)=0,10^6,INDEX(Properties!A$1:CB$87,Formula!B58,60)),IF(INDEX(Properties!A$1:CB$87,Formula!D58,60)=0,10^6,INDEX(Properties!A$1:CB$87,Formula!D58,60)),IF(INDEX(Properties!A$1:CB$87,Formula!F58,60)=0,10^6,INDEX(Properties!A$1:CB$87,Formula!F58,60)),IF(INDEX(Properties!A$1:CB$87,Formula!H58,60)=0,10^6,INDEX(Properties!A$1:CB$87,Formula!H58,60)),IF(INDEX(Properties!A$1:CB$87,Formula!J58,60)=0,10^6,INDEX(Properties!A$1:CB$87,Formula!J58,60)))</f>
        <v>2.674E-2</v>
      </c>
      <c r="GE58" s="72">
        <f t="shared" si="30"/>
        <v>236.97326000000001</v>
      </c>
      <c r="GF58" s="51">
        <f>((Formula!C58)/(Formula!C58+Formula!E58+Formula!G58+Formula!I58+Formula!K58))*(INDEX(Properties!A$1:CB$87,Formula!B58,62))+((Formula!E58)/(Formula!C58+Formula!E58+Formula!G58+Formula!I58+Formula!K58))*(INDEX(Properties!A$1:CB$87,Formula!D58,62))+((Formula!G58)/(Formula!C58+Formula!E58+Formula!G58+Formula!I58+Formula!K58))*(INDEX(Properties!A$1:CB$87,Formula!F58,62))+((Formula!I58)/(Formula!C58+Formula!E58+Formula!G58+Formula!I58+Formula!K58))*(INDEX(Properties!A$1:CB$87,Formula!H58,62))+((Formula!K58)/(Formula!C58+Formula!E58+Formula!G58+Formula!I58+Formula!K58))*(INDEX(Properties!A$1:CB$87,Formula!J58,62))</f>
        <v>2.8116666666666665</v>
      </c>
      <c r="GG58" s="51">
        <f>Formula!C58*(INDEX(Properties!A$1:CB$87,Formula!B58,62))+Formula!E58*(INDEX(Properties!A$1:CB$87,Formula!D58,62))+Formula!G58*(INDEX(Properties!A$1:CB$87,Formula!F58,62))+Formula!I58*(INDEX(Properties!A$1:CB$87,Formula!H58,62))+Formula!K58*(INDEX(Properties!A$1:CB$87,Formula!J58,62))</f>
        <v>33.74</v>
      </c>
      <c r="GH58" s="51">
        <f>VARP(IF(INDEX(Properties!A$1:CB$87,Formula!B58,62)&lt;&gt;"",INDEX(Properties!A$1:CB$87,Formula!B58,62)),IF(INDEX(Properties!A$1:CB$87,Formula!D58,62)&lt;&gt;"",INDEX(Properties!A$1:CB$87,Formula!D58,62)),IF(INDEX(Properties!A$1:CB$87,Formula!F58,62)&lt;&gt;"",INDEX(Properties!A$1:CB$87,Formula!F58,62)),IF(INDEX(Properties!A$1:CB$87,Formula!H58,62)&lt;&gt;"",INDEX(Properties!A$1:CB$87,Formula!H58,62)),IF(INDEX(Properties!A$1:CB$87,Formula!J58,62)&lt;&gt;"",INDEX(Properties!A$1:CB$87,Formula!J58,62)))</f>
        <v>1.8835199999999994</v>
      </c>
      <c r="GI58" s="51">
        <f>MAX(INDEX(Properties!A$1:CB$87,Formula!B58,62),INDEX(Properties!A$1:CB$87,Formula!D58,62),INDEX(Properties!A$1:CB$87,Formula!F58,62),INDEX(Properties!A$1:CB$87,Formula!H58,62),INDEX(Properties!A$1:CB$87,Formula!J58,62))</f>
        <v>3.39</v>
      </c>
      <c r="GJ58" s="51">
        <f>MIN(IF(INDEX(Properties!A$1:CB$87,Formula!B58,62)=0,10^6,INDEX(Properties!A$1:CB$87,Formula!B58,62)),IF(INDEX(Properties!A$1:CB$87,Formula!D58,62)=0,10^6,INDEX(Properties!A$1:CB$87,Formula!D58,62)),IF(INDEX(Properties!A$1:CB$87,Formula!F58,62)=0,10^6,INDEX(Properties!A$1:CB$87,Formula!F58,62)),IF(INDEX(Properties!A$1:CB$87,Formula!H58,62)=0,10^6,INDEX(Properties!A$1:CB$87,Formula!H58,62)),IF(INDEX(Properties!A$1:CB$87,Formula!J58,62)=0,10^6,INDEX(Properties!A$1:CB$87,Formula!J58,62)))</f>
        <v>1.84</v>
      </c>
      <c r="GK58" s="51">
        <f t="shared" si="31"/>
        <v>1.55</v>
      </c>
      <c r="GL58" s="51">
        <f>Formula!P58</f>
        <v>15</v>
      </c>
      <c r="GM58" s="57">
        <f>Formula!O58</f>
        <v>2</v>
      </c>
      <c r="GN58" s="51">
        <f>Formula!N58</f>
        <v>7.0000000000000007E-2</v>
      </c>
    </row>
    <row r="59" spans="1:196" x14ac:dyDescent="0.3">
      <c r="A59" s="84" t="str">
        <f>Formula!A59</f>
        <v>Y2MoO6</v>
      </c>
      <c r="B59" s="89">
        <f>((Formula!C59)/(Formula!C59+Formula!E59+Formula!G59+Formula!I59+Formula!K59))*(INDEX(Properties!A$1:CB$87,Formula!B59,3))+((Formula!E59)/(Formula!C59+Formula!E59+Formula!G59+Formula!I59+Formula!K59))*(INDEX(Properties!A$1:CB$87,Formula!D59,3))+((Formula!G59)/(Formula!C59+Formula!E59+Formula!G59+Formula!I59+Formula!K59))*(INDEX(Properties!A$1:CB$87,Formula!F59,3))+((Formula!I59)/(Formula!C59+Formula!E59+Formula!G59+Formula!I59+Formula!K59))*(INDEX(Properties!A$1:CB$87,Formula!H59,3))+((Formula!K59)/(Formula!C59+Formula!E59+Formula!G59+Formula!I59+Formula!K59))*(INDEX(Properties!A$1:CB$87,Formula!J59,3))</f>
        <v>41.084231111111109</v>
      </c>
      <c r="C59" s="85">
        <f>Formula!C59*(INDEX(Properties!A$1:CB$87,Formula!B59,3))+Formula!E59*(INDEX(Properties!A$1:CB$87,Formula!D59,3))+Formula!G59*(INDEX(Properties!A$1:CB$87,Formula!F59,3))+Formula!I59*(INDEX(Properties!A$1:CB$87,Formula!H59,3))+Formula!K59*(INDEX(Properties!A$1:CB$87,Formula!J59,3))</f>
        <v>369.75808000000001</v>
      </c>
      <c r="D59" s="85">
        <f>VARP(IF(INDEX(Properties!A$1:CB$87,Formula!B59,3)&lt;&gt;"",INDEX(Properties!A$1:CB$87,Formula!B59,3)),IF(INDEX(Properties!A$1:CB$87,Formula!D59,3)&lt;&gt;"",INDEX(Properties!A$1:CB$87,Formula!D59,3)),IF(INDEX(Properties!A$1:CB$87,Formula!F59,3)&lt;&gt;"",INDEX(Properties!A$1:CB$87,Formula!F59,3)),IF(INDEX(Properties!A$1:CB$87,Formula!H59,3)&lt;&gt;"",INDEX(Properties!A$1:CB$87,Formula!H59,3)),IF(INDEX(Properties!A$1:CB$87,Formula!J59,3)&lt;&gt;"",INDEX(Properties!A$1:CB$87,Formula!J59,3)))</f>
        <v>1859.6132398748157</v>
      </c>
      <c r="E59" s="85">
        <f>MAX(INDEX(Properties!A$1:CB$87,Formula!B59,3),INDEX(Properties!A$1:CB$87,Formula!D59,3),INDEX(Properties!A$1:CB$87,Formula!F59,3),INDEX(Properties!A$1:CB$87,Formula!H59,3),INDEX(Properties!A$1:CB$87,Formula!J59,3))</f>
        <v>95.95</v>
      </c>
      <c r="F59" s="85">
        <f>MIN(IF(INDEX(Properties!A$1:CB$87,Formula!B59,3)=0,10^6,INDEX(Properties!A$1:CB$87,Formula!B59,3)),IF(INDEX(Properties!A$1:CB$87,Formula!D59,3)=0,10^6,INDEX(Properties!A$1:CB$87,Formula!D59,3)),IF(INDEX(Properties!A$1:CB$87,Formula!F59,3)=0,10^6,INDEX(Properties!A$1:CB$87,Formula!F59,3)),IF(INDEX(Properties!A$1:CB$87,Formula!H59,3)=0,10^6,INDEX(Properties!A$1:CB$87,Formula!H59,3)),IF(INDEX(Properties!A$1:CB$87,Formula!J59,3)=0,10^6,INDEX(Properties!A$1:CB$87,Formula!J59,3)))</f>
        <v>15.9994</v>
      </c>
      <c r="G59" s="85">
        <f t="shared" si="0"/>
        <v>79.950600000000009</v>
      </c>
      <c r="H59" s="87">
        <f>((Formula!C59)/(Formula!C59+Formula!E59+Formula!G59+Formula!I59+Formula!K59))*(INDEX(Properties!A$1:CB$87,Formula!B59,4))+((Formula!E59)/(Formula!C59+Formula!E59+Formula!G59+Formula!I59+Formula!K59))*(INDEX(Properties!A$1:CB$87,Formula!D59,4))+((Formula!G59)/(Formula!C59+Formula!E59+Formula!G59+Formula!I59+Formula!K59))*(INDEX(Properties!A$1:CB$87,Formula!F59,4))+((Formula!I59)/(Formula!C59+Formula!E59+Formula!G59+Formula!I59+Formula!K59))*(INDEX(Properties!A$1:CB$87,Formula!H59,4))+((Formula!K59)/(Formula!C59+Formula!E59+Formula!G59+Formula!I59+Formula!K59))*(INDEX(Properties!A$1:CB$87,Formula!J59,4))</f>
        <v>18.666666666666664</v>
      </c>
      <c r="I59" s="87">
        <f>Formula!C59*(INDEX(Properties!A$1:CB$87,Formula!B59,4))+Formula!E59*(INDEX(Properties!A$1:CB$87,Formula!D59,4))+Formula!G59*(INDEX(Properties!A$1:CB$87,Formula!F59,4))+Formula!I59*(INDEX(Properties!A$1:CB$87,Formula!H59,4))+Formula!K59*(INDEX(Properties!A$1:CB$87,Formula!J59,4))</f>
        <v>168</v>
      </c>
      <c r="J59" s="87">
        <f>VARP(IF(INDEX(Properties!A$1:CB$87,Formula!B59,4)&lt;&gt;"",INDEX(Properties!A$1:CB$87,Formula!B59,4)),IF(INDEX(Properties!A$1:CB$87,Formula!D59,4)&lt;&gt;"",INDEX(Properties!A$1:CB$87,Formula!D59,4)),IF(INDEX(Properties!A$1:CB$87,Formula!F59,4)&lt;&gt;"",INDEX(Properties!A$1:CB$87,Formula!F59,4)),IF(INDEX(Properties!A$1:CB$87,Formula!H59,4)&lt;&gt;"",INDEX(Properties!A$1:CB$87,Formula!H59,4)),IF(INDEX(Properties!A$1:CB$87,Formula!J59,4)&lt;&gt;"",INDEX(Properties!A$1:CB$87,Formula!J59,4)))</f>
        <v>352.96</v>
      </c>
      <c r="K59" s="87">
        <f>MAX(INDEX(Properties!A$1:CB$87,Formula!B59,4),INDEX(Properties!A$1:CB$87,Formula!D59,4),INDEX(Properties!A$1:CB$87,Formula!F59,4),INDEX(Properties!A$1:CB$87,Formula!H59,4),INDEX(Properties!A$1:CB$87,Formula!J59,4))</f>
        <v>42</v>
      </c>
      <c r="L59" s="87">
        <f>MIN(IF(INDEX(Properties!A$1:CB$87,Formula!B59,4)=0,10^6,INDEX(Properties!A$1:CB$87,Formula!B59,4)),IF(INDEX(Properties!A$1:CB$87,Formula!D59,4)=0,10^6,INDEX(Properties!A$1:CB$87,Formula!D59,4)),IF(INDEX(Properties!A$1:CB$87,Formula!F59,4)=0,10^6,INDEX(Properties!A$1:CB$87,Formula!F59,4)),IF(INDEX(Properties!A$1:CB$87,Formula!H59,4)=0,10^6,INDEX(Properties!A$1:CB$87,Formula!H59,4)),IF(INDEX(Properties!A$1:CB$87,Formula!J59,4)=0,10^6,INDEX(Properties!A$1:CB$87,Formula!J59,4)))</f>
        <v>8</v>
      </c>
      <c r="M59" s="87">
        <f t="shared" si="1"/>
        <v>34</v>
      </c>
      <c r="N59" s="89">
        <f>((Formula!C59)/(Formula!C59+Formula!E59+Formula!G59+Formula!I59+Formula!K59))*(INDEX(Properties!A$1:CB$87,Formula!B59,5))+((Formula!E59)/(Formula!C59+Formula!E59+Formula!G59+Formula!I59+Formula!K59))*(INDEX(Properties!A$1:CB$87,Formula!D59,5))+((Formula!G59)/(Formula!C59+Formula!E59+Formula!G59+Formula!I59+Formula!K59))*(INDEX(Properties!A$1:CB$87,Formula!F59,5))+((Formula!I59)/(Formula!C59+Formula!E59+Formula!G59+Formula!I59+Formula!K59))*(INDEX(Properties!A$1:CB$87,Formula!H59,5))+((Formula!K59)/(Formula!C59+Formula!E59+Formula!G59+Formula!I59+Formula!K59))*(INDEX(Properties!A$1:CB$87,Formula!J59,5))</f>
        <v>3</v>
      </c>
      <c r="O59" s="89">
        <f>Formula!C59*(INDEX(Properties!A$1:CB$87,Formula!B59,5))+Formula!E59*(INDEX(Properties!A$1:CB$87,Formula!D59,5))+Formula!G59*(INDEX(Properties!A$1:CB$87,Formula!F59,5))+Formula!I59*(INDEX(Properties!A$1:CB$87,Formula!H59,5))+Formula!K59*(INDEX(Properties!A$1:CB$87,Formula!J59,5))</f>
        <v>27</v>
      </c>
      <c r="P59" s="89">
        <f>VARP(IF(INDEX(Properties!A$1:CB$87,Formula!B59,5)&lt;&gt;"",INDEX(Properties!A$1:CB$87,Formula!B59,5)),IF(INDEX(Properties!A$1:CB$87,Formula!D59,5)&lt;&gt;"",INDEX(Properties!A$1:CB$87,Formula!D59,5)),IF(INDEX(Properties!A$1:CB$87,Formula!F59,5)&lt;&gt;"",INDEX(Properties!A$1:CB$87,Formula!F59,5)),IF(INDEX(Properties!A$1:CB$87,Formula!H59,5)&lt;&gt;"",INDEX(Properties!A$1:CB$87,Formula!H59,5)),IF(INDEX(Properties!A$1:CB$87,Formula!J59,5)&lt;&gt;"",INDEX(Properties!A$1:CB$87,Formula!J59,5)))</f>
        <v>5.04</v>
      </c>
      <c r="Q59" s="89">
        <f>MAX(INDEX(Properties!A$1:CB$87,Formula!B59,5),INDEX(Properties!A$1:CB$87,Formula!D59,5),INDEX(Properties!A$1:CB$87,Formula!F59,5),INDEX(Properties!A$1:CB$87,Formula!H59,5),INDEX(Properties!A$1:CB$87,Formula!J59,5))</f>
        <v>5</v>
      </c>
      <c r="R59" s="89">
        <f>MIN(IF(INDEX(Properties!A$1:CB$87,Formula!B59,5)=0,10^6,INDEX(Properties!A$1:CB$87,Formula!B59,5)),IF(INDEX(Properties!A$1:CB$87,Formula!D59,5)=0,10^6,INDEX(Properties!A$1:CB$87,Formula!D59,5)),IF(INDEX(Properties!A$1:CB$87,Formula!F59,5)=0,10^6,INDEX(Properties!A$1:CB$87,Formula!F59,5)),IF(INDEX(Properties!A$1:CB$87,Formula!H59,5)=0,10^6,INDEX(Properties!A$1:CB$87,Formula!H59,5)),IF(INDEX(Properties!A$1:CB$87,Formula!J59,5)=0,10^6,INDEX(Properties!A$1:CB$87,Formula!J59,5)))</f>
        <v>2</v>
      </c>
      <c r="S59" s="89">
        <f t="shared" si="2"/>
        <v>3</v>
      </c>
      <c r="T59" s="60">
        <f>((Formula!C59)/(Formula!C59+Formula!E59+Formula!G59+Formula!I59+Formula!K59))*(INDEX(Properties!A$1:CB$87,Formula!B59,6))+((Formula!E59)/(Formula!C59+Formula!E59+Formula!G59+Formula!I59+Formula!K59))*(INDEX(Properties!A$1:CB$87,Formula!D59,6))+((Formula!G59)/(Formula!C59+Formula!E59+Formula!G59+Formula!I59+Formula!K59))*(INDEX(Properties!A$1:CB$87,Formula!F59,6))+((Formula!I59)/(Formula!C59+Formula!E59+Formula!G59+Formula!I59+Formula!K59))*(INDEX(Properties!A$1:CB$87,Formula!H59,6))+((Formula!K59)/(Formula!C59+Formula!E59+Formula!G59+Formula!I59+Formula!K59))*(INDEX(Properties!A$1:CB$87,Formula!J59,6))</f>
        <v>12</v>
      </c>
      <c r="U59" s="60">
        <f>Formula!C59*(INDEX(Properties!A$1:CB$87,Formula!B59,6))+Formula!E59*(INDEX(Properties!A$1:CB$87,Formula!D59,6))+Formula!G59*(INDEX(Properties!A$1:CB$87,Formula!F59,6))+Formula!I59*(INDEX(Properties!A$1:CB$87,Formula!H59,6))+Formula!K59*(INDEX(Properties!A$1:CB$87,Formula!J59,6))</f>
        <v>108</v>
      </c>
      <c r="V59" s="89">
        <f>VARP(IF(INDEX(Properties!A$1:CB$87,Formula!B59,6)&lt;&gt;"",INDEX(Properties!A$1:CB$87,Formula!B59,6)),IF(INDEX(Properties!A$1:CB$87,Formula!D59,6)&lt;&gt;"",INDEX(Properties!A$1:CB$87,Formula!D59,6)),IF(INDEX(Properties!A$1:CB$87,Formula!F59,6)&lt;&gt;"",INDEX(Properties!A$1:CB$87,Formula!F59,6)),IF(INDEX(Properties!A$1:CB$87,Formula!H59,6)&lt;&gt;"",INDEX(Properties!A$1:CB$87,Formula!H59,6)),IF(INDEX(Properties!A$1:CB$87,Formula!J59,6)&lt;&gt;"",INDEX(Properties!A$1:CB$87,Formula!J59,6)))</f>
        <v>35.200000000000003</v>
      </c>
      <c r="W59" s="60">
        <f>MAX(INDEX(Properties!A$1:CB$87,Formula!B59,6),INDEX(Properties!A$1:CB$87,Formula!D59,6),INDEX(Properties!A$1:CB$87,Formula!F59,6),INDEX(Properties!A$1:CB$87,Formula!H59,4),INDEX(Properties!A$1:CB$87,Formula!J59,6))</f>
        <v>16</v>
      </c>
      <c r="X59" s="60">
        <f>MIN(IF(INDEX(Properties!A$1:CB$87,Formula!B59,6)=0,10^6,INDEX(Properties!A$1:CB$87,Formula!B59,6)),IF(INDEX(Properties!A$1:CB$87,Formula!D59,6)=0,10^6,INDEX(Properties!A$1:CB$87,Formula!D59,6)),IF(INDEX(Properties!A$1:CB$87,Formula!F59,6)=0,10^6,INDEX(Properties!A$1:CB$87,Formula!F59,6)),IF(INDEX(Properties!A$1:CB$87,Formula!H59,6)=0,10^6,INDEX(Properties!A$1:CB$87,Formula!H59,6)),IF(INDEX(Properties!A$1:CB$87,Formula!J59,6)=0,10^6,INDEX(Properties!A$1:CB$87,Formula!J59,6)))</f>
        <v>3</v>
      </c>
      <c r="Y59" s="60">
        <f t="shared" si="3"/>
        <v>13</v>
      </c>
      <c r="Z59" s="72">
        <f>((Formula!C59)/(Formula!C59+Formula!E59+Formula!G59+Formula!I59+Formula!K59))*(INDEX(Properties!A$1:CB$87,Formula!B59,9))+((Formula!E59)/(Formula!C59+Formula!E59+Formula!G59+Formula!I59+Formula!K59))*(INDEX(Properties!A$1:CB$87,Formula!D59,9))+((Formula!G59)/(Formula!C59+Formula!E59+Formula!G59+Formula!I59+Formula!K59))*(INDEX(Properties!A$1:CB$87,Formula!F59,9))+((Formula!I59)/(Formula!C59+Formula!E59+Formula!G59+Formula!I59+Formula!K59))*(INDEX(Properties!A$1:CB$87,Formula!H59,9))+((Formula!K59)/(Formula!C59+Formula!E59+Formula!G59+Formula!I59+Formula!K59))*(INDEX(Properties!A$1:CB$87,Formula!J59,9))</f>
        <v>66.222222222222229</v>
      </c>
      <c r="AA59" s="72">
        <f>Formula!C59*(INDEX(Properties!A$1:CB$87,Formula!B59,9))+Formula!E59*(INDEX(Properties!A$1:CB$87,Formula!D59,9))+Formula!G59*(INDEX(Properties!A$1:CB$87,Formula!F59,9))+Formula!I59*(INDEX(Properties!A$1:CB$87,Formula!H59,9))+Formula!K59*(INDEX(Properties!A$1:CB$87,Formula!J59,9))</f>
        <v>596</v>
      </c>
      <c r="AB59" s="72">
        <f>VARP(IF(INDEX(Properties!A$1:CB$87,Formula!B59,9)&lt;&gt;"",INDEX(Properties!A$1:CB$87,Formula!B59,9)),IF(INDEX(Properties!A$1:CB$87,Formula!D59,9)&lt;&gt;"",INDEX(Properties!A$1:CB$87,Formula!D59,9)),IF(INDEX(Properties!A$1:CB$87,Formula!F59,9)&lt;&gt;"",INDEX(Properties!A$1:CB$87,Formula!F59,9)),IF(INDEX(Properties!A$1:CB$87,Formula!H59,9)&lt;&gt;"",INDEX(Properties!A$1:CB$87,Formula!H59,9)),IF(INDEX(Properties!A$1:CB$87,Formula!J59,9)&lt;&gt;"",INDEX(Properties!A$1:CB$87,Formula!J59,9)))</f>
        <v>1154.56</v>
      </c>
      <c r="AC59" s="72">
        <f>MAX(INDEX(Properties!A$1:CB$87,Formula!B59,9),INDEX(Properties!A$1:CB$87,Formula!D59,9),INDEX(Properties!A$1:CB$87,Formula!F59,9),INDEX(Properties!A$1:CB$87,Formula!H59,9),INDEX(Properties!A$1:CB$87,Formula!J59,9))</f>
        <v>87</v>
      </c>
      <c r="AD59" s="72">
        <f>MIN(IF(INDEX(Properties!A$1:CB$87,Formula!B59,9)=0,10^6,INDEX(Properties!A$1:CB$87,Formula!B59,9)),IF(INDEX(Properties!A$1:CB$87,Formula!D59,9)=0,10^6,INDEX(Properties!A$1:CB$87,Formula!D59,9)),IF(INDEX(Properties!A$1:CB$87,Formula!F59,9)=0,10^6,INDEX(Properties!A$1:CB$87,Formula!F59,9)),IF(INDEX(Properties!A$1:CB$87,Formula!H59,9)=0,10^6,INDEX(Properties!A$1:CB$87,Formula!H59,9)),IF(INDEX(Properties!A$1:CB$87,Formula!J59,9)=0,10^6,INDEX(Properties!A$1:CB$87,Formula!J59,9)))</f>
        <v>12</v>
      </c>
      <c r="AE59" s="72">
        <f t="shared" si="4"/>
        <v>75</v>
      </c>
      <c r="AF59" s="51">
        <f>((Formula!C59)/(Formula!C59+Formula!E59+Formula!G59+Formula!I59+Formula!K59))*(INDEX(Properties!A$1:CB$87,Formula!B59,10))+((Formula!E59)/(Formula!C59+Formula!E59+Formula!G59+Formula!I59+Formula!K59))*(INDEX(Properties!A$1:CB$87,Formula!D59,10))+((Formula!G59)/(Formula!C59+Formula!E59+Formula!G59+Formula!I59+Formula!K59))*(INDEX(Properties!A$1:CB$87,Formula!F59,10))+((Formula!I59)/(Formula!C59+Formula!E59+Formula!G59+Formula!I59+Formula!K59))*(INDEX(Properties!A$1:CB$87,Formula!H59,10))+((Formula!K59)/(Formula!C59+Formula!E59+Formula!G59+Formula!I59+Formula!K59))*(INDEX(Properties!A$1:CB$87,Formula!J59,10))</f>
        <v>5.7777777777777768</v>
      </c>
      <c r="AG59" s="51">
        <f>Formula!C59*(INDEX(Properties!A$1:CB$87,Formula!B59,10))+Formula!E59*(INDEX(Properties!A$1:CB$87,Formula!D59,10))+Formula!G59*(INDEX(Properties!A$1:CB$87,Formula!F59,10))+Formula!I59*(INDEX(Properties!A$1:CB$87,Formula!H59,10))+Formula!K59*(INDEX(Properties!A$1:CB$87,Formula!J59,10))</f>
        <v>52</v>
      </c>
      <c r="AH59" s="51">
        <f>VARP(IF(INDEX(Properties!A$1:CB$87,Formula!B59,10)&lt;&gt;"",INDEX(Properties!A$1:CB$87,Formula!B59,10)),IF(INDEX(Properties!A$1:CB$87,Formula!D59,10)&lt;&gt;"",INDEX(Properties!A$1:CB$87,Formula!D59,10)),IF(INDEX(Properties!A$1:CB$87,Formula!F59,10)&lt;&gt;"",INDEX(Properties!A$1:CB$87,Formula!F59,10)),IF(INDEX(Properties!A$1:CB$87,Formula!H59,10)&lt;&gt;"",INDEX(Properties!A$1:CB$87,Formula!H59,10)),IF(INDEX(Properties!A$1:CB$87,Formula!J59,10)&lt;&gt;"",INDEX(Properties!A$1:CB$87,Formula!J59,10)))</f>
        <v>6.96</v>
      </c>
      <c r="AI59" s="51">
        <f>MAX(INDEX(Properties!A$1:CB$87,Formula!B59,10),INDEX(Properties!A$1:CB$87,Formula!D59,10),INDEX(Properties!A$1:CB$87,Formula!F59,10),INDEX(Properties!A$1:CB$87,Formula!H59,10),INDEX(Properties!A$1:CB$87,Formula!J59,10))</f>
        <v>7</v>
      </c>
      <c r="AJ59" s="51">
        <f>MIN(IF(INDEX(Properties!A$1:CB$87,Formula!B59,10)=0,10^6,INDEX(Properties!A$1:CB$87,Formula!B59,10)),IF(INDEX(Properties!A$1:CB$87,Formula!D59,10)=0,10^6,INDEX(Properties!A$1:CB$87,Formula!D59,10)),IF(INDEX(Properties!A$1:CB$87,Formula!F59,10)=0,10^6,INDEX(Properties!A$1:CB$87,Formula!F59,10)),IF(INDEX(Properties!A$1:CB$87,Formula!H59,10)=0,10^6,INDEX(Properties!A$1:CB$87,Formula!H59,10)),IF(INDEX(Properties!A$1:CB$87,Formula!J59,10)=0,10^6,INDEX(Properties!A$1:CB$87,Formula!J59,10)))</f>
        <v>3</v>
      </c>
      <c r="AK59" s="51">
        <f t="shared" si="5"/>
        <v>4</v>
      </c>
      <c r="AL59" s="57">
        <f>((Formula!C59)/(Formula!C59+Formula!E59+Formula!G59+Formula!I59+Formula!K59))*(INDEX(Properties!A$1:CB$87,Formula!B59,11))+((Formula!E59)/(Formula!C59+Formula!E59+Formula!G59+Formula!I59+Formula!K59))*(INDEX(Properties!A$1:CB$87,Formula!D59,11))+((Formula!G59)/(Formula!C59+Formula!E59+Formula!G59+Formula!I59+Formula!K59))*(INDEX(Properties!A$1:CB$87,Formula!F59,11))+((Formula!I59)/(Formula!C59+Formula!E59+Formula!G59+Formula!I59+Formula!K59))*(INDEX(Properties!A$1:CB$87,Formula!H59,11))+((Formula!K59)/(Formula!C59+Formula!E59+Formula!G59+Formula!I59+Formula!K59))*(INDEX(Properties!A$1:CB$87,Formula!J59,11))</f>
        <v>1.8888888888888888</v>
      </c>
      <c r="AM59" s="57">
        <f>Formula!C59*(INDEX(Properties!A$1:CB$87,Formula!B59,11))+Formula!E59*(INDEX(Properties!A$1:CB$87,Formula!D59,11))+Formula!G59*(INDEX(Properties!A$1:CB$87,Formula!F59,11))+Formula!I59*(INDEX(Properties!A$1:CB$87,Formula!H59,11))+Formula!K59*(INDEX(Properties!A$1:CB$87,Formula!J59,11))</f>
        <v>17</v>
      </c>
      <c r="AN59" s="57">
        <f>VARP(IF(INDEX(Properties!A$1:CB$87,Formula!B59,11)&lt;&gt;"",INDEX(Properties!A$1:CB$87,Formula!B59,11)),IF(INDEX(Properties!A$1:CB$87,Formula!D59,11)&lt;&gt;"",INDEX(Properties!A$1:CB$87,Formula!D59,11)),IF(INDEX(Properties!A$1:CB$87,Formula!F59,11)&lt;&gt;"",INDEX(Properties!A$1:CB$87,Formula!F59,11)),IF(INDEX(Properties!A$1:CB$87,Formula!H59,11)&lt;&gt;"",INDEX(Properties!A$1:CB$87,Formula!H59,11)),IF(INDEX(Properties!A$1:CB$87,Formula!J59,11)&lt;&gt;"",INDEX(Properties!A$1:CB$87,Formula!J59,11)))</f>
        <v>0.8</v>
      </c>
      <c r="AO59" s="57">
        <f>MAX(INDEX(Properties!A$1:CB$87,Formula!B59,11),INDEX(Properties!A$1:CB$87,Formula!D59,11),INDEX(Properties!A$1:CB$87,Formula!F59,11),INDEX(Properties!A$1:CB$87,Formula!H59,11),INDEX(Properties!A$1:CB$87,Formula!J59,11))</f>
        <v>2</v>
      </c>
      <c r="AP59" s="57">
        <f>MIN(IF(Formula!B59=87,10^6,INDEX(Properties!A$1:CB$87,Formula!B59,11)),IF((Formula!D59)=87,10^6,INDEX(Properties!A$1:CB$87,Formula!D59,11)),IF((Formula!F59)=87,10^6,INDEX(Properties!A$1:CB$87,Formula!F59,11)),IF((Formula!H59)=87,10^6,INDEX(Properties!A$1:CB$87,Formula!H59,11)),IF(Formula!J59=87,10^6,INDEX(Properties!A$1:CB$87,Formula!J59,11)))</f>
        <v>1</v>
      </c>
      <c r="AQ59" s="57">
        <f t="shared" si="6"/>
        <v>1</v>
      </c>
      <c r="AR59" s="78">
        <f>((Formula!C59)/(Formula!C59+Formula!E59+Formula!G59+Formula!I59+Formula!K59))*(INDEX(Properties!A$1:CB$87,Formula!B59,12))+((Formula!E59)/(Formula!C59+Formula!E59+Formula!G59+Formula!I59+Formula!K59))*(INDEX(Properties!A$1:CB$87,Formula!D59,12))+((Formula!G59)/(Formula!C59+Formula!E59+Formula!G59+Formula!I59+Formula!K59))*(INDEX(Properties!A$1:CB$87,Formula!F59,12))+((Formula!I59)/(Formula!C59+Formula!E59+Formula!G59+Formula!I59+Formula!K59))*(INDEX(Properties!A$1:CB$87,Formula!H59,12))+((Formula!K59)/(Formula!C59+Formula!E59+Formula!G59+Formula!I59+Formula!K59))*(INDEX(Properties!A$1:CB$87,Formula!J59,12))</f>
        <v>2.6666666666666665</v>
      </c>
      <c r="AS59" s="78">
        <f>Formula!C59*(INDEX(Properties!A$1:CB$87,Formula!B59,12))+Formula!E59*(INDEX(Properties!A$1:CB$87,Formula!D59,12))+Formula!G59*(INDEX(Properties!A$1:CB$87,Formula!F59,12))+Formula!I59*(INDEX(Properties!A$1:CB$87,Formula!H59,12))+Formula!K59*(INDEX(Properties!A$1:CB$87,Formula!J59,12))</f>
        <v>24</v>
      </c>
      <c r="AT59" s="78">
        <f>VARP(IF(INDEX(Properties!A$1:CB$87,Formula!B59,12)&lt;&gt;"",INDEX(Properties!A$1:CB$87,Formula!B59,12)),IF(INDEX(Properties!A$1:CB$87,Formula!D59,12)&lt;&gt;"",INDEX(Properties!A$1:CB$87,Formula!D59,12)),IF(INDEX(Properties!A$1:CB$87,Formula!F59,12)&lt;&gt;"",INDEX(Properties!A$1:CB$87,Formula!F59,12)),IF(INDEX(Properties!A$1:CB$87,Formula!H59,12)&lt;&gt;"",INDEX(Properties!A$1:CB$87,Formula!H59,12)),IF(INDEX(Properties!A$1:CB$87,Formula!J59,12)&lt;&gt;"",INDEX(Properties!A$1:CB$87,Formula!J59,12)))</f>
        <v>2.56</v>
      </c>
      <c r="AU59" s="78">
        <f>MAX(INDEX(Properties!A$1:CB$87,Formula!B59,12),INDEX(Properties!A$1:CB$87,Formula!D59,12),INDEX(Properties!A$1:CB$87,Formula!F59,12),INDEX(Properties!A$1:CB$87,Formula!H59,12),INDEX(Properties!A$1:CB$87,Formula!J59,12))</f>
        <v>4</v>
      </c>
      <c r="AV59" s="78">
        <f>MIN(IF(Formula!B59=87,10^6,INDEX(Properties!A$1:CB$87,Formula!B59,12)),IF((Formula!D59)=87,10^6,INDEX(Properties!A$1:CB$87,Formula!D59,12)),IF((Formula!F59)=87,10^6,INDEX(Properties!A$1:CB$87,Formula!F59,12)),IF((Formula!H59)=87,10^6,INDEX(Properties!A$1:CB$87,Formula!H59,12)),IF(Formula!J59=87,10^6,INDEX(Properties!A$1:CB$87,Formula!J59,12)))</f>
        <v>0</v>
      </c>
      <c r="AW59" s="78">
        <f t="shared" si="7"/>
        <v>4</v>
      </c>
      <c r="AX59" s="45">
        <f>((Formula!C59)/(Formula!C59+Formula!E59+Formula!G59+Formula!I59+Formula!K59))*(INDEX(Properties!A$1:CB$87,Formula!B59,13))+((Formula!E59)/(Formula!C59+Formula!E59+Formula!G59+Formula!I59+Formula!K59))*(INDEX(Properties!A$1:CB$87,Formula!D59,13))+((Formula!G59)/(Formula!C59+Formula!E59+Formula!G59+Formula!I59+Formula!K59))*(INDEX(Properties!A$1:CB$87,Formula!F59,13))+((Formula!I59)/(Formula!C59+Formula!E59+Formula!G59+Formula!I59+Formula!K59))*(INDEX(Properties!A$1:CB$87,Formula!H59,13))+((Formula!K59)/(Formula!C59+Formula!E59+Formula!G59+Formula!I59+Formula!K59))*(INDEX(Properties!A$1:CB$87,Formula!J59,13))</f>
        <v>0.77777777777777779</v>
      </c>
      <c r="AY59" s="45">
        <f>Formula!C59*(INDEX(Properties!A$1:CB$87,Formula!B59,13))+Formula!E59*(INDEX(Properties!A$1:CB$87,Formula!D59,13))+Formula!G59*(INDEX(Properties!A$1:CB$87,Formula!F59,13))+Formula!I59*(INDEX(Properties!A$1:CB$87,Formula!H59,13))+Formula!K59*(INDEX(Properties!A$1:CB$87,Formula!J59,13))</f>
        <v>7</v>
      </c>
      <c r="AZ59" s="45">
        <f>VARP(IF(INDEX(Properties!A$1:CB$87,Formula!B59,13)&lt;&gt;"",INDEX(Properties!A$1:CB$87,Formula!B59,13)),IF(INDEX(Properties!A$1:CB$87,Formula!D59,13)&lt;&gt;"",INDEX(Properties!A$1:CB$87,Formula!D59,13)),IF(INDEX(Properties!A$1:CB$87,Formula!F59,13)&lt;&gt;"",INDEX(Properties!A$1:CB$87,Formula!F59,13)),IF(INDEX(Properties!A$1:CB$87,Formula!H59,13)&lt;&gt;"",INDEX(Properties!A$1:CB$87,Formula!H59,13)),IF(INDEX(Properties!A$1:CB$87,Formula!J59,13)&lt;&gt;"",INDEX(Properties!A$1:CB$87,Formula!J59,13)))</f>
        <v>3.76</v>
      </c>
      <c r="BA59" s="45">
        <f>MAX(INDEX(Properties!A$1:CB$87,Formula!B59,13),INDEX(Properties!A$1:CB$87,Formula!D59,13),INDEX(Properties!A$1:CB$87,Formula!F59,13),INDEX(Properties!A$1:CB$87,Formula!H59,13),INDEX(Properties!A$1:CB$87,Formula!J59,13))</f>
        <v>5</v>
      </c>
      <c r="BB59" s="45">
        <f>MIN(IF(Formula!B59=87,10^6,INDEX(Properties!A$1:CB$87,Formula!B59,13)),IF((Formula!D59)=87,10^6,INDEX(Properties!A$1:CB$87,Formula!D59,13)),IF((Formula!F59)=87,10^6,INDEX(Properties!A$1:CB$87,Formula!F59,13)),IF((Formula!H59)=87,10^6,INDEX(Properties!A$1:CB$87,Formula!H59,13)),IF(Formula!J59=87,10^6,INDEX(Properties!A$1:CB$87,Formula!J59,13)))</f>
        <v>0</v>
      </c>
      <c r="BC59" s="45">
        <f t="shared" si="8"/>
        <v>5</v>
      </c>
      <c r="BD59" s="63">
        <f>((Formula!C59)/(Formula!C59+Formula!E59+Formula!G59+Formula!I59+Formula!K59))*(INDEX(Properties!A$1:CB$87,Formula!B59,14))+((Formula!E59)/(Formula!C59+Formula!E59+Formula!G59+Formula!I59+Formula!K59))*(INDEX(Properties!A$1:CB$87,Formula!D59,14))+((Formula!G59)/(Formula!C59+Formula!E59+Formula!G59+Formula!I59+Formula!K59))*(INDEX(Properties!A$1:CB$87,Formula!F59,14))+((Formula!I59)/(Formula!C59+Formula!E59+Formula!G59+Formula!I59+Formula!K59))*(INDEX(Properties!A$1:CB$87,Formula!H59,14))+((Formula!K59)/(Formula!C59+Formula!E59+Formula!G59+Formula!I59+Formula!K59))*(INDEX(Properties!A$1:CB$87,Formula!J59,14))</f>
        <v>0</v>
      </c>
      <c r="BE59" s="63">
        <f>Formula!C59*(INDEX(Properties!A$1:CB$87,Formula!B59,14))+Formula!E59*(INDEX(Properties!A$1:CB$87,Formula!D59,14))+Formula!G59*(INDEX(Properties!A$1:CB$87,Formula!F59,14))+Formula!I59*(INDEX(Properties!A$1:CB$87,Formula!H59,14))+Formula!K59*(INDEX(Properties!A$1:CB$87,Formula!J59,14))</f>
        <v>0</v>
      </c>
      <c r="BF59" s="63">
        <f>VARP(IF(INDEX(Properties!A$1:CB$87,Formula!B59,14)&lt;&gt;"",INDEX(Properties!A$1:CB$87,Formula!B59,14)),IF(INDEX(Properties!A$1:CB$87,Formula!D59,14)&lt;&gt;"",INDEX(Properties!A$1:CB$87,Formula!D59,14)),IF(INDEX(Properties!A$1:CB$87,Formula!F59,14)&lt;&gt;"",INDEX(Properties!A$1:CB$87,Formula!F59,14)),IF(INDEX(Properties!A$1:CB$87,Formula!H59,14)&lt;&gt;"",INDEX(Properties!A$1:CB$87,Formula!H59,14)),IF(INDEX(Properties!A$1:CB$87,Formula!J59,14)&lt;&gt;"",INDEX(Properties!A$1:CB$87,Formula!J59,14)))</f>
        <v>0</v>
      </c>
      <c r="BG59" s="63">
        <f>MAX(INDEX(Properties!A$1:CB$87,Formula!B59,14),INDEX(Properties!A$1:CB$87,Formula!D59,14),INDEX(Properties!A$1:CB$87,Formula!F59,14),INDEX(Properties!A$1:CB$87,Formula!H59,14),INDEX(Properties!A$1:CB$87,Formula!J59,14))</f>
        <v>0</v>
      </c>
      <c r="BH59" s="63">
        <f>MIN(IF(Formula!B59=87,10^6,INDEX(Properties!A$1:CB$87,Formula!B59,14)),IF((Formula!D59)=87,10^6,INDEX(Properties!A$1:CB$87,Formula!D59,14)),IF((Formula!F59)=87,10^6,INDEX(Properties!A$1:CB$87,Formula!F59,14)),IF((Formula!H59)=87,10^6,INDEX(Properties!A$1:CB$87,Formula!H59,14)),IF(Formula!J59=87,10^6,INDEX(Properties!A$1:CB$87,Formula!J59,14)))</f>
        <v>0</v>
      </c>
      <c r="BI59" s="63">
        <f t="shared" si="9"/>
        <v>0</v>
      </c>
      <c r="BJ59" s="75">
        <f>((Formula!C59)/(Formula!C59+Formula!E59+Formula!G59+Formula!I59+Formula!K59))*(INDEX(Properties!A$1:CB$87,Formula!B59,19))+((Formula!E59)/(Formula!C59+Formula!E59+Formula!G59+Formula!I59+Formula!K59))*(INDEX(Properties!A$1:CB$87,Formula!D59,19))+((Formula!G59)/(Formula!C59+Formula!E59+Formula!G59+Formula!I59+Formula!K59))*(INDEX(Properties!A$1:CB$87,Formula!F59,19))+((Formula!I59)/(Formula!C59+Formula!E59+Formula!G59+Formula!I59+Formula!K59))*(INDEX(Properties!A$1:CB$87,Formula!H59,19))+((Formula!K59)/(Formula!C59+Formula!E59+Formula!G59+Formula!I59+Formula!K59))*(INDEX(Properties!A$1:CB$87,Formula!J59,19))</f>
        <v>5.333333333333333</v>
      </c>
      <c r="BK59" s="75">
        <f>Formula!C59*(INDEX(Properties!A$1:CB$87,Formula!B59,19))+Formula!E59*(INDEX(Properties!A$1:CB$87,Formula!D59,19))+Formula!G59*(INDEX(Properties!A$1:CB$87,Formula!F59,19))+Formula!I59*(INDEX(Properties!A$1:CB$87,Formula!H59,19))+Formula!K59*(INDEX(Properties!A$1:CB$87,Formula!J59,19))</f>
        <v>48</v>
      </c>
      <c r="BL59" s="75">
        <f>VARP(IF(INDEX(Properties!A$1:CB$87,Formula!B59,19)&lt;&gt;"",INDEX(Properties!A$1:CB$87,Formula!B59,19)),IF(INDEX(Properties!A$1:CB$87,Formula!D59,19)&lt;&gt;"",INDEX(Properties!A$1:CB$87,Formula!D59,19)),IF(INDEX(Properties!A$1:CB$87,Formula!F59,19)&lt;&gt;"",INDEX(Properties!A$1:CB$87,Formula!F59,19)),IF(INDEX(Properties!A$1:CB$87,Formula!H59,19)&lt;&gt;"",INDEX(Properties!A$1:CB$87,Formula!H59,19)),IF(INDEX(Properties!A$1:CB$87,Formula!J59,19)&lt;&gt;"",INDEX(Properties!A$1:CB$87,Formula!J59,19)))</f>
        <v>7.2</v>
      </c>
      <c r="BM59" s="75">
        <f>MAX(INDEX(Properties!A$1:CB$87,Formula!B59,19),INDEX(Properties!A$1:CB$87,Formula!D59,19),INDEX(Properties!A$1:CB$87,Formula!F59,19),INDEX(Properties!A$1:CB$87,Formula!H59,19),INDEX(Properties!A$1:CB$87,Formula!J59,19))</f>
        <v>6</v>
      </c>
      <c r="BN59" s="75">
        <f>MIN(IF(INDEX(Properties!A$1:CB$87,Formula!B59,19)=0,10^6,INDEX(Properties!A$1:CB$87,Formula!B59,19)),IF(INDEX(Properties!A$1:CB$87,Formula!D59,19)=0,10^6,INDEX(Properties!A$1:CB$87,Formula!D59,19)),IF(INDEX(Properties!A$1:CB$87,Formula!F59,19)=0,10^6,INDEX(Properties!A$1:CB$87,Formula!F59,19)),IF(INDEX(Properties!A$1:CB$87,Formula!H59,19)=0,10^6,INDEX(Properties!A$1:CB$87,Formula!H59,19)),IF(INDEX(Properties!A$1:CB$87,Formula!J59,19)=0,10^6,INDEX(Properties!A$1:CB$87,Formula!J59,19)))</f>
        <v>3</v>
      </c>
      <c r="BO59" s="75">
        <f t="shared" si="10"/>
        <v>3</v>
      </c>
      <c r="BP59" s="48">
        <f>((Formula!C59)/(Formula!C59+Formula!E59+Formula!G59+Formula!I59+Formula!K59))*(INDEX(Properties!A$1:CB$87,Formula!B59,20))+((Formula!E59)/(Formula!C59+Formula!E59+Formula!G59+Formula!I59+Formula!K59))*(INDEX(Properties!A$1:CB$87,Formula!D59,20))+((Formula!G59)/(Formula!C59+Formula!E59+Formula!G59+Formula!I59+Formula!K59))*(INDEX(Properties!A$1:CB$87,Formula!F59,20))+((Formula!I59)/(Formula!C59+Formula!E59+Formula!G59+Formula!I59+Formula!K59))*(INDEX(Properties!A$1:CB$87,Formula!H59,20))+((Formula!K59)/(Formula!C59+Formula!E59+Formula!G59+Formula!I59+Formula!K59))*(INDEX(Properties!A$1:CB$87,Formula!J59,20))</f>
        <v>4.5555555555555554</v>
      </c>
      <c r="BQ59" s="48">
        <f>Formula!C59*(INDEX(Properties!A$1:CB$87,Formula!B59,20))+Formula!E59*(INDEX(Properties!A$1:CB$87,Formula!D59,20))+Formula!G59*(INDEX(Properties!A$1:CB$87,Formula!F59,20))+Formula!I59*(INDEX(Properties!A$1:CB$87,Formula!H59,20))+Formula!K59*(INDEX(Properties!A$1:CB$87,Formula!J59,20))</f>
        <v>41</v>
      </c>
      <c r="BR59" s="48">
        <f>VARP(IF(INDEX(Properties!A$1:CB$87,Formula!B59,20)&lt;&gt;"",INDEX(Properties!A$1:CB$87,Formula!B59,20)),IF(INDEX(Properties!A$1:CB$87,Formula!D59,20)&lt;&gt;"",INDEX(Properties!A$1:CB$87,Formula!D59,20)),IF(INDEX(Properties!A$1:CB$87,Formula!F59,20)&lt;&gt;"",INDEX(Properties!A$1:CB$87,Formula!F59,20)),IF(INDEX(Properties!A$1:CB$87,Formula!H59,20)&lt;&gt;"",INDEX(Properties!A$1:CB$87,Formula!H59,20)),IF(INDEX(Properties!A$1:CB$87,Formula!J59,20)&lt;&gt;"",INDEX(Properties!A$1:CB$87,Formula!J59,20)))</f>
        <v>4.96</v>
      </c>
      <c r="BS59" s="48">
        <f>MAX(INDEX(Properties!A$1:CB$87,Formula!B59,20),INDEX(Properties!A$1:CB$87,Formula!D59,20),INDEX(Properties!A$1:CB$87,Formula!F59,20),INDEX(Properties!A$1:CB$87,Formula!H59,20),INDEX(Properties!A$1:CB$87,Formula!J59,20))</f>
        <v>6</v>
      </c>
      <c r="BT59" s="48">
        <f>MIN(IF(INDEX(Properties!A$1:CB$87,Formula!B59,20)=0,10^6,INDEX(Properties!A$1:CB$87,Formula!B59,20)),IF(INDEX(Properties!A$1:CB$87,Formula!D59,20)=0,10^6,INDEX(Properties!A$1:CB$87,Formula!D59,20)),IF(INDEX(Properties!A$1:CB$87,Formula!F59,20)=0,10^6,INDEX(Properties!A$1:CB$87,Formula!F59,20)),IF(INDEX(Properties!A$1:CB$87,Formula!H59,20)=0,10^6,INDEX(Properties!A$1:CB$87,Formula!H59,20)),IF(INDEX(Properties!A$1:CB$87,Formula!J59,20)=0,10^6,INDEX(Properties!A$1:CB$87,Formula!J59,20)))</f>
        <v>1</v>
      </c>
      <c r="BU59" s="48">
        <f t="shared" si="11"/>
        <v>5</v>
      </c>
      <c r="BV59" s="66">
        <f>((Formula!C59)/(Formula!C59+Formula!E59+Formula!G59+Formula!I59+Formula!K59))*(INDEX(Properties!A$1:CB$87,Formula!B59,21))+((Formula!E59)/(Formula!C59+Formula!E59+Formula!G59+Formula!I59+Formula!K59))*(INDEX(Properties!A$1:CB$87,Formula!D59,21))+((Formula!G59)/(Formula!C59+Formula!E59+Formula!G59+Formula!I59+Formula!K59))*(INDEX(Properties!A$1:CB$87,Formula!F59,21))+((Formula!I59)/(Formula!C59+Formula!E59+Formula!G59+Formula!I59+Formula!K59))*(INDEX(Properties!A$1:CB$87,Formula!H59,21))+((Formula!K59)/(Formula!C59+Formula!E59+Formula!G59+Formula!I59+Formula!K59))*(INDEX(Properties!A$1:CB$87,Formula!J59,21))</f>
        <v>4.666666666666667</v>
      </c>
      <c r="BW59" s="66">
        <f>Formula!C59*(INDEX(Properties!A$1:CB$87,Formula!B59,21))+Formula!E59*(INDEX(Properties!A$1:CB$87,Formula!D59,21))+Formula!G59*(INDEX(Properties!A$1:CB$87,Formula!F59,21))+Formula!I59*(INDEX(Properties!A$1:CB$87,Formula!H59,21))+Formula!K59*(INDEX(Properties!A$1:CB$87,Formula!J59,21))</f>
        <v>42</v>
      </c>
      <c r="BX59" s="66">
        <f>VARP(IF(INDEX(Properties!A$1:CB$87,Formula!B59,21)&lt;&gt;"",INDEX(Properties!A$1:CB$87,Formula!B59,21)),IF(INDEX(Properties!A$1:CB$87,Formula!D59,21)&lt;&gt;"",INDEX(Properties!A$1:CB$87,Formula!D59,21)),IF(INDEX(Properties!A$1:CB$87,Formula!F59,21)&lt;&gt;"",INDEX(Properties!A$1:CB$87,Formula!F59,21)),IF(INDEX(Properties!A$1:CB$87,Formula!H59,21)&lt;&gt;"",INDEX(Properties!A$1:CB$87,Formula!H59,21)),IF(INDEX(Properties!A$1:CB$87,Formula!J59,21)&lt;&gt;"",INDEX(Properties!A$1:CB$87,Formula!J59,21)))</f>
        <v>5.76</v>
      </c>
      <c r="BY59" s="66">
        <f>MAX(INDEX(Properties!A$1:CB$87,Formula!B59,21),INDEX(Properties!A$1:CB$87,Formula!D59,21),INDEX(Properties!A$1:CB$87,Formula!F59,21),INDEX(Properties!A$1:CB$87,Formula!H59,21),INDEX(Properties!A$1:CB$87,Formula!J59,21))</f>
        <v>6</v>
      </c>
      <c r="BZ59" s="66">
        <f>MIN(IF(INDEX(Properties!A$1:CB$87,Formula!B59,21)=0,10^6,INDEX(Properties!A$1:CB$87,Formula!B59,21)),IF(INDEX(Properties!A$1:CB$87,Formula!D59,21)=0,10^6,INDEX(Properties!A$1:CB$87,Formula!D59,21)),IF(INDEX(Properties!A$1:CB$87,Formula!F59,21)=0,10^6,INDEX(Properties!A$1:CB$87,Formula!F59,21)),IF(INDEX(Properties!A$1:CB$87,Formula!H59,21)=0,10^6,INDEX(Properties!A$1:CB$87,Formula!H59,21)),IF(INDEX(Properties!A$1:CB$87,Formula!J59,21)=0,10^6,INDEX(Properties!A$1:CB$87,Formula!J59,21)))</f>
        <v>1</v>
      </c>
      <c r="CA59" s="66">
        <f t="shared" si="12"/>
        <v>5</v>
      </c>
      <c r="CB59" s="81">
        <f>((Formula!C59)/(Formula!C59+Formula!E59+Formula!G59+Formula!I59+Formula!K59))*(INDEX(Properties!A$1:CB$87,Formula!B59,23))+((Formula!E59)/(Formula!C59+Formula!E59+Formula!G59+Formula!I59+Formula!K59))*(INDEX(Properties!A$1:CB$87,Formula!D59,23))+((Formula!G59)/(Formula!C59+Formula!E59+Formula!G59+Formula!I59+Formula!K59))*(INDEX(Properties!A$1:CB$87,Formula!F59,23))+((Formula!I59)/(Formula!C59+Formula!E59+Formula!G59+Formula!I59+Formula!K59))*(INDEX(Properties!A$1:CB$87,Formula!H59,23))+((Formula!K59)/(Formula!C59+Formula!E59+Formula!G59+Formula!I59+Formula!K59))*(INDEX(Properties!A$1:CB$87,Formula!J59,23))</f>
        <v>1.3088888888888888</v>
      </c>
      <c r="CC59" s="81">
        <f>Formula!C59*(INDEX(Properties!A$1:CB$87,Formula!B59,23))+Formula!E59*(INDEX(Properties!A$1:CB$87,Formula!D59,23))+Formula!G59*(INDEX(Properties!A$1:CB$87,Formula!F59,23))+Formula!I59*(INDEX(Properties!A$1:CB$87,Formula!H59,23))+Formula!K59*(INDEX(Properties!A$1:CB$87,Formula!J59,23))</f>
        <v>11.780000000000001</v>
      </c>
      <c r="CD59" s="81">
        <f>VARP(IF(INDEX(Properties!A$1:CB$87,Formula!B59,23)&lt;&gt;"",INDEX(Properties!A$1:CB$87,Formula!B59,23)),IF(INDEX(Properties!A$1:CB$87,Formula!D59,23)&lt;&gt;"",INDEX(Properties!A$1:CB$87,Formula!D59,23)),IF(INDEX(Properties!A$1:CB$87,Formula!F59,23)&lt;&gt;"",INDEX(Properties!A$1:CB$87,Formula!F59,23)),IF(INDEX(Properties!A$1:CB$87,Formula!H59,23)&lt;&gt;"",INDEX(Properties!A$1:CB$87,Formula!H59,23)),IF(INDEX(Properties!A$1:CB$87,Formula!J59,23)&lt;&gt;"",INDEX(Properties!A$1:CB$87,Formula!J59,23)))</f>
        <v>5.3981439999999994</v>
      </c>
      <c r="CE59" s="81">
        <f>MAX(INDEX(Properties!A$1:CB$87,Formula!B59,23),INDEX(Properties!A$1:CB$87,Formula!D59,23),INDEX(Properties!A$1:CB$87,Formula!F59,23),INDEX(Properties!A$1:CB$87,Formula!H59,23),INDEX(Properties!A$1:CB$87,Formula!J59,23))</f>
        <v>5.78</v>
      </c>
      <c r="CF59" s="81">
        <f>MIN(IF(Formula!B59=87,10^6,INDEX(Properties!A$1:CB$87,Formula!B59,23)),IF((Formula!D59)=87,10^6,INDEX(Properties!A$1:CB$87,Formula!D59,23)),IF((Formula!F59)=87,10^6,INDEX(Properties!A$1:CB$87,Formula!F59,23)),IF((Formula!H59)=87,10^6,INDEX(Properties!A$1:CB$87,Formula!H59,23)),IF(Formula!J59=87,10^6,INDEX(Properties!A$1:CB$87,Formula!J59,23)))</f>
        <v>0</v>
      </c>
      <c r="CG59" s="81">
        <f t="shared" si="13"/>
        <v>5.78</v>
      </c>
      <c r="CH59" s="39">
        <f>((Formula!C59)/(Formula!C59+Formula!E59+Formula!G59+Formula!I59+Formula!K59))*(INDEX(Properties!A$1:CB$87,Formula!B59,26))+((Formula!E59)/(Formula!C59+Formula!E59+Formula!G59+Formula!I59+Formula!K59))*(INDEX(Properties!A$1:CB$87,Formula!D59,26))+((Formula!G59)/(Formula!C59+Formula!E59+Formula!G59+Formula!I59+Formula!K59))*(INDEX(Properties!A$1:CB$87,Formula!F59,26))+((Formula!I59)/(Formula!C59+Formula!E59+Formula!G59+Formula!I59+Formula!K59))*(INDEX(Properties!A$1:CB$87,Formula!H59,26))+((Formula!K59)/(Formula!C59+Formula!E59+Formula!G59+Formula!I59+Formula!K59))*(INDEX(Properties!A$1:CB$87,Formula!J59,26))</f>
        <v>11.248399999999998</v>
      </c>
      <c r="CI59" s="39">
        <f>Formula!C59*(INDEX(Properties!A$1:CB$87,Formula!B59,26))+Formula!E59*(INDEX(Properties!A$1:CB$87,Formula!D59,26))+Formula!G59*(INDEX(Properties!A$1:CB$87,Formula!F59,26))+Formula!I59*(INDEX(Properties!A$1:CB$87,Formula!H59,26))+Formula!K59*(INDEX(Properties!A$1:CB$87,Formula!J59,26))</f>
        <v>101.23560000000001</v>
      </c>
      <c r="CJ59" s="39">
        <f>VARP(IF(INDEX(Properties!A$1:CB$87,Formula!B59,26)&lt;&gt;"",INDEX(Properties!A$1:CB$87,Formula!B59,26)),IF(INDEX(Properties!A$1:CB$87,Formula!D59,26)&lt;&gt;"",INDEX(Properties!A$1:CB$87,Formula!D59,26)),IF(INDEX(Properties!A$1:CB$87,Formula!F59,26)&lt;&gt;"",INDEX(Properties!A$1:CB$87,Formula!F59,26)),IF(INDEX(Properties!A$1:CB$87,Formula!H59,26)&lt;&gt;"",INDEX(Properties!A$1:CB$87,Formula!H59,26)),IF(INDEX(Properties!A$1:CB$87,Formula!J59,26)&lt;&gt;"",INDEX(Properties!A$1:CB$87,Formula!J59,26)))</f>
        <v>25.877664418400009</v>
      </c>
      <c r="CK59" s="39">
        <f>MAX(INDEX(Properties!A$1:CB$87,Formula!B59,26),INDEX(Properties!A$1:CB$87,Formula!D59,26),INDEX(Properties!A$1:CB$87,Formula!F59,26),INDEX(Properties!A$1:CB$87,Formula!H59,26),INDEX(Properties!A$1:CB$87,Formula!J59,26))</f>
        <v>13.6181</v>
      </c>
      <c r="CL59" s="39">
        <f>MIN(IF(INDEX(Properties!A$1:CB$87,Formula!B59,26)=0,10^6,INDEX(Properties!A$1:CB$87,Formula!B59,26)),IF(INDEX(Properties!A$1:CB$87,Formula!D59,26)=0,10^6,INDEX(Properties!A$1:CB$87,Formula!D59,26)),IF(INDEX(Properties!A$1:CB$87,Formula!F59,26)=0,10^6,INDEX(Properties!A$1:CB$87,Formula!F59,26)),IF(INDEX(Properties!A$1:CB$87,Formula!H59,26)=0,10^6,INDEX(Properties!A$1:CB$87,Formula!H59,26)),IF(INDEX(Properties!A$1:CB$87,Formula!J59,26)=0,10^6,INDEX(Properties!A$1:CB$87,Formula!J59,26)))</f>
        <v>6.2172999999999998</v>
      </c>
      <c r="CM59" s="39">
        <f t="shared" si="14"/>
        <v>7.4008000000000003</v>
      </c>
      <c r="CN59" s="54">
        <f>((Formula!C59)/(Formula!C59+Formula!E59+Formula!G59+Formula!I59+Formula!K59))*(INDEX(Properties!A$1:CB$87,Formula!B59,30))+((Formula!E59)/(Formula!C59+Formula!E59+Formula!G59+Formula!I59+Formula!K59))*(INDEX(Properties!A$1:CB$87,Formula!D59,30))+((Formula!G59)/(Formula!C59+Formula!E59+Formula!G59+Formula!I59+Formula!K59))*(INDEX(Properties!A$1:CB$87,Formula!F59,30))+((Formula!I59)/(Formula!C59+Formula!E59+Formula!G59+Formula!I59+Formula!K59))*(INDEX(Properties!A$1:CB$87,Formula!H59,30))+((Formula!K59)/(Formula!C59+Formula!E59+Formula!G59+Formula!I59+Formula!K59))*(INDEX(Properties!A$1:CB$87,Formula!J59,30))</f>
        <v>2.8044444444444441</v>
      </c>
      <c r="CO59" s="54">
        <f>Formula!C59*(INDEX(Properties!A$1:CB$87,Formula!B59,30))+Formula!E59*(INDEX(Properties!A$1:CB$87,Formula!D59,30))+Formula!G59*(INDEX(Properties!A$1:CB$87,Formula!F59,30))+Formula!I59*(INDEX(Properties!A$1:CB$87,Formula!H59,30))+Formula!K59*(INDEX(Properties!A$1:CB$87,Formula!J59,30))</f>
        <v>25.240000000000002</v>
      </c>
      <c r="CP59" s="54">
        <f>VARP(IF(INDEX(Properties!A$1:CB$87,Formula!B59,30)&lt;&gt;"",INDEX(Properties!A$1:CB$87,Formula!B59,30)),IF(INDEX(Properties!A$1:CB$87,Formula!D59,30)&lt;&gt;"",INDEX(Properties!A$1:CB$87,Formula!D59,30)),IF(INDEX(Properties!A$1:CB$87,Formula!F59,30)&lt;&gt;"",INDEX(Properties!A$1:CB$87,Formula!F59,30)),IF(INDEX(Properties!A$1:CB$87,Formula!H59,30)&lt;&gt;"",INDEX(Properties!A$1:CB$87,Formula!H59,30)),IF(INDEX(Properties!A$1:CB$87,Formula!J59,30)&lt;&gt;"",INDEX(Properties!A$1:CB$87,Formula!J59,30)))</f>
        <v>1.7370239999999999</v>
      </c>
      <c r="CQ59" s="54">
        <f>MAX(INDEX(Properties!A$1:CB$87,Formula!B59,30),INDEX(Properties!A$1:CB$87,Formula!D59,30),INDEX(Properties!A$1:CB$87,Formula!F59,30),INDEX(Properties!A$1:CB$87,Formula!H59,30),INDEX(Properties!A$1:CB$87,Formula!J59,30))</f>
        <v>3.44</v>
      </c>
      <c r="CR59" s="54">
        <f>MIN(IF(INDEX(Properties!A$1:CB$87,Formula!B59,30)=0,10^6,INDEX(Properties!A$1:CB$87,Formula!B59,30)),IF(INDEX(Properties!A$1:CB$87,Formula!D59,30)=0,10^6,INDEX(Properties!A$1:CB$87,Formula!D59,30)),IF(INDEX(Properties!A$1:CB$87,Formula!F59,30)=0,10^6,INDEX(Properties!A$1:CB$87,Formula!F59,30)),IF(INDEX(Properties!A$1:CB$87,Formula!H59,30)=0,10^6,INDEX(Properties!A$1:CB$87,Formula!H59,30)),IF(INDEX(Properties!A$1:CB$87,Formula!J59,30)=0,10^6,INDEX(Properties!A$1:CB$87,Formula!J59,30)))</f>
        <v>1.22</v>
      </c>
      <c r="CS59" s="54">
        <f t="shared" si="15"/>
        <v>2.2199999999999998</v>
      </c>
      <c r="CT59" s="69">
        <f>((Formula!C59)/(Formula!C59+Formula!E59+Formula!G59+Formula!I59+Formula!K59))*(INDEX(Properties!A$1:CB$87,Formula!B59,31))+((Formula!E59)/(Formula!C59+Formula!E59+Formula!G59+Formula!I59+Formula!K59))*(INDEX(Properties!A$1:CB$87,Formula!D59,31))+((Formula!G59)/(Formula!C59+Formula!E59+Formula!G59+Formula!I59+Formula!K59))*(INDEX(Properties!A$1:CB$87,Formula!F59,31))+((Formula!I59)/(Formula!C59+Formula!E59+Formula!G59+Formula!I59+Formula!K59))*(INDEX(Properties!A$1:CB$87,Formula!H59,31))+((Formula!K59)/(Formula!C59+Formula!E59+Formula!G59+Formula!I59+Formula!K59))*(INDEX(Properties!A$1:CB$87,Formula!J59,31))</f>
        <v>2.7422222222222219</v>
      </c>
      <c r="CU59" s="69">
        <f>Formula!C59*(INDEX(Properties!A$1:CB$87,Formula!B59,31))+Formula!E59*(INDEX(Properties!A$1:CB$87,Formula!D59,31))+Formula!G59*(INDEX(Properties!A$1:CB$87,Formula!F59,31))+Formula!I59*(INDEX(Properties!A$1:CB$87,Formula!H59,31))+Formula!K59*(INDEX(Properties!A$1:CB$87,Formula!J59,31))</f>
        <v>24.68</v>
      </c>
      <c r="CV59" s="69">
        <f>VARP(IF(INDEX(Properties!A$1:CB$87,Formula!B59,31)&lt;&gt;"",INDEX(Properties!A$1:CB$87,Formula!B59,31)),IF(INDEX(Properties!A$1:CB$87,Formula!D59,31)&lt;&gt;"",INDEX(Properties!A$1:CB$87,Formula!D59,31)),IF(INDEX(Properties!A$1:CB$87,Formula!F59,31)&lt;&gt;"",INDEX(Properties!A$1:CB$87,Formula!F59,31)),IF(INDEX(Properties!A$1:CB$87,Formula!H59,31)&lt;&gt;"",INDEX(Properties!A$1:CB$87,Formula!H59,31)),IF(INDEX(Properties!A$1:CB$87,Formula!J59,31)&lt;&gt;"",INDEX(Properties!A$1:CB$87,Formula!J59,31)))</f>
        <v>1.5752639999999998</v>
      </c>
      <c r="CW59" s="69">
        <f>MAX(INDEX(Properties!A$1:CB$87,Formula!B59,31),INDEX(Properties!A$1:CB$87,Formula!D59,31),INDEX(Properties!A$1:CB$87,Formula!F59,31),INDEX(Properties!A$1:CB$87,Formula!H59,31),INDEX(Properties!A$1:CB$87,Formula!J59,31))</f>
        <v>3.32</v>
      </c>
      <c r="CX59" s="69">
        <f>MIN(IF(INDEX(Properties!A$1:CB$87,Formula!B59,31)=0,10^6,INDEX(Properties!A$1:CB$87,Formula!B59,31)),IF(INDEX(Properties!A$1:CB$87,Formula!D59,31)=0,10^6,INDEX(Properties!A$1:CB$87,Formula!D59,31)),IF(INDEX(Properties!A$1:CB$87,Formula!F59,31)=0,10^6,INDEX(Properties!A$1:CB$87,Formula!F59,31)),IF(INDEX(Properties!A$1:CB$87,Formula!H59,31)=0,10^6,INDEX(Properties!A$1:CB$87,Formula!H59,31)),IF(INDEX(Properties!A$1:CB$87,Formula!J59,31)=0,10^6,INDEX(Properties!A$1:CB$87,Formula!J59,31)))</f>
        <v>1.41</v>
      </c>
      <c r="CY59" s="69">
        <f t="shared" si="16"/>
        <v>1.91</v>
      </c>
      <c r="CZ59" s="42">
        <f>((Formula!C59)/(Formula!C59+Formula!E59+Formula!G59+Formula!I59+Formula!K59))*(INDEX(Properties!A$1:CB$87,Formula!B59,32))+((Formula!E59)/(Formula!C59+Formula!E59+Formula!G59+Formula!I59+Formula!K59))*(INDEX(Properties!A$1:CB$87,Formula!D59,32))+((Formula!G59)/(Formula!C59+Formula!E59+Formula!G59+Formula!I59+Formula!K59))*(INDEX(Properties!A$1:CB$87,Formula!F59,32))+((Formula!I59)/(Formula!C59+Formula!E59+Formula!G59+Formula!I59+Formula!K59))*(INDEX(Properties!A$1:CB$87,Formula!H59,32))+((Formula!K59)/(Formula!C59+Formula!E59+Formula!G59+Formula!I59+Formula!K59))*(INDEX(Properties!A$1:CB$87,Formula!J59,32))</f>
        <v>6.1688888888888886</v>
      </c>
      <c r="DA59" s="42">
        <f>Formula!C59*(INDEX(Properties!A$1:CB$87,Formula!B59,32))+Formula!E59*(INDEX(Properties!A$1:CB$87,Formula!D59,32))+Formula!G59*(INDEX(Properties!A$1:CB$87,Formula!F59,32))+Formula!I59*(INDEX(Properties!A$1:CB$87,Formula!H59,32))+Formula!K59*(INDEX(Properties!A$1:CB$87,Formula!J59,32))</f>
        <v>55.52</v>
      </c>
      <c r="DB59" s="42">
        <f>VARP(IF(INDEX(Properties!A$1:CB$87,Formula!B59,32)&lt;&gt;"",INDEX(Properties!A$1:CB$87,Formula!B59,32)),IF(INDEX(Properties!A$1:CB$87,Formula!D59,32)&lt;&gt;"",INDEX(Properties!A$1:CB$87,Formula!D59,32)),IF(INDEX(Properties!A$1:CB$87,Formula!F59,32)&lt;&gt;"",INDEX(Properties!A$1:CB$87,Formula!F59,32)),IF(INDEX(Properties!A$1:CB$87,Formula!H59,32)&lt;&gt;"",INDEX(Properties!A$1:CB$87,Formula!H59,32)),IF(INDEX(Properties!A$1:CB$87,Formula!J59,32)&lt;&gt;"",INDEX(Properties!A$1:CB$87,Formula!J59,32)))</f>
        <v>7.8860640000000002</v>
      </c>
      <c r="DC59" s="42">
        <f>MAX(INDEX(Properties!A$1:CB$87,Formula!B59,32),INDEX(Properties!A$1:CB$87,Formula!D59,32),INDEX(Properties!A$1:CB$87,Formula!F59,32),INDEX(Properties!A$1:CB$87,Formula!H59,32),INDEX(Properties!A$1:CB$87,Formula!J59,32))</f>
        <v>7.54</v>
      </c>
      <c r="DD59" s="42">
        <f>MIN(IF(INDEX(Properties!A$1:CB$87,Formula!B59,32)=0,10^6,INDEX(Properties!A$1:CB$87,Formula!B59,32)),IF(INDEX(Properties!A$1:CB$87,Formula!D59,32)=0,10^6,INDEX(Properties!A$1:CB$87,Formula!D59,32)),IF(INDEX(Properties!A$1:CB$87,Formula!F59,32)=0,10^6,INDEX(Properties!A$1:CB$87,Formula!F59,32)),IF(INDEX(Properties!A$1:CB$87,Formula!H59,32)=0,10^6,INDEX(Properties!A$1:CB$87,Formula!H59,32)),IF(INDEX(Properties!A$1:CB$87,Formula!J59,32)=0,10^6,INDEX(Properties!A$1:CB$87,Formula!J59,32)))</f>
        <v>3.19</v>
      </c>
      <c r="DE59" s="42">
        <f t="shared" si="17"/>
        <v>4.3499999999999996</v>
      </c>
      <c r="DF59" s="60">
        <f>((Formula!C59)/(Formula!C59+Formula!E59+Formula!G59+Formula!I59+Formula!K59))*(INDEX(Properties!A$1:CB$87,Formula!B59,34))+((Formula!E59)/(Formula!C59+Formula!E59+Formula!G59+Formula!I59+Formula!K59))*(INDEX(Properties!A$1:CB$87,Formula!D59,34))+((Formula!G59)/(Formula!C59+Formula!E59+Formula!G59+Formula!I59+Formula!K59))*(INDEX(Properties!A$1:CB$87,Formula!F59,34))+((Formula!I59)/(Formula!C59+Formula!E59+Formula!G59+Formula!I59+Formula!K59))*(INDEX(Properties!A$1:CB$87,Formula!H59,34))+((Formula!K59)/(Formula!C59+Formula!E59+Formula!G59+Formula!I59+Formula!K59))*(INDEX(Properties!A$1:CB$87,Formula!J59,34))</f>
        <v>2.8188888888888886</v>
      </c>
      <c r="DG59" s="60">
        <f>Formula!C59*(INDEX(Properties!A$1:CB$87,Formula!B59,34))+Formula!E59*(INDEX(Properties!A$1:CB$87,Formula!D59,34))+Formula!G59*(INDEX(Properties!A$1:CB$87,Formula!F59,34))+Formula!I59*(INDEX(Properties!A$1:CB$87,Formula!H59,34))+Formula!K59*(INDEX(Properties!A$1:CB$87,Formula!J59,34))</f>
        <v>25.37</v>
      </c>
      <c r="DH59" s="60">
        <f>VARP(IF(INDEX(Properties!A$1:CB$87,Formula!B59,34)&lt;&gt;"",INDEX(Properties!A$1:CB$87,Formula!B59,34)),IF(INDEX(Properties!A$1:CB$87,Formula!D59,34)&lt;&gt;"",INDEX(Properties!A$1:CB$87,Formula!D59,34)),IF(INDEX(Properties!A$1:CB$87,Formula!F59,34)&lt;&gt;"",INDEX(Properties!A$1:CB$87,Formula!F59,34)),IF(INDEX(Properties!A$1:CB$87,Formula!H59,34)&lt;&gt;"",INDEX(Properties!A$1:CB$87,Formula!H59,34)),IF(INDEX(Properties!A$1:CB$87,Formula!J59,34)&lt;&gt;"",INDEX(Properties!A$1:CB$87,Formula!J59,34)))</f>
        <v>1.7518800000000008</v>
      </c>
      <c r="DI59" s="60">
        <f>MAX(INDEX(Properties!A$1:CB$87,Formula!B59,34),INDEX(Properties!A$1:CB$87,Formula!D59,34),INDEX(Properties!A$1:CB$87,Formula!F59,34),INDEX(Properties!A$1:CB$87,Formula!H59,34),INDEX(Properties!A$1:CB$87,Formula!J59,34))</f>
        <v>3.61</v>
      </c>
      <c r="DJ59" s="60">
        <f>MIN(IF(INDEX(Properties!A$1:CB$87,Formula!B59,34)=0,10^6,INDEX(Properties!A$1:CB$87,Formula!B59,34)),IF(INDEX(Properties!A$1:CB$87,Formula!D59,34)=0,10^6,INDEX(Properties!A$1:CB$87,Formula!D59,34)),IF(INDEX(Properties!A$1:CB$87,Formula!F59,34)=0,10^6,INDEX(Properties!A$1:CB$87,Formula!F59,34)),IF(INDEX(Properties!A$1:CB$87,Formula!H59,34)=0,10^6,INDEX(Properties!A$1:CB$87,Formula!H59,34)),IF(INDEX(Properties!A$1:CB$87,Formula!J59,34)=0,10^6,INDEX(Properties!A$1:CB$87,Formula!J59,34)))</f>
        <v>1.1200000000000001</v>
      </c>
      <c r="DK59" s="60">
        <f t="shared" si="18"/>
        <v>2.4899999999999998</v>
      </c>
      <c r="DL59" s="45">
        <f>((Formula!C59)/(Formula!C59+Formula!E59+Formula!G59+Formula!I59+Formula!K59))*(INDEX(Properties!A$1:CB$87,Formula!B59,39))+((Formula!E59)/(Formula!C59+Formula!E59+Formula!G59+Formula!I59+Formula!K59))*(INDEX(Properties!A$1:CB$87,Formula!D59,39))+((Formula!G59)/(Formula!C59+Formula!E59+Formula!G59+Formula!I59+Formula!K59))*(INDEX(Properties!A$1:CB$87,Formula!F59,39))+((Formula!I59)/(Formula!C59+Formula!E59+Formula!G59+Formula!I59+Formula!K59))*(INDEX(Properties!A$1:CB$87,Formula!H59,39))+((Formula!K59)/(Formula!C59+Formula!E59+Formula!G59+Formula!I59+Formula!K59))*(INDEX(Properties!A$1:CB$87,Formula!J59,39))</f>
        <v>1.0022222222222221</v>
      </c>
      <c r="DM59" s="45">
        <f>Formula!C59*(INDEX(Properties!A$1:CB$87,Formula!B59,39))+Formula!E59*(INDEX(Properties!A$1:CB$87,Formula!D59,39))+Formula!G59*(INDEX(Properties!A$1:CB$87,Formula!F59,39))+Formula!I59*(INDEX(Properties!A$1:CB$87,Formula!H59,39))+Formula!K59*(INDEX(Properties!A$1:CB$87,Formula!J59,39))</f>
        <v>9.02</v>
      </c>
      <c r="DN59" s="45">
        <f>VARP(IF(INDEX(Properties!A$1:CB$87,Formula!B59,39)&lt;&gt;"",INDEX(Properties!A$1:CB$87,Formula!B59,39)),IF(INDEX(Properties!A$1:CB$87,Formula!D59,39)&lt;&gt;"",INDEX(Properties!A$1:CB$87,Formula!D59,39)),IF(INDEX(Properties!A$1:CB$87,Formula!F59,39)&lt;&gt;"",INDEX(Properties!A$1:CB$87,Formula!F59,39)),IF(INDEX(Properties!A$1:CB$87,Formula!H59,39)&lt;&gt;"",INDEX(Properties!A$1:CB$87,Formula!H59,39)),IF(INDEX(Properties!A$1:CB$87,Formula!J59,39)&lt;&gt;"",INDEX(Properties!A$1:CB$87,Formula!J59,39)))</f>
        <v>0.85695999999999994</v>
      </c>
      <c r="DO59" s="45">
        <f>MAX(INDEX(Properties!A$1:CB$87,Formula!B59,39),INDEX(Properties!A$1:CB$87,Formula!D59,39),INDEX(Properties!A$1:CB$87,Formula!F59,39),INDEX(Properties!A$1:CB$87,Formula!H59,39),INDEX(Properties!A$1:CB$87,Formula!J59,39))</f>
        <v>2.12</v>
      </c>
      <c r="DP59" s="45">
        <f>MIN(IF(INDEX(Properties!A$1:CB$87,Formula!B59,39)=0,10^6,INDEX(Properties!A$1:CB$87,Formula!B59,39)),IF(INDEX(Properties!A$1:CB$87,Formula!D59,39)=0,10^6,INDEX(Properties!A$1:CB$87,Formula!D59,39)),IF(INDEX(Properties!A$1:CB$87,Formula!F59,39)=0,10^6,INDEX(Properties!A$1:CB$87,Formula!F59,39)),IF(INDEX(Properties!A$1:CB$87,Formula!H59,39)=0,10^6,INDEX(Properties!A$1:CB$87,Formula!H59,39)),IF(INDEX(Properties!A$1:CB$87,Formula!J59,39)=0,10^6,INDEX(Properties!A$1:CB$87,Formula!J59,39)))</f>
        <v>0.48</v>
      </c>
      <c r="DQ59" s="45">
        <f t="shared" si="19"/>
        <v>1.6400000000000001</v>
      </c>
      <c r="DR59" s="63">
        <f>((Formula!C59)/(Formula!C59+Formula!E59+Formula!G59+Formula!I59+Formula!K59))*(INDEX(Properties!A$1:CB$87,Formula!B59,40))+((Formula!E59)/(Formula!C59+Formula!E59+Formula!G59+Formula!I59+Formula!K59))*(INDEX(Properties!A$1:CB$87,Formula!D59,40))+((Formula!G59)/(Formula!C59+Formula!E59+Formula!G59+Formula!I59+Formula!K59))*(INDEX(Properties!A$1:CB$87,Formula!F59,40))+((Formula!I59)/(Formula!C59+Formula!E59+Formula!G59+Formula!I59+Formula!K59))*(INDEX(Properties!A$1:CB$87,Formula!H59,40))+((Formula!K59)/(Formula!C59+Formula!E59+Formula!G59+Formula!I59+Formula!K59))*(INDEX(Properties!A$1:CB$87,Formula!J59,40))</f>
        <v>1.0077777777777777</v>
      </c>
      <c r="DS59" s="63">
        <f>Formula!C59*(INDEX(Properties!A$1:CB$87,Formula!B59,40))+Formula!E59*(INDEX(Properties!A$1:CB$87,Formula!D59,40))+Formula!G59*(INDEX(Properties!A$1:CB$87,Formula!F59,40))+Formula!I59*(INDEX(Properties!A$1:CB$87,Formula!H59,40))+Formula!K59*(INDEX(Properties!A$1:CB$87,Formula!J59,40))</f>
        <v>9.07</v>
      </c>
      <c r="DT59" s="63">
        <f>VARP(IF(INDEX(Properties!A$1:CB$87,Formula!B59,40)&lt;&gt;"",INDEX(Properties!A$1:CB$87,Formula!B59,40)),IF(INDEX(Properties!A$1:CB$87,Formula!D59,40)&lt;&gt;"",INDEX(Properties!A$1:CB$87,Formula!D59,40)),IF(INDEX(Properties!A$1:CB$87,Formula!F59,40)&lt;&gt;"",INDEX(Properties!A$1:CB$87,Formula!F59,40)),IF(INDEX(Properties!A$1:CB$87,Formula!H59,40)&lt;&gt;"",INDEX(Properties!A$1:CB$87,Formula!H59,40)),IF(INDEX(Properties!A$1:CB$87,Formula!J59,40)&lt;&gt;"",INDEX(Properties!A$1:CB$87,Formula!J59,40)))</f>
        <v>0.47435999999999995</v>
      </c>
      <c r="DU59" s="63">
        <f>MAX(INDEX(Properties!A$1:CB$87,Formula!B59,40),INDEX(Properties!A$1:CB$87,Formula!D59,40),INDEX(Properties!A$1:CB$87,Formula!F59,40),INDEX(Properties!A$1:CB$87,Formula!H59,40),INDEX(Properties!A$1:CB$87,Formula!J59,40))</f>
        <v>1.62</v>
      </c>
      <c r="DV59" s="63">
        <f>MIN(IF(INDEX(Properties!A$1:CB$87,Formula!B59,40)=0,10^6,INDEX(Properties!A$1:CB$87,Formula!B59,40)),IF(INDEX(Properties!A$1:CB$87,Formula!D59,40)=0,10^6,INDEX(Properties!A$1:CB$87,Formula!D59,40)),IF(INDEX(Properties!A$1:CB$87,Formula!F59,40)=0,10^6,INDEX(Properties!A$1:CB$87,Formula!F59,40)),IF(INDEX(Properties!A$1:CB$87,Formula!H59,40)=0,10^6,INDEX(Properties!A$1:CB$87,Formula!H59,40)),IF(INDEX(Properties!A$1:CB$87,Formula!J59,40)=0,10^6,INDEX(Properties!A$1:CB$87,Formula!J59,40)))</f>
        <v>0.73</v>
      </c>
      <c r="DW59" s="63">
        <f t="shared" si="20"/>
        <v>0.89000000000000012</v>
      </c>
      <c r="DX59" s="75">
        <f>((Formula!C59)/(Formula!C59+Formula!E59+Formula!G59+Formula!I59+Formula!K59))*(INDEX(Properties!A$1:CB$87,Formula!B59,41))+((Formula!E59)/(Formula!C59+Formula!E59+Formula!G59+Formula!I59+Formula!K59))*(INDEX(Properties!A$1:CB$87,Formula!D59,41))+((Formula!G59)/(Formula!C59+Formula!E59+Formula!G59+Formula!I59+Formula!K59))*(INDEX(Properties!A$1:CB$87,Formula!F59,41))+((Formula!I59)/(Formula!C59+Formula!E59+Formula!G59+Formula!I59+Formula!K59))*(INDEX(Properties!A$1:CB$87,Formula!H59,41))+((Formula!K59)/(Formula!C59+Formula!E59+Formula!G59+Formula!I59+Formula!K59))*(INDEX(Properties!A$1:CB$87,Formula!J59,41))</f>
        <v>1.1633333333333333</v>
      </c>
      <c r="DY59" s="75">
        <f>Formula!C59*(INDEX(Properties!A$1:CB$87,Formula!B59,41))+Formula!E59*(INDEX(Properties!A$1:CB$87,Formula!D59,41))+Formula!G59*(INDEX(Properties!A$1:CB$87,Formula!F59,41))+Formula!I59*(INDEX(Properties!A$1:CB$87,Formula!H59,41))+Formula!K59*(INDEX(Properties!A$1:CB$87,Formula!J59,41))</f>
        <v>10.47</v>
      </c>
      <c r="DZ59" s="75">
        <f>VARP(IF(INDEX(Properties!A$1:CB$87,Formula!B59,41)&lt;&gt;"",INDEX(Properties!A$1:CB$87,Formula!B59,41)),IF(INDEX(Properties!A$1:CB$87,Formula!D59,41)&lt;&gt;"",INDEX(Properties!A$1:CB$87,Formula!D59,41)),IF(INDEX(Properties!A$1:CB$87,Formula!F59,41)&lt;&gt;"",INDEX(Properties!A$1:CB$87,Formula!F59,41)),IF(INDEX(Properties!A$1:CB$87,Formula!H59,41)&lt;&gt;"",INDEX(Properties!A$1:CB$87,Formula!H59,41)),IF(INDEX(Properties!A$1:CB$87,Formula!J59,41)&lt;&gt;"",INDEX(Properties!A$1:CB$87,Formula!J59,41)))</f>
        <v>0.2797440000000001</v>
      </c>
      <c r="EA59" s="75">
        <f>MAX(INDEX(Properties!A$1:CB$87,Formula!B59,41),INDEX(Properties!A$1:CB$87,Formula!D59,41),INDEX(Properties!A$1:CB$87,Formula!F59,41),INDEX(Properties!A$1:CB$87,Formula!H59,41),INDEX(Properties!A$1:CB$87,Formula!J59,41))</f>
        <v>1.26</v>
      </c>
      <c r="EB59" s="75">
        <f>MIN(IF(INDEX(Properties!A$1:CB$87,Formula!B59,41)=0,10^6,INDEX(Properties!A$1:CB$87,Formula!B59,41)),IF(INDEX(Properties!A$1:CB$87,Formula!D59,41)=0,10^6,INDEX(Properties!A$1:CB$87,Formula!D59,41)),IF(INDEX(Properties!A$1:CB$87,Formula!F59,41)=0,10^6,INDEX(Properties!A$1:CB$87,Formula!F59,41)),IF(INDEX(Properties!A$1:CB$87,Formula!H59,41)=0,10^6,INDEX(Properties!A$1:CB$87,Formula!H59,41)),IF(INDEX(Properties!A$1:CB$87,Formula!J59,41)=0,10^6,INDEX(Properties!A$1:CB$87,Formula!J59,41)))</f>
        <v>0.83</v>
      </c>
      <c r="EC59" s="75">
        <f t="shared" si="21"/>
        <v>0.43000000000000005</v>
      </c>
      <c r="ED59" s="48">
        <f>((Formula!C59)/(Formula!C59+Formula!E59+Formula!G59+Formula!I59+Formula!K59))*(INDEX(Properties!A$1:CB$87,Formula!B59,45))+((Formula!E59)/(Formula!C59+Formula!E59+Formula!G59+Formula!I59+Formula!K59))*(INDEX(Properties!A$1:CB$87,Formula!D59,45))+((Formula!G59)/(Formula!C59+Formula!E59+Formula!G59+Formula!I59+Formula!K59))*(INDEX(Properties!A$1:CB$87,Formula!F59,45))+((Formula!I59)/(Formula!C59+Formula!E59+Formula!G59+Formula!I59+Formula!K59))*(INDEX(Properties!A$1:CB$87,Formula!H59,45))+((Formula!K59)/(Formula!C59+Formula!E59+Formula!G59+Formula!I59+Formula!K59))*(INDEX(Properties!A$1:CB$87,Formula!J59,45))</f>
        <v>1.2688888888888887</v>
      </c>
      <c r="EE59" s="48">
        <f>Formula!C59*(INDEX(Properties!A$1:CB$87,Formula!B59,45))+Formula!E59*(INDEX(Properties!A$1:CB$87,Formula!D59,45))+Formula!G59*(INDEX(Properties!A$1:CB$87,Formula!F59,45))+Formula!I59*(INDEX(Properties!A$1:CB$87,Formula!H59,45))+Formula!K59*(INDEX(Properties!A$1:CB$87,Formula!J59,45))</f>
        <v>11.42</v>
      </c>
      <c r="EF59" s="48">
        <f>VARP(IF(INDEX(Properties!A$1:CB$87,Formula!B59,45)&lt;&gt;"",INDEX(Properties!A$1:CB$87,Formula!B59,45)),IF(INDEX(Properties!A$1:CB$87,Formula!D59,45)&lt;&gt;"",INDEX(Properties!A$1:CB$87,Formula!D59,45)),IF(INDEX(Properties!A$1:CB$87,Formula!F59,45)&lt;&gt;"",INDEX(Properties!A$1:CB$87,Formula!F59,45)),IF(INDEX(Properties!A$1:CB$87,Formula!H59,45)&lt;&gt;"",INDEX(Properties!A$1:CB$87,Formula!H59,45)),IF(INDEX(Properties!A$1:CB$87,Formula!J59,45)&lt;&gt;"",INDEX(Properties!A$1:CB$87,Formula!J59,45)))</f>
        <v>1.7495040000000004</v>
      </c>
      <c r="EG59" s="48">
        <f>MAX(INDEX(Properties!A$1:CB$87,Formula!B59,45),INDEX(Properties!A$1:CB$87,Formula!D59,45),INDEX(Properties!A$1:CB$87,Formula!F59,45),INDEX(Properties!A$1:CB$87,Formula!H59,45),INDEX(Properties!A$1:CB$87,Formula!J59,45))</f>
        <v>2.94</v>
      </c>
      <c r="EH59" s="48">
        <f>MIN(IF(INDEX(Properties!A$1:CB$87,Formula!B59,45)=0,10^6,INDEX(Properties!A$1:CB$87,Formula!B59,45)),IF(INDEX(Properties!A$1:CB$87,Formula!D59,45)=0,10^6,INDEX(Properties!A$1:CB$87,Formula!D59,45)),IF(INDEX(Properties!A$1:CB$87,Formula!F59,45)=0,10^6,INDEX(Properties!A$1:CB$87,Formula!F59,45)),IF(INDEX(Properties!A$1:CB$87,Formula!H59,45)=0,10^6,INDEX(Properties!A$1:CB$87,Formula!H59,45)),IF(INDEX(Properties!A$1:CB$87,Formula!J59,45)=0,10^6,INDEX(Properties!A$1:CB$87,Formula!J59,45)))</f>
        <v>0.47</v>
      </c>
      <c r="EI59" s="48">
        <f t="shared" si="22"/>
        <v>2.4699999999999998</v>
      </c>
      <c r="EJ59" s="66">
        <f>((Formula!C59)/(Formula!C59+Formula!E59+Formula!G59+Formula!I59+Formula!K59))*(INDEX(Properties!A$1:CB$87,Formula!B59,46))+((Formula!E59)/(Formula!C59+Formula!E59+Formula!G59+Formula!I59+Formula!K59))*(INDEX(Properties!A$1:CB$87,Formula!D59,46))+((Formula!G59)/(Formula!C59+Formula!E59+Formula!G59+Formula!I59+Formula!K59))*(INDEX(Properties!A$1:CB$87,Formula!F59,46))+((Formula!I59)/(Formula!C59+Formula!E59+Formula!G59+Formula!I59+Formula!K59))*(INDEX(Properties!A$1:CB$87,Formula!H59,46))+((Formula!K59)/(Formula!C59+Formula!E59+Formula!G59+Formula!I59+Formula!K59))*(INDEX(Properties!A$1:CB$87,Formula!J59,46))</f>
        <v>1.1255555555555556</v>
      </c>
      <c r="EK59" s="66">
        <f>Formula!C59*(INDEX(Properties!A$1:CB$87,Formula!B59,46))+Formula!E59*(INDEX(Properties!A$1:CB$87,Formula!D59,46))+Formula!G59*(INDEX(Properties!A$1:CB$87,Formula!F59,46))+Formula!I59*(INDEX(Properties!A$1:CB$87,Formula!H59,46))+Formula!K59*(INDEX(Properties!A$1:CB$87,Formula!J59,46))</f>
        <v>10.129999999999999</v>
      </c>
      <c r="EL59" s="66">
        <f>VARP(IF(INDEX(Properties!A$1:CB$87,Formula!B59,46)&lt;&gt;"",INDEX(Properties!A$1:CB$87,Formula!B59,46)),IF(INDEX(Properties!A$1:CB$87,Formula!D59,46)&lt;&gt;"",INDEX(Properties!A$1:CB$87,Formula!D59,46)),IF(INDEX(Properties!A$1:CB$87,Formula!F59,46)&lt;&gt;"",INDEX(Properties!A$1:CB$87,Formula!F59,46)),IF(INDEX(Properties!A$1:CB$87,Formula!H59,46)&lt;&gt;"",INDEX(Properties!A$1:CB$87,Formula!H59,46)),IF(INDEX(Properties!A$1:CB$87,Formula!J59,46)&lt;&gt;"",INDEX(Properties!A$1:CB$87,Formula!J59,46)))</f>
        <v>0.26429600000000009</v>
      </c>
      <c r="EM59" s="66">
        <f>MAX(INDEX(Properties!A$1:CB$87,Formula!B59,46),INDEX(Properties!A$1:CB$87,Formula!D59,46),INDEX(Properties!A$1:CB$87,Formula!F59,46),INDEX(Properties!A$1:CB$87,Formula!H59,46),INDEX(Properties!A$1:CB$87,Formula!J59,46))</f>
        <v>1.21</v>
      </c>
      <c r="EN59" s="66">
        <f>MIN(IF(INDEX(Properties!A$1:CB$87,Formula!B59,46)=0,10^6,INDEX(Properties!A$1:CB$87,Formula!B59,46)),IF(INDEX(Properties!A$1:CB$87,Formula!D59,46)=0,10^6,INDEX(Properties!A$1:CB$87,Formula!D59,46)),IF(INDEX(Properties!A$1:CB$87,Formula!F59,46)=0,10^6,INDEX(Properties!A$1:CB$87,Formula!F59,46)),IF(INDEX(Properties!A$1:CB$87,Formula!H59,46)=0,10^6,INDEX(Properties!A$1:CB$87,Formula!H59,46)),IF(INDEX(Properties!A$1:CB$87,Formula!J59,46)=0,10^6,INDEX(Properties!A$1:CB$87,Formula!J59,46)))</f>
        <v>0.79</v>
      </c>
      <c r="EO59" s="66">
        <f t="shared" si="23"/>
        <v>0.41999999999999993</v>
      </c>
      <c r="EP59" s="81">
        <f>((Formula!C59)/(Formula!C59+Formula!E59+Formula!G59+Formula!I59+Formula!K59))*(INDEX(Properties!A$1:CB$87,Formula!B59,52))+((Formula!E59)/(Formula!C59+Formula!E59+Formula!G59+Formula!I59+Formula!K59))*(INDEX(Properties!A$1:CB$87,Formula!D59,52))+((Formula!G59)/(Formula!C59+Formula!E59+Formula!G59+Formula!I59+Formula!K59))*(INDEX(Properties!A$1:CB$87,Formula!F59,52))+((Formula!I59)/(Formula!C59+Formula!E59+Formula!G59+Formula!I59+Formula!K59))*(INDEX(Properties!A$1:CB$87,Formula!H59,52))+((Formula!K59)/(Formula!C59+Formula!E59+Formula!G59+Formula!I59+Formula!K59))*(INDEX(Properties!A$1:CB$87,Formula!J59,52))</f>
        <v>6.995333333333333</v>
      </c>
      <c r="EQ59" s="81">
        <f>Formula!C59*(INDEX(Properties!A$1:CB$87,Formula!B59,52))+Formula!E59*(INDEX(Properties!A$1:CB$87,Formula!D59,52))+Formula!G59*(INDEX(Properties!A$1:CB$87,Formula!F59,52))+Formula!I59*(INDEX(Properties!A$1:CB$87,Formula!H59,52))+Formula!K59*(INDEX(Properties!A$1:CB$87,Formula!J59,52))</f>
        <v>62.958000000000006</v>
      </c>
      <c r="ER59" s="81">
        <f>VARP(IF(INDEX(Properties!A$1:CB$87,Formula!B59,52)&lt;&gt;"",INDEX(Properties!A$1:CB$87,Formula!B59,52)),IF(INDEX(Properties!A$1:CB$87,Formula!D59,52)&lt;&gt;"",INDEX(Properties!A$1:CB$87,Formula!D59,52)),IF(INDEX(Properties!A$1:CB$87,Formula!F59,52)&lt;&gt;"",INDEX(Properties!A$1:CB$87,Formula!F59,52)),IF(INDEX(Properties!A$1:CB$87,Formula!H59,52)&lt;&gt;"",INDEX(Properties!A$1:CB$87,Formula!H59,52)),IF(INDEX(Properties!A$1:CB$87,Formula!J59,52)&lt;&gt;"",INDEX(Properties!A$1:CB$87,Formula!J59,52)))</f>
        <v>83.264495839999981</v>
      </c>
      <c r="ES59" s="81">
        <f>MAX(INDEX(Properties!A$1:CB$87,Formula!B59,52),INDEX(Properties!A$1:CB$87,Formula!D59,52),INDEX(Properties!A$1:CB$87,Formula!F59,52),INDEX(Properties!A$1:CB$87,Formula!H59,52),INDEX(Properties!A$1:CB$87,Formula!J59,52))</f>
        <v>22.7</v>
      </c>
      <c r="ET59" s="81">
        <f>MIN(IF(INDEX(Properties!A$1:CB$87,Formula!B59,52)=0,10^6,INDEX(Properties!A$1:CB$87,Formula!B59,52)),IF(INDEX(Properties!A$1:CB$87,Formula!D59,52)=0,10^6,INDEX(Properties!A$1:CB$87,Formula!D59,52)),IF(INDEX(Properties!A$1:CB$87,Formula!F59,52)=0,10^6,INDEX(Properties!A$1:CB$87,Formula!F59,52)),IF(INDEX(Properties!A$1:CB$87,Formula!H59,52)=0,10^6,INDEX(Properties!A$1:CB$87,Formula!H59,52)),IF(INDEX(Properties!A$1:CB$87,Formula!J59,52)=0,10^6,INDEX(Properties!A$1:CB$87,Formula!J59,52)))</f>
        <v>0.79300000000000004</v>
      </c>
      <c r="EU59" s="81">
        <f t="shared" si="24"/>
        <v>21.907</v>
      </c>
      <c r="EV59" s="39">
        <f>((Formula!C59)/(Formula!C59+Formula!E59+Formula!G59+Formula!I59+Formula!K59))*(INDEX(Properties!A$1:CB$87,Formula!B59,53))+((Formula!E59)/(Formula!C59+Formula!E59+Formula!G59+Formula!I59+Formula!K59))*(INDEX(Properties!A$1:CB$87,Formula!D59,53))+((Formula!G59)/(Formula!C59+Formula!E59+Formula!G59+Formula!I59+Formula!K59))*(INDEX(Properties!A$1:CB$87,Formula!F59,53))+((Formula!I59)/(Formula!C59+Formula!E59+Formula!G59+Formula!I59+Formula!K59))*(INDEX(Properties!A$1:CB$87,Formula!H59,53))+((Formula!K59)/(Formula!C59+Formula!E59+Formula!G59+Formula!I59+Formula!K59))*(INDEX(Properties!A$1:CB$87,Formula!J59,53))</f>
        <v>756.77222222222224</v>
      </c>
      <c r="EW59" s="39">
        <f>Formula!C59*(INDEX(Properties!A$1:CB$87,Formula!B59,53))+Formula!E59*(INDEX(Properties!A$1:CB$87,Formula!D59,53))+Formula!G59*(INDEX(Properties!A$1:CB$87,Formula!F59,53))+Formula!I59*(INDEX(Properties!A$1:CB$87,Formula!H59,53))+Formula!K59*(INDEX(Properties!A$1:CB$87,Formula!J59,53))</f>
        <v>6810.9500000000007</v>
      </c>
      <c r="EX59" s="39">
        <f>VARP(IF(INDEX(Properties!A$1:CB$87,Formula!B59,53)&lt;&gt;"",INDEX(Properties!A$1:CB$87,Formula!B59,53)),IF(INDEX(Properties!A$1:CB$87,Formula!D59,53)&lt;&gt;"",INDEX(Properties!A$1:CB$87,Formula!D59,53)),IF(INDEX(Properties!A$1:CB$87,Formula!F59,53)&lt;&gt;"",INDEX(Properties!A$1:CB$87,Formula!F59,53)),IF(INDEX(Properties!A$1:CB$87,Formula!H59,53)&lt;&gt;"",INDEX(Properties!A$1:CB$87,Formula!H59,53)),IF(INDEX(Properties!A$1:CB$87,Formula!J59,53)&lt;&gt;"",INDEX(Properties!A$1:CB$87,Formula!J59,53)))</f>
        <v>1417321.6774000002</v>
      </c>
      <c r="EY59" s="39">
        <f>MAX(INDEX(Properties!A$1:CB$87,Formula!B59,53),INDEX(Properties!A$1:CB$87,Formula!D59,53),INDEX(Properties!A$1:CB$87,Formula!F59,53),INDEX(Properties!A$1:CB$87,Formula!H59,53),INDEX(Properties!A$1:CB$87,Formula!J59,53))</f>
        <v>2890.15</v>
      </c>
      <c r="EZ59" s="39">
        <f>MIN(IF(INDEX(Properties!A$1:CB$87,Formula!B59,53)=0,10^6,INDEX(Properties!A$1:CB$87,Formula!B59,53)),IF(INDEX(Properties!A$1:CB$87,Formula!D59,53)=0,10^6,INDEX(Properties!A$1:CB$87,Formula!D59,53)),IF(INDEX(Properties!A$1:CB$87,Formula!F59,53)=0,10^6,INDEX(Properties!A$1:CB$87,Formula!F59,53)),IF(INDEX(Properties!A$1:CB$87,Formula!H59,53)=0,10^6,INDEX(Properties!A$1:CB$87,Formula!H59,53)),IF(INDEX(Properties!A$1:CB$87,Formula!J59,53)=0,10^6,INDEX(Properties!A$1:CB$87,Formula!J59,53)))</f>
        <v>54.749999999999972</v>
      </c>
      <c r="FA59" s="39">
        <f t="shared" si="25"/>
        <v>2835.4</v>
      </c>
      <c r="FB59" s="54">
        <f>((Formula!C59)/(Formula!C59+Formula!E59+Formula!G59+Formula!I59+Formula!K59))*(INDEX(Properties!A$1:CB$87,Formula!B59,54))+((Formula!E59)/(Formula!C59+Formula!E59+Formula!G59+Formula!I59+Formula!K59))*(INDEX(Properties!A$1:CB$87,Formula!D59,54))+((Formula!G59)/(Formula!C59+Formula!E59+Formula!G59+Formula!I59+Formula!K59))*(INDEX(Properties!A$1:CB$87,Formula!F59,54))+((Formula!I59)/(Formula!C59+Formula!E59+Formula!G59+Formula!I59+Formula!K59))*(INDEX(Properties!A$1:CB$87,Formula!H59,54))+((Formula!K59)/(Formula!C59+Formula!E59+Formula!G59+Formula!I59+Formula!K59))*(INDEX(Properties!A$1:CB$87,Formula!J59,54))</f>
        <v>1405.1499999999996</v>
      </c>
      <c r="FC59" s="54">
        <f>Formula!C59*(INDEX(Properties!A$1:CB$87,Formula!B59,54))+Formula!E59*(INDEX(Properties!A$1:CB$87,Formula!D59,54))+Formula!G59*(INDEX(Properties!A$1:CB$87,Formula!F59,54))+Formula!I59*(INDEX(Properties!A$1:CB$87,Formula!H59,54))+Formula!K59*(INDEX(Properties!A$1:CB$87,Formula!J59,54))</f>
        <v>12646.35</v>
      </c>
      <c r="FD59" s="54">
        <f>VARP(IF(INDEX(Properties!A$1:CB$87,Formula!B59,54)&lt;&gt;"",INDEX(Properties!A$1:CB$87,Formula!B59,54)),IF(INDEX(Properties!A$1:CB$87,Formula!D59,54)&lt;&gt;"",INDEX(Properties!A$1:CB$87,Formula!D59,54)),IF(INDEX(Properties!A$1:CB$87,Formula!F59,54)&lt;&gt;"",INDEX(Properties!A$1:CB$87,Formula!F59,54)),IF(INDEX(Properties!A$1:CB$87,Formula!H59,54)&lt;&gt;"",INDEX(Properties!A$1:CB$87,Formula!H59,54)),IF(INDEX(Properties!A$1:CB$87,Formula!J59,54)&lt;&gt;"",INDEX(Properties!A$1:CB$87,Formula!J59,54)))</f>
        <v>4432802.0454000011</v>
      </c>
      <c r="FE59" s="54">
        <f>MAX(INDEX(Properties!A$1:CB$87,Formula!B59,54),INDEX(Properties!A$1:CB$87,Formula!D59,54),INDEX(Properties!A$1:CB$87,Formula!F59,54),INDEX(Properties!A$1:CB$87,Formula!H59,54),INDEX(Properties!A$1:CB$87,Formula!J59,54))</f>
        <v>4885.1499999999996</v>
      </c>
      <c r="FF59" s="54">
        <f>MIN(IF(INDEX(Properties!A$1:CB$87,Formula!B59,54)=0,10^6,INDEX(Properties!A$1:CB$87,Formula!B59,54)),IF(INDEX(Properties!A$1:CB$87,Formula!D59,54)=0,10^6,INDEX(Properties!A$1:CB$87,Formula!D59,54)),IF(INDEX(Properties!A$1:CB$87,Formula!F59,54)=0,10^6,INDEX(Properties!A$1:CB$87,Formula!F59,54)),IF(INDEX(Properties!A$1:CB$87,Formula!H59,54)=0,10^6,INDEX(Properties!A$1:CB$87,Formula!H59,54)),IF(INDEX(Properties!A$1:CB$87,Formula!J59,54)=0,10^6,INDEX(Properties!A$1:CB$87,Formula!J59,54)))</f>
        <v>90.149999999999977</v>
      </c>
      <c r="FG59" s="54">
        <f t="shared" si="26"/>
        <v>4795</v>
      </c>
      <c r="FH59" s="69">
        <f>((Formula!C59)/(Formula!C59+Formula!E59+Formula!G59+Formula!I59+Formula!K59))*(INDEX(Properties!A$1:CB$87,Formula!B59,55))+((Formula!E59)/(Formula!C59+Formula!E59+Formula!G59+Formula!I59+Formula!K59))*(INDEX(Properties!A$1:CB$87,Formula!D59,55))+((Formula!G59)/(Formula!C59+Formula!E59+Formula!G59+Formula!I59+Formula!K59))*(INDEX(Properties!A$1:CB$87,Formula!F59,55))+((Formula!I59)/(Formula!C59+Formula!E59+Formula!G59+Formula!I59+Formula!K59))*(INDEX(Properties!A$1:CB$87,Formula!H59,55))+((Formula!K59)/(Formula!C59+Formula!E59+Formula!G59+Formula!I59+Formula!K59))*(INDEX(Properties!A$1:CB$87,Formula!J59,55))</f>
        <v>2.1276199999999994</v>
      </c>
      <c r="FI59" s="69">
        <f>Formula!C59*(INDEX(Properties!A$1:CB$87,Formula!B59,55))+Formula!E59*(INDEX(Properties!A$1:CB$87,Formula!D59,54))+Formula!G59*(INDEX(Properties!A$1:CB$87,Formula!F59,55))+Formula!I59*(INDEX(Properties!A$1:CB$87,Formula!H59,55))+Formula!K59*(INDEX(Properties!A$1:CB$87,Formula!J59,55))</f>
        <v>4894.0985799999989</v>
      </c>
      <c r="FJ59" s="69">
        <f>VARP(IF(INDEX(Properties!A$1:CB$87,Formula!B59,55)&lt;&gt;"",INDEX(Properties!A$1:CB$87,Formula!B59,55)),IF(INDEX(Properties!A$1:CB$87,Formula!D59,55)&lt;&gt;"",INDEX(Properties!A$1:CB$87,Formula!D59,55)),IF(INDEX(Properties!A$1:CB$87,Formula!F59,55)&lt;&gt;"",INDEX(Properties!A$1:CB$87,Formula!F59,55)),IF(INDEX(Properties!A$1:CB$87,Formula!H59,55)&lt;&gt;"",INDEX(Properties!A$1:CB$87,Formula!H59,55)),IF(INDEX(Properties!A$1:CB$87,Formula!J59,55)&lt;&gt;"",INDEX(Properties!A$1:CB$87,Formula!J59,55)))</f>
        <v>16.194146079183998</v>
      </c>
      <c r="FK59" s="69">
        <f>MAX(INDEX(Properties!A$1:CB$87,Formula!B59,55),INDEX(Properties!A$1:CB$87,Formula!D59,55),INDEX(Properties!A$1:CB$87,Formula!F59,55),INDEX(Properties!A$1:CB$87,Formula!H59,55),INDEX(Properties!A$1:CB$87,Formula!J59,55))</f>
        <v>10.199999999999999</v>
      </c>
      <c r="FL59" s="69">
        <f>MIN(IF(INDEX(Properties!A$1:CB$87,Formula!B59,55)=0,10^6,INDEX(Properties!A$1:CB$87,Formula!B59,55)),IF(INDEX(Properties!A$1:CB$87,Formula!D59,55)=0,10^6,INDEX(Properties!A$1:CB$87,Formula!D59,55)),IF(INDEX(Properties!A$1:CB$87,Formula!F59,55)=0,10^6,INDEX(Properties!A$1:CB$87,Formula!F59,55)),IF(INDEX(Properties!A$1:CB$87,Formula!H59,55)=0,10^6,INDEX(Properties!A$1:CB$87,Formula!H59,55)),IF(INDEX(Properties!A$1:CB$87,Formula!J59,55)=0,10^6,INDEX(Properties!A$1:CB$87,Formula!J59,55)))</f>
        <v>1.4300000000000001E-3</v>
      </c>
      <c r="FM59" s="69">
        <f t="shared" si="27"/>
        <v>10.19857</v>
      </c>
      <c r="FN59" s="42">
        <f>((Formula!C59)/(Formula!C59+Formula!E59+Formula!G59+Formula!I59+Formula!K59))*(INDEX(Properties!A$1:CB$87,Formula!B59,56))+((Formula!E59)/(Formula!C59+Formula!E59+Formula!G59+Formula!I59+Formula!K59))*(INDEX(Properties!A$1:CB$87,Formula!D59,56))+((Formula!G59)/(Formula!C59+Formula!E59+Formula!G59+Formula!I59+Formula!K59))*(INDEX(Properties!A$1:CB$87,Formula!F59,56))+((Formula!I59)/(Formula!C59+Formula!E59+Formula!G59+Formula!I59+Formula!K59))*(INDEX(Properties!A$1:CB$87,Formula!H59,56))+((Formula!K59)/(Formula!C59+Formula!E59+Formula!G59+Formula!I59+Formula!K59))*(INDEX(Properties!A$1:CB$87,Formula!J59,56))</f>
        <v>0.70777777777777773</v>
      </c>
      <c r="FO59" s="42">
        <f>Formula!C59*(INDEX(Properties!A$1:CB$87,Formula!B59,56))+Formula!E59*(INDEX(Properties!A$1:CB$87,Formula!D59,56))+Formula!G59*(INDEX(Properties!A$1:CB$87,Formula!F59,56))+Formula!I59*(INDEX(Properties!A$1:CB$87,Formula!H59,56))+Formula!K59*(INDEX(Properties!A$1:CB$87,Formula!J59,56))</f>
        <v>6.37</v>
      </c>
      <c r="FP59" s="42">
        <f>VARP(IF(INDEX(Properties!A$1:CB$87,Formula!B59,56)&lt;&gt;"",INDEX(Properties!A$1:CB$87,Formula!B59,56)),IF(INDEX(Properties!A$1:CB$87,Formula!D59,56)&lt;&gt;"",INDEX(Properties!A$1:CB$87,Formula!D59,56)),IF(INDEX(Properties!A$1:CB$87,Formula!F59,56)&lt;&gt;"",INDEX(Properties!A$1:CB$87,Formula!F59,56)),IF(INDEX(Properties!A$1:CB$87,Formula!H59,56)&lt;&gt;"",INDEX(Properties!A$1:CB$87,Formula!H59,56)),IF(INDEX(Properties!A$1:CB$87,Formula!J59,56)&lt;&gt;"",INDEX(Properties!A$1:CB$87,Formula!J59,56)))</f>
        <v>0.11334399999999999</v>
      </c>
      <c r="FQ59" s="42">
        <f>MAX(INDEX(Properties!A$1:CB$87,Formula!B59,56),INDEX(Properties!A$1:CB$87,Formula!D59,56),INDEX(Properties!A$1:CB$87,Formula!F59,56),INDEX(Properties!A$1:CB$87,Formula!H59,56),INDEX(Properties!A$1:CB$87,Formula!J59,56))</f>
        <v>0.92</v>
      </c>
      <c r="FR59" s="42">
        <f>MIN(IF(INDEX(Properties!A$1:CB$87,Formula!B59,56)=0,10^6,INDEX(Properties!A$1:CB$87,Formula!B59,56)),IF(INDEX(Properties!A$1:CB$87,Formula!D59,56)=0,10^6,INDEX(Properties!A$1:CB$87,Formula!D59,56)),IF(INDEX(Properties!A$1:CB$87,Formula!F59,56)=0,10^6,INDEX(Properties!A$1:CB$87,Formula!F59,56)),IF(INDEX(Properties!A$1:CB$87,Formula!H59,56)=0,10^6,INDEX(Properties!A$1:CB$87,Formula!H59,56)),IF(INDEX(Properties!A$1:CB$87,Formula!J59,56)=0,10^6,INDEX(Properties!A$1:CB$87,Formula!J59,56)))</f>
        <v>0.25</v>
      </c>
      <c r="FS59" s="42">
        <f t="shared" si="28"/>
        <v>0.67</v>
      </c>
      <c r="FT59" s="60">
        <f>((Formula!C59)/(Formula!C59+Formula!E59+Formula!G59+Formula!I59+Formula!K59))*(INDEX(Properties!A$1:CB$87,Formula!B59,57))+((Formula!E59)/(Formula!C59+Formula!E59+Formula!G59+Formula!I59+Formula!K59))*(INDEX(Properties!A$1:CB$87,Formula!D59,57))+((Formula!G59)/(Formula!C59+Formula!E59+Formula!G59+Formula!I59+Formula!K59))*(INDEX(Properties!A$1:CB$87,Formula!F59,57))+((Formula!I59)/(Formula!C59+Formula!E59+Formula!G59+Formula!I59+Formula!K59))*(INDEX(Properties!A$1:CB$87,Formula!H59,57))+((Formula!K59)/(Formula!C59+Formula!E59+Formula!G59+Formula!I59+Formula!K59))*(INDEX(Properties!A$1:CB$87,Formula!J59,57))</f>
        <v>6.2372822222222215</v>
      </c>
      <c r="FU59" s="60">
        <f>Formula!C59*(INDEX(Properties!A$1:CB$87,Formula!B59,57))+Formula!E59*(INDEX(Properties!A$1:CB$87,Formula!D59,57))+Formula!G59*(INDEX(Properties!A$1:CB$87,Formula!F59,57))+Formula!I59*(INDEX(Properties!A$1:CB$87,Formula!H59,57))+Formula!K59*(INDEX(Properties!A$1:CB$87,Formula!J59,57))</f>
        <v>56.135539999999999</v>
      </c>
      <c r="FV59" s="60">
        <f>VARP(IF(INDEX(Properties!A$1:CB$87,Formula!B59,57)&lt;&gt;"",INDEX(Properties!A$1:CB$87,Formula!B59,57)),IF(INDEX(Properties!A$1:CB$87,Formula!D59,57)&lt;&gt;"",INDEX(Properties!A$1:CB$87,Formula!D59,57)),IF(INDEX(Properties!A$1:CB$87,Formula!F59,57)&lt;&gt;"",INDEX(Properties!A$1:CB$87,Formula!F59,57)),IF(INDEX(Properties!A$1:CB$87,Formula!H59,57)&lt;&gt;"",INDEX(Properties!A$1:CB$87,Formula!H59,57)),IF(INDEX(Properties!A$1:CB$87,Formula!J59,57)&lt;&gt;"",INDEX(Properties!A$1:CB$87,Formula!J59,57)))</f>
        <v>154.684694929296</v>
      </c>
      <c r="FW59" s="60">
        <f>MAX(INDEX(Properties!A$1:CB$87,Formula!B59,57),INDEX(Properties!A$1:CB$87,Formula!D59,57),INDEX(Properties!A$1:CB$87,Formula!F59,57),INDEX(Properties!A$1:CB$87,Formula!H59,57),INDEX(Properties!A$1:CB$87,Formula!J59,57))</f>
        <v>32</v>
      </c>
      <c r="FX59" s="60">
        <f>MIN(IF(INDEX(Properties!A$1:CB$87,Formula!B59,57)=0,10^6,INDEX(Properties!A$1:CB$87,Formula!B59,57)),IF(INDEX(Properties!A$1:CB$87,Formula!D59,57)=0,10^6,INDEX(Properties!A$1:CB$87,Formula!D59,57)),IF(INDEX(Properties!A$1:CB$87,Formula!F59,57)=0,10^6,INDEX(Properties!A$1:CB$87,Formula!F59,57)),IF(INDEX(Properties!A$1:CB$87,Formula!H59,57)=0,10^6,INDEX(Properties!A$1:CB$87,Formula!H59,57)),IF(INDEX(Properties!A$1:CB$87,Formula!J59,57)=0,10^6,INDEX(Properties!A$1:CB$87,Formula!J59,57)))</f>
        <v>0.22259000000000001</v>
      </c>
      <c r="FY59" s="60">
        <f t="shared" si="29"/>
        <v>31.77741</v>
      </c>
      <c r="FZ59" s="72">
        <f>((Formula!C59)/(Formula!C59+Formula!E59+Formula!G59+Formula!I59+Formula!K59))*(INDEX(Properties!A$1:CB$87,Formula!B59,60))+((Formula!E59)/(Formula!C59+Formula!E59+Formula!G59+Formula!I59+Formula!K59))*(INDEX(Properties!A$1:CB$87,Formula!D59,60))+((Formula!G59)/(Formula!C59+Formula!E59+Formula!G59+Formula!I59+Formula!K59))*(INDEX(Properties!A$1:CB$87,Formula!F59,60))+((Formula!I59)/(Formula!C59+Formula!E59+Formula!G59+Formula!I59+Formula!K59))*(INDEX(Properties!A$1:CB$87,Formula!H59,60))+((Formula!K59)/(Formula!C59+Formula!E59+Formula!G59+Formula!I59+Formula!K59))*(INDEX(Properties!A$1:CB$87,Formula!J59,60))</f>
        <v>19.173382222222223</v>
      </c>
      <c r="GA59" s="72">
        <f>Formula!C59*(INDEX(Properties!A$1:CB$87,Formula!B59,60))+Formula!E59*(INDEX(Properties!A$1:CB$87,Formula!D59,60))+Formula!G59*(INDEX(Properties!A$1:CB$87,Formula!F59,60))+Formula!I59*(INDEX(Properties!A$1:CB$87,Formula!H59,60))+Formula!K59*(INDEX(Properties!A$1:CB$87,Formula!J59,60))</f>
        <v>172.56044</v>
      </c>
      <c r="GB59" s="72">
        <f>VARP(IF(INDEX(Properties!A$1:CB$87,Formula!B59,60)&lt;&gt;"",INDEX(Properties!A$1:CB$87,Formula!B59,60)),IF(INDEX(Properties!A$1:CB$87,Formula!D59,60)&lt;&gt;"",INDEX(Properties!A$1:CB$87,Formula!D59,60)),IF(INDEX(Properties!A$1:CB$87,Formula!F59,60)&lt;&gt;"",INDEX(Properties!A$1:CB$87,Formula!F59,60)),IF(INDEX(Properties!A$1:CB$87,Formula!H59,60)&lt;&gt;"",INDEX(Properties!A$1:CB$87,Formula!H59,60)),IF(INDEX(Properties!A$1:CB$87,Formula!J59,60)&lt;&gt;"",INDEX(Properties!A$1:CB$87,Formula!J59,60)))</f>
        <v>2904.1545105644163</v>
      </c>
      <c r="GC59" s="72">
        <f>MAX(INDEX(Properties!A$1:CB$87,Formula!B59,60),INDEX(Properties!A$1:CB$87,Formula!D59,60),INDEX(Properties!A$1:CB$87,Formula!F59,60),INDEX(Properties!A$1:CB$87,Formula!H59,60),INDEX(Properties!A$1:CB$87,Formula!J59,60))</f>
        <v>138</v>
      </c>
      <c r="GD59" s="72">
        <f>MIN(IF(INDEX(Properties!A$1:CB$87,Formula!B59,60)=0,10^6,INDEX(Properties!A$1:CB$87,Formula!B59,60)),IF(INDEX(Properties!A$1:CB$87,Formula!D59,60)=0,10^6,INDEX(Properties!A$1:CB$87,Formula!D59,60)),IF(INDEX(Properties!A$1:CB$87,Formula!F59,60)=0,10^6,INDEX(Properties!A$1:CB$87,Formula!F59,60)),IF(INDEX(Properties!A$1:CB$87,Formula!H59,60)=0,10^6,INDEX(Properties!A$1:CB$87,Formula!H59,60)),IF(INDEX(Properties!A$1:CB$87,Formula!J59,60)=0,10^6,INDEX(Properties!A$1:CB$87,Formula!J59,60)))</f>
        <v>2.674E-2</v>
      </c>
      <c r="GE59" s="72">
        <f t="shared" si="30"/>
        <v>137.97326000000001</v>
      </c>
      <c r="GF59" s="51">
        <f>((Formula!C59)/(Formula!C59+Formula!E59+Formula!G59+Formula!I59+Formula!K59))*(INDEX(Properties!A$1:CB$87,Formula!B59,62))+((Formula!E59)/(Formula!C59+Formula!E59+Formula!G59+Formula!I59+Formula!K59))*(INDEX(Properties!A$1:CB$87,Formula!D59,62))+((Formula!G59)/(Formula!C59+Formula!E59+Formula!G59+Formula!I59+Formula!K59))*(INDEX(Properties!A$1:CB$87,Formula!F59,62))+((Formula!I59)/(Formula!C59+Formula!E59+Formula!G59+Formula!I59+Formula!K59))*(INDEX(Properties!A$1:CB$87,Formula!H59,62))+((Formula!K59)/(Formula!C59+Formula!E59+Formula!G59+Formula!I59+Formula!K59))*(INDEX(Properties!A$1:CB$87,Formula!J59,62))</f>
        <v>3.4755555555555553</v>
      </c>
      <c r="GG59" s="51">
        <f>Formula!C59*(INDEX(Properties!A$1:CB$87,Formula!B59,62))+Formula!E59*(INDEX(Properties!A$1:CB$87,Formula!D59,62))+Formula!G59*(INDEX(Properties!A$1:CB$87,Formula!F59,62))+Formula!I59*(INDEX(Properties!A$1:CB$87,Formula!H59,62))+Formula!K59*(INDEX(Properties!A$1:CB$87,Formula!J59,62))</f>
        <v>31.28</v>
      </c>
      <c r="GH59" s="51">
        <f>VARP(IF(INDEX(Properties!A$1:CB$87,Formula!B59,62)&lt;&gt;"",INDEX(Properties!A$1:CB$87,Formula!B59,62)),IF(INDEX(Properties!A$1:CB$87,Formula!D59,62)&lt;&gt;"",INDEX(Properties!A$1:CB$87,Formula!D59,62)),IF(INDEX(Properties!A$1:CB$87,Formula!F59,62)&lt;&gt;"",INDEX(Properties!A$1:CB$87,Formula!F59,62)),IF(INDEX(Properties!A$1:CB$87,Formula!H59,62)&lt;&gt;"",INDEX(Properties!A$1:CB$87,Formula!H59,62)),IF(INDEX(Properties!A$1:CB$87,Formula!J59,62)&lt;&gt;"",INDEX(Properties!A$1:CB$87,Formula!J59,62)))</f>
        <v>6.8660959999999989</v>
      </c>
      <c r="GI59" s="51">
        <f>MAX(INDEX(Properties!A$1:CB$87,Formula!B59,62),INDEX(Properties!A$1:CB$87,Formula!D59,62),INDEX(Properties!A$1:CB$87,Formula!F59,62),INDEX(Properties!A$1:CB$87,Formula!H59,62),INDEX(Properties!A$1:CB$87,Formula!J59,62))</f>
        <v>6.82</v>
      </c>
      <c r="GJ59" s="51">
        <f>MIN(IF(INDEX(Properties!A$1:CB$87,Formula!B59,62)=0,10^6,INDEX(Properties!A$1:CB$87,Formula!B59,62)),IF(INDEX(Properties!A$1:CB$87,Formula!D59,62)=0,10^6,INDEX(Properties!A$1:CB$87,Formula!D59,62)),IF(INDEX(Properties!A$1:CB$87,Formula!F59,62)=0,10^6,INDEX(Properties!A$1:CB$87,Formula!F59,62)),IF(INDEX(Properties!A$1:CB$87,Formula!H59,62)=0,10^6,INDEX(Properties!A$1:CB$87,Formula!H59,62)),IF(INDEX(Properties!A$1:CB$87,Formula!J59,62)=0,10^6,INDEX(Properties!A$1:CB$87,Formula!J59,62)))</f>
        <v>2.62</v>
      </c>
      <c r="GK59" s="51">
        <f t="shared" si="31"/>
        <v>4.2</v>
      </c>
      <c r="GL59" s="51">
        <f>Formula!P59</f>
        <v>15</v>
      </c>
      <c r="GM59" s="57">
        <f>Formula!O59</f>
        <v>2</v>
      </c>
      <c r="GN59" s="51">
        <f>Formula!N59</f>
        <v>0.03</v>
      </c>
    </row>
    <row r="60" spans="1:196" x14ac:dyDescent="0.3">
      <c r="A60" s="84" t="str">
        <f>Formula!A60</f>
        <v>NaLaP2O7</v>
      </c>
      <c r="B60" s="89">
        <f>((Formula!C60)/(Formula!C60+Formula!E60+Formula!G60+Formula!I60+Formula!K60))*(INDEX(Properties!A$1:CB$87,Formula!B60,3))+((Formula!E60)/(Formula!C60+Formula!E60+Formula!G60+Formula!I60+Formula!K60))*(INDEX(Properties!A$1:CB$87,Formula!D60,3))+((Formula!G60)/(Formula!C60+Formula!E60+Formula!G60+Formula!I60+Formula!K60))*(INDEX(Properties!A$1:CB$87,Formula!F60,3))+((Formula!I60)/(Formula!C60+Formula!E60+Formula!G60+Formula!I60+Formula!K60))*(INDEX(Properties!A$1:CB$87,Formula!H60,3))+((Formula!K60)/(Formula!C60+Formula!E60+Formula!G60+Formula!I60+Formula!K60))*(INDEX(Properties!A$1:CB$87,Formula!J60,3))</f>
        <v>30.530781090909088</v>
      </c>
      <c r="C60" s="85">
        <f>Formula!C60*(INDEX(Properties!A$1:CB$87,Formula!B60,3))+Formula!E60*(INDEX(Properties!A$1:CB$87,Formula!D60,3))+Formula!G60*(INDEX(Properties!A$1:CB$87,Formula!F60,3))+Formula!I60*(INDEX(Properties!A$1:CB$87,Formula!H60,3))+Formula!K60*(INDEX(Properties!A$1:CB$87,Formula!J60,3))</f>
        <v>335.83859199999995</v>
      </c>
      <c r="D60" s="85">
        <f>VARP(IF(INDEX(Properties!A$1:CB$87,Formula!B60,3)&lt;&gt;"",INDEX(Properties!A$1:CB$87,Formula!B60,3)),IF(INDEX(Properties!A$1:CB$87,Formula!D60,3)&lt;&gt;"",INDEX(Properties!A$1:CB$87,Formula!D60,3)),IF(INDEX(Properties!A$1:CB$87,Formula!F60,3)&lt;&gt;"",INDEX(Properties!A$1:CB$87,Formula!F60,3)),IF(INDEX(Properties!A$1:CB$87,Formula!H60,3)&lt;&gt;"",INDEX(Properties!A$1:CB$87,Formula!H60,3)),IF(INDEX(Properties!A$1:CB$87,Formula!J60,3)&lt;&gt;"",INDEX(Properties!A$1:CB$87,Formula!J60,3)))</f>
        <v>2462.6835771206979</v>
      </c>
      <c r="E60" s="85">
        <f>MAX(INDEX(Properties!A$1:CB$87,Formula!B60,3),INDEX(Properties!A$1:CB$87,Formula!D60,3),INDEX(Properties!A$1:CB$87,Formula!F60,3),INDEX(Properties!A$1:CB$87,Formula!H60,3),INDEX(Properties!A$1:CB$87,Formula!J60,3))</f>
        <v>138.90549999999999</v>
      </c>
      <c r="F60" s="85">
        <f>MIN(IF(INDEX(Properties!A$1:CB$87,Formula!B60,3)=0,10^6,INDEX(Properties!A$1:CB$87,Formula!B60,3)),IF(INDEX(Properties!A$1:CB$87,Formula!D60,3)=0,10^6,INDEX(Properties!A$1:CB$87,Formula!D60,3)),IF(INDEX(Properties!A$1:CB$87,Formula!F60,3)=0,10^6,INDEX(Properties!A$1:CB$87,Formula!F60,3)),IF(INDEX(Properties!A$1:CB$87,Formula!H60,3)=0,10^6,INDEX(Properties!A$1:CB$87,Formula!H60,3)),IF(INDEX(Properties!A$1:CB$87,Formula!J60,3)=0,10^6,INDEX(Properties!A$1:CB$87,Formula!J60,3)))</f>
        <v>15.9994</v>
      </c>
      <c r="G60" s="85">
        <f t="shared" si="0"/>
        <v>122.9061</v>
      </c>
      <c r="H60" s="87">
        <f>((Formula!C60)/(Formula!C60+Formula!E60+Formula!G60+Formula!I60+Formula!K60))*(INDEX(Properties!A$1:CB$87,Formula!B60,4))+((Formula!E60)/(Formula!C60+Formula!E60+Formula!G60+Formula!I60+Formula!K60))*(INDEX(Properties!A$1:CB$87,Formula!D60,4))+((Formula!G60)/(Formula!C60+Formula!E60+Formula!G60+Formula!I60+Formula!K60))*(INDEX(Properties!A$1:CB$87,Formula!F60,4))+((Formula!I60)/(Formula!C60+Formula!E60+Formula!G60+Formula!I60+Formula!K60))*(INDEX(Properties!A$1:CB$87,Formula!H60,4))+((Formula!K60)/(Formula!C60+Formula!E60+Formula!G60+Formula!I60+Formula!K60))*(INDEX(Properties!A$1:CB$87,Formula!J60,4))</f>
        <v>14</v>
      </c>
      <c r="I60" s="87">
        <f>Formula!C60*(INDEX(Properties!A$1:CB$87,Formula!B60,4))+Formula!E60*(INDEX(Properties!A$1:CB$87,Formula!D60,4))+Formula!G60*(INDEX(Properties!A$1:CB$87,Formula!F60,4))+Formula!I60*(INDEX(Properties!A$1:CB$87,Formula!H60,4))+Formula!K60*(INDEX(Properties!A$1:CB$87,Formula!J60,4))</f>
        <v>154</v>
      </c>
      <c r="J60" s="87">
        <f>VARP(IF(INDEX(Properties!A$1:CB$87,Formula!B60,4)&lt;&gt;"",INDEX(Properties!A$1:CB$87,Formula!B60,4)),IF(INDEX(Properties!A$1:CB$87,Formula!D60,4)&lt;&gt;"",INDEX(Properties!A$1:CB$87,Formula!D60,4)),IF(INDEX(Properties!A$1:CB$87,Formula!F60,4)&lt;&gt;"",INDEX(Properties!A$1:CB$87,Formula!F60,4)),IF(INDEX(Properties!A$1:CB$87,Formula!H60,4)&lt;&gt;"",INDEX(Properties!A$1:CB$87,Formula!H60,4)),IF(INDEX(Properties!A$1:CB$87,Formula!J60,4)&lt;&gt;"",INDEX(Properties!A$1:CB$87,Formula!J60,4)))</f>
        <v>400.56</v>
      </c>
      <c r="K60" s="87">
        <f>MAX(INDEX(Properties!A$1:CB$87,Formula!B60,4),INDEX(Properties!A$1:CB$87,Formula!D60,4),INDEX(Properties!A$1:CB$87,Formula!F60,4),INDEX(Properties!A$1:CB$87,Formula!H60,4),INDEX(Properties!A$1:CB$87,Formula!J60,4))</f>
        <v>57</v>
      </c>
      <c r="L60" s="87">
        <f>MIN(IF(INDEX(Properties!A$1:CB$87,Formula!B60,4)=0,10^6,INDEX(Properties!A$1:CB$87,Formula!B60,4)),IF(INDEX(Properties!A$1:CB$87,Formula!D60,4)=0,10^6,INDEX(Properties!A$1:CB$87,Formula!D60,4)),IF(INDEX(Properties!A$1:CB$87,Formula!F60,4)=0,10^6,INDEX(Properties!A$1:CB$87,Formula!F60,4)),IF(INDEX(Properties!A$1:CB$87,Formula!H60,4)=0,10^6,INDEX(Properties!A$1:CB$87,Formula!H60,4)),IF(INDEX(Properties!A$1:CB$87,Formula!J60,4)=0,10^6,INDEX(Properties!A$1:CB$87,Formula!J60,4)))</f>
        <v>8</v>
      </c>
      <c r="M60" s="87">
        <f t="shared" si="1"/>
        <v>49</v>
      </c>
      <c r="N60" s="89">
        <f>((Formula!C60)/(Formula!C60+Formula!E60+Formula!G60+Formula!I60+Formula!K60))*(INDEX(Properties!A$1:CB$87,Formula!B60,5))+((Formula!E60)/(Formula!C60+Formula!E60+Formula!G60+Formula!I60+Formula!K60))*(INDEX(Properties!A$1:CB$87,Formula!D60,5))+((Formula!G60)/(Formula!C60+Formula!E60+Formula!G60+Formula!I60+Formula!K60))*(INDEX(Properties!A$1:CB$87,Formula!F60,5))+((Formula!I60)/(Formula!C60+Formula!E60+Formula!G60+Formula!I60+Formula!K60))*(INDEX(Properties!A$1:CB$87,Formula!H60,5))+((Formula!K60)/(Formula!C60+Formula!E60+Formula!G60+Formula!I60+Formula!K60))*(INDEX(Properties!A$1:CB$87,Formula!J60,5))</f>
        <v>2.6363636363636362</v>
      </c>
      <c r="O60" s="89">
        <f>Formula!C60*(INDEX(Properties!A$1:CB$87,Formula!B60,5))+Formula!E60*(INDEX(Properties!A$1:CB$87,Formula!D60,5))+Formula!G60*(INDEX(Properties!A$1:CB$87,Formula!F60,5))+Formula!I60*(INDEX(Properties!A$1:CB$87,Formula!H60,5))+Formula!K60*(INDEX(Properties!A$1:CB$87,Formula!J60,5))</f>
        <v>29</v>
      </c>
      <c r="P60" s="89">
        <f>VARP(IF(INDEX(Properties!A$1:CB$87,Formula!B60,5)&lt;&gt;"",INDEX(Properties!A$1:CB$87,Formula!B60,5)),IF(INDEX(Properties!A$1:CB$87,Formula!D60,5)&lt;&gt;"",INDEX(Properties!A$1:CB$87,Formula!D60,5)),IF(INDEX(Properties!A$1:CB$87,Formula!F60,5)&lt;&gt;"",INDEX(Properties!A$1:CB$87,Formula!F60,5)),IF(INDEX(Properties!A$1:CB$87,Formula!H60,5)&lt;&gt;"",INDEX(Properties!A$1:CB$87,Formula!H60,5)),IF(INDEX(Properties!A$1:CB$87,Formula!J60,5)&lt;&gt;"",INDEX(Properties!A$1:CB$87,Formula!J60,5)))</f>
        <v>3.76</v>
      </c>
      <c r="Q60" s="89">
        <f>MAX(INDEX(Properties!A$1:CB$87,Formula!B60,5),INDEX(Properties!A$1:CB$87,Formula!D60,5),INDEX(Properties!A$1:CB$87,Formula!F60,5),INDEX(Properties!A$1:CB$87,Formula!H60,5),INDEX(Properties!A$1:CB$87,Formula!J60,5))</f>
        <v>6</v>
      </c>
      <c r="R60" s="89">
        <f>MIN(IF(INDEX(Properties!A$1:CB$87,Formula!B60,5)=0,10^6,INDEX(Properties!A$1:CB$87,Formula!B60,5)),IF(INDEX(Properties!A$1:CB$87,Formula!D60,5)=0,10^6,INDEX(Properties!A$1:CB$87,Formula!D60,5)),IF(INDEX(Properties!A$1:CB$87,Formula!F60,5)=0,10^6,INDEX(Properties!A$1:CB$87,Formula!F60,5)),IF(INDEX(Properties!A$1:CB$87,Formula!H60,5)=0,10^6,INDEX(Properties!A$1:CB$87,Formula!H60,5)),IF(INDEX(Properties!A$1:CB$87,Formula!J60,5)=0,10^6,INDEX(Properties!A$1:CB$87,Formula!J60,5)))</f>
        <v>2</v>
      </c>
      <c r="S60" s="89">
        <f t="shared" si="2"/>
        <v>4</v>
      </c>
      <c r="T60" s="60">
        <f>((Formula!C60)/(Formula!C60+Formula!E60+Formula!G60+Formula!I60+Formula!K60))*(INDEX(Properties!A$1:CB$87,Formula!B60,6))+((Formula!E60)/(Formula!C60+Formula!E60+Formula!G60+Formula!I60+Formula!K60))*(INDEX(Properties!A$1:CB$87,Formula!D60,6))+((Formula!G60)/(Formula!C60+Formula!E60+Formula!G60+Formula!I60+Formula!K60))*(INDEX(Properties!A$1:CB$87,Formula!F60,6))+((Formula!I60)/(Formula!C60+Formula!E60+Formula!G60+Formula!I60+Formula!K60))*(INDEX(Properties!A$1:CB$87,Formula!H60,6))+((Formula!K60)/(Formula!C60+Formula!E60+Formula!G60+Formula!I60+Formula!K60))*(INDEX(Properties!A$1:CB$87,Formula!J60,6))</f>
        <v>13.272727272727273</v>
      </c>
      <c r="U60" s="60">
        <f>Formula!C60*(INDEX(Properties!A$1:CB$87,Formula!B60,6))+Formula!E60*(INDEX(Properties!A$1:CB$87,Formula!D60,6))+Formula!G60*(INDEX(Properties!A$1:CB$87,Formula!F60,6))+Formula!I60*(INDEX(Properties!A$1:CB$87,Formula!H60,6))+Formula!K60*(INDEX(Properties!A$1:CB$87,Formula!J60,6))</f>
        <v>146</v>
      </c>
      <c r="V60" s="89">
        <f>VARP(IF(INDEX(Properties!A$1:CB$87,Formula!B60,6)&lt;&gt;"",INDEX(Properties!A$1:CB$87,Formula!B60,6)),IF(INDEX(Properties!A$1:CB$87,Formula!D60,6)&lt;&gt;"",INDEX(Properties!A$1:CB$87,Formula!D60,6)),IF(INDEX(Properties!A$1:CB$87,Formula!F60,6)&lt;&gt;"",INDEX(Properties!A$1:CB$87,Formula!F60,6)),IF(INDEX(Properties!A$1:CB$87,Formula!H60,6)&lt;&gt;"",INDEX(Properties!A$1:CB$87,Formula!H60,6)),IF(INDEX(Properties!A$1:CB$87,Formula!J60,6)&lt;&gt;"",INDEX(Properties!A$1:CB$87,Formula!J60,6)))</f>
        <v>49.2</v>
      </c>
      <c r="W60" s="60">
        <f>MAX(INDEX(Properties!A$1:CB$87,Formula!B60,6),INDEX(Properties!A$1:CB$87,Formula!D60,6),INDEX(Properties!A$1:CB$87,Formula!F60,6),INDEX(Properties!A$1:CB$87,Formula!H60,4),INDEX(Properties!A$1:CB$87,Formula!J60,6))</f>
        <v>15</v>
      </c>
      <c r="X60" s="60">
        <f>MIN(IF(INDEX(Properties!A$1:CB$87,Formula!B60,6)=0,10^6,INDEX(Properties!A$1:CB$87,Formula!B60,6)),IF(INDEX(Properties!A$1:CB$87,Formula!D60,6)=0,10^6,INDEX(Properties!A$1:CB$87,Formula!D60,6)),IF(INDEX(Properties!A$1:CB$87,Formula!F60,6)=0,10^6,INDEX(Properties!A$1:CB$87,Formula!F60,6)),IF(INDEX(Properties!A$1:CB$87,Formula!H60,6)=0,10^6,INDEX(Properties!A$1:CB$87,Formula!H60,6)),IF(INDEX(Properties!A$1:CB$87,Formula!J60,6)=0,10^6,INDEX(Properties!A$1:CB$87,Formula!J60,6)))</f>
        <v>1</v>
      </c>
      <c r="Y60" s="60">
        <f t="shared" si="3"/>
        <v>14</v>
      </c>
      <c r="Z60" s="72">
        <f>((Formula!C60)/(Formula!C60+Formula!E60+Formula!G60+Formula!I60+Formula!K60))*(INDEX(Properties!A$1:CB$87,Formula!B60,9))+((Formula!E60)/(Formula!C60+Formula!E60+Formula!G60+Formula!I60+Formula!K60))*(INDEX(Properties!A$1:CB$87,Formula!D60,9))+((Formula!G60)/(Formula!C60+Formula!E60+Formula!G60+Formula!I60+Formula!K60))*(INDEX(Properties!A$1:CB$87,Formula!F60,9))+((Formula!I60)/(Formula!C60+Formula!E60+Formula!G60+Formula!I60+Formula!K60))*(INDEX(Properties!A$1:CB$87,Formula!H60,9))+((Formula!K60)/(Formula!C60+Formula!E60+Formula!G60+Formula!I60+Formula!K60))*(INDEX(Properties!A$1:CB$87,Formula!J60,9))</f>
        <v>71.818181818181813</v>
      </c>
      <c r="AA60" s="72">
        <f>Formula!C60*(INDEX(Properties!A$1:CB$87,Formula!B60,9))+Formula!E60*(INDEX(Properties!A$1:CB$87,Formula!D60,9))+Formula!G60*(INDEX(Properties!A$1:CB$87,Formula!F60,9))+Formula!I60*(INDEX(Properties!A$1:CB$87,Formula!H60,9))+Formula!K60*(INDEX(Properties!A$1:CB$87,Formula!J60,9))</f>
        <v>790</v>
      </c>
      <c r="AB60" s="72">
        <f>VARP(IF(INDEX(Properties!A$1:CB$87,Formula!B60,9)&lt;&gt;"",INDEX(Properties!A$1:CB$87,Formula!B60,9)),IF(INDEX(Properties!A$1:CB$87,Formula!D60,9)&lt;&gt;"",INDEX(Properties!A$1:CB$87,Formula!D60,9)),IF(INDEX(Properties!A$1:CB$87,Formula!F60,9)&lt;&gt;"",INDEX(Properties!A$1:CB$87,Formula!F60,9)),IF(INDEX(Properties!A$1:CB$87,Formula!H60,9)&lt;&gt;"",INDEX(Properties!A$1:CB$87,Formula!H60,9)),IF(INDEX(Properties!A$1:CB$87,Formula!J60,9)&lt;&gt;"",INDEX(Properties!A$1:CB$87,Formula!J60,9)))</f>
        <v>1557.2</v>
      </c>
      <c r="AC60" s="72">
        <f>MAX(INDEX(Properties!A$1:CB$87,Formula!B60,9),INDEX(Properties!A$1:CB$87,Formula!D60,9),INDEX(Properties!A$1:CB$87,Formula!F60,9),INDEX(Properties!A$1:CB$87,Formula!H60,9),INDEX(Properties!A$1:CB$87,Formula!J60,9))</f>
        <v>87</v>
      </c>
      <c r="AD60" s="72">
        <f>MIN(IF(INDEX(Properties!A$1:CB$87,Formula!B60,9)=0,10^6,INDEX(Properties!A$1:CB$87,Formula!B60,9)),IF(INDEX(Properties!A$1:CB$87,Formula!D60,9)=0,10^6,INDEX(Properties!A$1:CB$87,Formula!D60,9)),IF(INDEX(Properties!A$1:CB$87,Formula!F60,9)=0,10^6,INDEX(Properties!A$1:CB$87,Formula!F60,9)),IF(INDEX(Properties!A$1:CB$87,Formula!H60,9)=0,10^6,INDEX(Properties!A$1:CB$87,Formula!H60,9)),IF(INDEX(Properties!A$1:CB$87,Formula!J60,9)=0,10^6,INDEX(Properties!A$1:CB$87,Formula!J60,9)))</f>
        <v>2</v>
      </c>
      <c r="AE60" s="72">
        <f t="shared" si="4"/>
        <v>85</v>
      </c>
      <c r="AF60" s="51">
        <f>((Formula!C60)/(Formula!C60+Formula!E60+Formula!G60+Formula!I60+Formula!K60))*(INDEX(Properties!A$1:CB$87,Formula!B60,10))+((Formula!E60)/(Formula!C60+Formula!E60+Formula!G60+Formula!I60+Formula!K60))*(INDEX(Properties!A$1:CB$87,Formula!D60,10))+((Formula!G60)/(Formula!C60+Formula!E60+Formula!G60+Formula!I60+Formula!K60))*(INDEX(Properties!A$1:CB$87,Formula!F60,10))+((Formula!I60)/(Formula!C60+Formula!E60+Formula!G60+Formula!I60+Formula!K60))*(INDEX(Properties!A$1:CB$87,Formula!H60,10))+((Formula!K60)/(Formula!C60+Formula!E60+Formula!G60+Formula!I60+Formula!K60))*(INDEX(Properties!A$1:CB$87,Formula!J60,10))</f>
        <v>6.0909090909090899</v>
      </c>
      <c r="AG60" s="51">
        <f>Formula!C60*(INDEX(Properties!A$1:CB$87,Formula!B60,10))+Formula!E60*(INDEX(Properties!A$1:CB$87,Formula!D60,10))+Formula!G60*(INDEX(Properties!A$1:CB$87,Formula!F60,10))+Formula!I60*(INDEX(Properties!A$1:CB$87,Formula!H60,10))+Formula!K60*(INDEX(Properties!A$1:CB$87,Formula!J60,10))</f>
        <v>67</v>
      </c>
      <c r="AH60" s="51">
        <f>VARP(IF(INDEX(Properties!A$1:CB$87,Formula!B60,10)&lt;&gt;"",INDEX(Properties!A$1:CB$87,Formula!B60,10)),IF(INDEX(Properties!A$1:CB$87,Formula!D60,10)&lt;&gt;"",INDEX(Properties!A$1:CB$87,Formula!D60,10)),IF(INDEX(Properties!A$1:CB$87,Formula!F60,10)&lt;&gt;"",INDEX(Properties!A$1:CB$87,Formula!F60,10)),IF(INDEX(Properties!A$1:CB$87,Formula!H60,10)&lt;&gt;"",INDEX(Properties!A$1:CB$87,Formula!H60,10)),IF(INDEX(Properties!A$1:CB$87,Formula!J60,10)&lt;&gt;"",INDEX(Properties!A$1:CB$87,Formula!J60,10)))</f>
        <v>8.64</v>
      </c>
      <c r="AI60" s="51">
        <f>MAX(INDEX(Properties!A$1:CB$87,Formula!B60,10),INDEX(Properties!A$1:CB$87,Formula!D60,10),INDEX(Properties!A$1:CB$87,Formula!F60,10),INDEX(Properties!A$1:CB$87,Formula!H60,10),INDEX(Properties!A$1:CB$87,Formula!J60,10))</f>
        <v>7</v>
      </c>
      <c r="AJ60" s="51">
        <f>MIN(IF(INDEX(Properties!A$1:CB$87,Formula!B60,10)=0,10^6,INDEX(Properties!A$1:CB$87,Formula!B60,10)),IF(INDEX(Properties!A$1:CB$87,Formula!D60,10)=0,10^6,INDEX(Properties!A$1:CB$87,Formula!D60,10)),IF(INDEX(Properties!A$1:CB$87,Formula!F60,10)=0,10^6,INDEX(Properties!A$1:CB$87,Formula!F60,10)),IF(INDEX(Properties!A$1:CB$87,Formula!H60,10)=0,10^6,INDEX(Properties!A$1:CB$87,Formula!H60,10)),IF(INDEX(Properties!A$1:CB$87,Formula!J60,10)=0,10^6,INDEX(Properties!A$1:CB$87,Formula!J60,10)))</f>
        <v>1</v>
      </c>
      <c r="AK60" s="51">
        <f t="shared" si="5"/>
        <v>6</v>
      </c>
      <c r="AL60" s="57">
        <f>((Formula!C60)/(Formula!C60+Formula!E60+Formula!G60+Formula!I60+Formula!K60))*(INDEX(Properties!A$1:CB$87,Formula!B60,11))+((Formula!E60)/(Formula!C60+Formula!E60+Formula!G60+Formula!I60+Formula!K60))*(INDEX(Properties!A$1:CB$87,Formula!D60,11))+((Formula!G60)/(Formula!C60+Formula!E60+Formula!G60+Formula!I60+Formula!K60))*(INDEX(Properties!A$1:CB$87,Formula!F60,11))+((Formula!I60)/(Formula!C60+Formula!E60+Formula!G60+Formula!I60+Formula!K60))*(INDEX(Properties!A$1:CB$87,Formula!H60,11))+((Formula!K60)/(Formula!C60+Formula!E60+Formula!G60+Formula!I60+Formula!K60))*(INDEX(Properties!A$1:CB$87,Formula!J60,11))</f>
        <v>1.9090909090909092</v>
      </c>
      <c r="AM60" s="57">
        <f>Formula!C60*(INDEX(Properties!A$1:CB$87,Formula!B60,11))+Formula!E60*(INDEX(Properties!A$1:CB$87,Formula!D60,11))+Formula!G60*(INDEX(Properties!A$1:CB$87,Formula!F60,11))+Formula!I60*(INDEX(Properties!A$1:CB$87,Formula!H60,11))+Formula!K60*(INDEX(Properties!A$1:CB$87,Formula!J60,11))</f>
        <v>21</v>
      </c>
      <c r="AN60" s="57">
        <f>VARP(IF(INDEX(Properties!A$1:CB$87,Formula!B60,11)&lt;&gt;"",INDEX(Properties!A$1:CB$87,Formula!B60,11)),IF(INDEX(Properties!A$1:CB$87,Formula!D60,11)&lt;&gt;"",INDEX(Properties!A$1:CB$87,Formula!D60,11)),IF(INDEX(Properties!A$1:CB$87,Formula!F60,11)&lt;&gt;"",INDEX(Properties!A$1:CB$87,Formula!F60,11)),IF(INDEX(Properties!A$1:CB$87,Formula!H60,11)&lt;&gt;"",INDEX(Properties!A$1:CB$87,Formula!H60,11)),IF(INDEX(Properties!A$1:CB$87,Formula!J60,11)&lt;&gt;"",INDEX(Properties!A$1:CB$87,Formula!J60,11)))</f>
        <v>0.64</v>
      </c>
      <c r="AO60" s="57">
        <f>MAX(INDEX(Properties!A$1:CB$87,Formula!B60,11),INDEX(Properties!A$1:CB$87,Formula!D60,11),INDEX(Properties!A$1:CB$87,Formula!F60,11),INDEX(Properties!A$1:CB$87,Formula!H60,11),INDEX(Properties!A$1:CB$87,Formula!J60,11))</f>
        <v>2</v>
      </c>
      <c r="AP60" s="57">
        <f>MIN(IF(Formula!B60=87,10^6,INDEX(Properties!A$1:CB$87,Formula!B60,11)),IF((Formula!D60)=87,10^6,INDEX(Properties!A$1:CB$87,Formula!D60,11)),IF((Formula!F60)=87,10^6,INDEX(Properties!A$1:CB$87,Formula!F60,11)),IF((Formula!H60)=87,10^6,INDEX(Properties!A$1:CB$87,Formula!H60,11)),IF(Formula!J60=87,10^6,INDEX(Properties!A$1:CB$87,Formula!J60,11)))</f>
        <v>1</v>
      </c>
      <c r="AQ60" s="57">
        <f t="shared" si="6"/>
        <v>1</v>
      </c>
      <c r="AR60" s="78">
        <f>((Formula!C60)/(Formula!C60+Formula!E60+Formula!G60+Formula!I60+Formula!K60))*(INDEX(Properties!A$1:CB$87,Formula!B60,12))+((Formula!E60)/(Formula!C60+Formula!E60+Formula!G60+Formula!I60+Formula!K60))*(INDEX(Properties!A$1:CB$87,Formula!D60,12))+((Formula!G60)/(Formula!C60+Formula!E60+Formula!G60+Formula!I60+Formula!K60))*(INDEX(Properties!A$1:CB$87,Formula!F60,12))+((Formula!I60)/(Formula!C60+Formula!E60+Formula!G60+Formula!I60+Formula!K60))*(INDEX(Properties!A$1:CB$87,Formula!H60,12))+((Formula!K60)/(Formula!C60+Formula!E60+Formula!G60+Formula!I60+Formula!K60))*(INDEX(Properties!A$1:CB$87,Formula!J60,12))</f>
        <v>3.0909090909090908</v>
      </c>
      <c r="AS60" s="78">
        <f>Formula!C60*(INDEX(Properties!A$1:CB$87,Formula!B60,12))+Formula!E60*(INDEX(Properties!A$1:CB$87,Formula!D60,12))+Formula!G60*(INDEX(Properties!A$1:CB$87,Formula!F60,12))+Formula!I60*(INDEX(Properties!A$1:CB$87,Formula!H60,12))+Formula!K60*(INDEX(Properties!A$1:CB$87,Formula!J60,12))</f>
        <v>34</v>
      </c>
      <c r="AT60" s="78">
        <f>VARP(IF(INDEX(Properties!A$1:CB$87,Formula!B60,12)&lt;&gt;"",INDEX(Properties!A$1:CB$87,Formula!B60,12)),IF(INDEX(Properties!A$1:CB$87,Formula!D60,12)&lt;&gt;"",INDEX(Properties!A$1:CB$87,Formula!D60,12)),IF(INDEX(Properties!A$1:CB$87,Formula!F60,12)&lt;&gt;"",INDEX(Properties!A$1:CB$87,Formula!F60,12)),IF(INDEX(Properties!A$1:CB$87,Formula!H60,12)&lt;&gt;"",INDEX(Properties!A$1:CB$87,Formula!H60,12)),IF(INDEX(Properties!A$1:CB$87,Formula!J60,12)&lt;&gt;"",INDEX(Properties!A$1:CB$87,Formula!J60,12)))</f>
        <v>3.04</v>
      </c>
      <c r="AU60" s="78">
        <f>MAX(INDEX(Properties!A$1:CB$87,Formula!B60,12),INDEX(Properties!A$1:CB$87,Formula!D60,12),INDEX(Properties!A$1:CB$87,Formula!F60,12),INDEX(Properties!A$1:CB$87,Formula!H60,12),INDEX(Properties!A$1:CB$87,Formula!J60,12))</f>
        <v>4</v>
      </c>
      <c r="AV60" s="78">
        <f>MIN(IF(Formula!B60=87,10^6,INDEX(Properties!A$1:CB$87,Formula!B60,12)),IF((Formula!D60)=87,10^6,INDEX(Properties!A$1:CB$87,Formula!D60,12)),IF((Formula!F60)=87,10^6,INDEX(Properties!A$1:CB$87,Formula!F60,12)),IF((Formula!H60)=87,10^6,INDEX(Properties!A$1:CB$87,Formula!H60,12)),IF(Formula!J60=87,10^6,INDEX(Properties!A$1:CB$87,Formula!J60,12)))</f>
        <v>0</v>
      </c>
      <c r="AW60" s="78">
        <f t="shared" si="7"/>
        <v>4</v>
      </c>
      <c r="AX60" s="45">
        <f>((Formula!C60)/(Formula!C60+Formula!E60+Formula!G60+Formula!I60+Formula!K60))*(INDEX(Properties!A$1:CB$87,Formula!B60,13))+((Formula!E60)/(Formula!C60+Formula!E60+Formula!G60+Formula!I60+Formula!K60))*(INDEX(Properties!A$1:CB$87,Formula!D60,13))+((Formula!G60)/(Formula!C60+Formula!E60+Formula!G60+Formula!I60+Formula!K60))*(INDEX(Properties!A$1:CB$87,Formula!F60,13))+((Formula!I60)/(Formula!C60+Formula!E60+Formula!G60+Formula!I60+Formula!K60))*(INDEX(Properties!A$1:CB$87,Formula!H60,13))+((Formula!K60)/(Formula!C60+Formula!E60+Formula!G60+Formula!I60+Formula!K60))*(INDEX(Properties!A$1:CB$87,Formula!J60,13))</f>
        <v>9.0909090909090912E-2</v>
      </c>
      <c r="AY60" s="45">
        <f>Formula!C60*(INDEX(Properties!A$1:CB$87,Formula!B60,13))+Formula!E60*(INDEX(Properties!A$1:CB$87,Formula!D60,13))+Formula!G60*(INDEX(Properties!A$1:CB$87,Formula!F60,13))+Formula!I60*(INDEX(Properties!A$1:CB$87,Formula!H60,13))+Formula!K60*(INDEX(Properties!A$1:CB$87,Formula!J60,13))</f>
        <v>1</v>
      </c>
      <c r="AZ60" s="45">
        <f>VARP(IF(INDEX(Properties!A$1:CB$87,Formula!B60,13)&lt;&gt;"",INDEX(Properties!A$1:CB$87,Formula!B60,13)),IF(INDEX(Properties!A$1:CB$87,Formula!D60,13)&lt;&gt;"",INDEX(Properties!A$1:CB$87,Formula!D60,13)),IF(INDEX(Properties!A$1:CB$87,Formula!F60,13)&lt;&gt;"",INDEX(Properties!A$1:CB$87,Formula!F60,13)),IF(INDEX(Properties!A$1:CB$87,Formula!H60,13)&lt;&gt;"",INDEX(Properties!A$1:CB$87,Formula!H60,13)),IF(INDEX(Properties!A$1:CB$87,Formula!J60,13)&lt;&gt;"",INDEX(Properties!A$1:CB$87,Formula!J60,13)))</f>
        <v>0.16</v>
      </c>
      <c r="BA60" s="45">
        <f>MAX(INDEX(Properties!A$1:CB$87,Formula!B60,13),INDEX(Properties!A$1:CB$87,Formula!D60,13),INDEX(Properties!A$1:CB$87,Formula!F60,13),INDEX(Properties!A$1:CB$87,Formula!H60,13),INDEX(Properties!A$1:CB$87,Formula!J60,13))</f>
        <v>1</v>
      </c>
      <c r="BB60" s="45">
        <f>MIN(IF(Formula!B60=87,10^6,INDEX(Properties!A$1:CB$87,Formula!B60,13)),IF((Formula!D60)=87,10^6,INDEX(Properties!A$1:CB$87,Formula!D60,13)),IF((Formula!F60)=87,10^6,INDEX(Properties!A$1:CB$87,Formula!F60,13)),IF((Formula!H60)=87,10^6,INDEX(Properties!A$1:CB$87,Formula!H60,13)),IF(Formula!J60=87,10^6,INDEX(Properties!A$1:CB$87,Formula!J60,13)))</f>
        <v>0</v>
      </c>
      <c r="BC60" s="45">
        <f t="shared" si="8"/>
        <v>1</v>
      </c>
      <c r="BD60" s="63">
        <f>((Formula!C60)/(Formula!C60+Formula!E60+Formula!G60+Formula!I60+Formula!K60))*(INDEX(Properties!A$1:CB$87,Formula!B60,14))+((Formula!E60)/(Formula!C60+Formula!E60+Formula!G60+Formula!I60+Formula!K60))*(INDEX(Properties!A$1:CB$87,Formula!D60,14))+((Formula!G60)/(Formula!C60+Formula!E60+Formula!G60+Formula!I60+Formula!K60))*(INDEX(Properties!A$1:CB$87,Formula!F60,14))+((Formula!I60)/(Formula!C60+Formula!E60+Formula!G60+Formula!I60+Formula!K60))*(INDEX(Properties!A$1:CB$87,Formula!H60,14))+((Formula!K60)/(Formula!C60+Formula!E60+Formula!G60+Formula!I60+Formula!K60))*(INDEX(Properties!A$1:CB$87,Formula!J60,14))</f>
        <v>0</v>
      </c>
      <c r="BE60" s="63">
        <f>Formula!C60*(INDEX(Properties!A$1:CB$87,Formula!B60,14))+Formula!E60*(INDEX(Properties!A$1:CB$87,Formula!D60,14))+Formula!G60*(INDEX(Properties!A$1:CB$87,Formula!F60,14))+Formula!I60*(INDEX(Properties!A$1:CB$87,Formula!H60,14))+Formula!K60*(INDEX(Properties!A$1:CB$87,Formula!J60,14))</f>
        <v>0</v>
      </c>
      <c r="BF60" s="63">
        <f>VARP(IF(INDEX(Properties!A$1:CB$87,Formula!B60,14)&lt;&gt;"",INDEX(Properties!A$1:CB$87,Formula!B60,14)),IF(INDEX(Properties!A$1:CB$87,Formula!D60,14)&lt;&gt;"",INDEX(Properties!A$1:CB$87,Formula!D60,14)),IF(INDEX(Properties!A$1:CB$87,Formula!F60,14)&lt;&gt;"",INDEX(Properties!A$1:CB$87,Formula!F60,14)),IF(INDEX(Properties!A$1:CB$87,Formula!H60,14)&lt;&gt;"",INDEX(Properties!A$1:CB$87,Formula!H60,14)),IF(INDEX(Properties!A$1:CB$87,Formula!J60,14)&lt;&gt;"",INDEX(Properties!A$1:CB$87,Formula!J60,14)))</f>
        <v>0</v>
      </c>
      <c r="BG60" s="63">
        <f>MAX(INDEX(Properties!A$1:CB$87,Formula!B60,14),INDEX(Properties!A$1:CB$87,Formula!D60,14),INDEX(Properties!A$1:CB$87,Formula!F60,14),INDEX(Properties!A$1:CB$87,Formula!H60,14),INDEX(Properties!A$1:CB$87,Formula!J60,14))</f>
        <v>0</v>
      </c>
      <c r="BH60" s="63">
        <f>MIN(IF(Formula!B60=87,10^6,INDEX(Properties!A$1:CB$87,Formula!B60,14)),IF((Formula!D60)=87,10^6,INDEX(Properties!A$1:CB$87,Formula!D60,14)),IF((Formula!F60)=87,10^6,INDEX(Properties!A$1:CB$87,Formula!F60,14)),IF((Formula!H60)=87,10^6,INDEX(Properties!A$1:CB$87,Formula!H60,14)),IF(Formula!J60=87,10^6,INDEX(Properties!A$1:CB$87,Formula!J60,14)))</f>
        <v>0</v>
      </c>
      <c r="BI60" s="63">
        <f t="shared" si="9"/>
        <v>0</v>
      </c>
      <c r="BJ60" s="75">
        <f>((Formula!C60)/(Formula!C60+Formula!E60+Formula!G60+Formula!I60+Formula!K60))*(INDEX(Properties!A$1:CB$87,Formula!B60,19))+((Formula!E60)/(Formula!C60+Formula!E60+Formula!G60+Formula!I60+Formula!K60))*(INDEX(Properties!A$1:CB$87,Formula!D60,19))+((Formula!G60)/(Formula!C60+Formula!E60+Formula!G60+Formula!I60+Formula!K60))*(INDEX(Properties!A$1:CB$87,Formula!F60,19))+((Formula!I60)/(Formula!C60+Formula!E60+Formula!G60+Formula!I60+Formula!K60))*(INDEX(Properties!A$1:CB$87,Formula!H60,19))+((Formula!K60)/(Formula!C60+Formula!E60+Formula!G60+Formula!I60+Formula!K60))*(INDEX(Properties!A$1:CB$87,Formula!J60,19))</f>
        <v>5.0909090909090917</v>
      </c>
      <c r="BK60" s="75">
        <f>Formula!C60*(INDEX(Properties!A$1:CB$87,Formula!B60,19))+Formula!E60*(INDEX(Properties!A$1:CB$87,Formula!D60,19))+Formula!G60*(INDEX(Properties!A$1:CB$87,Formula!F60,19))+Formula!I60*(INDEX(Properties!A$1:CB$87,Formula!H60,19))+Formula!K60*(INDEX(Properties!A$1:CB$87,Formula!J60,19))</f>
        <v>56</v>
      </c>
      <c r="BL60" s="75">
        <f>VARP(IF(INDEX(Properties!A$1:CB$87,Formula!B60,19)&lt;&gt;"",INDEX(Properties!A$1:CB$87,Formula!B60,19)),IF(INDEX(Properties!A$1:CB$87,Formula!D60,19)&lt;&gt;"",INDEX(Properties!A$1:CB$87,Formula!D60,19)),IF(INDEX(Properties!A$1:CB$87,Formula!F60,19)&lt;&gt;"",INDEX(Properties!A$1:CB$87,Formula!F60,19)),IF(INDEX(Properties!A$1:CB$87,Formula!H60,19)&lt;&gt;"",INDEX(Properties!A$1:CB$87,Formula!H60,19)),IF(INDEX(Properties!A$1:CB$87,Formula!J60,19)&lt;&gt;"",INDEX(Properties!A$1:CB$87,Formula!J60,19)))</f>
        <v>5.2</v>
      </c>
      <c r="BM60" s="75">
        <f>MAX(INDEX(Properties!A$1:CB$87,Formula!B60,19),INDEX(Properties!A$1:CB$87,Formula!D60,19),INDEX(Properties!A$1:CB$87,Formula!F60,19),INDEX(Properties!A$1:CB$87,Formula!H60,19),INDEX(Properties!A$1:CB$87,Formula!J60,19))</f>
        <v>6</v>
      </c>
      <c r="BN60" s="75">
        <f>MIN(IF(INDEX(Properties!A$1:CB$87,Formula!B60,19)=0,10^6,INDEX(Properties!A$1:CB$87,Formula!B60,19)),IF(INDEX(Properties!A$1:CB$87,Formula!D60,19)=0,10^6,INDEX(Properties!A$1:CB$87,Formula!D60,19)),IF(INDEX(Properties!A$1:CB$87,Formula!F60,19)=0,10^6,INDEX(Properties!A$1:CB$87,Formula!F60,19)),IF(INDEX(Properties!A$1:CB$87,Formula!H60,19)=0,10^6,INDEX(Properties!A$1:CB$87,Formula!H60,19)),IF(INDEX(Properties!A$1:CB$87,Formula!J60,19)=0,10^6,INDEX(Properties!A$1:CB$87,Formula!J60,19)))</f>
        <v>1</v>
      </c>
      <c r="BO60" s="75">
        <f t="shared" si="10"/>
        <v>5</v>
      </c>
      <c r="BP60" s="48">
        <f>((Formula!C60)/(Formula!C60+Formula!E60+Formula!G60+Formula!I60+Formula!K60))*(INDEX(Properties!A$1:CB$87,Formula!B60,20))+((Formula!E60)/(Formula!C60+Formula!E60+Formula!G60+Formula!I60+Formula!K60))*(INDEX(Properties!A$1:CB$87,Formula!D60,20))+((Formula!G60)/(Formula!C60+Formula!E60+Formula!G60+Formula!I60+Formula!K60))*(INDEX(Properties!A$1:CB$87,Formula!F60,20))+((Formula!I60)/(Formula!C60+Formula!E60+Formula!G60+Formula!I60+Formula!K60))*(INDEX(Properties!A$1:CB$87,Formula!H60,20))+((Formula!K60)/(Formula!C60+Formula!E60+Formula!G60+Formula!I60+Formula!K60))*(INDEX(Properties!A$1:CB$87,Formula!J60,20))</f>
        <v>5</v>
      </c>
      <c r="BQ60" s="48">
        <f>Formula!C60*(INDEX(Properties!A$1:CB$87,Formula!B60,20))+Formula!E60*(INDEX(Properties!A$1:CB$87,Formula!D60,20))+Formula!G60*(INDEX(Properties!A$1:CB$87,Formula!F60,20))+Formula!I60*(INDEX(Properties!A$1:CB$87,Formula!H60,20))+Formula!K60*(INDEX(Properties!A$1:CB$87,Formula!J60,20))</f>
        <v>55</v>
      </c>
      <c r="BR60" s="48">
        <f>VARP(IF(INDEX(Properties!A$1:CB$87,Formula!B60,20)&lt;&gt;"",INDEX(Properties!A$1:CB$87,Formula!B60,20)),IF(INDEX(Properties!A$1:CB$87,Formula!D60,20)&lt;&gt;"",INDEX(Properties!A$1:CB$87,Formula!D60,20)),IF(INDEX(Properties!A$1:CB$87,Formula!F60,20)&lt;&gt;"",INDEX(Properties!A$1:CB$87,Formula!F60,20)),IF(INDEX(Properties!A$1:CB$87,Formula!H60,20)&lt;&gt;"",INDEX(Properties!A$1:CB$87,Formula!H60,20)),IF(INDEX(Properties!A$1:CB$87,Formula!J60,20)&lt;&gt;"",INDEX(Properties!A$1:CB$87,Formula!J60,20)))</f>
        <v>5.36</v>
      </c>
      <c r="BS60" s="48">
        <f>MAX(INDEX(Properties!A$1:CB$87,Formula!B60,20),INDEX(Properties!A$1:CB$87,Formula!D60,20),INDEX(Properties!A$1:CB$87,Formula!F60,20),INDEX(Properties!A$1:CB$87,Formula!H60,20),INDEX(Properties!A$1:CB$87,Formula!J60,20))</f>
        <v>6</v>
      </c>
      <c r="BT60" s="48">
        <f>MIN(IF(INDEX(Properties!A$1:CB$87,Formula!B60,20)=0,10^6,INDEX(Properties!A$1:CB$87,Formula!B60,20)),IF(INDEX(Properties!A$1:CB$87,Formula!D60,20)=0,10^6,INDEX(Properties!A$1:CB$87,Formula!D60,20)),IF(INDEX(Properties!A$1:CB$87,Formula!F60,20)=0,10^6,INDEX(Properties!A$1:CB$87,Formula!F60,20)),IF(INDEX(Properties!A$1:CB$87,Formula!H60,20)=0,10^6,INDEX(Properties!A$1:CB$87,Formula!H60,20)),IF(INDEX(Properties!A$1:CB$87,Formula!J60,20)=0,10^6,INDEX(Properties!A$1:CB$87,Formula!J60,20)))</f>
        <v>1</v>
      </c>
      <c r="BU60" s="48">
        <f t="shared" si="11"/>
        <v>5</v>
      </c>
      <c r="BV60" s="66">
        <f>((Formula!C60)/(Formula!C60+Formula!E60+Formula!G60+Formula!I60+Formula!K60))*(INDEX(Properties!A$1:CB$87,Formula!B60,21))+((Formula!E60)/(Formula!C60+Formula!E60+Formula!G60+Formula!I60+Formula!K60))*(INDEX(Properties!A$1:CB$87,Formula!D60,21))+((Formula!G60)/(Formula!C60+Formula!E60+Formula!G60+Formula!I60+Formula!K60))*(INDEX(Properties!A$1:CB$87,Formula!F60,21))+((Formula!I60)/(Formula!C60+Formula!E60+Formula!G60+Formula!I60+Formula!K60))*(INDEX(Properties!A$1:CB$87,Formula!H60,21))+((Formula!K60)/(Formula!C60+Formula!E60+Formula!G60+Formula!I60+Formula!K60))*(INDEX(Properties!A$1:CB$87,Formula!J60,21))</f>
        <v>4.9090909090909092</v>
      </c>
      <c r="BW60" s="66">
        <f>Formula!C60*(INDEX(Properties!A$1:CB$87,Formula!B60,21))+Formula!E60*(INDEX(Properties!A$1:CB$87,Formula!D60,21))+Formula!G60*(INDEX(Properties!A$1:CB$87,Formula!F60,21))+Formula!I60*(INDEX(Properties!A$1:CB$87,Formula!H60,21))+Formula!K60*(INDEX(Properties!A$1:CB$87,Formula!J60,21))</f>
        <v>54</v>
      </c>
      <c r="BX60" s="66">
        <f>VARP(IF(INDEX(Properties!A$1:CB$87,Formula!B60,21)&lt;&gt;"",INDEX(Properties!A$1:CB$87,Formula!B60,21)),IF(INDEX(Properties!A$1:CB$87,Formula!D60,21)&lt;&gt;"",INDEX(Properties!A$1:CB$87,Formula!D60,21)),IF(INDEX(Properties!A$1:CB$87,Formula!F60,21)&lt;&gt;"",INDEX(Properties!A$1:CB$87,Formula!F60,21)),IF(INDEX(Properties!A$1:CB$87,Formula!H60,21)&lt;&gt;"",INDEX(Properties!A$1:CB$87,Formula!H60,21)),IF(INDEX(Properties!A$1:CB$87,Formula!J60,21)&lt;&gt;"",INDEX(Properties!A$1:CB$87,Formula!J60,21)))</f>
        <v>5.84</v>
      </c>
      <c r="BY60" s="66">
        <f>MAX(INDEX(Properties!A$1:CB$87,Formula!B60,21),INDEX(Properties!A$1:CB$87,Formula!D60,21),INDEX(Properties!A$1:CB$87,Formula!F60,21),INDEX(Properties!A$1:CB$87,Formula!H60,21),INDEX(Properties!A$1:CB$87,Formula!J60,21))</f>
        <v>6</v>
      </c>
      <c r="BZ60" s="66">
        <f>MIN(IF(INDEX(Properties!A$1:CB$87,Formula!B60,21)=0,10^6,INDEX(Properties!A$1:CB$87,Formula!B60,21)),IF(INDEX(Properties!A$1:CB$87,Formula!D60,21)=0,10^6,INDEX(Properties!A$1:CB$87,Formula!D60,21)),IF(INDEX(Properties!A$1:CB$87,Formula!F60,21)=0,10^6,INDEX(Properties!A$1:CB$87,Formula!F60,21)),IF(INDEX(Properties!A$1:CB$87,Formula!H60,21)=0,10^6,INDEX(Properties!A$1:CB$87,Formula!H60,21)),IF(INDEX(Properties!A$1:CB$87,Formula!J60,21)=0,10^6,INDEX(Properties!A$1:CB$87,Formula!J60,21)))</f>
        <v>1</v>
      </c>
      <c r="CA60" s="66">
        <f t="shared" si="12"/>
        <v>5</v>
      </c>
      <c r="CB60" s="81">
        <f>((Formula!C60)/(Formula!C60+Formula!E60+Formula!G60+Formula!I60+Formula!K60))*(INDEX(Properties!A$1:CB$87,Formula!B60,23))+((Formula!E60)/(Formula!C60+Formula!E60+Formula!G60+Formula!I60+Formula!K60))*(INDEX(Properties!A$1:CB$87,Formula!D60,23))+((Formula!G60)/(Formula!C60+Formula!E60+Formula!G60+Formula!I60+Formula!K60))*(INDEX(Properties!A$1:CB$87,Formula!F60,23))+((Formula!I60)/(Formula!C60+Formula!E60+Formula!G60+Formula!I60+Formula!K60))*(INDEX(Properties!A$1:CB$87,Formula!H60,23))+((Formula!K60)/(Formula!C60+Formula!E60+Formula!G60+Formula!I60+Formula!K60))*(INDEX(Properties!A$1:CB$87,Formula!J60,23))</f>
        <v>0.90909090909090906</v>
      </c>
      <c r="CC60" s="81">
        <f>Formula!C60*(INDEX(Properties!A$1:CB$87,Formula!B60,23))+Formula!E60*(INDEX(Properties!A$1:CB$87,Formula!D60,23))+Formula!G60*(INDEX(Properties!A$1:CB$87,Formula!F60,23))+Formula!I60*(INDEX(Properties!A$1:CB$87,Formula!H60,23))+Formula!K60*(INDEX(Properties!A$1:CB$87,Formula!J60,23))</f>
        <v>10</v>
      </c>
      <c r="CD60" s="81">
        <f>VARP(IF(INDEX(Properties!A$1:CB$87,Formula!B60,23)&lt;&gt;"",INDEX(Properties!A$1:CB$87,Formula!B60,23)),IF(INDEX(Properties!A$1:CB$87,Formula!D60,23)&lt;&gt;"",INDEX(Properties!A$1:CB$87,Formula!D60,23)),IF(INDEX(Properties!A$1:CB$87,Formula!F60,23)&lt;&gt;"",INDEX(Properties!A$1:CB$87,Formula!F60,23)),IF(INDEX(Properties!A$1:CB$87,Formula!H60,23)&lt;&gt;"",INDEX(Properties!A$1:CB$87,Formula!H60,23)),IF(INDEX(Properties!A$1:CB$87,Formula!J60,23)&lt;&gt;"",INDEX(Properties!A$1:CB$87,Formula!J60,23)))</f>
        <v>1.84</v>
      </c>
      <c r="CE60" s="81">
        <f>MAX(INDEX(Properties!A$1:CB$87,Formula!B60,23),INDEX(Properties!A$1:CB$87,Formula!D60,23),INDEX(Properties!A$1:CB$87,Formula!F60,23),INDEX(Properties!A$1:CB$87,Formula!H60,23),INDEX(Properties!A$1:CB$87,Formula!J60,23))</f>
        <v>3</v>
      </c>
      <c r="CF60" s="81">
        <f>MIN(IF(Formula!B60=87,10^6,INDEX(Properties!A$1:CB$87,Formula!B60,23)),IF((Formula!D60)=87,10^6,INDEX(Properties!A$1:CB$87,Formula!D60,23)),IF((Formula!F60)=87,10^6,INDEX(Properties!A$1:CB$87,Formula!F60,23)),IF((Formula!H60)=87,10^6,INDEX(Properties!A$1:CB$87,Formula!H60,23)),IF(Formula!J60=87,10^6,INDEX(Properties!A$1:CB$87,Formula!J60,23)))</f>
        <v>0</v>
      </c>
      <c r="CG60" s="81">
        <f t="shared" si="13"/>
        <v>3</v>
      </c>
      <c r="CH60" s="39">
        <f>((Formula!C60)/(Formula!C60+Formula!E60+Formula!G60+Formula!I60+Formula!K60))*(INDEX(Properties!A$1:CB$87,Formula!B60,26))+((Formula!E60)/(Formula!C60+Formula!E60+Formula!G60+Formula!I60+Formula!K60))*(INDEX(Properties!A$1:CB$87,Formula!D60,26))+((Formula!G60)/(Formula!C60+Formula!E60+Formula!G60+Formula!I60+Formula!K60))*(INDEX(Properties!A$1:CB$87,Formula!F60,26))+((Formula!I60)/(Formula!C60+Formula!E60+Formula!G60+Formula!I60+Formula!K60))*(INDEX(Properties!A$1:CB$87,Formula!H60,26))+((Formula!K60)/(Formula!C60+Formula!E60+Formula!G60+Formula!I60+Formula!K60))*(INDEX(Properties!A$1:CB$87,Formula!J60,26))</f>
        <v>11.546918181818182</v>
      </c>
      <c r="CI60" s="39">
        <f>Formula!C60*(INDEX(Properties!A$1:CB$87,Formula!B60,26))+Formula!E60*(INDEX(Properties!A$1:CB$87,Formula!D60,26))+Formula!G60*(INDEX(Properties!A$1:CB$87,Formula!F60,26))+Formula!I60*(INDEX(Properties!A$1:CB$87,Formula!H60,26))+Formula!K60*(INDEX(Properties!A$1:CB$87,Formula!J60,26))</f>
        <v>127.01610000000001</v>
      </c>
      <c r="CJ60" s="39">
        <f>VARP(IF(INDEX(Properties!A$1:CB$87,Formula!B60,26)&lt;&gt;"",INDEX(Properties!A$1:CB$87,Formula!B60,26)),IF(INDEX(Properties!A$1:CB$87,Formula!D60,26)&lt;&gt;"",INDEX(Properties!A$1:CB$87,Formula!D60,26)),IF(INDEX(Properties!A$1:CB$87,Formula!F60,26)&lt;&gt;"",INDEX(Properties!A$1:CB$87,Formula!F60,26)),IF(INDEX(Properties!A$1:CB$87,Formula!H60,26)&lt;&gt;"",INDEX(Properties!A$1:CB$87,Formula!H60,26)),IF(INDEX(Properties!A$1:CB$87,Formula!J60,26)&lt;&gt;"",INDEX(Properties!A$1:CB$87,Formula!J60,26)))</f>
        <v>22.087612878400012</v>
      </c>
      <c r="CK60" s="39">
        <f>MAX(INDEX(Properties!A$1:CB$87,Formula!B60,26),INDEX(Properties!A$1:CB$87,Formula!D60,26),INDEX(Properties!A$1:CB$87,Formula!F60,26),INDEX(Properties!A$1:CB$87,Formula!H60,26),INDEX(Properties!A$1:CB$87,Formula!J60,26))</f>
        <v>13.6181</v>
      </c>
      <c r="CL60" s="39">
        <f>MIN(IF(INDEX(Properties!A$1:CB$87,Formula!B60,26)=0,10^6,INDEX(Properties!A$1:CB$87,Formula!B60,26)),IF(INDEX(Properties!A$1:CB$87,Formula!D60,26)=0,10^6,INDEX(Properties!A$1:CB$87,Formula!D60,26)),IF(INDEX(Properties!A$1:CB$87,Formula!F60,26)=0,10^6,INDEX(Properties!A$1:CB$87,Formula!F60,26)),IF(INDEX(Properties!A$1:CB$87,Formula!H60,26)=0,10^6,INDEX(Properties!A$1:CB$87,Formula!H60,26)),IF(INDEX(Properties!A$1:CB$87,Formula!J60,26)=0,10^6,INDEX(Properties!A$1:CB$87,Formula!J60,26)))</f>
        <v>5.1391</v>
      </c>
      <c r="CM60" s="39">
        <f t="shared" si="14"/>
        <v>8.4789999999999992</v>
      </c>
      <c r="CN60" s="54">
        <f>((Formula!C60)/(Formula!C60+Formula!E60+Formula!G60+Formula!I60+Formula!K60))*(INDEX(Properties!A$1:CB$87,Formula!B60,30))+((Formula!E60)/(Formula!C60+Formula!E60+Formula!G60+Formula!I60+Formula!K60))*(INDEX(Properties!A$1:CB$87,Formula!D60,30))+((Formula!G60)/(Formula!C60+Formula!E60+Formula!G60+Formula!I60+Formula!K60))*(INDEX(Properties!A$1:CB$87,Formula!F60,30))+((Formula!I60)/(Formula!C60+Formula!E60+Formula!G60+Formula!I60+Formula!K60))*(INDEX(Properties!A$1:CB$87,Formula!H60,30))+((Formula!K60)/(Formula!C60+Formula!E60+Formula!G60+Formula!I60+Formula!K60))*(INDEX(Properties!A$1:CB$87,Formula!J60,30))</f>
        <v>2.7718181818181815</v>
      </c>
      <c r="CO60" s="54">
        <f>Formula!C60*(INDEX(Properties!A$1:CB$87,Formula!B60,30))+Formula!E60*(INDEX(Properties!A$1:CB$87,Formula!D60,30))+Formula!G60*(INDEX(Properties!A$1:CB$87,Formula!F60,30))+Formula!I60*(INDEX(Properties!A$1:CB$87,Formula!H60,30))+Formula!K60*(INDEX(Properties!A$1:CB$87,Formula!J60,30))</f>
        <v>30.49</v>
      </c>
      <c r="CP60" s="54">
        <f>VARP(IF(INDEX(Properties!A$1:CB$87,Formula!B60,30)&lt;&gt;"",INDEX(Properties!A$1:CB$87,Formula!B60,30)),IF(INDEX(Properties!A$1:CB$87,Formula!D60,30)&lt;&gt;"",INDEX(Properties!A$1:CB$87,Formula!D60,30)),IF(INDEX(Properties!A$1:CB$87,Formula!F60,30)&lt;&gt;"",INDEX(Properties!A$1:CB$87,Formula!F60,30)),IF(INDEX(Properties!A$1:CB$87,Formula!H60,30)&lt;&gt;"",INDEX(Properties!A$1:CB$87,Formula!H60,30)),IF(INDEX(Properties!A$1:CB$87,Formula!J60,30)&lt;&gt;"",INDEX(Properties!A$1:CB$87,Formula!J60,30)))</f>
        <v>1.3938959999999998</v>
      </c>
      <c r="CQ60" s="54">
        <f>MAX(INDEX(Properties!A$1:CB$87,Formula!B60,30),INDEX(Properties!A$1:CB$87,Formula!D60,30),INDEX(Properties!A$1:CB$87,Formula!F60,30),INDEX(Properties!A$1:CB$87,Formula!H60,30),INDEX(Properties!A$1:CB$87,Formula!J60,30))</f>
        <v>3.44</v>
      </c>
      <c r="CR60" s="54">
        <f>MIN(IF(INDEX(Properties!A$1:CB$87,Formula!B60,30)=0,10^6,INDEX(Properties!A$1:CB$87,Formula!B60,30)),IF(INDEX(Properties!A$1:CB$87,Formula!D60,30)=0,10^6,INDEX(Properties!A$1:CB$87,Formula!D60,30)),IF(INDEX(Properties!A$1:CB$87,Formula!F60,30)=0,10^6,INDEX(Properties!A$1:CB$87,Formula!F60,30)),IF(INDEX(Properties!A$1:CB$87,Formula!H60,30)=0,10^6,INDEX(Properties!A$1:CB$87,Formula!H60,30)),IF(INDEX(Properties!A$1:CB$87,Formula!J60,30)=0,10^6,INDEX(Properties!A$1:CB$87,Formula!J60,30)))</f>
        <v>0.93</v>
      </c>
      <c r="CS60" s="54">
        <f t="shared" si="15"/>
        <v>2.5099999999999998</v>
      </c>
      <c r="CT60" s="69">
        <f>((Formula!C60)/(Formula!C60+Formula!E60+Formula!G60+Formula!I60+Formula!K60))*(INDEX(Properties!A$1:CB$87,Formula!B60,31))+((Formula!E60)/(Formula!C60+Formula!E60+Formula!G60+Formula!I60+Formula!K60))*(INDEX(Properties!A$1:CB$87,Formula!D60,31))+((Formula!G60)/(Formula!C60+Formula!E60+Formula!G60+Formula!I60+Formula!K60))*(INDEX(Properties!A$1:CB$87,Formula!F60,31))+((Formula!I60)/(Formula!C60+Formula!E60+Formula!G60+Formula!I60+Formula!K60))*(INDEX(Properties!A$1:CB$87,Formula!H60,31))+((Formula!K60)/(Formula!C60+Formula!E60+Formula!G60+Formula!I60+Formula!K60))*(INDEX(Properties!A$1:CB$87,Formula!J60,31))</f>
        <v>2.7381818181818183</v>
      </c>
      <c r="CU60" s="69">
        <f>Formula!C60*(INDEX(Properties!A$1:CB$87,Formula!B60,31))+Formula!E60*(INDEX(Properties!A$1:CB$87,Formula!D60,31))+Formula!G60*(INDEX(Properties!A$1:CB$87,Formula!F60,31))+Formula!I60*(INDEX(Properties!A$1:CB$87,Formula!H60,31))+Formula!K60*(INDEX(Properties!A$1:CB$87,Formula!J60,31))</f>
        <v>30.119999999999997</v>
      </c>
      <c r="CV60" s="69">
        <f>VARP(IF(INDEX(Properties!A$1:CB$87,Formula!B60,31)&lt;&gt;"",INDEX(Properties!A$1:CB$87,Formula!B60,31)),IF(INDEX(Properties!A$1:CB$87,Formula!D60,31)&lt;&gt;"",INDEX(Properties!A$1:CB$87,Formula!D60,31)),IF(INDEX(Properties!A$1:CB$87,Formula!F60,31)&lt;&gt;"",INDEX(Properties!A$1:CB$87,Formula!F60,31)),IF(INDEX(Properties!A$1:CB$87,Formula!H60,31)&lt;&gt;"",INDEX(Properties!A$1:CB$87,Formula!H60,31)),IF(INDEX(Properties!A$1:CB$87,Formula!J60,31)&lt;&gt;"",INDEX(Properties!A$1:CB$87,Formula!J60,31)))</f>
        <v>1.3201039999999986</v>
      </c>
      <c r="CW60" s="69">
        <f>MAX(INDEX(Properties!A$1:CB$87,Formula!B60,31),INDEX(Properties!A$1:CB$87,Formula!D60,31),INDEX(Properties!A$1:CB$87,Formula!F60,31),INDEX(Properties!A$1:CB$87,Formula!H60,31),INDEX(Properties!A$1:CB$87,Formula!J60,31))</f>
        <v>3.32</v>
      </c>
      <c r="CX60" s="69">
        <f>MIN(IF(INDEX(Properties!A$1:CB$87,Formula!B60,31)=0,10^6,INDEX(Properties!A$1:CB$87,Formula!B60,31)),IF(INDEX(Properties!A$1:CB$87,Formula!D60,31)=0,10^6,INDEX(Properties!A$1:CB$87,Formula!D60,31)),IF(INDEX(Properties!A$1:CB$87,Formula!F60,31)=0,10^6,INDEX(Properties!A$1:CB$87,Formula!F60,31)),IF(INDEX(Properties!A$1:CB$87,Formula!H60,31)=0,10^6,INDEX(Properties!A$1:CB$87,Formula!H60,31)),IF(INDEX(Properties!A$1:CB$87,Formula!J60,31)=0,10^6,INDEX(Properties!A$1:CB$87,Formula!J60,31)))</f>
        <v>0.89</v>
      </c>
      <c r="CY60" s="69">
        <f t="shared" si="16"/>
        <v>2.4299999999999997</v>
      </c>
      <c r="CZ60" s="42">
        <f>((Formula!C60)/(Formula!C60+Formula!E60+Formula!G60+Formula!I60+Formula!K60))*(INDEX(Properties!A$1:CB$87,Formula!B60,32))+((Formula!E60)/(Formula!C60+Formula!E60+Formula!G60+Formula!I60+Formula!K60))*(INDEX(Properties!A$1:CB$87,Formula!D60,32))+((Formula!G60)/(Formula!C60+Formula!E60+Formula!G60+Formula!I60+Formula!K60))*(INDEX(Properties!A$1:CB$87,Formula!F60,32))+((Formula!I60)/(Formula!C60+Formula!E60+Formula!G60+Formula!I60+Formula!K60))*(INDEX(Properties!A$1:CB$87,Formula!H60,32))+((Formula!K60)/(Formula!C60+Formula!E60+Formula!G60+Formula!I60+Formula!K60))*(INDEX(Properties!A$1:CB$87,Formula!J60,32))</f>
        <v>6.3609090909090913</v>
      </c>
      <c r="DA60" s="42">
        <f>Formula!C60*(INDEX(Properties!A$1:CB$87,Formula!B60,32))+Formula!E60*(INDEX(Properties!A$1:CB$87,Formula!D60,32))+Formula!G60*(INDEX(Properties!A$1:CB$87,Formula!F60,32))+Formula!I60*(INDEX(Properties!A$1:CB$87,Formula!H60,32))+Formula!K60*(INDEX(Properties!A$1:CB$87,Formula!J60,32))</f>
        <v>69.97</v>
      </c>
      <c r="DB60" s="42">
        <f>VARP(IF(INDEX(Properties!A$1:CB$87,Formula!B60,32)&lt;&gt;"",INDEX(Properties!A$1:CB$87,Formula!B60,32)),IF(INDEX(Properties!A$1:CB$87,Formula!D60,32)&lt;&gt;"",INDEX(Properties!A$1:CB$87,Formula!D60,32)),IF(INDEX(Properties!A$1:CB$87,Formula!F60,32)&lt;&gt;"",INDEX(Properties!A$1:CB$87,Formula!F60,32)),IF(INDEX(Properties!A$1:CB$87,Formula!H60,32)&lt;&gt;"",INDEX(Properties!A$1:CB$87,Formula!H60,32)),IF(INDEX(Properties!A$1:CB$87,Formula!J60,32)&lt;&gt;"",INDEX(Properties!A$1:CB$87,Formula!J60,32)))</f>
        <v>6.6260159999999999</v>
      </c>
      <c r="DC60" s="42">
        <f>MAX(INDEX(Properties!A$1:CB$87,Formula!B60,32),INDEX(Properties!A$1:CB$87,Formula!D60,32),INDEX(Properties!A$1:CB$87,Formula!F60,32),INDEX(Properties!A$1:CB$87,Formula!H60,32),INDEX(Properties!A$1:CB$87,Formula!J60,32))</f>
        <v>7.54</v>
      </c>
      <c r="DD60" s="42">
        <f>MIN(IF(INDEX(Properties!A$1:CB$87,Formula!B60,32)=0,10^6,INDEX(Properties!A$1:CB$87,Formula!B60,32)),IF(INDEX(Properties!A$1:CB$87,Formula!D60,32)=0,10^6,INDEX(Properties!A$1:CB$87,Formula!D60,32)),IF(INDEX(Properties!A$1:CB$87,Formula!F60,32)=0,10^6,INDEX(Properties!A$1:CB$87,Formula!F60,32)),IF(INDEX(Properties!A$1:CB$87,Formula!H60,32)=0,10^6,INDEX(Properties!A$1:CB$87,Formula!H60,32)),IF(INDEX(Properties!A$1:CB$87,Formula!J60,32)=0,10^6,INDEX(Properties!A$1:CB$87,Formula!J60,32)))</f>
        <v>2.85</v>
      </c>
      <c r="DE60" s="42">
        <f t="shared" si="17"/>
        <v>4.6899999999999995</v>
      </c>
      <c r="DF60" s="60">
        <f>((Formula!C60)/(Formula!C60+Formula!E60+Formula!G60+Formula!I60+Formula!K60))*(INDEX(Properties!A$1:CB$87,Formula!B60,34))+((Formula!E60)/(Formula!C60+Formula!E60+Formula!G60+Formula!I60+Formula!K60))*(INDEX(Properties!A$1:CB$87,Formula!D60,34))+((Formula!G60)/(Formula!C60+Formula!E60+Formula!G60+Formula!I60+Formula!K60))*(INDEX(Properties!A$1:CB$87,Formula!F60,34))+((Formula!I60)/(Formula!C60+Formula!E60+Formula!G60+Formula!I60+Formula!K60))*(INDEX(Properties!A$1:CB$87,Formula!H60,34))+((Formula!K60)/(Formula!C60+Formula!E60+Formula!G60+Formula!I60+Formula!K60))*(INDEX(Properties!A$1:CB$87,Formula!J60,34))</f>
        <v>2.8850000000000002</v>
      </c>
      <c r="DG60" s="60">
        <f>Formula!C60*(INDEX(Properties!A$1:CB$87,Formula!B60,34))+Formula!E60*(INDEX(Properties!A$1:CB$87,Formula!D60,34))+Formula!G60*(INDEX(Properties!A$1:CB$87,Formula!F60,34))+Formula!I60*(INDEX(Properties!A$1:CB$87,Formula!H60,34))+Formula!K60*(INDEX(Properties!A$1:CB$87,Formula!J60,34))</f>
        <v>31.734999999999999</v>
      </c>
      <c r="DH60" s="60">
        <f>VARP(IF(INDEX(Properties!A$1:CB$87,Formula!B60,34)&lt;&gt;"",INDEX(Properties!A$1:CB$87,Formula!B60,34)),IF(INDEX(Properties!A$1:CB$87,Formula!D60,34)&lt;&gt;"",INDEX(Properties!A$1:CB$87,Formula!D60,34)),IF(INDEX(Properties!A$1:CB$87,Formula!F60,34)&lt;&gt;"",INDEX(Properties!A$1:CB$87,Formula!F60,34)),IF(INDEX(Properties!A$1:CB$87,Formula!H60,34)&lt;&gt;"",INDEX(Properties!A$1:CB$87,Formula!H60,34)),IF(INDEX(Properties!A$1:CB$87,Formula!J60,34)&lt;&gt;"",INDEX(Properties!A$1:CB$87,Formula!J60,34)))</f>
        <v>1.5629266399999999</v>
      </c>
      <c r="DI60" s="60">
        <f>MAX(INDEX(Properties!A$1:CB$87,Formula!B60,34),INDEX(Properties!A$1:CB$87,Formula!D60,34),INDEX(Properties!A$1:CB$87,Formula!F60,34),INDEX(Properties!A$1:CB$87,Formula!H60,34),INDEX(Properties!A$1:CB$87,Formula!J60,34))</f>
        <v>3.61</v>
      </c>
      <c r="DJ60" s="60">
        <f>MIN(IF(INDEX(Properties!A$1:CB$87,Formula!B60,34)=0,10^6,INDEX(Properties!A$1:CB$87,Formula!B60,34)),IF(INDEX(Properties!A$1:CB$87,Formula!D60,34)=0,10^6,INDEX(Properties!A$1:CB$87,Formula!D60,34)),IF(INDEX(Properties!A$1:CB$87,Formula!F60,34)=0,10^6,INDEX(Properties!A$1:CB$87,Formula!F60,34)),IF(INDEX(Properties!A$1:CB$87,Formula!H60,34)=0,10^6,INDEX(Properties!A$1:CB$87,Formula!H60,34)),IF(INDEX(Properties!A$1:CB$87,Formula!J60,34)=0,10^6,INDEX(Properties!A$1:CB$87,Formula!J60,34)))</f>
        <v>0.86899999999999999</v>
      </c>
      <c r="DK60" s="60">
        <f t="shared" si="18"/>
        <v>2.7409999999999997</v>
      </c>
      <c r="DL60" s="45">
        <f>((Formula!C60)/(Formula!C60+Formula!E60+Formula!G60+Formula!I60+Formula!K60))*(INDEX(Properties!A$1:CB$87,Formula!B60,39))+((Formula!E60)/(Formula!C60+Formula!E60+Formula!G60+Formula!I60+Formula!K60))*(INDEX(Properties!A$1:CB$87,Formula!D60,39))+((Formula!G60)/(Formula!C60+Formula!E60+Formula!G60+Formula!I60+Formula!K60))*(INDEX(Properties!A$1:CB$87,Formula!F60,39))+((Formula!I60)/(Formula!C60+Formula!E60+Formula!G60+Formula!I60+Formula!K60))*(INDEX(Properties!A$1:CB$87,Formula!H60,39))+((Formula!K60)/(Formula!C60+Formula!E60+Formula!G60+Formula!I60+Formula!K60))*(INDEX(Properties!A$1:CB$87,Formula!J60,39))</f>
        <v>0.83363636363636362</v>
      </c>
      <c r="DM60" s="45">
        <f>Formula!C60*(INDEX(Properties!A$1:CB$87,Formula!B60,39))+Formula!E60*(INDEX(Properties!A$1:CB$87,Formula!D60,39))+Formula!G60*(INDEX(Properties!A$1:CB$87,Formula!F60,39))+Formula!I60*(INDEX(Properties!A$1:CB$87,Formula!H60,39))+Formula!K60*(INDEX(Properties!A$1:CB$87,Formula!J60,39))</f>
        <v>9.17</v>
      </c>
      <c r="DN60" s="45">
        <f>VARP(IF(INDEX(Properties!A$1:CB$87,Formula!B60,39)&lt;&gt;"",INDEX(Properties!A$1:CB$87,Formula!B60,39)),IF(INDEX(Properties!A$1:CB$87,Formula!D60,39)&lt;&gt;"",INDEX(Properties!A$1:CB$87,Formula!D60,39)),IF(INDEX(Properties!A$1:CB$87,Formula!F60,39)&lt;&gt;"",INDEX(Properties!A$1:CB$87,Formula!F60,39)),IF(INDEX(Properties!A$1:CB$87,Formula!H60,39)&lt;&gt;"",INDEX(Properties!A$1:CB$87,Formula!H60,39)),IF(INDEX(Properties!A$1:CB$87,Formula!J60,39)&lt;&gt;"",INDEX(Properties!A$1:CB$87,Formula!J60,39)))</f>
        <v>0.59281599999999957</v>
      </c>
      <c r="DO60" s="45">
        <f>MAX(INDEX(Properties!A$1:CB$87,Formula!B60,39),INDEX(Properties!A$1:CB$87,Formula!D60,39),INDEX(Properties!A$1:CB$87,Formula!F60,39),INDEX(Properties!A$1:CB$87,Formula!H60,39),INDEX(Properties!A$1:CB$87,Formula!J60,39))</f>
        <v>1.95</v>
      </c>
      <c r="DP60" s="45">
        <f>MIN(IF(INDEX(Properties!A$1:CB$87,Formula!B60,39)=0,10^6,INDEX(Properties!A$1:CB$87,Formula!B60,39)),IF(INDEX(Properties!A$1:CB$87,Formula!D60,39)=0,10^6,INDEX(Properties!A$1:CB$87,Formula!D60,39)),IF(INDEX(Properties!A$1:CB$87,Formula!F60,39)=0,10^6,INDEX(Properties!A$1:CB$87,Formula!F60,39)),IF(INDEX(Properties!A$1:CB$87,Formula!H60,39)=0,10^6,INDEX(Properties!A$1:CB$87,Formula!H60,39)),IF(INDEX(Properties!A$1:CB$87,Formula!J60,39)=0,10^6,INDEX(Properties!A$1:CB$87,Formula!J60,39)))</f>
        <v>0.48</v>
      </c>
      <c r="DQ60" s="45">
        <f t="shared" si="19"/>
        <v>1.47</v>
      </c>
      <c r="DR60" s="63">
        <f>((Formula!C60)/(Formula!C60+Formula!E60+Formula!G60+Formula!I60+Formula!K60))*(INDEX(Properties!A$1:CB$87,Formula!B60,40))+((Formula!E60)/(Formula!C60+Formula!E60+Formula!G60+Formula!I60+Formula!K60))*(INDEX(Properties!A$1:CB$87,Formula!D60,40))+((Formula!G60)/(Formula!C60+Formula!E60+Formula!G60+Formula!I60+Formula!K60))*(INDEX(Properties!A$1:CB$87,Formula!F60,40))+((Formula!I60)/(Formula!C60+Formula!E60+Formula!G60+Formula!I60+Formula!K60))*(INDEX(Properties!A$1:CB$87,Formula!H60,40))+((Formula!K60)/(Formula!C60+Formula!E60+Formula!G60+Formula!I60+Formula!K60))*(INDEX(Properties!A$1:CB$87,Formula!J60,40))</f>
        <v>0.95090909090909093</v>
      </c>
      <c r="DS60" s="63">
        <f>Formula!C60*(INDEX(Properties!A$1:CB$87,Formula!B60,40))+Formula!E60*(INDEX(Properties!A$1:CB$87,Formula!D60,40))+Formula!G60*(INDEX(Properties!A$1:CB$87,Formula!F60,40))+Formula!I60*(INDEX(Properties!A$1:CB$87,Formula!H60,40))+Formula!K60*(INDEX(Properties!A$1:CB$87,Formula!J60,40))</f>
        <v>10.459999999999999</v>
      </c>
      <c r="DT60" s="63">
        <f>VARP(IF(INDEX(Properties!A$1:CB$87,Formula!B60,40)&lt;&gt;"",INDEX(Properties!A$1:CB$87,Formula!B60,40)),IF(INDEX(Properties!A$1:CB$87,Formula!D60,40)&lt;&gt;"",INDEX(Properties!A$1:CB$87,Formula!D60,40)),IF(INDEX(Properties!A$1:CB$87,Formula!F60,40)&lt;&gt;"",INDEX(Properties!A$1:CB$87,Formula!F60,40)),IF(INDEX(Properties!A$1:CB$87,Formula!H60,40)&lt;&gt;"",INDEX(Properties!A$1:CB$87,Formula!H60,40)),IF(INDEX(Properties!A$1:CB$87,Formula!J60,40)&lt;&gt;"",INDEX(Properties!A$1:CB$87,Formula!J60,40)))</f>
        <v>0.36882400000000021</v>
      </c>
      <c r="DU60" s="63">
        <f>MAX(INDEX(Properties!A$1:CB$87,Formula!B60,40),INDEX(Properties!A$1:CB$87,Formula!D60,40),INDEX(Properties!A$1:CB$87,Formula!F60,40),INDEX(Properties!A$1:CB$87,Formula!H60,40),INDEX(Properties!A$1:CB$87,Formula!J60,40))</f>
        <v>1.69</v>
      </c>
      <c r="DV60" s="63">
        <f>MIN(IF(INDEX(Properties!A$1:CB$87,Formula!B60,40)=0,10^6,INDEX(Properties!A$1:CB$87,Formula!B60,40)),IF(INDEX(Properties!A$1:CB$87,Formula!D60,40)=0,10^6,INDEX(Properties!A$1:CB$87,Formula!D60,40)),IF(INDEX(Properties!A$1:CB$87,Formula!F60,40)=0,10^6,INDEX(Properties!A$1:CB$87,Formula!F60,40)),IF(INDEX(Properties!A$1:CB$87,Formula!H60,40)=0,10^6,INDEX(Properties!A$1:CB$87,Formula!H60,40)),IF(INDEX(Properties!A$1:CB$87,Formula!J60,40)=0,10^6,INDEX(Properties!A$1:CB$87,Formula!J60,40)))</f>
        <v>0.73</v>
      </c>
      <c r="DW60" s="63">
        <f t="shared" si="20"/>
        <v>0.96</v>
      </c>
      <c r="DX60" s="75">
        <f>((Formula!C60)/(Formula!C60+Formula!E60+Formula!G60+Formula!I60+Formula!K60))*(INDEX(Properties!A$1:CB$87,Formula!B60,41))+((Formula!E60)/(Formula!C60+Formula!E60+Formula!G60+Formula!I60+Formula!K60))*(INDEX(Properties!A$1:CB$87,Formula!D60,41))+((Formula!G60)/(Formula!C60+Formula!E60+Formula!G60+Formula!I60+Formula!K60))*(INDEX(Properties!A$1:CB$87,Formula!F60,41))+((Formula!I60)/(Formula!C60+Formula!E60+Formula!G60+Formula!I60+Formula!K60))*(INDEX(Properties!A$1:CB$87,Formula!H60,41))+((Formula!K60)/(Formula!C60+Formula!E60+Formula!G60+Formula!I60+Formula!K60))*(INDEX(Properties!A$1:CB$87,Formula!J60,41))</f>
        <v>1.1190909090909091</v>
      </c>
      <c r="DY60" s="75">
        <f>Formula!C60*(INDEX(Properties!A$1:CB$87,Formula!B60,41))+Formula!E60*(INDEX(Properties!A$1:CB$87,Formula!D60,41))+Formula!G60*(INDEX(Properties!A$1:CB$87,Formula!F60,41))+Formula!I60*(INDEX(Properties!A$1:CB$87,Formula!H60,41))+Formula!K60*(INDEX(Properties!A$1:CB$87,Formula!J60,41))</f>
        <v>12.31</v>
      </c>
      <c r="DZ60" s="75">
        <f>VARP(IF(INDEX(Properties!A$1:CB$87,Formula!B60,41)&lt;&gt;"",INDEX(Properties!A$1:CB$87,Formula!B60,41)),IF(INDEX(Properties!A$1:CB$87,Formula!D60,41)&lt;&gt;"",INDEX(Properties!A$1:CB$87,Formula!D60,41)),IF(INDEX(Properties!A$1:CB$87,Formula!F60,41)&lt;&gt;"",INDEX(Properties!A$1:CB$87,Formula!F60,41)),IF(INDEX(Properties!A$1:CB$87,Formula!H60,41)&lt;&gt;"",INDEX(Properties!A$1:CB$87,Formula!H60,41)),IF(INDEX(Properties!A$1:CB$87,Formula!J60,41)&lt;&gt;"",INDEX(Properties!A$1:CB$87,Formula!J60,41)))</f>
        <v>0.23214399999999999</v>
      </c>
      <c r="EA60" s="75">
        <f>MAX(INDEX(Properties!A$1:CB$87,Formula!B60,41),INDEX(Properties!A$1:CB$87,Formula!D60,41),INDEX(Properties!A$1:CB$87,Formula!F60,41),INDEX(Properties!A$1:CB$87,Formula!H60,41),INDEX(Properties!A$1:CB$87,Formula!J60,41))</f>
        <v>1.26</v>
      </c>
      <c r="EB60" s="75">
        <f>MIN(IF(INDEX(Properties!A$1:CB$87,Formula!B60,41)=0,10^6,INDEX(Properties!A$1:CB$87,Formula!B60,41)),IF(INDEX(Properties!A$1:CB$87,Formula!D60,41)=0,10^6,INDEX(Properties!A$1:CB$87,Formula!D60,41)),IF(INDEX(Properties!A$1:CB$87,Formula!F60,41)=0,10^6,INDEX(Properties!A$1:CB$87,Formula!F60,41)),IF(INDEX(Properties!A$1:CB$87,Formula!H60,41)=0,10^6,INDEX(Properties!A$1:CB$87,Formula!H60,41)),IF(INDEX(Properties!A$1:CB$87,Formula!J60,41)=0,10^6,INDEX(Properties!A$1:CB$87,Formula!J60,41)))</f>
        <v>0.57999999999999996</v>
      </c>
      <c r="EC60" s="75">
        <f t="shared" si="21"/>
        <v>0.68</v>
      </c>
      <c r="ED60" s="48">
        <f>((Formula!C60)/(Formula!C60+Formula!E60+Formula!G60+Formula!I60+Formula!K60))*(INDEX(Properties!A$1:CB$87,Formula!B60,45))+((Formula!E60)/(Formula!C60+Formula!E60+Formula!G60+Formula!I60+Formula!K60))*(INDEX(Properties!A$1:CB$87,Formula!D60,45))+((Formula!G60)/(Formula!C60+Formula!E60+Formula!G60+Formula!I60+Formula!K60))*(INDEX(Properties!A$1:CB$87,Formula!F60,45))+((Formula!I60)/(Formula!C60+Formula!E60+Formula!G60+Formula!I60+Formula!K60))*(INDEX(Properties!A$1:CB$87,Formula!H60,45))+((Formula!K60)/(Formula!C60+Formula!E60+Formula!G60+Formula!I60+Formula!K60))*(INDEX(Properties!A$1:CB$87,Formula!J60,45))</f>
        <v>1.0454545454545454</v>
      </c>
      <c r="EE60" s="48">
        <f>Formula!C60*(INDEX(Properties!A$1:CB$87,Formula!B60,45))+Formula!E60*(INDEX(Properties!A$1:CB$87,Formula!D60,45))+Formula!G60*(INDEX(Properties!A$1:CB$87,Formula!F60,45))+Formula!I60*(INDEX(Properties!A$1:CB$87,Formula!H60,45))+Formula!K60*(INDEX(Properties!A$1:CB$87,Formula!J60,45))</f>
        <v>11.5</v>
      </c>
      <c r="EF60" s="48">
        <f>VARP(IF(INDEX(Properties!A$1:CB$87,Formula!B60,45)&lt;&gt;"",INDEX(Properties!A$1:CB$87,Formula!B60,45)),IF(INDEX(Properties!A$1:CB$87,Formula!D60,45)&lt;&gt;"",INDEX(Properties!A$1:CB$87,Formula!D60,45)),IF(INDEX(Properties!A$1:CB$87,Formula!F60,45)&lt;&gt;"",INDEX(Properties!A$1:CB$87,Formula!F60,45)),IF(INDEX(Properties!A$1:CB$87,Formula!H60,45)&lt;&gt;"",INDEX(Properties!A$1:CB$87,Formula!H60,45)),IF(INDEX(Properties!A$1:CB$87,Formula!J60,45)&lt;&gt;"",INDEX(Properties!A$1:CB$87,Formula!J60,45)))</f>
        <v>1.4393360000000004</v>
      </c>
      <c r="EG60" s="48">
        <f>MAX(INDEX(Properties!A$1:CB$87,Formula!B60,45),INDEX(Properties!A$1:CB$87,Formula!D60,45),INDEX(Properties!A$1:CB$87,Formula!F60,45),INDEX(Properties!A$1:CB$87,Formula!H60,45),INDEX(Properties!A$1:CB$87,Formula!J60,45))</f>
        <v>3.08</v>
      </c>
      <c r="EH60" s="48">
        <f>MIN(IF(INDEX(Properties!A$1:CB$87,Formula!B60,45)=0,10^6,INDEX(Properties!A$1:CB$87,Formula!B60,45)),IF(INDEX(Properties!A$1:CB$87,Formula!D60,45)=0,10^6,INDEX(Properties!A$1:CB$87,Formula!D60,45)),IF(INDEX(Properties!A$1:CB$87,Formula!F60,45)=0,10^6,INDEX(Properties!A$1:CB$87,Formula!F60,45)),IF(INDEX(Properties!A$1:CB$87,Formula!H60,45)=0,10^6,INDEX(Properties!A$1:CB$87,Formula!H60,45)),IF(INDEX(Properties!A$1:CB$87,Formula!J60,45)=0,10^6,INDEX(Properties!A$1:CB$87,Formula!J60,45)))</f>
        <v>0.47</v>
      </c>
      <c r="EI60" s="48">
        <f t="shared" si="22"/>
        <v>2.6100000000000003</v>
      </c>
      <c r="EJ60" s="66">
        <f>((Formula!C60)/(Formula!C60+Formula!E60+Formula!G60+Formula!I60+Formula!K60))*(INDEX(Properties!A$1:CB$87,Formula!B60,46))+((Formula!E60)/(Formula!C60+Formula!E60+Formula!G60+Formula!I60+Formula!K60))*(INDEX(Properties!A$1:CB$87,Formula!D60,46))+((Formula!G60)/(Formula!C60+Formula!E60+Formula!G60+Formula!I60+Formula!K60))*(INDEX(Properties!A$1:CB$87,Formula!F60,46))+((Formula!I60)/(Formula!C60+Formula!E60+Formula!G60+Formula!I60+Formula!K60))*(INDEX(Properties!A$1:CB$87,Formula!H60,46))+((Formula!K60)/(Formula!C60+Formula!E60+Formula!G60+Formula!I60+Formula!K60))*(INDEX(Properties!A$1:CB$87,Formula!J60,46))</f>
        <v>1.0554545454545456</v>
      </c>
      <c r="EK60" s="66">
        <f>Formula!C60*(INDEX(Properties!A$1:CB$87,Formula!B60,46))+Formula!E60*(INDEX(Properties!A$1:CB$87,Formula!D60,46))+Formula!G60*(INDEX(Properties!A$1:CB$87,Formula!F60,46))+Formula!I60*(INDEX(Properties!A$1:CB$87,Formula!H60,46))+Formula!K60*(INDEX(Properties!A$1:CB$87,Formula!J60,46))</f>
        <v>11.61</v>
      </c>
      <c r="EL60" s="66">
        <f>VARP(IF(INDEX(Properties!A$1:CB$87,Formula!B60,46)&lt;&gt;"",INDEX(Properties!A$1:CB$87,Formula!B60,46)),IF(INDEX(Properties!A$1:CB$87,Formula!D60,46)&lt;&gt;"",INDEX(Properties!A$1:CB$87,Formula!D60,46)),IF(INDEX(Properties!A$1:CB$87,Formula!F60,46)&lt;&gt;"",INDEX(Properties!A$1:CB$87,Formula!F60,46)),IF(INDEX(Properties!A$1:CB$87,Formula!H60,46)&lt;&gt;"",INDEX(Properties!A$1:CB$87,Formula!H60,46)),IF(INDEX(Properties!A$1:CB$87,Formula!J60,46)&lt;&gt;"",INDEX(Properties!A$1:CB$87,Formula!J60,46)))</f>
        <v>0.29821600000000004</v>
      </c>
      <c r="EM60" s="66">
        <f>MAX(INDEX(Properties!A$1:CB$87,Formula!B60,46),INDEX(Properties!A$1:CB$87,Formula!D60,46),INDEX(Properties!A$1:CB$87,Formula!F60,46),INDEX(Properties!A$1:CB$87,Formula!H60,46),INDEX(Properties!A$1:CB$87,Formula!J60,46))</f>
        <v>1.36</v>
      </c>
      <c r="EN60" s="66">
        <f>MIN(IF(INDEX(Properties!A$1:CB$87,Formula!B60,46)=0,10^6,INDEX(Properties!A$1:CB$87,Formula!B60,46)),IF(INDEX(Properties!A$1:CB$87,Formula!D60,46)=0,10^6,INDEX(Properties!A$1:CB$87,Formula!D60,46)),IF(INDEX(Properties!A$1:CB$87,Formula!F60,46)=0,10^6,INDEX(Properties!A$1:CB$87,Formula!F60,46)),IF(INDEX(Properties!A$1:CB$87,Formula!H60,46)=0,10^6,INDEX(Properties!A$1:CB$87,Formula!H60,46)),IF(INDEX(Properties!A$1:CB$87,Formula!J60,46)=0,10^6,INDEX(Properties!A$1:CB$87,Formula!J60,46)))</f>
        <v>0.31</v>
      </c>
      <c r="EO60" s="66">
        <f t="shared" si="23"/>
        <v>1.05</v>
      </c>
      <c r="EP60" s="81">
        <f>((Formula!C60)/(Formula!C60+Formula!E60+Formula!G60+Formula!I60+Formula!K60))*(INDEX(Properties!A$1:CB$87,Formula!B60,52))+((Formula!E60)/(Formula!C60+Formula!E60+Formula!G60+Formula!I60+Formula!K60))*(INDEX(Properties!A$1:CB$87,Formula!D60,52))+((Formula!G60)/(Formula!C60+Formula!E60+Formula!G60+Formula!I60+Formula!K60))*(INDEX(Properties!A$1:CB$87,Formula!F60,52))+((Formula!I60)/(Formula!C60+Formula!E60+Formula!G60+Formula!I60+Formula!K60))*(INDEX(Properties!A$1:CB$87,Formula!H60,52))+((Formula!K60)/(Formula!C60+Formula!E60+Formula!G60+Formula!I60+Formula!K60))*(INDEX(Properties!A$1:CB$87,Formula!J60,52))</f>
        <v>6.1319090909090903</v>
      </c>
      <c r="EQ60" s="81">
        <f>Formula!C60*(INDEX(Properties!A$1:CB$87,Formula!B60,52))+Formula!E60*(INDEX(Properties!A$1:CB$87,Formula!D60,52))+Formula!G60*(INDEX(Properties!A$1:CB$87,Formula!F60,52))+Formula!I60*(INDEX(Properties!A$1:CB$87,Formula!H60,52))+Formula!K60*(INDEX(Properties!A$1:CB$87,Formula!J60,52))</f>
        <v>67.451000000000008</v>
      </c>
      <c r="ER60" s="81">
        <f>VARP(IF(INDEX(Properties!A$1:CB$87,Formula!B60,52)&lt;&gt;"",INDEX(Properties!A$1:CB$87,Formula!B60,52)),IF(INDEX(Properties!A$1:CB$87,Formula!D60,52)&lt;&gt;"",INDEX(Properties!A$1:CB$87,Formula!D60,52)),IF(INDEX(Properties!A$1:CB$87,Formula!F60,52)&lt;&gt;"",INDEX(Properties!A$1:CB$87,Formula!F60,52)),IF(INDEX(Properties!A$1:CB$87,Formula!H60,52)&lt;&gt;"",INDEX(Properties!A$1:CB$87,Formula!H60,52)),IF(INDEX(Properties!A$1:CB$87,Formula!J60,52)&lt;&gt;"",INDEX(Properties!A$1:CB$87,Formula!J60,52)))</f>
        <v>167.87246383999999</v>
      </c>
      <c r="ES60" s="81">
        <f>MAX(INDEX(Properties!A$1:CB$87,Formula!B60,52),INDEX(Properties!A$1:CB$87,Formula!D60,52),INDEX(Properties!A$1:CB$87,Formula!F60,52),INDEX(Properties!A$1:CB$87,Formula!H60,52),INDEX(Properties!A$1:CB$87,Formula!J60,52))</f>
        <v>31.1</v>
      </c>
      <c r="ET60" s="81">
        <f>MIN(IF(INDEX(Properties!A$1:CB$87,Formula!B60,52)=0,10^6,INDEX(Properties!A$1:CB$87,Formula!B60,52)),IF(INDEX(Properties!A$1:CB$87,Formula!D60,52)=0,10^6,INDEX(Properties!A$1:CB$87,Formula!D60,52)),IF(INDEX(Properties!A$1:CB$87,Formula!F60,52)=0,10^6,INDEX(Properties!A$1:CB$87,Formula!F60,52)),IF(INDEX(Properties!A$1:CB$87,Formula!H60,52)=0,10^6,INDEX(Properties!A$1:CB$87,Formula!H60,52)),IF(INDEX(Properties!A$1:CB$87,Formula!J60,52)=0,10^6,INDEX(Properties!A$1:CB$87,Formula!J60,52)))</f>
        <v>0.79300000000000004</v>
      </c>
      <c r="EU60" s="81">
        <f t="shared" si="24"/>
        <v>30.307000000000002</v>
      </c>
      <c r="EV60" s="39">
        <f>((Formula!C60)/(Formula!C60+Formula!E60+Formula!G60+Formula!I60+Formula!K60))*(INDEX(Properties!A$1:CB$87,Formula!B60,53))+((Formula!E60)/(Formula!C60+Formula!E60+Formula!G60+Formula!I60+Formula!K60))*(INDEX(Properties!A$1:CB$87,Formula!D60,53))+((Formula!G60)/(Formula!C60+Formula!E60+Formula!G60+Formula!I60+Formula!K60))*(INDEX(Properties!A$1:CB$87,Formula!F60,53))+((Formula!I60)/(Formula!C60+Formula!E60+Formula!G60+Formula!I60+Formula!K60))*(INDEX(Properties!A$1:CB$87,Formula!H60,53))+((Formula!K60)/(Formula!C60+Formula!E60+Formula!G60+Formula!I60+Formula!K60))*(INDEX(Properties!A$1:CB$87,Formula!J60,53))</f>
        <v>234.71363636363634</v>
      </c>
      <c r="EW60" s="39">
        <f>Formula!C60*(INDEX(Properties!A$1:CB$87,Formula!B60,53))+Formula!E60*(INDEX(Properties!A$1:CB$87,Formula!D60,53))+Formula!G60*(INDEX(Properties!A$1:CB$87,Formula!F60,53))+Formula!I60*(INDEX(Properties!A$1:CB$87,Formula!H60,53))+Formula!K60*(INDEX(Properties!A$1:CB$87,Formula!J60,53))</f>
        <v>2581.8500000000004</v>
      </c>
      <c r="EX60" s="39">
        <f>VARP(IF(INDEX(Properties!A$1:CB$87,Formula!B60,53)&lt;&gt;"",INDEX(Properties!A$1:CB$87,Formula!B60,53)),IF(INDEX(Properties!A$1:CB$87,Formula!D60,53)&lt;&gt;"",INDEX(Properties!A$1:CB$87,Formula!D60,53)),IF(INDEX(Properties!A$1:CB$87,Formula!F60,53)&lt;&gt;"",INDEX(Properties!A$1:CB$87,Formula!F60,53)),IF(INDEX(Properties!A$1:CB$87,Formula!H60,53)&lt;&gt;"",INDEX(Properties!A$1:CB$87,Formula!H60,53)),IF(INDEX(Properties!A$1:CB$87,Formula!J60,53)&lt;&gt;"",INDEX(Properties!A$1:CB$87,Formula!J60,53)))</f>
        <v>183031.86160000003</v>
      </c>
      <c r="EY60" s="39">
        <f>MAX(INDEX(Properties!A$1:CB$87,Formula!B60,53),INDEX(Properties!A$1:CB$87,Formula!D60,53),INDEX(Properties!A$1:CB$87,Formula!F60,53),INDEX(Properties!A$1:CB$87,Formula!H60,53),INDEX(Properties!A$1:CB$87,Formula!J60,53))</f>
        <v>1193.1500000000001</v>
      </c>
      <c r="EZ60" s="39">
        <f>MIN(IF(INDEX(Properties!A$1:CB$87,Formula!B60,53)=0,10^6,INDEX(Properties!A$1:CB$87,Formula!B60,53)),IF(INDEX(Properties!A$1:CB$87,Formula!D60,53)=0,10^6,INDEX(Properties!A$1:CB$87,Formula!D60,53)),IF(INDEX(Properties!A$1:CB$87,Formula!F60,53)=0,10^6,INDEX(Properties!A$1:CB$87,Formula!F60,53)),IF(INDEX(Properties!A$1:CB$87,Formula!H60,53)=0,10^6,INDEX(Properties!A$1:CB$87,Formula!H60,53)),IF(INDEX(Properties!A$1:CB$87,Formula!J60,53)=0,10^6,INDEX(Properties!A$1:CB$87,Formula!J60,53)))</f>
        <v>54.749999999999972</v>
      </c>
      <c r="FA60" s="39">
        <f t="shared" si="25"/>
        <v>1138.4000000000001</v>
      </c>
      <c r="FB60" s="54">
        <f>((Formula!C60)/(Formula!C60+Formula!E60+Formula!G60+Formula!I60+Formula!K60))*(INDEX(Properties!A$1:CB$87,Formula!B60,54))+((Formula!E60)/(Formula!C60+Formula!E60+Formula!G60+Formula!I60+Formula!K60))*(INDEX(Properties!A$1:CB$87,Formula!D60,54))+((Formula!G60)/(Formula!C60+Formula!E60+Formula!G60+Formula!I60+Formula!K60))*(INDEX(Properties!A$1:CB$87,Formula!F60,54))+((Formula!I60)/(Formula!C60+Formula!E60+Formula!G60+Formula!I60+Formula!K60))*(INDEX(Properties!A$1:CB$87,Formula!H60,54))+((Formula!K60)/(Formula!C60+Formula!E60+Formula!G60+Formula!I60+Formula!K60))*(INDEX(Properties!A$1:CB$87,Formula!J60,54))</f>
        <v>601.87727272727284</v>
      </c>
      <c r="FC60" s="54">
        <f>Formula!C60*(INDEX(Properties!A$1:CB$87,Formula!B60,54))+Formula!E60*(INDEX(Properties!A$1:CB$87,Formula!D60,54))+Formula!G60*(INDEX(Properties!A$1:CB$87,Formula!F60,54))+Formula!I60*(INDEX(Properties!A$1:CB$87,Formula!H60,54))+Formula!K60*(INDEX(Properties!A$1:CB$87,Formula!J60,54))</f>
        <v>6620.6500000000005</v>
      </c>
      <c r="FD60" s="54">
        <f>VARP(IF(INDEX(Properties!A$1:CB$87,Formula!B60,54)&lt;&gt;"",INDEX(Properties!A$1:CB$87,Formula!B60,54)),IF(INDEX(Properties!A$1:CB$87,Formula!D60,54)&lt;&gt;"",INDEX(Properties!A$1:CB$87,Formula!D60,54)),IF(INDEX(Properties!A$1:CB$87,Formula!F60,54)&lt;&gt;"",INDEX(Properties!A$1:CB$87,Formula!F60,54)),IF(INDEX(Properties!A$1:CB$87,Formula!H60,54)&lt;&gt;"",INDEX(Properties!A$1:CB$87,Formula!H60,54)),IF(INDEX(Properties!A$1:CB$87,Formula!J60,54)&lt;&gt;"",INDEX(Properties!A$1:CB$87,Formula!J60,54)))</f>
        <v>1886754.0756000003</v>
      </c>
      <c r="FE60" s="54">
        <f>MAX(INDEX(Properties!A$1:CB$87,Formula!B60,54),INDEX(Properties!A$1:CB$87,Formula!D60,54),INDEX(Properties!A$1:CB$87,Formula!F60,54),INDEX(Properties!A$1:CB$87,Formula!H60,54),INDEX(Properties!A$1:CB$87,Formula!J60,54))</f>
        <v>3727.15</v>
      </c>
      <c r="FF60" s="54">
        <f>MIN(IF(INDEX(Properties!A$1:CB$87,Formula!B60,54)=0,10^6,INDEX(Properties!A$1:CB$87,Formula!B60,54)),IF(INDEX(Properties!A$1:CB$87,Formula!D60,54)=0,10^6,INDEX(Properties!A$1:CB$87,Formula!D60,54)),IF(INDEX(Properties!A$1:CB$87,Formula!F60,54)=0,10^6,INDEX(Properties!A$1:CB$87,Formula!F60,54)),IF(INDEX(Properties!A$1:CB$87,Formula!H60,54)=0,10^6,INDEX(Properties!A$1:CB$87,Formula!H60,54)),IF(INDEX(Properties!A$1:CB$87,Formula!J60,54)=0,10^6,INDEX(Properties!A$1:CB$87,Formula!J60,54)))</f>
        <v>90.149999999999977</v>
      </c>
      <c r="FG60" s="54">
        <f t="shared" si="26"/>
        <v>3637</v>
      </c>
      <c r="FH60" s="69">
        <f>((Formula!C60)/(Formula!C60+Formula!E60+Formula!G60+Formula!I60+Formula!K60))*(INDEX(Properties!A$1:CB$87,Formula!B60,55))+((Formula!E60)/(Formula!C60+Formula!E60+Formula!G60+Formula!I60+Formula!K60))*(INDEX(Properties!A$1:CB$87,Formula!D60,55))+((Formula!G60)/(Formula!C60+Formula!E60+Formula!G60+Formula!I60+Formula!K60))*(INDEX(Properties!A$1:CB$87,Formula!F60,55))+((Formula!I60)/(Formula!C60+Formula!E60+Formula!G60+Formula!I60+Formula!K60))*(INDEX(Properties!A$1:CB$87,Formula!H60,55))+((Formula!K60)/(Formula!C60+Formula!E60+Formula!G60+Formula!I60+Formula!K60))*(INDEX(Properties!A$1:CB$87,Formula!J60,55))</f>
        <v>0.97918272727272737</v>
      </c>
      <c r="FI60" s="69">
        <f>Formula!C60*(INDEX(Properties!A$1:CB$87,Formula!B60,55))+Formula!E60*(INDEX(Properties!A$1:CB$87,Formula!D60,54))+Formula!G60*(INDEX(Properties!A$1:CB$87,Formula!F60,55))+Formula!I60*(INDEX(Properties!A$1:CB$87,Formula!H60,55))+Formula!K60*(INDEX(Properties!A$1:CB$87,Formula!J60,55))</f>
        <v>3731.7710099999999</v>
      </c>
      <c r="FJ60" s="69">
        <f>VARP(IF(INDEX(Properties!A$1:CB$87,Formula!B60,55)&lt;&gt;"",INDEX(Properties!A$1:CB$87,Formula!B60,55)),IF(INDEX(Properties!A$1:CB$87,Formula!D60,55)&lt;&gt;"",INDEX(Properties!A$1:CB$87,Formula!D60,55)),IF(INDEX(Properties!A$1:CB$87,Formula!F60,55)&lt;&gt;"",INDEX(Properties!A$1:CB$87,Formula!F60,55)),IF(INDEX(Properties!A$1:CB$87,Formula!H60,55)&lt;&gt;"",INDEX(Properties!A$1:CB$87,Formula!H60,55)),IF(INDEX(Properties!A$1:CB$87,Formula!J60,55)&lt;&gt;"",INDEX(Properties!A$1:CB$87,Formula!J60,55)))</f>
        <v>5.2168664367840005</v>
      </c>
      <c r="FK60" s="69">
        <f>MAX(INDEX(Properties!A$1:CB$87,Formula!B60,55),INDEX(Properties!A$1:CB$87,Formula!D60,55),INDEX(Properties!A$1:CB$87,Formula!F60,55),INDEX(Properties!A$1:CB$87,Formula!H60,55),INDEX(Properties!A$1:CB$87,Formula!J60,55))</f>
        <v>6.15</v>
      </c>
      <c r="FL60" s="69">
        <f>MIN(IF(INDEX(Properties!A$1:CB$87,Formula!B60,55)=0,10^6,INDEX(Properties!A$1:CB$87,Formula!B60,55)),IF(INDEX(Properties!A$1:CB$87,Formula!D60,55)=0,10^6,INDEX(Properties!A$1:CB$87,Formula!D60,55)),IF(INDEX(Properties!A$1:CB$87,Formula!F60,55)=0,10^6,INDEX(Properties!A$1:CB$87,Formula!F60,55)),IF(INDEX(Properties!A$1:CB$87,Formula!H60,55)=0,10^6,INDEX(Properties!A$1:CB$87,Formula!H60,55)),IF(INDEX(Properties!A$1:CB$87,Formula!J60,55)=0,10^6,INDEX(Properties!A$1:CB$87,Formula!J60,55)))</f>
        <v>1.4300000000000001E-3</v>
      </c>
      <c r="FM60" s="69">
        <f t="shared" si="27"/>
        <v>6.1485700000000003</v>
      </c>
      <c r="FN60" s="42">
        <f>((Formula!C60)/(Formula!C60+Formula!E60+Formula!G60+Formula!I60+Formula!K60))*(INDEX(Properties!A$1:CB$87,Formula!B60,56))+((Formula!E60)/(Formula!C60+Formula!E60+Formula!G60+Formula!I60+Formula!K60))*(INDEX(Properties!A$1:CB$87,Formula!D60,56))+((Formula!G60)/(Formula!C60+Formula!E60+Formula!G60+Formula!I60+Formula!K60))*(INDEX(Properties!A$1:CB$87,Formula!F60,56))+((Formula!I60)/(Formula!C60+Formula!E60+Formula!G60+Formula!I60+Formula!K60))*(INDEX(Properties!A$1:CB$87,Formula!H60,56))+((Formula!K60)/(Formula!C60+Formula!E60+Formula!G60+Formula!I60+Formula!K60))*(INDEX(Properties!A$1:CB$87,Formula!J60,56))</f>
        <v>0.8545454545454545</v>
      </c>
      <c r="FO60" s="42">
        <f>Formula!C60*(INDEX(Properties!A$1:CB$87,Formula!B60,56))+Formula!E60*(INDEX(Properties!A$1:CB$87,Formula!D60,56))+Formula!G60*(INDEX(Properties!A$1:CB$87,Formula!F60,56))+Formula!I60*(INDEX(Properties!A$1:CB$87,Formula!H60,56))+Formula!K60*(INDEX(Properties!A$1:CB$87,Formula!J60,56))</f>
        <v>9.4</v>
      </c>
      <c r="FP60" s="42">
        <f>VARP(IF(INDEX(Properties!A$1:CB$87,Formula!B60,56)&lt;&gt;"",INDEX(Properties!A$1:CB$87,Formula!B60,56)),IF(INDEX(Properties!A$1:CB$87,Formula!D60,56)&lt;&gt;"",INDEX(Properties!A$1:CB$87,Formula!D60,56)),IF(INDEX(Properties!A$1:CB$87,Formula!F60,56)&lt;&gt;"",INDEX(Properties!A$1:CB$87,Formula!F60,56)),IF(INDEX(Properties!A$1:CB$87,Formula!H60,56)&lt;&gt;"",INDEX(Properties!A$1:CB$87,Formula!H60,56)),IF(INDEX(Properties!A$1:CB$87,Formula!J60,56)&lt;&gt;"",INDEX(Properties!A$1:CB$87,Formula!J60,56)))</f>
        <v>0.21077599999999996</v>
      </c>
      <c r="FQ60" s="42">
        <f>MAX(INDEX(Properties!A$1:CB$87,Formula!B60,56),INDEX(Properties!A$1:CB$87,Formula!D60,56),INDEX(Properties!A$1:CB$87,Formula!F60,56),INDEX(Properties!A$1:CB$87,Formula!H60,56),INDEX(Properties!A$1:CB$87,Formula!J60,56))</f>
        <v>1.23</v>
      </c>
      <c r="FR60" s="42">
        <f>MIN(IF(INDEX(Properties!A$1:CB$87,Formula!B60,56)=0,10^6,INDEX(Properties!A$1:CB$87,Formula!B60,56)),IF(INDEX(Properties!A$1:CB$87,Formula!D60,56)=0,10^6,INDEX(Properties!A$1:CB$87,Formula!D60,56)),IF(INDEX(Properties!A$1:CB$87,Formula!F60,56)=0,10^6,INDEX(Properties!A$1:CB$87,Formula!F60,56)),IF(INDEX(Properties!A$1:CB$87,Formula!H60,56)=0,10^6,INDEX(Properties!A$1:CB$87,Formula!H60,56)),IF(INDEX(Properties!A$1:CB$87,Formula!J60,56)=0,10^6,INDEX(Properties!A$1:CB$87,Formula!J60,56)))</f>
        <v>0.19</v>
      </c>
      <c r="FS60" s="42">
        <f t="shared" si="28"/>
        <v>1.04</v>
      </c>
      <c r="FT60" s="60">
        <f>((Formula!C60)/(Formula!C60+Formula!E60+Formula!G60+Formula!I60+Formula!K60))*(INDEX(Properties!A$1:CB$87,Formula!B60,57))+((Formula!E60)/(Formula!C60+Formula!E60+Formula!G60+Formula!I60+Formula!K60))*(INDEX(Properties!A$1:CB$87,Formula!D60,57))+((Formula!G60)/(Formula!C60+Formula!E60+Formula!G60+Formula!I60+Formula!K60))*(INDEX(Properties!A$1:CB$87,Formula!F60,57))+((Formula!I60)/(Formula!C60+Formula!E60+Formula!G60+Formula!I60+Formula!K60))*(INDEX(Properties!A$1:CB$87,Formula!H60,57))+((Formula!K60)/(Formula!C60+Formula!E60+Formula!G60+Formula!I60+Formula!K60))*(INDEX(Properties!A$1:CB$87,Formula!J60,57))</f>
        <v>1.0609209090909091</v>
      </c>
      <c r="FU60" s="60">
        <f>Formula!C60*(INDEX(Properties!A$1:CB$87,Formula!B60,57))+Formula!E60*(INDEX(Properties!A$1:CB$87,Formula!D60,57))+Formula!G60*(INDEX(Properties!A$1:CB$87,Formula!F60,57))+Formula!I60*(INDEX(Properties!A$1:CB$87,Formula!H60,57))+Formula!K60*(INDEX(Properties!A$1:CB$87,Formula!J60,57))</f>
        <v>11.67013</v>
      </c>
      <c r="FV60" s="60">
        <f>VARP(IF(INDEX(Properties!A$1:CB$87,Formula!B60,57)&lt;&gt;"",INDEX(Properties!A$1:CB$87,Formula!B60,57)),IF(INDEX(Properties!A$1:CB$87,Formula!D60,57)&lt;&gt;"",INDEX(Properties!A$1:CB$87,Formula!D60,57)),IF(INDEX(Properties!A$1:CB$87,Formula!F60,57)&lt;&gt;"",INDEX(Properties!A$1:CB$87,Formula!F60,57)),IF(INDEX(Properties!A$1:CB$87,Formula!H60,57)&lt;&gt;"",INDEX(Properties!A$1:CB$87,Formula!H60,57)),IF(INDEX(Properties!A$1:CB$87,Formula!J60,57)&lt;&gt;"",INDEX(Properties!A$1:CB$87,Formula!J60,57)))</f>
        <v>5.3879299332960002</v>
      </c>
      <c r="FW60" s="60">
        <f>MAX(INDEX(Properties!A$1:CB$87,Formula!B60,57),INDEX(Properties!A$1:CB$87,Formula!D60,57),INDEX(Properties!A$1:CB$87,Formula!F60,57),INDEX(Properties!A$1:CB$87,Formula!H60,57),INDEX(Properties!A$1:CB$87,Formula!J60,57))</f>
        <v>6.2</v>
      </c>
      <c r="FX60" s="60">
        <f>MIN(IF(INDEX(Properties!A$1:CB$87,Formula!B60,57)=0,10^6,INDEX(Properties!A$1:CB$87,Formula!B60,57)),IF(INDEX(Properties!A$1:CB$87,Formula!D60,57)=0,10^6,INDEX(Properties!A$1:CB$87,Formula!D60,57)),IF(INDEX(Properties!A$1:CB$87,Formula!F60,57)=0,10^6,INDEX(Properties!A$1:CB$87,Formula!F60,57)),IF(INDEX(Properties!A$1:CB$87,Formula!H60,57)=0,10^6,INDEX(Properties!A$1:CB$87,Formula!H60,57)),IF(INDEX(Properties!A$1:CB$87,Formula!J60,57)=0,10^6,INDEX(Properties!A$1:CB$87,Formula!J60,57)))</f>
        <v>0.22259000000000001</v>
      </c>
      <c r="FY60" s="60">
        <f t="shared" si="29"/>
        <v>5.9774099999999999</v>
      </c>
      <c r="FZ60" s="72">
        <f>((Formula!C60)/(Formula!C60+Formula!E60+Formula!G60+Formula!I60+Formula!K60))*(INDEX(Properties!A$1:CB$87,Formula!B60,60))+((Formula!E60)/(Formula!C60+Formula!E60+Formula!G60+Formula!I60+Formula!K60))*(INDEX(Properties!A$1:CB$87,Formula!D60,60))+((Formula!G60)/(Formula!C60+Formula!E60+Formula!G60+Formula!I60+Formula!K60))*(INDEX(Properties!A$1:CB$87,Formula!F60,60))+((Formula!I60)/(Formula!C60+Formula!E60+Formula!G60+Formula!I60+Formula!K60))*(INDEX(Properties!A$1:CB$87,Formula!H60,60))+((Formula!K60)/(Formula!C60+Formula!E60+Formula!G60+Formula!I60+Formula!K60))*(INDEX(Properties!A$1:CB$87,Formula!J60,60))</f>
        <v>14.105198181818182</v>
      </c>
      <c r="GA60" s="72">
        <f>Formula!C60*(INDEX(Properties!A$1:CB$87,Formula!B60,60))+Formula!E60*(INDEX(Properties!A$1:CB$87,Formula!D60,60))+Formula!G60*(INDEX(Properties!A$1:CB$87,Formula!F60,60))+Formula!I60*(INDEX(Properties!A$1:CB$87,Formula!H60,60))+Formula!K60*(INDEX(Properties!A$1:CB$87,Formula!J60,60))</f>
        <v>155.15718000000001</v>
      </c>
      <c r="GB60" s="72">
        <f>VARP(IF(INDEX(Properties!A$1:CB$87,Formula!B60,60)&lt;&gt;"",INDEX(Properties!A$1:CB$87,Formula!B60,60)),IF(INDEX(Properties!A$1:CB$87,Formula!D60,60)&lt;&gt;"",INDEX(Properties!A$1:CB$87,Formula!D60,60)),IF(INDEX(Properties!A$1:CB$87,Formula!F60,60)&lt;&gt;"",INDEX(Properties!A$1:CB$87,Formula!F60,60)),IF(INDEX(Properties!A$1:CB$87,Formula!H60,60)&lt;&gt;"",INDEX(Properties!A$1:CB$87,Formula!H60,60)),IF(INDEX(Properties!A$1:CB$87,Formula!J60,60)&lt;&gt;"",INDEX(Properties!A$1:CB$87,Formula!J60,60)))</f>
        <v>3054.613341292416</v>
      </c>
      <c r="GC60" s="72">
        <f>MAX(INDEX(Properties!A$1:CB$87,Formula!B60,60),INDEX(Properties!A$1:CB$87,Formula!D60,60),INDEX(Properties!A$1:CB$87,Formula!F60,60),INDEX(Properties!A$1:CB$87,Formula!H60,60),INDEX(Properties!A$1:CB$87,Formula!J60,60))</f>
        <v>141</v>
      </c>
      <c r="GD60" s="72">
        <f>MIN(IF(INDEX(Properties!A$1:CB$87,Formula!B60,60)=0,10^6,INDEX(Properties!A$1:CB$87,Formula!B60,60)),IF(INDEX(Properties!A$1:CB$87,Formula!D60,60)=0,10^6,INDEX(Properties!A$1:CB$87,Formula!D60,60)),IF(INDEX(Properties!A$1:CB$87,Formula!F60,60)=0,10^6,INDEX(Properties!A$1:CB$87,Formula!F60,60)),IF(INDEX(Properties!A$1:CB$87,Formula!H60,60)=0,10^6,INDEX(Properties!A$1:CB$87,Formula!H60,60)),IF(INDEX(Properties!A$1:CB$87,Formula!J60,60)=0,10^6,INDEX(Properties!A$1:CB$87,Formula!J60,60)))</f>
        <v>2.674E-2</v>
      </c>
      <c r="GE60" s="72">
        <f t="shared" si="30"/>
        <v>140.97326000000001</v>
      </c>
      <c r="GF60" s="51">
        <f>((Formula!C60)/(Formula!C60+Formula!E60+Formula!G60+Formula!I60+Formula!K60))*(INDEX(Properties!A$1:CB$87,Formula!B60,62))+((Formula!E60)/(Formula!C60+Formula!E60+Formula!G60+Formula!I60+Formula!K60))*(INDEX(Properties!A$1:CB$87,Formula!D60,62))+((Formula!G60)/(Formula!C60+Formula!E60+Formula!G60+Formula!I60+Formula!K60))*(INDEX(Properties!A$1:CB$87,Formula!F60,62))+((Formula!I60)/(Formula!C60+Formula!E60+Formula!G60+Formula!I60+Formula!K60))*(INDEX(Properties!A$1:CB$87,Formula!H60,62))+((Formula!K60)/(Formula!C60+Formula!E60+Formula!G60+Formula!I60+Formula!K60))*(INDEX(Properties!A$1:CB$87,Formula!J60,62))</f>
        <v>2.7984545454545451</v>
      </c>
      <c r="GG60" s="51">
        <f>Formula!C60*(INDEX(Properties!A$1:CB$87,Formula!B60,62))+Formula!E60*(INDEX(Properties!A$1:CB$87,Formula!D60,62))+Formula!G60*(INDEX(Properties!A$1:CB$87,Formula!F60,62))+Formula!I60*(INDEX(Properties!A$1:CB$87,Formula!H60,62))+Formula!K60*(INDEX(Properties!A$1:CB$87,Formula!J60,62))</f>
        <v>30.783000000000001</v>
      </c>
      <c r="GH60" s="51">
        <f>VARP(IF(INDEX(Properties!A$1:CB$87,Formula!B60,62)&lt;&gt;"",INDEX(Properties!A$1:CB$87,Formula!B60,62)),IF(INDEX(Properties!A$1:CB$87,Formula!D60,62)&lt;&gt;"",INDEX(Properties!A$1:CB$87,Formula!D60,62)),IF(INDEX(Properties!A$1:CB$87,Formula!F60,62)&lt;&gt;"",INDEX(Properties!A$1:CB$87,Formula!F60,62)),IF(INDEX(Properties!A$1:CB$87,Formula!H60,62)&lt;&gt;"",INDEX(Properties!A$1:CB$87,Formula!H60,62)),IF(INDEX(Properties!A$1:CB$87,Formula!J60,62)&lt;&gt;"",INDEX(Properties!A$1:CB$87,Formula!J60,62)))</f>
        <v>2.5567262400000015</v>
      </c>
      <c r="GI60" s="51">
        <f>MAX(INDEX(Properties!A$1:CB$87,Formula!B60,62),INDEX(Properties!A$1:CB$87,Formula!D60,62),INDEX(Properties!A$1:CB$87,Formula!F60,62),INDEX(Properties!A$1:CB$87,Formula!H60,62),INDEX(Properties!A$1:CB$87,Formula!J60,62))</f>
        <v>4.47</v>
      </c>
      <c r="GJ60" s="51">
        <f>MIN(IF(INDEX(Properties!A$1:CB$87,Formula!B60,62)=0,10^6,INDEX(Properties!A$1:CB$87,Formula!B60,62)),IF(INDEX(Properties!A$1:CB$87,Formula!D60,62)=0,10^6,INDEX(Properties!A$1:CB$87,Formula!D60,62)),IF(INDEX(Properties!A$1:CB$87,Formula!F60,62)=0,10^6,INDEX(Properties!A$1:CB$87,Formula!F60,62)),IF(INDEX(Properties!A$1:CB$87,Formula!H60,62)=0,10^6,INDEX(Properties!A$1:CB$87,Formula!H60,62)),IF(INDEX(Properties!A$1:CB$87,Formula!J60,62)=0,10^6,INDEX(Properties!A$1:CB$87,Formula!J60,62)))</f>
        <v>1.113</v>
      </c>
      <c r="GK60" s="51">
        <f t="shared" si="31"/>
        <v>3.3569999999999998</v>
      </c>
      <c r="GL60" s="51">
        <f>Formula!P60</f>
        <v>14</v>
      </c>
      <c r="GM60" s="57">
        <f>Formula!O60</f>
        <v>2</v>
      </c>
      <c r="GN60" s="51">
        <f>Formula!N60</f>
        <v>0.1</v>
      </c>
    </row>
    <row r="61" spans="1:196" x14ac:dyDescent="0.3">
      <c r="A61" s="84" t="str">
        <f>Formula!A61</f>
        <v>BaZr(PO4)2</v>
      </c>
      <c r="B61" s="89">
        <f>((Formula!C61)/(Formula!C61+Formula!E61+Formula!G61+Formula!I61+Formula!K61))*(INDEX(Properties!A$1:CB$87,Formula!B61,3))+((Formula!E61)/(Formula!C61+Formula!E61+Formula!G61+Formula!I61+Formula!K61))*(INDEX(Properties!A$1:CB$87,Formula!D61,3))+((Formula!G61)/(Formula!C61+Formula!E61+Formula!G61+Formula!I61+Formula!K61))*(INDEX(Properties!A$1:CB$87,Formula!F61,3))+((Formula!I61)/(Formula!C61+Formula!E61+Formula!G61+Formula!I61+Formula!K61))*(INDEX(Properties!A$1:CB$87,Formula!H61,3))+((Formula!K61)/(Formula!C61+Formula!E61+Formula!G61+Formula!I61+Formula!K61))*(INDEX(Properties!A$1:CB$87,Formula!J61,3))</f>
        <v>34.874476999999999</v>
      </c>
      <c r="C61" s="85">
        <f>Formula!C61*(INDEX(Properties!A$1:CB$87,Formula!B61,3))+Formula!E61*(INDEX(Properties!A$1:CB$87,Formula!D61,3))+Formula!G61*(INDEX(Properties!A$1:CB$87,Formula!F61,3))+Formula!I61*(INDEX(Properties!A$1:CB$87,Formula!H61,3))+Formula!K61*(INDEX(Properties!A$1:CB$87,Formula!J61,3))</f>
        <v>418.49372399999999</v>
      </c>
      <c r="D61" s="85">
        <f>VARP(IF(INDEX(Properties!A$1:CB$87,Formula!B61,3)&lt;&gt;"",INDEX(Properties!A$1:CB$87,Formula!B61,3)),IF(INDEX(Properties!A$1:CB$87,Formula!D61,3)&lt;&gt;"",INDEX(Properties!A$1:CB$87,Formula!D61,3)),IF(INDEX(Properties!A$1:CB$87,Formula!F61,3)&lt;&gt;"",INDEX(Properties!A$1:CB$87,Formula!F61,3)),IF(INDEX(Properties!A$1:CB$87,Formula!H61,3)&lt;&gt;"",INDEX(Properties!A$1:CB$87,Formula!H61,3)),IF(INDEX(Properties!A$1:CB$87,Formula!J61,3)&lt;&gt;"",INDEX(Properties!A$1:CB$87,Formula!J61,3)))</f>
        <v>2642.633013726439</v>
      </c>
      <c r="E61" s="85">
        <f>MAX(INDEX(Properties!A$1:CB$87,Formula!B61,3),INDEX(Properties!A$1:CB$87,Formula!D61,3),INDEX(Properties!A$1:CB$87,Formula!F61,3),INDEX(Properties!A$1:CB$87,Formula!H61,3),INDEX(Properties!A$1:CB$87,Formula!J61,3))</f>
        <v>137.327</v>
      </c>
      <c r="F61" s="85">
        <f>MIN(IF(INDEX(Properties!A$1:CB$87,Formula!B61,3)=0,10^6,INDEX(Properties!A$1:CB$87,Formula!B61,3)),IF(INDEX(Properties!A$1:CB$87,Formula!D61,3)=0,10^6,INDEX(Properties!A$1:CB$87,Formula!D61,3)),IF(INDEX(Properties!A$1:CB$87,Formula!F61,3)=0,10^6,INDEX(Properties!A$1:CB$87,Formula!F61,3)),IF(INDEX(Properties!A$1:CB$87,Formula!H61,3)=0,10^6,INDEX(Properties!A$1:CB$87,Formula!H61,3)),IF(INDEX(Properties!A$1:CB$87,Formula!J61,3)=0,10^6,INDEX(Properties!A$1:CB$87,Formula!J61,3)))</f>
        <v>15.9994</v>
      </c>
      <c r="G61" s="85">
        <f t="shared" si="0"/>
        <v>121.3276</v>
      </c>
      <c r="H61" s="87">
        <f>((Formula!C61)/(Formula!C61+Formula!E61+Formula!G61+Formula!I61+Formula!K61))*(INDEX(Properties!A$1:CB$87,Formula!B61,4))+((Formula!E61)/(Formula!C61+Formula!E61+Formula!G61+Formula!I61+Formula!K61))*(INDEX(Properties!A$1:CB$87,Formula!D61,4))+((Formula!G61)/(Formula!C61+Formula!E61+Formula!G61+Formula!I61+Formula!K61))*(INDEX(Properties!A$1:CB$87,Formula!F61,4))+((Formula!I61)/(Formula!C61+Formula!E61+Formula!G61+Formula!I61+Formula!K61))*(INDEX(Properties!A$1:CB$87,Formula!H61,4))+((Formula!K61)/(Formula!C61+Formula!E61+Formula!G61+Formula!I61+Formula!K61))*(INDEX(Properties!A$1:CB$87,Formula!J61,4))</f>
        <v>15.833333333333332</v>
      </c>
      <c r="I61" s="87">
        <f>Formula!C61*(INDEX(Properties!A$1:CB$87,Formula!B61,4))+Formula!E61*(INDEX(Properties!A$1:CB$87,Formula!D61,4))+Formula!G61*(INDEX(Properties!A$1:CB$87,Formula!F61,4))+Formula!I61*(INDEX(Properties!A$1:CB$87,Formula!H61,4))+Formula!K61*(INDEX(Properties!A$1:CB$87,Formula!J61,4))</f>
        <v>190</v>
      </c>
      <c r="J61" s="87">
        <f>VARP(IF(INDEX(Properties!A$1:CB$87,Formula!B61,4)&lt;&gt;"",INDEX(Properties!A$1:CB$87,Formula!B61,4)),IF(INDEX(Properties!A$1:CB$87,Formula!D61,4)&lt;&gt;"",INDEX(Properties!A$1:CB$87,Formula!D61,4)),IF(INDEX(Properties!A$1:CB$87,Formula!F61,4)&lt;&gt;"",INDEX(Properties!A$1:CB$87,Formula!F61,4)),IF(INDEX(Properties!A$1:CB$87,Formula!H61,4)&lt;&gt;"",INDEX(Properties!A$1:CB$87,Formula!H61,4)),IF(INDEX(Properties!A$1:CB$87,Formula!J61,4)&lt;&gt;"",INDEX(Properties!A$1:CB$87,Formula!J61,4)))</f>
        <v>438.56</v>
      </c>
      <c r="K61" s="87">
        <f>MAX(INDEX(Properties!A$1:CB$87,Formula!B61,4),INDEX(Properties!A$1:CB$87,Formula!D61,4),INDEX(Properties!A$1:CB$87,Formula!F61,4),INDEX(Properties!A$1:CB$87,Formula!H61,4),INDEX(Properties!A$1:CB$87,Formula!J61,4))</f>
        <v>56</v>
      </c>
      <c r="L61" s="87">
        <f>MIN(IF(INDEX(Properties!A$1:CB$87,Formula!B61,4)=0,10^6,INDEX(Properties!A$1:CB$87,Formula!B61,4)),IF(INDEX(Properties!A$1:CB$87,Formula!D61,4)=0,10^6,INDEX(Properties!A$1:CB$87,Formula!D61,4)),IF(INDEX(Properties!A$1:CB$87,Formula!F61,4)=0,10^6,INDEX(Properties!A$1:CB$87,Formula!F61,4)),IF(INDEX(Properties!A$1:CB$87,Formula!H61,4)=0,10^6,INDEX(Properties!A$1:CB$87,Formula!H61,4)),IF(INDEX(Properties!A$1:CB$87,Formula!J61,4)=0,10^6,INDEX(Properties!A$1:CB$87,Formula!J61,4)))</f>
        <v>8</v>
      </c>
      <c r="M61" s="87">
        <f t="shared" si="1"/>
        <v>48</v>
      </c>
      <c r="N61" s="89">
        <f>((Formula!C61)/(Formula!C61+Formula!E61+Formula!G61+Formula!I61+Formula!K61))*(INDEX(Properties!A$1:CB$87,Formula!B61,5))+((Formula!E61)/(Formula!C61+Formula!E61+Formula!G61+Formula!I61+Formula!K61))*(INDEX(Properties!A$1:CB$87,Formula!D61,5))+((Formula!G61)/(Formula!C61+Formula!E61+Formula!G61+Formula!I61+Formula!K61))*(INDEX(Properties!A$1:CB$87,Formula!F61,5))+((Formula!I61)/(Formula!C61+Formula!E61+Formula!G61+Formula!I61+Formula!K61))*(INDEX(Properties!A$1:CB$87,Formula!H61,5))+((Formula!K61)/(Formula!C61+Formula!E61+Formula!G61+Formula!I61+Formula!K61))*(INDEX(Properties!A$1:CB$87,Formula!J61,5))</f>
        <v>2.75</v>
      </c>
      <c r="O61" s="89">
        <f>Formula!C61*(INDEX(Properties!A$1:CB$87,Formula!B61,5))+Formula!E61*(INDEX(Properties!A$1:CB$87,Formula!D61,5))+Formula!G61*(INDEX(Properties!A$1:CB$87,Formula!F61,5))+Formula!I61*(INDEX(Properties!A$1:CB$87,Formula!H61,5))+Formula!K61*(INDEX(Properties!A$1:CB$87,Formula!J61,5))</f>
        <v>33</v>
      </c>
      <c r="P61" s="89">
        <f>VARP(IF(INDEX(Properties!A$1:CB$87,Formula!B61,5)&lt;&gt;"",INDEX(Properties!A$1:CB$87,Formula!B61,5)),IF(INDEX(Properties!A$1:CB$87,Formula!D61,5)&lt;&gt;"",INDEX(Properties!A$1:CB$87,Formula!D61,5)),IF(INDEX(Properties!A$1:CB$87,Formula!F61,5)&lt;&gt;"",INDEX(Properties!A$1:CB$87,Formula!F61,5)),IF(INDEX(Properties!A$1:CB$87,Formula!H61,5)&lt;&gt;"",INDEX(Properties!A$1:CB$87,Formula!H61,5)),IF(INDEX(Properties!A$1:CB$87,Formula!J61,5)&lt;&gt;"",INDEX(Properties!A$1:CB$87,Formula!J61,5)))</f>
        <v>4.5599999999999996</v>
      </c>
      <c r="Q61" s="89">
        <f>MAX(INDEX(Properties!A$1:CB$87,Formula!B61,5),INDEX(Properties!A$1:CB$87,Formula!D61,5),INDEX(Properties!A$1:CB$87,Formula!F61,5),INDEX(Properties!A$1:CB$87,Formula!H61,5),INDEX(Properties!A$1:CB$87,Formula!J61,5))</f>
        <v>6</v>
      </c>
      <c r="R61" s="89">
        <f>MIN(IF(INDEX(Properties!A$1:CB$87,Formula!B61,5)=0,10^6,INDEX(Properties!A$1:CB$87,Formula!B61,5)),IF(INDEX(Properties!A$1:CB$87,Formula!D61,5)=0,10^6,INDEX(Properties!A$1:CB$87,Formula!D61,5)),IF(INDEX(Properties!A$1:CB$87,Formula!F61,5)=0,10^6,INDEX(Properties!A$1:CB$87,Formula!F61,5)),IF(INDEX(Properties!A$1:CB$87,Formula!H61,5)=0,10^6,INDEX(Properties!A$1:CB$87,Formula!H61,5)),IF(INDEX(Properties!A$1:CB$87,Formula!J61,5)=0,10^6,INDEX(Properties!A$1:CB$87,Formula!J61,5)))</f>
        <v>2</v>
      </c>
      <c r="S61" s="89">
        <f t="shared" si="2"/>
        <v>4</v>
      </c>
      <c r="T61" s="60">
        <f>((Formula!C61)/(Formula!C61+Formula!E61+Formula!G61+Formula!I61+Formula!K61))*(INDEX(Properties!A$1:CB$87,Formula!B61,6))+((Formula!E61)/(Formula!C61+Formula!E61+Formula!G61+Formula!I61+Formula!K61))*(INDEX(Properties!A$1:CB$87,Formula!D61,6))+((Formula!G61)/(Formula!C61+Formula!E61+Formula!G61+Formula!I61+Formula!K61))*(INDEX(Properties!A$1:CB$87,Formula!F61,6))+((Formula!I61)/(Formula!C61+Formula!E61+Formula!G61+Formula!I61+Formula!K61))*(INDEX(Properties!A$1:CB$87,Formula!H61,6))+((Formula!K61)/(Formula!C61+Formula!E61+Formula!G61+Formula!I61+Formula!K61))*(INDEX(Properties!A$1:CB$87,Formula!J61,6))</f>
        <v>13.666666666666666</v>
      </c>
      <c r="U61" s="60">
        <f>Formula!C61*(INDEX(Properties!A$1:CB$87,Formula!B61,6))+Formula!E61*(INDEX(Properties!A$1:CB$87,Formula!D61,6))+Formula!G61*(INDEX(Properties!A$1:CB$87,Formula!F61,6))+Formula!I61*(INDEX(Properties!A$1:CB$87,Formula!H61,6))+Formula!K61*(INDEX(Properties!A$1:CB$87,Formula!J61,6))</f>
        <v>164</v>
      </c>
      <c r="V61" s="89">
        <f>VARP(IF(INDEX(Properties!A$1:CB$87,Formula!B61,6)&lt;&gt;"",INDEX(Properties!A$1:CB$87,Formula!B61,6)),IF(INDEX(Properties!A$1:CB$87,Formula!D61,6)&lt;&gt;"",INDEX(Properties!A$1:CB$87,Formula!D61,6)),IF(INDEX(Properties!A$1:CB$87,Formula!F61,6)&lt;&gt;"",INDEX(Properties!A$1:CB$87,Formula!F61,6)),IF(INDEX(Properties!A$1:CB$87,Formula!H61,6)&lt;&gt;"",INDEX(Properties!A$1:CB$87,Formula!H61,6)),IF(INDEX(Properties!A$1:CB$87,Formula!J61,6)&lt;&gt;"",INDEX(Properties!A$1:CB$87,Formula!J61,6)))</f>
        <v>45.44</v>
      </c>
      <c r="W61" s="60">
        <f>MAX(INDEX(Properties!A$1:CB$87,Formula!B61,6),INDEX(Properties!A$1:CB$87,Formula!D61,6),INDEX(Properties!A$1:CB$87,Formula!F61,6),INDEX(Properties!A$1:CB$87,Formula!H61,4),INDEX(Properties!A$1:CB$87,Formula!J61,6))</f>
        <v>15</v>
      </c>
      <c r="X61" s="60">
        <f>MIN(IF(INDEX(Properties!A$1:CB$87,Formula!B61,6)=0,10^6,INDEX(Properties!A$1:CB$87,Formula!B61,6)),IF(INDEX(Properties!A$1:CB$87,Formula!D61,6)=0,10^6,INDEX(Properties!A$1:CB$87,Formula!D61,6)),IF(INDEX(Properties!A$1:CB$87,Formula!F61,6)=0,10^6,INDEX(Properties!A$1:CB$87,Formula!F61,6)),IF(INDEX(Properties!A$1:CB$87,Formula!H61,6)=0,10^6,INDEX(Properties!A$1:CB$87,Formula!H61,6)),IF(INDEX(Properties!A$1:CB$87,Formula!J61,6)=0,10^6,INDEX(Properties!A$1:CB$87,Formula!J61,6)))</f>
        <v>2</v>
      </c>
      <c r="Y61" s="60">
        <f t="shared" si="3"/>
        <v>13</v>
      </c>
      <c r="Z61" s="72">
        <f>((Formula!C61)/(Formula!C61+Formula!E61+Formula!G61+Formula!I61+Formula!K61))*(INDEX(Properties!A$1:CB$87,Formula!B61,9))+((Formula!E61)/(Formula!C61+Formula!E61+Formula!G61+Formula!I61+Formula!K61))*(INDEX(Properties!A$1:CB$87,Formula!D61,9))+((Formula!G61)/(Formula!C61+Formula!E61+Formula!G61+Formula!I61+Formula!K61))*(INDEX(Properties!A$1:CB$87,Formula!F61,9))+((Formula!I61)/(Formula!C61+Formula!E61+Formula!G61+Formula!I61+Formula!K61))*(INDEX(Properties!A$1:CB$87,Formula!H61,9))+((Formula!K61)/(Formula!C61+Formula!E61+Formula!G61+Formula!I61+Formula!K61))*(INDEX(Properties!A$1:CB$87,Formula!J61,9))</f>
        <v>76.25</v>
      </c>
      <c r="AA61" s="72">
        <f>Formula!C61*(INDEX(Properties!A$1:CB$87,Formula!B61,9))+Formula!E61*(INDEX(Properties!A$1:CB$87,Formula!D61,9))+Formula!G61*(INDEX(Properties!A$1:CB$87,Formula!F61,9))+Formula!I61*(INDEX(Properties!A$1:CB$87,Formula!H61,9))+Formula!K61*(INDEX(Properties!A$1:CB$87,Formula!J61,9))</f>
        <v>915</v>
      </c>
      <c r="AB61" s="72">
        <f>VARP(IF(INDEX(Properties!A$1:CB$87,Formula!B61,9)&lt;&gt;"",INDEX(Properties!A$1:CB$87,Formula!B61,9)),IF(INDEX(Properties!A$1:CB$87,Formula!D61,9)&lt;&gt;"",INDEX(Properties!A$1:CB$87,Formula!D61,9)),IF(INDEX(Properties!A$1:CB$87,Formula!F61,9)&lt;&gt;"",INDEX(Properties!A$1:CB$87,Formula!F61,9)),IF(INDEX(Properties!A$1:CB$87,Formula!H61,9)&lt;&gt;"",INDEX(Properties!A$1:CB$87,Formula!H61,9)),IF(INDEX(Properties!A$1:CB$87,Formula!J61,9)&lt;&gt;"",INDEX(Properties!A$1:CB$87,Formula!J61,9)))</f>
        <v>1305.8399999999999</v>
      </c>
      <c r="AC61" s="72">
        <f>MAX(INDEX(Properties!A$1:CB$87,Formula!B61,9),INDEX(Properties!A$1:CB$87,Formula!D61,9),INDEX(Properties!A$1:CB$87,Formula!F61,9),INDEX(Properties!A$1:CB$87,Formula!H61,9),INDEX(Properties!A$1:CB$87,Formula!J61,9))</f>
        <v>87</v>
      </c>
      <c r="AD61" s="72">
        <f>MIN(IF(INDEX(Properties!A$1:CB$87,Formula!B61,9)=0,10^6,INDEX(Properties!A$1:CB$87,Formula!B61,9)),IF(INDEX(Properties!A$1:CB$87,Formula!D61,9)=0,10^6,INDEX(Properties!A$1:CB$87,Formula!D61,9)),IF(INDEX(Properties!A$1:CB$87,Formula!F61,9)=0,10^6,INDEX(Properties!A$1:CB$87,Formula!F61,9)),IF(INDEX(Properties!A$1:CB$87,Formula!H61,9)=0,10^6,INDEX(Properties!A$1:CB$87,Formula!H61,9)),IF(INDEX(Properties!A$1:CB$87,Formula!J61,9)=0,10^6,INDEX(Properties!A$1:CB$87,Formula!J61,9)))</f>
        <v>9</v>
      </c>
      <c r="AE61" s="72">
        <f t="shared" si="4"/>
        <v>78</v>
      </c>
      <c r="AF61" s="51">
        <f>((Formula!C61)/(Formula!C61+Formula!E61+Formula!G61+Formula!I61+Formula!K61))*(INDEX(Properties!A$1:CB$87,Formula!B61,10))+((Formula!E61)/(Formula!C61+Formula!E61+Formula!G61+Formula!I61+Formula!K61))*(INDEX(Properties!A$1:CB$87,Formula!D61,10))+((Formula!G61)/(Formula!C61+Formula!E61+Formula!G61+Formula!I61+Formula!K61))*(INDEX(Properties!A$1:CB$87,Formula!F61,10))+((Formula!I61)/(Formula!C61+Formula!E61+Formula!G61+Formula!I61+Formula!K61))*(INDEX(Properties!A$1:CB$87,Formula!H61,10))+((Formula!K61)/(Formula!C61+Formula!E61+Formula!G61+Formula!I61+Formula!K61))*(INDEX(Properties!A$1:CB$87,Formula!J61,10))</f>
        <v>6.3333333333333321</v>
      </c>
      <c r="AG61" s="51">
        <f>Formula!C61*(INDEX(Properties!A$1:CB$87,Formula!B61,10))+Formula!E61*(INDEX(Properties!A$1:CB$87,Formula!D61,10))+Formula!G61*(INDEX(Properties!A$1:CB$87,Formula!F61,10))+Formula!I61*(INDEX(Properties!A$1:CB$87,Formula!H61,10))+Formula!K61*(INDEX(Properties!A$1:CB$87,Formula!J61,10))</f>
        <v>76</v>
      </c>
      <c r="AH61" s="51">
        <f>VARP(IF(INDEX(Properties!A$1:CB$87,Formula!B61,10)&lt;&gt;"",INDEX(Properties!A$1:CB$87,Formula!B61,10)),IF(INDEX(Properties!A$1:CB$87,Formula!D61,10)&lt;&gt;"",INDEX(Properties!A$1:CB$87,Formula!D61,10)),IF(INDEX(Properties!A$1:CB$87,Formula!F61,10)&lt;&gt;"",INDEX(Properties!A$1:CB$87,Formula!F61,10)),IF(INDEX(Properties!A$1:CB$87,Formula!H61,10)&lt;&gt;"",INDEX(Properties!A$1:CB$87,Formula!H61,10)),IF(INDEX(Properties!A$1:CB$87,Formula!J61,10)&lt;&gt;"",INDEX(Properties!A$1:CB$87,Formula!J61,10)))</f>
        <v>7.6</v>
      </c>
      <c r="AI61" s="51">
        <f>MAX(INDEX(Properties!A$1:CB$87,Formula!B61,10),INDEX(Properties!A$1:CB$87,Formula!D61,10),INDEX(Properties!A$1:CB$87,Formula!F61,10),INDEX(Properties!A$1:CB$87,Formula!H61,10),INDEX(Properties!A$1:CB$87,Formula!J61,10))</f>
        <v>7</v>
      </c>
      <c r="AJ61" s="51">
        <f>MIN(IF(INDEX(Properties!A$1:CB$87,Formula!B61,10)=0,10^6,INDEX(Properties!A$1:CB$87,Formula!B61,10)),IF(INDEX(Properties!A$1:CB$87,Formula!D61,10)=0,10^6,INDEX(Properties!A$1:CB$87,Formula!D61,10)),IF(INDEX(Properties!A$1:CB$87,Formula!F61,10)=0,10^6,INDEX(Properties!A$1:CB$87,Formula!F61,10)),IF(INDEX(Properties!A$1:CB$87,Formula!H61,10)=0,10^6,INDEX(Properties!A$1:CB$87,Formula!H61,10)),IF(INDEX(Properties!A$1:CB$87,Formula!J61,10)=0,10^6,INDEX(Properties!A$1:CB$87,Formula!J61,10)))</f>
        <v>2</v>
      </c>
      <c r="AK61" s="51">
        <f t="shared" si="5"/>
        <v>5</v>
      </c>
      <c r="AL61" s="57">
        <f>((Formula!C61)/(Formula!C61+Formula!E61+Formula!G61+Formula!I61+Formula!K61))*(INDEX(Properties!A$1:CB$87,Formula!B61,11))+((Formula!E61)/(Formula!C61+Formula!E61+Formula!G61+Formula!I61+Formula!K61))*(INDEX(Properties!A$1:CB$87,Formula!D61,11))+((Formula!G61)/(Formula!C61+Formula!E61+Formula!G61+Formula!I61+Formula!K61))*(INDEX(Properties!A$1:CB$87,Formula!F61,11))+((Formula!I61)/(Formula!C61+Formula!E61+Formula!G61+Formula!I61+Formula!K61))*(INDEX(Properties!A$1:CB$87,Formula!H61,11))+((Formula!K61)/(Formula!C61+Formula!E61+Formula!G61+Formula!I61+Formula!K61))*(INDEX(Properties!A$1:CB$87,Formula!J61,11))</f>
        <v>2</v>
      </c>
      <c r="AM61" s="57">
        <f>Formula!C61*(INDEX(Properties!A$1:CB$87,Formula!B61,11))+Formula!E61*(INDEX(Properties!A$1:CB$87,Formula!D61,11))+Formula!G61*(INDEX(Properties!A$1:CB$87,Formula!F61,11))+Formula!I61*(INDEX(Properties!A$1:CB$87,Formula!H61,11))+Formula!K61*(INDEX(Properties!A$1:CB$87,Formula!J61,11))</f>
        <v>24</v>
      </c>
      <c r="AN61" s="57">
        <f>VARP(IF(INDEX(Properties!A$1:CB$87,Formula!B61,11)&lt;&gt;"",INDEX(Properties!A$1:CB$87,Formula!B61,11)),IF(INDEX(Properties!A$1:CB$87,Formula!D61,11)&lt;&gt;"",INDEX(Properties!A$1:CB$87,Formula!D61,11)),IF(INDEX(Properties!A$1:CB$87,Formula!F61,11)&lt;&gt;"",INDEX(Properties!A$1:CB$87,Formula!F61,11)),IF(INDEX(Properties!A$1:CB$87,Formula!H61,11)&lt;&gt;"",INDEX(Properties!A$1:CB$87,Formula!H61,11)),IF(INDEX(Properties!A$1:CB$87,Formula!J61,11)&lt;&gt;"",INDEX(Properties!A$1:CB$87,Formula!J61,11)))</f>
        <v>0.64</v>
      </c>
      <c r="AO61" s="57">
        <f>MAX(INDEX(Properties!A$1:CB$87,Formula!B61,11),INDEX(Properties!A$1:CB$87,Formula!D61,11),INDEX(Properties!A$1:CB$87,Formula!F61,11),INDEX(Properties!A$1:CB$87,Formula!H61,11),INDEX(Properties!A$1:CB$87,Formula!J61,11))</f>
        <v>2</v>
      </c>
      <c r="AP61" s="57">
        <f>MIN(IF(Formula!B61=87,10^6,INDEX(Properties!A$1:CB$87,Formula!B61,11)),IF((Formula!D61)=87,10^6,INDEX(Properties!A$1:CB$87,Formula!D61,11)),IF((Formula!F61)=87,10^6,INDEX(Properties!A$1:CB$87,Formula!F61,11)),IF((Formula!H61)=87,10^6,INDEX(Properties!A$1:CB$87,Formula!H61,11)),IF(Formula!J61=87,10^6,INDEX(Properties!A$1:CB$87,Formula!J61,11)))</f>
        <v>2</v>
      </c>
      <c r="AQ61" s="57">
        <f t="shared" si="6"/>
        <v>0</v>
      </c>
      <c r="AR61" s="78">
        <f>((Formula!C61)/(Formula!C61+Formula!E61+Formula!G61+Formula!I61+Formula!K61))*(INDEX(Properties!A$1:CB$87,Formula!B61,12))+((Formula!E61)/(Formula!C61+Formula!E61+Formula!G61+Formula!I61+Formula!K61))*(INDEX(Properties!A$1:CB$87,Formula!D61,12))+((Formula!G61)/(Formula!C61+Formula!E61+Formula!G61+Formula!I61+Formula!K61))*(INDEX(Properties!A$1:CB$87,Formula!F61,12))+((Formula!I61)/(Formula!C61+Formula!E61+Formula!G61+Formula!I61+Formula!K61))*(INDEX(Properties!A$1:CB$87,Formula!H61,12))+((Formula!K61)/(Formula!C61+Formula!E61+Formula!G61+Formula!I61+Formula!K61))*(INDEX(Properties!A$1:CB$87,Formula!J61,12))</f>
        <v>3.1666666666666665</v>
      </c>
      <c r="AS61" s="78">
        <f>Formula!C61*(INDEX(Properties!A$1:CB$87,Formula!B61,12))+Formula!E61*(INDEX(Properties!A$1:CB$87,Formula!D61,12))+Formula!G61*(INDEX(Properties!A$1:CB$87,Formula!F61,12))+Formula!I61*(INDEX(Properties!A$1:CB$87,Formula!H61,12))+Formula!K61*(INDEX(Properties!A$1:CB$87,Formula!J61,12))</f>
        <v>38</v>
      </c>
      <c r="AT61" s="78">
        <f>VARP(IF(INDEX(Properties!A$1:CB$87,Formula!B61,12)&lt;&gt;"",INDEX(Properties!A$1:CB$87,Formula!B61,12)),IF(INDEX(Properties!A$1:CB$87,Formula!D61,12)&lt;&gt;"",INDEX(Properties!A$1:CB$87,Formula!D61,12)),IF(INDEX(Properties!A$1:CB$87,Formula!F61,12)&lt;&gt;"",INDEX(Properties!A$1:CB$87,Formula!F61,12)),IF(INDEX(Properties!A$1:CB$87,Formula!H61,12)&lt;&gt;"",INDEX(Properties!A$1:CB$87,Formula!H61,12)),IF(INDEX(Properties!A$1:CB$87,Formula!J61,12)&lt;&gt;"",INDEX(Properties!A$1:CB$87,Formula!J61,12)))</f>
        <v>3.04</v>
      </c>
      <c r="AU61" s="78">
        <f>MAX(INDEX(Properties!A$1:CB$87,Formula!B61,12),INDEX(Properties!A$1:CB$87,Formula!D61,12),INDEX(Properties!A$1:CB$87,Formula!F61,12),INDEX(Properties!A$1:CB$87,Formula!H61,12),INDEX(Properties!A$1:CB$87,Formula!J61,12))</f>
        <v>4</v>
      </c>
      <c r="AV61" s="78">
        <f>MIN(IF(Formula!B61=87,10^6,INDEX(Properties!A$1:CB$87,Formula!B61,12)),IF((Formula!D61)=87,10^6,INDEX(Properties!A$1:CB$87,Formula!D61,12)),IF((Formula!F61)=87,10^6,INDEX(Properties!A$1:CB$87,Formula!F61,12)),IF((Formula!H61)=87,10^6,INDEX(Properties!A$1:CB$87,Formula!H61,12)),IF(Formula!J61=87,10^6,INDEX(Properties!A$1:CB$87,Formula!J61,12)))</f>
        <v>0</v>
      </c>
      <c r="AW61" s="78">
        <f t="shared" si="7"/>
        <v>4</v>
      </c>
      <c r="AX61" s="45">
        <f>((Formula!C61)/(Formula!C61+Formula!E61+Formula!G61+Formula!I61+Formula!K61))*(INDEX(Properties!A$1:CB$87,Formula!B61,13))+((Formula!E61)/(Formula!C61+Formula!E61+Formula!G61+Formula!I61+Formula!K61))*(INDEX(Properties!A$1:CB$87,Formula!D61,13))+((Formula!G61)/(Formula!C61+Formula!E61+Formula!G61+Formula!I61+Formula!K61))*(INDEX(Properties!A$1:CB$87,Formula!F61,13))+((Formula!I61)/(Formula!C61+Formula!E61+Formula!G61+Formula!I61+Formula!K61))*(INDEX(Properties!A$1:CB$87,Formula!H61,13))+((Formula!K61)/(Formula!C61+Formula!E61+Formula!G61+Formula!I61+Formula!K61))*(INDEX(Properties!A$1:CB$87,Formula!J61,13))</f>
        <v>0.16666666666666666</v>
      </c>
      <c r="AY61" s="45">
        <f>Formula!C61*(INDEX(Properties!A$1:CB$87,Formula!B61,13))+Formula!E61*(INDEX(Properties!A$1:CB$87,Formula!D61,13))+Formula!G61*(INDEX(Properties!A$1:CB$87,Formula!F61,13))+Formula!I61*(INDEX(Properties!A$1:CB$87,Formula!H61,13))+Formula!K61*(INDEX(Properties!A$1:CB$87,Formula!J61,13))</f>
        <v>2</v>
      </c>
      <c r="AZ61" s="45">
        <f>VARP(IF(INDEX(Properties!A$1:CB$87,Formula!B61,13)&lt;&gt;"",INDEX(Properties!A$1:CB$87,Formula!B61,13)),IF(INDEX(Properties!A$1:CB$87,Formula!D61,13)&lt;&gt;"",INDEX(Properties!A$1:CB$87,Formula!D61,13)),IF(INDEX(Properties!A$1:CB$87,Formula!F61,13)&lt;&gt;"",INDEX(Properties!A$1:CB$87,Formula!F61,13)),IF(INDEX(Properties!A$1:CB$87,Formula!H61,13)&lt;&gt;"",INDEX(Properties!A$1:CB$87,Formula!H61,13)),IF(INDEX(Properties!A$1:CB$87,Formula!J61,13)&lt;&gt;"",INDEX(Properties!A$1:CB$87,Formula!J61,13)))</f>
        <v>0.64</v>
      </c>
      <c r="BA61" s="45">
        <f>MAX(INDEX(Properties!A$1:CB$87,Formula!B61,13),INDEX(Properties!A$1:CB$87,Formula!D61,13),INDEX(Properties!A$1:CB$87,Formula!F61,13),INDEX(Properties!A$1:CB$87,Formula!H61,13),INDEX(Properties!A$1:CB$87,Formula!J61,13))</f>
        <v>2</v>
      </c>
      <c r="BB61" s="45">
        <f>MIN(IF(Formula!B61=87,10^6,INDEX(Properties!A$1:CB$87,Formula!B61,13)),IF((Formula!D61)=87,10^6,INDEX(Properties!A$1:CB$87,Formula!D61,13)),IF((Formula!F61)=87,10^6,INDEX(Properties!A$1:CB$87,Formula!F61,13)),IF((Formula!H61)=87,10^6,INDEX(Properties!A$1:CB$87,Formula!H61,13)),IF(Formula!J61=87,10^6,INDEX(Properties!A$1:CB$87,Formula!J61,13)))</f>
        <v>0</v>
      </c>
      <c r="BC61" s="45">
        <f t="shared" si="8"/>
        <v>2</v>
      </c>
      <c r="BD61" s="63">
        <f>((Formula!C61)/(Formula!C61+Formula!E61+Formula!G61+Formula!I61+Formula!K61))*(INDEX(Properties!A$1:CB$87,Formula!B61,14))+((Formula!E61)/(Formula!C61+Formula!E61+Formula!G61+Formula!I61+Formula!K61))*(INDEX(Properties!A$1:CB$87,Formula!D61,14))+((Formula!G61)/(Formula!C61+Formula!E61+Formula!G61+Formula!I61+Formula!K61))*(INDEX(Properties!A$1:CB$87,Formula!F61,14))+((Formula!I61)/(Formula!C61+Formula!E61+Formula!G61+Formula!I61+Formula!K61))*(INDEX(Properties!A$1:CB$87,Formula!H61,14))+((Formula!K61)/(Formula!C61+Formula!E61+Formula!G61+Formula!I61+Formula!K61))*(INDEX(Properties!A$1:CB$87,Formula!J61,14))</f>
        <v>0</v>
      </c>
      <c r="BE61" s="63">
        <f>Formula!C61*(INDEX(Properties!A$1:CB$87,Formula!B61,14))+Formula!E61*(INDEX(Properties!A$1:CB$87,Formula!D61,14))+Formula!G61*(INDEX(Properties!A$1:CB$87,Formula!F61,14))+Formula!I61*(INDEX(Properties!A$1:CB$87,Formula!H61,14))+Formula!K61*(INDEX(Properties!A$1:CB$87,Formula!J61,14))</f>
        <v>0</v>
      </c>
      <c r="BF61" s="63">
        <f>VARP(IF(INDEX(Properties!A$1:CB$87,Formula!B61,14)&lt;&gt;"",INDEX(Properties!A$1:CB$87,Formula!B61,14)),IF(INDEX(Properties!A$1:CB$87,Formula!D61,14)&lt;&gt;"",INDEX(Properties!A$1:CB$87,Formula!D61,14)),IF(INDEX(Properties!A$1:CB$87,Formula!F61,14)&lt;&gt;"",INDEX(Properties!A$1:CB$87,Formula!F61,14)),IF(INDEX(Properties!A$1:CB$87,Formula!H61,14)&lt;&gt;"",INDEX(Properties!A$1:CB$87,Formula!H61,14)),IF(INDEX(Properties!A$1:CB$87,Formula!J61,14)&lt;&gt;"",INDEX(Properties!A$1:CB$87,Formula!J61,14)))</f>
        <v>0</v>
      </c>
      <c r="BG61" s="63">
        <f>MAX(INDEX(Properties!A$1:CB$87,Formula!B61,14),INDEX(Properties!A$1:CB$87,Formula!D61,14),INDEX(Properties!A$1:CB$87,Formula!F61,14),INDEX(Properties!A$1:CB$87,Formula!H61,14),INDEX(Properties!A$1:CB$87,Formula!J61,14))</f>
        <v>0</v>
      </c>
      <c r="BH61" s="63">
        <f>MIN(IF(Formula!B61=87,10^6,INDEX(Properties!A$1:CB$87,Formula!B61,14)),IF((Formula!D61)=87,10^6,INDEX(Properties!A$1:CB$87,Formula!D61,14)),IF((Formula!F61)=87,10^6,INDEX(Properties!A$1:CB$87,Formula!F61,14)),IF((Formula!H61)=87,10^6,INDEX(Properties!A$1:CB$87,Formula!H61,14)),IF(Formula!J61=87,10^6,INDEX(Properties!A$1:CB$87,Formula!J61,14)))</f>
        <v>0</v>
      </c>
      <c r="BI61" s="63">
        <f t="shared" si="9"/>
        <v>0</v>
      </c>
      <c r="BJ61" s="75">
        <f>((Formula!C61)/(Formula!C61+Formula!E61+Formula!G61+Formula!I61+Formula!K61))*(INDEX(Properties!A$1:CB$87,Formula!B61,19))+((Formula!E61)/(Formula!C61+Formula!E61+Formula!G61+Formula!I61+Formula!K61))*(INDEX(Properties!A$1:CB$87,Formula!D61,19))+((Formula!G61)/(Formula!C61+Formula!E61+Formula!G61+Formula!I61+Formula!K61))*(INDEX(Properties!A$1:CB$87,Formula!F61,19))+((Formula!I61)/(Formula!C61+Formula!E61+Formula!G61+Formula!I61+Formula!K61))*(INDEX(Properties!A$1:CB$87,Formula!H61,19))+((Formula!K61)/(Formula!C61+Formula!E61+Formula!G61+Formula!I61+Formula!K61))*(INDEX(Properties!A$1:CB$87,Formula!J61,19))</f>
        <v>5.333333333333333</v>
      </c>
      <c r="BK61" s="75">
        <f>Formula!C61*(INDEX(Properties!A$1:CB$87,Formula!B61,19))+Formula!E61*(INDEX(Properties!A$1:CB$87,Formula!D61,19))+Formula!G61*(INDEX(Properties!A$1:CB$87,Formula!F61,19))+Formula!I61*(INDEX(Properties!A$1:CB$87,Formula!H61,19))+Formula!K61*(INDEX(Properties!A$1:CB$87,Formula!J61,19))</f>
        <v>64</v>
      </c>
      <c r="BL61" s="75">
        <f>VARP(IF(INDEX(Properties!A$1:CB$87,Formula!B61,19)&lt;&gt;"",INDEX(Properties!A$1:CB$87,Formula!B61,19)),IF(INDEX(Properties!A$1:CB$87,Formula!D61,19)&lt;&gt;"",INDEX(Properties!A$1:CB$87,Formula!D61,19)),IF(INDEX(Properties!A$1:CB$87,Formula!F61,19)&lt;&gt;"",INDEX(Properties!A$1:CB$87,Formula!F61,19)),IF(INDEX(Properties!A$1:CB$87,Formula!H61,19)&lt;&gt;"",INDEX(Properties!A$1:CB$87,Formula!H61,19)),IF(INDEX(Properties!A$1:CB$87,Formula!J61,19)&lt;&gt;"",INDEX(Properties!A$1:CB$87,Formula!J61,19)))</f>
        <v>4.6399999999999997</v>
      </c>
      <c r="BM61" s="75">
        <f>MAX(INDEX(Properties!A$1:CB$87,Formula!B61,19),INDEX(Properties!A$1:CB$87,Formula!D61,19),INDEX(Properties!A$1:CB$87,Formula!F61,19),INDEX(Properties!A$1:CB$87,Formula!H61,19),INDEX(Properties!A$1:CB$87,Formula!J61,19))</f>
        <v>6</v>
      </c>
      <c r="BN61" s="75">
        <f>MIN(IF(INDEX(Properties!A$1:CB$87,Formula!B61,19)=0,10^6,INDEX(Properties!A$1:CB$87,Formula!B61,19)),IF(INDEX(Properties!A$1:CB$87,Formula!D61,19)=0,10^6,INDEX(Properties!A$1:CB$87,Formula!D61,19)),IF(INDEX(Properties!A$1:CB$87,Formula!F61,19)=0,10^6,INDEX(Properties!A$1:CB$87,Formula!F61,19)),IF(INDEX(Properties!A$1:CB$87,Formula!H61,19)=0,10^6,INDEX(Properties!A$1:CB$87,Formula!H61,19)),IF(INDEX(Properties!A$1:CB$87,Formula!J61,19)=0,10^6,INDEX(Properties!A$1:CB$87,Formula!J61,19)))</f>
        <v>2</v>
      </c>
      <c r="BO61" s="75">
        <f t="shared" si="10"/>
        <v>4</v>
      </c>
      <c r="BP61" s="48">
        <f>((Formula!C61)/(Formula!C61+Formula!E61+Formula!G61+Formula!I61+Formula!K61))*(INDEX(Properties!A$1:CB$87,Formula!B61,20))+((Formula!E61)/(Formula!C61+Formula!E61+Formula!G61+Formula!I61+Formula!K61))*(INDEX(Properties!A$1:CB$87,Formula!D61,20))+((Formula!G61)/(Formula!C61+Formula!E61+Formula!G61+Formula!I61+Formula!K61))*(INDEX(Properties!A$1:CB$87,Formula!F61,20))+((Formula!I61)/(Formula!C61+Formula!E61+Formula!G61+Formula!I61+Formula!K61))*(INDEX(Properties!A$1:CB$87,Formula!H61,20))+((Formula!K61)/(Formula!C61+Formula!E61+Formula!G61+Formula!I61+Formula!K61))*(INDEX(Properties!A$1:CB$87,Formula!J61,20))</f>
        <v>5.1666666666666661</v>
      </c>
      <c r="BQ61" s="48">
        <f>Formula!C61*(INDEX(Properties!A$1:CB$87,Formula!B61,20))+Formula!E61*(INDEX(Properties!A$1:CB$87,Formula!D61,20))+Formula!G61*(INDEX(Properties!A$1:CB$87,Formula!F61,20))+Formula!I61*(INDEX(Properties!A$1:CB$87,Formula!H61,20))+Formula!K61*(INDEX(Properties!A$1:CB$87,Formula!J61,20))</f>
        <v>62</v>
      </c>
      <c r="BR61" s="48">
        <f>VARP(IF(INDEX(Properties!A$1:CB$87,Formula!B61,20)&lt;&gt;"",INDEX(Properties!A$1:CB$87,Formula!B61,20)),IF(INDEX(Properties!A$1:CB$87,Formula!D61,20)&lt;&gt;"",INDEX(Properties!A$1:CB$87,Formula!D61,20)),IF(INDEX(Properties!A$1:CB$87,Formula!F61,20)&lt;&gt;"",INDEX(Properties!A$1:CB$87,Formula!F61,20)),IF(INDEX(Properties!A$1:CB$87,Formula!H61,20)&lt;&gt;"",INDEX(Properties!A$1:CB$87,Formula!H61,20)),IF(INDEX(Properties!A$1:CB$87,Formula!J61,20)&lt;&gt;"",INDEX(Properties!A$1:CB$87,Formula!J61,20)))</f>
        <v>4.8</v>
      </c>
      <c r="BS61" s="48">
        <f>MAX(INDEX(Properties!A$1:CB$87,Formula!B61,20),INDEX(Properties!A$1:CB$87,Formula!D61,20),INDEX(Properties!A$1:CB$87,Formula!F61,20),INDEX(Properties!A$1:CB$87,Formula!H61,20),INDEX(Properties!A$1:CB$87,Formula!J61,20))</f>
        <v>6</v>
      </c>
      <c r="BT61" s="48">
        <f>MIN(IF(INDEX(Properties!A$1:CB$87,Formula!B61,20)=0,10^6,INDEX(Properties!A$1:CB$87,Formula!B61,20)),IF(INDEX(Properties!A$1:CB$87,Formula!D61,20)=0,10^6,INDEX(Properties!A$1:CB$87,Formula!D61,20)),IF(INDEX(Properties!A$1:CB$87,Formula!F61,20)=0,10^6,INDEX(Properties!A$1:CB$87,Formula!F61,20)),IF(INDEX(Properties!A$1:CB$87,Formula!H61,20)=0,10^6,INDEX(Properties!A$1:CB$87,Formula!H61,20)),IF(INDEX(Properties!A$1:CB$87,Formula!J61,20)=0,10^6,INDEX(Properties!A$1:CB$87,Formula!J61,20)))</f>
        <v>2</v>
      </c>
      <c r="BU61" s="48">
        <f t="shared" si="11"/>
        <v>4</v>
      </c>
      <c r="BV61" s="66">
        <f>((Formula!C61)/(Formula!C61+Formula!E61+Formula!G61+Formula!I61+Formula!K61))*(INDEX(Properties!A$1:CB$87,Formula!B61,21))+((Formula!E61)/(Formula!C61+Formula!E61+Formula!G61+Formula!I61+Formula!K61))*(INDEX(Properties!A$1:CB$87,Formula!D61,21))+((Formula!G61)/(Formula!C61+Formula!E61+Formula!G61+Formula!I61+Formula!K61))*(INDEX(Properties!A$1:CB$87,Formula!F61,21))+((Formula!I61)/(Formula!C61+Formula!E61+Formula!G61+Formula!I61+Formula!K61))*(INDEX(Properties!A$1:CB$87,Formula!H61,21))+((Formula!K61)/(Formula!C61+Formula!E61+Formula!G61+Formula!I61+Formula!K61))*(INDEX(Properties!A$1:CB$87,Formula!J61,21))</f>
        <v>5.1666666666666661</v>
      </c>
      <c r="BW61" s="66">
        <f>Formula!C61*(INDEX(Properties!A$1:CB$87,Formula!B61,21))+Formula!E61*(INDEX(Properties!A$1:CB$87,Formula!D61,21))+Formula!G61*(INDEX(Properties!A$1:CB$87,Formula!F61,21))+Formula!I61*(INDEX(Properties!A$1:CB$87,Formula!H61,21))+Formula!K61*(INDEX(Properties!A$1:CB$87,Formula!J61,21))</f>
        <v>62</v>
      </c>
      <c r="BX61" s="66">
        <f>VARP(IF(INDEX(Properties!A$1:CB$87,Formula!B61,21)&lt;&gt;"",INDEX(Properties!A$1:CB$87,Formula!B61,21)),IF(INDEX(Properties!A$1:CB$87,Formula!D61,21)&lt;&gt;"",INDEX(Properties!A$1:CB$87,Formula!D61,21)),IF(INDEX(Properties!A$1:CB$87,Formula!F61,21)&lt;&gt;"",INDEX(Properties!A$1:CB$87,Formula!F61,21)),IF(INDEX(Properties!A$1:CB$87,Formula!H61,21)&lt;&gt;"",INDEX(Properties!A$1:CB$87,Formula!H61,21)),IF(INDEX(Properties!A$1:CB$87,Formula!J61,21)&lt;&gt;"",INDEX(Properties!A$1:CB$87,Formula!J61,21)))</f>
        <v>4.8</v>
      </c>
      <c r="BY61" s="66">
        <f>MAX(INDEX(Properties!A$1:CB$87,Formula!B61,21),INDEX(Properties!A$1:CB$87,Formula!D61,21),INDEX(Properties!A$1:CB$87,Formula!F61,21),INDEX(Properties!A$1:CB$87,Formula!H61,21),INDEX(Properties!A$1:CB$87,Formula!J61,21))</f>
        <v>6</v>
      </c>
      <c r="BZ61" s="66">
        <f>MIN(IF(INDEX(Properties!A$1:CB$87,Formula!B61,21)=0,10^6,INDEX(Properties!A$1:CB$87,Formula!B61,21)),IF(INDEX(Properties!A$1:CB$87,Formula!D61,21)=0,10^6,INDEX(Properties!A$1:CB$87,Formula!D61,21)),IF(INDEX(Properties!A$1:CB$87,Formula!F61,21)=0,10^6,INDEX(Properties!A$1:CB$87,Formula!F61,21)),IF(INDEX(Properties!A$1:CB$87,Formula!H61,21)=0,10^6,INDEX(Properties!A$1:CB$87,Formula!H61,21)),IF(INDEX(Properties!A$1:CB$87,Formula!J61,21)=0,10^6,INDEX(Properties!A$1:CB$87,Formula!J61,21)))</f>
        <v>2</v>
      </c>
      <c r="CA61" s="66">
        <f t="shared" si="12"/>
        <v>4</v>
      </c>
      <c r="CB61" s="81">
        <f>((Formula!C61)/(Formula!C61+Formula!E61+Formula!G61+Formula!I61+Formula!K61))*(INDEX(Properties!A$1:CB$87,Formula!B61,23))+((Formula!E61)/(Formula!C61+Formula!E61+Formula!G61+Formula!I61+Formula!K61))*(INDEX(Properties!A$1:CB$87,Formula!D61,23))+((Formula!G61)/(Formula!C61+Formula!E61+Formula!G61+Formula!I61+Formula!K61))*(INDEX(Properties!A$1:CB$87,Formula!F61,23))+((Formula!I61)/(Formula!C61+Formula!E61+Formula!G61+Formula!I61+Formula!K61))*(INDEX(Properties!A$1:CB$87,Formula!H61,23))+((Formula!K61)/(Formula!C61+Formula!E61+Formula!G61+Formula!I61+Formula!K61))*(INDEX(Properties!A$1:CB$87,Formula!J61,23))</f>
        <v>1</v>
      </c>
      <c r="CC61" s="81">
        <f>Formula!C61*(INDEX(Properties!A$1:CB$87,Formula!B61,23))+Formula!E61*(INDEX(Properties!A$1:CB$87,Formula!D61,23))+Formula!G61*(INDEX(Properties!A$1:CB$87,Formula!F61,23))+Formula!I61*(INDEX(Properties!A$1:CB$87,Formula!H61,23))+Formula!K61*(INDEX(Properties!A$1:CB$87,Formula!J61,23))</f>
        <v>12</v>
      </c>
      <c r="CD61" s="81">
        <f>VARP(IF(INDEX(Properties!A$1:CB$87,Formula!B61,23)&lt;&gt;"",INDEX(Properties!A$1:CB$87,Formula!B61,23)),IF(INDEX(Properties!A$1:CB$87,Formula!D61,23)&lt;&gt;"",INDEX(Properties!A$1:CB$87,Formula!D61,23)),IF(INDEX(Properties!A$1:CB$87,Formula!F61,23)&lt;&gt;"",INDEX(Properties!A$1:CB$87,Formula!F61,23)),IF(INDEX(Properties!A$1:CB$87,Formula!H61,23)&lt;&gt;"",INDEX(Properties!A$1:CB$87,Formula!H61,23)),IF(INDEX(Properties!A$1:CB$87,Formula!J61,23)&lt;&gt;"",INDEX(Properties!A$1:CB$87,Formula!J61,23)))</f>
        <v>2.56</v>
      </c>
      <c r="CE61" s="81">
        <f>MAX(INDEX(Properties!A$1:CB$87,Formula!B61,23),INDEX(Properties!A$1:CB$87,Formula!D61,23),INDEX(Properties!A$1:CB$87,Formula!F61,23),INDEX(Properties!A$1:CB$87,Formula!H61,23),INDEX(Properties!A$1:CB$87,Formula!J61,23))</f>
        <v>4</v>
      </c>
      <c r="CF61" s="81">
        <f>MIN(IF(Formula!B61=87,10^6,INDEX(Properties!A$1:CB$87,Formula!B61,23)),IF((Formula!D61)=87,10^6,INDEX(Properties!A$1:CB$87,Formula!D61,23)),IF((Formula!F61)=87,10^6,INDEX(Properties!A$1:CB$87,Formula!F61,23)),IF((Formula!H61)=87,10^6,INDEX(Properties!A$1:CB$87,Formula!H61,23)),IF(Formula!J61=87,10^6,INDEX(Properties!A$1:CB$87,Formula!J61,23)))</f>
        <v>0</v>
      </c>
      <c r="CG61" s="81">
        <f t="shared" si="13"/>
        <v>4</v>
      </c>
      <c r="CH61" s="39">
        <f>((Formula!C61)/(Formula!C61+Formula!E61+Formula!G61+Formula!I61+Formula!K61))*(INDEX(Properties!A$1:CB$87,Formula!B61,26))+((Formula!E61)/(Formula!C61+Formula!E61+Formula!G61+Formula!I61+Formula!K61))*(INDEX(Properties!A$1:CB$87,Formula!D61,26))+((Formula!G61)/(Formula!C61+Formula!E61+Formula!G61+Formula!I61+Formula!K61))*(INDEX(Properties!A$1:CB$87,Formula!F61,26))+((Formula!I61)/(Formula!C61+Formula!E61+Formula!G61+Formula!I61+Formula!K61))*(INDEX(Properties!A$1:CB$87,Formula!H61,26))+((Formula!K61)/(Formula!C61+Formula!E61+Formula!G61+Formula!I61+Formula!K61))*(INDEX(Properties!A$1:CB$87,Formula!J61,26))</f>
        <v>11.813649999999999</v>
      </c>
      <c r="CI61" s="39">
        <f>Formula!C61*(INDEX(Properties!A$1:CB$87,Formula!B61,26))+Formula!E61*(INDEX(Properties!A$1:CB$87,Formula!D61,26))+Formula!G61*(INDEX(Properties!A$1:CB$87,Formula!F61,26))+Formula!I61*(INDEX(Properties!A$1:CB$87,Formula!H61,26))+Formula!K61*(INDEX(Properties!A$1:CB$87,Formula!J61,26))</f>
        <v>141.7638</v>
      </c>
      <c r="CJ61" s="39">
        <f>VARP(IF(INDEX(Properties!A$1:CB$87,Formula!B61,26)&lt;&gt;"",INDEX(Properties!A$1:CB$87,Formula!B61,26)),IF(INDEX(Properties!A$1:CB$87,Formula!D61,26)&lt;&gt;"",INDEX(Properties!A$1:CB$87,Formula!D61,26)),IF(INDEX(Properties!A$1:CB$87,Formula!F61,26)&lt;&gt;"",INDEX(Properties!A$1:CB$87,Formula!F61,26)),IF(INDEX(Properties!A$1:CB$87,Formula!H61,26)&lt;&gt;"",INDEX(Properties!A$1:CB$87,Formula!H61,26)),IF(INDEX(Properties!A$1:CB$87,Formula!J61,26)&lt;&gt;"",INDEX(Properties!A$1:CB$87,Formula!J61,26)))</f>
        <v>21.621543713599994</v>
      </c>
      <c r="CK61" s="39">
        <f>MAX(INDEX(Properties!A$1:CB$87,Formula!B61,26),INDEX(Properties!A$1:CB$87,Formula!D61,26),INDEX(Properties!A$1:CB$87,Formula!F61,26),INDEX(Properties!A$1:CB$87,Formula!H61,26),INDEX(Properties!A$1:CB$87,Formula!J61,26))</f>
        <v>13.6181</v>
      </c>
      <c r="CL61" s="39">
        <f>MIN(IF(INDEX(Properties!A$1:CB$87,Formula!B61,26)=0,10^6,INDEX(Properties!A$1:CB$87,Formula!B61,26)),IF(INDEX(Properties!A$1:CB$87,Formula!D61,26)=0,10^6,INDEX(Properties!A$1:CB$87,Formula!D61,26)),IF(INDEX(Properties!A$1:CB$87,Formula!F61,26)=0,10^6,INDEX(Properties!A$1:CB$87,Formula!F61,26)),IF(INDEX(Properties!A$1:CB$87,Formula!H61,26)=0,10^6,INDEX(Properties!A$1:CB$87,Formula!H61,26)),IF(INDEX(Properties!A$1:CB$87,Formula!J61,26)=0,10^6,INDEX(Properties!A$1:CB$87,Formula!J61,26)))</f>
        <v>5.2117000000000004</v>
      </c>
      <c r="CM61" s="39">
        <f t="shared" si="14"/>
        <v>8.4063999999999997</v>
      </c>
      <c r="CN61" s="54">
        <f>((Formula!C61)/(Formula!C61+Formula!E61+Formula!G61+Formula!I61+Formula!K61))*(INDEX(Properties!A$1:CB$87,Formula!B61,30))+((Formula!E61)/(Formula!C61+Formula!E61+Formula!G61+Formula!I61+Formula!K61))*(INDEX(Properties!A$1:CB$87,Formula!D61,30))+((Formula!G61)/(Formula!C61+Formula!E61+Formula!G61+Formula!I61+Formula!K61))*(INDEX(Properties!A$1:CB$87,Formula!F61,30))+((Formula!I61)/(Formula!C61+Formula!E61+Formula!G61+Formula!I61+Formula!K61))*(INDEX(Properties!A$1:CB$87,Formula!H61,30))+((Formula!K61)/(Formula!C61+Formula!E61+Formula!G61+Formula!I61+Formula!K61))*(INDEX(Properties!A$1:CB$87,Formula!J61,30))</f>
        <v>2.8433333333333328</v>
      </c>
      <c r="CO61" s="54">
        <f>Formula!C61*(INDEX(Properties!A$1:CB$87,Formula!B61,30))+Formula!E61*(INDEX(Properties!A$1:CB$87,Formula!D61,30))+Formula!G61*(INDEX(Properties!A$1:CB$87,Formula!F61,30))+Formula!I61*(INDEX(Properties!A$1:CB$87,Formula!H61,30))+Formula!K61*(INDEX(Properties!A$1:CB$87,Formula!J61,30))</f>
        <v>34.119999999999997</v>
      </c>
      <c r="CP61" s="54">
        <f>VARP(IF(INDEX(Properties!A$1:CB$87,Formula!B61,30)&lt;&gt;"",INDEX(Properties!A$1:CB$87,Formula!B61,30)),IF(INDEX(Properties!A$1:CB$87,Formula!D61,30)&lt;&gt;"",INDEX(Properties!A$1:CB$87,Formula!D61,30)),IF(INDEX(Properties!A$1:CB$87,Formula!F61,30)&lt;&gt;"",INDEX(Properties!A$1:CB$87,Formula!F61,30)),IF(INDEX(Properties!A$1:CB$87,Formula!H61,30)&lt;&gt;"",INDEX(Properties!A$1:CB$87,Formula!H61,30)),IF(INDEX(Properties!A$1:CB$87,Formula!J61,30)&lt;&gt;"",INDEX(Properties!A$1:CB$87,Formula!J61,30)))</f>
        <v>1.3732399999999998</v>
      </c>
      <c r="CQ61" s="54">
        <f>MAX(INDEX(Properties!A$1:CB$87,Formula!B61,30),INDEX(Properties!A$1:CB$87,Formula!D61,30),INDEX(Properties!A$1:CB$87,Formula!F61,30),INDEX(Properties!A$1:CB$87,Formula!H61,30),INDEX(Properties!A$1:CB$87,Formula!J61,30))</f>
        <v>3.44</v>
      </c>
      <c r="CR61" s="54">
        <f>MIN(IF(INDEX(Properties!A$1:CB$87,Formula!B61,30)=0,10^6,INDEX(Properties!A$1:CB$87,Formula!B61,30)),IF(INDEX(Properties!A$1:CB$87,Formula!D61,30)=0,10^6,INDEX(Properties!A$1:CB$87,Formula!D61,30)),IF(INDEX(Properties!A$1:CB$87,Formula!F61,30)=0,10^6,INDEX(Properties!A$1:CB$87,Formula!F61,30)),IF(INDEX(Properties!A$1:CB$87,Formula!H61,30)=0,10^6,INDEX(Properties!A$1:CB$87,Formula!H61,30)),IF(INDEX(Properties!A$1:CB$87,Formula!J61,30)=0,10^6,INDEX(Properties!A$1:CB$87,Formula!J61,30)))</f>
        <v>0.89</v>
      </c>
      <c r="CS61" s="54">
        <f t="shared" si="15"/>
        <v>2.5499999999999998</v>
      </c>
      <c r="CT61" s="69">
        <f>((Formula!C61)/(Formula!C61+Formula!E61+Formula!G61+Formula!I61+Formula!K61))*(INDEX(Properties!A$1:CB$87,Formula!B61,31))+((Formula!E61)/(Formula!C61+Formula!E61+Formula!G61+Formula!I61+Formula!K61))*(INDEX(Properties!A$1:CB$87,Formula!D61,31))+((Formula!G61)/(Formula!C61+Formula!E61+Formula!G61+Formula!I61+Formula!K61))*(INDEX(Properties!A$1:CB$87,Formula!F61,31))+((Formula!I61)/(Formula!C61+Formula!E61+Formula!G61+Formula!I61+Formula!K61))*(INDEX(Properties!A$1:CB$87,Formula!H61,31))+((Formula!K61)/(Formula!C61+Formula!E61+Formula!G61+Formula!I61+Formula!K61))*(INDEX(Properties!A$1:CB$87,Formula!J61,31))</f>
        <v>2.8316666666666661</v>
      </c>
      <c r="CU61" s="69">
        <f>Formula!C61*(INDEX(Properties!A$1:CB$87,Formula!B61,31))+Formula!E61*(INDEX(Properties!A$1:CB$87,Formula!D61,31))+Formula!G61*(INDEX(Properties!A$1:CB$87,Formula!F61,31))+Formula!I61*(INDEX(Properties!A$1:CB$87,Formula!H61,31))+Formula!K61*(INDEX(Properties!A$1:CB$87,Formula!J61,31))</f>
        <v>33.979999999999997</v>
      </c>
      <c r="CV61" s="69">
        <f>VARP(IF(INDEX(Properties!A$1:CB$87,Formula!B61,31)&lt;&gt;"",INDEX(Properties!A$1:CB$87,Formula!B61,31)),IF(INDEX(Properties!A$1:CB$87,Formula!D61,31)&lt;&gt;"",INDEX(Properties!A$1:CB$87,Formula!D61,31)),IF(INDEX(Properties!A$1:CB$87,Formula!F61,31)&lt;&gt;"",INDEX(Properties!A$1:CB$87,Formula!F61,31)),IF(INDEX(Properties!A$1:CB$87,Formula!H61,31)&lt;&gt;"",INDEX(Properties!A$1:CB$87,Formula!H61,31)),IF(INDEX(Properties!A$1:CB$87,Formula!J61,31)&lt;&gt;"",INDEX(Properties!A$1:CB$87,Formula!J61,31)))</f>
        <v>1.2563839999999993</v>
      </c>
      <c r="CW61" s="69">
        <f>MAX(INDEX(Properties!A$1:CB$87,Formula!B61,31),INDEX(Properties!A$1:CB$87,Formula!D61,31),INDEX(Properties!A$1:CB$87,Formula!F61,31),INDEX(Properties!A$1:CB$87,Formula!H61,31),INDEX(Properties!A$1:CB$87,Formula!J61,31))</f>
        <v>3.32</v>
      </c>
      <c r="CX61" s="69">
        <f>MIN(IF(INDEX(Properties!A$1:CB$87,Formula!B61,31)=0,10^6,INDEX(Properties!A$1:CB$87,Formula!B61,31)),IF(INDEX(Properties!A$1:CB$87,Formula!D61,31)=0,10^6,INDEX(Properties!A$1:CB$87,Formula!D61,31)),IF(INDEX(Properties!A$1:CB$87,Formula!F61,31)=0,10^6,INDEX(Properties!A$1:CB$87,Formula!F61,31)),IF(INDEX(Properties!A$1:CB$87,Formula!H61,31)=0,10^6,INDEX(Properties!A$1:CB$87,Formula!H61,31)),IF(INDEX(Properties!A$1:CB$87,Formula!J61,31)=0,10^6,INDEX(Properties!A$1:CB$87,Formula!J61,31)))</f>
        <v>1.08</v>
      </c>
      <c r="CY61" s="69">
        <f t="shared" si="16"/>
        <v>2.2399999999999998</v>
      </c>
      <c r="CZ61" s="42">
        <f>((Formula!C61)/(Formula!C61+Formula!E61+Formula!G61+Formula!I61+Formula!K61))*(INDEX(Properties!A$1:CB$87,Formula!B61,32))+((Formula!E61)/(Formula!C61+Formula!E61+Formula!G61+Formula!I61+Formula!K61))*(INDEX(Properties!A$1:CB$87,Formula!D61,32))+((Formula!G61)/(Formula!C61+Formula!E61+Formula!G61+Formula!I61+Formula!K61))*(INDEX(Properties!A$1:CB$87,Formula!F61,32))+((Formula!I61)/(Formula!C61+Formula!E61+Formula!G61+Formula!I61+Formula!K61))*(INDEX(Properties!A$1:CB$87,Formula!H61,32))+((Formula!K61)/(Formula!C61+Formula!E61+Formula!G61+Formula!I61+Formula!K61))*(INDEX(Properties!A$1:CB$87,Formula!J61,32))</f>
        <v>6.4666666666666668</v>
      </c>
      <c r="DA61" s="42">
        <f>Formula!C61*(INDEX(Properties!A$1:CB$87,Formula!B61,32))+Formula!E61*(INDEX(Properties!A$1:CB$87,Formula!D61,32))+Formula!G61*(INDEX(Properties!A$1:CB$87,Formula!F61,32))+Formula!I61*(INDEX(Properties!A$1:CB$87,Formula!H61,32))+Formula!K61*(INDEX(Properties!A$1:CB$87,Formula!J61,32))</f>
        <v>77.599999999999994</v>
      </c>
      <c r="DB61" s="42">
        <f>VARP(IF(INDEX(Properties!A$1:CB$87,Formula!B61,32)&lt;&gt;"",INDEX(Properties!A$1:CB$87,Formula!B61,32)),IF(INDEX(Properties!A$1:CB$87,Formula!D61,32)&lt;&gt;"",INDEX(Properties!A$1:CB$87,Formula!D61,32)),IF(INDEX(Properties!A$1:CB$87,Formula!F61,32)&lt;&gt;"",INDEX(Properties!A$1:CB$87,Formula!F61,32)),IF(INDEX(Properties!A$1:CB$87,Formula!H61,32)&lt;&gt;"",INDEX(Properties!A$1:CB$87,Formula!H61,32)),IF(INDEX(Properties!A$1:CB$87,Formula!J61,32)&lt;&gt;"",INDEX(Properties!A$1:CB$87,Formula!J61,32)))</f>
        <v>6.7435199999999984</v>
      </c>
      <c r="DC61" s="42">
        <f>MAX(INDEX(Properties!A$1:CB$87,Formula!B61,32),INDEX(Properties!A$1:CB$87,Formula!D61,32),INDEX(Properties!A$1:CB$87,Formula!F61,32),INDEX(Properties!A$1:CB$87,Formula!H61,32),INDEX(Properties!A$1:CB$87,Formula!J61,32))</f>
        <v>7.54</v>
      </c>
      <c r="DD61" s="42">
        <f>MIN(IF(INDEX(Properties!A$1:CB$87,Formula!B61,32)=0,10^6,INDEX(Properties!A$1:CB$87,Formula!B61,32)),IF(INDEX(Properties!A$1:CB$87,Formula!D61,32)=0,10^6,INDEX(Properties!A$1:CB$87,Formula!D61,32)),IF(INDEX(Properties!A$1:CB$87,Formula!F61,32)=0,10^6,INDEX(Properties!A$1:CB$87,Formula!F61,32)),IF(INDEX(Properties!A$1:CB$87,Formula!H61,32)=0,10^6,INDEX(Properties!A$1:CB$87,Formula!H61,32)),IF(INDEX(Properties!A$1:CB$87,Formula!J61,32)=0,10^6,INDEX(Properties!A$1:CB$87,Formula!J61,32)))</f>
        <v>2.4</v>
      </c>
      <c r="DE61" s="42">
        <f t="shared" si="17"/>
        <v>5.1400000000000006</v>
      </c>
      <c r="DF61" s="60">
        <f>((Formula!C61)/(Formula!C61+Formula!E61+Formula!G61+Formula!I61+Formula!K61))*(INDEX(Properties!A$1:CB$87,Formula!B61,34))+((Formula!E61)/(Formula!C61+Formula!E61+Formula!G61+Formula!I61+Formula!K61))*(INDEX(Properties!A$1:CB$87,Formula!D61,34))+((Formula!G61)/(Formula!C61+Formula!E61+Formula!G61+Formula!I61+Formula!K61))*(INDEX(Properties!A$1:CB$87,Formula!F61,34))+((Formula!I61)/(Formula!C61+Formula!E61+Formula!G61+Formula!I61+Formula!K61))*(INDEX(Properties!A$1:CB$87,Formula!H61,34))+((Formula!K61)/(Formula!C61+Formula!E61+Formula!G61+Formula!I61+Formula!K61))*(INDEX(Properties!A$1:CB$87,Formula!J61,34))</f>
        <v>2.965583333333333</v>
      </c>
      <c r="DG61" s="60">
        <f>Formula!C61*(INDEX(Properties!A$1:CB$87,Formula!B61,34))+Formula!E61*(INDEX(Properties!A$1:CB$87,Formula!D61,34))+Formula!G61*(INDEX(Properties!A$1:CB$87,Formula!F61,34))+Formula!I61*(INDEX(Properties!A$1:CB$87,Formula!H61,34))+Formula!K61*(INDEX(Properties!A$1:CB$87,Formula!J61,34))</f>
        <v>35.587000000000003</v>
      </c>
      <c r="DH61" s="60">
        <f>VARP(IF(INDEX(Properties!A$1:CB$87,Formula!B61,34)&lt;&gt;"",INDEX(Properties!A$1:CB$87,Formula!B61,34)),IF(INDEX(Properties!A$1:CB$87,Formula!D61,34)&lt;&gt;"",INDEX(Properties!A$1:CB$87,Formula!D61,34)),IF(INDEX(Properties!A$1:CB$87,Formula!F61,34)&lt;&gt;"",INDEX(Properties!A$1:CB$87,Formula!F61,34)),IF(INDEX(Properties!A$1:CB$87,Formula!H61,34)&lt;&gt;"",INDEX(Properties!A$1:CB$87,Formula!H61,34)),IF(INDEX(Properties!A$1:CB$87,Formula!J61,34)&lt;&gt;"",INDEX(Properties!A$1:CB$87,Formula!J61,34)))</f>
        <v>1.52421016</v>
      </c>
      <c r="DI61" s="60">
        <f>MAX(INDEX(Properties!A$1:CB$87,Formula!B61,34),INDEX(Properties!A$1:CB$87,Formula!D61,34),INDEX(Properties!A$1:CB$87,Formula!F61,34),INDEX(Properties!A$1:CB$87,Formula!H61,34),INDEX(Properties!A$1:CB$87,Formula!J61,34))</f>
        <v>3.61</v>
      </c>
      <c r="DJ61" s="60">
        <f>MIN(IF(INDEX(Properties!A$1:CB$87,Formula!B61,34)=0,10^6,INDEX(Properties!A$1:CB$87,Formula!B61,34)),IF(INDEX(Properties!A$1:CB$87,Formula!D61,34)=0,10^6,INDEX(Properties!A$1:CB$87,Formula!D61,34)),IF(INDEX(Properties!A$1:CB$87,Formula!F61,34)=0,10^6,INDEX(Properties!A$1:CB$87,Formula!F61,34)),IF(INDEX(Properties!A$1:CB$87,Formula!H61,34)=0,10^6,INDEX(Properties!A$1:CB$87,Formula!H61,34)),IF(INDEX(Properties!A$1:CB$87,Formula!J61,34)=0,10^6,INDEX(Properties!A$1:CB$87,Formula!J61,34)))</f>
        <v>0.88100000000000001</v>
      </c>
      <c r="DK61" s="60">
        <f t="shared" si="18"/>
        <v>2.7290000000000001</v>
      </c>
      <c r="DL61" s="45">
        <f>((Formula!C61)/(Formula!C61+Formula!E61+Formula!G61+Formula!I61+Formula!K61))*(INDEX(Properties!A$1:CB$87,Formula!B61,39))+((Formula!E61)/(Formula!C61+Formula!E61+Formula!G61+Formula!I61+Formula!K61))*(INDEX(Properties!A$1:CB$87,Formula!D61,39))+((Formula!G61)/(Formula!C61+Formula!E61+Formula!G61+Formula!I61+Formula!K61))*(INDEX(Properties!A$1:CB$87,Formula!F61,39))+((Formula!I61)/(Formula!C61+Formula!E61+Formula!G61+Formula!I61+Formula!K61))*(INDEX(Properties!A$1:CB$87,Formula!H61,39))+((Formula!K61)/(Formula!C61+Formula!E61+Formula!G61+Formula!I61+Formula!K61))*(INDEX(Properties!A$1:CB$87,Formula!J61,39))</f>
        <v>0.86583333333333323</v>
      </c>
      <c r="DM61" s="45">
        <f>Formula!C61*(INDEX(Properties!A$1:CB$87,Formula!B61,39))+Formula!E61*(INDEX(Properties!A$1:CB$87,Formula!D61,39))+Formula!G61*(INDEX(Properties!A$1:CB$87,Formula!F61,39))+Formula!I61*(INDEX(Properties!A$1:CB$87,Formula!H61,39))+Formula!K61*(INDEX(Properties!A$1:CB$87,Formula!J61,39))</f>
        <v>10.39</v>
      </c>
      <c r="DN61" s="45">
        <f>VARP(IF(INDEX(Properties!A$1:CB$87,Formula!B61,39)&lt;&gt;"",INDEX(Properties!A$1:CB$87,Formula!B61,39)),IF(INDEX(Properties!A$1:CB$87,Formula!D61,39)&lt;&gt;"",INDEX(Properties!A$1:CB$87,Formula!D61,39)),IF(INDEX(Properties!A$1:CB$87,Formula!F61,39)&lt;&gt;"",INDEX(Properties!A$1:CB$87,Formula!F61,39)),IF(INDEX(Properties!A$1:CB$87,Formula!H61,39)&lt;&gt;"",INDEX(Properties!A$1:CB$87,Formula!H61,39)),IF(INDEX(Properties!A$1:CB$87,Formula!J61,39)&lt;&gt;"",INDEX(Properties!A$1:CB$87,Formula!J61,39)))</f>
        <v>0.90295999999999932</v>
      </c>
      <c r="DO61" s="45">
        <f>MAX(INDEX(Properties!A$1:CB$87,Formula!B61,39),INDEX(Properties!A$1:CB$87,Formula!D61,39),INDEX(Properties!A$1:CB$87,Formula!F61,39),INDEX(Properties!A$1:CB$87,Formula!H61,39),INDEX(Properties!A$1:CB$87,Formula!J61,39))</f>
        <v>2.5299999999999998</v>
      </c>
      <c r="DP61" s="45">
        <f>MIN(IF(INDEX(Properties!A$1:CB$87,Formula!B61,39)=0,10^6,INDEX(Properties!A$1:CB$87,Formula!B61,39)),IF(INDEX(Properties!A$1:CB$87,Formula!D61,39)=0,10^6,INDEX(Properties!A$1:CB$87,Formula!D61,39)),IF(INDEX(Properties!A$1:CB$87,Formula!F61,39)=0,10^6,INDEX(Properties!A$1:CB$87,Formula!F61,39)),IF(INDEX(Properties!A$1:CB$87,Formula!H61,39)=0,10^6,INDEX(Properties!A$1:CB$87,Formula!H61,39)),IF(INDEX(Properties!A$1:CB$87,Formula!J61,39)=0,10^6,INDEX(Properties!A$1:CB$87,Formula!J61,39)))</f>
        <v>0.48</v>
      </c>
      <c r="DQ61" s="45">
        <f t="shared" si="19"/>
        <v>2.0499999999999998</v>
      </c>
      <c r="DR61" s="63">
        <f>((Formula!C61)/(Formula!C61+Formula!E61+Formula!G61+Formula!I61+Formula!K61))*(INDEX(Properties!A$1:CB$87,Formula!B61,40))+((Formula!E61)/(Formula!C61+Formula!E61+Formula!G61+Formula!I61+Formula!K61))*(INDEX(Properties!A$1:CB$87,Formula!D61,40))+((Formula!G61)/(Formula!C61+Formula!E61+Formula!G61+Formula!I61+Formula!K61))*(INDEX(Properties!A$1:CB$87,Formula!F61,40))+((Formula!I61)/(Formula!C61+Formula!E61+Formula!G61+Formula!I61+Formula!K61))*(INDEX(Properties!A$1:CB$87,Formula!H61,40))+((Formula!K61)/(Formula!C61+Formula!E61+Formula!G61+Formula!I61+Formula!K61))*(INDEX(Properties!A$1:CB$87,Formula!J61,40))</f>
        <v>0.95166666666666666</v>
      </c>
      <c r="DS61" s="63">
        <f>Formula!C61*(INDEX(Properties!A$1:CB$87,Formula!B61,40))+Formula!E61*(INDEX(Properties!A$1:CB$87,Formula!D61,40))+Formula!G61*(INDEX(Properties!A$1:CB$87,Formula!F61,40))+Formula!I61*(INDEX(Properties!A$1:CB$87,Formula!H61,40))+Formula!K61*(INDEX(Properties!A$1:CB$87,Formula!J61,40))</f>
        <v>11.42</v>
      </c>
      <c r="DT61" s="63">
        <f>VARP(IF(INDEX(Properties!A$1:CB$87,Formula!B61,40)&lt;&gt;"",INDEX(Properties!A$1:CB$87,Formula!B61,40)),IF(INDEX(Properties!A$1:CB$87,Formula!D61,40)&lt;&gt;"",INDEX(Properties!A$1:CB$87,Formula!D61,40)),IF(INDEX(Properties!A$1:CB$87,Formula!F61,40)&lt;&gt;"",INDEX(Properties!A$1:CB$87,Formula!F61,40)),IF(INDEX(Properties!A$1:CB$87,Formula!H61,40)&lt;&gt;"",INDEX(Properties!A$1:CB$87,Formula!H61,40)),IF(INDEX(Properties!A$1:CB$87,Formula!J61,40)&lt;&gt;"",INDEX(Properties!A$1:CB$87,Formula!J61,40)))</f>
        <v>0.45095999999999975</v>
      </c>
      <c r="DU61" s="63">
        <f>MAX(INDEX(Properties!A$1:CB$87,Formula!B61,40),INDEX(Properties!A$1:CB$87,Formula!D61,40),INDEX(Properties!A$1:CB$87,Formula!F61,40),INDEX(Properties!A$1:CB$87,Formula!H61,40),INDEX(Properties!A$1:CB$87,Formula!J61,40))</f>
        <v>1.98</v>
      </c>
      <c r="DV61" s="63">
        <f>MIN(IF(INDEX(Properties!A$1:CB$87,Formula!B61,40)=0,10^6,INDEX(Properties!A$1:CB$87,Formula!B61,40)),IF(INDEX(Properties!A$1:CB$87,Formula!D61,40)=0,10^6,INDEX(Properties!A$1:CB$87,Formula!D61,40)),IF(INDEX(Properties!A$1:CB$87,Formula!F61,40)=0,10^6,INDEX(Properties!A$1:CB$87,Formula!F61,40)),IF(INDEX(Properties!A$1:CB$87,Formula!H61,40)=0,10^6,INDEX(Properties!A$1:CB$87,Formula!H61,40)),IF(INDEX(Properties!A$1:CB$87,Formula!J61,40)=0,10^6,INDEX(Properties!A$1:CB$87,Formula!J61,40)))</f>
        <v>0.73</v>
      </c>
      <c r="DW61" s="63">
        <f t="shared" si="20"/>
        <v>1.25</v>
      </c>
      <c r="DX61" s="75">
        <f>((Formula!C61)/(Formula!C61+Formula!E61+Formula!G61+Formula!I61+Formula!K61))*(INDEX(Properties!A$1:CB$87,Formula!B61,41))+((Formula!E61)/(Formula!C61+Formula!E61+Formula!G61+Formula!I61+Formula!K61))*(INDEX(Properties!A$1:CB$87,Formula!D61,41))+((Formula!G61)/(Formula!C61+Formula!E61+Formula!G61+Formula!I61+Formula!K61))*(INDEX(Properties!A$1:CB$87,Formula!F61,41))+((Formula!I61)/(Formula!C61+Formula!E61+Formula!G61+Formula!I61+Formula!K61))*(INDEX(Properties!A$1:CB$87,Formula!H61,41))+((Formula!K61)/(Formula!C61+Formula!E61+Formula!G61+Formula!I61+Formula!K61))*(INDEX(Properties!A$1:CB$87,Formula!J61,41))</f>
        <v>1.1324999999999998</v>
      </c>
      <c r="DY61" s="75">
        <f>Formula!C61*(INDEX(Properties!A$1:CB$87,Formula!B61,41))+Formula!E61*(INDEX(Properties!A$1:CB$87,Formula!D61,41))+Formula!G61*(INDEX(Properties!A$1:CB$87,Formula!F61,41))+Formula!I61*(INDEX(Properties!A$1:CB$87,Formula!H61,41))+Formula!K61*(INDEX(Properties!A$1:CB$87,Formula!J61,41))</f>
        <v>13.59</v>
      </c>
      <c r="DZ61" s="75">
        <f>VARP(IF(INDEX(Properties!A$1:CB$87,Formula!B61,41)&lt;&gt;"",INDEX(Properties!A$1:CB$87,Formula!B61,41)),IF(INDEX(Properties!A$1:CB$87,Formula!D61,41)&lt;&gt;"",INDEX(Properties!A$1:CB$87,Formula!D61,41)),IF(INDEX(Properties!A$1:CB$87,Formula!F61,41)&lt;&gt;"",INDEX(Properties!A$1:CB$87,Formula!F61,41)),IF(INDEX(Properties!A$1:CB$87,Formula!H61,41)&lt;&gt;"",INDEX(Properties!A$1:CB$87,Formula!H61,41)),IF(INDEX(Properties!A$1:CB$87,Formula!J61,41)&lt;&gt;"",INDEX(Properties!A$1:CB$87,Formula!J61,41)))</f>
        <v>0.27449599999999963</v>
      </c>
      <c r="EA61" s="75">
        <f>MAX(INDEX(Properties!A$1:CB$87,Formula!B61,41),INDEX(Properties!A$1:CB$87,Formula!D61,41),INDEX(Properties!A$1:CB$87,Formula!F61,41),INDEX(Properties!A$1:CB$87,Formula!H61,41),INDEX(Properties!A$1:CB$87,Formula!J61,41))</f>
        <v>1.49</v>
      </c>
      <c r="EB61" s="75">
        <f>MIN(IF(INDEX(Properties!A$1:CB$87,Formula!B61,41)=0,10^6,INDEX(Properties!A$1:CB$87,Formula!B61,41)),IF(INDEX(Properties!A$1:CB$87,Formula!D61,41)=0,10^6,INDEX(Properties!A$1:CB$87,Formula!D61,41)),IF(INDEX(Properties!A$1:CB$87,Formula!F61,41)=0,10^6,INDEX(Properties!A$1:CB$87,Formula!F61,41)),IF(INDEX(Properties!A$1:CB$87,Formula!H61,41)=0,10^6,INDEX(Properties!A$1:CB$87,Formula!H61,41)),IF(INDEX(Properties!A$1:CB$87,Formula!J61,41)=0,10^6,INDEX(Properties!A$1:CB$87,Formula!J61,41)))</f>
        <v>0.57999999999999996</v>
      </c>
      <c r="EC61" s="75">
        <f t="shared" si="21"/>
        <v>0.91</v>
      </c>
      <c r="ED61" s="48">
        <f>((Formula!C61)/(Formula!C61+Formula!E61+Formula!G61+Formula!I61+Formula!K61))*(INDEX(Properties!A$1:CB$87,Formula!B61,45))+((Formula!E61)/(Formula!C61+Formula!E61+Formula!G61+Formula!I61+Formula!K61))*(INDEX(Properties!A$1:CB$87,Formula!D61,45))+((Formula!G61)/(Formula!C61+Formula!E61+Formula!G61+Formula!I61+Formula!K61))*(INDEX(Properties!A$1:CB$87,Formula!F61,45))+((Formula!I61)/(Formula!C61+Formula!E61+Formula!G61+Formula!I61+Formula!K61))*(INDEX(Properties!A$1:CB$87,Formula!H61,45))+((Formula!K61)/(Formula!C61+Formula!E61+Formula!G61+Formula!I61+Formula!K61))*(INDEX(Properties!A$1:CB$87,Formula!J61,45))</f>
        <v>1.0391666666666666</v>
      </c>
      <c r="EE61" s="48">
        <f>Formula!C61*(INDEX(Properties!A$1:CB$87,Formula!B61,45))+Formula!E61*(INDEX(Properties!A$1:CB$87,Formula!D61,45))+Formula!G61*(INDEX(Properties!A$1:CB$87,Formula!F61,45))+Formula!I61*(INDEX(Properties!A$1:CB$87,Formula!H61,45))+Formula!K61*(INDEX(Properties!A$1:CB$87,Formula!J61,45))</f>
        <v>12.47</v>
      </c>
      <c r="EF61" s="48">
        <f>VARP(IF(INDEX(Properties!A$1:CB$87,Formula!B61,45)&lt;&gt;"",INDEX(Properties!A$1:CB$87,Formula!B61,45)),IF(INDEX(Properties!A$1:CB$87,Formula!D61,45)&lt;&gt;"",INDEX(Properties!A$1:CB$87,Formula!D61,45)),IF(INDEX(Properties!A$1:CB$87,Formula!F61,45)&lt;&gt;"",INDEX(Properties!A$1:CB$87,Formula!F61,45)),IF(INDEX(Properties!A$1:CB$87,Formula!H61,45)&lt;&gt;"",INDEX(Properties!A$1:CB$87,Formula!H61,45)),IF(INDEX(Properties!A$1:CB$87,Formula!J61,45)&lt;&gt;"",INDEX(Properties!A$1:CB$87,Formula!J61,45)))</f>
        <v>1.7437359999999997</v>
      </c>
      <c r="EG61" s="48">
        <f>MAX(INDEX(Properties!A$1:CB$87,Formula!B61,45),INDEX(Properties!A$1:CB$87,Formula!D61,45),INDEX(Properties!A$1:CB$87,Formula!F61,45),INDEX(Properties!A$1:CB$87,Formula!H61,45),INDEX(Properties!A$1:CB$87,Formula!J61,45))</f>
        <v>3.4</v>
      </c>
      <c r="EH61" s="48">
        <f>MIN(IF(INDEX(Properties!A$1:CB$87,Formula!B61,45)=0,10^6,INDEX(Properties!A$1:CB$87,Formula!B61,45)),IF(INDEX(Properties!A$1:CB$87,Formula!D61,45)=0,10^6,INDEX(Properties!A$1:CB$87,Formula!D61,45)),IF(INDEX(Properties!A$1:CB$87,Formula!F61,45)=0,10^6,INDEX(Properties!A$1:CB$87,Formula!F61,45)),IF(INDEX(Properties!A$1:CB$87,Formula!H61,45)=0,10^6,INDEX(Properties!A$1:CB$87,Formula!H61,45)),IF(INDEX(Properties!A$1:CB$87,Formula!J61,45)=0,10^6,INDEX(Properties!A$1:CB$87,Formula!J61,45)))</f>
        <v>0.47</v>
      </c>
      <c r="EI61" s="48">
        <f t="shared" si="22"/>
        <v>2.9299999999999997</v>
      </c>
      <c r="EJ61" s="66">
        <f>((Formula!C61)/(Formula!C61+Formula!E61+Formula!G61+Formula!I61+Formula!K61))*(INDEX(Properties!A$1:CB$87,Formula!B61,46))+((Formula!E61)/(Formula!C61+Formula!E61+Formula!G61+Formula!I61+Formula!K61))*(INDEX(Properties!A$1:CB$87,Formula!D61,46))+((Formula!G61)/(Formula!C61+Formula!E61+Formula!G61+Formula!I61+Formula!K61))*(INDEX(Properties!A$1:CB$87,Formula!F61,46))+((Formula!I61)/(Formula!C61+Formula!E61+Formula!G61+Formula!I61+Formula!K61))*(INDEX(Properties!A$1:CB$87,Formula!H61,46))+((Formula!K61)/(Formula!C61+Formula!E61+Formula!G61+Formula!I61+Formula!K61))*(INDEX(Properties!A$1:CB$87,Formula!J61,46))</f>
        <v>1.0541666666666667</v>
      </c>
      <c r="EK61" s="66">
        <f>Formula!C61*(INDEX(Properties!A$1:CB$87,Formula!B61,46))+Formula!E61*(INDEX(Properties!A$1:CB$87,Formula!D61,46))+Formula!G61*(INDEX(Properties!A$1:CB$87,Formula!F61,46))+Formula!I61*(INDEX(Properties!A$1:CB$87,Formula!H61,46))+Formula!K61*(INDEX(Properties!A$1:CB$87,Formula!J61,46))</f>
        <v>12.65</v>
      </c>
      <c r="EL61" s="66">
        <f>VARP(IF(INDEX(Properties!A$1:CB$87,Formula!B61,46)&lt;&gt;"",INDEX(Properties!A$1:CB$87,Formula!B61,46)),IF(INDEX(Properties!A$1:CB$87,Formula!D61,46)&lt;&gt;"",INDEX(Properties!A$1:CB$87,Formula!D61,46)),IF(INDEX(Properties!A$1:CB$87,Formula!F61,46)&lt;&gt;"",INDEX(Properties!A$1:CB$87,Formula!F61,46)),IF(INDEX(Properties!A$1:CB$87,Formula!H61,46)&lt;&gt;"",INDEX(Properties!A$1:CB$87,Formula!H61,46)),IF(INDEX(Properties!A$1:CB$87,Formula!J61,46)&lt;&gt;"",INDEX(Properties!A$1:CB$87,Formula!J61,46)))</f>
        <v>0.30490399999999995</v>
      </c>
      <c r="EM61" s="66">
        <f>MAX(INDEX(Properties!A$1:CB$87,Formula!B61,46),INDEX(Properties!A$1:CB$87,Formula!D61,46),INDEX(Properties!A$1:CB$87,Formula!F61,46),INDEX(Properties!A$1:CB$87,Formula!H61,46),INDEX(Properties!A$1:CB$87,Formula!J61,46))</f>
        <v>1.49</v>
      </c>
      <c r="EN61" s="66">
        <f>MIN(IF(INDEX(Properties!A$1:CB$87,Formula!B61,46)=0,10^6,INDEX(Properties!A$1:CB$87,Formula!B61,46)),IF(INDEX(Properties!A$1:CB$87,Formula!D61,46)=0,10^6,INDEX(Properties!A$1:CB$87,Formula!D61,46)),IF(INDEX(Properties!A$1:CB$87,Formula!F61,46)=0,10^6,INDEX(Properties!A$1:CB$87,Formula!F61,46)),IF(INDEX(Properties!A$1:CB$87,Formula!H61,46)=0,10^6,INDEX(Properties!A$1:CB$87,Formula!H61,46)),IF(INDEX(Properties!A$1:CB$87,Formula!J61,46)=0,10^6,INDEX(Properties!A$1:CB$87,Formula!J61,46)))</f>
        <v>0.31</v>
      </c>
      <c r="EO61" s="66">
        <f t="shared" si="23"/>
        <v>1.18</v>
      </c>
      <c r="EP61" s="81">
        <f>((Formula!C61)/(Formula!C61+Formula!E61+Formula!G61+Formula!I61+Formula!K61))*(INDEX(Properties!A$1:CB$87,Formula!B61,52))+((Formula!E61)/(Formula!C61+Formula!E61+Formula!G61+Formula!I61+Formula!K61))*(INDEX(Properties!A$1:CB$87,Formula!D61,52))+((Formula!G61)/(Formula!C61+Formula!E61+Formula!G61+Formula!I61+Formula!K61))*(INDEX(Properties!A$1:CB$87,Formula!F61,52))+((Formula!I61)/(Formula!C61+Formula!E61+Formula!G61+Formula!I61+Formula!K61))*(INDEX(Properties!A$1:CB$87,Formula!H61,52))+((Formula!K61)/(Formula!C61+Formula!E61+Formula!G61+Formula!I61+Formula!K61))*(INDEX(Properties!A$1:CB$87,Formula!J61,52))</f>
        <v>5.9286666666666665</v>
      </c>
      <c r="EQ61" s="81">
        <f>Formula!C61*(INDEX(Properties!A$1:CB$87,Formula!B61,52))+Formula!E61*(INDEX(Properties!A$1:CB$87,Formula!D61,52))+Formula!G61*(INDEX(Properties!A$1:CB$87,Formula!F61,52))+Formula!I61*(INDEX(Properties!A$1:CB$87,Formula!H61,52))+Formula!K61*(INDEX(Properties!A$1:CB$87,Formula!J61,52))</f>
        <v>71.143999999999991</v>
      </c>
      <c r="ER61" s="81">
        <f>VARP(IF(INDEX(Properties!A$1:CB$87,Formula!B61,52)&lt;&gt;"",INDEX(Properties!A$1:CB$87,Formula!B61,52)),IF(INDEX(Properties!A$1:CB$87,Formula!D61,52)&lt;&gt;"",INDEX(Properties!A$1:CB$87,Formula!D61,52)),IF(INDEX(Properties!A$1:CB$87,Formula!F61,52)&lt;&gt;"",INDEX(Properties!A$1:CB$87,Formula!F61,52)),IF(INDEX(Properties!A$1:CB$87,Formula!H61,52)&lt;&gt;"",INDEX(Properties!A$1:CB$87,Formula!H61,52)),IF(INDEX(Properties!A$1:CB$87,Formula!J61,52)&lt;&gt;"",INDEX(Properties!A$1:CB$87,Formula!J61,52)))</f>
        <v>228.29248784000004</v>
      </c>
      <c r="ES61" s="81">
        <f>MAX(INDEX(Properties!A$1:CB$87,Formula!B61,52),INDEX(Properties!A$1:CB$87,Formula!D61,52),INDEX(Properties!A$1:CB$87,Formula!F61,52),INDEX(Properties!A$1:CB$87,Formula!H61,52),INDEX(Properties!A$1:CB$87,Formula!J61,52))</f>
        <v>39.700000000000003</v>
      </c>
      <c r="ET61" s="81">
        <f>MIN(IF(INDEX(Properties!A$1:CB$87,Formula!B61,52)=0,10^6,INDEX(Properties!A$1:CB$87,Formula!B61,52)),IF(INDEX(Properties!A$1:CB$87,Formula!D61,52)=0,10^6,INDEX(Properties!A$1:CB$87,Formula!D61,52)),IF(INDEX(Properties!A$1:CB$87,Formula!F61,52)=0,10^6,INDEX(Properties!A$1:CB$87,Formula!F61,52)),IF(INDEX(Properties!A$1:CB$87,Formula!H61,52)=0,10^6,INDEX(Properties!A$1:CB$87,Formula!H61,52)),IF(INDEX(Properties!A$1:CB$87,Formula!J61,52)=0,10^6,INDEX(Properties!A$1:CB$87,Formula!J61,52)))</f>
        <v>0.79300000000000004</v>
      </c>
      <c r="EU61" s="81">
        <f t="shared" si="24"/>
        <v>38.907000000000004</v>
      </c>
      <c r="EV61" s="39">
        <f>((Formula!C61)/(Formula!C61+Formula!E61+Formula!G61+Formula!I61+Formula!K61))*(INDEX(Properties!A$1:CB$87,Formula!B61,53))+((Formula!E61)/(Formula!C61+Formula!E61+Formula!G61+Formula!I61+Formula!K61))*(INDEX(Properties!A$1:CB$87,Formula!D61,53))+((Formula!G61)/(Formula!C61+Formula!E61+Formula!G61+Formula!I61+Formula!K61))*(INDEX(Properties!A$1:CB$87,Formula!F61,53))+((Formula!I61)/(Formula!C61+Formula!E61+Formula!G61+Formula!I61+Formula!K61))*(INDEX(Properties!A$1:CB$87,Formula!H61,53))+((Formula!K61)/(Formula!C61+Formula!E61+Formula!G61+Formula!I61+Formula!K61))*(INDEX(Properties!A$1:CB$87,Formula!J61,53))</f>
        <v>349.65</v>
      </c>
      <c r="EW61" s="39">
        <f>Formula!C61*(INDEX(Properties!A$1:CB$87,Formula!B61,53))+Formula!E61*(INDEX(Properties!A$1:CB$87,Formula!D61,53))+Formula!G61*(INDEX(Properties!A$1:CB$87,Formula!F61,53))+Formula!I61*(INDEX(Properties!A$1:CB$87,Formula!H61,53))+Formula!K61*(INDEX(Properties!A$1:CB$87,Formula!J61,53))</f>
        <v>4195.8</v>
      </c>
      <c r="EX61" s="39">
        <f>VARP(IF(INDEX(Properties!A$1:CB$87,Formula!B61,53)&lt;&gt;"",INDEX(Properties!A$1:CB$87,Formula!B61,53)),IF(INDEX(Properties!A$1:CB$87,Formula!D61,53)&lt;&gt;"",INDEX(Properties!A$1:CB$87,Formula!D61,53)),IF(INDEX(Properties!A$1:CB$87,Formula!F61,53)&lt;&gt;"",INDEX(Properties!A$1:CB$87,Formula!F61,53)),IF(INDEX(Properties!A$1:CB$87,Formula!H61,53)&lt;&gt;"",INDEX(Properties!A$1:CB$87,Formula!H61,53)),IF(INDEX(Properties!A$1:CB$87,Formula!J61,53)&lt;&gt;"",INDEX(Properties!A$1:CB$87,Formula!J61,53)))</f>
        <v>634557.33039999998</v>
      </c>
      <c r="EY61" s="39">
        <f>MAX(INDEX(Properties!A$1:CB$87,Formula!B61,53),INDEX(Properties!A$1:CB$87,Formula!D61,53),INDEX(Properties!A$1:CB$87,Formula!F61,53),INDEX(Properties!A$1:CB$87,Formula!H61,53),INDEX(Properties!A$1:CB$87,Formula!J61,53))</f>
        <v>2125.15</v>
      </c>
      <c r="EZ61" s="39">
        <f>MIN(IF(INDEX(Properties!A$1:CB$87,Formula!B61,53)=0,10^6,INDEX(Properties!A$1:CB$87,Formula!B61,53)),IF(INDEX(Properties!A$1:CB$87,Formula!D61,53)=0,10^6,INDEX(Properties!A$1:CB$87,Formula!D61,53)),IF(INDEX(Properties!A$1:CB$87,Formula!F61,53)=0,10^6,INDEX(Properties!A$1:CB$87,Formula!F61,53)),IF(INDEX(Properties!A$1:CB$87,Formula!H61,53)=0,10^6,INDEX(Properties!A$1:CB$87,Formula!H61,53)),IF(INDEX(Properties!A$1:CB$87,Formula!J61,53)=0,10^6,INDEX(Properties!A$1:CB$87,Formula!J61,53)))</f>
        <v>54.749999999999972</v>
      </c>
      <c r="FA61" s="39">
        <f t="shared" si="25"/>
        <v>2070.4</v>
      </c>
      <c r="FB61" s="54">
        <f>((Formula!C61)/(Formula!C61+Formula!E61+Formula!G61+Formula!I61+Formula!K61))*(INDEX(Properties!A$1:CB$87,Formula!B61,54))+((Formula!E61)/(Formula!C61+Formula!E61+Formula!G61+Formula!I61+Formula!K61))*(INDEX(Properties!A$1:CB$87,Formula!D61,54))+((Formula!G61)/(Formula!C61+Formula!E61+Formula!G61+Formula!I61+Formula!K61))*(INDEX(Properties!A$1:CB$87,Formula!F61,54))+((Formula!I61)/(Formula!C61+Formula!E61+Formula!G61+Formula!I61+Formula!K61))*(INDEX(Properties!A$1:CB$87,Formula!H61,54))+((Formula!K61)/(Formula!C61+Formula!E61+Formula!G61+Formula!I61+Formula!K61))*(INDEX(Properties!A$1:CB$87,Formula!J61,54))</f>
        <v>699.23333333333323</v>
      </c>
      <c r="FC61" s="54">
        <f>Formula!C61*(INDEX(Properties!A$1:CB$87,Formula!B61,54))+Formula!E61*(INDEX(Properties!A$1:CB$87,Formula!D61,54))+Formula!G61*(INDEX(Properties!A$1:CB$87,Formula!F61,54))+Formula!I61*(INDEX(Properties!A$1:CB$87,Formula!H61,54))+Formula!K61*(INDEX(Properties!A$1:CB$87,Formula!J61,54))</f>
        <v>8390.7999999999993</v>
      </c>
      <c r="FD61" s="54">
        <f>VARP(IF(INDEX(Properties!A$1:CB$87,Formula!B61,54)&lt;&gt;"",INDEX(Properties!A$1:CB$87,Formula!B61,54)),IF(INDEX(Properties!A$1:CB$87,Formula!D61,54)&lt;&gt;"",INDEX(Properties!A$1:CB$87,Formula!D61,54)),IF(INDEX(Properties!A$1:CB$87,Formula!F61,54)&lt;&gt;"",INDEX(Properties!A$1:CB$87,Formula!F61,54)),IF(INDEX(Properties!A$1:CB$87,Formula!H61,54)&lt;&gt;"",INDEX(Properties!A$1:CB$87,Formula!H61,54)),IF(INDEX(Properties!A$1:CB$87,Formula!J61,54)&lt;&gt;"",INDEX(Properties!A$1:CB$87,Formula!J61,54)))</f>
        <v>3042224.6356000006</v>
      </c>
      <c r="FE61" s="54">
        <f>MAX(INDEX(Properties!A$1:CB$87,Formula!B61,54),INDEX(Properties!A$1:CB$87,Formula!D61,54),INDEX(Properties!A$1:CB$87,Formula!F61,54),INDEX(Properties!A$1:CB$87,Formula!H61,54),INDEX(Properties!A$1:CB$87,Formula!J61,54))</f>
        <v>4650.1499999999996</v>
      </c>
      <c r="FF61" s="54">
        <f>MIN(IF(INDEX(Properties!A$1:CB$87,Formula!B61,54)=0,10^6,INDEX(Properties!A$1:CB$87,Formula!B61,54)),IF(INDEX(Properties!A$1:CB$87,Formula!D61,54)=0,10^6,INDEX(Properties!A$1:CB$87,Formula!D61,54)),IF(INDEX(Properties!A$1:CB$87,Formula!F61,54)=0,10^6,INDEX(Properties!A$1:CB$87,Formula!F61,54)),IF(INDEX(Properties!A$1:CB$87,Formula!H61,54)=0,10^6,INDEX(Properties!A$1:CB$87,Formula!H61,54)),IF(INDEX(Properties!A$1:CB$87,Formula!J61,54)=0,10^6,INDEX(Properties!A$1:CB$87,Formula!J61,54)))</f>
        <v>90.149999999999977</v>
      </c>
      <c r="FG61" s="54">
        <f t="shared" si="26"/>
        <v>4560</v>
      </c>
      <c r="FH61" s="69">
        <f>((Formula!C61)/(Formula!C61+Formula!E61+Formula!G61+Formula!I61+Formula!K61))*(INDEX(Properties!A$1:CB$87,Formula!B61,55))+((Formula!E61)/(Formula!C61+Formula!E61+Formula!G61+Formula!I61+Formula!K61))*(INDEX(Properties!A$1:CB$87,Formula!D61,55))+((Formula!G61)/(Formula!C61+Formula!E61+Formula!G61+Formula!I61+Formula!K61))*(INDEX(Properties!A$1:CB$87,Formula!F61,55))+((Formula!I61)/(Formula!C61+Formula!E61+Formula!G61+Formula!I61+Formula!K61))*(INDEX(Properties!A$1:CB$87,Formula!H61,55))+((Formula!K61)/(Formula!C61+Formula!E61+Formula!G61+Formula!I61+Formula!K61))*(INDEX(Properties!A$1:CB$87,Formula!J61,55))</f>
        <v>1.1384533333333333</v>
      </c>
      <c r="FI61" s="69">
        <f>Formula!C61*(INDEX(Properties!A$1:CB$87,Formula!B61,55))+Formula!E61*(INDEX(Properties!A$1:CB$87,Formula!D61,54))+Formula!G61*(INDEX(Properties!A$1:CB$87,Formula!F61,55))+Formula!I61*(INDEX(Properties!A$1:CB$87,Formula!H61,55))+Formula!K61*(INDEX(Properties!A$1:CB$87,Formula!J61,55))</f>
        <v>4657.3014400000002</v>
      </c>
      <c r="FJ61" s="69">
        <f>VARP(IF(INDEX(Properties!A$1:CB$87,Formula!B61,55)&lt;&gt;"",INDEX(Properties!A$1:CB$87,Formula!B61,55)),IF(INDEX(Properties!A$1:CB$87,Formula!D61,55)&lt;&gt;"",INDEX(Properties!A$1:CB$87,Formula!D61,55)),IF(INDEX(Properties!A$1:CB$87,Formula!F61,55)&lt;&gt;"",INDEX(Properties!A$1:CB$87,Formula!F61,55)),IF(INDEX(Properties!A$1:CB$87,Formula!H61,55)&lt;&gt;"",INDEX(Properties!A$1:CB$87,Formula!H61,55)),IF(INDEX(Properties!A$1:CB$87,Formula!J61,55)&lt;&gt;"",INDEX(Properties!A$1:CB$87,Formula!J61,55)))</f>
        <v>5.9891909751839991</v>
      </c>
      <c r="FK61" s="69">
        <f>MAX(INDEX(Properties!A$1:CB$87,Formula!B61,55),INDEX(Properties!A$1:CB$87,Formula!D61,55),INDEX(Properties!A$1:CB$87,Formula!F61,55),INDEX(Properties!A$1:CB$87,Formula!H61,55),INDEX(Properties!A$1:CB$87,Formula!J61,55))</f>
        <v>6.51</v>
      </c>
      <c r="FL61" s="69">
        <f>MIN(IF(INDEX(Properties!A$1:CB$87,Formula!B61,55)=0,10^6,INDEX(Properties!A$1:CB$87,Formula!B61,55)),IF(INDEX(Properties!A$1:CB$87,Formula!D61,55)=0,10^6,INDEX(Properties!A$1:CB$87,Formula!D61,55)),IF(INDEX(Properties!A$1:CB$87,Formula!F61,55)=0,10^6,INDEX(Properties!A$1:CB$87,Formula!F61,55)),IF(INDEX(Properties!A$1:CB$87,Formula!H61,55)=0,10^6,INDEX(Properties!A$1:CB$87,Formula!H61,55)),IF(INDEX(Properties!A$1:CB$87,Formula!J61,55)=0,10^6,INDEX(Properties!A$1:CB$87,Formula!J61,55)))</f>
        <v>1.4300000000000001E-3</v>
      </c>
      <c r="FM61" s="69">
        <f t="shared" si="27"/>
        <v>6.5085699999999997</v>
      </c>
      <c r="FN61" s="42">
        <f>((Formula!C61)/(Formula!C61+Formula!E61+Formula!G61+Formula!I61+Formula!K61))*(INDEX(Properties!A$1:CB$87,Formula!B61,56))+((Formula!E61)/(Formula!C61+Formula!E61+Formula!G61+Formula!I61+Formula!K61))*(INDEX(Properties!A$1:CB$87,Formula!D61,56))+((Formula!G61)/(Formula!C61+Formula!E61+Formula!G61+Formula!I61+Formula!K61))*(INDEX(Properties!A$1:CB$87,Formula!F61,56))+((Formula!I61)/(Formula!C61+Formula!E61+Formula!G61+Formula!I61+Formula!K61))*(INDEX(Properties!A$1:CB$87,Formula!H61,56))+((Formula!K61)/(Formula!C61+Formula!E61+Formula!G61+Formula!I61+Formula!K61))*(INDEX(Properties!A$1:CB$87,Formula!J61,56))</f>
        <v>0.78116666666666656</v>
      </c>
      <c r="FO61" s="42">
        <f>Formula!C61*(INDEX(Properties!A$1:CB$87,Formula!B61,56))+Formula!E61*(INDEX(Properties!A$1:CB$87,Formula!D61,56))+Formula!G61*(INDEX(Properties!A$1:CB$87,Formula!F61,56))+Formula!I61*(INDEX(Properties!A$1:CB$87,Formula!H61,56))+Formula!K61*(INDEX(Properties!A$1:CB$87,Formula!J61,56))</f>
        <v>9.3740000000000006</v>
      </c>
      <c r="FP61" s="42">
        <f>VARP(IF(INDEX(Properties!A$1:CB$87,Formula!B61,56)&lt;&gt;"",INDEX(Properties!A$1:CB$87,Formula!B61,56)),IF(INDEX(Properties!A$1:CB$87,Formula!D61,56)&lt;&gt;"",INDEX(Properties!A$1:CB$87,Formula!D61,56)),IF(INDEX(Properties!A$1:CB$87,Formula!F61,56)&lt;&gt;"",INDEX(Properties!A$1:CB$87,Formula!F61,56)),IF(INDEX(Properties!A$1:CB$87,Formula!H61,56)&lt;&gt;"",INDEX(Properties!A$1:CB$87,Formula!H61,56)),IF(INDEX(Properties!A$1:CB$87,Formula!J61,56)&lt;&gt;"",INDEX(Properties!A$1:CB$87,Formula!J61,56)))</f>
        <v>0.12344736000000001</v>
      </c>
      <c r="FQ61" s="42">
        <f>MAX(INDEX(Properties!A$1:CB$87,Formula!B61,56),INDEX(Properties!A$1:CB$87,Formula!D61,56),INDEX(Properties!A$1:CB$87,Formula!F61,56),INDEX(Properties!A$1:CB$87,Formula!H61,56),INDEX(Properties!A$1:CB$87,Formula!J61,56))</f>
        <v>0.92</v>
      </c>
      <c r="FR61" s="42">
        <f>MIN(IF(INDEX(Properties!A$1:CB$87,Formula!B61,56)=0,10^6,INDEX(Properties!A$1:CB$87,Formula!B61,56)),IF(INDEX(Properties!A$1:CB$87,Formula!D61,56)=0,10^6,INDEX(Properties!A$1:CB$87,Formula!D61,56)),IF(INDEX(Properties!A$1:CB$87,Formula!F61,56)=0,10^6,INDEX(Properties!A$1:CB$87,Formula!F61,56)),IF(INDEX(Properties!A$1:CB$87,Formula!H61,56)=0,10^6,INDEX(Properties!A$1:CB$87,Formula!H61,56)),IF(INDEX(Properties!A$1:CB$87,Formula!J61,56)=0,10^6,INDEX(Properties!A$1:CB$87,Formula!J61,56)))</f>
        <v>0.20399999999999999</v>
      </c>
      <c r="FS61" s="42">
        <f t="shared" si="28"/>
        <v>0.71600000000000008</v>
      </c>
      <c r="FT61" s="60">
        <f>((Formula!C61)/(Formula!C61+Formula!E61+Formula!G61+Formula!I61+Formula!K61))*(INDEX(Properties!A$1:CB$87,Formula!B61,57))+((Formula!E61)/(Formula!C61+Formula!E61+Formula!G61+Formula!I61+Formula!K61))*(INDEX(Properties!A$1:CB$87,Formula!D61,57))+((Formula!G61)/(Formula!C61+Formula!E61+Formula!G61+Formula!I61+Formula!K61))*(INDEX(Properties!A$1:CB$87,Formula!F61,57))+((Formula!I61)/(Formula!C61+Formula!E61+Formula!G61+Formula!I61+Formula!K61))*(INDEX(Properties!A$1:CB$87,Formula!H61,57))+((Formula!K61)/(Formula!C61+Formula!E61+Formula!G61+Formula!I61+Formula!K61))*(INDEX(Properties!A$1:CB$87,Formula!J61,57))</f>
        <v>2.3120599999999998</v>
      </c>
      <c r="FU61" s="60">
        <f>Formula!C61*(INDEX(Properties!A$1:CB$87,Formula!B61,57))+Formula!E61*(INDEX(Properties!A$1:CB$87,Formula!D61,57))+Formula!G61*(INDEX(Properties!A$1:CB$87,Formula!F61,57))+Formula!I61*(INDEX(Properties!A$1:CB$87,Formula!H61,57))+Formula!K61*(INDEX(Properties!A$1:CB$87,Formula!J61,57))</f>
        <v>27.744719999999997</v>
      </c>
      <c r="FV61" s="60">
        <f>VARP(IF(INDEX(Properties!A$1:CB$87,Formula!B61,57)&lt;&gt;"",INDEX(Properties!A$1:CB$87,Formula!B61,57)),IF(INDEX(Properties!A$1:CB$87,Formula!D61,57)&lt;&gt;"",INDEX(Properties!A$1:CB$87,Formula!D61,57)),IF(INDEX(Properties!A$1:CB$87,Formula!F61,57)&lt;&gt;"",INDEX(Properties!A$1:CB$87,Formula!F61,57)),IF(INDEX(Properties!A$1:CB$87,Formula!H61,57)&lt;&gt;"",INDEX(Properties!A$1:CB$87,Formula!H61,57)),IF(INDEX(Properties!A$1:CB$87,Formula!J61,57)&lt;&gt;"",INDEX(Properties!A$1:CB$87,Formula!J61,57)))</f>
        <v>43.160340438895993</v>
      </c>
      <c r="FW61" s="60">
        <f>MAX(INDEX(Properties!A$1:CB$87,Formula!B61,57),INDEX(Properties!A$1:CB$87,Formula!D61,57),INDEX(Properties!A$1:CB$87,Formula!F61,57),INDEX(Properties!A$1:CB$87,Formula!H61,57),INDEX(Properties!A$1:CB$87,Formula!J61,57))</f>
        <v>16.899999999999999</v>
      </c>
      <c r="FX61" s="60">
        <f>MIN(IF(INDEX(Properties!A$1:CB$87,Formula!B61,57)=0,10^6,INDEX(Properties!A$1:CB$87,Formula!B61,57)),IF(INDEX(Properties!A$1:CB$87,Formula!D61,57)=0,10^6,INDEX(Properties!A$1:CB$87,Formula!D61,57)),IF(INDEX(Properties!A$1:CB$87,Formula!F61,57)=0,10^6,INDEX(Properties!A$1:CB$87,Formula!F61,57)),IF(INDEX(Properties!A$1:CB$87,Formula!H61,57)=0,10^6,INDEX(Properties!A$1:CB$87,Formula!H61,57)),IF(INDEX(Properties!A$1:CB$87,Formula!J61,57)=0,10^6,INDEX(Properties!A$1:CB$87,Formula!J61,57)))</f>
        <v>0.22259000000000001</v>
      </c>
      <c r="FY61" s="60">
        <f t="shared" si="29"/>
        <v>16.677409999999998</v>
      </c>
      <c r="FZ61" s="72">
        <f>((Formula!C61)/(Formula!C61+Formula!E61+Formula!G61+Formula!I61+Formula!K61))*(INDEX(Properties!A$1:CB$87,Formula!B61,60))+((Formula!E61)/(Formula!C61+Formula!E61+Formula!G61+Formula!I61+Formula!K61))*(INDEX(Properties!A$1:CB$87,Formula!D61,60))+((Formula!G61)/(Formula!C61+Formula!E61+Formula!G61+Formula!I61+Formula!K61))*(INDEX(Properties!A$1:CB$87,Formula!F61,60))+((Formula!I61)/(Formula!C61+Formula!E61+Formula!G61+Formula!I61+Formula!K61))*(INDEX(Properties!A$1:CB$87,Formula!H61,60))+((Formula!K61)/(Formula!C61+Formula!E61+Formula!G61+Formula!I61+Formula!K61))*(INDEX(Properties!A$1:CB$87,Formula!J61,60))</f>
        <v>3.4819933333333331</v>
      </c>
      <c r="GA61" s="72">
        <f>Formula!C61*(INDEX(Properties!A$1:CB$87,Formula!B61,60))+Formula!E61*(INDEX(Properties!A$1:CB$87,Formula!D61,60))+Formula!G61*(INDEX(Properties!A$1:CB$87,Formula!F61,60))+Formula!I61*(INDEX(Properties!A$1:CB$87,Formula!H61,60))+Formula!K61*(INDEX(Properties!A$1:CB$87,Formula!J61,60))</f>
        <v>41.783919999999995</v>
      </c>
      <c r="GB61" s="72">
        <f>VARP(IF(INDEX(Properties!A$1:CB$87,Formula!B61,60)&lt;&gt;"",INDEX(Properties!A$1:CB$87,Formula!B61,60)),IF(INDEX(Properties!A$1:CB$87,Formula!D61,60)&lt;&gt;"",INDEX(Properties!A$1:CB$87,Formula!D61,60)),IF(INDEX(Properties!A$1:CB$87,Formula!F61,60)&lt;&gt;"",INDEX(Properties!A$1:CB$87,Formula!F61,60)),IF(INDEX(Properties!A$1:CB$87,Formula!H61,60)&lt;&gt;"",INDEX(Properties!A$1:CB$87,Formula!H61,60)),IF(INDEX(Properties!A$1:CB$87,Formula!J61,60)&lt;&gt;"",INDEX(Properties!A$1:CB$87,Formula!J61,60)))</f>
        <v>102.34944657241601</v>
      </c>
      <c r="GC61" s="72">
        <f>MAX(INDEX(Properties!A$1:CB$87,Formula!B61,60),INDEX(Properties!A$1:CB$87,Formula!D61,60),INDEX(Properties!A$1:CB$87,Formula!F61,60),INDEX(Properties!A$1:CB$87,Formula!H61,60),INDEX(Properties!A$1:CB$87,Formula!J61,60))</f>
        <v>22.7</v>
      </c>
      <c r="GD61" s="72">
        <f>MIN(IF(INDEX(Properties!A$1:CB$87,Formula!B61,60)=0,10^6,INDEX(Properties!A$1:CB$87,Formula!B61,60)),IF(INDEX(Properties!A$1:CB$87,Formula!D61,60)=0,10^6,INDEX(Properties!A$1:CB$87,Formula!D61,60)),IF(INDEX(Properties!A$1:CB$87,Formula!F61,60)=0,10^6,INDEX(Properties!A$1:CB$87,Formula!F61,60)),IF(INDEX(Properties!A$1:CB$87,Formula!H61,60)=0,10^6,INDEX(Properties!A$1:CB$87,Formula!H61,60)),IF(INDEX(Properties!A$1:CB$87,Formula!J61,60)=0,10^6,INDEX(Properties!A$1:CB$87,Formula!J61,60)))</f>
        <v>2.674E-2</v>
      </c>
      <c r="GE61" s="72">
        <f t="shared" si="30"/>
        <v>22.673259999999999</v>
      </c>
      <c r="GF61" s="51">
        <f>((Formula!C61)/(Formula!C61+Formula!E61+Formula!G61+Formula!I61+Formula!K61))*(INDEX(Properties!A$1:CB$87,Formula!B61,62))+((Formula!E61)/(Formula!C61+Formula!E61+Formula!G61+Formula!I61+Formula!K61))*(INDEX(Properties!A$1:CB$87,Formula!D61,62))+((Formula!G61)/(Formula!C61+Formula!E61+Formula!G61+Formula!I61+Formula!K61))*(INDEX(Properties!A$1:CB$87,Formula!F61,62))+((Formula!I61)/(Formula!C61+Formula!E61+Formula!G61+Formula!I61+Formula!K61))*(INDEX(Properties!A$1:CB$87,Formula!H61,62))+((Formula!K61)/(Formula!C61+Formula!E61+Formula!G61+Formula!I61+Formula!K61))*(INDEX(Properties!A$1:CB$87,Formula!J61,62))</f>
        <v>2.9974999999999996</v>
      </c>
      <c r="GG61" s="51">
        <f>Formula!C61*(INDEX(Properties!A$1:CB$87,Formula!B61,62))+Formula!E61*(INDEX(Properties!A$1:CB$87,Formula!D61,62))+Formula!G61*(INDEX(Properties!A$1:CB$87,Formula!F61,62))+Formula!I61*(INDEX(Properties!A$1:CB$87,Formula!H61,62))+Formula!K61*(INDEX(Properties!A$1:CB$87,Formula!J61,62))</f>
        <v>35.97</v>
      </c>
      <c r="GH61" s="51">
        <f>VARP(IF(INDEX(Properties!A$1:CB$87,Formula!B61,62)&lt;&gt;"",INDEX(Properties!A$1:CB$87,Formula!B61,62)),IF(INDEX(Properties!A$1:CB$87,Formula!D61,62)&lt;&gt;"",INDEX(Properties!A$1:CB$87,Formula!D61,62)),IF(INDEX(Properties!A$1:CB$87,Formula!F61,62)&lt;&gt;"",INDEX(Properties!A$1:CB$87,Formula!F61,62)),IF(INDEX(Properties!A$1:CB$87,Formula!H61,62)&lt;&gt;"",INDEX(Properties!A$1:CB$87,Formula!H61,62)),IF(INDEX(Properties!A$1:CB$87,Formula!J61,62)&lt;&gt;"",INDEX(Properties!A$1:CB$87,Formula!J61,62)))</f>
        <v>4.1947600000000014</v>
      </c>
      <c r="GI61" s="51">
        <f>MAX(INDEX(Properties!A$1:CB$87,Formula!B61,62),INDEX(Properties!A$1:CB$87,Formula!D61,62),INDEX(Properties!A$1:CB$87,Formula!F61,62),INDEX(Properties!A$1:CB$87,Formula!H61,62),INDEX(Properties!A$1:CB$87,Formula!J61,62))</f>
        <v>6.25</v>
      </c>
      <c r="GJ61" s="51">
        <f>MIN(IF(INDEX(Properties!A$1:CB$87,Formula!B61,62)=0,10^6,INDEX(Properties!A$1:CB$87,Formula!B61,62)),IF(INDEX(Properties!A$1:CB$87,Formula!D61,62)=0,10^6,INDEX(Properties!A$1:CB$87,Formula!D61,62)),IF(INDEX(Properties!A$1:CB$87,Formula!F61,62)=0,10^6,INDEX(Properties!A$1:CB$87,Formula!F61,62)),IF(INDEX(Properties!A$1:CB$87,Formula!H61,62)=0,10^6,INDEX(Properties!A$1:CB$87,Formula!H61,62)),IF(INDEX(Properties!A$1:CB$87,Formula!J61,62)=0,10^6,INDEX(Properties!A$1:CB$87,Formula!J61,62)))</f>
        <v>1.9</v>
      </c>
      <c r="GK61" s="51">
        <f t="shared" si="31"/>
        <v>4.3499999999999996</v>
      </c>
      <c r="GL61" s="51">
        <f>Formula!P61</f>
        <v>12</v>
      </c>
      <c r="GM61" s="57">
        <f>Formula!O61</f>
        <v>2</v>
      </c>
      <c r="GN61" s="51">
        <f>Formula!N61</f>
        <v>0.03</v>
      </c>
    </row>
    <row r="62" spans="1:196" x14ac:dyDescent="0.3">
      <c r="A62" s="84" t="str">
        <f>Formula!A62</f>
        <v>SmCa4O(BO3)3</v>
      </c>
      <c r="B62" s="89">
        <f>((Formula!C62)/(Formula!C62+Formula!E62+Formula!G62+Formula!I62+Formula!K62))*(INDEX(Properties!A$1:CB$87,Formula!B62,3))+((Formula!E62)/(Formula!C62+Formula!E62+Formula!G62+Formula!I62+Formula!K62))*(INDEX(Properties!A$1:CB$87,Formula!D62,3))+((Formula!G62)/(Formula!C62+Formula!E62+Formula!G62+Formula!I62+Formula!K62))*(INDEX(Properties!A$1:CB$87,Formula!F62,3))+((Formula!I62)/(Formula!C62+Formula!E62+Formula!G62+Formula!I62+Formula!K62))*(INDEX(Properties!A$1:CB$87,Formula!H62,3))+((Formula!K62)/(Formula!C62+Formula!E62+Formula!G62+Formula!I62+Formula!K62))*(INDEX(Properties!A$1:CB$87,Formula!J62,3))</f>
        <v>27.949944444444448</v>
      </c>
      <c r="C62" s="85">
        <f>Formula!C62*(INDEX(Properties!A$1:CB$87,Formula!B62,3))+Formula!E62*(INDEX(Properties!A$1:CB$87,Formula!D62,3))+Formula!G62*(INDEX(Properties!A$1:CB$87,Formula!F62,3))+Formula!I62*(INDEX(Properties!A$1:CB$87,Formula!H62,3))+Formula!K62*(INDEX(Properties!A$1:CB$87,Formula!J62,3))</f>
        <v>503.09900000000005</v>
      </c>
      <c r="D62" s="85">
        <f>VARP(IF(INDEX(Properties!A$1:CB$87,Formula!B62,3)&lt;&gt;"",INDEX(Properties!A$1:CB$87,Formula!B62,3)),IF(INDEX(Properties!A$1:CB$87,Formula!D62,3)&lt;&gt;"",INDEX(Properties!A$1:CB$87,Formula!D62,3)),IF(INDEX(Properties!A$1:CB$87,Formula!F62,3)&lt;&gt;"",INDEX(Properties!A$1:CB$87,Formula!F62,3)),IF(INDEX(Properties!A$1:CB$87,Formula!H62,3)&lt;&gt;"",INDEX(Properties!A$1:CB$87,Formula!H62,3)),IF(INDEX(Properties!A$1:CB$87,Formula!J62,3)&lt;&gt;"",INDEX(Properties!A$1:CB$87,Formula!J62,3)))</f>
        <v>3029.5721489696007</v>
      </c>
      <c r="E62" s="85">
        <f>MAX(INDEX(Properties!A$1:CB$87,Formula!B62,3),INDEX(Properties!A$1:CB$87,Formula!D62,3),INDEX(Properties!A$1:CB$87,Formula!F62,3),INDEX(Properties!A$1:CB$87,Formula!H62,3),INDEX(Properties!A$1:CB$87,Formula!J62,3))</f>
        <v>150.36000000000001</v>
      </c>
      <c r="F62" s="85">
        <f>MIN(IF(INDEX(Properties!A$1:CB$87,Formula!B62,3)=0,10^6,INDEX(Properties!A$1:CB$87,Formula!B62,3)),IF(INDEX(Properties!A$1:CB$87,Formula!D62,3)=0,10^6,INDEX(Properties!A$1:CB$87,Formula!D62,3)),IF(INDEX(Properties!A$1:CB$87,Formula!F62,3)=0,10^6,INDEX(Properties!A$1:CB$87,Formula!F62,3)),IF(INDEX(Properties!A$1:CB$87,Formula!H62,3)=0,10^6,INDEX(Properties!A$1:CB$87,Formula!H62,3)),IF(INDEX(Properties!A$1:CB$87,Formula!J62,3)=0,10^6,INDEX(Properties!A$1:CB$87,Formula!J62,3)))</f>
        <v>10.811</v>
      </c>
      <c r="G62" s="85">
        <f t="shared" si="0"/>
        <v>139.54900000000001</v>
      </c>
      <c r="H62" s="87">
        <f>((Formula!C62)/(Formula!C62+Formula!E62+Formula!G62+Formula!I62+Formula!K62))*(INDEX(Properties!A$1:CB$87,Formula!B62,4))+((Formula!E62)/(Formula!C62+Formula!E62+Formula!G62+Formula!I62+Formula!K62))*(INDEX(Properties!A$1:CB$87,Formula!D62,4))+((Formula!G62)/(Formula!C62+Formula!E62+Formula!G62+Formula!I62+Formula!K62))*(INDEX(Properties!A$1:CB$87,Formula!F62,4))+((Formula!I62)/(Formula!C62+Formula!E62+Formula!G62+Formula!I62+Formula!K62))*(INDEX(Properties!A$1:CB$87,Formula!H62,4))+((Formula!K62)/(Formula!C62+Formula!E62+Formula!G62+Formula!I62+Formula!K62))*(INDEX(Properties!A$1:CB$87,Formula!J62,4))</f>
        <v>13.166666666666668</v>
      </c>
      <c r="I62" s="87">
        <f>Formula!C62*(INDEX(Properties!A$1:CB$87,Formula!B62,4))+Formula!E62*(INDEX(Properties!A$1:CB$87,Formula!D62,4))+Formula!G62*(INDEX(Properties!A$1:CB$87,Formula!F62,4))+Formula!I62*(INDEX(Properties!A$1:CB$87,Formula!H62,4))+Formula!K62*(INDEX(Properties!A$1:CB$87,Formula!J62,4))</f>
        <v>237</v>
      </c>
      <c r="J62" s="87">
        <f>VARP(IF(INDEX(Properties!A$1:CB$87,Formula!B62,4)&lt;&gt;"",INDEX(Properties!A$1:CB$87,Formula!B62,4)),IF(INDEX(Properties!A$1:CB$87,Formula!D62,4)&lt;&gt;"",INDEX(Properties!A$1:CB$87,Formula!D62,4)),IF(INDEX(Properties!A$1:CB$87,Formula!F62,4)&lt;&gt;"",INDEX(Properties!A$1:CB$87,Formula!F62,4)),IF(INDEX(Properties!A$1:CB$87,Formula!H62,4)&lt;&gt;"",INDEX(Properties!A$1:CB$87,Formula!H62,4)),IF(INDEX(Properties!A$1:CB$87,Formula!J62,4)&lt;&gt;"",INDEX(Properties!A$1:CB$87,Formula!J62,4)))</f>
        <v>505.6</v>
      </c>
      <c r="K62" s="87">
        <f>MAX(INDEX(Properties!A$1:CB$87,Formula!B62,4),INDEX(Properties!A$1:CB$87,Formula!D62,4),INDEX(Properties!A$1:CB$87,Formula!F62,4),INDEX(Properties!A$1:CB$87,Formula!H62,4),INDEX(Properties!A$1:CB$87,Formula!J62,4))</f>
        <v>62</v>
      </c>
      <c r="L62" s="87">
        <f>MIN(IF(INDEX(Properties!A$1:CB$87,Formula!B62,4)=0,10^6,INDEX(Properties!A$1:CB$87,Formula!B62,4)),IF(INDEX(Properties!A$1:CB$87,Formula!D62,4)=0,10^6,INDEX(Properties!A$1:CB$87,Formula!D62,4)),IF(INDEX(Properties!A$1:CB$87,Formula!F62,4)=0,10^6,INDEX(Properties!A$1:CB$87,Formula!F62,4)),IF(INDEX(Properties!A$1:CB$87,Formula!H62,4)=0,10^6,INDEX(Properties!A$1:CB$87,Formula!H62,4)),IF(INDEX(Properties!A$1:CB$87,Formula!J62,4)=0,10^6,INDEX(Properties!A$1:CB$87,Formula!J62,4)))</f>
        <v>5</v>
      </c>
      <c r="M62" s="87">
        <f t="shared" si="1"/>
        <v>57</v>
      </c>
      <c r="N62" s="89">
        <f>((Formula!C62)/(Formula!C62+Formula!E62+Formula!G62+Formula!I62+Formula!K62))*(INDEX(Properties!A$1:CB$87,Formula!B62,5))+((Formula!E62)/(Formula!C62+Formula!E62+Formula!G62+Formula!I62+Formula!K62))*(INDEX(Properties!A$1:CB$87,Formula!D62,5))+((Formula!G62)/(Formula!C62+Formula!E62+Formula!G62+Formula!I62+Formula!K62))*(INDEX(Properties!A$1:CB$87,Formula!F62,5))+((Formula!I62)/(Formula!C62+Formula!E62+Formula!G62+Formula!I62+Formula!K62))*(INDEX(Properties!A$1:CB$87,Formula!H62,5))+((Formula!K62)/(Formula!C62+Formula!E62+Formula!G62+Formula!I62+Formula!K62))*(INDEX(Properties!A$1:CB$87,Formula!J62,5))</f>
        <v>2.6666666666666665</v>
      </c>
      <c r="O62" s="89">
        <f>Formula!C62*(INDEX(Properties!A$1:CB$87,Formula!B62,5))+Formula!E62*(INDEX(Properties!A$1:CB$87,Formula!D62,5))+Formula!G62*(INDEX(Properties!A$1:CB$87,Formula!F62,5))+Formula!I62*(INDEX(Properties!A$1:CB$87,Formula!H62,5))+Formula!K62*(INDEX(Properties!A$1:CB$87,Formula!J62,5))</f>
        <v>48</v>
      </c>
      <c r="P62" s="89">
        <f>VARP(IF(INDEX(Properties!A$1:CB$87,Formula!B62,5)&lt;&gt;"",INDEX(Properties!A$1:CB$87,Formula!B62,5)),IF(INDEX(Properties!A$1:CB$87,Formula!D62,5)&lt;&gt;"",INDEX(Properties!A$1:CB$87,Formula!D62,5)),IF(INDEX(Properties!A$1:CB$87,Formula!F62,5)&lt;&gt;"",INDEX(Properties!A$1:CB$87,Formula!F62,5)),IF(INDEX(Properties!A$1:CB$87,Formula!H62,5)&lt;&gt;"",INDEX(Properties!A$1:CB$87,Formula!H62,5)),IF(INDEX(Properties!A$1:CB$87,Formula!J62,5)&lt;&gt;"",INDEX(Properties!A$1:CB$87,Formula!J62,5)))</f>
        <v>4.16</v>
      </c>
      <c r="Q62" s="89">
        <f>MAX(INDEX(Properties!A$1:CB$87,Formula!B62,5),INDEX(Properties!A$1:CB$87,Formula!D62,5),INDEX(Properties!A$1:CB$87,Formula!F62,5),INDEX(Properties!A$1:CB$87,Formula!H62,5),INDEX(Properties!A$1:CB$87,Formula!J62,5))</f>
        <v>6</v>
      </c>
      <c r="R62" s="89">
        <f>MIN(IF(INDEX(Properties!A$1:CB$87,Formula!B62,5)=0,10^6,INDEX(Properties!A$1:CB$87,Formula!B62,5)),IF(INDEX(Properties!A$1:CB$87,Formula!D62,5)=0,10^6,INDEX(Properties!A$1:CB$87,Formula!D62,5)),IF(INDEX(Properties!A$1:CB$87,Formula!F62,5)=0,10^6,INDEX(Properties!A$1:CB$87,Formula!F62,5)),IF(INDEX(Properties!A$1:CB$87,Formula!H62,5)=0,10^6,INDEX(Properties!A$1:CB$87,Formula!H62,5)),IF(INDEX(Properties!A$1:CB$87,Formula!J62,5)=0,10^6,INDEX(Properties!A$1:CB$87,Formula!J62,5)))</f>
        <v>2</v>
      </c>
      <c r="S62" s="89">
        <f t="shared" si="2"/>
        <v>4</v>
      </c>
      <c r="T62" s="60">
        <f>((Formula!C62)/(Formula!C62+Formula!E62+Formula!G62+Formula!I62+Formula!K62))*(INDEX(Properties!A$1:CB$87,Formula!B62,6))+((Formula!E62)/(Formula!C62+Formula!E62+Formula!G62+Formula!I62+Formula!K62))*(INDEX(Properties!A$1:CB$87,Formula!D62,6))+((Formula!G62)/(Formula!C62+Formula!E62+Formula!G62+Formula!I62+Formula!K62))*(INDEX(Properties!A$1:CB$87,Formula!F62,6))+((Formula!I62)/(Formula!C62+Formula!E62+Formula!G62+Formula!I62+Formula!K62))*(INDEX(Properties!A$1:CB$87,Formula!H62,6))+((Formula!K62)/(Formula!C62+Formula!E62+Formula!G62+Formula!I62+Formula!K62))*(INDEX(Properties!A$1:CB$87,Formula!J62,6))</f>
        <v>11.666666666666668</v>
      </c>
      <c r="U62" s="60">
        <f>Formula!C62*(INDEX(Properties!A$1:CB$87,Formula!B62,6))+Formula!E62*(INDEX(Properties!A$1:CB$87,Formula!D62,6))+Formula!G62*(INDEX(Properties!A$1:CB$87,Formula!F62,6))+Formula!I62*(INDEX(Properties!A$1:CB$87,Formula!H62,6))+Formula!K62*(INDEX(Properties!A$1:CB$87,Formula!J62,6))</f>
        <v>210</v>
      </c>
      <c r="V62" s="89">
        <f>VARP(IF(INDEX(Properties!A$1:CB$87,Formula!B62,6)&lt;&gt;"",INDEX(Properties!A$1:CB$87,Formula!B62,6)),IF(INDEX(Properties!A$1:CB$87,Formula!D62,6)&lt;&gt;"",INDEX(Properties!A$1:CB$87,Formula!D62,6)),IF(INDEX(Properties!A$1:CB$87,Formula!F62,6)&lt;&gt;"",INDEX(Properties!A$1:CB$87,Formula!F62,6)),IF(INDEX(Properties!A$1:CB$87,Formula!H62,6)&lt;&gt;"",INDEX(Properties!A$1:CB$87,Formula!H62,6)),IF(INDEX(Properties!A$1:CB$87,Formula!J62,6)&lt;&gt;"",INDEX(Properties!A$1:CB$87,Formula!J62,6)))</f>
        <v>41.36</v>
      </c>
      <c r="W62" s="60">
        <f>MAX(INDEX(Properties!A$1:CB$87,Formula!B62,6),INDEX(Properties!A$1:CB$87,Formula!D62,6),INDEX(Properties!A$1:CB$87,Formula!F62,6),INDEX(Properties!A$1:CB$87,Formula!H62,4),INDEX(Properties!A$1:CB$87,Formula!J62,6))</f>
        <v>13</v>
      </c>
      <c r="X62" s="60">
        <f>MIN(IF(INDEX(Properties!A$1:CB$87,Formula!B62,6)=0,10^6,INDEX(Properties!A$1:CB$87,Formula!B62,6)),IF(INDEX(Properties!A$1:CB$87,Formula!D62,6)=0,10^6,INDEX(Properties!A$1:CB$87,Formula!D62,6)),IF(INDEX(Properties!A$1:CB$87,Formula!F62,6)=0,10^6,INDEX(Properties!A$1:CB$87,Formula!F62,6)),IF(INDEX(Properties!A$1:CB$87,Formula!H62,6)=0,10^6,INDEX(Properties!A$1:CB$87,Formula!H62,6)),IF(INDEX(Properties!A$1:CB$87,Formula!J62,6)=0,10^6,INDEX(Properties!A$1:CB$87,Formula!J62,6)))</f>
        <v>2</v>
      </c>
      <c r="Y62" s="60">
        <f t="shared" si="3"/>
        <v>11</v>
      </c>
      <c r="Z62" s="72">
        <f>((Formula!C62)/(Formula!C62+Formula!E62+Formula!G62+Formula!I62+Formula!K62))*(INDEX(Properties!A$1:CB$87,Formula!B62,9))+((Formula!E62)/(Formula!C62+Formula!E62+Formula!G62+Formula!I62+Formula!K62))*(INDEX(Properties!A$1:CB$87,Formula!D62,9))+((Formula!G62)/(Formula!C62+Formula!E62+Formula!G62+Formula!I62+Formula!K62))*(INDEX(Properties!A$1:CB$87,Formula!F62,9))+((Formula!I62)/(Formula!C62+Formula!E62+Formula!G62+Formula!I62+Formula!K62))*(INDEX(Properties!A$1:CB$87,Formula!H62,9))+((Formula!K62)/(Formula!C62+Formula!E62+Formula!G62+Formula!I62+Formula!K62))*(INDEX(Properties!A$1:CB$87,Formula!J62,9))</f>
        <v>63.166666666666671</v>
      </c>
      <c r="AA62" s="72">
        <f>Formula!C62*(INDEX(Properties!A$1:CB$87,Formula!B62,9))+Formula!E62*(INDEX(Properties!A$1:CB$87,Formula!D62,9))+Formula!G62*(INDEX(Properties!A$1:CB$87,Formula!F62,9))+Formula!I62*(INDEX(Properties!A$1:CB$87,Formula!H62,9))+Formula!K62*(INDEX(Properties!A$1:CB$87,Formula!J62,9))</f>
        <v>1137</v>
      </c>
      <c r="AB62" s="72">
        <f>VARP(IF(INDEX(Properties!A$1:CB$87,Formula!B62,9)&lt;&gt;"",INDEX(Properties!A$1:CB$87,Formula!B62,9)),IF(INDEX(Properties!A$1:CB$87,Formula!D62,9)&lt;&gt;"",INDEX(Properties!A$1:CB$87,Formula!D62,9)),IF(INDEX(Properties!A$1:CB$87,Formula!F62,9)&lt;&gt;"",INDEX(Properties!A$1:CB$87,Formula!F62,9)),IF(INDEX(Properties!A$1:CB$87,Formula!H62,9)&lt;&gt;"",INDEX(Properties!A$1:CB$87,Formula!H62,9)),IF(INDEX(Properties!A$1:CB$87,Formula!J62,9)&lt;&gt;"",INDEX(Properties!A$1:CB$87,Formula!J62,9)))</f>
        <v>1237.3599999999999</v>
      </c>
      <c r="AC62" s="72">
        <f>MAX(INDEX(Properties!A$1:CB$87,Formula!B62,9),INDEX(Properties!A$1:CB$87,Formula!D62,9),INDEX(Properties!A$1:CB$87,Formula!F62,9),INDEX(Properties!A$1:CB$87,Formula!H62,9),INDEX(Properties!A$1:CB$87,Formula!J62,9))</f>
        <v>87</v>
      </c>
      <c r="AD62" s="72">
        <f>MIN(IF(INDEX(Properties!A$1:CB$87,Formula!B62,9)=0,10^6,INDEX(Properties!A$1:CB$87,Formula!B62,9)),IF(INDEX(Properties!A$1:CB$87,Formula!D62,9)=0,10^6,INDEX(Properties!A$1:CB$87,Formula!D62,9)),IF(INDEX(Properties!A$1:CB$87,Formula!F62,9)=0,10^6,INDEX(Properties!A$1:CB$87,Formula!F62,9)),IF(INDEX(Properties!A$1:CB$87,Formula!H62,9)=0,10^6,INDEX(Properties!A$1:CB$87,Formula!H62,9)),IF(INDEX(Properties!A$1:CB$87,Formula!J62,9)=0,10^6,INDEX(Properties!A$1:CB$87,Formula!J62,9)))</f>
        <v>7</v>
      </c>
      <c r="AE62" s="72">
        <f t="shared" si="4"/>
        <v>80</v>
      </c>
      <c r="AF62" s="51">
        <f>((Formula!C62)/(Formula!C62+Formula!E62+Formula!G62+Formula!I62+Formula!K62))*(INDEX(Properties!A$1:CB$87,Formula!B62,10))+((Formula!E62)/(Formula!C62+Formula!E62+Formula!G62+Formula!I62+Formula!K62))*(INDEX(Properties!A$1:CB$87,Formula!D62,10))+((Formula!G62)/(Formula!C62+Formula!E62+Formula!G62+Formula!I62+Formula!K62))*(INDEX(Properties!A$1:CB$87,Formula!F62,10))+((Formula!I62)/(Formula!C62+Formula!E62+Formula!G62+Formula!I62+Formula!K62))*(INDEX(Properties!A$1:CB$87,Formula!H62,10))+((Formula!K62)/(Formula!C62+Formula!E62+Formula!G62+Formula!I62+Formula!K62))*(INDEX(Properties!A$1:CB$87,Formula!J62,10))</f>
        <v>5.5</v>
      </c>
      <c r="AG62" s="51">
        <f>Formula!C62*(INDEX(Properties!A$1:CB$87,Formula!B62,10))+Formula!E62*(INDEX(Properties!A$1:CB$87,Formula!D62,10))+Formula!G62*(INDEX(Properties!A$1:CB$87,Formula!F62,10))+Formula!I62*(INDEX(Properties!A$1:CB$87,Formula!H62,10))+Formula!K62*(INDEX(Properties!A$1:CB$87,Formula!J62,10))</f>
        <v>99</v>
      </c>
      <c r="AH62" s="51">
        <f>VARP(IF(INDEX(Properties!A$1:CB$87,Formula!B62,10)&lt;&gt;"",INDEX(Properties!A$1:CB$87,Formula!B62,10)),IF(INDEX(Properties!A$1:CB$87,Formula!D62,10)&lt;&gt;"",INDEX(Properties!A$1:CB$87,Formula!D62,10)),IF(INDEX(Properties!A$1:CB$87,Formula!F62,10)&lt;&gt;"",INDEX(Properties!A$1:CB$87,Formula!F62,10)),IF(INDEX(Properties!A$1:CB$87,Formula!H62,10)&lt;&gt;"",INDEX(Properties!A$1:CB$87,Formula!H62,10)),IF(INDEX(Properties!A$1:CB$87,Formula!J62,10)&lt;&gt;"",INDEX(Properties!A$1:CB$87,Formula!J62,10)))</f>
        <v>6.64</v>
      </c>
      <c r="AI62" s="51">
        <f>MAX(INDEX(Properties!A$1:CB$87,Formula!B62,10),INDEX(Properties!A$1:CB$87,Formula!D62,10),INDEX(Properties!A$1:CB$87,Formula!F62,10),INDEX(Properties!A$1:CB$87,Formula!H62,10),INDEX(Properties!A$1:CB$87,Formula!J62,10))</f>
        <v>7</v>
      </c>
      <c r="AJ62" s="51">
        <f>MIN(IF(INDEX(Properties!A$1:CB$87,Formula!B62,10)=0,10^6,INDEX(Properties!A$1:CB$87,Formula!B62,10)),IF(INDEX(Properties!A$1:CB$87,Formula!D62,10)=0,10^6,INDEX(Properties!A$1:CB$87,Formula!D62,10)),IF(INDEX(Properties!A$1:CB$87,Formula!F62,10)=0,10^6,INDEX(Properties!A$1:CB$87,Formula!F62,10)),IF(INDEX(Properties!A$1:CB$87,Formula!H62,10)=0,10^6,INDEX(Properties!A$1:CB$87,Formula!H62,10)),IF(INDEX(Properties!A$1:CB$87,Formula!J62,10)=0,10^6,INDEX(Properties!A$1:CB$87,Formula!J62,10)))</f>
        <v>2</v>
      </c>
      <c r="AK62" s="51">
        <f t="shared" si="5"/>
        <v>5</v>
      </c>
      <c r="AL62" s="57">
        <f>((Formula!C62)/(Formula!C62+Formula!E62+Formula!G62+Formula!I62+Formula!K62))*(INDEX(Properties!A$1:CB$87,Formula!B62,11))+((Formula!E62)/(Formula!C62+Formula!E62+Formula!G62+Formula!I62+Formula!K62))*(INDEX(Properties!A$1:CB$87,Formula!D62,11))+((Formula!G62)/(Formula!C62+Formula!E62+Formula!G62+Formula!I62+Formula!K62))*(INDEX(Properties!A$1:CB$87,Formula!F62,11))+((Formula!I62)/(Formula!C62+Formula!E62+Formula!G62+Formula!I62+Formula!K62))*(INDEX(Properties!A$1:CB$87,Formula!H62,11))+((Formula!K62)/(Formula!C62+Formula!E62+Formula!G62+Formula!I62+Formula!K62))*(INDEX(Properties!A$1:CB$87,Formula!J62,11))</f>
        <v>2</v>
      </c>
      <c r="AM62" s="57">
        <f>Formula!C62*(INDEX(Properties!A$1:CB$87,Formula!B62,11))+Formula!E62*(INDEX(Properties!A$1:CB$87,Formula!D62,11))+Formula!G62*(INDEX(Properties!A$1:CB$87,Formula!F62,11))+Formula!I62*(INDEX(Properties!A$1:CB$87,Formula!H62,11))+Formula!K62*(INDEX(Properties!A$1:CB$87,Formula!J62,11))</f>
        <v>36</v>
      </c>
      <c r="AN62" s="57">
        <f>VARP(IF(INDEX(Properties!A$1:CB$87,Formula!B62,11)&lt;&gt;"",INDEX(Properties!A$1:CB$87,Formula!B62,11)),IF(INDEX(Properties!A$1:CB$87,Formula!D62,11)&lt;&gt;"",INDEX(Properties!A$1:CB$87,Formula!D62,11)),IF(INDEX(Properties!A$1:CB$87,Formula!F62,11)&lt;&gt;"",INDEX(Properties!A$1:CB$87,Formula!F62,11)),IF(INDEX(Properties!A$1:CB$87,Formula!H62,11)&lt;&gt;"",INDEX(Properties!A$1:CB$87,Formula!H62,11)),IF(INDEX(Properties!A$1:CB$87,Formula!J62,11)&lt;&gt;"",INDEX(Properties!A$1:CB$87,Formula!J62,11)))</f>
        <v>0.64</v>
      </c>
      <c r="AO62" s="57">
        <f>MAX(INDEX(Properties!A$1:CB$87,Formula!B62,11),INDEX(Properties!A$1:CB$87,Formula!D62,11),INDEX(Properties!A$1:CB$87,Formula!F62,11),INDEX(Properties!A$1:CB$87,Formula!H62,11),INDEX(Properties!A$1:CB$87,Formula!J62,11))</f>
        <v>2</v>
      </c>
      <c r="AP62" s="57">
        <f>MIN(IF(Formula!B62=87,10^6,INDEX(Properties!A$1:CB$87,Formula!B62,11)),IF((Formula!D62)=87,10^6,INDEX(Properties!A$1:CB$87,Formula!D62,11)),IF((Formula!F62)=87,10^6,INDEX(Properties!A$1:CB$87,Formula!F62,11)),IF((Formula!H62)=87,10^6,INDEX(Properties!A$1:CB$87,Formula!H62,11)),IF(Formula!J62=87,10^6,INDEX(Properties!A$1:CB$87,Formula!J62,11)))</f>
        <v>2</v>
      </c>
      <c r="AQ62" s="57">
        <f t="shared" si="6"/>
        <v>0</v>
      </c>
      <c r="AR62" s="78">
        <f>((Formula!C62)/(Formula!C62+Formula!E62+Formula!G62+Formula!I62+Formula!K62))*(INDEX(Properties!A$1:CB$87,Formula!B62,12))+((Formula!E62)/(Formula!C62+Formula!E62+Formula!G62+Formula!I62+Formula!K62))*(INDEX(Properties!A$1:CB$87,Formula!D62,12))+((Formula!G62)/(Formula!C62+Formula!E62+Formula!G62+Formula!I62+Formula!K62))*(INDEX(Properties!A$1:CB$87,Formula!F62,12))+((Formula!I62)/(Formula!C62+Formula!E62+Formula!G62+Formula!I62+Formula!K62))*(INDEX(Properties!A$1:CB$87,Formula!H62,12))+((Formula!K62)/(Formula!C62+Formula!E62+Formula!G62+Formula!I62+Formula!K62))*(INDEX(Properties!A$1:CB$87,Formula!J62,12))</f>
        <v>2.3888888888888888</v>
      </c>
      <c r="AS62" s="78">
        <f>Formula!C62*(INDEX(Properties!A$1:CB$87,Formula!B62,12))+Formula!E62*(INDEX(Properties!A$1:CB$87,Formula!D62,12))+Formula!G62*(INDEX(Properties!A$1:CB$87,Formula!F62,12))+Formula!I62*(INDEX(Properties!A$1:CB$87,Formula!H62,12))+Formula!K62*(INDEX(Properties!A$1:CB$87,Formula!J62,12))</f>
        <v>43</v>
      </c>
      <c r="AT62" s="78">
        <f>VARP(IF(INDEX(Properties!A$1:CB$87,Formula!B62,12)&lt;&gt;"",INDEX(Properties!A$1:CB$87,Formula!B62,12)),IF(INDEX(Properties!A$1:CB$87,Formula!D62,12)&lt;&gt;"",INDEX(Properties!A$1:CB$87,Formula!D62,12)),IF(INDEX(Properties!A$1:CB$87,Formula!F62,12)&lt;&gt;"",INDEX(Properties!A$1:CB$87,Formula!F62,12)),IF(INDEX(Properties!A$1:CB$87,Formula!H62,12)&lt;&gt;"",INDEX(Properties!A$1:CB$87,Formula!H62,12)),IF(INDEX(Properties!A$1:CB$87,Formula!J62,12)&lt;&gt;"",INDEX(Properties!A$1:CB$87,Formula!J62,12)))</f>
        <v>2.4</v>
      </c>
      <c r="AU62" s="78">
        <f>MAX(INDEX(Properties!A$1:CB$87,Formula!B62,12),INDEX(Properties!A$1:CB$87,Formula!D62,12),INDEX(Properties!A$1:CB$87,Formula!F62,12),INDEX(Properties!A$1:CB$87,Formula!H62,12),INDEX(Properties!A$1:CB$87,Formula!J62,12))</f>
        <v>4</v>
      </c>
      <c r="AV62" s="78">
        <f>MIN(IF(Formula!B62=87,10^6,INDEX(Properties!A$1:CB$87,Formula!B62,12)),IF((Formula!D62)=87,10^6,INDEX(Properties!A$1:CB$87,Formula!D62,12)),IF((Formula!F62)=87,10^6,INDEX(Properties!A$1:CB$87,Formula!F62,12)),IF((Formula!H62)=87,10^6,INDEX(Properties!A$1:CB$87,Formula!H62,12)),IF(Formula!J62=87,10^6,INDEX(Properties!A$1:CB$87,Formula!J62,12)))</f>
        <v>0</v>
      </c>
      <c r="AW62" s="78">
        <f t="shared" si="7"/>
        <v>4</v>
      </c>
      <c r="AX62" s="45">
        <f>((Formula!C62)/(Formula!C62+Formula!E62+Formula!G62+Formula!I62+Formula!K62))*(INDEX(Properties!A$1:CB$87,Formula!B62,13))+((Formula!E62)/(Formula!C62+Formula!E62+Formula!G62+Formula!I62+Formula!K62))*(INDEX(Properties!A$1:CB$87,Formula!D62,13))+((Formula!G62)/(Formula!C62+Formula!E62+Formula!G62+Formula!I62+Formula!K62))*(INDEX(Properties!A$1:CB$87,Formula!F62,13))+((Formula!I62)/(Formula!C62+Formula!E62+Formula!G62+Formula!I62+Formula!K62))*(INDEX(Properties!A$1:CB$87,Formula!H62,13))+((Formula!K62)/(Formula!C62+Formula!E62+Formula!G62+Formula!I62+Formula!K62))*(INDEX(Properties!A$1:CB$87,Formula!J62,13))</f>
        <v>0</v>
      </c>
      <c r="AY62" s="45">
        <f>Formula!C62*(INDEX(Properties!A$1:CB$87,Formula!B62,13))+Formula!E62*(INDEX(Properties!A$1:CB$87,Formula!D62,13))+Formula!G62*(INDEX(Properties!A$1:CB$87,Formula!F62,13))+Formula!I62*(INDEX(Properties!A$1:CB$87,Formula!H62,13))+Formula!K62*(INDEX(Properties!A$1:CB$87,Formula!J62,13))</f>
        <v>0</v>
      </c>
      <c r="AZ62" s="45">
        <f>VARP(IF(INDEX(Properties!A$1:CB$87,Formula!B62,13)&lt;&gt;"",INDEX(Properties!A$1:CB$87,Formula!B62,13)),IF(INDEX(Properties!A$1:CB$87,Formula!D62,13)&lt;&gt;"",INDEX(Properties!A$1:CB$87,Formula!D62,13)),IF(INDEX(Properties!A$1:CB$87,Formula!F62,13)&lt;&gt;"",INDEX(Properties!A$1:CB$87,Formula!F62,13)),IF(INDEX(Properties!A$1:CB$87,Formula!H62,13)&lt;&gt;"",INDEX(Properties!A$1:CB$87,Formula!H62,13)),IF(INDEX(Properties!A$1:CB$87,Formula!J62,13)&lt;&gt;"",INDEX(Properties!A$1:CB$87,Formula!J62,13)))</f>
        <v>0</v>
      </c>
      <c r="BA62" s="45">
        <f>MAX(INDEX(Properties!A$1:CB$87,Formula!B62,13),INDEX(Properties!A$1:CB$87,Formula!D62,13),INDEX(Properties!A$1:CB$87,Formula!F62,13),INDEX(Properties!A$1:CB$87,Formula!H62,13),INDEX(Properties!A$1:CB$87,Formula!J62,13))</f>
        <v>0</v>
      </c>
      <c r="BB62" s="45">
        <f>MIN(IF(Formula!B62=87,10^6,INDEX(Properties!A$1:CB$87,Formula!B62,13)),IF((Formula!D62)=87,10^6,INDEX(Properties!A$1:CB$87,Formula!D62,13)),IF((Formula!F62)=87,10^6,INDEX(Properties!A$1:CB$87,Formula!F62,13)),IF((Formula!H62)=87,10^6,INDEX(Properties!A$1:CB$87,Formula!H62,13)),IF(Formula!J62=87,10^6,INDEX(Properties!A$1:CB$87,Formula!J62,13)))</f>
        <v>0</v>
      </c>
      <c r="BC62" s="45">
        <f t="shared" si="8"/>
        <v>0</v>
      </c>
      <c r="BD62" s="63">
        <f>((Formula!C62)/(Formula!C62+Formula!E62+Formula!G62+Formula!I62+Formula!K62))*(INDEX(Properties!A$1:CB$87,Formula!B62,14))+((Formula!E62)/(Formula!C62+Formula!E62+Formula!G62+Formula!I62+Formula!K62))*(INDEX(Properties!A$1:CB$87,Formula!D62,14))+((Formula!G62)/(Formula!C62+Formula!E62+Formula!G62+Formula!I62+Formula!K62))*(INDEX(Properties!A$1:CB$87,Formula!F62,14))+((Formula!I62)/(Formula!C62+Formula!E62+Formula!G62+Formula!I62+Formula!K62))*(INDEX(Properties!A$1:CB$87,Formula!H62,14))+((Formula!K62)/(Formula!C62+Formula!E62+Formula!G62+Formula!I62+Formula!K62))*(INDEX(Properties!A$1:CB$87,Formula!J62,14))</f>
        <v>0.33333333333333331</v>
      </c>
      <c r="BE62" s="63">
        <f>Formula!C62*(INDEX(Properties!A$1:CB$87,Formula!B62,14))+Formula!E62*(INDEX(Properties!A$1:CB$87,Formula!D62,14))+Formula!G62*(INDEX(Properties!A$1:CB$87,Formula!F62,14))+Formula!I62*(INDEX(Properties!A$1:CB$87,Formula!H62,14))+Formula!K62*(INDEX(Properties!A$1:CB$87,Formula!J62,14))</f>
        <v>6</v>
      </c>
      <c r="BF62" s="63">
        <f>VARP(IF(INDEX(Properties!A$1:CB$87,Formula!B62,14)&lt;&gt;"",INDEX(Properties!A$1:CB$87,Formula!B62,14)),IF(INDEX(Properties!A$1:CB$87,Formula!D62,14)&lt;&gt;"",INDEX(Properties!A$1:CB$87,Formula!D62,14)),IF(INDEX(Properties!A$1:CB$87,Formula!F62,14)&lt;&gt;"",INDEX(Properties!A$1:CB$87,Formula!F62,14)),IF(INDEX(Properties!A$1:CB$87,Formula!H62,14)&lt;&gt;"",INDEX(Properties!A$1:CB$87,Formula!H62,14)),IF(INDEX(Properties!A$1:CB$87,Formula!J62,14)&lt;&gt;"",INDEX(Properties!A$1:CB$87,Formula!J62,14)))</f>
        <v>5.76</v>
      </c>
      <c r="BG62" s="63">
        <f>MAX(INDEX(Properties!A$1:CB$87,Formula!B62,14),INDEX(Properties!A$1:CB$87,Formula!D62,14),INDEX(Properties!A$1:CB$87,Formula!F62,14),INDEX(Properties!A$1:CB$87,Formula!H62,14),INDEX(Properties!A$1:CB$87,Formula!J62,14))</f>
        <v>6</v>
      </c>
      <c r="BH62" s="63">
        <f>MIN(IF(Formula!B62=87,10^6,INDEX(Properties!A$1:CB$87,Formula!B62,14)),IF((Formula!D62)=87,10^6,INDEX(Properties!A$1:CB$87,Formula!D62,14)),IF((Formula!F62)=87,10^6,INDEX(Properties!A$1:CB$87,Formula!F62,14)),IF((Formula!H62)=87,10^6,INDEX(Properties!A$1:CB$87,Formula!H62,14)),IF(Formula!J62=87,10^6,INDEX(Properties!A$1:CB$87,Formula!J62,14)))</f>
        <v>0</v>
      </c>
      <c r="BI62" s="63">
        <f t="shared" si="9"/>
        <v>6</v>
      </c>
      <c r="BJ62" s="75">
        <f>((Formula!C62)/(Formula!C62+Formula!E62+Formula!G62+Formula!I62+Formula!K62))*(INDEX(Properties!A$1:CB$87,Formula!B62,19))+((Formula!E62)/(Formula!C62+Formula!E62+Formula!G62+Formula!I62+Formula!K62))*(INDEX(Properties!A$1:CB$87,Formula!D62,19))+((Formula!G62)/(Formula!C62+Formula!E62+Formula!G62+Formula!I62+Formula!K62))*(INDEX(Properties!A$1:CB$87,Formula!F62,19))+((Formula!I62)/(Formula!C62+Formula!E62+Formula!G62+Formula!I62+Formula!K62))*(INDEX(Properties!A$1:CB$87,Formula!H62,19))+((Formula!K62)/(Formula!C62+Formula!E62+Formula!G62+Formula!I62+Formula!K62))*(INDEX(Properties!A$1:CB$87,Formula!J62,19))</f>
        <v>4.7222222222222223</v>
      </c>
      <c r="BK62" s="75">
        <f>Formula!C62*(INDEX(Properties!A$1:CB$87,Formula!B62,19))+Formula!E62*(INDEX(Properties!A$1:CB$87,Formula!D62,19))+Formula!G62*(INDEX(Properties!A$1:CB$87,Formula!F62,19))+Formula!I62*(INDEX(Properties!A$1:CB$87,Formula!H62,19))+Formula!K62*(INDEX(Properties!A$1:CB$87,Formula!J62,19))</f>
        <v>85</v>
      </c>
      <c r="BL62" s="75">
        <f>VARP(IF(INDEX(Properties!A$1:CB$87,Formula!B62,19)&lt;&gt;"",INDEX(Properties!A$1:CB$87,Formula!B62,19)),IF(INDEX(Properties!A$1:CB$87,Formula!D62,19)&lt;&gt;"",INDEX(Properties!A$1:CB$87,Formula!D62,19)),IF(INDEX(Properties!A$1:CB$87,Formula!F62,19)&lt;&gt;"",INDEX(Properties!A$1:CB$87,Formula!F62,19)),IF(INDEX(Properties!A$1:CB$87,Formula!H62,19)&lt;&gt;"",INDEX(Properties!A$1:CB$87,Formula!H62,19)),IF(INDEX(Properties!A$1:CB$87,Formula!J62,19)&lt;&gt;"",INDEX(Properties!A$1:CB$87,Formula!J62,19)))</f>
        <v>8.16</v>
      </c>
      <c r="BM62" s="75">
        <f>MAX(INDEX(Properties!A$1:CB$87,Formula!B62,19),INDEX(Properties!A$1:CB$87,Formula!D62,19),INDEX(Properties!A$1:CB$87,Formula!F62,19),INDEX(Properties!A$1:CB$87,Formula!H62,19),INDEX(Properties!A$1:CB$87,Formula!J62,19))</f>
        <v>8</v>
      </c>
      <c r="BN62" s="75">
        <f>MIN(IF(INDEX(Properties!A$1:CB$87,Formula!B62,19)=0,10^6,INDEX(Properties!A$1:CB$87,Formula!B62,19)),IF(INDEX(Properties!A$1:CB$87,Formula!D62,19)=0,10^6,INDEX(Properties!A$1:CB$87,Formula!D62,19)),IF(INDEX(Properties!A$1:CB$87,Formula!F62,19)=0,10^6,INDEX(Properties!A$1:CB$87,Formula!F62,19)),IF(INDEX(Properties!A$1:CB$87,Formula!H62,19)=0,10^6,INDEX(Properties!A$1:CB$87,Formula!H62,19)),IF(INDEX(Properties!A$1:CB$87,Formula!J62,19)=0,10^6,INDEX(Properties!A$1:CB$87,Formula!J62,19)))</f>
        <v>2</v>
      </c>
      <c r="BO62" s="75">
        <f t="shared" si="10"/>
        <v>6</v>
      </c>
      <c r="BP62" s="48">
        <f>((Formula!C62)/(Formula!C62+Formula!E62+Formula!G62+Formula!I62+Formula!K62))*(INDEX(Properties!A$1:CB$87,Formula!B62,20))+((Formula!E62)/(Formula!C62+Formula!E62+Formula!G62+Formula!I62+Formula!K62))*(INDEX(Properties!A$1:CB$87,Formula!D62,20))+((Formula!G62)/(Formula!C62+Formula!E62+Formula!G62+Formula!I62+Formula!K62))*(INDEX(Properties!A$1:CB$87,Formula!F62,20))+((Formula!I62)/(Formula!C62+Formula!E62+Formula!G62+Formula!I62+Formula!K62))*(INDEX(Properties!A$1:CB$87,Formula!H62,20))+((Formula!K62)/(Formula!C62+Formula!E62+Formula!G62+Formula!I62+Formula!K62))*(INDEX(Properties!A$1:CB$87,Formula!J62,20))</f>
        <v>4.3888888888888893</v>
      </c>
      <c r="BQ62" s="48">
        <f>Formula!C62*(INDEX(Properties!A$1:CB$87,Formula!B62,20))+Formula!E62*(INDEX(Properties!A$1:CB$87,Formula!D62,20))+Formula!G62*(INDEX(Properties!A$1:CB$87,Formula!F62,20))+Formula!I62*(INDEX(Properties!A$1:CB$87,Formula!H62,20))+Formula!K62*(INDEX(Properties!A$1:CB$87,Formula!J62,20))</f>
        <v>79</v>
      </c>
      <c r="BR62" s="48">
        <f>VARP(IF(INDEX(Properties!A$1:CB$87,Formula!B62,20)&lt;&gt;"",INDEX(Properties!A$1:CB$87,Formula!B62,20)),IF(INDEX(Properties!A$1:CB$87,Formula!D62,20)&lt;&gt;"",INDEX(Properties!A$1:CB$87,Formula!D62,20)),IF(INDEX(Properties!A$1:CB$87,Formula!F62,20)&lt;&gt;"",INDEX(Properties!A$1:CB$87,Formula!F62,20)),IF(INDEX(Properties!A$1:CB$87,Formula!H62,20)&lt;&gt;"",INDEX(Properties!A$1:CB$87,Formula!H62,20)),IF(INDEX(Properties!A$1:CB$87,Formula!J62,20)&lt;&gt;"",INDEX(Properties!A$1:CB$87,Formula!J62,20)))</f>
        <v>3.84</v>
      </c>
      <c r="BS62" s="48">
        <f>MAX(INDEX(Properties!A$1:CB$87,Formula!B62,20),INDEX(Properties!A$1:CB$87,Formula!D62,20),INDEX(Properties!A$1:CB$87,Formula!F62,20),INDEX(Properties!A$1:CB$87,Formula!H62,20),INDEX(Properties!A$1:CB$87,Formula!J62,20))</f>
        <v>6</v>
      </c>
      <c r="BT62" s="48">
        <f>MIN(IF(INDEX(Properties!A$1:CB$87,Formula!B62,20)=0,10^6,INDEX(Properties!A$1:CB$87,Formula!B62,20)),IF(INDEX(Properties!A$1:CB$87,Formula!D62,20)=0,10^6,INDEX(Properties!A$1:CB$87,Formula!D62,20)),IF(INDEX(Properties!A$1:CB$87,Formula!F62,20)=0,10^6,INDEX(Properties!A$1:CB$87,Formula!F62,20)),IF(INDEX(Properties!A$1:CB$87,Formula!H62,20)=0,10^6,INDEX(Properties!A$1:CB$87,Formula!H62,20)),IF(INDEX(Properties!A$1:CB$87,Formula!J62,20)=0,10^6,INDEX(Properties!A$1:CB$87,Formula!J62,20)))</f>
        <v>2</v>
      </c>
      <c r="BU62" s="48">
        <f t="shared" si="11"/>
        <v>4</v>
      </c>
      <c r="BV62" s="66">
        <f>((Formula!C62)/(Formula!C62+Formula!E62+Formula!G62+Formula!I62+Formula!K62))*(INDEX(Properties!A$1:CB$87,Formula!B62,21))+((Formula!E62)/(Formula!C62+Formula!E62+Formula!G62+Formula!I62+Formula!K62))*(INDEX(Properties!A$1:CB$87,Formula!D62,21))+((Formula!G62)/(Formula!C62+Formula!E62+Formula!G62+Formula!I62+Formula!K62))*(INDEX(Properties!A$1:CB$87,Formula!F62,21))+((Formula!I62)/(Formula!C62+Formula!E62+Formula!G62+Formula!I62+Formula!K62))*(INDEX(Properties!A$1:CB$87,Formula!H62,21))+((Formula!K62)/(Formula!C62+Formula!E62+Formula!G62+Formula!I62+Formula!K62))*(INDEX(Properties!A$1:CB$87,Formula!J62,21))</f>
        <v>4.4444444444444446</v>
      </c>
      <c r="BW62" s="66">
        <f>Formula!C62*(INDEX(Properties!A$1:CB$87,Formula!B62,21))+Formula!E62*(INDEX(Properties!A$1:CB$87,Formula!D62,21))+Formula!G62*(INDEX(Properties!A$1:CB$87,Formula!F62,21))+Formula!I62*(INDEX(Properties!A$1:CB$87,Formula!H62,21))+Formula!K62*(INDEX(Properties!A$1:CB$87,Formula!J62,21))</f>
        <v>80</v>
      </c>
      <c r="BX62" s="66">
        <f>VARP(IF(INDEX(Properties!A$1:CB$87,Formula!B62,21)&lt;&gt;"",INDEX(Properties!A$1:CB$87,Formula!B62,21)),IF(INDEX(Properties!A$1:CB$87,Formula!D62,21)&lt;&gt;"",INDEX(Properties!A$1:CB$87,Formula!D62,21)),IF(INDEX(Properties!A$1:CB$87,Formula!F62,21)&lt;&gt;"",INDEX(Properties!A$1:CB$87,Formula!F62,21)),IF(INDEX(Properties!A$1:CB$87,Formula!H62,21)&lt;&gt;"",INDEX(Properties!A$1:CB$87,Formula!H62,21)),IF(INDEX(Properties!A$1:CB$87,Formula!J62,21)&lt;&gt;"",INDEX(Properties!A$1:CB$87,Formula!J62,21)))</f>
        <v>3.76</v>
      </c>
      <c r="BY62" s="66">
        <f>MAX(INDEX(Properties!A$1:CB$87,Formula!B62,21),INDEX(Properties!A$1:CB$87,Formula!D62,21),INDEX(Properties!A$1:CB$87,Formula!F62,21),INDEX(Properties!A$1:CB$87,Formula!H62,21),INDEX(Properties!A$1:CB$87,Formula!J62,21))</f>
        <v>6</v>
      </c>
      <c r="BZ62" s="66">
        <f>MIN(IF(INDEX(Properties!A$1:CB$87,Formula!B62,21)=0,10^6,INDEX(Properties!A$1:CB$87,Formula!B62,21)),IF(INDEX(Properties!A$1:CB$87,Formula!D62,21)=0,10^6,INDEX(Properties!A$1:CB$87,Formula!D62,21)),IF(INDEX(Properties!A$1:CB$87,Formula!F62,21)=0,10^6,INDEX(Properties!A$1:CB$87,Formula!F62,21)),IF(INDEX(Properties!A$1:CB$87,Formula!H62,21)=0,10^6,INDEX(Properties!A$1:CB$87,Formula!H62,21)),IF(INDEX(Properties!A$1:CB$87,Formula!J62,21)=0,10^6,INDEX(Properties!A$1:CB$87,Formula!J62,21)))</f>
        <v>2</v>
      </c>
      <c r="CA62" s="66">
        <f t="shared" si="12"/>
        <v>4</v>
      </c>
      <c r="CB62" s="81">
        <f>((Formula!C62)/(Formula!C62+Formula!E62+Formula!G62+Formula!I62+Formula!K62))*(INDEX(Properties!A$1:CB$87,Formula!B62,23))+((Formula!E62)/(Formula!C62+Formula!E62+Formula!G62+Formula!I62+Formula!K62))*(INDEX(Properties!A$1:CB$87,Formula!D62,23))+((Formula!G62)/(Formula!C62+Formula!E62+Formula!G62+Formula!I62+Formula!K62))*(INDEX(Properties!A$1:CB$87,Formula!F62,23))+((Formula!I62)/(Formula!C62+Formula!E62+Formula!G62+Formula!I62+Formula!K62))*(INDEX(Properties!A$1:CB$87,Formula!H62,23))+((Formula!K62)/(Formula!C62+Formula!E62+Formula!G62+Formula!I62+Formula!K62))*(INDEX(Properties!A$1:CB$87,Formula!J62,23))</f>
        <v>1.1000000000000001</v>
      </c>
      <c r="CC62" s="81">
        <f>Formula!C62*(INDEX(Properties!A$1:CB$87,Formula!B62,23))+Formula!E62*(INDEX(Properties!A$1:CB$87,Formula!D62,23))+Formula!G62*(INDEX(Properties!A$1:CB$87,Formula!F62,23))+Formula!I62*(INDEX(Properties!A$1:CB$87,Formula!H62,23))+Formula!K62*(INDEX(Properties!A$1:CB$87,Formula!J62,23))</f>
        <v>19.8</v>
      </c>
      <c r="CD62" s="81">
        <f>VARP(IF(INDEX(Properties!A$1:CB$87,Formula!B62,23)&lt;&gt;"",INDEX(Properties!A$1:CB$87,Formula!B62,23)),IF(INDEX(Properties!A$1:CB$87,Formula!D62,23)&lt;&gt;"",INDEX(Properties!A$1:CB$87,Formula!D62,23)),IF(INDEX(Properties!A$1:CB$87,Formula!F62,23)&lt;&gt;"",INDEX(Properties!A$1:CB$87,Formula!F62,23)),IF(INDEX(Properties!A$1:CB$87,Formula!H62,23)&lt;&gt;"",INDEX(Properties!A$1:CB$87,Formula!H62,23)),IF(INDEX(Properties!A$1:CB$87,Formula!J62,23)&lt;&gt;"",INDEX(Properties!A$1:CB$87,Formula!J62,23)))</f>
        <v>1.7344000000000002</v>
      </c>
      <c r="CE62" s="81">
        <f>MAX(INDEX(Properties!A$1:CB$87,Formula!B62,23),INDEX(Properties!A$1:CB$87,Formula!D62,23),INDEX(Properties!A$1:CB$87,Formula!F62,23),INDEX(Properties!A$1:CB$87,Formula!H62,23),INDEX(Properties!A$1:CB$87,Formula!J62,23))</f>
        <v>3</v>
      </c>
      <c r="CF62" s="81">
        <f>MIN(IF(Formula!B62=87,10^6,INDEX(Properties!A$1:CB$87,Formula!B62,23)),IF((Formula!D62)=87,10^6,INDEX(Properties!A$1:CB$87,Formula!D62,23)),IF((Formula!F62)=87,10^6,INDEX(Properties!A$1:CB$87,Formula!F62,23)),IF((Formula!H62)=87,10^6,INDEX(Properties!A$1:CB$87,Formula!H62,23)),IF(Formula!J62=87,10^6,INDEX(Properties!A$1:CB$87,Formula!J62,23)))</f>
        <v>0</v>
      </c>
      <c r="CG62" s="81">
        <f t="shared" si="13"/>
        <v>3</v>
      </c>
      <c r="CH62" s="39">
        <f>((Formula!C62)/(Formula!C62+Formula!E62+Formula!G62+Formula!I62+Formula!K62))*(INDEX(Properties!A$1:CB$87,Formula!B62,26))+((Formula!E62)/(Formula!C62+Formula!E62+Formula!G62+Formula!I62+Formula!K62))*(INDEX(Properties!A$1:CB$87,Formula!D62,26))+((Formula!G62)/(Formula!C62+Formula!E62+Formula!G62+Formula!I62+Formula!K62))*(INDEX(Properties!A$1:CB$87,Formula!F62,26))+((Formula!I62)/(Formula!C62+Formula!E62+Formula!G62+Formula!I62+Formula!K62))*(INDEX(Properties!A$1:CB$87,Formula!H62,26))+((Formula!K62)/(Formula!C62+Formula!E62+Formula!G62+Formula!I62+Formula!K62))*(INDEX(Properties!A$1:CB$87,Formula!J62,26))</f>
        <v>10.620638888888889</v>
      </c>
      <c r="CI62" s="39">
        <f>Formula!C62*(INDEX(Properties!A$1:CB$87,Formula!B62,26))+Formula!E62*(INDEX(Properties!A$1:CB$87,Formula!D62,26))+Formula!G62*(INDEX(Properties!A$1:CB$87,Formula!F62,26))+Formula!I62*(INDEX(Properties!A$1:CB$87,Formula!H62,26))+Formula!K62*(INDEX(Properties!A$1:CB$87,Formula!J62,26))</f>
        <v>191.17150000000001</v>
      </c>
      <c r="CJ62" s="39">
        <f>VARP(IF(INDEX(Properties!A$1:CB$87,Formula!B62,26)&lt;&gt;"",INDEX(Properties!A$1:CB$87,Formula!B62,26)),IF(INDEX(Properties!A$1:CB$87,Formula!D62,26)&lt;&gt;"",INDEX(Properties!A$1:CB$87,Formula!D62,26)),IF(INDEX(Properties!A$1:CB$87,Formula!F62,26)&lt;&gt;"",INDEX(Properties!A$1:CB$87,Formula!F62,26)),IF(INDEX(Properties!A$1:CB$87,Formula!H62,26)&lt;&gt;"",INDEX(Properties!A$1:CB$87,Formula!H62,26)),IF(INDEX(Properties!A$1:CB$87,Formula!J62,26)&lt;&gt;"",INDEX(Properties!A$1:CB$87,Formula!J62,26)))</f>
        <v>19.351565947999987</v>
      </c>
      <c r="CK62" s="39">
        <f>MAX(INDEX(Properties!A$1:CB$87,Formula!B62,26),INDEX(Properties!A$1:CB$87,Formula!D62,26),INDEX(Properties!A$1:CB$87,Formula!F62,26),INDEX(Properties!A$1:CB$87,Formula!H62,26),INDEX(Properties!A$1:CB$87,Formula!J62,26))</f>
        <v>13.6181</v>
      </c>
      <c r="CL62" s="39">
        <f>MIN(IF(INDEX(Properties!A$1:CB$87,Formula!B62,26)=0,10^6,INDEX(Properties!A$1:CB$87,Formula!B62,26)),IF(INDEX(Properties!A$1:CB$87,Formula!D62,26)=0,10^6,INDEX(Properties!A$1:CB$87,Formula!D62,26)),IF(INDEX(Properties!A$1:CB$87,Formula!F62,26)=0,10^6,INDEX(Properties!A$1:CB$87,Formula!F62,26)),IF(INDEX(Properties!A$1:CB$87,Formula!H62,26)=0,10^6,INDEX(Properties!A$1:CB$87,Formula!H62,26)),IF(INDEX(Properties!A$1:CB$87,Formula!J62,26)=0,10^6,INDEX(Properties!A$1:CB$87,Formula!J62,26)))</f>
        <v>5.6436999999999999</v>
      </c>
      <c r="CM62" s="39">
        <f t="shared" si="14"/>
        <v>7.9744000000000002</v>
      </c>
      <c r="CN62" s="54">
        <f>((Formula!C62)/(Formula!C62+Formula!E62+Formula!G62+Formula!I62+Formula!K62))*(INDEX(Properties!A$1:CB$87,Formula!B62,30))+((Formula!E62)/(Formula!C62+Formula!E62+Formula!G62+Formula!I62+Formula!K62))*(INDEX(Properties!A$1:CB$87,Formula!D62,30))+((Formula!G62)/(Formula!C62+Formula!E62+Formula!G62+Formula!I62+Formula!K62))*(INDEX(Properties!A$1:CB$87,Formula!F62,30))+((Formula!I62)/(Formula!C62+Formula!E62+Formula!G62+Formula!I62+Formula!K62))*(INDEX(Properties!A$1:CB$87,Formula!H62,30))+((Formula!K62)/(Formula!C62+Formula!E62+Formula!G62+Formula!I62+Formula!K62))*(INDEX(Properties!A$1:CB$87,Formula!J62,30))</f>
        <v>2.5383333333333331</v>
      </c>
      <c r="CO62" s="54">
        <f>Formula!C62*(INDEX(Properties!A$1:CB$87,Formula!B62,30))+Formula!E62*(INDEX(Properties!A$1:CB$87,Formula!D62,30))+Formula!G62*(INDEX(Properties!A$1:CB$87,Formula!F62,30))+Formula!I62*(INDEX(Properties!A$1:CB$87,Formula!H62,30))+Formula!K62*(INDEX(Properties!A$1:CB$87,Formula!J62,30))</f>
        <v>45.69</v>
      </c>
      <c r="CP62" s="54">
        <f>VARP(IF(INDEX(Properties!A$1:CB$87,Formula!B62,30)&lt;&gt;"",INDEX(Properties!A$1:CB$87,Formula!B62,30)),IF(INDEX(Properties!A$1:CB$87,Formula!D62,30)&lt;&gt;"",INDEX(Properties!A$1:CB$87,Formula!D62,30)),IF(INDEX(Properties!A$1:CB$87,Formula!F62,30)&lt;&gt;"",INDEX(Properties!A$1:CB$87,Formula!F62,30)),IF(INDEX(Properties!A$1:CB$87,Formula!H62,30)&lt;&gt;"",INDEX(Properties!A$1:CB$87,Formula!H62,30)),IF(INDEX(Properties!A$1:CB$87,Formula!J62,30)&lt;&gt;"",INDEX(Properties!A$1:CB$87,Formula!J62,30)))</f>
        <v>1.33192</v>
      </c>
      <c r="CQ62" s="54">
        <f>MAX(INDEX(Properties!A$1:CB$87,Formula!B62,30),INDEX(Properties!A$1:CB$87,Formula!D62,30),INDEX(Properties!A$1:CB$87,Formula!F62,30),INDEX(Properties!A$1:CB$87,Formula!H62,30),INDEX(Properties!A$1:CB$87,Formula!J62,30))</f>
        <v>3.44</v>
      </c>
      <c r="CR62" s="54">
        <f>MIN(IF(INDEX(Properties!A$1:CB$87,Formula!B62,30)=0,10^6,INDEX(Properties!A$1:CB$87,Formula!B62,30)),IF(INDEX(Properties!A$1:CB$87,Formula!D62,30)=0,10^6,INDEX(Properties!A$1:CB$87,Formula!D62,30)),IF(INDEX(Properties!A$1:CB$87,Formula!F62,30)=0,10^6,INDEX(Properties!A$1:CB$87,Formula!F62,30)),IF(INDEX(Properties!A$1:CB$87,Formula!H62,30)=0,10^6,INDEX(Properties!A$1:CB$87,Formula!H62,30)),IF(INDEX(Properties!A$1:CB$87,Formula!J62,30)=0,10^6,INDEX(Properties!A$1:CB$87,Formula!J62,30)))</f>
        <v>1</v>
      </c>
      <c r="CS62" s="54">
        <f t="shared" si="15"/>
        <v>2.44</v>
      </c>
      <c r="CT62" s="69">
        <f>((Formula!C62)/(Formula!C62+Formula!E62+Formula!G62+Formula!I62+Formula!K62))*(INDEX(Properties!A$1:CB$87,Formula!B62,31))+((Formula!E62)/(Formula!C62+Formula!E62+Formula!G62+Formula!I62+Formula!K62))*(INDEX(Properties!A$1:CB$87,Formula!D62,31))+((Formula!G62)/(Formula!C62+Formula!E62+Formula!G62+Formula!I62+Formula!K62))*(INDEX(Properties!A$1:CB$87,Formula!F62,31))+((Formula!I62)/(Formula!C62+Formula!E62+Formula!G62+Formula!I62+Formula!K62))*(INDEX(Properties!A$1:CB$87,Formula!H62,31))+((Formula!K62)/(Formula!C62+Formula!E62+Formula!G62+Formula!I62+Formula!K62))*(INDEX(Properties!A$1:CB$87,Formula!J62,31))</f>
        <v>2.4877777777777776</v>
      </c>
      <c r="CU62" s="69">
        <f>Formula!C62*(INDEX(Properties!A$1:CB$87,Formula!B62,31))+Formula!E62*(INDEX(Properties!A$1:CB$87,Formula!D62,31))+Formula!G62*(INDEX(Properties!A$1:CB$87,Formula!F62,31))+Formula!I62*(INDEX(Properties!A$1:CB$87,Formula!H62,31))+Formula!K62*(INDEX(Properties!A$1:CB$87,Formula!J62,31))</f>
        <v>44.779999999999994</v>
      </c>
      <c r="CV62" s="69">
        <f>VARP(IF(INDEX(Properties!A$1:CB$87,Formula!B62,31)&lt;&gt;"",INDEX(Properties!A$1:CB$87,Formula!B62,31)),IF(INDEX(Properties!A$1:CB$87,Formula!D62,31)&lt;&gt;"",INDEX(Properties!A$1:CB$87,Formula!D62,31)),IF(INDEX(Properties!A$1:CB$87,Formula!F62,31)&lt;&gt;"",INDEX(Properties!A$1:CB$87,Formula!F62,31)),IF(INDEX(Properties!A$1:CB$87,Formula!H62,31)&lt;&gt;"",INDEX(Properties!A$1:CB$87,Formula!H62,31)),IF(INDEX(Properties!A$1:CB$87,Formula!J62,31)&lt;&gt;"",INDEX(Properties!A$1:CB$87,Formula!J62,31)))</f>
        <v>1.1839359999999997</v>
      </c>
      <c r="CW62" s="69">
        <f>MAX(INDEX(Properties!A$1:CB$87,Formula!B62,31),INDEX(Properties!A$1:CB$87,Formula!D62,31),INDEX(Properties!A$1:CB$87,Formula!F62,31),INDEX(Properties!A$1:CB$87,Formula!H62,31),INDEX(Properties!A$1:CB$87,Formula!J62,31))</f>
        <v>3.32</v>
      </c>
      <c r="CX62" s="69">
        <f>MIN(IF(INDEX(Properties!A$1:CB$87,Formula!B62,31)=0,10^6,INDEX(Properties!A$1:CB$87,Formula!B62,31)),IF(INDEX(Properties!A$1:CB$87,Formula!D62,31)=0,10^6,INDEX(Properties!A$1:CB$87,Formula!D62,31)),IF(INDEX(Properties!A$1:CB$87,Formula!F62,31)=0,10^6,INDEX(Properties!A$1:CB$87,Formula!F62,31)),IF(INDEX(Properties!A$1:CB$87,Formula!H62,31)=0,10^6,INDEX(Properties!A$1:CB$87,Formula!H62,31)),IF(INDEX(Properties!A$1:CB$87,Formula!J62,31)=0,10^6,INDEX(Properties!A$1:CB$87,Formula!J62,31)))</f>
        <v>1.17</v>
      </c>
      <c r="CY62" s="69">
        <f t="shared" si="16"/>
        <v>2.15</v>
      </c>
      <c r="CZ62" s="42">
        <f>((Formula!C62)/(Formula!C62+Formula!E62+Formula!G62+Formula!I62+Formula!K62))*(INDEX(Properties!A$1:CB$87,Formula!B62,32))+((Formula!E62)/(Formula!C62+Formula!E62+Formula!G62+Formula!I62+Formula!K62))*(INDEX(Properties!A$1:CB$87,Formula!D62,32))+((Formula!G62)/(Formula!C62+Formula!E62+Formula!G62+Formula!I62+Formula!K62))*(INDEX(Properties!A$1:CB$87,Formula!F62,32))+((Formula!I62)/(Formula!C62+Formula!E62+Formula!G62+Formula!I62+Formula!K62))*(INDEX(Properties!A$1:CB$87,Formula!H62,32))+((Formula!K62)/(Formula!C62+Formula!E62+Formula!G62+Formula!I62+Formula!K62))*(INDEX(Properties!A$1:CB$87,Formula!J62,32))</f>
        <v>5.5650000000000004</v>
      </c>
      <c r="DA62" s="42">
        <f>Formula!C62*(INDEX(Properties!A$1:CB$87,Formula!B62,32))+Formula!E62*(INDEX(Properties!A$1:CB$87,Formula!D62,32))+Formula!G62*(INDEX(Properties!A$1:CB$87,Formula!F62,32))+Formula!I62*(INDEX(Properties!A$1:CB$87,Formula!H62,32))+Formula!K62*(INDEX(Properties!A$1:CB$87,Formula!J62,32))</f>
        <v>100.17000000000002</v>
      </c>
      <c r="DB62" s="42">
        <f>VARP(IF(INDEX(Properties!A$1:CB$87,Formula!B62,32)&lt;&gt;"",INDEX(Properties!A$1:CB$87,Formula!B62,32)),IF(INDEX(Properties!A$1:CB$87,Formula!D62,32)&lt;&gt;"",INDEX(Properties!A$1:CB$87,Formula!D62,32)),IF(INDEX(Properties!A$1:CB$87,Formula!F62,32)&lt;&gt;"",INDEX(Properties!A$1:CB$87,Formula!F62,32)),IF(INDEX(Properties!A$1:CB$87,Formula!H62,32)&lt;&gt;"",INDEX(Properties!A$1:CB$87,Formula!H62,32)),IF(INDEX(Properties!A$1:CB$87,Formula!J62,32)&lt;&gt;"",INDEX(Properties!A$1:CB$87,Formula!J62,32)))</f>
        <v>6.2036640000000007</v>
      </c>
      <c r="DC62" s="42">
        <f>MAX(INDEX(Properties!A$1:CB$87,Formula!B62,32),INDEX(Properties!A$1:CB$87,Formula!D62,32),INDEX(Properties!A$1:CB$87,Formula!F62,32),INDEX(Properties!A$1:CB$87,Formula!H62,32),INDEX(Properties!A$1:CB$87,Formula!J62,32))</f>
        <v>7.54</v>
      </c>
      <c r="DD62" s="42">
        <f>MIN(IF(INDEX(Properties!A$1:CB$87,Formula!B62,32)=0,10^6,INDEX(Properties!A$1:CB$87,Formula!B62,32)),IF(INDEX(Properties!A$1:CB$87,Formula!D62,32)=0,10^6,INDEX(Properties!A$1:CB$87,Formula!D62,32)),IF(INDEX(Properties!A$1:CB$87,Formula!F62,32)=0,10^6,INDEX(Properties!A$1:CB$87,Formula!F62,32)),IF(INDEX(Properties!A$1:CB$87,Formula!H62,32)=0,10^6,INDEX(Properties!A$1:CB$87,Formula!H62,32)),IF(INDEX(Properties!A$1:CB$87,Formula!J62,32)=0,10^6,INDEX(Properties!A$1:CB$87,Formula!J62,32)))</f>
        <v>2.2000000000000002</v>
      </c>
      <c r="DE62" s="42">
        <f t="shared" si="17"/>
        <v>5.34</v>
      </c>
      <c r="DF62" s="60">
        <f>((Formula!C62)/(Formula!C62+Formula!E62+Formula!G62+Formula!I62+Formula!K62))*(INDEX(Properties!A$1:CB$87,Formula!B62,34))+((Formula!E62)/(Formula!C62+Formula!E62+Formula!G62+Formula!I62+Formula!K62))*(INDEX(Properties!A$1:CB$87,Formula!D62,34))+((Formula!G62)/(Formula!C62+Formula!E62+Formula!G62+Formula!I62+Formula!K62))*(INDEX(Properties!A$1:CB$87,Formula!F62,34))+((Formula!I62)/(Formula!C62+Formula!E62+Formula!G62+Formula!I62+Formula!K62))*(INDEX(Properties!A$1:CB$87,Formula!H62,34))+((Formula!K62)/(Formula!C62+Formula!E62+Formula!G62+Formula!I62+Formula!K62))*(INDEX(Properties!A$1:CB$87,Formula!J62,34))</f>
        <v>2.6377222222222221</v>
      </c>
      <c r="DG62" s="60">
        <f>Formula!C62*(INDEX(Properties!A$1:CB$87,Formula!B62,34))+Formula!E62*(INDEX(Properties!A$1:CB$87,Formula!D62,34))+Formula!G62*(INDEX(Properties!A$1:CB$87,Formula!F62,34))+Formula!I62*(INDEX(Properties!A$1:CB$87,Formula!H62,34))+Formula!K62*(INDEX(Properties!A$1:CB$87,Formula!J62,34))</f>
        <v>47.478999999999999</v>
      </c>
      <c r="DH62" s="60">
        <f>VARP(IF(INDEX(Properties!A$1:CB$87,Formula!B62,34)&lt;&gt;"",INDEX(Properties!A$1:CB$87,Formula!B62,34)),IF(INDEX(Properties!A$1:CB$87,Formula!D62,34)&lt;&gt;"",INDEX(Properties!A$1:CB$87,Formula!D62,34)),IF(INDEX(Properties!A$1:CB$87,Formula!F62,34)&lt;&gt;"",INDEX(Properties!A$1:CB$87,Formula!F62,34)),IF(INDEX(Properties!A$1:CB$87,Formula!H62,34)&lt;&gt;"",INDEX(Properties!A$1:CB$87,Formula!H62,34)),IF(INDEX(Properties!A$1:CB$87,Formula!J62,34)&lt;&gt;"",INDEX(Properties!A$1:CB$87,Formula!J62,34)))</f>
        <v>1.4749424000000002</v>
      </c>
      <c r="DI62" s="60">
        <f>MAX(INDEX(Properties!A$1:CB$87,Formula!B62,34),INDEX(Properties!A$1:CB$87,Formula!D62,34),INDEX(Properties!A$1:CB$87,Formula!F62,34),INDEX(Properties!A$1:CB$87,Formula!H62,34),INDEX(Properties!A$1:CB$87,Formula!J62,34))</f>
        <v>3.61</v>
      </c>
      <c r="DJ62" s="60">
        <f>MIN(IF(INDEX(Properties!A$1:CB$87,Formula!B62,34)=0,10^6,INDEX(Properties!A$1:CB$87,Formula!B62,34)),IF(INDEX(Properties!A$1:CB$87,Formula!D62,34)=0,10^6,INDEX(Properties!A$1:CB$87,Formula!D62,34)),IF(INDEX(Properties!A$1:CB$87,Formula!F62,34)=0,10^6,INDEX(Properties!A$1:CB$87,Formula!F62,34)),IF(INDEX(Properties!A$1:CB$87,Formula!H62,34)=0,10^6,INDEX(Properties!A$1:CB$87,Formula!H62,34)),IF(INDEX(Properties!A$1:CB$87,Formula!J62,34)=0,10^6,INDEX(Properties!A$1:CB$87,Formula!J62,34)))</f>
        <v>1.034</v>
      </c>
      <c r="DK62" s="60">
        <f t="shared" si="18"/>
        <v>2.5759999999999996</v>
      </c>
      <c r="DL62" s="45">
        <f>((Formula!C62)/(Formula!C62+Formula!E62+Formula!G62+Formula!I62+Formula!K62))*(INDEX(Properties!A$1:CB$87,Formula!B62,39))+((Formula!E62)/(Formula!C62+Formula!E62+Formula!G62+Formula!I62+Formula!K62))*(INDEX(Properties!A$1:CB$87,Formula!D62,39))+((Formula!G62)/(Formula!C62+Formula!E62+Formula!G62+Formula!I62+Formula!K62))*(INDEX(Properties!A$1:CB$87,Formula!F62,39))+((Formula!I62)/(Formula!C62+Formula!E62+Formula!G62+Formula!I62+Formula!K62))*(INDEX(Properties!A$1:CB$87,Formula!H62,39))+((Formula!K62)/(Formula!C62+Formula!E62+Formula!G62+Formula!I62+Formula!K62))*(INDEX(Properties!A$1:CB$87,Formula!J62,39))</f>
        <v>0.97499999999999987</v>
      </c>
      <c r="DM62" s="45">
        <f>Formula!C62*(INDEX(Properties!A$1:CB$87,Formula!B62,39))+Formula!E62*(INDEX(Properties!A$1:CB$87,Formula!D62,39))+Formula!G62*(INDEX(Properties!A$1:CB$87,Formula!F62,39))+Formula!I62*(INDEX(Properties!A$1:CB$87,Formula!H62,39))+Formula!K62*(INDEX(Properties!A$1:CB$87,Formula!J62,39))</f>
        <v>17.55</v>
      </c>
      <c r="DN62" s="45">
        <f>VARP(IF(INDEX(Properties!A$1:CB$87,Formula!B62,39)&lt;&gt;"",INDEX(Properties!A$1:CB$87,Formula!B62,39)),IF(INDEX(Properties!A$1:CB$87,Formula!D62,39)&lt;&gt;"",INDEX(Properties!A$1:CB$87,Formula!D62,39)),IF(INDEX(Properties!A$1:CB$87,Formula!F62,39)&lt;&gt;"",INDEX(Properties!A$1:CB$87,Formula!F62,39)),IF(INDEX(Properties!A$1:CB$87,Formula!H62,39)&lt;&gt;"",INDEX(Properties!A$1:CB$87,Formula!H62,39)),IF(INDEX(Properties!A$1:CB$87,Formula!J62,39)&lt;&gt;"",INDEX(Properties!A$1:CB$87,Formula!J62,39)))</f>
        <v>0.79710399999999992</v>
      </c>
      <c r="DO62" s="45">
        <f>MAX(INDEX(Properties!A$1:CB$87,Formula!B62,39),INDEX(Properties!A$1:CB$87,Formula!D62,39),INDEX(Properties!A$1:CB$87,Formula!F62,39),INDEX(Properties!A$1:CB$87,Formula!H62,39),INDEX(Properties!A$1:CB$87,Formula!J62,39))</f>
        <v>2.38</v>
      </c>
      <c r="DP62" s="45">
        <f>MIN(IF(INDEX(Properties!A$1:CB$87,Formula!B62,39)=0,10^6,INDEX(Properties!A$1:CB$87,Formula!B62,39)),IF(INDEX(Properties!A$1:CB$87,Formula!D62,39)=0,10^6,INDEX(Properties!A$1:CB$87,Formula!D62,39)),IF(INDEX(Properties!A$1:CB$87,Formula!F62,39)=0,10^6,INDEX(Properties!A$1:CB$87,Formula!F62,39)),IF(INDEX(Properties!A$1:CB$87,Formula!H62,39)=0,10^6,INDEX(Properties!A$1:CB$87,Formula!H62,39)),IF(INDEX(Properties!A$1:CB$87,Formula!J62,39)=0,10^6,INDEX(Properties!A$1:CB$87,Formula!J62,39)))</f>
        <v>0.48</v>
      </c>
      <c r="DQ62" s="45">
        <f t="shared" si="19"/>
        <v>1.9</v>
      </c>
      <c r="DR62" s="63">
        <f>((Formula!C62)/(Formula!C62+Formula!E62+Formula!G62+Formula!I62+Formula!K62))*(INDEX(Properties!A$1:CB$87,Formula!B62,40))+((Formula!E62)/(Formula!C62+Formula!E62+Formula!G62+Formula!I62+Formula!K62))*(INDEX(Properties!A$1:CB$87,Formula!D62,40))+((Formula!G62)/(Formula!C62+Formula!E62+Formula!G62+Formula!I62+Formula!K62))*(INDEX(Properties!A$1:CB$87,Formula!F62,40))+((Formula!I62)/(Formula!C62+Formula!E62+Formula!G62+Formula!I62+Formula!K62))*(INDEX(Properties!A$1:CB$87,Formula!H62,40))+((Formula!K62)/(Formula!C62+Formula!E62+Formula!G62+Formula!I62+Formula!K62))*(INDEX(Properties!A$1:CB$87,Formula!J62,40))</f>
        <v>1.0188888888888887</v>
      </c>
      <c r="DS62" s="63">
        <f>Formula!C62*(INDEX(Properties!A$1:CB$87,Formula!B62,40))+Formula!E62*(INDEX(Properties!A$1:CB$87,Formula!D62,40))+Formula!G62*(INDEX(Properties!A$1:CB$87,Formula!F62,40))+Formula!I62*(INDEX(Properties!A$1:CB$87,Formula!H62,40))+Formula!K62*(INDEX(Properties!A$1:CB$87,Formula!J62,40))</f>
        <v>18.34</v>
      </c>
      <c r="DT62" s="63">
        <f>VARP(IF(INDEX(Properties!A$1:CB$87,Formula!B62,40)&lt;&gt;"",INDEX(Properties!A$1:CB$87,Formula!B62,40)),IF(INDEX(Properties!A$1:CB$87,Formula!D62,40)&lt;&gt;"",INDEX(Properties!A$1:CB$87,Formula!D62,40)),IF(INDEX(Properties!A$1:CB$87,Formula!F62,40)&lt;&gt;"",INDEX(Properties!A$1:CB$87,Formula!F62,40)),IF(INDEX(Properties!A$1:CB$87,Formula!H62,40)&lt;&gt;"",INDEX(Properties!A$1:CB$87,Formula!H62,40)),IF(INDEX(Properties!A$1:CB$87,Formula!J62,40)&lt;&gt;"",INDEX(Properties!A$1:CB$87,Formula!J62,40)))</f>
        <v>0.40713600000000016</v>
      </c>
      <c r="DU62" s="63">
        <f>MAX(INDEX(Properties!A$1:CB$87,Formula!B62,40),INDEX(Properties!A$1:CB$87,Formula!D62,40),INDEX(Properties!A$1:CB$87,Formula!F62,40),INDEX(Properties!A$1:CB$87,Formula!H62,40),INDEX(Properties!A$1:CB$87,Formula!J62,40))</f>
        <v>1.74</v>
      </c>
      <c r="DV62" s="63">
        <f>MIN(IF(INDEX(Properties!A$1:CB$87,Formula!B62,40)=0,10^6,INDEX(Properties!A$1:CB$87,Formula!B62,40)),IF(INDEX(Properties!A$1:CB$87,Formula!D62,40)=0,10^6,INDEX(Properties!A$1:CB$87,Formula!D62,40)),IF(INDEX(Properties!A$1:CB$87,Formula!F62,40)=0,10^6,INDEX(Properties!A$1:CB$87,Formula!F62,40)),IF(INDEX(Properties!A$1:CB$87,Formula!H62,40)=0,10^6,INDEX(Properties!A$1:CB$87,Formula!H62,40)),IF(INDEX(Properties!A$1:CB$87,Formula!J62,40)=0,10^6,INDEX(Properties!A$1:CB$87,Formula!J62,40)))</f>
        <v>0.73</v>
      </c>
      <c r="DW62" s="63">
        <f t="shared" si="20"/>
        <v>1.01</v>
      </c>
      <c r="DX62" s="75">
        <f>((Formula!C62)/(Formula!C62+Formula!E62+Formula!G62+Formula!I62+Formula!K62))*(INDEX(Properties!A$1:CB$87,Formula!B62,41))+((Formula!E62)/(Formula!C62+Formula!E62+Formula!G62+Formula!I62+Formula!K62))*(INDEX(Properties!A$1:CB$87,Formula!D62,41))+((Formula!G62)/(Formula!C62+Formula!E62+Formula!G62+Formula!I62+Formula!K62))*(INDEX(Properties!A$1:CB$87,Formula!F62,41))+((Formula!I62)/(Formula!C62+Formula!E62+Formula!G62+Formula!I62+Formula!K62))*(INDEX(Properties!A$1:CB$87,Formula!H62,41))+((Formula!K62)/(Formula!C62+Formula!E62+Formula!G62+Formula!I62+Formula!K62))*(INDEX(Properties!A$1:CB$87,Formula!J62,41))</f>
        <v>1.0972222222222223</v>
      </c>
      <c r="DY62" s="75">
        <f>Formula!C62*(INDEX(Properties!A$1:CB$87,Formula!B62,41))+Formula!E62*(INDEX(Properties!A$1:CB$87,Formula!D62,41))+Formula!G62*(INDEX(Properties!A$1:CB$87,Formula!F62,41))+Formula!I62*(INDEX(Properties!A$1:CB$87,Formula!H62,41))+Formula!K62*(INDEX(Properties!A$1:CB$87,Formula!J62,41))</f>
        <v>19.75</v>
      </c>
      <c r="DZ62" s="75">
        <f>VARP(IF(INDEX(Properties!A$1:CB$87,Formula!B62,41)&lt;&gt;"",INDEX(Properties!A$1:CB$87,Formula!B62,41)),IF(INDEX(Properties!A$1:CB$87,Formula!D62,41)&lt;&gt;"",INDEX(Properties!A$1:CB$87,Formula!D62,41)),IF(INDEX(Properties!A$1:CB$87,Formula!F62,41)&lt;&gt;"",INDEX(Properties!A$1:CB$87,Formula!F62,41)),IF(INDEX(Properties!A$1:CB$87,Formula!H62,41)&lt;&gt;"",INDEX(Properties!A$1:CB$87,Formula!H62,41)),IF(INDEX(Properties!A$1:CB$87,Formula!J62,41)&lt;&gt;"",INDEX(Properties!A$1:CB$87,Formula!J62,41)))</f>
        <v>0.28542400000000012</v>
      </c>
      <c r="EA62" s="75">
        <f>MAX(INDEX(Properties!A$1:CB$87,Formula!B62,41),INDEX(Properties!A$1:CB$87,Formula!D62,41),INDEX(Properties!A$1:CB$87,Formula!F62,41),INDEX(Properties!A$1:CB$87,Formula!H62,41),INDEX(Properties!A$1:CB$87,Formula!J62,41))</f>
        <v>1.36</v>
      </c>
      <c r="EB62" s="75">
        <f>MIN(IF(INDEX(Properties!A$1:CB$87,Formula!B62,41)=0,10^6,INDEX(Properties!A$1:CB$87,Formula!B62,41)),IF(INDEX(Properties!A$1:CB$87,Formula!D62,41)=0,10^6,INDEX(Properties!A$1:CB$87,Formula!D62,41)),IF(INDEX(Properties!A$1:CB$87,Formula!F62,41)=0,10^6,INDEX(Properties!A$1:CB$87,Formula!F62,41)),IF(INDEX(Properties!A$1:CB$87,Formula!H62,41)=0,10^6,INDEX(Properties!A$1:CB$87,Formula!H62,41)),IF(INDEX(Properties!A$1:CB$87,Formula!J62,41)=0,10^6,INDEX(Properties!A$1:CB$87,Formula!J62,41)))</f>
        <v>0.41</v>
      </c>
      <c r="EC62" s="75">
        <f t="shared" si="21"/>
        <v>0.95000000000000018</v>
      </c>
      <c r="ED62" s="48">
        <f>((Formula!C62)/(Formula!C62+Formula!E62+Formula!G62+Formula!I62+Formula!K62))*(INDEX(Properties!A$1:CB$87,Formula!B62,45))+((Formula!E62)/(Formula!C62+Formula!E62+Formula!G62+Formula!I62+Formula!K62))*(INDEX(Properties!A$1:CB$87,Formula!D62,45))+((Formula!G62)/(Formula!C62+Formula!E62+Formula!G62+Formula!I62+Formula!K62))*(INDEX(Properties!A$1:CB$87,Formula!F62,45))+((Formula!I62)/(Formula!C62+Formula!E62+Formula!G62+Formula!I62+Formula!K62))*(INDEX(Properties!A$1:CB$87,Formula!H62,45))+((Formula!K62)/(Formula!C62+Formula!E62+Formula!G62+Formula!I62+Formula!K62))*(INDEX(Properties!A$1:CB$87,Formula!J62,45))</f>
        <v>1.2911111111111111</v>
      </c>
      <c r="EE62" s="48">
        <f>Formula!C62*(INDEX(Properties!A$1:CB$87,Formula!B62,45))+Formula!E62*(INDEX(Properties!A$1:CB$87,Formula!D62,45))+Formula!G62*(INDEX(Properties!A$1:CB$87,Formula!F62,45))+Formula!I62*(INDEX(Properties!A$1:CB$87,Formula!H62,45))+Formula!K62*(INDEX(Properties!A$1:CB$87,Formula!J62,45))</f>
        <v>23.24</v>
      </c>
      <c r="EF62" s="48">
        <f>VARP(IF(INDEX(Properties!A$1:CB$87,Formula!B62,45)&lt;&gt;"",INDEX(Properties!A$1:CB$87,Formula!B62,45)),IF(INDEX(Properties!A$1:CB$87,Formula!D62,45)&lt;&gt;"",INDEX(Properties!A$1:CB$87,Formula!D62,45)),IF(INDEX(Properties!A$1:CB$87,Formula!F62,45)&lt;&gt;"",INDEX(Properties!A$1:CB$87,Formula!F62,45)),IF(INDEX(Properties!A$1:CB$87,Formula!H62,45)&lt;&gt;"",INDEX(Properties!A$1:CB$87,Formula!H62,45)),IF(INDEX(Properties!A$1:CB$87,Formula!J62,45)&lt;&gt;"",INDEX(Properties!A$1:CB$87,Formula!J62,45)))</f>
        <v>2.5709759999999999</v>
      </c>
      <c r="EG62" s="48">
        <f>MAX(INDEX(Properties!A$1:CB$87,Formula!B62,45),INDEX(Properties!A$1:CB$87,Formula!D62,45),INDEX(Properties!A$1:CB$87,Formula!F62,45),INDEX(Properties!A$1:CB$87,Formula!H62,45),INDEX(Properties!A$1:CB$87,Formula!J62,45))</f>
        <v>4.1399999999999997</v>
      </c>
      <c r="EH62" s="48">
        <f>MIN(IF(INDEX(Properties!A$1:CB$87,Formula!B62,45)=0,10^6,INDEX(Properties!A$1:CB$87,Formula!B62,45)),IF(INDEX(Properties!A$1:CB$87,Formula!D62,45)=0,10^6,INDEX(Properties!A$1:CB$87,Formula!D62,45)),IF(INDEX(Properties!A$1:CB$87,Formula!F62,45)=0,10^6,INDEX(Properties!A$1:CB$87,Formula!F62,45)),IF(INDEX(Properties!A$1:CB$87,Formula!H62,45)=0,10^6,INDEX(Properties!A$1:CB$87,Formula!H62,45)),IF(INDEX(Properties!A$1:CB$87,Formula!J62,45)=0,10^6,INDEX(Properties!A$1:CB$87,Formula!J62,45)))</f>
        <v>0.47</v>
      </c>
      <c r="EI62" s="48">
        <f t="shared" si="22"/>
        <v>3.67</v>
      </c>
      <c r="EJ62" s="66">
        <f>((Formula!C62)/(Formula!C62+Formula!E62+Formula!G62+Formula!I62+Formula!K62))*(INDEX(Properties!A$1:CB$87,Formula!B62,46))+((Formula!E62)/(Formula!C62+Formula!E62+Formula!G62+Formula!I62+Formula!K62))*(INDEX(Properties!A$1:CB$87,Formula!D62,46))+((Formula!G62)/(Formula!C62+Formula!E62+Formula!G62+Formula!I62+Formula!K62))*(INDEX(Properties!A$1:CB$87,Formula!F62,46))+((Formula!I62)/(Formula!C62+Formula!E62+Formula!G62+Formula!I62+Formula!K62))*(INDEX(Properties!A$1:CB$87,Formula!H62,46))+((Formula!K62)/(Formula!C62+Formula!E62+Formula!G62+Formula!I62+Formula!K62))*(INDEX(Properties!A$1:CB$87,Formula!J62,46))</f>
        <v>1.0283333333333333</v>
      </c>
      <c r="EK62" s="66">
        <f>Formula!C62*(INDEX(Properties!A$1:CB$87,Formula!B62,46))+Formula!E62*(INDEX(Properties!A$1:CB$87,Formula!D62,46))+Formula!G62*(INDEX(Properties!A$1:CB$87,Formula!F62,46))+Formula!I62*(INDEX(Properties!A$1:CB$87,Formula!H62,46))+Formula!K62*(INDEX(Properties!A$1:CB$87,Formula!J62,46))</f>
        <v>18.509999999999998</v>
      </c>
      <c r="EL62" s="66">
        <f>VARP(IF(INDEX(Properties!A$1:CB$87,Formula!B62,46)&lt;&gt;"",INDEX(Properties!A$1:CB$87,Formula!B62,46)),IF(INDEX(Properties!A$1:CB$87,Formula!D62,46)&lt;&gt;"",INDEX(Properties!A$1:CB$87,Formula!D62,46)),IF(INDEX(Properties!A$1:CB$87,Formula!F62,46)&lt;&gt;"",INDEX(Properties!A$1:CB$87,Formula!F62,46)),IF(INDEX(Properties!A$1:CB$87,Formula!H62,46)&lt;&gt;"",INDEX(Properties!A$1:CB$87,Formula!H62,46)),IF(INDEX(Properties!A$1:CB$87,Formula!J62,46)&lt;&gt;"",INDEX(Properties!A$1:CB$87,Formula!J62,46)))</f>
        <v>0.25963999999999998</v>
      </c>
      <c r="EM62" s="66">
        <f>MAX(INDEX(Properties!A$1:CB$87,Formula!B62,46),INDEX(Properties!A$1:CB$87,Formula!D62,46),INDEX(Properties!A$1:CB$87,Formula!F62,46),INDEX(Properties!A$1:CB$87,Formula!H62,46),INDEX(Properties!A$1:CB$87,Formula!J62,46))</f>
        <v>1.21</v>
      </c>
      <c r="EN62" s="66">
        <f>MIN(IF(INDEX(Properties!A$1:CB$87,Formula!B62,46)=0,10^6,INDEX(Properties!A$1:CB$87,Formula!B62,46)),IF(INDEX(Properties!A$1:CB$87,Formula!D62,46)=0,10^6,INDEX(Properties!A$1:CB$87,Formula!D62,46)),IF(INDEX(Properties!A$1:CB$87,Formula!F62,46)=0,10^6,INDEX(Properties!A$1:CB$87,Formula!F62,46)),IF(INDEX(Properties!A$1:CB$87,Formula!H62,46)=0,10^6,INDEX(Properties!A$1:CB$87,Formula!H62,46)),IF(INDEX(Properties!A$1:CB$87,Formula!J62,46)=0,10^6,INDEX(Properties!A$1:CB$87,Formula!J62,46)))</f>
        <v>0.25</v>
      </c>
      <c r="EO62" s="66">
        <f t="shared" si="23"/>
        <v>0.96</v>
      </c>
      <c r="EP62" s="81">
        <f>((Formula!C62)/(Formula!C62+Formula!E62+Formula!G62+Formula!I62+Formula!K62))*(INDEX(Properties!A$1:CB$87,Formula!B62,52))+((Formula!E62)/(Formula!C62+Formula!E62+Formula!G62+Formula!I62+Formula!K62))*(INDEX(Properties!A$1:CB$87,Formula!D62,52))+((Formula!G62)/(Formula!C62+Formula!E62+Formula!G62+Formula!I62+Formula!K62))*(INDEX(Properties!A$1:CB$87,Formula!F62,52))+((Formula!I62)/(Formula!C62+Formula!E62+Formula!G62+Formula!I62+Formula!K62))*(INDEX(Properties!A$1:CB$87,Formula!H62,52))+((Formula!K62)/(Formula!C62+Formula!E62+Formula!G62+Formula!I62+Formula!K62))*(INDEX(Properties!A$1:CB$87,Formula!J62,52))</f>
        <v>7.6072222222222212</v>
      </c>
      <c r="EQ62" s="81">
        <f>Formula!C62*(INDEX(Properties!A$1:CB$87,Formula!B62,52))+Formula!E62*(INDEX(Properties!A$1:CB$87,Formula!D62,52))+Formula!G62*(INDEX(Properties!A$1:CB$87,Formula!F62,52))+Formula!I62*(INDEX(Properties!A$1:CB$87,Formula!H62,52))+Formula!K62*(INDEX(Properties!A$1:CB$87,Formula!J62,52))</f>
        <v>136.93</v>
      </c>
      <c r="ER62" s="81">
        <f>VARP(IF(INDEX(Properties!A$1:CB$87,Formula!B62,52)&lt;&gt;"",INDEX(Properties!A$1:CB$87,Formula!B62,52)),IF(INDEX(Properties!A$1:CB$87,Formula!D62,52)&lt;&gt;"",INDEX(Properties!A$1:CB$87,Formula!D62,52)),IF(INDEX(Properties!A$1:CB$87,Formula!F62,52)&lt;&gt;"",INDEX(Properties!A$1:CB$87,Formula!F62,52)),IF(INDEX(Properties!A$1:CB$87,Formula!H62,52)&lt;&gt;"",INDEX(Properties!A$1:CB$87,Formula!H62,52)),IF(INDEX(Properties!A$1:CB$87,Formula!J62,52)&lt;&gt;"",INDEX(Properties!A$1:CB$87,Formula!J62,52)))</f>
        <v>149.04639184000004</v>
      </c>
      <c r="ES62" s="81">
        <f>MAX(INDEX(Properties!A$1:CB$87,Formula!B62,52),INDEX(Properties!A$1:CB$87,Formula!D62,52),INDEX(Properties!A$1:CB$87,Formula!F62,52),INDEX(Properties!A$1:CB$87,Formula!H62,52),INDEX(Properties!A$1:CB$87,Formula!J62,52))</f>
        <v>28.8</v>
      </c>
      <c r="ET62" s="81">
        <f>MIN(IF(INDEX(Properties!A$1:CB$87,Formula!B62,52)=0,10^6,INDEX(Properties!A$1:CB$87,Formula!B62,52)),IF(INDEX(Properties!A$1:CB$87,Formula!D62,52)=0,10^6,INDEX(Properties!A$1:CB$87,Formula!D62,52)),IF(INDEX(Properties!A$1:CB$87,Formula!F62,52)=0,10^6,INDEX(Properties!A$1:CB$87,Formula!F62,52)),IF(INDEX(Properties!A$1:CB$87,Formula!H62,52)=0,10^6,INDEX(Properties!A$1:CB$87,Formula!H62,52)),IF(INDEX(Properties!A$1:CB$87,Formula!J62,52)=0,10^6,INDEX(Properties!A$1:CB$87,Formula!J62,52)))</f>
        <v>0.79300000000000004</v>
      </c>
      <c r="EU62" s="81">
        <f t="shared" si="24"/>
        <v>28.007000000000001</v>
      </c>
      <c r="EV62" s="39">
        <f>((Formula!C62)/(Formula!C62+Formula!E62+Formula!G62+Formula!I62+Formula!K62))*(INDEX(Properties!A$1:CB$87,Formula!B62,53))+((Formula!E62)/(Formula!C62+Formula!E62+Formula!G62+Formula!I62+Formula!K62))*(INDEX(Properties!A$1:CB$87,Formula!D62,53))+((Formula!G62)/(Formula!C62+Formula!E62+Formula!G62+Formula!I62+Formula!K62))*(INDEX(Properties!A$1:CB$87,Formula!F62,53))+((Formula!I62)/(Formula!C62+Formula!E62+Formula!G62+Formula!I62+Formula!K62))*(INDEX(Properties!A$1:CB$87,Formula!H62,53))+((Formula!K62)/(Formula!C62+Formula!E62+Formula!G62+Formula!I62+Formula!K62))*(INDEX(Properties!A$1:CB$87,Formula!J62,53))</f>
        <v>744.42777777777769</v>
      </c>
      <c r="EW62" s="39">
        <f>Formula!C62*(INDEX(Properties!A$1:CB$87,Formula!B62,53))+Formula!E62*(INDEX(Properties!A$1:CB$87,Formula!D62,53))+Formula!G62*(INDEX(Properties!A$1:CB$87,Formula!F62,53))+Formula!I62*(INDEX(Properties!A$1:CB$87,Formula!H62,53))+Formula!K62*(INDEX(Properties!A$1:CB$87,Formula!J62,53))</f>
        <v>13399.7</v>
      </c>
      <c r="EX62" s="39">
        <f>VARP(IF(INDEX(Properties!A$1:CB$87,Formula!B62,53)&lt;&gt;"",INDEX(Properties!A$1:CB$87,Formula!B62,53)),IF(INDEX(Properties!A$1:CB$87,Formula!D62,53)&lt;&gt;"",INDEX(Properties!A$1:CB$87,Formula!D62,53)),IF(INDEX(Properties!A$1:CB$87,Formula!F62,53)&lt;&gt;"",INDEX(Properties!A$1:CB$87,Formula!F62,53)),IF(INDEX(Properties!A$1:CB$87,Formula!H62,53)&lt;&gt;"",INDEX(Properties!A$1:CB$87,Formula!H62,53)),IF(INDEX(Properties!A$1:CB$87,Formula!J62,53)&lt;&gt;"",INDEX(Properties!A$1:CB$87,Formula!J62,53)))</f>
        <v>770263.48839999991</v>
      </c>
      <c r="EY62" s="39">
        <f>MAX(INDEX(Properties!A$1:CB$87,Formula!B62,53),INDEX(Properties!A$1:CB$87,Formula!D62,53),INDEX(Properties!A$1:CB$87,Formula!F62,53),INDEX(Properties!A$1:CB$87,Formula!H62,53),INDEX(Properties!A$1:CB$87,Formula!J62,53))</f>
        <v>2352.15</v>
      </c>
      <c r="EZ62" s="39">
        <f>MIN(IF(INDEX(Properties!A$1:CB$87,Formula!B62,53)=0,10^6,INDEX(Properties!A$1:CB$87,Formula!B62,53)),IF(INDEX(Properties!A$1:CB$87,Formula!D62,53)=0,10^6,INDEX(Properties!A$1:CB$87,Formula!D62,53)),IF(INDEX(Properties!A$1:CB$87,Formula!F62,53)=0,10^6,INDEX(Properties!A$1:CB$87,Formula!F62,53)),IF(INDEX(Properties!A$1:CB$87,Formula!H62,53)=0,10^6,INDEX(Properties!A$1:CB$87,Formula!H62,53)),IF(INDEX(Properties!A$1:CB$87,Formula!J62,53)=0,10^6,INDEX(Properties!A$1:CB$87,Formula!J62,53)))</f>
        <v>54.749999999999972</v>
      </c>
      <c r="FA62" s="39">
        <f t="shared" si="25"/>
        <v>2297.4</v>
      </c>
      <c r="FB62" s="54">
        <f>((Formula!C62)/(Formula!C62+Formula!E62+Formula!G62+Formula!I62+Formula!K62))*(INDEX(Properties!A$1:CB$87,Formula!B62,54))+((Formula!E62)/(Formula!C62+Formula!E62+Formula!G62+Formula!I62+Formula!K62))*(INDEX(Properties!A$1:CB$87,Formula!D62,54))+((Formula!G62)/(Formula!C62+Formula!E62+Formula!G62+Formula!I62+Formula!K62))*(INDEX(Properties!A$1:CB$87,Formula!F62,54))+((Formula!I62)/(Formula!C62+Formula!E62+Formula!G62+Formula!I62+Formula!K62))*(INDEX(Properties!A$1:CB$87,Formula!H62,54))+((Formula!K62)/(Formula!C62+Formula!E62+Formula!G62+Formula!I62+Formula!K62))*(INDEX(Properties!A$1:CB$87,Formula!J62,54))</f>
        <v>1267.9027777777776</v>
      </c>
      <c r="FC62" s="54">
        <f>Formula!C62*(INDEX(Properties!A$1:CB$87,Formula!B62,54))+Formula!E62*(INDEX(Properties!A$1:CB$87,Formula!D62,54))+Formula!G62*(INDEX(Properties!A$1:CB$87,Formula!F62,54))+Formula!I62*(INDEX(Properties!A$1:CB$87,Formula!H62,54))+Formula!K62*(INDEX(Properties!A$1:CB$87,Formula!J62,54))</f>
        <v>22822.25</v>
      </c>
      <c r="FD62" s="54">
        <f>VARP(IF(INDEX(Properties!A$1:CB$87,Formula!B62,54)&lt;&gt;"",INDEX(Properties!A$1:CB$87,Formula!B62,54)),IF(INDEX(Properties!A$1:CB$87,Formula!D62,54)&lt;&gt;"",INDEX(Properties!A$1:CB$87,Formula!D62,54)),IF(INDEX(Properties!A$1:CB$87,Formula!F62,54)&lt;&gt;"",INDEX(Properties!A$1:CB$87,Formula!F62,54)),IF(INDEX(Properties!A$1:CB$87,Formula!H62,54)&lt;&gt;"",INDEX(Properties!A$1:CB$87,Formula!H62,54)),IF(INDEX(Properties!A$1:CB$87,Formula!J62,54)&lt;&gt;"",INDEX(Properties!A$1:CB$87,Formula!J62,54)))</f>
        <v>2446203.8014000002</v>
      </c>
      <c r="FE62" s="54">
        <f>MAX(INDEX(Properties!A$1:CB$87,Formula!B62,54),INDEX(Properties!A$1:CB$87,Formula!D62,54),INDEX(Properties!A$1:CB$87,Formula!F62,54),INDEX(Properties!A$1:CB$87,Formula!H62,54),INDEX(Properties!A$1:CB$87,Formula!J62,54))</f>
        <v>4275</v>
      </c>
      <c r="FF62" s="54">
        <f>MIN(IF(INDEX(Properties!A$1:CB$87,Formula!B62,54)=0,10^6,INDEX(Properties!A$1:CB$87,Formula!B62,54)),IF(INDEX(Properties!A$1:CB$87,Formula!D62,54)=0,10^6,INDEX(Properties!A$1:CB$87,Formula!D62,54)),IF(INDEX(Properties!A$1:CB$87,Formula!F62,54)=0,10^6,INDEX(Properties!A$1:CB$87,Formula!F62,54)),IF(INDEX(Properties!A$1:CB$87,Formula!H62,54)=0,10^6,INDEX(Properties!A$1:CB$87,Formula!H62,54)),IF(INDEX(Properties!A$1:CB$87,Formula!J62,54)=0,10^6,INDEX(Properties!A$1:CB$87,Formula!J62,54)))</f>
        <v>90.149999999999977</v>
      </c>
      <c r="FG62" s="54">
        <f t="shared" si="26"/>
        <v>4184.8500000000004</v>
      </c>
      <c r="FH62" s="69">
        <f>((Formula!C62)/(Formula!C62+Formula!E62+Formula!G62+Formula!I62+Formula!K62))*(INDEX(Properties!A$1:CB$87,Formula!B62,55))+((Formula!E62)/(Formula!C62+Formula!E62+Formula!G62+Formula!I62+Formula!K62))*(INDEX(Properties!A$1:CB$87,Formula!D62,55))+((Formula!G62)/(Formula!C62+Formula!E62+Formula!G62+Formula!I62+Formula!K62))*(INDEX(Properties!A$1:CB$87,Formula!F62,55))+((Formula!I62)/(Formula!C62+Formula!E62+Formula!G62+Formula!I62+Formula!K62))*(INDEX(Properties!A$1:CB$87,Formula!H62,55))+((Formula!K62)/(Formula!C62+Formula!E62+Formula!G62+Formula!I62+Formula!K62))*(INDEX(Properties!A$1:CB$87,Formula!J62,55))</f>
        <v>1.1530166666666666</v>
      </c>
      <c r="FI62" s="69">
        <f>Formula!C62*(INDEX(Properties!A$1:CB$87,Formula!B62,55))+Formula!E62*(INDEX(Properties!A$1:CB$87,Formula!D62,54))+Formula!G62*(INDEX(Properties!A$1:CB$87,Formula!F62,55))+Formula!I62*(INDEX(Properties!A$1:CB$87,Formula!H62,55))+Formula!K62*(INDEX(Properties!A$1:CB$87,Formula!J62,55))</f>
        <v>2080.3842999999997</v>
      </c>
      <c r="FJ62" s="69">
        <f>VARP(IF(INDEX(Properties!A$1:CB$87,Formula!B62,55)&lt;&gt;"",INDEX(Properties!A$1:CB$87,Formula!B62,55)),IF(INDEX(Properties!A$1:CB$87,Formula!D62,55)&lt;&gt;"",INDEX(Properties!A$1:CB$87,Formula!D62,55)),IF(INDEX(Properties!A$1:CB$87,Formula!F62,55)&lt;&gt;"",INDEX(Properties!A$1:CB$87,Formula!F62,55)),IF(INDEX(Properties!A$1:CB$87,Formula!H62,55)&lt;&gt;"",INDEX(Properties!A$1:CB$87,Formula!H62,55)),IF(INDEX(Properties!A$1:CB$87,Formula!J62,55)&lt;&gt;"",INDEX(Properties!A$1:CB$87,Formula!J62,55)))</f>
        <v>7.6768710231840025</v>
      </c>
      <c r="FK62" s="69">
        <f>MAX(INDEX(Properties!A$1:CB$87,Formula!B62,55),INDEX(Properties!A$1:CB$87,Formula!D62,55),INDEX(Properties!A$1:CB$87,Formula!F62,55),INDEX(Properties!A$1:CB$87,Formula!H62,55),INDEX(Properties!A$1:CB$87,Formula!J62,55))</f>
        <v>7.52</v>
      </c>
      <c r="FL62" s="69">
        <f>MIN(IF(INDEX(Properties!A$1:CB$87,Formula!B62,55)=0,10^6,INDEX(Properties!A$1:CB$87,Formula!B62,55)),IF(INDEX(Properties!A$1:CB$87,Formula!D62,55)=0,10^6,INDEX(Properties!A$1:CB$87,Formula!D62,55)),IF(INDEX(Properties!A$1:CB$87,Formula!F62,55)=0,10^6,INDEX(Properties!A$1:CB$87,Formula!F62,55)),IF(INDEX(Properties!A$1:CB$87,Formula!H62,55)=0,10^6,INDEX(Properties!A$1:CB$87,Formula!H62,55)),IF(INDEX(Properties!A$1:CB$87,Formula!J62,55)=0,10^6,INDEX(Properties!A$1:CB$87,Formula!J62,55)))</f>
        <v>1.4300000000000001E-3</v>
      </c>
      <c r="FM62" s="69">
        <f t="shared" si="27"/>
        <v>7.5185699999999995</v>
      </c>
      <c r="FN62" s="42">
        <f>((Formula!C62)/(Formula!C62+Formula!E62+Formula!G62+Formula!I62+Formula!K62))*(INDEX(Properties!A$1:CB$87,Formula!B62,56))+((Formula!E62)/(Formula!C62+Formula!E62+Formula!G62+Formula!I62+Formula!K62))*(INDEX(Properties!A$1:CB$87,Formula!D62,56))+((Formula!G62)/(Formula!C62+Formula!E62+Formula!G62+Formula!I62+Formula!K62))*(INDEX(Properties!A$1:CB$87,Formula!F62,56))+((Formula!I62)/(Formula!C62+Formula!E62+Formula!G62+Formula!I62+Formula!K62))*(INDEX(Properties!A$1:CB$87,Formula!H62,56))+((Formula!K62)/(Formula!C62+Formula!E62+Formula!G62+Formula!I62+Formula!K62))*(INDEX(Properties!A$1:CB$87,Formula!J62,56))</f>
        <v>0.8322222222222222</v>
      </c>
      <c r="FO62" s="42">
        <f>Formula!C62*(INDEX(Properties!A$1:CB$87,Formula!B62,56))+Formula!E62*(INDEX(Properties!A$1:CB$87,Formula!D62,56))+Formula!G62*(INDEX(Properties!A$1:CB$87,Formula!F62,56))+Formula!I62*(INDEX(Properties!A$1:CB$87,Formula!H62,56))+Formula!K62*(INDEX(Properties!A$1:CB$87,Formula!J62,56))</f>
        <v>14.98</v>
      </c>
      <c r="FP62" s="42">
        <f>VARP(IF(INDEX(Properties!A$1:CB$87,Formula!B62,56)&lt;&gt;"",INDEX(Properties!A$1:CB$87,Formula!B62,56)),IF(INDEX(Properties!A$1:CB$87,Formula!D62,56)&lt;&gt;"",INDEX(Properties!A$1:CB$87,Formula!D62,56)),IF(INDEX(Properties!A$1:CB$87,Formula!F62,56)&lt;&gt;"",INDEX(Properties!A$1:CB$87,Formula!F62,56)),IF(INDEX(Properties!A$1:CB$87,Formula!H62,56)&lt;&gt;"",INDEX(Properties!A$1:CB$87,Formula!H62,56)),IF(INDEX(Properties!A$1:CB$87,Formula!J62,56)&lt;&gt;"",INDEX(Properties!A$1:CB$87,Formula!J62,56)))</f>
        <v>0.15782400000000002</v>
      </c>
      <c r="FQ62" s="42">
        <f>MAX(INDEX(Properties!A$1:CB$87,Formula!B62,56),INDEX(Properties!A$1:CB$87,Formula!D62,56),INDEX(Properties!A$1:CB$87,Formula!F62,56),INDEX(Properties!A$1:CB$87,Formula!H62,56),INDEX(Properties!A$1:CB$87,Formula!J62,56))</f>
        <v>1.02</v>
      </c>
      <c r="FR62" s="42">
        <f>MIN(IF(INDEX(Properties!A$1:CB$87,Formula!B62,56)=0,10^6,INDEX(Properties!A$1:CB$87,Formula!B62,56)),IF(INDEX(Properties!A$1:CB$87,Formula!D62,56)=0,10^6,INDEX(Properties!A$1:CB$87,Formula!D62,56)),IF(INDEX(Properties!A$1:CB$87,Formula!F62,56)=0,10^6,INDEX(Properties!A$1:CB$87,Formula!F62,56)),IF(INDEX(Properties!A$1:CB$87,Formula!H62,56)=0,10^6,INDEX(Properties!A$1:CB$87,Formula!H62,56)),IF(INDEX(Properties!A$1:CB$87,Formula!J62,56)=0,10^6,INDEX(Properties!A$1:CB$87,Formula!J62,56)))</f>
        <v>0.2</v>
      </c>
      <c r="FS62" s="42">
        <f t="shared" si="28"/>
        <v>0.82000000000000006</v>
      </c>
      <c r="FT62" s="60">
        <f>((Formula!C62)/(Formula!C62+Formula!E62+Formula!G62+Formula!I62+Formula!K62))*(INDEX(Properties!A$1:CB$87,Formula!B62,57))+((Formula!E62)/(Formula!C62+Formula!E62+Formula!G62+Formula!I62+Formula!K62))*(INDEX(Properties!A$1:CB$87,Formula!D62,57))+((Formula!G62)/(Formula!C62+Formula!E62+Formula!G62+Formula!I62+Formula!K62))*(INDEX(Properties!A$1:CB$87,Formula!F62,57))+((Formula!I62)/(Formula!C62+Formula!E62+Formula!G62+Formula!I62+Formula!K62))*(INDEX(Properties!A$1:CB$87,Formula!H62,57))+((Formula!K62)/(Formula!C62+Formula!E62+Formula!G62+Formula!I62+Formula!K62))*(INDEX(Properties!A$1:CB$87,Formula!J62,57))</f>
        <v>10.867550000000001</v>
      </c>
      <c r="FU62" s="60">
        <f>Formula!C62*(INDEX(Properties!A$1:CB$87,Formula!B62,57))+Formula!E62*(INDEX(Properties!A$1:CB$87,Formula!D62,57))+Formula!G62*(INDEX(Properties!A$1:CB$87,Formula!F62,57))+Formula!I62*(INDEX(Properties!A$1:CB$87,Formula!H62,57))+Formula!K62*(INDEX(Properties!A$1:CB$87,Formula!J62,57))</f>
        <v>195.61590000000001</v>
      </c>
      <c r="FV62" s="60">
        <f>VARP(IF(INDEX(Properties!A$1:CB$87,Formula!B62,57)&lt;&gt;"",INDEX(Properties!A$1:CB$87,Formula!B62,57)),IF(INDEX(Properties!A$1:CB$87,Formula!D62,57)&lt;&gt;"",INDEX(Properties!A$1:CB$87,Formula!D62,57)),IF(INDEX(Properties!A$1:CB$87,Formula!F62,57)&lt;&gt;"",INDEX(Properties!A$1:CB$87,Formula!F62,57)),IF(INDEX(Properties!A$1:CB$87,Formula!H62,57)&lt;&gt;"",INDEX(Properties!A$1:CB$87,Formula!H62,57)),IF(INDEX(Properties!A$1:CB$87,Formula!J62,57)&lt;&gt;"",INDEX(Properties!A$1:CB$87,Formula!J62,57)))</f>
        <v>350.74928034529614</v>
      </c>
      <c r="FW62" s="60">
        <f>MAX(INDEX(Properties!A$1:CB$87,Formula!B62,57),INDEX(Properties!A$1:CB$87,Formula!D62,57),INDEX(Properties!A$1:CB$87,Formula!F62,57),INDEX(Properties!A$1:CB$87,Formula!H62,57),INDEX(Properties!A$1:CB$87,Formula!J62,57))</f>
        <v>50.2</v>
      </c>
      <c r="FX62" s="60">
        <f>MIN(IF(INDEX(Properties!A$1:CB$87,Formula!B62,57)=0,10^6,INDEX(Properties!A$1:CB$87,Formula!B62,57)),IF(INDEX(Properties!A$1:CB$87,Formula!D62,57)=0,10^6,INDEX(Properties!A$1:CB$87,Formula!D62,57)),IF(INDEX(Properties!A$1:CB$87,Formula!F62,57)=0,10^6,INDEX(Properties!A$1:CB$87,Formula!F62,57)),IF(INDEX(Properties!A$1:CB$87,Formula!H62,57)=0,10^6,INDEX(Properties!A$1:CB$87,Formula!H62,57)),IF(INDEX(Properties!A$1:CB$87,Formula!J62,57)=0,10^6,INDEX(Properties!A$1:CB$87,Formula!J62,57)))</f>
        <v>0.22259000000000001</v>
      </c>
      <c r="FY62" s="60">
        <f t="shared" si="29"/>
        <v>49.977410000000006</v>
      </c>
      <c r="FZ62" s="72">
        <f>((Formula!C62)/(Formula!C62+Formula!E62+Formula!G62+Formula!I62+Formula!K62))*(INDEX(Properties!A$1:CB$87,Formula!B62,60))+((Formula!E62)/(Formula!C62+Formula!E62+Formula!G62+Formula!I62+Formula!K62))*(INDEX(Properties!A$1:CB$87,Formula!D62,60))+((Formula!G62)/(Formula!C62+Formula!E62+Formula!G62+Formula!I62+Formula!K62))*(INDEX(Properties!A$1:CB$87,Formula!F62,60))+((Formula!I62)/(Formula!C62+Formula!E62+Formula!G62+Formula!I62+Formula!K62))*(INDEX(Properties!A$1:CB$87,Formula!H62,60))+((Formula!K62)/(Formula!C62+Formula!E62+Formula!G62+Formula!I62+Formula!K62))*(INDEX(Properties!A$1:CB$87,Formula!J62,60))</f>
        <v>49.698188888888886</v>
      </c>
      <c r="GA62" s="72">
        <f>Formula!C62*(INDEX(Properties!A$1:CB$87,Formula!B62,60))+Formula!E62*(INDEX(Properties!A$1:CB$87,Formula!D62,60))+Formula!G62*(INDEX(Properties!A$1:CB$87,Formula!F62,60))+Formula!I62*(INDEX(Properties!A$1:CB$87,Formula!H62,60))+Formula!K62*(INDEX(Properties!A$1:CB$87,Formula!J62,60))</f>
        <v>894.56739999999991</v>
      </c>
      <c r="GB62" s="72">
        <f>VARP(IF(INDEX(Properties!A$1:CB$87,Formula!B62,60)&lt;&gt;"",INDEX(Properties!A$1:CB$87,Formula!B62,60)),IF(INDEX(Properties!A$1:CB$87,Formula!D62,60)&lt;&gt;"",INDEX(Properties!A$1:CB$87,Formula!D62,60)),IF(INDEX(Properties!A$1:CB$87,Formula!F62,60)&lt;&gt;"",INDEX(Properties!A$1:CB$87,Formula!F62,60)),IF(INDEX(Properties!A$1:CB$87,Formula!H62,60)&lt;&gt;"",INDEX(Properties!A$1:CB$87,Formula!H62,60)),IF(INDEX(Properties!A$1:CB$87,Formula!J62,60)&lt;&gt;"",INDEX(Properties!A$1:CB$87,Formula!J62,60)))</f>
        <v>5870.9004646444155</v>
      </c>
      <c r="GC62" s="72">
        <f>MAX(INDEX(Properties!A$1:CB$87,Formula!B62,60),INDEX(Properties!A$1:CB$87,Formula!D62,60),INDEX(Properties!A$1:CB$87,Formula!F62,60),INDEX(Properties!A$1:CB$87,Formula!H62,60),INDEX(Properties!A$1:CB$87,Formula!J62,60))</f>
        <v>200</v>
      </c>
      <c r="GD62" s="72">
        <f>MIN(IF(INDEX(Properties!A$1:CB$87,Formula!B62,60)=0,10^6,INDEX(Properties!A$1:CB$87,Formula!B62,60)),IF(INDEX(Properties!A$1:CB$87,Formula!D62,60)=0,10^6,INDEX(Properties!A$1:CB$87,Formula!D62,60)),IF(INDEX(Properties!A$1:CB$87,Formula!F62,60)=0,10^6,INDEX(Properties!A$1:CB$87,Formula!F62,60)),IF(INDEX(Properties!A$1:CB$87,Formula!H62,60)=0,10^6,INDEX(Properties!A$1:CB$87,Formula!H62,60)),IF(INDEX(Properties!A$1:CB$87,Formula!J62,60)=0,10^6,INDEX(Properties!A$1:CB$87,Formula!J62,60)))</f>
        <v>2.674E-2</v>
      </c>
      <c r="GE62" s="72">
        <f t="shared" si="30"/>
        <v>199.97326000000001</v>
      </c>
      <c r="GF62" s="51">
        <f>((Formula!C62)/(Formula!C62+Formula!E62+Formula!G62+Formula!I62+Formula!K62))*(INDEX(Properties!A$1:CB$87,Formula!B62,62))+((Formula!E62)/(Formula!C62+Formula!E62+Formula!G62+Formula!I62+Formula!K62))*(INDEX(Properties!A$1:CB$87,Formula!D62,62))+((Formula!G62)/(Formula!C62+Formula!E62+Formula!G62+Formula!I62+Formula!K62))*(INDEX(Properties!A$1:CB$87,Formula!F62,62))+((Formula!I62)/(Formula!C62+Formula!E62+Formula!G62+Formula!I62+Formula!K62))*(INDEX(Properties!A$1:CB$87,Formula!H62,62))+((Formula!K62)/(Formula!C62+Formula!E62+Formula!G62+Formula!I62+Formula!K62))*(INDEX(Properties!A$1:CB$87,Formula!J62,62))</f>
        <v>2.9516666666666667</v>
      </c>
      <c r="GG62" s="51">
        <f>Formula!C62*(INDEX(Properties!A$1:CB$87,Formula!B62,62))+Formula!E62*(INDEX(Properties!A$1:CB$87,Formula!D62,62))+Formula!G62*(INDEX(Properties!A$1:CB$87,Formula!F62,62))+Formula!I62*(INDEX(Properties!A$1:CB$87,Formula!H62,62))+Formula!K62*(INDEX(Properties!A$1:CB$87,Formula!J62,62))</f>
        <v>53.13</v>
      </c>
      <c r="GH62" s="51">
        <f>VARP(IF(INDEX(Properties!A$1:CB$87,Formula!B62,62)&lt;&gt;"",INDEX(Properties!A$1:CB$87,Formula!B62,62)),IF(INDEX(Properties!A$1:CB$87,Formula!D62,62)&lt;&gt;"",INDEX(Properties!A$1:CB$87,Formula!D62,62)),IF(INDEX(Properties!A$1:CB$87,Formula!F62,62)&lt;&gt;"",INDEX(Properties!A$1:CB$87,Formula!F62,62)),IF(INDEX(Properties!A$1:CB$87,Formula!H62,62)&lt;&gt;"",INDEX(Properties!A$1:CB$87,Formula!H62,62)),IF(INDEX(Properties!A$1:CB$87,Formula!J62,62)&lt;&gt;"",INDEX(Properties!A$1:CB$87,Formula!J62,62)))</f>
        <v>3.556816</v>
      </c>
      <c r="GI62" s="51">
        <f>MAX(INDEX(Properties!A$1:CB$87,Formula!B62,62),INDEX(Properties!A$1:CB$87,Formula!D62,62),INDEX(Properties!A$1:CB$87,Formula!F62,62),INDEX(Properties!A$1:CB$87,Formula!H62,62),INDEX(Properties!A$1:CB$87,Formula!J62,62))</f>
        <v>5.81</v>
      </c>
      <c r="GJ62" s="51">
        <f>MIN(IF(INDEX(Properties!A$1:CB$87,Formula!B62,62)=0,10^6,INDEX(Properties!A$1:CB$87,Formula!B62,62)),IF(INDEX(Properties!A$1:CB$87,Formula!D62,62)=0,10^6,INDEX(Properties!A$1:CB$87,Formula!D62,62)),IF(INDEX(Properties!A$1:CB$87,Formula!F62,62)=0,10^6,INDEX(Properties!A$1:CB$87,Formula!F62,62)),IF(INDEX(Properties!A$1:CB$87,Formula!H62,62)=0,10^6,INDEX(Properties!A$1:CB$87,Formula!H62,62)),IF(INDEX(Properties!A$1:CB$87,Formula!J62,62)=0,10^6,INDEX(Properties!A$1:CB$87,Formula!J62,62)))</f>
        <v>1.84</v>
      </c>
      <c r="GK62" s="51">
        <f t="shared" si="31"/>
        <v>3.9699999999999998</v>
      </c>
      <c r="GL62" s="51">
        <f>Formula!P62</f>
        <v>8</v>
      </c>
      <c r="GM62" s="57">
        <f>Formula!O62</f>
        <v>2</v>
      </c>
      <c r="GN62" s="51">
        <f>Formula!N62</f>
        <v>0.03</v>
      </c>
    </row>
    <row r="63" spans="1:196" x14ac:dyDescent="0.3">
      <c r="A63" s="84" t="str">
        <f>Formula!A63</f>
        <v>CaLa4Si3O13</v>
      </c>
      <c r="B63" s="89">
        <f>((Formula!C63)/(Formula!C63+Formula!E63+Formula!G63+Formula!I63+Formula!K63))*(INDEX(Properties!A$1:CB$87,Formula!B63,3))+((Formula!E63)/(Formula!C63+Formula!E63+Formula!G63+Formula!I63+Formula!K63))*(INDEX(Properties!A$1:CB$87,Formula!D63,3))+((Formula!G63)/(Formula!C63+Formula!E63+Formula!G63+Formula!I63+Formula!K63))*(INDEX(Properties!A$1:CB$87,Formula!F63,3))+((Formula!I63)/(Formula!C63+Formula!E63+Formula!G63+Formula!I63+Formula!K63))*(INDEX(Properties!A$1:CB$87,Formula!H63,3))+((Formula!K63)/(Formula!C63+Formula!E63+Formula!G63+Formula!I63+Formula!K63))*(INDEX(Properties!A$1:CB$87,Formula!J63,3))</f>
        <v>42.283271428571425</v>
      </c>
      <c r="C63" s="85">
        <f>Formula!C63*(INDEX(Properties!A$1:CB$87,Formula!B63,3))+Formula!E63*(INDEX(Properties!A$1:CB$87,Formula!D63,3))+Formula!G63*(INDEX(Properties!A$1:CB$87,Formula!F63,3))+Formula!I63*(INDEX(Properties!A$1:CB$87,Formula!H63,3))+Formula!K63*(INDEX(Properties!A$1:CB$87,Formula!J63,3))</f>
        <v>887.94869999999992</v>
      </c>
      <c r="D63" s="85">
        <f>VARP(IF(INDEX(Properties!A$1:CB$87,Formula!B63,3)&lt;&gt;"",INDEX(Properties!A$1:CB$87,Formula!B63,3)),IF(INDEX(Properties!A$1:CB$87,Formula!D63,3)&lt;&gt;"",INDEX(Properties!A$1:CB$87,Formula!D63,3)),IF(INDEX(Properties!A$1:CB$87,Formula!F63,3)&lt;&gt;"",INDEX(Properties!A$1:CB$87,Formula!F63,3)),IF(INDEX(Properties!A$1:CB$87,Formula!H63,3)&lt;&gt;"",INDEX(Properties!A$1:CB$87,Formula!H63,3)),IF(INDEX(Properties!A$1:CB$87,Formula!J63,3)&lt;&gt;"",INDEX(Properties!A$1:CB$87,Formula!J63,3)))</f>
        <v>2398.7715818295997</v>
      </c>
      <c r="E63" s="85">
        <f>MAX(INDEX(Properties!A$1:CB$87,Formula!B63,3),INDEX(Properties!A$1:CB$87,Formula!D63,3),INDEX(Properties!A$1:CB$87,Formula!F63,3),INDEX(Properties!A$1:CB$87,Formula!H63,3),INDEX(Properties!A$1:CB$87,Formula!J63,3))</f>
        <v>138.90549999999999</v>
      </c>
      <c r="F63" s="85">
        <f>MIN(IF(INDEX(Properties!A$1:CB$87,Formula!B63,3)=0,10^6,INDEX(Properties!A$1:CB$87,Formula!B63,3)),IF(INDEX(Properties!A$1:CB$87,Formula!D63,3)=0,10^6,INDEX(Properties!A$1:CB$87,Formula!D63,3)),IF(INDEX(Properties!A$1:CB$87,Formula!F63,3)=0,10^6,INDEX(Properties!A$1:CB$87,Formula!F63,3)),IF(INDEX(Properties!A$1:CB$87,Formula!H63,3)=0,10^6,INDEX(Properties!A$1:CB$87,Formula!H63,3)),IF(INDEX(Properties!A$1:CB$87,Formula!J63,3)=0,10^6,INDEX(Properties!A$1:CB$87,Formula!J63,3)))</f>
        <v>15.9994</v>
      </c>
      <c r="G63" s="85">
        <f t="shared" si="0"/>
        <v>122.9061</v>
      </c>
      <c r="H63" s="87">
        <f>((Formula!C63)/(Formula!C63+Formula!E63+Formula!G63+Formula!I63+Formula!K63))*(INDEX(Properties!A$1:CB$87,Formula!B63,4))+((Formula!E63)/(Formula!C63+Formula!E63+Formula!G63+Formula!I63+Formula!K63))*(INDEX(Properties!A$1:CB$87,Formula!D63,4))+((Formula!G63)/(Formula!C63+Formula!E63+Formula!G63+Formula!I63+Formula!K63))*(INDEX(Properties!A$1:CB$87,Formula!F63,4))+((Formula!I63)/(Formula!C63+Formula!E63+Formula!G63+Formula!I63+Formula!K63))*(INDEX(Properties!A$1:CB$87,Formula!H63,4))+((Formula!K63)/(Formula!C63+Formula!E63+Formula!G63+Formula!I63+Formula!K63))*(INDEX(Properties!A$1:CB$87,Formula!J63,4))</f>
        <v>18.761904761904759</v>
      </c>
      <c r="I63" s="87">
        <f>Formula!C63*(INDEX(Properties!A$1:CB$87,Formula!B63,4))+Formula!E63*(INDEX(Properties!A$1:CB$87,Formula!D63,4))+Formula!G63*(INDEX(Properties!A$1:CB$87,Formula!F63,4))+Formula!I63*(INDEX(Properties!A$1:CB$87,Formula!H63,4))+Formula!K63*(INDEX(Properties!A$1:CB$87,Formula!J63,4))</f>
        <v>394</v>
      </c>
      <c r="J63" s="87">
        <f>VARP(IF(INDEX(Properties!A$1:CB$87,Formula!B63,4)&lt;&gt;"",INDEX(Properties!A$1:CB$87,Formula!B63,4)),IF(INDEX(Properties!A$1:CB$87,Formula!D63,4)&lt;&gt;"",INDEX(Properties!A$1:CB$87,Formula!D63,4)),IF(INDEX(Properties!A$1:CB$87,Formula!F63,4)&lt;&gt;"",INDEX(Properties!A$1:CB$87,Formula!F63,4)),IF(INDEX(Properties!A$1:CB$87,Formula!H63,4)&lt;&gt;"",INDEX(Properties!A$1:CB$87,Formula!H63,4)),IF(INDEX(Properties!A$1:CB$87,Formula!J63,4)&lt;&gt;"",INDEX(Properties!A$1:CB$87,Formula!J63,4)))</f>
        <v>389.76</v>
      </c>
      <c r="K63" s="87">
        <f>MAX(INDEX(Properties!A$1:CB$87,Formula!B63,4),INDEX(Properties!A$1:CB$87,Formula!D63,4),INDEX(Properties!A$1:CB$87,Formula!F63,4),INDEX(Properties!A$1:CB$87,Formula!H63,4),INDEX(Properties!A$1:CB$87,Formula!J63,4))</f>
        <v>57</v>
      </c>
      <c r="L63" s="87">
        <f>MIN(IF(INDEX(Properties!A$1:CB$87,Formula!B63,4)=0,10^6,INDEX(Properties!A$1:CB$87,Formula!B63,4)),IF(INDEX(Properties!A$1:CB$87,Formula!D63,4)=0,10^6,INDEX(Properties!A$1:CB$87,Formula!D63,4)),IF(INDEX(Properties!A$1:CB$87,Formula!F63,4)=0,10^6,INDEX(Properties!A$1:CB$87,Formula!F63,4)),IF(INDEX(Properties!A$1:CB$87,Formula!H63,4)=0,10^6,INDEX(Properties!A$1:CB$87,Formula!H63,4)),IF(INDEX(Properties!A$1:CB$87,Formula!J63,4)=0,10^6,INDEX(Properties!A$1:CB$87,Formula!J63,4)))</f>
        <v>8</v>
      </c>
      <c r="M63" s="87">
        <f t="shared" si="1"/>
        <v>49</v>
      </c>
      <c r="N63" s="89">
        <f>((Formula!C63)/(Formula!C63+Formula!E63+Formula!G63+Formula!I63+Formula!K63))*(INDEX(Properties!A$1:CB$87,Formula!B63,5))+((Formula!E63)/(Formula!C63+Formula!E63+Formula!G63+Formula!I63+Formula!K63))*(INDEX(Properties!A$1:CB$87,Formula!D63,5))+((Formula!G63)/(Formula!C63+Formula!E63+Formula!G63+Formula!I63+Formula!K63))*(INDEX(Properties!A$1:CB$87,Formula!F63,5))+((Formula!I63)/(Formula!C63+Formula!E63+Formula!G63+Formula!I63+Formula!K63))*(INDEX(Properties!A$1:CB$87,Formula!H63,5))+((Formula!K63)/(Formula!C63+Formula!E63+Formula!G63+Formula!I63+Formula!K63))*(INDEX(Properties!A$1:CB$87,Formula!J63,5))</f>
        <v>3</v>
      </c>
      <c r="O63" s="89">
        <f>Formula!C63*(INDEX(Properties!A$1:CB$87,Formula!B63,5))+Formula!E63*(INDEX(Properties!A$1:CB$87,Formula!D63,5))+Formula!G63*(INDEX(Properties!A$1:CB$87,Formula!F63,5))+Formula!I63*(INDEX(Properties!A$1:CB$87,Formula!H63,5))+Formula!K63*(INDEX(Properties!A$1:CB$87,Formula!J63,5))</f>
        <v>63</v>
      </c>
      <c r="P63" s="89">
        <f>VARP(IF(INDEX(Properties!A$1:CB$87,Formula!B63,5)&lt;&gt;"",INDEX(Properties!A$1:CB$87,Formula!B63,5)),IF(INDEX(Properties!A$1:CB$87,Formula!D63,5)&lt;&gt;"",INDEX(Properties!A$1:CB$87,Formula!D63,5)),IF(INDEX(Properties!A$1:CB$87,Formula!F63,5)&lt;&gt;"",INDEX(Properties!A$1:CB$87,Formula!F63,5)),IF(INDEX(Properties!A$1:CB$87,Formula!H63,5)&lt;&gt;"",INDEX(Properties!A$1:CB$87,Formula!H63,5)),IF(INDEX(Properties!A$1:CB$87,Formula!J63,5)&lt;&gt;"",INDEX(Properties!A$1:CB$87,Formula!J63,5)))</f>
        <v>4</v>
      </c>
      <c r="Q63" s="89">
        <f>MAX(INDEX(Properties!A$1:CB$87,Formula!B63,5),INDEX(Properties!A$1:CB$87,Formula!D63,5),INDEX(Properties!A$1:CB$87,Formula!F63,5),INDEX(Properties!A$1:CB$87,Formula!H63,5),INDEX(Properties!A$1:CB$87,Formula!J63,5))</f>
        <v>6</v>
      </c>
      <c r="R63" s="89">
        <f>MIN(IF(INDEX(Properties!A$1:CB$87,Formula!B63,5)=0,10^6,INDEX(Properties!A$1:CB$87,Formula!B63,5)),IF(INDEX(Properties!A$1:CB$87,Formula!D63,5)=0,10^6,INDEX(Properties!A$1:CB$87,Formula!D63,5)),IF(INDEX(Properties!A$1:CB$87,Formula!F63,5)=0,10^6,INDEX(Properties!A$1:CB$87,Formula!F63,5)),IF(INDEX(Properties!A$1:CB$87,Formula!H63,5)=0,10^6,INDEX(Properties!A$1:CB$87,Formula!H63,5)),IF(INDEX(Properties!A$1:CB$87,Formula!J63,5)=0,10^6,INDEX(Properties!A$1:CB$87,Formula!J63,5)))</f>
        <v>2</v>
      </c>
      <c r="S63" s="89">
        <f t="shared" si="2"/>
        <v>4</v>
      </c>
      <c r="T63" s="60">
        <f>((Formula!C63)/(Formula!C63+Formula!E63+Formula!G63+Formula!I63+Formula!K63))*(INDEX(Properties!A$1:CB$87,Formula!B63,6))+((Formula!E63)/(Formula!C63+Formula!E63+Formula!G63+Formula!I63+Formula!K63))*(INDEX(Properties!A$1:CB$87,Formula!D63,6))+((Formula!G63)/(Formula!C63+Formula!E63+Formula!G63+Formula!I63+Formula!K63))*(INDEX(Properties!A$1:CB$87,Formula!F63,6))+((Formula!I63)/(Formula!C63+Formula!E63+Formula!G63+Formula!I63+Formula!K63))*(INDEX(Properties!A$1:CB$87,Formula!H63,6))+((Formula!K63)/(Formula!C63+Formula!E63+Formula!G63+Formula!I63+Formula!K63))*(INDEX(Properties!A$1:CB$87,Formula!J63,6))</f>
        <v>12.571428571428571</v>
      </c>
      <c r="U63" s="60">
        <f>Formula!C63*(INDEX(Properties!A$1:CB$87,Formula!B63,6))+Formula!E63*(INDEX(Properties!A$1:CB$87,Formula!D63,6))+Formula!G63*(INDEX(Properties!A$1:CB$87,Formula!F63,6))+Formula!I63*(INDEX(Properties!A$1:CB$87,Formula!H63,6))+Formula!K63*(INDEX(Properties!A$1:CB$87,Formula!J63,6))</f>
        <v>264</v>
      </c>
      <c r="V63" s="89">
        <f>VARP(IF(INDEX(Properties!A$1:CB$87,Formula!B63,6)&lt;&gt;"",INDEX(Properties!A$1:CB$87,Formula!B63,6)),IF(INDEX(Properties!A$1:CB$87,Formula!D63,6)&lt;&gt;"",INDEX(Properties!A$1:CB$87,Formula!D63,6)),IF(INDEX(Properties!A$1:CB$87,Formula!F63,6)&lt;&gt;"",INDEX(Properties!A$1:CB$87,Formula!F63,6)),IF(INDEX(Properties!A$1:CB$87,Formula!H63,6)&lt;&gt;"",INDEX(Properties!A$1:CB$87,Formula!H63,6)),IF(INDEX(Properties!A$1:CB$87,Formula!J63,6)&lt;&gt;"",INDEX(Properties!A$1:CB$87,Formula!J63,6)))</f>
        <v>44</v>
      </c>
      <c r="W63" s="60">
        <f>MAX(INDEX(Properties!A$1:CB$87,Formula!B63,6),INDEX(Properties!A$1:CB$87,Formula!D63,6),INDEX(Properties!A$1:CB$87,Formula!F63,6),INDEX(Properties!A$1:CB$87,Formula!H63,4),INDEX(Properties!A$1:CB$87,Formula!J63,6))</f>
        <v>14</v>
      </c>
      <c r="X63" s="60">
        <f>MIN(IF(INDEX(Properties!A$1:CB$87,Formula!B63,6)=0,10^6,INDEX(Properties!A$1:CB$87,Formula!B63,6)),IF(INDEX(Properties!A$1:CB$87,Formula!D63,6)=0,10^6,INDEX(Properties!A$1:CB$87,Formula!D63,6)),IF(INDEX(Properties!A$1:CB$87,Formula!F63,6)=0,10^6,INDEX(Properties!A$1:CB$87,Formula!F63,6)),IF(INDEX(Properties!A$1:CB$87,Formula!H63,6)=0,10^6,INDEX(Properties!A$1:CB$87,Formula!H63,6)),IF(INDEX(Properties!A$1:CB$87,Formula!J63,6)=0,10^6,INDEX(Properties!A$1:CB$87,Formula!J63,6)))</f>
        <v>2</v>
      </c>
      <c r="Y63" s="60">
        <f t="shared" si="3"/>
        <v>12</v>
      </c>
      <c r="Z63" s="72">
        <f>((Formula!C63)/(Formula!C63+Formula!E63+Formula!G63+Formula!I63+Formula!K63))*(INDEX(Properties!A$1:CB$87,Formula!B63,9))+((Formula!E63)/(Formula!C63+Formula!E63+Formula!G63+Formula!I63+Formula!K63))*(INDEX(Properties!A$1:CB$87,Formula!D63,9))+((Formula!G63)/(Formula!C63+Formula!E63+Formula!G63+Formula!I63+Formula!K63))*(INDEX(Properties!A$1:CB$87,Formula!F63,9))+((Formula!I63)/(Formula!C63+Formula!E63+Formula!G63+Formula!I63+Formula!K63))*(INDEX(Properties!A$1:CB$87,Formula!H63,9))+((Formula!K63)/(Formula!C63+Formula!E63+Formula!G63+Formula!I63+Formula!K63))*(INDEX(Properties!A$1:CB$87,Formula!J63,9))</f>
        <v>67.80952380952381</v>
      </c>
      <c r="AA63" s="72">
        <f>Formula!C63*(INDEX(Properties!A$1:CB$87,Formula!B63,9))+Formula!E63*(INDEX(Properties!A$1:CB$87,Formula!D63,9))+Formula!G63*(INDEX(Properties!A$1:CB$87,Formula!F63,9))+Formula!I63*(INDEX(Properties!A$1:CB$87,Formula!H63,9))+Formula!K63*(INDEX(Properties!A$1:CB$87,Formula!J63,9))</f>
        <v>1424</v>
      </c>
      <c r="AB63" s="72">
        <f>VARP(IF(INDEX(Properties!A$1:CB$87,Formula!B63,9)&lt;&gt;"",INDEX(Properties!A$1:CB$87,Formula!B63,9)),IF(INDEX(Properties!A$1:CB$87,Formula!D63,9)&lt;&gt;"",INDEX(Properties!A$1:CB$87,Formula!D63,9)),IF(INDEX(Properties!A$1:CB$87,Formula!F63,9)&lt;&gt;"",INDEX(Properties!A$1:CB$87,Formula!F63,9)),IF(INDEX(Properties!A$1:CB$87,Formula!H63,9)&lt;&gt;"",INDEX(Properties!A$1:CB$87,Formula!H63,9)),IF(INDEX(Properties!A$1:CB$87,Formula!J63,9)&lt;&gt;"",INDEX(Properties!A$1:CB$87,Formula!J63,9)))</f>
        <v>1405.2</v>
      </c>
      <c r="AC63" s="72">
        <f>MAX(INDEX(Properties!A$1:CB$87,Formula!B63,9),INDEX(Properties!A$1:CB$87,Formula!D63,9),INDEX(Properties!A$1:CB$87,Formula!F63,9),INDEX(Properties!A$1:CB$87,Formula!H63,9),INDEX(Properties!A$1:CB$87,Formula!J63,9))</f>
        <v>87</v>
      </c>
      <c r="AD63" s="72">
        <f>MIN(IF(INDEX(Properties!A$1:CB$87,Formula!B63,9)=0,10^6,INDEX(Properties!A$1:CB$87,Formula!B63,9)),IF(INDEX(Properties!A$1:CB$87,Formula!D63,9)=0,10^6,INDEX(Properties!A$1:CB$87,Formula!D63,9)),IF(INDEX(Properties!A$1:CB$87,Formula!F63,9)=0,10^6,INDEX(Properties!A$1:CB$87,Formula!F63,9)),IF(INDEX(Properties!A$1:CB$87,Formula!H63,9)=0,10^6,INDEX(Properties!A$1:CB$87,Formula!H63,9)),IF(INDEX(Properties!A$1:CB$87,Formula!J63,9)=0,10^6,INDEX(Properties!A$1:CB$87,Formula!J63,9)))</f>
        <v>7</v>
      </c>
      <c r="AE63" s="72">
        <f t="shared" si="4"/>
        <v>80</v>
      </c>
      <c r="AF63" s="51">
        <f>((Formula!C63)/(Formula!C63+Formula!E63+Formula!G63+Formula!I63+Formula!K63))*(INDEX(Properties!A$1:CB$87,Formula!B63,10))+((Formula!E63)/(Formula!C63+Formula!E63+Formula!G63+Formula!I63+Formula!K63))*(INDEX(Properties!A$1:CB$87,Formula!D63,10))+((Formula!G63)/(Formula!C63+Formula!E63+Formula!G63+Formula!I63+Formula!K63))*(INDEX(Properties!A$1:CB$87,Formula!F63,10))+((Formula!I63)/(Formula!C63+Formula!E63+Formula!G63+Formula!I63+Formula!K63))*(INDEX(Properties!A$1:CB$87,Formula!H63,10))+((Formula!K63)/(Formula!C63+Formula!E63+Formula!G63+Formula!I63+Formula!K63))*(INDEX(Properties!A$1:CB$87,Formula!J63,10))</f>
        <v>5.8571428571428577</v>
      </c>
      <c r="AG63" s="51">
        <f>Formula!C63*(INDEX(Properties!A$1:CB$87,Formula!B63,10))+Formula!E63*(INDEX(Properties!A$1:CB$87,Formula!D63,10))+Formula!G63*(INDEX(Properties!A$1:CB$87,Formula!F63,10))+Formula!I63*(INDEX(Properties!A$1:CB$87,Formula!H63,10))+Formula!K63*(INDEX(Properties!A$1:CB$87,Formula!J63,10))</f>
        <v>123</v>
      </c>
      <c r="AH63" s="51">
        <f>VARP(IF(INDEX(Properties!A$1:CB$87,Formula!B63,10)&lt;&gt;"",INDEX(Properties!A$1:CB$87,Formula!B63,10)),IF(INDEX(Properties!A$1:CB$87,Formula!D63,10)&lt;&gt;"",INDEX(Properties!A$1:CB$87,Formula!D63,10)),IF(INDEX(Properties!A$1:CB$87,Formula!F63,10)&lt;&gt;"",INDEX(Properties!A$1:CB$87,Formula!F63,10)),IF(INDEX(Properties!A$1:CB$87,Formula!H63,10)&lt;&gt;"",INDEX(Properties!A$1:CB$87,Formula!H63,10)),IF(INDEX(Properties!A$1:CB$87,Formula!J63,10)&lt;&gt;"",INDEX(Properties!A$1:CB$87,Formula!J63,10)))</f>
        <v>6.64</v>
      </c>
      <c r="AI63" s="51">
        <f>MAX(INDEX(Properties!A$1:CB$87,Formula!B63,10),INDEX(Properties!A$1:CB$87,Formula!D63,10),INDEX(Properties!A$1:CB$87,Formula!F63,10),INDEX(Properties!A$1:CB$87,Formula!H63,10),INDEX(Properties!A$1:CB$87,Formula!J63,10))</f>
        <v>7</v>
      </c>
      <c r="AJ63" s="51">
        <f>MIN(IF(INDEX(Properties!A$1:CB$87,Formula!B63,10)=0,10^6,INDEX(Properties!A$1:CB$87,Formula!B63,10)),IF(INDEX(Properties!A$1:CB$87,Formula!D63,10)=0,10^6,INDEX(Properties!A$1:CB$87,Formula!D63,10)),IF(INDEX(Properties!A$1:CB$87,Formula!F63,10)=0,10^6,INDEX(Properties!A$1:CB$87,Formula!F63,10)),IF(INDEX(Properties!A$1:CB$87,Formula!H63,10)=0,10^6,INDEX(Properties!A$1:CB$87,Formula!H63,10)),IF(INDEX(Properties!A$1:CB$87,Formula!J63,10)=0,10^6,INDEX(Properties!A$1:CB$87,Formula!J63,10)))</f>
        <v>2</v>
      </c>
      <c r="AK63" s="51">
        <f t="shared" si="5"/>
        <v>5</v>
      </c>
      <c r="AL63" s="57">
        <f>((Formula!C63)/(Formula!C63+Formula!E63+Formula!G63+Formula!I63+Formula!K63))*(INDEX(Properties!A$1:CB$87,Formula!B63,11))+((Formula!E63)/(Formula!C63+Formula!E63+Formula!G63+Formula!I63+Formula!K63))*(INDEX(Properties!A$1:CB$87,Formula!D63,11))+((Formula!G63)/(Formula!C63+Formula!E63+Formula!G63+Formula!I63+Formula!K63))*(INDEX(Properties!A$1:CB$87,Formula!F63,11))+((Formula!I63)/(Formula!C63+Formula!E63+Formula!G63+Formula!I63+Formula!K63))*(INDEX(Properties!A$1:CB$87,Formula!H63,11))+((Formula!K63)/(Formula!C63+Formula!E63+Formula!G63+Formula!I63+Formula!K63))*(INDEX(Properties!A$1:CB$87,Formula!J63,11))</f>
        <v>2</v>
      </c>
      <c r="AM63" s="57">
        <f>Formula!C63*(INDEX(Properties!A$1:CB$87,Formula!B63,11))+Formula!E63*(INDEX(Properties!A$1:CB$87,Formula!D63,11))+Formula!G63*(INDEX(Properties!A$1:CB$87,Formula!F63,11))+Formula!I63*(INDEX(Properties!A$1:CB$87,Formula!H63,11))+Formula!K63*(INDEX(Properties!A$1:CB$87,Formula!J63,11))</f>
        <v>42</v>
      </c>
      <c r="AN63" s="57">
        <f>VARP(IF(INDEX(Properties!A$1:CB$87,Formula!B63,11)&lt;&gt;"",INDEX(Properties!A$1:CB$87,Formula!B63,11)),IF(INDEX(Properties!A$1:CB$87,Formula!D63,11)&lt;&gt;"",INDEX(Properties!A$1:CB$87,Formula!D63,11)),IF(INDEX(Properties!A$1:CB$87,Formula!F63,11)&lt;&gt;"",INDEX(Properties!A$1:CB$87,Formula!F63,11)),IF(INDEX(Properties!A$1:CB$87,Formula!H63,11)&lt;&gt;"",INDEX(Properties!A$1:CB$87,Formula!H63,11)),IF(INDEX(Properties!A$1:CB$87,Formula!J63,11)&lt;&gt;"",INDEX(Properties!A$1:CB$87,Formula!J63,11)))</f>
        <v>0.64</v>
      </c>
      <c r="AO63" s="57">
        <f>MAX(INDEX(Properties!A$1:CB$87,Formula!B63,11),INDEX(Properties!A$1:CB$87,Formula!D63,11),INDEX(Properties!A$1:CB$87,Formula!F63,11),INDEX(Properties!A$1:CB$87,Formula!H63,11),INDEX(Properties!A$1:CB$87,Formula!J63,11))</f>
        <v>2</v>
      </c>
      <c r="AP63" s="57">
        <f>MIN(IF(Formula!B63=87,10^6,INDEX(Properties!A$1:CB$87,Formula!B63,11)),IF((Formula!D63)=87,10^6,INDEX(Properties!A$1:CB$87,Formula!D63,11)),IF((Formula!F63)=87,10^6,INDEX(Properties!A$1:CB$87,Formula!F63,11)),IF((Formula!H63)=87,10^6,INDEX(Properties!A$1:CB$87,Formula!H63,11)),IF(Formula!J63=87,10^6,INDEX(Properties!A$1:CB$87,Formula!J63,11)))</f>
        <v>2</v>
      </c>
      <c r="AQ63" s="57">
        <f t="shared" si="6"/>
        <v>0</v>
      </c>
      <c r="AR63" s="78">
        <f>((Formula!C63)/(Formula!C63+Formula!E63+Formula!G63+Formula!I63+Formula!K63))*(INDEX(Properties!A$1:CB$87,Formula!B63,12))+((Formula!E63)/(Formula!C63+Formula!E63+Formula!G63+Formula!I63+Formula!K63))*(INDEX(Properties!A$1:CB$87,Formula!D63,12))+((Formula!G63)/(Formula!C63+Formula!E63+Formula!G63+Formula!I63+Formula!K63))*(INDEX(Properties!A$1:CB$87,Formula!F63,12))+((Formula!I63)/(Formula!C63+Formula!E63+Formula!G63+Formula!I63+Formula!K63))*(INDEX(Properties!A$1:CB$87,Formula!H63,12))+((Formula!K63)/(Formula!C63+Formula!E63+Formula!G63+Formula!I63+Formula!K63))*(INDEX(Properties!A$1:CB$87,Formula!J63,12))</f>
        <v>2.7619047619047619</v>
      </c>
      <c r="AS63" s="78">
        <f>Formula!C63*(INDEX(Properties!A$1:CB$87,Formula!B63,12))+Formula!E63*(INDEX(Properties!A$1:CB$87,Formula!D63,12))+Formula!G63*(INDEX(Properties!A$1:CB$87,Formula!F63,12))+Formula!I63*(INDEX(Properties!A$1:CB$87,Formula!H63,12))+Formula!K63*(INDEX(Properties!A$1:CB$87,Formula!J63,12))</f>
        <v>58</v>
      </c>
      <c r="AT63" s="78">
        <f>VARP(IF(INDEX(Properties!A$1:CB$87,Formula!B63,12)&lt;&gt;"",INDEX(Properties!A$1:CB$87,Formula!B63,12)),IF(INDEX(Properties!A$1:CB$87,Formula!D63,12)&lt;&gt;"",INDEX(Properties!A$1:CB$87,Formula!D63,12)),IF(INDEX(Properties!A$1:CB$87,Formula!F63,12)&lt;&gt;"",INDEX(Properties!A$1:CB$87,Formula!F63,12)),IF(INDEX(Properties!A$1:CB$87,Formula!H63,12)&lt;&gt;"",INDEX(Properties!A$1:CB$87,Formula!H63,12)),IF(INDEX(Properties!A$1:CB$87,Formula!J63,12)&lt;&gt;"",INDEX(Properties!A$1:CB$87,Formula!J63,12)))</f>
        <v>2.56</v>
      </c>
      <c r="AU63" s="78">
        <f>MAX(INDEX(Properties!A$1:CB$87,Formula!B63,12),INDEX(Properties!A$1:CB$87,Formula!D63,12),INDEX(Properties!A$1:CB$87,Formula!F63,12),INDEX(Properties!A$1:CB$87,Formula!H63,12),INDEX(Properties!A$1:CB$87,Formula!J63,12))</f>
        <v>4</v>
      </c>
      <c r="AV63" s="78">
        <f>MIN(IF(Formula!B63=87,10^6,INDEX(Properties!A$1:CB$87,Formula!B63,12)),IF((Formula!D63)=87,10^6,INDEX(Properties!A$1:CB$87,Formula!D63,12)),IF((Formula!F63)=87,10^6,INDEX(Properties!A$1:CB$87,Formula!F63,12)),IF((Formula!H63)=87,10^6,INDEX(Properties!A$1:CB$87,Formula!H63,12)),IF(Formula!J63=87,10^6,INDEX(Properties!A$1:CB$87,Formula!J63,12)))</f>
        <v>0</v>
      </c>
      <c r="AW63" s="78">
        <f t="shared" si="7"/>
        <v>4</v>
      </c>
      <c r="AX63" s="45">
        <f>((Formula!C63)/(Formula!C63+Formula!E63+Formula!G63+Formula!I63+Formula!K63))*(INDEX(Properties!A$1:CB$87,Formula!B63,13))+((Formula!E63)/(Formula!C63+Formula!E63+Formula!G63+Formula!I63+Formula!K63))*(INDEX(Properties!A$1:CB$87,Formula!D63,13))+((Formula!G63)/(Formula!C63+Formula!E63+Formula!G63+Formula!I63+Formula!K63))*(INDEX(Properties!A$1:CB$87,Formula!F63,13))+((Formula!I63)/(Formula!C63+Formula!E63+Formula!G63+Formula!I63+Formula!K63))*(INDEX(Properties!A$1:CB$87,Formula!H63,13))+((Formula!K63)/(Formula!C63+Formula!E63+Formula!G63+Formula!I63+Formula!K63))*(INDEX(Properties!A$1:CB$87,Formula!J63,13))</f>
        <v>0.19047619047619047</v>
      </c>
      <c r="AY63" s="45">
        <f>Formula!C63*(INDEX(Properties!A$1:CB$87,Formula!B63,13))+Formula!E63*(INDEX(Properties!A$1:CB$87,Formula!D63,13))+Formula!G63*(INDEX(Properties!A$1:CB$87,Formula!F63,13))+Formula!I63*(INDEX(Properties!A$1:CB$87,Formula!H63,13))+Formula!K63*(INDEX(Properties!A$1:CB$87,Formula!J63,13))</f>
        <v>4</v>
      </c>
      <c r="AZ63" s="45">
        <f>VARP(IF(INDEX(Properties!A$1:CB$87,Formula!B63,13)&lt;&gt;"",INDEX(Properties!A$1:CB$87,Formula!B63,13)),IF(INDEX(Properties!A$1:CB$87,Formula!D63,13)&lt;&gt;"",INDEX(Properties!A$1:CB$87,Formula!D63,13)),IF(INDEX(Properties!A$1:CB$87,Formula!F63,13)&lt;&gt;"",INDEX(Properties!A$1:CB$87,Formula!F63,13)),IF(INDEX(Properties!A$1:CB$87,Formula!H63,13)&lt;&gt;"",INDEX(Properties!A$1:CB$87,Formula!H63,13)),IF(INDEX(Properties!A$1:CB$87,Formula!J63,13)&lt;&gt;"",INDEX(Properties!A$1:CB$87,Formula!J63,13)))</f>
        <v>0.16</v>
      </c>
      <c r="BA63" s="45">
        <f>MAX(INDEX(Properties!A$1:CB$87,Formula!B63,13),INDEX(Properties!A$1:CB$87,Formula!D63,13),INDEX(Properties!A$1:CB$87,Formula!F63,13),INDEX(Properties!A$1:CB$87,Formula!H63,13),INDEX(Properties!A$1:CB$87,Formula!J63,13))</f>
        <v>1</v>
      </c>
      <c r="BB63" s="45">
        <f>MIN(IF(Formula!B63=87,10^6,INDEX(Properties!A$1:CB$87,Formula!B63,13)),IF((Formula!D63)=87,10^6,INDEX(Properties!A$1:CB$87,Formula!D63,13)),IF((Formula!F63)=87,10^6,INDEX(Properties!A$1:CB$87,Formula!F63,13)),IF((Formula!H63)=87,10^6,INDEX(Properties!A$1:CB$87,Formula!H63,13)),IF(Formula!J63=87,10^6,INDEX(Properties!A$1:CB$87,Formula!J63,13)))</f>
        <v>0</v>
      </c>
      <c r="BC63" s="45">
        <f t="shared" si="8"/>
        <v>1</v>
      </c>
      <c r="BD63" s="63">
        <f>((Formula!C63)/(Formula!C63+Formula!E63+Formula!G63+Formula!I63+Formula!K63))*(INDEX(Properties!A$1:CB$87,Formula!B63,14))+((Formula!E63)/(Formula!C63+Formula!E63+Formula!G63+Formula!I63+Formula!K63))*(INDEX(Properties!A$1:CB$87,Formula!D63,14))+((Formula!G63)/(Formula!C63+Formula!E63+Formula!G63+Formula!I63+Formula!K63))*(INDEX(Properties!A$1:CB$87,Formula!F63,14))+((Formula!I63)/(Formula!C63+Formula!E63+Formula!G63+Formula!I63+Formula!K63))*(INDEX(Properties!A$1:CB$87,Formula!H63,14))+((Formula!K63)/(Formula!C63+Formula!E63+Formula!G63+Formula!I63+Formula!K63))*(INDEX(Properties!A$1:CB$87,Formula!J63,14))</f>
        <v>0</v>
      </c>
      <c r="BE63" s="63">
        <f>Formula!C63*(INDEX(Properties!A$1:CB$87,Formula!B63,14))+Formula!E63*(INDEX(Properties!A$1:CB$87,Formula!D63,14))+Formula!G63*(INDEX(Properties!A$1:CB$87,Formula!F63,14))+Formula!I63*(INDEX(Properties!A$1:CB$87,Formula!H63,14))+Formula!K63*(INDEX(Properties!A$1:CB$87,Formula!J63,14))</f>
        <v>0</v>
      </c>
      <c r="BF63" s="63">
        <f>VARP(IF(INDEX(Properties!A$1:CB$87,Formula!B63,14)&lt;&gt;"",INDEX(Properties!A$1:CB$87,Formula!B63,14)),IF(INDEX(Properties!A$1:CB$87,Formula!D63,14)&lt;&gt;"",INDEX(Properties!A$1:CB$87,Formula!D63,14)),IF(INDEX(Properties!A$1:CB$87,Formula!F63,14)&lt;&gt;"",INDEX(Properties!A$1:CB$87,Formula!F63,14)),IF(INDEX(Properties!A$1:CB$87,Formula!H63,14)&lt;&gt;"",INDEX(Properties!A$1:CB$87,Formula!H63,14)),IF(INDEX(Properties!A$1:CB$87,Formula!J63,14)&lt;&gt;"",INDEX(Properties!A$1:CB$87,Formula!J63,14)))</f>
        <v>0</v>
      </c>
      <c r="BG63" s="63">
        <f>MAX(INDEX(Properties!A$1:CB$87,Formula!B63,14),INDEX(Properties!A$1:CB$87,Formula!D63,14),INDEX(Properties!A$1:CB$87,Formula!F63,14),INDEX(Properties!A$1:CB$87,Formula!H63,14),INDEX(Properties!A$1:CB$87,Formula!J63,14))</f>
        <v>0</v>
      </c>
      <c r="BH63" s="63">
        <f>MIN(IF(Formula!B63=87,10^6,INDEX(Properties!A$1:CB$87,Formula!B63,14)),IF((Formula!D63)=87,10^6,INDEX(Properties!A$1:CB$87,Formula!D63,14)),IF((Formula!F63)=87,10^6,INDEX(Properties!A$1:CB$87,Formula!F63,14)),IF((Formula!H63)=87,10^6,INDEX(Properties!A$1:CB$87,Formula!H63,14)),IF(Formula!J63=87,10^6,INDEX(Properties!A$1:CB$87,Formula!J63,14)))</f>
        <v>0</v>
      </c>
      <c r="BI63" s="63">
        <f t="shared" si="9"/>
        <v>0</v>
      </c>
      <c r="BJ63" s="75">
        <f>((Formula!C63)/(Formula!C63+Formula!E63+Formula!G63+Formula!I63+Formula!K63))*(INDEX(Properties!A$1:CB$87,Formula!B63,19))+((Formula!E63)/(Formula!C63+Formula!E63+Formula!G63+Formula!I63+Formula!K63))*(INDEX(Properties!A$1:CB$87,Formula!D63,19))+((Formula!G63)/(Formula!C63+Formula!E63+Formula!G63+Formula!I63+Formula!K63))*(INDEX(Properties!A$1:CB$87,Formula!F63,19))+((Formula!I63)/(Formula!C63+Formula!E63+Formula!G63+Formula!I63+Formula!K63))*(INDEX(Properties!A$1:CB$87,Formula!H63,19))+((Formula!K63)/(Formula!C63+Formula!E63+Formula!G63+Formula!I63+Formula!K63))*(INDEX(Properties!A$1:CB$87,Formula!J63,19))</f>
        <v>4.9523809523809526</v>
      </c>
      <c r="BK63" s="75">
        <f>Formula!C63*(INDEX(Properties!A$1:CB$87,Formula!B63,19))+Formula!E63*(INDEX(Properties!A$1:CB$87,Formula!D63,19))+Formula!G63*(INDEX(Properties!A$1:CB$87,Formula!F63,19))+Formula!I63*(INDEX(Properties!A$1:CB$87,Formula!H63,19))+Formula!K63*(INDEX(Properties!A$1:CB$87,Formula!J63,19))</f>
        <v>104</v>
      </c>
      <c r="BL63" s="75">
        <f>VARP(IF(INDEX(Properties!A$1:CB$87,Formula!B63,19)&lt;&gt;"",INDEX(Properties!A$1:CB$87,Formula!B63,19)),IF(INDEX(Properties!A$1:CB$87,Formula!D63,19)&lt;&gt;"",INDEX(Properties!A$1:CB$87,Formula!D63,19)),IF(INDEX(Properties!A$1:CB$87,Formula!F63,19)&lt;&gt;"",INDEX(Properties!A$1:CB$87,Formula!F63,19)),IF(INDEX(Properties!A$1:CB$87,Formula!H63,19)&lt;&gt;"",INDEX(Properties!A$1:CB$87,Formula!H63,19)),IF(INDEX(Properties!A$1:CB$87,Formula!J63,19)&lt;&gt;"",INDEX(Properties!A$1:CB$87,Formula!J63,19)))</f>
        <v>4</v>
      </c>
      <c r="BM63" s="75">
        <f>MAX(INDEX(Properties!A$1:CB$87,Formula!B63,19),INDEX(Properties!A$1:CB$87,Formula!D63,19),INDEX(Properties!A$1:CB$87,Formula!F63,19),INDEX(Properties!A$1:CB$87,Formula!H63,19),INDEX(Properties!A$1:CB$87,Formula!J63,19))</f>
        <v>6</v>
      </c>
      <c r="BN63" s="75">
        <f>MIN(IF(INDEX(Properties!A$1:CB$87,Formula!B63,19)=0,10^6,INDEX(Properties!A$1:CB$87,Formula!B63,19)),IF(INDEX(Properties!A$1:CB$87,Formula!D63,19)=0,10^6,INDEX(Properties!A$1:CB$87,Formula!D63,19)),IF(INDEX(Properties!A$1:CB$87,Formula!F63,19)=0,10^6,INDEX(Properties!A$1:CB$87,Formula!F63,19)),IF(INDEX(Properties!A$1:CB$87,Formula!H63,19)=0,10^6,INDEX(Properties!A$1:CB$87,Formula!H63,19)),IF(INDEX(Properties!A$1:CB$87,Formula!J63,19)=0,10^6,INDEX(Properties!A$1:CB$87,Formula!J63,19)))</f>
        <v>2</v>
      </c>
      <c r="BO63" s="75">
        <f t="shared" si="10"/>
        <v>4</v>
      </c>
      <c r="BP63" s="48">
        <f>((Formula!C63)/(Formula!C63+Formula!E63+Formula!G63+Formula!I63+Formula!K63))*(INDEX(Properties!A$1:CB$87,Formula!B63,20))+((Formula!E63)/(Formula!C63+Formula!E63+Formula!G63+Formula!I63+Formula!K63))*(INDEX(Properties!A$1:CB$87,Formula!D63,20))+((Formula!G63)/(Formula!C63+Formula!E63+Formula!G63+Formula!I63+Formula!K63))*(INDEX(Properties!A$1:CB$87,Formula!F63,20))+((Formula!I63)/(Formula!C63+Formula!E63+Formula!G63+Formula!I63+Formula!K63))*(INDEX(Properties!A$1:CB$87,Formula!H63,20))+((Formula!K63)/(Formula!C63+Formula!E63+Formula!G63+Formula!I63+Formula!K63))*(INDEX(Properties!A$1:CB$87,Formula!J63,20))</f>
        <v>4.7619047619047619</v>
      </c>
      <c r="BQ63" s="48">
        <f>Formula!C63*(INDEX(Properties!A$1:CB$87,Formula!B63,20))+Formula!E63*(INDEX(Properties!A$1:CB$87,Formula!D63,20))+Formula!G63*(INDEX(Properties!A$1:CB$87,Formula!F63,20))+Formula!I63*(INDEX(Properties!A$1:CB$87,Formula!H63,20))+Formula!K63*(INDEX(Properties!A$1:CB$87,Formula!J63,20))</f>
        <v>100</v>
      </c>
      <c r="BR63" s="48">
        <f>VARP(IF(INDEX(Properties!A$1:CB$87,Formula!B63,20)&lt;&gt;"",INDEX(Properties!A$1:CB$87,Formula!B63,20)),IF(INDEX(Properties!A$1:CB$87,Formula!D63,20)&lt;&gt;"",INDEX(Properties!A$1:CB$87,Formula!D63,20)),IF(INDEX(Properties!A$1:CB$87,Formula!F63,20)&lt;&gt;"",INDEX(Properties!A$1:CB$87,Formula!F63,20)),IF(INDEX(Properties!A$1:CB$87,Formula!H63,20)&lt;&gt;"",INDEX(Properties!A$1:CB$87,Formula!H63,20)),IF(INDEX(Properties!A$1:CB$87,Formula!J63,20)&lt;&gt;"",INDEX(Properties!A$1:CB$87,Formula!J63,20)))</f>
        <v>4.16</v>
      </c>
      <c r="BS63" s="48">
        <f>MAX(INDEX(Properties!A$1:CB$87,Formula!B63,20),INDEX(Properties!A$1:CB$87,Formula!D63,20),INDEX(Properties!A$1:CB$87,Formula!F63,20),INDEX(Properties!A$1:CB$87,Formula!H63,20),INDEX(Properties!A$1:CB$87,Formula!J63,20))</f>
        <v>6</v>
      </c>
      <c r="BT63" s="48">
        <f>MIN(IF(INDEX(Properties!A$1:CB$87,Formula!B63,20)=0,10^6,INDEX(Properties!A$1:CB$87,Formula!B63,20)),IF(INDEX(Properties!A$1:CB$87,Formula!D63,20)=0,10^6,INDEX(Properties!A$1:CB$87,Formula!D63,20)),IF(INDEX(Properties!A$1:CB$87,Formula!F63,20)=0,10^6,INDEX(Properties!A$1:CB$87,Formula!F63,20)),IF(INDEX(Properties!A$1:CB$87,Formula!H63,20)=0,10^6,INDEX(Properties!A$1:CB$87,Formula!H63,20)),IF(INDEX(Properties!A$1:CB$87,Formula!J63,20)=0,10^6,INDEX(Properties!A$1:CB$87,Formula!J63,20)))</f>
        <v>2</v>
      </c>
      <c r="BU63" s="48">
        <f t="shared" si="11"/>
        <v>4</v>
      </c>
      <c r="BV63" s="66">
        <f>((Formula!C63)/(Formula!C63+Formula!E63+Formula!G63+Formula!I63+Formula!K63))*(INDEX(Properties!A$1:CB$87,Formula!B63,21))+((Formula!E63)/(Formula!C63+Formula!E63+Formula!G63+Formula!I63+Formula!K63))*(INDEX(Properties!A$1:CB$87,Formula!D63,21))+((Formula!G63)/(Formula!C63+Formula!E63+Formula!G63+Formula!I63+Formula!K63))*(INDEX(Properties!A$1:CB$87,Formula!F63,21))+((Formula!I63)/(Formula!C63+Formula!E63+Formula!G63+Formula!I63+Formula!K63))*(INDEX(Properties!A$1:CB$87,Formula!H63,21))+((Formula!K63)/(Formula!C63+Formula!E63+Formula!G63+Formula!I63+Formula!K63))*(INDEX(Properties!A$1:CB$87,Formula!J63,21))</f>
        <v>4.5714285714285712</v>
      </c>
      <c r="BW63" s="66">
        <f>Formula!C63*(INDEX(Properties!A$1:CB$87,Formula!B63,21))+Formula!E63*(INDEX(Properties!A$1:CB$87,Formula!D63,21))+Formula!G63*(INDEX(Properties!A$1:CB$87,Formula!F63,21))+Formula!I63*(INDEX(Properties!A$1:CB$87,Formula!H63,21))+Formula!K63*(INDEX(Properties!A$1:CB$87,Formula!J63,21))</f>
        <v>96</v>
      </c>
      <c r="BX63" s="66">
        <f>VARP(IF(INDEX(Properties!A$1:CB$87,Formula!B63,21)&lt;&gt;"",INDEX(Properties!A$1:CB$87,Formula!B63,21)),IF(INDEX(Properties!A$1:CB$87,Formula!D63,21)&lt;&gt;"",INDEX(Properties!A$1:CB$87,Formula!D63,21)),IF(INDEX(Properties!A$1:CB$87,Formula!F63,21)&lt;&gt;"",INDEX(Properties!A$1:CB$87,Formula!F63,21)),IF(INDEX(Properties!A$1:CB$87,Formula!H63,21)&lt;&gt;"",INDEX(Properties!A$1:CB$87,Formula!H63,21)),IF(INDEX(Properties!A$1:CB$87,Formula!J63,21)&lt;&gt;"",INDEX(Properties!A$1:CB$87,Formula!J63,21)))</f>
        <v>4.6399999999999997</v>
      </c>
      <c r="BY63" s="66">
        <f>MAX(INDEX(Properties!A$1:CB$87,Formula!B63,21),INDEX(Properties!A$1:CB$87,Formula!D63,21),INDEX(Properties!A$1:CB$87,Formula!F63,21),INDEX(Properties!A$1:CB$87,Formula!H63,21),INDEX(Properties!A$1:CB$87,Formula!J63,21))</f>
        <v>6</v>
      </c>
      <c r="BZ63" s="66">
        <f>MIN(IF(INDEX(Properties!A$1:CB$87,Formula!B63,21)=0,10^6,INDEX(Properties!A$1:CB$87,Formula!B63,21)),IF(INDEX(Properties!A$1:CB$87,Formula!D63,21)=0,10^6,INDEX(Properties!A$1:CB$87,Formula!D63,21)),IF(INDEX(Properties!A$1:CB$87,Formula!F63,21)=0,10^6,INDEX(Properties!A$1:CB$87,Formula!F63,21)),IF(INDEX(Properties!A$1:CB$87,Formula!H63,21)=0,10^6,INDEX(Properties!A$1:CB$87,Formula!H63,21)),IF(INDEX(Properties!A$1:CB$87,Formula!J63,21)=0,10^6,INDEX(Properties!A$1:CB$87,Formula!J63,21)))</f>
        <v>1</v>
      </c>
      <c r="CA63" s="66">
        <f t="shared" si="12"/>
        <v>5</v>
      </c>
      <c r="CB63" s="81">
        <f>((Formula!C63)/(Formula!C63+Formula!E63+Formula!G63+Formula!I63+Formula!K63))*(INDEX(Properties!A$1:CB$87,Formula!B63,23))+((Formula!E63)/(Formula!C63+Formula!E63+Formula!G63+Formula!I63+Formula!K63))*(INDEX(Properties!A$1:CB$87,Formula!D63,23))+((Formula!G63)/(Formula!C63+Formula!E63+Formula!G63+Formula!I63+Formula!K63))*(INDEX(Properties!A$1:CB$87,Formula!F63,23))+((Formula!I63)/(Formula!C63+Formula!E63+Formula!G63+Formula!I63+Formula!K63))*(INDEX(Properties!A$1:CB$87,Formula!H63,23))+((Formula!K63)/(Formula!C63+Formula!E63+Formula!G63+Formula!I63+Formula!K63))*(INDEX(Properties!A$1:CB$87,Formula!J63,23))</f>
        <v>1.2380952380952381</v>
      </c>
      <c r="CC63" s="81">
        <f>Formula!C63*(INDEX(Properties!A$1:CB$87,Formula!B63,23))+Formula!E63*(INDEX(Properties!A$1:CB$87,Formula!D63,23))+Formula!G63*(INDEX(Properties!A$1:CB$87,Formula!F63,23))+Formula!I63*(INDEX(Properties!A$1:CB$87,Formula!H63,23))+Formula!K63*(INDEX(Properties!A$1:CB$87,Formula!J63,23))</f>
        <v>26</v>
      </c>
      <c r="CD63" s="81">
        <f>VARP(IF(INDEX(Properties!A$1:CB$87,Formula!B63,23)&lt;&gt;"",INDEX(Properties!A$1:CB$87,Formula!B63,23)),IF(INDEX(Properties!A$1:CB$87,Formula!D63,23)&lt;&gt;"",INDEX(Properties!A$1:CB$87,Formula!D63,23)),IF(INDEX(Properties!A$1:CB$87,Formula!F63,23)&lt;&gt;"",INDEX(Properties!A$1:CB$87,Formula!F63,23)),IF(INDEX(Properties!A$1:CB$87,Formula!H63,23)&lt;&gt;"",INDEX(Properties!A$1:CB$87,Formula!H63,23)),IF(INDEX(Properties!A$1:CB$87,Formula!J63,23)&lt;&gt;"",INDEX(Properties!A$1:CB$87,Formula!J63,23)))</f>
        <v>2.56</v>
      </c>
      <c r="CE63" s="81">
        <f>MAX(INDEX(Properties!A$1:CB$87,Formula!B63,23),INDEX(Properties!A$1:CB$87,Formula!D63,23),INDEX(Properties!A$1:CB$87,Formula!F63,23),INDEX(Properties!A$1:CB$87,Formula!H63,23),INDEX(Properties!A$1:CB$87,Formula!J63,23))</f>
        <v>4</v>
      </c>
      <c r="CF63" s="81">
        <f>MIN(IF(Formula!B63=87,10^6,INDEX(Properties!A$1:CB$87,Formula!B63,23)),IF((Formula!D63)=87,10^6,INDEX(Properties!A$1:CB$87,Formula!D63,23)),IF((Formula!F63)=87,10^6,INDEX(Properties!A$1:CB$87,Formula!F63,23)),IF((Formula!H63)=87,10^6,INDEX(Properties!A$1:CB$87,Formula!H63,23)),IF(Formula!J63=87,10^6,INDEX(Properties!A$1:CB$87,Formula!J63,23)))</f>
        <v>0</v>
      </c>
      <c r="CG63" s="81">
        <f t="shared" si="13"/>
        <v>4</v>
      </c>
      <c r="CH63" s="39">
        <f>((Formula!C63)/(Formula!C63+Formula!E63+Formula!G63+Formula!I63+Formula!K63))*(INDEX(Properties!A$1:CB$87,Formula!B63,26))+((Formula!E63)/(Formula!C63+Formula!E63+Formula!G63+Formula!I63+Formula!K63))*(INDEX(Properties!A$1:CB$87,Formula!D63,26))+((Formula!G63)/(Formula!C63+Formula!E63+Formula!G63+Formula!I63+Formula!K63))*(INDEX(Properties!A$1:CB$87,Formula!F63,26))+((Formula!I63)/(Formula!C63+Formula!E63+Formula!G63+Formula!I63+Formula!K63))*(INDEX(Properties!A$1:CB$87,Formula!H63,26))+((Formula!K63)/(Formula!C63+Formula!E63+Formula!G63+Formula!I63+Formula!K63))*(INDEX(Properties!A$1:CB$87,Formula!J63,26))</f>
        <v>10.948152380952383</v>
      </c>
      <c r="CI63" s="39">
        <f>Formula!C63*(INDEX(Properties!A$1:CB$87,Formula!B63,26))+Formula!E63*(INDEX(Properties!A$1:CB$87,Formula!D63,26))+Formula!G63*(INDEX(Properties!A$1:CB$87,Formula!F63,26))+Formula!I63*(INDEX(Properties!A$1:CB$87,Formula!H63,26))+Formula!K63*(INDEX(Properties!A$1:CB$87,Formula!J63,26))</f>
        <v>229.91120000000001</v>
      </c>
      <c r="CJ63" s="39">
        <f>VARP(IF(INDEX(Properties!A$1:CB$87,Formula!B63,26)&lt;&gt;"",INDEX(Properties!A$1:CB$87,Formula!B63,26)),IF(INDEX(Properties!A$1:CB$87,Formula!D63,26)&lt;&gt;"",INDEX(Properties!A$1:CB$87,Formula!D63,26)),IF(INDEX(Properties!A$1:CB$87,Formula!F63,26)&lt;&gt;"",INDEX(Properties!A$1:CB$87,Formula!F63,26)),IF(INDEX(Properties!A$1:CB$87,Formula!H63,26)&lt;&gt;"",INDEX(Properties!A$1:CB$87,Formula!H63,26)),IF(INDEX(Properties!A$1:CB$87,Formula!J63,26)&lt;&gt;"",INDEX(Properties!A$1:CB$87,Formula!J63,26)))</f>
        <v>19.292581349600006</v>
      </c>
      <c r="CK63" s="39">
        <f>MAX(INDEX(Properties!A$1:CB$87,Formula!B63,26),INDEX(Properties!A$1:CB$87,Formula!D63,26),INDEX(Properties!A$1:CB$87,Formula!F63,26),INDEX(Properties!A$1:CB$87,Formula!H63,26),INDEX(Properties!A$1:CB$87,Formula!J63,26))</f>
        <v>13.6181</v>
      </c>
      <c r="CL63" s="39">
        <f>MIN(IF(INDEX(Properties!A$1:CB$87,Formula!B63,26)=0,10^6,INDEX(Properties!A$1:CB$87,Formula!B63,26)),IF(INDEX(Properties!A$1:CB$87,Formula!D63,26)=0,10^6,INDEX(Properties!A$1:CB$87,Formula!D63,26)),IF(INDEX(Properties!A$1:CB$87,Formula!F63,26)=0,10^6,INDEX(Properties!A$1:CB$87,Formula!F63,26)),IF(INDEX(Properties!A$1:CB$87,Formula!H63,26)=0,10^6,INDEX(Properties!A$1:CB$87,Formula!H63,26)),IF(INDEX(Properties!A$1:CB$87,Formula!J63,26)=0,10^6,INDEX(Properties!A$1:CB$87,Formula!J63,26)))</f>
        <v>5.5769000000000002</v>
      </c>
      <c r="CM63" s="39">
        <f t="shared" si="14"/>
        <v>8.0411999999999999</v>
      </c>
      <c r="CN63" s="54">
        <f>((Formula!C63)/(Formula!C63+Formula!E63+Formula!G63+Formula!I63+Formula!K63))*(INDEX(Properties!A$1:CB$87,Formula!B63,30))+((Formula!E63)/(Formula!C63+Formula!E63+Formula!G63+Formula!I63+Formula!K63))*(INDEX(Properties!A$1:CB$87,Formula!D63,30))+((Formula!G63)/(Formula!C63+Formula!E63+Formula!G63+Formula!I63+Formula!K63))*(INDEX(Properties!A$1:CB$87,Formula!F63,30))+((Formula!I63)/(Formula!C63+Formula!E63+Formula!G63+Formula!I63+Formula!K63))*(INDEX(Properties!A$1:CB$87,Formula!H63,30))+((Formula!K63)/(Formula!C63+Formula!E63+Formula!G63+Formula!I63+Formula!K63))*(INDEX(Properties!A$1:CB$87,Formula!J63,30))</f>
        <v>2.6580952380952381</v>
      </c>
      <c r="CO63" s="54">
        <f>Formula!C63*(INDEX(Properties!A$1:CB$87,Formula!B63,30))+Formula!E63*(INDEX(Properties!A$1:CB$87,Formula!D63,30))+Formula!G63*(INDEX(Properties!A$1:CB$87,Formula!F63,30))+Formula!I63*(INDEX(Properties!A$1:CB$87,Formula!H63,30))+Formula!K63*(INDEX(Properties!A$1:CB$87,Formula!J63,30))</f>
        <v>55.82</v>
      </c>
      <c r="CP63" s="54">
        <f>VARP(IF(INDEX(Properties!A$1:CB$87,Formula!B63,30)&lt;&gt;"",INDEX(Properties!A$1:CB$87,Formula!B63,30)),IF(INDEX(Properties!A$1:CB$87,Formula!D63,30)&lt;&gt;"",INDEX(Properties!A$1:CB$87,Formula!D63,30)),IF(INDEX(Properties!A$1:CB$87,Formula!F63,30)&lt;&gt;"",INDEX(Properties!A$1:CB$87,Formula!F63,30)),IF(INDEX(Properties!A$1:CB$87,Formula!H63,30)&lt;&gt;"",INDEX(Properties!A$1:CB$87,Formula!H63,30)),IF(INDEX(Properties!A$1:CB$87,Formula!J63,30)&lt;&gt;"",INDEX(Properties!A$1:CB$87,Formula!J63,30)))</f>
        <v>1.3165759999999997</v>
      </c>
      <c r="CQ63" s="54">
        <f>MAX(INDEX(Properties!A$1:CB$87,Formula!B63,30),INDEX(Properties!A$1:CB$87,Formula!D63,30),INDEX(Properties!A$1:CB$87,Formula!F63,30),INDEX(Properties!A$1:CB$87,Formula!H63,30),INDEX(Properties!A$1:CB$87,Formula!J63,30))</f>
        <v>3.44</v>
      </c>
      <c r="CR63" s="54">
        <f>MIN(IF(INDEX(Properties!A$1:CB$87,Formula!B63,30)=0,10^6,INDEX(Properties!A$1:CB$87,Formula!B63,30)),IF(INDEX(Properties!A$1:CB$87,Formula!D63,30)=0,10^6,INDEX(Properties!A$1:CB$87,Formula!D63,30)),IF(INDEX(Properties!A$1:CB$87,Formula!F63,30)=0,10^6,INDEX(Properties!A$1:CB$87,Formula!F63,30)),IF(INDEX(Properties!A$1:CB$87,Formula!H63,30)=0,10^6,INDEX(Properties!A$1:CB$87,Formula!H63,30)),IF(INDEX(Properties!A$1:CB$87,Formula!J63,30)=0,10^6,INDEX(Properties!A$1:CB$87,Formula!J63,30)))</f>
        <v>1</v>
      </c>
      <c r="CS63" s="54">
        <f t="shared" si="15"/>
        <v>2.44</v>
      </c>
      <c r="CT63" s="69">
        <f>((Formula!C63)/(Formula!C63+Formula!E63+Formula!G63+Formula!I63+Formula!K63))*(INDEX(Properties!A$1:CB$87,Formula!B63,31))+((Formula!E63)/(Formula!C63+Formula!E63+Formula!G63+Formula!I63+Formula!K63))*(INDEX(Properties!A$1:CB$87,Formula!D63,31))+((Formula!G63)/(Formula!C63+Formula!E63+Formula!G63+Formula!I63+Formula!K63))*(INDEX(Properties!A$1:CB$87,Formula!F63,31))+((Formula!I63)/(Formula!C63+Formula!E63+Formula!G63+Formula!I63+Formula!K63))*(INDEX(Properties!A$1:CB$87,Formula!H63,31))+((Formula!K63)/(Formula!C63+Formula!E63+Formula!G63+Formula!I63+Formula!K63))*(INDEX(Properties!A$1:CB$87,Formula!J63,31))</f>
        <v>2.6509523809523809</v>
      </c>
      <c r="CU63" s="69">
        <f>Formula!C63*(INDEX(Properties!A$1:CB$87,Formula!B63,31))+Formula!E63*(INDEX(Properties!A$1:CB$87,Formula!D63,31))+Formula!G63*(INDEX(Properties!A$1:CB$87,Formula!F63,31))+Formula!I63*(INDEX(Properties!A$1:CB$87,Formula!H63,31))+Formula!K63*(INDEX(Properties!A$1:CB$87,Formula!J63,31))</f>
        <v>55.669999999999995</v>
      </c>
      <c r="CV63" s="69">
        <f>VARP(IF(INDEX(Properties!A$1:CB$87,Formula!B63,31)&lt;&gt;"",INDEX(Properties!A$1:CB$87,Formula!B63,31)),IF(INDEX(Properties!A$1:CB$87,Formula!D63,31)&lt;&gt;"",INDEX(Properties!A$1:CB$87,Formula!D63,31)),IF(INDEX(Properties!A$1:CB$87,Formula!F63,31)&lt;&gt;"",INDEX(Properties!A$1:CB$87,Formula!F63,31)),IF(INDEX(Properties!A$1:CB$87,Formula!H63,31)&lt;&gt;"",INDEX(Properties!A$1:CB$87,Formula!H63,31)),IF(INDEX(Properties!A$1:CB$87,Formula!J63,31)&lt;&gt;"",INDEX(Properties!A$1:CB$87,Formula!J63,31)))</f>
        <v>1.1807439999999993</v>
      </c>
      <c r="CW63" s="69">
        <f>MAX(INDEX(Properties!A$1:CB$87,Formula!B63,31),INDEX(Properties!A$1:CB$87,Formula!D63,31),INDEX(Properties!A$1:CB$87,Formula!F63,31),INDEX(Properties!A$1:CB$87,Formula!H63,31),INDEX(Properties!A$1:CB$87,Formula!J63,31))</f>
        <v>3.32</v>
      </c>
      <c r="CX63" s="69">
        <f>MIN(IF(INDEX(Properties!A$1:CB$87,Formula!B63,31)=0,10^6,INDEX(Properties!A$1:CB$87,Formula!B63,31)),IF(INDEX(Properties!A$1:CB$87,Formula!D63,31)=0,10^6,INDEX(Properties!A$1:CB$87,Formula!D63,31)),IF(INDEX(Properties!A$1:CB$87,Formula!F63,31)=0,10^6,INDEX(Properties!A$1:CB$87,Formula!F63,31)),IF(INDEX(Properties!A$1:CB$87,Formula!H63,31)=0,10^6,INDEX(Properties!A$1:CB$87,Formula!H63,31)),IF(INDEX(Properties!A$1:CB$87,Formula!J63,31)=0,10^6,INDEX(Properties!A$1:CB$87,Formula!J63,31)))</f>
        <v>1.17</v>
      </c>
      <c r="CY63" s="69">
        <f t="shared" si="16"/>
        <v>2.15</v>
      </c>
      <c r="CZ63" s="42">
        <f>((Formula!C63)/(Formula!C63+Formula!E63+Formula!G63+Formula!I63+Formula!K63))*(INDEX(Properties!A$1:CB$87,Formula!B63,32))+((Formula!E63)/(Formula!C63+Formula!E63+Formula!G63+Formula!I63+Formula!K63))*(INDEX(Properties!A$1:CB$87,Formula!D63,32))+((Formula!G63)/(Formula!C63+Formula!E63+Formula!G63+Formula!I63+Formula!K63))*(INDEX(Properties!A$1:CB$87,Formula!F63,32))+((Formula!I63)/(Formula!C63+Formula!E63+Formula!G63+Formula!I63+Formula!K63))*(INDEX(Properties!A$1:CB$87,Formula!H63,32))+((Formula!K63)/(Formula!C63+Formula!E63+Formula!G63+Formula!I63+Formula!K63))*(INDEX(Properties!A$1:CB$87,Formula!J63,32))</f>
        <v>6.0442857142857136</v>
      </c>
      <c r="DA63" s="42">
        <f>Formula!C63*(INDEX(Properties!A$1:CB$87,Formula!B63,32))+Formula!E63*(INDEX(Properties!A$1:CB$87,Formula!D63,32))+Formula!G63*(INDEX(Properties!A$1:CB$87,Formula!F63,32))+Formula!I63*(INDEX(Properties!A$1:CB$87,Formula!H63,32))+Formula!K63*(INDEX(Properties!A$1:CB$87,Formula!J63,32))</f>
        <v>126.92999999999999</v>
      </c>
      <c r="DB63" s="42">
        <f>VARP(IF(INDEX(Properties!A$1:CB$87,Formula!B63,32)&lt;&gt;"",INDEX(Properties!A$1:CB$87,Formula!B63,32)),IF(INDEX(Properties!A$1:CB$87,Formula!D63,32)&lt;&gt;"",INDEX(Properties!A$1:CB$87,Formula!D63,32)),IF(INDEX(Properties!A$1:CB$87,Formula!F63,32)&lt;&gt;"",INDEX(Properties!A$1:CB$87,Formula!F63,32)),IF(INDEX(Properties!A$1:CB$87,Formula!H63,32)&lt;&gt;"",INDEX(Properties!A$1:CB$87,Formula!H63,32)),IF(INDEX(Properties!A$1:CB$87,Formula!J63,32)&lt;&gt;"",INDEX(Properties!A$1:CB$87,Formula!J63,32)))</f>
        <v>6.4064159999999966</v>
      </c>
      <c r="DC63" s="42">
        <f>MAX(INDEX(Properties!A$1:CB$87,Formula!B63,32),INDEX(Properties!A$1:CB$87,Formula!D63,32),INDEX(Properties!A$1:CB$87,Formula!F63,32),INDEX(Properties!A$1:CB$87,Formula!H63,32),INDEX(Properties!A$1:CB$87,Formula!J63,32))</f>
        <v>7.54</v>
      </c>
      <c r="DD63" s="42">
        <f>MIN(IF(INDEX(Properties!A$1:CB$87,Formula!B63,32)=0,10^6,INDEX(Properties!A$1:CB$87,Formula!B63,32)),IF(INDEX(Properties!A$1:CB$87,Formula!D63,32)=0,10^6,INDEX(Properties!A$1:CB$87,Formula!D63,32)),IF(INDEX(Properties!A$1:CB$87,Formula!F63,32)=0,10^6,INDEX(Properties!A$1:CB$87,Formula!F63,32)),IF(INDEX(Properties!A$1:CB$87,Formula!H63,32)=0,10^6,INDEX(Properties!A$1:CB$87,Formula!H63,32)),IF(INDEX(Properties!A$1:CB$87,Formula!J63,32)=0,10^6,INDEX(Properties!A$1:CB$87,Formula!J63,32)))</f>
        <v>2.2000000000000002</v>
      </c>
      <c r="DE63" s="42">
        <f t="shared" si="17"/>
        <v>5.34</v>
      </c>
      <c r="DF63" s="60">
        <f>((Formula!C63)/(Formula!C63+Formula!E63+Formula!G63+Formula!I63+Formula!K63))*(INDEX(Properties!A$1:CB$87,Formula!B63,34))+((Formula!E63)/(Formula!C63+Formula!E63+Formula!G63+Formula!I63+Formula!K63))*(INDEX(Properties!A$1:CB$87,Formula!D63,34))+((Formula!G63)/(Formula!C63+Formula!E63+Formula!G63+Formula!I63+Formula!K63))*(INDEX(Properties!A$1:CB$87,Formula!F63,34))+((Formula!I63)/(Formula!C63+Formula!E63+Formula!G63+Formula!I63+Formula!K63))*(INDEX(Properties!A$1:CB$87,Formula!H63,34))+((Formula!K63)/(Formula!C63+Formula!E63+Formula!G63+Formula!I63+Formula!K63))*(INDEX(Properties!A$1:CB$87,Formula!J63,34))</f>
        <v>2.7653333333333334</v>
      </c>
      <c r="DG63" s="60">
        <f>Formula!C63*(INDEX(Properties!A$1:CB$87,Formula!B63,34))+Formula!E63*(INDEX(Properties!A$1:CB$87,Formula!D63,34))+Formula!G63*(INDEX(Properties!A$1:CB$87,Formula!F63,34))+Formula!I63*(INDEX(Properties!A$1:CB$87,Formula!H63,34))+Formula!K63*(INDEX(Properties!A$1:CB$87,Formula!J63,34))</f>
        <v>58.072000000000003</v>
      </c>
      <c r="DH63" s="60">
        <f>VARP(IF(INDEX(Properties!A$1:CB$87,Formula!B63,34)&lt;&gt;"",INDEX(Properties!A$1:CB$87,Formula!B63,34)),IF(INDEX(Properties!A$1:CB$87,Formula!D63,34)&lt;&gt;"",INDEX(Properties!A$1:CB$87,Formula!D63,34)),IF(INDEX(Properties!A$1:CB$87,Formula!F63,34)&lt;&gt;"",INDEX(Properties!A$1:CB$87,Formula!F63,34)),IF(INDEX(Properties!A$1:CB$87,Formula!H63,34)&lt;&gt;"",INDEX(Properties!A$1:CB$87,Formula!H63,34)),IF(INDEX(Properties!A$1:CB$87,Formula!J63,34)&lt;&gt;"",INDEX(Properties!A$1:CB$87,Formula!J63,34)))</f>
        <v>1.4511823999999991</v>
      </c>
      <c r="DI63" s="60">
        <f>MAX(INDEX(Properties!A$1:CB$87,Formula!B63,34),INDEX(Properties!A$1:CB$87,Formula!D63,34),INDEX(Properties!A$1:CB$87,Formula!F63,34),INDEX(Properties!A$1:CB$87,Formula!H63,34),INDEX(Properties!A$1:CB$87,Formula!J63,34))</f>
        <v>3.61</v>
      </c>
      <c r="DJ63" s="60">
        <f>MIN(IF(INDEX(Properties!A$1:CB$87,Formula!B63,34)=0,10^6,INDEX(Properties!A$1:CB$87,Formula!B63,34)),IF(INDEX(Properties!A$1:CB$87,Formula!D63,34)=0,10^6,INDEX(Properties!A$1:CB$87,Formula!D63,34)),IF(INDEX(Properties!A$1:CB$87,Formula!F63,34)=0,10^6,INDEX(Properties!A$1:CB$87,Formula!F63,34)),IF(INDEX(Properties!A$1:CB$87,Formula!H63,34)=0,10^6,INDEX(Properties!A$1:CB$87,Formula!H63,34)),IF(INDEX(Properties!A$1:CB$87,Formula!J63,34)=0,10^6,INDEX(Properties!A$1:CB$87,Formula!J63,34)))</f>
        <v>1.034</v>
      </c>
      <c r="DK63" s="60">
        <f t="shared" si="18"/>
        <v>2.5759999999999996</v>
      </c>
      <c r="DL63" s="45">
        <f>((Formula!C63)/(Formula!C63+Formula!E63+Formula!G63+Formula!I63+Formula!K63))*(INDEX(Properties!A$1:CB$87,Formula!B63,39))+((Formula!E63)/(Formula!C63+Formula!E63+Formula!G63+Formula!I63+Formula!K63))*(INDEX(Properties!A$1:CB$87,Formula!D63,39))+((Formula!G63)/(Formula!C63+Formula!E63+Formula!G63+Formula!I63+Formula!K63))*(INDEX(Properties!A$1:CB$87,Formula!F63,39))+((Formula!I63)/(Formula!C63+Formula!E63+Formula!G63+Formula!I63+Formula!K63))*(INDEX(Properties!A$1:CB$87,Formula!H63,39))+((Formula!K63)/(Formula!C63+Formula!E63+Formula!G63+Formula!I63+Formula!K63))*(INDEX(Properties!A$1:CB$87,Formula!J63,39))</f>
        <v>0.91952380952380952</v>
      </c>
      <c r="DM63" s="45">
        <f>Formula!C63*(INDEX(Properties!A$1:CB$87,Formula!B63,39))+Formula!E63*(INDEX(Properties!A$1:CB$87,Formula!D63,39))+Formula!G63*(INDEX(Properties!A$1:CB$87,Formula!F63,39))+Formula!I63*(INDEX(Properties!A$1:CB$87,Formula!H63,39))+Formula!K63*(INDEX(Properties!A$1:CB$87,Formula!J63,39))</f>
        <v>19.310000000000002</v>
      </c>
      <c r="DN63" s="45">
        <f>VARP(IF(INDEX(Properties!A$1:CB$87,Formula!B63,39)&lt;&gt;"",INDEX(Properties!A$1:CB$87,Formula!B63,39)),IF(INDEX(Properties!A$1:CB$87,Formula!D63,39)&lt;&gt;"",INDEX(Properties!A$1:CB$87,Formula!D63,39)),IF(INDEX(Properties!A$1:CB$87,Formula!F63,39)&lt;&gt;"",INDEX(Properties!A$1:CB$87,Formula!F63,39)),IF(INDEX(Properties!A$1:CB$87,Formula!H63,39)&lt;&gt;"",INDEX(Properties!A$1:CB$87,Formula!H63,39)),IF(INDEX(Properties!A$1:CB$87,Formula!J63,39)&lt;&gt;"",INDEX(Properties!A$1:CB$87,Formula!J63,39)))</f>
        <v>0.6045039999999996</v>
      </c>
      <c r="DO63" s="45">
        <f>MAX(INDEX(Properties!A$1:CB$87,Formula!B63,39),INDEX(Properties!A$1:CB$87,Formula!D63,39),INDEX(Properties!A$1:CB$87,Formula!F63,39),INDEX(Properties!A$1:CB$87,Formula!H63,39),INDEX(Properties!A$1:CB$87,Formula!J63,39))</f>
        <v>1.95</v>
      </c>
      <c r="DP63" s="45">
        <f>MIN(IF(INDEX(Properties!A$1:CB$87,Formula!B63,39)=0,10^6,INDEX(Properties!A$1:CB$87,Formula!B63,39)),IF(INDEX(Properties!A$1:CB$87,Formula!D63,39)=0,10^6,INDEX(Properties!A$1:CB$87,Formula!D63,39)),IF(INDEX(Properties!A$1:CB$87,Formula!F63,39)=0,10^6,INDEX(Properties!A$1:CB$87,Formula!F63,39)),IF(INDEX(Properties!A$1:CB$87,Formula!H63,39)=0,10^6,INDEX(Properties!A$1:CB$87,Formula!H63,39)),IF(INDEX(Properties!A$1:CB$87,Formula!J63,39)=0,10^6,INDEX(Properties!A$1:CB$87,Formula!J63,39)))</f>
        <v>0.48</v>
      </c>
      <c r="DQ63" s="45">
        <f t="shared" si="19"/>
        <v>1.47</v>
      </c>
      <c r="DR63" s="63">
        <f>((Formula!C63)/(Formula!C63+Formula!E63+Formula!G63+Formula!I63+Formula!K63))*(INDEX(Properties!A$1:CB$87,Formula!B63,40))+((Formula!E63)/(Formula!C63+Formula!E63+Formula!G63+Formula!I63+Formula!K63))*(INDEX(Properties!A$1:CB$87,Formula!D63,40))+((Formula!G63)/(Formula!C63+Formula!E63+Formula!G63+Formula!I63+Formula!K63))*(INDEX(Properties!A$1:CB$87,Formula!F63,40))+((Formula!I63)/(Formula!C63+Formula!E63+Formula!G63+Formula!I63+Formula!K63))*(INDEX(Properties!A$1:CB$87,Formula!H63,40))+((Formula!K63)/(Formula!C63+Formula!E63+Formula!G63+Formula!I63+Formula!K63))*(INDEX(Properties!A$1:CB$87,Formula!J63,40))</f>
        <v>1.0152380952380953</v>
      </c>
      <c r="DS63" s="63">
        <f>Formula!C63*(INDEX(Properties!A$1:CB$87,Formula!B63,40))+Formula!E63*(INDEX(Properties!A$1:CB$87,Formula!D63,40))+Formula!G63*(INDEX(Properties!A$1:CB$87,Formula!F63,40))+Formula!I63*(INDEX(Properties!A$1:CB$87,Formula!H63,40))+Formula!K63*(INDEX(Properties!A$1:CB$87,Formula!J63,40))</f>
        <v>21.32</v>
      </c>
      <c r="DT63" s="63">
        <f>VARP(IF(INDEX(Properties!A$1:CB$87,Formula!B63,40)&lt;&gt;"",INDEX(Properties!A$1:CB$87,Formula!B63,40)),IF(INDEX(Properties!A$1:CB$87,Formula!D63,40)&lt;&gt;"",INDEX(Properties!A$1:CB$87,Formula!D63,40)),IF(INDEX(Properties!A$1:CB$87,Formula!F63,40)&lt;&gt;"",INDEX(Properties!A$1:CB$87,Formula!F63,40)),IF(INDEX(Properties!A$1:CB$87,Formula!H63,40)&lt;&gt;"",INDEX(Properties!A$1:CB$87,Formula!H63,40)),IF(INDEX(Properties!A$1:CB$87,Formula!J63,40)&lt;&gt;"",INDEX(Properties!A$1:CB$87,Formula!J63,40)))</f>
        <v>0.41882400000000003</v>
      </c>
      <c r="DU63" s="63">
        <f>MAX(INDEX(Properties!A$1:CB$87,Formula!B63,40),INDEX(Properties!A$1:CB$87,Formula!D63,40),INDEX(Properties!A$1:CB$87,Formula!F63,40),INDEX(Properties!A$1:CB$87,Formula!H63,40),INDEX(Properties!A$1:CB$87,Formula!J63,40))</f>
        <v>1.74</v>
      </c>
      <c r="DV63" s="63">
        <f>MIN(IF(INDEX(Properties!A$1:CB$87,Formula!B63,40)=0,10^6,INDEX(Properties!A$1:CB$87,Formula!B63,40)),IF(INDEX(Properties!A$1:CB$87,Formula!D63,40)=0,10^6,INDEX(Properties!A$1:CB$87,Formula!D63,40)),IF(INDEX(Properties!A$1:CB$87,Formula!F63,40)=0,10^6,INDEX(Properties!A$1:CB$87,Formula!F63,40)),IF(INDEX(Properties!A$1:CB$87,Formula!H63,40)=0,10^6,INDEX(Properties!A$1:CB$87,Formula!H63,40)),IF(INDEX(Properties!A$1:CB$87,Formula!J63,40)=0,10^6,INDEX(Properties!A$1:CB$87,Formula!J63,40)))</f>
        <v>0.73</v>
      </c>
      <c r="DW63" s="63">
        <f t="shared" si="20"/>
        <v>1.01</v>
      </c>
      <c r="DX63" s="75">
        <f>((Formula!C63)/(Formula!C63+Formula!E63+Formula!G63+Formula!I63+Formula!K63))*(INDEX(Properties!A$1:CB$87,Formula!B63,41))+((Formula!E63)/(Formula!C63+Formula!E63+Formula!G63+Formula!I63+Formula!K63))*(INDEX(Properties!A$1:CB$87,Formula!D63,41))+((Formula!G63)/(Formula!C63+Formula!E63+Formula!G63+Formula!I63+Formula!K63))*(INDEX(Properties!A$1:CB$87,Formula!F63,41))+((Formula!I63)/(Formula!C63+Formula!E63+Formula!G63+Formula!I63+Formula!K63))*(INDEX(Properties!A$1:CB$87,Formula!H63,41))+((Formula!K63)/(Formula!C63+Formula!E63+Formula!G63+Formula!I63+Formula!K63))*(INDEX(Properties!A$1:CB$87,Formula!J63,41))</f>
        <v>1.1342857142857143</v>
      </c>
      <c r="DY63" s="75">
        <f>Formula!C63*(INDEX(Properties!A$1:CB$87,Formula!B63,41))+Formula!E63*(INDEX(Properties!A$1:CB$87,Formula!D63,41))+Formula!G63*(INDEX(Properties!A$1:CB$87,Formula!F63,41))+Formula!I63*(INDEX(Properties!A$1:CB$87,Formula!H63,41))+Formula!K63*(INDEX(Properties!A$1:CB$87,Formula!J63,41))</f>
        <v>23.82</v>
      </c>
      <c r="DZ63" s="75">
        <f>VARP(IF(INDEX(Properties!A$1:CB$87,Formula!B63,41)&lt;&gt;"",INDEX(Properties!A$1:CB$87,Formula!B63,41)),IF(INDEX(Properties!A$1:CB$87,Formula!D63,41)&lt;&gt;"",INDEX(Properties!A$1:CB$87,Formula!D63,41)),IF(INDEX(Properties!A$1:CB$87,Formula!F63,41)&lt;&gt;"",INDEX(Properties!A$1:CB$87,Formula!F63,41)),IF(INDEX(Properties!A$1:CB$87,Formula!H63,41)&lt;&gt;"",INDEX(Properties!A$1:CB$87,Formula!H63,41)),IF(INDEX(Properties!A$1:CB$87,Formula!J63,41)&lt;&gt;"",INDEX(Properties!A$1:CB$87,Formula!J63,41)))</f>
        <v>0.23385600000000012</v>
      </c>
      <c r="EA63" s="75">
        <f>MAX(INDEX(Properties!A$1:CB$87,Formula!B63,41),INDEX(Properties!A$1:CB$87,Formula!D63,41),INDEX(Properties!A$1:CB$87,Formula!F63,41),INDEX(Properties!A$1:CB$87,Formula!H63,41),INDEX(Properties!A$1:CB$87,Formula!J63,41))</f>
        <v>1.26</v>
      </c>
      <c r="EB63" s="75">
        <f>MIN(IF(INDEX(Properties!A$1:CB$87,Formula!B63,41)=0,10^6,INDEX(Properties!A$1:CB$87,Formula!B63,41)),IF(INDEX(Properties!A$1:CB$87,Formula!D63,41)=0,10^6,INDEX(Properties!A$1:CB$87,Formula!D63,41)),IF(INDEX(Properties!A$1:CB$87,Formula!F63,41)=0,10^6,INDEX(Properties!A$1:CB$87,Formula!F63,41)),IF(INDEX(Properties!A$1:CB$87,Formula!H63,41)=0,10^6,INDEX(Properties!A$1:CB$87,Formula!H63,41)),IF(INDEX(Properties!A$1:CB$87,Formula!J63,41)=0,10^6,INDEX(Properties!A$1:CB$87,Formula!J63,41)))</f>
        <v>0.54</v>
      </c>
      <c r="EC63" s="75">
        <f t="shared" si="21"/>
        <v>0.72</v>
      </c>
      <c r="ED63" s="48">
        <f>((Formula!C63)/(Formula!C63+Formula!E63+Formula!G63+Formula!I63+Formula!K63))*(INDEX(Properties!A$1:CB$87,Formula!B63,45))+((Formula!E63)/(Formula!C63+Formula!E63+Formula!G63+Formula!I63+Formula!K63))*(INDEX(Properties!A$1:CB$87,Formula!D63,45))+((Formula!G63)/(Formula!C63+Formula!E63+Formula!G63+Formula!I63+Formula!K63))*(INDEX(Properties!A$1:CB$87,Formula!F63,45))+((Formula!I63)/(Formula!C63+Formula!E63+Formula!G63+Formula!I63+Formula!K63))*(INDEX(Properties!A$1:CB$87,Formula!H63,45))+((Formula!K63)/(Formula!C63+Formula!E63+Formula!G63+Formula!I63+Formula!K63))*(INDEX(Properties!A$1:CB$87,Formula!J63,45))</f>
        <v>1.2233333333333332</v>
      </c>
      <c r="EE63" s="48">
        <f>Formula!C63*(INDEX(Properties!A$1:CB$87,Formula!B63,45))+Formula!E63*(INDEX(Properties!A$1:CB$87,Formula!D63,45))+Formula!G63*(INDEX(Properties!A$1:CB$87,Formula!F63,45))+Formula!I63*(INDEX(Properties!A$1:CB$87,Formula!H63,45))+Formula!K63*(INDEX(Properties!A$1:CB$87,Formula!J63,45))</f>
        <v>25.689999999999998</v>
      </c>
      <c r="EF63" s="48">
        <f>VARP(IF(INDEX(Properties!A$1:CB$87,Formula!B63,45)&lt;&gt;"",INDEX(Properties!A$1:CB$87,Formula!B63,45)),IF(INDEX(Properties!A$1:CB$87,Formula!D63,45)&lt;&gt;"",INDEX(Properties!A$1:CB$87,Formula!D63,45)),IF(INDEX(Properties!A$1:CB$87,Formula!F63,45)&lt;&gt;"",INDEX(Properties!A$1:CB$87,Formula!F63,45)),IF(INDEX(Properties!A$1:CB$87,Formula!H63,45)&lt;&gt;"",INDEX(Properties!A$1:CB$87,Formula!H63,45)),IF(INDEX(Properties!A$1:CB$87,Formula!J63,45)&lt;&gt;"",INDEX(Properties!A$1:CB$87,Formula!J63,45)))</f>
        <v>1.6039040000000007</v>
      </c>
      <c r="EG63" s="48">
        <f>MAX(INDEX(Properties!A$1:CB$87,Formula!B63,45),INDEX(Properties!A$1:CB$87,Formula!D63,45),INDEX(Properties!A$1:CB$87,Formula!F63,45),INDEX(Properties!A$1:CB$87,Formula!H63,45),INDEX(Properties!A$1:CB$87,Formula!J63,45))</f>
        <v>3.08</v>
      </c>
      <c r="EH63" s="48">
        <f>MIN(IF(INDEX(Properties!A$1:CB$87,Formula!B63,45)=0,10^6,INDEX(Properties!A$1:CB$87,Formula!B63,45)),IF(INDEX(Properties!A$1:CB$87,Formula!D63,45)=0,10^6,INDEX(Properties!A$1:CB$87,Formula!D63,45)),IF(INDEX(Properties!A$1:CB$87,Formula!F63,45)=0,10^6,INDEX(Properties!A$1:CB$87,Formula!F63,45)),IF(INDEX(Properties!A$1:CB$87,Formula!H63,45)=0,10^6,INDEX(Properties!A$1:CB$87,Formula!H63,45)),IF(INDEX(Properties!A$1:CB$87,Formula!J63,45)=0,10^6,INDEX(Properties!A$1:CB$87,Formula!J63,45)))</f>
        <v>0.47</v>
      </c>
      <c r="EI63" s="48">
        <f t="shared" si="22"/>
        <v>2.6100000000000003</v>
      </c>
      <c r="EJ63" s="66">
        <f>((Formula!C63)/(Formula!C63+Formula!E63+Formula!G63+Formula!I63+Formula!K63))*(INDEX(Properties!A$1:CB$87,Formula!B63,46))+((Formula!E63)/(Formula!C63+Formula!E63+Formula!G63+Formula!I63+Formula!K63))*(INDEX(Properties!A$1:CB$87,Formula!D63,46))+((Formula!G63)/(Formula!C63+Formula!E63+Formula!G63+Formula!I63+Formula!K63))*(INDEX(Properties!A$1:CB$87,Formula!F63,46))+((Formula!I63)/(Formula!C63+Formula!E63+Formula!G63+Formula!I63+Formula!K63))*(INDEX(Properties!A$1:CB$87,Formula!H63,46))+((Formula!K63)/(Formula!C63+Formula!E63+Formula!G63+Formula!I63+Formula!K63))*(INDEX(Properties!A$1:CB$87,Formula!J63,46))</f>
        <v>1.1195238095238096</v>
      </c>
      <c r="EK63" s="66">
        <f>Formula!C63*(INDEX(Properties!A$1:CB$87,Formula!B63,46))+Formula!E63*(INDEX(Properties!A$1:CB$87,Formula!D63,46))+Formula!G63*(INDEX(Properties!A$1:CB$87,Formula!F63,46))+Formula!I63*(INDEX(Properties!A$1:CB$87,Formula!H63,46))+Formula!K63*(INDEX(Properties!A$1:CB$87,Formula!J63,46))</f>
        <v>23.51</v>
      </c>
      <c r="EL63" s="66">
        <f>VARP(IF(INDEX(Properties!A$1:CB$87,Formula!B63,46)&lt;&gt;"",INDEX(Properties!A$1:CB$87,Formula!B63,46)),IF(INDEX(Properties!A$1:CB$87,Formula!D63,46)&lt;&gt;"",INDEX(Properties!A$1:CB$87,Formula!D63,46)),IF(INDEX(Properties!A$1:CB$87,Formula!F63,46)&lt;&gt;"",INDEX(Properties!A$1:CB$87,Formula!F63,46)),IF(INDEX(Properties!A$1:CB$87,Formula!H63,46)&lt;&gt;"",INDEX(Properties!A$1:CB$87,Formula!H63,46)),IF(INDEX(Properties!A$1:CB$87,Formula!J63,46)&lt;&gt;"",INDEX(Properties!A$1:CB$87,Formula!J63,46)))</f>
        <v>0.27897600000000028</v>
      </c>
      <c r="EM63" s="66">
        <f>MAX(INDEX(Properties!A$1:CB$87,Formula!B63,46),INDEX(Properties!A$1:CB$87,Formula!D63,46),INDEX(Properties!A$1:CB$87,Formula!F63,46),INDEX(Properties!A$1:CB$87,Formula!H63,46),INDEX(Properties!A$1:CB$87,Formula!J63,46))</f>
        <v>1.36</v>
      </c>
      <c r="EN63" s="66">
        <f>MIN(IF(INDEX(Properties!A$1:CB$87,Formula!B63,46)=0,10^6,INDEX(Properties!A$1:CB$87,Formula!B63,46)),IF(INDEX(Properties!A$1:CB$87,Formula!D63,46)=0,10^6,INDEX(Properties!A$1:CB$87,Formula!D63,46)),IF(INDEX(Properties!A$1:CB$87,Formula!F63,46)=0,10^6,INDEX(Properties!A$1:CB$87,Formula!F63,46)),IF(INDEX(Properties!A$1:CB$87,Formula!H63,46)=0,10^6,INDEX(Properties!A$1:CB$87,Formula!H63,46)),IF(INDEX(Properties!A$1:CB$87,Formula!J63,46)=0,10^6,INDEX(Properties!A$1:CB$87,Formula!J63,46)))</f>
        <v>0.4</v>
      </c>
      <c r="EO63" s="66">
        <f t="shared" si="23"/>
        <v>0.96000000000000008</v>
      </c>
      <c r="EP63" s="81">
        <f>((Formula!C63)/(Formula!C63+Formula!E63+Formula!G63+Formula!I63+Formula!K63))*(INDEX(Properties!A$1:CB$87,Formula!B63,52))+((Formula!E63)/(Formula!C63+Formula!E63+Formula!G63+Formula!I63+Formula!K63))*(INDEX(Properties!A$1:CB$87,Formula!D63,52))+((Formula!G63)/(Formula!C63+Formula!E63+Formula!G63+Formula!I63+Formula!K63))*(INDEX(Properties!A$1:CB$87,Formula!F63,52))+((Formula!I63)/(Formula!C63+Formula!E63+Formula!G63+Formula!I63+Formula!K63))*(INDEX(Properties!A$1:CB$87,Formula!H63,52))+((Formula!K63)/(Formula!C63+Formula!E63+Formula!G63+Formula!I63+Formula!K63))*(INDEX(Properties!A$1:CB$87,Formula!J63,52))</f>
        <v>8.2718571428571437</v>
      </c>
      <c r="EQ63" s="81">
        <f>Formula!C63*(INDEX(Properties!A$1:CB$87,Formula!B63,52))+Formula!E63*(INDEX(Properties!A$1:CB$87,Formula!D63,52))+Formula!G63*(INDEX(Properties!A$1:CB$87,Formula!F63,52))+Formula!I63*(INDEX(Properties!A$1:CB$87,Formula!H63,52))+Formula!K63*(INDEX(Properties!A$1:CB$87,Formula!J63,52))</f>
        <v>173.70900000000003</v>
      </c>
      <c r="ER63" s="81">
        <f>VARP(IF(INDEX(Properties!A$1:CB$87,Formula!B63,52)&lt;&gt;"",INDEX(Properties!A$1:CB$87,Formula!B63,52)),IF(INDEX(Properties!A$1:CB$87,Formula!D63,52)&lt;&gt;"",INDEX(Properties!A$1:CB$87,Formula!D63,52)),IF(INDEX(Properties!A$1:CB$87,Formula!F63,52)&lt;&gt;"",INDEX(Properties!A$1:CB$87,Formula!F63,52)),IF(INDEX(Properties!A$1:CB$87,Formula!H63,52)&lt;&gt;"",INDEX(Properties!A$1:CB$87,Formula!H63,52)),IF(INDEX(Properties!A$1:CB$87,Formula!J63,52)&lt;&gt;"",INDEX(Properties!A$1:CB$87,Formula!J63,52)))</f>
        <v>158.92102384</v>
      </c>
      <c r="ES63" s="81">
        <f>MAX(INDEX(Properties!A$1:CB$87,Formula!B63,52),INDEX(Properties!A$1:CB$87,Formula!D63,52),INDEX(Properties!A$1:CB$87,Formula!F63,52),INDEX(Properties!A$1:CB$87,Formula!H63,52),INDEX(Properties!A$1:CB$87,Formula!J63,52))</f>
        <v>31.1</v>
      </c>
      <c r="ET63" s="81">
        <f>MIN(IF(INDEX(Properties!A$1:CB$87,Formula!B63,52)=0,10^6,INDEX(Properties!A$1:CB$87,Formula!B63,52)),IF(INDEX(Properties!A$1:CB$87,Formula!D63,52)=0,10^6,INDEX(Properties!A$1:CB$87,Formula!D63,52)),IF(INDEX(Properties!A$1:CB$87,Formula!F63,52)=0,10^6,INDEX(Properties!A$1:CB$87,Formula!F63,52)),IF(INDEX(Properties!A$1:CB$87,Formula!H63,52)=0,10^6,INDEX(Properties!A$1:CB$87,Formula!H63,52)),IF(INDEX(Properties!A$1:CB$87,Formula!J63,52)=0,10^6,INDEX(Properties!A$1:CB$87,Formula!J63,52)))</f>
        <v>0.79300000000000004</v>
      </c>
      <c r="EU63" s="81">
        <f t="shared" si="24"/>
        <v>30.307000000000002</v>
      </c>
      <c r="EV63" s="39">
        <f>((Formula!C63)/(Formula!C63+Formula!E63+Formula!G63+Formula!I63+Formula!K63))*(INDEX(Properties!A$1:CB$87,Formula!B63,53))+((Formula!E63)/(Formula!C63+Formula!E63+Formula!G63+Formula!I63+Formula!K63))*(INDEX(Properties!A$1:CB$87,Formula!D63,53))+((Formula!G63)/(Formula!C63+Formula!E63+Formula!G63+Formula!I63+Formula!K63))*(INDEX(Properties!A$1:CB$87,Formula!F63,53))+((Formula!I63)/(Formula!C63+Formula!E63+Formula!G63+Formula!I63+Formula!K63))*(INDEX(Properties!A$1:CB$87,Formula!H63,53))+((Formula!K63)/(Formula!C63+Formula!E63+Formula!G63+Formula!I63+Formula!K63))*(INDEX(Properties!A$1:CB$87,Formula!J63,53))</f>
        <v>554.56904761904752</v>
      </c>
      <c r="EW63" s="39">
        <f>Formula!C63*(INDEX(Properties!A$1:CB$87,Formula!B63,53))+Formula!E63*(INDEX(Properties!A$1:CB$87,Formula!D63,53))+Formula!G63*(INDEX(Properties!A$1:CB$87,Formula!F63,53))+Formula!I63*(INDEX(Properties!A$1:CB$87,Formula!H63,53))+Formula!K63*(INDEX(Properties!A$1:CB$87,Formula!J63,53))</f>
        <v>11645.95</v>
      </c>
      <c r="EX63" s="39">
        <f>VARP(IF(INDEX(Properties!A$1:CB$87,Formula!B63,53)&lt;&gt;"",INDEX(Properties!A$1:CB$87,Formula!B63,53)),IF(INDEX(Properties!A$1:CB$87,Formula!D63,53)&lt;&gt;"",INDEX(Properties!A$1:CB$87,Formula!D63,53)),IF(INDEX(Properties!A$1:CB$87,Formula!F63,53)&lt;&gt;"",INDEX(Properties!A$1:CB$87,Formula!F63,53)),IF(INDEX(Properties!A$1:CB$87,Formula!H63,53)&lt;&gt;"",INDEX(Properties!A$1:CB$87,Formula!H63,53)),IF(INDEX(Properties!A$1:CB$87,Formula!J63,53)&lt;&gt;"",INDEX(Properties!A$1:CB$87,Formula!J63,53)))</f>
        <v>445396.55640000018</v>
      </c>
      <c r="EY63" s="39">
        <f>MAX(INDEX(Properties!A$1:CB$87,Formula!B63,53),INDEX(Properties!A$1:CB$87,Formula!D63,53),INDEX(Properties!A$1:CB$87,Formula!F63,53),INDEX(Properties!A$1:CB$87,Formula!H63,53),INDEX(Properties!A$1:CB$87,Formula!J63,53))</f>
        <v>1683.15</v>
      </c>
      <c r="EZ63" s="39">
        <f>MIN(IF(INDEX(Properties!A$1:CB$87,Formula!B63,53)=0,10^6,INDEX(Properties!A$1:CB$87,Formula!B63,53)),IF(INDEX(Properties!A$1:CB$87,Formula!D63,53)=0,10^6,INDEX(Properties!A$1:CB$87,Formula!D63,53)),IF(INDEX(Properties!A$1:CB$87,Formula!F63,53)=0,10^6,INDEX(Properties!A$1:CB$87,Formula!F63,53)),IF(INDEX(Properties!A$1:CB$87,Formula!H63,53)=0,10^6,INDEX(Properties!A$1:CB$87,Formula!H63,53)),IF(INDEX(Properties!A$1:CB$87,Formula!J63,53)=0,10^6,INDEX(Properties!A$1:CB$87,Formula!J63,53)))</f>
        <v>54.749999999999972</v>
      </c>
      <c r="FA63" s="39">
        <f t="shared" si="25"/>
        <v>1628.4</v>
      </c>
      <c r="FB63" s="54">
        <f>((Formula!C63)/(Formula!C63+Formula!E63+Formula!G63+Formula!I63+Formula!K63))*(INDEX(Properties!A$1:CB$87,Formula!B63,54))+((Formula!E63)/(Formula!C63+Formula!E63+Formula!G63+Formula!I63+Formula!K63))*(INDEX(Properties!A$1:CB$87,Formula!D63,54))+((Formula!G63)/(Formula!C63+Formula!E63+Formula!G63+Formula!I63+Formula!K63))*(INDEX(Properties!A$1:CB$87,Formula!F63,54))+((Formula!I63)/(Formula!C63+Formula!E63+Formula!G63+Formula!I63+Formula!K63))*(INDEX(Properties!A$1:CB$87,Formula!H63,54))+((Formula!K63)/(Formula!C63+Formula!E63+Formula!G63+Formula!I63+Formula!K63))*(INDEX(Properties!A$1:CB$87,Formula!J63,54))</f>
        <v>1224.8642857142856</v>
      </c>
      <c r="FC63" s="54">
        <f>Formula!C63*(INDEX(Properties!A$1:CB$87,Formula!B63,54))+Formula!E63*(INDEX(Properties!A$1:CB$87,Formula!D63,54))+Formula!G63*(INDEX(Properties!A$1:CB$87,Formula!F63,54))+Formula!I63*(INDEX(Properties!A$1:CB$87,Formula!H63,54))+Formula!K63*(INDEX(Properties!A$1:CB$87,Formula!J63,54))</f>
        <v>25722.15</v>
      </c>
      <c r="FD63" s="54">
        <f>VARP(IF(INDEX(Properties!A$1:CB$87,Formula!B63,54)&lt;&gt;"",INDEX(Properties!A$1:CB$87,Formula!B63,54)),IF(INDEX(Properties!A$1:CB$87,Formula!D63,54)&lt;&gt;"",INDEX(Properties!A$1:CB$87,Formula!D63,54)),IF(INDEX(Properties!A$1:CB$87,Formula!F63,54)&lt;&gt;"",INDEX(Properties!A$1:CB$87,Formula!F63,54)),IF(INDEX(Properties!A$1:CB$87,Formula!H63,54)&lt;&gt;"",INDEX(Properties!A$1:CB$87,Formula!H63,54)),IF(INDEX(Properties!A$1:CB$87,Formula!J63,54)&lt;&gt;"",INDEX(Properties!A$1:CB$87,Formula!J63,54)))</f>
        <v>2087598.6675999998</v>
      </c>
      <c r="FE63" s="54">
        <f>MAX(INDEX(Properties!A$1:CB$87,Formula!B63,54),INDEX(Properties!A$1:CB$87,Formula!D63,54),INDEX(Properties!A$1:CB$87,Formula!F63,54),INDEX(Properties!A$1:CB$87,Formula!H63,54),INDEX(Properties!A$1:CB$87,Formula!J63,54))</f>
        <v>3727.15</v>
      </c>
      <c r="FF63" s="54">
        <f>MIN(IF(INDEX(Properties!A$1:CB$87,Formula!B63,54)=0,10^6,INDEX(Properties!A$1:CB$87,Formula!B63,54)),IF(INDEX(Properties!A$1:CB$87,Formula!D63,54)=0,10^6,INDEX(Properties!A$1:CB$87,Formula!D63,54)),IF(INDEX(Properties!A$1:CB$87,Formula!F63,54)=0,10^6,INDEX(Properties!A$1:CB$87,Formula!F63,54)),IF(INDEX(Properties!A$1:CB$87,Formula!H63,54)=0,10^6,INDEX(Properties!A$1:CB$87,Formula!H63,54)),IF(INDEX(Properties!A$1:CB$87,Formula!J63,54)=0,10^6,INDEX(Properties!A$1:CB$87,Formula!J63,54)))</f>
        <v>90.149999999999977</v>
      </c>
      <c r="FG63" s="54">
        <f t="shared" si="26"/>
        <v>3637</v>
      </c>
      <c r="FH63" s="69">
        <f>((Formula!C63)/(Formula!C63+Formula!E63+Formula!G63+Formula!I63+Formula!K63))*(INDEX(Properties!A$1:CB$87,Formula!B63,55))+((Formula!E63)/(Formula!C63+Formula!E63+Formula!G63+Formula!I63+Formula!K63))*(INDEX(Properties!A$1:CB$87,Formula!D63,55))+((Formula!G63)/(Formula!C63+Formula!E63+Formula!G63+Formula!I63+Formula!K63))*(INDEX(Properties!A$1:CB$87,Formula!F63,55))+((Formula!I63)/(Formula!C63+Formula!E63+Formula!G63+Formula!I63+Formula!K63))*(INDEX(Properties!A$1:CB$87,Formula!H63,55))+((Formula!K63)/(Formula!C63+Formula!E63+Formula!G63+Formula!I63+Formula!K63))*(INDEX(Properties!A$1:CB$87,Formula!J63,55))</f>
        <v>1.578980476190476</v>
      </c>
      <c r="FI63" s="69">
        <f>Formula!C63*(INDEX(Properties!A$1:CB$87,Formula!B63,55))+Formula!E63*(INDEX(Properties!A$1:CB$87,Formula!D63,54))+Formula!G63*(INDEX(Properties!A$1:CB$87,Formula!F63,55))+Formula!I63*(INDEX(Properties!A$1:CB$87,Formula!H63,55))+Formula!K63*(INDEX(Properties!A$1:CB$87,Formula!J63,55))</f>
        <v>14917.158589999999</v>
      </c>
      <c r="FJ63" s="69">
        <f>VARP(IF(INDEX(Properties!A$1:CB$87,Formula!B63,55)&lt;&gt;"",INDEX(Properties!A$1:CB$87,Formula!B63,55)),IF(INDEX(Properties!A$1:CB$87,Formula!D63,55)&lt;&gt;"",INDEX(Properties!A$1:CB$87,Formula!D63,55)),IF(INDEX(Properties!A$1:CB$87,Formula!F63,55)&lt;&gt;"",INDEX(Properties!A$1:CB$87,Formula!F63,55)),IF(INDEX(Properties!A$1:CB$87,Formula!H63,55)&lt;&gt;"",INDEX(Properties!A$1:CB$87,Formula!H63,55)),IF(INDEX(Properties!A$1:CB$87,Formula!J63,55)&lt;&gt;"",INDEX(Properties!A$1:CB$87,Formula!J63,55)))</f>
        <v>5.1055968951840018</v>
      </c>
      <c r="FK63" s="69">
        <f>MAX(INDEX(Properties!A$1:CB$87,Formula!B63,55),INDEX(Properties!A$1:CB$87,Formula!D63,55),INDEX(Properties!A$1:CB$87,Formula!F63,55),INDEX(Properties!A$1:CB$87,Formula!H63,55),INDEX(Properties!A$1:CB$87,Formula!J63,55))</f>
        <v>6.15</v>
      </c>
      <c r="FL63" s="69">
        <f>MIN(IF(INDEX(Properties!A$1:CB$87,Formula!B63,55)=0,10^6,INDEX(Properties!A$1:CB$87,Formula!B63,55)),IF(INDEX(Properties!A$1:CB$87,Formula!D63,55)=0,10^6,INDEX(Properties!A$1:CB$87,Formula!D63,55)),IF(INDEX(Properties!A$1:CB$87,Formula!F63,55)=0,10^6,INDEX(Properties!A$1:CB$87,Formula!F63,55)),IF(INDEX(Properties!A$1:CB$87,Formula!H63,55)=0,10^6,INDEX(Properties!A$1:CB$87,Formula!H63,55)),IF(INDEX(Properties!A$1:CB$87,Formula!J63,55)=0,10^6,INDEX(Properties!A$1:CB$87,Formula!J63,55)))</f>
        <v>1.4300000000000001E-3</v>
      </c>
      <c r="FM63" s="69">
        <f t="shared" si="27"/>
        <v>6.1485700000000003</v>
      </c>
      <c r="FN63" s="42">
        <f>((Formula!C63)/(Formula!C63+Formula!E63+Formula!G63+Formula!I63+Formula!K63))*(INDEX(Properties!A$1:CB$87,Formula!B63,56))+((Formula!E63)/(Formula!C63+Formula!E63+Formula!G63+Formula!I63+Formula!K63))*(INDEX(Properties!A$1:CB$87,Formula!D63,56))+((Formula!G63)/(Formula!C63+Formula!E63+Formula!G63+Formula!I63+Formula!K63))*(INDEX(Properties!A$1:CB$87,Formula!F63,56))+((Formula!I63)/(Formula!C63+Formula!E63+Formula!G63+Formula!I63+Formula!K63))*(INDEX(Properties!A$1:CB$87,Formula!H63,56))+((Formula!K63)/(Formula!C63+Formula!E63+Formula!G63+Formula!I63+Formula!K63))*(INDEX(Properties!A$1:CB$87,Formula!J63,56))</f>
        <v>0.7371428571428571</v>
      </c>
      <c r="FO63" s="42">
        <f>Formula!C63*(INDEX(Properties!A$1:CB$87,Formula!B63,56))+Formula!E63*(INDEX(Properties!A$1:CB$87,Formula!D63,56))+Formula!G63*(INDEX(Properties!A$1:CB$87,Formula!F63,56))+Formula!I63*(INDEX(Properties!A$1:CB$87,Formula!H63,56))+Formula!K63*(INDEX(Properties!A$1:CB$87,Formula!J63,56))</f>
        <v>15.48</v>
      </c>
      <c r="FP63" s="42">
        <f>VARP(IF(INDEX(Properties!A$1:CB$87,Formula!B63,56)&lt;&gt;"",INDEX(Properties!A$1:CB$87,Formula!B63,56)),IF(INDEX(Properties!A$1:CB$87,Formula!D63,56)&lt;&gt;"",INDEX(Properties!A$1:CB$87,Formula!D63,56)),IF(INDEX(Properties!A$1:CB$87,Formula!F63,56)&lt;&gt;"",INDEX(Properties!A$1:CB$87,Formula!F63,56)),IF(INDEX(Properties!A$1:CB$87,Formula!H63,56)&lt;&gt;"",INDEX(Properties!A$1:CB$87,Formula!H63,56)),IF(INDEX(Properties!A$1:CB$87,Formula!J63,56)&lt;&gt;"",INDEX(Properties!A$1:CB$87,Formula!J63,56)))</f>
        <v>0.11659999999999997</v>
      </c>
      <c r="FQ63" s="42">
        <f>MAX(INDEX(Properties!A$1:CB$87,Formula!B63,56),INDEX(Properties!A$1:CB$87,Formula!D63,56),INDEX(Properties!A$1:CB$87,Formula!F63,56),INDEX(Properties!A$1:CB$87,Formula!H63,56),INDEX(Properties!A$1:CB$87,Formula!J63,56))</f>
        <v>0.92</v>
      </c>
      <c r="FR63" s="42">
        <f>MIN(IF(INDEX(Properties!A$1:CB$87,Formula!B63,56)=0,10^6,INDEX(Properties!A$1:CB$87,Formula!B63,56)),IF(INDEX(Properties!A$1:CB$87,Formula!D63,56)=0,10^6,INDEX(Properties!A$1:CB$87,Formula!D63,56)),IF(INDEX(Properties!A$1:CB$87,Formula!F63,56)=0,10^6,INDEX(Properties!A$1:CB$87,Formula!F63,56)),IF(INDEX(Properties!A$1:CB$87,Formula!H63,56)=0,10^6,INDEX(Properties!A$1:CB$87,Formula!H63,56)),IF(INDEX(Properties!A$1:CB$87,Formula!J63,56)=0,10^6,INDEX(Properties!A$1:CB$87,Formula!J63,56)))</f>
        <v>0.19</v>
      </c>
      <c r="FS63" s="42">
        <f t="shared" si="28"/>
        <v>0.73</v>
      </c>
      <c r="FT63" s="60">
        <f>((Formula!C63)/(Formula!C63+Formula!E63+Formula!G63+Formula!I63+Formula!K63))*(INDEX(Properties!A$1:CB$87,Formula!B63,57))+((Formula!E63)/(Formula!C63+Formula!E63+Formula!G63+Formula!I63+Formula!K63))*(INDEX(Properties!A$1:CB$87,Formula!D63,57))+((Formula!G63)/(Formula!C63+Formula!E63+Formula!G63+Formula!I63+Formula!K63))*(INDEX(Properties!A$1:CB$87,Formula!F63,57))+((Formula!I63)/(Formula!C63+Formula!E63+Formula!G63+Formula!I63+Formula!K63))*(INDEX(Properties!A$1:CB$87,Formula!H63,57))+((Formula!K63)/(Formula!C63+Formula!E63+Formula!G63+Formula!I63+Formula!K63))*(INDEX(Properties!A$1:CB$87,Formula!J63,57))</f>
        <v>8.9468414285714282</v>
      </c>
      <c r="FU63" s="60">
        <f>Formula!C63*(INDEX(Properties!A$1:CB$87,Formula!B63,57))+Formula!E63*(INDEX(Properties!A$1:CB$87,Formula!D63,57))+Formula!G63*(INDEX(Properties!A$1:CB$87,Formula!F63,57))+Formula!I63*(INDEX(Properties!A$1:CB$87,Formula!H63,57))+Formula!K63*(INDEX(Properties!A$1:CB$87,Formula!J63,57))</f>
        <v>187.88367</v>
      </c>
      <c r="FV63" s="60">
        <f>VARP(IF(INDEX(Properties!A$1:CB$87,Formula!B63,57)&lt;&gt;"",INDEX(Properties!A$1:CB$87,Formula!B63,57)),IF(INDEX(Properties!A$1:CB$87,Formula!D63,57)&lt;&gt;"",INDEX(Properties!A$1:CB$87,Formula!D63,57)),IF(INDEX(Properties!A$1:CB$87,Formula!F63,57)&lt;&gt;"",INDEX(Properties!A$1:CB$87,Formula!F63,57)),IF(INDEX(Properties!A$1:CB$87,Formula!H63,57)&lt;&gt;"",INDEX(Properties!A$1:CB$87,Formula!H63,57)),IF(INDEX(Properties!A$1:CB$87,Formula!J63,57)&lt;&gt;"",INDEX(Properties!A$1:CB$87,Formula!J63,57)))</f>
        <v>361.66875132129599</v>
      </c>
      <c r="FW63" s="60">
        <f>MAX(INDEX(Properties!A$1:CB$87,Formula!B63,57),INDEX(Properties!A$1:CB$87,Formula!D63,57),INDEX(Properties!A$1:CB$87,Formula!F63,57),INDEX(Properties!A$1:CB$87,Formula!H63,57),INDEX(Properties!A$1:CB$87,Formula!J63,57))</f>
        <v>50.55</v>
      </c>
      <c r="FX63" s="60">
        <f>MIN(IF(INDEX(Properties!A$1:CB$87,Formula!B63,57)=0,10^6,INDEX(Properties!A$1:CB$87,Formula!B63,57)),IF(INDEX(Properties!A$1:CB$87,Formula!D63,57)=0,10^6,INDEX(Properties!A$1:CB$87,Formula!D63,57)),IF(INDEX(Properties!A$1:CB$87,Formula!F63,57)=0,10^6,INDEX(Properties!A$1:CB$87,Formula!F63,57)),IF(INDEX(Properties!A$1:CB$87,Formula!H63,57)=0,10^6,INDEX(Properties!A$1:CB$87,Formula!H63,57)),IF(INDEX(Properties!A$1:CB$87,Formula!J63,57)=0,10^6,INDEX(Properties!A$1:CB$87,Formula!J63,57)))</f>
        <v>0.22259000000000001</v>
      </c>
      <c r="FY63" s="60">
        <f t="shared" si="29"/>
        <v>50.32741</v>
      </c>
      <c r="FZ63" s="72">
        <f>((Formula!C63)/(Formula!C63+Formula!E63+Formula!G63+Formula!I63+Formula!K63))*(INDEX(Properties!A$1:CB$87,Formula!B63,60))+((Formula!E63)/(Formula!C63+Formula!E63+Formula!G63+Formula!I63+Formula!K63))*(INDEX(Properties!A$1:CB$87,Formula!D63,60))+((Formula!G63)/(Formula!C63+Formula!E63+Formula!G63+Formula!I63+Formula!K63))*(INDEX(Properties!A$1:CB$87,Formula!F63,60))+((Formula!I63)/(Formula!C63+Formula!E63+Formula!G63+Formula!I63+Formula!K63))*(INDEX(Properties!A$1:CB$87,Formula!H63,60))+((Formula!K63)/(Formula!C63+Formula!E63+Formula!G63+Formula!I63+Formula!K63))*(INDEX(Properties!A$1:CB$87,Formula!J63,60))</f>
        <v>33.254648571428575</v>
      </c>
      <c r="GA63" s="72">
        <f>Formula!C63*(INDEX(Properties!A$1:CB$87,Formula!B63,60))+Formula!E63*(INDEX(Properties!A$1:CB$87,Formula!D63,60))+Formula!G63*(INDEX(Properties!A$1:CB$87,Formula!F63,60))+Formula!I63*(INDEX(Properties!A$1:CB$87,Formula!H63,60))+Formula!K63*(INDEX(Properties!A$1:CB$87,Formula!J63,60))</f>
        <v>698.34762000000001</v>
      </c>
      <c r="GB63" s="72">
        <f>VARP(IF(INDEX(Properties!A$1:CB$87,Formula!B63,60)&lt;&gt;"",INDEX(Properties!A$1:CB$87,Formula!B63,60)),IF(INDEX(Properties!A$1:CB$87,Formula!D63,60)&lt;&gt;"",INDEX(Properties!A$1:CB$87,Formula!D63,60)),IF(INDEX(Properties!A$1:CB$87,Formula!F63,60)&lt;&gt;"",INDEX(Properties!A$1:CB$87,Formula!F63,60)),IF(INDEX(Properties!A$1:CB$87,Formula!H63,60)&lt;&gt;"",INDEX(Properties!A$1:CB$87,Formula!H63,60)),IF(INDEX(Properties!A$1:CB$87,Formula!J63,60)&lt;&gt;"",INDEX(Properties!A$1:CB$87,Formula!J63,60)))</f>
        <v>7189.1867936044155</v>
      </c>
      <c r="GC63" s="72">
        <f>MAX(INDEX(Properties!A$1:CB$87,Formula!B63,60),INDEX(Properties!A$1:CB$87,Formula!D63,60),INDEX(Properties!A$1:CB$87,Formula!F63,60),INDEX(Properties!A$1:CB$87,Formula!H63,60),INDEX(Properties!A$1:CB$87,Formula!J63,60))</f>
        <v>200</v>
      </c>
      <c r="GD63" s="72">
        <f>MIN(IF(INDEX(Properties!A$1:CB$87,Formula!B63,60)=0,10^6,INDEX(Properties!A$1:CB$87,Formula!B63,60)),IF(INDEX(Properties!A$1:CB$87,Formula!D63,60)=0,10^6,INDEX(Properties!A$1:CB$87,Formula!D63,60)),IF(INDEX(Properties!A$1:CB$87,Formula!F63,60)=0,10^6,INDEX(Properties!A$1:CB$87,Formula!F63,60)),IF(INDEX(Properties!A$1:CB$87,Formula!H63,60)=0,10^6,INDEX(Properties!A$1:CB$87,Formula!H63,60)),IF(INDEX(Properties!A$1:CB$87,Formula!J63,60)=0,10^6,INDEX(Properties!A$1:CB$87,Formula!J63,60)))</f>
        <v>2.674E-2</v>
      </c>
      <c r="GE63" s="72">
        <f t="shared" si="30"/>
        <v>199.97326000000001</v>
      </c>
      <c r="GF63" s="51">
        <f>((Formula!C63)/(Formula!C63+Formula!E63+Formula!G63+Formula!I63+Formula!K63))*(INDEX(Properties!A$1:CB$87,Formula!B63,62))+((Formula!E63)/(Formula!C63+Formula!E63+Formula!G63+Formula!I63+Formula!K63))*(INDEX(Properties!A$1:CB$87,Formula!D63,62))+((Formula!G63)/(Formula!C63+Formula!E63+Formula!G63+Formula!I63+Formula!K63))*(INDEX(Properties!A$1:CB$87,Formula!F63,62))+((Formula!I63)/(Formula!C63+Formula!E63+Formula!G63+Formula!I63+Formula!K63))*(INDEX(Properties!A$1:CB$87,Formula!H63,62))+((Formula!K63)/(Formula!C63+Formula!E63+Formula!G63+Formula!I63+Formula!K63))*(INDEX(Properties!A$1:CB$87,Formula!J63,62))</f>
        <v>3.2223809523809521</v>
      </c>
      <c r="GG63" s="51">
        <f>Formula!C63*(INDEX(Properties!A$1:CB$87,Formula!B63,62))+Formula!E63*(INDEX(Properties!A$1:CB$87,Formula!D63,62))+Formula!G63*(INDEX(Properties!A$1:CB$87,Formula!F63,62))+Formula!I63*(INDEX(Properties!A$1:CB$87,Formula!H63,62))+Formula!K63*(INDEX(Properties!A$1:CB$87,Formula!J63,62))</f>
        <v>67.67</v>
      </c>
      <c r="GH63" s="51">
        <f>VARP(IF(INDEX(Properties!A$1:CB$87,Formula!B63,62)&lt;&gt;"",INDEX(Properties!A$1:CB$87,Formula!B63,62)),IF(INDEX(Properties!A$1:CB$87,Formula!D63,62)&lt;&gt;"",INDEX(Properties!A$1:CB$87,Formula!D63,62)),IF(INDEX(Properties!A$1:CB$87,Formula!F63,62)&lt;&gt;"",INDEX(Properties!A$1:CB$87,Formula!F63,62)),IF(INDEX(Properties!A$1:CB$87,Formula!H63,62)&lt;&gt;"",INDEX(Properties!A$1:CB$87,Formula!H63,62)),IF(INDEX(Properties!A$1:CB$87,Formula!J63,62)&lt;&gt;"",INDEX(Properties!A$1:CB$87,Formula!J63,62)))</f>
        <v>2.9786160000000019</v>
      </c>
      <c r="GI63" s="51">
        <f>MAX(INDEX(Properties!A$1:CB$87,Formula!B63,62),INDEX(Properties!A$1:CB$87,Formula!D63,62),INDEX(Properties!A$1:CB$87,Formula!F63,62),INDEX(Properties!A$1:CB$87,Formula!H63,62),INDEX(Properties!A$1:CB$87,Formula!J63,62))</f>
        <v>4.63</v>
      </c>
      <c r="GJ63" s="51">
        <f>MIN(IF(INDEX(Properties!A$1:CB$87,Formula!B63,62)=0,10^6,INDEX(Properties!A$1:CB$87,Formula!B63,62)),IF(INDEX(Properties!A$1:CB$87,Formula!D63,62)=0,10^6,INDEX(Properties!A$1:CB$87,Formula!D63,62)),IF(INDEX(Properties!A$1:CB$87,Formula!F63,62)=0,10^6,INDEX(Properties!A$1:CB$87,Formula!F63,62)),IF(INDEX(Properties!A$1:CB$87,Formula!H63,62)=0,10^6,INDEX(Properties!A$1:CB$87,Formula!H63,62)),IF(INDEX(Properties!A$1:CB$87,Formula!J63,62)=0,10^6,INDEX(Properties!A$1:CB$87,Formula!J63,62)))</f>
        <v>1.84</v>
      </c>
      <c r="GK63" s="51">
        <f t="shared" si="31"/>
        <v>2.79</v>
      </c>
      <c r="GL63" s="51">
        <f>Formula!P63</f>
        <v>176</v>
      </c>
      <c r="GM63" s="57">
        <f>Formula!O63</f>
        <v>6</v>
      </c>
      <c r="GN63" s="51">
        <f>Formula!N63</f>
        <v>0.04</v>
      </c>
    </row>
    <row r="64" spans="1:196" x14ac:dyDescent="0.3">
      <c r="A64" s="84" t="str">
        <f>Formula!A64</f>
        <v>LiYGeO4</v>
      </c>
      <c r="B64" s="89">
        <f>((Formula!C64)/(Formula!C64+Formula!E64+Formula!G64+Formula!I64+Formula!K64))*(INDEX(Properties!A$1:CB$87,Formula!B64,3))+((Formula!E64)/(Formula!C64+Formula!E64+Formula!G64+Formula!I64+Formula!K64))*(INDEX(Properties!A$1:CB$87,Formula!D64,3))+((Formula!G64)/(Formula!C64+Formula!E64+Formula!G64+Formula!I64+Formula!K64))*(INDEX(Properties!A$1:CB$87,Formula!F64,3))+((Formula!I64)/(Formula!C64+Formula!E64+Formula!G64+Formula!I64+Formula!K64))*(INDEX(Properties!A$1:CB$87,Formula!H64,3))+((Formula!K64)/(Formula!C64+Formula!E64+Formula!G64+Formula!I64+Formula!K64))*(INDEX(Properties!A$1:CB$87,Formula!J64,3))</f>
        <v>33.210634285714278</v>
      </c>
      <c r="C64" s="85">
        <f>Formula!C64*(INDEX(Properties!A$1:CB$87,Formula!B64,3))+Formula!E64*(INDEX(Properties!A$1:CB$87,Formula!D64,3))+Formula!G64*(INDEX(Properties!A$1:CB$87,Formula!F64,3))+Formula!I64*(INDEX(Properties!A$1:CB$87,Formula!H64,3))+Formula!K64*(INDEX(Properties!A$1:CB$87,Formula!J64,3))</f>
        <v>232.47443999999999</v>
      </c>
      <c r="D64" s="85">
        <f>VARP(IF(INDEX(Properties!A$1:CB$87,Formula!B64,3)&lt;&gt;"",INDEX(Properties!A$1:CB$87,Formula!B64,3)),IF(INDEX(Properties!A$1:CB$87,Formula!D64,3)&lt;&gt;"",INDEX(Properties!A$1:CB$87,Formula!D64,3)),IF(INDEX(Properties!A$1:CB$87,Formula!F64,3)&lt;&gt;"",INDEX(Properties!A$1:CB$87,Formula!F64,3)),IF(INDEX(Properties!A$1:CB$87,Formula!H64,3)&lt;&gt;"",INDEX(Properties!A$1:CB$87,Formula!H64,3)),IF(INDEX(Properties!A$1:CB$87,Formula!J64,3)&lt;&gt;"",INDEX(Properties!A$1:CB$87,Formula!J64,3)))</f>
        <v>1335.4453885116154</v>
      </c>
      <c r="E64" s="85">
        <f>MAX(INDEX(Properties!A$1:CB$87,Formula!B64,3),INDEX(Properties!A$1:CB$87,Formula!D64,3),INDEX(Properties!A$1:CB$87,Formula!F64,3),INDEX(Properties!A$1:CB$87,Formula!H64,3),INDEX(Properties!A$1:CB$87,Formula!J64,3))</f>
        <v>88.905839999999998</v>
      </c>
      <c r="F64" s="85">
        <f>MIN(IF(INDEX(Properties!A$1:CB$87,Formula!B64,3)=0,10^6,INDEX(Properties!A$1:CB$87,Formula!B64,3)),IF(INDEX(Properties!A$1:CB$87,Formula!D64,3)=0,10^6,INDEX(Properties!A$1:CB$87,Formula!D64,3)),IF(INDEX(Properties!A$1:CB$87,Formula!F64,3)=0,10^6,INDEX(Properties!A$1:CB$87,Formula!F64,3)),IF(INDEX(Properties!A$1:CB$87,Formula!H64,3)=0,10^6,INDEX(Properties!A$1:CB$87,Formula!H64,3)),IF(INDEX(Properties!A$1:CB$87,Formula!J64,3)=0,10^6,INDEX(Properties!A$1:CB$87,Formula!J64,3)))</f>
        <v>6.9409999999999998</v>
      </c>
      <c r="G64" s="85">
        <f t="shared" si="0"/>
        <v>81.964839999999995</v>
      </c>
      <c r="H64" s="87">
        <f>((Formula!C64)/(Formula!C64+Formula!E64+Formula!G64+Formula!I64+Formula!K64))*(INDEX(Properties!A$1:CB$87,Formula!B64,4))+((Formula!E64)/(Formula!C64+Formula!E64+Formula!G64+Formula!I64+Formula!K64))*(INDEX(Properties!A$1:CB$87,Formula!D64,4))+((Formula!G64)/(Formula!C64+Formula!E64+Formula!G64+Formula!I64+Formula!K64))*(INDEX(Properties!A$1:CB$87,Formula!F64,4))+((Formula!I64)/(Formula!C64+Formula!E64+Formula!G64+Formula!I64+Formula!K64))*(INDEX(Properties!A$1:CB$87,Formula!H64,4))+((Formula!K64)/(Formula!C64+Formula!E64+Formula!G64+Formula!I64+Formula!K64))*(INDEX(Properties!A$1:CB$87,Formula!J64,4))</f>
        <v>15.142857142857142</v>
      </c>
      <c r="I64" s="87">
        <f>Formula!C64*(INDEX(Properties!A$1:CB$87,Formula!B64,4))+Formula!E64*(INDEX(Properties!A$1:CB$87,Formula!D64,4))+Formula!G64*(INDEX(Properties!A$1:CB$87,Formula!F64,4))+Formula!I64*(INDEX(Properties!A$1:CB$87,Formula!H64,4))+Formula!K64*(INDEX(Properties!A$1:CB$87,Formula!J64,4))</f>
        <v>106</v>
      </c>
      <c r="J64" s="87">
        <f>VARP(IF(INDEX(Properties!A$1:CB$87,Formula!B64,4)&lt;&gt;"",INDEX(Properties!A$1:CB$87,Formula!B64,4)),IF(INDEX(Properties!A$1:CB$87,Formula!D64,4)&lt;&gt;"",INDEX(Properties!A$1:CB$87,Formula!D64,4)),IF(INDEX(Properties!A$1:CB$87,Formula!F64,4)&lt;&gt;"",INDEX(Properties!A$1:CB$87,Formula!F64,4)),IF(INDEX(Properties!A$1:CB$87,Formula!H64,4)&lt;&gt;"",INDEX(Properties!A$1:CB$87,Formula!H64,4)),IF(INDEX(Properties!A$1:CB$87,Formula!J64,4)&lt;&gt;"",INDEX(Properties!A$1:CB$87,Formula!J64,4)))</f>
        <v>254.64</v>
      </c>
      <c r="K64" s="87">
        <f>MAX(INDEX(Properties!A$1:CB$87,Formula!B64,4),INDEX(Properties!A$1:CB$87,Formula!D64,4),INDEX(Properties!A$1:CB$87,Formula!F64,4),INDEX(Properties!A$1:CB$87,Formula!H64,4),INDEX(Properties!A$1:CB$87,Formula!J64,4))</f>
        <v>39</v>
      </c>
      <c r="L64" s="87">
        <f>MIN(IF(INDEX(Properties!A$1:CB$87,Formula!B64,4)=0,10^6,INDEX(Properties!A$1:CB$87,Formula!B64,4)),IF(INDEX(Properties!A$1:CB$87,Formula!D64,4)=0,10^6,INDEX(Properties!A$1:CB$87,Formula!D64,4)),IF(INDEX(Properties!A$1:CB$87,Formula!F64,4)=0,10^6,INDEX(Properties!A$1:CB$87,Formula!F64,4)),IF(INDEX(Properties!A$1:CB$87,Formula!H64,4)=0,10^6,INDEX(Properties!A$1:CB$87,Formula!H64,4)),IF(INDEX(Properties!A$1:CB$87,Formula!J64,4)=0,10^6,INDEX(Properties!A$1:CB$87,Formula!J64,4)))</f>
        <v>3</v>
      </c>
      <c r="M64" s="87">
        <f t="shared" si="1"/>
        <v>36</v>
      </c>
      <c r="N64" s="89">
        <f>((Formula!C64)/(Formula!C64+Formula!E64+Formula!G64+Formula!I64+Formula!K64))*(INDEX(Properties!A$1:CB$87,Formula!B64,5))+((Formula!E64)/(Formula!C64+Formula!E64+Formula!G64+Formula!I64+Formula!K64))*(INDEX(Properties!A$1:CB$87,Formula!D64,5))+((Formula!G64)/(Formula!C64+Formula!E64+Formula!G64+Formula!I64+Formula!K64))*(INDEX(Properties!A$1:CB$87,Formula!F64,5))+((Formula!I64)/(Formula!C64+Formula!E64+Formula!G64+Formula!I64+Formula!K64))*(INDEX(Properties!A$1:CB$87,Formula!H64,5))+((Formula!K64)/(Formula!C64+Formula!E64+Formula!G64+Formula!I64+Formula!K64))*(INDEX(Properties!A$1:CB$87,Formula!J64,5))</f>
        <v>2.714285714285714</v>
      </c>
      <c r="O64" s="89">
        <f>Formula!C64*(INDEX(Properties!A$1:CB$87,Formula!B64,5))+Formula!E64*(INDEX(Properties!A$1:CB$87,Formula!D64,5))+Formula!G64*(INDEX(Properties!A$1:CB$87,Formula!F64,5))+Formula!I64*(INDEX(Properties!A$1:CB$87,Formula!H64,5))+Formula!K64*(INDEX(Properties!A$1:CB$87,Formula!J64,5))</f>
        <v>19</v>
      </c>
      <c r="P64" s="89">
        <f>VARP(IF(INDEX(Properties!A$1:CB$87,Formula!B64,5)&lt;&gt;"",INDEX(Properties!A$1:CB$87,Formula!B64,5)),IF(INDEX(Properties!A$1:CB$87,Formula!D64,5)&lt;&gt;"",INDEX(Properties!A$1:CB$87,Formula!D64,5)),IF(INDEX(Properties!A$1:CB$87,Formula!F64,5)&lt;&gt;"",INDEX(Properties!A$1:CB$87,Formula!F64,5)),IF(INDEX(Properties!A$1:CB$87,Formula!H64,5)&lt;&gt;"",INDEX(Properties!A$1:CB$87,Formula!H64,5)),IF(INDEX(Properties!A$1:CB$87,Formula!J64,5)&lt;&gt;"",INDEX(Properties!A$1:CB$87,Formula!J64,5)))</f>
        <v>3.04</v>
      </c>
      <c r="Q64" s="89">
        <f>MAX(INDEX(Properties!A$1:CB$87,Formula!B64,5),INDEX(Properties!A$1:CB$87,Formula!D64,5),INDEX(Properties!A$1:CB$87,Formula!F64,5),INDEX(Properties!A$1:CB$87,Formula!H64,5),INDEX(Properties!A$1:CB$87,Formula!J64,5))</f>
        <v>5</v>
      </c>
      <c r="R64" s="89">
        <f>MIN(IF(INDEX(Properties!A$1:CB$87,Formula!B64,5)=0,10^6,INDEX(Properties!A$1:CB$87,Formula!B64,5)),IF(INDEX(Properties!A$1:CB$87,Formula!D64,5)=0,10^6,INDEX(Properties!A$1:CB$87,Formula!D64,5)),IF(INDEX(Properties!A$1:CB$87,Formula!F64,5)=0,10^6,INDEX(Properties!A$1:CB$87,Formula!F64,5)),IF(INDEX(Properties!A$1:CB$87,Formula!H64,5)=0,10^6,INDEX(Properties!A$1:CB$87,Formula!H64,5)),IF(INDEX(Properties!A$1:CB$87,Formula!J64,5)=0,10^6,INDEX(Properties!A$1:CB$87,Formula!J64,5)))</f>
        <v>2</v>
      </c>
      <c r="S64" s="89">
        <f t="shared" si="2"/>
        <v>3</v>
      </c>
      <c r="T64" s="60">
        <f>((Formula!C64)/(Formula!C64+Formula!E64+Formula!G64+Formula!I64+Formula!K64))*(INDEX(Properties!A$1:CB$87,Formula!B64,6))+((Formula!E64)/(Formula!C64+Formula!E64+Formula!G64+Formula!I64+Formula!K64))*(INDEX(Properties!A$1:CB$87,Formula!D64,6))+((Formula!G64)/(Formula!C64+Formula!E64+Formula!G64+Formula!I64+Formula!K64))*(INDEX(Properties!A$1:CB$87,Formula!F64,6))+((Formula!I64)/(Formula!C64+Formula!E64+Formula!G64+Formula!I64+Formula!K64))*(INDEX(Properties!A$1:CB$87,Formula!H64,6))+((Formula!K64)/(Formula!C64+Formula!E64+Formula!G64+Formula!I64+Formula!K64))*(INDEX(Properties!A$1:CB$87,Formula!J64,6))</f>
        <v>11.714285714285714</v>
      </c>
      <c r="U64" s="60">
        <f>Formula!C64*(INDEX(Properties!A$1:CB$87,Formula!B64,6))+Formula!E64*(INDEX(Properties!A$1:CB$87,Formula!D64,6))+Formula!G64*(INDEX(Properties!A$1:CB$87,Formula!F64,6))+Formula!I64*(INDEX(Properties!A$1:CB$87,Formula!H64,6))+Formula!K64*(INDEX(Properties!A$1:CB$87,Formula!J64,6))</f>
        <v>82</v>
      </c>
      <c r="V64" s="89">
        <f>VARP(IF(INDEX(Properties!A$1:CB$87,Formula!B64,6)&lt;&gt;"",INDEX(Properties!A$1:CB$87,Formula!B64,6)),IF(INDEX(Properties!A$1:CB$87,Formula!D64,6)&lt;&gt;"",INDEX(Properties!A$1:CB$87,Formula!D64,6)),IF(INDEX(Properties!A$1:CB$87,Formula!F64,6)&lt;&gt;"",INDEX(Properties!A$1:CB$87,Formula!F64,6)),IF(INDEX(Properties!A$1:CB$87,Formula!H64,6)&lt;&gt;"",INDEX(Properties!A$1:CB$87,Formula!H64,6)),IF(INDEX(Properties!A$1:CB$87,Formula!J64,6)&lt;&gt;"",INDEX(Properties!A$1:CB$87,Formula!J64,6)))</f>
        <v>46.16</v>
      </c>
      <c r="W64" s="60">
        <f>MAX(INDEX(Properties!A$1:CB$87,Formula!B64,6),INDEX(Properties!A$1:CB$87,Formula!D64,6),INDEX(Properties!A$1:CB$87,Formula!F64,6),INDEX(Properties!A$1:CB$87,Formula!H64,4),INDEX(Properties!A$1:CB$87,Formula!J64,6))</f>
        <v>14</v>
      </c>
      <c r="X64" s="60">
        <f>MIN(IF(INDEX(Properties!A$1:CB$87,Formula!B64,6)=0,10^6,INDEX(Properties!A$1:CB$87,Formula!B64,6)),IF(INDEX(Properties!A$1:CB$87,Formula!D64,6)=0,10^6,INDEX(Properties!A$1:CB$87,Formula!D64,6)),IF(INDEX(Properties!A$1:CB$87,Formula!F64,6)=0,10^6,INDEX(Properties!A$1:CB$87,Formula!F64,6)),IF(INDEX(Properties!A$1:CB$87,Formula!H64,6)=0,10^6,INDEX(Properties!A$1:CB$87,Formula!H64,6)),IF(INDEX(Properties!A$1:CB$87,Formula!J64,6)=0,10^6,INDEX(Properties!A$1:CB$87,Formula!J64,6)))</f>
        <v>1</v>
      </c>
      <c r="Y64" s="60">
        <f t="shared" si="3"/>
        <v>13</v>
      </c>
      <c r="Z64" s="72">
        <f>((Formula!C64)/(Formula!C64+Formula!E64+Formula!G64+Formula!I64+Formula!K64))*(INDEX(Properties!A$1:CB$87,Formula!B64,9))+((Formula!E64)/(Formula!C64+Formula!E64+Formula!G64+Formula!I64+Formula!K64))*(INDEX(Properties!A$1:CB$87,Formula!D64,9))+((Formula!G64)/(Formula!C64+Formula!E64+Formula!G64+Formula!I64+Formula!K64))*(INDEX(Properties!A$1:CB$87,Formula!F64,9))+((Formula!I64)/(Formula!C64+Formula!E64+Formula!G64+Formula!I64+Formula!K64))*(INDEX(Properties!A$1:CB$87,Formula!H64,9))+((Formula!K64)/(Formula!C64+Formula!E64+Formula!G64+Formula!I64+Formula!K64))*(INDEX(Properties!A$1:CB$87,Formula!J64,9))</f>
        <v>62.857142857142847</v>
      </c>
      <c r="AA64" s="72">
        <f>Formula!C64*(INDEX(Properties!A$1:CB$87,Formula!B64,9))+Formula!E64*(INDEX(Properties!A$1:CB$87,Formula!D64,9))+Formula!G64*(INDEX(Properties!A$1:CB$87,Formula!F64,9))+Formula!I64*(INDEX(Properties!A$1:CB$87,Formula!H64,9))+Formula!K64*(INDEX(Properties!A$1:CB$87,Formula!J64,9))</f>
        <v>440</v>
      </c>
      <c r="AB64" s="72">
        <f>VARP(IF(INDEX(Properties!A$1:CB$87,Formula!B64,9)&lt;&gt;"",INDEX(Properties!A$1:CB$87,Formula!B64,9)),IF(INDEX(Properties!A$1:CB$87,Formula!D64,9)&lt;&gt;"",INDEX(Properties!A$1:CB$87,Formula!D64,9)),IF(INDEX(Properties!A$1:CB$87,Formula!F64,9)&lt;&gt;"",INDEX(Properties!A$1:CB$87,Formula!F64,9)),IF(INDEX(Properties!A$1:CB$87,Formula!H64,9)&lt;&gt;"",INDEX(Properties!A$1:CB$87,Formula!H64,9)),IF(INDEX(Properties!A$1:CB$87,Formula!J64,9)&lt;&gt;"",INDEX(Properties!A$1:CB$87,Formula!J64,9)))</f>
        <v>1509.36</v>
      </c>
      <c r="AC64" s="72">
        <f>MAX(INDEX(Properties!A$1:CB$87,Formula!B64,9),INDEX(Properties!A$1:CB$87,Formula!D64,9),INDEX(Properties!A$1:CB$87,Formula!F64,9),INDEX(Properties!A$1:CB$87,Formula!H64,9),INDEX(Properties!A$1:CB$87,Formula!J64,9))</f>
        <v>87</v>
      </c>
      <c r="AD64" s="72">
        <f>MIN(IF(INDEX(Properties!A$1:CB$87,Formula!B64,9)=0,10^6,INDEX(Properties!A$1:CB$87,Formula!B64,9)),IF(INDEX(Properties!A$1:CB$87,Formula!D64,9)=0,10^6,INDEX(Properties!A$1:CB$87,Formula!D64,9)),IF(INDEX(Properties!A$1:CB$87,Formula!F64,9)=0,10^6,INDEX(Properties!A$1:CB$87,Formula!F64,9)),IF(INDEX(Properties!A$1:CB$87,Formula!H64,9)=0,10^6,INDEX(Properties!A$1:CB$87,Formula!H64,9)),IF(INDEX(Properties!A$1:CB$87,Formula!J64,9)=0,10^6,INDEX(Properties!A$1:CB$87,Formula!J64,9)))</f>
        <v>1</v>
      </c>
      <c r="AE64" s="72">
        <f t="shared" si="4"/>
        <v>86</v>
      </c>
      <c r="AF64" s="51">
        <f>((Formula!C64)/(Formula!C64+Formula!E64+Formula!G64+Formula!I64+Formula!K64))*(INDEX(Properties!A$1:CB$87,Formula!B64,10))+((Formula!E64)/(Formula!C64+Formula!E64+Formula!G64+Formula!I64+Formula!K64))*(INDEX(Properties!A$1:CB$87,Formula!D64,10))+((Formula!G64)/(Formula!C64+Formula!E64+Formula!G64+Formula!I64+Formula!K64))*(INDEX(Properties!A$1:CB$87,Formula!F64,10))+((Formula!I64)/(Formula!C64+Formula!E64+Formula!G64+Formula!I64+Formula!K64))*(INDEX(Properties!A$1:CB$87,Formula!H64,10))+((Formula!K64)/(Formula!C64+Formula!E64+Formula!G64+Formula!I64+Formula!K64))*(INDEX(Properties!A$1:CB$87,Formula!J64,10))</f>
        <v>5.4285714285714288</v>
      </c>
      <c r="AG64" s="51">
        <f>Formula!C64*(INDEX(Properties!A$1:CB$87,Formula!B64,10))+Formula!E64*(INDEX(Properties!A$1:CB$87,Formula!D64,10))+Formula!G64*(INDEX(Properties!A$1:CB$87,Formula!F64,10))+Formula!I64*(INDEX(Properties!A$1:CB$87,Formula!H64,10))+Formula!K64*(INDEX(Properties!A$1:CB$87,Formula!J64,10))</f>
        <v>38</v>
      </c>
      <c r="AH64" s="51">
        <f>VARP(IF(INDEX(Properties!A$1:CB$87,Formula!B64,10)&lt;&gt;"",INDEX(Properties!A$1:CB$87,Formula!B64,10)),IF(INDEX(Properties!A$1:CB$87,Formula!D64,10)&lt;&gt;"",INDEX(Properties!A$1:CB$87,Formula!D64,10)),IF(INDEX(Properties!A$1:CB$87,Formula!F64,10)&lt;&gt;"",INDEX(Properties!A$1:CB$87,Formula!F64,10)),IF(INDEX(Properties!A$1:CB$87,Formula!H64,10)&lt;&gt;"",INDEX(Properties!A$1:CB$87,Formula!H64,10)),IF(INDEX(Properties!A$1:CB$87,Formula!J64,10)&lt;&gt;"",INDEX(Properties!A$1:CB$87,Formula!J64,10)))</f>
        <v>7.44</v>
      </c>
      <c r="AI64" s="51">
        <f>MAX(INDEX(Properties!A$1:CB$87,Formula!B64,10),INDEX(Properties!A$1:CB$87,Formula!D64,10),INDEX(Properties!A$1:CB$87,Formula!F64,10),INDEX(Properties!A$1:CB$87,Formula!H64,10),INDEX(Properties!A$1:CB$87,Formula!J64,10))</f>
        <v>7</v>
      </c>
      <c r="AJ64" s="51">
        <f>MIN(IF(INDEX(Properties!A$1:CB$87,Formula!B64,10)=0,10^6,INDEX(Properties!A$1:CB$87,Formula!B64,10)),IF(INDEX(Properties!A$1:CB$87,Formula!D64,10)=0,10^6,INDEX(Properties!A$1:CB$87,Formula!D64,10)),IF(INDEX(Properties!A$1:CB$87,Formula!F64,10)=0,10^6,INDEX(Properties!A$1:CB$87,Formula!F64,10)),IF(INDEX(Properties!A$1:CB$87,Formula!H64,10)=0,10^6,INDEX(Properties!A$1:CB$87,Formula!H64,10)),IF(INDEX(Properties!A$1:CB$87,Formula!J64,10)=0,10^6,INDEX(Properties!A$1:CB$87,Formula!J64,10)))</f>
        <v>1</v>
      </c>
      <c r="AK64" s="51">
        <f t="shared" si="5"/>
        <v>6</v>
      </c>
      <c r="AL64" s="57">
        <f>((Formula!C64)/(Formula!C64+Formula!E64+Formula!G64+Formula!I64+Formula!K64))*(INDEX(Properties!A$1:CB$87,Formula!B64,11))+((Formula!E64)/(Formula!C64+Formula!E64+Formula!G64+Formula!I64+Formula!K64))*(INDEX(Properties!A$1:CB$87,Formula!D64,11))+((Formula!G64)/(Formula!C64+Formula!E64+Formula!G64+Formula!I64+Formula!K64))*(INDEX(Properties!A$1:CB$87,Formula!F64,11))+((Formula!I64)/(Formula!C64+Formula!E64+Formula!G64+Formula!I64+Formula!K64))*(INDEX(Properties!A$1:CB$87,Formula!H64,11))+((Formula!K64)/(Formula!C64+Formula!E64+Formula!G64+Formula!I64+Formula!K64))*(INDEX(Properties!A$1:CB$87,Formula!J64,11))</f>
        <v>1.857142857142857</v>
      </c>
      <c r="AM64" s="57">
        <f>Formula!C64*(INDEX(Properties!A$1:CB$87,Formula!B64,11))+Formula!E64*(INDEX(Properties!A$1:CB$87,Formula!D64,11))+Formula!G64*(INDEX(Properties!A$1:CB$87,Formula!F64,11))+Formula!I64*(INDEX(Properties!A$1:CB$87,Formula!H64,11))+Formula!K64*(INDEX(Properties!A$1:CB$87,Formula!J64,11))</f>
        <v>13</v>
      </c>
      <c r="AN64" s="57">
        <f>VARP(IF(INDEX(Properties!A$1:CB$87,Formula!B64,11)&lt;&gt;"",INDEX(Properties!A$1:CB$87,Formula!B64,11)),IF(INDEX(Properties!A$1:CB$87,Formula!D64,11)&lt;&gt;"",INDEX(Properties!A$1:CB$87,Formula!D64,11)),IF(INDEX(Properties!A$1:CB$87,Formula!F64,11)&lt;&gt;"",INDEX(Properties!A$1:CB$87,Formula!F64,11)),IF(INDEX(Properties!A$1:CB$87,Formula!H64,11)&lt;&gt;"",INDEX(Properties!A$1:CB$87,Formula!H64,11)),IF(INDEX(Properties!A$1:CB$87,Formula!J64,11)&lt;&gt;"",INDEX(Properties!A$1:CB$87,Formula!J64,11)))</f>
        <v>0.64</v>
      </c>
      <c r="AO64" s="57">
        <f>MAX(INDEX(Properties!A$1:CB$87,Formula!B64,11),INDEX(Properties!A$1:CB$87,Formula!D64,11),INDEX(Properties!A$1:CB$87,Formula!F64,11),INDEX(Properties!A$1:CB$87,Formula!H64,11),INDEX(Properties!A$1:CB$87,Formula!J64,11))</f>
        <v>2</v>
      </c>
      <c r="AP64" s="57">
        <f>MIN(IF(Formula!B64=87,10^6,INDEX(Properties!A$1:CB$87,Formula!B64,11)),IF((Formula!D64)=87,10^6,INDEX(Properties!A$1:CB$87,Formula!D64,11)),IF((Formula!F64)=87,10^6,INDEX(Properties!A$1:CB$87,Formula!F64,11)),IF((Formula!H64)=87,10^6,INDEX(Properties!A$1:CB$87,Formula!H64,11)),IF(Formula!J64=87,10^6,INDEX(Properties!A$1:CB$87,Formula!J64,11)))</f>
        <v>1</v>
      </c>
      <c r="AQ64" s="57">
        <f t="shared" si="6"/>
        <v>1</v>
      </c>
      <c r="AR64" s="78">
        <f>((Formula!C64)/(Formula!C64+Formula!E64+Formula!G64+Formula!I64+Formula!K64))*(INDEX(Properties!A$1:CB$87,Formula!B64,12))+((Formula!E64)/(Formula!C64+Formula!E64+Formula!G64+Formula!I64+Formula!K64))*(INDEX(Properties!A$1:CB$87,Formula!D64,12))+((Formula!G64)/(Formula!C64+Formula!E64+Formula!G64+Formula!I64+Formula!K64))*(INDEX(Properties!A$1:CB$87,Formula!F64,12))+((Formula!I64)/(Formula!C64+Formula!E64+Formula!G64+Formula!I64+Formula!K64))*(INDEX(Properties!A$1:CB$87,Formula!H64,12))+((Formula!K64)/(Formula!C64+Formula!E64+Formula!G64+Formula!I64+Formula!K64))*(INDEX(Properties!A$1:CB$87,Formula!J64,12))</f>
        <v>2.5714285714285712</v>
      </c>
      <c r="AS64" s="78">
        <f>Formula!C64*(INDEX(Properties!A$1:CB$87,Formula!B64,12))+Formula!E64*(INDEX(Properties!A$1:CB$87,Formula!D64,12))+Formula!G64*(INDEX(Properties!A$1:CB$87,Formula!F64,12))+Formula!I64*(INDEX(Properties!A$1:CB$87,Formula!H64,12))+Formula!K64*(INDEX(Properties!A$1:CB$87,Formula!J64,12))</f>
        <v>18</v>
      </c>
      <c r="AT64" s="78">
        <f>VARP(IF(INDEX(Properties!A$1:CB$87,Formula!B64,12)&lt;&gt;"",INDEX(Properties!A$1:CB$87,Formula!B64,12)),IF(INDEX(Properties!A$1:CB$87,Formula!D64,12)&lt;&gt;"",INDEX(Properties!A$1:CB$87,Formula!D64,12)),IF(INDEX(Properties!A$1:CB$87,Formula!F64,12)&lt;&gt;"",INDEX(Properties!A$1:CB$87,Formula!F64,12)),IF(INDEX(Properties!A$1:CB$87,Formula!H64,12)&lt;&gt;"",INDEX(Properties!A$1:CB$87,Formula!H64,12)),IF(INDEX(Properties!A$1:CB$87,Formula!J64,12)&lt;&gt;"",INDEX(Properties!A$1:CB$87,Formula!J64,12)))</f>
        <v>2.56</v>
      </c>
      <c r="AU64" s="78">
        <f>MAX(INDEX(Properties!A$1:CB$87,Formula!B64,12),INDEX(Properties!A$1:CB$87,Formula!D64,12),INDEX(Properties!A$1:CB$87,Formula!F64,12),INDEX(Properties!A$1:CB$87,Formula!H64,12),INDEX(Properties!A$1:CB$87,Formula!J64,12))</f>
        <v>4</v>
      </c>
      <c r="AV64" s="78">
        <f>MIN(IF(Formula!B64=87,10^6,INDEX(Properties!A$1:CB$87,Formula!B64,12)),IF((Formula!D64)=87,10^6,INDEX(Properties!A$1:CB$87,Formula!D64,12)),IF((Formula!F64)=87,10^6,INDEX(Properties!A$1:CB$87,Formula!F64,12)),IF((Formula!H64)=87,10^6,INDEX(Properties!A$1:CB$87,Formula!H64,12)),IF(Formula!J64=87,10^6,INDEX(Properties!A$1:CB$87,Formula!J64,12)))</f>
        <v>0</v>
      </c>
      <c r="AW64" s="78">
        <f t="shared" si="7"/>
        <v>4</v>
      </c>
      <c r="AX64" s="45">
        <f>((Formula!C64)/(Formula!C64+Formula!E64+Formula!G64+Formula!I64+Formula!K64))*(INDEX(Properties!A$1:CB$87,Formula!B64,13))+((Formula!E64)/(Formula!C64+Formula!E64+Formula!G64+Formula!I64+Formula!K64))*(INDEX(Properties!A$1:CB$87,Formula!D64,13))+((Formula!G64)/(Formula!C64+Formula!E64+Formula!G64+Formula!I64+Formula!K64))*(INDEX(Properties!A$1:CB$87,Formula!F64,13))+((Formula!I64)/(Formula!C64+Formula!E64+Formula!G64+Formula!I64+Formula!K64))*(INDEX(Properties!A$1:CB$87,Formula!H64,13))+((Formula!K64)/(Formula!C64+Formula!E64+Formula!G64+Formula!I64+Formula!K64))*(INDEX(Properties!A$1:CB$87,Formula!J64,13))</f>
        <v>1.5714285714285712</v>
      </c>
      <c r="AY64" s="45">
        <f>Formula!C64*(INDEX(Properties!A$1:CB$87,Formula!B64,13))+Formula!E64*(INDEX(Properties!A$1:CB$87,Formula!D64,13))+Formula!G64*(INDEX(Properties!A$1:CB$87,Formula!F64,13))+Formula!I64*(INDEX(Properties!A$1:CB$87,Formula!H64,13))+Formula!K64*(INDEX(Properties!A$1:CB$87,Formula!J64,13))</f>
        <v>11</v>
      </c>
      <c r="AZ64" s="45">
        <f>VARP(IF(INDEX(Properties!A$1:CB$87,Formula!B64,13)&lt;&gt;"",INDEX(Properties!A$1:CB$87,Formula!B64,13)),IF(INDEX(Properties!A$1:CB$87,Formula!D64,13)&lt;&gt;"",INDEX(Properties!A$1:CB$87,Formula!D64,13)),IF(INDEX(Properties!A$1:CB$87,Formula!F64,13)&lt;&gt;"",INDEX(Properties!A$1:CB$87,Formula!F64,13)),IF(INDEX(Properties!A$1:CB$87,Formula!H64,13)&lt;&gt;"",INDEX(Properties!A$1:CB$87,Formula!H64,13)),IF(INDEX(Properties!A$1:CB$87,Formula!J64,13)&lt;&gt;"",INDEX(Properties!A$1:CB$87,Formula!J64,13)))</f>
        <v>15.36</v>
      </c>
      <c r="BA64" s="45">
        <f>MAX(INDEX(Properties!A$1:CB$87,Formula!B64,13),INDEX(Properties!A$1:CB$87,Formula!D64,13),INDEX(Properties!A$1:CB$87,Formula!F64,13),INDEX(Properties!A$1:CB$87,Formula!H64,13),INDEX(Properties!A$1:CB$87,Formula!J64,13))</f>
        <v>10</v>
      </c>
      <c r="BB64" s="45">
        <f>MIN(IF(Formula!B64=87,10^6,INDEX(Properties!A$1:CB$87,Formula!B64,13)),IF((Formula!D64)=87,10^6,INDEX(Properties!A$1:CB$87,Formula!D64,13)),IF((Formula!F64)=87,10^6,INDEX(Properties!A$1:CB$87,Formula!F64,13)),IF((Formula!H64)=87,10^6,INDEX(Properties!A$1:CB$87,Formula!H64,13)),IF(Formula!J64=87,10^6,INDEX(Properties!A$1:CB$87,Formula!J64,13)))</f>
        <v>0</v>
      </c>
      <c r="BC64" s="45">
        <f t="shared" si="8"/>
        <v>10</v>
      </c>
      <c r="BD64" s="63">
        <f>((Formula!C64)/(Formula!C64+Formula!E64+Formula!G64+Formula!I64+Formula!K64))*(INDEX(Properties!A$1:CB$87,Formula!B64,14))+((Formula!E64)/(Formula!C64+Formula!E64+Formula!G64+Formula!I64+Formula!K64))*(INDEX(Properties!A$1:CB$87,Formula!D64,14))+((Formula!G64)/(Formula!C64+Formula!E64+Formula!G64+Formula!I64+Formula!K64))*(INDEX(Properties!A$1:CB$87,Formula!F64,14))+((Formula!I64)/(Formula!C64+Formula!E64+Formula!G64+Formula!I64+Formula!K64))*(INDEX(Properties!A$1:CB$87,Formula!H64,14))+((Formula!K64)/(Formula!C64+Formula!E64+Formula!G64+Formula!I64+Formula!K64))*(INDEX(Properties!A$1:CB$87,Formula!J64,14))</f>
        <v>0</v>
      </c>
      <c r="BE64" s="63">
        <f>Formula!C64*(INDEX(Properties!A$1:CB$87,Formula!B64,14))+Formula!E64*(INDEX(Properties!A$1:CB$87,Formula!D64,14))+Formula!G64*(INDEX(Properties!A$1:CB$87,Formula!F64,14))+Formula!I64*(INDEX(Properties!A$1:CB$87,Formula!H64,14))+Formula!K64*(INDEX(Properties!A$1:CB$87,Formula!J64,14))</f>
        <v>0</v>
      </c>
      <c r="BF64" s="63">
        <f>VARP(IF(INDEX(Properties!A$1:CB$87,Formula!B64,14)&lt;&gt;"",INDEX(Properties!A$1:CB$87,Formula!B64,14)),IF(INDEX(Properties!A$1:CB$87,Formula!D64,14)&lt;&gt;"",INDEX(Properties!A$1:CB$87,Formula!D64,14)),IF(INDEX(Properties!A$1:CB$87,Formula!F64,14)&lt;&gt;"",INDEX(Properties!A$1:CB$87,Formula!F64,14)),IF(INDEX(Properties!A$1:CB$87,Formula!H64,14)&lt;&gt;"",INDEX(Properties!A$1:CB$87,Formula!H64,14)),IF(INDEX(Properties!A$1:CB$87,Formula!J64,14)&lt;&gt;"",INDEX(Properties!A$1:CB$87,Formula!J64,14)))</f>
        <v>0</v>
      </c>
      <c r="BG64" s="63">
        <f>MAX(INDEX(Properties!A$1:CB$87,Formula!B64,14),INDEX(Properties!A$1:CB$87,Formula!D64,14),INDEX(Properties!A$1:CB$87,Formula!F64,14),INDEX(Properties!A$1:CB$87,Formula!H64,14),INDEX(Properties!A$1:CB$87,Formula!J64,14))</f>
        <v>0</v>
      </c>
      <c r="BH64" s="63">
        <f>MIN(IF(Formula!B64=87,10^6,INDEX(Properties!A$1:CB$87,Formula!B64,14)),IF((Formula!D64)=87,10^6,INDEX(Properties!A$1:CB$87,Formula!D64,14)),IF((Formula!F64)=87,10^6,INDEX(Properties!A$1:CB$87,Formula!F64,14)),IF((Formula!H64)=87,10^6,INDEX(Properties!A$1:CB$87,Formula!H64,14)),IF(Formula!J64=87,10^6,INDEX(Properties!A$1:CB$87,Formula!J64,14)))</f>
        <v>0</v>
      </c>
      <c r="BI64" s="63">
        <f t="shared" si="9"/>
        <v>0</v>
      </c>
      <c r="BJ64" s="75">
        <f>((Formula!C64)/(Formula!C64+Formula!E64+Formula!G64+Formula!I64+Formula!K64))*(INDEX(Properties!A$1:CB$87,Formula!B64,19))+((Formula!E64)/(Formula!C64+Formula!E64+Formula!G64+Formula!I64+Formula!K64))*(INDEX(Properties!A$1:CB$87,Formula!D64,19))+((Formula!G64)/(Formula!C64+Formula!E64+Formula!G64+Formula!I64+Formula!K64))*(INDEX(Properties!A$1:CB$87,Formula!F64,19))+((Formula!I64)/(Formula!C64+Formula!E64+Formula!G64+Formula!I64+Formula!K64))*(INDEX(Properties!A$1:CB$87,Formula!H64,19))+((Formula!K64)/(Formula!C64+Formula!E64+Formula!G64+Formula!I64+Formula!K64))*(INDEX(Properties!A$1:CB$87,Formula!J64,19))</f>
        <v>6</v>
      </c>
      <c r="BK64" s="75">
        <f>Formula!C64*(INDEX(Properties!A$1:CB$87,Formula!B64,19))+Formula!E64*(INDEX(Properties!A$1:CB$87,Formula!D64,19))+Formula!G64*(INDEX(Properties!A$1:CB$87,Formula!F64,19))+Formula!I64*(INDEX(Properties!A$1:CB$87,Formula!H64,19))+Formula!K64*(INDEX(Properties!A$1:CB$87,Formula!J64,19))</f>
        <v>42</v>
      </c>
      <c r="BL64" s="75">
        <f>VARP(IF(INDEX(Properties!A$1:CB$87,Formula!B64,19)&lt;&gt;"",INDEX(Properties!A$1:CB$87,Formula!B64,19)),IF(INDEX(Properties!A$1:CB$87,Formula!D64,19)&lt;&gt;"",INDEX(Properties!A$1:CB$87,Formula!D64,19)),IF(INDEX(Properties!A$1:CB$87,Formula!F64,19)&lt;&gt;"",INDEX(Properties!A$1:CB$87,Formula!F64,19)),IF(INDEX(Properties!A$1:CB$87,Formula!H64,19)&lt;&gt;"",INDEX(Properties!A$1:CB$87,Formula!H64,19)),IF(INDEX(Properties!A$1:CB$87,Formula!J64,19)&lt;&gt;"",INDEX(Properties!A$1:CB$87,Formula!J64,19)))</f>
        <v>25.36</v>
      </c>
      <c r="BM64" s="75">
        <f>MAX(INDEX(Properties!A$1:CB$87,Formula!B64,19),INDEX(Properties!A$1:CB$87,Formula!D64,19),INDEX(Properties!A$1:CB$87,Formula!F64,19),INDEX(Properties!A$1:CB$87,Formula!H64,19),INDEX(Properties!A$1:CB$87,Formula!J64,19))</f>
        <v>14</v>
      </c>
      <c r="BN64" s="75">
        <f>MIN(IF(INDEX(Properties!A$1:CB$87,Formula!B64,19)=0,10^6,INDEX(Properties!A$1:CB$87,Formula!B64,19)),IF(INDEX(Properties!A$1:CB$87,Formula!D64,19)=0,10^6,INDEX(Properties!A$1:CB$87,Formula!D64,19)),IF(INDEX(Properties!A$1:CB$87,Formula!F64,19)=0,10^6,INDEX(Properties!A$1:CB$87,Formula!F64,19)),IF(INDEX(Properties!A$1:CB$87,Formula!H64,19)=0,10^6,INDEX(Properties!A$1:CB$87,Formula!H64,19)),IF(INDEX(Properties!A$1:CB$87,Formula!J64,19)=0,10^6,INDEX(Properties!A$1:CB$87,Formula!J64,19)))</f>
        <v>1</v>
      </c>
      <c r="BO64" s="75">
        <f t="shared" si="10"/>
        <v>13</v>
      </c>
      <c r="BP64" s="48">
        <f>((Formula!C64)/(Formula!C64+Formula!E64+Formula!G64+Formula!I64+Formula!K64))*(INDEX(Properties!A$1:CB$87,Formula!B64,20))+((Formula!E64)/(Formula!C64+Formula!E64+Formula!G64+Formula!I64+Formula!K64))*(INDEX(Properties!A$1:CB$87,Formula!D64,20))+((Formula!G64)/(Formula!C64+Formula!E64+Formula!G64+Formula!I64+Formula!K64))*(INDEX(Properties!A$1:CB$87,Formula!F64,20))+((Formula!I64)/(Formula!C64+Formula!E64+Formula!G64+Formula!I64+Formula!K64))*(INDEX(Properties!A$1:CB$87,Formula!H64,20))+((Formula!K64)/(Formula!C64+Formula!E64+Formula!G64+Formula!I64+Formula!K64))*(INDEX(Properties!A$1:CB$87,Formula!J64,20))</f>
        <v>4.4285714285714288</v>
      </c>
      <c r="BQ64" s="48">
        <f>Formula!C64*(INDEX(Properties!A$1:CB$87,Formula!B64,20))+Formula!E64*(INDEX(Properties!A$1:CB$87,Formula!D64,20))+Formula!G64*(INDEX(Properties!A$1:CB$87,Formula!F64,20))+Formula!I64*(INDEX(Properties!A$1:CB$87,Formula!H64,20))+Formula!K64*(INDEX(Properties!A$1:CB$87,Formula!J64,20))</f>
        <v>31</v>
      </c>
      <c r="BR64" s="48">
        <f>VARP(IF(INDEX(Properties!A$1:CB$87,Formula!B64,20)&lt;&gt;"",INDEX(Properties!A$1:CB$87,Formula!B64,20)),IF(INDEX(Properties!A$1:CB$87,Formula!D64,20)&lt;&gt;"",INDEX(Properties!A$1:CB$87,Formula!D64,20)),IF(INDEX(Properties!A$1:CB$87,Formula!F64,20)&lt;&gt;"",INDEX(Properties!A$1:CB$87,Formula!F64,20)),IF(INDEX(Properties!A$1:CB$87,Formula!H64,20)&lt;&gt;"",INDEX(Properties!A$1:CB$87,Formula!H64,20)),IF(INDEX(Properties!A$1:CB$87,Formula!J64,20)&lt;&gt;"",INDEX(Properties!A$1:CB$87,Formula!J64,20)))</f>
        <v>4.6399999999999997</v>
      </c>
      <c r="BS64" s="48">
        <f>MAX(INDEX(Properties!A$1:CB$87,Formula!B64,20),INDEX(Properties!A$1:CB$87,Formula!D64,20),INDEX(Properties!A$1:CB$87,Formula!F64,20),INDEX(Properties!A$1:CB$87,Formula!H64,20),INDEX(Properties!A$1:CB$87,Formula!J64,20))</f>
        <v>6</v>
      </c>
      <c r="BT64" s="48">
        <f>MIN(IF(INDEX(Properties!A$1:CB$87,Formula!B64,20)=0,10^6,INDEX(Properties!A$1:CB$87,Formula!B64,20)),IF(INDEX(Properties!A$1:CB$87,Formula!D64,20)=0,10^6,INDEX(Properties!A$1:CB$87,Formula!D64,20)),IF(INDEX(Properties!A$1:CB$87,Formula!F64,20)=0,10^6,INDEX(Properties!A$1:CB$87,Formula!F64,20)),IF(INDEX(Properties!A$1:CB$87,Formula!H64,20)=0,10^6,INDEX(Properties!A$1:CB$87,Formula!H64,20)),IF(INDEX(Properties!A$1:CB$87,Formula!J64,20)=0,10^6,INDEX(Properties!A$1:CB$87,Formula!J64,20)))</f>
        <v>1</v>
      </c>
      <c r="BU64" s="48">
        <f t="shared" si="11"/>
        <v>5</v>
      </c>
      <c r="BV64" s="66">
        <f>((Formula!C64)/(Formula!C64+Formula!E64+Formula!G64+Formula!I64+Formula!K64))*(INDEX(Properties!A$1:CB$87,Formula!B64,21))+((Formula!E64)/(Formula!C64+Formula!E64+Formula!G64+Formula!I64+Formula!K64))*(INDEX(Properties!A$1:CB$87,Formula!D64,21))+((Formula!G64)/(Formula!C64+Formula!E64+Formula!G64+Formula!I64+Formula!K64))*(INDEX(Properties!A$1:CB$87,Formula!F64,21))+((Formula!I64)/(Formula!C64+Formula!E64+Formula!G64+Formula!I64+Formula!K64))*(INDEX(Properties!A$1:CB$87,Formula!H64,21))+((Formula!K64)/(Formula!C64+Formula!E64+Formula!G64+Formula!I64+Formula!K64))*(INDEX(Properties!A$1:CB$87,Formula!J64,21))</f>
        <v>4.2857142857142856</v>
      </c>
      <c r="BW64" s="66">
        <f>Formula!C64*(INDEX(Properties!A$1:CB$87,Formula!B64,21))+Formula!E64*(INDEX(Properties!A$1:CB$87,Formula!D64,21))+Formula!G64*(INDEX(Properties!A$1:CB$87,Formula!F64,21))+Formula!I64*(INDEX(Properties!A$1:CB$87,Formula!H64,21))+Formula!K64*(INDEX(Properties!A$1:CB$87,Formula!J64,21))</f>
        <v>30</v>
      </c>
      <c r="BX64" s="66">
        <f>VARP(IF(INDEX(Properties!A$1:CB$87,Formula!B64,21)&lt;&gt;"",INDEX(Properties!A$1:CB$87,Formula!B64,21)),IF(INDEX(Properties!A$1:CB$87,Formula!D64,21)&lt;&gt;"",INDEX(Properties!A$1:CB$87,Formula!D64,21)),IF(INDEX(Properties!A$1:CB$87,Formula!F64,21)&lt;&gt;"",INDEX(Properties!A$1:CB$87,Formula!F64,21)),IF(INDEX(Properties!A$1:CB$87,Formula!H64,21)&lt;&gt;"",INDEX(Properties!A$1:CB$87,Formula!H64,21)),IF(INDEX(Properties!A$1:CB$87,Formula!J64,21)&lt;&gt;"",INDEX(Properties!A$1:CB$87,Formula!J64,21)))</f>
        <v>5.04</v>
      </c>
      <c r="BY64" s="66">
        <f>MAX(INDEX(Properties!A$1:CB$87,Formula!B64,21),INDEX(Properties!A$1:CB$87,Formula!D64,21),INDEX(Properties!A$1:CB$87,Formula!F64,21),INDEX(Properties!A$1:CB$87,Formula!H64,21),INDEX(Properties!A$1:CB$87,Formula!J64,21))</f>
        <v>6</v>
      </c>
      <c r="BZ64" s="66">
        <f>MIN(IF(INDEX(Properties!A$1:CB$87,Formula!B64,21)=0,10^6,INDEX(Properties!A$1:CB$87,Formula!B64,21)),IF(INDEX(Properties!A$1:CB$87,Formula!D64,21)=0,10^6,INDEX(Properties!A$1:CB$87,Formula!D64,21)),IF(INDEX(Properties!A$1:CB$87,Formula!F64,21)=0,10^6,INDEX(Properties!A$1:CB$87,Formula!F64,21)),IF(INDEX(Properties!A$1:CB$87,Formula!H64,21)=0,10^6,INDEX(Properties!A$1:CB$87,Formula!H64,21)),IF(INDEX(Properties!A$1:CB$87,Formula!J64,21)=0,10^6,INDEX(Properties!A$1:CB$87,Formula!J64,21)))</f>
        <v>1</v>
      </c>
      <c r="CA64" s="66">
        <f t="shared" si="12"/>
        <v>5</v>
      </c>
      <c r="CB64" s="81">
        <f>((Formula!C64)/(Formula!C64+Formula!E64+Formula!G64+Formula!I64+Formula!K64))*(INDEX(Properties!A$1:CB$87,Formula!B64,23))+((Formula!E64)/(Formula!C64+Formula!E64+Formula!G64+Formula!I64+Formula!K64))*(INDEX(Properties!A$1:CB$87,Formula!D64,23))+((Formula!G64)/(Formula!C64+Formula!E64+Formula!G64+Formula!I64+Formula!K64))*(INDEX(Properties!A$1:CB$87,Formula!F64,23))+((Formula!I64)/(Formula!C64+Formula!E64+Formula!G64+Formula!I64+Formula!K64))*(INDEX(Properties!A$1:CB$87,Formula!H64,23))+((Formula!K64)/(Formula!C64+Formula!E64+Formula!G64+Formula!I64+Formula!K64))*(INDEX(Properties!A$1:CB$87,Formula!J64,23))</f>
        <v>1.1428571428571428</v>
      </c>
      <c r="CC64" s="81">
        <f>Formula!C64*(INDEX(Properties!A$1:CB$87,Formula!B64,23))+Formula!E64*(INDEX(Properties!A$1:CB$87,Formula!D64,23))+Formula!G64*(INDEX(Properties!A$1:CB$87,Formula!F64,23))+Formula!I64*(INDEX(Properties!A$1:CB$87,Formula!H64,23))+Formula!K64*(INDEX(Properties!A$1:CB$87,Formula!J64,23))</f>
        <v>8</v>
      </c>
      <c r="CD64" s="81">
        <f>VARP(IF(INDEX(Properties!A$1:CB$87,Formula!B64,23)&lt;&gt;"",INDEX(Properties!A$1:CB$87,Formula!B64,23)),IF(INDEX(Properties!A$1:CB$87,Formula!D64,23)&lt;&gt;"",INDEX(Properties!A$1:CB$87,Formula!D64,23)),IF(INDEX(Properties!A$1:CB$87,Formula!F64,23)&lt;&gt;"",INDEX(Properties!A$1:CB$87,Formula!F64,23)),IF(INDEX(Properties!A$1:CB$87,Formula!H64,23)&lt;&gt;"",INDEX(Properties!A$1:CB$87,Formula!H64,23)),IF(INDEX(Properties!A$1:CB$87,Formula!J64,23)&lt;&gt;"",INDEX(Properties!A$1:CB$87,Formula!J64,23)))</f>
        <v>2.64</v>
      </c>
      <c r="CE64" s="81">
        <f>MAX(INDEX(Properties!A$1:CB$87,Formula!B64,23),INDEX(Properties!A$1:CB$87,Formula!D64,23),INDEX(Properties!A$1:CB$87,Formula!F64,23),INDEX(Properties!A$1:CB$87,Formula!H64,23),INDEX(Properties!A$1:CB$87,Formula!J64,23))</f>
        <v>4</v>
      </c>
      <c r="CF64" s="81">
        <f>MIN(IF(Formula!B64=87,10^6,INDEX(Properties!A$1:CB$87,Formula!B64,23)),IF((Formula!D64)=87,10^6,INDEX(Properties!A$1:CB$87,Formula!D64,23)),IF((Formula!F64)=87,10^6,INDEX(Properties!A$1:CB$87,Formula!F64,23)),IF((Formula!H64)=87,10^6,INDEX(Properties!A$1:CB$87,Formula!H64,23)),IF(Formula!J64=87,10^6,INDEX(Properties!A$1:CB$87,Formula!J64,23)))</f>
        <v>0</v>
      </c>
      <c r="CG64" s="81">
        <f t="shared" si="13"/>
        <v>4</v>
      </c>
      <c r="CH64" s="39">
        <f>((Formula!C64)/(Formula!C64+Formula!E64+Formula!G64+Formula!I64+Formula!K64))*(INDEX(Properties!A$1:CB$87,Formula!B64,26))+((Formula!E64)/(Formula!C64+Formula!E64+Formula!G64+Formula!I64+Formula!K64))*(INDEX(Properties!A$1:CB$87,Formula!D64,26))+((Formula!G64)/(Formula!C64+Formula!E64+Formula!G64+Formula!I64+Formula!K64))*(INDEX(Properties!A$1:CB$87,Formula!F64,26))+((Formula!I64)/(Formula!C64+Formula!E64+Formula!G64+Formula!I64+Formula!K64))*(INDEX(Properties!A$1:CB$87,Formula!H64,26))+((Formula!K64)/(Formula!C64+Formula!E64+Formula!G64+Formula!I64+Formula!K64))*(INDEX(Properties!A$1:CB$87,Formula!J64,26))</f>
        <v>10.568685714285714</v>
      </c>
      <c r="CI64" s="39">
        <f>Formula!C64*(INDEX(Properties!A$1:CB$87,Formula!B64,26))+Formula!E64*(INDEX(Properties!A$1:CB$87,Formula!D64,26))+Formula!G64*(INDEX(Properties!A$1:CB$87,Formula!F64,26))+Formula!I64*(INDEX(Properties!A$1:CB$87,Formula!H64,26))+Formula!K64*(INDEX(Properties!A$1:CB$87,Formula!J64,26))</f>
        <v>73.980800000000002</v>
      </c>
      <c r="CJ64" s="39">
        <f>VARP(IF(INDEX(Properties!A$1:CB$87,Formula!B64,26)&lt;&gt;"",INDEX(Properties!A$1:CB$87,Formula!B64,26)),IF(INDEX(Properties!A$1:CB$87,Formula!D64,26)&lt;&gt;"",INDEX(Properties!A$1:CB$87,Formula!D64,26)),IF(INDEX(Properties!A$1:CB$87,Formula!F64,26)&lt;&gt;"",INDEX(Properties!A$1:CB$87,Formula!F64,26)),IF(INDEX(Properties!A$1:CB$87,Formula!H64,26)&lt;&gt;"",INDEX(Properties!A$1:CB$87,Formula!H64,26)),IF(INDEX(Properties!A$1:CB$87,Formula!J64,26)&lt;&gt;"",INDEX(Properties!A$1:CB$87,Formula!J64,26)))</f>
        <v>19.221083140000001</v>
      </c>
      <c r="CK64" s="39">
        <f>MAX(INDEX(Properties!A$1:CB$87,Formula!B64,26),INDEX(Properties!A$1:CB$87,Formula!D64,26),INDEX(Properties!A$1:CB$87,Formula!F64,26),INDEX(Properties!A$1:CB$87,Formula!H64,26),INDEX(Properties!A$1:CB$87,Formula!J64,26))</f>
        <v>13.6181</v>
      </c>
      <c r="CL64" s="39">
        <f>MIN(IF(INDEX(Properties!A$1:CB$87,Formula!B64,26)=0,10^6,INDEX(Properties!A$1:CB$87,Formula!B64,26)),IF(INDEX(Properties!A$1:CB$87,Formula!D64,26)=0,10^6,INDEX(Properties!A$1:CB$87,Formula!D64,26)),IF(INDEX(Properties!A$1:CB$87,Formula!F64,26)=0,10^6,INDEX(Properties!A$1:CB$87,Formula!F64,26)),IF(INDEX(Properties!A$1:CB$87,Formula!H64,26)=0,10^6,INDEX(Properties!A$1:CB$87,Formula!H64,26)),IF(INDEX(Properties!A$1:CB$87,Formula!J64,26)=0,10^6,INDEX(Properties!A$1:CB$87,Formula!J64,26)))</f>
        <v>5.3917000000000002</v>
      </c>
      <c r="CM64" s="39">
        <f t="shared" si="14"/>
        <v>8.2263999999999999</v>
      </c>
      <c r="CN64" s="54">
        <f>((Formula!C64)/(Formula!C64+Formula!E64+Formula!G64+Formula!I64+Formula!K64))*(INDEX(Properties!A$1:CB$87,Formula!B64,30))+((Formula!E64)/(Formula!C64+Formula!E64+Formula!G64+Formula!I64+Formula!K64))*(INDEX(Properties!A$1:CB$87,Formula!D64,30))+((Formula!G64)/(Formula!C64+Formula!E64+Formula!G64+Formula!I64+Formula!K64))*(INDEX(Properties!A$1:CB$87,Formula!F64,30))+((Formula!I64)/(Formula!C64+Formula!E64+Formula!G64+Formula!I64+Formula!K64))*(INDEX(Properties!A$1:CB$87,Formula!H64,30))+((Formula!K64)/(Formula!C64+Formula!E64+Formula!G64+Formula!I64+Formula!K64))*(INDEX(Properties!A$1:CB$87,Formula!J64,30))</f>
        <v>2.5671428571428567</v>
      </c>
      <c r="CO64" s="54">
        <f>Formula!C64*(INDEX(Properties!A$1:CB$87,Formula!B64,30))+Formula!E64*(INDEX(Properties!A$1:CB$87,Formula!D64,30))+Formula!G64*(INDEX(Properties!A$1:CB$87,Formula!F64,30))+Formula!I64*(INDEX(Properties!A$1:CB$87,Formula!H64,30))+Formula!K64*(INDEX(Properties!A$1:CB$87,Formula!J64,30))</f>
        <v>17.97</v>
      </c>
      <c r="CP64" s="54">
        <f>VARP(IF(INDEX(Properties!A$1:CB$87,Formula!B64,30)&lt;&gt;"",INDEX(Properties!A$1:CB$87,Formula!B64,30)),IF(INDEX(Properties!A$1:CB$87,Formula!D64,30)&lt;&gt;"",INDEX(Properties!A$1:CB$87,Formula!D64,30)),IF(INDEX(Properties!A$1:CB$87,Formula!F64,30)&lt;&gt;"",INDEX(Properties!A$1:CB$87,Formula!F64,30)),IF(INDEX(Properties!A$1:CB$87,Formula!H64,30)&lt;&gt;"",INDEX(Properties!A$1:CB$87,Formula!H64,30)),IF(INDEX(Properties!A$1:CB$87,Formula!J64,30)&lt;&gt;"",INDEX(Properties!A$1:CB$87,Formula!J64,30)))</f>
        <v>1.323599999999999</v>
      </c>
      <c r="CQ64" s="54">
        <f>MAX(INDEX(Properties!A$1:CB$87,Formula!B64,30),INDEX(Properties!A$1:CB$87,Formula!D64,30),INDEX(Properties!A$1:CB$87,Formula!F64,30),INDEX(Properties!A$1:CB$87,Formula!H64,30),INDEX(Properties!A$1:CB$87,Formula!J64,30))</f>
        <v>3.44</v>
      </c>
      <c r="CR64" s="54">
        <f>MIN(IF(INDEX(Properties!A$1:CB$87,Formula!B64,30)=0,10^6,INDEX(Properties!A$1:CB$87,Formula!B64,30)),IF(INDEX(Properties!A$1:CB$87,Formula!D64,30)=0,10^6,INDEX(Properties!A$1:CB$87,Formula!D64,30)),IF(INDEX(Properties!A$1:CB$87,Formula!F64,30)=0,10^6,INDEX(Properties!A$1:CB$87,Formula!F64,30)),IF(INDEX(Properties!A$1:CB$87,Formula!H64,30)=0,10^6,INDEX(Properties!A$1:CB$87,Formula!H64,30)),IF(INDEX(Properties!A$1:CB$87,Formula!J64,30)=0,10^6,INDEX(Properties!A$1:CB$87,Formula!J64,30)))</f>
        <v>0.98</v>
      </c>
      <c r="CS64" s="54">
        <f t="shared" si="15"/>
        <v>2.46</v>
      </c>
      <c r="CT64" s="69">
        <f>((Formula!C64)/(Formula!C64+Formula!E64+Formula!G64+Formula!I64+Formula!K64))*(INDEX(Properties!A$1:CB$87,Formula!B64,31))+((Formula!E64)/(Formula!C64+Formula!E64+Formula!G64+Formula!I64+Formula!K64))*(INDEX(Properties!A$1:CB$87,Formula!D64,31))+((Formula!G64)/(Formula!C64+Formula!E64+Formula!G64+Formula!I64+Formula!K64))*(INDEX(Properties!A$1:CB$87,Formula!F64,31))+((Formula!I64)/(Formula!C64+Formula!E64+Formula!G64+Formula!I64+Formula!K64))*(INDEX(Properties!A$1:CB$87,Formula!H64,31))+((Formula!K64)/(Formula!C64+Formula!E64+Formula!G64+Formula!I64+Formula!K64))*(INDEX(Properties!A$1:CB$87,Formula!J64,31))</f>
        <v>2.5114285714285711</v>
      </c>
      <c r="CU64" s="69">
        <f>Formula!C64*(INDEX(Properties!A$1:CB$87,Formula!B64,31))+Formula!E64*(INDEX(Properties!A$1:CB$87,Formula!D64,31))+Formula!G64*(INDEX(Properties!A$1:CB$87,Formula!F64,31))+Formula!I64*(INDEX(Properties!A$1:CB$87,Formula!H64,31))+Formula!K64*(INDEX(Properties!A$1:CB$87,Formula!J64,31))</f>
        <v>17.579999999999998</v>
      </c>
      <c r="CV64" s="69">
        <f>VARP(IF(INDEX(Properties!A$1:CB$87,Formula!B64,31)&lt;&gt;"",INDEX(Properties!A$1:CB$87,Formula!B64,31)),IF(INDEX(Properties!A$1:CB$87,Formula!D64,31)&lt;&gt;"",INDEX(Properties!A$1:CB$87,Formula!D64,31)),IF(INDEX(Properties!A$1:CB$87,Formula!F64,31)&lt;&gt;"",INDEX(Properties!A$1:CB$87,Formula!F64,31)),IF(INDEX(Properties!A$1:CB$87,Formula!H64,31)&lt;&gt;"",INDEX(Properties!A$1:CB$87,Formula!H64,31)),IF(INDEX(Properties!A$1:CB$87,Formula!J64,31)&lt;&gt;"",INDEX(Properties!A$1:CB$87,Formula!J64,31)))</f>
        <v>1.2335440000000002</v>
      </c>
      <c r="CW64" s="69">
        <f>MAX(INDEX(Properties!A$1:CB$87,Formula!B64,31),INDEX(Properties!A$1:CB$87,Formula!D64,31),INDEX(Properties!A$1:CB$87,Formula!F64,31),INDEX(Properties!A$1:CB$87,Formula!H64,31),INDEX(Properties!A$1:CB$87,Formula!J64,31))</f>
        <v>3.32</v>
      </c>
      <c r="CX64" s="69">
        <f>MIN(IF(INDEX(Properties!A$1:CB$87,Formula!B64,31)=0,10^6,INDEX(Properties!A$1:CB$87,Formula!B64,31)),IF(INDEX(Properties!A$1:CB$87,Formula!D64,31)=0,10^6,INDEX(Properties!A$1:CB$87,Formula!D64,31)),IF(INDEX(Properties!A$1:CB$87,Formula!F64,31)=0,10^6,INDEX(Properties!A$1:CB$87,Formula!F64,31)),IF(INDEX(Properties!A$1:CB$87,Formula!H64,31)=0,10^6,INDEX(Properties!A$1:CB$87,Formula!H64,31)),IF(INDEX(Properties!A$1:CB$87,Formula!J64,31)=0,10^6,INDEX(Properties!A$1:CB$87,Formula!J64,31)))</f>
        <v>0.9</v>
      </c>
      <c r="CY64" s="69">
        <f t="shared" si="16"/>
        <v>2.42</v>
      </c>
      <c r="CZ64" s="42">
        <f>((Formula!C64)/(Formula!C64+Formula!E64+Formula!G64+Formula!I64+Formula!K64))*(INDEX(Properties!A$1:CB$87,Formula!B64,32))+((Formula!E64)/(Formula!C64+Formula!E64+Formula!G64+Formula!I64+Formula!K64))*(INDEX(Properties!A$1:CB$87,Formula!D64,32))+((Formula!G64)/(Formula!C64+Formula!E64+Formula!G64+Formula!I64+Formula!K64))*(INDEX(Properties!A$1:CB$87,Formula!F64,32))+((Formula!I64)/(Formula!C64+Formula!E64+Formula!G64+Formula!I64+Formula!K64))*(INDEX(Properties!A$1:CB$87,Formula!H64,32))+((Formula!K64)/(Formula!C64+Formula!E64+Formula!G64+Formula!I64+Formula!K64))*(INDEX(Properties!A$1:CB$87,Formula!J64,32))</f>
        <v>5.8514285714285714</v>
      </c>
      <c r="DA64" s="42">
        <f>Formula!C64*(INDEX(Properties!A$1:CB$87,Formula!B64,32))+Formula!E64*(INDEX(Properties!A$1:CB$87,Formula!D64,32))+Formula!G64*(INDEX(Properties!A$1:CB$87,Formula!F64,32))+Formula!I64*(INDEX(Properties!A$1:CB$87,Formula!H64,32))+Formula!K64*(INDEX(Properties!A$1:CB$87,Formula!J64,32))</f>
        <v>40.96</v>
      </c>
      <c r="DB64" s="42">
        <f>VARP(IF(INDEX(Properties!A$1:CB$87,Formula!B64,32)&lt;&gt;"",INDEX(Properties!A$1:CB$87,Formula!B64,32)),IF(INDEX(Properties!A$1:CB$87,Formula!D64,32)&lt;&gt;"",INDEX(Properties!A$1:CB$87,Formula!D64,32)),IF(INDEX(Properties!A$1:CB$87,Formula!F64,32)&lt;&gt;"",INDEX(Properties!A$1:CB$87,Formula!F64,32)),IF(INDEX(Properties!A$1:CB$87,Formula!H64,32)&lt;&gt;"",INDEX(Properties!A$1:CB$87,Formula!H64,32)),IF(INDEX(Properties!A$1:CB$87,Formula!J64,32)&lt;&gt;"",INDEX(Properties!A$1:CB$87,Formula!J64,32)))</f>
        <v>5.9953359999999973</v>
      </c>
      <c r="DC64" s="42">
        <f>MAX(INDEX(Properties!A$1:CB$87,Formula!B64,32),INDEX(Properties!A$1:CB$87,Formula!D64,32),INDEX(Properties!A$1:CB$87,Formula!F64,32),INDEX(Properties!A$1:CB$87,Formula!H64,32),INDEX(Properties!A$1:CB$87,Formula!J64,32))</f>
        <v>7.54</v>
      </c>
      <c r="DD64" s="42">
        <f>MIN(IF(INDEX(Properties!A$1:CB$87,Formula!B64,32)=0,10^6,INDEX(Properties!A$1:CB$87,Formula!B64,32)),IF(INDEX(Properties!A$1:CB$87,Formula!D64,32)=0,10^6,INDEX(Properties!A$1:CB$87,Formula!D64,32)),IF(INDEX(Properties!A$1:CB$87,Formula!F64,32)=0,10^6,INDEX(Properties!A$1:CB$87,Formula!F64,32)),IF(INDEX(Properties!A$1:CB$87,Formula!H64,32)=0,10^6,INDEX(Properties!A$1:CB$87,Formula!H64,32)),IF(INDEX(Properties!A$1:CB$87,Formula!J64,32)=0,10^6,INDEX(Properties!A$1:CB$87,Formula!J64,32)))</f>
        <v>3.01</v>
      </c>
      <c r="DE64" s="42">
        <f t="shared" si="17"/>
        <v>4.53</v>
      </c>
      <c r="DF64" s="60">
        <f>((Formula!C64)/(Formula!C64+Formula!E64+Formula!G64+Formula!I64+Formula!K64))*(INDEX(Properties!A$1:CB$87,Formula!B64,34))+((Formula!E64)/(Formula!C64+Formula!E64+Formula!G64+Formula!I64+Formula!K64))*(INDEX(Properties!A$1:CB$87,Formula!D64,34))+((Formula!G64)/(Formula!C64+Formula!E64+Formula!G64+Formula!I64+Formula!K64))*(INDEX(Properties!A$1:CB$87,Formula!F64,34))+((Formula!I64)/(Formula!C64+Formula!E64+Formula!G64+Formula!I64+Formula!K64))*(INDEX(Properties!A$1:CB$87,Formula!H64,34))+((Formula!K64)/(Formula!C64+Formula!E64+Formula!G64+Formula!I64+Formula!K64))*(INDEX(Properties!A$1:CB$87,Formula!J64,34))</f>
        <v>2.6379999999999999</v>
      </c>
      <c r="DG64" s="60">
        <f>Formula!C64*(INDEX(Properties!A$1:CB$87,Formula!B64,34))+Formula!E64*(INDEX(Properties!A$1:CB$87,Formula!D64,34))+Formula!G64*(INDEX(Properties!A$1:CB$87,Formula!F64,34))+Formula!I64*(INDEX(Properties!A$1:CB$87,Formula!H64,34))+Formula!K64*(INDEX(Properties!A$1:CB$87,Formula!J64,34))</f>
        <v>18.466000000000001</v>
      </c>
      <c r="DH64" s="60">
        <f>VARP(IF(INDEX(Properties!A$1:CB$87,Formula!B64,34)&lt;&gt;"",INDEX(Properties!A$1:CB$87,Formula!B64,34)),IF(INDEX(Properties!A$1:CB$87,Formula!D64,34)&lt;&gt;"",INDEX(Properties!A$1:CB$87,Formula!D64,34)),IF(INDEX(Properties!A$1:CB$87,Formula!F64,34)&lt;&gt;"",INDEX(Properties!A$1:CB$87,Formula!F64,34)),IF(INDEX(Properties!A$1:CB$87,Formula!H64,34)&lt;&gt;"",INDEX(Properties!A$1:CB$87,Formula!H64,34)),IF(INDEX(Properties!A$1:CB$87,Formula!J64,34)&lt;&gt;"",INDEX(Properties!A$1:CB$87,Formula!J64,34)))</f>
        <v>1.4865161599999999</v>
      </c>
      <c r="DI64" s="60">
        <f>MAX(INDEX(Properties!A$1:CB$87,Formula!B64,34),INDEX(Properties!A$1:CB$87,Formula!D64,34),INDEX(Properties!A$1:CB$87,Formula!F64,34),INDEX(Properties!A$1:CB$87,Formula!H64,34),INDEX(Properties!A$1:CB$87,Formula!J64,34))</f>
        <v>3.61</v>
      </c>
      <c r="DJ64" s="60">
        <f>MIN(IF(INDEX(Properties!A$1:CB$87,Formula!B64,34)=0,10^6,INDEX(Properties!A$1:CB$87,Formula!B64,34)),IF(INDEX(Properties!A$1:CB$87,Formula!D64,34)=0,10^6,INDEX(Properties!A$1:CB$87,Formula!D64,34)),IF(INDEX(Properties!A$1:CB$87,Formula!F64,34)=0,10^6,INDEX(Properties!A$1:CB$87,Formula!F64,34)),IF(INDEX(Properties!A$1:CB$87,Formula!H64,34)=0,10^6,INDEX(Properties!A$1:CB$87,Formula!H64,34)),IF(INDEX(Properties!A$1:CB$87,Formula!J64,34)=0,10^6,INDEX(Properties!A$1:CB$87,Formula!J64,34)))</f>
        <v>0.91200000000000003</v>
      </c>
      <c r="DK64" s="60">
        <f t="shared" si="18"/>
        <v>2.698</v>
      </c>
      <c r="DL64" s="45">
        <f>((Formula!C64)/(Formula!C64+Formula!E64+Formula!G64+Formula!I64+Formula!K64))*(INDEX(Properties!A$1:CB$87,Formula!B64,39))+((Formula!E64)/(Formula!C64+Formula!E64+Formula!G64+Formula!I64+Formula!K64))*(INDEX(Properties!A$1:CB$87,Formula!D64,39))+((Formula!G64)/(Formula!C64+Formula!E64+Formula!G64+Formula!I64+Formula!K64))*(INDEX(Properties!A$1:CB$87,Formula!F64,39))+((Formula!I64)/(Formula!C64+Formula!E64+Formula!G64+Formula!I64+Formula!K64))*(INDEX(Properties!A$1:CB$87,Formula!H64,39))+((Formula!K64)/(Formula!C64+Formula!E64+Formula!G64+Formula!I64+Formula!K64))*(INDEX(Properties!A$1:CB$87,Formula!J64,39))</f>
        <v>0.99428571428571422</v>
      </c>
      <c r="DM64" s="45">
        <f>Formula!C64*(INDEX(Properties!A$1:CB$87,Formula!B64,39))+Formula!E64*(INDEX(Properties!A$1:CB$87,Formula!D64,39))+Formula!G64*(INDEX(Properties!A$1:CB$87,Formula!F64,39))+Formula!I64*(INDEX(Properties!A$1:CB$87,Formula!H64,39))+Formula!K64*(INDEX(Properties!A$1:CB$87,Formula!J64,39))</f>
        <v>6.96</v>
      </c>
      <c r="DN64" s="45">
        <f>VARP(IF(INDEX(Properties!A$1:CB$87,Formula!B64,39)&lt;&gt;"",INDEX(Properties!A$1:CB$87,Formula!B64,39)),IF(INDEX(Properties!A$1:CB$87,Formula!D64,39)&lt;&gt;"",INDEX(Properties!A$1:CB$87,Formula!D64,39)),IF(INDEX(Properties!A$1:CB$87,Formula!F64,39)&lt;&gt;"",INDEX(Properties!A$1:CB$87,Formula!F64,39)),IF(INDEX(Properties!A$1:CB$87,Formula!H64,39)&lt;&gt;"",INDEX(Properties!A$1:CB$87,Formula!H64,39)),IF(INDEX(Properties!A$1:CB$87,Formula!J64,39)&lt;&gt;"",INDEX(Properties!A$1:CB$87,Formula!J64,39)))</f>
        <v>0.59642400000000029</v>
      </c>
      <c r="DO64" s="45">
        <f>MAX(INDEX(Properties!A$1:CB$87,Formula!B64,39),INDEX(Properties!A$1:CB$87,Formula!D64,39),INDEX(Properties!A$1:CB$87,Formula!F64,39),INDEX(Properties!A$1:CB$87,Formula!H64,39),INDEX(Properties!A$1:CB$87,Formula!J64,39))</f>
        <v>2.12</v>
      </c>
      <c r="DP64" s="45">
        <f>MIN(IF(INDEX(Properties!A$1:CB$87,Formula!B64,39)=0,10^6,INDEX(Properties!A$1:CB$87,Formula!B64,39)),IF(INDEX(Properties!A$1:CB$87,Formula!D64,39)=0,10^6,INDEX(Properties!A$1:CB$87,Formula!D64,39)),IF(INDEX(Properties!A$1:CB$87,Formula!F64,39)=0,10^6,INDEX(Properties!A$1:CB$87,Formula!F64,39)),IF(INDEX(Properties!A$1:CB$87,Formula!H64,39)=0,10^6,INDEX(Properties!A$1:CB$87,Formula!H64,39)),IF(INDEX(Properties!A$1:CB$87,Formula!J64,39)=0,10^6,INDEX(Properties!A$1:CB$87,Formula!J64,39)))</f>
        <v>0.48</v>
      </c>
      <c r="DQ64" s="45">
        <f t="shared" si="19"/>
        <v>1.6400000000000001</v>
      </c>
      <c r="DR64" s="63">
        <f>((Formula!C64)/(Formula!C64+Formula!E64+Formula!G64+Formula!I64+Formula!K64))*(INDEX(Properties!A$1:CB$87,Formula!B64,40))+((Formula!E64)/(Formula!C64+Formula!E64+Formula!G64+Formula!I64+Formula!K64))*(INDEX(Properties!A$1:CB$87,Formula!D64,40))+((Formula!G64)/(Formula!C64+Formula!E64+Formula!G64+Formula!I64+Formula!K64))*(INDEX(Properties!A$1:CB$87,Formula!F64,40))+((Formula!I64)/(Formula!C64+Formula!E64+Formula!G64+Formula!I64+Formula!K64))*(INDEX(Properties!A$1:CB$87,Formula!H64,40))+((Formula!K64)/(Formula!C64+Formula!E64+Formula!G64+Formula!I64+Formula!K64))*(INDEX(Properties!A$1:CB$87,Formula!J64,40))</f>
        <v>1.0142857142857142</v>
      </c>
      <c r="DS64" s="63">
        <f>Formula!C64*(INDEX(Properties!A$1:CB$87,Formula!B64,40))+Formula!E64*(INDEX(Properties!A$1:CB$87,Formula!D64,40))+Formula!G64*(INDEX(Properties!A$1:CB$87,Formula!F64,40))+Formula!I64*(INDEX(Properties!A$1:CB$87,Formula!H64,40))+Formula!K64*(INDEX(Properties!A$1:CB$87,Formula!J64,40))</f>
        <v>7.1</v>
      </c>
      <c r="DT64" s="63">
        <f>VARP(IF(INDEX(Properties!A$1:CB$87,Formula!B64,40)&lt;&gt;"",INDEX(Properties!A$1:CB$87,Formula!B64,40)),IF(INDEX(Properties!A$1:CB$87,Formula!D64,40)&lt;&gt;"",INDEX(Properties!A$1:CB$87,Formula!D64,40)),IF(INDEX(Properties!A$1:CB$87,Formula!F64,40)&lt;&gt;"",INDEX(Properties!A$1:CB$87,Formula!F64,40)),IF(INDEX(Properties!A$1:CB$87,Formula!H64,40)&lt;&gt;"",INDEX(Properties!A$1:CB$87,Formula!H64,40)),IF(INDEX(Properties!A$1:CB$87,Formula!J64,40)&lt;&gt;"",INDEX(Properties!A$1:CB$87,Formula!J64,40)))</f>
        <v>0.32393599999999995</v>
      </c>
      <c r="DU64" s="63">
        <f>MAX(INDEX(Properties!A$1:CB$87,Formula!B64,40),INDEX(Properties!A$1:CB$87,Formula!D64,40),INDEX(Properties!A$1:CB$87,Formula!F64,40),INDEX(Properties!A$1:CB$87,Formula!H64,40),INDEX(Properties!A$1:CB$87,Formula!J64,40))</f>
        <v>1.62</v>
      </c>
      <c r="DV64" s="63">
        <f>MIN(IF(INDEX(Properties!A$1:CB$87,Formula!B64,40)=0,10^6,INDEX(Properties!A$1:CB$87,Formula!B64,40)),IF(INDEX(Properties!A$1:CB$87,Formula!D64,40)=0,10^6,INDEX(Properties!A$1:CB$87,Formula!D64,40)),IF(INDEX(Properties!A$1:CB$87,Formula!F64,40)=0,10^6,INDEX(Properties!A$1:CB$87,Formula!F64,40)),IF(INDEX(Properties!A$1:CB$87,Formula!H64,40)=0,10^6,INDEX(Properties!A$1:CB$87,Formula!H64,40)),IF(INDEX(Properties!A$1:CB$87,Formula!J64,40)=0,10^6,INDEX(Properties!A$1:CB$87,Formula!J64,40)))</f>
        <v>0.73</v>
      </c>
      <c r="DW64" s="63">
        <f t="shared" si="20"/>
        <v>0.89000000000000012</v>
      </c>
      <c r="DX64" s="75">
        <f>((Formula!C64)/(Formula!C64+Formula!E64+Formula!G64+Formula!I64+Formula!K64))*(INDEX(Properties!A$1:CB$87,Formula!B64,41))+((Formula!E64)/(Formula!C64+Formula!E64+Formula!G64+Formula!I64+Formula!K64))*(INDEX(Properties!A$1:CB$87,Formula!D64,41))+((Formula!G64)/(Formula!C64+Formula!E64+Formula!G64+Formula!I64+Formula!K64))*(INDEX(Properties!A$1:CB$87,Formula!F64,41))+((Formula!I64)/(Formula!C64+Formula!E64+Formula!G64+Formula!I64+Formula!K64))*(INDEX(Properties!A$1:CB$87,Formula!H64,41))+((Formula!K64)/(Formula!C64+Formula!E64+Formula!G64+Formula!I64+Formula!K64))*(INDEX(Properties!A$1:CB$87,Formula!J64,41))</f>
        <v>1.1214285714285714</v>
      </c>
      <c r="DY64" s="75">
        <f>Formula!C64*(INDEX(Properties!A$1:CB$87,Formula!B64,41))+Formula!E64*(INDEX(Properties!A$1:CB$87,Formula!D64,41))+Formula!G64*(INDEX(Properties!A$1:CB$87,Formula!F64,41))+Formula!I64*(INDEX(Properties!A$1:CB$87,Formula!H64,41))+Formula!K64*(INDEX(Properties!A$1:CB$87,Formula!J64,41))</f>
        <v>7.85</v>
      </c>
      <c r="DZ64" s="75">
        <f>VARP(IF(INDEX(Properties!A$1:CB$87,Formula!B64,41)&lt;&gt;"",INDEX(Properties!A$1:CB$87,Formula!B64,41)),IF(INDEX(Properties!A$1:CB$87,Formula!D64,41)&lt;&gt;"",INDEX(Properties!A$1:CB$87,Formula!D64,41)),IF(INDEX(Properties!A$1:CB$87,Formula!F64,41)&lt;&gt;"",INDEX(Properties!A$1:CB$87,Formula!F64,41)),IF(INDEX(Properties!A$1:CB$87,Formula!H64,41)&lt;&gt;"",INDEX(Properties!A$1:CB$87,Formula!H64,41)),IF(INDEX(Properties!A$1:CB$87,Formula!J64,41)&lt;&gt;"",INDEX(Properties!A$1:CB$87,Formula!J64,41)))</f>
        <v>0.18462400000000001</v>
      </c>
      <c r="EA64" s="75">
        <f>MAX(INDEX(Properties!A$1:CB$87,Formula!B64,41),INDEX(Properties!A$1:CB$87,Formula!D64,41),INDEX(Properties!A$1:CB$87,Formula!F64,41),INDEX(Properties!A$1:CB$87,Formula!H64,41),INDEX(Properties!A$1:CB$87,Formula!J64,41))</f>
        <v>1.26</v>
      </c>
      <c r="EB64" s="75">
        <f>MIN(IF(INDEX(Properties!A$1:CB$87,Formula!B64,41)=0,10^6,INDEX(Properties!A$1:CB$87,Formula!B64,41)),IF(INDEX(Properties!A$1:CB$87,Formula!D64,41)=0,10^6,INDEX(Properties!A$1:CB$87,Formula!D64,41)),IF(INDEX(Properties!A$1:CB$87,Formula!F64,41)=0,10^6,INDEX(Properties!A$1:CB$87,Formula!F64,41)),IF(INDEX(Properties!A$1:CB$87,Formula!H64,41)=0,10^6,INDEX(Properties!A$1:CB$87,Formula!H64,41)),IF(INDEX(Properties!A$1:CB$87,Formula!J64,41)=0,10^6,INDEX(Properties!A$1:CB$87,Formula!J64,41)))</f>
        <v>0.87</v>
      </c>
      <c r="EC64" s="75">
        <f t="shared" si="21"/>
        <v>0.39</v>
      </c>
      <c r="ED64" s="48">
        <f>((Formula!C64)/(Formula!C64+Formula!E64+Formula!G64+Formula!I64+Formula!K64))*(INDEX(Properties!A$1:CB$87,Formula!B64,45))+((Formula!E64)/(Formula!C64+Formula!E64+Formula!G64+Formula!I64+Formula!K64))*(INDEX(Properties!A$1:CB$87,Formula!D64,45))+((Formula!G64)/(Formula!C64+Formula!E64+Formula!G64+Formula!I64+Formula!K64))*(INDEX(Properties!A$1:CB$87,Formula!F64,45))+((Formula!I64)/(Formula!C64+Formula!E64+Formula!G64+Formula!I64+Formula!K64))*(INDEX(Properties!A$1:CB$87,Formula!H64,45))+((Formula!K64)/(Formula!C64+Formula!E64+Formula!G64+Formula!I64+Formula!K64))*(INDEX(Properties!A$1:CB$87,Formula!J64,45))</f>
        <v>1.1414285714285715</v>
      </c>
      <c r="EE64" s="48">
        <f>Formula!C64*(INDEX(Properties!A$1:CB$87,Formula!B64,45))+Formula!E64*(INDEX(Properties!A$1:CB$87,Formula!D64,45))+Formula!G64*(INDEX(Properties!A$1:CB$87,Formula!F64,45))+Formula!I64*(INDEX(Properties!A$1:CB$87,Formula!H64,45))+Formula!K64*(INDEX(Properties!A$1:CB$87,Formula!J64,45))</f>
        <v>7.9899999999999993</v>
      </c>
      <c r="EF64" s="48">
        <f>VARP(IF(INDEX(Properties!A$1:CB$87,Formula!B64,45)&lt;&gt;"",INDEX(Properties!A$1:CB$87,Formula!B64,45)),IF(INDEX(Properties!A$1:CB$87,Formula!D64,45)&lt;&gt;"",INDEX(Properties!A$1:CB$87,Formula!D64,45)),IF(INDEX(Properties!A$1:CB$87,Formula!F64,45)&lt;&gt;"",INDEX(Properties!A$1:CB$87,Formula!F64,45)),IF(INDEX(Properties!A$1:CB$87,Formula!H64,45)&lt;&gt;"",INDEX(Properties!A$1:CB$87,Formula!H64,45)),IF(INDEX(Properties!A$1:CB$87,Formula!J64,45)&lt;&gt;"",INDEX(Properties!A$1:CB$87,Formula!J64,45)))</f>
        <v>1.046184</v>
      </c>
      <c r="EG64" s="48">
        <f>MAX(INDEX(Properties!A$1:CB$87,Formula!B64,45),INDEX(Properties!A$1:CB$87,Formula!D64,45),INDEX(Properties!A$1:CB$87,Formula!F64,45),INDEX(Properties!A$1:CB$87,Formula!H64,45),INDEX(Properties!A$1:CB$87,Formula!J64,45))</f>
        <v>2.94</v>
      </c>
      <c r="EH64" s="48">
        <f>MIN(IF(INDEX(Properties!A$1:CB$87,Formula!B64,45)=0,10^6,INDEX(Properties!A$1:CB$87,Formula!B64,45)),IF(INDEX(Properties!A$1:CB$87,Formula!D64,45)=0,10^6,INDEX(Properties!A$1:CB$87,Formula!D64,45)),IF(INDEX(Properties!A$1:CB$87,Formula!F64,45)=0,10^6,INDEX(Properties!A$1:CB$87,Formula!F64,45)),IF(INDEX(Properties!A$1:CB$87,Formula!H64,45)=0,10^6,INDEX(Properties!A$1:CB$87,Formula!H64,45)),IF(INDEX(Properties!A$1:CB$87,Formula!J64,45)=0,10^6,INDEX(Properties!A$1:CB$87,Formula!J64,45)))</f>
        <v>0.47</v>
      </c>
      <c r="EI64" s="48">
        <f t="shared" si="22"/>
        <v>2.4699999999999998</v>
      </c>
      <c r="EJ64" s="66">
        <f>((Formula!C64)/(Formula!C64+Formula!E64+Formula!G64+Formula!I64+Formula!K64))*(INDEX(Properties!A$1:CB$87,Formula!B64,46))+((Formula!E64)/(Formula!C64+Formula!E64+Formula!G64+Formula!I64+Formula!K64))*(INDEX(Properties!A$1:CB$87,Formula!D64,46))+((Formula!G64)/(Formula!C64+Formula!E64+Formula!G64+Formula!I64+Formula!K64))*(INDEX(Properties!A$1:CB$87,Formula!F64,46))+((Formula!I64)/(Formula!C64+Formula!E64+Formula!G64+Formula!I64+Formula!K64))*(INDEX(Properties!A$1:CB$87,Formula!H64,46))+((Formula!K64)/(Formula!C64+Formula!E64+Formula!G64+Formula!I64+Formula!K64))*(INDEX(Properties!A$1:CB$87,Formula!J64,46))</f>
        <v>1.0442857142857143</v>
      </c>
      <c r="EK64" s="66">
        <f>Formula!C64*(INDEX(Properties!A$1:CB$87,Formula!B64,46))+Formula!E64*(INDEX(Properties!A$1:CB$87,Formula!D64,46))+Formula!G64*(INDEX(Properties!A$1:CB$87,Formula!F64,46))+Formula!I64*(INDEX(Properties!A$1:CB$87,Formula!H64,46))+Formula!K64*(INDEX(Properties!A$1:CB$87,Formula!J64,46))</f>
        <v>7.31</v>
      </c>
      <c r="EL64" s="66">
        <f>VARP(IF(INDEX(Properties!A$1:CB$87,Formula!B64,46)&lt;&gt;"",INDEX(Properties!A$1:CB$87,Formula!B64,46)),IF(INDEX(Properties!A$1:CB$87,Formula!D64,46)&lt;&gt;"",INDEX(Properties!A$1:CB$87,Formula!D64,46)),IF(INDEX(Properties!A$1:CB$87,Formula!F64,46)&lt;&gt;"",INDEX(Properties!A$1:CB$87,Formula!F64,46)),IF(INDEX(Properties!A$1:CB$87,Formula!H64,46)&lt;&gt;"",INDEX(Properties!A$1:CB$87,Formula!H64,46)),IF(INDEX(Properties!A$1:CB$87,Formula!J64,46)&lt;&gt;"",INDEX(Properties!A$1:CB$87,Formula!J64,46)))</f>
        <v>0.18562400000000026</v>
      </c>
      <c r="EM64" s="66">
        <f>MAX(INDEX(Properties!A$1:CB$87,Formula!B64,46),INDEX(Properties!A$1:CB$87,Formula!D64,46),INDEX(Properties!A$1:CB$87,Formula!F64,46),INDEX(Properties!A$1:CB$87,Formula!H64,46),INDEX(Properties!A$1:CB$87,Formula!J64,46))</f>
        <v>1.21</v>
      </c>
      <c r="EN64" s="66">
        <f>MIN(IF(INDEX(Properties!A$1:CB$87,Formula!B64,46)=0,10^6,INDEX(Properties!A$1:CB$87,Formula!B64,46)),IF(INDEX(Properties!A$1:CB$87,Formula!D64,46)=0,10^6,INDEX(Properties!A$1:CB$87,Formula!D64,46)),IF(INDEX(Properties!A$1:CB$87,Formula!F64,46)=0,10^6,INDEX(Properties!A$1:CB$87,Formula!F64,46)),IF(INDEX(Properties!A$1:CB$87,Formula!H64,46)=0,10^6,INDEX(Properties!A$1:CB$87,Formula!H64,46)),IF(INDEX(Properties!A$1:CB$87,Formula!J64,46)=0,10^6,INDEX(Properties!A$1:CB$87,Formula!J64,46)))</f>
        <v>0.53</v>
      </c>
      <c r="EO64" s="66">
        <f t="shared" si="23"/>
        <v>0.67999999999999994</v>
      </c>
      <c r="EP64" s="81">
        <f>((Formula!C64)/(Formula!C64+Formula!E64+Formula!G64+Formula!I64+Formula!K64))*(INDEX(Properties!A$1:CB$87,Formula!B64,52))+((Formula!E64)/(Formula!C64+Formula!E64+Formula!G64+Formula!I64+Formula!K64))*(INDEX(Properties!A$1:CB$87,Formula!D64,52))+((Formula!G64)/(Formula!C64+Formula!E64+Formula!G64+Formula!I64+Formula!K64))*(INDEX(Properties!A$1:CB$87,Formula!F64,52))+((Formula!I64)/(Formula!C64+Formula!E64+Formula!G64+Formula!I64+Formula!K64))*(INDEX(Properties!A$1:CB$87,Formula!H64,52))+((Formula!K64)/(Formula!C64+Formula!E64+Formula!G64+Formula!I64+Formula!K64))*(INDEX(Properties!A$1:CB$87,Formula!J64,52))</f>
        <v>8.0388571428571414</v>
      </c>
      <c r="EQ64" s="81">
        <f>Formula!C64*(INDEX(Properties!A$1:CB$87,Formula!B64,52))+Formula!E64*(INDEX(Properties!A$1:CB$87,Formula!D64,52))+Formula!G64*(INDEX(Properties!A$1:CB$87,Formula!F64,52))+Formula!I64*(INDEX(Properties!A$1:CB$87,Formula!H64,52))+Formula!K64*(INDEX(Properties!A$1:CB$87,Formula!J64,52))</f>
        <v>56.271999999999998</v>
      </c>
      <c r="ER64" s="81">
        <f>VARP(IF(INDEX(Properties!A$1:CB$87,Formula!B64,52)&lt;&gt;"",INDEX(Properties!A$1:CB$87,Formula!B64,52)),IF(INDEX(Properties!A$1:CB$87,Formula!D64,52)&lt;&gt;"",INDEX(Properties!A$1:CB$87,Formula!D64,52)),IF(INDEX(Properties!A$1:CB$87,Formula!F64,52)&lt;&gt;"",INDEX(Properties!A$1:CB$87,Formula!F64,52)),IF(INDEX(Properties!A$1:CB$87,Formula!H64,52)&lt;&gt;"",INDEX(Properties!A$1:CB$87,Formula!H64,52)),IF(INDEX(Properties!A$1:CB$87,Formula!J64,52)&lt;&gt;"",INDEX(Properties!A$1:CB$87,Formula!J64,52)))</f>
        <v>112.54555184</v>
      </c>
      <c r="ES64" s="81">
        <f>MAX(INDEX(Properties!A$1:CB$87,Formula!B64,52),INDEX(Properties!A$1:CB$87,Formula!D64,52),INDEX(Properties!A$1:CB$87,Formula!F64,52),INDEX(Properties!A$1:CB$87,Formula!H64,52),INDEX(Properties!A$1:CB$87,Formula!J64,52))</f>
        <v>24.3</v>
      </c>
      <c r="ET64" s="81">
        <f>MIN(IF(INDEX(Properties!A$1:CB$87,Formula!B64,52)=0,10^6,INDEX(Properties!A$1:CB$87,Formula!B64,52)),IF(INDEX(Properties!A$1:CB$87,Formula!D64,52)=0,10^6,INDEX(Properties!A$1:CB$87,Formula!D64,52)),IF(INDEX(Properties!A$1:CB$87,Formula!F64,52)=0,10^6,INDEX(Properties!A$1:CB$87,Formula!F64,52)),IF(INDEX(Properties!A$1:CB$87,Formula!H64,52)=0,10^6,INDEX(Properties!A$1:CB$87,Formula!H64,52)),IF(INDEX(Properties!A$1:CB$87,Formula!J64,52)=0,10^6,INDEX(Properties!A$1:CB$87,Formula!J64,52)))</f>
        <v>0.79300000000000004</v>
      </c>
      <c r="EU64" s="81">
        <f t="shared" si="24"/>
        <v>23.507000000000001</v>
      </c>
      <c r="EV64" s="39">
        <f>((Formula!C64)/(Formula!C64+Formula!E64+Formula!G64+Formula!I64+Formula!K64))*(INDEX(Properties!A$1:CB$87,Formula!B64,53))+((Formula!E64)/(Formula!C64+Formula!E64+Formula!G64+Formula!I64+Formula!K64))*(INDEX(Properties!A$1:CB$87,Formula!D64,53))+((Formula!G64)/(Formula!C64+Formula!E64+Formula!G64+Formula!I64+Formula!K64))*(INDEX(Properties!A$1:CB$87,Formula!F64,53))+((Formula!I64)/(Formula!C64+Formula!E64+Formula!G64+Formula!I64+Formula!K64))*(INDEX(Properties!A$1:CB$87,Formula!H64,53))+((Formula!K64)/(Formula!C64+Formula!E64+Formula!G64+Formula!I64+Formula!K64))*(INDEX(Properties!A$1:CB$87,Formula!J64,53))</f>
        <v>527.04999999999995</v>
      </c>
      <c r="EW64" s="39">
        <f>Formula!C64*(INDEX(Properties!A$1:CB$87,Formula!B64,53))+Formula!E64*(INDEX(Properties!A$1:CB$87,Formula!D64,53))+Formula!G64*(INDEX(Properties!A$1:CB$87,Formula!F64,53))+Formula!I64*(INDEX(Properties!A$1:CB$87,Formula!H64,53))+Formula!K64*(INDEX(Properties!A$1:CB$87,Formula!J64,53))</f>
        <v>3689.3500000000004</v>
      </c>
      <c r="EX64" s="39">
        <f>VARP(IF(INDEX(Properties!A$1:CB$87,Formula!B64,53)&lt;&gt;"",INDEX(Properties!A$1:CB$87,Formula!B64,53)),IF(INDEX(Properties!A$1:CB$87,Formula!D64,53)&lt;&gt;"",INDEX(Properties!A$1:CB$87,Formula!D64,53)),IF(INDEX(Properties!A$1:CB$87,Formula!F64,53)&lt;&gt;"",INDEX(Properties!A$1:CB$87,Formula!F64,53)),IF(INDEX(Properties!A$1:CB$87,Formula!H64,53)&lt;&gt;"",INDEX(Properties!A$1:CB$87,Formula!H64,53)),IF(INDEX(Properties!A$1:CB$87,Formula!J64,53)&lt;&gt;"",INDEX(Properties!A$1:CB$87,Formula!J64,53)))</f>
        <v>487885.40159999981</v>
      </c>
      <c r="EY64" s="39">
        <f>MAX(INDEX(Properties!A$1:CB$87,Formula!B64,53),INDEX(Properties!A$1:CB$87,Formula!D64,53),INDEX(Properties!A$1:CB$87,Formula!F64,53),INDEX(Properties!A$1:CB$87,Formula!H64,53),INDEX(Properties!A$1:CB$87,Formula!J64,53))</f>
        <v>1796.15</v>
      </c>
      <c r="EZ64" s="39">
        <f>MIN(IF(INDEX(Properties!A$1:CB$87,Formula!B64,53)=0,10^6,INDEX(Properties!A$1:CB$87,Formula!B64,53)),IF(INDEX(Properties!A$1:CB$87,Formula!D64,53)=0,10^6,INDEX(Properties!A$1:CB$87,Formula!D64,53)),IF(INDEX(Properties!A$1:CB$87,Formula!F64,53)=0,10^6,INDEX(Properties!A$1:CB$87,Formula!F64,53)),IF(INDEX(Properties!A$1:CB$87,Formula!H64,53)=0,10^6,INDEX(Properties!A$1:CB$87,Formula!H64,53)),IF(INDEX(Properties!A$1:CB$87,Formula!J64,53)=0,10^6,INDEX(Properties!A$1:CB$87,Formula!J64,53)))</f>
        <v>54.749999999999972</v>
      </c>
      <c r="FA64" s="39">
        <f t="shared" si="25"/>
        <v>1741.4</v>
      </c>
      <c r="FB64" s="54">
        <f>((Formula!C64)/(Formula!C64+Formula!E64+Formula!G64+Formula!I64+Formula!K64))*(INDEX(Properties!A$1:CB$87,Formula!B64,54))+((Formula!E64)/(Formula!C64+Formula!E64+Formula!G64+Formula!I64+Formula!K64))*(INDEX(Properties!A$1:CB$87,Formula!D64,54))+((Formula!G64)/(Formula!C64+Formula!E64+Formula!G64+Formula!I64+Formula!K64))*(INDEX(Properties!A$1:CB$87,Formula!F64,54))+((Formula!I64)/(Formula!C64+Formula!E64+Formula!G64+Formula!I64+Formula!K64))*(INDEX(Properties!A$1:CB$87,Formula!H64,54))+((Formula!K64)/(Formula!C64+Formula!E64+Formula!G64+Formula!I64+Formula!K64))*(INDEX(Properties!A$1:CB$87,Formula!J64,54))</f>
        <v>1241.2928571428572</v>
      </c>
      <c r="FC64" s="54">
        <f>Formula!C64*(INDEX(Properties!A$1:CB$87,Formula!B64,54))+Formula!E64*(INDEX(Properties!A$1:CB$87,Formula!D64,54))+Formula!G64*(INDEX(Properties!A$1:CB$87,Formula!F64,54))+Formula!I64*(INDEX(Properties!A$1:CB$87,Formula!H64,54))+Formula!K64*(INDEX(Properties!A$1:CB$87,Formula!J64,54))</f>
        <v>8689.0500000000011</v>
      </c>
      <c r="FD64" s="54">
        <f>VARP(IF(INDEX(Properties!A$1:CB$87,Formula!B64,54)&lt;&gt;"",INDEX(Properties!A$1:CB$87,Formula!B64,54)),IF(INDEX(Properties!A$1:CB$87,Formula!D64,54)&lt;&gt;"",INDEX(Properties!A$1:CB$87,Formula!D64,54)),IF(INDEX(Properties!A$1:CB$87,Formula!F64,54)&lt;&gt;"",INDEX(Properties!A$1:CB$87,Formula!F64,54)),IF(INDEX(Properties!A$1:CB$87,Formula!H64,54)&lt;&gt;"",INDEX(Properties!A$1:CB$87,Formula!H64,54)),IF(INDEX(Properties!A$1:CB$87,Formula!J64,54)&lt;&gt;"",INDEX(Properties!A$1:CB$87,Formula!J64,54)))</f>
        <v>2220998.8596000005</v>
      </c>
      <c r="FE64" s="54">
        <f>MAX(INDEX(Properties!A$1:CB$87,Formula!B64,54),INDEX(Properties!A$1:CB$87,Formula!D64,54),INDEX(Properties!A$1:CB$87,Formula!F64,54),INDEX(Properties!A$1:CB$87,Formula!H64,54),INDEX(Properties!A$1:CB$87,Formula!J64,54))</f>
        <v>3610.15</v>
      </c>
      <c r="FF64" s="54">
        <f>MIN(IF(INDEX(Properties!A$1:CB$87,Formula!B64,54)=0,10^6,INDEX(Properties!A$1:CB$87,Formula!B64,54)),IF(INDEX(Properties!A$1:CB$87,Formula!D64,54)=0,10^6,INDEX(Properties!A$1:CB$87,Formula!D64,54)),IF(INDEX(Properties!A$1:CB$87,Formula!F64,54)=0,10^6,INDEX(Properties!A$1:CB$87,Formula!F64,54)),IF(INDEX(Properties!A$1:CB$87,Formula!H64,54)=0,10^6,INDEX(Properties!A$1:CB$87,Formula!H64,54)),IF(INDEX(Properties!A$1:CB$87,Formula!J64,54)=0,10^6,INDEX(Properties!A$1:CB$87,Formula!J64,54)))</f>
        <v>90.149999999999977</v>
      </c>
      <c r="FG64" s="54">
        <f t="shared" si="26"/>
        <v>3520</v>
      </c>
      <c r="FH64" s="69">
        <f>((Formula!C64)/(Formula!C64+Formula!E64+Formula!G64+Formula!I64+Formula!K64))*(INDEX(Properties!A$1:CB$87,Formula!B64,55))+((Formula!E64)/(Formula!C64+Formula!E64+Formula!G64+Formula!I64+Formula!K64))*(INDEX(Properties!A$1:CB$87,Formula!D64,55))+((Formula!G64)/(Formula!C64+Formula!E64+Formula!G64+Formula!I64+Formula!K64))*(INDEX(Properties!A$1:CB$87,Formula!F64,55))+((Formula!I64)/(Formula!C64+Formula!E64+Formula!G64+Formula!I64+Formula!K64))*(INDEX(Properties!A$1:CB$87,Formula!H64,55))+((Formula!K64)/(Formula!C64+Formula!E64+Formula!G64+Formula!I64+Formula!K64))*(INDEX(Properties!A$1:CB$87,Formula!J64,55))</f>
        <v>1.4758171428571427</v>
      </c>
      <c r="FI64" s="69">
        <f>Formula!C64*(INDEX(Properties!A$1:CB$87,Formula!B64,55))+Formula!E64*(INDEX(Properties!A$1:CB$87,Formula!D64,54))+Formula!G64*(INDEX(Properties!A$1:CB$87,Formula!F64,55))+Formula!I64*(INDEX(Properties!A$1:CB$87,Formula!H64,55))+Formula!K64*(INDEX(Properties!A$1:CB$87,Formula!J64,55))</f>
        <v>3616.0107200000002</v>
      </c>
      <c r="FJ64" s="69">
        <f>VARP(IF(INDEX(Properties!A$1:CB$87,Formula!B64,55)&lt;&gt;"",INDEX(Properties!A$1:CB$87,Formula!B64,55)),IF(INDEX(Properties!A$1:CB$87,Formula!D64,55)&lt;&gt;"",INDEX(Properties!A$1:CB$87,Formula!D64,55)),IF(INDEX(Properties!A$1:CB$87,Formula!F64,55)&lt;&gt;"",INDEX(Properties!A$1:CB$87,Formula!F64,55)),IF(INDEX(Properties!A$1:CB$87,Formula!H64,55)&lt;&gt;"",INDEX(Properties!A$1:CB$87,Formula!H64,55)),IF(INDEX(Properties!A$1:CB$87,Formula!J64,55)&lt;&gt;"",INDEX(Properties!A$1:CB$87,Formula!J64,55)))</f>
        <v>5.4484991471840001</v>
      </c>
      <c r="FK64" s="69">
        <f>MAX(INDEX(Properties!A$1:CB$87,Formula!B64,55),INDEX(Properties!A$1:CB$87,Formula!D64,55),INDEX(Properties!A$1:CB$87,Formula!F64,55),INDEX(Properties!A$1:CB$87,Formula!H64,55),INDEX(Properties!A$1:CB$87,Formula!J64,55))</f>
        <v>5.32</v>
      </c>
      <c r="FL64" s="69">
        <f>MIN(IF(INDEX(Properties!A$1:CB$87,Formula!B64,55)=0,10^6,INDEX(Properties!A$1:CB$87,Formula!B64,55)),IF(INDEX(Properties!A$1:CB$87,Formula!D64,55)=0,10^6,INDEX(Properties!A$1:CB$87,Formula!D64,55)),IF(INDEX(Properties!A$1:CB$87,Formula!F64,55)=0,10^6,INDEX(Properties!A$1:CB$87,Formula!F64,55)),IF(INDEX(Properties!A$1:CB$87,Formula!H64,55)=0,10^6,INDEX(Properties!A$1:CB$87,Formula!H64,55)),IF(INDEX(Properties!A$1:CB$87,Formula!J64,55)=0,10^6,INDEX(Properties!A$1:CB$87,Formula!J64,55)))</f>
        <v>1.4300000000000001E-3</v>
      </c>
      <c r="FM64" s="69">
        <f t="shared" si="27"/>
        <v>5.3185700000000002</v>
      </c>
      <c r="FN64" s="42">
        <f>((Formula!C64)/(Formula!C64+Formula!E64+Formula!G64+Formula!I64+Formula!K64))*(INDEX(Properties!A$1:CB$87,Formula!B64,56))+((Formula!E64)/(Formula!C64+Formula!E64+Formula!G64+Formula!I64+Formula!K64))*(INDEX(Properties!A$1:CB$87,Formula!D64,56))+((Formula!G64)/(Formula!C64+Formula!E64+Formula!G64+Formula!I64+Formula!K64))*(INDEX(Properties!A$1:CB$87,Formula!F64,56))+((Formula!I64)/(Formula!C64+Formula!E64+Formula!G64+Formula!I64+Formula!K64))*(INDEX(Properties!A$1:CB$87,Formula!H64,56))+((Formula!K64)/(Formula!C64+Formula!E64+Formula!G64+Formula!I64+Formula!K64))*(INDEX(Properties!A$1:CB$87,Formula!J64,56))</f>
        <v>1.1285714285714286</v>
      </c>
      <c r="FO64" s="42">
        <f>Formula!C64*(INDEX(Properties!A$1:CB$87,Formula!B64,56))+Formula!E64*(INDEX(Properties!A$1:CB$87,Formula!D64,56))+Formula!G64*(INDEX(Properties!A$1:CB$87,Formula!F64,56))+Formula!I64*(INDEX(Properties!A$1:CB$87,Formula!H64,56))+Formula!K64*(INDEX(Properties!A$1:CB$87,Formula!J64,56))</f>
        <v>7.9</v>
      </c>
      <c r="FP64" s="42">
        <f>VARP(IF(INDEX(Properties!A$1:CB$87,Formula!B64,56)&lt;&gt;"",INDEX(Properties!A$1:CB$87,Formula!B64,56)),IF(INDEX(Properties!A$1:CB$87,Formula!D64,56)&lt;&gt;"",INDEX(Properties!A$1:CB$87,Formula!D64,56)),IF(INDEX(Properties!A$1:CB$87,Formula!F64,56)&lt;&gt;"",INDEX(Properties!A$1:CB$87,Formula!F64,56)),IF(INDEX(Properties!A$1:CB$87,Formula!H64,56)&lt;&gt;"",INDEX(Properties!A$1:CB$87,Formula!H64,56)),IF(INDEX(Properties!A$1:CB$87,Formula!J64,56)&lt;&gt;"",INDEX(Properties!A$1:CB$87,Formula!J64,56)))</f>
        <v>1.7429760000000001</v>
      </c>
      <c r="FQ64" s="42">
        <f>MAX(INDEX(Properties!A$1:CB$87,Formula!B64,56),INDEX(Properties!A$1:CB$87,Formula!D64,56),INDEX(Properties!A$1:CB$87,Formula!F64,56),INDEX(Properties!A$1:CB$87,Formula!H64,56),INDEX(Properties!A$1:CB$87,Formula!J64,56))</f>
        <v>3.6</v>
      </c>
      <c r="FR64" s="42">
        <f>MIN(IF(INDEX(Properties!A$1:CB$87,Formula!B64,56)=0,10^6,INDEX(Properties!A$1:CB$87,Formula!B64,56)),IF(INDEX(Properties!A$1:CB$87,Formula!D64,56)=0,10^6,INDEX(Properties!A$1:CB$87,Formula!D64,56)),IF(INDEX(Properties!A$1:CB$87,Formula!F64,56)=0,10^6,INDEX(Properties!A$1:CB$87,Formula!F64,56)),IF(INDEX(Properties!A$1:CB$87,Formula!H64,56)=0,10^6,INDEX(Properties!A$1:CB$87,Formula!H64,56)),IF(INDEX(Properties!A$1:CB$87,Formula!J64,56)=0,10^6,INDEX(Properties!A$1:CB$87,Formula!J64,56)))</f>
        <v>0.3</v>
      </c>
      <c r="FS64" s="42">
        <f t="shared" si="28"/>
        <v>3.3000000000000003</v>
      </c>
      <c r="FT64" s="60">
        <f>((Formula!C64)/(Formula!C64+Formula!E64+Formula!G64+Formula!I64+Formula!K64))*(INDEX(Properties!A$1:CB$87,Formula!B64,57))+((Formula!E64)/(Formula!C64+Formula!E64+Formula!G64+Formula!I64+Formula!K64))*(INDEX(Properties!A$1:CB$87,Formula!D64,57))+((Formula!G64)/(Formula!C64+Formula!E64+Formula!G64+Formula!I64+Formula!K64))*(INDEX(Properties!A$1:CB$87,Formula!F64,57))+((Formula!I64)/(Formula!C64+Formula!E64+Formula!G64+Formula!I64+Formula!K64))*(INDEX(Properties!A$1:CB$87,Formula!H64,57))+((Formula!K64)/(Formula!C64+Formula!E64+Formula!G64+Formula!I64+Formula!K64))*(INDEX(Properties!A$1:CB$87,Formula!J64,57))</f>
        <v>7.461479999999999</v>
      </c>
      <c r="FU64" s="60">
        <f>Formula!C64*(INDEX(Properties!A$1:CB$87,Formula!B64,57))+Formula!E64*(INDEX(Properties!A$1:CB$87,Formula!D64,57))+Formula!G64*(INDEX(Properties!A$1:CB$87,Formula!F64,57))+Formula!I64*(INDEX(Properties!A$1:CB$87,Formula!H64,57))+Formula!K64*(INDEX(Properties!A$1:CB$87,Formula!J64,57))</f>
        <v>52.230359999999997</v>
      </c>
      <c r="FV64" s="60">
        <f>VARP(IF(INDEX(Properties!A$1:CB$87,Formula!B64,57)&lt;&gt;"",INDEX(Properties!A$1:CB$87,Formula!B64,57)),IF(INDEX(Properties!A$1:CB$87,Formula!D64,57)&lt;&gt;"",INDEX(Properties!A$1:CB$87,Formula!D64,57)),IF(INDEX(Properties!A$1:CB$87,Formula!F64,57)&lt;&gt;"",INDEX(Properties!A$1:CB$87,Formula!F64,57)),IF(INDEX(Properties!A$1:CB$87,Formula!H64,57)&lt;&gt;"",INDEX(Properties!A$1:CB$87,Formula!H64,57)),IF(INDEX(Properties!A$1:CB$87,Formula!J64,57)&lt;&gt;"",INDEX(Properties!A$1:CB$87,Formula!J64,57)))</f>
        <v>194.36660176129598</v>
      </c>
      <c r="FW64" s="60">
        <f>MAX(INDEX(Properties!A$1:CB$87,Formula!B64,57),INDEX(Properties!A$1:CB$87,Formula!D64,57),INDEX(Properties!A$1:CB$87,Formula!F64,57),INDEX(Properties!A$1:CB$87,Formula!H64,57),INDEX(Properties!A$1:CB$87,Formula!J64,57))</f>
        <v>36.94</v>
      </c>
      <c r="FX64" s="60">
        <f>MIN(IF(INDEX(Properties!A$1:CB$87,Formula!B64,57)=0,10^6,INDEX(Properties!A$1:CB$87,Formula!B64,57)),IF(INDEX(Properties!A$1:CB$87,Formula!D64,57)=0,10^6,INDEX(Properties!A$1:CB$87,Formula!D64,57)),IF(INDEX(Properties!A$1:CB$87,Formula!F64,57)=0,10^6,INDEX(Properties!A$1:CB$87,Formula!F64,57)),IF(INDEX(Properties!A$1:CB$87,Formula!H64,57)=0,10^6,INDEX(Properties!A$1:CB$87,Formula!H64,57)),IF(INDEX(Properties!A$1:CB$87,Formula!J64,57)=0,10^6,INDEX(Properties!A$1:CB$87,Formula!J64,57)))</f>
        <v>0.22259000000000001</v>
      </c>
      <c r="FY64" s="60">
        <f t="shared" si="29"/>
        <v>36.717410000000001</v>
      </c>
      <c r="FZ64" s="72">
        <f>((Formula!C64)/(Formula!C64+Formula!E64+Formula!G64+Formula!I64+Formula!K64))*(INDEX(Properties!A$1:CB$87,Formula!B64,60))+((Formula!E64)/(Formula!C64+Formula!E64+Formula!G64+Formula!I64+Formula!K64))*(INDEX(Properties!A$1:CB$87,Formula!D64,60))+((Formula!G64)/(Formula!C64+Formula!E64+Formula!G64+Formula!I64+Formula!K64))*(INDEX(Properties!A$1:CB$87,Formula!F64,60))+((Formula!I64)/(Formula!C64+Formula!E64+Formula!G64+Formula!I64+Formula!K64))*(INDEX(Properties!A$1:CB$87,Formula!H64,60))+((Formula!K64)/(Formula!C64+Formula!E64+Formula!G64+Formula!I64+Formula!K64))*(INDEX(Properties!A$1:CB$87,Formula!J64,60))</f>
        <v>23.129565714285715</v>
      </c>
      <c r="GA64" s="72">
        <f>Formula!C64*(INDEX(Properties!A$1:CB$87,Formula!B64,60))+Formula!E64*(INDEX(Properties!A$1:CB$87,Formula!D64,60))+Formula!G64*(INDEX(Properties!A$1:CB$87,Formula!F64,60))+Formula!I64*(INDEX(Properties!A$1:CB$87,Formula!H64,60))+Formula!K64*(INDEX(Properties!A$1:CB$87,Formula!J64,60))</f>
        <v>161.90696</v>
      </c>
      <c r="GB64" s="72">
        <f>VARP(IF(INDEX(Properties!A$1:CB$87,Formula!B64,60)&lt;&gt;"",INDEX(Properties!A$1:CB$87,Formula!B64,60)),IF(INDEX(Properties!A$1:CB$87,Formula!D64,60)&lt;&gt;"",INDEX(Properties!A$1:CB$87,Formula!D64,60)),IF(INDEX(Properties!A$1:CB$87,Formula!F64,60)&lt;&gt;"",INDEX(Properties!A$1:CB$87,Formula!F64,60)),IF(INDEX(Properties!A$1:CB$87,Formula!H64,60)&lt;&gt;"",INDEX(Properties!A$1:CB$87,Formula!H64,60)),IF(INDEX(Properties!A$1:CB$87,Formula!J64,60)&lt;&gt;"",INDEX(Properties!A$1:CB$87,Formula!J64,60)))</f>
        <v>1164.0723918444162</v>
      </c>
      <c r="GC64" s="72">
        <f>MAX(INDEX(Properties!A$1:CB$87,Formula!B64,60),INDEX(Properties!A$1:CB$87,Formula!D64,60),INDEX(Properties!A$1:CB$87,Formula!F64,60),INDEX(Properties!A$1:CB$87,Formula!H64,60),INDEX(Properties!A$1:CB$87,Formula!J64,60))</f>
        <v>84.7</v>
      </c>
      <c r="GD64" s="72">
        <f>MIN(IF(INDEX(Properties!A$1:CB$87,Formula!B64,60)=0,10^6,INDEX(Properties!A$1:CB$87,Formula!B64,60)),IF(INDEX(Properties!A$1:CB$87,Formula!D64,60)=0,10^6,INDEX(Properties!A$1:CB$87,Formula!D64,60)),IF(INDEX(Properties!A$1:CB$87,Formula!F64,60)=0,10^6,INDEX(Properties!A$1:CB$87,Formula!F64,60)),IF(INDEX(Properties!A$1:CB$87,Formula!H64,60)=0,10^6,INDEX(Properties!A$1:CB$87,Formula!H64,60)),IF(INDEX(Properties!A$1:CB$87,Formula!J64,60)=0,10^6,INDEX(Properties!A$1:CB$87,Formula!J64,60)))</f>
        <v>2.674E-2</v>
      </c>
      <c r="GE64" s="72">
        <f t="shared" si="30"/>
        <v>84.673259999999999</v>
      </c>
      <c r="GF64" s="51">
        <f>((Formula!C64)/(Formula!C64+Formula!E64+Formula!G64+Formula!I64+Formula!K64))*(INDEX(Properties!A$1:CB$87,Formula!B64,62))+((Formula!E64)/(Formula!C64+Formula!E64+Formula!G64+Formula!I64+Formula!K64))*(INDEX(Properties!A$1:CB$87,Formula!D64,62))+((Formula!G64)/(Formula!C64+Formula!E64+Formula!G64+Formula!I64+Formula!K64))*(INDEX(Properties!A$1:CB$87,Formula!F64,62))+((Formula!I64)/(Formula!C64+Formula!E64+Formula!G64+Formula!I64+Formula!K64))*(INDEX(Properties!A$1:CB$87,Formula!H64,62))+((Formula!K64)/(Formula!C64+Formula!E64+Formula!G64+Formula!I64+Formula!K64))*(INDEX(Properties!A$1:CB$87,Formula!J64,62))</f>
        <v>2.9042857142857139</v>
      </c>
      <c r="GG64" s="51">
        <f>Formula!C64*(INDEX(Properties!A$1:CB$87,Formula!B64,62))+Formula!E64*(INDEX(Properties!A$1:CB$87,Formula!D64,62))+Formula!G64*(INDEX(Properties!A$1:CB$87,Formula!F64,62))+Formula!I64*(INDEX(Properties!A$1:CB$87,Formula!H64,62))+Formula!K64*(INDEX(Properties!A$1:CB$87,Formula!J64,62))</f>
        <v>20.329999999999998</v>
      </c>
      <c r="GH64" s="51">
        <f>VARP(IF(INDEX(Properties!A$1:CB$87,Formula!B64,62)&lt;&gt;"",INDEX(Properties!A$1:CB$87,Formula!B64,62)),IF(INDEX(Properties!A$1:CB$87,Formula!D64,62)&lt;&gt;"",INDEX(Properties!A$1:CB$87,Formula!D64,62)),IF(INDEX(Properties!A$1:CB$87,Formula!F64,62)&lt;&gt;"",INDEX(Properties!A$1:CB$87,Formula!F64,62)),IF(INDEX(Properties!A$1:CB$87,Formula!H64,62)&lt;&gt;"",INDEX(Properties!A$1:CB$87,Formula!H64,62)),IF(INDEX(Properties!A$1:CB$87,Formula!J64,62)&lt;&gt;"",INDEX(Properties!A$1:CB$87,Formula!J64,62)))</f>
        <v>2.4681040000000021</v>
      </c>
      <c r="GI64" s="51">
        <f>MAX(INDEX(Properties!A$1:CB$87,Formula!B64,62),INDEX(Properties!A$1:CB$87,Formula!D64,62),INDEX(Properties!A$1:CB$87,Formula!F64,62),INDEX(Properties!A$1:CB$87,Formula!H64,62),INDEX(Properties!A$1:CB$87,Formula!J64,62))</f>
        <v>4.37</v>
      </c>
      <c r="GJ64" s="51">
        <f>MIN(IF(INDEX(Properties!A$1:CB$87,Formula!B64,62)=0,10^6,INDEX(Properties!A$1:CB$87,Formula!B64,62)),IF(INDEX(Properties!A$1:CB$87,Formula!D64,62)=0,10^6,INDEX(Properties!A$1:CB$87,Formula!D64,62)),IF(INDEX(Properties!A$1:CB$87,Formula!F64,62)=0,10^6,INDEX(Properties!A$1:CB$87,Formula!F64,62)),IF(INDEX(Properties!A$1:CB$87,Formula!H64,62)=0,10^6,INDEX(Properties!A$1:CB$87,Formula!H64,62)),IF(INDEX(Properties!A$1:CB$87,Formula!J64,62)=0,10^6,INDEX(Properties!A$1:CB$87,Formula!J64,62)))</f>
        <v>1.63</v>
      </c>
      <c r="GK64" s="51">
        <f t="shared" si="31"/>
        <v>2.74</v>
      </c>
      <c r="GL64" s="51">
        <f>Formula!P64</f>
        <v>62</v>
      </c>
      <c r="GM64" s="57">
        <f>Formula!O64</f>
        <v>3</v>
      </c>
      <c r="GN64" s="51">
        <f>Formula!N64</f>
        <v>0.1</v>
      </c>
    </row>
    <row r="65" spans="1:196" x14ac:dyDescent="0.3">
      <c r="A65" s="84" t="str">
        <f>Formula!A65</f>
        <v>MgP2O6</v>
      </c>
      <c r="B65" s="89">
        <f>((Formula!C65)/(Formula!C65+Formula!E65+Formula!G65+Formula!I65+Formula!K65))*(INDEX(Properties!A$1:CB$87,Formula!B65,3))+((Formula!E65)/(Formula!C65+Formula!E65+Formula!G65+Formula!I65+Formula!K65))*(INDEX(Properties!A$1:CB$87,Formula!D65,3))+((Formula!G65)/(Formula!C65+Formula!E65+Formula!G65+Formula!I65+Formula!K65))*(INDEX(Properties!A$1:CB$87,Formula!F65,3))+((Formula!I65)/(Formula!C65+Formula!E65+Formula!G65+Formula!I65+Formula!K65))*(INDEX(Properties!A$1:CB$87,Formula!H65,3))+((Formula!K65)/(Formula!C65+Formula!E65+Formula!G65+Formula!I65+Formula!K65))*(INDEX(Properties!A$1:CB$87,Formula!J65,3))</f>
        <v>20.249880444444443</v>
      </c>
      <c r="C65" s="85">
        <f>Formula!C65*(INDEX(Properties!A$1:CB$87,Formula!B65,3))+Formula!E65*(INDEX(Properties!A$1:CB$87,Formula!D65,3))+Formula!G65*(INDEX(Properties!A$1:CB$87,Formula!F65,3))+Formula!I65*(INDEX(Properties!A$1:CB$87,Formula!H65,3))+Formula!K65*(INDEX(Properties!A$1:CB$87,Formula!J65,3))</f>
        <v>182.24892399999999</v>
      </c>
      <c r="D65" s="85">
        <f>VARP(IF(INDEX(Properties!A$1:CB$87,Formula!B65,3)&lt;&gt;"",INDEX(Properties!A$1:CB$87,Formula!B65,3)),IF(INDEX(Properties!A$1:CB$87,Formula!D65,3)&lt;&gt;"",INDEX(Properties!A$1:CB$87,Formula!D65,3)),IF(INDEX(Properties!A$1:CB$87,Formula!F65,3)&lt;&gt;"",INDEX(Properties!A$1:CB$87,Formula!F65,3)),IF(INDEX(Properties!A$1:CB$87,Formula!H65,3)&lt;&gt;"",INDEX(Properties!A$1:CB$87,Formula!H65,3)),IF(INDEX(Properties!A$1:CB$87,Formula!J65,3)&lt;&gt;"",INDEX(Properties!A$1:CB$87,Formula!J65,3)))</f>
        <v>157.99449643459906</v>
      </c>
      <c r="E65" s="85">
        <f>MAX(INDEX(Properties!A$1:CB$87,Formula!B65,3),INDEX(Properties!A$1:CB$87,Formula!D65,3),INDEX(Properties!A$1:CB$87,Formula!F65,3),INDEX(Properties!A$1:CB$87,Formula!H65,3),INDEX(Properties!A$1:CB$87,Formula!J65,3))</f>
        <v>30.973762000000001</v>
      </c>
      <c r="F65" s="85">
        <f>MIN(IF(INDEX(Properties!A$1:CB$87,Formula!B65,3)=0,10^6,INDEX(Properties!A$1:CB$87,Formula!B65,3)),IF(INDEX(Properties!A$1:CB$87,Formula!D65,3)=0,10^6,INDEX(Properties!A$1:CB$87,Formula!D65,3)),IF(INDEX(Properties!A$1:CB$87,Formula!F65,3)=0,10^6,INDEX(Properties!A$1:CB$87,Formula!F65,3)),IF(INDEX(Properties!A$1:CB$87,Formula!H65,3)=0,10^6,INDEX(Properties!A$1:CB$87,Formula!H65,3)),IF(INDEX(Properties!A$1:CB$87,Formula!J65,3)=0,10^6,INDEX(Properties!A$1:CB$87,Formula!J65,3)))</f>
        <v>15.9994</v>
      </c>
      <c r="G65" s="85">
        <f t="shared" si="0"/>
        <v>14.974362000000001</v>
      </c>
      <c r="H65" s="87">
        <f>((Formula!C65)/(Formula!C65+Formula!E65+Formula!G65+Formula!I65+Formula!K65))*(INDEX(Properties!A$1:CB$87,Formula!B65,4))+((Formula!E65)/(Formula!C65+Formula!E65+Formula!G65+Formula!I65+Formula!K65))*(INDEX(Properties!A$1:CB$87,Formula!D65,4))+((Formula!G65)/(Formula!C65+Formula!E65+Formula!G65+Formula!I65+Formula!K65))*(INDEX(Properties!A$1:CB$87,Formula!F65,4))+((Formula!I65)/(Formula!C65+Formula!E65+Formula!G65+Formula!I65+Formula!K65))*(INDEX(Properties!A$1:CB$87,Formula!H65,4))+((Formula!K65)/(Formula!C65+Formula!E65+Formula!G65+Formula!I65+Formula!K65))*(INDEX(Properties!A$1:CB$87,Formula!J65,4))</f>
        <v>10</v>
      </c>
      <c r="I65" s="87">
        <f>Formula!C65*(INDEX(Properties!A$1:CB$87,Formula!B65,4))+Formula!E65*(INDEX(Properties!A$1:CB$87,Formula!D65,4))+Formula!G65*(INDEX(Properties!A$1:CB$87,Formula!F65,4))+Formula!I65*(INDEX(Properties!A$1:CB$87,Formula!H65,4))+Formula!K65*(INDEX(Properties!A$1:CB$87,Formula!J65,4))</f>
        <v>90</v>
      </c>
      <c r="J65" s="87">
        <f>VARP(IF(INDEX(Properties!A$1:CB$87,Formula!B65,4)&lt;&gt;"",INDEX(Properties!A$1:CB$87,Formula!B65,4)),IF(INDEX(Properties!A$1:CB$87,Formula!D65,4)&lt;&gt;"",INDEX(Properties!A$1:CB$87,Formula!D65,4)),IF(INDEX(Properties!A$1:CB$87,Formula!F65,4)&lt;&gt;"",INDEX(Properties!A$1:CB$87,Formula!F65,4)),IF(INDEX(Properties!A$1:CB$87,Formula!H65,4)&lt;&gt;"",INDEX(Properties!A$1:CB$87,Formula!H65,4)),IF(INDEX(Properties!A$1:CB$87,Formula!J65,4)&lt;&gt;"",INDEX(Properties!A$1:CB$87,Formula!J65,4)))</f>
        <v>37.6</v>
      </c>
      <c r="K65" s="87">
        <f>MAX(INDEX(Properties!A$1:CB$87,Formula!B65,4),INDEX(Properties!A$1:CB$87,Formula!D65,4),INDEX(Properties!A$1:CB$87,Formula!F65,4),INDEX(Properties!A$1:CB$87,Formula!H65,4),INDEX(Properties!A$1:CB$87,Formula!J65,4))</f>
        <v>15</v>
      </c>
      <c r="L65" s="87">
        <f>MIN(IF(INDEX(Properties!A$1:CB$87,Formula!B65,4)=0,10^6,INDEX(Properties!A$1:CB$87,Formula!B65,4)),IF(INDEX(Properties!A$1:CB$87,Formula!D65,4)=0,10^6,INDEX(Properties!A$1:CB$87,Formula!D65,4)),IF(INDEX(Properties!A$1:CB$87,Formula!F65,4)=0,10^6,INDEX(Properties!A$1:CB$87,Formula!F65,4)),IF(INDEX(Properties!A$1:CB$87,Formula!H65,4)=0,10^6,INDEX(Properties!A$1:CB$87,Formula!H65,4)),IF(INDEX(Properties!A$1:CB$87,Formula!J65,4)=0,10^6,INDEX(Properties!A$1:CB$87,Formula!J65,4)))</f>
        <v>8</v>
      </c>
      <c r="M65" s="87">
        <f t="shared" si="1"/>
        <v>7</v>
      </c>
      <c r="N65" s="89">
        <f>((Formula!C65)/(Formula!C65+Formula!E65+Formula!G65+Formula!I65+Formula!K65))*(INDEX(Properties!A$1:CB$87,Formula!B65,5))+((Formula!E65)/(Formula!C65+Formula!E65+Formula!G65+Formula!I65+Formula!K65))*(INDEX(Properties!A$1:CB$87,Formula!D65,5))+((Formula!G65)/(Formula!C65+Formula!E65+Formula!G65+Formula!I65+Formula!K65))*(INDEX(Properties!A$1:CB$87,Formula!F65,5))+((Formula!I65)/(Formula!C65+Formula!E65+Formula!G65+Formula!I65+Formula!K65))*(INDEX(Properties!A$1:CB$87,Formula!H65,5))+((Formula!K65)/(Formula!C65+Formula!E65+Formula!G65+Formula!I65+Formula!K65))*(INDEX(Properties!A$1:CB$87,Formula!J65,5))</f>
        <v>2.333333333333333</v>
      </c>
      <c r="O65" s="89">
        <f>Formula!C65*(INDEX(Properties!A$1:CB$87,Formula!B65,5))+Formula!E65*(INDEX(Properties!A$1:CB$87,Formula!D65,5))+Formula!G65*(INDEX(Properties!A$1:CB$87,Formula!F65,5))+Formula!I65*(INDEX(Properties!A$1:CB$87,Formula!H65,5))+Formula!K65*(INDEX(Properties!A$1:CB$87,Formula!J65,5))</f>
        <v>21</v>
      </c>
      <c r="P65" s="89">
        <f>VARP(IF(INDEX(Properties!A$1:CB$87,Formula!B65,5)&lt;&gt;"",INDEX(Properties!A$1:CB$87,Formula!B65,5)),IF(INDEX(Properties!A$1:CB$87,Formula!D65,5)&lt;&gt;"",INDEX(Properties!A$1:CB$87,Formula!D65,5)),IF(INDEX(Properties!A$1:CB$87,Formula!F65,5)&lt;&gt;"",INDEX(Properties!A$1:CB$87,Formula!F65,5)),IF(INDEX(Properties!A$1:CB$87,Formula!H65,5)&lt;&gt;"",INDEX(Properties!A$1:CB$87,Formula!H65,5)),IF(INDEX(Properties!A$1:CB$87,Formula!J65,5)&lt;&gt;"",INDEX(Properties!A$1:CB$87,Formula!J65,5)))</f>
        <v>1.84</v>
      </c>
      <c r="Q65" s="89">
        <f>MAX(INDEX(Properties!A$1:CB$87,Formula!B65,5),INDEX(Properties!A$1:CB$87,Formula!D65,5),INDEX(Properties!A$1:CB$87,Formula!F65,5),INDEX(Properties!A$1:CB$87,Formula!H65,5),INDEX(Properties!A$1:CB$87,Formula!J65,5))</f>
        <v>3</v>
      </c>
      <c r="R65" s="89">
        <f>MIN(IF(INDEX(Properties!A$1:CB$87,Formula!B65,5)=0,10^6,INDEX(Properties!A$1:CB$87,Formula!B65,5)),IF(INDEX(Properties!A$1:CB$87,Formula!D65,5)=0,10^6,INDEX(Properties!A$1:CB$87,Formula!D65,5)),IF(INDEX(Properties!A$1:CB$87,Formula!F65,5)=0,10^6,INDEX(Properties!A$1:CB$87,Formula!F65,5)),IF(INDEX(Properties!A$1:CB$87,Formula!H65,5)=0,10^6,INDEX(Properties!A$1:CB$87,Formula!H65,5)),IF(INDEX(Properties!A$1:CB$87,Formula!J65,5)=0,10^6,INDEX(Properties!A$1:CB$87,Formula!J65,5)))</f>
        <v>2</v>
      </c>
      <c r="S65" s="89">
        <f t="shared" si="2"/>
        <v>1</v>
      </c>
      <c r="T65" s="60">
        <f>((Formula!C65)/(Formula!C65+Formula!E65+Formula!G65+Formula!I65+Formula!K65))*(INDEX(Properties!A$1:CB$87,Formula!B65,6))+((Formula!E65)/(Formula!C65+Formula!E65+Formula!G65+Formula!I65+Formula!K65))*(INDEX(Properties!A$1:CB$87,Formula!D65,6))+((Formula!G65)/(Formula!C65+Formula!E65+Formula!G65+Formula!I65+Formula!K65))*(INDEX(Properties!A$1:CB$87,Formula!F65,6))+((Formula!I65)/(Formula!C65+Formula!E65+Formula!G65+Formula!I65+Formula!K65))*(INDEX(Properties!A$1:CB$87,Formula!H65,6))+((Formula!K65)/(Formula!C65+Formula!E65+Formula!G65+Formula!I65+Formula!K65))*(INDEX(Properties!A$1:CB$87,Formula!J65,6))</f>
        <v>14.222222222222221</v>
      </c>
      <c r="U65" s="60">
        <f>Formula!C65*(INDEX(Properties!A$1:CB$87,Formula!B65,6))+Formula!E65*(INDEX(Properties!A$1:CB$87,Formula!D65,6))+Formula!G65*(INDEX(Properties!A$1:CB$87,Formula!F65,6))+Formula!I65*(INDEX(Properties!A$1:CB$87,Formula!H65,6))+Formula!K65*(INDEX(Properties!A$1:CB$87,Formula!J65,6))</f>
        <v>128</v>
      </c>
      <c r="V65" s="89">
        <f>VARP(IF(INDEX(Properties!A$1:CB$87,Formula!B65,6)&lt;&gt;"",INDEX(Properties!A$1:CB$87,Formula!B65,6)),IF(INDEX(Properties!A$1:CB$87,Formula!D65,6)&lt;&gt;"",INDEX(Properties!A$1:CB$87,Formula!D65,6)),IF(INDEX(Properties!A$1:CB$87,Formula!F65,6)&lt;&gt;"",INDEX(Properties!A$1:CB$87,Formula!F65,6)),IF(INDEX(Properties!A$1:CB$87,Formula!H65,6)&lt;&gt;"",INDEX(Properties!A$1:CB$87,Formula!H65,6)),IF(INDEX(Properties!A$1:CB$87,Formula!J65,6)&lt;&gt;"",INDEX(Properties!A$1:CB$87,Formula!J65,6)))</f>
        <v>53.44</v>
      </c>
      <c r="W65" s="60">
        <f>MAX(INDEX(Properties!A$1:CB$87,Formula!B65,6),INDEX(Properties!A$1:CB$87,Formula!D65,6),INDEX(Properties!A$1:CB$87,Formula!F65,6),INDEX(Properties!A$1:CB$87,Formula!H65,4),INDEX(Properties!A$1:CB$87,Formula!J65,6))</f>
        <v>16</v>
      </c>
      <c r="X65" s="60">
        <f>MIN(IF(INDEX(Properties!A$1:CB$87,Formula!B65,6)=0,10^6,INDEX(Properties!A$1:CB$87,Formula!B65,6)),IF(INDEX(Properties!A$1:CB$87,Formula!D65,6)=0,10^6,INDEX(Properties!A$1:CB$87,Formula!D65,6)),IF(INDEX(Properties!A$1:CB$87,Formula!F65,6)=0,10^6,INDEX(Properties!A$1:CB$87,Formula!F65,6)),IF(INDEX(Properties!A$1:CB$87,Formula!H65,6)=0,10^6,INDEX(Properties!A$1:CB$87,Formula!H65,6)),IF(INDEX(Properties!A$1:CB$87,Formula!J65,6)=0,10^6,INDEX(Properties!A$1:CB$87,Formula!J65,6)))</f>
        <v>2</v>
      </c>
      <c r="Y65" s="60">
        <f t="shared" si="3"/>
        <v>14</v>
      </c>
      <c r="Z65" s="72">
        <f>((Formula!C65)/(Formula!C65+Formula!E65+Formula!G65+Formula!I65+Formula!K65))*(INDEX(Properties!A$1:CB$87,Formula!B65,9))+((Formula!E65)/(Formula!C65+Formula!E65+Formula!G65+Formula!I65+Formula!K65))*(INDEX(Properties!A$1:CB$87,Formula!D65,9))+((Formula!G65)/(Formula!C65+Formula!E65+Formula!G65+Formula!I65+Formula!K65))*(INDEX(Properties!A$1:CB$87,Formula!F65,9))+((Formula!I65)/(Formula!C65+Formula!E65+Formula!G65+Formula!I65+Formula!K65))*(INDEX(Properties!A$1:CB$87,Formula!H65,9))+((Formula!K65)/(Formula!C65+Formula!E65+Formula!G65+Formula!I65+Formula!K65))*(INDEX(Properties!A$1:CB$87,Formula!J65,9))</f>
        <v>84</v>
      </c>
      <c r="AA65" s="72">
        <f>Formula!C65*(INDEX(Properties!A$1:CB$87,Formula!B65,9))+Formula!E65*(INDEX(Properties!A$1:CB$87,Formula!D65,9))+Formula!G65*(INDEX(Properties!A$1:CB$87,Formula!F65,9))+Formula!I65*(INDEX(Properties!A$1:CB$87,Formula!H65,9))+Formula!K65*(INDEX(Properties!A$1:CB$87,Formula!J65,9))</f>
        <v>756</v>
      </c>
      <c r="AB65" s="72">
        <f>VARP(IF(INDEX(Properties!A$1:CB$87,Formula!B65,9)&lt;&gt;"",INDEX(Properties!A$1:CB$87,Formula!B65,9)),IF(INDEX(Properties!A$1:CB$87,Formula!D65,9)&lt;&gt;"",INDEX(Properties!A$1:CB$87,Formula!D65,9)),IF(INDEX(Properties!A$1:CB$87,Formula!F65,9)&lt;&gt;"",INDEX(Properties!A$1:CB$87,Formula!F65,9)),IF(INDEX(Properties!A$1:CB$87,Formula!H65,9)&lt;&gt;"",INDEX(Properties!A$1:CB$87,Formula!H65,9)),IF(INDEX(Properties!A$1:CB$87,Formula!J65,9)&lt;&gt;"",INDEX(Properties!A$1:CB$87,Formula!J65,9)))</f>
        <v>1550.64</v>
      </c>
      <c r="AC65" s="72">
        <f>MAX(INDEX(Properties!A$1:CB$87,Formula!B65,9),INDEX(Properties!A$1:CB$87,Formula!D65,9),INDEX(Properties!A$1:CB$87,Formula!F65,9),INDEX(Properties!A$1:CB$87,Formula!H65,9),INDEX(Properties!A$1:CB$87,Formula!J65,9))</f>
        <v>87</v>
      </c>
      <c r="AD65" s="72">
        <f>MIN(IF(INDEX(Properties!A$1:CB$87,Formula!B65,9)=0,10^6,INDEX(Properties!A$1:CB$87,Formula!B65,9)),IF(INDEX(Properties!A$1:CB$87,Formula!D65,9)=0,10^6,INDEX(Properties!A$1:CB$87,Formula!D65,9)),IF(INDEX(Properties!A$1:CB$87,Formula!F65,9)=0,10^6,INDEX(Properties!A$1:CB$87,Formula!F65,9)),IF(INDEX(Properties!A$1:CB$87,Formula!H65,9)=0,10^6,INDEX(Properties!A$1:CB$87,Formula!H65,9)),IF(INDEX(Properties!A$1:CB$87,Formula!J65,9)=0,10^6,INDEX(Properties!A$1:CB$87,Formula!J65,9)))</f>
        <v>68</v>
      </c>
      <c r="AE65" s="72">
        <f t="shared" si="4"/>
        <v>19</v>
      </c>
      <c r="AF65" s="51">
        <f>((Formula!C65)/(Formula!C65+Formula!E65+Formula!G65+Formula!I65+Formula!K65))*(INDEX(Properties!A$1:CB$87,Formula!B65,10))+((Formula!E65)/(Formula!C65+Formula!E65+Formula!G65+Formula!I65+Formula!K65))*(INDEX(Properties!A$1:CB$87,Formula!D65,10))+((Formula!G65)/(Formula!C65+Formula!E65+Formula!G65+Formula!I65+Formula!K65))*(INDEX(Properties!A$1:CB$87,Formula!F65,10))+((Formula!I65)/(Formula!C65+Formula!E65+Formula!G65+Formula!I65+Formula!K65))*(INDEX(Properties!A$1:CB$87,Formula!H65,10))+((Formula!K65)/(Formula!C65+Formula!E65+Formula!G65+Formula!I65+Formula!K65))*(INDEX(Properties!A$1:CB$87,Formula!J65,10))</f>
        <v>6.4444444444444438</v>
      </c>
      <c r="AG65" s="51">
        <f>Formula!C65*(INDEX(Properties!A$1:CB$87,Formula!B65,10))+Formula!E65*(INDEX(Properties!A$1:CB$87,Formula!D65,10))+Formula!G65*(INDEX(Properties!A$1:CB$87,Formula!F65,10))+Formula!I65*(INDEX(Properties!A$1:CB$87,Formula!H65,10))+Formula!K65*(INDEX(Properties!A$1:CB$87,Formula!J65,10))</f>
        <v>58</v>
      </c>
      <c r="AH65" s="51">
        <f>VARP(IF(INDEX(Properties!A$1:CB$87,Formula!B65,10)&lt;&gt;"",INDEX(Properties!A$1:CB$87,Formula!B65,10)),IF(INDEX(Properties!A$1:CB$87,Formula!D65,10)&lt;&gt;"",INDEX(Properties!A$1:CB$87,Formula!D65,10)),IF(INDEX(Properties!A$1:CB$87,Formula!F65,10)&lt;&gt;"",INDEX(Properties!A$1:CB$87,Formula!F65,10)),IF(INDEX(Properties!A$1:CB$87,Formula!H65,10)&lt;&gt;"",INDEX(Properties!A$1:CB$87,Formula!H65,10)),IF(INDEX(Properties!A$1:CB$87,Formula!J65,10)&lt;&gt;"",INDEX(Properties!A$1:CB$87,Formula!J65,10)))</f>
        <v>10.16</v>
      </c>
      <c r="AI65" s="51">
        <f>MAX(INDEX(Properties!A$1:CB$87,Formula!B65,10),INDEX(Properties!A$1:CB$87,Formula!D65,10),INDEX(Properties!A$1:CB$87,Formula!F65,10),INDEX(Properties!A$1:CB$87,Formula!H65,10),INDEX(Properties!A$1:CB$87,Formula!J65,10))</f>
        <v>7</v>
      </c>
      <c r="AJ65" s="51">
        <f>MIN(IF(INDEX(Properties!A$1:CB$87,Formula!B65,10)=0,10^6,INDEX(Properties!A$1:CB$87,Formula!B65,10)),IF(INDEX(Properties!A$1:CB$87,Formula!D65,10)=0,10^6,INDEX(Properties!A$1:CB$87,Formula!D65,10)),IF(INDEX(Properties!A$1:CB$87,Formula!F65,10)=0,10^6,INDEX(Properties!A$1:CB$87,Formula!F65,10)),IF(INDEX(Properties!A$1:CB$87,Formula!H65,10)=0,10^6,INDEX(Properties!A$1:CB$87,Formula!H65,10)),IF(INDEX(Properties!A$1:CB$87,Formula!J65,10)=0,10^6,INDEX(Properties!A$1:CB$87,Formula!J65,10)))</f>
        <v>2</v>
      </c>
      <c r="AK65" s="51">
        <f t="shared" si="5"/>
        <v>5</v>
      </c>
      <c r="AL65" s="57">
        <f>((Formula!C65)/(Formula!C65+Formula!E65+Formula!G65+Formula!I65+Formula!K65))*(INDEX(Properties!A$1:CB$87,Formula!B65,11))+((Formula!E65)/(Formula!C65+Formula!E65+Formula!G65+Formula!I65+Formula!K65))*(INDEX(Properties!A$1:CB$87,Formula!D65,11))+((Formula!G65)/(Formula!C65+Formula!E65+Formula!G65+Formula!I65+Formula!K65))*(INDEX(Properties!A$1:CB$87,Formula!F65,11))+((Formula!I65)/(Formula!C65+Formula!E65+Formula!G65+Formula!I65+Formula!K65))*(INDEX(Properties!A$1:CB$87,Formula!H65,11))+((Formula!K65)/(Formula!C65+Formula!E65+Formula!G65+Formula!I65+Formula!K65))*(INDEX(Properties!A$1:CB$87,Formula!J65,11))</f>
        <v>2</v>
      </c>
      <c r="AM65" s="57">
        <f>Formula!C65*(INDEX(Properties!A$1:CB$87,Formula!B65,11))+Formula!E65*(INDEX(Properties!A$1:CB$87,Formula!D65,11))+Formula!G65*(INDEX(Properties!A$1:CB$87,Formula!F65,11))+Formula!I65*(INDEX(Properties!A$1:CB$87,Formula!H65,11))+Formula!K65*(INDEX(Properties!A$1:CB$87,Formula!J65,11))</f>
        <v>18</v>
      </c>
      <c r="AN65" s="57">
        <f>VARP(IF(INDEX(Properties!A$1:CB$87,Formula!B65,11)&lt;&gt;"",INDEX(Properties!A$1:CB$87,Formula!B65,11)),IF(INDEX(Properties!A$1:CB$87,Formula!D65,11)&lt;&gt;"",INDEX(Properties!A$1:CB$87,Formula!D65,11)),IF(INDEX(Properties!A$1:CB$87,Formula!F65,11)&lt;&gt;"",INDEX(Properties!A$1:CB$87,Formula!F65,11)),IF(INDEX(Properties!A$1:CB$87,Formula!H65,11)&lt;&gt;"",INDEX(Properties!A$1:CB$87,Formula!H65,11)),IF(INDEX(Properties!A$1:CB$87,Formula!J65,11)&lt;&gt;"",INDEX(Properties!A$1:CB$87,Formula!J65,11)))</f>
        <v>0.96</v>
      </c>
      <c r="AO65" s="57">
        <f>MAX(INDEX(Properties!A$1:CB$87,Formula!B65,11),INDEX(Properties!A$1:CB$87,Formula!D65,11),INDEX(Properties!A$1:CB$87,Formula!F65,11),INDEX(Properties!A$1:CB$87,Formula!H65,11),INDEX(Properties!A$1:CB$87,Formula!J65,11))</f>
        <v>2</v>
      </c>
      <c r="AP65" s="57">
        <f>MIN(IF(Formula!B65=87,10^6,INDEX(Properties!A$1:CB$87,Formula!B65,11)),IF((Formula!D65)=87,10^6,INDEX(Properties!A$1:CB$87,Formula!D65,11)),IF((Formula!F65)=87,10^6,INDEX(Properties!A$1:CB$87,Formula!F65,11)),IF((Formula!H65)=87,10^6,INDEX(Properties!A$1:CB$87,Formula!H65,11)),IF(Formula!J65=87,10^6,INDEX(Properties!A$1:CB$87,Formula!J65,11)))</f>
        <v>2</v>
      </c>
      <c r="AQ65" s="57">
        <f t="shared" si="6"/>
        <v>0</v>
      </c>
      <c r="AR65" s="78">
        <f>((Formula!C65)/(Formula!C65+Formula!E65+Formula!G65+Formula!I65+Formula!K65))*(INDEX(Properties!A$1:CB$87,Formula!B65,12))+((Formula!E65)/(Formula!C65+Formula!E65+Formula!G65+Formula!I65+Formula!K65))*(INDEX(Properties!A$1:CB$87,Formula!D65,12))+((Formula!G65)/(Formula!C65+Formula!E65+Formula!G65+Formula!I65+Formula!K65))*(INDEX(Properties!A$1:CB$87,Formula!F65,12))+((Formula!I65)/(Formula!C65+Formula!E65+Formula!G65+Formula!I65+Formula!K65))*(INDEX(Properties!A$1:CB$87,Formula!H65,12))+((Formula!K65)/(Formula!C65+Formula!E65+Formula!G65+Formula!I65+Formula!K65))*(INDEX(Properties!A$1:CB$87,Formula!J65,12))</f>
        <v>3.333333333333333</v>
      </c>
      <c r="AS65" s="78">
        <f>Formula!C65*(INDEX(Properties!A$1:CB$87,Formula!B65,12))+Formula!E65*(INDEX(Properties!A$1:CB$87,Formula!D65,12))+Formula!G65*(INDEX(Properties!A$1:CB$87,Formula!F65,12))+Formula!I65*(INDEX(Properties!A$1:CB$87,Formula!H65,12))+Formula!K65*(INDEX(Properties!A$1:CB$87,Formula!J65,12))</f>
        <v>30</v>
      </c>
      <c r="AT65" s="78">
        <f>VARP(IF(INDEX(Properties!A$1:CB$87,Formula!B65,12)&lt;&gt;"",INDEX(Properties!A$1:CB$87,Formula!B65,12)),IF(INDEX(Properties!A$1:CB$87,Formula!D65,12)&lt;&gt;"",INDEX(Properties!A$1:CB$87,Formula!D65,12)),IF(INDEX(Properties!A$1:CB$87,Formula!F65,12)&lt;&gt;"",INDEX(Properties!A$1:CB$87,Formula!F65,12)),IF(INDEX(Properties!A$1:CB$87,Formula!H65,12)&lt;&gt;"",INDEX(Properties!A$1:CB$87,Formula!H65,12)),IF(INDEX(Properties!A$1:CB$87,Formula!J65,12)&lt;&gt;"",INDEX(Properties!A$1:CB$87,Formula!J65,12)))</f>
        <v>3.04</v>
      </c>
      <c r="AU65" s="78">
        <f>MAX(INDEX(Properties!A$1:CB$87,Formula!B65,12),INDEX(Properties!A$1:CB$87,Formula!D65,12),INDEX(Properties!A$1:CB$87,Formula!F65,12),INDEX(Properties!A$1:CB$87,Formula!H65,12),INDEX(Properties!A$1:CB$87,Formula!J65,12))</f>
        <v>4</v>
      </c>
      <c r="AV65" s="78">
        <f>MIN(IF(Formula!B65=87,10^6,INDEX(Properties!A$1:CB$87,Formula!B65,12)),IF((Formula!D65)=87,10^6,INDEX(Properties!A$1:CB$87,Formula!D65,12)),IF((Formula!F65)=87,10^6,INDEX(Properties!A$1:CB$87,Formula!F65,12)),IF((Formula!H65)=87,10^6,INDEX(Properties!A$1:CB$87,Formula!H65,12)),IF(Formula!J65=87,10^6,INDEX(Properties!A$1:CB$87,Formula!J65,12)))</f>
        <v>0</v>
      </c>
      <c r="AW65" s="78">
        <f t="shared" si="7"/>
        <v>4</v>
      </c>
      <c r="AX65" s="45">
        <f>((Formula!C65)/(Formula!C65+Formula!E65+Formula!G65+Formula!I65+Formula!K65))*(INDEX(Properties!A$1:CB$87,Formula!B65,13))+((Formula!E65)/(Formula!C65+Formula!E65+Formula!G65+Formula!I65+Formula!K65))*(INDEX(Properties!A$1:CB$87,Formula!D65,13))+((Formula!G65)/(Formula!C65+Formula!E65+Formula!G65+Formula!I65+Formula!K65))*(INDEX(Properties!A$1:CB$87,Formula!F65,13))+((Formula!I65)/(Formula!C65+Formula!E65+Formula!G65+Formula!I65+Formula!K65))*(INDEX(Properties!A$1:CB$87,Formula!H65,13))+((Formula!K65)/(Formula!C65+Formula!E65+Formula!G65+Formula!I65+Formula!K65))*(INDEX(Properties!A$1:CB$87,Formula!J65,13))</f>
        <v>0</v>
      </c>
      <c r="AY65" s="45">
        <f>Formula!C65*(INDEX(Properties!A$1:CB$87,Formula!B65,13))+Formula!E65*(INDEX(Properties!A$1:CB$87,Formula!D65,13))+Formula!G65*(INDEX(Properties!A$1:CB$87,Formula!F65,13))+Formula!I65*(INDEX(Properties!A$1:CB$87,Formula!H65,13))+Formula!K65*(INDEX(Properties!A$1:CB$87,Formula!J65,13))</f>
        <v>0</v>
      </c>
      <c r="AZ65" s="45">
        <f>VARP(IF(INDEX(Properties!A$1:CB$87,Formula!B65,13)&lt;&gt;"",INDEX(Properties!A$1:CB$87,Formula!B65,13)),IF(INDEX(Properties!A$1:CB$87,Formula!D65,13)&lt;&gt;"",INDEX(Properties!A$1:CB$87,Formula!D65,13)),IF(INDEX(Properties!A$1:CB$87,Formula!F65,13)&lt;&gt;"",INDEX(Properties!A$1:CB$87,Formula!F65,13)),IF(INDEX(Properties!A$1:CB$87,Formula!H65,13)&lt;&gt;"",INDEX(Properties!A$1:CB$87,Formula!H65,13)),IF(INDEX(Properties!A$1:CB$87,Formula!J65,13)&lt;&gt;"",INDEX(Properties!A$1:CB$87,Formula!J65,13)))</f>
        <v>0</v>
      </c>
      <c r="BA65" s="45">
        <f>MAX(INDEX(Properties!A$1:CB$87,Formula!B65,13),INDEX(Properties!A$1:CB$87,Formula!D65,13),INDEX(Properties!A$1:CB$87,Formula!F65,13),INDEX(Properties!A$1:CB$87,Formula!H65,13),INDEX(Properties!A$1:CB$87,Formula!J65,13))</f>
        <v>0</v>
      </c>
      <c r="BB65" s="45">
        <f>MIN(IF(Formula!B65=87,10^6,INDEX(Properties!A$1:CB$87,Formula!B65,13)),IF((Formula!D65)=87,10^6,INDEX(Properties!A$1:CB$87,Formula!D65,13)),IF((Formula!F65)=87,10^6,INDEX(Properties!A$1:CB$87,Formula!F65,13)),IF((Formula!H65)=87,10^6,INDEX(Properties!A$1:CB$87,Formula!H65,13)),IF(Formula!J65=87,10^6,INDEX(Properties!A$1:CB$87,Formula!J65,13)))</f>
        <v>0</v>
      </c>
      <c r="BC65" s="45">
        <f t="shared" si="8"/>
        <v>0</v>
      </c>
      <c r="BD65" s="63">
        <f>((Formula!C65)/(Formula!C65+Formula!E65+Formula!G65+Formula!I65+Formula!K65))*(INDEX(Properties!A$1:CB$87,Formula!B65,14))+((Formula!E65)/(Formula!C65+Formula!E65+Formula!G65+Formula!I65+Formula!K65))*(INDEX(Properties!A$1:CB$87,Formula!D65,14))+((Formula!G65)/(Formula!C65+Formula!E65+Formula!G65+Formula!I65+Formula!K65))*(INDEX(Properties!A$1:CB$87,Formula!F65,14))+((Formula!I65)/(Formula!C65+Formula!E65+Formula!G65+Formula!I65+Formula!K65))*(INDEX(Properties!A$1:CB$87,Formula!H65,14))+((Formula!K65)/(Formula!C65+Formula!E65+Formula!G65+Formula!I65+Formula!K65))*(INDEX(Properties!A$1:CB$87,Formula!J65,14))</f>
        <v>0</v>
      </c>
      <c r="BE65" s="63">
        <f>Formula!C65*(INDEX(Properties!A$1:CB$87,Formula!B65,14))+Formula!E65*(INDEX(Properties!A$1:CB$87,Formula!D65,14))+Formula!G65*(INDEX(Properties!A$1:CB$87,Formula!F65,14))+Formula!I65*(INDEX(Properties!A$1:CB$87,Formula!H65,14))+Formula!K65*(INDEX(Properties!A$1:CB$87,Formula!J65,14))</f>
        <v>0</v>
      </c>
      <c r="BF65" s="63">
        <f>VARP(IF(INDEX(Properties!A$1:CB$87,Formula!B65,14)&lt;&gt;"",INDEX(Properties!A$1:CB$87,Formula!B65,14)),IF(INDEX(Properties!A$1:CB$87,Formula!D65,14)&lt;&gt;"",INDEX(Properties!A$1:CB$87,Formula!D65,14)),IF(INDEX(Properties!A$1:CB$87,Formula!F65,14)&lt;&gt;"",INDEX(Properties!A$1:CB$87,Formula!F65,14)),IF(INDEX(Properties!A$1:CB$87,Formula!H65,14)&lt;&gt;"",INDEX(Properties!A$1:CB$87,Formula!H65,14)),IF(INDEX(Properties!A$1:CB$87,Formula!J65,14)&lt;&gt;"",INDEX(Properties!A$1:CB$87,Formula!J65,14)))</f>
        <v>0</v>
      </c>
      <c r="BG65" s="63">
        <f>MAX(INDEX(Properties!A$1:CB$87,Formula!B65,14),INDEX(Properties!A$1:CB$87,Formula!D65,14),INDEX(Properties!A$1:CB$87,Formula!F65,14),INDEX(Properties!A$1:CB$87,Formula!H65,14),INDEX(Properties!A$1:CB$87,Formula!J65,14))</f>
        <v>0</v>
      </c>
      <c r="BH65" s="63">
        <f>MIN(IF(Formula!B65=87,10^6,INDEX(Properties!A$1:CB$87,Formula!B65,14)),IF((Formula!D65)=87,10^6,INDEX(Properties!A$1:CB$87,Formula!D65,14)),IF((Formula!F65)=87,10^6,INDEX(Properties!A$1:CB$87,Formula!F65,14)),IF((Formula!H65)=87,10^6,INDEX(Properties!A$1:CB$87,Formula!H65,14)),IF(Formula!J65=87,10^6,INDEX(Properties!A$1:CB$87,Formula!J65,14)))</f>
        <v>0</v>
      </c>
      <c r="BI65" s="63">
        <f t="shared" si="9"/>
        <v>0</v>
      </c>
      <c r="BJ65" s="75">
        <f>((Formula!C65)/(Formula!C65+Formula!E65+Formula!G65+Formula!I65+Formula!K65))*(INDEX(Properties!A$1:CB$87,Formula!B65,19))+((Formula!E65)/(Formula!C65+Formula!E65+Formula!G65+Formula!I65+Formula!K65))*(INDEX(Properties!A$1:CB$87,Formula!D65,19))+((Formula!G65)/(Formula!C65+Formula!E65+Formula!G65+Formula!I65+Formula!K65))*(INDEX(Properties!A$1:CB$87,Formula!F65,19))+((Formula!I65)/(Formula!C65+Formula!E65+Formula!G65+Formula!I65+Formula!K65))*(INDEX(Properties!A$1:CB$87,Formula!H65,19))+((Formula!K65)/(Formula!C65+Formula!E65+Formula!G65+Formula!I65+Formula!K65))*(INDEX(Properties!A$1:CB$87,Formula!J65,19))</f>
        <v>5.3333333333333339</v>
      </c>
      <c r="BK65" s="75">
        <f>Formula!C65*(INDEX(Properties!A$1:CB$87,Formula!B65,19))+Formula!E65*(INDEX(Properties!A$1:CB$87,Formula!D65,19))+Formula!G65*(INDEX(Properties!A$1:CB$87,Formula!F65,19))+Formula!I65*(INDEX(Properties!A$1:CB$87,Formula!H65,19))+Formula!K65*(INDEX(Properties!A$1:CB$87,Formula!J65,19))</f>
        <v>48</v>
      </c>
      <c r="BL65" s="75">
        <f>VARP(IF(INDEX(Properties!A$1:CB$87,Formula!B65,19)&lt;&gt;"",INDEX(Properties!A$1:CB$87,Formula!B65,19)),IF(INDEX(Properties!A$1:CB$87,Formula!D65,19)&lt;&gt;"",INDEX(Properties!A$1:CB$87,Formula!D65,19)),IF(INDEX(Properties!A$1:CB$87,Formula!F65,19)&lt;&gt;"",INDEX(Properties!A$1:CB$87,Formula!F65,19)),IF(INDEX(Properties!A$1:CB$87,Formula!H65,19)&lt;&gt;"",INDEX(Properties!A$1:CB$87,Formula!H65,19)),IF(INDEX(Properties!A$1:CB$87,Formula!J65,19)&lt;&gt;"",INDEX(Properties!A$1:CB$87,Formula!J65,19)))</f>
        <v>6.24</v>
      </c>
      <c r="BM65" s="75">
        <f>MAX(INDEX(Properties!A$1:CB$87,Formula!B65,19),INDEX(Properties!A$1:CB$87,Formula!D65,19),INDEX(Properties!A$1:CB$87,Formula!F65,19),INDEX(Properties!A$1:CB$87,Formula!H65,19),INDEX(Properties!A$1:CB$87,Formula!J65,19))</f>
        <v>6</v>
      </c>
      <c r="BN65" s="75">
        <f>MIN(IF(INDEX(Properties!A$1:CB$87,Formula!B65,19)=0,10^6,INDEX(Properties!A$1:CB$87,Formula!B65,19)),IF(INDEX(Properties!A$1:CB$87,Formula!D65,19)=0,10^6,INDEX(Properties!A$1:CB$87,Formula!D65,19)),IF(INDEX(Properties!A$1:CB$87,Formula!F65,19)=0,10^6,INDEX(Properties!A$1:CB$87,Formula!F65,19)),IF(INDEX(Properties!A$1:CB$87,Formula!H65,19)=0,10^6,INDEX(Properties!A$1:CB$87,Formula!H65,19)),IF(INDEX(Properties!A$1:CB$87,Formula!J65,19)=0,10^6,INDEX(Properties!A$1:CB$87,Formula!J65,19)))</f>
        <v>2</v>
      </c>
      <c r="BO65" s="75">
        <f t="shared" si="10"/>
        <v>4</v>
      </c>
      <c r="BP65" s="48">
        <f>((Formula!C65)/(Formula!C65+Formula!E65+Formula!G65+Formula!I65+Formula!K65))*(INDEX(Properties!A$1:CB$87,Formula!B65,20))+((Formula!E65)/(Formula!C65+Formula!E65+Formula!G65+Formula!I65+Formula!K65))*(INDEX(Properties!A$1:CB$87,Formula!D65,20))+((Formula!G65)/(Formula!C65+Formula!E65+Formula!G65+Formula!I65+Formula!K65))*(INDEX(Properties!A$1:CB$87,Formula!F65,20))+((Formula!I65)/(Formula!C65+Formula!E65+Formula!G65+Formula!I65+Formula!K65))*(INDEX(Properties!A$1:CB$87,Formula!H65,20))+((Formula!K65)/(Formula!C65+Formula!E65+Formula!G65+Formula!I65+Formula!K65))*(INDEX(Properties!A$1:CB$87,Formula!J65,20))</f>
        <v>5.3333333333333339</v>
      </c>
      <c r="BQ65" s="48">
        <f>Formula!C65*(INDEX(Properties!A$1:CB$87,Formula!B65,20))+Formula!E65*(INDEX(Properties!A$1:CB$87,Formula!D65,20))+Formula!G65*(INDEX(Properties!A$1:CB$87,Formula!F65,20))+Formula!I65*(INDEX(Properties!A$1:CB$87,Formula!H65,20))+Formula!K65*(INDEX(Properties!A$1:CB$87,Formula!J65,20))</f>
        <v>48</v>
      </c>
      <c r="BR65" s="48">
        <f>VARP(IF(INDEX(Properties!A$1:CB$87,Formula!B65,20)&lt;&gt;"",INDEX(Properties!A$1:CB$87,Formula!B65,20)),IF(INDEX(Properties!A$1:CB$87,Formula!D65,20)&lt;&gt;"",INDEX(Properties!A$1:CB$87,Formula!D65,20)),IF(INDEX(Properties!A$1:CB$87,Formula!F65,20)&lt;&gt;"",INDEX(Properties!A$1:CB$87,Formula!F65,20)),IF(INDEX(Properties!A$1:CB$87,Formula!H65,20)&lt;&gt;"",INDEX(Properties!A$1:CB$87,Formula!H65,20)),IF(INDEX(Properties!A$1:CB$87,Formula!J65,20)&lt;&gt;"",INDEX(Properties!A$1:CB$87,Formula!J65,20)))</f>
        <v>6.24</v>
      </c>
      <c r="BS65" s="48">
        <f>MAX(INDEX(Properties!A$1:CB$87,Formula!B65,20),INDEX(Properties!A$1:CB$87,Formula!D65,20),INDEX(Properties!A$1:CB$87,Formula!F65,20),INDEX(Properties!A$1:CB$87,Formula!H65,20),INDEX(Properties!A$1:CB$87,Formula!J65,20))</f>
        <v>6</v>
      </c>
      <c r="BT65" s="48">
        <f>MIN(IF(INDEX(Properties!A$1:CB$87,Formula!B65,20)=0,10^6,INDEX(Properties!A$1:CB$87,Formula!B65,20)),IF(INDEX(Properties!A$1:CB$87,Formula!D65,20)=0,10^6,INDEX(Properties!A$1:CB$87,Formula!D65,20)),IF(INDEX(Properties!A$1:CB$87,Formula!F65,20)=0,10^6,INDEX(Properties!A$1:CB$87,Formula!F65,20)),IF(INDEX(Properties!A$1:CB$87,Formula!H65,20)=0,10^6,INDEX(Properties!A$1:CB$87,Formula!H65,20)),IF(INDEX(Properties!A$1:CB$87,Formula!J65,20)=0,10^6,INDEX(Properties!A$1:CB$87,Formula!J65,20)))</f>
        <v>2</v>
      </c>
      <c r="BU65" s="48">
        <f t="shared" si="11"/>
        <v>4</v>
      </c>
      <c r="BV65" s="66">
        <f>((Formula!C65)/(Formula!C65+Formula!E65+Formula!G65+Formula!I65+Formula!K65))*(INDEX(Properties!A$1:CB$87,Formula!B65,21))+((Formula!E65)/(Formula!C65+Formula!E65+Formula!G65+Formula!I65+Formula!K65))*(INDEX(Properties!A$1:CB$87,Formula!D65,21))+((Formula!G65)/(Formula!C65+Formula!E65+Formula!G65+Formula!I65+Formula!K65))*(INDEX(Properties!A$1:CB$87,Formula!F65,21))+((Formula!I65)/(Formula!C65+Formula!E65+Formula!G65+Formula!I65+Formula!K65))*(INDEX(Properties!A$1:CB$87,Formula!H65,21))+((Formula!K65)/(Formula!C65+Formula!E65+Formula!G65+Formula!I65+Formula!K65))*(INDEX(Properties!A$1:CB$87,Formula!J65,21))</f>
        <v>5.3333333333333339</v>
      </c>
      <c r="BW65" s="66">
        <f>Formula!C65*(INDEX(Properties!A$1:CB$87,Formula!B65,21))+Formula!E65*(INDEX(Properties!A$1:CB$87,Formula!D65,21))+Formula!G65*(INDEX(Properties!A$1:CB$87,Formula!F65,21))+Formula!I65*(INDEX(Properties!A$1:CB$87,Formula!H65,21))+Formula!K65*(INDEX(Properties!A$1:CB$87,Formula!J65,21))</f>
        <v>48</v>
      </c>
      <c r="BX65" s="66">
        <f>VARP(IF(INDEX(Properties!A$1:CB$87,Formula!B65,21)&lt;&gt;"",INDEX(Properties!A$1:CB$87,Formula!B65,21)),IF(INDEX(Properties!A$1:CB$87,Formula!D65,21)&lt;&gt;"",INDEX(Properties!A$1:CB$87,Formula!D65,21)),IF(INDEX(Properties!A$1:CB$87,Formula!F65,21)&lt;&gt;"",INDEX(Properties!A$1:CB$87,Formula!F65,21)),IF(INDEX(Properties!A$1:CB$87,Formula!H65,21)&lt;&gt;"",INDEX(Properties!A$1:CB$87,Formula!H65,21)),IF(INDEX(Properties!A$1:CB$87,Formula!J65,21)&lt;&gt;"",INDEX(Properties!A$1:CB$87,Formula!J65,21)))</f>
        <v>6.24</v>
      </c>
      <c r="BY65" s="66">
        <f>MAX(INDEX(Properties!A$1:CB$87,Formula!B65,21),INDEX(Properties!A$1:CB$87,Formula!D65,21),INDEX(Properties!A$1:CB$87,Formula!F65,21),INDEX(Properties!A$1:CB$87,Formula!H65,21),INDEX(Properties!A$1:CB$87,Formula!J65,21))</f>
        <v>6</v>
      </c>
      <c r="BZ65" s="66">
        <f>MIN(IF(INDEX(Properties!A$1:CB$87,Formula!B65,21)=0,10^6,INDEX(Properties!A$1:CB$87,Formula!B65,21)),IF(INDEX(Properties!A$1:CB$87,Formula!D65,21)=0,10^6,INDEX(Properties!A$1:CB$87,Formula!D65,21)),IF(INDEX(Properties!A$1:CB$87,Formula!F65,21)=0,10^6,INDEX(Properties!A$1:CB$87,Formula!F65,21)),IF(INDEX(Properties!A$1:CB$87,Formula!H65,21)=0,10^6,INDEX(Properties!A$1:CB$87,Formula!H65,21)),IF(INDEX(Properties!A$1:CB$87,Formula!J65,21)=0,10^6,INDEX(Properties!A$1:CB$87,Formula!J65,21)))</f>
        <v>2</v>
      </c>
      <c r="CA65" s="66">
        <f t="shared" si="12"/>
        <v>4</v>
      </c>
      <c r="CB65" s="81">
        <f>((Formula!C65)/(Formula!C65+Formula!E65+Formula!G65+Formula!I65+Formula!K65))*(INDEX(Properties!A$1:CB$87,Formula!B65,23))+((Formula!E65)/(Formula!C65+Formula!E65+Formula!G65+Formula!I65+Formula!K65))*(INDEX(Properties!A$1:CB$87,Formula!D65,23))+((Formula!G65)/(Formula!C65+Formula!E65+Formula!G65+Formula!I65+Formula!K65))*(INDEX(Properties!A$1:CB$87,Formula!F65,23))+((Formula!I65)/(Formula!C65+Formula!E65+Formula!G65+Formula!I65+Formula!K65))*(INDEX(Properties!A$1:CB$87,Formula!H65,23))+((Formula!K65)/(Formula!C65+Formula!E65+Formula!G65+Formula!I65+Formula!K65))*(INDEX(Properties!A$1:CB$87,Formula!J65,23))</f>
        <v>0.88888888888888884</v>
      </c>
      <c r="CC65" s="81">
        <f>Formula!C65*(INDEX(Properties!A$1:CB$87,Formula!B65,23))+Formula!E65*(INDEX(Properties!A$1:CB$87,Formula!D65,23))+Formula!G65*(INDEX(Properties!A$1:CB$87,Formula!F65,23))+Formula!I65*(INDEX(Properties!A$1:CB$87,Formula!H65,23))+Formula!K65*(INDEX(Properties!A$1:CB$87,Formula!J65,23))</f>
        <v>8</v>
      </c>
      <c r="CD65" s="81">
        <f>VARP(IF(INDEX(Properties!A$1:CB$87,Formula!B65,23)&lt;&gt;"",INDEX(Properties!A$1:CB$87,Formula!B65,23)),IF(INDEX(Properties!A$1:CB$87,Formula!D65,23)&lt;&gt;"",INDEX(Properties!A$1:CB$87,Formula!D65,23)),IF(INDEX(Properties!A$1:CB$87,Formula!F65,23)&lt;&gt;"",INDEX(Properties!A$1:CB$87,Formula!F65,23)),IF(INDEX(Properties!A$1:CB$87,Formula!H65,23)&lt;&gt;"",INDEX(Properties!A$1:CB$87,Formula!H65,23)),IF(INDEX(Properties!A$1:CB$87,Formula!J65,23)&lt;&gt;"",INDEX(Properties!A$1:CB$87,Formula!J65,23)))</f>
        <v>1.6</v>
      </c>
      <c r="CE65" s="81">
        <f>MAX(INDEX(Properties!A$1:CB$87,Formula!B65,23),INDEX(Properties!A$1:CB$87,Formula!D65,23),INDEX(Properties!A$1:CB$87,Formula!F65,23),INDEX(Properties!A$1:CB$87,Formula!H65,23),INDEX(Properties!A$1:CB$87,Formula!J65,23))</f>
        <v>3</v>
      </c>
      <c r="CF65" s="81">
        <f>MIN(IF(Formula!B65=87,10^6,INDEX(Properties!A$1:CB$87,Formula!B65,23)),IF((Formula!D65)=87,10^6,INDEX(Properties!A$1:CB$87,Formula!D65,23)),IF((Formula!F65)=87,10^6,INDEX(Properties!A$1:CB$87,Formula!F65,23)),IF((Formula!H65)=87,10^6,INDEX(Properties!A$1:CB$87,Formula!H65,23)),IF(Formula!J65=87,10^6,INDEX(Properties!A$1:CB$87,Formula!J65,23)))</f>
        <v>0</v>
      </c>
      <c r="CG65" s="81">
        <f t="shared" si="13"/>
        <v>3</v>
      </c>
      <c r="CH65" s="39">
        <f>((Formula!C65)/(Formula!C65+Formula!E65+Formula!G65+Formula!I65+Formula!K65))*(INDEX(Properties!A$1:CB$87,Formula!B65,26))+((Formula!E65)/(Formula!C65+Formula!E65+Formula!G65+Formula!I65+Formula!K65))*(INDEX(Properties!A$1:CB$87,Formula!D65,26))+((Formula!G65)/(Formula!C65+Formula!E65+Formula!G65+Formula!I65+Formula!K65))*(INDEX(Properties!A$1:CB$87,Formula!F65,26))+((Formula!I65)/(Formula!C65+Formula!E65+Formula!G65+Formula!I65+Formula!K65))*(INDEX(Properties!A$1:CB$87,Formula!H65,26))+((Formula!K65)/(Formula!C65+Formula!E65+Formula!G65+Formula!I65+Formula!K65))*(INDEX(Properties!A$1:CB$87,Formula!J65,26))</f>
        <v>12.258688888888887</v>
      </c>
      <c r="CI65" s="39">
        <f>Formula!C65*(INDEX(Properties!A$1:CB$87,Formula!B65,26))+Formula!E65*(INDEX(Properties!A$1:CB$87,Formula!D65,26))+Formula!G65*(INDEX(Properties!A$1:CB$87,Formula!F65,26))+Formula!I65*(INDEX(Properties!A$1:CB$87,Formula!H65,26))+Formula!K65*(INDEX(Properties!A$1:CB$87,Formula!J65,26))</f>
        <v>110.32820000000001</v>
      </c>
      <c r="CJ65" s="39">
        <f>VARP(IF(INDEX(Properties!A$1:CB$87,Formula!B65,26)&lt;&gt;"",INDEX(Properties!A$1:CB$87,Formula!B65,26)),IF(INDEX(Properties!A$1:CB$87,Formula!D65,26)&lt;&gt;"",INDEX(Properties!A$1:CB$87,Formula!D65,26)),IF(INDEX(Properties!A$1:CB$87,Formula!F65,26)&lt;&gt;"",INDEX(Properties!A$1:CB$87,Formula!F65,26)),IF(INDEX(Properties!A$1:CB$87,Formula!H65,26)&lt;&gt;"",INDEX(Properties!A$1:CB$87,Formula!H65,26)),IF(INDEX(Properties!A$1:CB$87,Formula!J65,26)&lt;&gt;"",INDEX(Properties!A$1:CB$87,Formula!J65,26)))</f>
        <v>30.452539748000007</v>
      </c>
      <c r="CK65" s="39">
        <f>MAX(INDEX(Properties!A$1:CB$87,Formula!B65,26),INDEX(Properties!A$1:CB$87,Formula!D65,26),INDEX(Properties!A$1:CB$87,Formula!F65,26),INDEX(Properties!A$1:CB$87,Formula!H65,26),INDEX(Properties!A$1:CB$87,Formula!J65,26))</f>
        <v>13.6181</v>
      </c>
      <c r="CL65" s="39">
        <f>MIN(IF(INDEX(Properties!A$1:CB$87,Formula!B65,26)=0,10^6,INDEX(Properties!A$1:CB$87,Formula!B65,26)),IF(INDEX(Properties!A$1:CB$87,Formula!D65,26)=0,10^6,INDEX(Properties!A$1:CB$87,Formula!D65,26)),IF(INDEX(Properties!A$1:CB$87,Formula!F65,26)=0,10^6,INDEX(Properties!A$1:CB$87,Formula!F65,26)),IF(INDEX(Properties!A$1:CB$87,Formula!H65,26)=0,10^6,INDEX(Properties!A$1:CB$87,Formula!H65,26)),IF(INDEX(Properties!A$1:CB$87,Formula!J65,26)=0,10^6,INDEX(Properties!A$1:CB$87,Formula!J65,26)))</f>
        <v>7.6462000000000003</v>
      </c>
      <c r="CM65" s="39">
        <f t="shared" si="14"/>
        <v>5.9718999999999998</v>
      </c>
      <c r="CN65" s="54">
        <f>((Formula!C65)/(Formula!C65+Formula!E65+Formula!G65+Formula!I65+Formula!K65))*(INDEX(Properties!A$1:CB$87,Formula!B65,30))+((Formula!E65)/(Formula!C65+Formula!E65+Formula!G65+Formula!I65+Formula!K65))*(INDEX(Properties!A$1:CB$87,Formula!D65,30))+((Formula!G65)/(Formula!C65+Formula!E65+Formula!G65+Formula!I65+Formula!K65))*(INDEX(Properties!A$1:CB$87,Formula!F65,30))+((Formula!I65)/(Formula!C65+Formula!E65+Formula!G65+Formula!I65+Formula!K65))*(INDEX(Properties!A$1:CB$87,Formula!H65,30))+((Formula!K65)/(Formula!C65+Formula!E65+Formula!G65+Formula!I65+Formula!K65))*(INDEX(Properties!A$1:CB$87,Formula!J65,30))</f>
        <v>2.9255555555555555</v>
      </c>
      <c r="CO65" s="54">
        <f>Formula!C65*(INDEX(Properties!A$1:CB$87,Formula!B65,30))+Formula!E65*(INDEX(Properties!A$1:CB$87,Formula!D65,30))+Formula!G65*(INDEX(Properties!A$1:CB$87,Formula!F65,30))+Formula!I65*(INDEX(Properties!A$1:CB$87,Formula!H65,30))+Formula!K65*(INDEX(Properties!A$1:CB$87,Formula!J65,30))</f>
        <v>26.33</v>
      </c>
      <c r="CP65" s="54">
        <f>VARP(IF(INDEX(Properties!A$1:CB$87,Formula!B65,30)&lt;&gt;"",INDEX(Properties!A$1:CB$87,Formula!B65,30)),IF(INDEX(Properties!A$1:CB$87,Formula!D65,30)&lt;&gt;"",INDEX(Properties!A$1:CB$87,Formula!D65,30)),IF(INDEX(Properties!A$1:CB$87,Formula!F65,30)&lt;&gt;"",INDEX(Properties!A$1:CB$87,Formula!F65,30)),IF(INDEX(Properties!A$1:CB$87,Formula!H65,30)&lt;&gt;"",INDEX(Properties!A$1:CB$87,Formula!H65,30)),IF(INDEX(Properties!A$1:CB$87,Formula!J65,30)&lt;&gt;"",INDEX(Properties!A$1:CB$87,Formula!J65,30)))</f>
        <v>1.7426159999999995</v>
      </c>
      <c r="CQ65" s="54">
        <f>MAX(INDEX(Properties!A$1:CB$87,Formula!B65,30),INDEX(Properties!A$1:CB$87,Formula!D65,30),INDEX(Properties!A$1:CB$87,Formula!F65,30),INDEX(Properties!A$1:CB$87,Formula!H65,30),INDEX(Properties!A$1:CB$87,Formula!J65,30))</f>
        <v>3.44</v>
      </c>
      <c r="CR65" s="54">
        <f>MIN(IF(INDEX(Properties!A$1:CB$87,Formula!B65,30)=0,10^6,INDEX(Properties!A$1:CB$87,Formula!B65,30)),IF(INDEX(Properties!A$1:CB$87,Formula!D65,30)=0,10^6,INDEX(Properties!A$1:CB$87,Formula!D65,30)),IF(INDEX(Properties!A$1:CB$87,Formula!F65,30)=0,10^6,INDEX(Properties!A$1:CB$87,Formula!F65,30)),IF(INDEX(Properties!A$1:CB$87,Formula!H65,30)=0,10^6,INDEX(Properties!A$1:CB$87,Formula!H65,30)),IF(INDEX(Properties!A$1:CB$87,Formula!J65,30)=0,10^6,INDEX(Properties!A$1:CB$87,Formula!J65,30)))</f>
        <v>1.31</v>
      </c>
      <c r="CS65" s="54">
        <f t="shared" si="15"/>
        <v>2.13</v>
      </c>
      <c r="CT65" s="69">
        <f>((Formula!C65)/(Formula!C65+Formula!E65+Formula!G65+Formula!I65+Formula!K65))*(INDEX(Properties!A$1:CB$87,Formula!B65,31))+((Formula!E65)/(Formula!C65+Formula!E65+Formula!G65+Formula!I65+Formula!K65))*(INDEX(Properties!A$1:CB$87,Formula!D65,31))+((Formula!G65)/(Formula!C65+Formula!E65+Formula!G65+Formula!I65+Formula!K65))*(INDEX(Properties!A$1:CB$87,Formula!F65,31))+((Formula!I65)/(Formula!C65+Formula!E65+Formula!G65+Formula!I65+Formula!K65))*(INDEX(Properties!A$1:CB$87,Formula!H65,31))+((Formula!K65)/(Formula!C65+Formula!E65+Formula!G65+Formula!I65+Formula!K65))*(INDEX(Properties!A$1:CB$87,Formula!J65,31))</f>
        <v>2.8744444444444439</v>
      </c>
      <c r="CU65" s="69">
        <f>Formula!C65*(INDEX(Properties!A$1:CB$87,Formula!B65,31))+Formula!E65*(INDEX(Properties!A$1:CB$87,Formula!D65,31))+Formula!G65*(INDEX(Properties!A$1:CB$87,Formula!F65,31))+Formula!I65*(INDEX(Properties!A$1:CB$87,Formula!H65,31))+Formula!K65*(INDEX(Properties!A$1:CB$87,Formula!J65,31))</f>
        <v>25.869999999999997</v>
      </c>
      <c r="CV65" s="69">
        <f>VARP(IF(INDEX(Properties!A$1:CB$87,Formula!B65,31)&lt;&gt;"",INDEX(Properties!A$1:CB$87,Formula!B65,31)),IF(INDEX(Properties!A$1:CB$87,Formula!D65,31)&lt;&gt;"",INDEX(Properties!A$1:CB$87,Formula!D65,31)),IF(INDEX(Properties!A$1:CB$87,Formula!F65,31)&lt;&gt;"",INDEX(Properties!A$1:CB$87,Formula!F65,31)),IF(INDEX(Properties!A$1:CB$87,Formula!H65,31)&lt;&gt;"",INDEX(Properties!A$1:CB$87,Formula!H65,31)),IF(INDEX(Properties!A$1:CB$87,Formula!J65,31)&lt;&gt;"",INDEX(Properties!A$1:CB$87,Formula!J65,31)))</f>
        <v>1.6920800000000005</v>
      </c>
      <c r="CW65" s="69">
        <f>MAX(INDEX(Properties!A$1:CB$87,Formula!B65,31),INDEX(Properties!A$1:CB$87,Formula!D65,31),INDEX(Properties!A$1:CB$87,Formula!F65,31),INDEX(Properties!A$1:CB$87,Formula!H65,31),INDEX(Properties!A$1:CB$87,Formula!J65,31))</f>
        <v>3.32</v>
      </c>
      <c r="CX65" s="69">
        <f>MIN(IF(INDEX(Properties!A$1:CB$87,Formula!B65,31)=0,10^6,INDEX(Properties!A$1:CB$87,Formula!B65,31)),IF(INDEX(Properties!A$1:CB$87,Formula!D65,31)=0,10^6,INDEX(Properties!A$1:CB$87,Formula!D65,31)),IF(INDEX(Properties!A$1:CB$87,Formula!F65,31)=0,10^6,INDEX(Properties!A$1:CB$87,Formula!F65,31)),IF(INDEX(Properties!A$1:CB$87,Formula!H65,31)=0,10^6,INDEX(Properties!A$1:CB$87,Formula!H65,31)),IF(INDEX(Properties!A$1:CB$87,Formula!J65,31)=0,10^6,INDEX(Properties!A$1:CB$87,Formula!J65,31)))</f>
        <v>1.31</v>
      </c>
      <c r="CY65" s="69">
        <f t="shared" si="16"/>
        <v>2.0099999999999998</v>
      </c>
      <c r="CZ65" s="42">
        <f>((Formula!C65)/(Formula!C65+Formula!E65+Formula!G65+Formula!I65+Formula!K65))*(INDEX(Properties!A$1:CB$87,Formula!B65,32))+((Formula!E65)/(Formula!C65+Formula!E65+Formula!G65+Formula!I65+Formula!K65))*(INDEX(Properties!A$1:CB$87,Formula!D65,32))+((Formula!G65)/(Formula!C65+Formula!E65+Formula!G65+Formula!I65+Formula!K65))*(INDEX(Properties!A$1:CB$87,Formula!F65,32))+((Formula!I65)/(Formula!C65+Formula!E65+Formula!G65+Formula!I65+Formula!K65))*(INDEX(Properties!A$1:CB$87,Formula!H65,32))+((Formula!K65)/(Formula!C65+Formula!E65+Formula!G65+Formula!I65+Formula!K65))*(INDEX(Properties!A$1:CB$87,Formula!J65,32))</f>
        <v>6.6922222222222221</v>
      </c>
      <c r="DA65" s="42">
        <f>Formula!C65*(INDEX(Properties!A$1:CB$87,Formula!B65,32))+Formula!E65*(INDEX(Properties!A$1:CB$87,Formula!D65,32))+Formula!G65*(INDEX(Properties!A$1:CB$87,Formula!F65,32))+Formula!I65*(INDEX(Properties!A$1:CB$87,Formula!H65,32))+Formula!K65*(INDEX(Properties!A$1:CB$87,Formula!J65,32))</f>
        <v>60.230000000000004</v>
      </c>
      <c r="DB65" s="42">
        <f>VARP(IF(INDEX(Properties!A$1:CB$87,Formula!B65,32)&lt;&gt;"",INDEX(Properties!A$1:CB$87,Formula!B65,32)),IF(INDEX(Properties!A$1:CB$87,Formula!D65,32)&lt;&gt;"",INDEX(Properties!A$1:CB$87,Formula!D65,32)),IF(INDEX(Properties!A$1:CB$87,Formula!F65,32)&lt;&gt;"",INDEX(Properties!A$1:CB$87,Formula!F65,32)),IF(INDEX(Properties!A$1:CB$87,Formula!H65,32)&lt;&gt;"",INDEX(Properties!A$1:CB$87,Formula!H65,32)),IF(INDEX(Properties!A$1:CB$87,Formula!J65,32)&lt;&gt;"",INDEX(Properties!A$1:CB$87,Formula!J65,32)))</f>
        <v>9.0617760000000018</v>
      </c>
      <c r="DC65" s="42">
        <f>MAX(INDEX(Properties!A$1:CB$87,Formula!B65,32),INDEX(Properties!A$1:CB$87,Formula!D65,32),INDEX(Properties!A$1:CB$87,Formula!F65,32),INDEX(Properties!A$1:CB$87,Formula!H65,32),INDEX(Properties!A$1:CB$87,Formula!J65,32))</f>
        <v>7.54</v>
      </c>
      <c r="DD65" s="42">
        <f>MIN(IF(INDEX(Properties!A$1:CB$87,Formula!B65,32)=0,10^6,INDEX(Properties!A$1:CB$87,Formula!B65,32)),IF(INDEX(Properties!A$1:CB$87,Formula!D65,32)=0,10^6,INDEX(Properties!A$1:CB$87,Formula!D65,32)),IF(INDEX(Properties!A$1:CB$87,Formula!F65,32)=0,10^6,INDEX(Properties!A$1:CB$87,Formula!F65,32)),IF(INDEX(Properties!A$1:CB$87,Formula!H65,32)=0,10^6,INDEX(Properties!A$1:CB$87,Formula!H65,32)),IF(INDEX(Properties!A$1:CB$87,Formula!J65,32)=0,10^6,INDEX(Properties!A$1:CB$87,Formula!J65,32)))</f>
        <v>3.75</v>
      </c>
      <c r="DE65" s="42">
        <f t="shared" si="17"/>
        <v>3.79</v>
      </c>
      <c r="DF65" s="60">
        <f>((Formula!C65)/(Formula!C65+Formula!E65+Formula!G65+Formula!I65+Formula!K65))*(INDEX(Properties!A$1:CB$87,Formula!B65,34))+((Formula!E65)/(Formula!C65+Formula!E65+Formula!G65+Formula!I65+Formula!K65))*(INDEX(Properties!A$1:CB$87,Formula!D65,34))+((Formula!G65)/(Formula!C65+Formula!E65+Formula!G65+Formula!I65+Formula!K65))*(INDEX(Properties!A$1:CB$87,Formula!F65,34))+((Formula!I65)/(Formula!C65+Formula!E65+Formula!G65+Formula!I65+Formula!K65))*(INDEX(Properties!A$1:CB$87,Formula!H65,34))+((Formula!K65)/(Formula!C65+Formula!E65+Formula!G65+Formula!I65+Formula!K65))*(INDEX(Properties!A$1:CB$87,Formula!J65,34))</f>
        <v>3.0509999999999997</v>
      </c>
      <c r="DG65" s="60">
        <f>Formula!C65*(INDEX(Properties!A$1:CB$87,Formula!B65,34))+Formula!E65*(INDEX(Properties!A$1:CB$87,Formula!D65,34))+Formula!G65*(INDEX(Properties!A$1:CB$87,Formula!F65,34))+Formula!I65*(INDEX(Properties!A$1:CB$87,Formula!H65,34))+Formula!K65*(INDEX(Properties!A$1:CB$87,Formula!J65,34))</f>
        <v>27.459</v>
      </c>
      <c r="DH65" s="60">
        <f>VARP(IF(INDEX(Properties!A$1:CB$87,Formula!B65,34)&lt;&gt;"",INDEX(Properties!A$1:CB$87,Formula!B65,34)),IF(INDEX(Properties!A$1:CB$87,Formula!D65,34)&lt;&gt;"",INDEX(Properties!A$1:CB$87,Formula!D65,34)),IF(INDEX(Properties!A$1:CB$87,Formula!F65,34)&lt;&gt;"",INDEX(Properties!A$1:CB$87,Formula!F65,34)),IF(INDEX(Properties!A$1:CB$87,Formula!H65,34)&lt;&gt;"",INDEX(Properties!A$1:CB$87,Formula!H65,34)),IF(INDEX(Properties!A$1:CB$87,Formula!J65,34)&lt;&gt;"",INDEX(Properties!A$1:CB$87,Formula!J65,34)))</f>
        <v>1.9076581599999995</v>
      </c>
      <c r="DI65" s="60">
        <f>MAX(INDEX(Properties!A$1:CB$87,Formula!B65,34),INDEX(Properties!A$1:CB$87,Formula!D65,34),INDEX(Properties!A$1:CB$87,Formula!F65,34),INDEX(Properties!A$1:CB$87,Formula!H65,34),INDEX(Properties!A$1:CB$87,Formula!J65,34))</f>
        <v>3.61</v>
      </c>
      <c r="DJ65" s="60">
        <f>MIN(IF(INDEX(Properties!A$1:CB$87,Formula!B65,34)=0,10^6,INDEX(Properties!A$1:CB$87,Formula!B65,34)),IF(INDEX(Properties!A$1:CB$87,Formula!D65,34)=0,10^6,INDEX(Properties!A$1:CB$87,Formula!D65,34)),IF(INDEX(Properties!A$1:CB$87,Formula!F65,34)=0,10^6,INDEX(Properties!A$1:CB$87,Formula!F65,34)),IF(INDEX(Properties!A$1:CB$87,Formula!H65,34)=0,10^6,INDEX(Properties!A$1:CB$87,Formula!H65,34)),IF(INDEX(Properties!A$1:CB$87,Formula!J65,34)=0,10^6,INDEX(Properties!A$1:CB$87,Formula!J65,34)))</f>
        <v>1.2929999999999999</v>
      </c>
      <c r="DK65" s="60">
        <f t="shared" si="18"/>
        <v>2.3170000000000002</v>
      </c>
      <c r="DL65" s="45">
        <f>((Formula!C65)/(Formula!C65+Formula!E65+Formula!G65+Formula!I65+Formula!K65))*(INDEX(Properties!A$1:CB$87,Formula!B65,39))+((Formula!E65)/(Formula!C65+Formula!E65+Formula!G65+Formula!I65+Formula!K65))*(INDEX(Properties!A$1:CB$87,Formula!D65,39))+((Formula!G65)/(Formula!C65+Formula!E65+Formula!G65+Formula!I65+Formula!K65))*(INDEX(Properties!A$1:CB$87,Formula!F65,39))+((Formula!I65)/(Formula!C65+Formula!E65+Formula!G65+Formula!I65+Formula!K65))*(INDEX(Properties!A$1:CB$87,Formula!H65,39))+((Formula!K65)/(Formula!C65+Formula!E65+Formula!G65+Formula!I65+Formula!K65))*(INDEX(Properties!A$1:CB$87,Formula!J65,39))</f>
        <v>0.69888888888888878</v>
      </c>
      <c r="DM65" s="45">
        <f>Formula!C65*(INDEX(Properties!A$1:CB$87,Formula!B65,39))+Formula!E65*(INDEX(Properties!A$1:CB$87,Formula!D65,39))+Formula!G65*(INDEX(Properties!A$1:CB$87,Formula!F65,39))+Formula!I65*(INDEX(Properties!A$1:CB$87,Formula!H65,39))+Formula!K65*(INDEX(Properties!A$1:CB$87,Formula!J65,39))</f>
        <v>6.29</v>
      </c>
      <c r="DN65" s="45">
        <f>VARP(IF(INDEX(Properties!A$1:CB$87,Formula!B65,39)&lt;&gt;"",INDEX(Properties!A$1:CB$87,Formula!B65,39)),IF(INDEX(Properties!A$1:CB$87,Formula!D65,39)&lt;&gt;"",INDEX(Properties!A$1:CB$87,Formula!D65,39)),IF(INDEX(Properties!A$1:CB$87,Formula!F65,39)&lt;&gt;"",INDEX(Properties!A$1:CB$87,Formula!F65,39)),IF(INDEX(Properties!A$1:CB$87,Formula!H65,39)&lt;&gt;"",INDEX(Properties!A$1:CB$87,Formula!H65,39)),IF(INDEX(Properties!A$1:CB$87,Formula!J65,39)&lt;&gt;"",INDEX(Properties!A$1:CB$87,Formula!J65,39)))</f>
        <v>0.31993600000000005</v>
      </c>
      <c r="DO65" s="45">
        <f>MAX(INDEX(Properties!A$1:CB$87,Formula!B65,39),INDEX(Properties!A$1:CB$87,Formula!D65,39),INDEX(Properties!A$1:CB$87,Formula!F65,39),INDEX(Properties!A$1:CB$87,Formula!H65,39),INDEX(Properties!A$1:CB$87,Formula!J65,39))</f>
        <v>1.45</v>
      </c>
      <c r="DP65" s="45">
        <f>MIN(IF(INDEX(Properties!A$1:CB$87,Formula!B65,39)=0,10^6,INDEX(Properties!A$1:CB$87,Formula!B65,39)),IF(INDEX(Properties!A$1:CB$87,Formula!D65,39)=0,10^6,INDEX(Properties!A$1:CB$87,Formula!D65,39)),IF(INDEX(Properties!A$1:CB$87,Formula!F65,39)=0,10^6,INDEX(Properties!A$1:CB$87,Formula!F65,39)),IF(INDEX(Properties!A$1:CB$87,Formula!H65,39)=0,10^6,INDEX(Properties!A$1:CB$87,Formula!H65,39)),IF(INDEX(Properties!A$1:CB$87,Formula!J65,39)=0,10^6,INDEX(Properties!A$1:CB$87,Formula!J65,39)))</f>
        <v>0.48</v>
      </c>
      <c r="DQ65" s="45">
        <f t="shared" si="19"/>
        <v>0.97</v>
      </c>
      <c r="DR65" s="63">
        <f>((Formula!C65)/(Formula!C65+Formula!E65+Formula!G65+Formula!I65+Formula!K65))*(INDEX(Properties!A$1:CB$87,Formula!B65,40))+((Formula!E65)/(Formula!C65+Formula!E65+Formula!G65+Formula!I65+Formula!K65))*(INDEX(Properties!A$1:CB$87,Formula!D65,40))+((Formula!G65)/(Formula!C65+Formula!E65+Formula!G65+Formula!I65+Formula!K65))*(INDEX(Properties!A$1:CB$87,Formula!F65,40))+((Formula!I65)/(Formula!C65+Formula!E65+Formula!G65+Formula!I65+Formula!K65))*(INDEX(Properties!A$1:CB$87,Formula!H65,40))+((Formula!K65)/(Formula!C65+Formula!E65+Formula!G65+Formula!I65+Formula!K65))*(INDEX(Properties!A$1:CB$87,Formula!J65,40))</f>
        <v>0.8666666666666667</v>
      </c>
      <c r="DS65" s="63">
        <f>Formula!C65*(INDEX(Properties!A$1:CB$87,Formula!B65,40))+Formula!E65*(INDEX(Properties!A$1:CB$87,Formula!D65,40))+Formula!G65*(INDEX(Properties!A$1:CB$87,Formula!F65,40))+Formula!I65*(INDEX(Properties!A$1:CB$87,Formula!H65,40))+Formula!K65*(INDEX(Properties!A$1:CB$87,Formula!J65,40))</f>
        <v>7.8</v>
      </c>
      <c r="DT65" s="63">
        <f>VARP(IF(INDEX(Properties!A$1:CB$87,Formula!B65,40)&lt;&gt;"",INDEX(Properties!A$1:CB$87,Formula!B65,40)),IF(INDEX(Properties!A$1:CB$87,Formula!D65,40)&lt;&gt;"",INDEX(Properties!A$1:CB$87,Formula!D65,40)),IF(INDEX(Properties!A$1:CB$87,Formula!F65,40)&lt;&gt;"",INDEX(Properties!A$1:CB$87,Formula!F65,40)),IF(INDEX(Properties!A$1:CB$87,Formula!H65,40)&lt;&gt;"",INDEX(Properties!A$1:CB$87,Formula!H65,40)),IF(INDEX(Properties!A$1:CB$87,Formula!J65,40)&lt;&gt;"",INDEX(Properties!A$1:CB$87,Formula!J65,40)))</f>
        <v>0.28737599999999985</v>
      </c>
      <c r="DU65" s="63">
        <f>MAX(INDEX(Properties!A$1:CB$87,Formula!B65,40),INDEX(Properties!A$1:CB$87,Formula!D65,40),INDEX(Properties!A$1:CB$87,Formula!F65,40),INDEX(Properties!A$1:CB$87,Formula!H65,40),INDEX(Properties!A$1:CB$87,Formula!J65,40))</f>
        <v>1.3</v>
      </c>
      <c r="DV65" s="63">
        <f>MIN(IF(INDEX(Properties!A$1:CB$87,Formula!B65,40)=0,10^6,INDEX(Properties!A$1:CB$87,Formula!B65,40)),IF(INDEX(Properties!A$1:CB$87,Formula!D65,40)=0,10^6,INDEX(Properties!A$1:CB$87,Formula!D65,40)),IF(INDEX(Properties!A$1:CB$87,Formula!F65,40)=0,10^6,INDEX(Properties!A$1:CB$87,Formula!F65,40)),IF(INDEX(Properties!A$1:CB$87,Formula!H65,40)=0,10^6,INDEX(Properties!A$1:CB$87,Formula!H65,40)),IF(INDEX(Properties!A$1:CB$87,Formula!J65,40)=0,10^6,INDEX(Properties!A$1:CB$87,Formula!J65,40)))</f>
        <v>0.73</v>
      </c>
      <c r="DW65" s="63">
        <f t="shared" si="20"/>
        <v>0.57000000000000006</v>
      </c>
      <c r="DX65" s="75">
        <f>((Formula!C65)/(Formula!C65+Formula!E65+Formula!G65+Formula!I65+Formula!K65))*(INDEX(Properties!A$1:CB$87,Formula!B65,41))+((Formula!E65)/(Formula!C65+Formula!E65+Formula!G65+Formula!I65+Formula!K65))*(INDEX(Properties!A$1:CB$87,Formula!D65,41))+((Formula!G65)/(Formula!C65+Formula!E65+Formula!G65+Formula!I65+Formula!K65))*(INDEX(Properties!A$1:CB$87,Formula!F65,41))+((Formula!I65)/(Formula!C65+Formula!E65+Formula!G65+Formula!I65+Formula!K65))*(INDEX(Properties!A$1:CB$87,Formula!H65,41))+((Formula!K65)/(Formula!C65+Formula!E65+Formula!G65+Formula!I65+Formula!K65))*(INDEX(Properties!A$1:CB$87,Formula!J65,41))</f>
        <v>1.0644444444444443</v>
      </c>
      <c r="DY65" s="75">
        <f>Formula!C65*(INDEX(Properties!A$1:CB$87,Formula!B65,41))+Formula!E65*(INDEX(Properties!A$1:CB$87,Formula!D65,41))+Formula!G65*(INDEX(Properties!A$1:CB$87,Formula!F65,41))+Formula!I65*(INDEX(Properties!A$1:CB$87,Formula!H65,41))+Formula!K65*(INDEX(Properties!A$1:CB$87,Formula!J65,41))</f>
        <v>9.58</v>
      </c>
      <c r="DZ65" s="75">
        <f>VARP(IF(INDEX(Properties!A$1:CB$87,Formula!B65,41)&lt;&gt;"",INDEX(Properties!A$1:CB$87,Formula!B65,41)),IF(INDEX(Properties!A$1:CB$87,Formula!D65,41)&lt;&gt;"",INDEX(Properties!A$1:CB$87,Formula!D65,41)),IF(INDEX(Properties!A$1:CB$87,Formula!F65,41)&lt;&gt;"",INDEX(Properties!A$1:CB$87,Formula!F65,41)),IF(INDEX(Properties!A$1:CB$87,Formula!H65,41)&lt;&gt;"",INDEX(Properties!A$1:CB$87,Formula!H65,41)),IF(INDEX(Properties!A$1:CB$87,Formula!J65,41)&lt;&gt;"",INDEX(Properties!A$1:CB$87,Formula!J65,41)))</f>
        <v>0.24111999999999989</v>
      </c>
      <c r="EA65" s="75">
        <f>MAX(INDEX(Properties!A$1:CB$87,Formula!B65,41),INDEX(Properties!A$1:CB$87,Formula!D65,41),INDEX(Properties!A$1:CB$87,Formula!F65,41),INDEX(Properties!A$1:CB$87,Formula!H65,41),INDEX(Properties!A$1:CB$87,Formula!J65,41))</f>
        <v>1.26</v>
      </c>
      <c r="EB65" s="75">
        <f>MIN(IF(INDEX(Properties!A$1:CB$87,Formula!B65,41)=0,10^6,INDEX(Properties!A$1:CB$87,Formula!B65,41)),IF(INDEX(Properties!A$1:CB$87,Formula!D65,41)=0,10^6,INDEX(Properties!A$1:CB$87,Formula!D65,41)),IF(INDEX(Properties!A$1:CB$87,Formula!F65,41)=0,10^6,INDEX(Properties!A$1:CB$87,Formula!F65,41)),IF(INDEX(Properties!A$1:CB$87,Formula!H65,41)=0,10^6,INDEX(Properties!A$1:CB$87,Formula!H65,41)),IF(INDEX(Properties!A$1:CB$87,Formula!J65,41)=0,10^6,INDEX(Properties!A$1:CB$87,Formula!J65,41)))</f>
        <v>0.57999999999999996</v>
      </c>
      <c r="EC65" s="75">
        <f t="shared" si="21"/>
        <v>0.68</v>
      </c>
      <c r="ED65" s="48">
        <f>((Formula!C65)/(Formula!C65+Formula!E65+Formula!G65+Formula!I65+Formula!K65))*(INDEX(Properties!A$1:CB$87,Formula!B65,45))+((Formula!E65)/(Formula!C65+Formula!E65+Formula!G65+Formula!I65+Formula!K65))*(INDEX(Properties!A$1:CB$87,Formula!D65,45))+((Formula!G65)/(Formula!C65+Formula!E65+Formula!G65+Formula!I65+Formula!K65))*(INDEX(Properties!A$1:CB$87,Formula!F65,45))+((Formula!I65)/(Formula!C65+Formula!E65+Formula!G65+Formula!I65+Formula!K65))*(INDEX(Properties!A$1:CB$87,Formula!H65,45))+((Formula!K65)/(Formula!C65+Formula!E65+Formula!G65+Formula!I65+Formula!K65))*(INDEX(Properties!A$1:CB$87,Formula!J65,45))</f>
        <v>0.8144444444444443</v>
      </c>
      <c r="EE65" s="48">
        <f>Formula!C65*(INDEX(Properties!A$1:CB$87,Formula!B65,45))+Formula!E65*(INDEX(Properties!A$1:CB$87,Formula!D65,45))+Formula!G65*(INDEX(Properties!A$1:CB$87,Formula!F65,45))+Formula!I65*(INDEX(Properties!A$1:CB$87,Formula!H65,45))+Formula!K65*(INDEX(Properties!A$1:CB$87,Formula!J65,45))</f>
        <v>7.33</v>
      </c>
      <c r="EF65" s="48">
        <f>VARP(IF(INDEX(Properties!A$1:CB$87,Formula!B65,45)&lt;&gt;"",INDEX(Properties!A$1:CB$87,Formula!B65,45)),IF(INDEX(Properties!A$1:CB$87,Formula!D65,45)&lt;&gt;"",INDEX(Properties!A$1:CB$87,Formula!D65,45)),IF(INDEX(Properties!A$1:CB$87,Formula!F65,45)&lt;&gt;"",INDEX(Properties!A$1:CB$87,Formula!F65,45)),IF(INDEX(Properties!A$1:CB$87,Formula!H65,45)&lt;&gt;"",INDEX(Properties!A$1:CB$87,Formula!H65,45)),IF(INDEX(Properties!A$1:CB$87,Formula!J65,45)&lt;&gt;"",INDEX(Properties!A$1:CB$87,Formula!J65,45)))</f>
        <v>0.61637600000000015</v>
      </c>
      <c r="EG65" s="48">
        <f>MAX(INDEX(Properties!A$1:CB$87,Formula!B65,45),INDEX(Properties!A$1:CB$87,Formula!D65,45),INDEX(Properties!A$1:CB$87,Formula!F65,45),INDEX(Properties!A$1:CB$87,Formula!H65,45),INDEX(Properties!A$1:CB$87,Formula!J65,45))</f>
        <v>2.0299999999999998</v>
      </c>
      <c r="EH65" s="48">
        <f>MIN(IF(INDEX(Properties!A$1:CB$87,Formula!B65,45)=0,10^6,INDEX(Properties!A$1:CB$87,Formula!B65,45)),IF(INDEX(Properties!A$1:CB$87,Formula!D65,45)=0,10^6,INDEX(Properties!A$1:CB$87,Formula!D65,45)),IF(INDEX(Properties!A$1:CB$87,Formula!F65,45)=0,10^6,INDEX(Properties!A$1:CB$87,Formula!F65,45)),IF(INDEX(Properties!A$1:CB$87,Formula!H65,45)=0,10^6,INDEX(Properties!A$1:CB$87,Formula!H65,45)),IF(INDEX(Properties!A$1:CB$87,Formula!J65,45)=0,10^6,INDEX(Properties!A$1:CB$87,Formula!J65,45)))</f>
        <v>0.47</v>
      </c>
      <c r="EI65" s="48">
        <f t="shared" si="22"/>
        <v>1.5599999999999998</v>
      </c>
      <c r="EJ65" s="66">
        <f>((Formula!C65)/(Formula!C65+Formula!E65+Formula!G65+Formula!I65+Formula!K65))*(INDEX(Properties!A$1:CB$87,Formula!B65,46))+((Formula!E65)/(Formula!C65+Formula!E65+Formula!G65+Formula!I65+Formula!K65))*(INDEX(Properties!A$1:CB$87,Formula!D65,46))+((Formula!G65)/(Formula!C65+Formula!E65+Formula!G65+Formula!I65+Formula!K65))*(INDEX(Properties!A$1:CB$87,Formula!F65,46))+((Formula!I65)/(Formula!C65+Formula!E65+Formula!G65+Formula!I65+Formula!K65))*(INDEX(Properties!A$1:CB$87,Formula!H65,46))+((Formula!K65)/(Formula!C65+Formula!E65+Formula!G65+Formula!I65+Formula!K65))*(INDEX(Properties!A$1:CB$87,Formula!J65,46))</f>
        <v>0.97111111111111104</v>
      </c>
      <c r="EK65" s="66">
        <f>Formula!C65*(INDEX(Properties!A$1:CB$87,Formula!B65,46))+Formula!E65*(INDEX(Properties!A$1:CB$87,Formula!D65,46))+Formula!G65*(INDEX(Properties!A$1:CB$87,Formula!F65,46))+Formula!I65*(INDEX(Properties!A$1:CB$87,Formula!H65,46))+Formula!K65*(INDEX(Properties!A$1:CB$87,Formula!J65,46))</f>
        <v>8.74</v>
      </c>
      <c r="EL65" s="66">
        <f>VARP(IF(INDEX(Properties!A$1:CB$87,Formula!B65,46)&lt;&gt;"",INDEX(Properties!A$1:CB$87,Formula!B65,46)),IF(INDEX(Properties!A$1:CB$87,Formula!D65,46)&lt;&gt;"",INDEX(Properties!A$1:CB$87,Formula!D65,46)),IF(INDEX(Properties!A$1:CB$87,Formula!F65,46)&lt;&gt;"",INDEX(Properties!A$1:CB$87,Formula!F65,46)),IF(INDEX(Properties!A$1:CB$87,Formula!H65,46)&lt;&gt;"",INDEX(Properties!A$1:CB$87,Formula!H65,46)),IF(INDEX(Properties!A$1:CB$87,Formula!J65,46)&lt;&gt;"",INDEX(Properties!A$1:CB$87,Formula!J65,46)))</f>
        <v>0.23338399999999995</v>
      </c>
      <c r="EM65" s="66">
        <f>MAX(INDEX(Properties!A$1:CB$87,Formula!B65,46),INDEX(Properties!A$1:CB$87,Formula!D65,46),INDEX(Properties!A$1:CB$87,Formula!F65,46),INDEX(Properties!A$1:CB$87,Formula!H65,46),INDEX(Properties!A$1:CB$87,Formula!J65,46))</f>
        <v>1.21</v>
      </c>
      <c r="EN65" s="66">
        <f>MIN(IF(INDEX(Properties!A$1:CB$87,Formula!B65,46)=0,10^6,INDEX(Properties!A$1:CB$87,Formula!B65,46)),IF(INDEX(Properties!A$1:CB$87,Formula!D65,46)=0,10^6,INDEX(Properties!A$1:CB$87,Formula!D65,46)),IF(INDEX(Properties!A$1:CB$87,Formula!F65,46)=0,10^6,INDEX(Properties!A$1:CB$87,Formula!F65,46)),IF(INDEX(Properties!A$1:CB$87,Formula!H65,46)=0,10^6,INDEX(Properties!A$1:CB$87,Formula!H65,46)),IF(INDEX(Properties!A$1:CB$87,Formula!J65,46)=0,10^6,INDEX(Properties!A$1:CB$87,Formula!J65,46)))</f>
        <v>0.31</v>
      </c>
      <c r="EO65" s="66">
        <f t="shared" si="23"/>
        <v>0.89999999999999991</v>
      </c>
      <c r="EP65" s="81">
        <f>((Formula!C65)/(Formula!C65+Formula!E65+Formula!G65+Formula!I65+Formula!K65))*(INDEX(Properties!A$1:CB$87,Formula!B65,52))+((Formula!E65)/(Formula!C65+Formula!E65+Formula!G65+Formula!I65+Formula!K65))*(INDEX(Properties!A$1:CB$87,Formula!D65,52))+((Formula!G65)/(Formula!C65+Formula!E65+Formula!G65+Formula!I65+Formula!K65))*(INDEX(Properties!A$1:CB$87,Formula!F65,52))+((Formula!I65)/(Formula!C65+Formula!E65+Formula!G65+Formula!I65+Formula!K65))*(INDEX(Properties!A$1:CB$87,Formula!H65,52))+((Formula!K65)/(Formula!C65+Formula!E65+Formula!G65+Formula!I65+Formula!K65))*(INDEX(Properties!A$1:CB$87,Formula!J65,52))</f>
        <v>2.506444444444444</v>
      </c>
      <c r="EQ65" s="81">
        <f>Formula!C65*(INDEX(Properties!A$1:CB$87,Formula!B65,52))+Formula!E65*(INDEX(Properties!A$1:CB$87,Formula!D65,52))+Formula!G65*(INDEX(Properties!A$1:CB$87,Formula!F65,52))+Formula!I65*(INDEX(Properties!A$1:CB$87,Formula!H65,52))+Formula!K65*(INDEX(Properties!A$1:CB$87,Formula!J65,52))</f>
        <v>22.558</v>
      </c>
      <c r="ER65" s="81">
        <f>VARP(IF(INDEX(Properties!A$1:CB$87,Formula!B65,52)&lt;&gt;"",INDEX(Properties!A$1:CB$87,Formula!B65,52)),IF(INDEX(Properties!A$1:CB$87,Formula!D65,52)&lt;&gt;"",INDEX(Properties!A$1:CB$87,Formula!D65,52)),IF(INDEX(Properties!A$1:CB$87,Formula!F65,52)&lt;&gt;"",INDEX(Properties!A$1:CB$87,Formula!F65,52)),IF(INDEX(Properties!A$1:CB$87,Formula!H65,52)&lt;&gt;"",INDEX(Properties!A$1:CB$87,Formula!H65,52)),IF(INDEX(Properties!A$1:CB$87,Formula!J65,52)&lt;&gt;"",INDEX(Properties!A$1:CB$87,Formula!J65,52)))</f>
        <v>16.19816784</v>
      </c>
      <c r="ES65" s="81">
        <f>MAX(INDEX(Properties!A$1:CB$87,Formula!B65,52),INDEX(Properties!A$1:CB$87,Formula!D65,52),INDEX(Properties!A$1:CB$87,Formula!F65,52),INDEX(Properties!A$1:CB$87,Formula!H65,52),INDEX(Properties!A$1:CB$87,Formula!J65,52))</f>
        <v>10.6</v>
      </c>
      <c r="ET65" s="81">
        <f>MIN(IF(INDEX(Properties!A$1:CB$87,Formula!B65,52)=0,10^6,INDEX(Properties!A$1:CB$87,Formula!B65,52)),IF(INDEX(Properties!A$1:CB$87,Formula!D65,52)=0,10^6,INDEX(Properties!A$1:CB$87,Formula!D65,52)),IF(INDEX(Properties!A$1:CB$87,Formula!F65,52)=0,10^6,INDEX(Properties!A$1:CB$87,Formula!F65,52)),IF(INDEX(Properties!A$1:CB$87,Formula!H65,52)=0,10^6,INDEX(Properties!A$1:CB$87,Formula!H65,52)),IF(INDEX(Properties!A$1:CB$87,Formula!J65,52)=0,10^6,INDEX(Properties!A$1:CB$87,Formula!J65,52)))</f>
        <v>0.79300000000000004</v>
      </c>
      <c r="EU65" s="81">
        <f t="shared" si="24"/>
        <v>9.8070000000000004</v>
      </c>
      <c r="EV65" s="39">
        <f>((Formula!C65)/(Formula!C65+Formula!E65+Formula!G65+Formula!I65+Formula!K65))*(INDEX(Properties!A$1:CB$87,Formula!B65,53))+((Formula!E65)/(Formula!C65+Formula!E65+Formula!G65+Formula!I65+Formula!K65))*(INDEX(Properties!A$1:CB$87,Formula!D65,53))+((Formula!G65)/(Formula!C65+Formula!E65+Formula!G65+Formula!I65+Formula!K65))*(INDEX(Properties!A$1:CB$87,Formula!F65,53))+((Formula!I65)/(Formula!C65+Formula!E65+Formula!G65+Formula!I65+Formula!K65))*(INDEX(Properties!A$1:CB$87,Formula!H65,53))+((Formula!K65)/(Formula!C65+Formula!E65+Formula!G65+Formula!I65+Formula!K65))*(INDEX(Properties!A$1:CB$87,Formula!J65,53))</f>
        <v>209.46111111111108</v>
      </c>
      <c r="EW65" s="39">
        <f>Formula!C65*(INDEX(Properties!A$1:CB$87,Formula!B65,53))+Formula!E65*(INDEX(Properties!A$1:CB$87,Formula!D65,53))+Formula!G65*(INDEX(Properties!A$1:CB$87,Formula!F65,53))+Formula!I65*(INDEX(Properties!A$1:CB$87,Formula!H65,53))+Formula!K65*(INDEX(Properties!A$1:CB$87,Formula!J65,53))</f>
        <v>1885.1499999999999</v>
      </c>
      <c r="EX65" s="39">
        <f>VARP(IF(INDEX(Properties!A$1:CB$87,Formula!B65,53)&lt;&gt;"",INDEX(Properties!A$1:CB$87,Formula!B65,53)),IF(INDEX(Properties!A$1:CB$87,Formula!D65,53)&lt;&gt;"",INDEX(Properties!A$1:CB$87,Formula!D65,53)),IF(INDEX(Properties!A$1:CB$87,Formula!F65,53)&lt;&gt;"",INDEX(Properties!A$1:CB$87,Formula!F65,53)),IF(INDEX(Properties!A$1:CB$87,Formula!H65,53)&lt;&gt;"",INDEX(Properties!A$1:CB$87,Formula!H65,53)),IF(INDEX(Properties!A$1:CB$87,Formula!J65,53)&lt;&gt;"",INDEX(Properties!A$1:CB$87,Formula!J65,53)))</f>
        <v>123808.18059999999</v>
      </c>
      <c r="EY65" s="39">
        <f>MAX(INDEX(Properties!A$1:CB$87,Formula!B65,53),INDEX(Properties!A$1:CB$87,Formula!D65,53),INDEX(Properties!A$1:CB$87,Formula!F65,53),INDEX(Properties!A$1:CB$87,Formula!H65,53),INDEX(Properties!A$1:CB$87,Formula!J65,53))</f>
        <v>922.15</v>
      </c>
      <c r="EZ65" s="39">
        <f>MIN(IF(INDEX(Properties!A$1:CB$87,Formula!B65,53)=0,10^6,INDEX(Properties!A$1:CB$87,Formula!B65,53)),IF(INDEX(Properties!A$1:CB$87,Formula!D65,53)=0,10^6,INDEX(Properties!A$1:CB$87,Formula!D65,53)),IF(INDEX(Properties!A$1:CB$87,Formula!F65,53)=0,10^6,INDEX(Properties!A$1:CB$87,Formula!F65,53)),IF(INDEX(Properties!A$1:CB$87,Formula!H65,53)=0,10^6,INDEX(Properties!A$1:CB$87,Formula!H65,53)),IF(INDEX(Properties!A$1:CB$87,Formula!J65,53)=0,10^6,INDEX(Properties!A$1:CB$87,Formula!J65,53)))</f>
        <v>54.749999999999972</v>
      </c>
      <c r="FA65" s="39">
        <f t="shared" si="25"/>
        <v>867.4</v>
      </c>
      <c r="FB65" s="54">
        <f>((Formula!C65)/(Formula!C65+Formula!E65+Formula!G65+Formula!I65+Formula!K65))*(INDEX(Properties!A$1:CB$87,Formula!B65,54))+((Formula!E65)/(Formula!C65+Formula!E65+Formula!G65+Formula!I65+Formula!K65))*(INDEX(Properties!A$1:CB$87,Formula!D65,54))+((Formula!G65)/(Formula!C65+Formula!E65+Formula!G65+Formula!I65+Formula!K65))*(INDEX(Properties!A$1:CB$87,Formula!F65,54))+((Formula!I65)/(Formula!C65+Formula!E65+Formula!G65+Formula!I65+Formula!K65))*(INDEX(Properties!A$1:CB$87,Formula!H65,54))+((Formula!K65)/(Formula!C65+Formula!E65+Formula!G65+Formula!I65+Formula!K65))*(INDEX(Properties!A$1:CB$87,Formula!J65,54))</f>
        <v>334.48333333333329</v>
      </c>
      <c r="FC65" s="54">
        <f>Formula!C65*(INDEX(Properties!A$1:CB$87,Formula!B65,54))+Formula!E65*(INDEX(Properties!A$1:CB$87,Formula!D65,54))+Formula!G65*(INDEX(Properties!A$1:CB$87,Formula!F65,54))+Formula!I65*(INDEX(Properties!A$1:CB$87,Formula!H65,54))+Formula!K65*(INDEX(Properties!A$1:CB$87,Formula!J65,54))</f>
        <v>3010.3499999999995</v>
      </c>
      <c r="FD65" s="54">
        <f>VARP(IF(INDEX(Properties!A$1:CB$87,Formula!B65,54)&lt;&gt;"",INDEX(Properties!A$1:CB$87,Formula!B65,54)),IF(INDEX(Properties!A$1:CB$87,Formula!D65,54)&lt;&gt;"",INDEX(Properties!A$1:CB$87,Formula!D65,54)),IF(INDEX(Properties!A$1:CB$87,Formula!F65,54)&lt;&gt;"",INDEX(Properties!A$1:CB$87,Formula!F65,54)),IF(INDEX(Properties!A$1:CB$87,Formula!H65,54)&lt;&gt;"",INDEX(Properties!A$1:CB$87,Formula!H65,54)),IF(INDEX(Properties!A$1:CB$87,Formula!J65,54)&lt;&gt;"",INDEX(Properties!A$1:CB$87,Formula!J65,54)))</f>
        <v>273422.30939999997</v>
      </c>
      <c r="FE65" s="54">
        <f>MAX(INDEX(Properties!A$1:CB$87,Formula!B65,54),INDEX(Properties!A$1:CB$87,Formula!D65,54),INDEX(Properties!A$1:CB$87,Formula!F65,54),INDEX(Properties!A$1:CB$87,Formula!H65,54),INDEX(Properties!A$1:CB$87,Formula!J65,54))</f>
        <v>1363.15</v>
      </c>
      <c r="FF65" s="54">
        <f>MIN(IF(INDEX(Properties!A$1:CB$87,Formula!B65,54)=0,10^6,INDEX(Properties!A$1:CB$87,Formula!B65,54)),IF(INDEX(Properties!A$1:CB$87,Formula!D65,54)=0,10^6,INDEX(Properties!A$1:CB$87,Formula!D65,54)),IF(INDEX(Properties!A$1:CB$87,Formula!F65,54)=0,10^6,INDEX(Properties!A$1:CB$87,Formula!F65,54)),IF(INDEX(Properties!A$1:CB$87,Formula!H65,54)=0,10^6,INDEX(Properties!A$1:CB$87,Formula!H65,54)),IF(INDEX(Properties!A$1:CB$87,Formula!J65,54)=0,10^6,INDEX(Properties!A$1:CB$87,Formula!J65,54)))</f>
        <v>90.149999999999977</v>
      </c>
      <c r="FG65" s="54">
        <f t="shared" si="26"/>
        <v>1273</v>
      </c>
      <c r="FH65" s="69">
        <f>((Formula!C65)/(Formula!C65+Formula!E65+Formula!G65+Formula!I65+Formula!K65))*(INDEX(Properties!A$1:CB$87,Formula!B65,55))+((Formula!E65)/(Formula!C65+Formula!E65+Formula!G65+Formula!I65+Formula!K65))*(INDEX(Properties!A$1:CB$87,Formula!D65,55))+((Formula!G65)/(Formula!C65+Formula!E65+Formula!G65+Formula!I65+Formula!K65))*(INDEX(Properties!A$1:CB$87,Formula!F65,55))+((Formula!I65)/(Formula!C65+Formula!E65+Formula!G65+Formula!I65+Formula!K65))*(INDEX(Properties!A$1:CB$87,Formula!H65,55))+((Formula!K65)/(Formula!C65+Formula!E65+Formula!G65+Formula!I65+Formula!K65))*(INDEX(Properties!A$1:CB$87,Formula!J65,55))</f>
        <v>0.5987311111111111</v>
      </c>
      <c r="FI65" s="69">
        <f>Formula!C65*(INDEX(Properties!A$1:CB$87,Formula!B65,55))+Formula!E65*(INDEX(Properties!A$1:CB$87,Formula!D65,54))+Formula!G65*(INDEX(Properties!A$1:CB$87,Formula!F65,55))+Formula!I65*(INDEX(Properties!A$1:CB$87,Formula!H65,55))+Formula!K65*(INDEX(Properties!A$1:CB$87,Formula!J65,55))</f>
        <v>1108.0485799999999</v>
      </c>
      <c r="FJ65" s="69">
        <f>VARP(IF(INDEX(Properties!A$1:CB$87,Formula!B65,55)&lt;&gt;"",INDEX(Properties!A$1:CB$87,Formula!B65,55)),IF(INDEX(Properties!A$1:CB$87,Formula!D65,55)&lt;&gt;"",INDEX(Properties!A$1:CB$87,Formula!D65,55)),IF(INDEX(Properties!A$1:CB$87,Formula!F65,55)&lt;&gt;"",INDEX(Properties!A$1:CB$87,Formula!F65,55)),IF(INDEX(Properties!A$1:CB$87,Formula!H65,55)&lt;&gt;"",INDEX(Properties!A$1:CB$87,Formula!H65,55)),IF(INDEX(Properties!A$1:CB$87,Formula!J65,55)&lt;&gt;"",INDEX(Properties!A$1:CB$87,Formula!J65,55)))</f>
        <v>0.76064906318400005</v>
      </c>
      <c r="FK65" s="69">
        <f>MAX(INDEX(Properties!A$1:CB$87,Formula!B65,55),INDEX(Properties!A$1:CB$87,Formula!D65,55),INDEX(Properties!A$1:CB$87,Formula!F65,55),INDEX(Properties!A$1:CB$87,Formula!H65,55),INDEX(Properties!A$1:CB$87,Formula!J65,55))</f>
        <v>1.82</v>
      </c>
      <c r="FL65" s="69">
        <f>MIN(IF(INDEX(Properties!A$1:CB$87,Formula!B65,55)=0,10^6,INDEX(Properties!A$1:CB$87,Formula!B65,55)),IF(INDEX(Properties!A$1:CB$87,Formula!D65,55)=0,10^6,INDEX(Properties!A$1:CB$87,Formula!D65,55)),IF(INDEX(Properties!A$1:CB$87,Formula!F65,55)=0,10^6,INDEX(Properties!A$1:CB$87,Formula!F65,55)),IF(INDEX(Properties!A$1:CB$87,Formula!H65,55)=0,10^6,INDEX(Properties!A$1:CB$87,Formula!H65,55)),IF(INDEX(Properties!A$1:CB$87,Formula!J65,55)=0,10^6,INDEX(Properties!A$1:CB$87,Formula!J65,55)))</f>
        <v>1.4300000000000001E-3</v>
      </c>
      <c r="FM65" s="69">
        <f t="shared" si="27"/>
        <v>1.81857</v>
      </c>
      <c r="FN65" s="42">
        <f>((Formula!C65)/(Formula!C65+Formula!E65+Formula!G65+Formula!I65+Formula!K65))*(INDEX(Properties!A$1:CB$87,Formula!B65,56))+((Formula!E65)/(Formula!C65+Formula!E65+Formula!G65+Formula!I65+Formula!K65))*(INDEX(Properties!A$1:CB$87,Formula!D65,56))+((Formula!G65)/(Formula!C65+Formula!E65+Formula!G65+Formula!I65+Formula!K65))*(INDEX(Properties!A$1:CB$87,Formula!F65,56))+((Formula!I65)/(Formula!C65+Formula!E65+Formula!G65+Formula!I65+Formula!K65))*(INDEX(Properties!A$1:CB$87,Formula!H65,56))+((Formula!K65)/(Formula!C65+Formula!E65+Formula!G65+Formula!I65+Formula!K65))*(INDEX(Properties!A$1:CB$87,Formula!J65,56))</f>
        <v>0.89777777777777779</v>
      </c>
      <c r="FO65" s="42">
        <f>Formula!C65*(INDEX(Properties!A$1:CB$87,Formula!B65,56))+Formula!E65*(INDEX(Properties!A$1:CB$87,Formula!D65,56))+Formula!G65*(INDEX(Properties!A$1:CB$87,Formula!F65,56))+Formula!I65*(INDEX(Properties!A$1:CB$87,Formula!H65,56))+Formula!K65*(INDEX(Properties!A$1:CB$87,Formula!J65,56))</f>
        <v>8.08</v>
      </c>
      <c r="FP65" s="42">
        <f>VARP(IF(INDEX(Properties!A$1:CB$87,Formula!B65,56)&lt;&gt;"",INDEX(Properties!A$1:CB$87,Formula!B65,56)),IF(INDEX(Properties!A$1:CB$87,Formula!D65,56)&lt;&gt;"",INDEX(Properties!A$1:CB$87,Formula!D65,56)),IF(INDEX(Properties!A$1:CB$87,Formula!F65,56)&lt;&gt;"",INDEX(Properties!A$1:CB$87,Formula!F65,56)),IF(INDEX(Properties!A$1:CB$87,Formula!H65,56)&lt;&gt;"",INDEX(Properties!A$1:CB$87,Formula!H65,56)),IF(INDEX(Properties!A$1:CB$87,Formula!J65,56)&lt;&gt;"",INDEX(Properties!A$1:CB$87,Formula!J65,56)))</f>
        <v>0.20217600000000008</v>
      </c>
      <c r="FQ65" s="42">
        <f>MAX(INDEX(Properties!A$1:CB$87,Formula!B65,56),INDEX(Properties!A$1:CB$87,Formula!D65,56),INDEX(Properties!A$1:CB$87,Formula!F65,56),INDEX(Properties!A$1:CB$87,Formula!H65,56),INDEX(Properties!A$1:CB$87,Formula!J65,56))</f>
        <v>1.02</v>
      </c>
      <c r="FR65" s="42">
        <f>MIN(IF(INDEX(Properties!A$1:CB$87,Formula!B65,56)=0,10^6,INDEX(Properties!A$1:CB$87,Formula!B65,56)),IF(INDEX(Properties!A$1:CB$87,Formula!D65,56)=0,10^6,INDEX(Properties!A$1:CB$87,Formula!D65,56)),IF(INDEX(Properties!A$1:CB$87,Formula!F65,56)=0,10^6,INDEX(Properties!A$1:CB$87,Formula!F65,56)),IF(INDEX(Properties!A$1:CB$87,Formula!H65,56)=0,10^6,INDEX(Properties!A$1:CB$87,Formula!H65,56)),IF(INDEX(Properties!A$1:CB$87,Formula!J65,56)=0,10^6,INDEX(Properties!A$1:CB$87,Formula!J65,56)))</f>
        <v>0.77</v>
      </c>
      <c r="FS65" s="42">
        <f t="shared" si="28"/>
        <v>0.25</v>
      </c>
      <c r="FT65" s="60">
        <f>((Formula!C65)/(Formula!C65+Formula!E65+Formula!G65+Formula!I65+Formula!K65))*(INDEX(Properties!A$1:CB$87,Formula!B65,57))+((Formula!E65)/(Formula!C65+Formula!E65+Formula!G65+Formula!I65+Formula!K65))*(INDEX(Properties!A$1:CB$87,Formula!D65,57))+((Formula!G65)/(Formula!C65+Formula!E65+Formula!G65+Formula!I65+Formula!K65))*(INDEX(Properties!A$1:CB$87,Formula!F65,57))+((Formula!I65)/(Formula!C65+Formula!E65+Formula!G65+Formula!I65+Formula!K65))*(INDEX(Properties!A$1:CB$87,Formula!H65,57))+((Formula!K65)/(Formula!C65+Formula!E65+Formula!G65+Formula!I65+Formula!K65))*(INDEX(Properties!A$1:CB$87,Formula!J65,57))</f>
        <v>1.2892822222222222</v>
      </c>
      <c r="FU65" s="60">
        <f>Formula!C65*(INDEX(Properties!A$1:CB$87,Formula!B65,57))+Formula!E65*(INDEX(Properties!A$1:CB$87,Formula!D65,57))+Formula!G65*(INDEX(Properties!A$1:CB$87,Formula!F65,57))+Formula!I65*(INDEX(Properties!A$1:CB$87,Formula!H65,57))+Formula!K65*(INDEX(Properties!A$1:CB$87,Formula!J65,57))</f>
        <v>11.603540000000001</v>
      </c>
      <c r="FV65" s="60">
        <f>VARP(IF(INDEX(Properties!A$1:CB$87,Formula!B65,57)&lt;&gt;"",INDEX(Properties!A$1:CB$87,Formula!B65,57)),IF(INDEX(Properties!A$1:CB$87,Formula!D65,57)&lt;&gt;"",INDEX(Properties!A$1:CB$87,Formula!D65,57)),IF(INDEX(Properties!A$1:CB$87,Formula!F65,57)&lt;&gt;"",INDEX(Properties!A$1:CB$87,Formula!F65,57)),IF(INDEX(Properties!A$1:CB$87,Formula!H65,57)&lt;&gt;"",INDEX(Properties!A$1:CB$87,Formula!H65,57)),IF(INDEX(Properties!A$1:CB$87,Formula!J65,57)&lt;&gt;"",INDEX(Properties!A$1:CB$87,Formula!J65,57)))</f>
        <v>12.263082570096001</v>
      </c>
      <c r="FW65" s="60">
        <f>MAX(INDEX(Properties!A$1:CB$87,Formula!B65,57),INDEX(Properties!A$1:CB$87,Formula!D65,57),INDEX(Properties!A$1:CB$87,Formula!F65,57),INDEX(Properties!A$1:CB$87,Formula!H65,57),INDEX(Properties!A$1:CB$87,Formula!J65,57))</f>
        <v>8.9540000000000006</v>
      </c>
      <c r="FX65" s="60">
        <f>MIN(IF(INDEX(Properties!A$1:CB$87,Formula!B65,57)=0,10^6,INDEX(Properties!A$1:CB$87,Formula!B65,57)),IF(INDEX(Properties!A$1:CB$87,Formula!D65,57)=0,10^6,INDEX(Properties!A$1:CB$87,Formula!D65,57)),IF(INDEX(Properties!A$1:CB$87,Formula!F65,57)=0,10^6,INDEX(Properties!A$1:CB$87,Formula!F65,57)),IF(INDEX(Properties!A$1:CB$87,Formula!H65,57)=0,10^6,INDEX(Properties!A$1:CB$87,Formula!H65,57)),IF(INDEX(Properties!A$1:CB$87,Formula!J65,57)=0,10^6,INDEX(Properties!A$1:CB$87,Formula!J65,57)))</f>
        <v>0.22259000000000001</v>
      </c>
      <c r="FY65" s="60">
        <f t="shared" si="29"/>
        <v>8.7314100000000003</v>
      </c>
      <c r="FZ65" s="72">
        <f>((Formula!C65)/(Formula!C65+Formula!E65+Formula!G65+Formula!I65+Formula!K65))*(INDEX(Properties!A$1:CB$87,Formula!B65,60))+((Formula!E65)/(Formula!C65+Formula!E65+Formula!G65+Formula!I65+Formula!K65))*(INDEX(Properties!A$1:CB$87,Formula!D65,60))+((Formula!G65)/(Formula!C65+Formula!E65+Formula!G65+Formula!I65+Formula!K65))*(INDEX(Properties!A$1:CB$87,Formula!F65,60))+((Formula!I65)/(Formula!C65+Formula!E65+Formula!G65+Formula!I65+Formula!K65))*(INDEX(Properties!A$1:CB$87,Formula!H65,60))+((Formula!K65)/(Formula!C65+Formula!E65+Formula!G65+Formula!I65+Formula!K65))*(INDEX(Properties!A$1:CB$87,Formula!J65,60))</f>
        <v>17.403382222222223</v>
      </c>
      <c r="GA65" s="72">
        <f>Formula!C65*(INDEX(Properties!A$1:CB$87,Formula!B65,60))+Formula!E65*(INDEX(Properties!A$1:CB$87,Formula!D65,60))+Formula!G65*(INDEX(Properties!A$1:CB$87,Formula!F65,60))+Formula!I65*(INDEX(Properties!A$1:CB$87,Formula!H65,60))+Formula!K65*(INDEX(Properties!A$1:CB$87,Formula!J65,60))</f>
        <v>156.63043999999999</v>
      </c>
      <c r="GB65" s="72">
        <f>VARP(IF(INDEX(Properties!A$1:CB$87,Formula!B65,60)&lt;&gt;"",INDEX(Properties!A$1:CB$87,Formula!B65,60)),IF(INDEX(Properties!A$1:CB$87,Formula!D65,60)&lt;&gt;"",INDEX(Properties!A$1:CB$87,Formula!D65,60)),IF(INDEX(Properties!A$1:CB$87,Formula!F65,60)&lt;&gt;"",INDEX(Properties!A$1:CB$87,Formula!F65,60)),IF(INDEX(Properties!A$1:CB$87,Formula!H65,60)&lt;&gt;"",INDEX(Properties!A$1:CB$87,Formula!H65,60)),IF(INDEX(Properties!A$1:CB$87,Formula!J65,60)&lt;&gt;"",INDEX(Properties!A$1:CB$87,Formula!J65,60)))</f>
        <v>3890.5019324924156</v>
      </c>
      <c r="GC65" s="72">
        <f>MAX(INDEX(Properties!A$1:CB$87,Formula!B65,60),INDEX(Properties!A$1:CB$87,Formula!D65,60),INDEX(Properties!A$1:CB$87,Formula!F65,60),INDEX(Properties!A$1:CB$87,Formula!H65,60),INDEX(Properties!A$1:CB$87,Formula!J65,60))</f>
        <v>156</v>
      </c>
      <c r="GD65" s="72">
        <f>MIN(IF(INDEX(Properties!A$1:CB$87,Formula!B65,60)=0,10^6,INDEX(Properties!A$1:CB$87,Formula!B65,60)),IF(INDEX(Properties!A$1:CB$87,Formula!D65,60)=0,10^6,INDEX(Properties!A$1:CB$87,Formula!D65,60)),IF(INDEX(Properties!A$1:CB$87,Formula!F65,60)=0,10^6,INDEX(Properties!A$1:CB$87,Formula!F65,60)),IF(INDEX(Properties!A$1:CB$87,Formula!H65,60)=0,10^6,INDEX(Properties!A$1:CB$87,Formula!H65,60)),IF(INDEX(Properties!A$1:CB$87,Formula!J65,60)=0,10^6,INDEX(Properties!A$1:CB$87,Formula!J65,60)))</f>
        <v>2.674E-2</v>
      </c>
      <c r="GE65" s="72">
        <f t="shared" si="30"/>
        <v>155.97326000000001</v>
      </c>
      <c r="GF65" s="51">
        <f>((Formula!C65)/(Formula!C65+Formula!E65+Formula!G65+Formula!I65+Formula!K65))*(INDEX(Properties!A$1:CB$87,Formula!B65,62))+((Formula!E65)/(Formula!C65+Formula!E65+Formula!G65+Formula!I65+Formula!K65))*(INDEX(Properties!A$1:CB$87,Formula!D65,62))+((Formula!G65)/(Formula!C65+Formula!E65+Formula!G65+Formula!I65+Formula!K65))*(INDEX(Properties!A$1:CB$87,Formula!F65,62))+((Formula!I65)/(Formula!C65+Formula!E65+Formula!G65+Formula!I65+Formula!K65))*(INDEX(Properties!A$1:CB$87,Formula!H65,62))+((Formula!K65)/(Formula!C65+Formula!E65+Formula!G65+Formula!I65+Formula!K65))*(INDEX(Properties!A$1:CB$87,Formula!J65,62))</f>
        <v>2.6766666666666667</v>
      </c>
      <c r="GG65" s="51">
        <f>Formula!C65*(INDEX(Properties!A$1:CB$87,Formula!B65,62))+Formula!E65*(INDEX(Properties!A$1:CB$87,Formula!D65,62))+Formula!G65*(INDEX(Properties!A$1:CB$87,Formula!F65,62))+Formula!I65*(INDEX(Properties!A$1:CB$87,Formula!H65,62))+Formula!K65*(INDEX(Properties!A$1:CB$87,Formula!J65,62))</f>
        <v>24.090000000000003</v>
      </c>
      <c r="GH65" s="51">
        <f>VARP(IF(INDEX(Properties!A$1:CB$87,Formula!B65,62)&lt;&gt;"",INDEX(Properties!A$1:CB$87,Formula!B65,62)),IF(INDEX(Properties!A$1:CB$87,Formula!D65,62)&lt;&gt;"",INDEX(Properties!A$1:CB$87,Formula!D65,62)),IF(INDEX(Properties!A$1:CB$87,Formula!F65,62)&lt;&gt;"",INDEX(Properties!A$1:CB$87,Formula!F65,62)),IF(INDEX(Properties!A$1:CB$87,Formula!H65,62)&lt;&gt;"",INDEX(Properties!A$1:CB$87,Formula!H65,62)),IF(INDEX(Properties!A$1:CB$87,Formula!J65,62)&lt;&gt;"",INDEX(Properties!A$1:CB$87,Formula!J65,62)))</f>
        <v>1.8957360000000003</v>
      </c>
      <c r="GI65" s="51">
        <f>MAX(INDEX(Properties!A$1:CB$87,Formula!B65,62),INDEX(Properties!A$1:CB$87,Formula!D65,62),INDEX(Properties!A$1:CB$87,Formula!F65,62),INDEX(Properties!A$1:CB$87,Formula!H65,62),INDEX(Properties!A$1:CB$87,Formula!J65,62))</f>
        <v>3.43</v>
      </c>
      <c r="GJ65" s="51">
        <f>MIN(IF(INDEX(Properties!A$1:CB$87,Formula!B65,62)=0,10^6,INDEX(Properties!A$1:CB$87,Formula!B65,62)),IF(INDEX(Properties!A$1:CB$87,Formula!D65,62)=0,10^6,INDEX(Properties!A$1:CB$87,Formula!D65,62)),IF(INDEX(Properties!A$1:CB$87,Formula!F65,62)=0,10^6,INDEX(Properties!A$1:CB$87,Formula!F65,62)),IF(INDEX(Properties!A$1:CB$87,Formula!H65,62)=0,10^6,INDEX(Properties!A$1:CB$87,Formula!H65,62)),IF(INDEX(Properties!A$1:CB$87,Formula!J65,62)=0,10^6,INDEX(Properties!A$1:CB$87,Formula!J65,62)))</f>
        <v>1.51</v>
      </c>
      <c r="GK65" s="51">
        <f t="shared" si="31"/>
        <v>1.9200000000000002</v>
      </c>
      <c r="GL65" s="51">
        <f>Formula!P65</f>
        <v>14</v>
      </c>
      <c r="GM65" s="57">
        <f>Formula!O65</f>
        <v>2</v>
      </c>
      <c r="GN65" s="51">
        <f>Formula!N65</f>
        <v>2.5000000000000001E-2</v>
      </c>
    </row>
    <row r="66" spans="1:196" x14ac:dyDescent="0.3">
      <c r="A66" s="84" t="str">
        <f>Formula!A66</f>
        <v>ZnGa2O4</v>
      </c>
      <c r="B66" s="89">
        <f>((Formula!C66)/(Formula!C66+Formula!E66+Formula!G66+Formula!I66+Formula!K66))*(INDEX(Properties!A$1:CB$87,Formula!B66,3))+((Formula!E66)/(Formula!C66+Formula!E66+Formula!G66+Formula!I66+Formula!K66))*(INDEX(Properties!A$1:CB$87,Formula!D66,3))+((Formula!G66)/(Formula!C66+Formula!E66+Formula!G66+Formula!I66+Formula!K66))*(INDEX(Properties!A$1:CB$87,Formula!F66,3))+((Formula!I66)/(Formula!C66+Formula!E66+Formula!G66+Formula!I66+Formula!K66))*(INDEX(Properties!A$1:CB$87,Formula!H66,3))+((Formula!K66)/(Formula!C66+Formula!E66+Formula!G66+Formula!I66+Formula!K66))*(INDEX(Properties!A$1:CB$87,Formula!J66,3))</f>
        <v>38.403371428571425</v>
      </c>
      <c r="C66" s="85">
        <f>Formula!C66*(INDEX(Properties!A$1:CB$87,Formula!B66,3))+Formula!E66*(INDEX(Properties!A$1:CB$87,Formula!D66,3))+Formula!G66*(INDEX(Properties!A$1:CB$87,Formula!F66,3))+Formula!I66*(INDEX(Properties!A$1:CB$87,Formula!H66,3))+Formula!K66*(INDEX(Properties!A$1:CB$87,Formula!J66,3))</f>
        <v>268.8236</v>
      </c>
      <c r="D66" s="85">
        <f>VARP(IF(INDEX(Properties!A$1:CB$87,Formula!B66,3)&lt;&gt;"",INDEX(Properties!A$1:CB$87,Formula!B66,3)),IF(INDEX(Properties!A$1:CB$87,Formula!D66,3)&lt;&gt;"",INDEX(Properties!A$1:CB$87,Formula!D66,3)),IF(INDEX(Properties!A$1:CB$87,Formula!F66,3)&lt;&gt;"",INDEX(Properties!A$1:CB$87,Formula!F66,3)),IF(INDEX(Properties!A$1:CB$87,Formula!H66,3)&lt;&gt;"",INDEX(Properties!A$1:CB$87,Formula!H66,3)),IF(INDEX(Properties!A$1:CB$87,Formula!J66,3)&lt;&gt;"",INDEX(Properties!A$1:CB$87,Formula!J66,3)))</f>
        <v>965.08697444159964</v>
      </c>
      <c r="E66" s="85">
        <f>MAX(INDEX(Properties!A$1:CB$87,Formula!B66,3),INDEX(Properties!A$1:CB$87,Formula!D66,3),INDEX(Properties!A$1:CB$87,Formula!F66,3),INDEX(Properties!A$1:CB$87,Formula!H66,3),INDEX(Properties!A$1:CB$87,Formula!J66,3))</f>
        <v>69.722999999999999</v>
      </c>
      <c r="F66" s="85">
        <f>MIN(IF(INDEX(Properties!A$1:CB$87,Formula!B66,3)=0,10^6,INDEX(Properties!A$1:CB$87,Formula!B66,3)),IF(INDEX(Properties!A$1:CB$87,Formula!D66,3)=0,10^6,INDEX(Properties!A$1:CB$87,Formula!D66,3)),IF(INDEX(Properties!A$1:CB$87,Formula!F66,3)=0,10^6,INDEX(Properties!A$1:CB$87,Formula!F66,3)),IF(INDEX(Properties!A$1:CB$87,Formula!H66,3)=0,10^6,INDEX(Properties!A$1:CB$87,Formula!H66,3)),IF(INDEX(Properties!A$1:CB$87,Formula!J66,3)=0,10^6,INDEX(Properties!A$1:CB$87,Formula!J66,3)))</f>
        <v>15.9994</v>
      </c>
      <c r="G66" s="85">
        <f t="shared" si="0"/>
        <v>53.723599999999998</v>
      </c>
      <c r="H66" s="87">
        <f>((Formula!C66)/(Formula!C66+Formula!E66+Formula!G66+Formula!I66+Formula!K66))*(INDEX(Properties!A$1:CB$87,Formula!B66,4))+((Formula!E66)/(Formula!C66+Formula!E66+Formula!G66+Formula!I66+Formula!K66))*(INDEX(Properties!A$1:CB$87,Formula!D66,4))+((Formula!G66)/(Formula!C66+Formula!E66+Formula!G66+Formula!I66+Formula!K66))*(INDEX(Properties!A$1:CB$87,Formula!F66,4))+((Formula!I66)/(Formula!C66+Formula!E66+Formula!G66+Formula!I66+Formula!K66))*(INDEX(Properties!A$1:CB$87,Formula!H66,4))+((Formula!K66)/(Formula!C66+Formula!E66+Formula!G66+Formula!I66+Formula!K66))*(INDEX(Properties!A$1:CB$87,Formula!J66,4))</f>
        <v>17.714285714285715</v>
      </c>
      <c r="I66" s="87">
        <f>Formula!C66*(INDEX(Properties!A$1:CB$87,Formula!B66,4))+Formula!E66*(INDEX(Properties!A$1:CB$87,Formula!D66,4))+Formula!G66*(INDEX(Properties!A$1:CB$87,Formula!F66,4))+Formula!I66*(INDEX(Properties!A$1:CB$87,Formula!H66,4))+Formula!K66*(INDEX(Properties!A$1:CB$87,Formula!J66,4))</f>
        <v>124</v>
      </c>
      <c r="J66" s="87">
        <f>VARP(IF(INDEX(Properties!A$1:CB$87,Formula!B66,4)&lt;&gt;"",INDEX(Properties!A$1:CB$87,Formula!B66,4)),IF(INDEX(Properties!A$1:CB$87,Formula!D66,4)&lt;&gt;"",INDEX(Properties!A$1:CB$87,Formula!D66,4)),IF(INDEX(Properties!A$1:CB$87,Formula!F66,4)&lt;&gt;"",INDEX(Properties!A$1:CB$87,Formula!F66,4)),IF(INDEX(Properties!A$1:CB$87,Formula!H66,4)&lt;&gt;"",INDEX(Properties!A$1:CB$87,Formula!H66,4)),IF(INDEX(Properties!A$1:CB$87,Formula!J66,4)&lt;&gt;"",INDEX(Properties!A$1:CB$87,Formula!J66,4)))</f>
        <v>194.56</v>
      </c>
      <c r="K66" s="87">
        <f>MAX(INDEX(Properties!A$1:CB$87,Formula!B66,4),INDEX(Properties!A$1:CB$87,Formula!D66,4),INDEX(Properties!A$1:CB$87,Formula!F66,4),INDEX(Properties!A$1:CB$87,Formula!H66,4),INDEX(Properties!A$1:CB$87,Formula!J66,4))</f>
        <v>31</v>
      </c>
      <c r="L66" s="87">
        <f>MIN(IF(INDEX(Properties!A$1:CB$87,Formula!B66,4)=0,10^6,INDEX(Properties!A$1:CB$87,Formula!B66,4)),IF(INDEX(Properties!A$1:CB$87,Formula!D66,4)=0,10^6,INDEX(Properties!A$1:CB$87,Formula!D66,4)),IF(INDEX(Properties!A$1:CB$87,Formula!F66,4)=0,10^6,INDEX(Properties!A$1:CB$87,Formula!F66,4)),IF(INDEX(Properties!A$1:CB$87,Formula!H66,4)=0,10^6,INDEX(Properties!A$1:CB$87,Formula!H66,4)),IF(INDEX(Properties!A$1:CB$87,Formula!J66,4)=0,10^6,INDEX(Properties!A$1:CB$87,Formula!J66,4)))</f>
        <v>8</v>
      </c>
      <c r="M66" s="87">
        <f t="shared" si="1"/>
        <v>23</v>
      </c>
      <c r="N66" s="89">
        <f>((Formula!C66)/(Formula!C66+Formula!E66+Formula!G66+Formula!I66+Formula!K66))*(INDEX(Properties!A$1:CB$87,Formula!B66,5))+((Formula!E66)/(Formula!C66+Formula!E66+Formula!G66+Formula!I66+Formula!K66))*(INDEX(Properties!A$1:CB$87,Formula!D66,5))+((Formula!G66)/(Formula!C66+Formula!E66+Formula!G66+Formula!I66+Formula!K66))*(INDEX(Properties!A$1:CB$87,Formula!F66,5))+((Formula!I66)/(Formula!C66+Formula!E66+Formula!G66+Formula!I66+Formula!K66))*(INDEX(Properties!A$1:CB$87,Formula!H66,5))+((Formula!K66)/(Formula!C66+Formula!E66+Formula!G66+Formula!I66+Formula!K66))*(INDEX(Properties!A$1:CB$87,Formula!J66,5))</f>
        <v>2.8571428571428568</v>
      </c>
      <c r="O66" s="89">
        <f>Formula!C66*(INDEX(Properties!A$1:CB$87,Formula!B66,5))+Formula!E66*(INDEX(Properties!A$1:CB$87,Formula!D66,5))+Formula!G66*(INDEX(Properties!A$1:CB$87,Formula!F66,5))+Formula!I66*(INDEX(Properties!A$1:CB$87,Formula!H66,5))+Formula!K66*(INDEX(Properties!A$1:CB$87,Formula!J66,5))</f>
        <v>20</v>
      </c>
      <c r="P66" s="89">
        <f>VARP(IF(INDEX(Properties!A$1:CB$87,Formula!B66,5)&lt;&gt;"",INDEX(Properties!A$1:CB$87,Formula!B66,5)),IF(INDEX(Properties!A$1:CB$87,Formula!D66,5)&lt;&gt;"",INDEX(Properties!A$1:CB$87,Formula!D66,5)),IF(INDEX(Properties!A$1:CB$87,Formula!F66,5)&lt;&gt;"",INDEX(Properties!A$1:CB$87,Formula!F66,5)),IF(INDEX(Properties!A$1:CB$87,Formula!H66,5)&lt;&gt;"",INDEX(Properties!A$1:CB$87,Formula!H66,5)),IF(INDEX(Properties!A$1:CB$87,Formula!J66,5)&lt;&gt;"",INDEX(Properties!A$1:CB$87,Formula!J66,5)))</f>
        <v>3.2</v>
      </c>
      <c r="Q66" s="89">
        <f>MAX(INDEX(Properties!A$1:CB$87,Formula!B66,5),INDEX(Properties!A$1:CB$87,Formula!D66,5),INDEX(Properties!A$1:CB$87,Formula!F66,5),INDEX(Properties!A$1:CB$87,Formula!H66,5),INDEX(Properties!A$1:CB$87,Formula!J66,5))</f>
        <v>4</v>
      </c>
      <c r="R66" s="89">
        <f>MIN(IF(INDEX(Properties!A$1:CB$87,Formula!B66,5)=0,10^6,INDEX(Properties!A$1:CB$87,Formula!B66,5)),IF(INDEX(Properties!A$1:CB$87,Formula!D66,5)=0,10^6,INDEX(Properties!A$1:CB$87,Formula!D66,5)),IF(INDEX(Properties!A$1:CB$87,Formula!F66,5)=0,10^6,INDEX(Properties!A$1:CB$87,Formula!F66,5)),IF(INDEX(Properties!A$1:CB$87,Formula!H66,5)=0,10^6,INDEX(Properties!A$1:CB$87,Formula!H66,5)),IF(INDEX(Properties!A$1:CB$87,Formula!J66,5)=0,10^6,INDEX(Properties!A$1:CB$87,Formula!J66,5)))</f>
        <v>2</v>
      </c>
      <c r="S66" s="89">
        <f t="shared" si="2"/>
        <v>2</v>
      </c>
      <c r="T66" s="60">
        <f>((Formula!C66)/(Formula!C66+Formula!E66+Formula!G66+Formula!I66+Formula!K66))*(INDEX(Properties!A$1:CB$87,Formula!B66,6))+((Formula!E66)/(Formula!C66+Formula!E66+Formula!G66+Formula!I66+Formula!K66))*(INDEX(Properties!A$1:CB$87,Formula!D66,6))+((Formula!G66)/(Formula!C66+Formula!E66+Formula!G66+Formula!I66+Formula!K66))*(INDEX(Properties!A$1:CB$87,Formula!F66,6))+((Formula!I66)/(Formula!C66+Formula!E66+Formula!G66+Formula!I66+Formula!K66))*(INDEX(Properties!A$1:CB$87,Formula!H66,6))+((Formula!K66)/(Formula!C66+Formula!E66+Formula!G66+Formula!I66+Formula!K66))*(INDEX(Properties!A$1:CB$87,Formula!J66,6))</f>
        <v>14.571428571428569</v>
      </c>
      <c r="U66" s="60">
        <f>Formula!C66*(INDEX(Properties!A$1:CB$87,Formula!B66,6))+Formula!E66*(INDEX(Properties!A$1:CB$87,Formula!D66,6))+Formula!G66*(INDEX(Properties!A$1:CB$87,Formula!F66,6))+Formula!I66*(INDEX(Properties!A$1:CB$87,Formula!H66,6))+Formula!K66*(INDEX(Properties!A$1:CB$87,Formula!J66,6))</f>
        <v>102</v>
      </c>
      <c r="V66" s="89">
        <f>VARP(IF(INDEX(Properties!A$1:CB$87,Formula!B66,6)&lt;&gt;"",INDEX(Properties!A$1:CB$87,Formula!B66,6)),IF(INDEX(Properties!A$1:CB$87,Formula!D66,6)&lt;&gt;"",INDEX(Properties!A$1:CB$87,Formula!D66,6)),IF(INDEX(Properties!A$1:CB$87,Formula!F66,6)&lt;&gt;"",INDEX(Properties!A$1:CB$87,Formula!F66,6)),IF(INDEX(Properties!A$1:CB$87,Formula!H66,6)&lt;&gt;"",INDEX(Properties!A$1:CB$87,Formula!H66,6)),IF(INDEX(Properties!A$1:CB$87,Formula!J66,6)&lt;&gt;"",INDEX(Properties!A$1:CB$87,Formula!J66,6)))</f>
        <v>46.56</v>
      </c>
      <c r="W66" s="60">
        <f>MAX(INDEX(Properties!A$1:CB$87,Formula!B66,6),INDEX(Properties!A$1:CB$87,Formula!D66,6),INDEX(Properties!A$1:CB$87,Formula!F66,6),INDEX(Properties!A$1:CB$87,Formula!H66,4),INDEX(Properties!A$1:CB$87,Formula!J66,6))</f>
        <v>16</v>
      </c>
      <c r="X66" s="60">
        <f>MIN(IF(INDEX(Properties!A$1:CB$87,Formula!B66,6)=0,10^6,INDEX(Properties!A$1:CB$87,Formula!B66,6)),IF(INDEX(Properties!A$1:CB$87,Formula!D66,6)=0,10^6,INDEX(Properties!A$1:CB$87,Formula!D66,6)),IF(INDEX(Properties!A$1:CB$87,Formula!F66,6)=0,10^6,INDEX(Properties!A$1:CB$87,Formula!F66,6)),IF(INDEX(Properties!A$1:CB$87,Formula!H66,6)=0,10^6,INDEX(Properties!A$1:CB$87,Formula!H66,6)),IF(INDEX(Properties!A$1:CB$87,Formula!J66,6)=0,10^6,INDEX(Properties!A$1:CB$87,Formula!J66,6)))</f>
        <v>12</v>
      </c>
      <c r="Y66" s="60">
        <f t="shared" si="3"/>
        <v>4</v>
      </c>
      <c r="Z66" s="72">
        <f>((Formula!C66)/(Formula!C66+Formula!E66+Formula!G66+Formula!I66+Formula!K66))*(INDEX(Properties!A$1:CB$87,Formula!B66,9))+((Formula!E66)/(Formula!C66+Formula!E66+Formula!G66+Formula!I66+Formula!K66))*(INDEX(Properties!A$1:CB$87,Formula!D66,9))+((Formula!G66)/(Formula!C66+Formula!E66+Formula!G66+Formula!I66+Formula!K66))*(INDEX(Properties!A$1:CB$87,Formula!F66,9))+((Formula!I66)/(Formula!C66+Formula!E66+Formula!G66+Formula!I66+Formula!K66))*(INDEX(Properties!A$1:CB$87,Formula!H66,9))+((Formula!K66)/(Formula!C66+Formula!E66+Formula!G66+Formula!I66+Formula!K66))*(INDEX(Properties!A$1:CB$87,Formula!J66,9))</f>
        <v>80.714285714285708</v>
      </c>
      <c r="AA66" s="72">
        <f>Formula!C66*(INDEX(Properties!A$1:CB$87,Formula!B66,9))+Formula!E66*(INDEX(Properties!A$1:CB$87,Formula!D66,9))+Formula!G66*(INDEX(Properties!A$1:CB$87,Formula!F66,9))+Formula!I66*(INDEX(Properties!A$1:CB$87,Formula!H66,9))+Formula!K66*(INDEX(Properties!A$1:CB$87,Formula!J66,9))</f>
        <v>565</v>
      </c>
      <c r="AB66" s="72">
        <f>VARP(IF(INDEX(Properties!A$1:CB$87,Formula!B66,9)&lt;&gt;"",INDEX(Properties!A$1:CB$87,Formula!B66,9)),IF(INDEX(Properties!A$1:CB$87,Formula!D66,9)&lt;&gt;"",INDEX(Properties!A$1:CB$87,Formula!D66,9)),IF(INDEX(Properties!A$1:CB$87,Formula!F66,9)&lt;&gt;"",INDEX(Properties!A$1:CB$87,Formula!F66,9)),IF(INDEX(Properties!A$1:CB$87,Formula!H66,9)&lt;&gt;"",INDEX(Properties!A$1:CB$87,Formula!H66,9)),IF(INDEX(Properties!A$1:CB$87,Formula!J66,9)&lt;&gt;"",INDEX(Properties!A$1:CB$87,Formula!J66,9)))</f>
        <v>1445.2</v>
      </c>
      <c r="AC66" s="72">
        <f>MAX(INDEX(Properties!A$1:CB$87,Formula!B66,9),INDEX(Properties!A$1:CB$87,Formula!D66,9),INDEX(Properties!A$1:CB$87,Formula!F66,9),INDEX(Properties!A$1:CB$87,Formula!H66,9),INDEX(Properties!A$1:CB$87,Formula!J66,9))</f>
        <v>87</v>
      </c>
      <c r="AD66" s="72">
        <f>MIN(IF(INDEX(Properties!A$1:CB$87,Formula!B66,9)=0,10^6,INDEX(Properties!A$1:CB$87,Formula!B66,9)),IF(INDEX(Properties!A$1:CB$87,Formula!D66,9)=0,10^6,INDEX(Properties!A$1:CB$87,Formula!D66,9)),IF(INDEX(Properties!A$1:CB$87,Formula!F66,9)=0,10^6,INDEX(Properties!A$1:CB$87,Formula!F66,9)),IF(INDEX(Properties!A$1:CB$87,Formula!H66,9)=0,10^6,INDEX(Properties!A$1:CB$87,Formula!H66,9)),IF(INDEX(Properties!A$1:CB$87,Formula!J66,9)=0,10^6,INDEX(Properties!A$1:CB$87,Formula!J66,9)))</f>
        <v>69</v>
      </c>
      <c r="AE66" s="72">
        <f t="shared" si="4"/>
        <v>18</v>
      </c>
      <c r="AF66" s="51">
        <f>((Formula!C66)/(Formula!C66+Formula!E66+Formula!G66+Formula!I66+Formula!K66))*(INDEX(Properties!A$1:CB$87,Formula!B66,10))+((Formula!E66)/(Formula!C66+Formula!E66+Formula!G66+Formula!I66+Formula!K66))*(INDEX(Properties!A$1:CB$87,Formula!D66,10))+((Formula!G66)/(Formula!C66+Formula!E66+Formula!G66+Formula!I66+Formula!K66))*(INDEX(Properties!A$1:CB$87,Formula!F66,10))+((Formula!I66)/(Formula!C66+Formula!E66+Formula!G66+Formula!I66+Formula!K66))*(INDEX(Properties!A$1:CB$87,Formula!H66,10))+((Formula!K66)/(Formula!C66+Formula!E66+Formula!G66+Formula!I66+Formula!K66))*(INDEX(Properties!A$1:CB$87,Formula!J66,10))</f>
        <v>6</v>
      </c>
      <c r="AG66" s="51">
        <f>Formula!C66*(INDEX(Properties!A$1:CB$87,Formula!B66,10))+Formula!E66*(INDEX(Properties!A$1:CB$87,Formula!D66,10))+Formula!G66*(INDEX(Properties!A$1:CB$87,Formula!F66,10))+Formula!I66*(INDEX(Properties!A$1:CB$87,Formula!H66,10))+Formula!K66*(INDEX(Properties!A$1:CB$87,Formula!J66,10))</f>
        <v>42</v>
      </c>
      <c r="AH66" s="51">
        <f>VARP(IF(INDEX(Properties!A$1:CB$87,Formula!B66,10)&lt;&gt;"",INDEX(Properties!A$1:CB$87,Formula!B66,10)),IF(INDEX(Properties!A$1:CB$87,Formula!D66,10)&lt;&gt;"",INDEX(Properties!A$1:CB$87,Formula!D66,10)),IF(INDEX(Properties!A$1:CB$87,Formula!F66,10)&lt;&gt;"",INDEX(Properties!A$1:CB$87,Formula!F66,10)),IF(INDEX(Properties!A$1:CB$87,Formula!H66,10)&lt;&gt;"",INDEX(Properties!A$1:CB$87,Formula!H66,10)),IF(INDEX(Properties!A$1:CB$87,Formula!J66,10)&lt;&gt;"",INDEX(Properties!A$1:CB$87,Formula!J66,10)))</f>
        <v>7.76</v>
      </c>
      <c r="AI66" s="51">
        <f>MAX(INDEX(Properties!A$1:CB$87,Formula!B66,10),INDEX(Properties!A$1:CB$87,Formula!D66,10),INDEX(Properties!A$1:CB$87,Formula!F66,10),INDEX(Properties!A$1:CB$87,Formula!H66,10),INDEX(Properties!A$1:CB$87,Formula!J66,10))</f>
        <v>7</v>
      </c>
      <c r="AJ66" s="51">
        <f>MIN(IF(INDEX(Properties!A$1:CB$87,Formula!B66,10)=0,10^6,INDEX(Properties!A$1:CB$87,Formula!B66,10)),IF(INDEX(Properties!A$1:CB$87,Formula!D66,10)=0,10^6,INDEX(Properties!A$1:CB$87,Formula!D66,10)),IF(INDEX(Properties!A$1:CB$87,Formula!F66,10)=0,10^6,INDEX(Properties!A$1:CB$87,Formula!F66,10)),IF(INDEX(Properties!A$1:CB$87,Formula!H66,10)=0,10^6,INDEX(Properties!A$1:CB$87,Formula!H66,10)),IF(INDEX(Properties!A$1:CB$87,Formula!J66,10)=0,10^6,INDEX(Properties!A$1:CB$87,Formula!J66,10)))</f>
        <v>4</v>
      </c>
      <c r="AK66" s="51">
        <f t="shared" si="5"/>
        <v>3</v>
      </c>
      <c r="AL66" s="57">
        <f>((Formula!C66)/(Formula!C66+Formula!E66+Formula!G66+Formula!I66+Formula!K66))*(INDEX(Properties!A$1:CB$87,Formula!B66,11))+((Formula!E66)/(Formula!C66+Formula!E66+Formula!G66+Formula!I66+Formula!K66))*(INDEX(Properties!A$1:CB$87,Formula!D66,11))+((Formula!G66)/(Formula!C66+Formula!E66+Formula!G66+Formula!I66+Formula!K66))*(INDEX(Properties!A$1:CB$87,Formula!F66,11))+((Formula!I66)/(Formula!C66+Formula!E66+Formula!G66+Formula!I66+Formula!K66))*(INDEX(Properties!A$1:CB$87,Formula!H66,11))+((Formula!K66)/(Formula!C66+Formula!E66+Formula!G66+Formula!I66+Formula!K66))*(INDEX(Properties!A$1:CB$87,Formula!J66,11))</f>
        <v>2</v>
      </c>
      <c r="AM66" s="57">
        <f>Formula!C66*(INDEX(Properties!A$1:CB$87,Formula!B66,11))+Formula!E66*(INDEX(Properties!A$1:CB$87,Formula!D66,11))+Formula!G66*(INDEX(Properties!A$1:CB$87,Formula!F66,11))+Formula!I66*(INDEX(Properties!A$1:CB$87,Formula!H66,11))+Formula!K66*(INDEX(Properties!A$1:CB$87,Formula!J66,11))</f>
        <v>14</v>
      </c>
      <c r="AN66" s="57">
        <f>VARP(IF(INDEX(Properties!A$1:CB$87,Formula!B66,11)&lt;&gt;"",INDEX(Properties!A$1:CB$87,Formula!B66,11)),IF(INDEX(Properties!A$1:CB$87,Formula!D66,11)&lt;&gt;"",INDEX(Properties!A$1:CB$87,Formula!D66,11)),IF(INDEX(Properties!A$1:CB$87,Formula!F66,11)&lt;&gt;"",INDEX(Properties!A$1:CB$87,Formula!F66,11)),IF(INDEX(Properties!A$1:CB$87,Formula!H66,11)&lt;&gt;"",INDEX(Properties!A$1:CB$87,Formula!H66,11)),IF(INDEX(Properties!A$1:CB$87,Formula!J66,11)&lt;&gt;"",INDEX(Properties!A$1:CB$87,Formula!J66,11)))</f>
        <v>0.96</v>
      </c>
      <c r="AO66" s="57">
        <f>MAX(INDEX(Properties!A$1:CB$87,Formula!B66,11),INDEX(Properties!A$1:CB$87,Formula!D66,11),INDEX(Properties!A$1:CB$87,Formula!F66,11),INDEX(Properties!A$1:CB$87,Formula!H66,11),INDEX(Properties!A$1:CB$87,Formula!J66,11))</f>
        <v>2</v>
      </c>
      <c r="AP66" s="57">
        <f>MIN(IF(Formula!B66=87,10^6,INDEX(Properties!A$1:CB$87,Formula!B66,11)),IF((Formula!D66)=87,10^6,INDEX(Properties!A$1:CB$87,Formula!D66,11)),IF((Formula!F66)=87,10^6,INDEX(Properties!A$1:CB$87,Formula!F66,11)),IF((Formula!H66)=87,10^6,INDEX(Properties!A$1:CB$87,Formula!H66,11)),IF(Formula!J66=87,10^6,INDEX(Properties!A$1:CB$87,Formula!J66,11)))</f>
        <v>2</v>
      </c>
      <c r="AQ66" s="57">
        <f t="shared" si="6"/>
        <v>0</v>
      </c>
      <c r="AR66" s="78">
        <f>((Formula!C66)/(Formula!C66+Formula!E66+Formula!G66+Formula!I66+Formula!K66))*(INDEX(Properties!A$1:CB$87,Formula!B66,12))+((Formula!E66)/(Formula!C66+Formula!E66+Formula!G66+Formula!I66+Formula!K66))*(INDEX(Properties!A$1:CB$87,Formula!D66,12))+((Formula!G66)/(Formula!C66+Formula!E66+Formula!G66+Formula!I66+Formula!K66))*(INDEX(Properties!A$1:CB$87,Formula!F66,12))+((Formula!I66)/(Formula!C66+Formula!E66+Formula!G66+Formula!I66+Formula!K66))*(INDEX(Properties!A$1:CB$87,Formula!H66,12))+((Formula!K66)/(Formula!C66+Formula!E66+Formula!G66+Formula!I66+Formula!K66))*(INDEX(Properties!A$1:CB$87,Formula!J66,12))</f>
        <v>2.5714285714285712</v>
      </c>
      <c r="AS66" s="78">
        <f>Formula!C66*(INDEX(Properties!A$1:CB$87,Formula!B66,12))+Formula!E66*(INDEX(Properties!A$1:CB$87,Formula!D66,12))+Formula!G66*(INDEX(Properties!A$1:CB$87,Formula!F66,12))+Formula!I66*(INDEX(Properties!A$1:CB$87,Formula!H66,12))+Formula!K66*(INDEX(Properties!A$1:CB$87,Formula!J66,12))</f>
        <v>18</v>
      </c>
      <c r="AT66" s="78">
        <f>VARP(IF(INDEX(Properties!A$1:CB$87,Formula!B66,12)&lt;&gt;"",INDEX(Properties!A$1:CB$87,Formula!B66,12)),IF(INDEX(Properties!A$1:CB$87,Formula!D66,12)&lt;&gt;"",INDEX(Properties!A$1:CB$87,Formula!D66,12)),IF(INDEX(Properties!A$1:CB$87,Formula!F66,12)&lt;&gt;"",INDEX(Properties!A$1:CB$87,Formula!F66,12)),IF(INDEX(Properties!A$1:CB$87,Formula!H66,12)&lt;&gt;"",INDEX(Properties!A$1:CB$87,Formula!H66,12)),IF(INDEX(Properties!A$1:CB$87,Formula!J66,12)&lt;&gt;"",INDEX(Properties!A$1:CB$87,Formula!J66,12)))</f>
        <v>2.4</v>
      </c>
      <c r="AU66" s="78">
        <f>MAX(INDEX(Properties!A$1:CB$87,Formula!B66,12),INDEX(Properties!A$1:CB$87,Formula!D66,12),INDEX(Properties!A$1:CB$87,Formula!F66,12),INDEX(Properties!A$1:CB$87,Formula!H66,12),INDEX(Properties!A$1:CB$87,Formula!J66,12))</f>
        <v>4</v>
      </c>
      <c r="AV66" s="78">
        <f>MIN(IF(Formula!B66=87,10^6,INDEX(Properties!A$1:CB$87,Formula!B66,12)),IF((Formula!D66)=87,10^6,INDEX(Properties!A$1:CB$87,Formula!D66,12)),IF((Formula!F66)=87,10^6,INDEX(Properties!A$1:CB$87,Formula!F66,12)),IF((Formula!H66)=87,10^6,INDEX(Properties!A$1:CB$87,Formula!H66,12)),IF(Formula!J66=87,10^6,INDEX(Properties!A$1:CB$87,Formula!J66,12)))</f>
        <v>0</v>
      </c>
      <c r="AW66" s="78">
        <f t="shared" si="7"/>
        <v>4</v>
      </c>
      <c r="AX66" s="45">
        <f>((Formula!C66)/(Formula!C66+Formula!E66+Formula!G66+Formula!I66+Formula!K66))*(INDEX(Properties!A$1:CB$87,Formula!B66,13))+((Formula!E66)/(Formula!C66+Formula!E66+Formula!G66+Formula!I66+Formula!K66))*(INDEX(Properties!A$1:CB$87,Formula!D66,13))+((Formula!G66)/(Formula!C66+Formula!E66+Formula!G66+Formula!I66+Formula!K66))*(INDEX(Properties!A$1:CB$87,Formula!F66,13))+((Formula!I66)/(Formula!C66+Formula!E66+Formula!G66+Formula!I66+Formula!K66))*(INDEX(Properties!A$1:CB$87,Formula!H66,13))+((Formula!K66)/(Formula!C66+Formula!E66+Formula!G66+Formula!I66+Formula!K66))*(INDEX(Properties!A$1:CB$87,Formula!J66,13))</f>
        <v>4.2857142857142847</v>
      </c>
      <c r="AY66" s="45">
        <f>Formula!C66*(INDEX(Properties!A$1:CB$87,Formula!B66,13))+Formula!E66*(INDEX(Properties!A$1:CB$87,Formula!D66,13))+Formula!G66*(INDEX(Properties!A$1:CB$87,Formula!F66,13))+Formula!I66*(INDEX(Properties!A$1:CB$87,Formula!H66,13))+Formula!K66*(INDEX(Properties!A$1:CB$87,Formula!J66,13))</f>
        <v>30</v>
      </c>
      <c r="AZ66" s="45">
        <f>VARP(IF(INDEX(Properties!A$1:CB$87,Formula!B66,13)&lt;&gt;"",INDEX(Properties!A$1:CB$87,Formula!B66,13)),IF(INDEX(Properties!A$1:CB$87,Formula!D66,13)&lt;&gt;"",INDEX(Properties!A$1:CB$87,Formula!D66,13)),IF(INDEX(Properties!A$1:CB$87,Formula!F66,13)&lt;&gt;"",INDEX(Properties!A$1:CB$87,Formula!F66,13)),IF(INDEX(Properties!A$1:CB$87,Formula!H66,13)&lt;&gt;"",INDEX(Properties!A$1:CB$87,Formula!H66,13)),IF(INDEX(Properties!A$1:CB$87,Formula!J66,13)&lt;&gt;"",INDEX(Properties!A$1:CB$87,Formula!J66,13)))</f>
        <v>24</v>
      </c>
      <c r="BA66" s="45">
        <f>MAX(INDEX(Properties!A$1:CB$87,Formula!B66,13),INDEX(Properties!A$1:CB$87,Formula!D66,13),INDEX(Properties!A$1:CB$87,Formula!F66,13),INDEX(Properties!A$1:CB$87,Formula!H66,13),INDEX(Properties!A$1:CB$87,Formula!J66,13))</f>
        <v>10</v>
      </c>
      <c r="BB66" s="45">
        <f>MIN(IF(Formula!B66=87,10^6,INDEX(Properties!A$1:CB$87,Formula!B66,13)),IF((Formula!D66)=87,10^6,INDEX(Properties!A$1:CB$87,Formula!D66,13)),IF((Formula!F66)=87,10^6,INDEX(Properties!A$1:CB$87,Formula!F66,13)),IF((Formula!H66)=87,10^6,INDEX(Properties!A$1:CB$87,Formula!H66,13)),IF(Formula!J66=87,10^6,INDEX(Properties!A$1:CB$87,Formula!J66,13)))</f>
        <v>0</v>
      </c>
      <c r="BC66" s="45">
        <f t="shared" si="8"/>
        <v>10</v>
      </c>
      <c r="BD66" s="63">
        <f>((Formula!C66)/(Formula!C66+Formula!E66+Formula!G66+Formula!I66+Formula!K66))*(INDEX(Properties!A$1:CB$87,Formula!B66,14))+((Formula!E66)/(Formula!C66+Formula!E66+Formula!G66+Formula!I66+Formula!K66))*(INDEX(Properties!A$1:CB$87,Formula!D66,14))+((Formula!G66)/(Formula!C66+Formula!E66+Formula!G66+Formula!I66+Formula!K66))*(INDEX(Properties!A$1:CB$87,Formula!F66,14))+((Formula!I66)/(Formula!C66+Formula!E66+Formula!G66+Formula!I66+Formula!K66))*(INDEX(Properties!A$1:CB$87,Formula!H66,14))+((Formula!K66)/(Formula!C66+Formula!E66+Formula!G66+Formula!I66+Formula!K66))*(INDEX(Properties!A$1:CB$87,Formula!J66,14))</f>
        <v>0</v>
      </c>
      <c r="BE66" s="63">
        <f>Formula!C66*(INDEX(Properties!A$1:CB$87,Formula!B66,14))+Formula!E66*(INDEX(Properties!A$1:CB$87,Formula!D66,14))+Formula!G66*(INDEX(Properties!A$1:CB$87,Formula!F66,14))+Formula!I66*(INDEX(Properties!A$1:CB$87,Formula!H66,14))+Formula!K66*(INDEX(Properties!A$1:CB$87,Formula!J66,14))</f>
        <v>0</v>
      </c>
      <c r="BF66" s="63">
        <f>VARP(IF(INDEX(Properties!A$1:CB$87,Formula!B66,14)&lt;&gt;"",INDEX(Properties!A$1:CB$87,Formula!B66,14)),IF(INDEX(Properties!A$1:CB$87,Formula!D66,14)&lt;&gt;"",INDEX(Properties!A$1:CB$87,Formula!D66,14)),IF(INDEX(Properties!A$1:CB$87,Formula!F66,14)&lt;&gt;"",INDEX(Properties!A$1:CB$87,Formula!F66,14)),IF(INDEX(Properties!A$1:CB$87,Formula!H66,14)&lt;&gt;"",INDEX(Properties!A$1:CB$87,Formula!H66,14)),IF(INDEX(Properties!A$1:CB$87,Formula!J66,14)&lt;&gt;"",INDEX(Properties!A$1:CB$87,Formula!J66,14)))</f>
        <v>0</v>
      </c>
      <c r="BG66" s="63">
        <f>MAX(INDEX(Properties!A$1:CB$87,Formula!B66,14),INDEX(Properties!A$1:CB$87,Formula!D66,14),INDEX(Properties!A$1:CB$87,Formula!F66,14),INDEX(Properties!A$1:CB$87,Formula!H66,14),INDEX(Properties!A$1:CB$87,Formula!J66,14))</f>
        <v>0</v>
      </c>
      <c r="BH66" s="63">
        <f>MIN(IF(Formula!B66=87,10^6,INDEX(Properties!A$1:CB$87,Formula!B66,14)),IF((Formula!D66)=87,10^6,INDEX(Properties!A$1:CB$87,Formula!D66,14)),IF((Formula!F66)=87,10^6,INDEX(Properties!A$1:CB$87,Formula!F66,14)),IF((Formula!H66)=87,10^6,INDEX(Properties!A$1:CB$87,Formula!H66,14)),IF(Formula!J66=87,10^6,INDEX(Properties!A$1:CB$87,Formula!J66,14)))</f>
        <v>0</v>
      </c>
      <c r="BI66" s="63">
        <f t="shared" si="9"/>
        <v>0</v>
      </c>
      <c r="BJ66" s="75">
        <f>((Formula!C66)/(Formula!C66+Formula!E66+Formula!G66+Formula!I66+Formula!K66))*(INDEX(Properties!A$1:CB$87,Formula!B66,19))+((Formula!E66)/(Formula!C66+Formula!E66+Formula!G66+Formula!I66+Formula!K66))*(INDEX(Properties!A$1:CB$87,Formula!D66,19))+((Formula!G66)/(Formula!C66+Formula!E66+Formula!G66+Formula!I66+Formula!K66))*(INDEX(Properties!A$1:CB$87,Formula!F66,19))+((Formula!I66)/(Formula!C66+Formula!E66+Formula!G66+Formula!I66+Formula!K66))*(INDEX(Properties!A$1:CB$87,Formula!H66,19))+((Formula!K66)/(Formula!C66+Formula!E66+Formula!G66+Formula!I66+Formula!K66))*(INDEX(Properties!A$1:CB$87,Formula!J66,19))</f>
        <v>8.8571428571428559</v>
      </c>
      <c r="BK66" s="75">
        <f>Formula!C66*(INDEX(Properties!A$1:CB$87,Formula!B66,19))+Formula!E66*(INDEX(Properties!A$1:CB$87,Formula!D66,19))+Formula!G66*(INDEX(Properties!A$1:CB$87,Formula!F66,19))+Formula!I66*(INDEX(Properties!A$1:CB$87,Formula!H66,19))+Formula!K66*(INDEX(Properties!A$1:CB$87,Formula!J66,19))</f>
        <v>62</v>
      </c>
      <c r="BL66" s="75">
        <f>VARP(IF(INDEX(Properties!A$1:CB$87,Formula!B66,19)&lt;&gt;"",INDEX(Properties!A$1:CB$87,Formula!B66,19)),IF(INDEX(Properties!A$1:CB$87,Formula!D66,19)&lt;&gt;"",INDEX(Properties!A$1:CB$87,Formula!D66,19)),IF(INDEX(Properties!A$1:CB$87,Formula!F66,19)&lt;&gt;"",INDEX(Properties!A$1:CB$87,Formula!F66,19)),IF(INDEX(Properties!A$1:CB$87,Formula!H66,19)&lt;&gt;"",INDEX(Properties!A$1:CB$87,Formula!H66,19)),IF(INDEX(Properties!A$1:CB$87,Formula!J66,19)&lt;&gt;"",INDEX(Properties!A$1:CB$87,Formula!J66,19)))</f>
        <v>31.36</v>
      </c>
      <c r="BM66" s="75">
        <f>MAX(INDEX(Properties!A$1:CB$87,Formula!B66,19),INDEX(Properties!A$1:CB$87,Formula!D66,19),INDEX(Properties!A$1:CB$87,Formula!F66,19),INDEX(Properties!A$1:CB$87,Formula!H66,19),INDEX(Properties!A$1:CB$87,Formula!J66,19))</f>
        <v>13</v>
      </c>
      <c r="BN66" s="75">
        <f>MIN(IF(INDEX(Properties!A$1:CB$87,Formula!B66,19)=0,10^6,INDEX(Properties!A$1:CB$87,Formula!B66,19)),IF(INDEX(Properties!A$1:CB$87,Formula!D66,19)=0,10^6,INDEX(Properties!A$1:CB$87,Formula!D66,19)),IF(INDEX(Properties!A$1:CB$87,Formula!F66,19)=0,10^6,INDEX(Properties!A$1:CB$87,Formula!F66,19)),IF(INDEX(Properties!A$1:CB$87,Formula!H66,19)=0,10^6,INDEX(Properties!A$1:CB$87,Formula!H66,19)),IF(INDEX(Properties!A$1:CB$87,Formula!J66,19)=0,10^6,INDEX(Properties!A$1:CB$87,Formula!J66,19)))</f>
        <v>6</v>
      </c>
      <c r="BO66" s="75">
        <f t="shared" si="10"/>
        <v>7</v>
      </c>
      <c r="BP66" s="48">
        <f>((Formula!C66)/(Formula!C66+Formula!E66+Formula!G66+Formula!I66+Formula!K66))*(INDEX(Properties!A$1:CB$87,Formula!B66,20))+((Formula!E66)/(Formula!C66+Formula!E66+Formula!G66+Formula!I66+Formula!K66))*(INDEX(Properties!A$1:CB$87,Formula!D66,20))+((Formula!G66)/(Formula!C66+Formula!E66+Formula!G66+Formula!I66+Formula!K66))*(INDEX(Properties!A$1:CB$87,Formula!F66,20))+((Formula!I66)/(Formula!C66+Formula!E66+Formula!G66+Formula!I66+Formula!K66))*(INDEX(Properties!A$1:CB$87,Formula!H66,20))+((Formula!K66)/(Formula!C66+Formula!E66+Formula!G66+Formula!I66+Formula!K66))*(INDEX(Properties!A$1:CB$87,Formula!J66,20))</f>
        <v>4.5714285714285712</v>
      </c>
      <c r="BQ66" s="48">
        <f>Formula!C66*(INDEX(Properties!A$1:CB$87,Formula!B66,20))+Formula!E66*(INDEX(Properties!A$1:CB$87,Formula!D66,20))+Formula!G66*(INDEX(Properties!A$1:CB$87,Formula!F66,20))+Formula!I66*(INDEX(Properties!A$1:CB$87,Formula!H66,20))+Formula!K66*(INDEX(Properties!A$1:CB$87,Formula!J66,20))</f>
        <v>32</v>
      </c>
      <c r="BR66" s="48">
        <f>VARP(IF(INDEX(Properties!A$1:CB$87,Formula!B66,20)&lt;&gt;"",INDEX(Properties!A$1:CB$87,Formula!B66,20)),IF(INDEX(Properties!A$1:CB$87,Formula!D66,20)&lt;&gt;"",INDEX(Properties!A$1:CB$87,Formula!D66,20)),IF(INDEX(Properties!A$1:CB$87,Formula!F66,20)&lt;&gt;"",INDEX(Properties!A$1:CB$87,Formula!F66,20)),IF(INDEX(Properties!A$1:CB$87,Formula!H66,20)&lt;&gt;"",INDEX(Properties!A$1:CB$87,Formula!H66,20)),IF(INDEX(Properties!A$1:CB$87,Formula!J66,20)&lt;&gt;"",INDEX(Properties!A$1:CB$87,Formula!J66,20)))</f>
        <v>4.96</v>
      </c>
      <c r="BS66" s="48">
        <f>MAX(INDEX(Properties!A$1:CB$87,Formula!B66,20),INDEX(Properties!A$1:CB$87,Formula!D66,20),INDEX(Properties!A$1:CB$87,Formula!F66,20),INDEX(Properties!A$1:CB$87,Formula!H66,20),INDEX(Properties!A$1:CB$87,Formula!J66,20))</f>
        <v>6</v>
      </c>
      <c r="BT66" s="48">
        <f>MIN(IF(INDEX(Properties!A$1:CB$87,Formula!B66,20)=0,10^6,INDEX(Properties!A$1:CB$87,Formula!B66,20)),IF(INDEX(Properties!A$1:CB$87,Formula!D66,20)=0,10^6,INDEX(Properties!A$1:CB$87,Formula!D66,20)),IF(INDEX(Properties!A$1:CB$87,Formula!F66,20)=0,10^6,INDEX(Properties!A$1:CB$87,Formula!F66,20)),IF(INDEX(Properties!A$1:CB$87,Formula!H66,20)=0,10^6,INDEX(Properties!A$1:CB$87,Formula!H66,20)),IF(INDEX(Properties!A$1:CB$87,Formula!J66,20)=0,10^6,INDEX(Properties!A$1:CB$87,Formula!J66,20)))</f>
        <v>2</v>
      </c>
      <c r="BU66" s="48">
        <f t="shared" si="11"/>
        <v>4</v>
      </c>
      <c r="BV66" s="66">
        <f>((Formula!C66)/(Formula!C66+Formula!E66+Formula!G66+Formula!I66+Formula!K66))*(INDEX(Properties!A$1:CB$87,Formula!B66,21))+((Formula!E66)/(Formula!C66+Formula!E66+Formula!G66+Formula!I66+Formula!K66))*(INDEX(Properties!A$1:CB$87,Formula!D66,21))+((Formula!G66)/(Formula!C66+Formula!E66+Formula!G66+Formula!I66+Formula!K66))*(INDEX(Properties!A$1:CB$87,Formula!F66,21))+((Formula!I66)/(Formula!C66+Formula!E66+Formula!G66+Formula!I66+Formula!K66))*(INDEX(Properties!A$1:CB$87,Formula!H66,21))+((Formula!K66)/(Formula!C66+Formula!E66+Formula!G66+Formula!I66+Formula!K66))*(INDEX(Properties!A$1:CB$87,Formula!J66,21))</f>
        <v>4.4285714285714288</v>
      </c>
      <c r="BW66" s="66">
        <f>Formula!C66*(INDEX(Properties!A$1:CB$87,Formula!B66,21))+Formula!E66*(INDEX(Properties!A$1:CB$87,Formula!D66,21))+Formula!G66*(INDEX(Properties!A$1:CB$87,Formula!F66,21))+Formula!I66*(INDEX(Properties!A$1:CB$87,Formula!H66,21))+Formula!K66*(INDEX(Properties!A$1:CB$87,Formula!J66,21))</f>
        <v>31</v>
      </c>
      <c r="BX66" s="66">
        <f>VARP(IF(INDEX(Properties!A$1:CB$87,Formula!B66,21)&lt;&gt;"",INDEX(Properties!A$1:CB$87,Formula!B66,21)),IF(INDEX(Properties!A$1:CB$87,Formula!D66,21)&lt;&gt;"",INDEX(Properties!A$1:CB$87,Formula!D66,21)),IF(INDEX(Properties!A$1:CB$87,Formula!F66,21)&lt;&gt;"",INDEX(Properties!A$1:CB$87,Formula!F66,21)),IF(INDEX(Properties!A$1:CB$87,Formula!H66,21)&lt;&gt;"",INDEX(Properties!A$1:CB$87,Formula!H66,21)),IF(INDEX(Properties!A$1:CB$87,Formula!J66,21)&lt;&gt;"",INDEX(Properties!A$1:CB$87,Formula!J66,21)))</f>
        <v>5.2</v>
      </c>
      <c r="BY66" s="66">
        <f>MAX(INDEX(Properties!A$1:CB$87,Formula!B66,21),INDEX(Properties!A$1:CB$87,Formula!D66,21),INDEX(Properties!A$1:CB$87,Formula!F66,21),INDEX(Properties!A$1:CB$87,Formula!H66,21),INDEX(Properties!A$1:CB$87,Formula!J66,21))</f>
        <v>6</v>
      </c>
      <c r="BZ66" s="66">
        <f>MIN(IF(INDEX(Properties!A$1:CB$87,Formula!B66,21)=0,10^6,INDEX(Properties!A$1:CB$87,Formula!B66,21)),IF(INDEX(Properties!A$1:CB$87,Formula!D66,21)=0,10^6,INDEX(Properties!A$1:CB$87,Formula!D66,21)),IF(INDEX(Properties!A$1:CB$87,Formula!F66,21)=0,10^6,INDEX(Properties!A$1:CB$87,Formula!F66,21)),IF(INDEX(Properties!A$1:CB$87,Formula!H66,21)=0,10^6,INDEX(Properties!A$1:CB$87,Formula!H66,21)),IF(INDEX(Properties!A$1:CB$87,Formula!J66,21)=0,10^6,INDEX(Properties!A$1:CB$87,Formula!J66,21)))</f>
        <v>1</v>
      </c>
      <c r="CA66" s="66">
        <f t="shared" si="12"/>
        <v>5</v>
      </c>
      <c r="CB66" s="81">
        <f>((Formula!C66)/(Formula!C66+Formula!E66+Formula!G66+Formula!I66+Formula!K66))*(INDEX(Properties!A$1:CB$87,Formula!B66,23))+((Formula!E66)/(Formula!C66+Formula!E66+Formula!G66+Formula!I66+Formula!K66))*(INDEX(Properties!A$1:CB$87,Formula!D66,23))+((Formula!G66)/(Formula!C66+Formula!E66+Formula!G66+Formula!I66+Formula!K66))*(INDEX(Properties!A$1:CB$87,Formula!F66,23))+((Formula!I66)/(Formula!C66+Formula!E66+Formula!G66+Formula!I66+Formula!K66))*(INDEX(Properties!A$1:CB$87,Formula!H66,23))+((Formula!K66)/(Formula!C66+Formula!E66+Formula!G66+Formula!I66+Formula!K66))*(INDEX(Properties!A$1:CB$87,Formula!J66,23))</f>
        <v>1.617142857142857</v>
      </c>
      <c r="CC66" s="81">
        <f>Formula!C66*(INDEX(Properties!A$1:CB$87,Formula!B66,23))+Formula!E66*(INDEX(Properties!A$1:CB$87,Formula!D66,23))+Formula!G66*(INDEX(Properties!A$1:CB$87,Formula!F66,23))+Formula!I66*(INDEX(Properties!A$1:CB$87,Formula!H66,23))+Formula!K66*(INDEX(Properties!A$1:CB$87,Formula!J66,23))</f>
        <v>11.32</v>
      </c>
      <c r="CD66" s="81">
        <f>VARP(IF(INDEX(Properties!A$1:CB$87,Formula!B66,23)&lt;&gt;"",INDEX(Properties!A$1:CB$87,Formula!B66,23)),IF(INDEX(Properties!A$1:CB$87,Formula!D66,23)&lt;&gt;"",INDEX(Properties!A$1:CB$87,Formula!D66,23)),IF(INDEX(Properties!A$1:CB$87,Formula!F66,23)&lt;&gt;"",INDEX(Properties!A$1:CB$87,Formula!F66,23)),IF(INDEX(Properties!A$1:CB$87,Formula!H66,23)&lt;&gt;"",INDEX(Properties!A$1:CB$87,Formula!H66,23)),IF(INDEX(Properties!A$1:CB$87,Formula!J66,23)&lt;&gt;"",INDEX(Properties!A$1:CB$87,Formula!J66,23)))</f>
        <v>3.8256640000000006</v>
      </c>
      <c r="CE66" s="81">
        <f>MAX(INDEX(Properties!A$1:CB$87,Formula!B66,23),INDEX(Properties!A$1:CB$87,Formula!D66,23),INDEX(Properties!A$1:CB$87,Formula!F66,23),INDEX(Properties!A$1:CB$87,Formula!H66,23),INDEX(Properties!A$1:CB$87,Formula!J66,23))</f>
        <v>4.4400000000000004</v>
      </c>
      <c r="CF66" s="81">
        <f>MIN(IF(Formula!B66=87,10^6,INDEX(Properties!A$1:CB$87,Formula!B66,23)),IF((Formula!D66)=87,10^6,INDEX(Properties!A$1:CB$87,Formula!D66,23)),IF((Formula!F66)=87,10^6,INDEX(Properties!A$1:CB$87,Formula!F66,23)),IF((Formula!H66)=87,10^6,INDEX(Properties!A$1:CB$87,Formula!H66,23)),IF(Formula!J66=87,10^6,INDEX(Properties!A$1:CB$87,Formula!J66,23)))</f>
        <v>0</v>
      </c>
      <c r="CG66" s="81">
        <f t="shared" si="13"/>
        <v>4.4400000000000004</v>
      </c>
      <c r="CH66" s="39">
        <f>((Formula!C66)/(Formula!C66+Formula!E66+Formula!G66+Formula!I66+Formula!K66))*(INDEX(Properties!A$1:CB$87,Formula!B66,26))+((Formula!E66)/(Formula!C66+Formula!E66+Formula!G66+Formula!I66+Formula!K66))*(INDEX(Properties!A$1:CB$87,Formula!D66,26))+((Formula!G66)/(Formula!C66+Formula!E66+Formula!G66+Formula!I66+Formula!K66))*(INDEX(Properties!A$1:CB$87,Formula!F66,26))+((Formula!I66)/(Formula!C66+Formula!E66+Formula!G66+Formula!I66+Formula!K66))*(INDEX(Properties!A$1:CB$87,Formula!H66,26))+((Formula!K66)/(Formula!C66+Formula!E66+Formula!G66+Formula!I66+Formula!K66))*(INDEX(Properties!A$1:CB$87,Formula!J66,26))</f>
        <v>10.837885714285713</v>
      </c>
      <c r="CI66" s="39">
        <f>Formula!C66*(INDEX(Properties!A$1:CB$87,Formula!B66,26))+Formula!E66*(INDEX(Properties!A$1:CB$87,Formula!D66,26))+Formula!G66*(INDEX(Properties!A$1:CB$87,Formula!F66,26))+Formula!I66*(INDEX(Properties!A$1:CB$87,Formula!H66,26))+Formula!K66*(INDEX(Properties!A$1:CB$87,Formula!J66,26))</f>
        <v>75.865200000000002</v>
      </c>
      <c r="CJ66" s="39">
        <f>VARP(IF(INDEX(Properties!A$1:CB$87,Formula!B66,26)&lt;&gt;"",INDEX(Properties!A$1:CB$87,Formula!B66,26)),IF(INDEX(Properties!A$1:CB$87,Formula!D66,26)&lt;&gt;"",INDEX(Properties!A$1:CB$87,Formula!D66,26)),IF(INDEX(Properties!A$1:CB$87,Formula!F66,26)&lt;&gt;"",INDEX(Properties!A$1:CB$87,Formula!F66,26)),IF(INDEX(Properties!A$1:CB$87,Formula!H66,26)&lt;&gt;"",INDEX(Properties!A$1:CB$87,Formula!H66,26)),IF(INDEX(Properties!A$1:CB$87,Formula!J66,26)&lt;&gt;"",INDEX(Properties!A$1:CB$87,Formula!J66,26)))</f>
        <v>28.272130965600002</v>
      </c>
      <c r="CK66" s="39">
        <f>MAX(INDEX(Properties!A$1:CB$87,Formula!B66,26),INDEX(Properties!A$1:CB$87,Formula!D66,26),INDEX(Properties!A$1:CB$87,Formula!F66,26),INDEX(Properties!A$1:CB$87,Formula!H66,26),INDEX(Properties!A$1:CB$87,Formula!J66,26))</f>
        <v>13.6181</v>
      </c>
      <c r="CL66" s="39">
        <f>MIN(IF(INDEX(Properties!A$1:CB$87,Formula!B66,26)=0,10^6,INDEX(Properties!A$1:CB$87,Formula!B66,26)),IF(INDEX(Properties!A$1:CB$87,Formula!D66,26)=0,10^6,INDEX(Properties!A$1:CB$87,Formula!D66,26)),IF(INDEX(Properties!A$1:CB$87,Formula!F66,26)=0,10^6,INDEX(Properties!A$1:CB$87,Formula!F66,26)),IF(INDEX(Properties!A$1:CB$87,Formula!H66,26)=0,10^6,INDEX(Properties!A$1:CB$87,Formula!H66,26)),IF(INDEX(Properties!A$1:CB$87,Formula!J66,26)=0,10^6,INDEX(Properties!A$1:CB$87,Formula!J66,26)))</f>
        <v>5.9992999999999999</v>
      </c>
      <c r="CM66" s="39">
        <f t="shared" si="14"/>
        <v>7.6188000000000002</v>
      </c>
      <c r="CN66" s="54">
        <f>((Formula!C66)/(Formula!C66+Formula!E66+Formula!G66+Formula!I66+Formula!K66))*(INDEX(Properties!A$1:CB$87,Formula!B66,30))+((Formula!E66)/(Formula!C66+Formula!E66+Formula!G66+Formula!I66+Formula!K66))*(INDEX(Properties!A$1:CB$87,Formula!D66,30))+((Formula!G66)/(Formula!C66+Formula!E66+Formula!G66+Formula!I66+Formula!K66))*(INDEX(Properties!A$1:CB$87,Formula!F66,30))+((Formula!I66)/(Formula!C66+Formula!E66+Formula!G66+Formula!I66+Formula!K66))*(INDEX(Properties!A$1:CB$87,Formula!H66,30))+((Formula!K66)/(Formula!C66+Formula!E66+Formula!G66+Formula!I66+Formula!K66))*(INDEX(Properties!A$1:CB$87,Formula!J66,30))</f>
        <v>2.7185714285714284</v>
      </c>
      <c r="CO66" s="54">
        <f>Formula!C66*(INDEX(Properties!A$1:CB$87,Formula!B66,30))+Formula!E66*(INDEX(Properties!A$1:CB$87,Formula!D66,30))+Formula!G66*(INDEX(Properties!A$1:CB$87,Formula!F66,30))+Formula!I66*(INDEX(Properties!A$1:CB$87,Formula!H66,30))+Formula!K66*(INDEX(Properties!A$1:CB$87,Formula!J66,30))</f>
        <v>19.03</v>
      </c>
      <c r="CP66" s="54">
        <f>VARP(IF(INDEX(Properties!A$1:CB$87,Formula!B66,30)&lt;&gt;"",INDEX(Properties!A$1:CB$87,Formula!B66,30)),IF(INDEX(Properties!A$1:CB$87,Formula!D66,30)&lt;&gt;"",INDEX(Properties!A$1:CB$87,Formula!D66,30)),IF(INDEX(Properties!A$1:CB$87,Formula!F66,30)&lt;&gt;"",INDEX(Properties!A$1:CB$87,Formula!F66,30)),IF(INDEX(Properties!A$1:CB$87,Formula!H66,30)&lt;&gt;"",INDEX(Properties!A$1:CB$87,Formula!H66,30)),IF(INDEX(Properties!A$1:CB$87,Formula!J66,30)&lt;&gt;"",INDEX(Properties!A$1:CB$87,Formula!J66,30)))</f>
        <v>1.6620399999999997</v>
      </c>
      <c r="CQ66" s="54">
        <f>MAX(INDEX(Properties!A$1:CB$87,Formula!B66,30),INDEX(Properties!A$1:CB$87,Formula!D66,30),INDEX(Properties!A$1:CB$87,Formula!F66,30),INDEX(Properties!A$1:CB$87,Formula!H66,30),INDEX(Properties!A$1:CB$87,Formula!J66,30))</f>
        <v>3.44</v>
      </c>
      <c r="CR66" s="54">
        <f>MIN(IF(INDEX(Properties!A$1:CB$87,Formula!B66,30)=0,10^6,INDEX(Properties!A$1:CB$87,Formula!B66,30)),IF(INDEX(Properties!A$1:CB$87,Formula!D66,30)=0,10^6,INDEX(Properties!A$1:CB$87,Formula!D66,30)),IF(INDEX(Properties!A$1:CB$87,Formula!F66,30)=0,10^6,INDEX(Properties!A$1:CB$87,Formula!F66,30)),IF(INDEX(Properties!A$1:CB$87,Formula!H66,30)=0,10^6,INDEX(Properties!A$1:CB$87,Formula!H66,30)),IF(INDEX(Properties!A$1:CB$87,Formula!J66,30)=0,10^6,INDEX(Properties!A$1:CB$87,Formula!J66,30)))</f>
        <v>1.65</v>
      </c>
      <c r="CS66" s="54">
        <f t="shared" si="15"/>
        <v>1.79</v>
      </c>
      <c r="CT66" s="69">
        <f>((Formula!C66)/(Formula!C66+Formula!E66+Formula!G66+Formula!I66+Formula!K66))*(INDEX(Properties!A$1:CB$87,Formula!B66,31))+((Formula!E66)/(Formula!C66+Formula!E66+Formula!G66+Formula!I66+Formula!K66))*(INDEX(Properties!A$1:CB$87,Formula!D66,31))+((Formula!G66)/(Formula!C66+Formula!E66+Formula!G66+Formula!I66+Formula!K66))*(INDEX(Properties!A$1:CB$87,Formula!F66,31))+((Formula!I66)/(Formula!C66+Formula!E66+Formula!G66+Formula!I66+Formula!K66))*(INDEX(Properties!A$1:CB$87,Formula!H66,31))+((Formula!K66)/(Formula!C66+Formula!E66+Formula!G66+Formula!I66+Formula!K66))*(INDEX(Properties!A$1:CB$87,Formula!J66,31))</f>
        <v>2.5885714285714281</v>
      </c>
      <c r="CU66" s="69">
        <f>Formula!C66*(INDEX(Properties!A$1:CB$87,Formula!B66,31))+Formula!E66*(INDEX(Properties!A$1:CB$87,Formula!D66,31))+Formula!G66*(INDEX(Properties!A$1:CB$87,Formula!F66,31))+Formula!I66*(INDEX(Properties!A$1:CB$87,Formula!H66,31))+Formula!K66*(INDEX(Properties!A$1:CB$87,Formula!J66,31))</f>
        <v>18.119999999999997</v>
      </c>
      <c r="CV66" s="69">
        <f>VARP(IF(INDEX(Properties!A$1:CB$87,Formula!B66,31)&lt;&gt;"",INDEX(Properties!A$1:CB$87,Formula!B66,31)),IF(INDEX(Properties!A$1:CB$87,Formula!D66,31)&lt;&gt;"",INDEX(Properties!A$1:CB$87,Formula!D66,31)),IF(INDEX(Properties!A$1:CB$87,Formula!F66,31)&lt;&gt;"",INDEX(Properties!A$1:CB$87,Formula!F66,31)),IF(INDEX(Properties!A$1:CB$87,Formula!H66,31)&lt;&gt;"",INDEX(Properties!A$1:CB$87,Formula!H66,31)),IF(INDEX(Properties!A$1:CB$87,Formula!J66,31)&lt;&gt;"",INDEX(Properties!A$1:CB$87,Formula!J66,31)))</f>
        <v>1.5279360000000002</v>
      </c>
      <c r="CW66" s="69">
        <f>MAX(INDEX(Properties!A$1:CB$87,Formula!B66,31),INDEX(Properties!A$1:CB$87,Formula!D66,31),INDEX(Properties!A$1:CB$87,Formula!F66,31),INDEX(Properties!A$1:CB$87,Formula!H66,31),INDEX(Properties!A$1:CB$87,Formula!J66,31))</f>
        <v>3.32</v>
      </c>
      <c r="CX66" s="69">
        <f>MIN(IF(INDEX(Properties!A$1:CB$87,Formula!B66,31)=0,10^6,INDEX(Properties!A$1:CB$87,Formula!B66,31)),IF(INDEX(Properties!A$1:CB$87,Formula!D66,31)=0,10^6,INDEX(Properties!A$1:CB$87,Formula!D66,31)),IF(INDEX(Properties!A$1:CB$87,Formula!F66,31)=0,10^6,INDEX(Properties!A$1:CB$87,Formula!F66,31)),IF(INDEX(Properties!A$1:CB$87,Formula!H66,31)=0,10^6,INDEX(Properties!A$1:CB$87,Formula!H66,31)),IF(INDEX(Properties!A$1:CB$87,Formula!J66,31)=0,10^6,INDEX(Properties!A$1:CB$87,Formula!J66,31)))</f>
        <v>1.44</v>
      </c>
      <c r="CY66" s="69">
        <f t="shared" si="16"/>
        <v>1.88</v>
      </c>
      <c r="CZ66" s="42">
        <f>((Formula!C66)/(Formula!C66+Formula!E66+Formula!G66+Formula!I66+Formula!K66))*(INDEX(Properties!A$1:CB$87,Formula!B66,32))+((Formula!E66)/(Formula!C66+Formula!E66+Formula!G66+Formula!I66+Formula!K66))*(INDEX(Properties!A$1:CB$87,Formula!D66,32))+((Formula!G66)/(Formula!C66+Formula!E66+Formula!G66+Formula!I66+Formula!K66))*(INDEX(Properties!A$1:CB$87,Formula!F66,32))+((Formula!I66)/(Formula!C66+Formula!E66+Formula!G66+Formula!I66+Formula!K66))*(INDEX(Properties!A$1:CB$87,Formula!H66,32))+((Formula!K66)/(Formula!C66+Formula!E66+Formula!G66+Formula!I66+Formula!K66))*(INDEX(Properties!A$1:CB$87,Formula!J66,32))</f>
        <v>5.8585714285714285</v>
      </c>
      <c r="DA66" s="42">
        <f>Formula!C66*(INDEX(Properties!A$1:CB$87,Formula!B66,32))+Formula!E66*(INDEX(Properties!A$1:CB$87,Formula!D66,32))+Formula!G66*(INDEX(Properties!A$1:CB$87,Formula!F66,32))+Formula!I66*(INDEX(Properties!A$1:CB$87,Formula!H66,32))+Formula!K66*(INDEX(Properties!A$1:CB$87,Formula!J66,32))</f>
        <v>41.010000000000005</v>
      </c>
      <c r="DB66" s="42">
        <f>VARP(IF(INDEX(Properties!A$1:CB$87,Formula!B66,32)&lt;&gt;"",INDEX(Properties!A$1:CB$87,Formula!B66,32)),IF(INDEX(Properties!A$1:CB$87,Formula!D66,32)&lt;&gt;"",INDEX(Properties!A$1:CB$87,Formula!D66,32)),IF(INDEX(Properties!A$1:CB$87,Formula!F66,32)&lt;&gt;"",INDEX(Properties!A$1:CB$87,Formula!F66,32)),IF(INDEX(Properties!A$1:CB$87,Formula!H66,32)&lt;&gt;"",INDEX(Properties!A$1:CB$87,Formula!H66,32)),IF(INDEX(Properties!A$1:CB$87,Formula!J66,32)&lt;&gt;"",INDEX(Properties!A$1:CB$87,Formula!J66,32)))</f>
        <v>8.1493759999999984</v>
      </c>
      <c r="DC66" s="42">
        <f>MAX(INDEX(Properties!A$1:CB$87,Formula!B66,32),INDEX(Properties!A$1:CB$87,Formula!D66,32),INDEX(Properties!A$1:CB$87,Formula!F66,32),INDEX(Properties!A$1:CB$87,Formula!H66,32),INDEX(Properties!A$1:CB$87,Formula!J66,32))</f>
        <v>7.54</v>
      </c>
      <c r="DD66" s="42">
        <f>MIN(IF(INDEX(Properties!A$1:CB$87,Formula!B66,32)=0,10^6,INDEX(Properties!A$1:CB$87,Formula!B66,32)),IF(INDEX(Properties!A$1:CB$87,Formula!D66,32)=0,10^6,INDEX(Properties!A$1:CB$87,Formula!D66,32)),IF(INDEX(Properties!A$1:CB$87,Formula!F66,32)=0,10^6,INDEX(Properties!A$1:CB$87,Formula!F66,32)),IF(INDEX(Properties!A$1:CB$87,Formula!H66,32)=0,10^6,INDEX(Properties!A$1:CB$87,Formula!H66,32)),IF(INDEX(Properties!A$1:CB$87,Formula!J66,32)=0,10^6,INDEX(Properties!A$1:CB$87,Formula!J66,32)))</f>
        <v>3.2</v>
      </c>
      <c r="DE66" s="42">
        <f t="shared" si="17"/>
        <v>4.34</v>
      </c>
      <c r="DF66" s="60">
        <f>((Formula!C66)/(Formula!C66+Formula!E66+Formula!G66+Formula!I66+Formula!K66))*(INDEX(Properties!A$1:CB$87,Formula!B66,34))+((Formula!E66)/(Formula!C66+Formula!E66+Formula!G66+Formula!I66+Formula!K66))*(INDEX(Properties!A$1:CB$87,Formula!D66,34))+((Formula!G66)/(Formula!C66+Formula!E66+Formula!G66+Formula!I66+Formula!K66))*(INDEX(Properties!A$1:CB$87,Formula!F66,34))+((Formula!I66)/(Formula!C66+Formula!E66+Formula!G66+Formula!I66+Formula!K66))*(INDEX(Properties!A$1:CB$87,Formula!H66,34))+((Formula!K66)/(Formula!C66+Formula!E66+Formula!G66+Formula!I66+Formula!K66))*(INDEX(Properties!A$1:CB$87,Formula!J66,34))</f>
        <v>2.7917142857142858</v>
      </c>
      <c r="DG66" s="60">
        <f>Formula!C66*(INDEX(Properties!A$1:CB$87,Formula!B66,34))+Formula!E66*(INDEX(Properties!A$1:CB$87,Formula!D66,34))+Formula!G66*(INDEX(Properties!A$1:CB$87,Formula!F66,34))+Formula!I66*(INDEX(Properties!A$1:CB$87,Formula!H66,34))+Formula!K66*(INDEX(Properties!A$1:CB$87,Formula!J66,34))</f>
        <v>19.542000000000002</v>
      </c>
      <c r="DH66" s="60">
        <f>VARP(IF(INDEX(Properties!A$1:CB$87,Formula!B66,34)&lt;&gt;"",INDEX(Properties!A$1:CB$87,Formula!B66,34)),IF(INDEX(Properties!A$1:CB$87,Formula!D66,34)&lt;&gt;"",INDEX(Properties!A$1:CB$87,Formula!D66,34)),IF(INDEX(Properties!A$1:CB$87,Formula!F66,34)&lt;&gt;"",INDEX(Properties!A$1:CB$87,Formula!F66,34)),IF(INDEX(Properties!A$1:CB$87,Formula!H66,34)&lt;&gt;"",INDEX(Properties!A$1:CB$87,Formula!H66,34)),IF(INDEX(Properties!A$1:CB$87,Formula!J66,34)&lt;&gt;"",INDEX(Properties!A$1:CB$87,Formula!J66,34)))</f>
        <v>1.7933097600000005</v>
      </c>
      <c r="DI66" s="60">
        <f>MAX(INDEX(Properties!A$1:CB$87,Formula!B66,34),INDEX(Properties!A$1:CB$87,Formula!D66,34),INDEX(Properties!A$1:CB$87,Formula!F66,34),INDEX(Properties!A$1:CB$87,Formula!H66,34),INDEX(Properties!A$1:CB$87,Formula!J66,34))</f>
        <v>3.61</v>
      </c>
      <c r="DJ66" s="60">
        <f>MIN(IF(INDEX(Properties!A$1:CB$87,Formula!B66,34)=0,10^6,INDEX(Properties!A$1:CB$87,Formula!B66,34)),IF(INDEX(Properties!A$1:CB$87,Formula!D66,34)=0,10^6,INDEX(Properties!A$1:CB$87,Formula!D66,34)),IF(INDEX(Properties!A$1:CB$87,Formula!F66,34)=0,10^6,INDEX(Properties!A$1:CB$87,Formula!F66,34)),IF(INDEX(Properties!A$1:CB$87,Formula!H66,34)=0,10^6,INDEX(Properties!A$1:CB$87,Formula!H66,34)),IF(INDEX(Properties!A$1:CB$87,Formula!J66,34)=0,10^6,INDEX(Properties!A$1:CB$87,Formula!J66,34)))</f>
        <v>1.59</v>
      </c>
      <c r="DK66" s="60">
        <f t="shared" si="18"/>
        <v>2.0199999999999996</v>
      </c>
      <c r="DL66" s="45">
        <f>((Formula!C66)/(Formula!C66+Formula!E66+Formula!G66+Formula!I66+Formula!K66))*(INDEX(Properties!A$1:CB$87,Formula!B66,39))+((Formula!E66)/(Formula!C66+Formula!E66+Formula!G66+Formula!I66+Formula!K66))*(INDEX(Properties!A$1:CB$87,Formula!D66,39))+((Formula!G66)/(Formula!C66+Formula!E66+Formula!G66+Formula!I66+Formula!K66))*(INDEX(Properties!A$1:CB$87,Formula!F66,39))+((Formula!I66)/(Formula!C66+Formula!E66+Formula!G66+Formula!I66+Formula!K66))*(INDEX(Properties!A$1:CB$87,Formula!H66,39))+((Formula!K66)/(Formula!C66+Formula!E66+Formula!G66+Formula!I66+Formula!K66))*(INDEX(Properties!A$1:CB$87,Formula!J66,39))</f>
        <v>0.86571428571428566</v>
      </c>
      <c r="DM66" s="45">
        <f>Formula!C66*(INDEX(Properties!A$1:CB$87,Formula!B66,39))+Formula!E66*(INDEX(Properties!A$1:CB$87,Formula!D66,39))+Formula!G66*(INDEX(Properties!A$1:CB$87,Formula!F66,39))+Formula!I66*(INDEX(Properties!A$1:CB$87,Formula!H66,39))+Formula!K66*(INDEX(Properties!A$1:CB$87,Formula!J66,39))</f>
        <v>6.0600000000000005</v>
      </c>
      <c r="DN66" s="45">
        <f>VARP(IF(INDEX(Properties!A$1:CB$87,Formula!B66,39)&lt;&gt;"",INDEX(Properties!A$1:CB$87,Formula!B66,39)),IF(INDEX(Properties!A$1:CB$87,Formula!D66,39)&lt;&gt;"",INDEX(Properties!A$1:CB$87,Formula!D66,39)),IF(INDEX(Properties!A$1:CB$87,Formula!F66,39)&lt;&gt;"",INDEX(Properties!A$1:CB$87,Formula!F66,39)),IF(INDEX(Properties!A$1:CB$87,Formula!H66,39)&lt;&gt;"",INDEX(Properties!A$1:CB$87,Formula!H66,39)),IF(INDEX(Properties!A$1:CB$87,Formula!J66,39)&lt;&gt;"",INDEX(Properties!A$1:CB$87,Formula!J66,39)))</f>
        <v>0.39417600000000019</v>
      </c>
      <c r="DO66" s="45">
        <f>MAX(INDEX(Properties!A$1:CB$87,Formula!B66,39),INDEX(Properties!A$1:CB$87,Formula!D66,39),INDEX(Properties!A$1:CB$87,Formula!F66,39),INDEX(Properties!A$1:CB$87,Formula!H66,39),INDEX(Properties!A$1:CB$87,Formula!J66,39))</f>
        <v>1.42</v>
      </c>
      <c r="DP66" s="45">
        <f>MIN(IF(INDEX(Properties!A$1:CB$87,Formula!B66,39)=0,10^6,INDEX(Properties!A$1:CB$87,Formula!B66,39)),IF(INDEX(Properties!A$1:CB$87,Formula!D66,39)=0,10^6,INDEX(Properties!A$1:CB$87,Formula!D66,39)),IF(INDEX(Properties!A$1:CB$87,Formula!F66,39)=0,10^6,INDEX(Properties!A$1:CB$87,Formula!F66,39)),IF(INDEX(Properties!A$1:CB$87,Formula!H66,39)=0,10^6,INDEX(Properties!A$1:CB$87,Formula!H66,39)),IF(INDEX(Properties!A$1:CB$87,Formula!J66,39)=0,10^6,INDEX(Properties!A$1:CB$87,Formula!J66,39)))</f>
        <v>0.48</v>
      </c>
      <c r="DQ66" s="45">
        <f t="shared" si="19"/>
        <v>0.94</v>
      </c>
      <c r="DR66" s="63">
        <f>((Formula!C66)/(Formula!C66+Formula!E66+Formula!G66+Formula!I66+Formula!K66))*(INDEX(Properties!A$1:CB$87,Formula!B66,40))+((Formula!E66)/(Formula!C66+Formula!E66+Formula!G66+Formula!I66+Formula!K66))*(INDEX(Properties!A$1:CB$87,Formula!D66,40))+((Formula!G66)/(Formula!C66+Formula!E66+Formula!G66+Formula!I66+Formula!K66))*(INDEX(Properties!A$1:CB$87,Formula!F66,40))+((Formula!I66)/(Formula!C66+Formula!E66+Formula!G66+Formula!I66+Formula!K66))*(INDEX(Properties!A$1:CB$87,Formula!H66,40))+((Formula!K66)/(Formula!C66+Formula!E66+Formula!G66+Formula!I66+Formula!K66))*(INDEX(Properties!A$1:CB$87,Formula!J66,40))</f>
        <v>0.96428571428571419</v>
      </c>
      <c r="DS66" s="63">
        <f>Formula!C66*(INDEX(Properties!A$1:CB$87,Formula!B66,40))+Formula!E66*(INDEX(Properties!A$1:CB$87,Formula!D66,40))+Formula!G66*(INDEX(Properties!A$1:CB$87,Formula!F66,40))+Formula!I66*(INDEX(Properties!A$1:CB$87,Formula!H66,40))+Formula!K66*(INDEX(Properties!A$1:CB$87,Formula!J66,40))</f>
        <v>6.75</v>
      </c>
      <c r="DT66" s="63">
        <f>VARP(IF(INDEX(Properties!A$1:CB$87,Formula!B66,40)&lt;&gt;"",INDEX(Properties!A$1:CB$87,Formula!B66,40)),IF(INDEX(Properties!A$1:CB$87,Formula!D66,40)&lt;&gt;"",INDEX(Properties!A$1:CB$87,Formula!D66,40)),IF(INDEX(Properties!A$1:CB$87,Formula!F66,40)&lt;&gt;"",INDEX(Properties!A$1:CB$87,Formula!F66,40)),IF(INDEX(Properties!A$1:CB$87,Formula!H66,40)&lt;&gt;"",INDEX(Properties!A$1:CB$87,Formula!H66,40)),IF(INDEX(Properties!A$1:CB$87,Formula!J66,40)&lt;&gt;"",INDEX(Properties!A$1:CB$87,Formula!J66,40)))</f>
        <v>0.3317199999999999</v>
      </c>
      <c r="DU66" s="63">
        <f>MAX(INDEX(Properties!A$1:CB$87,Formula!B66,40),INDEX(Properties!A$1:CB$87,Formula!D66,40),INDEX(Properties!A$1:CB$87,Formula!F66,40),INDEX(Properties!A$1:CB$87,Formula!H66,40),INDEX(Properties!A$1:CB$87,Formula!J66,40))</f>
        <v>1.31</v>
      </c>
      <c r="DV66" s="63">
        <f>MIN(IF(INDEX(Properties!A$1:CB$87,Formula!B66,40)=0,10^6,INDEX(Properties!A$1:CB$87,Formula!B66,40)),IF(INDEX(Properties!A$1:CB$87,Formula!D66,40)=0,10^6,INDEX(Properties!A$1:CB$87,Formula!D66,40)),IF(INDEX(Properties!A$1:CB$87,Formula!F66,40)=0,10^6,INDEX(Properties!A$1:CB$87,Formula!F66,40)),IF(INDEX(Properties!A$1:CB$87,Formula!H66,40)=0,10^6,INDEX(Properties!A$1:CB$87,Formula!H66,40)),IF(INDEX(Properties!A$1:CB$87,Formula!J66,40)=0,10^6,INDEX(Properties!A$1:CB$87,Formula!J66,40)))</f>
        <v>0.73</v>
      </c>
      <c r="DW66" s="63">
        <f t="shared" si="20"/>
        <v>0.58000000000000007</v>
      </c>
      <c r="DX66" s="75">
        <f>((Formula!C66)/(Formula!C66+Formula!E66+Formula!G66+Formula!I66+Formula!K66))*(INDEX(Properties!A$1:CB$87,Formula!B66,41))+((Formula!E66)/(Formula!C66+Formula!E66+Formula!G66+Formula!I66+Formula!K66))*(INDEX(Properties!A$1:CB$87,Formula!D66,41))+((Formula!G66)/(Formula!C66+Formula!E66+Formula!G66+Formula!I66+Formula!K66))*(INDEX(Properties!A$1:CB$87,Formula!F66,41))+((Formula!I66)/(Formula!C66+Formula!E66+Formula!G66+Formula!I66+Formula!K66))*(INDEX(Properties!A$1:CB$87,Formula!H66,41))+((Formula!K66)/(Formula!C66+Formula!E66+Formula!G66+Formula!I66+Formula!K66))*(INDEX(Properties!A$1:CB$87,Formula!J66,41))</f>
        <v>1.0628571428571427</v>
      </c>
      <c r="DY66" s="75">
        <f>Formula!C66*(INDEX(Properties!A$1:CB$87,Formula!B66,41))+Formula!E66*(INDEX(Properties!A$1:CB$87,Formula!D66,41))+Formula!G66*(INDEX(Properties!A$1:CB$87,Formula!F66,41))+Formula!I66*(INDEX(Properties!A$1:CB$87,Formula!H66,41))+Formula!K66*(INDEX(Properties!A$1:CB$87,Formula!J66,41))</f>
        <v>7.4399999999999995</v>
      </c>
      <c r="DZ66" s="75">
        <f>VARP(IF(INDEX(Properties!A$1:CB$87,Formula!B66,41)&lt;&gt;"",INDEX(Properties!A$1:CB$87,Formula!B66,41)),IF(INDEX(Properties!A$1:CB$87,Formula!D66,41)&lt;&gt;"",INDEX(Properties!A$1:CB$87,Formula!D66,41)),IF(INDEX(Properties!A$1:CB$87,Formula!F66,41)&lt;&gt;"",INDEX(Properties!A$1:CB$87,Formula!F66,41)),IF(INDEX(Properties!A$1:CB$87,Formula!H66,41)&lt;&gt;"",INDEX(Properties!A$1:CB$87,Formula!H66,41)),IF(INDEX(Properties!A$1:CB$87,Formula!J66,41)&lt;&gt;"",INDEX(Properties!A$1:CB$87,Formula!J66,41)))</f>
        <v>0.25151999999999997</v>
      </c>
      <c r="EA66" s="75">
        <f>MAX(INDEX(Properties!A$1:CB$87,Formula!B66,41),INDEX(Properties!A$1:CB$87,Formula!D66,41),INDEX(Properties!A$1:CB$87,Formula!F66,41),INDEX(Properties!A$1:CB$87,Formula!H66,41),INDEX(Properties!A$1:CB$87,Formula!J66,41))</f>
        <v>1.26</v>
      </c>
      <c r="EB66" s="75">
        <f>MIN(IF(INDEX(Properties!A$1:CB$87,Formula!B66,41)=0,10^6,INDEX(Properties!A$1:CB$87,Formula!B66,41)),IF(INDEX(Properties!A$1:CB$87,Formula!D66,41)=0,10^6,INDEX(Properties!A$1:CB$87,Formula!D66,41)),IF(INDEX(Properties!A$1:CB$87,Formula!F66,41)=0,10^6,INDEX(Properties!A$1:CB$87,Formula!F66,41)),IF(INDEX(Properties!A$1:CB$87,Formula!H66,41)=0,10^6,INDEX(Properties!A$1:CB$87,Formula!H66,41)),IF(INDEX(Properties!A$1:CB$87,Formula!J66,41)=0,10^6,INDEX(Properties!A$1:CB$87,Formula!J66,41)))</f>
        <v>0.76</v>
      </c>
      <c r="EC66" s="75">
        <f t="shared" si="21"/>
        <v>0.5</v>
      </c>
      <c r="ED66" s="48">
        <f>((Formula!C66)/(Formula!C66+Formula!E66+Formula!G66+Formula!I66+Formula!K66))*(INDEX(Properties!A$1:CB$87,Formula!B66,45))+((Formula!E66)/(Formula!C66+Formula!E66+Formula!G66+Formula!I66+Formula!K66))*(INDEX(Properties!A$1:CB$87,Formula!D66,45))+((Formula!G66)/(Formula!C66+Formula!E66+Formula!G66+Formula!I66+Formula!K66))*(INDEX(Properties!A$1:CB$87,Formula!F66,45))+((Formula!I66)/(Formula!C66+Formula!E66+Formula!G66+Formula!I66+Formula!K66))*(INDEX(Properties!A$1:CB$87,Formula!H66,45))+((Formula!K66)/(Formula!C66+Formula!E66+Formula!G66+Formula!I66+Formula!K66))*(INDEX(Properties!A$1:CB$87,Formula!J66,45))</f>
        <v>1.0228571428571427</v>
      </c>
      <c r="EE66" s="48">
        <f>Formula!C66*(INDEX(Properties!A$1:CB$87,Formula!B66,45))+Formula!E66*(INDEX(Properties!A$1:CB$87,Formula!D66,45))+Formula!G66*(INDEX(Properties!A$1:CB$87,Formula!F66,45))+Formula!I66*(INDEX(Properties!A$1:CB$87,Formula!H66,45))+Formula!K66*(INDEX(Properties!A$1:CB$87,Formula!J66,45))</f>
        <v>7.1599999999999993</v>
      </c>
      <c r="EF66" s="48">
        <f>VARP(IF(INDEX(Properties!A$1:CB$87,Formula!B66,45)&lt;&gt;"",INDEX(Properties!A$1:CB$87,Formula!B66,45)),IF(INDEX(Properties!A$1:CB$87,Formula!D66,45)&lt;&gt;"",INDEX(Properties!A$1:CB$87,Formula!D66,45)),IF(INDEX(Properties!A$1:CB$87,Formula!F66,45)&lt;&gt;"",INDEX(Properties!A$1:CB$87,Formula!F66,45)),IF(INDEX(Properties!A$1:CB$87,Formula!H66,45)&lt;&gt;"",INDEX(Properties!A$1:CB$87,Formula!H66,45)),IF(INDEX(Properties!A$1:CB$87,Formula!J66,45)&lt;&gt;"",INDEX(Properties!A$1:CB$87,Formula!J66,45)))</f>
        <v>0.67296000000000011</v>
      </c>
      <c r="EG66" s="48">
        <f>MAX(INDEX(Properties!A$1:CB$87,Formula!B66,45),INDEX(Properties!A$1:CB$87,Formula!D66,45),INDEX(Properties!A$1:CB$87,Formula!F66,45),INDEX(Properties!A$1:CB$87,Formula!H66,45),INDEX(Properties!A$1:CB$87,Formula!J66,45))</f>
        <v>1.88</v>
      </c>
      <c r="EH66" s="48">
        <f>MIN(IF(INDEX(Properties!A$1:CB$87,Formula!B66,45)=0,10^6,INDEX(Properties!A$1:CB$87,Formula!B66,45)),IF(INDEX(Properties!A$1:CB$87,Formula!D66,45)=0,10^6,INDEX(Properties!A$1:CB$87,Formula!D66,45)),IF(INDEX(Properties!A$1:CB$87,Formula!F66,45)=0,10^6,INDEX(Properties!A$1:CB$87,Formula!F66,45)),IF(INDEX(Properties!A$1:CB$87,Formula!H66,45)=0,10^6,INDEX(Properties!A$1:CB$87,Formula!H66,45)),IF(INDEX(Properties!A$1:CB$87,Formula!J66,45)=0,10^6,INDEX(Properties!A$1:CB$87,Formula!J66,45)))</f>
        <v>0.47</v>
      </c>
      <c r="EI66" s="48">
        <f t="shared" si="22"/>
        <v>1.41</v>
      </c>
      <c r="EJ66" s="66">
        <f>((Formula!C66)/(Formula!C66+Formula!E66+Formula!G66+Formula!I66+Formula!K66))*(INDEX(Properties!A$1:CB$87,Formula!B66,46))+((Formula!E66)/(Formula!C66+Formula!E66+Formula!G66+Formula!I66+Formula!K66))*(INDEX(Properties!A$1:CB$87,Formula!D66,46))+((Formula!G66)/(Formula!C66+Formula!E66+Formula!G66+Formula!I66+Formula!K66))*(INDEX(Properties!A$1:CB$87,Formula!F66,46))+((Formula!I66)/(Formula!C66+Formula!E66+Formula!G66+Formula!I66+Formula!K66))*(INDEX(Properties!A$1:CB$87,Formula!H66,46))+((Formula!K66)/(Formula!C66+Formula!E66+Formula!G66+Formula!I66+Formula!K66))*(INDEX(Properties!A$1:CB$87,Formula!J66,46))</f>
        <v>1.0142857142857142</v>
      </c>
      <c r="EK66" s="66">
        <f>Formula!C66*(INDEX(Properties!A$1:CB$87,Formula!B66,46))+Formula!E66*(INDEX(Properties!A$1:CB$87,Formula!D66,46))+Formula!G66*(INDEX(Properties!A$1:CB$87,Formula!F66,46))+Formula!I66*(INDEX(Properties!A$1:CB$87,Formula!H66,46))+Formula!K66*(INDEX(Properties!A$1:CB$87,Formula!J66,46))</f>
        <v>7.1</v>
      </c>
      <c r="EL66" s="66">
        <f>VARP(IF(INDEX(Properties!A$1:CB$87,Formula!B66,46)&lt;&gt;"",INDEX(Properties!A$1:CB$87,Formula!B66,46)),IF(INDEX(Properties!A$1:CB$87,Formula!D66,46)&lt;&gt;"",INDEX(Properties!A$1:CB$87,Formula!D66,46)),IF(INDEX(Properties!A$1:CB$87,Formula!F66,46)&lt;&gt;"",INDEX(Properties!A$1:CB$87,Formula!F66,46)),IF(INDEX(Properties!A$1:CB$87,Formula!H66,46)&lt;&gt;"",INDEX(Properties!A$1:CB$87,Formula!H66,46)),IF(INDEX(Properties!A$1:CB$87,Formula!J66,46)&lt;&gt;"",INDEX(Properties!A$1:CB$87,Formula!J66,46)))</f>
        <v>0.22409599999999993</v>
      </c>
      <c r="EM66" s="66">
        <f>MAX(INDEX(Properties!A$1:CB$87,Formula!B66,46),INDEX(Properties!A$1:CB$87,Formula!D66,46),INDEX(Properties!A$1:CB$87,Formula!F66,46),INDEX(Properties!A$1:CB$87,Formula!H66,46),INDEX(Properties!A$1:CB$87,Formula!J66,46))</f>
        <v>1.21</v>
      </c>
      <c r="EN66" s="66">
        <f>MIN(IF(INDEX(Properties!A$1:CB$87,Formula!B66,46)=0,10^6,INDEX(Properties!A$1:CB$87,Formula!B66,46)),IF(INDEX(Properties!A$1:CB$87,Formula!D66,46)=0,10^6,INDEX(Properties!A$1:CB$87,Formula!D66,46)),IF(INDEX(Properties!A$1:CB$87,Formula!F66,46)=0,10^6,INDEX(Properties!A$1:CB$87,Formula!F66,46)),IF(INDEX(Properties!A$1:CB$87,Formula!H66,46)=0,10^6,INDEX(Properties!A$1:CB$87,Formula!H66,46)),IF(INDEX(Properties!A$1:CB$87,Formula!J66,46)=0,10^6,INDEX(Properties!A$1:CB$87,Formula!J66,46)))</f>
        <v>0.74</v>
      </c>
      <c r="EO66" s="66">
        <f t="shared" si="23"/>
        <v>0.47</v>
      </c>
      <c r="EP66" s="81">
        <f>((Formula!C66)/(Formula!C66+Formula!E66+Formula!G66+Formula!I66+Formula!K66))*(INDEX(Properties!A$1:CB$87,Formula!B66,52))+((Formula!E66)/(Formula!C66+Formula!E66+Formula!G66+Formula!I66+Formula!K66))*(INDEX(Properties!A$1:CB$87,Formula!D66,52))+((Formula!G66)/(Formula!C66+Formula!E66+Formula!G66+Formula!I66+Formula!K66))*(INDEX(Properties!A$1:CB$87,Formula!F66,52))+((Formula!I66)/(Formula!C66+Formula!E66+Formula!G66+Formula!I66+Formula!K66))*(INDEX(Properties!A$1:CB$87,Formula!H66,52))+((Formula!K66)/(Formula!C66+Formula!E66+Formula!G66+Formula!I66+Formula!K66))*(INDEX(Properties!A$1:CB$87,Formula!J66,52))</f>
        <v>3.6817142857142855</v>
      </c>
      <c r="EQ66" s="81">
        <f>Formula!C66*(INDEX(Properties!A$1:CB$87,Formula!B66,52))+Formula!E66*(INDEX(Properties!A$1:CB$87,Formula!D66,52))+Formula!G66*(INDEX(Properties!A$1:CB$87,Formula!F66,52))+Formula!I66*(INDEX(Properties!A$1:CB$87,Formula!H66,52))+Formula!K66*(INDEX(Properties!A$1:CB$87,Formula!J66,52))</f>
        <v>25.772000000000002</v>
      </c>
      <c r="ER66" s="81">
        <f>VARP(IF(INDEX(Properties!A$1:CB$87,Formula!B66,52)&lt;&gt;"",INDEX(Properties!A$1:CB$87,Formula!B66,52)),IF(INDEX(Properties!A$1:CB$87,Formula!D66,52)&lt;&gt;"",INDEX(Properties!A$1:CB$87,Formula!D66,52)),IF(INDEX(Properties!A$1:CB$87,Formula!F66,52)&lt;&gt;"",INDEX(Properties!A$1:CB$87,Formula!F66,52)),IF(INDEX(Properties!A$1:CB$87,Formula!H66,52)&lt;&gt;"",INDEX(Properties!A$1:CB$87,Formula!H66,52)),IF(INDEX(Properties!A$1:CB$87,Formula!J66,52)&lt;&gt;"",INDEX(Properties!A$1:CB$87,Formula!J66,52)))</f>
        <v>12.084735840000002</v>
      </c>
      <c r="ES66" s="81">
        <f>MAX(INDEX(Properties!A$1:CB$87,Formula!B66,52),INDEX(Properties!A$1:CB$87,Formula!D66,52),INDEX(Properties!A$1:CB$87,Formula!F66,52),INDEX(Properties!A$1:CB$87,Formula!H66,52),INDEX(Properties!A$1:CB$87,Formula!J66,52))</f>
        <v>8.1</v>
      </c>
      <c r="ET66" s="81">
        <f>MIN(IF(INDEX(Properties!A$1:CB$87,Formula!B66,52)=0,10^6,INDEX(Properties!A$1:CB$87,Formula!B66,52)),IF(INDEX(Properties!A$1:CB$87,Formula!D66,52)=0,10^6,INDEX(Properties!A$1:CB$87,Formula!D66,52)),IF(INDEX(Properties!A$1:CB$87,Formula!F66,52)=0,10^6,INDEX(Properties!A$1:CB$87,Formula!F66,52)),IF(INDEX(Properties!A$1:CB$87,Formula!H66,52)=0,10^6,INDEX(Properties!A$1:CB$87,Formula!H66,52)),IF(INDEX(Properties!A$1:CB$87,Formula!J66,52)=0,10^6,INDEX(Properties!A$1:CB$87,Formula!J66,52)))</f>
        <v>0.79300000000000004</v>
      </c>
      <c r="EU66" s="81">
        <f t="shared" si="24"/>
        <v>7.3069999999999995</v>
      </c>
      <c r="EV66" s="39">
        <f>((Formula!C66)/(Formula!C66+Formula!E66+Formula!G66+Formula!I66+Formula!K66))*(INDEX(Properties!A$1:CB$87,Formula!B66,53))+((Formula!E66)/(Formula!C66+Formula!E66+Formula!G66+Formula!I66+Formula!K66))*(INDEX(Properties!A$1:CB$87,Formula!D66,53))+((Formula!G66)/(Formula!C66+Formula!E66+Formula!G66+Formula!I66+Formula!K66))*(INDEX(Properties!A$1:CB$87,Formula!F66,53))+((Formula!I66)/(Formula!C66+Formula!E66+Formula!G66+Formula!I66+Formula!K66))*(INDEX(Properties!A$1:CB$87,Formula!H66,53))+((Formula!K66)/(Formula!C66+Formula!E66+Formula!G66+Formula!I66+Formula!K66))*(INDEX(Properties!A$1:CB$87,Formula!J66,53))</f>
        <v>216.80714285714282</v>
      </c>
      <c r="EW66" s="39">
        <f>Formula!C66*(INDEX(Properties!A$1:CB$87,Formula!B66,53))+Formula!E66*(INDEX(Properties!A$1:CB$87,Formula!D66,53))+Formula!G66*(INDEX(Properties!A$1:CB$87,Formula!F66,53))+Formula!I66*(INDEX(Properties!A$1:CB$87,Formula!H66,53))+Formula!K66*(INDEX(Properties!A$1:CB$87,Formula!J66,53))</f>
        <v>1517.65</v>
      </c>
      <c r="EX66" s="39">
        <f>VARP(IF(INDEX(Properties!A$1:CB$87,Formula!B66,53)&lt;&gt;"",INDEX(Properties!A$1:CB$87,Formula!B66,53)),IF(INDEX(Properties!A$1:CB$87,Formula!D66,53)&lt;&gt;"",INDEX(Properties!A$1:CB$87,Formula!D66,53)),IF(INDEX(Properties!A$1:CB$87,Formula!F66,53)&lt;&gt;"",INDEX(Properties!A$1:CB$87,Formula!F66,53)),IF(INDEX(Properties!A$1:CB$87,Formula!H66,53)&lt;&gt;"",INDEX(Properties!A$1:CB$87,Formula!H66,53)),IF(INDEX(Properties!A$1:CB$87,Formula!J66,53)&lt;&gt;"",INDEX(Properties!A$1:CB$87,Formula!J66,53)))</f>
        <v>70797.957399999999</v>
      </c>
      <c r="EY66" s="39">
        <f>MAX(INDEX(Properties!A$1:CB$87,Formula!B66,53),INDEX(Properties!A$1:CB$87,Formula!D66,53),INDEX(Properties!A$1:CB$87,Formula!F66,53),INDEX(Properties!A$1:CB$87,Formula!H66,53),INDEX(Properties!A$1:CB$87,Formula!J66,53))</f>
        <v>692.75</v>
      </c>
      <c r="EZ66" s="39">
        <f>MIN(IF(INDEX(Properties!A$1:CB$87,Formula!B66,53)=0,10^6,INDEX(Properties!A$1:CB$87,Formula!B66,53)),IF(INDEX(Properties!A$1:CB$87,Formula!D66,53)=0,10^6,INDEX(Properties!A$1:CB$87,Formula!D66,53)),IF(INDEX(Properties!A$1:CB$87,Formula!F66,53)=0,10^6,INDEX(Properties!A$1:CB$87,Formula!F66,53)),IF(INDEX(Properties!A$1:CB$87,Formula!H66,53)=0,10^6,INDEX(Properties!A$1:CB$87,Formula!H66,53)),IF(INDEX(Properties!A$1:CB$87,Formula!J66,53)=0,10^6,INDEX(Properties!A$1:CB$87,Formula!J66,53)))</f>
        <v>54.749999999999972</v>
      </c>
      <c r="FA66" s="39">
        <f t="shared" si="25"/>
        <v>638</v>
      </c>
      <c r="FB66" s="54">
        <f>((Formula!C66)/(Formula!C66+Formula!E66+Formula!G66+Formula!I66+Formula!K66))*(INDEX(Properties!A$1:CB$87,Formula!B66,54))+((Formula!E66)/(Formula!C66+Formula!E66+Formula!G66+Formula!I66+Formula!K66))*(INDEX(Properties!A$1:CB$87,Formula!D66,54))+((Formula!G66)/(Formula!C66+Formula!E66+Formula!G66+Formula!I66+Formula!K66))*(INDEX(Properties!A$1:CB$87,Formula!F66,54))+((Formula!I66)/(Formula!C66+Formula!E66+Formula!G66+Formula!I66+Formula!K66))*(INDEX(Properties!A$1:CB$87,Formula!H66,54))+((Formula!K66)/(Formula!C66+Formula!E66+Formula!G66+Formula!I66+Formula!K66))*(INDEX(Properties!A$1:CB$87,Formula!J66,54))</f>
        <v>984.57857142857142</v>
      </c>
      <c r="FC66" s="54">
        <f>Formula!C66*(INDEX(Properties!A$1:CB$87,Formula!B66,54))+Formula!E66*(INDEX(Properties!A$1:CB$87,Formula!D66,54))+Formula!G66*(INDEX(Properties!A$1:CB$87,Formula!F66,54))+Formula!I66*(INDEX(Properties!A$1:CB$87,Formula!H66,54))+Formula!K66*(INDEX(Properties!A$1:CB$87,Formula!J66,54))</f>
        <v>6892.0500000000011</v>
      </c>
      <c r="FD66" s="54">
        <f>VARP(IF(INDEX(Properties!A$1:CB$87,Formula!B66,54)&lt;&gt;"",INDEX(Properties!A$1:CB$87,Formula!B66,54)),IF(INDEX(Properties!A$1:CB$87,Formula!D66,54)&lt;&gt;"",INDEX(Properties!A$1:CB$87,Formula!D66,54)),IF(INDEX(Properties!A$1:CB$87,Formula!F66,54)&lt;&gt;"",INDEX(Properties!A$1:CB$87,Formula!F66,54)),IF(INDEX(Properties!A$1:CB$87,Formula!H66,54)&lt;&gt;"",INDEX(Properties!A$1:CB$87,Formula!H66,54)),IF(INDEX(Properties!A$1:CB$87,Formula!J66,54)&lt;&gt;"",INDEX(Properties!A$1:CB$87,Formula!J66,54)))</f>
        <v>1089397.0854000004</v>
      </c>
      <c r="FE66" s="54">
        <f>MAX(INDEX(Properties!A$1:CB$87,Formula!B66,54),INDEX(Properties!A$1:CB$87,Formula!D66,54),INDEX(Properties!A$1:CB$87,Formula!F66,54),INDEX(Properties!A$1:CB$87,Formula!H66,54),INDEX(Properties!A$1:CB$87,Formula!J66,54))</f>
        <v>2676.15</v>
      </c>
      <c r="FF66" s="54">
        <f>MIN(IF(INDEX(Properties!A$1:CB$87,Formula!B66,54)=0,10^6,INDEX(Properties!A$1:CB$87,Formula!B66,54)),IF(INDEX(Properties!A$1:CB$87,Formula!D66,54)=0,10^6,INDEX(Properties!A$1:CB$87,Formula!D66,54)),IF(INDEX(Properties!A$1:CB$87,Formula!F66,54)=0,10^6,INDEX(Properties!A$1:CB$87,Formula!F66,54)),IF(INDEX(Properties!A$1:CB$87,Formula!H66,54)=0,10^6,INDEX(Properties!A$1:CB$87,Formula!H66,54)),IF(INDEX(Properties!A$1:CB$87,Formula!J66,54)=0,10^6,INDEX(Properties!A$1:CB$87,Formula!J66,54)))</f>
        <v>90.149999999999977</v>
      </c>
      <c r="FG66" s="54">
        <f t="shared" si="26"/>
        <v>2586</v>
      </c>
      <c r="FH66" s="69">
        <f>((Formula!C66)/(Formula!C66+Formula!E66+Formula!G66+Formula!I66+Formula!K66))*(INDEX(Properties!A$1:CB$87,Formula!B66,55))+((Formula!E66)/(Formula!C66+Formula!E66+Formula!G66+Formula!I66+Formula!K66))*(INDEX(Properties!A$1:CB$87,Formula!D66,55))+((Formula!G66)/(Formula!C66+Formula!E66+Formula!G66+Formula!I66+Formula!K66))*(INDEX(Properties!A$1:CB$87,Formula!F66,55))+((Formula!I66)/(Formula!C66+Formula!E66+Formula!G66+Formula!I66+Formula!K66))*(INDEX(Properties!A$1:CB$87,Formula!H66,55))+((Formula!K66)/(Formula!C66+Formula!E66+Formula!G66+Formula!I66+Formula!K66))*(INDEX(Properties!A$1:CB$87,Formula!J66,55))</f>
        <v>2.7051028571428573</v>
      </c>
      <c r="FI66" s="69">
        <f>Formula!C66*(INDEX(Properties!A$1:CB$87,Formula!B66,55))+Formula!E66*(INDEX(Properties!A$1:CB$87,Formula!D66,54))+Formula!G66*(INDEX(Properties!A$1:CB$87,Formula!F66,55))+Formula!I66*(INDEX(Properties!A$1:CB$87,Formula!H66,55))+Formula!K66*(INDEX(Properties!A$1:CB$87,Formula!J66,55))</f>
        <v>5359.4357200000004</v>
      </c>
      <c r="FJ66" s="69">
        <f>VARP(IF(INDEX(Properties!A$1:CB$87,Formula!B66,55)&lt;&gt;"",INDEX(Properties!A$1:CB$87,Formula!B66,55)),IF(INDEX(Properties!A$1:CB$87,Formula!D66,55)&lt;&gt;"",INDEX(Properties!A$1:CB$87,Formula!D66,55)),IF(INDEX(Properties!A$1:CB$87,Formula!F66,55)&lt;&gt;"",INDEX(Properties!A$1:CB$87,Formula!F66,55)),IF(INDEX(Properties!A$1:CB$87,Formula!H66,55)&lt;&gt;"",INDEX(Properties!A$1:CB$87,Formula!H66,55)),IF(INDEX(Properties!A$1:CB$87,Formula!J66,55)&lt;&gt;"",INDEX(Properties!A$1:CB$87,Formula!J66,55)))</f>
        <v>10.336653695183999</v>
      </c>
      <c r="FK66" s="69">
        <f>MAX(INDEX(Properties!A$1:CB$87,Formula!B66,55),INDEX(Properties!A$1:CB$87,Formula!D66,55),INDEX(Properties!A$1:CB$87,Formula!F66,55),INDEX(Properties!A$1:CB$87,Formula!H66,55),INDEX(Properties!A$1:CB$87,Formula!J66,55))</f>
        <v>7.13</v>
      </c>
      <c r="FL66" s="69">
        <f>MIN(IF(INDEX(Properties!A$1:CB$87,Formula!B66,55)=0,10^6,INDEX(Properties!A$1:CB$87,Formula!B66,55)),IF(INDEX(Properties!A$1:CB$87,Formula!D66,55)=0,10^6,INDEX(Properties!A$1:CB$87,Formula!D66,55)),IF(INDEX(Properties!A$1:CB$87,Formula!F66,55)=0,10^6,INDEX(Properties!A$1:CB$87,Formula!F66,55)),IF(INDEX(Properties!A$1:CB$87,Formula!H66,55)=0,10^6,INDEX(Properties!A$1:CB$87,Formula!H66,55)),IF(INDEX(Properties!A$1:CB$87,Formula!J66,55)=0,10^6,INDEX(Properties!A$1:CB$87,Formula!J66,55)))</f>
        <v>1.4300000000000001E-3</v>
      </c>
      <c r="FM66" s="69">
        <f t="shared" si="27"/>
        <v>7.1285699999999999</v>
      </c>
      <c r="FN66" s="42">
        <f>((Formula!C66)/(Formula!C66+Formula!E66+Formula!G66+Formula!I66+Formula!K66))*(INDEX(Properties!A$1:CB$87,Formula!B66,56))+((Formula!E66)/(Formula!C66+Formula!E66+Formula!G66+Formula!I66+Formula!K66))*(INDEX(Properties!A$1:CB$87,Formula!D66,56))+((Formula!G66)/(Formula!C66+Formula!E66+Formula!G66+Formula!I66+Formula!K66))*(INDEX(Properties!A$1:CB$87,Formula!F66,56))+((Formula!I66)/(Formula!C66+Formula!E66+Formula!G66+Formula!I66+Formula!K66))*(INDEX(Properties!A$1:CB$87,Formula!H66,56))+((Formula!K66)/(Formula!C66+Formula!E66+Formula!G66+Formula!I66+Formula!K66))*(INDEX(Properties!A$1:CB$87,Formula!J66,56))</f>
        <v>0.68714285714285706</v>
      </c>
      <c r="FO66" s="42">
        <f>Formula!C66*(INDEX(Properties!A$1:CB$87,Formula!B66,56))+Formula!E66*(INDEX(Properties!A$1:CB$87,Formula!D66,56))+Formula!G66*(INDEX(Properties!A$1:CB$87,Formula!F66,56))+Formula!I66*(INDEX(Properties!A$1:CB$87,Formula!H66,56))+Formula!K66*(INDEX(Properties!A$1:CB$87,Formula!J66,56))</f>
        <v>4.8100000000000005</v>
      </c>
      <c r="FP66" s="42">
        <f>VARP(IF(INDEX(Properties!A$1:CB$87,Formula!B66,56)&lt;&gt;"",INDEX(Properties!A$1:CB$87,Formula!B66,56)),IF(INDEX(Properties!A$1:CB$87,Formula!D66,56)&lt;&gt;"",INDEX(Properties!A$1:CB$87,Formula!D66,56)),IF(INDEX(Properties!A$1:CB$87,Formula!F66,56)&lt;&gt;"",INDEX(Properties!A$1:CB$87,Formula!F66,56)),IF(INDEX(Properties!A$1:CB$87,Formula!H66,56)&lt;&gt;"",INDEX(Properties!A$1:CB$87,Formula!H66,56)),IF(INDEX(Properties!A$1:CB$87,Formula!J66,56)&lt;&gt;"",INDEX(Properties!A$1:CB$87,Formula!J66,56)))</f>
        <v>0.11418400000000004</v>
      </c>
      <c r="FQ66" s="42">
        <f>MAX(INDEX(Properties!A$1:CB$87,Formula!B66,56),INDEX(Properties!A$1:CB$87,Formula!D66,56),INDEX(Properties!A$1:CB$87,Formula!F66,56),INDEX(Properties!A$1:CB$87,Formula!H66,56),INDEX(Properties!A$1:CB$87,Formula!J66,56))</f>
        <v>0.92</v>
      </c>
      <c r="FR66" s="42">
        <f>MIN(IF(INDEX(Properties!A$1:CB$87,Formula!B66,56)=0,10^6,INDEX(Properties!A$1:CB$87,Formula!B66,56)),IF(INDEX(Properties!A$1:CB$87,Formula!D66,56)=0,10^6,INDEX(Properties!A$1:CB$87,Formula!D66,56)),IF(INDEX(Properties!A$1:CB$87,Formula!F66,56)=0,10^6,INDEX(Properties!A$1:CB$87,Formula!F66,56)),IF(INDEX(Properties!A$1:CB$87,Formula!H66,56)=0,10^6,INDEX(Properties!A$1:CB$87,Formula!H66,56)),IF(INDEX(Properties!A$1:CB$87,Formula!J66,56)=0,10^6,INDEX(Properties!A$1:CB$87,Formula!J66,56)))</f>
        <v>0.37</v>
      </c>
      <c r="FS66" s="42">
        <f t="shared" si="28"/>
        <v>0.55000000000000004</v>
      </c>
      <c r="FT66" s="60">
        <f>((Formula!C66)/(Formula!C66+Formula!E66+Formula!G66+Formula!I66+Formula!K66))*(INDEX(Properties!A$1:CB$87,Formula!B66,57))+((Formula!E66)/(Formula!C66+Formula!E66+Formula!G66+Formula!I66+Formula!K66))*(INDEX(Properties!A$1:CB$87,Formula!D66,57))+((Formula!G66)/(Formula!C66+Formula!E66+Formula!G66+Formula!I66+Formula!K66))*(INDEX(Properties!A$1:CB$87,Formula!F66,57))+((Formula!I66)/(Formula!C66+Formula!E66+Formula!G66+Formula!I66+Formula!K66))*(INDEX(Properties!A$1:CB$87,Formula!H66,57))+((Formula!K66)/(Formula!C66+Formula!E66+Formula!G66+Formula!I66+Formula!K66))*(INDEX(Properties!A$1:CB$87,Formula!J66,57))</f>
        <v>2.7703371428571431</v>
      </c>
      <c r="FU66" s="60">
        <f>Formula!C66*(INDEX(Properties!A$1:CB$87,Formula!B66,57))+Formula!E66*(INDEX(Properties!A$1:CB$87,Formula!D66,57))+Formula!G66*(INDEX(Properties!A$1:CB$87,Formula!F66,57))+Formula!I66*(INDEX(Properties!A$1:CB$87,Formula!H66,57))+Formula!K66*(INDEX(Properties!A$1:CB$87,Formula!J66,57))</f>
        <v>19.39236</v>
      </c>
      <c r="FV66" s="60">
        <f>VARP(IF(INDEX(Properties!A$1:CB$87,Formula!B66,57)&lt;&gt;"",INDEX(Properties!A$1:CB$87,Formula!B66,57)),IF(INDEX(Properties!A$1:CB$87,Formula!D66,57)&lt;&gt;"",INDEX(Properties!A$1:CB$87,Formula!D66,57)),IF(INDEX(Properties!A$1:CB$87,Formula!F66,57)&lt;&gt;"",INDEX(Properties!A$1:CB$87,Formula!F66,57)),IF(INDEX(Properties!A$1:CB$87,Formula!H66,57)&lt;&gt;"",INDEX(Properties!A$1:CB$87,Formula!H66,57)),IF(INDEX(Properties!A$1:CB$87,Formula!J66,57)&lt;&gt;"",INDEX(Properties!A$1:CB$87,Formula!J66,57)))</f>
        <v>10.081167882896004</v>
      </c>
      <c r="FW66" s="60">
        <f>MAX(INDEX(Properties!A$1:CB$87,Formula!B66,57),INDEX(Properties!A$1:CB$87,Formula!D66,57),INDEX(Properties!A$1:CB$87,Formula!F66,57),INDEX(Properties!A$1:CB$87,Formula!H66,57),INDEX(Properties!A$1:CB$87,Formula!J66,57))</f>
        <v>7.3220000000000001</v>
      </c>
      <c r="FX66" s="60">
        <f>MIN(IF(INDEX(Properties!A$1:CB$87,Formula!B66,57)=0,10^6,INDEX(Properties!A$1:CB$87,Formula!B66,57)),IF(INDEX(Properties!A$1:CB$87,Formula!D66,57)=0,10^6,INDEX(Properties!A$1:CB$87,Formula!D66,57)),IF(INDEX(Properties!A$1:CB$87,Formula!F66,57)=0,10^6,INDEX(Properties!A$1:CB$87,Formula!F66,57)),IF(INDEX(Properties!A$1:CB$87,Formula!H66,57)=0,10^6,INDEX(Properties!A$1:CB$87,Formula!H66,57)),IF(INDEX(Properties!A$1:CB$87,Formula!J66,57)=0,10^6,INDEX(Properties!A$1:CB$87,Formula!J66,57)))</f>
        <v>0.22259000000000001</v>
      </c>
      <c r="FY66" s="60">
        <f t="shared" si="29"/>
        <v>7.0994099999999998</v>
      </c>
      <c r="FZ66" s="72">
        <f>((Formula!C66)/(Formula!C66+Formula!E66+Formula!G66+Formula!I66+Formula!K66))*(INDEX(Properties!A$1:CB$87,Formula!B66,60))+((Formula!E66)/(Formula!C66+Formula!E66+Formula!G66+Formula!I66+Formula!K66))*(INDEX(Properties!A$1:CB$87,Formula!D66,60))+((Formula!G66)/(Formula!C66+Formula!E66+Formula!G66+Formula!I66+Formula!K66))*(INDEX(Properties!A$1:CB$87,Formula!F66,60))+((Formula!I66)/(Formula!C66+Formula!E66+Formula!G66+Formula!I66+Formula!K66))*(INDEX(Properties!A$1:CB$87,Formula!H66,60))+((Formula!K66)/(Formula!C66+Formula!E66+Formula!G66+Formula!I66+Formula!K66))*(INDEX(Properties!A$1:CB$87,Formula!J66,60))</f>
        <v>28.186708571428571</v>
      </c>
      <c r="GA66" s="72">
        <f>Formula!C66*(INDEX(Properties!A$1:CB$87,Formula!B66,60))+Formula!E66*(INDEX(Properties!A$1:CB$87,Formula!D66,60))+Formula!G66*(INDEX(Properties!A$1:CB$87,Formula!F66,60))+Formula!I66*(INDEX(Properties!A$1:CB$87,Formula!H66,60))+Formula!K66*(INDEX(Properties!A$1:CB$87,Formula!J66,60))</f>
        <v>197.30695999999998</v>
      </c>
      <c r="GB66" s="72">
        <f>VARP(IF(INDEX(Properties!A$1:CB$87,Formula!B66,60)&lt;&gt;"",INDEX(Properties!A$1:CB$87,Formula!B66,60)),IF(INDEX(Properties!A$1:CB$87,Formula!D66,60)&lt;&gt;"",INDEX(Properties!A$1:CB$87,Formula!D66,60)),IF(INDEX(Properties!A$1:CB$87,Formula!F66,60)&lt;&gt;"",INDEX(Properties!A$1:CB$87,Formula!F66,60)),IF(INDEX(Properties!A$1:CB$87,Formula!H66,60)&lt;&gt;"",INDEX(Properties!A$1:CB$87,Formula!H66,60)),IF(INDEX(Properties!A$1:CB$87,Formula!J66,60)&lt;&gt;"",INDEX(Properties!A$1:CB$87,Formula!J66,60)))</f>
        <v>2039.5947156844165</v>
      </c>
      <c r="GC66" s="72">
        <f>MAX(INDEX(Properties!A$1:CB$87,Formula!B66,60),INDEX(Properties!A$1:CB$87,Formula!D66,60),INDEX(Properties!A$1:CB$87,Formula!F66,60),INDEX(Properties!A$1:CB$87,Formula!H66,60),INDEX(Properties!A$1:CB$87,Formula!J66,60))</f>
        <v>116</v>
      </c>
      <c r="GD66" s="72">
        <f>MIN(IF(INDEX(Properties!A$1:CB$87,Formula!B66,60)=0,10^6,INDEX(Properties!A$1:CB$87,Formula!B66,60)),IF(INDEX(Properties!A$1:CB$87,Formula!D66,60)=0,10^6,INDEX(Properties!A$1:CB$87,Formula!D66,60)),IF(INDEX(Properties!A$1:CB$87,Formula!F66,60)=0,10^6,INDEX(Properties!A$1:CB$87,Formula!F66,60)),IF(INDEX(Properties!A$1:CB$87,Formula!H66,60)=0,10^6,INDEX(Properties!A$1:CB$87,Formula!H66,60)),IF(INDEX(Properties!A$1:CB$87,Formula!J66,60)=0,10^6,INDEX(Properties!A$1:CB$87,Formula!J66,60)))</f>
        <v>2.674E-2</v>
      </c>
      <c r="GE66" s="72">
        <f t="shared" si="30"/>
        <v>115.97326</v>
      </c>
      <c r="GF66" s="51">
        <f>((Formula!C66)/(Formula!C66+Formula!E66+Formula!G66+Formula!I66+Formula!K66))*(INDEX(Properties!A$1:CB$87,Formula!B66,62))+((Formula!E66)/(Formula!C66+Formula!E66+Formula!G66+Formula!I66+Formula!K66))*(INDEX(Properties!A$1:CB$87,Formula!D66,62))+((Formula!G66)/(Formula!C66+Formula!E66+Formula!G66+Formula!I66+Formula!K66))*(INDEX(Properties!A$1:CB$87,Formula!F66,62))+((Formula!I66)/(Formula!C66+Formula!E66+Formula!G66+Formula!I66+Formula!K66))*(INDEX(Properties!A$1:CB$87,Formula!H66,62))+((Formula!K66)/(Formula!C66+Formula!E66+Formula!G66+Formula!I66+Formula!K66))*(INDEX(Properties!A$1:CB$87,Formula!J66,62))</f>
        <v>2.4928571428571429</v>
      </c>
      <c r="GG66" s="51">
        <f>Formula!C66*(INDEX(Properties!A$1:CB$87,Formula!B66,62))+Formula!E66*(INDEX(Properties!A$1:CB$87,Formula!D66,62))+Formula!G66*(INDEX(Properties!A$1:CB$87,Formula!F66,62))+Formula!I66*(INDEX(Properties!A$1:CB$87,Formula!H66,62))+Formula!K66*(INDEX(Properties!A$1:CB$87,Formula!J66,62))</f>
        <v>17.450000000000003</v>
      </c>
      <c r="GH66" s="51">
        <f>VARP(IF(INDEX(Properties!A$1:CB$87,Formula!B66,62)&lt;&gt;"",INDEX(Properties!A$1:CB$87,Formula!B66,62)),IF(INDEX(Properties!A$1:CB$87,Formula!D66,62)&lt;&gt;"",INDEX(Properties!A$1:CB$87,Formula!D66,62)),IF(INDEX(Properties!A$1:CB$87,Formula!F66,62)&lt;&gt;"",INDEX(Properties!A$1:CB$87,Formula!F66,62)),IF(INDEX(Properties!A$1:CB$87,Formula!H66,62)&lt;&gt;"",INDEX(Properties!A$1:CB$87,Formula!H66,62)),IF(INDEX(Properties!A$1:CB$87,Formula!J66,62)&lt;&gt;"",INDEX(Properties!A$1:CB$87,Formula!J66,62)))</f>
        <v>1.4778640000000001</v>
      </c>
      <c r="GI66" s="51">
        <f>MAX(INDEX(Properties!A$1:CB$87,Formula!B66,62),INDEX(Properties!A$1:CB$87,Formula!D66,62),INDEX(Properties!A$1:CB$87,Formula!F66,62),INDEX(Properties!A$1:CB$87,Formula!H66,62),INDEX(Properties!A$1:CB$87,Formula!J66,62))</f>
        <v>2.81</v>
      </c>
      <c r="GJ66" s="51">
        <f>MIN(IF(INDEX(Properties!A$1:CB$87,Formula!B66,62)=0,10^6,INDEX(Properties!A$1:CB$87,Formula!B66,62)),IF(INDEX(Properties!A$1:CB$87,Formula!D66,62)=0,10^6,INDEX(Properties!A$1:CB$87,Formula!D66,62)),IF(INDEX(Properties!A$1:CB$87,Formula!F66,62)=0,10^6,INDEX(Properties!A$1:CB$87,Formula!F66,62)),IF(INDEX(Properties!A$1:CB$87,Formula!H66,62)=0,10^6,INDEX(Properties!A$1:CB$87,Formula!H66,62)),IF(INDEX(Properties!A$1:CB$87,Formula!J66,62)=0,10^6,INDEX(Properties!A$1:CB$87,Formula!J66,62)))</f>
        <v>1.35</v>
      </c>
      <c r="GK66" s="51">
        <f t="shared" si="31"/>
        <v>1.46</v>
      </c>
      <c r="GL66" s="51">
        <f>Formula!P66</f>
        <v>227</v>
      </c>
      <c r="GM66" s="57">
        <f>Formula!O66</f>
        <v>7</v>
      </c>
      <c r="GN66" s="51">
        <f>Formula!N66</f>
        <v>0.02</v>
      </c>
    </row>
    <row r="67" spans="1:196" x14ac:dyDescent="0.3">
      <c r="A67" s="84" t="str">
        <f>Formula!A67</f>
        <v>Ba2YMoO6</v>
      </c>
      <c r="B67" s="89">
        <f>((Formula!C67)/(Formula!C67+Formula!E67+Formula!G67+Formula!I67+Formula!K67))*(INDEX(Properties!A$1:CB$87,Formula!B67,3))+((Formula!E67)/(Formula!C67+Formula!E67+Formula!G67+Formula!I67+Formula!K67))*(INDEX(Properties!A$1:CB$87,Formula!D67,3))+((Formula!G67)/(Formula!C67+Formula!E67+Formula!G67+Formula!I67+Formula!K67))*(INDEX(Properties!A$1:CB$87,Formula!F67,3))+((Formula!I67)/(Formula!C67+Formula!E67+Formula!G67+Formula!I67+Formula!K67))*(INDEX(Properties!A$1:CB$87,Formula!H67,3))+((Formula!K67)/(Formula!C67+Formula!E67+Formula!G67+Formula!I67+Formula!K67))*(INDEX(Properties!A$1:CB$87,Formula!J67,3))</f>
        <v>55.550624000000006</v>
      </c>
      <c r="C67" s="85">
        <f>Formula!C67*(INDEX(Properties!A$1:CB$87,Formula!B67,3))+Formula!E67*(INDEX(Properties!A$1:CB$87,Formula!D67,3))+Formula!G67*(INDEX(Properties!A$1:CB$87,Formula!F67,3))+Formula!I67*(INDEX(Properties!A$1:CB$87,Formula!H67,3))+Formula!K67*(INDEX(Properties!A$1:CB$87,Formula!J67,3))</f>
        <v>555.50623999999993</v>
      </c>
      <c r="D67" s="85">
        <f>VARP(IF(INDEX(Properties!A$1:CB$87,Formula!B67,3)&lt;&gt;"",INDEX(Properties!A$1:CB$87,Formula!B67,3)),IF(INDEX(Properties!A$1:CB$87,Formula!D67,3)&lt;&gt;"",INDEX(Properties!A$1:CB$87,Formula!D67,3)),IF(INDEX(Properties!A$1:CB$87,Formula!F67,3)&lt;&gt;"",INDEX(Properties!A$1:CB$87,Formula!F67,3)),IF(INDEX(Properties!A$1:CB$87,Formula!H67,3)&lt;&gt;"",INDEX(Properties!A$1:CB$87,Formula!H67,3)),IF(INDEX(Properties!A$1:CB$87,Formula!J67,3)&lt;&gt;"",INDEX(Properties!A$1:CB$87,Formula!J67,3)))</f>
        <v>2670.3782250364152</v>
      </c>
      <c r="E67" s="85">
        <f>MAX(INDEX(Properties!A$1:CB$87,Formula!B67,3),INDEX(Properties!A$1:CB$87,Formula!D67,3),INDEX(Properties!A$1:CB$87,Formula!F67,3),INDEX(Properties!A$1:CB$87,Formula!H67,3),INDEX(Properties!A$1:CB$87,Formula!J67,3))</f>
        <v>137.327</v>
      </c>
      <c r="F67" s="85">
        <f>MIN(IF(INDEX(Properties!A$1:CB$87,Formula!B67,3)=0,10^6,INDEX(Properties!A$1:CB$87,Formula!B67,3)),IF(INDEX(Properties!A$1:CB$87,Formula!D67,3)=0,10^6,INDEX(Properties!A$1:CB$87,Formula!D67,3)),IF(INDEX(Properties!A$1:CB$87,Formula!F67,3)=0,10^6,INDEX(Properties!A$1:CB$87,Formula!F67,3)),IF(INDEX(Properties!A$1:CB$87,Formula!H67,3)=0,10^6,INDEX(Properties!A$1:CB$87,Formula!H67,3)),IF(INDEX(Properties!A$1:CB$87,Formula!J67,3)=0,10^6,INDEX(Properties!A$1:CB$87,Formula!J67,3)))</f>
        <v>15.9994</v>
      </c>
      <c r="G67" s="85">
        <f t="shared" ref="G67:G121" si="32">ABS(E67-F67)</f>
        <v>121.3276</v>
      </c>
      <c r="H67" s="87">
        <f>((Formula!C67)/(Formula!C67+Formula!E67+Formula!G67+Formula!I67+Formula!K67))*(INDEX(Properties!A$1:CB$87,Formula!B67,4))+((Formula!E67)/(Formula!C67+Formula!E67+Formula!G67+Formula!I67+Formula!K67))*(INDEX(Properties!A$1:CB$87,Formula!D67,4))+((Formula!G67)/(Formula!C67+Formula!E67+Formula!G67+Formula!I67+Formula!K67))*(INDEX(Properties!A$1:CB$87,Formula!F67,4))+((Formula!I67)/(Formula!C67+Formula!E67+Formula!G67+Formula!I67+Formula!K67))*(INDEX(Properties!A$1:CB$87,Formula!H67,4))+((Formula!K67)/(Formula!C67+Formula!E67+Formula!G67+Formula!I67+Formula!K67))*(INDEX(Properties!A$1:CB$87,Formula!J67,4))</f>
        <v>24.1</v>
      </c>
      <c r="I67" s="87">
        <f>Formula!C67*(INDEX(Properties!A$1:CB$87,Formula!B67,4))+Formula!E67*(INDEX(Properties!A$1:CB$87,Formula!D67,4))+Formula!G67*(INDEX(Properties!A$1:CB$87,Formula!F67,4))+Formula!I67*(INDEX(Properties!A$1:CB$87,Formula!H67,4))+Formula!K67*(INDEX(Properties!A$1:CB$87,Formula!J67,4))</f>
        <v>241</v>
      </c>
      <c r="J67" s="87">
        <f>VARP(IF(INDEX(Properties!A$1:CB$87,Formula!B67,4)&lt;&gt;"",INDEX(Properties!A$1:CB$87,Formula!B67,4)),IF(INDEX(Properties!A$1:CB$87,Formula!D67,4)&lt;&gt;"",INDEX(Properties!A$1:CB$87,Formula!D67,4)),IF(INDEX(Properties!A$1:CB$87,Formula!F67,4)&lt;&gt;"",INDEX(Properties!A$1:CB$87,Formula!F67,4)),IF(INDEX(Properties!A$1:CB$87,Formula!H67,4)&lt;&gt;"",INDEX(Properties!A$1:CB$87,Formula!H67,4)),IF(INDEX(Properties!A$1:CB$87,Formula!J67,4)&lt;&gt;"",INDEX(Properties!A$1:CB$87,Formula!J67,4)))</f>
        <v>456</v>
      </c>
      <c r="K67" s="87">
        <f>MAX(INDEX(Properties!A$1:CB$87,Formula!B67,4),INDEX(Properties!A$1:CB$87,Formula!D67,4),INDEX(Properties!A$1:CB$87,Formula!F67,4),INDEX(Properties!A$1:CB$87,Formula!H67,4),INDEX(Properties!A$1:CB$87,Formula!J67,4))</f>
        <v>56</v>
      </c>
      <c r="L67" s="87">
        <f>MIN(IF(INDEX(Properties!A$1:CB$87,Formula!B67,4)=0,10^6,INDEX(Properties!A$1:CB$87,Formula!B67,4)),IF(INDEX(Properties!A$1:CB$87,Formula!D67,4)=0,10^6,INDEX(Properties!A$1:CB$87,Formula!D67,4)),IF(INDEX(Properties!A$1:CB$87,Formula!F67,4)=0,10^6,INDEX(Properties!A$1:CB$87,Formula!F67,4)),IF(INDEX(Properties!A$1:CB$87,Formula!H67,4)=0,10^6,INDEX(Properties!A$1:CB$87,Formula!H67,4)),IF(INDEX(Properties!A$1:CB$87,Formula!J67,4)=0,10^6,INDEX(Properties!A$1:CB$87,Formula!J67,4)))</f>
        <v>8</v>
      </c>
      <c r="M67" s="87">
        <f t="shared" ref="M67:M121" si="33">ABS(K67-L67)</f>
        <v>48</v>
      </c>
      <c r="N67" s="89">
        <f>((Formula!C67)/(Formula!C67+Formula!E67+Formula!G67+Formula!I67+Formula!K67))*(INDEX(Properties!A$1:CB$87,Formula!B67,5))+((Formula!E67)/(Formula!C67+Formula!E67+Formula!G67+Formula!I67+Formula!K67))*(INDEX(Properties!A$1:CB$87,Formula!D67,5))+((Formula!G67)/(Formula!C67+Formula!E67+Formula!G67+Formula!I67+Formula!K67))*(INDEX(Properties!A$1:CB$87,Formula!F67,5))+((Formula!I67)/(Formula!C67+Formula!E67+Formula!G67+Formula!I67+Formula!K67))*(INDEX(Properties!A$1:CB$87,Formula!H67,5))+((Formula!K67)/(Formula!C67+Formula!E67+Formula!G67+Formula!I67+Formula!K67))*(INDEX(Properties!A$1:CB$87,Formula!J67,5))</f>
        <v>3.4000000000000004</v>
      </c>
      <c r="O67" s="89">
        <f>Formula!C67*(INDEX(Properties!A$1:CB$87,Formula!B67,5))+Formula!E67*(INDEX(Properties!A$1:CB$87,Formula!D67,5))+Formula!G67*(INDEX(Properties!A$1:CB$87,Formula!F67,5))+Formula!I67*(INDEX(Properties!A$1:CB$87,Formula!H67,5))+Formula!K67*(INDEX(Properties!A$1:CB$87,Formula!J67,5))</f>
        <v>34</v>
      </c>
      <c r="P67" s="89">
        <f>VARP(IF(INDEX(Properties!A$1:CB$87,Formula!B67,5)&lt;&gt;"",INDEX(Properties!A$1:CB$87,Formula!B67,5)),IF(INDEX(Properties!A$1:CB$87,Formula!D67,5)&lt;&gt;"",INDEX(Properties!A$1:CB$87,Formula!D67,5)),IF(INDEX(Properties!A$1:CB$87,Formula!F67,5)&lt;&gt;"",INDEX(Properties!A$1:CB$87,Formula!F67,5)),IF(INDEX(Properties!A$1:CB$87,Formula!H67,5)&lt;&gt;"",INDEX(Properties!A$1:CB$87,Formula!H67,5)),IF(INDEX(Properties!A$1:CB$87,Formula!J67,5)&lt;&gt;"",INDEX(Properties!A$1:CB$87,Formula!J67,5)))</f>
        <v>5.04</v>
      </c>
      <c r="Q67" s="89">
        <f>MAX(INDEX(Properties!A$1:CB$87,Formula!B67,5),INDEX(Properties!A$1:CB$87,Formula!D67,5),INDEX(Properties!A$1:CB$87,Formula!F67,5),INDEX(Properties!A$1:CB$87,Formula!H67,5),INDEX(Properties!A$1:CB$87,Formula!J67,5))</f>
        <v>6</v>
      </c>
      <c r="R67" s="89">
        <f>MIN(IF(INDEX(Properties!A$1:CB$87,Formula!B67,5)=0,10^6,INDEX(Properties!A$1:CB$87,Formula!B67,5)),IF(INDEX(Properties!A$1:CB$87,Formula!D67,5)=0,10^6,INDEX(Properties!A$1:CB$87,Formula!D67,5)),IF(INDEX(Properties!A$1:CB$87,Formula!F67,5)=0,10^6,INDEX(Properties!A$1:CB$87,Formula!F67,5)),IF(INDEX(Properties!A$1:CB$87,Formula!H67,5)=0,10^6,INDEX(Properties!A$1:CB$87,Formula!H67,5)),IF(INDEX(Properties!A$1:CB$87,Formula!J67,5)=0,10^6,INDEX(Properties!A$1:CB$87,Formula!J67,5)))</f>
        <v>2</v>
      </c>
      <c r="S67" s="89">
        <f t="shared" ref="S67:S121" si="34">ABS(Q67-R67)</f>
        <v>4</v>
      </c>
      <c r="T67" s="60">
        <f>((Formula!C67)/(Formula!C67+Formula!E67+Formula!G67+Formula!I67+Formula!K67))*(INDEX(Properties!A$1:CB$87,Formula!B67,6))+((Formula!E67)/(Formula!C67+Formula!E67+Formula!G67+Formula!I67+Formula!K67))*(INDEX(Properties!A$1:CB$87,Formula!D67,6))+((Formula!G67)/(Formula!C67+Formula!E67+Formula!G67+Formula!I67+Formula!K67))*(INDEX(Properties!A$1:CB$87,Formula!F67,6))+((Formula!I67)/(Formula!C67+Formula!E67+Formula!G67+Formula!I67+Formula!K67))*(INDEX(Properties!A$1:CB$87,Formula!H67,6))+((Formula!K67)/(Formula!C67+Formula!E67+Formula!G67+Formula!I67+Formula!K67))*(INDEX(Properties!A$1:CB$87,Formula!J67,6))</f>
        <v>10.9</v>
      </c>
      <c r="U67" s="60">
        <f>Formula!C67*(INDEX(Properties!A$1:CB$87,Formula!B67,6))+Formula!E67*(INDEX(Properties!A$1:CB$87,Formula!D67,6))+Formula!G67*(INDEX(Properties!A$1:CB$87,Formula!F67,6))+Formula!I67*(INDEX(Properties!A$1:CB$87,Formula!H67,6))+Formula!K67*(INDEX(Properties!A$1:CB$87,Formula!J67,6))</f>
        <v>109</v>
      </c>
      <c r="V67" s="89">
        <f>VARP(IF(INDEX(Properties!A$1:CB$87,Formula!B67,6)&lt;&gt;"",INDEX(Properties!A$1:CB$87,Formula!B67,6)),IF(INDEX(Properties!A$1:CB$87,Formula!D67,6)&lt;&gt;"",INDEX(Properties!A$1:CB$87,Formula!D67,6)),IF(INDEX(Properties!A$1:CB$87,Formula!F67,6)&lt;&gt;"",INDEX(Properties!A$1:CB$87,Formula!F67,6)),IF(INDEX(Properties!A$1:CB$87,Formula!H67,6)&lt;&gt;"",INDEX(Properties!A$1:CB$87,Formula!H67,6)),IF(INDEX(Properties!A$1:CB$87,Formula!J67,6)&lt;&gt;"",INDEX(Properties!A$1:CB$87,Formula!J67,6)))</f>
        <v>31.84</v>
      </c>
      <c r="W67" s="60">
        <f>MAX(INDEX(Properties!A$1:CB$87,Formula!B67,6),INDEX(Properties!A$1:CB$87,Formula!D67,6),INDEX(Properties!A$1:CB$87,Formula!F67,6),INDEX(Properties!A$1:CB$87,Formula!H67,4),INDEX(Properties!A$1:CB$87,Formula!J67,6))</f>
        <v>8</v>
      </c>
      <c r="X67" s="60">
        <f>MIN(IF(INDEX(Properties!A$1:CB$87,Formula!B67,6)=0,10^6,INDEX(Properties!A$1:CB$87,Formula!B67,6)),IF(INDEX(Properties!A$1:CB$87,Formula!D67,6)=0,10^6,INDEX(Properties!A$1:CB$87,Formula!D67,6)),IF(INDEX(Properties!A$1:CB$87,Formula!F67,6)=0,10^6,INDEX(Properties!A$1:CB$87,Formula!F67,6)),IF(INDEX(Properties!A$1:CB$87,Formula!H67,6)=0,10^6,INDEX(Properties!A$1:CB$87,Formula!H67,6)),IF(INDEX(Properties!A$1:CB$87,Formula!J67,6)=0,10^6,INDEX(Properties!A$1:CB$87,Formula!J67,6)))</f>
        <v>2</v>
      </c>
      <c r="Y67" s="60">
        <f t="shared" ref="Y67:Y121" si="35">ABS(W67-X67)</f>
        <v>6</v>
      </c>
      <c r="Z67" s="72">
        <f>((Formula!C67)/(Formula!C67+Formula!E67+Formula!G67+Formula!I67+Formula!K67))*(INDEX(Properties!A$1:CB$87,Formula!B67,9))+((Formula!E67)/(Formula!C67+Formula!E67+Formula!G67+Formula!I67+Formula!K67))*(INDEX(Properties!A$1:CB$87,Formula!D67,9))+((Formula!G67)/(Formula!C67+Formula!E67+Formula!G67+Formula!I67+Formula!K67))*(INDEX(Properties!A$1:CB$87,Formula!F67,9))+((Formula!I67)/(Formula!C67+Formula!E67+Formula!G67+Formula!I67+Formula!K67))*(INDEX(Properties!A$1:CB$87,Formula!H67,9))+((Formula!K67)/(Formula!C67+Formula!E67+Formula!G67+Formula!I67+Formula!K67))*(INDEX(Properties!A$1:CB$87,Formula!J67,9))</f>
        <v>60.199999999999996</v>
      </c>
      <c r="AA67" s="72">
        <f>Formula!C67*(INDEX(Properties!A$1:CB$87,Formula!B67,9))+Formula!E67*(INDEX(Properties!A$1:CB$87,Formula!D67,9))+Formula!G67*(INDEX(Properties!A$1:CB$87,Formula!F67,9))+Formula!I67*(INDEX(Properties!A$1:CB$87,Formula!H67,9))+Formula!K67*(INDEX(Properties!A$1:CB$87,Formula!J67,9))</f>
        <v>602</v>
      </c>
      <c r="AB67" s="72">
        <f>VARP(IF(INDEX(Properties!A$1:CB$87,Formula!B67,9)&lt;&gt;"",INDEX(Properties!A$1:CB$87,Formula!B67,9)),IF(INDEX(Properties!A$1:CB$87,Formula!D67,9)&lt;&gt;"",INDEX(Properties!A$1:CB$87,Formula!D67,9)),IF(INDEX(Properties!A$1:CB$87,Formula!F67,9)&lt;&gt;"",INDEX(Properties!A$1:CB$87,Formula!F67,9)),IF(INDEX(Properties!A$1:CB$87,Formula!H67,9)&lt;&gt;"",INDEX(Properties!A$1:CB$87,Formula!H67,9)),IF(INDEX(Properties!A$1:CB$87,Formula!J67,9)&lt;&gt;"",INDEX(Properties!A$1:CB$87,Formula!J67,9)))</f>
        <v>1060.24</v>
      </c>
      <c r="AC67" s="72">
        <f>MAX(INDEX(Properties!A$1:CB$87,Formula!B67,9),INDEX(Properties!A$1:CB$87,Formula!D67,9),INDEX(Properties!A$1:CB$87,Formula!F67,9),INDEX(Properties!A$1:CB$87,Formula!H67,9),INDEX(Properties!A$1:CB$87,Formula!J67,9))</f>
        <v>87</v>
      </c>
      <c r="AD67" s="72">
        <f>MIN(IF(INDEX(Properties!A$1:CB$87,Formula!B67,9)=0,10^6,INDEX(Properties!A$1:CB$87,Formula!B67,9)),IF(INDEX(Properties!A$1:CB$87,Formula!D67,9)=0,10^6,INDEX(Properties!A$1:CB$87,Formula!D67,9)),IF(INDEX(Properties!A$1:CB$87,Formula!F67,9)=0,10^6,INDEX(Properties!A$1:CB$87,Formula!F67,9)),IF(INDEX(Properties!A$1:CB$87,Formula!H67,9)=0,10^6,INDEX(Properties!A$1:CB$87,Formula!H67,9)),IF(INDEX(Properties!A$1:CB$87,Formula!J67,9)=0,10^6,INDEX(Properties!A$1:CB$87,Formula!J67,9)))</f>
        <v>9</v>
      </c>
      <c r="AE67" s="72">
        <f t="shared" ref="AE67:AE121" si="36">ABS(AC67-AD67)</f>
        <v>78</v>
      </c>
      <c r="AF67" s="51">
        <f>((Formula!C67)/(Formula!C67+Formula!E67+Formula!G67+Formula!I67+Formula!K67))*(INDEX(Properties!A$1:CB$87,Formula!B67,10))+((Formula!E67)/(Formula!C67+Formula!E67+Formula!G67+Formula!I67+Formula!K67))*(INDEX(Properties!A$1:CB$87,Formula!D67,10))+((Formula!G67)/(Formula!C67+Formula!E67+Formula!G67+Formula!I67+Formula!K67))*(INDEX(Properties!A$1:CB$87,Formula!F67,10))+((Formula!I67)/(Formula!C67+Formula!E67+Formula!G67+Formula!I67+Formula!K67))*(INDEX(Properties!A$1:CB$87,Formula!H67,10))+((Formula!K67)/(Formula!C67+Formula!E67+Formula!G67+Formula!I67+Formula!K67))*(INDEX(Properties!A$1:CB$87,Formula!J67,10))</f>
        <v>5.3000000000000007</v>
      </c>
      <c r="AG67" s="51">
        <f>Formula!C67*(INDEX(Properties!A$1:CB$87,Formula!B67,10))+Formula!E67*(INDEX(Properties!A$1:CB$87,Formula!D67,10))+Formula!G67*(INDEX(Properties!A$1:CB$87,Formula!F67,10))+Formula!I67*(INDEX(Properties!A$1:CB$87,Formula!H67,10))+Formula!K67*(INDEX(Properties!A$1:CB$87,Formula!J67,10))</f>
        <v>53</v>
      </c>
      <c r="AH67" s="51">
        <f>VARP(IF(INDEX(Properties!A$1:CB$87,Formula!B67,10)&lt;&gt;"",INDEX(Properties!A$1:CB$87,Formula!B67,10)),IF(INDEX(Properties!A$1:CB$87,Formula!D67,10)&lt;&gt;"",INDEX(Properties!A$1:CB$87,Formula!D67,10)),IF(INDEX(Properties!A$1:CB$87,Formula!F67,10)&lt;&gt;"",INDEX(Properties!A$1:CB$87,Formula!F67,10)),IF(INDEX(Properties!A$1:CB$87,Formula!H67,10)&lt;&gt;"",INDEX(Properties!A$1:CB$87,Formula!H67,10)),IF(INDEX(Properties!A$1:CB$87,Formula!J67,10)&lt;&gt;"",INDEX(Properties!A$1:CB$87,Formula!J67,10)))</f>
        <v>5.36</v>
      </c>
      <c r="AI67" s="51">
        <f>MAX(INDEX(Properties!A$1:CB$87,Formula!B67,10),INDEX(Properties!A$1:CB$87,Formula!D67,10),INDEX(Properties!A$1:CB$87,Formula!F67,10),INDEX(Properties!A$1:CB$87,Formula!H67,10),INDEX(Properties!A$1:CB$87,Formula!J67,10))</f>
        <v>7</v>
      </c>
      <c r="AJ67" s="51">
        <f>MIN(IF(INDEX(Properties!A$1:CB$87,Formula!B67,10)=0,10^6,INDEX(Properties!A$1:CB$87,Formula!B67,10)),IF(INDEX(Properties!A$1:CB$87,Formula!D67,10)=0,10^6,INDEX(Properties!A$1:CB$87,Formula!D67,10)),IF(INDEX(Properties!A$1:CB$87,Formula!F67,10)=0,10^6,INDEX(Properties!A$1:CB$87,Formula!F67,10)),IF(INDEX(Properties!A$1:CB$87,Formula!H67,10)=0,10^6,INDEX(Properties!A$1:CB$87,Formula!H67,10)),IF(INDEX(Properties!A$1:CB$87,Formula!J67,10)=0,10^6,INDEX(Properties!A$1:CB$87,Formula!J67,10)))</f>
        <v>2</v>
      </c>
      <c r="AK67" s="51">
        <f t="shared" ref="AK67:AK121" si="37">ABS(AI67-AJ67)</f>
        <v>5</v>
      </c>
      <c r="AL67" s="57">
        <f>((Formula!C67)/(Formula!C67+Formula!E67+Formula!G67+Formula!I67+Formula!K67))*(INDEX(Properties!A$1:CB$87,Formula!B67,11))+((Formula!E67)/(Formula!C67+Formula!E67+Formula!G67+Formula!I67+Formula!K67))*(INDEX(Properties!A$1:CB$87,Formula!D67,11))+((Formula!G67)/(Formula!C67+Formula!E67+Formula!G67+Formula!I67+Formula!K67))*(INDEX(Properties!A$1:CB$87,Formula!F67,11))+((Formula!I67)/(Formula!C67+Formula!E67+Formula!G67+Formula!I67+Formula!K67))*(INDEX(Properties!A$1:CB$87,Formula!H67,11))+((Formula!K67)/(Formula!C67+Formula!E67+Formula!G67+Formula!I67+Formula!K67))*(INDEX(Properties!A$1:CB$87,Formula!J67,11))</f>
        <v>1.9</v>
      </c>
      <c r="AM67" s="57">
        <f>Formula!C67*(INDEX(Properties!A$1:CB$87,Formula!B67,11))+Formula!E67*(INDEX(Properties!A$1:CB$87,Formula!D67,11))+Formula!G67*(INDEX(Properties!A$1:CB$87,Formula!F67,11))+Formula!I67*(INDEX(Properties!A$1:CB$87,Formula!H67,11))+Formula!K67*(INDEX(Properties!A$1:CB$87,Formula!J67,11))</f>
        <v>19</v>
      </c>
      <c r="AN67" s="57">
        <f>VARP(IF(INDEX(Properties!A$1:CB$87,Formula!B67,11)&lt;&gt;"",INDEX(Properties!A$1:CB$87,Formula!B67,11)),IF(INDEX(Properties!A$1:CB$87,Formula!D67,11)&lt;&gt;"",INDEX(Properties!A$1:CB$87,Formula!D67,11)),IF(INDEX(Properties!A$1:CB$87,Formula!F67,11)&lt;&gt;"",INDEX(Properties!A$1:CB$87,Formula!F67,11)),IF(INDEX(Properties!A$1:CB$87,Formula!H67,11)&lt;&gt;"",INDEX(Properties!A$1:CB$87,Formula!H67,11)),IF(INDEX(Properties!A$1:CB$87,Formula!J67,11)&lt;&gt;"",INDEX(Properties!A$1:CB$87,Formula!J67,11)))</f>
        <v>0.64</v>
      </c>
      <c r="AO67" s="57">
        <f>MAX(INDEX(Properties!A$1:CB$87,Formula!B67,11),INDEX(Properties!A$1:CB$87,Formula!D67,11),INDEX(Properties!A$1:CB$87,Formula!F67,11),INDEX(Properties!A$1:CB$87,Formula!H67,11),INDEX(Properties!A$1:CB$87,Formula!J67,11))</f>
        <v>2</v>
      </c>
      <c r="AP67" s="57">
        <f>MIN(IF(Formula!B67=87,10^6,INDEX(Properties!A$1:CB$87,Formula!B67,11)),IF((Formula!D67)=87,10^6,INDEX(Properties!A$1:CB$87,Formula!D67,11)),IF((Formula!F67)=87,10^6,INDEX(Properties!A$1:CB$87,Formula!F67,11)),IF((Formula!H67)=87,10^6,INDEX(Properties!A$1:CB$87,Formula!H67,11)),IF(Formula!J67=87,10^6,INDEX(Properties!A$1:CB$87,Formula!J67,11)))</f>
        <v>1</v>
      </c>
      <c r="AQ67" s="57">
        <f t="shared" ref="AQ67:AQ121" si="38">ABS(AO67-AP67)</f>
        <v>1</v>
      </c>
      <c r="AR67" s="78">
        <f>((Formula!C67)/(Formula!C67+Formula!E67+Formula!G67+Formula!I67+Formula!K67))*(INDEX(Properties!A$1:CB$87,Formula!B67,12))+((Formula!E67)/(Formula!C67+Formula!E67+Formula!G67+Formula!I67+Formula!K67))*(INDEX(Properties!A$1:CB$87,Formula!D67,12))+((Formula!G67)/(Formula!C67+Formula!E67+Formula!G67+Formula!I67+Formula!K67))*(INDEX(Properties!A$1:CB$87,Formula!F67,12))+((Formula!I67)/(Formula!C67+Formula!E67+Formula!G67+Formula!I67+Formula!K67))*(INDEX(Properties!A$1:CB$87,Formula!H67,12))+((Formula!K67)/(Formula!C67+Formula!E67+Formula!G67+Formula!I67+Formula!K67))*(INDEX(Properties!A$1:CB$87,Formula!J67,12))</f>
        <v>2.4</v>
      </c>
      <c r="AS67" s="78">
        <f>Formula!C67*(INDEX(Properties!A$1:CB$87,Formula!B67,12))+Formula!E67*(INDEX(Properties!A$1:CB$87,Formula!D67,12))+Formula!G67*(INDEX(Properties!A$1:CB$87,Formula!F67,12))+Formula!I67*(INDEX(Properties!A$1:CB$87,Formula!H67,12))+Formula!K67*(INDEX(Properties!A$1:CB$87,Formula!J67,12))</f>
        <v>24</v>
      </c>
      <c r="AT67" s="78">
        <f>VARP(IF(INDEX(Properties!A$1:CB$87,Formula!B67,12)&lt;&gt;"",INDEX(Properties!A$1:CB$87,Formula!B67,12)),IF(INDEX(Properties!A$1:CB$87,Formula!D67,12)&lt;&gt;"",INDEX(Properties!A$1:CB$87,Formula!D67,12)),IF(INDEX(Properties!A$1:CB$87,Formula!F67,12)&lt;&gt;"",INDEX(Properties!A$1:CB$87,Formula!F67,12)),IF(INDEX(Properties!A$1:CB$87,Formula!H67,12)&lt;&gt;"",INDEX(Properties!A$1:CB$87,Formula!H67,12)),IF(INDEX(Properties!A$1:CB$87,Formula!J67,12)&lt;&gt;"",INDEX(Properties!A$1:CB$87,Formula!J67,12)))</f>
        <v>2.56</v>
      </c>
      <c r="AU67" s="78">
        <f>MAX(INDEX(Properties!A$1:CB$87,Formula!B67,12),INDEX(Properties!A$1:CB$87,Formula!D67,12),INDEX(Properties!A$1:CB$87,Formula!F67,12),INDEX(Properties!A$1:CB$87,Formula!H67,12),INDEX(Properties!A$1:CB$87,Formula!J67,12))</f>
        <v>4</v>
      </c>
      <c r="AV67" s="78">
        <f>MIN(IF(Formula!B67=87,10^6,INDEX(Properties!A$1:CB$87,Formula!B67,12)),IF((Formula!D67)=87,10^6,INDEX(Properties!A$1:CB$87,Formula!D67,12)),IF((Formula!F67)=87,10^6,INDEX(Properties!A$1:CB$87,Formula!F67,12)),IF((Formula!H67)=87,10^6,INDEX(Properties!A$1:CB$87,Formula!H67,12)),IF(Formula!J67=87,10^6,INDEX(Properties!A$1:CB$87,Formula!J67,12)))</f>
        <v>0</v>
      </c>
      <c r="AW67" s="78">
        <f t="shared" ref="AW67:AW121" si="39">ABS(AU67-AV67)</f>
        <v>4</v>
      </c>
      <c r="AX67" s="45">
        <f>((Formula!C67)/(Formula!C67+Formula!E67+Formula!G67+Formula!I67+Formula!K67))*(INDEX(Properties!A$1:CB$87,Formula!B67,13))+((Formula!E67)/(Formula!C67+Formula!E67+Formula!G67+Formula!I67+Formula!K67))*(INDEX(Properties!A$1:CB$87,Formula!D67,13))+((Formula!G67)/(Formula!C67+Formula!E67+Formula!G67+Formula!I67+Formula!K67))*(INDEX(Properties!A$1:CB$87,Formula!F67,13))+((Formula!I67)/(Formula!C67+Formula!E67+Formula!G67+Formula!I67+Formula!K67))*(INDEX(Properties!A$1:CB$87,Formula!H67,13))+((Formula!K67)/(Formula!C67+Formula!E67+Formula!G67+Formula!I67+Formula!K67))*(INDEX(Properties!A$1:CB$87,Formula!J67,13))</f>
        <v>0.6</v>
      </c>
      <c r="AY67" s="45">
        <f>Formula!C67*(INDEX(Properties!A$1:CB$87,Formula!B67,13))+Formula!E67*(INDEX(Properties!A$1:CB$87,Formula!D67,13))+Formula!G67*(INDEX(Properties!A$1:CB$87,Formula!F67,13))+Formula!I67*(INDEX(Properties!A$1:CB$87,Formula!H67,13))+Formula!K67*(INDEX(Properties!A$1:CB$87,Formula!J67,13))</f>
        <v>6</v>
      </c>
      <c r="AZ67" s="45">
        <f>VARP(IF(INDEX(Properties!A$1:CB$87,Formula!B67,13)&lt;&gt;"",INDEX(Properties!A$1:CB$87,Formula!B67,13)),IF(INDEX(Properties!A$1:CB$87,Formula!D67,13)&lt;&gt;"",INDEX(Properties!A$1:CB$87,Formula!D67,13)),IF(INDEX(Properties!A$1:CB$87,Formula!F67,13)&lt;&gt;"",INDEX(Properties!A$1:CB$87,Formula!F67,13)),IF(INDEX(Properties!A$1:CB$87,Formula!H67,13)&lt;&gt;"",INDEX(Properties!A$1:CB$87,Formula!H67,13)),IF(INDEX(Properties!A$1:CB$87,Formula!J67,13)&lt;&gt;"",INDEX(Properties!A$1:CB$87,Formula!J67,13)))</f>
        <v>3.76</v>
      </c>
      <c r="BA67" s="45">
        <f>MAX(INDEX(Properties!A$1:CB$87,Formula!B67,13),INDEX(Properties!A$1:CB$87,Formula!D67,13),INDEX(Properties!A$1:CB$87,Formula!F67,13),INDEX(Properties!A$1:CB$87,Formula!H67,13),INDEX(Properties!A$1:CB$87,Formula!J67,13))</f>
        <v>5</v>
      </c>
      <c r="BB67" s="45">
        <f>MIN(IF(Formula!B67=87,10^6,INDEX(Properties!A$1:CB$87,Formula!B67,13)),IF((Formula!D67)=87,10^6,INDEX(Properties!A$1:CB$87,Formula!D67,13)),IF((Formula!F67)=87,10^6,INDEX(Properties!A$1:CB$87,Formula!F67,13)),IF((Formula!H67)=87,10^6,INDEX(Properties!A$1:CB$87,Formula!H67,13)),IF(Formula!J67=87,10^6,INDEX(Properties!A$1:CB$87,Formula!J67,13)))</f>
        <v>0</v>
      </c>
      <c r="BC67" s="45">
        <f t="shared" ref="BC67:BC121" si="40">ABS(BA67-BB67)</f>
        <v>5</v>
      </c>
      <c r="BD67" s="63">
        <f>((Formula!C67)/(Formula!C67+Formula!E67+Formula!G67+Formula!I67+Formula!K67))*(INDEX(Properties!A$1:CB$87,Formula!B67,14))+((Formula!E67)/(Formula!C67+Formula!E67+Formula!G67+Formula!I67+Formula!K67))*(INDEX(Properties!A$1:CB$87,Formula!D67,14))+((Formula!G67)/(Formula!C67+Formula!E67+Formula!G67+Formula!I67+Formula!K67))*(INDEX(Properties!A$1:CB$87,Formula!F67,14))+((Formula!I67)/(Formula!C67+Formula!E67+Formula!G67+Formula!I67+Formula!K67))*(INDEX(Properties!A$1:CB$87,Formula!H67,14))+((Formula!K67)/(Formula!C67+Formula!E67+Formula!G67+Formula!I67+Formula!K67))*(INDEX(Properties!A$1:CB$87,Formula!J67,14))</f>
        <v>0</v>
      </c>
      <c r="BE67" s="63">
        <f>Formula!C67*(INDEX(Properties!A$1:CB$87,Formula!B67,14))+Formula!E67*(INDEX(Properties!A$1:CB$87,Formula!D67,14))+Formula!G67*(INDEX(Properties!A$1:CB$87,Formula!F67,14))+Formula!I67*(INDEX(Properties!A$1:CB$87,Formula!H67,14))+Formula!K67*(INDEX(Properties!A$1:CB$87,Formula!J67,14))</f>
        <v>0</v>
      </c>
      <c r="BF67" s="63">
        <f>VARP(IF(INDEX(Properties!A$1:CB$87,Formula!B67,14)&lt;&gt;"",INDEX(Properties!A$1:CB$87,Formula!B67,14)),IF(INDEX(Properties!A$1:CB$87,Formula!D67,14)&lt;&gt;"",INDEX(Properties!A$1:CB$87,Formula!D67,14)),IF(INDEX(Properties!A$1:CB$87,Formula!F67,14)&lt;&gt;"",INDEX(Properties!A$1:CB$87,Formula!F67,14)),IF(INDEX(Properties!A$1:CB$87,Formula!H67,14)&lt;&gt;"",INDEX(Properties!A$1:CB$87,Formula!H67,14)),IF(INDEX(Properties!A$1:CB$87,Formula!J67,14)&lt;&gt;"",INDEX(Properties!A$1:CB$87,Formula!J67,14)))</f>
        <v>0</v>
      </c>
      <c r="BG67" s="63">
        <f>MAX(INDEX(Properties!A$1:CB$87,Formula!B67,14),INDEX(Properties!A$1:CB$87,Formula!D67,14),INDEX(Properties!A$1:CB$87,Formula!F67,14),INDEX(Properties!A$1:CB$87,Formula!H67,14),INDEX(Properties!A$1:CB$87,Formula!J67,14))</f>
        <v>0</v>
      </c>
      <c r="BH67" s="63">
        <f>MIN(IF(Formula!B67=87,10^6,INDEX(Properties!A$1:CB$87,Formula!B67,14)),IF((Formula!D67)=87,10^6,INDEX(Properties!A$1:CB$87,Formula!D67,14)),IF((Formula!F67)=87,10^6,INDEX(Properties!A$1:CB$87,Formula!F67,14)),IF((Formula!H67)=87,10^6,INDEX(Properties!A$1:CB$87,Formula!H67,14)),IF(Formula!J67=87,10^6,INDEX(Properties!A$1:CB$87,Formula!J67,14)))</f>
        <v>0</v>
      </c>
      <c r="BI67" s="63">
        <f t="shared" ref="BI67:BI121" si="41">ABS(BG67-BH67)</f>
        <v>0</v>
      </c>
      <c r="BJ67" s="75">
        <f>((Formula!C67)/(Formula!C67+Formula!E67+Formula!G67+Formula!I67+Formula!K67))*(INDEX(Properties!A$1:CB$87,Formula!B67,19))+((Formula!E67)/(Formula!C67+Formula!E67+Formula!G67+Formula!I67+Formula!K67))*(INDEX(Properties!A$1:CB$87,Formula!D67,19))+((Formula!G67)/(Formula!C67+Formula!E67+Formula!G67+Formula!I67+Formula!K67))*(INDEX(Properties!A$1:CB$87,Formula!F67,19))+((Formula!I67)/(Formula!C67+Formula!E67+Formula!G67+Formula!I67+Formula!K67))*(INDEX(Properties!A$1:CB$87,Formula!H67,19))+((Formula!K67)/(Formula!C67+Formula!E67+Formula!G67+Formula!I67+Formula!K67))*(INDEX(Properties!A$1:CB$87,Formula!J67,19))</f>
        <v>4.9000000000000004</v>
      </c>
      <c r="BK67" s="75">
        <f>Formula!C67*(INDEX(Properties!A$1:CB$87,Formula!B67,19))+Formula!E67*(INDEX(Properties!A$1:CB$87,Formula!D67,19))+Formula!G67*(INDEX(Properties!A$1:CB$87,Formula!F67,19))+Formula!I67*(INDEX(Properties!A$1:CB$87,Formula!H67,19))+Formula!K67*(INDEX(Properties!A$1:CB$87,Formula!J67,19))</f>
        <v>49</v>
      </c>
      <c r="BL67" s="75">
        <f>VARP(IF(INDEX(Properties!A$1:CB$87,Formula!B67,19)&lt;&gt;"",INDEX(Properties!A$1:CB$87,Formula!B67,19)),IF(INDEX(Properties!A$1:CB$87,Formula!D67,19)&lt;&gt;"",INDEX(Properties!A$1:CB$87,Formula!D67,19)),IF(INDEX(Properties!A$1:CB$87,Formula!F67,19)&lt;&gt;"",INDEX(Properties!A$1:CB$87,Formula!F67,19)),IF(INDEX(Properties!A$1:CB$87,Formula!H67,19)&lt;&gt;"",INDEX(Properties!A$1:CB$87,Formula!H67,19)),IF(INDEX(Properties!A$1:CB$87,Formula!J67,19)&lt;&gt;"",INDEX(Properties!A$1:CB$87,Formula!J67,19)))</f>
        <v>5.44</v>
      </c>
      <c r="BM67" s="75">
        <f>MAX(INDEX(Properties!A$1:CB$87,Formula!B67,19),INDEX(Properties!A$1:CB$87,Formula!D67,19),INDEX(Properties!A$1:CB$87,Formula!F67,19),INDEX(Properties!A$1:CB$87,Formula!H67,19),INDEX(Properties!A$1:CB$87,Formula!J67,19))</f>
        <v>6</v>
      </c>
      <c r="BN67" s="75">
        <f>MIN(IF(INDEX(Properties!A$1:CB$87,Formula!B67,19)=0,10^6,INDEX(Properties!A$1:CB$87,Formula!B67,19)),IF(INDEX(Properties!A$1:CB$87,Formula!D67,19)=0,10^6,INDEX(Properties!A$1:CB$87,Formula!D67,19)),IF(INDEX(Properties!A$1:CB$87,Formula!F67,19)=0,10^6,INDEX(Properties!A$1:CB$87,Formula!F67,19)),IF(INDEX(Properties!A$1:CB$87,Formula!H67,19)=0,10^6,INDEX(Properties!A$1:CB$87,Formula!H67,19)),IF(INDEX(Properties!A$1:CB$87,Formula!J67,19)=0,10^6,INDEX(Properties!A$1:CB$87,Formula!J67,19)))</f>
        <v>2</v>
      </c>
      <c r="BO67" s="75">
        <f t="shared" ref="BO67:BO121" si="42">ABS(BM67-BN67)</f>
        <v>4</v>
      </c>
      <c r="BP67" s="48">
        <f>((Formula!C67)/(Formula!C67+Formula!E67+Formula!G67+Formula!I67+Formula!K67))*(INDEX(Properties!A$1:CB$87,Formula!B67,20))+((Formula!E67)/(Formula!C67+Formula!E67+Formula!G67+Formula!I67+Formula!K67))*(INDEX(Properties!A$1:CB$87,Formula!D67,20))+((Formula!G67)/(Formula!C67+Formula!E67+Formula!G67+Formula!I67+Formula!K67))*(INDEX(Properties!A$1:CB$87,Formula!F67,20))+((Formula!I67)/(Formula!C67+Formula!E67+Formula!G67+Formula!I67+Formula!K67))*(INDEX(Properties!A$1:CB$87,Formula!H67,20))+((Formula!K67)/(Formula!C67+Formula!E67+Formula!G67+Formula!I67+Formula!K67))*(INDEX(Properties!A$1:CB$87,Formula!J67,20))</f>
        <v>4.3</v>
      </c>
      <c r="BQ67" s="48">
        <f>Formula!C67*(INDEX(Properties!A$1:CB$87,Formula!B67,20))+Formula!E67*(INDEX(Properties!A$1:CB$87,Formula!D67,20))+Formula!G67*(INDEX(Properties!A$1:CB$87,Formula!F67,20))+Formula!I67*(INDEX(Properties!A$1:CB$87,Formula!H67,20))+Formula!K67*(INDEX(Properties!A$1:CB$87,Formula!J67,20))</f>
        <v>43</v>
      </c>
      <c r="BR67" s="48">
        <f>VARP(IF(INDEX(Properties!A$1:CB$87,Formula!B67,20)&lt;&gt;"",INDEX(Properties!A$1:CB$87,Formula!B67,20)),IF(INDEX(Properties!A$1:CB$87,Formula!D67,20)&lt;&gt;"",INDEX(Properties!A$1:CB$87,Formula!D67,20)),IF(INDEX(Properties!A$1:CB$87,Formula!F67,20)&lt;&gt;"",INDEX(Properties!A$1:CB$87,Formula!F67,20)),IF(INDEX(Properties!A$1:CB$87,Formula!H67,20)&lt;&gt;"",INDEX(Properties!A$1:CB$87,Formula!H67,20)),IF(INDEX(Properties!A$1:CB$87,Formula!J67,20)&lt;&gt;"",INDEX(Properties!A$1:CB$87,Formula!J67,20)))</f>
        <v>4.16</v>
      </c>
      <c r="BS67" s="48">
        <f>MAX(INDEX(Properties!A$1:CB$87,Formula!B67,20),INDEX(Properties!A$1:CB$87,Formula!D67,20),INDEX(Properties!A$1:CB$87,Formula!F67,20),INDEX(Properties!A$1:CB$87,Formula!H67,20),INDEX(Properties!A$1:CB$87,Formula!J67,20))</f>
        <v>6</v>
      </c>
      <c r="BT67" s="48">
        <f>MIN(IF(INDEX(Properties!A$1:CB$87,Formula!B67,20)=0,10^6,INDEX(Properties!A$1:CB$87,Formula!B67,20)),IF(INDEX(Properties!A$1:CB$87,Formula!D67,20)=0,10^6,INDEX(Properties!A$1:CB$87,Formula!D67,20)),IF(INDEX(Properties!A$1:CB$87,Formula!F67,20)=0,10^6,INDEX(Properties!A$1:CB$87,Formula!F67,20)),IF(INDEX(Properties!A$1:CB$87,Formula!H67,20)=0,10^6,INDEX(Properties!A$1:CB$87,Formula!H67,20)),IF(INDEX(Properties!A$1:CB$87,Formula!J67,20)=0,10^6,INDEX(Properties!A$1:CB$87,Formula!J67,20)))</f>
        <v>1</v>
      </c>
      <c r="BU67" s="48">
        <f t="shared" ref="BU67:BU121" si="43">ABS(BS67-BT67)</f>
        <v>5</v>
      </c>
      <c r="BV67" s="66">
        <f>((Formula!C67)/(Formula!C67+Formula!E67+Formula!G67+Formula!I67+Formula!K67))*(INDEX(Properties!A$1:CB$87,Formula!B67,21))+((Formula!E67)/(Formula!C67+Formula!E67+Formula!G67+Formula!I67+Formula!K67))*(INDEX(Properties!A$1:CB$87,Formula!D67,21))+((Formula!G67)/(Formula!C67+Formula!E67+Formula!G67+Formula!I67+Formula!K67))*(INDEX(Properties!A$1:CB$87,Formula!F67,21))+((Formula!I67)/(Formula!C67+Formula!E67+Formula!G67+Formula!I67+Formula!K67))*(INDEX(Properties!A$1:CB$87,Formula!H67,21))+((Formula!K67)/(Formula!C67+Formula!E67+Formula!G67+Formula!I67+Formula!K67))*(INDEX(Properties!A$1:CB$87,Formula!J67,21))</f>
        <v>4.5</v>
      </c>
      <c r="BW67" s="66">
        <f>Formula!C67*(INDEX(Properties!A$1:CB$87,Formula!B67,21))+Formula!E67*(INDEX(Properties!A$1:CB$87,Formula!D67,21))+Formula!G67*(INDEX(Properties!A$1:CB$87,Formula!F67,21))+Formula!I67*(INDEX(Properties!A$1:CB$87,Formula!H67,21))+Formula!K67*(INDEX(Properties!A$1:CB$87,Formula!J67,21))</f>
        <v>45</v>
      </c>
      <c r="BX67" s="66">
        <f>VARP(IF(INDEX(Properties!A$1:CB$87,Formula!B67,21)&lt;&gt;"",INDEX(Properties!A$1:CB$87,Formula!B67,21)),IF(INDEX(Properties!A$1:CB$87,Formula!D67,21)&lt;&gt;"",INDEX(Properties!A$1:CB$87,Formula!D67,21)),IF(INDEX(Properties!A$1:CB$87,Formula!F67,21)&lt;&gt;"",INDEX(Properties!A$1:CB$87,Formula!F67,21)),IF(INDEX(Properties!A$1:CB$87,Formula!H67,21)&lt;&gt;"",INDEX(Properties!A$1:CB$87,Formula!H67,21)),IF(INDEX(Properties!A$1:CB$87,Formula!J67,21)&lt;&gt;"",INDEX(Properties!A$1:CB$87,Formula!J67,21)))</f>
        <v>4.6399999999999997</v>
      </c>
      <c r="BY67" s="66">
        <f>MAX(INDEX(Properties!A$1:CB$87,Formula!B67,21),INDEX(Properties!A$1:CB$87,Formula!D67,21),INDEX(Properties!A$1:CB$87,Formula!F67,21),INDEX(Properties!A$1:CB$87,Formula!H67,21),INDEX(Properties!A$1:CB$87,Formula!J67,21))</f>
        <v>6</v>
      </c>
      <c r="BZ67" s="66">
        <f>MIN(IF(INDEX(Properties!A$1:CB$87,Formula!B67,21)=0,10^6,INDEX(Properties!A$1:CB$87,Formula!B67,21)),IF(INDEX(Properties!A$1:CB$87,Formula!D67,21)=0,10^6,INDEX(Properties!A$1:CB$87,Formula!D67,21)),IF(INDEX(Properties!A$1:CB$87,Formula!F67,21)=0,10^6,INDEX(Properties!A$1:CB$87,Formula!F67,21)),IF(INDEX(Properties!A$1:CB$87,Formula!H67,21)=0,10^6,INDEX(Properties!A$1:CB$87,Formula!H67,21)),IF(INDEX(Properties!A$1:CB$87,Formula!J67,21)=0,10^6,INDEX(Properties!A$1:CB$87,Formula!J67,21)))</f>
        <v>1</v>
      </c>
      <c r="CA67" s="66">
        <f t="shared" ref="CA67:CA121" si="44">ABS(BY67-BZ67)</f>
        <v>5</v>
      </c>
      <c r="CB67" s="81">
        <f>((Formula!C67)/(Formula!C67+Formula!E67+Formula!G67+Formula!I67+Formula!K67))*(INDEX(Properties!A$1:CB$87,Formula!B67,23))+((Formula!E67)/(Formula!C67+Formula!E67+Formula!G67+Formula!I67+Formula!K67))*(INDEX(Properties!A$1:CB$87,Formula!D67,23))+((Formula!G67)/(Formula!C67+Formula!E67+Formula!G67+Formula!I67+Formula!K67))*(INDEX(Properties!A$1:CB$87,Formula!F67,23))+((Formula!I67)/(Formula!C67+Formula!E67+Formula!G67+Formula!I67+Formula!K67))*(INDEX(Properties!A$1:CB$87,Formula!H67,23))+((Formula!K67)/(Formula!C67+Formula!E67+Formula!G67+Formula!I67+Formula!K67))*(INDEX(Properties!A$1:CB$87,Formula!J67,23))</f>
        <v>1.278</v>
      </c>
      <c r="CC67" s="81">
        <f>Formula!C67*(INDEX(Properties!A$1:CB$87,Formula!B67,23))+Formula!E67*(INDEX(Properties!A$1:CB$87,Formula!D67,23))+Formula!G67*(INDEX(Properties!A$1:CB$87,Formula!F67,23))+Formula!I67*(INDEX(Properties!A$1:CB$87,Formula!H67,23))+Formula!K67*(INDEX(Properties!A$1:CB$87,Formula!J67,23))</f>
        <v>12.780000000000001</v>
      </c>
      <c r="CD67" s="81">
        <f>VARP(IF(INDEX(Properties!A$1:CB$87,Formula!B67,23)&lt;&gt;"",INDEX(Properties!A$1:CB$87,Formula!B67,23)),IF(INDEX(Properties!A$1:CB$87,Formula!D67,23)&lt;&gt;"",INDEX(Properties!A$1:CB$87,Formula!D67,23)),IF(INDEX(Properties!A$1:CB$87,Formula!F67,23)&lt;&gt;"",INDEX(Properties!A$1:CB$87,Formula!F67,23)),IF(INDEX(Properties!A$1:CB$87,Formula!H67,23)&lt;&gt;"",INDEX(Properties!A$1:CB$87,Formula!H67,23)),IF(INDEX(Properties!A$1:CB$87,Formula!J67,23)&lt;&gt;"",INDEX(Properties!A$1:CB$87,Formula!J67,23)))</f>
        <v>4.6333439999999992</v>
      </c>
      <c r="CE67" s="81">
        <f>MAX(INDEX(Properties!A$1:CB$87,Formula!B67,23),INDEX(Properties!A$1:CB$87,Formula!D67,23),INDEX(Properties!A$1:CB$87,Formula!F67,23),INDEX(Properties!A$1:CB$87,Formula!H67,23),INDEX(Properties!A$1:CB$87,Formula!J67,23))</f>
        <v>5.78</v>
      </c>
      <c r="CF67" s="81">
        <f>MIN(IF(Formula!B67=87,10^6,INDEX(Properties!A$1:CB$87,Formula!B67,23)),IF((Formula!D67)=87,10^6,INDEX(Properties!A$1:CB$87,Formula!D67,23)),IF((Formula!F67)=87,10^6,INDEX(Properties!A$1:CB$87,Formula!F67,23)),IF((Formula!H67)=87,10^6,INDEX(Properties!A$1:CB$87,Formula!H67,23)),IF(Formula!J67=87,10^6,INDEX(Properties!A$1:CB$87,Formula!J67,23)))</f>
        <v>0</v>
      </c>
      <c r="CG67" s="81">
        <f t="shared" ref="CG67:CG121" si="45">ABS(CE67-CF67)</f>
        <v>5.78</v>
      </c>
      <c r="CH67" s="39">
        <f>((Formula!C67)/(Formula!C67+Formula!E67+Formula!G67+Formula!I67+Formula!K67))*(INDEX(Properties!A$1:CB$87,Formula!B67,26))+((Formula!E67)/(Formula!C67+Formula!E67+Formula!G67+Formula!I67+Formula!K67))*(INDEX(Properties!A$1:CB$87,Formula!D67,26))+((Formula!G67)/(Formula!C67+Formula!E67+Formula!G67+Formula!I67+Formula!K67))*(INDEX(Properties!A$1:CB$87,Formula!F67,26))+((Formula!I67)/(Formula!C67+Formula!E67+Formula!G67+Formula!I67+Formula!K67))*(INDEX(Properties!A$1:CB$87,Formula!H67,26))+((Formula!K67)/(Formula!C67+Formula!E67+Formula!G67+Formula!I67+Formula!K67))*(INDEX(Properties!A$1:CB$87,Formula!J67,26))</f>
        <v>10.544169999999999</v>
      </c>
      <c r="CI67" s="39">
        <f>Formula!C67*(INDEX(Properties!A$1:CB$87,Formula!B67,26))+Formula!E67*(INDEX(Properties!A$1:CB$87,Formula!D67,26))+Formula!G67*(INDEX(Properties!A$1:CB$87,Formula!F67,26))+Formula!I67*(INDEX(Properties!A$1:CB$87,Formula!H67,26))+Formula!K67*(INDEX(Properties!A$1:CB$87,Formula!J67,26))</f>
        <v>105.4417</v>
      </c>
      <c r="CJ67" s="39">
        <f>VARP(IF(INDEX(Properties!A$1:CB$87,Formula!B67,26)&lt;&gt;"",INDEX(Properties!A$1:CB$87,Formula!B67,26)),IF(INDEX(Properties!A$1:CB$87,Formula!D67,26)&lt;&gt;"",INDEX(Properties!A$1:CB$87,Formula!D67,26)),IF(INDEX(Properties!A$1:CB$87,Formula!F67,26)&lt;&gt;"",INDEX(Properties!A$1:CB$87,Formula!F67,26)),IF(INDEX(Properties!A$1:CB$87,Formula!H67,26)&lt;&gt;"",INDEX(Properties!A$1:CB$87,Formula!H67,26)),IF(INDEX(Properties!A$1:CB$87,Formula!J67,26)&lt;&gt;"",INDEX(Properties!A$1:CB$87,Formula!J67,26)))</f>
        <v>18.996385900000003</v>
      </c>
      <c r="CK67" s="39">
        <f>MAX(INDEX(Properties!A$1:CB$87,Formula!B67,26),INDEX(Properties!A$1:CB$87,Formula!D67,26),INDEX(Properties!A$1:CB$87,Formula!F67,26),INDEX(Properties!A$1:CB$87,Formula!H67,26),INDEX(Properties!A$1:CB$87,Formula!J67,26))</f>
        <v>13.6181</v>
      </c>
      <c r="CL67" s="39">
        <f>MIN(IF(INDEX(Properties!A$1:CB$87,Formula!B67,26)=0,10^6,INDEX(Properties!A$1:CB$87,Formula!B67,26)),IF(INDEX(Properties!A$1:CB$87,Formula!D67,26)=0,10^6,INDEX(Properties!A$1:CB$87,Formula!D67,26)),IF(INDEX(Properties!A$1:CB$87,Formula!F67,26)=0,10^6,INDEX(Properties!A$1:CB$87,Formula!F67,26)),IF(INDEX(Properties!A$1:CB$87,Formula!H67,26)=0,10^6,INDEX(Properties!A$1:CB$87,Formula!H67,26)),IF(INDEX(Properties!A$1:CB$87,Formula!J67,26)=0,10^6,INDEX(Properties!A$1:CB$87,Formula!J67,26)))</f>
        <v>5.2117000000000004</v>
      </c>
      <c r="CM67" s="39">
        <f t="shared" ref="CM67:CM121" si="46">ABS(CK67-CL67)</f>
        <v>8.4063999999999997</v>
      </c>
      <c r="CN67" s="54">
        <f>((Formula!C67)/(Formula!C67+Formula!E67+Formula!G67+Formula!I67+Formula!K67))*(INDEX(Properties!A$1:CB$87,Formula!B67,30))+((Formula!E67)/(Formula!C67+Formula!E67+Formula!G67+Formula!I67+Formula!K67))*(INDEX(Properties!A$1:CB$87,Formula!D67,30))+((Formula!G67)/(Formula!C67+Formula!E67+Formula!G67+Formula!I67+Formula!K67))*(INDEX(Properties!A$1:CB$87,Formula!F67,30))+((Formula!I67)/(Formula!C67+Formula!E67+Formula!G67+Formula!I67+Formula!K67))*(INDEX(Properties!A$1:CB$87,Formula!H67,30))+((Formula!K67)/(Formula!C67+Formula!E67+Formula!G67+Formula!I67+Formula!K67))*(INDEX(Properties!A$1:CB$87,Formula!J67,30))</f>
        <v>2.58</v>
      </c>
      <c r="CO67" s="54">
        <f>Formula!C67*(INDEX(Properties!A$1:CB$87,Formula!B67,30))+Formula!E67*(INDEX(Properties!A$1:CB$87,Formula!D67,30))+Formula!G67*(INDEX(Properties!A$1:CB$87,Formula!F67,30))+Formula!I67*(INDEX(Properties!A$1:CB$87,Formula!H67,30))+Formula!K67*(INDEX(Properties!A$1:CB$87,Formula!J67,30))</f>
        <v>25.8</v>
      </c>
      <c r="CP67" s="54">
        <f>VARP(IF(INDEX(Properties!A$1:CB$87,Formula!B67,30)&lt;&gt;"",INDEX(Properties!A$1:CB$87,Formula!B67,30)),IF(INDEX(Properties!A$1:CB$87,Formula!D67,30)&lt;&gt;"",INDEX(Properties!A$1:CB$87,Formula!D67,30)),IF(INDEX(Properties!A$1:CB$87,Formula!F67,30)&lt;&gt;"",INDEX(Properties!A$1:CB$87,Formula!F67,30)),IF(INDEX(Properties!A$1:CB$87,Formula!H67,30)&lt;&gt;"",INDEX(Properties!A$1:CB$87,Formula!H67,30)),IF(INDEX(Properties!A$1:CB$87,Formula!J67,30)&lt;&gt;"",INDEX(Properties!A$1:CB$87,Formula!J67,30)))</f>
        <v>1.3781760000000001</v>
      </c>
      <c r="CQ67" s="54">
        <f>MAX(INDEX(Properties!A$1:CB$87,Formula!B67,30),INDEX(Properties!A$1:CB$87,Formula!D67,30),INDEX(Properties!A$1:CB$87,Formula!F67,30),INDEX(Properties!A$1:CB$87,Formula!H67,30),INDEX(Properties!A$1:CB$87,Formula!J67,30))</f>
        <v>3.44</v>
      </c>
      <c r="CR67" s="54">
        <f>MIN(IF(INDEX(Properties!A$1:CB$87,Formula!B67,30)=0,10^6,INDEX(Properties!A$1:CB$87,Formula!B67,30)),IF(INDEX(Properties!A$1:CB$87,Formula!D67,30)=0,10^6,INDEX(Properties!A$1:CB$87,Formula!D67,30)),IF(INDEX(Properties!A$1:CB$87,Formula!F67,30)=0,10^6,INDEX(Properties!A$1:CB$87,Formula!F67,30)),IF(INDEX(Properties!A$1:CB$87,Formula!H67,30)=0,10^6,INDEX(Properties!A$1:CB$87,Formula!H67,30)),IF(INDEX(Properties!A$1:CB$87,Formula!J67,30)=0,10^6,INDEX(Properties!A$1:CB$87,Formula!J67,30)))</f>
        <v>0.89</v>
      </c>
      <c r="CS67" s="54">
        <f t="shared" ref="CS67:CS121" si="47">ABS(CQ67-CR67)</f>
        <v>2.5499999999999998</v>
      </c>
      <c r="CT67" s="69">
        <f>((Formula!C67)/(Formula!C67+Formula!E67+Formula!G67+Formula!I67+Formula!K67))*(INDEX(Properties!A$1:CB$87,Formula!B67,31))+((Formula!E67)/(Formula!C67+Formula!E67+Formula!G67+Formula!I67+Formula!K67))*(INDEX(Properties!A$1:CB$87,Formula!D67,31))+((Formula!G67)/(Formula!C67+Formula!E67+Formula!G67+Formula!I67+Formula!K67))*(INDEX(Properties!A$1:CB$87,Formula!F67,31))+((Formula!I67)/(Formula!C67+Formula!E67+Formula!G67+Formula!I67+Formula!K67))*(INDEX(Properties!A$1:CB$87,Formula!H67,31))+((Formula!K67)/(Formula!C67+Formula!E67+Formula!G67+Formula!I67+Formula!K67))*(INDEX(Properties!A$1:CB$87,Formula!J67,31))</f>
        <v>2.5429999999999997</v>
      </c>
      <c r="CU67" s="69">
        <f>Formula!C67*(INDEX(Properties!A$1:CB$87,Formula!B67,31))+Formula!E67*(INDEX(Properties!A$1:CB$87,Formula!D67,31))+Formula!G67*(INDEX(Properties!A$1:CB$87,Formula!F67,31))+Formula!I67*(INDEX(Properties!A$1:CB$87,Formula!H67,31))+Formula!K67*(INDEX(Properties!A$1:CB$87,Formula!J67,31))</f>
        <v>25.43</v>
      </c>
      <c r="CV67" s="69">
        <f>VARP(IF(INDEX(Properties!A$1:CB$87,Formula!B67,31)&lt;&gt;"",INDEX(Properties!A$1:CB$87,Formula!B67,31)),IF(INDEX(Properties!A$1:CB$87,Formula!D67,31)&lt;&gt;"",INDEX(Properties!A$1:CB$87,Formula!D67,31)),IF(INDEX(Properties!A$1:CB$87,Formula!F67,31)&lt;&gt;"",INDEX(Properties!A$1:CB$87,Formula!F67,31)),IF(INDEX(Properties!A$1:CB$87,Formula!H67,31)&lt;&gt;"",INDEX(Properties!A$1:CB$87,Formula!H67,31)),IF(INDEX(Properties!A$1:CB$87,Formula!J67,31)&lt;&gt;"",INDEX(Properties!A$1:CB$87,Formula!J67,31)))</f>
        <v>1.1856</v>
      </c>
      <c r="CW67" s="69">
        <f>MAX(INDEX(Properties!A$1:CB$87,Formula!B67,31),INDEX(Properties!A$1:CB$87,Formula!D67,31),INDEX(Properties!A$1:CB$87,Formula!F67,31),INDEX(Properties!A$1:CB$87,Formula!H67,31),INDEX(Properties!A$1:CB$87,Formula!J67,31))</f>
        <v>3.32</v>
      </c>
      <c r="CX67" s="69">
        <f>MIN(IF(INDEX(Properties!A$1:CB$87,Formula!B67,31)=0,10^6,INDEX(Properties!A$1:CB$87,Formula!B67,31)),IF(INDEX(Properties!A$1:CB$87,Formula!D67,31)=0,10^6,INDEX(Properties!A$1:CB$87,Formula!D67,31)),IF(INDEX(Properties!A$1:CB$87,Formula!F67,31)=0,10^6,INDEX(Properties!A$1:CB$87,Formula!F67,31)),IF(INDEX(Properties!A$1:CB$87,Formula!H67,31)=0,10^6,INDEX(Properties!A$1:CB$87,Formula!H67,31)),IF(INDEX(Properties!A$1:CB$87,Formula!J67,31)=0,10^6,INDEX(Properties!A$1:CB$87,Formula!J67,31)))</f>
        <v>1.08</v>
      </c>
      <c r="CY67" s="69">
        <f t="shared" ref="CY67:CY121" si="48">ABS(CW67-CX67)</f>
        <v>2.2399999999999998</v>
      </c>
      <c r="CZ67" s="42">
        <f>((Formula!C67)/(Formula!C67+Formula!E67+Formula!G67+Formula!I67+Formula!K67))*(INDEX(Properties!A$1:CB$87,Formula!B67,32))+((Formula!E67)/(Formula!C67+Formula!E67+Formula!G67+Formula!I67+Formula!K67))*(INDEX(Properties!A$1:CB$87,Formula!D67,32))+((Formula!G67)/(Formula!C67+Formula!E67+Formula!G67+Formula!I67+Formula!K67))*(INDEX(Properties!A$1:CB$87,Formula!F67,32))+((Formula!I67)/(Formula!C67+Formula!E67+Formula!G67+Formula!I67+Formula!K67))*(INDEX(Properties!A$1:CB$87,Formula!H67,32))+((Formula!K67)/(Formula!C67+Formula!E67+Formula!G67+Formula!I67+Formula!K67))*(INDEX(Properties!A$1:CB$87,Formula!J67,32))</f>
        <v>5.7130000000000001</v>
      </c>
      <c r="DA67" s="42">
        <f>Formula!C67*(INDEX(Properties!A$1:CB$87,Formula!B67,32))+Formula!E67*(INDEX(Properties!A$1:CB$87,Formula!D67,32))+Formula!G67*(INDEX(Properties!A$1:CB$87,Formula!F67,32))+Formula!I67*(INDEX(Properties!A$1:CB$87,Formula!H67,32))+Formula!K67*(INDEX(Properties!A$1:CB$87,Formula!J67,32))</f>
        <v>57.13</v>
      </c>
      <c r="DB67" s="42">
        <f>VARP(IF(INDEX(Properties!A$1:CB$87,Formula!B67,32)&lt;&gt;"",INDEX(Properties!A$1:CB$87,Formula!B67,32)),IF(INDEX(Properties!A$1:CB$87,Formula!D67,32)&lt;&gt;"",INDEX(Properties!A$1:CB$87,Formula!D67,32)),IF(INDEX(Properties!A$1:CB$87,Formula!F67,32)&lt;&gt;"",INDEX(Properties!A$1:CB$87,Formula!F67,32)),IF(INDEX(Properties!A$1:CB$87,Formula!H67,32)&lt;&gt;"",INDEX(Properties!A$1:CB$87,Formula!H67,32)),IF(INDEX(Properties!A$1:CB$87,Formula!J67,32)&lt;&gt;"",INDEX(Properties!A$1:CB$87,Formula!J67,32)))</f>
        <v>5.9987039999999983</v>
      </c>
      <c r="DC67" s="42">
        <f>MAX(INDEX(Properties!A$1:CB$87,Formula!B67,32),INDEX(Properties!A$1:CB$87,Formula!D67,32),INDEX(Properties!A$1:CB$87,Formula!F67,32),INDEX(Properties!A$1:CB$87,Formula!H67,32),INDEX(Properties!A$1:CB$87,Formula!J67,32))</f>
        <v>7.54</v>
      </c>
      <c r="DD67" s="42">
        <f>MIN(IF(INDEX(Properties!A$1:CB$87,Formula!B67,32)=0,10^6,INDEX(Properties!A$1:CB$87,Formula!B67,32)),IF(INDEX(Properties!A$1:CB$87,Formula!D67,32)=0,10^6,INDEX(Properties!A$1:CB$87,Formula!D67,32)),IF(INDEX(Properties!A$1:CB$87,Formula!F67,32)=0,10^6,INDEX(Properties!A$1:CB$87,Formula!F67,32)),IF(INDEX(Properties!A$1:CB$87,Formula!H67,32)=0,10^6,INDEX(Properties!A$1:CB$87,Formula!H67,32)),IF(INDEX(Properties!A$1:CB$87,Formula!J67,32)=0,10^6,INDEX(Properties!A$1:CB$87,Formula!J67,32)))</f>
        <v>2.4</v>
      </c>
      <c r="DE67" s="42">
        <f t="shared" ref="DE67:DE121" si="49">ABS(DC67-DD67)</f>
        <v>5.1400000000000006</v>
      </c>
      <c r="DF67" s="60">
        <f>((Formula!C67)/(Formula!C67+Formula!E67+Formula!G67+Formula!I67+Formula!K67))*(INDEX(Properties!A$1:CB$87,Formula!B67,34))+((Formula!E67)/(Formula!C67+Formula!E67+Formula!G67+Formula!I67+Formula!K67))*(INDEX(Properties!A$1:CB$87,Formula!D67,34))+((Formula!G67)/(Formula!C67+Formula!E67+Formula!G67+Formula!I67+Formula!K67))*(INDEX(Properties!A$1:CB$87,Formula!F67,34))+((Formula!I67)/(Formula!C67+Formula!E67+Formula!G67+Formula!I67+Formula!K67))*(INDEX(Properties!A$1:CB$87,Formula!H67,34))+((Formula!K67)/(Formula!C67+Formula!E67+Formula!G67+Formula!I67+Formula!K67))*(INDEX(Properties!A$1:CB$87,Formula!J67,34))</f>
        <v>2.6012</v>
      </c>
      <c r="DG67" s="60">
        <f>Formula!C67*(INDEX(Properties!A$1:CB$87,Formula!B67,34))+Formula!E67*(INDEX(Properties!A$1:CB$87,Formula!D67,34))+Formula!G67*(INDEX(Properties!A$1:CB$87,Formula!F67,34))+Formula!I67*(INDEX(Properties!A$1:CB$87,Formula!H67,34))+Formula!K67*(INDEX(Properties!A$1:CB$87,Formula!J67,34))</f>
        <v>26.012</v>
      </c>
      <c r="DH67" s="60">
        <f>VARP(IF(INDEX(Properties!A$1:CB$87,Formula!B67,34)&lt;&gt;"",INDEX(Properties!A$1:CB$87,Formula!B67,34)),IF(INDEX(Properties!A$1:CB$87,Formula!D67,34)&lt;&gt;"",INDEX(Properties!A$1:CB$87,Formula!D67,34)),IF(INDEX(Properties!A$1:CB$87,Formula!F67,34)&lt;&gt;"",INDEX(Properties!A$1:CB$87,Formula!F67,34)),IF(INDEX(Properties!A$1:CB$87,Formula!H67,34)&lt;&gt;"",INDEX(Properties!A$1:CB$87,Formula!H67,34)),IF(INDEX(Properties!A$1:CB$87,Formula!J67,34)&lt;&gt;"",INDEX(Properties!A$1:CB$87,Formula!J67,34)))</f>
        <v>1.4390897600000006</v>
      </c>
      <c r="DI67" s="60">
        <f>MAX(INDEX(Properties!A$1:CB$87,Formula!B67,34),INDEX(Properties!A$1:CB$87,Formula!D67,34),INDEX(Properties!A$1:CB$87,Formula!F67,34),INDEX(Properties!A$1:CB$87,Formula!H67,34),INDEX(Properties!A$1:CB$87,Formula!J67,34))</f>
        <v>3.61</v>
      </c>
      <c r="DJ67" s="60">
        <f>MIN(IF(INDEX(Properties!A$1:CB$87,Formula!B67,34)=0,10^6,INDEX(Properties!A$1:CB$87,Formula!B67,34)),IF(INDEX(Properties!A$1:CB$87,Formula!D67,34)=0,10^6,INDEX(Properties!A$1:CB$87,Formula!D67,34)),IF(INDEX(Properties!A$1:CB$87,Formula!F67,34)=0,10^6,INDEX(Properties!A$1:CB$87,Formula!F67,34)),IF(INDEX(Properties!A$1:CB$87,Formula!H67,34)=0,10^6,INDEX(Properties!A$1:CB$87,Formula!H67,34)),IF(INDEX(Properties!A$1:CB$87,Formula!J67,34)=0,10^6,INDEX(Properties!A$1:CB$87,Formula!J67,34)))</f>
        <v>0.88100000000000001</v>
      </c>
      <c r="DK67" s="60">
        <f t="shared" ref="DK67:DK121" si="50">ABS(DI67-DJ67)</f>
        <v>2.7290000000000001</v>
      </c>
      <c r="DL67" s="45">
        <f>((Formula!C67)/(Formula!C67+Formula!E67+Formula!G67+Formula!I67+Formula!K67))*(INDEX(Properties!A$1:CB$87,Formula!B67,39))+((Formula!E67)/(Formula!C67+Formula!E67+Formula!G67+Formula!I67+Formula!K67))*(INDEX(Properties!A$1:CB$87,Formula!D67,39))+((Formula!G67)/(Formula!C67+Formula!E67+Formula!G67+Formula!I67+Formula!K67))*(INDEX(Properties!A$1:CB$87,Formula!F67,39))+((Formula!I67)/(Formula!C67+Formula!E67+Formula!G67+Formula!I67+Formula!K67))*(INDEX(Properties!A$1:CB$87,Formula!H67,39))+((Formula!K67)/(Formula!C67+Formula!E67+Formula!G67+Formula!I67+Formula!K67))*(INDEX(Properties!A$1:CB$87,Formula!J67,39))</f>
        <v>1.196</v>
      </c>
      <c r="DM67" s="45">
        <f>Formula!C67*(INDEX(Properties!A$1:CB$87,Formula!B67,39))+Formula!E67*(INDEX(Properties!A$1:CB$87,Formula!D67,39))+Formula!G67*(INDEX(Properties!A$1:CB$87,Formula!F67,39))+Formula!I67*(INDEX(Properties!A$1:CB$87,Formula!H67,39))+Formula!K67*(INDEX(Properties!A$1:CB$87,Formula!J67,39))</f>
        <v>11.96</v>
      </c>
      <c r="DN67" s="45">
        <f>VARP(IF(INDEX(Properties!A$1:CB$87,Formula!B67,39)&lt;&gt;"",INDEX(Properties!A$1:CB$87,Formula!B67,39)),IF(INDEX(Properties!A$1:CB$87,Formula!D67,39)&lt;&gt;"",INDEX(Properties!A$1:CB$87,Formula!D67,39)),IF(INDEX(Properties!A$1:CB$87,Formula!F67,39)&lt;&gt;"",INDEX(Properties!A$1:CB$87,Formula!F67,39)),IF(INDEX(Properties!A$1:CB$87,Formula!H67,39)&lt;&gt;"",INDEX(Properties!A$1:CB$87,Formula!H67,39)),IF(INDEX(Properties!A$1:CB$87,Formula!J67,39)&lt;&gt;"",INDEX(Properties!A$1:CB$87,Formula!J67,39)))</f>
        <v>0.97030399999999872</v>
      </c>
      <c r="DO67" s="45">
        <f>MAX(INDEX(Properties!A$1:CB$87,Formula!B67,39),INDEX(Properties!A$1:CB$87,Formula!D67,39),INDEX(Properties!A$1:CB$87,Formula!F67,39),INDEX(Properties!A$1:CB$87,Formula!H67,39),INDEX(Properties!A$1:CB$87,Formula!J67,39))</f>
        <v>2.5299999999999998</v>
      </c>
      <c r="DP67" s="45">
        <f>MIN(IF(INDEX(Properties!A$1:CB$87,Formula!B67,39)=0,10^6,INDEX(Properties!A$1:CB$87,Formula!B67,39)),IF(INDEX(Properties!A$1:CB$87,Formula!D67,39)=0,10^6,INDEX(Properties!A$1:CB$87,Formula!D67,39)),IF(INDEX(Properties!A$1:CB$87,Formula!F67,39)=0,10^6,INDEX(Properties!A$1:CB$87,Formula!F67,39)),IF(INDEX(Properties!A$1:CB$87,Formula!H67,39)=0,10^6,INDEX(Properties!A$1:CB$87,Formula!H67,39)),IF(INDEX(Properties!A$1:CB$87,Formula!J67,39)=0,10^6,INDEX(Properties!A$1:CB$87,Formula!J67,39)))</f>
        <v>0.48</v>
      </c>
      <c r="DQ67" s="45">
        <f t="shared" ref="DQ67:DQ121" si="51">ABS(DO67-DP67)</f>
        <v>2.0499999999999998</v>
      </c>
      <c r="DR67" s="63">
        <f>((Formula!C67)/(Formula!C67+Formula!E67+Formula!G67+Formula!I67+Formula!K67))*(INDEX(Properties!A$1:CB$87,Formula!B67,40))+((Formula!E67)/(Formula!C67+Formula!E67+Formula!G67+Formula!I67+Formula!K67))*(INDEX(Properties!A$1:CB$87,Formula!D67,40))+((Formula!G67)/(Formula!C67+Formula!E67+Formula!G67+Formula!I67+Formula!K67))*(INDEX(Properties!A$1:CB$87,Formula!F67,40))+((Formula!I67)/(Formula!C67+Formula!E67+Formula!G67+Formula!I67+Formula!K67))*(INDEX(Properties!A$1:CB$87,Formula!H67,40))+((Formula!K67)/(Formula!C67+Formula!E67+Formula!G67+Formula!I67+Formula!K67))*(INDEX(Properties!A$1:CB$87,Formula!J67,40))</f>
        <v>1.141</v>
      </c>
      <c r="DS67" s="63">
        <f>Formula!C67*(INDEX(Properties!A$1:CB$87,Formula!B67,40))+Formula!E67*(INDEX(Properties!A$1:CB$87,Formula!D67,40))+Formula!G67*(INDEX(Properties!A$1:CB$87,Formula!F67,40))+Formula!I67*(INDEX(Properties!A$1:CB$87,Formula!H67,40))+Formula!K67*(INDEX(Properties!A$1:CB$87,Formula!J67,40))</f>
        <v>11.41</v>
      </c>
      <c r="DT67" s="63">
        <f>VARP(IF(INDEX(Properties!A$1:CB$87,Formula!B67,40)&lt;&gt;"",INDEX(Properties!A$1:CB$87,Formula!B67,40)),IF(INDEX(Properties!A$1:CB$87,Formula!D67,40)&lt;&gt;"",INDEX(Properties!A$1:CB$87,Formula!D67,40)),IF(INDEX(Properties!A$1:CB$87,Formula!F67,40)&lt;&gt;"",INDEX(Properties!A$1:CB$87,Formula!F67,40)),IF(INDEX(Properties!A$1:CB$87,Formula!H67,40)&lt;&gt;"",INDEX(Properties!A$1:CB$87,Formula!H67,40)),IF(INDEX(Properties!A$1:CB$87,Formula!J67,40)&lt;&gt;"",INDEX(Properties!A$1:CB$87,Formula!J67,40)))</f>
        <v>0.49970400000000043</v>
      </c>
      <c r="DU67" s="63">
        <f>MAX(INDEX(Properties!A$1:CB$87,Formula!B67,40),INDEX(Properties!A$1:CB$87,Formula!D67,40),INDEX(Properties!A$1:CB$87,Formula!F67,40),INDEX(Properties!A$1:CB$87,Formula!H67,40),INDEX(Properties!A$1:CB$87,Formula!J67,40))</f>
        <v>1.98</v>
      </c>
      <c r="DV67" s="63">
        <f>MIN(IF(INDEX(Properties!A$1:CB$87,Formula!B67,40)=0,10^6,INDEX(Properties!A$1:CB$87,Formula!B67,40)),IF(INDEX(Properties!A$1:CB$87,Formula!D67,40)=0,10^6,INDEX(Properties!A$1:CB$87,Formula!D67,40)),IF(INDEX(Properties!A$1:CB$87,Formula!F67,40)=0,10^6,INDEX(Properties!A$1:CB$87,Formula!F67,40)),IF(INDEX(Properties!A$1:CB$87,Formula!H67,40)=0,10^6,INDEX(Properties!A$1:CB$87,Formula!H67,40)),IF(INDEX(Properties!A$1:CB$87,Formula!J67,40)=0,10^6,INDEX(Properties!A$1:CB$87,Formula!J67,40)))</f>
        <v>0.73</v>
      </c>
      <c r="DW67" s="63">
        <f t="shared" ref="DW67:DW121" si="52">ABS(DU67-DV67)</f>
        <v>1.25</v>
      </c>
      <c r="DX67" s="75">
        <f>((Formula!C67)/(Formula!C67+Formula!E67+Formula!G67+Formula!I67+Formula!K67))*(INDEX(Properties!A$1:CB$87,Formula!B67,41))+((Formula!E67)/(Formula!C67+Formula!E67+Formula!G67+Formula!I67+Formula!K67))*(INDEX(Properties!A$1:CB$87,Formula!D67,41))+((Formula!G67)/(Formula!C67+Formula!E67+Formula!G67+Formula!I67+Formula!K67))*(INDEX(Properties!A$1:CB$87,Formula!F67,41))+((Formula!I67)/(Formula!C67+Formula!E67+Formula!G67+Formula!I67+Formula!K67))*(INDEX(Properties!A$1:CB$87,Formula!H67,41))+((Formula!K67)/(Formula!C67+Formula!E67+Formula!G67+Formula!I67+Formula!K67))*(INDEX(Properties!A$1:CB$87,Formula!J67,41))</f>
        <v>1.2410000000000001</v>
      </c>
      <c r="DY67" s="75">
        <f>Formula!C67*(INDEX(Properties!A$1:CB$87,Formula!B67,41))+Formula!E67*(INDEX(Properties!A$1:CB$87,Formula!D67,41))+Formula!G67*(INDEX(Properties!A$1:CB$87,Formula!F67,41))+Formula!I67*(INDEX(Properties!A$1:CB$87,Formula!H67,41))+Formula!K67*(INDEX(Properties!A$1:CB$87,Formula!J67,41))</f>
        <v>12.41</v>
      </c>
      <c r="DZ67" s="75">
        <f>VARP(IF(INDEX(Properties!A$1:CB$87,Formula!B67,41)&lt;&gt;"",INDEX(Properties!A$1:CB$87,Formula!B67,41)),IF(INDEX(Properties!A$1:CB$87,Formula!D67,41)&lt;&gt;"",INDEX(Properties!A$1:CB$87,Formula!D67,41)),IF(INDEX(Properties!A$1:CB$87,Formula!F67,41)&lt;&gt;"",INDEX(Properties!A$1:CB$87,Formula!F67,41)),IF(INDEX(Properties!A$1:CB$87,Formula!H67,41)&lt;&gt;"",INDEX(Properties!A$1:CB$87,Formula!H67,41)),IF(INDEX(Properties!A$1:CB$87,Formula!J67,41)&lt;&gt;"",INDEX(Properties!A$1:CB$87,Formula!J67,41)))</f>
        <v>0.26186400000000021</v>
      </c>
      <c r="EA67" s="75">
        <f>MAX(INDEX(Properties!A$1:CB$87,Formula!B67,41),INDEX(Properties!A$1:CB$87,Formula!D67,41),INDEX(Properties!A$1:CB$87,Formula!F67,41),INDEX(Properties!A$1:CB$87,Formula!H67,41),INDEX(Properties!A$1:CB$87,Formula!J67,41))</f>
        <v>1.49</v>
      </c>
      <c r="EB67" s="75">
        <f>MIN(IF(INDEX(Properties!A$1:CB$87,Formula!B67,41)=0,10^6,INDEX(Properties!A$1:CB$87,Formula!B67,41)),IF(INDEX(Properties!A$1:CB$87,Formula!D67,41)=0,10^6,INDEX(Properties!A$1:CB$87,Formula!D67,41)),IF(INDEX(Properties!A$1:CB$87,Formula!F67,41)=0,10^6,INDEX(Properties!A$1:CB$87,Formula!F67,41)),IF(INDEX(Properties!A$1:CB$87,Formula!H67,41)=0,10^6,INDEX(Properties!A$1:CB$87,Formula!H67,41)),IF(INDEX(Properties!A$1:CB$87,Formula!J67,41)=0,10^6,INDEX(Properties!A$1:CB$87,Formula!J67,41)))</f>
        <v>0.83</v>
      </c>
      <c r="EC67" s="75">
        <f t="shared" ref="EC67:EC121" si="53">ABS(EA67-EB67)</f>
        <v>0.66</v>
      </c>
      <c r="ED67" s="48">
        <f>((Formula!C67)/(Formula!C67+Formula!E67+Formula!G67+Formula!I67+Formula!K67))*(INDEX(Properties!A$1:CB$87,Formula!B67,45))+((Formula!E67)/(Formula!C67+Formula!E67+Formula!G67+Formula!I67+Formula!K67))*(INDEX(Properties!A$1:CB$87,Formula!D67,45))+((Formula!G67)/(Formula!C67+Formula!E67+Formula!G67+Formula!I67+Formula!K67))*(INDEX(Properties!A$1:CB$87,Formula!F67,45))+((Formula!I67)/(Formula!C67+Formula!E67+Formula!G67+Formula!I67+Formula!K67))*(INDEX(Properties!A$1:CB$87,Formula!H67,45))+((Formula!K67)/(Formula!C67+Formula!E67+Formula!G67+Formula!I67+Formula!K67))*(INDEX(Properties!A$1:CB$87,Formula!J67,45))</f>
        <v>1.528</v>
      </c>
      <c r="EE67" s="48">
        <f>Formula!C67*(INDEX(Properties!A$1:CB$87,Formula!B67,45))+Formula!E67*(INDEX(Properties!A$1:CB$87,Formula!D67,45))+Formula!G67*(INDEX(Properties!A$1:CB$87,Formula!F67,45))+Formula!I67*(INDEX(Properties!A$1:CB$87,Formula!H67,45))+Formula!K67*(INDEX(Properties!A$1:CB$87,Formula!J67,45))</f>
        <v>15.280000000000001</v>
      </c>
      <c r="EF67" s="48">
        <f>VARP(IF(INDEX(Properties!A$1:CB$87,Formula!B67,45)&lt;&gt;"",INDEX(Properties!A$1:CB$87,Formula!B67,45)),IF(INDEX(Properties!A$1:CB$87,Formula!D67,45)&lt;&gt;"",INDEX(Properties!A$1:CB$87,Formula!D67,45)),IF(INDEX(Properties!A$1:CB$87,Formula!F67,45)&lt;&gt;"",INDEX(Properties!A$1:CB$87,Formula!F67,45)),IF(INDEX(Properties!A$1:CB$87,Formula!H67,45)&lt;&gt;"",INDEX(Properties!A$1:CB$87,Formula!H67,45)),IF(INDEX(Properties!A$1:CB$87,Formula!J67,45)&lt;&gt;"",INDEX(Properties!A$1:CB$87,Formula!J67,45)))</f>
        <v>1.9317439999999988</v>
      </c>
      <c r="EG67" s="48">
        <f>MAX(INDEX(Properties!A$1:CB$87,Formula!B67,45),INDEX(Properties!A$1:CB$87,Formula!D67,45),INDEX(Properties!A$1:CB$87,Formula!F67,45),INDEX(Properties!A$1:CB$87,Formula!H67,45),INDEX(Properties!A$1:CB$87,Formula!J67,45))</f>
        <v>3.4</v>
      </c>
      <c r="EH67" s="48">
        <f>MIN(IF(INDEX(Properties!A$1:CB$87,Formula!B67,45)=0,10^6,INDEX(Properties!A$1:CB$87,Formula!B67,45)),IF(INDEX(Properties!A$1:CB$87,Formula!D67,45)=0,10^6,INDEX(Properties!A$1:CB$87,Formula!D67,45)),IF(INDEX(Properties!A$1:CB$87,Formula!F67,45)=0,10^6,INDEX(Properties!A$1:CB$87,Formula!F67,45)),IF(INDEX(Properties!A$1:CB$87,Formula!H67,45)=0,10^6,INDEX(Properties!A$1:CB$87,Formula!H67,45)),IF(INDEX(Properties!A$1:CB$87,Formula!J67,45)=0,10^6,INDEX(Properties!A$1:CB$87,Formula!J67,45)))</f>
        <v>0.47</v>
      </c>
      <c r="EI67" s="48">
        <f t="shared" ref="EI67:EI121" si="54">ABS(EG67-EH67)</f>
        <v>2.9299999999999997</v>
      </c>
      <c r="EJ67" s="66">
        <f>((Formula!C67)/(Formula!C67+Formula!E67+Formula!G67+Formula!I67+Formula!K67))*(INDEX(Properties!A$1:CB$87,Formula!B67,46))+((Formula!E67)/(Formula!C67+Formula!E67+Formula!G67+Formula!I67+Formula!K67))*(INDEX(Properties!A$1:CB$87,Formula!D67,46))+((Formula!G67)/(Formula!C67+Formula!E67+Formula!G67+Formula!I67+Formula!K67))*(INDEX(Properties!A$1:CB$87,Formula!F67,46))+((Formula!I67)/(Formula!C67+Formula!E67+Formula!G67+Formula!I67+Formula!K67))*(INDEX(Properties!A$1:CB$87,Formula!H67,46))+((Formula!K67)/(Formula!C67+Formula!E67+Formula!G67+Formula!I67+Formula!K67))*(INDEX(Properties!A$1:CB$87,Formula!J67,46))</f>
        <v>1.2070000000000001</v>
      </c>
      <c r="EK67" s="66">
        <f>Formula!C67*(INDEX(Properties!A$1:CB$87,Formula!B67,46))+Formula!E67*(INDEX(Properties!A$1:CB$87,Formula!D67,46))+Formula!G67*(INDEX(Properties!A$1:CB$87,Formula!F67,46))+Formula!I67*(INDEX(Properties!A$1:CB$87,Formula!H67,46))+Formula!K67*(INDEX(Properties!A$1:CB$87,Formula!J67,46))</f>
        <v>12.07</v>
      </c>
      <c r="EL67" s="66">
        <f>VARP(IF(INDEX(Properties!A$1:CB$87,Formula!B67,46)&lt;&gt;"",INDEX(Properties!A$1:CB$87,Formula!B67,46)),IF(INDEX(Properties!A$1:CB$87,Formula!D67,46)&lt;&gt;"",INDEX(Properties!A$1:CB$87,Formula!D67,46)),IF(INDEX(Properties!A$1:CB$87,Formula!F67,46)&lt;&gt;"",INDEX(Properties!A$1:CB$87,Formula!F67,46)),IF(INDEX(Properties!A$1:CB$87,Formula!H67,46)&lt;&gt;"",INDEX(Properties!A$1:CB$87,Formula!H67,46)),IF(INDEX(Properties!A$1:CB$87,Formula!J67,46)&lt;&gt;"",INDEX(Properties!A$1:CB$87,Formula!J67,46)))</f>
        <v>0.25714400000000009</v>
      </c>
      <c r="EM67" s="66">
        <f>MAX(INDEX(Properties!A$1:CB$87,Formula!B67,46),INDEX(Properties!A$1:CB$87,Formula!D67,46),INDEX(Properties!A$1:CB$87,Formula!F67,46),INDEX(Properties!A$1:CB$87,Formula!H67,46),INDEX(Properties!A$1:CB$87,Formula!J67,46))</f>
        <v>1.49</v>
      </c>
      <c r="EN67" s="66">
        <f>MIN(IF(INDEX(Properties!A$1:CB$87,Formula!B67,46)=0,10^6,INDEX(Properties!A$1:CB$87,Formula!B67,46)),IF(INDEX(Properties!A$1:CB$87,Formula!D67,46)=0,10^6,INDEX(Properties!A$1:CB$87,Formula!D67,46)),IF(INDEX(Properties!A$1:CB$87,Formula!F67,46)=0,10^6,INDEX(Properties!A$1:CB$87,Formula!F67,46)),IF(INDEX(Properties!A$1:CB$87,Formula!H67,46)=0,10^6,INDEX(Properties!A$1:CB$87,Formula!H67,46)),IF(INDEX(Properties!A$1:CB$87,Formula!J67,46)=0,10^6,INDEX(Properties!A$1:CB$87,Formula!J67,46)))</f>
        <v>0.79</v>
      </c>
      <c r="EO67" s="66">
        <f t="shared" ref="EO67:EO121" si="55">ABS(EM67-EN67)</f>
        <v>0.7</v>
      </c>
      <c r="EP67" s="81">
        <f>((Formula!C67)/(Formula!C67+Formula!E67+Formula!G67+Formula!I67+Formula!K67))*(INDEX(Properties!A$1:CB$87,Formula!B67,52))+((Formula!E67)/(Formula!C67+Formula!E67+Formula!G67+Formula!I67+Formula!K67))*(INDEX(Properties!A$1:CB$87,Formula!D67,52))+((Formula!G67)/(Formula!C67+Formula!E67+Formula!G67+Formula!I67+Formula!K67))*(INDEX(Properties!A$1:CB$87,Formula!F67,52))+((Formula!I67)/(Formula!C67+Formula!E67+Formula!G67+Formula!I67+Formula!K67))*(INDEX(Properties!A$1:CB$87,Formula!H67,52))+((Formula!K67)/(Formula!C67+Formula!E67+Formula!G67+Formula!I67+Formula!K67))*(INDEX(Properties!A$1:CB$87,Formula!J67,52))</f>
        <v>11.965800000000002</v>
      </c>
      <c r="EQ67" s="81">
        <f>Formula!C67*(INDEX(Properties!A$1:CB$87,Formula!B67,52))+Formula!E67*(INDEX(Properties!A$1:CB$87,Formula!D67,52))+Formula!G67*(INDEX(Properties!A$1:CB$87,Formula!F67,52))+Formula!I67*(INDEX(Properties!A$1:CB$87,Formula!H67,52))+Formula!K67*(INDEX(Properties!A$1:CB$87,Formula!J67,52))</f>
        <v>119.658</v>
      </c>
      <c r="ER67" s="81">
        <f>VARP(IF(INDEX(Properties!A$1:CB$87,Formula!B67,52)&lt;&gt;"",INDEX(Properties!A$1:CB$87,Formula!B67,52)),IF(INDEX(Properties!A$1:CB$87,Formula!D67,52)&lt;&gt;"",INDEX(Properties!A$1:CB$87,Formula!D67,52)),IF(INDEX(Properties!A$1:CB$87,Formula!F67,52)&lt;&gt;"",INDEX(Properties!A$1:CB$87,Formula!F67,52)),IF(INDEX(Properties!A$1:CB$87,Formula!H67,52)&lt;&gt;"",INDEX(Properties!A$1:CB$87,Formula!H67,52)),IF(INDEX(Properties!A$1:CB$87,Formula!J67,52)&lt;&gt;"",INDEX(Properties!A$1:CB$87,Formula!J67,52)))</f>
        <v>220.17232784000001</v>
      </c>
      <c r="ES67" s="81">
        <f>MAX(INDEX(Properties!A$1:CB$87,Formula!B67,52),INDEX(Properties!A$1:CB$87,Formula!D67,52),INDEX(Properties!A$1:CB$87,Formula!F67,52),INDEX(Properties!A$1:CB$87,Formula!H67,52),INDEX(Properties!A$1:CB$87,Formula!J67,52))</f>
        <v>39.700000000000003</v>
      </c>
      <c r="ET67" s="81">
        <f>MIN(IF(INDEX(Properties!A$1:CB$87,Formula!B67,52)=0,10^6,INDEX(Properties!A$1:CB$87,Formula!B67,52)),IF(INDEX(Properties!A$1:CB$87,Formula!D67,52)=0,10^6,INDEX(Properties!A$1:CB$87,Formula!D67,52)),IF(INDEX(Properties!A$1:CB$87,Formula!F67,52)=0,10^6,INDEX(Properties!A$1:CB$87,Formula!F67,52)),IF(INDEX(Properties!A$1:CB$87,Formula!H67,52)=0,10^6,INDEX(Properties!A$1:CB$87,Formula!H67,52)),IF(INDEX(Properties!A$1:CB$87,Formula!J67,52)=0,10^6,INDEX(Properties!A$1:CB$87,Formula!J67,52)))</f>
        <v>0.79300000000000004</v>
      </c>
      <c r="EU67" s="81">
        <f t="shared" ref="EU67:EU121" si="56">ABS(ES67-ET67)</f>
        <v>38.907000000000004</v>
      </c>
      <c r="EV67" s="39">
        <f>((Formula!C67)/(Formula!C67+Formula!E67+Formula!G67+Formula!I67+Formula!K67))*(INDEX(Properties!A$1:CB$87,Formula!B67,53))+((Formula!E67)/(Formula!C67+Formula!E67+Formula!G67+Formula!I67+Formula!K67))*(INDEX(Properties!A$1:CB$87,Formula!D67,53))+((Formula!G67)/(Formula!C67+Formula!E67+Formula!G67+Formula!I67+Formula!K67))*(INDEX(Properties!A$1:CB$87,Formula!F67,53))+((Formula!I67)/(Formula!C67+Formula!E67+Formula!G67+Formula!I67+Formula!K67))*(INDEX(Properties!A$1:CB$87,Formula!H67,53))+((Formula!K67)/(Formula!C67+Formula!E67+Formula!G67+Formula!I67+Formula!K67))*(INDEX(Properties!A$1:CB$87,Formula!J67,53))</f>
        <v>701.11</v>
      </c>
      <c r="EW67" s="39">
        <f>Formula!C67*(INDEX(Properties!A$1:CB$87,Formula!B67,53))+Formula!E67*(INDEX(Properties!A$1:CB$87,Formula!D67,53))+Formula!G67*(INDEX(Properties!A$1:CB$87,Formula!F67,53))+Formula!I67*(INDEX(Properties!A$1:CB$87,Formula!H67,53))+Formula!K67*(INDEX(Properties!A$1:CB$87,Formula!J67,53))</f>
        <v>7011.1</v>
      </c>
      <c r="EX67" s="39">
        <f>VARP(IF(INDEX(Properties!A$1:CB$87,Formula!B67,53)&lt;&gt;"",INDEX(Properties!A$1:CB$87,Formula!B67,53)),IF(INDEX(Properties!A$1:CB$87,Formula!D67,53)&lt;&gt;"",INDEX(Properties!A$1:CB$87,Formula!D67,53)),IF(INDEX(Properties!A$1:CB$87,Formula!F67,53)&lt;&gt;"",INDEX(Properties!A$1:CB$87,Formula!F67,53)),IF(INDEX(Properties!A$1:CB$87,Formula!H67,53)&lt;&gt;"",INDEX(Properties!A$1:CB$87,Formula!H67,53)),IF(INDEX(Properties!A$1:CB$87,Formula!J67,53)&lt;&gt;"",INDEX(Properties!A$1:CB$87,Formula!J67,53)))</f>
        <v>1198147.9003999999</v>
      </c>
      <c r="EY67" s="39">
        <f>MAX(INDEX(Properties!A$1:CB$87,Formula!B67,53),INDEX(Properties!A$1:CB$87,Formula!D67,53),INDEX(Properties!A$1:CB$87,Formula!F67,53),INDEX(Properties!A$1:CB$87,Formula!H67,53),INDEX(Properties!A$1:CB$87,Formula!J67,53))</f>
        <v>2890.15</v>
      </c>
      <c r="EZ67" s="39">
        <f>MIN(IF(INDEX(Properties!A$1:CB$87,Formula!B67,53)=0,10^6,INDEX(Properties!A$1:CB$87,Formula!B67,53)),IF(INDEX(Properties!A$1:CB$87,Formula!D67,53)=0,10^6,INDEX(Properties!A$1:CB$87,Formula!D67,53)),IF(INDEX(Properties!A$1:CB$87,Formula!F67,53)=0,10^6,INDEX(Properties!A$1:CB$87,Formula!F67,53)),IF(INDEX(Properties!A$1:CB$87,Formula!H67,53)=0,10^6,INDEX(Properties!A$1:CB$87,Formula!H67,53)),IF(INDEX(Properties!A$1:CB$87,Formula!J67,53)=0,10^6,INDEX(Properties!A$1:CB$87,Formula!J67,53)))</f>
        <v>54.749999999999972</v>
      </c>
      <c r="FA67" s="39">
        <f t="shared" ref="FA67:FA121" si="57">ABS(EY67-EZ67)</f>
        <v>2835.4</v>
      </c>
      <c r="FB67" s="54">
        <f>((Formula!C67)/(Formula!C67+Formula!E67+Formula!G67+Formula!I67+Formula!K67))*(INDEX(Properties!A$1:CB$87,Formula!B67,54))+((Formula!E67)/(Formula!C67+Formula!E67+Formula!G67+Formula!I67+Formula!K67))*(INDEX(Properties!A$1:CB$87,Formula!D67,54))+((Formula!G67)/(Formula!C67+Formula!E67+Formula!G67+Formula!I67+Formula!K67))*(INDEX(Properties!A$1:CB$87,Formula!F67,54))+((Formula!I67)/(Formula!C67+Formula!E67+Formula!G67+Formula!I67+Formula!K67))*(INDEX(Properties!A$1:CB$87,Formula!H67,54))+((Formula!K67)/(Formula!C67+Formula!E67+Formula!G67+Formula!I67+Formula!K67))*(INDEX(Properties!A$1:CB$87,Formula!J67,54))</f>
        <v>1286.25</v>
      </c>
      <c r="FC67" s="54">
        <f>Formula!C67*(INDEX(Properties!A$1:CB$87,Formula!B67,54))+Formula!E67*(INDEX(Properties!A$1:CB$87,Formula!D67,54))+Formula!G67*(INDEX(Properties!A$1:CB$87,Formula!F67,54))+Formula!I67*(INDEX(Properties!A$1:CB$87,Formula!H67,54))+Formula!K67*(INDEX(Properties!A$1:CB$87,Formula!J67,54))</f>
        <v>12862.5</v>
      </c>
      <c r="FD67" s="54">
        <f>VARP(IF(INDEX(Properties!A$1:CB$87,Formula!B67,54)&lt;&gt;"",INDEX(Properties!A$1:CB$87,Formula!B67,54)),IF(INDEX(Properties!A$1:CB$87,Formula!D67,54)&lt;&gt;"",INDEX(Properties!A$1:CB$87,Formula!D67,54)),IF(INDEX(Properties!A$1:CB$87,Formula!F67,54)&lt;&gt;"",INDEX(Properties!A$1:CB$87,Formula!F67,54)),IF(INDEX(Properties!A$1:CB$87,Formula!H67,54)&lt;&gt;"",INDEX(Properties!A$1:CB$87,Formula!H67,54)),IF(INDEX(Properties!A$1:CB$87,Formula!J67,54)&lt;&gt;"",INDEX(Properties!A$1:CB$87,Formula!J67,54)))</f>
        <v>3704404.6196000003</v>
      </c>
      <c r="FE67" s="54">
        <f>MAX(INDEX(Properties!A$1:CB$87,Formula!B67,54),INDEX(Properties!A$1:CB$87,Formula!D67,54),INDEX(Properties!A$1:CB$87,Formula!F67,54),INDEX(Properties!A$1:CB$87,Formula!H67,54),INDEX(Properties!A$1:CB$87,Formula!J67,54))</f>
        <v>4885.1499999999996</v>
      </c>
      <c r="FF67" s="54">
        <f>MIN(IF(INDEX(Properties!A$1:CB$87,Formula!B67,54)=0,10^6,INDEX(Properties!A$1:CB$87,Formula!B67,54)),IF(INDEX(Properties!A$1:CB$87,Formula!D67,54)=0,10^6,INDEX(Properties!A$1:CB$87,Formula!D67,54)),IF(INDEX(Properties!A$1:CB$87,Formula!F67,54)=0,10^6,INDEX(Properties!A$1:CB$87,Formula!F67,54)),IF(INDEX(Properties!A$1:CB$87,Formula!H67,54)=0,10^6,INDEX(Properties!A$1:CB$87,Formula!H67,54)),IF(INDEX(Properties!A$1:CB$87,Formula!J67,54)=0,10^6,INDEX(Properties!A$1:CB$87,Formula!J67,54)))</f>
        <v>90.149999999999977</v>
      </c>
      <c r="FG67" s="54">
        <f t="shared" ref="FG67:FG121" si="58">ABS(FE67-FF67)</f>
        <v>4795</v>
      </c>
      <c r="FH67" s="69">
        <f>((Formula!C67)/(Formula!C67+Formula!E67+Formula!G67+Formula!I67+Formula!K67))*(INDEX(Properties!A$1:CB$87,Formula!B67,55))+((Formula!E67)/(Formula!C67+Formula!E67+Formula!G67+Formula!I67+Formula!K67))*(INDEX(Properties!A$1:CB$87,Formula!D67,55))+((Formula!G67)/(Formula!C67+Formula!E67+Formula!G67+Formula!I67+Formula!K67))*(INDEX(Properties!A$1:CB$87,Formula!F67,55))+((Formula!I67)/(Formula!C67+Formula!E67+Formula!G67+Formula!I67+Formula!K67))*(INDEX(Properties!A$1:CB$87,Formula!H67,55))+((Formula!K67)/(Formula!C67+Formula!E67+Formula!G67+Formula!I67+Formula!K67))*(INDEX(Properties!A$1:CB$87,Formula!J67,55))</f>
        <v>2.1678579999999998</v>
      </c>
      <c r="FI67" s="69">
        <f>Formula!C67*(INDEX(Properties!A$1:CB$87,Formula!B67,55))+Formula!E67*(INDEX(Properties!A$1:CB$87,Formula!D67,54))+Formula!G67*(INDEX(Properties!A$1:CB$87,Formula!F67,55))+Formula!I67*(INDEX(Properties!A$1:CB$87,Formula!H67,55))+Formula!K67*(INDEX(Properties!A$1:CB$87,Formula!J67,55))</f>
        <v>3627.3585800000001</v>
      </c>
      <c r="FJ67" s="69">
        <f>VARP(IF(INDEX(Properties!A$1:CB$87,Formula!B67,55)&lt;&gt;"",INDEX(Properties!A$1:CB$87,Formula!B67,55)),IF(INDEX(Properties!A$1:CB$87,Formula!D67,55)&lt;&gt;"",INDEX(Properties!A$1:CB$87,Formula!D67,55)),IF(INDEX(Properties!A$1:CB$87,Formula!F67,55)&lt;&gt;"",INDEX(Properties!A$1:CB$87,Formula!F67,55)),IF(INDEX(Properties!A$1:CB$87,Formula!H67,55)&lt;&gt;"",INDEX(Properties!A$1:CB$87,Formula!H67,55)),IF(INDEX(Properties!A$1:CB$87,Formula!J67,55)&lt;&gt;"",INDEX(Properties!A$1:CB$87,Formula!J67,55)))</f>
        <v>14.046145679183997</v>
      </c>
      <c r="FK67" s="69">
        <f>MAX(INDEX(Properties!A$1:CB$87,Formula!B67,55),INDEX(Properties!A$1:CB$87,Formula!D67,55),INDEX(Properties!A$1:CB$87,Formula!F67,55),INDEX(Properties!A$1:CB$87,Formula!H67,55),INDEX(Properties!A$1:CB$87,Formula!J67,55))</f>
        <v>10.199999999999999</v>
      </c>
      <c r="FL67" s="69">
        <f>MIN(IF(INDEX(Properties!A$1:CB$87,Formula!B67,55)=0,10^6,INDEX(Properties!A$1:CB$87,Formula!B67,55)),IF(INDEX(Properties!A$1:CB$87,Formula!D67,55)=0,10^6,INDEX(Properties!A$1:CB$87,Formula!D67,55)),IF(INDEX(Properties!A$1:CB$87,Formula!F67,55)=0,10^6,INDEX(Properties!A$1:CB$87,Formula!F67,55)),IF(INDEX(Properties!A$1:CB$87,Formula!H67,55)=0,10^6,INDEX(Properties!A$1:CB$87,Formula!H67,55)),IF(INDEX(Properties!A$1:CB$87,Formula!J67,55)=0,10^6,INDEX(Properties!A$1:CB$87,Formula!J67,55)))</f>
        <v>1.4300000000000001E-3</v>
      </c>
      <c r="FM67" s="69">
        <f t="shared" ref="FM67:FM121" si="59">ABS(FK67-FL67)</f>
        <v>10.19857</v>
      </c>
      <c r="FN67" s="42">
        <f>((Formula!C67)/(Formula!C67+Formula!E67+Formula!G67+Formula!I67+Formula!K67))*(INDEX(Properties!A$1:CB$87,Formula!B67,56))+((Formula!E67)/(Formula!C67+Formula!E67+Formula!G67+Formula!I67+Formula!K67))*(INDEX(Properties!A$1:CB$87,Formula!D67,56))+((Formula!G67)/(Formula!C67+Formula!E67+Formula!G67+Formula!I67+Formula!K67))*(INDEX(Properties!A$1:CB$87,Formula!F67,56))+((Formula!I67)/(Formula!C67+Formula!E67+Formula!G67+Formula!I67+Formula!K67))*(INDEX(Properties!A$1:CB$87,Formula!H67,56))+((Formula!K67)/(Formula!C67+Formula!E67+Formula!G67+Formula!I67+Formula!K67))*(INDEX(Properties!A$1:CB$87,Formula!J67,56))</f>
        <v>0.64780000000000004</v>
      </c>
      <c r="FO67" s="42">
        <f>Formula!C67*(INDEX(Properties!A$1:CB$87,Formula!B67,56))+Formula!E67*(INDEX(Properties!A$1:CB$87,Formula!D67,56))+Formula!G67*(INDEX(Properties!A$1:CB$87,Formula!F67,56))+Formula!I67*(INDEX(Properties!A$1:CB$87,Formula!H67,56))+Formula!K67*(INDEX(Properties!A$1:CB$87,Formula!J67,56))</f>
        <v>6.4780000000000006</v>
      </c>
      <c r="FP67" s="42">
        <f>VARP(IF(INDEX(Properties!A$1:CB$87,Formula!B67,56)&lt;&gt;"",INDEX(Properties!A$1:CB$87,Formula!B67,56)),IF(INDEX(Properties!A$1:CB$87,Formula!D67,56)&lt;&gt;"",INDEX(Properties!A$1:CB$87,Formula!D67,56)),IF(INDEX(Properties!A$1:CB$87,Formula!F67,56)&lt;&gt;"",INDEX(Properties!A$1:CB$87,Formula!F67,56)),IF(INDEX(Properties!A$1:CB$87,Formula!H67,56)&lt;&gt;"",INDEX(Properties!A$1:CB$87,Formula!H67,56)),IF(INDEX(Properties!A$1:CB$87,Formula!J67,56)&lt;&gt;"",INDEX(Properties!A$1:CB$87,Formula!J67,56)))</f>
        <v>9.6012160000000013E-2</v>
      </c>
      <c r="FQ67" s="42">
        <f>MAX(INDEX(Properties!A$1:CB$87,Formula!B67,56),INDEX(Properties!A$1:CB$87,Formula!D67,56),INDEX(Properties!A$1:CB$87,Formula!F67,56),INDEX(Properties!A$1:CB$87,Formula!H67,56),INDEX(Properties!A$1:CB$87,Formula!J67,56))</f>
        <v>0.92</v>
      </c>
      <c r="FR67" s="42">
        <f>MIN(IF(INDEX(Properties!A$1:CB$87,Formula!B67,56)=0,10^6,INDEX(Properties!A$1:CB$87,Formula!B67,56)),IF(INDEX(Properties!A$1:CB$87,Formula!D67,56)=0,10^6,INDEX(Properties!A$1:CB$87,Formula!D67,56)),IF(INDEX(Properties!A$1:CB$87,Formula!F67,56)=0,10^6,INDEX(Properties!A$1:CB$87,Formula!F67,56)),IF(INDEX(Properties!A$1:CB$87,Formula!H67,56)=0,10^6,INDEX(Properties!A$1:CB$87,Formula!H67,56)),IF(INDEX(Properties!A$1:CB$87,Formula!J67,56)=0,10^6,INDEX(Properties!A$1:CB$87,Formula!J67,56)))</f>
        <v>0.20399999999999999</v>
      </c>
      <c r="FS67" s="42">
        <f t="shared" ref="FS67:FS121" si="60">ABS(FQ67-FR67)</f>
        <v>0.71600000000000008</v>
      </c>
      <c r="FT67" s="60">
        <f>((Formula!C67)/(Formula!C67+Formula!E67+Formula!G67+Formula!I67+Formula!K67))*(INDEX(Properties!A$1:CB$87,Formula!B67,57))+((Formula!E67)/(Formula!C67+Formula!E67+Formula!G67+Formula!I67+Formula!K67))*(INDEX(Properties!A$1:CB$87,Formula!D67,57))+((Formula!G67)/(Formula!C67+Formula!E67+Formula!G67+Formula!I67+Formula!K67))*(INDEX(Properties!A$1:CB$87,Formula!F67,57))+((Formula!I67)/(Formula!C67+Formula!E67+Formula!G67+Formula!I67+Formula!K67))*(INDEX(Properties!A$1:CB$87,Formula!H67,57))+((Formula!K67)/(Formula!C67+Formula!E67+Formula!G67+Formula!I67+Formula!K67))*(INDEX(Properties!A$1:CB$87,Formula!J67,57))</f>
        <v>6.0235540000000007</v>
      </c>
      <c r="FU67" s="60">
        <f>Formula!C67*(INDEX(Properties!A$1:CB$87,Formula!B67,57))+Formula!E67*(INDEX(Properties!A$1:CB$87,Formula!D67,57))+Formula!G67*(INDEX(Properties!A$1:CB$87,Formula!F67,57))+Formula!I67*(INDEX(Properties!A$1:CB$87,Formula!H67,57))+Formula!K67*(INDEX(Properties!A$1:CB$87,Formula!J67,57))</f>
        <v>60.23554</v>
      </c>
      <c r="FV67" s="60">
        <f>VARP(IF(INDEX(Properties!A$1:CB$87,Formula!B67,57)&lt;&gt;"",INDEX(Properties!A$1:CB$87,Formula!B67,57)),IF(INDEX(Properties!A$1:CB$87,Formula!D67,57)&lt;&gt;"",INDEX(Properties!A$1:CB$87,Formula!D67,57)),IF(INDEX(Properties!A$1:CB$87,Formula!F67,57)&lt;&gt;"",INDEX(Properties!A$1:CB$87,Formula!F67,57)),IF(INDEX(Properties!A$1:CB$87,Formula!H67,57)&lt;&gt;"",INDEX(Properties!A$1:CB$87,Formula!H67,57)),IF(INDEX(Properties!A$1:CB$87,Formula!J67,57)&lt;&gt;"",INDEX(Properties!A$1:CB$87,Formula!J67,57)))</f>
        <v>137.248689129296</v>
      </c>
      <c r="FW67" s="60">
        <f>MAX(INDEX(Properties!A$1:CB$87,Formula!B67,57),INDEX(Properties!A$1:CB$87,Formula!D67,57),INDEX(Properties!A$1:CB$87,Formula!F67,57),INDEX(Properties!A$1:CB$87,Formula!H67,57),INDEX(Properties!A$1:CB$87,Formula!J67,57))</f>
        <v>32</v>
      </c>
      <c r="FX67" s="60">
        <f>MIN(IF(INDEX(Properties!A$1:CB$87,Formula!B67,57)=0,10^6,INDEX(Properties!A$1:CB$87,Formula!B67,57)),IF(INDEX(Properties!A$1:CB$87,Formula!D67,57)=0,10^6,INDEX(Properties!A$1:CB$87,Formula!D67,57)),IF(INDEX(Properties!A$1:CB$87,Formula!F67,57)=0,10^6,INDEX(Properties!A$1:CB$87,Formula!F67,57)),IF(INDEX(Properties!A$1:CB$87,Formula!H67,57)=0,10^6,INDEX(Properties!A$1:CB$87,Formula!H67,57)),IF(INDEX(Properties!A$1:CB$87,Formula!J67,57)=0,10^6,INDEX(Properties!A$1:CB$87,Formula!J67,57)))</f>
        <v>0.22259000000000001</v>
      </c>
      <c r="FY67" s="60">
        <f t="shared" ref="FY67:FY121" si="61">ABS(FW67-FX67)</f>
        <v>31.77741</v>
      </c>
      <c r="FZ67" s="72">
        <f>((Formula!C67)/(Formula!C67+Formula!E67+Formula!G67+Formula!I67+Formula!K67))*(INDEX(Properties!A$1:CB$87,Formula!B67,60))+((Formula!E67)/(Formula!C67+Formula!E67+Formula!G67+Formula!I67+Formula!K67))*(INDEX(Properties!A$1:CB$87,Formula!D67,60))+((Formula!G67)/(Formula!C67+Formula!E67+Formula!G67+Formula!I67+Formula!K67))*(INDEX(Properties!A$1:CB$87,Formula!F67,60))+((Formula!I67)/(Formula!C67+Formula!E67+Formula!G67+Formula!I67+Formula!K67))*(INDEX(Properties!A$1:CB$87,Formula!H67,60))+((Formula!K67)/(Formula!C67+Formula!E67+Formula!G67+Formula!I67+Formula!K67))*(INDEX(Properties!A$1:CB$87,Formula!J67,60))</f>
        <v>19.216044</v>
      </c>
      <c r="GA67" s="72">
        <f>Formula!C67*(INDEX(Properties!A$1:CB$87,Formula!B67,60))+Formula!E67*(INDEX(Properties!A$1:CB$87,Formula!D67,60))+Formula!G67*(INDEX(Properties!A$1:CB$87,Formula!F67,60))+Formula!I67*(INDEX(Properties!A$1:CB$87,Formula!H67,60))+Formula!K67*(INDEX(Properties!A$1:CB$87,Formula!J67,60))</f>
        <v>192.16043999999999</v>
      </c>
      <c r="GB67" s="72">
        <f>VARP(IF(INDEX(Properties!A$1:CB$87,Formula!B67,60)&lt;&gt;"",INDEX(Properties!A$1:CB$87,Formula!B67,60)),IF(INDEX(Properties!A$1:CB$87,Formula!D67,60)&lt;&gt;"",INDEX(Properties!A$1:CB$87,Formula!D67,60)),IF(INDEX(Properties!A$1:CB$87,Formula!F67,60)&lt;&gt;"",INDEX(Properties!A$1:CB$87,Formula!F67,60)),IF(INDEX(Properties!A$1:CB$87,Formula!H67,60)&lt;&gt;"",INDEX(Properties!A$1:CB$87,Formula!H67,60)),IF(INDEX(Properties!A$1:CB$87,Formula!J67,60)&lt;&gt;"",INDEX(Properties!A$1:CB$87,Formula!J67,60)))</f>
        <v>2729.8303492844161</v>
      </c>
      <c r="GC67" s="72">
        <f>MAX(INDEX(Properties!A$1:CB$87,Formula!B67,60),INDEX(Properties!A$1:CB$87,Formula!D67,60),INDEX(Properties!A$1:CB$87,Formula!F67,60),INDEX(Properties!A$1:CB$87,Formula!H67,60),INDEX(Properties!A$1:CB$87,Formula!J67,60))</f>
        <v>138</v>
      </c>
      <c r="GD67" s="72">
        <f>MIN(IF(INDEX(Properties!A$1:CB$87,Formula!B67,60)=0,10^6,INDEX(Properties!A$1:CB$87,Formula!B67,60)),IF(INDEX(Properties!A$1:CB$87,Formula!D67,60)=0,10^6,INDEX(Properties!A$1:CB$87,Formula!D67,60)),IF(INDEX(Properties!A$1:CB$87,Formula!F67,60)=0,10^6,INDEX(Properties!A$1:CB$87,Formula!F67,60)),IF(INDEX(Properties!A$1:CB$87,Formula!H67,60)=0,10^6,INDEX(Properties!A$1:CB$87,Formula!H67,60)),IF(INDEX(Properties!A$1:CB$87,Formula!J67,60)=0,10^6,INDEX(Properties!A$1:CB$87,Formula!J67,60)))</f>
        <v>2.674E-2</v>
      </c>
      <c r="GE67" s="72">
        <f t="shared" ref="GE67:GE121" si="62">ABS(GC67-GD67)</f>
        <v>137.97326000000001</v>
      </c>
      <c r="GF67" s="51">
        <f>((Formula!C67)/(Formula!C67+Formula!E67+Formula!G67+Formula!I67+Formula!K67))*(INDEX(Properties!A$1:CB$87,Formula!B67,62))+((Formula!E67)/(Formula!C67+Formula!E67+Formula!G67+Formula!I67+Formula!K67))*(INDEX(Properties!A$1:CB$87,Formula!D67,62))+((Formula!G67)/(Formula!C67+Formula!E67+Formula!G67+Formula!I67+Formula!K67))*(INDEX(Properties!A$1:CB$87,Formula!F67,62))+((Formula!I67)/(Formula!C67+Formula!E67+Formula!G67+Formula!I67+Formula!K67))*(INDEX(Properties!A$1:CB$87,Formula!H67,62))+((Formula!K67)/(Formula!C67+Formula!E67+Formula!G67+Formula!I67+Formula!K67))*(INDEX(Properties!A$1:CB$87,Formula!J67,62))</f>
        <v>3.0710000000000002</v>
      </c>
      <c r="GG67" s="51">
        <f>Formula!C67*(INDEX(Properties!A$1:CB$87,Formula!B67,62))+Formula!E67*(INDEX(Properties!A$1:CB$87,Formula!D67,62))+Formula!G67*(INDEX(Properties!A$1:CB$87,Formula!F67,62))+Formula!I67*(INDEX(Properties!A$1:CB$87,Formula!H67,62))+Formula!K67*(INDEX(Properties!A$1:CB$87,Formula!J67,62))</f>
        <v>30.71</v>
      </c>
      <c r="GH67" s="51">
        <f>VARP(IF(INDEX(Properties!A$1:CB$87,Formula!B67,62)&lt;&gt;"",INDEX(Properties!A$1:CB$87,Formula!B67,62)),IF(INDEX(Properties!A$1:CB$87,Formula!D67,62)&lt;&gt;"",INDEX(Properties!A$1:CB$87,Formula!D67,62)),IF(INDEX(Properties!A$1:CB$87,Formula!F67,62)&lt;&gt;"",INDEX(Properties!A$1:CB$87,Formula!F67,62)),IF(INDEX(Properties!A$1:CB$87,Formula!H67,62)&lt;&gt;"",INDEX(Properties!A$1:CB$87,Formula!H67,62)),IF(INDEX(Properties!A$1:CB$87,Formula!J67,62)&lt;&gt;"",INDEX(Properties!A$1:CB$87,Formula!J67,62)))</f>
        <v>5.3445760000000009</v>
      </c>
      <c r="GI67" s="51">
        <f>MAX(INDEX(Properties!A$1:CB$87,Formula!B67,62),INDEX(Properties!A$1:CB$87,Formula!D67,62),INDEX(Properties!A$1:CB$87,Formula!F67,62),INDEX(Properties!A$1:CB$87,Formula!H67,62),INDEX(Properties!A$1:CB$87,Formula!J67,62))</f>
        <v>6.82</v>
      </c>
      <c r="GJ67" s="51">
        <f>MIN(IF(INDEX(Properties!A$1:CB$87,Formula!B67,62)=0,10^6,INDEX(Properties!A$1:CB$87,Formula!B67,62)),IF(INDEX(Properties!A$1:CB$87,Formula!D67,62)=0,10^6,INDEX(Properties!A$1:CB$87,Formula!D67,62)),IF(INDEX(Properties!A$1:CB$87,Formula!F67,62)=0,10^6,INDEX(Properties!A$1:CB$87,Formula!F67,62)),IF(INDEX(Properties!A$1:CB$87,Formula!H67,62)=0,10^6,INDEX(Properties!A$1:CB$87,Formula!H67,62)),IF(INDEX(Properties!A$1:CB$87,Formula!J67,62)=0,10^6,INDEX(Properties!A$1:CB$87,Formula!J67,62)))</f>
        <v>1.9</v>
      </c>
      <c r="GK67" s="51">
        <f t="shared" ref="GK67:GK121" si="63">ABS(GI67-GJ67)</f>
        <v>4.92</v>
      </c>
      <c r="GL67" s="51">
        <f>Formula!P67</f>
        <v>225</v>
      </c>
      <c r="GM67" s="57">
        <f>Formula!O67</f>
        <v>7</v>
      </c>
      <c r="GN67" s="51">
        <f>Formula!N67</f>
        <v>4.4999999999999998E-2</v>
      </c>
    </row>
    <row r="68" spans="1:196" x14ac:dyDescent="0.3">
      <c r="A68" s="84" t="str">
        <f>Formula!A68</f>
        <v>MgAl2O4</v>
      </c>
      <c r="B68" s="89">
        <f>((Formula!C68)/(Formula!C68+Formula!E68+Formula!G68+Formula!I68+Formula!K68))*(INDEX(Properties!A$1:CB$87,Formula!B68,3))+((Formula!E68)/(Formula!C68+Formula!E68+Formula!G68+Formula!I68+Formula!K68))*(INDEX(Properties!A$1:CB$87,Formula!D68,3))+((Formula!G68)/(Formula!C68+Formula!E68+Formula!G68+Formula!I68+Formula!K68))*(INDEX(Properties!A$1:CB$87,Formula!F68,3))+((Formula!I68)/(Formula!C68+Formula!E68+Formula!G68+Formula!I68+Formula!K68))*(INDEX(Properties!A$1:CB$87,Formula!H68,3))+((Formula!K68)/(Formula!C68+Formula!E68+Formula!G68+Formula!I68+Formula!K68))*(INDEX(Properties!A$1:CB$87,Formula!J68,3))</f>
        <v>20.323668285714284</v>
      </c>
      <c r="C68" s="85">
        <f>Formula!C68*(INDEX(Properties!A$1:CB$87,Formula!B68,3))+Formula!E68*(INDEX(Properties!A$1:CB$87,Formula!D68,3))+Formula!G68*(INDEX(Properties!A$1:CB$87,Formula!F68,3))+Formula!I68*(INDEX(Properties!A$1:CB$87,Formula!H68,3))+Formula!K68*(INDEX(Properties!A$1:CB$87,Formula!J68,3))</f>
        <v>142.26567800000001</v>
      </c>
      <c r="D68" s="85">
        <f>VARP(IF(INDEX(Properties!A$1:CB$87,Formula!B68,3)&lt;&gt;"",INDEX(Properties!A$1:CB$87,Formula!B68,3)),IF(INDEX(Properties!A$1:CB$87,Formula!D68,3)&lt;&gt;"",INDEX(Properties!A$1:CB$87,Formula!D68,3)),IF(INDEX(Properties!A$1:CB$87,Formula!F68,3)&lt;&gt;"",INDEX(Properties!A$1:CB$87,Formula!F68,3)),IF(INDEX(Properties!A$1:CB$87,Formula!H68,3)&lt;&gt;"",INDEX(Properties!A$1:CB$87,Formula!H68,3)),IF(INDEX(Properties!A$1:CB$87,Formula!J68,3)&lt;&gt;"",INDEX(Properties!A$1:CB$87,Formula!J68,3)))</f>
        <v>133.84755094923537</v>
      </c>
      <c r="E68" s="85">
        <f>MAX(INDEX(Properties!A$1:CB$87,Formula!B68,3),INDEX(Properties!A$1:CB$87,Formula!D68,3),INDEX(Properties!A$1:CB$87,Formula!F68,3),INDEX(Properties!A$1:CB$87,Formula!H68,3),INDEX(Properties!A$1:CB$87,Formula!J68,3))</f>
        <v>26.981539000000001</v>
      </c>
      <c r="F68" s="85">
        <f>MIN(IF(INDEX(Properties!A$1:CB$87,Formula!B68,3)=0,10^6,INDEX(Properties!A$1:CB$87,Formula!B68,3)),IF(INDEX(Properties!A$1:CB$87,Formula!D68,3)=0,10^6,INDEX(Properties!A$1:CB$87,Formula!D68,3)),IF(INDEX(Properties!A$1:CB$87,Formula!F68,3)=0,10^6,INDEX(Properties!A$1:CB$87,Formula!F68,3)),IF(INDEX(Properties!A$1:CB$87,Formula!H68,3)=0,10^6,INDEX(Properties!A$1:CB$87,Formula!H68,3)),IF(INDEX(Properties!A$1:CB$87,Formula!J68,3)=0,10^6,INDEX(Properties!A$1:CB$87,Formula!J68,3)))</f>
        <v>15.9994</v>
      </c>
      <c r="G68" s="85">
        <f t="shared" si="32"/>
        <v>10.982139000000002</v>
      </c>
      <c r="H68" s="87">
        <f>((Formula!C68)/(Formula!C68+Formula!E68+Formula!G68+Formula!I68+Formula!K68))*(INDEX(Properties!A$1:CB$87,Formula!B68,4))+((Formula!E68)/(Formula!C68+Formula!E68+Formula!G68+Formula!I68+Formula!K68))*(INDEX(Properties!A$1:CB$87,Formula!D68,4))+((Formula!G68)/(Formula!C68+Formula!E68+Formula!G68+Formula!I68+Formula!K68))*(INDEX(Properties!A$1:CB$87,Formula!F68,4))+((Formula!I68)/(Formula!C68+Formula!E68+Formula!G68+Formula!I68+Formula!K68))*(INDEX(Properties!A$1:CB$87,Formula!H68,4))+((Formula!K68)/(Formula!C68+Formula!E68+Formula!G68+Formula!I68+Formula!K68))*(INDEX(Properties!A$1:CB$87,Formula!J68,4))</f>
        <v>10</v>
      </c>
      <c r="I68" s="87">
        <f>Formula!C68*(INDEX(Properties!A$1:CB$87,Formula!B68,4))+Formula!E68*(INDEX(Properties!A$1:CB$87,Formula!D68,4))+Formula!G68*(INDEX(Properties!A$1:CB$87,Formula!F68,4))+Formula!I68*(INDEX(Properties!A$1:CB$87,Formula!H68,4))+Formula!K68*(INDEX(Properties!A$1:CB$87,Formula!J68,4))</f>
        <v>70</v>
      </c>
      <c r="J68" s="87">
        <f>VARP(IF(INDEX(Properties!A$1:CB$87,Formula!B68,4)&lt;&gt;"",INDEX(Properties!A$1:CB$87,Formula!B68,4)),IF(INDEX(Properties!A$1:CB$87,Formula!D68,4)&lt;&gt;"",INDEX(Properties!A$1:CB$87,Formula!D68,4)),IF(INDEX(Properties!A$1:CB$87,Formula!F68,4)&lt;&gt;"",INDEX(Properties!A$1:CB$87,Formula!F68,4)),IF(INDEX(Properties!A$1:CB$87,Formula!H68,4)&lt;&gt;"",INDEX(Properties!A$1:CB$87,Formula!H68,4)),IF(INDEX(Properties!A$1:CB$87,Formula!J68,4)&lt;&gt;"",INDEX(Properties!A$1:CB$87,Formula!J68,4)))</f>
        <v>31.84</v>
      </c>
      <c r="K68" s="87">
        <f>MAX(INDEX(Properties!A$1:CB$87,Formula!B68,4),INDEX(Properties!A$1:CB$87,Formula!D68,4),INDEX(Properties!A$1:CB$87,Formula!F68,4),INDEX(Properties!A$1:CB$87,Formula!H68,4),INDEX(Properties!A$1:CB$87,Formula!J68,4))</f>
        <v>13</v>
      </c>
      <c r="L68" s="87">
        <f>MIN(IF(INDEX(Properties!A$1:CB$87,Formula!B68,4)=0,10^6,INDEX(Properties!A$1:CB$87,Formula!B68,4)),IF(INDEX(Properties!A$1:CB$87,Formula!D68,4)=0,10^6,INDEX(Properties!A$1:CB$87,Formula!D68,4)),IF(INDEX(Properties!A$1:CB$87,Formula!F68,4)=0,10^6,INDEX(Properties!A$1:CB$87,Formula!F68,4)),IF(INDEX(Properties!A$1:CB$87,Formula!H68,4)=0,10^6,INDEX(Properties!A$1:CB$87,Formula!H68,4)),IF(INDEX(Properties!A$1:CB$87,Formula!J68,4)=0,10^6,INDEX(Properties!A$1:CB$87,Formula!J68,4)))</f>
        <v>8</v>
      </c>
      <c r="M68" s="87">
        <f t="shared" si="33"/>
        <v>5</v>
      </c>
      <c r="N68" s="89">
        <f>((Formula!C68)/(Formula!C68+Formula!E68+Formula!G68+Formula!I68+Formula!K68))*(INDEX(Properties!A$1:CB$87,Formula!B68,5))+((Formula!E68)/(Formula!C68+Formula!E68+Formula!G68+Formula!I68+Formula!K68))*(INDEX(Properties!A$1:CB$87,Formula!D68,5))+((Formula!G68)/(Formula!C68+Formula!E68+Formula!G68+Formula!I68+Formula!K68))*(INDEX(Properties!A$1:CB$87,Formula!F68,5))+((Formula!I68)/(Formula!C68+Formula!E68+Formula!G68+Formula!I68+Formula!K68))*(INDEX(Properties!A$1:CB$87,Formula!H68,5))+((Formula!K68)/(Formula!C68+Formula!E68+Formula!G68+Formula!I68+Formula!K68))*(INDEX(Properties!A$1:CB$87,Formula!J68,5))</f>
        <v>2.4285714285714284</v>
      </c>
      <c r="O68" s="89">
        <f>Formula!C68*(INDEX(Properties!A$1:CB$87,Formula!B68,5))+Formula!E68*(INDEX(Properties!A$1:CB$87,Formula!D68,5))+Formula!G68*(INDEX(Properties!A$1:CB$87,Formula!F68,5))+Formula!I68*(INDEX(Properties!A$1:CB$87,Formula!H68,5))+Formula!K68*(INDEX(Properties!A$1:CB$87,Formula!J68,5))</f>
        <v>17</v>
      </c>
      <c r="P68" s="89">
        <f>VARP(IF(INDEX(Properties!A$1:CB$87,Formula!B68,5)&lt;&gt;"",INDEX(Properties!A$1:CB$87,Formula!B68,5)),IF(INDEX(Properties!A$1:CB$87,Formula!D68,5)&lt;&gt;"",INDEX(Properties!A$1:CB$87,Formula!D68,5)),IF(INDEX(Properties!A$1:CB$87,Formula!F68,5)&lt;&gt;"",INDEX(Properties!A$1:CB$87,Formula!F68,5)),IF(INDEX(Properties!A$1:CB$87,Formula!H68,5)&lt;&gt;"",INDEX(Properties!A$1:CB$87,Formula!H68,5)),IF(INDEX(Properties!A$1:CB$87,Formula!J68,5)&lt;&gt;"",INDEX(Properties!A$1:CB$87,Formula!J68,5)))</f>
        <v>1.84</v>
      </c>
      <c r="Q68" s="89">
        <f>MAX(INDEX(Properties!A$1:CB$87,Formula!B68,5),INDEX(Properties!A$1:CB$87,Formula!D68,5),INDEX(Properties!A$1:CB$87,Formula!F68,5),INDEX(Properties!A$1:CB$87,Formula!H68,5),INDEX(Properties!A$1:CB$87,Formula!J68,5))</f>
        <v>3</v>
      </c>
      <c r="R68" s="89">
        <f>MIN(IF(INDEX(Properties!A$1:CB$87,Formula!B68,5)=0,10^6,INDEX(Properties!A$1:CB$87,Formula!B68,5)),IF(INDEX(Properties!A$1:CB$87,Formula!D68,5)=0,10^6,INDEX(Properties!A$1:CB$87,Formula!D68,5)),IF(INDEX(Properties!A$1:CB$87,Formula!F68,5)=0,10^6,INDEX(Properties!A$1:CB$87,Formula!F68,5)),IF(INDEX(Properties!A$1:CB$87,Formula!H68,5)=0,10^6,INDEX(Properties!A$1:CB$87,Formula!H68,5)),IF(INDEX(Properties!A$1:CB$87,Formula!J68,5)=0,10^6,INDEX(Properties!A$1:CB$87,Formula!J68,5)))</f>
        <v>2</v>
      </c>
      <c r="S68" s="89">
        <f t="shared" si="34"/>
        <v>1</v>
      </c>
      <c r="T68" s="60">
        <f>((Formula!C68)/(Formula!C68+Formula!E68+Formula!G68+Formula!I68+Formula!K68))*(INDEX(Properties!A$1:CB$87,Formula!B68,6))+((Formula!E68)/(Formula!C68+Formula!E68+Formula!G68+Formula!I68+Formula!K68))*(INDEX(Properties!A$1:CB$87,Formula!D68,6))+((Formula!G68)/(Formula!C68+Formula!E68+Formula!G68+Formula!I68+Formula!K68))*(INDEX(Properties!A$1:CB$87,Formula!F68,6))+((Formula!I68)/(Formula!C68+Formula!E68+Formula!G68+Formula!I68+Formula!K68))*(INDEX(Properties!A$1:CB$87,Formula!H68,6))+((Formula!K68)/(Formula!C68+Formula!E68+Formula!G68+Formula!I68+Formula!K68))*(INDEX(Properties!A$1:CB$87,Formula!J68,6))</f>
        <v>13.142857142857142</v>
      </c>
      <c r="U68" s="60">
        <f>Formula!C68*(INDEX(Properties!A$1:CB$87,Formula!B68,6))+Formula!E68*(INDEX(Properties!A$1:CB$87,Formula!D68,6))+Formula!G68*(INDEX(Properties!A$1:CB$87,Formula!F68,6))+Formula!I68*(INDEX(Properties!A$1:CB$87,Formula!H68,6))+Formula!K68*(INDEX(Properties!A$1:CB$87,Formula!J68,6))</f>
        <v>92</v>
      </c>
      <c r="V68" s="89">
        <f>VARP(IF(INDEX(Properties!A$1:CB$87,Formula!B68,6)&lt;&gt;"",INDEX(Properties!A$1:CB$87,Formula!B68,6)),IF(INDEX(Properties!A$1:CB$87,Formula!D68,6)&lt;&gt;"",INDEX(Properties!A$1:CB$87,Formula!D68,6)),IF(INDEX(Properties!A$1:CB$87,Formula!F68,6)&lt;&gt;"",INDEX(Properties!A$1:CB$87,Formula!F68,6)),IF(INDEX(Properties!A$1:CB$87,Formula!H68,6)&lt;&gt;"",INDEX(Properties!A$1:CB$87,Formula!H68,6)),IF(INDEX(Properties!A$1:CB$87,Formula!J68,6)&lt;&gt;"",INDEX(Properties!A$1:CB$87,Formula!J68,6)))</f>
        <v>47.36</v>
      </c>
      <c r="W68" s="60">
        <f>MAX(INDEX(Properties!A$1:CB$87,Formula!B68,6),INDEX(Properties!A$1:CB$87,Formula!D68,6),INDEX(Properties!A$1:CB$87,Formula!F68,6),INDEX(Properties!A$1:CB$87,Formula!H68,4),INDEX(Properties!A$1:CB$87,Formula!J68,6))</f>
        <v>16</v>
      </c>
      <c r="X68" s="60">
        <f>MIN(IF(INDEX(Properties!A$1:CB$87,Formula!B68,6)=0,10^6,INDEX(Properties!A$1:CB$87,Formula!B68,6)),IF(INDEX(Properties!A$1:CB$87,Formula!D68,6)=0,10^6,INDEX(Properties!A$1:CB$87,Formula!D68,6)),IF(INDEX(Properties!A$1:CB$87,Formula!F68,6)=0,10^6,INDEX(Properties!A$1:CB$87,Formula!F68,6)),IF(INDEX(Properties!A$1:CB$87,Formula!H68,6)=0,10^6,INDEX(Properties!A$1:CB$87,Formula!H68,6)),IF(INDEX(Properties!A$1:CB$87,Formula!J68,6)=0,10^6,INDEX(Properties!A$1:CB$87,Formula!J68,6)))</f>
        <v>2</v>
      </c>
      <c r="Y68" s="60">
        <f t="shared" si="35"/>
        <v>14</v>
      </c>
      <c r="Z68" s="72">
        <f>((Formula!C68)/(Formula!C68+Formula!E68+Formula!G68+Formula!I68+Formula!K68))*(INDEX(Properties!A$1:CB$87,Formula!B68,9))+((Formula!E68)/(Formula!C68+Formula!E68+Formula!G68+Formula!I68+Formula!K68))*(INDEX(Properties!A$1:CB$87,Formula!D68,9))+((Formula!G68)/(Formula!C68+Formula!E68+Formula!G68+Formula!I68+Formula!K68))*(INDEX(Properties!A$1:CB$87,Formula!F68,9))+((Formula!I68)/(Formula!C68+Formula!E68+Formula!G68+Formula!I68+Formula!K68))*(INDEX(Properties!A$1:CB$87,Formula!H68,9))+((Formula!K68)/(Formula!C68+Formula!E68+Formula!G68+Formula!I68+Formula!K68))*(INDEX(Properties!A$1:CB$87,Formula!J68,9))</f>
        <v>80.285714285714278</v>
      </c>
      <c r="AA68" s="72">
        <f>Formula!C68*(INDEX(Properties!A$1:CB$87,Formula!B68,9))+Formula!E68*(INDEX(Properties!A$1:CB$87,Formula!D68,9))+Formula!G68*(INDEX(Properties!A$1:CB$87,Formula!F68,9))+Formula!I68*(INDEX(Properties!A$1:CB$87,Formula!H68,9))+Formula!K68*(INDEX(Properties!A$1:CB$87,Formula!J68,9))</f>
        <v>562</v>
      </c>
      <c r="AB68" s="72">
        <f>VARP(IF(INDEX(Properties!A$1:CB$87,Formula!B68,9)&lt;&gt;"",INDEX(Properties!A$1:CB$87,Formula!B68,9)),IF(INDEX(Properties!A$1:CB$87,Formula!D68,9)&lt;&gt;"",INDEX(Properties!A$1:CB$87,Formula!D68,9)),IF(INDEX(Properties!A$1:CB$87,Formula!F68,9)&lt;&gt;"",INDEX(Properties!A$1:CB$87,Formula!F68,9)),IF(INDEX(Properties!A$1:CB$87,Formula!H68,9)&lt;&gt;"",INDEX(Properties!A$1:CB$87,Formula!H68,9)),IF(INDEX(Properties!A$1:CB$87,Formula!J68,9)&lt;&gt;"",INDEX(Properties!A$1:CB$87,Formula!J68,9)))</f>
        <v>1425.04</v>
      </c>
      <c r="AC68" s="72">
        <f>MAX(INDEX(Properties!A$1:CB$87,Formula!B68,9),INDEX(Properties!A$1:CB$87,Formula!D68,9),INDEX(Properties!A$1:CB$87,Formula!F68,9),INDEX(Properties!A$1:CB$87,Formula!H68,9),INDEX(Properties!A$1:CB$87,Formula!J68,9))</f>
        <v>87</v>
      </c>
      <c r="AD68" s="72">
        <f>MIN(IF(INDEX(Properties!A$1:CB$87,Formula!B68,9)=0,10^6,INDEX(Properties!A$1:CB$87,Formula!B68,9)),IF(INDEX(Properties!A$1:CB$87,Formula!D68,9)=0,10^6,INDEX(Properties!A$1:CB$87,Formula!D68,9)),IF(INDEX(Properties!A$1:CB$87,Formula!F68,9)=0,10^6,INDEX(Properties!A$1:CB$87,Formula!F68,9)),IF(INDEX(Properties!A$1:CB$87,Formula!H68,9)=0,10^6,INDEX(Properties!A$1:CB$87,Formula!H68,9)),IF(INDEX(Properties!A$1:CB$87,Formula!J68,9)=0,10^6,INDEX(Properties!A$1:CB$87,Formula!J68,9)))</f>
        <v>68</v>
      </c>
      <c r="AE68" s="72">
        <f t="shared" si="36"/>
        <v>19</v>
      </c>
      <c r="AF68" s="51">
        <f>((Formula!C68)/(Formula!C68+Formula!E68+Formula!G68+Formula!I68+Formula!K68))*(INDEX(Properties!A$1:CB$87,Formula!B68,10))+((Formula!E68)/(Formula!C68+Formula!E68+Formula!G68+Formula!I68+Formula!K68))*(INDEX(Properties!A$1:CB$87,Formula!D68,10))+((Formula!G68)/(Formula!C68+Formula!E68+Formula!G68+Formula!I68+Formula!K68))*(INDEX(Properties!A$1:CB$87,Formula!F68,10))+((Formula!I68)/(Formula!C68+Formula!E68+Formula!G68+Formula!I68+Formula!K68))*(INDEX(Properties!A$1:CB$87,Formula!H68,10))+((Formula!K68)/(Formula!C68+Formula!E68+Formula!G68+Formula!I68+Formula!K68))*(INDEX(Properties!A$1:CB$87,Formula!J68,10))</f>
        <v>5.7142857142857135</v>
      </c>
      <c r="AG68" s="51">
        <f>Formula!C68*(INDEX(Properties!A$1:CB$87,Formula!B68,10))+Formula!E68*(INDEX(Properties!A$1:CB$87,Formula!D68,10))+Formula!G68*(INDEX(Properties!A$1:CB$87,Formula!F68,10))+Formula!I68*(INDEX(Properties!A$1:CB$87,Formula!H68,10))+Formula!K68*(INDEX(Properties!A$1:CB$87,Formula!J68,10))</f>
        <v>40</v>
      </c>
      <c r="AH68" s="51">
        <f>VARP(IF(INDEX(Properties!A$1:CB$87,Formula!B68,10)&lt;&gt;"",INDEX(Properties!A$1:CB$87,Formula!B68,10)),IF(INDEX(Properties!A$1:CB$87,Formula!D68,10)&lt;&gt;"",INDEX(Properties!A$1:CB$87,Formula!D68,10)),IF(INDEX(Properties!A$1:CB$87,Formula!F68,10)&lt;&gt;"",INDEX(Properties!A$1:CB$87,Formula!F68,10)),IF(INDEX(Properties!A$1:CB$87,Formula!H68,10)&lt;&gt;"",INDEX(Properties!A$1:CB$87,Formula!H68,10)),IF(INDEX(Properties!A$1:CB$87,Formula!J68,10)&lt;&gt;"",INDEX(Properties!A$1:CB$87,Formula!J68,10)))</f>
        <v>7.76</v>
      </c>
      <c r="AI68" s="51">
        <f>MAX(INDEX(Properties!A$1:CB$87,Formula!B68,10),INDEX(Properties!A$1:CB$87,Formula!D68,10),INDEX(Properties!A$1:CB$87,Formula!F68,10),INDEX(Properties!A$1:CB$87,Formula!H68,10),INDEX(Properties!A$1:CB$87,Formula!J68,10))</f>
        <v>7</v>
      </c>
      <c r="AJ68" s="51">
        <f>MIN(IF(INDEX(Properties!A$1:CB$87,Formula!B68,10)=0,10^6,INDEX(Properties!A$1:CB$87,Formula!B68,10)),IF(INDEX(Properties!A$1:CB$87,Formula!D68,10)=0,10^6,INDEX(Properties!A$1:CB$87,Formula!D68,10)),IF(INDEX(Properties!A$1:CB$87,Formula!F68,10)=0,10^6,INDEX(Properties!A$1:CB$87,Formula!F68,10)),IF(INDEX(Properties!A$1:CB$87,Formula!H68,10)=0,10^6,INDEX(Properties!A$1:CB$87,Formula!H68,10)),IF(INDEX(Properties!A$1:CB$87,Formula!J68,10)=0,10^6,INDEX(Properties!A$1:CB$87,Formula!J68,10)))</f>
        <v>2</v>
      </c>
      <c r="AK68" s="51">
        <f t="shared" si="37"/>
        <v>5</v>
      </c>
      <c r="AL68" s="57">
        <f>((Formula!C68)/(Formula!C68+Formula!E68+Formula!G68+Formula!I68+Formula!K68))*(INDEX(Properties!A$1:CB$87,Formula!B68,11))+((Formula!E68)/(Formula!C68+Formula!E68+Formula!G68+Formula!I68+Formula!K68))*(INDEX(Properties!A$1:CB$87,Formula!D68,11))+((Formula!G68)/(Formula!C68+Formula!E68+Formula!G68+Formula!I68+Formula!K68))*(INDEX(Properties!A$1:CB$87,Formula!F68,11))+((Formula!I68)/(Formula!C68+Formula!E68+Formula!G68+Formula!I68+Formula!K68))*(INDEX(Properties!A$1:CB$87,Formula!H68,11))+((Formula!K68)/(Formula!C68+Formula!E68+Formula!G68+Formula!I68+Formula!K68))*(INDEX(Properties!A$1:CB$87,Formula!J68,11))</f>
        <v>2</v>
      </c>
      <c r="AM68" s="57">
        <f>Formula!C68*(INDEX(Properties!A$1:CB$87,Formula!B68,11))+Formula!E68*(INDEX(Properties!A$1:CB$87,Formula!D68,11))+Formula!G68*(INDEX(Properties!A$1:CB$87,Formula!F68,11))+Formula!I68*(INDEX(Properties!A$1:CB$87,Formula!H68,11))+Formula!K68*(INDEX(Properties!A$1:CB$87,Formula!J68,11))</f>
        <v>14</v>
      </c>
      <c r="AN68" s="57">
        <f>VARP(IF(INDEX(Properties!A$1:CB$87,Formula!B68,11)&lt;&gt;"",INDEX(Properties!A$1:CB$87,Formula!B68,11)),IF(INDEX(Properties!A$1:CB$87,Formula!D68,11)&lt;&gt;"",INDEX(Properties!A$1:CB$87,Formula!D68,11)),IF(INDEX(Properties!A$1:CB$87,Formula!F68,11)&lt;&gt;"",INDEX(Properties!A$1:CB$87,Formula!F68,11)),IF(INDEX(Properties!A$1:CB$87,Formula!H68,11)&lt;&gt;"",INDEX(Properties!A$1:CB$87,Formula!H68,11)),IF(INDEX(Properties!A$1:CB$87,Formula!J68,11)&lt;&gt;"",INDEX(Properties!A$1:CB$87,Formula!J68,11)))</f>
        <v>0.96</v>
      </c>
      <c r="AO68" s="57">
        <f>MAX(INDEX(Properties!A$1:CB$87,Formula!B68,11),INDEX(Properties!A$1:CB$87,Formula!D68,11),INDEX(Properties!A$1:CB$87,Formula!F68,11),INDEX(Properties!A$1:CB$87,Formula!H68,11),INDEX(Properties!A$1:CB$87,Formula!J68,11))</f>
        <v>2</v>
      </c>
      <c r="AP68" s="57">
        <f>MIN(IF(Formula!B68=87,10^6,INDEX(Properties!A$1:CB$87,Formula!B68,11)),IF((Formula!D68)=87,10^6,INDEX(Properties!A$1:CB$87,Formula!D68,11)),IF((Formula!F68)=87,10^6,INDEX(Properties!A$1:CB$87,Formula!F68,11)),IF((Formula!H68)=87,10^6,INDEX(Properties!A$1:CB$87,Formula!H68,11)),IF(Formula!J68=87,10^6,INDEX(Properties!A$1:CB$87,Formula!J68,11)))</f>
        <v>2</v>
      </c>
      <c r="AQ68" s="57">
        <f t="shared" si="38"/>
        <v>0</v>
      </c>
      <c r="AR68" s="78">
        <f>((Formula!C68)/(Formula!C68+Formula!E68+Formula!G68+Formula!I68+Formula!K68))*(INDEX(Properties!A$1:CB$87,Formula!B68,12))+((Formula!E68)/(Formula!C68+Formula!E68+Formula!G68+Formula!I68+Formula!K68))*(INDEX(Properties!A$1:CB$87,Formula!D68,12))+((Formula!G68)/(Formula!C68+Formula!E68+Formula!G68+Formula!I68+Formula!K68))*(INDEX(Properties!A$1:CB$87,Formula!F68,12))+((Formula!I68)/(Formula!C68+Formula!E68+Formula!G68+Formula!I68+Formula!K68))*(INDEX(Properties!A$1:CB$87,Formula!H68,12))+((Formula!K68)/(Formula!C68+Formula!E68+Formula!G68+Formula!I68+Formula!K68))*(INDEX(Properties!A$1:CB$87,Formula!J68,12))</f>
        <v>2.5714285714285712</v>
      </c>
      <c r="AS68" s="78">
        <f>Formula!C68*(INDEX(Properties!A$1:CB$87,Formula!B68,12))+Formula!E68*(INDEX(Properties!A$1:CB$87,Formula!D68,12))+Formula!G68*(INDEX(Properties!A$1:CB$87,Formula!F68,12))+Formula!I68*(INDEX(Properties!A$1:CB$87,Formula!H68,12))+Formula!K68*(INDEX(Properties!A$1:CB$87,Formula!J68,12))</f>
        <v>18</v>
      </c>
      <c r="AT68" s="78">
        <f>VARP(IF(INDEX(Properties!A$1:CB$87,Formula!B68,12)&lt;&gt;"",INDEX(Properties!A$1:CB$87,Formula!B68,12)),IF(INDEX(Properties!A$1:CB$87,Formula!D68,12)&lt;&gt;"",INDEX(Properties!A$1:CB$87,Formula!D68,12)),IF(INDEX(Properties!A$1:CB$87,Formula!F68,12)&lt;&gt;"",INDEX(Properties!A$1:CB$87,Formula!F68,12)),IF(INDEX(Properties!A$1:CB$87,Formula!H68,12)&lt;&gt;"",INDEX(Properties!A$1:CB$87,Formula!H68,12)),IF(INDEX(Properties!A$1:CB$87,Formula!J68,12)&lt;&gt;"",INDEX(Properties!A$1:CB$87,Formula!J68,12)))</f>
        <v>2.4</v>
      </c>
      <c r="AU68" s="78">
        <f>MAX(INDEX(Properties!A$1:CB$87,Formula!B68,12),INDEX(Properties!A$1:CB$87,Formula!D68,12),INDEX(Properties!A$1:CB$87,Formula!F68,12),INDEX(Properties!A$1:CB$87,Formula!H68,12),INDEX(Properties!A$1:CB$87,Formula!J68,12))</f>
        <v>4</v>
      </c>
      <c r="AV68" s="78">
        <f>MIN(IF(Formula!B68=87,10^6,INDEX(Properties!A$1:CB$87,Formula!B68,12)),IF((Formula!D68)=87,10^6,INDEX(Properties!A$1:CB$87,Formula!D68,12)),IF((Formula!F68)=87,10^6,INDEX(Properties!A$1:CB$87,Formula!F68,12)),IF((Formula!H68)=87,10^6,INDEX(Properties!A$1:CB$87,Formula!H68,12)),IF(Formula!J68=87,10^6,INDEX(Properties!A$1:CB$87,Formula!J68,12)))</f>
        <v>0</v>
      </c>
      <c r="AW68" s="78">
        <f t="shared" si="39"/>
        <v>4</v>
      </c>
      <c r="AX68" s="45">
        <f>((Formula!C68)/(Formula!C68+Formula!E68+Formula!G68+Formula!I68+Formula!K68))*(INDEX(Properties!A$1:CB$87,Formula!B68,13))+((Formula!E68)/(Formula!C68+Formula!E68+Formula!G68+Formula!I68+Formula!K68))*(INDEX(Properties!A$1:CB$87,Formula!D68,13))+((Formula!G68)/(Formula!C68+Formula!E68+Formula!G68+Formula!I68+Formula!K68))*(INDEX(Properties!A$1:CB$87,Formula!F68,13))+((Formula!I68)/(Formula!C68+Formula!E68+Formula!G68+Formula!I68+Formula!K68))*(INDEX(Properties!A$1:CB$87,Formula!H68,13))+((Formula!K68)/(Formula!C68+Formula!E68+Formula!G68+Formula!I68+Formula!K68))*(INDEX(Properties!A$1:CB$87,Formula!J68,13))</f>
        <v>0</v>
      </c>
      <c r="AY68" s="45">
        <f>Formula!C68*(INDEX(Properties!A$1:CB$87,Formula!B68,13))+Formula!E68*(INDEX(Properties!A$1:CB$87,Formula!D68,13))+Formula!G68*(INDEX(Properties!A$1:CB$87,Formula!F68,13))+Formula!I68*(INDEX(Properties!A$1:CB$87,Formula!H68,13))+Formula!K68*(INDEX(Properties!A$1:CB$87,Formula!J68,13))</f>
        <v>0</v>
      </c>
      <c r="AZ68" s="45">
        <f>VARP(IF(INDEX(Properties!A$1:CB$87,Formula!B68,13)&lt;&gt;"",INDEX(Properties!A$1:CB$87,Formula!B68,13)),IF(INDEX(Properties!A$1:CB$87,Formula!D68,13)&lt;&gt;"",INDEX(Properties!A$1:CB$87,Formula!D68,13)),IF(INDEX(Properties!A$1:CB$87,Formula!F68,13)&lt;&gt;"",INDEX(Properties!A$1:CB$87,Formula!F68,13)),IF(INDEX(Properties!A$1:CB$87,Formula!H68,13)&lt;&gt;"",INDEX(Properties!A$1:CB$87,Formula!H68,13)),IF(INDEX(Properties!A$1:CB$87,Formula!J68,13)&lt;&gt;"",INDEX(Properties!A$1:CB$87,Formula!J68,13)))</f>
        <v>0</v>
      </c>
      <c r="BA68" s="45">
        <f>MAX(INDEX(Properties!A$1:CB$87,Formula!B68,13),INDEX(Properties!A$1:CB$87,Formula!D68,13),INDEX(Properties!A$1:CB$87,Formula!F68,13),INDEX(Properties!A$1:CB$87,Formula!H68,13),INDEX(Properties!A$1:CB$87,Formula!J68,13))</f>
        <v>0</v>
      </c>
      <c r="BB68" s="45">
        <f>MIN(IF(Formula!B68=87,10^6,INDEX(Properties!A$1:CB$87,Formula!B68,13)),IF((Formula!D68)=87,10^6,INDEX(Properties!A$1:CB$87,Formula!D68,13)),IF((Formula!F68)=87,10^6,INDEX(Properties!A$1:CB$87,Formula!F68,13)),IF((Formula!H68)=87,10^6,INDEX(Properties!A$1:CB$87,Formula!H68,13)),IF(Formula!J68=87,10^6,INDEX(Properties!A$1:CB$87,Formula!J68,13)))</f>
        <v>0</v>
      </c>
      <c r="BC68" s="45">
        <f t="shared" si="40"/>
        <v>0</v>
      </c>
      <c r="BD68" s="63">
        <f>((Formula!C68)/(Formula!C68+Formula!E68+Formula!G68+Formula!I68+Formula!K68))*(INDEX(Properties!A$1:CB$87,Formula!B68,14))+((Formula!E68)/(Formula!C68+Formula!E68+Formula!G68+Formula!I68+Formula!K68))*(INDEX(Properties!A$1:CB$87,Formula!D68,14))+((Formula!G68)/(Formula!C68+Formula!E68+Formula!G68+Formula!I68+Formula!K68))*(INDEX(Properties!A$1:CB$87,Formula!F68,14))+((Formula!I68)/(Formula!C68+Formula!E68+Formula!G68+Formula!I68+Formula!K68))*(INDEX(Properties!A$1:CB$87,Formula!H68,14))+((Formula!K68)/(Formula!C68+Formula!E68+Formula!G68+Formula!I68+Formula!K68))*(INDEX(Properties!A$1:CB$87,Formula!J68,14))</f>
        <v>0</v>
      </c>
      <c r="BE68" s="63">
        <f>Formula!C68*(INDEX(Properties!A$1:CB$87,Formula!B68,14))+Formula!E68*(INDEX(Properties!A$1:CB$87,Formula!D68,14))+Formula!G68*(INDEX(Properties!A$1:CB$87,Formula!F68,14))+Formula!I68*(INDEX(Properties!A$1:CB$87,Formula!H68,14))+Formula!K68*(INDEX(Properties!A$1:CB$87,Formula!J68,14))</f>
        <v>0</v>
      </c>
      <c r="BF68" s="63">
        <f>VARP(IF(INDEX(Properties!A$1:CB$87,Formula!B68,14)&lt;&gt;"",INDEX(Properties!A$1:CB$87,Formula!B68,14)),IF(INDEX(Properties!A$1:CB$87,Formula!D68,14)&lt;&gt;"",INDEX(Properties!A$1:CB$87,Formula!D68,14)),IF(INDEX(Properties!A$1:CB$87,Formula!F68,14)&lt;&gt;"",INDEX(Properties!A$1:CB$87,Formula!F68,14)),IF(INDEX(Properties!A$1:CB$87,Formula!H68,14)&lt;&gt;"",INDEX(Properties!A$1:CB$87,Formula!H68,14)),IF(INDEX(Properties!A$1:CB$87,Formula!J68,14)&lt;&gt;"",INDEX(Properties!A$1:CB$87,Formula!J68,14)))</f>
        <v>0</v>
      </c>
      <c r="BG68" s="63">
        <f>MAX(INDEX(Properties!A$1:CB$87,Formula!B68,14),INDEX(Properties!A$1:CB$87,Formula!D68,14),INDEX(Properties!A$1:CB$87,Formula!F68,14),INDEX(Properties!A$1:CB$87,Formula!H68,14),INDEX(Properties!A$1:CB$87,Formula!J68,14))</f>
        <v>0</v>
      </c>
      <c r="BH68" s="63">
        <f>MIN(IF(Formula!B68=87,10^6,INDEX(Properties!A$1:CB$87,Formula!B68,14)),IF((Formula!D68)=87,10^6,INDEX(Properties!A$1:CB$87,Formula!D68,14)),IF((Formula!F68)=87,10^6,INDEX(Properties!A$1:CB$87,Formula!F68,14)),IF((Formula!H68)=87,10^6,INDEX(Properties!A$1:CB$87,Formula!H68,14)),IF(Formula!J68=87,10^6,INDEX(Properties!A$1:CB$87,Formula!J68,14)))</f>
        <v>0</v>
      </c>
      <c r="BI68" s="63">
        <f t="shared" si="41"/>
        <v>0</v>
      </c>
      <c r="BJ68" s="75">
        <f>((Formula!C68)/(Formula!C68+Formula!E68+Formula!G68+Formula!I68+Formula!K68))*(INDEX(Properties!A$1:CB$87,Formula!B68,19))+((Formula!E68)/(Formula!C68+Formula!E68+Formula!G68+Formula!I68+Formula!K68))*(INDEX(Properties!A$1:CB$87,Formula!D68,19))+((Formula!G68)/(Formula!C68+Formula!E68+Formula!G68+Formula!I68+Formula!K68))*(INDEX(Properties!A$1:CB$87,Formula!F68,19))+((Formula!I68)/(Formula!C68+Formula!E68+Formula!G68+Formula!I68+Formula!K68))*(INDEX(Properties!A$1:CB$87,Formula!H68,19))+((Formula!K68)/(Formula!C68+Formula!E68+Formula!G68+Formula!I68+Formula!K68))*(INDEX(Properties!A$1:CB$87,Formula!J68,19))</f>
        <v>4.5714285714285712</v>
      </c>
      <c r="BK68" s="75">
        <f>Formula!C68*(INDEX(Properties!A$1:CB$87,Formula!B68,19))+Formula!E68*(INDEX(Properties!A$1:CB$87,Formula!D68,19))+Formula!G68*(INDEX(Properties!A$1:CB$87,Formula!F68,19))+Formula!I68*(INDEX(Properties!A$1:CB$87,Formula!H68,19))+Formula!K68*(INDEX(Properties!A$1:CB$87,Formula!J68,19))</f>
        <v>32</v>
      </c>
      <c r="BL68" s="75">
        <f>VARP(IF(INDEX(Properties!A$1:CB$87,Formula!B68,19)&lt;&gt;"",INDEX(Properties!A$1:CB$87,Formula!B68,19)),IF(INDEX(Properties!A$1:CB$87,Formula!D68,19)&lt;&gt;"",INDEX(Properties!A$1:CB$87,Formula!D68,19)),IF(INDEX(Properties!A$1:CB$87,Formula!F68,19)&lt;&gt;"",INDEX(Properties!A$1:CB$87,Formula!F68,19)),IF(INDEX(Properties!A$1:CB$87,Formula!H68,19)&lt;&gt;"",INDEX(Properties!A$1:CB$87,Formula!H68,19)),IF(INDEX(Properties!A$1:CB$87,Formula!J68,19)&lt;&gt;"",INDEX(Properties!A$1:CB$87,Formula!J68,19)))</f>
        <v>4.96</v>
      </c>
      <c r="BM68" s="75">
        <f>MAX(INDEX(Properties!A$1:CB$87,Formula!B68,19),INDEX(Properties!A$1:CB$87,Formula!D68,19),INDEX(Properties!A$1:CB$87,Formula!F68,19),INDEX(Properties!A$1:CB$87,Formula!H68,19),INDEX(Properties!A$1:CB$87,Formula!J68,19))</f>
        <v>6</v>
      </c>
      <c r="BN68" s="75">
        <f>MIN(IF(INDEX(Properties!A$1:CB$87,Formula!B68,19)=0,10^6,INDEX(Properties!A$1:CB$87,Formula!B68,19)),IF(INDEX(Properties!A$1:CB$87,Formula!D68,19)=0,10^6,INDEX(Properties!A$1:CB$87,Formula!D68,19)),IF(INDEX(Properties!A$1:CB$87,Formula!F68,19)=0,10^6,INDEX(Properties!A$1:CB$87,Formula!F68,19)),IF(INDEX(Properties!A$1:CB$87,Formula!H68,19)=0,10^6,INDEX(Properties!A$1:CB$87,Formula!H68,19)),IF(INDEX(Properties!A$1:CB$87,Formula!J68,19)=0,10^6,INDEX(Properties!A$1:CB$87,Formula!J68,19)))</f>
        <v>2</v>
      </c>
      <c r="BO68" s="75">
        <f t="shared" si="42"/>
        <v>4</v>
      </c>
      <c r="BP68" s="48">
        <f>((Formula!C68)/(Formula!C68+Formula!E68+Formula!G68+Formula!I68+Formula!K68))*(INDEX(Properties!A$1:CB$87,Formula!B68,20))+((Formula!E68)/(Formula!C68+Formula!E68+Formula!G68+Formula!I68+Formula!K68))*(INDEX(Properties!A$1:CB$87,Formula!D68,20))+((Formula!G68)/(Formula!C68+Formula!E68+Formula!G68+Formula!I68+Formula!K68))*(INDEX(Properties!A$1:CB$87,Formula!F68,20))+((Formula!I68)/(Formula!C68+Formula!E68+Formula!G68+Formula!I68+Formula!K68))*(INDEX(Properties!A$1:CB$87,Formula!H68,20))+((Formula!K68)/(Formula!C68+Formula!E68+Formula!G68+Formula!I68+Formula!K68))*(INDEX(Properties!A$1:CB$87,Formula!J68,20))</f>
        <v>4.5714285714285712</v>
      </c>
      <c r="BQ68" s="48">
        <f>Formula!C68*(INDEX(Properties!A$1:CB$87,Formula!B68,20))+Formula!E68*(INDEX(Properties!A$1:CB$87,Formula!D68,20))+Formula!G68*(INDEX(Properties!A$1:CB$87,Formula!F68,20))+Formula!I68*(INDEX(Properties!A$1:CB$87,Formula!H68,20))+Formula!K68*(INDEX(Properties!A$1:CB$87,Formula!J68,20))</f>
        <v>32</v>
      </c>
      <c r="BR68" s="48">
        <f>VARP(IF(INDEX(Properties!A$1:CB$87,Formula!B68,20)&lt;&gt;"",INDEX(Properties!A$1:CB$87,Formula!B68,20)),IF(INDEX(Properties!A$1:CB$87,Formula!D68,20)&lt;&gt;"",INDEX(Properties!A$1:CB$87,Formula!D68,20)),IF(INDEX(Properties!A$1:CB$87,Formula!F68,20)&lt;&gt;"",INDEX(Properties!A$1:CB$87,Formula!F68,20)),IF(INDEX(Properties!A$1:CB$87,Formula!H68,20)&lt;&gt;"",INDEX(Properties!A$1:CB$87,Formula!H68,20)),IF(INDEX(Properties!A$1:CB$87,Formula!J68,20)&lt;&gt;"",INDEX(Properties!A$1:CB$87,Formula!J68,20)))</f>
        <v>4.96</v>
      </c>
      <c r="BS68" s="48">
        <f>MAX(INDEX(Properties!A$1:CB$87,Formula!B68,20),INDEX(Properties!A$1:CB$87,Formula!D68,20),INDEX(Properties!A$1:CB$87,Formula!F68,20),INDEX(Properties!A$1:CB$87,Formula!H68,20),INDEX(Properties!A$1:CB$87,Formula!J68,20))</f>
        <v>6</v>
      </c>
      <c r="BT68" s="48">
        <f>MIN(IF(INDEX(Properties!A$1:CB$87,Formula!B68,20)=0,10^6,INDEX(Properties!A$1:CB$87,Formula!B68,20)),IF(INDEX(Properties!A$1:CB$87,Formula!D68,20)=0,10^6,INDEX(Properties!A$1:CB$87,Formula!D68,20)),IF(INDEX(Properties!A$1:CB$87,Formula!F68,20)=0,10^6,INDEX(Properties!A$1:CB$87,Formula!F68,20)),IF(INDEX(Properties!A$1:CB$87,Formula!H68,20)=0,10^6,INDEX(Properties!A$1:CB$87,Formula!H68,20)),IF(INDEX(Properties!A$1:CB$87,Formula!J68,20)=0,10^6,INDEX(Properties!A$1:CB$87,Formula!J68,20)))</f>
        <v>2</v>
      </c>
      <c r="BU68" s="48">
        <f t="shared" si="43"/>
        <v>4</v>
      </c>
      <c r="BV68" s="66">
        <f>((Formula!C68)/(Formula!C68+Formula!E68+Formula!G68+Formula!I68+Formula!K68))*(INDEX(Properties!A$1:CB$87,Formula!B68,21))+((Formula!E68)/(Formula!C68+Formula!E68+Formula!G68+Formula!I68+Formula!K68))*(INDEX(Properties!A$1:CB$87,Formula!D68,21))+((Formula!G68)/(Formula!C68+Formula!E68+Formula!G68+Formula!I68+Formula!K68))*(INDEX(Properties!A$1:CB$87,Formula!F68,21))+((Formula!I68)/(Formula!C68+Formula!E68+Formula!G68+Formula!I68+Formula!K68))*(INDEX(Properties!A$1:CB$87,Formula!H68,21))+((Formula!K68)/(Formula!C68+Formula!E68+Formula!G68+Formula!I68+Formula!K68))*(INDEX(Properties!A$1:CB$87,Formula!J68,21))</f>
        <v>4.5714285714285712</v>
      </c>
      <c r="BW68" s="66">
        <f>Formula!C68*(INDEX(Properties!A$1:CB$87,Formula!B68,21))+Formula!E68*(INDEX(Properties!A$1:CB$87,Formula!D68,21))+Formula!G68*(INDEX(Properties!A$1:CB$87,Formula!F68,21))+Formula!I68*(INDEX(Properties!A$1:CB$87,Formula!H68,21))+Formula!K68*(INDEX(Properties!A$1:CB$87,Formula!J68,21))</f>
        <v>32</v>
      </c>
      <c r="BX68" s="66">
        <f>VARP(IF(INDEX(Properties!A$1:CB$87,Formula!B68,21)&lt;&gt;"",INDEX(Properties!A$1:CB$87,Formula!B68,21)),IF(INDEX(Properties!A$1:CB$87,Formula!D68,21)&lt;&gt;"",INDEX(Properties!A$1:CB$87,Formula!D68,21)),IF(INDEX(Properties!A$1:CB$87,Formula!F68,21)&lt;&gt;"",INDEX(Properties!A$1:CB$87,Formula!F68,21)),IF(INDEX(Properties!A$1:CB$87,Formula!H68,21)&lt;&gt;"",INDEX(Properties!A$1:CB$87,Formula!H68,21)),IF(INDEX(Properties!A$1:CB$87,Formula!J68,21)&lt;&gt;"",INDEX(Properties!A$1:CB$87,Formula!J68,21)))</f>
        <v>4.96</v>
      </c>
      <c r="BY68" s="66">
        <f>MAX(INDEX(Properties!A$1:CB$87,Formula!B68,21),INDEX(Properties!A$1:CB$87,Formula!D68,21),INDEX(Properties!A$1:CB$87,Formula!F68,21),INDEX(Properties!A$1:CB$87,Formula!H68,21),INDEX(Properties!A$1:CB$87,Formula!J68,21))</f>
        <v>6</v>
      </c>
      <c r="BZ68" s="66">
        <f>MIN(IF(INDEX(Properties!A$1:CB$87,Formula!B68,21)=0,10^6,INDEX(Properties!A$1:CB$87,Formula!B68,21)),IF(INDEX(Properties!A$1:CB$87,Formula!D68,21)=0,10^6,INDEX(Properties!A$1:CB$87,Formula!D68,21)),IF(INDEX(Properties!A$1:CB$87,Formula!F68,21)=0,10^6,INDEX(Properties!A$1:CB$87,Formula!F68,21)),IF(INDEX(Properties!A$1:CB$87,Formula!H68,21)=0,10^6,INDEX(Properties!A$1:CB$87,Formula!H68,21)),IF(INDEX(Properties!A$1:CB$87,Formula!J68,21)=0,10^6,INDEX(Properties!A$1:CB$87,Formula!J68,21)))</f>
        <v>2</v>
      </c>
      <c r="CA68" s="66">
        <f t="shared" si="44"/>
        <v>4</v>
      </c>
      <c r="CB68" s="81">
        <f>((Formula!C68)/(Formula!C68+Formula!E68+Formula!G68+Formula!I68+Formula!K68))*(INDEX(Properties!A$1:CB$87,Formula!B68,23))+((Formula!E68)/(Formula!C68+Formula!E68+Formula!G68+Formula!I68+Formula!K68))*(INDEX(Properties!A$1:CB$87,Formula!D68,23))+((Formula!G68)/(Formula!C68+Formula!E68+Formula!G68+Formula!I68+Formula!K68))*(INDEX(Properties!A$1:CB$87,Formula!F68,23))+((Formula!I68)/(Formula!C68+Formula!E68+Formula!G68+Formula!I68+Formula!K68))*(INDEX(Properties!A$1:CB$87,Formula!H68,23))+((Formula!K68)/(Formula!C68+Formula!E68+Formula!G68+Formula!I68+Formula!K68))*(INDEX(Properties!A$1:CB$87,Formula!J68,23))</f>
        <v>1.1428571428571428</v>
      </c>
      <c r="CC68" s="81">
        <f>Formula!C68*(INDEX(Properties!A$1:CB$87,Formula!B68,23))+Formula!E68*(INDEX(Properties!A$1:CB$87,Formula!D68,23))+Formula!G68*(INDEX(Properties!A$1:CB$87,Formula!F68,23))+Formula!I68*(INDEX(Properties!A$1:CB$87,Formula!H68,23))+Formula!K68*(INDEX(Properties!A$1:CB$87,Formula!J68,23))</f>
        <v>8</v>
      </c>
      <c r="CD68" s="81">
        <f>VARP(IF(INDEX(Properties!A$1:CB$87,Formula!B68,23)&lt;&gt;"",INDEX(Properties!A$1:CB$87,Formula!B68,23)),IF(INDEX(Properties!A$1:CB$87,Formula!D68,23)&lt;&gt;"",INDEX(Properties!A$1:CB$87,Formula!D68,23)),IF(INDEX(Properties!A$1:CB$87,Formula!F68,23)&lt;&gt;"",INDEX(Properties!A$1:CB$87,Formula!F68,23)),IF(INDEX(Properties!A$1:CB$87,Formula!H68,23)&lt;&gt;"",INDEX(Properties!A$1:CB$87,Formula!H68,23)),IF(INDEX(Properties!A$1:CB$87,Formula!J68,23)&lt;&gt;"",INDEX(Properties!A$1:CB$87,Formula!J68,23)))</f>
        <v>1.6</v>
      </c>
      <c r="CE68" s="81">
        <f>MAX(INDEX(Properties!A$1:CB$87,Formula!B68,23),INDEX(Properties!A$1:CB$87,Formula!D68,23),INDEX(Properties!A$1:CB$87,Formula!F68,23),INDEX(Properties!A$1:CB$87,Formula!H68,23),INDEX(Properties!A$1:CB$87,Formula!J68,23))</f>
        <v>3</v>
      </c>
      <c r="CF68" s="81">
        <f>MIN(IF(Formula!B68=87,10^6,INDEX(Properties!A$1:CB$87,Formula!B68,23)),IF((Formula!D68)=87,10^6,INDEX(Properties!A$1:CB$87,Formula!D68,23)),IF((Formula!F68)=87,10^6,INDEX(Properties!A$1:CB$87,Formula!F68,23)),IF((Formula!H68)=87,10^6,INDEX(Properties!A$1:CB$87,Formula!H68,23)),IF(Formula!J68=87,10^6,INDEX(Properties!A$1:CB$87,Formula!J68,23)))</f>
        <v>0</v>
      </c>
      <c r="CG68" s="81">
        <f t="shared" si="45"/>
        <v>3</v>
      </c>
      <c r="CH68" s="39">
        <f>((Formula!C68)/(Formula!C68+Formula!E68+Formula!G68+Formula!I68+Formula!K68))*(INDEX(Properties!A$1:CB$87,Formula!B68,26))+((Formula!E68)/(Formula!C68+Formula!E68+Formula!G68+Formula!I68+Formula!K68))*(INDEX(Properties!A$1:CB$87,Formula!D68,26))+((Formula!G68)/(Formula!C68+Formula!E68+Formula!G68+Formula!I68+Formula!K68))*(INDEX(Properties!A$1:CB$87,Formula!F68,26))+((Formula!I68)/(Formula!C68+Formula!E68+Formula!G68+Formula!I68+Formula!K68))*(INDEX(Properties!A$1:CB$87,Formula!H68,26))+((Formula!K68)/(Formula!C68+Formula!E68+Formula!G68+Formula!I68+Formula!K68))*(INDEX(Properties!A$1:CB$87,Formula!J68,26))</f>
        <v>10.584314285714285</v>
      </c>
      <c r="CI68" s="39">
        <f>Formula!C68*(INDEX(Properties!A$1:CB$87,Formula!B68,26))+Formula!E68*(INDEX(Properties!A$1:CB$87,Formula!D68,26))+Formula!G68*(INDEX(Properties!A$1:CB$87,Formula!F68,26))+Formula!I68*(INDEX(Properties!A$1:CB$87,Formula!H68,26))+Formula!K68*(INDEX(Properties!A$1:CB$87,Formula!J68,26))</f>
        <v>74.09020000000001</v>
      </c>
      <c r="CJ68" s="39">
        <f>VARP(IF(INDEX(Properties!A$1:CB$87,Formula!B68,26)&lt;&gt;"",INDEX(Properties!A$1:CB$87,Formula!B68,26)),IF(INDEX(Properties!A$1:CB$87,Formula!D68,26)&lt;&gt;"",INDEX(Properties!A$1:CB$87,Formula!D68,26)),IF(INDEX(Properties!A$1:CB$87,Formula!F68,26)&lt;&gt;"",INDEX(Properties!A$1:CB$87,Formula!F68,26)),IF(INDEX(Properties!A$1:CB$87,Formula!H68,26)&lt;&gt;"",INDEX(Properties!A$1:CB$87,Formula!H68,26)),IF(INDEX(Properties!A$1:CB$87,Formula!J68,26)&lt;&gt;"",INDEX(Properties!A$1:CB$87,Formula!J68,26)))</f>
        <v>26.246646737599995</v>
      </c>
      <c r="CK68" s="39">
        <f>MAX(INDEX(Properties!A$1:CB$87,Formula!B68,26),INDEX(Properties!A$1:CB$87,Formula!D68,26),INDEX(Properties!A$1:CB$87,Formula!F68,26),INDEX(Properties!A$1:CB$87,Formula!H68,26),INDEX(Properties!A$1:CB$87,Formula!J68,26))</f>
        <v>13.6181</v>
      </c>
      <c r="CL68" s="39">
        <f>MIN(IF(INDEX(Properties!A$1:CB$87,Formula!B68,26)=0,10^6,INDEX(Properties!A$1:CB$87,Formula!B68,26)),IF(INDEX(Properties!A$1:CB$87,Formula!D68,26)=0,10^6,INDEX(Properties!A$1:CB$87,Formula!D68,26)),IF(INDEX(Properties!A$1:CB$87,Formula!F68,26)=0,10^6,INDEX(Properties!A$1:CB$87,Formula!F68,26)),IF(INDEX(Properties!A$1:CB$87,Formula!H68,26)=0,10^6,INDEX(Properties!A$1:CB$87,Formula!H68,26)),IF(INDEX(Properties!A$1:CB$87,Formula!J68,26)=0,10^6,INDEX(Properties!A$1:CB$87,Formula!J68,26)))</f>
        <v>5.9858000000000002</v>
      </c>
      <c r="CM68" s="39">
        <f t="shared" si="46"/>
        <v>7.6322999999999999</v>
      </c>
      <c r="CN68" s="54">
        <f>((Formula!C68)/(Formula!C68+Formula!E68+Formula!G68+Formula!I68+Formula!K68))*(INDEX(Properties!A$1:CB$87,Formula!B68,30))+((Formula!E68)/(Formula!C68+Formula!E68+Formula!G68+Formula!I68+Formula!K68))*(INDEX(Properties!A$1:CB$87,Formula!D68,30))+((Formula!G68)/(Formula!C68+Formula!E68+Formula!G68+Formula!I68+Formula!K68))*(INDEX(Properties!A$1:CB$87,Formula!F68,30))+((Formula!I68)/(Formula!C68+Formula!E68+Formula!G68+Formula!I68+Formula!K68))*(INDEX(Properties!A$1:CB$87,Formula!H68,30))+((Formula!K68)/(Formula!C68+Formula!E68+Formula!G68+Formula!I68+Formula!K68))*(INDEX(Properties!A$1:CB$87,Formula!J68,30))</f>
        <v>2.6128571428571425</v>
      </c>
      <c r="CO68" s="54">
        <f>Formula!C68*(INDEX(Properties!A$1:CB$87,Formula!B68,30))+Formula!E68*(INDEX(Properties!A$1:CB$87,Formula!D68,30))+Formula!G68*(INDEX(Properties!A$1:CB$87,Formula!F68,30))+Formula!I68*(INDEX(Properties!A$1:CB$87,Formula!H68,30))+Formula!K68*(INDEX(Properties!A$1:CB$87,Formula!J68,30))</f>
        <v>18.29</v>
      </c>
      <c r="CP68" s="54">
        <f>VARP(IF(INDEX(Properties!A$1:CB$87,Formula!B68,30)&lt;&gt;"",INDEX(Properties!A$1:CB$87,Formula!B68,30)),IF(INDEX(Properties!A$1:CB$87,Formula!D68,30)&lt;&gt;"",INDEX(Properties!A$1:CB$87,Formula!D68,30)),IF(INDEX(Properties!A$1:CB$87,Formula!F68,30)&lt;&gt;"",INDEX(Properties!A$1:CB$87,Formula!F68,30)),IF(INDEX(Properties!A$1:CB$87,Formula!H68,30)&lt;&gt;"",INDEX(Properties!A$1:CB$87,Formula!H68,30)),IF(INDEX(Properties!A$1:CB$87,Formula!J68,30)&lt;&gt;"",INDEX(Properties!A$1:CB$87,Formula!J68,30)))</f>
        <v>1.6103760000000005</v>
      </c>
      <c r="CQ68" s="54">
        <f>MAX(INDEX(Properties!A$1:CB$87,Formula!B68,30),INDEX(Properties!A$1:CB$87,Formula!D68,30),INDEX(Properties!A$1:CB$87,Formula!F68,30),INDEX(Properties!A$1:CB$87,Formula!H68,30),INDEX(Properties!A$1:CB$87,Formula!J68,30))</f>
        <v>3.44</v>
      </c>
      <c r="CR68" s="54">
        <f>MIN(IF(INDEX(Properties!A$1:CB$87,Formula!B68,30)=0,10^6,INDEX(Properties!A$1:CB$87,Formula!B68,30)),IF(INDEX(Properties!A$1:CB$87,Formula!D68,30)=0,10^6,INDEX(Properties!A$1:CB$87,Formula!D68,30)),IF(INDEX(Properties!A$1:CB$87,Formula!F68,30)=0,10^6,INDEX(Properties!A$1:CB$87,Formula!F68,30)),IF(INDEX(Properties!A$1:CB$87,Formula!H68,30)=0,10^6,INDEX(Properties!A$1:CB$87,Formula!H68,30)),IF(INDEX(Properties!A$1:CB$87,Formula!J68,30)=0,10^6,INDEX(Properties!A$1:CB$87,Formula!J68,30)))</f>
        <v>1.31</v>
      </c>
      <c r="CS68" s="54">
        <f t="shared" si="47"/>
        <v>2.13</v>
      </c>
      <c r="CT68" s="69">
        <f>((Formula!C68)/(Formula!C68+Formula!E68+Formula!G68+Formula!I68+Formula!K68))*(INDEX(Properties!A$1:CB$87,Formula!B68,31))+((Formula!E68)/(Formula!C68+Formula!E68+Formula!G68+Formula!I68+Formula!K68))*(INDEX(Properties!A$1:CB$87,Formula!D68,31))+((Formula!G68)/(Formula!C68+Formula!E68+Formula!G68+Formula!I68+Formula!K68))*(INDEX(Properties!A$1:CB$87,Formula!F68,31))+((Formula!I68)/(Formula!C68+Formula!E68+Formula!G68+Formula!I68+Formula!K68))*(INDEX(Properties!A$1:CB$87,Formula!H68,31))+((Formula!K68)/(Formula!C68+Formula!E68+Formula!G68+Formula!I68+Formula!K68))*(INDEX(Properties!A$1:CB$87,Formula!J68,31))</f>
        <v>2.5528571428571425</v>
      </c>
      <c r="CU68" s="69">
        <f>Formula!C68*(INDEX(Properties!A$1:CB$87,Formula!B68,31))+Formula!E68*(INDEX(Properties!A$1:CB$87,Formula!D68,31))+Formula!G68*(INDEX(Properties!A$1:CB$87,Formula!F68,31))+Formula!I68*(INDEX(Properties!A$1:CB$87,Formula!H68,31))+Formula!K68*(INDEX(Properties!A$1:CB$87,Formula!J68,31))</f>
        <v>17.869999999999997</v>
      </c>
      <c r="CV68" s="69">
        <f>VARP(IF(INDEX(Properties!A$1:CB$87,Formula!B68,31)&lt;&gt;"",INDEX(Properties!A$1:CB$87,Formula!B68,31)),IF(INDEX(Properties!A$1:CB$87,Formula!D68,31)&lt;&gt;"",INDEX(Properties!A$1:CB$87,Formula!D68,31)),IF(INDEX(Properties!A$1:CB$87,Formula!F68,31)&lt;&gt;"",INDEX(Properties!A$1:CB$87,Formula!F68,31)),IF(INDEX(Properties!A$1:CB$87,Formula!H68,31)&lt;&gt;"",INDEX(Properties!A$1:CB$87,Formula!H68,31)),IF(INDEX(Properties!A$1:CB$87,Formula!J68,31)&lt;&gt;"",INDEX(Properties!A$1:CB$87,Formula!J68,31)))</f>
        <v>1.5131039999999998</v>
      </c>
      <c r="CW68" s="69">
        <f>MAX(INDEX(Properties!A$1:CB$87,Formula!B68,31),INDEX(Properties!A$1:CB$87,Formula!D68,31),INDEX(Properties!A$1:CB$87,Formula!F68,31),INDEX(Properties!A$1:CB$87,Formula!H68,31),INDEX(Properties!A$1:CB$87,Formula!J68,31))</f>
        <v>3.32</v>
      </c>
      <c r="CX68" s="69">
        <f>MIN(IF(INDEX(Properties!A$1:CB$87,Formula!B68,31)=0,10^6,INDEX(Properties!A$1:CB$87,Formula!B68,31)),IF(INDEX(Properties!A$1:CB$87,Formula!D68,31)=0,10^6,INDEX(Properties!A$1:CB$87,Formula!D68,31)),IF(INDEX(Properties!A$1:CB$87,Formula!F68,31)=0,10^6,INDEX(Properties!A$1:CB$87,Formula!F68,31)),IF(INDEX(Properties!A$1:CB$87,Formula!H68,31)=0,10^6,INDEX(Properties!A$1:CB$87,Formula!H68,31)),IF(INDEX(Properties!A$1:CB$87,Formula!J68,31)=0,10^6,INDEX(Properties!A$1:CB$87,Formula!J68,31)))</f>
        <v>1.31</v>
      </c>
      <c r="CY68" s="69">
        <f t="shared" si="48"/>
        <v>2.0099999999999998</v>
      </c>
      <c r="CZ68" s="42">
        <f>((Formula!C68)/(Formula!C68+Formula!E68+Formula!G68+Formula!I68+Formula!K68))*(INDEX(Properties!A$1:CB$87,Formula!B68,32))+((Formula!E68)/(Formula!C68+Formula!E68+Formula!G68+Formula!I68+Formula!K68))*(INDEX(Properties!A$1:CB$87,Formula!D68,32))+((Formula!G68)/(Formula!C68+Formula!E68+Formula!G68+Formula!I68+Formula!K68))*(INDEX(Properties!A$1:CB$87,Formula!F68,32))+((Formula!I68)/(Formula!C68+Formula!E68+Formula!G68+Formula!I68+Formula!K68))*(INDEX(Properties!A$1:CB$87,Formula!H68,32))+((Formula!K68)/(Formula!C68+Formula!E68+Formula!G68+Formula!I68+Formula!K68))*(INDEX(Properties!A$1:CB$87,Formula!J68,32))</f>
        <v>5.7671428571428578</v>
      </c>
      <c r="DA68" s="42">
        <f>Formula!C68*(INDEX(Properties!A$1:CB$87,Formula!B68,32))+Formula!E68*(INDEX(Properties!A$1:CB$87,Formula!D68,32))+Formula!G68*(INDEX(Properties!A$1:CB$87,Formula!F68,32))+Formula!I68*(INDEX(Properties!A$1:CB$87,Formula!H68,32))+Formula!K68*(INDEX(Properties!A$1:CB$87,Formula!J68,32))</f>
        <v>40.370000000000005</v>
      </c>
      <c r="DB68" s="42">
        <f>VARP(IF(INDEX(Properties!A$1:CB$87,Formula!B68,32)&lt;&gt;"",INDEX(Properties!A$1:CB$87,Formula!B68,32)),IF(INDEX(Properties!A$1:CB$87,Formula!D68,32)&lt;&gt;"",INDEX(Properties!A$1:CB$87,Formula!D68,32)),IF(INDEX(Properties!A$1:CB$87,Formula!F68,32)&lt;&gt;"",INDEX(Properties!A$1:CB$87,Formula!F68,32)),IF(INDEX(Properties!A$1:CB$87,Formula!H68,32)&lt;&gt;"",INDEX(Properties!A$1:CB$87,Formula!H68,32)),IF(INDEX(Properties!A$1:CB$87,Formula!J68,32)&lt;&gt;"",INDEX(Properties!A$1:CB$87,Formula!J68,32)))</f>
        <v>7.8361839999999985</v>
      </c>
      <c r="DC68" s="42">
        <f>MAX(INDEX(Properties!A$1:CB$87,Formula!B68,32),INDEX(Properties!A$1:CB$87,Formula!D68,32),INDEX(Properties!A$1:CB$87,Formula!F68,32),INDEX(Properties!A$1:CB$87,Formula!H68,32),INDEX(Properties!A$1:CB$87,Formula!J68,32))</f>
        <v>7.54</v>
      </c>
      <c r="DD68" s="42">
        <f>MIN(IF(INDEX(Properties!A$1:CB$87,Formula!B68,32)=0,10^6,INDEX(Properties!A$1:CB$87,Formula!B68,32)),IF(INDEX(Properties!A$1:CB$87,Formula!D68,32)=0,10^6,INDEX(Properties!A$1:CB$87,Formula!D68,32)),IF(INDEX(Properties!A$1:CB$87,Formula!F68,32)=0,10^6,INDEX(Properties!A$1:CB$87,Formula!F68,32)),IF(INDEX(Properties!A$1:CB$87,Formula!H68,32)=0,10^6,INDEX(Properties!A$1:CB$87,Formula!H68,32)),IF(INDEX(Properties!A$1:CB$87,Formula!J68,32)=0,10^6,INDEX(Properties!A$1:CB$87,Formula!J68,32)))</f>
        <v>3.23</v>
      </c>
      <c r="DE68" s="42">
        <f t="shared" si="49"/>
        <v>4.3100000000000005</v>
      </c>
      <c r="DF68" s="60">
        <f>((Formula!C68)/(Formula!C68+Formula!E68+Formula!G68+Formula!I68+Formula!K68))*(INDEX(Properties!A$1:CB$87,Formula!B68,34))+((Formula!E68)/(Formula!C68+Formula!E68+Formula!G68+Formula!I68+Formula!K68))*(INDEX(Properties!A$1:CB$87,Formula!D68,34))+((Formula!G68)/(Formula!C68+Formula!E68+Formula!G68+Formula!I68+Formula!K68))*(INDEX(Properties!A$1:CB$87,Formula!F68,34))+((Formula!I68)/(Formula!C68+Formula!E68+Formula!G68+Formula!I68+Formula!K68))*(INDEX(Properties!A$1:CB$87,Formula!H68,34))+((Formula!K68)/(Formula!C68+Formula!E68+Formula!G68+Formula!I68+Formula!K68))*(INDEX(Properties!A$1:CB$87,Formula!J68,34))</f>
        <v>2.7084285714285712</v>
      </c>
      <c r="DG68" s="60">
        <f>Formula!C68*(INDEX(Properties!A$1:CB$87,Formula!B68,34))+Formula!E68*(INDEX(Properties!A$1:CB$87,Formula!D68,34))+Formula!G68*(INDEX(Properties!A$1:CB$87,Formula!F68,34))+Formula!I68*(INDEX(Properties!A$1:CB$87,Formula!H68,34))+Formula!K68*(INDEX(Properties!A$1:CB$87,Formula!J68,34))</f>
        <v>18.959</v>
      </c>
      <c r="DH68" s="60">
        <f>VARP(IF(INDEX(Properties!A$1:CB$87,Formula!B68,34)&lt;&gt;"",INDEX(Properties!A$1:CB$87,Formula!B68,34)),IF(INDEX(Properties!A$1:CB$87,Formula!D68,34)&lt;&gt;"",INDEX(Properties!A$1:CB$87,Formula!D68,34)),IF(INDEX(Properties!A$1:CB$87,Formula!F68,34)&lt;&gt;"",INDEX(Properties!A$1:CB$87,Formula!F68,34)),IF(INDEX(Properties!A$1:CB$87,Formula!H68,34)&lt;&gt;"",INDEX(Properties!A$1:CB$87,Formula!H68,34)),IF(INDEX(Properties!A$1:CB$87,Formula!J68,34)&lt;&gt;"",INDEX(Properties!A$1:CB$87,Formula!J68,34)))</f>
        <v>1.7628133599999998</v>
      </c>
      <c r="DI68" s="60">
        <f>MAX(INDEX(Properties!A$1:CB$87,Formula!B68,34),INDEX(Properties!A$1:CB$87,Formula!D68,34),INDEX(Properties!A$1:CB$87,Formula!F68,34),INDEX(Properties!A$1:CB$87,Formula!H68,34),INDEX(Properties!A$1:CB$87,Formula!J68,34))</f>
        <v>3.61</v>
      </c>
      <c r="DJ68" s="60">
        <f>MIN(IF(INDEX(Properties!A$1:CB$87,Formula!B68,34)=0,10^6,INDEX(Properties!A$1:CB$87,Formula!B68,34)),IF(INDEX(Properties!A$1:CB$87,Formula!D68,34)=0,10^6,INDEX(Properties!A$1:CB$87,Formula!D68,34)),IF(INDEX(Properties!A$1:CB$87,Formula!F68,34)=0,10^6,INDEX(Properties!A$1:CB$87,Formula!F68,34)),IF(INDEX(Properties!A$1:CB$87,Formula!H68,34)=0,10^6,INDEX(Properties!A$1:CB$87,Formula!H68,34)),IF(INDEX(Properties!A$1:CB$87,Formula!J68,34)=0,10^6,INDEX(Properties!A$1:CB$87,Formula!J68,34)))</f>
        <v>1.2929999999999999</v>
      </c>
      <c r="DK68" s="60">
        <f t="shared" si="50"/>
        <v>2.3170000000000002</v>
      </c>
      <c r="DL68" s="45">
        <f>((Formula!C68)/(Formula!C68+Formula!E68+Formula!G68+Formula!I68+Formula!K68))*(INDEX(Properties!A$1:CB$87,Formula!B68,39))+((Formula!E68)/(Formula!C68+Formula!E68+Formula!G68+Formula!I68+Formula!K68))*(INDEX(Properties!A$1:CB$87,Formula!D68,39))+((Formula!G68)/(Formula!C68+Formula!E68+Formula!G68+Formula!I68+Formula!K68))*(INDEX(Properties!A$1:CB$87,Formula!F68,39))+((Formula!I68)/(Formula!C68+Formula!E68+Formula!G68+Formula!I68+Formula!K68))*(INDEX(Properties!A$1:CB$87,Formula!H68,39))+((Formula!K68)/(Formula!C68+Formula!E68+Formula!G68+Formula!I68+Formula!K68))*(INDEX(Properties!A$1:CB$87,Formula!J68,39))</f>
        <v>0.81857142857142851</v>
      </c>
      <c r="DM68" s="45">
        <f>Formula!C68*(INDEX(Properties!A$1:CB$87,Formula!B68,39))+Formula!E68*(INDEX(Properties!A$1:CB$87,Formula!D68,39))+Formula!G68*(INDEX(Properties!A$1:CB$87,Formula!F68,39))+Formula!I68*(INDEX(Properties!A$1:CB$87,Formula!H68,39))+Formula!K68*(INDEX(Properties!A$1:CB$87,Formula!J68,39))</f>
        <v>5.7299999999999995</v>
      </c>
      <c r="DN68" s="45">
        <f>VARP(IF(INDEX(Properties!A$1:CB$87,Formula!B68,39)&lt;&gt;"",INDEX(Properties!A$1:CB$87,Formula!B68,39)),IF(INDEX(Properties!A$1:CB$87,Formula!D68,39)&lt;&gt;"",INDEX(Properties!A$1:CB$87,Formula!D68,39)),IF(INDEX(Properties!A$1:CB$87,Formula!F68,39)&lt;&gt;"",INDEX(Properties!A$1:CB$87,Formula!F68,39)),IF(INDEX(Properties!A$1:CB$87,Formula!H68,39)&lt;&gt;"",INDEX(Properties!A$1:CB$87,Formula!H68,39)),IF(INDEX(Properties!A$1:CB$87,Formula!J68,39)&lt;&gt;"",INDEX(Properties!A$1:CB$87,Formula!J68,39)))</f>
        <v>0.35817600000000005</v>
      </c>
      <c r="DO68" s="45">
        <f>MAX(INDEX(Properties!A$1:CB$87,Formula!B68,39),INDEX(Properties!A$1:CB$87,Formula!D68,39),INDEX(Properties!A$1:CB$87,Formula!F68,39),INDEX(Properties!A$1:CB$87,Formula!H68,39),INDEX(Properties!A$1:CB$87,Formula!J68,39))</f>
        <v>1.45</v>
      </c>
      <c r="DP68" s="45">
        <f>MIN(IF(INDEX(Properties!A$1:CB$87,Formula!B68,39)=0,10^6,INDEX(Properties!A$1:CB$87,Formula!B68,39)),IF(INDEX(Properties!A$1:CB$87,Formula!D68,39)=0,10^6,INDEX(Properties!A$1:CB$87,Formula!D68,39)),IF(INDEX(Properties!A$1:CB$87,Formula!F68,39)=0,10^6,INDEX(Properties!A$1:CB$87,Formula!F68,39)),IF(INDEX(Properties!A$1:CB$87,Formula!H68,39)=0,10^6,INDEX(Properties!A$1:CB$87,Formula!H68,39)),IF(INDEX(Properties!A$1:CB$87,Formula!J68,39)=0,10^6,INDEX(Properties!A$1:CB$87,Formula!J68,39)))</f>
        <v>0.48</v>
      </c>
      <c r="DQ68" s="45">
        <f t="shared" si="51"/>
        <v>0.97</v>
      </c>
      <c r="DR68" s="63">
        <f>((Formula!C68)/(Formula!C68+Formula!E68+Formula!G68+Formula!I68+Formula!K68))*(INDEX(Properties!A$1:CB$87,Formula!B68,40))+((Formula!E68)/(Formula!C68+Formula!E68+Formula!G68+Formula!I68+Formula!K68))*(INDEX(Properties!A$1:CB$87,Formula!D68,40))+((Formula!G68)/(Formula!C68+Formula!E68+Formula!G68+Formula!I68+Formula!K68))*(INDEX(Properties!A$1:CB$87,Formula!F68,40))+((Formula!I68)/(Formula!C68+Formula!E68+Formula!G68+Formula!I68+Formula!K68))*(INDEX(Properties!A$1:CB$87,Formula!H68,40))+((Formula!K68)/(Formula!C68+Formula!E68+Formula!G68+Formula!I68+Formula!K68))*(INDEX(Properties!A$1:CB$87,Formula!J68,40))</f>
        <v>0.94</v>
      </c>
      <c r="DS68" s="63">
        <f>Formula!C68*(INDEX(Properties!A$1:CB$87,Formula!B68,40))+Formula!E68*(INDEX(Properties!A$1:CB$87,Formula!D68,40))+Formula!G68*(INDEX(Properties!A$1:CB$87,Formula!F68,40))+Formula!I68*(INDEX(Properties!A$1:CB$87,Formula!H68,40))+Formula!K68*(INDEX(Properties!A$1:CB$87,Formula!J68,40))</f>
        <v>6.58</v>
      </c>
      <c r="DT68" s="63">
        <f>VARP(IF(INDEX(Properties!A$1:CB$87,Formula!B68,40)&lt;&gt;"",INDEX(Properties!A$1:CB$87,Formula!B68,40)),IF(INDEX(Properties!A$1:CB$87,Formula!D68,40)&lt;&gt;"",INDEX(Properties!A$1:CB$87,Formula!D68,40)),IF(INDEX(Properties!A$1:CB$87,Formula!F68,40)&lt;&gt;"",INDEX(Properties!A$1:CB$87,Formula!F68,40)),IF(INDEX(Properties!A$1:CB$87,Formula!H68,40)&lt;&gt;"",INDEX(Properties!A$1:CB$87,Formula!H68,40)),IF(INDEX(Properties!A$1:CB$87,Formula!J68,40)&lt;&gt;"",INDEX(Properties!A$1:CB$87,Formula!J68,40)))</f>
        <v>0.31089599999999984</v>
      </c>
      <c r="DU68" s="63">
        <f>MAX(INDEX(Properties!A$1:CB$87,Formula!B68,40),INDEX(Properties!A$1:CB$87,Formula!D68,40),INDEX(Properties!A$1:CB$87,Formula!F68,40),INDEX(Properties!A$1:CB$87,Formula!H68,40),INDEX(Properties!A$1:CB$87,Formula!J68,40))</f>
        <v>1.3</v>
      </c>
      <c r="DV68" s="63">
        <f>MIN(IF(INDEX(Properties!A$1:CB$87,Formula!B68,40)=0,10^6,INDEX(Properties!A$1:CB$87,Formula!B68,40)),IF(INDEX(Properties!A$1:CB$87,Formula!D68,40)=0,10^6,INDEX(Properties!A$1:CB$87,Formula!D68,40)),IF(INDEX(Properties!A$1:CB$87,Formula!F68,40)=0,10^6,INDEX(Properties!A$1:CB$87,Formula!F68,40)),IF(INDEX(Properties!A$1:CB$87,Formula!H68,40)=0,10^6,INDEX(Properties!A$1:CB$87,Formula!H68,40)),IF(INDEX(Properties!A$1:CB$87,Formula!J68,40)=0,10^6,INDEX(Properties!A$1:CB$87,Formula!J68,40)))</f>
        <v>0.73</v>
      </c>
      <c r="DW68" s="63">
        <f t="shared" si="52"/>
        <v>0.57000000000000006</v>
      </c>
      <c r="DX68" s="75">
        <f>((Formula!C68)/(Formula!C68+Formula!E68+Formula!G68+Formula!I68+Formula!K68))*(INDEX(Properties!A$1:CB$87,Formula!B68,41))+((Formula!E68)/(Formula!C68+Formula!E68+Formula!G68+Formula!I68+Formula!K68))*(INDEX(Properties!A$1:CB$87,Formula!D68,41))+((Formula!G68)/(Formula!C68+Formula!E68+Formula!G68+Formula!I68+Formula!K68))*(INDEX(Properties!A$1:CB$87,Formula!F68,41))+((Formula!I68)/(Formula!C68+Formula!E68+Formula!G68+Formula!I68+Formula!K68))*(INDEX(Properties!A$1:CB$87,Formula!H68,41))+((Formula!K68)/(Formula!C68+Formula!E68+Formula!G68+Formula!I68+Formula!K68))*(INDEX(Properties!A$1:CB$87,Formula!J68,41))</f>
        <v>1.0371428571428571</v>
      </c>
      <c r="DY68" s="75">
        <f>Formula!C68*(INDEX(Properties!A$1:CB$87,Formula!B68,41))+Formula!E68*(INDEX(Properties!A$1:CB$87,Formula!D68,41))+Formula!G68*(INDEX(Properties!A$1:CB$87,Formula!F68,41))+Formula!I68*(INDEX(Properties!A$1:CB$87,Formula!H68,41))+Formula!K68*(INDEX(Properties!A$1:CB$87,Formula!J68,41))</f>
        <v>7.26</v>
      </c>
      <c r="DZ68" s="75">
        <f>VARP(IF(INDEX(Properties!A$1:CB$87,Formula!B68,41)&lt;&gt;"",INDEX(Properties!A$1:CB$87,Formula!B68,41)),IF(INDEX(Properties!A$1:CB$87,Formula!D68,41)&lt;&gt;"",INDEX(Properties!A$1:CB$87,Formula!D68,41)),IF(INDEX(Properties!A$1:CB$87,Formula!F68,41)&lt;&gt;"",INDEX(Properties!A$1:CB$87,Formula!F68,41)),IF(INDEX(Properties!A$1:CB$87,Formula!H68,41)&lt;&gt;"",INDEX(Properties!A$1:CB$87,Formula!H68,41)),IF(INDEX(Properties!A$1:CB$87,Formula!J68,41)&lt;&gt;"",INDEX(Properties!A$1:CB$87,Formula!J68,41)))</f>
        <v>0.24432000000000006</v>
      </c>
      <c r="EA68" s="75">
        <f>MAX(INDEX(Properties!A$1:CB$87,Formula!B68,41),INDEX(Properties!A$1:CB$87,Formula!D68,41),INDEX(Properties!A$1:CB$87,Formula!F68,41),INDEX(Properties!A$1:CB$87,Formula!H68,41),INDEX(Properties!A$1:CB$87,Formula!J68,41))</f>
        <v>1.26</v>
      </c>
      <c r="EB68" s="75">
        <f>MIN(IF(INDEX(Properties!A$1:CB$87,Formula!B68,41)=0,10^6,INDEX(Properties!A$1:CB$87,Formula!B68,41)),IF(INDEX(Properties!A$1:CB$87,Formula!D68,41)=0,10^6,INDEX(Properties!A$1:CB$87,Formula!D68,41)),IF(INDEX(Properties!A$1:CB$87,Formula!F68,41)=0,10^6,INDEX(Properties!A$1:CB$87,Formula!F68,41)),IF(INDEX(Properties!A$1:CB$87,Formula!H68,41)=0,10^6,INDEX(Properties!A$1:CB$87,Formula!H68,41)),IF(INDEX(Properties!A$1:CB$87,Formula!J68,41)=0,10^6,INDEX(Properties!A$1:CB$87,Formula!J68,41)))</f>
        <v>0.68</v>
      </c>
      <c r="EC68" s="75">
        <f t="shared" si="53"/>
        <v>0.57999999999999996</v>
      </c>
      <c r="ED68" s="48">
        <f>((Formula!C68)/(Formula!C68+Formula!E68+Formula!G68+Formula!I68+Formula!K68))*(INDEX(Properties!A$1:CB$87,Formula!B68,45))+((Formula!E68)/(Formula!C68+Formula!E68+Formula!G68+Formula!I68+Formula!K68))*(INDEX(Properties!A$1:CB$87,Formula!D68,45))+((Formula!G68)/(Formula!C68+Formula!E68+Formula!G68+Formula!I68+Formula!K68))*(INDEX(Properties!A$1:CB$87,Formula!F68,45))+((Formula!I68)/(Formula!C68+Formula!E68+Formula!G68+Formula!I68+Formula!K68))*(INDEX(Properties!A$1:CB$87,Formula!H68,45))+((Formula!K68)/(Formula!C68+Formula!E68+Formula!G68+Formula!I68+Formula!K68))*(INDEX(Properties!A$1:CB$87,Formula!J68,45))</f>
        <v>1.0385714285714285</v>
      </c>
      <c r="EE68" s="48">
        <f>Formula!C68*(INDEX(Properties!A$1:CB$87,Formula!B68,45))+Formula!E68*(INDEX(Properties!A$1:CB$87,Formula!D68,45))+Formula!G68*(INDEX(Properties!A$1:CB$87,Formula!F68,45))+Formula!I68*(INDEX(Properties!A$1:CB$87,Formula!H68,45))+Formula!K68*(INDEX(Properties!A$1:CB$87,Formula!J68,45))</f>
        <v>7.27</v>
      </c>
      <c r="EF68" s="48">
        <f>VARP(IF(INDEX(Properties!A$1:CB$87,Formula!B68,45)&lt;&gt;"",INDEX(Properties!A$1:CB$87,Formula!B68,45)),IF(INDEX(Properties!A$1:CB$87,Formula!D68,45)&lt;&gt;"",INDEX(Properties!A$1:CB$87,Formula!D68,45)),IF(INDEX(Properties!A$1:CB$87,Formula!F68,45)&lt;&gt;"",INDEX(Properties!A$1:CB$87,Formula!F68,45)),IF(INDEX(Properties!A$1:CB$87,Formula!H68,45)&lt;&gt;"",INDEX(Properties!A$1:CB$87,Formula!H68,45)),IF(INDEX(Properties!A$1:CB$87,Formula!J68,45)&lt;&gt;"",INDEX(Properties!A$1:CB$87,Formula!J68,45)))</f>
        <v>0.73394400000000004</v>
      </c>
      <c r="EG68" s="48">
        <f>MAX(INDEX(Properties!A$1:CB$87,Formula!B68,45),INDEX(Properties!A$1:CB$87,Formula!D68,45),INDEX(Properties!A$1:CB$87,Formula!F68,45),INDEX(Properties!A$1:CB$87,Formula!H68,45),INDEX(Properties!A$1:CB$87,Formula!J68,45))</f>
        <v>2.0299999999999998</v>
      </c>
      <c r="EH68" s="48">
        <f>MIN(IF(INDEX(Properties!A$1:CB$87,Formula!B68,45)=0,10^6,INDEX(Properties!A$1:CB$87,Formula!B68,45)),IF(INDEX(Properties!A$1:CB$87,Formula!D68,45)=0,10^6,INDEX(Properties!A$1:CB$87,Formula!D68,45)),IF(INDEX(Properties!A$1:CB$87,Formula!F68,45)=0,10^6,INDEX(Properties!A$1:CB$87,Formula!F68,45)),IF(INDEX(Properties!A$1:CB$87,Formula!H68,45)=0,10^6,INDEX(Properties!A$1:CB$87,Formula!H68,45)),IF(INDEX(Properties!A$1:CB$87,Formula!J68,45)=0,10^6,INDEX(Properties!A$1:CB$87,Formula!J68,45)))</f>
        <v>0.47</v>
      </c>
      <c r="EI68" s="48">
        <f t="shared" si="54"/>
        <v>1.5599999999999998</v>
      </c>
      <c r="EJ68" s="66">
        <f>((Formula!C68)/(Formula!C68+Formula!E68+Formula!G68+Formula!I68+Formula!K68))*(INDEX(Properties!A$1:CB$87,Formula!B68,46))+((Formula!E68)/(Formula!C68+Formula!E68+Formula!G68+Formula!I68+Formula!K68))*(INDEX(Properties!A$1:CB$87,Formula!D68,46))+((Formula!G68)/(Formula!C68+Formula!E68+Formula!G68+Formula!I68+Formula!K68))*(INDEX(Properties!A$1:CB$87,Formula!F68,46))+((Formula!I68)/(Formula!C68+Formula!E68+Formula!G68+Formula!I68+Formula!K68))*(INDEX(Properties!A$1:CB$87,Formula!H68,46))+((Formula!K68)/(Formula!C68+Formula!E68+Formula!G68+Formula!I68+Formula!K68))*(INDEX(Properties!A$1:CB$87,Formula!J68,46))</f>
        <v>0.96571428571428575</v>
      </c>
      <c r="EK68" s="66">
        <f>Formula!C68*(INDEX(Properties!A$1:CB$87,Formula!B68,46))+Formula!E68*(INDEX(Properties!A$1:CB$87,Formula!D68,46))+Formula!G68*(INDEX(Properties!A$1:CB$87,Formula!F68,46))+Formula!I68*(INDEX(Properties!A$1:CB$87,Formula!H68,46))+Formula!K68*(INDEX(Properties!A$1:CB$87,Formula!J68,46))</f>
        <v>6.76</v>
      </c>
      <c r="EL68" s="66">
        <f>VARP(IF(INDEX(Properties!A$1:CB$87,Formula!B68,46)&lt;&gt;"",INDEX(Properties!A$1:CB$87,Formula!B68,46)),IF(INDEX(Properties!A$1:CB$87,Formula!D68,46)&lt;&gt;"",INDEX(Properties!A$1:CB$87,Formula!D68,46)),IF(INDEX(Properties!A$1:CB$87,Formula!F68,46)&lt;&gt;"",INDEX(Properties!A$1:CB$87,Formula!F68,46)),IF(INDEX(Properties!A$1:CB$87,Formula!H68,46)&lt;&gt;"",INDEX(Properties!A$1:CB$87,Formula!H68,46)),IF(INDEX(Properties!A$1:CB$87,Formula!J68,46)&lt;&gt;"",INDEX(Properties!A$1:CB$87,Formula!J68,46)))</f>
        <v>0.22651999999999997</v>
      </c>
      <c r="EM68" s="66">
        <f>MAX(INDEX(Properties!A$1:CB$87,Formula!B68,46),INDEX(Properties!A$1:CB$87,Formula!D68,46),INDEX(Properties!A$1:CB$87,Formula!F68,46),INDEX(Properties!A$1:CB$87,Formula!H68,46),INDEX(Properties!A$1:CB$87,Formula!J68,46))</f>
        <v>1.21</v>
      </c>
      <c r="EN68" s="66">
        <f>MIN(IF(INDEX(Properties!A$1:CB$87,Formula!B68,46)=0,10^6,INDEX(Properties!A$1:CB$87,Formula!B68,46)),IF(INDEX(Properties!A$1:CB$87,Formula!D68,46)=0,10^6,INDEX(Properties!A$1:CB$87,Formula!D68,46)),IF(INDEX(Properties!A$1:CB$87,Formula!F68,46)=0,10^6,INDEX(Properties!A$1:CB$87,Formula!F68,46)),IF(INDEX(Properties!A$1:CB$87,Formula!H68,46)=0,10^6,INDEX(Properties!A$1:CB$87,Formula!H68,46)),IF(INDEX(Properties!A$1:CB$87,Formula!J68,46)=0,10^6,INDEX(Properties!A$1:CB$87,Formula!J68,46)))</f>
        <v>0.53</v>
      </c>
      <c r="EO68" s="66">
        <f t="shared" si="55"/>
        <v>0.67999999999999994</v>
      </c>
      <c r="EP68" s="81">
        <f>((Formula!C68)/(Formula!C68+Formula!E68+Formula!G68+Formula!I68+Formula!K68))*(INDEX(Properties!A$1:CB$87,Formula!B68,52))+((Formula!E68)/(Formula!C68+Formula!E68+Formula!G68+Formula!I68+Formula!K68))*(INDEX(Properties!A$1:CB$87,Formula!D68,52))+((Formula!G68)/(Formula!C68+Formula!E68+Formula!G68+Formula!I68+Formula!K68))*(INDEX(Properties!A$1:CB$87,Formula!F68,52))+((Formula!I68)/(Formula!C68+Formula!E68+Formula!G68+Formula!I68+Formula!K68))*(INDEX(Properties!A$1:CB$87,Formula!H68,52))+((Formula!K68)/(Formula!C68+Formula!E68+Formula!G68+Formula!I68+Formula!K68))*(INDEX(Properties!A$1:CB$87,Formula!J68,52))</f>
        <v>4.338857142857143</v>
      </c>
      <c r="EQ68" s="81">
        <f>Formula!C68*(INDEX(Properties!A$1:CB$87,Formula!B68,52))+Formula!E68*(INDEX(Properties!A$1:CB$87,Formula!D68,52))+Formula!G68*(INDEX(Properties!A$1:CB$87,Formula!F68,52))+Formula!I68*(INDEX(Properties!A$1:CB$87,Formula!H68,52))+Formula!K68*(INDEX(Properties!A$1:CB$87,Formula!J68,52))</f>
        <v>30.372000000000003</v>
      </c>
      <c r="ER68" s="81">
        <f>VARP(IF(INDEX(Properties!A$1:CB$87,Formula!B68,52)&lt;&gt;"",INDEX(Properties!A$1:CB$87,Formula!B68,52)),IF(INDEX(Properties!A$1:CB$87,Formula!D68,52)&lt;&gt;"",INDEX(Properties!A$1:CB$87,Formula!D68,52)),IF(INDEX(Properties!A$1:CB$87,Formula!F68,52)&lt;&gt;"",INDEX(Properties!A$1:CB$87,Formula!F68,52)),IF(INDEX(Properties!A$1:CB$87,Formula!H68,52)&lt;&gt;"",INDEX(Properties!A$1:CB$87,Formula!H68,52)),IF(INDEX(Properties!A$1:CB$87,Formula!J68,52)&lt;&gt;"",INDEX(Properties!A$1:CB$87,Formula!J68,52)))</f>
        <v>20.863199840000004</v>
      </c>
      <c r="ES68" s="81">
        <f>MAX(INDEX(Properties!A$1:CB$87,Formula!B68,52),INDEX(Properties!A$1:CB$87,Formula!D68,52),INDEX(Properties!A$1:CB$87,Formula!F68,52),INDEX(Properties!A$1:CB$87,Formula!H68,52),INDEX(Properties!A$1:CB$87,Formula!J68,52))</f>
        <v>10.6</v>
      </c>
      <c r="ET68" s="81">
        <f>MIN(IF(INDEX(Properties!A$1:CB$87,Formula!B68,52)=0,10^6,INDEX(Properties!A$1:CB$87,Formula!B68,52)),IF(INDEX(Properties!A$1:CB$87,Formula!D68,52)=0,10^6,INDEX(Properties!A$1:CB$87,Formula!D68,52)),IF(INDEX(Properties!A$1:CB$87,Formula!F68,52)=0,10^6,INDEX(Properties!A$1:CB$87,Formula!F68,52)),IF(INDEX(Properties!A$1:CB$87,Formula!H68,52)=0,10^6,INDEX(Properties!A$1:CB$87,Formula!H68,52)),IF(INDEX(Properties!A$1:CB$87,Formula!J68,52)=0,10^6,INDEX(Properties!A$1:CB$87,Formula!J68,52)))</f>
        <v>0.79300000000000004</v>
      </c>
      <c r="EU68" s="81">
        <f t="shared" si="56"/>
        <v>9.8070000000000004</v>
      </c>
      <c r="EV68" s="39">
        <f>((Formula!C68)/(Formula!C68+Formula!E68+Formula!G68+Formula!I68+Formula!K68))*(INDEX(Properties!A$1:CB$87,Formula!B68,53))+((Formula!E68)/(Formula!C68+Formula!E68+Formula!G68+Formula!I68+Formula!K68))*(INDEX(Properties!A$1:CB$87,Formula!D68,53))+((Formula!G68)/(Formula!C68+Formula!E68+Formula!G68+Formula!I68+Formula!K68))*(INDEX(Properties!A$1:CB$87,Formula!F68,53))+((Formula!I68)/(Formula!C68+Formula!E68+Formula!G68+Formula!I68+Formula!K68))*(INDEX(Properties!A$1:CB$87,Formula!H68,53))+((Formula!K68)/(Formula!C68+Formula!E68+Formula!G68+Formula!I68+Formula!K68))*(INDEX(Properties!A$1:CB$87,Formula!J68,53))</f>
        <v>429.63571428571424</v>
      </c>
      <c r="EW68" s="39">
        <f>Formula!C68*(INDEX(Properties!A$1:CB$87,Formula!B68,53))+Formula!E68*(INDEX(Properties!A$1:CB$87,Formula!D68,53))+Formula!G68*(INDEX(Properties!A$1:CB$87,Formula!F68,53))+Formula!I68*(INDEX(Properties!A$1:CB$87,Formula!H68,53))+Formula!K68*(INDEX(Properties!A$1:CB$87,Formula!J68,53))</f>
        <v>3007.45</v>
      </c>
      <c r="EX68" s="39">
        <f>VARP(IF(INDEX(Properties!A$1:CB$87,Formula!B68,53)&lt;&gt;"",INDEX(Properties!A$1:CB$87,Formula!B68,53)),IF(INDEX(Properties!A$1:CB$87,Formula!D68,53)&lt;&gt;"",INDEX(Properties!A$1:CB$87,Formula!D68,53)),IF(INDEX(Properties!A$1:CB$87,Formula!F68,53)&lt;&gt;"",INDEX(Properties!A$1:CB$87,Formula!F68,53)),IF(INDEX(Properties!A$1:CB$87,Formula!H68,53)&lt;&gt;"",INDEX(Properties!A$1:CB$87,Formula!H68,53)),IF(INDEX(Properties!A$1:CB$87,Formula!J68,53)&lt;&gt;"",INDEX(Properties!A$1:CB$87,Formula!J68,53)))</f>
        <v>198893.78140000001</v>
      </c>
      <c r="EY68" s="39">
        <f>MAX(INDEX(Properties!A$1:CB$87,Formula!B68,53),INDEX(Properties!A$1:CB$87,Formula!D68,53),INDEX(Properties!A$1:CB$87,Formula!F68,53),INDEX(Properties!A$1:CB$87,Formula!H68,53),INDEX(Properties!A$1:CB$87,Formula!J68,53))</f>
        <v>933.15</v>
      </c>
      <c r="EZ68" s="39">
        <f>MIN(IF(INDEX(Properties!A$1:CB$87,Formula!B68,53)=0,10^6,INDEX(Properties!A$1:CB$87,Formula!B68,53)),IF(INDEX(Properties!A$1:CB$87,Formula!D68,53)=0,10^6,INDEX(Properties!A$1:CB$87,Formula!D68,53)),IF(INDEX(Properties!A$1:CB$87,Formula!F68,53)=0,10^6,INDEX(Properties!A$1:CB$87,Formula!F68,53)),IF(INDEX(Properties!A$1:CB$87,Formula!H68,53)=0,10^6,INDEX(Properties!A$1:CB$87,Formula!H68,53)),IF(INDEX(Properties!A$1:CB$87,Formula!J68,53)=0,10^6,INDEX(Properties!A$1:CB$87,Formula!J68,53)))</f>
        <v>54.749999999999972</v>
      </c>
      <c r="FA68" s="39">
        <f t="shared" si="57"/>
        <v>878.4</v>
      </c>
      <c r="FB68" s="54">
        <f>((Formula!C68)/(Formula!C68+Formula!E68+Formula!G68+Formula!I68+Formula!K68))*(INDEX(Properties!A$1:CB$87,Formula!B68,54))+((Formula!E68)/(Formula!C68+Formula!E68+Formula!G68+Formula!I68+Formula!K68))*(INDEX(Properties!A$1:CB$87,Formula!D68,54))+((Formula!G68)/(Formula!C68+Formula!E68+Formula!G68+Formula!I68+Formula!K68))*(INDEX(Properties!A$1:CB$87,Formula!F68,54))+((Formula!I68)/(Formula!C68+Formula!E68+Formula!G68+Formula!I68+Formula!K68))*(INDEX(Properties!A$1:CB$87,Formula!H68,54))+((Formula!K68)/(Formula!C68+Formula!E68+Formula!G68+Formula!I68+Formula!K68))*(INDEX(Properties!A$1:CB$87,Formula!J68,54))</f>
        <v>1029.1499999999999</v>
      </c>
      <c r="FC68" s="54">
        <f>Formula!C68*(INDEX(Properties!A$1:CB$87,Formula!B68,54))+Formula!E68*(INDEX(Properties!A$1:CB$87,Formula!D68,54))+Formula!G68*(INDEX(Properties!A$1:CB$87,Formula!F68,54))+Formula!I68*(INDEX(Properties!A$1:CB$87,Formula!H68,54))+Formula!K68*(INDEX(Properties!A$1:CB$87,Formula!J68,54))</f>
        <v>7204.0500000000011</v>
      </c>
      <c r="FD68" s="54">
        <f>VARP(IF(INDEX(Properties!A$1:CB$87,Formula!B68,54)&lt;&gt;"",INDEX(Properties!A$1:CB$87,Formula!B68,54)),IF(INDEX(Properties!A$1:CB$87,Formula!D68,54)&lt;&gt;"",INDEX(Properties!A$1:CB$87,Formula!D68,54)),IF(INDEX(Properties!A$1:CB$87,Formula!F68,54)&lt;&gt;"",INDEX(Properties!A$1:CB$87,Formula!F68,54)),IF(INDEX(Properties!A$1:CB$87,Formula!H68,54)&lt;&gt;"",INDEX(Properties!A$1:CB$87,Formula!H68,54)),IF(INDEX(Properties!A$1:CB$87,Formula!J68,54)&lt;&gt;"",INDEX(Properties!A$1:CB$87,Formula!J68,54)))</f>
        <v>1171544.4774000002</v>
      </c>
      <c r="FE68" s="54">
        <f>MAX(INDEX(Properties!A$1:CB$87,Formula!B68,54),INDEX(Properties!A$1:CB$87,Formula!D68,54),INDEX(Properties!A$1:CB$87,Formula!F68,54),INDEX(Properties!A$1:CB$87,Formula!H68,54),INDEX(Properties!A$1:CB$87,Formula!J68,54))</f>
        <v>2740.15</v>
      </c>
      <c r="FF68" s="54">
        <f>MIN(IF(INDEX(Properties!A$1:CB$87,Formula!B68,54)=0,10^6,INDEX(Properties!A$1:CB$87,Formula!B68,54)),IF(INDEX(Properties!A$1:CB$87,Formula!D68,54)=0,10^6,INDEX(Properties!A$1:CB$87,Formula!D68,54)),IF(INDEX(Properties!A$1:CB$87,Formula!F68,54)=0,10^6,INDEX(Properties!A$1:CB$87,Formula!F68,54)),IF(INDEX(Properties!A$1:CB$87,Formula!H68,54)=0,10^6,INDEX(Properties!A$1:CB$87,Formula!H68,54)),IF(INDEX(Properties!A$1:CB$87,Formula!J68,54)=0,10^6,INDEX(Properties!A$1:CB$87,Formula!J68,54)))</f>
        <v>90.149999999999977</v>
      </c>
      <c r="FG68" s="54">
        <f t="shared" si="58"/>
        <v>2650</v>
      </c>
      <c r="FH68" s="69">
        <f>((Formula!C68)/(Formula!C68+Formula!E68+Formula!G68+Formula!I68+Formula!K68))*(INDEX(Properties!A$1:CB$87,Formula!B68,55))+((Formula!E68)/(Formula!C68+Formula!E68+Formula!G68+Formula!I68+Formula!K68))*(INDEX(Properties!A$1:CB$87,Formula!D68,55))+((Formula!G68)/(Formula!C68+Formula!E68+Formula!G68+Formula!I68+Formula!K68))*(INDEX(Properties!A$1:CB$87,Formula!F68,55))+((Formula!I68)/(Formula!C68+Formula!E68+Formula!G68+Formula!I68+Formula!K68))*(INDEX(Properties!A$1:CB$87,Formula!H68,55))+((Formula!K68)/(Formula!C68+Formula!E68+Formula!G68+Formula!I68+Formula!K68))*(INDEX(Properties!A$1:CB$87,Formula!J68,55))</f>
        <v>1.0208171428571429</v>
      </c>
      <c r="FI68" s="69">
        <f>Formula!C68*(INDEX(Properties!A$1:CB$87,Formula!B68,55))+Formula!E68*(INDEX(Properties!A$1:CB$87,Formula!D68,54))+Formula!G68*(INDEX(Properties!A$1:CB$87,Formula!F68,55))+Formula!I68*(INDEX(Properties!A$1:CB$87,Formula!H68,55))+Formula!K68*(INDEX(Properties!A$1:CB$87,Formula!J68,55))</f>
        <v>5482.0457200000001</v>
      </c>
      <c r="FJ68" s="69">
        <f>VARP(IF(INDEX(Properties!A$1:CB$87,Formula!B68,55)&lt;&gt;"",INDEX(Properties!A$1:CB$87,Formula!B68,55)),IF(INDEX(Properties!A$1:CB$87,Formula!D68,55)&lt;&gt;"",INDEX(Properties!A$1:CB$87,Formula!D68,55)),IF(INDEX(Properties!A$1:CB$87,Formula!F68,55)&lt;&gt;"",INDEX(Properties!A$1:CB$87,Formula!F68,55)),IF(INDEX(Properties!A$1:CB$87,Formula!H68,55)&lt;&gt;"",INDEX(Properties!A$1:CB$87,Formula!H68,55)),IF(INDEX(Properties!A$1:CB$87,Formula!J68,55)&lt;&gt;"",INDEX(Properties!A$1:CB$87,Formula!J68,55)))</f>
        <v>1.274468391184</v>
      </c>
      <c r="FK68" s="69">
        <f>MAX(INDEX(Properties!A$1:CB$87,Formula!B68,55),INDEX(Properties!A$1:CB$87,Formula!D68,55),INDEX(Properties!A$1:CB$87,Formula!F68,55),INDEX(Properties!A$1:CB$87,Formula!H68,55),INDEX(Properties!A$1:CB$87,Formula!J68,55))</f>
        <v>2.7</v>
      </c>
      <c r="FL68" s="69">
        <f>MIN(IF(INDEX(Properties!A$1:CB$87,Formula!B68,55)=0,10^6,INDEX(Properties!A$1:CB$87,Formula!B68,55)),IF(INDEX(Properties!A$1:CB$87,Formula!D68,55)=0,10^6,INDEX(Properties!A$1:CB$87,Formula!D68,55)),IF(INDEX(Properties!A$1:CB$87,Formula!F68,55)=0,10^6,INDEX(Properties!A$1:CB$87,Formula!F68,55)),IF(INDEX(Properties!A$1:CB$87,Formula!H68,55)=0,10^6,INDEX(Properties!A$1:CB$87,Formula!H68,55)),IF(INDEX(Properties!A$1:CB$87,Formula!J68,55)=0,10^6,INDEX(Properties!A$1:CB$87,Formula!J68,55)))</f>
        <v>1.4300000000000001E-3</v>
      </c>
      <c r="FM68" s="69">
        <f t="shared" si="59"/>
        <v>2.6985700000000001</v>
      </c>
      <c r="FN68" s="42">
        <f>((Formula!C68)/(Formula!C68+Formula!E68+Formula!G68+Formula!I68+Formula!K68))*(INDEX(Properties!A$1:CB$87,Formula!B68,56))+((Formula!E68)/(Formula!C68+Formula!E68+Formula!G68+Formula!I68+Formula!K68))*(INDEX(Properties!A$1:CB$87,Formula!D68,56))+((Formula!G68)/(Formula!C68+Formula!E68+Formula!G68+Formula!I68+Formula!K68))*(INDEX(Properties!A$1:CB$87,Formula!F68,56))+((Formula!I68)/(Formula!C68+Formula!E68+Formula!G68+Formula!I68+Formula!K68))*(INDEX(Properties!A$1:CB$87,Formula!H68,56))+((Formula!K68)/(Formula!C68+Formula!E68+Formula!G68+Formula!I68+Formula!K68))*(INDEX(Properties!A$1:CB$87,Formula!J68,56))</f>
        <v>0.92857142857142849</v>
      </c>
      <c r="FO68" s="42">
        <f>Formula!C68*(INDEX(Properties!A$1:CB$87,Formula!B68,56))+Formula!E68*(INDEX(Properties!A$1:CB$87,Formula!D68,56))+Formula!G68*(INDEX(Properties!A$1:CB$87,Formula!F68,56))+Formula!I68*(INDEX(Properties!A$1:CB$87,Formula!H68,56))+Formula!K68*(INDEX(Properties!A$1:CB$87,Formula!J68,56))</f>
        <v>6.5</v>
      </c>
      <c r="FP68" s="42">
        <f>VARP(IF(INDEX(Properties!A$1:CB$87,Formula!B68,56)&lt;&gt;"",INDEX(Properties!A$1:CB$87,Formula!B68,56)),IF(INDEX(Properties!A$1:CB$87,Formula!D68,56)&lt;&gt;"",INDEX(Properties!A$1:CB$87,Formula!D68,56)),IF(INDEX(Properties!A$1:CB$87,Formula!F68,56)&lt;&gt;"",INDEX(Properties!A$1:CB$87,Formula!F68,56)),IF(INDEX(Properties!A$1:CB$87,Formula!H68,56)&lt;&gt;"",INDEX(Properties!A$1:CB$87,Formula!H68,56)),IF(INDEX(Properties!A$1:CB$87,Formula!J68,56)&lt;&gt;"",INDEX(Properties!A$1:CB$87,Formula!J68,56)))</f>
        <v>0.21673600000000001</v>
      </c>
      <c r="FQ68" s="42">
        <f>MAX(INDEX(Properties!A$1:CB$87,Formula!B68,56),INDEX(Properties!A$1:CB$87,Formula!D68,56),INDEX(Properties!A$1:CB$87,Formula!F68,56),INDEX(Properties!A$1:CB$87,Formula!H68,56),INDEX(Properties!A$1:CB$87,Formula!J68,56))</f>
        <v>1.02</v>
      </c>
      <c r="FR68" s="42">
        <f>MIN(IF(INDEX(Properties!A$1:CB$87,Formula!B68,56)=0,10^6,INDEX(Properties!A$1:CB$87,Formula!B68,56)),IF(INDEX(Properties!A$1:CB$87,Formula!D68,56)=0,10^6,INDEX(Properties!A$1:CB$87,Formula!D68,56)),IF(INDEX(Properties!A$1:CB$87,Formula!F68,56)=0,10^6,INDEX(Properties!A$1:CB$87,Formula!F68,56)),IF(INDEX(Properties!A$1:CB$87,Formula!H68,56)=0,10^6,INDEX(Properties!A$1:CB$87,Formula!H68,56)),IF(INDEX(Properties!A$1:CB$87,Formula!J68,56)=0,10^6,INDEX(Properties!A$1:CB$87,Formula!J68,56)))</f>
        <v>0.9</v>
      </c>
      <c r="FS68" s="42">
        <f t="shared" si="60"/>
        <v>0.12</v>
      </c>
      <c r="FT68" s="60">
        <f>((Formula!C68)/(Formula!C68+Formula!E68+Formula!G68+Formula!I68+Formula!K68))*(INDEX(Properties!A$1:CB$87,Formula!B68,57))+((Formula!E68)/(Formula!C68+Formula!E68+Formula!G68+Formula!I68+Formula!K68))*(INDEX(Properties!A$1:CB$87,Formula!D68,57))+((Formula!G68)/(Formula!C68+Formula!E68+Formula!G68+Formula!I68+Formula!K68))*(INDEX(Properties!A$1:CB$87,Formula!F68,57))+((Formula!I68)/(Formula!C68+Formula!E68+Formula!G68+Formula!I68+Formula!K68))*(INDEX(Properties!A$1:CB$87,Formula!H68,57))+((Formula!K68)/(Formula!C68+Formula!E68+Formula!G68+Formula!I68+Formula!K68))*(INDEX(Properties!A$1:CB$87,Formula!J68,57))</f>
        <v>4.4891942857142846</v>
      </c>
      <c r="FU68" s="60">
        <f>Formula!C68*(INDEX(Properties!A$1:CB$87,Formula!B68,57))+Formula!E68*(INDEX(Properties!A$1:CB$87,Formula!D68,57))+Formula!G68*(INDEX(Properties!A$1:CB$87,Formula!F68,57))+Formula!I68*(INDEX(Properties!A$1:CB$87,Formula!H68,57))+Formula!K68*(INDEX(Properties!A$1:CB$87,Formula!J68,57))</f>
        <v>31.42436</v>
      </c>
      <c r="FV68" s="60">
        <f>VARP(IF(INDEX(Properties!A$1:CB$87,Formula!B68,57)&lt;&gt;"",INDEX(Properties!A$1:CB$87,Formula!B68,57)),IF(INDEX(Properties!A$1:CB$87,Formula!D68,57)&lt;&gt;"",INDEX(Properties!A$1:CB$87,Formula!D68,57)),IF(INDEX(Properties!A$1:CB$87,Formula!F68,57)&lt;&gt;"",INDEX(Properties!A$1:CB$87,Formula!F68,57)),IF(INDEX(Properties!A$1:CB$87,Formula!H68,57)&lt;&gt;"",INDEX(Properties!A$1:CB$87,Formula!H68,57)),IF(INDEX(Properties!A$1:CB$87,Formula!J68,57)&lt;&gt;"",INDEX(Properties!A$1:CB$87,Formula!J68,57)))</f>
        <v>23.382963812495994</v>
      </c>
      <c r="FW68" s="60">
        <f>MAX(INDEX(Properties!A$1:CB$87,Formula!B68,57),INDEX(Properties!A$1:CB$87,Formula!D68,57),INDEX(Properties!A$1:CB$87,Formula!F68,57),INDEX(Properties!A$1:CB$87,Formula!H68,57),INDEX(Properties!A$1:CB$87,Formula!J68,57))</f>
        <v>10.79</v>
      </c>
      <c r="FX68" s="60">
        <f>MIN(IF(INDEX(Properties!A$1:CB$87,Formula!B68,57)=0,10^6,INDEX(Properties!A$1:CB$87,Formula!B68,57)),IF(INDEX(Properties!A$1:CB$87,Formula!D68,57)=0,10^6,INDEX(Properties!A$1:CB$87,Formula!D68,57)),IF(INDEX(Properties!A$1:CB$87,Formula!F68,57)=0,10^6,INDEX(Properties!A$1:CB$87,Formula!F68,57)),IF(INDEX(Properties!A$1:CB$87,Formula!H68,57)=0,10^6,INDEX(Properties!A$1:CB$87,Formula!H68,57)),IF(INDEX(Properties!A$1:CB$87,Formula!J68,57)=0,10^6,INDEX(Properties!A$1:CB$87,Formula!J68,57)))</f>
        <v>0.22259000000000001</v>
      </c>
      <c r="FY68" s="60">
        <f t="shared" si="61"/>
        <v>10.567409999999999</v>
      </c>
      <c r="FZ68" s="72">
        <f>((Formula!C68)/(Formula!C68+Formula!E68+Formula!G68+Formula!I68+Formula!K68))*(INDEX(Properties!A$1:CB$87,Formula!B68,60))+((Formula!E68)/(Formula!C68+Formula!E68+Formula!G68+Formula!I68+Formula!K68))*(INDEX(Properties!A$1:CB$87,Formula!D68,60))+((Formula!G68)/(Formula!C68+Formula!E68+Formula!G68+Formula!I68+Formula!K68))*(INDEX(Properties!A$1:CB$87,Formula!F68,60))+((Formula!I68)/(Formula!C68+Formula!E68+Formula!G68+Formula!I68+Formula!K68))*(INDEX(Properties!A$1:CB$87,Formula!H68,60))+((Formula!K68)/(Formula!C68+Formula!E68+Formula!G68+Formula!I68+Formula!K68))*(INDEX(Properties!A$1:CB$87,Formula!J68,60))</f>
        <v>90.015280000000004</v>
      </c>
      <c r="GA68" s="72">
        <f>Formula!C68*(INDEX(Properties!A$1:CB$87,Formula!B68,60))+Formula!E68*(INDEX(Properties!A$1:CB$87,Formula!D68,60))+Formula!G68*(INDEX(Properties!A$1:CB$87,Formula!F68,60))+Formula!I68*(INDEX(Properties!A$1:CB$87,Formula!H68,60))+Formula!K68*(INDEX(Properties!A$1:CB$87,Formula!J68,60))</f>
        <v>630.10695999999996</v>
      </c>
      <c r="GB68" s="72">
        <f>VARP(IF(INDEX(Properties!A$1:CB$87,Formula!B68,60)&lt;&gt;"",INDEX(Properties!A$1:CB$87,Formula!B68,60)),IF(INDEX(Properties!A$1:CB$87,Formula!D68,60)&lt;&gt;"",INDEX(Properties!A$1:CB$87,Formula!D68,60)),IF(INDEX(Properties!A$1:CB$87,Formula!F68,60)&lt;&gt;"",INDEX(Properties!A$1:CB$87,Formula!F68,60)),IF(INDEX(Properties!A$1:CB$87,Formula!H68,60)&lt;&gt;"",INDEX(Properties!A$1:CB$87,Formula!H68,60)),IF(INDEX(Properties!A$1:CB$87,Formula!J68,60)&lt;&gt;"",INDEX(Properties!A$1:CB$87,Formula!J68,60)))</f>
        <v>9922.1994088044175</v>
      </c>
      <c r="GC68" s="72">
        <f>MAX(INDEX(Properties!A$1:CB$87,Formula!B68,60),INDEX(Properties!A$1:CB$87,Formula!D68,60),INDEX(Properties!A$1:CB$87,Formula!F68,60),INDEX(Properties!A$1:CB$87,Formula!H68,60),INDEX(Properties!A$1:CB$87,Formula!J68,60))</f>
        <v>237</v>
      </c>
      <c r="GD68" s="72">
        <f>MIN(IF(INDEX(Properties!A$1:CB$87,Formula!B68,60)=0,10^6,INDEX(Properties!A$1:CB$87,Formula!B68,60)),IF(INDEX(Properties!A$1:CB$87,Formula!D68,60)=0,10^6,INDEX(Properties!A$1:CB$87,Formula!D68,60)),IF(INDEX(Properties!A$1:CB$87,Formula!F68,60)=0,10^6,INDEX(Properties!A$1:CB$87,Formula!F68,60)),IF(INDEX(Properties!A$1:CB$87,Formula!H68,60)=0,10^6,INDEX(Properties!A$1:CB$87,Formula!H68,60)),IF(INDEX(Properties!A$1:CB$87,Formula!J68,60)=0,10^6,INDEX(Properties!A$1:CB$87,Formula!J68,60)))</f>
        <v>2.674E-2</v>
      </c>
      <c r="GE68" s="72">
        <f t="shared" si="62"/>
        <v>236.97326000000001</v>
      </c>
      <c r="GF68" s="51">
        <f>((Formula!C68)/(Formula!C68+Formula!E68+Formula!G68+Formula!I68+Formula!K68))*(INDEX(Properties!A$1:CB$87,Formula!B68,62))+((Formula!E68)/(Formula!C68+Formula!E68+Formula!G68+Formula!I68+Formula!K68))*(INDEX(Properties!A$1:CB$87,Formula!D68,62))+((Formula!G68)/(Formula!C68+Formula!E68+Formula!G68+Formula!I68+Formula!K68))*(INDEX(Properties!A$1:CB$87,Formula!F68,62))+((Formula!I68)/(Formula!C68+Formula!E68+Formula!G68+Formula!I68+Formula!K68))*(INDEX(Properties!A$1:CB$87,Formula!H68,62))+((Formula!K68)/(Formula!C68+Formula!E68+Formula!G68+Formula!I68+Formula!K68))*(INDEX(Properties!A$1:CB$87,Formula!J68,62))</f>
        <v>2.6814285714285715</v>
      </c>
      <c r="GG68" s="51">
        <f>Formula!C68*(INDEX(Properties!A$1:CB$87,Formula!B68,62))+Formula!E68*(INDEX(Properties!A$1:CB$87,Formula!D68,62))+Formula!G68*(INDEX(Properties!A$1:CB$87,Formula!F68,62))+Formula!I68*(INDEX(Properties!A$1:CB$87,Formula!H68,62))+Formula!K68*(INDEX(Properties!A$1:CB$87,Formula!J68,62))</f>
        <v>18.770000000000003</v>
      </c>
      <c r="GH68" s="51">
        <f>VARP(IF(INDEX(Properties!A$1:CB$87,Formula!B68,62)&lt;&gt;"",INDEX(Properties!A$1:CB$87,Formula!B68,62)),IF(INDEX(Properties!A$1:CB$87,Formula!D68,62)&lt;&gt;"",INDEX(Properties!A$1:CB$87,Formula!D68,62)),IF(INDEX(Properties!A$1:CB$87,Formula!F68,62)&lt;&gt;"",INDEX(Properties!A$1:CB$87,Formula!F68,62)),IF(INDEX(Properties!A$1:CB$87,Formula!H68,62)&lt;&gt;"",INDEX(Properties!A$1:CB$87,Formula!H68,62)),IF(INDEX(Properties!A$1:CB$87,Formula!J68,62)&lt;&gt;"",INDEX(Properties!A$1:CB$87,Formula!J68,62)))</f>
        <v>1.8653039999999999</v>
      </c>
      <c r="GI68" s="51">
        <f>MAX(INDEX(Properties!A$1:CB$87,Formula!B68,62),INDEX(Properties!A$1:CB$87,Formula!D68,62),INDEX(Properties!A$1:CB$87,Formula!F68,62),INDEX(Properties!A$1:CB$87,Formula!H68,62),INDEX(Properties!A$1:CB$87,Formula!J68,62))</f>
        <v>3.39</v>
      </c>
      <c r="GJ68" s="51">
        <f>MIN(IF(INDEX(Properties!A$1:CB$87,Formula!B68,62)=0,10^6,INDEX(Properties!A$1:CB$87,Formula!B68,62)),IF(INDEX(Properties!A$1:CB$87,Formula!D68,62)=0,10^6,INDEX(Properties!A$1:CB$87,Formula!D68,62)),IF(INDEX(Properties!A$1:CB$87,Formula!F68,62)=0,10^6,INDEX(Properties!A$1:CB$87,Formula!F68,62)),IF(INDEX(Properties!A$1:CB$87,Formula!H68,62)=0,10^6,INDEX(Properties!A$1:CB$87,Formula!H68,62)),IF(INDEX(Properties!A$1:CB$87,Formula!J68,62)=0,10^6,INDEX(Properties!A$1:CB$87,Formula!J68,62)))</f>
        <v>1.51</v>
      </c>
      <c r="GK68" s="51">
        <f t="shared" si="63"/>
        <v>1.8800000000000001</v>
      </c>
      <c r="GL68" s="51">
        <f>Formula!P68</f>
        <v>227</v>
      </c>
      <c r="GM68" s="57">
        <f>Formula!O68</f>
        <v>7</v>
      </c>
      <c r="GN68" s="51">
        <f>Formula!N68</f>
        <v>0.1</v>
      </c>
    </row>
    <row r="69" spans="1:196" x14ac:dyDescent="0.3">
      <c r="A69" s="84" t="str">
        <f>Formula!A69</f>
        <v>ZnO</v>
      </c>
      <c r="B69" s="89">
        <f>((Formula!C69)/(Formula!C69+Formula!E69+Formula!G69+Formula!I69+Formula!K69))*(INDEX(Properties!A$1:CB$87,Formula!B69,3))+((Formula!E69)/(Formula!C69+Formula!E69+Formula!G69+Formula!I69+Formula!K69))*(INDEX(Properties!A$1:CB$87,Formula!D69,3))+((Formula!G69)/(Formula!C69+Formula!E69+Formula!G69+Formula!I69+Formula!K69))*(INDEX(Properties!A$1:CB$87,Formula!F69,3))+((Formula!I69)/(Formula!C69+Formula!E69+Formula!G69+Formula!I69+Formula!K69))*(INDEX(Properties!A$1:CB$87,Formula!H69,3))+((Formula!K69)/(Formula!C69+Formula!E69+Formula!G69+Formula!I69+Formula!K69))*(INDEX(Properties!A$1:CB$87,Formula!J69,3))</f>
        <v>40.689699999999995</v>
      </c>
      <c r="C69" s="85">
        <f>Formula!C69*(INDEX(Properties!A$1:CB$87,Formula!B69,3))+Formula!E69*(INDEX(Properties!A$1:CB$87,Formula!D69,3))+Formula!G69*(INDEX(Properties!A$1:CB$87,Formula!F69,3))+Formula!I69*(INDEX(Properties!A$1:CB$87,Formula!H69,3))+Formula!K69*(INDEX(Properties!A$1:CB$87,Formula!J69,3))</f>
        <v>81.37939999999999</v>
      </c>
      <c r="D69" s="85">
        <f>VARP(IF(INDEX(Properties!A$1:CB$87,Formula!B69,3)&lt;&gt;"",INDEX(Properties!A$1:CB$87,Formula!B69,3)),IF(INDEX(Properties!A$1:CB$87,Formula!D69,3)&lt;&gt;"",INDEX(Properties!A$1:CB$87,Formula!D69,3)),IF(INDEX(Properties!A$1:CB$87,Formula!F69,3)&lt;&gt;"",INDEX(Properties!A$1:CB$87,Formula!F69,3)),IF(INDEX(Properties!A$1:CB$87,Formula!H69,3)&lt;&gt;"",INDEX(Properties!A$1:CB$87,Formula!H69,3)),IF(INDEX(Properties!A$1:CB$87,Formula!J69,3)&lt;&gt;"",INDEX(Properties!A$1:CB$87,Formula!J69,3)))</f>
        <v>641.2007702976</v>
      </c>
      <c r="E69" s="85">
        <f>MAX(INDEX(Properties!A$1:CB$87,Formula!B69,3),INDEX(Properties!A$1:CB$87,Formula!D69,3),INDEX(Properties!A$1:CB$87,Formula!F69,3),INDEX(Properties!A$1:CB$87,Formula!H69,3),INDEX(Properties!A$1:CB$87,Formula!J69,3))</f>
        <v>65.38</v>
      </c>
      <c r="F69" s="85">
        <f>MIN(IF(INDEX(Properties!A$1:CB$87,Formula!B69,3)=0,10^6,INDEX(Properties!A$1:CB$87,Formula!B69,3)),IF(INDEX(Properties!A$1:CB$87,Formula!D69,3)=0,10^6,INDEX(Properties!A$1:CB$87,Formula!D69,3)),IF(INDEX(Properties!A$1:CB$87,Formula!F69,3)=0,10^6,INDEX(Properties!A$1:CB$87,Formula!F69,3)),IF(INDEX(Properties!A$1:CB$87,Formula!H69,3)=0,10^6,INDEX(Properties!A$1:CB$87,Formula!H69,3)),IF(INDEX(Properties!A$1:CB$87,Formula!J69,3)=0,10^6,INDEX(Properties!A$1:CB$87,Formula!J69,3)))</f>
        <v>15.9994</v>
      </c>
      <c r="G69" s="85">
        <f t="shared" si="32"/>
        <v>49.380599999999994</v>
      </c>
      <c r="H69" s="87">
        <f>((Formula!C69)/(Formula!C69+Formula!E69+Formula!G69+Formula!I69+Formula!K69))*(INDEX(Properties!A$1:CB$87,Formula!B69,4))+((Formula!E69)/(Formula!C69+Formula!E69+Formula!G69+Formula!I69+Formula!K69))*(INDEX(Properties!A$1:CB$87,Formula!D69,4))+((Formula!G69)/(Formula!C69+Formula!E69+Formula!G69+Formula!I69+Formula!K69))*(INDEX(Properties!A$1:CB$87,Formula!F69,4))+((Formula!I69)/(Formula!C69+Formula!E69+Formula!G69+Formula!I69+Formula!K69))*(INDEX(Properties!A$1:CB$87,Formula!H69,4))+((Formula!K69)/(Formula!C69+Formula!E69+Formula!G69+Formula!I69+Formula!K69))*(INDEX(Properties!A$1:CB$87,Formula!J69,4))</f>
        <v>19</v>
      </c>
      <c r="I69" s="87">
        <f>Formula!C69*(INDEX(Properties!A$1:CB$87,Formula!B69,4))+Formula!E69*(INDEX(Properties!A$1:CB$87,Formula!D69,4))+Formula!G69*(INDEX(Properties!A$1:CB$87,Formula!F69,4))+Formula!I69*(INDEX(Properties!A$1:CB$87,Formula!H69,4))+Formula!K69*(INDEX(Properties!A$1:CB$87,Formula!J69,4))</f>
        <v>38</v>
      </c>
      <c r="J69" s="87">
        <f>VARP(IF(INDEX(Properties!A$1:CB$87,Formula!B69,4)&lt;&gt;"",INDEX(Properties!A$1:CB$87,Formula!B69,4)),IF(INDEX(Properties!A$1:CB$87,Formula!D69,4)&lt;&gt;"",INDEX(Properties!A$1:CB$87,Formula!D69,4)),IF(INDEX(Properties!A$1:CB$87,Formula!F69,4)&lt;&gt;"",INDEX(Properties!A$1:CB$87,Formula!F69,4)),IF(INDEX(Properties!A$1:CB$87,Formula!H69,4)&lt;&gt;"",INDEX(Properties!A$1:CB$87,Formula!H69,4)),IF(INDEX(Properties!A$1:CB$87,Formula!J69,4)&lt;&gt;"",INDEX(Properties!A$1:CB$87,Formula!J69,4)))</f>
        <v>135.04</v>
      </c>
      <c r="K69" s="87">
        <f>MAX(INDEX(Properties!A$1:CB$87,Formula!B69,4),INDEX(Properties!A$1:CB$87,Formula!D69,4),INDEX(Properties!A$1:CB$87,Formula!F69,4),INDEX(Properties!A$1:CB$87,Formula!H69,4),INDEX(Properties!A$1:CB$87,Formula!J69,4))</f>
        <v>30</v>
      </c>
      <c r="L69" s="87">
        <f>MIN(IF(INDEX(Properties!A$1:CB$87,Formula!B69,4)=0,10^6,INDEX(Properties!A$1:CB$87,Formula!B69,4)),IF(INDEX(Properties!A$1:CB$87,Formula!D69,4)=0,10^6,INDEX(Properties!A$1:CB$87,Formula!D69,4)),IF(INDEX(Properties!A$1:CB$87,Formula!F69,4)=0,10^6,INDEX(Properties!A$1:CB$87,Formula!F69,4)),IF(INDEX(Properties!A$1:CB$87,Formula!H69,4)=0,10^6,INDEX(Properties!A$1:CB$87,Formula!H69,4)),IF(INDEX(Properties!A$1:CB$87,Formula!J69,4)=0,10^6,INDEX(Properties!A$1:CB$87,Formula!J69,4)))</f>
        <v>8</v>
      </c>
      <c r="M69" s="87">
        <f t="shared" si="33"/>
        <v>22</v>
      </c>
      <c r="N69" s="89">
        <f>((Formula!C69)/(Formula!C69+Formula!E69+Formula!G69+Formula!I69+Formula!K69))*(INDEX(Properties!A$1:CB$87,Formula!B69,5))+((Formula!E69)/(Formula!C69+Formula!E69+Formula!G69+Formula!I69+Formula!K69))*(INDEX(Properties!A$1:CB$87,Formula!D69,5))+((Formula!G69)/(Formula!C69+Formula!E69+Formula!G69+Formula!I69+Formula!K69))*(INDEX(Properties!A$1:CB$87,Formula!F69,5))+((Formula!I69)/(Formula!C69+Formula!E69+Formula!G69+Formula!I69+Formula!K69))*(INDEX(Properties!A$1:CB$87,Formula!H69,5))+((Formula!K69)/(Formula!C69+Formula!E69+Formula!G69+Formula!I69+Formula!K69))*(INDEX(Properties!A$1:CB$87,Formula!J69,5))</f>
        <v>3</v>
      </c>
      <c r="O69" s="89">
        <f>Formula!C69*(INDEX(Properties!A$1:CB$87,Formula!B69,5))+Formula!E69*(INDEX(Properties!A$1:CB$87,Formula!D69,5))+Formula!G69*(INDEX(Properties!A$1:CB$87,Formula!F69,5))+Formula!I69*(INDEX(Properties!A$1:CB$87,Formula!H69,5))+Formula!K69*(INDEX(Properties!A$1:CB$87,Formula!J69,5))</f>
        <v>6</v>
      </c>
      <c r="P69" s="89">
        <f>VARP(IF(INDEX(Properties!A$1:CB$87,Formula!B69,5)&lt;&gt;"",INDEX(Properties!A$1:CB$87,Formula!B69,5)),IF(INDEX(Properties!A$1:CB$87,Formula!D69,5)&lt;&gt;"",INDEX(Properties!A$1:CB$87,Formula!D69,5)),IF(INDEX(Properties!A$1:CB$87,Formula!F69,5)&lt;&gt;"",INDEX(Properties!A$1:CB$87,Formula!F69,5)),IF(INDEX(Properties!A$1:CB$87,Formula!H69,5)&lt;&gt;"",INDEX(Properties!A$1:CB$87,Formula!H69,5)),IF(INDEX(Properties!A$1:CB$87,Formula!J69,5)&lt;&gt;"",INDEX(Properties!A$1:CB$87,Formula!J69,5)))</f>
        <v>2.56</v>
      </c>
      <c r="Q69" s="89">
        <f>MAX(INDEX(Properties!A$1:CB$87,Formula!B69,5),INDEX(Properties!A$1:CB$87,Formula!D69,5),INDEX(Properties!A$1:CB$87,Formula!F69,5),INDEX(Properties!A$1:CB$87,Formula!H69,5),INDEX(Properties!A$1:CB$87,Formula!J69,5))</f>
        <v>4</v>
      </c>
      <c r="R69" s="89">
        <f>MIN(IF(INDEX(Properties!A$1:CB$87,Formula!B69,5)=0,10^6,INDEX(Properties!A$1:CB$87,Formula!B69,5)),IF(INDEX(Properties!A$1:CB$87,Formula!D69,5)=0,10^6,INDEX(Properties!A$1:CB$87,Formula!D69,5)),IF(INDEX(Properties!A$1:CB$87,Formula!F69,5)=0,10^6,INDEX(Properties!A$1:CB$87,Formula!F69,5)),IF(INDEX(Properties!A$1:CB$87,Formula!H69,5)=0,10^6,INDEX(Properties!A$1:CB$87,Formula!H69,5)),IF(INDEX(Properties!A$1:CB$87,Formula!J69,5)=0,10^6,INDEX(Properties!A$1:CB$87,Formula!J69,5)))</f>
        <v>2</v>
      </c>
      <c r="S69" s="89">
        <f t="shared" si="34"/>
        <v>2</v>
      </c>
      <c r="T69" s="60">
        <f>((Formula!C69)/(Formula!C69+Formula!E69+Formula!G69+Formula!I69+Formula!K69))*(INDEX(Properties!A$1:CB$87,Formula!B69,6))+((Formula!E69)/(Formula!C69+Formula!E69+Formula!G69+Formula!I69+Formula!K69))*(INDEX(Properties!A$1:CB$87,Formula!D69,6))+((Formula!G69)/(Formula!C69+Formula!E69+Formula!G69+Formula!I69+Formula!K69))*(INDEX(Properties!A$1:CB$87,Formula!F69,6))+((Formula!I69)/(Formula!C69+Formula!E69+Formula!G69+Formula!I69+Formula!K69))*(INDEX(Properties!A$1:CB$87,Formula!H69,6))+((Formula!K69)/(Formula!C69+Formula!E69+Formula!G69+Formula!I69+Formula!K69))*(INDEX(Properties!A$1:CB$87,Formula!J69,6))</f>
        <v>14</v>
      </c>
      <c r="U69" s="60">
        <f>Formula!C69*(INDEX(Properties!A$1:CB$87,Formula!B69,6))+Formula!E69*(INDEX(Properties!A$1:CB$87,Formula!D69,6))+Formula!G69*(INDEX(Properties!A$1:CB$87,Formula!F69,6))+Formula!I69*(INDEX(Properties!A$1:CB$87,Formula!H69,6))+Formula!K69*(INDEX(Properties!A$1:CB$87,Formula!J69,6))</f>
        <v>28</v>
      </c>
      <c r="V69" s="89">
        <f>VARP(IF(INDEX(Properties!A$1:CB$87,Formula!B69,6)&lt;&gt;"",INDEX(Properties!A$1:CB$87,Formula!B69,6)),IF(INDEX(Properties!A$1:CB$87,Formula!D69,6)&lt;&gt;"",INDEX(Properties!A$1:CB$87,Formula!D69,6)),IF(INDEX(Properties!A$1:CB$87,Formula!F69,6)&lt;&gt;"",INDEX(Properties!A$1:CB$87,Formula!F69,6)),IF(INDEX(Properties!A$1:CB$87,Formula!H69,6)&lt;&gt;"",INDEX(Properties!A$1:CB$87,Formula!H69,6)),IF(INDEX(Properties!A$1:CB$87,Formula!J69,6)&lt;&gt;"",INDEX(Properties!A$1:CB$87,Formula!J69,6)))</f>
        <v>48.64</v>
      </c>
      <c r="W69" s="60">
        <f>MAX(INDEX(Properties!A$1:CB$87,Formula!B69,6),INDEX(Properties!A$1:CB$87,Formula!D69,6),INDEX(Properties!A$1:CB$87,Formula!F69,6),INDEX(Properties!A$1:CB$87,Formula!H69,4),INDEX(Properties!A$1:CB$87,Formula!J69,6))</f>
        <v>16</v>
      </c>
      <c r="X69" s="60">
        <f>MIN(IF(INDEX(Properties!A$1:CB$87,Formula!B69,6)=0,10^6,INDEX(Properties!A$1:CB$87,Formula!B69,6)),IF(INDEX(Properties!A$1:CB$87,Formula!D69,6)=0,10^6,INDEX(Properties!A$1:CB$87,Formula!D69,6)),IF(INDEX(Properties!A$1:CB$87,Formula!F69,6)=0,10^6,INDEX(Properties!A$1:CB$87,Formula!F69,6)),IF(INDEX(Properties!A$1:CB$87,Formula!H69,6)=0,10^6,INDEX(Properties!A$1:CB$87,Formula!H69,6)),IF(INDEX(Properties!A$1:CB$87,Formula!J69,6)=0,10^6,INDEX(Properties!A$1:CB$87,Formula!J69,6)))</f>
        <v>12</v>
      </c>
      <c r="Y69" s="60">
        <f t="shared" si="35"/>
        <v>4</v>
      </c>
      <c r="Z69" s="72">
        <f>((Formula!C69)/(Formula!C69+Formula!E69+Formula!G69+Formula!I69+Formula!K69))*(INDEX(Properties!A$1:CB$87,Formula!B69,9))+((Formula!E69)/(Formula!C69+Formula!E69+Formula!G69+Formula!I69+Formula!K69))*(INDEX(Properties!A$1:CB$87,Formula!D69,9))+((Formula!G69)/(Formula!C69+Formula!E69+Formula!G69+Formula!I69+Formula!K69))*(INDEX(Properties!A$1:CB$87,Formula!F69,9))+((Formula!I69)/(Formula!C69+Formula!E69+Formula!G69+Formula!I69+Formula!K69))*(INDEX(Properties!A$1:CB$87,Formula!H69,9))+((Formula!K69)/(Formula!C69+Formula!E69+Formula!G69+Formula!I69+Formula!K69))*(INDEX(Properties!A$1:CB$87,Formula!J69,9))</f>
        <v>78</v>
      </c>
      <c r="AA69" s="72">
        <f>Formula!C69*(INDEX(Properties!A$1:CB$87,Formula!B69,9))+Formula!E69*(INDEX(Properties!A$1:CB$87,Formula!D69,9))+Formula!G69*(INDEX(Properties!A$1:CB$87,Formula!F69,9))+Formula!I69*(INDEX(Properties!A$1:CB$87,Formula!H69,9))+Formula!K69*(INDEX(Properties!A$1:CB$87,Formula!J69,9))</f>
        <v>156</v>
      </c>
      <c r="AB69" s="72">
        <f>VARP(IF(INDEX(Properties!A$1:CB$87,Formula!B69,9)&lt;&gt;"",INDEX(Properties!A$1:CB$87,Formula!B69,9)),IF(INDEX(Properties!A$1:CB$87,Formula!D69,9)&lt;&gt;"",INDEX(Properties!A$1:CB$87,Formula!D69,9)),IF(INDEX(Properties!A$1:CB$87,Formula!F69,9)&lt;&gt;"",INDEX(Properties!A$1:CB$87,Formula!F69,9)),IF(INDEX(Properties!A$1:CB$87,Formula!H69,9)&lt;&gt;"",INDEX(Properties!A$1:CB$87,Formula!H69,9)),IF(INDEX(Properties!A$1:CB$87,Formula!J69,9)&lt;&gt;"",INDEX(Properties!A$1:CB$87,Formula!J69,9)))</f>
        <v>1492.56</v>
      </c>
      <c r="AC69" s="72">
        <f>MAX(INDEX(Properties!A$1:CB$87,Formula!B69,9),INDEX(Properties!A$1:CB$87,Formula!D69,9),INDEX(Properties!A$1:CB$87,Formula!F69,9),INDEX(Properties!A$1:CB$87,Formula!H69,9),INDEX(Properties!A$1:CB$87,Formula!J69,9))</f>
        <v>87</v>
      </c>
      <c r="AD69" s="72">
        <f>MIN(IF(INDEX(Properties!A$1:CB$87,Formula!B69,9)=0,10^6,INDEX(Properties!A$1:CB$87,Formula!B69,9)),IF(INDEX(Properties!A$1:CB$87,Formula!D69,9)=0,10^6,INDEX(Properties!A$1:CB$87,Formula!D69,9)),IF(INDEX(Properties!A$1:CB$87,Formula!F69,9)=0,10^6,INDEX(Properties!A$1:CB$87,Formula!F69,9)),IF(INDEX(Properties!A$1:CB$87,Formula!H69,9)=0,10^6,INDEX(Properties!A$1:CB$87,Formula!H69,9)),IF(INDEX(Properties!A$1:CB$87,Formula!J69,9)=0,10^6,INDEX(Properties!A$1:CB$87,Formula!J69,9)))</f>
        <v>69</v>
      </c>
      <c r="AE69" s="72">
        <f t="shared" si="36"/>
        <v>18</v>
      </c>
      <c r="AF69" s="51">
        <f>((Formula!C69)/(Formula!C69+Formula!E69+Formula!G69+Formula!I69+Formula!K69))*(INDEX(Properties!A$1:CB$87,Formula!B69,10))+((Formula!E69)/(Formula!C69+Formula!E69+Formula!G69+Formula!I69+Formula!K69))*(INDEX(Properties!A$1:CB$87,Formula!D69,10))+((Formula!G69)/(Formula!C69+Formula!E69+Formula!G69+Formula!I69+Formula!K69))*(INDEX(Properties!A$1:CB$87,Formula!F69,10))+((Formula!I69)/(Formula!C69+Formula!E69+Formula!G69+Formula!I69+Formula!K69))*(INDEX(Properties!A$1:CB$87,Formula!H69,10))+((Formula!K69)/(Formula!C69+Formula!E69+Formula!G69+Formula!I69+Formula!K69))*(INDEX(Properties!A$1:CB$87,Formula!J69,10))</f>
        <v>5.5</v>
      </c>
      <c r="AG69" s="51">
        <f>Formula!C69*(INDEX(Properties!A$1:CB$87,Formula!B69,10))+Formula!E69*(INDEX(Properties!A$1:CB$87,Formula!D69,10))+Formula!G69*(INDEX(Properties!A$1:CB$87,Formula!F69,10))+Formula!I69*(INDEX(Properties!A$1:CB$87,Formula!H69,10))+Formula!K69*(INDEX(Properties!A$1:CB$87,Formula!J69,10))</f>
        <v>11</v>
      </c>
      <c r="AH69" s="51">
        <f>VARP(IF(INDEX(Properties!A$1:CB$87,Formula!B69,10)&lt;&gt;"",INDEX(Properties!A$1:CB$87,Formula!B69,10)),IF(INDEX(Properties!A$1:CB$87,Formula!D69,10)&lt;&gt;"",INDEX(Properties!A$1:CB$87,Formula!D69,10)),IF(INDEX(Properties!A$1:CB$87,Formula!F69,10)&lt;&gt;"",INDEX(Properties!A$1:CB$87,Formula!F69,10)),IF(INDEX(Properties!A$1:CB$87,Formula!H69,10)&lt;&gt;"",INDEX(Properties!A$1:CB$87,Formula!H69,10)),IF(INDEX(Properties!A$1:CB$87,Formula!J69,10)&lt;&gt;"",INDEX(Properties!A$1:CB$87,Formula!J69,10)))</f>
        <v>8.16</v>
      </c>
      <c r="AI69" s="51">
        <f>MAX(INDEX(Properties!A$1:CB$87,Formula!B69,10),INDEX(Properties!A$1:CB$87,Formula!D69,10),INDEX(Properties!A$1:CB$87,Formula!F69,10),INDEX(Properties!A$1:CB$87,Formula!H69,10),INDEX(Properties!A$1:CB$87,Formula!J69,10))</f>
        <v>7</v>
      </c>
      <c r="AJ69" s="51">
        <f>MIN(IF(INDEX(Properties!A$1:CB$87,Formula!B69,10)=0,10^6,INDEX(Properties!A$1:CB$87,Formula!B69,10)),IF(INDEX(Properties!A$1:CB$87,Formula!D69,10)=0,10^6,INDEX(Properties!A$1:CB$87,Formula!D69,10)),IF(INDEX(Properties!A$1:CB$87,Formula!F69,10)=0,10^6,INDEX(Properties!A$1:CB$87,Formula!F69,10)),IF(INDEX(Properties!A$1:CB$87,Formula!H69,10)=0,10^6,INDEX(Properties!A$1:CB$87,Formula!H69,10)),IF(INDEX(Properties!A$1:CB$87,Formula!J69,10)=0,10^6,INDEX(Properties!A$1:CB$87,Formula!J69,10)))</f>
        <v>4</v>
      </c>
      <c r="AK69" s="51">
        <f t="shared" si="37"/>
        <v>3</v>
      </c>
      <c r="AL69" s="57">
        <f>((Formula!C69)/(Formula!C69+Formula!E69+Formula!G69+Formula!I69+Formula!K69))*(INDEX(Properties!A$1:CB$87,Formula!B69,11))+((Formula!E69)/(Formula!C69+Formula!E69+Formula!G69+Formula!I69+Formula!K69))*(INDEX(Properties!A$1:CB$87,Formula!D69,11))+((Formula!G69)/(Formula!C69+Formula!E69+Formula!G69+Formula!I69+Formula!K69))*(INDEX(Properties!A$1:CB$87,Formula!F69,11))+((Formula!I69)/(Formula!C69+Formula!E69+Formula!G69+Formula!I69+Formula!K69))*(INDEX(Properties!A$1:CB$87,Formula!H69,11))+((Formula!K69)/(Formula!C69+Formula!E69+Formula!G69+Formula!I69+Formula!K69))*(INDEX(Properties!A$1:CB$87,Formula!J69,11))</f>
        <v>2</v>
      </c>
      <c r="AM69" s="57">
        <f>Formula!C69*(INDEX(Properties!A$1:CB$87,Formula!B69,11))+Formula!E69*(INDEX(Properties!A$1:CB$87,Formula!D69,11))+Formula!G69*(INDEX(Properties!A$1:CB$87,Formula!F69,11))+Formula!I69*(INDEX(Properties!A$1:CB$87,Formula!H69,11))+Formula!K69*(INDEX(Properties!A$1:CB$87,Formula!J69,11))</f>
        <v>4</v>
      </c>
      <c r="AN69" s="57">
        <f>VARP(IF(INDEX(Properties!A$1:CB$87,Formula!B69,11)&lt;&gt;"",INDEX(Properties!A$1:CB$87,Formula!B69,11)),IF(INDEX(Properties!A$1:CB$87,Formula!D69,11)&lt;&gt;"",INDEX(Properties!A$1:CB$87,Formula!D69,11)),IF(INDEX(Properties!A$1:CB$87,Formula!F69,11)&lt;&gt;"",INDEX(Properties!A$1:CB$87,Formula!F69,11)),IF(INDEX(Properties!A$1:CB$87,Formula!H69,11)&lt;&gt;"",INDEX(Properties!A$1:CB$87,Formula!H69,11)),IF(INDEX(Properties!A$1:CB$87,Formula!J69,11)&lt;&gt;"",INDEX(Properties!A$1:CB$87,Formula!J69,11)))</f>
        <v>0.96</v>
      </c>
      <c r="AO69" s="57">
        <f>MAX(INDEX(Properties!A$1:CB$87,Formula!B69,11),INDEX(Properties!A$1:CB$87,Formula!D69,11),INDEX(Properties!A$1:CB$87,Formula!F69,11),INDEX(Properties!A$1:CB$87,Formula!H69,11),INDEX(Properties!A$1:CB$87,Formula!J69,11))</f>
        <v>2</v>
      </c>
      <c r="AP69" s="57">
        <f>MIN(IF(Formula!B69=87,10^6,INDEX(Properties!A$1:CB$87,Formula!B69,11)),IF((Formula!D69)=87,10^6,INDEX(Properties!A$1:CB$87,Formula!D69,11)),IF((Formula!F69)=87,10^6,INDEX(Properties!A$1:CB$87,Formula!F69,11)),IF((Formula!H69)=87,10^6,INDEX(Properties!A$1:CB$87,Formula!H69,11)),IF(Formula!J69=87,10^6,INDEX(Properties!A$1:CB$87,Formula!J69,11)))</f>
        <v>2</v>
      </c>
      <c r="AQ69" s="57">
        <f t="shared" si="38"/>
        <v>0</v>
      </c>
      <c r="AR69" s="78">
        <f>((Formula!C69)/(Formula!C69+Formula!E69+Formula!G69+Formula!I69+Formula!K69))*(INDEX(Properties!A$1:CB$87,Formula!B69,12))+((Formula!E69)/(Formula!C69+Formula!E69+Formula!G69+Formula!I69+Formula!K69))*(INDEX(Properties!A$1:CB$87,Formula!D69,12))+((Formula!G69)/(Formula!C69+Formula!E69+Formula!G69+Formula!I69+Formula!K69))*(INDEX(Properties!A$1:CB$87,Formula!F69,12))+((Formula!I69)/(Formula!C69+Formula!E69+Formula!G69+Formula!I69+Formula!K69))*(INDEX(Properties!A$1:CB$87,Formula!H69,12))+((Formula!K69)/(Formula!C69+Formula!E69+Formula!G69+Formula!I69+Formula!K69))*(INDEX(Properties!A$1:CB$87,Formula!J69,12))</f>
        <v>2</v>
      </c>
      <c r="AS69" s="78">
        <f>Formula!C69*(INDEX(Properties!A$1:CB$87,Formula!B69,12))+Formula!E69*(INDEX(Properties!A$1:CB$87,Formula!D69,12))+Formula!G69*(INDEX(Properties!A$1:CB$87,Formula!F69,12))+Formula!I69*(INDEX(Properties!A$1:CB$87,Formula!H69,12))+Formula!K69*(INDEX(Properties!A$1:CB$87,Formula!J69,12))</f>
        <v>4</v>
      </c>
      <c r="AT69" s="78">
        <f>VARP(IF(INDEX(Properties!A$1:CB$87,Formula!B69,12)&lt;&gt;"",INDEX(Properties!A$1:CB$87,Formula!B69,12)),IF(INDEX(Properties!A$1:CB$87,Formula!D69,12)&lt;&gt;"",INDEX(Properties!A$1:CB$87,Formula!D69,12)),IF(INDEX(Properties!A$1:CB$87,Formula!F69,12)&lt;&gt;"",INDEX(Properties!A$1:CB$87,Formula!F69,12)),IF(INDEX(Properties!A$1:CB$87,Formula!H69,12)&lt;&gt;"",INDEX(Properties!A$1:CB$87,Formula!H69,12)),IF(INDEX(Properties!A$1:CB$87,Formula!J69,12)&lt;&gt;"",INDEX(Properties!A$1:CB$87,Formula!J69,12)))</f>
        <v>2.56</v>
      </c>
      <c r="AU69" s="78">
        <f>MAX(INDEX(Properties!A$1:CB$87,Formula!B69,12),INDEX(Properties!A$1:CB$87,Formula!D69,12),INDEX(Properties!A$1:CB$87,Formula!F69,12),INDEX(Properties!A$1:CB$87,Formula!H69,12),INDEX(Properties!A$1:CB$87,Formula!J69,12))</f>
        <v>4</v>
      </c>
      <c r="AV69" s="78">
        <f>MIN(IF(Formula!B69=87,10^6,INDEX(Properties!A$1:CB$87,Formula!B69,12)),IF((Formula!D69)=87,10^6,INDEX(Properties!A$1:CB$87,Formula!D69,12)),IF((Formula!F69)=87,10^6,INDEX(Properties!A$1:CB$87,Formula!F69,12)),IF((Formula!H69)=87,10^6,INDEX(Properties!A$1:CB$87,Formula!H69,12)),IF(Formula!J69=87,10^6,INDEX(Properties!A$1:CB$87,Formula!J69,12)))</f>
        <v>0</v>
      </c>
      <c r="AW69" s="78">
        <f t="shared" si="39"/>
        <v>4</v>
      </c>
      <c r="AX69" s="45">
        <f>((Formula!C69)/(Formula!C69+Formula!E69+Formula!G69+Formula!I69+Formula!K69))*(INDEX(Properties!A$1:CB$87,Formula!B69,13))+((Formula!E69)/(Formula!C69+Formula!E69+Formula!G69+Formula!I69+Formula!K69))*(INDEX(Properties!A$1:CB$87,Formula!D69,13))+((Formula!G69)/(Formula!C69+Formula!E69+Formula!G69+Formula!I69+Formula!K69))*(INDEX(Properties!A$1:CB$87,Formula!F69,13))+((Formula!I69)/(Formula!C69+Formula!E69+Formula!G69+Formula!I69+Formula!K69))*(INDEX(Properties!A$1:CB$87,Formula!H69,13))+((Formula!K69)/(Formula!C69+Formula!E69+Formula!G69+Formula!I69+Formula!K69))*(INDEX(Properties!A$1:CB$87,Formula!J69,13))</f>
        <v>5</v>
      </c>
      <c r="AY69" s="45">
        <f>Formula!C69*(INDEX(Properties!A$1:CB$87,Formula!B69,13))+Formula!E69*(INDEX(Properties!A$1:CB$87,Formula!D69,13))+Formula!G69*(INDEX(Properties!A$1:CB$87,Formula!F69,13))+Formula!I69*(INDEX(Properties!A$1:CB$87,Formula!H69,13))+Formula!K69*(INDEX(Properties!A$1:CB$87,Formula!J69,13))</f>
        <v>10</v>
      </c>
      <c r="AZ69" s="45">
        <f>VARP(IF(INDEX(Properties!A$1:CB$87,Formula!B69,13)&lt;&gt;"",INDEX(Properties!A$1:CB$87,Formula!B69,13)),IF(INDEX(Properties!A$1:CB$87,Formula!D69,13)&lt;&gt;"",INDEX(Properties!A$1:CB$87,Formula!D69,13)),IF(INDEX(Properties!A$1:CB$87,Formula!F69,13)&lt;&gt;"",INDEX(Properties!A$1:CB$87,Formula!F69,13)),IF(INDEX(Properties!A$1:CB$87,Formula!H69,13)&lt;&gt;"",INDEX(Properties!A$1:CB$87,Formula!H69,13)),IF(INDEX(Properties!A$1:CB$87,Formula!J69,13)&lt;&gt;"",INDEX(Properties!A$1:CB$87,Formula!J69,13)))</f>
        <v>16</v>
      </c>
      <c r="BA69" s="45">
        <f>MAX(INDEX(Properties!A$1:CB$87,Formula!B69,13),INDEX(Properties!A$1:CB$87,Formula!D69,13),INDEX(Properties!A$1:CB$87,Formula!F69,13),INDEX(Properties!A$1:CB$87,Formula!H69,13),INDEX(Properties!A$1:CB$87,Formula!J69,13))</f>
        <v>10</v>
      </c>
      <c r="BB69" s="45">
        <f>MIN(IF(Formula!B69=87,10^6,INDEX(Properties!A$1:CB$87,Formula!B69,13)),IF((Formula!D69)=87,10^6,INDEX(Properties!A$1:CB$87,Formula!D69,13)),IF((Formula!F69)=87,10^6,INDEX(Properties!A$1:CB$87,Formula!F69,13)),IF((Formula!H69)=87,10^6,INDEX(Properties!A$1:CB$87,Formula!H69,13)),IF(Formula!J69=87,10^6,INDEX(Properties!A$1:CB$87,Formula!J69,13)))</f>
        <v>0</v>
      </c>
      <c r="BC69" s="45">
        <f t="shared" si="40"/>
        <v>10</v>
      </c>
      <c r="BD69" s="63">
        <f>((Formula!C69)/(Formula!C69+Formula!E69+Formula!G69+Formula!I69+Formula!K69))*(INDEX(Properties!A$1:CB$87,Formula!B69,14))+((Formula!E69)/(Formula!C69+Formula!E69+Formula!G69+Formula!I69+Formula!K69))*(INDEX(Properties!A$1:CB$87,Formula!D69,14))+((Formula!G69)/(Formula!C69+Formula!E69+Formula!G69+Formula!I69+Formula!K69))*(INDEX(Properties!A$1:CB$87,Formula!F69,14))+((Formula!I69)/(Formula!C69+Formula!E69+Formula!G69+Formula!I69+Formula!K69))*(INDEX(Properties!A$1:CB$87,Formula!H69,14))+((Formula!K69)/(Formula!C69+Formula!E69+Formula!G69+Formula!I69+Formula!K69))*(INDEX(Properties!A$1:CB$87,Formula!J69,14))</f>
        <v>0</v>
      </c>
      <c r="BE69" s="63">
        <f>Formula!C69*(INDEX(Properties!A$1:CB$87,Formula!B69,14))+Formula!E69*(INDEX(Properties!A$1:CB$87,Formula!D69,14))+Formula!G69*(INDEX(Properties!A$1:CB$87,Formula!F69,14))+Formula!I69*(INDEX(Properties!A$1:CB$87,Formula!H69,14))+Formula!K69*(INDEX(Properties!A$1:CB$87,Formula!J69,14))</f>
        <v>0</v>
      </c>
      <c r="BF69" s="63">
        <f>VARP(IF(INDEX(Properties!A$1:CB$87,Formula!B69,14)&lt;&gt;"",INDEX(Properties!A$1:CB$87,Formula!B69,14)),IF(INDEX(Properties!A$1:CB$87,Formula!D69,14)&lt;&gt;"",INDEX(Properties!A$1:CB$87,Formula!D69,14)),IF(INDEX(Properties!A$1:CB$87,Formula!F69,14)&lt;&gt;"",INDEX(Properties!A$1:CB$87,Formula!F69,14)),IF(INDEX(Properties!A$1:CB$87,Formula!H69,14)&lt;&gt;"",INDEX(Properties!A$1:CB$87,Formula!H69,14)),IF(INDEX(Properties!A$1:CB$87,Formula!J69,14)&lt;&gt;"",INDEX(Properties!A$1:CB$87,Formula!J69,14)))</f>
        <v>0</v>
      </c>
      <c r="BG69" s="63">
        <f>MAX(INDEX(Properties!A$1:CB$87,Formula!B69,14),INDEX(Properties!A$1:CB$87,Formula!D69,14),INDEX(Properties!A$1:CB$87,Formula!F69,14),INDEX(Properties!A$1:CB$87,Formula!H69,14),INDEX(Properties!A$1:CB$87,Formula!J69,14))</f>
        <v>0</v>
      </c>
      <c r="BH69" s="63">
        <f>MIN(IF(Formula!B69=87,10^6,INDEX(Properties!A$1:CB$87,Formula!B69,14)),IF((Formula!D69)=87,10^6,INDEX(Properties!A$1:CB$87,Formula!D69,14)),IF((Formula!F69)=87,10^6,INDEX(Properties!A$1:CB$87,Formula!F69,14)),IF((Formula!H69)=87,10^6,INDEX(Properties!A$1:CB$87,Formula!H69,14)),IF(Formula!J69=87,10^6,INDEX(Properties!A$1:CB$87,Formula!J69,14)))</f>
        <v>0</v>
      </c>
      <c r="BI69" s="63">
        <f t="shared" si="41"/>
        <v>0</v>
      </c>
      <c r="BJ69" s="75">
        <f>((Formula!C69)/(Formula!C69+Formula!E69+Formula!G69+Formula!I69+Formula!K69))*(INDEX(Properties!A$1:CB$87,Formula!B69,19))+((Formula!E69)/(Formula!C69+Formula!E69+Formula!G69+Formula!I69+Formula!K69))*(INDEX(Properties!A$1:CB$87,Formula!D69,19))+((Formula!G69)/(Formula!C69+Formula!E69+Formula!G69+Formula!I69+Formula!K69))*(INDEX(Properties!A$1:CB$87,Formula!F69,19))+((Formula!I69)/(Formula!C69+Formula!E69+Formula!G69+Formula!I69+Formula!K69))*(INDEX(Properties!A$1:CB$87,Formula!H69,19))+((Formula!K69)/(Formula!C69+Formula!E69+Formula!G69+Formula!I69+Formula!K69))*(INDEX(Properties!A$1:CB$87,Formula!J69,19))</f>
        <v>9</v>
      </c>
      <c r="BK69" s="75">
        <f>Formula!C69*(INDEX(Properties!A$1:CB$87,Formula!B69,19))+Formula!E69*(INDEX(Properties!A$1:CB$87,Formula!D69,19))+Formula!G69*(INDEX(Properties!A$1:CB$87,Formula!F69,19))+Formula!I69*(INDEX(Properties!A$1:CB$87,Formula!H69,19))+Formula!K69*(INDEX(Properties!A$1:CB$87,Formula!J69,19))</f>
        <v>18</v>
      </c>
      <c r="BL69" s="75">
        <f>VARP(IF(INDEX(Properties!A$1:CB$87,Formula!B69,19)&lt;&gt;"",INDEX(Properties!A$1:CB$87,Formula!B69,19)),IF(INDEX(Properties!A$1:CB$87,Formula!D69,19)&lt;&gt;"",INDEX(Properties!A$1:CB$87,Formula!D69,19)),IF(INDEX(Properties!A$1:CB$87,Formula!F69,19)&lt;&gt;"",INDEX(Properties!A$1:CB$87,Formula!F69,19)),IF(INDEX(Properties!A$1:CB$87,Formula!H69,19)&lt;&gt;"",INDEX(Properties!A$1:CB$87,Formula!H69,19)),IF(INDEX(Properties!A$1:CB$87,Formula!J69,19)&lt;&gt;"",INDEX(Properties!A$1:CB$87,Formula!J69,19)))</f>
        <v>23.04</v>
      </c>
      <c r="BM69" s="75">
        <f>MAX(INDEX(Properties!A$1:CB$87,Formula!B69,19),INDEX(Properties!A$1:CB$87,Formula!D69,19),INDEX(Properties!A$1:CB$87,Formula!F69,19),INDEX(Properties!A$1:CB$87,Formula!H69,19),INDEX(Properties!A$1:CB$87,Formula!J69,19))</f>
        <v>12</v>
      </c>
      <c r="BN69" s="75">
        <f>MIN(IF(INDEX(Properties!A$1:CB$87,Formula!B69,19)=0,10^6,INDEX(Properties!A$1:CB$87,Formula!B69,19)),IF(INDEX(Properties!A$1:CB$87,Formula!D69,19)=0,10^6,INDEX(Properties!A$1:CB$87,Formula!D69,19)),IF(INDEX(Properties!A$1:CB$87,Formula!F69,19)=0,10^6,INDEX(Properties!A$1:CB$87,Formula!F69,19)),IF(INDEX(Properties!A$1:CB$87,Formula!H69,19)=0,10^6,INDEX(Properties!A$1:CB$87,Formula!H69,19)),IF(INDEX(Properties!A$1:CB$87,Formula!J69,19)=0,10^6,INDEX(Properties!A$1:CB$87,Formula!J69,19)))</f>
        <v>6</v>
      </c>
      <c r="BO69" s="75">
        <f t="shared" si="42"/>
        <v>6</v>
      </c>
      <c r="BP69" s="48">
        <f>((Formula!C69)/(Formula!C69+Formula!E69+Formula!G69+Formula!I69+Formula!K69))*(INDEX(Properties!A$1:CB$87,Formula!B69,20))+((Formula!E69)/(Formula!C69+Formula!E69+Formula!G69+Formula!I69+Formula!K69))*(INDEX(Properties!A$1:CB$87,Formula!D69,20))+((Formula!G69)/(Formula!C69+Formula!E69+Formula!G69+Formula!I69+Formula!K69))*(INDEX(Properties!A$1:CB$87,Formula!F69,20))+((Formula!I69)/(Formula!C69+Formula!E69+Formula!G69+Formula!I69+Formula!K69))*(INDEX(Properties!A$1:CB$87,Formula!H69,20))+((Formula!K69)/(Formula!C69+Formula!E69+Formula!G69+Formula!I69+Formula!K69))*(INDEX(Properties!A$1:CB$87,Formula!J69,20))</f>
        <v>4</v>
      </c>
      <c r="BQ69" s="48">
        <f>Formula!C69*(INDEX(Properties!A$1:CB$87,Formula!B69,20))+Formula!E69*(INDEX(Properties!A$1:CB$87,Formula!D69,20))+Formula!G69*(INDEX(Properties!A$1:CB$87,Formula!F69,20))+Formula!I69*(INDEX(Properties!A$1:CB$87,Formula!H69,20))+Formula!K69*(INDEX(Properties!A$1:CB$87,Formula!J69,20))</f>
        <v>8</v>
      </c>
      <c r="BR69" s="48">
        <f>VARP(IF(INDEX(Properties!A$1:CB$87,Formula!B69,20)&lt;&gt;"",INDEX(Properties!A$1:CB$87,Formula!B69,20)),IF(INDEX(Properties!A$1:CB$87,Formula!D69,20)&lt;&gt;"",INDEX(Properties!A$1:CB$87,Formula!D69,20)),IF(INDEX(Properties!A$1:CB$87,Formula!F69,20)&lt;&gt;"",INDEX(Properties!A$1:CB$87,Formula!F69,20)),IF(INDEX(Properties!A$1:CB$87,Formula!H69,20)&lt;&gt;"",INDEX(Properties!A$1:CB$87,Formula!H69,20)),IF(INDEX(Properties!A$1:CB$87,Formula!J69,20)&lt;&gt;"",INDEX(Properties!A$1:CB$87,Formula!J69,20)))</f>
        <v>5.44</v>
      </c>
      <c r="BS69" s="48">
        <f>MAX(INDEX(Properties!A$1:CB$87,Formula!B69,20),INDEX(Properties!A$1:CB$87,Formula!D69,20),INDEX(Properties!A$1:CB$87,Formula!F69,20),INDEX(Properties!A$1:CB$87,Formula!H69,20),INDEX(Properties!A$1:CB$87,Formula!J69,20))</f>
        <v>6</v>
      </c>
      <c r="BT69" s="48">
        <f>MIN(IF(INDEX(Properties!A$1:CB$87,Formula!B69,20)=0,10^6,INDEX(Properties!A$1:CB$87,Formula!B69,20)),IF(INDEX(Properties!A$1:CB$87,Formula!D69,20)=0,10^6,INDEX(Properties!A$1:CB$87,Formula!D69,20)),IF(INDEX(Properties!A$1:CB$87,Formula!F69,20)=0,10^6,INDEX(Properties!A$1:CB$87,Formula!F69,20)),IF(INDEX(Properties!A$1:CB$87,Formula!H69,20)=0,10^6,INDEX(Properties!A$1:CB$87,Formula!H69,20)),IF(INDEX(Properties!A$1:CB$87,Formula!J69,20)=0,10^6,INDEX(Properties!A$1:CB$87,Formula!J69,20)))</f>
        <v>2</v>
      </c>
      <c r="BU69" s="48">
        <f t="shared" si="43"/>
        <v>4</v>
      </c>
      <c r="BV69" s="66">
        <f>((Formula!C69)/(Formula!C69+Formula!E69+Formula!G69+Formula!I69+Formula!K69))*(INDEX(Properties!A$1:CB$87,Formula!B69,21))+((Formula!E69)/(Formula!C69+Formula!E69+Formula!G69+Formula!I69+Formula!K69))*(INDEX(Properties!A$1:CB$87,Formula!D69,21))+((Formula!G69)/(Formula!C69+Formula!E69+Formula!G69+Formula!I69+Formula!K69))*(INDEX(Properties!A$1:CB$87,Formula!F69,21))+((Formula!I69)/(Formula!C69+Formula!E69+Formula!G69+Formula!I69+Formula!K69))*(INDEX(Properties!A$1:CB$87,Formula!H69,21))+((Formula!K69)/(Formula!C69+Formula!E69+Formula!G69+Formula!I69+Formula!K69))*(INDEX(Properties!A$1:CB$87,Formula!J69,21))</f>
        <v>3.5</v>
      </c>
      <c r="BW69" s="66">
        <f>Formula!C69*(INDEX(Properties!A$1:CB$87,Formula!B69,21))+Formula!E69*(INDEX(Properties!A$1:CB$87,Formula!D69,21))+Formula!G69*(INDEX(Properties!A$1:CB$87,Formula!F69,21))+Formula!I69*(INDEX(Properties!A$1:CB$87,Formula!H69,21))+Formula!K69*(INDEX(Properties!A$1:CB$87,Formula!J69,21))</f>
        <v>7</v>
      </c>
      <c r="BX69" s="66">
        <f>VARP(IF(INDEX(Properties!A$1:CB$87,Formula!B69,21)&lt;&gt;"",INDEX(Properties!A$1:CB$87,Formula!B69,21)),IF(INDEX(Properties!A$1:CB$87,Formula!D69,21)&lt;&gt;"",INDEX(Properties!A$1:CB$87,Formula!D69,21)),IF(INDEX(Properties!A$1:CB$87,Formula!F69,21)&lt;&gt;"",INDEX(Properties!A$1:CB$87,Formula!F69,21)),IF(INDEX(Properties!A$1:CB$87,Formula!H69,21)&lt;&gt;"",INDEX(Properties!A$1:CB$87,Formula!H69,21)),IF(INDEX(Properties!A$1:CB$87,Formula!J69,21)&lt;&gt;"",INDEX(Properties!A$1:CB$87,Formula!J69,21)))</f>
        <v>5.44</v>
      </c>
      <c r="BY69" s="66">
        <f>MAX(INDEX(Properties!A$1:CB$87,Formula!B69,21),INDEX(Properties!A$1:CB$87,Formula!D69,21),INDEX(Properties!A$1:CB$87,Formula!F69,21),INDEX(Properties!A$1:CB$87,Formula!H69,21),INDEX(Properties!A$1:CB$87,Formula!J69,21))</f>
        <v>6</v>
      </c>
      <c r="BZ69" s="66">
        <f>MIN(IF(INDEX(Properties!A$1:CB$87,Formula!B69,21)=0,10^6,INDEX(Properties!A$1:CB$87,Formula!B69,21)),IF(INDEX(Properties!A$1:CB$87,Formula!D69,21)=0,10^6,INDEX(Properties!A$1:CB$87,Formula!D69,21)),IF(INDEX(Properties!A$1:CB$87,Formula!F69,21)=0,10^6,INDEX(Properties!A$1:CB$87,Formula!F69,21)),IF(INDEX(Properties!A$1:CB$87,Formula!H69,21)=0,10^6,INDEX(Properties!A$1:CB$87,Formula!H69,21)),IF(INDEX(Properties!A$1:CB$87,Formula!J69,21)=0,10^6,INDEX(Properties!A$1:CB$87,Formula!J69,21)))</f>
        <v>1</v>
      </c>
      <c r="CA69" s="66">
        <f t="shared" si="44"/>
        <v>5</v>
      </c>
      <c r="CB69" s="81">
        <f>((Formula!C69)/(Formula!C69+Formula!E69+Formula!G69+Formula!I69+Formula!K69))*(INDEX(Properties!A$1:CB$87,Formula!B69,23))+((Formula!E69)/(Formula!C69+Formula!E69+Formula!G69+Formula!I69+Formula!K69))*(INDEX(Properties!A$1:CB$87,Formula!D69,23))+((Formula!G69)/(Formula!C69+Formula!E69+Formula!G69+Formula!I69+Formula!K69))*(INDEX(Properties!A$1:CB$87,Formula!F69,23))+((Formula!I69)/(Formula!C69+Formula!E69+Formula!G69+Formula!I69+Formula!K69))*(INDEX(Properties!A$1:CB$87,Formula!H69,23))+((Formula!K69)/(Formula!C69+Formula!E69+Formula!G69+Formula!I69+Formula!K69))*(INDEX(Properties!A$1:CB$87,Formula!J69,23))</f>
        <v>2.2200000000000002</v>
      </c>
      <c r="CC69" s="81">
        <f>Formula!C69*(INDEX(Properties!A$1:CB$87,Formula!B69,23))+Formula!E69*(INDEX(Properties!A$1:CB$87,Formula!D69,23))+Formula!G69*(INDEX(Properties!A$1:CB$87,Formula!F69,23))+Formula!I69*(INDEX(Properties!A$1:CB$87,Formula!H69,23))+Formula!K69*(INDEX(Properties!A$1:CB$87,Formula!J69,23))</f>
        <v>4.4400000000000004</v>
      </c>
      <c r="CD69" s="81">
        <f>VARP(IF(INDEX(Properties!A$1:CB$87,Formula!B69,23)&lt;&gt;"",INDEX(Properties!A$1:CB$87,Formula!B69,23)),IF(INDEX(Properties!A$1:CB$87,Formula!D69,23)&lt;&gt;"",INDEX(Properties!A$1:CB$87,Formula!D69,23)),IF(INDEX(Properties!A$1:CB$87,Formula!F69,23)&lt;&gt;"",INDEX(Properties!A$1:CB$87,Formula!F69,23)),IF(INDEX(Properties!A$1:CB$87,Formula!H69,23)&lt;&gt;"",INDEX(Properties!A$1:CB$87,Formula!H69,23)),IF(INDEX(Properties!A$1:CB$87,Formula!J69,23)&lt;&gt;"",INDEX(Properties!A$1:CB$87,Formula!J69,23)))</f>
        <v>3.1541760000000005</v>
      </c>
      <c r="CE69" s="81">
        <f>MAX(INDEX(Properties!A$1:CB$87,Formula!B69,23),INDEX(Properties!A$1:CB$87,Formula!D69,23),INDEX(Properties!A$1:CB$87,Formula!F69,23),INDEX(Properties!A$1:CB$87,Formula!H69,23),INDEX(Properties!A$1:CB$87,Formula!J69,23))</f>
        <v>4.4400000000000004</v>
      </c>
      <c r="CF69" s="81">
        <f>MIN(IF(Formula!B69=87,10^6,INDEX(Properties!A$1:CB$87,Formula!B69,23)),IF((Formula!D69)=87,10^6,INDEX(Properties!A$1:CB$87,Formula!D69,23)),IF((Formula!F69)=87,10^6,INDEX(Properties!A$1:CB$87,Formula!F69,23)),IF((Formula!H69)=87,10^6,INDEX(Properties!A$1:CB$87,Formula!H69,23)),IF(Formula!J69=87,10^6,INDEX(Properties!A$1:CB$87,Formula!J69,23)))</f>
        <v>0</v>
      </c>
      <c r="CG69" s="81">
        <f t="shared" si="45"/>
        <v>4.4400000000000004</v>
      </c>
      <c r="CH69" s="39">
        <f>((Formula!C69)/(Formula!C69+Formula!E69+Formula!G69+Formula!I69+Formula!K69))*(INDEX(Properties!A$1:CB$87,Formula!B69,26))+((Formula!E69)/(Formula!C69+Formula!E69+Formula!G69+Formula!I69+Formula!K69))*(INDEX(Properties!A$1:CB$87,Formula!D69,26))+((Formula!G69)/(Formula!C69+Formula!E69+Formula!G69+Formula!I69+Formula!K69))*(INDEX(Properties!A$1:CB$87,Formula!F69,26))+((Formula!I69)/(Formula!C69+Formula!E69+Formula!G69+Formula!I69+Formula!K69))*(INDEX(Properties!A$1:CB$87,Formula!H69,26))+((Formula!K69)/(Formula!C69+Formula!E69+Formula!G69+Formula!I69+Formula!K69))*(INDEX(Properties!A$1:CB$87,Formula!J69,26))</f>
        <v>11.50615</v>
      </c>
      <c r="CI69" s="39">
        <f>Formula!C69*(INDEX(Properties!A$1:CB$87,Formula!B69,26))+Formula!E69*(INDEX(Properties!A$1:CB$87,Formula!D69,26))+Formula!G69*(INDEX(Properties!A$1:CB$87,Formula!F69,26))+Formula!I69*(INDEX(Properties!A$1:CB$87,Formula!H69,26))+Formula!K69*(INDEX(Properties!A$1:CB$87,Formula!J69,26))</f>
        <v>23.0123</v>
      </c>
      <c r="CJ69" s="39">
        <f>VARP(IF(INDEX(Properties!A$1:CB$87,Formula!B69,26)&lt;&gt;"",INDEX(Properties!A$1:CB$87,Formula!B69,26)),IF(INDEX(Properties!A$1:CB$87,Formula!D69,26)&lt;&gt;"",INDEX(Properties!A$1:CB$87,Formula!D69,26)),IF(INDEX(Properties!A$1:CB$87,Formula!F69,26)&lt;&gt;"",INDEX(Properties!A$1:CB$87,Formula!F69,26)),IF(INDEX(Properties!A$1:CB$87,Formula!H69,26)&lt;&gt;"",INDEX(Properties!A$1:CB$87,Formula!H69,26)),IF(INDEX(Properties!A$1:CB$87,Formula!J69,26)&lt;&gt;"",INDEX(Properties!A$1:CB$87,Formula!J69,26)))</f>
        <v>33.558090198400009</v>
      </c>
      <c r="CK69" s="39">
        <f>MAX(INDEX(Properties!A$1:CB$87,Formula!B69,26),INDEX(Properties!A$1:CB$87,Formula!D69,26),INDEX(Properties!A$1:CB$87,Formula!F69,26),INDEX(Properties!A$1:CB$87,Formula!H69,26),INDEX(Properties!A$1:CB$87,Formula!J69,26))</f>
        <v>13.6181</v>
      </c>
      <c r="CL69" s="39">
        <f>MIN(IF(INDEX(Properties!A$1:CB$87,Formula!B69,26)=0,10^6,INDEX(Properties!A$1:CB$87,Formula!B69,26)),IF(INDEX(Properties!A$1:CB$87,Formula!D69,26)=0,10^6,INDEX(Properties!A$1:CB$87,Formula!D69,26)),IF(INDEX(Properties!A$1:CB$87,Formula!F69,26)=0,10^6,INDEX(Properties!A$1:CB$87,Formula!F69,26)),IF(INDEX(Properties!A$1:CB$87,Formula!H69,26)=0,10^6,INDEX(Properties!A$1:CB$87,Formula!H69,26)),IF(INDEX(Properties!A$1:CB$87,Formula!J69,26)=0,10^6,INDEX(Properties!A$1:CB$87,Formula!J69,26)))</f>
        <v>9.3941999999999997</v>
      </c>
      <c r="CM69" s="39">
        <f t="shared" si="46"/>
        <v>4.2239000000000004</v>
      </c>
      <c r="CN69" s="54">
        <f>((Formula!C69)/(Formula!C69+Formula!E69+Formula!G69+Formula!I69+Formula!K69))*(INDEX(Properties!A$1:CB$87,Formula!B69,30))+((Formula!E69)/(Formula!C69+Formula!E69+Formula!G69+Formula!I69+Formula!K69))*(INDEX(Properties!A$1:CB$87,Formula!D69,30))+((Formula!G69)/(Formula!C69+Formula!E69+Formula!G69+Formula!I69+Formula!K69))*(INDEX(Properties!A$1:CB$87,Formula!F69,30))+((Formula!I69)/(Formula!C69+Formula!E69+Formula!G69+Formula!I69+Formula!K69))*(INDEX(Properties!A$1:CB$87,Formula!H69,30))+((Formula!K69)/(Formula!C69+Formula!E69+Formula!G69+Formula!I69+Formula!K69))*(INDEX(Properties!A$1:CB$87,Formula!J69,30))</f>
        <v>2.5449999999999999</v>
      </c>
      <c r="CO69" s="54">
        <f>Formula!C69*(INDEX(Properties!A$1:CB$87,Formula!B69,30))+Formula!E69*(INDEX(Properties!A$1:CB$87,Formula!D69,30))+Formula!G69*(INDEX(Properties!A$1:CB$87,Formula!F69,30))+Formula!I69*(INDEX(Properties!A$1:CB$87,Formula!H69,30))+Formula!K69*(INDEX(Properties!A$1:CB$87,Formula!J69,30))</f>
        <v>5.09</v>
      </c>
      <c r="CP69" s="54">
        <f>VARP(IF(INDEX(Properties!A$1:CB$87,Formula!B69,30)&lt;&gt;"",INDEX(Properties!A$1:CB$87,Formula!B69,30)),IF(INDEX(Properties!A$1:CB$87,Formula!D69,30)&lt;&gt;"",INDEX(Properties!A$1:CB$87,Formula!D69,30)),IF(INDEX(Properties!A$1:CB$87,Formula!F69,30)&lt;&gt;"",INDEX(Properties!A$1:CB$87,Formula!F69,30)),IF(INDEX(Properties!A$1:CB$87,Formula!H69,30)&lt;&gt;"",INDEX(Properties!A$1:CB$87,Formula!H69,30)),IF(INDEX(Properties!A$1:CB$87,Formula!J69,30)&lt;&gt;"",INDEX(Properties!A$1:CB$87,Formula!J69,30)))</f>
        <v>1.8748959999999997</v>
      </c>
      <c r="CQ69" s="54">
        <f>MAX(INDEX(Properties!A$1:CB$87,Formula!B69,30),INDEX(Properties!A$1:CB$87,Formula!D69,30),INDEX(Properties!A$1:CB$87,Formula!F69,30),INDEX(Properties!A$1:CB$87,Formula!H69,30),INDEX(Properties!A$1:CB$87,Formula!J69,30))</f>
        <v>3.44</v>
      </c>
      <c r="CR69" s="54">
        <f>MIN(IF(INDEX(Properties!A$1:CB$87,Formula!B69,30)=0,10^6,INDEX(Properties!A$1:CB$87,Formula!B69,30)),IF(INDEX(Properties!A$1:CB$87,Formula!D69,30)=0,10^6,INDEX(Properties!A$1:CB$87,Formula!D69,30)),IF(INDEX(Properties!A$1:CB$87,Formula!F69,30)=0,10^6,INDEX(Properties!A$1:CB$87,Formula!F69,30)),IF(INDEX(Properties!A$1:CB$87,Formula!H69,30)=0,10^6,INDEX(Properties!A$1:CB$87,Formula!H69,30)),IF(INDEX(Properties!A$1:CB$87,Formula!J69,30)=0,10^6,INDEX(Properties!A$1:CB$87,Formula!J69,30)))</f>
        <v>1.65</v>
      </c>
      <c r="CS69" s="54">
        <f t="shared" si="47"/>
        <v>1.79</v>
      </c>
      <c r="CT69" s="69">
        <f>((Formula!C69)/(Formula!C69+Formula!E69+Formula!G69+Formula!I69+Formula!K69))*(INDEX(Properties!A$1:CB$87,Formula!B69,31))+((Formula!E69)/(Formula!C69+Formula!E69+Formula!G69+Formula!I69+Formula!K69))*(INDEX(Properties!A$1:CB$87,Formula!D69,31))+((Formula!G69)/(Formula!C69+Formula!E69+Formula!G69+Formula!I69+Formula!K69))*(INDEX(Properties!A$1:CB$87,Formula!F69,31))+((Formula!I69)/(Formula!C69+Formula!E69+Formula!G69+Formula!I69+Formula!K69))*(INDEX(Properties!A$1:CB$87,Formula!H69,31))+((Formula!K69)/(Formula!C69+Formula!E69+Formula!G69+Formula!I69+Formula!K69))*(INDEX(Properties!A$1:CB$87,Formula!J69,31))</f>
        <v>2.38</v>
      </c>
      <c r="CU69" s="69">
        <f>Formula!C69*(INDEX(Properties!A$1:CB$87,Formula!B69,31))+Formula!E69*(INDEX(Properties!A$1:CB$87,Formula!D69,31))+Formula!G69*(INDEX(Properties!A$1:CB$87,Formula!F69,31))+Formula!I69*(INDEX(Properties!A$1:CB$87,Formula!H69,31))+Formula!K69*(INDEX(Properties!A$1:CB$87,Formula!J69,31))</f>
        <v>4.76</v>
      </c>
      <c r="CV69" s="69">
        <f>VARP(IF(INDEX(Properties!A$1:CB$87,Formula!B69,31)&lt;&gt;"",INDEX(Properties!A$1:CB$87,Formula!B69,31)),IF(INDEX(Properties!A$1:CB$87,Formula!D69,31)&lt;&gt;"",INDEX(Properties!A$1:CB$87,Formula!D69,31)),IF(INDEX(Properties!A$1:CB$87,Formula!F69,31)&lt;&gt;"",INDEX(Properties!A$1:CB$87,Formula!F69,31)),IF(INDEX(Properties!A$1:CB$87,Formula!H69,31)&lt;&gt;"",INDEX(Properties!A$1:CB$87,Formula!H69,31)),IF(INDEX(Properties!A$1:CB$87,Formula!J69,31)&lt;&gt;"",INDEX(Properties!A$1:CB$87,Formula!J69,31)))</f>
        <v>1.712896</v>
      </c>
      <c r="CW69" s="69">
        <f>MAX(INDEX(Properties!A$1:CB$87,Formula!B69,31),INDEX(Properties!A$1:CB$87,Formula!D69,31),INDEX(Properties!A$1:CB$87,Formula!F69,31),INDEX(Properties!A$1:CB$87,Formula!H69,31),INDEX(Properties!A$1:CB$87,Formula!J69,31))</f>
        <v>3.32</v>
      </c>
      <c r="CX69" s="69">
        <f>MIN(IF(INDEX(Properties!A$1:CB$87,Formula!B69,31)=0,10^6,INDEX(Properties!A$1:CB$87,Formula!B69,31)),IF(INDEX(Properties!A$1:CB$87,Formula!D69,31)=0,10^6,INDEX(Properties!A$1:CB$87,Formula!D69,31)),IF(INDEX(Properties!A$1:CB$87,Formula!F69,31)=0,10^6,INDEX(Properties!A$1:CB$87,Formula!F69,31)),IF(INDEX(Properties!A$1:CB$87,Formula!H69,31)=0,10^6,INDEX(Properties!A$1:CB$87,Formula!H69,31)),IF(INDEX(Properties!A$1:CB$87,Formula!J69,31)=0,10^6,INDEX(Properties!A$1:CB$87,Formula!J69,31)))</f>
        <v>1.44</v>
      </c>
      <c r="CY69" s="69">
        <f t="shared" si="48"/>
        <v>1.88</v>
      </c>
      <c r="CZ69" s="42">
        <f>((Formula!C69)/(Formula!C69+Formula!E69+Formula!G69+Formula!I69+Formula!K69))*(INDEX(Properties!A$1:CB$87,Formula!B69,32))+((Formula!E69)/(Formula!C69+Formula!E69+Formula!G69+Formula!I69+Formula!K69))*(INDEX(Properties!A$1:CB$87,Formula!D69,32))+((Formula!G69)/(Formula!C69+Formula!E69+Formula!G69+Formula!I69+Formula!K69))*(INDEX(Properties!A$1:CB$87,Formula!F69,32))+((Formula!I69)/(Formula!C69+Formula!E69+Formula!G69+Formula!I69+Formula!K69))*(INDEX(Properties!A$1:CB$87,Formula!H69,32))+((Formula!K69)/(Formula!C69+Formula!E69+Formula!G69+Formula!I69+Formula!K69))*(INDEX(Properties!A$1:CB$87,Formula!J69,32))</f>
        <v>5.9950000000000001</v>
      </c>
      <c r="DA69" s="42">
        <f>Formula!C69*(INDEX(Properties!A$1:CB$87,Formula!B69,32))+Formula!E69*(INDEX(Properties!A$1:CB$87,Formula!D69,32))+Formula!G69*(INDEX(Properties!A$1:CB$87,Formula!F69,32))+Formula!I69*(INDEX(Properties!A$1:CB$87,Formula!H69,32))+Formula!K69*(INDEX(Properties!A$1:CB$87,Formula!J69,32))</f>
        <v>11.99</v>
      </c>
      <c r="DB69" s="42">
        <f>VARP(IF(INDEX(Properties!A$1:CB$87,Formula!B69,32)&lt;&gt;"",INDEX(Properties!A$1:CB$87,Formula!B69,32)),IF(INDEX(Properties!A$1:CB$87,Formula!D69,32)&lt;&gt;"",INDEX(Properties!A$1:CB$87,Formula!D69,32)),IF(INDEX(Properties!A$1:CB$87,Formula!F69,32)&lt;&gt;"",INDEX(Properties!A$1:CB$87,Formula!F69,32)),IF(INDEX(Properties!A$1:CB$87,Formula!H69,32)&lt;&gt;"",INDEX(Properties!A$1:CB$87,Formula!H69,32)),IF(INDEX(Properties!A$1:CB$87,Formula!J69,32)&lt;&gt;"",INDEX(Properties!A$1:CB$87,Formula!J69,32)))</f>
        <v>9.5804159999999996</v>
      </c>
      <c r="DC69" s="42">
        <f>MAX(INDEX(Properties!A$1:CB$87,Formula!B69,32),INDEX(Properties!A$1:CB$87,Formula!D69,32),INDEX(Properties!A$1:CB$87,Formula!F69,32),INDEX(Properties!A$1:CB$87,Formula!H69,32),INDEX(Properties!A$1:CB$87,Formula!J69,32))</f>
        <v>7.54</v>
      </c>
      <c r="DD69" s="42">
        <f>MIN(IF(INDEX(Properties!A$1:CB$87,Formula!B69,32)=0,10^6,INDEX(Properties!A$1:CB$87,Formula!B69,32)),IF(INDEX(Properties!A$1:CB$87,Formula!D69,32)=0,10^6,INDEX(Properties!A$1:CB$87,Formula!D69,32)),IF(INDEX(Properties!A$1:CB$87,Formula!F69,32)=0,10^6,INDEX(Properties!A$1:CB$87,Formula!F69,32)),IF(INDEX(Properties!A$1:CB$87,Formula!H69,32)=0,10^6,INDEX(Properties!A$1:CB$87,Formula!H69,32)),IF(INDEX(Properties!A$1:CB$87,Formula!J69,32)=0,10^6,INDEX(Properties!A$1:CB$87,Formula!J69,32)))</f>
        <v>4.45</v>
      </c>
      <c r="DE69" s="42">
        <f t="shared" si="49"/>
        <v>3.09</v>
      </c>
      <c r="DF69" s="60">
        <f>((Formula!C69)/(Formula!C69+Formula!E69+Formula!G69+Formula!I69+Formula!K69))*(INDEX(Properties!A$1:CB$87,Formula!B69,34))+((Formula!E69)/(Formula!C69+Formula!E69+Formula!G69+Formula!I69+Formula!K69))*(INDEX(Properties!A$1:CB$87,Formula!D69,34))+((Formula!G69)/(Formula!C69+Formula!E69+Formula!G69+Formula!I69+Formula!K69))*(INDEX(Properties!A$1:CB$87,Formula!F69,34))+((Formula!I69)/(Formula!C69+Formula!E69+Formula!G69+Formula!I69+Formula!K69))*(INDEX(Properties!A$1:CB$87,Formula!H69,34))+((Formula!K69)/(Formula!C69+Formula!E69+Formula!G69+Formula!I69+Formula!K69))*(INDEX(Properties!A$1:CB$87,Formula!J69,34))</f>
        <v>2.6</v>
      </c>
      <c r="DG69" s="60">
        <f>Formula!C69*(INDEX(Properties!A$1:CB$87,Formula!B69,34))+Formula!E69*(INDEX(Properties!A$1:CB$87,Formula!D69,34))+Formula!G69*(INDEX(Properties!A$1:CB$87,Formula!F69,34))+Formula!I69*(INDEX(Properties!A$1:CB$87,Formula!H69,34))+Formula!K69*(INDEX(Properties!A$1:CB$87,Formula!J69,34))</f>
        <v>5.2</v>
      </c>
      <c r="DH69" s="60">
        <f>VARP(IF(INDEX(Properties!A$1:CB$87,Formula!B69,34)&lt;&gt;"",INDEX(Properties!A$1:CB$87,Formula!B69,34)),IF(INDEX(Properties!A$1:CB$87,Formula!D69,34)&lt;&gt;"",INDEX(Properties!A$1:CB$87,Formula!D69,34)),IF(INDEX(Properties!A$1:CB$87,Formula!F69,34)&lt;&gt;"",INDEX(Properties!A$1:CB$87,Formula!F69,34)),IF(INDEX(Properties!A$1:CB$87,Formula!H69,34)&lt;&gt;"",INDEX(Properties!A$1:CB$87,Formula!H69,34)),IF(INDEX(Properties!A$1:CB$87,Formula!J69,34)&lt;&gt;"",INDEX(Properties!A$1:CB$87,Formula!J69,34)))</f>
        <v>2.03044</v>
      </c>
      <c r="DI69" s="60">
        <f>MAX(INDEX(Properties!A$1:CB$87,Formula!B69,34),INDEX(Properties!A$1:CB$87,Formula!D69,34),INDEX(Properties!A$1:CB$87,Formula!F69,34),INDEX(Properties!A$1:CB$87,Formula!H69,34),INDEX(Properties!A$1:CB$87,Formula!J69,34))</f>
        <v>3.61</v>
      </c>
      <c r="DJ69" s="60">
        <f>MIN(IF(INDEX(Properties!A$1:CB$87,Formula!B69,34)=0,10^6,INDEX(Properties!A$1:CB$87,Formula!B69,34)),IF(INDEX(Properties!A$1:CB$87,Formula!D69,34)=0,10^6,INDEX(Properties!A$1:CB$87,Formula!D69,34)),IF(INDEX(Properties!A$1:CB$87,Formula!F69,34)=0,10^6,INDEX(Properties!A$1:CB$87,Formula!F69,34)),IF(INDEX(Properties!A$1:CB$87,Formula!H69,34)=0,10^6,INDEX(Properties!A$1:CB$87,Formula!H69,34)),IF(INDEX(Properties!A$1:CB$87,Formula!J69,34)=0,10^6,INDEX(Properties!A$1:CB$87,Formula!J69,34)))</f>
        <v>1.59</v>
      </c>
      <c r="DK69" s="60">
        <f t="shared" si="50"/>
        <v>2.0199999999999996</v>
      </c>
      <c r="DL69" s="45">
        <f>((Formula!C69)/(Formula!C69+Formula!E69+Formula!G69+Formula!I69+Formula!K69))*(INDEX(Properties!A$1:CB$87,Formula!B69,39))+((Formula!E69)/(Formula!C69+Formula!E69+Formula!G69+Formula!I69+Formula!K69))*(INDEX(Properties!A$1:CB$87,Formula!D69,39))+((Formula!G69)/(Formula!C69+Formula!E69+Formula!G69+Formula!I69+Formula!K69))*(INDEX(Properties!A$1:CB$87,Formula!F69,39))+((Formula!I69)/(Formula!C69+Formula!E69+Formula!G69+Formula!I69+Formula!K69))*(INDEX(Properties!A$1:CB$87,Formula!H69,39))+((Formula!K69)/(Formula!C69+Formula!E69+Formula!G69+Formula!I69+Formula!K69))*(INDEX(Properties!A$1:CB$87,Formula!J69,39))</f>
        <v>0.95</v>
      </c>
      <c r="DM69" s="45">
        <f>Formula!C69*(INDEX(Properties!A$1:CB$87,Formula!B69,39))+Formula!E69*(INDEX(Properties!A$1:CB$87,Formula!D69,39))+Formula!G69*(INDEX(Properties!A$1:CB$87,Formula!F69,39))+Formula!I69*(INDEX(Properties!A$1:CB$87,Formula!H69,39))+Formula!K69*(INDEX(Properties!A$1:CB$87,Formula!J69,39))</f>
        <v>1.9</v>
      </c>
      <c r="DN69" s="45">
        <f>VARP(IF(INDEX(Properties!A$1:CB$87,Formula!B69,39)&lt;&gt;"",INDEX(Properties!A$1:CB$87,Formula!B69,39)),IF(INDEX(Properties!A$1:CB$87,Formula!D69,39)&lt;&gt;"",INDEX(Properties!A$1:CB$87,Formula!D69,39)),IF(INDEX(Properties!A$1:CB$87,Formula!F69,39)&lt;&gt;"",INDEX(Properties!A$1:CB$87,Formula!F69,39)),IF(INDEX(Properties!A$1:CB$87,Formula!H69,39)&lt;&gt;"",INDEX(Properties!A$1:CB$87,Formula!H69,39)),IF(INDEX(Properties!A$1:CB$87,Formula!J69,39)&lt;&gt;"",INDEX(Properties!A$1:CB$87,Formula!J69,39)))</f>
        <v>0.30496000000000001</v>
      </c>
      <c r="DO69" s="45">
        <f>MAX(INDEX(Properties!A$1:CB$87,Formula!B69,39),INDEX(Properties!A$1:CB$87,Formula!D69,39),INDEX(Properties!A$1:CB$87,Formula!F69,39),INDEX(Properties!A$1:CB$87,Formula!H69,39),INDEX(Properties!A$1:CB$87,Formula!J69,39))</f>
        <v>1.42</v>
      </c>
      <c r="DP69" s="45">
        <f>MIN(IF(INDEX(Properties!A$1:CB$87,Formula!B69,39)=0,10^6,INDEX(Properties!A$1:CB$87,Formula!B69,39)),IF(INDEX(Properties!A$1:CB$87,Formula!D69,39)=0,10^6,INDEX(Properties!A$1:CB$87,Formula!D69,39)),IF(INDEX(Properties!A$1:CB$87,Formula!F69,39)=0,10^6,INDEX(Properties!A$1:CB$87,Formula!F69,39)),IF(INDEX(Properties!A$1:CB$87,Formula!H69,39)=0,10^6,INDEX(Properties!A$1:CB$87,Formula!H69,39)),IF(INDEX(Properties!A$1:CB$87,Formula!J69,39)=0,10^6,INDEX(Properties!A$1:CB$87,Formula!J69,39)))</f>
        <v>0.48</v>
      </c>
      <c r="DQ69" s="45">
        <f t="shared" si="51"/>
        <v>0.94</v>
      </c>
      <c r="DR69" s="63">
        <f>((Formula!C69)/(Formula!C69+Formula!E69+Formula!G69+Formula!I69+Formula!K69))*(INDEX(Properties!A$1:CB$87,Formula!B69,40))+((Formula!E69)/(Formula!C69+Formula!E69+Formula!G69+Formula!I69+Formula!K69))*(INDEX(Properties!A$1:CB$87,Formula!D69,40))+((Formula!G69)/(Formula!C69+Formula!E69+Formula!G69+Formula!I69+Formula!K69))*(INDEX(Properties!A$1:CB$87,Formula!F69,40))+((Formula!I69)/(Formula!C69+Formula!E69+Formula!G69+Formula!I69+Formula!K69))*(INDEX(Properties!A$1:CB$87,Formula!H69,40))+((Formula!K69)/(Formula!C69+Formula!E69+Formula!G69+Formula!I69+Formula!K69))*(INDEX(Properties!A$1:CB$87,Formula!J69,40))</f>
        <v>1.02</v>
      </c>
      <c r="DS69" s="63">
        <f>Formula!C69*(INDEX(Properties!A$1:CB$87,Formula!B69,40))+Formula!E69*(INDEX(Properties!A$1:CB$87,Formula!D69,40))+Formula!G69*(INDEX(Properties!A$1:CB$87,Formula!F69,40))+Formula!I69*(INDEX(Properties!A$1:CB$87,Formula!H69,40))+Formula!K69*(INDEX(Properties!A$1:CB$87,Formula!J69,40))</f>
        <v>2.04</v>
      </c>
      <c r="DT69" s="63">
        <f>VARP(IF(INDEX(Properties!A$1:CB$87,Formula!B69,40)&lt;&gt;"",INDEX(Properties!A$1:CB$87,Formula!B69,40)),IF(INDEX(Properties!A$1:CB$87,Formula!D69,40)&lt;&gt;"",INDEX(Properties!A$1:CB$87,Formula!D69,40)),IF(INDEX(Properties!A$1:CB$87,Formula!F69,40)&lt;&gt;"",INDEX(Properties!A$1:CB$87,Formula!F69,40)),IF(INDEX(Properties!A$1:CB$87,Formula!H69,40)&lt;&gt;"",INDEX(Properties!A$1:CB$87,Formula!H69,40)),IF(INDEX(Properties!A$1:CB$87,Formula!J69,40)&lt;&gt;"",INDEX(Properties!A$1:CB$87,Formula!J69,40)))</f>
        <v>0.28333600000000003</v>
      </c>
      <c r="DU69" s="63">
        <f>MAX(INDEX(Properties!A$1:CB$87,Formula!B69,40),INDEX(Properties!A$1:CB$87,Formula!D69,40),INDEX(Properties!A$1:CB$87,Formula!F69,40),INDEX(Properties!A$1:CB$87,Formula!H69,40),INDEX(Properties!A$1:CB$87,Formula!J69,40))</f>
        <v>1.31</v>
      </c>
      <c r="DV69" s="63">
        <f>MIN(IF(INDEX(Properties!A$1:CB$87,Formula!B69,40)=0,10^6,INDEX(Properties!A$1:CB$87,Formula!B69,40)),IF(INDEX(Properties!A$1:CB$87,Formula!D69,40)=0,10^6,INDEX(Properties!A$1:CB$87,Formula!D69,40)),IF(INDEX(Properties!A$1:CB$87,Formula!F69,40)=0,10^6,INDEX(Properties!A$1:CB$87,Formula!F69,40)),IF(INDEX(Properties!A$1:CB$87,Formula!H69,40)=0,10^6,INDEX(Properties!A$1:CB$87,Formula!H69,40)),IF(INDEX(Properties!A$1:CB$87,Formula!J69,40)=0,10^6,INDEX(Properties!A$1:CB$87,Formula!J69,40)))</f>
        <v>0.73</v>
      </c>
      <c r="DW69" s="63">
        <f t="shared" si="52"/>
        <v>0.58000000000000007</v>
      </c>
      <c r="DX69" s="75">
        <f>((Formula!C69)/(Formula!C69+Formula!E69+Formula!G69+Formula!I69+Formula!K69))*(INDEX(Properties!A$1:CB$87,Formula!B69,41))+((Formula!E69)/(Formula!C69+Formula!E69+Formula!G69+Formula!I69+Formula!K69))*(INDEX(Properties!A$1:CB$87,Formula!D69,41))+((Formula!G69)/(Formula!C69+Formula!E69+Formula!G69+Formula!I69+Formula!K69))*(INDEX(Properties!A$1:CB$87,Formula!F69,41))+((Formula!I69)/(Formula!C69+Formula!E69+Formula!G69+Formula!I69+Formula!K69))*(INDEX(Properties!A$1:CB$87,Formula!H69,41))+((Formula!K69)/(Formula!C69+Formula!E69+Formula!G69+Formula!I69+Formula!K69))*(INDEX(Properties!A$1:CB$87,Formula!J69,41))</f>
        <v>1.07</v>
      </c>
      <c r="DY69" s="75">
        <f>Formula!C69*(INDEX(Properties!A$1:CB$87,Formula!B69,41))+Formula!E69*(INDEX(Properties!A$1:CB$87,Formula!D69,41))+Formula!G69*(INDEX(Properties!A$1:CB$87,Formula!F69,41))+Formula!I69*(INDEX(Properties!A$1:CB$87,Formula!H69,41))+Formula!K69*(INDEX(Properties!A$1:CB$87,Formula!J69,41))</f>
        <v>2.14</v>
      </c>
      <c r="DZ69" s="75">
        <f>VARP(IF(INDEX(Properties!A$1:CB$87,Formula!B69,41)&lt;&gt;"",INDEX(Properties!A$1:CB$87,Formula!B69,41)),IF(INDEX(Properties!A$1:CB$87,Formula!D69,41)&lt;&gt;"",INDEX(Properties!A$1:CB$87,Formula!D69,41)),IF(INDEX(Properties!A$1:CB$87,Formula!F69,41)&lt;&gt;"",INDEX(Properties!A$1:CB$87,Formula!F69,41)),IF(INDEX(Properties!A$1:CB$87,Formula!H69,41)&lt;&gt;"",INDEX(Properties!A$1:CB$87,Formula!H69,41)),IF(INDEX(Properties!A$1:CB$87,Formula!J69,41)&lt;&gt;"",INDEX(Properties!A$1:CB$87,Formula!J69,41)))</f>
        <v>0.28921600000000003</v>
      </c>
      <c r="EA69" s="75">
        <f>MAX(INDEX(Properties!A$1:CB$87,Formula!B69,41),INDEX(Properties!A$1:CB$87,Formula!D69,41),INDEX(Properties!A$1:CB$87,Formula!F69,41),INDEX(Properties!A$1:CB$87,Formula!H69,41),INDEX(Properties!A$1:CB$87,Formula!J69,41))</f>
        <v>1.26</v>
      </c>
      <c r="EB69" s="75">
        <f>MIN(IF(INDEX(Properties!A$1:CB$87,Formula!B69,41)=0,10^6,INDEX(Properties!A$1:CB$87,Formula!B69,41)),IF(INDEX(Properties!A$1:CB$87,Formula!D69,41)=0,10^6,INDEX(Properties!A$1:CB$87,Formula!D69,41)),IF(INDEX(Properties!A$1:CB$87,Formula!F69,41)=0,10^6,INDEX(Properties!A$1:CB$87,Formula!F69,41)),IF(INDEX(Properties!A$1:CB$87,Formula!H69,41)=0,10^6,INDEX(Properties!A$1:CB$87,Formula!H69,41)),IF(INDEX(Properties!A$1:CB$87,Formula!J69,41)=0,10^6,INDEX(Properties!A$1:CB$87,Formula!J69,41)))</f>
        <v>0.88</v>
      </c>
      <c r="EC69" s="75">
        <f t="shared" si="53"/>
        <v>0.38</v>
      </c>
      <c r="ED69" s="48">
        <f>((Formula!C69)/(Formula!C69+Formula!E69+Formula!G69+Formula!I69+Formula!K69))*(INDEX(Properties!A$1:CB$87,Formula!B69,45))+((Formula!E69)/(Formula!C69+Formula!E69+Formula!G69+Formula!I69+Formula!K69))*(INDEX(Properties!A$1:CB$87,Formula!D69,45))+((Formula!G69)/(Formula!C69+Formula!E69+Formula!G69+Formula!I69+Formula!K69))*(INDEX(Properties!A$1:CB$87,Formula!F69,45))+((Formula!I69)/(Formula!C69+Formula!E69+Formula!G69+Formula!I69+Formula!K69))*(INDEX(Properties!A$1:CB$87,Formula!H69,45))+((Formula!K69)/(Formula!C69+Formula!E69+Formula!G69+Formula!I69+Formula!K69))*(INDEX(Properties!A$1:CB$87,Formula!J69,45))</f>
        <v>1.1749999999999998</v>
      </c>
      <c r="EE69" s="48">
        <f>Formula!C69*(INDEX(Properties!A$1:CB$87,Formula!B69,45))+Formula!E69*(INDEX(Properties!A$1:CB$87,Formula!D69,45))+Formula!G69*(INDEX(Properties!A$1:CB$87,Formula!F69,45))+Formula!I69*(INDEX(Properties!A$1:CB$87,Formula!H69,45))+Formula!K69*(INDEX(Properties!A$1:CB$87,Formula!J69,45))</f>
        <v>2.3499999999999996</v>
      </c>
      <c r="EF69" s="48">
        <f>VARP(IF(INDEX(Properties!A$1:CB$87,Formula!B69,45)&lt;&gt;"",INDEX(Properties!A$1:CB$87,Formula!B69,45)),IF(INDEX(Properties!A$1:CB$87,Formula!D69,45)&lt;&gt;"",INDEX(Properties!A$1:CB$87,Formula!D69,45)),IF(INDEX(Properties!A$1:CB$87,Formula!F69,45)&lt;&gt;"",INDEX(Properties!A$1:CB$87,Formula!F69,45)),IF(INDEX(Properties!A$1:CB$87,Formula!H69,45)&lt;&gt;"",INDEX(Properties!A$1:CB$87,Formula!H69,45)),IF(INDEX(Properties!A$1:CB$87,Formula!J69,45)&lt;&gt;"",INDEX(Properties!A$1:CB$87,Formula!J69,45)))</f>
        <v>0.53016000000000008</v>
      </c>
      <c r="EG69" s="48">
        <f>MAX(INDEX(Properties!A$1:CB$87,Formula!B69,45),INDEX(Properties!A$1:CB$87,Formula!D69,45),INDEX(Properties!A$1:CB$87,Formula!F69,45),INDEX(Properties!A$1:CB$87,Formula!H69,45),INDEX(Properties!A$1:CB$87,Formula!J69,45))</f>
        <v>1.88</v>
      </c>
      <c r="EH69" s="48">
        <f>MIN(IF(INDEX(Properties!A$1:CB$87,Formula!B69,45)=0,10^6,INDEX(Properties!A$1:CB$87,Formula!B69,45)),IF(INDEX(Properties!A$1:CB$87,Formula!D69,45)=0,10^6,INDEX(Properties!A$1:CB$87,Formula!D69,45)),IF(INDEX(Properties!A$1:CB$87,Formula!F69,45)=0,10^6,INDEX(Properties!A$1:CB$87,Formula!F69,45)),IF(INDEX(Properties!A$1:CB$87,Formula!H69,45)=0,10^6,INDEX(Properties!A$1:CB$87,Formula!H69,45)),IF(INDEX(Properties!A$1:CB$87,Formula!J69,45)=0,10^6,INDEX(Properties!A$1:CB$87,Formula!J69,45)))</f>
        <v>0.47</v>
      </c>
      <c r="EI69" s="48">
        <f t="shared" si="54"/>
        <v>1.41</v>
      </c>
      <c r="EJ69" s="66">
        <f>((Formula!C69)/(Formula!C69+Formula!E69+Formula!G69+Formula!I69+Formula!K69))*(INDEX(Properties!A$1:CB$87,Formula!B69,46))+((Formula!E69)/(Formula!C69+Formula!E69+Formula!G69+Formula!I69+Formula!K69))*(INDEX(Properties!A$1:CB$87,Formula!D69,46))+((Formula!G69)/(Formula!C69+Formula!E69+Formula!G69+Formula!I69+Formula!K69))*(INDEX(Properties!A$1:CB$87,Formula!F69,46))+((Formula!I69)/(Formula!C69+Formula!E69+Formula!G69+Formula!I69+Formula!K69))*(INDEX(Properties!A$1:CB$87,Formula!H69,46))+((Formula!K69)/(Formula!C69+Formula!E69+Formula!G69+Formula!I69+Formula!K69))*(INDEX(Properties!A$1:CB$87,Formula!J69,46))</f>
        <v>0.97499999999999998</v>
      </c>
      <c r="EK69" s="66">
        <f>Formula!C69*(INDEX(Properties!A$1:CB$87,Formula!B69,46))+Formula!E69*(INDEX(Properties!A$1:CB$87,Formula!D69,46))+Formula!G69*(INDEX(Properties!A$1:CB$87,Formula!F69,46))+Formula!I69*(INDEX(Properties!A$1:CB$87,Formula!H69,46))+Formula!K69*(INDEX(Properties!A$1:CB$87,Formula!J69,46))</f>
        <v>1.95</v>
      </c>
      <c r="EL69" s="66">
        <f>VARP(IF(INDEX(Properties!A$1:CB$87,Formula!B69,46)&lt;&gt;"",INDEX(Properties!A$1:CB$87,Formula!B69,46)),IF(INDEX(Properties!A$1:CB$87,Formula!D69,46)&lt;&gt;"",INDEX(Properties!A$1:CB$87,Formula!D69,46)),IF(INDEX(Properties!A$1:CB$87,Formula!F69,46)&lt;&gt;"",INDEX(Properties!A$1:CB$87,Formula!F69,46)),IF(INDEX(Properties!A$1:CB$87,Formula!H69,46)&lt;&gt;"",INDEX(Properties!A$1:CB$87,Formula!H69,46)),IF(INDEX(Properties!A$1:CB$87,Formula!J69,46)&lt;&gt;"",INDEX(Properties!A$1:CB$87,Formula!J69,46)))</f>
        <v>0.25023999999999996</v>
      </c>
      <c r="EM69" s="66">
        <f>MAX(INDEX(Properties!A$1:CB$87,Formula!B69,46),INDEX(Properties!A$1:CB$87,Formula!D69,46),INDEX(Properties!A$1:CB$87,Formula!F69,46),INDEX(Properties!A$1:CB$87,Formula!H69,46),INDEX(Properties!A$1:CB$87,Formula!J69,46))</f>
        <v>1.21</v>
      </c>
      <c r="EN69" s="66">
        <f>MIN(IF(INDEX(Properties!A$1:CB$87,Formula!B69,46)=0,10^6,INDEX(Properties!A$1:CB$87,Formula!B69,46)),IF(INDEX(Properties!A$1:CB$87,Formula!D69,46)=0,10^6,INDEX(Properties!A$1:CB$87,Formula!D69,46)),IF(INDEX(Properties!A$1:CB$87,Formula!F69,46)=0,10^6,INDEX(Properties!A$1:CB$87,Formula!F69,46)),IF(INDEX(Properties!A$1:CB$87,Formula!H69,46)=0,10^6,INDEX(Properties!A$1:CB$87,Formula!H69,46)),IF(INDEX(Properties!A$1:CB$87,Formula!J69,46)=0,10^6,INDEX(Properties!A$1:CB$87,Formula!J69,46)))</f>
        <v>0.74</v>
      </c>
      <c r="EO69" s="66">
        <f t="shared" si="55"/>
        <v>0.47</v>
      </c>
      <c r="EP69" s="81">
        <f>((Formula!C69)/(Formula!C69+Formula!E69+Formula!G69+Formula!I69+Formula!K69))*(INDEX(Properties!A$1:CB$87,Formula!B69,52))+((Formula!E69)/(Formula!C69+Formula!E69+Formula!G69+Formula!I69+Formula!K69))*(INDEX(Properties!A$1:CB$87,Formula!D69,52))+((Formula!G69)/(Formula!C69+Formula!E69+Formula!G69+Formula!I69+Formula!K69))*(INDEX(Properties!A$1:CB$87,Formula!F69,52))+((Formula!I69)/(Formula!C69+Formula!E69+Formula!G69+Formula!I69+Formula!K69))*(INDEX(Properties!A$1:CB$87,Formula!H69,52))+((Formula!K69)/(Formula!C69+Formula!E69+Formula!G69+Formula!I69+Formula!K69))*(INDEX(Properties!A$1:CB$87,Formula!J69,52))</f>
        <v>3.5965000000000003</v>
      </c>
      <c r="EQ69" s="81">
        <f>Formula!C69*(INDEX(Properties!A$1:CB$87,Formula!B69,52))+Formula!E69*(INDEX(Properties!A$1:CB$87,Formula!D69,52))+Formula!G69*(INDEX(Properties!A$1:CB$87,Formula!F69,52))+Formula!I69*(INDEX(Properties!A$1:CB$87,Formula!H69,52))+Formula!K69*(INDEX(Properties!A$1:CB$87,Formula!J69,52))</f>
        <v>7.1930000000000005</v>
      </c>
      <c r="ER69" s="81">
        <f>VARP(IF(INDEX(Properties!A$1:CB$87,Formula!B69,52)&lt;&gt;"",INDEX(Properties!A$1:CB$87,Formula!B69,52)),IF(INDEX(Properties!A$1:CB$87,Formula!D69,52)&lt;&gt;"",INDEX(Properties!A$1:CB$87,Formula!D69,52)),IF(INDEX(Properties!A$1:CB$87,Formula!F69,52)&lt;&gt;"",INDEX(Properties!A$1:CB$87,Formula!F69,52)),IF(INDEX(Properties!A$1:CB$87,Formula!H69,52)&lt;&gt;"",INDEX(Properties!A$1:CB$87,Formula!H69,52)),IF(INDEX(Properties!A$1:CB$87,Formula!J69,52)&lt;&gt;"",INDEX(Properties!A$1:CB$87,Formula!J69,52)))</f>
        <v>6.2481998400000016</v>
      </c>
      <c r="ES69" s="81">
        <f>MAX(INDEX(Properties!A$1:CB$87,Formula!B69,52),INDEX(Properties!A$1:CB$87,Formula!D69,52),INDEX(Properties!A$1:CB$87,Formula!F69,52),INDEX(Properties!A$1:CB$87,Formula!H69,52),INDEX(Properties!A$1:CB$87,Formula!J69,52))</f>
        <v>6.4</v>
      </c>
      <c r="ET69" s="81">
        <f>MIN(IF(INDEX(Properties!A$1:CB$87,Formula!B69,52)=0,10^6,INDEX(Properties!A$1:CB$87,Formula!B69,52)),IF(INDEX(Properties!A$1:CB$87,Formula!D69,52)=0,10^6,INDEX(Properties!A$1:CB$87,Formula!D69,52)),IF(INDEX(Properties!A$1:CB$87,Formula!F69,52)=0,10^6,INDEX(Properties!A$1:CB$87,Formula!F69,52)),IF(INDEX(Properties!A$1:CB$87,Formula!H69,52)=0,10^6,INDEX(Properties!A$1:CB$87,Formula!H69,52)),IF(INDEX(Properties!A$1:CB$87,Formula!J69,52)=0,10^6,INDEX(Properties!A$1:CB$87,Formula!J69,52)))</f>
        <v>0.79300000000000004</v>
      </c>
      <c r="EU69" s="81">
        <f t="shared" si="56"/>
        <v>5.6070000000000002</v>
      </c>
      <c r="EV69" s="39">
        <f>((Formula!C69)/(Formula!C69+Formula!E69+Formula!G69+Formula!I69+Formula!K69))*(INDEX(Properties!A$1:CB$87,Formula!B69,53))+((Formula!E69)/(Formula!C69+Formula!E69+Formula!G69+Formula!I69+Formula!K69))*(INDEX(Properties!A$1:CB$87,Formula!D69,53))+((Formula!G69)/(Formula!C69+Formula!E69+Formula!G69+Formula!I69+Formula!K69))*(INDEX(Properties!A$1:CB$87,Formula!F69,53))+((Formula!I69)/(Formula!C69+Formula!E69+Formula!G69+Formula!I69+Formula!K69))*(INDEX(Properties!A$1:CB$87,Formula!H69,53))+((Formula!K69)/(Formula!C69+Formula!E69+Formula!G69+Formula!I69+Formula!K69))*(INDEX(Properties!A$1:CB$87,Formula!J69,53))</f>
        <v>373.75</v>
      </c>
      <c r="EW69" s="39">
        <f>Formula!C69*(INDEX(Properties!A$1:CB$87,Formula!B69,53))+Formula!E69*(INDEX(Properties!A$1:CB$87,Formula!D69,53))+Formula!G69*(INDEX(Properties!A$1:CB$87,Formula!F69,53))+Formula!I69*(INDEX(Properties!A$1:CB$87,Formula!H69,53))+Formula!K69*(INDEX(Properties!A$1:CB$87,Formula!J69,53))</f>
        <v>747.5</v>
      </c>
      <c r="EX69" s="39">
        <f>VARP(IF(INDEX(Properties!A$1:CB$87,Formula!B69,53)&lt;&gt;"",INDEX(Properties!A$1:CB$87,Formula!B69,53)),IF(INDEX(Properties!A$1:CB$87,Formula!D69,53)&lt;&gt;"",INDEX(Properties!A$1:CB$87,Formula!D69,53)),IF(INDEX(Properties!A$1:CB$87,Formula!F69,53)&lt;&gt;"",INDEX(Properties!A$1:CB$87,Formula!F69,53)),IF(INDEX(Properties!A$1:CB$87,Formula!H69,53)&lt;&gt;"",INDEX(Properties!A$1:CB$87,Formula!H69,53)),IF(INDEX(Properties!A$1:CB$87,Formula!J69,53)&lt;&gt;"",INDEX(Properties!A$1:CB$87,Formula!J69,53)))</f>
        <v>74229.774999999994</v>
      </c>
      <c r="EY69" s="39">
        <f>MAX(INDEX(Properties!A$1:CB$87,Formula!B69,53),INDEX(Properties!A$1:CB$87,Formula!D69,53),INDEX(Properties!A$1:CB$87,Formula!F69,53),INDEX(Properties!A$1:CB$87,Formula!H69,53),INDEX(Properties!A$1:CB$87,Formula!J69,53))</f>
        <v>692.75</v>
      </c>
      <c r="EZ69" s="39">
        <f>MIN(IF(INDEX(Properties!A$1:CB$87,Formula!B69,53)=0,10^6,INDEX(Properties!A$1:CB$87,Formula!B69,53)),IF(INDEX(Properties!A$1:CB$87,Formula!D69,53)=0,10^6,INDEX(Properties!A$1:CB$87,Formula!D69,53)),IF(INDEX(Properties!A$1:CB$87,Formula!F69,53)=0,10^6,INDEX(Properties!A$1:CB$87,Formula!F69,53)),IF(INDEX(Properties!A$1:CB$87,Formula!H69,53)=0,10^6,INDEX(Properties!A$1:CB$87,Formula!H69,53)),IF(INDEX(Properties!A$1:CB$87,Formula!J69,53)=0,10^6,INDEX(Properties!A$1:CB$87,Formula!J69,53)))</f>
        <v>54.749999999999972</v>
      </c>
      <c r="FA69" s="39">
        <f t="shared" si="57"/>
        <v>638</v>
      </c>
      <c r="FB69" s="54">
        <f>((Formula!C69)/(Formula!C69+Formula!E69+Formula!G69+Formula!I69+Formula!K69))*(INDEX(Properties!A$1:CB$87,Formula!B69,54))+((Formula!E69)/(Formula!C69+Formula!E69+Formula!G69+Formula!I69+Formula!K69))*(INDEX(Properties!A$1:CB$87,Formula!D69,54))+((Formula!G69)/(Formula!C69+Formula!E69+Formula!G69+Formula!I69+Formula!K69))*(INDEX(Properties!A$1:CB$87,Formula!F69,54))+((Formula!I69)/(Formula!C69+Formula!E69+Formula!G69+Formula!I69+Formula!K69))*(INDEX(Properties!A$1:CB$87,Formula!H69,54))+((Formula!K69)/(Formula!C69+Formula!E69+Formula!G69+Formula!I69+Formula!K69))*(INDEX(Properties!A$1:CB$87,Formula!J69,54))</f>
        <v>634.65000000000009</v>
      </c>
      <c r="FC69" s="54">
        <f>Formula!C69*(INDEX(Properties!A$1:CB$87,Formula!B69,54))+Formula!E69*(INDEX(Properties!A$1:CB$87,Formula!D69,54))+Formula!G69*(INDEX(Properties!A$1:CB$87,Formula!F69,54))+Formula!I69*(INDEX(Properties!A$1:CB$87,Formula!H69,54))+Formula!K69*(INDEX(Properties!A$1:CB$87,Formula!J69,54))</f>
        <v>1269.3000000000002</v>
      </c>
      <c r="FD69" s="54">
        <f>VARP(IF(INDEX(Properties!A$1:CB$87,Formula!B69,54)&lt;&gt;"",INDEX(Properties!A$1:CB$87,Formula!B69,54)),IF(INDEX(Properties!A$1:CB$87,Formula!D69,54)&lt;&gt;"",INDEX(Properties!A$1:CB$87,Formula!D69,54)),IF(INDEX(Properties!A$1:CB$87,Formula!F69,54)&lt;&gt;"",INDEX(Properties!A$1:CB$87,Formula!F69,54)),IF(INDEX(Properties!A$1:CB$87,Formula!H69,54)&lt;&gt;"",INDEX(Properties!A$1:CB$87,Formula!H69,54)),IF(INDEX(Properties!A$1:CB$87,Formula!J69,54)&lt;&gt;"",INDEX(Properties!A$1:CB$87,Formula!J69,54)))</f>
        <v>215259.44940000001</v>
      </c>
      <c r="FE69" s="54">
        <f>MAX(INDEX(Properties!A$1:CB$87,Formula!B69,54),INDEX(Properties!A$1:CB$87,Formula!D69,54),INDEX(Properties!A$1:CB$87,Formula!F69,54),INDEX(Properties!A$1:CB$87,Formula!H69,54),INDEX(Properties!A$1:CB$87,Formula!J69,54))</f>
        <v>1179.1500000000001</v>
      </c>
      <c r="FF69" s="54">
        <f>MIN(IF(INDEX(Properties!A$1:CB$87,Formula!B69,54)=0,10^6,INDEX(Properties!A$1:CB$87,Formula!B69,54)),IF(INDEX(Properties!A$1:CB$87,Formula!D69,54)=0,10^6,INDEX(Properties!A$1:CB$87,Formula!D69,54)),IF(INDEX(Properties!A$1:CB$87,Formula!F69,54)=0,10^6,INDEX(Properties!A$1:CB$87,Formula!F69,54)),IF(INDEX(Properties!A$1:CB$87,Formula!H69,54)=0,10^6,INDEX(Properties!A$1:CB$87,Formula!H69,54)),IF(INDEX(Properties!A$1:CB$87,Formula!J69,54)=0,10^6,INDEX(Properties!A$1:CB$87,Formula!J69,54)))</f>
        <v>90.149999999999977</v>
      </c>
      <c r="FG69" s="54">
        <f t="shared" si="58"/>
        <v>1089</v>
      </c>
      <c r="FH69" s="69">
        <f>((Formula!C69)/(Formula!C69+Formula!E69+Formula!G69+Formula!I69+Formula!K69))*(INDEX(Properties!A$1:CB$87,Formula!B69,55))+((Formula!E69)/(Formula!C69+Formula!E69+Formula!G69+Formula!I69+Formula!K69))*(INDEX(Properties!A$1:CB$87,Formula!D69,55))+((Formula!G69)/(Formula!C69+Formula!E69+Formula!G69+Formula!I69+Formula!K69))*(INDEX(Properties!A$1:CB$87,Formula!F69,55))+((Formula!I69)/(Formula!C69+Formula!E69+Formula!G69+Formula!I69+Formula!K69))*(INDEX(Properties!A$1:CB$87,Formula!H69,55))+((Formula!K69)/(Formula!C69+Formula!E69+Formula!G69+Formula!I69+Formula!K69))*(INDEX(Properties!A$1:CB$87,Formula!J69,55))</f>
        <v>3.565715</v>
      </c>
      <c r="FI69" s="69">
        <f>Formula!C69*(INDEX(Properties!A$1:CB$87,Formula!B69,55))+Formula!E69*(INDEX(Properties!A$1:CB$87,Formula!D69,54))+Formula!G69*(INDEX(Properties!A$1:CB$87,Formula!F69,55))+Formula!I69*(INDEX(Properties!A$1:CB$87,Formula!H69,55))+Formula!K69*(INDEX(Properties!A$1:CB$87,Formula!J69,55))</f>
        <v>97.279999999999973</v>
      </c>
      <c r="FJ69" s="69">
        <f>VARP(IF(INDEX(Properties!A$1:CB$87,Formula!B69,55)&lt;&gt;"",INDEX(Properties!A$1:CB$87,Formula!B69,55)),IF(INDEX(Properties!A$1:CB$87,Formula!D69,55)&lt;&gt;"",INDEX(Properties!A$1:CB$87,Formula!D69,55)),IF(INDEX(Properties!A$1:CB$87,Formula!F69,55)&lt;&gt;"",INDEX(Properties!A$1:CB$87,Formula!F69,55)),IF(INDEX(Properties!A$1:CB$87,Formula!H69,55)&lt;&gt;"",INDEX(Properties!A$1:CB$87,Formula!H69,55)),IF(INDEX(Properties!A$1:CB$87,Formula!J69,55)&lt;&gt;"",INDEX(Properties!A$1:CB$87,Formula!J69,55)))</f>
        <v>8.1330886551840003</v>
      </c>
      <c r="FK69" s="69">
        <f>MAX(INDEX(Properties!A$1:CB$87,Formula!B69,55),INDEX(Properties!A$1:CB$87,Formula!D69,55),INDEX(Properties!A$1:CB$87,Formula!F69,55),INDEX(Properties!A$1:CB$87,Formula!H69,55),INDEX(Properties!A$1:CB$87,Formula!J69,55))</f>
        <v>7.13</v>
      </c>
      <c r="FL69" s="69">
        <f>MIN(IF(INDEX(Properties!A$1:CB$87,Formula!B69,55)=0,10^6,INDEX(Properties!A$1:CB$87,Formula!B69,55)),IF(INDEX(Properties!A$1:CB$87,Formula!D69,55)=0,10^6,INDEX(Properties!A$1:CB$87,Formula!D69,55)),IF(INDEX(Properties!A$1:CB$87,Formula!F69,55)=0,10^6,INDEX(Properties!A$1:CB$87,Formula!F69,55)),IF(INDEX(Properties!A$1:CB$87,Formula!H69,55)=0,10^6,INDEX(Properties!A$1:CB$87,Formula!H69,55)),IF(INDEX(Properties!A$1:CB$87,Formula!J69,55)=0,10^6,INDEX(Properties!A$1:CB$87,Formula!J69,55)))</f>
        <v>1.4300000000000001E-3</v>
      </c>
      <c r="FM69" s="69">
        <f t="shared" si="59"/>
        <v>7.1285699999999999</v>
      </c>
      <c r="FN69" s="42">
        <f>((Formula!C69)/(Formula!C69+Formula!E69+Formula!G69+Formula!I69+Formula!K69))*(INDEX(Properties!A$1:CB$87,Formula!B69,56))+((Formula!E69)/(Formula!C69+Formula!E69+Formula!G69+Formula!I69+Formula!K69))*(INDEX(Properties!A$1:CB$87,Formula!D69,56))+((Formula!G69)/(Formula!C69+Formula!E69+Formula!G69+Formula!I69+Formula!K69))*(INDEX(Properties!A$1:CB$87,Formula!F69,56))+((Formula!I69)/(Formula!C69+Formula!E69+Formula!G69+Formula!I69+Formula!K69))*(INDEX(Properties!A$1:CB$87,Formula!H69,56))+((Formula!K69)/(Formula!C69+Formula!E69+Formula!G69+Formula!I69+Formula!K69))*(INDEX(Properties!A$1:CB$87,Formula!J69,56))</f>
        <v>0.65500000000000003</v>
      </c>
      <c r="FO69" s="42">
        <f>Formula!C69*(INDEX(Properties!A$1:CB$87,Formula!B69,56))+Formula!E69*(INDEX(Properties!A$1:CB$87,Formula!D69,56))+Formula!G69*(INDEX(Properties!A$1:CB$87,Formula!F69,56))+Formula!I69*(INDEX(Properties!A$1:CB$87,Formula!H69,56))+Formula!K69*(INDEX(Properties!A$1:CB$87,Formula!J69,56))</f>
        <v>1.31</v>
      </c>
      <c r="FP69" s="42">
        <f>VARP(IF(INDEX(Properties!A$1:CB$87,Formula!B69,56)&lt;&gt;"",INDEX(Properties!A$1:CB$87,Formula!B69,56)),IF(INDEX(Properties!A$1:CB$87,Formula!D69,56)&lt;&gt;"",INDEX(Properties!A$1:CB$87,Formula!D69,56)),IF(INDEX(Properties!A$1:CB$87,Formula!F69,56)&lt;&gt;"",INDEX(Properties!A$1:CB$87,Formula!F69,56)),IF(INDEX(Properties!A$1:CB$87,Formula!H69,56)&lt;&gt;"",INDEX(Properties!A$1:CB$87,Formula!H69,56)),IF(INDEX(Properties!A$1:CB$87,Formula!J69,56)&lt;&gt;"",INDEX(Properties!A$1:CB$87,Formula!J69,56)))</f>
        <v>0.13105600000000003</v>
      </c>
      <c r="FQ69" s="42">
        <f>MAX(INDEX(Properties!A$1:CB$87,Formula!B69,56),INDEX(Properties!A$1:CB$87,Formula!D69,56),INDEX(Properties!A$1:CB$87,Formula!F69,56),INDEX(Properties!A$1:CB$87,Formula!H69,56),INDEX(Properties!A$1:CB$87,Formula!J69,56))</f>
        <v>0.92</v>
      </c>
      <c r="FR69" s="42">
        <f>MIN(IF(INDEX(Properties!A$1:CB$87,Formula!B69,56)=0,10^6,INDEX(Properties!A$1:CB$87,Formula!B69,56)),IF(INDEX(Properties!A$1:CB$87,Formula!D69,56)=0,10^6,INDEX(Properties!A$1:CB$87,Formula!D69,56)),IF(INDEX(Properties!A$1:CB$87,Formula!F69,56)=0,10^6,INDEX(Properties!A$1:CB$87,Formula!F69,56)),IF(INDEX(Properties!A$1:CB$87,Formula!H69,56)=0,10^6,INDEX(Properties!A$1:CB$87,Formula!H69,56)),IF(INDEX(Properties!A$1:CB$87,Formula!J69,56)=0,10^6,INDEX(Properties!A$1:CB$87,Formula!J69,56)))</f>
        <v>0.39</v>
      </c>
      <c r="FS69" s="42">
        <f t="shared" si="60"/>
        <v>0.53</v>
      </c>
      <c r="FT69" s="60">
        <f>((Formula!C69)/(Formula!C69+Formula!E69+Formula!G69+Formula!I69+Formula!K69))*(INDEX(Properties!A$1:CB$87,Formula!B69,57))+((Formula!E69)/(Formula!C69+Formula!E69+Formula!G69+Formula!I69+Formula!K69))*(INDEX(Properties!A$1:CB$87,Formula!D69,57))+((Formula!G69)/(Formula!C69+Formula!E69+Formula!G69+Formula!I69+Formula!K69))*(INDEX(Properties!A$1:CB$87,Formula!F69,57))+((Formula!I69)/(Formula!C69+Formula!E69+Formula!G69+Formula!I69+Formula!K69))*(INDEX(Properties!A$1:CB$87,Formula!H69,57))+((Formula!K69)/(Formula!C69+Formula!E69+Formula!G69+Formula!I69+Formula!K69))*(INDEX(Properties!A$1:CB$87,Formula!J69,57))</f>
        <v>3.7722950000000002</v>
      </c>
      <c r="FU69" s="60">
        <f>Formula!C69*(INDEX(Properties!A$1:CB$87,Formula!B69,57))+Formula!E69*(INDEX(Properties!A$1:CB$87,Formula!D69,57))+Formula!G69*(INDEX(Properties!A$1:CB$87,Formula!F69,57))+Formula!I69*(INDEX(Properties!A$1:CB$87,Formula!H69,57))+Formula!K69*(INDEX(Properties!A$1:CB$87,Formula!J69,57))</f>
        <v>7.5445900000000004</v>
      </c>
      <c r="FV69" s="60">
        <f>VARP(IF(INDEX(Properties!A$1:CB$87,Formula!B69,57)&lt;&gt;"",INDEX(Properties!A$1:CB$87,Formula!B69,57)),IF(INDEX(Properties!A$1:CB$87,Formula!D69,57)&lt;&gt;"",INDEX(Properties!A$1:CB$87,Formula!D69,57)),IF(INDEX(Properties!A$1:CB$87,Formula!F69,57)&lt;&gt;"",INDEX(Properties!A$1:CB$87,Formula!F69,57)),IF(INDEX(Properties!A$1:CB$87,Formula!H69,57)&lt;&gt;"",INDEX(Properties!A$1:CB$87,Formula!H69,57)),IF(INDEX(Properties!A$1:CB$87,Formula!J69,57)&lt;&gt;"",INDEX(Properties!A$1:CB$87,Formula!J69,57)))</f>
        <v>8.4554125308960018</v>
      </c>
      <c r="FW69" s="60">
        <f>MAX(INDEX(Properties!A$1:CB$87,Formula!B69,57),INDEX(Properties!A$1:CB$87,Formula!D69,57),INDEX(Properties!A$1:CB$87,Formula!F69,57),INDEX(Properties!A$1:CB$87,Formula!H69,57),INDEX(Properties!A$1:CB$87,Formula!J69,57))</f>
        <v>7.3220000000000001</v>
      </c>
      <c r="FX69" s="60">
        <f>MIN(IF(INDEX(Properties!A$1:CB$87,Formula!B69,57)=0,10^6,INDEX(Properties!A$1:CB$87,Formula!B69,57)),IF(INDEX(Properties!A$1:CB$87,Formula!D69,57)=0,10^6,INDEX(Properties!A$1:CB$87,Formula!D69,57)),IF(INDEX(Properties!A$1:CB$87,Formula!F69,57)=0,10^6,INDEX(Properties!A$1:CB$87,Formula!F69,57)),IF(INDEX(Properties!A$1:CB$87,Formula!H69,57)=0,10^6,INDEX(Properties!A$1:CB$87,Formula!H69,57)),IF(INDEX(Properties!A$1:CB$87,Formula!J69,57)=0,10^6,INDEX(Properties!A$1:CB$87,Formula!J69,57)))</f>
        <v>0.22259000000000001</v>
      </c>
      <c r="FY69" s="60">
        <f t="shared" si="61"/>
        <v>7.0994099999999998</v>
      </c>
      <c r="FZ69" s="72">
        <f>((Formula!C69)/(Formula!C69+Formula!E69+Formula!G69+Formula!I69+Formula!K69))*(INDEX(Properties!A$1:CB$87,Formula!B69,60))+((Formula!E69)/(Formula!C69+Formula!E69+Formula!G69+Formula!I69+Formula!K69))*(INDEX(Properties!A$1:CB$87,Formula!D69,60))+((Formula!G69)/(Formula!C69+Formula!E69+Formula!G69+Formula!I69+Formula!K69))*(INDEX(Properties!A$1:CB$87,Formula!F69,60))+((Formula!I69)/(Formula!C69+Formula!E69+Formula!G69+Formula!I69+Formula!K69))*(INDEX(Properties!A$1:CB$87,Formula!H69,60))+((Formula!K69)/(Formula!C69+Formula!E69+Formula!G69+Formula!I69+Formula!K69))*(INDEX(Properties!A$1:CB$87,Formula!J69,60))</f>
        <v>58.013370000000002</v>
      </c>
      <c r="GA69" s="72">
        <f>Formula!C69*(INDEX(Properties!A$1:CB$87,Formula!B69,60))+Formula!E69*(INDEX(Properties!A$1:CB$87,Formula!D69,60))+Formula!G69*(INDEX(Properties!A$1:CB$87,Formula!F69,60))+Formula!I69*(INDEX(Properties!A$1:CB$87,Formula!H69,60))+Formula!K69*(INDEX(Properties!A$1:CB$87,Formula!J69,60))</f>
        <v>116.02674</v>
      </c>
      <c r="GB69" s="72">
        <f>VARP(IF(INDEX(Properties!A$1:CB$87,Formula!B69,60)&lt;&gt;"",INDEX(Properties!A$1:CB$87,Formula!B69,60)),IF(INDEX(Properties!A$1:CB$87,Formula!D69,60)&lt;&gt;"",INDEX(Properties!A$1:CB$87,Formula!D69,60)),IF(INDEX(Properties!A$1:CB$87,Formula!F69,60)&lt;&gt;"",INDEX(Properties!A$1:CB$87,Formula!F69,60)),IF(INDEX(Properties!A$1:CB$87,Formula!H69,60)&lt;&gt;"",INDEX(Properties!A$1:CB$87,Formula!H69,60)),IF(INDEX(Properties!A$1:CB$87,Formula!J69,60)&lt;&gt;"",INDEX(Properties!A$1:CB$87,Formula!J69,60)))</f>
        <v>2152.7119672044155</v>
      </c>
      <c r="GC69" s="72">
        <f>MAX(INDEX(Properties!A$1:CB$87,Formula!B69,60),INDEX(Properties!A$1:CB$87,Formula!D69,60),INDEX(Properties!A$1:CB$87,Formula!F69,60),INDEX(Properties!A$1:CB$87,Formula!H69,60),INDEX(Properties!A$1:CB$87,Formula!J69,60))</f>
        <v>116</v>
      </c>
      <c r="GD69" s="72">
        <f>MIN(IF(INDEX(Properties!A$1:CB$87,Formula!B69,60)=0,10^6,INDEX(Properties!A$1:CB$87,Formula!B69,60)),IF(INDEX(Properties!A$1:CB$87,Formula!D69,60)=0,10^6,INDEX(Properties!A$1:CB$87,Formula!D69,60)),IF(INDEX(Properties!A$1:CB$87,Formula!F69,60)=0,10^6,INDEX(Properties!A$1:CB$87,Formula!F69,60)),IF(INDEX(Properties!A$1:CB$87,Formula!H69,60)=0,10^6,INDEX(Properties!A$1:CB$87,Formula!H69,60)),IF(INDEX(Properties!A$1:CB$87,Formula!J69,60)=0,10^6,INDEX(Properties!A$1:CB$87,Formula!J69,60)))</f>
        <v>2.674E-2</v>
      </c>
      <c r="GE69" s="72">
        <f t="shared" si="62"/>
        <v>115.97326</v>
      </c>
      <c r="GF69" s="51">
        <f>((Formula!C69)/(Formula!C69+Formula!E69+Formula!G69+Formula!I69+Formula!K69))*(INDEX(Properties!A$1:CB$87,Formula!B69,62))+((Formula!E69)/(Formula!C69+Formula!E69+Formula!G69+Formula!I69+Formula!K69))*(INDEX(Properties!A$1:CB$87,Formula!D69,62))+((Formula!G69)/(Formula!C69+Formula!E69+Formula!G69+Formula!I69+Formula!K69))*(INDEX(Properties!A$1:CB$87,Formula!F69,62))+((Formula!I69)/(Formula!C69+Formula!E69+Formula!G69+Formula!I69+Formula!K69))*(INDEX(Properties!A$1:CB$87,Formula!H69,62))+((Formula!K69)/(Formula!C69+Formula!E69+Formula!G69+Formula!I69+Formula!K69))*(INDEX(Properties!A$1:CB$87,Formula!J69,62))</f>
        <v>1.9850000000000001</v>
      </c>
      <c r="GG69" s="51">
        <f>Formula!C69*(INDEX(Properties!A$1:CB$87,Formula!B69,62))+Formula!E69*(INDEX(Properties!A$1:CB$87,Formula!D69,62))+Formula!G69*(INDEX(Properties!A$1:CB$87,Formula!F69,62))+Formula!I69*(INDEX(Properties!A$1:CB$87,Formula!H69,62))+Formula!K69*(INDEX(Properties!A$1:CB$87,Formula!J69,62))</f>
        <v>3.97</v>
      </c>
      <c r="GH69" s="51">
        <f>VARP(IF(INDEX(Properties!A$1:CB$87,Formula!B69,62)&lt;&gt;"",INDEX(Properties!A$1:CB$87,Formula!B69,62)),IF(INDEX(Properties!A$1:CB$87,Formula!D69,62)&lt;&gt;"",INDEX(Properties!A$1:CB$87,Formula!D69,62)),IF(INDEX(Properties!A$1:CB$87,Formula!F69,62)&lt;&gt;"",INDEX(Properties!A$1:CB$87,Formula!F69,62)),IF(INDEX(Properties!A$1:CB$87,Formula!H69,62)&lt;&gt;"",INDEX(Properties!A$1:CB$87,Formula!H69,62)),IF(INDEX(Properties!A$1:CB$87,Formula!J69,62)&lt;&gt;"",INDEX(Properties!A$1:CB$87,Formula!J69,62)))</f>
        <v>1.1069440000000004</v>
      </c>
      <c r="GI69" s="51">
        <f>MAX(INDEX(Properties!A$1:CB$87,Formula!B69,62),INDEX(Properties!A$1:CB$87,Formula!D69,62),INDEX(Properties!A$1:CB$87,Formula!F69,62),INDEX(Properties!A$1:CB$87,Formula!H69,62),INDEX(Properties!A$1:CB$87,Formula!J69,62))</f>
        <v>2.62</v>
      </c>
      <c r="GJ69" s="51">
        <f>MIN(IF(INDEX(Properties!A$1:CB$87,Formula!B69,62)=0,10^6,INDEX(Properties!A$1:CB$87,Formula!B69,62)),IF(INDEX(Properties!A$1:CB$87,Formula!D69,62)=0,10^6,INDEX(Properties!A$1:CB$87,Formula!D69,62)),IF(INDEX(Properties!A$1:CB$87,Formula!F69,62)=0,10^6,INDEX(Properties!A$1:CB$87,Formula!F69,62)),IF(INDEX(Properties!A$1:CB$87,Formula!H69,62)=0,10^6,INDEX(Properties!A$1:CB$87,Formula!H69,62)),IF(INDEX(Properties!A$1:CB$87,Formula!J69,62)=0,10^6,INDEX(Properties!A$1:CB$87,Formula!J69,62)))</f>
        <v>1.35</v>
      </c>
      <c r="GK69" s="51">
        <f t="shared" si="63"/>
        <v>1.27</v>
      </c>
      <c r="GL69" s="51">
        <f>Formula!P69</f>
        <v>186</v>
      </c>
      <c r="GM69" s="57">
        <f>Formula!O69</f>
        <v>6</v>
      </c>
      <c r="GN69" s="51">
        <f>Formula!N69</f>
        <v>7.0000000000000007E-2</v>
      </c>
    </row>
    <row r="70" spans="1:196" x14ac:dyDescent="0.3">
      <c r="A70" s="84" t="str">
        <f>Formula!A70</f>
        <v>Ca3Bi(PO4)3</v>
      </c>
      <c r="B70" s="89">
        <f>((Formula!C70)/(Formula!C70+Formula!E70+Formula!G70+Formula!I70+Formula!K70))*(INDEX(Properties!A$1:CB$87,Formula!B70,3))+((Formula!E70)/(Formula!C70+Formula!E70+Formula!G70+Formula!I70+Formula!K70))*(INDEX(Properties!A$1:CB$87,Formula!D70,3))+((Formula!G70)/(Formula!C70+Formula!E70+Formula!G70+Formula!I70+Formula!K70))*(INDEX(Properties!A$1:CB$87,Formula!F70,3))+((Formula!I70)/(Formula!C70+Formula!E70+Formula!G70+Formula!I70+Formula!K70))*(INDEX(Properties!A$1:CB$87,Formula!H70,3))+((Formula!K70)/(Formula!C70+Formula!E70+Formula!G70+Formula!I70+Formula!K70))*(INDEX(Properties!A$1:CB$87,Formula!J70,3))</f>
        <v>32.322550315789471</v>
      </c>
      <c r="C70" s="85">
        <f>Formula!C70*(INDEX(Properties!A$1:CB$87,Formula!B70,3))+Formula!E70*(INDEX(Properties!A$1:CB$87,Formula!D70,3))+Formula!G70*(INDEX(Properties!A$1:CB$87,Formula!F70,3))+Formula!I70*(INDEX(Properties!A$1:CB$87,Formula!H70,3))+Formula!K70*(INDEX(Properties!A$1:CB$87,Formula!J70,3))</f>
        <v>614.12845600000003</v>
      </c>
      <c r="D70" s="85">
        <f>VARP(IF(INDEX(Properties!A$1:CB$87,Formula!B70,3)&lt;&gt;"",INDEX(Properties!A$1:CB$87,Formula!B70,3)),IF(INDEX(Properties!A$1:CB$87,Formula!D70,3)&lt;&gt;"",INDEX(Properties!A$1:CB$87,Formula!D70,3)),IF(INDEX(Properties!A$1:CB$87,Formula!F70,3)&lt;&gt;"",INDEX(Properties!A$1:CB$87,Formula!F70,3)),IF(INDEX(Properties!A$1:CB$87,Formula!H70,3)&lt;&gt;"",INDEX(Properties!A$1:CB$87,Formula!H70,3)),IF(INDEX(Properties!A$1:CB$87,Formula!J70,3)&lt;&gt;"",INDEX(Properties!A$1:CB$87,Formula!J70,3)))</f>
        <v>5793.4924548952285</v>
      </c>
      <c r="E70" s="85">
        <f>MAX(INDEX(Properties!A$1:CB$87,Formula!B70,3),INDEX(Properties!A$1:CB$87,Formula!D70,3),INDEX(Properties!A$1:CB$87,Formula!F70,3),INDEX(Properties!A$1:CB$87,Formula!H70,3),INDEX(Properties!A$1:CB$87,Formula!J70,3))</f>
        <v>208.98036999999999</v>
      </c>
      <c r="F70" s="85">
        <f>MIN(IF(INDEX(Properties!A$1:CB$87,Formula!B70,3)=0,10^6,INDEX(Properties!A$1:CB$87,Formula!B70,3)),IF(INDEX(Properties!A$1:CB$87,Formula!D70,3)=0,10^6,INDEX(Properties!A$1:CB$87,Formula!D70,3)),IF(INDEX(Properties!A$1:CB$87,Formula!F70,3)=0,10^6,INDEX(Properties!A$1:CB$87,Formula!F70,3)),IF(INDEX(Properties!A$1:CB$87,Formula!H70,3)=0,10^6,INDEX(Properties!A$1:CB$87,Formula!H70,3)),IF(INDEX(Properties!A$1:CB$87,Formula!J70,3)=0,10^6,INDEX(Properties!A$1:CB$87,Formula!J70,3)))</f>
        <v>15.9994</v>
      </c>
      <c r="G70" s="85">
        <f t="shared" si="32"/>
        <v>192.98096999999999</v>
      </c>
      <c r="H70" s="87">
        <f>((Formula!C70)/(Formula!C70+Formula!E70+Formula!G70+Formula!I70+Formula!K70))*(INDEX(Properties!A$1:CB$87,Formula!B70,4))+((Formula!E70)/(Formula!C70+Formula!E70+Formula!G70+Formula!I70+Formula!K70))*(INDEX(Properties!A$1:CB$87,Formula!D70,4))+((Formula!G70)/(Formula!C70+Formula!E70+Formula!G70+Formula!I70+Formula!K70))*(INDEX(Properties!A$1:CB$87,Formula!F70,4))+((Formula!I70)/(Formula!C70+Formula!E70+Formula!G70+Formula!I70+Formula!K70))*(INDEX(Properties!A$1:CB$87,Formula!H70,4))+((Formula!K70)/(Formula!C70+Formula!E70+Formula!G70+Formula!I70+Formula!K70))*(INDEX(Properties!A$1:CB$87,Formula!J70,4))</f>
        <v>14.947368421052632</v>
      </c>
      <c r="I70" s="87">
        <f>Formula!C70*(INDEX(Properties!A$1:CB$87,Formula!B70,4))+Formula!E70*(INDEX(Properties!A$1:CB$87,Formula!D70,4))+Formula!G70*(INDEX(Properties!A$1:CB$87,Formula!F70,4))+Formula!I70*(INDEX(Properties!A$1:CB$87,Formula!H70,4))+Formula!K70*(INDEX(Properties!A$1:CB$87,Formula!J70,4))</f>
        <v>284</v>
      </c>
      <c r="J70" s="87">
        <f>VARP(IF(INDEX(Properties!A$1:CB$87,Formula!B70,4)&lt;&gt;"",INDEX(Properties!A$1:CB$87,Formula!B70,4)),IF(INDEX(Properties!A$1:CB$87,Formula!D70,4)&lt;&gt;"",INDEX(Properties!A$1:CB$87,Formula!D70,4)),IF(INDEX(Properties!A$1:CB$87,Formula!F70,4)&lt;&gt;"",INDEX(Properties!A$1:CB$87,Formula!F70,4)),IF(INDEX(Properties!A$1:CB$87,Formula!H70,4)&lt;&gt;"",INDEX(Properties!A$1:CB$87,Formula!H70,4)),IF(INDEX(Properties!A$1:CB$87,Formula!J70,4)&lt;&gt;"",INDEX(Properties!A$1:CB$87,Formula!J70,4)))</f>
        <v>880.56</v>
      </c>
      <c r="K70" s="87">
        <f>MAX(INDEX(Properties!A$1:CB$87,Formula!B70,4),INDEX(Properties!A$1:CB$87,Formula!D70,4),INDEX(Properties!A$1:CB$87,Formula!F70,4),INDEX(Properties!A$1:CB$87,Formula!H70,4),INDEX(Properties!A$1:CB$87,Formula!J70,4))</f>
        <v>83</v>
      </c>
      <c r="L70" s="87">
        <f>MIN(IF(INDEX(Properties!A$1:CB$87,Formula!B70,4)=0,10^6,INDEX(Properties!A$1:CB$87,Formula!B70,4)),IF(INDEX(Properties!A$1:CB$87,Formula!D70,4)=0,10^6,INDEX(Properties!A$1:CB$87,Formula!D70,4)),IF(INDEX(Properties!A$1:CB$87,Formula!F70,4)=0,10^6,INDEX(Properties!A$1:CB$87,Formula!F70,4)),IF(INDEX(Properties!A$1:CB$87,Formula!H70,4)=0,10^6,INDEX(Properties!A$1:CB$87,Formula!H70,4)),IF(INDEX(Properties!A$1:CB$87,Formula!J70,4)=0,10^6,INDEX(Properties!A$1:CB$87,Formula!J70,4)))</f>
        <v>8</v>
      </c>
      <c r="M70" s="87">
        <f t="shared" si="33"/>
        <v>75</v>
      </c>
      <c r="N70" s="89">
        <f>((Formula!C70)/(Formula!C70+Formula!E70+Formula!G70+Formula!I70+Formula!K70))*(INDEX(Properties!A$1:CB$87,Formula!B70,5))+((Formula!E70)/(Formula!C70+Formula!E70+Formula!G70+Formula!I70+Formula!K70))*(INDEX(Properties!A$1:CB$87,Formula!D70,5))+((Formula!G70)/(Formula!C70+Formula!E70+Formula!G70+Formula!I70+Formula!K70))*(INDEX(Properties!A$1:CB$87,Formula!F70,5))+((Formula!I70)/(Formula!C70+Formula!E70+Formula!G70+Formula!I70+Formula!K70))*(INDEX(Properties!A$1:CB$87,Formula!H70,5))+((Formula!K70)/(Formula!C70+Formula!E70+Formula!G70+Formula!I70+Formula!K70))*(INDEX(Properties!A$1:CB$87,Formula!J70,5))</f>
        <v>2.6842105263157894</v>
      </c>
      <c r="O70" s="89">
        <f>Formula!C70*(INDEX(Properties!A$1:CB$87,Formula!B70,5))+Formula!E70*(INDEX(Properties!A$1:CB$87,Formula!D70,5))+Formula!G70*(INDEX(Properties!A$1:CB$87,Formula!F70,5))+Formula!I70*(INDEX(Properties!A$1:CB$87,Formula!H70,5))+Formula!K70*(INDEX(Properties!A$1:CB$87,Formula!J70,5))</f>
        <v>51</v>
      </c>
      <c r="P70" s="89">
        <f>VARP(IF(INDEX(Properties!A$1:CB$87,Formula!B70,5)&lt;&gt;"",INDEX(Properties!A$1:CB$87,Formula!B70,5)),IF(INDEX(Properties!A$1:CB$87,Formula!D70,5)&lt;&gt;"",INDEX(Properties!A$1:CB$87,Formula!D70,5)),IF(INDEX(Properties!A$1:CB$87,Formula!F70,5)&lt;&gt;"",INDEX(Properties!A$1:CB$87,Formula!F70,5)),IF(INDEX(Properties!A$1:CB$87,Formula!H70,5)&lt;&gt;"",INDEX(Properties!A$1:CB$87,Formula!H70,5)),IF(INDEX(Properties!A$1:CB$87,Formula!J70,5)&lt;&gt;"",INDEX(Properties!A$1:CB$87,Formula!J70,5)))</f>
        <v>4</v>
      </c>
      <c r="Q70" s="89">
        <f>MAX(INDEX(Properties!A$1:CB$87,Formula!B70,5),INDEX(Properties!A$1:CB$87,Formula!D70,5),INDEX(Properties!A$1:CB$87,Formula!F70,5),INDEX(Properties!A$1:CB$87,Formula!H70,5),INDEX(Properties!A$1:CB$87,Formula!J70,5))</f>
        <v>6</v>
      </c>
      <c r="R70" s="89">
        <f>MIN(IF(INDEX(Properties!A$1:CB$87,Formula!B70,5)=0,10^6,INDEX(Properties!A$1:CB$87,Formula!B70,5)),IF(INDEX(Properties!A$1:CB$87,Formula!D70,5)=0,10^6,INDEX(Properties!A$1:CB$87,Formula!D70,5)),IF(INDEX(Properties!A$1:CB$87,Formula!F70,5)=0,10^6,INDEX(Properties!A$1:CB$87,Formula!F70,5)),IF(INDEX(Properties!A$1:CB$87,Formula!H70,5)=0,10^6,INDEX(Properties!A$1:CB$87,Formula!H70,5)),IF(INDEX(Properties!A$1:CB$87,Formula!J70,5)=0,10^6,INDEX(Properties!A$1:CB$87,Formula!J70,5)))</f>
        <v>2</v>
      </c>
      <c r="S70" s="89">
        <f t="shared" si="34"/>
        <v>4</v>
      </c>
      <c r="T70" s="60">
        <f>((Formula!C70)/(Formula!C70+Formula!E70+Formula!G70+Formula!I70+Formula!K70))*(INDEX(Properties!A$1:CB$87,Formula!B70,6))+((Formula!E70)/(Formula!C70+Formula!E70+Formula!G70+Formula!I70+Formula!K70))*(INDEX(Properties!A$1:CB$87,Formula!D70,6))+((Formula!G70)/(Formula!C70+Formula!E70+Formula!G70+Formula!I70+Formula!K70))*(INDEX(Properties!A$1:CB$87,Formula!F70,6))+((Formula!I70)/(Formula!C70+Formula!E70+Formula!G70+Formula!I70+Formula!K70))*(INDEX(Properties!A$1:CB$87,Formula!H70,6))+((Formula!K70)/(Formula!C70+Formula!E70+Formula!G70+Formula!I70+Formula!K70))*(INDEX(Properties!A$1:CB$87,Formula!J70,6))</f>
        <v>13.578947368421051</v>
      </c>
      <c r="U70" s="60">
        <f>Formula!C70*(INDEX(Properties!A$1:CB$87,Formula!B70,6))+Formula!E70*(INDEX(Properties!A$1:CB$87,Formula!D70,6))+Formula!G70*(INDEX(Properties!A$1:CB$87,Formula!F70,6))+Formula!I70*(INDEX(Properties!A$1:CB$87,Formula!H70,6))+Formula!K70*(INDEX(Properties!A$1:CB$87,Formula!J70,6))</f>
        <v>258</v>
      </c>
      <c r="V70" s="89">
        <f>VARP(IF(INDEX(Properties!A$1:CB$87,Formula!B70,6)&lt;&gt;"",INDEX(Properties!A$1:CB$87,Formula!B70,6)),IF(INDEX(Properties!A$1:CB$87,Formula!D70,6)&lt;&gt;"",INDEX(Properties!A$1:CB$87,Formula!D70,6)),IF(INDEX(Properties!A$1:CB$87,Formula!F70,6)&lt;&gt;"",INDEX(Properties!A$1:CB$87,Formula!F70,6)),IF(INDEX(Properties!A$1:CB$87,Formula!H70,6)&lt;&gt;"",INDEX(Properties!A$1:CB$87,Formula!H70,6)),IF(INDEX(Properties!A$1:CB$87,Formula!J70,6)&lt;&gt;"",INDEX(Properties!A$1:CB$87,Formula!J70,6)))</f>
        <v>49.84</v>
      </c>
      <c r="W70" s="60">
        <f>MAX(INDEX(Properties!A$1:CB$87,Formula!B70,6),INDEX(Properties!A$1:CB$87,Formula!D70,6),INDEX(Properties!A$1:CB$87,Formula!F70,6),INDEX(Properties!A$1:CB$87,Formula!H70,4),INDEX(Properties!A$1:CB$87,Formula!J70,6))</f>
        <v>15</v>
      </c>
      <c r="X70" s="60">
        <f>MIN(IF(INDEX(Properties!A$1:CB$87,Formula!B70,6)=0,10^6,INDEX(Properties!A$1:CB$87,Formula!B70,6)),IF(INDEX(Properties!A$1:CB$87,Formula!D70,6)=0,10^6,INDEX(Properties!A$1:CB$87,Formula!D70,6)),IF(INDEX(Properties!A$1:CB$87,Formula!F70,6)=0,10^6,INDEX(Properties!A$1:CB$87,Formula!F70,6)),IF(INDEX(Properties!A$1:CB$87,Formula!H70,6)=0,10^6,INDEX(Properties!A$1:CB$87,Formula!H70,6)),IF(INDEX(Properties!A$1:CB$87,Formula!J70,6)=0,10^6,INDEX(Properties!A$1:CB$87,Formula!J70,6)))</f>
        <v>2</v>
      </c>
      <c r="Y70" s="60">
        <f t="shared" si="35"/>
        <v>13</v>
      </c>
      <c r="Z70" s="72">
        <f>((Formula!C70)/(Formula!C70+Formula!E70+Formula!G70+Formula!I70+Formula!K70))*(INDEX(Properties!A$1:CB$87,Formula!B70,9))+((Formula!E70)/(Formula!C70+Formula!E70+Formula!G70+Formula!I70+Formula!K70))*(INDEX(Properties!A$1:CB$87,Formula!D70,9))+((Formula!G70)/(Formula!C70+Formula!E70+Formula!G70+Formula!I70+Formula!K70))*(INDEX(Properties!A$1:CB$87,Formula!F70,9))+((Formula!I70)/(Formula!C70+Formula!E70+Formula!G70+Formula!I70+Formula!K70))*(INDEX(Properties!A$1:CB$87,Formula!H70,9))+((Formula!K70)/(Formula!C70+Formula!E70+Formula!G70+Formula!I70+Formula!K70))*(INDEX(Properties!A$1:CB$87,Formula!J70,9))</f>
        <v>73.68421052631578</v>
      </c>
      <c r="AA70" s="72">
        <f>Formula!C70*(INDEX(Properties!A$1:CB$87,Formula!B70,9))+Formula!E70*(INDEX(Properties!A$1:CB$87,Formula!D70,9))+Formula!G70*(INDEX(Properties!A$1:CB$87,Formula!F70,9))+Formula!I70*(INDEX(Properties!A$1:CB$87,Formula!H70,9))+Formula!K70*(INDEX(Properties!A$1:CB$87,Formula!J70,9))</f>
        <v>1400</v>
      </c>
      <c r="AB70" s="72">
        <f>VARP(IF(INDEX(Properties!A$1:CB$87,Formula!B70,9)&lt;&gt;"",INDEX(Properties!A$1:CB$87,Formula!B70,9)),IF(INDEX(Properties!A$1:CB$87,Formula!D70,9)&lt;&gt;"",INDEX(Properties!A$1:CB$87,Formula!D70,9)),IF(INDEX(Properties!A$1:CB$87,Formula!F70,9)&lt;&gt;"",INDEX(Properties!A$1:CB$87,Formula!F70,9)),IF(INDEX(Properties!A$1:CB$87,Formula!H70,9)&lt;&gt;"",INDEX(Properties!A$1:CB$87,Formula!H70,9)),IF(INDEX(Properties!A$1:CB$87,Formula!J70,9)&lt;&gt;"",INDEX(Properties!A$1:CB$87,Formula!J70,9)))</f>
        <v>1613.84</v>
      </c>
      <c r="AC70" s="72">
        <f>MAX(INDEX(Properties!A$1:CB$87,Formula!B70,9),INDEX(Properties!A$1:CB$87,Formula!D70,9),INDEX(Properties!A$1:CB$87,Formula!F70,9),INDEX(Properties!A$1:CB$87,Formula!H70,9),INDEX(Properties!A$1:CB$87,Formula!J70,9))</f>
        <v>87</v>
      </c>
      <c r="AD70" s="72">
        <f>MIN(IF(INDEX(Properties!A$1:CB$87,Formula!B70,9)=0,10^6,INDEX(Properties!A$1:CB$87,Formula!B70,9)),IF(INDEX(Properties!A$1:CB$87,Formula!D70,9)=0,10^6,INDEX(Properties!A$1:CB$87,Formula!D70,9)),IF(INDEX(Properties!A$1:CB$87,Formula!F70,9)=0,10^6,INDEX(Properties!A$1:CB$87,Formula!F70,9)),IF(INDEX(Properties!A$1:CB$87,Formula!H70,9)=0,10^6,INDEX(Properties!A$1:CB$87,Formula!H70,9)),IF(INDEX(Properties!A$1:CB$87,Formula!J70,9)=0,10^6,INDEX(Properties!A$1:CB$87,Formula!J70,9)))</f>
        <v>7</v>
      </c>
      <c r="AE70" s="72">
        <f t="shared" si="36"/>
        <v>80</v>
      </c>
      <c r="AF70" s="51">
        <f>((Formula!C70)/(Formula!C70+Formula!E70+Formula!G70+Formula!I70+Formula!K70))*(INDEX(Properties!A$1:CB$87,Formula!B70,10))+((Formula!E70)/(Formula!C70+Formula!E70+Formula!G70+Formula!I70+Formula!K70))*(INDEX(Properties!A$1:CB$87,Formula!D70,10))+((Formula!G70)/(Formula!C70+Formula!E70+Formula!G70+Formula!I70+Formula!K70))*(INDEX(Properties!A$1:CB$87,Formula!F70,10))+((Formula!I70)/(Formula!C70+Formula!E70+Formula!G70+Formula!I70+Formula!K70))*(INDEX(Properties!A$1:CB$87,Formula!H70,10))+((Formula!K70)/(Formula!C70+Formula!E70+Formula!G70+Formula!I70+Formula!K70))*(INDEX(Properties!A$1:CB$87,Formula!J70,10))</f>
        <v>6.1052631578947363</v>
      </c>
      <c r="AG70" s="51">
        <f>Formula!C70*(INDEX(Properties!A$1:CB$87,Formula!B70,10))+Formula!E70*(INDEX(Properties!A$1:CB$87,Formula!D70,10))+Formula!G70*(INDEX(Properties!A$1:CB$87,Formula!F70,10))+Formula!I70*(INDEX(Properties!A$1:CB$87,Formula!H70,10))+Formula!K70*(INDEX(Properties!A$1:CB$87,Formula!J70,10))</f>
        <v>116</v>
      </c>
      <c r="AH70" s="51">
        <f>VARP(IF(INDEX(Properties!A$1:CB$87,Formula!B70,10)&lt;&gt;"",INDEX(Properties!A$1:CB$87,Formula!B70,10)),IF(INDEX(Properties!A$1:CB$87,Formula!D70,10)&lt;&gt;"",INDEX(Properties!A$1:CB$87,Formula!D70,10)),IF(INDEX(Properties!A$1:CB$87,Formula!F70,10)&lt;&gt;"",INDEX(Properties!A$1:CB$87,Formula!F70,10)),IF(INDEX(Properties!A$1:CB$87,Formula!H70,10)&lt;&gt;"",INDEX(Properties!A$1:CB$87,Formula!H70,10)),IF(INDEX(Properties!A$1:CB$87,Formula!J70,10)&lt;&gt;"",INDEX(Properties!A$1:CB$87,Formula!J70,10)))</f>
        <v>7.76</v>
      </c>
      <c r="AI70" s="51">
        <f>MAX(INDEX(Properties!A$1:CB$87,Formula!B70,10),INDEX(Properties!A$1:CB$87,Formula!D70,10),INDEX(Properties!A$1:CB$87,Formula!F70,10),INDEX(Properties!A$1:CB$87,Formula!H70,10),INDEX(Properties!A$1:CB$87,Formula!J70,10))</f>
        <v>7</v>
      </c>
      <c r="AJ70" s="51">
        <f>MIN(IF(INDEX(Properties!A$1:CB$87,Formula!B70,10)=0,10^6,INDEX(Properties!A$1:CB$87,Formula!B70,10)),IF(INDEX(Properties!A$1:CB$87,Formula!D70,10)=0,10^6,INDEX(Properties!A$1:CB$87,Formula!D70,10)),IF(INDEX(Properties!A$1:CB$87,Formula!F70,10)=0,10^6,INDEX(Properties!A$1:CB$87,Formula!F70,10)),IF(INDEX(Properties!A$1:CB$87,Formula!H70,10)=0,10^6,INDEX(Properties!A$1:CB$87,Formula!H70,10)),IF(INDEX(Properties!A$1:CB$87,Formula!J70,10)=0,10^6,INDEX(Properties!A$1:CB$87,Formula!J70,10)))</f>
        <v>2</v>
      </c>
      <c r="AK70" s="51">
        <f t="shared" si="37"/>
        <v>5</v>
      </c>
      <c r="AL70" s="57">
        <f>((Formula!C70)/(Formula!C70+Formula!E70+Formula!G70+Formula!I70+Formula!K70))*(INDEX(Properties!A$1:CB$87,Formula!B70,11))+((Formula!E70)/(Formula!C70+Formula!E70+Formula!G70+Formula!I70+Formula!K70))*(INDEX(Properties!A$1:CB$87,Formula!D70,11))+((Formula!G70)/(Formula!C70+Formula!E70+Formula!G70+Formula!I70+Formula!K70))*(INDEX(Properties!A$1:CB$87,Formula!F70,11))+((Formula!I70)/(Formula!C70+Formula!E70+Formula!G70+Formula!I70+Formula!K70))*(INDEX(Properties!A$1:CB$87,Formula!H70,11))+((Formula!K70)/(Formula!C70+Formula!E70+Formula!G70+Formula!I70+Formula!K70))*(INDEX(Properties!A$1:CB$87,Formula!J70,11))</f>
        <v>2</v>
      </c>
      <c r="AM70" s="57">
        <f>Formula!C70*(INDEX(Properties!A$1:CB$87,Formula!B70,11))+Formula!E70*(INDEX(Properties!A$1:CB$87,Formula!D70,11))+Formula!G70*(INDEX(Properties!A$1:CB$87,Formula!F70,11))+Formula!I70*(INDEX(Properties!A$1:CB$87,Formula!H70,11))+Formula!K70*(INDEX(Properties!A$1:CB$87,Formula!J70,11))</f>
        <v>38</v>
      </c>
      <c r="AN70" s="57">
        <f>VARP(IF(INDEX(Properties!A$1:CB$87,Formula!B70,11)&lt;&gt;"",INDEX(Properties!A$1:CB$87,Formula!B70,11)),IF(INDEX(Properties!A$1:CB$87,Formula!D70,11)&lt;&gt;"",INDEX(Properties!A$1:CB$87,Formula!D70,11)),IF(INDEX(Properties!A$1:CB$87,Formula!F70,11)&lt;&gt;"",INDEX(Properties!A$1:CB$87,Formula!F70,11)),IF(INDEX(Properties!A$1:CB$87,Formula!H70,11)&lt;&gt;"",INDEX(Properties!A$1:CB$87,Formula!H70,11)),IF(INDEX(Properties!A$1:CB$87,Formula!J70,11)&lt;&gt;"",INDEX(Properties!A$1:CB$87,Formula!J70,11)))</f>
        <v>0.64</v>
      </c>
      <c r="AO70" s="57">
        <f>MAX(INDEX(Properties!A$1:CB$87,Formula!B70,11),INDEX(Properties!A$1:CB$87,Formula!D70,11),INDEX(Properties!A$1:CB$87,Formula!F70,11),INDEX(Properties!A$1:CB$87,Formula!H70,11),INDEX(Properties!A$1:CB$87,Formula!J70,11))</f>
        <v>2</v>
      </c>
      <c r="AP70" s="57">
        <f>MIN(IF(Formula!B70=87,10^6,INDEX(Properties!A$1:CB$87,Formula!B70,11)),IF((Formula!D70)=87,10^6,INDEX(Properties!A$1:CB$87,Formula!D70,11)),IF((Formula!F70)=87,10^6,INDEX(Properties!A$1:CB$87,Formula!F70,11)),IF((Formula!H70)=87,10^6,INDEX(Properties!A$1:CB$87,Formula!H70,11)),IF(Formula!J70=87,10^6,INDEX(Properties!A$1:CB$87,Formula!J70,11)))</f>
        <v>2</v>
      </c>
      <c r="AQ70" s="57">
        <f t="shared" si="38"/>
        <v>0</v>
      </c>
      <c r="AR70" s="78">
        <f>((Formula!C70)/(Formula!C70+Formula!E70+Formula!G70+Formula!I70+Formula!K70))*(INDEX(Properties!A$1:CB$87,Formula!B70,12))+((Formula!E70)/(Formula!C70+Formula!E70+Formula!G70+Formula!I70+Formula!K70))*(INDEX(Properties!A$1:CB$87,Formula!D70,12))+((Formula!G70)/(Formula!C70+Formula!E70+Formula!G70+Formula!I70+Formula!K70))*(INDEX(Properties!A$1:CB$87,Formula!F70,12))+((Formula!I70)/(Formula!C70+Formula!E70+Formula!G70+Formula!I70+Formula!K70))*(INDEX(Properties!A$1:CB$87,Formula!H70,12))+((Formula!K70)/(Formula!C70+Formula!E70+Formula!G70+Formula!I70+Formula!K70))*(INDEX(Properties!A$1:CB$87,Formula!J70,12))</f>
        <v>3.1578947368421053</v>
      </c>
      <c r="AS70" s="78">
        <f>Formula!C70*(INDEX(Properties!A$1:CB$87,Formula!B70,12))+Formula!E70*(INDEX(Properties!A$1:CB$87,Formula!D70,12))+Formula!G70*(INDEX(Properties!A$1:CB$87,Formula!F70,12))+Formula!I70*(INDEX(Properties!A$1:CB$87,Formula!H70,12))+Formula!K70*(INDEX(Properties!A$1:CB$87,Formula!J70,12))</f>
        <v>60</v>
      </c>
      <c r="AT70" s="78">
        <f>VARP(IF(INDEX(Properties!A$1:CB$87,Formula!B70,12)&lt;&gt;"",INDEX(Properties!A$1:CB$87,Formula!B70,12)),IF(INDEX(Properties!A$1:CB$87,Formula!D70,12)&lt;&gt;"",INDEX(Properties!A$1:CB$87,Formula!D70,12)),IF(INDEX(Properties!A$1:CB$87,Formula!F70,12)&lt;&gt;"",INDEX(Properties!A$1:CB$87,Formula!F70,12)),IF(INDEX(Properties!A$1:CB$87,Formula!H70,12)&lt;&gt;"",INDEX(Properties!A$1:CB$87,Formula!H70,12)),IF(INDEX(Properties!A$1:CB$87,Formula!J70,12)&lt;&gt;"",INDEX(Properties!A$1:CB$87,Formula!J70,12)))</f>
        <v>2.8</v>
      </c>
      <c r="AU70" s="78">
        <f>MAX(INDEX(Properties!A$1:CB$87,Formula!B70,12),INDEX(Properties!A$1:CB$87,Formula!D70,12),INDEX(Properties!A$1:CB$87,Formula!F70,12),INDEX(Properties!A$1:CB$87,Formula!H70,12),INDEX(Properties!A$1:CB$87,Formula!J70,12))</f>
        <v>4</v>
      </c>
      <c r="AV70" s="78">
        <f>MIN(IF(Formula!B70=87,10^6,INDEX(Properties!A$1:CB$87,Formula!B70,12)),IF((Formula!D70)=87,10^6,INDEX(Properties!A$1:CB$87,Formula!D70,12)),IF((Formula!F70)=87,10^6,INDEX(Properties!A$1:CB$87,Formula!F70,12)),IF((Formula!H70)=87,10^6,INDEX(Properties!A$1:CB$87,Formula!H70,12)),IF(Formula!J70=87,10^6,INDEX(Properties!A$1:CB$87,Formula!J70,12)))</f>
        <v>0</v>
      </c>
      <c r="AW70" s="78">
        <f t="shared" si="39"/>
        <v>4</v>
      </c>
      <c r="AX70" s="45">
        <f>((Formula!C70)/(Formula!C70+Formula!E70+Formula!G70+Formula!I70+Formula!K70))*(INDEX(Properties!A$1:CB$87,Formula!B70,13))+((Formula!E70)/(Formula!C70+Formula!E70+Formula!G70+Formula!I70+Formula!K70))*(INDEX(Properties!A$1:CB$87,Formula!D70,13))+((Formula!G70)/(Formula!C70+Formula!E70+Formula!G70+Formula!I70+Formula!K70))*(INDEX(Properties!A$1:CB$87,Formula!F70,13))+((Formula!I70)/(Formula!C70+Formula!E70+Formula!G70+Formula!I70+Formula!K70))*(INDEX(Properties!A$1:CB$87,Formula!H70,13))+((Formula!K70)/(Formula!C70+Formula!E70+Formula!G70+Formula!I70+Formula!K70))*(INDEX(Properties!A$1:CB$87,Formula!J70,13))</f>
        <v>0.52631578947368418</v>
      </c>
      <c r="AY70" s="45">
        <f>Formula!C70*(INDEX(Properties!A$1:CB$87,Formula!B70,13))+Formula!E70*(INDEX(Properties!A$1:CB$87,Formula!D70,13))+Formula!G70*(INDEX(Properties!A$1:CB$87,Formula!F70,13))+Formula!I70*(INDEX(Properties!A$1:CB$87,Formula!H70,13))+Formula!K70*(INDEX(Properties!A$1:CB$87,Formula!J70,13))</f>
        <v>10</v>
      </c>
      <c r="AZ70" s="45">
        <f>VARP(IF(INDEX(Properties!A$1:CB$87,Formula!B70,13)&lt;&gt;"",INDEX(Properties!A$1:CB$87,Formula!B70,13)),IF(INDEX(Properties!A$1:CB$87,Formula!D70,13)&lt;&gt;"",INDEX(Properties!A$1:CB$87,Formula!D70,13)),IF(INDEX(Properties!A$1:CB$87,Formula!F70,13)&lt;&gt;"",INDEX(Properties!A$1:CB$87,Formula!F70,13)),IF(INDEX(Properties!A$1:CB$87,Formula!H70,13)&lt;&gt;"",INDEX(Properties!A$1:CB$87,Formula!H70,13)),IF(INDEX(Properties!A$1:CB$87,Formula!J70,13)&lt;&gt;"",INDEX(Properties!A$1:CB$87,Formula!J70,13)))</f>
        <v>16</v>
      </c>
      <c r="BA70" s="45">
        <f>MAX(INDEX(Properties!A$1:CB$87,Formula!B70,13),INDEX(Properties!A$1:CB$87,Formula!D70,13),INDEX(Properties!A$1:CB$87,Formula!F70,13),INDEX(Properties!A$1:CB$87,Formula!H70,13),INDEX(Properties!A$1:CB$87,Formula!J70,13))</f>
        <v>10</v>
      </c>
      <c r="BB70" s="45">
        <f>MIN(IF(Formula!B70=87,10^6,INDEX(Properties!A$1:CB$87,Formula!B70,13)),IF((Formula!D70)=87,10^6,INDEX(Properties!A$1:CB$87,Formula!D70,13)),IF((Formula!F70)=87,10^6,INDEX(Properties!A$1:CB$87,Formula!F70,13)),IF((Formula!H70)=87,10^6,INDEX(Properties!A$1:CB$87,Formula!H70,13)),IF(Formula!J70=87,10^6,INDEX(Properties!A$1:CB$87,Formula!J70,13)))</f>
        <v>0</v>
      </c>
      <c r="BC70" s="45">
        <f t="shared" si="40"/>
        <v>10</v>
      </c>
      <c r="BD70" s="63">
        <f>((Formula!C70)/(Formula!C70+Formula!E70+Formula!G70+Formula!I70+Formula!K70))*(INDEX(Properties!A$1:CB$87,Formula!B70,14))+((Formula!E70)/(Formula!C70+Formula!E70+Formula!G70+Formula!I70+Formula!K70))*(INDEX(Properties!A$1:CB$87,Formula!D70,14))+((Formula!G70)/(Formula!C70+Formula!E70+Formula!G70+Formula!I70+Formula!K70))*(INDEX(Properties!A$1:CB$87,Formula!F70,14))+((Formula!I70)/(Formula!C70+Formula!E70+Formula!G70+Formula!I70+Formula!K70))*(INDEX(Properties!A$1:CB$87,Formula!H70,14))+((Formula!K70)/(Formula!C70+Formula!E70+Formula!G70+Formula!I70+Formula!K70))*(INDEX(Properties!A$1:CB$87,Formula!J70,14))</f>
        <v>0.73684210526315785</v>
      </c>
      <c r="BE70" s="63">
        <f>Formula!C70*(INDEX(Properties!A$1:CB$87,Formula!B70,14))+Formula!E70*(INDEX(Properties!A$1:CB$87,Formula!D70,14))+Formula!G70*(INDEX(Properties!A$1:CB$87,Formula!F70,14))+Formula!I70*(INDEX(Properties!A$1:CB$87,Formula!H70,14))+Formula!K70*(INDEX(Properties!A$1:CB$87,Formula!J70,14))</f>
        <v>14</v>
      </c>
      <c r="BF70" s="63">
        <f>VARP(IF(INDEX(Properties!A$1:CB$87,Formula!B70,14)&lt;&gt;"",INDEX(Properties!A$1:CB$87,Formula!B70,14)),IF(INDEX(Properties!A$1:CB$87,Formula!D70,14)&lt;&gt;"",INDEX(Properties!A$1:CB$87,Formula!D70,14)),IF(INDEX(Properties!A$1:CB$87,Formula!F70,14)&lt;&gt;"",INDEX(Properties!A$1:CB$87,Formula!F70,14)),IF(INDEX(Properties!A$1:CB$87,Formula!H70,14)&lt;&gt;"",INDEX(Properties!A$1:CB$87,Formula!H70,14)),IF(INDEX(Properties!A$1:CB$87,Formula!J70,14)&lt;&gt;"",INDEX(Properties!A$1:CB$87,Formula!J70,14)))</f>
        <v>31.36</v>
      </c>
      <c r="BG70" s="63">
        <f>MAX(INDEX(Properties!A$1:CB$87,Formula!B70,14),INDEX(Properties!A$1:CB$87,Formula!D70,14),INDEX(Properties!A$1:CB$87,Formula!F70,14),INDEX(Properties!A$1:CB$87,Formula!H70,14),INDEX(Properties!A$1:CB$87,Formula!J70,14))</f>
        <v>14</v>
      </c>
      <c r="BH70" s="63">
        <f>MIN(IF(Formula!B70=87,10^6,INDEX(Properties!A$1:CB$87,Formula!B70,14)),IF((Formula!D70)=87,10^6,INDEX(Properties!A$1:CB$87,Formula!D70,14)),IF((Formula!F70)=87,10^6,INDEX(Properties!A$1:CB$87,Formula!F70,14)),IF((Formula!H70)=87,10^6,INDEX(Properties!A$1:CB$87,Formula!H70,14)),IF(Formula!J70=87,10^6,INDEX(Properties!A$1:CB$87,Formula!J70,14)))</f>
        <v>0</v>
      </c>
      <c r="BI70" s="63">
        <f t="shared" si="41"/>
        <v>14</v>
      </c>
      <c r="BJ70" s="75">
        <f>((Formula!C70)/(Formula!C70+Formula!E70+Formula!G70+Formula!I70+Formula!K70))*(INDEX(Properties!A$1:CB$87,Formula!B70,19))+((Formula!E70)/(Formula!C70+Formula!E70+Formula!G70+Formula!I70+Formula!K70))*(INDEX(Properties!A$1:CB$87,Formula!D70,19))+((Formula!G70)/(Formula!C70+Formula!E70+Formula!G70+Formula!I70+Formula!K70))*(INDEX(Properties!A$1:CB$87,Formula!F70,19))+((Formula!I70)/(Formula!C70+Formula!E70+Formula!G70+Formula!I70+Formula!K70))*(INDEX(Properties!A$1:CB$87,Formula!H70,19))+((Formula!K70)/(Formula!C70+Formula!E70+Formula!G70+Formula!I70+Formula!K70))*(INDEX(Properties!A$1:CB$87,Formula!J70,19))</f>
        <v>6.4210526315789469</v>
      </c>
      <c r="BK70" s="75">
        <f>Formula!C70*(INDEX(Properties!A$1:CB$87,Formula!B70,19))+Formula!E70*(INDEX(Properties!A$1:CB$87,Formula!D70,19))+Formula!G70*(INDEX(Properties!A$1:CB$87,Formula!F70,19))+Formula!I70*(INDEX(Properties!A$1:CB$87,Formula!H70,19))+Formula!K70*(INDEX(Properties!A$1:CB$87,Formula!J70,19))</f>
        <v>122</v>
      </c>
      <c r="BL70" s="75">
        <f>VARP(IF(INDEX(Properties!A$1:CB$87,Formula!B70,19)&lt;&gt;"",INDEX(Properties!A$1:CB$87,Formula!B70,19)),IF(INDEX(Properties!A$1:CB$87,Formula!D70,19)&lt;&gt;"",INDEX(Properties!A$1:CB$87,Formula!D70,19)),IF(INDEX(Properties!A$1:CB$87,Formula!F70,19)&lt;&gt;"",INDEX(Properties!A$1:CB$87,Formula!F70,19)),IF(INDEX(Properties!A$1:CB$87,Formula!H70,19)&lt;&gt;"",INDEX(Properties!A$1:CB$87,Formula!H70,19)),IF(INDEX(Properties!A$1:CB$87,Formula!J70,19)&lt;&gt;"",INDEX(Properties!A$1:CB$87,Formula!J70,19)))</f>
        <v>110.64</v>
      </c>
      <c r="BM70" s="75">
        <f>MAX(INDEX(Properties!A$1:CB$87,Formula!B70,19),INDEX(Properties!A$1:CB$87,Formula!D70,19),INDEX(Properties!A$1:CB$87,Formula!F70,19),INDEX(Properties!A$1:CB$87,Formula!H70,19),INDEX(Properties!A$1:CB$87,Formula!J70,19))</f>
        <v>29</v>
      </c>
      <c r="BN70" s="75">
        <f>MIN(IF(INDEX(Properties!A$1:CB$87,Formula!B70,19)=0,10^6,INDEX(Properties!A$1:CB$87,Formula!B70,19)),IF(INDEX(Properties!A$1:CB$87,Formula!D70,19)=0,10^6,INDEX(Properties!A$1:CB$87,Formula!D70,19)),IF(INDEX(Properties!A$1:CB$87,Formula!F70,19)=0,10^6,INDEX(Properties!A$1:CB$87,Formula!F70,19)),IF(INDEX(Properties!A$1:CB$87,Formula!H70,19)=0,10^6,INDEX(Properties!A$1:CB$87,Formula!H70,19)),IF(INDEX(Properties!A$1:CB$87,Formula!J70,19)=0,10^6,INDEX(Properties!A$1:CB$87,Formula!J70,19)))</f>
        <v>2</v>
      </c>
      <c r="BO70" s="75">
        <f t="shared" si="42"/>
        <v>27</v>
      </c>
      <c r="BP70" s="48">
        <f>((Formula!C70)/(Formula!C70+Formula!E70+Formula!G70+Formula!I70+Formula!K70))*(INDEX(Properties!A$1:CB$87,Formula!B70,20))+((Formula!E70)/(Formula!C70+Formula!E70+Formula!G70+Formula!I70+Formula!K70))*(INDEX(Properties!A$1:CB$87,Formula!D70,20))+((Formula!G70)/(Formula!C70+Formula!E70+Formula!G70+Formula!I70+Formula!K70))*(INDEX(Properties!A$1:CB$87,Formula!F70,20))+((Formula!I70)/(Formula!C70+Formula!E70+Formula!G70+Formula!I70+Formula!K70))*(INDEX(Properties!A$1:CB$87,Formula!H70,20))+((Formula!K70)/(Formula!C70+Formula!E70+Formula!G70+Formula!I70+Formula!K70))*(INDEX(Properties!A$1:CB$87,Formula!J70,20))</f>
        <v>5.1578947368421053</v>
      </c>
      <c r="BQ70" s="48">
        <f>Formula!C70*(INDEX(Properties!A$1:CB$87,Formula!B70,20))+Formula!E70*(INDEX(Properties!A$1:CB$87,Formula!D70,20))+Formula!G70*(INDEX(Properties!A$1:CB$87,Formula!F70,20))+Formula!I70*(INDEX(Properties!A$1:CB$87,Formula!H70,20))+Formula!K70*(INDEX(Properties!A$1:CB$87,Formula!J70,20))</f>
        <v>98</v>
      </c>
      <c r="BR70" s="48">
        <f>VARP(IF(INDEX(Properties!A$1:CB$87,Formula!B70,20)&lt;&gt;"",INDEX(Properties!A$1:CB$87,Formula!B70,20)),IF(INDEX(Properties!A$1:CB$87,Formula!D70,20)&lt;&gt;"",INDEX(Properties!A$1:CB$87,Formula!D70,20)),IF(INDEX(Properties!A$1:CB$87,Formula!F70,20)&lt;&gt;"",INDEX(Properties!A$1:CB$87,Formula!F70,20)),IF(INDEX(Properties!A$1:CB$87,Formula!H70,20)&lt;&gt;"",INDEX(Properties!A$1:CB$87,Formula!H70,20)),IF(INDEX(Properties!A$1:CB$87,Formula!J70,20)&lt;&gt;"",INDEX(Properties!A$1:CB$87,Formula!J70,20)))</f>
        <v>5.04</v>
      </c>
      <c r="BS70" s="48">
        <f>MAX(INDEX(Properties!A$1:CB$87,Formula!B70,20),INDEX(Properties!A$1:CB$87,Formula!D70,20),INDEX(Properties!A$1:CB$87,Formula!F70,20),INDEX(Properties!A$1:CB$87,Formula!H70,20),INDEX(Properties!A$1:CB$87,Formula!J70,20))</f>
        <v>6</v>
      </c>
      <c r="BT70" s="48">
        <f>MIN(IF(INDEX(Properties!A$1:CB$87,Formula!B70,20)=0,10^6,INDEX(Properties!A$1:CB$87,Formula!B70,20)),IF(INDEX(Properties!A$1:CB$87,Formula!D70,20)=0,10^6,INDEX(Properties!A$1:CB$87,Formula!D70,20)),IF(INDEX(Properties!A$1:CB$87,Formula!F70,20)=0,10^6,INDEX(Properties!A$1:CB$87,Formula!F70,20)),IF(INDEX(Properties!A$1:CB$87,Formula!H70,20)=0,10^6,INDEX(Properties!A$1:CB$87,Formula!H70,20)),IF(INDEX(Properties!A$1:CB$87,Formula!J70,20)=0,10^6,INDEX(Properties!A$1:CB$87,Formula!J70,20)))</f>
        <v>2</v>
      </c>
      <c r="BU70" s="48">
        <f t="shared" si="43"/>
        <v>4</v>
      </c>
      <c r="BV70" s="66">
        <f>((Formula!C70)/(Formula!C70+Formula!E70+Formula!G70+Formula!I70+Formula!K70))*(INDEX(Properties!A$1:CB$87,Formula!B70,21))+((Formula!E70)/(Formula!C70+Formula!E70+Formula!G70+Formula!I70+Formula!K70))*(INDEX(Properties!A$1:CB$87,Formula!D70,21))+((Formula!G70)/(Formula!C70+Formula!E70+Formula!G70+Formula!I70+Formula!K70))*(INDEX(Properties!A$1:CB$87,Formula!F70,21))+((Formula!I70)/(Formula!C70+Formula!E70+Formula!G70+Formula!I70+Formula!K70))*(INDEX(Properties!A$1:CB$87,Formula!H70,21))+((Formula!K70)/(Formula!C70+Formula!E70+Formula!G70+Formula!I70+Formula!K70))*(INDEX(Properties!A$1:CB$87,Formula!J70,21))</f>
        <v>5.1578947368421053</v>
      </c>
      <c r="BW70" s="66">
        <f>Formula!C70*(INDEX(Properties!A$1:CB$87,Formula!B70,21))+Formula!E70*(INDEX(Properties!A$1:CB$87,Formula!D70,21))+Formula!G70*(INDEX(Properties!A$1:CB$87,Formula!F70,21))+Formula!I70*(INDEX(Properties!A$1:CB$87,Formula!H70,21))+Formula!K70*(INDEX(Properties!A$1:CB$87,Formula!J70,21))</f>
        <v>98</v>
      </c>
      <c r="BX70" s="66">
        <f>VARP(IF(INDEX(Properties!A$1:CB$87,Formula!B70,21)&lt;&gt;"",INDEX(Properties!A$1:CB$87,Formula!B70,21)),IF(INDEX(Properties!A$1:CB$87,Formula!D70,21)&lt;&gt;"",INDEX(Properties!A$1:CB$87,Formula!D70,21)),IF(INDEX(Properties!A$1:CB$87,Formula!F70,21)&lt;&gt;"",INDEX(Properties!A$1:CB$87,Formula!F70,21)),IF(INDEX(Properties!A$1:CB$87,Formula!H70,21)&lt;&gt;"",INDEX(Properties!A$1:CB$87,Formula!H70,21)),IF(INDEX(Properties!A$1:CB$87,Formula!J70,21)&lt;&gt;"",INDEX(Properties!A$1:CB$87,Formula!J70,21)))</f>
        <v>5.04</v>
      </c>
      <c r="BY70" s="66">
        <f>MAX(INDEX(Properties!A$1:CB$87,Formula!B70,21),INDEX(Properties!A$1:CB$87,Formula!D70,21),INDEX(Properties!A$1:CB$87,Formula!F70,21),INDEX(Properties!A$1:CB$87,Formula!H70,21),INDEX(Properties!A$1:CB$87,Formula!J70,21))</f>
        <v>6</v>
      </c>
      <c r="BZ70" s="66">
        <f>MIN(IF(INDEX(Properties!A$1:CB$87,Formula!B70,21)=0,10^6,INDEX(Properties!A$1:CB$87,Formula!B70,21)),IF(INDEX(Properties!A$1:CB$87,Formula!D70,21)=0,10^6,INDEX(Properties!A$1:CB$87,Formula!D70,21)),IF(INDEX(Properties!A$1:CB$87,Formula!F70,21)=0,10^6,INDEX(Properties!A$1:CB$87,Formula!F70,21)),IF(INDEX(Properties!A$1:CB$87,Formula!H70,21)=0,10^6,INDEX(Properties!A$1:CB$87,Formula!H70,21)),IF(INDEX(Properties!A$1:CB$87,Formula!J70,21)=0,10^6,INDEX(Properties!A$1:CB$87,Formula!J70,21)))</f>
        <v>2</v>
      </c>
      <c r="CA70" s="66">
        <f t="shared" si="44"/>
        <v>4</v>
      </c>
      <c r="CB70" s="81">
        <f>((Formula!C70)/(Formula!C70+Formula!E70+Formula!G70+Formula!I70+Formula!K70))*(INDEX(Properties!A$1:CB$87,Formula!B70,23))+((Formula!E70)/(Formula!C70+Formula!E70+Formula!G70+Formula!I70+Formula!K70))*(INDEX(Properties!A$1:CB$87,Formula!D70,23))+((Formula!G70)/(Formula!C70+Formula!E70+Formula!G70+Formula!I70+Formula!K70))*(INDEX(Properties!A$1:CB$87,Formula!F70,23))+((Formula!I70)/(Formula!C70+Formula!E70+Formula!G70+Formula!I70+Formula!K70))*(INDEX(Properties!A$1:CB$87,Formula!H70,23))+((Formula!K70)/(Formula!C70+Formula!E70+Formula!G70+Formula!I70+Formula!K70))*(INDEX(Properties!A$1:CB$87,Formula!J70,23))</f>
        <v>0.94736842105263153</v>
      </c>
      <c r="CC70" s="81">
        <f>Formula!C70*(INDEX(Properties!A$1:CB$87,Formula!B70,23))+Formula!E70*(INDEX(Properties!A$1:CB$87,Formula!D70,23))+Formula!G70*(INDEX(Properties!A$1:CB$87,Formula!F70,23))+Formula!I70*(INDEX(Properties!A$1:CB$87,Formula!H70,23))+Formula!K70*(INDEX(Properties!A$1:CB$87,Formula!J70,23))</f>
        <v>18</v>
      </c>
      <c r="CD70" s="81">
        <f>VARP(IF(INDEX(Properties!A$1:CB$87,Formula!B70,23)&lt;&gt;"",INDEX(Properties!A$1:CB$87,Formula!B70,23)),IF(INDEX(Properties!A$1:CB$87,Formula!D70,23)&lt;&gt;"",INDEX(Properties!A$1:CB$87,Formula!D70,23)),IF(INDEX(Properties!A$1:CB$87,Formula!F70,23)&lt;&gt;"",INDEX(Properties!A$1:CB$87,Formula!F70,23)),IF(INDEX(Properties!A$1:CB$87,Formula!H70,23)&lt;&gt;"",INDEX(Properties!A$1:CB$87,Formula!H70,23)),IF(INDEX(Properties!A$1:CB$87,Formula!J70,23)&lt;&gt;"",INDEX(Properties!A$1:CB$87,Formula!J70,23)))</f>
        <v>1.84</v>
      </c>
      <c r="CE70" s="81">
        <f>MAX(INDEX(Properties!A$1:CB$87,Formula!B70,23),INDEX(Properties!A$1:CB$87,Formula!D70,23),INDEX(Properties!A$1:CB$87,Formula!F70,23),INDEX(Properties!A$1:CB$87,Formula!H70,23),INDEX(Properties!A$1:CB$87,Formula!J70,23))</f>
        <v>3</v>
      </c>
      <c r="CF70" s="81">
        <f>MIN(IF(Formula!B70=87,10^6,INDEX(Properties!A$1:CB$87,Formula!B70,23)),IF((Formula!D70)=87,10^6,INDEX(Properties!A$1:CB$87,Formula!D70,23)),IF((Formula!F70)=87,10^6,INDEX(Properties!A$1:CB$87,Formula!F70,23)),IF((Formula!H70)=87,10^6,INDEX(Properties!A$1:CB$87,Formula!H70,23)),IF(Formula!J70=87,10^6,INDEX(Properties!A$1:CB$87,Formula!J70,23)))</f>
        <v>0</v>
      </c>
      <c r="CG70" s="81">
        <f t="shared" si="45"/>
        <v>3</v>
      </c>
      <c r="CH70" s="39">
        <f>((Formula!C70)/(Formula!C70+Formula!E70+Formula!G70+Formula!I70+Formula!K70))*(INDEX(Properties!A$1:CB$87,Formula!B70,26))+((Formula!E70)/(Formula!C70+Formula!E70+Formula!G70+Formula!I70+Formula!K70))*(INDEX(Properties!A$1:CB$87,Formula!D70,26))+((Formula!G70)/(Formula!C70+Formula!E70+Formula!G70+Formula!I70+Formula!K70))*(INDEX(Properties!A$1:CB$87,Formula!F70,26))+((Formula!I70)/(Formula!C70+Formula!E70+Formula!G70+Formula!I70+Formula!K70))*(INDEX(Properties!A$1:CB$87,Formula!H70,26))+((Formula!K70)/(Formula!C70+Formula!E70+Formula!G70+Formula!I70+Formula!K70))*(INDEX(Properties!A$1:CB$87,Formula!J70,26))</f>
        <v>11.605389473684211</v>
      </c>
      <c r="CI70" s="39">
        <f>Formula!C70*(INDEX(Properties!A$1:CB$87,Formula!B70,26))+Formula!E70*(INDEX(Properties!A$1:CB$87,Formula!D70,26))+Formula!G70*(INDEX(Properties!A$1:CB$87,Formula!F70,26))+Formula!I70*(INDEX(Properties!A$1:CB$87,Formula!H70,26))+Formula!K70*(INDEX(Properties!A$1:CB$87,Formula!J70,26))</f>
        <v>220.50240000000002</v>
      </c>
      <c r="CJ70" s="39">
        <f>VARP(IF(INDEX(Properties!A$1:CB$87,Formula!B70,26)&lt;&gt;"",INDEX(Properties!A$1:CB$87,Formula!B70,26)),IF(INDEX(Properties!A$1:CB$87,Formula!D70,26)&lt;&gt;"",INDEX(Properties!A$1:CB$87,Formula!D70,26)),IF(INDEX(Properties!A$1:CB$87,Formula!F70,26)&lt;&gt;"",INDEX(Properties!A$1:CB$87,Formula!F70,26)),IF(INDEX(Properties!A$1:CB$87,Formula!H70,26)&lt;&gt;"",INDEX(Properties!A$1:CB$87,Formula!H70,26)),IF(INDEX(Properties!A$1:CB$87,Formula!J70,26)&lt;&gt;"",INDEX(Properties!A$1:CB$87,Formula!J70,26)))</f>
        <v>20.914149307999988</v>
      </c>
      <c r="CK70" s="39">
        <f>MAX(INDEX(Properties!A$1:CB$87,Formula!B70,26),INDEX(Properties!A$1:CB$87,Formula!D70,26),INDEX(Properties!A$1:CB$87,Formula!F70,26),INDEX(Properties!A$1:CB$87,Formula!H70,26),INDEX(Properties!A$1:CB$87,Formula!J70,26))</f>
        <v>13.6181</v>
      </c>
      <c r="CL70" s="39">
        <f>MIN(IF(INDEX(Properties!A$1:CB$87,Formula!B70,26)=0,10^6,INDEX(Properties!A$1:CB$87,Formula!B70,26)),IF(INDEX(Properties!A$1:CB$87,Formula!D70,26)=0,10^6,INDEX(Properties!A$1:CB$87,Formula!D70,26)),IF(INDEX(Properties!A$1:CB$87,Formula!F70,26)=0,10^6,INDEX(Properties!A$1:CB$87,Formula!F70,26)),IF(INDEX(Properties!A$1:CB$87,Formula!H70,26)=0,10^6,INDEX(Properties!A$1:CB$87,Formula!H70,26)),IF(INDEX(Properties!A$1:CB$87,Formula!J70,26)=0,10^6,INDEX(Properties!A$1:CB$87,Formula!J70,26)))</f>
        <v>6.1132</v>
      </c>
      <c r="CM70" s="39">
        <f t="shared" si="46"/>
        <v>7.5049000000000001</v>
      </c>
      <c r="CN70" s="54">
        <f>((Formula!C70)/(Formula!C70+Formula!E70+Formula!G70+Formula!I70+Formula!K70))*(INDEX(Properties!A$1:CB$87,Formula!B70,30))+((Formula!E70)/(Formula!C70+Formula!E70+Formula!G70+Formula!I70+Formula!K70))*(INDEX(Properties!A$1:CB$87,Formula!D70,30))+((Formula!G70)/(Formula!C70+Formula!E70+Formula!G70+Formula!I70+Formula!K70))*(INDEX(Properties!A$1:CB$87,Formula!F70,30))+((Formula!I70)/(Formula!C70+Formula!E70+Formula!G70+Formula!I70+Formula!K70))*(INDEX(Properties!A$1:CB$87,Formula!H70,30))+((Formula!K70)/(Formula!C70+Formula!E70+Formula!G70+Formula!I70+Formula!K70))*(INDEX(Properties!A$1:CB$87,Formula!J70,30))</f>
        <v>2.7826315789473681</v>
      </c>
      <c r="CO70" s="54">
        <f>Formula!C70*(INDEX(Properties!A$1:CB$87,Formula!B70,30))+Formula!E70*(INDEX(Properties!A$1:CB$87,Formula!D70,30))+Formula!G70*(INDEX(Properties!A$1:CB$87,Formula!F70,30))+Formula!I70*(INDEX(Properties!A$1:CB$87,Formula!H70,30))+Formula!K70*(INDEX(Properties!A$1:CB$87,Formula!J70,30))</f>
        <v>52.870000000000005</v>
      </c>
      <c r="CP70" s="54">
        <f>VARP(IF(INDEX(Properties!A$1:CB$87,Formula!B70,30)&lt;&gt;"",INDEX(Properties!A$1:CB$87,Formula!B70,30)),IF(INDEX(Properties!A$1:CB$87,Formula!D70,30)&lt;&gt;"",INDEX(Properties!A$1:CB$87,Formula!D70,30)),IF(INDEX(Properties!A$1:CB$87,Formula!F70,30)&lt;&gt;"",INDEX(Properties!A$1:CB$87,Formula!F70,30)),IF(INDEX(Properties!A$1:CB$87,Formula!H70,30)&lt;&gt;"",INDEX(Properties!A$1:CB$87,Formula!H70,30)),IF(INDEX(Properties!A$1:CB$87,Formula!J70,30)&lt;&gt;"",INDEX(Properties!A$1:CB$87,Formula!J70,30)))</f>
        <v>1.3491199999999992</v>
      </c>
      <c r="CQ70" s="54">
        <f>MAX(INDEX(Properties!A$1:CB$87,Formula!B70,30),INDEX(Properties!A$1:CB$87,Formula!D70,30),INDEX(Properties!A$1:CB$87,Formula!F70,30),INDEX(Properties!A$1:CB$87,Formula!H70,30),INDEX(Properties!A$1:CB$87,Formula!J70,30))</f>
        <v>3.44</v>
      </c>
      <c r="CR70" s="54">
        <f>MIN(IF(INDEX(Properties!A$1:CB$87,Formula!B70,30)=0,10^6,INDEX(Properties!A$1:CB$87,Formula!B70,30)),IF(INDEX(Properties!A$1:CB$87,Formula!D70,30)=0,10^6,INDEX(Properties!A$1:CB$87,Formula!D70,30)),IF(INDEX(Properties!A$1:CB$87,Formula!F70,30)=0,10^6,INDEX(Properties!A$1:CB$87,Formula!F70,30)),IF(INDEX(Properties!A$1:CB$87,Formula!H70,30)=0,10^6,INDEX(Properties!A$1:CB$87,Formula!H70,30)),IF(INDEX(Properties!A$1:CB$87,Formula!J70,30)=0,10^6,INDEX(Properties!A$1:CB$87,Formula!J70,30)))</f>
        <v>1</v>
      </c>
      <c r="CS70" s="54">
        <f t="shared" si="47"/>
        <v>2.44</v>
      </c>
      <c r="CT70" s="69">
        <f>((Formula!C70)/(Formula!C70+Formula!E70+Formula!G70+Formula!I70+Formula!K70))*(INDEX(Properties!A$1:CB$87,Formula!B70,31))+((Formula!E70)/(Formula!C70+Formula!E70+Formula!G70+Formula!I70+Formula!K70))*(INDEX(Properties!A$1:CB$87,Formula!D70,31))+((Formula!G70)/(Formula!C70+Formula!E70+Formula!G70+Formula!I70+Formula!K70))*(INDEX(Properties!A$1:CB$87,Formula!F70,31))+((Formula!I70)/(Formula!C70+Formula!E70+Formula!G70+Formula!I70+Formula!K70))*(INDEX(Properties!A$1:CB$87,Formula!H70,31))+((Formula!K70)/(Formula!C70+Formula!E70+Formula!G70+Formula!I70+Formula!K70))*(INDEX(Properties!A$1:CB$87,Formula!J70,31))</f>
        <v>2.7605263157894733</v>
      </c>
      <c r="CU70" s="69">
        <f>Formula!C70*(INDEX(Properties!A$1:CB$87,Formula!B70,31))+Formula!E70*(INDEX(Properties!A$1:CB$87,Formula!D70,31))+Formula!G70*(INDEX(Properties!A$1:CB$87,Formula!F70,31))+Formula!I70*(INDEX(Properties!A$1:CB$87,Formula!H70,31))+Formula!K70*(INDEX(Properties!A$1:CB$87,Formula!J70,31))</f>
        <v>52.449999999999996</v>
      </c>
      <c r="CV70" s="69">
        <f>VARP(IF(INDEX(Properties!A$1:CB$87,Formula!B70,31)&lt;&gt;"",INDEX(Properties!A$1:CB$87,Formula!B70,31)),IF(INDEX(Properties!A$1:CB$87,Formula!D70,31)&lt;&gt;"",INDEX(Properties!A$1:CB$87,Formula!D70,31)),IF(INDEX(Properties!A$1:CB$87,Formula!F70,31)&lt;&gt;"",INDEX(Properties!A$1:CB$87,Formula!F70,31)),IF(INDEX(Properties!A$1:CB$87,Formula!H70,31)&lt;&gt;"",INDEX(Properties!A$1:CB$87,Formula!H70,31)),IF(INDEX(Properties!A$1:CB$87,Formula!J70,31)&lt;&gt;"",INDEX(Properties!A$1:CB$87,Formula!J70,31)))</f>
        <v>1.2665599999999995</v>
      </c>
      <c r="CW70" s="69">
        <f>MAX(INDEX(Properties!A$1:CB$87,Formula!B70,31),INDEX(Properties!A$1:CB$87,Formula!D70,31),INDEX(Properties!A$1:CB$87,Formula!F70,31),INDEX(Properties!A$1:CB$87,Formula!H70,31),INDEX(Properties!A$1:CB$87,Formula!J70,31))</f>
        <v>3.32</v>
      </c>
      <c r="CX70" s="69">
        <f>MIN(IF(INDEX(Properties!A$1:CB$87,Formula!B70,31)=0,10^6,INDEX(Properties!A$1:CB$87,Formula!B70,31)),IF(INDEX(Properties!A$1:CB$87,Formula!D70,31)=0,10^6,INDEX(Properties!A$1:CB$87,Formula!D70,31)),IF(INDEX(Properties!A$1:CB$87,Formula!F70,31)=0,10^6,INDEX(Properties!A$1:CB$87,Formula!F70,31)),IF(INDEX(Properties!A$1:CB$87,Formula!H70,31)=0,10^6,INDEX(Properties!A$1:CB$87,Formula!H70,31)),IF(INDEX(Properties!A$1:CB$87,Formula!J70,31)=0,10^6,INDEX(Properties!A$1:CB$87,Formula!J70,31)))</f>
        <v>1.17</v>
      </c>
      <c r="CY70" s="69">
        <f t="shared" si="48"/>
        <v>2.15</v>
      </c>
      <c r="CZ70" s="42">
        <f>((Formula!C70)/(Formula!C70+Formula!E70+Formula!G70+Formula!I70+Formula!K70))*(INDEX(Properties!A$1:CB$87,Formula!B70,32))+((Formula!E70)/(Formula!C70+Formula!E70+Formula!G70+Formula!I70+Formula!K70))*(INDEX(Properties!A$1:CB$87,Formula!D70,32))+((Formula!G70)/(Formula!C70+Formula!E70+Formula!G70+Formula!I70+Formula!K70))*(INDEX(Properties!A$1:CB$87,Formula!F70,32))+((Formula!I70)/(Formula!C70+Formula!E70+Formula!G70+Formula!I70+Formula!K70))*(INDEX(Properties!A$1:CB$87,Formula!H70,32))+((Formula!K70)/(Formula!C70+Formula!E70+Formula!G70+Formula!I70+Formula!K70))*(INDEX(Properties!A$1:CB$87,Formula!J70,32))</f>
        <v>6.2436842105263155</v>
      </c>
      <c r="DA70" s="42">
        <f>Formula!C70*(INDEX(Properties!A$1:CB$87,Formula!B70,32))+Formula!E70*(INDEX(Properties!A$1:CB$87,Formula!D70,32))+Formula!G70*(INDEX(Properties!A$1:CB$87,Formula!F70,32))+Formula!I70*(INDEX(Properties!A$1:CB$87,Formula!H70,32))+Formula!K70*(INDEX(Properties!A$1:CB$87,Formula!J70,32))</f>
        <v>118.63</v>
      </c>
      <c r="DB70" s="42">
        <f>VARP(IF(INDEX(Properties!A$1:CB$87,Formula!B70,32)&lt;&gt;"",INDEX(Properties!A$1:CB$87,Formula!B70,32)),IF(INDEX(Properties!A$1:CB$87,Formula!D70,32)&lt;&gt;"",INDEX(Properties!A$1:CB$87,Formula!D70,32)),IF(INDEX(Properties!A$1:CB$87,Formula!F70,32)&lt;&gt;"",INDEX(Properties!A$1:CB$87,Formula!F70,32)),IF(INDEX(Properties!A$1:CB$87,Formula!H70,32)&lt;&gt;"",INDEX(Properties!A$1:CB$87,Formula!H70,32)),IF(INDEX(Properties!A$1:CB$87,Formula!J70,32)&lt;&gt;"",INDEX(Properties!A$1:CB$87,Formula!J70,32)))</f>
        <v>6.9743199999999979</v>
      </c>
      <c r="DC70" s="42">
        <f>MAX(INDEX(Properties!A$1:CB$87,Formula!B70,32),INDEX(Properties!A$1:CB$87,Formula!D70,32),INDEX(Properties!A$1:CB$87,Formula!F70,32),INDEX(Properties!A$1:CB$87,Formula!H70,32),INDEX(Properties!A$1:CB$87,Formula!J70,32))</f>
        <v>7.54</v>
      </c>
      <c r="DD70" s="42">
        <f>MIN(IF(INDEX(Properties!A$1:CB$87,Formula!B70,32)=0,10^6,INDEX(Properties!A$1:CB$87,Formula!B70,32)),IF(INDEX(Properties!A$1:CB$87,Formula!D70,32)=0,10^6,INDEX(Properties!A$1:CB$87,Formula!D70,32)),IF(INDEX(Properties!A$1:CB$87,Formula!F70,32)=0,10^6,INDEX(Properties!A$1:CB$87,Formula!F70,32)),IF(INDEX(Properties!A$1:CB$87,Formula!H70,32)=0,10^6,INDEX(Properties!A$1:CB$87,Formula!H70,32)),IF(INDEX(Properties!A$1:CB$87,Formula!J70,32)=0,10^6,INDEX(Properties!A$1:CB$87,Formula!J70,32)))</f>
        <v>2.2000000000000002</v>
      </c>
      <c r="DE70" s="42">
        <f t="shared" si="49"/>
        <v>5.34</v>
      </c>
      <c r="DF70" s="60">
        <f>((Formula!C70)/(Formula!C70+Formula!E70+Formula!G70+Formula!I70+Formula!K70))*(INDEX(Properties!A$1:CB$87,Formula!B70,34))+((Formula!E70)/(Formula!C70+Formula!E70+Formula!G70+Formula!I70+Formula!K70))*(INDEX(Properties!A$1:CB$87,Formula!D70,34))+((Formula!G70)/(Formula!C70+Formula!E70+Formula!G70+Formula!I70+Formula!K70))*(INDEX(Properties!A$1:CB$87,Formula!F70,34))+((Formula!I70)/(Formula!C70+Formula!E70+Formula!G70+Formula!I70+Formula!K70))*(INDEX(Properties!A$1:CB$87,Formula!H70,34))+((Formula!K70)/(Formula!C70+Formula!E70+Formula!G70+Formula!I70+Formula!K70))*(INDEX(Properties!A$1:CB$87,Formula!J70,34))</f>
        <v>2.9047894736842101</v>
      </c>
      <c r="DG70" s="60">
        <f>Formula!C70*(INDEX(Properties!A$1:CB$87,Formula!B70,34))+Formula!E70*(INDEX(Properties!A$1:CB$87,Formula!D70,34))+Formula!G70*(INDEX(Properties!A$1:CB$87,Formula!F70,34))+Formula!I70*(INDEX(Properties!A$1:CB$87,Formula!H70,34))+Formula!K70*(INDEX(Properties!A$1:CB$87,Formula!J70,34))</f>
        <v>55.191000000000003</v>
      </c>
      <c r="DH70" s="60">
        <f>VARP(IF(INDEX(Properties!A$1:CB$87,Formula!B70,34)&lt;&gt;"",INDEX(Properties!A$1:CB$87,Formula!B70,34)),IF(INDEX(Properties!A$1:CB$87,Formula!D70,34)&lt;&gt;"",INDEX(Properties!A$1:CB$87,Formula!D70,34)),IF(INDEX(Properties!A$1:CB$87,Formula!F70,34)&lt;&gt;"",INDEX(Properties!A$1:CB$87,Formula!F70,34)),IF(INDEX(Properties!A$1:CB$87,Formula!H70,34)&lt;&gt;"",INDEX(Properties!A$1:CB$87,Formula!H70,34)),IF(INDEX(Properties!A$1:CB$87,Formula!J70,34)&lt;&gt;"",INDEX(Properties!A$1:CB$87,Formula!J70,34)))</f>
        <v>1.4700870400000001</v>
      </c>
      <c r="DI70" s="60">
        <f>MAX(INDEX(Properties!A$1:CB$87,Formula!B70,34),INDEX(Properties!A$1:CB$87,Formula!D70,34),INDEX(Properties!A$1:CB$87,Formula!F70,34),INDEX(Properties!A$1:CB$87,Formula!H70,34),INDEX(Properties!A$1:CB$87,Formula!J70,34))</f>
        <v>3.61</v>
      </c>
      <c r="DJ70" s="60">
        <f>MIN(IF(INDEX(Properties!A$1:CB$87,Formula!B70,34)=0,10^6,INDEX(Properties!A$1:CB$87,Formula!B70,34)),IF(INDEX(Properties!A$1:CB$87,Formula!D70,34)=0,10^6,INDEX(Properties!A$1:CB$87,Formula!D70,34)),IF(INDEX(Properties!A$1:CB$87,Formula!F70,34)=0,10^6,INDEX(Properties!A$1:CB$87,Formula!F70,34)),IF(INDEX(Properties!A$1:CB$87,Formula!H70,34)=0,10^6,INDEX(Properties!A$1:CB$87,Formula!H70,34)),IF(INDEX(Properties!A$1:CB$87,Formula!J70,34)=0,10^6,INDEX(Properties!A$1:CB$87,Formula!J70,34)))</f>
        <v>1.034</v>
      </c>
      <c r="DK70" s="60">
        <f t="shared" si="50"/>
        <v>2.5759999999999996</v>
      </c>
      <c r="DL70" s="45">
        <f>((Formula!C70)/(Formula!C70+Formula!E70+Formula!G70+Formula!I70+Formula!K70))*(INDEX(Properties!A$1:CB$87,Formula!B70,39))+((Formula!E70)/(Formula!C70+Formula!E70+Formula!G70+Formula!I70+Formula!K70))*(INDEX(Properties!A$1:CB$87,Formula!D70,39))+((Formula!G70)/(Formula!C70+Formula!E70+Formula!G70+Formula!I70+Formula!K70))*(INDEX(Properties!A$1:CB$87,Formula!F70,39))+((Formula!I70)/(Formula!C70+Formula!E70+Formula!G70+Formula!I70+Formula!K70))*(INDEX(Properties!A$1:CB$87,Formula!H70,39))+((Formula!K70)/(Formula!C70+Formula!E70+Formula!G70+Formula!I70+Formula!K70))*(INDEX(Properties!A$1:CB$87,Formula!J70,39))</f>
        <v>0.83947368421052626</v>
      </c>
      <c r="DM70" s="45">
        <f>Formula!C70*(INDEX(Properties!A$1:CB$87,Formula!B70,39))+Formula!E70*(INDEX(Properties!A$1:CB$87,Formula!D70,39))+Formula!G70*(INDEX(Properties!A$1:CB$87,Formula!F70,39))+Formula!I70*(INDEX(Properties!A$1:CB$87,Formula!H70,39))+Formula!K70*(INDEX(Properties!A$1:CB$87,Formula!J70,39))</f>
        <v>15.95</v>
      </c>
      <c r="DN70" s="45">
        <f>VARP(IF(INDEX(Properties!A$1:CB$87,Formula!B70,39)&lt;&gt;"",INDEX(Properties!A$1:CB$87,Formula!B70,39)),IF(INDEX(Properties!A$1:CB$87,Formula!D70,39)&lt;&gt;"",INDEX(Properties!A$1:CB$87,Formula!D70,39)),IF(INDEX(Properties!A$1:CB$87,Formula!F70,39)&lt;&gt;"",INDEX(Properties!A$1:CB$87,Formula!F70,39)),IF(INDEX(Properties!A$1:CB$87,Formula!H70,39)&lt;&gt;"",INDEX(Properties!A$1:CB$87,Formula!H70,39)),IF(INDEX(Properties!A$1:CB$87,Formula!J70,39)&lt;&gt;"",INDEX(Properties!A$1:CB$87,Formula!J70,39)))</f>
        <v>0.46670399999999984</v>
      </c>
      <c r="DO70" s="45">
        <f>MAX(INDEX(Properties!A$1:CB$87,Formula!B70,39),INDEX(Properties!A$1:CB$87,Formula!D70,39),INDEX(Properties!A$1:CB$87,Formula!F70,39),INDEX(Properties!A$1:CB$87,Formula!H70,39),INDEX(Properties!A$1:CB$87,Formula!J70,39))</f>
        <v>1.94</v>
      </c>
      <c r="DP70" s="45">
        <f>MIN(IF(INDEX(Properties!A$1:CB$87,Formula!B70,39)=0,10^6,INDEX(Properties!A$1:CB$87,Formula!B70,39)),IF(INDEX(Properties!A$1:CB$87,Formula!D70,39)=0,10^6,INDEX(Properties!A$1:CB$87,Formula!D70,39)),IF(INDEX(Properties!A$1:CB$87,Formula!F70,39)=0,10^6,INDEX(Properties!A$1:CB$87,Formula!F70,39)),IF(INDEX(Properties!A$1:CB$87,Formula!H70,39)=0,10^6,INDEX(Properties!A$1:CB$87,Formula!H70,39)),IF(INDEX(Properties!A$1:CB$87,Formula!J70,39)=0,10^6,INDEX(Properties!A$1:CB$87,Formula!J70,39)))</f>
        <v>0.48</v>
      </c>
      <c r="DQ70" s="45">
        <f t="shared" si="51"/>
        <v>1.46</v>
      </c>
      <c r="DR70" s="63">
        <f>((Formula!C70)/(Formula!C70+Formula!E70+Formula!G70+Formula!I70+Formula!K70))*(INDEX(Properties!A$1:CB$87,Formula!B70,40))+((Formula!E70)/(Formula!C70+Formula!E70+Formula!G70+Formula!I70+Formula!K70))*(INDEX(Properties!A$1:CB$87,Formula!D70,40))+((Formula!G70)/(Formula!C70+Formula!E70+Formula!G70+Formula!I70+Formula!K70))*(INDEX(Properties!A$1:CB$87,Formula!F70,40))+((Formula!I70)/(Formula!C70+Formula!E70+Formula!G70+Formula!I70+Formula!K70))*(INDEX(Properties!A$1:CB$87,Formula!H70,40))+((Formula!K70)/(Formula!C70+Formula!E70+Formula!G70+Formula!I70+Formula!K70))*(INDEX(Properties!A$1:CB$87,Formula!J70,40))</f>
        <v>0.98</v>
      </c>
      <c r="DS70" s="63">
        <f>Formula!C70*(INDEX(Properties!A$1:CB$87,Formula!B70,40))+Formula!E70*(INDEX(Properties!A$1:CB$87,Formula!D70,40))+Formula!G70*(INDEX(Properties!A$1:CB$87,Formula!F70,40))+Formula!I70*(INDEX(Properties!A$1:CB$87,Formula!H70,40))+Formula!K70*(INDEX(Properties!A$1:CB$87,Formula!J70,40))</f>
        <v>18.619999999999997</v>
      </c>
      <c r="DT70" s="63">
        <f>VARP(IF(INDEX(Properties!A$1:CB$87,Formula!B70,40)&lt;&gt;"",INDEX(Properties!A$1:CB$87,Formula!B70,40)),IF(INDEX(Properties!A$1:CB$87,Formula!D70,40)&lt;&gt;"",INDEX(Properties!A$1:CB$87,Formula!D70,40)),IF(INDEX(Properties!A$1:CB$87,Formula!F70,40)&lt;&gt;"",INDEX(Properties!A$1:CB$87,Formula!F70,40)),IF(INDEX(Properties!A$1:CB$87,Formula!H70,40)&lt;&gt;"",INDEX(Properties!A$1:CB$87,Formula!H70,40)),IF(INDEX(Properties!A$1:CB$87,Formula!J70,40)&lt;&gt;"",INDEX(Properties!A$1:CB$87,Formula!J70,40)))</f>
        <v>0.36713599999999985</v>
      </c>
      <c r="DU70" s="63">
        <f>MAX(INDEX(Properties!A$1:CB$87,Formula!B70,40),INDEX(Properties!A$1:CB$87,Formula!D70,40),INDEX(Properties!A$1:CB$87,Formula!F70,40),INDEX(Properties!A$1:CB$87,Formula!H70,40),INDEX(Properties!A$1:CB$87,Formula!J70,40))</f>
        <v>1.74</v>
      </c>
      <c r="DV70" s="63">
        <f>MIN(IF(INDEX(Properties!A$1:CB$87,Formula!B70,40)=0,10^6,INDEX(Properties!A$1:CB$87,Formula!B70,40)),IF(INDEX(Properties!A$1:CB$87,Formula!D70,40)=0,10^6,INDEX(Properties!A$1:CB$87,Formula!D70,40)),IF(INDEX(Properties!A$1:CB$87,Formula!F70,40)=0,10^6,INDEX(Properties!A$1:CB$87,Formula!F70,40)),IF(INDEX(Properties!A$1:CB$87,Formula!H70,40)=0,10^6,INDEX(Properties!A$1:CB$87,Formula!H70,40)),IF(INDEX(Properties!A$1:CB$87,Formula!J70,40)=0,10^6,INDEX(Properties!A$1:CB$87,Formula!J70,40)))</f>
        <v>0.73</v>
      </c>
      <c r="DW70" s="63">
        <f t="shared" si="52"/>
        <v>1.01</v>
      </c>
      <c r="DX70" s="75">
        <f>((Formula!C70)/(Formula!C70+Formula!E70+Formula!G70+Formula!I70+Formula!K70))*(INDEX(Properties!A$1:CB$87,Formula!B70,41))+((Formula!E70)/(Formula!C70+Formula!E70+Formula!G70+Formula!I70+Formula!K70))*(INDEX(Properties!A$1:CB$87,Formula!D70,41))+((Formula!G70)/(Formula!C70+Formula!E70+Formula!G70+Formula!I70+Formula!K70))*(INDEX(Properties!A$1:CB$87,Formula!F70,41))+((Formula!I70)/(Formula!C70+Formula!E70+Formula!G70+Formula!I70+Formula!K70))*(INDEX(Properties!A$1:CB$87,Formula!H70,41))+((Formula!K70)/(Formula!C70+Formula!E70+Formula!G70+Formula!I70+Formula!K70))*(INDEX(Properties!A$1:CB$87,Formula!J70,41))</f>
        <v>1.1289473684210525</v>
      </c>
      <c r="DY70" s="75">
        <f>Formula!C70*(INDEX(Properties!A$1:CB$87,Formula!B70,41))+Formula!E70*(INDEX(Properties!A$1:CB$87,Formula!D70,41))+Formula!G70*(INDEX(Properties!A$1:CB$87,Formula!F70,41))+Formula!I70*(INDEX(Properties!A$1:CB$87,Formula!H70,41))+Formula!K70*(INDEX(Properties!A$1:CB$87,Formula!J70,41))</f>
        <v>21.450000000000003</v>
      </c>
      <c r="DZ70" s="75">
        <f>VARP(IF(INDEX(Properties!A$1:CB$87,Formula!B70,41)&lt;&gt;"",INDEX(Properties!A$1:CB$87,Formula!B70,41)),IF(INDEX(Properties!A$1:CB$87,Formula!D70,41)&lt;&gt;"",INDEX(Properties!A$1:CB$87,Formula!D70,41)),IF(INDEX(Properties!A$1:CB$87,Formula!F70,41)&lt;&gt;"",INDEX(Properties!A$1:CB$87,Formula!F70,41)),IF(INDEX(Properties!A$1:CB$87,Formula!H70,41)&lt;&gt;"",INDEX(Properties!A$1:CB$87,Formula!H70,41)),IF(INDEX(Properties!A$1:CB$87,Formula!J70,41)&lt;&gt;"",INDEX(Properties!A$1:CB$87,Formula!J70,41)))</f>
        <v>0.22960000000000008</v>
      </c>
      <c r="EA70" s="75">
        <f>MAX(INDEX(Properties!A$1:CB$87,Formula!B70,41),INDEX(Properties!A$1:CB$87,Formula!D70,41),INDEX(Properties!A$1:CB$87,Formula!F70,41),INDEX(Properties!A$1:CB$87,Formula!H70,41),INDEX(Properties!A$1:CB$87,Formula!J70,41))</f>
        <v>1.26</v>
      </c>
      <c r="EB70" s="75">
        <f>MIN(IF(INDEX(Properties!A$1:CB$87,Formula!B70,41)=0,10^6,INDEX(Properties!A$1:CB$87,Formula!B70,41)),IF(INDEX(Properties!A$1:CB$87,Formula!D70,41)=0,10^6,INDEX(Properties!A$1:CB$87,Formula!D70,41)),IF(INDEX(Properties!A$1:CB$87,Formula!F70,41)=0,10^6,INDEX(Properties!A$1:CB$87,Formula!F70,41)),IF(INDEX(Properties!A$1:CB$87,Formula!H70,41)=0,10^6,INDEX(Properties!A$1:CB$87,Formula!H70,41)),IF(INDEX(Properties!A$1:CB$87,Formula!J70,41)=0,10^6,INDEX(Properties!A$1:CB$87,Formula!J70,41)))</f>
        <v>0.57999999999999996</v>
      </c>
      <c r="EC70" s="75">
        <f t="shared" si="53"/>
        <v>0.68</v>
      </c>
      <c r="ED70" s="48">
        <f>((Formula!C70)/(Formula!C70+Formula!E70+Formula!G70+Formula!I70+Formula!K70))*(INDEX(Properties!A$1:CB$87,Formula!B70,45))+((Formula!E70)/(Formula!C70+Formula!E70+Formula!G70+Formula!I70+Formula!K70))*(INDEX(Properties!A$1:CB$87,Formula!D70,45))+((Formula!G70)/(Formula!C70+Formula!E70+Formula!G70+Formula!I70+Formula!K70))*(INDEX(Properties!A$1:CB$87,Formula!F70,45))+((Formula!I70)/(Formula!C70+Formula!E70+Formula!G70+Formula!I70+Formula!K70))*(INDEX(Properties!A$1:CB$87,Formula!H70,45))+((Formula!K70)/(Formula!C70+Formula!E70+Formula!G70+Formula!I70+Formula!K70))*(INDEX(Properties!A$1:CB$87,Formula!J70,45))</f>
        <v>1.071578947368421</v>
      </c>
      <c r="EE70" s="48">
        <f>Formula!C70*(INDEX(Properties!A$1:CB$87,Formula!B70,45))+Formula!E70*(INDEX(Properties!A$1:CB$87,Formula!D70,45))+Formula!G70*(INDEX(Properties!A$1:CB$87,Formula!F70,45))+Formula!I70*(INDEX(Properties!A$1:CB$87,Formula!H70,45))+Formula!K70*(INDEX(Properties!A$1:CB$87,Formula!J70,45))</f>
        <v>20.36</v>
      </c>
      <c r="EF70" s="48">
        <f>VARP(IF(INDEX(Properties!A$1:CB$87,Formula!B70,45)&lt;&gt;"",INDEX(Properties!A$1:CB$87,Formula!B70,45)),IF(INDEX(Properties!A$1:CB$87,Formula!D70,45)&lt;&gt;"",INDEX(Properties!A$1:CB$87,Formula!D70,45)),IF(INDEX(Properties!A$1:CB$87,Formula!F70,45)&lt;&gt;"",INDEX(Properties!A$1:CB$87,Formula!F70,45)),IF(INDEX(Properties!A$1:CB$87,Formula!H70,45)&lt;&gt;"",INDEX(Properties!A$1:CB$87,Formula!H70,45)),IF(INDEX(Properties!A$1:CB$87,Formula!J70,45)&lt;&gt;"",INDEX(Properties!A$1:CB$87,Formula!J70,45)))</f>
        <v>1.1507360000000002</v>
      </c>
      <c r="EG70" s="48">
        <f>MAX(INDEX(Properties!A$1:CB$87,Formula!B70,45),INDEX(Properties!A$1:CB$87,Formula!D70,45),INDEX(Properties!A$1:CB$87,Formula!F70,45),INDEX(Properties!A$1:CB$87,Formula!H70,45),INDEX(Properties!A$1:CB$87,Formula!J70,45))</f>
        <v>3</v>
      </c>
      <c r="EH70" s="48">
        <f>MIN(IF(INDEX(Properties!A$1:CB$87,Formula!B70,45)=0,10^6,INDEX(Properties!A$1:CB$87,Formula!B70,45)),IF(INDEX(Properties!A$1:CB$87,Formula!D70,45)=0,10^6,INDEX(Properties!A$1:CB$87,Formula!D70,45)),IF(INDEX(Properties!A$1:CB$87,Formula!F70,45)=0,10^6,INDEX(Properties!A$1:CB$87,Formula!F70,45)),IF(INDEX(Properties!A$1:CB$87,Formula!H70,45)=0,10^6,INDEX(Properties!A$1:CB$87,Formula!H70,45)),IF(INDEX(Properties!A$1:CB$87,Formula!J70,45)=0,10^6,INDEX(Properties!A$1:CB$87,Formula!J70,45)))</f>
        <v>0.47</v>
      </c>
      <c r="EI70" s="48">
        <f t="shared" si="54"/>
        <v>2.5300000000000002</v>
      </c>
      <c r="EJ70" s="66">
        <f>((Formula!C70)/(Formula!C70+Formula!E70+Formula!G70+Formula!I70+Formula!K70))*(INDEX(Properties!A$1:CB$87,Formula!B70,46))+((Formula!E70)/(Formula!C70+Formula!E70+Formula!G70+Formula!I70+Formula!K70))*(INDEX(Properties!A$1:CB$87,Formula!D70,46))+((Formula!G70)/(Formula!C70+Formula!E70+Formula!G70+Formula!I70+Formula!K70))*(INDEX(Properties!A$1:CB$87,Formula!F70,46))+((Formula!I70)/(Formula!C70+Formula!E70+Formula!G70+Formula!I70+Formula!K70))*(INDEX(Properties!A$1:CB$87,Formula!H70,46))+((Formula!K70)/(Formula!C70+Formula!E70+Formula!G70+Formula!I70+Formula!K70))*(INDEX(Properties!A$1:CB$87,Formula!J70,46))</f>
        <v>1.054736842105263</v>
      </c>
      <c r="EK70" s="66">
        <f>Formula!C70*(INDEX(Properties!A$1:CB$87,Formula!B70,46))+Formula!E70*(INDEX(Properties!A$1:CB$87,Formula!D70,46))+Formula!G70*(INDEX(Properties!A$1:CB$87,Formula!F70,46))+Formula!I70*(INDEX(Properties!A$1:CB$87,Formula!H70,46))+Formula!K70*(INDEX(Properties!A$1:CB$87,Formula!J70,46))</f>
        <v>20.04</v>
      </c>
      <c r="EL70" s="66">
        <f>VARP(IF(INDEX(Properties!A$1:CB$87,Formula!B70,46)&lt;&gt;"",INDEX(Properties!A$1:CB$87,Formula!B70,46)),IF(INDEX(Properties!A$1:CB$87,Formula!D70,46)&lt;&gt;"",INDEX(Properties!A$1:CB$87,Formula!D70,46)),IF(INDEX(Properties!A$1:CB$87,Formula!F70,46)&lt;&gt;"",INDEX(Properties!A$1:CB$87,Formula!F70,46)),IF(INDEX(Properties!A$1:CB$87,Formula!H70,46)&lt;&gt;"",INDEX(Properties!A$1:CB$87,Formula!H70,46)),IF(INDEX(Properties!A$1:CB$87,Formula!J70,46)&lt;&gt;"",INDEX(Properties!A$1:CB$87,Formula!J70,46)))</f>
        <v>0.2589840000000001</v>
      </c>
      <c r="EM70" s="66">
        <f>MAX(INDEX(Properties!A$1:CB$87,Formula!B70,46),INDEX(Properties!A$1:CB$87,Formula!D70,46),INDEX(Properties!A$1:CB$87,Formula!F70,46),INDEX(Properties!A$1:CB$87,Formula!H70,46),INDEX(Properties!A$1:CB$87,Formula!J70,46))</f>
        <v>1.21</v>
      </c>
      <c r="EN70" s="66">
        <f>MIN(IF(INDEX(Properties!A$1:CB$87,Formula!B70,46)=0,10^6,INDEX(Properties!A$1:CB$87,Formula!B70,46)),IF(INDEX(Properties!A$1:CB$87,Formula!D70,46)=0,10^6,INDEX(Properties!A$1:CB$87,Formula!D70,46)),IF(INDEX(Properties!A$1:CB$87,Formula!F70,46)=0,10^6,INDEX(Properties!A$1:CB$87,Formula!F70,46)),IF(INDEX(Properties!A$1:CB$87,Formula!H70,46)=0,10^6,INDEX(Properties!A$1:CB$87,Formula!H70,46)),IF(INDEX(Properties!A$1:CB$87,Formula!J70,46)=0,10^6,INDEX(Properties!A$1:CB$87,Formula!J70,46)))</f>
        <v>0.31</v>
      </c>
      <c r="EO70" s="66">
        <f t="shared" si="55"/>
        <v>0.89999999999999991</v>
      </c>
      <c r="EP70" s="81">
        <f>((Formula!C70)/(Formula!C70+Formula!E70+Formula!G70+Formula!I70+Formula!K70))*(INDEX(Properties!A$1:CB$87,Formula!B70,52))+((Formula!E70)/(Formula!C70+Formula!E70+Formula!G70+Formula!I70+Formula!K70))*(INDEX(Properties!A$1:CB$87,Formula!D70,52))+((Formula!G70)/(Formula!C70+Formula!E70+Formula!G70+Formula!I70+Formula!K70))*(INDEX(Properties!A$1:CB$87,Formula!F70,52))+((Formula!I70)/(Formula!C70+Formula!E70+Formula!G70+Formula!I70+Formula!K70))*(INDEX(Properties!A$1:CB$87,Formula!H70,52))+((Formula!K70)/(Formula!C70+Formula!E70+Formula!G70+Formula!I70+Formula!K70))*(INDEX(Properties!A$1:CB$87,Formula!J70,52))</f>
        <v>5.0587368421052625</v>
      </c>
      <c r="EQ70" s="81">
        <f>Formula!C70*(INDEX(Properties!A$1:CB$87,Formula!B70,52))+Formula!E70*(INDEX(Properties!A$1:CB$87,Formula!D70,52))+Formula!G70*(INDEX(Properties!A$1:CB$87,Formula!F70,52))+Formula!I70*(INDEX(Properties!A$1:CB$87,Formula!H70,52))+Formula!K70*(INDEX(Properties!A$1:CB$87,Formula!J70,52))</f>
        <v>96.116000000000014</v>
      </c>
      <c r="ER70" s="81">
        <f>VARP(IF(INDEX(Properties!A$1:CB$87,Formula!B70,52)&lt;&gt;"",INDEX(Properties!A$1:CB$87,Formula!B70,52)),IF(INDEX(Properties!A$1:CB$87,Formula!D70,52)&lt;&gt;"",INDEX(Properties!A$1:CB$87,Formula!D70,52)),IF(INDEX(Properties!A$1:CB$87,Formula!F70,52)&lt;&gt;"",INDEX(Properties!A$1:CB$87,Formula!F70,52)),IF(INDEX(Properties!A$1:CB$87,Formula!H70,52)&lt;&gt;"",INDEX(Properties!A$1:CB$87,Formula!H70,52)),IF(INDEX(Properties!A$1:CB$87,Formula!J70,52)&lt;&gt;"",INDEX(Properties!A$1:CB$87,Formula!J70,52)))</f>
        <v>69.770743839999994</v>
      </c>
      <c r="ES70" s="81">
        <f>MAX(INDEX(Properties!A$1:CB$87,Formula!B70,52),INDEX(Properties!A$1:CB$87,Formula!D70,52),INDEX(Properties!A$1:CB$87,Formula!F70,52),INDEX(Properties!A$1:CB$87,Formula!H70,52),INDEX(Properties!A$1:CB$87,Formula!J70,52))</f>
        <v>22.8</v>
      </c>
      <c r="ET70" s="81">
        <f>MIN(IF(INDEX(Properties!A$1:CB$87,Formula!B70,52)=0,10^6,INDEX(Properties!A$1:CB$87,Formula!B70,52)),IF(INDEX(Properties!A$1:CB$87,Formula!D70,52)=0,10^6,INDEX(Properties!A$1:CB$87,Formula!D70,52)),IF(INDEX(Properties!A$1:CB$87,Formula!F70,52)=0,10^6,INDEX(Properties!A$1:CB$87,Formula!F70,52)),IF(INDEX(Properties!A$1:CB$87,Formula!H70,52)=0,10^6,INDEX(Properties!A$1:CB$87,Formula!H70,52)),IF(INDEX(Properties!A$1:CB$87,Formula!J70,52)=0,10^6,INDEX(Properties!A$1:CB$87,Formula!J70,52)))</f>
        <v>0.79300000000000004</v>
      </c>
      <c r="EU70" s="81">
        <f t="shared" si="56"/>
        <v>22.007000000000001</v>
      </c>
      <c r="EV70" s="39">
        <f>((Formula!C70)/(Formula!C70+Formula!E70+Formula!G70+Formula!I70+Formula!K70))*(INDEX(Properties!A$1:CB$87,Formula!B70,53))+((Formula!E70)/(Formula!C70+Formula!E70+Formula!G70+Formula!I70+Formula!K70))*(INDEX(Properties!A$1:CB$87,Formula!D70,53))+((Formula!G70)/(Formula!C70+Formula!E70+Formula!G70+Formula!I70+Formula!K70))*(INDEX(Properties!A$1:CB$87,Formula!F70,53))+((Formula!I70)/(Formula!C70+Formula!E70+Formula!G70+Formula!I70+Formula!K70))*(INDEX(Properties!A$1:CB$87,Formula!H70,53))+((Formula!K70)/(Formula!C70+Formula!E70+Formula!G70+Formula!I70+Formula!K70))*(INDEX(Properties!A$1:CB$87,Formula!J70,53))</f>
        <v>288.9131578947368</v>
      </c>
      <c r="EW70" s="39">
        <f>Formula!C70*(INDEX(Properties!A$1:CB$87,Formula!B70,53))+Formula!E70*(INDEX(Properties!A$1:CB$87,Formula!D70,53))+Formula!G70*(INDEX(Properties!A$1:CB$87,Formula!F70,53))+Formula!I70*(INDEX(Properties!A$1:CB$87,Formula!H70,53))+Formula!K70*(INDEX(Properties!A$1:CB$87,Formula!J70,53))</f>
        <v>5489.35</v>
      </c>
      <c r="EX70" s="39">
        <f>VARP(IF(INDEX(Properties!A$1:CB$87,Formula!B70,53)&lt;&gt;"",INDEX(Properties!A$1:CB$87,Formula!B70,53)),IF(INDEX(Properties!A$1:CB$87,Formula!D70,53)&lt;&gt;"",INDEX(Properties!A$1:CB$87,Formula!D70,53)),IF(INDEX(Properties!A$1:CB$87,Formula!F70,53)&lt;&gt;"",INDEX(Properties!A$1:CB$87,Formula!F70,53)),IF(INDEX(Properties!A$1:CB$87,Formula!H70,53)&lt;&gt;"",INDEX(Properties!A$1:CB$87,Formula!H70,53)),IF(INDEX(Properties!A$1:CB$87,Formula!J70,53)&lt;&gt;"",INDEX(Properties!A$1:CB$87,Formula!J70,53)))</f>
        <v>162764.35840000003</v>
      </c>
      <c r="EY70" s="39">
        <f>MAX(INDEX(Properties!A$1:CB$87,Formula!B70,53),INDEX(Properties!A$1:CB$87,Formula!D70,53),INDEX(Properties!A$1:CB$87,Formula!F70,53),INDEX(Properties!A$1:CB$87,Formula!H70,53),INDEX(Properties!A$1:CB$87,Formula!J70,53))</f>
        <v>1112.1500000000001</v>
      </c>
      <c r="EZ70" s="39">
        <f>MIN(IF(INDEX(Properties!A$1:CB$87,Formula!B70,53)=0,10^6,INDEX(Properties!A$1:CB$87,Formula!B70,53)),IF(INDEX(Properties!A$1:CB$87,Formula!D70,53)=0,10^6,INDEX(Properties!A$1:CB$87,Formula!D70,53)),IF(INDEX(Properties!A$1:CB$87,Formula!F70,53)=0,10^6,INDEX(Properties!A$1:CB$87,Formula!F70,53)),IF(INDEX(Properties!A$1:CB$87,Formula!H70,53)=0,10^6,INDEX(Properties!A$1:CB$87,Formula!H70,53)),IF(INDEX(Properties!A$1:CB$87,Formula!J70,53)=0,10^6,INDEX(Properties!A$1:CB$87,Formula!J70,53)))</f>
        <v>54.749999999999972</v>
      </c>
      <c r="FA70" s="39">
        <f t="shared" si="57"/>
        <v>1057.4000000000001</v>
      </c>
      <c r="FB70" s="54">
        <f>((Formula!C70)/(Formula!C70+Formula!E70+Formula!G70+Formula!I70+Formula!K70))*(INDEX(Properties!A$1:CB$87,Formula!B70,54))+((Formula!E70)/(Formula!C70+Formula!E70+Formula!G70+Formula!I70+Formula!K70))*(INDEX(Properties!A$1:CB$87,Formula!D70,54))+((Formula!G70)/(Formula!C70+Formula!E70+Formula!G70+Formula!I70+Formula!K70))*(INDEX(Properties!A$1:CB$87,Formula!F70,54))+((Formula!I70)/(Formula!C70+Formula!E70+Formula!G70+Formula!I70+Formula!K70))*(INDEX(Properties!A$1:CB$87,Formula!H70,54))+((Formula!K70)/(Formula!C70+Formula!E70+Formula!G70+Formula!I70+Formula!K70))*(INDEX(Properties!A$1:CB$87,Formula!J70,54))</f>
        <v>518.20263157894738</v>
      </c>
      <c r="FC70" s="54">
        <f>Formula!C70*(INDEX(Properties!A$1:CB$87,Formula!B70,54))+Formula!E70*(INDEX(Properties!A$1:CB$87,Formula!D70,54))+Formula!G70*(INDEX(Properties!A$1:CB$87,Formula!F70,54))+Formula!I70*(INDEX(Properties!A$1:CB$87,Formula!H70,54))+Formula!K70*(INDEX(Properties!A$1:CB$87,Formula!J70,54))</f>
        <v>9845.8499999999985</v>
      </c>
      <c r="FD70" s="54">
        <f>VARP(IF(INDEX(Properties!A$1:CB$87,Formula!B70,54)&lt;&gt;"",INDEX(Properties!A$1:CB$87,Formula!B70,54)),IF(INDEX(Properties!A$1:CB$87,Formula!D70,54)&lt;&gt;"",INDEX(Properties!A$1:CB$87,Formula!D70,54)),IF(INDEX(Properties!A$1:CB$87,Formula!F70,54)&lt;&gt;"",INDEX(Properties!A$1:CB$87,Formula!F70,54)),IF(INDEX(Properties!A$1:CB$87,Formula!H70,54)&lt;&gt;"",INDEX(Properties!A$1:CB$87,Formula!H70,54)),IF(INDEX(Properties!A$1:CB$87,Formula!J70,54)&lt;&gt;"",INDEX(Properties!A$1:CB$87,Formula!J70,54)))</f>
        <v>635488.63960000023</v>
      </c>
      <c r="FE70" s="54">
        <f>MAX(INDEX(Properties!A$1:CB$87,Formula!B70,54),INDEX(Properties!A$1:CB$87,Formula!D70,54),INDEX(Properties!A$1:CB$87,Formula!F70,54),INDEX(Properties!A$1:CB$87,Formula!H70,54),INDEX(Properties!A$1:CB$87,Formula!J70,54))</f>
        <v>1833.15</v>
      </c>
      <c r="FF70" s="54">
        <f>MIN(IF(INDEX(Properties!A$1:CB$87,Formula!B70,54)=0,10^6,INDEX(Properties!A$1:CB$87,Formula!B70,54)),IF(INDEX(Properties!A$1:CB$87,Formula!D70,54)=0,10^6,INDEX(Properties!A$1:CB$87,Formula!D70,54)),IF(INDEX(Properties!A$1:CB$87,Formula!F70,54)=0,10^6,INDEX(Properties!A$1:CB$87,Formula!F70,54)),IF(INDEX(Properties!A$1:CB$87,Formula!H70,54)=0,10^6,INDEX(Properties!A$1:CB$87,Formula!H70,54)),IF(INDEX(Properties!A$1:CB$87,Formula!J70,54)=0,10^6,INDEX(Properties!A$1:CB$87,Formula!J70,54)))</f>
        <v>90.149999999999977</v>
      </c>
      <c r="FG70" s="54">
        <f t="shared" si="58"/>
        <v>1743</v>
      </c>
      <c r="FH70" s="69">
        <f>((Formula!C70)/(Formula!C70+Formula!E70+Formula!G70+Formula!I70+Formula!K70))*(INDEX(Properties!A$1:CB$87,Formula!B70,55))+((Formula!E70)/(Formula!C70+Formula!E70+Formula!G70+Formula!I70+Formula!K70))*(INDEX(Properties!A$1:CB$87,Formula!D70,55))+((Formula!G70)/(Formula!C70+Formula!E70+Formula!G70+Formula!I70+Formula!K70))*(INDEX(Properties!A$1:CB$87,Formula!F70,55))+((Formula!I70)/(Formula!C70+Formula!E70+Formula!G70+Formula!I70+Formula!K70))*(INDEX(Properties!A$1:CB$87,Formula!H70,55))+((Formula!K70)/(Formula!C70+Formula!E70+Formula!G70+Formula!I70+Formula!K70))*(INDEX(Properties!A$1:CB$87,Formula!J70,55))</f>
        <v>1.0461663157894736</v>
      </c>
      <c r="FI70" s="69">
        <f>Formula!C70*(INDEX(Properties!A$1:CB$87,Formula!B70,55))+Formula!E70*(INDEX(Properties!A$1:CB$87,Formula!D70,54))+Formula!G70*(INDEX(Properties!A$1:CB$87,Formula!F70,55))+Formula!I70*(INDEX(Properties!A$1:CB$87,Formula!H70,55))+Formula!K70*(INDEX(Properties!A$1:CB$87,Formula!J70,55))</f>
        <v>1843.2771600000003</v>
      </c>
      <c r="FJ70" s="69">
        <f>VARP(IF(INDEX(Properties!A$1:CB$87,Formula!B70,55)&lt;&gt;"",INDEX(Properties!A$1:CB$87,Formula!B70,55)),IF(INDEX(Properties!A$1:CB$87,Formula!D70,55)&lt;&gt;"",INDEX(Properties!A$1:CB$87,Formula!D70,55)),IF(INDEX(Properties!A$1:CB$87,Formula!F70,55)&lt;&gt;"",INDEX(Properties!A$1:CB$87,Formula!F70,55)),IF(INDEX(Properties!A$1:CB$87,Formula!H70,55)&lt;&gt;"",INDEX(Properties!A$1:CB$87,Formula!H70,55)),IF(INDEX(Properties!A$1:CB$87,Formula!J70,55)&lt;&gt;"",INDEX(Properties!A$1:CB$87,Formula!J70,55)))</f>
        <v>13.268603399183998</v>
      </c>
      <c r="FK70" s="69">
        <f>MAX(INDEX(Properties!A$1:CB$87,Formula!B70,55),INDEX(Properties!A$1:CB$87,Formula!D70,55),INDEX(Properties!A$1:CB$87,Formula!F70,55),INDEX(Properties!A$1:CB$87,Formula!H70,55),INDEX(Properties!A$1:CB$87,Formula!J70,55))</f>
        <v>9.75</v>
      </c>
      <c r="FL70" s="69">
        <f>MIN(IF(INDEX(Properties!A$1:CB$87,Formula!B70,55)=0,10^6,INDEX(Properties!A$1:CB$87,Formula!B70,55)),IF(INDEX(Properties!A$1:CB$87,Formula!D70,55)=0,10^6,INDEX(Properties!A$1:CB$87,Formula!D70,55)),IF(INDEX(Properties!A$1:CB$87,Formula!F70,55)=0,10^6,INDEX(Properties!A$1:CB$87,Formula!F70,55)),IF(INDEX(Properties!A$1:CB$87,Formula!H70,55)=0,10^6,INDEX(Properties!A$1:CB$87,Formula!H70,55)),IF(INDEX(Properties!A$1:CB$87,Formula!J70,55)=0,10^6,INDEX(Properties!A$1:CB$87,Formula!J70,55)))</f>
        <v>1.4300000000000001E-3</v>
      </c>
      <c r="FM70" s="69">
        <f t="shared" si="59"/>
        <v>9.7485700000000008</v>
      </c>
      <c r="FN70" s="42">
        <f>((Formula!C70)/(Formula!C70+Formula!E70+Formula!G70+Formula!I70+Formula!K70))*(INDEX(Properties!A$1:CB$87,Formula!B70,56))+((Formula!E70)/(Formula!C70+Formula!E70+Formula!G70+Formula!I70+Formula!K70))*(INDEX(Properties!A$1:CB$87,Formula!D70,56))+((Formula!G70)/(Formula!C70+Formula!E70+Formula!G70+Formula!I70+Formula!K70))*(INDEX(Properties!A$1:CB$87,Formula!F70,56))+((Formula!I70)/(Formula!C70+Formula!E70+Formula!G70+Formula!I70+Formula!K70))*(INDEX(Properties!A$1:CB$87,Formula!H70,56))+((Formula!K70)/(Formula!C70+Formula!E70+Formula!G70+Formula!I70+Formula!K70))*(INDEX(Properties!A$1:CB$87,Formula!J70,56))</f>
        <v>0.80842105263157893</v>
      </c>
      <c r="FO70" s="42">
        <f>Formula!C70*(INDEX(Properties!A$1:CB$87,Formula!B70,56))+Formula!E70*(INDEX(Properties!A$1:CB$87,Formula!D70,56))+Formula!G70*(INDEX(Properties!A$1:CB$87,Formula!F70,56))+Formula!I70*(INDEX(Properties!A$1:CB$87,Formula!H70,56))+Formula!K70*(INDEX(Properties!A$1:CB$87,Formula!J70,56))</f>
        <v>15.360000000000001</v>
      </c>
      <c r="FP70" s="42">
        <f>VARP(IF(INDEX(Properties!A$1:CB$87,Formula!B70,56)&lt;&gt;"",INDEX(Properties!A$1:CB$87,Formula!B70,56)),IF(INDEX(Properties!A$1:CB$87,Formula!D70,56)&lt;&gt;"",INDEX(Properties!A$1:CB$87,Formula!D70,56)),IF(INDEX(Properties!A$1:CB$87,Formula!F70,56)&lt;&gt;"",INDEX(Properties!A$1:CB$87,Formula!F70,56)),IF(INDEX(Properties!A$1:CB$87,Formula!H70,56)&lt;&gt;"",INDEX(Properties!A$1:CB$87,Formula!H70,56)),IF(INDEX(Properties!A$1:CB$87,Formula!J70,56)&lt;&gt;"",INDEX(Properties!A$1:CB$87,Formula!J70,56)))</f>
        <v>0.13197600000000001</v>
      </c>
      <c r="FQ70" s="42">
        <f>MAX(INDEX(Properties!A$1:CB$87,Formula!B70,56),INDEX(Properties!A$1:CB$87,Formula!D70,56),INDEX(Properties!A$1:CB$87,Formula!F70,56),INDEX(Properties!A$1:CB$87,Formula!H70,56),INDEX(Properties!A$1:CB$87,Formula!J70,56))</f>
        <v>0.92</v>
      </c>
      <c r="FR70" s="42">
        <f>MIN(IF(INDEX(Properties!A$1:CB$87,Formula!B70,56)=0,10^6,INDEX(Properties!A$1:CB$87,Formula!B70,56)),IF(INDEX(Properties!A$1:CB$87,Formula!D70,56)=0,10^6,INDEX(Properties!A$1:CB$87,Formula!D70,56)),IF(INDEX(Properties!A$1:CB$87,Formula!F70,56)=0,10^6,INDEX(Properties!A$1:CB$87,Formula!F70,56)),IF(INDEX(Properties!A$1:CB$87,Formula!H70,56)=0,10^6,INDEX(Properties!A$1:CB$87,Formula!H70,56)),IF(INDEX(Properties!A$1:CB$87,Formula!J70,56)=0,10^6,INDEX(Properties!A$1:CB$87,Formula!J70,56)))</f>
        <v>0.12</v>
      </c>
      <c r="FS70" s="42">
        <f t="shared" si="60"/>
        <v>0.8</v>
      </c>
      <c r="FT70" s="60">
        <f>((Formula!C70)/(Formula!C70+Formula!E70+Formula!G70+Formula!I70+Formula!K70))*(INDEX(Properties!A$1:CB$87,Formula!B70,57))+((Formula!E70)/(Formula!C70+Formula!E70+Formula!G70+Formula!I70+Formula!K70))*(INDEX(Properties!A$1:CB$87,Formula!D70,57))+((Formula!G70)/(Formula!C70+Formula!E70+Formula!G70+Formula!I70+Formula!K70))*(INDEX(Properties!A$1:CB$87,Formula!F70,57))+((Formula!I70)/(Formula!C70+Formula!E70+Formula!G70+Formula!I70+Formula!K70))*(INDEX(Properties!A$1:CB$87,Formula!H70,57))+((Formula!K70)/(Formula!C70+Formula!E70+Formula!G70+Formula!I70+Formula!K70))*(INDEX(Properties!A$1:CB$87,Formula!J70,57))</f>
        <v>2.1874778947368418</v>
      </c>
      <c r="FU70" s="60">
        <f>Formula!C70*(INDEX(Properties!A$1:CB$87,Formula!B70,57))+Formula!E70*(INDEX(Properties!A$1:CB$87,Formula!D70,57))+Formula!G70*(INDEX(Properties!A$1:CB$87,Formula!F70,57))+Formula!I70*(INDEX(Properties!A$1:CB$87,Formula!H70,57))+Formula!K70*(INDEX(Properties!A$1:CB$87,Formula!J70,57))</f>
        <v>41.562080000000009</v>
      </c>
      <c r="FV70" s="60">
        <f>VARP(IF(INDEX(Properties!A$1:CB$87,Formula!B70,57)&lt;&gt;"",INDEX(Properties!A$1:CB$87,Formula!B70,57)),IF(INDEX(Properties!A$1:CB$87,Formula!D70,57)&lt;&gt;"",INDEX(Properties!A$1:CB$87,Formula!D70,57)),IF(INDEX(Properties!A$1:CB$87,Formula!F70,57)&lt;&gt;"",INDEX(Properties!A$1:CB$87,Formula!F70,57)),IF(INDEX(Properties!A$1:CB$87,Formula!H70,57)&lt;&gt;"",INDEX(Properties!A$1:CB$87,Formula!H70,57)),IF(INDEX(Properties!A$1:CB$87,Formula!J70,57)&lt;&gt;"",INDEX(Properties!A$1:CB$87,Formula!J70,57)))</f>
        <v>23.048502670895996</v>
      </c>
      <c r="FW70" s="60">
        <f>MAX(INDEX(Properties!A$1:CB$87,Formula!B70,57),INDEX(Properties!A$1:CB$87,Formula!D70,57),INDEX(Properties!A$1:CB$87,Formula!F70,57),INDEX(Properties!A$1:CB$87,Formula!H70,57),INDEX(Properties!A$1:CB$87,Formula!J70,57))</f>
        <v>11.3</v>
      </c>
      <c r="FX70" s="60">
        <f>MIN(IF(INDEX(Properties!A$1:CB$87,Formula!B70,57)=0,10^6,INDEX(Properties!A$1:CB$87,Formula!B70,57)),IF(INDEX(Properties!A$1:CB$87,Formula!D70,57)=0,10^6,INDEX(Properties!A$1:CB$87,Formula!D70,57)),IF(INDEX(Properties!A$1:CB$87,Formula!F70,57)=0,10^6,INDEX(Properties!A$1:CB$87,Formula!F70,57)),IF(INDEX(Properties!A$1:CB$87,Formula!H70,57)=0,10^6,INDEX(Properties!A$1:CB$87,Formula!H70,57)),IF(INDEX(Properties!A$1:CB$87,Formula!J70,57)=0,10^6,INDEX(Properties!A$1:CB$87,Formula!J70,57)))</f>
        <v>0.22259000000000001</v>
      </c>
      <c r="FY70" s="60">
        <f t="shared" si="61"/>
        <v>11.07741</v>
      </c>
      <c r="FZ70" s="72">
        <f>((Formula!C70)/(Formula!C70+Formula!E70+Formula!G70+Formula!I70+Formula!K70))*(INDEX(Properties!A$1:CB$87,Formula!B70,60))+((Formula!E70)/(Formula!C70+Formula!E70+Formula!G70+Formula!I70+Formula!K70))*(INDEX(Properties!A$1:CB$87,Formula!D70,60))+((Formula!G70)/(Formula!C70+Formula!E70+Formula!G70+Formula!I70+Formula!K70))*(INDEX(Properties!A$1:CB$87,Formula!F70,60))+((Formula!I70)/(Formula!C70+Formula!E70+Formula!G70+Formula!I70+Formula!K70))*(INDEX(Properties!A$1:CB$87,Formula!H70,60))+((Formula!K70)/(Formula!C70+Formula!E70+Formula!G70+Formula!I70+Formula!K70))*(INDEX(Properties!A$1:CB$87,Formula!J70,60))</f>
        <v>32.047151578947371</v>
      </c>
      <c r="GA70" s="72">
        <f>Formula!C70*(INDEX(Properties!A$1:CB$87,Formula!B70,60))+Formula!E70*(INDEX(Properties!A$1:CB$87,Formula!D70,60))+Formula!G70*(INDEX(Properties!A$1:CB$87,Formula!F70,60))+Formula!I70*(INDEX(Properties!A$1:CB$87,Formula!H70,60))+Formula!K70*(INDEX(Properties!A$1:CB$87,Formula!J70,60))</f>
        <v>608.89588000000003</v>
      </c>
      <c r="GB70" s="72">
        <f>VARP(IF(INDEX(Properties!A$1:CB$87,Formula!B70,60)&lt;&gt;"",INDEX(Properties!A$1:CB$87,Formula!B70,60)),IF(INDEX(Properties!A$1:CB$87,Formula!D70,60)&lt;&gt;"",INDEX(Properties!A$1:CB$87,Formula!D70,60)),IF(INDEX(Properties!A$1:CB$87,Formula!F70,60)&lt;&gt;"",INDEX(Properties!A$1:CB$87,Formula!F70,60)),IF(INDEX(Properties!A$1:CB$87,Formula!H70,60)&lt;&gt;"",INDEX(Properties!A$1:CB$87,Formula!H70,60)),IF(INDEX(Properties!A$1:CB$87,Formula!J70,60)&lt;&gt;"",INDEX(Properties!A$1:CB$87,Formula!J70,60)))</f>
        <v>6279.645720188415</v>
      </c>
      <c r="GC70" s="72">
        <f>MAX(INDEX(Properties!A$1:CB$87,Formula!B70,60),INDEX(Properties!A$1:CB$87,Formula!D70,60),INDEX(Properties!A$1:CB$87,Formula!F70,60),INDEX(Properties!A$1:CB$87,Formula!H70,60),INDEX(Properties!A$1:CB$87,Formula!J70,60))</f>
        <v>200</v>
      </c>
      <c r="GD70" s="72">
        <f>MIN(IF(INDEX(Properties!A$1:CB$87,Formula!B70,60)=0,10^6,INDEX(Properties!A$1:CB$87,Formula!B70,60)),IF(INDEX(Properties!A$1:CB$87,Formula!D70,60)=0,10^6,INDEX(Properties!A$1:CB$87,Formula!D70,60)),IF(INDEX(Properties!A$1:CB$87,Formula!F70,60)=0,10^6,INDEX(Properties!A$1:CB$87,Formula!F70,60)),IF(INDEX(Properties!A$1:CB$87,Formula!H70,60)=0,10^6,INDEX(Properties!A$1:CB$87,Formula!H70,60)),IF(INDEX(Properties!A$1:CB$87,Formula!J70,60)=0,10^6,INDEX(Properties!A$1:CB$87,Formula!J70,60)))</f>
        <v>2.674E-2</v>
      </c>
      <c r="GE70" s="72">
        <f t="shared" si="62"/>
        <v>199.97326000000001</v>
      </c>
      <c r="GF70" s="51">
        <f>((Formula!C70)/(Formula!C70+Formula!E70+Formula!G70+Formula!I70+Formula!K70))*(INDEX(Properties!A$1:CB$87,Formula!B70,62))+((Formula!E70)/(Formula!C70+Formula!E70+Formula!G70+Formula!I70+Formula!K70))*(INDEX(Properties!A$1:CB$87,Formula!D70,62))+((Formula!G70)/(Formula!C70+Formula!E70+Formula!G70+Formula!I70+Formula!K70))*(INDEX(Properties!A$1:CB$87,Formula!F70,62))+((Formula!I70)/(Formula!C70+Formula!E70+Formula!G70+Formula!I70+Formula!K70))*(INDEX(Properties!A$1:CB$87,Formula!H70,62))+((Formula!K70)/(Formula!C70+Formula!E70+Formula!G70+Formula!I70+Formula!K70))*(INDEX(Properties!A$1:CB$87,Formula!J70,62))</f>
        <v>2.601578947368421</v>
      </c>
      <c r="GG70" s="51">
        <f>Formula!C70*(INDEX(Properties!A$1:CB$87,Formula!B70,62))+Formula!E70*(INDEX(Properties!A$1:CB$87,Formula!D70,62))+Formula!G70*(INDEX(Properties!A$1:CB$87,Formula!F70,62))+Formula!I70*(INDEX(Properties!A$1:CB$87,Formula!H70,62))+Formula!K70*(INDEX(Properties!A$1:CB$87,Formula!J70,62))</f>
        <v>49.430000000000007</v>
      </c>
      <c r="GH70" s="51">
        <f>VARP(IF(INDEX(Properties!A$1:CB$87,Formula!B70,62)&lt;&gt;"",INDEX(Properties!A$1:CB$87,Formula!B70,62)),IF(INDEX(Properties!A$1:CB$87,Formula!D70,62)&lt;&gt;"",INDEX(Properties!A$1:CB$87,Formula!D70,62)),IF(INDEX(Properties!A$1:CB$87,Formula!F70,62)&lt;&gt;"",INDEX(Properties!A$1:CB$87,Formula!F70,62)),IF(INDEX(Properties!A$1:CB$87,Formula!H70,62)&lt;&gt;"",INDEX(Properties!A$1:CB$87,Formula!H70,62)),IF(INDEX(Properties!A$1:CB$87,Formula!J70,62)&lt;&gt;"",INDEX(Properties!A$1:CB$87,Formula!J70,62)))</f>
        <v>1.2972639999999995</v>
      </c>
      <c r="GI70" s="51">
        <f>MAX(INDEX(Properties!A$1:CB$87,Formula!B70,62),INDEX(Properties!A$1:CB$87,Formula!D70,62),INDEX(Properties!A$1:CB$87,Formula!F70,62),INDEX(Properties!A$1:CB$87,Formula!H70,62),INDEX(Properties!A$1:CB$87,Formula!J70,62))</f>
        <v>3.43</v>
      </c>
      <c r="GJ70" s="51">
        <f>MIN(IF(INDEX(Properties!A$1:CB$87,Formula!B70,62)=0,10^6,INDEX(Properties!A$1:CB$87,Formula!B70,62)),IF(INDEX(Properties!A$1:CB$87,Formula!D70,62)=0,10^6,INDEX(Properties!A$1:CB$87,Formula!D70,62)),IF(INDEX(Properties!A$1:CB$87,Formula!F70,62)=0,10^6,INDEX(Properties!A$1:CB$87,Formula!F70,62)),IF(INDEX(Properties!A$1:CB$87,Formula!H70,62)=0,10^6,INDEX(Properties!A$1:CB$87,Formula!H70,62)),IF(INDEX(Properties!A$1:CB$87,Formula!J70,62)=0,10^6,INDEX(Properties!A$1:CB$87,Formula!J70,62)))</f>
        <v>1.84</v>
      </c>
      <c r="GK70" s="51">
        <f t="shared" si="63"/>
        <v>1.59</v>
      </c>
      <c r="GL70" s="51">
        <f>Formula!P70</f>
        <v>220</v>
      </c>
      <c r="GM70" s="57">
        <f>Formula!O70</f>
        <v>7</v>
      </c>
      <c r="GN70" s="51">
        <f>Formula!N70</f>
        <v>0.06</v>
      </c>
    </row>
    <row r="71" spans="1:196" x14ac:dyDescent="0.3">
      <c r="A71" s="84" t="str">
        <f>Formula!A71</f>
        <v>Ca3LiSbO6</v>
      </c>
      <c r="B71" s="89">
        <f>((Formula!C71)/(Formula!C71+Formula!E71+Formula!G71+Formula!I71+Formula!K71))*(INDEX(Properties!A$1:CB$87,Formula!B71,3))+((Formula!E71)/(Formula!C71+Formula!E71+Formula!G71+Formula!I71+Formula!K71))*(INDEX(Properties!A$1:CB$87,Formula!D71,3))+((Formula!G71)/(Formula!C71+Formula!E71+Formula!G71+Formula!I71+Formula!K71))*(INDEX(Properties!A$1:CB$87,Formula!F71,3))+((Formula!I71)/(Formula!C71+Formula!E71+Formula!G71+Formula!I71+Formula!K71))*(INDEX(Properties!A$1:CB$87,Formula!H71,3))+((Formula!K71)/(Formula!C71+Formula!E71+Formula!G71+Formula!I71+Formula!K71))*(INDEX(Properties!A$1:CB$87,Formula!J71,3))</f>
        <v>31.357400000000002</v>
      </c>
      <c r="C71" s="85">
        <f>Formula!C71*(INDEX(Properties!A$1:CB$87,Formula!B71,3))+Formula!E71*(INDEX(Properties!A$1:CB$87,Formula!D71,3))+Formula!G71*(INDEX(Properties!A$1:CB$87,Formula!F71,3))+Formula!I71*(INDEX(Properties!A$1:CB$87,Formula!H71,3))+Formula!K71*(INDEX(Properties!A$1:CB$87,Formula!J71,3))</f>
        <v>344.9314</v>
      </c>
      <c r="D71" s="85">
        <f>VARP(IF(INDEX(Properties!A$1:CB$87,Formula!B71,3)&lt;&gt;"",INDEX(Properties!A$1:CB$87,Formula!B71,3)),IF(INDEX(Properties!A$1:CB$87,Formula!D71,3)&lt;&gt;"",INDEX(Properties!A$1:CB$87,Formula!D71,3)),IF(INDEX(Properties!A$1:CB$87,Formula!F71,3)&lt;&gt;"",INDEX(Properties!A$1:CB$87,Formula!F71,3)),IF(INDEX(Properties!A$1:CB$87,Formula!H71,3)&lt;&gt;"",INDEX(Properties!A$1:CB$87,Formula!H71,3)),IF(INDEX(Properties!A$1:CB$87,Formula!J71,3)&lt;&gt;"",INDEX(Properties!A$1:CB$87,Formula!J71,3)))</f>
        <v>1981.4581088095999</v>
      </c>
      <c r="E71" s="85">
        <f>MAX(INDEX(Properties!A$1:CB$87,Formula!B71,3),INDEX(Properties!A$1:CB$87,Formula!D71,3),INDEX(Properties!A$1:CB$87,Formula!F71,3),INDEX(Properties!A$1:CB$87,Formula!H71,3),INDEX(Properties!A$1:CB$87,Formula!J71,3))</f>
        <v>121.76</v>
      </c>
      <c r="F71" s="85">
        <f>MIN(IF(INDEX(Properties!A$1:CB$87,Formula!B71,3)=0,10^6,INDEX(Properties!A$1:CB$87,Formula!B71,3)),IF(INDEX(Properties!A$1:CB$87,Formula!D71,3)=0,10^6,INDEX(Properties!A$1:CB$87,Formula!D71,3)),IF(INDEX(Properties!A$1:CB$87,Formula!F71,3)=0,10^6,INDEX(Properties!A$1:CB$87,Formula!F71,3)),IF(INDEX(Properties!A$1:CB$87,Formula!H71,3)=0,10^6,INDEX(Properties!A$1:CB$87,Formula!H71,3)),IF(INDEX(Properties!A$1:CB$87,Formula!J71,3)=0,10^6,INDEX(Properties!A$1:CB$87,Formula!J71,3)))</f>
        <v>6.9409999999999998</v>
      </c>
      <c r="G71" s="85">
        <f t="shared" si="32"/>
        <v>114.819</v>
      </c>
      <c r="H71" s="87">
        <f>((Formula!C71)/(Formula!C71+Formula!E71+Formula!G71+Formula!I71+Formula!K71))*(INDEX(Properties!A$1:CB$87,Formula!B71,4))+((Formula!E71)/(Formula!C71+Formula!E71+Formula!G71+Formula!I71+Formula!K71))*(INDEX(Properties!A$1:CB$87,Formula!D71,4))+((Formula!G71)/(Formula!C71+Formula!E71+Formula!G71+Formula!I71+Formula!K71))*(INDEX(Properties!A$1:CB$87,Formula!F71,4))+((Formula!I71)/(Formula!C71+Formula!E71+Formula!G71+Formula!I71+Formula!K71))*(INDEX(Properties!A$1:CB$87,Formula!H71,4))+((Formula!K71)/(Formula!C71+Formula!E71+Formula!G71+Formula!I71+Formula!K71))*(INDEX(Properties!A$1:CB$87,Formula!J71,4))</f>
        <v>14.727272727272727</v>
      </c>
      <c r="I71" s="87">
        <f>Formula!C71*(INDEX(Properties!A$1:CB$87,Formula!B71,4))+Formula!E71*(INDEX(Properties!A$1:CB$87,Formula!D71,4))+Formula!G71*(INDEX(Properties!A$1:CB$87,Formula!F71,4))+Formula!I71*(INDEX(Properties!A$1:CB$87,Formula!H71,4))+Formula!K71*(INDEX(Properties!A$1:CB$87,Formula!J71,4))</f>
        <v>162</v>
      </c>
      <c r="J71" s="87">
        <f>VARP(IF(INDEX(Properties!A$1:CB$87,Formula!B71,4)&lt;&gt;"",INDEX(Properties!A$1:CB$87,Formula!B71,4)),IF(INDEX(Properties!A$1:CB$87,Formula!D71,4)&lt;&gt;"",INDEX(Properties!A$1:CB$87,Formula!D71,4)),IF(INDEX(Properties!A$1:CB$87,Formula!F71,4)&lt;&gt;"",INDEX(Properties!A$1:CB$87,Formula!F71,4)),IF(INDEX(Properties!A$1:CB$87,Formula!H71,4)&lt;&gt;"",INDEX(Properties!A$1:CB$87,Formula!H71,4)),IF(INDEX(Properties!A$1:CB$87,Formula!J71,4)&lt;&gt;"",INDEX(Properties!A$1:CB$87,Formula!J71,4)))</f>
        <v>345.84</v>
      </c>
      <c r="K71" s="87">
        <f>MAX(INDEX(Properties!A$1:CB$87,Formula!B71,4),INDEX(Properties!A$1:CB$87,Formula!D71,4),INDEX(Properties!A$1:CB$87,Formula!F71,4),INDEX(Properties!A$1:CB$87,Formula!H71,4),INDEX(Properties!A$1:CB$87,Formula!J71,4))</f>
        <v>51</v>
      </c>
      <c r="L71" s="87">
        <f>MIN(IF(INDEX(Properties!A$1:CB$87,Formula!B71,4)=0,10^6,INDEX(Properties!A$1:CB$87,Formula!B71,4)),IF(INDEX(Properties!A$1:CB$87,Formula!D71,4)=0,10^6,INDEX(Properties!A$1:CB$87,Formula!D71,4)),IF(INDEX(Properties!A$1:CB$87,Formula!F71,4)=0,10^6,INDEX(Properties!A$1:CB$87,Formula!F71,4)),IF(INDEX(Properties!A$1:CB$87,Formula!H71,4)=0,10^6,INDEX(Properties!A$1:CB$87,Formula!H71,4)),IF(INDEX(Properties!A$1:CB$87,Formula!J71,4)=0,10^6,INDEX(Properties!A$1:CB$87,Formula!J71,4)))</f>
        <v>3</v>
      </c>
      <c r="M71" s="87">
        <f t="shared" si="33"/>
        <v>48</v>
      </c>
      <c r="N71" s="89">
        <f>((Formula!C71)/(Formula!C71+Formula!E71+Formula!G71+Formula!I71+Formula!K71))*(INDEX(Properties!A$1:CB$87,Formula!B71,5))+((Formula!E71)/(Formula!C71+Formula!E71+Formula!G71+Formula!I71+Formula!K71))*(INDEX(Properties!A$1:CB$87,Formula!D71,5))+((Formula!G71)/(Formula!C71+Formula!E71+Formula!G71+Formula!I71+Formula!K71))*(INDEX(Properties!A$1:CB$87,Formula!F71,5))+((Formula!I71)/(Formula!C71+Formula!E71+Formula!G71+Formula!I71+Formula!K71))*(INDEX(Properties!A$1:CB$87,Formula!H71,5))+((Formula!K71)/(Formula!C71+Formula!E71+Formula!G71+Formula!I71+Formula!K71))*(INDEX(Properties!A$1:CB$87,Formula!J71,5))</f>
        <v>2.8181818181818183</v>
      </c>
      <c r="O71" s="89">
        <f>Formula!C71*(INDEX(Properties!A$1:CB$87,Formula!B71,5))+Formula!E71*(INDEX(Properties!A$1:CB$87,Formula!D71,5))+Formula!G71*(INDEX(Properties!A$1:CB$87,Formula!F71,5))+Formula!I71*(INDEX(Properties!A$1:CB$87,Formula!H71,5))+Formula!K71*(INDEX(Properties!A$1:CB$87,Formula!J71,5))</f>
        <v>31</v>
      </c>
      <c r="P71" s="89">
        <f>VARP(IF(INDEX(Properties!A$1:CB$87,Formula!B71,5)&lt;&gt;"",INDEX(Properties!A$1:CB$87,Formula!B71,5)),IF(INDEX(Properties!A$1:CB$87,Formula!D71,5)&lt;&gt;"",INDEX(Properties!A$1:CB$87,Formula!D71,5)),IF(INDEX(Properties!A$1:CB$87,Formula!F71,5)&lt;&gt;"",INDEX(Properties!A$1:CB$87,Formula!F71,5)),IF(INDEX(Properties!A$1:CB$87,Formula!H71,5)&lt;&gt;"",INDEX(Properties!A$1:CB$87,Formula!H71,5)),IF(INDEX(Properties!A$1:CB$87,Formula!J71,5)&lt;&gt;"",INDEX(Properties!A$1:CB$87,Formula!J71,5)))</f>
        <v>3.04</v>
      </c>
      <c r="Q71" s="89">
        <f>MAX(INDEX(Properties!A$1:CB$87,Formula!B71,5),INDEX(Properties!A$1:CB$87,Formula!D71,5),INDEX(Properties!A$1:CB$87,Formula!F71,5),INDEX(Properties!A$1:CB$87,Formula!H71,5),INDEX(Properties!A$1:CB$87,Formula!J71,5))</f>
        <v>5</v>
      </c>
      <c r="R71" s="89">
        <f>MIN(IF(INDEX(Properties!A$1:CB$87,Formula!B71,5)=0,10^6,INDEX(Properties!A$1:CB$87,Formula!B71,5)),IF(INDEX(Properties!A$1:CB$87,Formula!D71,5)=0,10^6,INDEX(Properties!A$1:CB$87,Formula!D71,5)),IF(INDEX(Properties!A$1:CB$87,Formula!F71,5)=0,10^6,INDEX(Properties!A$1:CB$87,Formula!F71,5)),IF(INDEX(Properties!A$1:CB$87,Formula!H71,5)=0,10^6,INDEX(Properties!A$1:CB$87,Formula!H71,5)),IF(INDEX(Properties!A$1:CB$87,Formula!J71,5)=0,10^6,INDEX(Properties!A$1:CB$87,Formula!J71,5)))</f>
        <v>2</v>
      </c>
      <c r="S71" s="89">
        <f t="shared" si="34"/>
        <v>3</v>
      </c>
      <c r="T71" s="60">
        <f>((Formula!C71)/(Formula!C71+Formula!E71+Formula!G71+Formula!I71+Formula!K71))*(INDEX(Properties!A$1:CB$87,Formula!B71,6))+((Formula!E71)/(Formula!C71+Formula!E71+Formula!G71+Formula!I71+Formula!K71))*(INDEX(Properties!A$1:CB$87,Formula!D71,6))+((Formula!G71)/(Formula!C71+Formula!E71+Formula!G71+Formula!I71+Formula!K71))*(INDEX(Properties!A$1:CB$87,Formula!F71,6))+((Formula!I71)/(Formula!C71+Formula!E71+Formula!G71+Formula!I71+Formula!K71))*(INDEX(Properties!A$1:CB$87,Formula!H71,6))+((Formula!K71)/(Formula!C71+Formula!E71+Formula!G71+Formula!I71+Formula!K71))*(INDEX(Properties!A$1:CB$87,Formula!J71,6))</f>
        <v>10.727272727272727</v>
      </c>
      <c r="U71" s="60">
        <f>Formula!C71*(INDEX(Properties!A$1:CB$87,Formula!B71,6))+Formula!E71*(INDEX(Properties!A$1:CB$87,Formula!D71,6))+Formula!G71*(INDEX(Properties!A$1:CB$87,Formula!F71,6))+Formula!I71*(INDEX(Properties!A$1:CB$87,Formula!H71,6))+Formula!K71*(INDEX(Properties!A$1:CB$87,Formula!J71,6))</f>
        <v>118</v>
      </c>
      <c r="V71" s="89">
        <f>VARP(IF(INDEX(Properties!A$1:CB$87,Formula!B71,6)&lt;&gt;"",INDEX(Properties!A$1:CB$87,Formula!B71,6)),IF(INDEX(Properties!A$1:CB$87,Formula!D71,6)&lt;&gt;"",INDEX(Properties!A$1:CB$87,Formula!D71,6)),IF(INDEX(Properties!A$1:CB$87,Formula!F71,6)&lt;&gt;"",INDEX(Properties!A$1:CB$87,Formula!F71,6)),IF(INDEX(Properties!A$1:CB$87,Formula!H71,6)&lt;&gt;"",INDEX(Properties!A$1:CB$87,Formula!H71,6)),IF(INDEX(Properties!A$1:CB$87,Formula!J71,6)&lt;&gt;"",INDEX(Properties!A$1:CB$87,Formula!J71,6)))</f>
        <v>50.96</v>
      </c>
      <c r="W71" s="60">
        <f>MAX(INDEX(Properties!A$1:CB$87,Formula!B71,6),INDEX(Properties!A$1:CB$87,Formula!D71,6),INDEX(Properties!A$1:CB$87,Formula!F71,6),INDEX(Properties!A$1:CB$87,Formula!H71,4),INDEX(Properties!A$1:CB$87,Formula!J71,6))</f>
        <v>15</v>
      </c>
      <c r="X71" s="60">
        <f>MIN(IF(INDEX(Properties!A$1:CB$87,Formula!B71,6)=0,10^6,INDEX(Properties!A$1:CB$87,Formula!B71,6)),IF(INDEX(Properties!A$1:CB$87,Formula!D71,6)=0,10^6,INDEX(Properties!A$1:CB$87,Formula!D71,6)),IF(INDEX(Properties!A$1:CB$87,Formula!F71,6)=0,10^6,INDEX(Properties!A$1:CB$87,Formula!F71,6)),IF(INDEX(Properties!A$1:CB$87,Formula!H71,6)=0,10^6,INDEX(Properties!A$1:CB$87,Formula!H71,6)),IF(INDEX(Properties!A$1:CB$87,Formula!J71,6)=0,10^6,INDEX(Properties!A$1:CB$87,Formula!J71,6)))</f>
        <v>1</v>
      </c>
      <c r="Y71" s="60">
        <f t="shared" si="35"/>
        <v>14</v>
      </c>
      <c r="Z71" s="72">
        <f>((Formula!C71)/(Formula!C71+Formula!E71+Formula!G71+Formula!I71+Formula!K71))*(INDEX(Properties!A$1:CB$87,Formula!B71,9))+((Formula!E71)/(Formula!C71+Formula!E71+Formula!G71+Formula!I71+Formula!K71))*(INDEX(Properties!A$1:CB$87,Formula!D71,9))+((Formula!G71)/(Formula!C71+Formula!E71+Formula!G71+Formula!I71+Formula!K71))*(INDEX(Properties!A$1:CB$87,Formula!F71,9))+((Formula!I71)/(Formula!C71+Formula!E71+Formula!G71+Formula!I71+Formula!K71))*(INDEX(Properties!A$1:CB$87,Formula!H71,9))+((Formula!K71)/(Formula!C71+Formula!E71+Formula!G71+Formula!I71+Formula!K71))*(INDEX(Properties!A$1:CB$87,Formula!J71,9))</f>
        <v>57.18181818181818</v>
      </c>
      <c r="AA71" s="72">
        <f>Formula!C71*(INDEX(Properties!A$1:CB$87,Formula!B71,9))+Formula!E71*(INDEX(Properties!A$1:CB$87,Formula!D71,9))+Formula!G71*(INDEX(Properties!A$1:CB$87,Formula!F71,9))+Formula!I71*(INDEX(Properties!A$1:CB$87,Formula!H71,9))+Formula!K71*(INDEX(Properties!A$1:CB$87,Formula!J71,9))</f>
        <v>629</v>
      </c>
      <c r="AB71" s="72">
        <f>VARP(IF(INDEX(Properties!A$1:CB$87,Formula!B71,9)&lt;&gt;"",INDEX(Properties!A$1:CB$87,Formula!B71,9)),IF(INDEX(Properties!A$1:CB$87,Formula!D71,9)&lt;&gt;"",INDEX(Properties!A$1:CB$87,Formula!D71,9)),IF(INDEX(Properties!A$1:CB$87,Formula!F71,9)&lt;&gt;"",INDEX(Properties!A$1:CB$87,Formula!F71,9)),IF(INDEX(Properties!A$1:CB$87,Formula!H71,9)&lt;&gt;"",INDEX(Properties!A$1:CB$87,Formula!H71,9)),IF(INDEX(Properties!A$1:CB$87,Formula!J71,9)&lt;&gt;"",INDEX(Properties!A$1:CB$87,Formula!J71,9)))</f>
        <v>1672.8</v>
      </c>
      <c r="AC71" s="72">
        <f>MAX(INDEX(Properties!A$1:CB$87,Formula!B71,9),INDEX(Properties!A$1:CB$87,Formula!D71,9),INDEX(Properties!A$1:CB$87,Formula!F71,9),INDEX(Properties!A$1:CB$87,Formula!H71,9),INDEX(Properties!A$1:CB$87,Formula!J71,9))</f>
        <v>87</v>
      </c>
      <c r="AD71" s="72">
        <f>MIN(IF(INDEX(Properties!A$1:CB$87,Formula!B71,9)=0,10^6,INDEX(Properties!A$1:CB$87,Formula!B71,9)),IF(INDEX(Properties!A$1:CB$87,Formula!D71,9)=0,10^6,INDEX(Properties!A$1:CB$87,Formula!D71,9)),IF(INDEX(Properties!A$1:CB$87,Formula!F71,9)=0,10^6,INDEX(Properties!A$1:CB$87,Formula!F71,9)),IF(INDEX(Properties!A$1:CB$87,Formula!H71,9)=0,10^6,INDEX(Properties!A$1:CB$87,Formula!H71,9)),IF(INDEX(Properties!A$1:CB$87,Formula!J71,9)=0,10^6,INDEX(Properties!A$1:CB$87,Formula!J71,9)))</f>
        <v>1</v>
      </c>
      <c r="AE71" s="72">
        <f t="shared" si="36"/>
        <v>86</v>
      </c>
      <c r="AF71" s="51">
        <f>((Formula!C71)/(Formula!C71+Formula!E71+Formula!G71+Formula!I71+Formula!K71))*(INDEX(Properties!A$1:CB$87,Formula!B71,10))+((Formula!E71)/(Formula!C71+Formula!E71+Formula!G71+Formula!I71+Formula!K71))*(INDEX(Properties!A$1:CB$87,Formula!D71,10))+((Formula!G71)/(Formula!C71+Formula!E71+Formula!G71+Formula!I71+Formula!K71))*(INDEX(Properties!A$1:CB$87,Formula!F71,10))+((Formula!I71)/(Formula!C71+Formula!E71+Formula!G71+Formula!I71+Formula!K71))*(INDEX(Properties!A$1:CB$87,Formula!H71,10))+((Formula!K71)/(Formula!C71+Formula!E71+Formula!G71+Formula!I71+Formula!K71))*(INDEX(Properties!A$1:CB$87,Formula!J71,10))</f>
        <v>5</v>
      </c>
      <c r="AG71" s="51">
        <f>Formula!C71*(INDEX(Properties!A$1:CB$87,Formula!B71,10))+Formula!E71*(INDEX(Properties!A$1:CB$87,Formula!D71,10))+Formula!G71*(INDEX(Properties!A$1:CB$87,Formula!F71,10))+Formula!I71*(INDEX(Properties!A$1:CB$87,Formula!H71,10))+Formula!K71*(INDEX(Properties!A$1:CB$87,Formula!J71,10))</f>
        <v>55</v>
      </c>
      <c r="AH71" s="51">
        <f>VARP(IF(INDEX(Properties!A$1:CB$87,Formula!B71,10)&lt;&gt;"",INDEX(Properties!A$1:CB$87,Formula!B71,10)),IF(INDEX(Properties!A$1:CB$87,Formula!D71,10)&lt;&gt;"",INDEX(Properties!A$1:CB$87,Formula!D71,10)),IF(INDEX(Properties!A$1:CB$87,Formula!F71,10)&lt;&gt;"",INDEX(Properties!A$1:CB$87,Formula!F71,10)),IF(INDEX(Properties!A$1:CB$87,Formula!H71,10)&lt;&gt;"",INDEX(Properties!A$1:CB$87,Formula!H71,10)),IF(INDEX(Properties!A$1:CB$87,Formula!J71,10)&lt;&gt;"",INDEX(Properties!A$1:CB$87,Formula!J71,10)))</f>
        <v>7.76</v>
      </c>
      <c r="AI71" s="51">
        <f>MAX(INDEX(Properties!A$1:CB$87,Formula!B71,10),INDEX(Properties!A$1:CB$87,Formula!D71,10),INDEX(Properties!A$1:CB$87,Formula!F71,10),INDEX(Properties!A$1:CB$87,Formula!H71,10),INDEX(Properties!A$1:CB$87,Formula!J71,10))</f>
        <v>7</v>
      </c>
      <c r="AJ71" s="51">
        <f>MIN(IF(INDEX(Properties!A$1:CB$87,Formula!B71,10)=0,10^6,INDEX(Properties!A$1:CB$87,Formula!B71,10)),IF(INDEX(Properties!A$1:CB$87,Formula!D71,10)=0,10^6,INDEX(Properties!A$1:CB$87,Formula!D71,10)),IF(INDEX(Properties!A$1:CB$87,Formula!F71,10)=0,10^6,INDEX(Properties!A$1:CB$87,Formula!F71,10)),IF(INDEX(Properties!A$1:CB$87,Formula!H71,10)=0,10^6,INDEX(Properties!A$1:CB$87,Formula!H71,10)),IF(INDEX(Properties!A$1:CB$87,Formula!J71,10)=0,10^6,INDEX(Properties!A$1:CB$87,Formula!J71,10)))</f>
        <v>1</v>
      </c>
      <c r="AK71" s="51">
        <f t="shared" si="37"/>
        <v>6</v>
      </c>
      <c r="AL71" s="57">
        <f>((Formula!C71)/(Formula!C71+Formula!E71+Formula!G71+Formula!I71+Formula!K71))*(INDEX(Properties!A$1:CB$87,Formula!B71,11))+((Formula!E71)/(Formula!C71+Formula!E71+Formula!G71+Formula!I71+Formula!K71))*(INDEX(Properties!A$1:CB$87,Formula!D71,11))+((Formula!G71)/(Formula!C71+Formula!E71+Formula!G71+Formula!I71+Formula!K71))*(INDEX(Properties!A$1:CB$87,Formula!F71,11))+((Formula!I71)/(Formula!C71+Formula!E71+Formula!G71+Formula!I71+Formula!K71))*(INDEX(Properties!A$1:CB$87,Formula!H71,11))+((Formula!K71)/(Formula!C71+Formula!E71+Formula!G71+Formula!I71+Formula!K71))*(INDEX(Properties!A$1:CB$87,Formula!J71,11))</f>
        <v>1.9090909090909089</v>
      </c>
      <c r="AM71" s="57">
        <f>Formula!C71*(INDEX(Properties!A$1:CB$87,Formula!B71,11))+Formula!E71*(INDEX(Properties!A$1:CB$87,Formula!D71,11))+Formula!G71*(INDEX(Properties!A$1:CB$87,Formula!F71,11))+Formula!I71*(INDEX(Properties!A$1:CB$87,Formula!H71,11))+Formula!K71*(INDEX(Properties!A$1:CB$87,Formula!J71,11))</f>
        <v>21</v>
      </c>
      <c r="AN71" s="57">
        <f>VARP(IF(INDEX(Properties!A$1:CB$87,Formula!B71,11)&lt;&gt;"",INDEX(Properties!A$1:CB$87,Formula!B71,11)),IF(INDEX(Properties!A$1:CB$87,Formula!D71,11)&lt;&gt;"",INDEX(Properties!A$1:CB$87,Formula!D71,11)),IF(INDEX(Properties!A$1:CB$87,Formula!F71,11)&lt;&gt;"",INDEX(Properties!A$1:CB$87,Formula!F71,11)),IF(INDEX(Properties!A$1:CB$87,Formula!H71,11)&lt;&gt;"",INDEX(Properties!A$1:CB$87,Formula!H71,11)),IF(INDEX(Properties!A$1:CB$87,Formula!J71,11)&lt;&gt;"",INDEX(Properties!A$1:CB$87,Formula!J71,11)))</f>
        <v>0.64</v>
      </c>
      <c r="AO71" s="57">
        <f>MAX(INDEX(Properties!A$1:CB$87,Formula!B71,11),INDEX(Properties!A$1:CB$87,Formula!D71,11),INDEX(Properties!A$1:CB$87,Formula!F71,11),INDEX(Properties!A$1:CB$87,Formula!H71,11),INDEX(Properties!A$1:CB$87,Formula!J71,11))</f>
        <v>2</v>
      </c>
      <c r="AP71" s="57">
        <f>MIN(IF(Formula!B71=87,10^6,INDEX(Properties!A$1:CB$87,Formula!B71,11)),IF((Formula!D71)=87,10^6,INDEX(Properties!A$1:CB$87,Formula!D71,11)),IF((Formula!F71)=87,10^6,INDEX(Properties!A$1:CB$87,Formula!F71,11)),IF((Formula!H71)=87,10^6,INDEX(Properties!A$1:CB$87,Formula!H71,11)),IF(Formula!J71=87,10^6,INDEX(Properties!A$1:CB$87,Formula!J71,11)))</f>
        <v>1</v>
      </c>
      <c r="AQ71" s="57">
        <f t="shared" si="38"/>
        <v>1</v>
      </c>
      <c r="AR71" s="78">
        <f>((Formula!C71)/(Formula!C71+Formula!E71+Formula!G71+Formula!I71+Formula!K71))*(INDEX(Properties!A$1:CB$87,Formula!B71,12))+((Formula!E71)/(Formula!C71+Formula!E71+Formula!G71+Formula!I71+Formula!K71))*(INDEX(Properties!A$1:CB$87,Formula!D71,12))+((Formula!G71)/(Formula!C71+Formula!E71+Formula!G71+Formula!I71+Formula!K71))*(INDEX(Properties!A$1:CB$87,Formula!F71,12))+((Formula!I71)/(Formula!C71+Formula!E71+Formula!G71+Formula!I71+Formula!K71))*(INDEX(Properties!A$1:CB$87,Formula!H71,12))+((Formula!K71)/(Formula!C71+Formula!E71+Formula!G71+Formula!I71+Formula!K71))*(INDEX(Properties!A$1:CB$87,Formula!J71,12))</f>
        <v>2.4545454545454541</v>
      </c>
      <c r="AS71" s="78">
        <f>Formula!C71*(INDEX(Properties!A$1:CB$87,Formula!B71,12))+Formula!E71*(INDEX(Properties!A$1:CB$87,Formula!D71,12))+Formula!G71*(INDEX(Properties!A$1:CB$87,Formula!F71,12))+Formula!I71*(INDEX(Properties!A$1:CB$87,Formula!H71,12))+Formula!K71*(INDEX(Properties!A$1:CB$87,Formula!J71,12))</f>
        <v>27</v>
      </c>
      <c r="AT71" s="78">
        <f>VARP(IF(INDEX(Properties!A$1:CB$87,Formula!B71,12)&lt;&gt;"",INDEX(Properties!A$1:CB$87,Formula!B71,12)),IF(INDEX(Properties!A$1:CB$87,Formula!D71,12)&lt;&gt;"",INDEX(Properties!A$1:CB$87,Formula!D71,12)),IF(INDEX(Properties!A$1:CB$87,Formula!F71,12)&lt;&gt;"",INDEX(Properties!A$1:CB$87,Formula!F71,12)),IF(INDEX(Properties!A$1:CB$87,Formula!H71,12)&lt;&gt;"",INDEX(Properties!A$1:CB$87,Formula!H71,12)),IF(INDEX(Properties!A$1:CB$87,Formula!J71,12)&lt;&gt;"",INDEX(Properties!A$1:CB$87,Formula!J71,12)))</f>
        <v>3.04</v>
      </c>
      <c r="AU71" s="78">
        <f>MAX(INDEX(Properties!A$1:CB$87,Formula!B71,12),INDEX(Properties!A$1:CB$87,Formula!D71,12),INDEX(Properties!A$1:CB$87,Formula!F71,12),INDEX(Properties!A$1:CB$87,Formula!H71,12),INDEX(Properties!A$1:CB$87,Formula!J71,12))</f>
        <v>4</v>
      </c>
      <c r="AV71" s="78">
        <f>MIN(IF(Formula!B71=87,10^6,INDEX(Properties!A$1:CB$87,Formula!B71,12)),IF((Formula!D71)=87,10^6,INDEX(Properties!A$1:CB$87,Formula!D71,12)),IF((Formula!F71)=87,10^6,INDEX(Properties!A$1:CB$87,Formula!F71,12)),IF((Formula!H71)=87,10^6,INDEX(Properties!A$1:CB$87,Formula!H71,12)),IF(Formula!J71=87,10^6,INDEX(Properties!A$1:CB$87,Formula!J71,12)))</f>
        <v>0</v>
      </c>
      <c r="AW71" s="78">
        <f t="shared" si="39"/>
        <v>4</v>
      </c>
      <c r="AX71" s="45">
        <f>((Formula!C71)/(Formula!C71+Formula!E71+Formula!G71+Formula!I71+Formula!K71))*(INDEX(Properties!A$1:CB$87,Formula!B71,13))+((Formula!E71)/(Formula!C71+Formula!E71+Formula!G71+Formula!I71+Formula!K71))*(INDEX(Properties!A$1:CB$87,Formula!D71,13))+((Formula!G71)/(Formula!C71+Formula!E71+Formula!G71+Formula!I71+Formula!K71))*(INDEX(Properties!A$1:CB$87,Formula!F71,13))+((Formula!I71)/(Formula!C71+Formula!E71+Formula!G71+Formula!I71+Formula!K71))*(INDEX(Properties!A$1:CB$87,Formula!H71,13))+((Formula!K71)/(Formula!C71+Formula!E71+Formula!G71+Formula!I71+Formula!K71))*(INDEX(Properties!A$1:CB$87,Formula!J71,13))</f>
        <v>0.90909090909090917</v>
      </c>
      <c r="AY71" s="45">
        <f>Formula!C71*(INDEX(Properties!A$1:CB$87,Formula!B71,13))+Formula!E71*(INDEX(Properties!A$1:CB$87,Formula!D71,13))+Formula!G71*(INDEX(Properties!A$1:CB$87,Formula!F71,13))+Formula!I71*(INDEX(Properties!A$1:CB$87,Formula!H71,13))+Formula!K71*(INDEX(Properties!A$1:CB$87,Formula!J71,13))</f>
        <v>10</v>
      </c>
      <c r="AZ71" s="45">
        <f>VARP(IF(INDEX(Properties!A$1:CB$87,Formula!B71,13)&lt;&gt;"",INDEX(Properties!A$1:CB$87,Formula!B71,13)),IF(INDEX(Properties!A$1:CB$87,Formula!D71,13)&lt;&gt;"",INDEX(Properties!A$1:CB$87,Formula!D71,13)),IF(INDEX(Properties!A$1:CB$87,Formula!F71,13)&lt;&gt;"",INDEX(Properties!A$1:CB$87,Formula!F71,13)),IF(INDEX(Properties!A$1:CB$87,Formula!H71,13)&lt;&gt;"",INDEX(Properties!A$1:CB$87,Formula!H71,13)),IF(INDEX(Properties!A$1:CB$87,Formula!J71,13)&lt;&gt;"",INDEX(Properties!A$1:CB$87,Formula!J71,13)))</f>
        <v>16</v>
      </c>
      <c r="BA71" s="45">
        <f>MAX(INDEX(Properties!A$1:CB$87,Formula!B71,13),INDEX(Properties!A$1:CB$87,Formula!D71,13),INDEX(Properties!A$1:CB$87,Formula!F71,13),INDEX(Properties!A$1:CB$87,Formula!H71,13),INDEX(Properties!A$1:CB$87,Formula!J71,13))</f>
        <v>10</v>
      </c>
      <c r="BB71" s="45">
        <f>MIN(IF(Formula!B71=87,10^6,INDEX(Properties!A$1:CB$87,Formula!B71,13)),IF((Formula!D71)=87,10^6,INDEX(Properties!A$1:CB$87,Formula!D71,13)),IF((Formula!F71)=87,10^6,INDEX(Properties!A$1:CB$87,Formula!F71,13)),IF((Formula!H71)=87,10^6,INDEX(Properties!A$1:CB$87,Formula!H71,13)),IF(Formula!J71=87,10^6,INDEX(Properties!A$1:CB$87,Formula!J71,13)))</f>
        <v>0</v>
      </c>
      <c r="BC71" s="45">
        <f t="shared" si="40"/>
        <v>10</v>
      </c>
      <c r="BD71" s="63">
        <f>((Formula!C71)/(Formula!C71+Formula!E71+Formula!G71+Formula!I71+Formula!K71))*(INDEX(Properties!A$1:CB$87,Formula!B71,14))+((Formula!E71)/(Formula!C71+Formula!E71+Formula!G71+Formula!I71+Formula!K71))*(INDEX(Properties!A$1:CB$87,Formula!D71,14))+((Formula!G71)/(Formula!C71+Formula!E71+Formula!G71+Formula!I71+Formula!K71))*(INDEX(Properties!A$1:CB$87,Formula!F71,14))+((Formula!I71)/(Formula!C71+Formula!E71+Formula!G71+Formula!I71+Formula!K71))*(INDEX(Properties!A$1:CB$87,Formula!H71,14))+((Formula!K71)/(Formula!C71+Formula!E71+Formula!G71+Formula!I71+Formula!K71))*(INDEX(Properties!A$1:CB$87,Formula!J71,14))</f>
        <v>0</v>
      </c>
      <c r="BE71" s="63">
        <f>Formula!C71*(INDEX(Properties!A$1:CB$87,Formula!B71,14))+Formula!E71*(INDEX(Properties!A$1:CB$87,Formula!D71,14))+Formula!G71*(INDEX(Properties!A$1:CB$87,Formula!F71,14))+Formula!I71*(INDEX(Properties!A$1:CB$87,Formula!H71,14))+Formula!K71*(INDEX(Properties!A$1:CB$87,Formula!J71,14))</f>
        <v>0</v>
      </c>
      <c r="BF71" s="63">
        <f>VARP(IF(INDEX(Properties!A$1:CB$87,Formula!B71,14)&lt;&gt;"",INDEX(Properties!A$1:CB$87,Formula!B71,14)),IF(INDEX(Properties!A$1:CB$87,Formula!D71,14)&lt;&gt;"",INDEX(Properties!A$1:CB$87,Formula!D71,14)),IF(INDEX(Properties!A$1:CB$87,Formula!F71,14)&lt;&gt;"",INDEX(Properties!A$1:CB$87,Formula!F71,14)),IF(INDEX(Properties!A$1:CB$87,Formula!H71,14)&lt;&gt;"",INDEX(Properties!A$1:CB$87,Formula!H71,14)),IF(INDEX(Properties!A$1:CB$87,Formula!J71,14)&lt;&gt;"",INDEX(Properties!A$1:CB$87,Formula!J71,14)))</f>
        <v>0</v>
      </c>
      <c r="BG71" s="63">
        <f>MAX(INDEX(Properties!A$1:CB$87,Formula!B71,14),INDEX(Properties!A$1:CB$87,Formula!D71,14),INDEX(Properties!A$1:CB$87,Formula!F71,14),INDEX(Properties!A$1:CB$87,Formula!H71,14),INDEX(Properties!A$1:CB$87,Formula!J71,14))</f>
        <v>0</v>
      </c>
      <c r="BH71" s="63">
        <f>MIN(IF(Formula!B71=87,10^6,INDEX(Properties!A$1:CB$87,Formula!B71,14)),IF((Formula!D71)=87,10^6,INDEX(Properties!A$1:CB$87,Formula!D71,14)),IF((Formula!F71)=87,10^6,INDEX(Properties!A$1:CB$87,Formula!F71,14)),IF((Formula!H71)=87,10^6,INDEX(Properties!A$1:CB$87,Formula!H71,14)),IF(Formula!J71=87,10^6,INDEX(Properties!A$1:CB$87,Formula!J71,14)))</f>
        <v>0</v>
      </c>
      <c r="BI71" s="63">
        <f t="shared" si="41"/>
        <v>0</v>
      </c>
      <c r="BJ71" s="75">
        <f>((Formula!C71)/(Formula!C71+Formula!E71+Formula!G71+Formula!I71+Formula!K71))*(INDEX(Properties!A$1:CB$87,Formula!B71,19))+((Formula!E71)/(Formula!C71+Formula!E71+Formula!G71+Formula!I71+Formula!K71))*(INDEX(Properties!A$1:CB$87,Formula!D71,19))+((Formula!G71)/(Formula!C71+Formula!E71+Formula!G71+Formula!I71+Formula!K71))*(INDEX(Properties!A$1:CB$87,Formula!F71,19))+((Formula!I71)/(Formula!C71+Formula!E71+Formula!G71+Formula!I71+Formula!K71))*(INDEX(Properties!A$1:CB$87,Formula!H71,19))+((Formula!K71)/(Formula!C71+Formula!E71+Formula!G71+Formula!I71+Formula!K71))*(INDEX(Properties!A$1:CB$87,Formula!J71,19))</f>
        <v>5.2727272727272725</v>
      </c>
      <c r="BK71" s="75">
        <f>Formula!C71*(INDEX(Properties!A$1:CB$87,Formula!B71,19))+Formula!E71*(INDEX(Properties!A$1:CB$87,Formula!D71,19))+Formula!G71*(INDEX(Properties!A$1:CB$87,Formula!F71,19))+Formula!I71*(INDEX(Properties!A$1:CB$87,Formula!H71,19))+Formula!K71*(INDEX(Properties!A$1:CB$87,Formula!J71,19))</f>
        <v>58</v>
      </c>
      <c r="BL71" s="75">
        <f>VARP(IF(INDEX(Properties!A$1:CB$87,Formula!B71,19)&lt;&gt;"",INDEX(Properties!A$1:CB$87,Formula!B71,19)),IF(INDEX(Properties!A$1:CB$87,Formula!D71,19)&lt;&gt;"",INDEX(Properties!A$1:CB$87,Formula!D71,19)),IF(INDEX(Properties!A$1:CB$87,Formula!F71,19)&lt;&gt;"",INDEX(Properties!A$1:CB$87,Formula!F71,19)),IF(INDEX(Properties!A$1:CB$87,Formula!H71,19)&lt;&gt;"",INDEX(Properties!A$1:CB$87,Formula!H71,19)),IF(INDEX(Properties!A$1:CB$87,Formula!J71,19)&lt;&gt;"",INDEX(Properties!A$1:CB$87,Formula!J71,19)))</f>
        <v>30.16</v>
      </c>
      <c r="BM71" s="75">
        <f>MAX(INDEX(Properties!A$1:CB$87,Formula!B71,19),INDEX(Properties!A$1:CB$87,Formula!D71,19),INDEX(Properties!A$1:CB$87,Formula!F71,19),INDEX(Properties!A$1:CB$87,Formula!H71,19),INDEX(Properties!A$1:CB$87,Formula!J71,19))</f>
        <v>15</v>
      </c>
      <c r="BN71" s="75">
        <f>MIN(IF(INDEX(Properties!A$1:CB$87,Formula!B71,19)=0,10^6,INDEX(Properties!A$1:CB$87,Formula!B71,19)),IF(INDEX(Properties!A$1:CB$87,Formula!D71,19)=0,10^6,INDEX(Properties!A$1:CB$87,Formula!D71,19)),IF(INDEX(Properties!A$1:CB$87,Formula!F71,19)=0,10^6,INDEX(Properties!A$1:CB$87,Formula!F71,19)),IF(INDEX(Properties!A$1:CB$87,Formula!H71,19)=0,10^6,INDEX(Properties!A$1:CB$87,Formula!H71,19)),IF(INDEX(Properties!A$1:CB$87,Formula!J71,19)=0,10^6,INDEX(Properties!A$1:CB$87,Formula!J71,19)))</f>
        <v>1</v>
      </c>
      <c r="BO71" s="75">
        <f t="shared" si="42"/>
        <v>14</v>
      </c>
      <c r="BP71" s="48">
        <f>((Formula!C71)/(Formula!C71+Formula!E71+Formula!G71+Formula!I71+Formula!K71))*(INDEX(Properties!A$1:CB$87,Formula!B71,20))+((Formula!E71)/(Formula!C71+Formula!E71+Formula!G71+Formula!I71+Formula!K71))*(INDEX(Properties!A$1:CB$87,Formula!D71,20))+((Formula!G71)/(Formula!C71+Formula!E71+Formula!G71+Formula!I71+Formula!K71))*(INDEX(Properties!A$1:CB$87,Formula!F71,20))+((Formula!I71)/(Formula!C71+Formula!E71+Formula!G71+Formula!I71+Formula!K71))*(INDEX(Properties!A$1:CB$87,Formula!H71,20))+((Formula!K71)/(Formula!C71+Formula!E71+Formula!G71+Formula!I71+Formula!K71))*(INDEX(Properties!A$1:CB$87,Formula!J71,20))</f>
        <v>4.3636363636363633</v>
      </c>
      <c r="BQ71" s="48">
        <f>Formula!C71*(INDEX(Properties!A$1:CB$87,Formula!B71,20))+Formula!E71*(INDEX(Properties!A$1:CB$87,Formula!D71,20))+Formula!G71*(INDEX(Properties!A$1:CB$87,Formula!F71,20))+Formula!I71*(INDEX(Properties!A$1:CB$87,Formula!H71,20))+Formula!K71*(INDEX(Properties!A$1:CB$87,Formula!J71,20))</f>
        <v>48</v>
      </c>
      <c r="BR71" s="48">
        <f>VARP(IF(INDEX(Properties!A$1:CB$87,Formula!B71,20)&lt;&gt;"",INDEX(Properties!A$1:CB$87,Formula!B71,20)),IF(INDEX(Properties!A$1:CB$87,Formula!D71,20)&lt;&gt;"",INDEX(Properties!A$1:CB$87,Formula!D71,20)),IF(INDEX(Properties!A$1:CB$87,Formula!F71,20)&lt;&gt;"",INDEX(Properties!A$1:CB$87,Formula!F71,20)),IF(INDEX(Properties!A$1:CB$87,Formula!H71,20)&lt;&gt;"",INDEX(Properties!A$1:CB$87,Formula!H71,20)),IF(INDEX(Properties!A$1:CB$87,Formula!J71,20)&lt;&gt;"",INDEX(Properties!A$1:CB$87,Formula!J71,20)))</f>
        <v>5.36</v>
      </c>
      <c r="BS71" s="48">
        <f>MAX(INDEX(Properties!A$1:CB$87,Formula!B71,20),INDEX(Properties!A$1:CB$87,Formula!D71,20),INDEX(Properties!A$1:CB$87,Formula!F71,20),INDEX(Properties!A$1:CB$87,Formula!H71,20),INDEX(Properties!A$1:CB$87,Formula!J71,20))</f>
        <v>6</v>
      </c>
      <c r="BT71" s="48">
        <f>MIN(IF(INDEX(Properties!A$1:CB$87,Formula!B71,20)=0,10^6,INDEX(Properties!A$1:CB$87,Formula!B71,20)),IF(INDEX(Properties!A$1:CB$87,Formula!D71,20)=0,10^6,INDEX(Properties!A$1:CB$87,Formula!D71,20)),IF(INDEX(Properties!A$1:CB$87,Formula!F71,20)=0,10^6,INDEX(Properties!A$1:CB$87,Formula!F71,20)),IF(INDEX(Properties!A$1:CB$87,Formula!H71,20)=0,10^6,INDEX(Properties!A$1:CB$87,Formula!H71,20)),IF(INDEX(Properties!A$1:CB$87,Formula!J71,20)=0,10^6,INDEX(Properties!A$1:CB$87,Formula!J71,20)))</f>
        <v>1</v>
      </c>
      <c r="BU71" s="48">
        <f t="shared" si="43"/>
        <v>5</v>
      </c>
      <c r="BV71" s="66">
        <f>((Formula!C71)/(Formula!C71+Formula!E71+Formula!G71+Formula!I71+Formula!K71))*(INDEX(Properties!A$1:CB$87,Formula!B71,21))+((Formula!E71)/(Formula!C71+Formula!E71+Formula!G71+Formula!I71+Formula!K71))*(INDEX(Properties!A$1:CB$87,Formula!D71,21))+((Formula!G71)/(Formula!C71+Formula!E71+Formula!G71+Formula!I71+Formula!K71))*(INDEX(Properties!A$1:CB$87,Formula!F71,21))+((Formula!I71)/(Formula!C71+Formula!E71+Formula!G71+Formula!I71+Formula!K71))*(INDEX(Properties!A$1:CB$87,Formula!H71,21))+((Formula!K71)/(Formula!C71+Formula!E71+Formula!G71+Formula!I71+Formula!K71))*(INDEX(Properties!A$1:CB$87,Formula!J71,21))</f>
        <v>4.3636363636363633</v>
      </c>
      <c r="BW71" s="66">
        <f>Formula!C71*(INDEX(Properties!A$1:CB$87,Formula!B71,21))+Formula!E71*(INDEX(Properties!A$1:CB$87,Formula!D71,21))+Formula!G71*(INDEX(Properties!A$1:CB$87,Formula!F71,21))+Formula!I71*(INDEX(Properties!A$1:CB$87,Formula!H71,21))+Formula!K71*(INDEX(Properties!A$1:CB$87,Formula!J71,21))</f>
        <v>48</v>
      </c>
      <c r="BX71" s="66">
        <f>VARP(IF(INDEX(Properties!A$1:CB$87,Formula!B71,21)&lt;&gt;"",INDEX(Properties!A$1:CB$87,Formula!B71,21)),IF(INDEX(Properties!A$1:CB$87,Formula!D71,21)&lt;&gt;"",INDEX(Properties!A$1:CB$87,Formula!D71,21)),IF(INDEX(Properties!A$1:CB$87,Formula!F71,21)&lt;&gt;"",INDEX(Properties!A$1:CB$87,Formula!F71,21)),IF(INDEX(Properties!A$1:CB$87,Formula!H71,21)&lt;&gt;"",INDEX(Properties!A$1:CB$87,Formula!H71,21)),IF(INDEX(Properties!A$1:CB$87,Formula!J71,21)&lt;&gt;"",INDEX(Properties!A$1:CB$87,Formula!J71,21)))</f>
        <v>5.36</v>
      </c>
      <c r="BY71" s="66">
        <f>MAX(INDEX(Properties!A$1:CB$87,Formula!B71,21),INDEX(Properties!A$1:CB$87,Formula!D71,21),INDEX(Properties!A$1:CB$87,Formula!F71,21),INDEX(Properties!A$1:CB$87,Formula!H71,21),INDEX(Properties!A$1:CB$87,Formula!J71,21))</f>
        <v>6</v>
      </c>
      <c r="BZ71" s="66">
        <f>MIN(IF(INDEX(Properties!A$1:CB$87,Formula!B71,21)=0,10^6,INDEX(Properties!A$1:CB$87,Formula!B71,21)),IF(INDEX(Properties!A$1:CB$87,Formula!D71,21)=0,10^6,INDEX(Properties!A$1:CB$87,Formula!D71,21)),IF(INDEX(Properties!A$1:CB$87,Formula!F71,21)=0,10^6,INDEX(Properties!A$1:CB$87,Formula!F71,21)),IF(INDEX(Properties!A$1:CB$87,Formula!H71,21)=0,10^6,INDEX(Properties!A$1:CB$87,Formula!H71,21)),IF(INDEX(Properties!A$1:CB$87,Formula!J71,21)=0,10^6,INDEX(Properties!A$1:CB$87,Formula!J71,21)))</f>
        <v>1</v>
      </c>
      <c r="CA71" s="66">
        <f t="shared" si="44"/>
        <v>5</v>
      </c>
      <c r="CB71" s="81">
        <f>((Formula!C71)/(Formula!C71+Formula!E71+Formula!G71+Formula!I71+Formula!K71))*(INDEX(Properties!A$1:CB$87,Formula!B71,23))+((Formula!E71)/(Formula!C71+Formula!E71+Formula!G71+Formula!I71+Formula!K71))*(INDEX(Properties!A$1:CB$87,Formula!D71,23))+((Formula!G71)/(Formula!C71+Formula!E71+Formula!G71+Formula!I71+Formula!K71))*(INDEX(Properties!A$1:CB$87,Formula!F71,23))+((Formula!I71)/(Formula!C71+Formula!E71+Formula!G71+Formula!I71+Formula!K71))*(INDEX(Properties!A$1:CB$87,Formula!H71,23))+((Formula!K71)/(Formula!C71+Formula!E71+Formula!G71+Formula!I71+Formula!K71))*(INDEX(Properties!A$1:CB$87,Formula!J71,23))</f>
        <v>0.90909090909090906</v>
      </c>
      <c r="CC71" s="81">
        <f>Formula!C71*(INDEX(Properties!A$1:CB$87,Formula!B71,23))+Formula!E71*(INDEX(Properties!A$1:CB$87,Formula!D71,23))+Formula!G71*(INDEX(Properties!A$1:CB$87,Formula!F71,23))+Formula!I71*(INDEX(Properties!A$1:CB$87,Formula!H71,23))+Formula!K71*(INDEX(Properties!A$1:CB$87,Formula!J71,23))</f>
        <v>10</v>
      </c>
      <c r="CD71" s="81">
        <f>VARP(IF(INDEX(Properties!A$1:CB$87,Formula!B71,23)&lt;&gt;"",INDEX(Properties!A$1:CB$87,Formula!B71,23)),IF(INDEX(Properties!A$1:CB$87,Formula!D71,23)&lt;&gt;"",INDEX(Properties!A$1:CB$87,Formula!D71,23)),IF(INDEX(Properties!A$1:CB$87,Formula!F71,23)&lt;&gt;"",INDEX(Properties!A$1:CB$87,Formula!F71,23)),IF(INDEX(Properties!A$1:CB$87,Formula!H71,23)&lt;&gt;"",INDEX(Properties!A$1:CB$87,Formula!H71,23)),IF(INDEX(Properties!A$1:CB$87,Formula!J71,23)&lt;&gt;"",INDEX(Properties!A$1:CB$87,Formula!J71,23)))</f>
        <v>1.36</v>
      </c>
      <c r="CE71" s="81">
        <f>MAX(INDEX(Properties!A$1:CB$87,Formula!B71,23),INDEX(Properties!A$1:CB$87,Formula!D71,23),INDEX(Properties!A$1:CB$87,Formula!F71,23),INDEX(Properties!A$1:CB$87,Formula!H71,23),INDEX(Properties!A$1:CB$87,Formula!J71,23))</f>
        <v>3</v>
      </c>
      <c r="CF71" s="81">
        <f>MIN(IF(Formula!B71=87,10^6,INDEX(Properties!A$1:CB$87,Formula!B71,23)),IF((Formula!D71)=87,10^6,INDEX(Properties!A$1:CB$87,Formula!D71,23)),IF((Formula!F71)=87,10^6,INDEX(Properties!A$1:CB$87,Formula!F71,23)),IF((Formula!H71)=87,10^6,INDEX(Properties!A$1:CB$87,Formula!H71,23)),IF(Formula!J71=87,10^6,INDEX(Properties!A$1:CB$87,Formula!J71,23)))</f>
        <v>0</v>
      </c>
      <c r="CG71" s="81">
        <f t="shared" si="45"/>
        <v>3</v>
      </c>
      <c r="CH71" s="39">
        <f>((Formula!C71)/(Formula!C71+Formula!E71+Formula!G71+Formula!I71+Formula!K71))*(INDEX(Properties!A$1:CB$87,Formula!B71,26))+((Formula!E71)/(Formula!C71+Formula!E71+Formula!G71+Formula!I71+Formula!K71))*(INDEX(Properties!A$1:CB$87,Formula!D71,26))+((Formula!G71)/(Formula!C71+Formula!E71+Formula!G71+Formula!I71+Formula!K71))*(INDEX(Properties!A$1:CB$87,Formula!F71,26))+((Formula!I71)/(Formula!C71+Formula!E71+Formula!G71+Formula!I71+Formula!K71))*(INDEX(Properties!A$1:CB$87,Formula!H71,26))+((Formula!K71)/(Formula!C71+Formula!E71+Formula!G71+Formula!I71+Formula!K71))*(INDEX(Properties!A$1:CB$87,Formula!J71,26))</f>
        <v>10.368027272727272</v>
      </c>
      <c r="CI71" s="39">
        <f>Formula!C71*(INDEX(Properties!A$1:CB$87,Formula!B71,26))+Formula!E71*(INDEX(Properties!A$1:CB$87,Formula!D71,26))+Formula!G71*(INDEX(Properties!A$1:CB$87,Formula!F71,26))+Formula!I71*(INDEX(Properties!A$1:CB$87,Formula!H71,26))+Formula!K71*(INDEX(Properties!A$1:CB$87,Formula!J71,26))</f>
        <v>114.04830000000001</v>
      </c>
      <c r="CJ71" s="39">
        <f>VARP(IF(INDEX(Properties!A$1:CB$87,Formula!B71,26)&lt;&gt;"",INDEX(Properties!A$1:CB$87,Formula!B71,26)),IF(INDEX(Properties!A$1:CB$87,Formula!D71,26)&lt;&gt;"",INDEX(Properties!A$1:CB$87,Formula!D71,26)),IF(INDEX(Properties!A$1:CB$87,Formula!F71,26)&lt;&gt;"",INDEX(Properties!A$1:CB$87,Formula!F71,26)),IF(INDEX(Properties!A$1:CB$87,Formula!H71,26)&lt;&gt;"",INDEX(Properties!A$1:CB$87,Formula!H71,26)),IF(INDEX(Properties!A$1:CB$87,Formula!J71,26)&lt;&gt;"",INDEX(Properties!A$1:CB$87,Formula!J71,26)))</f>
        <v>19.687474421600001</v>
      </c>
      <c r="CK71" s="39">
        <f>MAX(INDEX(Properties!A$1:CB$87,Formula!B71,26),INDEX(Properties!A$1:CB$87,Formula!D71,26),INDEX(Properties!A$1:CB$87,Formula!F71,26),INDEX(Properties!A$1:CB$87,Formula!H71,26),INDEX(Properties!A$1:CB$87,Formula!J71,26))</f>
        <v>13.6181</v>
      </c>
      <c r="CL71" s="39">
        <f>MIN(IF(INDEX(Properties!A$1:CB$87,Formula!B71,26)=0,10^6,INDEX(Properties!A$1:CB$87,Formula!B71,26)),IF(INDEX(Properties!A$1:CB$87,Formula!D71,26)=0,10^6,INDEX(Properties!A$1:CB$87,Formula!D71,26)),IF(INDEX(Properties!A$1:CB$87,Formula!F71,26)=0,10^6,INDEX(Properties!A$1:CB$87,Formula!F71,26)),IF(INDEX(Properties!A$1:CB$87,Formula!H71,26)=0,10^6,INDEX(Properties!A$1:CB$87,Formula!H71,26)),IF(INDEX(Properties!A$1:CB$87,Formula!J71,26)=0,10^6,INDEX(Properties!A$1:CB$87,Formula!J71,26)))</f>
        <v>5.3917000000000002</v>
      </c>
      <c r="CM71" s="39">
        <f t="shared" si="46"/>
        <v>8.2263999999999999</v>
      </c>
      <c r="CN71" s="54">
        <f>((Formula!C71)/(Formula!C71+Formula!E71+Formula!G71+Formula!I71+Formula!K71))*(INDEX(Properties!A$1:CB$87,Formula!B71,30))+((Formula!E71)/(Formula!C71+Formula!E71+Formula!G71+Formula!I71+Formula!K71))*(INDEX(Properties!A$1:CB$87,Formula!D71,30))+((Formula!G71)/(Formula!C71+Formula!E71+Formula!G71+Formula!I71+Formula!K71))*(INDEX(Properties!A$1:CB$87,Formula!F71,30))+((Formula!I71)/(Formula!C71+Formula!E71+Formula!G71+Formula!I71+Formula!K71))*(INDEX(Properties!A$1:CB$87,Formula!H71,30))+((Formula!K71)/(Formula!C71+Formula!E71+Formula!G71+Formula!I71+Formula!K71))*(INDEX(Properties!A$1:CB$87,Formula!J71,30))</f>
        <v>2.4245454545454543</v>
      </c>
      <c r="CO71" s="54">
        <f>Formula!C71*(INDEX(Properties!A$1:CB$87,Formula!B71,30))+Formula!E71*(INDEX(Properties!A$1:CB$87,Formula!D71,30))+Formula!G71*(INDEX(Properties!A$1:CB$87,Formula!F71,30))+Formula!I71*(INDEX(Properties!A$1:CB$87,Formula!H71,30))+Formula!K71*(INDEX(Properties!A$1:CB$87,Formula!J71,30))</f>
        <v>26.67</v>
      </c>
      <c r="CP71" s="54">
        <f>VARP(IF(INDEX(Properties!A$1:CB$87,Formula!B71,30)&lt;&gt;"",INDEX(Properties!A$1:CB$87,Formula!B71,30)),IF(INDEX(Properties!A$1:CB$87,Formula!D71,30)&lt;&gt;"",INDEX(Properties!A$1:CB$87,Formula!D71,30)),IF(INDEX(Properties!A$1:CB$87,Formula!F71,30)&lt;&gt;"",INDEX(Properties!A$1:CB$87,Formula!F71,30)),IF(INDEX(Properties!A$1:CB$87,Formula!H71,30)&lt;&gt;"",INDEX(Properties!A$1:CB$87,Formula!H71,30)),IF(INDEX(Properties!A$1:CB$87,Formula!J71,30)&lt;&gt;"",INDEX(Properties!A$1:CB$87,Formula!J71,30)))</f>
        <v>1.367264</v>
      </c>
      <c r="CQ71" s="54">
        <f>MAX(INDEX(Properties!A$1:CB$87,Formula!B71,30),INDEX(Properties!A$1:CB$87,Formula!D71,30),INDEX(Properties!A$1:CB$87,Formula!F71,30),INDEX(Properties!A$1:CB$87,Formula!H71,30),INDEX(Properties!A$1:CB$87,Formula!J71,30))</f>
        <v>3.44</v>
      </c>
      <c r="CR71" s="54">
        <f>MIN(IF(INDEX(Properties!A$1:CB$87,Formula!B71,30)=0,10^6,INDEX(Properties!A$1:CB$87,Formula!B71,30)),IF(INDEX(Properties!A$1:CB$87,Formula!D71,30)=0,10^6,INDEX(Properties!A$1:CB$87,Formula!D71,30)),IF(INDEX(Properties!A$1:CB$87,Formula!F71,30)=0,10^6,INDEX(Properties!A$1:CB$87,Formula!F71,30)),IF(INDEX(Properties!A$1:CB$87,Formula!H71,30)=0,10^6,INDEX(Properties!A$1:CB$87,Formula!H71,30)),IF(INDEX(Properties!A$1:CB$87,Formula!J71,30)=0,10^6,INDEX(Properties!A$1:CB$87,Formula!J71,30)))</f>
        <v>0.98</v>
      </c>
      <c r="CS71" s="54">
        <f t="shared" si="47"/>
        <v>2.46</v>
      </c>
      <c r="CT71" s="69">
        <f>((Formula!C71)/(Formula!C71+Formula!E71+Formula!G71+Formula!I71+Formula!K71))*(INDEX(Properties!A$1:CB$87,Formula!B71,31))+((Formula!E71)/(Formula!C71+Formula!E71+Formula!G71+Formula!I71+Formula!K71))*(INDEX(Properties!A$1:CB$87,Formula!D71,31))+((Formula!G71)/(Formula!C71+Formula!E71+Formula!G71+Formula!I71+Formula!K71))*(INDEX(Properties!A$1:CB$87,Formula!F71,31))+((Formula!I71)/(Formula!C71+Formula!E71+Formula!G71+Formula!I71+Formula!K71))*(INDEX(Properties!A$1:CB$87,Formula!H71,31))+((Formula!K71)/(Formula!C71+Formula!E71+Formula!G71+Formula!I71+Formula!K71))*(INDEX(Properties!A$1:CB$87,Formula!J71,31))</f>
        <v>2.4063636363636363</v>
      </c>
      <c r="CU71" s="69">
        <f>Formula!C71*(INDEX(Properties!A$1:CB$87,Formula!B71,31))+Formula!E71*(INDEX(Properties!A$1:CB$87,Formula!D71,31))+Formula!G71*(INDEX(Properties!A$1:CB$87,Formula!F71,31))+Formula!I71*(INDEX(Properties!A$1:CB$87,Formula!H71,31))+Formula!K71*(INDEX(Properties!A$1:CB$87,Formula!J71,31))</f>
        <v>26.47</v>
      </c>
      <c r="CV71" s="69">
        <f>VARP(IF(INDEX(Properties!A$1:CB$87,Formula!B71,31)&lt;&gt;"",INDEX(Properties!A$1:CB$87,Formula!B71,31)),IF(INDEX(Properties!A$1:CB$87,Formula!D71,31)&lt;&gt;"",INDEX(Properties!A$1:CB$87,Formula!D71,31)),IF(INDEX(Properties!A$1:CB$87,Formula!F71,31)&lt;&gt;"",INDEX(Properties!A$1:CB$87,Formula!F71,31)),IF(INDEX(Properties!A$1:CB$87,Formula!H71,31)&lt;&gt;"",INDEX(Properties!A$1:CB$87,Formula!H71,31)),IF(INDEX(Properties!A$1:CB$87,Formula!J71,31)&lt;&gt;"",INDEX(Properties!A$1:CB$87,Formula!J71,31)))</f>
        <v>1.2881440000000004</v>
      </c>
      <c r="CW71" s="69">
        <f>MAX(INDEX(Properties!A$1:CB$87,Formula!B71,31),INDEX(Properties!A$1:CB$87,Formula!D71,31),INDEX(Properties!A$1:CB$87,Formula!F71,31),INDEX(Properties!A$1:CB$87,Formula!H71,31),INDEX(Properties!A$1:CB$87,Formula!J71,31))</f>
        <v>3.32</v>
      </c>
      <c r="CX71" s="69">
        <f>MIN(IF(INDEX(Properties!A$1:CB$87,Formula!B71,31)=0,10^6,INDEX(Properties!A$1:CB$87,Formula!B71,31)),IF(INDEX(Properties!A$1:CB$87,Formula!D71,31)=0,10^6,INDEX(Properties!A$1:CB$87,Formula!D71,31)),IF(INDEX(Properties!A$1:CB$87,Formula!F71,31)=0,10^6,INDEX(Properties!A$1:CB$87,Formula!F71,31)),IF(INDEX(Properties!A$1:CB$87,Formula!H71,31)=0,10^6,INDEX(Properties!A$1:CB$87,Formula!H71,31)),IF(INDEX(Properties!A$1:CB$87,Formula!J71,31)=0,10^6,INDEX(Properties!A$1:CB$87,Formula!J71,31)))</f>
        <v>0.9</v>
      </c>
      <c r="CY71" s="69">
        <f t="shared" si="48"/>
        <v>2.42</v>
      </c>
      <c r="CZ71" s="42">
        <f>((Formula!C71)/(Formula!C71+Formula!E71+Formula!G71+Formula!I71+Formula!K71))*(INDEX(Properties!A$1:CB$87,Formula!B71,32))+((Formula!E71)/(Formula!C71+Formula!E71+Formula!G71+Formula!I71+Formula!K71))*(INDEX(Properties!A$1:CB$87,Formula!D71,32))+((Formula!G71)/(Formula!C71+Formula!E71+Formula!G71+Formula!I71+Formula!K71))*(INDEX(Properties!A$1:CB$87,Formula!F71,32))+((Formula!I71)/(Formula!C71+Formula!E71+Formula!G71+Formula!I71+Formula!K71))*(INDEX(Properties!A$1:CB$87,Formula!H71,32))+((Formula!K71)/(Formula!C71+Formula!E71+Formula!G71+Formula!I71+Formula!K71))*(INDEX(Properties!A$1:CB$87,Formula!J71,32))</f>
        <v>5.4272727272727268</v>
      </c>
      <c r="DA71" s="42">
        <f>Formula!C71*(INDEX(Properties!A$1:CB$87,Formula!B71,32))+Formula!E71*(INDEX(Properties!A$1:CB$87,Formula!D71,32))+Formula!G71*(INDEX(Properties!A$1:CB$87,Formula!F71,32))+Formula!I71*(INDEX(Properties!A$1:CB$87,Formula!H71,32))+Formula!K71*(INDEX(Properties!A$1:CB$87,Formula!J71,32))</f>
        <v>59.7</v>
      </c>
      <c r="DB71" s="42">
        <f>VARP(IF(INDEX(Properties!A$1:CB$87,Formula!B71,32)&lt;&gt;"",INDEX(Properties!A$1:CB$87,Formula!B71,32)),IF(INDEX(Properties!A$1:CB$87,Formula!D71,32)&lt;&gt;"",INDEX(Properties!A$1:CB$87,Formula!D71,32)),IF(INDEX(Properties!A$1:CB$87,Formula!F71,32)&lt;&gt;"",INDEX(Properties!A$1:CB$87,Formula!F71,32)),IF(INDEX(Properties!A$1:CB$87,Formula!H71,32)&lt;&gt;"",INDEX(Properties!A$1:CB$87,Formula!H71,32)),IF(INDEX(Properties!A$1:CB$87,Formula!J71,32)&lt;&gt;"",INDEX(Properties!A$1:CB$87,Formula!J71,32)))</f>
        <v>6.4644400000000015</v>
      </c>
      <c r="DC71" s="42">
        <f>MAX(INDEX(Properties!A$1:CB$87,Formula!B71,32),INDEX(Properties!A$1:CB$87,Formula!D71,32),INDEX(Properties!A$1:CB$87,Formula!F71,32),INDEX(Properties!A$1:CB$87,Formula!H71,32),INDEX(Properties!A$1:CB$87,Formula!J71,32))</f>
        <v>7.54</v>
      </c>
      <c r="DD71" s="42">
        <f>MIN(IF(INDEX(Properties!A$1:CB$87,Formula!B71,32)=0,10^6,INDEX(Properties!A$1:CB$87,Formula!B71,32)),IF(INDEX(Properties!A$1:CB$87,Formula!D71,32)=0,10^6,INDEX(Properties!A$1:CB$87,Formula!D71,32)),IF(INDEX(Properties!A$1:CB$87,Formula!F71,32)=0,10^6,INDEX(Properties!A$1:CB$87,Formula!F71,32)),IF(INDEX(Properties!A$1:CB$87,Formula!H71,32)=0,10^6,INDEX(Properties!A$1:CB$87,Formula!H71,32)),IF(INDEX(Properties!A$1:CB$87,Formula!J71,32)=0,10^6,INDEX(Properties!A$1:CB$87,Formula!J71,32)))</f>
        <v>2.2000000000000002</v>
      </c>
      <c r="DE71" s="42">
        <f t="shared" si="49"/>
        <v>5.34</v>
      </c>
      <c r="DF71" s="60">
        <f>((Formula!C71)/(Formula!C71+Formula!E71+Formula!G71+Formula!I71+Formula!K71))*(INDEX(Properties!A$1:CB$87,Formula!B71,34))+((Formula!E71)/(Formula!C71+Formula!E71+Formula!G71+Formula!I71+Formula!K71))*(INDEX(Properties!A$1:CB$87,Formula!D71,34))+((Formula!G71)/(Formula!C71+Formula!E71+Formula!G71+Formula!I71+Formula!K71))*(INDEX(Properties!A$1:CB$87,Formula!F71,34))+((Formula!I71)/(Formula!C71+Formula!E71+Formula!G71+Formula!I71+Formula!K71))*(INDEX(Properties!A$1:CB$87,Formula!H71,34))+((Formula!K71)/(Formula!C71+Formula!E71+Formula!G71+Formula!I71+Formula!K71))*(INDEX(Properties!A$1:CB$87,Formula!J71,34))</f>
        <v>2.5143636363636359</v>
      </c>
      <c r="DG71" s="60">
        <f>Formula!C71*(INDEX(Properties!A$1:CB$87,Formula!B71,34))+Formula!E71*(INDEX(Properties!A$1:CB$87,Formula!D71,34))+Formula!G71*(INDEX(Properties!A$1:CB$87,Formula!F71,34))+Formula!I71*(INDEX(Properties!A$1:CB$87,Formula!H71,34))+Formula!K71*(INDEX(Properties!A$1:CB$87,Formula!J71,34))</f>
        <v>27.658000000000001</v>
      </c>
      <c r="DH71" s="60">
        <f>VARP(IF(INDEX(Properties!A$1:CB$87,Formula!B71,34)&lt;&gt;"",INDEX(Properties!A$1:CB$87,Formula!B71,34)),IF(INDEX(Properties!A$1:CB$87,Formula!D71,34)&lt;&gt;"",INDEX(Properties!A$1:CB$87,Formula!D71,34)),IF(INDEX(Properties!A$1:CB$87,Formula!F71,34)&lt;&gt;"",INDEX(Properties!A$1:CB$87,Formula!F71,34)),IF(INDEX(Properties!A$1:CB$87,Formula!H71,34)&lt;&gt;"",INDEX(Properties!A$1:CB$87,Formula!H71,34)),IF(INDEX(Properties!A$1:CB$87,Formula!J71,34)&lt;&gt;"",INDEX(Properties!A$1:CB$87,Formula!J71,34)))</f>
        <v>1.4997872000000003</v>
      </c>
      <c r="DI71" s="60">
        <f>MAX(INDEX(Properties!A$1:CB$87,Formula!B71,34),INDEX(Properties!A$1:CB$87,Formula!D71,34),INDEX(Properties!A$1:CB$87,Formula!F71,34),INDEX(Properties!A$1:CB$87,Formula!H71,34),INDEX(Properties!A$1:CB$87,Formula!J71,34))</f>
        <v>3.61</v>
      </c>
      <c r="DJ71" s="60">
        <f>MIN(IF(INDEX(Properties!A$1:CB$87,Formula!B71,34)=0,10^6,INDEX(Properties!A$1:CB$87,Formula!B71,34)),IF(INDEX(Properties!A$1:CB$87,Formula!D71,34)=0,10^6,INDEX(Properties!A$1:CB$87,Formula!D71,34)),IF(INDEX(Properties!A$1:CB$87,Formula!F71,34)=0,10^6,INDEX(Properties!A$1:CB$87,Formula!F71,34)),IF(INDEX(Properties!A$1:CB$87,Formula!H71,34)=0,10^6,INDEX(Properties!A$1:CB$87,Formula!H71,34)),IF(INDEX(Properties!A$1:CB$87,Formula!J71,34)=0,10^6,INDEX(Properties!A$1:CB$87,Formula!J71,34)))</f>
        <v>0.91200000000000003</v>
      </c>
      <c r="DK71" s="60">
        <f t="shared" si="50"/>
        <v>2.698</v>
      </c>
      <c r="DL71" s="45">
        <f>((Formula!C71)/(Formula!C71+Formula!E71+Formula!G71+Formula!I71+Formula!K71))*(INDEX(Properties!A$1:CB$87,Formula!B71,39))+((Formula!E71)/(Formula!C71+Formula!E71+Formula!G71+Formula!I71+Formula!K71))*(INDEX(Properties!A$1:CB$87,Formula!D71,39))+((Formula!G71)/(Formula!C71+Formula!E71+Formula!G71+Formula!I71+Formula!K71))*(INDEX(Properties!A$1:CB$87,Formula!F71,39))+((Formula!I71)/(Formula!C71+Formula!E71+Formula!G71+Formula!I71+Formula!K71))*(INDEX(Properties!A$1:CB$87,Formula!H71,39))+((Formula!K71)/(Formula!C71+Formula!E71+Formula!G71+Formula!I71+Formula!K71))*(INDEX(Properties!A$1:CB$87,Formula!J71,39))</f>
        <v>1.0636363636363637</v>
      </c>
      <c r="DM71" s="45">
        <f>Formula!C71*(INDEX(Properties!A$1:CB$87,Formula!B71,39))+Formula!E71*(INDEX(Properties!A$1:CB$87,Formula!D71,39))+Formula!G71*(INDEX(Properties!A$1:CB$87,Formula!F71,39))+Formula!I71*(INDEX(Properties!A$1:CB$87,Formula!H71,39))+Formula!K71*(INDEX(Properties!A$1:CB$87,Formula!J71,39))</f>
        <v>11.7</v>
      </c>
      <c r="DN71" s="45">
        <f>VARP(IF(INDEX(Properties!A$1:CB$87,Formula!B71,39)&lt;&gt;"",INDEX(Properties!A$1:CB$87,Formula!B71,39)),IF(INDEX(Properties!A$1:CB$87,Formula!D71,39)&lt;&gt;"",INDEX(Properties!A$1:CB$87,Formula!D71,39)),IF(INDEX(Properties!A$1:CB$87,Formula!F71,39)&lt;&gt;"",INDEX(Properties!A$1:CB$87,Formula!F71,39)),IF(INDEX(Properties!A$1:CB$87,Formula!H71,39)&lt;&gt;"",INDEX(Properties!A$1:CB$87,Formula!H71,39)),IF(INDEX(Properties!A$1:CB$87,Formula!J71,39)&lt;&gt;"",INDEX(Properties!A$1:CB$87,Formula!J71,39)))</f>
        <v>0.535304</v>
      </c>
      <c r="DO71" s="45">
        <f>MAX(INDEX(Properties!A$1:CB$87,Formula!B71,39),INDEX(Properties!A$1:CB$87,Formula!D71,39),INDEX(Properties!A$1:CB$87,Formula!F71,39),INDEX(Properties!A$1:CB$87,Formula!H71,39),INDEX(Properties!A$1:CB$87,Formula!J71,39))</f>
        <v>1.94</v>
      </c>
      <c r="DP71" s="45">
        <f>MIN(IF(INDEX(Properties!A$1:CB$87,Formula!B71,39)=0,10^6,INDEX(Properties!A$1:CB$87,Formula!B71,39)),IF(INDEX(Properties!A$1:CB$87,Formula!D71,39)=0,10^6,INDEX(Properties!A$1:CB$87,Formula!D71,39)),IF(INDEX(Properties!A$1:CB$87,Formula!F71,39)=0,10^6,INDEX(Properties!A$1:CB$87,Formula!F71,39)),IF(INDEX(Properties!A$1:CB$87,Formula!H71,39)=0,10^6,INDEX(Properties!A$1:CB$87,Formula!H71,39)),IF(INDEX(Properties!A$1:CB$87,Formula!J71,39)=0,10^6,INDEX(Properties!A$1:CB$87,Formula!J71,39)))</f>
        <v>0.48</v>
      </c>
      <c r="DQ71" s="45">
        <f t="shared" si="51"/>
        <v>1.46</v>
      </c>
      <c r="DR71" s="63">
        <f>((Formula!C71)/(Formula!C71+Formula!E71+Formula!G71+Formula!I71+Formula!K71))*(INDEX(Properties!A$1:CB$87,Formula!B71,40))+((Formula!E71)/(Formula!C71+Formula!E71+Formula!G71+Formula!I71+Formula!K71))*(INDEX(Properties!A$1:CB$87,Formula!D71,40))+((Formula!G71)/(Formula!C71+Formula!E71+Formula!G71+Formula!I71+Formula!K71))*(INDEX(Properties!A$1:CB$87,Formula!F71,40))+((Formula!I71)/(Formula!C71+Formula!E71+Formula!G71+Formula!I71+Formula!K71))*(INDEX(Properties!A$1:CB$87,Formula!H71,40))+((Formula!K71)/(Formula!C71+Formula!E71+Formula!G71+Formula!I71+Formula!K71))*(INDEX(Properties!A$1:CB$87,Formula!J71,40))</f>
        <v>1.1199999999999999</v>
      </c>
      <c r="DS71" s="63">
        <f>Formula!C71*(INDEX(Properties!A$1:CB$87,Formula!B71,40))+Formula!E71*(INDEX(Properties!A$1:CB$87,Formula!D71,40))+Formula!G71*(INDEX(Properties!A$1:CB$87,Formula!F71,40))+Formula!I71*(INDEX(Properties!A$1:CB$87,Formula!H71,40))+Formula!K71*(INDEX(Properties!A$1:CB$87,Formula!J71,40))</f>
        <v>12.32</v>
      </c>
      <c r="DT71" s="63">
        <f>VARP(IF(INDEX(Properties!A$1:CB$87,Formula!B71,40)&lt;&gt;"",INDEX(Properties!A$1:CB$87,Formula!B71,40)),IF(INDEX(Properties!A$1:CB$87,Formula!D71,40)&lt;&gt;"",INDEX(Properties!A$1:CB$87,Formula!D71,40)),IF(INDEX(Properties!A$1:CB$87,Formula!F71,40)&lt;&gt;"",INDEX(Properties!A$1:CB$87,Formula!F71,40)),IF(INDEX(Properties!A$1:CB$87,Formula!H71,40)&lt;&gt;"",INDEX(Properties!A$1:CB$87,Formula!H71,40)),IF(INDEX(Properties!A$1:CB$87,Formula!J71,40)&lt;&gt;"",INDEX(Properties!A$1:CB$87,Formula!J71,40)))</f>
        <v>0.37465599999999993</v>
      </c>
      <c r="DU71" s="63">
        <f>MAX(INDEX(Properties!A$1:CB$87,Formula!B71,40),INDEX(Properties!A$1:CB$87,Formula!D71,40),INDEX(Properties!A$1:CB$87,Formula!F71,40),INDEX(Properties!A$1:CB$87,Formula!H71,40),INDEX(Properties!A$1:CB$87,Formula!J71,40))</f>
        <v>1.74</v>
      </c>
      <c r="DV71" s="63">
        <f>MIN(IF(INDEX(Properties!A$1:CB$87,Formula!B71,40)=0,10^6,INDEX(Properties!A$1:CB$87,Formula!B71,40)),IF(INDEX(Properties!A$1:CB$87,Formula!D71,40)=0,10^6,INDEX(Properties!A$1:CB$87,Formula!D71,40)),IF(INDEX(Properties!A$1:CB$87,Formula!F71,40)=0,10^6,INDEX(Properties!A$1:CB$87,Formula!F71,40)),IF(INDEX(Properties!A$1:CB$87,Formula!H71,40)=0,10^6,INDEX(Properties!A$1:CB$87,Formula!H71,40)),IF(INDEX(Properties!A$1:CB$87,Formula!J71,40)=0,10^6,INDEX(Properties!A$1:CB$87,Formula!J71,40)))</f>
        <v>0.73</v>
      </c>
      <c r="DW71" s="63">
        <f t="shared" si="52"/>
        <v>1.01</v>
      </c>
      <c r="DX71" s="75">
        <f>((Formula!C71)/(Formula!C71+Formula!E71+Formula!G71+Formula!I71+Formula!K71))*(INDEX(Properties!A$1:CB$87,Formula!B71,41))+((Formula!E71)/(Formula!C71+Formula!E71+Formula!G71+Formula!I71+Formula!K71))*(INDEX(Properties!A$1:CB$87,Formula!D71,41))+((Formula!G71)/(Formula!C71+Formula!E71+Formula!G71+Formula!I71+Formula!K71))*(INDEX(Properties!A$1:CB$87,Formula!F71,41))+((Formula!I71)/(Formula!C71+Formula!E71+Formula!G71+Formula!I71+Formula!K71))*(INDEX(Properties!A$1:CB$87,Formula!H71,41))+((Formula!K71)/(Formula!C71+Formula!E71+Formula!G71+Formula!I71+Formula!K71))*(INDEX(Properties!A$1:CB$87,Formula!J71,41))</f>
        <v>1.1618181818181816</v>
      </c>
      <c r="DY71" s="75">
        <f>Formula!C71*(INDEX(Properties!A$1:CB$87,Formula!B71,41))+Formula!E71*(INDEX(Properties!A$1:CB$87,Formula!D71,41))+Formula!G71*(INDEX(Properties!A$1:CB$87,Formula!F71,41))+Formula!I71*(INDEX(Properties!A$1:CB$87,Formula!H71,41))+Formula!K71*(INDEX(Properties!A$1:CB$87,Formula!J71,41))</f>
        <v>12.780000000000001</v>
      </c>
      <c r="DZ71" s="75">
        <f>VARP(IF(INDEX(Properties!A$1:CB$87,Formula!B71,41)&lt;&gt;"",INDEX(Properties!A$1:CB$87,Formula!B71,41)),IF(INDEX(Properties!A$1:CB$87,Formula!D71,41)&lt;&gt;"",INDEX(Properties!A$1:CB$87,Formula!D71,41)),IF(INDEX(Properties!A$1:CB$87,Formula!F71,41)&lt;&gt;"",INDEX(Properties!A$1:CB$87,Formula!F71,41)),IF(INDEX(Properties!A$1:CB$87,Formula!H71,41)&lt;&gt;"",INDEX(Properties!A$1:CB$87,Formula!H71,41)),IF(INDEX(Properties!A$1:CB$87,Formula!J71,41)&lt;&gt;"",INDEX(Properties!A$1:CB$87,Formula!J71,41)))</f>
        <v>0.19584000000000004</v>
      </c>
      <c r="EA71" s="75">
        <f>MAX(INDEX(Properties!A$1:CB$87,Formula!B71,41),INDEX(Properties!A$1:CB$87,Formula!D71,41),INDEX(Properties!A$1:CB$87,Formula!F71,41),INDEX(Properties!A$1:CB$87,Formula!H71,41),INDEX(Properties!A$1:CB$87,Formula!J71,41))</f>
        <v>1.26</v>
      </c>
      <c r="EB71" s="75">
        <f>MIN(IF(INDEX(Properties!A$1:CB$87,Formula!B71,41)=0,10^6,INDEX(Properties!A$1:CB$87,Formula!B71,41)),IF(INDEX(Properties!A$1:CB$87,Formula!D71,41)=0,10^6,INDEX(Properties!A$1:CB$87,Formula!D71,41)),IF(INDEX(Properties!A$1:CB$87,Formula!F71,41)=0,10^6,INDEX(Properties!A$1:CB$87,Formula!F71,41)),IF(INDEX(Properties!A$1:CB$87,Formula!H71,41)=0,10^6,INDEX(Properties!A$1:CB$87,Formula!H71,41)),IF(INDEX(Properties!A$1:CB$87,Formula!J71,41)=0,10^6,INDEX(Properties!A$1:CB$87,Formula!J71,41)))</f>
        <v>0.9</v>
      </c>
      <c r="EC71" s="75">
        <f t="shared" si="53"/>
        <v>0.36</v>
      </c>
      <c r="ED71" s="48">
        <f>((Formula!C71)/(Formula!C71+Formula!E71+Formula!G71+Formula!I71+Formula!K71))*(INDEX(Properties!A$1:CB$87,Formula!B71,45))+((Formula!E71)/(Formula!C71+Formula!E71+Formula!G71+Formula!I71+Formula!K71))*(INDEX(Properties!A$1:CB$87,Formula!D71,45))+((Formula!G71)/(Formula!C71+Formula!E71+Formula!G71+Formula!I71+Formula!K71))*(INDEX(Properties!A$1:CB$87,Formula!F71,45))+((Formula!I71)/(Formula!C71+Formula!E71+Formula!G71+Formula!I71+Formula!K71))*(INDEX(Properties!A$1:CB$87,Formula!H71,45))+((Formula!K71)/(Formula!C71+Formula!E71+Formula!G71+Formula!I71+Formula!K71))*(INDEX(Properties!A$1:CB$87,Formula!J71,45))</f>
        <v>1.3818181818181818</v>
      </c>
      <c r="EE71" s="48">
        <f>Formula!C71*(INDEX(Properties!A$1:CB$87,Formula!B71,45))+Formula!E71*(INDEX(Properties!A$1:CB$87,Formula!D71,45))+Formula!G71*(INDEX(Properties!A$1:CB$87,Formula!F71,45))+Formula!I71*(INDEX(Properties!A$1:CB$87,Formula!H71,45))+Formula!K71*(INDEX(Properties!A$1:CB$87,Formula!J71,45))</f>
        <v>15.2</v>
      </c>
      <c r="EF71" s="48">
        <f>VARP(IF(INDEX(Properties!A$1:CB$87,Formula!B71,45)&lt;&gt;"",INDEX(Properties!A$1:CB$87,Formula!B71,45)),IF(INDEX(Properties!A$1:CB$87,Formula!D71,45)&lt;&gt;"",INDEX(Properties!A$1:CB$87,Formula!D71,45)),IF(INDEX(Properties!A$1:CB$87,Formula!F71,45)&lt;&gt;"",INDEX(Properties!A$1:CB$87,Formula!F71,45)),IF(INDEX(Properties!A$1:CB$87,Formula!H71,45)&lt;&gt;"",INDEX(Properties!A$1:CB$87,Formula!H71,45)),IF(INDEX(Properties!A$1:CB$87,Formula!J71,45)&lt;&gt;"",INDEX(Properties!A$1:CB$87,Formula!J71,45)))</f>
        <v>1.1122799999999997</v>
      </c>
      <c r="EG71" s="48">
        <f>MAX(INDEX(Properties!A$1:CB$87,Formula!B71,45),INDEX(Properties!A$1:CB$87,Formula!D71,45),INDEX(Properties!A$1:CB$87,Formula!F71,45),INDEX(Properties!A$1:CB$87,Formula!H71,45),INDEX(Properties!A$1:CB$87,Formula!J71,45))</f>
        <v>3</v>
      </c>
      <c r="EH71" s="48">
        <f>MIN(IF(INDEX(Properties!A$1:CB$87,Formula!B71,45)=0,10^6,INDEX(Properties!A$1:CB$87,Formula!B71,45)),IF(INDEX(Properties!A$1:CB$87,Formula!D71,45)=0,10^6,INDEX(Properties!A$1:CB$87,Formula!D71,45)),IF(INDEX(Properties!A$1:CB$87,Formula!F71,45)=0,10^6,INDEX(Properties!A$1:CB$87,Formula!F71,45)),IF(INDEX(Properties!A$1:CB$87,Formula!H71,45)=0,10^6,INDEX(Properties!A$1:CB$87,Formula!H71,45)),IF(INDEX(Properties!A$1:CB$87,Formula!J71,45)=0,10^6,INDEX(Properties!A$1:CB$87,Formula!J71,45)))</f>
        <v>0.47</v>
      </c>
      <c r="EI71" s="48">
        <f t="shared" si="54"/>
        <v>2.5300000000000002</v>
      </c>
      <c r="EJ71" s="66">
        <f>((Formula!C71)/(Formula!C71+Formula!E71+Formula!G71+Formula!I71+Formula!K71))*(INDEX(Properties!A$1:CB$87,Formula!B71,46))+((Formula!E71)/(Formula!C71+Formula!E71+Formula!G71+Formula!I71+Formula!K71))*(INDEX(Properties!A$1:CB$87,Formula!D71,46))+((Formula!G71)/(Formula!C71+Formula!E71+Formula!G71+Formula!I71+Formula!K71))*(INDEX(Properties!A$1:CB$87,Formula!F71,46))+((Formula!I71)/(Formula!C71+Formula!E71+Formula!G71+Formula!I71+Formula!K71))*(INDEX(Properties!A$1:CB$87,Formula!H71,46))+((Formula!K71)/(Formula!C71+Formula!E71+Formula!G71+Formula!I71+Formula!K71))*(INDEX(Properties!A$1:CB$87,Formula!J71,46))</f>
        <v>1.1345454545454543</v>
      </c>
      <c r="EK71" s="66">
        <f>Formula!C71*(INDEX(Properties!A$1:CB$87,Formula!B71,46))+Formula!E71*(INDEX(Properties!A$1:CB$87,Formula!D71,46))+Formula!G71*(INDEX(Properties!A$1:CB$87,Formula!F71,46))+Formula!I71*(INDEX(Properties!A$1:CB$87,Formula!H71,46))+Formula!K71*(INDEX(Properties!A$1:CB$87,Formula!J71,46))</f>
        <v>12.48</v>
      </c>
      <c r="EL71" s="66">
        <f>VARP(IF(INDEX(Properties!A$1:CB$87,Formula!B71,46)&lt;&gt;"",INDEX(Properties!A$1:CB$87,Formula!B71,46)),IF(INDEX(Properties!A$1:CB$87,Formula!D71,46)&lt;&gt;"",INDEX(Properties!A$1:CB$87,Formula!D71,46)),IF(INDEX(Properties!A$1:CB$87,Formula!F71,46)&lt;&gt;"",INDEX(Properties!A$1:CB$87,Formula!F71,46)),IF(INDEX(Properties!A$1:CB$87,Formula!H71,46)&lt;&gt;"",INDEX(Properties!A$1:CB$87,Formula!H71,46)),IF(INDEX(Properties!A$1:CB$87,Formula!J71,46)&lt;&gt;"",INDEX(Properties!A$1:CB$87,Formula!J71,46)))</f>
        <v>0.18783999999999992</v>
      </c>
      <c r="EM71" s="66">
        <f>MAX(INDEX(Properties!A$1:CB$87,Formula!B71,46),INDEX(Properties!A$1:CB$87,Formula!D71,46),INDEX(Properties!A$1:CB$87,Formula!F71,46),INDEX(Properties!A$1:CB$87,Formula!H71,46),INDEX(Properties!A$1:CB$87,Formula!J71,46))</f>
        <v>1.21</v>
      </c>
      <c r="EN71" s="66">
        <f>MIN(IF(INDEX(Properties!A$1:CB$87,Formula!B71,46)=0,10^6,INDEX(Properties!A$1:CB$87,Formula!B71,46)),IF(INDEX(Properties!A$1:CB$87,Formula!D71,46)=0,10^6,INDEX(Properties!A$1:CB$87,Formula!D71,46)),IF(INDEX(Properties!A$1:CB$87,Formula!F71,46)=0,10^6,INDEX(Properties!A$1:CB$87,Formula!F71,46)),IF(INDEX(Properties!A$1:CB$87,Formula!H71,46)=0,10^6,INDEX(Properties!A$1:CB$87,Formula!H71,46)),IF(INDEX(Properties!A$1:CB$87,Formula!J71,46)=0,10^6,INDEX(Properties!A$1:CB$87,Formula!J71,46)))</f>
        <v>0.9</v>
      </c>
      <c r="EO71" s="66">
        <f t="shared" si="55"/>
        <v>0.30999999999999994</v>
      </c>
      <c r="EP71" s="81">
        <f>((Formula!C71)/(Formula!C71+Formula!E71+Formula!G71+Formula!I71+Formula!K71))*(INDEX(Properties!A$1:CB$87,Formula!B71,52))+((Formula!E71)/(Formula!C71+Formula!E71+Formula!G71+Formula!I71+Formula!K71))*(INDEX(Properties!A$1:CB$87,Formula!D71,52))+((Formula!G71)/(Formula!C71+Formula!E71+Formula!G71+Formula!I71+Formula!K71))*(INDEX(Properties!A$1:CB$87,Formula!F71,52))+((Formula!I71)/(Formula!C71+Formula!E71+Formula!G71+Formula!I71+Formula!K71))*(INDEX(Properties!A$1:CB$87,Formula!H71,52))+((Formula!K71)/(Formula!C71+Formula!E71+Formula!G71+Formula!I71+Formula!K71))*(INDEX(Properties!A$1:CB$87,Formula!J71,52))</f>
        <v>9.4598181818181821</v>
      </c>
      <c r="EQ71" s="81">
        <f>Formula!C71*(INDEX(Properties!A$1:CB$87,Formula!B71,52))+Formula!E71*(INDEX(Properties!A$1:CB$87,Formula!D71,52))+Formula!G71*(INDEX(Properties!A$1:CB$87,Formula!F71,52))+Formula!I71*(INDEX(Properties!A$1:CB$87,Formula!H71,52))+Formula!K71*(INDEX(Properties!A$1:CB$87,Formula!J71,52))</f>
        <v>104.05799999999999</v>
      </c>
      <c r="ER71" s="81">
        <f>VARP(IF(INDEX(Properties!A$1:CB$87,Formula!B71,52)&lt;&gt;"",INDEX(Properties!A$1:CB$87,Formula!B71,52)),IF(INDEX(Properties!A$1:CB$87,Formula!D71,52)&lt;&gt;"",INDEX(Properties!A$1:CB$87,Formula!D71,52)),IF(INDEX(Properties!A$1:CB$87,Formula!F71,52)&lt;&gt;"",INDEX(Properties!A$1:CB$87,Formula!F71,52)),IF(INDEX(Properties!A$1:CB$87,Formula!H71,52)&lt;&gt;"",INDEX(Properties!A$1:CB$87,Formula!H71,52)),IF(INDEX(Properties!A$1:CB$87,Formula!J71,52)&lt;&gt;"",INDEX(Properties!A$1:CB$87,Formula!J71,52)))</f>
        <v>112.12428783999997</v>
      </c>
      <c r="ES71" s="81">
        <f>MAX(INDEX(Properties!A$1:CB$87,Formula!B71,52),INDEX(Properties!A$1:CB$87,Formula!D71,52),INDEX(Properties!A$1:CB$87,Formula!F71,52),INDEX(Properties!A$1:CB$87,Formula!H71,52),INDEX(Properties!A$1:CB$87,Formula!J71,52))</f>
        <v>24.3</v>
      </c>
      <c r="ET71" s="81">
        <f>MIN(IF(INDEX(Properties!A$1:CB$87,Formula!B71,52)=0,10^6,INDEX(Properties!A$1:CB$87,Formula!B71,52)),IF(INDEX(Properties!A$1:CB$87,Formula!D71,52)=0,10^6,INDEX(Properties!A$1:CB$87,Formula!D71,52)),IF(INDEX(Properties!A$1:CB$87,Formula!F71,52)=0,10^6,INDEX(Properties!A$1:CB$87,Formula!F71,52)),IF(INDEX(Properties!A$1:CB$87,Formula!H71,52)=0,10^6,INDEX(Properties!A$1:CB$87,Formula!H71,52)),IF(INDEX(Properties!A$1:CB$87,Formula!J71,52)=0,10^6,INDEX(Properties!A$1:CB$87,Formula!J71,52)))</f>
        <v>0.79300000000000004</v>
      </c>
      <c r="EU71" s="81">
        <f t="shared" si="56"/>
        <v>23.507000000000001</v>
      </c>
      <c r="EV71" s="39">
        <f>((Formula!C71)/(Formula!C71+Formula!E71+Formula!G71+Formula!I71+Formula!K71))*(INDEX(Properties!A$1:CB$87,Formula!B71,53))+((Formula!E71)/(Formula!C71+Formula!E71+Formula!G71+Formula!I71+Formula!K71))*(INDEX(Properties!A$1:CB$87,Formula!D71,53))+((Formula!G71)/(Formula!C71+Formula!E71+Formula!G71+Formula!I71+Formula!K71))*(INDEX(Properties!A$1:CB$87,Formula!F71,53))+((Formula!I71)/(Formula!C71+Formula!E71+Formula!G71+Formula!I71+Formula!K71))*(INDEX(Properties!A$1:CB$87,Formula!H71,53))+((Formula!K71)/(Formula!C71+Formula!E71+Formula!G71+Formula!I71+Formula!K71))*(INDEX(Properties!A$1:CB$87,Formula!J71,53))</f>
        <v>456.61363636363637</v>
      </c>
      <c r="EW71" s="39">
        <f>Formula!C71*(INDEX(Properties!A$1:CB$87,Formula!B71,53))+Formula!E71*(INDEX(Properties!A$1:CB$87,Formula!D71,53))+Formula!G71*(INDEX(Properties!A$1:CB$87,Formula!F71,53))+Formula!I71*(INDEX(Properties!A$1:CB$87,Formula!H71,53))+Formula!K71*(INDEX(Properties!A$1:CB$87,Formula!J71,53))</f>
        <v>5022.75</v>
      </c>
      <c r="EX71" s="39">
        <f>VARP(IF(INDEX(Properties!A$1:CB$87,Formula!B71,53)&lt;&gt;"",INDEX(Properties!A$1:CB$87,Formula!B71,53)),IF(INDEX(Properties!A$1:CB$87,Formula!D71,53)&lt;&gt;"",INDEX(Properties!A$1:CB$87,Formula!D71,53)),IF(INDEX(Properties!A$1:CB$87,Formula!F71,53)&lt;&gt;"",INDEX(Properties!A$1:CB$87,Formula!F71,53)),IF(INDEX(Properties!A$1:CB$87,Formula!H71,53)&lt;&gt;"",INDEX(Properties!A$1:CB$87,Formula!H71,53)),IF(INDEX(Properties!A$1:CB$87,Formula!J71,53)&lt;&gt;"",INDEX(Properties!A$1:CB$87,Formula!J71,53)))</f>
        <v>197667.74240000002</v>
      </c>
      <c r="EY71" s="39">
        <f>MAX(INDEX(Properties!A$1:CB$87,Formula!B71,53),INDEX(Properties!A$1:CB$87,Formula!D71,53),INDEX(Properties!A$1:CB$87,Formula!F71,53),INDEX(Properties!A$1:CB$87,Formula!H71,53),INDEX(Properties!A$1:CB$87,Formula!J71,53))</f>
        <v>1112.1500000000001</v>
      </c>
      <c r="EZ71" s="39">
        <f>MIN(IF(INDEX(Properties!A$1:CB$87,Formula!B71,53)=0,10^6,INDEX(Properties!A$1:CB$87,Formula!B71,53)),IF(INDEX(Properties!A$1:CB$87,Formula!D71,53)=0,10^6,INDEX(Properties!A$1:CB$87,Formula!D71,53)),IF(INDEX(Properties!A$1:CB$87,Formula!F71,53)=0,10^6,INDEX(Properties!A$1:CB$87,Formula!F71,53)),IF(INDEX(Properties!A$1:CB$87,Formula!H71,53)=0,10^6,INDEX(Properties!A$1:CB$87,Formula!H71,53)),IF(INDEX(Properties!A$1:CB$87,Formula!J71,53)=0,10^6,INDEX(Properties!A$1:CB$87,Formula!J71,53)))</f>
        <v>54.749999999999972</v>
      </c>
      <c r="FA71" s="39">
        <f t="shared" si="57"/>
        <v>1057.4000000000001</v>
      </c>
      <c r="FB71" s="54">
        <f>((Formula!C71)/(Formula!C71+Formula!E71+Formula!G71+Formula!I71+Formula!K71))*(INDEX(Properties!A$1:CB$87,Formula!B71,54))+((Formula!E71)/(Formula!C71+Formula!E71+Formula!G71+Formula!I71+Formula!K71))*(INDEX(Properties!A$1:CB$87,Formula!D71,54))+((Formula!G71)/(Formula!C71+Formula!E71+Formula!G71+Formula!I71+Formula!K71))*(INDEX(Properties!A$1:CB$87,Formula!F71,54))+((Formula!I71)/(Formula!C71+Formula!E71+Formula!G71+Formula!I71+Formula!K71))*(INDEX(Properties!A$1:CB$87,Formula!H71,54))+((Formula!K71)/(Formula!C71+Formula!E71+Formula!G71+Formula!I71+Formula!K71))*(INDEX(Properties!A$1:CB$87,Formula!J71,54))</f>
        <v>877.33181818181811</v>
      </c>
      <c r="FC71" s="54">
        <f>Formula!C71*(INDEX(Properties!A$1:CB$87,Formula!B71,54))+Formula!E71*(INDEX(Properties!A$1:CB$87,Formula!D71,54))+Formula!G71*(INDEX(Properties!A$1:CB$87,Formula!F71,54))+Formula!I71*(INDEX(Properties!A$1:CB$87,Formula!H71,54))+Formula!K71*(INDEX(Properties!A$1:CB$87,Formula!J71,54))</f>
        <v>9650.65</v>
      </c>
      <c r="FD71" s="54">
        <f>VARP(IF(INDEX(Properties!A$1:CB$87,Formula!B71,54)&lt;&gt;"",INDEX(Properties!A$1:CB$87,Formula!B71,54)),IF(INDEX(Properties!A$1:CB$87,Formula!D71,54)&lt;&gt;"",INDEX(Properties!A$1:CB$87,Formula!D71,54)),IF(INDEX(Properties!A$1:CB$87,Formula!F71,54)&lt;&gt;"",INDEX(Properties!A$1:CB$87,Formula!F71,54)),IF(INDEX(Properties!A$1:CB$87,Formula!H71,54)&lt;&gt;"",INDEX(Properties!A$1:CB$87,Formula!H71,54)),IF(INDEX(Properties!A$1:CB$87,Formula!J71,54)&lt;&gt;"",INDEX(Properties!A$1:CB$87,Formula!J71,54)))</f>
        <v>836319.82360000059</v>
      </c>
      <c r="FE71" s="54">
        <f>MAX(INDEX(Properties!A$1:CB$87,Formula!B71,54),INDEX(Properties!A$1:CB$87,Formula!D71,54),INDEX(Properties!A$1:CB$87,Formula!F71,54),INDEX(Properties!A$1:CB$87,Formula!H71,54),INDEX(Properties!A$1:CB$87,Formula!J71,54))</f>
        <v>2223.15</v>
      </c>
      <c r="FF71" s="54">
        <f>MIN(IF(INDEX(Properties!A$1:CB$87,Formula!B71,54)=0,10^6,INDEX(Properties!A$1:CB$87,Formula!B71,54)),IF(INDEX(Properties!A$1:CB$87,Formula!D71,54)=0,10^6,INDEX(Properties!A$1:CB$87,Formula!D71,54)),IF(INDEX(Properties!A$1:CB$87,Formula!F71,54)=0,10^6,INDEX(Properties!A$1:CB$87,Formula!F71,54)),IF(INDEX(Properties!A$1:CB$87,Formula!H71,54)=0,10^6,INDEX(Properties!A$1:CB$87,Formula!H71,54)),IF(INDEX(Properties!A$1:CB$87,Formula!J71,54)=0,10^6,INDEX(Properties!A$1:CB$87,Formula!J71,54)))</f>
        <v>90.149999999999977</v>
      </c>
      <c r="FG71" s="54">
        <f t="shared" si="58"/>
        <v>2133</v>
      </c>
      <c r="FH71" s="69">
        <f>((Formula!C71)/(Formula!C71+Formula!E71+Formula!G71+Formula!I71+Formula!K71))*(INDEX(Properties!A$1:CB$87,Formula!B71,55))+((Formula!E71)/(Formula!C71+Formula!E71+Formula!G71+Formula!I71+Formula!K71))*(INDEX(Properties!A$1:CB$87,Formula!D71,55))+((Formula!G71)/(Formula!C71+Formula!E71+Formula!G71+Formula!I71+Formula!K71))*(INDEX(Properties!A$1:CB$87,Formula!F71,55))+((Formula!I71)/(Formula!C71+Formula!E71+Formula!G71+Formula!I71+Formula!K71))*(INDEX(Properties!A$1:CB$87,Formula!H71,55))+((Formula!K71)/(Formula!C71+Formula!E71+Formula!G71+Formula!I71+Formula!K71))*(INDEX(Properties!A$1:CB$87,Formula!J71,55))</f>
        <v>1.0803254545454546</v>
      </c>
      <c r="FI71" s="69">
        <f>Formula!C71*(INDEX(Properties!A$1:CB$87,Formula!B71,55))+Formula!E71*(INDEX(Properties!A$1:CB$87,Formula!D71,54))+Formula!G71*(INDEX(Properties!A$1:CB$87,Formula!F71,55))+Formula!I71*(INDEX(Properties!A$1:CB$87,Formula!H71,55))+Formula!K71*(INDEX(Properties!A$1:CB$87,Formula!J71,55))</f>
        <v>1626.4985800000002</v>
      </c>
      <c r="FJ71" s="69">
        <f>VARP(IF(INDEX(Properties!A$1:CB$87,Formula!B71,55)&lt;&gt;"",INDEX(Properties!A$1:CB$87,Formula!B71,55)),IF(INDEX(Properties!A$1:CB$87,Formula!D71,55)&lt;&gt;"",INDEX(Properties!A$1:CB$87,Formula!D71,55)),IF(INDEX(Properties!A$1:CB$87,Formula!F71,55)&lt;&gt;"",INDEX(Properties!A$1:CB$87,Formula!F71,55)),IF(INDEX(Properties!A$1:CB$87,Formula!H71,55)&lt;&gt;"",INDEX(Properties!A$1:CB$87,Formula!H71,55)),IF(INDEX(Properties!A$1:CB$87,Formula!J71,55)&lt;&gt;"",INDEX(Properties!A$1:CB$87,Formula!J71,55)))</f>
        <v>6.4079364671840002</v>
      </c>
      <c r="FK71" s="69">
        <f>MAX(INDEX(Properties!A$1:CB$87,Formula!B71,55),INDEX(Properties!A$1:CB$87,Formula!D71,55),INDEX(Properties!A$1:CB$87,Formula!F71,55),INDEX(Properties!A$1:CB$87,Formula!H71,55),INDEX(Properties!A$1:CB$87,Formula!J71,55))</f>
        <v>6.69</v>
      </c>
      <c r="FL71" s="69">
        <f>MIN(IF(INDEX(Properties!A$1:CB$87,Formula!B71,55)=0,10^6,INDEX(Properties!A$1:CB$87,Formula!B71,55)),IF(INDEX(Properties!A$1:CB$87,Formula!D71,55)=0,10^6,INDEX(Properties!A$1:CB$87,Formula!D71,55)),IF(INDEX(Properties!A$1:CB$87,Formula!F71,55)=0,10^6,INDEX(Properties!A$1:CB$87,Formula!F71,55)),IF(INDEX(Properties!A$1:CB$87,Formula!H71,55)=0,10^6,INDEX(Properties!A$1:CB$87,Formula!H71,55)),IF(INDEX(Properties!A$1:CB$87,Formula!J71,55)=0,10^6,INDEX(Properties!A$1:CB$87,Formula!J71,55)))</f>
        <v>1.4300000000000001E-3</v>
      </c>
      <c r="FM71" s="69">
        <f t="shared" si="59"/>
        <v>6.6885700000000003</v>
      </c>
      <c r="FN71" s="42">
        <f>((Formula!C71)/(Formula!C71+Formula!E71+Formula!G71+Formula!I71+Formula!K71))*(INDEX(Properties!A$1:CB$87,Formula!B71,56))+((Formula!E71)/(Formula!C71+Formula!E71+Formula!G71+Formula!I71+Formula!K71))*(INDEX(Properties!A$1:CB$87,Formula!D71,56))+((Formula!G71)/(Formula!C71+Formula!E71+Formula!G71+Formula!I71+Formula!K71))*(INDEX(Properties!A$1:CB$87,Formula!F71,56))+((Formula!I71)/(Formula!C71+Formula!E71+Formula!G71+Formula!I71+Formula!K71))*(INDEX(Properties!A$1:CB$87,Formula!H71,56))+((Formula!K71)/(Formula!C71+Formula!E71+Formula!G71+Formula!I71+Formula!K71))*(INDEX(Properties!A$1:CB$87,Formula!J71,56))</f>
        <v>1.02</v>
      </c>
      <c r="FO71" s="42">
        <f>Formula!C71*(INDEX(Properties!A$1:CB$87,Formula!B71,56))+Formula!E71*(INDEX(Properties!A$1:CB$87,Formula!D71,56))+Formula!G71*(INDEX(Properties!A$1:CB$87,Formula!F71,56))+Formula!I71*(INDEX(Properties!A$1:CB$87,Formula!H71,56))+Formula!K71*(INDEX(Properties!A$1:CB$87,Formula!J71,56))</f>
        <v>11.22</v>
      </c>
      <c r="FP71" s="42">
        <f>VARP(IF(INDEX(Properties!A$1:CB$87,Formula!B71,56)&lt;&gt;"",INDEX(Properties!A$1:CB$87,Formula!B71,56)),IF(INDEX(Properties!A$1:CB$87,Formula!D71,56)&lt;&gt;"",INDEX(Properties!A$1:CB$87,Formula!D71,56)),IF(INDEX(Properties!A$1:CB$87,Formula!F71,56)&lt;&gt;"",INDEX(Properties!A$1:CB$87,Formula!F71,56)),IF(INDEX(Properties!A$1:CB$87,Formula!H71,56)&lt;&gt;"",INDEX(Properties!A$1:CB$87,Formula!H71,56)),IF(INDEX(Properties!A$1:CB$87,Formula!J71,56)&lt;&gt;"",INDEX(Properties!A$1:CB$87,Formula!J71,56)))</f>
        <v>1.7002960000000003</v>
      </c>
      <c r="FQ71" s="42">
        <f>MAX(INDEX(Properties!A$1:CB$87,Formula!B71,56),INDEX(Properties!A$1:CB$87,Formula!D71,56),INDEX(Properties!A$1:CB$87,Formula!F71,56),INDEX(Properties!A$1:CB$87,Formula!H71,56),INDEX(Properties!A$1:CB$87,Formula!J71,56))</f>
        <v>3.6</v>
      </c>
      <c r="FR71" s="42">
        <f>MIN(IF(INDEX(Properties!A$1:CB$87,Formula!B71,56)=0,10^6,INDEX(Properties!A$1:CB$87,Formula!B71,56)),IF(INDEX(Properties!A$1:CB$87,Formula!D71,56)=0,10^6,INDEX(Properties!A$1:CB$87,Formula!D71,56)),IF(INDEX(Properties!A$1:CB$87,Formula!F71,56)=0,10^6,INDEX(Properties!A$1:CB$87,Formula!F71,56)),IF(INDEX(Properties!A$1:CB$87,Formula!H71,56)=0,10^6,INDEX(Properties!A$1:CB$87,Formula!H71,56)),IF(INDEX(Properties!A$1:CB$87,Formula!J71,56)=0,10^6,INDEX(Properties!A$1:CB$87,Formula!J71,56)))</f>
        <v>0.21</v>
      </c>
      <c r="FS71" s="42">
        <f t="shared" si="60"/>
        <v>3.39</v>
      </c>
      <c r="FT71" s="60">
        <f>((Formula!C71)/(Formula!C71+Formula!E71+Formula!G71+Formula!I71+Formula!K71))*(INDEX(Properties!A$1:CB$87,Formula!B71,57))+((Formula!E71)/(Formula!C71+Formula!E71+Formula!G71+Formula!I71+Formula!K71))*(INDEX(Properties!A$1:CB$87,Formula!D71,57))+((Formula!G71)/(Formula!C71+Formula!E71+Formula!G71+Formula!I71+Formula!K71))*(INDEX(Properties!A$1:CB$87,Formula!F71,57))+((Formula!I71)/(Formula!C71+Formula!E71+Formula!G71+Formula!I71+Formula!K71))*(INDEX(Properties!A$1:CB$87,Formula!H71,57))+((Formula!K71)/(Formula!C71+Formula!E71+Formula!G71+Formula!I71+Formula!K71))*(INDEX(Properties!A$1:CB$87,Formula!J71,57))</f>
        <v>4.5295945454545459</v>
      </c>
      <c r="FU71" s="60">
        <f>Formula!C71*(INDEX(Properties!A$1:CB$87,Formula!B71,57))+Formula!E71*(INDEX(Properties!A$1:CB$87,Formula!D71,57))+Formula!G71*(INDEX(Properties!A$1:CB$87,Formula!F71,57))+Formula!I71*(INDEX(Properties!A$1:CB$87,Formula!H71,57))+Formula!K71*(INDEX(Properties!A$1:CB$87,Formula!J71,57))</f>
        <v>49.825539999999997</v>
      </c>
      <c r="FV71" s="60">
        <f>VARP(IF(INDEX(Properties!A$1:CB$87,Formula!B71,57)&lt;&gt;"",INDEX(Properties!A$1:CB$87,Formula!B71,57)),IF(INDEX(Properties!A$1:CB$87,Formula!D71,57)&lt;&gt;"",INDEX(Properties!A$1:CB$87,Formula!D71,57)),IF(INDEX(Properties!A$1:CB$87,Formula!F71,57)&lt;&gt;"",INDEX(Properties!A$1:CB$87,Formula!F71,57)),IF(INDEX(Properties!A$1:CB$87,Formula!H71,57)&lt;&gt;"",INDEX(Properties!A$1:CB$87,Formula!H71,57)),IF(INDEX(Properties!A$1:CB$87,Formula!J71,57)&lt;&gt;"",INDEX(Properties!A$1:CB$87,Formula!J71,57)))</f>
        <v>55.334779257296006</v>
      </c>
      <c r="FW71" s="60">
        <f>MAX(INDEX(Properties!A$1:CB$87,Formula!B71,57),INDEX(Properties!A$1:CB$87,Formula!D71,57),INDEX(Properties!A$1:CB$87,Formula!F71,57),INDEX(Properties!A$1:CB$87,Formula!H71,57),INDEX(Properties!A$1:CB$87,Formula!J71,57))</f>
        <v>19.87</v>
      </c>
      <c r="FX71" s="60">
        <f>MIN(IF(INDEX(Properties!A$1:CB$87,Formula!B71,57)=0,10^6,INDEX(Properties!A$1:CB$87,Formula!B71,57)),IF(INDEX(Properties!A$1:CB$87,Formula!D71,57)=0,10^6,INDEX(Properties!A$1:CB$87,Formula!D71,57)),IF(INDEX(Properties!A$1:CB$87,Formula!F71,57)=0,10^6,INDEX(Properties!A$1:CB$87,Formula!F71,57)),IF(INDEX(Properties!A$1:CB$87,Formula!H71,57)=0,10^6,INDEX(Properties!A$1:CB$87,Formula!H71,57)),IF(INDEX(Properties!A$1:CB$87,Formula!J71,57)=0,10^6,INDEX(Properties!A$1:CB$87,Formula!J71,57)))</f>
        <v>0.22259000000000001</v>
      </c>
      <c r="FY71" s="60">
        <f t="shared" si="61"/>
        <v>19.647410000000001</v>
      </c>
      <c r="FZ71" s="72">
        <f>((Formula!C71)/(Formula!C71+Formula!E71+Formula!G71+Formula!I71+Formula!K71))*(INDEX(Properties!A$1:CB$87,Formula!B71,60))+((Formula!E71)/(Formula!C71+Formula!E71+Formula!G71+Formula!I71+Formula!K71))*(INDEX(Properties!A$1:CB$87,Formula!D71,60))+((Formula!G71)/(Formula!C71+Formula!E71+Formula!G71+Formula!I71+Formula!K71))*(INDEX(Properties!A$1:CB$87,Formula!F71,60))+((Formula!I71)/(Formula!C71+Formula!E71+Formula!G71+Formula!I71+Formula!K71))*(INDEX(Properties!A$1:CB$87,Formula!H71,60))+((Formula!K71)/(Formula!C71+Formula!E71+Formula!G71+Formula!I71+Formula!K71))*(INDEX(Properties!A$1:CB$87,Formula!J71,60))</f>
        <v>64.469130909090907</v>
      </c>
      <c r="GA71" s="72">
        <f>Formula!C71*(INDEX(Properties!A$1:CB$87,Formula!B71,60))+Formula!E71*(INDEX(Properties!A$1:CB$87,Formula!D71,60))+Formula!G71*(INDEX(Properties!A$1:CB$87,Formula!F71,60))+Formula!I71*(INDEX(Properties!A$1:CB$87,Formula!H71,60))+Formula!K71*(INDEX(Properties!A$1:CB$87,Formula!J71,60))</f>
        <v>709.16043999999999</v>
      </c>
      <c r="GB71" s="72">
        <f>VARP(IF(INDEX(Properties!A$1:CB$87,Formula!B71,60)&lt;&gt;"",INDEX(Properties!A$1:CB$87,Formula!B71,60)),IF(INDEX(Properties!A$1:CB$87,Formula!D71,60)&lt;&gt;"",INDEX(Properties!A$1:CB$87,Formula!D71,60)),IF(INDEX(Properties!A$1:CB$87,Formula!F71,60)&lt;&gt;"",INDEX(Properties!A$1:CB$87,Formula!F71,60)),IF(INDEX(Properties!A$1:CB$87,Formula!H71,60)&lt;&gt;"",INDEX(Properties!A$1:CB$87,Formula!H71,60)),IF(INDEX(Properties!A$1:CB$87,Formula!J71,60)&lt;&gt;"",INDEX(Properties!A$1:CB$87,Formula!J71,60)))</f>
        <v>5733.0151016044138</v>
      </c>
      <c r="GC71" s="72">
        <f>MAX(INDEX(Properties!A$1:CB$87,Formula!B71,60),INDEX(Properties!A$1:CB$87,Formula!D71,60),INDEX(Properties!A$1:CB$87,Formula!F71,60),INDEX(Properties!A$1:CB$87,Formula!H71,60),INDEX(Properties!A$1:CB$87,Formula!J71,60))</f>
        <v>200</v>
      </c>
      <c r="GD71" s="72">
        <f>MIN(IF(INDEX(Properties!A$1:CB$87,Formula!B71,60)=0,10^6,INDEX(Properties!A$1:CB$87,Formula!B71,60)),IF(INDEX(Properties!A$1:CB$87,Formula!D71,60)=0,10^6,INDEX(Properties!A$1:CB$87,Formula!D71,60)),IF(INDEX(Properties!A$1:CB$87,Formula!F71,60)=0,10^6,INDEX(Properties!A$1:CB$87,Formula!F71,60)),IF(INDEX(Properties!A$1:CB$87,Formula!H71,60)=0,10^6,INDEX(Properties!A$1:CB$87,Formula!H71,60)),IF(INDEX(Properties!A$1:CB$87,Formula!J71,60)=0,10^6,INDEX(Properties!A$1:CB$87,Formula!J71,60)))</f>
        <v>2.674E-2</v>
      </c>
      <c r="GE71" s="72">
        <f t="shared" si="62"/>
        <v>199.97326000000001</v>
      </c>
      <c r="GF71" s="51">
        <f>((Formula!C71)/(Formula!C71+Formula!E71+Formula!G71+Formula!I71+Formula!K71))*(INDEX(Properties!A$1:CB$87,Formula!B71,62))+((Formula!E71)/(Formula!C71+Formula!E71+Formula!G71+Formula!I71+Formula!K71))*(INDEX(Properties!A$1:CB$87,Formula!D71,62))+((Formula!G71)/(Formula!C71+Formula!E71+Formula!G71+Formula!I71+Formula!K71))*(INDEX(Properties!A$1:CB$87,Formula!F71,62))+((Formula!I71)/(Formula!C71+Formula!E71+Formula!G71+Formula!I71+Formula!K71))*(INDEX(Properties!A$1:CB$87,Formula!H71,62))+((Formula!K71)/(Formula!C71+Formula!E71+Formula!G71+Formula!I71+Formula!K71))*(INDEX(Properties!A$1:CB$87,Formula!J71,62))</f>
        <v>2.3290909090909091</v>
      </c>
      <c r="GG71" s="51">
        <f>Formula!C71*(INDEX(Properties!A$1:CB$87,Formula!B71,62))+Formula!E71*(INDEX(Properties!A$1:CB$87,Formula!D71,62))+Formula!G71*(INDEX(Properties!A$1:CB$87,Formula!F71,62))+Formula!I71*(INDEX(Properties!A$1:CB$87,Formula!H71,62))+Formula!K71*(INDEX(Properties!A$1:CB$87,Formula!J71,62))</f>
        <v>25.62</v>
      </c>
      <c r="GH71" s="51">
        <f>VARP(IF(INDEX(Properties!A$1:CB$87,Formula!B71,62)&lt;&gt;"",INDEX(Properties!A$1:CB$87,Formula!B71,62)),IF(INDEX(Properties!A$1:CB$87,Formula!D71,62)&lt;&gt;"",INDEX(Properties!A$1:CB$87,Formula!D71,62)),IF(INDEX(Properties!A$1:CB$87,Formula!F71,62)&lt;&gt;"",INDEX(Properties!A$1:CB$87,Formula!F71,62)),IF(INDEX(Properties!A$1:CB$87,Formula!H71,62)&lt;&gt;"",INDEX(Properties!A$1:CB$87,Formula!H71,62)),IF(INDEX(Properties!A$1:CB$87,Formula!J71,62)&lt;&gt;"",INDEX(Properties!A$1:CB$87,Formula!J71,62)))</f>
        <v>0.96805600000000025</v>
      </c>
      <c r="GI71" s="51">
        <f>MAX(INDEX(Properties!A$1:CB$87,Formula!B71,62),INDEX(Properties!A$1:CB$87,Formula!D71,62),INDEX(Properties!A$1:CB$87,Formula!F71,62),INDEX(Properties!A$1:CB$87,Formula!H71,62),INDEX(Properties!A$1:CB$87,Formula!J71,62))</f>
        <v>2.75</v>
      </c>
      <c r="GJ71" s="51">
        <f>MIN(IF(INDEX(Properties!A$1:CB$87,Formula!B71,62)=0,10^6,INDEX(Properties!A$1:CB$87,Formula!B71,62)),IF(INDEX(Properties!A$1:CB$87,Formula!D71,62)=0,10^6,INDEX(Properties!A$1:CB$87,Formula!D71,62)),IF(INDEX(Properties!A$1:CB$87,Formula!F71,62)=0,10^6,INDEX(Properties!A$1:CB$87,Formula!F71,62)),IF(INDEX(Properties!A$1:CB$87,Formula!H71,62)=0,10^6,INDEX(Properties!A$1:CB$87,Formula!H71,62)),IF(INDEX(Properties!A$1:CB$87,Formula!J71,62)=0,10^6,INDEX(Properties!A$1:CB$87,Formula!J71,62)))</f>
        <v>1.63</v>
      </c>
      <c r="GK71" s="51">
        <f t="shared" si="63"/>
        <v>1.1200000000000001</v>
      </c>
      <c r="GL71" s="51">
        <f>Formula!P71</f>
        <v>163</v>
      </c>
      <c r="GM71" s="57">
        <f>Formula!O71</f>
        <v>5</v>
      </c>
      <c r="GN71" s="51">
        <f>Formula!N71</f>
        <v>0.05</v>
      </c>
    </row>
    <row r="72" spans="1:196" x14ac:dyDescent="0.3">
      <c r="A72" s="84" t="str">
        <f>Formula!A72</f>
        <v>LiAlSiO4</v>
      </c>
      <c r="B72" s="89">
        <f>((Formula!C72)/(Formula!C72+Formula!E72+Formula!G72+Formula!I72+Formula!K72))*(INDEX(Properties!A$1:CB$87,Formula!B72,3))+((Formula!E72)/(Formula!C72+Formula!E72+Formula!G72+Formula!I72+Formula!K72))*(INDEX(Properties!A$1:CB$87,Formula!D72,3))+((Formula!G72)/(Formula!C72+Formula!E72+Formula!G72+Formula!I72+Formula!K72))*(INDEX(Properties!A$1:CB$87,Formula!F72,3))+((Formula!I72)/(Formula!C72+Formula!E72+Formula!G72+Formula!I72+Formula!K72))*(INDEX(Properties!A$1:CB$87,Formula!H72,3))+((Formula!K72)/(Formula!C72+Formula!E72+Formula!G72+Formula!I72+Formula!K72))*(INDEX(Properties!A$1:CB$87,Formula!J72,3))</f>
        <v>18.000805571428572</v>
      </c>
      <c r="C72" s="85">
        <f>Formula!C72*(INDEX(Properties!A$1:CB$87,Formula!B72,3))+Formula!E72*(INDEX(Properties!A$1:CB$87,Formula!D72,3))+Formula!G72*(INDEX(Properties!A$1:CB$87,Formula!F72,3))+Formula!I72*(INDEX(Properties!A$1:CB$87,Formula!H72,3))+Formula!K72*(INDEX(Properties!A$1:CB$87,Formula!J72,3))</f>
        <v>126.005639</v>
      </c>
      <c r="D72" s="85">
        <f>VARP(IF(INDEX(Properties!A$1:CB$87,Formula!B72,3)&lt;&gt;"",INDEX(Properties!A$1:CB$87,Formula!B72,3)),IF(INDEX(Properties!A$1:CB$87,Formula!D72,3)&lt;&gt;"",INDEX(Properties!A$1:CB$87,Formula!D72,3)),IF(INDEX(Properties!A$1:CB$87,Formula!F72,3)&lt;&gt;"",INDEX(Properties!A$1:CB$87,Formula!F72,3)),IF(INDEX(Properties!A$1:CB$87,Formula!H72,3)&lt;&gt;"",INDEX(Properties!A$1:CB$87,Formula!H72,3)),IF(INDEX(Properties!A$1:CB$87,Formula!J72,3)&lt;&gt;"",INDEX(Properties!A$1:CB$87,Formula!J72,3)))</f>
        <v>120.78498611015544</v>
      </c>
      <c r="E72" s="85">
        <f>MAX(INDEX(Properties!A$1:CB$87,Formula!B72,3),INDEX(Properties!A$1:CB$87,Formula!D72,3),INDEX(Properties!A$1:CB$87,Formula!F72,3),INDEX(Properties!A$1:CB$87,Formula!H72,3),INDEX(Properties!A$1:CB$87,Formula!J72,3))</f>
        <v>28.0855</v>
      </c>
      <c r="F72" s="85">
        <f>MIN(IF(INDEX(Properties!A$1:CB$87,Formula!B72,3)=0,10^6,INDEX(Properties!A$1:CB$87,Formula!B72,3)),IF(INDEX(Properties!A$1:CB$87,Formula!D72,3)=0,10^6,INDEX(Properties!A$1:CB$87,Formula!D72,3)),IF(INDEX(Properties!A$1:CB$87,Formula!F72,3)=0,10^6,INDEX(Properties!A$1:CB$87,Formula!F72,3)),IF(INDEX(Properties!A$1:CB$87,Formula!H72,3)=0,10^6,INDEX(Properties!A$1:CB$87,Formula!H72,3)),IF(INDEX(Properties!A$1:CB$87,Formula!J72,3)=0,10^6,INDEX(Properties!A$1:CB$87,Formula!J72,3)))</f>
        <v>6.9409999999999998</v>
      </c>
      <c r="G72" s="85">
        <f t="shared" si="32"/>
        <v>21.144500000000001</v>
      </c>
      <c r="H72" s="87">
        <f>((Formula!C72)/(Formula!C72+Formula!E72+Formula!G72+Formula!I72+Formula!K72))*(INDEX(Properties!A$1:CB$87,Formula!B72,4))+((Formula!E72)/(Formula!C72+Formula!E72+Formula!G72+Formula!I72+Formula!K72))*(INDEX(Properties!A$1:CB$87,Formula!D72,4))+((Formula!G72)/(Formula!C72+Formula!E72+Formula!G72+Formula!I72+Formula!K72))*(INDEX(Properties!A$1:CB$87,Formula!F72,4))+((Formula!I72)/(Formula!C72+Formula!E72+Formula!G72+Formula!I72+Formula!K72))*(INDEX(Properties!A$1:CB$87,Formula!H72,4))+((Formula!K72)/(Formula!C72+Formula!E72+Formula!G72+Formula!I72+Formula!K72))*(INDEX(Properties!A$1:CB$87,Formula!J72,4))</f>
        <v>8.8571428571428577</v>
      </c>
      <c r="I72" s="87">
        <f>Formula!C72*(INDEX(Properties!A$1:CB$87,Formula!B72,4))+Formula!E72*(INDEX(Properties!A$1:CB$87,Formula!D72,4))+Formula!G72*(INDEX(Properties!A$1:CB$87,Formula!F72,4))+Formula!I72*(INDEX(Properties!A$1:CB$87,Formula!H72,4))+Formula!K72*(INDEX(Properties!A$1:CB$87,Formula!J72,4))</f>
        <v>62</v>
      </c>
      <c r="J72" s="87">
        <f>VARP(IF(INDEX(Properties!A$1:CB$87,Formula!B72,4)&lt;&gt;"",INDEX(Properties!A$1:CB$87,Formula!B72,4)),IF(INDEX(Properties!A$1:CB$87,Formula!D72,4)&lt;&gt;"",INDEX(Properties!A$1:CB$87,Formula!D72,4)),IF(INDEX(Properties!A$1:CB$87,Formula!F72,4)&lt;&gt;"",INDEX(Properties!A$1:CB$87,Formula!F72,4)),IF(INDEX(Properties!A$1:CB$87,Formula!H72,4)&lt;&gt;"",INDEX(Properties!A$1:CB$87,Formula!H72,4)),IF(INDEX(Properties!A$1:CB$87,Formula!J72,4)&lt;&gt;"",INDEX(Properties!A$1:CB$87,Formula!J72,4)))</f>
        <v>29.84</v>
      </c>
      <c r="K72" s="87">
        <f>MAX(INDEX(Properties!A$1:CB$87,Formula!B72,4),INDEX(Properties!A$1:CB$87,Formula!D72,4),INDEX(Properties!A$1:CB$87,Formula!F72,4),INDEX(Properties!A$1:CB$87,Formula!H72,4),INDEX(Properties!A$1:CB$87,Formula!J72,4))</f>
        <v>14</v>
      </c>
      <c r="L72" s="87">
        <f>MIN(IF(INDEX(Properties!A$1:CB$87,Formula!B72,4)=0,10^6,INDEX(Properties!A$1:CB$87,Formula!B72,4)),IF(INDEX(Properties!A$1:CB$87,Formula!D72,4)=0,10^6,INDEX(Properties!A$1:CB$87,Formula!D72,4)),IF(INDEX(Properties!A$1:CB$87,Formula!F72,4)=0,10^6,INDEX(Properties!A$1:CB$87,Formula!F72,4)),IF(INDEX(Properties!A$1:CB$87,Formula!H72,4)=0,10^6,INDEX(Properties!A$1:CB$87,Formula!H72,4)),IF(INDEX(Properties!A$1:CB$87,Formula!J72,4)=0,10^6,INDEX(Properties!A$1:CB$87,Formula!J72,4)))</f>
        <v>3</v>
      </c>
      <c r="M72" s="87">
        <f t="shared" si="33"/>
        <v>11</v>
      </c>
      <c r="N72" s="89">
        <f>((Formula!C72)/(Formula!C72+Formula!E72+Formula!G72+Formula!I72+Formula!K72))*(INDEX(Properties!A$1:CB$87,Formula!B72,5))+((Formula!E72)/(Formula!C72+Formula!E72+Formula!G72+Formula!I72+Formula!K72))*(INDEX(Properties!A$1:CB$87,Formula!D72,5))+((Formula!G72)/(Formula!C72+Formula!E72+Formula!G72+Formula!I72+Formula!K72))*(INDEX(Properties!A$1:CB$87,Formula!F72,5))+((Formula!I72)/(Formula!C72+Formula!E72+Formula!G72+Formula!I72+Formula!K72))*(INDEX(Properties!A$1:CB$87,Formula!H72,5))+((Formula!K72)/(Formula!C72+Formula!E72+Formula!G72+Formula!I72+Formula!K72))*(INDEX(Properties!A$1:CB$87,Formula!J72,5))</f>
        <v>2.2857142857142856</v>
      </c>
      <c r="O72" s="89">
        <f>Formula!C72*(INDEX(Properties!A$1:CB$87,Formula!B72,5))+Formula!E72*(INDEX(Properties!A$1:CB$87,Formula!D72,5))+Formula!G72*(INDEX(Properties!A$1:CB$87,Formula!F72,5))+Formula!I72*(INDEX(Properties!A$1:CB$87,Formula!H72,5))+Formula!K72*(INDEX(Properties!A$1:CB$87,Formula!J72,5))</f>
        <v>16</v>
      </c>
      <c r="P72" s="89">
        <f>VARP(IF(INDEX(Properties!A$1:CB$87,Formula!B72,5)&lt;&gt;"",INDEX(Properties!A$1:CB$87,Formula!B72,5)),IF(INDEX(Properties!A$1:CB$87,Formula!D72,5)&lt;&gt;"",INDEX(Properties!A$1:CB$87,Formula!D72,5)),IF(INDEX(Properties!A$1:CB$87,Formula!F72,5)&lt;&gt;"",INDEX(Properties!A$1:CB$87,Formula!F72,5)),IF(INDEX(Properties!A$1:CB$87,Formula!H72,5)&lt;&gt;"",INDEX(Properties!A$1:CB$87,Formula!H72,5)),IF(INDEX(Properties!A$1:CB$87,Formula!J72,5)&lt;&gt;"",INDEX(Properties!A$1:CB$87,Formula!J72,5)))</f>
        <v>1.2</v>
      </c>
      <c r="Q72" s="89">
        <f>MAX(INDEX(Properties!A$1:CB$87,Formula!B72,5),INDEX(Properties!A$1:CB$87,Formula!D72,5),INDEX(Properties!A$1:CB$87,Formula!F72,5),INDEX(Properties!A$1:CB$87,Formula!H72,5),INDEX(Properties!A$1:CB$87,Formula!J72,5))</f>
        <v>3</v>
      </c>
      <c r="R72" s="89">
        <f>MIN(IF(INDEX(Properties!A$1:CB$87,Formula!B72,5)=0,10^6,INDEX(Properties!A$1:CB$87,Formula!B72,5)),IF(INDEX(Properties!A$1:CB$87,Formula!D72,5)=0,10^6,INDEX(Properties!A$1:CB$87,Formula!D72,5)),IF(INDEX(Properties!A$1:CB$87,Formula!F72,5)=0,10^6,INDEX(Properties!A$1:CB$87,Formula!F72,5)),IF(INDEX(Properties!A$1:CB$87,Formula!H72,5)=0,10^6,INDEX(Properties!A$1:CB$87,Formula!H72,5)),IF(INDEX(Properties!A$1:CB$87,Formula!J72,5)=0,10^6,INDEX(Properties!A$1:CB$87,Formula!J72,5)))</f>
        <v>2</v>
      </c>
      <c r="S72" s="89">
        <f t="shared" si="34"/>
        <v>1</v>
      </c>
      <c r="T72" s="60">
        <f>((Formula!C72)/(Formula!C72+Formula!E72+Formula!G72+Formula!I72+Formula!K72))*(INDEX(Properties!A$1:CB$87,Formula!B72,6))+((Formula!E72)/(Formula!C72+Formula!E72+Formula!G72+Formula!I72+Formula!K72))*(INDEX(Properties!A$1:CB$87,Formula!D72,6))+((Formula!G72)/(Formula!C72+Formula!E72+Formula!G72+Formula!I72+Formula!K72))*(INDEX(Properties!A$1:CB$87,Formula!F72,6))+((Formula!I72)/(Formula!C72+Formula!E72+Formula!G72+Formula!I72+Formula!K72))*(INDEX(Properties!A$1:CB$87,Formula!H72,6))+((Formula!K72)/(Formula!C72+Formula!E72+Formula!G72+Formula!I72+Formula!K72))*(INDEX(Properties!A$1:CB$87,Formula!J72,6))</f>
        <v>13.142857142857142</v>
      </c>
      <c r="U72" s="60">
        <f>Formula!C72*(INDEX(Properties!A$1:CB$87,Formula!B72,6))+Formula!E72*(INDEX(Properties!A$1:CB$87,Formula!D72,6))+Formula!G72*(INDEX(Properties!A$1:CB$87,Formula!F72,6))+Formula!I72*(INDEX(Properties!A$1:CB$87,Formula!H72,6))+Formula!K72*(INDEX(Properties!A$1:CB$87,Formula!J72,6))</f>
        <v>92</v>
      </c>
      <c r="V72" s="89">
        <f>VARP(IF(INDEX(Properties!A$1:CB$87,Formula!B72,6)&lt;&gt;"",INDEX(Properties!A$1:CB$87,Formula!B72,6)),IF(INDEX(Properties!A$1:CB$87,Formula!D72,6)&lt;&gt;"",INDEX(Properties!A$1:CB$87,Formula!D72,6)),IF(INDEX(Properties!A$1:CB$87,Formula!F72,6)&lt;&gt;"",INDEX(Properties!A$1:CB$87,Formula!F72,6)),IF(INDEX(Properties!A$1:CB$87,Formula!H72,6)&lt;&gt;"",INDEX(Properties!A$1:CB$87,Formula!H72,6)),IF(INDEX(Properties!A$1:CB$87,Formula!J72,6)&lt;&gt;"",INDEX(Properties!A$1:CB$87,Formula!J72,6)))</f>
        <v>46.96</v>
      </c>
      <c r="W72" s="60">
        <f>MAX(INDEX(Properties!A$1:CB$87,Formula!B72,6),INDEX(Properties!A$1:CB$87,Formula!D72,6),INDEX(Properties!A$1:CB$87,Formula!F72,6),INDEX(Properties!A$1:CB$87,Formula!H72,4),INDEX(Properties!A$1:CB$87,Formula!J72,6))</f>
        <v>14</v>
      </c>
      <c r="X72" s="60">
        <f>MIN(IF(INDEX(Properties!A$1:CB$87,Formula!B72,6)=0,10^6,INDEX(Properties!A$1:CB$87,Formula!B72,6)),IF(INDEX(Properties!A$1:CB$87,Formula!D72,6)=0,10^6,INDEX(Properties!A$1:CB$87,Formula!D72,6)),IF(INDEX(Properties!A$1:CB$87,Formula!F72,6)=0,10^6,INDEX(Properties!A$1:CB$87,Formula!F72,6)),IF(INDEX(Properties!A$1:CB$87,Formula!H72,6)=0,10^6,INDEX(Properties!A$1:CB$87,Formula!H72,6)),IF(INDEX(Properties!A$1:CB$87,Formula!J72,6)=0,10^6,INDEX(Properties!A$1:CB$87,Formula!J72,6)))</f>
        <v>1</v>
      </c>
      <c r="Y72" s="60">
        <f t="shared" si="35"/>
        <v>13</v>
      </c>
      <c r="Z72" s="72">
        <f>((Formula!C72)/(Formula!C72+Formula!E72+Formula!G72+Formula!I72+Formula!K72))*(INDEX(Properties!A$1:CB$87,Formula!B72,9))+((Formula!E72)/(Formula!C72+Formula!E72+Formula!G72+Formula!I72+Formula!K72))*(INDEX(Properties!A$1:CB$87,Formula!D72,9))+((Formula!G72)/(Formula!C72+Formula!E72+Formula!G72+Formula!I72+Formula!K72))*(INDEX(Properties!A$1:CB$87,Formula!F72,9))+((Formula!I72)/(Formula!C72+Formula!E72+Formula!G72+Formula!I72+Formula!K72))*(INDEX(Properties!A$1:CB$87,Formula!H72,9))+((Formula!K72)/(Formula!C72+Formula!E72+Formula!G72+Formula!I72+Formula!K72))*(INDEX(Properties!A$1:CB$87,Formula!J72,9))</f>
        <v>71.428571428571416</v>
      </c>
      <c r="AA72" s="72">
        <f>Formula!C72*(INDEX(Properties!A$1:CB$87,Formula!B72,9))+Formula!E72*(INDEX(Properties!A$1:CB$87,Formula!D72,9))+Formula!G72*(INDEX(Properties!A$1:CB$87,Formula!F72,9))+Formula!I72*(INDEX(Properties!A$1:CB$87,Formula!H72,9))+Formula!K72*(INDEX(Properties!A$1:CB$87,Formula!J72,9))</f>
        <v>500</v>
      </c>
      <c r="AB72" s="72">
        <f>VARP(IF(INDEX(Properties!A$1:CB$87,Formula!B72,9)&lt;&gt;"",INDEX(Properties!A$1:CB$87,Formula!B72,9)),IF(INDEX(Properties!A$1:CB$87,Formula!D72,9)&lt;&gt;"",INDEX(Properties!A$1:CB$87,Formula!D72,9)),IF(INDEX(Properties!A$1:CB$87,Formula!F72,9)&lt;&gt;"",INDEX(Properties!A$1:CB$87,Formula!F72,9)),IF(INDEX(Properties!A$1:CB$87,Formula!H72,9)&lt;&gt;"",INDEX(Properties!A$1:CB$87,Formula!H72,9)),IF(INDEX(Properties!A$1:CB$87,Formula!J72,9)&lt;&gt;"",INDEX(Properties!A$1:CB$87,Formula!J72,9)))</f>
        <v>1511.76</v>
      </c>
      <c r="AC72" s="72">
        <f>MAX(INDEX(Properties!A$1:CB$87,Formula!B72,9),INDEX(Properties!A$1:CB$87,Formula!D72,9),INDEX(Properties!A$1:CB$87,Formula!F72,9),INDEX(Properties!A$1:CB$87,Formula!H72,9),INDEX(Properties!A$1:CB$87,Formula!J72,9))</f>
        <v>87</v>
      </c>
      <c r="AD72" s="72">
        <f>MIN(IF(INDEX(Properties!A$1:CB$87,Formula!B72,9)=0,10^6,INDEX(Properties!A$1:CB$87,Formula!B72,9)),IF(INDEX(Properties!A$1:CB$87,Formula!D72,9)=0,10^6,INDEX(Properties!A$1:CB$87,Formula!D72,9)),IF(INDEX(Properties!A$1:CB$87,Formula!F72,9)=0,10^6,INDEX(Properties!A$1:CB$87,Formula!F72,9)),IF(INDEX(Properties!A$1:CB$87,Formula!H72,9)=0,10^6,INDEX(Properties!A$1:CB$87,Formula!H72,9)),IF(INDEX(Properties!A$1:CB$87,Formula!J72,9)=0,10^6,INDEX(Properties!A$1:CB$87,Formula!J72,9)))</f>
        <v>1</v>
      </c>
      <c r="AE72" s="72">
        <f t="shared" si="36"/>
        <v>86</v>
      </c>
      <c r="AF72" s="51">
        <f>((Formula!C72)/(Formula!C72+Formula!E72+Formula!G72+Formula!I72+Formula!K72))*(INDEX(Properties!A$1:CB$87,Formula!B72,10))+((Formula!E72)/(Formula!C72+Formula!E72+Formula!G72+Formula!I72+Formula!K72))*(INDEX(Properties!A$1:CB$87,Formula!D72,10))+((Formula!G72)/(Formula!C72+Formula!E72+Formula!G72+Formula!I72+Formula!K72))*(INDEX(Properties!A$1:CB$87,Formula!F72,10))+((Formula!I72)/(Formula!C72+Formula!E72+Formula!G72+Formula!I72+Formula!K72))*(INDEX(Properties!A$1:CB$87,Formula!H72,10))+((Formula!K72)/(Formula!C72+Formula!E72+Formula!G72+Formula!I72+Formula!K72))*(INDEX(Properties!A$1:CB$87,Formula!J72,10))</f>
        <v>5.7142857142857135</v>
      </c>
      <c r="AG72" s="51">
        <f>Formula!C72*(INDEX(Properties!A$1:CB$87,Formula!B72,10))+Formula!E72*(INDEX(Properties!A$1:CB$87,Formula!D72,10))+Formula!G72*(INDEX(Properties!A$1:CB$87,Formula!F72,10))+Formula!I72*(INDEX(Properties!A$1:CB$87,Formula!H72,10))+Formula!K72*(INDEX(Properties!A$1:CB$87,Formula!J72,10))</f>
        <v>40</v>
      </c>
      <c r="AH72" s="51">
        <f>VARP(IF(INDEX(Properties!A$1:CB$87,Formula!B72,10)&lt;&gt;"",INDEX(Properties!A$1:CB$87,Formula!B72,10)),IF(INDEX(Properties!A$1:CB$87,Formula!D72,10)&lt;&gt;"",INDEX(Properties!A$1:CB$87,Formula!D72,10)),IF(INDEX(Properties!A$1:CB$87,Formula!F72,10)&lt;&gt;"",INDEX(Properties!A$1:CB$87,Formula!F72,10)),IF(INDEX(Properties!A$1:CB$87,Formula!H72,10)&lt;&gt;"",INDEX(Properties!A$1:CB$87,Formula!H72,10)),IF(INDEX(Properties!A$1:CB$87,Formula!J72,10)&lt;&gt;"",INDEX(Properties!A$1:CB$87,Formula!J72,10)))</f>
        <v>7.76</v>
      </c>
      <c r="AI72" s="51">
        <f>MAX(INDEX(Properties!A$1:CB$87,Formula!B72,10),INDEX(Properties!A$1:CB$87,Formula!D72,10),INDEX(Properties!A$1:CB$87,Formula!F72,10),INDEX(Properties!A$1:CB$87,Formula!H72,10),INDEX(Properties!A$1:CB$87,Formula!J72,10))</f>
        <v>7</v>
      </c>
      <c r="AJ72" s="51">
        <f>MIN(IF(INDEX(Properties!A$1:CB$87,Formula!B72,10)=0,10^6,INDEX(Properties!A$1:CB$87,Formula!B72,10)),IF(INDEX(Properties!A$1:CB$87,Formula!D72,10)=0,10^6,INDEX(Properties!A$1:CB$87,Formula!D72,10)),IF(INDEX(Properties!A$1:CB$87,Formula!F72,10)=0,10^6,INDEX(Properties!A$1:CB$87,Formula!F72,10)),IF(INDEX(Properties!A$1:CB$87,Formula!H72,10)=0,10^6,INDEX(Properties!A$1:CB$87,Formula!H72,10)),IF(INDEX(Properties!A$1:CB$87,Formula!J72,10)=0,10^6,INDEX(Properties!A$1:CB$87,Formula!J72,10)))</f>
        <v>1</v>
      </c>
      <c r="AK72" s="51">
        <f t="shared" si="37"/>
        <v>6</v>
      </c>
      <c r="AL72" s="57">
        <f>((Formula!C72)/(Formula!C72+Formula!E72+Formula!G72+Formula!I72+Formula!K72))*(INDEX(Properties!A$1:CB$87,Formula!B72,11))+((Formula!E72)/(Formula!C72+Formula!E72+Formula!G72+Formula!I72+Formula!K72))*(INDEX(Properties!A$1:CB$87,Formula!D72,11))+((Formula!G72)/(Formula!C72+Formula!E72+Formula!G72+Formula!I72+Formula!K72))*(INDEX(Properties!A$1:CB$87,Formula!F72,11))+((Formula!I72)/(Formula!C72+Formula!E72+Formula!G72+Formula!I72+Formula!K72))*(INDEX(Properties!A$1:CB$87,Formula!H72,11))+((Formula!K72)/(Formula!C72+Formula!E72+Formula!G72+Formula!I72+Formula!K72))*(INDEX(Properties!A$1:CB$87,Formula!J72,11))</f>
        <v>1.857142857142857</v>
      </c>
      <c r="AM72" s="57">
        <f>Formula!C72*(INDEX(Properties!A$1:CB$87,Formula!B72,11))+Formula!E72*(INDEX(Properties!A$1:CB$87,Formula!D72,11))+Formula!G72*(INDEX(Properties!A$1:CB$87,Formula!F72,11))+Formula!I72*(INDEX(Properties!A$1:CB$87,Formula!H72,11))+Formula!K72*(INDEX(Properties!A$1:CB$87,Formula!J72,11))</f>
        <v>13</v>
      </c>
      <c r="AN72" s="57">
        <f>VARP(IF(INDEX(Properties!A$1:CB$87,Formula!B72,11)&lt;&gt;"",INDEX(Properties!A$1:CB$87,Formula!B72,11)),IF(INDEX(Properties!A$1:CB$87,Formula!D72,11)&lt;&gt;"",INDEX(Properties!A$1:CB$87,Formula!D72,11)),IF(INDEX(Properties!A$1:CB$87,Formula!F72,11)&lt;&gt;"",INDEX(Properties!A$1:CB$87,Formula!F72,11)),IF(INDEX(Properties!A$1:CB$87,Formula!H72,11)&lt;&gt;"",INDEX(Properties!A$1:CB$87,Formula!H72,11)),IF(INDEX(Properties!A$1:CB$87,Formula!J72,11)&lt;&gt;"",INDEX(Properties!A$1:CB$87,Formula!J72,11)))</f>
        <v>0.64</v>
      </c>
      <c r="AO72" s="57">
        <f>MAX(INDEX(Properties!A$1:CB$87,Formula!B72,11),INDEX(Properties!A$1:CB$87,Formula!D72,11),INDEX(Properties!A$1:CB$87,Formula!F72,11),INDEX(Properties!A$1:CB$87,Formula!H72,11),INDEX(Properties!A$1:CB$87,Formula!J72,11))</f>
        <v>2</v>
      </c>
      <c r="AP72" s="57">
        <f>MIN(IF(Formula!B72=87,10^6,INDEX(Properties!A$1:CB$87,Formula!B72,11)),IF((Formula!D72)=87,10^6,INDEX(Properties!A$1:CB$87,Formula!D72,11)),IF((Formula!F72)=87,10^6,INDEX(Properties!A$1:CB$87,Formula!F72,11)),IF((Formula!H72)=87,10^6,INDEX(Properties!A$1:CB$87,Formula!H72,11)),IF(Formula!J72=87,10^6,INDEX(Properties!A$1:CB$87,Formula!J72,11)))</f>
        <v>1</v>
      </c>
      <c r="AQ72" s="57">
        <f t="shared" si="38"/>
        <v>1</v>
      </c>
      <c r="AR72" s="78">
        <f>((Formula!C72)/(Formula!C72+Formula!E72+Formula!G72+Formula!I72+Formula!K72))*(INDEX(Properties!A$1:CB$87,Formula!B72,12))+((Formula!E72)/(Formula!C72+Formula!E72+Formula!G72+Formula!I72+Formula!K72))*(INDEX(Properties!A$1:CB$87,Formula!D72,12))+((Formula!G72)/(Formula!C72+Formula!E72+Formula!G72+Formula!I72+Formula!K72))*(INDEX(Properties!A$1:CB$87,Formula!F72,12))+((Formula!I72)/(Formula!C72+Formula!E72+Formula!G72+Formula!I72+Formula!K72))*(INDEX(Properties!A$1:CB$87,Formula!H72,12))+((Formula!K72)/(Formula!C72+Formula!E72+Formula!G72+Formula!I72+Formula!K72))*(INDEX(Properties!A$1:CB$87,Formula!J72,12))</f>
        <v>2.714285714285714</v>
      </c>
      <c r="AS72" s="78">
        <f>Formula!C72*(INDEX(Properties!A$1:CB$87,Formula!B72,12))+Formula!E72*(INDEX(Properties!A$1:CB$87,Formula!D72,12))+Formula!G72*(INDEX(Properties!A$1:CB$87,Formula!F72,12))+Formula!I72*(INDEX(Properties!A$1:CB$87,Formula!H72,12))+Formula!K72*(INDEX(Properties!A$1:CB$87,Formula!J72,12))</f>
        <v>19</v>
      </c>
      <c r="AT72" s="78">
        <f>VARP(IF(INDEX(Properties!A$1:CB$87,Formula!B72,12)&lt;&gt;"",INDEX(Properties!A$1:CB$87,Formula!B72,12)),IF(INDEX(Properties!A$1:CB$87,Formula!D72,12)&lt;&gt;"",INDEX(Properties!A$1:CB$87,Formula!D72,12)),IF(INDEX(Properties!A$1:CB$87,Formula!F72,12)&lt;&gt;"",INDEX(Properties!A$1:CB$87,Formula!F72,12)),IF(INDEX(Properties!A$1:CB$87,Formula!H72,12)&lt;&gt;"",INDEX(Properties!A$1:CB$87,Formula!H72,12)),IF(INDEX(Properties!A$1:CB$87,Formula!J72,12)&lt;&gt;"",INDEX(Properties!A$1:CB$87,Formula!J72,12)))</f>
        <v>2.2400000000000002</v>
      </c>
      <c r="AU72" s="78">
        <f>MAX(INDEX(Properties!A$1:CB$87,Formula!B72,12),INDEX(Properties!A$1:CB$87,Formula!D72,12),INDEX(Properties!A$1:CB$87,Formula!F72,12),INDEX(Properties!A$1:CB$87,Formula!H72,12),INDEX(Properties!A$1:CB$87,Formula!J72,12))</f>
        <v>4</v>
      </c>
      <c r="AV72" s="78">
        <f>MIN(IF(Formula!B72=87,10^6,INDEX(Properties!A$1:CB$87,Formula!B72,12)),IF((Formula!D72)=87,10^6,INDEX(Properties!A$1:CB$87,Formula!D72,12)),IF((Formula!F72)=87,10^6,INDEX(Properties!A$1:CB$87,Formula!F72,12)),IF((Formula!H72)=87,10^6,INDEX(Properties!A$1:CB$87,Formula!H72,12)),IF(Formula!J72=87,10^6,INDEX(Properties!A$1:CB$87,Formula!J72,12)))</f>
        <v>0</v>
      </c>
      <c r="AW72" s="78">
        <f t="shared" si="39"/>
        <v>4</v>
      </c>
      <c r="AX72" s="45">
        <f>((Formula!C72)/(Formula!C72+Formula!E72+Formula!G72+Formula!I72+Formula!K72))*(INDEX(Properties!A$1:CB$87,Formula!B72,13))+((Formula!E72)/(Formula!C72+Formula!E72+Formula!G72+Formula!I72+Formula!K72))*(INDEX(Properties!A$1:CB$87,Formula!D72,13))+((Formula!G72)/(Formula!C72+Formula!E72+Formula!G72+Formula!I72+Formula!K72))*(INDEX(Properties!A$1:CB$87,Formula!F72,13))+((Formula!I72)/(Formula!C72+Formula!E72+Formula!G72+Formula!I72+Formula!K72))*(INDEX(Properties!A$1:CB$87,Formula!H72,13))+((Formula!K72)/(Formula!C72+Formula!E72+Formula!G72+Formula!I72+Formula!K72))*(INDEX(Properties!A$1:CB$87,Formula!J72,13))</f>
        <v>0</v>
      </c>
      <c r="AY72" s="45">
        <f>Formula!C72*(INDEX(Properties!A$1:CB$87,Formula!B72,13))+Formula!E72*(INDEX(Properties!A$1:CB$87,Formula!D72,13))+Formula!G72*(INDEX(Properties!A$1:CB$87,Formula!F72,13))+Formula!I72*(INDEX(Properties!A$1:CB$87,Formula!H72,13))+Formula!K72*(INDEX(Properties!A$1:CB$87,Formula!J72,13))</f>
        <v>0</v>
      </c>
      <c r="AZ72" s="45">
        <f>VARP(IF(INDEX(Properties!A$1:CB$87,Formula!B72,13)&lt;&gt;"",INDEX(Properties!A$1:CB$87,Formula!B72,13)),IF(INDEX(Properties!A$1:CB$87,Formula!D72,13)&lt;&gt;"",INDEX(Properties!A$1:CB$87,Formula!D72,13)),IF(INDEX(Properties!A$1:CB$87,Formula!F72,13)&lt;&gt;"",INDEX(Properties!A$1:CB$87,Formula!F72,13)),IF(INDEX(Properties!A$1:CB$87,Formula!H72,13)&lt;&gt;"",INDEX(Properties!A$1:CB$87,Formula!H72,13)),IF(INDEX(Properties!A$1:CB$87,Formula!J72,13)&lt;&gt;"",INDEX(Properties!A$1:CB$87,Formula!J72,13)))</f>
        <v>0</v>
      </c>
      <c r="BA72" s="45">
        <f>MAX(INDEX(Properties!A$1:CB$87,Formula!B72,13),INDEX(Properties!A$1:CB$87,Formula!D72,13),INDEX(Properties!A$1:CB$87,Formula!F72,13),INDEX(Properties!A$1:CB$87,Formula!H72,13),INDEX(Properties!A$1:CB$87,Formula!J72,13))</f>
        <v>0</v>
      </c>
      <c r="BB72" s="45">
        <f>MIN(IF(Formula!B72=87,10^6,INDEX(Properties!A$1:CB$87,Formula!B72,13)),IF((Formula!D72)=87,10^6,INDEX(Properties!A$1:CB$87,Formula!D72,13)),IF((Formula!F72)=87,10^6,INDEX(Properties!A$1:CB$87,Formula!F72,13)),IF((Formula!H72)=87,10^6,INDEX(Properties!A$1:CB$87,Formula!H72,13)),IF(Formula!J72=87,10^6,INDEX(Properties!A$1:CB$87,Formula!J72,13)))</f>
        <v>0</v>
      </c>
      <c r="BC72" s="45">
        <f t="shared" si="40"/>
        <v>0</v>
      </c>
      <c r="BD72" s="63">
        <f>((Formula!C72)/(Formula!C72+Formula!E72+Formula!G72+Formula!I72+Formula!K72))*(INDEX(Properties!A$1:CB$87,Formula!B72,14))+((Formula!E72)/(Formula!C72+Formula!E72+Formula!G72+Formula!I72+Formula!K72))*(INDEX(Properties!A$1:CB$87,Formula!D72,14))+((Formula!G72)/(Formula!C72+Formula!E72+Formula!G72+Formula!I72+Formula!K72))*(INDEX(Properties!A$1:CB$87,Formula!F72,14))+((Formula!I72)/(Formula!C72+Formula!E72+Formula!G72+Formula!I72+Formula!K72))*(INDEX(Properties!A$1:CB$87,Formula!H72,14))+((Formula!K72)/(Formula!C72+Formula!E72+Formula!G72+Formula!I72+Formula!K72))*(INDEX(Properties!A$1:CB$87,Formula!J72,14))</f>
        <v>0</v>
      </c>
      <c r="BE72" s="63">
        <f>Formula!C72*(INDEX(Properties!A$1:CB$87,Formula!B72,14))+Formula!E72*(INDEX(Properties!A$1:CB$87,Formula!D72,14))+Formula!G72*(INDEX(Properties!A$1:CB$87,Formula!F72,14))+Formula!I72*(INDEX(Properties!A$1:CB$87,Formula!H72,14))+Formula!K72*(INDEX(Properties!A$1:CB$87,Formula!J72,14))</f>
        <v>0</v>
      </c>
      <c r="BF72" s="63">
        <f>VARP(IF(INDEX(Properties!A$1:CB$87,Formula!B72,14)&lt;&gt;"",INDEX(Properties!A$1:CB$87,Formula!B72,14)),IF(INDEX(Properties!A$1:CB$87,Formula!D72,14)&lt;&gt;"",INDEX(Properties!A$1:CB$87,Formula!D72,14)),IF(INDEX(Properties!A$1:CB$87,Formula!F72,14)&lt;&gt;"",INDEX(Properties!A$1:CB$87,Formula!F72,14)),IF(INDEX(Properties!A$1:CB$87,Formula!H72,14)&lt;&gt;"",INDEX(Properties!A$1:CB$87,Formula!H72,14)),IF(INDEX(Properties!A$1:CB$87,Formula!J72,14)&lt;&gt;"",INDEX(Properties!A$1:CB$87,Formula!J72,14)))</f>
        <v>0</v>
      </c>
      <c r="BG72" s="63">
        <f>MAX(INDEX(Properties!A$1:CB$87,Formula!B72,14),INDEX(Properties!A$1:CB$87,Formula!D72,14),INDEX(Properties!A$1:CB$87,Formula!F72,14),INDEX(Properties!A$1:CB$87,Formula!H72,14),INDEX(Properties!A$1:CB$87,Formula!J72,14))</f>
        <v>0</v>
      </c>
      <c r="BH72" s="63">
        <f>MIN(IF(Formula!B72=87,10^6,INDEX(Properties!A$1:CB$87,Formula!B72,14)),IF((Formula!D72)=87,10^6,INDEX(Properties!A$1:CB$87,Formula!D72,14)),IF((Formula!F72)=87,10^6,INDEX(Properties!A$1:CB$87,Formula!F72,14)),IF((Formula!H72)=87,10^6,INDEX(Properties!A$1:CB$87,Formula!H72,14)),IF(Formula!J72=87,10^6,INDEX(Properties!A$1:CB$87,Formula!J72,14)))</f>
        <v>0</v>
      </c>
      <c r="BI72" s="63">
        <f t="shared" si="41"/>
        <v>0</v>
      </c>
      <c r="BJ72" s="75">
        <f>((Formula!C72)/(Formula!C72+Formula!E72+Formula!G72+Formula!I72+Formula!K72))*(INDEX(Properties!A$1:CB$87,Formula!B72,19))+((Formula!E72)/(Formula!C72+Formula!E72+Formula!G72+Formula!I72+Formula!K72))*(INDEX(Properties!A$1:CB$87,Formula!D72,19))+((Formula!G72)/(Formula!C72+Formula!E72+Formula!G72+Formula!I72+Formula!K72))*(INDEX(Properties!A$1:CB$87,Formula!F72,19))+((Formula!I72)/(Formula!C72+Formula!E72+Formula!G72+Formula!I72+Formula!K72))*(INDEX(Properties!A$1:CB$87,Formula!H72,19))+((Formula!K72)/(Formula!C72+Formula!E72+Formula!G72+Formula!I72+Formula!K72))*(INDEX(Properties!A$1:CB$87,Formula!J72,19))</f>
        <v>4.5714285714285712</v>
      </c>
      <c r="BK72" s="75">
        <f>Formula!C72*(INDEX(Properties!A$1:CB$87,Formula!B72,19))+Formula!E72*(INDEX(Properties!A$1:CB$87,Formula!D72,19))+Formula!G72*(INDEX(Properties!A$1:CB$87,Formula!F72,19))+Formula!I72*(INDEX(Properties!A$1:CB$87,Formula!H72,19))+Formula!K72*(INDEX(Properties!A$1:CB$87,Formula!J72,19))</f>
        <v>32</v>
      </c>
      <c r="BL72" s="75">
        <f>VARP(IF(INDEX(Properties!A$1:CB$87,Formula!B72,19)&lt;&gt;"",INDEX(Properties!A$1:CB$87,Formula!B72,19)),IF(INDEX(Properties!A$1:CB$87,Formula!D72,19)&lt;&gt;"",INDEX(Properties!A$1:CB$87,Formula!D72,19)),IF(INDEX(Properties!A$1:CB$87,Formula!F72,19)&lt;&gt;"",INDEX(Properties!A$1:CB$87,Formula!F72,19)),IF(INDEX(Properties!A$1:CB$87,Formula!H72,19)&lt;&gt;"",INDEX(Properties!A$1:CB$87,Formula!H72,19)),IF(INDEX(Properties!A$1:CB$87,Formula!J72,19)&lt;&gt;"",INDEX(Properties!A$1:CB$87,Formula!J72,19)))</f>
        <v>4.5599999999999996</v>
      </c>
      <c r="BM72" s="75">
        <f>MAX(INDEX(Properties!A$1:CB$87,Formula!B72,19),INDEX(Properties!A$1:CB$87,Formula!D72,19),INDEX(Properties!A$1:CB$87,Formula!F72,19),INDEX(Properties!A$1:CB$87,Formula!H72,19),INDEX(Properties!A$1:CB$87,Formula!J72,19))</f>
        <v>6</v>
      </c>
      <c r="BN72" s="75">
        <f>MIN(IF(INDEX(Properties!A$1:CB$87,Formula!B72,19)=0,10^6,INDEX(Properties!A$1:CB$87,Formula!B72,19)),IF(INDEX(Properties!A$1:CB$87,Formula!D72,19)=0,10^6,INDEX(Properties!A$1:CB$87,Formula!D72,19)),IF(INDEX(Properties!A$1:CB$87,Formula!F72,19)=0,10^6,INDEX(Properties!A$1:CB$87,Formula!F72,19)),IF(INDEX(Properties!A$1:CB$87,Formula!H72,19)=0,10^6,INDEX(Properties!A$1:CB$87,Formula!H72,19)),IF(INDEX(Properties!A$1:CB$87,Formula!J72,19)=0,10^6,INDEX(Properties!A$1:CB$87,Formula!J72,19)))</f>
        <v>1</v>
      </c>
      <c r="BO72" s="75">
        <f t="shared" si="42"/>
        <v>5</v>
      </c>
      <c r="BP72" s="48">
        <f>((Formula!C72)/(Formula!C72+Formula!E72+Formula!G72+Formula!I72+Formula!K72))*(INDEX(Properties!A$1:CB$87,Formula!B72,20))+((Formula!E72)/(Formula!C72+Formula!E72+Formula!G72+Formula!I72+Formula!K72))*(INDEX(Properties!A$1:CB$87,Formula!D72,20))+((Formula!G72)/(Formula!C72+Formula!E72+Formula!G72+Formula!I72+Formula!K72))*(INDEX(Properties!A$1:CB$87,Formula!F72,20))+((Formula!I72)/(Formula!C72+Formula!E72+Formula!G72+Formula!I72+Formula!K72))*(INDEX(Properties!A$1:CB$87,Formula!H72,20))+((Formula!K72)/(Formula!C72+Formula!E72+Formula!G72+Formula!I72+Formula!K72))*(INDEX(Properties!A$1:CB$87,Formula!J72,20))</f>
        <v>4.5714285714285712</v>
      </c>
      <c r="BQ72" s="48">
        <f>Formula!C72*(INDEX(Properties!A$1:CB$87,Formula!B72,20))+Formula!E72*(INDEX(Properties!A$1:CB$87,Formula!D72,20))+Formula!G72*(INDEX(Properties!A$1:CB$87,Formula!F72,20))+Formula!I72*(INDEX(Properties!A$1:CB$87,Formula!H72,20))+Formula!K72*(INDEX(Properties!A$1:CB$87,Formula!J72,20))</f>
        <v>32</v>
      </c>
      <c r="BR72" s="48">
        <f>VARP(IF(INDEX(Properties!A$1:CB$87,Formula!B72,20)&lt;&gt;"",INDEX(Properties!A$1:CB$87,Formula!B72,20)),IF(INDEX(Properties!A$1:CB$87,Formula!D72,20)&lt;&gt;"",INDEX(Properties!A$1:CB$87,Formula!D72,20)),IF(INDEX(Properties!A$1:CB$87,Formula!F72,20)&lt;&gt;"",INDEX(Properties!A$1:CB$87,Formula!F72,20)),IF(INDEX(Properties!A$1:CB$87,Formula!H72,20)&lt;&gt;"",INDEX(Properties!A$1:CB$87,Formula!H72,20)),IF(INDEX(Properties!A$1:CB$87,Formula!J72,20)&lt;&gt;"",INDEX(Properties!A$1:CB$87,Formula!J72,20)))</f>
        <v>4.5599999999999996</v>
      </c>
      <c r="BS72" s="48">
        <f>MAX(INDEX(Properties!A$1:CB$87,Formula!B72,20),INDEX(Properties!A$1:CB$87,Formula!D72,20),INDEX(Properties!A$1:CB$87,Formula!F72,20),INDEX(Properties!A$1:CB$87,Formula!H72,20),INDEX(Properties!A$1:CB$87,Formula!J72,20))</f>
        <v>6</v>
      </c>
      <c r="BT72" s="48">
        <f>MIN(IF(INDEX(Properties!A$1:CB$87,Formula!B72,20)=0,10^6,INDEX(Properties!A$1:CB$87,Formula!B72,20)),IF(INDEX(Properties!A$1:CB$87,Formula!D72,20)=0,10^6,INDEX(Properties!A$1:CB$87,Formula!D72,20)),IF(INDEX(Properties!A$1:CB$87,Formula!F72,20)=0,10^6,INDEX(Properties!A$1:CB$87,Formula!F72,20)),IF(INDEX(Properties!A$1:CB$87,Formula!H72,20)=0,10^6,INDEX(Properties!A$1:CB$87,Formula!H72,20)),IF(INDEX(Properties!A$1:CB$87,Formula!J72,20)=0,10^6,INDEX(Properties!A$1:CB$87,Formula!J72,20)))</f>
        <v>1</v>
      </c>
      <c r="BU72" s="48">
        <f t="shared" si="43"/>
        <v>5</v>
      </c>
      <c r="BV72" s="66">
        <f>((Formula!C72)/(Formula!C72+Formula!E72+Formula!G72+Formula!I72+Formula!K72))*(INDEX(Properties!A$1:CB$87,Formula!B72,21))+((Formula!E72)/(Formula!C72+Formula!E72+Formula!G72+Formula!I72+Formula!K72))*(INDEX(Properties!A$1:CB$87,Formula!D72,21))+((Formula!G72)/(Formula!C72+Formula!E72+Formula!G72+Formula!I72+Formula!K72))*(INDEX(Properties!A$1:CB$87,Formula!F72,21))+((Formula!I72)/(Formula!C72+Formula!E72+Formula!G72+Formula!I72+Formula!K72))*(INDEX(Properties!A$1:CB$87,Formula!H72,21))+((Formula!K72)/(Formula!C72+Formula!E72+Formula!G72+Formula!I72+Formula!K72))*(INDEX(Properties!A$1:CB$87,Formula!J72,21))</f>
        <v>4.5714285714285712</v>
      </c>
      <c r="BW72" s="66">
        <f>Formula!C72*(INDEX(Properties!A$1:CB$87,Formula!B72,21))+Formula!E72*(INDEX(Properties!A$1:CB$87,Formula!D72,21))+Formula!G72*(INDEX(Properties!A$1:CB$87,Formula!F72,21))+Formula!I72*(INDEX(Properties!A$1:CB$87,Formula!H72,21))+Formula!K72*(INDEX(Properties!A$1:CB$87,Formula!J72,21))</f>
        <v>32</v>
      </c>
      <c r="BX72" s="66">
        <f>VARP(IF(INDEX(Properties!A$1:CB$87,Formula!B72,21)&lt;&gt;"",INDEX(Properties!A$1:CB$87,Formula!B72,21)),IF(INDEX(Properties!A$1:CB$87,Formula!D72,21)&lt;&gt;"",INDEX(Properties!A$1:CB$87,Formula!D72,21)),IF(INDEX(Properties!A$1:CB$87,Formula!F72,21)&lt;&gt;"",INDEX(Properties!A$1:CB$87,Formula!F72,21)),IF(INDEX(Properties!A$1:CB$87,Formula!H72,21)&lt;&gt;"",INDEX(Properties!A$1:CB$87,Formula!H72,21)),IF(INDEX(Properties!A$1:CB$87,Formula!J72,21)&lt;&gt;"",INDEX(Properties!A$1:CB$87,Formula!J72,21)))</f>
        <v>4.5599999999999996</v>
      </c>
      <c r="BY72" s="66">
        <f>MAX(INDEX(Properties!A$1:CB$87,Formula!B72,21),INDEX(Properties!A$1:CB$87,Formula!D72,21),INDEX(Properties!A$1:CB$87,Formula!F72,21),INDEX(Properties!A$1:CB$87,Formula!H72,21),INDEX(Properties!A$1:CB$87,Formula!J72,21))</f>
        <v>6</v>
      </c>
      <c r="BZ72" s="66">
        <f>MIN(IF(INDEX(Properties!A$1:CB$87,Formula!B72,21)=0,10^6,INDEX(Properties!A$1:CB$87,Formula!B72,21)),IF(INDEX(Properties!A$1:CB$87,Formula!D72,21)=0,10^6,INDEX(Properties!A$1:CB$87,Formula!D72,21)),IF(INDEX(Properties!A$1:CB$87,Formula!F72,21)=0,10^6,INDEX(Properties!A$1:CB$87,Formula!F72,21)),IF(INDEX(Properties!A$1:CB$87,Formula!H72,21)=0,10^6,INDEX(Properties!A$1:CB$87,Formula!H72,21)),IF(INDEX(Properties!A$1:CB$87,Formula!J72,21)=0,10^6,INDEX(Properties!A$1:CB$87,Formula!J72,21)))</f>
        <v>1</v>
      </c>
      <c r="CA72" s="66">
        <f t="shared" si="44"/>
        <v>5</v>
      </c>
      <c r="CB72" s="81">
        <f>((Formula!C72)/(Formula!C72+Formula!E72+Formula!G72+Formula!I72+Formula!K72))*(INDEX(Properties!A$1:CB$87,Formula!B72,23))+((Formula!E72)/(Formula!C72+Formula!E72+Formula!G72+Formula!I72+Formula!K72))*(INDEX(Properties!A$1:CB$87,Formula!D72,23))+((Formula!G72)/(Formula!C72+Formula!E72+Formula!G72+Formula!I72+Formula!K72))*(INDEX(Properties!A$1:CB$87,Formula!F72,23))+((Formula!I72)/(Formula!C72+Formula!E72+Formula!G72+Formula!I72+Formula!K72))*(INDEX(Properties!A$1:CB$87,Formula!H72,23))+((Formula!K72)/(Formula!C72+Formula!E72+Formula!G72+Formula!I72+Formula!K72))*(INDEX(Properties!A$1:CB$87,Formula!J72,23))</f>
        <v>1.1428571428571428</v>
      </c>
      <c r="CC72" s="81">
        <f>Formula!C72*(INDEX(Properties!A$1:CB$87,Formula!B72,23))+Formula!E72*(INDEX(Properties!A$1:CB$87,Formula!D72,23))+Formula!G72*(INDEX(Properties!A$1:CB$87,Formula!F72,23))+Formula!I72*(INDEX(Properties!A$1:CB$87,Formula!H72,23))+Formula!K72*(INDEX(Properties!A$1:CB$87,Formula!J72,23))</f>
        <v>8</v>
      </c>
      <c r="CD72" s="81">
        <f>VARP(IF(INDEX(Properties!A$1:CB$87,Formula!B72,23)&lt;&gt;"",INDEX(Properties!A$1:CB$87,Formula!B72,23)),IF(INDEX(Properties!A$1:CB$87,Formula!D72,23)&lt;&gt;"",INDEX(Properties!A$1:CB$87,Formula!D72,23)),IF(INDEX(Properties!A$1:CB$87,Formula!F72,23)&lt;&gt;"",INDEX(Properties!A$1:CB$87,Formula!F72,23)),IF(INDEX(Properties!A$1:CB$87,Formula!H72,23)&lt;&gt;"",INDEX(Properties!A$1:CB$87,Formula!H72,23)),IF(INDEX(Properties!A$1:CB$87,Formula!J72,23)&lt;&gt;"",INDEX(Properties!A$1:CB$87,Formula!J72,23)))</f>
        <v>2.64</v>
      </c>
      <c r="CE72" s="81">
        <f>MAX(INDEX(Properties!A$1:CB$87,Formula!B72,23),INDEX(Properties!A$1:CB$87,Formula!D72,23),INDEX(Properties!A$1:CB$87,Formula!F72,23),INDEX(Properties!A$1:CB$87,Formula!H72,23),INDEX(Properties!A$1:CB$87,Formula!J72,23))</f>
        <v>4</v>
      </c>
      <c r="CF72" s="81">
        <f>MIN(IF(Formula!B72=87,10^6,INDEX(Properties!A$1:CB$87,Formula!B72,23)),IF((Formula!D72)=87,10^6,INDEX(Properties!A$1:CB$87,Formula!D72,23)),IF((Formula!F72)=87,10^6,INDEX(Properties!A$1:CB$87,Formula!F72,23)),IF((Formula!H72)=87,10^6,INDEX(Properties!A$1:CB$87,Formula!H72,23)),IF(Formula!J72=87,10^6,INDEX(Properties!A$1:CB$87,Formula!J72,23)))</f>
        <v>0</v>
      </c>
      <c r="CG72" s="81">
        <f t="shared" si="45"/>
        <v>4</v>
      </c>
      <c r="CH72" s="39">
        <f>((Formula!C72)/(Formula!C72+Formula!E72+Formula!G72+Formula!I72+Formula!K72))*(INDEX(Properties!A$1:CB$87,Formula!B72,26))+((Formula!E72)/(Formula!C72+Formula!E72+Formula!G72+Formula!I72+Formula!K72))*(INDEX(Properties!A$1:CB$87,Formula!D72,26))+((Formula!G72)/(Formula!C72+Formula!E72+Formula!G72+Formula!I72+Formula!K72))*(INDEX(Properties!A$1:CB$87,Formula!F72,26))+((Formula!I72)/(Formula!C72+Formula!E72+Formula!G72+Formula!I72+Formula!K72))*(INDEX(Properties!A$1:CB$87,Formula!H72,26))+((Formula!K72)/(Formula!C72+Formula!E72+Formula!G72+Formula!I72+Formula!K72))*(INDEX(Properties!A$1:CB$87,Formula!J72,26))</f>
        <v>10.571657142857141</v>
      </c>
      <c r="CI72" s="39">
        <f>Formula!C72*(INDEX(Properties!A$1:CB$87,Formula!B72,26))+Formula!E72*(INDEX(Properties!A$1:CB$87,Formula!D72,26))+Formula!G72*(INDEX(Properties!A$1:CB$87,Formula!F72,26))+Formula!I72*(INDEX(Properties!A$1:CB$87,Formula!H72,26))+Formula!K72*(INDEX(Properties!A$1:CB$87,Formula!J72,26))</f>
        <v>74.001599999999996</v>
      </c>
      <c r="CJ72" s="39">
        <f>VARP(IF(INDEX(Properties!A$1:CB$87,Formula!B72,26)&lt;&gt;"",INDEX(Properties!A$1:CB$87,Formula!B72,26)),IF(INDEX(Properties!A$1:CB$87,Formula!D72,26)&lt;&gt;"",INDEX(Properties!A$1:CB$87,Formula!D72,26)),IF(INDEX(Properties!A$1:CB$87,Formula!F72,26)&lt;&gt;"",INDEX(Properties!A$1:CB$87,Formula!F72,26)),IF(INDEX(Properties!A$1:CB$87,Formula!H72,26)&lt;&gt;"",INDEX(Properties!A$1:CB$87,Formula!H72,26)),IF(INDEX(Properties!A$1:CB$87,Formula!J72,26)&lt;&gt;"",INDEX(Properties!A$1:CB$87,Formula!J72,26)))</f>
        <v>19.410878314399998</v>
      </c>
      <c r="CK72" s="39">
        <f>MAX(INDEX(Properties!A$1:CB$87,Formula!B72,26),INDEX(Properties!A$1:CB$87,Formula!D72,26),INDEX(Properties!A$1:CB$87,Formula!F72,26),INDEX(Properties!A$1:CB$87,Formula!H72,26),INDEX(Properties!A$1:CB$87,Formula!J72,26))</f>
        <v>13.6181</v>
      </c>
      <c r="CL72" s="39">
        <f>MIN(IF(INDEX(Properties!A$1:CB$87,Formula!B72,26)=0,10^6,INDEX(Properties!A$1:CB$87,Formula!B72,26)),IF(INDEX(Properties!A$1:CB$87,Formula!D72,26)=0,10^6,INDEX(Properties!A$1:CB$87,Formula!D72,26)),IF(INDEX(Properties!A$1:CB$87,Formula!F72,26)=0,10^6,INDEX(Properties!A$1:CB$87,Formula!F72,26)),IF(INDEX(Properties!A$1:CB$87,Formula!H72,26)=0,10^6,INDEX(Properties!A$1:CB$87,Formula!H72,26)),IF(INDEX(Properties!A$1:CB$87,Formula!J72,26)=0,10^6,INDEX(Properties!A$1:CB$87,Formula!J72,26)))</f>
        <v>5.3917000000000002</v>
      </c>
      <c r="CM72" s="39">
        <f t="shared" si="46"/>
        <v>8.2263999999999999</v>
      </c>
      <c r="CN72" s="54">
        <f>((Formula!C72)/(Formula!C72+Formula!E72+Formula!G72+Formula!I72+Formula!K72))*(INDEX(Properties!A$1:CB$87,Formula!B72,30))+((Formula!E72)/(Formula!C72+Formula!E72+Formula!G72+Formula!I72+Formula!K72))*(INDEX(Properties!A$1:CB$87,Formula!D72,30))+((Formula!G72)/(Formula!C72+Formula!E72+Formula!G72+Formula!I72+Formula!K72))*(INDEX(Properties!A$1:CB$87,Formula!F72,30))+((Formula!I72)/(Formula!C72+Formula!E72+Formula!G72+Formula!I72+Formula!K72))*(INDEX(Properties!A$1:CB$87,Formula!H72,30))+((Formula!K72)/(Formula!C72+Formula!E72+Formula!G72+Formula!I72+Formula!K72))*(INDEX(Properties!A$1:CB$87,Formula!J72,30))</f>
        <v>2.6071428571428568</v>
      </c>
      <c r="CO72" s="54">
        <f>Formula!C72*(INDEX(Properties!A$1:CB$87,Formula!B72,30))+Formula!E72*(INDEX(Properties!A$1:CB$87,Formula!D72,30))+Formula!G72*(INDEX(Properties!A$1:CB$87,Formula!F72,30))+Formula!I72*(INDEX(Properties!A$1:CB$87,Formula!H72,30))+Formula!K72*(INDEX(Properties!A$1:CB$87,Formula!J72,30))</f>
        <v>18.25</v>
      </c>
      <c r="CP72" s="54">
        <f>VARP(IF(INDEX(Properties!A$1:CB$87,Formula!B72,30)&lt;&gt;"",INDEX(Properties!A$1:CB$87,Formula!B72,30)),IF(INDEX(Properties!A$1:CB$87,Formula!D72,30)&lt;&gt;"",INDEX(Properties!A$1:CB$87,Formula!D72,30)),IF(INDEX(Properties!A$1:CB$87,Formula!F72,30)&lt;&gt;"",INDEX(Properties!A$1:CB$87,Formula!F72,30)),IF(INDEX(Properties!A$1:CB$87,Formula!H72,30)&lt;&gt;"",INDEX(Properties!A$1:CB$87,Formula!H72,30)),IF(INDEX(Properties!A$1:CB$87,Formula!J72,30)&lt;&gt;"",INDEX(Properties!A$1:CB$87,Formula!J72,30)))</f>
        <v>1.2838239999999999</v>
      </c>
      <c r="CQ72" s="54">
        <f>MAX(INDEX(Properties!A$1:CB$87,Formula!B72,30),INDEX(Properties!A$1:CB$87,Formula!D72,30),INDEX(Properties!A$1:CB$87,Formula!F72,30),INDEX(Properties!A$1:CB$87,Formula!H72,30),INDEX(Properties!A$1:CB$87,Formula!J72,30))</f>
        <v>3.44</v>
      </c>
      <c r="CR72" s="54">
        <f>MIN(IF(INDEX(Properties!A$1:CB$87,Formula!B72,30)=0,10^6,INDEX(Properties!A$1:CB$87,Formula!B72,30)),IF(INDEX(Properties!A$1:CB$87,Formula!D72,30)=0,10^6,INDEX(Properties!A$1:CB$87,Formula!D72,30)),IF(INDEX(Properties!A$1:CB$87,Formula!F72,30)=0,10^6,INDEX(Properties!A$1:CB$87,Formula!F72,30)),IF(INDEX(Properties!A$1:CB$87,Formula!H72,30)=0,10^6,INDEX(Properties!A$1:CB$87,Formula!H72,30)),IF(INDEX(Properties!A$1:CB$87,Formula!J72,30)=0,10^6,INDEX(Properties!A$1:CB$87,Formula!J72,30)))</f>
        <v>0.98</v>
      </c>
      <c r="CS72" s="54">
        <f t="shared" si="47"/>
        <v>2.46</v>
      </c>
      <c r="CT72" s="69">
        <f>((Formula!C72)/(Formula!C72+Formula!E72+Formula!G72+Formula!I72+Formula!K72))*(INDEX(Properties!A$1:CB$87,Formula!B72,31))+((Formula!E72)/(Formula!C72+Formula!E72+Formula!G72+Formula!I72+Formula!K72))*(INDEX(Properties!A$1:CB$87,Formula!D72,31))+((Formula!G72)/(Formula!C72+Formula!E72+Formula!G72+Formula!I72+Formula!K72))*(INDEX(Properties!A$1:CB$87,Formula!F72,31))+((Formula!I72)/(Formula!C72+Formula!E72+Formula!G72+Formula!I72+Formula!K72))*(INDEX(Properties!A$1:CB$87,Formula!H72,31))+((Formula!K72)/(Formula!C72+Formula!E72+Formula!G72+Formula!I72+Formula!K72))*(INDEX(Properties!A$1:CB$87,Formula!J72,31))</f>
        <v>2.5428571428571427</v>
      </c>
      <c r="CU72" s="69">
        <f>Formula!C72*(INDEX(Properties!A$1:CB$87,Formula!B72,31))+Formula!E72*(INDEX(Properties!A$1:CB$87,Formula!D72,31))+Formula!G72*(INDEX(Properties!A$1:CB$87,Formula!F72,31))+Formula!I72*(INDEX(Properties!A$1:CB$87,Formula!H72,31))+Formula!K72*(INDEX(Properties!A$1:CB$87,Formula!J72,31))</f>
        <v>17.799999999999997</v>
      </c>
      <c r="CV72" s="69">
        <f>VARP(IF(INDEX(Properties!A$1:CB$87,Formula!B72,31)&lt;&gt;"",INDEX(Properties!A$1:CB$87,Formula!B72,31)),IF(INDEX(Properties!A$1:CB$87,Formula!D72,31)&lt;&gt;"",INDEX(Properties!A$1:CB$87,Formula!D72,31)),IF(INDEX(Properties!A$1:CB$87,Formula!F72,31)&lt;&gt;"",INDEX(Properties!A$1:CB$87,Formula!F72,31)),IF(INDEX(Properties!A$1:CB$87,Formula!H72,31)&lt;&gt;"",INDEX(Properties!A$1:CB$87,Formula!H72,31)),IF(INDEX(Properties!A$1:CB$87,Formula!J72,31)&lt;&gt;"",INDEX(Properties!A$1:CB$87,Formula!J72,31)))</f>
        <v>1.2298559999999998</v>
      </c>
      <c r="CW72" s="69">
        <f>MAX(INDEX(Properties!A$1:CB$87,Formula!B72,31),INDEX(Properties!A$1:CB$87,Formula!D72,31),INDEX(Properties!A$1:CB$87,Formula!F72,31),INDEX(Properties!A$1:CB$87,Formula!H72,31),INDEX(Properties!A$1:CB$87,Formula!J72,31))</f>
        <v>3.32</v>
      </c>
      <c r="CX72" s="69">
        <f>MIN(IF(INDEX(Properties!A$1:CB$87,Formula!B72,31)=0,10^6,INDEX(Properties!A$1:CB$87,Formula!B72,31)),IF(INDEX(Properties!A$1:CB$87,Formula!D72,31)=0,10^6,INDEX(Properties!A$1:CB$87,Formula!D72,31)),IF(INDEX(Properties!A$1:CB$87,Formula!F72,31)=0,10^6,INDEX(Properties!A$1:CB$87,Formula!F72,31)),IF(INDEX(Properties!A$1:CB$87,Formula!H72,31)=0,10^6,INDEX(Properties!A$1:CB$87,Formula!H72,31)),IF(INDEX(Properties!A$1:CB$87,Formula!J72,31)=0,10^6,INDEX(Properties!A$1:CB$87,Formula!J72,31)))</f>
        <v>0.9</v>
      </c>
      <c r="CY72" s="69">
        <f t="shared" si="48"/>
        <v>2.42</v>
      </c>
      <c r="CZ72" s="42">
        <f>((Formula!C72)/(Formula!C72+Formula!E72+Formula!G72+Formula!I72+Formula!K72))*(INDEX(Properties!A$1:CB$87,Formula!B72,32))+((Formula!E72)/(Formula!C72+Formula!E72+Formula!G72+Formula!I72+Formula!K72))*(INDEX(Properties!A$1:CB$87,Formula!D72,32))+((Formula!G72)/(Formula!C72+Formula!E72+Formula!G72+Formula!I72+Formula!K72))*(INDEX(Properties!A$1:CB$87,Formula!F72,32))+((Formula!I72)/(Formula!C72+Formula!E72+Formula!G72+Formula!I72+Formula!K72))*(INDEX(Properties!A$1:CB$87,Formula!H72,32))+((Formula!K72)/(Formula!C72+Formula!E72+Formula!G72+Formula!I72+Formula!K72))*(INDEX(Properties!A$1:CB$87,Formula!J72,32))</f>
        <v>5.8814285714285717</v>
      </c>
      <c r="DA72" s="42">
        <f>Formula!C72*(INDEX(Properties!A$1:CB$87,Formula!B72,32))+Formula!E72*(INDEX(Properties!A$1:CB$87,Formula!D72,32))+Formula!G72*(INDEX(Properties!A$1:CB$87,Formula!F72,32))+Formula!I72*(INDEX(Properties!A$1:CB$87,Formula!H72,32))+Formula!K72*(INDEX(Properties!A$1:CB$87,Formula!J72,32))</f>
        <v>41.17</v>
      </c>
      <c r="DB72" s="42">
        <f>VARP(IF(INDEX(Properties!A$1:CB$87,Formula!B72,32)&lt;&gt;"",INDEX(Properties!A$1:CB$87,Formula!B72,32)),IF(INDEX(Properties!A$1:CB$87,Formula!D72,32)&lt;&gt;"",INDEX(Properties!A$1:CB$87,Formula!D72,32)),IF(INDEX(Properties!A$1:CB$87,Formula!F72,32)&lt;&gt;"",INDEX(Properties!A$1:CB$87,Formula!F72,32)),IF(INDEX(Properties!A$1:CB$87,Formula!H72,32)&lt;&gt;"",INDEX(Properties!A$1:CB$87,Formula!H72,32)),IF(INDEX(Properties!A$1:CB$87,Formula!J72,32)&lt;&gt;"",INDEX(Properties!A$1:CB$87,Formula!J72,32)))</f>
        <v>6.055399999999997</v>
      </c>
      <c r="DC72" s="42">
        <f>MAX(INDEX(Properties!A$1:CB$87,Formula!B72,32),INDEX(Properties!A$1:CB$87,Formula!D72,32),INDEX(Properties!A$1:CB$87,Formula!F72,32),INDEX(Properties!A$1:CB$87,Formula!H72,32),INDEX(Properties!A$1:CB$87,Formula!J72,32))</f>
        <v>7.54</v>
      </c>
      <c r="DD72" s="42">
        <f>MIN(IF(INDEX(Properties!A$1:CB$87,Formula!B72,32)=0,10^6,INDEX(Properties!A$1:CB$87,Formula!B72,32)),IF(INDEX(Properties!A$1:CB$87,Formula!D72,32)=0,10^6,INDEX(Properties!A$1:CB$87,Formula!D72,32)),IF(INDEX(Properties!A$1:CB$87,Formula!F72,32)=0,10^6,INDEX(Properties!A$1:CB$87,Formula!F72,32)),IF(INDEX(Properties!A$1:CB$87,Formula!H72,32)=0,10^6,INDEX(Properties!A$1:CB$87,Formula!H72,32)),IF(INDEX(Properties!A$1:CB$87,Formula!J72,32)=0,10^6,INDEX(Properties!A$1:CB$87,Formula!J72,32)))</f>
        <v>3.01</v>
      </c>
      <c r="DE72" s="42">
        <f t="shared" si="49"/>
        <v>4.53</v>
      </c>
      <c r="DF72" s="60">
        <f>((Formula!C72)/(Formula!C72+Formula!E72+Formula!G72+Formula!I72+Formula!K72))*(INDEX(Properties!A$1:CB$87,Formula!B72,34))+((Formula!E72)/(Formula!C72+Formula!E72+Formula!G72+Formula!I72+Formula!K72))*(INDEX(Properties!A$1:CB$87,Formula!D72,34))+((Formula!G72)/(Formula!C72+Formula!E72+Formula!G72+Formula!I72+Formula!K72))*(INDEX(Properties!A$1:CB$87,Formula!F72,34))+((Formula!I72)/(Formula!C72+Formula!E72+Formula!G72+Formula!I72+Formula!K72))*(INDEX(Properties!A$1:CB$87,Formula!H72,34))+((Formula!K72)/(Formula!C72+Formula!E72+Formula!G72+Formula!I72+Formula!K72))*(INDEX(Properties!A$1:CB$87,Formula!J72,34))</f>
        <v>2.6972857142857141</v>
      </c>
      <c r="DG72" s="60">
        <f>Formula!C72*(INDEX(Properties!A$1:CB$87,Formula!B72,34))+Formula!E72*(INDEX(Properties!A$1:CB$87,Formula!D72,34))+Formula!G72*(INDEX(Properties!A$1:CB$87,Formula!F72,34))+Formula!I72*(INDEX(Properties!A$1:CB$87,Formula!H72,34))+Formula!K72*(INDEX(Properties!A$1:CB$87,Formula!J72,34))</f>
        <v>18.881</v>
      </c>
      <c r="DH72" s="60">
        <f>VARP(IF(INDEX(Properties!A$1:CB$87,Formula!B72,34)&lt;&gt;"",INDEX(Properties!A$1:CB$87,Formula!B72,34)),IF(INDEX(Properties!A$1:CB$87,Formula!D72,34)&lt;&gt;"",INDEX(Properties!A$1:CB$87,Formula!D72,34)),IF(INDEX(Properties!A$1:CB$87,Formula!F72,34)&lt;&gt;"",INDEX(Properties!A$1:CB$87,Formula!F72,34)),IF(INDEX(Properties!A$1:CB$87,Formula!H72,34)&lt;&gt;"",INDEX(Properties!A$1:CB$87,Formula!H72,34)),IF(INDEX(Properties!A$1:CB$87,Formula!J72,34)&lt;&gt;"",INDEX(Properties!A$1:CB$87,Formula!J72,34)))</f>
        <v>1.4345897599999995</v>
      </c>
      <c r="DI72" s="60">
        <f>MAX(INDEX(Properties!A$1:CB$87,Formula!B72,34),INDEX(Properties!A$1:CB$87,Formula!D72,34),INDEX(Properties!A$1:CB$87,Formula!F72,34),INDEX(Properties!A$1:CB$87,Formula!H72,34),INDEX(Properties!A$1:CB$87,Formula!J72,34))</f>
        <v>3.61</v>
      </c>
      <c r="DJ72" s="60">
        <f>MIN(IF(INDEX(Properties!A$1:CB$87,Formula!B72,34)=0,10^6,INDEX(Properties!A$1:CB$87,Formula!B72,34)),IF(INDEX(Properties!A$1:CB$87,Formula!D72,34)=0,10^6,INDEX(Properties!A$1:CB$87,Formula!D72,34)),IF(INDEX(Properties!A$1:CB$87,Formula!F72,34)=0,10^6,INDEX(Properties!A$1:CB$87,Formula!F72,34)),IF(INDEX(Properties!A$1:CB$87,Formula!H72,34)=0,10^6,INDEX(Properties!A$1:CB$87,Formula!H72,34)),IF(INDEX(Properties!A$1:CB$87,Formula!J72,34)=0,10^6,INDEX(Properties!A$1:CB$87,Formula!J72,34)))</f>
        <v>0.91200000000000003</v>
      </c>
      <c r="DK72" s="60">
        <f t="shared" si="50"/>
        <v>2.698</v>
      </c>
      <c r="DL72" s="45">
        <f>((Formula!C72)/(Formula!C72+Formula!E72+Formula!G72+Formula!I72+Formula!K72))*(INDEX(Properties!A$1:CB$87,Formula!B72,39))+((Formula!E72)/(Formula!C72+Formula!E72+Formula!G72+Formula!I72+Formula!K72))*(INDEX(Properties!A$1:CB$87,Formula!D72,39))+((Formula!G72)/(Formula!C72+Formula!E72+Formula!G72+Formula!I72+Formula!K72))*(INDEX(Properties!A$1:CB$87,Formula!F72,39))+((Formula!I72)/(Formula!C72+Formula!E72+Formula!G72+Formula!I72+Formula!K72))*(INDEX(Properties!A$1:CB$87,Formula!H72,39))+((Formula!K72)/(Formula!C72+Formula!E72+Formula!G72+Formula!I72+Formula!K72))*(INDEX(Properties!A$1:CB$87,Formula!J72,39))</f>
        <v>0.84</v>
      </c>
      <c r="DM72" s="45">
        <f>Formula!C72*(INDEX(Properties!A$1:CB$87,Formula!B72,39))+Formula!E72*(INDEX(Properties!A$1:CB$87,Formula!D72,39))+Formula!G72*(INDEX(Properties!A$1:CB$87,Formula!F72,39))+Formula!I72*(INDEX(Properties!A$1:CB$87,Formula!H72,39))+Formula!K72*(INDEX(Properties!A$1:CB$87,Formula!J72,39))</f>
        <v>5.88</v>
      </c>
      <c r="DN72" s="45">
        <f>VARP(IF(INDEX(Properties!A$1:CB$87,Formula!B72,39)&lt;&gt;"",INDEX(Properties!A$1:CB$87,Formula!B72,39)),IF(INDEX(Properties!A$1:CB$87,Formula!D72,39)&lt;&gt;"",INDEX(Properties!A$1:CB$87,Formula!D72,39)),IF(INDEX(Properties!A$1:CB$87,Formula!F72,39)&lt;&gt;"",INDEX(Properties!A$1:CB$87,Formula!F72,39)),IF(INDEX(Properties!A$1:CB$87,Formula!H72,39)&lt;&gt;"",INDEX(Properties!A$1:CB$87,Formula!H72,39)),IF(INDEX(Properties!A$1:CB$87,Formula!J72,39)&lt;&gt;"",INDEX(Properties!A$1:CB$87,Formula!J72,39)))</f>
        <v>0.34021600000000018</v>
      </c>
      <c r="DO72" s="45">
        <f>MAX(INDEX(Properties!A$1:CB$87,Formula!B72,39),INDEX(Properties!A$1:CB$87,Formula!D72,39),INDEX(Properties!A$1:CB$87,Formula!F72,39),INDEX(Properties!A$1:CB$87,Formula!H72,39),INDEX(Properties!A$1:CB$87,Formula!J72,39))</f>
        <v>1.67</v>
      </c>
      <c r="DP72" s="45">
        <f>MIN(IF(INDEX(Properties!A$1:CB$87,Formula!B72,39)=0,10^6,INDEX(Properties!A$1:CB$87,Formula!B72,39)),IF(INDEX(Properties!A$1:CB$87,Formula!D72,39)=0,10^6,INDEX(Properties!A$1:CB$87,Formula!D72,39)),IF(INDEX(Properties!A$1:CB$87,Formula!F72,39)=0,10^6,INDEX(Properties!A$1:CB$87,Formula!F72,39)),IF(INDEX(Properties!A$1:CB$87,Formula!H72,39)=0,10^6,INDEX(Properties!A$1:CB$87,Formula!H72,39)),IF(INDEX(Properties!A$1:CB$87,Formula!J72,39)=0,10^6,INDEX(Properties!A$1:CB$87,Formula!J72,39)))</f>
        <v>0.48</v>
      </c>
      <c r="DQ72" s="45">
        <f t="shared" si="51"/>
        <v>1.19</v>
      </c>
      <c r="DR72" s="63">
        <f>((Formula!C72)/(Formula!C72+Formula!E72+Formula!G72+Formula!I72+Formula!K72))*(INDEX(Properties!A$1:CB$87,Formula!B72,40))+((Formula!E72)/(Formula!C72+Formula!E72+Formula!G72+Formula!I72+Formula!K72))*(INDEX(Properties!A$1:CB$87,Formula!D72,40))+((Formula!G72)/(Formula!C72+Formula!E72+Formula!G72+Formula!I72+Formula!K72))*(INDEX(Properties!A$1:CB$87,Formula!F72,40))+((Formula!I72)/(Formula!C72+Formula!E72+Formula!G72+Formula!I72+Formula!K72))*(INDEX(Properties!A$1:CB$87,Formula!H72,40))+((Formula!K72)/(Formula!C72+Formula!E72+Formula!G72+Formula!I72+Formula!K72))*(INDEX(Properties!A$1:CB$87,Formula!J72,40))</f>
        <v>0.93571428571428572</v>
      </c>
      <c r="DS72" s="63">
        <f>Formula!C72*(INDEX(Properties!A$1:CB$87,Formula!B72,40))+Formula!E72*(INDEX(Properties!A$1:CB$87,Formula!D72,40))+Formula!G72*(INDEX(Properties!A$1:CB$87,Formula!F72,40))+Formula!I72*(INDEX(Properties!A$1:CB$87,Formula!H72,40))+Formula!K72*(INDEX(Properties!A$1:CB$87,Formula!J72,40))</f>
        <v>6.55</v>
      </c>
      <c r="DT72" s="63">
        <f>VARP(IF(INDEX(Properties!A$1:CB$87,Formula!B72,40)&lt;&gt;"",INDEX(Properties!A$1:CB$87,Formula!B72,40)),IF(INDEX(Properties!A$1:CB$87,Formula!D72,40)&lt;&gt;"",INDEX(Properties!A$1:CB$87,Formula!D72,40)),IF(INDEX(Properties!A$1:CB$87,Formula!F72,40)&lt;&gt;"",INDEX(Properties!A$1:CB$87,Formula!F72,40)),IF(INDEX(Properties!A$1:CB$87,Formula!H72,40)&lt;&gt;"",INDEX(Properties!A$1:CB$87,Formula!H72,40)),IF(INDEX(Properties!A$1:CB$87,Formula!J72,40)&lt;&gt;"",INDEX(Properties!A$1:CB$87,Formula!J72,40)))</f>
        <v>0.2302160000000002</v>
      </c>
      <c r="DU72" s="63">
        <f>MAX(INDEX(Properties!A$1:CB$87,Formula!B72,40),INDEX(Properties!A$1:CB$87,Formula!D72,40),INDEX(Properties!A$1:CB$87,Formula!F72,40),INDEX(Properties!A$1:CB$87,Formula!H72,40),INDEX(Properties!A$1:CB$87,Formula!J72,40))</f>
        <v>1.34</v>
      </c>
      <c r="DV72" s="63">
        <f>MIN(IF(INDEX(Properties!A$1:CB$87,Formula!B72,40)=0,10^6,INDEX(Properties!A$1:CB$87,Formula!B72,40)),IF(INDEX(Properties!A$1:CB$87,Formula!D72,40)=0,10^6,INDEX(Properties!A$1:CB$87,Formula!D72,40)),IF(INDEX(Properties!A$1:CB$87,Formula!F72,40)=0,10^6,INDEX(Properties!A$1:CB$87,Formula!F72,40)),IF(INDEX(Properties!A$1:CB$87,Formula!H72,40)=0,10^6,INDEX(Properties!A$1:CB$87,Formula!H72,40)),IF(INDEX(Properties!A$1:CB$87,Formula!J72,40)=0,10^6,INDEX(Properties!A$1:CB$87,Formula!J72,40)))</f>
        <v>0.73</v>
      </c>
      <c r="DW72" s="63">
        <f t="shared" si="52"/>
        <v>0.6100000000000001</v>
      </c>
      <c r="DX72" s="75">
        <f>((Formula!C72)/(Formula!C72+Formula!E72+Formula!G72+Formula!I72+Formula!K72))*(INDEX(Properties!A$1:CB$87,Formula!B72,41))+((Formula!E72)/(Formula!C72+Formula!E72+Formula!G72+Formula!I72+Formula!K72))*(INDEX(Properties!A$1:CB$87,Formula!D72,41))+((Formula!G72)/(Formula!C72+Formula!E72+Formula!G72+Formula!I72+Formula!K72))*(INDEX(Properties!A$1:CB$87,Formula!F72,41))+((Formula!I72)/(Formula!C72+Formula!E72+Formula!G72+Formula!I72+Formula!K72))*(INDEX(Properties!A$1:CB$87,Formula!H72,41))+((Formula!K72)/(Formula!C72+Formula!E72+Formula!G72+Formula!I72+Formula!K72))*(INDEX(Properties!A$1:CB$87,Formula!J72,41))</f>
        <v>1.0228571428571427</v>
      </c>
      <c r="DY72" s="75">
        <f>Formula!C72*(INDEX(Properties!A$1:CB$87,Formula!B72,41))+Formula!E72*(INDEX(Properties!A$1:CB$87,Formula!D72,41))+Formula!G72*(INDEX(Properties!A$1:CB$87,Formula!F72,41))+Formula!I72*(INDEX(Properties!A$1:CB$87,Formula!H72,41))+Formula!K72*(INDEX(Properties!A$1:CB$87,Formula!J72,41))</f>
        <v>7.16</v>
      </c>
      <c r="DZ72" s="75">
        <f>VARP(IF(INDEX(Properties!A$1:CB$87,Formula!B72,41)&lt;&gt;"",INDEX(Properties!A$1:CB$87,Formula!B72,41)),IF(INDEX(Properties!A$1:CB$87,Formula!D72,41)&lt;&gt;"",INDEX(Properties!A$1:CB$87,Formula!D72,41)),IF(INDEX(Properties!A$1:CB$87,Formula!F72,41)&lt;&gt;"",INDEX(Properties!A$1:CB$87,Formula!F72,41)),IF(INDEX(Properties!A$1:CB$87,Formula!H72,41)&lt;&gt;"",INDEX(Properties!A$1:CB$87,Formula!H72,41)),IF(INDEX(Properties!A$1:CB$87,Formula!J72,41)&lt;&gt;"",INDEX(Properties!A$1:CB$87,Formula!J72,41)))</f>
        <v>0.17334400000000008</v>
      </c>
      <c r="EA72" s="75">
        <f>MAX(INDEX(Properties!A$1:CB$87,Formula!B72,41),INDEX(Properties!A$1:CB$87,Formula!D72,41),INDEX(Properties!A$1:CB$87,Formula!F72,41),INDEX(Properties!A$1:CB$87,Formula!H72,41),INDEX(Properties!A$1:CB$87,Formula!J72,41))</f>
        <v>1.26</v>
      </c>
      <c r="EB72" s="75">
        <f>MIN(IF(INDEX(Properties!A$1:CB$87,Formula!B72,41)=0,10^6,INDEX(Properties!A$1:CB$87,Formula!B72,41)),IF(INDEX(Properties!A$1:CB$87,Formula!D72,41)=0,10^6,INDEX(Properties!A$1:CB$87,Formula!D72,41)),IF(INDEX(Properties!A$1:CB$87,Formula!F72,41)=0,10^6,INDEX(Properties!A$1:CB$87,Formula!F72,41)),IF(INDEX(Properties!A$1:CB$87,Formula!H72,41)=0,10^6,INDEX(Properties!A$1:CB$87,Formula!H72,41)),IF(INDEX(Properties!A$1:CB$87,Formula!J72,41)=0,10^6,INDEX(Properties!A$1:CB$87,Formula!J72,41)))</f>
        <v>0.54</v>
      </c>
      <c r="EC72" s="75">
        <f t="shared" si="53"/>
        <v>0.72</v>
      </c>
      <c r="ED72" s="48">
        <f>((Formula!C72)/(Formula!C72+Formula!E72+Formula!G72+Formula!I72+Formula!K72))*(INDEX(Properties!A$1:CB$87,Formula!B72,45))+((Formula!E72)/(Formula!C72+Formula!E72+Formula!G72+Formula!I72+Formula!K72))*(INDEX(Properties!A$1:CB$87,Formula!D72,45))+((Formula!G72)/(Formula!C72+Formula!E72+Formula!G72+Formula!I72+Formula!K72))*(INDEX(Properties!A$1:CB$87,Formula!F72,45))+((Formula!I72)/(Formula!C72+Formula!E72+Formula!G72+Formula!I72+Formula!K72))*(INDEX(Properties!A$1:CB$87,Formula!H72,45))+((Formula!K72)/(Formula!C72+Formula!E72+Formula!G72+Formula!I72+Formula!K72))*(INDEX(Properties!A$1:CB$87,Formula!J72,45))</f>
        <v>0.94142857142857128</v>
      </c>
      <c r="EE72" s="48">
        <f>Formula!C72*(INDEX(Properties!A$1:CB$87,Formula!B72,45))+Formula!E72*(INDEX(Properties!A$1:CB$87,Formula!D72,45))+Formula!G72*(INDEX(Properties!A$1:CB$87,Formula!F72,45))+Formula!I72*(INDEX(Properties!A$1:CB$87,Formula!H72,45))+Formula!K72*(INDEX(Properties!A$1:CB$87,Formula!J72,45))</f>
        <v>6.59</v>
      </c>
      <c r="EF72" s="48">
        <f>VARP(IF(INDEX(Properties!A$1:CB$87,Formula!B72,45)&lt;&gt;"",INDEX(Properties!A$1:CB$87,Formula!B72,45)),IF(INDEX(Properties!A$1:CB$87,Formula!D72,45)&lt;&gt;"",INDEX(Properties!A$1:CB$87,Formula!D72,45)),IF(INDEX(Properties!A$1:CB$87,Formula!F72,45)&lt;&gt;"",INDEX(Properties!A$1:CB$87,Formula!F72,45)),IF(INDEX(Properties!A$1:CB$87,Formula!H72,45)&lt;&gt;"",INDEX(Properties!A$1:CB$87,Formula!H72,45)),IF(INDEX(Properties!A$1:CB$87,Formula!J72,45)&lt;&gt;"",INDEX(Properties!A$1:CB$87,Formula!J72,45)))</f>
        <v>0.45706400000000014</v>
      </c>
      <c r="EG72" s="48">
        <f>MAX(INDEX(Properties!A$1:CB$87,Formula!B72,45),INDEX(Properties!A$1:CB$87,Formula!D72,45),INDEX(Properties!A$1:CB$87,Formula!F72,45),INDEX(Properties!A$1:CB$87,Formula!H72,45),INDEX(Properties!A$1:CB$87,Formula!J72,45))</f>
        <v>1.68</v>
      </c>
      <c r="EH72" s="48">
        <f>MIN(IF(INDEX(Properties!A$1:CB$87,Formula!B72,45)=0,10^6,INDEX(Properties!A$1:CB$87,Formula!B72,45)),IF(INDEX(Properties!A$1:CB$87,Formula!D72,45)=0,10^6,INDEX(Properties!A$1:CB$87,Formula!D72,45)),IF(INDEX(Properties!A$1:CB$87,Formula!F72,45)=0,10^6,INDEX(Properties!A$1:CB$87,Formula!F72,45)),IF(INDEX(Properties!A$1:CB$87,Formula!H72,45)=0,10^6,INDEX(Properties!A$1:CB$87,Formula!H72,45)),IF(INDEX(Properties!A$1:CB$87,Formula!J72,45)=0,10^6,INDEX(Properties!A$1:CB$87,Formula!J72,45)))</f>
        <v>0.47</v>
      </c>
      <c r="EI72" s="48">
        <f t="shared" si="54"/>
        <v>1.21</v>
      </c>
      <c r="EJ72" s="66">
        <f>((Formula!C72)/(Formula!C72+Formula!E72+Formula!G72+Formula!I72+Formula!K72))*(INDEX(Properties!A$1:CB$87,Formula!B72,46))+((Formula!E72)/(Formula!C72+Formula!E72+Formula!G72+Formula!I72+Formula!K72))*(INDEX(Properties!A$1:CB$87,Formula!D72,46))+((Formula!G72)/(Formula!C72+Formula!E72+Formula!G72+Formula!I72+Formula!K72))*(INDEX(Properties!A$1:CB$87,Formula!F72,46))+((Formula!I72)/(Formula!C72+Formula!E72+Formula!G72+Formula!I72+Formula!K72))*(INDEX(Properties!A$1:CB$87,Formula!H72,46))+((Formula!K72)/(Formula!C72+Formula!E72+Formula!G72+Formula!I72+Formula!K72))*(INDEX(Properties!A$1:CB$87,Formula!J72,46))</f>
        <v>0.95285714285714285</v>
      </c>
      <c r="EK72" s="66">
        <f>Formula!C72*(INDEX(Properties!A$1:CB$87,Formula!B72,46))+Formula!E72*(INDEX(Properties!A$1:CB$87,Formula!D72,46))+Formula!G72*(INDEX(Properties!A$1:CB$87,Formula!F72,46))+Formula!I72*(INDEX(Properties!A$1:CB$87,Formula!H72,46))+Formula!K72*(INDEX(Properties!A$1:CB$87,Formula!J72,46))</f>
        <v>6.67</v>
      </c>
      <c r="EL72" s="66">
        <f>VARP(IF(INDEX(Properties!A$1:CB$87,Formula!B72,46)&lt;&gt;"",INDEX(Properties!A$1:CB$87,Formula!B72,46)),IF(INDEX(Properties!A$1:CB$87,Formula!D72,46)&lt;&gt;"",INDEX(Properties!A$1:CB$87,Formula!D72,46)),IF(INDEX(Properties!A$1:CB$87,Formula!F72,46)&lt;&gt;"",INDEX(Properties!A$1:CB$87,Formula!F72,46)),IF(INDEX(Properties!A$1:CB$87,Formula!H72,46)&lt;&gt;"",INDEX(Properties!A$1:CB$87,Formula!H72,46)),IF(INDEX(Properties!A$1:CB$87,Formula!J72,46)&lt;&gt;"",INDEX(Properties!A$1:CB$87,Formula!J72,46)))</f>
        <v>0.17333599999999996</v>
      </c>
      <c r="EM72" s="66">
        <f>MAX(INDEX(Properties!A$1:CB$87,Formula!B72,46),INDEX(Properties!A$1:CB$87,Formula!D72,46),INDEX(Properties!A$1:CB$87,Formula!F72,46),INDEX(Properties!A$1:CB$87,Formula!H72,46),INDEX(Properties!A$1:CB$87,Formula!J72,46))</f>
        <v>1.21</v>
      </c>
      <c r="EN72" s="66">
        <f>MIN(IF(INDEX(Properties!A$1:CB$87,Formula!B72,46)=0,10^6,INDEX(Properties!A$1:CB$87,Formula!B72,46)),IF(INDEX(Properties!A$1:CB$87,Formula!D72,46)=0,10^6,INDEX(Properties!A$1:CB$87,Formula!D72,46)),IF(INDEX(Properties!A$1:CB$87,Formula!F72,46)=0,10^6,INDEX(Properties!A$1:CB$87,Formula!F72,46)),IF(INDEX(Properties!A$1:CB$87,Formula!H72,46)=0,10^6,INDEX(Properties!A$1:CB$87,Formula!H72,46)),IF(INDEX(Properties!A$1:CB$87,Formula!J72,46)=0,10^6,INDEX(Properties!A$1:CB$87,Formula!J72,46)))</f>
        <v>0.4</v>
      </c>
      <c r="EO72" s="66">
        <f t="shared" si="55"/>
        <v>0.80999999999999994</v>
      </c>
      <c r="EP72" s="81">
        <f>((Formula!C72)/(Formula!C72+Formula!E72+Formula!G72+Formula!I72+Formula!K72))*(INDEX(Properties!A$1:CB$87,Formula!B72,52))+((Formula!E72)/(Formula!C72+Formula!E72+Formula!G72+Formula!I72+Formula!K72))*(INDEX(Properties!A$1:CB$87,Formula!D72,52))+((Formula!G72)/(Formula!C72+Formula!E72+Formula!G72+Formula!I72+Formula!K72))*(INDEX(Properties!A$1:CB$87,Formula!F72,52))+((Formula!I72)/(Formula!C72+Formula!E72+Formula!G72+Formula!I72+Formula!K72))*(INDEX(Properties!A$1:CB$87,Formula!H72,52))+((Formula!K72)/(Formula!C72+Formula!E72+Formula!G72+Formula!I72+Formula!K72))*(INDEX(Properties!A$1:CB$87,Formula!J72,52))</f>
        <v>5.8817142857142857</v>
      </c>
      <c r="EQ72" s="81">
        <f>Formula!C72*(INDEX(Properties!A$1:CB$87,Formula!B72,52))+Formula!E72*(INDEX(Properties!A$1:CB$87,Formula!D72,52))+Formula!G72*(INDEX(Properties!A$1:CB$87,Formula!F72,52))+Formula!I72*(INDEX(Properties!A$1:CB$87,Formula!H72,52))+Formula!K72*(INDEX(Properties!A$1:CB$87,Formula!J72,52))</f>
        <v>41.171999999999997</v>
      </c>
      <c r="ER72" s="81">
        <f>VARP(IF(INDEX(Properties!A$1:CB$87,Formula!B72,52)&lt;&gt;"",INDEX(Properties!A$1:CB$87,Formula!B72,52)),IF(INDEX(Properties!A$1:CB$87,Formula!D72,52)&lt;&gt;"",INDEX(Properties!A$1:CB$87,Formula!D72,52)),IF(INDEX(Properties!A$1:CB$87,Formula!F72,52)&lt;&gt;"",INDEX(Properties!A$1:CB$87,Formula!F72,52)),IF(INDEX(Properties!A$1:CB$87,Formula!H72,52)&lt;&gt;"",INDEX(Properties!A$1:CB$87,Formula!H72,52)),IF(INDEX(Properties!A$1:CB$87,Formula!J72,52)&lt;&gt;"",INDEX(Properties!A$1:CB$87,Formula!J72,52)))</f>
        <v>77.63789583999997</v>
      </c>
      <c r="ES72" s="81">
        <f>MAX(INDEX(Properties!A$1:CB$87,Formula!B72,52),INDEX(Properties!A$1:CB$87,Formula!D72,52),INDEX(Properties!A$1:CB$87,Formula!F72,52),INDEX(Properties!A$1:CB$87,Formula!H72,52),INDEX(Properties!A$1:CB$87,Formula!J72,52))</f>
        <v>24.3</v>
      </c>
      <c r="ET72" s="81">
        <f>MIN(IF(INDEX(Properties!A$1:CB$87,Formula!B72,52)=0,10^6,INDEX(Properties!A$1:CB$87,Formula!B72,52)),IF(INDEX(Properties!A$1:CB$87,Formula!D72,52)=0,10^6,INDEX(Properties!A$1:CB$87,Formula!D72,52)),IF(INDEX(Properties!A$1:CB$87,Formula!F72,52)=0,10^6,INDEX(Properties!A$1:CB$87,Formula!F72,52)),IF(INDEX(Properties!A$1:CB$87,Formula!H72,52)=0,10^6,INDEX(Properties!A$1:CB$87,Formula!H72,52)),IF(INDEX(Properties!A$1:CB$87,Formula!J72,52)=0,10^6,INDEX(Properties!A$1:CB$87,Formula!J72,52)))</f>
        <v>0.79300000000000004</v>
      </c>
      <c r="EU72" s="81">
        <f t="shared" si="56"/>
        <v>23.507000000000001</v>
      </c>
      <c r="EV72" s="39">
        <f>((Formula!C72)/(Formula!C72+Formula!E72+Formula!G72+Formula!I72+Formula!K72))*(INDEX(Properties!A$1:CB$87,Formula!B72,53))+((Formula!E72)/(Formula!C72+Formula!E72+Formula!G72+Formula!I72+Formula!K72))*(INDEX(Properties!A$1:CB$87,Formula!D72,53))+((Formula!G72)/(Formula!C72+Formula!E72+Formula!G72+Formula!I72+Formula!K72))*(INDEX(Properties!A$1:CB$87,Formula!F72,53))+((Formula!I72)/(Formula!C72+Formula!E72+Formula!G72+Formula!I72+Formula!K72))*(INDEX(Properties!A$1:CB$87,Formula!H72,53))+((Formula!K72)/(Formula!C72+Formula!E72+Formula!G72+Formula!I72+Formula!K72))*(INDEX(Properties!A$1:CB$87,Formula!J72,53))</f>
        <v>469.84999999999997</v>
      </c>
      <c r="EW72" s="39">
        <f>Formula!C72*(INDEX(Properties!A$1:CB$87,Formula!B72,53))+Formula!E72*(INDEX(Properties!A$1:CB$87,Formula!D72,53))+Formula!G72*(INDEX(Properties!A$1:CB$87,Formula!F72,53))+Formula!I72*(INDEX(Properties!A$1:CB$87,Formula!H72,53))+Formula!K72*(INDEX(Properties!A$1:CB$87,Formula!J72,53))</f>
        <v>3288.95</v>
      </c>
      <c r="EX72" s="39">
        <f>VARP(IF(INDEX(Properties!A$1:CB$87,Formula!B72,53)&lt;&gt;"",INDEX(Properties!A$1:CB$87,Formula!B72,53)),IF(INDEX(Properties!A$1:CB$87,Formula!D72,53)&lt;&gt;"",INDEX(Properties!A$1:CB$87,Formula!D72,53)),IF(INDEX(Properties!A$1:CB$87,Formula!F72,53)&lt;&gt;"",INDEX(Properties!A$1:CB$87,Formula!F72,53)),IF(INDEX(Properties!A$1:CB$87,Formula!H72,53)&lt;&gt;"",INDEX(Properties!A$1:CB$87,Formula!H72,53)),IF(INDEX(Properties!A$1:CB$87,Formula!J72,53)&lt;&gt;"",INDEX(Properties!A$1:CB$87,Formula!J72,53)))</f>
        <v>391961.74240000016</v>
      </c>
      <c r="EY72" s="39">
        <f>MAX(INDEX(Properties!A$1:CB$87,Formula!B72,53),INDEX(Properties!A$1:CB$87,Formula!D72,53),INDEX(Properties!A$1:CB$87,Formula!F72,53),INDEX(Properties!A$1:CB$87,Formula!H72,53),INDEX(Properties!A$1:CB$87,Formula!J72,53))</f>
        <v>1683.15</v>
      </c>
      <c r="EZ72" s="39">
        <f>MIN(IF(INDEX(Properties!A$1:CB$87,Formula!B72,53)=0,10^6,INDEX(Properties!A$1:CB$87,Formula!B72,53)),IF(INDEX(Properties!A$1:CB$87,Formula!D72,53)=0,10^6,INDEX(Properties!A$1:CB$87,Formula!D72,53)),IF(INDEX(Properties!A$1:CB$87,Formula!F72,53)=0,10^6,INDEX(Properties!A$1:CB$87,Formula!F72,53)),IF(INDEX(Properties!A$1:CB$87,Formula!H72,53)=0,10^6,INDEX(Properties!A$1:CB$87,Formula!H72,53)),IF(INDEX(Properties!A$1:CB$87,Formula!J72,53)=0,10^6,INDEX(Properties!A$1:CB$87,Formula!J72,53)))</f>
        <v>54.749999999999972</v>
      </c>
      <c r="FA72" s="39">
        <f t="shared" si="57"/>
        <v>1628.4</v>
      </c>
      <c r="FB72" s="54">
        <f>((Formula!C72)/(Formula!C72+Formula!E72+Formula!G72+Formula!I72+Formula!K72))*(INDEX(Properties!A$1:CB$87,Formula!B72,54))+((Formula!E72)/(Formula!C72+Formula!E72+Formula!G72+Formula!I72+Formula!K72))*(INDEX(Properties!A$1:CB$87,Formula!D72,54))+((Formula!G72)/(Formula!C72+Formula!E72+Formula!G72+Formula!I72+Formula!K72))*(INDEX(Properties!A$1:CB$87,Formula!F72,54))+((Formula!I72)/(Formula!C72+Formula!E72+Formula!G72+Formula!I72+Formula!K72))*(INDEX(Properties!A$1:CB$87,Formula!H72,54))+((Formula!K72)/(Formula!C72+Formula!E72+Formula!G72+Formula!I72+Formula!K72))*(INDEX(Properties!A$1:CB$87,Formula!J72,54))</f>
        <v>1049.1500000000001</v>
      </c>
      <c r="FC72" s="54">
        <f>Formula!C72*(INDEX(Properties!A$1:CB$87,Formula!B72,54))+Formula!E72*(INDEX(Properties!A$1:CB$87,Formula!D72,54))+Formula!G72*(INDEX(Properties!A$1:CB$87,Formula!F72,54))+Formula!I72*(INDEX(Properties!A$1:CB$87,Formula!H72,54))+Formula!K72*(INDEX(Properties!A$1:CB$87,Formula!J72,54))</f>
        <v>7344.0500000000011</v>
      </c>
      <c r="FD72" s="54">
        <f>VARP(IF(INDEX(Properties!A$1:CB$87,Formula!B72,54)&lt;&gt;"",INDEX(Properties!A$1:CB$87,Formula!B72,54)),IF(INDEX(Properties!A$1:CB$87,Formula!D72,54)&lt;&gt;"",INDEX(Properties!A$1:CB$87,Formula!D72,54)),IF(INDEX(Properties!A$1:CB$87,Formula!F72,54)&lt;&gt;"",INDEX(Properties!A$1:CB$87,Formula!F72,54)),IF(INDEX(Properties!A$1:CB$87,Formula!H72,54)&lt;&gt;"",INDEX(Properties!A$1:CB$87,Formula!H72,54)),IF(INDEX(Properties!A$1:CB$87,Formula!J72,54)&lt;&gt;"",INDEX(Properties!A$1:CB$87,Formula!J72,54)))</f>
        <v>1405053.5196000005</v>
      </c>
      <c r="FE72" s="54">
        <f>MAX(INDEX(Properties!A$1:CB$87,Formula!B72,54),INDEX(Properties!A$1:CB$87,Formula!D72,54),INDEX(Properties!A$1:CB$87,Formula!F72,54),INDEX(Properties!A$1:CB$87,Formula!H72,54),INDEX(Properties!A$1:CB$87,Formula!J72,54))</f>
        <v>2740.15</v>
      </c>
      <c r="FF72" s="54">
        <f>MIN(IF(INDEX(Properties!A$1:CB$87,Formula!B72,54)=0,10^6,INDEX(Properties!A$1:CB$87,Formula!B72,54)),IF(INDEX(Properties!A$1:CB$87,Formula!D72,54)=0,10^6,INDEX(Properties!A$1:CB$87,Formula!D72,54)),IF(INDEX(Properties!A$1:CB$87,Formula!F72,54)=0,10^6,INDEX(Properties!A$1:CB$87,Formula!F72,54)),IF(INDEX(Properties!A$1:CB$87,Formula!H72,54)=0,10^6,INDEX(Properties!A$1:CB$87,Formula!H72,54)),IF(INDEX(Properties!A$1:CB$87,Formula!J72,54)=0,10^6,INDEX(Properties!A$1:CB$87,Formula!J72,54)))</f>
        <v>90.149999999999977</v>
      </c>
      <c r="FG72" s="54">
        <f t="shared" si="58"/>
        <v>2650</v>
      </c>
      <c r="FH72" s="69">
        <f>((Formula!C72)/(Formula!C72+Formula!E72+Formula!G72+Formula!I72+Formula!K72))*(INDEX(Properties!A$1:CB$87,Formula!B72,55))+((Formula!E72)/(Formula!C72+Formula!E72+Formula!G72+Formula!I72+Formula!K72))*(INDEX(Properties!A$1:CB$87,Formula!D72,55))+((Formula!G72)/(Formula!C72+Formula!E72+Formula!G72+Formula!I72+Formula!K72))*(INDEX(Properties!A$1:CB$87,Formula!F72,55))+((Formula!I72)/(Formula!C72+Formula!E72+Formula!G72+Formula!I72+Formula!K72))*(INDEX(Properties!A$1:CB$87,Formula!H72,55))+((Formula!K72)/(Formula!C72+Formula!E72+Formula!G72+Formula!I72+Formula!K72))*(INDEX(Properties!A$1:CB$87,Formula!J72,55))</f>
        <v>0.79581714285714289</v>
      </c>
      <c r="FI72" s="69">
        <f>Formula!C72*(INDEX(Properties!A$1:CB$87,Formula!B72,55))+Formula!E72*(INDEX(Properties!A$1:CB$87,Formula!D72,54))+Formula!G72*(INDEX(Properties!A$1:CB$87,Formula!F72,55))+Formula!I72*(INDEX(Properties!A$1:CB$87,Formula!H72,55))+Formula!K72*(INDEX(Properties!A$1:CB$87,Formula!J72,55))</f>
        <v>2743.02072</v>
      </c>
      <c r="FJ72" s="69">
        <f>VARP(IF(INDEX(Properties!A$1:CB$87,Formula!B72,55)&lt;&gt;"",INDEX(Properties!A$1:CB$87,Formula!B72,55)),IF(INDEX(Properties!A$1:CB$87,Formula!D72,55)&lt;&gt;"",INDEX(Properties!A$1:CB$87,Formula!D72,55)),IF(INDEX(Properties!A$1:CB$87,Formula!F72,55)&lt;&gt;"",INDEX(Properties!A$1:CB$87,Formula!F72,55)),IF(INDEX(Properties!A$1:CB$87,Formula!H72,55)&lt;&gt;"",INDEX(Properties!A$1:CB$87,Formula!H72,55)),IF(INDEX(Properties!A$1:CB$87,Formula!J72,55)&lt;&gt;"",INDEX(Properties!A$1:CB$87,Formula!J72,55)))</f>
        <v>1.3616196911840002</v>
      </c>
      <c r="FK72" s="69">
        <f>MAX(INDEX(Properties!A$1:CB$87,Formula!B72,55),INDEX(Properties!A$1:CB$87,Formula!D72,55),INDEX(Properties!A$1:CB$87,Formula!F72,55),INDEX(Properties!A$1:CB$87,Formula!H72,55),INDEX(Properties!A$1:CB$87,Formula!J72,55))</f>
        <v>2.7</v>
      </c>
      <c r="FL72" s="69">
        <f>MIN(IF(INDEX(Properties!A$1:CB$87,Formula!B72,55)=0,10^6,INDEX(Properties!A$1:CB$87,Formula!B72,55)),IF(INDEX(Properties!A$1:CB$87,Formula!D72,55)=0,10^6,INDEX(Properties!A$1:CB$87,Formula!D72,55)),IF(INDEX(Properties!A$1:CB$87,Formula!F72,55)=0,10^6,INDEX(Properties!A$1:CB$87,Formula!F72,55)),IF(INDEX(Properties!A$1:CB$87,Formula!H72,55)=0,10^6,INDEX(Properties!A$1:CB$87,Formula!H72,55)),IF(INDEX(Properties!A$1:CB$87,Formula!J72,55)=0,10^6,INDEX(Properties!A$1:CB$87,Formula!J72,55)))</f>
        <v>1.4300000000000001E-3</v>
      </c>
      <c r="FM72" s="69">
        <f t="shared" si="59"/>
        <v>2.6985700000000001</v>
      </c>
      <c r="FN72" s="42">
        <f>((Formula!C72)/(Formula!C72+Formula!E72+Formula!G72+Formula!I72+Formula!K72))*(INDEX(Properties!A$1:CB$87,Formula!B72,56))+((Formula!E72)/(Formula!C72+Formula!E72+Formula!G72+Formula!I72+Formula!K72))*(INDEX(Properties!A$1:CB$87,Formula!D72,56))+((Formula!G72)/(Formula!C72+Formula!E72+Formula!G72+Formula!I72+Formula!K72))*(INDEX(Properties!A$1:CB$87,Formula!F72,56))+((Formula!I72)/(Formula!C72+Formula!E72+Formula!G72+Formula!I72+Formula!K72))*(INDEX(Properties!A$1:CB$87,Formula!H72,56))+((Formula!K72)/(Formula!C72+Formula!E72+Formula!G72+Formula!I72+Formula!K72))*(INDEX(Properties!A$1:CB$87,Formula!J72,56))</f>
        <v>1.27</v>
      </c>
      <c r="FO72" s="42">
        <f>Formula!C72*(INDEX(Properties!A$1:CB$87,Formula!B72,56))+Formula!E72*(INDEX(Properties!A$1:CB$87,Formula!D72,56))+Formula!G72*(INDEX(Properties!A$1:CB$87,Formula!F72,56))+Formula!I72*(INDEX(Properties!A$1:CB$87,Formula!H72,56))+Formula!K72*(INDEX(Properties!A$1:CB$87,Formula!J72,56))</f>
        <v>8.89</v>
      </c>
      <c r="FP72" s="42">
        <f>VARP(IF(INDEX(Properties!A$1:CB$87,Formula!B72,56)&lt;&gt;"",INDEX(Properties!A$1:CB$87,Formula!B72,56)),IF(INDEX(Properties!A$1:CB$87,Formula!D72,56)&lt;&gt;"",INDEX(Properties!A$1:CB$87,Formula!D72,56)),IF(INDEX(Properties!A$1:CB$87,Formula!F72,56)&lt;&gt;"",INDEX(Properties!A$1:CB$87,Formula!F72,56)),IF(INDEX(Properties!A$1:CB$87,Formula!H72,56)&lt;&gt;"",INDEX(Properties!A$1:CB$87,Formula!H72,56)),IF(INDEX(Properties!A$1:CB$87,Formula!J72,56)&lt;&gt;"",INDEX(Properties!A$1:CB$87,Formula!J72,56)))</f>
        <v>1.5210239999999997</v>
      </c>
      <c r="FQ72" s="42">
        <f>MAX(INDEX(Properties!A$1:CB$87,Formula!B72,56),INDEX(Properties!A$1:CB$87,Formula!D72,56),INDEX(Properties!A$1:CB$87,Formula!F72,56),INDEX(Properties!A$1:CB$87,Formula!H72,56),INDEX(Properties!A$1:CB$87,Formula!J72,56))</f>
        <v>3.6</v>
      </c>
      <c r="FR72" s="42">
        <f>MIN(IF(INDEX(Properties!A$1:CB$87,Formula!B72,56)=0,10^6,INDEX(Properties!A$1:CB$87,Formula!B72,56)),IF(INDEX(Properties!A$1:CB$87,Formula!D72,56)=0,10^6,INDEX(Properties!A$1:CB$87,Formula!D72,56)),IF(INDEX(Properties!A$1:CB$87,Formula!F72,56)=0,10^6,INDEX(Properties!A$1:CB$87,Formula!F72,56)),IF(INDEX(Properties!A$1:CB$87,Formula!H72,56)=0,10^6,INDEX(Properties!A$1:CB$87,Formula!H72,56)),IF(INDEX(Properties!A$1:CB$87,Formula!J72,56)=0,10^6,INDEX(Properties!A$1:CB$87,Formula!J72,56)))</f>
        <v>0.71</v>
      </c>
      <c r="FS72" s="42">
        <f t="shared" si="60"/>
        <v>2.89</v>
      </c>
      <c r="FT72" s="60">
        <f>((Formula!C72)/(Formula!C72+Formula!E72+Formula!G72+Formula!I72+Formula!K72))*(INDEX(Properties!A$1:CB$87,Formula!B72,57))+((Formula!E72)/(Formula!C72+Formula!E72+Formula!G72+Formula!I72+Formula!K72))*(INDEX(Properties!A$1:CB$87,Formula!D72,57))+((Formula!G72)/(Formula!C72+Formula!E72+Formula!G72+Formula!I72+Formula!K72))*(INDEX(Properties!A$1:CB$87,Formula!F72,57))+((Formula!I72)/(Formula!C72+Formula!E72+Formula!G72+Formula!I72+Formula!K72))*(INDEX(Properties!A$1:CB$87,Formula!H72,57))+((Formula!K72)/(Formula!C72+Formula!E72+Formula!G72+Formula!I72+Formula!K72))*(INDEX(Properties!A$1:CB$87,Formula!J72,57))</f>
        <v>9.3186228571428558</v>
      </c>
      <c r="FU72" s="60">
        <f>Formula!C72*(INDEX(Properties!A$1:CB$87,Formula!B72,57))+Formula!E72*(INDEX(Properties!A$1:CB$87,Formula!D72,57))+Formula!G72*(INDEX(Properties!A$1:CB$87,Formula!F72,57))+Formula!I72*(INDEX(Properties!A$1:CB$87,Formula!H72,57))+Formula!K72*(INDEX(Properties!A$1:CB$87,Formula!J72,57))</f>
        <v>65.230360000000005</v>
      </c>
      <c r="FV72" s="60">
        <f>VARP(IF(INDEX(Properties!A$1:CB$87,Formula!B72,57)&lt;&gt;"",INDEX(Properties!A$1:CB$87,Formula!B72,57)),IF(INDEX(Properties!A$1:CB$87,Formula!D72,57)&lt;&gt;"",INDEX(Properties!A$1:CB$87,Formula!D72,57)),IF(INDEX(Properties!A$1:CB$87,Formula!F72,57)&lt;&gt;"",INDEX(Properties!A$1:CB$87,Formula!F72,57)),IF(INDEX(Properties!A$1:CB$87,Formula!H72,57)&lt;&gt;"",INDEX(Properties!A$1:CB$87,Formula!H72,57)),IF(INDEX(Properties!A$1:CB$87,Formula!J72,57)&lt;&gt;"",INDEX(Properties!A$1:CB$87,Formula!J72,57)))</f>
        <v>369.42210816129608</v>
      </c>
      <c r="FW72" s="60">
        <f>MAX(INDEX(Properties!A$1:CB$87,Formula!B72,57),INDEX(Properties!A$1:CB$87,Formula!D72,57),INDEX(Properties!A$1:CB$87,Formula!F72,57),INDEX(Properties!A$1:CB$87,Formula!H72,57),INDEX(Properties!A$1:CB$87,Formula!J72,57))</f>
        <v>50.55</v>
      </c>
      <c r="FX72" s="60">
        <f>MIN(IF(INDEX(Properties!A$1:CB$87,Formula!B72,57)=0,10^6,INDEX(Properties!A$1:CB$87,Formula!B72,57)),IF(INDEX(Properties!A$1:CB$87,Formula!D72,57)=0,10^6,INDEX(Properties!A$1:CB$87,Formula!D72,57)),IF(INDEX(Properties!A$1:CB$87,Formula!F72,57)=0,10^6,INDEX(Properties!A$1:CB$87,Formula!F72,57)),IF(INDEX(Properties!A$1:CB$87,Formula!H72,57)=0,10^6,INDEX(Properties!A$1:CB$87,Formula!H72,57)),IF(INDEX(Properties!A$1:CB$87,Formula!J72,57)=0,10^6,INDEX(Properties!A$1:CB$87,Formula!J72,57)))</f>
        <v>0.22259000000000001</v>
      </c>
      <c r="FY72" s="60">
        <f t="shared" si="61"/>
        <v>50.32741</v>
      </c>
      <c r="FZ72" s="72">
        <f>((Formula!C72)/(Formula!C72+Formula!E72+Formula!G72+Formula!I72+Formula!K72))*(INDEX(Properties!A$1:CB$87,Formula!B72,60))+((Formula!E72)/(Formula!C72+Formula!E72+Formula!G72+Formula!I72+Formula!K72))*(INDEX(Properties!A$1:CB$87,Formula!D72,60))+((Formula!G72)/(Formula!C72+Formula!E72+Formula!G72+Formula!I72+Formula!K72))*(INDEX(Properties!A$1:CB$87,Formula!F72,60))+((Formula!I72)/(Formula!C72+Formula!E72+Formula!G72+Formula!I72+Formula!K72))*(INDEX(Properties!A$1:CB$87,Formula!H72,60))+((Formula!K72)/(Formula!C72+Formula!E72+Formula!G72+Formula!I72+Formula!K72))*(INDEX(Properties!A$1:CB$87,Formula!J72,60))</f>
        <v>67.115279999999998</v>
      </c>
      <c r="GA72" s="72">
        <f>Formula!C72*(INDEX(Properties!A$1:CB$87,Formula!B72,60))+Formula!E72*(INDEX(Properties!A$1:CB$87,Formula!D72,60))+Formula!G72*(INDEX(Properties!A$1:CB$87,Formula!F72,60))+Formula!I72*(INDEX(Properties!A$1:CB$87,Formula!H72,60))+Formula!K72*(INDEX(Properties!A$1:CB$87,Formula!J72,60))</f>
        <v>469.80696</v>
      </c>
      <c r="GB72" s="72">
        <f>VARP(IF(INDEX(Properties!A$1:CB$87,Formula!B72,60)&lt;&gt;"",INDEX(Properties!A$1:CB$87,Formula!B72,60)),IF(INDEX(Properties!A$1:CB$87,Formula!D72,60)&lt;&gt;"",INDEX(Properties!A$1:CB$87,Formula!D72,60)),IF(INDEX(Properties!A$1:CB$87,Formula!F72,60)&lt;&gt;"",INDEX(Properties!A$1:CB$87,Formula!F72,60)),IF(INDEX(Properties!A$1:CB$87,Formula!H72,60)&lt;&gt;"",INDEX(Properties!A$1:CB$87,Formula!H72,60)),IF(INDEX(Properties!A$1:CB$87,Formula!J72,60)&lt;&gt;"",INDEX(Properties!A$1:CB$87,Formula!J72,60)))</f>
        <v>8223.6897321644155</v>
      </c>
      <c r="GC72" s="72">
        <f>MAX(INDEX(Properties!A$1:CB$87,Formula!B72,60),INDEX(Properties!A$1:CB$87,Formula!D72,60),INDEX(Properties!A$1:CB$87,Formula!F72,60),INDEX(Properties!A$1:CB$87,Formula!H72,60),INDEX(Properties!A$1:CB$87,Formula!J72,60))</f>
        <v>237</v>
      </c>
      <c r="GD72" s="72">
        <f>MIN(IF(INDEX(Properties!A$1:CB$87,Formula!B72,60)=0,10^6,INDEX(Properties!A$1:CB$87,Formula!B72,60)),IF(INDEX(Properties!A$1:CB$87,Formula!D72,60)=0,10^6,INDEX(Properties!A$1:CB$87,Formula!D72,60)),IF(INDEX(Properties!A$1:CB$87,Formula!F72,60)=0,10^6,INDEX(Properties!A$1:CB$87,Formula!F72,60)),IF(INDEX(Properties!A$1:CB$87,Formula!H72,60)=0,10^6,INDEX(Properties!A$1:CB$87,Formula!H72,60)),IF(INDEX(Properties!A$1:CB$87,Formula!J72,60)=0,10^6,INDEX(Properties!A$1:CB$87,Formula!J72,60)))</f>
        <v>2.674E-2</v>
      </c>
      <c r="GE72" s="72">
        <f t="shared" si="62"/>
        <v>236.97326000000001</v>
      </c>
      <c r="GF72" s="51">
        <f>((Formula!C72)/(Formula!C72+Formula!E72+Formula!G72+Formula!I72+Formula!K72))*(INDEX(Properties!A$1:CB$87,Formula!B72,62))+((Formula!E72)/(Formula!C72+Formula!E72+Formula!G72+Formula!I72+Formula!K72))*(INDEX(Properties!A$1:CB$87,Formula!D72,62))+((Formula!G72)/(Formula!C72+Formula!E72+Formula!G72+Formula!I72+Formula!K72))*(INDEX(Properties!A$1:CB$87,Formula!F72,62))+((Formula!I72)/(Formula!C72+Formula!E72+Formula!G72+Formula!I72+Formula!K72))*(INDEX(Properties!A$1:CB$87,Formula!H72,62))+((Formula!K72)/(Formula!C72+Formula!E72+Formula!G72+Formula!I72+Formula!K72))*(INDEX(Properties!A$1:CB$87,Formula!J72,62))</f>
        <v>2.8757142857142854</v>
      </c>
      <c r="GG72" s="51">
        <f>Formula!C72*(INDEX(Properties!A$1:CB$87,Formula!B72,62))+Formula!E72*(INDEX(Properties!A$1:CB$87,Formula!D72,62))+Formula!G72*(INDEX(Properties!A$1:CB$87,Formula!F72,62))+Formula!I72*(INDEX(Properties!A$1:CB$87,Formula!H72,62))+Formula!K72*(INDEX(Properties!A$1:CB$87,Formula!J72,62))</f>
        <v>20.13</v>
      </c>
      <c r="GH72" s="51">
        <f>VARP(IF(INDEX(Properties!A$1:CB$87,Formula!B72,62)&lt;&gt;"",INDEX(Properties!A$1:CB$87,Formula!B72,62)),IF(INDEX(Properties!A$1:CB$87,Formula!D72,62)&lt;&gt;"",INDEX(Properties!A$1:CB$87,Formula!D72,62)),IF(INDEX(Properties!A$1:CB$87,Formula!F72,62)&lt;&gt;"",INDEX(Properties!A$1:CB$87,Formula!F72,62)),IF(INDEX(Properties!A$1:CB$87,Formula!H72,62)&lt;&gt;"",INDEX(Properties!A$1:CB$87,Formula!H72,62)),IF(INDEX(Properties!A$1:CB$87,Formula!J72,62)&lt;&gt;"",INDEX(Properties!A$1:CB$87,Formula!J72,62)))</f>
        <v>2.4679440000000001</v>
      </c>
      <c r="GI72" s="51">
        <f>MAX(INDEX(Properties!A$1:CB$87,Formula!B72,62),INDEX(Properties!A$1:CB$87,Formula!D72,62),INDEX(Properties!A$1:CB$87,Formula!F72,62),INDEX(Properties!A$1:CB$87,Formula!H72,62),INDEX(Properties!A$1:CB$87,Formula!J72,62))</f>
        <v>4.63</v>
      </c>
      <c r="GJ72" s="51">
        <f>MIN(IF(INDEX(Properties!A$1:CB$87,Formula!B72,62)=0,10^6,INDEX(Properties!A$1:CB$87,Formula!B72,62)),IF(INDEX(Properties!A$1:CB$87,Formula!D72,62)=0,10^6,INDEX(Properties!A$1:CB$87,Formula!D72,62)),IF(INDEX(Properties!A$1:CB$87,Formula!F72,62)=0,10^6,INDEX(Properties!A$1:CB$87,Formula!F72,62)),IF(INDEX(Properties!A$1:CB$87,Formula!H72,62)=0,10^6,INDEX(Properties!A$1:CB$87,Formula!H72,62)),IF(INDEX(Properties!A$1:CB$87,Formula!J72,62)=0,10^6,INDEX(Properties!A$1:CB$87,Formula!J72,62)))</f>
        <v>1.63</v>
      </c>
      <c r="GK72" s="51">
        <f t="shared" si="63"/>
        <v>3</v>
      </c>
      <c r="GL72" s="51">
        <f>Formula!P72</f>
        <v>180</v>
      </c>
      <c r="GM72" s="57">
        <f>Formula!O72</f>
        <v>6</v>
      </c>
      <c r="GN72" s="51">
        <f>Formula!N72</f>
        <v>7.0000000000000007E-2</v>
      </c>
    </row>
    <row r="73" spans="1:196" x14ac:dyDescent="0.3">
      <c r="A73" s="84" t="str">
        <f>Formula!A73</f>
        <v>KMgPO4</v>
      </c>
      <c r="B73" s="89">
        <f>((Formula!C73)/(Formula!C73+Formula!E73+Formula!G73+Formula!I73+Formula!K73))*(INDEX(Properties!A$1:CB$87,Formula!B73,3))+((Formula!E73)/(Formula!C73+Formula!E73+Formula!G73+Formula!I73+Formula!K73))*(INDEX(Properties!A$1:CB$87,Formula!D73,3))+((Formula!G73)/(Formula!C73+Formula!E73+Formula!G73+Formula!I73+Formula!K73))*(INDEX(Properties!A$1:CB$87,Formula!F73,3))+((Formula!I73)/(Formula!C73+Formula!E73+Formula!G73+Formula!I73+Formula!K73))*(INDEX(Properties!A$1:CB$87,Formula!H73,3))+((Formula!K73)/(Formula!C73+Formula!E73+Formula!G73+Formula!I73+Formula!K73))*(INDEX(Properties!A$1:CB$87,Formula!J73,3))</f>
        <v>22.624951714285714</v>
      </c>
      <c r="C73" s="85">
        <f>Formula!C73*(INDEX(Properties!A$1:CB$87,Formula!B73,3))+Formula!E73*(INDEX(Properties!A$1:CB$87,Formula!D73,3))+Formula!G73*(INDEX(Properties!A$1:CB$87,Formula!F73,3))+Formula!I73*(INDEX(Properties!A$1:CB$87,Formula!H73,3))+Formula!K73*(INDEX(Properties!A$1:CB$87,Formula!J73,3))</f>
        <v>158.374662</v>
      </c>
      <c r="D73" s="85">
        <f>VARP(IF(INDEX(Properties!A$1:CB$87,Formula!B73,3)&lt;&gt;"",INDEX(Properties!A$1:CB$87,Formula!B73,3)),IF(INDEX(Properties!A$1:CB$87,Formula!D73,3)&lt;&gt;"",INDEX(Properties!A$1:CB$87,Formula!D73,3)),IF(INDEX(Properties!A$1:CB$87,Formula!F73,3)&lt;&gt;"",INDEX(Properties!A$1:CB$87,Formula!F73,3)),IF(INDEX(Properties!A$1:CB$87,Formula!H73,3)&lt;&gt;"",INDEX(Properties!A$1:CB$87,Formula!H73,3)),IF(INDEX(Properties!A$1:CB$87,Formula!J73,3)&lt;&gt;"",INDEX(Properties!A$1:CB$87,Formula!J73,3)))</f>
        <v>179.63442959103122</v>
      </c>
      <c r="E73" s="85">
        <f>MAX(INDEX(Properties!A$1:CB$87,Formula!B73,3),INDEX(Properties!A$1:CB$87,Formula!D73,3),INDEX(Properties!A$1:CB$87,Formula!F73,3),INDEX(Properties!A$1:CB$87,Formula!H73,3),INDEX(Properties!A$1:CB$87,Formula!J73,3))</f>
        <v>39.098300000000002</v>
      </c>
      <c r="F73" s="85">
        <f>MIN(IF(INDEX(Properties!A$1:CB$87,Formula!B73,3)=0,10^6,INDEX(Properties!A$1:CB$87,Formula!B73,3)),IF(INDEX(Properties!A$1:CB$87,Formula!D73,3)=0,10^6,INDEX(Properties!A$1:CB$87,Formula!D73,3)),IF(INDEX(Properties!A$1:CB$87,Formula!F73,3)=0,10^6,INDEX(Properties!A$1:CB$87,Formula!F73,3)),IF(INDEX(Properties!A$1:CB$87,Formula!H73,3)=0,10^6,INDEX(Properties!A$1:CB$87,Formula!H73,3)),IF(INDEX(Properties!A$1:CB$87,Formula!J73,3)=0,10^6,INDEX(Properties!A$1:CB$87,Formula!J73,3)))</f>
        <v>15.9994</v>
      </c>
      <c r="G73" s="85">
        <f t="shared" si="32"/>
        <v>23.0989</v>
      </c>
      <c r="H73" s="87">
        <f>((Formula!C73)/(Formula!C73+Formula!E73+Formula!G73+Formula!I73+Formula!K73))*(INDEX(Properties!A$1:CB$87,Formula!B73,4))+((Formula!E73)/(Formula!C73+Formula!E73+Formula!G73+Formula!I73+Formula!K73))*(INDEX(Properties!A$1:CB$87,Formula!D73,4))+((Formula!G73)/(Formula!C73+Formula!E73+Formula!G73+Formula!I73+Formula!K73))*(INDEX(Properties!A$1:CB$87,Formula!F73,4))+((Formula!I73)/(Formula!C73+Formula!E73+Formula!G73+Formula!I73+Formula!K73))*(INDEX(Properties!A$1:CB$87,Formula!H73,4))+((Formula!K73)/(Formula!C73+Formula!E73+Formula!G73+Formula!I73+Formula!K73))*(INDEX(Properties!A$1:CB$87,Formula!J73,4))</f>
        <v>11.142857142857142</v>
      </c>
      <c r="I73" s="87">
        <f>Formula!C73*(INDEX(Properties!A$1:CB$87,Formula!B73,4))+Formula!E73*(INDEX(Properties!A$1:CB$87,Formula!D73,4))+Formula!G73*(INDEX(Properties!A$1:CB$87,Formula!F73,4))+Formula!I73*(INDEX(Properties!A$1:CB$87,Formula!H73,4))+Formula!K73*(INDEX(Properties!A$1:CB$87,Formula!J73,4))</f>
        <v>78</v>
      </c>
      <c r="J73" s="87">
        <f>VARP(IF(INDEX(Properties!A$1:CB$87,Formula!B73,4)&lt;&gt;"",INDEX(Properties!A$1:CB$87,Formula!B73,4)),IF(INDEX(Properties!A$1:CB$87,Formula!D73,4)&lt;&gt;"",INDEX(Properties!A$1:CB$87,Formula!D73,4)),IF(INDEX(Properties!A$1:CB$87,Formula!F73,4)&lt;&gt;"",INDEX(Properties!A$1:CB$87,Formula!F73,4)),IF(INDEX(Properties!A$1:CB$87,Formula!H73,4)&lt;&gt;"",INDEX(Properties!A$1:CB$87,Formula!H73,4)),IF(INDEX(Properties!A$1:CB$87,Formula!J73,4)&lt;&gt;"",INDEX(Properties!A$1:CB$87,Formula!J73,4)))</f>
        <v>42.16</v>
      </c>
      <c r="K73" s="87">
        <f>MAX(INDEX(Properties!A$1:CB$87,Formula!B73,4),INDEX(Properties!A$1:CB$87,Formula!D73,4),INDEX(Properties!A$1:CB$87,Formula!F73,4),INDEX(Properties!A$1:CB$87,Formula!H73,4),INDEX(Properties!A$1:CB$87,Formula!J73,4))</f>
        <v>19</v>
      </c>
      <c r="L73" s="87">
        <f>MIN(IF(INDEX(Properties!A$1:CB$87,Formula!B73,4)=0,10^6,INDEX(Properties!A$1:CB$87,Formula!B73,4)),IF(INDEX(Properties!A$1:CB$87,Formula!D73,4)=0,10^6,INDEX(Properties!A$1:CB$87,Formula!D73,4)),IF(INDEX(Properties!A$1:CB$87,Formula!F73,4)=0,10^6,INDEX(Properties!A$1:CB$87,Formula!F73,4)),IF(INDEX(Properties!A$1:CB$87,Formula!H73,4)=0,10^6,INDEX(Properties!A$1:CB$87,Formula!H73,4)),IF(INDEX(Properties!A$1:CB$87,Formula!J73,4)=0,10^6,INDEX(Properties!A$1:CB$87,Formula!J73,4)))</f>
        <v>8</v>
      </c>
      <c r="M73" s="87">
        <f t="shared" si="33"/>
        <v>11</v>
      </c>
      <c r="N73" s="89">
        <f>((Formula!C73)/(Formula!C73+Formula!E73+Formula!G73+Formula!I73+Formula!K73))*(INDEX(Properties!A$1:CB$87,Formula!B73,5))+((Formula!E73)/(Formula!C73+Formula!E73+Formula!G73+Formula!I73+Formula!K73))*(INDEX(Properties!A$1:CB$87,Formula!D73,5))+((Formula!G73)/(Formula!C73+Formula!E73+Formula!G73+Formula!I73+Formula!K73))*(INDEX(Properties!A$1:CB$87,Formula!F73,5))+((Formula!I73)/(Formula!C73+Formula!E73+Formula!G73+Formula!I73+Formula!K73))*(INDEX(Properties!A$1:CB$87,Formula!H73,5))+((Formula!K73)/(Formula!C73+Formula!E73+Formula!G73+Formula!I73+Formula!K73))*(INDEX(Properties!A$1:CB$87,Formula!J73,5))</f>
        <v>2.5714285714285712</v>
      </c>
      <c r="O73" s="89">
        <f>Formula!C73*(INDEX(Properties!A$1:CB$87,Formula!B73,5))+Formula!E73*(INDEX(Properties!A$1:CB$87,Formula!D73,5))+Formula!G73*(INDEX(Properties!A$1:CB$87,Formula!F73,5))+Formula!I73*(INDEX(Properties!A$1:CB$87,Formula!H73,5))+Formula!K73*(INDEX(Properties!A$1:CB$87,Formula!J73,5))</f>
        <v>18</v>
      </c>
      <c r="P73" s="89">
        <f>VARP(IF(INDEX(Properties!A$1:CB$87,Formula!B73,5)&lt;&gt;"",INDEX(Properties!A$1:CB$87,Formula!B73,5)),IF(INDEX(Properties!A$1:CB$87,Formula!D73,5)&lt;&gt;"",INDEX(Properties!A$1:CB$87,Formula!D73,5)),IF(INDEX(Properties!A$1:CB$87,Formula!F73,5)&lt;&gt;"",INDEX(Properties!A$1:CB$87,Formula!F73,5)),IF(INDEX(Properties!A$1:CB$87,Formula!H73,5)&lt;&gt;"",INDEX(Properties!A$1:CB$87,Formula!H73,5)),IF(INDEX(Properties!A$1:CB$87,Formula!J73,5)&lt;&gt;"",INDEX(Properties!A$1:CB$87,Formula!J73,5)))</f>
        <v>1.84</v>
      </c>
      <c r="Q73" s="89">
        <f>MAX(INDEX(Properties!A$1:CB$87,Formula!B73,5),INDEX(Properties!A$1:CB$87,Formula!D73,5),INDEX(Properties!A$1:CB$87,Formula!F73,5),INDEX(Properties!A$1:CB$87,Formula!H73,5),INDEX(Properties!A$1:CB$87,Formula!J73,5))</f>
        <v>4</v>
      </c>
      <c r="R73" s="89">
        <f>MIN(IF(INDEX(Properties!A$1:CB$87,Formula!B73,5)=0,10^6,INDEX(Properties!A$1:CB$87,Formula!B73,5)),IF(INDEX(Properties!A$1:CB$87,Formula!D73,5)=0,10^6,INDEX(Properties!A$1:CB$87,Formula!D73,5)),IF(INDEX(Properties!A$1:CB$87,Formula!F73,5)=0,10^6,INDEX(Properties!A$1:CB$87,Formula!F73,5)),IF(INDEX(Properties!A$1:CB$87,Formula!H73,5)=0,10^6,INDEX(Properties!A$1:CB$87,Formula!H73,5)),IF(INDEX(Properties!A$1:CB$87,Formula!J73,5)=0,10^6,INDEX(Properties!A$1:CB$87,Formula!J73,5)))</f>
        <v>2</v>
      </c>
      <c r="S73" s="89">
        <f t="shared" si="34"/>
        <v>2</v>
      </c>
      <c r="T73" s="60">
        <f>((Formula!C73)/(Formula!C73+Formula!E73+Formula!G73+Formula!I73+Formula!K73))*(INDEX(Properties!A$1:CB$87,Formula!B73,6))+((Formula!E73)/(Formula!C73+Formula!E73+Formula!G73+Formula!I73+Formula!K73))*(INDEX(Properties!A$1:CB$87,Formula!D73,6))+((Formula!G73)/(Formula!C73+Formula!E73+Formula!G73+Formula!I73+Formula!K73))*(INDEX(Properties!A$1:CB$87,Formula!F73,6))+((Formula!I73)/(Formula!C73+Formula!E73+Formula!G73+Formula!I73+Formula!K73))*(INDEX(Properties!A$1:CB$87,Formula!H73,6))+((Formula!K73)/(Formula!C73+Formula!E73+Formula!G73+Formula!I73+Formula!K73))*(INDEX(Properties!A$1:CB$87,Formula!J73,6))</f>
        <v>11.714285714285714</v>
      </c>
      <c r="U73" s="60">
        <f>Formula!C73*(INDEX(Properties!A$1:CB$87,Formula!B73,6))+Formula!E73*(INDEX(Properties!A$1:CB$87,Formula!D73,6))+Formula!G73*(INDEX(Properties!A$1:CB$87,Formula!F73,6))+Formula!I73*(INDEX(Properties!A$1:CB$87,Formula!H73,6))+Formula!K73*(INDEX(Properties!A$1:CB$87,Formula!J73,6))</f>
        <v>82</v>
      </c>
      <c r="V73" s="89">
        <f>VARP(IF(INDEX(Properties!A$1:CB$87,Formula!B73,6)&lt;&gt;"",INDEX(Properties!A$1:CB$87,Formula!B73,6)),IF(INDEX(Properties!A$1:CB$87,Formula!D73,6)&lt;&gt;"",INDEX(Properties!A$1:CB$87,Formula!D73,6)),IF(INDEX(Properties!A$1:CB$87,Formula!F73,6)&lt;&gt;"",INDEX(Properties!A$1:CB$87,Formula!F73,6)),IF(INDEX(Properties!A$1:CB$87,Formula!H73,6)&lt;&gt;"",INDEX(Properties!A$1:CB$87,Formula!H73,6)),IF(INDEX(Properties!A$1:CB$87,Formula!J73,6)&lt;&gt;"",INDEX(Properties!A$1:CB$87,Formula!J73,6)))</f>
        <v>50.96</v>
      </c>
      <c r="W73" s="60">
        <f>MAX(INDEX(Properties!A$1:CB$87,Formula!B73,6),INDEX(Properties!A$1:CB$87,Formula!D73,6),INDEX(Properties!A$1:CB$87,Formula!F73,6),INDEX(Properties!A$1:CB$87,Formula!H73,4),INDEX(Properties!A$1:CB$87,Formula!J73,6))</f>
        <v>15</v>
      </c>
      <c r="X73" s="60">
        <f>MIN(IF(INDEX(Properties!A$1:CB$87,Formula!B73,6)=0,10^6,INDEX(Properties!A$1:CB$87,Formula!B73,6)),IF(INDEX(Properties!A$1:CB$87,Formula!D73,6)=0,10^6,INDEX(Properties!A$1:CB$87,Formula!D73,6)),IF(INDEX(Properties!A$1:CB$87,Formula!F73,6)=0,10^6,INDEX(Properties!A$1:CB$87,Formula!F73,6)),IF(INDEX(Properties!A$1:CB$87,Formula!H73,6)=0,10^6,INDEX(Properties!A$1:CB$87,Formula!H73,6)),IF(INDEX(Properties!A$1:CB$87,Formula!J73,6)=0,10^6,INDEX(Properties!A$1:CB$87,Formula!J73,6)))</f>
        <v>1</v>
      </c>
      <c r="Y73" s="60">
        <f t="shared" si="35"/>
        <v>14</v>
      </c>
      <c r="Z73" s="72">
        <f>((Formula!C73)/(Formula!C73+Formula!E73+Formula!G73+Formula!I73+Formula!K73))*(INDEX(Properties!A$1:CB$87,Formula!B73,9))+((Formula!E73)/(Formula!C73+Formula!E73+Formula!G73+Formula!I73+Formula!K73))*(INDEX(Properties!A$1:CB$87,Formula!D73,9))+((Formula!G73)/(Formula!C73+Formula!E73+Formula!G73+Formula!I73+Formula!K73))*(INDEX(Properties!A$1:CB$87,Formula!F73,9))+((Formula!I73)/(Formula!C73+Formula!E73+Formula!G73+Formula!I73+Formula!K73))*(INDEX(Properties!A$1:CB$87,Formula!H73,9))+((Formula!K73)/(Formula!C73+Formula!E73+Formula!G73+Formula!I73+Formula!K73))*(INDEX(Properties!A$1:CB$87,Formula!J73,9))</f>
        <v>71.714285714285708</v>
      </c>
      <c r="AA73" s="72">
        <f>Formula!C73*(INDEX(Properties!A$1:CB$87,Formula!B73,9))+Formula!E73*(INDEX(Properties!A$1:CB$87,Formula!D73,9))+Formula!G73*(INDEX(Properties!A$1:CB$87,Formula!F73,9))+Formula!I73*(INDEX(Properties!A$1:CB$87,Formula!H73,9))+Formula!K73*(INDEX(Properties!A$1:CB$87,Formula!J73,9))</f>
        <v>502</v>
      </c>
      <c r="AB73" s="72">
        <f>VARP(IF(INDEX(Properties!A$1:CB$87,Formula!B73,9)&lt;&gt;"",INDEX(Properties!A$1:CB$87,Formula!B73,9)),IF(INDEX(Properties!A$1:CB$87,Formula!D73,9)&lt;&gt;"",INDEX(Properties!A$1:CB$87,Formula!D73,9)),IF(INDEX(Properties!A$1:CB$87,Formula!F73,9)&lt;&gt;"",INDEX(Properties!A$1:CB$87,Formula!F73,9)),IF(INDEX(Properties!A$1:CB$87,Formula!H73,9)&lt;&gt;"",INDEX(Properties!A$1:CB$87,Formula!H73,9)),IF(INDEX(Properties!A$1:CB$87,Formula!J73,9)&lt;&gt;"",INDEX(Properties!A$1:CB$87,Formula!J73,9)))</f>
        <v>1494.96</v>
      </c>
      <c r="AC73" s="72">
        <f>MAX(INDEX(Properties!A$1:CB$87,Formula!B73,9),INDEX(Properties!A$1:CB$87,Formula!D73,9),INDEX(Properties!A$1:CB$87,Formula!F73,9),INDEX(Properties!A$1:CB$87,Formula!H73,9),INDEX(Properties!A$1:CB$87,Formula!J73,9))</f>
        <v>87</v>
      </c>
      <c r="AD73" s="72">
        <f>MIN(IF(INDEX(Properties!A$1:CB$87,Formula!B73,9)=0,10^6,INDEX(Properties!A$1:CB$87,Formula!B73,9)),IF(INDEX(Properties!A$1:CB$87,Formula!D73,9)=0,10^6,INDEX(Properties!A$1:CB$87,Formula!D73,9)),IF(INDEX(Properties!A$1:CB$87,Formula!F73,9)=0,10^6,INDEX(Properties!A$1:CB$87,Formula!F73,9)),IF(INDEX(Properties!A$1:CB$87,Formula!H73,9)=0,10^6,INDEX(Properties!A$1:CB$87,Formula!H73,9)),IF(INDEX(Properties!A$1:CB$87,Formula!J73,9)=0,10^6,INDEX(Properties!A$1:CB$87,Formula!J73,9)))</f>
        <v>3</v>
      </c>
      <c r="AE73" s="72">
        <f t="shared" si="36"/>
        <v>84</v>
      </c>
      <c r="AF73" s="51">
        <f>((Formula!C73)/(Formula!C73+Formula!E73+Formula!G73+Formula!I73+Formula!K73))*(INDEX(Properties!A$1:CB$87,Formula!B73,10))+((Formula!E73)/(Formula!C73+Formula!E73+Formula!G73+Formula!I73+Formula!K73))*(INDEX(Properties!A$1:CB$87,Formula!D73,10))+((Formula!G73)/(Formula!C73+Formula!E73+Formula!G73+Formula!I73+Formula!K73))*(INDEX(Properties!A$1:CB$87,Formula!F73,10))+((Formula!I73)/(Formula!C73+Formula!E73+Formula!G73+Formula!I73+Formula!K73))*(INDEX(Properties!A$1:CB$87,Formula!H73,10))+((Formula!K73)/(Formula!C73+Formula!E73+Formula!G73+Formula!I73+Formula!K73))*(INDEX(Properties!A$1:CB$87,Formula!J73,10))</f>
        <v>5.4285714285714288</v>
      </c>
      <c r="AG73" s="51">
        <f>Formula!C73*(INDEX(Properties!A$1:CB$87,Formula!B73,10))+Formula!E73*(INDEX(Properties!A$1:CB$87,Formula!D73,10))+Formula!G73*(INDEX(Properties!A$1:CB$87,Formula!F73,10))+Formula!I73*(INDEX(Properties!A$1:CB$87,Formula!H73,10))+Formula!K73*(INDEX(Properties!A$1:CB$87,Formula!J73,10))</f>
        <v>38</v>
      </c>
      <c r="AH73" s="51">
        <f>VARP(IF(INDEX(Properties!A$1:CB$87,Formula!B73,10)&lt;&gt;"",INDEX(Properties!A$1:CB$87,Formula!B73,10)),IF(INDEX(Properties!A$1:CB$87,Formula!D73,10)&lt;&gt;"",INDEX(Properties!A$1:CB$87,Formula!D73,10)),IF(INDEX(Properties!A$1:CB$87,Formula!F73,10)&lt;&gt;"",INDEX(Properties!A$1:CB$87,Formula!F73,10)),IF(INDEX(Properties!A$1:CB$87,Formula!H73,10)&lt;&gt;"",INDEX(Properties!A$1:CB$87,Formula!H73,10)),IF(INDEX(Properties!A$1:CB$87,Formula!J73,10)&lt;&gt;"",INDEX(Properties!A$1:CB$87,Formula!J73,10)))</f>
        <v>9.0399999999999991</v>
      </c>
      <c r="AI73" s="51">
        <f>MAX(INDEX(Properties!A$1:CB$87,Formula!B73,10),INDEX(Properties!A$1:CB$87,Formula!D73,10),INDEX(Properties!A$1:CB$87,Formula!F73,10),INDEX(Properties!A$1:CB$87,Formula!H73,10),INDEX(Properties!A$1:CB$87,Formula!J73,10))</f>
        <v>7</v>
      </c>
      <c r="AJ73" s="51">
        <f>MIN(IF(INDEX(Properties!A$1:CB$87,Formula!B73,10)=0,10^6,INDEX(Properties!A$1:CB$87,Formula!B73,10)),IF(INDEX(Properties!A$1:CB$87,Formula!D73,10)=0,10^6,INDEX(Properties!A$1:CB$87,Formula!D73,10)),IF(INDEX(Properties!A$1:CB$87,Formula!F73,10)=0,10^6,INDEX(Properties!A$1:CB$87,Formula!F73,10)),IF(INDEX(Properties!A$1:CB$87,Formula!H73,10)=0,10^6,INDEX(Properties!A$1:CB$87,Formula!H73,10)),IF(INDEX(Properties!A$1:CB$87,Formula!J73,10)=0,10^6,INDEX(Properties!A$1:CB$87,Formula!J73,10)))</f>
        <v>1</v>
      </c>
      <c r="AK73" s="51">
        <f t="shared" si="37"/>
        <v>6</v>
      </c>
      <c r="AL73" s="57">
        <f>((Formula!C73)/(Formula!C73+Formula!E73+Formula!G73+Formula!I73+Formula!K73))*(INDEX(Properties!A$1:CB$87,Formula!B73,11))+((Formula!E73)/(Formula!C73+Formula!E73+Formula!G73+Formula!I73+Formula!K73))*(INDEX(Properties!A$1:CB$87,Formula!D73,11))+((Formula!G73)/(Formula!C73+Formula!E73+Formula!G73+Formula!I73+Formula!K73))*(INDEX(Properties!A$1:CB$87,Formula!F73,11))+((Formula!I73)/(Formula!C73+Formula!E73+Formula!G73+Formula!I73+Formula!K73))*(INDEX(Properties!A$1:CB$87,Formula!H73,11))+((Formula!K73)/(Formula!C73+Formula!E73+Formula!G73+Formula!I73+Formula!K73))*(INDEX(Properties!A$1:CB$87,Formula!J73,11))</f>
        <v>1.857142857142857</v>
      </c>
      <c r="AM73" s="57">
        <f>Formula!C73*(INDEX(Properties!A$1:CB$87,Formula!B73,11))+Formula!E73*(INDEX(Properties!A$1:CB$87,Formula!D73,11))+Formula!G73*(INDEX(Properties!A$1:CB$87,Formula!F73,11))+Formula!I73*(INDEX(Properties!A$1:CB$87,Formula!H73,11))+Formula!K73*(INDEX(Properties!A$1:CB$87,Formula!J73,11))</f>
        <v>13</v>
      </c>
      <c r="AN73" s="57">
        <f>VARP(IF(INDEX(Properties!A$1:CB$87,Formula!B73,11)&lt;&gt;"",INDEX(Properties!A$1:CB$87,Formula!B73,11)),IF(INDEX(Properties!A$1:CB$87,Formula!D73,11)&lt;&gt;"",INDEX(Properties!A$1:CB$87,Formula!D73,11)),IF(INDEX(Properties!A$1:CB$87,Formula!F73,11)&lt;&gt;"",INDEX(Properties!A$1:CB$87,Formula!F73,11)),IF(INDEX(Properties!A$1:CB$87,Formula!H73,11)&lt;&gt;"",INDEX(Properties!A$1:CB$87,Formula!H73,11)),IF(INDEX(Properties!A$1:CB$87,Formula!J73,11)&lt;&gt;"",INDEX(Properties!A$1:CB$87,Formula!J73,11)))</f>
        <v>0.64</v>
      </c>
      <c r="AO73" s="57">
        <f>MAX(INDEX(Properties!A$1:CB$87,Formula!B73,11),INDEX(Properties!A$1:CB$87,Formula!D73,11),INDEX(Properties!A$1:CB$87,Formula!F73,11),INDEX(Properties!A$1:CB$87,Formula!H73,11),INDEX(Properties!A$1:CB$87,Formula!J73,11))</f>
        <v>2</v>
      </c>
      <c r="AP73" s="57">
        <f>MIN(IF(Formula!B73=87,10^6,INDEX(Properties!A$1:CB$87,Formula!B73,11)),IF((Formula!D73)=87,10^6,INDEX(Properties!A$1:CB$87,Formula!D73,11)),IF((Formula!F73)=87,10^6,INDEX(Properties!A$1:CB$87,Formula!F73,11)),IF((Formula!H73)=87,10^6,INDEX(Properties!A$1:CB$87,Formula!H73,11)),IF(Formula!J73=87,10^6,INDEX(Properties!A$1:CB$87,Formula!J73,11)))</f>
        <v>1</v>
      </c>
      <c r="AQ73" s="57">
        <f t="shared" si="38"/>
        <v>1</v>
      </c>
      <c r="AR73" s="78">
        <f>((Formula!C73)/(Formula!C73+Formula!E73+Formula!G73+Formula!I73+Formula!K73))*(INDEX(Properties!A$1:CB$87,Formula!B73,12))+((Formula!E73)/(Formula!C73+Formula!E73+Formula!G73+Formula!I73+Formula!K73))*(INDEX(Properties!A$1:CB$87,Formula!D73,12))+((Formula!G73)/(Formula!C73+Formula!E73+Formula!G73+Formula!I73+Formula!K73))*(INDEX(Properties!A$1:CB$87,Formula!F73,12))+((Formula!I73)/(Formula!C73+Formula!E73+Formula!G73+Formula!I73+Formula!K73))*(INDEX(Properties!A$1:CB$87,Formula!H73,12))+((Formula!K73)/(Formula!C73+Formula!E73+Formula!G73+Formula!I73+Formula!K73))*(INDEX(Properties!A$1:CB$87,Formula!J73,12))</f>
        <v>2.714285714285714</v>
      </c>
      <c r="AS73" s="78">
        <f>Formula!C73*(INDEX(Properties!A$1:CB$87,Formula!B73,12))+Formula!E73*(INDEX(Properties!A$1:CB$87,Formula!D73,12))+Formula!G73*(INDEX(Properties!A$1:CB$87,Formula!F73,12))+Formula!I73*(INDEX(Properties!A$1:CB$87,Formula!H73,12))+Formula!K73*(INDEX(Properties!A$1:CB$87,Formula!J73,12))</f>
        <v>19</v>
      </c>
      <c r="AT73" s="78">
        <f>VARP(IF(INDEX(Properties!A$1:CB$87,Formula!B73,12)&lt;&gt;"",INDEX(Properties!A$1:CB$87,Formula!B73,12)),IF(INDEX(Properties!A$1:CB$87,Formula!D73,12)&lt;&gt;"",INDEX(Properties!A$1:CB$87,Formula!D73,12)),IF(INDEX(Properties!A$1:CB$87,Formula!F73,12)&lt;&gt;"",INDEX(Properties!A$1:CB$87,Formula!F73,12)),IF(INDEX(Properties!A$1:CB$87,Formula!H73,12)&lt;&gt;"",INDEX(Properties!A$1:CB$87,Formula!H73,12)),IF(INDEX(Properties!A$1:CB$87,Formula!J73,12)&lt;&gt;"",INDEX(Properties!A$1:CB$87,Formula!J73,12)))</f>
        <v>3.04</v>
      </c>
      <c r="AU73" s="78">
        <f>MAX(INDEX(Properties!A$1:CB$87,Formula!B73,12),INDEX(Properties!A$1:CB$87,Formula!D73,12),INDEX(Properties!A$1:CB$87,Formula!F73,12),INDEX(Properties!A$1:CB$87,Formula!H73,12),INDEX(Properties!A$1:CB$87,Formula!J73,12))</f>
        <v>4</v>
      </c>
      <c r="AV73" s="78">
        <f>MIN(IF(Formula!B73=87,10^6,INDEX(Properties!A$1:CB$87,Formula!B73,12)),IF((Formula!D73)=87,10^6,INDEX(Properties!A$1:CB$87,Formula!D73,12)),IF((Formula!F73)=87,10^6,INDEX(Properties!A$1:CB$87,Formula!F73,12)),IF((Formula!H73)=87,10^6,INDEX(Properties!A$1:CB$87,Formula!H73,12)),IF(Formula!J73=87,10^6,INDEX(Properties!A$1:CB$87,Formula!J73,12)))</f>
        <v>0</v>
      </c>
      <c r="AW73" s="78">
        <f t="shared" si="39"/>
        <v>4</v>
      </c>
      <c r="AX73" s="45">
        <f>((Formula!C73)/(Formula!C73+Formula!E73+Formula!G73+Formula!I73+Formula!K73))*(INDEX(Properties!A$1:CB$87,Formula!B73,13))+((Formula!E73)/(Formula!C73+Formula!E73+Formula!G73+Formula!I73+Formula!K73))*(INDEX(Properties!A$1:CB$87,Formula!D73,13))+((Formula!G73)/(Formula!C73+Formula!E73+Formula!G73+Formula!I73+Formula!K73))*(INDEX(Properties!A$1:CB$87,Formula!F73,13))+((Formula!I73)/(Formula!C73+Formula!E73+Formula!G73+Formula!I73+Formula!K73))*(INDEX(Properties!A$1:CB$87,Formula!H73,13))+((Formula!K73)/(Formula!C73+Formula!E73+Formula!G73+Formula!I73+Formula!K73))*(INDEX(Properties!A$1:CB$87,Formula!J73,13))</f>
        <v>0</v>
      </c>
      <c r="AY73" s="45">
        <f>Formula!C73*(INDEX(Properties!A$1:CB$87,Formula!B73,13))+Formula!E73*(INDEX(Properties!A$1:CB$87,Formula!D73,13))+Formula!G73*(INDEX(Properties!A$1:CB$87,Formula!F73,13))+Formula!I73*(INDEX(Properties!A$1:CB$87,Formula!H73,13))+Formula!K73*(INDEX(Properties!A$1:CB$87,Formula!J73,13))</f>
        <v>0</v>
      </c>
      <c r="AZ73" s="45">
        <f>VARP(IF(INDEX(Properties!A$1:CB$87,Formula!B73,13)&lt;&gt;"",INDEX(Properties!A$1:CB$87,Formula!B73,13)),IF(INDEX(Properties!A$1:CB$87,Formula!D73,13)&lt;&gt;"",INDEX(Properties!A$1:CB$87,Formula!D73,13)),IF(INDEX(Properties!A$1:CB$87,Formula!F73,13)&lt;&gt;"",INDEX(Properties!A$1:CB$87,Formula!F73,13)),IF(INDEX(Properties!A$1:CB$87,Formula!H73,13)&lt;&gt;"",INDEX(Properties!A$1:CB$87,Formula!H73,13)),IF(INDEX(Properties!A$1:CB$87,Formula!J73,13)&lt;&gt;"",INDEX(Properties!A$1:CB$87,Formula!J73,13)))</f>
        <v>0</v>
      </c>
      <c r="BA73" s="45">
        <f>MAX(INDEX(Properties!A$1:CB$87,Formula!B73,13),INDEX(Properties!A$1:CB$87,Formula!D73,13),INDEX(Properties!A$1:CB$87,Formula!F73,13),INDEX(Properties!A$1:CB$87,Formula!H73,13),INDEX(Properties!A$1:CB$87,Formula!J73,13))</f>
        <v>0</v>
      </c>
      <c r="BB73" s="45">
        <f>MIN(IF(Formula!B73=87,10^6,INDEX(Properties!A$1:CB$87,Formula!B73,13)),IF((Formula!D73)=87,10^6,INDEX(Properties!A$1:CB$87,Formula!D73,13)),IF((Formula!F73)=87,10^6,INDEX(Properties!A$1:CB$87,Formula!F73,13)),IF((Formula!H73)=87,10^6,INDEX(Properties!A$1:CB$87,Formula!H73,13)),IF(Formula!J73=87,10^6,INDEX(Properties!A$1:CB$87,Formula!J73,13)))</f>
        <v>0</v>
      </c>
      <c r="BC73" s="45">
        <f t="shared" si="40"/>
        <v>0</v>
      </c>
      <c r="BD73" s="63">
        <f>((Formula!C73)/(Formula!C73+Formula!E73+Formula!G73+Formula!I73+Formula!K73))*(INDEX(Properties!A$1:CB$87,Formula!B73,14))+((Formula!E73)/(Formula!C73+Formula!E73+Formula!G73+Formula!I73+Formula!K73))*(INDEX(Properties!A$1:CB$87,Formula!D73,14))+((Formula!G73)/(Formula!C73+Formula!E73+Formula!G73+Formula!I73+Formula!K73))*(INDEX(Properties!A$1:CB$87,Formula!F73,14))+((Formula!I73)/(Formula!C73+Formula!E73+Formula!G73+Formula!I73+Formula!K73))*(INDEX(Properties!A$1:CB$87,Formula!H73,14))+((Formula!K73)/(Formula!C73+Formula!E73+Formula!G73+Formula!I73+Formula!K73))*(INDEX(Properties!A$1:CB$87,Formula!J73,14))</f>
        <v>0</v>
      </c>
      <c r="BE73" s="63">
        <f>Formula!C73*(INDEX(Properties!A$1:CB$87,Formula!B73,14))+Formula!E73*(INDEX(Properties!A$1:CB$87,Formula!D73,14))+Formula!G73*(INDEX(Properties!A$1:CB$87,Formula!F73,14))+Formula!I73*(INDEX(Properties!A$1:CB$87,Formula!H73,14))+Formula!K73*(INDEX(Properties!A$1:CB$87,Formula!J73,14))</f>
        <v>0</v>
      </c>
      <c r="BF73" s="63">
        <f>VARP(IF(INDEX(Properties!A$1:CB$87,Formula!B73,14)&lt;&gt;"",INDEX(Properties!A$1:CB$87,Formula!B73,14)),IF(INDEX(Properties!A$1:CB$87,Formula!D73,14)&lt;&gt;"",INDEX(Properties!A$1:CB$87,Formula!D73,14)),IF(INDEX(Properties!A$1:CB$87,Formula!F73,14)&lt;&gt;"",INDEX(Properties!A$1:CB$87,Formula!F73,14)),IF(INDEX(Properties!A$1:CB$87,Formula!H73,14)&lt;&gt;"",INDEX(Properties!A$1:CB$87,Formula!H73,14)),IF(INDEX(Properties!A$1:CB$87,Formula!J73,14)&lt;&gt;"",INDEX(Properties!A$1:CB$87,Formula!J73,14)))</f>
        <v>0</v>
      </c>
      <c r="BG73" s="63">
        <f>MAX(INDEX(Properties!A$1:CB$87,Formula!B73,14),INDEX(Properties!A$1:CB$87,Formula!D73,14),INDEX(Properties!A$1:CB$87,Formula!F73,14),INDEX(Properties!A$1:CB$87,Formula!H73,14),INDEX(Properties!A$1:CB$87,Formula!J73,14))</f>
        <v>0</v>
      </c>
      <c r="BH73" s="63">
        <f>MIN(IF(Formula!B73=87,10^6,INDEX(Properties!A$1:CB$87,Formula!B73,14)),IF((Formula!D73)=87,10^6,INDEX(Properties!A$1:CB$87,Formula!D73,14)),IF((Formula!F73)=87,10^6,INDEX(Properties!A$1:CB$87,Formula!F73,14)),IF((Formula!H73)=87,10^6,INDEX(Properties!A$1:CB$87,Formula!H73,14)),IF(Formula!J73=87,10^6,INDEX(Properties!A$1:CB$87,Formula!J73,14)))</f>
        <v>0</v>
      </c>
      <c r="BI73" s="63">
        <f t="shared" si="41"/>
        <v>0</v>
      </c>
      <c r="BJ73" s="75">
        <f>((Formula!C73)/(Formula!C73+Formula!E73+Formula!G73+Formula!I73+Formula!K73))*(INDEX(Properties!A$1:CB$87,Formula!B73,19))+((Formula!E73)/(Formula!C73+Formula!E73+Formula!G73+Formula!I73+Formula!K73))*(INDEX(Properties!A$1:CB$87,Formula!D73,19))+((Formula!G73)/(Formula!C73+Formula!E73+Formula!G73+Formula!I73+Formula!K73))*(INDEX(Properties!A$1:CB$87,Formula!F73,19))+((Formula!I73)/(Formula!C73+Formula!E73+Formula!G73+Formula!I73+Formula!K73))*(INDEX(Properties!A$1:CB$87,Formula!H73,19))+((Formula!K73)/(Formula!C73+Formula!E73+Formula!G73+Formula!I73+Formula!K73))*(INDEX(Properties!A$1:CB$87,Formula!J73,19))</f>
        <v>4.5714285714285712</v>
      </c>
      <c r="BK73" s="75">
        <f>Formula!C73*(INDEX(Properties!A$1:CB$87,Formula!B73,19))+Formula!E73*(INDEX(Properties!A$1:CB$87,Formula!D73,19))+Formula!G73*(INDEX(Properties!A$1:CB$87,Formula!F73,19))+Formula!I73*(INDEX(Properties!A$1:CB$87,Formula!H73,19))+Formula!K73*(INDEX(Properties!A$1:CB$87,Formula!J73,19))</f>
        <v>32</v>
      </c>
      <c r="BL73" s="75">
        <f>VARP(IF(INDEX(Properties!A$1:CB$87,Formula!B73,19)&lt;&gt;"",INDEX(Properties!A$1:CB$87,Formula!B73,19)),IF(INDEX(Properties!A$1:CB$87,Formula!D73,19)&lt;&gt;"",INDEX(Properties!A$1:CB$87,Formula!D73,19)),IF(INDEX(Properties!A$1:CB$87,Formula!F73,19)&lt;&gt;"",INDEX(Properties!A$1:CB$87,Formula!F73,19)),IF(INDEX(Properties!A$1:CB$87,Formula!H73,19)&lt;&gt;"",INDEX(Properties!A$1:CB$87,Formula!H73,19)),IF(INDEX(Properties!A$1:CB$87,Formula!J73,19)&lt;&gt;"",INDEX(Properties!A$1:CB$87,Formula!J73,19)))</f>
        <v>5.36</v>
      </c>
      <c r="BM73" s="75">
        <f>MAX(INDEX(Properties!A$1:CB$87,Formula!B73,19),INDEX(Properties!A$1:CB$87,Formula!D73,19),INDEX(Properties!A$1:CB$87,Formula!F73,19),INDEX(Properties!A$1:CB$87,Formula!H73,19),INDEX(Properties!A$1:CB$87,Formula!J73,19))</f>
        <v>6</v>
      </c>
      <c r="BN73" s="75">
        <f>MIN(IF(INDEX(Properties!A$1:CB$87,Formula!B73,19)=0,10^6,INDEX(Properties!A$1:CB$87,Formula!B73,19)),IF(INDEX(Properties!A$1:CB$87,Formula!D73,19)=0,10^6,INDEX(Properties!A$1:CB$87,Formula!D73,19)),IF(INDEX(Properties!A$1:CB$87,Formula!F73,19)=0,10^6,INDEX(Properties!A$1:CB$87,Formula!F73,19)),IF(INDEX(Properties!A$1:CB$87,Formula!H73,19)=0,10^6,INDEX(Properties!A$1:CB$87,Formula!H73,19)),IF(INDEX(Properties!A$1:CB$87,Formula!J73,19)=0,10^6,INDEX(Properties!A$1:CB$87,Formula!J73,19)))</f>
        <v>1</v>
      </c>
      <c r="BO73" s="75">
        <f t="shared" si="42"/>
        <v>5</v>
      </c>
      <c r="BP73" s="48">
        <f>((Formula!C73)/(Formula!C73+Formula!E73+Formula!G73+Formula!I73+Formula!K73))*(INDEX(Properties!A$1:CB$87,Formula!B73,20))+((Formula!E73)/(Formula!C73+Formula!E73+Formula!G73+Formula!I73+Formula!K73))*(INDEX(Properties!A$1:CB$87,Formula!D73,20))+((Formula!G73)/(Formula!C73+Formula!E73+Formula!G73+Formula!I73+Formula!K73))*(INDEX(Properties!A$1:CB$87,Formula!F73,20))+((Formula!I73)/(Formula!C73+Formula!E73+Formula!G73+Formula!I73+Formula!K73))*(INDEX(Properties!A$1:CB$87,Formula!H73,20))+((Formula!K73)/(Formula!C73+Formula!E73+Formula!G73+Formula!I73+Formula!K73))*(INDEX(Properties!A$1:CB$87,Formula!J73,20))</f>
        <v>4.5714285714285712</v>
      </c>
      <c r="BQ73" s="48">
        <f>Formula!C73*(INDEX(Properties!A$1:CB$87,Formula!B73,20))+Formula!E73*(INDEX(Properties!A$1:CB$87,Formula!D73,20))+Formula!G73*(INDEX(Properties!A$1:CB$87,Formula!F73,20))+Formula!I73*(INDEX(Properties!A$1:CB$87,Formula!H73,20))+Formula!K73*(INDEX(Properties!A$1:CB$87,Formula!J73,20))</f>
        <v>32</v>
      </c>
      <c r="BR73" s="48">
        <f>VARP(IF(INDEX(Properties!A$1:CB$87,Formula!B73,20)&lt;&gt;"",INDEX(Properties!A$1:CB$87,Formula!B73,20)),IF(INDEX(Properties!A$1:CB$87,Formula!D73,20)&lt;&gt;"",INDEX(Properties!A$1:CB$87,Formula!D73,20)),IF(INDEX(Properties!A$1:CB$87,Formula!F73,20)&lt;&gt;"",INDEX(Properties!A$1:CB$87,Formula!F73,20)),IF(INDEX(Properties!A$1:CB$87,Formula!H73,20)&lt;&gt;"",INDEX(Properties!A$1:CB$87,Formula!H73,20)),IF(INDEX(Properties!A$1:CB$87,Formula!J73,20)&lt;&gt;"",INDEX(Properties!A$1:CB$87,Formula!J73,20)))</f>
        <v>5.36</v>
      </c>
      <c r="BS73" s="48">
        <f>MAX(INDEX(Properties!A$1:CB$87,Formula!B73,20),INDEX(Properties!A$1:CB$87,Formula!D73,20),INDEX(Properties!A$1:CB$87,Formula!F73,20),INDEX(Properties!A$1:CB$87,Formula!H73,20),INDEX(Properties!A$1:CB$87,Formula!J73,20))</f>
        <v>6</v>
      </c>
      <c r="BT73" s="48">
        <f>MIN(IF(INDEX(Properties!A$1:CB$87,Formula!B73,20)=0,10^6,INDEX(Properties!A$1:CB$87,Formula!B73,20)),IF(INDEX(Properties!A$1:CB$87,Formula!D73,20)=0,10^6,INDEX(Properties!A$1:CB$87,Formula!D73,20)),IF(INDEX(Properties!A$1:CB$87,Formula!F73,20)=0,10^6,INDEX(Properties!A$1:CB$87,Formula!F73,20)),IF(INDEX(Properties!A$1:CB$87,Formula!H73,20)=0,10^6,INDEX(Properties!A$1:CB$87,Formula!H73,20)),IF(INDEX(Properties!A$1:CB$87,Formula!J73,20)=0,10^6,INDEX(Properties!A$1:CB$87,Formula!J73,20)))</f>
        <v>1</v>
      </c>
      <c r="BU73" s="48">
        <f t="shared" si="43"/>
        <v>5</v>
      </c>
      <c r="BV73" s="66">
        <f>((Formula!C73)/(Formula!C73+Formula!E73+Formula!G73+Formula!I73+Formula!K73))*(INDEX(Properties!A$1:CB$87,Formula!B73,21))+((Formula!E73)/(Formula!C73+Formula!E73+Formula!G73+Formula!I73+Formula!K73))*(INDEX(Properties!A$1:CB$87,Formula!D73,21))+((Formula!G73)/(Formula!C73+Formula!E73+Formula!G73+Formula!I73+Formula!K73))*(INDEX(Properties!A$1:CB$87,Formula!F73,21))+((Formula!I73)/(Formula!C73+Formula!E73+Formula!G73+Formula!I73+Formula!K73))*(INDEX(Properties!A$1:CB$87,Formula!H73,21))+((Formula!K73)/(Formula!C73+Formula!E73+Formula!G73+Formula!I73+Formula!K73))*(INDEX(Properties!A$1:CB$87,Formula!J73,21))</f>
        <v>4.5714285714285712</v>
      </c>
      <c r="BW73" s="66">
        <f>Formula!C73*(INDEX(Properties!A$1:CB$87,Formula!B73,21))+Formula!E73*(INDEX(Properties!A$1:CB$87,Formula!D73,21))+Formula!G73*(INDEX(Properties!A$1:CB$87,Formula!F73,21))+Formula!I73*(INDEX(Properties!A$1:CB$87,Formula!H73,21))+Formula!K73*(INDEX(Properties!A$1:CB$87,Formula!J73,21))</f>
        <v>32</v>
      </c>
      <c r="BX73" s="66">
        <f>VARP(IF(INDEX(Properties!A$1:CB$87,Formula!B73,21)&lt;&gt;"",INDEX(Properties!A$1:CB$87,Formula!B73,21)),IF(INDEX(Properties!A$1:CB$87,Formula!D73,21)&lt;&gt;"",INDEX(Properties!A$1:CB$87,Formula!D73,21)),IF(INDEX(Properties!A$1:CB$87,Formula!F73,21)&lt;&gt;"",INDEX(Properties!A$1:CB$87,Formula!F73,21)),IF(INDEX(Properties!A$1:CB$87,Formula!H73,21)&lt;&gt;"",INDEX(Properties!A$1:CB$87,Formula!H73,21)),IF(INDEX(Properties!A$1:CB$87,Formula!J73,21)&lt;&gt;"",INDEX(Properties!A$1:CB$87,Formula!J73,21)))</f>
        <v>5.36</v>
      </c>
      <c r="BY73" s="66">
        <f>MAX(INDEX(Properties!A$1:CB$87,Formula!B73,21),INDEX(Properties!A$1:CB$87,Formula!D73,21),INDEX(Properties!A$1:CB$87,Formula!F73,21),INDEX(Properties!A$1:CB$87,Formula!H73,21),INDEX(Properties!A$1:CB$87,Formula!J73,21))</f>
        <v>6</v>
      </c>
      <c r="BZ73" s="66">
        <f>MIN(IF(INDEX(Properties!A$1:CB$87,Formula!B73,21)=0,10^6,INDEX(Properties!A$1:CB$87,Formula!B73,21)),IF(INDEX(Properties!A$1:CB$87,Formula!D73,21)=0,10^6,INDEX(Properties!A$1:CB$87,Formula!D73,21)),IF(INDEX(Properties!A$1:CB$87,Formula!F73,21)=0,10^6,INDEX(Properties!A$1:CB$87,Formula!F73,21)),IF(INDEX(Properties!A$1:CB$87,Formula!H73,21)=0,10^6,INDEX(Properties!A$1:CB$87,Formula!H73,21)),IF(INDEX(Properties!A$1:CB$87,Formula!J73,21)=0,10^6,INDEX(Properties!A$1:CB$87,Formula!J73,21)))</f>
        <v>1</v>
      </c>
      <c r="CA73" s="66">
        <f t="shared" si="44"/>
        <v>5</v>
      </c>
      <c r="CB73" s="81">
        <f>((Formula!C73)/(Formula!C73+Formula!E73+Formula!G73+Formula!I73+Formula!K73))*(INDEX(Properties!A$1:CB$87,Formula!B73,23))+((Formula!E73)/(Formula!C73+Formula!E73+Formula!G73+Formula!I73+Formula!K73))*(INDEX(Properties!A$1:CB$87,Formula!D73,23))+((Formula!G73)/(Formula!C73+Formula!E73+Formula!G73+Formula!I73+Formula!K73))*(INDEX(Properties!A$1:CB$87,Formula!F73,23))+((Formula!I73)/(Formula!C73+Formula!E73+Formula!G73+Formula!I73+Formula!K73))*(INDEX(Properties!A$1:CB$87,Formula!H73,23))+((Formula!K73)/(Formula!C73+Formula!E73+Formula!G73+Formula!I73+Formula!K73))*(INDEX(Properties!A$1:CB$87,Formula!J73,23))</f>
        <v>0.8571428571428571</v>
      </c>
      <c r="CC73" s="81">
        <f>Formula!C73*(INDEX(Properties!A$1:CB$87,Formula!B73,23))+Formula!E73*(INDEX(Properties!A$1:CB$87,Formula!D73,23))+Formula!G73*(INDEX(Properties!A$1:CB$87,Formula!F73,23))+Formula!I73*(INDEX(Properties!A$1:CB$87,Formula!H73,23))+Formula!K73*(INDEX(Properties!A$1:CB$87,Formula!J73,23))</f>
        <v>6</v>
      </c>
      <c r="CD73" s="81">
        <f>VARP(IF(INDEX(Properties!A$1:CB$87,Formula!B73,23)&lt;&gt;"",INDEX(Properties!A$1:CB$87,Formula!B73,23)),IF(INDEX(Properties!A$1:CB$87,Formula!D73,23)&lt;&gt;"",INDEX(Properties!A$1:CB$87,Formula!D73,23)),IF(INDEX(Properties!A$1:CB$87,Formula!F73,23)&lt;&gt;"",INDEX(Properties!A$1:CB$87,Formula!F73,23)),IF(INDEX(Properties!A$1:CB$87,Formula!H73,23)&lt;&gt;"",INDEX(Properties!A$1:CB$87,Formula!H73,23)),IF(INDEX(Properties!A$1:CB$87,Formula!J73,23)&lt;&gt;"",INDEX(Properties!A$1:CB$87,Formula!J73,23)))</f>
        <v>1.36</v>
      </c>
      <c r="CE73" s="81">
        <f>MAX(INDEX(Properties!A$1:CB$87,Formula!B73,23),INDEX(Properties!A$1:CB$87,Formula!D73,23),INDEX(Properties!A$1:CB$87,Formula!F73,23),INDEX(Properties!A$1:CB$87,Formula!H73,23),INDEX(Properties!A$1:CB$87,Formula!J73,23))</f>
        <v>3</v>
      </c>
      <c r="CF73" s="81">
        <f>MIN(IF(Formula!B73=87,10^6,INDEX(Properties!A$1:CB$87,Formula!B73,23)),IF((Formula!D73)=87,10^6,INDEX(Properties!A$1:CB$87,Formula!D73,23)),IF((Formula!F73)=87,10^6,INDEX(Properties!A$1:CB$87,Formula!F73,23)),IF((Formula!H73)=87,10^6,INDEX(Properties!A$1:CB$87,Formula!H73,23)),IF(Formula!J73=87,10^6,INDEX(Properties!A$1:CB$87,Formula!J73,23)))</f>
        <v>0</v>
      </c>
      <c r="CG73" s="81">
        <f t="shared" si="45"/>
        <v>3</v>
      </c>
      <c r="CH73" s="39">
        <f>((Formula!C73)/(Formula!C73+Formula!E73+Formula!G73+Formula!I73+Formula!K73))*(INDEX(Properties!A$1:CB$87,Formula!B73,26))+((Formula!E73)/(Formula!C73+Formula!E73+Formula!G73+Formula!I73+Formula!K73))*(INDEX(Properties!A$1:CB$87,Formula!D73,26))+((Formula!G73)/(Formula!C73+Formula!E73+Formula!G73+Formula!I73+Formula!K73))*(INDEX(Properties!A$1:CB$87,Formula!F73,26))+((Formula!I73)/(Formula!C73+Formula!E73+Formula!G73+Formula!I73+Formula!K73))*(INDEX(Properties!A$1:CB$87,Formula!H73,26))+((Formula!K73)/(Formula!C73+Formula!E73+Formula!G73+Formula!I73+Formula!K73))*(INDEX(Properties!A$1:CB$87,Formula!J73,26))</f>
        <v>10.992285714285714</v>
      </c>
      <c r="CI73" s="39">
        <f>Formula!C73*(INDEX(Properties!A$1:CB$87,Formula!B73,26))+Formula!E73*(INDEX(Properties!A$1:CB$87,Formula!D73,26))+Formula!G73*(INDEX(Properties!A$1:CB$87,Formula!F73,26))+Formula!I73*(INDEX(Properties!A$1:CB$87,Formula!H73,26))+Formula!K73*(INDEX(Properties!A$1:CB$87,Formula!J73,26))</f>
        <v>76.945999999999998</v>
      </c>
      <c r="CJ73" s="39">
        <f>VARP(IF(INDEX(Properties!A$1:CB$87,Formula!B73,26)&lt;&gt;"",INDEX(Properties!A$1:CB$87,Formula!B73,26)),IF(INDEX(Properties!A$1:CB$87,Formula!D73,26)&lt;&gt;"",INDEX(Properties!A$1:CB$87,Formula!D73,26)),IF(INDEX(Properties!A$1:CB$87,Formula!F73,26)&lt;&gt;"",INDEX(Properties!A$1:CB$87,Formula!F73,26)),IF(INDEX(Properties!A$1:CB$87,Formula!H73,26)&lt;&gt;"",INDEX(Properties!A$1:CB$87,Formula!H73,26)),IF(INDEX(Properties!A$1:CB$87,Formula!J73,26)&lt;&gt;"",INDEX(Properties!A$1:CB$87,Formula!J73,26)))</f>
        <v>22.441482730400004</v>
      </c>
      <c r="CK73" s="39">
        <f>MAX(INDEX(Properties!A$1:CB$87,Formula!B73,26),INDEX(Properties!A$1:CB$87,Formula!D73,26),INDEX(Properties!A$1:CB$87,Formula!F73,26),INDEX(Properties!A$1:CB$87,Formula!H73,26),INDEX(Properties!A$1:CB$87,Formula!J73,26))</f>
        <v>13.6181</v>
      </c>
      <c r="CL73" s="39">
        <f>MIN(IF(INDEX(Properties!A$1:CB$87,Formula!B73,26)=0,10^6,INDEX(Properties!A$1:CB$87,Formula!B73,26)),IF(INDEX(Properties!A$1:CB$87,Formula!D73,26)=0,10^6,INDEX(Properties!A$1:CB$87,Formula!D73,26)),IF(INDEX(Properties!A$1:CB$87,Formula!F73,26)=0,10^6,INDEX(Properties!A$1:CB$87,Formula!F73,26)),IF(INDEX(Properties!A$1:CB$87,Formula!H73,26)=0,10^6,INDEX(Properties!A$1:CB$87,Formula!H73,26)),IF(INDEX(Properties!A$1:CB$87,Formula!J73,26)=0,10^6,INDEX(Properties!A$1:CB$87,Formula!J73,26)))</f>
        <v>4.3407</v>
      </c>
      <c r="CM73" s="39">
        <f t="shared" si="46"/>
        <v>9.2774000000000001</v>
      </c>
      <c r="CN73" s="54">
        <f>((Formula!C73)/(Formula!C73+Formula!E73+Formula!G73+Formula!I73+Formula!K73))*(INDEX(Properties!A$1:CB$87,Formula!B73,30))+((Formula!E73)/(Formula!C73+Formula!E73+Formula!G73+Formula!I73+Formula!K73))*(INDEX(Properties!A$1:CB$87,Formula!D73,30))+((Formula!G73)/(Formula!C73+Formula!E73+Formula!G73+Formula!I73+Formula!K73))*(INDEX(Properties!A$1:CB$87,Formula!F73,30))+((Formula!I73)/(Formula!C73+Formula!E73+Formula!G73+Formula!I73+Formula!K73))*(INDEX(Properties!A$1:CB$87,Formula!H73,30))+((Formula!K73)/(Formula!C73+Formula!E73+Formula!G73+Formula!I73+Formula!K73))*(INDEX(Properties!A$1:CB$87,Formula!J73,30))</f>
        <v>2.5828571428571427</v>
      </c>
      <c r="CO73" s="54">
        <f>Formula!C73*(INDEX(Properties!A$1:CB$87,Formula!B73,30))+Formula!E73*(INDEX(Properties!A$1:CB$87,Formula!D73,30))+Formula!G73*(INDEX(Properties!A$1:CB$87,Formula!F73,30))+Formula!I73*(INDEX(Properties!A$1:CB$87,Formula!H73,30))+Formula!K73*(INDEX(Properties!A$1:CB$87,Formula!J73,30))</f>
        <v>18.079999999999998</v>
      </c>
      <c r="CP73" s="54">
        <f>VARP(IF(INDEX(Properties!A$1:CB$87,Formula!B73,30)&lt;&gt;"",INDEX(Properties!A$1:CB$87,Formula!B73,30)),IF(INDEX(Properties!A$1:CB$87,Formula!D73,30)&lt;&gt;"",INDEX(Properties!A$1:CB$87,Formula!D73,30)),IF(INDEX(Properties!A$1:CB$87,Formula!F73,30)&lt;&gt;"",INDEX(Properties!A$1:CB$87,Formula!F73,30)),IF(INDEX(Properties!A$1:CB$87,Formula!H73,30)&lt;&gt;"",INDEX(Properties!A$1:CB$87,Formula!H73,30)),IF(INDEX(Properties!A$1:CB$87,Formula!J73,30)&lt;&gt;"",INDEX(Properties!A$1:CB$87,Formula!J73,30)))</f>
        <v>1.3949360000000004</v>
      </c>
      <c r="CQ73" s="54">
        <f>MAX(INDEX(Properties!A$1:CB$87,Formula!B73,30),INDEX(Properties!A$1:CB$87,Formula!D73,30),INDEX(Properties!A$1:CB$87,Formula!F73,30),INDEX(Properties!A$1:CB$87,Formula!H73,30),INDEX(Properties!A$1:CB$87,Formula!J73,30))</f>
        <v>3.44</v>
      </c>
      <c r="CR73" s="54">
        <f>MIN(IF(INDEX(Properties!A$1:CB$87,Formula!B73,30)=0,10^6,INDEX(Properties!A$1:CB$87,Formula!B73,30)),IF(INDEX(Properties!A$1:CB$87,Formula!D73,30)=0,10^6,INDEX(Properties!A$1:CB$87,Formula!D73,30)),IF(INDEX(Properties!A$1:CB$87,Formula!F73,30)=0,10^6,INDEX(Properties!A$1:CB$87,Formula!F73,30)),IF(INDEX(Properties!A$1:CB$87,Formula!H73,30)=0,10^6,INDEX(Properties!A$1:CB$87,Formula!H73,30)),IF(INDEX(Properties!A$1:CB$87,Formula!J73,30)=0,10^6,INDEX(Properties!A$1:CB$87,Formula!J73,30)))</f>
        <v>0.82</v>
      </c>
      <c r="CS73" s="54">
        <f t="shared" si="47"/>
        <v>2.62</v>
      </c>
      <c r="CT73" s="69">
        <f>((Formula!C73)/(Formula!C73+Formula!E73+Formula!G73+Formula!I73+Formula!K73))*(INDEX(Properties!A$1:CB$87,Formula!B73,31))+((Formula!E73)/(Formula!C73+Formula!E73+Formula!G73+Formula!I73+Formula!K73))*(INDEX(Properties!A$1:CB$87,Formula!D73,31))+((Formula!G73)/(Formula!C73+Formula!E73+Formula!G73+Formula!I73+Formula!K73))*(INDEX(Properties!A$1:CB$87,Formula!F73,31))+((Formula!I73)/(Formula!C73+Formula!E73+Formula!G73+Formula!I73+Formula!K73))*(INDEX(Properties!A$1:CB$87,Formula!H73,31))+((Formula!K73)/(Formula!C73+Formula!E73+Formula!G73+Formula!I73+Formula!K73))*(INDEX(Properties!A$1:CB$87,Formula!J73,31))</f>
        <v>2.5299999999999998</v>
      </c>
      <c r="CU73" s="69">
        <f>Formula!C73*(INDEX(Properties!A$1:CB$87,Formula!B73,31))+Formula!E73*(INDEX(Properties!A$1:CB$87,Formula!D73,31))+Formula!G73*(INDEX(Properties!A$1:CB$87,Formula!F73,31))+Formula!I73*(INDEX(Properties!A$1:CB$87,Formula!H73,31))+Formula!K73*(INDEX(Properties!A$1:CB$87,Formula!J73,31))</f>
        <v>17.71</v>
      </c>
      <c r="CV73" s="69">
        <f>VARP(IF(INDEX(Properties!A$1:CB$87,Formula!B73,31)&lt;&gt;"",INDEX(Properties!A$1:CB$87,Formula!B73,31)),IF(INDEX(Properties!A$1:CB$87,Formula!D73,31)&lt;&gt;"",INDEX(Properties!A$1:CB$87,Formula!D73,31)),IF(INDEX(Properties!A$1:CB$87,Formula!F73,31)&lt;&gt;"",INDEX(Properties!A$1:CB$87,Formula!F73,31)),IF(INDEX(Properties!A$1:CB$87,Formula!H73,31)&lt;&gt;"",INDEX(Properties!A$1:CB$87,Formula!H73,31)),IF(INDEX(Properties!A$1:CB$87,Formula!J73,31)&lt;&gt;"",INDEX(Properties!A$1:CB$87,Formula!J73,31)))</f>
        <v>1.3496799999999995</v>
      </c>
      <c r="CW73" s="69">
        <f>MAX(INDEX(Properties!A$1:CB$87,Formula!B73,31),INDEX(Properties!A$1:CB$87,Formula!D73,31),INDEX(Properties!A$1:CB$87,Formula!F73,31),INDEX(Properties!A$1:CB$87,Formula!H73,31),INDEX(Properties!A$1:CB$87,Formula!J73,31))</f>
        <v>3.32</v>
      </c>
      <c r="CX73" s="69">
        <f>MIN(IF(INDEX(Properties!A$1:CB$87,Formula!B73,31)=0,10^6,INDEX(Properties!A$1:CB$87,Formula!B73,31)),IF(INDEX(Properties!A$1:CB$87,Formula!D73,31)=0,10^6,INDEX(Properties!A$1:CB$87,Formula!D73,31)),IF(INDEX(Properties!A$1:CB$87,Formula!F73,31)=0,10^6,INDEX(Properties!A$1:CB$87,Formula!F73,31)),IF(INDEX(Properties!A$1:CB$87,Formula!H73,31)=0,10^6,INDEX(Properties!A$1:CB$87,Formula!H73,31)),IF(INDEX(Properties!A$1:CB$87,Formula!J73,31)=0,10^6,INDEX(Properties!A$1:CB$87,Formula!J73,31)))</f>
        <v>0.8</v>
      </c>
      <c r="CY73" s="69">
        <f t="shared" si="48"/>
        <v>2.5199999999999996</v>
      </c>
      <c r="CZ73" s="42">
        <f>((Formula!C73)/(Formula!C73+Formula!E73+Formula!G73+Formula!I73+Formula!K73))*(INDEX(Properties!A$1:CB$87,Formula!B73,32))+((Formula!E73)/(Formula!C73+Formula!E73+Formula!G73+Formula!I73+Formula!K73))*(INDEX(Properties!A$1:CB$87,Formula!D73,32))+((Formula!G73)/(Formula!C73+Formula!E73+Formula!G73+Formula!I73+Formula!K73))*(INDEX(Properties!A$1:CB$87,Formula!F73,32))+((Formula!I73)/(Formula!C73+Formula!E73+Formula!G73+Formula!I73+Formula!K73))*(INDEX(Properties!A$1:CB$87,Formula!H73,32))+((Formula!K73)/(Formula!C73+Formula!E73+Formula!G73+Formula!I73+Formula!K73))*(INDEX(Properties!A$1:CB$87,Formula!J73,32))</f>
        <v>5.9928571428571429</v>
      </c>
      <c r="DA73" s="42">
        <f>Formula!C73*(INDEX(Properties!A$1:CB$87,Formula!B73,32))+Formula!E73*(INDEX(Properties!A$1:CB$87,Formula!D73,32))+Formula!G73*(INDEX(Properties!A$1:CB$87,Formula!F73,32))+Formula!I73*(INDEX(Properties!A$1:CB$87,Formula!H73,32))+Formula!K73*(INDEX(Properties!A$1:CB$87,Formula!J73,32))</f>
        <v>41.95</v>
      </c>
      <c r="DB73" s="42">
        <f>VARP(IF(INDEX(Properties!A$1:CB$87,Formula!B73,32)&lt;&gt;"",INDEX(Properties!A$1:CB$87,Formula!B73,32)),IF(INDEX(Properties!A$1:CB$87,Formula!D73,32)&lt;&gt;"",INDEX(Properties!A$1:CB$87,Formula!D73,32)),IF(INDEX(Properties!A$1:CB$87,Formula!F73,32)&lt;&gt;"",INDEX(Properties!A$1:CB$87,Formula!F73,32)),IF(INDEX(Properties!A$1:CB$87,Formula!H73,32)&lt;&gt;"",INDEX(Properties!A$1:CB$87,Formula!H73,32)),IF(INDEX(Properties!A$1:CB$87,Formula!J73,32)&lt;&gt;"",INDEX(Properties!A$1:CB$87,Formula!J73,32)))</f>
        <v>6.725024000000003</v>
      </c>
      <c r="DC73" s="42">
        <f>MAX(INDEX(Properties!A$1:CB$87,Formula!B73,32),INDEX(Properties!A$1:CB$87,Formula!D73,32),INDEX(Properties!A$1:CB$87,Formula!F73,32),INDEX(Properties!A$1:CB$87,Formula!H73,32),INDEX(Properties!A$1:CB$87,Formula!J73,32))</f>
        <v>7.54</v>
      </c>
      <c r="DD73" s="42">
        <f>MIN(IF(INDEX(Properties!A$1:CB$87,Formula!B73,32)=0,10^6,INDEX(Properties!A$1:CB$87,Formula!B73,32)),IF(INDEX(Properties!A$1:CB$87,Formula!D73,32)=0,10^6,INDEX(Properties!A$1:CB$87,Formula!D73,32)),IF(INDEX(Properties!A$1:CB$87,Formula!F73,32)=0,10^6,INDEX(Properties!A$1:CB$87,Formula!F73,32)),IF(INDEX(Properties!A$1:CB$87,Formula!H73,32)=0,10^6,INDEX(Properties!A$1:CB$87,Formula!H73,32)),IF(INDEX(Properties!A$1:CB$87,Formula!J73,32)=0,10^6,INDEX(Properties!A$1:CB$87,Formula!J73,32)))</f>
        <v>2.42</v>
      </c>
      <c r="DE73" s="42">
        <f t="shared" si="49"/>
        <v>5.12</v>
      </c>
      <c r="DF73" s="60">
        <f>((Formula!C73)/(Formula!C73+Formula!E73+Formula!G73+Formula!I73+Formula!K73))*(INDEX(Properties!A$1:CB$87,Formula!B73,34))+((Formula!E73)/(Formula!C73+Formula!E73+Formula!G73+Formula!I73+Formula!K73))*(INDEX(Properties!A$1:CB$87,Formula!D73,34))+((Formula!G73)/(Formula!C73+Formula!E73+Formula!G73+Formula!I73+Formula!K73))*(INDEX(Properties!A$1:CB$87,Formula!F73,34))+((Formula!I73)/(Formula!C73+Formula!E73+Formula!G73+Formula!I73+Formula!K73))*(INDEX(Properties!A$1:CB$87,Formula!H73,34))+((Formula!K73)/(Formula!C73+Formula!E73+Formula!G73+Formula!I73+Formula!K73))*(INDEX(Properties!A$1:CB$87,Formula!J73,34))</f>
        <v>2.6742857142857144</v>
      </c>
      <c r="DG73" s="60">
        <f>Formula!C73*(INDEX(Properties!A$1:CB$87,Formula!B73,34))+Formula!E73*(INDEX(Properties!A$1:CB$87,Formula!D73,34))+Formula!G73*(INDEX(Properties!A$1:CB$87,Formula!F73,34))+Formula!I73*(INDEX(Properties!A$1:CB$87,Formula!H73,34))+Formula!K73*(INDEX(Properties!A$1:CB$87,Formula!J73,34))</f>
        <v>18.72</v>
      </c>
      <c r="DH73" s="60">
        <f>VARP(IF(INDEX(Properties!A$1:CB$87,Formula!B73,34)&lt;&gt;"",INDEX(Properties!A$1:CB$87,Formula!B73,34)),IF(INDEX(Properties!A$1:CB$87,Formula!D73,34)&lt;&gt;"",INDEX(Properties!A$1:CB$87,Formula!D73,34)),IF(INDEX(Properties!A$1:CB$87,Formula!F73,34)&lt;&gt;"",INDEX(Properties!A$1:CB$87,Formula!F73,34)),IF(INDEX(Properties!A$1:CB$87,Formula!H73,34)&lt;&gt;"",INDEX(Properties!A$1:CB$87,Formula!H73,34)),IF(INDEX(Properties!A$1:CB$87,Formula!J73,34)&lt;&gt;"",INDEX(Properties!A$1:CB$87,Formula!J73,34)))</f>
        <v>1.5736587999999998</v>
      </c>
      <c r="DI73" s="60">
        <f>MAX(INDEX(Properties!A$1:CB$87,Formula!B73,34),INDEX(Properties!A$1:CB$87,Formula!D73,34),INDEX(Properties!A$1:CB$87,Formula!F73,34),INDEX(Properties!A$1:CB$87,Formula!H73,34),INDEX(Properties!A$1:CB$87,Formula!J73,34))</f>
        <v>3.61</v>
      </c>
      <c r="DJ73" s="60">
        <f>MIN(IF(INDEX(Properties!A$1:CB$87,Formula!B73,34)=0,10^6,INDEX(Properties!A$1:CB$87,Formula!B73,34)),IF(INDEX(Properties!A$1:CB$87,Formula!D73,34)=0,10^6,INDEX(Properties!A$1:CB$87,Formula!D73,34)),IF(INDEX(Properties!A$1:CB$87,Formula!F73,34)=0,10^6,INDEX(Properties!A$1:CB$87,Formula!F73,34)),IF(INDEX(Properties!A$1:CB$87,Formula!H73,34)=0,10^6,INDEX(Properties!A$1:CB$87,Formula!H73,34)),IF(INDEX(Properties!A$1:CB$87,Formula!J73,34)=0,10^6,INDEX(Properties!A$1:CB$87,Formula!J73,34)))</f>
        <v>0.73399999999999999</v>
      </c>
      <c r="DK73" s="60">
        <f t="shared" si="50"/>
        <v>2.8759999999999999</v>
      </c>
      <c r="DL73" s="45">
        <f>((Formula!C73)/(Formula!C73+Formula!E73+Formula!G73+Formula!I73+Formula!K73))*(INDEX(Properties!A$1:CB$87,Formula!B73,39))+((Formula!E73)/(Formula!C73+Formula!E73+Formula!G73+Formula!I73+Formula!K73))*(INDEX(Properties!A$1:CB$87,Formula!D73,39))+((Formula!G73)/(Formula!C73+Formula!E73+Formula!G73+Formula!I73+Formula!K73))*(INDEX(Properties!A$1:CB$87,Formula!F73,39))+((Formula!I73)/(Formula!C73+Formula!E73+Formula!G73+Formula!I73+Formula!K73))*(INDEX(Properties!A$1:CB$87,Formula!H73,39))+((Formula!K73)/(Formula!C73+Formula!E73+Formula!G73+Formula!I73+Formula!K73))*(INDEX(Properties!A$1:CB$87,Formula!J73,39))</f>
        <v>0.96857142857142853</v>
      </c>
      <c r="DM73" s="45">
        <f>Formula!C73*(INDEX(Properties!A$1:CB$87,Formula!B73,39))+Formula!E73*(INDEX(Properties!A$1:CB$87,Formula!D73,39))+Formula!G73*(INDEX(Properties!A$1:CB$87,Formula!F73,39))+Formula!I73*(INDEX(Properties!A$1:CB$87,Formula!H73,39))+Formula!K73*(INDEX(Properties!A$1:CB$87,Formula!J73,39))</f>
        <v>6.7799999999999994</v>
      </c>
      <c r="DN73" s="45">
        <f>VARP(IF(INDEX(Properties!A$1:CB$87,Formula!B73,39)&lt;&gt;"",INDEX(Properties!A$1:CB$87,Formula!B73,39)),IF(INDEX(Properties!A$1:CB$87,Formula!D73,39)&lt;&gt;"",INDEX(Properties!A$1:CB$87,Formula!D73,39)),IF(INDEX(Properties!A$1:CB$87,Formula!F73,39)&lt;&gt;"",INDEX(Properties!A$1:CB$87,Formula!F73,39)),IF(INDEX(Properties!A$1:CB$87,Formula!H73,39)&lt;&gt;"",INDEX(Properties!A$1:CB$87,Formula!H73,39)),IF(INDEX(Properties!A$1:CB$87,Formula!J73,39)&lt;&gt;"",INDEX(Properties!A$1:CB$87,Formula!J73,39)))</f>
        <v>0.69901599999999997</v>
      </c>
      <c r="DO73" s="45">
        <f>MAX(INDEX(Properties!A$1:CB$87,Formula!B73,39),INDEX(Properties!A$1:CB$87,Formula!D73,39),INDEX(Properties!A$1:CB$87,Formula!F73,39),INDEX(Properties!A$1:CB$87,Formula!H73,39),INDEX(Properties!A$1:CB$87,Formula!J73,39))</f>
        <v>2.4300000000000002</v>
      </c>
      <c r="DP73" s="45">
        <f>MIN(IF(INDEX(Properties!A$1:CB$87,Formula!B73,39)=0,10^6,INDEX(Properties!A$1:CB$87,Formula!B73,39)),IF(INDEX(Properties!A$1:CB$87,Formula!D73,39)=0,10^6,INDEX(Properties!A$1:CB$87,Formula!D73,39)),IF(INDEX(Properties!A$1:CB$87,Formula!F73,39)=0,10^6,INDEX(Properties!A$1:CB$87,Formula!F73,39)),IF(INDEX(Properties!A$1:CB$87,Formula!H73,39)=0,10^6,INDEX(Properties!A$1:CB$87,Formula!H73,39)),IF(INDEX(Properties!A$1:CB$87,Formula!J73,39)=0,10^6,INDEX(Properties!A$1:CB$87,Formula!J73,39)))</f>
        <v>0.48</v>
      </c>
      <c r="DQ73" s="45">
        <f t="shared" si="51"/>
        <v>1.9500000000000002</v>
      </c>
      <c r="DR73" s="63">
        <f>((Formula!C73)/(Formula!C73+Formula!E73+Formula!G73+Formula!I73+Formula!K73))*(INDEX(Properties!A$1:CB$87,Formula!B73,40))+((Formula!E73)/(Formula!C73+Formula!E73+Formula!G73+Formula!I73+Formula!K73))*(INDEX(Properties!A$1:CB$87,Formula!D73,40))+((Formula!G73)/(Formula!C73+Formula!E73+Formula!G73+Formula!I73+Formula!K73))*(INDEX(Properties!A$1:CB$87,Formula!F73,40))+((Formula!I73)/(Formula!C73+Formula!E73+Formula!G73+Formula!I73+Formula!K73))*(INDEX(Properties!A$1:CB$87,Formula!H73,40))+((Formula!K73)/(Formula!C73+Formula!E73+Formula!G73+Formula!I73+Formula!K73))*(INDEX(Properties!A$1:CB$87,Formula!J73,40))</f>
        <v>1.0342857142857143</v>
      </c>
      <c r="DS73" s="63">
        <f>Formula!C73*(INDEX(Properties!A$1:CB$87,Formula!B73,40))+Formula!E73*(INDEX(Properties!A$1:CB$87,Formula!D73,40))+Formula!G73*(INDEX(Properties!A$1:CB$87,Formula!F73,40))+Formula!I73*(INDEX(Properties!A$1:CB$87,Formula!H73,40))+Formula!K73*(INDEX(Properties!A$1:CB$87,Formula!J73,40))</f>
        <v>7.24</v>
      </c>
      <c r="DT73" s="63">
        <f>VARP(IF(INDEX(Properties!A$1:CB$87,Formula!B73,40)&lt;&gt;"",INDEX(Properties!A$1:CB$87,Formula!B73,40)),IF(INDEX(Properties!A$1:CB$87,Formula!D73,40)&lt;&gt;"",INDEX(Properties!A$1:CB$87,Formula!D73,40)),IF(INDEX(Properties!A$1:CB$87,Formula!F73,40)&lt;&gt;"",INDEX(Properties!A$1:CB$87,Formula!F73,40)),IF(INDEX(Properties!A$1:CB$87,Formula!H73,40)&lt;&gt;"",INDEX(Properties!A$1:CB$87,Formula!H73,40)),IF(INDEX(Properties!A$1:CB$87,Formula!J73,40)&lt;&gt;"",INDEX(Properties!A$1:CB$87,Formula!J73,40)))</f>
        <v>0.41751999999999967</v>
      </c>
      <c r="DU73" s="63">
        <f>MAX(INDEX(Properties!A$1:CB$87,Formula!B73,40),INDEX(Properties!A$1:CB$87,Formula!D73,40),INDEX(Properties!A$1:CB$87,Formula!F73,40),INDEX(Properties!A$1:CB$87,Formula!H73,40),INDEX(Properties!A$1:CB$87,Formula!J73,40))</f>
        <v>1.96</v>
      </c>
      <c r="DV73" s="63">
        <f>MIN(IF(INDEX(Properties!A$1:CB$87,Formula!B73,40)=0,10^6,INDEX(Properties!A$1:CB$87,Formula!B73,40)),IF(INDEX(Properties!A$1:CB$87,Formula!D73,40)=0,10^6,INDEX(Properties!A$1:CB$87,Formula!D73,40)),IF(INDEX(Properties!A$1:CB$87,Formula!F73,40)=0,10^6,INDEX(Properties!A$1:CB$87,Formula!F73,40)),IF(INDEX(Properties!A$1:CB$87,Formula!H73,40)=0,10^6,INDEX(Properties!A$1:CB$87,Formula!H73,40)),IF(INDEX(Properties!A$1:CB$87,Formula!J73,40)=0,10^6,INDEX(Properties!A$1:CB$87,Formula!J73,40)))</f>
        <v>0.73</v>
      </c>
      <c r="DW73" s="63">
        <f t="shared" si="52"/>
        <v>1.23</v>
      </c>
      <c r="DX73" s="75">
        <f>((Formula!C73)/(Formula!C73+Formula!E73+Formula!G73+Formula!I73+Formula!K73))*(INDEX(Properties!A$1:CB$87,Formula!B73,41))+((Formula!E73)/(Formula!C73+Formula!E73+Formula!G73+Formula!I73+Formula!K73))*(INDEX(Properties!A$1:CB$87,Formula!D73,41))+((Formula!G73)/(Formula!C73+Formula!E73+Formula!G73+Formula!I73+Formula!K73))*(INDEX(Properties!A$1:CB$87,Formula!F73,41))+((Formula!I73)/(Formula!C73+Formula!E73+Formula!G73+Formula!I73+Formula!K73))*(INDEX(Properties!A$1:CB$87,Formula!H73,41))+((Formula!K73)/(Formula!C73+Formula!E73+Formula!G73+Formula!I73+Formula!K73))*(INDEX(Properties!A$1:CB$87,Formula!J73,41))</f>
        <v>1.1428571428571428</v>
      </c>
      <c r="DY73" s="75">
        <f>Formula!C73*(INDEX(Properties!A$1:CB$87,Formula!B73,41))+Formula!E73*(INDEX(Properties!A$1:CB$87,Formula!D73,41))+Formula!G73*(INDEX(Properties!A$1:CB$87,Formula!F73,41))+Formula!I73*(INDEX(Properties!A$1:CB$87,Formula!H73,41))+Formula!K73*(INDEX(Properties!A$1:CB$87,Formula!J73,41))</f>
        <v>8</v>
      </c>
      <c r="DZ73" s="75">
        <f>VARP(IF(INDEX(Properties!A$1:CB$87,Formula!B73,41)&lt;&gt;"",INDEX(Properties!A$1:CB$87,Formula!B73,41)),IF(INDEX(Properties!A$1:CB$87,Formula!D73,41)&lt;&gt;"",INDEX(Properties!A$1:CB$87,Formula!D73,41)),IF(INDEX(Properties!A$1:CB$87,Formula!F73,41)&lt;&gt;"",INDEX(Properties!A$1:CB$87,Formula!F73,41)),IF(INDEX(Properties!A$1:CB$87,Formula!H73,41)&lt;&gt;"",INDEX(Properties!A$1:CB$87,Formula!H73,41)),IF(INDEX(Properties!A$1:CB$87,Formula!J73,41)&lt;&gt;"",INDEX(Properties!A$1:CB$87,Formula!J73,41)))</f>
        <v>0.2824640000000001</v>
      </c>
      <c r="EA73" s="75">
        <f>MAX(INDEX(Properties!A$1:CB$87,Formula!B73,41),INDEX(Properties!A$1:CB$87,Formula!D73,41),INDEX(Properties!A$1:CB$87,Formula!F73,41),INDEX(Properties!A$1:CB$87,Formula!H73,41),INDEX(Properties!A$1:CB$87,Formula!J73,41))</f>
        <v>1.52</v>
      </c>
      <c r="EB73" s="75">
        <f>MIN(IF(INDEX(Properties!A$1:CB$87,Formula!B73,41)=0,10^6,INDEX(Properties!A$1:CB$87,Formula!B73,41)),IF(INDEX(Properties!A$1:CB$87,Formula!D73,41)=0,10^6,INDEX(Properties!A$1:CB$87,Formula!D73,41)),IF(INDEX(Properties!A$1:CB$87,Formula!F73,41)=0,10^6,INDEX(Properties!A$1:CB$87,Formula!F73,41)),IF(INDEX(Properties!A$1:CB$87,Formula!H73,41)=0,10^6,INDEX(Properties!A$1:CB$87,Formula!H73,41)),IF(INDEX(Properties!A$1:CB$87,Formula!J73,41)=0,10^6,INDEX(Properties!A$1:CB$87,Formula!J73,41)))</f>
        <v>0.57999999999999996</v>
      </c>
      <c r="EC73" s="75">
        <f t="shared" si="53"/>
        <v>0.94000000000000006</v>
      </c>
      <c r="ED73" s="48">
        <f>((Formula!C73)/(Formula!C73+Formula!E73+Formula!G73+Formula!I73+Formula!K73))*(INDEX(Properties!A$1:CB$87,Formula!B73,45))+((Formula!E73)/(Formula!C73+Formula!E73+Formula!G73+Formula!I73+Formula!K73))*(INDEX(Properties!A$1:CB$87,Formula!D73,45))+((Formula!G73)/(Formula!C73+Formula!E73+Formula!G73+Formula!I73+Formula!K73))*(INDEX(Properties!A$1:CB$87,Formula!F73,45))+((Formula!I73)/(Formula!C73+Formula!E73+Formula!G73+Formula!I73+Formula!K73))*(INDEX(Properties!A$1:CB$87,Formula!H73,45))+((Formula!K73)/(Formula!C73+Formula!E73+Formula!G73+Formula!I73+Formula!K73))*(INDEX(Properties!A$1:CB$87,Formula!J73,45))</f>
        <v>1.2628571428571429</v>
      </c>
      <c r="EE73" s="48">
        <f>Formula!C73*(INDEX(Properties!A$1:CB$87,Formula!B73,45))+Formula!E73*(INDEX(Properties!A$1:CB$87,Formula!D73,45))+Formula!G73*(INDEX(Properties!A$1:CB$87,Formula!F73,45))+Formula!I73*(INDEX(Properties!A$1:CB$87,Formula!H73,45))+Formula!K73*(INDEX(Properties!A$1:CB$87,Formula!J73,45))</f>
        <v>8.84</v>
      </c>
      <c r="EF73" s="48">
        <f>VARP(IF(INDEX(Properties!A$1:CB$87,Formula!B73,45)&lt;&gt;"",INDEX(Properties!A$1:CB$87,Formula!B73,45)),IF(INDEX(Properties!A$1:CB$87,Formula!D73,45)&lt;&gt;"",INDEX(Properties!A$1:CB$87,Formula!D73,45)),IF(INDEX(Properties!A$1:CB$87,Formula!F73,45)&lt;&gt;"",INDEX(Properties!A$1:CB$87,Formula!F73,45)),IF(INDEX(Properties!A$1:CB$87,Formula!H73,45)&lt;&gt;"",INDEX(Properties!A$1:CB$87,Formula!H73,45)),IF(INDEX(Properties!A$1:CB$87,Formula!J73,45)&lt;&gt;"",INDEX(Properties!A$1:CB$87,Formula!J73,45)))</f>
        <v>1.690904</v>
      </c>
      <c r="EG73" s="48">
        <f>MAX(INDEX(Properties!A$1:CB$87,Formula!B73,45),INDEX(Properties!A$1:CB$87,Formula!D73,45),INDEX(Properties!A$1:CB$87,Formula!F73,45),INDEX(Properties!A$1:CB$87,Formula!H73,45),INDEX(Properties!A$1:CB$87,Formula!J73,45))</f>
        <v>3.69</v>
      </c>
      <c r="EH73" s="48">
        <f>MIN(IF(INDEX(Properties!A$1:CB$87,Formula!B73,45)=0,10^6,INDEX(Properties!A$1:CB$87,Formula!B73,45)),IF(INDEX(Properties!A$1:CB$87,Formula!D73,45)=0,10^6,INDEX(Properties!A$1:CB$87,Formula!D73,45)),IF(INDEX(Properties!A$1:CB$87,Formula!F73,45)=0,10^6,INDEX(Properties!A$1:CB$87,Formula!F73,45)),IF(INDEX(Properties!A$1:CB$87,Formula!H73,45)=0,10^6,INDEX(Properties!A$1:CB$87,Formula!H73,45)),IF(INDEX(Properties!A$1:CB$87,Formula!J73,45)=0,10^6,INDEX(Properties!A$1:CB$87,Formula!J73,45)))</f>
        <v>0.47</v>
      </c>
      <c r="EI73" s="48">
        <f t="shared" si="54"/>
        <v>3.2199999999999998</v>
      </c>
      <c r="EJ73" s="66">
        <f>((Formula!C73)/(Formula!C73+Formula!E73+Formula!G73+Formula!I73+Formula!K73))*(INDEX(Properties!A$1:CB$87,Formula!B73,46))+((Formula!E73)/(Formula!C73+Formula!E73+Formula!G73+Formula!I73+Formula!K73))*(INDEX(Properties!A$1:CB$87,Formula!D73,46))+((Formula!G73)/(Formula!C73+Formula!E73+Formula!G73+Formula!I73+Formula!K73))*(INDEX(Properties!A$1:CB$87,Formula!F73,46))+((Formula!I73)/(Formula!C73+Formula!E73+Formula!G73+Formula!I73+Formula!K73))*(INDEX(Properties!A$1:CB$87,Formula!H73,46))+((Formula!K73)/(Formula!C73+Formula!E73+Formula!G73+Formula!I73+Formula!K73))*(INDEX(Properties!A$1:CB$87,Formula!J73,46))</f>
        <v>1.0757142857142856</v>
      </c>
      <c r="EK73" s="66">
        <f>Formula!C73*(INDEX(Properties!A$1:CB$87,Formula!B73,46))+Formula!E73*(INDEX(Properties!A$1:CB$87,Formula!D73,46))+Formula!G73*(INDEX(Properties!A$1:CB$87,Formula!F73,46))+Formula!I73*(INDEX(Properties!A$1:CB$87,Formula!H73,46))+Formula!K73*(INDEX(Properties!A$1:CB$87,Formula!J73,46))</f>
        <v>7.5299999999999994</v>
      </c>
      <c r="EL73" s="66">
        <f>VARP(IF(INDEX(Properties!A$1:CB$87,Formula!B73,46)&lt;&gt;"",INDEX(Properties!A$1:CB$87,Formula!B73,46)),IF(INDEX(Properties!A$1:CB$87,Formula!D73,46)&lt;&gt;"",INDEX(Properties!A$1:CB$87,Formula!D73,46)),IF(INDEX(Properties!A$1:CB$87,Formula!F73,46)&lt;&gt;"",INDEX(Properties!A$1:CB$87,Formula!F73,46)),IF(INDEX(Properties!A$1:CB$87,Formula!H73,46)&lt;&gt;"",INDEX(Properties!A$1:CB$87,Formula!H73,46)),IF(INDEX(Properties!A$1:CB$87,Formula!J73,46)&lt;&gt;"",INDEX(Properties!A$1:CB$87,Formula!J73,46)))</f>
        <v>0.31363999999999997</v>
      </c>
      <c r="EM73" s="66">
        <f>MAX(INDEX(Properties!A$1:CB$87,Formula!B73,46),INDEX(Properties!A$1:CB$87,Formula!D73,46),INDEX(Properties!A$1:CB$87,Formula!F73,46),INDEX(Properties!A$1:CB$87,Formula!H73,46),INDEX(Properties!A$1:CB$87,Formula!J73,46))</f>
        <v>1.52</v>
      </c>
      <c r="EN73" s="66">
        <f>MIN(IF(INDEX(Properties!A$1:CB$87,Formula!B73,46)=0,10^6,INDEX(Properties!A$1:CB$87,Formula!B73,46)),IF(INDEX(Properties!A$1:CB$87,Formula!D73,46)=0,10^6,INDEX(Properties!A$1:CB$87,Formula!D73,46)),IF(INDEX(Properties!A$1:CB$87,Formula!F73,46)=0,10^6,INDEX(Properties!A$1:CB$87,Formula!F73,46)),IF(INDEX(Properties!A$1:CB$87,Formula!H73,46)=0,10^6,INDEX(Properties!A$1:CB$87,Formula!H73,46)),IF(INDEX(Properties!A$1:CB$87,Formula!J73,46)=0,10^6,INDEX(Properties!A$1:CB$87,Formula!J73,46)))</f>
        <v>0.31</v>
      </c>
      <c r="EO73" s="66">
        <f t="shared" si="55"/>
        <v>1.21</v>
      </c>
      <c r="EP73" s="81">
        <f>((Formula!C73)/(Formula!C73+Formula!E73+Formula!G73+Formula!I73+Formula!K73))*(INDEX(Properties!A$1:CB$87,Formula!B73,52))+((Formula!E73)/(Formula!C73+Formula!E73+Formula!G73+Formula!I73+Formula!K73))*(INDEX(Properties!A$1:CB$87,Formula!D73,52))+((Formula!G73)/(Formula!C73+Formula!E73+Formula!G73+Formula!I73+Formula!K73))*(INDEX(Properties!A$1:CB$87,Formula!F73,52))+((Formula!I73)/(Formula!C73+Formula!E73+Formula!G73+Formula!I73+Formula!K73))*(INDEX(Properties!A$1:CB$87,Formula!H73,52))+((Formula!K73)/(Formula!C73+Formula!E73+Formula!G73+Formula!I73+Formula!K73))*(INDEX(Properties!A$1:CB$87,Formula!J73,52))</f>
        <v>8.6817142857142855</v>
      </c>
      <c r="EQ73" s="81">
        <f>Formula!C73*(INDEX(Properties!A$1:CB$87,Formula!B73,52))+Formula!E73*(INDEX(Properties!A$1:CB$87,Formula!D73,52))+Formula!G73*(INDEX(Properties!A$1:CB$87,Formula!F73,52))+Formula!I73*(INDEX(Properties!A$1:CB$87,Formula!H73,52))+Formula!K73*(INDEX(Properties!A$1:CB$87,Formula!J73,52))</f>
        <v>60.771999999999998</v>
      </c>
      <c r="ER73" s="81">
        <f>VARP(IF(INDEX(Properties!A$1:CB$87,Formula!B73,52)&lt;&gt;"",INDEX(Properties!A$1:CB$87,Formula!B73,52)),IF(INDEX(Properties!A$1:CB$87,Formula!D73,52)&lt;&gt;"",INDEX(Properties!A$1:CB$87,Formula!D73,52)),IF(INDEX(Properties!A$1:CB$87,Formula!F73,52)&lt;&gt;"",INDEX(Properties!A$1:CB$87,Formula!F73,52)),IF(INDEX(Properties!A$1:CB$87,Formula!H73,52)&lt;&gt;"",INDEX(Properties!A$1:CB$87,Formula!H73,52)),IF(INDEX(Properties!A$1:CB$87,Formula!J73,52)&lt;&gt;"",INDEX(Properties!A$1:CB$87,Formula!J73,52)))</f>
        <v>265.51207183999998</v>
      </c>
      <c r="ES73" s="81">
        <f>MAX(INDEX(Properties!A$1:CB$87,Formula!B73,52),INDEX(Properties!A$1:CB$87,Formula!D73,52),INDEX(Properties!A$1:CB$87,Formula!F73,52),INDEX(Properties!A$1:CB$87,Formula!H73,52),INDEX(Properties!A$1:CB$87,Formula!J73,52))</f>
        <v>43.4</v>
      </c>
      <c r="ET73" s="81">
        <f>MIN(IF(INDEX(Properties!A$1:CB$87,Formula!B73,52)=0,10^6,INDEX(Properties!A$1:CB$87,Formula!B73,52)),IF(INDEX(Properties!A$1:CB$87,Formula!D73,52)=0,10^6,INDEX(Properties!A$1:CB$87,Formula!D73,52)),IF(INDEX(Properties!A$1:CB$87,Formula!F73,52)=0,10^6,INDEX(Properties!A$1:CB$87,Formula!F73,52)),IF(INDEX(Properties!A$1:CB$87,Formula!H73,52)=0,10^6,INDEX(Properties!A$1:CB$87,Formula!H73,52)),IF(INDEX(Properties!A$1:CB$87,Formula!J73,52)=0,10^6,INDEX(Properties!A$1:CB$87,Formula!J73,52)))</f>
        <v>0.79300000000000004</v>
      </c>
      <c r="EU73" s="81">
        <f t="shared" si="56"/>
        <v>42.606999999999999</v>
      </c>
      <c r="EV73" s="39">
        <f>((Formula!C73)/(Formula!C73+Formula!E73+Formula!G73+Formula!I73+Formula!K73))*(INDEX(Properties!A$1:CB$87,Formula!B73,53))+((Formula!E73)/(Formula!C73+Formula!E73+Formula!G73+Formula!I73+Formula!K73))*(INDEX(Properties!A$1:CB$87,Formula!D73,53))+((Formula!G73)/(Formula!C73+Formula!E73+Formula!G73+Formula!I73+Formula!K73))*(INDEX(Properties!A$1:CB$87,Formula!F73,53))+((Formula!I73)/(Formula!C73+Formula!E73+Formula!G73+Formula!I73+Formula!K73))*(INDEX(Properties!A$1:CB$87,Formula!H73,53))+((Formula!K73)/(Formula!C73+Formula!E73+Formula!G73+Formula!I73+Formula!K73))*(INDEX(Properties!A$1:CB$87,Formula!J73,53))</f>
        <v>256.39999999999998</v>
      </c>
      <c r="EW73" s="39">
        <f>Formula!C73*(INDEX(Properties!A$1:CB$87,Formula!B73,53))+Formula!E73*(INDEX(Properties!A$1:CB$87,Formula!D73,53))+Formula!G73*(INDEX(Properties!A$1:CB$87,Formula!F73,53))+Formula!I73*(INDEX(Properties!A$1:CB$87,Formula!H73,53))+Formula!K73*(INDEX(Properties!A$1:CB$87,Formula!J73,53))</f>
        <v>1794.7999999999997</v>
      </c>
      <c r="EX73" s="39">
        <f>VARP(IF(INDEX(Properties!A$1:CB$87,Formula!B73,53)&lt;&gt;"",INDEX(Properties!A$1:CB$87,Formula!B73,53)),IF(INDEX(Properties!A$1:CB$87,Formula!D73,53)&lt;&gt;"",INDEX(Properties!A$1:CB$87,Formula!D73,53)),IF(INDEX(Properties!A$1:CB$87,Formula!F73,53)&lt;&gt;"",INDEX(Properties!A$1:CB$87,Formula!F73,53)),IF(INDEX(Properties!A$1:CB$87,Formula!H73,53)&lt;&gt;"",INDEX(Properties!A$1:CB$87,Formula!H73,53)),IF(INDEX(Properties!A$1:CB$87,Formula!J73,53)&lt;&gt;"",INDEX(Properties!A$1:CB$87,Formula!J73,53)))</f>
        <v>107086.40939999999</v>
      </c>
      <c r="EY73" s="39">
        <f>MAX(INDEX(Properties!A$1:CB$87,Formula!B73,53),INDEX(Properties!A$1:CB$87,Formula!D73,53),INDEX(Properties!A$1:CB$87,Formula!F73,53),INDEX(Properties!A$1:CB$87,Formula!H73,53),INDEX(Properties!A$1:CB$87,Formula!J73,53))</f>
        <v>922.15</v>
      </c>
      <c r="EZ73" s="39">
        <f>MIN(IF(INDEX(Properties!A$1:CB$87,Formula!B73,53)=0,10^6,INDEX(Properties!A$1:CB$87,Formula!B73,53)),IF(INDEX(Properties!A$1:CB$87,Formula!D73,53)=0,10^6,INDEX(Properties!A$1:CB$87,Formula!D73,53)),IF(INDEX(Properties!A$1:CB$87,Formula!F73,53)=0,10^6,INDEX(Properties!A$1:CB$87,Formula!F73,53)),IF(INDEX(Properties!A$1:CB$87,Formula!H73,53)=0,10^6,INDEX(Properties!A$1:CB$87,Formula!H73,53)),IF(INDEX(Properties!A$1:CB$87,Formula!J73,53)=0,10^6,INDEX(Properties!A$1:CB$87,Formula!J73,53)))</f>
        <v>54.749999999999972</v>
      </c>
      <c r="FA73" s="39">
        <f t="shared" si="57"/>
        <v>867.4</v>
      </c>
      <c r="FB73" s="54">
        <f>((Formula!C73)/(Formula!C73+Formula!E73+Formula!G73+Formula!I73+Formula!K73))*(INDEX(Properties!A$1:CB$87,Formula!B73,54))+((Formula!E73)/(Formula!C73+Formula!E73+Formula!G73+Formula!I73+Formula!K73))*(INDEX(Properties!A$1:CB$87,Formula!D73,54))+((Formula!G73)/(Formula!C73+Formula!E73+Formula!G73+Formula!I73+Formula!K73))*(INDEX(Properties!A$1:CB$87,Formula!F73,54))+((Formula!I73)/(Formula!C73+Formula!E73+Formula!G73+Formula!I73+Formula!K73))*(INDEX(Properties!A$1:CB$87,Formula!H73,54))+((Formula!K73)/(Formula!C73+Formula!E73+Formula!G73+Formula!I73+Formula!K73))*(INDEX(Properties!A$1:CB$87,Formula!J73,54))</f>
        <v>472.86428571428564</v>
      </c>
      <c r="FC73" s="54">
        <f>Formula!C73*(INDEX(Properties!A$1:CB$87,Formula!B73,54))+Formula!E73*(INDEX(Properties!A$1:CB$87,Formula!D73,54))+Formula!G73*(INDEX(Properties!A$1:CB$87,Formula!F73,54))+Formula!I73*(INDEX(Properties!A$1:CB$87,Formula!H73,54))+Formula!K73*(INDEX(Properties!A$1:CB$87,Formula!J73,54))</f>
        <v>3310.05</v>
      </c>
      <c r="FD73" s="54">
        <f>VARP(IF(INDEX(Properties!A$1:CB$87,Formula!B73,54)&lt;&gt;"",INDEX(Properties!A$1:CB$87,Formula!B73,54)),IF(INDEX(Properties!A$1:CB$87,Formula!D73,54)&lt;&gt;"",INDEX(Properties!A$1:CB$87,Formula!D73,54)),IF(INDEX(Properties!A$1:CB$87,Formula!F73,54)&lt;&gt;"",INDEX(Properties!A$1:CB$87,Formula!F73,54)),IF(INDEX(Properties!A$1:CB$87,Formula!H73,54)&lt;&gt;"",INDEX(Properties!A$1:CB$87,Formula!H73,54)),IF(INDEX(Properties!A$1:CB$87,Formula!J73,54)&lt;&gt;"",INDEX(Properties!A$1:CB$87,Formula!J73,54)))</f>
        <v>278369.03160000005</v>
      </c>
      <c r="FE73" s="54">
        <f>MAX(INDEX(Properties!A$1:CB$87,Formula!B73,54),INDEX(Properties!A$1:CB$87,Formula!D73,54),INDEX(Properties!A$1:CB$87,Formula!F73,54),INDEX(Properties!A$1:CB$87,Formula!H73,54),INDEX(Properties!A$1:CB$87,Formula!J73,54))</f>
        <v>1363.15</v>
      </c>
      <c r="FF73" s="54">
        <f>MIN(IF(INDEX(Properties!A$1:CB$87,Formula!B73,54)=0,10^6,INDEX(Properties!A$1:CB$87,Formula!B73,54)),IF(INDEX(Properties!A$1:CB$87,Formula!D73,54)=0,10^6,INDEX(Properties!A$1:CB$87,Formula!D73,54)),IF(INDEX(Properties!A$1:CB$87,Formula!F73,54)=0,10^6,INDEX(Properties!A$1:CB$87,Formula!F73,54)),IF(INDEX(Properties!A$1:CB$87,Formula!H73,54)=0,10^6,INDEX(Properties!A$1:CB$87,Formula!H73,54)),IF(INDEX(Properties!A$1:CB$87,Formula!J73,54)=0,10^6,INDEX(Properties!A$1:CB$87,Formula!J73,54)))</f>
        <v>90.149999999999977</v>
      </c>
      <c r="FG73" s="54">
        <f t="shared" si="58"/>
        <v>1273</v>
      </c>
      <c r="FH73" s="69">
        <f>((Formula!C73)/(Formula!C73+Formula!E73+Formula!G73+Formula!I73+Formula!K73))*(INDEX(Properties!A$1:CB$87,Formula!B73,55))+((Formula!E73)/(Formula!C73+Formula!E73+Formula!G73+Formula!I73+Formula!K73))*(INDEX(Properties!A$1:CB$87,Formula!D73,55))+((Formula!G73)/(Formula!C73+Formula!E73+Formula!G73+Formula!I73+Formula!K73))*(INDEX(Properties!A$1:CB$87,Formula!F73,55))+((Formula!I73)/(Formula!C73+Formula!E73+Formula!G73+Formula!I73+Formula!K73))*(INDEX(Properties!A$1:CB$87,Formula!H73,55))+((Formula!K73)/(Formula!C73+Formula!E73+Formula!G73+Formula!I73+Formula!K73))*(INDEX(Properties!A$1:CB$87,Formula!J73,55))</f>
        <v>0.6322457142857143</v>
      </c>
      <c r="FI73" s="69">
        <f>Formula!C73*(INDEX(Properties!A$1:CB$87,Formula!B73,55))+Formula!E73*(INDEX(Properties!A$1:CB$87,Formula!D73,54))+Formula!G73*(INDEX(Properties!A$1:CB$87,Formula!F73,55))+Formula!I73*(INDEX(Properties!A$1:CB$87,Formula!H73,55))+Formula!K73*(INDEX(Properties!A$1:CB$87,Formula!J73,55))</f>
        <v>1365.83572</v>
      </c>
      <c r="FJ73" s="69">
        <f>VARP(IF(INDEX(Properties!A$1:CB$87,Formula!B73,55)&lt;&gt;"",INDEX(Properties!A$1:CB$87,Formula!B73,55)),IF(INDEX(Properties!A$1:CB$87,Formula!D73,55)&lt;&gt;"",INDEX(Properties!A$1:CB$87,Formula!D73,55)),IF(INDEX(Properties!A$1:CB$87,Formula!F73,55)&lt;&gt;"",INDEX(Properties!A$1:CB$87,Formula!F73,55)),IF(INDEX(Properties!A$1:CB$87,Formula!H73,55)&lt;&gt;"",INDEX(Properties!A$1:CB$87,Formula!H73,55)),IF(INDEX(Properties!A$1:CB$87,Formula!J73,55)&lt;&gt;"",INDEX(Properties!A$1:CB$87,Formula!J73,55)))</f>
        <v>0.63395867918400028</v>
      </c>
      <c r="FK73" s="69">
        <f>MAX(INDEX(Properties!A$1:CB$87,Formula!B73,55),INDEX(Properties!A$1:CB$87,Formula!D73,55),INDEX(Properties!A$1:CB$87,Formula!F73,55),INDEX(Properties!A$1:CB$87,Formula!H73,55),INDEX(Properties!A$1:CB$87,Formula!J73,55))</f>
        <v>1.82</v>
      </c>
      <c r="FL73" s="69">
        <f>MIN(IF(INDEX(Properties!A$1:CB$87,Formula!B73,55)=0,10^6,INDEX(Properties!A$1:CB$87,Formula!B73,55)),IF(INDEX(Properties!A$1:CB$87,Formula!D73,55)=0,10^6,INDEX(Properties!A$1:CB$87,Formula!D73,55)),IF(INDEX(Properties!A$1:CB$87,Formula!F73,55)=0,10^6,INDEX(Properties!A$1:CB$87,Formula!F73,55)),IF(INDEX(Properties!A$1:CB$87,Formula!H73,55)=0,10^6,INDEX(Properties!A$1:CB$87,Formula!H73,55)),IF(INDEX(Properties!A$1:CB$87,Formula!J73,55)=0,10^6,INDEX(Properties!A$1:CB$87,Formula!J73,55)))</f>
        <v>1.4300000000000001E-3</v>
      </c>
      <c r="FM73" s="69">
        <f t="shared" si="59"/>
        <v>1.81857</v>
      </c>
      <c r="FN73" s="42">
        <f>((Formula!C73)/(Formula!C73+Formula!E73+Formula!G73+Formula!I73+Formula!K73))*(INDEX(Properties!A$1:CB$87,Formula!B73,56))+((Formula!E73)/(Formula!C73+Formula!E73+Formula!G73+Formula!I73+Formula!K73))*(INDEX(Properties!A$1:CB$87,Formula!D73,56))+((Formula!G73)/(Formula!C73+Formula!E73+Formula!G73+Formula!I73+Formula!K73))*(INDEX(Properties!A$1:CB$87,Formula!F73,56))+((Formula!I73)/(Formula!C73+Formula!E73+Formula!G73+Formula!I73+Formula!K73))*(INDEX(Properties!A$1:CB$87,Formula!H73,56))+((Formula!K73)/(Formula!C73+Formula!E73+Formula!G73+Formula!I73+Formula!K73))*(INDEX(Properties!A$1:CB$87,Formula!J73,56))</f>
        <v>0.88857142857142857</v>
      </c>
      <c r="FO73" s="42">
        <f>Formula!C73*(INDEX(Properties!A$1:CB$87,Formula!B73,56))+Formula!E73*(INDEX(Properties!A$1:CB$87,Formula!D73,56))+Formula!G73*(INDEX(Properties!A$1:CB$87,Formula!F73,56))+Formula!I73*(INDEX(Properties!A$1:CB$87,Formula!H73,56))+Formula!K73*(INDEX(Properties!A$1:CB$87,Formula!J73,56))</f>
        <v>6.2200000000000006</v>
      </c>
      <c r="FP73" s="42">
        <f>VARP(IF(INDEX(Properties!A$1:CB$87,Formula!B73,56)&lt;&gt;"",INDEX(Properties!A$1:CB$87,Formula!B73,56)),IF(INDEX(Properties!A$1:CB$87,Formula!D73,56)&lt;&gt;"",INDEX(Properties!A$1:CB$87,Formula!D73,56)),IF(INDEX(Properties!A$1:CB$87,Formula!F73,56)&lt;&gt;"",INDEX(Properties!A$1:CB$87,Formula!F73,56)),IF(INDEX(Properties!A$1:CB$87,Formula!H73,56)&lt;&gt;"",INDEX(Properties!A$1:CB$87,Formula!H73,56)),IF(INDEX(Properties!A$1:CB$87,Formula!J73,56)&lt;&gt;"",INDEX(Properties!A$1:CB$87,Formula!J73,56)))</f>
        <v>0.12957600000000005</v>
      </c>
      <c r="FQ73" s="42">
        <f>MAX(INDEX(Properties!A$1:CB$87,Formula!B73,56),INDEX(Properties!A$1:CB$87,Formula!D73,56),INDEX(Properties!A$1:CB$87,Formula!F73,56),INDEX(Properties!A$1:CB$87,Formula!H73,56),INDEX(Properties!A$1:CB$87,Formula!J73,56))</f>
        <v>1.02</v>
      </c>
      <c r="FR73" s="42">
        <f>MIN(IF(INDEX(Properties!A$1:CB$87,Formula!B73,56)=0,10^6,INDEX(Properties!A$1:CB$87,Formula!B73,56)),IF(INDEX(Properties!A$1:CB$87,Formula!D73,56)=0,10^6,INDEX(Properties!A$1:CB$87,Formula!D73,56)),IF(INDEX(Properties!A$1:CB$87,Formula!F73,56)=0,10^6,INDEX(Properties!A$1:CB$87,Formula!F73,56)),IF(INDEX(Properties!A$1:CB$87,Formula!H73,56)=0,10^6,INDEX(Properties!A$1:CB$87,Formula!H73,56)),IF(INDEX(Properties!A$1:CB$87,Formula!J73,56)=0,10^6,INDEX(Properties!A$1:CB$87,Formula!J73,56)))</f>
        <v>0.75</v>
      </c>
      <c r="FS73" s="42">
        <f t="shared" si="60"/>
        <v>0.27</v>
      </c>
      <c r="FT73" s="60">
        <f>((Formula!C73)/(Formula!C73+Formula!E73+Formula!G73+Formula!I73+Formula!K73))*(INDEX(Properties!A$1:CB$87,Formula!B73,57))+((Formula!E73)/(Formula!C73+Formula!E73+Formula!G73+Formula!I73+Formula!K73))*(INDEX(Properties!A$1:CB$87,Formula!D73,57))+((Formula!G73)/(Formula!C73+Formula!E73+Formula!G73+Formula!I73+Formula!K73))*(INDEX(Properties!A$1:CB$87,Formula!F73,57))+((Formula!I73)/(Formula!C73+Formula!E73+Formula!G73+Formula!I73+Formula!K73))*(INDEX(Properties!A$1:CB$87,Formula!H73,57))+((Formula!K73)/(Formula!C73+Formula!E73+Formula!G73+Formula!I73+Formula!K73))*(INDEX(Properties!A$1:CB$87,Formula!J73,57))</f>
        <v>1.8336228571428572</v>
      </c>
      <c r="FU73" s="60">
        <f>Formula!C73*(INDEX(Properties!A$1:CB$87,Formula!B73,57))+Formula!E73*(INDEX(Properties!A$1:CB$87,Formula!D73,57))+Formula!G73*(INDEX(Properties!A$1:CB$87,Formula!F73,57))+Formula!I73*(INDEX(Properties!A$1:CB$87,Formula!H73,57))+Formula!K73*(INDEX(Properties!A$1:CB$87,Formula!J73,57))</f>
        <v>12.83536</v>
      </c>
      <c r="FV73" s="60">
        <f>VARP(IF(INDEX(Properties!A$1:CB$87,Formula!B73,57)&lt;&gt;"",INDEX(Properties!A$1:CB$87,Formula!B73,57)),IF(INDEX(Properties!A$1:CB$87,Formula!D73,57)&lt;&gt;"",INDEX(Properties!A$1:CB$87,Formula!D73,57)),IF(INDEX(Properties!A$1:CB$87,Formula!F73,57)&lt;&gt;"",INDEX(Properties!A$1:CB$87,Formula!F73,57)),IF(INDEX(Properties!A$1:CB$87,Formula!H73,57)&lt;&gt;"",INDEX(Properties!A$1:CB$87,Formula!H73,57)),IF(INDEX(Properties!A$1:CB$87,Formula!J73,57)&lt;&gt;"",INDEX(Properties!A$1:CB$87,Formula!J73,57)))</f>
        <v>11.298563605296003</v>
      </c>
      <c r="FW73" s="60">
        <f>MAX(INDEX(Properties!A$1:CB$87,Formula!B73,57),INDEX(Properties!A$1:CB$87,Formula!D73,57),INDEX(Properties!A$1:CB$87,Formula!F73,57),INDEX(Properties!A$1:CB$87,Formula!H73,57),INDEX(Properties!A$1:CB$87,Formula!J73,57))</f>
        <v>8.9540000000000006</v>
      </c>
      <c r="FX73" s="60">
        <f>MIN(IF(INDEX(Properties!A$1:CB$87,Formula!B73,57)=0,10^6,INDEX(Properties!A$1:CB$87,Formula!B73,57)),IF(INDEX(Properties!A$1:CB$87,Formula!D73,57)=0,10^6,INDEX(Properties!A$1:CB$87,Formula!D73,57)),IF(INDEX(Properties!A$1:CB$87,Formula!F73,57)=0,10^6,INDEX(Properties!A$1:CB$87,Formula!F73,57)),IF(INDEX(Properties!A$1:CB$87,Formula!H73,57)=0,10^6,INDEX(Properties!A$1:CB$87,Formula!H73,57)),IF(INDEX(Properties!A$1:CB$87,Formula!J73,57)=0,10^6,INDEX(Properties!A$1:CB$87,Formula!J73,57)))</f>
        <v>0.22259000000000001</v>
      </c>
      <c r="FY73" s="60">
        <f t="shared" si="61"/>
        <v>8.7314100000000003</v>
      </c>
      <c r="FZ73" s="72">
        <f>((Formula!C73)/(Formula!C73+Formula!E73+Formula!G73+Formula!I73+Formula!K73))*(INDEX(Properties!A$1:CB$87,Formula!B73,60))+((Formula!E73)/(Formula!C73+Formula!E73+Formula!G73+Formula!I73+Formula!K73))*(INDEX(Properties!A$1:CB$87,Formula!D73,60))+((Formula!G73)/(Formula!C73+Formula!E73+Formula!G73+Formula!I73+Formula!K73))*(INDEX(Properties!A$1:CB$87,Formula!F73,60))+((Formula!I73)/(Formula!C73+Formula!E73+Formula!G73+Formula!I73+Formula!K73))*(INDEX(Properties!A$1:CB$87,Formula!H73,60))+((Formula!K73)/(Formula!C73+Formula!E73+Formula!G73+Formula!I73+Formula!K73))*(INDEX(Properties!A$1:CB$87,Formula!J73,60))</f>
        <v>36.963137142857136</v>
      </c>
      <c r="GA73" s="72">
        <f>Formula!C73*(INDEX(Properties!A$1:CB$87,Formula!B73,60))+Formula!E73*(INDEX(Properties!A$1:CB$87,Formula!D73,60))+Formula!G73*(INDEX(Properties!A$1:CB$87,Formula!F73,60))+Formula!I73*(INDEX(Properties!A$1:CB$87,Formula!H73,60))+Formula!K73*(INDEX(Properties!A$1:CB$87,Formula!J73,60))</f>
        <v>258.74196000000001</v>
      </c>
      <c r="GB73" s="72">
        <f>VARP(IF(INDEX(Properties!A$1:CB$87,Formula!B73,60)&lt;&gt;"",INDEX(Properties!A$1:CB$87,Formula!B73,60)),IF(INDEX(Properties!A$1:CB$87,Formula!D73,60)&lt;&gt;"",INDEX(Properties!A$1:CB$87,Formula!D73,60)),IF(INDEX(Properties!A$1:CB$87,Formula!F73,60)&lt;&gt;"",INDEX(Properties!A$1:CB$87,Formula!F73,60)),IF(INDEX(Properties!A$1:CB$87,Formula!H73,60)&lt;&gt;"",INDEX(Properties!A$1:CB$87,Formula!H73,60)),IF(INDEX(Properties!A$1:CB$87,Formula!J73,60)&lt;&gt;"",INDEX(Properties!A$1:CB$87,Formula!J73,60)))</f>
        <v>4288.1273584124147</v>
      </c>
      <c r="GC73" s="72">
        <f>MAX(INDEX(Properties!A$1:CB$87,Formula!B73,60),INDEX(Properties!A$1:CB$87,Formula!D73,60),INDEX(Properties!A$1:CB$87,Formula!F73,60),INDEX(Properties!A$1:CB$87,Formula!H73,60),INDEX(Properties!A$1:CB$87,Formula!J73,60))</f>
        <v>156</v>
      </c>
      <c r="GD73" s="72">
        <f>MIN(IF(INDEX(Properties!A$1:CB$87,Formula!B73,60)=0,10^6,INDEX(Properties!A$1:CB$87,Formula!B73,60)),IF(INDEX(Properties!A$1:CB$87,Formula!D73,60)=0,10^6,INDEX(Properties!A$1:CB$87,Formula!D73,60)),IF(INDEX(Properties!A$1:CB$87,Formula!F73,60)=0,10^6,INDEX(Properties!A$1:CB$87,Formula!F73,60)),IF(INDEX(Properties!A$1:CB$87,Formula!H73,60)=0,10^6,INDEX(Properties!A$1:CB$87,Formula!H73,60)),IF(INDEX(Properties!A$1:CB$87,Formula!J73,60)=0,10^6,INDEX(Properties!A$1:CB$87,Formula!J73,60)))</f>
        <v>2.674E-2</v>
      </c>
      <c r="GE73" s="72">
        <f t="shared" si="62"/>
        <v>155.97326000000001</v>
      </c>
      <c r="GF73" s="51">
        <f>((Formula!C73)/(Formula!C73+Formula!E73+Formula!G73+Formula!I73+Formula!K73))*(INDEX(Properties!A$1:CB$87,Formula!B73,62))+((Formula!E73)/(Formula!C73+Formula!E73+Formula!G73+Formula!I73+Formula!K73))*(INDEX(Properties!A$1:CB$87,Formula!D73,62))+((Formula!G73)/(Formula!C73+Formula!E73+Formula!G73+Formula!I73+Formula!K73))*(INDEX(Properties!A$1:CB$87,Formula!F73,62))+((Formula!I73)/(Formula!C73+Formula!E73+Formula!G73+Formula!I73+Formula!K73))*(INDEX(Properties!A$1:CB$87,Formula!H73,62))+((Formula!K73)/(Formula!C73+Formula!E73+Formula!G73+Formula!I73+Formula!K73))*(INDEX(Properties!A$1:CB$87,Formula!J73,62))</f>
        <v>2.3362857142857143</v>
      </c>
      <c r="GG73" s="51">
        <f>Formula!C73*(INDEX(Properties!A$1:CB$87,Formula!B73,62))+Formula!E73*(INDEX(Properties!A$1:CB$87,Formula!D73,62))+Formula!G73*(INDEX(Properties!A$1:CB$87,Formula!F73,62))+Formula!I73*(INDEX(Properties!A$1:CB$87,Formula!H73,62))+Formula!K73*(INDEX(Properties!A$1:CB$87,Formula!J73,62))</f>
        <v>16.353999999999999</v>
      </c>
      <c r="GH73" s="51">
        <f>VARP(IF(INDEX(Properties!A$1:CB$87,Formula!B73,62)&lt;&gt;"",INDEX(Properties!A$1:CB$87,Formula!B73,62)),IF(INDEX(Properties!A$1:CB$87,Formula!D73,62)&lt;&gt;"",INDEX(Properties!A$1:CB$87,Formula!D73,62)),IF(INDEX(Properties!A$1:CB$87,Formula!F73,62)&lt;&gt;"",INDEX(Properties!A$1:CB$87,Formula!F73,62)),IF(INDEX(Properties!A$1:CB$87,Formula!H73,62)&lt;&gt;"",INDEX(Properties!A$1:CB$87,Formula!H73,62)),IF(INDEX(Properties!A$1:CB$87,Formula!J73,62)&lt;&gt;"",INDEX(Properties!A$1:CB$87,Formula!J73,62)))</f>
        <v>1.4704297600000007</v>
      </c>
      <c r="GI73" s="51">
        <f>MAX(INDEX(Properties!A$1:CB$87,Formula!B73,62),INDEX(Properties!A$1:CB$87,Formula!D73,62),INDEX(Properties!A$1:CB$87,Formula!F73,62),INDEX(Properties!A$1:CB$87,Formula!H73,62),INDEX(Properties!A$1:CB$87,Formula!J73,62))</f>
        <v>3.43</v>
      </c>
      <c r="GJ73" s="51">
        <f>MIN(IF(INDEX(Properties!A$1:CB$87,Formula!B73,62)=0,10^6,INDEX(Properties!A$1:CB$87,Formula!B73,62)),IF(INDEX(Properties!A$1:CB$87,Formula!D73,62)=0,10^6,INDEX(Properties!A$1:CB$87,Formula!D73,62)),IF(INDEX(Properties!A$1:CB$87,Formula!F73,62)=0,10^6,INDEX(Properties!A$1:CB$87,Formula!F73,62)),IF(INDEX(Properties!A$1:CB$87,Formula!H73,62)=0,10^6,INDEX(Properties!A$1:CB$87,Formula!H73,62)),IF(INDEX(Properties!A$1:CB$87,Formula!J73,62)=0,10^6,INDEX(Properties!A$1:CB$87,Formula!J73,62)))</f>
        <v>0.93400000000000005</v>
      </c>
      <c r="GK73" s="51">
        <f t="shared" si="63"/>
        <v>2.496</v>
      </c>
      <c r="GL73" s="51">
        <f>Formula!P73</f>
        <v>14</v>
      </c>
      <c r="GM73" s="57">
        <f>Formula!O73</f>
        <v>2</v>
      </c>
      <c r="GN73" s="51">
        <f>Formula!N73</f>
        <v>0.01</v>
      </c>
    </row>
    <row r="74" spans="1:196" x14ac:dyDescent="0.3">
      <c r="A74" s="84" t="str">
        <f>Formula!A74</f>
        <v>Lu2MoO6</v>
      </c>
      <c r="B74" s="89">
        <f>((Formula!C74)/(Formula!C74+Formula!E74+Formula!G74+Formula!I74+Formula!K74))*(INDEX(Properties!A$1:CB$87,Formula!B74,3))+((Formula!E74)/(Formula!C74+Formula!E74+Formula!G74+Formula!I74+Formula!K74))*(INDEX(Properties!A$1:CB$87,Formula!D74,3))+((Formula!G74)/(Formula!C74+Formula!E74+Formula!G74+Formula!I74+Formula!K74))*(INDEX(Properties!A$1:CB$87,Formula!F74,3))+((Formula!I74)/(Formula!C74+Formula!E74+Formula!G74+Formula!I74+Formula!K74))*(INDEX(Properties!A$1:CB$87,Formula!H74,3))+((Formula!K74)/(Formula!C74+Formula!E74+Formula!G74+Formula!I74+Formula!K74))*(INDEX(Properties!A$1:CB$87,Formula!J74,3))</f>
        <v>60.208933333333334</v>
      </c>
      <c r="C74" s="85">
        <f>Formula!C74*(INDEX(Properties!A$1:CB$87,Formula!B74,3))+Formula!E74*(INDEX(Properties!A$1:CB$87,Formula!D74,3))+Formula!G74*(INDEX(Properties!A$1:CB$87,Formula!F74,3))+Formula!I74*(INDEX(Properties!A$1:CB$87,Formula!H74,3))+Formula!K74*(INDEX(Properties!A$1:CB$87,Formula!J74,3))</f>
        <v>541.88040000000001</v>
      </c>
      <c r="D74" s="85">
        <f>VARP(IF(INDEX(Properties!A$1:CB$87,Formula!B74,3)&lt;&gt;"",INDEX(Properties!A$1:CB$87,Formula!B74,3)),IF(INDEX(Properties!A$1:CB$87,Formula!D74,3)&lt;&gt;"",INDEX(Properties!A$1:CB$87,Formula!D74,3)),IF(INDEX(Properties!A$1:CB$87,Formula!F74,3)&lt;&gt;"",INDEX(Properties!A$1:CB$87,Formula!F74,3)),IF(INDEX(Properties!A$1:CB$87,Formula!H74,3)&lt;&gt;"",INDEX(Properties!A$1:CB$87,Formula!H74,3)),IF(INDEX(Properties!A$1:CB$87,Formula!J74,3)&lt;&gt;"",INDEX(Properties!A$1:CB$87,Formula!J74,3)))</f>
        <v>4722.3260543136012</v>
      </c>
      <c r="E74" s="85">
        <f>MAX(INDEX(Properties!A$1:CB$87,Formula!B74,3),INDEX(Properties!A$1:CB$87,Formula!D74,3),INDEX(Properties!A$1:CB$87,Formula!F74,3),INDEX(Properties!A$1:CB$87,Formula!H74,3),INDEX(Properties!A$1:CB$87,Formula!J74,3))</f>
        <v>174.96700000000001</v>
      </c>
      <c r="F74" s="85">
        <f>MIN(IF(INDEX(Properties!A$1:CB$87,Formula!B74,3)=0,10^6,INDEX(Properties!A$1:CB$87,Formula!B74,3)),IF(INDEX(Properties!A$1:CB$87,Formula!D74,3)=0,10^6,INDEX(Properties!A$1:CB$87,Formula!D74,3)),IF(INDEX(Properties!A$1:CB$87,Formula!F74,3)=0,10^6,INDEX(Properties!A$1:CB$87,Formula!F74,3)),IF(INDEX(Properties!A$1:CB$87,Formula!H74,3)=0,10^6,INDEX(Properties!A$1:CB$87,Formula!H74,3)),IF(INDEX(Properties!A$1:CB$87,Formula!J74,3)=0,10^6,INDEX(Properties!A$1:CB$87,Formula!J74,3)))</f>
        <v>15.9994</v>
      </c>
      <c r="G74" s="85">
        <f t="shared" si="32"/>
        <v>158.9676</v>
      </c>
      <c r="H74" s="87">
        <f>((Formula!C74)/(Formula!C74+Formula!E74+Formula!G74+Formula!I74+Formula!K74))*(INDEX(Properties!A$1:CB$87,Formula!B74,4))+((Formula!E74)/(Formula!C74+Formula!E74+Formula!G74+Formula!I74+Formula!K74))*(INDEX(Properties!A$1:CB$87,Formula!D74,4))+((Formula!G74)/(Formula!C74+Formula!E74+Formula!G74+Formula!I74+Formula!K74))*(INDEX(Properties!A$1:CB$87,Formula!F74,4))+((Formula!I74)/(Formula!C74+Formula!E74+Formula!G74+Formula!I74+Formula!K74))*(INDEX(Properties!A$1:CB$87,Formula!H74,4))+((Formula!K74)/(Formula!C74+Formula!E74+Formula!G74+Formula!I74+Formula!K74))*(INDEX(Properties!A$1:CB$87,Formula!J74,4))</f>
        <v>25.777777777777775</v>
      </c>
      <c r="I74" s="87">
        <f>Formula!C74*(INDEX(Properties!A$1:CB$87,Formula!B74,4))+Formula!E74*(INDEX(Properties!A$1:CB$87,Formula!D74,4))+Formula!G74*(INDEX(Properties!A$1:CB$87,Formula!F74,4))+Formula!I74*(INDEX(Properties!A$1:CB$87,Formula!H74,4))+Formula!K74*(INDEX(Properties!A$1:CB$87,Formula!J74,4))</f>
        <v>232</v>
      </c>
      <c r="J74" s="87">
        <f>VARP(IF(INDEX(Properties!A$1:CB$87,Formula!B74,4)&lt;&gt;"",INDEX(Properties!A$1:CB$87,Formula!B74,4)),IF(INDEX(Properties!A$1:CB$87,Formula!D74,4)&lt;&gt;"",INDEX(Properties!A$1:CB$87,Formula!D74,4)),IF(INDEX(Properties!A$1:CB$87,Formula!F74,4)&lt;&gt;"",INDEX(Properties!A$1:CB$87,Formula!F74,4)),IF(INDEX(Properties!A$1:CB$87,Formula!H74,4)&lt;&gt;"",INDEX(Properties!A$1:CB$87,Formula!H74,4)),IF(INDEX(Properties!A$1:CB$87,Formula!J74,4)&lt;&gt;"",INDEX(Properties!A$1:CB$87,Formula!J74,4)))</f>
        <v>788.16</v>
      </c>
      <c r="K74" s="87">
        <f>MAX(INDEX(Properties!A$1:CB$87,Formula!B74,4),INDEX(Properties!A$1:CB$87,Formula!D74,4),INDEX(Properties!A$1:CB$87,Formula!F74,4),INDEX(Properties!A$1:CB$87,Formula!H74,4),INDEX(Properties!A$1:CB$87,Formula!J74,4))</f>
        <v>71</v>
      </c>
      <c r="L74" s="87">
        <f>MIN(IF(INDEX(Properties!A$1:CB$87,Formula!B74,4)=0,10^6,INDEX(Properties!A$1:CB$87,Formula!B74,4)),IF(INDEX(Properties!A$1:CB$87,Formula!D74,4)=0,10^6,INDEX(Properties!A$1:CB$87,Formula!D74,4)),IF(INDEX(Properties!A$1:CB$87,Formula!F74,4)=0,10^6,INDEX(Properties!A$1:CB$87,Formula!F74,4)),IF(INDEX(Properties!A$1:CB$87,Formula!H74,4)=0,10^6,INDEX(Properties!A$1:CB$87,Formula!H74,4)),IF(INDEX(Properties!A$1:CB$87,Formula!J74,4)=0,10^6,INDEX(Properties!A$1:CB$87,Formula!J74,4)))</f>
        <v>8</v>
      </c>
      <c r="M74" s="87">
        <f t="shared" si="33"/>
        <v>63</v>
      </c>
      <c r="N74" s="89">
        <f>((Formula!C74)/(Formula!C74+Formula!E74+Formula!G74+Formula!I74+Formula!K74))*(INDEX(Properties!A$1:CB$87,Formula!B74,5))+((Formula!E74)/(Formula!C74+Formula!E74+Formula!G74+Formula!I74+Formula!K74))*(INDEX(Properties!A$1:CB$87,Formula!D74,5))+((Formula!G74)/(Formula!C74+Formula!E74+Formula!G74+Formula!I74+Formula!K74))*(INDEX(Properties!A$1:CB$87,Formula!F74,5))+((Formula!I74)/(Formula!C74+Formula!E74+Formula!G74+Formula!I74+Formula!K74))*(INDEX(Properties!A$1:CB$87,Formula!H74,5))+((Formula!K74)/(Formula!C74+Formula!E74+Formula!G74+Formula!I74+Formula!K74))*(INDEX(Properties!A$1:CB$87,Formula!J74,5))</f>
        <v>3.2222222222222223</v>
      </c>
      <c r="O74" s="89">
        <f>Formula!C74*(INDEX(Properties!A$1:CB$87,Formula!B74,5))+Formula!E74*(INDEX(Properties!A$1:CB$87,Formula!D74,5))+Formula!G74*(INDEX(Properties!A$1:CB$87,Formula!F74,5))+Formula!I74*(INDEX(Properties!A$1:CB$87,Formula!H74,5))+Formula!K74*(INDEX(Properties!A$1:CB$87,Formula!J74,5))</f>
        <v>29</v>
      </c>
      <c r="P74" s="89">
        <f>VARP(IF(INDEX(Properties!A$1:CB$87,Formula!B74,5)&lt;&gt;"",INDEX(Properties!A$1:CB$87,Formula!B74,5)),IF(INDEX(Properties!A$1:CB$87,Formula!D74,5)&lt;&gt;"",INDEX(Properties!A$1:CB$87,Formula!D74,5)),IF(INDEX(Properties!A$1:CB$87,Formula!F74,5)&lt;&gt;"",INDEX(Properties!A$1:CB$87,Formula!F74,5)),IF(INDEX(Properties!A$1:CB$87,Formula!H74,5)&lt;&gt;"",INDEX(Properties!A$1:CB$87,Formula!H74,5)),IF(INDEX(Properties!A$1:CB$87,Formula!J74,5)&lt;&gt;"",INDEX(Properties!A$1:CB$87,Formula!J74,5)))</f>
        <v>6.24</v>
      </c>
      <c r="Q74" s="89">
        <f>MAX(INDEX(Properties!A$1:CB$87,Formula!B74,5),INDEX(Properties!A$1:CB$87,Formula!D74,5),INDEX(Properties!A$1:CB$87,Formula!F74,5),INDEX(Properties!A$1:CB$87,Formula!H74,5),INDEX(Properties!A$1:CB$87,Formula!J74,5))</f>
        <v>6</v>
      </c>
      <c r="R74" s="89">
        <f>MIN(IF(INDEX(Properties!A$1:CB$87,Formula!B74,5)=0,10^6,INDEX(Properties!A$1:CB$87,Formula!B74,5)),IF(INDEX(Properties!A$1:CB$87,Formula!D74,5)=0,10^6,INDEX(Properties!A$1:CB$87,Formula!D74,5)),IF(INDEX(Properties!A$1:CB$87,Formula!F74,5)=0,10^6,INDEX(Properties!A$1:CB$87,Formula!F74,5)),IF(INDEX(Properties!A$1:CB$87,Formula!H74,5)=0,10^6,INDEX(Properties!A$1:CB$87,Formula!H74,5)),IF(INDEX(Properties!A$1:CB$87,Formula!J74,5)=0,10^6,INDEX(Properties!A$1:CB$87,Formula!J74,5)))</f>
        <v>2</v>
      </c>
      <c r="S74" s="89">
        <f t="shared" si="34"/>
        <v>4</v>
      </c>
      <c r="T74" s="60">
        <f>((Formula!C74)/(Formula!C74+Formula!E74+Formula!G74+Formula!I74+Formula!K74))*(INDEX(Properties!A$1:CB$87,Formula!B74,6))+((Formula!E74)/(Formula!C74+Formula!E74+Formula!G74+Formula!I74+Formula!K74))*(INDEX(Properties!A$1:CB$87,Formula!D74,6))+((Formula!G74)/(Formula!C74+Formula!E74+Formula!G74+Formula!I74+Formula!K74))*(INDEX(Properties!A$1:CB$87,Formula!F74,6))+((Formula!I74)/(Formula!C74+Formula!E74+Formula!G74+Formula!I74+Formula!K74))*(INDEX(Properties!A$1:CB$87,Formula!H74,6))+((Formula!K74)/(Formula!C74+Formula!E74+Formula!G74+Formula!I74+Formula!K74))*(INDEX(Properties!A$1:CB$87,Formula!J74,6))</f>
        <v>12</v>
      </c>
      <c r="U74" s="60">
        <f>Formula!C74*(INDEX(Properties!A$1:CB$87,Formula!B74,6))+Formula!E74*(INDEX(Properties!A$1:CB$87,Formula!D74,6))+Formula!G74*(INDEX(Properties!A$1:CB$87,Formula!F74,6))+Formula!I74*(INDEX(Properties!A$1:CB$87,Formula!H74,6))+Formula!K74*(INDEX(Properties!A$1:CB$87,Formula!J74,6))</f>
        <v>108</v>
      </c>
      <c r="V74" s="89">
        <f>VARP(IF(INDEX(Properties!A$1:CB$87,Formula!B74,6)&lt;&gt;"",INDEX(Properties!A$1:CB$87,Formula!B74,6)),IF(INDEX(Properties!A$1:CB$87,Formula!D74,6)&lt;&gt;"",INDEX(Properties!A$1:CB$87,Formula!D74,6)),IF(INDEX(Properties!A$1:CB$87,Formula!F74,6)&lt;&gt;"",INDEX(Properties!A$1:CB$87,Formula!F74,6)),IF(INDEX(Properties!A$1:CB$87,Formula!H74,6)&lt;&gt;"",INDEX(Properties!A$1:CB$87,Formula!H74,6)),IF(INDEX(Properties!A$1:CB$87,Formula!J74,6)&lt;&gt;"",INDEX(Properties!A$1:CB$87,Formula!J74,6)))</f>
        <v>35.200000000000003</v>
      </c>
      <c r="W74" s="60">
        <f>MAX(INDEX(Properties!A$1:CB$87,Formula!B74,6),INDEX(Properties!A$1:CB$87,Formula!D74,6),INDEX(Properties!A$1:CB$87,Formula!F74,6),INDEX(Properties!A$1:CB$87,Formula!H74,4),INDEX(Properties!A$1:CB$87,Formula!J74,6))</f>
        <v>16</v>
      </c>
      <c r="X74" s="60">
        <f>MIN(IF(INDEX(Properties!A$1:CB$87,Formula!B74,6)=0,10^6,INDEX(Properties!A$1:CB$87,Formula!B74,6)),IF(INDEX(Properties!A$1:CB$87,Formula!D74,6)=0,10^6,INDEX(Properties!A$1:CB$87,Formula!D74,6)),IF(INDEX(Properties!A$1:CB$87,Formula!F74,6)=0,10^6,INDEX(Properties!A$1:CB$87,Formula!F74,6)),IF(INDEX(Properties!A$1:CB$87,Formula!H74,6)=0,10^6,INDEX(Properties!A$1:CB$87,Formula!H74,6)),IF(INDEX(Properties!A$1:CB$87,Formula!J74,6)=0,10^6,INDEX(Properties!A$1:CB$87,Formula!J74,6)))</f>
        <v>3</v>
      </c>
      <c r="Y74" s="60">
        <f t="shared" si="35"/>
        <v>13</v>
      </c>
      <c r="Z74" s="72">
        <f>((Formula!C74)/(Formula!C74+Formula!E74+Formula!G74+Formula!I74+Formula!K74))*(INDEX(Properties!A$1:CB$87,Formula!B74,9))+((Formula!E74)/(Formula!C74+Formula!E74+Formula!G74+Formula!I74+Formula!K74))*(INDEX(Properties!A$1:CB$87,Formula!D74,9))+((Formula!G74)/(Formula!C74+Formula!E74+Formula!G74+Formula!I74+Formula!K74))*(INDEX(Properties!A$1:CB$87,Formula!F74,9))+((Formula!I74)/(Formula!C74+Formula!E74+Formula!G74+Formula!I74+Formula!K74))*(INDEX(Properties!A$1:CB$87,Formula!H74,9))+((Formula!K74)/(Formula!C74+Formula!E74+Formula!G74+Formula!I74+Formula!K74))*(INDEX(Properties!A$1:CB$87,Formula!J74,9))</f>
        <v>72.666666666666671</v>
      </c>
      <c r="AA74" s="72">
        <f>Formula!C74*(INDEX(Properties!A$1:CB$87,Formula!B74,9))+Formula!E74*(INDEX(Properties!A$1:CB$87,Formula!D74,9))+Formula!G74*(INDEX(Properties!A$1:CB$87,Formula!F74,9))+Formula!I74*(INDEX(Properties!A$1:CB$87,Formula!H74,9))+Formula!K74*(INDEX(Properties!A$1:CB$87,Formula!J74,9))</f>
        <v>654</v>
      </c>
      <c r="AB74" s="72">
        <f>VARP(IF(INDEX(Properties!A$1:CB$87,Formula!B74,9)&lt;&gt;"",INDEX(Properties!A$1:CB$87,Formula!B74,9)),IF(INDEX(Properties!A$1:CB$87,Formula!D74,9)&lt;&gt;"",INDEX(Properties!A$1:CB$87,Formula!D74,9)),IF(INDEX(Properties!A$1:CB$87,Formula!F74,9)&lt;&gt;"",INDEX(Properties!A$1:CB$87,Formula!F74,9)),IF(INDEX(Properties!A$1:CB$87,Formula!H74,9)&lt;&gt;"",INDEX(Properties!A$1:CB$87,Formula!H74,9)),IF(INDEX(Properties!A$1:CB$87,Formula!J74,9)&lt;&gt;"",INDEX(Properties!A$1:CB$87,Formula!J74,9)))</f>
        <v>1082.6400000000001</v>
      </c>
      <c r="AC74" s="72">
        <f>MAX(INDEX(Properties!A$1:CB$87,Formula!B74,9),INDEX(Properties!A$1:CB$87,Formula!D74,9),INDEX(Properties!A$1:CB$87,Formula!F74,9),INDEX(Properties!A$1:CB$87,Formula!H74,9),INDEX(Properties!A$1:CB$87,Formula!J74,9))</f>
        <v>87</v>
      </c>
      <c r="AD74" s="72">
        <f>MIN(IF(INDEX(Properties!A$1:CB$87,Formula!B74,9)=0,10^6,INDEX(Properties!A$1:CB$87,Formula!B74,9)),IF(INDEX(Properties!A$1:CB$87,Formula!D74,9)=0,10^6,INDEX(Properties!A$1:CB$87,Formula!D74,9)),IF(INDEX(Properties!A$1:CB$87,Formula!F74,9)=0,10^6,INDEX(Properties!A$1:CB$87,Formula!F74,9)),IF(INDEX(Properties!A$1:CB$87,Formula!H74,9)=0,10^6,INDEX(Properties!A$1:CB$87,Formula!H74,9)),IF(INDEX(Properties!A$1:CB$87,Formula!J74,9)=0,10^6,INDEX(Properties!A$1:CB$87,Formula!J74,9)))</f>
        <v>41</v>
      </c>
      <c r="AE74" s="72">
        <f t="shared" si="36"/>
        <v>46</v>
      </c>
      <c r="AF74" s="51">
        <f>((Formula!C74)/(Formula!C74+Formula!E74+Formula!G74+Formula!I74+Formula!K74))*(INDEX(Properties!A$1:CB$87,Formula!B74,10))+((Formula!E74)/(Formula!C74+Formula!E74+Formula!G74+Formula!I74+Formula!K74))*(INDEX(Properties!A$1:CB$87,Formula!D74,10))+((Formula!G74)/(Formula!C74+Formula!E74+Formula!G74+Formula!I74+Formula!K74))*(INDEX(Properties!A$1:CB$87,Formula!F74,10))+((Formula!I74)/(Formula!C74+Formula!E74+Formula!G74+Formula!I74+Formula!K74))*(INDEX(Properties!A$1:CB$87,Formula!H74,10))+((Formula!K74)/(Formula!C74+Formula!E74+Formula!G74+Formula!I74+Formula!K74))*(INDEX(Properties!A$1:CB$87,Formula!J74,10))</f>
        <v>5.7777777777777768</v>
      </c>
      <c r="AG74" s="51">
        <f>Formula!C74*(INDEX(Properties!A$1:CB$87,Formula!B74,10))+Formula!E74*(INDEX(Properties!A$1:CB$87,Formula!D74,10))+Formula!G74*(INDEX(Properties!A$1:CB$87,Formula!F74,10))+Formula!I74*(INDEX(Properties!A$1:CB$87,Formula!H74,10))+Formula!K74*(INDEX(Properties!A$1:CB$87,Formula!J74,10))</f>
        <v>52</v>
      </c>
      <c r="AH74" s="51">
        <f>VARP(IF(INDEX(Properties!A$1:CB$87,Formula!B74,10)&lt;&gt;"",INDEX(Properties!A$1:CB$87,Formula!B74,10)),IF(INDEX(Properties!A$1:CB$87,Formula!D74,10)&lt;&gt;"",INDEX(Properties!A$1:CB$87,Formula!D74,10)),IF(INDEX(Properties!A$1:CB$87,Formula!F74,10)&lt;&gt;"",INDEX(Properties!A$1:CB$87,Formula!F74,10)),IF(INDEX(Properties!A$1:CB$87,Formula!H74,10)&lt;&gt;"",INDEX(Properties!A$1:CB$87,Formula!H74,10)),IF(INDEX(Properties!A$1:CB$87,Formula!J74,10)&lt;&gt;"",INDEX(Properties!A$1:CB$87,Formula!J74,10)))</f>
        <v>6.96</v>
      </c>
      <c r="AI74" s="51">
        <f>MAX(INDEX(Properties!A$1:CB$87,Formula!B74,10),INDEX(Properties!A$1:CB$87,Formula!D74,10),INDEX(Properties!A$1:CB$87,Formula!F74,10),INDEX(Properties!A$1:CB$87,Formula!H74,10),INDEX(Properties!A$1:CB$87,Formula!J74,10))</f>
        <v>7</v>
      </c>
      <c r="AJ74" s="51">
        <f>MIN(IF(INDEX(Properties!A$1:CB$87,Formula!B74,10)=0,10^6,INDEX(Properties!A$1:CB$87,Formula!B74,10)),IF(INDEX(Properties!A$1:CB$87,Formula!D74,10)=0,10^6,INDEX(Properties!A$1:CB$87,Formula!D74,10)),IF(INDEX(Properties!A$1:CB$87,Formula!F74,10)=0,10^6,INDEX(Properties!A$1:CB$87,Formula!F74,10)),IF(INDEX(Properties!A$1:CB$87,Formula!H74,10)=0,10^6,INDEX(Properties!A$1:CB$87,Formula!H74,10)),IF(INDEX(Properties!A$1:CB$87,Formula!J74,10)=0,10^6,INDEX(Properties!A$1:CB$87,Formula!J74,10)))</f>
        <v>3</v>
      </c>
      <c r="AK74" s="51">
        <f t="shared" si="37"/>
        <v>4</v>
      </c>
      <c r="AL74" s="57">
        <f>((Formula!C74)/(Formula!C74+Formula!E74+Formula!G74+Formula!I74+Formula!K74))*(INDEX(Properties!A$1:CB$87,Formula!B74,11))+((Formula!E74)/(Formula!C74+Formula!E74+Formula!G74+Formula!I74+Formula!K74))*(INDEX(Properties!A$1:CB$87,Formula!D74,11))+((Formula!G74)/(Formula!C74+Formula!E74+Formula!G74+Formula!I74+Formula!K74))*(INDEX(Properties!A$1:CB$87,Formula!F74,11))+((Formula!I74)/(Formula!C74+Formula!E74+Formula!G74+Formula!I74+Formula!K74))*(INDEX(Properties!A$1:CB$87,Formula!H74,11))+((Formula!K74)/(Formula!C74+Formula!E74+Formula!G74+Formula!I74+Formula!K74))*(INDEX(Properties!A$1:CB$87,Formula!J74,11))</f>
        <v>1.8888888888888888</v>
      </c>
      <c r="AM74" s="57">
        <f>Formula!C74*(INDEX(Properties!A$1:CB$87,Formula!B74,11))+Formula!E74*(INDEX(Properties!A$1:CB$87,Formula!D74,11))+Formula!G74*(INDEX(Properties!A$1:CB$87,Formula!F74,11))+Formula!I74*(INDEX(Properties!A$1:CB$87,Formula!H74,11))+Formula!K74*(INDEX(Properties!A$1:CB$87,Formula!J74,11))</f>
        <v>17</v>
      </c>
      <c r="AN74" s="57">
        <f>VARP(IF(INDEX(Properties!A$1:CB$87,Formula!B74,11)&lt;&gt;"",INDEX(Properties!A$1:CB$87,Formula!B74,11)),IF(INDEX(Properties!A$1:CB$87,Formula!D74,11)&lt;&gt;"",INDEX(Properties!A$1:CB$87,Formula!D74,11)),IF(INDEX(Properties!A$1:CB$87,Formula!F74,11)&lt;&gt;"",INDEX(Properties!A$1:CB$87,Formula!F74,11)),IF(INDEX(Properties!A$1:CB$87,Formula!H74,11)&lt;&gt;"",INDEX(Properties!A$1:CB$87,Formula!H74,11)),IF(INDEX(Properties!A$1:CB$87,Formula!J74,11)&lt;&gt;"",INDEX(Properties!A$1:CB$87,Formula!J74,11)))</f>
        <v>0.8</v>
      </c>
      <c r="AO74" s="57">
        <f>MAX(INDEX(Properties!A$1:CB$87,Formula!B74,11),INDEX(Properties!A$1:CB$87,Formula!D74,11),INDEX(Properties!A$1:CB$87,Formula!F74,11),INDEX(Properties!A$1:CB$87,Formula!H74,11),INDEX(Properties!A$1:CB$87,Formula!J74,11))</f>
        <v>2</v>
      </c>
      <c r="AP74" s="57">
        <f>MIN(IF(Formula!B74=87,10^6,INDEX(Properties!A$1:CB$87,Formula!B74,11)),IF((Formula!D74)=87,10^6,INDEX(Properties!A$1:CB$87,Formula!D74,11)),IF((Formula!F74)=87,10^6,INDEX(Properties!A$1:CB$87,Formula!F74,11)),IF((Formula!H74)=87,10^6,INDEX(Properties!A$1:CB$87,Formula!H74,11)),IF(Formula!J74=87,10^6,INDEX(Properties!A$1:CB$87,Formula!J74,11)))</f>
        <v>1</v>
      </c>
      <c r="AQ74" s="57">
        <f t="shared" si="38"/>
        <v>1</v>
      </c>
      <c r="AR74" s="78">
        <f>((Formula!C74)/(Formula!C74+Formula!E74+Formula!G74+Formula!I74+Formula!K74))*(INDEX(Properties!A$1:CB$87,Formula!B74,12))+((Formula!E74)/(Formula!C74+Formula!E74+Formula!G74+Formula!I74+Formula!K74))*(INDEX(Properties!A$1:CB$87,Formula!D74,12))+((Formula!G74)/(Formula!C74+Formula!E74+Formula!G74+Formula!I74+Formula!K74))*(INDEX(Properties!A$1:CB$87,Formula!F74,12))+((Formula!I74)/(Formula!C74+Formula!E74+Formula!G74+Formula!I74+Formula!K74))*(INDEX(Properties!A$1:CB$87,Formula!H74,12))+((Formula!K74)/(Formula!C74+Formula!E74+Formula!G74+Formula!I74+Formula!K74))*(INDEX(Properties!A$1:CB$87,Formula!J74,12))</f>
        <v>2.6666666666666665</v>
      </c>
      <c r="AS74" s="78">
        <f>Formula!C74*(INDEX(Properties!A$1:CB$87,Formula!B74,12))+Formula!E74*(INDEX(Properties!A$1:CB$87,Formula!D74,12))+Formula!G74*(INDEX(Properties!A$1:CB$87,Formula!F74,12))+Formula!I74*(INDEX(Properties!A$1:CB$87,Formula!H74,12))+Formula!K74*(INDEX(Properties!A$1:CB$87,Formula!J74,12))</f>
        <v>24</v>
      </c>
      <c r="AT74" s="78">
        <f>VARP(IF(INDEX(Properties!A$1:CB$87,Formula!B74,12)&lt;&gt;"",INDEX(Properties!A$1:CB$87,Formula!B74,12)),IF(INDEX(Properties!A$1:CB$87,Formula!D74,12)&lt;&gt;"",INDEX(Properties!A$1:CB$87,Formula!D74,12)),IF(INDEX(Properties!A$1:CB$87,Formula!F74,12)&lt;&gt;"",INDEX(Properties!A$1:CB$87,Formula!F74,12)),IF(INDEX(Properties!A$1:CB$87,Formula!H74,12)&lt;&gt;"",INDEX(Properties!A$1:CB$87,Formula!H74,12)),IF(INDEX(Properties!A$1:CB$87,Formula!J74,12)&lt;&gt;"",INDEX(Properties!A$1:CB$87,Formula!J74,12)))</f>
        <v>2.56</v>
      </c>
      <c r="AU74" s="78">
        <f>MAX(INDEX(Properties!A$1:CB$87,Formula!B74,12),INDEX(Properties!A$1:CB$87,Formula!D74,12),INDEX(Properties!A$1:CB$87,Formula!F74,12),INDEX(Properties!A$1:CB$87,Formula!H74,12),INDEX(Properties!A$1:CB$87,Formula!J74,12))</f>
        <v>4</v>
      </c>
      <c r="AV74" s="78">
        <f>MIN(IF(Formula!B74=87,10^6,INDEX(Properties!A$1:CB$87,Formula!B74,12)),IF((Formula!D74)=87,10^6,INDEX(Properties!A$1:CB$87,Formula!D74,12)),IF((Formula!F74)=87,10^6,INDEX(Properties!A$1:CB$87,Formula!F74,12)),IF((Formula!H74)=87,10^6,INDEX(Properties!A$1:CB$87,Formula!H74,12)),IF(Formula!J74=87,10^6,INDEX(Properties!A$1:CB$87,Formula!J74,12)))</f>
        <v>0</v>
      </c>
      <c r="AW74" s="78">
        <f t="shared" si="39"/>
        <v>4</v>
      </c>
      <c r="AX74" s="45">
        <f>((Formula!C74)/(Formula!C74+Formula!E74+Formula!G74+Formula!I74+Formula!K74))*(INDEX(Properties!A$1:CB$87,Formula!B74,13))+((Formula!E74)/(Formula!C74+Formula!E74+Formula!G74+Formula!I74+Formula!K74))*(INDEX(Properties!A$1:CB$87,Formula!D74,13))+((Formula!G74)/(Formula!C74+Formula!E74+Formula!G74+Formula!I74+Formula!K74))*(INDEX(Properties!A$1:CB$87,Formula!F74,13))+((Formula!I74)/(Formula!C74+Formula!E74+Formula!G74+Formula!I74+Formula!K74))*(INDEX(Properties!A$1:CB$87,Formula!H74,13))+((Formula!K74)/(Formula!C74+Formula!E74+Formula!G74+Formula!I74+Formula!K74))*(INDEX(Properties!A$1:CB$87,Formula!J74,13))</f>
        <v>0.77777777777777779</v>
      </c>
      <c r="AY74" s="45">
        <f>Formula!C74*(INDEX(Properties!A$1:CB$87,Formula!B74,13))+Formula!E74*(INDEX(Properties!A$1:CB$87,Formula!D74,13))+Formula!G74*(INDEX(Properties!A$1:CB$87,Formula!F74,13))+Formula!I74*(INDEX(Properties!A$1:CB$87,Formula!H74,13))+Formula!K74*(INDEX(Properties!A$1:CB$87,Formula!J74,13))</f>
        <v>7</v>
      </c>
      <c r="AZ74" s="45">
        <f>VARP(IF(INDEX(Properties!A$1:CB$87,Formula!B74,13)&lt;&gt;"",INDEX(Properties!A$1:CB$87,Formula!B74,13)),IF(INDEX(Properties!A$1:CB$87,Formula!D74,13)&lt;&gt;"",INDEX(Properties!A$1:CB$87,Formula!D74,13)),IF(INDEX(Properties!A$1:CB$87,Formula!F74,13)&lt;&gt;"",INDEX(Properties!A$1:CB$87,Formula!F74,13)),IF(INDEX(Properties!A$1:CB$87,Formula!H74,13)&lt;&gt;"",INDEX(Properties!A$1:CB$87,Formula!H74,13)),IF(INDEX(Properties!A$1:CB$87,Formula!J74,13)&lt;&gt;"",INDEX(Properties!A$1:CB$87,Formula!J74,13)))</f>
        <v>3.76</v>
      </c>
      <c r="BA74" s="45">
        <f>MAX(INDEX(Properties!A$1:CB$87,Formula!B74,13),INDEX(Properties!A$1:CB$87,Formula!D74,13),INDEX(Properties!A$1:CB$87,Formula!F74,13),INDEX(Properties!A$1:CB$87,Formula!H74,13),INDEX(Properties!A$1:CB$87,Formula!J74,13))</f>
        <v>5</v>
      </c>
      <c r="BB74" s="45">
        <f>MIN(IF(Formula!B74=87,10^6,INDEX(Properties!A$1:CB$87,Formula!B74,13)),IF((Formula!D74)=87,10^6,INDEX(Properties!A$1:CB$87,Formula!D74,13)),IF((Formula!F74)=87,10^6,INDEX(Properties!A$1:CB$87,Formula!F74,13)),IF((Formula!H74)=87,10^6,INDEX(Properties!A$1:CB$87,Formula!H74,13)),IF(Formula!J74=87,10^6,INDEX(Properties!A$1:CB$87,Formula!J74,13)))</f>
        <v>0</v>
      </c>
      <c r="BC74" s="45">
        <f t="shared" si="40"/>
        <v>5</v>
      </c>
      <c r="BD74" s="63">
        <f>((Formula!C74)/(Formula!C74+Formula!E74+Formula!G74+Formula!I74+Formula!K74))*(INDEX(Properties!A$1:CB$87,Formula!B74,14))+((Formula!E74)/(Formula!C74+Formula!E74+Formula!G74+Formula!I74+Formula!K74))*(INDEX(Properties!A$1:CB$87,Formula!D74,14))+((Formula!G74)/(Formula!C74+Formula!E74+Formula!G74+Formula!I74+Formula!K74))*(INDEX(Properties!A$1:CB$87,Formula!F74,14))+((Formula!I74)/(Formula!C74+Formula!E74+Formula!G74+Formula!I74+Formula!K74))*(INDEX(Properties!A$1:CB$87,Formula!H74,14))+((Formula!K74)/(Formula!C74+Formula!E74+Formula!G74+Formula!I74+Formula!K74))*(INDEX(Properties!A$1:CB$87,Formula!J74,14))</f>
        <v>3.1111111111111107</v>
      </c>
      <c r="BE74" s="63">
        <f>Formula!C74*(INDEX(Properties!A$1:CB$87,Formula!B74,14))+Formula!E74*(INDEX(Properties!A$1:CB$87,Formula!D74,14))+Formula!G74*(INDEX(Properties!A$1:CB$87,Formula!F74,14))+Formula!I74*(INDEX(Properties!A$1:CB$87,Formula!H74,14))+Formula!K74*(INDEX(Properties!A$1:CB$87,Formula!J74,14))</f>
        <v>28</v>
      </c>
      <c r="BF74" s="63">
        <f>VARP(IF(INDEX(Properties!A$1:CB$87,Formula!B74,14)&lt;&gt;"",INDEX(Properties!A$1:CB$87,Formula!B74,14)),IF(INDEX(Properties!A$1:CB$87,Formula!D74,14)&lt;&gt;"",INDEX(Properties!A$1:CB$87,Formula!D74,14)),IF(INDEX(Properties!A$1:CB$87,Formula!F74,14)&lt;&gt;"",INDEX(Properties!A$1:CB$87,Formula!F74,14)),IF(INDEX(Properties!A$1:CB$87,Formula!H74,14)&lt;&gt;"",INDEX(Properties!A$1:CB$87,Formula!H74,14)),IF(INDEX(Properties!A$1:CB$87,Formula!J74,14)&lt;&gt;"",INDEX(Properties!A$1:CB$87,Formula!J74,14)))</f>
        <v>31.36</v>
      </c>
      <c r="BG74" s="63">
        <f>MAX(INDEX(Properties!A$1:CB$87,Formula!B74,14),INDEX(Properties!A$1:CB$87,Formula!D74,14),INDEX(Properties!A$1:CB$87,Formula!F74,14),INDEX(Properties!A$1:CB$87,Formula!H74,14),INDEX(Properties!A$1:CB$87,Formula!J74,14))</f>
        <v>14</v>
      </c>
      <c r="BH74" s="63">
        <f>MIN(IF(Formula!B74=87,10^6,INDEX(Properties!A$1:CB$87,Formula!B74,14)),IF((Formula!D74)=87,10^6,INDEX(Properties!A$1:CB$87,Formula!D74,14)),IF((Formula!F74)=87,10^6,INDEX(Properties!A$1:CB$87,Formula!F74,14)),IF((Formula!H74)=87,10^6,INDEX(Properties!A$1:CB$87,Formula!H74,14)),IF(Formula!J74=87,10^6,INDEX(Properties!A$1:CB$87,Formula!J74,14)))</f>
        <v>0</v>
      </c>
      <c r="BI74" s="63">
        <f t="shared" si="41"/>
        <v>14</v>
      </c>
      <c r="BJ74" s="75">
        <f>((Formula!C74)/(Formula!C74+Formula!E74+Formula!G74+Formula!I74+Formula!K74))*(INDEX(Properties!A$1:CB$87,Formula!B74,19))+((Formula!E74)/(Formula!C74+Formula!E74+Formula!G74+Formula!I74+Formula!K74))*(INDEX(Properties!A$1:CB$87,Formula!D74,19))+((Formula!G74)/(Formula!C74+Formula!E74+Formula!G74+Formula!I74+Formula!K74))*(INDEX(Properties!A$1:CB$87,Formula!F74,19))+((Formula!I74)/(Formula!C74+Formula!E74+Formula!G74+Formula!I74+Formula!K74))*(INDEX(Properties!A$1:CB$87,Formula!H74,19))+((Formula!K74)/(Formula!C74+Formula!E74+Formula!G74+Formula!I74+Formula!K74))*(INDEX(Properties!A$1:CB$87,Formula!J74,19))</f>
        <v>8.4444444444444446</v>
      </c>
      <c r="BK74" s="75">
        <f>Formula!C74*(INDEX(Properties!A$1:CB$87,Formula!B74,19))+Formula!E74*(INDEX(Properties!A$1:CB$87,Formula!D74,19))+Formula!G74*(INDEX(Properties!A$1:CB$87,Formula!F74,19))+Formula!I74*(INDEX(Properties!A$1:CB$87,Formula!H74,19))+Formula!K74*(INDEX(Properties!A$1:CB$87,Formula!J74,19))</f>
        <v>76</v>
      </c>
      <c r="BL74" s="75">
        <f>VARP(IF(INDEX(Properties!A$1:CB$87,Formula!B74,19)&lt;&gt;"",INDEX(Properties!A$1:CB$87,Formula!B74,19)),IF(INDEX(Properties!A$1:CB$87,Formula!D74,19)&lt;&gt;"",INDEX(Properties!A$1:CB$87,Formula!D74,19)),IF(INDEX(Properties!A$1:CB$87,Formula!F74,19)&lt;&gt;"",INDEX(Properties!A$1:CB$87,Formula!F74,19)),IF(INDEX(Properties!A$1:CB$87,Formula!H74,19)&lt;&gt;"",INDEX(Properties!A$1:CB$87,Formula!H74,19)),IF(INDEX(Properties!A$1:CB$87,Formula!J74,19)&lt;&gt;"",INDEX(Properties!A$1:CB$87,Formula!J74,19)))</f>
        <v>38.56</v>
      </c>
      <c r="BM74" s="75">
        <f>MAX(INDEX(Properties!A$1:CB$87,Formula!B74,19),INDEX(Properties!A$1:CB$87,Formula!D74,19),INDEX(Properties!A$1:CB$87,Formula!F74,19),INDEX(Properties!A$1:CB$87,Formula!H74,19),INDEX(Properties!A$1:CB$87,Formula!J74,19))</f>
        <v>17</v>
      </c>
      <c r="BN74" s="75">
        <f>MIN(IF(INDEX(Properties!A$1:CB$87,Formula!B74,19)=0,10^6,INDEX(Properties!A$1:CB$87,Formula!B74,19)),IF(INDEX(Properties!A$1:CB$87,Formula!D74,19)=0,10^6,INDEX(Properties!A$1:CB$87,Formula!D74,19)),IF(INDEX(Properties!A$1:CB$87,Formula!F74,19)=0,10^6,INDEX(Properties!A$1:CB$87,Formula!F74,19)),IF(INDEX(Properties!A$1:CB$87,Formula!H74,19)=0,10^6,INDEX(Properties!A$1:CB$87,Formula!H74,19)),IF(INDEX(Properties!A$1:CB$87,Formula!J74,19)=0,10^6,INDEX(Properties!A$1:CB$87,Formula!J74,19)))</f>
        <v>6</v>
      </c>
      <c r="BO74" s="75">
        <f t="shared" si="42"/>
        <v>11</v>
      </c>
      <c r="BP74" s="48">
        <f>((Formula!C74)/(Formula!C74+Formula!E74+Formula!G74+Formula!I74+Formula!K74))*(INDEX(Properties!A$1:CB$87,Formula!B74,20))+((Formula!E74)/(Formula!C74+Formula!E74+Formula!G74+Formula!I74+Formula!K74))*(INDEX(Properties!A$1:CB$87,Formula!D74,20))+((Formula!G74)/(Formula!C74+Formula!E74+Formula!G74+Formula!I74+Formula!K74))*(INDEX(Properties!A$1:CB$87,Formula!F74,20))+((Formula!I74)/(Formula!C74+Formula!E74+Formula!G74+Formula!I74+Formula!K74))*(INDEX(Properties!A$1:CB$87,Formula!H74,20))+((Formula!K74)/(Formula!C74+Formula!E74+Formula!G74+Formula!I74+Formula!K74))*(INDEX(Properties!A$1:CB$87,Formula!J74,20))</f>
        <v>4.5555555555555554</v>
      </c>
      <c r="BQ74" s="48">
        <f>Formula!C74*(INDEX(Properties!A$1:CB$87,Formula!B74,20))+Formula!E74*(INDEX(Properties!A$1:CB$87,Formula!D74,20))+Formula!G74*(INDEX(Properties!A$1:CB$87,Formula!F74,20))+Formula!I74*(INDEX(Properties!A$1:CB$87,Formula!H74,20))+Formula!K74*(INDEX(Properties!A$1:CB$87,Formula!J74,20))</f>
        <v>41</v>
      </c>
      <c r="BR74" s="48">
        <f>VARP(IF(INDEX(Properties!A$1:CB$87,Formula!B74,20)&lt;&gt;"",INDEX(Properties!A$1:CB$87,Formula!B74,20)),IF(INDEX(Properties!A$1:CB$87,Formula!D74,20)&lt;&gt;"",INDEX(Properties!A$1:CB$87,Formula!D74,20)),IF(INDEX(Properties!A$1:CB$87,Formula!F74,20)&lt;&gt;"",INDEX(Properties!A$1:CB$87,Formula!F74,20)),IF(INDEX(Properties!A$1:CB$87,Formula!H74,20)&lt;&gt;"",INDEX(Properties!A$1:CB$87,Formula!H74,20)),IF(INDEX(Properties!A$1:CB$87,Formula!J74,20)&lt;&gt;"",INDEX(Properties!A$1:CB$87,Formula!J74,20)))</f>
        <v>4.96</v>
      </c>
      <c r="BS74" s="48">
        <f>MAX(INDEX(Properties!A$1:CB$87,Formula!B74,20),INDEX(Properties!A$1:CB$87,Formula!D74,20),INDEX(Properties!A$1:CB$87,Formula!F74,20),INDEX(Properties!A$1:CB$87,Formula!H74,20),INDEX(Properties!A$1:CB$87,Formula!J74,20))</f>
        <v>6</v>
      </c>
      <c r="BT74" s="48">
        <f>MIN(IF(INDEX(Properties!A$1:CB$87,Formula!B74,20)=0,10^6,INDEX(Properties!A$1:CB$87,Formula!B74,20)),IF(INDEX(Properties!A$1:CB$87,Formula!D74,20)=0,10^6,INDEX(Properties!A$1:CB$87,Formula!D74,20)),IF(INDEX(Properties!A$1:CB$87,Formula!F74,20)=0,10^6,INDEX(Properties!A$1:CB$87,Formula!F74,20)),IF(INDEX(Properties!A$1:CB$87,Formula!H74,20)=0,10^6,INDEX(Properties!A$1:CB$87,Formula!H74,20)),IF(INDEX(Properties!A$1:CB$87,Formula!J74,20)=0,10^6,INDEX(Properties!A$1:CB$87,Formula!J74,20)))</f>
        <v>1</v>
      </c>
      <c r="BU74" s="48">
        <f t="shared" si="43"/>
        <v>5</v>
      </c>
      <c r="BV74" s="66">
        <f>((Formula!C74)/(Formula!C74+Formula!E74+Formula!G74+Formula!I74+Formula!K74))*(INDEX(Properties!A$1:CB$87,Formula!B74,21))+((Formula!E74)/(Formula!C74+Formula!E74+Formula!G74+Formula!I74+Formula!K74))*(INDEX(Properties!A$1:CB$87,Formula!D74,21))+((Formula!G74)/(Formula!C74+Formula!E74+Formula!G74+Formula!I74+Formula!K74))*(INDEX(Properties!A$1:CB$87,Formula!F74,21))+((Formula!I74)/(Formula!C74+Formula!E74+Formula!G74+Formula!I74+Formula!K74))*(INDEX(Properties!A$1:CB$87,Formula!H74,21))+((Formula!K74)/(Formula!C74+Formula!E74+Formula!G74+Formula!I74+Formula!K74))*(INDEX(Properties!A$1:CB$87,Formula!J74,21))</f>
        <v>4.666666666666667</v>
      </c>
      <c r="BW74" s="66">
        <f>Formula!C74*(INDEX(Properties!A$1:CB$87,Formula!B74,21))+Formula!E74*(INDEX(Properties!A$1:CB$87,Formula!D74,21))+Formula!G74*(INDEX(Properties!A$1:CB$87,Formula!F74,21))+Formula!I74*(INDEX(Properties!A$1:CB$87,Formula!H74,21))+Formula!K74*(INDEX(Properties!A$1:CB$87,Formula!J74,21))</f>
        <v>42</v>
      </c>
      <c r="BX74" s="66">
        <f>VARP(IF(INDEX(Properties!A$1:CB$87,Formula!B74,21)&lt;&gt;"",INDEX(Properties!A$1:CB$87,Formula!B74,21)),IF(INDEX(Properties!A$1:CB$87,Formula!D74,21)&lt;&gt;"",INDEX(Properties!A$1:CB$87,Formula!D74,21)),IF(INDEX(Properties!A$1:CB$87,Formula!F74,21)&lt;&gt;"",INDEX(Properties!A$1:CB$87,Formula!F74,21)),IF(INDEX(Properties!A$1:CB$87,Formula!H74,21)&lt;&gt;"",INDEX(Properties!A$1:CB$87,Formula!H74,21)),IF(INDEX(Properties!A$1:CB$87,Formula!J74,21)&lt;&gt;"",INDEX(Properties!A$1:CB$87,Formula!J74,21)))</f>
        <v>5.76</v>
      </c>
      <c r="BY74" s="66">
        <f>MAX(INDEX(Properties!A$1:CB$87,Formula!B74,21),INDEX(Properties!A$1:CB$87,Formula!D74,21),INDEX(Properties!A$1:CB$87,Formula!F74,21),INDEX(Properties!A$1:CB$87,Formula!H74,21),INDEX(Properties!A$1:CB$87,Formula!J74,21))</f>
        <v>6</v>
      </c>
      <c r="BZ74" s="66">
        <f>MIN(IF(INDEX(Properties!A$1:CB$87,Formula!B74,21)=0,10^6,INDEX(Properties!A$1:CB$87,Formula!B74,21)),IF(INDEX(Properties!A$1:CB$87,Formula!D74,21)=0,10^6,INDEX(Properties!A$1:CB$87,Formula!D74,21)),IF(INDEX(Properties!A$1:CB$87,Formula!F74,21)=0,10^6,INDEX(Properties!A$1:CB$87,Formula!F74,21)),IF(INDEX(Properties!A$1:CB$87,Formula!H74,21)=0,10^6,INDEX(Properties!A$1:CB$87,Formula!H74,21)),IF(INDEX(Properties!A$1:CB$87,Formula!J74,21)=0,10^6,INDEX(Properties!A$1:CB$87,Formula!J74,21)))</f>
        <v>1</v>
      </c>
      <c r="CA74" s="66">
        <f t="shared" si="44"/>
        <v>5</v>
      </c>
      <c r="CB74" s="81">
        <f>((Formula!C74)/(Formula!C74+Formula!E74+Formula!G74+Formula!I74+Formula!K74))*(INDEX(Properties!A$1:CB$87,Formula!B74,23))+((Formula!E74)/(Formula!C74+Formula!E74+Formula!G74+Formula!I74+Formula!K74))*(INDEX(Properties!A$1:CB$87,Formula!D74,23))+((Formula!G74)/(Formula!C74+Formula!E74+Formula!G74+Formula!I74+Formula!K74))*(INDEX(Properties!A$1:CB$87,Formula!F74,23))+((Formula!I74)/(Formula!C74+Formula!E74+Formula!G74+Formula!I74+Formula!K74))*(INDEX(Properties!A$1:CB$87,Formula!H74,23))+((Formula!K74)/(Formula!C74+Formula!E74+Formula!G74+Formula!I74+Formula!K74))*(INDEX(Properties!A$1:CB$87,Formula!J74,23))</f>
        <v>1.3088888888888888</v>
      </c>
      <c r="CC74" s="81">
        <f>Formula!C74*(INDEX(Properties!A$1:CB$87,Formula!B74,23))+Formula!E74*(INDEX(Properties!A$1:CB$87,Formula!D74,23))+Formula!G74*(INDEX(Properties!A$1:CB$87,Formula!F74,23))+Formula!I74*(INDEX(Properties!A$1:CB$87,Formula!H74,23))+Formula!K74*(INDEX(Properties!A$1:CB$87,Formula!J74,23))</f>
        <v>11.780000000000001</v>
      </c>
      <c r="CD74" s="81">
        <f>VARP(IF(INDEX(Properties!A$1:CB$87,Formula!B74,23)&lt;&gt;"",INDEX(Properties!A$1:CB$87,Formula!B74,23)),IF(INDEX(Properties!A$1:CB$87,Formula!D74,23)&lt;&gt;"",INDEX(Properties!A$1:CB$87,Formula!D74,23)),IF(INDEX(Properties!A$1:CB$87,Formula!F74,23)&lt;&gt;"",INDEX(Properties!A$1:CB$87,Formula!F74,23)),IF(INDEX(Properties!A$1:CB$87,Formula!H74,23)&lt;&gt;"",INDEX(Properties!A$1:CB$87,Formula!H74,23)),IF(INDEX(Properties!A$1:CB$87,Formula!J74,23)&lt;&gt;"",INDEX(Properties!A$1:CB$87,Formula!J74,23)))</f>
        <v>5.3981439999999994</v>
      </c>
      <c r="CE74" s="81">
        <f>MAX(INDEX(Properties!A$1:CB$87,Formula!B74,23),INDEX(Properties!A$1:CB$87,Formula!D74,23),INDEX(Properties!A$1:CB$87,Formula!F74,23),INDEX(Properties!A$1:CB$87,Formula!H74,23),INDEX(Properties!A$1:CB$87,Formula!J74,23))</f>
        <v>5.78</v>
      </c>
      <c r="CF74" s="81">
        <f>MIN(IF(Formula!B74=87,10^6,INDEX(Properties!A$1:CB$87,Formula!B74,23)),IF((Formula!D74)=87,10^6,INDEX(Properties!A$1:CB$87,Formula!D74,23)),IF((Formula!F74)=87,10^6,INDEX(Properties!A$1:CB$87,Formula!F74,23)),IF((Formula!H74)=87,10^6,INDEX(Properties!A$1:CB$87,Formula!H74,23)),IF(Formula!J74=87,10^6,INDEX(Properties!A$1:CB$87,Formula!J74,23)))</f>
        <v>0</v>
      </c>
      <c r="CG74" s="81">
        <f t="shared" si="45"/>
        <v>5.78</v>
      </c>
      <c r="CH74" s="39">
        <f>((Formula!C74)/(Formula!C74+Formula!E74+Formula!G74+Formula!I74+Formula!K74))*(INDEX(Properties!A$1:CB$87,Formula!B74,26))+((Formula!E74)/(Formula!C74+Formula!E74+Formula!G74+Formula!I74+Formula!K74))*(INDEX(Properties!A$1:CB$87,Formula!D74,26))+((Formula!G74)/(Formula!C74+Formula!E74+Formula!G74+Formula!I74+Formula!K74))*(INDEX(Properties!A$1:CB$87,Formula!F74,26))+((Formula!I74)/(Formula!C74+Formula!E74+Formula!G74+Formula!I74+Formula!K74))*(INDEX(Properties!A$1:CB$87,Formula!H74,26))+((Formula!K74)/(Formula!C74+Formula!E74+Formula!G74+Formula!I74+Formula!K74))*(INDEX(Properties!A$1:CB$87,Formula!J74,26))</f>
        <v>11.072533333333332</v>
      </c>
      <c r="CI74" s="39">
        <f>Formula!C74*(INDEX(Properties!A$1:CB$87,Formula!B74,26))+Formula!E74*(INDEX(Properties!A$1:CB$87,Formula!D74,26))+Formula!G74*(INDEX(Properties!A$1:CB$87,Formula!F74,26))+Formula!I74*(INDEX(Properties!A$1:CB$87,Formula!H74,26))+Formula!K74*(INDEX(Properties!A$1:CB$87,Formula!J74,26))</f>
        <v>99.652800000000013</v>
      </c>
      <c r="CJ74" s="39">
        <f>VARP(IF(INDEX(Properties!A$1:CB$87,Formula!B74,26)&lt;&gt;"",INDEX(Properties!A$1:CB$87,Formula!B74,26)),IF(INDEX(Properties!A$1:CB$87,Formula!D74,26)&lt;&gt;"",INDEX(Properties!A$1:CB$87,Formula!D74,26)),IF(INDEX(Properties!A$1:CB$87,Formula!F74,26)&lt;&gt;"",INDEX(Properties!A$1:CB$87,Formula!F74,26)),IF(INDEX(Properties!A$1:CB$87,Formula!H74,26)&lt;&gt;"",INDEX(Properties!A$1:CB$87,Formula!H74,26)),IF(INDEX(Properties!A$1:CB$87,Formula!J74,26)&lt;&gt;"",INDEX(Properties!A$1:CB$87,Formula!J74,26)))</f>
        <v>25.714579037599997</v>
      </c>
      <c r="CK74" s="39">
        <f>MAX(INDEX(Properties!A$1:CB$87,Formula!B74,26),INDEX(Properties!A$1:CB$87,Formula!D74,26),INDEX(Properties!A$1:CB$87,Formula!F74,26),INDEX(Properties!A$1:CB$87,Formula!H74,26),INDEX(Properties!A$1:CB$87,Formula!J74,26))</f>
        <v>13.6181</v>
      </c>
      <c r="CL74" s="39">
        <f>MIN(IF(INDEX(Properties!A$1:CB$87,Formula!B74,26)=0,10^6,INDEX(Properties!A$1:CB$87,Formula!B74,26)),IF(INDEX(Properties!A$1:CB$87,Formula!D74,26)=0,10^6,INDEX(Properties!A$1:CB$87,Formula!D74,26)),IF(INDEX(Properties!A$1:CB$87,Formula!F74,26)=0,10^6,INDEX(Properties!A$1:CB$87,Formula!F74,26)),IF(INDEX(Properties!A$1:CB$87,Formula!H74,26)=0,10^6,INDEX(Properties!A$1:CB$87,Formula!H74,26)),IF(INDEX(Properties!A$1:CB$87,Formula!J74,26)=0,10^6,INDEX(Properties!A$1:CB$87,Formula!J74,26)))</f>
        <v>5.4259000000000004</v>
      </c>
      <c r="CM74" s="39">
        <f t="shared" si="46"/>
        <v>8.1921999999999997</v>
      </c>
      <c r="CN74" s="54">
        <f>((Formula!C74)/(Formula!C74+Formula!E74+Formula!G74+Formula!I74+Formula!K74))*(INDEX(Properties!A$1:CB$87,Formula!B74,30))+((Formula!E74)/(Formula!C74+Formula!E74+Formula!G74+Formula!I74+Formula!K74))*(INDEX(Properties!A$1:CB$87,Formula!D74,30))+((Formula!G74)/(Formula!C74+Formula!E74+Formula!G74+Formula!I74+Formula!K74))*(INDEX(Properties!A$1:CB$87,Formula!F74,30))+((Formula!I74)/(Formula!C74+Formula!E74+Formula!G74+Formula!I74+Formula!K74))*(INDEX(Properties!A$1:CB$87,Formula!H74,30))+((Formula!K74)/(Formula!C74+Formula!E74+Formula!G74+Formula!I74+Formula!K74))*(INDEX(Properties!A$1:CB$87,Formula!J74,30))</f>
        <v>2.8155555555555551</v>
      </c>
      <c r="CO74" s="54">
        <f>Formula!C74*(INDEX(Properties!A$1:CB$87,Formula!B74,30))+Formula!E74*(INDEX(Properties!A$1:CB$87,Formula!D74,30))+Formula!G74*(INDEX(Properties!A$1:CB$87,Formula!F74,30))+Formula!I74*(INDEX(Properties!A$1:CB$87,Formula!H74,30))+Formula!K74*(INDEX(Properties!A$1:CB$87,Formula!J74,30))</f>
        <v>25.34</v>
      </c>
      <c r="CP74" s="54">
        <f>VARP(IF(INDEX(Properties!A$1:CB$87,Formula!B74,30)&lt;&gt;"",INDEX(Properties!A$1:CB$87,Formula!B74,30)),IF(INDEX(Properties!A$1:CB$87,Formula!D74,30)&lt;&gt;"",INDEX(Properties!A$1:CB$87,Formula!D74,30)),IF(INDEX(Properties!A$1:CB$87,Formula!F74,30)&lt;&gt;"",INDEX(Properties!A$1:CB$87,Formula!F74,30)),IF(INDEX(Properties!A$1:CB$87,Formula!H74,30)&lt;&gt;"",INDEX(Properties!A$1:CB$87,Formula!H74,30)),IF(INDEX(Properties!A$1:CB$87,Formula!J74,30)&lt;&gt;"",INDEX(Properties!A$1:CB$87,Formula!J74,30)))</f>
        <v>1.7345439999999996</v>
      </c>
      <c r="CQ74" s="54">
        <f>MAX(INDEX(Properties!A$1:CB$87,Formula!B74,30),INDEX(Properties!A$1:CB$87,Formula!D74,30),INDEX(Properties!A$1:CB$87,Formula!F74,30),INDEX(Properties!A$1:CB$87,Formula!H74,30),INDEX(Properties!A$1:CB$87,Formula!J74,30))</f>
        <v>3.44</v>
      </c>
      <c r="CR74" s="54">
        <f>MIN(IF(INDEX(Properties!A$1:CB$87,Formula!B74,30)=0,10^6,INDEX(Properties!A$1:CB$87,Formula!B74,30)),IF(INDEX(Properties!A$1:CB$87,Formula!D74,30)=0,10^6,INDEX(Properties!A$1:CB$87,Formula!D74,30)),IF(INDEX(Properties!A$1:CB$87,Formula!F74,30)=0,10^6,INDEX(Properties!A$1:CB$87,Formula!F74,30)),IF(INDEX(Properties!A$1:CB$87,Formula!H74,30)=0,10^6,INDEX(Properties!A$1:CB$87,Formula!H74,30)),IF(INDEX(Properties!A$1:CB$87,Formula!J74,30)=0,10^6,INDEX(Properties!A$1:CB$87,Formula!J74,30)))</f>
        <v>1.27</v>
      </c>
      <c r="CS74" s="54">
        <f t="shared" si="47"/>
        <v>2.17</v>
      </c>
      <c r="CT74" s="69">
        <f>((Formula!C74)/(Formula!C74+Formula!E74+Formula!G74+Formula!I74+Formula!K74))*(INDEX(Properties!A$1:CB$87,Formula!B74,31))+((Formula!E74)/(Formula!C74+Formula!E74+Formula!G74+Formula!I74+Formula!K74))*(INDEX(Properties!A$1:CB$87,Formula!D74,31))+((Formula!G74)/(Formula!C74+Formula!E74+Formula!G74+Formula!I74+Formula!K74))*(INDEX(Properties!A$1:CB$87,Formula!F74,31))+((Formula!I74)/(Formula!C74+Formula!E74+Formula!G74+Formula!I74+Formula!K74))*(INDEX(Properties!A$1:CB$87,Formula!H74,31))+((Formula!K74)/(Formula!C74+Formula!E74+Formula!G74+Formula!I74+Formula!K74))*(INDEX(Properties!A$1:CB$87,Formula!J74,31))</f>
        <v>2.695555555555555</v>
      </c>
      <c r="CU74" s="69">
        <f>Formula!C74*(INDEX(Properties!A$1:CB$87,Formula!B74,31))+Formula!E74*(INDEX(Properties!A$1:CB$87,Formula!D74,31))+Formula!G74*(INDEX(Properties!A$1:CB$87,Formula!F74,31))+Formula!I74*(INDEX(Properties!A$1:CB$87,Formula!H74,31))+Formula!K74*(INDEX(Properties!A$1:CB$87,Formula!J74,31))</f>
        <v>24.259999999999998</v>
      </c>
      <c r="CV74" s="69">
        <f>VARP(IF(INDEX(Properties!A$1:CB$87,Formula!B74,31)&lt;&gt;"",INDEX(Properties!A$1:CB$87,Formula!B74,31)),IF(INDEX(Properties!A$1:CB$87,Formula!D74,31)&lt;&gt;"",INDEX(Properties!A$1:CB$87,Formula!D74,31)),IF(INDEX(Properties!A$1:CB$87,Formula!F74,31)&lt;&gt;"",INDEX(Properties!A$1:CB$87,Formula!F74,31)),IF(INDEX(Properties!A$1:CB$87,Formula!H74,31)&lt;&gt;"",INDEX(Properties!A$1:CB$87,Formula!H74,31)),IF(INDEX(Properties!A$1:CB$87,Formula!J74,31)&lt;&gt;"",INDEX(Properties!A$1:CB$87,Formula!J74,31)))</f>
        <v>1.5759360000000004</v>
      </c>
      <c r="CW74" s="69">
        <f>MAX(INDEX(Properties!A$1:CB$87,Formula!B74,31),INDEX(Properties!A$1:CB$87,Formula!D74,31),INDEX(Properties!A$1:CB$87,Formula!F74,31),INDEX(Properties!A$1:CB$87,Formula!H74,31),INDEX(Properties!A$1:CB$87,Formula!J74,31))</f>
        <v>3.32</v>
      </c>
      <c r="CX74" s="69">
        <f>MIN(IF(INDEX(Properties!A$1:CB$87,Formula!B74,31)=0,10^6,INDEX(Properties!A$1:CB$87,Formula!B74,31)),IF(INDEX(Properties!A$1:CB$87,Formula!D74,31)=0,10^6,INDEX(Properties!A$1:CB$87,Formula!D74,31)),IF(INDEX(Properties!A$1:CB$87,Formula!F74,31)=0,10^6,INDEX(Properties!A$1:CB$87,Formula!F74,31)),IF(INDEX(Properties!A$1:CB$87,Formula!H74,31)=0,10^6,INDEX(Properties!A$1:CB$87,Formula!H74,31)),IF(INDEX(Properties!A$1:CB$87,Formula!J74,31)=0,10^6,INDEX(Properties!A$1:CB$87,Formula!J74,31)))</f>
        <v>1.2</v>
      </c>
      <c r="CY74" s="69">
        <f t="shared" si="48"/>
        <v>2.12</v>
      </c>
      <c r="CZ74" s="42">
        <f>((Formula!C74)/(Formula!C74+Formula!E74+Formula!G74+Formula!I74+Formula!K74))*(INDEX(Properties!A$1:CB$87,Formula!B74,32))+((Formula!E74)/(Formula!C74+Formula!E74+Formula!G74+Formula!I74+Formula!K74))*(INDEX(Properties!A$1:CB$87,Formula!D74,32))+((Formula!G74)/(Formula!C74+Formula!E74+Formula!G74+Formula!I74+Formula!K74))*(INDEX(Properties!A$1:CB$87,Formula!F74,32))+((Formula!I74)/(Formula!C74+Formula!E74+Formula!G74+Formula!I74+Formula!K74))*(INDEX(Properties!A$1:CB$87,Formula!H74,32))+((Formula!K74)/(Formula!C74+Formula!E74+Formula!G74+Formula!I74+Formula!K74))*(INDEX(Properties!A$1:CB$87,Formula!J74,32))</f>
        <v>6.1488888888888891</v>
      </c>
      <c r="DA74" s="42">
        <f>Formula!C74*(INDEX(Properties!A$1:CB$87,Formula!B74,32))+Formula!E74*(INDEX(Properties!A$1:CB$87,Formula!D74,32))+Formula!G74*(INDEX(Properties!A$1:CB$87,Formula!F74,32))+Formula!I74*(INDEX(Properties!A$1:CB$87,Formula!H74,32))+Formula!K74*(INDEX(Properties!A$1:CB$87,Formula!J74,32))</f>
        <v>55.34</v>
      </c>
      <c r="DB74" s="42">
        <f>VARP(IF(INDEX(Properties!A$1:CB$87,Formula!B74,32)&lt;&gt;"",INDEX(Properties!A$1:CB$87,Formula!B74,32)),IF(INDEX(Properties!A$1:CB$87,Formula!D74,32)&lt;&gt;"",INDEX(Properties!A$1:CB$87,Formula!D74,32)),IF(INDEX(Properties!A$1:CB$87,Formula!F74,32)&lt;&gt;"",INDEX(Properties!A$1:CB$87,Formula!F74,32)),IF(INDEX(Properties!A$1:CB$87,Formula!H74,32)&lt;&gt;"",INDEX(Properties!A$1:CB$87,Formula!H74,32)),IF(INDEX(Properties!A$1:CB$87,Formula!J74,32)&lt;&gt;"",INDEX(Properties!A$1:CB$87,Formula!J74,32)))</f>
        <v>7.8778560000000013</v>
      </c>
      <c r="DC74" s="42">
        <f>MAX(INDEX(Properties!A$1:CB$87,Formula!B74,32),INDEX(Properties!A$1:CB$87,Formula!D74,32),INDEX(Properties!A$1:CB$87,Formula!F74,32),INDEX(Properties!A$1:CB$87,Formula!H74,32),INDEX(Properties!A$1:CB$87,Formula!J74,32))</f>
        <v>7.54</v>
      </c>
      <c r="DD74" s="42">
        <f>MIN(IF(INDEX(Properties!A$1:CB$87,Formula!B74,32)=0,10^6,INDEX(Properties!A$1:CB$87,Formula!B74,32)),IF(INDEX(Properties!A$1:CB$87,Formula!D74,32)=0,10^6,INDEX(Properties!A$1:CB$87,Formula!D74,32)),IF(INDEX(Properties!A$1:CB$87,Formula!F74,32)=0,10^6,INDEX(Properties!A$1:CB$87,Formula!F74,32)),IF(INDEX(Properties!A$1:CB$87,Formula!H74,32)=0,10^6,INDEX(Properties!A$1:CB$87,Formula!H74,32)),IF(INDEX(Properties!A$1:CB$87,Formula!J74,32)=0,10^6,INDEX(Properties!A$1:CB$87,Formula!J74,32)))</f>
        <v>3.1</v>
      </c>
      <c r="DE74" s="42">
        <f t="shared" si="49"/>
        <v>4.4399999999999995</v>
      </c>
      <c r="DF74" s="60">
        <f>((Formula!C74)/(Formula!C74+Formula!E74+Formula!G74+Formula!I74+Formula!K74))*(INDEX(Properties!A$1:CB$87,Formula!B74,34))+((Formula!E74)/(Formula!C74+Formula!E74+Formula!G74+Formula!I74+Formula!K74))*(INDEX(Properties!A$1:CB$87,Formula!D74,34))+((Formula!G74)/(Formula!C74+Formula!E74+Formula!G74+Formula!I74+Formula!K74))*(INDEX(Properties!A$1:CB$87,Formula!F74,34))+((Formula!I74)/(Formula!C74+Formula!E74+Formula!G74+Formula!I74+Formula!K74))*(INDEX(Properties!A$1:CB$87,Formula!H74,34))+((Formula!K74)/(Formula!C74+Formula!E74+Formula!G74+Formula!I74+Formula!K74))*(INDEX(Properties!A$1:CB$87,Formula!J74,34))</f>
        <v>2.8122222222222217</v>
      </c>
      <c r="DG74" s="60">
        <f>Formula!C74*(INDEX(Properties!A$1:CB$87,Formula!B74,34))+Formula!E74*(INDEX(Properties!A$1:CB$87,Formula!D74,34))+Formula!G74*(INDEX(Properties!A$1:CB$87,Formula!F74,34))+Formula!I74*(INDEX(Properties!A$1:CB$87,Formula!H74,34))+Formula!K74*(INDEX(Properties!A$1:CB$87,Formula!J74,34))</f>
        <v>25.310000000000002</v>
      </c>
      <c r="DH74" s="60">
        <f>VARP(IF(INDEX(Properties!A$1:CB$87,Formula!B74,34)&lt;&gt;"",INDEX(Properties!A$1:CB$87,Formula!B74,34)),IF(INDEX(Properties!A$1:CB$87,Formula!D74,34)&lt;&gt;"",INDEX(Properties!A$1:CB$87,Formula!D74,34)),IF(INDEX(Properties!A$1:CB$87,Formula!F74,34)&lt;&gt;"",INDEX(Properties!A$1:CB$87,Formula!F74,34)),IF(INDEX(Properties!A$1:CB$87,Formula!H74,34)&lt;&gt;"",INDEX(Properties!A$1:CB$87,Formula!H74,34)),IF(INDEX(Properties!A$1:CB$87,Formula!J74,34)&lt;&gt;"",INDEX(Properties!A$1:CB$87,Formula!J74,34)))</f>
        <v>1.7534640000000001</v>
      </c>
      <c r="DI74" s="60">
        <f>MAX(INDEX(Properties!A$1:CB$87,Formula!B74,34),INDEX(Properties!A$1:CB$87,Formula!D74,34),INDEX(Properties!A$1:CB$87,Formula!F74,34),INDEX(Properties!A$1:CB$87,Formula!H74,34),INDEX(Properties!A$1:CB$87,Formula!J74,34))</f>
        <v>3.61</v>
      </c>
      <c r="DJ74" s="60">
        <f>MIN(IF(INDEX(Properties!A$1:CB$87,Formula!B74,34)=0,10^6,INDEX(Properties!A$1:CB$87,Formula!B74,34)),IF(INDEX(Properties!A$1:CB$87,Formula!D74,34)=0,10^6,INDEX(Properties!A$1:CB$87,Formula!D74,34)),IF(INDEX(Properties!A$1:CB$87,Formula!F74,34)=0,10^6,INDEX(Properties!A$1:CB$87,Formula!F74,34)),IF(INDEX(Properties!A$1:CB$87,Formula!H74,34)=0,10^6,INDEX(Properties!A$1:CB$87,Formula!H74,34)),IF(INDEX(Properties!A$1:CB$87,Formula!J74,34)=0,10^6,INDEX(Properties!A$1:CB$87,Formula!J74,34)))</f>
        <v>1.0900000000000001</v>
      </c>
      <c r="DK74" s="60">
        <f t="shared" si="50"/>
        <v>2.5199999999999996</v>
      </c>
      <c r="DL74" s="45">
        <f>((Formula!C74)/(Formula!C74+Formula!E74+Formula!G74+Formula!I74+Formula!K74))*(INDEX(Properties!A$1:CB$87,Formula!B74,39))+((Formula!E74)/(Formula!C74+Formula!E74+Formula!G74+Formula!I74+Formula!K74))*(INDEX(Properties!A$1:CB$87,Formula!D74,39))+((Formula!G74)/(Formula!C74+Formula!E74+Formula!G74+Formula!I74+Formula!K74))*(INDEX(Properties!A$1:CB$87,Formula!F74,39))+((Formula!I74)/(Formula!C74+Formula!E74+Formula!G74+Formula!I74+Formula!K74))*(INDEX(Properties!A$1:CB$87,Formula!H74,39))+((Formula!K74)/(Formula!C74+Formula!E74+Formula!G74+Formula!I74+Formula!K74))*(INDEX(Properties!A$1:CB$87,Formula!J74,39))</f>
        <v>1.0133333333333332</v>
      </c>
      <c r="DM74" s="45">
        <f>Formula!C74*(INDEX(Properties!A$1:CB$87,Formula!B74,39))+Formula!E74*(INDEX(Properties!A$1:CB$87,Formula!D74,39))+Formula!G74*(INDEX(Properties!A$1:CB$87,Formula!F74,39))+Formula!I74*(INDEX(Properties!A$1:CB$87,Formula!H74,39))+Formula!K74*(INDEX(Properties!A$1:CB$87,Formula!J74,39))</f>
        <v>9.120000000000001</v>
      </c>
      <c r="DN74" s="45">
        <f>VARP(IF(INDEX(Properties!A$1:CB$87,Formula!B74,39)&lt;&gt;"",INDEX(Properties!A$1:CB$87,Formula!B74,39)),IF(INDEX(Properties!A$1:CB$87,Formula!D74,39)&lt;&gt;"",INDEX(Properties!A$1:CB$87,Formula!D74,39)),IF(INDEX(Properties!A$1:CB$87,Formula!F74,39)&lt;&gt;"",INDEX(Properties!A$1:CB$87,Formula!F74,39)),IF(INDEX(Properties!A$1:CB$87,Formula!H74,39)&lt;&gt;"",INDEX(Properties!A$1:CB$87,Formula!H74,39)),IF(INDEX(Properties!A$1:CB$87,Formula!J74,39)&lt;&gt;"",INDEX(Properties!A$1:CB$87,Formula!J74,39)))</f>
        <v>0.88175999999999954</v>
      </c>
      <c r="DO74" s="45">
        <f>MAX(INDEX(Properties!A$1:CB$87,Formula!B74,39),INDEX(Properties!A$1:CB$87,Formula!D74,39),INDEX(Properties!A$1:CB$87,Formula!F74,39),INDEX(Properties!A$1:CB$87,Formula!H74,39),INDEX(Properties!A$1:CB$87,Formula!J74,39))</f>
        <v>2.17</v>
      </c>
      <c r="DP74" s="45">
        <f>MIN(IF(INDEX(Properties!A$1:CB$87,Formula!B74,39)=0,10^6,INDEX(Properties!A$1:CB$87,Formula!B74,39)),IF(INDEX(Properties!A$1:CB$87,Formula!D74,39)=0,10^6,INDEX(Properties!A$1:CB$87,Formula!D74,39)),IF(INDEX(Properties!A$1:CB$87,Formula!F74,39)=0,10^6,INDEX(Properties!A$1:CB$87,Formula!F74,39)),IF(INDEX(Properties!A$1:CB$87,Formula!H74,39)=0,10^6,INDEX(Properties!A$1:CB$87,Formula!H74,39)),IF(INDEX(Properties!A$1:CB$87,Formula!J74,39)=0,10^6,INDEX(Properties!A$1:CB$87,Formula!J74,39)))</f>
        <v>0.48</v>
      </c>
      <c r="DQ74" s="45">
        <f t="shared" si="51"/>
        <v>1.69</v>
      </c>
      <c r="DR74" s="63">
        <f>((Formula!C74)/(Formula!C74+Formula!E74+Formula!G74+Formula!I74+Formula!K74))*(INDEX(Properties!A$1:CB$87,Formula!B74,40))+((Formula!E74)/(Formula!C74+Formula!E74+Formula!G74+Formula!I74+Formula!K74))*(INDEX(Properties!A$1:CB$87,Formula!D74,40))+((Formula!G74)/(Formula!C74+Formula!E74+Formula!G74+Formula!I74+Formula!K74))*(INDEX(Properties!A$1:CB$87,Formula!F74,40))+((Formula!I74)/(Formula!C74+Formula!E74+Formula!G74+Formula!I74+Formula!K74))*(INDEX(Properties!A$1:CB$87,Formula!H74,40))+((Formula!K74)/(Formula!C74+Formula!E74+Formula!G74+Formula!I74+Formula!K74))*(INDEX(Properties!A$1:CB$87,Formula!J74,40))</f>
        <v>1.0033333333333332</v>
      </c>
      <c r="DS74" s="63">
        <f>Formula!C74*(INDEX(Properties!A$1:CB$87,Formula!B74,40))+Formula!E74*(INDEX(Properties!A$1:CB$87,Formula!D74,40))+Formula!G74*(INDEX(Properties!A$1:CB$87,Formula!F74,40))+Formula!I74*(INDEX(Properties!A$1:CB$87,Formula!H74,40))+Formula!K74*(INDEX(Properties!A$1:CB$87,Formula!J74,40))</f>
        <v>9.0300000000000011</v>
      </c>
      <c r="DT74" s="63">
        <f>VARP(IF(INDEX(Properties!A$1:CB$87,Formula!B74,40)&lt;&gt;"",INDEX(Properties!A$1:CB$87,Formula!B74,40)),IF(INDEX(Properties!A$1:CB$87,Formula!D74,40)&lt;&gt;"",INDEX(Properties!A$1:CB$87,Formula!D74,40)),IF(INDEX(Properties!A$1:CB$87,Formula!F74,40)&lt;&gt;"",INDEX(Properties!A$1:CB$87,Formula!F74,40)),IF(INDEX(Properties!A$1:CB$87,Formula!H74,40)&lt;&gt;"",INDEX(Properties!A$1:CB$87,Formula!H74,40)),IF(INDEX(Properties!A$1:CB$87,Formula!J74,40)&lt;&gt;"",INDEX(Properties!A$1:CB$87,Formula!J74,40)))</f>
        <v>0.46754400000000002</v>
      </c>
      <c r="DU74" s="63">
        <f>MAX(INDEX(Properties!A$1:CB$87,Formula!B74,40),INDEX(Properties!A$1:CB$87,Formula!D74,40),INDEX(Properties!A$1:CB$87,Formula!F74,40),INDEX(Properties!A$1:CB$87,Formula!H74,40),INDEX(Properties!A$1:CB$87,Formula!J74,40))</f>
        <v>1.6</v>
      </c>
      <c r="DV74" s="63">
        <f>MIN(IF(INDEX(Properties!A$1:CB$87,Formula!B74,40)=0,10^6,INDEX(Properties!A$1:CB$87,Formula!B74,40)),IF(INDEX(Properties!A$1:CB$87,Formula!D74,40)=0,10^6,INDEX(Properties!A$1:CB$87,Formula!D74,40)),IF(INDEX(Properties!A$1:CB$87,Formula!F74,40)=0,10^6,INDEX(Properties!A$1:CB$87,Formula!F74,40)),IF(INDEX(Properties!A$1:CB$87,Formula!H74,40)=0,10^6,INDEX(Properties!A$1:CB$87,Formula!H74,40)),IF(INDEX(Properties!A$1:CB$87,Formula!J74,40)=0,10^6,INDEX(Properties!A$1:CB$87,Formula!J74,40)))</f>
        <v>0.73</v>
      </c>
      <c r="DW74" s="63">
        <f t="shared" si="52"/>
        <v>0.87000000000000011</v>
      </c>
      <c r="DX74" s="75">
        <f>((Formula!C74)/(Formula!C74+Formula!E74+Formula!G74+Formula!I74+Formula!K74))*(INDEX(Properties!A$1:CB$87,Formula!B74,41))+((Formula!E74)/(Formula!C74+Formula!E74+Formula!G74+Formula!I74+Formula!K74))*(INDEX(Properties!A$1:CB$87,Formula!D74,41))+((Formula!G74)/(Formula!C74+Formula!E74+Formula!G74+Formula!I74+Formula!K74))*(INDEX(Properties!A$1:CB$87,Formula!F74,41))+((Formula!I74)/(Formula!C74+Formula!E74+Formula!G74+Formula!I74+Formula!K74))*(INDEX(Properties!A$1:CB$87,Formula!H74,41))+((Formula!K74)/(Formula!C74+Formula!E74+Formula!G74+Formula!I74+Formula!K74))*(INDEX(Properties!A$1:CB$87,Formula!J74,41))</f>
        <v>1.1544444444444444</v>
      </c>
      <c r="DY74" s="75">
        <f>Formula!C74*(INDEX(Properties!A$1:CB$87,Formula!B74,41))+Formula!E74*(INDEX(Properties!A$1:CB$87,Formula!D74,41))+Formula!G74*(INDEX(Properties!A$1:CB$87,Formula!F74,41))+Formula!I74*(INDEX(Properties!A$1:CB$87,Formula!H74,41))+Formula!K74*(INDEX(Properties!A$1:CB$87,Formula!J74,41))</f>
        <v>10.39</v>
      </c>
      <c r="DZ74" s="75">
        <f>VARP(IF(INDEX(Properties!A$1:CB$87,Formula!B74,41)&lt;&gt;"",INDEX(Properties!A$1:CB$87,Formula!B74,41)),IF(INDEX(Properties!A$1:CB$87,Formula!D74,41)&lt;&gt;"",INDEX(Properties!A$1:CB$87,Formula!D74,41)),IF(INDEX(Properties!A$1:CB$87,Formula!F74,41)&lt;&gt;"",INDEX(Properties!A$1:CB$87,Formula!F74,41)),IF(INDEX(Properties!A$1:CB$87,Formula!H74,41)&lt;&gt;"",INDEX(Properties!A$1:CB$87,Formula!H74,41)),IF(INDEX(Properties!A$1:CB$87,Formula!J74,41)&lt;&gt;"",INDEX(Properties!A$1:CB$87,Formula!J74,41)))</f>
        <v>0.27337600000000001</v>
      </c>
      <c r="EA74" s="75">
        <f>MAX(INDEX(Properties!A$1:CB$87,Formula!B74,41),INDEX(Properties!A$1:CB$87,Formula!D74,41),INDEX(Properties!A$1:CB$87,Formula!F74,41),INDEX(Properties!A$1:CB$87,Formula!H74,41),INDEX(Properties!A$1:CB$87,Formula!J74,41))</f>
        <v>1.26</v>
      </c>
      <c r="EB74" s="75">
        <f>MIN(IF(INDEX(Properties!A$1:CB$87,Formula!B74,41)=0,10^6,INDEX(Properties!A$1:CB$87,Formula!B74,41)),IF(INDEX(Properties!A$1:CB$87,Formula!D74,41)=0,10^6,INDEX(Properties!A$1:CB$87,Formula!D74,41)),IF(INDEX(Properties!A$1:CB$87,Formula!F74,41)=0,10^6,INDEX(Properties!A$1:CB$87,Formula!F74,41)),IF(INDEX(Properties!A$1:CB$87,Formula!H74,41)=0,10^6,INDEX(Properties!A$1:CB$87,Formula!H74,41)),IF(INDEX(Properties!A$1:CB$87,Formula!J74,41)=0,10^6,INDEX(Properties!A$1:CB$87,Formula!J74,41)))</f>
        <v>0.83</v>
      </c>
      <c r="EC74" s="75">
        <f t="shared" si="53"/>
        <v>0.43000000000000005</v>
      </c>
      <c r="ED74" s="48">
        <f>((Formula!C74)/(Formula!C74+Formula!E74+Formula!G74+Formula!I74+Formula!K74))*(INDEX(Properties!A$1:CB$87,Formula!B74,45))+((Formula!E74)/(Formula!C74+Formula!E74+Formula!G74+Formula!I74+Formula!K74))*(INDEX(Properties!A$1:CB$87,Formula!D74,45))+((Formula!G74)/(Formula!C74+Formula!E74+Formula!G74+Formula!I74+Formula!K74))*(INDEX(Properties!A$1:CB$87,Formula!F74,45))+((Formula!I74)/(Formula!C74+Formula!E74+Formula!G74+Formula!I74+Formula!K74))*(INDEX(Properties!A$1:CB$87,Formula!H74,45))+((Formula!K74)/(Formula!C74+Formula!E74+Formula!G74+Formula!I74+Formula!K74))*(INDEX(Properties!A$1:CB$87,Formula!J74,45))</f>
        <v>1.3644444444444443</v>
      </c>
      <c r="EE74" s="48">
        <f>Formula!C74*(INDEX(Properties!A$1:CB$87,Formula!B74,45))+Formula!E74*(INDEX(Properties!A$1:CB$87,Formula!D74,45))+Formula!G74*(INDEX(Properties!A$1:CB$87,Formula!F74,45))+Formula!I74*(INDEX(Properties!A$1:CB$87,Formula!H74,45))+Formula!K74*(INDEX(Properties!A$1:CB$87,Formula!J74,45))</f>
        <v>12.280000000000001</v>
      </c>
      <c r="EF74" s="48">
        <f>VARP(IF(INDEX(Properties!A$1:CB$87,Formula!B74,45)&lt;&gt;"",INDEX(Properties!A$1:CB$87,Formula!B74,45)),IF(INDEX(Properties!A$1:CB$87,Formula!D74,45)&lt;&gt;"",INDEX(Properties!A$1:CB$87,Formula!D74,45)),IF(INDEX(Properties!A$1:CB$87,Formula!F74,45)&lt;&gt;"",INDEX(Properties!A$1:CB$87,Formula!F74,45)),IF(INDEX(Properties!A$1:CB$87,Formula!H74,45)&lt;&gt;"",INDEX(Properties!A$1:CB$87,Formula!H74,45)),IF(INDEX(Properties!A$1:CB$87,Formula!J74,45)&lt;&gt;"",INDEX(Properties!A$1:CB$87,Formula!J74,45)))</f>
        <v>2.0738960000000008</v>
      </c>
      <c r="EG74" s="48">
        <f>MAX(INDEX(Properties!A$1:CB$87,Formula!B74,45),INDEX(Properties!A$1:CB$87,Formula!D74,45),INDEX(Properties!A$1:CB$87,Formula!F74,45),INDEX(Properties!A$1:CB$87,Formula!H74,45),INDEX(Properties!A$1:CB$87,Formula!J74,45))</f>
        <v>3.37</v>
      </c>
      <c r="EH74" s="48">
        <f>MIN(IF(INDEX(Properties!A$1:CB$87,Formula!B74,45)=0,10^6,INDEX(Properties!A$1:CB$87,Formula!B74,45)),IF(INDEX(Properties!A$1:CB$87,Formula!D74,45)=0,10^6,INDEX(Properties!A$1:CB$87,Formula!D74,45)),IF(INDEX(Properties!A$1:CB$87,Formula!F74,45)=0,10^6,INDEX(Properties!A$1:CB$87,Formula!F74,45)),IF(INDEX(Properties!A$1:CB$87,Formula!H74,45)=0,10^6,INDEX(Properties!A$1:CB$87,Formula!H74,45)),IF(INDEX(Properties!A$1:CB$87,Formula!J74,45)=0,10^6,INDEX(Properties!A$1:CB$87,Formula!J74,45)))</f>
        <v>0.47</v>
      </c>
      <c r="EI74" s="48">
        <f t="shared" si="54"/>
        <v>2.9000000000000004</v>
      </c>
      <c r="EJ74" s="66">
        <f>((Formula!C74)/(Formula!C74+Formula!E74+Formula!G74+Formula!I74+Formula!K74))*(INDEX(Properties!A$1:CB$87,Formula!B74,46))+((Formula!E74)/(Formula!C74+Formula!E74+Formula!G74+Formula!I74+Formula!K74))*(INDEX(Properties!A$1:CB$87,Formula!D74,46))+((Formula!G74)/(Formula!C74+Formula!E74+Formula!G74+Formula!I74+Formula!K74))*(INDEX(Properties!A$1:CB$87,Formula!F74,46))+((Formula!I74)/(Formula!C74+Formula!E74+Formula!G74+Formula!I74+Formula!K74))*(INDEX(Properties!A$1:CB$87,Formula!H74,46))+((Formula!K74)/(Formula!C74+Formula!E74+Formula!G74+Formula!I74+Formula!K74))*(INDEX(Properties!A$1:CB$87,Formula!J74,46))</f>
        <v>1.1166666666666667</v>
      </c>
      <c r="EK74" s="66">
        <f>Formula!C74*(INDEX(Properties!A$1:CB$87,Formula!B74,46))+Formula!E74*(INDEX(Properties!A$1:CB$87,Formula!D74,46))+Formula!G74*(INDEX(Properties!A$1:CB$87,Formula!F74,46))+Formula!I74*(INDEX(Properties!A$1:CB$87,Formula!H74,46))+Formula!K74*(INDEX(Properties!A$1:CB$87,Formula!J74,46))</f>
        <v>10.050000000000001</v>
      </c>
      <c r="EL74" s="66">
        <f>VARP(IF(INDEX(Properties!A$1:CB$87,Formula!B74,46)&lt;&gt;"",INDEX(Properties!A$1:CB$87,Formula!B74,46)),IF(INDEX(Properties!A$1:CB$87,Formula!D74,46)&lt;&gt;"",INDEX(Properties!A$1:CB$87,Formula!D74,46)),IF(INDEX(Properties!A$1:CB$87,Formula!F74,46)&lt;&gt;"",INDEX(Properties!A$1:CB$87,Formula!F74,46)),IF(INDEX(Properties!A$1:CB$87,Formula!H74,46)&lt;&gt;"",INDEX(Properties!A$1:CB$87,Formula!H74,46)),IF(INDEX(Properties!A$1:CB$87,Formula!J74,46)&lt;&gt;"",INDEX(Properties!A$1:CB$87,Formula!J74,46)))</f>
        <v>0.25764000000000004</v>
      </c>
      <c r="EM74" s="66">
        <f>MAX(INDEX(Properties!A$1:CB$87,Formula!B74,46),INDEX(Properties!A$1:CB$87,Formula!D74,46),INDEX(Properties!A$1:CB$87,Formula!F74,46),INDEX(Properties!A$1:CB$87,Formula!H74,46),INDEX(Properties!A$1:CB$87,Formula!J74,46))</f>
        <v>1.21</v>
      </c>
      <c r="EN74" s="66">
        <f>MIN(IF(INDEX(Properties!A$1:CB$87,Formula!B74,46)=0,10^6,INDEX(Properties!A$1:CB$87,Formula!B74,46)),IF(INDEX(Properties!A$1:CB$87,Formula!D74,46)=0,10^6,INDEX(Properties!A$1:CB$87,Formula!D74,46)),IF(INDEX(Properties!A$1:CB$87,Formula!F74,46)=0,10^6,INDEX(Properties!A$1:CB$87,Formula!F74,46)),IF(INDEX(Properties!A$1:CB$87,Formula!H74,46)=0,10^6,INDEX(Properties!A$1:CB$87,Formula!H74,46)),IF(INDEX(Properties!A$1:CB$87,Formula!J74,46)=0,10^6,INDEX(Properties!A$1:CB$87,Formula!J74,46)))</f>
        <v>0.79</v>
      </c>
      <c r="EO74" s="66">
        <f t="shared" si="55"/>
        <v>0.41999999999999993</v>
      </c>
      <c r="EP74" s="81">
        <f>((Formula!C74)/(Formula!C74+Formula!E74+Formula!G74+Formula!I74+Formula!K74))*(INDEX(Properties!A$1:CB$87,Formula!B74,52))+((Formula!E74)/(Formula!C74+Formula!E74+Formula!G74+Formula!I74+Formula!K74))*(INDEX(Properties!A$1:CB$87,Formula!D74,52))+((Formula!G74)/(Formula!C74+Formula!E74+Formula!G74+Formula!I74+Formula!K74))*(INDEX(Properties!A$1:CB$87,Formula!F74,52))+((Formula!I74)/(Formula!C74+Formula!E74+Formula!G74+Formula!I74+Formula!K74))*(INDEX(Properties!A$1:CB$87,Formula!H74,52))+((Formula!K74)/(Formula!C74+Formula!E74+Formula!G74+Formula!I74+Formula!K74))*(INDEX(Properties!A$1:CB$87,Formula!J74,52))</f>
        <v>6.8175555555555558</v>
      </c>
      <c r="EQ74" s="81">
        <f>Formula!C74*(INDEX(Properties!A$1:CB$87,Formula!B74,52))+Formula!E74*(INDEX(Properties!A$1:CB$87,Formula!D74,52))+Formula!G74*(INDEX(Properties!A$1:CB$87,Formula!F74,52))+Formula!I74*(INDEX(Properties!A$1:CB$87,Formula!H74,52))+Formula!K74*(INDEX(Properties!A$1:CB$87,Formula!J74,52))</f>
        <v>61.357999999999997</v>
      </c>
      <c r="ER74" s="81">
        <f>VARP(IF(INDEX(Properties!A$1:CB$87,Formula!B74,52)&lt;&gt;"",INDEX(Properties!A$1:CB$87,Formula!B74,52)),IF(INDEX(Properties!A$1:CB$87,Formula!D74,52)&lt;&gt;"",INDEX(Properties!A$1:CB$87,Formula!D74,52)),IF(INDEX(Properties!A$1:CB$87,Formula!F74,52)&lt;&gt;"",INDEX(Properties!A$1:CB$87,Formula!F74,52)),IF(INDEX(Properties!A$1:CB$87,Formula!H74,52)&lt;&gt;"",INDEX(Properties!A$1:CB$87,Formula!H74,52)),IF(INDEX(Properties!A$1:CB$87,Formula!J74,52)&lt;&gt;"",INDEX(Properties!A$1:CB$87,Formula!J74,52)))</f>
        <v>78.425647839999996</v>
      </c>
      <c r="ES74" s="81">
        <f>MAX(INDEX(Properties!A$1:CB$87,Formula!B74,52),INDEX(Properties!A$1:CB$87,Formula!D74,52),INDEX(Properties!A$1:CB$87,Formula!F74,52),INDEX(Properties!A$1:CB$87,Formula!H74,52),INDEX(Properties!A$1:CB$87,Formula!J74,52))</f>
        <v>21.9</v>
      </c>
      <c r="ET74" s="81">
        <f>MIN(IF(INDEX(Properties!A$1:CB$87,Formula!B74,52)=0,10^6,INDEX(Properties!A$1:CB$87,Formula!B74,52)),IF(INDEX(Properties!A$1:CB$87,Formula!D74,52)=0,10^6,INDEX(Properties!A$1:CB$87,Formula!D74,52)),IF(INDEX(Properties!A$1:CB$87,Formula!F74,52)=0,10^6,INDEX(Properties!A$1:CB$87,Formula!F74,52)),IF(INDEX(Properties!A$1:CB$87,Formula!H74,52)=0,10^6,INDEX(Properties!A$1:CB$87,Formula!H74,52)),IF(INDEX(Properties!A$1:CB$87,Formula!J74,52)=0,10^6,INDEX(Properties!A$1:CB$87,Formula!J74,52)))</f>
        <v>0.79300000000000004</v>
      </c>
      <c r="EU74" s="81">
        <f t="shared" si="56"/>
        <v>21.106999999999999</v>
      </c>
      <c r="EV74" s="39">
        <f>((Formula!C74)/(Formula!C74+Formula!E74+Formula!G74+Formula!I74+Formula!K74))*(INDEX(Properties!A$1:CB$87,Formula!B74,53))+((Formula!E74)/(Formula!C74+Formula!E74+Formula!G74+Formula!I74+Formula!K74))*(INDEX(Properties!A$1:CB$87,Formula!D74,53))+((Formula!G74)/(Formula!C74+Formula!E74+Formula!G74+Formula!I74+Formula!K74))*(INDEX(Properties!A$1:CB$87,Formula!F74,53))+((Formula!I74)/(Formula!C74+Formula!E74+Formula!G74+Formula!I74+Formula!K74))*(INDEX(Properties!A$1:CB$87,Formula!H74,53))+((Formula!K74)/(Formula!C74+Formula!E74+Formula!G74+Formula!I74+Formula!K74))*(INDEX(Properties!A$1:CB$87,Formula!J74,53))</f>
        <v>787.88333333333333</v>
      </c>
      <c r="EW74" s="39">
        <f>Formula!C74*(INDEX(Properties!A$1:CB$87,Formula!B74,53))+Formula!E74*(INDEX(Properties!A$1:CB$87,Formula!D74,53))+Formula!G74*(INDEX(Properties!A$1:CB$87,Formula!F74,53))+Formula!I74*(INDEX(Properties!A$1:CB$87,Formula!H74,53))+Formula!K74*(INDEX(Properties!A$1:CB$87,Formula!J74,53))</f>
        <v>7090.9500000000007</v>
      </c>
      <c r="EX74" s="39">
        <f>VARP(IF(INDEX(Properties!A$1:CB$87,Formula!B74,53)&lt;&gt;"",INDEX(Properties!A$1:CB$87,Formula!B74,53)),IF(INDEX(Properties!A$1:CB$87,Formula!D74,53)&lt;&gt;"",INDEX(Properties!A$1:CB$87,Formula!D74,53)),IF(INDEX(Properties!A$1:CB$87,Formula!F74,53)&lt;&gt;"",INDEX(Properties!A$1:CB$87,Formula!F74,53)),IF(INDEX(Properties!A$1:CB$87,Formula!H74,53)&lt;&gt;"",INDEX(Properties!A$1:CB$87,Formula!H74,53)),IF(INDEX(Properties!A$1:CB$87,Formula!J74,53)&lt;&gt;"",INDEX(Properties!A$1:CB$87,Formula!J74,53)))</f>
        <v>1467942.3174000001</v>
      </c>
      <c r="EY74" s="39">
        <f>MAX(INDEX(Properties!A$1:CB$87,Formula!B74,53),INDEX(Properties!A$1:CB$87,Formula!D74,53),INDEX(Properties!A$1:CB$87,Formula!F74,53),INDEX(Properties!A$1:CB$87,Formula!H74,53),INDEX(Properties!A$1:CB$87,Formula!J74,53))</f>
        <v>2890.15</v>
      </c>
      <c r="EZ74" s="39">
        <f>MIN(IF(INDEX(Properties!A$1:CB$87,Formula!B74,53)=0,10^6,INDEX(Properties!A$1:CB$87,Formula!B74,53)),IF(INDEX(Properties!A$1:CB$87,Formula!D74,53)=0,10^6,INDEX(Properties!A$1:CB$87,Formula!D74,53)),IF(INDEX(Properties!A$1:CB$87,Formula!F74,53)=0,10^6,INDEX(Properties!A$1:CB$87,Formula!F74,53)),IF(INDEX(Properties!A$1:CB$87,Formula!H74,53)=0,10^6,INDEX(Properties!A$1:CB$87,Formula!H74,53)),IF(INDEX(Properties!A$1:CB$87,Formula!J74,53)=0,10^6,INDEX(Properties!A$1:CB$87,Formula!J74,53)))</f>
        <v>54.749999999999972</v>
      </c>
      <c r="FA74" s="39">
        <f t="shared" si="57"/>
        <v>2835.4</v>
      </c>
      <c r="FB74" s="54">
        <f>((Formula!C74)/(Formula!C74+Formula!E74+Formula!G74+Formula!I74+Formula!K74))*(INDEX(Properties!A$1:CB$87,Formula!B74,54))+((Formula!E74)/(Formula!C74+Formula!E74+Formula!G74+Formula!I74+Formula!K74))*(INDEX(Properties!A$1:CB$87,Formula!D74,54))+((Formula!G74)/(Formula!C74+Formula!E74+Formula!G74+Formula!I74+Formula!K74))*(INDEX(Properties!A$1:CB$87,Formula!F74,54))+((Formula!I74)/(Formula!C74+Formula!E74+Formula!G74+Formula!I74+Formula!K74))*(INDEX(Properties!A$1:CB$87,Formula!H74,54))+((Formula!K74)/(Formula!C74+Formula!E74+Formula!G74+Formula!I74+Formula!K74))*(INDEX(Properties!A$1:CB$87,Formula!J74,54))</f>
        <v>1419.5944444444442</v>
      </c>
      <c r="FC74" s="54">
        <f>Formula!C74*(INDEX(Properties!A$1:CB$87,Formula!B74,54))+Formula!E74*(INDEX(Properties!A$1:CB$87,Formula!D74,54))+Formula!G74*(INDEX(Properties!A$1:CB$87,Formula!F74,54))+Formula!I74*(INDEX(Properties!A$1:CB$87,Formula!H74,54))+Formula!K74*(INDEX(Properties!A$1:CB$87,Formula!J74,54))</f>
        <v>12776.35</v>
      </c>
      <c r="FD74" s="54">
        <f>VARP(IF(INDEX(Properties!A$1:CB$87,Formula!B74,54)&lt;&gt;"",INDEX(Properties!A$1:CB$87,Formula!B74,54)),IF(INDEX(Properties!A$1:CB$87,Formula!D74,54)&lt;&gt;"",INDEX(Properties!A$1:CB$87,Formula!D74,54)),IF(INDEX(Properties!A$1:CB$87,Formula!F74,54)&lt;&gt;"",INDEX(Properties!A$1:CB$87,Formula!F74,54)),IF(INDEX(Properties!A$1:CB$87,Formula!H74,54)&lt;&gt;"",INDEX(Properties!A$1:CB$87,Formula!H74,54)),IF(INDEX(Properties!A$1:CB$87,Formula!J74,54)&lt;&gt;"",INDEX(Properties!A$1:CB$87,Formula!J74,54)))</f>
        <v>4482697.6054000007</v>
      </c>
      <c r="FE74" s="54">
        <f>MAX(INDEX(Properties!A$1:CB$87,Formula!B74,54),INDEX(Properties!A$1:CB$87,Formula!D74,54),INDEX(Properties!A$1:CB$87,Formula!F74,54),INDEX(Properties!A$1:CB$87,Formula!H74,54),INDEX(Properties!A$1:CB$87,Formula!J74,54))</f>
        <v>4885.1499999999996</v>
      </c>
      <c r="FF74" s="54">
        <f>MIN(IF(INDEX(Properties!A$1:CB$87,Formula!B74,54)=0,10^6,INDEX(Properties!A$1:CB$87,Formula!B74,54)),IF(INDEX(Properties!A$1:CB$87,Formula!D74,54)=0,10^6,INDEX(Properties!A$1:CB$87,Formula!D74,54)),IF(INDEX(Properties!A$1:CB$87,Formula!F74,54)=0,10^6,INDEX(Properties!A$1:CB$87,Formula!F74,54)),IF(INDEX(Properties!A$1:CB$87,Formula!H74,54)=0,10^6,INDEX(Properties!A$1:CB$87,Formula!H74,54)),IF(INDEX(Properties!A$1:CB$87,Formula!J74,54)=0,10^6,INDEX(Properties!A$1:CB$87,Formula!J74,54)))</f>
        <v>90.149999999999977</v>
      </c>
      <c r="FG74" s="54">
        <f t="shared" si="58"/>
        <v>4795</v>
      </c>
      <c r="FH74" s="69">
        <f>((Formula!C74)/(Formula!C74+Formula!E74+Formula!G74+Formula!I74+Formula!K74))*(INDEX(Properties!A$1:CB$87,Formula!B74,55))+((Formula!E74)/(Formula!C74+Formula!E74+Formula!G74+Formula!I74+Formula!K74))*(INDEX(Properties!A$1:CB$87,Formula!D74,55))+((Formula!G74)/(Formula!C74+Formula!E74+Formula!G74+Formula!I74+Formula!K74))*(INDEX(Properties!A$1:CB$87,Formula!F74,55))+((Formula!I74)/(Formula!C74+Formula!E74+Formula!G74+Formula!I74+Formula!K74))*(INDEX(Properties!A$1:CB$87,Formula!H74,55))+((Formula!K74)/(Formula!C74+Formula!E74+Formula!G74+Formula!I74+Formula!K74))*(INDEX(Properties!A$1:CB$87,Formula!J74,55))</f>
        <v>3.3209533333333328</v>
      </c>
      <c r="FI74" s="69">
        <f>Formula!C74*(INDEX(Properties!A$1:CB$87,Formula!B74,55))+Formula!E74*(INDEX(Properties!A$1:CB$87,Formula!D74,54))+Formula!G74*(INDEX(Properties!A$1:CB$87,Formula!F74,55))+Formula!I74*(INDEX(Properties!A$1:CB$87,Formula!H74,55))+Formula!K74*(INDEX(Properties!A$1:CB$87,Formula!J74,55))</f>
        <v>4904.8385799999996</v>
      </c>
      <c r="FJ74" s="69">
        <f>VARP(IF(INDEX(Properties!A$1:CB$87,Formula!B74,55)&lt;&gt;"",INDEX(Properties!A$1:CB$87,Formula!B74,55)),IF(INDEX(Properties!A$1:CB$87,Formula!D74,55)&lt;&gt;"",INDEX(Properties!A$1:CB$87,Formula!D74,55)),IF(INDEX(Properties!A$1:CB$87,Formula!F74,55)&lt;&gt;"",INDEX(Properties!A$1:CB$87,Formula!F74,55)),IF(INDEX(Properties!A$1:CB$87,Formula!H74,55)&lt;&gt;"",INDEX(Properties!A$1:CB$87,Formula!H74,55)),IF(INDEX(Properties!A$1:CB$87,Formula!J74,55)&lt;&gt;"",INDEX(Properties!A$1:CB$87,Formula!J74,55)))</f>
        <v>24.106763751183998</v>
      </c>
      <c r="FK74" s="69">
        <f>MAX(INDEX(Properties!A$1:CB$87,Formula!B74,55),INDEX(Properties!A$1:CB$87,Formula!D74,55),INDEX(Properties!A$1:CB$87,Formula!F74,55),INDEX(Properties!A$1:CB$87,Formula!H74,55),INDEX(Properties!A$1:CB$87,Formula!J74,55))</f>
        <v>10.199999999999999</v>
      </c>
      <c r="FL74" s="69">
        <f>MIN(IF(INDEX(Properties!A$1:CB$87,Formula!B74,55)=0,10^6,INDEX(Properties!A$1:CB$87,Formula!B74,55)),IF(INDEX(Properties!A$1:CB$87,Formula!D74,55)=0,10^6,INDEX(Properties!A$1:CB$87,Formula!D74,55)),IF(INDEX(Properties!A$1:CB$87,Formula!F74,55)=0,10^6,INDEX(Properties!A$1:CB$87,Formula!F74,55)),IF(INDEX(Properties!A$1:CB$87,Formula!H74,55)=0,10^6,INDEX(Properties!A$1:CB$87,Formula!H74,55)),IF(INDEX(Properties!A$1:CB$87,Formula!J74,55)=0,10^6,INDEX(Properties!A$1:CB$87,Formula!J74,55)))</f>
        <v>1.4300000000000001E-3</v>
      </c>
      <c r="FM74" s="69">
        <f t="shared" si="59"/>
        <v>10.19857</v>
      </c>
      <c r="FN74" s="42">
        <f>((Formula!C74)/(Formula!C74+Formula!E74+Formula!G74+Formula!I74+Formula!K74))*(INDEX(Properties!A$1:CB$87,Formula!B74,56))+((Formula!E74)/(Formula!C74+Formula!E74+Formula!G74+Formula!I74+Formula!K74))*(INDEX(Properties!A$1:CB$87,Formula!D74,56))+((Formula!G74)/(Formula!C74+Formula!E74+Formula!G74+Formula!I74+Formula!K74))*(INDEX(Properties!A$1:CB$87,Formula!F74,56))+((Formula!I74)/(Formula!C74+Formula!E74+Formula!G74+Formula!I74+Formula!K74))*(INDEX(Properties!A$1:CB$87,Formula!H74,56))+((Formula!K74)/(Formula!C74+Formula!E74+Formula!G74+Formula!I74+Formula!K74))*(INDEX(Properties!A$1:CB$87,Formula!J74,56))</f>
        <v>0.6744444444444444</v>
      </c>
      <c r="FO74" s="42">
        <f>Formula!C74*(INDEX(Properties!A$1:CB$87,Formula!B74,56))+Formula!E74*(INDEX(Properties!A$1:CB$87,Formula!D74,56))+Formula!G74*(INDEX(Properties!A$1:CB$87,Formula!F74,56))+Formula!I74*(INDEX(Properties!A$1:CB$87,Formula!H74,56))+Formula!K74*(INDEX(Properties!A$1:CB$87,Formula!J74,56))</f>
        <v>6.07</v>
      </c>
      <c r="FP74" s="42">
        <f>VARP(IF(INDEX(Properties!A$1:CB$87,Formula!B74,56)&lt;&gt;"",INDEX(Properties!A$1:CB$87,Formula!B74,56)),IF(INDEX(Properties!A$1:CB$87,Formula!D74,56)&lt;&gt;"",INDEX(Properties!A$1:CB$87,Formula!D74,56)),IF(INDEX(Properties!A$1:CB$87,Formula!F74,56)&lt;&gt;"",INDEX(Properties!A$1:CB$87,Formula!F74,56)),IF(INDEX(Properties!A$1:CB$87,Formula!H74,56)&lt;&gt;"",INDEX(Properties!A$1:CB$87,Formula!H74,56)),IF(INDEX(Properties!A$1:CB$87,Formula!J74,56)&lt;&gt;"",INDEX(Properties!A$1:CB$87,Formula!J74,56)))</f>
        <v>0.11658400000000001</v>
      </c>
      <c r="FQ74" s="42">
        <f>MAX(INDEX(Properties!A$1:CB$87,Formula!B74,56),INDEX(Properties!A$1:CB$87,Formula!D74,56),INDEX(Properties!A$1:CB$87,Formula!F74,56),INDEX(Properties!A$1:CB$87,Formula!H74,56),INDEX(Properties!A$1:CB$87,Formula!J74,56))</f>
        <v>0.92</v>
      </c>
      <c r="FR74" s="42">
        <f>MIN(IF(INDEX(Properties!A$1:CB$87,Formula!B74,56)=0,10^6,INDEX(Properties!A$1:CB$87,Formula!B74,56)),IF(INDEX(Properties!A$1:CB$87,Formula!D74,56)=0,10^6,INDEX(Properties!A$1:CB$87,Formula!D74,56)),IF(INDEX(Properties!A$1:CB$87,Formula!F74,56)=0,10^6,INDEX(Properties!A$1:CB$87,Formula!F74,56)),IF(INDEX(Properties!A$1:CB$87,Formula!H74,56)=0,10^6,INDEX(Properties!A$1:CB$87,Formula!H74,56)),IF(INDEX(Properties!A$1:CB$87,Formula!J74,56)=0,10^6,INDEX(Properties!A$1:CB$87,Formula!J74,56)))</f>
        <v>0.15</v>
      </c>
      <c r="FS74" s="42">
        <f t="shared" si="60"/>
        <v>0.77</v>
      </c>
      <c r="FT74" s="60">
        <f>((Formula!C74)/(Formula!C74+Formula!E74+Formula!G74+Formula!I74+Formula!K74))*(INDEX(Properties!A$1:CB$87,Formula!B74,57))+((Formula!E74)/(Formula!C74+Formula!E74+Formula!G74+Formula!I74+Formula!K74))*(INDEX(Properties!A$1:CB$87,Formula!D74,57))+((Formula!G74)/(Formula!C74+Formula!E74+Formula!G74+Formula!I74+Formula!K74))*(INDEX(Properties!A$1:CB$87,Formula!F74,57))+((Formula!I74)/(Formula!C74+Formula!E74+Formula!G74+Formula!I74+Formula!K74))*(INDEX(Properties!A$1:CB$87,Formula!H74,57))+((Formula!K74)/(Formula!C74+Formula!E74+Formula!G74+Formula!I74+Formula!K74))*(INDEX(Properties!A$1:CB$87,Formula!J74,57))</f>
        <v>7.837282222222222</v>
      </c>
      <c r="FU74" s="60">
        <f>Formula!C74*(INDEX(Properties!A$1:CB$87,Formula!B74,57))+Formula!E74*(INDEX(Properties!A$1:CB$87,Formula!D74,57))+Formula!G74*(INDEX(Properties!A$1:CB$87,Formula!F74,57))+Formula!I74*(INDEX(Properties!A$1:CB$87,Formula!H74,57))+Formula!K74*(INDEX(Properties!A$1:CB$87,Formula!J74,57))</f>
        <v>70.535539999999997</v>
      </c>
      <c r="FV74" s="60">
        <f>VARP(IF(INDEX(Properties!A$1:CB$87,Formula!B74,57)&lt;&gt;"",INDEX(Properties!A$1:CB$87,Formula!B74,57)),IF(INDEX(Properties!A$1:CB$87,Formula!D74,57)&lt;&gt;"",INDEX(Properties!A$1:CB$87,Formula!D74,57)),IF(INDEX(Properties!A$1:CB$87,Formula!F74,57)&lt;&gt;"",INDEX(Properties!A$1:CB$87,Formula!F74,57)),IF(INDEX(Properties!A$1:CB$87,Formula!H74,57)&lt;&gt;"",INDEX(Properties!A$1:CB$87,Formula!H74,57)),IF(INDEX(Properties!A$1:CB$87,Formula!J74,57)&lt;&gt;"",INDEX(Properties!A$1:CB$87,Formula!J74,57)))</f>
        <v>170.68448308929598</v>
      </c>
      <c r="FW74" s="60">
        <f>MAX(INDEX(Properties!A$1:CB$87,Formula!B74,57),INDEX(Properties!A$1:CB$87,Formula!D74,57),INDEX(Properties!A$1:CB$87,Formula!F74,57),INDEX(Properties!A$1:CB$87,Formula!H74,57),INDEX(Properties!A$1:CB$87,Formula!J74,57))</f>
        <v>32</v>
      </c>
      <c r="FX74" s="60">
        <f>MIN(IF(INDEX(Properties!A$1:CB$87,Formula!B74,57)=0,10^6,INDEX(Properties!A$1:CB$87,Formula!B74,57)),IF(INDEX(Properties!A$1:CB$87,Formula!D74,57)=0,10^6,INDEX(Properties!A$1:CB$87,Formula!D74,57)),IF(INDEX(Properties!A$1:CB$87,Formula!F74,57)=0,10^6,INDEX(Properties!A$1:CB$87,Formula!F74,57)),IF(INDEX(Properties!A$1:CB$87,Formula!H74,57)=0,10^6,INDEX(Properties!A$1:CB$87,Formula!H74,57)),IF(INDEX(Properties!A$1:CB$87,Formula!J74,57)=0,10^6,INDEX(Properties!A$1:CB$87,Formula!J74,57)))</f>
        <v>0.22259000000000001</v>
      </c>
      <c r="FY74" s="60">
        <f t="shared" si="61"/>
        <v>31.77741</v>
      </c>
      <c r="FZ74" s="72">
        <f>((Formula!C74)/(Formula!C74+Formula!E74+Formula!G74+Formula!I74+Formula!K74))*(INDEX(Properties!A$1:CB$87,Formula!B74,60))+((Formula!E74)/(Formula!C74+Formula!E74+Formula!G74+Formula!I74+Formula!K74))*(INDEX(Properties!A$1:CB$87,Formula!D74,60))+((Formula!G74)/(Formula!C74+Formula!E74+Formula!G74+Formula!I74+Formula!K74))*(INDEX(Properties!A$1:CB$87,Formula!F74,60))+((Formula!I74)/(Formula!C74+Formula!E74+Formula!G74+Formula!I74+Formula!K74))*(INDEX(Properties!A$1:CB$87,Formula!H74,60))+((Formula!K74)/(Formula!C74+Formula!E74+Formula!G74+Formula!I74+Formula!K74))*(INDEX(Properties!A$1:CB$87,Formula!J74,60))</f>
        <v>18.995604444444442</v>
      </c>
      <c r="GA74" s="72">
        <f>Formula!C74*(INDEX(Properties!A$1:CB$87,Formula!B74,60))+Formula!E74*(INDEX(Properties!A$1:CB$87,Formula!D74,60))+Formula!G74*(INDEX(Properties!A$1:CB$87,Formula!F74,60))+Formula!I74*(INDEX(Properties!A$1:CB$87,Formula!H74,60))+Formula!K74*(INDEX(Properties!A$1:CB$87,Formula!J74,60))</f>
        <v>170.96044000000001</v>
      </c>
      <c r="GB74" s="72">
        <f>VARP(IF(INDEX(Properties!A$1:CB$87,Formula!B74,60)&lt;&gt;"",INDEX(Properties!A$1:CB$87,Formula!B74,60)),IF(INDEX(Properties!A$1:CB$87,Formula!D74,60)&lt;&gt;"",INDEX(Properties!A$1:CB$87,Formula!D74,60)),IF(INDEX(Properties!A$1:CB$87,Formula!F74,60)&lt;&gt;"",INDEX(Properties!A$1:CB$87,Formula!F74,60)),IF(INDEX(Properties!A$1:CB$87,Formula!H74,60)&lt;&gt;"",INDEX(Properties!A$1:CB$87,Formula!H74,60)),IF(INDEX(Properties!A$1:CB$87,Formula!J74,60)&lt;&gt;"",INDEX(Properties!A$1:CB$87,Formula!J74,60)))</f>
        <v>2908.687421924416</v>
      </c>
      <c r="GC74" s="72">
        <f>MAX(INDEX(Properties!A$1:CB$87,Formula!B74,60),INDEX(Properties!A$1:CB$87,Formula!D74,60),INDEX(Properties!A$1:CB$87,Formula!F74,60),INDEX(Properties!A$1:CB$87,Formula!H74,60),INDEX(Properties!A$1:CB$87,Formula!J74,60))</f>
        <v>138</v>
      </c>
      <c r="GD74" s="72">
        <f>MIN(IF(INDEX(Properties!A$1:CB$87,Formula!B74,60)=0,10^6,INDEX(Properties!A$1:CB$87,Formula!B74,60)),IF(INDEX(Properties!A$1:CB$87,Formula!D74,60)=0,10^6,INDEX(Properties!A$1:CB$87,Formula!D74,60)),IF(INDEX(Properties!A$1:CB$87,Formula!F74,60)=0,10^6,INDEX(Properties!A$1:CB$87,Formula!F74,60)),IF(INDEX(Properties!A$1:CB$87,Formula!H74,60)=0,10^6,INDEX(Properties!A$1:CB$87,Formula!H74,60)),IF(INDEX(Properties!A$1:CB$87,Formula!J74,60)=0,10^6,INDEX(Properties!A$1:CB$87,Formula!J74,60)))</f>
        <v>2.674E-2</v>
      </c>
      <c r="GE74" s="72">
        <f t="shared" si="62"/>
        <v>137.97326000000001</v>
      </c>
      <c r="GF74" s="51">
        <f>((Formula!C74)/(Formula!C74+Formula!E74+Formula!G74+Formula!I74+Formula!K74))*(INDEX(Properties!A$1:CB$87,Formula!B74,62))+((Formula!E74)/(Formula!C74+Formula!E74+Formula!G74+Formula!I74+Formula!K74))*(INDEX(Properties!A$1:CB$87,Formula!D74,62))+((Formula!G74)/(Formula!C74+Formula!E74+Formula!G74+Formula!I74+Formula!K74))*(INDEX(Properties!A$1:CB$87,Formula!F74,62))+((Formula!I74)/(Formula!C74+Formula!E74+Formula!G74+Formula!I74+Formula!K74))*(INDEX(Properties!A$1:CB$87,Formula!H74,62))+((Formula!K74)/(Formula!C74+Formula!E74+Formula!G74+Formula!I74+Formula!K74))*(INDEX(Properties!A$1:CB$87,Formula!J74,62))</f>
        <v>3.4888888888888889</v>
      </c>
      <c r="GG74" s="51">
        <f>Formula!C74*(INDEX(Properties!A$1:CB$87,Formula!B74,62))+Formula!E74*(INDEX(Properties!A$1:CB$87,Formula!D74,62))+Formula!G74*(INDEX(Properties!A$1:CB$87,Formula!F74,62))+Formula!I74*(INDEX(Properties!A$1:CB$87,Formula!H74,62))+Formula!K74*(INDEX(Properties!A$1:CB$87,Formula!J74,62))</f>
        <v>31.4</v>
      </c>
      <c r="GH74" s="51">
        <f>VARP(IF(INDEX(Properties!A$1:CB$87,Formula!B74,62)&lt;&gt;"",INDEX(Properties!A$1:CB$87,Formula!B74,62)),IF(INDEX(Properties!A$1:CB$87,Formula!D74,62)&lt;&gt;"",INDEX(Properties!A$1:CB$87,Formula!D74,62)),IF(INDEX(Properties!A$1:CB$87,Formula!F74,62)&lt;&gt;"",INDEX(Properties!A$1:CB$87,Formula!F74,62)),IF(INDEX(Properties!A$1:CB$87,Formula!H74,62)&lt;&gt;"",INDEX(Properties!A$1:CB$87,Formula!H74,62)),IF(INDEX(Properties!A$1:CB$87,Formula!J74,62)&lt;&gt;"",INDEX(Properties!A$1:CB$87,Formula!J74,62)))</f>
        <v>6.9052640000000016</v>
      </c>
      <c r="GI74" s="51">
        <f>MAX(INDEX(Properties!A$1:CB$87,Formula!B74,62),INDEX(Properties!A$1:CB$87,Formula!D74,62),INDEX(Properties!A$1:CB$87,Formula!F74,62),INDEX(Properties!A$1:CB$87,Formula!H74,62),INDEX(Properties!A$1:CB$87,Formula!J74,62))</f>
        <v>6.82</v>
      </c>
      <c r="GJ74" s="51">
        <f>MIN(IF(INDEX(Properties!A$1:CB$87,Formula!B74,62)=0,10^6,INDEX(Properties!A$1:CB$87,Formula!B74,62)),IF(INDEX(Properties!A$1:CB$87,Formula!D74,62)=0,10^6,INDEX(Properties!A$1:CB$87,Formula!D74,62)),IF(INDEX(Properties!A$1:CB$87,Formula!F74,62)=0,10^6,INDEX(Properties!A$1:CB$87,Formula!F74,62)),IF(INDEX(Properties!A$1:CB$87,Formula!H74,62)=0,10^6,INDEX(Properties!A$1:CB$87,Formula!H74,62)),IF(INDEX(Properties!A$1:CB$87,Formula!J74,62)=0,10^6,INDEX(Properties!A$1:CB$87,Formula!J74,62)))</f>
        <v>2.62</v>
      </c>
      <c r="GK74" s="51">
        <f t="shared" si="63"/>
        <v>4.2</v>
      </c>
      <c r="GL74" s="51">
        <f>Formula!P74</f>
        <v>15</v>
      </c>
      <c r="GM74" s="57">
        <f>Formula!O74</f>
        <v>2</v>
      </c>
      <c r="GN74" s="51">
        <f>Formula!N74</f>
        <v>0.1</v>
      </c>
    </row>
    <row r="75" spans="1:196" x14ac:dyDescent="0.3">
      <c r="A75" s="84" t="str">
        <f>Formula!A75</f>
        <v>Na3Bi5(PO4)6</v>
      </c>
      <c r="B75" s="89">
        <f>((Formula!C75)/(Formula!C75+Formula!E75+Formula!G75+Formula!I75+Formula!K75))*(INDEX(Properties!A$1:CB$87,Formula!B75,3))+((Formula!E75)/(Formula!C75+Formula!E75+Formula!G75+Formula!I75+Formula!K75))*(INDEX(Properties!A$1:CB$87,Formula!D75,3))+((Formula!G75)/(Formula!C75+Formula!E75+Formula!G75+Formula!I75+Formula!K75))*(INDEX(Properties!A$1:CB$87,Formula!F75,3))+((Formula!I75)/(Formula!C75+Formula!E75+Formula!G75+Formula!I75+Formula!K75))*(INDEX(Properties!A$1:CB$87,Formula!H75,3))+((Formula!K75)/(Formula!C75+Formula!E75+Formula!G75+Formula!I75+Formula!K75))*(INDEX(Properties!A$1:CB$87,Formula!J75,3))</f>
        <v>44.307876999999998</v>
      </c>
      <c r="C75" s="85">
        <f>Formula!C75*(INDEX(Properties!A$1:CB$87,Formula!B75,3))+Formula!E75*(INDEX(Properties!A$1:CB$87,Formula!D75,3))+Formula!G75*(INDEX(Properties!A$1:CB$87,Formula!F75,3))+Formula!I75*(INDEX(Properties!A$1:CB$87,Formula!H75,3))+Formula!K75*(INDEX(Properties!A$1:CB$87,Formula!J75,3))</f>
        <v>1683.6993259999999</v>
      </c>
      <c r="D75" s="85">
        <f>VARP(IF(INDEX(Properties!A$1:CB$87,Formula!B75,3)&lt;&gt;"",INDEX(Properties!A$1:CB$87,Formula!B75,3)),IF(INDEX(Properties!A$1:CB$87,Formula!D75,3)&lt;&gt;"",INDEX(Properties!A$1:CB$87,Formula!D75,3)),IF(INDEX(Properties!A$1:CB$87,Formula!F75,3)&lt;&gt;"",INDEX(Properties!A$1:CB$87,Formula!F75,3)),IF(INDEX(Properties!A$1:CB$87,Formula!H75,3)&lt;&gt;"",INDEX(Properties!A$1:CB$87,Formula!H75,3)),IF(INDEX(Properties!A$1:CB$87,Formula!J75,3)&lt;&gt;"",INDEX(Properties!A$1:CB$87,Formula!J75,3)))</f>
        <v>5970.9612575690735</v>
      </c>
      <c r="E75" s="85">
        <f>MAX(INDEX(Properties!A$1:CB$87,Formula!B75,3),INDEX(Properties!A$1:CB$87,Formula!D75,3),INDEX(Properties!A$1:CB$87,Formula!F75,3),INDEX(Properties!A$1:CB$87,Formula!H75,3),INDEX(Properties!A$1:CB$87,Formula!J75,3))</f>
        <v>208.98036999999999</v>
      </c>
      <c r="F75" s="85">
        <f>MIN(IF(INDEX(Properties!A$1:CB$87,Formula!B75,3)=0,10^6,INDEX(Properties!A$1:CB$87,Formula!B75,3)),IF(INDEX(Properties!A$1:CB$87,Formula!D75,3)=0,10^6,INDEX(Properties!A$1:CB$87,Formula!D75,3)),IF(INDEX(Properties!A$1:CB$87,Formula!F75,3)=0,10^6,INDEX(Properties!A$1:CB$87,Formula!F75,3)),IF(INDEX(Properties!A$1:CB$87,Formula!H75,3)=0,10^6,INDEX(Properties!A$1:CB$87,Formula!H75,3)),IF(INDEX(Properties!A$1:CB$87,Formula!J75,3)=0,10^6,INDEX(Properties!A$1:CB$87,Formula!J75,3)))</f>
        <v>15.9994</v>
      </c>
      <c r="G75" s="85">
        <f t="shared" si="32"/>
        <v>192.98096999999999</v>
      </c>
      <c r="H75" s="87">
        <f>((Formula!C75)/(Formula!C75+Formula!E75+Formula!G75+Formula!I75+Formula!K75))*(INDEX(Properties!A$1:CB$87,Formula!B75,4))+((Formula!E75)/(Formula!C75+Formula!E75+Formula!G75+Formula!I75+Formula!K75))*(INDEX(Properties!A$1:CB$87,Formula!D75,4))+((Formula!G75)/(Formula!C75+Formula!E75+Formula!G75+Formula!I75+Formula!K75))*(INDEX(Properties!A$1:CB$87,Formula!F75,4))+((Formula!I75)/(Formula!C75+Formula!E75+Formula!G75+Formula!I75+Formula!K75))*(INDEX(Properties!A$1:CB$87,Formula!H75,4))+((Formula!K75)/(Formula!C75+Formula!E75+Formula!G75+Formula!I75+Formula!K75))*(INDEX(Properties!A$1:CB$87,Formula!J75,4))</f>
        <v>19.210526315789473</v>
      </c>
      <c r="I75" s="87">
        <f>Formula!C75*(INDEX(Properties!A$1:CB$87,Formula!B75,4))+Formula!E75*(INDEX(Properties!A$1:CB$87,Formula!D75,4))+Formula!G75*(INDEX(Properties!A$1:CB$87,Formula!F75,4))+Formula!I75*(INDEX(Properties!A$1:CB$87,Formula!H75,4))+Formula!K75*(INDEX(Properties!A$1:CB$87,Formula!J75,4))</f>
        <v>730</v>
      </c>
      <c r="J75" s="87">
        <f>VARP(IF(INDEX(Properties!A$1:CB$87,Formula!B75,4)&lt;&gt;"",INDEX(Properties!A$1:CB$87,Formula!B75,4)),IF(INDEX(Properties!A$1:CB$87,Formula!D75,4)&lt;&gt;"",INDEX(Properties!A$1:CB$87,Formula!D75,4)),IF(INDEX(Properties!A$1:CB$87,Formula!F75,4)&lt;&gt;"",INDEX(Properties!A$1:CB$87,Formula!F75,4)),IF(INDEX(Properties!A$1:CB$87,Formula!H75,4)&lt;&gt;"",INDEX(Properties!A$1:CB$87,Formula!H75,4)),IF(INDEX(Properties!A$1:CB$87,Formula!J75,4)&lt;&gt;"",INDEX(Properties!A$1:CB$87,Formula!J75,4)))</f>
        <v>912.24</v>
      </c>
      <c r="K75" s="87">
        <f>MAX(INDEX(Properties!A$1:CB$87,Formula!B75,4),INDEX(Properties!A$1:CB$87,Formula!D75,4),INDEX(Properties!A$1:CB$87,Formula!F75,4),INDEX(Properties!A$1:CB$87,Formula!H75,4),INDEX(Properties!A$1:CB$87,Formula!J75,4))</f>
        <v>83</v>
      </c>
      <c r="L75" s="87">
        <f>MIN(IF(INDEX(Properties!A$1:CB$87,Formula!B75,4)=0,10^6,INDEX(Properties!A$1:CB$87,Formula!B75,4)),IF(INDEX(Properties!A$1:CB$87,Formula!D75,4)=0,10^6,INDEX(Properties!A$1:CB$87,Formula!D75,4)),IF(INDEX(Properties!A$1:CB$87,Formula!F75,4)=0,10^6,INDEX(Properties!A$1:CB$87,Formula!F75,4)),IF(INDEX(Properties!A$1:CB$87,Formula!H75,4)=0,10^6,INDEX(Properties!A$1:CB$87,Formula!H75,4)),IF(INDEX(Properties!A$1:CB$87,Formula!J75,4)=0,10^6,INDEX(Properties!A$1:CB$87,Formula!J75,4)))</f>
        <v>8</v>
      </c>
      <c r="M75" s="87">
        <f t="shared" si="33"/>
        <v>75</v>
      </c>
      <c r="N75" s="89">
        <f>((Formula!C75)/(Formula!C75+Formula!E75+Formula!G75+Formula!I75+Formula!K75))*(INDEX(Properties!A$1:CB$87,Formula!B75,5))+((Formula!E75)/(Formula!C75+Formula!E75+Formula!G75+Formula!I75+Formula!K75))*(INDEX(Properties!A$1:CB$87,Formula!D75,5))+((Formula!G75)/(Formula!C75+Formula!E75+Formula!G75+Formula!I75+Formula!K75))*(INDEX(Properties!A$1:CB$87,Formula!F75,5))+((Formula!I75)/(Formula!C75+Formula!E75+Formula!G75+Formula!I75+Formula!K75))*(INDEX(Properties!A$1:CB$87,Formula!H75,5))+((Formula!K75)/(Formula!C75+Formula!E75+Formula!G75+Formula!I75+Formula!K75))*(INDEX(Properties!A$1:CB$87,Formula!J75,5))</f>
        <v>2.763157894736842</v>
      </c>
      <c r="O75" s="89">
        <f>Formula!C75*(INDEX(Properties!A$1:CB$87,Formula!B75,5))+Formula!E75*(INDEX(Properties!A$1:CB$87,Formula!D75,5))+Formula!G75*(INDEX(Properties!A$1:CB$87,Formula!F75,5))+Formula!I75*(INDEX(Properties!A$1:CB$87,Formula!H75,5))+Formula!K75*(INDEX(Properties!A$1:CB$87,Formula!J75,5))</f>
        <v>105</v>
      </c>
      <c r="P75" s="89">
        <f>VARP(IF(INDEX(Properties!A$1:CB$87,Formula!B75,5)&lt;&gt;"",INDEX(Properties!A$1:CB$87,Formula!B75,5)),IF(INDEX(Properties!A$1:CB$87,Formula!D75,5)&lt;&gt;"",INDEX(Properties!A$1:CB$87,Formula!D75,5)),IF(INDEX(Properties!A$1:CB$87,Formula!F75,5)&lt;&gt;"",INDEX(Properties!A$1:CB$87,Formula!F75,5)),IF(INDEX(Properties!A$1:CB$87,Formula!H75,5)&lt;&gt;"",INDEX(Properties!A$1:CB$87,Formula!H75,5)),IF(INDEX(Properties!A$1:CB$87,Formula!J75,5)&lt;&gt;"",INDEX(Properties!A$1:CB$87,Formula!J75,5)))</f>
        <v>3.76</v>
      </c>
      <c r="Q75" s="89">
        <f>MAX(INDEX(Properties!A$1:CB$87,Formula!B75,5),INDEX(Properties!A$1:CB$87,Formula!D75,5),INDEX(Properties!A$1:CB$87,Formula!F75,5),INDEX(Properties!A$1:CB$87,Formula!H75,5),INDEX(Properties!A$1:CB$87,Formula!J75,5))</f>
        <v>6</v>
      </c>
      <c r="R75" s="89">
        <f>MIN(IF(INDEX(Properties!A$1:CB$87,Formula!B75,5)=0,10^6,INDEX(Properties!A$1:CB$87,Formula!B75,5)),IF(INDEX(Properties!A$1:CB$87,Formula!D75,5)=0,10^6,INDEX(Properties!A$1:CB$87,Formula!D75,5)),IF(INDEX(Properties!A$1:CB$87,Formula!F75,5)=0,10^6,INDEX(Properties!A$1:CB$87,Formula!F75,5)),IF(INDEX(Properties!A$1:CB$87,Formula!H75,5)=0,10^6,INDEX(Properties!A$1:CB$87,Formula!H75,5)),IF(INDEX(Properties!A$1:CB$87,Formula!J75,5)=0,10^6,INDEX(Properties!A$1:CB$87,Formula!J75,5)))</f>
        <v>2</v>
      </c>
      <c r="S75" s="89">
        <f t="shared" si="34"/>
        <v>4</v>
      </c>
      <c r="T75" s="60">
        <f>((Formula!C75)/(Formula!C75+Formula!E75+Formula!G75+Formula!I75+Formula!K75))*(INDEX(Properties!A$1:CB$87,Formula!B75,6))+((Formula!E75)/(Formula!C75+Formula!E75+Formula!G75+Formula!I75+Formula!K75))*(INDEX(Properties!A$1:CB$87,Formula!D75,6))+((Formula!G75)/(Formula!C75+Formula!E75+Formula!G75+Formula!I75+Formula!K75))*(INDEX(Properties!A$1:CB$87,Formula!F75,6))+((Formula!I75)/(Formula!C75+Formula!E75+Formula!G75+Formula!I75+Formula!K75))*(INDEX(Properties!A$1:CB$87,Formula!H75,6))+((Formula!K75)/(Formula!C75+Formula!E75+Formula!G75+Formula!I75+Formula!K75))*(INDEX(Properties!A$1:CB$87,Formula!J75,6))</f>
        <v>14.526315789473683</v>
      </c>
      <c r="U75" s="60">
        <f>Formula!C75*(INDEX(Properties!A$1:CB$87,Formula!B75,6))+Formula!E75*(INDEX(Properties!A$1:CB$87,Formula!D75,6))+Formula!G75*(INDEX(Properties!A$1:CB$87,Formula!F75,6))+Formula!I75*(INDEX(Properties!A$1:CB$87,Formula!H75,6))+Formula!K75*(INDEX(Properties!A$1:CB$87,Formula!J75,6))</f>
        <v>552</v>
      </c>
      <c r="V75" s="89">
        <f>VARP(IF(INDEX(Properties!A$1:CB$87,Formula!B75,6)&lt;&gt;"",INDEX(Properties!A$1:CB$87,Formula!B75,6)),IF(INDEX(Properties!A$1:CB$87,Formula!D75,6)&lt;&gt;"",INDEX(Properties!A$1:CB$87,Formula!D75,6)),IF(INDEX(Properties!A$1:CB$87,Formula!F75,6)&lt;&gt;"",INDEX(Properties!A$1:CB$87,Formula!F75,6)),IF(INDEX(Properties!A$1:CB$87,Formula!H75,6)&lt;&gt;"",INDEX(Properties!A$1:CB$87,Formula!H75,6)),IF(INDEX(Properties!A$1:CB$87,Formula!J75,6)&lt;&gt;"",INDEX(Properties!A$1:CB$87,Formula!J75,6)))</f>
        <v>53.04</v>
      </c>
      <c r="W75" s="60">
        <f>MAX(INDEX(Properties!A$1:CB$87,Formula!B75,6),INDEX(Properties!A$1:CB$87,Formula!D75,6),INDEX(Properties!A$1:CB$87,Formula!F75,6),INDEX(Properties!A$1:CB$87,Formula!H75,4),INDEX(Properties!A$1:CB$87,Formula!J75,6))</f>
        <v>15</v>
      </c>
      <c r="X75" s="60">
        <f>MIN(IF(INDEX(Properties!A$1:CB$87,Formula!B75,6)=0,10^6,INDEX(Properties!A$1:CB$87,Formula!B75,6)),IF(INDEX(Properties!A$1:CB$87,Formula!D75,6)=0,10^6,INDEX(Properties!A$1:CB$87,Formula!D75,6)),IF(INDEX(Properties!A$1:CB$87,Formula!F75,6)=0,10^6,INDEX(Properties!A$1:CB$87,Formula!F75,6)),IF(INDEX(Properties!A$1:CB$87,Formula!H75,6)=0,10^6,INDEX(Properties!A$1:CB$87,Formula!H75,6)),IF(INDEX(Properties!A$1:CB$87,Formula!J75,6)=0,10^6,INDEX(Properties!A$1:CB$87,Formula!J75,6)))</f>
        <v>1</v>
      </c>
      <c r="Y75" s="60">
        <f t="shared" si="35"/>
        <v>14</v>
      </c>
      <c r="Z75" s="72">
        <f>((Formula!C75)/(Formula!C75+Formula!E75+Formula!G75+Formula!I75+Formula!K75))*(INDEX(Properties!A$1:CB$87,Formula!B75,9))+((Formula!E75)/(Formula!C75+Formula!E75+Formula!G75+Formula!I75+Formula!K75))*(INDEX(Properties!A$1:CB$87,Formula!D75,9))+((Formula!G75)/(Formula!C75+Formula!E75+Formula!G75+Formula!I75+Formula!K75))*(INDEX(Properties!A$1:CB$87,Formula!F75,9))+((Formula!I75)/(Formula!C75+Formula!E75+Formula!G75+Formula!I75+Formula!K75))*(INDEX(Properties!A$1:CB$87,Formula!H75,9))+((Formula!K75)/(Formula!C75+Formula!E75+Formula!G75+Formula!I75+Formula!K75))*(INDEX(Properties!A$1:CB$87,Formula!J75,9))</f>
        <v>79.526315789473685</v>
      </c>
      <c r="AA75" s="72">
        <f>Formula!C75*(INDEX(Properties!A$1:CB$87,Formula!B75,9))+Formula!E75*(INDEX(Properties!A$1:CB$87,Formula!D75,9))+Formula!G75*(INDEX(Properties!A$1:CB$87,Formula!F75,9))+Formula!I75*(INDEX(Properties!A$1:CB$87,Formula!H75,9))+Formula!K75*(INDEX(Properties!A$1:CB$87,Formula!J75,9))</f>
        <v>3022</v>
      </c>
      <c r="AB75" s="72">
        <f>VARP(IF(INDEX(Properties!A$1:CB$87,Formula!B75,9)&lt;&gt;"",INDEX(Properties!A$1:CB$87,Formula!B75,9)),IF(INDEX(Properties!A$1:CB$87,Formula!D75,9)&lt;&gt;"",INDEX(Properties!A$1:CB$87,Formula!D75,9)),IF(INDEX(Properties!A$1:CB$87,Formula!F75,9)&lt;&gt;"",INDEX(Properties!A$1:CB$87,Formula!F75,9)),IF(INDEX(Properties!A$1:CB$87,Formula!H75,9)&lt;&gt;"",INDEX(Properties!A$1:CB$87,Formula!H75,9)),IF(INDEX(Properties!A$1:CB$87,Formula!J75,9)&lt;&gt;"",INDEX(Properties!A$1:CB$87,Formula!J75,9)))</f>
        <v>1709.04</v>
      </c>
      <c r="AC75" s="72">
        <f>MAX(INDEX(Properties!A$1:CB$87,Formula!B75,9),INDEX(Properties!A$1:CB$87,Formula!D75,9),INDEX(Properties!A$1:CB$87,Formula!F75,9),INDEX(Properties!A$1:CB$87,Formula!H75,9),INDEX(Properties!A$1:CB$87,Formula!J75,9))</f>
        <v>87</v>
      </c>
      <c r="AD75" s="72">
        <f>MIN(IF(INDEX(Properties!A$1:CB$87,Formula!B75,9)=0,10^6,INDEX(Properties!A$1:CB$87,Formula!B75,9)),IF(INDEX(Properties!A$1:CB$87,Formula!D75,9)=0,10^6,INDEX(Properties!A$1:CB$87,Formula!D75,9)),IF(INDEX(Properties!A$1:CB$87,Formula!F75,9)=0,10^6,INDEX(Properties!A$1:CB$87,Formula!F75,9)),IF(INDEX(Properties!A$1:CB$87,Formula!H75,9)=0,10^6,INDEX(Properties!A$1:CB$87,Formula!H75,9)),IF(INDEX(Properties!A$1:CB$87,Formula!J75,9)=0,10^6,INDEX(Properties!A$1:CB$87,Formula!J75,9)))</f>
        <v>2</v>
      </c>
      <c r="AE75" s="72">
        <f t="shared" si="36"/>
        <v>85</v>
      </c>
      <c r="AF75" s="51">
        <f>((Formula!C75)/(Formula!C75+Formula!E75+Formula!G75+Formula!I75+Formula!K75))*(INDEX(Properties!A$1:CB$87,Formula!B75,10))+((Formula!E75)/(Formula!C75+Formula!E75+Formula!G75+Formula!I75+Formula!K75))*(INDEX(Properties!A$1:CB$87,Formula!D75,10))+((Formula!G75)/(Formula!C75+Formula!E75+Formula!G75+Formula!I75+Formula!K75))*(INDEX(Properties!A$1:CB$87,Formula!F75,10))+((Formula!I75)/(Formula!C75+Formula!E75+Formula!G75+Formula!I75+Formula!K75))*(INDEX(Properties!A$1:CB$87,Formula!H75,10))+((Formula!K75)/(Formula!C75+Formula!E75+Formula!G75+Formula!I75+Formula!K75))*(INDEX(Properties!A$1:CB$87,Formula!J75,10))</f>
        <v>6.2631578947368416</v>
      </c>
      <c r="AG75" s="51">
        <f>Formula!C75*(INDEX(Properties!A$1:CB$87,Formula!B75,10))+Formula!E75*(INDEX(Properties!A$1:CB$87,Formula!D75,10))+Formula!G75*(INDEX(Properties!A$1:CB$87,Formula!F75,10))+Formula!I75*(INDEX(Properties!A$1:CB$87,Formula!H75,10))+Formula!K75*(INDEX(Properties!A$1:CB$87,Formula!J75,10))</f>
        <v>238</v>
      </c>
      <c r="AH75" s="51">
        <f>VARP(IF(INDEX(Properties!A$1:CB$87,Formula!B75,10)&lt;&gt;"",INDEX(Properties!A$1:CB$87,Formula!B75,10)),IF(INDEX(Properties!A$1:CB$87,Formula!D75,10)&lt;&gt;"",INDEX(Properties!A$1:CB$87,Formula!D75,10)),IF(INDEX(Properties!A$1:CB$87,Formula!F75,10)&lt;&gt;"",INDEX(Properties!A$1:CB$87,Formula!F75,10)),IF(INDEX(Properties!A$1:CB$87,Formula!H75,10)&lt;&gt;"",INDEX(Properties!A$1:CB$87,Formula!H75,10)),IF(INDEX(Properties!A$1:CB$87,Formula!J75,10)&lt;&gt;"",INDEX(Properties!A$1:CB$87,Formula!J75,10)))</f>
        <v>8.8000000000000007</v>
      </c>
      <c r="AI75" s="51">
        <f>MAX(INDEX(Properties!A$1:CB$87,Formula!B75,10),INDEX(Properties!A$1:CB$87,Formula!D75,10),INDEX(Properties!A$1:CB$87,Formula!F75,10),INDEX(Properties!A$1:CB$87,Formula!H75,10),INDEX(Properties!A$1:CB$87,Formula!J75,10))</f>
        <v>7</v>
      </c>
      <c r="AJ75" s="51">
        <f>MIN(IF(INDEX(Properties!A$1:CB$87,Formula!B75,10)=0,10^6,INDEX(Properties!A$1:CB$87,Formula!B75,10)),IF(INDEX(Properties!A$1:CB$87,Formula!D75,10)=0,10^6,INDEX(Properties!A$1:CB$87,Formula!D75,10)),IF(INDEX(Properties!A$1:CB$87,Formula!F75,10)=0,10^6,INDEX(Properties!A$1:CB$87,Formula!F75,10)),IF(INDEX(Properties!A$1:CB$87,Formula!H75,10)=0,10^6,INDEX(Properties!A$1:CB$87,Formula!H75,10)),IF(INDEX(Properties!A$1:CB$87,Formula!J75,10)=0,10^6,INDEX(Properties!A$1:CB$87,Formula!J75,10)))</f>
        <v>1</v>
      </c>
      <c r="AK75" s="51">
        <f t="shared" si="37"/>
        <v>6</v>
      </c>
      <c r="AL75" s="57">
        <f>((Formula!C75)/(Formula!C75+Formula!E75+Formula!G75+Formula!I75+Formula!K75))*(INDEX(Properties!A$1:CB$87,Formula!B75,11))+((Formula!E75)/(Formula!C75+Formula!E75+Formula!G75+Formula!I75+Formula!K75))*(INDEX(Properties!A$1:CB$87,Formula!D75,11))+((Formula!G75)/(Formula!C75+Formula!E75+Formula!G75+Formula!I75+Formula!K75))*(INDEX(Properties!A$1:CB$87,Formula!F75,11))+((Formula!I75)/(Formula!C75+Formula!E75+Formula!G75+Formula!I75+Formula!K75))*(INDEX(Properties!A$1:CB$87,Formula!H75,11))+((Formula!K75)/(Formula!C75+Formula!E75+Formula!G75+Formula!I75+Formula!K75))*(INDEX(Properties!A$1:CB$87,Formula!J75,11))</f>
        <v>1.9210526315789473</v>
      </c>
      <c r="AM75" s="57">
        <f>Formula!C75*(INDEX(Properties!A$1:CB$87,Formula!B75,11))+Formula!E75*(INDEX(Properties!A$1:CB$87,Formula!D75,11))+Formula!G75*(INDEX(Properties!A$1:CB$87,Formula!F75,11))+Formula!I75*(INDEX(Properties!A$1:CB$87,Formula!H75,11))+Formula!K75*(INDEX(Properties!A$1:CB$87,Formula!J75,11))</f>
        <v>73</v>
      </c>
      <c r="AN75" s="57">
        <f>VARP(IF(INDEX(Properties!A$1:CB$87,Formula!B75,11)&lt;&gt;"",INDEX(Properties!A$1:CB$87,Formula!B75,11)),IF(INDEX(Properties!A$1:CB$87,Formula!D75,11)&lt;&gt;"",INDEX(Properties!A$1:CB$87,Formula!D75,11)),IF(INDEX(Properties!A$1:CB$87,Formula!F75,11)&lt;&gt;"",INDEX(Properties!A$1:CB$87,Formula!F75,11)),IF(INDEX(Properties!A$1:CB$87,Formula!H75,11)&lt;&gt;"",INDEX(Properties!A$1:CB$87,Formula!H75,11)),IF(INDEX(Properties!A$1:CB$87,Formula!J75,11)&lt;&gt;"",INDEX(Properties!A$1:CB$87,Formula!J75,11)))</f>
        <v>0.64</v>
      </c>
      <c r="AO75" s="57">
        <f>MAX(INDEX(Properties!A$1:CB$87,Formula!B75,11),INDEX(Properties!A$1:CB$87,Formula!D75,11),INDEX(Properties!A$1:CB$87,Formula!F75,11),INDEX(Properties!A$1:CB$87,Formula!H75,11),INDEX(Properties!A$1:CB$87,Formula!J75,11))</f>
        <v>2</v>
      </c>
      <c r="AP75" s="57">
        <f>MIN(IF(Formula!B75=87,10^6,INDEX(Properties!A$1:CB$87,Formula!B75,11)),IF((Formula!D75)=87,10^6,INDEX(Properties!A$1:CB$87,Formula!D75,11)),IF((Formula!F75)=87,10^6,INDEX(Properties!A$1:CB$87,Formula!F75,11)),IF((Formula!H75)=87,10^6,INDEX(Properties!A$1:CB$87,Formula!H75,11)),IF(Formula!J75=87,10^6,INDEX(Properties!A$1:CB$87,Formula!J75,11)))</f>
        <v>1</v>
      </c>
      <c r="AQ75" s="57">
        <f t="shared" si="38"/>
        <v>1</v>
      </c>
      <c r="AR75" s="78">
        <f>((Formula!C75)/(Formula!C75+Formula!E75+Formula!G75+Formula!I75+Formula!K75))*(INDEX(Properties!A$1:CB$87,Formula!B75,12))+((Formula!E75)/(Formula!C75+Formula!E75+Formula!G75+Formula!I75+Formula!K75))*(INDEX(Properties!A$1:CB$87,Formula!D75,12))+((Formula!G75)/(Formula!C75+Formula!E75+Formula!G75+Formula!I75+Formula!K75))*(INDEX(Properties!A$1:CB$87,Formula!F75,12))+((Formula!I75)/(Formula!C75+Formula!E75+Formula!G75+Formula!I75+Formula!K75))*(INDEX(Properties!A$1:CB$87,Formula!H75,12))+((Formula!K75)/(Formula!C75+Formula!E75+Formula!G75+Formula!I75+Formula!K75))*(INDEX(Properties!A$1:CB$87,Formula!J75,12))</f>
        <v>3.3947368421052628</v>
      </c>
      <c r="AS75" s="78">
        <f>Formula!C75*(INDEX(Properties!A$1:CB$87,Formula!B75,12))+Formula!E75*(INDEX(Properties!A$1:CB$87,Formula!D75,12))+Formula!G75*(INDEX(Properties!A$1:CB$87,Formula!F75,12))+Formula!I75*(INDEX(Properties!A$1:CB$87,Formula!H75,12))+Formula!K75*(INDEX(Properties!A$1:CB$87,Formula!J75,12))</f>
        <v>129</v>
      </c>
      <c r="AT75" s="78">
        <f>VARP(IF(INDEX(Properties!A$1:CB$87,Formula!B75,12)&lt;&gt;"",INDEX(Properties!A$1:CB$87,Formula!B75,12)),IF(INDEX(Properties!A$1:CB$87,Formula!D75,12)&lt;&gt;"",INDEX(Properties!A$1:CB$87,Formula!D75,12)),IF(INDEX(Properties!A$1:CB$87,Formula!F75,12)&lt;&gt;"",INDEX(Properties!A$1:CB$87,Formula!F75,12)),IF(INDEX(Properties!A$1:CB$87,Formula!H75,12)&lt;&gt;"",INDEX(Properties!A$1:CB$87,Formula!H75,12)),IF(INDEX(Properties!A$1:CB$87,Formula!J75,12)&lt;&gt;"",INDEX(Properties!A$1:CB$87,Formula!J75,12)))</f>
        <v>2.8</v>
      </c>
      <c r="AU75" s="78">
        <f>MAX(INDEX(Properties!A$1:CB$87,Formula!B75,12),INDEX(Properties!A$1:CB$87,Formula!D75,12),INDEX(Properties!A$1:CB$87,Formula!F75,12),INDEX(Properties!A$1:CB$87,Formula!H75,12),INDEX(Properties!A$1:CB$87,Formula!J75,12))</f>
        <v>4</v>
      </c>
      <c r="AV75" s="78">
        <f>MIN(IF(Formula!B75=87,10^6,INDEX(Properties!A$1:CB$87,Formula!B75,12)),IF((Formula!D75)=87,10^6,INDEX(Properties!A$1:CB$87,Formula!D75,12)),IF((Formula!F75)=87,10^6,INDEX(Properties!A$1:CB$87,Formula!F75,12)),IF((Formula!H75)=87,10^6,INDEX(Properties!A$1:CB$87,Formula!H75,12)),IF(Formula!J75=87,10^6,INDEX(Properties!A$1:CB$87,Formula!J75,12)))</f>
        <v>0</v>
      </c>
      <c r="AW75" s="78">
        <f t="shared" si="39"/>
        <v>4</v>
      </c>
      <c r="AX75" s="45">
        <f>((Formula!C75)/(Formula!C75+Formula!E75+Formula!G75+Formula!I75+Formula!K75))*(INDEX(Properties!A$1:CB$87,Formula!B75,13))+((Formula!E75)/(Formula!C75+Formula!E75+Formula!G75+Formula!I75+Formula!K75))*(INDEX(Properties!A$1:CB$87,Formula!D75,13))+((Formula!G75)/(Formula!C75+Formula!E75+Formula!G75+Formula!I75+Formula!K75))*(INDEX(Properties!A$1:CB$87,Formula!F75,13))+((Formula!I75)/(Formula!C75+Formula!E75+Formula!G75+Formula!I75+Formula!K75))*(INDEX(Properties!A$1:CB$87,Formula!H75,13))+((Formula!K75)/(Formula!C75+Formula!E75+Formula!G75+Formula!I75+Formula!K75))*(INDEX(Properties!A$1:CB$87,Formula!J75,13))</f>
        <v>1.3157894736842104</v>
      </c>
      <c r="AY75" s="45">
        <f>Formula!C75*(INDEX(Properties!A$1:CB$87,Formula!B75,13))+Formula!E75*(INDEX(Properties!A$1:CB$87,Formula!D75,13))+Formula!G75*(INDEX(Properties!A$1:CB$87,Formula!F75,13))+Formula!I75*(INDEX(Properties!A$1:CB$87,Formula!H75,13))+Formula!K75*(INDEX(Properties!A$1:CB$87,Formula!J75,13))</f>
        <v>50</v>
      </c>
      <c r="AZ75" s="45">
        <f>VARP(IF(INDEX(Properties!A$1:CB$87,Formula!B75,13)&lt;&gt;"",INDEX(Properties!A$1:CB$87,Formula!B75,13)),IF(INDEX(Properties!A$1:CB$87,Formula!D75,13)&lt;&gt;"",INDEX(Properties!A$1:CB$87,Formula!D75,13)),IF(INDEX(Properties!A$1:CB$87,Formula!F75,13)&lt;&gt;"",INDEX(Properties!A$1:CB$87,Formula!F75,13)),IF(INDEX(Properties!A$1:CB$87,Formula!H75,13)&lt;&gt;"",INDEX(Properties!A$1:CB$87,Formula!H75,13)),IF(INDEX(Properties!A$1:CB$87,Formula!J75,13)&lt;&gt;"",INDEX(Properties!A$1:CB$87,Formula!J75,13)))</f>
        <v>16</v>
      </c>
      <c r="BA75" s="45">
        <f>MAX(INDEX(Properties!A$1:CB$87,Formula!B75,13),INDEX(Properties!A$1:CB$87,Formula!D75,13),INDEX(Properties!A$1:CB$87,Formula!F75,13),INDEX(Properties!A$1:CB$87,Formula!H75,13),INDEX(Properties!A$1:CB$87,Formula!J75,13))</f>
        <v>10</v>
      </c>
      <c r="BB75" s="45">
        <f>MIN(IF(Formula!B75=87,10^6,INDEX(Properties!A$1:CB$87,Formula!B75,13)),IF((Formula!D75)=87,10^6,INDEX(Properties!A$1:CB$87,Formula!D75,13)),IF((Formula!F75)=87,10^6,INDEX(Properties!A$1:CB$87,Formula!F75,13)),IF((Formula!H75)=87,10^6,INDEX(Properties!A$1:CB$87,Formula!H75,13)),IF(Formula!J75=87,10^6,INDEX(Properties!A$1:CB$87,Formula!J75,13)))</f>
        <v>0</v>
      </c>
      <c r="BC75" s="45">
        <f t="shared" si="40"/>
        <v>10</v>
      </c>
      <c r="BD75" s="63">
        <f>((Formula!C75)/(Formula!C75+Formula!E75+Formula!G75+Formula!I75+Formula!K75))*(INDEX(Properties!A$1:CB$87,Formula!B75,14))+((Formula!E75)/(Formula!C75+Formula!E75+Formula!G75+Formula!I75+Formula!K75))*(INDEX(Properties!A$1:CB$87,Formula!D75,14))+((Formula!G75)/(Formula!C75+Formula!E75+Formula!G75+Formula!I75+Formula!K75))*(INDEX(Properties!A$1:CB$87,Formula!F75,14))+((Formula!I75)/(Formula!C75+Formula!E75+Formula!G75+Formula!I75+Formula!K75))*(INDEX(Properties!A$1:CB$87,Formula!H75,14))+((Formula!K75)/(Formula!C75+Formula!E75+Formula!G75+Formula!I75+Formula!K75))*(INDEX(Properties!A$1:CB$87,Formula!J75,14))</f>
        <v>1.8421052631578947</v>
      </c>
      <c r="BE75" s="63">
        <f>Formula!C75*(INDEX(Properties!A$1:CB$87,Formula!B75,14))+Formula!E75*(INDEX(Properties!A$1:CB$87,Formula!D75,14))+Formula!G75*(INDEX(Properties!A$1:CB$87,Formula!F75,14))+Formula!I75*(INDEX(Properties!A$1:CB$87,Formula!H75,14))+Formula!K75*(INDEX(Properties!A$1:CB$87,Formula!J75,14))</f>
        <v>70</v>
      </c>
      <c r="BF75" s="63">
        <f>VARP(IF(INDEX(Properties!A$1:CB$87,Formula!B75,14)&lt;&gt;"",INDEX(Properties!A$1:CB$87,Formula!B75,14)),IF(INDEX(Properties!A$1:CB$87,Formula!D75,14)&lt;&gt;"",INDEX(Properties!A$1:CB$87,Formula!D75,14)),IF(INDEX(Properties!A$1:CB$87,Formula!F75,14)&lt;&gt;"",INDEX(Properties!A$1:CB$87,Formula!F75,14)),IF(INDEX(Properties!A$1:CB$87,Formula!H75,14)&lt;&gt;"",INDEX(Properties!A$1:CB$87,Formula!H75,14)),IF(INDEX(Properties!A$1:CB$87,Formula!J75,14)&lt;&gt;"",INDEX(Properties!A$1:CB$87,Formula!J75,14)))</f>
        <v>31.36</v>
      </c>
      <c r="BG75" s="63">
        <f>MAX(INDEX(Properties!A$1:CB$87,Formula!B75,14),INDEX(Properties!A$1:CB$87,Formula!D75,14),INDEX(Properties!A$1:CB$87,Formula!F75,14),INDEX(Properties!A$1:CB$87,Formula!H75,14),INDEX(Properties!A$1:CB$87,Formula!J75,14))</f>
        <v>14</v>
      </c>
      <c r="BH75" s="63">
        <f>MIN(IF(Formula!B75=87,10^6,INDEX(Properties!A$1:CB$87,Formula!B75,14)),IF((Formula!D75)=87,10^6,INDEX(Properties!A$1:CB$87,Formula!D75,14)),IF((Formula!F75)=87,10^6,INDEX(Properties!A$1:CB$87,Formula!F75,14)),IF((Formula!H75)=87,10^6,INDEX(Properties!A$1:CB$87,Formula!H75,14)),IF(Formula!J75=87,10^6,INDEX(Properties!A$1:CB$87,Formula!J75,14)))</f>
        <v>0</v>
      </c>
      <c r="BI75" s="63">
        <f t="shared" si="41"/>
        <v>14</v>
      </c>
      <c r="BJ75" s="75">
        <f>((Formula!C75)/(Formula!C75+Formula!E75+Formula!G75+Formula!I75+Formula!K75))*(INDEX(Properties!A$1:CB$87,Formula!B75,19))+((Formula!E75)/(Formula!C75+Formula!E75+Formula!G75+Formula!I75+Formula!K75))*(INDEX(Properties!A$1:CB$87,Formula!D75,19))+((Formula!G75)/(Formula!C75+Formula!E75+Formula!G75+Formula!I75+Formula!K75))*(INDEX(Properties!A$1:CB$87,Formula!F75,19))+((Formula!I75)/(Formula!C75+Formula!E75+Formula!G75+Formula!I75+Formula!K75))*(INDEX(Properties!A$1:CB$87,Formula!H75,19))+((Formula!K75)/(Formula!C75+Formula!E75+Formula!G75+Formula!I75+Formula!K75))*(INDEX(Properties!A$1:CB$87,Formula!J75,19))</f>
        <v>8.473684210526315</v>
      </c>
      <c r="BK75" s="75">
        <f>Formula!C75*(INDEX(Properties!A$1:CB$87,Formula!B75,19))+Formula!E75*(INDEX(Properties!A$1:CB$87,Formula!D75,19))+Formula!G75*(INDEX(Properties!A$1:CB$87,Formula!F75,19))+Formula!I75*(INDEX(Properties!A$1:CB$87,Formula!H75,19))+Formula!K75*(INDEX(Properties!A$1:CB$87,Formula!J75,19))</f>
        <v>322</v>
      </c>
      <c r="BL75" s="75">
        <f>VARP(IF(INDEX(Properties!A$1:CB$87,Formula!B75,19)&lt;&gt;"",INDEX(Properties!A$1:CB$87,Formula!B75,19)),IF(INDEX(Properties!A$1:CB$87,Formula!D75,19)&lt;&gt;"",INDEX(Properties!A$1:CB$87,Formula!D75,19)),IF(INDEX(Properties!A$1:CB$87,Formula!F75,19)&lt;&gt;"",INDEX(Properties!A$1:CB$87,Formula!F75,19)),IF(INDEX(Properties!A$1:CB$87,Formula!H75,19)&lt;&gt;"",INDEX(Properties!A$1:CB$87,Formula!H75,19)),IF(INDEX(Properties!A$1:CB$87,Formula!J75,19)&lt;&gt;"",INDEX(Properties!A$1:CB$87,Formula!J75,19)))</f>
        <v>113.36</v>
      </c>
      <c r="BM75" s="75">
        <f>MAX(INDEX(Properties!A$1:CB$87,Formula!B75,19),INDEX(Properties!A$1:CB$87,Formula!D75,19),INDEX(Properties!A$1:CB$87,Formula!F75,19),INDEX(Properties!A$1:CB$87,Formula!H75,19),INDEX(Properties!A$1:CB$87,Formula!J75,19))</f>
        <v>29</v>
      </c>
      <c r="BN75" s="75">
        <f>MIN(IF(INDEX(Properties!A$1:CB$87,Formula!B75,19)=0,10^6,INDEX(Properties!A$1:CB$87,Formula!B75,19)),IF(INDEX(Properties!A$1:CB$87,Formula!D75,19)=0,10^6,INDEX(Properties!A$1:CB$87,Formula!D75,19)),IF(INDEX(Properties!A$1:CB$87,Formula!F75,19)=0,10^6,INDEX(Properties!A$1:CB$87,Formula!F75,19)),IF(INDEX(Properties!A$1:CB$87,Formula!H75,19)=0,10^6,INDEX(Properties!A$1:CB$87,Formula!H75,19)),IF(INDEX(Properties!A$1:CB$87,Formula!J75,19)=0,10^6,INDEX(Properties!A$1:CB$87,Formula!J75,19)))</f>
        <v>1</v>
      </c>
      <c r="BO75" s="75">
        <f t="shared" si="42"/>
        <v>28</v>
      </c>
      <c r="BP75" s="48">
        <f>((Formula!C75)/(Formula!C75+Formula!E75+Formula!G75+Formula!I75+Formula!K75))*(INDEX(Properties!A$1:CB$87,Formula!B75,20))+((Formula!E75)/(Formula!C75+Formula!E75+Formula!G75+Formula!I75+Formula!K75))*(INDEX(Properties!A$1:CB$87,Formula!D75,20))+((Formula!G75)/(Formula!C75+Formula!E75+Formula!G75+Formula!I75+Formula!K75))*(INDEX(Properties!A$1:CB$87,Formula!F75,20))+((Formula!I75)/(Formula!C75+Formula!E75+Formula!G75+Formula!I75+Formula!K75))*(INDEX(Properties!A$1:CB$87,Formula!H75,20))+((Formula!K75)/(Formula!C75+Formula!E75+Formula!G75+Formula!I75+Formula!K75))*(INDEX(Properties!A$1:CB$87,Formula!J75,20))</f>
        <v>5.3157894736842106</v>
      </c>
      <c r="BQ75" s="48">
        <f>Formula!C75*(INDEX(Properties!A$1:CB$87,Formula!B75,20))+Formula!E75*(INDEX(Properties!A$1:CB$87,Formula!D75,20))+Formula!G75*(INDEX(Properties!A$1:CB$87,Formula!F75,20))+Formula!I75*(INDEX(Properties!A$1:CB$87,Formula!H75,20))+Formula!K75*(INDEX(Properties!A$1:CB$87,Formula!J75,20))</f>
        <v>202</v>
      </c>
      <c r="BR75" s="48">
        <f>VARP(IF(INDEX(Properties!A$1:CB$87,Formula!B75,20)&lt;&gt;"",INDEX(Properties!A$1:CB$87,Formula!B75,20)),IF(INDEX(Properties!A$1:CB$87,Formula!D75,20)&lt;&gt;"",INDEX(Properties!A$1:CB$87,Formula!D75,20)),IF(INDEX(Properties!A$1:CB$87,Formula!F75,20)&lt;&gt;"",INDEX(Properties!A$1:CB$87,Formula!F75,20)),IF(INDEX(Properties!A$1:CB$87,Formula!H75,20)&lt;&gt;"",INDEX(Properties!A$1:CB$87,Formula!H75,20)),IF(INDEX(Properties!A$1:CB$87,Formula!J75,20)&lt;&gt;"",INDEX(Properties!A$1:CB$87,Formula!J75,20)))</f>
        <v>5.84</v>
      </c>
      <c r="BS75" s="48">
        <f>MAX(INDEX(Properties!A$1:CB$87,Formula!B75,20),INDEX(Properties!A$1:CB$87,Formula!D75,20),INDEX(Properties!A$1:CB$87,Formula!F75,20),INDEX(Properties!A$1:CB$87,Formula!H75,20),INDEX(Properties!A$1:CB$87,Formula!J75,20))</f>
        <v>6</v>
      </c>
      <c r="BT75" s="48">
        <f>MIN(IF(INDEX(Properties!A$1:CB$87,Formula!B75,20)=0,10^6,INDEX(Properties!A$1:CB$87,Formula!B75,20)),IF(INDEX(Properties!A$1:CB$87,Formula!D75,20)=0,10^6,INDEX(Properties!A$1:CB$87,Formula!D75,20)),IF(INDEX(Properties!A$1:CB$87,Formula!F75,20)=0,10^6,INDEX(Properties!A$1:CB$87,Formula!F75,20)),IF(INDEX(Properties!A$1:CB$87,Formula!H75,20)=0,10^6,INDEX(Properties!A$1:CB$87,Formula!H75,20)),IF(INDEX(Properties!A$1:CB$87,Formula!J75,20)=0,10^6,INDEX(Properties!A$1:CB$87,Formula!J75,20)))</f>
        <v>1</v>
      </c>
      <c r="BU75" s="48">
        <f t="shared" si="43"/>
        <v>5</v>
      </c>
      <c r="BV75" s="66">
        <f>((Formula!C75)/(Formula!C75+Formula!E75+Formula!G75+Formula!I75+Formula!K75))*(INDEX(Properties!A$1:CB$87,Formula!B75,21))+((Formula!E75)/(Formula!C75+Formula!E75+Formula!G75+Formula!I75+Formula!K75))*(INDEX(Properties!A$1:CB$87,Formula!D75,21))+((Formula!G75)/(Formula!C75+Formula!E75+Formula!G75+Formula!I75+Formula!K75))*(INDEX(Properties!A$1:CB$87,Formula!F75,21))+((Formula!I75)/(Formula!C75+Formula!E75+Formula!G75+Formula!I75+Formula!K75))*(INDEX(Properties!A$1:CB$87,Formula!H75,21))+((Formula!K75)/(Formula!C75+Formula!E75+Formula!G75+Formula!I75+Formula!K75))*(INDEX(Properties!A$1:CB$87,Formula!J75,21))</f>
        <v>5.3157894736842106</v>
      </c>
      <c r="BW75" s="66">
        <f>Formula!C75*(INDEX(Properties!A$1:CB$87,Formula!B75,21))+Formula!E75*(INDEX(Properties!A$1:CB$87,Formula!D75,21))+Formula!G75*(INDEX(Properties!A$1:CB$87,Formula!F75,21))+Formula!I75*(INDEX(Properties!A$1:CB$87,Formula!H75,21))+Formula!K75*(INDEX(Properties!A$1:CB$87,Formula!J75,21))</f>
        <v>202</v>
      </c>
      <c r="BX75" s="66">
        <f>VARP(IF(INDEX(Properties!A$1:CB$87,Formula!B75,21)&lt;&gt;"",INDEX(Properties!A$1:CB$87,Formula!B75,21)),IF(INDEX(Properties!A$1:CB$87,Formula!D75,21)&lt;&gt;"",INDEX(Properties!A$1:CB$87,Formula!D75,21)),IF(INDEX(Properties!A$1:CB$87,Formula!F75,21)&lt;&gt;"",INDEX(Properties!A$1:CB$87,Formula!F75,21)),IF(INDEX(Properties!A$1:CB$87,Formula!H75,21)&lt;&gt;"",INDEX(Properties!A$1:CB$87,Formula!H75,21)),IF(INDEX(Properties!A$1:CB$87,Formula!J75,21)&lt;&gt;"",INDEX(Properties!A$1:CB$87,Formula!J75,21)))</f>
        <v>5.84</v>
      </c>
      <c r="BY75" s="66">
        <f>MAX(INDEX(Properties!A$1:CB$87,Formula!B75,21),INDEX(Properties!A$1:CB$87,Formula!D75,21),INDEX(Properties!A$1:CB$87,Formula!F75,21),INDEX(Properties!A$1:CB$87,Formula!H75,21),INDEX(Properties!A$1:CB$87,Formula!J75,21))</f>
        <v>6</v>
      </c>
      <c r="BZ75" s="66">
        <f>MIN(IF(INDEX(Properties!A$1:CB$87,Formula!B75,21)=0,10^6,INDEX(Properties!A$1:CB$87,Formula!B75,21)),IF(INDEX(Properties!A$1:CB$87,Formula!D75,21)=0,10^6,INDEX(Properties!A$1:CB$87,Formula!D75,21)),IF(INDEX(Properties!A$1:CB$87,Formula!F75,21)=0,10^6,INDEX(Properties!A$1:CB$87,Formula!F75,21)),IF(INDEX(Properties!A$1:CB$87,Formula!H75,21)=0,10^6,INDEX(Properties!A$1:CB$87,Formula!H75,21)),IF(INDEX(Properties!A$1:CB$87,Formula!J75,21)=0,10^6,INDEX(Properties!A$1:CB$87,Formula!J75,21)))</f>
        <v>1</v>
      </c>
      <c r="CA75" s="66">
        <f t="shared" si="44"/>
        <v>5</v>
      </c>
      <c r="CB75" s="81">
        <f>((Formula!C75)/(Formula!C75+Formula!E75+Formula!G75+Formula!I75+Formula!K75))*(INDEX(Properties!A$1:CB$87,Formula!B75,23))+((Formula!E75)/(Formula!C75+Formula!E75+Formula!G75+Formula!I75+Formula!K75))*(INDEX(Properties!A$1:CB$87,Formula!D75,23))+((Formula!G75)/(Formula!C75+Formula!E75+Formula!G75+Formula!I75+Formula!K75))*(INDEX(Properties!A$1:CB$87,Formula!F75,23))+((Formula!I75)/(Formula!C75+Formula!E75+Formula!G75+Formula!I75+Formula!K75))*(INDEX(Properties!A$1:CB$87,Formula!H75,23))+((Formula!K75)/(Formula!C75+Formula!E75+Formula!G75+Formula!I75+Formula!K75))*(INDEX(Properties!A$1:CB$87,Formula!J75,23))</f>
        <v>0.94736842105263164</v>
      </c>
      <c r="CC75" s="81">
        <f>Formula!C75*(INDEX(Properties!A$1:CB$87,Formula!B75,23))+Formula!E75*(INDEX(Properties!A$1:CB$87,Formula!D75,23))+Formula!G75*(INDEX(Properties!A$1:CB$87,Formula!F75,23))+Formula!I75*(INDEX(Properties!A$1:CB$87,Formula!H75,23))+Formula!K75*(INDEX(Properties!A$1:CB$87,Formula!J75,23))</f>
        <v>36</v>
      </c>
      <c r="CD75" s="81">
        <f>VARP(IF(INDEX(Properties!A$1:CB$87,Formula!B75,23)&lt;&gt;"",INDEX(Properties!A$1:CB$87,Formula!B75,23)),IF(INDEX(Properties!A$1:CB$87,Formula!D75,23)&lt;&gt;"",INDEX(Properties!A$1:CB$87,Formula!D75,23)),IF(INDEX(Properties!A$1:CB$87,Formula!F75,23)&lt;&gt;"",INDEX(Properties!A$1:CB$87,Formula!F75,23)),IF(INDEX(Properties!A$1:CB$87,Formula!H75,23)&lt;&gt;"",INDEX(Properties!A$1:CB$87,Formula!H75,23)),IF(INDEX(Properties!A$1:CB$87,Formula!J75,23)&lt;&gt;"",INDEX(Properties!A$1:CB$87,Formula!J75,23)))</f>
        <v>1.84</v>
      </c>
      <c r="CE75" s="81">
        <f>MAX(INDEX(Properties!A$1:CB$87,Formula!B75,23),INDEX(Properties!A$1:CB$87,Formula!D75,23),INDEX(Properties!A$1:CB$87,Formula!F75,23),INDEX(Properties!A$1:CB$87,Formula!H75,23),INDEX(Properties!A$1:CB$87,Formula!J75,23))</f>
        <v>3</v>
      </c>
      <c r="CF75" s="81">
        <f>MIN(IF(Formula!B75=87,10^6,INDEX(Properties!A$1:CB$87,Formula!B75,23)),IF((Formula!D75)=87,10^6,INDEX(Properties!A$1:CB$87,Formula!D75,23)),IF((Formula!F75)=87,10^6,INDEX(Properties!A$1:CB$87,Formula!F75,23)),IF((Formula!H75)=87,10^6,INDEX(Properties!A$1:CB$87,Formula!H75,23)),IF(Formula!J75=87,10^6,INDEX(Properties!A$1:CB$87,Formula!J75,23)))</f>
        <v>0</v>
      </c>
      <c r="CG75" s="81">
        <f t="shared" si="45"/>
        <v>3</v>
      </c>
      <c r="CH75" s="39">
        <f>((Formula!C75)/(Formula!C75+Formula!E75+Formula!G75+Formula!I75+Formula!K75))*(INDEX(Properties!A$1:CB$87,Formula!B75,26))+((Formula!E75)/(Formula!C75+Formula!E75+Formula!G75+Formula!I75+Formula!K75))*(INDEX(Properties!A$1:CB$87,Formula!D75,26))+((Formula!G75)/(Formula!C75+Formula!E75+Formula!G75+Formula!I75+Formula!K75))*(INDEX(Properties!A$1:CB$87,Formula!F75,26))+((Formula!I75)/(Formula!C75+Formula!E75+Formula!G75+Formula!I75+Formula!K75))*(INDEX(Properties!A$1:CB$87,Formula!H75,26))+((Formula!K75)/(Formula!C75+Formula!E75+Formula!G75+Formula!I75+Formula!K75))*(INDEX(Properties!A$1:CB$87,Formula!J75,26))</f>
        <v>11.621036842105262</v>
      </c>
      <c r="CI75" s="39">
        <f>Formula!C75*(INDEX(Properties!A$1:CB$87,Formula!B75,26))+Formula!E75*(INDEX(Properties!A$1:CB$87,Formula!D75,26))+Formula!G75*(INDEX(Properties!A$1:CB$87,Formula!F75,26))+Formula!I75*(INDEX(Properties!A$1:CB$87,Formula!H75,26))+Formula!K75*(INDEX(Properties!A$1:CB$87,Formula!J75,26))</f>
        <v>441.59940000000006</v>
      </c>
      <c r="CJ75" s="39">
        <f>VARP(IF(INDEX(Properties!A$1:CB$87,Formula!B75,26)&lt;&gt;"",INDEX(Properties!A$1:CB$87,Formula!B75,26)),IF(INDEX(Properties!A$1:CB$87,Formula!D75,26)&lt;&gt;"",INDEX(Properties!A$1:CB$87,Formula!D75,26)),IF(INDEX(Properties!A$1:CB$87,Formula!F75,26)&lt;&gt;"",INDEX(Properties!A$1:CB$87,Formula!F75,26)),IF(INDEX(Properties!A$1:CB$87,Formula!H75,26)&lt;&gt;"",INDEX(Properties!A$1:CB$87,Formula!H75,26)),IF(INDEX(Properties!A$1:CB$87,Formula!J75,26)&lt;&gt;"",INDEX(Properties!A$1:CB$87,Formula!J75,26)))</f>
        <v>21.606594137599995</v>
      </c>
      <c r="CK75" s="39">
        <f>MAX(INDEX(Properties!A$1:CB$87,Formula!B75,26),INDEX(Properties!A$1:CB$87,Formula!D75,26),INDEX(Properties!A$1:CB$87,Formula!F75,26),INDEX(Properties!A$1:CB$87,Formula!H75,26),INDEX(Properties!A$1:CB$87,Formula!J75,26))</f>
        <v>13.6181</v>
      </c>
      <c r="CL75" s="39">
        <f>MIN(IF(INDEX(Properties!A$1:CB$87,Formula!B75,26)=0,10^6,INDEX(Properties!A$1:CB$87,Formula!B75,26)),IF(INDEX(Properties!A$1:CB$87,Formula!D75,26)=0,10^6,INDEX(Properties!A$1:CB$87,Formula!D75,26)),IF(INDEX(Properties!A$1:CB$87,Formula!F75,26)=0,10^6,INDEX(Properties!A$1:CB$87,Formula!F75,26)),IF(INDEX(Properties!A$1:CB$87,Formula!H75,26)=0,10^6,INDEX(Properties!A$1:CB$87,Formula!H75,26)),IF(INDEX(Properties!A$1:CB$87,Formula!J75,26)=0,10^6,INDEX(Properties!A$1:CB$87,Formula!J75,26)))</f>
        <v>5.1391</v>
      </c>
      <c r="CM75" s="39">
        <f t="shared" si="46"/>
        <v>8.4789999999999992</v>
      </c>
      <c r="CN75" s="54">
        <f>((Formula!C75)/(Formula!C75+Formula!E75+Formula!G75+Formula!I75+Formula!K75))*(INDEX(Properties!A$1:CB$87,Formula!B75,30))+((Formula!E75)/(Formula!C75+Formula!E75+Formula!G75+Formula!I75+Formula!K75))*(INDEX(Properties!A$1:CB$87,Formula!D75,30))+((Formula!G75)/(Formula!C75+Formula!E75+Formula!G75+Formula!I75+Formula!K75))*(INDEX(Properties!A$1:CB$87,Formula!F75,30))+((Formula!I75)/(Formula!C75+Formula!E75+Formula!G75+Formula!I75+Formula!K75))*(INDEX(Properties!A$1:CB$87,Formula!H75,30))+((Formula!K75)/(Formula!C75+Formula!E75+Formula!G75+Formula!I75+Formula!K75))*(INDEX(Properties!A$1:CB$87,Formula!J75,30))</f>
        <v>2.8576315789473683</v>
      </c>
      <c r="CO75" s="54">
        <f>Formula!C75*(INDEX(Properties!A$1:CB$87,Formula!B75,30))+Formula!E75*(INDEX(Properties!A$1:CB$87,Formula!D75,30))+Formula!G75*(INDEX(Properties!A$1:CB$87,Formula!F75,30))+Formula!I75*(INDEX(Properties!A$1:CB$87,Formula!H75,30))+Formula!K75*(INDEX(Properties!A$1:CB$87,Formula!J75,30))</f>
        <v>108.59</v>
      </c>
      <c r="CP75" s="54">
        <f>VARP(IF(INDEX(Properties!A$1:CB$87,Formula!B75,30)&lt;&gt;"",INDEX(Properties!A$1:CB$87,Formula!B75,30)),IF(INDEX(Properties!A$1:CB$87,Formula!D75,30)&lt;&gt;"",INDEX(Properties!A$1:CB$87,Formula!D75,30)),IF(INDEX(Properties!A$1:CB$87,Formula!F75,30)&lt;&gt;"",INDEX(Properties!A$1:CB$87,Formula!F75,30)),IF(INDEX(Properties!A$1:CB$87,Formula!H75,30)&lt;&gt;"",INDEX(Properties!A$1:CB$87,Formula!H75,30)),IF(INDEX(Properties!A$1:CB$87,Formula!J75,30)&lt;&gt;"",INDEX(Properties!A$1:CB$87,Formula!J75,30)))</f>
        <v>1.370344</v>
      </c>
      <c r="CQ75" s="54">
        <f>MAX(INDEX(Properties!A$1:CB$87,Formula!B75,30),INDEX(Properties!A$1:CB$87,Formula!D75,30),INDEX(Properties!A$1:CB$87,Formula!F75,30),INDEX(Properties!A$1:CB$87,Formula!H75,30),INDEX(Properties!A$1:CB$87,Formula!J75,30))</f>
        <v>3.44</v>
      </c>
      <c r="CR75" s="54">
        <f>MIN(IF(INDEX(Properties!A$1:CB$87,Formula!B75,30)=0,10^6,INDEX(Properties!A$1:CB$87,Formula!B75,30)),IF(INDEX(Properties!A$1:CB$87,Formula!D75,30)=0,10^6,INDEX(Properties!A$1:CB$87,Formula!D75,30)),IF(INDEX(Properties!A$1:CB$87,Formula!F75,30)=0,10^6,INDEX(Properties!A$1:CB$87,Formula!F75,30)),IF(INDEX(Properties!A$1:CB$87,Formula!H75,30)=0,10^6,INDEX(Properties!A$1:CB$87,Formula!H75,30)),IF(INDEX(Properties!A$1:CB$87,Formula!J75,30)=0,10^6,INDEX(Properties!A$1:CB$87,Formula!J75,30)))</f>
        <v>0.93</v>
      </c>
      <c r="CS75" s="54">
        <f t="shared" si="47"/>
        <v>2.5099999999999998</v>
      </c>
      <c r="CT75" s="69">
        <f>((Formula!C75)/(Formula!C75+Formula!E75+Formula!G75+Formula!I75+Formula!K75))*(INDEX(Properties!A$1:CB$87,Formula!B75,31))+((Formula!E75)/(Formula!C75+Formula!E75+Formula!G75+Formula!I75+Formula!K75))*(INDEX(Properties!A$1:CB$87,Formula!D75,31))+((Formula!G75)/(Formula!C75+Formula!E75+Formula!G75+Formula!I75+Formula!K75))*(INDEX(Properties!A$1:CB$87,Formula!F75,31))+((Formula!I75)/(Formula!C75+Formula!E75+Formula!G75+Formula!I75+Formula!K75))*(INDEX(Properties!A$1:CB$87,Formula!H75,31))+((Formula!K75)/(Formula!C75+Formula!E75+Formula!G75+Formula!I75+Formula!K75))*(INDEX(Properties!A$1:CB$87,Formula!J75,31))</f>
        <v>2.8149999999999999</v>
      </c>
      <c r="CU75" s="69">
        <f>Formula!C75*(INDEX(Properties!A$1:CB$87,Formula!B75,31))+Formula!E75*(INDEX(Properties!A$1:CB$87,Formula!D75,31))+Formula!G75*(INDEX(Properties!A$1:CB$87,Formula!F75,31))+Formula!I75*(INDEX(Properties!A$1:CB$87,Formula!H75,31))+Formula!K75*(INDEX(Properties!A$1:CB$87,Formula!J75,31))</f>
        <v>106.97</v>
      </c>
      <c r="CV75" s="69">
        <f>VARP(IF(INDEX(Properties!A$1:CB$87,Formula!B75,31)&lt;&gt;"",INDEX(Properties!A$1:CB$87,Formula!B75,31)),IF(INDEX(Properties!A$1:CB$87,Formula!D75,31)&lt;&gt;"",INDEX(Properties!A$1:CB$87,Formula!D75,31)),IF(INDEX(Properties!A$1:CB$87,Formula!F75,31)&lt;&gt;"",INDEX(Properties!A$1:CB$87,Formula!F75,31)),IF(INDEX(Properties!A$1:CB$87,Formula!H75,31)&lt;&gt;"",INDEX(Properties!A$1:CB$87,Formula!H75,31)),IF(INDEX(Properties!A$1:CB$87,Formula!J75,31)&lt;&gt;"",INDEX(Properties!A$1:CB$87,Formula!J75,31)))</f>
        <v>1.348544</v>
      </c>
      <c r="CW75" s="69">
        <f>MAX(INDEX(Properties!A$1:CB$87,Formula!B75,31),INDEX(Properties!A$1:CB$87,Formula!D75,31),INDEX(Properties!A$1:CB$87,Formula!F75,31),INDEX(Properties!A$1:CB$87,Formula!H75,31),INDEX(Properties!A$1:CB$87,Formula!J75,31))</f>
        <v>3.32</v>
      </c>
      <c r="CX75" s="69">
        <f>MIN(IF(INDEX(Properties!A$1:CB$87,Formula!B75,31)=0,10^6,INDEX(Properties!A$1:CB$87,Formula!B75,31)),IF(INDEX(Properties!A$1:CB$87,Formula!D75,31)=0,10^6,INDEX(Properties!A$1:CB$87,Formula!D75,31)),IF(INDEX(Properties!A$1:CB$87,Formula!F75,31)=0,10^6,INDEX(Properties!A$1:CB$87,Formula!F75,31)),IF(INDEX(Properties!A$1:CB$87,Formula!H75,31)=0,10^6,INDEX(Properties!A$1:CB$87,Formula!H75,31)),IF(INDEX(Properties!A$1:CB$87,Formula!J75,31)=0,10^6,INDEX(Properties!A$1:CB$87,Formula!J75,31)))</f>
        <v>0.89</v>
      </c>
      <c r="CY75" s="69">
        <f t="shared" si="48"/>
        <v>2.4299999999999997</v>
      </c>
      <c r="CZ75" s="42">
        <f>((Formula!C75)/(Formula!C75+Formula!E75+Formula!G75+Formula!I75+Formula!K75))*(INDEX(Properties!A$1:CB$87,Formula!B75,32))+((Formula!E75)/(Formula!C75+Formula!E75+Formula!G75+Formula!I75+Formula!K75))*(INDEX(Properties!A$1:CB$87,Formula!D75,32))+((Formula!G75)/(Formula!C75+Formula!E75+Formula!G75+Formula!I75+Formula!K75))*(INDEX(Properties!A$1:CB$87,Formula!F75,32))+((Formula!I75)/(Formula!C75+Formula!E75+Formula!G75+Formula!I75+Formula!K75))*(INDEX(Properties!A$1:CB$87,Formula!H75,32))+((Formula!K75)/(Formula!C75+Formula!E75+Formula!G75+Formula!I75+Formula!K75))*(INDEX(Properties!A$1:CB$87,Formula!J75,32))</f>
        <v>6.4915789473684207</v>
      </c>
      <c r="DA75" s="42">
        <f>Formula!C75*(INDEX(Properties!A$1:CB$87,Formula!B75,32))+Formula!E75*(INDEX(Properties!A$1:CB$87,Formula!D75,32))+Formula!G75*(INDEX(Properties!A$1:CB$87,Formula!F75,32))+Formula!I75*(INDEX(Properties!A$1:CB$87,Formula!H75,32))+Formula!K75*(INDEX(Properties!A$1:CB$87,Formula!J75,32))</f>
        <v>246.68</v>
      </c>
      <c r="DB75" s="42">
        <f>VARP(IF(INDEX(Properties!A$1:CB$87,Formula!B75,32)&lt;&gt;"",INDEX(Properties!A$1:CB$87,Formula!B75,32)),IF(INDEX(Properties!A$1:CB$87,Formula!D75,32)&lt;&gt;"",INDEX(Properties!A$1:CB$87,Formula!D75,32)),IF(INDEX(Properties!A$1:CB$87,Formula!F75,32)&lt;&gt;"",INDEX(Properties!A$1:CB$87,Formula!F75,32)),IF(INDEX(Properties!A$1:CB$87,Formula!H75,32)&lt;&gt;"",INDEX(Properties!A$1:CB$87,Formula!H75,32)),IF(INDEX(Properties!A$1:CB$87,Formula!J75,32)&lt;&gt;"",INDEX(Properties!A$1:CB$87,Formula!J75,32)))</f>
        <v>6.5713199999999983</v>
      </c>
      <c r="DC75" s="42">
        <f>MAX(INDEX(Properties!A$1:CB$87,Formula!B75,32),INDEX(Properties!A$1:CB$87,Formula!D75,32),INDEX(Properties!A$1:CB$87,Formula!F75,32),INDEX(Properties!A$1:CB$87,Formula!H75,32),INDEX(Properties!A$1:CB$87,Formula!J75,32))</f>
        <v>7.54</v>
      </c>
      <c r="DD75" s="42">
        <f>MIN(IF(INDEX(Properties!A$1:CB$87,Formula!B75,32)=0,10^6,INDEX(Properties!A$1:CB$87,Formula!B75,32)),IF(INDEX(Properties!A$1:CB$87,Formula!D75,32)=0,10^6,INDEX(Properties!A$1:CB$87,Formula!D75,32)),IF(INDEX(Properties!A$1:CB$87,Formula!F75,32)=0,10^6,INDEX(Properties!A$1:CB$87,Formula!F75,32)),IF(INDEX(Properties!A$1:CB$87,Formula!H75,32)=0,10^6,INDEX(Properties!A$1:CB$87,Formula!H75,32)),IF(INDEX(Properties!A$1:CB$87,Formula!J75,32)=0,10^6,INDEX(Properties!A$1:CB$87,Formula!J75,32)))</f>
        <v>2.85</v>
      </c>
      <c r="DE75" s="42">
        <f t="shared" si="49"/>
        <v>4.6899999999999995</v>
      </c>
      <c r="DF75" s="60">
        <f>((Formula!C75)/(Formula!C75+Formula!E75+Formula!G75+Formula!I75+Formula!K75))*(INDEX(Properties!A$1:CB$87,Formula!B75,34))+((Formula!E75)/(Formula!C75+Formula!E75+Formula!G75+Formula!I75+Formula!K75))*(INDEX(Properties!A$1:CB$87,Formula!D75,34))+((Formula!G75)/(Formula!C75+Formula!E75+Formula!G75+Formula!I75+Formula!K75))*(INDEX(Properties!A$1:CB$87,Formula!F75,34))+((Formula!I75)/(Formula!C75+Formula!E75+Formula!G75+Formula!I75+Formula!K75))*(INDEX(Properties!A$1:CB$87,Formula!H75,34))+((Formula!K75)/(Formula!C75+Formula!E75+Formula!G75+Formula!I75+Formula!K75))*(INDEX(Properties!A$1:CB$87,Formula!J75,34))</f>
        <v>2.968815789473684</v>
      </c>
      <c r="DG75" s="60">
        <f>Formula!C75*(INDEX(Properties!A$1:CB$87,Formula!B75,34))+Formula!E75*(INDEX(Properties!A$1:CB$87,Formula!D75,34))+Formula!G75*(INDEX(Properties!A$1:CB$87,Formula!F75,34))+Formula!I75*(INDEX(Properties!A$1:CB$87,Formula!H75,34))+Formula!K75*(INDEX(Properties!A$1:CB$87,Formula!J75,34))</f>
        <v>112.815</v>
      </c>
      <c r="DH75" s="60">
        <f>VARP(IF(INDEX(Properties!A$1:CB$87,Formula!B75,34)&lt;&gt;"",INDEX(Properties!A$1:CB$87,Formula!B75,34)),IF(INDEX(Properties!A$1:CB$87,Formula!D75,34)&lt;&gt;"",INDEX(Properties!A$1:CB$87,Formula!D75,34)),IF(INDEX(Properties!A$1:CB$87,Formula!F75,34)&lt;&gt;"",INDEX(Properties!A$1:CB$87,Formula!F75,34)),IF(INDEX(Properties!A$1:CB$87,Formula!H75,34)&lt;&gt;"",INDEX(Properties!A$1:CB$87,Formula!H75,34)),IF(INDEX(Properties!A$1:CB$87,Formula!J75,34)&lt;&gt;"",INDEX(Properties!A$1:CB$87,Formula!J75,34)))</f>
        <v>1.5237714400000004</v>
      </c>
      <c r="DI75" s="60">
        <f>MAX(INDEX(Properties!A$1:CB$87,Formula!B75,34),INDEX(Properties!A$1:CB$87,Formula!D75,34),INDEX(Properties!A$1:CB$87,Formula!F75,34),INDEX(Properties!A$1:CB$87,Formula!H75,34),INDEX(Properties!A$1:CB$87,Formula!J75,34))</f>
        <v>3.61</v>
      </c>
      <c r="DJ75" s="60">
        <f>MIN(IF(INDEX(Properties!A$1:CB$87,Formula!B75,34)=0,10^6,INDEX(Properties!A$1:CB$87,Formula!B75,34)),IF(INDEX(Properties!A$1:CB$87,Formula!D75,34)=0,10^6,INDEX(Properties!A$1:CB$87,Formula!D75,34)),IF(INDEX(Properties!A$1:CB$87,Formula!F75,34)=0,10^6,INDEX(Properties!A$1:CB$87,Formula!F75,34)),IF(INDEX(Properties!A$1:CB$87,Formula!H75,34)=0,10^6,INDEX(Properties!A$1:CB$87,Formula!H75,34)),IF(INDEX(Properties!A$1:CB$87,Formula!J75,34)=0,10^6,INDEX(Properties!A$1:CB$87,Formula!J75,34)))</f>
        <v>0.86899999999999999</v>
      </c>
      <c r="DK75" s="60">
        <f t="shared" si="50"/>
        <v>2.7409999999999997</v>
      </c>
      <c r="DL75" s="45">
        <f>((Formula!C75)/(Formula!C75+Formula!E75+Formula!G75+Formula!I75+Formula!K75))*(INDEX(Properties!A$1:CB$87,Formula!B75,39))+((Formula!E75)/(Formula!C75+Formula!E75+Formula!G75+Formula!I75+Formula!K75))*(INDEX(Properties!A$1:CB$87,Formula!D75,39))+((Formula!G75)/(Formula!C75+Formula!E75+Formula!G75+Formula!I75+Formula!K75))*(INDEX(Properties!A$1:CB$87,Formula!F75,39))+((Formula!I75)/(Formula!C75+Formula!E75+Formula!G75+Formula!I75+Formula!K75))*(INDEX(Properties!A$1:CB$87,Formula!H75,39))+((Formula!K75)/(Formula!C75+Formula!E75+Formula!G75+Formula!I75+Formula!K75))*(INDEX(Properties!A$1:CB$87,Formula!J75,39))</f>
        <v>0.79605263157894735</v>
      </c>
      <c r="DM75" s="45">
        <f>Formula!C75*(INDEX(Properties!A$1:CB$87,Formula!B75,39))+Formula!E75*(INDEX(Properties!A$1:CB$87,Formula!D75,39))+Formula!G75*(INDEX(Properties!A$1:CB$87,Formula!F75,39))+Formula!I75*(INDEX(Properties!A$1:CB$87,Formula!H75,39))+Formula!K75*(INDEX(Properties!A$1:CB$87,Formula!J75,39))</f>
        <v>30.249999999999996</v>
      </c>
      <c r="DN75" s="45">
        <f>VARP(IF(INDEX(Properties!A$1:CB$87,Formula!B75,39)&lt;&gt;"",INDEX(Properties!A$1:CB$87,Formula!B75,39)),IF(INDEX(Properties!A$1:CB$87,Formula!D75,39)&lt;&gt;"",INDEX(Properties!A$1:CB$87,Formula!D75,39)),IF(INDEX(Properties!A$1:CB$87,Formula!F75,39)&lt;&gt;"",INDEX(Properties!A$1:CB$87,Formula!F75,39)),IF(INDEX(Properties!A$1:CB$87,Formula!H75,39)&lt;&gt;"",INDEX(Properties!A$1:CB$87,Formula!H75,39)),IF(INDEX(Properties!A$1:CB$87,Formula!J75,39)&lt;&gt;"",INDEX(Properties!A$1:CB$87,Formula!J75,39)))</f>
        <v>0.4513759999999995</v>
      </c>
      <c r="DO75" s="45">
        <f>MAX(INDEX(Properties!A$1:CB$87,Formula!B75,39),INDEX(Properties!A$1:CB$87,Formula!D75,39),INDEX(Properties!A$1:CB$87,Formula!F75,39),INDEX(Properties!A$1:CB$87,Formula!H75,39),INDEX(Properties!A$1:CB$87,Formula!J75,39))</f>
        <v>1.9</v>
      </c>
      <c r="DP75" s="45">
        <f>MIN(IF(INDEX(Properties!A$1:CB$87,Formula!B75,39)=0,10^6,INDEX(Properties!A$1:CB$87,Formula!B75,39)),IF(INDEX(Properties!A$1:CB$87,Formula!D75,39)=0,10^6,INDEX(Properties!A$1:CB$87,Formula!D75,39)),IF(INDEX(Properties!A$1:CB$87,Formula!F75,39)=0,10^6,INDEX(Properties!A$1:CB$87,Formula!F75,39)),IF(INDEX(Properties!A$1:CB$87,Formula!H75,39)=0,10^6,INDEX(Properties!A$1:CB$87,Formula!H75,39)),IF(INDEX(Properties!A$1:CB$87,Formula!J75,39)=0,10^6,INDEX(Properties!A$1:CB$87,Formula!J75,39)))</f>
        <v>0.48</v>
      </c>
      <c r="DQ75" s="45">
        <f t="shared" si="51"/>
        <v>1.42</v>
      </c>
      <c r="DR75" s="63">
        <f>((Formula!C75)/(Formula!C75+Formula!E75+Formula!G75+Formula!I75+Formula!K75))*(INDEX(Properties!A$1:CB$87,Formula!B75,40))+((Formula!E75)/(Formula!C75+Formula!E75+Formula!G75+Formula!I75+Formula!K75))*(INDEX(Properties!A$1:CB$87,Formula!D75,40))+((Formula!G75)/(Formula!C75+Formula!E75+Formula!G75+Formula!I75+Formula!K75))*(INDEX(Properties!A$1:CB$87,Formula!F75,40))+((Formula!I75)/(Formula!C75+Formula!E75+Formula!G75+Formula!I75+Formula!K75))*(INDEX(Properties!A$1:CB$87,Formula!H75,40))+((Formula!K75)/(Formula!C75+Formula!E75+Formula!G75+Formula!I75+Formula!K75))*(INDEX(Properties!A$1:CB$87,Formula!J75,40))</f>
        <v>0.94210526315789478</v>
      </c>
      <c r="DS75" s="63">
        <f>Formula!C75*(INDEX(Properties!A$1:CB$87,Formula!B75,40))+Formula!E75*(INDEX(Properties!A$1:CB$87,Formula!D75,40))+Formula!G75*(INDEX(Properties!A$1:CB$87,Formula!F75,40))+Formula!I75*(INDEX(Properties!A$1:CB$87,Formula!H75,40))+Formula!K75*(INDEX(Properties!A$1:CB$87,Formula!J75,40))</f>
        <v>35.799999999999997</v>
      </c>
      <c r="DT75" s="63">
        <f>VARP(IF(INDEX(Properties!A$1:CB$87,Formula!B75,40)&lt;&gt;"",INDEX(Properties!A$1:CB$87,Formula!B75,40)),IF(INDEX(Properties!A$1:CB$87,Formula!D75,40)&lt;&gt;"",INDEX(Properties!A$1:CB$87,Formula!D75,40)),IF(INDEX(Properties!A$1:CB$87,Formula!F75,40)&lt;&gt;"",INDEX(Properties!A$1:CB$87,Formula!F75,40)),IF(INDEX(Properties!A$1:CB$87,Formula!H75,40)&lt;&gt;"",INDEX(Properties!A$1:CB$87,Formula!H75,40)),IF(INDEX(Properties!A$1:CB$87,Formula!J75,40)&lt;&gt;"",INDEX(Properties!A$1:CB$87,Formula!J75,40)))</f>
        <v>0.31417599999999951</v>
      </c>
      <c r="DU75" s="63">
        <f>MAX(INDEX(Properties!A$1:CB$87,Formula!B75,40),INDEX(Properties!A$1:CB$87,Formula!D75,40),INDEX(Properties!A$1:CB$87,Formula!F75,40),INDEX(Properties!A$1:CB$87,Formula!H75,40),INDEX(Properties!A$1:CB$87,Formula!J75,40))</f>
        <v>1.54</v>
      </c>
      <c r="DV75" s="63">
        <f>MIN(IF(INDEX(Properties!A$1:CB$87,Formula!B75,40)=0,10^6,INDEX(Properties!A$1:CB$87,Formula!B75,40)),IF(INDEX(Properties!A$1:CB$87,Formula!D75,40)=0,10^6,INDEX(Properties!A$1:CB$87,Formula!D75,40)),IF(INDEX(Properties!A$1:CB$87,Formula!F75,40)=0,10^6,INDEX(Properties!A$1:CB$87,Formula!F75,40)),IF(INDEX(Properties!A$1:CB$87,Formula!H75,40)=0,10^6,INDEX(Properties!A$1:CB$87,Formula!H75,40)),IF(INDEX(Properties!A$1:CB$87,Formula!J75,40)=0,10^6,INDEX(Properties!A$1:CB$87,Formula!J75,40)))</f>
        <v>0.73</v>
      </c>
      <c r="DW75" s="63">
        <f t="shared" si="52"/>
        <v>0.81</v>
      </c>
      <c r="DX75" s="75">
        <f>((Formula!C75)/(Formula!C75+Formula!E75+Formula!G75+Formula!I75+Formula!K75))*(INDEX(Properties!A$1:CB$87,Formula!B75,41))+((Formula!E75)/(Formula!C75+Formula!E75+Formula!G75+Formula!I75+Formula!K75))*(INDEX(Properties!A$1:CB$87,Formula!D75,41))+((Formula!G75)/(Formula!C75+Formula!E75+Formula!G75+Formula!I75+Formula!K75))*(INDEX(Properties!A$1:CB$87,Formula!F75,41))+((Formula!I75)/(Formula!C75+Formula!E75+Formula!G75+Formula!I75+Formula!K75))*(INDEX(Properties!A$1:CB$87,Formula!H75,41))+((Formula!K75)/(Formula!C75+Formula!E75+Formula!G75+Formula!I75+Formula!K75))*(INDEX(Properties!A$1:CB$87,Formula!J75,41))</f>
        <v>1.1328947368421052</v>
      </c>
      <c r="DY75" s="75">
        <f>Formula!C75*(INDEX(Properties!A$1:CB$87,Formula!B75,41))+Formula!E75*(INDEX(Properties!A$1:CB$87,Formula!D75,41))+Formula!G75*(INDEX(Properties!A$1:CB$87,Formula!F75,41))+Formula!I75*(INDEX(Properties!A$1:CB$87,Formula!H75,41))+Formula!K75*(INDEX(Properties!A$1:CB$87,Formula!J75,41))</f>
        <v>43.05</v>
      </c>
      <c r="DZ75" s="75">
        <f>VARP(IF(INDEX(Properties!A$1:CB$87,Formula!B75,41)&lt;&gt;"",INDEX(Properties!A$1:CB$87,Formula!B75,41)),IF(INDEX(Properties!A$1:CB$87,Formula!D75,41)&lt;&gt;"",INDEX(Properties!A$1:CB$87,Formula!D75,41)),IF(INDEX(Properties!A$1:CB$87,Formula!F75,41)&lt;&gt;"",INDEX(Properties!A$1:CB$87,Formula!F75,41)),IF(INDEX(Properties!A$1:CB$87,Formula!H75,41)&lt;&gt;"",INDEX(Properties!A$1:CB$87,Formula!H75,41)),IF(INDEX(Properties!A$1:CB$87,Formula!J75,41)&lt;&gt;"",INDEX(Properties!A$1:CB$87,Formula!J75,41)))</f>
        <v>0.23214399999999999</v>
      </c>
      <c r="EA75" s="75">
        <f>MAX(INDEX(Properties!A$1:CB$87,Formula!B75,41),INDEX(Properties!A$1:CB$87,Formula!D75,41),INDEX(Properties!A$1:CB$87,Formula!F75,41),INDEX(Properties!A$1:CB$87,Formula!H75,41),INDEX(Properties!A$1:CB$87,Formula!J75,41))</f>
        <v>1.26</v>
      </c>
      <c r="EB75" s="75">
        <f>MIN(IF(INDEX(Properties!A$1:CB$87,Formula!B75,41)=0,10^6,INDEX(Properties!A$1:CB$87,Formula!B75,41)),IF(INDEX(Properties!A$1:CB$87,Formula!D75,41)=0,10^6,INDEX(Properties!A$1:CB$87,Formula!D75,41)),IF(INDEX(Properties!A$1:CB$87,Formula!F75,41)=0,10^6,INDEX(Properties!A$1:CB$87,Formula!F75,41)),IF(INDEX(Properties!A$1:CB$87,Formula!H75,41)=0,10^6,INDEX(Properties!A$1:CB$87,Formula!H75,41)),IF(INDEX(Properties!A$1:CB$87,Formula!J75,41)=0,10^6,INDEX(Properties!A$1:CB$87,Formula!J75,41)))</f>
        <v>0.57999999999999996</v>
      </c>
      <c r="EC75" s="75">
        <f t="shared" si="53"/>
        <v>0.68</v>
      </c>
      <c r="ED75" s="48">
        <f>((Formula!C75)/(Formula!C75+Formula!E75+Formula!G75+Formula!I75+Formula!K75))*(INDEX(Properties!A$1:CB$87,Formula!B75,45))+((Formula!E75)/(Formula!C75+Formula!E75+Formula!G75+Formula!I75+Formula!K75))*(INDEX(Properties!A$1:CB$87,Formula!D75,45))+((Formula!G75)/(Formula!C75+Formula!E75+Formula!G75+Formula!I75+Formula!K75))*(INDEX(Properties!A$1:CB$87,Formula!F75,45))+((Formula!I75)/(Formula!C75+Formula!E75+Formula!G75+Formula!I75+Formula!K75))*(INDEX(Properties!A$1:CB$87,Formula!H75,45))+((Formula!K75)/(Formula!C75+Formula!E75+Formula!G75+Formula!I75+Formula!K75))*(INDEX(Properties!A$1:CB$87,Formula!J75,45))</f>
        <v>0.96499999999999986</v>
      </c>
      <c r="EE75" s="48">
        <f>Formula!C75*(INDEX(Properties!A$1:CB$87,Formula!B75,45))+Formula!E75*(INDEX(Properties!A$1:CB$87,Formula!D75,45))+Formula!G75*(INDEX(Properties!A$1:CB$87,Formula!F75,45))+Formula!I75*(INDEX(Properties!A$1:CB$87,Formula!H75,45))+Formula!K75*(INDEX(Properties!A$1:CB$87,Formula!J75,45))</f>
        <v>36.67</v>
      </c>
      <c r="EF75" s="48">
        <f>VARP(IF(INDEX(Properties!A$1:CB$87,Formula!B75,45)&lt;&gt;"",INDEX(Properties!A$1:CB$87,Formula!B75,45)),IF(INDEX(Properties!A$1:CB$87,Formula!D75,45)&lt;&gt;"",INDEX(Properties!A$1:CB$87,Formula!D75,45)),IF(INDEX(Properties!A$1:CB$87,Formula!F75,45)&lt;&gt;"",INDEX(Properties!A$1:CB$87,Formula!F75,45)),IF(INDEX(Properties!A$1:CB$87,Formula!H75,45)&lt;&gt;"",INDEX(Properties!A$1:CB$87,Formula!H75,45)),IF(INDEX(Properties!A$1:CB$87,Formula!J75,45)&lt;&gt;"",INDEX(Properties!A$1:CB$87,Formula!J75,45)))</f>
        <v>0.93821599999999994</v>
      </c>
      <c r="EG75" s="48">
        <f>MAX(INDEX(Properties!A$1:CB$87,Formula!B75,45),INDEX(Properties!A$1:CB$87,Formula!D75,45),INDEX(Properties!A$1:CB$87,Formula!F75,45),INDEX(Properties!A$1:CB$87,Formula!H75,45),INDEX(Properties!A$1:CB$87,Formula!J75,45))</f>
        <v>2.65</v>
      </c>
      <c r="EH75" s="48">
        <f>MIN(IF(INDEX(Properties!A$1:CB$87,Formula!B75,45)=0,10^6,INDEX(Properties!A$1:CB$87,Formula!B75,45)),IF(INDEX(Properties!A$1:CB$87,Formula!D75,45)=0,10^6,INDEX(Properties!A$1:CB$87,Formula!D75,45)),IF(INDEX(Properties!A$1:CB$87,Formula!F75,45)=0,10^6,INDEX(Properties!A$1:CB$87,Formula!F75,45)),IF(INDEX(Properties!A$1:CB$87,Formula!H75,45)=0,10^6,INDEX(Properties!A$1:CB$87,Formula!H75,45)),IF(INDEX(Properties!A$1:CB$87,Formula!J75,45)=0,10^6,INDEX(Properties!A$1:CB$87,Formula!J75,45)))</f>
        <v>0.47</v>
      </c>
      <c r="EI75" s="48">
        <f t="shared" si="54"/>
        <v>2.1799999999999997</v>
      </c>
      <c r="EJ75" s="66">
        <f>((Formula!C75)/(Formula!C75+Formula!E75+Formula!G75+Formula!I75+Formula!K75))*(INDEX(Properties!A$1:CB$87,Formula!B75,46))+((Formula!E75)/(Formula!C75+Formula!E75+Formula!G75+Formula!I75+Formula!K75))*(INDEX(Properties!A$1:CB$87,Formula!D75,46))+((Formula!G75)/(Formula!C75+Formula!E75+Formula!G75+Formula!I75+Formula!K75))*(INDEX(Properties!A$1:CB$87,Formula!F75,46))+((Formula!I75)/(Formula!C75+Formula!E75+Formula!G75+Formula!I75+Formula!K75))*(INDEX(Properties!A$1:CB$87,Formula!H75,46))+((Formula!K75)/(Formula!C75+Formula!E75+Formula!G75+Formula!I75+Formula!K75))*(INDEX(Properties!A$1:CB$87,Formula!J75,46))</f>
        <v>1.0586842105263157</v>
      </c>
      <c r="EK75" s="66">
        <f>Formula!C75*(INDEX(Properties!A$1:CB$87,Formula!B75,46))+Formula!E75*(INDEX(Properties!A$1:CB$87,Formula!D75,46))+Formula!G75*(INDEX(Properties!A$1:CB$87,Formula!F75,46))+Formula!I75*(INDEX(Properties!A$1:CB$87,Formula!H75,46))+Formula!K75*(INDEX(Properties!A$1:CB$87,Formula!J75,46))</f>
        <v>40.229999999999997</v>
      </c>
      <c r="EL75" s="66">
        <f>VARP(IF(INDEX(Properties!A$1:CB$87,Formula!B75,46)&lt;&gt;"",INDEX(Properties!A$1:CB$87,Formula!B75,46)),IF(INDEX(Properties!A$1:CB$87,Formula!D75,46)&lt;&gt;"",INDEX(Properties!A$1:CB$87,Formula!D75,46)),IF(INDEX(Properties!A$1:CB$87,Formula!F75,46)&lt;&gt;"",INDEX(Properties!A$1:CB$87,Formula!F75,46)),IF(INDEX(Properties!A$1:CB$87,Formula!H75,46)&lt;&gt;"",INDEX(Properties!A$1:CB$87,Formula!H75,46)),IF(INDEX(Properties!A$1:CB$87,Formula!J75,46)&lt;&gt;"",INDEX(Properties!A$1:CB$87,Formula!J75,46)))</f>
        <v>0.26203999999999977</v>
      </c>
      <c r="EM75" s="66">
        <f>MAX(INDEX(Properties!A$1:CB$87,Formula!B75,46),INDEX(Properties!A$1:CB$87,Formula!D75,46),INDEX(Properties!A$1:CB$87,Formula!F75,46),INDEX(Properties!A$1:CB$87,Formula!H75,46),INDEX(Properties!A$1:CB$87,Formula!J75,46))</f>
        <v>1.21</v>
      </c>
      <c r="EN75" s="66">
        <f>MIN(IF(INDEX(Properties!A$1:CB$87,Formula!B75,46)=0,10^6,INDEX(Properties!A$1:CB$87,Formula!B75,46)),IF(INDEX(Properties!A$1:CB$87,Formula!D75,46)=0,10^6,INDEX(Properties!A$1:CB$87,Formula!D75,46)),IF(INDEX(Properties!A$1:CB$87,Formula!F75,46)=0,10^6,INDEX(Properties!A$1:CB$87,Formula!F75,46)),IF(INDEX(Properties!A$1:CB$87,Formula!H75,46)=0,10^6,INDEX(Properties!A$1:CB$87,Formula!H75,46)),IF(INDEX(Properties!A$1:CB$87,Formula!J75,46)=0,10^6,INDEX(Properties!A$1:CB$87,Formula!J75,46)))</f>
        <v>0.31</v>
      </c>
      <c r="EO75" s="66">
        <f t="shared" si="55"/>
        <v>0.89999999999999991</v>
      </c>
      <c r="EP75" s="81">
        <f>((Formula!C75)/(Formula!C75+Formula!E75+Formula!G75+Formula!I75+Formula!K75))*(INDEX(Properties!A$1:CB$87,Formula!B75,52))+((Formula!E75)/(Formula!C75+Formula!E75+Formula!G75+Formula!I75+Formula!K75))*(INDEX(Properties!A$1:CB$87,Formula!D75,52))+((Formula!G75)/(Formula!C75+Formula!E75+Formula!G75+Formula!I75+Formula!K75))*(INDEX(Properties!A$1:CB$87,Formula!F75,52))+((Formula!I75)/(Formula!C75+Formula!E75+Formula!G75+Formula!I75+Formula!K75))*(INDEX(Properties!A$1:CB$87,Formula!H75,52))+((Formula!K75)/(Formula!C75+Formula!E75+Formula!G75+Formula!I75+Formula!K75))*(INDEX(Properties!A$1:CB$87,Formula!J75,52))</f>
        <v>3.9061052631578947</v>
      </c>
      <c r="EQ75" s="81">
        <f>Formula!C75*(INDEX(Properties!A$1:CB$87,Formula!B75,52))+Formula!E75*(INDEX(Properties!A$1:CB$87,Formula!D75,52))+Formula!G75*(INDEX(Properties!A$1:CB$87,Formula!F75,52))+Formula!I75*(INDEX(Properties!A$1:CB$87,Formula!H75,52))+Formula!K75*(INDEX(Properties!A$1:CB$87,Formula!J75,52))</f>
        <v>148.43200000000002</v>
      </c>
      <c r="ER75" s="81">
        <f>VARP(IF(INDEX(Properties!A$1:CB$87,Formula!B75,52)&lt;&gt;"",INDEX(Properties!A$1:CB$87,Formula!B75,52)),IF(INDEX(Properties!A$1:CB$87,Formula!D75,52)&lt;&gt;"",INDEX(Properties!A$1:CB$87,Formula!D75,52)),IF(INDEX(Properties!A$1:CB$87,Formula!F75,52)&lt;&gt;"",INDEX(Properties!A$1:CB$87,Formula!F75,52)),IF(INDEX(Properties!A$1:CB$87,Formula!H75,52)&lt;&gt;"",INDEX(Properties!A$1:CB$87,Formula!H75,52)),IF(INDEX(Properties!A$1:CB$87,Formula!J75,52)&lt;&gt;"",INDEX(Properties!A$1:CB$87,Formula!J75,52)))</f>
        <v>74.955191839999998</v>
      </c>
      <c r="ES75" s="81">
        <f>MAX(INDEX(Properties!A$1:CB$87,Formula!B75,52),INDEX(Properties!A$1:CB$87,Formula!D75,52),INDEX(Properties!A$1:CB$87,Formula!F75,52),INDEX(Properties!A$1:CB$87,Formula!H75,52),INDEX(Properties!A$1:CB$87,Formula!J75,52))</f>
        <v>23.6</v>
      </c>
      <c r="ET75" s="81">
        <f>MIN(IF(INDEX(Properties!A$1:CB$87,Formula!B75,52)=0,10^6,INDEX(Properties!A$1:CB$87,Formula!B75,52)),IF(INDEX(Properties!A$1:CB$87,Formula!D75,52)=0,10^6,INDEX(Properties!A$1:CB$87,Formula!D75,52)),IF(INDEX(Properties!A$1:CB$87,Formula!F75,52)=0,10^6,INDEX(Properties!A$1:CB$87,Formula!F75,52)),IF(INDEX(Properties!A$1:CB$87,Formula!H75,52)=0,10^6,INDEX(Properties!A$1:CB$87,Formula!H75,52)),IF(INDEX(Properties!A$1:CB$87,Formula!J75,52)=0,10^6,INDEX(Properties!A$1:CB$87,Formula!J75,52)))</f>
        <v>0.79300000000000004</v>
      </c>
      <c r="EU75" s="81">
        <f t="shared" si="56"/>
        <v>22.807000000000002</v>
      </c>
      <c r="EV75" s="39">
        <f>((Formula!C75)/(Formula!C75+Formula!E75+Formula!G75+Formula!I75+Formula!K75))*(INDEX(Properties!A$1:CB$87,Formula!B75,53))+((Formula!E75)/(Formula!C75+Formula!E75+Formula!G75+Formula!I75+Formula!K75))*(INDEX(Properties!A$1:CB$87,Formula!D75,53))+((Formula!G75)/(Formula!C75+Formula!E75+Formula!G75+Formula!I75+Formula!K75))*(INDEX(Properties!A$1:CB$87,Formula!F75,53))+((Formula!I75)/(Formula!C75+Formula!E75+Formula!G75+Formula!I75+Formula!K75))*(INDEX(Properties!A$1:CB$87,Formula!H75,53))+((Formula!K75)/(Formula!C75+Formula!E75+Formula!G75+Formula!I75+Formula!K75))*(INDEX(Properties!A$1:CB$87,Formula!J75,53))</f>
        <v>185.55526315789473</v>
      </c>
      <c r="EW75" s="39">
        <f>Formula!C75*(INDEX(Properties!A$1:CB$87,Formula!B75,53))+Formula!E75*(INDEX(Properties!A$1:CB$87,Formula!D75,53))+Formula!G75*(INDEX(Properties!A$1:CB$87,Formula!F75,53))+Formula!I75*(INDEX(Properties!A$1:CB$87,Formula!H75,53))+Formula!K75*(INDEX(Properties!A$1:CB$87,Formula!J75,53))</f>
        <v>7051.0999999999995</v>
      </c>
      <c r="EX75" s="39">
        <f>VARP(IF(INDEX(Properties!A$1:CB$87,Formula!B75,53)&lt;&gt;"",INDEX(Properties!A$1:CB$87,Formula!B75,53)),IF(INDEX(Properties!A$1:CB$87,Formula!D75,53)&lt;&gt;"",INDEX(Properties!A$1:CB$87,Formula!D75,53)),IF(INDEX(Properties!A$1:CB$87,Formula!F75,53)&lt;&gt;"",INDEX(Properties!A$1:CB$87,Formula!F75,53)),IF(INDEX(Properties!A$1:CB$87,Formula!H75,53)&lt;&gt;"",INDEX(Properties!A$1:CB$87,Formula!H75,53)),IF(INDEX(Properties!A$1:CB$87,Formula!J75,53)&lt;&gt;"",INDEX(Properties!A$1:CB$87,Formula!J75,53)))</f>
        <v>41204.593600000015</v>
      </c>
      <c r="EY75" s="39">
        <f>MAX(INDEX(Properties!A$1:CB$87,Formula!B75,53),INDEX(Properties!A$1:CB$87,Formula!D75,53),INDEX(Properties!A$1:CB$87,Formula!F75,53),INDEX(Properties!A$1:CB$87,Formula!H75,53),INDEX(Properties!A$1:CB$87,Formula!J75,53))</f>
        <v>544.15</v>
      </c>
      <c r="EZ75" s="39">
        <f>MIN(IF(INDEX(Properties!A$1:CB$87,Formula!B75,53)=0,10^6,INDEX(Properties!A$1:CB$87,Formula!B75,53)),IF(INDEX(Properties!A$1:CB$87,Formula!D75,53)=0,10^6,INDEX(Properties!A$1:CB$87,Formula!D75,53)),IF(INDEX(Properties!A$1:CB$87,Formula!F75,53)=0,10^6,INDEX(Properties!A$1:CB$87,Formula!F75,53)),IF(INDEX(Properties!A$1:CB$87,Formula!H75,53)=0,10^6,INDEX(Properties!A$1:CB$87,Formula!H75,53)),IF(INDEX(Properties!A$1:CB$87,Formula!J75,53)=0,10^6,INDEX(Properties!A$1:CB$87,Formula!J75,53)))</f>
        <v>54.749999999999972</v>
      </c>
      <c r="FA75" s="39">
        <f t="shared" si="57"/>
        <v>489.4</v>
      </c>
      <c r="FB75" s="54">
        <f>((Formula!C75)/(Formula!C75+Formula!E75+Formula!G75+Formula!I75+Formula!K75))*(INDEX(Properties!A$1:CB$87,Formula!B75,54))+((Formula!E75)/(Formula!C75+Formula!E75+Formula!G75+Formula!I75+Formula!K75))*(INDEX(Properties!A$1:CB$87,Formula!D75,54))+((Formula!G75)/(Formula!C75+Formula!E75+Formula!G75+Formula!I75+Formula!K75))*(INDEX(Properties!A$1:CB$87,Formula!F75,54))+((Formula!I75)/(Formula!C75+Formula!E75+Formula!G75+Formula!I75+Formula!K75))*(INDEX(Properties!A$1:CB$87,Formula!H75,54))+((Formula!K75)/(Formula!C75+Formula!E75+Formula!G75+Formula!I75+Formula!K75))*(INDEX(Properties!A$1:CB$87,Formula!J75,54))</f>
        <v>476.75526315789466</v>
      </c>
      <c r="FC75" s="54">
        <f>Formula!C75*(INDEX(Properties!A$1:CB$87,Formula!B75,54))+Formula!E75*(INDEX(Properties!A$1:CB$87,Formula!D75,54))+Formula!G75*(INDEX(Properties!A$1:CB$87,Formula!F75,54))+Formula!I75*(INDEX(Properties!A$1:CB$87,Formula!H75,54))+Formula!K75*(INDEX(Properties!A$1:CB$87,Formula!J75,54))</f>
        <v>18116.7</v>
      </c>
      <c r="FD75" s="54">
        <f>VARP(IF(INDEX(Properties!A$1:CB$87,Formula!B75,54)&lt;&gt;"",INDEX(Properties!A$1:CB$87,Formula!B75,54)),IF(INDEX(Properties!A$1:CB$87,Formula!D75,54)&lt;&gt;"",INDEX(Properties!A$1:CB$87,Formula!D75,54)),IF(INDEX(Properties!A$1:CB$87,Formula!F75,54)&lt;&gt;"",INDEX(Properties!A$1:CB$87,Formula!F75,54)),IF(INDEX(Properties!A$1:CB$87,Formula!H75,54)&lt;&gt;"",INDEX(Properties!A$1:CB$87,Formula!H75,54)),IF(INDEX(Properties!A$1:CB$87,Formula!J75,54)&lt;&gt;"",INDEX(Properties!A$1:CB$87,Formula!J75,54)))</f>
        <v>474413.42760000011</v>
      </c>
      <c r="FE75" s="54">
        <f>MAX(INDEX(Properties!A$1:CB$87,Formula!B75,54),INDEX(Properties!A$1:CB$87,Formula!D75,54),INDEX(Properties!A$1:CB$87,Formula!F75,54),INDEX(Properties!A$1:CB$87,Formula!H75,54),INDEX(Properties!A$1:CB$87,Formula!J75,54))</f>
        <v>1833.15</v>
      </c>
      <c r="FF75" s="54">
        <f>MIN(IF(INDEX(Properties!A$1:CB$87,Formula!B75,54)=0,10^6,INDEX(Properties!A$1:CB$87,Formula!B75,54)),IF(INDEX(Properties!A$1:CB$87,Formula!D75,54)=0,10^6,INDEX(Properties!A$1:CB$87,Formula!D75,54)),IF(INDEX(Properties!A$1:CB$87,Formula!F75,54)=0,10^6,INDEX(Properties!A$1:CB$87,Formula!F75,54)),IF(INDEX(Properties!A$1:CB$87,Formula!H75,54)=0,10^6,INDEX(Properties!A$1:CB$87,Formula!H75,54)),IF(INDEX(Properties!A$1:CB$87,Formula!J75,54)=0,10^6,INDEX(Properties!A$1:CB$87,Formula!J75,54)))</f>
        <v>90.149999999999977</v>
      </c>
      <c r="FG75" s="54">
        <f t="shared" si="58"/>
        <v>1743</v>
      </c>
      <c r="FH75" s="69">
        <f>((Formula!C75)/(Formula!C75+Formula!E75+Formula!G75+Formula!I75+Formula!K75))*(INDEX(Properties!A$1:CB$87,Formula!B75,55))+((Formula!E75)/(Formula!C75+Formula!E75+Formula!G75+Formula!I75+Formula!K75))*(INDEX(Properties!A$1:CB$87,Formula!D75,55))+((Formula!G75)/(Formula!C75+Formula!E75+Formula!G75+Formula!I75+Formula!K75))*(INDEX(Properties!A$1:CB$87,Formula!F75,55))+((Formula!I75)/(Formula!C75+Formula!E75+Formula!G75+Formula!I75+Formula!K75))*(INDEX(Properties!A$1:CB$87,Formula!H75,55))+((Formula!K75)/(Formula!C75+Formula!E75+Formula!G75+Formula!I75+Formula!K75))*(INDEX(Properties!A$1:CB$87,Formula!J75,55))</f>
        <v>1.6478242105263157</v>
      </c>
      <c r="FI75" s="69">
        <f>Formula!C75*(INDEX(Properties!A$1:CB$87,Formula!B75,55))+Formula!E75*(INDEX(Properties!A$1:CB$87,Formula!D75,54))+Formula!G75*(INDEX(Properties!A$1:CB$87,Formula!F75,55))+Formula!I75*(INDEX(Properties!A$1:CB$87,Formula!H75,55))+Formula!K75*(INDEX(Properties!A$1:CB$87,Formula!J75,55))</f>
        <v>9179.6173200000012</v>
      </c>
      <c r="FJ75" s="69">
        <f>VARP(IF(INDEX(Properties!A$1:CB$87,Formula!B75,55)&lt;&gt;"",INDEX(Properties!A$1:CB$87,Formula!B75,55)),IF(INDEX(Properties!A$1:CB$87,Formula!D75,55)&lt;&gt;"",INDEX(Properties!A$1:CB$87,Formula!D75,55)),IF(INDEX(Properties!A$1:CB$87,Formula!F75,55)&lt;&gt;"",INDEX(Properties!A$1:CB$87,Formula!F75,55)),IF(INDEX(Properties!A$1:CB$87,Formula!H75,55)&lt;&gt;"",INDEX(Properties!A$1:CB$87,Formula!H75,55)),IF(INDEX(Properties!A$1:CB$87,Formula!J75,55)&lt;&gt;"",INDEX(Properties!A$1:CB$87,Formula!J75,55)))</f>
        <v>13.571046596783999</v>
      </c>
      <c r="FK75" s="69">
        <f>MAX(INDEX(Properties!A$1:CB$87,Formula!B75,55),INDEX(Properties!A$1:CB$87,Formula!D75,55),INDEX(Properties!A$1:CB$87,Formula!F75,55),INDEX(Properties!A$1:CB$87,Formula!H75,55),INDEX(Properties!A$1:CB$87,Formula!J75,55))</f>
        <v>9.75</v>
      </c>
      <c r="FL75" s="69">
        <f>MIN(IF(INDEX(Properties!A$1:CB$87,Formula!B75,55)=0,10^6,INDEX(Properties!A$1:CB$87,Formula!B75,55)),IF(INDEX(Properties!A$1:CB$87,Formula!D75,55)=0,10^6,INDEX(Properties!A$1:CB$87,Formula!D75,55)),IF(INDEX(Properties!A$1:CB$87,Formula!F75,55)=0,10^6,INDEX(Properties!A$1:CB$87,Formula!F75,55)),IF(INDEX(Properties!A$1:CB$87,Formula!H75,55)=0,10^6,INDEX(Properties!A$1:CB$87,Formula!H75,55)),IF(INDEX(Properties!A$1:CB$87,Formula!J75,55)=0,10^6,INDEX(Properties!A$1:CB$87,Formula!J75,55)))</f>
        <v>1.4300000000000001E-3</v>
      </c>
      <c r="FM75" s="69">
        <f t="shared" si="59"/>
        <v>9.7485700000000008</v>
      </c>
      <c r="FN75" s="42">
        <f>((Formula!C75)/(Formula!C75+Formula!E75+Formula!G75+Formula!I75+Formula!K75))*(INDEX(Properties!A$1:CB$87,Formula!B75,56))+((Formula!E75)/(Formula!C75+Formula!E75+Formula!G75+Formula!I75+Formula!K75))*(INDEX(Properties!A$1:CB$87,Formula!D75,56))+((Formula!G75)/(Formula!C75+Formula!E75+Formula!G75+Formula!I75+Formula!K75))*(INDEX(Properties!A$1:CB$87,Formula!F75,56))+((Formula!I75)/(Formula!C75+Formula!E75+Formula!G75+Formula!I75+Formula!K75))*(INDEX(Properties!A$1:CB$87,Formula!H75,56))+((Formula!K75)/(Formula!C75+Formula!E75+Formula!G75+Formula!I75+Formula!K75))*(INDEX(Properties!A$1:CB$87,Formula!J75,56))</f>
        <v>0.81552631578947365</v>
      </c>
      <c r="FO75" s="42">
        <f>Formula!C75*(INDEX(Properties!A$1:CB$87,Formula!B75,56))+Formula!E75*(INDEX(Properties!A$1:CB$87,Formula!D75,56))+Formula!G75*(INDEX(Properties!A$1:CB$87,Formula!F75,56))+Formula!I75*(INDEX(Properties!A$1:CB$87,Formula!H75,56))+Formula!K75*(INDEX(Properties!A$1:CB$87,Formula!J75,56))</f>
        <v>30.990000000000002</v>
      </c>
      <c r="FP75" s="42">
        <f>VARP(IF(INDEX(Properties!A$1:CB$87,Formula!B75,56)&lt;&gt;"",INDEX(Properties!A$1:CB$87,Formula!B75,56)),IF(INDEX(Properties!A$1:CB$87,Formula!D75,56)&lt;&gt;"",INDEX(Properties!A$1:CB$87,Formula!D75,56)),IF(INDEX(Properties!A$1:CB$87,Formula!F75,56)&lt;&gt;"",INDEX(Properties!A$1:CB$87,Formula!F75,56)),IF(INDEX(Properties!A$1:CB$87,Formula!H75,56)&lt;&gt;"",INDEX(Properties!A$1:CB$87,Formula!H75,56)),IF(INDEX(Properties!A$1:CB$87,Formula!J75,56)&lt;&gt;"",INDEX(Properties!A$1:CB$87,Formula!J75,56)))</f>
        <v>0.22365599999999994</v>
      </c>
      <c r="FQ75" s="42">
        <f>MAX(INDEX(Properties!A$1:CB$87,Formula!B75,56),INDEX(Properties!A$1:CB$87,Formula!D75,56),INDEX(Properties!A$1:CB$87,Formula!F75,56),INDEX(Properties!A$1:CB$87,Formula!H75,56),INDEX(Properties!A$1:CB$87,Formula!J75,56))</f>
        <v>1.23</v>
      </c>
      <c r="FR75" s="42">
        <f>MIN(IF(INDEX(Properties!A$1:CB$87,Formula!B75,56)=0,10^6,INDEX(Properties!A$1:CB$87,Formula!B75,56)),IF(INDEX(Properties!A$1:CB$87,Formula!D75,56)=0,10^6,INDEX(Properties!A$1:CB$87,Formula!D75,56)),IF(INDEX(Properties!A$1:CB$87,Formula!F75,56)=0,10^6,INDEX(Properties!A$1:CB$87,Formula!F75,56)),IF(INDEX(Properties!A$1:CB$87,Formula!H75,56)=0,10^6,INDEX(Properties!A$1:CB$87,Formula!H75,56)),IF(INDEX(Properties!A$1:CB$87,Formula!J75,56)=0,10^6,INDEX(Properties!A$1:CB$87,Formula!J75,56)))</f>
        <v>0.12</v>
      </c>
      <c r="FS75" s="42">
        <f t="shared" si="60"/>
        <v>1.1099999999999999</v>
      </c>
      <c r="FT75" s="60">
        <f>((Formula!C75)/(Formula!C75+Formula!E75+Formula!G75+Formula!I75+Formula!K75))*(INDEX(Properties!A$1:CB$87,Formula!B75,57))+((Formula!E75)/(Formula!C75+Formula!E75+Formula!G75+Formula!I75+Formula!K75))*(INDEX(Properties!A$1:CB$87,Formula!D75,57))+((Formula!G75)/(Formula!C75+Formula!E75+Formula!G75+Formula!I75+Formula!K75))*(INDEX(Properties!A$1:CB$87,Formula!F75,57))+((Formula!I75)/(Formula!C75+Formula!E75+Formula!G75+Formula!I75+Formula!K75))*(INDEX(Properties!A$1:CB$87,Formula!H75,57))+((Formula!K75)/(Formula!C75+Formula!E75+Formula!G75+Formula!I75+Formula!K75))*(INDEX(Properties!A$1:CB$87,Formula!J75,57))</f>
        <v>1.9362673684210527</v>
      </c>
      <c r="FU75" s="60">
        <f>Formula!C75*(INDEX(Properties!A$1:CB$87,Formula!B75,57))+Formula!E75*(INDEX(Properties!A$1:CB$87,Formula!D75,57))+Formula!G75*(INDEX(Properties!A$1:CB$87,Formula!F75,57))+Formula!I75*(INDEX(Properties!A$1:CB$87,Formula!H75,57))+Formula!K75*(INDEX(Properties!A$1:CB$87,Formula!J75,57))</f>
        <v>73.578159999999997</v>
      </c>
      <c r="FV75" s="60">
        <f>VARP(IF(INDEX(Properties!A$1:CB$87,Formula!B75,57)&lt;&gt;"",INDEX(Properties!A$1:CB$87,Formula!B75,57)),IF(INDEX(Properties!A$1:CB$87,Formula!D75,57)&lt;&gt;"",INDEX(Properties!A$1:CB$87,Formula!D75,57)),IF(INDEX(Properties!A$1:CB$87,Formula!F75,57)&lt;&gt;"",INDEX(Properties!A$1:CB$87,Formula!F75,57)),IF(INDEX(Properties!A$1:CB$87,Formula!H75,57)&lt;&gt;"",INDEX(Properties!A$1:CB$87,Formula!H75,57)),IF(INDEX(Properties!A$1:CB$87,Formula!J75,57)&lt;&gt;"",INDEX(Properties!A$1:CB$87,Formula!J75,57)))</f>
        <v>18.249073213295997</v>
      </c>
      <c r="FW75" s="60">
        <f>MAX(INDEX(Properties!A$1:CB$87,Formula!B75,57),INDEX(Properties!A$1:CB$87,Formula!D75,57),INDEX(Properties!A$1:CB$87,Formula!F75,57),INDEX(Properties!A$1:CB$87,Formula!H75,57),INDEX(Properties!A$1:CB$87,Formula!J75,57))</f>
        <v>11.3</v>
      </c>
      <c r="FX75" s="60">
        <f>MIN(IF(INDEX(Properties!A$1:CB$87,Formula!B75,57)=0,10^6,INDEX(Properties!A$1:CB$87,Formula!B75,57)),IF(INDEX(Properties!A$1:CB$87,Formula!D75,57)=0,10^6,INDEX(Properties!A$1:CB$87,Formula!D75,57)),IF(INDEX(Properties!A$1:CB$87,Formula!F75,57)=0,10^6,INDEX(Properties!A$1:CB$87,Formula!F75,57)),IF(INDEX(Properties!A$1:CB$87,Formula!H75,57)=0,10^6,INDEX(Properties!A$1:CB$87,Formula!H75,57)),IF(INDEX(Properties!A$1:CB$87,Formula!J75,57)=0,10^6,INDEX(Properties!A$1:CB$87,Formula!J75,57)))</f>
        <v>0.22259000000000001</v>
      </c>
      <c r="FY75" s="60">
        <f t="shared" si="61"/>
        <v>11.07741</v>
      </c>
      <c r="FZ75" s="72">
        <f>((Formula!C75)/(Formula!C75+Formula!E75+Formula!G75+Formula!I75+Formula!K75))*(INDEX(Properties!A$1:CB$87,Formula!B75,60))+((Formula!E75)/(Formula!C75+Formula!E75+Formula!G75+Formula!I75+Formula!K75))*(INDEX(Properties!A$1:CB$87,Formula!D75,60))+((Formula!G75)/(Formula!C75+Formula!E75+Formula!G75+Formula!I75+Formula!K75))*(INDEX(Properties!A$1:CB$87,Formula!F75,60))+((Formula!I75)/(Formula!C75+Formula!E75+Formula!G75+Formula!I75+Formula!K75))*(INDEX(Properties!A$1:CB$87,Formula!H75,60))+((Formula!K75)/(Formula!C75+Formula!E75+Formula!G75+Formula!I75+Formula!K75))*(INDEX(Properties!A$1:CB$87,Formula!J75,60))</f>
        <v>12.22109894736842</v>
      </c>
      <c r="GA75" s="72">
        <f>Formula!C75*(INDEX(Properties!A$1:CB$87,Formula!B75,60))+Formula!E75*(INDEX(Properties!A$1:CB$87,Formula!D75,60))+Formula!G75*(INDEX(Properties!A$1:CB$87,Formula!F75,60))+Formula!I75*(INDEX(Properties!A$1:CB$87,Formula!H75,60))+Formula!K75*(INDEX(Properties!A$1:CB$87,Formula!J75,60))</f>
        <v>464.40176000000002</v>
      </c>
      <c r="GB75" s="72">
        <f>VARP(IF(INDEX(Properties!A$1:CB$87,Formula!B75,60)&lt;&gt;"",INDEX(Properties!A$1:CB$87,Formula!B75,60)),IF(INDEX(Properties!A$1:CB$87,Formula!D75,60)&lt;&gt;"",INDEX(Properties!A$1:CB$87,Formula!D75,60)),IF(INDEX(Properties!A$1:CB$87,Formula!F75,60)&lt;&gt;"",INDEX(Properties!A$1:CB$87,Formula!F75,60)),IF(INDEX(Properties!A$1:CB$87,Formula!H75,60)&lt;&gt;"",INDEX(Properties!A$1:CB$87,Formula!H75,60)),IF(INDEX(Properties!A$1:CB$87,Formula!J75,60)&lt;&gt;"",INDEX(Properties!A$1:CB$87,Formula!J75,60)))</f>
        <v>3098.9875329884158</v>
      </c>
      <c r="GC75" s="72">
        <f>MAX(INDEX(Properties!A$1:CB$87,Formula!B75,60),INDEX(Properties!A$1:CB$87,Formula!D75,60),INDEX(Properties!A$1:CB$87,Formula!F75,60),INDEX(Properties!A$1:CB$87,Formula!H75,60),INDEX(Properties!A$1:CB$87,Formula!J75,60))</f>
        <v>141</v>
      </c>
      <c r="GD75" s="72">
        <f>MIN(IF(INDEX(Properties!A$1:CB$87,Formula!B75,60)=0,10^6,INDEX(Properties!A$1:CB$87,Formula!B75,60)),IF(INDEX(Properties!A$1:CB$87,Formula!D75,60)=0,10^6,INDEX(Properties!A$1:CB$87,Formula!D75,60)),IF(INDEX(Properties!A$1:CB$87,Formula!F75,60)=0,10^6,INDEX(Properties!A$1:CB$87,Formula!F75,60)),IF(INDEX(Properties!A$1:CB$87,Formula!H75,60)=0,10^6,INDEX(Properties!A$1:CB$87,Formula!H75,60)),IF(INDEX(Properties!A$1:CB$87,Formula!J75,60)=0,10^6,INDEX(Properties!A$1:CB$87,Formula!J75,60)))</f>
        <v>2.674E-2</v>
      </c>
      <c r="GE75" s="72">
        <f t="shared" si="62"/>
        <v>140.97326000000001</v>
      </c>
      <c r="GF75" s="51">
        <f>((Formula!C75)/(Formula!C75+Formula!E75+Formula!G75+Formula!I75+Formula!K75))*(INDEX(Properties!A$1:CB$87,Formula!B75,62))+((Formula!E75)/(Formula!C75+Formula!E75+Formula!G75+Formula!I75+Formula!K75))*(INDEX(Properties!A$1:CB$87,Formula!D75,62))+((Formula!G75)/(Formula!C75+Formula!E75+Formula!G75+Formula!I75+Formula!K75))*(INDEX(Properties!A$1:CB$87,Formula!F75,62))+((Formula!I75)/(Formula!C75+Formula!E75+Formula!G75+Formula!I75+Formula!K75))*(INDEX(Properties!A$1:CB$87,Formula!H75,62))+((Formula!K75)/(Formula!C75+Formula!E75+Formula!G75+Formula!I75+Formula!K75))*(INDEX(Properties!A$1:CB$87,Formula!J75,62))</f>
        <v>2.5710263157894735</v>
      </c>
      <c r="GG75" s="51">
        <f>Formula!C75*(INDEX(Properties!A$1:CB$87,Formula!B75,62))+Formula!E75*(INDEX(Properties!A$1:CB$87,Formula!D75,62))+Formula!G75*(INDEX(Properties!A$1:CB$87,Formula!F75,62))+Formula!I75*(INDEX(Properties!A$1:CB$87,Formula!H75,62))+Formula!K75*(INDEX(Properties!A$1:CB$87,Formula!J75,62))</f>
        <v>97.699000000000012</v>
      </c>
      <c r="GH75" s="51">
        <f>VARP(IF(INDEX(Properties!A$1:CB$87,Formula!B75,62)&lt;&gt;"",INDEX(Properties!A$1:CB$87,Formula!B75,62)),IF(INDEX(Properties!A$1:CB$87,Formula!D75,62)&lt;&gt;"",INDEX(Properties!A$1:CB$87,Formula!D75,62)),IF(INDEX(Properties!A$1:CB$87,Formula!F75,62)&lt;&gt;"",INDEX(Properties!A$1:CB$87,Formula!F75,62)),IF(INDEX(Properties!A$1:CB$87,Formula!H75,62)&lt;&gt;"",INDEX(Properties!A$1:CB$87,Formula!H75,62)),IF(INDEX(Properties!A$1:CB$87,Formula!J75,62)&lt;&gt;"",INDEX(Properties!A$1:CB$87,Formula!J75,62)))</f>
        <v>1.4324278400000008</v>
      </c>
      <c r="GI75" s="51">
        <f>MAX(INDEX(Properties!A$1:CB$87,Formula!B75,62),INDEX(Properties!A$1:CB$87,Formula!D75,62),INDEX(Properties!A$1:CB$87,Formula!F75,62),INDEX(Properties!A$1:CB$87,Formula!H75,62),INDEX(Properties!A$1:CB$87,Formula!J75,62))</f>
        <v>3.43</v>
      </c>
      <c r="GJ75" s="51">
        <f>MIN(IF(INDEX(Properties!A$1:CB$87,Formula!B75,62)=0,10^6,INDEX(Properties!A$1:CB$87,Formula!B75,62)),IF(INDEX(Properties!A$1:CB$87,Formula!D75,62)=0,10^6,INDEX(Properties!A$1:CB$87,Formula!D75,62)),IF(INDEX(Properties!A$1:CB$87,Formula!F75,62)=0,10^6,INDEX(Properties!A$1:CB$87,Formula!F75,62)),IF(INDEX(Properties!A$1:CB$87,Formula!H75,62)=0,10^6,INDEX(Properties!A$1:CB$87,Formula!H75,62)),IF(INDEX(Properties!A$1:CB$87,Formula!J75,62)=0,10^6,INDEX(Properties!A$1:CB$87,Formula!J75,62)))</f>
        <v>1.113</v>
      </c>
      <c r="GK75" s="51">
        <f t="shared" si="63"/>
        <v>2.3170000000000002</v>
      </c>
      <c r="GL75" s="51">
        <f>Formula!P75</f>
        <v>220</v>
      </c>
      <c r="GM75" s="57">
        <f>Formula!O75</f>
        <v>7</v>
      </c>
      <c r="GN75" s="51">
        <f>Formula!N75</f>
        <v>0.05</v>
      </c>
    </row>
    <row r="76" spans="1:196" x14ac:dyDescent="0.3">
      <c r="A76" s="84" t="str">
        <f>Formula!A76</f>
        <v>SrAl2O4</v>
      </c>
      <c r="B76" s="89">
        <f>((Formula!C76)/(Formula!C76+Formula!E76+Formula!G76+Formula!I76+Formula!K76))*(INDEX(Properties!A$1:CB$87,Formula!B76,3))+((Formula!E76)/(Formula!C76+Formula!E76+Formula!G76+Formula!I76+Formula!K76))*(INDEX(Properties!A$1:CB$87,Formula!D76,3))+((Formula!G76)/(Formula!C76+Formula!E76+Formula!G76+Formula!I76+Formula!K76))*(INDEX(Properties!A$1:CB$87,Formula!F76,3))+((Formula!I76)/(Formula!C76+Formula!E76+Formula!G76+Formula!I76+Formula!K76))*(INDEX(Properties!A$1:CB$87,Formula!H76,3))+((Formula!K76)/(Formula!C76+Formula!E76+Formula!G76+Formula!I76+Formula!K76))*(INDEX(Properties!A$1:CB$87,Formula!J76,3))</f>
        <v>29.368668285714286</v>
      </c>
      <c r="C76" s="85">
        <f>Formula!C76*(INDEX(Properties!A$1:CB$87,Formula!B76,3))+Formula!E76*(INDEX(Properties!A$1:CB$87,Formula!D76,3))+Formula!G76*(INDEX(Properties!A$1:CB$87,Formula!F76,3))+Formula!I76*(INDEX(Properties!A$1:CB$87,Formula!H76,3))+Formula!K76*(INDEX(Properties!A$1:CB$87,Formula!J76,3))</f>
        <v>205.58067800000001</v>
      </c>
      <c r="D76" s="85">
        <f>VARP(IF(INDEX(Properties!A$1:CB$87,Formula!B76,3)&lt;&gt;"",INDEX(Properties!A$1:CB$87,Formula!B76,3)),IF(INDEX(Properties!A$1:CB$87,Formula!D76,3)&lt;&gt;"",INDEX(Properties!A$1:CB$87,Formula!D76,3)),IF(INDEX(Properties!A$1:CB$87,Formula!F76,3)&lt;&gt;"",INDEX(Properties!A$1:CB$87,Formula!F76,3)),IF(INDEX(Properties!A$1:CB$87,Formula!H76,3)&lt;&gt;"",INDEX(Properties!A$1:CB$87,Formula!H76,3)),IF(INDEX(Properties!A$1:CB$87,Formula!J76,3)&lt;&gt;"",INDEX(Properties!A$1:CB$87,Formula!J76,3)))</f>
        <v>1049.9855187264352</v>
      </c>
      <c r="E76" s="85">
        <f>MAX(INDEX(Properties!A$1:CB$87,Formula!B76,3),INDEX(Properties!A$1:CB$87,Formula!D76,3),INDEX(Properties!A$1:CB$87,Formula!F76,3),INDEX(Properties!A$1:CB$87,Formula!H76,3),INDEX(Properties!A$1:CB$87,Formula!J76,3))</f>
        <v>87.62</v>
      </c>
      <c r="F76" s="85">
        <f>MIN(IF(INDEX(Properties!A$1:CB$87,Formula!B76,3)=0,10^6,INDEX(Properties!A$1:CB$87,Formula!B76,3)),IF(INDEX(Properties!A$1:CB$87,Formula!D76,3)=0,10^6,INDEX(Properties!A$1:CB$87,Formula!D76,3)),IF(INDEX(Properties!A$1:CB$87,Formula!F76,3)=0,10^6,INDEX(Properties!A$1:CB$87,Formula!F76,3)),IF(INDEX(Properties!A$1:CB$87,Formula!H76,3)=0,10^6,INDEX(Properties!A$1:CB$87,Formula!H76,3)),IF(INDEX(Properties!A$1:CB$87,Formula!J76,3)=0,10^6,INDEX(Properties!A$1:CB$87,Formula!J76,3)))</f>
        <v>15.9994</v>
      </c>
      <c r="G76" s="85">
        <f t="shared" si="32"/>
        <v>71.62060000000001</v>
      </c>
      <c r="H76" s="87">
        <f>((Formula!C76)/(Formula!C76+Formula!E76+Formula!G76+Formula!I76+Formula!K76))*(INDEX(Properties!A$1:CB$87,Formula!B76,4))+((Formula!E76)/(Formula!C76+Formula!E76+Formula!G76+Formula!I76+Formula!K76))*(INDEX(Properties!A$1:CB$87,Formula!D76,4))+((Formula!G76)/(Formula!C76+Formula!E76+Formula!G76+Formula!I76+Formula!K76))*(INDEX(Properties!A$1:CB$87,Formula!F76,4))+((Formula!I76)/(Formula!C76+Formula!E76+Formula!G76+Formula!I76+Formula!K76))*(INDEX(Properties!A$1:CB$87,Formula!H76,4))+((Formula!K76)/(Formula!C76+Formula!E76+Formula!G76+Formula!I76+Formula!K76))*(INDEX(Properties!A$1:CB$87,Formula!J76,4))</f>
        <v>13.714285714285714</v>
      </c>
      <c r="I76" s="87">
        <f>Formula!C76*(INDEX(Properties!A$1:CB$87,Formula!B76,4))+Formula!E76*(INDEX(Properties!A$1:CB$87,Formula!D76,4))+Formula!G76*(INDEX(Properties!A$1:CB$87,Formula!F76,4))+Formula!I76*(INDEX(Properties!A$1:CB$87,Formula!H76,4))+Formula!K76*(INDEX(Properties!A$1:CB$87,Formula!J76,4))</f>
        <v>96</v>
      </c>
      <c r="J76" s="87">
        <f>VARP(IF(INDEX(Properties!A$1:CB$87,Formula!B76,4)&lt;&gt;"",INDEX(Properties!A$1:CB$87,Formula!B76,4)),IF(INDEX(Properties!A$1:CB$87,Formula!D76,4)&lt;&gt;"",INDEX(Properties!A$1:CB$87,Formula!D76,4)),IF(INDEX(Properties!A$1:CB$87,Formula!F76,4)&lt;&gt;"",INDEX(Properties!A$1:CB$87,Formula!F76,4)),IF(INDEX(Properties!A$1:CB$87,Formula!H76,4)&lt;&gt;"",INDEX(Properties!A$1:CB$87,Formula!H76,4)),IF(INDEX(Properties!A$1:CB$87,Formula!J76,4)&lt;&gt;"",INDEX(Properties!A$1:CB$87,Formula!J76,4)))</f>
        <v>196.16</v>
      </c>
      <c r="K76" s="87">
        <f>MAX(INDEX(Properties!A$1:CB$87,Formula!B76,4),INDEX(Properties!A$1:CB$87,Formula!D76,4),INDEX(Properties!A$1:CB$87,Formula!F76,4),INDEX(Properties!A$1:CB$87,Formula!H76,4),INDEX(Properties!A$1:CB$87,Formula!J76,4))</f>
        <v>38</v>
      </c>
      <c r="L76" s="87">
        <f>MIN(IF(INDEX(Properties!A$1:CB$87,Formula!B76,4)=0,10^6,INDEX(Properties!A$1:CB$87,Formula!B76,4)),IF(INDEX(Properties!A$1:CB$87,Formula!D76,4)=0,10^6,INDEX(Properties!A$1:CB$87,Formula!D76,4)),IF(INDEX(Properties!A$1:CB$87,Formula!F76,4)=0,10^6,INDEX(Properties!A$1:CB$87,Formula!F76,4)),IF(INDEX(Properties!A$1:CB$87,Formula!H76,4)=0,10^6,INDEX(Properties!A$1:CB$87,Formula!H76,4)),IF(INDEX(Properties!A$1:CB$87,Formula!J76,4)=0,10^6,INDEX(Properties!A$1:CB$87,Formula!J76,4)))</f>
        <v>8</v>
      </c>
      <c r="M76" s="87">
        <f t="shared" si="33"/>
        <v>30</v>
      </c>
      <c r="N76" s="89">
        <f>((Formula!C76)/(Formula!C76+Formula!E76+Formula!G76+Formula!I76+Formula!K76))*(INDEX(Properties!A$1:CB$87,Formula!B76,5))+((Formula!E76)/(Formula!C76+Formula!E76+Formula!G76+Formula!I76+Formula!K76))*(INDEX(Properties!A$1:CB$87,Formula!D76,5))+((Formula!G76)/(Formula!C76+Formula!E76+Formula!G76+Formula!I76+Formula!K76))*(INDEX(Properties!A$1:CB$87,Formula!F76,5))+((Formula!I76)/(Formula!C76+Formula!E76+Formula!G76+Formula!I76+Formula!K76))*(INDEX(Properties!A$1:CB$87,Formula!H76,5))+((Formula!K76)/(Formula!C76+Formula!E76+Formula!G76+Formula!I76+Formula!K76))*(INDEX(Properties!A$1:CB$87,Formula!J76,5))</f>
        <v>2.714285714285714</v>
      </c>
      <c r="O76" s="89">
        <f>Formula!C76*(INDEX(Properties!A$1:CB$87,Formula!B76,5))+Formula!E76*(INDEX(Properties!A$1:CB$87,Formula!D76,5))+Formula!G76*(INDEX(Properties!A$1:CB$87,Formula!F76,5))+Formula!I76*(INDEX(Properties!A$1:CB$87,Formula!H76,5))+Formula!K76*(INDEX(Properties!A$1:CB$87,Formula!J76,5))</f>
        <v>19</v>
      </c>
      <c r="P76" s="89">
        <f>VARP(IF(INDEX(Properties!A$1:CB$87,Formula!B76,5)&lt;&gt;"",INDEX(Properties!A$1:CB$87,Formula!B76,5)),IF(INDEX(Properties!A$1:CB$87,Formula!D76,5)&lt;&gt;"",INDEX(Properties!A$1:CB$87,Formula!D76,5)),IF(INDEX(Properties!A$1:CB$87,Formula!F76,5)&lt;&gt;"",INDEX(Properties!A$1:CB$87,Formula!F76,5)),IF(INDEX(Properties!A$1:CB$87,Formula!H76,5)&lt;&gt;"",INDEX(Properties!A$1:CB$87,Formula!H76,5)),IF(INDEX(Properties!A$1:CB$87,Formula!J76,5)&lt;&gt;"",INDEX(Properties!A$1:CB$87,Formula!J76,5)))</f>
        <v>3.6</v>
      </c>
      <c r="Q76" s="89">
        <f>MAX(INDEX(Properties!A$1:CB$87,Formula!B76,5),INDEX(Properties!A$1:CB$87,Formula!D76,5),INDEX(Properties!A$1:CB$87,Formula!F76,5),INDEX(Properties!A$1:CB$87,Formula!H76,5),INDEX(Properties!A$1:CB$87,Formula!J76,5))</f>
        <v>5</v>
      </c>
      <c r="R76" s="89">
        <f>MIN(IF(INDEX(Properties!A$1:CB$87,Formula!B76,5)=0,10^6,INDEX(Properties!A$1:CB$87,Formula!B76,5)),IF(INDEX(Properties!A$1:CB$87,Formula!D76,5)=0,10^6,INDEX(Properties!A$1:CB$87,Formula!D76,5)),IF(INDEX(Properties!A$1:CB$87,Formula!F76,5)=0,10^6,INDEX(Properties!A$1:CB$87,Formula!F76,5)),IF(INDEX(Properties!A$1:CB$87,Formula!H76,5)=0,10^6,INDEX(Properties!A$1:CB$87,Formula!H76,5)),IF(INDEX(Properties!A$1:CB$87,Formula!J76,5)=0,10^6,INDEX(Properties!A$1:CB$87,Formula!J76,5)))</f>
        <v>2</v>
      </c>
      <c r="S76" s="89">
        <f t="shared" si="34"/>
        <v>3</v>
      </c>
      <c r="T76" s="60">
        <f>((Formula!C76)/(Formula!C76+Formula!E76+Formula!G76+Formula!I76+Formula!K76))*(INDEX(Properties!A$1:CB$87,Formula!B76,6))+((Formula!E76)/(Formula!C76+Formula!E76+Formula!G76+Formula!I76+Formula!K76))*(INDEX(Properties!A$1:CB$87,Formula!D76,6))+((Formula!G76)/(Formula!C76+Formula!E76+Formula!G76+Formula!I76+Formula!K76))*(INDEX(Properties!A$1:CB$87,Formula!F76,6))+((Formula!I76)/(Formula!C76+Formula!E76+Formula!G76+Formula!I76+Formula!K76))*(INDEX(Properties!A$1:CB$87,Formula!H76,6))+((Formula!K76)/(Formula!C76+Formula!E76+Formula!G76+Formula!I76+Formula!K76))*(INDEX(Properties!A$1:CB$87,Formula!J76,6))</f>
        <v>13.142857142857142</v>
      </c>
      <c r="U76" s="60">
        <f>Formula!C76*(INDEX(Properties!A$1:CB$87,Formula!B76,6))+Formula!E76*(INDEX(Properties!A$1:CB$87,Formula!D76,6))+Formula!G76*(INDEX(Properties!A$1:CB$87,Formula!F76,6))+Formula!I76*(INDEX(Properties!A$1:CB$87,Formula!H76,6))+Formula!K76*(INDEX(Properties!A$1:CB$87,Formula!J76,6))</f>
        <v>92</v>
      </c>
      <c r="V76" s="89">
        <f>VARP(IF(INDEX(Properties!A$1:CB$87,Formula!B76,6)&lt;&gt;"",INDEX(Properties!A$1:CB$87,Formula!B76,6)),IF(INDEX(Properties!A$1:CB$87,Formula!D76,6)&lt;&gt;"",INDEX(Properties!A$1:CB$87,Formula!D76,6)),IF(INDEX(Properties!A$1:CB$87,Formula!F76,6)&lt;&gt;"",INDEX(Properties!A$1:CB$87,Formula!F76,6)),IF(INDEX(Properties!A$1:CB$87,Formula!H76,6)&lt;&gt;"",INDEX(Properties!A$1:CB$87,Formula!H76,6)),IF(INDEX(Properties!A$1:CB$87,Formula!J76,6)&lt;&gt;"",INDEX(Properties!A$1:CB$87,Formula!J76,6)))</f>
        <v>47.36</v>
      </c>
      <c r="W76" s="60">
        <f>MAX(INDEX(Properties!A$1:CB$87,Formula!B76,6),INDEX(Properties!A$1:CB$87,Formula!D76,6),INDEX(Properties!A$1:CB$87,Formula!F76,6),INDEX(Properties!A$1:CB$87,Formula!H76,4),INDEX(Properties!A$1:CB$87,Formula!J76,6))</f>
        <v>16</v>
      </c>
      <c r="X76" s="60">
        <f>MIN(IF(INDEX(Properties!A$1:CB$87,Formula!B76,6)=0,10^6,INDEX(Properties!A$1:CB$87,Formula!B76,6)),IF(INDEX(Properties!A$1:CB$87,Formula!D76,6)=0,10^6,INDEX(Properties!A$1:CB$87,Formula!D76,6)),IF(INDEX(Properties!A$1:CB$87,Formula!F76,6)=0,10^6,INDEX(Properties!A$1:CB$87,Formula!F76,6)),IF(INDEX(Properties!A$1:CB$87,Formula!H76,6)=0,10^6,INDEX(Properties!A$1:CB$87,Formula!H76,6)),IF(INDEX(Properties!A$1:CB$87,Formula!J76,6)=0,10^6,INDEX(Properties!A$1:CB$87,Formula!J76,6)))</f>
        <v>2</v>
      </c>
      <c r="Y76" s="60">
        <f t="shared" si="35"/>
        <v>14</v>
      </c>
      <c r="Z76" s="72">
        <f>((Formula!C76)/(Formula!C76+Formula!E76+Formula!G76+Formula!I76+Formula!K76))*(INDEX(Properties!A$1:CB$87,Formula!B76,9))+((Formula!E76)/(Formula!C76+Formula!E76+Formula!G76+Formula!I76+Formula!K76))*(INDEX(Properties!A$1:CB$87,Formula!D76,9))+((Formula!G76)/(Formula!C76+Formula!E76+Formula!G76+Formula!I76+Formula!K76))*(INDEX(Properties!A$1:CB$87,Formula!F76,9))+((Formula!I76)/(Formula!C76+Formula!E76+Formula!G76+Formula!I76+Formula!K76))*(INDEX(Properties!A$1:CB$87,Formula!H76,9))+((Formula!K76)/(Formula!C76+Formula!E76+Formula!G76+Formula!I76+Formula!K76))*(INDEX(Properties!A$1:CB$87,Formula!J76,9))</f>
        <v>71.714285714285708</v>
      </c>
      <c r="AA76" s="72">
        <f>Formula!C76*(INDEX(Properties!A$1:CB$87,Formula!B76,9))+Formula!E76*(INDEX(Properties!A$1:CB$87,Formula!D76,9))+Formula!G76*(INDEX(Properties!A$1:CB$87,Formula!F76,9))+Formula!I76*(INDEX(Properties!A$1:CB$87,Formula!H76,9))+Formula!K76*(INDEX(Properties!A$1:CB$87,Formula!J76,9))</f>
        <v>502</v>
      </c>
      <c r="AB76" s="72">
        <f>VARP(IF(INDEX(Properties!A$1:CB$87,Formula!B76,9)&lt;&gt;"",INDEX(Properties!A$1:CB$87,Formula!B76,9)),IF(INDEX(Properties!A$1:CB$87,Formula!D76,9)&lt;&gt;"",INDEX(Properties!A$1:CB$87,Formula!D76,9)),IF(INDEX(Properties!A$1:CB$87,Formula!F76,9)&lt;&gt;"",INDEX(Properties!A$1:CB$87,Formula!F76,9)),IF(INDEX(Properties!A$1:CB$87,Formula!H76,9)&lt;&gt;"",INDEX(Properties!A$1:CB$87,Formula!H76,9)),IF(INDEX(Properties!A$1:CB$87,Formula!J76,9)&lt;&gt;"",INDEX(Properties!A$1:CB$87,Formula!J76,9)))</f>
        <v>1463.44</v>
      </c>
      <c r="AC76" s="72">
        <f>MAX(INDEX(Properties!A$1:CB$87,Formula!B76,9),INDEX(Properties!A$1:CB$87,Formula!D76,9),INDEX(Properties!A$1:CB$87,Formula!F76,9),INDEX(Properties!A$1:CB$87,Formula!H76,9),INDEX(Properties!A$1:CB$87,Formula!J76,9))</f>
        <v>87</v>
      </c>
      <c r="AD76" s="72">
        <f>MIN(IF(INDEX(Properties!A$1:CB$87,Formula!B76,9)=0,10^6,INDEX(Properties!A$1:CB$87,Formula!B76,9)),IF(INDEX(Properties!A$1:CB$87,Formula!D76,9)=0,10^6,INDEX(Properties!A$1:CB$87,Formula!D76,9)),IF(INDEX(Properties!A$1:CB$87,Formula!F76,9)=0,10^6,INDEX(Properties!A$1:CB$87,Formula!F76,9)),IF(INDEX(Properties!A$1:CB$87,Formula!H76,9)=0,10^6,INDEX(Properties!A$1:CB$87,Formula!H76,9)),IF(INDEX(Properties!A$1:CB$87,Formula!J76,9)=0,10^6,INDEX(Properties!A$1:CB$87,Formula!J76,9)))</f>
        <v>8</v>
      </c>
      <c r="AE76" s="72">
        <f t="shared" si="36"/>
        <v>79</v>
      </c>
      <c r="AF76" s="51">
        <f>((Formula!C76)/(Formula!C76+Formula!E76+Formula!G76+Formula!I76+Formula!K76))*(INDEX(Properties!A$1:CB$87,Formula!B76,10))+((Formula!E76)/(Formula!C76+Formula!E76+Formula!G76+Formula!I76+Formula!K76))*(INDEX(Properties!A$1:CB$87,Formula!D76,10))+((Formula!G76)/(Formula!C76+Formula!E76+Formula!G76+Formula!I76+Formula!K76))*(INDEX(Properties!A$1:CB$87,Formula!F76,10))+((Formula!I76)/(Formula!C76+Formula!E76+Formula!G76+Formula!I76+Formula!K76))*(INDEX(Properties!A$1:CB$87,Formula!H76,10))+((Formula!K76)/(Formula!C76+Formula!E76+Formula!G76+Formula!I76+Formula!K76))*(INDEX(Properties!A$1:CB$87,Formula!J76,10))</f>
        <v>5.7142857142857135</v>
      </c>
      <c r="AG76" s="51">
        <f>Formula!C76*(INDEX(Properties!A$1:CB$87,Formula!B76,10))+Formula!E76*(INDEX(Properties!A$1:CB$87,Formula!D76,10))+Formula!G76*(INDEX(Properties!A$1:CB$87,Formula!F76,10))+Formula!I76*(INDEX(Properties!A$1:CB$87,Formula!H76,10))+Formula!K76*(INDEX(Properties!A$1:CB$87,Formula!J76,10))</f>
        <v>40</v>
      </c>
      <c r="AH76" s="51">
        <f>VARP(IF(INDEX(Properties!A$1:CB$87,Formula!B76,10)&lt;&gt;"",INDEX(Properties!A$1:CB$87,Formula!B76,10)),IF(INDEX(Properties!A$1:CB$87,Formula!D76,10)&lt;&gt;"",INDEX(Properties!A$1:CB$87,Formula!D76,10)),IF(INDEX(Properties!A$1:CB$87,Formula!F76,10)&lt;&gt;"",INDEX(Properties!A$1:CB$87,Formula!F76,10)),IF(INDEX(Properties!A$1:CB$87,Formula!H76,10)&lt;&gt;"",INDEX(Properties!A$1:CB$87,Formula!H76,10)),IF(INDEX(Properties!A$1:CB$87,Formula!J76,10)&lt;&gt;"",INDEX(Properties!A$1:CB$87,Formula!J76,10)))</f>
        <v>7.76</v>
      </c>
      <c r="AI76" s="51">
        <f>MAX(INDEX(Properties!A$1:CB$87,Formula!B76,10),INDEX(Properties!A$1:CB$87,Formula!D76,10),INDEX(Properties!A$1:CB$87,Formula!F76,10),INDEX(Properties!A$1:CB$87,Formula!H76,10),INDEX(Properties!A$1:CB$87,Formula!J76,10))</f>
        <v>7</v>
      </c>
      <c r="AJ76" s="51">
        <f>MIN(IF(INDEX(Properties!A$1:CB$87,Formula!B76,10)=0,10^6,INDEX(Properties!A$1:CB$87,Formula!B76,10)),IF(INDEX(Properties!A$1:CB$87,Formula!D76,10)=0,10^6,INDEX(Properties!A$1:CB$87,Formula!D76,10)),IF(INDEX(Properties!A$1:CB$87,Formula!F76,10)=0,10^6,INDEX(Properties!A$1:CB$87,Formula!F76,10)),IF(INDEX(Properties!A$1:CB$87,Formula!H76,10)=0,10^6,INDEX(Properties!A$1:CB$87,Formula!H76,10)),IF(INDEX(Properties!A$1:CB$87,Formula!J76,10)=0,10^6,INDEX(Properties!A$1:CB$87,Formula!J76,10)))</f>
        <v>2</v>
      </c>
      <c r="AK76" s="51">
        <f t="shared" si="37"/>
        <v>5</v>
      </c>
      <c r="AL76" s="57">
        <f>((Formula!C76)/(Formula!C76+Formula!E76+Formula!G76+Formula!I76+Formula!K76))*(INDEX(Properties!A$1:CB$87,Formula!B76,11))+((Formula!E76)/(Formula!C76+Formula!E76+Formula!G76+Formula!I76+Formula!K76))*(INDEX(Properties!A$1:CB$87,Formula!D76,11))+((Formula!G76)/(Formula!C76+Formula!E76+Formula!G76+Formula!I76+Formula!K76))*(INDEX(Properties!A$1:CB$87,Formula!F76,11))+((Formula!I76)/(Formula!C76+Formula!E76+Formula!G76+Formula!I76+Formula!K76))*(INDEX(Properties!A$1:CB$87,Formula!H76,11))+((Formula!K76)/(Formula!C76+Formula!E76+Formula!G76+Formula!I76+Formula!K76))*(INDEX(Properties!A$1:CB$87,Formula!J76,11))</f>
        <v>2</v>
      </c>
      <c r="AM76" s="57">
        <f>Formula!C76*(INDEX(Properties!A$1:CB$87,Formula!B76,11))+Formula!E76*(INDEX(Properties!A$1:CB$87,Formula!D76,11))+Formula!G76*(INDEX(Properties!A$1:CB$87,Formula!F76,11))+Formula!I76*(INDEX(Properties!A$1:CB$87,Formula!H76,11))+Formula!K76*(INDEX(Properties!A$1:CB$87,Formula!J76,11))</f>
        <v>14</v>
      </c>
      <c r="AN76" s="57">
        <f>VARP(IF(INDEX(Properties!A$1:CB$87,Formula!B76,11)&lt;&gt;"",INDEX(Properties!A$1:CB$87,Formula!B76,11)),IF(INDEX(Properties!A$1:CB$87,Formula!D76,11)&lt;&gt;"",INDEX(Properties!A$1:CB$87,Formula!D76,11)),IF(INDEX(Properties!A$1:CB$87,Formula!F76,11)&lt;&gt;"",INDEX(Properties!A$1:CB$87,Formula!F76,11)),IF(INDEX(Properties!A$1:CB$87,Formula!H76,11)&lt;&gt;"",INDEX(Properties!A$1:CB$87,Formula!H76,11)),IF(INDEX(Properties!A$1:CB$87,Formula!J76,11)&lt;&gt;"",INDEX(Properties!A$1:CB$87,Formula!J76,11)))</f>
        <v>0.96</v>
      </c>
      <c r="AO76" s="57">
        <f>MAX(INDEX(Properties!A$1:CB$87,Formula!B76,11),INDEX(Properties!A$1:CB$87,Formula!D76,11),INDEX(Properties!A$1:CB$87,Formula!F76,11),INDEX(Properties!A$1:CB$87,Formula!H76,11),INDEX(Properties!A$1:CB$87,Formula!J76,11))</f>
        <v>2</v>
      </c>
      <c r="AP76" s="57">
        <f>MIN(IF(Formula!B76=87,10^6,INDEX(Properties!A$1:CB$87,Formula!B76,11)),IF((Formula!D76)=87,10^6,INDEX(Properties!A$1:CB$87,Formula!D76,11)),IF((Formula!F76)=87,10^6,INDEX(Properties!A$1:CB$87,Formula!F76,11)),IF((Formula!H76)=87,10^6,INDEX(Properties!A$1:CB$87,Formula!H76,11)),IF(Formula!J76=87,10^6,INDEX(Properties!A$1:CB$87,Formula!J76,11)))</f>
        <v>2</v>
      </c>
      <c r="AQ76" s="57">
        <f t="shared" si="38"/>
        <v>0</v>
      </c>
      <c r="AR76" s="78">
        <f>((Formula!C76)/(Formula!C76+Formula!E76+Formula!G76+Formula!I76+Formula!K76))*(INDEX(Properties!A$1:CB$87,Formula!B76,12))+((Formula!E76)/(Formula!C76+Formula!E76+Formula!G76+Formula!I76+Formula!K76))*(INDEX(Properties!A$1:CB$87,Formula!D76,12))+((Formula!G76)/(Formula!C76+Formula!E76+Formula!G76+Formula!I76+Formula!K76))*(INDEX(Properties!A$1:CB$87,Formula!F76,12))+((Formula!I76)/(Formula!C76+Formula!E76+Formula!G76+Formula!I76+Formula!K76))*(INDEX(Properties!A$1:CB$87,Formula!H76,12))+((Formula!K76)/(Formula!C76+Formula!E76+Formula!G76+Formula!I76+Formula!K76))*(INDEX(Properties!A$1:CB$87,Formula!J76,12))</f>
        <v>2.5714285714285712</v>
      </c>
      <c r="AS76" s="78">
        <f>Formula!C76*(INDEX(Properties!A$1:CB$87,Formula!B76,12))+Formula!E76*(INDEX(Properties!A$1:CB$87,Formula!D76,12))+Formula!G76*(INDEX(Properties!A$1:CB$87,Formula!F76,12))+Formula!I76*(INDEX(Properties!A$1:CB$87,Formula!H76,12))+Formula!K76*(INDEX(Properties!A$1:CB$87,Formula!J76,12))</f>
        <v>18</v>
      </c>
      <c r="AT76" s="78">
        <f>VARP(IF(INDEX(Properties!A$1:CB$87,Formula!B76,12)&lt;&gt;"",INDEX(Properties!A$1:CB$87,Formula!B76,12)),IF(INDEX(Properties!A$1:CB$87,Formula!D76,12)&lt;&gt;"",INDEX(Properties!A$1:CB$87,Formula!D76,12)),IF(INDEX(Properties!A$1:CB$87,Formula!F76,12)&lt;&gt;"",INDEX(Properties!A$1:CB$87,Formula!F76,12)),IF(INDEX(Properties!A$1:CB$87,Formula!H76,12)&lt;&gt;"",INDEX(Properties!A$1:CB$87,Formula!H76,12)),IF(INDEX(Properties!A$1:CB$87,Formula!J76,12)&lt;&gt;"",INDEX(Properties!A$1:CB$87,Formula!J76,12)))</f>
        <v>2.4</v>
      </c>
      <c r="AU76" s="78">
        <f>MAX(INDEX(Properties!A$1:CB$87,Formula!B76,12),INDEX(Properties!A$1:CB$87,Formula!D76,12),INDEX(Properties!A$1:CB$87,Formula!F76,12),INDEX(Properties!A$1:CB$87,Formula!H76,12),INDEX(Properties!A$1:CB$87,Formula!J76,12))</f>
        <v>4</v>
      </c>
      <c r="AV76" s="78">
        <f>MIN(IF(Formula!B76=87,10^6,INDEX(Properties!A$1:CB$87,Formula!B76,12)),IF((Formula!D76)=87,10^6,INDEX(Properties!A$1:CB$87,Formula!D76,12)),IF((Formula!F76)=87,10^6,INDEX(Properties!A$1:CB$87,Formula!F76,12)),IF((Formula!H76)=87,10^6,INDEX(Properties!A$1:CB$87,Formula!H76,12)),IF(Formula!J76=87,10^6,INDEX(Properties!A$1:CB$87,Formula!J76,12)))</f>
        <v>0</v>
      </c>
      <c r="AW76" s="78">
        <f t="shared" si="39"/>
        <v>4</v>
      </c>
      <c r="AX76" s="45">
        <f>((Formula!C76)/(Formula!C76+Formula!E76+Formula!G76+Formula!I76+Formula!K76))*(INDEX(Properties!A$1:CB$87,Formula!B76,13))+((Formula!E76)/(Formula!C76+Formula!E76+Formula!G76+Formula!I76+Formula!K76))*(INDEX(Properties!A$1:CB$87,Formula!D76,13))+((Formula!G76)/(Formula!C76+Formula!E76+Formula!G76+Formula!I76+Formula!K76))*(INDEX(Properties!A$1:CB$87,Formula!F76,13))+((Formula!I76)/(Formula!C76+Formula!E76+Formula!G76+Formula!I76+Formula!K76))*(INDEX(Properties!A$1:CB$87,Formula!H76,13))+((Formula!K76)/(Formula!C76+Formula!E76+Formula!G76+Formula!I76+Formula!K76))*(INDEX(Properties!A$1:CB$87,Formula!J76,13))</f>
        <v>0</v>
      </c>
      <c r="AY76" s="45">
        <f>Formula!C76*(INDEX(Properties!A$1:CB$87,Formula!B76,13))+Formula!E76*(INDEX(Properties!A$1:CB$87,Formula!D76,13))+Formula!G76*(INDEX(Properties!A$1:CB$87,Formula!F76,13))+Formula!I76*(INDEX(Properties!A$1:CB$87,Formula!H76,13))+Formula!K76*(INDEX(Properties!A$1:CB$87,Formula!J76,13))</f>
        <v>0</v>
      </c>
      <c r="AZ76" s="45">
        <f>VARP(IF(INDEX(Properties!A$1:CB$87,Formula!B76,13)&lt;&gt;"",INDEX(Properties!A$1:CB$87,Formula!B76,13)),IF(INDEX(Properties!A$1:CB$87,Formula!D76,13)&lt;&gt;"",INDEX(Properties!A$1:CB$87,Formula!D76,13)),IF(INDEX(Properties!A$1:CB$87,Formula!F76,13)&lt;&gt;"",INDEX(Properties!A$1:CB$87,Formula!F76,13)),IF(INDEX(Properties!A$1:CB$87,Formula!H76,13)&lt;&gt;"",INDEX(Properties!A$1:CB$87,Formula!H76,13)),IF(INDEX(Properties!A$1:CB$87,Formula!J76,13)&lt;&gt;"",INDEX(Properties!A$1:CB$87,Formula!J76,13)))</f>
        <v>0</v>
      </c>
      <c r="BA76" s="45">
        <f>MAX(INDEX(Properties!A$1:CB$87,Formula!B76,13),INDEX(Properties!A$1:CB$87,Formula!D76,13),INDEX(Properties!A$1:CB$87,Formula!F76,13),INDEX(Properties!A$1:CB$87,Formula!H76,13),INDEX(Properties!A$1:CB$87,Formula!J76,13))</f>
        <v>0</v>
      </c>
      <c r="BB76" s="45">
        <f>MIN(IF(Formula!B76=87,10^6,INDEX(Properties!A$1:CB$87,Formula!B76,13)),IF((Formula!D76)=87,10^6,INDEX(Properties!A$1:CB$87,Formula!D76,13)),IF((Formula!F76)=87,10^6,INDEX(Properties!A$1:CB$87,Formula!F76,13)),IF((Formula!H76)=87,10^6,INDEX(Properties!A$1:CB$87,Formula!H76,13)),IF(Formula!J76=87,10^6,INDEX(Properties!A$1:CB$87,Formula!J76,13)))</f>
        <v>0</v>
      </c>
      <c r="BC76" s="45">
        <f t="shared" si="40"/>
        <v>0</v>
      </c>
      <c r="BD76" s="63">
        <f>((Formula!C76)/(Formula!C76+Formula!E76+Formula!G76+Formula!I76+Formula!K76))*(INDEX(Properties!A$1:CB$87,Formula!B76,14))+((Formula!E76)/(Formula!C76+Formula!E76+Formula!G76+Formula!I76+Formula!K76))*(INDEX(Properties!A$1:CB$87,Formula!D76,14))+((Formula!G76)/(Formula!C76+Formula!E76+Formula!G76+Formula!I76+Formula!K76))*(INDEX(Properties!A$1:CB$87,Formula!F76,14))+((Formula!I76)/(Formula!C76+Formula!E76+Formula!G76+Formula!I76+Formula!K76))*(INDEX(Properties!A$1:CB$87,Formula!H76,14))+((Formula!K76)/(Formula!C76+Formula!E76+Formula!G76+Formula!I76+Formula!K76))*(INDEX(Properties!A$1:CB$87,Formula!J76,14))</f>
        <v>0</v>
      </c>
      <c r="BE76" s="63">
        <f>Formula!C76*(INDEX(Properties!A$1:CB$87,Formula!B76,14))+Formula!E76*(INDEX(Properties!A$1:CB$87,Formula!D76,14))+Formula!G76*(INDEX(Properties!A$1:CB$87,Formula!F76,14))+Formula!I76*(INDEX(Properties!A$1:CB$87,Formula!H76,14))+Formula!K76*(INDEX(Properties!A$1:CB$87,Formula!J76,14))</f>
        <v>0</v>
      </c>
      <c r="BF76" s="63">
        <f>VARP(IF(INDEX(Properties!A$1:CB$87,Formula!B76,14)&lt;&gt;"",INDEX(Properties!A$1:CB$87,Formula!B76,14)),IF(INDEX(Properties!A$1:CB$87,Formula!D76,14)&lt;&gt;"",INDEX(Properties!A$1:CB$87,Formula!D76,14)),IF(INDEX(Properties!A$1:CB$87,Formula!F76,14)&lt;&gt;"",INDEX(Properties!A$1:CB$87,Formula!F76,14)),IF(INDEX(Properties!A$1:CB$87,Formula!H76,14)&lt;&gt;"",INDEX(Properties!A$1:CB$87,Formula!H76,14)),IF(INDEX(Properties!A$1:CB$87,Formula!J76,14)&lt;&gt;"",INDEX(Properties!A$1:CB$87,Formula!J76,14)))</f>
        <v>0</v>
      </c>
      <c r="BG76" s="63">
        <f>MAX(INDEX(Properties!A$1:CB$87,Formula!B76,14),INDEX(Properties!A$1:CB$87,Formula!D76,14),INDEX(Properties!A$1:CB$87,Formula!F76,14),INDEX(Properties!A$1:CB$87,Formula!H76,14),INDEX(Properties!A$1:CB$87,Formula!J76,14))</f>
        <v>0</v>
      </c>
      <c r="BH76" s="63">
        <f>MIN(IF(Formula!B76=87,10^6,INDEX(Properties!A$1:CB$87,Formula!B76,14)),IF((Formula!D76)=87,10^6,INDEX(Properties!A$1:CB$87,Formula!D76,14)),IF((Formula!F76)=87,10^6,INDEX(Properties!A$1:CB$87,Formula!F76,14)),IF((Formula!H76)=87,10^6,INDEX(Properties!A$1:CB$87,Formula!H76,14)),IF(Formula!J76=87,10^6,INDEX(Properties!A$1:CB$87,Formula!J76,14)))</f>
        <v>0</v>
      </c>
      <c r="BI76" s="63">
        <f t="shared" si="41"/>
        <v>0</v>
      </c>
      <c r="BJ76" s="75">
        <f>((Formula!C76)/(Formula!C76+Formula!E76+Formula!G76+Formula!I76+Formula!K76))*(INDEX(Properties!A$1:CB$87,Formula!B76,19))+((Formula!E76)/(Formula!C76+Formula!E76+Formula!G76+Formula!I76+Formula!K76))*(INDEX(Properties!A$1:CB$87,Formula!D76,19))+((Formula!G76)/(Formula!C76+Formula!E76+Formula!G76+Formula!I76+Formula!K76))*(INDEX(Properties!A$1:CB$87,Formula!F76,19))+((Formula!I76)/(Formula!C76+Formula!E76+Formula!G76+Formula!I76+Formula!K76))*(INDEX(Properties!A$1:CB$87,Formula!H76,19))+((Formula!K76)/(Formula!C76+Formula!E76+Formula!G76+Formula!I76+Formula!K76))*(INDEX(Properties!A$1:CB$87,Formula!J76,19))</f>
        <v>4.5714285714285712</v>
      </c>
      <c r="BK76" s="75">
        <f>Formula!C76*(INDEX(Properties!A$1:CB$87,Formula!B76,19))+Formula!E76*(INDEX(Properties!A$1:CB$87,Formula!D76,19))+Formula!G76*(INDEX(Properties!A$1:CB$87,Formula!F76,19))+Formula!I76*(INDEX(Properties!A$1:CB$87,Formula!H76,19))+Formula!K76*(INDEX(Properties!A$1:CB$87,Formula!J76,19))</f>
        <v>32</v>
      </c>
      <c r="BL76" s="75">
        <f>VARP(IF(INDEX(Properties!A$1:CB$87,Formula!B76,19)&lt;&gt;"",INDEX(Properties!A$1:CB$87,Formula!B76,19)),IF(INDEX(Properties!A$1:CB$87,Formula!D76,19)&lt;&gt;"",INDEX(Properties!A$1:CB$87,Formula!D76,19)),IF(INDEX(Properties!A$1:CB$87,Formula!F76,19)&lt;&gt;"",INDEX(Properties!A$1:CB$87,Formula!F76,19)),IF(INDEX(Properties!A$1:CB$87,Formula!H76,19)&lt;&gt;"",INDEX(Properties!A$1:CB$87,Formula!H76,19)),IF(INDEX(Properties!A$1:CB$87,Formula!J76,19)&lt;&gt;"",INDEX(Properties!A$1:CB$87,Formula!J76,19)))</f>
        <v>4.96</v>
      </c>
      <c r="BM76" s="75">
        <f>MAX(INDEX(Properties!A$1:CB$87,Formula!B76,19),INDEX(Properties!A$1:CB$87,Formula!D76,19),INDEX(Properties!A$1:CB$87,Formula!F76,19),INDEX(Properties!A$1:CB$87,Formula!H76,19),INDEX(Properties!A$1:CB$87,Formula!J76,19))</f>
        <v>6</v>
      </c>
      <c r="BN76" s="75">
        <f>MIN(IF(INDEX(Properties!A$1:CB$87,Formula!B76,19)=0,10^6,INDEX(Properties!A$1:CB$87,Formula!B76,19)),IF(INDEX(Properties!A$1:CB$87,Formula!D76,19)=0,10^6,INDEX(Properties!A$1:CB$87,Formula!D76,19)),IF(INDEX(Properties!A$1:CB$87,Formula!F76,19)=0,10^6,INDEX(Properties!A$1:CB$87,Formula!F76,19)),IF(INDEX(Properties!A$1:CB$87,Formula!H76,19)=0,10^6,INDEX(Properties!A$1:CB$87,Formula!H76,19)),IF(INDEX(Properties!A$1:CB$87,Formula!J76,19)=0,10^6,INDEX(Properties!A$1:CB$87,Formula!J76,19)))</f>
        <v>2</v>
      </c>
      <c r="BO76" s="75">
        <f t="shared" si="42"/>
        <v>4</v>
      </c>
      <c r="BP76" s="48">
        <f>((Formula!C76)/(Formula!C76+Formula!E76+Formula!G76+Formula!I76+Formula!K76))*(INDEX(Properties!A$1:CB$87,Formula!B76,20))+((Formula!E76)/(Formula!C76+Formula!E76+Formula!G76+Formula!I76+Formula!K76))*(INDEX(Properties!A$1:CB$87,Formula!D76,20))+((Formula!G76)/(Formula!C76+Formula!E76+Formula!G76+Formula!I76+Formula!K76))*(INDEX(Properties!A$1:CB$87,Formula!F76,20))+((Formula!I76)/(Formula!C76+Formula!E76+Formula!G76+Formula!I76+Formula!K76))*(INDEX(Properties!A$1:CB$87,Formula!H76,20))+((Formula!K76)/(Formula!C76+Formula!E76+Formula!G76+Formula!I76+Formula!K76))*(INDEX(Properties!A$1:CB$87,Formula!J76,20))</f>
        <v>4.5714285714285712</v>
      </c>
      <c r="BQ76" s="48">
        <f>Formula!C76*(INDEX(Properties!A$1:CB$87,Formula!B76,20))+Formula!E76*(INDEX(Properties!A$1:CB$87,Formula!D76,20))+Formula!G76*(INDEX(Properties!A$1:CB$87,Formula!F76,20))+Formula!I76*(INDEX(Properties!A$1:CB$87,Formula!H76,20))+Formula!K76*(INDEX(Properties!A$1:CB$87,Formula!J76,20))</f>
        <v>32</v>
      </c>
      <c r="BR76" s="48">
        <f>VARP(IF(INDEX(Properties!A$1:CB$87,Formula!B76,20)&lt;&gt;"",INDEX(Properties!A$1:CB$87,Formula!B76,20)),IF(INDEX(Properties!A$1:CB$87,Formula!D76,20)&lt;&gt;"",INDEX(Properties!A$1:CB$87,Formula!D76,20)),IF(INDEX(Properties!A$1:CB$87,Formula!F76,20)&lt;&gt;"",INDEX(Properties!A$1:CB$87,Formula!F76,20)),IF(INDEX(Properties!A$1:CB$87,Formula!H76,20)&lt;&gt;"",INDEX(Properties!A$1:CB$87,Formula!H76,20)),IF(INDEX(Properties!A$1:CB$87,Formula!J76,20)&lt;&gt;"",INDEX(Properties!A$1:CB$87,Formula!J76,20)))</f>
        <v>4.96</v>
      </c>
      <c r="BS76" s="48">
        <f>MAX(INDEX(Properties!A$1:CB$87,Formula!B76,20),INDEX(Properties!A$1:CB$87,Formula!D76,20),INDEX(Properties!A$1:CB$87,Formula!F76,20),INDEX(Properties!A$1:CB$87,Formula!H76,20),INDEX(Properties!A$1:CB$87,Formula!J76,20))</f>
        <v>6</v>
      </c>
      <c r="BT76" s="48">
        <f>MIN(IF(INDEX(Properties!A$1:CB$87,Formula!B76,20)=0,10^6,INDEX(Properties!A$1:CB$87,Formula!B76,20)),IF(INDEX(Properties!A$1:CB$87,Formula!D76,20)=0,10^6,INDEX(Properties!A$1:CB$87,Formula!D76,20)),IF(INDEX(Properties!A$1:CB$87,Formula!F76,20)=0,10^6,INDEX(Properties!A$1:CB$87,Formula!F76,20)),IF(INDEX(Properties!A$1:CB$87,Formula!H76,20)=0,10^6,INDEX(Properties!A$1:CB$87,Formula!H76,20)),IF(INDEX(Properties!A$1:CB$87,Formula!J76,20)=0,10^6,INDEX(Properties!A$1:CB$87,Formula!J76,20)))</f>
        <v>2</v>
      </c>
      <c r="BU76" s="48">
        <f t="shared" si="43"/>
        <v>4</v>
      </c>
      <c r="BV76" s="66">
        <f>((Formula!C76)/(Formula!C76+Formula!E76+Formula!G76+Formula!I76+Formula!K76))*(INDEX(Properties!A$1:CB$87,Formula!B76,21))+((Formula!E76)/(Formula!C76+Formula!E76+Formula!G76+Formula!I76+Formula!K76))*(INDEX(Properties!A$1:CB$87,Formula!D76,21))+((Formula!G76)/(Formula!C76+Formula!E76+Formula!G76+Formula!I76+Formula!K76))*(INDEX(Properties!A$1:CB$87,Formula!F76,21))+((Formula!I76)/(Formula!C76+Formula!E76+Formula!G76+Formula!I76+Formula!K76))*(INDEX(Properties!A$1:CB$87,Formula!H76,21))+((Formula!K76)/(Formula!C76+Formula!E76+Formula!G76+Formula!I76+Formula!K76))*(INDEX(Properties!A$1:CB$87,Formula!J76,21))</f>
        <v>4.5714285714285712</v>
      </c>
      <c r="BW76" s="66">
        <f>Formula!C76*(INDEX(Properties!A$1:CB$87,Formula!B76,21))+Formula!E76*(INDEX(Properties!A$1:CB$87,Formula!D76,21))+Formula!G76*(INDEX(Properties!A$1:CB$87,Formula!F76,21))+Formula!I76*(INDEX(Properties!A$1:CB$87,Formula!H76,21))+Formula!K76*(INDEX(Properties!A$1:CB$87,Formula!J76,21))</f>
        <v>32</v>
      </c>
      <c r="BX76" s="66">
        <f>VARP(IF(INDEX(Properties!A$1:CB$87,Formula!B76,21)&lt;&gt;"",INDEX(Properties!A$1:CB$87,Formula!B76,21)),IF(INDEX(Properties!A$1:CB$87,Formula!D76,21)&lt;&gt;"",INDEX(Properties!A$1:CB$87,Formula!D76,21)),IF(INDEX(Properties!A$1:CB$87,Formula!F76,21)&lt;&gt;"",INDEX(Properties!A$1:CB$87,Formula!F76,21)),IF(INDEX(Properties!A$1:CB$87,Formula!H76,21)&lt;&gt;"",INDEX(Properties!A$1:CB$87,Formula!H76,21)),IF(INDEX(Properties!A$1:CB$87,Formula!J76,21)&lt;&gt;"",INDEX(Properties!A$1:CB$87,Formula!J76,21)))</f>
        <v>4.96</v>
      </c>
      <c r="BY76" s="66">
        <f>MAX(INDEX(Properties!A$1:CB$87,Formula!B76,21),INDEX(Properties!A$1:CB$87,Formula!D76,21),INDEX(Properties!A$1:CB$87,Formula!F76,21),INDEX(Properties!A$1:CB$87,Formula!H76,21),INDEX(Properties!A$1:CB$87,Formula!J76,21))</f>
        <v>6</v>
      </c>
      <c r="BZ76" s="66">
        <f>MIN(IF(INDEX(Properties!A$1:CB$87,Formula!B76,21)=0,10^6,INDEX(Properties!A$1:CB$87,Formula!B76,21)),IF(INDEX(Properties!A$1:CB$87,Formula!D76,21)=0,10^6,INDEX(Properties!A$1:CB$87,Formula!D76,21)),IF(INDEX(Properties!A$1:CB$87,Formula!F76,21)=0,10^6,INDEX(Properties!A$1:CB$87,Formula!F76,21)),IF(INDEX(Properties!A$1:CB$87,Formula!H76,21)=0,10^6,INDEX(Properties!A$1:CB$87,Formula!H76,21)),IF(INDEX(Properties!A$1:CB$87,Formula!J76,21)=0,10^6,INDEX(Properties!A$1:CB$87,Formula!J76,21)))</f>
        <v>2</v>
      </c>
      <c r="CA76" s="66">
        <f t="shared" si="44"/>
        <v>4</v>
      </c>
      <c r="CB76" s="81">
        <f>((Formula!C76)/(Formula!C76+Formula!E76+Formula!G76+Formula!I76+Formula!K76))*(INDEX(Properties!A$1:CB$87,Formula!B76,23))+((Formula!E76)/(Formula!C76+Formula!E76+Formula!G76+Formula!I76+Formula!K76))*(INDEX(Properties!A$1:CB$87,Formula!D76,23))+((Formula!G76)/(Formula!C76+Formula!E76+Formula!G76+Formula!I76+Formula!K76))*(INDEX(Properties!A$1:CB$87,Formula!F76,23))+((Formula!I76)/(Formula!C76+Formula!E76+Formula!G76+Formula!I76+Formula!K76))*(INDEX(Properties!A$1:CB$87,Formula!H76,23))+((Formula!K76)/(Formula!C76+Formula!E76+Formula!G76+Formula!I76+Formula!K76))*(INDEX(Properties!A$1:CB$87,Formula!J76,23))</f>
        <v>1.1428571428571428</v>
      </c>
      <c r="CC76" s="81">
        <f>Formula!C76*(INDEX(Properties!A$1:CB$87,Formula!B76,23))+Formula!E76*(INDEX(Properties!A$1:CB$87,Formula!D76,23))+Formula!G76*(INDEX(Properties!A$1:CB$87,Formula!F76,23))+Formula!I76*(INDEX(Properties!A$1:CB$87,Formula!H76,23))+Formula!K76*(INDEX(Properties!A$1:CB$87,Formula!J76,23))</f>
        <v>8</v>
      </c>
      <c r="CD76" s="81">
        <f>VARP(IF(INDEX(Properties!A$1:CB$87,Formula!B76,23)&lt;&gt;"",INDEX(Properties!A$1:CB$87,Formula!B76,23)),IF(INDEX(Properties!A$1:CB$87,Formula!D76,23)&lt;&gt;"",INDEX(Properties!A$1:CB$87,Formula!D76,23)),IF(INDEX(Properties!A$1:CB$87,Formula!F76,23)&lt;&gt;"",INDEX(Properties!A$1:CB$87,Formula!F76,23)),IF(INDEX(Properties!A$1:CB$87,Formula!H76,23)&lt;&gt;"",INDEX(Properties!A$1:CB$87,Formula!H76,23)),IF(INDEX(Properties!A$1:CB$87,Formula!J76,23)&lt;&gt;"",INDEX(Properties!A$1:CB$87,Formula!J76,23)))</f>
        <v>1.6</v>
      </c>
      <c r="CE76" s="81">
        <f>MAX(INDEX(Properties!A$1:CB$87,Formula!B76,23),INDEX(Properties!A$1:CB$87,Formula!D76,23),INDEX(Properties!A$1:CB$87,Formula!F76,23),INDEX(Properties!A$1:CB$87,Formula!H76,23),INDEX(Properties!A$1:CB$87,Formula!J76,23))</f>
        <v>3</v>
      </c>
      <c r="CF76" s="81">
        <f>MIN(IF(Formula!B76=87,10^6,INDEX(Properties!A$1:CB$87,Formula!B76,23)),IF((Formula!D76)=87,10^6,INDEX(Properties!A$1:CB$87,Formula!D76,23)),IF((Formula!F76)=87,10^6,INDEX(Properties!A$1:CB$87,Formula!F76,23)),IF((Formula!H76)=87,10^6,INDEX(Properties!A$1:CB$87,Formula!H76,23)),IF(Formula!J76=87,10^6,INDEX(Properties!A$1:CB$87,Formula!J76,23)))</f>
        <v>0</v>
      </c>
      <c r="CG76" s="81">
        <f t="shared" si="45"/>
        <v>3</v>
      </c>
      <c r="CH76" s="39">
        <f>((Formula!C76)/(Formula!C76+Formula!E76+Formula!G76+Formula!I76+Formula!K76))*(INDEX(Properties!A$1:CB$87,Formula!B76,26))+((Formula!E76)/(Formula!C76+Formula!E76+Formula!G76+Formula!I76+Formula!K76))*(INDEX(Properties!A$1:CB$87,Formula!D76,26))+((Formula!G76)/(Formula!C76+Formula!E76+Formula!G76+Formula!I76+Formula!K76))*(INDEX(Properties!A$1:CB$87,Formula!F76,26))+((Formula!I76)/(Formula!C76+Formula!E76+Formula!G76+Formula!I76+Formula!K76))*(INDEX(Properties!A$1:CB$87,Formula!H76,26))+((Formula!K76)/(Formula!C76+Formula!E76+Formula!G76+Formula!I76+Formula!K76))*(INDEX(Properties!A$1:CB$87,Formula!J76,26))</f>
        <v>10.305557142857143</v>
      </c>
      <c r="CI76" s="39">
        <f>Formula!C76*(INDEX(Properties!A$1:CB$87,Formula!B76,26))+Formula!E76*(INDEX(Properties!A$1:CB$87,Formula!D76,26))+Formula!G76*(INDEX(Properties!A$1:CB$87,Formula!F76,26))+Formula!I76*(INDEX(Properties!A$1:CB$87,Formula!H76,26))+Formula!K76*(INDEX(Properties!A$1:CB$87,Formula!J76,26))</f>
        <v>72.138900000000007</v>
      </c>
      <c r="CJ76" s="39">
        <f>VARP(IF(INDEX(Properties!A$1:CB$87,Formula!B76,26)&lt;&gt;"",INDEX(Properties!A$1:CB$87,Formula!B76,26)),IF(INDEX(Properties!A$1:CB$87,Formula!D76,26)&lt;&gt;"",INDEX(Properties!A$1:CB$87,Formula!D76,26)),IF(INDEX(Properties!A$1:CB$87,Formula!F76,26)&lt;&gt;"",INDEX(Properties!A$1:CB$87,Formula!F76,26)),IF(INDEX(Properties!A$1:CB$87,Formula!H76,26)&lt;&gt;"",INDEX(Properties!A$1:CB$87,Formula!H76,26)),IF(INDEX(Properties!A$1:CB$87,Formula!J76,26)&lt;&gt;"",INDEX(Properties!A$1:CB$87,Formula!J76,26)))</f>
        <v>25.141695794400004</v>
      </c>
      <c r="CK76" s="39">
        <f>MAX(INDEX(Properties!A$1:CB$87,Formula!B76,26),INDEX(Properties!A$1:CB$87,Formula!D76,26),INDEX(Properties!A$1:CB$87,Formula!F76,26),INDEX(Properties!A$1:CB$87,Formula!H76,26),INDEX(Properties!A$1:CB$87,Formula!J76,26))</f>
        <v>13.6181</v>
      </c>
      <c r="CL76" s="39">
        <f>MIN(IF(INDEX(Properties!A$1:CB$87,Formula!B76,26)=0,10^6,INDEX(Properties!A$1:CB$87,Formula!B76,26)),IF(INDEX(Properties!A$1:CB$87,Formula!D76,26)=0,10^6,INDEX(Properties!A$1:CB$87,Formula!D76,26)),IF(INDEX(Properties!A$1:CB$87,Formula!F76,26)=0,10^6,INDEX(Properties!A$1:CB$87,Formula!F76,26)),IF(INDEX(Properties!A$1:CB$87,Formula!H76,26)=0,10^6,INDEX(Properties!A$1:CB$87,Formula!H76,26)),IF(INDEX(Properties!A$1:CB$87,Formula!J76,26)=0,10^6,INDEX(Properties!A$1:CB$87,Formula!J76,26)))</f>
        <v>5.6948999999999996</v>
      </c>
      <c r="CM76" s="39">
        <f t="shared" si="46"/>
        <v>7.9232000000000005</v>
      </c>
      <c r="CN76" s="54">
        <f>((Formula!C76)/(Formula!C76+Formula!E76+Formula!G76+Formula!I76+Formula!K76))*(INDEX(Properties!A$1:CB$87,Formula!B76,30))+((Formula!E76)/(Formula!C76+Formula!E76+Formula!G76+Formula!I76+Formula!K76))*(INDEX(Properties!A$1:CB$87,Formula!D76,30))+((Formula!G76)/(Formula!C76+Formula!E76+Formula!G76+Formula!I76+Formula!K76))*(INDEX(Properties!A$1:CB$87,Formula!F76,30))+((Formula!I76)/(Formula!C76+Formula!E76+Formula!G76+Formula!I76+Formula!K76))*(INDEX(Properties!A$1:CB$87,Formula!H76,30))+((Formula!K76)/(Formula!C76+Formula!E76+Formula!G76+Formula!I76+Formula!K76))*(INDEX(Properties!A$1:CB$87,Formula!J76,30))</f>
        <v>2.5614285714285714</v>
      </c>
      <c r="CO76" s="54">
        <f>Formula!C76*(INDEX(Properties!A$1:CB$87,Formula!B76,30))+Formula!E76*(INDEX(Properties!A$1:CB$87,Formula!D76,30))+Formula!G76*(INDEX(Properties!A$1:CB$87,Formula!F76,30))+Formula!I76*(INDEX(Properties!A$1:CB$87,Formula!H76,30))+Formula!K76*(INDEX(Properties!A$1:CB$87,Formula!J76,30))</f>
        <v>17.93</v>
      </c>
      <c r="CP76" s="54">
        <f>VARP(IF(INDEX(Properties!A$1:CB$87,Formula!B76,30)&lt;&gt;"",INDEX(Properties!A$1:CB$87,Formula!B76,30)),IF(INDEX(Properties!A$1:CB$87,Formula!D76,30)&lt;&gt;"",INDEX(Properties!A$1:CB$87,Formula!D76,30)),IF(INDEX(Properties!A$1:CB$87,Formula!F76,30)&lt;&gt;"",INDEX(Properties!A$1:CB$87,Formula!F76,30)),IF(INDEX(Properties!A$1:CB$87,Formula!H76,30)&lt;&gt;"",INDEX(Properties!A$1:CB$87,Formula!H76,30)),IF(INDEX(Properties!A$1:CB$87,Formula!J76,30)&lt;&gt;"",INDEX(Properties!A$1:CB$87,Formula!J76,30)))</f>
        <v>1.6256399999999998</v>
      </c>
      <c r="CQ76" s="54">
        <f>MAX(INDEX(Properties!A$1:CB$87,Formula!B76,30),INDEX(Properties!A$1:CB$87,Formula!D76,30),INDEX(Properties!A$1:CB$87,Formula!F76,30),INDEX(Properties!A$1:CB$87,Formula!H76,30),INDEX(Properties!A$1:CB$87,Formula!J76,30))</f>
        <v>3.44</v>
      </c>
      <c r="CR76" s="54">
        <f>MIN(IF(INDEX(Properties!A$1:CB$87,Formula!B76,30)=0,10^6,INDEX(Properties!A$1:CB$87,Formula!B76,30)),IF(INDEX(Properties!A$1:CB$87,Formula!D76,30)=0,10^6,INDEX(Properties!A$1:CB$87,Formula!D76,30)),IF(INDEX(Properties!A$1:CB$87,Formula!F76,30)=0,10^6,INDEX(Properties!A$1:CB$87,Formula!F76,30)),IF(INDEX(Properties!A$1:CB$87,Formula!H76,30)=0,10^6,INDEX(Properties!A$1:CB$87,Formula!H76,30)),IF(INDEX(Properties!A$1:CB$87,Formula!J76,30)=0,10^6,INDEX(Properties!A$1:CB$87,Formula!J76,30)))</f>
        <v>0.95</v>
      </c>
      <c r="CS76" s="54">
        <f t="shared" si="47"/>
        <v>2.4900000000000002</v>
      </c>
      <c r="CT76" s="69">
        <f>((Formula!C76)/(Formula!C76+Formula!E76+Formula!G76+Formula!I76+Formula!K76))*(INDEX(Properties!A$1:CB$87,Formula!B76,31))+((Formula!E76)/(Formula!C76+Formula!E76+Formula!G76+Formula!I76+Formula!K76))*(INDEX(Properties!A$1:CB$87,Formula!D76,31))+((Formula!G76)/(Formula!C76+Formula!E76+Formula!G76+Formula!I76+Formula!K76))*(INDEX(Properties!A$1:CB$87,Formula!F76,31))+((Formula!I76)/(Formula!C76+Formula!E76+Formula!G76+Formula!I76+Formula!K76))*(INDEX(Properties!A$1:CB$87,Formula!H76,31))+((Formula!K76)/(Formula!C76+Formula!E76+Formula!G76+Formula!I76+Formula!K76))*(INDEX(Properties!A$1:CB$87,Formula!J76,31))</f>
        <v>2.5271428571428567</v>
      </c>
      <c r="CU76" s="69">
        <f>Formula!C76*(INDEX(Properties!A$1:CB$87,Formula!B76,31))+Formula!E76*(INDEX(Properties!A$1:CB$87,Formula!D76,31))+Formula!G76*(INDEX(Properties!A$1:CB$87,Formula!F76,31))+Formula!I76*(INDEX(Properties!A$1:CB$87,Formula!H76,31))+Formula!K76*(INDEX(Properties!A$1:CB$87,Formula!J76,31))</f>
        <v>17.689999999999998</v>
      </c>
      <c r="CV76" s="69">
        <f>VARP(IF(INDEX(Properties!A$1:CB$87,Formula!B76,31)&lt;&gt;"",INDEX(Properties!A$1:CB$87,Formula!B76,31)),IF(INDEX(Properties!A$1:CB$87,Formula!D76,31)&lt;&gt;"",INDEX(Properties!A$1:CB$87,Formula!D76,31)),IF(INDEX(Properties!A$1:CB$87,Formula!F76,31)&lt;&gt;"",INDEX(Properties!A$1:CB$87,Formula!F76,31)),IF(INDEX(Properties!A$1:CB$87,Formula!H76,31)&lt;&gt;"",INDEX(Properties!A$1:CB$87,Formula!H76,31)),IF(INDEX(Properties!A$1:CB$87,Formula!J76,31)&lt;&gt;"",INDEX(Properties!A$1:CB$87,Formula!J76,31)))</f>
        <v>1.5142559999999998</v>
      </c>
      <c r="CW76" s="69">
        <f>MAX(INDEX(Properties!A$1:CB$87,Formula!B76,31),INDEX(Properties!A$1:CB$87,Formula!D76,31),INDEX(Properties!A$1:CB$87,Formula!F76,31),INDEX(Properties!A$1:CB$87,Formula!H76,31),INDEX(Properties!A$1:CB$87,Formula!J76,31))</f>
        <v>3.32</v>
      </c>
      <c r="CX76" s="69">
        <f>MIN(IF(INDEX(Properties!A$1:CB$87,Formula!B76,31)=0,10^6,INDEX(Properties!A$1:CB$87,Formula!B76,31)),IF(INDEX(Properties!A$1:CB$87,Formula!D76,31)=0,10^6,INDEX(Properties!A$1:CB$87,Formula!D76,31)),IF(INDEX(Properties!A$1:CB$87,Formula!F76,31)=0,10^6,INDEX(Properties!A$1:CB$87,Formula!F76,31)),IF(INDEX(Properties!A$1:CB$87,Formula!H76,31)=0,10^6,INDEX(Properties!A$1:CB$87,Formula!H76,31)),IF(INDEX(Properties!A$1:CB$87,Formula!J76,31)=0,10^6,INDEX(Properties!A$1:CB$87,Formula!J76,31)))</f>
        <v>1.1299999999999999</v>
      </c>
      <c r="CY76" s="69">
        <f t="shared" si="48"/>
        <v>2.19</v>
      </c>
      <c r="CZ76" s="42">
        <f>((Formula!C76)/(Formula!C76+Formula!E76+Formula!G76+Formula!I76+Formula!K76))*(INDEX(Properties!A$1:CB$87,Formula!B76,32))+((Formula!E76)/(Formula!C76+Formula!E76+Formula!G76+Formula!I76+Formula!K76))*(INDEX(Properties!A$1:CB$87,Formula!D76,32))+((Formula!G76)/(Formula!C76+Formula!E76+Formula!G76+Formula!I76+Formula!K76))*(INDEX(Properties!A$1:CB$87,Formula!F76,32))+((Formula!I76)/(Formula!C76+Formula!E76+Formula!G76+Formula!I76+Formula!K76))*(INDEX(Properties!A$1:CB$87,Formula!H76,32))+((Formula!K76)/(Formula!C76+Formula!E76+Formula!G76+Formula!I76+Formula!K76))*(INDEX(Properties!A$1:CB$87,Formula!J76,32))</f>
        <v>5.5171428571428578</v>
      </c>
      <c r="DA76" s="42">
        <f>Formula!C76*(INDEX(Properties!A$1:CB$87,Formula!B76,32))+Formula!E76*(INDEX(Properties!A$1:CB$87,Formula!D76,32))+Formula!G76*(INDEX(Properties!A$1:CB$87,Formula!F76,32))+Formula!I76*(INDEX(Properties!A$1:CB$87,Formula!H76,32))+Formula!K76*(INDEX(Properties!A$1:CB$87,Formula!J76,32))</f>
        <v>38.620000000000005</v>
      </c>
      <c r="DB76" s="42">
        <f>VARP(IF(INDEX(Properties!A$1:CB$87,Formula!B76,32)&lt;&gt;"",INDEX(Properties!A$1:CB$87,Formula!B76,32)),IF(INDEX(Properties!A$1:CB$87,Formula!D76,32)&lt;&gt;"",INDEX(Properties!A$1:CB$87,Formula!D76,32)),IF(INDEX(Properties!A$1:CB$87,Formula!F76,32)&lt;&gt;"",INDEX(Properties!A$1:CB$87,Formula!F76,32)),IF(INDEX(Properties!A$1:CB$87,Formula!H76,32)&lt;&gt;"",INDEX(Properties!A$1:CB$87,Formula!H76,32)),IF(INDEX(Properties!A$1:CB$87,Formula!J76,32)&lt;&gt;"",INDEX(Properties!A$1:CB$87,Formula!J76,32)))</f>
        <v>7.7339839999999995</v>
      </c>
      <c r="DC76" s="42">
        <f>MAX(INDEX(Properties!A$1:CB$87,Formula!B76,32),INDEX(Properties!A$1:CB$87,Formula!D76,32),INDEX(Properties!A$1:CB$87,Formula!F76,32),INDEX(Properties!A$1:CB$87,Formula!H76,32),INDEX(Properties!A$1:CB$87,Formula!J76,32))</f>
        <v>7.54</v>
      </c>
      <c r="DD76" s="42">
        <f>MIN(IF(INDEX(Properties!A$1:CB$87,Formula!B76,32)=0,10^6,INDEX(Properties!A$1:CB$87,Formula!B76,32)),IF(INDEX(Properties!A$1:CB$87,Formula!D76,32)=0,10^6,INDEX(Properties!A$1:CB$87,Formula!D76,32)),IF(INDEX(Properties!A$1:CB$87,Formula!F76,32)=0,10^6,INDEX(Properties!A$1:CB$87,Formula!F76,32)),IF(INDEX(Properties!A$1:CB$87,Formula!H76,32)=0,10^6,INDEX(Properties!A$1:CB$87,Formula!H76,32)),IF(INDEX(Properties!A$1:CB$87,Formula!J76,32)=0,10^6,INDEX(Properties!A$1:CB$87,Formula!J76,32)))</f>
        <v>2</v>
      </c>
      <c r="DE76" s="42">
        <f t="shared" si="49"/>
        <v>5.54</v>
      </c>
      <c r="DF76" s="60">
        <f>((Formula!C76)/(Formula!C76+Formula!E76+Formula!G76+Formula!I76+Formula!K76))*(INDEX(Properties!A$1:CB$87,Formula!B76,34))+((Formula!E76)/(Formula!C76+Formula!E76+Formula!G76+Formula!I76+Formula!K76))*(INDEX(Properties!A$1:CB$87,Formula!D76,34))+((Formula!G76)/(Formula!C76+Formula!E76+Formula!G76+Formula!I76+Formula!K76))*(INDEX(Properties!A$1:CB$87,Formula!F76,34))+((Formula!I76)/(Formula!C76+Formula!E76+Formula!G76+Formula!I76+Formula!K76))*(INDEX(Properties!A$1:CB$87,Formula!H76,34))+((Formula!K76)/(Formula!C76+Formula!E76+Formula!G76+Formula!I76+Formula!K76))*(INDEX(Properties!A$1:CB$87,Formula!J76,34))</f>
        <v>2.661285714285714</v>
      </c>
      <c r="DG76" s="60">
        <f>Formula!C76*(INDEX(Properties!A$1:CB$87,Formula!B76,34))+Formula!E76*(INDEX(Properties!A$1:CB$87,Formula!D76,34))+Formula!G76*(INDEX(Properties!A$1:CB$87,Formula!F76,34))+Formula!I76*(INDEX(Properties!A$1:CB$87,Formula!H76,34))+Formula!K76*(INDEX(Properties!A$1:CB$87,Formula!J76,34))</f>
        <v>18.628999999999998</v>
      </c>
      <c r="DH76" s="60">
        <f>VARP(IF(INDEX(Properties!A$1:CB$87,Formula!B76,34)&lt;&gt;"",INDEX(Properties!A$1:CB$87,Formula!B76,34)),IF(INDEX(Properties!A$1:CB$87,Formula!D76,34)&lt;&gt;"",INDEX(Properties!A$1:CB$87,Formula!D76,34)),IF(INDEX(Properties!A$1:CB$87,Formula!F76,34)&lt;&gt;"",INDEX(Properties!A$1:CB$87,Formula!F76,34)),IF(INDEX(Properties!A$1:CB$87,Formula!H76,34)&lt;&gt;"",INDEX(Properties!A$1:CB$87,Formula!H76,34)),IF(INDEX(Properties!A$1:CB$87,Formula!J76,34)&lt;&gt;"",INDEX(Properties!A$1:CB$87,Formula!J76,34)))</f>
        <v>1.78158376</v>
      </c>
      <c r="DI76" s="60">
        <f>MAX(INDEX(Properties!A$1:CB$87,Formula!B76,34),INDEX(Properties!A$1:CB$87,Formula!D76,34),INDEX(Properties!A$1:CB$87,Formula!F76,34),INDEX(Properties!A$1:CB$87,Formula!H76,34),INDEX(Properties!A$1:CB$87,Formula!J76,34))</f>
        <v>3.61</v>
      </c>
      <c r="DJ76" s="60">
        <f>MIN(IF(INDEX(Properties!A$1:CB$87,Formula!B76,34)=0,10^6,INDEX(Properties!A$1:CB$87,Formula!B76,34)),IF(INDEX(Properties!A$1:CB$87,Formula!D76,34)=0,10^6,INDEX(Properties!A$1:CB$87,Formula!D76,34)),IF(INDEX(Properties!A$1:CB$87,Formula!F76,34)=0,10^6,INDEX(Properties!A$1:CB$87,Formula!F76,34)),IF(INDEX(Properties!A$1:CB$87,Formula!H76,34)=0,10^6,INDEX(Properties!A$1:CB$87,Formula!H76,34)),IF(INDEX(Properties!A$1:CB$87,Formula!J76,34)=0,10^6,INDEX(Properties!A$1:CB$87,Formula!J76,34)))</f>
        <v>0.96299999999999997</v>
      </c>
      <c r="DK76" s="60">
        <f t="shared" si="50"/>
        <v>2.6469999999999998</v>
      </c>
      <c r="DL76" s="45">
        <f>((Formula!C76)/(Formula!C76+Formula!E76+Formula!G76+Formula!I76+Formula!K76))*(INDEX(Properties!A$1:CB$87,Formula!B76,39))+((Formula!E76)/(Formula!C76+Formula!E76+Formula!G76+Formula!I76+Formula!K76))*(INDEX(Properties!A$1:CB$87,Formula!D76,39))+((Formula!G76)/(Formula!C76+Formula!E76+Formula!G76+Formula!I76+Formula!K76))*(INDEX(Properties!A$1:CB$87,Formula!F76,39))+((Formula!I76)/(Formula!C76+Formula!E76+Formula!G76+Formula!I76+Formula!K76))*(INDEX(Properties!A$1:CB$87,Formula!H76,39))+((Formula!K76)/(Formula!C76+Formula!E76+Formula!G76+Formula!I76+Formula!K76))*(INDEX(Properties!A$1:CB$87,Formula!J76,39))</f>
        <v>0.92428571428571416</v>
      </c>
      <c r="DM76" s="45">
        <f>Formula!C76*(INDEX(Properties!A$1:CB$87,Formula!B76,39))+Formula!E76*(INDEX(Properties!A$1:CB$87,Formula!D76,39))+Formula!G76*(INDEX(Properties!A$1:CB$87,Formula!F76,39))+Formula!I76*(INDEX(Properties!A$1:CB$87,Formula!H76,39))+Formula!K76*(INDEX(Properties!A$1:CB$87,Formula!J76,39))</f>
        <v>6.47</v>
      </c>
      <c r="DN76" s="45">
        <f>VARP(IF(INDEX(Properties!A$1:CB$87,Formula!B76,39)&lt;&gt;"",INDEX(Properties!A$1:CB$87,Formula!B76,39)),IF(INDEX(Properties!A$1:CB$87,Formula!D76,39)&lt;&gt;"",INDEX(Properties!A$1:CB$87,Formula!D76,39)),IF(INDEX(Properties!A$1:CB$87,Formula!F76,39)&lt;&gt;"",INDEX(Properties!A$1:CB$87,Formula!F76,39)),IF(INDEX(Properties!A$1:CB$87,Formula!H76,39)&lt;&gt;"",INDEX(Properties!A$1:CB$87,Formula!H76,39)),IF(INDEX(Properties!A$1:CB$87,Formula!J76,39)&lt;&gt;"",INDEX(Properties!A$1:CB$87,Formula!J76,39)))</f>
        <v>0.69087999999999983</v>
      </c>
      <c r="DO76" s="45">
        <f>MAX(INDEX(Properties!A$1:CB$87,Formula!B76,39),INDEX(Properties!A$1:CB$87,Formula!D76,39),INDEX(Properties!A$1:CB$87,Formula!F76,39),INDEX(Properties!A$1:CB$87,Formula!H76,39),INDEX(Properties!A$1:CB$87,Formula!J76,39))</f>
        <v>2.19</v>
      </c>
      <c r="DP76" s="45">
        <f>MIN(IF(INDEX(Properties!A$1:CB$87,Formula!B76,39)=0,10^6,INDEX(Properties!A$1:CB$87,Formula!B76,39)),IF(INDEX(Properties!A$1:CB$87,Formula!D76,39)=0,10^6,INDEX(Properties!A$1:CB$87,Formula!D76,39)),IF(INDEX(Properties!A$1:CB$87,Formula!F76,39)=0,10^6,INDEX(Properties!A$1:CB$87,Formula!F76,39)),IF(INDEX(Properties!A$1:CB$87,Formula!H76,39)=0,10^6,INDEX(Properties!A$1:CB$87,Formula!H76,39)),IF(INDEX(Properties!A$1:CB$87,Formula!J76,39)=0,10^6,INDEX(Properties!A$1:CB$87,Formula!J76,39)))</f>
        <v>0.48</v>
      </c>
      <c r="DQ76" s="45">
        <f t="shared" si="51"/>
        <v>1.71</v>
      </c>
      <c r="DR76" s="63">
        <f>((Formula!C76)/(Formula!C76+Formula!E76+Formula!G76+Formula!I76+Formula!K76))*(INDEX(Properties!A$1:CB$87,Formula!B76,40))+((Formula!E76)/(Formula!C76+Formula!E76+Formula!G76+Formula!I76+Formula!K76))*(INDEX(Properties!A$1:CB$87,Formula!D76,40))+((Formula!G76)/(Formula!C76+Formula!E76+Formula!G76+Formula!I76+Formula!K76))*(INDEX(Properties!A$1:CB$87,Formula!F76,40))+((Formula!I76)/(Formula!C76+Formula!E76+Formula!G76+Formula!I76+Formula!K76))*(INDEX(Properties!A$1:CB$87,Formula!H76,40))+((Formula!K76)/(Formula!C76+Formula!E76+Formula!G76+Formula!I76+Formula!K76))*(INDEX(Properties!A$1:CB$87,Formula!J76,40))</f>
        <v>1.0285714285714285</v>
      </c>
      <c r="DS76" s="63">
        <f>Formula!C76*(INDEX(Properties!A$1:CB$87,Formula!B76,40))+Formula!E76*(INDEX(Properties!A$1:CB$87,Formula!D76,40))+Formula!G76*(INDEX(Properties!A$1:CB$87,Formula!F76,40))+Formula!I76*(INDEX(Properties!A$1:CB$87,Formula!H76,40))+Formula!K76*(INDEX(Properties!A$1:CB$87,Formula!J76,40))</f>
        <v>7.1999999999999993</v>
      </c>
      <c r="DT76" s="63">
        <f>VARP(IF(INDEX(Properties!A$1:CB$87,Formula!B76,40)&lt;&gt;"",INDEX(Properties!A$1:CB$87,Formula!B76,40)),IF(INDEX(Properties!A$1:CB$87,Formula!D76,40)&lt;&gt;"",INDEX(Properties!A$1:CB$87,Formula!D76,40)),IF(INDEX(Properties!A$1:CB$87,Formula!F76,40)&lt;&gt;"",INDEX(Properties!A$1:CB$87,Formula!F76,40)),IF(INDEX(Properties!A$1:CB$87,Formula!H76,40)&lt;&gt;"",INDEX(Properties!A$1:CB$87,Formula!H76,40)),IF(INDEX(Properties!A$1:CB$87,Formula!J76,40)&lt;&gt;"",INDEX(Properties!A$1:CB$87,Formula!J76,40)))</f>
        <v>0.53558399999999995</v>
      </c>
      <c r="DU76" s="63">
        <f>MAX(INDEX(Properties!A$1:CB$87,Formula!B76,40),INDEX(Properties!A$1:CB$87,Formula!D76,40),INDEX(Properties!A$1:CB$87,Formula!F76,40),INDEX(Properties!A$1:CB$87,Formula!H76,40),INDEX(Properties!A$1:CB$87,Formula!J76,40))</f>
        <v>1.92</v>
      </c>
      <c r="DV76" s="63">
        <f>MIN(IF(INDEX(Properties!A$1:CB$87,Formula!B76,40)=0,10^6,INDEX(Properties!A$1:CB$87,Formula!B76,40)),IF(INDEX(Properties!A$1:CB$87,Formula!D76,40)=0,10^6,INDEX(Properties!A$1:CB$87,Formula!D76,40)),IF(INDEX(Properties!A$1:CB$87,Formula!F76,40)=0,10^6,INDEX(Properties!A$1:CB$87,Formula!F76,40)),IF(INDEX(Properties!A$1:CB$87,Formula!H76,40)=0,10^6,INDEX(Properties!A$1:CB$87,Formula!H76,40)),IF(INDEX(Properties!A$1:CB$87,Formula!J76,40)=0,10^6,INDEX(Properties!A$1:CB$87,Formula!J76,40)))</f>
        <v>0.73</v>
      </c>
      <c r="DW76" s="63">
        <f t="shared" si="52"/>
        <v>1.19</v>
      </c>
      <c r="DX76" s="75">
        <f>((Formula!C76)/(Formula!C76+Formula!E76+Formula!G76+Formula!I76+Formula!K76))*(INDEX(Properties!A$1:CB$87,Formula!B76,41))+((Formula!E76)/(Formula!C76+Formula!E76+Formula!G76+Formula!I76+Formula!K76))*(INDEX(Properties!A$1:CB$87,Formula!D76,41))+((Formula!G76)/(Formula!C76+Formula!E76+Formula!G76+Formula!I76+Formula!K76))*(INDEX(Properties!A$1:CB$87,Formula!F76,41))+((Formula!I76)/(Formula!C76+Formula!E76+Formula!G76+Formula!I76+Formula!K76))*(INDEX(Properties!A$1:CB$87,Formula!H76,41))+((Formula!K76)/(Formula!C76+Formula!E76+Formula!G76+Formula!I76+Formula!K76))*(INDEX(Properties!A$1:CB$87,Formula!J76,41))</f>
        <v>1.1028571428571428</v>
      </c>
      <c r="DY76" s="75">
        <f>Formula!C76*(INDEX(Properties!A$1:CB$87,Formula!B76,41))+Formula!E76*(INDEX(Properties!A$1:CB$87,Formula!D76,41))+Formula!G76*(INDEX(Properties!A$1:CB$87,Formula!F76,41))+Formula!I76*(INDEX(Properties!A$1:CB$87,Formula!H76,41))+Formula!K76*(INDEX(Properties!A$1:CB$87,Formula!J76,41))</f>
        <v>7.7200000000000006</v>
      </c>
      <c r="DZ76" s="75">
        <f>VARP(IF(INDEX(Properties!A$1:CB$87,Formula!B76,41)&lt;&gt;"",INDEX(Properties!A$1:CB$87,Formula!B76,41)),IF(INDEX(Properties!A$1:CB$87,Formula!D76,41)&lt;&gt;"",INDEX(Properties!A$1:CB$87,Formula!D76,41)),IF(INDEX(Properties!A$1:CB$87,Formula!F76,41)&lt;&gt;"",INDEX(Properties!A$1:CB$87,Formula!F76,41)),IF(INDEX(Properties!A$1:CB$87,Formula!H76,41)&lt;&gt;"",INDEX(Properties!A$1:CB$87,Formula!H76,41)),IF(INDEX(Properties!A$1:CB$87,Formula!J76,41)&lt;&gt;"",INDEX(Properties!A$1:CB$87,Formula!J76,41)))</f>
        <v>0.33337600000000001</v>
      </c>
      <c r="EA76" s="75">
        <f>MAX(INDEX(Properties!A$1:CB$87,Formula!B76,41),INDEX(Properties!A$1:CB$87,Formula!D76,41),INDEX(Properties!A$1:CB$87,Formula!F76,41),INDEX(Properties!A$1:CB$87,Formula!H76,41),INDEX(Properties!A$1:CB$87,Formula!J76,41))</f>
        <v>1.32</v>
      </c>
      <c r="EB76" s="75">
        <f>MIN(IF(INDEX(Properties!A$1:CB$87,Formula!B76,41)=0,10^6,INDEX(Properties!A$1:CB$87,Formula!B76,41)),IF(INDEX(Properties!A$1:CB$87,Formula!D76,41)=0,10^6,INDEX(Properties!A$1:CB$87,Formula!D76,41)),IF(INDEX(Properties!A$1:CB$87,Formula!F76,41)=0,10^6,INDEX(Properties!A$1:CB$87,Formula!F76,41)),IF(INDEX(Properties!A$1:CB$87,Formula!H76,41)=0,10^6,INDEX(Properties!A$1:CB$87,Formula!H76,41)),IF(INDEX(Properties!A$1:CB$87,Formula!J76,41)=0,10^6,INDEX(Properties!A$1:CB$87,Formula!J76,41)))</f>
        <v>0.68</v>
      </c>
      <c r="EC76" s="75">
        <f t="shared" si="53"/>
        <v>0.64</v>
      </c>
      <c r="ED76" s="48">
        <f>((Formula!C76)/(Formula!C76+Formula!E76+Formula!G76+Formula!I76+Formula!K76))*(INDEX(Properties!A$1:CB$87,Formula!B76,45))+((Formula!E76)/(Formula!C76+Formula!E76+Formula!G76+Formula!I76+Formula!K76))*(INDEX(Properties!A$1:CB$87,Formula!D76,45))+((Formula!G76)/(Formula!C76+Formula!E76+Formula!G76+Formula!I76+Formula!K76))*(INDEX(Properties!A$1:CB$87,Formula!F76,45))+((Formula!I76)/(Formula!C76+Formula!E76+Formula!G76+Formula!I76+Formula!K76))*(INDEX(Properties!A$1:CB$87,Formula!H76,45))+((Formula!K76)/(Formula!C76+Formula!E76+Formula!G76+Formula!I76+Formula!K76))*(INDEX(Properties!A$1:CB$87,Formula!J76,45))</f>
        <v>1.2071428571428571</v>
      </c>
      <c r="EE76" s="48">
        <f>Formula!C76*(INDEX(Properties!A$1:CB$87,Formula!B76,45))+Formula!E76*(INDEX(Properties!A$1:CB$87,Formula!D76,45))+Formula!G76*(INDEX(Properties!A$1:CB$87,Formula!F76,45))+Formula!I76*(INDEX(Properties!A$1:CB$87,Formula!H76,45))+Formula!K76*(INDEX(Properties!A$1:CB$87,Formula!J76,45))</f>
        <v>8.4499999999999993</v>
      </c>
      <c r="EF76" s="48">
        <f>VARP(IF(INDEX(Properties!A$1:CB$87,Formula!B76,45)&lt;&gt;"",INDEX(Properties!A$1:CB$87,Formula!B76,45)),IF(INDEX(Properties!A$1:CB$87,Formula!D76,45)&lt;&gt;"",INDEX(Properties!A$1:CB$87,Formula!D76,45)),IF(INDEX(Properties!A$1:CB$87,Formula!F76,45)&lt;&gt;"",INDEX(Properties!A$1:CB$87,Formula!F76,45)),IF(INDEX(Properties!A$1:CB$87,Formula!H76,45)&lt;&gt;"",INDEX(Properties!A$1:CB$87,Formula!H76,45)),IF(INDEX(Properties!A$1:CB$87,Formula!J76,45)&lt;&gt;"",INDEX(Properties!A$1:CB$87,Formula!J76,45)))</f>
        <v>1.5202960000000001</v>
      </c>
      <c r="EG76" s="48">
        <f>MAX(INDEX(Properties!A$1:CB$87,Formula!B76,45),INDEX(Properties!A$1:CB$87,Formula!D76,45),INDEX(Properties!A$1:CB$87,Formula!F76,45),INDEX(Properties!A$1:CB$87,Formula!H76,45),INDEX(Properties!A$1:CB$87,Formula!J76,45))</f>
        <v>3.21</v>
      </c>
      <c r="EH76" s="48">
        <f>MIN(IF(INDEX(Properties!A$1:CB$87,Formula!B76,45)=0,10^6,INDEX(Properties!A$1:CB$87,Formula!B76,45)),IF(INDEX(Properties!A$1:CB$87,Formula!D76,45)=0,10^6,INDEX(Properties!A$1:CB$87,Formula!D76,45)),IF(INDEX(Properties!A$1:CB$87,Formula!F76,45)=0,10^6,INDEX(Properties!A$1:CB$87,Formula!F76,45)),IF(INDEX(Properties!A$1:CB$87,Formula!H76,45)=0,10^6,INDEX(Properties!A$1:CB$87,Formula!H76,45)),IF(INDEX(Properties!A$1:CB$87,Formula!J76,45)=0,10^6,INDEX(Properties!A$1:CB$87,Formula!J76,45)))</f>
        <v>0.47</v>
      </c>
      <c r="EI76" s="48">
        <f t="shared" si="54"/>
        <v>2.74</v>
      </c>
      <c r="EJ76" s="66">
        <f>((Formula!C76)/(Formula!C76+Formula!E76+Formula!G76+Formula!I76+Formula!K76))*(INDEX(Properties!A$1:CB$87,Formula!B76,46))+((Formula!E76)/(Formula!C76+Formula!E76+Formula!G76+Formula!I76+Formula!K76))*(INDEX(Properties!A$1:CB$87,Formula!D76,46))+((Formula!G76)/(Formula!C76+Formula!E76+Formula!G76+Formula!I76+Formula!K76))*(INDEX(Properties!A$1:CB$87,Formula!F76,46))+((Formula!I76)/(Formula!C76+Formula!E76+Formula!G76+Formula!I76+Formula!K76))*(INDEX(Properties!A$1:CB$87,Formula!H76,46))+((Formula!K76)/(Formula!C76+Formula!E76+Formula!G76+Formula!I76+Formula!K76))*(INDEX(Properties!A$1:CB$87,Formula!J76,46))</f>
        <v>1.0314285714285714</v>
      </c>
      <c r="EK76" s="66">
        <f>Formula!C76*(INDEX(Properties!A$1:CB$87,Formula!B76,46))+Formula!E76*(INDEX(Properties!A$1:CB$87,Formula!D76,46))+Formula!G76*(INDEX(Properties!A$1:CB$87,Formula!F76,46))+Formula!I76*(INDEX(Properties!A$1:CB$87,Formula!H76,46))+Formula!K76*(INDEX(Properties!A$1:CB$87,Formula!J76,46))</f>
        <v>7.22</v>
      </c>
      <c r="EL76" s="66">
        <f>VARP(IF(INDEX(Properties!A$1:CB$87,Formula!B76,46)&lt;&gt;"",INDEX(Properties!A$1:CB$87,Formula!B76,46)),IF(INDEX(Properties!A$1:CB$87,Formula!D76,46)&lt;&gt;"",INDEX(Properties!A$1:CB$87,Formula!D76,46)),IF(INDEX(Properties!A$1:CB$87,Formula!F76,46)&lt;&gt;"",INDEX(Properties!A$1:CB$87,Formula!F76,46)),IF(INDEX(Properties!A$1:CB$87,Formula!H76,46)&lt;&gt;"",INDEX(Properties!A$1:CB$87,Formula!H76,46)),IF(INDEX(Properties!A$1:CB$87,Formula!J76,46)&lt;&gt;"",INDEX(Properties!A$1:CB$87,Formula!J76,46)))</f>
        <v>0.32293600000000006</v>
      </c>
      <c r="EM76" s="66">
        <f>MAX(INDEX(Properties!A$1:CB$87,Formula!B76,46),INDEX(Properties!A$1:CB$87,Formula!D76,46),INDEX(Properties!A$1:CB$87,Formula!F76,46),INDEX(Properties!A$1:CB$87,Formula!H76,46),INDEX(Properties!A$1:CB$87,Formula!J76,46))</f>
        <v>1.32</v>
      </c>
      <c r="EN76" s="66">
        <f>MIN(IF(INDEX(Properties!A$1:CB$87,Formula!B76,46)=0,10^6,INDEX(Properties!A$1:CB$87,Formula!B76,46)),IF(INDEX(Properties!A$1:CB$87,Formula!D76,46)=0,10^6,INDEX(Properties!A$1:CB$87,Formula!D76,46)),IF(INDEX(Properties!A$1:CB$87,Formula!F76,46)=0,10^6,INDEX(Properties!A$1:CB$87,Formula!F76,46)),IF(INDEX(Properties!A$1:CB$87,Formula!H76,46)=0,10^6,INDEX(Properties!A$1:CB$87,Formula!H76,46)),IF(INDEX(Properties!A$1:CB$87,Formula!J76,46)=0,10^6,INDEX(Properties!A$1:CB$87,Formula!J76,46)))</f>
        <v>0.53</v>
      </c>
      <c r="EO76" s="66">
        <f t="shared" si="55"/>
        <v>0.79</v>
      </c>
      <c r="EP76" s="81">
        <f>((Formula!C76)/(Formula!C76+Formula!E76+Formula!G76+Formula!I76+Formula!K76))*(INDEX(Properties!A$1:CB$87,Formula!B76,52))+((Formula!E76)/(Formula!C76+Formula!E76+Formula!G76+Formula!I76+Formula!K76))*(INDEX(Properties!A$1:CB$87,Formula!D76,52))+((Formula!G76)/(Formula!C76+Formula!E76+Formula!G76+Formula!I76+Formula!K76))*(INDEX(Properties!A$1:CB$87,Formula!F76,52))+((Formula!I76)/(Formula!C76+Formula!E76+Formula!G76+Formula!I76+Formula!K76))*(INDEX(Properties!A$1:CB$87,Formula!H76,52))+((Formula!K76)/(Formula!C76+Formula!E76+Formula!G76+Formula!I76+Formula!K76))*(INDEX(Properties!A$1:CB$87,Formula!J76,52))</f>
        <v>6.7674285714285718</v>
      </c>
      <c r="EQ76" s="81">
        <f>Formula!C76*(INDEX(Properties!A$1:CB$87,Formula!B76,52))+Formula!E76*(INDEX(Properties!A$1:CB$87,Formula!D76,52))+Formula!G76*(INDEX(Properties!A$1:CB$87,Formula!F76,52))+Formula!I76*(INDEX(Properties!A$1:CB$87,Formula!H76,52))+Formula!K76*(INDEX(Properties!A$1:CB$87,Formula!J76,52))</f>
        <v>47.372</v>
      </c>
      <c r="ER76" s="81">
        <f>VARP(IF(INDEX(Properties!A$1:CB$87,Formula!B76,52)&lt;&gt;"",INDEX(Properties!A$1:CB$87,Formula!B76,52)),IF(INDEX(Properties!A$1:CB$87,Formula!D76,52)&lt;&gt;"",INDEX(Properties!A$1:CB$87,Formula!D76,52)),IF(INDEX(Properties!A$1:CB$87,Formula!F76,52)&lt;&gt;"",INDEX(Properties!A$1:CB$87,Formula!F76,52)),IF(INDEX(Properties!A$1:CB$87,Formula!H76,52)&lt;&gt;"",INDEX(Properties!A$1:CB$87,Formula!H76,52)),IF(INDEX(Properties!A$1:CB$87,Formula!J76,52)&lt;&gt;"",INDEX(Properties!A$1:CB$87,Formula!J76,52)))</f>
        <v>112.40071984000001</v>
      </c>
      <c r="ES76" s="81">
        <f>MAX(INDEX(Properties!A$1:CB$87,Formula!B76,52),INDEX(Properties!A$1:CB$87,Formula!D76,52),INDEX(Properties!A$1:CB$87,Formula!F76,52),INDEX(Properties!A$1:CB$87,Formula!H76,52),INDEX(Properties!A$1:CB$87,Formula!J76,52))</f>
        <v>27.6</v>
      </c>
      <c r="ET76" s="81">
        <f>MIN(IF(INDEX(Properties!A$1:CB$87,Formula!B76,52)=0,10^6,INDEX(Properties!A$1:CB$87,Formula!B76,52)),IF(INDEX(Properties!A$1:CB$87,Formula!D76,52)=0,10^6,INDEX(Properties!A$1:CB$87,Formula!D76,52)),IF(INDEX(Properties!A$1:CB$87,Formula!F76,52)=0,10^6,INDEX(Properties!A$1:CB$87,Formula!F76,52)),IF(INDEX(Properties!A$1:CB$87,Formula!H76,52)=0,10^6,INDEX(Properties!A$1:CB$87,Formula!H76,52)),IF(INDEX(Properties!A$1:CB$87,Formula!J76,52)=0,10^6,INDEX(Properties!A$1:CB$87,Formula!J76,52)))</f>
        <v>0.79300000000000004</v>
      </c>
      <c r="EU76" s="81">
        <f t="shared" si="56"/>
        <v>26.807000000000002</v>
      </c>
      <c r="EV76" s="39">
        <f>((Formula!C76)/(Formula!C76+Formula!E76+Formula!G76+Formula!I76+Formula!K76))*(INDEX(Properties!A$1:CB$87,Formula!B76,53))+((Formula!E76)/(Formula!C76+Formula!E76+Formula!G76+Formula!I76+Formula!K76))*(INDEX(Properties!A$1:CB$87,Formula!D76,53))+((Formula!G76)/(Formula!C76+Formula!E76+Formula!G76+Formula!I76+Formula!K76))*(INDEX(Properties!A$1:CB$87,Formula!F76,53))+((Formula!I76)/(Formula!C76+Formula!E76+Formula!G76+Formula!I76+Formula!K76))*(INDEX(Properties!A$1:CB$87,Formula!H76,53))+((Formula!K76)/(Formula!C76+Formula!E76+Formula!G76+Formula!I76+Formula!K76))*(INDEX(Properties!A$1:CB$87,Formula!J76,53))</f>
        <v>446.77857142857141</v>
      </c>
      <c r="EW76" s="39">
        <f>Formula!C76*(INDEX(Properties!A$1:CB$87,Formula!B76,53))+Formula!E76*(INDEX(Properties!A$1:CB$87,Formula!D76,53))+Formula!G76*(INDEX(Properties!A$1:CB$87,Formula!F76,53))+Formula!I76*(INDEX(Properties!A$1:CB$87,Formula!H76,53))+Formula!K76*(INDEX(Properties!A$1:CB$87,Formula!J76,53))</f>
        <v>3127.45</v>
      </c>
      <c r="EX76" s="39">
        <f>VARP(IF(INDEX(Properties!A$1:CB$87,Formula!B76,53)&lt;&gt;"",INDEX(Properties!A$1:CB$87,Formula!B76,53)),IF(INDEX(Properties!A$1:CB$87,Formula!D76,53)&lt;&gt;"",INDEX(Properties!A$1:CB$87,Formula!D76,53)),IF(INDEX(Properties!A$1:CB$87,Formula!F76,53)&lt;&gt;"",INDEX(Properties!A$1:CB$87,Formula!F76,53)),IF(INDEX(Properties!A$1:CB$87,Formula!H76,53)&lt;&gt;"",INDEX(Properties!A$1:CB$87,Formula!H76,53)),IF(INDEX(Properties!A$1:CB$87,Formula!J76,53)&lt;&gt;"",INDEX(Properties!A$1:CB$87,Formula!J76,53)))</f>
        <v>227124.50140000001</v>
      </c>
      <c r="EY76" s="39">
        <f>MAX(INDEX(Properties!A$1:CB$87,Formula!B76,53),INDEX(Properties!A$1:CB$87,Formula!D76,53),INDEX(Properties!A$1:CB$87,Formula!F76,53),INDEX(Properties!A$1:CB$87,Formula!H76,53),INDEX(Properties!A$1:CB$87,Formula!J76,53))</f>
        <v>1042.1500000000001</v>
      </c>
      <c r="EZ76" s="39">
        <f>MIN(IF(INDEX(Properties!A$1:CB$87,Formula!B76,53)=0,10^6,INDEX(Properties!A$1:CB$87,Formula!B76,53)),IF(INDEX(Properties!A$1:CB$87,Formula!D76,53)=0,10^6,INDEX(Properties!A$1:CB$87,Formula!D76,53)),IF(INDEX(Properties!A$1:CB$87,Formula!F76,53)=0,10^6,INDEX(Properties!A$1:CB$87,Formula!F76,53)),IF(INDEX(Properties!A$1:CB$87,Formula!H76,53)=0,10^6,INDEX(Properties!A$1:CB$87,Formula!H76,53)),IF(INDEX(Properties!A$1:CB$87,Formula!J76,53)=0,10^6,INDEX(Properties!A$1:CB$87,Formula!J76,53)))</f>
        <v>54.749999999999972</v>
      </c>
      <c r="FA76" s="39">
        <f t="shared" si="57"/>
        <v>987.40000000000009</v>
      </c>
      <c r="FB76" s="54">
        <f>((Formula!C76)/(Formula!C76+Formula!E76+Formula!G76+Formula!I76+Formula!K76))*(INDEX(Properties!A$1:CB$87,Formula!B76,54))+((Formula!E76)/(Formula!C76+Formula!E76+Formula!G76+Formula!I76+Formula!K76))*(INDEX(Properties!A$1:CB$87,Formula!D76,54))+((Formula!G76)/(Formula!C76+Formula!E76+Formula!G76+Formula!I76+Formula!K76))*(INDEX(Properties!A$1:CB$87,Formula!F76,54))+((Formula!I76)/(Formula!C76+Formula!E76+Formula!G76+Formula!I76+Formula!K76))*(INDEX(Properties!A$1:CB$87,Formula!H76,54))+((Formula!K76)/(Formula!C76+Formula!E76+Formula!G76+Formula!I76+Formula!K76))*(INDEX(Properties!A$1:CB$87,Formula!J76,54))</f>
        <v>1071.1499999999999</v>
      </c>
      <c r="FC76" s="54">
        <f>Formula!C76*(INDEX(Properties!A$1:CB$87,Formula!B76,54))+Formula!E76*(INDEX(Properties!A$1:CB$87,Formula!D76,54))+Formula!G76*(INDEX(Properties!A$1:CB$87,Formula!F76,54))+Formula!I76*(INDEX(Properties!A$1:CB$87,Formula!H76,54))+Formula!K76*(INDEX(Properties!A$1:CB$87,Formula!J76,54))</f>
        <v>7498.0500000000011</v>
      </c>
      <c r="FD76" s="54">
        <f>VARP(IF(INDEX(Properties!A$1:CB$87,Formula!B76,54)&lt;&gt;"",INDEX(Properties!A$1:CB$87,Formula!B76,54)),IF(INDEX(Properties!A$1:CB$87,Formula!D76,54)&lt;&gt;"",INDEX(Properties!A$1:CB$87,Formula!D76,54)),IF(INDEX(Properties!A$1:CB$87,Formula!F76,54)&lt;&gt;"",INDEX(Properties!A$1:CB$87,Formula!F76,54)),IF(INDEX(Properties!A$1:CB$87,Formula!H76,54)&lt;&gt;"",INDEX(Properties!A$1:CB$87,Formula!H76,54)),IF(INDEX(Properties!A$1:CB$87,Formula!J76,54)&lt;&gt;"",INDEX(Properties!A$1:CB$87,Formula!J76,54)))</f>
        <v>1247050.7334000007</v>
      </c>
      <c r="FE76" s="54">
        <f>MAX(INDEX(Properties!A$1:CB$87,Formula!B76,54),INDEX(Properties!A$1:CB$87,Formula!D76,54),INDEX(Properties!A$1:CB$87,Formula!F76,54),INDEX(Properties!A$1:CB$87,Formula!H76,54),INDEX(Properties!A$1:CB$87,Formula!J76,54))</f>
        <v>2740.15</v>
      </c>
      <c r="FF76" s="54">
        <f>MIN(IF(INDEX(Properties!A$1:CB$87,Formula!B76,54)=0,10^6,INDEX(Properties!A$1:CB$87,Formula!B76,54)),IF(INDEX(Properties!A$1:CB$87,Formula!D76,54)=0,10^6,INDEX(Properties!A$1:CB$87,Formula!D76,54)),IF(INDEX(Properties!A$1:CB$87,Formula!F76,54)=0,10^6,INDEX(Properties!A$1:CB$87,Formula!F76,54)),IF(INDEX(Properties!A$1:CB$87,Formula!H76,54)=0,10^6,INDEX(Properties!A$1:CB$87,Formula!H76,54)),IF(INDEX(Properties!A$1:CB$87,Formula!J76,54)=0,10^6,INDEX(Properties!A$1:CB$87,Formula!J76,54)))</f>
        <v>90.149999999999977</v>
      </c>
      <c r="FG76" s="54">
        <f t="shared" si="58"/>
        <v>2650</v>
      </c>
      <c r="FH76" s="69">
        <f>((Formula!C76)/(Formula!C76+Formula!E76+Formula!G76+Formula!I76+Formula!K76))*(INDEX(Properties!A$1:CB$87,Formula!B76,55))+((Formula!E76)/(Formula!C76+Formula!E76+Formula!G76+Formula!I76+Formula!K76))*(INDEX(Properties!A$1:CB$87,Formula!D76,55))+((Formula!G76)/(Formula!C76+Formula!E76+Formula!G76+Formula!I76+Formula!K76))*(INDEX(Properties!A$1:CB$87,Formula!F76,55))+((Formula!I76)/(Formula!C76+Formula!E76+Formula!G76+Formula!I76+Formula!K76))*(INDEX(Properties!A$1:CB$87,Formula!H76,55))+((Formula!K76)/(Formula!C76+Formula!E76+Formula!G76+Formula!I76+Formula!K76))*(INDEX(Properties!A$1:CB$87,Formula!J76,55))</f>
        <v>1.1479600000000001</v>
      </c>
      <c r="FI76" s="69">
        <f>Formula!C76*(INDEX(Properties!A$1:CB$87,Formula!B76,55))+Formula!E76*(INDEX(Properties!A$1:CB$87,Formula!D76,54))+Formula!G76*(INDEX(Properties!A$1:CB$87,Formula!F76,55))+Formula!I76*(INDEX(Properties!A$1:CB$87,Formula!H76,55))+Formula!K76*(INDEX(Properties!A$1:CB$87,Formula!J76,55))</f>
        <v>5482.9357200000004</v>
      </c>
      <c r="FJ76" s="69">
        <f>VARP(IF(INDEX(Properties!A$1:CB$87,Formula!B76,55)&lt;&gt;"",INDEX(Properties!A$1:CB$87,Formula!B76,55)),IF(INDEX(Properties!A$1:CB$87,Formula!D76,55)&lt;&gt;"",INDEX(Properties!A$1:CB$87,Formula!D76,55)),IF(INDEX(Properties!A$1:CB$87,Formula!F76,55)&lt;&gt;"",INDEX(Properties!A$1:CB$87,Formula!F76,55)),IF(INDEX(Properties!A$1:CB$87,Formula!H76,55)&lt;&gt;"",INDEX(Properties!A$1:CB$87,Formula!H76,55)),IF(INDEX(Properties!A$1:CB$87,Formula!J76,55)&lt;&gt;"",INDEX(Properties!A$1:CB$87,Formula!J76,55)))</f>
        <v>1.7044145751840005</v>
      </c>
      <c r="FK76" s="69">
        <f>MAX(INDEX(Properties!A$1:CB$87,Formula!B76,55),INDEX(Properties!A$1:CB$87,Formula!D76,55),INDEX(Properties!A$1:CB$87,Formula!F76,55),INDEX(Properties!A$1:CB$87,Formula!H76,55),INDEX(Properties!A$1:CB$87,Formula!J76,55))</f>
        <v>2.7</v>
      </c>
      <c r="FL76" s="69">
        <f>MIN(IF(INDEX(Properties!A$1:CB$87,Formula!B76,55)=0,10^6,INDEX(Properties!A$1:CB$87,Formula!B76,55)),IF(INDEX(Properties!A$1:CB$87,Formula!D76,55)=0,10^6,INDEX(Properties!A$1:CB$87,Formula!D76,55)),IF(INDEX(Properties!A$1:CB$87,Formula!F76,55)=0,10^6,INDEX(Properties!A$1:CB$87,Formula!F76,55)),IF(INDEX(Properties!A$1:CB$87,Formula!H76,55)=0,10^6,INDEX(Properties!A$1:CB$87,Formula!H76,55)),IF(INDEX(Properties!A$1:CB$87,Formula!J76,55)=0,10^6,INDEX(Properties!A$1:CB$87,Formula!J76,55)))</f>
        <v>1.4300000000000001E-3</v>
      </c>
      <c r="FM76" s="69">
        <f t="shared" si="59"/>
        <v>2.6985700000000001</v>
      </c>
      <c r="FN76" s="42">
        <f>((Formula!C76)/(Formula!C76+Formula!E76+Formula!G76+Formula!I76+Formula!K76))*(INDEX(Properties!A$1:CB$87,Formula!B76,56))+((Formula!E76)/(Formula!C76+Formula!E76+Formula!G76+Formula!I76+Formula!K76))*(INDEX(Properties!A$1:CB$87,Formula!D76,56))+((Formula!G76)/(Formula!C76+Formula!E76+Formula!G76+Formula!I76+Formula!K76))*(INDEX(Properties!A$1:CB$87,Formula!F76,56))+((Formula!I76)/(Formula!C76+Formula!E76+Formula!G76+Formula!I76+Formula!K76))*(INDEX(Properties!A$1:CB$87,Formula!H76,56))+((Formula!K76)/(Formula!C76+Formula!E76+Formula!G76+Formula!I76+Formula!K76))*(INDEX(Properties!A$1:CB$87,Formula!J76,56))</f>
        <v>0.82571428571428562</v>
      </c>
      <c r="FO76" s="42">
        <f>Formula!C76*(INDEX(Properties!A$1:CB$87,Formula!B76,56))+Formula!E76*(INDEX(Properties!A$1:CB$87,Formula!D76,56))+Formula!G76*(INDEX(Properties!A$1:CB$87,Formula!F76,56))+Formula!I76*(INDEX(Properties!A$1:CB$87,Formula!H76,56))+Formula!K76*(INDEX(Properties!A$1:CB$87,Formula!J76,56))</f>
        <v>5.78</v>
      </c>
      <c r="FP76" s="42">
        <f>VARP(IF(INDEX(Properties!A$1:CB$87,Formula!B76,56)&lt;&gt;"",INDEX(Properties!A$1:CB$87,Formula!B76,56)),IF(INDEX(Properties!A$1:CB$87,Formula!D76,56)&lt;&gt;"",INDEX(Properties!A$1:CB$87,Formula!D76,56)),IF(INDEX(Properties!A$1:CB$87,Formula!F76,56)&lt;&gt;"",INDEX(Properties!A$1:CB$87,Formula!F76,56)),IF(INDEX(Properties!A$1:CB$87,Formula!H76,56)&lt;&gt;"",INDEX(Properties!A$1:CB$87,Formula!H76,56)),IF(INDEX(Properties!A$1:CB$87,Formula!J76,56)&lt;&gt;"",INDEX(Properties!A$1:CB$87,Formula!J76,56)))</f>
        <v>0.16950399999999996</v>
      </c>
      <c r="FQ76" s="42">
        <f>MAX(INDEX(Properties!A$1:CB$87,Formula!B76,56),INDEX(Properties!A$1:CB$87,Formula!D76,56),INDEX(Properties!A$1:CB$87,Formula!F76,56),INDEX(Properties!A$1:CB$87,Formula!H76,56),INDEX(Properties!A$1:CB$87,Formula!J76,56))</f>
        <v>0.92</v>
      </c>
      <c r="FR76" s="42">
        <f>MIN(IF(INDEX(Properties!A$1:CB$87,Formula!B76,56)=0,10^6,INDEX(Properties!A$1:CB$87,Formula!B76,56)),IF(INDEX(Properties!A$1:CB$87,Formula!D76,56)=0,10^6,INDEX(Properties!A$1:CB$87,Formula!D76,56)),IF(INDEX(Properties!A$1:CB$87,Formula!F76,56)=0,10^6,INDEX(Properties!A$1:CB$87,Formula!F76,56)),IF(INDEX(Properties!A$1:CB$87,Formula!H76,56)=0,10^6,INDEX(Properties!A$1:CB$87,Formula!H76,56)),IF(INDEX(Properties!A$1:CB$87,Formula!J76,56)=0,10^6,INDEX(Properties!A$1:CB$87,Formula!J76,56)))</f>
        <v>0.3</v>
      </c>
      <c r="FS76" s="42">
        <f t="shared" si="60"/>
        <v>0.62000000000000011</v>
      </c>
      <c r="FT76" s="60">
        <f>((Formula!C76)/(Formula!C76+Formula!E76+Formula!G76+Formula!I76+Formula!K76))*(INDEX(Properties!A$1:CB$87,Formula!B76,57))+((Formula!E76)/(Formula!C76+Formula!E76+Formula!G76+Formula!I76+Formula!K76))*(INDEX(Properties!A$1:CB$87,Formula!D76,57))+((Formula!G76)/(Formula!C76+Formula!E76+Formula!G76+Formula!I76+Formula!K76))*(INDEX(Properties!A$1:CB$87,Formula!F76,57))+((Formula!I76)/(Formula!C76+Formula!E76+Formula!G76+Formula!I76+Formula!K76))*(INDEX(Properties!A$1:CB$87,Formula!H76,57))+((Formula!K76)/(Formula!C76+Formula!E76+Formula!G76+Formula!I76+Formula!K76))*(INDEX(Properties!A$1:CB$87,Formula!J76,57))</f>
        <v>4.3957657142857132</v>
      </c>
      <c r="FU76" s="60">
        <f>Formula!C76*(INDEX(Properties!A$1:CB$87,Formula!B76,57))+Formula!E76*(INDEX(Properties!A$1:CB$87,Formula!D76,57))+Formula!G76*(INDEX(Properties!A$1:CB$87,Formula!F76,57))+Formula!I76*(INDEX(Properties!A$1:CB$87,Formula!H76,57))+Formula!K76*(INDEX(Properties!A$1:CB$87,Formula!J76,57))</f>
        <v>30.77036</v>
      </c>
      <c r="FV76" s="60">
        <f>VARP(IF(INDEX(Properties!A$1:CB$87,Formula!B76,57)&lt;&gt;"",INDEX(Properties!A$1:CB$87,Formula!B76,57)),IF(INDEX(Properties!A$1:CB$87,Formula!D76,57)&lt;&gt;"",INDEX(Properties!A$1:CB$87,Formula!D76,57)),IF(INDEX(Properties!A$1:CB$87,Formula!F76,57)&lt;&gt;"",INDEX(Properties!A$1:CB$87,Formula!F76,57)),IF(INDEX(Properties!A$1:CB$87,Formula!H76,57)&lt;&gt;"",INDEX(Properties!A$1:CB$87,Formula!H76,57)),IF(INDEX(Properties!A$1:CB$87,Formula!J76,57)&lt;&gt;"",INDEX(Properties!A$1:CB$87,Formula!J76,57)))</f>
        <v>22.153683961295997</v>
      </c>
      <c r="FW76" s="60">
        <f>MAX(INDEX(Properties!A$1:CB$87,Formula!B76,57),INDEX(Properties!A$1:CB$87,Formula!D76,57),INDEX(Properties!A$1:CB$87,Formula!F76,57),INDEX(Properties!A$1:CB$87,Formula!H76,57),INDEX(Properties!A$1:CB$87,Formula!J76,57))</f>
        <v>10.79</v>
      </c>
      <c r="FX76" s="60">
        <f>MIN(IF(INDEX(Properties!A$1:CB$87,Formula!B76,57)=0,10^6,INDEX(Properties!A$1:CB$87,Formula!B76,57)),IF(INDEX(Properties!A$1:CB$87,Formula!D76,57)=0,10^6,INDEX(Properties!A$1:CB$87,Formula!D76,57)),IF(INDEX(Properties!A$1:CB$87,Formula!F76,57)=0,10^6,INDEX(Properties!A$1:CB$87,Formula!F76,57)),IF(INDEX(Properties!A$1:CB$87,Formula!H76,57)=0,10^6,INDEX(Properties!A$1:CB$87,Formula!H76,57)),IF(INDEX(Properties!A$1:CB$87,Formula!J76,57)=0,10^6,INDEX(Properties!A$1:CB$87,Formula!J76,57)))</f>
        <v>0.22259000000000001</v>
      </c>
      <c r="FY76" s="60">
        <f t="shared" si="61"/>
        <v>10.567409999999999</v>
      </c>
      <c r="FZ76" s="72">
        <f>((Formula!C76)/(Formula!C76+Formula!E76+Formula!G76+Formula!I76+Formula!K76))*(INDEX(Properties!A$1:CB$87,Formula!B76,60))+((Formula!E76)/(Formula!C76+Formula!E76+Formula!G76+Formula!I76+Formula!K76))*(INDEX(Properties!A$1:CB$87,Formula!D76,60))+((Formula!G76)/(Formula!C76+Formula!E76+Formula!G76+Formula!I76+Formula!K76))*(INDEX(Properties!A$1:CB$87,Formula!F76,60))+((Formula!I76)/(Formula!C76+Formula!E76+Formula!G76+Formula!I76+Formula!K76))*(INDEX(Properties!A$1:CB$87,Formula!H76,60))+((Formula!K76)/(Formula!C76+Formula!E76+Formula!G76+Formula!I76+Formula!K76))*(INDEX(Properties!A$1:CB$87,Formula!J76,60))</f>
        <v>72.772422857142857</v>
      </c>
      <c r="GA76" s="72">
        <f>Formula!C76*(INDEX(Properties!A$1:CB$87,Formula!B76,60))+Formula!E76*(INDEX(Properties!A$1:CB$87,Formula!D76,60))+Formula!G76*(INDEX(Properties!A$1:CB$87,Formula!F76,60))+Formula!I76*(INDEX(Properties!A$1:CB$87,Formula!H76,60))+Formula!K76*(INDEX(Properties!A$1:CB$87,Formula!J76,60))</f>
        <v>509.40696000000003</v>
      </c>
      <c r="GB76" s="72">
        <f>VARP(IF(INDEX(Properties!A$1:CB$87,Formula!B76,60)&lt;&gt;"",INDEX(Properties!A$1:CB$87,Formula!B76,60)),IF(INDEX(Properties!A$1:CB$87,Formula!D76,60)&lt;&gt;"",INDEX(Properties!A$1:CB$87,Formula!D76,60)),IF(INDEX(Properties!A$1:CB$87,Formula!F76,60)&lt;&gt;"",INDEX(Properties!A$1:CB$87,Formula!F76,60)),IF(INDEX(Properties!A$1:CB$87,Formula!H76,60)&lt;&gt;"",INDEX(Properties!A$1:CB$87,Formula!H76,60)),IF(INDEX(Properties!A$1:CB$87,Formula!J76,60)&lt;&gt;"",INDEX(Properties!A$1:CB$87,Formula!J76,60)))</f>
        <v>8516.5440102444154</v>
      </c>
      <c r="GC76" s="72">
        <f>MAX(INDEX(Properties!A$1:CB$87,Formula!B76,60),INDEX(Properties!A$1:CB$87,Formula!D76,60),INDEX(Properties!A$1:CB$87,Formula!F76,60),INDEX(Properties!A$1:CB$87,Formula!H76,60),INDEX(Properties!A$1:CB$87,Formula!J76,60))</f>
        <v>237</v>
      </c>
      <c r="GD76" s="72">
        <f>MIN(IF(INDEX(Properties!A$1:CB$87,Formula!B76,60)=0,10^6,INDEX(Properties!A$1:CB$87,Formula!B76,60)),IF(INDEX(Properties!A$1:CB$87,Formula!D76,60)=0,10^6,INDEX(Properties!A$1:CB$87,Formula!D76,60)),IF(INDEX(Properties!A$1:CB$87,Formula!F76,60)=0,10^6,INDEX(Properties!A$1:CB$87,Formula!F76,60)),IF(INDEX(Properties!A$1:CB$87,Formula!H76,60)=0,10^6,INDEX(Properties!A$1:CB$87,Formula!H76,60)),IF(INDEX(Properties!A$1:CB$87,Formula!J76,60)=0,10^6,INDEX(Properties!A$1:CB$87,Formula!J76,60)))</f>
        <v>2.674E-2</v>
      </c>
      <c r="GE76" s="72">
        <f t="shared" si="62"/>
        <v>236.97326000000001</v>
      </c>
      <c r="GF76" s="51">
        <f>((Formula!C76)/(Formula!C76+Formula!E76+Formula!G76+Formula!I76+Formula!K76))*(INDEX(Properties!A$1:CB$87,Formula!B76,62))+((Formula!E76)/(Formula!C76+Formula!E76+Formula!G76+Formula!I76+Formula!K76))*(INDEX(Properties!A$1:CB$87,Formula!D76,62))+((Formula!G76)/(Formula!C76+Formula!E76+Formula!G76+Formula!I76+Formula!K76))*(INDEX(Properties!A$1:CB$87,Formula!F76,62))+((Formula!I76)/(Formula!C76+Formula!E76+Formula!G76+Formula!I76+Formula!K76))*(INDEX(Properties!A$1:CB$87,Formula!H76,62))+((Formula!K76)/(Formula!C76+Formula!E76+Formula!G76+Formula!I76+Formula!K76))*(INDEX(Properties!A$1:CB$87,Formula!J76,62))</f>
        <v>2.7114285714285713</v>
      </c>
      <c r="GG76" s="51">
        <f>Formula!C76*(INDEX(Properties!A$1:CB$87,Formula!B76,62))+Formula!E76*(INDEX(Properties!A$1:CB$87,Formula!D76,62))+Formula!G76*(INDEX(Properties!A$1:CB$87,Formula!F76,62))+Formula!I76*(INDEX(Properties!A$1:CB$87,Formula!H76,62))+Formula!K76*(INDEX(Properties!A$1:CB$87,Formula!J76,62))</f>
        <v>18.98</v>
      </c>
      <c r="GH76" s="51">
        <f>VARP(IF(INDEX(Properties!A$1:CB$87,Formula!B76,62)&lt;&gt;"",INDEX(Properties!A$1:CB$87,Formula!B76,62)),IF(INDEX(Properties!A$1:CB$87,Formula!D76,62)&lt;&gt;"",INDEX(Properties!A$1:CB$87,Formula!D76,62)),IF(INDEX(Properties!A$1:CB$87,Formula!F76,62)&lt;&gt;"",INDEX(Properties!A$1:CB$87,Formula!F76,62)),IF(INDEX(Properties!A$1:CB$87,Formula!H76,62)&lt;&gt;"",INDEX(Properties!A$1:CB$87,Formula!H76,62)),IF(INDEX(Properties!A$1:CB$87,Formula!J76,62)&lt;&gt;"",INDEX(Properties!A$1:CB$87,Formula!J76,62)))</f>
        <v>1.8728639999999999</v>
      </c>
      <c r="GI76" s="51">
        <f>MAX(INDEX(Properties!A$1:CB$87,Formula!B76,62),INDEX(Properties!A$1:CB$87,Formula!D76,62),INDEX(Properties!A$1:CB$87,Formula!F76,62),INDEX(Properties!A$1:CB$87,Formula!H76,62),INDEX(Properties!A$1:CB$87,Formula!J76,62))</f>
        <v>3.39</v>
      </c>
      <c r="GJ76" s="51">
        <f>MIN(IF(INDEX(Properties!A$1:CB$87,Formula!B76,62)=0,10^6,INDEX(Properties!A$1:CB$87,Formula!B76,62)),IF(INDEX(Properties!A$1:CB$87,Formula!D76,62)=0,10^6,INDEX(Properties!A$1:CB$87,Formula!D76,62)),IF(INDEX(Properties!A$1:CB$87,Formula!F76,62)=0,10^6,INDEX(Properties!A$1:CB$87,Formula!F76,62)),IF(INDEX(Properties!A$1:CB$87,Formula!H76,62)=0,10^6,INDEX(Properties!A$1:CB$87,Formula!H76,62)),IF(INDEX(Properties!A$1:CB$87,Formula!J76,62)=0,10^6,INDEX(Properties!A$1:CB$87,Formula!J76,62)))</f>
        <v>1.72</v>
      </c>
      <c r="GK76" s="51">
        <f t="shared" si="63"/>
        <v>1.6700000000000002</v>
      </c>
      <c r="GL76" s="51">
        <f>Formula!P76</f>
        <v>4</v>
      </c>
      <c r="GM76" s="57">
        <f>Formula!O76</f>
        <v>2</v>
      </c>
      <c r="GN76" s="51">
        <f>Formula!N76</f>
        <v>0.01</v>
      </c>
    </row>
    <row r="77" spans="1:196" x14ac:dyDescent="0.3">
      <c r="A77" s="84" t="str">
        <f>Formula!A77</f>
        <v>SrMg2La2W2O12</v>
      </c>
      <c r="B77" s="89">
        <f>((Formula!C77)/(Formula!C77+Formula!E77+Formula!G77+Formula!I77+Formula!K77))*(INDEX(Properties!A$1:CB$87,Formula!B77,3))+((Formula!E77)/(Formula!C77+Formula!E77+Formula!G77+Formula!I77+Formula!K77))*(INDEX(Properties!A$1:CB$87,Formula!D77,3))+((Formula!G77)/(Formula!C77+Formula!E77+Formula!G77+Formula!I77+Formula!K77))*(INDEX(Properties!A$1:CB$87,Formula!F77,3))+((Formula!I77)/(Formula!C77+Formula!E77+Formula!G77+Formula!I77+Formula!K77))*(INDEX(Properties!A$1:CB$87,Formula!H77,3))+((Formula!K77)/(Formula!C77+Formula!E77+Formula!G77+Formula!I77+Formula!K77))*(INDEX(Properties!A$1:CB$87,Formula!J77,3))</f>
        <v>51.248094736842098</v>
      </c>
      <c r="C77" s="85">
        <f>Formula!C77*(INDEX(Properties!A$1:CB$87,Formula!B77,3))+Formula!E77*(INDEX(Properties!A$1:CB$87,Formula!D77,3))+Formula!G77*(INDEX(Properties!A$1:CB$87,Formula!F77,3))+Formula!I77*(INDEX(Properties!A$1:CB$87,Formula!H77,3))+Formula!K77*(INDEX(Properties!A$1:CB$87,Formula!J77,3))</f>
        <v>973.71379999999999</v>
      </c>
      <c r="D77" s="85">
        <f>VARP(IF(INDEX(Properties!A$1:CB$87,Formula!B77,3)&lt;&gt;"",INDEX(Properties!A$1:CB$87,Formula!B77,3)),IF(INDEX(Properties!A$1:CB$87,Formula!D77,3)&lt;&gt;"",INDEX(Properties!A$1:CB$87,Formula!D77,3)),IF(INDEX(Properties!A$1:CB$87,Formula!F77,3)&lt;&gt;"",INDEX(Properties!A$1:CB$87,Formula!F77,3)),IF(INDEX(Properties!A$1:CB$87,Formula!H77,3)&lt;&gt;"",INDEX(Properties!A$1:CB$87,Formula!H77,3)),IF(INDEX(Properties!A$1:CB$87,Formula!J77,3)&lt;&gt;"",INDEX(Properties!A$1:CB$87,Formula!J77,3)))</f>
        <v>4199.0380004816016</v>
      </c>
      <c r="E77" s="85">
        <f>MAX(INDEX(Properties!A$1:CB$87,Formula!B77,3),INDEX(Properties!A$1:CB$87,Formula!D77,3),INDEX(Properties!A$1:CB$87,Formula!F77,3),INDEX(Properties!A$1:CB$87,Formula!H77,3),INDEX(Properties!A$1:CB$87,Formula!J77,3))</f>
        <v>183.84</v>
      </c>
      <c r="F77" s="85">
        <f>MIN(IF(INDEX(Properties!A$1:CB$87,Formula!B77,3)=0,10^6,INDEX(Properties!A$1:CB$87,Formula!B77,3)),IF(INDEX(Properties!A$1:CB$87,Formula!D77,3)=0,10^6,INDEX(Properties!A$1:CB$87,Formula!D77,3)),IF(INDEX(Properties!A$1:CB$87,Formula!F77,3)=0,10^6,INDEX(Properties!A$1:CB$87,Formula!F77,3)),IF(INDEX(Properties!A$1:CB$87,Formula!H77,3)=0,10^6,INDEX(Properties!A$1:CB$87,Formula!H77,3)),IF(INDEX(Properties!A$1:CB$87,Formula!J77,3)=0,10^6,INDEX(Properties!A$1:CB$87,Formula!J77,3)))</f>
        <v>15.9994</v>
      </c>
      <c r="G77" s="85">
        <f t="shared" si="32"/>
        <v>167.84059999999999</v>
      </c>
      <c r="H77" s="87">
        <f>((Formula!C77)/(Formula!C77+Formula!E77+Formula!G77+Formula!I77+Formula!K77))*(INDEX(Properties!A$1:CB$87,Formula!B77,4))+((Formula!E77)/(Formula!C77+Formula!E77+Formula!G77+Formula!I77+Formula!K77))*(INDEX(Properties!A$1:CB$87,Formula!D77,4))+((Formula!G77)/(Formula!C77+Formula!E77+Formula!G77+Formula!I77+Formula!K77))*(INDEX(Properties!A$1:CB$87,Formula!F77,4))+((Formula!I77)/(Formula!C77+Formula!E77+Formula!G77+Formula!I77+Formula!K77))*(INDEX(Properties!A$1:CB$87,Formula!H77,4))+((Formula!K77)/(Formula!C77+Formula!E77+Formula!G77+Formula!I77+Formula!K77))*(INDEX(Properties!A$1:CB$87,Formula!J77,4))</f>
        <v>22.10526315789474</v>
      </c>
      <c r="I77" s="87">
        <f>Formula!C77*(INDEX(Properties!A$1:CB$87,Formula!B77,4))+Formula!E77*(INDEX(Properties!A$1:CB$87,Formula!D77,4))+Formula!G77*(INDEX(Properties!A$1:CB$87,Formula!F77,4))+Formula!I77*(INDEX(Properties!A$1:CB$87,Formula!H77,4))+Formula!K77*(INDEX(Properties!A$1:CB$87,Formula!J77,4))</f>
        <v>420</v>
      </c>
      <c r="J77" s="87">
        <f>VARP(IF(INDEX(Properties!A$1:CB$87,Formula!B77,4)&lt;&gt;"",INDEX(Properties!A$1:CB$87,Formula!B77,4)),IF(INDEX(Properties!A$1:CB$87,Formula!D77,4)&lt;&gt;"",INDEX(Properties!A$1:CB$87,Formula!D77,4)),IF(INDEX(Properties!A$1:CB$87,Formula!F77,4)&lt;&gt;"",INDEX(Properties!A$1:CB$87,Formula!F77,4)),IF(INDEX(Properties!A$1:CB$87,Formula!H77,4)&lt;&gt;"",INDEX(Properties!A$1:CB$87,Formula!H77,4)),IF(INDEX(Properties!A$1:CB$87,Formula!J77,4)&lt;&gt;"",INDEX(Properties!A$1:CB$87,Formula!J77,4)))</f>
        <v>646.55999999999995</v>
      </c>
      <c r="K77" s="87">
        <f>MAX(INDEX(Properties!A$1:CB$87,Formula!B77,4),INDEX(Properties!A$1:CB$87,Formula!D77,4),INDEX(Properties!A$1:CB$87,Formula!F77,4),INDEX(Properties!A$1:CB$87,Formula!H77,4),INDEX(Properties!A$1:CB$87,Formula!J77,4))</f>
        <v>74</v>
      </c>
      <c r="L77" s="87">
        <f>MIN(IF(INDEX(Properties!A$1:CB$87,Formula!B77,4)=0,10^6,INDEX(Properties!A$1:CB$87,Formula!B77,4)),IF(INDEX(Properties!A$1:CB$87,Formula!D77,4)=0,10^6,INDEX(Properties!A$1:CB$87,Formula!D77,4)),IF(INDEX(Properties!A$1:CB$87,Formula!F77,4)=0,10^6,INDEX(Properties!A$1:CB$87,Formula!F77,4)),IF(INDEX(Properties!A$1:CB$87,Formula!H77,4)=0,10^6,INDEX(Properties!A$1:CB$87,Formula!H77,4)),IF(INDEX(Properties!A$1:CB$87,Formula!J77,4)=0,10^6,INDEX(Properties!A$1:CB$87,Formula!J77,4)))</f>
        <v>8</v>
      </c>
      <c r="M77" s="87">
        <f t="shared" si="33"/>
        <v>66</v>
      </c>
      <c r="N77" s="89">
        <f>((Formula!C77)/(Formula!C77+Formula!E77+Formula!G77+Formula!I77+Formula!K77))*(INDEX(Properties!A$1:CB$87,Formula!B77,5))+((Formula!E77)/(Formula!C77+Formula!E77+Formula!G77+Formula!I77+Formula!K77))*(INDEX(Properties!A$1:CB$87,Formula!D77,5))+((Formula!G77)/(Formula!C77+Formula!E77+Formula!G77+Formula!I77+Formula!K77))*(INDEX(Properties!A$1:CB$87,Formula!F77,5))+((Formula!I77)/(Formula!C77+Formula!E77+Formula!G77+Formula!I77+Formula!K77))*(INDEX(Properties!A$1:CB$87,Formula!H77,5))+((Formula!K77)/(Formula!C77+Formula!E77+Formula!G77+Formula!I77+Formula!K77))*(INDEX(Properties!A$1:CB$87,Formula!J77,5))</f>
        <v>3.1052631578947367</v>
      </c>
      <c r="O77" s="89">
        <f>Formula!C77*(INDEX(Properties!A$1:CB$87,Formula!B77,5))+Formula!E77*(INDEX(Properties!A$1:CB$87,Formula!D77,5))+Formula!G77*(INDEX(Properties!A$1:CB$87,Formula!F77,5))+Formula!I77*(INDEX(Properties!A$1:CB$87,Formula!H77,5))+Formula!K77*(INDEX(Properties!A$1:CB$87,Formula!J77,5))</f>
        <v>59</v>
      </c>
      <c r="P77" s="89">
        <f>VARP(IF(INDEX(Properties!A$1:CB$87,Formula!B77,5)&lt;&gt;"",INDEX(Properties!A$1:CB$87,Formula!B77,5)),IF(INDEX(Properties!A$1:CB$87,Formula!D77,5)&lt;&gt;"",INDEX(Properties!A$1:CB$87,Formula!D77,5)),IF(INDEX(Properties!A$1:CB$87,Formula!F77,5)&lt;&gt;"",INDEX(Properties!A$1:CB$87,Formula!F77,5)),IF(INDEX(Properties!A$1:CB$87,Formula!H77,5)&lt;&gt;"",INDEX(Properties!A$1:CB$87,Formula!H77,5)),IF(INDEX(Properties!A$1:CB$87,Formula!J77,5)&lt;&gt;"",INDEX(Properties!A$1:CB$87,Formula!J77,5)))</f>
        <v>2.64</v>
      </c>
      <c r="Q77" s="89">
        <f>MAX(INDEX(Properties!A$1:CB$87,Formula!B77,5),INDEX(Properties!A$1:CB$87,Formula!D77,5),INDEX(Properties!A$1:CB$87,Formula!F77,5),INDEX(Properties!A$1:CB$87,Formula!H77,5),INDEX(Properties!A$1:CB$87,Formula!J77,5))</f>
        <v>6</v>
      </c>
      <c r="R77" s="89">
        <f>MIN(IF(INDEX(Properties!A$1:CB$87,Formula!B77,5)=0,10^6,INDEX(Properties!A$1:CB$87,Formula!B77,5)),IF(INDEX(Properties!A$1:CB$87,Formula!D77,5)=0,10^6,INDEX(Properties!A$1:CB$87,Formula!D77,5)),IF(INDEX(Properties!A$1:CB$87,Formula!F77,5)=0,10^6,INDEX(Properties!A$1:CB$87,Formula!F77,5)),IF(INDEX(Properties!A$1:CB$87,Formula!H77,5)=0,10^6,INDEX(Properties!A$1:CB$87,Formula!H77,5)),IF(INDEX(Properties!A$1:CB$87,Formula!J77,5)=0,10^6,INDEX(Properties!A$1:CB$87,Formula!J77,5)))</f>
        <v>2</v>
      </c>
      <c r="S77" s="89">
        <f t="shared" si="34"/>
        <v>4</v>
      </c>
      <c r="T77" s="60">
        <f>((Formula!C77)/(Formula!C77+Formula!E77+Formula!G77+Formula!I77+Formula!K77))*(INDEX(Properties!A$1:CB$87,Formula!B77,6))+((Formula!E77)/(Formula!C77+Formula!E77+Formula!G77+Formula!I77+Formula!K77))*(INDEX(Properties!A$1:CB$87,Formula!D77,6))+((Formula!G77)/(Formula!C77+Formula!E77+Formula!G77+Formula!I77+Formula!K77))*(INDEX(Properties!A$1:CB$87,Formula!F77,6))+((Formula!I77)/(Formula!C77+Formula!E77+Formula!G77+Formula!I77+Formula!K77))*(INDEX(Properties!A$1:CB$87,Formula!H77,6))+((Formula!K77)/(Formula!C77+Formula!E77+Formula!G77+Formula!I77+Formula!K77))*(INDEX(Properties!A$1:CB$87,Formula!J77,6))</f>
        <v>11.368421052631579</v>
      </c>
      <c r="U77" s="60">
        <f>Formula!C77*(INDEX(Properties!A$1:CB$87,Formula!B77,6))+Formula!E77*(INDEX(Properties!A$1:CB$87,Formula!D77,6))+Formula!G77*(INDEX(Properties!A$1:CB$87,Formula!F77,6))+Formula!I77*(INDEX(Properties!A$1:CB$87,Formula!H77,6))+Formula!K77*(INDEX(Properties!A$1:CB$87,Formula!J77,6))</f>
        <v>216</v>
      </c>
      <c r="V77" s="89">
        <f>VARP(IF(INDEX(Properties!A$1:CB$87,Formula!B77,6)&lt;&gt;"",INDEX(Properties!A$1:CB$87,Formula!B77,6)),IF(INDEX(Properties!A$1:CB$87,Formula!D77,6)&lt;&gt;"",INDEX(Properties!A$1:CB$87,Formula!D77,6)),IF(INDEX(Properties!A$1:CB$87,Formula!F77,6)&lt;&gt;"",INDEX(Properties!A$1:CB$87,Formula!F77,6)),IF(INDEX(Properties!A$1:CB$87,Formula!H77,6)&lt;&gt;"",INDEX(Properties!A$1:CB$87,Formula!H77,6)),IF(INDEX(Properties!A$1:CB$87,Formula!J77,6)&lt;&gt;"",INDEX(Properties!A$1:CB$87,Formula!J77,6)))</f>
        <v>28.16</v>
      </c>
      <c r="W77" s="60">
        <f>MAX(INDEX(Properties!A$1:CB$87,Formula!B77,6),INDEX(Properties!A$1:CB$87,Formula!D77,6),INDEX(Properties!A$1:CB$87,Formula!F77,6),INDEX(Properties!A$1:CB$87,Formula!H77,4),INDEX(Properties!A$1:CB$87,Formula!J77,6))</f>
        <v>74</v>
      </c>
      <c r="X77" s="60">
        <f>MIN(IF(INDEX(Properties!A$1:CB$87,Formula!B77,6)=0,10^6,INDEX(Properties!A$1:CB$87,Formula!B77,6)),IF(INDEX(Properties!A$1:CB$87,Formula!D77,6)=0,10^6,INDEX(Properties!A$1:CB$87,Formula!D77,6)),IF(INDEX(Properties!A$1:CB$87,Formula!F77,6)=0,10^6,INDEX(Properties!A$1:CB$87,Formula!F77,6)),IF(INDEX(Properties!A$1:CB$87,Formula!H77,6)=0,10^6,INDEX(Properties!A$1:CB$87,Formula!H77,6)),IF(INDEX(Properties!A$1:CB$87,Formula!J77,6)=0,10^6,INDEX(Properties!A$1:CB$87,Formula!J77,6)))</f>
        <v>2</v>
      </c>
      <c r="Y77" s="60">
        <f t="shared" si="35"/>
        <v>72</v>
      </c>
      <c r="Z77" s="72">
        <f>((Formula!C77)/(Formula!C77+Formula!E77+Formula!G77+Formula!I77+Formula!K77))*(INDEX(Properties!A$1:CB$87,Formula!B77,9))+((Formula!E77)/(Formula!C77+Formula!E77+Formula!G77+Formula!I77+Formula!K77))*(INDEX(Properties!A$1:CB$87,Formula!D77,9))+((Formula!G77)/(Formula!C77+Formula!E77+Formula!G77+Formula!I77+Formula!K77))*(INDEX(Properties!A$1:CB$87,Formula!F77,9))+((Formula!I77)/(Formula!C77+Formula!E77+Formula!G77+Formula!I77+Formula!K77))*(INDEX(Properties!A$1:CB$87,Formula!H77,9))+((Formula!K77)/(Formula!C77+Formula!E77+Formula!G77+Formula!I77+Formula!K77))*(INDEX(Properties!A$1:CB$87,Formula!J77,9))</f>
        <v>69.263157894736835</v>
      </c>
      <c r="AA77" s="72">
        <f>Formula!C77*(INDEX(Properties!A$1:CB$87,Formula!B77,9))+Formula!E77*(INDEX(Properties!A$1:CB$87,Formula!D77,9))+Formula!G77*(INDEX(Properties!A$1:CB$87,Formula!F77,9))+Formula!I77*(INDEX(Properties!A$1:CB$87,Formula!H77,9))+Formula!K77*(INDEX(Properties!A$1:CB$87,Formula!J77,9))</f>
        <v>1316</v>
      </c>
      <c r="AB77" s="72">
        <f>VARP(IF(INDEX(Properties!A$1:CB$87,Formula!B77,9)&lt;&gt;"",INDEX(Properties!A$1:CB$87,Formula!B77,9)),IF(INDEX(Properties!A$1:CB$87,Formula!D77,9)&lt;&gt;"",INDEX(Properties!A$1:CB$87,Formula!D77,9)),IF(INDEX(Properties!A$1:CB$87,Formula!F77,9)&lt;&gt;"",INDEX(Properties!A$1:CB$87,Formula!F77,9)),IF(INDEX(Properties!A$1:CB$87,Formula!H77,9)&lt;&gt;"",INDEX(Properties!A$1:CB$87,Formula!H77,9)),IF(INDEX(Properties!A$1:CB$87,Formula!J77,9)&lt;&gt;"",INDEX(Properties!A$1:CB$87,Formula!J77,9)))</f>
        <v>944.24</v>
      </c>
      <c r="AC77" s="72">
        <f>MAX(INDEX(Properties!A$1:CB$87,Formula!B77,9),INDEX(Properties!A$1:CB$87,Formula!D77,9),INDEX(Properties!A$1:CB$87,Formula!F77,9),INDEX(Properties!A$1:CB$87,Formula!H77,9),INDEX(Properties!A$1:CB$87,Formula!J77,9))</f>
        <v>87</v>
      </c>
      <c r="AD77" s="72">
        <f>MIN(IF(INDEX(Properties!A$1:CB$87,Formula!B77,9)=0,10^6,INDEX(Properties!A$1:CB$87,Formula!B77,9)),IF(INDEX(Properties!A$1:CB$87,Formula!D77,9)=0,10^6,INDEX(Properties!A$1:CB$87,Formula!D77,9)),IF(INDEX(Properties!A$1:CB$87,Formula!F77,9)=0,10^6,INDEX(Properties!A$1:CB$87,Formula!F77,9)),IF(INDEX(Properties!A$1:CB$87,Formula!H77,9)=0,10^6,INDEX(Properties!A$1:CB$87,Formula!H77,9)),IF(INDEX(Properties!A$1:CB$87,Formula!J77,9)=0,10^6,INDEX(Properties!A$1:CB$87,Formula!J77,9)))</f>
        <v>8</v>
      </c>
      <c r="AE77" s="72">
        <f t="shared" si="36"/>
        <v>79</v>
      </c>
      <c r="AF77" s="51">
        <f>((Formula!C77)/(Formula!C77+Formula!E77+Formula!G77+Formula!I77+Formula!K77))*(INDEX(Properties!A$1:CB$87,Formula!B77,10))+((Formula!E77)/(Formula!C77+Formula!E77+Formula!G77+Formula!I77+Formula!K77))*(INDEX(Properties!A$1:CB$87,Formula!D77,10))+((Formula!G77)/(Formula!C77+Formula!E77+Formula!G77+Formula!I77+Formula!K77))*(INDEX(Properties!A$1:CB$87,Formula!F77,10))+((Formula!I77)/(Formula!C77+Formula!E77+Formula!G77+Formula!I77+Formula!K77))*(INDEX(Properties!A$1:CB$87,Formula!H77,10))+((Formula!K77)/(Formula!C77+Formula!E77+Formula!G77+Formula!I77+Formula!K77))*(INDEX(Properties!A$1:CB$87,Formula!J77,10))</f>
        <v>5.473684210526315</v>
      </c>
      <c r="AG77" s="51">
        <f>Formula!C77*(INDEX(Properties!A$1:CB$87,Formula!B77,10))+Formula!E77*(INDEX(Properties!A$1:CB$87,Formula!D77,10))+Formula!G77*(INDEX(Properties!A$1:CB$87,Formula!F77,10))+Formula!I77*(INDEX(Properties!A$1:CB$87,Formula!H77,10))+Formula!K77*(INDEX(Properties!A$1:CB$87,Formula!J77,10))</f>
        <v>104</v>
      </c>
      <c r="AH77" s="51">
        <f>VARP(IF(INDEX(Properties!A$1:CB$87,Formula!B77,10)&lt;&gt;"",INDEX(Properties!A$1:CB$87,Formula!B77,10)),IF(INDEX(Properties!A$1:CB$87,Formula!D77,10)&lt;&gt;"",INDEX(Properties!A$1:CB$87,Formula!D77,10)),IF(INDEX(Properties!A$1:CB$87,Formula!F77,10)&lt;&gt;"",INDEX(Properties!A$1:CB$87,Formula!F77,10)),IF(INDEX(Properties!A$1:CB$87,Formula!H77,10)&lt;&gt;"",INDEX(Properties!A$1:CB$87,Formula!H77,10)),IF(INDEX(Properties!A$1:CB$87,Formula!J77,10)&lt;&gt;"",INDEX(Properties!A$1:CB$87,Formula!J77,10)))</f>
        <v>3.44</v>
      </c>
      <c r="AI77" s="51">
        <f>MAX(INDEX(Properties!A$1:CB$87,Formula!B77,10),INDEX(Properties!A$1:CB$87,Formula!D77,10),INDEX(Properties!A$1:CB$87,Formula!F77,10),INDEX(Properties!A$1:CB$87,Formula!H77,10),INDEX(Properties!A$1:CB$87,Formula!J77,10))</f>
        <v>7</v>
      </c>
      <c r="AJ77" s="51">
        <f>MIN(IF(INDEX(Properties!A$1:CB$87,Formula!B77,10)=0,10^6,INDEX(Properties!A$1:CB$87,Formula!B77,10)),IF(INDEX(Properties!A$1:CB$87,Formula!D77,10)=0,10^6,INDEX(Properties!A$1:CB$87,Formula!D77,10)),IF(INDEX(Properties!A$1:CB$87,Formula!F77,10)=0,10^6,INDEX(Properties!A$1:CB$87,Formula!F77,10)),IF(INDEX(Properties!A$1:CB$87,Formula!H77,10)=0,10^6,INDEX(Properties!A$1:CB$87,Formula!H77,10)),IF(INDEX(Properties!A$1:CB$87,Formula!J77,10)=0,10^6,INDEX(Properties!A$1:CB$87,Formula!J77,10)))</f>
        <v>2</v>
      </c>
      <c r="AK77" s="51">
        <f t="shared" si="37"/>
        <v>5</v>
      </c>
      <c r="AL77" s="57">
        <f>((Formula!C77)/(Formula!C77+Formula!E77+Formula!G77+Formula!I77+Formula!K77))*(INDEX(Properties!A$1:CB$87,Formula!B77,11))+((Formula!E77)/(Formula!C77+Formula!E77+Formula!G77+Formula!I77+Formula!K77))*(INDEX(Properties!A$1:CB$87,Formula!D77,11))+((Formula!G77)/(Formula!C77+Formula!E77+Formula!G77+Formula!I77+Formula!K77))*(INDEX(Properties!A$1:CB$87,Formula!F77,11))+((Formula!I77)/(Formula!C77+Formula!E77+Formula!G77+Formula!I77+Formula!K77))*(INDEX(Properties!A$1:CB$87,Formula!H77,11))+((Formula!K77)/(Formula!C77+Formula!E77+Formula!G77+Formula!I77+Formula!K77))*(INDEX(Properties!A$1:CB$87,Formula!J77,11))</f>
        <v>2</v>
      </c>
      <c r="AM77" s="57">
        <f>Formula!C77*(INDEX(Properties!A$1:CB$87,Formula!B77,11))+Formula!E77*(INDEX(Properties!A$1:CB$87,Formula!D77,11))+Formula!G77*(INDEX(Properties!A$1:CB$87,Formula!F77,11))+Formula!I77*(INDEX(Properties!A$1:CB$87,Formula!H77,11))+Formula!K77*(INDEX(Properties!A$1:CB$87,Formula!J77,11))</f>
        <v>38</v>
      </c>
      <c r="AN77" s="57">
        <f>VARP(IF(INDEX(Properties!A$1:CB$87,Formula!B77,11)&lt;&gt;"",INDEX(Properties!A$1:CB$87,Formula!B77,11)),IF(INDEX(Properties!A$1:CB$87,Formula!D77,11)&lt;&gt;"",INDEX(Properties!A$1:CB$87,Formula!D77,11)),IF(INDEX(Properties!A$1:CB$87,Formula!F77,11)&lt;&gt;"",INDEX(Properties!A$1:CB$87,Formula!F77,11)),IF(INDEX(Properties!A$1:CB$87,Formula!H77,11)&lt;&gt;"",INDEX(Properties!A$1:CB$87,Formula!H77,11)),IF(INDEX(Properties!A$1:CB$87,Formula!J77,11)&lt;&gt;"",INDEX(Properties!A$1:CB$87,Formula!J77,11)))</f>
        <v>0</v>
      </c>
      <c r="AO77" s="57">
        <f>MAX(INDEX(Properties!A$1:CB$87,Formula!B77,11),INDEX(Properties!A$1:CB$87,Formula!D77,11),INDEX(Properties!A$1:CB$87,Formula!F77,11),INDEX(Properties!A$1:CB$87,Formula!H77,11),INDEX(Properties!A$1:CB$87,Formula!J77,11))</f>
        <v>2</v>
      </c>
      <c r="AP77" s="57">
        <f>MIN(IF(Formula!B77=87,10^6,INDEX(Properties!A$1:CB$87,Formula!B77,11)),IF((Formula!D77)=87,10^6,INDEX(Properties!A$1:CB$87,Formula!D77,11)),IF((Formula!F77)=87,10^6,INDEX(Properties!A$1:CB$87,Formula!F77,11)),IF((Formula!H77)=87,10^6,INDEX(Properties!A$1:CB$87,Formula!H77,11)),IF(Formula!J77=87,10^6,INDEX(Properties!A$1:CB$87,Formula!J77,11)))</f>
        <v>2</v>
      </c>
      <c r="AQ77" s="57">
        <f t="shared" si="38"/>
        <v>0</v>
      </c>
      <c r="AR77" s="78">
        <f>((Formula!C77)/(Formula!C77+Formula!E77+Formula!G77+Formula!I77+Formula!K77))*(INDEX(Properties!A$1:CB$87,Formula!B77,12))+((Formula!E77)/(Formula!C77+Formula!E77+Formula!G77+Formula!I77+Formula!K77))*(INDEX(Properties!A$1:CB$87,Formula!D77,12))+((Formula!G77)/(Formula!C77+Formula!E77+Formula!G77+Formula!I77+Formula!K77))*(INDEX(Properties!A$1:CB$87,Formula!F77,12))+((Formula!I77)/(Formula!C77+Formula!E77+Formula!G77+Formula!I77+Formula!K77))*(INDEX(Properties!A$1:CB$87,Formula!H77,12))+((Formula!K77)/(Formula!C77+Formula!E77+Formula!G77+Formula!I77+Formula!K77))*(INDEX(Properties!A$1:CB$87,Formula!J77,12))</f>
        <v>2.5263157894736841</v>
      </c>
      <c r="AS77" s="78">
        <f>Formula!C77*(INDEX(Properties!A$1:CB$87,Formula!B77,12))+Formula!E77*(INDEX(Properties!A$1:CB$87,Formula!D77,12))+Formula!G77*(INDEX(Properties!A$1:CB$87,Formula!F77,12))+Formula!I77*(INDEX(Properties!A$1:CB$87,Formula!H77,12))+Formula!K77*(INDEX(Properties!A$1:CB$87,Formula!J77,12))</f>
        <v>48</v>
      </c>
      <c r="AT77" s="78">
        <f>VARP(IF(INDEX(Properties!A$1:CB$87,Formula!B77,12)&lt;&gt;"",INDEX(Properties!A$1:CB$87,Formula!B77,12)),IF(INDEX(Properties!A$1:CB$87,Formula!D77,12)&lt;&gt;"",INDEX(Properties!A$1:CB$87,Formula!D77,12)),IF(INDEX(Properties!A$1:CB$87,Formula!F77,12)&lt;&gt;"",INDEX(Properties!A$1:CB$87,Formula!F77,12)),IF(INDEX(Properties!A$1:CB$87,Formula!H77,12)&lt;&gt;"",INDEX(Properties!A$1:CB$87,Formula!H77,12)),IF(INDEX(Properties!A$1:CB$87,Formula!J77,12)&lt;&gt;"",INDEX(Properties!A$1:CB$87,Formula!J77,12)))</f>
        <v>2.56</v>
      </c>
      <c r="AU77" s="78">
        <f>MAX(INDEX(Properties!A$1:CB$87,Formula!B77,12),INDEX(Properties!A$1:CB$87,Formula!D77,12),INDEX(Properties!A$1:CB$87,Formula!F77,12),INDEX(Properties!A$1:CB$87,Formula!H77,12),INDEX(Properties!A$1:CB$87,Formula!J77,12))</f>
        <v>4</v>
      </c>
      <c r="AV77" s="78">
        <f>MIN(IF(Formula!B77=87,10^6,INDEX(Properties!A$1:CB$87,Formula!B77,12)),IF((Formula!D77)=87,10^6,INDEX(Properties!A$1:CB$87,Formula!D77,12)),IF((Formula!F77)=87,10^6,INDEX(Properties!A$1:CB$87,Formula!F77,12)),IF((Formula!H77)=87,10^6,INDEX(Properties!A$1:CB$87,Formula!H77,12)),IF(Formula!J77=87,10^6,INDEX(Properties!A$1:CB$87,Formula!J77,12)))</f>
        <v>0</v>
      </c>
      <c r="AW77" s="78">
        <f t="shared" si="39"/>
        <v>4</v>
      </c>
      <c r="AX77" s="45">
        <f>((Formula!C77)/(Formula!C77+Formula!E77+Formula!G77+Formula!I77+Formula!K77))*(INDEX(Properties!A$1:CB$87,Formula!B77,13))+((Formula!E77)/(Formula!C77+Formula!E77+Formula!G77+Formula!I77+Formula!K77))*(INDEX(Properties!A$1:CB$87,Formula!D77,13))+((Formula!G77)/(Formula!C77+Formula!E77+Formula!G77+Formula!I77+Formula!K77))*(INDEX(Properties!A$1:CB$87,Formula!F77,13))+((Formula!I77)/(Formula!C77+Formula!E77+Formula!G77+Formula!I77+Formula!K77))*(INDEX(Properties!A$1:CB$87,Formula!H77,13))+((Formula!K77)/(Formula!C77+Formula!E77+Formula!G77+Formula!I77+Formula!K77))*(INDEX(Properties!A$1:CB$87,Formula!J77,13))</f>
        <v>0.52631578947368418</v>
      </c>
      <c r="AY77" s="45">
        <f>Formula!C77*(INDEX(Properties!A$1:CB$87,Formula!B77,13))+Formula!E77*(INDEX(Properties!A$1:CB$87,Formula!D77,13))+Formula!G77*(INDEX(Properties!A$1:CB$87,Formula!F77,13))+Formula!I77*(INDEX(Properties!A$1:CB$87,Formula!H77,13))+Formula!K77*(INDEX(Properties!A$1:CB$87,Formula!J77,13))</f>
        <v>10</v>
      </c>
      <c r="AZ77" s="45">
        <f>VARP(IF(INDEX(Properties!A$1:CB$87,Formula!B77,13)&lt;&gt;"",INDEX(Properties!A$1:CB$87,Formula!B77,13)),IF(INDEX(Properties!A$1:CB$87,Formula!D77,13)&lt;&gt;"",INDEX(Properties!A$1:CB$87,Formula!D77,13)),IF(INDEX(Properties!A$1:CB$87,Formula!F77,13)&lt;&gt;"",INDEX(Properties!A$1:CB$87,Formula!F77,13)),IF(INDEX(Properties!A$1:CB$87,Formula!H77,13)&lt;&gt;"",INDEX(Properties!A$1:CB$87,Formula!H77,13)),IF(INDEX(Properties!A$1:CB$87,Formula!J77,13)&lt;&gt;"",INDEX(Properties!A$1:CB$87,Formula!J77,13)))</f>
        <v>2.4</v>
      </c>
      <c r="BA77" s="45">
        <f>MAX(INDEX(Properties!A$1:CB$87,Formula!B77,13),INDEX(Properties!A$1:CB$87,Formula!D77,13),INDEX(Properties!A$1:CB$87,Formula!F77,13),INDEX(Properties!A$1:CB$87,Formula!H77,13),INDEX(Properties!A$1:CB$87,Formula!J77,13))</f>
        <v>4</v>
      </c>
      <c r="BB77" s="45">
        <f>MIN(IF(Formula!B77=87,10^6,INDEX(Properties!A$1:CB$87,Formula!B77,13)),IF((Formula!D77)=87,10^6,INDEX(Properties!A$1:CB$87,Formula!D77,13)),IF((Formula!F77)=87,10^6,INDEX(Properties!A$1:CB$87,Formula!F77,13)),IF((Formula!H77)=87,10^6,INDEX(Properties!A$1:CB$87,Formula!H77,13)),IF(Formula!J77=87,10^6,INDEX(Properties!A$1:CB$87,Formula!J77,13)))</f>
        <v>0</v>
      </c>
      <c r="BC77" s="45">
        <f t="shared" si="40"/>
        <v>4</v>
      </c>
      <c r="BD77" s="63">
        <f>((Formula!C77)/(Formula!C77+Formula!E77+Formula!G77+Formula!I77+Formula!K77))*(INDEX(Properties!A$1:CB$87,Formula!B77,14))+((Formula!E77)/(Formula!C77+Formula!E77+Formula!G77+Formula!I77+Formula!K77))*(INDEX(Properties!A$1:CB$87,Formula!D77,14))+((Formula!G77)/(Formula!C77+Formula!E77+Formula!G77+Formula!I77+Formula!K77))*(INDEX(Properties!A$1:CB$87,Formula!F77,14))+((Formula!I77)/(Formula!C77+Formula!E77+Formula!G77+Formula!I77+Formula!K77))*(INDEX(Properties!A$1:CB$87,Formula!H77,14))+((Formula!K77)/(Formula!C77+Formula!E77+Formula!G77+Formula!I77+Formula!K77))*(INDEX(Properties!A$1:CB$87,Formula!J77,14))</f>
        <v>1.4736842105263157</v>
      </c>
      <c r="BE77" s="63">
        <f>Formula!C77*(INDEX(Properties!A$1:CB$87,Formula!B77,14))+Formula!E77*(INDEX(Properties!A$1:CB$87,Formula!D77,14))+Formula!G77*(INDEX(Properties!A$1:CB$87,Formula!F77,14))+Formula!I77*(INDEX(Properties!A$1:CB$87,Formula!H77,14))+Formula!K77*(INDEX(Properties!A$1:CB$87,Formula!J77,14))</f>
        <v>28</v>
      </c>
      <c r="BF77" s="63">
        <f>VARP(IF(INDEX(Properties!A$1:CB$87,Formula!B77,14)&lt;&gt;"",INDEX(Properties!A$1:CB$87,Formula!B77,14)),IF(INDEX(Properties!A$1:CB$87,Formula!D77,14)&lt;&gt;"",INDEX(Properties!A$1:CB$87,Formula!D77,14)),IF(INDEX(Properties!A$1:CB$87,Formula!F77,14)&lt;&gt;"",INDEX(Properties!A$1:CB$87,Formula!F77,14)),IF(INDEX(Properties!A$1:CB$87,Formula!H77,14)&lt;&gt;"",INDEX(Properties!A$1:CB$87,Formula!H77,14)),IF(INDEX(Properties!A$1:CB$87,Formula!J77,14)&lt;&gt;"",INDEX(Properties!A$1:CB$87,Formula!J77,14)))</f>
        <v>31.36</v>
      </c>
      <c r="BG77" s="63">
        <f>MAX(INDEX(Properties!A$1:CB$87,Formula!B77,14),INDEX(Properties!A$1:CB$87,Formula!D77,14),INDEX(Properties!A$1:CB$87,Formula!F77,14),INDEX(Properties!A$1:CB$87,Formula!H77,14),INDEX(Properties!A$1:CB$87,Formula!J77,14))</f>
        <v>14</v>
      </c>
      <c r="BH77" s="63">
        <f>MIN(IF(Formula!B77=87,10^6,INDEX(Properties!A$1:CB$87,Formula!B77,14)),IF((Formula!D77)=87,10^6,INDEX(Properties!A$1:CB$87,Formula!D77,14)),IF((Formula!F77)=87,10^6,INDEX(Properties!A$1:CB$87,Formula!F77,14)),IF((Formula!H77)=87,10^6,INDEX(Properties!A$1:CB$87,Formula!H77,14)),IF(Formula!J77=87,10^6,INDEX(Properties!A$1:CB$87,Formula!J77,14)))</f>
        <v>0</v>
      </c>
      <c r="BI77" s="63">
        <f t="shared" si="41"/>
        <v>14</v>
      </c>
      <c r="BJ77" s="75">
        <f>((Formula!C77)/(Formula!C77+Formula!E77+Formula!G77+Formula!I77+Formula!K77))*(INDEX(Properties!A$1:CB$87,Formula!B77,19))+((Formula!E77)/(Formula!C77+Formula!E77+Formula!G77+Formula!I77+Formula!K77))*(INDEX(Properties!A$1:CB$87,Formula!D77,19))+((Formula!G77)/(Formula!C77+Formula!E77+Formula!G77+Formula!I77+Formula!K77))*(INDEX(Properties!A$1:CB$87,Formula!F77,19))+((Formula!I77)/(Formula!C77+Formula!E77+Formula!G77+Formula!I77+Formula!K77))*(INDEX(Properties!A$1:CB$87,Formula!H77,19))+((Formula!K77)/(Formula!C77+Formula!E77+Formula!G77+Formula!I77+Formula!K77))*(INDEX(Properties!A$1:CB$87,Formula!J77,19))</f>
        <v>6.5263157894736832</v>
      </c>
      <c r="BK77" s="75">
        <f>Formula!C77*(INDEX(Properties!A$1:CB$87,Formula!B77,19))+Formula!E77*(INDEX(Properties!A$1:CB$87,Formula!D77,19))+Formula!G77*(INDEX(Properties!A$1:CB$87,Formula!F77,19))+Formula!I77*(INDEX(Properties!A$1:CB$87,Formula!H77,19))+Formula!K77*(INDEX(Properties!A$1:CB$87,Formula!J77,19))</f>
        <v>124</v>
      </c>
      <c r="BL77" s="75">
        <f>VARP(IF(INDEX(Properties!A$1:CB$87,Formula!B77,19)&lt;&gt;"",INDEX(Properties!A$1:CB$87,Formula!B77,19)),IF(INDEX(Properties!A$1:CB$87,Formula!D77,19)&lt;&gt;"",INDEX(Properties!A$1:CB$87,Formula!D77,19)),IF(INDEX(Properties!A$1:CB$87,Formula!F77,19)&lt;&gt;"",INDEX(Properties!A$1:CB$87,Formula!F77,19)),IF(INDEX(Properties!A$1:CB$87,Formula!H77,19)&lt;&gt;"",INDEX(Properties!A$1:CB$87,Formula!H77,19)),IF(INDEX(Properties!A$1:CB$87,Formula!J77,19)&lt;&gt;"",INDEX(Properties!A$1:CB$87,Formula!J77,19)))</f>
        <v>47.04</v>
      </c>
      <c r="BM77" s="75">
        <f>MAX(INDEX(Properties!A$1:CB$87,Formula!B77,19),INDEX(Properties!A$1:CB$87,Formula!D77,19),INDEX(Properties!A$1:CB$87,Formula!F77,19),INDEX(Properties!A$1:CB$87,Formula!H77,19),INDEX(Properties!A$1:CB$87,Formula!J77,19))</f>
        <v>20</v>
      </c>
      <c r="BN77" s="75">
        <f>MIN(IF(INDEX(Properties!A$1:CB$87,Formula!B77,19)=0,10^6,INDEX(Properties!A$1:CB$87,Formula!B77,19)),IF(INDEX(Properties!A$1:CB$87,Formula!D77,19)=0,10^6,INDEX(Properties!A$1:CB$87,Formula!D77,19)),IF(INDEX(Properties!A$1:CB$87,Formula!F77,19)=0,10^6,INDEX(Properties!A$1:CB$87,Formula!F77,19)),IF(INDEX(Properties!A$1:CB$87,Formula!H77,19)=0,10^6,INDEX(Properties!A$1:CB$87,Formula!H77,19)),IF(INDEX(Properties!A$1:CB$87,Formula!J77,19)=0,10^6,INDEX(Properties!A$1:CB$87,Formula!J77,19)))</f>
        <v>2</v>
      </c>
      <c r="BO77" s="75">
        <f t="shared" si="42"/>
        <v>18</v>
      </c>
      <c r="BP77" s="48">
        <f>((Formula!C77)/(Formula!C77+Formula!E77+Formula!G77+Formula!I77+Formula!K77))*(INDEX(Properties!A$1:CB$87,Formula!B77,20))+((Formula!E77)/(Formula!C77+Formula!E77+Formula!G77+Formula!I77+Formula!K77))*(INDEX(Properties!A$1:CB$87,Formula!D77,20))+((Formula!G77)/(Formula!C77+Formula!E77+Formula!G77+Formula!I77+Formula!K77))*(INDEX(Properties!A$1:CB$87,Formula!F77,20))+((Formula!I77)/(Formula!C77+Formula!E77+Formula!G77+Formula!I77+Formula!K77))*(INDEX(Properties!A$1:CB$87,Formula!H77,20))+((Formula!K77)/(Formula!C77+Formula!E77+Formula!G77+Formula!I77+Formula!K77))*(INDEX(Properties!A$1:CB$87,Formula!J77,20))</f>
        <v>4.5263157894736841</v>
      </c>
      <c r="BQ77" s="48">
        <f>Formula!C77*(INDEX(Properties!A$1:CB$87,Formula!B77,20))+Formula!E77*(INDEX(Properties!A$1:CB$87,Formula!D77,20))+Formula!G77*(INDEX(Properties!A$1:CB$87,Formula!F77,20))+Formula!I77*(INDEX(Properties!A$1:CB$87,Formula!H77,20))+Formula!K77*(INDEX(Properties!A$1:CB$87,Formula!J77,20))</f>
        <v>86</v>
      </c>
      <c r="BR77" s="48">
        <f>VARP(IF(INDEX(Properties!A$1:CB$87,Formula!B77,20)&lt;&gt;"",INDEX(Properties!A$1:CB$87,Formula!B77,20)),IF(INDEX(Properties!A$1:CB$87,Formula!D77,20)&lt;&gt;"",INDEX(Properties!A$1:CB$87,Formula!D77,20)),IF(INDEX(Properties!A$1:CB$87,Formula!F77,20)&lt;&gt;"",INDEX(Properties!A$1:CB$87,Formula!F77,20)),IF(INDEX(Properties!A$1:CB$87,Formula!H77,20)&lt;&gt;"",INDEX(Properties!A$1:CB$87,Formula!H77,20)),IF(INDEX(Properties!A$1:CB$87,Formula!J77,20)&lt;&gt;"",INDEX(Properties!A$1:CB$87,Formula!J77,20)))</f>
        <v>2.56</v>
      </c>
      <c r="BS77" s="48">
        <f>MAX(INDEX(Properties!A$1:CB$87,Formula!B77,20),INDEX(Properties!A$1:CB$87,Formula!D77,20),INDEX(Properties!A$1:CB$87,Formula!F77,20),INDEX(Properties!A$1:CB$87,Formula!H77,20),INDEX(Properties!A$1:CB$87,Formula!J77,20))</f>
        <v>6</v>
      </c>
      <c r="BT77" s="48">
        <f>MIN(IF(INDEX(Properties!A$1:CB$87,Formula!B77,20)=0,10^6,INDEX(Properties!A$1:CB$87,Formula!B77,20)),IF(INDEX(Properties!A$1:CB$87,Formula!D77,20)=0,10^6,INDEX(Properties!A$1:CB$87,Formula!D77,20)),IF(INDEX(Properties!A$1:CB$87,Formula!F77,20)=0,10^6,INDEX(Properties!A$1:CB$87,Formula!F77,20)),IF(INDEX(Properties!A$1:CB$87,Formula!H77,20)=0,10^6,INDEX(Properties!A$1:CB$87,Formula!H77,20)),IF(INDEX(Properties!A$1:CB$87,Formula!J77,20)=0,10^6,INDEX(Properties!A$1:CB$87,Formula!J77,20)))</f>
        <v>2</v>
      </c>
      <c r="BU77" s="48">
        <f t="shared" si="43"/>
        <v>4</v>
      </c>
      <c r="BV77" s="66">
        <f>((Formula!C77)/(Formula!C77+Formula!E77+Formula!G77+Formula!I77+Formula!K77))*(INDEX(Properties!A$1:CB$87,Formula!B77,21))+((Formula!E77)/(Formula!C77+Formula!E77+Formula!G77+Formula!I77+Formula!K77))*(INDEX(Properties!A$1:CB$87,Formula!D77,21))+((Formula!G77)/(Formula!C77+Formula!E77+Formula!G77+Formula!I77+Formula!K77))*(INDEX(Properties!A$1:CB$87,Formula!F77,21))+((Formula!I77)/(Formula!C77+Formula!E77+Formula!G77+Formula!I77+Formula!K77))*(INDEX(Properties!A$1:CB$87,Formula!H77,21))+((Formula!K77)/(Formula!C77+Formula!E77+Formula!G77+Formula!I77+Formula!K77))*(INDEX(Properties!A$1:CB$87,Formula!J77,21))</f>
        <v>4.6315789473684212</v>
      </c>
      <c r="BW77" s="66">
        <f>Formula!C77*(INDEX(Properties!A$1:CB$87,Formula!B77,21))+Formula!E77*(INDEX(Properties!A$1:CB$87,Formula!D77,21))+Formula!G77*(INDEX(Properties!A$1:CB$87,Formula!F77,21))+Formula!I77*(INDEX(Properties!A$1:CB$87,Formula!H77,21))+Formula!K77*(INDEX(Properties!A$1:CB$87,Formula!J77,21))</f>
        <v>88</v>
      </c>
      <c r="BX77" s="66">
        <f>VARP(IF(INDEX(Properties!A$1:CB$87,Formula!B77,21)&lt;&gt;"",INDEX(Properties!A$1:CB$87,Formula!B77,21)),IF(INDEX(Properties!A$1:CB$87,Formula!D77,21)&lt;&gt;"",INDEX(Properties!A$1:CB$87,Formula!D77,21)),IF(INDEX(Properties!A$1:CB$87,Formula!F77,21)&lt;&gt;"",INDEX(Properties!A$1:CB$87,Formula!F77,21)),IF(INDEX(Properties!A$1:CB$87,Formula!H77,21)&lt;&gt;"",INDEX(Properties!A$1:CB$87,Formula!H77,21)),IF(INDEX(Properties!A$1:CB$87,Formula!J77,21)&lt;&gt;"",INDEX(Properties!A$1:CB$87,Formula!J77,21)))</f>
        <v>3.2</v>
      </c>
      <c r="BY77" s="66">
        <f>MAX(INDEX(Properties!A$1:CB$87,Formula!B77,21),INDEX(Properties!A$1:CB$87,Formula!D77,21),INDEX(Properties!A$1:CB$87,Formula!F77,21),INDEX(Properties!A$1:CB$87,Formula!H77,21),INDEX(Properties!A$1:CB$87,Formula!J77,21))</f>
        <v>6</v>
      </c>
      <c r="BZ77" s="66">
        <f>MIN(IF(INDEX(Properties!A$1:CB$87,Formula!B77,21)=0,10^6,INDEX(Properties!A$1:CB$87,Formula!B77,21)),IF(INDEX(Properties!A$1:CB$87,Formula!D77,21)=0,10^6,INDEX(Properties!A$1:CB$87,Formula!D77,21)),IF(INDEX(Properties!A$1:CB$87,Formula!F77,21)=0,10^6,INDEX(Properties!A$1:CB$87,Formula!F77,21)),IF(INDEX(Properties!A$1:CB$87,Formula!H77,21)=0,10^6,INDEX(Properties!A$1:CB$87,Formula!H77,21)),IF(INDEX(Properties!A$1:CB$87,Formula!J77,21)=0,10^6,INDEX(Properties!A$1:CB$87,Formula!J77,21)))</f>
        <v>1</v>
      </c>
      <c r="CA77" s="66">
        <f t="shared" si="44"/>
        <v>5</v>
      </c>
      <c r="CB77" s="81">
        <f>((Formula!C77)/(Formula!C77+Formula!E77+Formula!G77+Formula!I77+Formula!K77))*(INDEX(Properties!A$1:CB$87,Formula!B77,23))+((Formula!E77)/(Formula!C77+Formula!E77+Formula!G77+Formula!I77+Formula!K77))*(INDEX(Properties!A$1:CB$87,Formula!D77,23))+((Formula!G77)/(Formula!C77+Formula!E77+Formula!G77+Formula!I77+Formula!K77))*(INDEX(Properties!A$1:CB$87,Formula!F77,23))+((Formula!I77)/(Formula!C77+Formula!E77+Formula!G77+Formula!I77+Formula!K77))*(INDEX(Properties!A$1:CB$87,Formula!H77,23))+((Formula!K77)/(Formula!C77+Formula!E77+Formula!G77+Formula!I77+Formula!K77))*(INDEX(Properties!A$1:CB$87,Formula!J77,23))</f>
        <v>1.24</v>
      </c>
      <c r="CC77" s="81">
        <f>Formula!C77*(INDEX(Properties!A$1:CB$87,Formula!B77,23))+Formula!E77*(INDEX(Properties!A$1:CB$87,Formula!D77,23))+Formula!G77*(INDEX(Properties!A$1:CB$87,Formula!F77,23))+Formula!I77*(INDEX(Properties!A$1:CB$87,Formula!H77,23))+Formula!K77*(INDEX(Properties!A$1:CB$87,Formula!J77,23))</f>
        <v>23.560000000000002</v>
      </c>
      <c r="CD77" s="81">
        <f>VARP(IF(INDEX(Properties!A$1:CB$87,Formula!B77,23)&lt;&gt;"",INDEX(Properties!A$1:CB$87,Formula!B77,23)),IF(INDEX(Properties!A$1:CB$87,Formula!D77,23)&lt;&gt;"",INDEX(Properties!A$1:CB$87,Formula!D77,23)),IF(INDEX(Properties!A$1:CB$87,Formula!F77,23)&lt;&gt;"",INDEX(Properties!A$1:CB$87,Formula!F77,23)),IF(INDEX(Properties!A$1:CB$87,Formula!H77,23)&lt;&gt;"",INDEX(Properties!A$1:CB$87,Formula!H77,23)),IF(INDEX(Properties!A$1:CB$87,Formula!J77,23)&lt;&gt;"",INDEX(Properties!A$1:CB$87,Formula!J77,23)))</f>
        <v>3.5485439999999993</v>
      </c>
      <c r="CE77" s="81">
        <f>MAX(INDEX(Properties!A$1:CB$87,Formula!B77,23),INDEX(Properties!A$1:CB$87,Formula!D77,23),INDEX(Properties!A$1:CB$87,Formula!F77,23),INDEX(Properties!A$1:CB$87,Formula!H77,23),INDEX(Properties!A$1:CB$87,Formula!J77,23))</f>
        <v>5.78</v>
      </c>
      <c r="CF77" s="81">
        <f>MIN(IF(Formula!B77=87,10^6,INDEX(Properties!A$1:CB$87,Formula!B77,23)),IF((Formula!D77)=87,10^6,INDEX(Properties!A$1:CB$87,Formula!D77,23)),IF((Formula!F77)=87,10^6,INDEX(Properties!A$1:CB$87,Formula!F77,23)),IF((Formula!H77)=87,10^6,INDEX(Properties!A$1:CB$87,Formula!H77,23)),IF(Formula!J77=87,10^6,INDEX(Properties!A$1:CB$87,Formula!J77,23)))</f>
        <v>0</v>
      </c>
      <c r="CG77" s="81">
        <f t="shared" si="45"/>
        <v>5.78</v>
      </c>
      <c r="CH77" s="39">
        <f>((Formula!C77)/(Formula!C77+Formula!E77+Formula!G77+Formula!I77+Formula!K77))*(INDEX(Properties!A$1:CB$87,Formula!B77,26))+((Formula!E77)/(Formula!C77+Formula!E77+Formula!G77+Formula!I77+Formula!K77))*(INDEX(Properties!A$1:CB$87,Formula!D77,26))+((Formula!G77)/(Formula!C77+Formula!E77+Formula!G77+Formula!I77+Formula!K77))*(INDEX(Properties!A$1:CB$87,Formula!F77,26))+((Formula!I77)/(Formula!C77+Formula!E77+Formula!G77+Formula!I77+Formula!K77))*(INDEX(Properties!A$1:CB$87,Formula!H77,26))+((Formula!K77)/(Formula!C77+Formula!E77+Formula!G77+Formula!I77+Formula!K77))*(INDEX(Properties!A$1:CB$87,Formula!J77,26))</f>
        <v>11.120331578947368</v>
      </c>
      <c r="CI77" s="39">
        <f>Formula!C77*(INDEX(Properties!A$1:CB$87,Formula!B77,26))+Formula!E77*(INDEX(Properties!A$1:CB$87,Formula!D77,26))+Formula!G77*(INDEX(Properties!A$1:CB$87,Formula!F77,26))+Formula!I77*(INDEX(Properties!A$1:CB$87,Formula!H77,26))+Formula!K77*(INDEX(Properties!A$1:CB$87,Formula!J77,26))</f>
        <v>211.28630000000001</v>
      </c>
      <c r="CJ77" s="39">
        <f>VARP(IF(INDEX(Properties!A$1:CB$87,Formula!B77,26)&lt;&gt;"",INDEX(Properties!A$1:CB$87,Formula!B77,26)),IF(INDEX(Properties!A$1:CB$87,Formula!D77,26)&lt;&gt;"",INDEX(Properties!A$1:CB$87,Formula!D77,26)),IF(INDEX(Properties!A$1:CB$87,Formula!F77,26)&lt;&gt;"",INDEX(Properties!A$1:CB$87,Formula!F77,26)),IF(INDEX(Properties!A$1:CB$87,Formula!H77,26)&lt;&gt;"",INDEX(Properties!A$1:CB$87,Formula!H77,26)),IF(INDEX(Properties!A$1:CB$87,Formula!J77,26)&lt;&gt;"",INDEX(Properties!A$1:CB$87,Formula!J77,26)))</f>
        <v>8.5719203335999925</v>
      </c>
      <c r="CK77" s="39">
        <f>MAX(INDEX(Properties!A$1:CB$87,Formula!B77,26),INDEX(Properties!A$1:CB$87,Formula!D77,26),INDEX(Properties!A$1:CB$87,Formula!F77,26),INDEX(Properties!A$1:CB$87,Formula!H77,26),INDEX(Properties!A$1:CB$87,Formula!J77,26))</f>
        <v>13.6181</v>
      </c>
      <c r="CL77" s="39">
        <f>MIN(IF(INDEX(Properties!A$1:CB$87,Formula!B77,26)=0,10^6,INDEX(Properties!A$1:CB$87,Formula!B77,26)),IF(INDEX(Properties!A$1:CB$87,Formula!D77,26)=0,10^6,INDEX(Properties!A$1:CB$87,Formula!D77,26)),IF(INDEX(Properties!A$1:CB$87,Formula!F77,26)=0,10^6,INDEX(Properties!A$1:CB$87,Formula!F77,26)),IF(INDEX(Properties!A$1:CB$87,Formula!H77,26)=0,10^6,INDEX(Properties!A$1:CB$87,Formula!H77,26)),IF(INDEX(Properties!A$1:CB$87,Formula!J77,26)=0,10^6,INDEX(Properties!A$1:CB$87,Formula!J77,26)))</f>
        <v>5.5769000000000002</v>
      </c>
      <c r="CM77" s="39">
        <f t="shared" si="46"/>
        <v>8.0411999999999999</v>
      </c>
      <c r="CN77" s="54">
        <f>((Formula!C77)/(Formula!C77+Formula!E77+Formula!G77+Formula!I77+Formula!K77))*(INDEX(Properties!A$1:CB$87,Formula!B77,30))+((Formula!E77)/(Formula!C77+Formula!E77+Formula!G77+Formula!I77+Formula!K77))*(INDEX(Properties!A$1:CB$87,Formula!D77,30))+((Formula!G77)/(Formula!C77+Formula!E77+Formula!G77+Formula!I77+Formula!K77))*(INDEX(Properties!A$1:CB$87,Formula!F77,30))+((Formula!I77)/(Formula!C77+Formula!E77+Formula!G77+Formula!I77+Formula!K77))*(INDEX(Properties!A$1:CB$87,Formula!H77,30))+((Formula!K77)/(Formula!C77+Formula!E77+Formula!G77+Formula!I77+Formula!K77))*(INDEX(Properties!A$1:CB$87,Formula!J77,30))</f>
        <v>2.7247368421052629</v>
      </c>
      <c r="CO77" s="54">
        <f>Formula!C77*(INDEX(Properties!A$1:CB$87,Formula!B77,30))+Formula!E77*(INDEX(Properties!A$1:CB$87,Formula!D77,30))+Formula!G77*(INDEX(Properties!A$1:CB$87,Formula!F77,30))+Formula!I77*(INDEX(Properties!A$1:CB$87,Formula!H77,30))+Formula!K77*(INDEX(Properties!A$1:CB$87,Formula!J77,30))</f>
        <v>51.77</v>
      </c>
      <c r="CP77" s="54">
        <f>VARP(IF(INDEX(Properties!A$1:CB$87,Formula!B77,30)&lt;&gt;"",INDEX(Properties!A$1:CB$87,Formula!B77,30)),IF(INDEX(Properties!A$1:CB$87,Formula!D77,30)&lt;&gt;"",INDEX(Properties!A$1:CB$87,Formula!D77,30)),IF(INDEX(Properties!A$1:CB$87,Formula!F77,30)&lt;&gt;"",INDEX(Properties!A$1:CB$87,Formula!F77,30)),IF(INDEX(Properties!A$1:CB$87,Formula!H77,30)&lt;&gt;"",INDEX(Properties!A$1:CB$87,Formula!H77,30)),IF(INDEX(Properties!A$1:CB$87,Formula!J77,30)&lt;&gt;"",INDEX(Properties!A$1:CB$87,Formula!J77,30)))</f>
        <v>0.89013599999999937</v>
      </c>
      <c r="CQ77" s="54">
        <f>MAX(INDEX(Properties!A$1:CB$87,Formula!B77,30),INDEX(Properties!A$1:CB$87,Formula!D77,30),INDEX(Properties!A$1:CB$87,Formula!F77,30),INDEX(Properties!A$1:CB$87,Formula!H77,30),INDEX(Properties!A$1:CB$87,Formula!J77,30))</f>
        <v>3.44</v>
      </c>
      <c r="CR77" s="54">
        <f>MIN(IF(INDEX(Properties!A$1:CB$87,Formula!B77,30)=0,10^6,INDEX(Properties!A$1:CB$87,Formula!B77,30)),IF(INDEX(Properties!A$1:CB$87,Formula!D77,30)=0,10^6,INDEX(Properties!A$1:CB$87,Formula!D77,30)),IF(INDEX(Properties!A$1:CB$87,Formula!F77,30)=0,10^6,INDEX(Properties!A$1:CB$87,Formula!F77,30)),IF(INDEX(Properties!A$1:CB$87,Formula!H77,30)=0,10^6,INDEX(Properties!A$1:CB$87,Formula!H77,30)),IF(INDEX(Properties!A$1:CB$87,Formula!J77,30)=0,10^6,INDEX(Properties!A$1:CB$87,Formula!J77,30)))</f>
        <v>0.95</v>
      </c>
      <c r="CS77" s="54">
        <f t="shared" si="47"/>
        <v>2.4900000000000002</v>
      </c>
      <c r="CT77" s="69">
        <f>((Formula!C77)/(Formula!C77+Formula!E77+Formula!G77+Formula!I77+Formula!K77))*(INDEX(Properties!A$1:CB$87,Formula!B77,31))+((Formula!E77)/(Formula!C77+Formula!E77+Formula!G77+Formula!I77+Formula!K77))*(INDEX(Properties!A$1:CB$87,Formula!D77,31))+((Formula!G77)/(Formula!C77+Formula!E77+Formula!G77+Formula!I77+Formula!K77))*(INDEX(Properties!A$1:CB$87,Formula!F77,31))+((Formula!I77)/(Formula!C77+Formula!E77+Formula!G77+Formula!I77+Formula!K77))*(INDEX(Properties!A$1:CB$87,Formula!H77,31))+((Formula!K77)/(Formula!C77+Formula!E77+Formula!G77+Formula!I77+Formula!K77))*(INDEX(Properties!A$1:CB$87,Formula!J77,31))</f>
        <v>2.6247368421052633</v>
      </c>
      <c r="CU77" s="69">
        <f>Formula!C77*(INDEX(Properties!A$1:CB$87,Formula!B77,31))+Formula!E77*(INDEX(Properties!A$1:CB$87,Formula!D77,31))+Formula!G77*(INDEX(Properties!A$1:CB$87,Formula!F77,31))+Formula!I77*(INDEX(Properties!A$1:CB$87,Formula!H77,31))+Formula!K77*(INDEX(Properties!A$1:CB$87,Formula!J77,31))</f>
        <v>49.87</v>
      </c>
      <c r="CV77" s="69">
        <f>VARP(IF(INDEX(Properties!A$1:CB$87,Formula!B77,31)&lt;&gt;"",INDEX(Properties!A$1:CB$87,Formula!B77,31)),IF(INDEX(Properties!A$1:CB$87,Formula!D77,31)&lt;&gt;"",INDEX(Properties!A$1:CB$87,Formula!D77,31)),IF(INDEX(Properties!A$1:CB$87,Formula!F77,31)&lt;&gt;"",INDEX(Properties!A$1:CB$87,Formula!F77,31)),IF(INDEX(Properties!A$1:CB$87,Formula!H77,31)&lt;&gt;"",INDEX(Properties!A$1:CB$87,Formula!H77,31)),IF(INDEX(Properties!A$1:CB$87,Formula!J77,31)&lt;&gt;"",INDEX(Properties!A$1:CB$87,Formula!J77,31)))</f>
        <v>0.64</v>
      </c>
      <c r="CW77" s="69">
        <f>MAX(INDEX(Properties!A$1:CB$87,Formula!B77,31),INDEX(Properties!A$1:CB$87,Formula!D77,31),INDEX(Properties!A$1:CB$87,Formula!F77,31),INDEX(Properties!A$1:CB$87,Formula!H77,31),INDEX(Properties!A$1:CB$87,Formula!J77,31))</f>
        <v>3.32</v>
      </c>
      <c r="CX77" s="69">
        <f>MIN(IF(INDEX(Properties!A$1:CB$87,Formula!B77,31)=0,10^6,INDEX(Properties!A$1:CB$87,Formula!B77,31)),IF(INDEX(Properties!A$1:CB$87,Formula!D77,31)=0,10^6,INDEX(Properties!A$1:CB$87,Formula!D77,31)),IF(INDEX(Properties!A$1:CB$87,Formula!F77,31)=0,10^6,INDEX(Properties!A$1:CB$87,Formula!F77,31)),IF(INDEX(Properties!A$1:CB$87,Formula!H77,31)=0,10^6,INDEX(Properties!A$1:CB$87,Formula!H77,31)),IF(INDEX(Properties!A$1:CB$87,Formula!J77,31)=0,10^6,INDEX(Properties!A$1:CB$87,Formula!J77,31)))</f>
        <v>1.1299999999999999</v>
      </c>
      <c r="CY77" s="69">
        <f t="shared" si="48"/>
        <v>2.19</v>
      </c>
      <c r="CZ77" s="42">
        <f>((Formula!C77)/(Formula!C77+Formula!E77+Formula!G77+Formula!I77+Formula!K77))*(INDEX(Properties!A$1:CB$87,Formula!B77,32))+((Formula!E77)/(Formula!C77+Formula!E77+Formula!G77+Formula!I77+Formula!K77))*(INDEX(Properties!A$1:CB$87,Formula!D77,32))+((Formula!G77)/(Formula!C77+Formula!E77+Formula!G77+Formula!I77+Formula!K77))*(INDEX(Properties!A$1:CB$87,Formula!F77,32))+((Formula!I77)/(Formula!C77+Formula!E77+Formula!G77+Formula!I77+Formula!K77))*(INDEX(Properties!A$1:CB$87,Formula!H77,32))+((Formula!K77)/(Formula!C77+Formula!E77+Formula!G77+Formula!I77+Formula!K77))*(INDEX(Properties!A$1:CB$87,Formula!J77,32))</f>
        <v>6.0515789473684212</v>
      </c>
      <c r="DA77" s="42">
        <f>Formula!C77*(INDEX(Properties!A$1:CB$87,Formula!B77,32))+Formula!E77*(INDEX(Properties!A$1:CB$87,Formula!D77,32))+Formula!G77*(INDEX(Properties!A$1:CB$87,Formula!F77,32))+Formula!I77*(INDEX(Properties!A$1:CB$87,Formula!H77,32))+Formula!K77*(INDEX(Properties!A$1:CB$87,Formula!J77,32))</f>
        <v>114.98</v>
      </c>
      <c r="DB77" s="42">
        <f>VARP(IF(INDEX(Properties!A$1:CB$87,Formula!B77,32)&lt;&gt;"",INDEX(Properties!A$1:CB$87,Formula!B77,32)),IF(INDEX(Properties!A$1:CB$87,Formula!D77,32)&lt;&gt;"",INDEX(Properties!A$1:CB$87,Formula!D77,32)),IF(INDEX(Properties!A$1:CB$87,Formula!F77,32)&lt;&gt;"",INDEX(Properties!A$1:CB$87,Formula!F77,32)),IF(INDEX(Properties!A$1:CB$87,Formula!H77,32)&lt;&gt;"",INDEX(Properties!A$1:CB$87,Formula!H77,32)),IF(INDEX(Properties!A$1:CB$87,Formula!J77,32)&lt;&gt;"",INDEX(Properties!A$1:CB$87,Formula!J77,32)))</f>
        <v>3.4878559999999994</v>
      </c>
      <c r="DC77" s="42">
        <f>MAX(INDEX(Properties!A$1:CB$87,Formula!B77,32),INDEX(Properties!A$1:CB$87,Formula!D77,32),INDEX(Properties!A$1:CB$87,Formula!F77,32),INDEX(Properties!A$1:CB$87,Formula!H77,32),INDEX(Properties!A$1:CB$87,Formula!J77,32))</f>
        <v>7.54</v>
      </c>
      <c r="DD77" s="42">
        <f>MIN(IF(INDEX(Properties!A$1:CB$87,Formula!B77,32)=0,10^6,INDEX(Properties!A$1:CB$87,Formula!B77,32)),IF(INDEX(Properties!A$1:CB$87,Formula!D77,32)=0,10^6,INDEX(Properties!A$1:CB$87,Formula!D77,32)),IF(INDEX(Properties!A$1:CB$87,Formula!F77,32)=0,10^6,INDEX(Properties!A$1:CB$87,Formula!F77,32)),IF(INDEX(Properties!A$1:CB$87,Formula!H77,32)=0,10^6,INDEX(Properties!A$1:CB$87,Formula!H77,32)),IF(INDEX(Properties!A$1:CB$87,Formula!J77,32)=0,10^6,INDEX(Properties!A$1:CB$87,Formula!J77,32)))</f>
        <v>2</v>
      </c>
      <c r="DE77" s="42">
        <f t="shared" si="49"/>
        <v>5.54</v>
      </c>
      <c r="DF77" s="60">
        <f>((Formula!C77)/(Formula!C77+Formula!E77+Formula!G77+Formula!I77+Formula!K77))*(INDEX(Properties!A$1:CB$87,Formula!B77,34))+((Formula!E77)/(Formula!C77+Formula!E77+Formula!G77+Formula!I77+Formula!K77))*(INDEX(Properties!A$1:CB$87,Formula!D77,34))+((Formula!G77)/(Formula!C77+Formula!E77+Formula!G77+Formula!I77+Formula!K77))*(INDEX(Properties!A$1:CB$87,Formula!F77,34))+((Formula!I77)/(Formula!C77+Formula!E77+Formula!G77+Formula!I77+Formula!K77))*(INDEX(Properties!A$1:CB$87,Formula!H77,34))+((Formula!K77)/(Formula!C77+Formula!E77+Formula!G77+Formula!I77+Formula!K77))*(INDEX(Properties!A$1:CB$87,Formula!J77,34))</f>
        <v>2.7362631578947365</v>
      </c>
      <c r="DG77" s="60">
        <f>Formula!C77*(INDEX(Properties!A$1:CB$87,Formula!B77,34))+Formula!E77*(INDEX(Properties!A$1:CB$87,Formula!D77,34))+Formula!G77*(INDEX(Properties!A$1:CB$87,Formula!F77,34))+Formula!I77*(INDEX(Properties!A$1:CB$87,Formula!H77,34))+Formula!K77*(INDEX(Properties!A$1:CB$87,Formula!J77,34))</f>
        <v>51.989000000000004</v>
      </c>
      <c r="DH77" s="60">
        <f>VARP(IF(INDEX(Properties!A$1:CB$87,Formula!B77,34)&lt;&gt;"",INDEX(Properties!A$1:CB$87,Formula!B77,34)),IF(INDEX(Properties!A$1:CB$87,Formula!D77,34)&lt;&gt;"",INDEX(Properties!A$1:CB$87,Formula!D77,34)),IF(INDEX(Properties!A$1:CB$87,Formula!F77,34)&lt;&gt;"",INDEX(Properties!A$1:CB$87,Formula!F77,34)),IF(INDEX(Properties!A$1:CB$87,Formula!H77,34)&lt;&gt;"",INDEX(Properties!A$1:CB$87,Formula!H77,34)),IF(INDEX(Properties!A$1:CB$87,Formula!J77,34)&lt;&gt;"",INDEX(Properties!A$1:CB$87,Formula!J77,34)))</f>
        <v>0.95616455999999972</v>
      </c>
      <c r="DI77" s="60">
        <f>MAX(INDEX(Properties!A$1:CB$87,Formula!B77,34),INDEX(Properties!A$1:CB$87,Formula!D77,34),INDEX(Properties!A$1:CB$87,Formula!F77,34),INDEX(Properties!A$1:CB$87,Formula!H77,34),INDEX(Properties!A$1:CB$87,Formula!J77,34))</f>
        <v>3.61</v>
      </c>
      <c r="DJ77" s="60">
        <f>MIN(IF(INDEX(Properties!A$1:CB$87,Formula!B77,34)=0,10^6,INDEX(Properties!A$1:CB$87,Formula!B77,34)),IF(INDEX(Properties!A$1:CB$87,Formula!D77,34)=0,10^6,INDEX(Properties!A$1:CB$87,Formula!D77,34)),IF(INDEX(Properties!A$1:CB$87,Formula!F77,34)=0,10^6,INDEX(Properties!A$1:CB$87,Formula!F77,34)),IF(INDEX(Properties!A$1:CB$87,Formula!H77,34)=0,10^6,INDEX(Properties!A$1:CB$87,Formula!H77,34)),IF(INDEX(Properties!A$1:CB$87,Formula!J77,34)=0,10^6,INDEX(Properties!A$1:CB$87,Formula!J77,34)))</f>
        <v>0.96299999999999997</v>
      </c>
      <c r="DK77" s="60">
        <f t="shared" si="50"/>
        <v>2.6469999999999998</v>
      </c>
      <c r="DL77" s="45">
        <f>((Formula!C77)/(Formula!C77+Formula!E77+Formula!G77+Formula!I77+Formula!K77))*(INDEX(Properties!A$1:CB$87,Formula!B77,39))+((Formula!E77)/(Formula!C77+Formula!E77+Formula!G77+Formula!I77+Formula!K77))*(INDEX(Properties!A$1:CB$87,Formula!D77,39))+((Formula!G77)/(Formula!C77+Formula!E77+Formula!G77+Formula!I77+Formula!K77))*(INDEX(Properties!A$1:CB$87,Formula!F77,39))+((Formula!I77)/(Formula!C77+Formula!E77+Formula!G77+Formula!I77+Formula!K77))*(INDEX(Properties!A$1:CB$87,Formula!H77,39))+((Formula!K77)/(Formula!C77+Formula!E77+Formula!G77+Formula!I77+Formula!K77))*(INDEX(Properties!A$1:CB$87,Formula!J77,39))</f>
        <v>0.97947368421052627</v>
      </c>
      <c r="DM77" s="45">
        <f>Formula!C77*(INDEX(Properties!A$1:CB$87,Formula!B77,39))+Formula!E77*(INDEX(Properties!A$1:CB$87,Formula!D77,39))+Formula!G77*(INDEX(Properties!A$1:CB$87,Formula!F77,39))+Formula!I77*(INDEX(Properties!A$1:CB$87,Formula!H77,39))+Formula!K77*(INDEX(Properties!A$1:CB$87,Formula!J77,39))</f>
        <v>18.61</v>
      </c>
      <c r="DN77" s="45">
        <f>VARP(IF(INDEX(Properties!A$1:CB$87,Formula!B77,39)&lt;&gt;"",INDEX(Properties!A$1:CB$87,Formula!B77,39)),IF(INDEX(Properties!A$1:CB$87,Formula!D77,39)&lt;&gt;"",INDEX(Properties!A$1:CB$87,Formula!D77,39)),IF(INDEX(Properties!A$1:CB$87,Formula!F77,39)&lt;&gt;"",INDEX(Properties!A$1:CB$87,Formula!F77,39)),IF(INDEX(Properties!A$1:CB$87,Formula!H77,39)&lt;&gt;"",INDEX(Properties!A$1:CB$87,Formula!H77,39)),IF(INDEX(Properties!A$1:CB$87,Formula!J77,39)&lt;&gt;"",INDEX(Properties!A$1:CB$87,Formula!J77,39)))</f>
        <v>0.37127999999999983</v>
      </c>
      <c r="DO77" s="45">
        <f>MAX(INDEX(Properties!A$1:CB$87,Formula!B77,39),INDEX(Properties!A$1:CB$87,Formula!D77,39),INDEX(Properties!A$1:CB$87,Formula!F77,39),INDEX(Properties!A$1:CB$87,Formula!H77,39),INDEX(Properties!A$1:CB$87,Formula!J77,39))</f>
        <v>2.19</v>
      </c>
      <c r="DP77" s="45">
        <f>MIN(IF(INDEX(Properties!A$1:CB$87,Formula!B77,39)=0,10^6,INDEX(Properties!A$1:CB$87,Formula!B77,39)),IF(INDEX(Properties!A$1:CB$87,Formula!D77,39)=0,10^6,INDEX(Properties!A$1:CB$87,Formula!D77,39)),IF(INDEX(Properties!A$1:CB$87,Formula!F77,39)=0,10^6,INDEX(Properties!A$1:CB$87,Formula!F77,39)),IF(INDEX(Properties!A$1:CB$87,Formula!H77,39)=0,10^6,INDEX(Properties!A$1:CB$87,Formula!H77,39)),IF(INDEX(Properties!A$1:CB$87,Formula!J77,39)=0,10^6,INDEX(Properties!A$1:CB$87,Formula!J77,39)))</f>
        <v>0.48</v>
      </c>
      <c r="DQ77" s="45">
        <f t="shared" si="51"/>
        <v>1.71</v>
      </c>
      <c r="DR77" s="63">
        <f>((Formula!C77)/(Formula!C77+Formula!E77+Formula!G77+Formula!I77+Formula!K77))*(INDEX(Properties!A$1:CB$87,Formula!B77,40))+((Formula!E77)/(Formula!C77+Formula!E77+Formula!G77+Formula!I77+Formula!K77))*(INDEX(Properties!A$1:CB$87,Formula!D77,40))+((Formula!G77)/(Formula!C77+Formula!E77+Formula!G77+Formula!I77+Formula!K77))*(INDEX(Properties!A$1:CB$87,Formula!F77,40))+((Formula!I77)/(Formula!C77+Formula!E77+Formula!G77+Formula!I77+Formula!K77))*(INDEX(Properties!A$1:CB$87,Formula!H77,40))+((Formula!K77)/(Formula!C77+Formula!E77+Formula!G77+Formula!I77+Formula!K77))*(INDEX(Properties!A$1:CB$87,Formula!J77,40))</f>
        <v>1.0305263157894735</v>
      </c>
      <c r="DS77" s="63">
        <f>Formula!C77*(INDEX(Properties!A$1:CB$87,Formula!B77,40))+Formula!E77*(INDEX(Properties!A$1:CB$87,Formula!D77,40))+Formula!G77*(INDEX(Properties!A$1:CB$87,Formula!F77,40))+Formula!I77*(INDEX(Properties!A$1:CB$87,Formula!H77,40))+Formula!K77*(INDEX(Properties!A$1:CB$87,Formula!J77,40))</f>
        <v>19.579999999999998</v>
      </c>
      <c r="DT77" s="63">
        <f>VARP(IF(INDEX(Properties!A$1:CB$87,Formula!B77,40)&lt;&gt;"",INDEX(Properties!A$1:CB$87,Formula!B77,40)),IF(INDEX(Properties!A$1:CB$87,Formula!D77,40)&lt;&gt;"",INDEX(Properties!A$1:CB$87,Formula!D77,40)),IF(INDEX(Properties!A$1:CB$87,Formula!F77,40)&lt;&gt;"",INDEX(Properties!A$1:CB$87,Formula!F77,40)),IF(INDEX(Properties!A$1:CB$87,Formula!H77,40)&lt;&gt;"",INDEX(Properties!A$1:CB$87,Formula!H77,40)),IF(INDEX(Properties!A$1:CB$87,Formula!J77,40)&lt;&gt;"",INDEX(Properties!A$1:CB$87,Formula!J77,40)))</f>
        <v>0.16300000000000012</v>
      </c>
      <c r="DU77" s="63">
        <f>MAX(INDEX(Properties!A$1:CB$87,Formula!B77,40),INDEX(Properties!A$1:CB$87,Formula!D77,40),INDEX(Properties!A$1:CB$87,Formula!F77,40),INDEX(Properties!A$1:CB$87,Formula!H77,40),INDEX(Properties!A$1:CB$87,Formula!J77,40))</f>
        <v>1.92</v>
      </c>
      <c r="DV77" s="63">
        <f>MIN(IF(INDEX(Properties!A$1:CB$87,Formula!B77,40)=0,10^6,INDEX(Properties!A$1:CB$87,Formula!B77,40)),IF(INDEX(Properties!A$1:CB$87,Formula!D77,40)=0,10^6,INDEX(Properties!A$1:CB$87,Formula!D77,40)),IF(INDEX(Properties!A$1:CB$87,Formula!F77,40)=0,10^6,INDEX(Properties!A$1:CB$87,Formula!F77,40)),IF(INDEX(Properties!A$1:CB$87,Formula!H77,40)=0,10^6,INDEX(Properties!A$1:CB$87,Formula!H77,40)),IF(INDEX(Properties!A$1:CB$87,Formula!J77,40)=0,10^6,INDEX(Properties!A$1:CB$87,Formula!J77,40)))</f>
        <v>0.73</v>
      </c>
      <c r="DW77" s="63">
        <f t="shared" si="52"/>
        <v>1.19</v>
      </c>
      <c r="DX77" s="75">
        <f>((Formula!C77)/(Formula!C77+Formula!E77+Formula!G77+Formula!I77+Formula!K77))*(INDEX(Properties!A$1:CB$87,Formula!B77,41))+((Formula!E77)/(Formula!C77+Formula!E77+Formula!G77+Formula!I77+Formula!K77))*(INDEX(Properties!A$1:CB$87,Formula!D77,41))+((Formula!G77)/(Formula!C77+Formula!E77+Formula!G77+Formula!I77+Formula!K77))*(INDEX(Properties!A$1:CB$87,Formula!F77,41))+((Formula!I77)/(Formula!C77+Formula!E77+Formula!G77+Formula!I77+Formula!K77))*(INDEX(Properties!A$1:CB$87,Formula!H77,41))+((Formula!K77)/(Formula!C77+Formula!E77+Formula!G77+Formula!I77+Formula!K77))*(INDEX(Properties!A$1:CB$87,Formula!J77,41))</f>
        <v>1.1631578947368419</v>
      </c>
      <c r="DY77" s="75">
        <f>Formula!C77*(INDEX(Properties!A$1:CB$87,Formula!B77,41))+Formula!E77*(INDEX(Properties!A$1:CB$87,Formula!D77,41))+Formula!G77*(INDEX(Properties!A$1:CB$87,Formula!F77,41))+Formula!I77*(INDEX(Properties!A$1:CB$87,Formula!H77,41))+Formula!K77*(INDEX(Properties!A$1:CB$87,Formula!J77,41))</f>
        <v>22.1</v>
      </c>
      <c r="DZ77" s="75">
        <f>VARP(IF(INDEX(Properties!A$1:CB$87,Formula!B77,41)&lt;&gt;"",INDEX(Properties!A$1:CB$87,Formula!B77,41)),IF(INDEX(Properties!A$1:CB$87,Formula!D77,41)&lt;&gt;"",INDEX(Properties!A$1:CB$87,Formula!D77,41)),IF(INDEX(Properties!A$1:CB$87,Formula!F77,41)&lt;&gt;"",INDEX(Properties!A$1:CB$87,Formula!F77,41)),IF(INDEX(Properties!A$1:CB$87,Formula!H77,41)&lt;&gt;"",INDEX(Properties!A$1:CB$87,Formula!H77,41)),IF(INDEX(Properties!A$1:CB$87,Formula!J77,41)&lt;&gt;"",INDEX(Properties!A$1:CB$87,Formula!J77,41)))</f>
        <v>4.4975999999999912E-2</v>
      </c>
      <c r="EA77" s="75">
        <f>MAX(INDEX(Properties!A$1:CB$87,Formula!B77,41),INDEX(Properties!A$1:CB$87,Formula!D77,41),INDEX(Properties!A$1:CB$87,Formula!F77,41),INDEX(Properties!A$1:CB$87,Formula!H77,41),INDEX(Properties!A$1:CB$87,Formula!J77,41))</f>
        <v>1.32</v>
      </c>
      <c r="EB77" s="75">
        <f>MIN(IF(INDEX(Properties!A$1:CB$87,Formula!B77,41)=0,10^6,INDEX(Properties!A$1:CB$87,Formula!B77,41)),IF(INDEX(Properties!A$1:CB$87,Formula!D77,41)=0,10^6,INDEX(Properties!A$1:CB$87,Formula!D77,41)),IF(INDEX(Properties!A$1:CB$87,Formula!F77,41)=0,10^6,INDEX(Properties!A$1:CB$87,Formula!F77,41)),IF(INDEX(Properties!A$1:CB$87,Formula!H77,41)=0,10^6,INDEX(Properties!A$1:CB$87,Formula!H77,41)),IF(INDEX(Properties!A$1:CB$87,Formula!J77,41)=0,10^6,INDEX(Properties!A$1:CB$87,Formula!J77,41)))</f>
        <v>0.8</v>
      </c>
      <c r="EC77" s="75">
        <f t="shared" si="53"/>
        <v>0.52</v>
      </c>
      <c r="ED77" s="48">
        <f>((Formula!C77)/(Formula!C77+Formula!E77+Formula!G77+Formula!I77+Formula!K77))*(INDEX(Properties!A$1:CB$87,Formula!B77,45))+((Formula!E77)/(Formula!C77+Formula!E77+Formula!G77+Formula!I77+Formula!K77))*(INDEX(Properties!A$1:CB$87,Formula!D77,45))+((Formula!G77)/(Formula!C77+Formula!E77+Formula!G77+Formula!I77+Formula!K77))*(INDEX(Properties!A$1:CB$87,Formula!F77,45))+((Formula!I77)/(Formula!C77+Formula!E77+Formula!G77+Formula!I77+Formula!K77))*(INDEX(Properties!A$1:CB$87,Formula!H77,45))+((Formula!K77)/(Formula!C77+Formula!E77+Formula!G77+Formula!I77+Formula!K77))*(INDEX(Properties!A$1:CB$87,Formula!J77,45))</f>
        <v>1.2921052631578946</v>
      </c>
      <c r="EE77" s="48">
        <f>Formula!C77*(INDEX(Properties!A$1:CB$87,Formula!B77,45))+Formula!E77*(INDEX(Properties!A$1:CB$87,Formula!D77,45))+Formula!G77*(INDEX(Properties!A$1:CB$87,Formula!F77,45))+Formula!I77*(INDEX(Properties!A$1:CB$87,Formula!H77,45))+Formula!K77*(INDEX(Properties!A$1:CB$87,Formula!J77,45))</f>
        <v>24.55</v>
      </c>
      <c r="EF77" s="48">
        <f>VARP(IF(INDEX(Properties!A$1:CB$87,Formula!B77,45)&lt;&gt;"",INDEX(Properties!A$1:CB$87,Formula!B77,45)),IF(INDEX(Properties!A$1:CB$87,Formula!D77,45)&lt;&gt;"",INDEX(Properties!A$1:CB$87,Formula!D77,45)),IF(INDEX(Properties!A$1:CB$87,Formula!F77,45)&lt;&gt;"",INDEX(Properties!A$1:CB$87,Formula!F77,45)),IF(INDEX(Properties!A$1:CB$87,Formula!H77,45)&lt;&gt;"",INDEX(Properties!A$1:CB$87,Formula!H77,45)),IF(INDEX(Properties!A$1:CB$87,Formula!J77,45)&lt;&gt;"",INDEX(Properties!A$1:CB$87,Formula!J77,45)))</f>
        <v>1.010343999999999</v>
      </c>
      <c r="EG77" s="48">
        <f>MAX(INDEX(Properties!A$1:CB$87,Formula!B77,45),INDEX(Properties!A$1:CB$87,Formula!D77,45),INDEX(Properties!A$1:CB$87,Formula!F77,45),INDEX(Properties!A$1:CB$87,Formula!H77,45),INDEX(Properties!A$1:CB$87,Formula!J77,45))</f>
        <v>3.21</v>
      </c>
      <c r="EH77" s="48">
        <f>MIN(IF(INDEX(Properties!A$1:CB$87,Formula!B77,45)=0,10^6,INDEX(Properties!A$1:CB$87,Formula!B77,45)),IF(INDEX(Properties!A$1:CB$87,Formula!D77,45)=0,10^6,INDEX(Properties!A$1:CB$87,Formula!D77,45)),IF(INDEX(Properties!A$1:CB$87,Formula!F77,45)=0,10^6,INDEX(Properties!A$1:CB$87,Formula!F77,45)),IF(INDEX(Properties!A$1:CB$87,Formula!H77,45)=0,10^6,INDEX(Properties!A$1:CB$87,Formula!H77,45)),IF(INDEX(Properties!A$1:CB$87,Formula!J77,45)=0,10^6,INDEX(Properties!A$1:CB$87,Formula!J77,45)))</f>
        <v>0.47</v>
      </c>
      <c r="EI77" s="48">
        <f t="shared" si="54"/>
        <v>2.74</v>
      </c>
      <c r="EJ77" s="66">
        <f>((Formula!C77)/(Formula!C77+Formula!E77+Formula!G77+Formula!I77+Formula!K77))*(INDEX(Properties!A$1:CB$87,Formula!B77,46))+((Formula!E77)/(Formula!C77+Formula!E77+Formula!G77+Formula!I77+Formula!K77))*(INDEX(Properties!A$1:CB$87,Formula!D77,46))+((Formula!G77)/(Formula!C77+Formula!E77+Formula!G77+Formula!I77+Formula!K77))*(INDEX(Properties!A$1:CB$87,Formula!F77,46))+((Formula!I77)/(Formula!C77+Formula!E77+Formula!G77+Formula!I77+Formula!K77))*(INDEX(Properties!A$1:CB$87,Formula!H77,46))+((Formula!K77)/(Formula!C77+Formula!E77+Formula!G77+Formula!I77+Formula!K77))*(INDEX(Properties!A$1:CB$87,Formula!J77,46))</f>
        <v>1.1452631578947368</v>
      </c>
      <c r="EK77" s="66">
        <f>Formula!C77*(INDEX(Properties!A$1:CB$87,Formula!B77,46))+Formula!E77*(INDEX(Properties!A$1:CB$87,Formula!D77,46))+Formula!G77*(INDEX(Properties!A$1:CB$87,Formula!F77,46))+Formula!I77*(INDEX(Properties!A$1:CB$87,Formula!H77,46))+Formula!K77*(INDEX(Properties!A$1:CB$87,Formula!J77,46))</f>
        <v>21.759999999999998</v>
      </c>
      <c r="EL77" s="66">
        <f>VARP(IF(INDEX(Properties!A$1:CB$87,Formula!B77,46)&lt;&gt;"",INDEX(Properties!A$1:CB$87,Formula!B77,46)),IF(INDEX(Properties!A$1:CB$87,Formula!D77,46)&lt;&gt;"",INDEX(Properties!A$1:CB$87,Formula!D77,46)),IF(INDEX(Properties!A$1:CB$87,Formula!F77,46)&lt;&gt;"",INDEX(Properties!A$1:CB$87,Formula!F77,46)),IF(INDEX(Properties!A$1:CB$87,Formula!H77,46)&lt;&gt;"",INDEX(Properties!A$1:CB$87,Formula!H77,46)),IF(INDEX(Properties!A$1:CB$87,Formula!J77,46)&lt;&gt;"",INDEX(Properties!A$1:CB$87,Formula!J77,46)))</f>
        <v>6.3055999999999987E-2</v>
      </c>
      <c r="EM77" s="66">
        <f>MAX(INDEX(Properties!A$1:CB$87,Formula!B77,46),INDEX(Properties!A$1:CB$87,Formula!D77,46),INDEX(Properties!A$1:CB$87,Formula!F77,46),INDEX(Properties!A$1:CB$87,Formula!H77,46),INDEX(Properties!A$1:CB$87,Formula!J77,46))</f>
        <v>1.36</v>
      </c>
      <c r="EN77" s="66">
        <f>MIN(IF(INDEX(Properties!A$1:CB$87,Formula!B77,46)=0,10^6,INDEX(Properties!A$1:CB$87,Formula!B77,46)),IF(INDEX(Properties!A$1:CB$87,Formula!D77,46)=0,10^6,INDEX(Properties!A$1:CB$87,Formula!D77,46)),IF(INDEX(Properties!A$1:CB$87,Formula!F77,46)=0,10^6,INDEX(Properties!A$1:CB$87,Formula!F77,46)),IF(INDEX(Properties!A$1:CB$87,Formula!H77,46)=0,10^6,INDEX(Properties!A$1:CB$87,Formula!H77,46)),IF(INDEX(Properties!A$1:CB$87,Formula!J77,46)=0,10^6,INDEX(Properties!A$1:CB$87,Formula!J77,46)))</f>
        <v>0.74</v>
      </c>
      <c r="EO77" s="66">
        <f t="shared" si="55"/>
        <v>0.62000000000000011</v>
      </c>
      <c r="EP77" s="81">
        <f>((Formula!C77)/(Formula!C77+Formula!E77+Formula!G77+Formula!I77+Formula!K77))*(INDEX(Properties!A$1:CB$87,Formula!B77,52))+((Formula!E77)/(Formula!C77+Formula!E77+Formula!G77+Formula!I77+Formula!K77))*(INDEX(Properties!A$1:CB$87,Formula!D77,52))+((Formula!G77)/(Formula!C77+Formula!E77+Formula!G77+Formula!I77+Formula!K77))*(INDEX(Properties!A$1:CB$87,Formula!F77,52))+((Formula!I77)/(Formula!C77+Formula!E77+Formula!G77+Formula!I77+Formula!K77))*(INDEX(Properties!A$1:CB$87,Formula!H77,52))+((Formula!K77)/(Formula!C77+Formula!E77+Formula!G77+Formula!I77+Formula!K77))*(INDEX(Properties!A$1:CB$87,Formula!J77,52))</f>
        <v>7.511368421052631</v>
      </c>
      <c r="EQ77" s="81">
        <f>Formula!C77*(INDEX(Properties!A$1:CB$87,Formula!B77,52))+Formula!E77*(INDEX(Properties!A$1:CB$87,Formula!D77,52))+Formula!G77*(INDEX(Properties!A$1:CB$87,Formula!F77,52))+Formula!I77*(INDEX(Properties!A$1:CB$87,Formula!H77,52))+Formula!K77*(INDEX(Properties!A$1:CB$87,Formula!J77,52))</f>
        <v>142.71599999999998</v>
      </c>
      <c r="ER77" s="81">
        <f>VARP(IF(INDEX(Properties!A$1:CB$87,Formula!B77,52)&lt;&gt;"",INDEX(Properties!A$1:CB$87,Formula!B77,52)),IF(INDEX(Properties!A$1:CB$87,Formula!D77,52)&lt;&gt;"",INDEX(Properties!A$1:CB$87,Formula!D77,52)),IF(INDEX(Properties!A$1:CB$87,Formula!F77,52)&lt;&gt;"",INDEX(Properties!A$1:CB$87,Formula!F77,52)),IF(INDEX(Properties!A$1:CB$87,Formula!H77,52)&lt;&gt;"",INDEX(Properties!A$1:CB$87,Formula!H77,52)),IF(INDEX(Properties!A$1:CB$87,Formula!J77,52)&lt;&gt;"",INDEX(Properties!A$1:CB$87,Formula!J77,52)))</f>
        <v>129.34163983999991</v>
      </c>
      <c r="ES77" s="81">
        <f>MAX(INDEX(Properties!A$1:CB$87,Formula!B77,52),INDEX(Properties!A$1:CB$87,Formula!D77,52),INDEX(Properties!A$1:CB$87,Formula!F77,52),INDEX(Properties!A$1:CB$87,Formula!H77,52),INDEX(Properties!A$1:CB$87,Formula!J77,52))</f>
        <v>31.1</v>
      </c>
      <c r="ET77" s="81">
        <f>MIN(IF(INDEX(Properties!A$1:CB$87,Formula!B77,52)=0,10^6,INDEX(Properties!A$1:CB$87,Formula!B77,52)),IF(INDEX(Properties!A$1:CB$87,Formula!D77,52)=0,10^6,INDEX(Properties!A$1:CB$87,Formula!D77,52)),IF(INDEX(Properties!A$1:CB$87,Formula!F77,52)=0,10^6,INDEX(Properties!A$1:CB$87,Formula!F77,52)),IF(INDEX(Properties!A$1:CB$87,Formula!H77,52)=0,10^6,INDEX(Properties!A$1:CB$87,Formula!H77,52)),IF(INDEX(Properties!A$1:CB$87,Formula!J77,52)=0,10^6,INDEX(Properties!A$1:CB$87,Formula!J77,52)))</f>
        <v>0.79300000000000004</v>
      </c>
      <c r="EU77" s="81">
        <f t="shared" si="56"/>
        <v>30.307000000000002</v>
      </c>
      <c r="EV77" s="39">
        <f>((Formula!C77)/(Formula!C77+Formula!E77+Formula!G77+Formula!I77+Formula!K77))*(INDEX(Properties!A$1:CB$87,Formula!B77,53))+((Formula!E77)/(Formula!C77+Formula!E77+Formula!G77+Formula!I77+Formula!K77))*(INDEX(Properties!A$1:CB$87,Formula!D77,53))+((Formula!G77)/(Formula!C77+Formula!E77+Formula!G77+Formula!I77+Formula!K77))*(INDEX(Properties!A$1:CB$87,Formula!F77,53))+((Formula!I77)/(Formula!C77+Formula!E77+Formula!G77+Formula!I77+Formula!K77))*(INDEX(Properties!A$1:CB$87,Formula!H77,53))+((Formula!K77)/(Formula!C77+Formula!E77+Formula!G77+Formula!I77+Formula!K77))*(INDEX(Properties!A$1:CB$87,Formula!J77,53))</f>
        <v>699.79210526315785</v>
      </c>
      <c r="EW77" s="39">
        <f>Formula!C77*(INDEX(Properties!A$1:CB$87,Formula!B77,53))+Formula!E77*(INDEX(Properties!A$1:CB$87,Formula!D77,53))+Formula!G77*(INDEX(Properties!A$1:CB$87,Formula!F77,53))+Formula!I77*(INDEX(Properties!A$1:CB$87,Formula!H77,53))+Formula!K77*(INDEX(Properties!A$1:CB$87,Formula!J77,53))</f>
        <v>13296.05</v>
      </c>
      <c r="EX77" s="39">
        <f>VARP(IF(INDEX(Properties!A$1:CB$87,Formula!B77,53)&lt;&gt;"",INDEX(Properties!A$1:CB$87,Formula!B77,53)),IF(INDEX(Properties!A$1:CB$87,Formula!D77,53)&lt;&gt;"",INDEX(Properties!A$1:CB$87,Formula!D77,53)),IF(INDEX(Properties!A$1:CB$87,Formula!F77,53)&lt;&gt;"",INDEX(Properties!A$1:CB$87,Formula!F77,53)),IF(INDEX(Properties!A$1:CB$87,Formula!H77,53)&lt;&gt;"",INDEX(Properties!A$1:CB$87,Formula!H77,53)),IF(INDEX(Properties!A$1:CB$87,Formula!J77,53)&lt;&gt;"",INDEX(Properties!A$1:CB$87,Formula!J77,53)))</f>
        <v>1483893.0656000006</v>
      </c>
      <c r="EY77" s="39">
        <f>MAX(INDEX(Properties!A$1:CB$87,Formula!B77,53),INDEX(Properties!A$1:CB$87,Formula!D77,53),INDEX(Properties!A$1:CB$87,Formula!F77,53),INDEX(Properties!A$1:CB$87,Formula!H77,53),INDEX(Properties!A$1:CB$87,Formula!J77,53))</f>
        <v>3683.15</v>
      </c>
      <c r="EZ77" s="39">
        <f>MIN(IF(INDEX(Properties!A$1:CB$87,Formula!B77,53)=0,10^6,INDEX(Properties!A$1:CB$87,Formula!B77,53)),IF(INDEX(Properties!A$1:CB$87,Formula!D77,53)=0,10^6,INDEX(Properties!A$1:CB$87,Formula!D77,53)),IF(INDEX(Properties!A$1:CB$87,Formula!F77,53)=0,10^6,INDEX(Properties!A$1:CB$87,Formula!F77,53)),IF(INDEX(Properties!A$1:CB$87,Formula!H77,53)=0,10^6,INDEX(Properties!A$1:CB$87,Formula!H77,53)),IF(INDEX(Properties!A$1:CB$87,Formula!J77,53)=0,10^6,INDEX(Properties!A$1:CB$87,Formula!J77,53)))</f>
        <v>54.749999999999972</v>
      </c>
      <c r="FA77" s="39">
        <f t="shared" si="57"/>
        <v>3628.4</v>
      </c>
      <c r="FB77" s="54">
        <f>((Formula!C77)/(Formula!C77+Formula!E77+Formula!G77+Formula!I77+Formula!K77))*(INDEX(Properties!A$1:CB$87,Formula!B77,54))+((Formula!E77)/(Formula!C77+Formula!E77+Formula!G77+Formula!I77+Formula!K77))*(INDEX(Properties!A$1:CB$87,Formula!D77,54))+((Formula!G77)/(Formula!C77+Formula!E77+Formula!G77+Formula!I77+Formula!K77))*(INDEX(Properties!A$1:CB$87,Formula!F77,54))+((Formula!I77)/(Formula!C77+Formula!E77+Formula!G77+Formula!I77+Formula!K77))*(INDEX(Properties!A$1:CB$87,Formula!H77,54))+((Formula!K77)/(Formula!C77+Formula!E77+Formula!G77+Formula!I77+Formula!K77))*(INDEX(Properties!A$1:CB$87,Formula!J77,54))</f>
        <v>1304.5184210526315</v>
      </c>
      <c r="FC77" s="54">
        <f>Formula!C77*(INDEX(Properties!A$1:CB$87,Formula!B77,54))+Formula!E77*(INDEX(Properties!A$1:CB$87,Formula!D77,54))+Formula!G77*(INDEX(Properties!A$1:CB$87,Formula!F77,54))+Formula!I77*(INDEX(Properties!A$1:CB$87,Formula!H77,54))+Formula!K77*(INDEX(Properties!A$1:CB$87,Formula!J77,54))</f>
        <v>24785.85</v>
      </c>
      <c r="FD77" s="54">
        <f>VARP(IF(INDEX(Properties!A$1:CB$87,Formula!B77,54)&lt;&gt;"",INDEX(Properties!A$1:CB$87,Formula!B77,54)),IF(INDEX(Properties!A$1:CB$87,Formula!D77,54)&lt;&gt;"",INDEX(Properties!A$1:CB$87,Formula!D77,54)),IF(INDEX(Properties!A$1:CB$87,Formula!F77,54)&lt;&gt;"",INDEX(Properties!A$1:CB$87,Formula!F77,54)),IF(INDEX(Properties!A$1:CB$87,Formula!H77,54)&lt;&gt;"",INDEX(Properties!A$1:CB$87,Formula!H77,54)),IF(INDEX(Properties!A$1:CB$87,Formula!J77,54)&lt;&gt;"",INDEX(Properties!A$1:CB$87,Formula!J77,54)))</f>
        <v>4217591.2</v>
      </c>
      <c r="FE77" s="54">
        <f>MAX(INDEX(Properties!A$1:CB$87,Formula!B77,54),INDEX(Properties!A$1:CB$87,Formula!D77,54),INDEX(Properties!A$1:CB$87,Formula!F77,54),INDEX(Properties!A$1:CB$87,Formula!H77,54),INDEX(Properties!A$1:CB$87,Formula!J77,54))</f>
        <v>5933.15</v>
      </c>
      <c r="FF77" s="54">
        <f>MIN(IF(INDEX(Properties!A$1:CB$87,Formula!B77,54)=0,10^6,INDEX(Properties!A$1:CB$87,Formula!B77,54)),IF(INDEX(Properties!A$1:CB$87,Formula!D77,54)=0,10^6,INDEX(Properties!A$1:CB$87,Formula!D77,54)),IF(INDEX(Properties!A$1:CB$87,Formula!F77,54)=0,10^6,INDEX(Properties!A$1:CB$87,Formula!F77,54)),IF(INDEX(Properties!A$1:CB$87,Formula!H77,54)=0,10^6,INDEX(Properties!A$1:CB$87,Formula!H77,54)),IF(INDEX(Properties!A$1:CB$87,Formula!J77,54)=0,10^6,INDEX(Properties!A$1:CB$87,Formula!J77,54)))</f>
        <v>90.149999999999977</v>
      </c>
      <c r="FG77" s="54">
        <f t="shared" si="58"/>
        <v>5843</v>
      </c>
      <c r="FH77" s="69">
        <f>((Formula!C77)/(Formula!C77+Formula!E77+Formula!G77+Formula!I77+Formula!K77))*(INDEX(Properties!A$1:CB$87,Formula!B77,55))+((Formula!E77)/(Formula!C77+Formula!E77+Formula!G77+Formula!I77+Formula!K77))*(INDEX(Properties!A$1:CB$87,Formula!D77,55))+((Formula!G77)/(Formula!C77+Formula!E77+Formula!G77+Formula!I77+Formula!K77))*(INDEX(Properties!A$1:CB$87,Formula!F77,55))+((Formula!I77)/(Formula!C77+Formula!E77+Formula!G77+Formula!I77+Formula!K77))*(INDEX(Properties!A$1:CB$87,Formula!H77,55))+((Formula!K77)/(Formula!C77+Formula!E77+Formula!G77+Formula!I77+Formula!K77))*(INDEX(Properties!A$1:CB$87,Formula!J77,55))</f>
        <v>3.0014294736842109</v>
      </c>
      <c r="FI77" s="69">
        <f>Formula!C77*(INDEX(Properties!A$1:CB$87,Formula!B77,55))+Formula!E77*(INDEX(Properties!A$1:CB$87,Formula!D77,54))+Formula!G77*(INDEX(Properties!A$1:CB$87,Formula!F77,55))+Formula!I77*(INDEX(Properties!A$1:CB$87,Formula!H77,55))+Formula!K77*(INDEX(Properties!A$1:CB$87,Formula!J77,55))</f>
        <v>2779.8471600000003</v>
      </c>
      <c r="FJ77" s="69">
        <f>VARP(IF(INDEX(Properties!A$1:CB$87,Formula!B77,55)&lt;&gt;"",INDEX(Properties!A$1:CB$87,Formula!B77,55)),IF(INDEX(Properties!A$1:CB$87,Formula!D77,55)&lt;&gt;"",INDEX(Properties!A$1:CB$87,Formula!D77,55)),IF(INDEX(Properties!A$1:CB$87,Formula!F77,55)&lt;&gt;"",INDEX(Properties!A$1:CB$87,Formula!F77,55)),IF(INDEX(Properties!A$1:CB$87,Formula!H77,55)&lt;&gt;"",INDEX(Properties!A$1:CB$87,Formula!H77,55)),IF(INDEX(Properties!A$1:CB$87,Formula!J77,55)&lt;&gt;"",INDEX(Properties!A$1:CB$87,Formula!J77,55)))</f>
        <v>48.478692919184013</v>
      </c>
      <c r="FK77" s="69">
        <f>MAX(INDEX(Properties!A$1:CB$87,Formula!B77,55),INDEX(Properties!A$1:CB$87,Formula!D77,55),INDEX(Properties!A$1:CB$87,Formula!F77,55),INDEX(Properties!A$1:CB$87,Formula!H77,55),INDEX(Properties!A$1:CB$87,Formula!J77,55))</f>
        <v>19.3</v>
      </c>
      <c r="FL77" s="69">
        <f>MIN(IF(INDEX(Properties!A$1:CB$87,Formula!B77,55)=0,10^6,INDEX(Properties!A$1:CB$87,Formula!B77,55)),IF(INDEX(Properties!A$1:CB$87,Formula!D77,55)=0,10^6,INDEX(Properties!A$1:CB$87,Formula!D77,55)),IF(INDEX(Properties!A$1:CB$87,Formula!F77,55)=0,10^6,INDEX(Properties!A$1:CB$87,Formula!F77,55)),IF(INDEX(Properties!A$1:CB$87,Formula!H77,55)=0,10^6,INDEX(Properties!A$1:CB$87,Formula!H77,55)),IF(INDEX(Properties!A$1:CB$87,Formula!J77,55)=0,10^6,INDEX(Properties!A$1:CB$87,Formula!J77,55)))</f>
        <v>1.4300000000000001E-3</v>
      </c>
      <c r="FM77" s="69">
        <f t="shared" si="59"/>
        <v>19.298570000000002</v>
      </c>
      <c r="FN77" s="42">
        <f>((Formula!C77)/(Formula!C77+Formula!E77+Formula!G77+Formula!I77+Formula!K77))*(INDEX(Properties!A$1:CB$87,Formula!B77,56))+((Formula!E77)/(Formula!C77+Formula!E77+Formula!G77+Formula!I77+Formula!K77))*(INDEX(Properties!A$1:CB$87,Formula!D77,56))+((Formula!G77)/(Formula!C77+Formula!E77+Formula!G77+Formula!I77+Formula!K77))*(INDEX(Properties!A$1:CB$87,Formula!F77,56))+((Formula!I77)/(Formula!C77+Formula!E77+Formula!G77+Formula!I77+Formula!K77))*(INDEX(Properties!A$1:CB$87,Formula!H77,56))+((Formula!K77)/(Formula!C77+Formula!E77+Formula!G77+Formula!I77+Formula!K77))*(INDEX(Properties!A$1:CB$87,Formula!J77,56))</f>
        <v>0.73789473684210527</v>
      </c>
      <c r="FO77" s="42">
        <f>Formula!C77*(INDEX(Properties!A$1:CB$87,Formula!B77,56))+Formula!E77*(INDEX(Properties!A$1:CB$87,Formula!D77,56))+Formula!G77*(INDEX(Properties!A$1:CB$87,Formula!F77,56))+Formula!I77*(INDEX(Properties!A$1:CB$87,Formula!H77,56))+Formula!K77*(INDEX(Properties!A$1:CB$87,Formula!J77,56))</f>
        <v>14.02</v>
      </c>
      <c r="FP77" s="42">
        <f>VARP(IF(INDEX(Properties!A$1:CB$87,Formula!B77,56)&lt;&gt;"",INDEX(Properties!A$1:CB$87,Formula!B77,56)),IF(INDEX(Properties!A$1:CB$87,Formula!D77,56)&lt;&gt;"",INDEX(Properties!A$1:CB$87,Formula!D77,56)),IF(INDEX(Properties!A$1:CB$87,Formula!F77,56)&lt;&gt;"",INDEX(Properties!A$1:CB$87,Formula!F77,56)),IF(INDEX(Properties!A$1:CB$87,Formula!H77,56)&lt;&gt;"",INDEX(Properties!A$1:CB$87,Formula!H77,56)),IF(INDEX(Properties!A$1:CB$87,Formula!J77,56)&lt;&gt;"",INDEX(Properties!A$1:CB$87,Formula!J77,56)))</f>
        <v>0.14381599999999994</v>
      </c>
      <c r="FQ77" s="42">
        <f>MAX(INDEX(Properties!A$1:CB$87,Formula!B77,56),INDEX(Properties!A$1:CB$87,Formula!D77,56),INDEX(Properties!A$1:CB$87,Formula!F77,56),INDEX(Properties!A$1:CB$87,Formula!H77,56),INDEX(Properties!A$1:CB$87,Formula!J77,56))</f>
        <v>1.02</v>
      </c>
      <c r="FR77" s="42">
        <f>MIN(IF(INDEX(Properties!A$1:CB$87,Formula!B77,56)=0,10^6,INDEX(Properties!A$1:CB$87,Formula!B77,56)),IF(INDEX(Properties!A$1:CB$87,Formula!D77,56)=0,10^6,INDEX(Properties!A$1:CB$87,Formula!D77,56)),IF(INDEX(Properties!A$1:CB$87,Formula!F77,56)=0,10^6,INDEX(Properties!A$1:CB$87,Formula!F77,56)),IF(INDEX(Properties!A$1:CB$87,Formula!H77,56)=0,10^6,INDEX(Properties!A$1:CB$87,Formula!H77,56)),IF(INDEX(Properties!A$1:CB$87,Formula!J77,56)=0,10^6,INDEX(Properties!A$1:CB$87,Formula!J77,56)))</f>
        <v>0.13</v>
      </c>
      <c r="FS77" s="42">
        <f t="shared" si="60"/>
        <v>0.89</v>
      </c>
      <c r="FT77" s="60">
        <f>((Formula!C77)/(Formula!C77+Formula!E77+Formula!G77+Formula!I77+Formula!K77))*(INDEX(Properties!A$1:CB$87,Formula!B77,57))+((Formula!E77)/(Formula!C77+Formula!E77+Formula!G77+Formula!I77+Formula!K77))*(INDEX(Properties!A$1:CB$87,Formula!D77,57))+((Formula!G77)/(Formula!C77+Formula!E77+Formula!G77+Formula!I77+Formula!K77))*(INDEX(Properties!A$1:CB$87,Formula!F77,57))+((Formula!I77)/(Formula!C77+Formula!E77+Formula!G77+Formula!I77+Formula!K77))*(INDEX(Properties!A$1:CB$87,Formula!H77,57))+((Formula!K77)/(Formula!C77+Formula!E77+Formula!G77+Formula!I77+Formula!K77))*(INDEX(Properties!A$1:CB$87,Formula!J77,57))</f>
        <v>5.898898947368421</v>
      </c>
      <c r="FU77" s="60">
        <f>Formula!C77*(INDEX(Properties!A$1:CB$87,Formula!B77,57))+Formula!E77*(INDEX(Properties!A$1:CB$87,Formula!D77,57))+Formula!G77*(INDEX(Properties!A$1:CB$87,Formula!F77,57))+Formula!I77*(INDEX(Properties!A$1:CB$87,Formula!H77,57))+Formula!K77*(INDEX(Properties!A$1:CB$87,Formula!J77,57))</f>
        <v>112.07908</v>
      </c>
      <c r="FV77" s="60">
        <f>VARP(IF(INDEX(Properties!A$1:CB$87,Formula!B77,57)&lt;&gt;"",INDEX(Properties!A$1:CB$87,Formula!B77,57)),IF(INDEX(Properties!A$1:CB$87,Formula!D77,57)&lt;&gt;"",INDEX(Properties!A$1:CB$87,Formula!D77,57)),IF(INDEX(Properties!A$1:CB$87,Formula!F77,57)&lt;&gt;"",INDEX(Properties!A$1:CB$87,Formula!F77,57)),IF(INDEX(Properties!A$1:CB$87,Formula!H77,57)&lt;&gt;"",INDEX(Properties!A$1:CB$87,Formula!H77,57)),IF(INDEX(Properties!A$1:CB$87,Formula!J77,57)&lt;&gt;"",INDEX(Properties!A$1:CB$87,Formula!J77,57)))</f>
        <v>148.54099302049599</v>
      </c>
      <c r="FW77" s="60">
        <f>MAX(INDEX(Properties!A$1:CB$87,Formula!B77,57),INDEX(Properties!A$1:CB$87,Formula!D77,57),INDEX(Properties!A$1:CB$87,Formula!F77,57),INDEX(Properties!A$1:CB$87,Formula!H77,57),INDEX(Properties!A$1:CB$87,Formula!J77,57))</f>
        <v>35.4</v>
      </c>
      <c r="FX77" s="60">
        <f>MIN(IF(INDEX(Properties!A$1:CB$87,Formula!B77,57)=0,10^6,INDEX(Properties!A$1:CB$87,Formula!B77,57)),IF(INDEX(Properties!A$1:CB$87,Formula!D77,57)=0,10^6,INDEX(Properties!A$1:CB$87,Formula!D77,57)),IF(INDEX(Properties!A$1:CB$87,Formula!F77,57)=0,10^6,INDEX(Properties!A$1:CB$87,Formula!F77,57)),IF(INDEX(Properties!A$1:CB$87,Formula!H77,57)=0,10^6,INDEX(Properties!A$1:CB$87,Formula!H77,57)),IF(INDEX(Properties!A$1:CB$87,Formula!J77,57)=0,10^6,INDEX(Properties!A$1:CB$87,Formula!J77,57)))</f>
        <v>0.22259000000000001</v>
      </c>
      <c r="FY77" s="60">
        <f t="shared" si="61"/>
        <v>35.177410000000002</v>
      </c>
      <c r="FZ77" s="72">
        <f>((Formula!C77)/(Formula!C77+Formula!E77+Formula!G77+Formula!I77+Formula!K77))*(INDEX(Properties!A$1:CB$87,Formula!B77,60))+((Formula!E77)/(Formula!C77+Formula!E77+Formula!G77+Formula!I77+Formula!K77))*(INDEX(Properties!A$1:CB$87,Formula!D77,60))+((Formula!G77)/(Formula!C77+Formula!E77+Formula!G77+Formula!I77+Formula!K77))*(INDEX(Properties!A$1:CB$87,Formula!F77,60))+((Formula!I77)/(Formula!C77+Formula!E77+Formula!G77+Formula!I77+Formula!K77))*(INDEX(Properties!A$1:CB$87,Formula!H77,60))+((Formula!K77)/(Formula!C77+Formula!E77+Formula!G77+Formula!I77+Formula!K77))*(INDEX(Properties!A$1:CB$87,Formula!J77,60))</f>
        <v>38.032677894736842</v>
      </c>
      <c r="GA77" s="72">
        <f>Formula!C77*(INDEX(Properties!A$1:CB$87,Formula!B77,60))+Formula!E77*(INDEX(Properties!A$1:CB$87,Formula!D77,60))+Formula!G77*(INDEX(Properties!A$1:CB$87,Formula!F77,60))+Formula!I77*(INDEX(Properties!A$1:CB$87,Formula!H77,60))+Formula!K77*(INDEX(Properties!A$1:CB$87,Formula!J77,60))</f>
        <v>722.62087999999994</v>
      </c>
      <c r="GB77" s="72">
        <f>VARP(IF(INDEX(Properties!A$1:CB$87,Formula!B77,60)&lt;&gt;"",INDEX(Properties!A$1:CB$87,Formula!B77,60)),IF(INDEX(Properties!A$1:CB$87,Formula!D77,60)&lt;&gt;"",INDEX(Properties!A$1:CB$87,Formula!D77,60)),IF(INDEX(Properties!A$1:CB$87,Formula!F77,60)&lt;&gt;"",INDEX(Properties!A$1:CB$87,Formula!F77,60)),IF(INDEX(Properties!A$1:CB$87,Formula!H77,60)&lt;&gt;"",INDEX(Properties!A$1:CB$87,Formula!H77,60)),IF(INDEX(Properties!A$1:CB$87,Formula!J77,60)&lt;&gt;"",INDEX(Properties!A$1:CB$87,Formula!J77,60)))</f>
        <v>5467.6801854444157</v>
      </c>
      <c r="GC77" s="72">
        <f>MAX(INDEX(Properties!A$1:CB$87,Formula!B77,60),INDEX(Properties!A$1:CB$87,Formula!D77,60),INDEX(Properties!A$1:CB$87,Formula!F77,60),INDEX(Properties!A$1:CB$87,Formula!H77,60),INDEX(Properties!A$1:CB$87,Formula!J77,60))</f>
        <v>174</v>
      </c>
      <c r="GD77" s="72">
        <f>MIN(IF(INDEX(Properties!A$1:CB$87,Formula!B77,60)=0,10^6,INDEX(Properties!A$1:CB$87,Formula!B77,60)),IF(INDEX(Properties!A$1:CB$87,Formula!D77,60)=0,10^6,INDEX(Properties!A$1:CB$87,Formula!D77,60)),IF(INDEX(Properties!A$1:CB$87,Formula!F77,60)=0,10^6,INDEX(Properties!A$1:CB$87,Formula!F77,60)),IF(INDEX(Properties!A$1:CB$87,Formula!H77,60)=0,10^6,INDEX(Properties!A$1:CB$87,Formula!H77,60)),IF(INDEX(Properties!A$1:CB$87,Formula!J77,60)=0,10^6,INDEX(Properties!A$1:CB$87,Formula!J77,60)))</f>
        <v>2.674E-2</v>
      </c>
      <c r="GE77" s="72">
        <f t="shared" si="62"/>
        <v>173.97326000000001</v>
      </c>
      <c r="GF77" s="51">
        <f>((Formula!C77)/(Formula!C77+Formula!E77+Formula!G77+Formula!I77+Formula!K77))*(INDEX(Properties!A$1:CB$87,Formula!B77,62))+((Formula!E77)/(Formula!C77+Formula!E77+Formula!G77+Formula!I77+Formula!K77))*(INDEX(Properties!A$1:CB$87,Formula!D77,62))+((Formula!G77)/(Formula!C77+Formula!E77+Formula!G77+Formula!I77+Formula!K77))*(INDEX(Properties!A$1:CB$87,Formula!F77,62))+((Formula!I77)/(Formula!C77+Formula!E77+Formula!G77+Formula!I77+Formula!K77))*(INDEX(Properties!A$1:CB$87,Formula!H77,62))+((Formula!K77)/(Formula!C77+Formula!E77+Formula!G77+Formula!I77+Formula!K77))*(INDEX(Properties!A$1:CB$87,Formula!J77,62))</f>
        <v>3.311578947368421</v>
      </c>
      <c r="GG77" s="51">
        <f>Formula!C77*(INDEX(Properties!A$1:CB$87,Formula!B77,62))+Formula!E77*(INDEX(Properties!A$1:CB$87,Formula!D77,62))+Formula!G77*(INDEX(Properties!A$1:CB$87,Formula!F77,62))+Formula!I77*(INDEX(Properties!A$1:CB$87,Formula!H77,62))+Formula!K77*(INDEX(Properties!A$1:CB$87,Formula!J77,62))</f>
        <v>62.92</v>
      </c>
      <c r="GH77" s="51">
        <f>VARP(IF(INDEX(Properties!A$1:CB$87,Formula!B77,62)&lt;&gt;"",INDEX(Properties!A$1:CB$87,Formula!B77,62)),IF(INDEX(Properties!A$1:CB$87,Formula!D77,62)&lt;&gt;"",INDEX(Properties!A$1:CB$87,Formula!D77,62)),IF(INDEX(Properties!A$1:CB$87,Formula!F77,62)&lt;&gt;"",INDEX(Properties!A$1:CB$87,Formula!F77,62)),IF(INDEX(Properties!A$1:CB$87,Formula!H77,62)&lt;&gt;"",INDEX(Properties!A$1:CB$87,Formula!H77,62)),IF(INDEX(Properties!A$1:CB$87,Formula!J77,62)&lt;&gt;"",INDEX(Properties!A$1:CB$87,Formula!J77,62)))</f>
        <v>7.4824239999999982</v>
      </c>
      <c r="GI77" s="51">
        <f>MAX(INDEX(Properties!A$1:CB$87,Formula!B77,62),INDEX(Properties!A$1:CB$87,Formula!D77,62),INDEX(Properties!A$1:CB$87,Formula!F77,62),INDEX(Properties!A$1:CB$87,Formula!H77,62),INDEX(Properties!A$1:CB$87,Formula!J77,62))</f>
        <v>8.9</v>
      </c>
      <c r="GJ77" s="51">
        <f>MIN(IF(INDEX(Properties!A$1:CB$87,Formula!B77,62)=0,10^6,INDEX(Properties!A$1:CB$87,Formula!B77,62)),IF(INDEX(Properties!A$1:CB$87,Formula!D77,62)=0,10^6,INDEX(Properties!A$1:CB$87,Formula!D77,62)),IF(INDEX(Properties!A$1:CB$87,Formula!F77,62)=0,10^6,INDEX(Properties!A$1:CB$87,Formula!F77,62)),IF(INDEX(Properties!A$1:CB$87,Formula!H77,62)=0,10^6,INDEX(Properties!A$1:CB$87,Formula!H77,62)),IF(INDEX(Properties!A$1:CB$87,Formula!J77,62)=0,10^6,INDEX(Properties!A$1:CB$87,Formula!J77,62)))</f>
        <v>1.51</v>
      </c>
      <c r="GK77" s="51">
        <f t="shared" si="63"/>
        <v>7.3900000000000006</v>
      </c>
      <c r="GL77" s="51">
        <f>Formula!P77</f>
        <v>16</v>
      </c>
      <c r="GM77" s="57">
        <f>Formula!O77</f>
        <v>3</v>
      </c>
      <c r="GN77" s="51">
        <f>Formula!N77</f>
        <v>0.08</v>
      </c>
    </row>
    <row r="78" spans="1:196" x14ac:dyDescent="0.3">
      <c r="A78" s="84" t="str">
        <f>Formula!A78</f>
        <v>GdSr2AlO5</v>
      </c>
      <c r="B78" s="89">
        <f>((Formula!C78)/(Formula!C78+Formula!E78+Formula!G78+Formula!I78+Formula!K78))*(INDEX(Properties!A$1:CB$87,Formula!B78,3))+((Formula!E78)/(Formula!C78+Formula!E78+Formula!G78+Formula!I78+Formula!K78))*(INDEX(Properties!A$1:CB$87,Formula!D78,3))+((Formula!G78)/(Formula!C78+Formula!E78+Formula!G78+Formula!I78+Formula!K78))*(INDEX(Properties!A$1:CB$87,Formula!F78,3))+((Formula!I78)/(Formula!C78+Formula!E78+Formula!G78+Formula!I78+Formula!K78))*(INDEX(Properties!A$1:CB$87,Formula!H78,3))+((Formula!K78)/(Formula!C78+Formula!E78+Formula!G78+Formula!I78+Formula!K78))*(INDEX(Properties!A$1:CB$87,Formula!J78,3))</f>
        <v>48.829837666666663</v>
      </c>
      <c r="C78" s="85">
        <f>Formula!C78*(INDEX(Properties!A$1:CB$87,Formula!B78,3))+Formula!E78*(INDEX(Properties!A$1:CB$87,Formula!D78,3))+Formula!G78*(INDEX(Properties!A$1:CB$87,Formula!F78,3))+Formula!I78*(INDEX(Properties!A$1:CB$87,Formula!H78,3))+Formula!K78*(INDEX(Properties!A$1:CB$87,Formula!J78,3))</f>
        <v>439.46853900000002</v>
      </c>
      <c r="D78" s="85">
        <f>VARP(IF(INDEX(Properties!A$1:CB$87,Formula!B78,3)&lt;&gt;"",INDEX(Properties!A$1:CB$87,Formula!B78,3)),IF(INDEX(Properties!A$1:CB$87,Formula!D78,3)&lt;&gt;"",INDEX(Properties!A$1:CB$87,Formula!D78,3)),IF(INDEX(Properties!A$1:CB$87,Formula!F78,3)&lt;&gt;"",INDEX(Properties!A$1:CB$87,Formula!F78,3)),IF(INDEX(Properties!A$1:CB$87,Formula!H78,3)&lt;&gt;"",INDEX(Properties!A$1:CB$87,Formula!H78,3)),IF(INDEX(Properties!A$1:CB$87,Formula!J78,3)&lt;&gt;"",INDEX(Properties!A$1:CB$87,Formula!J78,3)))</f>
        <v>3363.4357061064347</v>
      </c>
      <c r="E78" s="85">
        <f>MAX(INDEX(Properties!A$1:CB$87,Formula!B78,3),INDEX(Properties!A$1:CB$87,Formula!D78,3),INDEX(Properties!A$1:CB$87,Formula!F78,3),INDEX(Properties!A$1:CB$87,Formula!H78,3),INDEX(Properties!A$1:CB$87,Formula!J78,3))</f>
        <v>157.25</v>
      </c>
      <c r="F78" s="85">
        <f>MIN(IF(INDEX(Properties!A$1:CB$87,Formula!B78,3)=0,10^6,INDEX(Properties!A$1:CB$87,Formula!B78,3)),IF(INDEX(Properties!A$1:CB$87,Formula!D78,3)=0,10^6,INDEX(Properties!A$1:CB$87,Formula!D78,3)),IF(INDEX(Properties!A$1:CB$87,Formula!F78,3)=0,10^6,INDEX(Properties!A$1:CB$87,Formula!F78,3)),IF(INDEX(Properties!A$1:CB$87,Formula!H78,3)=0,10^6,INDEX(Properties!A$1:CB$87,Formula!H78,3)),IF(INDEX(Properties!A$1:CB$87,Formula!J78,3)=0,10^6,INDEX(Properties!A$1:CB$87,Formula!J78,3)))</f>
        <v>15.9994</v>
      </c>
      <c r="G78" s="85">
        <f t="shared" si="32"/>
        <v>141.25059999999999</v>
      </c>
      <c r="H78" s="87">
        <f>((Formula!C78)/(Formula!C78+Formula!E78+Formula!G78+Formula!I78+Formula!K78))*(INDEX(Properties!A$1:CB$87,Formula!B78,4))+((Formula!E78)/(Formula!C78+Formula!E78+Formula!G78+Formula!I78+Formula!K78))*(INDEX(Properties!A$1:CB$87,Formula!D78,4))+((Formula!G78)/(Formula!C78+Formula!E78+Formula!G78+Formula!I78+Formula!K78))*(INDEX(Properties!A$1:CB$87,Formula!F78,4))+((Formula!I78)/(Formula!C78+Formula!E78+Formula!G78+Formula!I78+Formula!K78))*(INDEX(Properties!A$1:CB$87,Formula!H78,4))+((Formula!K78)/(Formula!C78+Formula!E78+Formula!G78+Formula!I78+Formula!K78))*(INDEX(Properties!A$1:CB$87,Formula!J78,4))</f>
        <v>21.444444444444443</v>
      </c>
      <c r="I78" s="87">
        <f>Formula!C78*(INDEX(Properties!A$1:CB$87,Formula!B78,4))+Formula!E78*(INDEX(Properties!A$1:CB$87,Formula!D78,4))+Formula!G78*(INDEX(Properties!A$1:CB$87,Formula!F78,4))+Formula!I78*(INDEX(Properties!A$1:CB$87,Formula!H78,4))+Formula!K78*(INDEX(Properties!A$1:CB$87,Formula!J78,4))</f>
        <v>193</v>
      </c>
      <c r="J78" s="87">
        <f>VARP(IF(INDEX(Properties!A$1:CB$87,Formula!B78,4)&lt;&gt;"",INDEX(Properties!A$1:CB$87,Formula!B78,4)),IF(INDEX(Properties!A$1:CB$87,Formula!D78,4)&lt;&gt;"",INDEX(Properties!A$1:CB$87,Formula!D78,4)),IF(INDEX(Properties!A$1:CB$87,Formula!F78,4)&lt;&gt;"",INDEX(Properties!A$1:CB$87,Formula!F78,4)),IF(INDEX(Properties!A$1:CB$87,Formula!H78,4)&lt;&gt;"",INDEX(Properties!A$1:CB$87,Formula!H78,4)),IF(INDEX(Properties!A$1:CB$87,Formula!J78,4)&lt;&gt;"",INDEX(Properties!A$1:CB$87,Formula!J78,4)))</f>
        <v>549.44000000000005</v>
      </c>
      <c r="K78" s="87">
        <f>MAX(INDEX(Properties!A$1:CB$87,Formula!B78,4),INDEX(Properties!A$1:CB$87,Formula!D78,4),INDEX(Properties!A$1:CB$87,Formula!F78,4),INDEX(Properties!A$1:CB$87,Formula!H78,4),INDEX(Properties!A$1:CB$87,Formula!J78,4))</f>
        <v>64</v>
      </c>
      <c r="L78" s="87">
        <f>MIN(IF(INDEX(Properties!A$1:CB$87,Formula!B78,4)=0,10^6,INDEX(Properties!A$1:CB$87,Formula!B78,4)),IF(INDEX(Properties!A$1:CB$87,Formula!D78,4)=0,10^6,INDEX(Properties!A$1:CB$87,Formula!D78,4)),IF(INDEX(Properties!A$1:CB$87,Formula!F78,4)=0,10^6,INDEX(Properties!A$1:CB$87,Formula!F78,4)),IF(INDEX(Properties!A$1:CB$87,Formula!H78,4)=0,10^6,INDEX(Properties!A$1:CB$87,Formula!H78,4)),IF(INDEX(Properties!A$1:CB$87,Formula!J78,4)=0,10^6,INDEX(Properties!A$1:CB$87,Formula!J78,4)))</f>
        <v>8</v>
      </c>
      <c r="M78" s="87">
        <f t="shared" si="33"/>
        <v>56</v>
      </c>
      <c r="N78" s="89">
        <f>((Formula!C78)/(Formula!C78+Formula!E78+Formula!G78+Formula!I78+Formula!K78))*(INDEX(Properties!A$1:CB$87,Formula!B78,5))+((Formula!E78)/(Formula!C78+Formula!E78+Formula!G78+Formula!I78+Formula!K78))*(INDEX(Properties!A$1:CB$87,Formula!D78,5))+((Formula!G78)/(Formula!C78+Formula!E78+Formula!G78+Formula!I78+Formula!K78))*(INDEX(Properties!A$1:CB$87,Formula!F78,5))+((Formula!I78)/(Formula!C78+Formula!E78+Formula!G78+Formula!I78+Formula!K78))*(INDEX(Properties!A$1:CB$87,Formula!H78,5))+((Formula!K78)/(Formula!C78+Formula!E78+Formula!G78+Formula!I78+Formula!K78))*(INDEX(Properties!A$1:CB$87,Formula!J78,5))</f>
        <v>3.2222222222222223</v>
      </c>
      <c r="O78" s="89">
        <f>Formula!C78*(INDEX(Properties!A$1:CB$87,Formula!B78,5))+Formula!E78*(INDEX(Properties!A$1:CB$87,Formula!D78,5))+Formula!G78*(INDEX(Properties!A$1:CB$87,Formula!F78,5))+Formula!I78*(INDEX(Properties!A$1:CB$87,Formula!H78,5))+Formula!K78*(INDEX(Properties!A$1:CB$87,Formula!J78,5))</f>
        <v>29</v>
      </c>
      <c r="P78" s="89">
        <f>VARP(IF(INDEX(Properties!A$1:CB$87,Formula!B78,5)&lt;&gt;"",INDEX(Properties!A$1:CB$87,Formula!B78,5)),IF(INDEX(Properties!A$1:CB$87,Formula!D78,5)&lt;&gt;"",INDEX(Properties!A$1:CB$87,Formula!D78,5)),IF(INDEX(Properties!A$1:CB$87,Formula!F78,5)&lt;&gt;"",INDEX(Properties!A$1:CB$87,Formula!F78,5)),IF(INDEX(Properties!A$1:CB$87,Formula!H78,5)&lt;&gt;"",INDEX(Properties!A$1:CB$87,Formula!H78,5)),IF(INDEX(Properties!A$1:CB$87,Formula!J78,5)&lt;&gt;"",INDEX(Properties!A$1:CB$87,Formula!J78,5)))</f>
        <v>4.5599999999999996</v>
      </c>
      <c r="Q78" s="89">
        <f>MAX(INDEX(Properties!A$1:CB$87,Formula!B78,5),INDEX(Properties!A$1:CB$87,Formula!D78,5),INDEX(Properties!A$1:CB$87,Formula!F78,5),INDEX(Properties!A$1:CB$87,Formula!H78,5),INDEX(Properties!A$1:CB$87,Formula!J78,5))</f>
        <v>6</v>
      </c>
      <c r="R78" s="89">
        <f>MIN(IF(INDEX(Properties!A$1:CB$87,Formula!B78,5)=0,10^6,INDEX(Properties!A$1:CB$87,Formula!B78,5)),IF(INDEX(Properties!A$1:CB$87,Formula!D78,5)=0,10^6,INDEX(Properties!A$1:CB$87,Formula!D78,5)),IF(INDEX(Properties!A$1:CB$87,Formula!F78,5)=0,10^6,INDEX(Properties!A$1:CB$87,Formula!F78,5)),IF(INDEX(Properties!A$1:CB$87,Formula!H78,5)=0,10^6,INDEX(Properties!A$1:CB$87,Formula!H78,5)),IF(INDEX(Properties!A$1:CB$87,Formula!J78,5)=0,10^6,INDEX(Properties!A$1:CB$87,Formula!J78,5)))</f>
        <v>2</v>
      </c>
      <c r="S78" s="89">
        <f t="shared" si="34"/>
        <v>4</v>
      </c>
      <c r="T78" s="60">
        <f>((Formula!C78)/(Formula!C78+Formula!E78+Formula!G78+Formula!I78+Formula!K78))*(INDEX(Properties!A$1:CB$87,Formula!B78,6))+((Formula!E78)/(Formula!C78+Formula!E78+Formula!G78+Formula!I78+Formula!K78))*(INDEX(Properties!A$1:CB$87,Formula!D78,6))+((Formula!G78)/(Formula!C78+Formula!E78+Formula!G78+Formula!I78+Formula!K78))*(INDEX(Properties!A$1:CB$87,Formula!F78,6))+((Formula!I78)/(Formula!C78+Formula!E78+Formula!G78+Formula!I78+Formula!K78))*(INDEX(Properties!A$1:CB$87,Formula!H78,6))+((Formula!K78)/(Formula!C78+Formula!E78+Formula!G78+Formula!I78+Formula!K78))*(INDEX(Properties!A$1:CB$87,Formula!J78,6))</f>
        <v>11.111111111111111</v>
      </c>
      <c r="U78" s="60">
        <f>Formula!C78*(INDEX(Properties!A$1:CB$87,Formula!B78,6))+Formula!E78*(INDEX(Properties!A$1:CB$87,Formula!D78,6))+Formula!G78*(INDEX(Properties!A$1:CB$87,Formula!F78,6))+Formula!I78*(INDEX(Properties!A$1:CB$87,Formula!H78,6))+Formula!K78*(INDEX(Properties!A$1:CB$87,Formula!J78,6))</f>
        <v>100</v>
      </c>
      <c r="V78" s="89">
        <f>VARP(IF(INDEX(Properties!A$1:CB$87,Formula!B78,6)&lt;&gt;"",INDEX(Properties!A$1:CB$87,Formula!B78,6)),IF(INDEX(Properties!A$1:CB$87,Formula!D78,6)&lt;&gt;"",INDEX(Properties!A$1:CB$87,Formula!D78,6)),IF(INDEX(Properties!A$1:CB$87,Formula!F78,6)&lt;&gt;"",INDEX(Properties!A$1:CB$87,Formula!F78,6)),IF(INDEX(Properties!A$1:CB$87,Formula!H78,6)&lt;&gt;"",INDEX(Properties!A$1:CB$87,Formula!H78,6)),IF(INDEX(Properties!A$1:CB$87,Formula!J78,6)&lt;&gt;"",INDEX(Properties!A$1:CB$87,Formula!J78,6)))</f>
        <v>41.36</v>
      </c>
      <c r="W78" s="60">
        <f>MAX(INDEX(Properties!A$1:CB$87,Formula!B78,6),INDEX(Properties!A$1:CB$87,Formula!D78,6),INDEX(Properties!A$1:CB$87,Formula!F78,6),INDEX(Properties!A$1:CB$87,Formula!H78,4),INDEX(Properties!A$1:CB$87,Formula!J78,6))</f>
        <v>13</v>
      </c>
      <c r="X78" s="60">
        <f>MIN(IF(INDEX(Properties!A$1:CB$87,Formula!B78,6)=0,10^6,INDEX(Properties!A$1:CB$87,Formula!B78,6)),IF(INDEX(Properties!A$1:CB$87,Formula!D78,6)=0,10^6,INDEX(Properties!A$1:CB$87,Formula!D78,6)),IF(INDEX(Properties!A$1:CB$87,Formula!F78,6)=0,10^6,INDEX(Properties!A$1:CB$87,Formula!F78,6)),IF(INDEX(Properties!A$1:CB$87,Formula!H78,6)=0,10^6,INDEX(Properties!A$1:CB$87,Formula!H78,6)),IF(INDEX(Properties!A$1:CB$87,Formula!J78,6)=0,10^6,INDEX(Properties!A$1:CB$87,Formula!J78,6)))</f>
        <v>2</v>
      </c>
      <c r="Y78" s="60">
        <f t="shared" si="35"/>
        <v>11</v>
      </c>
      <c r="Z78" s="72">
        <f>((Formula!C78)/(Formula!C78+Formula!E78+Formula!G78+Formula!I78+Formula!K78))*(INDEX(Properties!A$1:CB$87,Formula!B78,9))+((Formula!E78)/(Formula!C78+Formula!E78+Formula!G78+Formula!I78+Formula!K78))*(INDEX(Properties!A$1:CB$87,Formula!D78,9))+((Formula!G78)/(Formula!C78+Formula!E78+Formula!G78+Formula!I78+Formula!K78))*(INDEX(Properties!A$1:CB$87,Formula!F78,9))+((Formula!I78)/(Formula!C78+Formula!E78+Formula!G78+Formula!I78+Formula!K78))*(INDEX(Properties!A$1:CB$87,Formula!H78,9))+((Formula!K78)/(Formula!C78+Formula!E78+Formula!G78+Formula!I78+Formula!K78))*(INDEX(Properties!A$1:CB$87,Formula!J78,9))</f>
        <v>61.222222222222229</v>
      </c>
      <c r="AA78" s="72">
        <f>Formula!C78*(INDEX(Properties!A$1:CB$87,Formula!B78,9))+Formula!E78*(INDEX(Properties!A$1:CB$87,Formula!D78,9))+Formula!G78*(INDEX(Properties!A$1:CB$87,Formula!F78,9))+Formula!I78*(INDEX(Properties!A$1:CB$87,Formula!H78,9))+Formula!K78*(INDEX(Properties!A$1:CB$87,Formula!J78,9))</f>
        <v>551</v>
      </c>
      <c r="AB78" s="72">
        <f>VARP(IF(INDEX(Properties!A$1:CB$87,Formula!B78,9)&lt;&gt;"",INDEX(Properties!A$1:CB$87,Formula!B78,9)),IF(INDEX(Properties!A$1:CB$87,Formula!D78,9)&lt;&gt;"",INDEX(Properties!A$1:CB$87,Formula!D78,9)),IF(INDEX(Properties!A$1:CB$87,Formula!F78,9)&lt;&gt;"",INDEX(Properties!A$1:CB$87,Formula!F78,9)),IF(INDEX(Properties!A$1:CB$87,Formula!H78,9)&lt;&gt;"",INDEX(Properties!A$1:CB$87,Formula!H78,9)),IF(INDEX(Properties!A$1:CB$87,Formula!J78,9)&lt;&gt;"",INDEX(Properties!A$1:CB$87,Formula!J78,9)))</f>
        <v>1217.2</v>
      </c>
      <c r="AC78" s="72">
        <f>MAX(INDEX(Properties!A$1:CB$87,Formula!B78,9),INDEX(Properties!A$1:CB$87,Formula!D78,9),INDEX(Properties!A$1:CB$87,Formula!F78,9),INDEX(Properties!A$1:CB$87,Formula!H78,9),INDEX(Properties!A$1:CB$87,Formula!J78,9))</f>
        <v>87</v>
      </c>
      <c r="AD78" s="72">
        <f>MIN(IF(INDEX(Properties!A$1:CB$87,Formula!B78,9)=0,10^6,INDEX(Properties!A$1:CB$87,Formula!B78,9)),IF(INDEX(Properties!A$1:CB$87,Formula!D78,9)=0,10^6,INDEX(Properties!A$1:CB$87,Formula!D78,9)),IF(INDEX(Properties!A$1:CB$87,Formula!F78,9)=0,10^6,INDEX(Properties!A$1:CB$87,Formula!F78,9)),IF(INDEX(Properties!A$1:CB$87,Formula!H78,9)=0,10^6,INDEX(Properties!A$1:CB$87,Formula!H78,9)),IF(INDEX(Properties!A$1:CB$87,Formula!J78,9)=0,10^6,INDEX(Properties!A$1:CB$87,Formula!J78,9)))</f>
        <v>8</v>
      </c>
      <c r="AE78" s="72">
        <f t="shared" si="36"/>
        <v>79</v>
      </c>
      <c r="AF78" s="51">
        <f>((Formula!C78)/(Formula!C78+Formula!E78+Formula!G78+Formula!I78+Formula!K78))*(INDEX(Properties!A$1:CB$87,Formula!B78,10))+((Formula!E78)/(Formula!C78+Formula!E78+Formula!G78+Formula!I78+Formula!K78))*(INDEX(Properties!A$1:CB$87,Formula!D78,10))+((Formula!G78)/(Formula!C78+Formula!E78+Formula!G78+Formula!I78+Formula!K78))*(INDEX(Properties!A$1:CB$87,Formula!F78,10))+((Formula!I78)/(Formula!C78+Formula!E78+Formula!G78+Formula!I78+Formula!K78))*(INDEX(Properties!A$1:CB$87,Formula!H78,10))+((Formula!K78)/(Formula!C78+Formula!E78+Formula!G78+Formula!I78+Formula!K78))*(INDEX(Properties!A$1:CB$87,Formula!J78,10))</f>
        <v>5.2222222222222223</v>
      </c>
      <c r="AG78" s="51">
        <f>Formula!C78*(INDEX(Properties!A$1:CB$87,Formula!B78,10))+Formula!E78*(INDEX(Properties!A$1:CB$87,Formula!D78,10))+Formula!G78*(INDEX(Properties!A$1:CB$87,Formula!F78,10))+Formula!I78*(INDEX(Properties!A$1:CB$87,Formula!H78,10))+Formula!K78*(INDEX(Properties!A$1:CB$87,Formula!J78,10))</f>
        <v>47</v>
      </c>
      <c r="AH78" s="51">
        <f>VARP(IF(INDEX(Properties!A$1:CB$87,Formula!B78,10)&lt;&gt;"",INDEX(Properties!A$1:CB$87,Formula!B78,10)),IF(INDEX(Properties!A$1:CB$87,Formula!D78,10)&lt;&gt;"",INDEX(Properties!A$1:CB$87,Formula!D78,10)),IF(INDEX(Properties!A$1:CB$87,Formula!F78,10)&lt;&gt;"",INDEX(Properties!A$1:CB$87,Formula!F78,10)),IF(INDEX(Properties!A$1:CB$87,Formula!H78,10)&lt;&gt;"",INDEX(Properties!A$1:CB$87,Formula!H78,10)),IF(INDEX(Properties!A$1:CB$87,Formula!J78,10)&lt;&gt;"",INDEX(Properties!A$1:CB$87,Formula!J78,10)))</f>
        <v>5.84</v>
      </c>
      <c r="AI78" s="51">
        <f>MAX(INDEX(Properties!A$1:CB$87,Formula!B78,10),INDEX(Properties!A$1:CB$87,Formula!D78,10),INDEX(Properties!A$1:CB$87,Formula!F78,10),INDEX(Properties!A$1:CB$87,Formula!H78,10),INDEX(Properties!A$1:CB$87,Formula!J78,10))</f>
        <v>7</v>
      </c>
      <c r="AJ78" s="51">
        <f>MIN(IF(INDEX(Properties!A$1:CB$87,Formula!B78,10)=0,10^6,INDEX(Properties!A$1:CB$87,Formula!B78,10)),IF(INDEX(Properties!A$1:CB$87,Formula!D78,10)=0,10^6,INDEX(Properties!A$1:CB$87,Formula!D78,10)),IF(INDEX(Properties!A$1:CB$87,Formula!F78,10)=0,10^6,INDEX(Properties!A$1:CB$87,Formula!F78,10)),IF(INDEX(Properties!A$1:CB$87,Formula!H78,10)=0,10^6,INDEX(Properties!A$1:CB$87,Formula!H78,10)),IF(INDEX(Properties!A$1:CB$87,Formula!J78,10)=0,10^6,INDEX(Properties!A$1:CB$87,Formula!J78,10)))</f>
        <v>2</v>
      </c>
      <c r="AK78" s="51">
        <f t="shared" si="37"/>
        <v>5</v>
      </c>
      <c r="AL78" s="57">
        <f>((Formula!C78)/(Formula!C78+Formula!E78+Formula!G78+Formula!I78+Formula!K78))*(INDEX(Properties!A$1:CB$87,Formula!B78,11))+((Formula!E78)/(Formula!C78+Formula!E78+Formula!G78+Formula!I78+Formula!K78))*(INDEX(Properties!A$1:CB$87,Formula!D78,11))+((Formula!G78)/(Formula!C78+Formula!E78+Formula!G78+Formula!I78+Formula!K78))*(INDEX(Properties!A$1:CB$87,Formula!F78,11))+((Formula!I78)/(Formula!C78+Formula!E78+Formula!G78+Formula!I78+Formula!K78))*(INDEX(Properties!A$1:CB$87,Formula!H78,11))+((Formula!K78)/(Formula!C78+Formula!E78+Formula!G78+Formula!I78+Formula!K78))*(INDEX(Properties!A$1:CB$87,Formula!J78,11))</f>
        <v>2</v>
      </c>
      <c r="AM78" s="57">
        <f>Formula!C78*(INDEX(Properties!A$1:CB$87,Formula!B78,11))+Formula!E78*(INDEX(Properties!A$1:CB$87,Formula!D78,11))+Formula!G78*(INDEX(Properties!A$1:CB$87,Formula!F78,11))+Formula!I78*(INDEX(Properties!A$1:CB$87,Formula!H78,11))+Formula!K78*(INDEX(Properties!A$1:CB$87,Formula!J78,11))</f>
        <v>18</v>
      </c>
      <c r="AN78" s="57">
        <f>VARP(IF(INDEX(Properties!A$1:CB$87,Formula!B78,11)&lt;&gt;"",INDEX(Properties!A$1:CB$87,Formula!B78,11)),IF(INDEX(Properties!A$1:CB$87,Formula!D78,11)&lt;&gt;"",INDEX(Properties!A$1:CB$87,Formula!D78,11)),IF(INDEX(Properties!A$1:CB$87,Formula!F78,11)&lt;&gt;"",INDEX(Properties!A$1:CB$87,Formula!F78,11)),IF(INDEX(Properties!A$1:CB$87,Formula!H78,11)&lt;&gt;"",INDEX(Properties!A$1:CB$87,Formula!H78,11)),IF(INDEX(Properties!A$1:CB$87,Formula!J78,11)&lt;&gt;"",INDEX(Properties!A$1:CB$87,Formula!J78,11)))</f>
        <v>0.64</v>
      </c>
      <c r="AO78" s="57">
        <f>MAX(INDEX(Properties!A$1:CB$87,Formula!B78,11),INDEX(Properties!A$1:CB$87,Formula!D78,11),INDEX(Properties!A$1:CB$87,Formula!F78,11),INDEX(Properties!A$1:CB$87,Formula!H78,11),INDEX(Properties!A$1:CB$87,Formula!J78,11))</f>
        <v>2</v>
      </c>
      <c r="AP78" s="57">
        <f>MIN(IF(Formula!B78=87,10^6,INDEX(Properties!A$1:CB$87,Formula!B78,11)),IF((Formula!D78)=87,10^6,INDEX(Properties!A$1:CB$87,Formula!D78,11)),IF((Formula!F78)=87,10^6,INDEX(Properties!A$1:CB$87,Formula!F78,11)),IF((Formula!H78)=87,10^6,INDEX(Properties!A$1:CB$87,Formula!H78,11)),IF(Formula!J78=87,10^6,INDEX(Properties!A$1:CB$87,Formula!J78,11)))</f>
        <v>2</v>
      </c>
      <c r="AQ78" s="57">
        <f t="shared" si="38"/>
        <v>0</v>
      </c>
      <c r="AR78" s="78">
        <f>((Formula!C78)/(Formula!C78+Formula!E78+Formula!G78+Formula!I78+Formula!K78))*(INDEX(Properties!A$1:CB$87,Formula!B78,12))+((Formula!E78)/(Formula!C78+Formula!E78+Formula!G78+Formula!I78+Formula!K78))*(INDEX(Properties!A$1:CB$87,Formula!D78,12))+((Formula!G78)/(Formula!C78+Formula!E78+Formula!G78+Formula!I78+Formula!K78))*(INDEX(Properties!A$1:CB$87,Formula!F78,12))+((Formula!I78)/(Formula!C78+Formula!E78+Formula!G78+Formula!I78+Formula!K78))*(INDEX(Properties!A$1:CB$87,Formula!H78,12))+((Formula!K78)/(Formula!C78+Formula!E78+Formula!G78+Formula!I78+Formula!K78))*(INDEX(Properties!A$1:CB$87,Formula!J78,12))</f>
        <v>2.3333333333333335</v>
      </c>
      <c r="AS78" s="78">
        <f>Formula!C78*(INDEX(Properties!A$1:CB$87,Formula!B78,12))+Formula!E78*(INDEX(Properties!A$1:CB$87,Formula!D78,12))+Formula!G78*(INDEX(Properties!A$1:CB$87,Formula!F78,12))+Formula!I78*(INDEX(Properties!A$1:CB$87,Formula!H78,12))+Formula!K78*(INDEX(Properties!A$1:CB$87,Formula!J78,12))</f>
        <v>21</v>
      </c>
      <c r="AT78" s="78">
        <f>VARP(IF(INDEX(Properties!A$1:CB$87,Formula!B78,12)&lt;&gt;"",INDEX(Properties!A$1:CB$87,Formula!B78,12)),IF(INDEX(Properties!A$1:CB$87,Formula!D78,12)&lt;&gt;"",INDEX(Properties!A$1:CB$87,Formula!D78,12)),IF(INDEX(Properties!A$1:CB$87,Formula!F78,12)&lt;&gt;"",INDEX(Properties!A$1:CB$87,Formula!F78,12)),IF(INDEX(Properties!A$1:CB$87,Formula!H78,12)&lt;&gt;"",INDEX(Properties!A$1:CB$87,Formula!H78,12)),IF(INDEX(Properties!A$1:CB$87,Formula!J78,12)&lt;&gt;"",INDEX(Properties!A$1:CB$87,Formula!J78,12)))</f>
        <v>2.4</v>
      </c>
      <c r="AU78" s="78">
        <f>MAX(INDEX(Properties!A$1:CB$87,Formula!B78,12),INDEX(Properties!A$1:CB$87,Formula!D78,12),INDEX(Properties!A$1:CB$87,Formula!F78,12),INDEX(Properties!A$1:CB$87,Formula!H78,12),INDEX(Properties!A$1:CB$87,Formula!J78,12))</f>
        <v>4</v>
      </c>
      <c r="AV78" s="78">
        <f>MIN(IF(Formula!B78=87,10^6,INDEX(Properties!A$1:CB$87,Formula!B78,12)),IF((Formula!D78)=87,10^6,INDEX(Properties!A$1:CB$87,Formula!D78,12)),IF((Formula!F78)=87,10^6,INDEX(Properties!A$1:CB$87,Formula!F78,12)),IF((Formula!H78)=87,10^6,INDEX(Properties!A$1:CB$87,Formula!H78,12)),IF(Formula!J78=87,10^6,INDEX(Properties!A$1:CB$87,Formula!J78,12)))</f>
        <v>0</v>
      </c>
      <c r="AW78" s="78">
        <f t="shared" si="39"/>
        <v>4</v>
      </c>
      <c r="AX78" s="45">
        <f>((Formula!C78)/(Formula!C78+Formula!E78+Formula!G78+Formula!I78+Formula!K78))*(INDEX(Properties!A$1:CB$87,Formula!B78,13))+((Formula!E78)/(Formula!C78+Formula!E78+Formula!G78+Formula!I78+Formula!K78))*(INDEX(Properties!A$1:CB$87,Formula!D78,13))+((Formula!G78)/(Formula!C78+Formula!E78+Formula!G78+Formula!I78+Formula!K78))*(INDEX(Properties!A$1:CB$87,Formula!F78,13))+((Formula!I78)/(Formula!C78+Formula!E78+Formula!G78+Formula!I78+Formula!K78))*(INDEX(Properties!A$1:CB$87,Formula!H78,13))+((Formula!K78)/(Formula!C78+Formula!E78+Formula!G78+Formula!I78+Formula!K78))*(INDEX(Properties!A$1:CB$87,Formula!J78,13))</f>
        <v>0.1111111111111111</v>
      </c>
      <c r="AY78" s="45">
        <f>Formula!C78*(INDEX(Properties!A$1:CB$87,Formula!B78,13))+Formula!E78*(INDEX(Properties!A$1:CB$87,Formula!D78,13))+Formula!G78*(INDEX(Properties!A$1:CB$87,Formula!F78,13))+Formula!I78*(INDEX(Properties!A$1:CB$87,Formula!H78,13))+Formula!K78*(INDEX(Properties!A$1:CB$87,Formula!J78,13))</f>
        <v>1</v>
      </c>
      <c r="AZ78" s="45">
        <f>VARP(IF(INDEX(Properties!A$1:CB$87,Formula!B78,13)&lt;&gt;"",INDEX(Properties!A$1:CB$87,Formula!B78,13)),IF(INDEX(Properties!A$1:CB$87,Formula!D78,13)&lt;&gt;"",INDEX(Properties!A$1:CB$87,Formula!D78,13)),IF(INDEX(Properties!A$1:CB$87,Formula!F78,13)&lt;&gt;"",INDEX(Properties!A$1:CB$87,Formula!F78,13)),IF(INDEX(Properties!A$1:CB$87,Formula!H78,13)&lt;&gt;"",INDEX(Properties!A$1:CB$87,Formula!H78,13)),IF(INDEX(Properties!A$1:CB$87,Formula!J78,13)&lt;&gt;"",INDEX(Properties!A$1:CB$87,Formula!J78,13)))</f>
        <v>0.16</v>
      </c>
      <c r="BA78" s="45">
        <f>MAX(INDEX(Properties!A$1:CB$87,Formula!B78,13),INDEX(Properties!A$1:CB$87,Formula!D78,13),INDEX(Properties!A$1:CB$87,Formula!F78,13),INDEX(Properties!A$1:CB$87,Formula!H78,13),INDEX(Properties!A$1:CB$87,Formula!J78,13))</f>
        <v>1</v>
      </c>
      <c r="BB78" s="45">
        <f>MIN(IF(Formula!B78=87,10^6,INDEX(Properties!A$1:CB$87,Formula!B78,13)),IF((Formula!D78)=87,10^6,INDEX(Properties!A$1:CB$87,Formula!D78,13)),IF((Formula!F78)=87,10^6,INDEX(Properties!A$1:CB$87,Formula!F78,13)),IF((Formula!H78)=87,10^6,INDEX(Properties!A$1:CB$87,Formula!H78,13)),IF(Formula!J78=87,10^6,INDEX(Properties!A$1:CB$87,Formula!J78,13)))</f>
        <v>0</v>
      </c>
      <c r="BC78" s="45">
        <f t="shared" si="40"/>
        <v>1</v>
      </c>
      <c r="BD78" s="63">
        <f>((Formula!C78)/(Formula!C78+Formula!E78+Formula!G78+Formula!I78+Formula!K78))*(INDEX(Properties!A$1:CB$87,Formula!B78,14))+((Formula!E78)/(Formula!C78+Formula!E78+Formula!G78+Formula!I78+Formula!K78))*(INDEX(Properties!A$1:CB$87,Formula!D78,14))+((Formula!G78)/(Formula!C78+Formula!E78+Formula!G78+Formula!I78+Formula!K78))*(INDEX(Properties!A$1:CB$87,Formula!F78,14))+((Formula!I78)/(Formula!C78+Formula!E78+Formula!G78+Formula!I78+Formula!K78))*(INDEX(Properties!A$1:CB$87,Formula!H78,14))+((Formula!K78)/(Formula!C78+Formula!E78+Formula!G78+Formula!I78+Formula!K78))*(INDEX(Properties!A$1:CB$87,Formula!J78,14))</f>
        <v>0.77777777777777768</v>
      </c>
      <c r="BE78" s="63">
        <f>Formula!C78*(INDEX(Properties!A$1:CB$87,Formula!B78,14))+Formula!E78*(INDEX(Properties!A$1:CB$87,Formula!D78,14))+Formula!G78*(INDEX(Properties!A$1:CB$87,Formula!F78,14))+Formula!I78*(INDEX(Properties!A$1:CB$87,Formula!H78,14))+Formula!K78*(INDEX(Properties!A$1:CB$87,Formula!J78,14))</f>
        <v>7</v>
      </c>
      <c r="BF78" s="63">
        <f>VARP(IF(INDEX(Properties!A$1:CB$87,Formula!B78,14)&lt;&gt;"",INDEX(Properties!A$1:CB$87,Formula!B78,14)),IF(INDEX(Properties!A$1:CB$87,Formula!D78,14)&lt;&gt;"",INDEX(Properties!A$1:CB$87,Formula!D78,14)),IF(INDEX(Properties!A$1:CB$87,Formula!F78,14)&lt;&gt;"",INDEX(Properties!A$1:CB$87,Formula!F78,14)),IF(INDEX(Properties!A$1:CB$87,Formula!H78,14)&lt;&gt;"",INDEX(Properties!A$1:CB$87,Formula!H78,14)),IF(INDEX(Properties!A$1:CB$87,Formula!J78,14)&lt;&gt;"",INDEX(Properties!A$1:CB$87,Formula!J78,14)))</f>
        <v>7.84</v>
      </c>
      <c r="BG78" s="63">
        <f>MAX(INDEX(Properties!A$1:CB$87,Formula!B78,14),INDEX(Properties!A$1:CB$87,Formula!D78,14),INDEX(Properties!A$1:CB$87,Formula!F78,14),INDEX(Properties!A$1:CB$87,Formula!H78,14),INDEX(Properties!A$1:CB$87,Formula!J78,14))</f>
        <v>7</v>
      </c>
      <c r="BH78" s="63">
        <f>MIN(IF(Formula!B78=87,10^6,INDEX(Properties!A$1:CB$87,Formula!B78,14)),IF((Formula!D78)=87,10^6,INDEX(Properties!A$1:CB$87,Formula!D78,14)),IF((Formula!F78)=87,10^6,INDEX(Properties!A$1:CB$87,Formula!F78,14)),IF((Formula!H78)=87,10^6,INDEX(Properties!A$1:CB$87,Formula!H78,14)),IF(Formula!J78=87,10^6,INDEX(Properties!A$1:CB$87,Formula!J78,14)))</f>
        <v>0</v>
      </c>
      <c r="BI78" s="63">
        <f t="shared" si="41"/>
        <v>7</v>
      </c>
      <c r="BJ78" s="75">
        <f>((Formula!C78)/(Formula!C78+Formula!E78+Formula!G78+Formula!I78+Formula!K78))*(INDEX(Properties!A$1:CB$87,Formula!B78,19))+((Formula!E78)/(Formula!C78+Formula!E78+Formula!G78+Formula!I78+Formula!K78))*(INDEX(Properties!A$1:CB$87,Formula!D78,19))+((Formula!G78)/(Formula!C78+Formula!E78+Formula!G78+Formula!I78+Formula!K78))*(INDEX(Properties!A$1:CB$87,Formula!F78,19))+((Formula!I78)/(Formula!C78+Formula!E78+Formula!G78+Formula!I78+Formula!K78))*(INDEX(Properties!A$1:CB$87,Formula!H78,19))+((Formula!K78)/(Formula!C78+Formula!E78+Formula!G78+Formula!I78+Formula!K78))*(INDEX(Properties!A$1:CB$87,Formula!J78,19))</f>
        <v>5.2222222222222223</v>
      </c>
      <c r="BK78" s="75">
        <f>Formula!C78*(INDEX(Properties!A$1:CB$87,Formula!B78,19))+Formula!E78*(INDEX(Properties!A$1:CB$87,Formula!D78,19))+Formula!G78*(INDEX(Properties!A$1:CB$87,Formula!F78,19))+Formula!I78*(INDEX(Properties!A$1:CB$87,Formula!H78,19))+Formula!K78*(INDEX(Properties!A$1:CB$87,Formula!J78,19))</f>
        <v>47</v>
      </c>
      <c r="BL78" s="75">
        <f>VARP(IF(INDEX(Properties!A$1:CB$87,Formula!B78,19)&lt;&gt;"",INDEX(Properties!A$1:CB$87,Formula!B78,19)),IF(INDEX(Properties!A$1:CB$87,Formula!D78,19)&lt;&gt;"",INDEX(Properties!A$1:CB$87,Formula!D78,19)),IF(INDEX(Properties!A$1:CB$87,Formula!F78,19)&lt;&gt;"",INDEX(Properties!A$1:CB$87,Formula!F78,19)),IF(INDEX(Properties!A$1:CB$87,Formula!H78,19)&lt;&gt;"",INDEX(Properties!A$1:CB$87,Formula!H78,19)),IF(INDEX(Properties!A$1:CB$87,Formula!J78,19)&lt;&gt;"",INDEX(Properties!A$1:CB$87,Formula!J78,19)))</f>
        <v>12.16</v>
      </c>
      <c r="BM78" s="75">
        <f>MAX(INDEX(Properties!A$1:CB$87,Formula!B78,19),INDEX(Properties!A$1:CB$87,Formula!D78,19),INDEX(Properties!A$1:CB$87,Formula!F78,19),INDEX(Properties!A$1:CB$87,Formula!H78,19),INDEX(Properties!A$1:CB$87,Formula!J78,19))</f>
        <v>10</v>
      </c>
      <c r="BN78" s="75">
        <f>MIN(IF(INDEX(Properties!A$1:CB$87,Formula!B78,19)=0,10^6,INDEX(Properties!A$1:CB$87,Formula!B78,19)),IF(INDEX(Properties!A$1:CB$87,Formula!D78,19)=0,10^6,INDEX(Properties!A$1:CB$87,Formula!D78,19)),IF(INDEX(Properties!A$1:CB$87,Formula!F78,19)=0,10^6,INDEX(Properties!A$1:CB$87,Formula!F78,19)),IF(INDEX(Properties!A$1:CB$87,Formula!H78,19)=0,10^6,INDEX(Properties!A$1:CB$87,Formula!H78,19)),IF(INDEX(Properties!A$1:CB$87,Formula!J78,19)=0,10^6,INDEX(Properties!A$1:CB$87,Formula!J78,19)))</f>
        <v>2</v>
      </c>
      <c r="BO78" s="75">
        <f t="shared" si="42"/>
        <v>8</v>
      </c>
      <c r="BP78" s="48">
        <f>((Formula!C78)/(Formula!C78+Formula!E78+Formula!G78+Formula!I78+Formula!K78))*(INDEX(Properties!A$1:CB$87,Formula!B78,20))+((Formula!E78)/(Formula!C78+Formula!E78+Formula!G78+Formula!I78+Formula!K78))*(INDEX(Properties!A$1:CB$87,Formula!D78,20))+((Formula!G78)/(Formula!C78+Formula!E78+Formula!G78+Formula!I78+Formula!K78))*(INDEX(Properties!A$1:CB$87,Formula!F78,20))+((Formula!I78)/(Formula!C78+Formula!E78+Formula!G78+Formula!I78+Formula!K78))*(INDEX(Properties!A$1:CB$87,Formula!H78,20))+((Formula!K78)/(Formula!C78+Formula!E78+Formula!G78+Formula!I78+Formula!K78))*(INDEX(Properties!A$1:CB$87,Formula!J78,20))</f>
        <v>4.3333333333333339</v>
      </c>
      <c r="BQ78" s="48">
        <f>Formula!C78*(INDEX(Properties!A$1:CB$87,Formula!B78,20))+Formula!E78*(INDEX(Properties!A$1:CB$87,Formula!D78,20))+Formula!G78*(INDEX(Properties!A$1:CB$87,Formula!F78,20))+Formula!I78*(INDEX(Properties!A$1:CB$87,Formula!H78,20))+Formula!K78*(INDEX(Properties!A$1:CB$87,Formula!J78,20))</f>
        <v>39</v>
      </c>
      <c r="BR78" s="48">
        <f>VARP(IF(INDEX(Properties!A$1:CB$87,Formula!B78,20)&lt;&gt;"",INDEX(Properties!A$1:CB$87,Formula!B78,20)),IF(INDEX(Properties!A$1:CB$87,Formula!D78,20)&lt;&gt;"",INDEX(Properties!A$1:CB$87,Formula!D78,20)),IF(INDEX(Properties!A$1:CB$87,Formula!F78,20)&lt;&gt;"",INDEX(Properties!A$1:CB$87,Formula!F78,20)),IF(INDEX(Properties!A$1:CB$87,Formula!H78,20)&lt;&gt;"",INDEX(Properties!A$1:CB$87,Formula!H78,20)),IF(INDEX(Properties!A$1:CB$87,Formula!J78,20)&lt;&gt;"",INDEX(Properties!A$1:CB$87,Formula!J78,20)))</f>
        <v>3.84</v>
      </c>
      <c r="BS78" s="48">
        <f>MAX(INDEX(Properties!A$1:CB$87,Formula!B78,20),INDEX(Properties!A$1:CB$87,Formula!D78,20),INDEX(Properties!A$1:CB$87,Formula!F78,20),INDEX(Properties!A$1:CB$87,Formula!H78,20),INDEX(Properties!A$1:CB$87,Formula!J78,20))</f>
        <v>6</v>
      </c>
      <c r="BT78" s="48">
        <f>MIN(IF(INDEX(Properties!A$1:CB$87,Formula!B78,20)=0,10^6,INDEX(Properties!A$1:CB$87,Formula!B78,20)),IF(INDEX(Properties!A$1:CB$87,Formula!D78,20)=0,10^6,INDEX(Properties!A$1:CB$87,Formula!D78,20)),IF(INDEX(Properties!A$1:CB$87,Formula!F78,20)=0,10^6,INDEX(Properties!A$1:CB$87,Formula!F78,20)),IF(INDEX(Properties!A$1:CB$87,Formula!H78,20)=0,10^6,INDEX(Properties!A$1:CB$87,Formula!H78,20)),IF(INDEX(Properties!A$1:CB$87,Formula!J78,20)=0,10^6,INDEX(Properties!A$1:CB$87,Formula!J78,20)))</f>
        <v>2</v>
      </c>
      <c r="BU78" s="48">
        <f t="shared" si="43"/>
        <v>4</v>
      </c>
      <c r="BV78" s="66">
        <f>((Formula!C78)/(Formula!C78+Formula!E78+Formula!G78+Formula!I78+Formula!K78))*(INDEX(Properties!A$1:CB$87,Formula!B78,21))+((Formula!E78)/(Formula!C78+Formula!E78+Formula!G78+Formula!I78+Formula!K78))*(INDEX(Properties!A$1:CB$87,Formula!D78,21))+((Formula!G78)/(Formula!C78+Formula!E78+Formula!G78+Formula!I78+Formula!K78))*(INDEX(Properties!A$1:CB$87,Formula!F78,21))+((Formula!I78)/(Formula!C78+Formula!E78+Formula!G78+Formula!I78+Formula!K78))*(INDEX(Properties!A$1:CB$87,Formula!H78,21))+((Formula!K78)/(Formula!C78+Formula!E78+Formula!G78+Formula!I78+Formula!K78))*(INDEX(Properties!A$1:CB$87,Formula!J78,21))</f>
        <v>4.4444444444444446</v>
      </c>
      <c r="BW78" s="66">
        <f>Formula!C78*(INDEX(Properties!A$1:CB$87,Formula!B78,21))+Formula!E78*(INDEX(Properties!A$1:CB$87,Formula!D78,21))+Formula!G78*(INDEX(Properties!A$1:CB$87,Formula!F78,21))+Formula!I78*(INDEX(Properties!A$1:CB$87,Formula!H78,21))+Formula!K78*(INDEX(Properties!A$1:CB$87,Formula!J78,21))</f>
        <v>40</v>
      </c>
      <c r="BX78" s="66">
        <f>VARP(IF(INDEX(Properties!A$1:CB$87,Formula!B78,21)&lt;&gt;"",INDEX(Properties!A$1:CB$87,Formula!B78,21)),IF(INDEX(Properties!A$1:CB$87,Formula!D78,21)&lt;&gt;"",INDEX(Properties!A$1:CB$87,Formula!D78,21)),IF(INDEX(Properties!A$1:CB$87,Formula!F78,21)&lt;&gt;"",INDEX(Properties!A$1:CB$87,Formula!F78,21)),IF(INDEX(Properties!A$1:CB$87,Formula!H78,21)&lt;&gt;"",INDEX(Properties!A$1:CB$87,Formula!H78,21)),IF(INDEX(Properties!A$1:CB$87,Formula!J78,21)&lt;&gt;"",INDEX(Properties!A$1:CB$87,Formula!J78,21)))</f>
        <v>3.76</v>
      </c>
      <c r="BY78" s="66">
        <f>MAX(INDEX(Properties!A$1:CB$87,Formula!B78,21),INDEX(Properties!A$1:CB$87,Formula!D78,21),INDEX(Properties!A$1:CB$87,Formula!F78,21),INDEX(Properties!A$1:CB$87,Formula!H78,21),INDEX(Properties!A$1:CB$87,Formula!J78,21))</f>
        <v>6</v>
      </c>
      <c r="BZ78" s="66">
        <f>MIN(IF(INDEX(Properties!A$1:CB$87,Formula!B78,21)=0,10^6,INDEX(Properties!A$1:CB$87,Formula!B78,21)),IF(INDEX(Properties!A$1:CB$87,Formula!D78,21)=0,10^6,INDEX(Properties!A$1:CB$87,Formula!D78,21)),IF(INDEX(Properties!A$1:CB$87,Formula!F78,21)=0,10^6,INDEX(Properties!A$1:CB$87,Formula!F78,21)),IF(INDEX(Properties!A$1:CB$87,Formula!H78,21)=0,10^6,INDEX(Properties!A$1:CB$87,Formula!H78,21)),IF(INDEX(Properties!A$1:CB$87,Formula!J78,21)=0,10^6,INDEX(Properties!A$1:CB$87,Formula!J78,21)))</f>
        <v>2</v>
      </c>
      <c r="CA78" s="66">
        <f t="shared" si="44"/>
        <v>4</v>
      </c>
      <c r="CB78" s="81">
        <f>((Formula!C78)/(Formula!C78+Formula!E78+Formula!G78+Formula!I78+Formula!K78))*(INDEX(Properties!A$1:CB$87,Formula!B78,23))+((Formula!E78)/(Formula!C78+Formula!E78+Formula!G78+Formula!I78+Formula!K78))*(INDEX(Properties!A$1:CB$87,Formula!D78,23))+((Formula!G78)/(Formula!C78+Formula!E78+Formula!G78+Formula!I78+Formula!K78))*(INDEX(Properties!A$1:CB$87,Formula!F78,23))+((Formula!I78)/(Formula!C78+Formula!E78+Formula!G78+Formula!I78+Formula!K78))*(INDEX(Properties!A$1:CB$87,Formula!H78,23))+((Formula!K78)/(Formula!C78+Formula!E78+Formula!G78+Formula!I78+Formula!K78))*(INDEX(Properties!A$1:CB$87,Formula!J78,23))</f>
        <v>1.1111111111111109</v>
      </c>
      <c r="CC78" s="81">
        <f>Formula!C78*(INDEX(Properties!A$1:CB$87,Formula!B78,23))+Formula!E78*(INDEX(Properties!A$1:CB$87,Formula!D78,23))+Formula!G78*(INDEX(Properties!A$1:CB$87,Formula!F78,23))+Formula!I78*(INDEX(Properties!A$1:CB$87,Formula!H78,23))+Formula!K78*(INDEX(Properties!A$1:CB$87,Formula!J78,23))</f>
        <v>10</v>
      </c>
      <c r="CD78" s="81">
        <f>VARP(IF(INDEX(Properties!A$1:CB$87,Formula!B78,23)&lt;&gt;"",INDEX(Properties!A$1:CB$87,Formula!B78,23)),IF(INDEX(Properties!A$1:CB$87,Formula!D78,23)&lt;&gt;"",INDEX(Properties!A$1:CB$87,Formula!D78,23)),IF(INDEX(Properties!A$1:CB$87,Formula!F78,23)&lt;&gt;"",INDEX(Properties!A$1:CB$87,Formula!F78,23)),IF(INDEX(Properties!A$1:CB$87,Formula!H78,23)&lt;&gt;"",INDEX(Properties!A$1:CB$87,Formula!H78,23)),IF(INDEX(Properties!A$1:CB$87,Formula!J78,23)&lt;&gt;"",INDEX(Properties!A$1:CB$87,Formula!J78,23)))</f>
        <v>1.84</v>
      </c>
      <c r="CE78" s="81">
        <f>MAX(INDEX(Properties!A$1:CB$87,Formula!B78,23),INDEX(Properties!A$1:CB$87,Formula!D78,23),INDEX(Properties!A$1:CB$87,Formula!F78,23),INDEX(Properties!A$1:CB$87,Formula!H78,23),INDEX(Properties!A$1:CB$87,Formula!J78,23))</f>
        <v>3</v>
      </c>
      <c r="CF78" s="81">
        <f>MIN(IF(Formula!B78=87,10^6,INDEX(Properties!A$1:CB$87,Formula!B78,23)),IF((Formula!D78)=87,10^6,INDEX(Properties!A$1:CB$87,Formula!D78,23)),IF((Formula!F78)=87,10^6,INDEX(Properties!A$1:CB$87,Formula!F78,23)),IF((Formula!H78)=87,10^6,INDEX(Properties!A$1:CB$87,Formula!H78,23)),IF(Formula!J78=87,10^6,INDEX(Properties!A$1:CB$87,Formula!J78,23)))</f>
        <v>0</v>
      </c>
      <c r="CG78" s="81">
        <f t="shared" si="45"/>
        <v>3</v>
      </c>
      <c r="CH78" s="39">
        <f>((Formula!C78)/(Formula!C78+Formula!E78+Formula!G78+Formula!I78+Formula!K78))*(INDEX(Properties!A$1:CB$87,Formula!B78,26))+((Formula!E78)/(Formula!C78+Formula!E78+Formula!G78+Formula!I78+Formula!K78))*(INDEX(Properties!A$1:CB$87,Formula!D78,26))+((Formula!G78)/(Formula!C78+Formula!E78+Formula!G78+Formula!I78+Formula!K78))*(INDEX(Properties!A$1:CB$87,Formula!F78,26))+((Formula!I78)/(Formula!C78+Formula!E78+Formula!G78+Formula!I78+Formula!K78))*(INDEX(Properties!A$1:CB$87,Formula!H78,26))+((Formula!K78)/(Formula!C78+Formula!E78+Formula!G78+Formula!I78+Formula!K78))*(INDEX(Properties!A$1:CB$87,Formula!J78,26))</f>
        <v>10.179544444444444</v>
      </c>
      <c r="CI78" s="39">
        <f>Formula!C78*(INDEX(Properties!A$1:CB$87,Formula!B78,26))+Formula!E78*(INDEX(Properties!A$1:CB$87,Formula!D78,26))+Formula!G78*(INDEX(Properties!A$1:CB$87,Formula!F78,26))+Formula!I78*(INDEX(Properties!A$1:CB$87,Formula!H78,26))+Formula!K78*(INDEX(Properties!A$1:CB$87,Formula!J78,26))</f>
        <v>91.615900000000011</v>
      </c>
      <c r="CJ78" s="39">
        <f>VARP(IF(INDEX(Properties!A$1:CB$87,Formula!B78,26)&lt;&gt;"",INDEX(Properties!A$1:CB$87,Formula!B78,26)),IF(INDEX(Properties!A$1:CB$87,Formula!D78,26)&lt;&gt;"",INDEX(Properties!A$1:CB$87,Formula!D78,26)),IF(INDEX(Properties!A$1:CB$87,Formula!F78,26)&lt;&gt;"",INDEX(Properties!A$1:CB$87,Formula!F78,26)),IF(INDEX(Properties!A$1:CB$87,Formula!H78,26)&lt;&gt;"",INDEX(Properties!A$1:CB$87,Formula!H78,26)),IF(INDEX(Properties!A$1:CB$87,Formula!J78,26)&lt;&gt;"",INDEX(Properties!A$1:CB$87,Formula!J78,26)))</f>
        <v>18.746297381600005</v>
      </c>
      <c r="CK78" s="39">
        <f>MAX(INDEX(Properties!A$1:CB$87,Formula!B78,26),INDEX(Properties!A$1:CB$87,Formula!D78,26),INDEX(Properties!A$1:CB$87,Formula!F78,26),INDEX(Properties!A$1:CB$87,Formula!H78,26),INDEX(Properties!A$1:CB$87,Formula!J78,26))</f>
        <v>13.6181</v>
      </c>
      <c r="CL78" s="39">
        <f>MIN(IF(INDEX(Properties!A$1:CB$87,Formula!B78,26)=0,10^6,INDEX(Properties!A$1:CB$87,Formula!B78,26)),IF(INDEX(Properties!A$1:CB$87,Formula!D78,26)=0,10^6,INDEX(Properties!A$1:CB$87,Formula!D78,26)),IF(INDEX(Properties!A$1:CB$87,Formula!F78,26)=0,10^6,INDEX(Properties!A$1:CB$87,Formula!F78,26)),IF(INDEX(Properties!A$1:CB$87,Formula!H78,26)=0,10^6,INDEX(Properties!A$1:CB$87,Formula!H78,26)),IF(INDEX(Properties!A$1:CB$87,Formula!J78,26)=0,10^6,INDEX(Properties!A$1:CB$87,Formula!J78,26)))</f>
        <v>5.6948999999999996</v>
      </c>
      <c r="CM78" s="39">
        <f t="shared" si="46"/>
        <v>7.9232000000000005</v>
      </c>
      <c r="CN78" s="54">
        <f>((Formula!C78)/(Formula!C78+Formula!E78+Formula!G78+Formula!I78+Formula!K78))*(INDEX(Properties!A$1:CB$87,Formula!B78,30))+((Formula!E78)/(Formula!C78+Formula!E78+Formula!G78+Formula!I78+Formula!K78))*(INDEX(Properties!A$1:CB$87,Formula!D78,30))+((Formula!G78)/(Formula!C78+Formula!E78+Formula!G78+Formula!I78+Formula!K78))*(INDEX(Properties!A$1:CB$87,Formula!F78,30))+((Formula!I78)/(Formula!C78+Formula!E78+Formula!G78+Formula!I78+Formula!K78))*(INDEX(Properties!A$1:CB$87,Formula!H78,30))+((Formula!K78)/(Formula!C78+Formula!E78+Formula!G78+Formula!I78+Formula!K78))*(INDEX(Properties!A$1:CB$87,Formula!J78,30))</f>
        <v>2.4344444444444444</v>
      </c>
      <c r="CO78" s="54">
        <f>Formula!C78*(INDEX(Properties!A$1:CB$87,Formula!B78,30))+Formula!E78*(INDEX(Properties!A$1:CB$87,Formula!D78,30))+Formula!G78*(INDEX(Properties!A$1:CB$87,Formula!F78,30))+Formula!I78*(INDEX(Properties!A$1:CB$87,Formula!H78,30))+Formula!K78*(INDEX(Properties!A$1:CB$87,Formula!J78,30))</f>
        <v>21.91</v>
      </c>
      <c r="CP78" s="54">
        <f>VARP(IF(INDEX(Properties!A$1:CB$87,Formula!B78,30)&lt;&gt;"",INDEX(Properties!A$1:CB$87,Formula!B78,30)),IF(INDEX(Properties!A$1:CB$87,Formula!D78,30)&lt;&gt;"",INDEX(Properties!A$1:CB$87,Formula!D78,30)),IF(INDEX(Properties!A$1:CB$87,Formula!F78,30)&lt;&gt;"",INDEX(Properties!A$1:CB$87,Formula!F78,30)),IF(INDEX(Properties!A$1:CB$87,Formula!H78,30)&lt;&gt;"",INDEX(Properties!A$1:CB$87,Formula!H78,30)),IF(INDEX(Properties!A$1:CB$87,Formula!J78,30)&lt;&gt;"",INDEX(Properties!A$1:CB$87,Formula!J78,30)))</f>
        <v>1.2800400000000007</v>
      </c>
      <c r="CQ78" s="54">
        <f>MAX(INDEX(Properties!A$1:CB$87,Formula!B78,30),INDEX(Properties!A$1:CB$87,Formula!D78,30),INDEX(Properties!A$1:CB$87,Formula!F78,30),INDEX(Properties!A$1:CB$87,Formula!H78,30),INDEX(Properties!A$1:CB$87,Formula!J78,30))</f>
        <v>3.44</v>
      </c>
      <c r="CR78" s="54">
        <f>MIN(IF(INDEX(Properties!A$1:CB$87,Formula!B78,30)=0,10^6,INDEX(Properties!A$1:CB$87,Formula!B78,30)),IF(INDEX(Properties!A$1:CB$87,Formula!D78,30)=0,10^6,INDEX(Properties!A$1:CB$87,Formula!D78,30)),IF(INDEX(Properties!A$1:CB$87,Formula!F78,30)=0,10^6,INDEX(Properties!A$1:CB$87,Formula!F78,30)),IF(INDEX(Properties!A$1:CB$87,Formula!H78,30)=0,10^6,INDEX(Properties!A$1:CB$87,Formula!H78,30)),IF(INDEX(Properties!A$1:CB$87,Formula!J78,30)=0,10^6,INDEX(Properties!A$1:CB$87,Formula!J78,30)))</f>
        <v>0.95</v>
      </c>
      <c r="CS78" s="54">
        <f t="shared" si="47"/>
        <v>2.4900000000000002</v>
      </c>
      <c r="CT78" s="69">
        <f>((Formula!C78)/(Formula!C78+Formula!E78+Formula!G78+Formula!I78+Formula!K78))*(INDEX(Properties!A$1:CB$87,Formula!B78,31))+((Formula!E78)/(Formula!C78+Formula!E78+Formula!G78+Formula!I78+Formula!K78))*(INDEX(Properties!A$1:CB$87,Formula!D78,31))+((Formula!G78)/(Formula!C78+Formula!E78+Formula!G78+Formula!I78+Formula!K78))*(INDEX(Properties!A$1:CB$87,Formula!F78,31))+((Formula!I78)/(Formula!C78+Formula!E78+Formula!G78+Formula!I78+Formula!K78))*(INDEX(Properties!A$1:CB$87,Formula!H78,31))+((Formula!K78)/(Formula!C78+Formula!E78+Formula!G78+Formula!I78+Formula!K78))*(INDEX(Properties!A$1:CB$87,Formula!J78,31))</f>
        <v>2.4</v>
      </c>
      <c r="CU78" s="69">
        <f>Formula!C78*(INDEX(Properties!A$1:CB$87,Formula!B78,31))+Formula!E78*(INDEX(Properties!A$1:CB$87,Formula!D78,31))+Formula!G78*(INDEX(Properties!A$1:CB$87,Formula!F78,31))+Formula!I78*(INDEX(Properties!A$1:CB$87,Formula!H78,31))+Formula!K78*(INDEX(Properties!A$1:CB$87,Formula!J78,31))</f>
        <v>21.599999999999998</v>
      </c>
      <c r="CV78" s="69">
        <f>VARP(IF(INDEX(Properties!A$1:CB$87,Formula!B78,31)&lt;&gt;"",INDEX(Properties!A$1:CB$87,Formula!B78,31)),IF(INDEX(Properties!A$1:CB$87,Formula!D78,31)&lt;&gt;"",INDEX(Properties!A$1:CB$87,Formula!D78,31)),IF(INDEX(Properties!A$1:CB$87,Formula!F78,31)&lt;&gt;"",INDEX(Properties!A$1:CB$87,Formula!F78,31)),IF(INDEX(Properties!A$1:CB$87,Formula!H78,31)&lt;&gt;"",INDEX(Properties!A$1:CB$87,Formula!H78,31)),IF(INDEX(Properties!A$1:CB$87,Formula!J78,31)&lt;&gt;"",INDEX(Properties!A$1:CB$87,Formula!J78,31)))</f>
        <v>1.1719359999999996</v>
      </c>
      <c r="CW78" s="69">
        <f>MAX(INDEX(Properties!A$1:CB$87,Formula!B78,31),INDEX(Properties!A$1:CB$87,Formula!D78,31),INDEX(Properties!A$1:CB$87,Formula!F78,31),INDEX(Properties!A$1:CB$87,Formula!H78,31),INDEX(Properties!A$1:CB$87,Formula!J78,31))</f>
        <v>3.32</v>
      </c>
      <c r="CX78" s="69">
        <f>MIN(IF(INDEX(Properties!A$1:CB$87,Formula!B78,31)=0,10^6,INDEX(Properties!A$1:CB$87,Formula!B78,31)),IF(INDEX(Properties!A$1:CB$87,Formula!D78,31)=0,10^6,INDEX(Properties!A$1:CB$87,Formula!D78,31)),IF(INDEX(Properties!A$1:CB$87,Formula!F78,31)=0,10^6,INDEX(Properties!A$1:CB$87,Formula!F78,31)),IF(INDEX(Properties!A$1:CB$87,Formula!H78,31)=0,10^6,INDEX(Properties!A$1:CB$87,Formula!H78,31)),IF(INDEX(Properties!A$1:CB$87,Formula!J78,31)=0,10^6,INDEX(Properties!A$1:CB$87,Formula!J78,31)))</f>
        <v>1.1000000000000001</v>
      </c>
      <c r="CY78" s="69">
        <f t="shared" si="48"/>
        <v>2.2199999999999998</v>
      </c>
      <c r="CZ78" s="42">
        <f>((Formula!C78)/(Formula!C78+Formula!E78+Formula!G78+Formula!I78+Formula!K78))*(INDEX(Properties!A$1:CB$87,Formula!B78,32))+((Formula!E78)/(Formula!C78+Formula!E78+Formula!G78+Formula!I78+Formula!K78))*(INDEX(Properties!A$1:CB$87,Formula!D78,32))+((Formula!G78)/(Formula!C78+Formula!E78+Formula!G78+Formula!I78+Formula!K78))*(INDEX(Properties!A$1:CB$87,Formula!F78,32))+((Formula!I78)/(Formula!C78+Formula!E78+Formula!G78+Formula!I78+Formula!K78))*(INDEX(Properties!A$1:CB$87,Formula!H78,32))+((Formula!K78)/(Formula!C78+Formula!E78+Formula!G78+Formula!I78+Formula!K78))*(INDEX(Properties!A$1:CB$87,Formula!J78,32))</f>
        <v>5.3366666666666669</v>
      </c>
      <c r="DA78" s="42">
        <f>Formula!C78*(INDEX(Properties!A$1:CB$87,Formula!B78,32))+Formula!E78*(INDEX(Properties!A$1:CB$87,Formula!D78,32))+Formula!G78*(INDEX(Properties!A$1:CB$87,Formula!F78,32))+Formula!I78*(INDEX(Properties!A$1:CB$87,Formula!H78,32))+Formula!K78*(INDEX(Properties!A$1:CB$87,Formula!J78,32))</f>
        <v>48.03</v>
      </c>
      <c r="DB78" s="42">
        <f>VARP(IF(INDEX(Properties!A$1:CB$87,Formula!B78,32)&lt;&gt;"",INDEX(Properties!A$1:CB$87,Formula!B78,32)),IF(INDEX(Properties!A$1:CB$87,Formula!D78,32)&lt;&gt;"",INDEX(Properties!A$1:CB$87,Formula!D78,32)),IF(INDEX(Properties!A$1:CB$87,Formula!F78,32)&lt;&gt;"",INDEX(Properties!A$1:CB$87,Formula!F78,32)),IF(INDEX(Properties!A$1:CB$87,Formula!H78,32)&lt;&gt;"",INDEX(Properties!A$1:CB$87,Formula!H78,32)),IF(INDEX(Properties!A$1:CB$87,Formula!J78,32)&lt;&gt;"",INDEX(Properties!A$1:CB$87,Formula!J78,32)))</f>
        <v>6.1046239999999976</v>
      </c>
      <c r="DC78" s="42">
        <f>MAX(INDEX(Properties!A$1:CB$87,Formula!B78,32),INDEX(Properties!A$1:CB$87,Formula!D78,32),INDEX(Properties!A$1:CB$87,Formula!F78,32),INDEX(Properties!A$1:CB$87,Formula!H78,32),INDEX(Properties!A$1:CB$87,Formula!J78,32))</f>
        <v>7.54</v>
      </c>
      <c r="DD78" s="42">
        <f>MIN(IF(INDEX(Properties!A$1:CB$87,Formula!B78,32)=0,10^6,INDEX(Properties!A$1:CB$87,Formula!B78,32)),IF(INDEX(Properties!A$1:CB$87,Formula!D78,32)=0,10^6,INDEX(Properties!A$1:CB$87,Formula!D78,32)),IF(INDEX(Properties!A$1:CB$87,Formula!F78,32)=0,10^6,INDEX(Properties!A$1:CB$87,Formula!F78,32)),IF(INDEX(Properties!A$1:CB$87,Formula!H78,32)=0,10^6,INDEX(Properties!A$1:CB$87,Formula!H78,32)),IF(INDEX(Properties!A$1:CB$87,Formula!J78,32)=0,10^6,INDEX(Properties!A$1:CB$87,Formula!J78,32)))</f>
        <v>2</v>
      </c>
      <c r="DE78" s="42">
        <f t="shared" si="49"/>
        <v>5.54</v>
      </c>
      <c r="DF78" s="60">
        <f>((Formula!C78)/(Formula!C78+Formula!E78+Formula!G78+Formula!I78+Formula!K78))*(INDEX(Properties!A$1:CB$87,Formula!B78,34))+((Formula!E78)/(Formula!C78+Formula!E78+Formula!G78+Formula!I78+Formula!K78))*(INDEX(Properties!A$1:CB$87,Formula!D78,34))+((Formula!G78)/(Formula!C78+Formula!E78+Formula!G78+Formula!I78+Formula!K78))*(INDEX(Properties!A$1:CB$87,Formula!F78,34))+((Formula!I78)/(Formula!C78+Formula!E78+Formula!G78+Formula!I78+Formula!K78))*(INDEX(Properties!A$1:CB$87,Formula!H78,34))+((Formula!K78)/(Formula!C78+Formula!E78+Formula!G78+Formula!I78+Formula!K78))*(INDEX(Properties!A$1:CB$87,Formula!J78,34))</f>
        <v>2.5198888888888886</v>
      </c>
      <c r="DG78" s="60">
        <f>Formula!C78*(INDEX(Properties!A$1:CB$87,Formula!B78,34))+Formula!E78*(INDEX(Properties!A$1:CB$87,Formula!D78,34))+Formula!G78*(INDEX(Properties!A$1:CB$87,Formula!F78,34))+Formula!I78*(INDEX(Properties!A$1:CB$87,Formula!H78,34))+Formula!K78*(INDEX(Properties!A$1:CB$87,Formula!J78,34))</f>
        <v>22.679000000000002</v>
      </c>
      <c r="DH78" s="60">
        <f>VARP(IF(INDEX(Properties!A$1:CB$87,Formula!B78,34)&lt;&gt;"",INDEX(Properties!A$1:CB$87,Formula!B78,34)),IF(INDEX(Properties!A$1:CB$87,Formula!D78,34)&lt;&gt;"",INDEX(Properties!A$1:CB$87,Formula!D78,34)),IF(INDEX(Properties!A$1:CB$87,Formula!F78,34)&lt;&gt;"",INDEX(Properties!A$1:CB$87,Formula!F78,34)),IF(INDEX(Properties!A$1:CB$87,Formula!H78,34)&lt;&gt;"",INDEX(Properties!A$1:CB$87,Formula!H78,34)),IF(INDEX(Properties!A$1:CB$87,Formula!J78,34)&lt;&gt;"",INDEX(Properties!A$1:CB$87,Formula!J78,34)))</f>
        <v>1.4322605600000002</v>
      </c>
      <c r="DI78" s="60">
        <f>MAX(INDEX(Properties!A$1:CB$87,Formula!B78,34),INDEX(Properties!A$1:CB$87,Formula!D78,34),INDEX(Properties!A$1:CB$87,Formula!F78,34),INDEX(Properties!A$1:CB$87,Formula!H78,34),INDEX(Properties!A$1:CB$87,Formula!J78,34))</f>
        <v>3.61</v>
      </c>
      <c r="DJ78" s="60">
        <f>MIN(IF(INDEX(Properties!A$1:CB$87,Formula!B78,34)=0,10^6,INDEX(Properties!A$1:CB$87,Formula!B78,34)),IF(INDEX(Properties!A$1:CB$87,Formula!D78,34)=0,10^6,INDEX(Properties!A$1:CB$87,Formula!D78,34)),IF(INDEX(Properties!A$1:CB$87,Formula!F78,34)=0,10^6,INDEX(Properties!A$1:CB$87,Formula!F78,34)),IF(INDEX(Properties!A$1:CB$87,Formula!H78,34)=0,10^6,INDEX(Properties!A$1:CB$87,Formula!H78,34)),IF(INDEX(Properties!A$1:CB$87,Formula!J78,34)=0,10^6,INDEX(Properties!A$1:CB$87,Formula!J78,34)))</f>
        <v>0.96299999999999997</v>
      </c>
      <c r="DK78" s="60">
        <f t="shared" si="50"/>
        <v>2.6469999999999998</v>
      </c>
      <c r="DL78" s="45">
        <f>((Formula!C78)/(Formula!C78+Formula!E78+Formula!G78+Formula!I78+Formula!K78))*(INDEX(Properties!A$1:CB$87,Formula!B78,39))+((Formula!E78)/(Formula!C78+Formula!E78+Formula!G78+Formula!I78+Formula!K78))*(INDEX(Properties!A$1:CB$87,Formula!D78,39))+((Formula!G78)/(Formula!C78+Formula!E78+Formula!G78+Formula!I78+Formula!K78))*(INDEX(Properties!A$1:CB$87,Formula!F78,39))+((Formula!I78)/(Formula!C78+Formula!E78+Formula!G78+Formula!I78+Formula!K78))*(INDEX(Properties!A$1:CB$87,Formula!H78,39))+((Formula!K78)/(Formula!C78+Formula!E78+Formula!G78+Formula!I78+Formula!K78))*(INDEX(Properties!A$1:CB$87,Formula!J78,39))</f>
        <v>1.1433333333333333</v>
      </c>
      <c r="DM78" s="45">
        <f>Formula!C78*(INDEX(Properties!A$1:CB$87,Formula!B78,39))+Formula!E78*(INDEX(Properties!A$1:CB$87,Formula!D78,39))+Formula!G78*(INDEX(Properties!A$1:CB$87,Formula!F78,39))+Formula!I78*(INDEX(Properties!A$1:CB$87,Formula!H78,39))+Formula!K78*(INDEX(Properties!A$1:CB$87,Formula!J78,39))</f>
        <v>10.29</v>
      </c>
      <c r="DN78" s="45">
        <f>VARP(IF(INDEX(Properties!A$1:CB$87,Formula!B78,39)&lt;&gt;"",INDEX(Properties!A$1:CB$87,Formula!B78,39)),IF(INDEX(Properties!A$1:CB$87,Formula!D78,39)&lt;&gt;"",INDEX(Properties!A$1:CB$87,Formula!D78,39)),IF(INDEX(Properties!A$1:CB$87,Formula!F78,39)&lt;&gt;"",INDEX(Properties!A$1:CB$87,Formula!F78,39)),IF(INDEX(Properties!A$1:CB$87,Formula!H78,39)&lt;&gt;"",INDEX(Properties!A$1:CB$87,Formula!H78,39)),IF(INDEX(Properties!A$1:CB$87,Formula!J78,39)&lt;&gt;"",INDEX(Properties!A$1:CB$87,Formula!J78,39)))</f>
        <v>0.84186400000000017</v>
      </c>
      <c r="DO78" s="45">
        <f>MAX(INDEX(Properties!A$1:CB$87,Formula!B78,39),INDEX(Properties!A$1:CB$87,Formula!D78,39),INDEX(Properties!A$1:CB$87,Formula!F78,39),INDEX(Properties!A$1:CB$87,Formula!H78,39),INDEX(Properties!A$1:CB$87,Formula!J78,39))</f>
        <v>2.33</v>
      </c>
      <c r="DP78" s="45">
        <f>MIN(IF(INDEX(Properties!A$1:CB$87,Formula!B78,39)=0,10^6,INDEX(Properties!A$1:CB$87,Formula!B78,39)),IF(INDEX(Properties!A$1:CB$87,Formula!D78,39)=0,10^6,INDEX(Properties!A$1:CB$87,Formula!D78,39)),IF(INDEX(Properties!A$1:CB$87,Formula!F78,39)=0,10^6,INDEX(Properties!A$1:CB$87,Formula!F78,39)),IF(INDEX(Properties!A$1:CB$87,Formula!H78,39)=0,10^6,INDEX(Properties!A$1:CB$87,Formula!H78,39)),IF(INDEX(Properties!A$1:CB$87,Formula!J78,39)=0,10^6,INDEX(Properties!A$1:CB$87,Formula!J78,39)))</f>
        <v>0.48</v>
      </c>
      <c r="DQ78" s="45">
        <f t="shared" si="51"/>
        <v>1.85</v>
      </c>
      <c r="DR78" s="63">
        <f>((Formula!C78)/(Formula!C78+Formula!E78+Formula!G78+Formula!I78+Formula!K78))*(INDEX(Properties!A$1:CB$87,Formula!B78,40))+((Formula!E78)/(Formula!C78+Formula!E78+Formula!G78+Formula!I78+Formula!K78))*(INDEX(Properties!A$1:CB$87,Formula!D78,40))+((Formula!G78)/(Formula!C78+Formula!E78+Formula!G78+Formula!I78+Formula!K78))*(INDEX(Properties!A$1:CB$87,Formula!F78,40))+((Formula!I78)/(Formula!C78+Formula!E78+Formula!G78+Formula!I78+Formula!K78))*(INDEX(Properties!A$1:CB$87,Formula!H78,40))+((Formula!K78)/(Formula!C78+Formula!E78+Formula!G78+Formula!I78+Formula!K78))*(INDEX(Properties!A$1:CB$87,Formula!J78,40))</f>
        <v>1.1422222222222222</v>
      </c>
      <c r="DS78" s="63">
        <f>Formula!C78*(INDEX(Properties!A$1:CB$87,Formula!B78,40))+Formula!E78*(INDEX(Properties!A$1:CB$87,Formula!D78,40))+Formula!G78*(INDEX(Properties!A$1:CB$87,Formula!F78,40))+Formula!I78*(INDEX(Properties!A$1:CB$87,Formula!H78,40))+Formula!K78*(INDEX(Properties!A$1:CB$87,Formula!J78,40))</f>
        <v>10.28</v>
      </c>
      <c r="DT78" s="63">
        <f>VARP(IF(INDEX(Properties!A$1:CB$87,Formula!B78,40)&lt;&gt;"",INDEX(Properties!A$1:CB$87,Formula!B78,40)),IF(INDEX(Properties!A$1:CB$87,Formula!D78,40)&lt;&gt;"",INDEX(Properties!A$1:CB$87,Formula!D78,40)),IF(INDEX(Properties!A$1:CB$87,Formula!F78,40)&lt;&gt;"",INDEX(Properties!A$1:CB$87,Formula!F78,40)),IF(INDEX(Properties!A$1:CB$87,Formula!H78,40)&lt;&gt;"",INDEX(Properties!A$1:CB$87,Formula!H78,40)),IF(INDEX(Properties!A$1:CB$87,Formula!J78,40)&lt;&gt;"",INDEX(Properties!A$1:CB$87,Formula!J78,40)))</f>
        <v>0.45701600000000014</v>
      </c>
      <c r="DU78" s="63">
        <f>MAX(INDEX(Properties!A$1:CB$87,Formula!B78,40),INDEX(Properties!A$1:CB$87,Formula!D78,40),INDEX(Properties!A$1:CB$87,Formula!F78,40),INDEX(Properties!A$1:CB$87,Formula!H78,40),INDEX(Properties!A$1:CB$87,Formula!J78,40))</f>
        <v>1.92</v>
      </c>
      <c r="DV78" s="63">
        <f>MIN(IF(INDEX(Properties!A$1:CB$87,Formula!B78,40)=0,10^6,INDEX(Properties!A$1:CB$87,Formula!B78,40)),IF(INDEX(Properties!A$1:CB$87,Formula!D78,40)=0,10^6,INDEX(Properties!A$1:CB$87,Formula!D78,40)),IF(INDEX(Properties!A$1:CB$87,Formula!F78,40)=0,10^6,INDEX(Properties!A$1:CB$87,Formula!F78,40)),IF(INDEX(Properties!A$1:CB$87,Formula!H78,40)=0,10^6,INDEX(Properties!A$1:CB$87,Formula!H78,40)),IF(INDEX(Properties!A$1:CB$87,Formula!J78,40)=0,10^6,INDEX(Properties!A$1:CB$87,Formula!J78,40)))</f>
        <v>0.73</v>
      </c>
      <c r="DW78" s="63">
        <f t="shared" si="52"/>
        <v>1.19</v>
      </c>
      <c r="DX78" s="75">
        <f>((Formula!C78)/(Formula!C78+Formula!E78+Formula!G78+Formula!I78+Formula!K78))*(INDEX(Properties!A$1:CB$87,Formula!B78,41))+((Formula!E78)/(Formula!C78+Formula!E78+Formula!G78+Formula!I78+Formula!K78))*(INDEX(Properties!A$1:CB$87,Formula!D78,41))+((Formula!G78)/(Formula!C78+Formula!E78+Formula!G78+Formula!I78+Formula!K78))*(INDEX(Properties!A$1:CB$87,Formula!F78,41))+((Formula!I78)/(Formula!C78+Formula!E78+Formula!G78+Formula!I78+Formula!K78))*(INDEX(Properties!A$1:CB$87,Formula!H78,41))+((Formula!K78)/(Formula!C78+Formula!E78+Formula!G78+Formula!I78+Formula!K78))*(INDEX(Properties!A$1:CB$87,Formula!J78,41))</f>
        <v>1.1888888888888889</v>
      </c>
      <c r="DY78" s="75">
        <f>Formula!C78*(INDEX(Properties!A$1:CB$87,Formula!B78,41))+Formula!E78*(INDEX(Properties!A$1:CB$87,Formula!D78,41))+Formula!G78*(INDEX(Properties!A$1:CB$87,Formula!F78,41))+Formula!I78*(INDEX(Properties!A$1:CB$87,Formula!H78,41))+Formula!K78*(INDEX(Properties!A$1:CB$87,Formula!J78,41))</f>
        <v>10.7</v>
      </c>
      <c r="DZ78" s="75">
        <f>VARP(IF(INDEX(Properties!A$1:CB$87,Formula!B78,41)&lt;&gt;"",INDEX(Properties!A$1:CB$87,Formula!B78,41)),IF(INDEX(Properties!A$1:CB$87,Formula!D78,41)&lt;&gt;"",INDEX(Properties!A$1:CB$87,Formula!D78,41)),IF(INDEX(Properties!A$1:CB$87,Formula!F78,41)&lt;&gt;"",INDEX(Properties!A$1:CB$87,Formula!F78,41)),IF(INDEX(Properties!A$1:CB$87,Formula!H78,41)&lt;&gt;"",INDEX(Properties!A$1:CB$87,Formula!H78,41)),IF(INDEX(Properties!A$1:CB$87,Formula!J78,41)&lt;&gt;"",INDEX(Properties!A$1:CB$87,Formula!J78,41)))</f>
        <v>0.23833599999999977</v>
      </c>
      <c r="EA78" s="75">
        <f>MAX(INDEX(Properties!A$1:CB$87,Formula!B78,41),INDEX(Properties!A$1:CB$87,Formula!D78,41),INDEX(Properties!A$1:CB$87,Formula!F78,41),INDEX(Properties!A$1:CB$87,Formula!H78,41),INDEX(Properties!A$1:CB$87,Formula!J78,41))</f>
        <v>1.32</v>
      </c>
      <c r="EB78" s="75">
        <f>MIN(IF(INDEX(Properties!A$1:CB$87,Formula!B78,41)=0,10^6,INDEX(Properties!A$1:CB$87,Formula!B78,41)),IF(INDEX(Properties!A$1:CB$87,Formula!D78,41)=0,10^6,INDEX(Properties!A$1:CB$87,Formula!D78,41)),IF(INDEX(Properties!A$1:CB$87,Formula!F78,41)=0,10^6,INDEX(Properties!A$1:CB$87,Formula!F78,41)),IF(INDEX(Properties!A$1:CB$87,Formula!H78,41)=0,10^6,INDEX(Properties!A$1:CB$87,Formula!H78,41)),IF(INDEX(Properties!A$1:CB$87,Formula!J78,41)=0,10^6,INDEX(Properties!A$1:CB$87,Formula!J78,41)))</f>
        <v>0.68</v>
      </c>
      <c r="EC78" s="75">
        <f t="shared" si="53"/>
        <v>0.64</v>
      </c>
      <c r="ED78" s="48">
        <f>((Formula!C78)/(Formula!C78+Formula!E78+Formula!G78+Formula!I78+Formula!K78))*(INDEX(Properties!A$1:CB$87,Formula!B78,45))+((Formula!E78)/(Formula!C78+Formula!E78+Formula!G78+Formula!I78+Formula!K78))*(INDEX(Properties!A$1:CB$87,Formula!D78,45))+((Formula!G78)/(Formula!C78+Formula!E78+Formula!G78+Formula!I78+Formula!K78))*(INDEX(Properties!A$1:CB$87,Formula!F78,45))+((Formula!I78)/(Formula!C78+Formula!E78+Formula!G78+Formula!I78+Formula!K78))*(INDEX(Properties!A$1:CB$87,Formula!H78,45))+((Formula!K78)/(Formula!C78+Formula!E78+Formula!G78+Formula!I78+Formula!K78))*(INDEX(Properties!A$1:CB$87,Formula!J78,45))</f>
        <v>1.5955555555555554</v>
      </c>
      <c r="EE78" s="48">
        <f>Formula!C78*(INDEX(Properties!A$1:CB$87,Formula!B78,45))+Formula!E78*(INDEX(Properties!A$1:CB$87,Formula!D78,45))+Formula!G78*(INDEX(Properties!A$1:CB$87,Formula!F78,45))+Formula!I78*(INDEX(Properties!A$1:CB$87,Formula!H78,45))+Formula!K78*(INDEX(Properties!A$1:CB$87,Formula!J78,45))</f>
        <v>14.36</v>
      </c>
      <c r="EF78" s="48">
        <f>VARP(IF(INDEX(Properties!A$1:CB$87,Formula!B78,45)&lt;&gt;"",INDEX(Properties!A$1:CB$87,Formula!B78,45)),IF(INDEX(Properties!A$1:CB$87,Formula!D78,45)&lt;&gt;"",INDEX(Properties!A$1:CB$87,Formula!D78,45)),IF(INDEX(Properties!A$1:CB$87,Formula!F78,45)&lt;&gt;"",INDEX(Properties!A$1:CB$87,Formula!F78,45)),IF(INDEX(Properties!A$1:CB$87,Formula!H78,45)&lt;&gt;"",INDEX(Properties!A$1:CB$87,Formula!H78,45)),IF(INDEX(Properties!A$1:CB$87,Formula!J78,45)&lt;&gt;"",INDEX(Properties!A$1:CB$87,Formula!J78,45)))</f>
        <v>2.2897839999999992</v>
      </c>
      <c r="EG78" s="48">
        <f>MAX(INDEX(Properties!A$1:CB$87,Formula!B78,45),INDEX(Properties!A$1:CB$87,Formula!D78,45),INDEX(Properties!A$1:CB$87,Formula!F78,45),INDEX(Properties!A$1:CB$87,Formula!H78,45),INDEX(Properties!A$1:CB$87,Formula!J78,45))</f>
        <v>3.91</v>
      </c>
      <c r="EH78" s="48">
        <f>MIN(IF(INDEX(Properties!A$1:CB$87,Formula!B78,45)=0,10^6,INDEX(Properties!A$1:CB$87,Formula!B78,45)),IF(INDEX(Properties!A$1:CB$87,Formula!D78,45)=0,10^6,INDEX(Properties!A$1:CB$87,Formula!D78,45)),IF(INDEX(Properties!A$1:CB$87,Formula!F78,45)=0,10^6,INDEX(Properties!A$1:CB$87,Formula!F78,45)),IF(INDEX(Properties!A$1:CB$87,Formula!H78,45)=0,10^6,INDEX(Properties!A$1:CB$87,Formula!H78,45)),IF(INDEX(Properties!A$1:CB$87,Formula!J78,45)=0,10^6,INDEX(Properties!A$1:CB$87,Formula!J78,45)))</f>
        <v>0.47</v>
      </c>
      <c r="EI78" s="48">
        <f t="shared" si="54"/>
        <v>3.4400000000000004</v>
      </c>
      <c r="EJ78" s="66">
        <f>((Formula!C78)/(Formula!C78+Formula!E78+Formula!G78+Formula!I78+Formula!K78))*(INDEX(Properties!A$1:CB$87,Formula!B78,46))+((Formula!E78)/(Formula!C78+Formula!E78+Formula!G78+Formula!I78+Formula!K78))*(INDEX(Properties!A$1:CB$87,Formula!D78,46))+((Formula!G78)/(Formula!C78+Formula!E78+Formula!G78+Formula!I78+Formula!K78))*(INDEX(Properties!A$1:CB$87,Formula!F78,46))+((Formula!I78)/(Formula!C78+Formula!E78+Formula!G78+Formula!I78+Formula!K78))*(INDEX(Properties!A$1:CB$87,Formula!H78,46))+((Formula!K78)/(Formula!C78+Formula!E78+Formula!G78+Formula!I78+Formula!K78))*(INDEX(Properties!A$1:CB$87,Formula!J78,46))</f>
        <v>1.1444444444444444</v>
      </c>
      <c r="EK78" s="66">
        <f>Formula!C78*(INDEX(Properties!A$1:CB$87,Formula!B78,46))+Formula!E78*(INDEX(Properties!A$1:CB$87,Formula!D78,46))+Formula!G78*(INDEX(Properties!A$1:CB$87,Formula!F78,46))+Formula!I78*(INDEX(Properties!A$1:CB$87,Formula!H78,46))+Formula!K78*(INDEX(Properties!A$1:CB$87,Formula!J78,46))</f>
        <v>10.3</v>
      </c>
      <c r="EL78" s="66">
        <f>VARP(IF(INDEX(Properties!A$1:CB$87,Formula!B78,46)&lt;&gt;"",INDEX(Properties!A$1:CB$87,Formula!B78,46)),IF(INDEX(Properties!A$1:CB$87,Formula!D78,46)&lt;&gt;"",INDEX(Properties!A$1:CB$87,Formula!D78,46)),IF(INDEX(Properties!A$1:CB$87,Formula!F78,46)&lt;&gt;"",INDEX(Properties!A$1:CB$87,Formula!F78,46)),IF(INDEX(Properties!A$1:CB$87,Formula!H78,46)&lt;&gt;"",INDEX(Properties!A$1:CB$87,Formula!H78,46)),IF(INDEX(Properties!A$1:CB$87,Formula!J78,46)&lt;&gt;"",INDEX(Properties!A$1:CB$87,Formula!J78,46)))</f>
        <v>0.24517599999999987</v>
      </c>
      <c r="EM78" s="66">
        <f>MAX(INDEX(Properties!A$1:CB$87,Formula!B78,46),INDEX(Properties!A$1:CB$87,Formula!D78,46),INDEX(Properties!A$1:CB$87,Formula!F78,46),INDEX(Properties!A$1:CB$87,Formula!H78,46),INDEX(Properties!A$1:CB$87,Formula!J78,46))</f>
        <v>1.32</v>
      </c>
      <c r="EN78" s="66">
        <f>MIN(IF(INDEX(Properties!A$1:CB$87,Formula!B78,46)=0,10^6,INDEX(Properties!A$1:CB$87,Formula!B78,46)),IF(INDEX(Properties!A$1:CB$87,Formula!D78,46)=0,10^6,INDEX(Properties!A$1:CB$87,Formula!D78,46)),IF(INDEX(Properties!A$1:CB$87,Formula!F78,46)=0,10^6,INDEX(Properties!A$1:CB$87,Formula!F78,46)),IF(INDEX(Properties!A$1:CB$87,Formula!H78,46)=0,10^6,INDEX(Properties!A$1:CB$87,Formula!H78,46)),IF(INDEX(Properties!A$1:CB$87,Formula!J78,46)=0,10^6,INDEX(Properties!A$1:CB$87,Formula!J78,46)))</f>
        <v>0.53</v>
      </c>
      <c r="EO78" s="66">
        <f t="shared" si="55"/>
        <v>0.79</v>
      </c>
      <c r="EP78" s="81">
        <f>((Formula!C78)/(Formula!C78+Formula!E78+Formula!G78+Formula!I78+Formula!K78))*(INDEX(Properties!A$1:CB$87,Formula!B78,52))+((Formula!E78)/(Formula!C78+Formula!E78+Formula!G78+Formula!I78+Formula!K78))*(INDEX(Properties!A$1:CB$87,Formula!D78,52))+((Formula!G78)/(Formula!C78+Formula!E78+Formula!G78+Formula!I78+Formula!K78))*(INDEX(Properties!A$1:CB$87,Formula!F78,52))+((Formula!I78)/(Formula!C78+Formula!E78+Formula!G78+Formula!I78+Formula!K78))*(INDEX(Properties!A$1:CB$87,Formula!H78,52))+((Formula!K78)/(Formula!C78+Formula!E78+Formula!G78+Formula!I78+Formula!K78))*(INDEX(Properties!A$1:CB$87,Formula!J78,52))</f>
        <v>10.107222222222223</v>
      </c>
      <c r="EQ78" s="81">
        <f>Formula!C78*(INDEX(Properties!A$1:CB$87,Formula!B78,52))+Formula!E78*(INDEX(Properties!A$1:CB$87,Formula!D78,52))+Formula!G78*(INDEX(Properties!A$1:CB$87,Formula!F78,52))+Formula!I78*(INDEX(Properties!A$1:CB$87,Formula!H78,52))+Formula!K78*(INDEX(Properties!A$1:CB$87,Formula!J78,52))</f>
        <v>90.965000000000003</v>
      </c>
      <c r="ER78" s="81">
        <f>VARP(IF(INDEX(Properties!A$1:CB$87,Formula!B78,52)&lt;&gt;"",INDEX(Properties!A$1:CB$87,Formula!B78,52)),IF(INDEX(Properties!A$1:CB$87,Formula!D78,52)&lt;&gt;"",INDEX(Properties!A$1:CB$87,Formula!D78,52)),IF(INDEX(Properties!A$1:CB$87,Formula!F78,52)&lt;&gt;"",INDEX(Properties!A$1:CB$87,Formula!F78,52)),IF(INDEX(Properties!A$1:CB$87,Formula!H78,52)&lt;&gt;"",INDEX(Properties!A$1:CB$87,Formula!H78,52)),IF(INDEX(Properties!A$1:CB$87,Formula!J78,52)&lt;&gt;"",INDEX(Properties!A$1:CB$87,Formula!J78,52)))</f>
        <v>131.77787984000003</v>
      </c>
      <c r="ES78" s="81">
        <f>MAX(INDEX(Properties!A$1:CB$87,Formula!B78,52),INDEX(Properties!A$1:CB$87,Formula!D78,52),INDEX(Properties!A$1:CB$87,Formula!F78,52),INDEX(Properties!A$1:CB$87,Formula!H78,52),INDEX(Properties!A$1:CB$87,Formula!J78,52))</f>
        <v>27.6</v>
      </c>
      <c r="ET78" s="81">
        <f>MIN(IF(INDEX(Properties!A$1:CB$87,Formula!B78,52)=0,10^6,INDEX(Properties!A$1:CB$87,Formula!B78,52)),IF(INDEX(Properties!A$1:CB$87,Formula!D78,52)=0,10^6,INDEX(Properties!A$1:CB$87,Formula!D78,52)),IF(INDEX(Properties!A$1:CB$87,Formula!F78,52)=0,10^6,INDEX(Properties!A$1:CB$87,Formula!F78,52)),IF(INDEX(Properties!A$1:CB$87,Formula!H78,52)=0,10^6,INDEX(Properties!A$1:CB$87,Formula!H78,52)),IF(INDEX(Properties!A$1:CB$87,Formula!J78,52)=0,10^6,INDEX(Properties!A$1:CB$87,Formula!J78,52)))</f>
        <v>0.79300000000000004</v>
      </c>
      <c r="EU78" s="81">
        <f t="shared" si="56"/>
        <v>26.807000000000002</v>
      </c>
      <c r="EV78" s="39">
        <f>((Formula!C78)/(Formula!C78+Formula!E78+Formula!G78+Formula!I78+Formula!K78))*(INDEX(Properties!A$1:CB$87,Formula!B78,53))+((Formula!E78)/(Formula!C78+Formula!E78+Formula!G78+Formula!I78+Formula!K78))*(INDEX(Properties!A$1:CB$87,Formula!D78,53))+((Formula!G78)/(Formula!C78+Formula!E78+Formula!G78+Formula!I78+Formula!K78))*(INDEX(Properties!A$1:CB$87,Formula!F78,53))+((Formula!I78)/(Formula!C78+Formula!E78+Formula!G78+Formula!I78+Formula!K78))*(INDEX(Properties!A$1:CB$87,Formula!H78,53))+((Formula!K78)/(Formula!C78+Formula!E78+Formula!G78+Formula!I78+Formula!K78))*(INDEX(Properties!A$1:CB$87,Formula!J78,53))</f>
        <v>541.92777777777781</v>
      </c>
      <c r="EW78" s="39">
        <f>Formula!C78*(INDEX(Properties!A$1:CB$87,Formula!B78,53))+Formula!E78*(INDEX(Properties!A$1:CB$87,Formula!D78,53))+Formula!G78*(INDEX(Properties!A$1:CB$87,Formula!F78,53))+Formula!I78*(INDEX(Properties!A$1:CB$87,Formula!H78,53))+Formula!K78*(INDEX(Properties!A$1:CB$87,Formula!J78,53))</f>
        <v>4877.3500000000004</v>
      </c>
      <c r="EX78" s="39">
        <f>VARP(IF(INDEX(Properties!A$1:CB$87,Formula!B78,53)&lt;&gt;"",INDEX(Properties!A$1:CB$87,Formula!B78,53)),IF(INDEX(Properties!A$1:CB$87,Formula!D78,53)&lt;&gt;"",INDEX(Properties!A$1:CB$87,Formula!D78,53)),IF(INDEX(Properties!A$1:CB$87,Formula!F78,53)&lt;&gt;"",INDEX(Properties!A$1:CB$87,Formula!F78,53)),IF(INDEX(Properties!A$1:CB$87,Formula!H78,53)&lt;&gt;"",INDEX(Properties!A$1:CB$87,Formula!H78,53)),IF(INDEX(Properties!A$1:CB$87,Formula!J78,53)&lt;&gt;"",INDEX(Properties!A$1:CB$87,Formula!J78,53)))</f>
        <v>372066.88840000005</v>
      </c>
      <c r="EY78" s="39">
        <f>MAX(INDEX(Properties!A$1:CB$87,Formula!B78,53),INDEX(Properties!A$1:CB$87,Formula!D78,53),INDEX(Properties!A$1:CB$87,Formula!F78,53),INDEX(Properties!A$1:CB$87,Formula!H78,53),INDEX(Properties!A$1:CB$87,Formula!J78,53))</f>
        <v>1586.15</v>
      </c>
      <c r="EZ78" s="39">
        <f>MIN(IF(INDEX(Properties!A$1:CB$87,Formula!B78,53)=0,10^6,INDEX(Properties!A$1:CB$87,Formula!B78,53)),IF(INDEX(Properties!A$1:CB$87,Formula!D78,53)=0,10^6,INDEX(Properties!A$1:CB$87,Formula!D78,53)),IF(INDEX(Properties!A$1:CB$87,Formula!F78,53)=0,10^6,INDEX(Properties!A$1:CB$87,Formula!F78,53)),IF(INDEX(Properties!A$1:CB$87,Formula!H78,53)=0,10^6,INDEX(Properties!A$1:CB$87,Formula!H78,53)),IF(INDEX(Properties!A$1:CB$87,Formula!J78,53)=0,10^6,INDEX(Properties!A$1:CB$87,Formula!J78,53)))</f>
        <v>54.749999999999972</v>
      </c>
      <c r="FA78" s="39">
        <f t="shared" si="57"/>
        <v>1531.4</v>
      </c>
      <c r="FB78" s="54">
        <f>((Formula!C78)/(Formula!C78+Formula!E78+Formula!G78+Formula!I78+Formula!K78))*(INDEX(Properties!A$1:CB$87,Formula!B78,54))+((Formula!E78)/(Formula!C78+Formula!E78+Formula!G78+Formula!I78+Formula!K78))*(INDEX(Properties!A$1:CB$87,Formula!D78,54))+((Formula!G78)/(Formula!C78+Formula!E78+Formula!G78+Formula!I78+Formula!K78))*(INDEX(Properties!A$1:CB$87,Formula!F78,54))+((Formula!I78)/(Formula!C78+Formula!E78+Formula!G78+Formula!I78+Formula!K78))*(INDEX(Properties!A$1:CB$87,Formula!H78,54))+((Formula!K78)/(Formula!C78+Formula!E78+Formula!G78+Formula!I78+Formula!K78))*(INDEX(Properties!A$1:CB$87,Formula!J78,54))</f>
        <v>1116.8166666666664</v>
      </c>
      <c r="FC78" s="54">
        <f>Formula!C78*(INDEX(Properties!A$1:CB$87,Formula!B78,54))+Formula!E78*(INDEX(Properties!A$1:CB$87,Formula!D78,54))+Formula!G78*(INDEX(Properties!A$1:CB$87,Formula!F78,54))+Formula!I78*(INDEX(Properties!A$1:CB$87,Formula!H78,54))+Formula!K78*(INDEX(Properties!A$1:CB$87,Formula!J78,54))</f>
        <v>10051.35</v>
      </c>
      <c r="FD78" s="54">
        <f>VARP(IF(INDEX(Properties!A$1:CB$87,Formula!B78,54)&lt;&gt;"",INDEX(Properties!A$1:CB$87,Formula!B78,54)),IF(INDEX(Properties!A$1:CB$87,Formula!D78,54)&lt;&gt;"",INDEX(Properties!A$1:CB$87,Formula!D78,54)),IF(INDEX(Properties!A$1:CB$87,Formula!F78,54)&lt;&gt;"",INDEX(Properties!A$1:CB$87,Formula!F78,54)),IF(INDEX(Properties!A$1:CB$87,Formula!H78,54)&lt;&gt;"",INDEX(Properties!A$1:CB$87,Formula!H78,54)),IF(INDEX(Properties!A$1:CB$87,Formula!J78,54)&lt;&gt;"",INDEX(Properties!A$1:CB$87,Formula!J78,54)))</f>
        <v>1986025.8396000003</v>
      </c>
      <c r="FE78" s="54">
        <f>MAX(INDEX(Properties!A$1:CB$87,Formula!B78,54),INDEX(Properties!A$1:CB$87,Formula!D78,54),INDEX(Properties!A$1:CB$87,Formula!F78,54),INDEX(Properties!A$1:CB$87,Formula!H78,54),INDEX(Properties!A$1:CB$87,Formula!J78,54))</f>
        <v>3546.15</v>
      </c>
      <c r="FF78" s="54">
        <f>MIN(IF(INDEX(Properties!A$1:CB$87,Formula!B78,54)=0,10^6,INDEX(Properties!A$1:CB$87,Formula!B78,54)),IF(INDEX(Properties!A$1:CB$87,Formula!D78,54)=0,10^6,INDEX(Properties!A$1:CB$87,Formula!D78,54)),IF(INDEX(Properties!A$1:CB$87,Formula!F78,54)=0,10^6,INDEX(Properties!A$1:CB$87,Formula!F78,54)),IF(INDEX(Properties!A$1:CB$87,Formula!H78,54)=0,10^6,INDEX(Properties!A$1:CB$87,Formula!H78,54)),IF(INDEX(Properties!A$1:CB$87,Formula!J78,54)=0,10^6,INDEX(Properties!A$1:CB$87,Formula!J78,54)))</f>
        <v>90.149999999999977</v>
      </c>
      <c r="FG78" s="54">
        <f t="shared" si="58"/>
        <v>3456</v>
      </c>
      <c r="FH78" s="69">
        <f>((Formula!C78)/(Formula!C78+Formula!E78+Formula!G78+Formula!I78+Formula!K78))*(INDEX(Properties!A$1:CB$87,Formula!B78,55))+((Formula!E78)/(Formula!C78+Formula!E78+Formula!G78+Formula!I78+Formula!K78))*(INDEX(Properties!A$1:CB$87,Formula!D78,55))+((Formula!G78)/(Formula!C78+Formula!E78+Formula!G78+Formula!I78+Formula!K78))*(INDEX(Properties!A$1:CB$87,Formula!F78,55))+((Formula!I78)/(Formula!C78+Formula!E78+Formula!G78+Formula!I78+Formula!K78))*(INDEX(Properties!A$1:CB$87,Formula!H78,55))+((Formula!K78)/(Formula!C78+Formula!E78+Formula!G78+Formula!I78+Formula!K78))*(INDEX(Properties!A$1:CB$87,Formula!J78,55))</f>
        <v>1.7630166666666667</v>
      </c>
      <c r="FI78" s="69">
        <f>Formula!C78*(INDEX(Properties!A$1:CB$87,Formula!B78,55))+Formula!E78*(INDEX(Properties!A$1:CB$87,Formula!D78,54))+Formula!G78*(INDEX(Properties!A$1:CB$87,Formula!F78,55))+Formula!I78*(INDEX(Properties!A$1:CB$87,Formula!H78,55))+Formula!K78*(INDEX(Properties!A$1:CB$87,Formula!J78,55))</f>
        <v>3324.90715</v>
      </c>
      <c r="FJ78" s="69">
        <f>VARP(IF(INDEX(Properties!A$1:CB$87,Formula!B78,55)&lt;&gt;"",INDEX(Properties!A$1:CB$87,Formula!B78,55)),IF(INDEX(Properties!A$1:CB$87,Formula!D78,55)&lt;&gt;"",INDEX(Properties!A$1:CB$87,Formula!D78,55)),IF(INDEX(Properties!A$1:CB$87,Formula!F78,55)&lt;&gt;"",INDEX(Properties!A$1:CB$87,Formula!F78,55)),IF(INDEX(Properties!A$1:CB$87,Formula!H78,55)&lt;&gt;"",INDEX(Properties!A$1:CB$87,Formula!H78,55)),IF(INDEX(Properties!A$1:CB$87,Formula!J78,55)&lt;&gt;"",INDEX(Properties!A$1:CB$87,Formula!J78,55)))</f>
        <v>8.3205508151840046</v>
      </c>
      <c r="FK78" s="69">
        <f>MAX(INDEX(Properties!A$1:CB$87,Formula!B78,55),INDEX(Properties!A$1:CB$87,Formula!D78,55),INDEX(Properties!A$1:CB$87,Formula!F78,55),INDEX(Properties!A$1:CB$87,Formula!H78,55),INDEX(Properties!A$1:CB$87,Formula!J78,55))</f>
        <v>7.9</v>
      </c>
      <c r="FL78" s="69">
        <f>MIN(IF(INDEX(Properties!A$1:CB$87,Formula!B78,55)=0,10^6,INDEX(Properties!A$1:CB$87,Formula!B78,55)),IF(INDEX(Properties!A$1:CB$87,Formula!D78,55)=0,10^6,INDEX(Properties!A$1:CB$87,Formula!D78,55)),IF(INDEX(Properties!A$1:CB$87,Formula!F78,55)=0,10^6,INDEX(Properties!A$1:CB$87,Formula!F78,55)),IF(INDEX(Properties!A$1:CB$87,Formula!H78,55)=0,10^6,INDEX(Properties!A$1:CB$87,Formula!H78,55)),IF(INDEX(Properties!A$1:CB$87,Formula!J78,55)=0,10^6,INDEX(Properties!A$1:CB$87,Formula!J78,55)))</f>
        <v>1.4300000000000001E-3</v>
      </c>
      <c r="FM78" s="69">
        <f t="shared" si="59"/>
        <v>7.8985700000000003</v>
      </c>
      <c r="FN78" s="42">
        <f>((Formula!C78)/(Formula!C78+Formula!E78+Formula!G78+Formula!I78+Formula!K78))*(INDEX(Properties!A$1:CB$87,Formula!B78,56))+((Formula!E78)/(Formula!C78+Formula!E78+Formula!G78+Formula!I78+Formula!K78))*(INDEX(Properties!A$1:CB$87,Formula!D78,56))+((Formula!G78)/(Formula!C78+Formula!E78+Formula!G78+Formula!I78+Formula!K78))*(INDEX(Properties!A$1:CB$87,Formula!F78,56))+((Formula!I78)/(Formula!C78+Formula!E78+Formula!G78+Formula!I78+Formula!K78))*(INDEX(Properties!A$1:CB$87,Formula!H78,56))+((Formula!K78)/(Formula!C78+Formula!E78+Formula!G78+Formula!I78+Formula!K78))*(INDEX(Properties!A$1:CB$87,Formula!J78,56))</f>
        <v>0.70333333333333337</v>
      </c>
      <c r="FO78" s="42">
        <f>Formula!C78*(INDEX(Properties!A$1:CB$87,Formula!B78,56))+Formula!E78*(INDEX(Properties!A$1:CB$87,Formula!D78,56))+Formula!G78*(INDEX(Properties!A$1:CB$87,Formula!F78,56))+Formula!I78*(INDEX(Properties!A$1:CB$87,Formula!H78,56))+Formula!K78*(INDEX(Properties!A$1:CB$87,Formula!J78,56))</f>
        <v>6.33</v>
      </c>
      <c r="FP78" s="42">
        <f>VARP(IF(INDEX(Properties!A$1:CB$87,Formula!B78,56)&lt;&gt;"",INDEX(Properties!A$1:CB$87,Formula!B78,56)),IF(INDEX(Properties!A$1:CB$87,Formula!D78,56)&lt;&gt;"",INDEX(Properties!A$1:CB$87,Formula!D78,56)),IF(INDEX(Properties!A$1:CB$87,Formula!F78,56)&lt;&gt;"",INDEX(Properties!A$1:CB$87,Formula!F78,56)),IF(INDEX(Properties!A$1:CB$87,Formula!H78,56)&lt;&gt;"",INDEX(Properties!A$1:CB$87,Formula!H78,56)),IF(INDEX(Properties!A$1:CB$87,Formula!J78,56)&lt;&gt;"",INDEX(Properties!A$1:CB$87,Formula!J78,56)))</f>
        <v>0.13896</v>
      </c>
      <c r="FQ78" s="42">
        <f>MAX(INDEX(Properties!A$1:CB$87,Formula!B78,56),INDEX(Properties!A$1:CB$87,Formula!D78,56),INDEX(Properties!A$1:CB$87,Formula!F78,56),INDEX(Properties!A$1:CB$87,Formula!H78,56),INDEX(Properties!A$1:CB$87,Formula!J78,56))</f>
        <v>0.92</v>
      </c>
      <c r="FR78" s="42">
        <f>MIN(IF(INDEX(Properties!A$1:CB$87,Formula!B78,56)=0,10^6,INDEX(Properties!A$1:CB$87,Formula!B78,56)),IF(INDEX(Properties!A$1:CB$87,Formula!D78,56)=0,10^6,INDEX(Properties!A$1:CB$87,Formula!D78,56)),IF(INDEX(Properties!A$1:CB$87,Formula!F78,56)=0,10^6,INDEX(Properties!A$1:CB$87,Formula!F78,56)),IF(INDEX(Properties!A$1:CB$87,Formula!H78,56)=0,10^6,INDEX(Properties!A$1:CB$87,Formula!H78,56)),IF(INDEX(Properties!A$1:CB$87,Formula!J78,56)=0,10^6,INDEX(Properties!A$1:CB$87,Formula!J78,56)))</f>
        <v>0.23</v>
      </c>
      <c r="FS78" s="42">
        <f t="shared" si="60"/>
        <v>0.69000000000000006</v>
      </c>
      <c r="FT78" s="60">
        <f>((Formula!C78)/(Formula!C78+Formula!E78+Formula!G78+Formula!I78+Formula!K78))*(INDEX(Properties!A$1:CB$87,Formula!B78,57))+((Formula!E78)/(Formula!C78+Formula!E78+Formula!G78+Formula!I78+Formula!K78))*(INDEX(Properties!A$1:CB$87,Formula!D78,57))+((Formula!G78)/(Formula!C78+Formula!E78+Formula!G78+Formula!I78+Formula!K78))*(INDEX(Properties!A$1:CB$87,Formula!F78,57))+((Formula!I78)/(Formula!C78+Formula!E78+Formula!G78+Formula!I78+Formula!K78))*(INDEX(Properties!A$1:CB$87,Formula!H78,57))+((Formula!K78)/(Formula!C78+Formula!E78+Formula!G78+Formula!I78+Formula!K78))*(INDEX(Properties!A$1:CB$87,Formula!J78,57))</f>
        <v>4.2836611111111109</v>
      </c>
      <c r="FU78" s="60">
        <f>Formula!C78*(INDEX(Properties!A$1:CB$87,Formula!B78,57))+Formula!E78*(INDEX(Properties!A$1:CB$87,Formula!D78,57))+Formula!G78*(INDEX(Properties!A$1:CB$87,Formula!F78,57))+Formula!I78*(INDEX(Properties!A$1:CB$87,Formula!H78,57))+Formula!K78*(INDEX(Properties!A$1:CB$87,Formula!J78,57))</f>
        <v>38.552949999999996</v>
      </c>
      <c r="FV78" s="60">
        <f>VARP(IF(INDEX(Properties!A$1:CB$87,Formula!B78,57)&lt;&gt;"",INDEX(Properties!A$1:CB$87,Formula!B78,57)),IF(INDEX(Properties!A$1:CB$87,Formula!D78,57)&lt;&gt;"",INDEX(Properties!A$1:CB$87,Formula!D78,57)),IF(INDEX(Properties!A$1:CB$87,Formula!F78,57)&lt;&gt;"",INDEX(Properties!A$1:CB$87,Formula!F78,57)),IF(INDEX(Properties!A$1:CB$87,Formula!H78,57)&lt;&gt;"",INDEX(Properties!A$1:CB$87,Formula!H78,57)),IF(INDEX(Properties!A$1:CB$87,Formula!J78,57)&lt;&gt;"",INDEX(Properties!A$1:CB$87,Formula!J78,57)))</f>
        <v>22.786761601295996</v>
      </c>
      <c r="FW78" s="60">
        <f>MAX(INDEX(Properties!A$1:CB$87,Formula!B78,57),INDEX(Properties!A$1:CB$87,Formula!D78,57),INDEX(Properties!A$1:CB$87,Formula!F78,57),INDEX(Properties!A$1:CB$87,Formula!H78,57),INDEX(Properties!A$1:CB$87,Formula!J78,57))</f>
        <v>10.79</v>
      </c>
      <c r="FX78" s="60">
        <f>MIN(IF(INDEX(Properties!A$1:CB$87,Formula!B78,57)=0,10^6,INDEX(Properties!A$1:CB$87,Formula!B78,57)),IF(INDEX(Properties!A$1:CB$87,Formula!D78,57)=0,10^6,INDEX(Properties!A$1:CB$87,Formula!D78,57)),IF(INDEX(Properties!A$1:CB$87,Formula!F78,57)=0,10^6,INDEX(Properties!A$1:CB$87,Formula!F78,57)),IF(INDEX(Properties!A$1:CB$87,Formula!H78,57)=0,10^6,INDEX(Properties!A$1:CB$87,Formula!H78,57)),IF(INDEX(Properties!A$1:CB$87,Formula!J78,57)=0,10^6,INDEX(Properties!A$1:CB$87,Formula!J78,57)))</f>
        <v>0.22259000000000001</v>
      </c>
      <c r="FY78" s="60">
        <f t="shared" si="61"/>
        <v>10.567409999999999</v>
      </c>
      <c r="FZ78" s="72">
        <f>((Formula!C78)/(Formula!C78+Formula!E78+Formula!G78+Formula!I78+Formula!K78))*(INDEX(Properties!A$1:CB$87,Formula!B78,60))+((Formula!E78)/(Formula!C78+Formula!E78+Formula!G78+Formula!I78+Formula!K78))*(INDEX(Properties!A$1:CB$87,Formula!D78,60))+((Formula!G78)/(Formula!C78+Formula!E78+Formula!G78+Formula!I78+Formula!K78))*(INDEX(Properties!A$1:CB$87,Formula!F78,60))+((Formula!I78)/(Formula!C78+Formula!E78+Formula!G78+Formula!I78+Formula!K78))*(INDEX(Properties!A$1:CB$87,Formula!H78,60))+((Formula!K78)/(Formula!C78+Formula!E78+Formula!G78+Formula!I78+Formula!K78))*(INDEX(Properties!A$1:CB$87,Formula!J78,60))</f>
        <v>35.37041111111111</v>
      </c>
      <c r="GA78" s="72">
        <f>Formula!C78*(INDEX(Properties!A$1:CB$87,Formula!B78,60))+Formula!E78*(INDEX(Properties!A$1:CB$87,Formula!D78,60))+Formula!G78*(INDEX(Properties!A$1:CB$87,Formula!F78,60))+Formula!I78*(INDEX(Properties!A$1:CB$87,Formula!H78,60))+Formula!K78*(INDEX(Properties!A$1:CB$87,Formula!J78,60))</f>
        <v>318.33369999999996</v>
      </c>
      <c r="GB78" s="72">
        <f>VARP(IF(INDEX(Properties!A$1:CB$87,Formula!B78,60)&lt;&gt;"",INDEX(Properties!A$1:CB$87,Formula!B78,60)),IF(INDEX(Properties!A$1:CB$87,Formula!D78,60)&lt;&gt;"",INDEX(Properties!A$1:CB$87,Formula!D78,60)),IF(INDEX(Properties!A$1:CB$87,Formula!F78,60)&lt;&gt;"",INDEX(Properties!A$1:CB$87,Formula!F78,60)),IF(INDEX(Properties!A$1:CB$87,Formula!H78,60)&lt;&gt;"",INDEX(Properties!A$1:CB$87,Formula!H78,60)),IF(INDEX(Properties!A$1:CB$87,Formula!J78,60)&lt;&gt;"",INDEX(Properties!A$1:CB$87,Formula!J78,60)))</f>
        <v>8303.5885347244148</v>
      </c>
      <c r="GC78" s="72">
        <f>MAX(INDEX(Properties!A$1:CB$87,Formula!B78,60),INDEX(Properties!A$1:CB$87,Formula!D78,60),INDEX(Properties!A$1:CB$87,Formula!F78,60),INDEX(Properties!A$1:CB$87,Formula!H78,60),INDEX(Properties!A$1:CB$87,Formula!J78,60))</f>
        <v>237</v>
      </c>
      <c r="GD78" s="72">
        <f>MIN(IF(INDEX(Properties!A$1:CB$87,Formula!B78,60)=0,10^6,INDEX(Properties!A$1:CB$87,Formula!B78,60)),IF(INDEX(Properties!A$1:CB$87,Formula!D78,60)=0,10^6,INDEX(Properties!A$1:CB$87,Formula!D78,60)),IF(INDEX(Properties!A$1:CB$87,Formula!F78,60)=0,10^6,INDEX(Properties!A$1:CB$87,Formula!F78,60)),IF(INDEX(Properties!A$1:CB$87,Formula!H78,60)=0,10^6,INDEX(Properties!A$1:CB$87,Formula!H78,60)),IF(INDEX(Properties!A$1:CB$87,Formula!J78,60)=0,10^6,INDEX(Properties!A$1:CB$87,Formula!J78,60)))</f>
        <v>2.674E-2</v>
      </c>
      <c r="GE78" s="72">
        <f t="shared" si="62"/>
        <v>236.97326000000001</v>
      </c>
      <c r="GF78" s="51">
        <f>((Formula!C78)/(Formula!C78+Formula!E78+Formula!G78+Formula!I78+Formula!K78))*(INDEX(Properties!A$1:CB$87,Formula!B78,62))+((Formula!E78)/(Formula!C78+Formula!E78+Formula!G78+Formula!I78+Formula!K78))*(INDEX(Properties!A$1:CB$87,Formula!D78,62))+((Formula!G78)/(Formula!C78+Formula!E78+Formula!G78+Formula!I78+Formula!K78))*(INDEX(Properties!A$1:CB$87,Formula!F78,62))+((Formula!I78)/(Formula!C78+Formula!E78+Formula!G78+Formula!I78+Formula!K78))*(INDEX(Properties!A$1:CB$87,Formula!H78,62))+((Formula!K78)/(Formula!C78+Formula!E78+Formula!G78+Formula!I78+Formula!K78))*(INDEX(Properties!A$1:CB$87,Formula!J78,62))</f>
        <v>2.6744444444444446</v>
      </c>
      <c r="GG78" s="51">
        <f>Formula!C78*(INDEX(Properties!A$1:CB$87,Formula!B78,62))+Formula!E78*(INDEX(Properties!A$1:CB$87,Formula!D78,62))+Formula!G78*(INDEX(Properties!A$1:CB$87,Formula!F78,62))+Formula!I78*(INDEX(Properties!A$1:CB$87,Formula!H78,62))+Formula!K78*(INDEX(Properties!A$1:CB$87,Formula!J78,62))</f>
        <v>24.07</v>
      </c>
      <c r="GH78" s="51">
        <f>VARP(IF(INDEX(Properties!A$1:CB$87,Formula!B78,62)&lt;&gt;"",INDEX(Properties!A$1:CB$87,Formula!B78,62)),IF(INDEX(Properties!A$1:CB$87,Formula!D78,62)&lt;&gt;"",INDEX(Properties!A$1:CB$87,Formula!D78,62)),IF(INDEX(Properties!A$1:CB$87,Formula!F78,62)&lt;&gt;"",INDEX(Properties!A$1:CB$87,Formula!F78,62)),IF(INDEX(Properties!A$1:CB$87,Formula!H78,62)&lt;&gt;"",INDEX(Properties!A$1:CB$87,Formula!H78,62)),IF(INDEX(Properties!A$1:CB$87,Formula!J78,62)&lt;&gt;"",INDEX(Properties!A$1:CB$87,Formula!J78,62)))</f>
        <v>2.0550239999999995</v>
      </c>
      <c r="GI78" s="51">
        <f>MAX(INDEX(Properties!A$1:CB$87,Formula!B78,62),INDEX(Properties!A$1:CB$87,Formula!D78,62),INDEX(Properties!A$1:CB$87,Formula!F78,62),INDEX(Properties!A$1:CB$87,Formula!H78,62),INDEX(Properties!A$1:CB$87,Formula!J78,62))</f>
        <v>4.1399999999999997</v>
      </c>
      <c r="GJ78" s="51">
        <f>MIN(IF(INDEX(Properties!A$1:CB$87,Formula!B78,62)=0,10^6,INDEX(Properties!A$1:CB$87,Formula!B78,62)),IF(INDEX(Properties!A$1:CB$87,Formula!D78,62)=0,10^6,INDEX(Properties!A$1:CB$87,Formula!D78,62)),IF(INDEX(Properties!A$1:CB$87,Formula!F78,62)=0,10^6,INDEX(Properties!A$1:CB$87,Formula!F78,62)),IF(INDEX(Properties!A$1:CB$87,Formula!H78,62)=0,10^6,INDEX(Properties!A$1:CB$87,Formula!H78,62)),IF(INDEX(Properties!A$1:CB$87,Formula!J78,62)=0,10^6,INDEX(Properties!A$1:CB$87,Formula!J78,62)))</f>
        <v>1.72</v>
      </c>
      <c r="GK78" s="51">
        <f t="shared" si="63"/>
        <v>2.42</v>
      </c>
      <c r="GL78" s="51">
        <f>Formula!P78</f>
        <v>140</v>
      </c>
      <c r="GM78" s="57">
        <f>Formula!O78</f>
        <v>4</v>
      </c>
      <c r="GN78" s="51">
        <f>Formula!N78</f>
        <v>0.03</v>
      </c>
    </row>
    <row r="79" spans="1:196" x14ac:dyDescent="0.3">
      <c r="A79" s="84" t="str">
        <f>Formula!A79</f>
        <v>Ba2La8(GeO4)6O2</v>
      </c>
      <c r="B79" s="89">
        <f>((Formula!C79)/(Formula!C79+Formula!E79+Formula!G79+Formula!I79+Formula!K79))*(INDEX(Properties!A$1:CB$87,Formula!B79,3))+((Formula!E79)/(Formula!C79+Formula!E79+Formula!G79+Formula!I79+Formula!K79))*(INDEX(Properties!A$1:CB$87,Formula!D79,3))+((Formula!G79)/(Formula!C79+Formula!E79+Formula!G79+Formula!I79+Formula!K79))*(INDEX(Properties!A$1:CB$87,Formula!F79,3))+((Formula!I79)/(Formula!C79+Formula!E79+Formula!G79+Formula!I79+Formula!K79))*(INDEX(Properties!A$1:CB$87,Formula!H79,3))+((Formula!K79)/(Formula!C79+Formula!E79+Formula!G79+Formula!I79+Formula!K79))*(INDEX(Properties!A$1:CB$87,Formula!J79,3))</f>
        <v>53.277676190476193</v>
      </c>
      <c r="C79" s="85">
        <f>Formula!C79*(INDEX(Properties!A$1:CB$87,Formula!B79,3))+Formula!E79*(INDEX(Properties!A$1:CB$87,Formula!D79,3))+Formula!G79*(INDEX(Properties!A$1:CB$87,Formula!F79,3))+Formula!I79*(INDEX(Properties!A$1:CB$87,Formula!H79,3))+Formula!K79*(INDEX(Properties!A$1:CB$87,Formula!J79,3))</f>
        <v>2237.6623999999997</v>
      </c>
      <c r="D79" s="85">
        <f>VARP(IF(INDEX(Properties!A$1:CB$87,Formula!B79,3)&lt;&gt;"",INDEX(Properties!A$1:CB$87,Formula!B79,3)),IF(INDEX(Properties!A$1:CB$87,Formula!D79,3)&lt;&gt;"",INDEX(Properties!A$1:CB$87,Formula!D79,3)),IF(INDEX(Properties!A$1:CB$87,Formula!F79,3)&lt;&gt;"",INDEX(Properties!A$1:CB$87,Formula!F79,3)),IF(INDEX(Properties!A$1:CB$87,Formula!H79,3)&lt;&gt;"",INDEX(Properties!A$1:CB$87,Formula!H79,3)),IF(INDEX(Properties!A$1:CB$87,Formula!J79,3)&lt;&gt;"",INDEX(Properties!A$1:CB$87,Formula!J79,3)))</f>
        <v>3411.9398690576013</v>
      </c>
      <c r="E79" s="85">
        <f>MAX(INDEX(Properties!A$1:CB$87,Formula!B79,3),INDEX(Properties!A$1:CB$87,Formula!D79,3),INDEX(Properties!A$1:CB$87,Formula!F79,3),INDEX(Properties!A$1:CB$87,Formula!H79,3),INDEX(Properties!A$1:CB$87,Formula!J79,3))</f>
        <v>138.90549999999999</v>
      </c>
      <c r="F79" s="85">
        <f>MIN(IF(INDEX(Properties!A$1:CB$87,Formula!B79,3)=0,10^6,INDEX(Properties!A$1:CB$87,Formula!B79,3)),IF(INDEX(Properties!A$1:CB$87,Formula!D79,3)=0,10^6,INDEX(Properties!A$1:CB$87,Formula!D79,3)),IF(INDEX(Properties!A$1:CB$87,Formula!F79,3)=0,10^6,INDEX(Properties!A$1:CB$87,Formula!F79,3)),IF(INDEX(Properties!A$1:CB$87,Formula!H79,3)=0,10^6,INDEX(Properties!A$1:CB$87,Formula!H79,3)),IF(INDEX(Properties!A$1:CB$87,Formula!J79,3)=0,10^6,INDEX(Properties!A$1:CB$87,Formula!J79,3)))</f>
        <v>15.9994</v>
      </c>
      <c r="G79" s="85">
        <f t="shared" si="32"/>
        <v>122.9061</v>
      </c>
      <c r="H79" s="87">
        <f>((Formula!C79)/(Formula!C79+Formula!E79+Formula!G79+Formula!I79+Formula!K79))*(INDEX(Properties!A$1:CB$87,Formula!B79,4))+((Formula!E79)/(Formula!C79+Formula!E79+Formula!G79+Formula!I79+Formula!K79))*(INDEX(Properties!A$1:CB$87,Formula!D79,4))+((Formula!G79)/(Formula!C79+Formula!E79+Formula!G79+Formula!I79+Formula!K79))*(INDEX(Properties!A$1:CB$87,Formula!F79,4))+((Formula!I79)/(Formula!C79+Formula!E79+Formula!G79+Formula!I79+Formula!K79))*(INDEX(Properties!A$1:CB$87,Formula!H79,4))+((Formula!K79)/(Formula!C79+Formula!E79+Formula!G79+Formula!I79+Formula!K79))*(INDEX(Properties!A$1:CB$87,Formula!J79,4))</f>
        <v>23.047619047619047</v>
      </c>
      <c r="I79" s="87">
        <f>Formula!C79*(INDEX(Properties!A$1:CB$87,Formula!B79,4))+Formula!E79*(INDEX(Properties!A$1:CB$87,Formula!D79,4))+Formula!G79*(INDEX(Properties!A$1:CB$87,Formula!F79,4))+Formula!I79*(INDEX(Properties!A$1:CB$87,Formula!H79,4))+Formula!K79*(INDEX(Properties!A$1:CB$87,Formula!J79,4))</f>
        <v>968</v>
      </c>
      <c r="J79" s="87">
        <f>VARP(IF(INDEX(Properties!A$1:CB$87,Formula!B79,4)&lt;&gt;"",INDEX(Properties!A$1:CB$87,Formula!B79,4)),IF(INDEX(Properties!A$1:CB$87,Formula!D79,4)&lt;&gt;"",INDEX(Properties!A$1:CB$87,Formula!D79,4)),IF(INDEX(Properties!A$1:CB$87,Formula!F79,4)&lt;&gt;"",INDEX(Properties!A$1:CB$87,Formula!F79,4)),IF(INDEX(Properties!A$1:CB$87,Formula!H79,4)&lt;&gt;"",INDEX(Properties!A$1:CB$87,Formula!H79,4)),IF(INDEX(Properties!A$1:CB$87,Formula!J79,4)&lt;&gt;"",INDEX(Properties!A$1:CB$87,Formula!J79,4)))</f>
        <v>558.24</v>
      </c>
      <c r="K79" s="87">
        <f>MAX(INDEX(Properties!A$1:CB$87,Formula!B79,4),INDEX(Properties!A$1:CB$87,Formula!D79,4),INDEX(Properties!A$1:CB$87,Formula!F79,4),INDEX(Properties!A$1:CB$87,Formula!H79,4),INDEX(Properties!A$1:CB$87,Formula!J79,4))</f>
        <v>57</v>
      </c>
      <c r="L79" s="87">
        <f>MIN(IF(INDEX(Properties!A$1:CB$87,Formula!B79,4)=0,10^6,INDEX(Properties!A$1:CB$87,Formula!B79,4)),IF(INDEX(Properties!A$1:CB$87,Formula!D79,4)=0,10^6,INDEX(Properties!A$1:CB$87,Formula!D79,4)),IF(INDEX(Properties!A$1:CB$87,Formula!F79,4)=0,10^6,INDEX(Properties!A$1:CB$87,Formula!F79,4)),IF(INDEX(Properties!A$1:CB$87,Formula!H79,4)=0,10^6,INDEX(Properties!A$1:CB$87,Formula!H79,4)),IF(INDEX(Properties!A$1:CB$87,Formula!J79,4)=0,10^6,INDEX(Properties!A$1:CB$87,Formula!J79,4)))</f>
        <v>8</v>
      </c>
      <c r="M79" s="87">
        <f t="shared" si="33"/>
        <v>49</v>
      </c>
      <c r="N79" s="89">
        <f>((Formula!C79)/(Formula!C79+Formula!E79+Formula!G79+Formula!I79+Formula!K79))*(INDEX(Properties!A$1:CB$87,Formula!B79,5))+((Formula!E79)/(Formula!C79+Formula!E79+Formula!G79+Formula!I79+Formula!K79))*(INDEX(Properties!A$1:CB$87,Formula!D79,5))+((Formula!G79)/(Formula!C79+Formula!E79+Formula!G79+Formula!I79+Formula!K79))*(INDEX(Properties!A$1:CB$87,Formula!F79,5))+((Formula!I79)/(Formula!C79+Formula!E79+Formula!G79+Formula!I79+Formula!K79))*(INDEX(Properties!A$1:CB$87,Formula!H79,5))+((Formula!K79)/(Formula!C79+Formula!E79+Formula!G79+Formula!I79+Formula!K79))*(INDEX(Properties!A$1:CB$87,Formula!J79,5))</f>
        <v>3.2380952380952381</v>
      </c>
      <c r="O79" s="89">
        <f>Formula!C79*(INDEX(Properties!A$1:CB$87,Formula!B79,5))+Formula!E79*(INDEX(Properties!A$1:CB$87,Formula!D79,5))+Formula!G79*(INDEX(Properties!A$1:CB$87,Formula!F79,5))+Formula!I79*(INDEX(Properties!A$1:CB$87,Formula!H79,5))+Formula!K79*(INDEX(Properties!A$1:CB$87,Formula!J79,5))</f>
        <v>136</v>
      </c>
      <c r="P79" s="89">
        <f>VARP(IF(INDEX(Properties!A$1:CB$87,Formula!B79,5)&lt;&gt;"",INDEX(Properties!A$1:CB$87,Formula!B79,5)),IF(INDEX(Properties!A$1:CB$87,Formula!D79,5)&lt;&gt;"",INDEX(Properties!A$1:CB$87,Formula!D79,5)),IF(INDEX(Properties!A$1:CB$87,Formula!F79,5)&lt;&gt;"",INDEX(Properties!A$1:CB$87,Formula!F79,5)),IF(INDEX(Properties!A$1:CB$87,Formula!H79,5)&lt;&gt;"",INDEX(Properties!A$1:CB$87,Formula!H79,5)),IF(INDEX(Properties!A$1:CB$87,Formula!J79,5)&lt;&gt;"",INDEX(Properties!A$1:CB$87,Formula!J79,5)))</f>
        <v>5.44</v>
      </c>
      <c r="Q79" s="89">
        <f>MAX(INDEX(Properties!A$1:CB$87,Formula!B79,5),INDEX(Properties!A$1:CB$87,Formula!D79,5),INDEX(Properties!A$1:CB$87,Formula!F79,5),INDEX(Properties!A$1:CB$87,Formula!H79,5),INDEX(Properties!A$1:CB$87,Formula!J79,5))</f>
        <v>6</v>
      </c>
      <c r="R79" s="89">
        <f>MIN(IF(INDEX(Properties!A$1:CB$87,Formula!B79,5)=0,10^6,INDEX(Properties!A$1:CB$87,Formula!B79,5)),IF(INDEX(Properties!A$1:CB$87,Formula!D79,5)=0,10^6,INDEX(Properties!A$1:CB$87,Formula!D79,5)),IF(INDEX(Properties!A$1:CB$87,Formula!F79,5)=0,10^6,INDEX(Properties!A$1:CB$87,Formula!F79,5)),IF(INDEX(Properties!A$1:CB$87,Formula!H79,5)=0,10^6,INDEX(Properties!A$1:CB$87,Formula!H79,5)),IF(INDEX(Properties!A$1:CB$87,Formula!J79,5)=0,10^6,INDEX(Properties!A$1:CB$87,Formula!J79,5)))</f>
        <v>2</v>
      </c>
      <c r="S79" s="89">
        <f t="shared" si="34"/>
        <v>4</v>
      </c>
      <c r="T79" s="60">
        <f>((Formula!C79)/(Formula!C79+Formula!E79+Formula!G79+Formula!I79+Formula!K79))*(INDEX(Properties!A$1:CB$87,Formula!B79,6))+((Formula!E79)/(Formula!C79+Formula!E79+Formula!G79+Formula!I79+Formula!K79))*(INDEX(Properties!A$1:CB$87,Formula!D79,6))+((Formula!G79)/(Formula!C79+Formula!E79+Formula!G79+Formula!I79+Formula!K79))*(INDEX(Properties!A$1:CB$87,Formula!F79,6))+((Formula!I79)/(Formula!C79+Formula!E79+Formula!G79+Formula!I79+Formula!K79))*(INDEX(Properties!A$1:CB$87,Formula!H79,6))+((Formula!K79)/(Formula!C79+Formula!E79+Formula!G79+Formula!I79+Formula!K79))*(INDEX(Properties!A$1:CB$87,Formula!J79,6))</f>
        <v>12.571428571428571</v>
      </c>
      <c r="U79" s="60">
        <f>Formula!C79*(INDEX(Properties!A$1:CB$87,Formula!B79,6))+Formula!E79*(INDEX(Properties!A$1:CB$87,Formula!D79,6))+Formula!G79*(INDEX(Properties!A$1:CB$87,Formula!F79,6))+Formula!I79*(INDEX(Properties!A$1:CB$87,Formula!H79,6))+Formula!K79*(INDEX(Properties!A$1:CB$87,Formula!J79,6))</f>
        <v>528</v>
      </c>
      <c r="V79" s="89">
        <f>VARP(IF(INDEX(Properties!A$1:CB$87,Formula!B79,6)&lt;&gt;"",INDEX(Properties!A$1:CB$87,Formula!B79,6)),IF(INDEX(Properties!A$1:CB$87,Formula!D79,6)&lt;&gt;"",INDEX(Properties!A$1:CB$87,Formula!D79,6)),IF(INDEX(Properties!A$1:CB$87,Formula!F79,6)&lt;&gt;"",INDEX(Properties!A$1:CB$87,Formula!F79,6)),IF(INDEX(Properties!A$1:CB$87,Formula!H79,6)&lt;&gt;"",INDEX(Properties!A$1:CB$87,Formula!H79,6)),IF(INDEX(Properties!A$1:CB$87,Formula!J79,6)&lt;&gt;"",INDEX(Properties!A$1:CB$87,Formula!J79,6)))</f>
        <v>44</v>
      </c>
      <c r="W79" s="60">
        <f>MAX(INDEX(Properties!A$1:CB$87,Formula!B79,6),INDEX(Properties!A$1:CB$87,Formula!D79,6),INDEX(Properties!A$1:CB$87,Formula!F79,6),INDEX(Properties!A$1:CB$87,Formula!H79,4),INDEX(Properties!A$1:CB$87,Formula!J79,6))</f>
        <v>14</v>
      </c>
      <c r="X79" s="60">
        <f>MIN(IF(INDEX(Properties!A$1:CB$87,Formula!B79,6)=0,10^6,INDEX(Properties!A$1:CB$87,Formula!B79,6)),IF(INDEX(Properties!A$1:CB$87,Formula!D79,6)=0,10^6,INDEX(Properties!A$1:CB$87,Formula!D79,6)),IF(INDEX(Properties!A$1:CB$87,Formula!F79,6)=0,10^6,INDEX(Properties!A$1:CB$87,Formula!F79,6)),IF(INDEX(Properties!A$1:CB$87,Formula!H79,6)=0,10^6,INDEX(Properties!A$1:CB$87,Formula!H79,6)),IF(INDEX(Properties!A$1:CB$87,Formula!J79,6)=0,10^6,INDEX(Properties!A$1:CB$87,Formula!J79,6)))</f>
        <v>2</v>
      </c>
      <c r="Y79" s="60">
        <f t="shared" si="35"/>
        <v>12</v>
      </c>
      <c r="Z79" s="72">
        <f>((Formula!C79)/(Formula!C79+Formula!E79+Formula!G79+Formula!I79+Formula!K79))*(INDEX(Properties!A$1:CB$87,Formula!B79,9))+((Formula!E79)/(Formula!C79+Formula!E79+Formula!G79+Formula!I79+Formula!K79))*(INDEX(Properties!A$1:CB$87,Formula!D79,9))+((Formula!G79)/(Formula!C79+Formula!E79+Formula!G79+Formula!I79+Formula!K79))*(INDEX(Properties!A$1:CB$87,Formula!F79,9))+((Formula!I79)/(Formula!C79+Formula!E79+Formula!G79+Formula!I79+Formula!K79))*(INDEX(Properties!A$1:CB$87,Formula!H79,9))+((Formula!K79)/(Formula!C79+Formula!E79+Formula!G79+Formula!I79+Formula!K79))*(INDEX(Properties!A$1:CB$87,Formula!J79,9))</f>
        <v>68.047619047619051</v>
      </c>
      <c r="AA79" s="72">
        <f>Formula!C79*(INDEX(Properties!A$1:CB$87,Formula!B79,9))+Formula!E79*(INDEX(Properties!A$1:CB$87,Formula!D79,9))+Formula!G79*(INDEX(Properties!A$1:CB$87,Formula!F79,9))+Formula!I79*(INDEX(Properties!A$1:CB$87,Formula!H79,9))+Formula!K79*(INDEX(Properties!A$1:CB$87,Formula!J79,9))</f>
        <v>2858</v>
      </c>
      <c r="AB79" s="72">
        <f>VARP(IF(INDEX(Properties!A$1:CB$87,Formula!B79,9)&lt;&gt;"",INDEX(Properties!A$1:CB$87,Formula!B79,9)),IF(INDEX(Properties!A$1:CB$87,Formula!D79,9)&lt;&gt;"",INDEX(Properties!A$1:CB$87,Formula!D79,9)),IF(INDEX(Properties!A$1:CB$87,Formula!F79,9)&lt;&gt;"",INDEX(Properties!A$1:CB$87,Formula!F79,9)),IF(INDEX(Properties!A$1:CB$87,Formula!H79,9)&lt;&gt;"",INDEX(Properties!A$1:CB$87,Formula!H79,9)),IF(INDEX(Properties!A$1:CB$87,Formula!J79,9)&lt;&gt;"",INDEX(Properties!A$1:CB$87,Formula!J79,9)))</f>
        <v>1398.24</v>
      </c>
      <c r="AC79" s="72">
        <f>MAX(INDEX(Properties!A$1:CB$87,Formula!B79,9),INDEX(Properties!A$1:CB$87,Formula!D79,9),INDEX(Properties!A$1:CB$87,Formula!F79,9),INDEX(Properties!A$1:CB$87,Formula!H79,9),INDEX(Properties!A$1:CB$87,Formula!J79,9))</f>
        <v>87</v>
      </c>
      <c r="AD79" s="72">
        <f>MIN(IF(INDEX(Properties!A$1:CB$87,Formula!B79,9)=0,10^6,INDEX(Properties!A$1:CB$87,Formula!B79,9)),IF(INDEX(Properties!A$1:CB$87,Formula!D79,9)=0,10^6,INDEX(Properties!A$1:CB$87,Formula!D79,9)),IF(INDEX(Properties!A$1:CB$87,Formula!F79,9)=0,10^6,INDEX(Properties!A$1:CB$87,Formula!F79,9)),IF(INDEX(Properties!A$1:CB$87,Formula!H79,9)=0,10^6,INDEX(Properties!A$1:CB$87,Formula!H79,9)),IF(INDEX(Properties!A$1:CB$87,Formula!J79,9)=0,10^6,INDEX(Properties!A$1:CB$87,Formula!J79,9)))</f>
        <v>9</v>
      </c>
      <c r="AE79" s="72">
        <f t="shared" si="36"/>
        <v>78</v>
      </c>
      <c r="AF79" s="51">
        <f>((Formula!C79)/(Formula!C79+Formula!E79+Formula!G79+Formula!I79+Formula!K79))*(INDEX(Properties!A$1:CB$87,Formula!B79,10))+((Formula!E79)/(Formula!C79+Formula!E79+Formula!G79+Formula!I79+Formula!K79))*(INDEX(Properties!A$1:CB$87,Formula!D79,10))+((Formula!G79)/(Formula!C79+Formula!E79+Formula!G79+Formula!I79+Formula!K79))*(INDEX(Properties!A$1:CB$87,Formula!F79,10))+((Formula!I79)/(Formula!C79+Formula!E79+Formula!G79+Formula!I79+Formula!K79))*(INDEX(Properties!A$1:CB$87,Formula!H79,10))+((Formula!K79)/(Formula!C79+Formula!E79+Formula!G79+Formula!I79+Formula!K79))*(INDEX(Properties!A$1:CB$87,Formula!J79,10))</f>
        <v>5.8571428571428577</v>
      </c>
      <c r="AG79" s="51">
        <f>Formula!C79*(INDEX(Properties!A$1:CB$87,Formula!B79,10))+Formula!E79*(INDEX(Properties!A$1:CB$87,Formula!D79,10))+Formula!G79*(INDEX(Properties!A$1:CB$87,Formula!F79,10))+Formula!I79*(INDEX(Properties!A$1:CB$87,Formula!H79,10))+Formula!K79*(INDEX(Properties!A$1:CB$87,Formula!J79,10))</f>
        <v>246</v>
      </c>
      <c r="AH79" s="51">
        <f>VARP(IF(INDEX(Properties!A$1:CB$87,Formula!B79,10)&lt;&gt;"",INDEX(Properties!A$1:CB$87,Formula!B79,10)),IF(INDEX(Properties!A$1:CB$87,Formula!D79,10)&lt;&gt;"",INDEX(Properties!A$1:CB$87,Formula!D79,10)),IF(INDEX(Properties!A$1:CB$87,Formula!F79,10)&lt;&gt;"",INDEX(Properties!A$1:CB$87,Formula!F79,10)),IF(INDEX(Properties!A$1:CB$87,Formula!H79,10)&lt;&gt;"",INDEX(Properties!A$1:CB$87,Formula!H79,10)),IF(INDEX(Properties!A$1:CB$87,Formula!J79,10)&lt;&gt;"",INDEX(Properties!A$1:CB$87,Formula!J79,10)))</f>
        <v>6.64</v>
      </c>
      <c r="AI79" s="51">
        <f>MAX(INDEX(Properties!A$1:CB$87,Formula!B79,10),INDEX(Properties!A$1:CB$87,Formula!D79,10),INDEX(Properties!A$1:CB$87,Formula!F79,10),INDEX(Properties!A$1:CB$87,Formula!H79,10),INDEX(Properties!A$1:CB$87,Formula!J79,10))</f>
        <v>7</v>
      </c>
      <c r="AJ79" s="51">
        <f>MIN(IF(INDEX(Properties!A$1:CB$87,Formula!B79,10)=0,10^6,INDEX(Properties!A$1:CB$87,Formula!B79,10)),IF(INDEX(Properties!A$1:CB$87,Formula!D79,10)=0,10^6,INDEX(Properties!A$1:CB$87,Formula!D79,10)),IF(INDEX(Properties!A$1:CB$87,Formula!F79,10)=0,10^6,INDEX(Properties!A$1:CB$87,Formula!F79,10)),IF(INDEX(Properties!A$1:CB$87,Formula!H79,10)=0,10^6,INDEX(Properties!A$1:CB$87,Formula!H79,10)),IF(INDEX(Properties!A$1:CB$87,Formula!J79,10)=0,10^6,INDEX(Properties!A$1:CB$87,Formula!J79,10)))</f>
        <v>2</v>
      </c>
      <c r="AK79" s="51">
        <f t="shared" si="37"/>
        <v>5</v>
      </c>
      <c r="AL79" s="57">
        <f>((Formula!C79)/(Formula!C79+Formula!E79+Formula!G79+Formula!I79+Formula!K79))*(INDEX(Properties!A$1:CB$87,Formula!B79,11))+((Formula!E79)/(Formula!C79+Formula!E79+Formula!G79+Formula!I79+Formula!K79))*(INDEX(Properties!A$1:CB$87,Formula!D79,11))+((Formula!G79)/(Formula!C79+Formula!E79+Formula!G79+Formula!I79+Formula!K79))*(INDEX(Properties!A$1:CB$87,Formula!F79,11))+((Formula!I79)/(Formula!C79+Formula!E79+Formula!G79+Formula!I79+Formula!K79))*(INDEX(Properties!A$1:CB$87,Formula!H79,11))+((Formula!K79)/(Formula!C79+Formula!E79+Formula!G79+Formula!I79+Formula!K79))*(INDEX(Properties!A$1:CB$87,Formula!J79,11))</f>
        <v>2</v>
      </c>
      <c r="AM79" s="57">
        <f>Formula!C79*(INDEX(Properties!A$1:CB$87,Formula!B79,11))+Formula!E79*(INDEX(Properties!A$1:CB$87,Formula!D79,11))+Formula!G79*(INDEX(Properties!A$1:CB$87,Formula!F79,11))+Formula!I79*(INDEX(Properties!A$1:CB$87,Formula!H79,11))+Formula!K79*(INDEX(Properties!A$1:CB$87,Formula!J79,11))</f>
        <v>84</v>
      </c>
      <c r="AN79" s="57">
        <f>VARP(IF(INDEX(Properties!A$1:CB$87,Formula!B79,11)&lt;&gt;"",INDEX(Properties!A$1:CB$87,Formula!B79,11)),IF(INDEX(Properties!A$1:CB$87,Formula!D79,11)&lt;&gt;"",INDEX(Properties!A$1:CB$87,Formula!D79,11)),IF(INDEX(Properties!A$1:CB$87,Formula!F79,11)&lt;&gt;"",INDEX(Properties!A$1:CB$87,Formula!F79,11)),IF(INDEX(Properties!A$1:CB$87,Formula!H79,11)&lt;&gt;"",INDEX(Properties!A$1:CB$87,Formula!H79,11)),IF(INDEX(Properties!A$1:CB$87,Formula!J79,11)&lt;&gt;"",INDEX(Properties!A$1:CB$87,Formula!J79,11)))</f>
        <v>0.64</v>
      </c>
      <c r="AO79" s="57">
        <f>MAX(INDEX(Properties!A$1:CB$87,Formula!B79,11),INDEX(Properties!A$1:CB$87,Formula!D79,11),INDEX(Properties!A$1:CB$87,Formula!F79,11),INDEX(Properties!A$1:CB$87,Formula!H79,11),INDEX(Properties!A$1:CB$87,Formula!J79,11))</f>
        <v>2</v>
      </c>
      <c r="AP79" s="57">
        <f>MIN(IF(Formula!B79=87,10^6,INDEX(Properties!A$1:CB$87,Formula!B79,11)),IF((Formula!D79)=87,10^6,INDEX(Properties!A$1:CB$87,Formula!D79,11)),IF((Formula!F79)=87,10^6,INDEX(Properties!A$1:CB$87,Formula!F79,11)),IF((Formula!H79)=87,10^6,INDEX(Properties!A$1:CB$87,Formula!H79,11)),IF(Formula!J79=87,10^6,INDEX(Properties!A$1:CB$87,Formula!J79,11)))</f>
        <v>2</v>
      </c>
      <c r="AQ79" s="57">
        <f t="shared" si="38"/>
        <v>0</v>
      </c>
      <c r="AR79" s="78">
        <f>((Formula!C79)/(Formula!C79+Formula!E79+Formula!G79+Formula!I79+Formula!K79))*(INDEX(Properties!A$1:CB$87,Formula!B79,12))+((Formula!E79)/(Formula!C79+Formula!E79+Formula!G79+Formula!I79+Formula!K79))*(INDEX(Properties!A$1:CB$87,Formula!D79,12))+((Formula!G79)/(Formula!C79+Formula!E79+Formula!G79+Formula!I79+Formula!K79))*(INDEX(Properties!A$1:CB$87,Formula!F79,12))+((Formula!I79)/(Formula!C79+Formula!E79+Formula!G79+Formula!I79+Formula!K79))*(INDEX(Properties!A$1:CB$87,Formula!H79,12))+((Formula!K79)/(Formula!C79+Formula!E79+Formula!G79+Formula!I79+Formula!K79))*(INDEX(Properties!A$1:CB$87,Formula!J79,12))</f>
        <v>2.7619047619047619</v>
      </c>
      <c r="AS79" s="78">
        <f>Formula!C79*(INDEX(Properties!A$1:CB$87,Formula!B79,12))+Formula!E79*(INDEX(Properties!A$1:CB$87,Formula!D79,12))+Formula!G79*(INDEX(Properties!A$1:CB$87,Formula!F79,12))+Formula!I79*(INDEX(Properties!A$1:CB$87,Formula!H79,12))+Formula!K79*(INDEX(Properties!A$1:CB$87,Formula!J79,12))</f>
        <v>116</v>
      </c>
      <c r="AT79" s="78">
        <f>VARP(IF(INDEX(Properties!A$1:CB$87,Formula!B79,12)&lt;&gt;"",INDEX(Properties!A$1:CB$87,Formula!B79,12)),IF(INDEX(Properties!A$1:CB$87,Formula!D79,12)&lt;&gt;"",INDEX(Properties!A$1:CB$87,Formula!D79,12)),IF(INDEX(Properties!A$1:CB$87,Formula!F79,12)&lt;&gt;"",INDEX(Properties!A$1:CB$87,Formula!F79,12)),IF(INDEX(Properties!A$1:CB$87,Formula!H79,12)&lt;&gt;"",INDEX(Properties!A$1:CB$87,Formula!H79,12)),IF(INDEX(Properties!A$1:CB$87,Formula!J79,12)&lt;&gt;"",INDEX(Properties!A$1:CB$87,Formula!J79,12)))</f>
        <v>2.56</v>
      </c>
      <c r="AU79" s="78">
        <f>MAX(INDEX(Properties!A$1:CB$87,Formula!B79,12),INDEX(Properties!A$1:CB$87,Formula!D79,12),INDEX(Properties!A$1:CB$87,Formula!F79,12),INDEX(Properties!A$1:CB$87,Formula!H79,12),INDEX(Properties!A$1:CB$87,Formula!J79,12))</f>
        <v>4</v>
      </c>
      <c r="AV79" s="78">
        <f>MIN(IF(Formula!B79=87,10^6,INDEX(Properties!A$1:CB$87,Formula!B79,12)),IF((Formula!D79)=87,10^6,INDEX(Properties!A$1:CB$87,Formula!D79,12)),IF((Formula!F79)=87,10^6,INDEX(Properties!A$1:CB$87,Formula!F79,12)),IF((Formula!H79)=87,10^6,INDEX(Properties!A$1:CB$87,Formula!H79,12)),IF(Formula!J79=87,10^6,INDEX(Properties!A$1:CB$87,Formula!J79,12)))</f>
        <v>0</v>
      </c>
      <c r="AW79" s="78">
        <f t="shared" si="39"/>
        <v>4</v>
      </c>
      <c r="AX79" s="45">
        <f>((Formula!C79)/(Formula!C79+Formula!E79+Formula!G79+Formula!I79+Formula!K79))*(INDEX(Properties!A$1:CB$87,Formula!B79,13))+((Formula!E79)/(Formula!C79+Formula!E79+Formula!G79+Formula!I79+Formula!K79))*(INDEX(Properties!A$1:CB$87,Formula!D79,13))+((Formula!G79)/(Formula!C79+Formula!E79+Formula!G79+Formula!I79+Formula!K79))*(INDEX(Properties!A$1:CB$87,Formula!F79,13))+((Formula!I79)/(Formula!C79+Formula!E79+Formula!G79+Formula!I79+Formula!K79))*(INDEX(Properties!A$1:CB$87,Formula!H79,13))+((Formula!K79)/(Formula!C79+Formula!E79+Formula!G79+Formula!I79+Formula!K79))*(INDEX(Properties!A$1:CB$87,Formula!J79,13))</f>
        <v>1.6190476190476188</v>
      </c>
      <c r="AY79" s="45">
        <f>Formula!C79*(INDEX(Properties!A$1:CB$87,Formula!B79,13))+Formula!E79*(INDEX(Properties!A$1:CB$87,Formula!D79,13))+Formula!G79*(INDEX(Properties!A$1:CB$87,Formula!F79,13))+Formula!I79*(INDEX(Properties!A$1:CB$87,Formula!H79,13))+Formula!K79*(INDEX(Properties!A$1:CB$87,Formula!J79,13))</f>
        <v>68</v>
      </c>
      <c r="AZ79" s="45">
        <f>VARP(IF(INDEX(Properties!A$1:CB$87,Formula!B79,13)&lt;&gt;"",INDEX(Properties!A$1:CB$87,Formula!B79,13)),IF(INDEX(Properties!A$1:CB$87,Formula!D79,13)&lt;&gt;"",INDEX(Properties!A$1:CB$87,Formula!D79,13)),IF(INDEX(Properties!A$1:CB$87,Formula!F79,13)&lt;&gt;"",INDEX(Properties!A$1:CB$87,Formula!F79,13)),IF(INDEX(Properties!A$1:CB$87,Formula!H79,13)&lt;&gt;"",INDEX(Properties!A$1:CB$87,Formula!H79,13)),IF(INDEX(Properties!A$1:CB$87,Formula!J79,13)&lt;&gt;"",INDEX(Properties!A$1:CB$87,Formula!J79,13)))</f>
        <v>15.36</v>
      </c>
      <c r="BA79" s="45">
        <f>MAX(INDEX(Properties!A$1:CB$87,Formula!B79,13),INDEX(Properties!A$1:CB$87,Formula!D79,13),INDEX(Properties!A$1:CB$87,Formula!F79,13),INDEX(Properties!A$1:CB$87,Formula!H79,13),INDEX(Properties!A$1:CB$87,Formula!J79,13))</f>
        <v>10</v>
      </c>
      <c r="BB79" s="45">
        <f>MIN(IF(Formula!B79=87,10^6,INDEX(Properties!A$1:CB$87,Formula!B79,13)),IF((Formula!D79)=87,10^6,INDEX(Properties!A$1:CB$87,Formula!D79,13)),IF((Formula!F79)=87,10^6,INDEX(Properties!A$1:CB$87,Formula!F79,13)),IF((Formula!H79)=87,10^6,INDEX(Properties!A$1:CB$87,Formula!H79,13)),IF(Formula!J79=87,10^6,INDEX(Properties!A$1:CB$87,Formula!J79,13)))</f>
        <v>0</v>
      </c>
      <c r="BC79" s="45">
        <f t="shared" si="40"/>
        <v>10</v>
      </c>
      <c r="BD79" s="63">
        <f>((Formula!C79)/(Formula!C79+Formula!E79+Formula!G79+Formula!I79+Formula!K79))*(INDEX(Properties!A$1:CB$87,Formula!B79,14))+((Formula!E79)/(Formula!C79+Formula!E79+Formula!G79+Formula!I79+Formula!K79))*(INDEX(Properties!A$1:CB$87,Formula!D79,14))+((Formula!G79)/(Formula!C79+Formula!E79+Formula!G79+Formula!I79+Formula!K79))*(INDEX(Properties!A$1:CB$87,Formula!F79,14))+((Formula!I79)/(Formula!C79+Formula!E79+Formula!G79+Formula!I79+Formula!K79))*(INDEX(Properties!A$1:CB$87,Formula!H79,14))+((Formula!K79)/(Formula!C79+Formula!E79+Formula!G79+Formula!I79+Formula!K79))*(INDEX(Properties!A$1:CB$87,Formula!J79,14))</f>
        <v>0</v>
      </c>
      <c r="BE79" s="63">
        <f>Formula!C79*(INDEX(Properties!A$1:CB$87,Formula!B79,14))+Formula!E79*(INDEX(Properties!A$1:CB$87,Formula!D79,14))+Formula!G79*(INDEX(Properties!A$1:CB$87,Formula!F79,14))+Formula!I79*(INDEX(Properties!A$1:CB$87,Formula!H79,14))+Formula!K79*(INDEX(Properties!A$1:CB$87,Formula!J79,14))</f>
        <v>0</v>
      </c>
      <c r="BF79" s="63">
        <f>VARP(IF(INDEX(Properties!A$1:CB$87,Formula!B79,14)&lt;&gt;"",INDEX(Properties!A$1:CB$87,Formula!B79,14)),IF(INDEX(Properties!A$1:CB$87,Formula!D79,14)&lt;&gt;"",INDEX(Properties!A$1:CB$87,Formula!D79,14)),IF(INDEX(Properties!A$1:CB$87,Formula!F79,14)&lt;&gt;"",INDEX(Properties!A$1:CB$87,Formula!F79,14)),IF(INDEX(Properties!A$1:CB$87,Formula!H79,14)&lt;&gt;"",INDEX(Properties!A$1:CB$87,Formula!H79,14)),IF(INDEX(Properties!A$1:CB$87,Formula!J79,14)&lt;&gt;"",INDEX(Properties!A$1:CB$87,Formula!J79,14)))</f>
        <v>0</v>
      </c>
      <c r="BG79" s="63">
        <f>MAX(INDEX(Properties!A$1:CB$87,Formula!B79,14),INDEX(Properties!A$1:CB$87,Formula!D79,14),INDEX(Properties!A$1:CB$87,Formula!F79,14),INDEX(Properties!A$1:CB$87,Formula!H79,14),INDEX(Properties!A$1:CB$87,Formula!J79,14))</f>
        <v>0</v>
      </c>
      <c r="BH79" s="63">
        <f>MIN(IF(Formula!B79=87,10^6,INDEX(Properties!A$1:CB$87,Formula!B79,14)),IF((Formula!D79)=87,10^6,INDEX(Properties!A$1:CB$87,Formula!D79,14)),IF((Formula!F79)=87,10^6,INDEX(Properties!A$1:CB$87,Formula!F79,14)),IF((Formula!H79)=87,10^6,INDEX(Properties!A$1:CB$87,Formula!H79,14)),IF(Formula!J79=87,10^6,INDEX(Properties!A$1:CB$87,Formula!J79,14)))</f>
        <v>0</v>
      </c>
      <c r="BI79" s="63">
        <f t="shared" si="41"/>
        <v>0</v>
      </c>
      <c r="BJ79" s="75">
        <f>((Formula!C79)/(Formula!C79+Formula!E79+Formula!G79+Formula!I79+Formula!K79))*(INDEX(Properties!A$1:CB$87,Formula!B79,19))+((Formula!E79)/(Formula!C79+Formula!E79+Formula!G79+Formula!I79+Formula!K79))*(INDEX(Properties!A$1:CB$87,Formula!D79,19))+((Formula!G79)/(Formula!C79+Formula!E79+Formula!G79+Formula!I79+Formula!K79))*(INDEX(Properties!A$1:CB$87,Formula!F79,19))+((Formula!I79)/(Formula!C79+Formula!E79+Formula!G79+Formula!I79+Formula!K79))*(INDEX(Properties!A$1:CB$87,Formula!H79,19))+((Formula!K79)/(Formula!C79+Formula!E79+Formula!G79+Formula!I79+Formula!K79))*(INDEX(Properties!A$1:CB$87,Formula!J79,19))</f>
        <v>6.3809523809523814</v>
      </c>
      <c r="BK79" s="75">
        <f>Formula!C79*(INDEX(Properties!A$1:CB$87,Formula!B79,19))+Formula!E79*(INDEX(Properties!A$1:CB$87,Formula!D79,19))+Formula!G79*(INDEX(Properties!A$1:CB$87,Formula!F79,19))+Formula!I79*(INDEX(Properties!A$1:CB$87,Formula!H79,19))+Formula!K79*(INDEX(Properties!A$1:CB$87,Formula!J79,19))</f>
        <v>268</v>
      </c>
      <c r="BL79" s="75">
        <f>VARP(IF(INDEX(Properties!A$1:CB$87,Formula!B79,19)&lt;&gt;"",INDEX(Properties!A$1:CB$87,Formula!B79,19)),IF(INDEX(Properties!A$1:CB$87,Formula!D79,19)&lt;&gt;"",INDEX(Properties!A$1:CB$87,Formula!D79,19)),IF(INDEX(Properties!A$1:CB$87,Formula!F79,19)&lt;&gt;"",INDEX(Properties!A$1:CB$87,Formula!F79,19)),IF(INDEX(Properties!A$1:CB$87,Formula!H79,19)&lt;&gt;"",INDEX(Properties!A$1:CB$87,Formula!H79,19)),IF(INDEX(Properties!A$1:CB$87,Formula!J79,19)&lt;&gt;"",INDEX(Properties!A$1:CB$87,Formula!J79,19)))</f>
        <v>24</v>
      </c>
      <c r="BM79" s="75">
        <f>MAX(INDEX(Properties!A$1:CB$87,Formula!B79,19),INDEX(Properties!A$1:CB$87,Formula!D79,19),INDEX(Properties!A$1:CB$87,Formula!F79,19),INDEX(Properties!A$1:CB$87,Formula!H79,19),INDEX(Properties!A$1:CB$87,Formula!J79,19))</f>
        <v>14</v>
      </c>
      <c r="BN79" s="75">
        <f>MIN(IF(INDEX(Properties!A$1:CB$87,Formula!B79,19)=0,10^6,INDEX(Properties!A$1:CB$87,Formula!B79,19)),IF(INDEX(Properties!A$1:CB$87,Formula!D79,19)=0,10^6,INDEX(Properties!A$1:CB$87,Formula!D79,19)),IF(INDEX(Properties!A$1:CB$87,Formula!F79,19)=0,10^6,INDEX(Properties!A$1:CB$87,Formula!F79,19)),IF(INDEX(Properties!A$1:CB$87,Formula!H79,19)=0,10^6,INDEX(Properties!A$1:CB$87,Formula!H79,19)),IF(INDEX(Properties!A$1:CB$87,Formula!J79,19)=0,10^6,INDEX(Properties!A$1:CB$87,Formula!J79,19)))</f>
        <v>2</v>
      </c>
      <c r="BO79" s="75">
        <f t="shared" si="42"/>
        <v>12</v>
      </c>
      <c r="BP79" s="48">
        <f>((Formula!C79)/(Formula!C79+Formula!E79+Formula!G79+Formula!I79+Formula!K79))*(INDEX(Properties!A$1:CB$87,Formula!B79,20))+((Formula!E79)/(Formula!C79+Formula!E79+Formula!G79+Formula!I79+Formula!K79))*(INDEX(Properties!A$1:CB$87,Formula!D79,20))+((Formula!G79)/(Formula!C79+Formula!E79+Formula!G79+Formula!I79+Formula!K79))*(INDEX(Properties!A$1:CB$87,Formula!F79,20))+((Formula!I79)/(Formula!C79+Formula!E79+Formula!G79+Formula!I79+Formula!K79))*(INDEX(Properties!A$1:CB$87,Formula!H79,20))+((Formula!K79)/(Formula!C79+Formula!E79+Formula!G79+Formula!I79+Formula!K79))*(INDEX(Properties!A$1:CB$87,Formula!J79,20))</f>
        <v>4.7619047619047619</v>
      </c>
      <c r="BQ79" s="48">
        <f>Formula!C79*(INDEX(Properties!A$1:CB$87,Formula!B79,20))+Formula!E79*(INDEX(Properties!A$1:CB$87,Formula!D79,20))+Formula!G79*(INDEX(Properties!A$1:CB$87,Formula!F79,20))+Formula!I79*(INDEX(Properties!A$1:CB$87,Formula!H79,20))+Formula!K79*(INDEX(Properties!A$1:CB$87,Formula!J79,20))</f>
        <v>200</v>
      </c>
      <c r="BR79" s="48">
        <f>VARP(IF(INDEX(Properties!A$1:CB$87,Formula!B79,20)&lt;&gt;"",INDEX(Properties!A$1:CB$87,Formula!B79,20)),IF(INDEX(Properties!A$1:CB$87,Formula!D79,20)&lt;&gt;"",INDEX(Properties!A$1:CB$87,Formula!D79,20)),IF(INDEX(Properties!A$1:CB$87,Formula!F79,20)&lt;&gt;"",INDEX(Properties!A$1:CB$87,Formula!F79,20)),IF(INDEX(Properties!A$1:CB$87,Formula!H79,20)&lt;&gt;"",INDEX(Properties!A$1:CB$87,Formula!H79,20)),IF(INDEX(Properties!A$1:CB$87,Formula!J79,20)&lt;&gt;"",INDEX(Properties!A$1:CB$87,Formula!J79,20)))</f>
        <v>4.16</v>
      </c>
      <c r="BS79" s="48">
        <f>MAX(INDEX(Properties!A$1:CB$87,Formula!B79,20),INDEX(Properties!A$1:CB$87,Formula!D79,20),INDEX(Properties!A$1:CB$87,Formula!F79,20),INDEX(Properties!A$1:CB$87,Formula!H79,20),INDEX(Properties!A$1:CB$87,Formula!J79,20))</f>
        <v>6</v>
      </c>
      <c r="BT79" s="48">
        <f>MIN(IF(INDEX(Properties!A$1:CB$87,Formula!B79,20)=0,10^6,INDEX(Properties!A$1:CB$87,Formula!B79,20)),IF(INDEX(Properties!A$1:CB$87,Formula!D79,20)=0,10^6,INDEX(Properties!A$1:CB$87,Formula!D79,20)),IF(INDEX(Properties!A$1:CB$87,Formula!F79,20)=0,10^6,INDEX(Properties!A$1:CB$87,Formula!F79,20)),IF(INDEX(Properties!A$1:CB$87,Formula!H79,20)=0,10^6,INDEX(Properties!A$1:CB$87,Formula!H79,20)),IF(INDEX(Properties!A$1:CB$87,Formula!J79,20)=0,10^6,INDEX(Properties!A$1:CB$87,Formula!J79,20)))</f>
        <v>2</v>
      </c>
      <c r="BU79" s="48">
        <f t="shared" si="43"/>
        <v>4</v>
      </c>
      <c r="BV79" s="66">
        <f>((Formula!C79)/(Formula!C79+Formula!E79+Formula!G79+Formula!I79+Formula!K79))*(INDEX(Properties!A$1:CB$87,Formula!B79,21))+((Formula!E79)/(Formula!C79+Formula!E79+Formula!G79+Formula!I79+Formula!K79))*(INDEX(Properties!A$1:CB$87,Formula!D79,21))+((Formula!G79)/(Formula!C79+Formula!E79+Formula!G79+Formula!I79+Formula!K79))*(INDEX(Properties!A$1:CB$87,Formula!F79,21))+((Formula!I79)/(Formula!C79+Formula!E79+Formula!G79+Formula!I79+Formula!K79))*(INDEX(Properties!A$1:CB$87,Formula!H79,21))+((Formula!K79)/(Formula!C79+Formula!E79+Formula!G79+Formula!I79+Formula!K79))*(INDEX(Properties!A$1:CB$87,Formula!J79,21))</f>
        <v>4.5714285714285712</v>
      </c>
      <c r="BW79" s="66">
        <f>Formula!C79*(INDEX(Properties!A$1:CB$87,Formula!B79,21))+Formula!E79*(INDEX(Properties!A$1:CB$87,Formula!D79,21))+Formula!G79*(INDEX(Properties!A$1:CB$87,Formula!F79,21))+Formula!I79*(INDEX(Properties!A$1:CB$87,Formula!H79,21))+Formula!K79*(INDEX(Properties!A$1:CB$87,Formula!J79,21))</f>
        <v>192</v>
      </c>
      <c r="BX79" s="66">
        <f>VARP(IF(INDEX(Properties!A$1:CB$87,Formula!B79,21)&lt;&gt;"",INDEX(Properties!A$1:CB$87,Formula!B79,21)),IF(INDEX(Properties!A$1:CB$87,Formula!D79,21)&lt;&gt;"",INDEX(Properties!A$1:CB$87,Formula!D79,21)),IF(INDEX(Properties!A$1:CB$87,Formula!F79,21)&lt;&gt;"",INDEX(Properties!A$1:CB$87,Formula!F79,21)),IF(INDEX(Properties!A$1:CB$87,Formula!H79,21)&lt;&gt;"",INDEX(Properties!A$1:CB$87,Formula!H79,21)),IF(INDEX(Properties!A$1:CB$87,Formula!J79,21)&lt;&gt;"",INDEX(Properties!A$1:CB$87,Formula!J79,21)))</f>
        <v>4.6399999999999997</v>
      </c>
      <c r="BY79" s="66">
        <f>MAX(INDEX(Properties!A$1:CB$87,Formula!B79,21),INDEX(Properties!A$1:CB$87,Formula!D79,21),INDEX(Properties!A$1:CB$87,Formula!F79,21),INDEX(Properties!A$1:CB$87,Formula!H79,21),INDEX(Properties!A$1:CB$87,Formula!J79,21))</f>
        <v>6</v>
      </c>
      <c r="BZ79" s="66">
        <f>MIN(IF(INDEX(Properties!A$1:CB$87,Formula!B79,21)=0,10^6,INDEX(Properties!A$1:CB$87,Formula!B79,21)),IF(INDEX(Properties!A$1:CB$87,Formula!D79,21)=0,10^6,INDEX(Properties!A$1:CB$87,Formula!D79,21)),IF(INDEX(Properties!A$1:CB$87,Formula!F79,21)=0,10^6,INDEX(Properties!A$1:CB$87,Formula!F79,21)),IF(INDEX(Properties!A$1:CB$87,Formula!H79,21)=0,10^6,INDEX(Properties!A$1:CB$87,Formula!H79,21)),IF(INDEX(Properties!A$1:CB$87,Formula!J79,21)=0,10^6,INDEX(Properties!A$1:CB$87,Formula!J79,21)))</f>
        <v>1</v>
      </c>
      <c r="CA79" s="66">
        <f t="shared" si="44"/>
        <v>5</v>
      </c>
      <c r="CB79" s="81">
        <f>((Formula!C79)/(Formula!C79+Formula!E79+Formula!G79+Formula!I79+Formula!K79))*(INDEX(Properties!A$1:CB$87,Formula!B79,23))+((Formula!E79)/(Formula!C79+Formula!E79+Formula!G79+Formula!I79+Formula!K79))*(INDEX(Properties!A$1:CB$87,Formula!D79,23))+((Formula!G79)/(Formula!C79+Formula!E79+Formula!G79+Formula!I79+Formula!K79))*(INDEX(Properties!A$1:CB$87,Formula!F79,23))+((Formula!I79)/(Formula!C79+Formula!E79+Formula!G79+Formula!I79+Formula!K79))*(INDEX(Properties!A$1:CB$87,Formula!H79,23))+((Formula!K79)/(Formula!C79+Formula!E79+Formula!G79+Formula!I79+Formula!K79))*(INDEX(Properties!A$1:CB$87,Formula!J79,23))</f>
        <v>1.2380952380952381</v>
      </c>
      <c r="CC79" s="81">
        <f>Formula!C79*(INDEX(Properties!A$1:CB$87,Formula!B79,23))+Formula!E79*(INDEX(Properties!A$1:CB$87,Formula!D79,23))+Formula!G79*(INDEX(Properties!A$1:CB$87,Formula!F79,23))+Formula!I79*(INDEX(Properties!A$1:CB$87,Formula!H79,23))+Formula!K79*(INDEX(Properties!A$1:CB$87,Formula!J79,23))</f>
        <v>52</v>
      </c>
      <c r="CD79" s="81">
        <f>VARP(IF(INDEX(Properties!A$1:CB$87,Formula!B79,23)&lt;&gt;"",INDEX(Properties!A$1:CB$87,Formula!B79,23)),IF(INDEX(Properties!A$1:CB$87,Formula!D79,23)&lt;&gt;"",INDEX(Properties!A$1:CB$87,Formula!D79,23)),IF(INDEX(Properties!A$1:CB$87,Formula!F79,23)&lt;&gt;"",INDEX(Properties!A$1:CB$87,Formula!F79,23)),IF(INDEX(Properties!A$1:CB$87,Formula!H79,23)&lt;&gt;"",INDEX(Properties!A$1:CB$87,Formula!H79,23)),IF(INDEX(Properties!A$1:CB$87,Formula!J79,23)&lt;&gt;"",INDEX(Properties!A$1:CB$87,Formula!J79,23)))</f>
        <v>2.56</v>
      </c>
      <c r="CE79" s="81">
        <f>MAX(INDEX(Properties!A$1:CB$87,Formula!B79,23),INDEX(Properties!A$1:CB$87,Formula!D79,23),INDEX(Properties!A$1:CB$87,Formula!F79,23),INDEX(Properties!A$1:CB$87,Formula!H79,23),INDEX(Properties!A$1:CB$87,Formula!J79,23))</f>
        <v>4</v>
      </c>
      <c r="CF79" s="81">
        <f>MIN(IF(Formula!B79=87,10^6,INDEX(Properties!A$1:CB$87,Formula!B79,23)),IF((Formula!D79)=87,10^6,INDEX(Properties!A$1:CB$87,Formula!D79,23)),IF((Formula!F79)=87,10^6,INDEX(Properties!A$1:CB$87,Formula!F79,23)),IF((Formula!H79)=87,10^6,INDEX(Properties!A$1:CB$87,Formula!H79,23)),IF(Formula!J79=87,10^6,INDEX(Properties!A$1:CB$87,Formula!J79,23)))</f>
        <v>0</v>
      </c>
      <c r="CG79" s="81">
        <f t="shared" si="45"/>
        <v>4</v>
      </c>
      <c r="CH79" s="39">
        <f>((Formula!C79)/(Formula!C79+Formula!E79+Formula!G79+Formula!I79+Formula!K79))*(INDEX(Properties!A$1:CB$87,Formula!B79,26))+((Formula!E79)/(Formula!C79+Formula!E79+Formula!G79+Formula!I79+Formula!K79))*(INDEX(Properties!A$1:CB$87,Formula!D79,26))+((Formula!G79)/(Formula!C79+Formula!E79+Formula!G79+Formula!I79+Formula!K79))*(INDEX(Properties!A$1:CB$87,Formula!F79,26))+((Formula!I79)/(Formula!C79+Formula!E79+Formula!G79+Formula!I79+Formula!K79))*(INDEX(Properties!A$1:CB$87,Formula!H79,26))+((Formula!K79)/(Formula!C79+Formula!E79+Formula!G79+Formula!I79+Formula!K79))*(INDEX(Properties!A$1:CB$87,Formula!J79,26))</f>
        <v>10.869180952380955</v>
      </c>
      <c r="CI79" s="39">
        <f>Formula!C79*(INDEX(Properties!A$1:CB$87,Formula!B79,26))+Formula!E79*(INDEX(Properties!A$1:CB$87,Formula!D79,26))+Formula!G79*(INDEX(Properties!A$1:CB$87,Formula!F79,26))+Formula!I79*(INDEX(Properties!A$1:CB$87,Formula!H79,26))+Formula!K79*(INDEX(Properties!A$1:CB$87,Formula!J79,26))</f>
        <v>456.50560000000002</v>
      </c>
      <c r="CJ79" s="39">
        <f>VARP(IF(INDEX(Properties!A$1:CB$87,Formula!B79,26)&lt;&gt;"",INDEX(Properties!A$1:CB$87,Formula!B79,26)),IF(INDEX(Properties!A$1:CB$87,Formula!D79,26)&lt;&gt;"",INDEX(Properties!A$1:CB$87,Formula!D79,26)),IF(INDEX(Properties!A$1:CB$87,Formula!F79,26)&lt;&gt;"",INDEX(Properties!A$1:CB$87,Formula!F79,26)),IF(INDEX(Properties!A$1:CB$87,Formula!H79,26)&lt;&gt;"",INDEX(Properties!A$1:CB$87,Formula!H79,26)),IF(INDEX(Properties!A$1:CB$87,Formula!J79,26)&lt;&gt;"",INDEX(Properties!A$1:CB$87,Formula!J79,26)))</f>
        <v>19.475995805600004</v>
      </c>
      <c r="CK79" s="39">
        <f>MAX(INDEX(Properties!A$1:CB$87,Formula!B79,26),INDEX(Properties!A$1:CB$87,Formula!D79,26),INDEX(Properties!A$1:CB$87,Formula!F79,26),INDEX(Properties!A$1:CB$87,Formula!H79,26),INDEX(Properties!A$1:CB$87,Formula!J79,26))</f>
        <v>13.6181</v>
      </c>
      <c r="CL79" s="39">
        <f>MIN(IF(INDEX(Properties!A$1:CB$87,Formula!B79,26)=0,10^6,INDEX(Properties!A$1:CB$87,Formula!B79,26)),IF(INDEX(Properties!A$1:CB$87,Formula!D79,26)=0,10^6,INDEX(Properties!A$1:CB$87,Formula!D79,26)),IF(INDEX(Properties!A$1:CB$87,Formula!F79,26)=0,10^6,INDEX(Properties!A$1:CB$87,Formula!F79,26)),IF(INDEX(Properties!A$1:CB$87,Formula!H79,26)=0,10^6,INDEX(Properties!A$1:CB$87,Formula!H79,26)),IF(INDEX(Properties!A$1:CB$87,Formula!J79,26)=0,10^6,INDEX(Properties!A$1:CB$87,Formula!J79,26)))</f>
        <v>5.2117000000000004</v>
      </c>
      <c r="CM79" s="39">
        <f t="shared" si="46"/>
        <v>8.4063999999999997</v>
      </c>
      <c r="CN79" s="54">
        <f>((Formula!C79)/(Formula!C79+Formula!E79+Formula!G79+Formula!I79+Formula!K79))*(INDEX(Properties!A$1:CB$87,Formula!B79,30))+((Formula!E79)/(Formula!C79+Formula!E79+Formula!G79+Formula!I79+Formula!K79))*(INDEX(Properties!A$1:CB$87,Formula!D79,30))+((Formula!G79)/(Formula!C79+Formula!E79+Formula!G79+Formula!I79+Formula!K79))*(INDEX(Properties!A$1:CB$87,Formula!F79,30))+((Formula!I79)/(Formula!C79+Formula!E79+Formula!G79+Formula!I79+Formula!K79))*(INDEX(Properties!A$1:CB$87,Formula!H79,30))+((Formula!K79)/(Formula!C79+Formula!E79+Formula!G79+Formula!I79+Formula!K79))*(INDEX(Properties!A$1:CB$87,Formula!J79,30))</f>
        <v>2.6685714285714286</v>
      </c>
      <c r="CO79" s="54">
        <f>Formula!C79*(INDEX(Properties!A$1:CB$87,Formula!B79,30))+Formula!E79*(INDEX(Properties!A$1:CB$87,Formula!D79,30))+Formula!G79*(INDEX(Properties!A$1:CB$87,Formula!F79,30))+Formula!I79*(INDEX(Properties!A$1:CB$87,Formula!H79,30))+Formula!K79*(INDEX(Properties!A$1:CB$87,Formula!J79,30))</f>
        <v>112.08</v>
      </c>
      <c r="CP79" s="54">
        <f>VARP(IF(INDEX(Properties!A$1:CB$87,Formula!B79,30)&lt;&gt;"",INDEX(Properties!A$1:CB$87,Formula!B79,30)),IF(INDEX(Properties!A$1:CB$87,Formula!D79,30)&lt;&gt;"",INDEX(Properties!A$1:CB$87,Formula!D79,30)),IF(INDEX(Properties!A$1:CB$87,Formula!F79,30)&lt;&gt;"",INDEX(Properties!A$1:CB$87,Formula!F79,30)),IF(INDEX(Properties!A$1:CB$87,Formula!H79,30)&lt;&gt;"",INDEX(Properties!A$1:CB$87,Formula!H79,30)),IF(INDEX(Properties!A$1:CB$87,Formula!J79,30)&lt;&gt;"",INDEX(Properties!A$1:CB$87,Formula!J79,30)))</f>
        <v>1.361016</v>
      </c>
      <c r="CQ79" s="54">
        <f>MAX(INDEX(Properties!A$1:CB$87,Formula!B79,30),INDEX(Properties!A$1:CB$87,Formula!D79,30),INDEX(Properties!A$1:CB$87,Formula!F79,30),INDEX(Properties!A$1:CB$87,Formula!H79,30),INDEX(Properties!A$1:CB$87,Formula!J79,30))</f>
        <v>3.44</v>
      </c>
      <c r="CR79" s="54">
        <f>MIN(IF(INDEX(Properties!A$1:CB$87,Formula!B79,30)=0,10^6,INDEX(Properties!A$1:CB$87,Formula!B79,30)),IF(INDEX(Properties!A$1:CB$87,Formula!D79,30)=0,10^6,INDEX(Properties!A$1:CB$87,Formula!D79,30)),IF(INDEX(Properties!A$1:CB$87,Formula!F79,30)=0,10^6,INDEX(Properties!A$1:CB$87,Formula!F79,30)),IF(INDEX(Properties!A$1:CB$87,Formula!H79,30)=0,10^6,INDEX(Properties!A$1:CB$87,Formula!H79,30)),IF(INDEX(Properties!A$1:CB$87,Formula!J79,30)=0,10^6,INDEX(Properties!A$1:CB$87,Formula!J79,30)))</f>
        <v>0.89</v>
      </c>
      <c r="CS79" s="54">
        <f t="shared" si="47"/>
        <v>2.5499999999999998</v>
      </c>
      <c r="CT79" s="69">
        <f>((Formula!C79)/(Formula!C79+Formula!E79+Formula!G79+Formula!I79+Formula!K79))*(INDEX(Properties!A$1:CB$87,Formula!B79,31))+((Formula!E79)/(Formula!C79+Formula!E79+Formula!G79+Formula!I79+Formula!K79))*(INDEX(Properties!A$1:CB$87,Formula!D79,31))+((Formula!G79)/(Formula!C79+Formula!E79+Formula!G79+Formula!I79+Formula!K79))*(INDEX(Properties!A$1:CB$87,Formula!F79,31))+((Formula!I79)/(Formula!C79+Formula!E79+Formula!G79+Formula!I79+Formula!K79))*(INDEX(Properties!A$1:CB$87,Formula!H79,31))+((Formula!K79)/(Formula!C79+Formula!E79+Formula!G79+Formula!I79+Formula!K79))*(INDEX(Properties!A$1:CB$87,Formula!J79,31))</f>
        <v>2.6480952380952383</v>
      </c>
      <c r="CU79" s="69">
        <f>Formula!C79*(INDEX(Properties!A$1:CB$87,Formula!B79,31))+Formula!E79*(INDEX(Properties!A$1:CB$87,Formula!D79,31))+Formula!G79*(INDEX(Properties!A$1:CB$87,Formula!F79,31))+Formula!I79*(INDEX(Properties!A$1:CB$87,Formula!H79,31))+Formula!K79*(INDEX(Properties!A$1:CB$87,Formula!J79,31))</f>
        <v>111.22</v>
      </c>
      <c r="CV79" s="69">
        <f>VARP(IF(INDEX(Properties!A$1:CB$87,Formula!B79,31)&lt;&gt;"",INDEX(Properties!A$1:CB$87,Formula!B79,31)),IF(INDEX(Properties!A$1:CB$87,Formula!D79,31)&lt;&gt;"",INDEX(Properties!A$1:CB$87,Formula!D79,31)),IF(INDEX(Properties!A$1:CB$87,Formula!F79,31)&lt;&gt;"",INDEX(Properties!A$1:CB$87,Formula!F79,31)),IF(INDEX(Properties!A$1:CB$87,Formula!H79,31)&lt;&gt;"",INDEX(Properties!A$1:CB$87,Formula!H79,31)),IF(INDEX(Properties!A$1:CB$87,Formula!J79,31)&lt;&gt;"",INDEX(Properties!A$1:CB$87,Formula!J79,31)))</f>
        <v>1.1979759999999999</v>
      </c>
      <c r="CW79" s="69">
        <f>MAX(INDEX(Properties!A$1:CB$87,Formula!B79,31),INDEX(Properties!A$1:CB$87,Formula!D79,31),INDEX(Properties!A$1:CB$87,Formula!F79,31),INDEX(Properties!A$1:CB$87,Formula!H79,31),INDEX(Properties!A$1:CB$87,Formula!J79,31))</f>
        <v>3.32</v>
      </c>
      <c r="CX79" s="69">
        <f>MIN(IF(INDEX(Properties!A$1:CB$87,Formula!B79,31)=0,10^6,INDEX(Properties!A$1:CB$87,Formula!B79,31)),IF(INDEX(Properties!A$1:CB$87,Formula!D79,31)=0,10^6,INDEX(Properties!A$1:CB$87,Formula!D79,31)),IF(INDEX(Properties!A$1:CB$87,Formula!F79,31)=0,10^6,INDEX(Properties!A$1:CB$87,Formula!F79,31)),IF(INDEX(Properties!A$1:CB$87,Formula!H79,31)=0,10^6,INDEX(Properties!A$1:CB$87,Formula!H79,31)),IF(INDEX(Properties!A$1:CB$87,Formula!J79,31)=0,10^6,INDEX(Properties!A$1:CB$87,Formula!J79,31)))</f>
        <v>1.08</v>
      </c>
      <c r="CY79" s="69">
        <f t="shared" si="48"/>
        <v>2.2399999999999998</v>
      </c>
      <c r="CZ79" s="42">
        <f>((Formula!C79)/(Formula!C79+Formula!E79+Formula!G79+Formula!I79+Formula!K79))*(INDEX(Properties!A$1:CB$87,Formula!B79,32))+((Formula!E79)/(Formula!C79+Formula!E79+Formula!G79+Formula!I79+Formula!K79))*(INDEX(Properties!A$1:CB$87,Formula!D79,32))+((Formula!G79)/(Formula!C79+Formula!E79+Formula!G79+Formula!I79+Formula!K79))*(INDEX(Properties!A$1:CB$87,Formula!F79,32))+((Formula!I79)/(Formula!C79+Formula!E79+Formula!G79+Formula!I79+Formula!K79))*(INDEX(Properties!A$1:CB$87,Formula!H79,32))+((Formula!K79)/(Formula!C79+Formula!E79+Formula!G79+Formula!I79+Formula!K79))*(INDEX(Properties!A$1:CB$87,Formula!J79,32))</f>
        <v>6.0295238095238091</v>
      </c>
      <c r="DA79" s="42">
        <f>Formula!C79*(INDEX(Properties!A$1:CB$87,Formula!B79,32))+Formula!E79*(INDEX(Properties!A$1:CB$87,Formula!D79,32))+Formula!G79*(INDEX(Properties!A$1:CB$87,Formula!F79,32))+Formula!I79*(INDEX(Properties!A$1:CB$87,Formula!H79,32))+Formula!K79*(INDEX(Properties!A$1:CB$87,Formula!J79,32))</f>
        <v>253.24</v>
      </c>
      <c r="DB79" s="42">
        <f>VARP(IF(INDEX(Properties!A$1:CB$87,Formula!B79,32)&lt;&gt;"",INDEX(Properties!A$1:CB$87,Formula!B79,32)),IF(INDEX(Properties!A$1:CB$87,Formula!D79,32)&lt;&gt;"",INDEX(Properties!A$1:CB$87,Formula!D79,32)),IF(INDEX(Properties!A$1:CB$87,Formula!F79,32)&lt;&gt;"",INDEX(Properties!A$1:CB$87,Formula!F79,32)),IF(INDEX(Properties!A$1:CB$87,Formula!H79,32)&lt;&gt;"",INDEX(Properties!A$1:CB$87,Formula!H79,32)),IF(INDEX(Properties!A$1:CB$87,Formula!J79,32)&lt;&gt;"",INDEX(Properties!A$1:CB$87,Formula!J79,32)))</f>
        <v>6.2295359999999986</v>
      </c>
      <c r="DC79" s="42">
        <f>MAX(INDEX(Properties!A$1:CB$87,Formula!B79,32),INDEX(Properties!A$1:CB$87,Formula!D79,32),INDEX(Properties!A$1:CB$87,Formula!F79,32),INDEX(Properties!A$1:CB$87,Formula!H79,32),INDEX(Properties!A$1:CB$87,Formula!J79,32))</f>
        <v>7.54</v>
      </c>
      <c r="DD79" s="42">
        <f>MIN(IF(INDEX(Properties!A$1:CB$87,Formula!B79,32)=0,10^6,INDEX(Properties!A$1:CB$87,Formula!B79,32)),IF(INDEX(Properties!A$1:CB$87,Formula!D79,32)=0,10^6,INDEX(Properties!A$1:CB$87,Formula!D79,32)),IF(INDEX(Properties!A$1:CB$87,Formula!F79,32)=0,10^6,INDEX(Properties!A$1:CB$87,Formula!F79,32)),IF(INDEX(Properties!A$1:CB$87,Formula!H79,32)=0,10^6,INDEX(Properties!A$1:CB$87,Formula!H79,32)),IF(INDEX(Properties!A$1:CB$87,Formula!J79,32)=0,10^6,INDEX(Properties!A$1:CB$87,Formula!J79,32)))</f>
        <v>2.4</v>
      </c>
      <c r="DE79" s="42">
        <f t="shared" si="49"/>
        <v>5.1400000000000006</v>
      </c>
      <c r="DF79" s="60">
        <f>((Formula!C79)/(Formula!C79+Formula!E79+Formula!G79+Formula!I79+Formula!K79))*(INDEX(Properties!A$1:CB$87,Formula!B79,34))+((Formula!E79)/(Formula!C79+Formula!E79+Formula!G79+Formula!I79+Formula!K79))*(INDEX(Properties!A$1:CB$87,Formula!D79,34))+((Formula!G79)/(Formula!C79+Formula!E79+Formula!G79+Formula!I79+Formula!K79))*(INDEX(Properties!A$1:CB$87,Formula!F79,34))+((Formula!I79)/(Formula!C79+Formula!E79+Formula!G79+Formula!I79+Formula!K79))*(INDEX(Properties!A$1:CB$87,Formula!H79,34))+((Formula!K79)/(Formula!C79+Formula!E79+Formula!G79+Formula!I79+Formula!K79))*(INDEX(Properties!A$1:CB$87,Formula!J79,34))</f>
        <v>2.7691904761904764</v>
      </c>
      <c r="DG79" s="60">
        <f>Formula!C79*(INDEX(Properties!A$1:CB$87,Formula!B79,34))+Formula!E79*(INDEX(Properties!A$1:CB$87,Formula!D79,34))+Formula!G79*(INDEX(Properties!A$1:CB$87,Formula!F79,34))+Formula!I79*(INDEX(Properties!A$1:CB$87,Formula!H79,34))+Formula!K79*(INDEX(Properties!A$1:CB$87,Formula!J79,34))</f>
        <v>116.306</v>
      </c>
      <c r="DH79" s="60">
        <f>VARP(IF(INDEX(Properties!A$1:CB$87,Formula!B79,34)&lt;&gt;"",INDEX(Properties!A$1:CB$87,Formula!B79,34)),IF(INDEX(Properties!A$1:CB$87,Formula!D79,34)&lt;&gt;"",INDEX(Properties!A$1:CB$87,Formula!D79,34)),IF(INDEX(Properties!A$1:CB$87,Formula!F79,34)&lt;&gt;"",INDEX(Properties!A$1:CB$87,Formula!F79,34)),IF(INDEX(Properties!A$1:CB$87,Formula!H79,34)&lt;&gt;"",INDEX(Properties!A$1:CB$87,Formula!H79,34)),IF(INDEX(Properties!A$1:CB$87,Formula!J79,34)&lt;&gt;"",INDEX(Properties!A$1:CB$87,Formula!J79,34)))</f>
        <v>1.4992544000000008</v>
      </c>
      <c r="DI79" s="60">
        <f>MAX(INDEX(Properties!A$1:CB$87,Formula!B79,34),INDEX(Properties!A$1:CB$87,Formula!D79,34),INDEX(Properties!A$1:CB$87,Formula!F79,34),INDEX(Properties!A$1:CB$87,Formula!H79,34),INDEX(Properties!A$1:CB$87,Formula!J79,34))</f>
        <v>3.61</v>
      </c>
      <c r="DJ79" s="60">
        <f>MIN(IF(INDEX(Properties!A$1:CB$87,Formula!B79,34)=0,10^6,INDEX(Properties!A$1:CB$87,Formula!B79,34)),IF(INDEX(Properties!A$1:CB$87,Formula!D79,34)=0,10^6,INDEX(Properties!A$1:CB$87,Formula!D79,34)),IF(INDEX(Properties!A$1:CB$87,Formula!F79,34)=0,10^6,INDEX(Properties!A$1:CB$87,Formula!F79,34)),IF(INDEX(Properties!A$1:CB$87,Formula!H79,34)=0,10^6,INDEX(Properties!A$1:CB$87,Formula!H79,34)),IF(INDEX(Properties!A$1:CB$87,Formula!J79,34)=0,10^6,INDEX(Properties!A$1:CB$87,Formula!J79,34)))</f>
        <v>0.88100000000000001</v>
      </c>
      <c r="DK79" s="60">
        <f t="shared" si="50"/>
        <v>2.7290000000000001</v>
      </c>
      <c r="DL79" s="45">
        <f>((Formula!C79)/(Formula!C79+Formula!E79+Formula!G79+Formula!I79+Formula!K79))*(INDEX(Properties!A$1:CB$87,Formula!B79,39))+((Formula!E79)/(Formula!C79+Formula!E79+Formula!G79+Formula!I79+Formula!K79))*(INDEX(Properties!A$1:CB$87,Formula!D79,39))+((Formula!G79)/(Formula!C79+Formula!E79+Formula!G79+Formula!I79+Formula!K79))*(INDEX(Properties!A$1:CB$87,Formula!F79,39))+((Formula!I79)/(Formula!C79+Formula!E79+Formula!G79+Formula!I79+Formula!K79))*(INDEX(Properties!A$1:CB$87,Formula!H79,39))+((Formula!K79)/(Formula!C79+Formula!E79+Formula!G79+Formula!I79+Formula!K79))*(INDEX(Properties!A$1:CB$87,Formula!J79,39))</f>
        <v>0.9676190476190476</v>
      </c>
      <c r="DM79" s="45">
        <f>Formula!C79*(INDEX(Properties!A$1:CB$87,Formula!B79,39))+Formula!E79*(INDEX(Properties!A$1:CB$87,Formula!D79,39))+Formula!G79*(INDEX(Properties!A$1:CB$87,Formula!F79,39))+Formula!I79*(INDEX(Properties!A$1:CB$87,Formula!H79,39))+Formula!K79*(INDEX(Properties!A$1:CB$87,Formula!J79,39))</f>
        <v>40.64</v>
      </c>
      <c r="DN79" s="45">
        <f>VARP(IF(INDEX(Properties!A$1:CB$87,Formula!B79,39)&lt;&gt;"",INDEX(Properties!A$1:CB$87,Formula!B79,39)),IF(INDEX(Properties!A$1:CB$87,Formula!D79,39)&lt;&gt;"",INDEX(Properties!A$1:CB$87,Formula!D79,39)),IF(INDEX(Properties!A$1:CB$87,Formula!F79,39)&lt;&gt;"",INDEX(Properties!A$1:CB$87,Formula!F79,39)),IF(INDEX(Properties!A$1:CB$87,Formula!H79,39)&lt;&gt;"",INDEX(Properties!A$1:CB$87,Formula!H79,39)),IF(INDEX(Properties!A$1:CB$87,Formula!J79,39)&lt;&gt;"",INDEX(Properties!A$1:CB$87,Formula!J79,39)))</f>
        <v>0.85669600000000001</v>
      </c>
      <c r="DO79" s="45">
        <f>MAX(INDEX(Properties!A$1:CB$87,Formula!B79,39),INDEX(Properties!A$1:CB$87,Formula!D79,39),INDEX(Properties!A$1:CB$87,Formula!F79,39),INDEX(Properties!A$1:CB$87,Formula!H79,39),INDEX(Properties!A$1:CB$87,Formula!J79,39))</f>
        <v>2.5299999999999998</v>
      </c>
      <c r="DP79" s="45">
        <f>MIN(IF(INDEX(Properties!A$1:CB$87,Formula!B79,39)=0,10^6,INDEX(Properties!A$1:CB$87,Formula!B79,39)),IF(INDEX(Properties!A$1:CB$87,Formula!D79,39)=0,10^6,INDEX(Properties!A$1:CB$87,Formula!D79,39)),IF(INDEX(Properties!A$1:CB$87,Formula!F79,39)=0,10^6,INDEX(Properties!A$1:CB$87,Formula!F79,39)),IF(INDEX(Properties!A$1:CB$87,Formula!H79,39)=0,10^6,INDEX(Properties!A$1:CB$87,Formula!H79,39)),IF(INDEX(Properties!A$1:CB$87,Formula!J79,39)=0,10^6,INDEX(Properties!A$1:CB$87,Formula!J79,39)))</f>
        <v>0.48</v>
      </c>
      <c r="DQ79" s="45">
        <f t="shared" si="51"/>
        <v>2.0499999999999998</v>
      </c>
      <c r="DR79" s="63">
        <f>((Formula!C79)/(Formula!C79+Formula!E79+Formula!G79+Formula!I79+Formula!K79))*(INDEX(Properties!A$1:CB$87,Formula!B79,40))+((Formula!E79)/(Formula!C79+Formula!E79+Formula!G79+Formula!I79+Formula!K79))*(INDEX(Properties!A$1:CB$87,Formula!D79,40))+((Formula!G79)/(Formula!C79+Formula!E79+Formula!G79+Formula!I79+Formula!K79))*(INDEX(Properties!A$1:CB$87,Formula!F79,40))+((Formula!I79)/(Formula!C79+Formula!E79+Formula!G79+Formula!I79+Formula!K79))*(INDEX(Properties!A$1:CB$87,Formula!H79,40))+((Formula!K79)/(Formula!C79+Formula!E79+Formula!G79+Formula!I79+Formula!K79))*(INDEX(Properties!A$1:CB$87,Formula!J79,40))</f>
        <v>1.0423809523809524</v>
      </c>
      <c r="DS79" s="63">
        <f>Formula!C79*(INDEX(Properties!A$1:CB$87,Formula!B79,40))+Formula!E79*(INDEX(Properties!A$1:CB$87,Formula!D79,40))+Formula!G79*(INDEX(Properties!A$1:CB$87,Formula!F79,40))+Formula!I79*(INDEX(Properties!A$1:CB$87,Formula!H79,40))+Formula!K79*(INDEX(Properties!A$1:CB$87,Formula!J79,40))</f>
        <v>43.78</v>
      </c>
      <c r="DT79" s="63">
        <f>VARP(IF(INDEX(Properties!A$1:CB$87,Formula!B79,40)&lt;&gt;"",INDEX(Properties!A$1:CB$87,Formula!B79,40)),IF(INDEX(Properties!A$1:CB$87,Formula!D79,40)&lt;&gt;"",INDEX(Properties!A$1:CB$87,Formula!D79,40)),IF(INDEX(Properties!A$1:CB$87,Formula!F79,40)&lt;&gt;"",INDEX(Properties!A$1:CB$87,Formula!F79,40)),IF(INDEX(Properties!A$1:CB$87,Formula!H79,40)&lt;&gt;"",INDEX(Properties!A$1:CB$87,Formula!H79,40)),IF(INDEX(Properties!A$1:CB$87,Formula!J79,40)&lt;&gt;"",INDEX(Properties!A$1:CB$87,Formula!J79,40)))</f>
        <v>0.49618399999999996</v>
      </c>
      <c r="DU79" s="63">
        <f>MAX(INDEX(Properties!A$1:CB$87,Formula!B79,40),INDEX(Properties!A$1:CB$87,Formula!D79,40),INDEX(Properties!A$1:CB$87,Formula!F79,40),INDEX(Properties!A$1:CB$87,Formula!H79,40),INDEX(Properties!A$1:CB$87,Formula!J79,40))</f>
        <v>1.98</v>
      </c>
      <c r="DV79" s="63">
        <f>MIN(IF(INDEX(Properties!A$1:CB$87,Formula!B79,40)=0,10^6,INDEX(Properties!A$1:CB$87,Formula!B79,40)),IF(INDEX(Properties!A$1:CB$87,Formula!D79,40)=0,10^6,INDEX(Properties!A$1:CB$87,Formula!D79,40)),IF(INDEX(Properties!A$1:CB$87,Formula!F79,40)=0,10^6,INDEX(Properties!A$1:CB$87,Formula!F79,40)),IF(INDEX(Properties!A$1:CB$87,Formula!H79,40)=0,10^6,INDEX(Properties!A$1:CB$87,Formula!H79,40)),IF(INDEX(Properties!A$1:CB$87,Formula!J79,40)=0,10^6,INDEX(Properties!A$1:CB$87,Formula!J79,40)))</f>
        <v>0.73</v>
      </c>
      <c r="DW79" s="63">
        <f t="shared" si="52"/>
        <v>1.25</v>
      </c>
      <c r="DX79" s="75">
        <f>((Formula!C79)/(Formula!C79+Formula!E79+Formula!G79+Formula!I79+Formula!K79))*(INDEX(Properties!A$1:CB$87,Formula!B79,41))+((Formula!E79)/(Formula!C79+Formula!E79+Formula!G79+Formula!I79+Formula!K79))*(INDEX(Properties!A$1:CB$87,Formula!D79,41))+((Formula!G79)/(Formula!C79+Formula!E79+Formula!G79+Formula!I79+Formula!K79))*(INDEX(Properties!A$1:CB$87,Formula!F79,41))+((Formula!I79)/(Formula!C79+Formula!E79+Formula!G79+Formula!I79+Formula!K79))*(INDEX(Properties!A$1:CB$87,Formula!H79,41))+((Formula!K79)/(Formula!C79+Formula!E79+Formula!G79+Formula!I79+Formula!K79))*(INDEX(Properties!A$1:CB$87,Formula!J79,41))</f>
        <v>1.1980952380952381</v>
      </c>
      <c r="DY79" s="75">
        <f>Formula!C79*(INDEX(Properties!A$1:CB$87,Formula!B79,41))+Formula!E79*(INDEX(Properties!A$1:CB$87,Formula!D79,41))+Formula!G79*(INDEX(Properties!A$1:CB$87,Formula!F79,41))+Formula!I79*(INDEX(Properties!A$1:CB$87,Formula!H79,41))+Formula!K79*(INDEX(Properties!A$1:CB$87,Formula!J79,41))</f>
        <v>50.319999999999993</v>
      </c>
      <c r="DZ79" s="75">
        <f>VARP(IF(INDEX(Properties!A$1:CB$87,Formula!B79,41)&lt;&gt;"",INDEX(Properties!A$1:CB$87,Formula!B79,41)),IF(INDEX(Properties!A$1:CB$87,Formula!D79,41)&lt;&gt;"",INDEX(Properties!A$1:CB$87,Formula!D79,41)),IF(INDEX(Properties!A$1:CB$87,Formula!F79,41)&lt;&gt;"",INDEX(Properties!A$1:CB$87,Formula!F79,41)),IF(INDEX(Properties!A$1:CB$87,Formula!H79,41)&lt;&gt;"",INDEX(Properties!A$1:CB$87,Formula!H79,41)),IF(INDEX(Properties!A$1:CB$87,Formula!J79,41)&lt;&gt;"",INDEX(Properties!A$1:CB$87,Formula!J79,41)))</f>
        <v>0.2689359999999999</v>
      </c>
      <c r="EA79" s="75">
        <f>MAX(INDEX(Properties!A$1:CB$87,Formula!B79,41),INDEX(Properties!A$1:CB$87,Formula!D79,41),INDEX(Properties!A$1:CB$87,Formula!F79,41),INDEX(Properties!A$1:CB$87,Formula!H79,41),INDEX(Properties!A$1:CB$87,Formula!J79,41))</f>
        <v>1.49</v>
      </c>
      <c r="EB79" s="75">
        <f>MIN(IF(INDEX(Properties!A$1:CB$87,Formula!B79,41)=0,10^6,INDEX(Properties!A$1:CB$87,Formula!B79,41)),IF(INDEX(Properties!A$1:CB$87,Formula!D79,41)=0,10^6,INDEX(Properties!A$1:CB$87,Formula!D79,41)),IF(INDEX(Properties!A$1:CB$87,Formula!F79,41)=0,10^6,INDEX(Properties!A$1:CB$87,Formula!F79,41)),IF(INDEX(Properties!A$1:CB$87,Formula!H79,41)=0,10^6,INDEX(Properties!A$1:CB$87,Formula!H79,41)),IF(INDEX(Properties!A$1:CB$87,Formula!J79,41)=0,10^6,INDEX(Properties!A$1:CB$87,Formula!J79,41)))</f>
        <v>0.87</v>
      </c>
      <c r="EC79" s="75">
        <f t="shared" si="53"/>
        <v>0.62</v>
      </c>
      <c r="ED79" s="48">
        <f>((Formula!C79)/(Formula!C79+Formula!E79+Formula!G79+Formula!I79+Formula!K79))*(INDEX(Properties!A$1:CB$87,Formula!B79,45))+((Formula!E79)/(Formula!C79+Formula!E79+Formula!G79+Formula!I79+Formula!K79))*(INDEX(Properties!A$1:CB$87,Formula!D79,45))+((Formula!G79)/(Formula!C79+Formula!E79+Formula!G79+Formula!I79+Formula!K79))*(INDEX(Properties!A$1:CB$87,Formula!F79,45))+((Formula!I79)/(Formula!C79+Formula!E79+Formula!G79+Formula!I79+Formula!K79))*(INDEX(Properties!A$1:CB$87,Formula!H79,45))+((Formula!K79)/(Formula!C79+Formula!E79+Formula!G79+Formula!I79+Formula!K79))*(INDEX(Properties!A$1:CB$87,Formula!J79,45))</f>
        <v>1.2623809523809524</v>
      </c>
      <c r="EE79" s="48">
        <f>Formula!C79*(INDEX(Properties!A$1:CB$87,Formula!B79,45))+Formula!E79*(INDEX(Properties!A$1:CB$87,Formula!D79,45))+Formula!G79*(INDEX(Properties!A$1:CB$87,Formula!F79,45))+Formula!I79*(INDEX(Properties!A$1:CB$87,Formula!H79,45))+Formula!K79*(INDEX(Properties!A$1:CB$87,Formula!J79,45))</f>
        <v>53.019999999999996</v>
      </c>
      <c r="EF79" s="48">
        <f>VARP(IF(INDEX(Properties!A$1:CB$87,Formula!B79,45)&lt;&gt;"",INDEX(Properties!A$1:CB$87,Formula!B79,45)),IF(INDEX(Properties!A$1:CB$87,Formula!D79,45)&lt;&gt;"",INDEX(Properties!A$1:CB$87,Formula!D79,45)),IF(INDEX(Properties!A$1:CB$87,Formula!F79,45)&lt;&gt;"",INDEX(Properties!A$1:CB$87,Formula!F79,45)),IF(INDEX(Properties!A$1:CB$87,Formula!H79,45)&lt;&gt;"",INDEX(Properties!A$1:CB$87,Formula!H79,45)),IF(INDEX(Properties!A$1:CB$87,Formula!J79,45)&lt;&gt;"",INDEX(Properties!A$1:CB$87,Formula!J79,45)))</f>
        <v>1.8433759999999979</v>
      </c>
      <c r="EG79" s="48">
        <f>MAX(INDEX(Properties!A$1:CB$87,Formula!B79,45),INDEX(Properties!A$1:CB$87,Formula!D79,45),INDEX(Properties!A$1:CB$87,Formula!F79,45),INDEX(Properties!A$1:CB$87,Formula!H79,45),INDEX(Properties!A$1:CB$87,Formula!J79,45))</f>
        <v>3.4</v>
      </c>
      <c r="EH79" s="48">
        <f>MIN(IF(INDEX(Properties!A$1:CB$87,Formula!B79,45)=0,10^6,INDEX(Properties!A$1:CB$87,Formula!B79,45)),IF(INDEX(Properties!A$1:CB$87,Formula!D79,45)=0,10^6,INDEX(Properties!A$1:CB$87,Formula!D79,45)),IF(INDEX(Properties!A$1:CB$87,Formula!F79,45)=0,10^6,INDEX(Properties!A$1:CB$87,Formula!F79,45)),IF(INDEX(Properties!A$1:CB$87,Formula!H79,45)=0,10^6,INDEX(Properties!A$1:CB$87,Formula!H79,45)),IF(INDEX(Properties!A$1:CB$87,Formula!J79,45)=0,10^6,INDEX(Properties!A$1:CB$87,Formula!J79,45)))</f>
        <v>0.47</v>
      </c>
      <c r="EI79" s="48">
        <f t="shared" si="54"/>
        <v>2.9299999999999997</v>
      </c>
      <c r="EJ79" s="66">
        <f>((Formula!C79)/(Formula!C79+Formula!E79+Formula!G79+Formula!I79+Formula!K79))*(INDEX(Properties!A$1:CB$87,Formula!B79,46))+((Formula!E79)/(Formula!C79+Formula!E79+Formula!G79+Formula!I79+Formula!K79))*(INDEX(Properties!A$1:CB$87,Formula!D79,46))+((Formula!G79)/(Formula!C79+Formula!E79+Formula!G79+Formula!I79+Formula!K79))*(INDEX(Properties!A$1:CB$87,Formula!F79,46))+((Formula!I79)/(Formula!C79+Formula!E79+Formula!G79+Formula!I79+Formula!K79))*(INDEX(Properties!A$1:CB$87,Formula!H79,46))+((Formula!K79)/(Formula!C79+Formula!E79+Formula!G79+Formula!I79+Formula!K79))*(INDEX(Properties!A$1:CB$87,Formula!J79,46))</f>
        <v>1.1547619047619047</v>
      </c>
      <c r="EK79" s="66">
        <f>Formula!C79*(INDEX(Properties!A$1:CB$87,Formula!B79,46))+Formula!E79*(INDEX(Properties!A$1:CB$87,Formula!D79,46))+Formula!G79*(INDEX(Properties!A$1:CB$87,Formula!F79,46))+Formula!I79*(INDEX(Properties!A$1:CB$87,Formula!H79,46))+Formula!K79*(INDEX(Properties!A$1:CB$87,Formula!J79,46))</f>
        <v>48.5</v>
      </c>
      <c r="EL79" s="66">
        <f>VARP(IF(INDEX(Properties!A$1:CB$87,Formula!B79,46)&lt;&gt;"",INDEX(Properties!A$1:CB$87,Formula!B79,46)),IF(INDEX(Properties!A$1:CB$87,Formula!D79,46)&lt;&gt;"",INDEX(Properties!A$1:CB$87,Formula!D79,46)),IF(INDEX(Properties!A$1:CB$87,Formula!F79,46)&lt;&gt;"",INDEX(Properties!A$1:CB$87,Formula!F79,46)),IF(INDEX(Properties!A$1:CB$87,Formula!H79,46)&lt;&gt;"",INDEX(Properties!A$1:CB$87,Formula!H79,46)),IF(INDEX(Properties!A$1:CB$87,Formula!J79,46)&lt;&gt;"",INDEX(Properties!A$1:CB$87,Formula!J79,46)))</f>
        <v>0.32021600000000022</v>
      </c>
      <c r="EM79" s="66">
        <f>MAX(INDEX(Properties!A$1:CB$87,Formula!B79,46),INDEX(Properties!A$1:CB$87,Formula!D79,46),INDEX(Properties!A$1:CB$87,Formula!F79,46),INDEX(Properties!A$1:CB$87,Formula!H79,46),INDEX(Properties!A$1:CB$87,Formula!J79,46))</f>
        <v>1.49</v>
      </c>
      <c r="EN79" s="66">
        <f>MIN(IF(INDEX(Properties!A$1:CB$87,Formula!B79,46)=0,10^6,INDEX(Properties!A$1:CB$87,Formula!B79,46)),IF(INDEX(Properties!A$1:CB$87,Formula!D79,46)=0,10^6,INDEX(Properties!A$1:CB$87,Formula!D79,46)),IF(INDEX(Properties!A$1:CB$87,Formula!F79,46)=0,10^6,INDEX(Properties!A$1:CB$87,Formula!F79,46)),IF(INDEX(Properties!A$1:CB$87,Formula!H79,46)=0,10^6,INDEX(Properties!A$1:CB$87,Formula!H79,46)),IF(INDEX(Properties!A$1:CB$87,Formula!J79,46)=0,10^6,INDEX(Properties!A$1:CB$87,Formula!J79,46)))</f>
        <v>0.53</v>
      </c>
      <c r="EO79" s="66">
        <f t="shared" si="55"/>
        <v>0.96</v>
      </c>
      <c r="EP79" s="81">
        <f>((Formula!C79)/(Formula!C79+Formula!E79+Formula!G79+Formula!I79+Formula!K79))*(INDEX(Properties!A$1:CB$87,Formula!B79,52))+((Formula!E79)/(Formula!C79+Formula!E79+Formula!G79+Formula!I79+Formula!K79))*(INDEX(Properties!A$1:CB$87,Formula!D79,52))+((Formula!G79)/(Formula!C79+Formula!E79+Formula!G79+Formula!I79+Formula!K79))*(INDEX(Properties!A$1:CB$87,Formula!F79,52))+((Formula!I79)/(Formula!C79+Formula!E79+Formula!G79+Formula!I79+Formula!K79))*(INDEX(Properties!A$1:CB$87,Formula!H79,52))+((Formula!K79)/(Formula!C79+Formula!E79+Formula!G79+Formula!I79+Formula!K79))*(INDEX(Properties!A$1:CB$87,Formula!J79,52))</f>
        <v>9.1766190476190488</v>
      </c>
      <c r="EQ79" s="81">
        <f>Formula!C79*(INDEX(Properties!A$1:CB$87,Formula!B79,52))+Formula!E79*(INDEX(Properties!A$1:CB$87,Formula!D79,52))+Formula!G79*(INDEX(Properties!A$1:CB$87,Formula!F79,52))+Formula!I79*(INDEX(Properties!A$1:CB$87,Formula!H79,52))+Formula!K79*(INDEX(Properties!A$1:CB$87,Formula!J79,52))</f>
        <v>385.41800000000006</v>
      </c>
      <c r="ER79" s="81">
        <f>VARP(IF(INDEX(Properties!A$1:CB$87,Formula!B79,52)&lt;&gt;"",INDEX(Properties!A$1:CB$87,Formula!B79,52)),IF(INDEX(Properties!A$1:CB$87,Formula!D79,52)&lt;&gt;"",INDEX(Properties!A$1:CB$87,Formula!D79,52)),IF(INDEX(Properties!A$1:CB$87,Formula!F79,52)&lt;&gt;"",INDEX(Properties!A$1:CB$87,Formula!F79,52)),IF(INDEX(Properties!A$1:CB$87,Formula!H79,52)&lt;&gt;"",INDEX(Properties!A$1:CB$87,Formula!H79,52)),IF(INDEX(Properties!A$1:CB$87,Formula!J79,52)&lt;&gt;"",INDEX(Properties!A$1:CB$87,Formula!J79,52)))</f>
        <v>274.77967984000003</v>
      </c>
      <c r="ES79" s="81">
        <f>MAX(INDEX(Properties!A$1:CB$87,Formula!B79,52),INDEX(Properties!A$1:CB$87,Formula!D79,52),INDEX(Properties!A$1:CB$87,Formula!F79,52),INDEX(Properties!A$1:CB$87,Formula!H79,52),INDEX(Properties!A$1:CB$87,Formula!J79,52))</f>
        <v>39.700000000000003</v>
      </c>
      <c r="ET79" s="81">
        <f>MIN(IF(INDEX(Properties!A$1:CB$87,Formula!B79,52)=0,10^6,INDEX(Properties!A$1:CB$87,Formula!B79,52)),IF(INDEX(Properties!A$1:CB$87,Formula!D79,52)=0,10^6,INDEX(Properties!A$1:CB$87,Formula!D79,52)),IF(INDEX(Properties!A$1:CB$87,Formula!F79,52)=0,10^6,INDEX(Properties!A$1:CB$87,Formula!F79,52)),IF(INDEX(Properties!A$1:CB$87,Formula!H79,52)=0,10^6,INDEX(Properties!A$1:CB$87,Formula!H79,52)),IF(INDEX(Properties!A$1:CB$87,Formula!J79,52)=0,10^6,INDEX(Properties!A$1:CB$87,Formula!J79,52)))</f>
        <v>0.79300000000000004</v>
      </c>
      <c r="EU79" s="81">
        <f t="shared" si="56"/>
        <v>38.907000000000004</v>
      </c>
      <c r="EV79" s="39">
        <f>((Formula!C79)/(Formula!C79+Formula!E79+Formula!G79+Formula!I79+Formula!K79))*(INDEX(Properties!A$1:CB$87,Formula!B79,53))+((Formula!E79)/(Formula!C79+Formula!E79+Formula!G79+Formula!I79+Formula!K79))*(INDEX(Properties!A$1:CB$87,Formula!D79,53))+((Formula!G79)/(Formula!C79+Formula!E79+Formula!G79+Formula!I79+Formula!K79))*(INDEX(Properties!A$1:CB$87,Formula!F79,53))+((Formula!I79)/(Formula!C79+Formula!E79+Formula!G79+Formula!I79+Formula!K79))*(INDEX(Properties!A$1:CB$87,Formula!H79,53))+((Formula!K79)/(Formula!C79+Formula!E79+Formula!G79+Formula!I79+Formula!K79))*(INDEX(Properties!A$1:CB$87,Formula!J79,53))</f>
        <v>483.05476190476185</v>
      </c>
      <c r="EW79" s="39">
        <f>Formula!C79*(INDEX(Properties!A$1:CB$87,Formula!B79,53))+Formula!E79*(INDEX(Properties!A$1:CB$87,Formula!D79,53))+Formula!G79*(INDEX(Properties!A$1:CB$87,Formula!F79,53))+Formula!I79*(INDEX(Properties!A$1:CB$87,Formula!H79,53))+Formula!K79*(INDEX(Properties!A$1:CB$87,Formula!J79,53))</f>
        <v>20288.3</v>
      </c>
      <c r="EX79" s="39">
        <f>VARP(IF(INDEX(Properties!A$1:CB$87,Formula!B79,53)&lt;&gt;"",INDEX(Properties!A$1:CB$87,Formula!B79,53)),IF(INDEX(Properties!A$1:CB$87,Formula!D79,53)&lt;&gt;"",INDEX(Properties!A$1:CB$87,Formula!D79,53)),IF(INDEX(Properties!A$1:CB$87,Formula!F79,53)&lt;&gt;"",INDEX(Properties!A$1:CB$87,Formula!F79,53)),IF(INDEX(Properties!A$1:CB$87,Formula!H79,53)&lt;&gt;"",INDEX(Properties!A$1:CB$87,Formula!H79,53)),IF(INDEX(Properties!A$1:CB$87,Formula!J79,53)&lt;&gt;"",INDEX(Properties!A$1:CB$87,Formula!J79,53)))</f>
        <v>301837.41959999991</v>
      </c>
      <c r="EY79" s="39">
        <f>MAX(INDEX(Properties!A$1:CB$87,Formula!B79,53),INDEX(Properties!A$1:CB$87,Formula!D79,53),INDEX(Properties!A$1:CB$87,Formula!F79,53),INDEX(Properties!A$1:CB$87,Formula!H79,53),INDEX(Properties!A$1:CB$87,Formula!J79,53))</f>
        <v>1220.55</v>
      </c>
      <c r="EZ79" s="39">
        <f>MIN(IF(INDEX(Properties!A$1:CB$87,Formula!B79,53)=0,10^6,INDEX(Properties!A$1:CB$87,Formula!B79,53)),IF(INDEX(Properties!A$1:CB$87,Formula!D79,53)=0,10^6,INDEX(Properties!A$1:CB$87,Formula!D79,53)),IF(INDEX(Properties!A$1:CB$87,Formula!F79,53)=0,10^6,INDEX(Properties!A$1:CB$87,Formula!F79,53)),IF(INDEX(Properties!A$1:CB$87,Formula!H79,53)=0,10^6,INDEX(Properties!A$1:CB$87,Formula!H79,53)),IF(INDEX(Properties!A$1:CB$87,Formula!J79,53)=0,10^6,INDEX(Properties!A$1:CB$87,Formula!J79,53)))</f>
        <v>54.749999999999972</v>
      </c>
      <c r="FA79" s="39">
        <f t="shared" si="57"/>
        <v>1165.8</v>
      </c>
      <c r="FB79" s="54">
        <f>((Formula!C79)/(Formula!C79+Formula!E79+Formula!G79+Formula!I79+Formula!K79))*(INDEX(Properties!A$1:CB$87,Formula!B79,54))+((Formula!E79)/(Formula!C79+Formula!E79+Formula!G79+Formula!I79+Formula!K79))*(INDEX(Properties!A$1:CB$87,Formula!D79,54))+((Formula!G79)/(Formula!C79+Formula!E79+Formula!G79+Formula!I79+Formula!K79))*(INDEX(Properties!A$1:CB$87,Formula!F79,54))+((Formula!I79)/(Formula!C79+Formula!E79+Formula!G79+Formula!I79+Formula!K79))*(INDEX(Properties!A$1:CB$87,Formula!H79,54))+((Formula!K79)/(Formula!C79+Formula!E79+Formula!G79+Formula!I79+Formula!K79))*(INDEX(Properties!A$1:CB$87,Formula!J79,54))</f>
        <v>1300.1500000000001</v>
      </c>
      <c r="FC79" s="54">
        <f>Formula!C79*(INDEX(Properties!A$1:CB$87,Formula!B79,54))+Formula!E79*(INDEX(Properties!A$1:CB$87,Formula!D79,54))+Formula!G79*(INDEX(Properties!A$1:CB$87,Formula!F79,54))+Formula!I79*(INDEX(Properties!A$1:CB$87,Formula!H79,54))+Formula!K79*(INDEX(Properties!A$1:CB$87,Formula!J79,54))</f>
        <v>54606.3</v>
      </c>
      <c r="FD79" s="54">
        <f>VARP(IF(INDEX(Properties!A$1:CB$87,Formula!B79,54)&lt;&gt;"",INDEX(Properties!A$1:CB$87,Formula!B79,54)),IF(INDEX(Properties!A$1:CB$87,Formula!D79,54)&lt;&gt;"",INDEX(Properties!A$1:CB$87,Formula!D79,54)),IF(INDEX(Properties!A$1:CB$87,Formula!F79,54)&lt;&gt;"",INDEX(Properties!A$1:CB$87,Formula!F79,54)),IF(INDEX(Properties!A$1:CB$87,Formula!H79,54)&lt;&gt;"",INDEX(Properties!A$1:CB$87,Formula!H79,54)),IF(INDEX(Properties!A$1:CB$87,Formula!J79,54)&lt;&gt;"",INDEX(Properties!A$1:CB$87,Formula!J79,54)))</f>
        <v>2316591.8396000005</v>
      </c>
      <c r="FE79" s="54">
        <f>MAX(INDEX(Properties!A$1:CB$87,Formula!B79,54),INDEX(Properties!A$1:CB$87,Formula!D79,54),INDEX(Properties!A$1:CB$87,Formula!F79,54),INDEX(Properties!A$1:CB$87,Formula!H79,54),INDEX(Properties!A$1:CB$87,Formula!J79,54))</f>
        <v>3727.15</v>
      </c>
      <c r="FF79" s="54">
        <f>MIN(IF(INDEX(Properties!A$1:CB$87,Formula!B79,54)=0,10^6,INDEX(Properties!A$1:CB$87,Formula!B79,54)),IF(INDEX(Properties!A$1:CB$87,Formula!D79,54)=0,10^6,INDEX(Properties!A$1:CB$87,Formula!D79,54)),IF(INDEX(Properties!A$1:CB$87,Formula!F79,54)=0,10^6,INDEX(Properties!A$1:CB$87,Formula!F79,54)),IF(INDEX(Properties!A$1:CB$87,Formula!H79,54)=0,10^6,INDEX(Properties!A$1:CB$87,Formula!H79,54)),IF(INDEX(Properties!A$1:CB$87,Formula!J79,54)=0,10^6,INDEX(Properties!A$1:CB$87,Formula!J79,54)))</f>
        <v>90.149999999999977</v>
      </c>
      <c r="FG79" s="54">
        <f t="shared" si="58"/>
        <v>3637</v>
      </c>
      <c r="FH79" s="69">
        <f>((Formula!C79)/(Formula!C79+Formula!E79+Formula!G79+Formula!I79+Formula!K79))*(INDEX(Properties!A$1:CB$87,Formula!B79,55))+((Formula!E79)/(Formula!C79+Formula!E79+Formula!G79+Formula!I79+Formula!K79))*(INDEX(Properties!A$1:CB$87,Formula!D79,55))+((Formula!G79)/(Formula!C79+Formula!E79+Formula!G79+Formula!I79+Formula!K79))*(INDEX(Properties!A$1:CB$87,Formula!F79,55))+((Formula!I79)/(Formula!C79+Formula!E79+Formula!G79+Formula!I79+Formula!K79))*(INDEX(Properties!A$1:CB$87,Formula!H79,55))+((Formula!K79)/(Formula!C79+Formula!E79+Formula!G79+Formula!I79+Formula!K79))*(INDEX(Properties!A$1:CB$87,Formula!J79,55))</f>
        <v>2.0989804761904765</v>
      </c>
      <c r="FI79" s="69">
        <f>Formula!C79*(INDEX(Properties!A$1:CB$87,Formula!B79,55))+Formula!E79*(INDEX(Properties!A$1:CB$87,Formula!D79,54))+Formula!G79*(INDEX(Properties!A$1:CB$87,Formula!F79,55))+Formula!I79*(INDEX(Properties!A$1:CB$87,Formula!H79,55))+Formula!K79*(INDEX(Properties!A$1:CB$87,Formula!J79,55))</f>
        <v>29856.157179999998</v>
      </c>
      <c r="FJ79" s="69">
        <f>VARP(IF(INDEX(Properties!A$1:CB$87,Formula!B79,55)&lt;&gt;"",INDEX(Properties!A$1:CB$87,Formula!B79,55)),IF(INDEX(Properties!A$1:CB$87,Formula!D79,55)&lt;&gt;"",INDEX(Properties!A$1:CB$87,Formula!D79,55)),IF(INDEX(Properties!A$1:CB$87,Formula!F79,55)&lt;&gt;"",INDEX(Properties!A$1:CB$87,Formula!F79,55)),IF(INDEX(Properties!A$1:CB$87,Formula!H79,55)&lt;&gt;"",INDEX(Properties!A$1:CB$87,Formula!H79,55)),IF(INDEX(Properties!A$1:CB$87,Formula!J79,55)&lt;&gt;"",INDEX(Properties!A$1:CB$87,Formula!J79,55)))</f>
        <v>6.7092317591840027</v>
      </c>
      <c r="FK79" s="69">
        <f>MAX(INDEX(Properties!A$1:CB$87,Formula!B79,55),INDEX(Properties!A$1:CB$87,Formula!D79,55),INDEX(Properties!A$1:CB$87,Formula!F79,55),INDEX(Properties!A$1:CB$87,Formula!H79,55),INDEX(Properties!A$1:CB$87,Formula!J79,55))</f>
        <v>6.15</v>
      </c>
      <c r="FL79" s="69">
        <f>MIN(IF(INDEX(Properties!A$1:CB$87,Formula!B79,55)=0,10^6,INDEX(Properties!A$1:CB$87,Formula!B79,55)),IF(INDEX(Properties!A$1:CB$87,Formula!D79,55)=0,10^6,INDEX(Properties!A$1:CB$87,Formula!D79,55)),IF(INDEX(Properties!A$1:CB$87,Formula!F79,55)=0,10^6,INDEX(Properties!A$1:CB$87,Formula!F79,55)),IF(INDEX(Properties!A$1:CB$87,Formula!H79,55)=0,10^6,INDEX(Properties!A$1:CB$87,Formula!H79,55)),IF(INDEX(Properties!A$1:CB$87,Formula!J79,55)=0,10^6,INDEX(Properties!A$1:CB$87,Formula!J79,55)))</f>
        <v>1.4300000000000001E-3</v>
      </c>
      <c r="FM79" s="69">
        <f t="shared" si="59"/>
        <v>6.1485700000000003</v>
      </c>
      <c r="FN79" s="42">
        <f>((Formula!C79)/(Formula!C79+Formula!E79+Formula!G79+Formula!I79+Formula!K79))*(INDEX(Properties!A$1:CB$87,Formula!B79,56))+((Formula!E79)/(Formula!C79+Formula!E79+Formula!G79+Formula!I79+Formula!K79))*(INDEX(Properties!A$1:CB$87,Formula!D79,56))+((Formula!G79)/(Formula!C79+Formula!E79+Formula!G79+Formula!I79+Formula!K79))*(INDEX(Properties!A$1:CB$87,Formula!F79,56))+((Formula!I79)/(Formula!C79+Formula!E79+Formula!G79+Formula!I79+Formula!K79))*(INDEX(Properties!A$1:CB$87,Formula!H79,56))+((Formula!K79)/(Formula!C79+Formula!E79+Formula!G79+Formula!I79+Formula!K79))*(INDEX(Properties!A$1:CB$87,Formula!J79,56))</f>
        <v>0.66114285714285714</v>
      </c>
      <c r="FO79" s="42">
        <f>Formula!C79*(INDEX(Properties!A$1:CB$87,Formula!B79,56))+Formula!E79*(INDEX(Properties!A$1:CB$87,Formula!D79,56))+Formula!G79*(INDEX(Properties!A$1:CB$87,Formula!F79,56))+Formula!I79*(INDEX(Properties!A$1:CB$87,Formula!H79,56))+Formula!K79*(INDEX(Properties!A$1:CB$87,Formula!J79,56))</f>
        <v>27.768000000000001</v>
      </c>
      <c r="FP79" s="42">
        <f>VARP(IF(INDEX(Properties!A$1:CB$87,Formula!B79,56)&lt;&gt;"",INDEX(Properties!A$1:CB$87,Formula!B79,56)),IF(INDEX(Properties!A$1:CB$87,Formula!D79,56)&lt;&gt;"",INDEX(Properties!A$1:CB$87,Formula!D79,56)),IF(INDEX(Properties!A$1:CB$87,Formula!F79,56)&lt;&gt;"",INDEX(Properties!A$1:CB$87,Formula!F79,56)),IF(INDEX(Properties!A$1:CB$87,Formula!H79,56)&lt;&gt;"",INDEX(Properties!A$1:CB$87,Formula!H79,56)),IF(INDEX(Properties!A$1:CB$87,Formula!J79,56)&lt;&gt;"",INDEX(Properties!A$1:CB$87,Formula!J79,56)))</f>
        <v>9.8504960000000016E-2</v>
      </c>
      <c r="FQ79" s="42">
        <f>MAX(INDEX(Properties!A$1:CB$87,Formula!B79,56),INDEX(Properties!A$1:CB$87,Formula!D79,56),INDEX(Properties!A$1:CB$87,Formula!F79,56),INDEX(Properties!A$1:CB$87,Formula!H79,56),INDEX(Properties!A$1:CB$87,Formula!J79,56))</f>
        <v>0.92</v>
      </c>
      <c r="FR79" s="42">
        <f>MIN(IF(INDEX(Properties!A$1:CB$87,Formula!B79,56)=0,10^6,INDEX(Properties!A$1:CB$87,Formula!B79,56)),IF(INDEX(Properties!A$1:CB$87,Formula!D79,56)=0,10^6,INDEX(Properties!A$1:CB$87,Formula!D79,56)),IF(INDEX(Properties!A$1:CB$87,Formula!F79,56)=0,10^6,INDEX(Properties!A$1:CB$87,Formula!F79,56)),IF(INDEX(Properties!A$1:CB$87,Formula!H79,56)=0,10^6,INDEX(Properties!A$1:CB$87,Formula!H79,56)),IF(INDEX(Properties!A$1:CB$87,Formula!J79,56)=0,10^6,INDEX(Properties!A$1:CB$87,Formula!J79,56)))</f>
        <v>0.19</v>
      </c>
      <c r="FS79" s="42">
        <f t="shared" si="60"/>
        <v>0.73</v>
      </c>
      <c r="FT79" s="60">
        <f>((Formula!C79)/(Formula!C79+Formula!E79+Formula!G79+Formula!I79+Formula!K79))*(INDEX(Properties!A$1:CB$87,Formula!B79,57))+((Formula!E79)/(Formula!C79+Formula!E79+Formula!G79+Formula!I79+Formula!K79))*(INDEX(Properties!A$1:CB$87,Formula!D79,57))+((Formula!G79)/(Formula!C79+Formula!E79+Formula!G79+Formula!I79+Formula!K79))*(INDEX(Properties!A$1:CB$87,Formula!F79,57))+((Formula!I79)/(Formula!C79+Formula!E79+Formula!G79+Formula!I79+Formula!K79))*(INDEX(Properties!A$1:CB$87,Formula!H79,57))+((Formula!K79)/(Formula!C79+Formula!E79+Formula!G79+Formula!I79+Formula!K79))*(INDEX(Properties!A$1:CB$87,Formula!J79,57))</f>
        <v>6.9649366666666657</v>
      </c>
      <c r="FU79" s="60">
        <f>Formula!C79*(INDEX(Properties!A$1:CB$87,Formula!B79,57))+Formula!E79*(INDEX(Properties!A$1:CB$87,Formula!D79,57))+Formula!G79*(INDEX(Properties!A$1:CB$87,Formula!F79,57))+Formula!I79*(INDEX(Properties!A$1:CB$87,Formula!H79,57))+Formula!K79*(INDEX(Properties!A$1:CB$87,Formula!J79,57))</f>
        <v>292.52733999999998</v>
      </c>
      <c r="FV79" s="60">
        <f>VARP(IF(INDEX(Properties!A$1:CB$87,Formula!B79,57)&lt;&gt;"",INDEX(Properties!A$1:CB$87,Formula!B79,57)),IF(INDEX(Properties!A$1:CB$87,Formula!D79,57)&lt;&gt;"",INDEX(Properties!A$1:CB$87,Formula!D79,57)),IF(INDEX(Properties!A$1:CB$87,Formula!F79,57)&lt;&gt;"",INDEX(Properties!A$1:CB$87,Formula!F79,57)),IF(INDEX(Properties!A$1:CB$87,Formula!H79,57)&lt;&gt;"",INDEX(Properties!A$1:CB$87,Formula!H79,57)),IF(INDEX(Properties!A$1:CB$87,Formula!J79,57)&lt;&gt;"",INDEX(Properties!A$1:CB$87,Formula!J79,57)))</f>
        <v>188.12325500129595</v>
      </c>
      <c r="FW79" s="60">
        <f>MAX(INDEX(Properties!A$1:CB$87,Formula!B79,57),INDEX(Properties!A$1:CB$87,Formula!D79,57),INDEX(Properties!A$1:CB$87,Formula!F79,57),INDEX(Properties!A$1:CB$87,Formula!H79,57),INDEX(Properties!A$1:CB$87,Formula!J79,57))</f>
        <v>36.94</v>
      </c>
      <c r="FX79" s="60">
        <f>MIN(IF(INDEX(Properties!A$1:CB$87,Formula!B79,57)=0,10^6,INDEX(Properties!A$1:CB$87,Formula!B79,57)),IF(INDEX(Properties!A$1:CB$87,Formula!D79,57)=0,10^6,INDEX(Properties!A$1:CB$87,Formula!D79,57)),IF(INDEX(Properties!A$1:CB$87,Formula!F79,57)=0,10^6,INDEX(Properties!A$1:CB$87,Formula!F79,57)),IF(INDEX(Properties!A$1:CB$87,Formula!H79,57)=0,10^6,INDEX(Properties!A$1:CB$87,Formula!H79,57)),IF(INDEX(Properties!A$1:CB$87,Formula!J79,57)=0,10^6,INDEX(Properties!A$1:CB$87,Formula!J79,57)))</f>
        <v>0.22259000000000001</v>
      </c>
      <c r="FY79" s="60">
        <f t="shared" si="61"/>
        <v>36.717410000000001</v>
      </c>
      <c r="FZ79" s="72">
        <f>((Formula!C79)/(Formula!C79+Formula!E79+Formula!G79+Formula!I79+Formula!K79))*(INDEX(Properties!A$1:CB$87,Formula!B79,60))+((Formula!E79)/(Formula!C79+Formula!E79+Formula!G79+Formula!I79+Formula!K79))*(INDEX(Properties!A$1:CB$87,Formula!D79,60))+((Formula!G79)/(Formula!C79+Formula!E79+Formula!G79+Formula!I79+Formula!K79))*(INDEX(Properties!A$1:CB$87,Formula!F79,60))+((Formula!I79)/(Formula!C79+Formula!E79+Formula!G79+Formula!I79+Formula!K79))*(INDEX(Properties!A$1:CB$87,Formula!H79,60))+((Formula!K79)/(Formula!C79+Formula!E79+Formula!G79+Formula!I79+Formula!K79))*(INDEX(Properties!A$1:CB$87,Formula!J79,60))</f>
        <v>12.021315238095237</v>
      </c>
      <c r="GA79" s="72">
        <f>Formula!C79*(INDEX(Properties!A$1:CB$87,Formula!B79,60))+Formula!E79*(INDEX(Properties!A$1:CB$87,Formula!D79,60))+Formula!G79*(INDEX(Properties!A$1:CB$87,Formula!F79,60))+Formula!I79*(INDEX(Properties!A$1:CB$87,Formula!H79,60))+Formula!K79*(INDEX(Properties!A$1:CB$87,Formula!J79,60))</f>
        <v>504.89524</v>
      </c>
      <c r="GB79" s="72">
        <f>VARP(IF(INDEX(Properties!A$1:CB$87,Formula!B79,60)&lt;&gt;"",INDEX(Properties!A$1:CB$87,Formula!B79,60)),IF(INDEX(Properties!A$1:CB$87,Formula!D79,60)&lt;&gt;"",INDEX(Properties!A$1:CB$87,Formula!D79,60)),IF(INDEX(Properties!A$1:CB$87,Formula!F79,60)&lt;&gt;"",INDEX(Properties!A$1:CB$87,Formula!F79,60)),IF(INDEX(Properties!A$1:CB$87,Formula!H79,60)&lt;&gt;"",INDEX(Properties!A$1:CB$87,Formula!H79,60)),IF(INDEX(Properties!A$1:CB$87,Formula!J79,60)&lt;&gt;"",INDEX(Properties!A$1:CB$87,Formula!J79,60)))</f>
        <v>484.47813584441587</v>
      </c>
      <c r="GC79" s="72">
        <f>MAX(INDEX(Properties!A$1:CB$87,Formula!B79,60),INDEX(Properties!A$1:CB$87,Formula!D79,60),INDEX(Properties!A$1:CB$87,Formula!F79,60),INDEX(Properties!A$1:CB$87,Formula!H79,60),INDEX(Properties!A$1:CB$87,Formula!J79,60))</f>
        <v>59.9</v>
      </c>
      <c r="GD79" s="72">
        <f>MIN(IF(INDEX(Properties!A$1:CB$87,Formula!B79,60)=0,10^6,INDEX(Properties!A$1:CB$87,Formula!B79,60)),IF(INDEX(Properties!A$1:CB$87,Formula!D79,60)=0,10^6,INDEX(Properties!A$1:CB$87,Formula!D79,60)),IF(INDEX(Properties!A$1:CB$87,Formula!F79,60)=0,10^6,INDEX(Properties!A$1:CB$87,Formula!F79,60)),IF(INDEX(Properties!A$1:CB$87,Formula!H79,60)=0,10^6,INDEX(Properties!A$1:CB$87,Formula!H79,60)),IF(INDEX(Properties!A$1:CB$87,Formula!J79,60)=0,10^6,INDEX(Properties!A$1:CB$87,Formula!J79,60)))</f>
        <v>2.674E-2</v>
      </c>
      <c r="GE79" s="72">
        <f t="shared" si="62"/>
        <v>59.873260000000002</v>
      </c>
      <c r="GF79" s="51">
        <f>((Formula!C79)/(Formula!C79+Formula!E79+Formula!G79+Formula!I79+Formula!K79))*(INDEX(Properties!A$1:CB$87,Formula!B79,62))+((Formula!E79)/(Formula!C79+Formula!E79+Formula!G79+Formula!I79+Formula!K79))*(INDEX(Properties!A$1:CB$87,Formula!D79,62))+((Formula!G79)/(Formula!C79+Formula!E79+Formula!G79+Formula!I79+Formula!K79))*(INDEX(Properties!A$1:CB$87,Formula!F79,62))+((Formula!I79)/(Formula!C79+Formula!E79+Formula!G79+Formula!I79+Formula!K79))*(INDEX(Properties!A$1:CB$87,Formula!H79,62))+((Formula!K79)/(Formula!C79+Formula!E79+Formula!G79+Formula!I79+Formula!K79))*(INDEX(Properties!A$1:CB$87,Formula!J79,62))</f>
        <v>3.1138095238095236</v>
      </c>
      <c r="GG79" s="51">
        <f>Formula!C79*(INDEX(Properties!A$1:CB$87,Formula!B79,62))+Formula!E79*(INDEX(Properties!A$1:CB$87,Formula!D79,62))+Formula!G79*(INDEX(Properties!A$1:CB$87,Formula!F79,62))+Formula!I79*(INDEX(Properties!A$1:CB$87,Formula!H79,62))+Formula!K79*(INDEX(Properties!A$1:CB$87,Formula!J79,62))</f>
        <v>130.78</v>
      </c>
      <c r="GH79" s="51">
        <f>VARP(IF(INDEX(Properties!A$1:CB$87,Formula!B79,62)&lt;&gt;"",INDEX(Properties!A$1:CB$87,Formula!B79,62)),IF(INDEX(Properties!A$1:CB$87,Formula!D79,62)&lt;&gt;"",INDEX(Properties!A$1:CB$87,Formula!D79,62)),IF(INDEX(Properties!A$1:CB$87,Formula!F79,62)&lt;&gt;"",INDEX(Properties!A$1:CB$87,Formula!F79,62)),IF(INDEX(Properties!A$1:CB$87,Formula!H79,62)&lt;&gt;"",INDEX(Properties!A$1:CB$87,Formula!H79,62)),IF(INDEX(Properties!A$1:CB$87,Formula!J79,62)&lt;&gt;"",INDEX(Properties!A$1:CB$87,Formula!J79,62)))</f>
        <v>2.4609360000000002</v>
      </c>
      <c r="GI79" s="51">
        <f>MAX(INDEX(Properties!A$1:CB$87,Formula!B79,62),INDEX(Properties!A$1:CB$87,Formula!D79,62),INDEX(Properties!A$1:CB$87,Formula!F79,62),INDEX(Properties!A$1:CB$87,Formula!H79,62),INDEX(Properties!A$1:CB$87,Formula!J79,62))</f>
        <v>4.47</v>
      </c>
      <c r="GJ79" s="51">
        <f>MIN(IF(INDEX(Properties!A$1:CB$87,Formula!B79,62)=0,10^6,INDEX(Properties!A$1:CB$87,Formula!B79,62)),IF(INDEX(Properties!A$1:CB$87,Formula!D79,62)=0,10^6,INDEX(Properties!A$1:CB$87,Formula!D79,62)),IF(INDEX(Properties!A$1:CB$87,Formula!F79,62)=0,10^6,INDEX(Properties!A$1:CB$87,Formula!F79,62)),IF(INDEX(Properties!A$1:CB$87,Formula!H79,62)=0,10^6,INDEX(Properties!A$1:CB$87,Formula!H79,62)),IF(INDEX(Properties!A$1:CB$87,Formula!J79,62)=0,10^6,INDEX(Properties!A$1:CB$87,Formula!J79,62)))</f>
        <v>1.9</v>
      </c>
      <c r="GK79" s="51">
        <f t="shared" si="63"/>
        <v>2.57</v>
      </c>
      <c r="GL79" s="51">
        <f>Formula!P79</f>
        <v>176</v>
      </c>
      <c r="GM79" s="57">
        <f>Formula!O79</f>
        <v>6</v>
      </c>
      <c r="GN79" s="51">
        <f>Formula!N79</f>
        <v>0.08</v>
      </c>
    </row>
    <row r="80" spans="1:196" x14ac:dyDescent="0.3">
      <c r="A80" s="84" t="str">
        <f>Formula!A80</f>
        <v>LaCaAl3O7</v>
      </c>
      <c r="B80" s="89">
        <f>((Formula!C80)/(Formula!C80+Formula!E80+Formula!G80+Formula!I80+Formula!K80))*(INDEX(Properties!A$1:CB$87,Formula!B80,3))+((Formula!E80)/(Formula!C80+Formula!E80+Formula!G80+Formula!I80+Formula!K80))*(INDEX(Properties!A$1:CB$87,Formula!D80,3))+((Formula!G80)/(Formula!C80+Formula!E80+Formula!G80+Formula!I80+Formula!K80))*(INDEX(Properties!A$1:CB$87,Formula!F80,3))+((Formula!I80)/(Formula!C80+Formula!E80+Formula!G80+Formula!I80+Formula!K80))*(INDEX(Properties!A$1:CB$87,Formula!H80,3))+((Formula!K80)/(Formula!C80+Formula!E80+Formula!G80+Formula!I80+Formula!K80))*(INDEX(Properties!A$1:CB$87,Formula!J80,3))</f>
        <v>30.993659749999999</v>
      </c>
      <c r="C80" s="85">
        <f>Formula!C80*(INDEX(Properties!A$1:CB$87,Formula!B80,3))+Formula!E80*(INDEX(Properties!A$1:CB$87,Formula!D80,3))+Formula!G80*(INDEX(Properties!A$1:CB$87,Formula!F80,3))+Formula!I80*(INDEX(Properties!A$1:CB$87,Formula!H80,3))+Formula!K80*(INDEX(Properties!A$1:CB$87,Formula!J80,3))</f>
        <v>371.92391699999996</v>
      </c>
      <c r="D80" s="85">
        <f>VARP(IF(INDEX(Properties!A$1:CB$87,Formula!B80,3)&lt;&gt;"",INDEX(Properties!A$1:CB$87,Formula!B80,3)),IF(INDEX(Properties!A$1:CB$87,Formula!D80,3)&lt;&gt;"",INDEX(Properties!A$1:CB$87,Formula!D80,3)),IF(INDEX(Properties!A$1:CB$87,Formula!F80,3)&lt;&gt;"",INDEX(Properties!A$1:CB$87,Formula!F80,3)),IF(INDEX(Properties!A$1:CB$87,Formula!H80,3)&lt;&gt;"",INDEX(Properties!A$1:CB$87,Formula!H80,3)),IF(INDEX(Properties!A$1:CB$87,Formula!J80,3)&lt;&gt;"",INDEX(Properties!A$1:CB$87,Formula!J80,3)))</f>
        <v>2406.2651650603148</v>
      </c>
      <c r="E80" s="85">
        <f>MAX(INDEX(Properties!A$1:CB$87,Formula!B80,3),INDEX(Properties!A$1:CB$87,Formula!D80,3),INDEX(Properties!A$1:CB$87,Formula!F80,3),INDEX(Properties!A$1:CB$87,Formula!H80,3),INDEX(Properties!A$1:CB$87,Formula!J80,3))</f>
        <v>138.90549999999999</v>
      </c>
      <c r="F80" s="85">
        <f>MIN(IF(INDEX(Properties!A$1:CB$87,Formula!B80,3)=0,10^6,INDEX(Properties!A$1:CB$87,Formula!B80,3)),IF(INDEX(Properties!A$1:CB$87,Formula!D80,3)=0,10^6,INDEX(Properties!A$1:CB$87,Formula!D80,3)),IF(INDEX(Properties!A$1:CB$87,Formula!F80,3)=0,10^6,INDEX(Properties!A$1:CB$87,Formula!F80,3)),IF(INDEX(Properties!A$1:CB$87,Formula!H80,3)=0,10^6,INDEX(Properties!A$1:CB$87,Formula!H80,3)),IF(INDEX(Properties!A$1:CB$87,Formula!J80,3)=0,10^6,INDEX(Properties!A$1:CB$87,Formula!J80,3)))</f>
        <v>15.9994</v>
      </c>
      <c r="G80" s="85">
        <f t="shared" si="32"/>
        <v>122.9061</v>
      </c>
      <c r="H80" s="87">
        <f>((Formula!C80)/(Formula!C80+Formula!E80+Formula!G80+Formula!I80+Formula!K80))*(INDEX(Properties!A$1:CB$87,Formula!B80,4))+((Formula!E80)/(Formula!C80+Formula!E80+Formula!G80+Formula!I80+Formula!K80))*(INDEX(Properties!A$1:CB$87,Formula!D80,4))+((Formula!G80)/(Formula!C80+Formula!E80+Formula!G80+Formula!I80+Formula!K80))*(INDEX(Properties!A$1:CB$87,Formula!F80,4))+((Formula!I80)/(Formula!C80+Formula!E80+Formula!G80+Formula!I80+Formula!K80))*(INDEX(Properties!A$1:CB$87,Formula!H80,4))+((Formula!K80)/(Formula!C80+Formula!E80+Formula!G80+Formula!I80+Formula!K80))*(INDEX(Properties!A$1:CB$87,Formula!J80,4))</f>
        <v>14.333333333333332</v>
      </c>
      <c r="I80" s="87">
        <f>Formula!C80*(INDEX(Properties!A$1:CB$87,Formula!B80,4))+Formula!E80*(INDEX(Properties!A$1:CB$87,Formula!D80,4))+Formula!G80*(INDEX(Properties!A$1:CB$87,Formula!F80,4))+Formula!I80*(INDEX(Properties!A$1:CB$87,Formula!H80,4))+Formula!K80*(INDEX(Properties!A$1:CB$87,Formula!J80,4))</f>
        <v>172</v>
      </c>
      <c r="J80" s="87">
        <f>VARP(IF(INDEX(Properties!A$1:CB$87,Formula!B80,4)&lt;&gt;"",INDEX(Properties!A$1:CB$87,Formula!B80,4)),IF(INDEX(Properties!A$1:CB$87,Formula!D80,4)&lt;&gt;"",INDEX(Properties!A$1:CB$87,Formula!D80,4)),IF(INDEX(Properties!A$1:CB$87,Formula!F80,4)&lt;&gt;"",INDEX(Properties!A$1:CB$87,Formula!F80,4)),IF(INDEX(Properties!A$1:CB$87,Formula!H80,4)&lt;&gt;"",INDEX(Properties!A$1:CB$87,Formula!H80,4)),IF(INDEX(Properties!A$1:CB$87,Formula!J80,4)&lt;&gt;"",INDEX(Properties!A$1:CB$87,Formula!J80,4)))</f>
        <v>392.24</v>
      </c>
      <c r="K80" s="87">
        <f>MAX(INDEX(Properties!A$1:CB$87,Formula!B80,4),INDEX(Properties!A$1:CB$87,Formula!D80,4),INDEX(Properties!A$1:CB$87,Formula!F80,4),INDEX(Properties!A$1:CB$87,Formula!H80,4),INDEX(Properties!A$1:CB$87,Formula!J80,4))</f>
        <v>57</v>
      </c>
      <c r="L80" s="87">
        <f>MIN(IF(INDEX(Properties!A$1:CB$87,Formula!B80,4)=0,10^6,INDEX(Properties!A$1:CB$87,Formula!B80,4)),IF(INDEX(Properties!A$1:CB$87,Formula!D80,4)=0,10^6,INDEX(Properties!A$1:CB$87,Formula!D80,4)),IF(INDEX(Properties!A$1:CB$87,Formula!F80,4)=0,10^6,INDEX(Properties!A$1:CB$87,Formula!F80,4)),IF(INDEX(Properties!A$1:CB$87,Formula!H80,4)=0,10^6,INDEX(Properties!A$1:CB$87,Formula!H80,4)),IF(INDEX(Properties!A$1:CB$87,Formula!J80,4)=0,10^6,INDEX(Properties!A$1:CB$87,Formula!J80,4)))</f>
        <v>8</v>
      </c>
      <c r="M80" s="87">
        <f t="shared" si="33"/>
        <v>49</v>
      </c>
      <c r="N80" s="89">
        <f>((Formula!C80)/(Formula!C80+Formula!E80+Formula!G80+Formula!I80+Formula!K80))*(INDEX(Properties!A$1:CB$87,Formula!B80,5))+((Formula!E80)/(Formula!C80+Formula!E80+Formula!G80+Formula!I80+Formula!K80))*(INDEX(Properties!A$1:CB$87,Formula!D80,5))+((Formula!G80)/(Formula!C80+Formula!E80+Formula!G80+Formula!I80+Formula!K80))*(INDEX(Properties!A$1:CB$87,Formula!F80,5))+((Formula!I80)/(Formula!C80+Formula!E80+Formula!G80+Formula!I80+Formula!K80))*(INDEX(Properties!A$1:CB$87,Formula!H80,5))+((Formula!K80)/(Formula!C80+Formula!E80+Formula!G80+Formula!I80+Formula!K80))*(INDEX(Properties!A$1:CB$87,Formula!J80,5))</f>
        <v>2.75</v>
      </c>
      <c r="O80" s="89">
        <f>Formula!C80*(INDEX(Properties!A$1:CB$87,Formula!B80,5))+Formula!E80*(INDEX(Properties!A$1:CB$87,Formula!D80,5))+Formula!G80*(INDEX(Properties!A$1:CB$87,Formula!F80,5))+Formula!I80*(INDEX(Properties!A$1:CB$87,Formula!H80,5))+Formula!K80*(INDEX(Properties!A$1:CB$87,Formula!J80,5))</f>
        <v>33</v>
      </c>
      <c r="P80" s="89">
        <f>VARP(IF(INDEX(Properties!A$1:CB$87,Formula!B80,5)&lt;&gt;"",INDEX(Properties!A$1:CB$87,Formula!B80,5)),IF(INDEX(Properties!A$1:CB$87,Formula!D80,5)&lt;&gt;"",INDEX(Properties!A$1:CB$87,Formula!D80,5)),IF(INDEX(Properties!A$1:CB$87,Formula!F80,5)&lt;&gt;"",INDEX(Properties!A$1:CB$87,Formula!F80,5)),IF(INDEX(Properties!A$1:CB$87,Formula!H80,5)&lt;&gt;"",INDEX(Properties!A$1:CB$87,Formula!H80,5)),IF(INDEX(Properties!A$1:CB$87,Formula!J80,5)&lt;&gt;"",INDEX(Properties!A$1:CB$87,Formula!J80,5)))</f>
        <v>4</v>
      </c>
      <c r="Q80" s="89">
        <f>MAX(INDEX(Properties!A$1:CB$87,Formula!B80,5),INDEX(Properties!A$1:CB$87,Formula!D80,5),INDEX(Properties!A$1:CB$87,Formula!F80,5),INDEX(Properties!A$1:CB$87,Formula!H80,5),INDEX(Properties!A$1:CB$87,Formula!J80,5))</f>
        <v>6</v>
      </c>
      <c r="R80" s="89">
        <f>MIN(IF(INDEX(Properties!A$1:CB$87,Formula!B80,5)=0,10^6,INDEX(Properties!A$1:CB$87,Formula!B80,5)),IF(INDEX(Properties!A$1:CB$87,Formula!D80,5)=0,10^6,INDEX(Properties!A$1:CB$87,Formula!D80,5)),IF(INDEX(Properties!A$1:CB$87,Formula!F80,5)=0,10^6,INDEX(Properties!A$1:CB$87,Formula!F80,5)),IF(INDEX(Properties!A$1:CB$87,Formula!H80,5)=0,10^6,INDEX(Properties!A$1:CB$87,Formula!H80,5)),IF(INDEX(Properties!A$1:CB$87,Formula!J80,5)=0,10^6,INDEX(Properties!A$1:CB$87,Formula!J80,5)))</f>
        <v>2</v>
      </c>
      <c r="S80" s="89">
        <f t="shared" si="34"/>
        <v>4</v>
      </c>
      <c r="T80" s="60">
        <f>((Formula!C80)/(Formula!C80+Formula!E80+Formula!G80+Formula!I80+Formula!K80))*(INDEX(Properties!A$1:CB$87,Formula!B80,6))+((Formula!E80)/(Formula!C80+Formula!E80+Formula!G80+Formula!I80+Formula!K80))*(INDEX(Properties!A$1:CB$87,Formula!D80,6))+((Formula!G80)/(Formula!C80+Formula!E80+Formula!G80+Formula!I80+Formula!K80))*(INDEX(Properties!A$1:CB$87,Formula!F80,6))+((Formula!I80)/(Formula!C80+Formula!E80+Formula!G80+Formula!I80+Formula!K80))*(INDEX(Properties!A$1:CB$87,Formula!H80,6))+((Formula!K80)/(Formula!C80+Formula!E80+Formula!G80+Formula!I80+Formula!K80))*(INDEX(Properties!A$1:CB$87,Formula!J80,6))</f>
        <v>13</v>
      </c>
      <c r="U80" s="60">
        <f>Formula!C80*(INDEX(Properties!A$1:CB$87,Formula!B80,6))+Formula!E80*(INDEX(Properties!A$1:CB$87,Formula!D80,6))+Formula!G80*(INDEX(Properties!A$1:CB$87,Formula!F80,6))+Formula!I80*(INDEX(Properties!A$1:CB$87,Formula!H80,6))+Formula!K80*(INDEX(Properties!A$1:CB$87,Formula!J80,6))</f>
        <v>156</v>
      </c>
      <c r="V80" s="89">
        <f>VARP(IF(INDEX(Properties!A$1:CB$87,Formula!B80,6)&lt;&gt;"",INDEX(Properties!A$1:CB$87,Formula!B80,6)),IF(INDEX(Properties!A$1:CB$87,Formula!D80,6)&lt;&gt;"",INDEX(Properties!A$1:CB$87,Formula!D80,6)),IF(INDEX(Properties!A$1:CB$87,Formula!F80,6)&lt;&gt;"",INDEX(Properties!A$1:CB$87,Formula!F80,6)),IF(INDEX(Properties!A$1:CB$87,Formula!H80,6)&lt;&gt;"",INDEX(Properties!A$1:CB$87,Formula!H80,6)),IF(INDEX(Properties!A$1:CB$87,Formula!J80,6)&lt;&gt;"",INDEX(Properties!A$1:CB$87,Formula!J80,6)))</f>
        <v>41.36</v>
      </c>
      <c r="W80" s="60">
        <f>MAX(INDEX(Properties!A$1:CB$87,Formula!B80,6),INDEX(Properties!A$1:CB$87,Formula!D80,6),INDEX(Properties!A$1:CB$87,Formula!F80,6),INDEX(Properties!A$1:CB$87,Formula!H80,4),INDEX(Properties!A$1:CB$87,Formula!J80,6))</f>
        <v>13</v>
      </c>
      <c r="X80" s="60">
        <f>MIN(IF(INDEX(Properties!A$1:CB$87,Formula!B80,6)=0,10^6,INDEX(Properties!A$1:CB$87,Formula!B80,6)),IF(INDEX(Properties!A$1:CB$87,Formula!D80,6)=0,10^6,INDEX(Properties!A$1:CB$87,Formula!D80,6)),IF(INDEX(Properties!A$1:CB$87,Formula!F80,6)=0,10^6,INDEX(Properties!A$1:CB$87,Formula!F80,6)),IF(INDEX(Properties!A$1:CB$87,Formula!H80,6)=0,10^6,INDEX(Properties!A$1:CB$87,Formula!H80,6)),IF(INDEX(Properties!A$1:CB$87,Formula!J80,6)=0,10^6,INDEX(Properties!A$1:CB$87,Formula!J80,6)))</f>
        <v>2</v>
      </c>
      <c r="Y80" s="60">
        <f t="shared" si="35"/>
        <v>11</v>
      </c>
      <c r="Z80" s="72">
        <f>((Formula!C80)/(Formula!C80+Formula!E80+Formula!G80+Formula!I80+Formula!K80))*(INDEX(Properties!A$1:CB$87,Formula!B80,9))+((Formula!E80)/(Formula!C80+Formula!E80+Formula!G80+Formula!I80+Formula!K80))*(INDEX(Properties!A$1:CB$87,Formula!D80,9))+((Formula!G80)/(Formula!C80+Formula!E80+Formula!G80+Formula!I80+Formula!K80))*(INDEX(Properties!A$1:CB$87,Formula!F80,9))+((Formula!I80)/(Formula!C80+Formula!E80+Formula!G80+Formula!I80+Formula!K80))*(INDEX(Properties!A$1:CB$87,Formula!H80,9))+((Formula!K80)/(Formula!C80+Formula!E80+Formula!G80+Formula!I80+Formula!K80))*(INDEX(Properties!A$1:CB$87,Formula!J80,9))</f>
        <v>70.666666666666671</v>
      </c>
      <c r="AA80" s="72">
        <f>Formula!C80*(INDEX(Properties!A$1:CB$87,Formula!B80,9))+Formula!E80*(INDEX(Properties!A$1:CB$87,Formula!D80,9))+Formula!G80*(INDEX(Properties!A$1:CB$87,Formula!F80,9))+Formula!I80*(INDEX(Properties!A$1:CB$87,Formula!H80,9))+Formula!K80*(INDEX(Properties!A$1:CB$87,Formula!J80,9))</f>
        <v>848</v>
      </c>
      <c r="AB80" s="72">
        <f>VARP(IF(INDEX(Properties!A$1:CB$87,Formula!B80,9)&lt;&gt;"",INDEX(Properties!A$1:CB$87,Formula!B80,9)),IF(INDEX(Properties!A$1:CB$87,Formula!D80,9)&lt;&gt;"",INDEX(Properties!A$1:CB$87,Formula!D80,9)),IF(INDEX(Properties!A$1:CB$87,Formula!F80,9)&lt;&gt;"",INDEX(Properties!A$1:CB$87,Formula!F80,9)),IF(INDEX(Properties!A$1:CB$87,Formula!H80,9)&lt;&gt;"",INDEX(Properties!A$1:CB$87,Formula!H80,9)),IF(INDEX(Properties!A$1:CB$87,Formula!J80,9)&lt;&gt;"",INDEX(Properties!A$1:CB$87,Formula!J80,9)))</f>
        <v>1327.2</v>
      </c>
      <c r="AC80" s="72">
        <f>MAX(INDEX(Properties!A$1:CB$87,Formula!B80,9),INDEX(Properties!A$1:CB$87,Formula!D80,9),INDEX(Properties!A$1:CB$87,Formula!F80,9),INDEX(Properties!A$1:CB$87,Formula!H80,9),INDEX(Properties!A$1:CB$87,Formula!J80,9))</f>
        <v>87</v>
      </c>
      <c r="AD80" s="72">
        <f>MIN(IF(INDEX(Properties!A$1:CB$87,Formula!B80,9)=0,10^6,INDEX(Properties!A$1:CB$87,Formula!B80,9)),IF(INDEX(Properties!A$1:CB$87,Formula!D80,9)=0,10^6,INDEX(Properties!A$1:CB$87,Formula!D80,9)),IF(INDEX(Properties!A$1:CB$87,Formula!F80,9)=0,10^6,INDEX(Properties!A$1:CB$87,Formula!F80,9)),IF(INDEX(Properties!A$1:CB$87,Formula!H80,9)=0,10^6,INDEX(Properties!A$1:CB$87,Formula!H80,9)),IF(INDEX(Properties!A$1:CB$87,Formula!J80,9)=0,10^6,INDEX(Properties!A$1:CB$87,Formula!J80,9)))</f>
        <v>7</v>
      </c>
      <c r="AE80" s="72">
        <f t="shared" si="36"/>
        <v>80</v>
      </c>
      <c r="AF80" s="51">
        <f>((Formula!C80)/(Formula!C80+Formula!E80+Formula!G80+Formula!I80+Formula!K80))*(INDEX(Properties!A$1:CB$87,Formula!B80,10))+((Formula!E80)/(Formula!C80+Formula!E80+Formula!G80+Formula!I80+Formula!K80))*(INDEX(Properties!A$1:CB$87,Formula!D80,10))+((Formula!G80)/(Formula!C80+Formula!E80+Formula!G80+Formula!I80+Formula!K80))*(INDEX(Properties!A$1:CB$87,Formula!F80,10))+((Formula!I80)/(Formula!C80+Formula!E80+Formula!G80+Formula!I80+Formula!K80))*(INDEX(Properties!A$1:CB$87,Formula!H80,10))+((Formula!K80)/(Formula!C80+Formula!E80+Formula!G80+Formula!I80+Formula!K80))*(INDEX(Properties!A$1:CB$87,Formula!J80,10))</f>
        <v>5.75</v>
      </c>
      <c r="AG80" s="51">
        <f>Formula!C80*(INDEX(Properties!A$1:CB$87,Formula!B80,10))+Formula!E80*(INDEX(Properties!A$1:CB$87,Formula!D80,10))+Formula!G80*(INDEX(Properties!A$1:CB$87,Formula!F80,10))+Formula!I80*(INDEX(Properties!A$1:CB$87,Formula!H80,10))+Formula!K80*(INDEX(Properties!A$1:CB$87,Formula!J80,10))</f>
        <v>69</v>
      </c>
      <c r="AH80" s="51">
        <f>VARP(IF(INDEX(Properties!A$1:CB$87,Formula!B80,10)&lt;&gt;"",INDEX(Properties!A$1:CB$87,Formula!B80,10)),IF(INDEX(Properties!A$1:CB$87,Formula!D80,10)&lt;&gt;"",INDEX(Properties!A$1:CB$87,Formula!D80,10)),IF(INDEX(Properties!A$1:CB$87,Formula!F80,10)&lt;&gt;"",INDEX(Properties!A$1:CB$87,Formula!F80,10)),IF(INDEX(Properties!A$1:CB$87,Formula!H80,10)&lt;&gt;"",INDEX(Properties!A$1:CB$87,Formula!H80,10)),IF(INDEX(Properties!A$1:CB$87,Formula!J80,10)&lt;&gt;"",INDEX(Properties!A$1:CB$87,Formula!J80,10)))</f>
        <v>5.84</v>
      </c>
      <c r="AI80" s="51">
        <f>MAX(INDEX(Properties!A$1:CB$87,Formula!B80,10),INDEX(Properties!A$1:CB$87,Formula!D80,10),INDEX(Properties!A$1:CB$87,Formula!F80,10),INDEX(Properties!A$1:CB$87,Formula!H80,10),INDEX(Properties!A$1:CB$87,Formula!J80,10))</f>
        <v>7</v>
      </c>
      <c r="AJ80" s="51">
        <f>MIN(IF(INDEX(Properties!A$1:CB$87,Formula!B80,10)=0,10^6,INDEX(Properties!A$1:CB$87,Formula!B80,10)),IF(INDEX(Properties!A$1:CB$87,Formula!D80,10)=0,10^6,INDEX(Properties!A$1:CB$87,Formula!D80,10)),IF(INDEX(Properties!A$1:CB$87,Formula!F80,10)=0,10^6,INDEX(Properties!A$1:CB$87,Formula!F80,10)),IF(INDEX(Properties!A$1:CB$87,Formula!H80,10)=0,10^6,INDEX(Properties!A$1:CB$87,Formula!H80,10)),IF(INDEX(Properties!A$1:CB$87,Formula!J80,10)=0,10^6,INDEX(Properties!A$1:CB$87,Formula!J80,10)))</f>
        <v>2</v>
      </c>
      <c r="AK80" s="51">
        <f t="shared" si="37"/>
        <v>5</v>
      </c>
      <c r="AL80" s="57">
        <f>((Formula!C80)/(Formula!C80+Formula!E80+Formula!G80+Formula!I80+Formula!K80))*(INDEX(Properties!A$1:CB$87,Formula!B80,11))+((Formula!E80)/(Formula!C80+Formula!E80+Formula!G80+Formula!I80+Formula!K80))*(INDEX(Properties!A$1:CB$87,Formula!D80,11))+((Formula!G80)/(Formula!C80+Formula!E80+Formula!G80+Formula!I80+Formula!K80))*(INDEX(Properties!A$1:CB$87,Formula!F80,11))+((Formula!I80)/(Formula!C80+Formula!E80+Formula!G80+Formula!I80+Formula!K80))*(INDEX(Properties!A$1:CB$87,Formula!H80,11))+((Formula!K80)/(Formula!C80+Formula!E80+Formula!G80+Formula!I80+Formula!K80))*(INDEX(Properties!A$1:CB$87,Formula!J80,11))</f>
        <v>2</v>
      </c>
      <c r="AM80" s="57">
        <f>Formula!C80*(INDEX(Properties!A$1:CB$87,Formula!B80,11))+Formula!E80*(INDEX(Properties!A$1:CB$87,Formula!D80,11))+Formula!G80*(INDEX(Properties!A$1:CB$87,Formula!F80,11))+Formula!I80*(INDEX(Properties!A$1:CB$87,Formula!H80,11))+Formula!K80*(INDEX(Properties!A$1:CB$87,Formula!J80,11))</f>
        <v>24</v>
      </c>
      <c r="AN80" s="57">
        <f>VARP(IF(INDEX(Properties!A$1:CB$87,Formula!B80,11)&lt;&gt;"",INDEX(Properties!A$1:CB$87,Formula!B80,11)),IF(INDEX(Properties!A$1:CB$87,Formula!D80,11)&lt;&gt;"",INDEX(Properties!A$1:CB$87,Formula!D80,11)),IF(INDEX(Properties!A$1:CB$87,Formula!F80,11)&lt;&gt;"",INDEX(Properties!A$1:CB$87,Formula!F80,11)),IF(INDEX(Properties!A$1:CB$87,Formula!H80,11)&lt;&gt;"",INDEX(Properties!A$1:CB$87,Formula!H80,11)),IF(INDEX(Properties!A$1:CB$87,Formula!J80,11)&lt;&gt;"",INDEX(Properties!A$1:CB$87,Formula!J80,11)))</f>
        <v>0.64</v>
      </c>
      <c r="AO80" s="57">
        <f>MAX(INDEX(Properties!A$1:CB$87,Formula!B80,11),INDEX(Properties!A$1:CB$87,Formula!D80,11),INDEX(Properties!A$1:CB$87,Formula!F80,11),INDEX(Properties!A$1:CB$87,Formula!H80,11),INDEX(Properties!A$1:CB$87,Formula!J80,11))</f>
        <v>2</v>
      </c>
      <c r="AP80" s="57">
        <f>MIN(IF(Formula!B80=87,10^6,INDEX(Properties!A$1:CB$87,Formula!B80,11)),IF((Formula!D80)=87,10^6,INDEX(Properties!A$1:CB$87,Formula!D80,11)),IF((Formula!F80)=87,10^6,INDEX(Properties!A$1:CB$87,Formula!F80,11)),IF((Formula!H80)=87,10^6,INDEX(Properties!A$1:CB$87,Formula!H80,11)),IF(Formula!J80=87,10^6,INDEX(Properties!A$1:CB$87,Formula!J80,11)))</f>
        <v>2</v>
      </c>
      <c r="AQ80" s="57">
        <f t="shared" si="38"/>
        <v>0</v>
      </c>
      <c r="AR80" s="78">
        <f>((Formula!C80)/(Formula!C80+Formula!E80+Formula!G80+Formula!I80+Formula!K80))*(INDEX(Properties!A$1:CB$87,Formula!B80,12))+((Formula!E80)/(Formula!C80+Formula!E80+Formula!G80+Formula!I80+Formula!K80))*(INDEX(Properties!A$1:CB$87,Formula!D80,12))+((Formula!G80)/(Formula!C80+Formula!E80+Formula!G80+Formula!I80+Formula!K80))*(INDEX(Properties!A$1:CB$87,Formula!F80,12))+((Formula!I80)/(Formula!C80+Formula!E80+Formula!G80+Formula!I80+Formula!K80))*(INDEX(Properties!A$1:CB$87,Formula!H80,12))+((Formula!K80)/(Formula!C80+Formula!E80+Formula!G80+Formula!I80+Formula!K80))*(INDEX(Properties!A$1:CB$87,Formula!J80,12))</f>
        <v>2.5833333333333335</v>
      </c>
      <c r="AS80" s="78">
        <f>Formula!C80*(INDEX(Properties!A$1:CB$87,Formula!B80,12))+Formula!E80*(INDEX(Properties!A$1:CB$87,Formula!D80,12))+Formula!G80*(INDEX(Properties!A$1:CB$87,Formula!F80,12))+Formula!I80*(INDEX(Properties!A$1:CB$87,Formula!H80,12))+Formula!K80*(INDEX(Properties!A$1:CB$87,Formula!J80,12))</f>
        <v>31</v>
      </c>
      <c r="AT80" s="78">
        <f>VARP(IF(INDEX(Properties!A$1:CB$87,Formula!B80,12)&lt;&gt;"",INDEX(Properties!A$1:CB$87,Formula!B80,12)),IF(INDEX(Properties!A$1:CB$87,Formula!D80,12)&lt;&gt;"",INDEX(Properties!A$1:CB$87,Formula!D80,12)),IF(INDEX(Properties!A$1:CB$87,Formula!F80,12)&lt;&gt;"",INDEX(Properties!A$1:CB$87,Formula!F80,12)),IF(INDEX(Properties!A$1:CB$87,Formula!H80,12)&lt;&gt;"",INDEX(Properties!A$1:CB$87,Formula!H80,12)),IF(INDEX(Properties!A$1:CB$87,Formula!J80,12)&lt;&gt;"",INDEX(Properties!A$1:CB$87,Formula!J80,12)))</f>
        <v>2.4</v>
      </c>
      <c r="AU80" s="78">
        <f>MAX(INDEX(Properties!A$1:CB$87,Formula!B80,12),INDEX(Properties!A$1:CB$87,Formula!D80,12),INDEX(Properties!A$1:CB$87,Formula!F80,12),INDEX(Properties!A$1:CB$87,Formula!H80,12),INDEX(Properties!A$1:CB$87,Formula!J80,12))</f>
        <v>4</v>
      </c>
      <c r="AV80" s="78">
        <f>MIN(IF(Formula!B80=87,10^6,INDEX(Properties!A$1:CB$87,Formula!B80,12)),IF((Formula!D80)=87,10^6,INDEX(Properties!A$1:CB$87,Formula!D80,12)),IF((Formula!F80)=87,10^6,INDEX(Properties!A$1:CB$87,Formula!F80,12)),IF((Formula!H80)=87,10^6,INDEX(Properties!A$1:CB$87,Formula!H80,12)),IF(Formula!J80=87,10^6,INDEX(Properties!A$1:CB$87,Formula!J80,12)))</f>
        <v>0</v>
      </c>
      <c r="AW80" s="78">
        <f t="shared" si="39"/>
        <v>4</v>
      </c>
      <c r="AX80" s="45">
        <f>((Formula!C80)/(Formula!C80+Formula!E80+Formula!G80+Formula!I80+Formula!K80))*(INDEX(Properties!A$1:CB$87,Formula!B80,13))+((Formula!E80)/(Formula!C80+Formula!E80+Formula!G80+Formula!I80+Formula!K80))*(INDEX(Properties!A$1:CB$87,Formula!D80,13))+((Formula!G80)/(Formula!C80+Formula!E80+Formula!G80+Formula!I80+Formula!K80))*(INDEX(Properties!A$1:CB$87,Formula!F80,13))+((Formula!I80)/(Formula!C80+Formula!E80+Formula!G80+Formula!I80+Formula!K80))*(INDEX(Properties!A$1:CB$87,Formula!H80,13))+((Formula!K80)/(Formula!C80+Formula!E80+Formula!G80+Formula!I80+Formula!K80))*(INDEX(Properties!A$1:CB$87,Formula!J80,13))</f>
        <v>8.3333333333333329E-2</v>
      </c>
      <c r="AY80" s="45">
        <f>Formula!C80*(INDEX(Properties!A$1:CB$87,Formula!B80,13))+Formula!E80*(INDEX(Properties!A$1:CB$87,Formula!D80,13))+Formula!G80*(INDEX(Properties!A$1:CB$87,Formula!F80,13))+Formula!I80*(INDEX(Properties!A$1:CB$87,Formula!H80,13))+Formula!K80*(INDEX(Properties!A$1:CB$87,Formula!J80,13))</f>
        <v>1</v>
      </c>
      <c r="AZ80" s="45">
        <f>VARP(IF(INDEX(Properties!A$1:CB$87,Formula!B80,13)&lt;&gt;"",INDEX(Properties!A$1:CB$87,Formula!B80,13)),IF(INDEX(Properties!A$1:CB$87,Formula!D80,13)&lt;&gt;"",INDEX(Properties!A$1:CB$87,Formula!D80,13)),IF(INDEX(Properties!A$1:CB$87,Formula!F80,13)&lt;&gt;"",INDEX(Properties!A$1:CB$87,Formula!F80,13)),IF(INDEX(Properties!A$1:CB$87,Formula!H80,13)&lt;&gt;"",INDEX(Properties!A$1:CB$87,Formula!H80,13)),IF(INDEX(Properties!A$1:CB$87,Formula!J80,13)&lt;&gt;"",INDEX(Properties!A$1:CB$87,Formula!J80,13)))</f>
        <v>0.16</v>
      </c>
      <c r="BA80" s="45">
        <f>MAX(INDEX(Properties!A$1:CB$87,Formula!B80,13),INDEX(Properties!A$1:CB$87,Formula!D80,13),INDEX(Properties!A$1:CB$87,Formula!F80,13),INDEX(Properties!A$1:CB$87,Formula!H80,13),INDEX(Properties!A$1:CB$87,Formula!J80,13))</f>
        <v>1</v>
      </c>
      <c r="BB80" s="45">
        <f>MIN(IF(Formula!B80=87,10^6,INDEX(Properties!A$1:CB$87,Formula!B80,13)),IF((Formula!D80)=87,10^6,INDEX(Properties!A$1:CB$87,Formula!D80,13)),IF((Formula!F80)=87,10^6,INDEX(Properties!A$1:CB$87,Formula!F80,13)),IF((Formula!H80)=87,10^6,INDEX(Properties!A$1:CB$87,Formula!H80,13)),IF(Formula!J80=87,10^6,INDEX(Properties!A$1:CB$87,Formula!J80,13)))</f>
        <v>0</v>
      </c>
      <c r="BC80" s="45">
        <f t="shared" si="40"/>
        <v>1</v>
      </c>
      <c r="BD80" s="63">
        <f>((Formula!C80)/(Formula!C80+Formula!E80+Formula!G80+Formula!I80+Formula!K80))*(INDEX(Properties!A$1:CB$87,Formula!B80,14))+((Formula!E80)/(Formula!C80+Formula!E80+Formula!G80+Formula!I80+Formula!K80))*(INDEX(Properties!A$1:CB$87,Formula!D80,14))+((Formula!G80)/(Formula!C80+Formula!E80+Formula!G80+Formula!I80+Formula!K80))*(INDEX(Properties!A$1:CB$87,Formula!F80,14))+((Formula!I80)/(Formula!C80+Formula!E80+Formula!G80+Formula!I80+Formula!K80))*(INDEX(Properties!A$1:CB$87,Formula!H80,14))+((Formula!K80)/(Formula!C80+Formula!E80+Formula!G80+Formula!I80+Formula!K80))*(INDEX(Properties!A$1:CB$87,Formula!J80,14))</f>
        <v>0</v>
      </c>
      <c r="BE80" s="63">
        <f>Formula!C80*(INDEX(Properties!A$1:CB$87,Formula!B80,14))+Formula!E80*(INDEX(Properties!A$1:CB$87,Formula!D80,14))+Formula!G80*(INDEX(Properties!A$1:CB$87,Formula!F80,14))+Formula!I80*(INDEX(Properties!A$1:CB$87,Formula!H80,14))+Formula!K80*(INDEX(Properties!A$1:CB$87,Formula!J80,14))</f>
        <v>0</v>
      </c>
      <c r="BF80" s="63">
        <f>VARP(IF(INDEX(Properties!A$1:CB$87,Formula!B80,14)&lt;&gt;"",INDEX(Properties!A$1:CB$87,Formula!B80,14)),IF(INDEX(Properties!A$1:CB$87,Formula!D80,14)&lt;&gt;"",INDEX(Properties!A$1:CB$87,Formula!D80,14)),IF(INDEX(Properties!A$1:CB$87,Formula!F80,14)&lt;&gt;"",INDEX(Properties!A$1:CB$87,Formula!F80,14)),IF(INDEX(Properties!A$1:CB$87,Formula!H80,14)&lt;&gt;"",INDEX(Properties!A$1:CB$87,Formula!H80,14)),IF(INDEX(Properties!A$1:CB$87,Formula!J80,14)&lt;&gt;"",INDEX(Properties!A$1:CB$87,Formula!J80,14)))</f>
        <v>0</v>
      </c>
      <c r="BG80" s="63">
        <f>MAX(INDEX(Properties!A$1:CB$87,Formula!B80,14),INDEX(Properties!A$1:CB$87,Formula!D80,14),INDEX(Properties!A$1:CB$87,Formula!F80,14),INDEX(Properties!A$1:CB$87,Formula!H80,14),INDEX(Properties!A$1:CB$87,Formula!J80,14))</f>
        <v>0</v>
      </c>
      <c r="BH80" s="63">
        <f>MIN(IF(Formula!B80=87,10^6,INDEX(Properties!A$1:CB$87,Formula!B80,14)),IF((Formula!D80)=87,10^6,INDEX(Properties!A$1:CB$87,Formula!D80,14)),IF((Formula!F80)=87,10^6,INDEX(Properties!A$1:CB$87,Formula!F80,14)),IF((Formula!H80)=87,10^6,INDEX(Properties!A$1:CB$87,Formula!H80,14)),IF(Formula!J80=87,10^6,INDEX(Properties!A$1:CB$87,Formula!J80,14)))</f>
        <v>0</v>
      </c>
      <c r="BI80" s="63">
        <f t="shared" si="41"/>
        <v>0</v>
      </c>
      <c r="BJ80" s="75">
        <f>((Formula!C80)/(Formula!C80+Formula!E80+Formula!G80+Formula!I80+Formula!K80))*(INDEX(Properties!A$1:CB$87,Formula!B80,19))+((Formula!E80)/(Formula!C80+Formula!E80+Formula!G80+Formula!I80+Formula!K80))*(INDEX(Properties!A$1:CB$87,Formula!D80,19))+((Formula!G80)/(Formula!C80+Formula!E80+Formula!G80+Formula!I80+Formula!K80))*(INDEX(Properties!A$1:CB$87,Formula!F80,19))+((Formula!I80)/(Formula!C80+Formula!E80+Formula!G80+Formula!I80+Formula!K80))*(INDEX(Properties!A$1:CB$87,Formula!H80,19))+((Formula!K80)/(Formula!C80+Formula!E80+Formula!G80+Formula!I80+Formula!K80))*(INDEX(Properties!A$1:CB$87,Formula!J80,19))</f>
        <v>4.6666666666666661</v>
      </c>
      <c r="BK80" s="75">
        <f>Formula!C80*(INDEX(Properties!A$1:CB$87,Formula!B80,19))+Formula!E80*(INDEX(Properties!A$1:CB$87,Formula!D80,19))+Formula!G80*(INDEX(Properties!A$1:CB$87,Formula!F80,19))+Formula!I80*(INDEX(Properties!A$1:CB$87,Formula!H80,19))+Formula!K80*(INDEX(Properties!A$1:CB$87,Formula!J80,19))</f>
        <v>56</v>
      </c>
      <c r="BL80" s="75">
        <f>VARP(IF(INDEX(Properties!A$1:CB$87,Formula!B80,19)&lt;&gt;"",INDEX(Properties!A$1:CB$87,Formula!B80,19)),IF(INDEX(Properties!A$1:CB$87,Formula!D80,19)&lt;&gt;"",INDEX(Properties!A$1:CB$87,Formula!D80,19)),IF(INDEX(Properties!A$1:CB$87,Formula!F80,19)&lt;&gt;"",INDEX(Properties!A$1:CB$87,Formula!F80,19)),IF(INDEX(Properties!A$1:CB$87,Formula!H80,19)&lt;&gt;"",INDEX(Properties!A$1:CB$87,Formula!H80,19)),IF(INDEX(Properties!A$1:CB$87,Formula!J80,19)&lt;&gt;"",INDEX(Properties!A$1:CB$87,Formula!J80,19)))</f>
        <v>3.76</v>
      </c>
      <c r="BM80" s="75">
        <f>MAX(INDEX(Properties!A$1:CB$87,Formula!B80,19),INDEX(Properties!A$1:CB$87,Formula!D80,19),INDEX(Properties!A$1:CB$87,Formula!F80,19),INDEX(Properties!A$1:CB$87,Formula!H80,19),INDEX(Properties!A$1:CB$87,Formula!J80,19))</f>
        <v>6</v>
      </c>
      <c r="BN80" s="75">
        <f>MIN(IF(INDEX(Properties!A$1:CB$87,Formula!B80,19)=0,10^6,INDEX(Properties!A$1:CB$87,Formula!B80,19)),IF(INDEX(Properties!A$1:CB$87,Formula!D80,19)=0,10^6,INDEX(Properties!A$1:CB$87,Formula!D80,19)),IF(INDEX(Properties!A$1:CB$87,Formula!F80,19)=0,10^6,INDEX(Properties!A$1:CB$87,Formula!F80,19)),IF(INDEX(Properties!A$1:CB$87,Formula!H80,19)=0,10^6,INDEX(Properties!A$1:CB$87,Formula!H80,19)),IF(INDEX(Properties!A$1:CB$87,Formula!J80,19)=0,10^6,INDEX(Properties!A$1:CB$87,Formula!J80,19)))</f>
        <v>2</v>
      </c>
      <c r="BO80" s="75">
        <f t="shared" si="42"/>
        <v>4</v>
      </c>
      <c r="BP80" s="48">
        <f>((Formula!C80)/(Formula!C80+Formula!E80+Formula!G80+Formula!I80+Formula!K80))*(INDEX(Properties!A$1:CB$87,Formula!B80,20))+((Formula!E80)/(Formula!C80+Formula!E80+Formula!G80+Formula!I80+Formula!K80))*(INDEX(Properties!A$1:CB$87,Formula!D80,20))+((Formula!G80)/(Formula!C80+Formula!E80+Formula!G80+Formula!I80+Formula!K80))*(INDEX(Properties!A$1:CB$87,Formula!F80,20))+((Formula!I80)/(Formula!C80+Formula!E80+Formula!G80+Formula!I80+Formula!K80))*(INDEX(Properties!A$1:CB$87,Formula!H80,20))+((Formula!K80)/(Formula!C80+Formula!E80+Formula!G80+Formula!I80+Formula!K80))*(INDEX(Properties!A$1:CB$87,Formula!J80,20))</f>
        <v>4.583333333333333</v>
      </c>
      <c r="BQ80" s="48">
        <f>Formula!C80*(INDEX(Properties!A$1:CB$87,Formula!B80,20))+Formula!E80*(INDEX(Properties!A$1:CB$87,Formula!D80,20))+Formula!G80*(INDEX(Properties!A$1:CB$87,Formula!F80,20))+Formula!I80*(INDEX(Properties!A$1:CB$87,Formula!H80,20))+Formula!K80*(INDEX(Properties!A$1:CB$87,Formula!J80,20))</f>
        <v>55</v>
      </c>
      <c r="BR80" s="48">
        <f>VARP(IF(INDEX(Properties!A$1:CB$87,Formula!B80,20)&lt;&gt;"",INDEX(Properties!A$1:CB$87,Formula!B80,20)),IF(INDEX(Properties!A$1:CB$87,Formula!D80,20)&lt;&gt;"",INDEX(Properties!A$1:CB$87,Formula!D80,20)),IF(INDEX(Properties!A$1:CB$87,Formula!F80,20)&lt;&gt;"",INDEX(Properties!A$1:CB$87,Formula!F80,20)),IF(INDEX(Properties!A$1:CB$87,Formula!H80,20)&lt;&gt;"",INDEX(Properties!A$1:CB$87,Formula!H80,20)),IF(INDEX(Properties!A$1:CB$87,Formula!J80,20)&lt;&gt;"",INDEX(Properties!A$1:CB$87,Formula!J80,20)))</f>
        <v>3.84</v>
      </c>
      <c r="BS80" s="48">
        <f>MAX(INDEX(Properties!A$1:CB$87,Formula!B80,20),INDEX(Properties!A$1:CB$87,Formula!D80,20),INDEX(Properties!A$1:CB$87,Formula!F80,20),INDEX(Properties!A$1:CB$87,Formula!H80,20),INDEX(Properties!A$1:CB$87,Formula!J80,20))</f>
        <v>6</v>
      </c>
      <c r="BT80" s="48">
        <f>MIN(IF(INDEX(Properties!A$1:CB$87,Formula!B80,20)=0,10^6,INDEX(Properties!A$1:CB$87,Formula!B80,20)),IF(INDEX(Properties!A$1:CB$87,Formula!D80,20)=0,10^6,INDEX(Properties!A$1:CB$87,Formula!D80,20)),IF(INDEX(Properties!A$1:CB$87,Formula!F80,20)=0,10^6,INDEX(Properties!A$1:CB$87,Formula!F80,20)),IF(INDEX(Properties!A$1:CB$87,Formula!H80,20)=0,10^6,INDEX(Properties!A$1:CB$87,Formula!H80,20)),IF(INDEX(Properties!A$1:CB$87,Formula!J80,20)=0,10^6,INDEX(Properties!A$1:CB$87,Formula!J80,20)))</f>
        <v>2</v>
      </c>
      <c r="BU80" s="48">
        <f t="shared" si="43"/>
        <v>4</v>
      </c>
      <c r="BV80" s="66">
        <f>((Formula!C80)/(Formula!C80+Formula!E80+Formula!G80+Formula!I80+Formula!K80))*(INDEX(Properties!A$1:CB$87,Formula!B80,21))+((Formula!E80)/(Formula!C80+Formula!E80+Formula!G80+Formula!I80+Formula!K80))*(INDEX(Properties!A$1:CB$87,Formula!D80,21))+((Formula!G80)/(Formula!C80+Formula!E80+Formula!G80+Formula!I80+Formula!K80))*(INDEX(Properties!A$1:CB$87,Formula!F80,21))+((Formula!I80)/(Formula!C80+Formula!E80+Formula!G80+Formula!I80+Formula!K80))*(INDEX(Properties!A$1:CB$87,Formula!H80,21))+((Formula!K80)/(Formula!C80+Formula!E80+Formula!G80+Formula!I80+Formula!K80))*(INDEX(Properties!A$1:CB$87,Formula!J80,21))</f>
        <v>4.5</v>
      </c>
      <c r="BW80" s="66">
        <f>Formula!C80*(INDEX(Properties!A$1:CB$87,Formula!B80,21))+Formula!E80*(INDEX(Properties!A$1:CB$87,Formula!D80,21))+Formula!G80*(INDEX(Properties!A$1:CB$87,Formula!F80,21))+Formula!I80*(INDEX(Properties!A$1:CB$87,Formula!H80,21))+Formula!K80*(INDEX(Properties!A$1:CB$87,Formula!J80,21))</f>
        <v>54</v>
      </c>
      <c r="BX80" s="66">
        <f>VARP(IF(INDEX(Properties!A$1:CB$87,Formula!B80,21)&lt;&gt;"",INDEX(Properties!A$1:CB$87,Formula!B80,21)),IF(INDEX(Properties!A$1:CB$87,Formula!D80,21)&lt;&gt;"",INDEX(Properties!A$1:CB$87,Formula!D80,21)),IF(INDEX(Properties!A$1:CB$87,Formula!F80,21)&lt;&gt;"",INDEX(Properties!A$1:CB$87,Formula!F80,21)),IF(INDEX(Properties!A$1:CB$87,Formula!H80,21)&lt;&gt;"",INDEX(Properties!A$1:CB$87,Formula!H80,21)),IF(INDEX(Properties!A$1:CB$87,Formula!J80,21)&lt;&gt;"",INDEX(Properties!A$1:CB$87,Formula!J80,21)))</f>
        <v>4.24</v>
      </c>
      <c r="BY80" s="66">
        <f>MAX(INDEX(Properties!A$1:CB$87,Formula!B80,21),INDEX(Properties!A$1:CB$87,Formula!D80,21),INDEX(Properties!A$1:CB$87,Formula!F80,21),INDEX(Properties!A$1:CB$87,Formula!H80,21),INDEX(Properties!A$1:CB$87,Formula!J80,21))</f>
        <v>6</v>
      </c>
      <c r="BZ80" s="66">
        <f>MIN(IF(INDEX(Properties!A$1:CB$87,Formula!B80,21)=0,10^6,INDEX(Properties!A$1:CB$87,Formula!B80,21)),IF(INDEX(Properties!A$1:CB$87,Formula!D80,21)=0,10^6,INDEX(Properties!A$1:CB$87,Formula!D80,21)),IF(INDEX(Properties!A$1:CB$87,Formula!F80,21)=0,10^6,INDEX(Properties!A$1:CB$87,Formula!F80,21)),IF(INDEX(Properties!A$1:CB$87,Formula!H80,21)=0,10^6,INDEX(Properties!A$1:CB$87,Formula!H80,21)),IF(INDEX(Properties!A$1:CB$87,Formula!J80,21)=0,10^6,INDEX(Properties!A$1:CB$87,Formula!J80,21)))</f>
        <v>1</v>
      </c>
      <c r="CA80" s="66">
        <f t="shared" si="44"/>
        <v>5</v>
      </c>
      <c r="CB80" s="81">
        <f>((Formula!C80)/(Formula!C80+Formula!E80+Formula!G80+Formula!I80+Formula!K80))*(INDEX(Properties!A$1:CB$87,Formula!B80,23))+((Formula!E80)/(Formula!C80+Formula!E80+Formula!G80+Formula!I80+Formula!K80))*(INDEX(Properties!A$1:CB$87,Formula!D80,23))+((Formula!G80)/(Formula!C80+Formula!E80+Formula!G80+Formula!I80+Formula!K80))*(INDEX(Properties!A$1:CB$87,Formula!F80,23))+((Formula!I80)/(Formula!C80+Formula!E80+Formula!G80+Formula!I80+Formula!K80))*(INDEX(Properties!A$1:CB$87,Formula!H80,23))+((Formula!K80)/(Formula!C80+Formula!E80+Formula!G80+Formula!I80+Formula!K80))*(INDEX(Properties!A$1:CB$87,Formula!J80,23))</f>
        <v>1.1666666666666665</v>
      </c>
      <c r="CC80" s="81">
        <f>Formula!C80*(INDEX(Properties!A$1:CB$87,Formula!B80,23))+Formula!E80*(INDEX(Properties!A$1:CB$87,Formula!D80,23))+Formula!G80*(INDEX(Properties!A$1:CB$87,Formula!F80,23))+Formula!I80*(INDEX(Properties!A$1:CB$87,Formula!H80,23))+Formula!K80*(INDEX(Properties!A$1:CB$87,Formula!J80,23))</f>
        <v>14</v>
      </c>
      <c r="CD80" s="81">
        <f>VARP(IF(INDEX(Properties!A$1:CB$87,Formula!B80,23)&lt;&gt;"",INDEX(Properties!A$1:CB$87,Formula!B80,23)),IF(INDEX(Properties!A$1:CB$87,Formula!D80,23)&lt;&gt;"",INDEX(Properties!A$1:CB$87,Formula!D80,23)),IF(INDEX(Properties!A$1:CB$87,Formula!F80,23)&lt;&gt;"",INDEX(Properties!A$1:CB$87,Formula!F80,23)),IF(INDEX(Properties!A$1:CB$87,Formula!H80,23)&lt;&gt;"",INDEX(Properties!A$1:CB$87,Formula!H80,23)),IF(INDEX(Properties!A$1:CB$87,Formula!J80,23)&lt;&gt;"",INDEX(Properties!A$1:CB$87,Formula!J80,23)))</f>
        <v>1.84</v>
      </c>
      <c r="CE80" s="81">
        <f>MAX(INDEX(Properties!A$1:CB$87,Formula!B80,23),INDEX(Properties!A$1:CB$87,Formula!D80,23),INDEX(Properties!A$1:CB$87,Formula!F80,23),INDEX(Properties!A$1:CB$87,Formula!H80,23),INDEX(Properties!A$1:CB$87,Formula!J80,23))</f>
        <v>3</v>
      </c>
      <c r="CF80" s="81">
        <f>MIN(IF(Formula!B80=87,10^6,INDEX(Properties!A$1:CB$87,Formula!B80,23)),IF((Formula!D80)=87,10^6,INDEX(Properties!A$1:CB$87,Formula!D80,23)),IF((Formula!F80)=87,10^6,INDEX(Properties!A$1:CB$87,Formula!F80,23)),IF((Formula!H80)=87,10^6,INDEX(Properties!A$1:CB$87,Formula!H80,23)),IF(Formula!J80=87,10^6,INDEX(Properties!A$1:CB$87,Formula!J80,23)))</f>
        <v>0</v>
      </c>
      <c r="CG80" s="81">
        <f t="shared" si="45"/>
        <v>3</v>
      </c>
      <c r="CH80" s="39">
        <f>((Formula!C80)/(Formula!C80+Formula!E80+Formula!G80+Formula!I80+Formula!K80))*(INDEX(Properties!A$1:CB$87,Formula!B80,26))+((Formula!E80)/(Formula!C80+Formula!E80+Formula!G80+Formula!I80+Formula!K80))*(INDEX(Properties!A$1:CB$87,Formula!D80,26))+((Formula!G80)/(Formula!C80+Formula!E80+Formula!G80+Formula!I80+Formula!K80))*(INDEX(Properties!A$1:CB$87,Formula!F80,26))+((Formula!I80)/(Formula!C80+Formula!E80+Formula!G80+Formula!I80+Formula!K80))*(INDEX(Properties!A$1:CB$87,Formula!H80,26))+((Formula!K80)/(Formula!C80+Formula!E80+Formula!G80+Formula!I80+Formula!K80))*(INDEX(Properties!A$1:CB$87,Formula!J80,26))</f>
        <v>10.414516666666668</v>
      </c>
      <c r="CI80" s="39">
        <f>Formula!C80*(INDEX(Properties!A$1:CB$87,Formula!B80,26))+Formula!E80*(INDEX(Properties!A$1:CB$87,Formula!D80,26))+Formula!G80*(INDEX(Properties!A$1:CB$87,Formula!F80,26))+Formula!I80*(INDEX(Properties!A$1:CB$87,Formula!H80,26))+Formula!K80*(INDEX(Properties!A$1:CB$87,Formula!J80,26))</f>
        <v>124.9742</v>
      </c>
      <c r="CJ80" s="39">
        <f>VARP(IF(INDEX(Properties!A$1:CB$87,Formula!B80,26)&lt;&gt;"",INDEX(Properties!A$1:CB$87,Formula!B80,26)),IF(INDEX(Properties!A$1:CB$87,Formula!D80,26)&lt;&gt;"",INDEX(Properties!A$1:CB$87,Formula!D80,26)),IF(INDEX(Properties!A$1:CB$87,Formula!F80,26)&lt;&gt;"",INDEX(Properties!A$1:CB$87,Formula!F80,26)),IF(INDEX(Properties!A$1:CB$87,Formula!H80,26)&lt;&gt;"",INDEX(Properties!A$1:CB$87,Formula!H80,26)),IF(INDEX(Properties!A$1:CB$87,Formula!J80,26)&lt;&gt;"",INDEX(Properties!A$1:CB$87,Formula!J80,26)))</f>
        <v>18.778517979999993</v>
      </c>
      <c r="CK80" s="39">
        <f>MAX(INDEX(Properties!A$1:CB$87,Formula!B80,26),INDEX(Properties!A$1:CB$87,Formula!D80,26),INDEX(Properties!A$1:CB$87,Formula!F80,26),INDEX(Properties!A$1:CB$87,Formula!H80,26),INDEX(Properties!A$1:CB$87,Formula!J80,26))</f>
        <v>13.6181</v>
      </c>
      <c r="CL80" s="39">
        <f>MIN(IF(INDEX(Properties!A$1:CB$87,Formula!B80,26)=0,10^6,INDEX(Properties!A$1:CB$87,Formula!B80,26)),IF(INDEX(Properties!A$1:CB$87,Formula!D80,26)=0,10^6,INDEX(Properties!A$1:CB$87,Formula!D80,26)),IF(INDEX(Properties!A$1:CB$87,Formula!F80,26)=0,10^6,INDEX(Properties!A$1:CB$87,Formula!F80,26)),IF(INDEX(Properties!A$1:CB$87,Formula!H80,26)=0,10^6,INDEX(Properties!A$1:CB$87,Formula!H80,26)),IF(INDEX(Properties!A$1:CB$87,Formula!J80,26)=0,10^6,INDEX(Properties!A$1:CB$87,Formula!J80,26)))</f>
        <v>5.5769000000000002</v>
      </c>
      <c r="CM80" s="39">
        <f t="shared" si="46"/>
        <v>8.0411999999999999</v>
      </c>
      <c r="CN80" s="54">
        <f>((Formula!C80)/(Formula!C80+Formula!E80+Formula!G80+Formula!I80+Formula!K80))*(INDEX(Properties!A$1:CB$87,Formula!B80,30))+((Formula!E80)/(Formula!C80+Formula!E80+Formula!G80+Formula!I80+Formula!K80))*(INDEX(Properties!A$1:CB$87,Formula!D80,30))+((Formula!G80)/(Formula!C80+Formula!E80+Formula!G80+Formula!I80+Formula!K80))*(INDEX(Properties!A$1:CB$87,Formula!F80,30))+((Formula!I80)/(Formula!C80+Formula!E80+Formula!G80+Formula!I80+Formula!K80))*(INDEX(Properties!A$1:CB$87,Formula!H80,30))+((Formula!K80)/(Formula!C80+Formula!E80+Formula!G80+Formula!I80+Formula!K80))*(INDEX(Properties!A$1:CB$87,Formula!J80,30))</f>
        <v>2.5841666666666669</v>
      </c>
      <c r="CO80" s="54">
        <f>Formula!C80*(INDEX(Properties!A$1:CB$87,Formula!B80,30))+Formula!E80*(INDEX(Properties!A$1:CB$87,Formula!D80,30))+Formula!G80*(INDEX(Properties!A$1:CB$87,Formula!F80,30))+Formula!I80*(INDEX(Properties!A$1:CB$87,Formula!H80,30))+Formula!K80*(INDEX(Properties!A$1:CB$87,Formula!J80,30))</f>
        <v>31.009999999999998</v>
      </c>
      <c r="CP80" s="54">
        <f>VARP(IF(INDEX(Properties!A$1:CB$87,Formula!B80,30)&lt;&gt;"",INDEX(Properties!A$1:CB$87,Formula!B80,30)),IF(INDEX(Properties!A$1:CB$87,Formula!D80,30)&lt;&gt;"",INDEX(Properties!A$1:CB$87,Formula!D80,30)),IF(INDEX(Properties!A$1:CB$87,Formula!F80,30)&lt;&gt;"",INDEX(Properties!A$1:CB$87,Formula!F80,30)),IF(INDEX(Properties!A$1:CB$87,Formula!H80,30)&lt;&gt;"",INDEX(Properties!A$1:CB$87,Formula!H80,30)),IF(INDEX(Properties!A$1:CB$87,Formula!J80,30)&lt;&gt;"",INDEX(Properties!A$1:CB$87,Formula!J80,30)))</f>
        <v>1.2822399999999998</v>
      </c>
      <c r="CQ80" s="54">
        <f>MAX(INDEX(Properties!A$1:CB$87,Formula!B80,30),INDEX(Properties!A$1:CB$87,Formula!D80,30),INDEX(Properties!A$1:CB$87,Formula!F80,30),INDEX(Properties!A$1:CB$87,Formula!H80,30),INDEX(Properties!A$1:CB$87,Formula!J80,30))</f>
        <v>3.44</v>
      </c>
      <c r="CR80" s="54">
        <f>MIN(IF(INDEX(Properties!A$1:CB$87,Formula!B80,30)=0,10^6,INDEX(Properties!A$1:CB$87,Formula!B80,30)),IF(INDEX(Properties!A$1:CB$87,Formula!D80,30)=0,10^6,INDEX(Properties!A$1:CB$87,Formula!D80,30)),IF(INDEX(Properties!A$1:CB$87,Formula!F80,30)=0,10^6,INDEX(Properties!A$1:CB$87,Formula!F80,30)),IF(INDEX(Properties!A$1:CB$87,Formula!H80,30)=0,10^6,INDEX(Properties!A$1:CB$87,Formula!H80,30)),IF(INDEX(Properties!A$1:CB$87,Formula!J80,30)=0,10^6,INDEX(Properties!A$1:CB$87,Formula!J80,30)))</f>
        <v>1</v>
      </c>
      <c r="CS80" s="54">
        <f t="shared" si="47"/>
        <v>2.44</v>
      </c>
      <c r="CT80" s="69">
        <f>((Formula!C80)/(Formula!C80+Formula!E80+Formula!G80+Formula!I80+Formula!K80))*(INDEX(Properties!A$1:CB$87,Formula!B80,31))+((Formula!E80)/(Formula!C80+Formula!E80+Formula!G80+Formula!I80+Formula!K80))*(INDEX(Properties!A$1:CB$87,Formula!D80,31))+((Formula!G80)/(Formula!C80+Formula!E80+Formula!G80+Formula!I80+Formula!K80))*(INDEX(Properties!A$1:CB$87,Formula!F80,31))+((Formula!I80)/(Formula!C80+Formula!E80+Formula!G80+Formula!I80+Formula!K80))*(INDEX(Properties!A$1:CB$87,Formula!H80,31))+((Formula!K80)/(Formula!C80+Formula!E80+Formula!G80+Formula!I80+Formula!K80))*(INDEX(Properties!A$1:CB$87,Formula!J80,31))</f>
        <v>2.5566666666666666</v>
      </c>
      <c r="CU80" s="69">
        <f>Formula!C80*(INDEX(Properties!A$1:CB$87,Formula!B80,31))+Formula!E80*(INDEX(Properties!A$1:CB$87,Formula!D80,31))+Formula!G80*(INDEX(Properties!A$1:CB$87,Formula!F80,31))+Formula!I80*(INDEX(Properties!A$1:CB$87,Formula!H80,31))+Formula!K80*(INDEX(Properties!A$1:CB$87,Formula!J80,31))</f>
        <v>30.68</v>
      </c>
      <c r="CV80" s="69">
        <f>VARP(IF(INDEX(Properties!A$1:CB$87,Formula!B80,31)&lt;&gt;"",INDEX(Properties!A$1:CB$87,Formula!B80,31)),IF(INDEX(Properties!A$1:CB$87,Formula!D80,31)&lt;&gt;"",INDEX(Properties!A$1:CB$87,Formula!D80,31)),IF(INDEX(Properties!A$1:CB$87,Formula!F80,31)&lt;&gt;"",INDEX(Properties!A$1:CB$87,Formula!F80,31)),IF(INDEX(Properties!A$1:CB$87,Formula!H80,31)&lt;&gt;"",INDEX(Properties!A$1:CB$87,Formula!H80,31)),IF(INDEX(Properties!A$1:CB$87,Formula!J80,31)&lt;&gt;"",INDEX(Properties!A$1:CB$87,Formula!J80,31)))</f>
        <v>1.1426639999999995</v>
      </c>
      <c r="CW80" s="69">
        <f>MAX(INDEX(Properties!A$1:CB$87,Formula!B80,31),INDEX(Properties!A$1:CB$87,Formula!D80,31),INDEX(Properties!A$1:CB$87,Formula!F80,31),INDEX(Properties!A$1:CB$87,Formula!H80,31),INDEX(Properties!A$1:CB$87,Formula!J80,31))</f>
        <v>3.32</v>
      </c>
      <c r="CX80" s="69">
        <f>MIN(IF(INDEX(Properties!A$1:CB$87,Formula!B80,31)=0,10^6,INDEX(Properties!A$1:CB$87,Formula!B80,31)),IF(INDEX(Properties!A$1:CB$87,Formula!D80,31)=0,10^6,INDEX(Properties!A$1:CB$87,Formula!D80,31)),IF(INDEX(Properties!A$1:CB$87,Formula!F80,31)=0,10^6,INDEX(Properties!A$1:CB$87,Formula!F80,31)),IF(INDEX(Properties!A$1:CB$87,Formula!H80,31)=0,10^6,INDEX(Properties!A$1:CB$87,Formula!H80,31)),IF(INDEX(Properties!A$1:CB$87,Formula!J80,31)=0,10^6,INDEX(Properties!A$1:CB$87,Formula!J80,31)))</f>
        <v>1.17</v>
      </c>
      <c r="CY80" s="69">
        <f t="shared" si="48"/>
        <v>2.15</v>
      </c>
      <c r="CZ80" s="42">
        <f>((Formula!C80)/(Formula!C80+Formula!E80+Formula!G80+Formula!I80+Formula!K80))*(INDEX(Properties!A$1:CB$87,Formula!B80,32))+((Formula!E80)/(Formula!C80+Formula!E80+Formula!G80+Formula!I80+Formula!K80))*(INDEX(Properties!A$1:CB$87,Formula!D80,32))+((Formula!G80)/(Formula!C80+Formula!E80+Formula!G80+Formula!I80+Formula!K80))*(INDEX(Properties!A$1:CB$87,Formula!F80,32))+((Formula!I80)/(Formula!C80+Formula!E80+Formula!G80+Formula!I80+Formula!K80))*(INDEX(Properties!A$1:CB$87,Formula!H80,32))+((Formula!K80)/(Formula!C80+Formula!E80+Formula!G80+Formula!I80+Formula!K80))*(INDEX(Properties!A$1:CB$87,Formula!J80,32))</f>
        <v>5.6475</v>
      </c>
      <c r="DA80" s="42">
        <f>Formula!C80*(INDEX(Properties!A$1:CB$87,Formula!B80,32))+Formula!E80*(INDEX(Properties!A$1:CB$87,Formula!D80,32))+Formula!G80*(INDEX(Properties!A$1:CB$87,Formula!F80,32))+Formula!I80*(INDEX(Properties!A$1:CB$87,Formula!H80,32))+Formula!K80*(INDEX(Properties!A$1:CB$87,Formula!J80,32))</f>
        <v>67.77</v>
      </c>
      <c r="DB80" s="42">
        <f>VARP(IF(INDEX(Properties!A$1:CB$87,Formula!B80,32)&lt;&gt;"",INDEX(Properties!A$1:CB$87,Formula!B80,32)),IF(INDEX(Properties!A$1:CB$87,Formula!D80,32)&lt;&gt;"",INDEX(Properties!A$1:CB$87,Formula!D80,32)),IF(INDEX(Properties!A$1:CB$87,Formula!F80,32)&lt;&gt;"",INDEX(Properties!A$1:CB$87,Formula!F80,32)),IF(INDEX(Properties!A$1:CB$87,Formula!H80,32)&lt;&gt;"",INDEX(Properties!A$1:CB$87,Formula!H80,32)),IF(INDEX(Properties!A$1:CB$87,Formula!J80,32)&lt;&gt;"",INDEX(Properties!A$1:CB$87,Formula!J80,32)))</f>
        <v>6.0171039999999998</v>
      </c>
      <c r="DC80" s="42">
        <f>MAX(INDEX(Properties!A$1:CB$87,Formula!B80,32),INDEX(Properties!A$1:CB$87,Formula!D80,32),INDEX(Properties!A$1:CB$87,Formula!F80,32),INDEX(Properties!A$1:CB$87,Formula!H80,32),INDEX(Properties!A$1:CB$87,Formula!J80,32))</f>
        <v>7.54</v>
      </c>
      <c r="DD80" s="42">
        <f>MIN(IF(INDEX(Properties!A$1:CB$87,Formula!B80,32)=0,10^6,INDEX(Properties!A$1:CB$87,Formula!B80,32)),IF(INDEX(Properties!A$1:CB$87,Formula!D80,32)=0,10^6,INDEX(Properties!A$1:CB$87,Formula!D80,32)),IF(INDEX(Properties!A$1:CB$87,Formula!F80,32)=0,10^6,INDEX(Properties!A$1:CB$87,Formula!F80,32)),IF(INDEX(Properties!A$1:CB$87,Formula!H80,32)=0,10^6,INDEX(Properties!A$1:CB$87,Formula!H80,32)),IF(INDEX(Properties!A$1:CB$87,Formula!J80,32)=0,10^6,INDEX(Properties!A$1:CB$87,Formula!J80,32)))</f>
        <v>2.2000000000000002</v>
      </c>
      <c r="DE80" s="42">
        <f t="shared" si="49"/>
        <v>5.34</v>
      </c>
      <c r="DF80" s="60">
        <f>((Formula!C80)/(Formula!C80+Formula!E80+Formula!G80+Formula!I80+Formula!K80))*(INDEX(Properties!A$1:CB$87,Formula!B80,34))+((Formula!E80)/(Formula!C80+Formula!E80+Formula!G80+Formula!I80+Formula!K80))*(INDEX(Properties!A$1:CB$87,Formula!D80,34))+((Formula!G80)/(Formula!C80+Formula!E80+Formula!G80+Formula!I80+Formula!K80))*(INDEX(Properties!A$1:CB$87,Formula!F80,34))+((Formula!I80)/(Formula!C80+Formula!E80+Formula!G80+Formula!I80+Formula!K80))*(INDEX(Properties!A$1:CB$87,Formula!H80,34))+((Formula!K80)/(Formula!C80+Formula!E80+Formula!G80+Formula!I80+Formula!K80))*(INDEX(Properties!A$1:CB$87,Formula!J80,34))</f>
        <v>2.6860833333333334</v>
      </c>
      <c r="DG80" s="60">
        <f>Formula!C80*(INDEX(Properties!A$1:CB$87,Formula!B80,34))+Formula!E80*(INDEX(Properties!A$1:CB$87,Formula!D80,34))+Formula!G80*(INDEX(Properties!A$1:CB$87,Formula!F80,34))+Formula!I80*(INDEX(Properties!A$1:CB$87,Formula!H80,34))+Formula!K80*(INDEX(Properties!A$1:CB$87,Formula!J80,34))</f>
        <v>32.233000000000004</v>
      </c>
      <c r="DH80" s="60">
        <f>VARP(IF(INDEX(Properties!A$1:CB$87,Formula!B80,34)&lt;&gt;"",INDEX(Properties!A$1:CB$87,Formula!B80,34)),IF(INDEX(Properties!A$1:CB$87,Formula!D80,34)&lt;&gt;"",INDEX(Properties!A$1:CB$87,Formula!D80,34)),IF(INDEX(Properties!A$1:CB$87,Formula!F80,34)&lt;&gt;"",INDEX(Properties!A$1:CB$87,Formula!F80,34)),IF(INDEX(Properties!A$1:CB$87,Formula!H80,34)&lt;&gt;"",INDEX(Properties!A$1:CB$87,Formula!H80,34)),IF(INDEX(Properties!A$1:CB$87,Formula!J80,34)&lt;&gt;"",INDEX(Properties!A$1:CB$87,Formula!J80,34)))</f>
        <v>1.4190886400000002</v>
      </c>
      <c r="DI80" s="60">
        <f>MAX(INDEX(Properties!A$1:CB$87,Formula!B80,34),INDEX(Properties!A$1:CB$87,Formula!D80,34),INDEX(Properties!A$1:CB$87,Formula!F80,34),INDEX(Properties!A$1:CB$87,Formula!H80,34),INDEX(Properties!A$1:CB$87,Formula!J80,34))</f>
        <v>3.61</v>
      </c>
      <c r="DJ80" s="60">
        <f>MIN(IF(INDEX(Properties!A$1:CB$87,Formula!B80,34)=0,10^6,INDEX(Properties!A$1:CB$87,Formula!B80,34)),IF(INDEX(Properties!A$1:CB$87,Formula!D80,34)=0,10^6,INDEX(Properties!A$1:CB$87,Formula!D80,34)),IF(INDEX(Properties!A$1:CB$87,Formula!F80,34)=0,10^6,INDEX(Properties!A$1:CB$87,Formula!F80,34)),IF(INDEX(Properties!A$1:CB$87,Formula!H80,34)=0,10^6,INDEX(Properties!A$1:CB$87,Formula!H80,34)),IF(INDEX(Properties!A$1:CB$87,Formula!J80,34)=0,10^6,INDEX(Properties!A$1:CB$87,Formula!J80,34)))</f>
        <v>1.034</v>
      </c>
      <c r="DK80" s="60">
        <f t="shared" si="50"/>
        <v>2.5759999999999996</v>
      </c>
      <c r="DL80" s="45">
        <f>((Formula!C80)/(Formula!C80+Formula!E80+Formula!G80+Formula!I80+Formula!K80))*(INDEX(Properties!A$1:CB$87,Formula!B80,39))+((Formula!E80)/(Formula!C80+Formula!E80+Formula!G80+Formula!I80+Formula!K80))*(INDEX(Properties!A$1:CB$87,Formula!D80,39))+((Formula!G80)/(Formula!C80+Formula!E80+Formula!G80+Formula!I80+Formula!K80))*(INDEX(Properties!A$1:CB$87,Formula!F80,39))+((Formula!I80)/(Formula!C80+Formula!E80+Formula!G80+Formula!I80+Formula!K80))*(INDEX(Properties!A$1:CB$87,Formula!H80,39))+((Formula!K80)/(Formula!C80+Formula!E80+Formula!G80+Formula!I80+Formula!K80))*(INDEX(Properties!A$1:CB$87,Formula!J80,39))</f>
        <v>0.89916666666666667</v>
      </c>
      <c r="DM80" s="45">
        <f>Formula!C80*(INDEX(Properties!A$1:CB$87,Formula!B80,39))+Formula!E80*(INDEX(Properties!A$1:CB$87,Formula!D80,39))+Formula!G80*(INDEX(Properties!A$1:CB$87,Formula!F80,39))+Formula!I80*(INDEX(Properties!A$1:CB$87,Formula!H80,39))+Formula!K80*(INDEX(Properties!A$1:CB$87,Formula!J80,39))</f>
        <v>10.79</v>
      </c>
      <c r="DN80" s="45">
        <f>VARP(IF(INDEX(Properties!A$1:CB$87,Formula!B80,39)&lt;&gt;"",INDEX(Properties!A$1:CB$87,Formula!B80,39)),IF(INDEX(Properties!A$1:CB$87,Formula!D80,39)&lt;&gt;"",INDEX(Properties!A$1:CB$87,Formula!D80,39)),IF(INDEX(Properties!A$1:CB$87,Formula!F80,39)&lt;&gt;"",INDEX(Properties!A$1:CB$87,Formula!F80,39)),IF(INDEX(Properties!A$1:CB$87,Formula!H80,39)&lt;&gt;"",INDEX(Properties!A$1:CB$87,Formula!H80,39)),IF(INDEX(Properties!A$1:CB$87,Formula!J80,39)&lt;&gt;"",INDEX(Properties!A$1:CB$87,Formula!J80,39)))</f>
        <v>0.60568000000000011</v>
      </c>
      <c r="DO80" s="45">
        <f>MAX(INDEX(Properties!A$1:CB$87,Formula!B80,39),INDEX(Properties!A$1:CB$87,Formula!D80,39),INDEX(Properties!A$1:CB$87,Formula!F80,39),INDEX(Properties!A$1:CB$87,Formula!H80,39),INDEX(Properties!A$1:CB$87,Formula!J80,39))</f>
        <v>1.95</v>
      </c>
      <c r="DP80" s="45">
        <f>MIN(IF(INDEX(Properties!A$1:CB$87,Formula!B80,39)=0,10^6,INDEX(Properties!A$1:CB$87,Formula!B80,39)),IF(INDEX(Properties!A$1:CB$87,Formula!D80,39)=0,10^6,INDEX(Properties!A$1:CB$87,Formula!D80,39)),IF(INDEX(Properties!A$1:CB$87,Formula!F80,39)=0,10^6,INDEX(Properties!A$1:CB$87,Formula!F80,39)),IF(INDEX(Properties!A$1:CB$87,Formula!H80,39)=0,10^6,INDEX(Properties!A$1:CB$87,Formula!H80,39)),IF(INDEX(Properties!A$1:CB$87,Formula!J80,39)=0,10^6,INDEX(Properties!A$1:CB$87,Formula!J80,39)))</f>
        <v>0.48</v>
      </c>
      <c r="DQ80" s="45">
        <f t="shared" si="51"/>
        <v>1.47</v>
      </c>
      <c r="DR80" s="63">
        <f>((Formula!C80)/(Formula!C80+Formula!E80+Formula!G80+Formula!I80+Formula!K80))*(INDEX(Properties!A$1:CB$87,Formula!B80,40))+((Formula!E80)/(Formula!C80+Formula!E80+Formula!G80+Formula!I80+Formula!K80))*(INDEX(Properties!A$1:CB$87,Formula!D80,40))+((Formula!G80)/(Formula!C80+Formula!E80+Formula!G80+Formula!I80+Formula!K80))*(INDEX(Properties!A$1:CB$87,Formula!F80,40))+((Formula!I80)/(Formula!C80+Formula!E80+Formula!G80+Formula!I80+Formula!K80))*(INDEX(Properties!A$1:CB$87,Formula!H80,40))+((Formula!K80)/(Formula!C80+Formula!E80+Formula!G80+Formula!I80+Formula!K80))*(INDEX(Properties!A$1:CB$87,Formula!J80,40))</f>
        <v>1.0066666666666666</v>
      </c>
      <c r="DS80" s="63">
        <f>Formula!C80*(INDEX(Properties!A$1:CB$87,Formula!B80,40))+Formula!E80*(INDEX(Properties!A$1:CB$87,Formula!D80,40))+Formula!G80*(INDEX(Properties!A$1:CB$87,Formula!F80,40))+Formula!I80*(INDEX(Properties!A$1:CB$87,Formula!H80,40))+Formula!K80*(INDEX(Properties!A$1:CB$87,Formula!J80,40))</f>
        <v>12.079999999999998</v>
      </c>
      <c r="DT80" s="63">
        <f>VARP(IF(INDEX(Properties!A$1:CB$87,Formula!B80,40)&lt;&gt;"",INDEX(Properties!A$1:CB$87,Formula!B80,40)),IF(INDEX(Properties!A$1:CB$87,Formula!D80,40)&lt;&gt;"",INDEX(Properties!A$1:CB$87,Formula!D80,40)),IF(INDEX(Properties!A$1:CB$87,Formula!F80,40)&lt;&gt;"",INDEX(Properties!A$1:CB$87,Formula!F80,40)),IF(INDEX(Properties!A$1:CB$87,Formula!H80,40)&lt;&gt;"",INDEX(Properties!A$1:CB$87,Formula!H80,40)),IF(INDEX(Properties!A$1:CB$87,Formula!J80,40)&lt;&gt;"",INDEX(Properties!A$1:CB$87,Formula!J80,40)))</f>
        <v>0.42117599999999983</v>
      </c>
      <c r="DU80" s="63">
        <f>MAX(INDEX(Properties!A$1:CB$87,Formula!B80,40),INDEX(Properties!A$1:CB$87,Formula!D80,40),INDEX(Properties!A$1:CB$87,Formula!F80,40),INDEX(Properties!A$1:CB$87,Formula!H80,40),INDEX(Properties!A$1:CB$87,Formula!J80,40))</f>
        <v>1.74</v>
      </c>
      <c r="DV80" s="63">
        <f>MIN(IF(INDEX(Properties!A$1:CB$87,Formula!B80,40)=0,10^6,INDEX(Properties!A$1:CB$87,Formula!B80,40)),IF(INDEX(Properties!A$1:CB$87,Formula!D80,40)=0,10^6,INDEX(Properties!A$1:CB$87,Formula!D80,40)),IF(INDEX(Properties!A$1:CB$87,Formula!F80,40)=0,10^6,INDEX(Properties!A$1:CB$87,Formula!F80,40)),IF(INDEX(Properties!A$1:CB$87,Formula!H80,40)=0,10^6,INDEX(Properties!A$1:CB$87,Formula!H80,40)),IF(INDEX(Properties!A$1:CB$87,Formula!J80,40)=0,10^6,INDEX(Properties!A$1:CB$87,Formula!J80,40)))</f>
        <v>0.73</v>
      </c>
      <c r="DW80" s="63">
        <f t="shared" si="52"/>
        <v>1.01</v>
      </c>
      <c r="DX80" s="75">
        <f>((Formula!C80)/(Formula!C80+Formula!E80+Formula!G80+Formula!I80+Formula!K80))*(INDEX(Properties!A$1:CB$87,Formula!B80,41))+((Formula!E80)/(Formula!C80+Formula!E80+Formula!G80+Formula!I80+Formula!K80))*(INDEX(Properties!A$1:CB$87,Formula!D80,41))+((Formula!G80)/(Formula!C80+Formula!E80+Formula!G80+Formula!I80+Formula!K80))*(INDEX(Properties!A$1:CB$87,Formula!F80,41))+((Formula!I80)/(Formula!C80+Formula!E80+Formula!G80+Formula!I80+Formula!K80))*(INDEX(Properties!A$1:CB$87,Formula!H80,41))+((Formula!K80)/(Formula!C80+Formula!E80+Formula!G80+Formula!I80+Formula!K80))*(INDEX(Properties!A$1:CB$87,Formula!J80,41))</f>
        <v>1.0975000000000001</v>
      </c>
      <c r="DY80" s="75">
        <f>Formula!C80*(INDEX(Properties!A$1:CB$87,Formula!B80,41))+Formula!E80*(INDEX(Properties!A$1:CB$87,Formula!D80,41))+Formula!G80*(INDEX(Properties!A$1:CB$87,Formula!F80,41))+Formula!I80*(INDEX(Properties!A$1:CB$87,Formula!H80,41))+Formula!K80*(INDEX(Properties!A$1:CB$87,Formula!J80,41))</f>
        <v>13.17</v>
      </c>
      <c r="DZ80" s="75">
        <f>VARP(IF(INDEX(Properties!A$1:CB$87,Formula!B80,41)&lt;&gt;"",INDEX(Properties!A$1:CB$87,Formula!B80,41)),IF(INDEX(Properties!A$1:CB$87,Formula!D80,41)&lt;&gt;"",INDEX(Properties!A$1:CB$87,Formula!D80,41)),IF(INDEX(Properties!A$1:CB$87,Formula!F80,41)&lt;&gt;"",INDEX(Properties!A$1:CB$87,Formula!F80,41)),IF(INDEX(Properties!A$1:CB$87,Formula!H80,41)&lt;&gt;"",INDEX(Properties!A$1:CB$87,Formula!H80,41)),IF(INDEX(Properties!A$1:CB$87,Formula!J80,41)&lt;&gt;"",INDEX(Properties!A$1:CB$87,Formula!J80,41)))</f>
        <v>0.22120000000000004</v>
      </c>
      <c r="EA80" s="75">
        <f>MAX(INDEX(Properties!A$1:CB$87,Formula!B80,41),INDEX(Properties!A$1:CB$87,Formula!D80,41),INDEX(Properties!A$1:CB$87,Formula!F80,41),INDEX(Properties!A$1:CB$87,Formula!H80,41),INDEX(Properties!A$1:CB$87,Formula!J80,41))</f>
        <v>1.26</v>
      </c>
      <c r="EB80" s="75">
        <f>MIN(IF(INDEX(Properties!A$1:CB$87,Formula!B80,41)=0,10^6,INDEX(Properties!A$1:CB$87,Formula!B80,41)),IF(INDEX(Properties!A$1:CB$87,Formula!D80,41)=0,10^6,INDEX(Properties!A$1:CB$87,Formula!D80,41)),IF(INDEX(Properties!A$1:CB$87,Formula!F80,41)=0,10^6,INDEX(Properties!A$1:CB$87,Formula!F80,41)),IF(INDEX(Properties!A$1:CB$87,Formula!H80,41)=0,10^6,INDEX(Properties!A$1:CB$87,Formula!H80,41)),IF(INDEX(Properties!A$1:CB$87,Formula!J80,41)=0,10^6,INDEX(Properties!A$1:CB$87,Formula!J80,41)))</f>
        <v>0.68</v>
      </c>
      <c r="EC80" s="75">
        <f t="shared" si="53"/>
        <v>0.57999999999999996</v>
      </c>
      <c r="ED80" s="48">
        <f>((Formula!C80)/(Formula!C80+Formula!E80+Formula!G80+Formula!I80+Formula!K80))*(INDEX(Properties!A$1:CB$87,Formula!B80,45))+((Formula!E80)/(Formula!C80+Formula!E80+Formula!G80+Formula!I80+Formula!K80))*(INDEX(Properties!A$1:CB$87,Formula!D80,45))+((Formula!G80)/(Formula!C80+Formula!E80+Formula!G80+Formula!I80+Formula!K80))*(INDEX(Properties!A$1:CB$87,Formula!F80,45))+((Formula!I80)/(Formula!C80+Formula!E80+Formula!G80+Formula!I80+Formula!K80))*(INDEX(Properties!A$1:CB$87,Formula!H80,45))+((Formula!K80)/(Formula!C80+Formula!E80+Formula!G80+Formula!I80+Formula!K80))*(INDEX(Properties!A$1:CB$87,Formula!J80,45))</f>
        <v>1.2008333333333332</v>
      </c>
      <c r="EE80" s="48">
        <f>Formula!C80*(INDEX(Properties!A$1:CB$87,Formula!B80,45))+Formula!E80*(INDEX(Properties!A$1:CB$87,Formula!D80,45))+Formula!G80*(INDEX(Properties!A$1:CB$87,Formula!F80,45))+Formula!I80*(INDEX(Properties!A$1:CB$87,Formula!H80,45))+Formula!K80*(INDEX(Properties!A$1:CB$87,Formula!J80,45))</f>
        <v>14.41</v>
      </c>
      <c r="EF80" s="48">
        <f>VARP(IF(INDEX(Properties!A$1:CB$87,Formula!B80,45)&lt;&gt;"",INDEX(Properties!A$1:CB$87,Formula!B80,45)),IF(INDEX(Properties!A$1:CB$87,Formula!D80,45)&lt;&gt;"",INDEX(Properties!A$1:CB$87,Formula!D80,45)),IF(INDEX(Properties!A$1:CB$87,Formula!F80,45)&lt;&gt;"",INDEX(Properties!A$1:CB$87,Formula!F80,45)),IF(INDEX(Properties!A$1:CB$87,Formula!H80,45)&lt;&gt;"",INDEX(Properties!A$1:CB$87,Formula!H80,45)),IF(INDEX(Properties!A$1:CB$87,Formula!J80,45)&lt;&gt;"",INDEX(Properties!A$1:CB$87,Formula!J80,45)))</f>
        <v>1.5966239999999994</v>
      </c>
      <c r="EG80" s="48">
        <f>MAX(INDEX(Properties!A$1:CB$87,Formula!B80,45),INDEX(Properties!A$1:CB$87,Formula!D80,45),INDEX(Properties!A$1:CB$87,Formula!F80,45),INDEX(Properties!A$1:CB$87,Formula!H80,45),INDEX(Properties!A$1:CB$87,Formula!J80,45))</f>
        <v>3.08</v>
      </c>
      <c r="EH80" s="48">
        <f>MIN(IF(INDEX(Properties!A$1:CB$87,Formula!B80,45)=0,10^6,INDEX(Properties!A$1:CB$87,Formula!B80,45)),IF(INDEX(Properties!A$1:CB$87,Formula!D80,45)=0,10^6,INDEX(Properties!A$1:CB$87,Formula!D80,45)),IF(INDEX(Properties!A$1:CB$87,Formula!F80,45)=0,10^6,INDEX(Properties!A$1:CB$87,Formula!F80,45)),IF(INDEX(Properties!A$1:CB$87,Formula!H80,45)=0,10^6,INDEX(Properties!A$1:CB$87,Formula!H80,45)),IF(INDEX(Properties!A$1:CB$87,Formula!J80,45)=0,10^6,INDEX(Properties!A$1:CB$87,Formula!J80,45)))</f>
        <v>0.47</v>
      </c>
      <c r="EI80" s="48">
        <f t="shared" si="54"/>
        <v>2.6100000000000003</v>
      </c>
      <c r="EJ80" s="66">
        <f>((Formula!C80)/(Formula!C80+Formula!E80+Formula!G80+Formula!I80+Formula!K80))*(INDEX(Properties!A$1:CB$87,Formula!B80,46))+((Formula!E80)/(Formula!C80+Formula!E80+Formula!G80+Formula!I80+Formula!K80))*(INDEX(Properties!A$1:CB$87,Formula!D80,46))+((Formula!G80)/(Formula!C80+Formula!E80+Formula!G80+Formula!I80+Formula!K80))*(INDEX(Properties!A$1:CB$87,Formula!F80,46))+((Formula!I80)/(Formula!C80+Formula!E80+Formula!G80+Formula!I80+Formula!K80))*(INDEX(Properties!A$1:CB$87,Formula!H80,46))+((Formula!K80)/(Formula!C80+Formula!E80+Formula!G80+Formula!I80+Formula!K80))*(INDEX(Properties!A$1:CB$87,Formula!J80,46))</f>
        <v>1.0466666666666666</v>
      </c>
      <c r="EK80" s="66">
        <f>Formula!C80*(INDEX(Properties!A$1:CB$87,Formula!B80,46))+Formula!E80*(INDEX(Properties!A$1:CB$87,Formula!D80,46))+Formula!G80*(INDEX(Properties!A$1:CB$87,Formula!F80,46))+Formula!I80*(INDEX(Properties!A$1:CB$87,Formula!H80,46))+Formula!K80*(INDEX(Properties!A$1:CB$87,Formula!J80,46))</f>
        <v>12.559999999999999</v>
      </c>
      <c r="EL80" s="66">
        <f>VARP(IF(INDEX(Properties!A$1:CB$87,Formula!B80,46)&lt;&gt;"",INDEX(Properties!A$1:CB$87,Formula!B80,46)),IF(INDEX(Properties!A$1:CB$87,Formula!D80,46)&lt;&gt;"",INDEX(Properties!A$1:CB$87,Formula!D80,46)),IF(INDEX(Properties!A$1:CB$87,Formula!F80,46)&lt;&gt;"",INDEX(Properties!A$1:CB$87,Formula!F80,46)),IF(INDEX(Properties!A$1:CB$87,Formula!H80,46)&lt;&gt;"",INDEX(Properties!A$1:CB$87,Formula!H80,46)),IF(INDEX(Properties!A$1:CB$87,Formula!J80,46)&lt;&gt;"",INDEX(Properties!A$1:CB$87,Formula!J80,46)))</f>
        <v>0.25973600000000002</v>
      </c>
      <c r="EM80" s="66">
        <f>MAX(INDEX(Properties!A$1:CB$87,Formula!B80,46),INDEX(Properties!A$1:CB$87,Formula!D80,46),INDEX(Properties!A$1:CB$87,Formula!F80,46),INDEX(Properties!A$1:CB$87,Formula!H80,46),INDEX(Properties!A$1:CB$87,Formula!J80,46))</f>
        <v>1.36</v>
      </c>
      <c r="EN80" s="66">
        <f>MIN(IF(INDEX(Properties!A$1:CB$87,Formula!B80,46)=0,10^6,INDEX(Properties!A$1:CB$87,Formula!B80,46)),IF(INDEX(Properties!A$1:CB$87,Formula!D80,46)=0,10^6,INDEX(Properties!A$1:CB$87,Formula!D80,46)),IF(INDEX(Properties!A$1:CB$87,Formula!F80,46)=0,10^6,INDEX(Properties!A$1:CB$87,Formula!F80,46)),IF(INDEX(Properties!A$1:CB$87,Formula!H80,46)=0,10^6,INDEX(Properties!A$1:CB$87,Formula!H80,46)),IF(INDEX(Properties!A$1:CB$87,Formula!J80,46)=0,10^6,INDEX(Properties!A$1:CB$87,Formula!J80,46)))</f>
        <v>0.53</v>
      </c>
      <c r="EO80" s="66">
        <f t="shared" si="55"/>
        <v>0.83000000000000007</v>
      </c>
      <c r="EP80" s="81">
        <f>((Formula!C80)/(Formula!C80+Formula!E80+Formula!G80+Formula!I80+Formula!K80))*(INDEX(Properties!A$1:CB$87,Formula!B80,52))+((Formula!E80)/(Formula!C80+Formula!E80+Formula!G80+Formula!I80+Formula!K80))*(INDEX(Properties!A$1:CB$87,Formula!D80,52))+((Formula!G80)/(Formula!C80+Formula!E80+Formula!G80+Formula!I80+Formula!K80))*(INDEX(Properties!A$1:CB$87,Formula!F80,52))+((Formula!I80)/(Formula!C80+Formula!E80+Formula!G80+Formula!I80+Formula!K80))*(INDEX(Properties!A$1:CB$87,Formula!H80,52))+((Formula!K80)/(Formula!C80+Formula!E80+Formula!G80+Formula!I80+Formula!K80))*(INDEX(Properties!A$1:CB$87,Formula!J80,52))</f>
        <v>7.0292500000000011</v>
      </c>
      <c r="EQ80" s="81">
        <f>Formula!C80*(INDEX(Properties!A$1:CB$87,Formula!B80,52))+Formula!E80*(INDEX(Properties!A$1:CB$87,Formula!D80,52))+Formula!G80*(INDEX(Properties!A$1:CB$87,Formula!F80,52))+Formula!I80*(INDEX(Properties!A$1:CB$87,Formula!H80,52))+Formula!K80*(INDEX(Properties!A$1:CB$87,Formula!J80,52))</f>
        <v>84.351000000000013</v>
      </c>
      <c r="ER80" s="81">
        <f>VARP(IF(INDEX(Properties!A$1:CB$87,Formula!B80,52)&lt;&gt;"",INDEX(Properties!A$1:CB$87,Formula!B80,52)),IF(INDEX(Properties!A$1:CB$87,Formula!D80,52)&lt;&gt;"",INDEX(Properties!A$1:CB$87,Formula!D80,52)),IF(INDEX(Properties!A$1:CB$87,Formula!F80,52)&lt;&gt;"",INDEX(Properties!A$1:CB$87,Formula!F80,52)),IF(INDEX(Properties!A$1:CB$87,Formula!H80,52)&lt;&gt;"",INDEX(Properties!A$1:CB$87,Formula!H80,52)),IF(INDEX(Properties!A$1:CB$87,Formula!J80,52)&lt;&gt;"",INDEX(Properties!A$1:CB$87,Formula!J80,52)))</f>
        <v>152.58904784000003</v>
      </c>
      <c r="ES80" s="81">
        <f>MAX(INDEX(Properties!A$1:CB$87,Formula!B80,52),INDEX(Properties!A$1:CB$87,Formula!D80,52),INDEX(Properties!A$1:CB$87,Formula!F80,52),INDEX(Properties!A$1:CB$87,Formula!H80,52),INDEX(Properties!A$1:CB$87,Formula!J80,52))</f>
        <v>31.1</v>
      </c>
      <c r="ET80" s="81">
        <f>MIN(IF(INDEX(Properties!A$1:CB$87,Formula!B80,52)=0,10^6,INDEX(Properties!A$1:CB$87,Formula!B80,52)),IF(INDEX(Properties!A$1:CB$87,Formula!D80,52)=0,10^6,INDEX(Properties!A$1:CB$87,Formula!D80,52)),IF(INDEX(Properties!A$1:CB$87,Formula!F80,52)=0,10^6,INDEX(Properties!A$1:CB$87,Formula!F80,52)),IF(INDEX(Properties!A$1:CB$87,Formula!H80,52)=0,10^6,INDEX(Properties!A$1:CB$87,Formula!H80,52)),IF(INDEX(Properties!A$1:CB$87,Formula!J80,52)=0,10^6,INDEX(Properties!A$1:CB$87,Formula!J80,52)))</f>
        <v>0.79300000000000004</v>
      </c>
      <c r="EU80" s="81">
        <f t="shared" si="56"/>
        <v>30.307000000000002</v>
      </c>
      <c r="EV80" s="39">
        <f>((Formula!C80)/(Formula!C80+Formula!E80+Formula!G80+Formula!I80+Formula!K80))*(INDEX(Properties!A$1:CB$87,Formula!B80,53))+((Formula!E80)/(Formula!C80+Formula!E80+Formula!G80+Formula!I80+Formula!K80))*(INDEX(Properties!A$1:CB$87,Formula!D80,53))+((Formula!G80)/(Formula!C80+Formula!E80+Formula!G80+Formula!I80+Formula!K80))*(INDEX(Properties!A$1:CB$87,Formula!F80,53))+((Formula!I80)/(Formula!C80+Formula!E80+Formula!G80+Formula!I80+Formula!K80))*(INDEX(Properties!A$1:CB$87,Formula!H80,53))+((Formula!K80)/(Formula!C80+Formula!E80+Formula!G80+Formula!I80+Formula!K80))*(INDEX(Properties!A$1:CB$87,Formula!J80,53))</f>
        <v>457.33333333333337</v>
      </c>
      <c r="EW80" s="39">
        <f>Formula!C80*(INDEX(Properties!A$1:CB$87,Formula!B80,53))+Formula!E80*(INDEX(Properties!A$1:CB$87,Formula!D80,53))+Formula!G80*(INDEX(Properties!A$1:CB$87,Formula!F80,53))+Formula!I80*(INDEX(Properties!A$1:CB$87,Formula!H80,53))+Formula!K80*(INDEX(Properties!A$1:CB$87,Formula!J80,53))</f>
        <v>5488</v>
      </c>
      <c r="EX80" s="39">
        <f>VARP(IF(INDEX(Properties!A$1:CB$87,Formula!B80,53)&lt;&gt;"",INDEX(Properties!A$1:CB$87,Formula!B80,53)),IF(INDEX(Properties!A$1:CB$87,Formula!D80,53)&lt;&gt;"",INDEX(Properties!A$1:CB$87,Formula!D80,53)),IF(INDEX(Properties!A$1:CB$87,Formula!F80,53)&lt;&gt;"",INDEX(Properties!A$1:CB$87,Formula!F80,53)),IF(INDEX(Properties!A$1:CB$87,Formula!H80,53)&lt;&gt;"",INDEX(Properties!A$1:CB$87,Formula!H80,53)),IF(INDEX(Properties!A$1:CB$87,Formula!J80,53)&lt;&gt;"",INDEX(Properties!A$1:CB$87,Formula!J80,53)))</f>
        <v>273043.5564</v>
      </c>
      <c r="EY80" s="39">
        <f>MAX(INDEX(Properties!A$1:CB$87,Formula!B80,53),INDEX(Properties!A$1:CB$87,Formula!D80,53),INDEX(Properties!A$1:CB$87,Formula!F80,53),INDEX(Properties!A$1:CB$87,Formula!H80,53),INDEX(Properties!A$1:CB$87,Formula!J80,53))</f>
        <v>1193.1500000000001</v>
      </c>
      <c r="EZ80" s="39">
        <f>MIN(IF(INDEX(Properties!A$1:CB$87,Formula!B80,53)=0,10^6,INDEX(Properties!A$1:CB$87,Formula!B80,53)),IF(INDEX(Properties!A$1:CB$87,Formula!D80,53)=0,10^6,INDEX(Properties!A$1:CB$87,Formula!D80,53)),IF(INDEX(Properties!A$1:CB$87,Formula!F80,53)=0,10^6,INDEX(Properties!A$1:CB$87,Formula!F80,53)),IF(INDEX(Properties!A$1:CB$87,Formula!H80,53)=0,10^6,INDEX(Properties!A$1:CB$87,Formula!H80,53)),IF(INDEX(Properties!A$1:CB$87,Formula!J80,53)=0,10^6,INDEX(Properties!A$1:CB$87,Formula!J80,53)))</f>
        <v>54.749999999999972</v>
      </c>
      <c r="FA80" s="39">
        <f t="shared" si="57"/>
        <v>1138.4000000000001</v>
      </c>
      <c r="FB80" s="54">
        <f>((Formula!C80)/(Formula!C80+Formula!E80+Formula!G80+Formula!I80+Formula!K80))*(INDEX(Properties!A$1:CB$87,Formula!B80,54))+((Formula!E80)/(Formula!C80+Formula!E80+Formula!G80+Formula!I80+Formula!K80))*(INDEX(Properties!A$1:CB$87,Formula!D80,54))+((Formula!G80)/(Formula!C80+Formula!E80+Formula!G80+Formula!I80+Formula!K80))*(INDEX(Properties!A$1:CB$87,Formula!F80,54))+((Formula!I80)/(Formula!C80+Formula!E80+Formula!G80+Formula!I80+Formula!K80))*(INDEX(Properties!A$1:CB$87,Formula!H80,54))+((Formula!K80)/(Formula!C80+Formula!E80+Formula!G80+Formula!I80+Formula!K80))*(INDEX(Properties!A$1:CB$87,Formula!J80,54))</f>
        <v>1194.6500000000001</v>
      </c>
      <c r="FC80" s="54">
        <f>Formula!C80*(INDEX(Properties!A$1:CB$87,Formula!B80,54))+Formula!E80*(INDEX(Properties!A$1:CB$87,Formula!D80,54))+Formula!G80*(INDEX(Properties!A$1:CB$87,Formula!F80,54))+Formula!I80*(INDEX(Properties!A$1:CB$87,Formula!H80,54))+Formula!K80*(INDEX(Properties!A$1:CB$87,Formula!J80,54))</f>
        <v>14335.8</v>
      </c>
      <c r="FD80" s="54">
        <f>VARP(IF(INDEX(Properties!A$1:CB$87,Formula!B80,54)&lt;&gt;"",INDEX(Properties!A$1:CB$87,Formula!B80,54)),IF(INDEX(Properties!A$1:CB$87,Formula!D80,54)&lt;&gt;"",INDEX(Properties!A$1:CB$87,Formula!D80,54)),IF(INDEX(Properties!A$1:CB$87,Formula!F80,54)&lt;&gt;"",INDEX(Properties!A$1:CB$87,Formula!F80,54)),IF(INDEX(Properties!A$1:CB$87,Formula!H80,54)&lt;&gt;"",INDEX(Properties!A$1:CB$87,Formula!H80,54)),IF(INDEX(Properties!A$1:CB$87,Formula!J80,54)&lt;&gt;"",INDEX(Properties!A$1:CB$87,Formula!J80,54)))</f>
        <v>2133851.5316000003</v>
      </c>
      <c r="FE80" s="54">
        <f>MAX(INDEX(Properties!A$1:CB$87,Formula!B80,54),INDEX(Properties!A$1:CB$87,Formula!D80,54),INDEX(Properties!A$1:CB$87,Formula!F80,54),INDEX(Properties!A$1:CB$87,Formula!H80,54),INDEX(Properties!A$1:CB$87,Formula!J80,54))</f>
        <v>3727.15</v>
      </c>
      <c r="FF80" s="54">
        <f>MIN(IF(INDEX(Properties!A$1:CB$87,Formula!B80,54)=0,10^6,INDEX(Properties!A$1:CB$87,Formula!B80,54)),IF(INDEX(Properties!A$1:CB$87,Formula!D80,54)=0,10^6,INDEX(Properties!A$1:CB$87,Formula!D80,54)),IF(INDEX(Properties!A$1:CB$87,Formula!F80,54)=0,10^6,INDEX(Properties!A$1:CB$87,Formula!F80,54)),IF(INDEX(Properties!A$1:CB$87,Formula!H80,54)=0,10^6,INDEX(Properties!A$1:CB$87,Formula!H80,54)),IF(INDEX(Properties!A$1:CB$87,Formula!J80,54)=0,10^6,INDEX(Properties!A$1:CB$87,Formula!J80,54)))</f>
        <v>90.149999999999977</v>
      </c>
      <c r="FG80" s="54">
        <f t="shared" si="58"/>
        <v>3637</v>
      </c>
      <c r="FH80" s="69">
        <f>((Formula!C80)/(Formula!C80+Formula!E80+Formula!G80+Formula!I80+Formula!K80))*(INDEX(Properties!A$1:CB$87,Formula!B80,55))+((Formula!E80)/(Formula!C80+Formula!E80+Formula!G80+Formula!I80+Formula!K80))*(INDEX(Properties!A$1:CB$87,Formula!D80,55))+((Formula!G80)/(Formula!C80+Formula!E80+Formula!G80+Formula!I80+Formula!K80))*(INDEX(Properties!A$1:CB$87,Formula!F80,55))+((Formula!I80)/(Formula!C80+Formula!E80+Formula!G80+Formula!I80+Formula!K80))*(INDEX(Properties!A$1:CB$87,Formula!H80,55))+((Formula!K80)/(Formula!C80+Formula!E80+Formula!G80+Formula!I80+Formula!K80))*(INDEX(Properties!A$1:CB$87,Formula!J80,55))</f>
        <v>1.3175008333333333</v>
      </c>
      <c r="FI80" s="69">
        <f>Formula!C80*(INDEX(Properties!A$1:CB$87,Formula!B80,55))+Formula!E80*(INDEX(Properties!A$1:CB$87,Formula!D80,54))+Formula!G80*(INDEX(Properties!A$1:CB$87,Formula!F80,55))+Formula!I80*(INDEX(Properties!A$1:CB$87,Formula!H80,55))+Formula!K80*(INDEX(Properties!A$1:CB$87,Formula!J80,55))</f>
        <v>1771.4100100000001</v>
      </c>
      <c r="FJ80" s="69">
        <f>VARP(IF(INDEX(Properties!A$1:CB$87,Formula!B80,55)&lt;&gt;"",INDEX(Properties!A$1:CB$87,Formula!B80,55)),IF(INDEX(Properties!A$1:CB$87,Formula!D80,55)&lt;&gt;"",INDEX(Properties!A$1:CB$87,Formula!D80,55)),IF(INDEX(Properties!A$1:CB$87,Formula!F80,55)&lt;&gt;"",INDEX(Properties!A$1:CB$87,Formula!F80,55)),IF(INDEX(Properties!A$1:CB$87,Formula!H80,55)&lt;&gt;"",INDEX(Properties!A$1:CB$87,Formula!H80,55)),IF(INDEX(Properties!A$1:CB$87,Formula!J80,55)&lt;&gt;"",INDEX(Properties!A$1:CB$87,Formula!J80,55)))</f>
        <v>5.1754105671840014</v>
      </c>
      <c r="FK80" s="69">
        <f>MAX(INDEX(Properties!A$1:CB$87,Formula!B80,55),INDEX(Properties!A$1:CB$87,Formula!D80,55),INDEX(Properties!A$1:CB$87,Formula!F80,55),INDEX(Properties!A$1:CB$87,Formula!H80,55),INDEX(Properties!A$1:CB$87,Formula!J80,55))</f>
        <v>6.15</v>
      </c>
      <c r="FL80" s="69">
        <f>MIN(IF(INDEX(Properties!A$1:CB$87,Formula!B80,55)=0,10^6,INDEX(Properties!A$1:CB$87,Formula!B80,55)),IF(INDEX(Properties!A$1:CB$87,Formula!D80,55)=0,10^6,INDEX(Properties!A$1:CB$87,Formula!D80,55)),IF(INDEX(Properties!A$1:CB$87,Formula!F80,55)=0,10^6,INDEX(Properties!A$1:CB$87,Formula!F80,55)),IF(INDEX(Properties!A$1:CB$87,Formula!H80,55)=0,10^6,INDEX(Properties!A$1:CB$87,Formula!H80,55)),IF(INDEX(Properties!A$1:CB$87,Formula!J80,55)=0,10^6,INDEX(Properties!A$1:CB$87,Formula!J80,55)))</f>
        <v>1.4300000000000001E-3</v>
      </c>
      <c r="FM80" s="69">
        <f t="shared" si="59"/>
        <v>6.1485700000000003</v>
      </c>
      <c r="FN80" s="42">
        <f>((Formula!C80)/(Formula!C80+Formula!E80+Formula!G80+Formula!I80+Formula!K80))*(INDEX(Properties!A$1:CB$87,Formula!B80,56))+((Formula!E80)/(Formula!C80+Formula!E80+Formula!G80+Formula!I80+Formula!K80))*(INDEX(Properties!A$1:CB$87,Formula!D80,56))+((Formula!G80)/(Formula!C80+Formula!E80+Formula!G80+Formula!I80+Formula!K80))*(INDEX(Properties!A$1:CB$87,Formula!F80,56))+((Formula!I80)/(Formula!C80+Formula!E80+Formula!G80+Formula!I80+Formula!K80))*(INDEX(Properties!A$1:CB$87,Formula!H80,56))+((Formula!K80)/(Formula!C80+Formula!E80+Formula!G80+Formula!I80+Formula!K80))*(INDEX(Properties!A$1:CB$87,Formula!J80,56))</f>
        <v>0.83000000000000007</v>
      </c>
      <c r="FO80" s="42">
        <f>Formula!C80*(INDEX(Properties!A$1:CB$87,Formula!B80,56))+Formula!E80*(INDEX(Properties!A$1:CB$87,Formula!D80,56))+Formula!G80*(INDEX(Properties!A$1:CB$87,Formula!F80,56))+Formula!I80*(INDEX(Properties!A$1:CB$87,Formula!H80,56))+Formula!K80*(INDEX(Properties!A$1:CB$87,Formula!J80,56))</f>
        <v>9.9600000000000009</v>
      </c>
      <c r="FP80" s="42">
        <f>VARP(IF(INDEX(Properties!A$1:CB$87,Formula!B80,56)&lt;&gt;"",INDEX(Properties!A$1:CB$87,Formula!B80,56)),IF(INDEX(Properties!A$1:CB$87,Formula!D80,56)&lt;&gt;"",INDEX(Properties!A$1:CB$87,Formula!D80,56)),IF(INDEX(Properties!A$1:CB$87,Formula!F80,56)&lt;&gt;"",INDEX(Properties!A$1:CB$87,Formula!F80,56)),IF(INDEX(Properties!A$1:CB$87,Formula!H80,56)&lt;&gt;"",INDEX(Properties!A$1:CB$87,Formula!H80,56)),IF(INDEX(Properties!A$1:CB$87,Formula!J80,56)&lt;&gt;"",INDEX(Properties!A$1:CB$87,Formula!J80,56)))</f>
        <v>0.13909600000000008</v>
      </c>
      <c r="FQ80" s="42">
        <f>MAX(INDEX(Properties!A$1:CB$87,Formula!B80,56),INDEX(Properties!A$1:CB$87,Formula!D80,56),INDEX(Properties!A$1:CB$87,Formula!F80,56),INDEX(Properties!A$1:CB$87,Formula!H80,56),INDEX(Properties!A$1:CB$87,Formula!J80,56))</f>
        <v>0.92</v>
      </c>
      <c r="FR80" s="42">
        <f>MIN(IF(INDEX(Properties!A$1:CB$87,Formula!B80,56)=0,10^6,INDEX(Properties!A$1:CB$87,Formula!B80,56)),IF(INDEX(Properties!A$1:CB$87,Formula!D80,56)=0,10^6,INDEX(Properties!A$1:CB$87,Formula!D80,56)),IF(INDEX(Properties!A$1:CB$87,Formula!F80,56)=0,10^6,INDEX(Properties!A$1:CB$87,Formula!F80,56)),IF(INDEX(Properties!A$1:CB$87,Formula!H80,56)=0,10^6,INDEX(Properties!A$1:CB$87,Formula!H80,56)),IF(INDEX(Properties!A$1:CB$87,Formula!J80,56)=0,10^6,INDEX(Properties!A$1:CB$87,Formula!J80,56)))</f>
        <v>0.19</v>
      </c>
      <c r="FS80" s="42">
        <f t="shared" si="60"/>
        <v>0.73</v>
      </c>
      <c r="FT80" s="60">
        <f>((Formula!C80)/(Formula!C80+Formula!E80+Formula!G80+Formula!I80+Formula!K80))*(INDEX(Properties!A$1:CB$87,Formula!B80,57))+((Formula!E80)/(Formula!C80+Formula!E80+Formula!G80+Formula!I80+Formula!K80))*(INDEX(Properties!A$1:CB$87,Formula!D80,57))+((Formula!G80)/(Formula!C80+Formula!E80+Formula!G80+Formula!I80+Formula!K80))*(INDEX(Properties!A$1:CB$87,Formula!F80,57))+((Formula!I80)/(Formula!C80+Formula!E80+Formula!G80+Formula!I80+Formula!K80))*(INDEX(Properties!A$1:CB$87,Formula!H80,57))+((Formula!K80)/(Formula!C80+Formula!E80+Formula!G80+Formula!I80+Formula!K80))*(INDEX(Properties!A$1:CB$87,Formula!J80,57))</f>
        <v>4.0556774999999998</v>
      </c>
      <c r="FU80" s="60">
        <f>Formula!C80*(INDEX(Properties!A$1:CB$87,Formula!B80,57))+Formula!E80*(INDEX(Properties!A$1:CB$87,Formula!D80,57))+Formula!G80*(INDEX(Properties!A$1:CB$87,Formula!F80,57))+Formula!I80*(INDEX(Properties!A$1:CB$87,Formula!H80,57))+Formula!K80*(INDEX(Properties!A$1:CB$87,Formula!J80,57))</f>
        <v>48.668129999999998</v>
      </c>
      <c r="FV80" s="60">
        <f>VARP(IF(INDEX(Properties!A$1:CB$87,Formula!B80,57)&lt;&gt;"",INDEX(Properties!A$1:CB$87,Formula!B80,57)),IF(INDEX(Properties!A$1:CB$87,Formula!D80,57)&lt;&gt;"",INDEX(Properties!A$1:CB$87,Formula!D80,57)),IF(INDEX(Properties!A$1:CB$87,Formula!F80,57)&lt;&gt;"",INDEX(Properties!A$1:CB$87,Formula!F80,57)),IF(INDEX(Properties!A$1:CB$87,Formula!H80,57)&lt;&gt;"",INDEX(Properties!A$1:CB$87,Formula!H80,57)),IF(INDEX(Properties!A$1:CB$87,Formula!J80,57)&lt;&gt;"",INDEX(Properties!A$1:CB$87,Formula!J80,57)))</f>
        <v>19.041213593295996</v>
      </c>
      <c r="FW80" s="60">
        <f>MAX(INDEX(Properties!A$1:CB$87,Formula!B80,57),INDEX(Properties!A$1:CB$87,Formula!D80,57),INDEX(Properties!A$1:CB$87,Formula!F80,57),INDEX(Properties!A$1:CB$87,Formula!H80,57),INDEX(Properties!A$1:CB$87,Formula!J80,57))</f>
        <v>10.79</v>
      </c>
      <c r="FX80" s="60">
        <f>MIN(IF(INDEX(Properties!A$1:CB$87,Formula!B80,57)=0,10^6,INDEX(Properties!A$1:CB$87,Formula!B80,57)),IF(INDEX(Properties!A$1:CB$87,Formula!D80,57)=0,10^6,INDEX(Properties!A$1:CB$87,Formula!D80,57)),IF(INDEX(Properties!A$1:CB$87,Formula!F80,57)=0,10^6,INDEX(Properties!A$1:CB$87,Formula!F80,57)),IF(INDEX(Properties!A$1:CB$87,Formula!H80,57)=0,10^6,INDEX(Properties!A$1:CB$87,Formula!H80,57)),IF(INDEX(Properties!A$1:CB$87,Formula!J80,57)=0,10^6,INDEX(Properties!A$1:CB$87,Formula!J80,57)))</f>
        <v>0.22259000000000001</v>
      </c>
      <c r="FY80" s="60">
        <f t="shared" si="61"/>
        <v>10.567409999999999</v>
      </c>
      <c r="FZ80" s="72">
        <f>((Formula!C80)/(Formula!C80+Formula!E80+Formula!G80+Formula!I80+Formula!K80))*(INDEX(Properties!A$1:CB$87,Formula!B80,60))+((Formula!E80)/(Formula!C80+Formula!E80+Formula!G80+Formula!I80+Formula!K80))*(INDEX(Properties!A$1:CB$87,Formula!D80,60))+((Formula!G80)/(Formula!C80+Formula!E80+Formula!G80+Formula!I80+Formula!K80))*(INDEX(Properties!A$1:CB$87,Formula!F80,60))+((Formula!I80)/(Formula!C80+Formula!E80+Formula!G80+Formula!I80+Formula!K80))*(INDEX(Properties!A$1:CB$87,Formula!H80,60))+((Formula!K80)/(Formula!C80+Formula!E80+Formula!G80+Formula!I80+Formula!K80))*(INDEX(Properties!A$1:CB$87,Formula!J80,60))</f>
        <v>77.057264999999987</v>
      </c>
      <c r="GA80" s="72">
        <f>Formula!C80*(INDEX(Properties!A$1:CB$87,Formula!B80,60))+Formula!E80*(INDEX(Properties!A$1:CB$87,Formula!D80,60))+Formula!G80*(INDEX(Properties!A$1:CB$87,Formula!F80,60))+Formula!I80*(INDEX(Properties!A$1:CB$87,Formula!H80,60))+Formula!K80*(INDEX(Properties!A$1:CB$87,Formula!J80,60))</f>
        <v>924.68718000000001</v>
      </c>
      <c r="GB80" s="72">
        <f>VARP(IF(INDEX(Properties!A$1:CB$87,Formula!B80,60)&lt;&gt;"",INDEX(Properties!A$1:CB$87,Formula!B80,60)),IF(INDEX(Properties!A$1:CB$87,Formula!D80,60)&lt;&gt;"",INDEX(Properties!A$1:CB$87,Formula!D80,60)),IF(INDEX(Properties!A$1:CB$87,Formula!F80,60)&lt;&gt;"",INDEX(Properties!A$1:CB$87,Formula!F80,60)),IF(INDEX(Properties!A$1:CB$87,Formula!H80,60)&lt;&gt;"",INDEX(Properties!A$1:CB$87,Formula!H80,60)),IF(INDEX(Properties!A$1:CB$87,Formula!J80,60)&lt;&gt;"",INDEX(Properties!A$1:CB$87,Formula!J80,60)))</f>
        <v>11151.276404804417</v>
      </c>
      <c r="GC80" s="72">
        <f>MAX(INDEX(Properties!A$1:CB$87,Formula!B80,60),INDEX(Properties!A$1:CB$87,Formula!D80,60),INDEX(Properties!A$1:CB$87,Formula!F80,60),INDEX(Properties!A$1:CB$87,Formula!H80,60),INDEX(Properties!A$1:CB$87,Formula!J80,60))</f>
        <v>237</v>
      </c>
      <c r="GD80" s="72">
        <f>MIN(IF(INDEX(Properties!A$1:CB$87,Formula!B80,60)=0,10^6,INDEX(Properties!A$1:CB$87,Formula!B80,60)),IF(INDEX(Properties!A$1:CB$87,Formula!D80,60)=0,10^6,INDEX(Properties!A$1:CB$87,Formula!D80,60)),IF(INDEX(Properties!A$1:CB$87,Formula!F80,60)=0,10^6,INDEX(Properties!A$1:CB$87,Formula!F80,60)),IF(INDEX(Properties!A$1:CB$87,Formula!H80,60)=0,10^6,INDEX(Properties!A$1:CB$87,Formula!H80,60)),IF(INDEX(Properties!A$1:CB$87,Formula!J80,60)=0,10^6,INDEX(Properties!A$1:CB$87,Formula!J80,60)))</f>
        <v>2.674E-2</v>
      </c>
      <c r="GE80" s="72">
        <f t="shared" si="62"/>
        <v>236.97326000000001</v>
      </c>
      <c r="GF80" s="51">
        <f>((Formula!C80)/(Formula!C80+Formula!E80+Formula!G80+Formula!I80+Formula!K80))*(INDEX(Properties!A$1:CB$87,Formula!B80,62))+((Formula!E80)/(Formula!C80+Formula!E80+Formula!G80+Formula!I80+Formula!K80))*(INDEX(Properties!A$1:CB$87,Formula!D80,62))+((Formula!G80)/(Formula!C80+Formula!E80+Formula!G80+Formula!I80+Formula!K80))*(INDEX(Properties!A$1:CB$87,Formula!F80,62))+((Formula!I80)/(Formula!C80+Formula!E80+Formula!G80+Formula!I80+Formula!K80))*(INDEX(Properties!A$1:CB$87,Formula!H80,62))+((Formula!K80)/(Formula!C80+Formula!E80+Formula!G80+Formula!I80+Formula!K80))*(INDEX(Properties!A$1:CB$87,Formula!J80,62))</f>
        <v>2.9016666666666668</v>
      </c>
      <c r="GG80" s="51">
        <f>Formula!C80*(INDEX(Properties!A$1:CB$87,Formula!B80,62))+Formula!E80*(INDEX(Properties!A$1:CB$87,Formula!D80,62))+Formula!G80*(INDEX(Properties!A$1:CB$87,Formula!F80,62))+Formula!I80*(INDEX(Properties!A$1:CB$87,Formula!H80,62))+Formula!K80*(INDEX(Properties!A$1:CB$87,Formula!J80,62))</f>
        <v>34.82</v>
      </c>
      <c r="GH80" s="51">
        <f>VARP(IF(INDEX(Properties!A$1:CB$87,Formula!B80,62)&lt;&gt;"",INDEX(Properties!A$1:CB$87,Formula!B80,62)),IF(INDEX(Properties!A$1:CB$87,Formula!D80,62)&lt;&gt;"",INDEX(Properties!A$1:CB$87,Formula!D80,62)),IF(INDEX(Properties!A$1:CB$87,Formula!F80,62)&lt;&gt;"",INDEX(Properties!A$1:CB$87,Formula!F80,62)),IF(INDEX(Properties!A$1:CB$87,Formula!H80,62)&lt;&gt;"",INDEX(Properties!A$1:CB$87,Formula!H80,62)),IF(INDEX(Properties!A$1:CB$87,Formula!J80,62)&lt;&gt;"",INDEX(Properties!A$1:CB$87,Formula!J80,62)))</f>
        <v>2.2733040000000004</v>
      </c>
      <c r="GI80" s="51">
        <f>MAX(INDEX(Properties!A$1:CB$87,Formula!B80,62),INDEX(Properties!A$1:CB$87,Formula!D80,62),INDEX(Properties!A$1:CB$87,Formula!F80,62),INDEX(Properties!A$1:CB$87,Formula!H80,62),INDEX(Properties!A$1:CB$87,Formula!J80,62))</f>
        <v>4.47</v>
      </c>
      <c r="GJ80" s="51">
        <f>MIN(IF(INDEX(Properties!A$1:CB$87,Formula!B80,62)=0,10^6,INDEX(Properties!A$1:CB$87,Formula!B80,62)),IF(INDEX(Properties!A$1:CB$87,Formula!D80,62)=0,10^6,INDEX(Properties!A$1:CB$87,Formula!D80,62)),IF(INDEX(Properties!A$1:CB$87,Formula!F80,62)=0,10^6,INDEX(Properties!A$1:CB$87,Formula!F80,62)),IF(INDEX(Properties!A$1:CB$87,Formula!H80,62)=0,10^6,INDEX(Properties!A$1:CB$87,Formula!H80,62)),IF(INDEX(Properties!A$1:CB$87,Formula!J80,62)=0,10^6,INDEX(Properties!A$1:CB$87,Formula!J80,62)))</f>
        <v>1.84</v>
      </c>
      <c r="GK80" s="51">
        <f t="shared" si="63"/>
        <v>2.63</v>
      </c>
      <c r="GL80" s="51">
        <f>Formula!P80</f>
        <v>11</v>
      </c>
      <c r="GM80" s="57">
        <f>Formula!O80</f>
        <v>2</v>
      </c>
      <c r="GN80" s="51">
        <f>Formula!N80</f>
        <v>0.03</v>
      </c>
    </row>
    <row r="81" spans="1:196" x14ac:dyDescent="0.3">
      <c r="A81" s="84" t="str">
        <f>Formula!A81</f>
        <v>Bi2Mo3O12</v>
      </c>
      <c r="B81" s="89">
        <f>((Formula!C81)/(Formula!C81+Formula!E81+Formula!G81+Formula!I81+Formula!K81))*(INDEX(Properties!A$1:CB$87,Formula!B81,3))+((Formula!E81)/(Formula!C81+Formula!E81+Formula!G81+Formula!I81+Formula!K81))*(INDEX(Properties!A$1:CB$87,Formula!D81,3))+((Formula!G81)/(Formula!C81+Formula!E81+Formula!G81+Formula!I81+Formula!K81))*(INDEX(Properties!A$1:CB$87,Formula!F81,3))+((Formula!I81)/(Formula!C81+Formula!E81+Formula!G81+Formula!I81+Formula!K81))*(INDEX(Properties!A$1:CB$87,Formula!H81,3))+((Formula!K81)/(Formula!C81+Formula!E81+Formula!G81+Formula!I81+Formula!K81))*(INDEX(Properties!A$1:CB$87,Formula!J81,3))</f>
        <v>52.811972941176471</v>
      </c>
      <c r="C81" s="85">
        <f>Formula!C81*(INDEX(Properties!A$1:CB$87,Formula!B81,3))+Formula!E81*(INDEX(Properties!A$1:CB$87,Formula!D81,3))+Formula!G81*(INDEX(Properties!A$1:CB$87,Formula!F81,3))+Formula!I81*(INDEX(Properties!A$1:CB$87,Formula!H81,3))+Formula!K81*(INDEX(Properties!A$1:CB$87,Formula!J81,3))</f>
        <v>897.80354</v>
      </c>
      <c r="D81" s="85">
        <f>VARP(IF(INDEX(Properties!A$1:CB$87,Formula!B81,3)&lt;&gt;"",INDEX(Properties!A$1:CB$87,Formula!B81,3)),IF(INDEX(Properties!A$1:CB$87,Formula!D81,3)&lt;&gt;"",INDEX(Properties!A$1:CB$87,Formula!D81,3)),IF(INDEX(Properties!A$1:CB$87,Formula!F81,3)&lt;&gt;"",INDEX(Properties!A$1:CB$87,Formula!F81,3)),IF(INDEX(Properties!A$1:CB$87,Formula!H81,3)&lt;&gt;"",INDEX(Properties!A$1:CB$87,Formula!H81,3)),IF(INDEX(Properties!A$1:CB$87,Formula!J81,3)&lt;&gt;"",INDEX(Properties!A$1:CB$87,Formula!J81,3)))</f>
        <v>6507.1989782492637</v>
      </c>
      <c r="E81" s="85">
        <f>MAX(INDEX(Properties!A$1:CB$87,Formula!B81,3),INDEX(Properties!A$1:CB$87,Formula!D81,3),INDEX(Properties!A$1:CB$87,Formula!F81,3),INDEX(Properties!A$1:CB$87,Formula!H81,3),INDEX(Properties!A$1:CB$87,Formula!J81,3))</f>
        <v>208.98036999999999</v>
      </c>
      <c r="F81" s="85">
        <f>MIN(IF(INDEX(Properties!A$1:CB$87,Formula!B81,3)=0,10^6,INDEX(Properties!A$1:CB$87,Formula!B81,3)),IF(INDEX(Properties!A$1:CB$87,Formula!D81,3)=0,10^6,INDEX(Properties!A$1:CB$87,Formula!D81,3)),IF(INDEX(Properties!A$1:CB$87,Formula!F81,3)=0,10^6,INDEX(Properties!A$1:CB$87,Formula!F81,3)),IF(INDEX(Properties!A$1:CB$87,Formula!H81,3)=0,10^6,INDEX(Properties!A$1:CB$87,Formula!H81,3)),IF(INDEX(Properties!A$1:CB$87,Formula!J81,3)=0,10^6,INDEX(Properties!A$1:CB$87,Formula!J81,3)))</f>
        <v>15.9994</v>
      </c>
      <c r="G81" s="85">
        <f t="shared" si="32"/>
        <v>192.98096999999999</v>
      </c>
      <c r="H81" s="87">
        <f>((Formula!C81)/(Formula!C81+Formula!E81+Formula!G81+Formula!I81+Formula!K81))*(INDEX(Properties!A$1:CB$87,Formula!B81,4))+((Formula!E81)/(Formula!C81+Formula!E81+Formula!G81+Formula!I81+Formula!K81))*(INDEX(Properties!A$1:CB$87,Formula!D81,4))+((Formula!G81)/(Formula!C81+Formula!E81+Formula!G81+Formula!I81+Formula!K81))*(INDEX(Properties!A$1:CB$87,Formula!F81,4))+((Formula!I81)/(Formula!C81+Formula!E81+Formula!G81+Formula!I81+Formula!K81))*(INDEX(Properties!A$1:CB$87,Formula!H81,4))+((Formula!K81)/(Formula!C81+Formula!E81+Formula!G81+Formula!I81+Formula!K81))*(INDEX(Properties!A$1:CB$87,Formula!J81,4))</f>
        <v>22.823529411764707</v>
      </c>
      <c r="I81" s="87">
        <f>Formula!C81*(INDEX(Properties!A$1:CB$87,Formula!B81,4))+Formula!E81*(INDEX(Properties!A$1:CB$87,Formula!D81,4))+Formula!G81*(INDEX(Properties!A$1:CB$87,Formula!F81,4))+Formula!I81*(INDEX(Properties!A$1:CB$87,Formula!H81,4))+Formula!K81*(INDEX(Properties!A$1:CB$87,Formula!J81,4))</f>
        <v>388</v>
      </c>
      <c r="J81" s="87">
        <f>VARP(IF(INDEX(Properties!A$1:CB$87,Formula!B81,4)&lt;&gt;"",INDEX(Properties!A$1:CB$87,Formula!B81,4)),IF(INDEX(Properties!A$1:CB$87,Formula!D81,4)&lt;&gt;"",INDEX(Properties!A$1:CB$87,Formula!D81,4)),IF(INDEX(Properties!A$1:CB$87,Formula!F81,4)&lt;&gt;"",INDEX(Properties!A$1:CB$87,Formula!F81,4)),IF(INDEX(Properties!A$1:CB$87,Formula!H81,4)&lt;&gt;"",INDEX(Properties!A$1:CB$87,Formula!H81,4)),IF(INDEX(Properties!A$1:CB$87,Formula!J81,4)&lt;&gt;"",INDEX(Properties!A$1:CB$87,Formula!J81,4)))</f>
        <v>1035.8399999999999</v>
      </c>
      <c r="K81" s="87">
        <f>MAX(INDEX(Properties!A$1:CB$87,Formula!B81,4),INDEX(Properties!A$1:CB$87,Formula!D81,4),INDEX(Properties!A$1:CB$87,Formula!F81,4),INDEX(Properties!A$1:CB$87,Formula!H81,4),INDEX(Properties!A$1:CB$87,Formula!J81,4))</f>
        <v>83</v>
      </c>
      <c r="L81" s="87">
        <f>MIN(IF(INDEX(Properties!A$1:CB$87,Formula!B81,4)=0,10^6,INDEX(Properties!A$1:CB$87,Formula!B81,4)),IF(INDEX(Properties!A$1:CB$87,Formula!D81,4)=0,10^6,INDEX(Properties!A$1:CB$87,Formula!D81,4)),IF(INDEX(Properties!A$1:CB$87,Formula!F81,4)=0,10^6,INDEX(Properties!A$1:CB$87,Formula!F81,4)),IF(INDEX(Properties!A$1:CB$87,Formula!H81,4)=0,10^6,INDEX(Properties!A$1:CB$87,Formula!H81,4)),IF(INDEX(Properties!A$1:CB$87,Formula!J81,4)=0,10^6,INDEX(Properties!A$1:CB$87,Formula!J81,4)))</f>
        <v>8</v>
      </c>
      <c r="M81" s="87">
        <f t="shared" si="33"/>
        <v>75</v>
      </c>
      <c r="N81" s="89">
        <f>((Formula!C81)/(Formula!C81+Formula!E81+Formula!G81+Formula!I81+Formula!K81))*(INDEX(Properties!A$1:CB$87,Formula!B81,5))+((Formula!E81)/(Formula!C81+Formula!E81+Formula!G81+Formula!I81+Formula!K81))*(INDEX(Properties!A$1:CB$87,Formula!D81,5))+((Formula!G81)/(Formula!C81+Formula!E81+Formula!G81+Formula!I81+Formula!K81))*(INDEX(Properties!A$1:CB$87,Formula!F81,5))+((Formula!I81)/(Formula!C81+Formula!E81+Formula!G81+Formula!I81+Formula!K81))*(INDEX(Properties!A$1:CB$87,Formula!H81,5))+((Formula!K81)/(Formula!C81+Formula!E81+Formula!G81+Formula!I81+Formula!K81))*(INDEX(Properties!A$1:CB$87,Formula!J81,5))</f>
        <v>3</v>
      </c>
      <c r="O81" s="89">
        <f>Formula!C81*(INDEX(Properties!A$1:CB$87,Formula!B81,5))+Formula!E81*(INDEX(Properties!A$1:CB$87,Formula!D81,5))+Formula!G81*(INDEX(Properties!A$1:CB$87,Formula!F81,5))+Formula!I81*(INDEX(Properties!A$1:CB$87,Formula!H81,5))+Formula!K81*(INDEX(Properties!A$1:CB$87,Formula!J81,5))</f>
        <v>51</v>
      </c>
      <c r="P81" s="89">
        <f>VARP(IF(INDEX(Properties!A$1:CB$87,Formula!B81,5)&lt;&gt;"",INDEX(Properties!A$1:CB$87,Formula!B81,5)),IF(INDEX(Properties!A$1:CB$87,Formula!D81,5)&lt;&gt;"",INDEX(Properties!A$1:CB$87,Formula!D81,5)),IF(INDEX(Properties!A$1:CB$87,Formula!F81,5)&lt;&gt;"",INDEX(Properties!A$1:CB$87,Formula!F81,5)),IF(INDEX(Properties!A$1:CB$87,Formula!H81,5)&lt;&gt;"",INDEX(Properties!A$1:CB$87,Formula!H81,5)),IF(INDEX(Properties!A$1:CB$87,Formula!J81,5)&lt;&gt;"",INDEX(Properties!A$1:CB$87,Formula!J81,5)))</f>
        <v>6.24</v>
      </c>
      <c r="Q81" s="89">
        <f>MAX(INDEX(Properties!A$1:CB$87,Formula!B81,5),INDEX(Properties!A$1:CB$87,Formula!D81,5),INDEX(Properties!A$1:CB$87,Formula!F81,5),INDEX(Properties!A$1:CB$87,Formula!H81,5),INDEX(Properties!A$1:CB$87,Formula!J81,5))</f>
        <v>6</v>
      </c>
      <c r="R81" s="89">
        <f>MIN(IF(INDEX(Properties!A$1:CB$87,Formula!B81,5)=0,10^6,INDEX(Properties!A$1:CB$87,Formula!B81,5)),IF(INDEX(Properties!A$1:CB$87,Formula!D81,5)=0,10^6,INDEX(Properties!A$1:CB$87,Formula!D81,5)),IF(INDEX(Properties!A$1:CB$87,Formula!F81,5)=0,10^6,INDEX(Properties!A$1:CB$87,Formula!F81,5)),IF(INDEX(Properties!A$1:CB$87,Formula!H81,5)=0,10^6,INDEX(Properties!A$1:CB$87,Formula!H81,5)),IF(INDEX(Properties!A$1:CB$87,Formula!J81,5)=0,10^6,INDEX(Properties!A$1:CB$87,Formula!J81,5)))</f>
        <v>2</v>
      </c>
      <c r="S81" s="89">
        <f t="shared" si="34"/>
        <v>4</v>
      </c>
      <c r="T81" s="60">
        <f>((Formula!C81)/(Formula!C81+Formula!E81+Formula!G81+Formula!I81+Formula!K81))*(INDEX(Properties!A$1:CB$87,Formula!B81,6))+((Formula!E81)/(Formula!C81+Formula!E81+Formula!G81+Formula!I81+Formula!K81))*(INDEX(Properties!A$1:CB$87,Formula!D81,6))+((Formula!G81)/(Formula!C81+Formula!E81+Formula!G81+Formula!I81+Formula!K81))*(INDEX(Properties!A$1:CB$87,Formula!F81,6))+((Formula!I81)/(Formula!C81+Formula!E81+Formula!G81+Formula!I81+Formula!K81))*(INDEX(Properties!A$1:CB$87,Formula!H81,6))+((Formula!K81)/(Formula!C81+Formula!E81+Formula!G81+Formula!I81+Formula!K81))*(INDEX(Properties!A$1:CB$87,Formula!J81,6))</f>
        <v>14.117647058823529</v>
      </c>
      <c r="U81" s="60">
        <f>Formula!C81*(INDEX(Properties!A$1:CB$87,Formula!B81,6))+Formula!E81*(INDEX(Properties!A$1:CB$87,Formula!D81,6))+Formula!G81*(INDEX(Properties!A$1:CB$87,Formula!F81,6))+Formula!I81*(INDEX(Properties!A$1:CB$87,Formula!H81,6))+Formula!K81*(INDEX(Properties!A$1:CB$87,Formula!J81,6))</f>
        <v>240</v>
      </c>
      <c r="V81" s="89">
        <f>VARP(IF(INDEX(Properties!A$1:CB$87,Formula!B81,6)&lt;&gt;"",INDEX(Properties!A$1:CB$87,Formula!B81,6)),IF(INDEX(Properties!A$1:CB$87,Formula!D81,6)&lt;&gt;"",INDEX(Properties!A$1:CB$87,Formula!D81,6)),IF(INDEX(Properties!A$1:CB$87,Formula!F81,6)&lt;&gt;"",INDEX(Properties!A$1:CB$87,Formula!F81,6)),IF(INDEX(Properties!A$1:CB$87,Formula!H81,6)&lt;&gt;"",INDEX(Properties!A$1:CB$87,Formula!H81,6)),IF(INDEX(Properties!A$1:CB$87,Formula!J81,6)&lt;&gt;"",INDEX(Properties!A$1:CB$87,Formula!J81,6)))</f>
        <v>48.64</v>
      </c>
      <c r="W81" s="60">
        <f>MAX(INDEX(Properties!A$1:CB$87,Formula!B81,6),INDEX(Properties!A$1:CB$87,Formula!D81,6),INDEX(Properties!A$1:CB$87,Formula!F81,6),INDEX(Properties!A$1:CB$87,Formula!H81,4),INDEX(Properties!A$1:CB$87,Formula!J81,6))</f>
        <v>16</v>
      </c>
      <c r="X81" s="60">
        <f>MIN(IF(INDEX(Properties!A$1:CB$87,Formula!B81,6)=0,10^6,INDEX(Properties!A$1:CB$87,Formula!B81,6)),IF(INDEX(Properties!A$1:CB$87,Formula!D81,6)=0,10^6,INDEX(Properties!A$1:CB$87,Formula!D81,6)),IF(INDEX(Properties!A$1:CB$87,Formula!F81,6)=0,10^6,INDEX(Properties!A$1:CB$87,Formula!F81,6)),IF(INDEX(Properties!A$1:CB$87,Formula!H81,6)=0,10^6,INDEX(Properties!A$1:CB$87,Formula!H81,6)),IF(INDEX(Properties!A$1:CB$87,Formula!J81,6)=0,10^6,INDEX(Properties!A$1:CB$87,Formula!J81,6)))</f>
        <v>6</v>
      </c>
      <c r="Y81" s="60">
        <f t="shared" si="35"/>
        <v>10</v>
      </c>
      <c r="Z81" s="72">
        <f>((Formula!C81)/(Formula!C81+Formula!E81+Formula!G81+Formula!I81+Formula!K81))*(INDEX(Properties!A$1:CB$87,Formula!B81,9))+((Formula!E81)/(Formula!C81+Formula!E81+Formula!G81+Formula!I81+Formula!K81))*(INDEX(Properties!A$1:CB$87,Formula!D81,9))+((Formula!G81)/(Formula!C81+Formula!E81+Formula!G81+Formula!I81+Formula!K81))*(INDEX(Properties!A$1:CB$87,Formula!F81,9))+((Formula!I81)/(Formula!C81+Formula!E81+Formula!G81+Formula!I81+Formula!K81))*(INDEX(Properties!A$1:CB$87,Formula!H81,9))+((Formula!K81)/(Formula!C81+Formula!E81+Formula!G81+Formula!I81+Formula!K81))*(INDEX(Properties!A$1:CB$87,Formula!J81,9))</f>
        <v>80.352941176470594</v>
      </c>
      <c r="AA81" s="72">
        <f>Formula!C81*(INDEX(Properties!A$1:CB$87,Formula!B81,9))+Formula!E81*(INDEX(Properties!A$1:CB$87,Formula!D81,9))+Formula!G81*(INDEX(Properties!A$1:CB$87,Formula!F81,9))+Formula!I81*(INDEX(Properties!A$1:CB$87,Formula!H81,9))+Formula!K81*(INDEX(Properties!A$1:CB$87,Formula!J81,9))</f>
        <v>1366</v>
      </c>
      <c r="AB81" s="72">
        <f>VARP(IF(INDEX(Properties!A$1:CB$87,Formula!B81,9)&lt;&gt;"",INDEX(Properties!A$1:CB$87,Formula!B81,9)),IF(INDEX(Properties!A$1:CB$87,Formula!D81,9)&lt;&gt;"",INDEX(Properties!A$1:CB$87,Formula!D81,9)),IF(INDEX(Properties!A$1:CB$87,Formula!F81,9)&lt;&gt;"",INDEX(Properties!A$1:CB$87,Formula!F81,9)),IF(INDEX(Properties!A$1:CB$87,Formula!H81,9)&lt;&gt;"",INDEX(Properties!A$1:CB$87,Formula!H81,9)),IF(INDEX(Properties!A$1:CB$87,Formula!J81,9)&lt;&gt;"",INDEX(Properties!A$1:CB$87,Formula!J81,9)))</f>
        <v>1503.84</v>
      </c>
      <c r="AC81" s="72">
        <f>MAX(INDEX(Properties!A$1:CB$87,Formula!B81,9),INDEX(Properties!A$1:CB$87,Formula!D81,9),INDEX(Properties!A$1:CB$87,Formula!F81,9),INDEX(Properties!A$1:CB$87,Formula!H81,9),INDEX(Properties!A$1:CB$87,Formula!J81,9))</f>
        <v>87</v>
      </c>
      <c r="AD81" s="72">
        <f>MIN(IF(INDEX(Properties!A$1:CB$87,Formula!B81,9)=0,10^6,INDEX(Properties!A$1:CB$87,Formula!B81,9)),IF(INDEX(Properties!A$1:CB$87,Formula!D81,9)=0,10^6,INDEX(Properties!A$1:CB$87,Formula!D81,9)),IF(INDEX(Properties!A$1:CB$87,Formula!F81,9)=0,10^6,INDEX(Properties!A$1:CB$87,Formula!F81,9)),IF(INDEX(Properties!A$1:CB$87,Formula!H81,9)=0,10^6,INDEX(Properties!A$1:CB$87,Formula!H81,9)),IF(INDEX(Properties!A$1:CB$87,Formula!J81,9)=0,10^6,INDEX(Properties!A$1:CB$87,Formula!J81,9)))</f>
        <v>50</v>
      </c>
      <c r="AE81" s="72">
        <f t="shared" si="36"/>
        <v>37</v>
      </c>
      <c r="AF81" s="51">
        <f>((Formula!C81)/(Formula!C81+Formula!E81+Formula!G81+Formula!I81+Formula!K81))*(INDEX(Properties!A$1:CB$87,Formula!B81,10))+((Formula!E81)/(Formula!C81+Formula!E81+Formula!G81+Formula!I81+Formula!K81))*(INDEX(Properties!A$1:CB$87,Formula!D81,10))+((Formula!G81)/(Formula!C81+Formula!E81+Formula!G81+Formula!I81+Formula!K81))*(INDEX(Properties!A$1:CB$87,Formula!F81,10))+((Formula!I81)/(Formula!C81+Formula!E81+Formula!G81+Formula!I81+Formula!K81))*(INDEX(Properties!A$1:CB$87,Formula!H81,10))+((Formula!K81)/(Formula!C81+Formula!E81+Formula!G81+Formula!I81+Formula!K81))*(INDEX(Properties!A$1:CB$87,Formula!J81,10))</f>
        <v>6.2352941176470589</v>
      </c>
      <c r="AG81" s="51">
        <f>Formula!C81*(INDEX(Properties!A$1:CB$87,Formula!B81,10))+Formula!E81*(INDEX(Properties!A$1:CB$87,Formula!D81,10))+Formula!G81*(INDEX(Properties!A$1:CB$87,Formula!F81,10))+Formula!I81*(INDEX(Properties!A$1:CB$87,Formula!H81,10))+Formula!K81*(INDEX(Properties!A$1:CB$87,Formula!J81,10))</f>
        <v>106</v>
      </c>
      <c r="AH81" s="51">
        <f>VARP(IF(INDEX(Properties!A$1:CB$87,Formula!B81,10)&lt;&gt;"",INDEX(Properties!A$1:CB$87,Formula!B81,10)),IF(INDEX(Properties!A$1:CB$87,Formula!D81,10)&lt;&gt;"",INDEX(Properties!A$1:CB$87,Formula!D81,10)),IF(INDEX(Properties!A$1:CB$87,Formula!F81,10)&lt;&gt;"",INDEX(Properties!A$1:CB$87,Formula!F81,10)),IF(INDEX(Properties!A$1:CB$87,Formula!H81,10)&lt;&gt;"",INDEX(Properties!A$1:CB$87,Formula!H81,10)),IF(INDEX(Properties!A$1:CB$87,Formula!J81,10)&lt;&gt;"",INDEX(Properties!A$1:CB$87,Formula!J81,10)))</f>
        <v>7.76</v>
      </c>
      <c r="AI81" s="51">
        <f>MAX(INDEX(Properties!A$1:CB$87,Formula!B81,10),INDEX(Properties!A$1:CB$87,Formula!D81,10),INDEX(Properties!A$1:CB$87,Formula!F81,10),INDEX(Properties!A$1:CB$87,Formula!H81,10),INDEX(Properties!A$1:CB$87,Formula!J81,10))</f>
        <v>7</v>
      </c>
      <c r="AJ81" s="51">
        <f>MIN(IF(INDEX(Properties!A$1:CB$87,Formula!B81,10)=0,10^6,INDEX(Properties!A$1:CB$87,Formula!B81,10)),IF(INDEX(Properties!A$1:CB$87,Formula!D81,10)=0,10^6,INDEX(Properties!A$1:CB$87,Formula!D81,10)),IF(INDEX(Properties!A$1:CB$87,Formula!F81,10)=0,10^6,INDEX(Properties!A$1:CB$87,Formula!F81,10)),IF(INDEX(Properties!A$1:CB$87,Formula!H81,10)=0,10^6,INDEX(Properties!A$1:CB$87,Formula!H81,10)),IF(INDEX(Properties!A$1:CB$87,Formula!J81,10)=0,10^6,INDEX(Properties!A$1:CB$87,Formula!J81,10)))</f>
        <v>4</v>
      </c>
      <c r="AK81" s="51">
        <f t="shared" si="37"/>
        <v>3</v>
      </c>
      <c r="AL81" s="57">
        <f>((Formula!C81)/(Formula!C81+Formula!E81+Formula!G81+Formula!I81+Formula!K81))*(INDEX(Properties!A$1:CB$87,Formula!B81,11))+((Formula!E81)/(Formula!C81+Formula!E81+Formula!G81+Formula!I81+Formula!K81))*(INDEX(Properties!A$1:CB$87,Formula!D81,11))+((Formula!G81)/(Formula!C81+Formula!E81+Formula!G81+Formula!I81+Formula!K81))*(INDEX(Properties!A$1:CB$87,Formula!F81,11))+((Formula!I81)/(Formula!C81+Formula!E81+Formula!G81+Formula!I81+Formula!K81))*(INDEX(Properties!A$1:CB$87,Formula!H81,11))+((Formula!K81)/(Formula!C81+Formula!E81+Formula!G81+Formula!I81+Formula!K81))*(INDEX(Properties!A$1:CB$87,Formula!J81,11))</f>
        <v>1.8235294117647061</v>
      </c>
      <c r="AM81" s="57">
        <f>Formula!C81*(INDEX(Properties!A$1:CB$87,Formula!B81,11))+Formula!E81*(INDEX(Properties!A$1:CB$87,Formula!D81,11))+Formula!G81*(INDEX(Properties!A$1:CB$87,Formula!F81,11))+Formula!I81*(INDEX(Properties!A$1:CB$87,Formula!H81,11))+Formula!K81*(INDEX(Properties!A$1:CB$87,Formula!J81,11))</f>
        <v>31</v>
      </c>
      <c r="AN81" s="57">
        <f>VARP(IF(INDEX(Properties!A$1:CB$87,Formula!B81,11)&lt;&gt;"",INDEX(Properties!A$1:CB$87,Formula!B81,11)),IF(INDEX(Properties!A$1:CB$87,Formula!D81,11)&lt;&gt;"",INDEX(Properties!A$1:CB$87,Formula!D81,11)),IF(INDEX(Properties!A$1:CB$87,Formula!F81,11)&lt;&gt;"",INDEX(Properties!A$1:CB$87,Formula!F81,11)),IF(INDEX(Properties!A$1:CB$87,Formula!H81,11)&lt;&gt;"",INDEX(Properties!A$1:CB$87,Formula!H81,11)),IF(INDEX(Properties!A$1:CB$87,Formula!J81,11)&lt;&gt;"",INDEX(Properties!A$1:CB$87,Formula!J81,11)))</f>
        <v>0.8</v>
      </c>
      <c r="AO81" s="57">
        <f>MAX(INDEX(Properties!A$1:CB$87,Formula!B81,11),INDEX(Properties!A$1:CB$87,Formula!D81,11),INDEX(Properties!A$1:CB$87,Formula!F81,11),INDEX(Properties!A$1:CB$87,Formula!H81,11),INDEX(Properties!A$1:CB$87,Formula!J81,11))</f>
        <v>2</v>
      </c>
      <c r="AP81" s="57">
        <f>MIN(IF(Formula!B81=87,10^6,INDEX(Properties!A$1:CB$87,Formula!B81,11)),IF((Formula!D81)=87,10^6,INDEX(Properties!A$1:CB$87,Formula!D81,11)),IF((Formula!F81)=87,10^6,INDEX(Properties!A$1:CB$87,Formula!F81,11)),IF((Formula!H81)=87,10^6,INDEX(Properties!A$1:CB$87,Formula!H81,11)),IF(Formula!J81=87,10^6,INDEX(Properties!A$1:CB$87,Formula!J81,11)))</f>
        <v>1</v>
      </c>
      <c r="AQ81" s="57">
        <f t="shared" si="38"/>
        <v>1</v>
      </c>
      <c r="AR81" s="78">
        <f>((Formula!C81)/(Formula!C81+Formula!E81+Formula!G81+Formula!I81+Formula!K81))*(INDEX(Properties!A$1:CB$87,Formula!B81,12))+((Formula!E81)/(Formula!C81+Formula!E81+Formula!G81+Formula!I81+Formula!K81))*(INDEX(Properties!A$1:CB$87,Formula!D81,12))+((Formula!G81)/(Formula!C81+Formula!E81+Formula!G81+Formula!I81+Formula!K81))*(INDEX(Properties!A$1:CB$87,Formula!F81,12))+((Formula!I81)/(Formula!C81+Formula!E81+Formula!G81+Formula!I81+Formula!K81))*(INDEX(Properties!A$1:CB$87,Formula!H81,12))+((Formula!K81)/(Formula!C81+Formula!E81+Formula!G81+Formula!I81+Formula!K81))*(INDEX(Properties!A$1:CB$87,Formula!J81,12))</f>
        <v>3.1764705882352944</v>
      </c>
      <c r="AS81" s="78">
        <f>Formula!C81*(INDEX(Properties!A$1:CB$87,Formula!B81,12))+Formula!E81*(INDEX(Properties!A$1:CB$87,Formula!D81,12))+Formula!G81*(INDEX(Properties!A$1:CB$87,Formula!F81,12))+Formula!I81*(INDEX(Properties!A$1:CB$87,Formula!H81,12))+Formula!K81*(INDEX(Properties!A$1:CB$87,Formula!J81,12))</f>
        <v>54</v>
      </c>
      <c r="AT81" s="78">
        <f>VARP(IF(INDEX(Properties!A$1:CB$87,Formula!B81,12)&lt;&gt;"",INDEX(Properties!A$1:CB$87,Formula!B81,12)),IF(INDEX(Properties!A$1:CB$87,Formula!D81,12)&lt;&gt;"",INDEX(Properties!A$1:CB$87,Formula!D81,12)),IF(INDEX(Properties!A$1:CB$87,Formula!F81,12)&lt;&gt;"",INDEX(Properties!A$1:CB$87,Formula!F81,12)),IF(INDEX(Properties!A$1:CB$87,Formula!H81,12)&lt;&gt;"",INDEX(Properties!A$1:CB$87,Formula!H81,12)),IF(INDEX(Properties!A$1:CB$87,Formula!J81,12)&lt;&gt;"",INDEX(Properties!A$1:CB$87,Formula!J81,12)))</f>
        <v>3.04</v>
      </c>
      <c r="AU81" s="78">
        <f>MAX(INDEX(Properties!A$1:CB$87,Formula!B81,12),INDEX(Properties!A$1:CB$87,Formula!D81,12),INDEX(Properties!A$1:CB$87,Formula!F81,12),INDEX(Properties!A$1:CB$87,Formula!H81,12),INDEX(Properties!A$1:CB$87,Formula!J81,12))</f>
        <v>4</v>
      </c>
      <c r="AV81" s="78">
        <f>MIN(IF(Formula!B81=87,10^6,INDEX(Properties!A$1:CB$87,Formula!B81,12)),IF((Formula!D81)=87,10^6,INDEX(Properties!A$1:CB$87,Formula!D81,12)),IF((Formula!F81)=87,10^6,INDEX(Properties!A$1:CB$87,Formula!F81,12)),IF((Formula!H81)=87,10^6,INDEX(Properties!A$1:CB$87,Formula!H81,12)),IF(Formula!J81=87,10^6,INDEX(Properties!A$1:CB$87,Formula!J81,12)))</f>
        <v>0</v>
      </c>
      <c r="AW81" s="78">
        <f t="shared" si="39"/>
        <v>4</v>
      </c>
      <c r="AX81" s="45">
        <f>((Formula!C81)/(Formula!C81+Formula!E81+Formula!G81+Formula!I81+Formula!K81))*(INDEX(Properties!A$1:CB$87,Formula!B81,13))+((Formula!E81)/(Formula!C81+Formula!E81+Formula!G81+Formula!I81+Formula!K81))*(INDEX(Properties!A$1:CB$87,Formula!D81,13))+((Formula!G81)/(Formula!C81+Formula!E81+Formula!G81+Formula!I81+Formula!K81))*(INDEX(Properties!A$1:CB$87,Formula!F81,13))+((Formula!I81)/(Formula!C81+Formula!E81+Formula!G81+Formula!I81+Formula!K81))*(INDEX(Properties!A$1:CB$87,Formula!H81,13))+((Formula!K81)/(Formula!C81+Formula!E81+Formula!G81+Formula!I81+Formula!K81))*(INDEX(Properties!A$1:CB$87,Formula!J81,13))</f>
        <v>2.0588235294117649</v>
      </c>
      <c r="AY81" s="45">
        <f>Formula!C81*(INDEX(Properties!A$1:CB$87,Formula!B81,13))+Formula!E81*(INDEX(Properties!A$1:CB$87,Formula!D81,13))+Formula!G81*(INDEX(Properties!A$1:CB$87,Formula!F81,13))+Formula!I81*(INDEX(Properties!A$1:CB$87,Formula!H81,13))+Formula!K81*(INDEX(Properties!A$1:CB$87,Formula!J81,13))</f>
        <v>35</v>
      </c>
      <c r="AZ81" s="45">
        <f>VARP(IF(INDEX(Properties!A$1:CB$87,Formula!B81,13)&lt;&gt;"",INDEX(Properties!A$1:CB$87,Formula!B81,13)),IF(INDEX(Properties!A$1:CB$87,Formula!D81,13)&lt;&gt;"",INDEX(Properties!A$1:CB$87,Formula!D81,13)),IF(INDEX(Properties!A$1:CB$87,Formula!F81,13)&lt;&gt;"",INDEX(Properties!A$1:CB$87,Formula!F81,13)),IF(INDEX(Properties!A$1:CB$87,Formula!H81,13)&lt;&gt;"",INDEX(Properties!A$1:CB$87,Formula!H81,13)),IF(INDEX(Properties!A$1:CB$87,Formula!J81,13)&lt;&gt;"",INDEX(Properties!A$1:CB$87,Formula!J81,13)))</f>
        <v>16</v>
      </c>
      <c r="BA81" s="45">
        <f>MAX(INDEX(Properties!A$1:CB$87,Formula!B81,13),INDEX(Properties!A$1:CB$87,Formula!D81,13),INDEX(Properties!A$1:CB$87,Formula!F81,13),INDEX(Properties!A$1:CB$87,Formula!H81,13),INDEX(Properties!A$1:CB$87,Formula!J81,13))</f>
        <v>10</v>
      </c>
      <c r="BB81" s="45">
        <f>MIN(IF(Formula!B81=87,10^6,INDEX(Properties!A$1:CB$87,Formula!B81,13)),IF((Formula!D81)=87,10^6,INDEX(Properties!A$1:CB$87,Formula!D81,13)),IF((Formula!F81)=87,10^6,INDEX(Properties!A$1:CB$87,Formula!F81,13)),IF((Formula!H81)=87,10^6,INDEX(Properties!A$1:CB$87,Formula!H81,13)),IF(Formula!J81=87,10^6,INDEX(Properties!A$1:CB$87,Formula!J81,13)))</f>
        <v>0</v>
      </c>
      <c r="BC81" s="45">
        <f t="shared" si="40"/>
        <v>10</v>
      </c>
      <c r="BD81" s="63">
        <f>((Formula!C81)/(Formula!C81+Formula!E81+Formula!G81+Formula!I81+Formula!K81))*(INDEX(Properties!A$1:CB$87,Formula!B81,14))+((Formula!E81)/(Formula!C81+Formula!E81+Formula!G81+Formula!I81+Formula!K81))*(INDEX(Properties!A$1:CB$87,Formula!D81,14))+((Formula!G81)/(Formula!C81+Formula!E81+Formula!G81+Formula!I81+Formula!K81))*(INDEX(Properties!A$1:CB$87,Formula!F81,14))+((Formula!I81)/(Formula!C81+Formula!E81+Formula!G81+Formula!I81+Formula!K81))*(INDEX(Properties!A$1:CB$87,Formula!H81,14))+((Formula!K81)/(Formula!C81+Formula!E81+Formula!G81+Formula!I81+Formula!K81))*(INDEX(Properties!A$1:CB$87,Formula!J81,14))</f>
        <v>1.6470588235294117</v>
      </c>
      <c r="BE81" s="63">
        <f>Formula!C81*(INDEX(Properties!A$1:CB$87,Formula!B81,14))+Formula!E81*(INDEX(Properties!A$1:CB$87,Formula!D81,14))+Formula!G81*(INDEX(Properties!A$1:CB$87,Formula!F81,14))+Formula!I81*(INDEX(Properties!A$1:CB$87,Formula!H81,14))+Formula!K81*(INDEX(Properties!A$1:CB$87,Formula!J81,14))</f>
        <v>28</v>
      </c>
      <c r="BF81" s="63">
        <f>VARP(IF(INDEX(Properties!A$1:CB$87,Formula!B81,14)&lt;&gt;"",INDEX(Properties!A$1:CB$87,Formula!B81,14)),IF(INDEX(Properties!A$1:CB$87,Formula!D81,14)&lt;&gt;"",INDEX(Properties!A$1:CB$87,Formula!D81,14)),IF(INDEX(Properties!A$1:CB$87,Formula!F81,14)&lt;&gt;"",INDEX(Properties!A$1:CB$87,Formula!F81,14)),IF(INDEX(Properties!A$1:CB$87,Formula!H81,14)&lt;&gt;"",INDEX(Properties!A$1:CB$87,Formula!H81,14)),IF(INDEX(Properties!A$1:CB$87,Formula!J81,14)&lt;&gt;"",INDEX(Properties!A$1:CB$87,Formula!J81,14)))</f>
        <v>31.36</v>
      </c>
      <c r="BG81" s="63">
        <f>MAX(INDEX(Properties!A$1:CB$87,Formula!B81,14),INDEX(Properties!A$1:CB$87,Formula!D81,14),INDEX(Properties!A$1:CB$87,Formula!F81,14),INDEX(Properties!A$1:CB$87,Formula!H81,14),INDEX(Properties!A$1:CB$87,Formula!J81,14))</f>
        <v>14</v>
      </c>
      <c r="BH81" s="63">
        <f>MIN(IF(Formula!B81=87,10^6,INDEX(Properties!A$1:CB$87,Formula!B81,14)),IF((Formula!D81)=87,10^6,INDEX(Properties!A$1:CB$87,Formula!D81,14)),IF((Formula!F81)=87,10^6,INDEX(Properties!A$1:CB$87,Formula!F81,14)),IF((Formula!H81)=87,10^6,INDEX(Properties!A$1:CB$87,Formula!H81,14)),IF(Formula!J81=87,10^6,INDEX(Properties!A$1:CB$87,Formula!J81,14)))</f>
        <v>0</v>
      </c>
      <c r="BI81" s="63">
        <f t="shared" si="41"/>
        <v>14</v>
      </c>
      <c r="BJ81" s="75">
        <f>((Formula!C81)/(Formula!C81+Formula!E81+Formula!G81+Formula!I81+Formula!K81))*(INDEX(Properties!A$1:CB$87,Formula!B81,19))+((Formula!E81)/(Formula!C81+Formula!E81+Formula!G81+Formula!I81+Formula!K81))*(INDEX(Properties!A$1:CB$87,Formula!D81,19))+((Formula!G81)/(Formula!C81+Formula!E81+Formula!G81+Formula!I81+Formula!K81))*(INDEX(Properties!A$1:CB$87,Formula!F81,19))+((Formula!I81)/(Formula!C81+Formula!E81+Formula!G81+Formula!I81+Formula!K81))*(INDEX(Properties!A$1:CB$87,Formula!H81,19))+((Formula!K81)/(Formula!C81+Formula!E81+Formula!G81+Formula!I81+Formula!K81))*(INDEX(Properties!A$1:CB$87,Formula!J81,19))</f>
        <v>8.7058823529411775</v>
      </c>
      <c r="BK81" s="75">
        <f>Formula!C81*(INDEX(Properties!A$1:CB$87,Formula!B81,19))+Formula!E81*(INDEX(Properties!A$1:CB$87,Formula!D81,19))+Formula!G81*(INDEX(Properties!A$1:CB$87,Formula!F81,19))+Formula!I81*(INDEX(Properties!A$1:CB$87,Formula!H81,19))+Formula!K81*(INDEX(Properties!A$1:CB$87,Formula!J81,19))</f>
        <v>148</v>
      </c>
      <c r="BL81" s="75">
        <f>VARP(IF(INDEX(Properties!A$1:CB$87,Formula!B81,19)&lt;&gt;"",INDEX(Properties!A$1:CB$87,Formula!B81,19)),IF(INDEX(Properties!A$1:CB$87,Formula!D81,19)&lt;&gt;"",INDEX(Properties!A$1:CB$87,Formula!D81,19)),IF(INDEX(Properties!A$1:CB$87,Formula!F81,19)&lt;&gt;"",INDEX(Properties!A$1:CB$87,Formula!F81,19)),IF(INDEX(Properties!A$1:CB$87,Formula!H81,19)&lt;&gt;"",INDEX(Properties!A$1:CB$87,Formula!H81,19)),IF(INDEX(Properties!A$1:CB$87,Formula!J81,19)&lt;&gt;"",INDEX(Properties!A$1:CB$87,Formula!J81,19)))</f>
        <v>115.36</v>
      </c>
      <c r="BM81" s="75">
        <f>MAX(INDEX(Properties!A$1:CB$87,Formula!B81,19),INDEX(Properties!A$1:CB$87,Formula!D81,19),INDEX(Properties!A$1:CB$87,Formula!F81,19),INDEX(Properties!A$1:CB$87,Formula!H81,19),INDEX(Properties!A$1:CB$87,Formula!J81,19))</f>
        <v>29</v>
      </c>
      <c r="BN81" s="75">
        <f>MIN(IF(INDEX(Properties!A$1:CB$87,Formula!B81,19)=0,10^6,INDEX(Properties!A$1:CB$87,Formula!B81,19)),IF(INDEX(Properties!A$1:CB$87,Formula!D81,19)=0,10^6,INDEX(Properties!A$1:CB$87,Formula!D81,19)),IF(INDEX(Properties!A$1:CB$87,Formula!F81,19)=0,10^6,INDEX(Properties!A$1:CB$87,Formula!F81,19)),IF(INDEX(Properties!A$1:CB$87,Formula!H81,19)=0,10^6,INDEX(Properties!A$1:CB$87,Formula!H81,19)),IF(INDEX(Properties!A$1:CB$87,Formula!J81,19)=0,10^6,INDEX(Properties!A$1:CB$87,Formula!J81,19)))</f>
        <v>6</v>
      </c>
      <c r="BO81" s="75">
        <f t="shared" si="42"/>
        <v>23</v>
      </c>
      <c r="BP81" s="48">
        <f>((Formula!C81)/(Formula!C81+Formula!E81+Formula!G81+Formula!I81+Formula!K81))*(INDEX(Properties!A$1:CB$87,Formula!B81,20))+((Formula!E81)/(Formula!C81+Formula!E81+Formula!G81+Formula!I81+Formula!K81))*(INDEX(Properties!A$1:CB$87,Formula!D81,20))+((Formula!G81)/(Formula!C81+Formula!E81+Formula!G81+Formula!I81+Formula!K81))*(INDEX(Properties!A$1:CB$87,Formula!F81,20))+((Formula!I81)/(Formula!C81+Formula!E81+Formula!G81+Formula!I81+Formula!K81))*(INDEX(Properties!A$1:CB$87,Formula!H81,20))+((Formula!K81)/(Formula!C81+Formula!E81+Formula!G81+Formula!I81+Formula!K81))*(INDEX(Properties!A$1:CB$87,Formula!J81,20))</f>
        <v>5</v>
      </c>
      <c r="BQ81" s="48">
        <f>Formula!C81*(INDEX(Properties!A$1:CB$87,Formula!B81,20))+Formula!E81*(INDEX(Properties!A$1:CB$87,Formula!D81,20))+Formula!G81*(INDEX(Properties!A$1:CB$87,Formula!F81,20))+Formula!I81*(INDEX(Properties!A$1:CB$87,Formula!H81,20))+Formula!K81*(INDEX(Properties!A$1:CB$87,Formula!J81,20))</f>
        <v>85</v>
      </c>
      <c r="BR81" s="48">
        <f>VARP(IF(INDEX(Properties!A$1:CB$87,Formula!B81,20)&lt;&gt;"",INDEX(Properties!A$1:CB$87,Formula!B81,20)),IF(INDEX(Properties!A$1:CB$87,Formula!D81,20)&lt;&gt;"",INDEX(Properties!A$1:CB$87,Formula!D81,20)),IF(INDEX(Properties!A$1:CB$87,Formula!F81,20)&lt;&gt;"",INDEX(Properties!A$1:CB$87,Formula!F81,20)),IF(INDEX(Properties!A$1:CB$87,Formula!H81,20)&lt;&gt;"",INDEX(Properties!A$1:CB$87,Formula!H81,20)),IF(INDEX(Properties!A$1:CB$87,Formula!J81,20)&lt;&gt;"",INDEX(Properties!A$1:CB$87,Formula!J81,20)))</f>
        <v>6.64</v>
      </c>
      <c r="BS81" s="48">
        <f>MAX(INDEX(Properties!A$1:CB$87,Formula!B81,20),INDEX(Properties!A$1:CB$87,Formula!D81,20),INDEX(Properties!A$1:CB$87,Formula!F81,20),INDEX(Properties!A$1:CB$87,Formula!H81,20),INDEX(Properties!A$1:CB$87,Formula!J81,20))</f>
        <v>6</v>
      </c>
      <c r="BT81" s="48">
        <f>MIN(IF(INDEX(Properties!A$1:CB$87,Formula!B81,20)=0,10^6,INDEX(Properties!A$1:CB$87,Formula!B81,20)),IF(INDEX(Properties!A$1:CB$87,Formula!D81,20)=0,10^6,INDEX(Properties!A$1:CB$87,Formula!D81,20)),IF(INDEX(Properties!A$1:CB$87,Formula!F81,20)=0,10^6,INDEX(Properties!A$1:CB$87,Formula!F81,20)),IF(INDEX(Properties!A$1:CB$87,Formula!H81,20)=0,10^6,INDEX(Properties!A$1:CB$87,Formula!H81,20)),IF(INDEX(Properties!A$1:CB$87,Formula!J81,20)=0,10^6,INDEX(Properties!A$1:CB$87,Formula!J81,20)))</f>
        <v>1</v>
      </c>
      <c r="BU81" s="48">
        <f t="shared" si="43"/>
        <v>5</v>
      </c>
      <c r="BV81" s="66">
        <f>((Formula!C81)/(Formula!C81+Formula!E81+Formula!G81+Formula!I81+Formula!K81))*(INDEX(Properties!A$1:CB$87,Formula!B81,21))+((Formula!E81)/(Formula!C81+Formula!E81+Formula!G81+Formula!I81+Formula!K81))*(INDEX(Properties!A$1:CB$87,Formula!D81,21))+((Formula!G81)/(Formula!C81+Formula!E81+Formula!G81+Formula!I81+Formula!K81))*(INDEX(Properties!A$1:CB$87,Formula!F81,21))+((Formula!I81)/(Formula!C81+Formula!E81+Formula!G81+Formula!I81+Formula!K81))*(INDEX(Properties!A$1:CB$87,Formula!H81,21))+((Formula!K81)/(Formula!C81+Formula!E81+Formula!G81+Formula!I81+Formula!K81))*(INDEX(Properties!A$1:CB$87,Formula!J81,21))</f>
        <v>5.5294117647058822</v>
      </c>
      <c r="BW81" s="66">
        <f>Formula!C81*(INDEX(Properties!A$1:CB$87,Formula!B81,21))+Formula!E81*(INDEX(Properties!A$1:CB$87,Formula!D81,21))+Formula!G81*(INDEX(Properties!A$1:CB$87,Formula!F81,21))+Formula!I81*(INDEX(Properties!A$1:CB$87,Formula!H81,21))+Formula!K81*(INDEX(Properties!A$1:CB$87,Formula!J81,21))</f>
        <v>94</v>
      </c>
      <c r="BX81" s="66">
        <f>VARP(IF(INDEX(Properties!A$1:CB$87,Formula!B81,21)&lt;&gt;"",INDEX(Properties!A$1:CB$87,Formula!B81,21)),IF(INDEX(Properties!A$1:CB$87,Formula!D81,21)&lt;&gt;"",INDEX(Properties!A$1:CB$87,Formula!D81,21)),IF(INDEX(Properties!A$1:CB$87,Formula!F81,21)&lt;&gt;"",INDEX(Properties!A$1:CB$87,Formula!F81,21)),IF(INDEX(Properties!A$1:CB$87,Formula!H81,21)&lt;&gt;"",INDEX(Properties!A$1:CB$87,Formula!H81,21)),IF(INDEX(Properties!A$1:CB$87,Formula!J81,21)&lt;&gt;"",INDEX(Properties!A$1:CB$87,Formula!J81,21)))</f>
        <v>6.4</v>
      </c>
      <c r="BY81" s="66">
        <f>MAX(INDEX(Properties!A$1:CB$87,Formula!B81,21),INDEX(Properties!A$1:CB$87,Formula!D81,21),INDEX(Properties!A$1:CB$87,Formula!F81,21),INDEX(Properties!A$1:CB$87,Formula!H81,21),INDEX(Properties!A$1:CB$87,Formula!J81,21))</f>
        <v>6</v>
      </c>
      <c r="BZ81" s="66">
        <f>MIN(IF(INDEX(Properties!A$1:CB$87,Formula!B81,21)=0,10^6,INDEX(Properties!A$1:CB$87,Formula!B81,21)),IF(INDEX(Properties!A$1:CB$87,Formula!D81,21)=0,10^6,INDEX(Properties!A$1:CB$87,Formula!D81,21)),IF(INDEX(Properties!A$1:CB$87,Formula!F81,21)=0,10^6,INDEX(Properties!A$1:CB$87,Formula!F81,21)),IF(INDEX(Properties!A$1:CB$87,Formula!H81,21)=0,10^6,INDEX(Properties!A$1:CB$87,Formula!H81,21)),IF(INDEX(Properties!A$1:CB$87,Formula!J81,21)=0,10^6,INDEX(Properties!A$1:CB$87,Formula!J81,21)))</f>
        <v>4</v>
      </c>
      <c r="CA81" s="66">
        <f t="shared" si="44"/>
        <v>2</v>
      </c>
      <c r="CB81" s="81">
        <f>((Formula!C81)/(Formula!C81+Formula!E81+Formula!G81+Formula!I81+Formula!K81))*(INDEX(Properties!A$1:CB$87,Formula!B81,23))+((Formula!E81)/(Formula!C81+Formula!E81+Formula!G81+Formula!I81+Formula!K81))*(INDEX(Properties!A$1:CB$87,Formula!D81,23))+((Formula!G81)/(Formula!C81+Formula!E81+Formula!G81+Formula!I81+Formula!K81))*(INDEX(Properties!A$1:CB$87,Formula!F81,23))+((Formula!I81)/(Formula!C81+Formula!E81+Formula!G81+Formula!I81+Formula!K81))*(INDEX(Properties!A$1:CB$87,Formula!H81,23))+((Formula!K81)/(Formula!C81+Formula!E81+Formula!G81+Formula!I81+Formula!K81))*(INDEX(Properties!A$1:CB$87,Formula!J81,23))</f>
        <v>1.3729411764705883</v>
      </c>
      <c r="CC81" s="81">
        <f>Formula!C81*(INDEX(Properties!A$1:CB$87,Formula!B81,23))+Formula!E81*(INDEX(Properties!A$1:CB$87,Formula!D81,23))+Formula!G81*(INDEX(Properties!A$1:CB$87,Formula!F81,23))+Formula!I81*(INDEX(Properties!A$1:CB$87,Formula!H81,23))+Formula!K81*(INDEX(Properties!A$1:CB$87,Formula!J81,23))</f>
        <v>23.34</v>
      </c>
      <c r="CD81" s="81">
        <f>VARP(IF(INDEX(Properties!A$1:CB$87,Formula!B81,23)&lt;&gt;"",INDEX(Properties!A$1:CB$87,Formula!B81,23)),IF(INDEX(Properties!A$1:CB$87,Formula!D81,23)&lt;&gt;"",INDEX(Properties!A$1:CB$87,Formula!D81,23)),IF(INDEX(Properties!A$1:CB$87,Formula!F81,23)&lt;&gt;"",INDEX(Properties!A$1:CB$87,Formula!F81,23)),IF(INDEX(Properties!A$1:CB$87,Formula!H81,23)&lt;&gt;"",INDEX(Properties!A$1:CB$87,Formula!H81,23)),IF(INDEX(Properties!A$1:CB$87,Formula!J81,23)&lt;&gt;"",INDEX(Properties!A$1:CB$87,Formula!J81,23)))</f>
        <v>5.3981439999999994</v>
      </c>
      <c r="CE81" s="81">
        <f>MAX(INDEX(Properties!A$1:CB$87,Formula!B81,23),INDEX(Properties!A$1:CB$87,Formula!D81,23),INDEX(Properties!A$1:CB$87,Formula!F81,23),INDEX(Properties!A$1:CB$87,Formula!H81,23),INDEX(Properties!A$1:CB$87,Formula!J81,23))</f>
        <v>5.78</v>
      </c>
      <c r="CF81" s="81">
        <f>MIN(IF(Formula!B81=87,10^6,INDEX(Properties!A$1:CB$87,Formula!B81,23)),IF((Formula!D81)=87,10^6,INDEX(Properties!A$1:CB$87,Formula!D81,23)),IF((Formula!F81)=87,10^6,INDEX(Properties!A$1:CB$87,Formula!F81,23)),IF((Formula!H81)=87,10^6,INDEX(Properties!A$1:CB$87,Formula!H81,23)),IF(Formula!J81=87,10^6,INDEX(Properties!A$1:CB$87,Formula!J81,23)))</f>
        <v>0</v>
      </c>
      <c r="CG81" s="81">
        <f t="shared" si="45"/>
        <v>5.78</v>
      </c>
      <c r="CH81" s="39">
        <f>((Formula!C81)/(Formula!C81+Formula!E81+Formula!G81+Formula!I81+Formula!K81))*(INDEX(Properties!A$1:CB$87,Formula!B81,26))+((Formula!E81)/(Formula!C81+Formula!E81+Formula!G81+Formula!I81+Formula!K81))*(INDEX(Properties!A$1:CB$87,Formula!D81,26))+((Formula!G81)/(Formula!C81+Formula!E81+Formula!G81+Formula!I81+Formula!K81))*(INDEX(Properties!A$1:CB$87,Formula!F81,26))+((Formula!I81)/(Formula!C81+Formula!E81+Formula!G81+Formula!I81+Formula!K81))*(INDEX(Properties!A$1:CB$87,Formula!H81,26))+((Formula!K81)/(Formula!C81+Formula!E81+Formula!G81+Formula!I81+Formula!K81))*(INDEX(Properties!A$1:CB$87,Formula!J81,26))</f>
        <v>11.721494117647058</v>
      </c>
      <c r="CI81" s="39">
        <f>Formula!C81*(INDEX(Properties!A$1:CB$87,Formula!B81,26))+Formula!E81*(INDEX(Properties!A$1:CB$87,Formula!D81,26))+Formula!G81*(INDEX(Properties!A$1:CB$87,Formula!F81,26))+Formula!I81*(INDEX(Properties!A$1:CB$87,Formula!H81,26))+Formula!K81*(INDEX(Properties!A$1:CB$87,Formula!J81,26))</f>
        <v>199.2654</v>
      </c>
      <c r="CJ81" s="39">
        <f>VARP(IF(INDEX(Properties!A$1:CB$87,Formula!B81,26)&lt;&gt;"",INDEX(Properties!A$1:CB$87,Formula!B81,26)),IF(INDEX(Properties!A$1:CB$87,Formula!D81,26)&lt;&gt;"",INDEX(Properties!A$1:CB$87,Formula!D81,26)),IF(INDEX(Properties!A$1:CB$87,Formula!F81,26)&lt;&gt;"",INDEX(Properties!A$1:CB$87,Formula!F81,26)),IF(INDEX(Properties!A$1:CB$87,Formula!H81,26)&lt;&gt;"",INDEX(Properties!A$1:CB$87,Formula!H81,26)),IF(INDEX(Properties!A$1:CB$87,Formula!J81,26)&lt;&gt;"",INDEX(Properties!A$1:CB$87,Formula!J81,26)))</f>
        <v>26.415618483999992</v>
      </c>
      <c r="CK81" s="39">
        <f>MAX(INDEX(Properties!A$1:CB$87,Formula!B81,26),INDEX(Properties!A$1:CB$87,Formula!D81,26),INDEX(Properties!A$1:CB$87,Formula!F81,26),INDEX(Properties!A$1:CB$87,Formula!H81,26),INDEX(Properties!A$1:CB$87,Formula!J81,26))</f>
        <v>13.6181</v>
      </c>
      <c r="CL81" s="39">
        <f>MIN(IF(INDEX(Properties!A$1:CB$87,Formula!B81,26)=0,10^6,INDEX(Properties!A$1:CB$87,Formula!B81,26)),IF(INDEX(Properties!A$1:CB$87,Formula!D81,26)=0,10^6,INDEX(Properties!A$1:CB$87,Formula!D81,26)),IF(INDEX(Properties!A$1:CB$87,Formula!F81,26)=0,10^6,INDEX(Properties!A$1:CB$87,Formula!F81,26)),IF(INDEX(Properties!A$1:CB$87,Formula!H81,26)=0,10^6,INDEX(Properties!A$1:CB$87,Formula!H81,26)),IF(INDEX(Properties!A$1:CB$87,Formula!J81,26)=0,10^6,INDEX(Properties!A$1:CB$87,Formula!J81,26)))</f>
        <v>7.0923999999999996</v>
      </c>
      <c r="CM81" s="39">
        <f t="shared" si="46"/>
        <v>6.5257000000000005</v>
      </c>
      <c r="CN81" s="54">
        <f>((Formula!C81)/(Formula!C81+Formula!E81+Formula!G81+Formula!I81+Formula!K81))*(INDEX(Properties!A$1:CB$87,Formula!B81,30))+((Formula!E81)/(Formula!C81+Formula!E81+Formula!G81+Formula!I81+Formula!K81))*(INDEX(Properties!A$1:CB$87,Formula!D81,30))+((Formula!G81)/(Formula!C81+Formula!E81+Formula!G81+Formula!I81+Formula!K81))*(INDEX(Properties!A$1:CB$87,Formula!F81,30))+((Formula!I81)/(Formula!C81+Formula!E81+Formula!G81+Formula!I81+Formula!K81))*(INDEX(Properties!A$1:CB$87,Formula!H81,30))+((Formula!K81)/(Formula!C81+Formula!E81+Formula!G81+Formula!I81+Formula!K81))*(INDEX(Properties!A$1:CB$87,Formula!J81,30))</f>
        <v>3.0470588235294116</v>
      </c>
      <c r="CO81" s="54">
        <f>Formula!C81*(INDEX(Properties!A$1:CB$87,Formula!B81,30))+Formula!E81*(INDEX(Properties!A$1:CB$87,Formula!D81,30))+Formula!G81*(INDEX(Properties!A$1:CB$87,Formula!F81,30))+Formula!I81*(INDEX(Properties!A$1:CB$87,Formula!H81,30))+Formula!K81*(INDEX(Properties!A$1:CB$87,Formula!J81,30))</f>
        <v>51.8</v>
      </c>
      <c r="CP81" s="54">
        <f>VARP(IF(INDEX(Properties!A$1:CB$87,Formula!B81,30)&lt;&gt;"",INDEX(Properties!A$1:CB$87,Formula!B81,30)),IF(INDEX(Properties!A$1:CB$87,Formula!D81,30)&lt;&gt;"",INDEX(Properties!A$1:CB$87,Formula!D81,30)),IF(INDEX(Properties!A$1:CB$87,Formula!F81,30)&lt;&gt;"",INDEX(Properties!A$1:CB$87,Formula!F81,30)),IF(INDEX(Properties!A$1:CB$87,Formula!H81,30)&lt;&gt;"",INDEX(Properties!A$1:CB$87,Formula!H81,30)),IF(INDEX(Properties!A$1:CB$87,Formula!J81,30)&lt;&gt;"",INDEX(Properties!A$1:CB$87,Formula!J81,30)))</f>
        <v>1.7933440000000005</v>
      </c>
      <c r="CQ81" s="54">
        <f>MAX(INDEX(Properties!A$1:CB$87,Formula!B81,30),INDEX(Properties!A$1:CB$87,Formula!D81,30),INDEX(Properties!A$1:CB$87,Formula!F81,30),INDEX(Properties!A$1:CB$87,Formula!H81,30),INDEX(Properties!A$1:CB$87,Formula!J81,30))</f>
        <v>3.44</v>
      </c>
      <c r="CR81" s="54">
        <f>MIN(IF(INDEX(Properties!A$1:CB$87,Formula!B81,30)=0,10^6,INDEX(Properties!A$1:CB$87,Formula!B81,30)),IF(INDEX(Properties!A$1:CB$87,Formula!D81,30)=0,10^6,INDEX(Properties!A$1:CB$87,Formula!D81,30)),IF(INDEX(Properties!A$1:CB$87,Formula!F81,30)=0,10^6,INDEX(Properties!A$1:CB$87,Formula!F81,30)),IF(INDEX(Properties!A$1:CB$87,Formula!H81,30)=0,10^6,INDEX(Properties!A$1:CB$87,Formula!H81,30)),IF(INDEX(Properties!A$1:CB$87,Formula!J81,30)=0,10^6,INDEX(Properties!A$1:CB$87,Formula!J81,30)))</f>
        <v>2.02</v>
      </c>
      <c r="CS81" s="54">
        <f t="shared" si="47"/>
        <v>1.42</v>
      </c>
      <c r="CT81" s="69">
        <f>((Formula!C81)/(Formula!C81+Formula!E81+Formula!G81+Formula!I81+Formula!K81))*(INDEX(Properties!A$1:CB$87,Formula!B81,31))+((Formula!E81)/(Formula!C81+Formula!E81+Formula!G81+Formula!I81+Formula!K81))*(INDEX(Properties!A$1:CB$87,Formula!D81,31))+((Formula!G81)/(Formula!C81+Formula!E81+Formula!G81+Formula!I81+Formula!K81))*(INDEX(Properties!A$1:CB$87,Formula!F81,31))+((Formula!I81)/(Formula!C81+Formula!E81+Formula!G81+Formula!I81+Formula!K81))*(INDEX(Properties!A$1:CB$87,Formula!H81,31))+((Formula!K81)/(Formula!C81+Formula!E81+Formula!G81+Formula!I81+Formula!K81))*(INDEX(Properties!A$1:CB$87,Formula!J81,31))</f>
        <v>2.9376470588235297</v>
      </c>
      <c r="CU81" s="69">
        <f>Formula!C81*(INDEX(Properties!A$1:CB$87,Formula!B81,31))+Formula!E81*(INDEX(Properties!A$1:CB$87,Formula!D81,31))+Formula!G81*(INDEX(Properties!A$1:CB$87,Formula!F81,31))+Formula!I81*(INDEX(Properties!A$1:CB$87,Formula!H81,31))+Formula!K81*(INDEX(Properties!A$1:CB$87,Formula!J81,31))</f>
        <v>49.94</v>
      </c>
      <c r="CV81" s="69">
        <f>VARP(IF(INDEX(Properties!A$1:CB$87,Formula!B81,31)&lt;&gt;"",INDEX(Properties!A$1:CB$87,Formula!B81,31)),IF(INDEX(Properties!A$1:CB$87,Formula!D81,31)&lt;&gt;"",INDEX(Properties!A$1:CB$87,Formula!D81,31)),IF(INDEX(Properties!A$1:CB$87,Formula!F81,31)&lt;&gt;"",INDEX(Properties!A$1:CB$87,Formula!F81,31)),IF(INDEX(Properties!A$1:CB$87,Formula!H81,31)&lt;&gt;"",INDEX(Properties!A$1:CB$87,Formula!H81,31)),IF(INDEX(Properties!A$1:CB$87,Formula!J81,31)&lt;&gt;"",INDEX(Properties!A$1:CB$87,Formula!J81,31)))</f>
        <v>1.68272</v>
      </c>
      <c r="CW81" s="69">
        <f>MAX(INDEX(Properties!A$1:CB$87,Formula!B81,31),INDEX(Properties!A$1:CB$87,Formula!D81,31),INDEX(Properties!A$1:CB$87,Formula!F81,31),INDEX(Properties!A$1:CB$87,Formula!H81,31),INDEX(Properties!A$1:CB$87,Formula!J81,31))</f>
        <v>3.32</v>
      </c>
      <c r="CX81" s="69">
        <f>MIN(IF(INDEX(Properties!A$1:CB$87,Formula!B81,31)=0,10^6,INDEX(Properties!A$1:CB$87,Formula!B81,31)),IF(INDEX(Properties!A$1:CB$87,Formula!D81,31)=0,10^6,INDEX(Properties!A$1:CB$87,Formula!D81,31)),IF(INDEX(Properties!A$1:CB$87,Formula!F81,31)=0,10^6,INDEX(Properties!A$1:CB$87,Formula!F81,31)),IF(INDEX(Properties!A$1:CB$87,Formula!H81,31)=0,10^6,INDEX(Properties!A$1:CB$87,Formula!H81,31)),IF(INDEX(Properties!A$1:CB$87,Formula!J81,31)=0,10^6,INDEX(Properties!A$1:CB$87,Formula!J81,31)))</f>
        <v>1.94</v>
      </c>
      <c r="CY81" s="69">
        <f t="shared" si="48"/>
        <v>1.38</v>
      </c>
      <c r="CZ81" s="42">
        <f>((Formula!C81)/(Formula!C81+Formula!E81+Formula!G81+Formula!I81+Formula!K81))*(INDEX(Properties!A$1:CB$87,Formula!B81,32))+((Formula!E81)/(Formula!C81+Formula!E81+Formula!G81+Formula!I81+Formula!K81))*(INDEX(Properties!A$1:CB$87,Formula!D81,32))+((Formula!G81)/(Formula!C81+Formula!E81+Formula!G81+Formula!I81+Formula!K81))*(INDEX(Properties!A$1:CB$87,Formula!F81,32))+((Formula!I81)/(Formula!C81+Formula!E81+Formula!G81+Formula!I81+Formula!K81))*(INDEX(Properties!A$1:CB$87,Formula!H81,32))+((Formula!K81)/(Formula!C81+Formula!E81+Formula!G81+Formula!I81+Formula!K81))*(INDEX(Properties!A$1:CB$87,Formula!J81,32))</f>
        <v>6.5623529411764716</v>
      </c>
      <c r="DA81" s="42">
        <f>Formula!C81*(INDEX(Properties!A$1:CB$87,Formula!B81,32))+Formula!E81*(INDEX(Properties!A$1:CB$87,Formula!D81,32))+Formula!G81*(INDEX(Properties!A$1:CB$87,Formula!F81,32))+Formula!I81*(INDEX(Properties!A$1:CB$87,Formula!H81,32))+Formula!K81*(INDEX(Properties!A$1:CB$87,Formula!J81,32))</f>
        <v>111.56</v>
      </c>
      <c r="DB81" s="42">
        <f>VARP(IF(INDEX(Properties!A$1:CB$87,Formula!B81,32)&lt;&gt;"",INDEX(Properties!A$1:CB$87,Formula!B81,32)),IF(INDEX(Properties!A$1:CB$87,Formula!D81,32)&lt;&gt;"",INDEX(Properties!A$1:CB$87,Formula!D81,32)),IF(INDEX(Properties!A$1:CB$87,Formula!F81,32)&lt;&gt;"",INDEX(Properties!A$1:CB$87,Formula!F81,32)),IF(INDEX(Properties!A$1:CB$87,Formula!H81,32)&lt;&gt;"",INDEX(Properties!A$1:CB$87,Formula!H81,32)),IF(INDEX(Properties!A$1:CB$87,Formula!J81,32)&lt;&gt;"",INDEX(Properties!A$1:CB$87,Formula!J81,32)))</f>
        <v>8.4044640000000008</v>
      </c>
      <c r="DC81" s="42">
        <f>MAX(INDEX(Properties!A$1:CB$87,Formula!B81,32),INDEX(Properties!A$1:CB$87,Formula!D81,32),INDEX(Properties!A$1:CB$87,Formula!F81,32),INDEX(Properties!A$1:CB$87,Formula!H81,32),INDEX(Properties!A$1:CB$87,Formula!J81,32))</f>
        <v>7.54</v>
      </c>
      <c r="DD81" s="42">
        <f>MIN(IF(INDEX(Properties!A$1:CB$87,Formula!B81,32)=0,10^6,INDEX(Properties!A$1:CB$87,Formula!B81,32)),IF(INDEX(Properties!A$1:CB$87,Formula!D81,32)=0,10^6,INDEX(Properties!A$1:CB$87,Formula!D81,32)),IF(INDEX(Properties!A$1:CB$87,Formula!F81,32)=0,10^6,INDEX(Properties!A$1:CB$87,Formula!F81,32)),IF(INDEX(Properties!A$1:CB$87,Formula!H81,32)=0,10^6,INDEX(Properties!A$1:CB$87,Formula!H81,32)),IF(INDEX(Properties!A$1:CB$87,Formula!J81,32)=0,10^6,INDEX(Properties!A$1:CB$87,Formula!J81,32)))</f>
        <v>3.9</v>
      </c>
      <c r="DE81" s="42">
        <f t="shared" si="49"/>
        <v>3.64</v>
      </c>
      <c r="DF81" s="60">
        <f>((Formula!C81)/(Formula!C81+Formula!E81+Formula!G81+Formula!I81+Formula!K81))*(INDEX(Properties!A$1:CB$87,Formula!B81,34))+((Formula!E81)/(Formula!C81+Formula!E81+Formula!G81+Formula!I81+Formula!K81))*(INDEX(Properties!A$1:CB$87,Formula!D81,34))+((Formula!G81)/(Formula!C81+Formula!E81+Formula!G81+Formula!I81+Formula!K81))*(INDEX(Properties!A$1:CB$87,Formula!F81,34))+((Formula!I81)/(Formula!C81+Formula!E81+Formula!G81+Formula!I81+Formula!K81))*(INDEX(Properties!A$1:CB$87,Formula!H81,34))+((Formula!K81)/(Formula!C81+Formula!E81+Formula!G81+Formula!I81+Formula!K81))*(INDEX(Properties!A$1:CB$87,Formula!J81,34))</f>
        <v>3.0441176470588234</v>
      </c>
      <c r="DG81" s="60">
        <f>Formula!C81*(INDEX(Properties!A$1:CB$87,Formula!B81,34))+Formula!E81*(INDEX(Properties!A$1:CB$87,Formula!D81,34))+Formula!G81*(INDEX(Properties!A$1:CB$87,Formula!F81,34))+Formula!I81*(INDEX(Properties!A$1:CB$87,Formula!H81,34))+Formula!K81*(INDEX(Properties!A$1:CB$87,Formula!J81,34))</f>
        <v>51.75</v>
      </c>
      <c r="DH81" s="60">
        <f>VARP(IF(INDEX(Properties!A$1:CB$87,Formula!B81,34)&lt;&gt;"",INDEX(Properties!A$1:CB$87,Formula!B81,34)),IF(INDEX(Properties!A$1:CB$87,Formula!D81,34)&lt;&gt;"",INDEX(Properties!A$1:CB$87,Formula!D81,34)),IF(INDEX(Properties!A$1:CB$87,Formula!F81,34)&lt;&gt;"",INDEX(Properties!A$1:CB$87,Formula!F81,34)),IF(INDEX(Properties!A$1:CB$87,Formula!H81,34)&lt;&gt;"",INDEX(Properties!A$1:CB$87,Formula!H81,34)),IF(INDEX(Properties!A$1:CB$87,Formula!J81,34)&lt;&gt;"",INDEX(Properties!A$1:CB$87,Formula!J81,34)))</f>
        <v>1.8358960000000004</v>
      </c>
      <c r="DI81" s="60">
        <f>MAX(INDEX(Properties!A$1:CB$87,Formula!B81,34),INDEX(Properties!A$1:CB$87,Formula!D81,34),INDEX(Properties!A$1:CB$87,Formula!F81,34),INDEX(Properties!A$1:CB$87,Formula!H81,34),INDEX(Properties!A$1:CB$87,Formula!J81,34))</f>
        <v>3.61</v>
      </c>
      <c r="DJ81" s="60">
        <f>MIN(IF(INDEX(Properties!A$1:CB$87,Formula!B81,34)=0,10^6,INDEX(Properties!A$1:CB$87,Formula!B81,34)),IF(INDEX(Properties!A$1:CB$87,Formula!D81,34)=0,10^6,INDEX(Properties!A$1:CB$87,Formula!D81,34)),IF(INDEX(Properties!A$1:CB$87,Formula!F81,34)=0,10^6,INDEX(Properties!A$1:CB$87,Formula!F81,34)),IF(INDEX(Properties!A$1:CB$87,Formula!H81,34)=0,10^6,INDEX(Properties!A$1:CB$87,Formula!H81,34)),IF(INDEX(Properties!A$1:CB$87,Formula!J81,34)=0,10^6,INDEX(Properties!A$1:CB$87,Formula!J81,34)))</f>
        <v>1.47</v>
      </c>
      <c r="DK81" s="60">
        <f t="shared" si="50"/>
        <v>2.1399999999999997</v>
      </c>
      <c r="DL81" s="45">
        <f>((Formula!C81)/(Formula!C81+Formula!E81+Formula!G81+Formula!I81+Formula!K81))*(INDEX(Properties!A$1:CB$87,Formula!B81,39))+((Formula!E81)/(Formula!C81+Formula!E81+Formula!G81+Formula!I81+Formula!K81))*(INDEX(Properties!A$1:CB$87,Formula!D81,39))+((Formula!G81)/(Formula!C81+Formula!E81+Formula!G81+Formula!I81+Formula!K81))*(INDEX(Properties!A$1:CB$87,Formula!F81,39))+((Formula!I81)/(Formula!C81+Formula!E81+Formula!G81+Formula!I81+Formula!K81))*(INDEX(Properties!A$1:CB$87,Formula!H81,39))+((Formula!K81)/(Formula!C81+Formula!E81+Formula!G81+Formula!I81+Formula!K81))*(INDEX(Properties!A$1:CB$87,Formula!J81,39))</f>
        <v>0.84235294117647053</v>
      </c>
      <c r="DM81" s="45">
        <f>Formula!C81*(INDEX(Properties!A$1:CB$87,Formula!B81,39))+Formula!E81*(INDEX(Properties!A$1:CB$87,Formula!D81,39))+Formula!G81*(INDEX(Properties!A$1:CB$87,Formula!F81,39))+Formula!I81*(INDEX(Properties!A$1:CB$87,Formula!H81,39))+Formula!K81*(INDEX(Properties!A$1:CB$87,Formula!J81,39))</f>
        <v>14.319999999999999</v>
      </c>
      <c r="DN81" s="45">
        <f>VARP(IF(INDEX(Properties!A$1:CB$87,Formula!B81,39)&lt;&gt;"",INDEX(Properties!A$1:CB$87,Formula!B81,39)),IF(INDEX(Properties!A$1:CB$87,Formula!D81,39)&lt;&gt;"",INDEX(Properties!A$1:CB$87,Formula!D81,39)),IF(INDEX(Properties!A$1:CB$87,Formula!F81,39)&lt;&gt;"",INDEX(Properties!A$1:CB$87,Formula!F81,39)),IF(INDEX(Properties!A$1:CB$87,Formula!H81,39)&lt;&gt;"",INDEX(Properties!A$1:CB$87,Formula!H81,39)),IF(INDEX(Properties!A$1:CB$87,Formula!J81,39)&lt;&gt;"",INDEX(Properties!A$1:CB$87,Formula!J81,39)))</f>
        <v>0.59641600000000006</v>
      </c>
      <c r="DO81" s="45">
        <f>MAX(INDEX(Properties!A$1:CB$87,Formula!B81,39),INDEX(Properties!A$1:CB$87,Formula!D81,39),INDEX(Properties!A$1:CB$87,Formula!F81,39),INDEX(Properties!A$1:CB$87,Formula!H81,39),INDEX(Properties!A$1:CB$87,Formula!J81,39))</f>
        <v>1.9</v>
      </c>
      <c r="DP81" s="45">
        <f>MIN(IF(INDEX(Properties!A$1:CB$87,Formula!B81,39)=0,10^6,INDEX(Properties!A$1:CB$87,Formula!B81,39)),IF(INDEX(Properties!A$1:CB$87,Formula!D81,39)=0,10^6,INDEX(Properties!A$1:CB$87,Formula!D81,39)),IF(INDEX(Properties!A$1:CB$87,Formula!F81,39)=0,10^6,INDEX(Properties!A$1:CB$87,Formula!F81,39)),IF(INDEX(Properties!A$1:CB$87,Formula!H81,39)=0,10^6,INDEX(Properties!A$1:CB$87,Formula!H81,39)),IF(INDEX(Properties!A$1:CB$87,Formula!J81,39)=0,10^6,INDEX(Properties!A$1:CB$87,Formula!J81,39)))</f>
        <v>0.48</v>
      </c>
      <c r="DQ81" s="45">
        <f t="shared" si="51"/>
        <v>1.42</v>
      </c>
      <c r="DR81" s="63">
        <f>((Formula!C81)/(Formula!C81+Formula!E81+Formula!G81+Formula!I81+Formula!K81))*(INDEX(Properties!A$1:CB$87,Formula!B81,40))+((Formula!E81)/(Formula!C81+Formula!E81+Formula!G81+Formula!I81+Formula!K81))*(INDEX(Properties!A$1:CB$87,Formula!D81,40))+((Formula!G81)/(Formula!C81+Formula!E81+Formula!G81+Formula!I81+Formula!K81))*(INDEX(Properties!A$1:CB$87,Formula!F81,40))+((Formula!I81)/(Formula!C81+Formula!E81+Formula!G81+Formula!I81+Formula!K81))*(INDEX(Properties!A$1:CB$87,Formula!H81,40))+((Formula!K81)/(Formula!C81+Formula!E81+Formula!G81+Formula!I81+Formula!K81))*(INDEX(Properties!A$1:CB$87,Formula!J81,40))</f>
        <v>0.94294117647058817</v>
      </c>
      <c r="DS81" s="63">
        <f>Formula!C81*(INDEX(Properties!A$1:CB$87,Formula!B81,40))+Formula!E81*(INDEX(Properties!A$1:CB$87,Formula!D81,40))+Formula!G81*(INDEX(Properties!A$1:CB$87,Formula!F81,40))+Formula!I81*(INDEX(Properties!A$1:CB$87,Formula!H81,40))+Formula!K81*(INDEX(Properties!A$1:CB$87,Formula!J81,40))</f>
        <v>16.03</v>
      </c>
      <c r="DT81" s="63">
        <f>VARP(IF(INDEX(Properties!A$1:CB$87,Formula!B81,40)&lt;&gt;"",INDEX(Properties!A$1:CB$87,Formula!B81,40)),IF(INDEX(Properties!A$1:CB$87,Formula!D81,40)&lt;&gt;"",INDEX(Properties!A$1:CB$87,Formula!D81,40)),IF(INDEX(Properties!A$1:CB$87,Formula!F81,40)&lt;&gt;"",INDEX(Properties!A$1:CB$87,Formula!F81,40)),IF(INDEX(Properties!A$1:CB$87,Formula!H81,40)&lt;&gt;"",INDEX(Properties!A$1:CB$87,Formula!H81,40)),IF(INDEX(Properties!A$1:CB$87,Formula!J81,40)&lt;&gt;"",INDEX(Properties!A$1:CB$87,Formula!J81,40)))</f>
        <v>0.42341599999999985</v>
      </c>
      <c r="DU81" s="63">
        <f>MAX(INDEX(Properties!A$1:CB$87,Formula!B81,40),INDEX(Properties!A$1:CB$87,Formula!D81,40),INDEX(Properties!A$1:CB$87,Formula!F81,40),INDEX(Properties!A$1:CB$87,Formula!H81,40),INDEX(Properties!A$1:CB$87,Formula!J81,40))</f>
        <v>1.46</v>
      </c>
      <c r="DV81" s="63">
        <f>MIN(IF(INDEX(Properties!A$1:CB$87,Formula!B81,40)=0,10^6,INDEX(Properties!A$1:CB$87,Formula!B81,40)),IF(INDEX(Properties!A$1:CB$87,Formula!D81,40)=0,10^6,INDEX(Properties!A$1:CB$87,Formula!D81,40)),IF(INDEX(Properties!A$1:CB$87,Formula!F81,40)=0,10^6,INDEX(Properties!A$1:CB$87,Formula!F81,40)),IF(INDEX(Properties!A$1:CB$87,Formula!H81,40)=0,10^6,INDEX(Properties!A$1:CB$87,Formula!H81,40)),IF(INDEX(Properties!A$1:CB$87,Formula!J81,40)=0,10^6,INDEX(Properties!A$1:CB$87,Formula!J81,40)))</f>
        <v>0.73</v>
      </c>
      <c r="DW81" s="63">
        <f t="shared" si="52"/>
        <v>0.73</v>
      </c>
      <c r="DX81" s="75">
        <f>((Formula!C81)/(Formula!C81+Formula!E81+Formula!G81+Formula!I81+Formula!K81))*(INDEX(Properties!A$1:CB$87,Formula!B81,41))+((Formula!E81)/(Formula!C81+Formula!E81+Formula!G81+Formula!I81+Formula!K81))*(INDEX(Properties!A$1:CB$87,Formula!D81,41))+((Formula!G81)/(Formula!C81+Formula!E81+Formula!G81+Formula!I81+Formula!K81))*(INDEX(Properties!A$1:CB$87,Formula!F81,41))+((Formula!I81)/(Formula!C81+Formula!E81+Formula!G81+Formula!I81+Formula!K81))*(INDEX(Properties!A$1:CB$87,Formula!H81,41))+((Formula!K81)/(Formula!C81+Formula!E81+Formula!G81+Formula!I81+Formula!K81))*(INDEX(Properties!A$1:CB$87,Formula!J81,41))</f>
        <v>1.1735294117647059</v>
      </c>
      <c r="DY81" s="75">
        <f>Formula!C81*(INDEX(Properties!A$1:CB$87,Formula!B81,41))+Formula!E81*(INDEX(Properties!A$1:CB$87,Formula!D81,41))+Formula!G81*(INDEX(Properties!A$1:CB$87,Formula!F81,41))+Formula!I81*(INDEX(Properties!A$1:CB$87,Formula!H81,41))+Formula!K81*(INDEX(Properties!A$1:CB$87,Formula!J81,41))</f>
        <v>19.950000000000003</v>
      </c>
      <c r="DZ81" s="75">
        <f>VARP(IF(INDEX(Properties!A$1:CB$87,Formula!B81,41)&lt;&gt;"",INDEX(Properties!A$1:CB$87,Formula!B81,41)),IF(INDEX(Properties!A$1:CB$87,Formula!D81,41)&lt;&gt;"",INDEX(Properties!A$1:CB$87,Formula!D81,41)),IF(INDEX(Properties!A$1:CB$87,Formula!F81,41)&lt;&gt;"",INDEX(Properties!A$1:CB$87,Formula!F81,41)),IF(INDEX(Properties!A$1:CB$87,Formula!H81,41)&lt;&gt;"",INDEX(Properties!A$1:CB$87,Formula!H81,41)),IF(INDEX(Properties!A$1:CB$87,Formula!J81,41)&lt;&gt;"",INDEX(Properties!A$1:CB$87,Formula!J81,41)))</f>
        <v>0.30397600000000002</v>
      </c>
      <c r="EA81" s="75">
        <f>MAX(INDEX(Properties!A$1:CB$87,Formula!B81,41),INDEX(Properties!A$1:CB$87,Formula!D81,41),INDEX(Properties!A$1:CB$87,Formula!F81,41),INDEX(Properties!A$1:CB$87,Formula!H81,41),INDEX(Properties!A$1:CB$87,Formula!J81,41))</f>
        <v>1.26</v>
      </c>
      <c r="EB81" s="75">
        <f>MIN(IF(INDEX(Properties!A$1:CB$87,Formula!B81,41)=0,10^6,INDEX(Properties!A$1:CB$87,Formula!B81,41)),IF(INDEX(Properties!A$1:CB$87,Formula!D81,41)=0,10^6,INDEX(Properties!A$1:CB$87,Formula!D81,41)),IF(INDEX(Properties!A$1:CB$87,Formula!F81,41)=0,10^6,INDEX(Properties!A$1:CB$87,Formula!F81,41)),IF(INDEX(Properties!A$1:CB$87,Formula!H81,41)=0,10^6,INDEX(Properties!A$1:CB$87,Formula!H81,41)),IF(INDEX(Properties!A$1:CB$87,Formula!J81,41)=0,10^6,INDEX(Properties!A$1:CB$87,Formula!J81,41)))</f>
        <v>0.83</v>
      </c>
      <c r="EC81" s="75">
        <f t="shared" si="53"/>
        <v>0.43000000000000005</v>
      </c>
      <c r="ED81" s="48">
        <f>((Formula!C81)/(Formula!C81+Formula!E81+Formula!G81+Formula!I81+Formula!K81))*(INDEX(Properties!A$1:CB$87,Formula!B81,45))+((Formula!E81)/(Formula!C81+Formula!E81+Formula!G81+Formula!I81+Formula!K81))*(INDEX(Properties!A$1:CB$87,Formula!D81,45))+((Formula!G81)/(Formula!C81+Formula!E81+Formula!G81+Formula!I81+Formula!K81))*(INDEX(Properties!A$1:CB$87,Formula!F81,45))+((Formula!I81)/(Formula!C81+Formula!E81+Formula!G81+Formula!I81+Formula!K81))*(INDEX(Properties!A$1:CB$87,Formula!H81,45))+((Formula!K81)/(Formula!C81+Formula!E81+Formula!G81+Formula!I81+Formula!K81))*(INDEX(Properties!A$1:CB$87,Formula!J81,45))</f>
        <v>1.0470588235294118</v>
      </c>
      <c r="EE81" s="48">
        <f>Formula!C81*(INDEX(Properties!A$1:CB$87,Formula!B81,45))+Formula!E81*(INDEX(Properties!A$1:CB$87,Formula!D81,45))+Formula!G81*(INDEX(Properties!A$1:CB$87,Formula!F81,45))+Formula!I81*(INDEX(Properties!A$1:CB$87,Formula!H81,45))+Formula!K81*(INDEX(Properties!A$1:CB$87,Formula!J81,45))</f>
        <v>17.8</v>
      </c>
      <c r="EF81" s="48">
        <f>VARP(IF(INDEX(Properties!A$1:CB$87,Formula!B81,45)&lt;&gt;"",INDEX(Properties!A$1:CB$87,Formula!B81,45)),IF(INDEX(Properties!A$1:CB$87,Formula!D81,45)&lt;&gt;"",INDEX(Properties!A$1:CB$87,Formula!D81,45)),IF(INDEX(Properties!A$1:CB$87,Formula!F81,45)&lt;&gt;"",INDEX(Properties!A$1:CB$87,Formula!F81,45)),IF(INDEX(Properties!A$1:CB$87,Formula!H81,45)&lt;&gt;"",INDEX(Properties!A$1:CB$87,Formula!H81,45)),IF(INDEX(Properties!A$1:CB$87,Formula!J81,45)&lt;&gt;"",INDEX(Properties!A$1:CB$87,Formula!J81,45)))</f>
        <v>1.2464160000000004</v>
      </c>
      <c r="EG81" s="48">
        <f>MAX(INDEX(Properties!A$1:CB$87,Formula!B81,45),INDEX(Properties!A$1:CB$87,Formula!D81,45),INDEX(Properties!A$1:CB$87,Formula!F81,45),INDEX(Properties!A$1:CB$87,Formula!H81,45),INDEX(Properties!A$1:CB$87,Formula!J81,45))</f>
        <v>2.72</v>
      </c>
      <c r="EH81" s="48">
        <f>MIN(IF(INDEX(Properties!A$1:CB$87,Formula!B81,45)=0,10^6,INDEX(Properties!A$1:CB$87,Formula!B81,45)),IF(INDEX(Properties!A$1:CB$87,Formula!D81,45)=0,10^6,INDEX(Properties!A$1:CB$87,Formula!D81,45)),IF(INDEX(Properties!A$1:CB$87,Formula!F81,45)=0,10^6,INDEX(Properties!A$1:CB$87,Formula!F81,45)),IF(INDEX(Properties!A$1:CB$87,Formula!H81,45)=0,10^6,INDEX(Properties!A$1:CB$87,Formula!H81,45)),IF(INDEX(Properties!A$1:CB$87,Formula!J81,45)=0,10^6,INDEX(Properties!A$1:CB$87,Formula!J81,45)))</f>
        <v>0.47</v>
      </c>
      <c r="EI81" s="48">
        <f t="shared" si="54"/>
        <v>2.25</v>
      </c>
      <c r="EJ81" s="66">
        <f>((Formula!C81)/(Formula!C81+Formula!E81+Formula!G81+Formula!I81+Formula!K81))*(INDEX(Properties!A$1:CB$87,Formula!B81,46))+((Formula!E81)/(Formula!C81+Formula!E81+Formula!G81+Formula!I81+Formula!K81))*(INDEX(Properties!A$1:CB$87,Formula!D81,46))+((Formula!G81)/(Formula!C81+Formula!E81+Formula!G81+Formula!I81+Formula!K81))*(INDEX(Properties!A$1:CB$87,Formula!F81,46))+((Formula!I81)/(Formula!C81+Formula!E81+Formula!G81+Formula!I81+Formula!K81))*(INDEX(Properties!A$1:CB$87,Formula!H81,46))+((Formula!K81)/(Formula!C81+Formula!E81+Formula!G81+Formula!I81+Formula!K81))*(INDEX(Properties!A$1:CB$87,Formula!J81,46))</f>
        <v>1.1311764705882354</v>
      </c>
      <c r="EK81" s="66">
        <f>Formula!C81*(INDEX(Properties!A$1:CB$87,Formula!B81,46))+Formula!E81*(INDEX(Properties!A$1:CB$87,Formula!D81,46))+Formula!G81*(INDEX(Properties!A$1:CB$87,Formula!F81,46))+Formula!I81*(INDEX(Properties!A$1:CB$87,Formula!H81,46))+Formula!K81*(INDEX(Properties!A$1:CB$87,Formula!J81,46))</f>
        <v>19.23</v>
      </c>
      <c r="EL81" s="66">
        <f>VARP(IF(INDEX(Properties!A$1:CB$87,Formula!B81,46)&lt;&gt;"",INDEX(Properties!A$1:CB$87,Formula!B81,46)),IF(INDEX(Properties!A$1:CB$87,Formula!D81,46)&lt;&gt;"",INDEX(Properties!A$1:CB$87,Formula!D81,46)),IF(INDEX(Properties!A$1:CB$87,Formula!F81,46)&lt;&gt;"",INDEX(Properties!A$1:CB$87,Formula!F81,46)),IF(INDEX(Properties!A$1:CB$87,Formula!H81,46)&lt;&gt;"",INDEX(Properties!A$1:CB$87,Formula!H81,46)),IF(INDEX(Properties!A$1:CB$87,Formula!J81,46)&lt;&gt;"",INDEX(Properties!A$1:CB$87,Formula!J81,46)))</f>
        <v>0.28946399999999994</v>
      </c>
      <c r="EM81" s="66">
        <f>MAX(INDEX(Properties!A$1:CB$87,Formula!B81,46),INDEX(Properties!A$1:CB$87,Formula!D81,46),INDEX(Properties!A$1:CB$87,Formula!F81,46),INDEX(Properties!A$1:CB$87,Formula!H81,46),INDEX(Properties!A$1:CB$87,Formula!J81,46))</f>
        <v>1.21</v>
      </c>
      <c r="EN81" s="66">
        <f>MIN(IF(INDEX(Properties!A$1:CB$87,Formula!B81,46)=0,10^6,INDEX(Properties!A$1:CB$87,Formula!B81,46)),IF(INDEX(Properties!A$1:CB$87,Formula!D81,46)=0,10^6,INDEX(Properties!A$1:CB$87,Formula!D81,46)),IF(INDEX(Properties!A$1:CB$87,Formula!F81,46)=0,10^6,INDEX(Properties!A$1:CB$87,Formula!F81,46)),IF(INDEX(Properties!A$1:CB$87,Formula!H81,46)=0,10^6,INDEX(Properties!A$1:CB$87,Formula!H81,46)),IF(INDEX(Properties!A$1:CB$87,Formula!J81,46)=0,10^6,INDEX(Properties!A$1:CB$87,Formula!J81,46)))</f>
        <v>0.79</v>
      </c>
      <c r="EO81" s="66">
        <f t="shared" si="55"/>
        <v>0.41999999999999993</v>
      </c>
      <c r="EP81" s="81">
        <f>((Formula!C81)/(Formula!C81+Formula!E81+Formula!G81+Formula!I81+Formula!K81))*(INDEX(Properties!A$1:CB$87,Formula!B81,52))+((Formula!E81)/(Formula!C81+Formula!E81+Formula!G81+Formula!I81+Formula!K81))*(INDEX(Properties!A$1:CB$87,Formula!D81,52))+((Formula!G81)/(Formula!C81+Formula!E81+Formula!G81+Formula!I81+Formula!K81))*(INDEX(Properties!A$1:CB$87,Formula!F81,52))+((Formula!I81)/(Formula!C81+Formula!E81+Formula!G81+Formula!I81+Formula!K81))*(INDEX(Properties!A$1:CB$87,Formula!H81,52))+((Formula!K81)/(Formula!C81+Formula!E81+Formula!G81+Formula!I81+Formula!K81))*(INDEX(Properties!A$1:CB$87,Formula!J81,52))</f>
        <v>3.6891764705882357</v>
      </c>
      <c r="EQ81" s="81">
        <f>Formula!C81*(INDEX(Properties!A$1:CB$87,Formula!B81,52))+Formula!E81*(INDEX(Properties!A$1:CB$87,Formula!D81,52))+Formula!G81*(INDEX(Properties!A$1:CB$87,Formula!F81,52))+Formula!I81*(INDEX(Properties!A$1:CB$87,Formula!H81,52))+Formula!K81*(INDEX(Properties!A$1:CB$87,Formula!J81,52))</f>
        <v>62.716000000000001</v>
      </c>
      <c r="ER81" s="81">
        <f>VARP(IF(INDEX(Properties!A$1:CB$87,Formula!B81,52)&lt;&gt;"",INDEX(Properties!A$1:CB$87,Formula!B81,52)),IF(INDEX(Properties!A$1:CB$87,Formula!D81,52)&lt;&gt;"",INDEX(Properties!A$1:CB$87,Formula!D81,52)),IF(INDEX(Properties!A$1:CB$87,Formula!F81,52)&lt;&gt;"",INDEX(Properties!A$1:CB$87,Formula!F81,52)),IF(INDEX(Properties!A$1:CB$87,Formula!H81,52)&lt;&gt;"",INDEX(Properties!A$1:CB$87,Formula!H81,52)),IF(INDEX(Properties!A$1:CB$87,Formula!J81,52)&lt;&gt;"",INDEX(Properties!A$1:CB$87,Formula!J81,52)))</f>
        <v>26.217527840000002</v>
      </c>
      <c r="ES81" s="81">
        <f>MAX(INDEX(Properties!A$1:CB$87,Formula!B81,52),INDEX(Properties!A$1:CB$87,Formula!D81,52),INDEX(Properties!A$1:CB$87,Formula!F81,52),INDEX(Properties!A$1:CB$87,Formula!H81,52),INDEX(Properties!A$1:CB$87,Formula!J81,52))</f>
        <v>12.8</v>
      </c>
      <c r="ET81" s="81">
        <f>MIN(IF(INDEX(Properties!A$1:CB$87,Formula!B81,52)=0,10^6,INDEX(Properties!A$1:CB$87,Formula!B81,52)),IF(INDEX(Properties!A$1:CB$87,Formula!D81,52)=0,10^6,INDEX(Properties!A$1:CB$87,Formula!D81,52)),IF(INDEX(Properties!A$1:CB$87,Formula!F81,52)=0,10^6,INDEX(Properties!A$1:CB$87,Formula!F81,52)),IF(INDEX(Properties!A$1:CB$87,Formula!H81,52)=0,10^6,INDEX(Properties!A$1:CB$87,Formula!H81,52)),IF(INDEX(Properties!A$1:CB$87,Formula!J81,52)=0,10^6,INDEX(Properties!A$1:CB$87,Formula!J81,52)))</f>
        <v>0.79300000000000004</v>
      </c>
      <c r="EU81" s="81">
        <f t="shared" si="56"/>
        <v>12.007000000000001</v>
      </c>
      <c r="EV81" s="39">
        <f>((Formula!C81)/(Formula!C81+Formula!E81+Formula!G81+Formula!I81+Formula!K81))*(INDEX(Properties!A$1:CB$87,Formula!B81,53))+((Formula!E81)/(Formula!C81+Formula!E81+Formula!G81+Formula!I81+Formula!K81))*(INDEX(Properties!A$1:CB$87,Formula!D81,53))+((Formula!G81)/(Formula!C81+Formula!E81+Formula!G81+Formula!I81+Formula!K81))*(INDEX(Properties!A$1:CB$87,Formula!F81,53))+((Formula!I81)/(Formula!C81+Formula!E81+Formula!G81+Formula!I81+Formula!K81))*(INDEX(Properties!A$1:CB$87,Formula!H81,53))+((Formula!K81)/(Formula!C81+Formula!E81+Formula!G81+Formula!I81+Formula!K81))*(INDEX(Properties!A$1:CB$87,Formula!J81,53))</f>
        <v>612.69117647058829</v>
      </c>
      <c r="EW81" s="39">
        <f>Formula!C81*(INDEX(Properties!A$1:CB$87,Formula!B81,53))+Formula!E81*(INDEX(Properties!A$1:CB$87,Formula!D81,53))+Formula!G81*(INDEX(Properties!A$1:CB$87,Formula!F81,53))+Formula!I81*(INDEX(Properties!A$1:CB$87,Formula!H81,53))+Formula!K81*(INDEX(Properties!A$1:CB$87,Formula!J81,53))</f>
        <v>10415.75</v>
      </c>
      <c r="EX81" s="39">
        <f>VARP(IF(INDEX(Properties!A$1:CB$87,Formula!B81,53)&lt;&gt;"",INDEX(Properties!A$1:CB$87,Formula!B81,53)),IF(INDEX(Properties!A$1:CB$87,Formula!D81,53)&lt;&gt;"",INDEX(Properties!A$1:CB$87,Formula!D81,53)),IF(INDEX(Properties!A$1:CB$87,Formula!F81,53)&lt;&gt;"",INDEX(Properties!A$1:CB$87,Formula!F81,53)),IF(INDEX(Properties!A$1:CB$87,Formula!H81,53)&lt;&gt;"",INDEX(Properties!A$1:CB$87,Formula!H81,53)),IF(INDEX(Properties!A$1:CB$87,Formula!J81,53)&lt;&gt;"",INDEX(Properties!A$1:CB$87,Formula!J81,53)))</f>
        <v>1243473.9654000001</v>
      </c>
      <c r="EY81" s="39">
        <f>MAX(INDEX(Properties!A$1:CB$87,Formula!B81,53),INDEX(Properties!A$1:CB$87,Formula!D81,53),INDEX(Properties!A$1:CB$87,Formula!F81,53),INDEX(Properties!A$1:CB$87,Formula!H81,53),INDEX(Properties!A$1:CB$87,Formula!J81,53))</f>
        <v>2890.15</v>
      </c>
      <c r="EZ81" s="39">
        <f>MIN(IF(INDEX(Properties!A$1:CB$87,Formula!B81,53)=0,10^6,INDEX(Properties!A$1:CB$87,Formula!B81,53)),IF(INDEX(Properties!A$1:CB$87,Formula!D81,53)=0,10^6,INDEX(Properties!A$1:CB$87,Formula!D81,53)),IF(INDEX(Properties!A$1:CB$87,Formula!F81,53)=0,10^6,INDEX(Properties!A$1:CB$87,Formula!F81,53)),IF(INDEX(Properties!A$1:CB$87,Formula!H81,53)=0,10^6,INDEX(Properties!A$1:CB$87,Formula!H81,53)),IF(INDEX(Properties!A$1:CB$87,Formula!J81,53)=0,10^6,INDEX(Properties!A$1:CB$87,Formula!J81,53)))</f>
        <v>54.749999999999972</v>
      </c>
      <c r="FA81" s="39">
        <f t="shared" si="57"/>
        <v>2835.4</v>
      </c>
      <c r="FB81" s="54">
        <f>((Formula!C81)/(Formula!C81+Formula!E81+Formula!G81+Formula!I81+Formula!K81))*(INDEX(Properties!A$1:CB$87,Formula!B81,54))+((Formula!E81)/(Formula!C81+Formula!E81+Formula!G81+Formula!I81+Formula!K81))*(INDEX(Properties!A$1:CB$87,Formula!D81,54))+((Formula!G81)/(Formula!C81+Formula!E81+Formula!G81+Formula!I81+Formula!K81))*(INDEX(Properties!A$1:CB$87,Formula!F81,54))+((Formula!I81)/(Formula!C81+Formula!E81+Formula!G81+Formula!I81+Formula!K81))*(INDEX(Properties!A$1:CB$87,Formula!H81,54))+((Formula!K81)/(Formula!C81+Formula!E81+Formula!G81+Formula!I81+Formula!K81))*(INDEX(Properties!A$1:CB$87,Formula!J81,54))</f>
        <v>1141.3852941176469</v>
      </c>
      <c r="FC81" s="54">
        <f>Formula!C81*(INDEX(Properties!A$1:CB$87,Formula!B81,54))+Formula!E81*(INDEX(Properties!A$1:CB$87,Formula!D81,54))+Formula!G81*(INDEX(Properties!A$1:CB$87,Formula!F81,54))+Formula!I81*(INDEX(Properties!A$1:CB$87,Formula!H81,54))+Formula!K81*(INDEX(Properties!A$1:CB$87,Formula!J81,54))</f>
        <v>19403.55</v>
      </c>
      <c r="FD81" s="54">
        <f>VARP(IF(INDEX(Properties!A$1:CB$87,Formula!B81,54)&lt;&gt;"",INDEX(Properties!A$1:CB$87,Formula!B81,54)),IF(INDEX(Properties!A$1:CB$87,Formula!D81,54)&lt;&gt;"",INDEX(Properties!A$1:CB$87,Formula!D81,54)),IF(INDEX(Properties!A$1:CB$87,Formula!F81,54)&lt;&gt;"",INDEX(Properties!A$1:CB$87,Formula!F81,54)),IF(INDEX(Properties!A$1:CB$87,Formula!H81,54)&lt;&gt;"",INDEX(Properties!A$1:CB$87,Formula!H81,54)),IF(INDEX(Properties!A$1:CB$87,Formula!J81,54)&lt;&gt;"",INDEX(Properties!A$1:CB$87,Formula!J81,54)))</f>
        <v>3592451.6373999994</v>
      </c>
      <c r="FE81" s="54">
        <f>MAX(INDEX(Properties!A$1:CB$87,Formula!B81,54),INDEX(Properties!A$1:CB$87,Formula!D81,54),INDEX(Properties!A$1:CB$87,Formula!F81,54),INDEX(Properties!A$1:CB$87,Formula!H81,54),INDEX(Properties!A$1:CB$87,Formula!J81,54))</f>
        <v>4885.1499999999996</v>
      </c>
      <c r="FF81" s="54">
        <f>MIN(IF(INDEX(Properties!A$1:CB$87,Formula!B81,54)=0,10^6,INDEX(Properties!A$1:CB$87,Formula!B81,54)),IF(INDEX(Properties!A$1:CB$87,Formula!D81,54)=0,10^6,INDEX(Properties!A$1:CB$87,Formula!D81,54)),IF(INDEX(Properties!A$1:CB$87,Formula!F81,54)=0,10^6,INDEX(Properties!A$1:CB$87,Formula!F81,54)),IF(INDEX(Properties!A$1:CB$87,Formula!H81,54)=0,10^6,INDEX(Properties!A$1:CB$87,Formula!H81,54)),IF(INDEX(Properties!A$1:CB$87,Formula!J81,54)=0,10^6,INDEX(Properties!A$1:CB$87,Formula!J81,54)))</f>
        <v>90.149999999999977</v>
      </c>
      <c r="FG81" s="54">
        <f t="shared" si="58"/>
        <v>4795</v>
      </c>
      <c r="FH81" s="69">
        <f>((Formula!C81)/(Formula!C81+Formula!E81+Formula!G81+Formula!I81+Formula!K81))*(INDEX(Properties!A$1:CB$87,Formula!B81,55))+((Formula!E81)/(Formula!C81+Formula!E81+Formula!G81+Formula!I81+Formula!K81))*(INDEX(Properties!A$1:CB$87,Formula!D81,55))+((Formula!G81)/(Formula!C81+Formula!E81+Formula!G81+Formula!I81+Formula!K81))*(INDEX(Properties!A$1:CB$87,Formula!F81,55))+((Formula!I81)/(Formula!C81+Formula!E81+Formula!G81+Formula!I81+Formula!K81))*(INDEX(Properties!A$1:CB$87,Formula!H81,55))+((Formula!K81)/(Formula!C81+Formula!E81+Formula!G81+Formula!I81+Formula!K81))*(INDEX(Properties!A$1:CB$87,Formula!J81,55))</f>
        <v>2.9480682352941177</v>
      </c>
      <c r="FI81" s="69">
        <f>Formula!C81*(INDEX(Properties!A$1:CB$87,Formula!B81,55))+Formula!E81*(INDEX(Properties!A$1:CB$87,Formula!D81,54))+Formula!G81*(INDEX(Properties!A$1:CB$87,Formula!F81,55))+Formula!I81*(INDEX(Properties!A$1:CB$87,Formula!H81,55))+Formula!K81*(INDEX(Properties!A$1:CB$87,Formula!J81,55))</f>
        <v>14674.967159999998</v>
      </c>
      <c r="FJ81" s="69">
        <f>VARP(IF(INDEX(Properties!A$1:CB$87,Formula!B81,55)&lt;&gt;"",INDEX(Properties!A$1:CB$87,Formula!B81,55)),IF(INDEX(Properties!A$1:CB$87,Formula!D81,55)&lt;&gt;"",INDEX(Properties!A$1:CB$87,Formula!D81,55)),IF(INDEX(Properties!A$1:CB$87,Formula!F81,55)&lt;&gt;"",INDEX(Properties!A$1:CB$87,Formula!F81,55)),IF(INDEX(Properties!A$1:CB$87,Formula!H81,55)&lt;&gt;"",INDEX(Properties!A$1:CB$87,Formula!H81,55)),IF(INDEX(Properties!A$1:CB$87,Formula!J81,55)&lt;&gt;"",INDEX(Properties!A$1:CB$87,Formula!J81,55)))</f>
        <v>23.898118047183999</v>
      </c>
      <c r="FK81" s="69">
        <f>MAX(INDEX(Properties!A$1:CB$87,Formula!B81,55),INDEX(Properties!A$1:CB$87,Formula!D81,55),INDEX(Properties!A$1:CB$87,Formula!F81,55),INDEX(Properties!A$1:CB$87,Formula!H81,55),INDEX(Properties!A$1:CB$87,Formula!J81,55))</f>
        <v>10.199999999999999</v>
      </c>
      <c r="FL81" s="69">
        <f>MIN(IF(INDEX(Properties!A$1:CB$87,Formula!B81,55)=0,10^6,INDEX(Properties!A$1:CB$87,Formula!B81,55)),IF(INDEX(Properties!A$1:CB$87,Formula!D81,55)=0,10^6,INDEX(Properties!A$1:CB$87,Formula!D81,55)),IF(INDEX(Properties!A$1:CB$87,Formula!F81,55)=0,10^6,INDEX(Properties!A$1:CB$87,Formula!F81,55)),IF(INDEX(Properties!A$1:CB$87,Formula!H81,55)=0,10^6,INDEX(Properties!A$1:CB$87,Formula!H81,55)),IF(INDEX(Properties!A$1:CB$87,Formula!J81,55)=0,10^6,INDEX(Properties!A$1:CB$87,Formula!J81,55)))</f>
        <v>1.4300000000000001E-3</v>
      </c>
      <c r="FM81" s="69">
        <f t="shared" si="59"/>
        <v>10.19857</v>
      </c>
      <c r="FN81" s="42">
        <f>((Formula!C81)/(Formula!C81+Formula!E81+Formula!G81+Formula!I81+Formula!K81))*(INDEX(Properties!A$1:CB$87,Formula!B81,56))+((Formula!E81)/(Formula!C81+Formula!E81+Formula!G81+Formula!I81+Formula!K81))*(INDEX(Properties!A$1:CB$87,Formula!D81,56))+((Formula!G81)/(Formula!C81+Formula!E81+Formula!G81+Formula!I81+Formula!K81))*(INDEX(Properties!A$1:CB$87,Formula!F81,56))+((Formula!I81)/(Formula!C81+Formula!E81+Formula!G81+Formula!I81+Formula!K81))*(INDEX(Properties!A$1:CB$87,Formula!H81,56))+((Formula!K81)/(Formula!C81+Formula!E81+Formula!G81+Formula!I81+Formula!K81))*(INDEX(Properties!A$1:CB$87,Formula!J81,56))</f>
        <v>0.70764705882352952</v>
      </c>
      <c r="FO81" s="42">
        <f>Formula!C81*(INDEX(Properties!A$1:CB$87,Formula!B81,56))+Formula!E81*(INDEX(Properties!A$1:CB$87,Formula!D81,56))+Formula!G81*(INDEX(Properties!A$1:CB$87,Formula!F81,56))+Formula!I81*(INDEX(Properties!A$1:CB$87,Formula!H81,56))+Formula!K81*(INDEX(Properties!A$1:CB$87,Formula!J81,56))</f>
        <v>12.030000000000001</v>
      </c>
      <c r="FP81" s="42">
        <f>VARP(IF(INDEX(Properties!A$1:CB$87,Formula!B81,56)&lt;&gt;"",INDEX(Properties!A$1:CB$87,Formula!B81,56)),IF(INDEX(Properties!A$1:CB$87,Formula!D81,56)&lt;&gt;"",INDEX(Properties!A$1:CB$87,Formula!D81,56)),IF(INDEX(Properties!A$1:CB$87,Formula!F81,56)&lt;&gt;"",INDEX(Properties!A$1:CB$87,Formula!F81,56)),IF(INDEX(Properties!A$1:CB$87,Formula!H81,56)&lt;&gt;"",INDEX(Properties!A$1:CB$87,Formula!H81,56)),IF(INDEX(Properties!A$1:CB$87,Formula!J81,56)&lt;&gt;"",INDEX(Properties!A$1:CB$87,Formula!J81,56)))</f>
        <v>0.11809599999999999</v>
      </c>
      <c r="FQ81" s="42">
        <f>MAX(INDEX(Properties!A$1:CB$87,Formula!B81,56),INDEX(Properties!A$1:CB$87,Formula!D81,56),INDEX(Properties!A$1:CB$87,Formula!F81,56),INDEX(Properties!A$1:CB$87,Formula!H81,56),INDEX(Properties!A$1:CB$87,Formula!J81,56))</f>
        <v>0.92</v>
      </c>
      <c r="FR81" s="42">
        <f>MIN(IF(INDEX(Properties!A$1:CB$87,Formula!B81,56)=0,10^6,INDEX(Properties!A$1:CB$87,Formula!B81,56)),IF(INDEX(Properties!A$1:CB$87,Formula!D81,56)=0,10^6,INDEX(Properties!A$1:CB$87,Formula!D81,56)),IF(INDEX(Properties!A$1:CB$87,Formula!F81,56)=0,10^6,INDEX(Properties!A$1:CB$87,Formula!F81,56)),IF(INDEX(Properties!A$1:CB$87,Formula!H81,56)=0,10^6,INDEX(Properties!A$1:CB$87,Formula!H81,56)),IF(INDEX(Properties!A$1:CB$87,Formula!J81,56)=0,10^6,INDEX(Properties!A$1:CB$87,Formula!J81,56)))</f>
        <v>0.12</v>
      </c>
      <c r="FS81" s="42">
        <f t="shared" si="60"/>
        <v>0.8</v>
      </c>
      <c r="FT81" s="60">
        <f>((Formula!C81)/(Formula!C81+Formula!E81+Formula!G81+Formula!I81+Formula!K81))*(INDEX(Properties!A$1:CB$87,Formula!B81,57))+((Formula!E81)/(Formula!C81+Formula!E81+Formula!G81+Formula!I81+Formula!K81))*(INDEX(Properties!A$1:CB$87,Formula!D81,57))+((Formula!G81)/(Formula!C81+Formula!E81+Formula!G81+Formula!I81+Formula!K81))*(INDEX(Properties!A$1:CB$87,Formula!F81,57))+((Formula!I81)/(Formula!C81+Formula!E81+Formula!G81+Formula!I81+Formula!K81))*(INDEX(Properties!A$1:CB$87,Formula!H81,57))+((Formula!K81)/(Formula!C81+Formula!E81+Formula!G81+Formula!I81+Formula!K81))*(INDEX(Properties!A$1:CB$87,Formula!J81,57))</f>
        <v>7.1335929411764702</v>
      </c>
      <c r="FU81" s="60">
        <f>Formula!C81*(INDEX(Properties!A$1:CB$87,Formula!B81,57))+Formula!E81*(INDEX(Properties!A$1:CB$87,Formula!D81,57))+Formula!G81*(INDEX(Properties!A$1:CB$87,Formula!F81,57))+Formula!I81*(INDEX(Properties!A$1:CB$87,Formula!H81,57))+Formula!K81*(INDEX(Properties!A$1:CB$87,Formula!J81,57))</f>
        <v>121.27108</v>
      </c>
      <c r="FV81" s="60">
        <f>VARP(IF(INDEX(Properties!A$1:CB$87,Formula!B81,57)&lt;&gt;"",INDEX(Properties!A$1:CB$87,Formula!B81,57)),IF(INDEX(Properties!A$1:CB$87,Formula!D81,57)&lt;&gt;"",INDEX(Properties!A$1:CB$87,Formula!D81,57)),IF(INDEX(Properties!A$1:CB$87,Formula!F81,57)&lt;&gt;"",INDEX(Properties!A$1:CB$87,Formula!F81,57)),IF(INDEX(Properties!A$1:CB$87,Formula!H81,57)&lt;&gt;"",INDEX(Properties!A$1:CB$87,Formula!H81,57)),IF(INDEX(Properties!A$1:CB$87,Formula!J81,57)&lt;&gt;"",INDEX(Properties!A$1:CB$87,Formula!J81,57)))</f>
        <v>154.57927564929602</v>
      </c>
      <c r="FW81" s="60">
        <f>MAX(INDEX(Properties!A$1:CB$87,Formula!B81,57),INDEX(Properties!A$1:CB$87,Formula!D81,57),INDEX(Properties!A$1:CB$87,Formula!F81,57),INDEX(Properties!A$1:CB$87,Formula!H81,57),INDEX(Properties!A$1:CB$87,Formula!J81,57))</f>
        <v>32</v>
      </c>
      <c r="FX81" s="60">
        <f>MIN(IF(INDEX(Properties!A$1:CB$87,Formula!B81,57)=0,10^6,INDEX(Properties!A$1:CB$87,Formula!B81,57)),IF(INDEX(Properties!A$1:CB$87,Formula!D81,57)=0,10^6,INDEX(Properties!A$1:CB$87,Formula!D81,57)),IF(INDEX(Properties!A$1:CB$87,Formula!F81,57)=0,10^6,INDEX(Properties!A$1:CB$87,Formula!F81,57)),IF(INDEX(Properties!A$1:CB$87,Formula!H81,57)=0,10^6,INDEX(Properties!A$1:CB$87,Formula!H81,57)),IF(INDEX(Properties!A$1:CB$87,Formula!J81,57)=0,10^6,INDEX(Properties!A$1:CB$87,Formula!J81,57)))</f>
        <v>0.22259000000000001</v>
      </c>
      <c r="FY81" s="60">
        <f t="shared" si="61"/>
        <v>31.77741</v>
      </c>
      <c r="FZ81" s="72">
        <f>((Formula!C81)/(Formula!C81+Formula!E81+Formula!G81+Formula!I81+Formula!K81))*(INDEX(Properties!A$1:CB$87,Formula!B81,60))+((Formula!E81)/(Formula!C81+Formula!E81+Formula!G81+Formula!I81+Formula!K81))*(INDEX(Properties!A$1:CB$87,Formula!D81,60))+((Formula!G81)/(Formula!C81+Formula!E81+Formula!G81+Formula!I81+Formula!K81))*(INDEX(Properties!A$1:CB$87,Formula!F81,60))+((Formula!I81)/(Formula!C81+Formula!E81+Formula!G81+Formula!I81+Formula!K81))*(INDEX(Properties!A$1:CB$87,Formula!H81,60))+((Formula!K81)/(Formula!C81+Formula!E81+Formula!G81+Formula!I81+Formula!K81))*(INDEX(Properties!A$1:CB$87,Formula!J81,60))</f>
        <v>25.297698823529412</v>
      </c>
      <c r="GA81" s="72">
        <f>Formula!C81*(INDEX(Properties!A$1:CB$87,Formula!B81,60))+Formula!E81*(INDEX(Properties!A$1:CB$87,Formula!D81,60))+Formula!G81*(INDEX(Properties!A$1:CB$87,Formula!F81,60))+Formula!I81*(INDEX(Properties!A$1:CB$87,Formula!H81,60))+Formula!K81*(INDEX(Properties!A$1:CB$87,Formula!J81,60))</f>
        <v>430.06088</v>
      </c>
      <c r="GB81" s="72">
        <f>VARP(IF(INDEX(Properties!A$1:CB$87,Formula!B81,60)&lt;&gt;"",INDEX(Properties!A$1:CB$87,Formula!B81,60)),IF(INDEX(Properties!A$1:CB$87,Formula!D81,60)&lt;&gt;"",INDEX(Properties!A$1:CB$87,Formula!D81,60)),IF(INDEX(Properties!A$1:CB$87,Formula!F81,60)&lt;&gt;"",INDEX(Properties!A$1:CB$87,Formula!F81,60)),IF(INDEX(Properties!A$1:CB$87,Formula!H81,60)&lt;&gt;"",INDEX(Properties!A$1:CB$87,Formula!H81,60)),IF(INDEX(Properties!A$1:CB$87,Formula!J81,60)&lt;&gt;"",INDEX(Properties!A$1:CB$87,Formula!J81,60)))</f>
        <v>2969.7531733004157</v>
      </c>
      <c r="GC81" s="72">
        <f>MAX(INDEX(Properties!A$1:CB$87,Formula!B81,60),INDEX(Properties!A$1:CB$87,Formula!D81,60),INDEX(Properties!A$1:CB$87,Formula!F81,60),INDEX(Properties!A$1:CB$87,Formula!H81,60),INDEX(Properties!A$1:CB$87,Formula!J81,60))</f>
        <v>138</v>
      </c>
      <c r="GD81" s="72">
        <f>MIN(IF(INDEX(Properties!A$1:CB$87,Formula!B81,60)=0,10^6,INDEX(Properties!A$1:CB$87,Formula!B81,60)),IF(INDEX(Properties!A$1:CB$87,Formula!D81,60)=0,10^6,INDEX(Properties!A$1:CB$87,Formula!D81,60)),IF(INDEX(Properties!A$1:CB$87,Formula!F81,60)=0,10^6,INDEX(Properties!A$1:CB$87,Formula!F81,60)),IF(INDEX(Properties!A$1:CB$87,Formula!H81,60)=0,10^6,INDEX(Properties!A$1:CB$87,Formula!H81,60)),IF(INDEX(Properties!A$1:CB$87,Formula!J81,60)=0,10^6,INDEX(Properties!A$1:CB$87,Formula!J81,60)))</f>
        <v>2.674E-2</v>
      </c>
      <c r="GE81" s="72">
        <f t="shared" si="62"/>
        <v>137.97326000000001</v>
      </c>
      <c r="GF81" s="51">
        <f>((Formula!C81)/(Formula!C81+Formula!E81+Formula!G81+Formula!I81+Formula!K81))*(INDEX(Properties!A$1:CB$87,Formula!B81,62))+((Formula!E81)/(Formula!C81+Formula!E81+Formula!G81+Formula!I81+Formula!K81))*(INDEX(Properties!A$1:CB$87,Formula!D81,62))+((Formula!G81)/(Formula!C81+Formula!E81+Formula!G81+Formula!I81+Formula!K81))*(INDEX(Properties!A$1:CB$87,Formula!F81,62))+((Formula!I81)/(Formula!C81+Formula!E81+Formula!G81+Formula!I81+Formula!K81))*(INDEX(Properties!A$1:CB$87,Formula!H81,62))+((Formula!K81)/(Formula!C81+Formula!E81+Formula!G81+Formula!I81+Formula!K81))*(INDEX(Properties!A$1:CB$87,Formula!J81,62))</f>
        <v>3.3094117647058825</v>
      </c>
      <c r="GG81" s="51">
        <f>Formula!C81*(INDEX(Properties!A$1:CB$87,Formula!B81,62))+Formula!E81*(INDEX(Properties!A$1:CB$87,Formula!D81,62))+Formula!G81*(INDEX(Properties!A$1:CB$87,Formula!F81,62))+Formula!I81*(INDEX(Properties!A$1:CB$87,Formula!H81,62))+Formula!K81*(INDEX(Properties!A$1:CB$87,Formula!J81,62))</f>
        <v>56.260000000000005</v>
      </c>
      <c r="GH81" s="51">
        <f>VARP(IF(INDEX(Properties!A$1:CB$87,Formula!B81,62)&lt;&gt;"",INDEX(Properties!A$1:CB$87,Formula!B81,62)),IF(INDEX(Properties!A$1:CB$87,Formula!D81,62)&lt;&gt;"",INDEX(Properties!A$1:CB$87,Formula!D81,62)),IF(INDEX(Properties!A$1:CB$87,Formula!F81,62)&lt;&gt;"",INDEX(Properties!A$1:CB$87,Formula!F81,62)),IF(INDEX(Properties!A$1:CB$87,Formula!H81,62)&lt;&gt;"",INDEX(Properties!A$1:CB$87,Formula!H81,62)),IF(INDEX(Properties!A$1:CB$87,Formula!J81,62)&lt;&gt;"",INDEX(Properties!A$1:CB$87,Formula!J81,62)))</f>
        <v>6.224864000000002</v>
      </c>
      <c r="GI81" s="51">
        <f>MAX(INDEX(Properties!A$1:CB$87,Formula!B81,62),INDEX(Properties!A$1:CB$87,Formula!D81,62),INDEX(Properties!A$1:CB$87,Formula!F81,62),INDEX(Properties!A$1:CB$87,Formula!H81,62),INDEX(Properties!A$1:CB$87,Formula!J81,62))</f>
        <v>6.82</v>
      </c>
      <c r="GJ81" s="51">
        <f>MIN(IF(INDEX(Properties!A$1:CB$87,Formula!B81,62)=0,10^6,INDEX(Properties!A$1:CB$87,Formula!B81,62)),IF(INDEX(Properties!A$1:CB$87,Formula!D81,62)=0,10^6,INDEX(Properties!A$1:CB$87,Formula!D81,62)),IF(INDEX(Properties!A$1:CB$87,Formula!F81,62)=0,10^6,INDEX(Properties!A$1:CB$87,Formula!F81,62)),IF(INDEX(Properties!A$1:CB$87,Formula!H81,62)=0,10^6,INDEX(Properties!A$1:CB$87,Formula!H81,62)),IF(INDEX(Properties!A$1:CB$87,Formula!J81,62)=0,10^6,INDEX(Properties!A$1:CB$87,Formula!J81,62)))</f>
        <v>2.1800000000000002</v>
      </c>
      <c r="GK81" s="51">
        <f t="shared" si="63"/>
        <v>4.6400000000000006</v>
      </c>
      <c r="GL81" s="51">
        <f>Formula!P81</f>
        <v>14</v>
      </c>
      <c r="GM81" s="57">
        <f>Formula!O81</f>
        <v>2</v>
      </c>
      <c r="GN81" s="51">
        <f>Formula!N81</f>
        <v>0.04</v>
      </c>
    </row>
    <row r="82" spans="1:196" x14ac:dyDescent="0.3">
      <c r="A82" s="84" t="str">
        <f>Formula!A82</f>
        <v>Ca9MgLi(PO4)7</v>
      </c>
      <c r="B82" s="89">
        <f>((Formula!C82)/(Formula!C82+Formula!E82+Formula!G82+Formula!I82+Formula!K82))*(INDEX(Properties!A$1:CB$87,Formula!B82,3))+((Formula!E82)/(Formula!C82+Formula!E82+Formula!G82+Formula!I82+Formula!K82))*(INDEX(Properties!A$1:CB$87,Formula!D82,3))+((Formula!G82)/(Formula!C82+Formula!E82+Formula!G82+Formula!I82+Formula!K82))*(INDEX(Properties!A$1:CB$87,Formula!F82,3))+((Formula!I82)/(Formula!C82+Formula!E82+Formula!G82+Formula!I82+Formula!K82))*(INDEX(Properties!A$1:CB$87,Formula!H82,3))+((Formula!K82)/(Formula!C82+Formula!E82+Formula!G82+Formula!I82+Formula!K82))*(INDEX(Properties!A$1:CB$87,Formula!J82,3))</f>
        <v>22.972772478260872</v>
      </c>
      <c r="C82" s="85">
        <f>Formula!C82*(INDEX(Properties!A$1:CB$87,Formula!B82,3))+Formula!E82*(INDEX(Properties!A$1:CB$87,Formula!D82,3))+Formula!G82*(INDEX(Properties!A$1:CB$87,Formula!F82,3))+Formula!I82*(INDEX(Properties!A$1:CB$87,Formula!H82,3))+Formula!K82*(INDEX(Properties!A$1:CB$87,Formula!J82,3))</f>
        <v>1056.7475340000001</v>
      </c>
      <c r="D82" s="85">
        <f>VARP(IF(INDEX(Properties!A$1:CB$87,Formula!B82,3)&lt;&gt;"",INDEX(Properties!A$1:CB$87,Formula!B82,3)),IF(INDEX(Properties!A$1:CB$87,Formula!D82,3)&lt;&gt;"",INDEX(Properties!A$1:CB$87,Formula!D82,3)),IF(INDEX(Properties!A$1:CB$87,Formula!F82,3)&lt;&gt;"",INDEX(Properties!A$1:CB$87,Formula!F82,3)),IF(INDEX(Properties!A$1:CB$87,Formula!H82,3)&lt;&gt;"",INDEX(Properties!A$1:CB$87,Formula!H82,3)),IF(INDEX(Properties!A$1:CB$87,Formula!J82,3)&lt;&gt;"",INDEX(Properties!A$1:CB$87,Formula!J82,3)))</f>
        <v>132.3335230683592</v>
      </c>
      <c r="E82" s="85">
        <f>MAX(INDEX(Properties!A$1:CB$87,Formula!B82,3),INDEX(Properties!A$1:CB$87,Formula!D82,3),INDEX(Properties!A$1:CB$87,Formula!F82,3),INDEX(Properties!A$1:CB$87,Formula!H82,3),INDEX(Properties!A$1:CB$87,Formula!J82,3))</f>
        <v>40.078000000000003</v>
      </c>
      <c r="F82" s="85">
        <f>MIN(IF(INDEX(Properties!A$1:CB$87,Formula!B82,3)=0,10^6,INDEX(Properties!A$1:CB$87,Formula!B82,3)),IF(INDEX(Properties!A$1:CB$87,Formula!D82,3)=0,10^6,INDEX(Properties!A$1:CB$87,Formula!D82,3)),IF(INDEX(Properties!A$1:CB$87,Formula!F82,3)=0,10^6,INDEX(Properties!A$1:CB$87,Formula!F82,3)),IF(INDEX(Properties!A$1:CB$87,Formula!H82,3)=0,10^6,INDEX(Properties!A$1:CB$87,Formula!H82,3)),IF(INDEX(Properties!A$1:CB$87,Formula!J82,3)=0,10^6,INDEX(Properties!A$1:CB$87,Formula!J82,3)))</f>
        <v>6.9409999999999998</v>
      </c>
      <c r="G82" s="85">
        <f t="shared" si="32"/>
        <v>33.137</v>
      </c>
      <c r="H82" s="87">
        <f>((Formula!C82)/(Formula!C82+Formula!E82+Formula!G82+Formula!I82+Formula!K82))*(INDEX(Properties!A$1:CB$87,Formula!B82,4))+((Formula!E82)/(Formula!C82+Formula!E82+Formula!G82+Formula!I82+Formula!K82))*(INDEX(Properties!A$1:CB$87,Formula!D82,4))+((Formula!G82)/(Formula!C82+Formula!E82+Formula!G82+Formula!I82+Formula!K82))*(INDEX(Properties!A$1:CB$87,Formula!F82,4))+((Formula!I82)/(Formula!C82+Formula!E82+Formula!G82+Formula!I82+Formula!K82))*(INDEX(Properties!A$1:CB$87,Formula!H82,4))+((Formula!K82)/(Formula!C82+Formula!E82+Formula!G82+Formula!I82+Formula!K82))*(INDEX(Properties!A$1:CB$87,Formula!J82,4))</f>
        <v>11.391304347826086</v>
      </c>
      <c r="I82" s="87">
        <f>Formula!C82*(INDEX(Properties!A$1:CB$87,Formula!B82,4))+Formula!E82*(INDEX(Properties!A$1:CB$87,Formula!D82,4))+Formula!G82*(INDEX(Properties!A$1:CB$87,Formula!F82,4))+Formula!I82*(INDEX(Properties!A$1:CB$87,Formula!H82,4))+Formula!K82*(INDEX(Properties!A$1:CB$87,Formula!J82,4))</f>
        <v>524</v>
      </c>
      <c r="J82" s="87">
        <f>VARP(IF(INDEX(Properties!A$1:CB$87,Formula!B82,4)&lt;&gt;"",INDEX(Properties!A$1:CB$87,Formula!B82,4)),IF(INDEX(Properties!A$1:CB$87,Formula!D82,4)&lt;&gt;"",INDEX(Properties!A$1:CB$87,Formula!D82,4)),IF(INDEX(Properties!A$1:CB$87,Formula!F82,4)&lt;&gt;"",INDEX(Properties!A$1:CB$87,Formula!F82,4)),IF(INDEX(Properties!A$1:CB$87,Formula!H82,4)&lt;&gt;"",INDEX(Properties!A$1:CB$87,Formula!H82,4)),IF(INDEX(Properties!A$1:CB$87,Formula!J82,4)&lt;&gt;"",INDEX(Properties!A$1:CB$87,Formula!J82,4)))</f>
        <v>33.840000000000003</v>
      </c>
      <c r="K82" s="87">
        <f>MAX(INDEX(Properties!A$1:CB$87,Formula!B82,4),INDEX(Properties!A$1:CB$87,Formula!D82,4),INDEX(Properties!A$1:CB$87,Formula!F82,4),INDEX(Properties!A$1:CB$87,Formula!H82,4),INDEX(Properties!A$1:CB$87,Formula!J82,4))</f>
        <v>20</v>
      </c>
      <c r="L82" s="87">
        <f>MIN(IF(INDEX(Properties!A$1:CB$87,Formula!B82,4)=0,10^6,INDEX(Properties!A$1:CB$87,Formula!B82,4)),IF(INDEX(Properties!A$1:CB$87,Formula!D82,4)=0,10^6,INDEX(Properties!A$1:CB$87,Formula!D82,4)),IF(INDEX(Properties!A$1:CB$87,Formula!F82,4)=0,10^6,INDEX(Properties!A$1:CB$87,Formula!F82,4)),IF(INDEX(Properties!A$1:CB$87,Formula!H82,4)=0,10^6,INDEX(Properties!A$1:CB$87,Formula!H82,4)),IF(INDEX(Properties!A$1:CB$87,Formula!J82,4)=0,10^6,INDEX(Properties!A$1:CB$87,Formula!J82,4)))</f>
        <v>3</v>
      </c>
      <c r="M82" s="87">
        <f t="shared" si="33"/>
        <v>17</v>
      </c>
      <c r="N82" s="89">
        <f>((Formula!C82)/(Formula!C82+Formula!E82+Formula!G82+Formula!I82+Formula!K82))*(INDEX(Properties!A$1:CB$87,Formula!B82,5))+((Formula!E82)/(Formula!C82+Formula!E82+Formula!G82+Formula!I82+Formula!K82))*(INDEX(Properties!A$1:CB$87,Formula!D82,5))+((Formula!G82)/(Formula!C82+Formula!E82+Formula!G82+Formula!I82+Formula!K82))*(INDEX(Properties!A$1:CB$87,Formula!F82,5))+((Formula!I82)/(Formula!C82+Formula!E82+Formula!G82+Formula!I82+Formula!K82))*(INDEX(Properties!A$1:CB$87,Formula!H82,5))+((Formula!K82)/(Formula!C82+Formula!E82+Formula!G82+Formula!I82+Formula!K82))*(INDEX(Properties!A$1:CB$87,Formula!J82,5))</f>
        <v>2.5652173913043477</v>
      </c>
      <c r="O82" s="89">
        <f>Formula!C82*(INDEX(Properties!A$1:CB$87,Formula!B82,5))+Formula!E82*(INDEX(Properties!A$1:CB$87,Formula!D82,5))+Formula!G82*(INDEX(Properties!A$1:CB$87,Formula!F82,5))+Formula!I82*(INDEX(Properties!A$1:CB$87,Formula!H82,5))+Formula!K82*(INDEX(Properties!A$1:CB$87,Formula!J82,5))</f>
        <v>118</v>
      </c>
      <c r="P82" s="89">
        <f>VARP(IF(INDEX(Properties!A$1:CB$87,Formula!B82,5)&lt;&gt;"",INDEX(Properties!A$1:CB$87,Formula!B82,5)),IF(INDEX(Properties!A$1:CB$87,Formula!D82,5)&lt;&gt;"",INDEX(Properties!A$1:CB$87,Formula!D82,5)),IF(INDEX(Properties!A$1:CB$87,Formula!F82,5)&lt;&gt;"",INDEX(Properties!A$1:CB$87,Formula!F82,5)),IF(INDEX(Properties!A$1:CB$87,Formula!H82,5)&lt;&gt;"",INDEX(Properties!A$1:CB$87,Formula!H82,5)),IF(INDEX(Properties!A$1:CB$87,Formula!J82,5)&lt;&gt;"",INDEX(Properties!A$1:CB$87,Formula!J82,5)))</f>
        <v>0.56000000000000005</v>
      </c>
      <c r="Q82" s="89">
        <f>MAX(INDEX(Properties!A$1:CB$87,Formula!B82,5),INDEX(Properties!A$1:CB$87,Formula!D82,5),INDEX(Properties!A$1:CB$87,Formula!F82,5),INDEX(Properties!A$1:CB$87,Formula!H82,5),INDEX(Properties!A$1:CB$87,Formula!J82,5))</f>
        <v>4</v>
      </c>
      <c r="R82" s="89">
        <f>MIN(IF(INDEX(Properties!A$1:CB$87,Formula!B82,5)=0,10^6,INDEX(Properties!A$1:CB$87,Formula!B82,5)),IF(INDEX(Properties!A$1:CB$87,Formula!D82,5)=0,10^6,INDEX(Properties!A$1:CB$87,Formula!D82,5)),IF(INDEX(Properties!A$1:CB$87,Formula!F82,5)=0,10^6,INDEX(Properties!A$1:CB$87,Formula!F82,5)),IF(INDEX(Properties!A$1:CB$87,Formula!H82,5)=0,10^6,INDEX(Properties!A$1:CB$87,Formula!H82,5)),IF(INDEX(Properties!A$1:CB$87,Formula!J82,5)=0,10^6,INDEX(Properties!A$1:CB$87,Formula!J82,5)))</f>
        <v>2</v>
      </c>
      <c r="S82" s="89">
        <f t="shared" si="34"/>
        <v>2</v>
      </c>
      <c r="T82" s="60">
        <f>((Formula!C82)/(Formula!C82+Formula!E82+Formula!G82+Formula!I82+Formula!K82))*(INDEX(Properties!A$1:CB$87,Formula!B82,6))+((Formula!E82)/(Formula!C82+Formula!E82+Formula!G82+Formula!I82+Formula!K82))*(INDEX(Properties!A$1:CB$87,Formula!D82,6))+((Formula!G82)/(Formula!C82+Formula!E82+Formula!G82+Formula!I82+Formula!K82))*(INDEX(Properties!A$1:CB$87,Formula!F82,6))+((Formula!I82)/(Formula!C82+Formula!E82+Formula!G82+Formula!I82+Formula!K82))*(INDEX(Properties!A$1:CB$87,Formula!H82,6))+((Formula!K82)/(Formula!C82+Formula!E82+Formula!G82+Formula!I82+Formula!K82))*(INDEX(Properties!A$1:CB$87,Formula!J82,6))</f>
        <v>12.478260869565219</v>
      </c>
      <c r="U82" s="60">
        <f>Formula!C82*(INDEX(Properties!A$1:CB$87,Formula!B82,6))+Formula!E82*(INDEX(Properties!A$1:CB$87,Formula!D82,6))+Formula!G82*(INDEX(Properties!A$1:CB$87,Formula!F82,6))+Formula!I82*(INDEX(Properties!A$1:CB$87,Formula!H82,6))+Formula!K82*(INDEX(Properties!A$1:CB$87,Formula!J82,6))</f>
        <v>574</v>
      </c>
      <c r="V82" s="89">
        <f>VARP(IF(INDEX(Properties!A$1:CB$87,Formula!B82,6)&lt;&gt;"",INDEX(Properties!A$1:CB$87,Formula!B82,6)),IF(INDEX(Properties!A$1:CB$87,Formula!D82,6)&lt;&gt;"",INDEX(Properties!A$1:CB$87,Formula!D82,6)),IF(INDEX(Properties!A$1:CB$87,Formula!F82,6)&lt;&gt;"",INDEX(Properties!A$1:CB$87,Formula!F82,6)),IF(INDEX(Properties!A$1:CB$87,Formula!H82,6)&lt;&gt;"",INDEX(Properties!A$1:CB$87,Formula!H82,6)),IF(INDEX(Properties!A$1:CB$87,Formula!J82,6)&lt;&gt;"",INDEX(Properties!A$1:CB$87,Formula!J82,6)))</f>
        <v>46.16</v>
      </c>
      <c r="W82" s="60">
        <f>MAX(INDEX(Properties!A$1:CB$87,Formula!B82,6),INDEX(Properties!A$1:CB$87,Formula!D82,6),INDEX(Properties!A$1:CB$87,Formula!F82,6),INDEX(Properties!A$1:CB$87,Formula!H82,4),INDEX(Properties!A$1:CB$87,Formula!J82,6))</f>
        <v>16</v>
      </c>
      <c r="X82" s="60">
        <f>MIN(IF(INDEX(Properties!A$1:CB$87,Formula!B82,6)=0,10^6,INDEX(Properties!A$1:CB$87,Formula!B82,6)),IF(INDEX(Properties!A$1:CB$87,Formula!D82,6)=0,10^6,INDEX(Properties!A$1:CB$87,Formula!D82,6)),IF(INDEX(Properties!A$1:CB$87,Formula!F82,6)=0,10^6,INDEX(Properties!A$1:CB$87,Formula!F82,6)),IF(INDEX(Properties!A$1:CB$87,Formula!H82,6)=0,10^6,INDEX(Properties!A$1:CB$87,Formula!H82,6)),IF(INDEX(Properties!A$1:CB$87,Formula!J82,6)=0,10^6,INDEX(Properties!A$1:CB$87,Formula!J82,6)))</f>
        <v>1</v>
      </c>
      <c r="Y82" s="60">
        <f t="shared" si="35"/>
        <v>15</v>
      </c>
      <c r="Z82" s="72">
        <f>((Formula!C82)/(Formula!C82+Formula!E82+Formula!G82+Formula!I82+Formula!K82))*(INDEX(Properties!A$1:CB$87,Formula!B82,9))+((Formula!E82)/(Formula!C82+Formula!E82+Formula!G82+Formula!I82+Formula!K82))*(INDEX(Properties!A$1:CB$87,Formula!D82,9))+((Formula!G82)/(Formula!C82+Formula!E82+Formula!G82+Formula!I82+Formula!K82))*(INDEX(Properties!A$1:CB$87,Formula!F82,9))+((Formula!I82)/(Formula!C82+Formula!E82+Formula!G82+Formula!I82+Formula!K82))*(INDEX(Properties!A$1:CB$87,Formula!H82,9))+((Formula!K82)/(Formula!C82+Formula!E82+Formula!G82+Formula!I82+Formula!K82))*(INDEX(Properties!A$1:CB$87,Formula!J82,9))</f>
        <v>68.456521739130437</v>
      </c>
      <c r="AA82" s="72">
        <f>Formula!C82*(INDEX(Properties!A$1:CB$87,Formula!B82,9))+Formula!E82*(INDEX(Properties!A$1:CB$87,Formula!D82,9))+Formula!G82*(INDEX(Properties!A$1:CB$87,Formula!F82,9))+Formula!I82*(INDEX(Properties!A$1:CB$87,Formula!H82,9))+Formula!K82*(INDEX(Properties!A$1:CB$87,Formula!J82,9))</f>
        <v>3149</v>
      </c>
      <c r="AB82" s="72">
        <f>VARP(IF(INDEX(Properties!A$1:CB$87,Formula!B82,9)&lt;&gt;"",INDEX(Properties!A$1:CB$87,Formula!B82,9)),IF(INDEX(Properties!A$1:CB$87,Formula!D82,9)&lt;&gt;"",INDEX(Properties!A$1:CB$87,Formula!D82,9)),IF(INDEX(Properties!A$1:CB$87,Formula!F82,9)&lt;&gt;"",INDEX(Properties!A$1:CB$87,Formula!F82,9)),IF(INDEX(Properties!A$1:CB$87,Formula!H82,9)&lt;&gt;"",INDEX(Properties!A$1:CB$87,Formula!H82,9)),IF(INDEX(Properties!A$1:CB$87,Formula!J82,9)&lt;&gt;"",INDEX(Properties!A$1:CB$87,Formula!J82,9)))</f>
        <v>1405.76</v>
      </c>
      <c r="AC82" s="72">
        <f>MAX(INDEX(Properties!A$1:CB$87,Formula!B82,9),INDEX(Properties!A$1:CB$87,Formula!D82,9),INDEX(Properties!A$1:CB$87,Formula!F82,9),INDEX(Properties!A$1:CB$87,Formula!H82,9),INDEX(Properties!A$1:CB$87,Formula!J82,9))</f>
        <v>87</v>
      </c>
      <c r="AD82" s="72">
        <f>MIN(IF(INDEX(Properties!A$1:CB$87,Formula!B82,9)=0,10^6,INDEX(Properties!A$1:CB$87,Formula!B82,9)),IF(INDEX(Properties!A$1:CB$87,Formula!D82,9)=0,10^6,INDEX(Properties!A$1:CB$87,Formula!D82,9)),IF(INDEX(Properties!A$1:CB$87,Formula!F82,9)=0,10^6,INDEX(Properties!A$1:CB$87,Formula!F82,9)),IF(INDEX(Properties!A$1:CB$87,Formula!H82,9)=0,10^6,INDEX(Properties!A$1:CB$87,Formula!H82,9)),IF(INDEX(Properties!A$1:CB$87,Formula!J82,9)=0,10^6,INDEX(Properties!A$1:CB$87,Formula!J82,9)))</f>
        <v>1</v>
      </c>
      <c r="AE82" s="72">
        <f t="shared" si="36"/>
        <v>86</v>
      </c>
      <c r="AF82" s="51">
        <f>((Formula!C82)/(Formula!C82+Formula!E82+Formula!G82+Formula!I82+Formula!K82))*(INDEX(Properties!A$1:CB$87,Formula!B82,10))+((Formula!E82)/(Formula!C82+Formula!E82+Formula!G82+Formula!I82+Formula!K82))*(INDEX(Properties!A$1:CB$87,Formula!D82,10))+((Formula!G82)/(Formula!C82+Formula!E82+Formula!G82+Formula!I82+Formula!K82))*(INDEX(Properties!A$1:CB$87,Formula!F82,10))+((Formula!I82)/(Formula!C82+Formula!E82+Formula!G82+Formula!I82+Formula!K82))*(INDEX(Properties!A$1:CB$87,Formula!H82,10))+((Formula!K82)/(Formula!C82+Formula!E82+Formula!G82+Formula!I82+Formula!K82))*(INDEX(Properties!A$1:CB$87,Formula!J82,10))</f>
        <v>5.7826086956521738</v>
      </c>
      <c r="AG82" s="51">
        <f>Formula!C82*(INDEX(Properties!A$1:CB$87,Formula!B82,10))+Formula!E82*(INDEX(Properties!A$1:CB$87,Formula!D82,10))+Formula!G82*(INDEX(Properties!A$1:CB$87,Formula!F82,10))+Formula!I82*(INDEX(Properties!A$1:CB$87,Formula!H82,10))+Formula!K82*(INDEX(Properties!A$1:CB$87,Formula!J82,10))</f>
        <v>266</v>
      </c>
      <c r="AH82" s="51">
        <f>VARP(IF(INDEX(Properties!A$1:CB$87,Formula!B82,10)&lt;&gt;"",INDEX(Properties!A$1:CB$87,Formula!B82,10)),IF(INDEX(Properties!A$1:CB$87,Formula!D82,10)&lt;&gt;"",INDEX(Properties!A$1:CB$87,Formula!D82,10)),IF(INDEX(Properties!A$1:CB$87,Formula!F82,10)&lt;&gt;"",INDEX(Properties!A$1:CB$87,Formula!F82,10)),IF(INDEX(Properties!A$1:CB$87,Formula!H82,10)&lt;&gt;"",INDEX(Properties!A$1:CB$87,Formula!H82,10)),IF(INDEX(Properties!A$1:CB$87,Formula!J82,10)&lt;&gt;"",INDEX(Properties!A$1:CB$87,Formula!J82,10)))</f>
        <v>6.96</v>
      </c>
      <c r="AI82" s="51">
        <f>MAX(INDEX(Properties!A$1:CB$87,Formula!B82,10),INDEX(Properties!A$1:CB$87,Formula!D82,10),INDEX(Properties!A$1:CB$87,Formula!F82,10),INDEX(Properties!A$1:CB$87,Formula!H82,10),INDEX(Properties!A$1:CB$87,Formula!J82,10))</f>
        <v>7</v>
      </c>
      <c r="AJ82" s="51">
        <f>MIN(IF(INDEX(Properties!A$1:CB$87,Formula!B82,10)=0,10^6,INDEX(Properties!A$1:CB$87,Formula!B82,10)),IF(INDEX(Properties!A$1:CB$87,Formula!D82,10)=0,10^6,INDEX(Properties!A$1:CB$87,Formula!D82,10)),IF(INDEX(Properties!A$1:CB$87,Formula!F82,10)=0,10^6,INDEX(Properties!A$1:CB$87,Formula!F82,10)),IF(INDEX(Properties!A$1:CB$87,Formula!H82,10)=0,10^6,INDEX(Properties!A$1:CB$87,Formula!H82,10)),IF(INDEX(Properties!A$1:CB$87,Formula!J82,10)=0,10^6,INDEX(Properties!A$1:CB$87,Formula!J82,10)))</f>
        <v>1</v>
      </c>
      <c r="AK82" s="51">
        <f t="shared" si="37"/>
        <v>6</v>
      </c>
      <c r="AL82" s="57">
        <f>((Formula!C82)/(Formula!C82+Formula!E82+Formula!G82+Formula!I82+Formula!K82))*(INDEX(Properties!A$1:CB$87,Formula!B82,11))+((Formula!E82)/(Formula!C82+Formula!E82+Formula!G82+Formula!I82+Formula!K82))*(INDEX(Properties!A$1:CB$87,Formula!D82,11))+((Formula!G82)/(Formula!C82+Formula!E82+Formula!G82+Formula!I82+Formula!K82))*(INDEX(Properties!A$1:CB$87,Formula!F82,11))+((Formula!I82)/(Formula!C82+Formula!E82+Formula!G82+Formula!I82+Formula!K82))*(INDEX(Properties!A$1:CB$87,Formula!H82,11))+((Formula!K82)/(Formula!C82+Formula!E82+Formula!G82+Formula!I82+Formula!K82))*(INDEX(Properties!A$1:CB$87,Formula!J82,11))</f>
        <v>1.9782608695652175</v>
      </c>
      <c r="AM82" s="57">
        <f>Formula!C82*(INDEX(Properties!A$1:CB$87,Formula!B82,11))+Formula!E82*(INDEX(Properties!A$1:CB$87,Formula!D82,11))+Formula!G82*(INDEX(Properties!A$1:CB$87,Formula!F82,11))+Formula!I82*(INDEX(Properties!A$1:CB$87,Formula!H82,11))+Formula!K82*(INDEX(Properties!A$1:CB$87,Formula!J82,11))</f>
        <v>91</v>
      </c>
      <c r="AN82" s="57">
        <f>VARP(IF(INDEX(Properties!A$1:CB$87,Formula!B82,11)&lt;&gt;"",INDEX(Properties!A$1:CB$87,Formula!B82,11)),IF(INDEX(Properties!A$1:CB$87,Formula!D82,11)&lt;&gt;"",INDEX(Properties!A$1:CB$87,Formula!D82,11)),IF(INDEX(Properties!A$1:CB$87,Formula!F82,11)&lt;&gt;"",INDEX(Properties!A$1:CB$87,Formula!F82,11)),IF(INDEX(Properties!A$1:CB$87,Formula!H82,11)&lt;&gt;"",INDEX(Properties!A$1:CB$87,Formula!H82,11)),IF(INDEX(Properties!A$1:CB$87,Formula!J82,11)&lt;&gt;"",INDEX(Properties!A$1:CB$87,Formula!J82,11)))</f>
        <v>0.16</v>
      </c>
      <c r="AO82" s="57">
        <f>MAX(INDEX(Properties!A$1:CB$87,Formula!B82,11),INDEX(Properties!A$1:CB$87,Formula!D82,11),INDEX(Properties!A$1:CB$87,Formula!F82,11),INDEX(Properties!A$1:CB$87,Formula!H82,11),INDEX(Properties!A$1:CB$87,Formula!J82,11))</f>
        <v>2</v>
      </c>
      <c r="AP82" s="57">
        <f>MIN(IF(Formula!B82=87,10^6,INDEX(Properties!A$1:CB$87,Formula!B82,11)),IF((Formula!D82)=87,10^6,INDEX(Properties!A$1:CB$87,Formula!D82,11)),IF((Formula!F82)=87,10^6,INDEX(Properties!A$1:CB$87,Formula!F82,11)),IF((Formula!H82)=87,10^6,INDEX(Properties!A$1:CB$87,Formula!H82,11)),IF(Formula!J82=87,10^6,INDEX(Properties!A$1:CB$87,Formula!J82,11)))</f>
        <v>1</v>
      </c>
      <c r="AQ82" s="57">
        <f t="shared" si="38"/>
        <v>1</v>
      </c>
      <c r="AR82" s="78">
        <f>((Formula!C82)/(Formula!C82+Formula!E82+Formula!G82+Formula!I82+Formula!K82))*(INDEX(Properties!A$1:CB$87,Formula!B82,12))+((Formula!E82)/(Formula!C82+Formula!E82+Formula!G82+Formula!I82+Formula!K82))*(INDEX(Properties!A$1:CB$87,Formula!D82,12))+((Formula!G82)/(Formula!C82+Formula!E82+Formula!G82+Formula!I82+Formula!K82))*(INDEX(Properties!A$1:CB$87,Formula!F82,12))+((Formula!I82)/(Formula!C82+Formula!E82+Formula!G82+Formula!I82+Formula!K82))*(INDEX(Properties!A$1:CB$87,Formula!H82,12))+((Formula!K82)/(Formula!C82+Formula!E82+Formula!G82+Formula!I82+Formula!K82))*(INDEX(Properties!A$1:CB$87,Formula!J82,12))</f>
        <v>2.8913043478260869</v>
      </c>
      <c r="AS82" s="78">
        <f>Formula!C82*(INDEX(Properties!A$1:CB$87,Formula!B82,12))+Formula!E82*(INDEX(Properties!A$1:CB$87,Formula!D82,12))+Formula!G82*(INDEX(Properties!A$1:CB$87,Formula!F82,12))+Formula!I82*(INDEX(Properties!A$1:CB$87,Formula!H82,12))+Formula!K82*(INDEX(Properties!A$1:CB$87,Formula!J82,12))</f>
        <v>133</v>
      </c>
      <c r="AT82" s="78">
        <f>VARP(IF(INDEX(Properties!A$1:CB$87,Formula!B82,12)&lt;&gt;"",INDEX(Properties!A$1:CB$87,Formula!B82,12)),IF(INDEX(Properties!A$1:CB$87,Formula!D82,12)&lt;&gt;"",INDEX(Properties!A$1:CB$87,Formula!D82,12)),IF(INDEX(Properties!A$1:CB$87,Formula!F82,12)&lt;&gt;"",INDEX(Properties!A$1:CB$87,Formula!F82,12)),IF(INDEX(Properties!A$1:CB$87,Formula!H82,12)&lt;&gt;"",INDEX(Properties!A$1:CB$87,Formula!H82,12)),IF(INDEX(Properties!A$1:CB$87,Formula!J82,12)&lt;&gt;"",INDEX(Properties!A$1:CB$87,Formula!J82,12)))</f>
        <v>3.04</v>
      </c>
      <c r="AU82" s="78">
        <f>MAX(INDEX(Properties!A$1:CB$87,Formula!B82,12),INDEX(Properties!A$1:CB$87,Formula!D82,12),INDEX(Properties!A$1:CB$87,Formula!F82,12),INDEX(Properties!A$1:CB$87,Formula!H82,12),INDEX(Properties!A$1:CB$87,Formula!J82,12))</f>
        <v>4</v>
      </c>
      <c r="AV82" s="78">
        <f>MIN(IF(Formula!B82=87,10^6,INDEX(Properties!A$1:CB$87,Formula!B82,12)),IF((Formula!D82)=87,10^6,INDEX(Properties!A$1:CB$87,Formula!D82,12)),IF((Formula!F82)=87,10^6,INDEX(Properties!A$1:CB$87,Formula!F82,12)),IF((Formula!H82)=87,10^6,INDEX(Properties!A$1:CB$87,Formula!H82,12)),IF(Formula!J82=87,10^6,INDEX(Properties!A$1:CB$87,Formula!J82,12)))</f>
        <v>0</v>
      </c>
      <c r="AW82" s="78">
        <f t="shared" si="39"/>
        <v>4</v>
      </c>
      <c r="AX82" s="45">
        <f>((Formula!C82)/(Formula!C82+Formula!E82+Formula!G82+Formula!I82+Formula!K82))*(INDEX(Properties!A$1:CB$87,Formula!B82,13))+((Formula!E82)/(Formula!C82+Formula!E82+Formula!G82+Formula!I82+Formula!K82))*(INDEX(Properties!A$1:CB$87,Formula!D82,13))+((Formula!G82)/(Formula!C82+Formula!E82+Formula!G82+Formula!I82+Formula!K82))*(INDEX(Properties!A$1:CB$87,Formula!F82,13))+((Formula!I82)/(Formula!C82+Formula!E82+Formula!G82+Formula!I82+Formula!K82))*(INDEX(Properties!A$1:CB$87,Formula!H82,13))+((Formula!K82)/(Formula!C82+Formula!E82+Formula!G82+Formula!I82+Formula!K82))*(INDEX(Properties!A$1:CB$87,Formula!J82,13))</f>
        <v>0</v>
      </c>
      <c r="AY82" s="45">
        <f>Formula!C82*(INDEX(Properties!A$1:CB$87,Formula!B82,13))+Formula!E82*(INDEX(Properties!A$1:CB$87,Formula!D82,13))+Formula!G82*(INDEX(Properties!A$1:CB$87,Formula!F82,13))+Formula!I82*(INDEX(Properties!A$1:CB$87,Formula!H82,13))+Formula!K82*(INDEX(Properties!A$1:CB$87,Formula!J82,13))</f>
        <v>0</v>
      </c>
      <c r="AZ82" s="45">
        <f>VARP(IF(INDEX(Properties!A$1:CB$87,Formula!B82,13)&lt;&gt;"",INDEX(Properties!A$1:CB$87,Formula!B82,13)),IF(INDEX(Properties!A$1:CB$87,Formula!D82,13)&lt;&gt;"",INDEX(Properties!A$1:CB$87,Formula!D82,13)),IF(INDEX(Properties!A$1:CB$87,Formula!F82,13)&lt;&gt;"",INDEX(Properties!A$1:CB$87,Formula!F82,13)),IF(INDEX(Properties!A$1:CB$87,Formula!H82,13)&lt;&gt;"",INDEX(Properties!A$1:CB$87,Formula!H82,13)),IF(INDEX(Properties!A$1:CB$87,Formula!J82,13)&lt;&gt;"",INDEX(Properties!A$1:CB$87,Formula!J82,13)))</f>
        <v>0</v>
      </c>
      <c r="BA82" s="45">
        <f>MAX(INDEX(Properties!A$1:CB$87,Formula!B82,13),INDEX(Properties!A$1:CB$87,Formula!D82,13),INDEX(Properties!A$1:CB$87,Formula!F82,13),INDEX(Properties!A$1:CB$87,Formula!H82,13),INDEX(Properties!A$1:CB$87,Formula!J82,13))</f>
        <v>0</v>
      </c>
      <c r="BB82" s="45">
        <f>MIN(IF(Formula!B82=87,10^6,INDEX(Properties!A$1:CB$87,Formula!B82,13)),IF((Formula!D82)=87,10^6,INDEX(Properties!A$1:CB$87,Formula!D82,13)),IF((Formula!F82)=87,10^6,INDEX(Properties!A$1:CB$87,Formula!F82,13)),IF((Formula!H82)=87,10^6,INDEX(Properties!A$1:CB$87,Formula!H82,13)),IF(Formula!J82=87,10^6,INDEX(Properties!A$1:CB$87,Formula!J82,13)))</f>
        <v>0</v>
      </c>
      <c r="BC82" s="45">
        <f t="shared" si="40"/>
        <v>0</v>
      </c>
      <c r="BD82" s="63">
        <f>((Formula!C82)/(Formula!C82+Formula!E82+Formula!G82+Formula!I82+Formula!K82))*(INDEX(Properties!A$1:CB$87,Formula!B82,14))+((Formula!E82)/(Formula!C82+Formula!E82+Formula!G82+Formula!I82+Formula!K82))*(INDEX(Properties!A$1:CB$87,Formula!D82,14))+((Formula!G82)/(Formula!C82+Formula!E82+Formula!G82+Formula!I82+Formula!K82))*(INDEX(Properties!A$1:CB$87,Formula!F82,14))+((Formula!I82)/(Formula!C82+Formula!E82+Formula!G82+Formula!I82+Formula!K82))*(INDEX(Properties!A$1:CB$87,Formula!H82,14))+((Formula!K82)/(Formula!C82+Formula!E82+Formula!G82+Formula!I82+Formula!K82))*(INDEX(Properties!A$1:CB$87,Formula!J82,14))</f>
        <v>0</v>
      </c>
      <c r="BE82" s="63">
        <f>Formula!C82*(INDEX(Properties!A$1:CB$87,Formula!B82,14))+Formula!E82*(INDEX(Properties!A$1:CB$87,Formula!D82,14))+Formula!G82*(INDEX(Properties!A$1:CB$87,Formula!F82,14))+Formula!I82*(INDEX(Properties!A$1:CB$87,Formula!H82,14))+Formula!K82*(INDEX(Properties!A$1:CB$87,Formula!J82,14))</f>
        <v>0</v>
      </c>
      <c r="BF82" s="63">
        <f>VARP(IF(INDEX(Properties!A$1:CB$87,Formula!B82,14)&lt;&gt;"",INDEX(Properties!A$1:CB$87,Formula!B82,14)),IF(INDEX(Properties!A$1:CB$87,Formula!D82,14)&lt;&gt;"",INDEX(Properties!A$1:CB$87,Formula!D82,14)),IF(INDEX(Properties!A$1:CB$87,Formula!F82,14)&lt;&gt;"",INDEX(Properties!A$1:CB$87,Formula!F82,14)),IF(INDEX(Properties!A$1:CB$87,Formula!H82,14)&lt;&gt;"",INDEX(Properties!A$1:CB$87,Formula!H82,14)),IF(INDEX(Properties!A$1:CB$87,Formula!J82,14)&lt;&gt;"",INDEX(Properties!A$1:CB$87,Formula!J82,14)))</f>
        <v>0</v>
      </c>
      <c r="BG82" s="63">
        <f>MAX(INDEX(Properties!A$1:CB$87,Formula!B82,14),INDEX(Properties!A$1:CB$87,Formula!D82,14),INDEX(Properties!A$1:CB$87,Formula!F82,14),INDEX(Properties!A$1:CB$87,Formula!H82,14),INDEX(Properties!A$1:CB$87,Formula!J82,14))</f>
        <v>0</v>
      </c>
      <c r="BH82" s="63">
        <f>MIN(IF(Formula!B82=87,10^6,INDEX(Properties!A$1:CB$87,Formula!B82,14)),IF((Formula!D82)=87,10^6,INDEX(Properties!A$1:CB$87,Formula!D82,14)),IF((Formula!F82)=87,10^6,INDEX(Properties!A$1:CB$87,Formula!F82,14)),IF((Formula!H82)=87,10^6,INDEX(Properties!A$1:CB$87,Formula!H82,14)),IF(Formula!J82=87,10^6,INDEX(Properties!A$1:CB$87,Formula!J82,14)))</f>
        <v>0</v>
      </c>
      <c r="BI82" s="63">
        <f t="shared" si="41"/>
        <v>0</v>
      </c>
      <c r="BJ82" s="75">
        <f>((Formula!C82)/(Formula!C82+Formula!E82+Formula!G82+Formula!I82+Formula!K82))*(INDEX(Properties!A$1:CB$87,Formula!B82,19))+((Formula!E82)/(Formula!C82+Formula!E82+Formula!G82+Formula!I82+Formula!K82))*(INDEX(Properties!A$1:CB$87,Formula!D82,19))+((Formula!G82)/(Formula!C82+Formula!E82+Formula!G82+Formula!I82+Formula!K82))*(INDEX(Properties!A$1:CB$87,Formula!F82,19))+((Formula!I82)/(Formula!C82+Formula!E82+Formula!G82+Formula!I82+Formula!K82))*(INDEX(Properties!A$1:CB$87,Formula!H82,19))+((Formula!K82)/(Formula!C82+Formula!E82+Formula!G82+Formula!I82+Formula!K82))*(INDEX(Properties!A$1:CB$87,Formula!J82,19))</f>
        <v>4.8695652173913047</v>
      </c>
      <c r="BK82" s="75">
        <f>Formula!C82*(INDEX(Properties!A$1:CB$87,Formula!B82,19))+Formula!E82*(INDEX(Properties!A$1:CB$87,Formula!D82,19))+Formula!G82*(INDEX(Properties!A$1:CB$87,Formula!F82,19))+Formula!I82*(INDEX(Properties!A$1:CB$87,Formula!H82,19))+Formula!K82*(INDEX(Properties!A$1:CB$87,Formula!J82,19))</f>
        <v>224</v>
      </c>
      <c r="BL82" s="75">
        <f>VARP(IF(INDEX(Properties!A$1:CB$87,Formula!B82,19)&lt;&gt;"",INDEX(Properties!A$1:CB$87,Formula!B82,19)),IF(INDEX(Properties!A$1:CB$87,Formula!D82,19)&lt;&gt;"",INDEX(Properties!A$1:CB$87,Formula!D82,19)),IF(INDEX(Properties!A$1:CB$87,Formula!F82,19)&lt;&gt;"",INDEX(Properties!A$1:CB$87,Formula!F82,19)),IF(INDEX(Properties!A$1:CB$87,Formula!H82,19)&lt;&gt;"",INDEX(Properties!A$1:CB$87,Formula!H82,19)),IF(INDEX(Properties!A$1:CB$87,Formula!J82,19)&lt;&gt;"",INDEX(Properties!A$1:CB$87,Formula!J82,19)))</f>
        <v>3.76</v>
      </c>
      <c r="BM82" s="75">
        <f>MAX(INDEX(Properties!A$1:CB$87,Formula!B82,19),INDEX(Properties!A$1:CB$87,Formula!D82,19),INDEX(Properties!A$1:CB$87,Formula!F82,19),INDEX(Properties!A$1:CB$87,Formula!H82,19),INDEX(Properties!A$1:CB$87,Formula!J82,19))</f>
        <v>6</v>
      </c>
      <c r="BN82" s="75">
        <f>MIN(IF(INDEX(Properties!A$1:CB$87,Formula!B82,19)=0,10^6,INDEX(Properties!A$1:CB$87,Formula!B82,19)),IF(INDEX(Properties!A$1:CB$87,Formula!D82,19)=0,10^6,INDEX(Properties!A$1:CB$87,Formula!D82,19)),IF(INDEX(Properties!A$1:CB$87,Formula!F82,19)=0,10^6,INDEX(Properties!A$1:CB$87,Formula!F82,19)),IF(INDEX(Properties!A$1:CB$87,Formula!H82,19)=0,10^6,INDEX(Properties!A$1:CB$87,Formula!H82,19)),IF(INDEX(Properties!A$1:CB$87,Formula!J82,19)=0,10^6,INDEX(Properties!A$1:CB$87,Formula!J82,19)))</f>
        <v>1</v>
      </c>
      <c r="BO82" s="75">
        <f t="shared" si="42"/>
        <v>5</v>
      </c>
      <c r="BP82" s="48">
        <f>((Formula!C82)/(Formula!C82+Formula!E82+Formula!G82+Formula!I82+Formula!K82))*(INDEX(Properties!A$1:CB$87,Formula!B82,20))+((Formula!E82)/(Formula!C82+Formula!E82+Formula!G82+Formula!I82+Formula!K82))*(INDEX(Properties!A$1:CB$87,Formula!D82,20))+((Formula!G82)/(Formula!C82+Formula!E82+Formula!G82+Formula!I82+Formula!K82))*(INDEX(Properties!A$1:CB$87,Formula!F82,20))+((Formula!I82)/(Formula!C82+Formula!E82+Formula!G82+Formula!I82+Formula!K82))*(INDEX(Properties!A$1:CB$87,Formula!H82,20))+((Formula!K82)/(Formula!C82+Formula!E82+Formula!G82+Formula!I82+Formula!K82))*(INDEX(Properties!A$1:CB$87,Formula!J82,20))</f>
        <v>4.8695652173913047</v>
      </c>
      <c r="BQ82" s="48">
        <f>Formula!C82*(INDEX(Properties!A$1:CB$87,Formula!B82,20))+Formula!E82*(INDEX(Properties!A$1:CB$87,Formula!D82,20))+Formula!G82*(INDEX(Properties!A$1:CB$87,Formula!F82,20))+Formula!I82*(INDEX(Properties!A$1:CB$87,Formula!H82,20))+Formula!K82*(INDEX(Properties!A$1:CB$87,Formula!J82,20))</f>
        <v>224</v>
      </c>
      <c r="BR82" s="48">
        <f>VARP(IF(INDEX(Properties!A$1:CB$87,Formula!B82,20)&lt;&gt;"",INDEX(Properties!A$1:CB$87,Formula!B82,20)),IF(INDEX(Properties!A$1:CB$87,Formula!D82,20)&lt;&gt;"",INDEX(Properties!A$1:CB$87,Formula!D82,20)),IF(INDEX(Properties!A$1:CB$87,Formula!F82,20)&lt;&gt;"",INDEX(Properties!A$1:CB$87,Formula!F82,20)),IF(INDEX(Properties!A$1:CB$87,Formula!H82,20)&lt;&gt;"",INDEX(Properties!A$1:CB$87,Formula!H82,20)),IF(INDEX(Properties!A$1:CB$87,Formula!J82,20)&lt;&gt;"",INDEX(Properties!A$1:CB$87,Formula!J82,20)))</f>
        <v>3.76</v>
      </c>
      <c r="BS82" s="48">
        <f>MAX(INDEX(Properties!A$1:CB$87,Formula!B82,20),INDEX(Properties!A$1:CB$87,Formula!D82,20),INDEX(Properties!A$1:CB$87,Formula!F82,20),INDEX(Properties!A$1:CB$87,Formula!H82,20),INDEX(Properties!A$1:CB$87,Formula!J82,20))</f>
        <v>6</v>
      </c>
      <c r="BT82" s="48">
        <f>MIN(IF(INDEX(Properties!A$1:CB$87,Formula!B82,20)=0,10^6,INDEX(Properties!A$1:CB$87,Formula!B82,20)),IF(INDEX(Properties!A$1:CB$87,Formula!D82,20)=0,10^6,INDEX(Properties!A$1:CB$87,Formula!D82,20)),IF(INDEX(Properties!A$1:CB$87,Formula!F82,20)=0,10^6,INDEX(Properties!A$1:CB$87,Formula!F82,20)),IF(INDEX(Properties!A$1:CB$87,Formula!H82,20)=0,10^6,INDEX(Properties!A$1:CB$87,Formula!H82,20)),IF(INDEX(Properties!A$1:CB$87,Formula!J82,20)=0,10^6,INDEX(Properties!A$1:CB$87,Formula!J82,20)))</f>
        <v>1</v>
      </c>
      <c r="BU82" s="48">
        <f t="shared" si="43"/>
        <v>5</v>
      </c>
      <c r="BV82" s="66">
        <f>((Formula!C82)/(Formula!C82+Formula!E82+Formula!G82+Formula!I82+Formula!K82))*(INDEX(Properties!A$1:CB$87,Formula!B82,21))+((Formula!E82)/(Formula!C82+Formula!E82+Formula!G82+Formula!I82+Formula!K82))*(INDEX(Properties!A$1:CB$87,Formula!D82,21))+((Formula!G82)/(Formula!C82+Formula!E82+Formula!G82+Formula!I82+Formula!K82))*(INDEX(Properties!A$1:CB$87,Formula!F82,21))+((Formula!I82)/(Formula!C82+Formula!E82+Formula!G82+Formula!I82+Formula!K82))*(INDEX(Properties!A$1:CB$87,Formula!H82,21))+((Formula!K82)/(Formula!C82+Formula!E82+Formula!G82+Formula!I82+Formula!K82))*(INDEX(Properties!A$1:CB$87,Formula!J82,21))</f>
        <v>4.8695652173913047</v>
      </c>
      <c r="BW82" s="66">
        <f>Formula!C82*(INDEX(Properties!A$1:CB$87,Formula!B82,21))+Formula!E82*(INDEX(Properties!A$1:CB$87,Formula!D82,21))+Formula!G82*(INDEX(Properties!A$1:CB$87,Formula!F82,21))+Formula!I82*(INDEX(Properties!A$1:CB$87,Formula!H82,21))+Formula!K82*(INDEX(Properties!A$1:CB$87,Formula!J82,21))</f>
        <v>224</v>
      </c>
      <c r="BX82" s="66">
        <f>VARP(IF(INDEX(Properties!A$1:CB$87,Formula!B82,21)&lt;&gt;"",INDEX(Properties!A$1:CB$87,Formula!B82,21)),IF(INDEX(Properties!A$1:CB$87,Formula!D82,21)&lt;&gt;"",INDEX(Properties!A$1:CB$87,Formula!D82,21)),IF(INDEX(Properties!A$1:CB$87,Formula!F82,21)&lt;&gt;"",INDEX(Properties!A$1:CB$87,Formula!F82,21)),IF(INDEX(Properties!A$1:CB$87,Formula!H82,21)&lt;&gt;"",INDEX(Properties!A$1:CB$87,Formula!H82,21)),IF(INDEX(Properties!A$1:CB$87,Formula!J82,21)&lt;&gt;"",INDEX(Properties!A$1:CB$87,Formula!J82,21)))</f>
        <v>3.76</v>
      </c>
      <c r="BY82" s="66">
        <f>MAX(INDEX(Properties!A$1:CB$87,Formula!B82,21),INDEX(Properties!A$1:CB$87,Formula!D82,21),INDEX(Properties!A$1:CB$87,Formula!F82,21),INDEX(Properties!A$1:CB$87,Formula!H82,21),INDEX(Properties!A$1:CB$87,Formula!J82,21))</f>
        <v>6</v>
      </c>
      <c r="BZ82" s="66">
        <f>MIN(IF(INDEX(Properties!A$1:CB$87,Formula!B82,21)=0,10^6,INDEX(Properties!A$1:CB$87,Formula!B82,21)),IF(INDEX(Properties!A$1:CB$87,Formula!D82,21)=0,10^6,INDEX(Properties!A$1:CB$87,Formula!D82,21)),IF(INDEX(Properties!A$1:CB$87,Formula!F82,21)=0,10^6,INDEX(Properties!A$1:CB$87,Formula!F82,21)),IF(INDEX(Properties!A$1:CB$87,Formula!H82,21)=0,10^6,INDEX(Properties!A$1:CB$87,Formula!H82,21)),IF(INDEX(Properties!A$1:CB$87,Formula!J82,21)=0,10^6,INDEX(Properties!A$1:CB$87,Formula!J82,21)))</f>
        <v>1</v>
      </c>
      <c r="CA82" s="66">
        <f t="shared" si="44"/>
        <v>5</v>
      </c>
      <c r="CB82" s="81">
        <f>((Formula!C82)/(Formula!C82+Formula!E82+Formula!G82+Formula!I82+Formula!K82))*(INDEX(Properties!A$1:CB$87,Formula!B82,23))+((Formula!E82)/(Formula!C82+Formula!E82+Formula!G82+Formula!I82+Formula!K82))*(INDEX(Properties!A$1:CB$87,Formula!D82,23))+((Formula!G82)/(Formula!C82+Formula!E82+Formula!G82+Formula!I82+Formula!K82))*(INDEX(Properties!A$1:CB$87,Formula!F82,23))+((Formula!I82)/(Formula!C82+Formula!E82+Formula!G82+Formula!I82+Formula!K82))*(INDEX(Properties!A$1:CB$87,Formula!H82,23))+((Formula!K82)/(Formula!C82+Formula!E82+Formula!G82+Formula!I82+Formula!K82))*(INDEX(Properties!A$1:CB$87,Formula!J82,23))</f>
        <v>0.91304347826086962</v>
      </c>
      <c r="CC82" s="81">
        <f>Formula!C82*(INDEX(Properties!A$1:CB$87,Formula!B82,23))+Formula!E82*(INDEX(Properties!A$1:CB$87,Formula!D82,23))+Formula!G82*(INDEX(Properties!A$1:CB$87,Formula!F82,23))+Formula!I82*(INDEX(Properties!A$1:CB$87,Formula!H82,23))+Formula!K82*(INDEX(Properties!A$1:CB$87,Formula!J82,23))</f>
        <v>42</v>
      </c>
      <c r="CD82" s="81">
        <f>VARP(IF(INDEX(Properties!A$1:CB$87,Formula!B82,23)&lt;&gt;"",INDEX(Properties!A$1:CB$87,Formula!B82,23)),IF(INDEX(Properties!A$1:CB$87,Formula!D82,23)&lt;&gt;"",INDEX(Properties!A$1:CB$87,Formula!D82,23)),IF(INDEX(Properties!A$1:CB$87,Formula!F82,23)&lt;&gt;"",INDEX(Properties!A$1:CB$87,Formula!F82,23)),IF(INDEX(Properties!A$1:CB$87,Formula!H82,23)&lt;&gt;"",INDEX(Properties!A$1:CB$87,Formula!H82,23)),IF(INDEX(Properties!A$1:CB$87,Formula!J82,23)&lt;&gt;"",INDEX(Properties!A$1:CB$87,Formula!J82,23)))</f>
        <v>1.04</v>
      </c>
      <c r="CE82" s="81">
        <f>MAX(INDEX(Properties!A$1:CB$87,Formula!B82,23),INDEX(Properties!A$1:CB$87,Formula!D82,23),INDEX(Properties!A$1:CB$87,Formula!F82,23),INDEX(Properties!A$1:CB$87,Formula!H82,23),INDEX(Properties!A$1:CB$87,Formula!J82,23))</f>
        <v>3</v>
      </c>
      <c r="CF82" s="81">
        <f>MIN(IF(Formula!B82=87,10^6,INDEX(Properties!A$1:CB$87,Formula!B82,23)),IF((Formula!D82)=87,10^6,INDEX(Properties!A$1:CB$87,Formula!D82,23)),IF((Formula!F82)=87,10^6,INDEX(Properties!A$1:CB$87,Formula!F82,23)),IF((Formula!H82)=87,10^6,INDEX(Properties!A$1:CB$87,Formula!H82,23)),IF(Formula!J82=87,10^6,INDEX(Properties!A$1:CB$87,Formula!J82,23)))</f>
        <v>0</v>
      </c>
      <c r="CG82" s="81">
        <f t="shared" si="45"/>
        <v>3</v>
      </c>
      <c r="CH82" s="39">
        <f>((Formula!C82)/(Formula!C82+Formula!E82+Formula!G82+Formula!I82+Formula!K82))*(INDEX(Properties!A$1:CB$87,Formula!B82,26))+((Formula!E82)/(Formula!C82+Formula!E82+Formula!G82+Formula!I82+Formula!K82))*(INDEX(Properties!A$1:CB$87,Formula!D82,26))+((Formula!G82)/(Formula!C82+Formula!E82+Formula!G82+Formula!I82+Formula!K82))*(INDEX(Properties!A$1:CB$87,Formula!F82,26))+((Formula!I82)/(Formula!C82+Formula!E82+Formula!G82+Formula!I82+Formula!K82))*(INDEX(Properties!A$1:CB$87,Formula!H82,26))+((Formula!K82)/(Formula!C82+Formula!E82+Formula!G82+Formula!I82+Formula!K82))*(INDEX(Properties!A$1:CB$87,Formula!J82,26))</f>
        <v>11.364573913043479</v>
      </c>
      <c r="CI82" s="39">
        <f>Formula!C82*(INDEX(Properties!A$1:CB$87,Formula!B82,26))+Formula!E82*(INDEX(Properties!A$1:CB$87,Formula!D82,26))+Formula!G82*(INDEX(Properties!A$1:CB$87,Formula!F82,26))+Formula!I82*(INDEX(Properties!A$1:CB$87,Formula!H82,26))+Formula!K82*(INDEX(Properties!A$1:CB$87,Formula!J82,26))</f>
        <v>522.7704</v>
      </c>
      <c r="CJ82" s="39">
        <f>VARP(IF(INDEX(Properties!A$1:CB$87,Formula!B82,26)&lt;&gt;"",INDEX(Properties!A$1:CB$87,Formula!B82,26)),IF(INDEX(Properties!A$1:CB$87,Formula!D82,26)&lt;&gt;"",INDEX(Properties!A$1:CB$87,Formula!D82,26)),IF(INDEX(Properties!A$1:CB$87,Formula!F82,26)&lt;&gt;"",INDEX(Properties!A$1:CB$87,Formula!F82,26)),IF(INDEX(Properties!A$1:CB$87,Formula!H82,26)&lt;&gt;"",INDEX(Properties!A$1:CB$87,Formula!H82,26)),IF(INDEX(Properties!A$1:CB$87,Formula!J82,26)&lt;&gt;"",INDEX(Properties!A$1:CB$87,Formula!J82,26)))</f>
        <v>9.2229930216000131</v>
      </c>
      <c r="CK82" s="39">
        <f>MAX(INDEX(Properties!A$1:CB$87,Formula!B82,26),INDEX(Properties!A$1:CB$87,Formula!D82,26),INDEX(Properties!A$1:CB$87,Formula!F82,26),INDEX(Properties!A$1:CB$87,Formula!H82,26),INDEX(Properties!A$1:CB$87,Formula!J82,26))</f>
        <v>13.6181</v>
      </c>
      <c r="CL82" s="39">
        <f>MIN(IF(INDEX(Properties!A$1:CB$87,Formula!B82,26)=0,10^6,INDEX(Properties!A$1:CB$87,Formula!B82,26)),IF(INDEX(Properties!A$1:CB$87,Formula!D82,26)=0,10^6,INDEX(Properties!A$1:CB$87,Formula!D82,26)),IF(INDEX(Properties!A$1:CB$87,Formula!F82,26)=0,10^6,INDEX(Properties!A$1:CB$87,Formula!F82,26)),IF(INDEX(Properties!A$1:CB$87,Formula!H82,26)=0,10^6,INDEX(Properties!A$1:CB$87,Formula!H82,26)),IF(INDEX(Properties!A$1:CB$87,Formula!J82,26)=0,10^6,INDEX(Properties!A$1:CB$87,Formula!J82,26)))</f>
        <v>5.3917000000000002</v>
      </c>
      <c r="CM82" s="39">
        <f t="shared" si="46"/>
        <v>8.2263999999999999</v>
      </c>
      <c r="CN82" s="54">
        <f>((Formula!C82)/(Formula!C82+Formula!E82+Formula!G82+Formula!I82+Formula!K82))*(INDEX(Properties!A$1:CB$87,Formula!B82,30))+((Formula!E82)/(Formula!C82+Formula!E82+Formula!G82+Formula!I82+Formula!K82))*(INDEX(Properties!A$1:CB$87,Formula!D82,30))+((Formula!G82)/(Formula!C82+Formula!E82+Formula!G82+Formula!I82+Formula!K82))*(INDEX(Properties!A$1:CB$87,Formula!F82,30))+((Formula!I82)/(Formula!C82+Formula!E82+Formula!G82+Formula!I82+Formula!K82))*(INDEX(Properties!A$1:CB$87,Formula!H82,30))+((Formula!K82)/(Formula!C82+Formula!E82+Formula!G82+Formula!I82+Formula!K82))*(INDEX(Properties!A$1:CB$87,Formula!J82,30))</f>
        <v>2.6726086956521744</v>
      </c>
      <c r="CO82" s="54">
        <f>Formula!C82*(INDEX(Properties!A$1:CB$87,Formula!B82,30))+Formula!E82*(INDEX(Properties!A$1:CB$87,Formula!D82,30))+Formula!G82*(INDEX(Properties!A$1:CB$87,Formula!F82,30))+Formula!I82*(INDEX(Properties!A$1:CB$87,Formula!H82,30))+Formula!K82*(INDEX(Properties!A$1:CB$87,Formula!J82,30))</f>
        <v>122.94</v>
      </c>
      <c r="CP82" s="54">
        <f>VARP(IF(INDEX(Properties!A$1:CB$87,Formula!B82,30)&lt;&gt;"",INDEX(Properties!A$1:CB$87,Formula!B82,30)),IF(INDEX(Properties!A$1:CB$87,Formula!D82,30)&lt;&gt;"",INDEX(Properties!A$1:CB$87,Formula!D82,30)),IF(INDEX(Properties!A$1:CB$87,Formula!F82,30)&lt;&gt;"",INDEX(Properties!A$1:CB$87,Formula!F82,30)),IF(INDEX(Properties!A$1:CB$87,Formula!H82,30)&lt;&gt;"",INDEX(Properties!A$1:CB$87,Formula!H82,30)),IF(INDEX(Properties!A$1:CB$87,Formula!J82,30)&lt;&gt;"",INDEX(Properties!A$1:CB$87,Formula!J82,30)))</f>
        <v>0.87858399999999903</v>
      </c>
      <c r="CQ82" s="54">
        <f>MAX(INDEX(Properties!A$1:CB$87,Formula!B82,30),INDEX(Properties!A$1:CB$87,Formula!D82,30),INDEX(Properties!A$1:CB$87,Formula!F82,30),INDEX(Properties!A$1:CB$87,Formula!H82,30),INDEX(Properties!A$1:CB$87,Formula!J82,30))</f>
        <v>3.44</v>
      </c>
      <c r="CR82" s="54">
        <f>MIN(IF(INDEX(Properties!A$1:CB$87,Formula!B82,30)=0,10^6,INDEX(Properties!A$1:CB$87,Formula!B82,30)),IF(INDEX(Properties!A$1:CB$87,Formula!D82,30)=0,10^6,INDEX(Properties!A$1:CB$87,Formula!D82,30)),IF(INDEX(Properties!A$1:CB$87,Formula!F82,30)=0,10^6,INDEX(Properties!A$1:CB$87,Formula!F82,30)),IF(INDEX(Properties!A$1:CB$87,Formula!H82,30)=0,10^6,INDEX(Properties!A$1:CB$87,Formula!H82,30)),IF(INDEX(Properties!A$1:CB$87,Formula!J82,30)=0,10^6,INDEX(Properties!A$1:CB$87,Formula!J82,30)))</f>
        <v>0.98</v>
      </c>
      <c r="CS82" s="54">
        <f t="shared" si="47"/>
        <v>2.46</v>
      </c>
      <c r="CT82" s="69">
        <f>((Formula!C82)/(Formula!C82+Formula!E82+Formula!G82+Formula!I82+Formula!K82))*(INDEX(Properties!A$1:CB$87,Formula!B82,31))+((Formula!E82)/(Formula!C82+Formula!E82+Formula!G82+Formula!I82+Formula!K82))*(INDEX(Properties!A$1:CB$87,Formula!D82,31))+((Formula!G82)/(Formula!C82+Formula!E82+Formula!G82+Formula!I82+Formula!K82))*(INDEX(Properties!A$1:CB$87,Formula!F82,31))+((Formula!I82)/(Formula!C82+Formula!E82+Formula!G82+Formula!I82+Formula!K82))*(INDEX(Properties!A$1:CB$87,Formula!H82,31))+((Formula!K82)/(Formula!C82+Formula!E82+Formula!G82+Formula!I82+Formula!K82))*(INDEX(Properties!A$1:CB$87,Formula!J82,31))</f>
        <v>2.6508695652173913</v>
      </c>
      <c r="CU82" s="69">
        <f>Formula!C82*(INDEX(Properties!A$1:CB$87,Formula!B82,31))+Formula!E82*(INDEX(Properties!A$1:CB$87,Formula!D82,31))+Formula!G82*(INDEX(Properties!A$1:CB$87,Formula!F82,31))+Formula!I82*(INDEX(Properties!A$1:CB$87,Formula!H82,31))+Formula!K82*(INDEX(Properties!A$1:CB$87,Formula!J82,31))</f>
        <v>121.94</v>
      </c>
      <c r="CV82" s="69">
        <f>VARP(IF(INDEX(Properties!A$1:CB$87,Formula!B82,31)&lt;&gt;"",INDEX(Properties!A$1:CB$87,Formula!B82,31)),IF(INDEX(Properties!A$1:CB$87,Formula!D82,31)&lt;&gt;"",INDEX(Properties!A$1:CB$87,Formula!D82,31)),IF(INDEX(Properties!A$1:CB$87,Formula!F82,31)&lt;&gt;"",INDEX(Properties!A$1:CB$87,Formula!F82,31)),IF(INDEX(Properties!A$1:CB$87,Formula!H82,31)&lt;&gt;"",INDEX(Properties!A$1:CB$87,Formula!H82,31)),IF(INDEX(Properties!A$1:CB$87,Formula!J82,31)&lt;&gt;"",INDEX(Properties!A$1:CB$87,Formula!J82,31)))</f>
        <v>0.80554399999999982</v>
      </c>
      <c r="CW82" s="69">
        <f>MAX(INDEX(Properties!A$1:CB$87,Formula!B82,31),INDEX(Properties!A$1:CB$87,Formula!D82,31),INDEX(Properties!A$1:CB$87,Formula!F82,31),INDEX(Properties!A$1:CB$87,Formula!H82,31),INDEX(Properties!A$1:CB$87,Formula!J82,31))</f>
        <v>3.32</v>
      </c>
      <c r="CX82" s="69">
        <f>MIN(IF(INDEX(Properties!A$1:CB$87,Formula!B82,31)=0,10^6,INDEX(Properties!A$1:CB$87,Formula!B82,31)),IF(INDEX(Properties!A$1:CB$87,Formula!D82,31)=0,10^6,INDEX(Properties!A$1:CB$87,Formula!D82,31)),IF(INDEX(Properties!A$1:CB$87,Formula!F82,31)=0,10^6,INDEX(Properties!A$1:CB$87,Formula!F82,31)),IF(INDEX(Properties!A$1:CB$87,Formula!H82,31)=0,10^6,INDEX(Properties!A$1:CB$87,Formula!H82,31)),IF(INDEX(Properties!A$1:CB$87,Formula!J82,31)=0,10^6,INDEX(Properties!A$1:CB$87,Formula!J82,31)))</f>
        <v>0.9</v>
      </c>
      <c r="CY82" s="69">
        <f t="shared" si="48"/>
        <v>2.42</v>
      </c>
      <c r="CZ82" s="42">
        <f>((Formula!C82)/(Formula!C82+Formula!E82+Formula!G82+Formula!I82+Formula!K82))*(INDEX(Properties!A$1:CB$87,Formula!B82,32))+((Formula!E82)/(Formula!C82+Formula!E82+Formula!G82+Formula!I82+Formula!K82))*(INDEX(Properties!A$1:CB$87,Formula!D82,32))+((Formula!G82)/(Formula!C82+Formula!E82+Formula!G82+Formula!I82+Formula!K82))*(INDEX(Properties!A$1:CB$87,Formula!F82,32))+((Formula!I82)/(Formula!C82+Formula!E82+Formula!G82+Formula!I82+Formula!K82))*(INDEX(Properties!A$1:CB$87,Formula!H82,32))+((Formula!K82)/(Formula!C82+Formula!E82+Formula!G82+Formula!I82+Formula!K82))*(INDEX(Properties!A$1:CB$87,Formula!J82,32))</f>
        <v>6.0221739130434786</v>
      </c>
      <c r="DA82" s="42">
        <f>Formula!C82*(INDEX(Properties!A$1:CB$87,Formula!B82,32))+Formula!E82*(INDEX(Properties!A$1:CB$87,Formula!D82,32))+Formula!G82*(INDEX(Properties!A$1:CB$87,Formula!F82,32))+Formula!I82*(INDEX(Properties!A$1:CB$87,Formula!H82,32))+Formula!K82*(INDEX(Properties!A$1:CB$87,Formula!J82,32))</f>
        <v>277.02</v>
      </c>
      <c r="DB82" s="42">
        <f>VARP(IF(INDEX(Properties!A$1:CB$87,Formula!B82,32)&lt;&gt;"",INDEX(Properties!A$1:CB$87,Formula!B82,32)),IF(INDEX(Properties!A$1:CB$87,Formula!D82,32)&lt;&gt;"",INDEX(Properties!A$1:CB$87,Formula!D82,32)),IF(INDEX(Properties!A$1:CB$87,Formula!F82,32)&lt;&gt;"",INDEX(Properties!A$1:CB$87,Formula!F82,32)),IF(INDEX(Properties!A$1:CB$87,Formula!H82,32)&lt;&gt;"",INDEX(Properties!A$1:CB$87,Formula!H82,32)),IF(INDEX(Properties!A$1:CB$87,Formula!J82,32)&lt;&gt;"",INDEX(Properties!A$1:CB$87,Formula!J82,32)))</f>
        <v>3.7079439999999955</v>
      </c>
      <c r="DC82" s="42">
        <f>MAX(INDEX(Properties!A$1:CB$87,Formula!B82,32),INDEX(Properties!A$1:CB$87,Formula!D82,32),INDEX(Properties!A$1:CB$87,Formula!F82,32),INDEX(Properties!A$1:CB$87,Formula!H82,32),INDEX(Properties!A$1:CB$87,Formula!J82,32))</f>
        <v>7.54</v>
      </c>
      <c r="DD82" s="42">
        <f>MIN(IF(INDEX(Properties!A$1:CB$87,Formula!B82,32)=0,10^6,INDEX(Properties!A$1:CB$87,Formula!B82,32)),IF(INDEX(Properties!A$1:CB$87,Formula!D82,32)=0,10^6,INDEX(Properties!A$1:CB$87,Formula!D82,32)),IF(INDEX(Properties!A$1:CB$87,Formula!F82,32)=0,10^6,INDEX(Properties!A$1:CB$87,Formula!F82,32)),IF(INDEX(Properties!A$1:CB$87,Formula!H82,32)=0,10^6,INDEX(Properties!A$1:CB$87,Formula!H82,32)),IF(INDEX(Properties!A$1:CB$87,Formula!J82,32)=0,10^6,INDEX(Properties!A$1:CB$87,Formula!J82,32)))</f>
        <v>2.2000000000000002</v>
      </c>
      <c r="DE82" s="42">
        <f t="shared" si="49"/>
        <v>5.34</v>
      </c>
      <c r="DF82" s="60">
        <f>((Formula!C82)/(Formula!C82+Formula!E82+Formula!G82+Formula!I82+Formula!K82))*(INDEX(Properties!A$1:CB$87,Formula!B82,34))+((Formula!E82)/(Formula!C82+Formula!E82+Formula!G82+Formula!I82+Formula!K82))*(INDEX(Properties!A$1:CB$87,Formula!D82,34))+((Formula!G82)/(Formula!C82+Formula!E82+Formula!G82+Formula!I82+Formula!K82))*(INDEX(Properties!A$1:CB$87,Formula!F82,34))+((Formula!I82)/(Formula!C82+Formula!E82+Formula!G82+Formula!I82+Formula!K82))*(INDEX(Properties!A$1:CB$87,Formula!H82,34))+((Formula!K82)/(Formula!C82+Formula!E82+Formula!G82+Formula!I82+Formula!K82))*(INDEX(Properties!A$1:CB$87,Formula!J82,34))</f>
        <v>2.7904782608695653</v>
      </c>
      <c r="DG82" s="60">
        <f>Formula!C82*(INDEX(Properties!A$1:CB$87,Formula!B82,34))+Formula!E82*(INDEX(Properties!A$1:CB$87,Formula!D82,34))+Formula!G82*(INDEX(Properties!A$1:CB$87,Formula!F82,34))+Formula!I82*(INDEX(Properties!A$1:CB$87,Formula!H82,34))+Formula!K82*(INDEX(Properties!A$1:CB$87,Formula!J82,34))</f>
        <v>128.36199999999999</v>
      </c>
      <c r="DH82" s="60">
        <f>VARP(IF(INDEX(Properties!A$1:CB$87,Formula!B82,34)&lt;&gt;"",INDEX(Properties!A$1:CB$87,Formula!B82,34)),IF(INDEX(Properties!A$1:CB$87,Formula!D82,34)&lt;&gt;"",INDEX(Properties!A$1:CB$87,Formula!D82,34)),IF(INDEX(Properties!A$1:CB$87,Formula!F82,34)&lt;&gt;"",INDEX(Properties!A$1:CB$87,Formula!F82,34)),IF(INDEX(Properties!A$1:CB$87,Formula!H82,34)&lt;&gt;"",INDEX(Properties!A$1:CB$87,Formula!H82,34)),IF(INDEX(Properties!A$1:CB$87,Formula!J82,34)&lt;&gt;"",INDEX(Properties!A$1:CB$87,Formula!J82,34)))</f>
        <v>1.0223154399999999</v>
      </c>
      <c r="DI82" s="60">
        <f>MAX(INDEX(Properties!A$1:CB$87,Formula!B82,34),INDEX(Properties!A$1:CB$87,Formula!D82,34),INDEX(Properties!A$1:CB$87,Formula!F82,34),INDEX(Properties!A$1:CB$87,Formula!H82,34),INDEX(Properties!A$1:CB$87,Formula!J82,34))</f>
        <v>3.61</v>
      </c>
      <c r="DJ82" s="60">
        <f>MIN(IF(INDEX(Properties!A$1:CB$87,Formula!B82,34)=0,10^6,INDEX(Properties!A$1:CB$87,Formula!B82,34)),IF(INDEX(Properties!A$1:CB$87,Formula!D82,34)=0,10^6,INDEX(Properties!A$1:CB$87,Formula!D82,34)),IF(INDEX(Properties!A$1:CB$87,Formula!F82,34)=0,10^6,INDEX(Properties!A$1:CB$87,Formula!F82,34)),IF(INDEX(Properties!A$1:CB$87,Formula!H82,34)=0,10^6,INDEX(Properties!A$1:CB$87,Formula!H82,34)),IF(INDEX(Properties!A$1:CB$87,Formula!J82,34)=0,10^6,INDEX(Properties!A$1:CB$87,Formula!J82,34)))</f>
        <v>0.91200000000000003</v>
      </c>
      <c r="DK82" s="60">
        <f t="shared" si="50"/>
        <v>2.698</v>
      </c>
      <c r="DL82" s="45">
        <f>((Formula!C82)/(Formula!C82+Formula!E82+Formula!G82+Formula!I82+Formula!K82))*(INDEX(Properties!A$1:CB$87,Formula!B82,39))+((Formula!E82)/(Formula!C82+Formula!E82+Formula!G82+Formula!I82+Formula!K82))*(INDEX(Properties!A$1:CB$87,Formula!D82,39))+((Formula!G82)/(Formula!C82+Formula!E82+Formula!G82+Formula!I82+Formula!K82))*(INDEX(Properties!A$1:CB$87,Formula!F82,39))+((Formula!I82)/(Formula!C82+Formula!E82+Formula!G82+Formula!I82+Formula!K82))*(INDEX(Properties!A$1:CB$87,Formula!H82,39))+((Formula!K82)/(Formula!C82+Formula!E82+Formula!G82+Formula!I82+Formula!K82))*(INDEX(Properties!A$1:CB$87,Formula!J82,39))</f>
        <v>0.888695652173913</v>
      </c>
      <c r="DM82" s="45">
        <f>Formula!C82*(INDEX(Properties!A$1:CB$87,Formula!B82,39))+Formula!E82*(INDEX(Properties!A$1:CB$87,Formula!D82,39))+Formula!G82*(INDEX(Properties!A$1:CB$87,Formula!F82,39))+Formula!I82*(INDEX(Properties!A$1:CB$87,Formula!H82,39))+Formula!K82*(INDEX(Properties!A$1:CB$87,Formula!J82,39))</f>
        <v>40.879999999999995</v>
      </c>
      <c r="DN82" s="45">
        <f>VARP(IF(INDEX(Properties!A$1:CB$87,Formula!B82,39)&lt;&gt;"",INDEX(Properties!A$1:CB$87,Formula!B82,39)),IF(INDEX(Properties!A$1:CB$87,Formula!D82,39)&lt;&gt;"",INDEX(Properties!A$1:CB$87,Formula!D82,39)),IF(INDEX(Properties!A$1:CB$87,Formula!F82,39)&lt;&gt;"",INDEX(Properties!A$1:CB$87,Formula!F82,39)),IF(INDEX(Properties!A$1:CB$87,Formula!H82,39)&lt;&gt;"",INDEX(Properties!A$1:CB$87,Formula!H82,39)),IF(INDEX(Properties!A$1:CB$87,Formula!J82,39)&lt;&gt;"",INDEX(Properties!A$1:CB$87,Formula!J82,39)))</f>
        <v>0.26874399999999982</v>
      </c>
      <c r="DO82" s="45">
        <f>MAX(INDEX(Properties!A$1:CB$87,Formula!B82,39),INDEX(Properties!A$1:CB$87,Formula!D82,39),INDEX(Properties!A$1:CB$87,Formula!F82,39),INDEX(Properties!A$1:CB$87,Formula!H82,39),INDEX(Properties!A$1:CB$87,Formula!J82,39))</f>
        <v>1.94</v>
      </c>
      <c r="DP82" s="45">
        <f>MIN(IF(INDEX(Properties!A$1:CB$87,Formula!B82,39)=0,10^6,INDEX(Properties!A$1:CB$87,Formula!B82,39)),IF(INDEX(Properties!A$1:CB$87,Formula!D82,39)=0,10^6,INDEX(Properties!A$1:CB$87,Formula!D82,39)),IF(INDEX(Properties!A$1:CB$87,Formula!F82,39)=0,10^6,INDEX(Properties!A$1:CB$87,Formula!F82,39)),IF(INDEX(Properties!A$1:CB$87,Formula!H82,39)=0,10^6,INDEX(Properties!A$1:CB$87,Formula!H82,39)),IF(INDEX(Properties!A$1:CB$87,Formula!J82,39)=0,10^6,INDEX(Properties!A$1:CB$87,Formula!J82,39)))</f>
        <v>0.48</v>
      </c>
      <c r="DQ82" s="45">
        <f t="shared" si="51"/>
        <v>1.46</v>
      </c>
      <c r="DR82" s="63">
        <f>((Formula!C82)/(Formula!C82+Formula!E82+Formula!G82+Formula!I82+Formula!K82))*(INDEX(Properties!A$1:CB$87,Formula!B82,40))+((Formula!E82)/(Formula!C82+Formula!E82+Formula!G82+Formula!I82+Formula!K82))*(INDEX(Properties!A$1:CB$87,Formula!D82,40))+((Formula!G82)/(Formula!C82+Formula!E82+Formula!G82+Formula!I82+Formula!K82))*(INDEX(Properties!A$1:CB$87,Formula!F82,40))+((Formula!I82)/(Formula!C82+Formula!E82+Formula!G82+Formula!I82+Formula!K82))*(INDEX(Properties!A$1:CB$87,Formula!H82,40))+((Formula!K82)/(Formula!C82+Formula!E82+Formula!G82+Formula!I82+Formula!K82))*(INDEX(Properties!A$1:CB$87,Formula!J82,40))</f>
        <v>1.0034782608695654</v>
      </c>
      <c r="DS82" s="63">
        <f>Formula!C82*(INDEX(Properties!A$1:CB$87,Formula!B82,40))+Formula!E82*(INDEX(Properties!A$1:CB$87,Formula!D82,40))+Formula!G82*(INDEX(Properties!A$1:CB$87,Formula!F82,40))+Formula!I82*(INDEX(Properties!A$1:CB$87,Formula!H82,40))+Formula!K82*(INDEX(Properties!A$1:CB$87,Formula!J82,40))</f>
        <v>46.16</v>
      </c>
      <c r="DT82" s="63">
        <f>VARP(IF(INDEX(Properties!A$1:CB$87,Formula!B82,40)&lt;&gt;"",INDEX(Properties!A$1:CB$87,Formula!B82,40)),IF(INDEX(Properties!A$1:CB$87,Formula!D82,40)&lt;&gt;"",INDEX(Properties!A$1:CB$87,Formula!D82,40)),IF(INDEX(Properties!A$1:CB$87,Formula!F82,40)&lt;&gt;"",INDEX(Properties!A$1:CB$87,Formula!F82,40)),IF(INDEX(Properties!A$1:CB$87,Formula!H82,40)&lt;&gt;"",INDEX(Properties!A$1:CB$87,Formula!H82,40)),IF(INDEX(Properties!A$1:CB$87,Formula!J82,40)&lt;&gt;"",INDEX(Properties!A$1:CB$87,Formula!J82,40)))</f>
        <v>0.11118400000000009</v>
      </c>
      <c r="DU82" s="63">
        <f>MAX(INDEX(Properties!A$1:CB$87,Formula!B82,40),INDEX(Properties!A$1:CB$87,Formula!D82,40),INDEX(Properties!A$1:CB$87,Formula!F82,40),INDEX(Properties!A$1:CB$87,Formula!H82,40),INDEX(Properties!A$1:CB$87,Formula!J82,40))</f>
        <v>1.74</v>
      </c>
      <c r="DV82" s="63">
        <f>MIN(IF(INDEX(Properties!A$1:CB$87,Formula!B82,40)=0,10^6,INDEX(Properties!A$1:CB$87,Formula!B82,40)),IF(INDEX(Properties!A$1:CB$87,Formula!D82,40)=0,10^6,INDEX(Properties!A$1:CB$87,Formula!D82,40)),IF(INDEX(Properties!A$1:CB$87,Formula!F82,40)=0,10^6,INDEX(Properties!A$1:CB$87,Formula!F82,40)),IF(INDEX(Properties!A$1:CB$87,Formula!H82,40)=0,10^6,INDEX(Properties!A$1:CB$87,Formula!H82,40)),IF(INDEX(Properties!A$1:CB$87,Formula!J82,40)=0,10^6,INDEX(Properties!A$1:CB$87,Formula!J82,40)))</f>
        <v>0.73</v>
      </c>
      <c r="DW82" s="63">
        <f t="shared" si="52"/>
        <v>1.01</v>
      </c>
      <c r="DX82" s="75">
        <f>((Formula!C82)/(Formula!C82+Formula!E82+Formula!G82+Formula!I82+Formula!K82))*(INDEX(Properties!A$1:CB$87,Formula!B82,41))+((Formula!E82)/(Formula!C82+Formula!E82+Formula!G82+Formula!I82+Formula!K82))*(INDEX(Properties!A$1:CB$87,Formula!D82,41))+((Formula!G82)/(Formula!C82+Formula!E82+Formula!G82+Formula!I82+Formula!K82))*(INDEX(Properties!A$1:CB$87,Formula!F82,41))+((Formula!I82)/(Formula!C82+Formula!E82+Formula!G82+Formula!I82+Formula!K82))*(INDEX(Properties!A$1:CB$87,Formula!H82,41))+((Formula!K82)/(Formula!C82+Formula!E82+Formula!G82+Formula!I82+Formula!K82))*(INDEX(Properties!A$1:CB$87,Formula!J82,41))</f>
        <v>1.116521739130435</v>
      </c>
      <c r="DY82" s="75">
        <f>Formula!C82*(INDEX(Properties!A$1:CB$87,Formula!B82,41))+Formula!E82*(INDEX(Properties!A$1:CB$87,Formula!D82,41))+Formula!G82*(INDEX(Properties!A$1:CB$87,Formula!F82,41))+Formula!I82*(INDEX(Properties!A$1:CB$87,Formula!H82,41))+Formula!K82*(INDEX(Properties!A$1:CB$87,Formula!J82,41))</f>
        <v>51.36</v>
      </c>
      <c r="DZ82" s="75">
        <f>VARP(IF(INDEX(Properties!A$1:CB$87,Formula!B82,41)&lt;&gt;"",INDEX(Properties!A$1:CB$87,Formula!B82,41)),IF(INDEX(Properties!A$1:CB$87,Formula!D82,41)&lt;&gt;"",INDEX(Properties!A$1:CB$87,Formula!D82,41)),IF(INDEX(Properties!A$1:CB$87,Formula!F82,41)&lt;&gt;"",INDEX(Properties!A$1:CB$87,Formula!F82,41)),IF(INDEX(Properties!A$1:CB$87,Formula!H82,41)&lt;&gt;"",INDEX(Properties!A$1:CB$87,Formula!H82,41)),IF(INDEX(Properties!A$1:CB$87,Formula!J82,41)&lt;&gt;"",INDEX(Properties!A$1:CB$87,Formula!J82,41)))</f>
        <v>5.5935999999999805E-2</v>
      </c>
      <c r="EA82" s="75">
        <f>MAX(INDEX(Properties!A$1:CB$87,Formula!B82,41),INDEX(Properties!A$1:CB$87,Formula!D82,41),INDEX(Properties!A$1:CB$87,Formula!F82,41),INDEX(Properties!A$1:CB$87,Formula!H82,41),INDEX(Properties!A$1:CB$87,Formula!J82,41))</f>
        <v>1.26</v>
      </c>
      <c r="EB82" s="75">
        <f>MIN(IF(INDEX(Properties!A$1:CB$87,Formula!B82,41)=0,10^6,INDEX(Properties!A$1:CB$87,Formula!B82,41)),IF(INDEX(Properties!A$1:CB$87,Formula!D82,41)=0,10^6,INDEX(Properties!A$1:CB$87,Formula!D82,41)),IF(INDEX(Properties!A$1:CB$87,Formula!F82,41)=0,10^6,INDEX(Properties!A$1:CB$87,Formula!F82,41)),IF(INDEX(Properties!A$1:CB$87,Formula!H82,41)=0,10^6,INDEX(Properties!A$1:CB$87,Formula!H82,41)),IF(INDEX(Properties!A$1:CB$87,Formula!J82,41)=0,10^6,INDEX(Properties!A$1:CB$87,Formula!J82,41)))</f>
        <v>0.57999999999999996</v>
      </c>
      <c r="EC82" s="75">
        <f t="shared" si="53"/>
        <v>0.68</v>
      </c>
      <c r="ED82" s="48">
        <f>((Formula!C82)/(Formula!C82+Formula!E82+Formula!G82+Formula!I82+Formula!K82))*(INDEX(Properties!A$1:CB$87,Formula!B82,45))+((Formula!E82)/(Formula!C82+Formula!E82+Formula!G82+Formula!I82+Formula!K82))*(INDEX(Properties!A$1:CB$87,Formula!D82,45))+((Formula!G82)/(Formula!C82+Formula!E82+Formula!G82+Formula!I82+Formula!K82))*(INDEX(Properties!A$1:CB$87,Formula!F82,45))+((Formula!I82)/(Formula!C82+Formula!E82+Formula!G82+Formula!I82+Formula!K82))*(INDEX(Properties!A$1:CB$87,Formula!H82,45))+((Formula!K82)/(Formula!C82+Formula!E82+Formula!G82+Formula!I82+Formula!K82))*(INDEX(Properties!A$1:CB$87,Formula!J82,45))</f>
        <v>1.1408695652173915</v>
      </c>
      <c r="EE82" s="48">
        <f>Formula!C82*(INDEX(Properties!A$1:CB$87,Formula!B82,45))+Formula!E82*(INDEX(Properties!A$1:CB$87,Formula!D82,45))+Formula!G82*(INDEX(Properties!A$1:CB$87,Formula!F82,45))+Formula!I82*(INDEX(Properties!A$1:CB$87,Formula!H82,45))+Formula!K82*(INDEX(Properties!A$1:CB$87,Formula!J82,45))</f>
        <v>52.480000000000004</v>
      </c>
      <c r="EF82" s="48">
        <f>VARP(IF(INDEX(Properties!A$1:CB$87,Formula!B82,45)&lt;&gt;"",INDEX(Properties!A$1:CB$87,Formula!B82,45)),IF(INDEX(Properties!A$1:CB$87,Formula!D82,45)&lt;&gt;"",INDEX(Properties!A$1:CB$87,Formula!D82,45)),IF(INDEX(Properties!A$1:CB$87,Formula!F82,45)&lt;&gt;"",INDEX(Properties!A$1:CB$87,Formula!F82,45)),IF(INDEX(Properties!A$1:CB$87,Formula!H82,45)&lt;&gt;"",INDEX(Properties!A$1:CB$87,Formula!H82,45)),IF(INDEX(Properties!A$1:CB$87,Formula!J82,45)&lt;&gt;"",INDEX(Properties!A$1:CB$87,Formula!J82,45)))</f>
        <v>0.70539999999999958</v>
      </c>
      <c r="EG82" s="48">
        <f>MAX(INDEX(Properties!A$1:CB$87,Formula!B82,45),INDEX(Properties!A$1:CB$87,Formula!D82,45),INDEX(Properties!A$1:CB$87,Formula!F82,45),INDEX(Properties!A$1:CB$87,Formula!H82,45),INDEX(Properties!A$1:CB$87,Formula!J82,45))</f>
        <v>3</v>
      </c>
      <c r="EH82" s="48">
        <f>MIN(IF(INDEX(Properties!A$1:CB$87,Formula!B82,45)=0,10^6,INDEX(Properties!A$1:CB$87,Formula!B82,45)),IF(INDEX(Properties!A$1:CB$87,Formula!D82,45)=0,10^6,INDEX(Properties!A$1:CB$87,Formula!D82,45)),IF(INDEX(Properties!A$1:CB$87,Formula!F82,45)=0,10^6,INDEX(Properties!A$1:CB$87,Formula!F82,45)),IF(INDEX(Properties!A$1:CB$87,Formula!H82,45)=0,10^6,INDEX(Properties!A$1:CB$87,Formula!H82,45)),IF(INDEX(Properties!A$1:CB$87,Formula!J82,45)=0,10^6,INDEX(Properties!A$1:CB$87,Formula!J82,45)))</f>
        <v>0.47</v>
      </c>
      <c r="EI82" s="48">
        <f t="shared" si="54"/>
        <v>2.5300000000000002</v>
      </c>
      <c r="EJ82" s="66">
        <f>((Formula!C82)/(Formula!C82+Formula!E82+Formula!G82+Formula!I82+Formula!K82))*(INDEX(Properties!A$1:CB$87,Formula!B82,46))+((Formula!E82)/(Formula!C82+Formula!E82+Formula!G82+Formula!I82+Formula!K82))*(INDEX(Properties!A$1:CB$87,Formula!D82,46))+((Formula!G82)/(Formula!C82+Formula!E82+Formula!G82+Formula!I82+Formula!K82))*(INDEX(Properties!A$1:CB$87,Formula!F82,46))+((Formula!I82)/(Formula!C82+Formula!E82+Formula!G82+Formula!I82+Formula!K82))*(INDEX(Properties!A$1:CB$87,Formula!H82,46))+((Formula!K82)/(Formula!C82+Formula!E82+Formula!G82+Formula!I82+Formula!K82))*(INDEX(Properties!A$1:CB$87,Formula!J82,46))</f>
        <v>1.0449999999999999</v>
      </c>
      <c r="EK82" s="66">
        <f>Formula!C82*(INDEX(Properties!A$1:CB$87,Formula!B82,46))+Formula!E82*(INDEX(Properties!A$1:CB$87,Formula!D82,46))+Formula!G82*(INDEX(Properties!A$1:CB$87,Formula!F82,46))+Formula!I82*(INDEX(Properties!A$1:CB$87,Formula!H82,46))+Formula!K82*(INDEX(Properties!A$1:CB$87,Formula!J82,46))</f>
        <v>48.069999999999993</v>
      </c>
      <c r="EL82" s="66">
        <f>VARP(IF(INDEX(Properties!A$1:CB$87,Formula!B82,46)&lt;&gt;"",INDEX(Properties!A$1:CB$87,Formula!B82,46)),IF(INDEX(Properties!A$1:CB$87,Formula!D82,46)&lt;&gt;"",INDEX(Properties!A$1:CB$87,Formula!D82,46)),IF(INDEX(Properties!A$1:CB$87,Formula!F82,46)&lt;&gt;"",INDEX(Properties!A$1:CB$87,Formula!F82,46)),IF(INDEX(Properties!A$1:CB$87,Formula!H82,46)&lt;&gt;"",INDEX(Properties!A$1:CB$87,Formula!H82,46)),IF(INDEX(Properties!A$1:CB$87,Formula!J82,46)&lt;&gt;"",INDEX(Properties!A$1:CB$87,Formula!J82,46)))</f>
        <v>0.10042399999999986</v>
      </c>
      <c r="EM82" s="66">
        <f>MAX(INDEX(Properties!A$1:CB$87,Formula!B82,46),INDEX(Properties!A$1:CB$87,Formula!D82,46),INDEX(Properties!A$1:CB$87,Formula!F82,46),INDEX(Properties!A$1:CB$87,Formula!H82,46),INDEX(Properties!A$1:CB$87,Formula!J82,46))</f>
        <v>1.21</v>
      </c>
      <c r="EN82" s="66">
        <f>MIN(IF(INDEX(Properties!A$1:CB$87,Formula!B82,46)=0,10^6,INDEX(Properties!A$1:CB$87,Formula!B82,46)),IF(INDEX(Properties!A$1:CB$87,Formula!D82,46)=0,10^6,INDEX(Properties!A$1:CB$87,Formula!D82,46)),IF(INDEX(Properties!A$1:CB$87,Formula!F82,46)=0,10^6,INDEX(Properties!A$1:CB$87,Formula!F82,46)),IF(INDEX(Properties!A$1:CB$87,Formula!H82,46)=0,10^6,INDEX(Properties!A$1:CB$87,Formula!H82,46)),IF(INDEX(Properties!A$1:CB$87,Formula!J82,46)=0,10^6,INDEX(Properties!A$1:CB$87,Formula!J82,46)))</f>
        <v>0.31</v>
      </c>
      <c r="EO82" s="66">
        <f t="shared" si="55"/>
        <v>0.89999999999999991</v>
      </c>
      <c r="EP82" s="81">
        <f>((Formula!C82)/(Formula!C82+Formula!E82+Formula!G82+Formula!I82+Formula!K82))*(INDEX(Properties!A$1:CB$87,Formula!B82,52))+((Formula!E82)/(Formula!C82+Formula!E82+Formula!G82+Formula!I82+Formula!K82))*(INDEX(Properties!A$1:CB$87,Formula!D82,52))+((Formula!G82)/(Formula!C82+Formula!E82+Formula!G82+Formula!I82+Formula!K82))*(INDEX(Properties!A$1:CB$87,Formula!F82,52))+((Formula!I82)/(Formula!C82+Formula!E82+Formula!G82+Formula!I82+Formula!K82))*(INDEX(Properties!A$1:CB$87,Formula!H82,52))+((Formula!K82)/(Formula!C82+Formula!E82+Formula!G82+Formula!I82+Formula!K82))*(INDEX(Properties!A$1:CB$87,Formula!J82,52))</f>
        <v>6.2500869565217396</v>
      </c>
      <c r="EQ82" s="81">
        <f>Formula!C82*(INDEX(Properties!A$1:CB$87,Formula!B82,52))+Formula!E82*(INDEX(Properties!A$1:CB$87,Formula!D82,52))+Formula!G82*(INDEX(Properties!A$1:CB$87,Formula!F82,52))+Formula!I82*(INDEX(Properties!A$1:CB$87,Formula!H82,52))+Formula!K82*(INDEX(Properties!A$1:CB$87,Formula!J82,52))</f>
        <v>287.50400000000002</v>
      </c>
      <c r="ER82" s="81">
        <f>VARP(IF(INDEX(Properties!A$1:CB$87,Formula!B82,52)&lt;&gt;"",INDEX(Properties!A$1:CB$87,Formula!B82,52)),IF(INDEX(Properties!A$1:CB$87,Formula!D82,52)&lt;&gt;"",INDEX(Properties!A$1:CB$87,Formula!D82,52)),IF(INDEX(Properties!A$1:CB$87,Formula!F82,52)&lt;&gt;"",INDEX(Properties!A$1:CB$87,Formula!F82,52)),IF(INDEX(Properties!A$1:CB$87,Formula!H82,52)&lt;&gt;"",INDEX(Properties!A$1:CB$87,Formula!H82,52)),IF(INDEX(Properties!A$1:CB$87,Formula!J82,52)&lt;&gt;"",INDEX(Properties!A$1:CB$87,Formula!J82,52)))</f>
        <v>93.034143839999999</v>
      </c>
      <c r="ES82" s="81">
        <f>MAX(INDEX(Properties!A$1:CB$87,Formula!B82,52),INDEX(Properties!A$1:CB$87,Formula!D82,52),INDEX(Properties!A$1:CB$87,Formula!F82,52),INDEX(Properties!A$1:CB$87,Formula!H82,52),INDEX(Properties!A$1:CB$87,Formula!J82,52))</f>
        <v>24.3</v>
      </c>
      <c r="ET82" s="81">
        <f>MIN(IF(INDEX(Properties!A$1:CB$87,Formula!B82,52)=0,10^6,INDEX(Properties!A$1:CB$87,Formula!B82,52)),IF(INDEX(Properties!A$1:CB$87,Formula!D82,52)=0,10^6,INDEX(Properties!A$1:CB$87,Formula!D82,52)),IF(INDEX(Properties!A$1:CB$87,Formula!F82,52)=0,10^6,INDEX(Properties!A$1:CB$87,Formula!F82,52)),IF(INDEX(Properties!A$1:CB$87,Formula!H82,52)=0,10^6,INDEX(Properties!A$1:CB$87,Formula!H82,52)),IF(INDEX(Properties!A$1:CB$87,Formula!J82,52)=0,10^6,INDEX(Properties!A$1:CB$87,Formula!J82,52)))</f>
        <v>0.79300000000000004</v>
      </c>
      <c r="EU82" s="81">
        <f t="shared" si="56"/>
        <v>23.507000000000001</v>
      </c>
      <c r="EV82" s="39">
        <f>((Formula!C82)/(Formula!C82+Formula!E82+Formula!G82+Formula!I82+Formula!K82))*(INDEX(Properties!A$1:CB$87,Formula!B82,53))+((Formula!E82)/(Formula!C82+Formula!E82+Formula!G82+Formula!I82+Formula!K82))*(INDEX(Properties!A$1:CB$87,Formula!D82,53))+((Formula!G82)/(Formula!C82+Formula!E82+Formula!G82+Formula!I82+Formula!K82))*(INDEX(Properties!A$1:CB$87,Formula!F82,53))+((Formula!I82)/(Formula!C82+Formula!E82+Formula!G82+Formula!I82+Formula!K82))*(INDEX(Properties!A$1:CB$87,Formula!H82,53))+((Formula!K82)/(Formula!C82+Formula!E82+Formula!G82+Formula!I82+Formula!K82))*(INDEX(Properties!A$1:CB$87,Formula!J82,53))</f>
        <v>329.10652173913047</v>
      </c>
      <c r="EW82" s="39">
        <f>Formula!C82*(INDEX(Properties!A$1:CB$87,Formula!B82,53))+Formula!E82*(INDEX(Properties!A$1:CB$87,Formula!D82,53))+Formula!G82*(INDEX(Properties!A$1:CB$87,Formula!F82,53))+Formula!I82*(INDEX(Properties!A$1:CB$87,Formula!H82,53))+Formula!K82*(INDEX(Properties!A$1:CB$87,Formula!J82,53))</f>
        <v>15138.899999999998</v>
      </c>
      <c r="EX82" s="39">
        <f>VARP(IF(INDEX(Properties!A$1:CB$87,Formula!B82,53)&lt;&gt;"",INDEX(Properties!A$1:CB$87,Formula!B82,53)),IF(INDEX(Properties!A$1:CB$87,Formula!D82,53)&lt;&gt;"",INDEX(Properties!A$1:CB$87,Formula!D82,53)),IF(INDEX(Properties!A$1:CB$87,Formula!F82,53)&lt;&gt;"",INDEX(Properties!A$1:CB$87,Formula!F82,53)),IF(INDEX(Properties!A$1:CB$87,Formula!H82,53)&lt;&gt;"",INDEX(Properties!A$1:CB$87,Formula!H82,53)),IF(INDEX(Properties!A$1:CB$87,Formula!J82,53)&lt;&gt;"",INDEX(Properties!A$1:CB$87,Formula!J82,53)))</f>
        <v>152163.77839999989</v>
      </c>
      <c r="EY82" s="39">
        <f>MAX(INDEX(Properties!A$1:CB$87,Formula!B82,53),INDEX(Properties!A$1:CB$87,Formula!D82,53),INDEX(Properties!A$1:CB$87,Formula!F82,53),INDEX(Properties!A$1:CB$87,Formula!H82,53),INDEX(Properties!A$1:CB$87,Formula!J82,53))</f>
        <v>1112.1500000000001</v>
      </c>
      <c r="EZ82" s="39">
        <f>MIN(IF(INDEX(Properties!A$1:CB$87,Formula!B82,53)=0,10^6,INDEX(Properties!A$1:CB$87,Formula!B82,53)),IF(INDEX(Properties!A$1:CB$87,Formula!D82,53)=0,10^6,INDEX(Properties!A$1:CB$87,Formula!D82,53)),IF(INDEX(Properties!A$1:CB$87,Formula!F82,53)=0,10^6,INDEX(Properties!A$1:CB$87,Formula!F82,53)),IF(INDEX(Properties!A$1:CB$87,Formula!H82,53)=0,10^6,INDEX(Properties!A$1:CB$87,Formula!H82,53)),IF(INDEX(Properties!A$1:CB$87,Formula!J82,53)=0,10^6,INDEX(Properties!A$1:CB$87,Formula!J82,53)))</f>
        <v>54.749999999999972</v>
      </c>
      <c r="FA82" s="39">
        <f t="shared" si="57"/>
        <v>1057.4000000000001</v>
      </c>
      <c r="FB82" s="54">
        <f>((Formula!C82)/(Formula!C82+Formula!E82+Formula!G82+Formula!I82+Formula!K82))*(INDEX(Properties!A$1:CB$87,Formula!B82,54))+((Formula!E82)/(Formula!C82+Formula!E82+Formula!G82+Formula!I82+Formula!K82))*(INDEX(Properties!A$1:CB$87,Formula!D82,54))+((Formula!G82)/(Formula!C82+Formula!E82+Formula!G82+Formula!I82+Formula!K82))*(INDEX(Properties!A$1:CB$87,Formula!F82,54))+((Formula!I82)/(Formula!C82+Formula!E82+Formula!G82+Formula!I82+Formula!K82))*(INDEX(Properties!A$1:CB$87,Formula!H82,54))+((Formula!K82)/(Formula!C82+Formula!E82+Formula!G82+Formula!I82+Formula!K82))*(INDEX(Properties!A$1:CB$87,Formula!J82,54))</f>
        <v>547.58478260869572</v>
      </c>
      <c r="FC82" s="54">
        <f>Formula!C82*(INDEX(Properties!A$1:CB$87,Formula!B82,54))+Formula!E82*(INDEX(Properties!A$1:CB$87,Formula!D82,54))+Formula!G82*(INDEX(Properties!A$1:CB$87,Formula!F82,54))+Formula!I82*(INDEX(Properties!A$1:CB$87,Formula!H82,54))+Formula!K82*(INDEX(Properties!A$1:CB$87,Formula!J82,54))</f>
        <v>25188.9</v>
      </c>
      <c r="FD82" s="54">
        <f>VARP(IF(INDEX(Properties!A$1:CB$87,Formula!B82,54)&lt;&gt;"",INDEX(Properties!A$1:CB$87,Formula!B82,54)),IF(INDEX(Properties!A$1:CB$87,Formula!D82,54)&lt;&gt;"",INDEX(Properties!A$1:CB$87,Formula!D82,54)),IF(INDEX(Properties!A$1:CB$87,Formula!F82,54)&lt;&gt;"",INDEX(Properties!A$1:CB$87,Formula!F82,54)),IF(INDEX(Properties!A$1:CB$87,Formula!H82,54)&lt;&gt;"",INDEX(Properties!A$1:CB$87,Formula!H82,54)),IF(INDEX(Properties!A$1:CB$87,Formula!J82,54)&lt;&gt;"",INDEX(Properties!A$1:CB$87,Formula!J82,54)))</f>
        <v>416475.04000000027</v>
      </c>
      <c r="FE82" s="54">
        <f>MAX(INDEX(Properties!A$1:CB$87,Formula!B82,54),INDEX(Properties!A$1:CB$87,Formula!D82,54),INDEX(Properties!A$1:CB$87,Formula!F82,54),INDEX(Properties!A$1:CB$87,Formula!H82,54),INDEX(Properties!A$1:CB$87,Formula!J82,54))</f>
        <v>1757.15</v>
      </c>
      <c r="FF82" s="54">
        <f>MIN(IF(INDEX(Properties!A$1:CB$87,Formula!B82,54)=0,10^6,INDEX(Properties!A$1:CB$87,Formula!B82,54)),IF(INDEX(Properties!A$1:CB$87,Formula!D82,54)=0,10^6,INDEX(Properties!A$1:CB$87,Formula!D82,54)),IF(INDEX(Properties!A$1:CB$87,Formula!F82,54)=0,10^6,INDEX(Properties!A$1:CB$87,Formula!F82,54)),IF(INDEX(Properties!A$1:CB$87,Formula!H82,54)=0,10^6,INDEX(Properties!A$1:CB$87,Formula!H82,54)),IF(INDEX(Properties!A$1:CB$87,Formula!J82,54)=0,10^6,INDEX(Properties!A$1:CB$87,Formula!J82,54)))</f>
        <v>90.149999999999977</v>
      </c>
      <c r="FG82" s="54">
        <f t="shared" si="58"/>
        <v>1667</v>
      </c>
      <c r="FH82" s="69">
        <f>((Formula!C82)/(Formula!C82+Formula!E82+Formula!G82+Formula!I82+Formula!K82))*(INDEX(Properties!A$1:CB$87,Formula!B82,55))+((Formula!E82)/(Formula!C82+Formula!E82+Formula!G82+Formula!I82+Formula!K82))*(INDEX(Properties!A$1:CB$87,Formula!D82,55))+((Formula!G82)/(Formula!C82+Formula!E82+Formula!G82+Formula!I82+Formula!K82))*(INDEX(Properties!A$1:CB$87,Formula!F82,55))+((Formula!I82)/(Formula!C82+Formula!E82+Formula!G82+Formula!I82+Formula!K82))*(INDEX(Properties!A$1:CB$87,Formula!H82,55))+((Formula!K82)/(Formula!C82+Formula!E82+Formula!G82+Formula!I82+Formula!K82))*(INDEX(Properties!A$1:CB$87,Formula!J82,55))</f>
        <v>0.63054434782608704</v>
      </c>
      <c r="FI82" s="69">
        <f>Formula!C82*(INDEX(Properties!A$1:CB$87,Formula!B82,55))+Formula!E82*(INDEX(Properties!A$1:CB$87,Formula!D82,54))+Formula!G82*(INDEX(Properties!A$1:CB$87,Formula!F82,55))+Formula!I82*(INDEX(Properties!A$1:CB$87,Formula!H82,55))+Formula!K82*(INDEX(Properties!A$1:CB$87,Formula!J82,55))</f>
        <v>1390.4150400000003</v>
      </c>
      <c r="FJ82" s="69">
        <f>VARP(IF(INDEX(Properties!A$1:CB$87,Formula!B82,55)&lt;&gt;"",INDEX(Properties!A$1:CB$87,Formula!B82,55)),IF(INDEX(Properties!A$1:CB$87,Formula!D82,55)&lt;&gt;"",INDEX(Properties!A$1:CB$87,Formula!D82,55)),IF(INDEX(Properties!A$1:CB$87,Formula!F82,55)&lt;&gt;"",INDEX(Properties!A$1:CB$87,Formula!F82,55)),IF(INDEX(Properties!A$1:CB$87,Formula!H82,55)&lt;&gt;"",INDEX(Properties!A$1:CB$87,Formula!H82,55)),IF(INDEX(Properties!A$1:CB$87,Formula!J82,55)&lt;&gt;"",INDEX(Properties!A$1:CB$87,Formula!J82,55)))</f>
        <v>0.5304585391840001</v>
      </c>
      <c r="FK82" s="69">
        <f>MAX(INDEX(Properties!A$1:CB$87,Formula!B82,55),INDEX(Properties!A$1:CB$87,Formula!D82,55),INDEX(Properties!A$1:CB$87,Formula!F82,55),INDEX(Properties!A$1:CB$87,Formula!H82,55),INDEX(Properties!A$1:CB$87,Formula!J82,55))</f>
        <v>1.82</v>
      </c>
      <c r="FL82" s="69">
        <f>MIN(IF(INDEX(Properties!A$1:CB$87,Formula!B82,55)=0,10^6,INDEX(Properties!A$1:CB$87,Formula!B82,55)),IF(INDEX(Properties!A$1:CB$87,Formula!D82,55)=0,10^6,INDEX(Properties!A$1:CB$87,Formula!D82,55)),IF(INDEX(Properties!A$1:CB$87,Formula!F82,55)=0,10^6,INDEX(Properties!A$1:CB$87,Formula!F82,55)),IF(INDEX(Properties!A$1:CB$87,Formula!H82,55)=0,10^6,INDEX(Properties!A$1:CB$87,Formula!H82,55)),IF(INDEX(Properties!A$1:CB$87,Formula!J82,55)=0,10^6,INDEX(Properties!A$1:CB$87,Formula!J82,55)))</f>
        <v>1.4300000000000001E-3</v>
      </c>
      <c r="FM82" s="69">
        <f t="shared" si="59"/>
        <v>1.81857</v>
      </c>
      <c r="FN82" s="42">
        <f>((Formula!C82)/(Formula!C82+Formula!E82+Formula!G82+Formula!I82+Formula!K82))*(INDEX(Properties!A$1:CB$87,Formula!B82,56))+((Formula!E82)/(Formula!C82+Formula!E82+Formula!G82+Formula!I82+Formula!K82))*(INDEX(Properties!A$1:CB$87,Formula!D82,56))+((Formula!G82)/(Formula!C82+Formula!E82+Formula!G82+Formula!I82+Formula!K82))*(INDEX(Properties!A$1:CB$87,Formula!F82,56))+((Formula!I82)/(Formula!C82+Formula!E82+Formula!G82+Formula!I82+Formula!K82))*(INDEX(Properties!A$1:CB$87,Formula!H82,56))+((Formula!K82)/(Formula!C82+Formula!E82+Formula!G82+Formula!I82+Formula!K82))*(INDEX(Properties!A$1:CB$87,Formula!J82,56))</f>
        <v>0.90086956521739137</v>
      </c>
      <c r="FO82" s="42">
        <f>Formula!C82*(INDEX(Properties!A$1:CB$87,Formula!B82,56))+Formula!E82*(INDEX(Properties!A$1:CB$87,Formula!D82,56))+Formula!G82*(INDEX(Properties!A$1:CB$87,Formula!F82,56))+Formula!I82*(INDEX(Properties!A$1:CB$87,Formula!H82,56))+Formula!K82*(INDEX(Properties!A$1:CB$87,Formula!J82,56))</f>
        <v>41.44</v>
      </c>
      <c r="FP82" s="42">
        <f>VARP(IF(INDEX(Properties!A$1:CB$87,Formula!B82,56)&lt;&gt;"",INDEX(Properties!A$1:CB$87,Formula!B82,56)),IF(INDEX(Properties!A$1:CB$87,Formula!D82,56)&lt;&gt;"",INDEX(Properties!A$1:CB$87,Formula!D82,56)),IF(INDEX(Properties!A$1:CB$87,Formula!F82,56)&lt;&gt;"",INDEX(Properties!A$1:CB$87,Formula!F82,56)),IF(INDEX(Properties!A$1:CB$87,Formula!H82,56)&lt;&gt;"",INDEX(Properties!A$1:CB$87,Formula!H82,56)),IF(INDEX(Properties!A$1:CB$87,Formula!J82,56)&lt;&gt;"",INDEX(Properties!A$1:CB$87,Formula!J82,56)))</f>
        <v>1.2407760000000005</v>
      </c>
      <c r="FQ82" s="42">
        <f>MAX(INDEX(Properties!A$1:CB$87,Formula!B82,56),INDEX(Properties!A$1:CB$87,Formula!D82,56),INDEX(Properties!A$1:CB$87,Formula!F82,56),INDEX(Properties!A$1:CB$87,Formula!H82,56),INDEX(Properties!A$1:CB$87,Formula!J82,56))</f>
        <v>3.6</v>
      </c>
      <c r="FR82" s="42">
        <f>MIN(IF(INDEX(Properties!A$1:CB$87,Formula!B82,56)=0,10^6,INDEX(Properties!A$1:CB$87,Formula!B82,56)),IF(INDEX(Properties!A$1:CB$87,Formula!D82,56)=0,10^6,INDEX(Properties!A$1:CB$87,Formula!D82,56)),IF(INDEX(Properties!A$1:CB$87,Formula!F82,56)=0,10^6,INDEX(Properties!A$1:CB$87,Formula!F82,56)),IF(INDEX(Properties!A$1:CB$87,Formula!H82,56)=0,10^6,INDEX(Properties!A$1:CB$87,Formula!H82,56)),IF(INDEX(Properties!A$1:CB$87,Formula!J82,56)=0,10^6,INDEX(Properties!A$1:CB$87,Formula!J82,56)))</f>
        <v>0.63</v>
      </c>
      <c r="FS82" s="42">
        <f t="shared" si="60"/>
        <v>2.97</v>
      </c>
      <c r="FT82" s="60">
        <f>((Formula!C82)/(Formula!C82+Formula!E82+Formula!G82+Formula!I82+Formula!K82))*(INDEX(Properties!A$1:CB$87,Formula!B82,57))+((Formula!E82)/(Formula!C82+Formula!E82+Formula!G82+Formula!I82+Formula!K82))*(INDEX(Properties!A$1:CB$87,Formula!D82,57))+((Formula!G82)/(Formula!C82+Formula!E82+Formula!G82+Formula!I82+Formula!K82))*(INDEX(Properties!A$1:CB$87,Formula!F82,57))+((Formula!I82)/(Formula!C82+Formula!E82+Formula!G82+Formula!I82+Formula!K82))*(INDEX(Properties!A$1:CB$87,Formula!H82,57))+((Formula!K82)/(Formula!C82+Formula!E82+Formula!G82+Formula!I82+Formula!K82))*(INDEX(Properties!A$1:CB$87,Formula!J82,57))</f>
        <v>2.1662069565217394</v>
      </c>
      <c r="FU82" s="60">
        <f>Formula!C82*(INDEX(Properties!A$1:CB$87,Formula!B82,57))+Formula!E82*(INDEX(Properties!A$1:CB$87,Formula!D82,57))+Formula!G82*(INDEX(Properties!A$1:CB$87,Formula!F82,57))+Formula!I82*(INDEX(Properties!A$1:CB$87,Formula!H82,57))+Formula!K82*(INDEX(Properties!A$1:CB$87,Formula!J82,57))</f>
        <v>99.645519999999991</v>
      </c>
      <c r="FV82" s="60">
        <f>VARP(IF(INDEX(Properties!A$1:CB$87,Formula!B82,57)&lt;&gt;"",INDEX(Properties!A$1:CB$87,Formula!B82,57)),IF(INDEX(Properties!A$1:CB$87,Formula!D82,57)&lt;&gt;"",INDEX(Properties!A$1:CB$87,Formula!D82,57)),IF(INDEX(Properties!A$1:CB$87,Formula!F82,57)&lt;&gt;"",INDEX(Properties!A$1:CB$87,Formula!F82,57)),IF(INDEX(Properties!A$1:CB$87,Formula!H82,57)&lt;&gt;"",INDEX(Properties!A$1:CB$87,Formula!H82,57)),IF(INDEX(Properties!A$1:CB$87,Formula!J82,57)&lt;&gt;"",INDEX(Properties!A$1:CB$87,Formula!J82,57)))</f>
        <v>14.244168282095995</v>
      </c>
      <c r="FW82" s="60">
        <f>MAX(INDEX(Properties!A$1:CB$87,Formula!B82,57),INDEX(Properties!A$1:CB$87,Formula!D82,57),INDEX(Properties!A$1:CB$87,Formula!F82,57),INDEX(Properties!A$1:CB$87,Formula!H82,57),INDEX(Properties!A$1:CB$87,Formula!J82,57))</f>
        <v>8.9540000000000006</v>
      </c>
      <c r="FX82" s="60">
        <f>MIN(IF(INDEX(Properties!A$1:CB$87,Formula!B82,57)=0,10^6,INDEX(Properties!A$1:CB$87,Formula!B82,57)),IF(INDEX(Properties!A$1:CB$87,Formula!D82,57)=0,10^6,INDEX(Properties!A$1:CB$87,Formula!D82,57)),IF(INDEX(Properties!A$1:CB$87,Formula!F82,57)=0,10^6,INDEX(Properties!A$1:CB$87,Formula!F82,57)),IF(INDEX(Properties!A$1:CB$87,Formula!H82,57)=0,10^6,INDEX(Properties!A$1:CB$87,Formula!H82,57)),IF(INDEX(Properties!A$1:CB$87,Formula!J82,57)=0,10^6,INDEX(Properties!A$1:CB$87,Formula!J82,57)))</f>
        <v>0.22259000000000001</v>
      </c>
      <c r="FY82" s="60">
        <f t="shared" si="61"/>
        <v>8.7314100000000003</v>
      </c>
      <c r="FZ82" s="72">
        <f>((Formula!C82)/(Formula!C82+Formula!E82+Formula!G82+Formula!I82+Formula!K82))*(INDEX(Properties!A$1:CB$87,Formula!B82,60))+((Formula!E82)/(Formula!C82+Formula!E82+Formula!G82+Formula!I82+Formula!K82))*(INDEX(Properties!A$1:CB$87,Formula!D82,60))+((Formula!G82)/(Formula!C82+Formula!E82+Formula!G82+Formula!I82+Formula!K82))*(INDEX(Properties!A$1:CB$87,Formula!F82,60))+((Formula!I82)/(Formula!C82+Formula!E82+Formula!G82+Formula!I82+Formula!K82))*(INDEX(Properties!A$1:CB$87,Formula!H82,60))+((Formula!K82)/(Formula!C82+Formula!E82+Formula!G82+Formula!I82+Formula!K82))*(INDEX(Properties!A$1:CB$87,Formula!J82,60))</f>
        <v>44.415080869565216</v>
      </c>
      <c r="GA82" s="72">
        <f>Formula!C82*(INDEX(Properties!A$1:CB$87,Formula!B82,60))+Formula!E82*(INDEX(Properties!A$1:CB$87,Formula!D82,60))+Formula!G82*(INDEX(Properties!A$1:CB$87,Formula!F82,60))+Formula!I82*(INDEX(Properties!A$1:CB$87,Formula!H82,60))+Formula!K82*(INDEX(Properties!A$1:CB$87,Formula!J82,60))</f>
        <v>2043.0937200000001</v>
      </c>
      <c r="GB82" s="72">
        <f>VARP(IF(INDEX(Properties!A$1:CB$87,Formula!B82,60)&lt;&gt;"",INDEX(Properties!A$1:CB$87,Formula!B82,60)),IF(INDEX(Properties!A$1:CB$87,Formula!D82,60)&lt;&gt;"",INDEX(Properties!A$1:CB$87,Formula!D82,60)),IF(INDEX(Properties!A$1:CB$87,Formula!F82,60)&lt;&gt;"",INDEX(Properties!A$1:CB$87,Formula!F82,60)),IF(INDEX(Properties!A$1:CB$87,Formula!H82,60)&lt;&gt;"",INDEX(Properties!A$1:CB$87,Formula!H82,60)),IF(INDEX(Properties!A$1:CB$87,Formula!J82,60)&lt;&gt;"",INDEX(Properties!A$1:CB$87,Formula!J82,60)))</f>
        <v>6524.1389422524162</v>
      </c>
      <c r="GC82" s="72">
        <f>MAX(INDEX(Properties!A$1:CB$87,Formula!B82,60),INDEX(Properties!A$1:CB$87,Formula!D82,60),INDEX(Properties!A$1:CB$87,Formula!F82,60),INDEX(Properties!A$1:CB$87,Formula!H82,60),INDEX(Properties!A$1:CB$87,Formula!J82,60))</f>
        <v>200</v>
      </c>
      <c r="GD82" s="72">
        <f>MIN(IF(INDEX(Properties!A$1:CB$87,Formula!B82,60)=0,10^6,INDEX(Properties!A$1:CB$87,Formula!B82,60)),IF(INDEX(Properties!A$1:CB$87,Formula!D82,60)=0,10^6,INDEX(Properties!A$1:CB$87,Formula!D82,60)),IF(INDEX(Properties!A$1:CB$87,Formula!F82,60)=0,10^6,INDEX(Properties!A$1:CB$87,Formula!F82,60)),IF(INDEX(Properties!A$1:CB$87,Formula!H82,60)=0,10^6,INDEX(Properties!A$1:CB$87,Formula!H82,60)),IF(INDEX(Properties!A$1:CB$87,Formula!J82,60)=0,10^6,INDEX(Properties!A$1:CB$87,Formula!J82,60)))</f>
        <v>2.674E-2</v>
      </c>
      <c r="GE82" s="72">
        <f t="shared" si="62"/>
        <v>199.97326000000001</v>
      </c>
      <c r="GF82" s="51">
        <f>((Formula!C82)/(Formula!C82+Formula!E82+Formula!G82+Formula!I82+Formula!K82))*(INDEX(Properties!A$1:CB$87,Formula!B82,62))+((Formula!E82)/(Formula!C82+Formula!E82+Formula!G82+Formula!I82+Formula!K82))*(INDEX(Properties!A$1:CB$87,Formula!D82,62))+((Formula!G82)/(Formula!C82+Formula!E82+Formula!G82+Formula!I82+Formula!K82))*(INDEX(Properties!A$1:CB$87,Formula!F82,62))+((Formula!I82)/(Formula!C82+Formula!E82+Formula!G82+Formula!I82+Formula!K82))*(INDEX(Properties!A$1:CB$87,Formula!H82,62))+((Formula!K82)/(Formula!C82+Formula!E82+Formula!G82+Formula!I82+Formula!K82))*(INDEX(Properties!A$1:CB$87,Formula!J82,62))</f>
        <v>2.5449999999999999</v>
      </c>
      <c r="GG82" s="51">
        <f>Formula!C82*(INDEX(Properties!A$1:CB$87,Formula!B82,62))+Formula!E82*(INDEX(Properties!A$1:CB$87,Formula!D82,62))+Formula!G82*(INDEX(Properties!A$1:CB$87,Formula!F82,62))+Formula!I82*(INDEX(Properties!A$1:CB$87,Formula!H82,62))+Formula!K82*(INDEX(Properties!A$1:CB$87,Formula!J82,62))</f>
        <v>117.07000000000001</v>
      </c>
      <c r="GH82" s="51">
        <f>VARP(IF(INDEX(Properties!A$1:CB$87,Formula!B82,62)&lt;&gt;"",INDEX(Properties!A$1:CB$87,Formula!B82,62)),IF(INDEX(Properties!A$1:CB$87,Formula!D82,62)&lt;&gt;"",INDEX(Properties!A$1:CB$87,Formula!D82,62)),IF(INDEX(Properties!A$1:CB$87,Formula!F82,62)&lt;&gt;"",INDEX(Properties!A$1:CB$87,Formula!F82,62)),IF(INDEX(Properties!A$1:CB$87,Formula!H82,62)&lt;&gt;"",INDEX(Properties!A$1:CB$87,Formula!H82,62)),IF(INDEX(Properties!A$1:CB$87,Formula!J82,62)&lt;&gt;"",INDEX(Properties!A$1:CB$87,Formula!J82,62)))</f>
        <v>0.52394399999999908</v>
      </c>
      <c r="GI82" s="51">
        <f>MAX(INDEX(Properties!A$1:CB$87,Formula!B82,62),INDEX(Properties!A$1:CB$87,Formula!D82,62),INDEX(Properties!A$1:CB$87,Formula!F82,62),INDEX(Properties!A$1:CB$87,Formula!H82,62),INDEX(Properties!A$1:CB$87,Formula!J82,62))</f>
        <v>3.43</v>
      </c>
      <c r="GJ82" s="51">
        <f>MIN(IF(INDEX(Properties!A$1:CB$87,Formula!B82,62)=0,10^6,INDEX(Properties!A$1:CB$87,Formula!B82,62)),IF(INDEX(Properties!A$1:CB$87,Formula!D82,62)=0,10^6,INDEX(Properties!A$1:CB$87,Formula!D82,62)),IF(INDEX(Properties!A$1:CB$87,Formula!F82,62)=0,10^6,INDEX(Properties!A$1:CB$87,Formula!F82,62)),IF(INDEX(Properties!A$1:CB$87,Formula!H82,62)=0,10^6,INDEX(Properties!A$1:CB$87,Formula!H82,62)),IF(INDEX(Properties!A$1:CB$87,Formula!J82,62)=0,10^6,INDEX(Properties!A$1:CB$87,Formula!J82,62)))</f>
        <v>1.51</v>
      </c>
      <c r="GK82" s="51">
        <f t="shared" si="63"/>
        <v>1.9200000000000002</v>
      </c>
      <c r="GL82" s="51">
        <f>Formula!P82</f>
        <v>161</v>
      </c>
      <c r="GM82" s="57">
        <f>Formula!O82</f>
        <v>5</v>
      </c>
      <c r="GN82" s="51">
        <f>Formula!N82</f>
        <v>0.08</v>
      </c>
    </row>
    <row r="83" spans="1:196" x14ac:dyDescent="0.3">
      <c r="A83" s="84" t="str">
        <f>Formula!A83</f>
        <v>ZnTiO3</v>
      </c>
      <c r="B83" s="89">
        <f>((Formula!C83)/(Formula!C83+Formula!E83+Formula!G83+Formula!I83+Formula!K83))*(INDEX(Properties!A$1:CB$87,Formula!B83,3))+((Formula!E83)/(Formula!C83+Formula!E83+Formula!G83+Formula!I83+Formula!K83))*(INDEX(Properties!A$1:CB$87,Formula!D83,3))+((Formula!G83)/(Formula!C83+Formula!E83+Formula!G83+Formula!I83+Formula!K83))*(INDEX(Properties!A$1:CB$87,Formula!F83,3))+((Formula!I83)/(Formula!C83+Formula!E83+Formula!G83+Formula!I83+Formula!K83))*(INDEX(Properties!A$1:CB$87,Formula!H83,3))+((Formula!K83)/(Formula!C83+Formula!E83+Formula!G83+Formula!I83+Formula!K83))*(INDEX(Properties!A$1:CB$87,Formula!J83,3))</f>
        <v>32.249040000000001</v>
      </c>
      <c r="C83" s="85">
        <f>Formula!C83*(INDEX(Properties!A$1:CB$87,Formula!B83,3))+Formula!E83*(INDEX(Properties!A$1:CB$87,Formula!D83,3))+Formula!G83*(INDEX(Properties!A$1:CB$87,Formula!F83,3))+Formula!I83*(INDEX(Properties!A$1:CB$87,Formula!H83,3))+Formula!K83*(INDEX(Properties!A$1:CB$87,Formula!J83,3))</f>
        <v>161.24519999999998</v>
      </c>
      <c r="D83" s="85">
        <f>VARP(IF(INDEX(Properties!A$1:CB$87,Formula!B83,3)&lt;&gt;"",INDEX(Properties!A$1:CB$87,Formula!B83,3)),IF(INDEX(Properties!A$1:CB$87,Formula!D83,3)&lt;&gt;"",INDEX(Properties!A$1:CB$87,Formula!D83,3)),IF(INDEX(Properties!A$1:CB$87,Formula!F83,3)&lt;&gt;"",INDEX(Properties!A$1:CB$87,Formula!F83,3)),IF(INDEX(Properties!A$1:CB$87,Formula!H83,3)&lt;&gt;"",INDEX(Properties!A$1:CB$87,Formula!H83,3)),IF(INDEX(Properties!A$1:CB$87,Formula!J83,3)&lt;&gt;"",INDEX(Properties!A$1:CB$87,Formula!J83,3)))</f>
        <v>696.16970135359986</v>
      </c>
      <c r="E83" s="85">
        <f>MAX(INDEX(Properties!A$1:CB$87,Formula!B83,3),INDEX(Properties!A$1:CB$87,Formula!D83,3),INDEX(Properties!A$1:CB$87,Formula!F83,3),INDEX(Properties!A$1:CB$87,Formula!H83,3),INDEX(Properties!A$1:CB$87,Formula!J83,3))</f>
        <v>65.38</v>
      </c>
      <c r="F83" s="85">
        <f>MIN(IF(INDEX(Properties!A$1:CB$87,Formula!B83,3)=0,10^6,INDEX(Properties!A$1:CB$87,Formula!B83,3)),IF(INDEX(Properties!A$1:CB$87,Formula!D83,3)=0,10^6,INDEX(Properties!A$1:CB$87,Formula!D83,3)),IF(INDEX(Properties!A$1:CB$87,Formula!F83,3)=0,10^6,INDEX(Properties!A$1:CB$87,Formula!F83,3)),IF(INDEX(Properties!A$1:CB$87,Formula!H83,3)=0,10^6,INDEX(Properties!A$1:CB$87,Formula!H83,3)),IF(INDEX(Properties!A$1:CB$87,Formula!J83,3)=0,10^6,INDEX(Properties!A$1:CB$87,Formula!J83,3)))</f>
        <v>15.9994</v>
      </c>
      <c r="G83" s="85">
        <f t="shared" si="32"/>
        <v>49.380599999999994</v>
      </c>
      <c r="H83" s="87">
        <f>((Formula!C83)/(Formula!C83+Formula!E83+Formula!G83+Formula!I83+Formula!K83))*(INDEX(Properties!A$1:CB$87,Formula!B83,4))+((Formula!E83)/(Formula!C83+Formula!E83+Formula!G83+Formula!I83+Formula!K83))*(INDEX(Properties!A$1:CB$87,Formula!D83,4))+((Formula!G83)/(Formula!C83+Formula!E83+Formula!G83+Formula!I83+Formula!K83))*(INDEX(Properties!A$1:CB$87,Formula!F83,4))+((Formula!I83)/(Formula!C83+Formula!E83+Formula!G83+Formula!I83+Formula!K83))*(INDEX(Properties!A$1:CB$87,Formula!H83,4))+((Formula!K83)/(Formula!C83+Formula!E83+Formula!G83+Formula!I83+Formula!K83))*(INDEX(Properties!A$1:CB$87,Formula!J83,4))</f>
        <v>15.2</v>
      </c>
      <c r="I83" s="87">
        <f>Formula!C83*(INDEX(Properties!A$1:CB$87,Formula!B83,4))+Formula!E83*(INDEX(Properties!A$1:CB$87,Formula!D83,4))+Formula!G83*(INDEX(Properties!A$1:CB$87,Formula!F83,4))+Formula!I83*(INDEX(Properties!A$1:CB$87,Formula!H83,4))+Formula!K83*(INDEX(Properties!A$1:CB$87,Formula!J83,4))</f>
        <v>76</v>
      </c>
      <c r="J83" s="87">
        <f>VARP(IF(INDEX(Properties!A$1:CB$87,Formula!B83,4)&lt;&gt;"",INDEX(Properties!A$1:CB$87,Formula!B83,4)),IF(INDEX(Properties!A$1:CB$87,Formula!D83,4)&lt;&gt;"",INDEX(Properties!A$1:CB$87,Formula!D83,4)),IF(INDEX(Properties!A$1:CB$87,Formula!F83,4)&lt;&gt;"",INDEX(Properties!A$1:CB$87,Formula!F83,4)),IF(INDEX(Properties!A$1:CB$87,Formula!H83,4)&lt;&gt;"",INDEX(Properties!A$1:CB$87,Formula!H83,4)),IF(INDEX(Properties!A$1:CB$87,Formula!J83,4)&lt;&gt;"",INDEX(Properties!A$1:CB$87,Formula!J83,4)))</f>
        <v>145.6</v>
      </c>
      <c r="K83" s="87">
        <f>MAX(INDEX(Properties!A$1:CB$87,Formula!B83,4),INDEX(Properties!A$1:CB$87,Formula!D83,4),INDEX(Properties!A$1:CB$87,Formula!F83,4),INDEX(Properties!A$1:CB$87,Formula!H83,4),INDEX(Properties!A$1:CB$87,Formula!J83,4))</f>
        <v>30</v>
      </c>
      <c r="L83" s="87">
        <f>MIN(IF(INDEX(Properties!A$1:CB$87,Formula!B83,4)=0,10^6,INDEX(Properties!A$1:CB$87,Formula!B83,4)),IF(INDEX(Properties!A$1:CB$87,Formula!D83,4)=0,10^6,INDEX(Properties!A$1:CB$87,Formula!D83,4)),IF(INDEX(Properties!A$1:CB$87,Formula!F83,4)=0,10^6,INDEX(Properties!A$1:CB$87,Formula!F83,4)),IF(INDEX(Properties!A$1:CB$87,Formula!H83,4)=0,10^6,INDEX(Properties!A$1:CB$87,Formula!H83,4)),IF(INDEX(Properties!A$1:CB$87,Formula!J83,4)=0,10^6,INDEX(Properties!A$1:CB$87,Formula!J83,4)))</f>
        <v>8</v>
      </c>
      <c r="M83" s="87">
        <f t="shared" si="33"/>
        <v>22</v>
      </c>
      <c r="N83" s="89">
        <f>((Formula!C83)/(Formula!C83+Formula!E83+Formula!G83+Formula!I83+Formula!K83))*(INDEX(Properties!A$1:CB$87,Formula!B83,5))+((Formula!E83)/(Formula!C83+Formula!E83+Formula!G83+Formula!I83+Formula!K83))*(INDEX(Properties!A$1:CB$87,Formula!D83,5))+((Formula!G83)/(Formula!C83+Formula!E83+Formula!G83+Formula!I83+Formula!K83))*(INDEX(Properties!A$1:CB$87,Formula!F83,5))+((Formula!I83)/(Formula!C83+Formula!E83+Formula!G83+Formula!I83+Formula!K83))*(INDEX(Properties!A$1:CB$87,Formula!H83,5))+((Formula!K83)/(Formula!C83+Formula!E83+Formula!G83+Formula!I83+Formula!K83))*(INDEX(Properties!A$1:CB$87,Formula!J83,5))</f>
        <v>2.8</v>
      </c>
      <c r="O83" s="89">
        <f>Formula!C83*(INDEX(Properties!A$1:CB$87,Formula!B83,5))+Formula!E83*(INDEX(Properties!A$1:CB$87,Formula!D83,5))+Formula!G83*(INDEX(Properties!A$1:CB$87,Formula!F83,5))+Formula!I83*(INDEX(Properties!A$1:CB$87,Formula!H83,5))+Formula!K83*(INDEX(Properties!A$1:CB$87,Formula!J83,5))</f>
        <v>14</v>
      </c>
      <c r="P83" s="89">
        <f>VARP(IF(INDEX(Properties!A$1:CB$87,Formula!B83,5)&lt;&gt;"",INDEX(Properties!A$1:CB$87,Formula!B83,5)),IF(INDEX(Properties!A$1:CB$87,Formula!D83,5)&lt;&gt;"",INDEX(Properties!A$1:CB$87,Formula!D83,5)),IF(INDEX(Properties!A$1:CB$87,Formula!F83,5)&lt;&gt;"",INDEX(Properties!A$1:CB$87,Formula!F83,5)),IF(INDEX(Properties!A$1:CB$87,Formula!H83,5)&lt;&gt;"",INDEX(Properties!A$1:CB$87,Formula!H83,5)),IF(INDEX(Properties!A$1:CB$87,Formula!J83,5)&lt;&gt;"",INDEX(Properties!A$1:CB$87,Formula!J83,5)))</f>
        <v>3.2</v>
      </c>
      <c r="Q83" s="89">
        <f>MAX(INDEX(Properties!A$1:CB$87,Formula!B83,5),INDEX(Properties!A$1:CB$87,Formula!D83,5),INDEX(Properties!A$1:CB$87,Formula!F83,5),INDEX(Properties!A$1:CB$87,Formula!H83,5),INDEX(Properties!A$1:CB$87,Formula!J83,5))</f>
        <v>4</v>
      </c>
      <c r="R83" s="89">
        <f>MIN(IF(INDEX(Properties!A$1:CB$87,Formula!B83,5)=0,10^6,INDEX(Properties!A$1:CB$87,Formula!B83,5)),IF(INDEX(Properties!A$1:CB$87,Formula!D83,5)=0,10^6,INDEX(Properties!A$1:CB$87,Formula!D83,5)),IF(INDEX(Properties!A$1:CB$87,Formula!F83,5)=0,10^6,INDEX(Properties!A$1:CB$87,Formula!F83,5)),IF(INDEX(Properties!A$1:CB$87,Formula!H83,5)=0,10^6,INDEX(Properties!A$1:CB$87,Formula!H83,5)),IF(INDEX(Properties!A$1:CB$87,Formula!J83,5)=0,10^6,INDEX(Properties!A$1:CB$87,Formula!J83,5)))</f>
        <v>2</v>
      </c>
      <c r="S83" s="89">
        <f t="shared" si="34"/>
        <v>2</v>
      </c>
      <c r="T83" s="60">
        <f>((Formula!C83)/(Formula!C83+Formula!E83+Formula!G83+Formula!I83+Formula!K83))*(INDEX(Properties!A$1:CB$87,Formula!B83,6))+((Formula!E83)/(Formula!C83+Formula!E83+Formula!G83+Formula!I83+Formula!K83))*(INDEX(Properties!A$1:CB$87,Formula!D83,6))+((Formula!G83)/(Formula!C83+Formula!E83+Formula!G83+Formula!I83+Formula!K83))*(INDEX(Properties!A$1:CB$87,Formula!F83,6))+((Formula!I83)/(Formula!C83+Formula!E83+Formula!G83+Formula!I83+Formula!K83))*(INDEX(Properties!A$1:CB$87,Formula!H83,6))+((Formula!K83)/(Formula!C83+Formula!E83+Formula!G83+Formula!I83+Formula!K83))*(INDEX(Properties!A$1:CB$87,Formula!J83,6))</f>
        <v>12.8</v>
      </c>
      <c r="U83" s="60">
        <f>Formula!C83*(INDEX(Properties!A$1:CB$87,Formula!B83,6))+Formula!E83*(INDEX(Properties!A$1:CB$87,Formula!D83,6))+Formula!G83*(INDEX(Properties!A$1:CB$87,Formula!F83,6))+Formula!I83*(INDEX(Properties!A$1:CB$87,Formula!H83,6))+Formula!K83*(INDEX(Properties!A$1:CB$87,Formula!J83,6))</f>
        <v>64</v>
      </c>
      <c r="V83" s="89">
        <f>VARP(IF(INDEX(Properties!A$1:CB$87,Formula!B83,6)&lt;&gt;"",INDEX(Properties!A$1:CB$87,Formula!B83,6)),IF(INDEX(Properties!A$1:CB$87,Formula!D83,6)&lt;&gt;"",INDEX(Properties!A$1:CB$87,Formula!D83,6)),IF(INDEX(Properties!A$1:CB$87,Formula!F83,6)&lt;&gt;"",INDEX(Properties!A$1:CB$87,Formula!F83,6)),IF(INDEX(Properties!A$1:CB$87,Formula!H83,6)&lt;&gt;"",INDEX(Properties!A$1:CB$87,Formula!H83,6)),IF(INDEX(Properties!A$1:CB$87,Formula!J83,6)&lt;&gt;"",INDEX(Properties!A$1:CB$87,Formula!J83,6)))</f>
        <v>42.24</v>
      </c>
      <c r="W83" s="60">
        <f>MAX(INDEX(Properties!A$1:CB$87,Formula!B83,6),INDEX(Properties!A$1:CB$87,Formula!D83,6),INDEX(Properties!A$1:CB$87,Formula!F83,6),INDEX(Properties!A$1:CB$87,Formula!H83,4),INDEX(Properties!A$1:CB$87,Formula!J83,6))</f>
        <v>16</v>
      </c>
      <c r="X83" s="60">
        <f>MIN(IF(INDEX(Properties!A$1:CB$87,Formula!B83,6)=0,10^6,INDEX(Properties!A$1:CB$87,Formula!B83,6)),IF(INDEX(Properties!A$1:CB$87,Formula!D83,6)=0,10^6,INDEX(Properties!A$1:CB$87,Formula!D83,6)),IF(INDEX(Properties!A$1:CB$87,Formula!F83,6)=0,10^6,INDEX(Properties!A$1:CB$87,Formula!F83,6)),IF(INDEX(Properties!A$1:CB$87,Formula!H83,6)=0,10^6,INDEX(Properties!A$1:CB$87,Formula!H83,6)),IF(INDEX(Properties!A$1:CB$87,Formula!J83,6)=0,10^6,INDEX(Properties!A$1:CB$87,Formula!J83,6)))</f>
        <v>4</v>
      </c>
      <c r="Y83" s="60">
        <f t="shared" si="35"/>
        <v>12</v>
      </c>
      <c r="Z83" s="72">
        <f>((Formula!C83)/(Formula!C83+Formula!E83+Formula!G83+Formula!I83+Formula!K83))*(INDEX(Properties!A$1:CB$87,Formula!B83,9))+((Formula!E83)/(Formula!C83+Formula!E83+Formula!G83+Formula!I83+Formula!K83))*(INDEX(Properties!A$1:CB$87,Formula!D83,9))+((Formula!G83)/(Formula!C83+Formula!E83+Formula!G83+Formula!I83+Formula!K83))*(INDEX(Properties!A$1:CB$87,Formula!F83,9))+((Formula!I83)/(Formula!C83+Formula!E83+Formula!G83+Formula!I83+Formula!K83))*(INDEX(Properties!A$1:CB$87,Formula!H83,9))+((Formula!K83)/(Formula!C83+Formula!E83+Formula!G83+Formula!I83+Formula!K83))*(INDEX(Properties!A$1:CB$87,Formula!J83,9))</f>
        <v>74.599999999999994</v>
      </c>
      <c r="AA83" s="72">
        <f>Formula!C83*(INDEX(Properties!A$1:CB$87,Formula!B83,9))+Formula!E83*(INDEX(Properties!A$1:CB$87,Formula!D83,9))+Formula!G83*(INDEX(Properties!A$1:CB$87,Formula!F83,9))+Formula!I83*(INDEX(Properties!A$1:CB$87,Formula!H83,9))+Formula!K83*(INDEX(Properties!A$1:CB$87,Formula!J83,9))</f>
        <v>373</v>
      </c>
      <c r="AB83" s="72">
        <f>VARP(IF(INDEX(Properties!A$1:CB$87,Formula!B83,9)&lt;&gt;"",INDEX(Properties!A$1:CB$87,Formula!B83,9)),IF(INDEX(Properties!A$1:CB$87,Formula!D83,9)&lt;&gt;"",INDEX(Properties!A$1:CB$87,Formula!D83,9)),IF(INDEX(Properties!A$1:CB$87,Formula!F83,9)&lt;&gt;"",INDEX(Properties!A$1:CB$87,Formula!F83,9)),IF(INDEX(Properties!A$1:CB$87,Formula!H83,9)&lt;&gt;"",INDEX(Properties!A$1:CB$87,Formula!H83,9)),IF(INDEX(Properties!A$1:CB$87,Formula!J83,9)&lt;&gt;"",INDEX(Properties!A$1:CB$87,Formula!J83,9)))</f>
        <v>1251.76</v>
      </c>
      <c r="AC83" s="72">
        <f>MAX(INDEX(Properties!A$1:CB$87,Formula!B83,9),INDEX(Properties!A$1:CB$87,Formula!D83,9),INDEX(Properties!A$1:CB$87,Formula!F83,9),INDEX(Properties!A$1:CB$87,Formula!H83,9),INDEX(Properties!A$1:CB$87,Formula!J83,9))</f>
        <v>87</v>
      </c>
      <c r="AD83" s="72">
        <f>MIN(IF(INDEX(Properties!A$1:CB$87,Formula!B83,9)=0,10^6,INDEX(Properties!A$1:CB$87,Formula!B83,9)),IF(INDEX(Properties!A$1:CB$87,Formula!D83,9)=0,10^6,INDEX(Properties!A$1:CB$87,Formula!D83,9)),IF(INDEX(Properties!A$1:CB$87,Formula!F83,9)=0,10^6,INDEX(Properties!A$1:CB$87,Formula!F83,9)),IF(INDEX(Properties!A$1:CB$87,Formula!H83,9)=0,10^6,INDEX(Properties!A$1:CB$87,Formula!H83,9)),IF(INDEX(Properties!A$1:CB$87,Formula!J83,9)=0,10^6,INDEX(Properties!A$1:CB$87,Formula!J83,9)))</f>
        <v>43</v>
      </c>
      <c r="AE83" s="72">
        <f t="shared" si="36"/>
        <v>44</v>
      </c>
      <c r="AF83" s="51">
        <f>((Formula!C83)/(Formula!C83+Formula!E83+Formula!G83+Formula!I83+Formula!K83))*(INDEX(Properties!A$1:CB$87,Formula!B83,10))+((Formula!E83)/(Formula!C83+Formula!E83+Formula!G83+Formula!I83+Formula!K83))*(INDEX(Properties!A$1:CB$87,Formula!D83,10))+((Formula!G83)/(Formula!C83+Formula!E83+Formula!G83+Formula!I83+Formula!K83))*(INDEX(Properties!A$1:CB$87,Formula!F83,10))+((Formula!I83)/(Formula!C83+Formula!E83+Formula!G83+Formula!I83+Formula!K83))*(INDEX(Properties!A$1:CB$87,Formula!H83,10))+((Formula!K83)/(Formula!C83+Formula!E83+Formula!G83+Formula!I83+Formula!K83))*(INDEX(Properties!A$1:CB$87,Formula!J83,10))</f>
        <v>5.8000000000000007</v>
      </c>
      <c r="AG83" s="51">
        <f>Formula!C83*(INDEX(Properties!A$1:CB$87,Formula!B83,10))+Formula!E83*(INDEX(Properties!A$1:CB$87,Formula!D83,10))+Formula!G83*(INDEX(Properties!A$1:CB$87,Formula!F83,10))+Formula!I83*(INDEX(Properties!A$1:CB$87,Formula!H83,10))+Formula!K83*(INDEX(Properties!A$1:CB$87,Formula!J83,10))</f>
        <v>29</v>
      </c>
      <c r="AH83" s="51">
        <f>VARP(IF(INDEX(Properties!A$1:CB$87,Formula!B83,10)&lt;&gt;"",INDEX(Properties!A$1:CB$87,Formula!B83,10)),IF(INDEX(Properties!A$1:CB$87,Formula!D83,10)&lt;&gt;"",INDEX(Properties!A$1:CB$87,Formula!D83,10)),IF(INDEX(Properties!A$1:CB$87,Formula!F83,10)&lt;&gt;"",INDEX(Properties!A$1:CB$87,Formula!F83,10)),IF(INDEX(Properties!A$1:CB$87,Formula!H83,10)&lt;&gt;"",INDEX(Properties!A$1:CB$87,Formula!H83,10)),IF(INDEX(Properties!A$1:CB$87,Formula!J83,10)&lt;&gt;"",INDEX(Properties!A$1:CB$87,Formula!J83,10)))</f>
        <v>7.2</v>
      </c>
      <c r="AI83" s="51">
        <f>MAX(INDEX(Properties!A$1:CB$87,Formula!B83,10),INDEX(Properties!A$1:CB$87,Formula!D83,10),INDEX(Properties!A$1:CB$87,Formula!F83,10),INDEX(Properties!A$1:CB$87,Formula!H83,10),INDEX(Properties!A$1:CB$87,Formula!J83,10))</f>
        <v>7</v>
      </c>
      <c r="AJ83" s="51">
        <f>MIN(IF(INDEX(Properties!A$1:CB$87,Formula!B83,10)=0,10^6,INDEX(Properties!A$1:CB$87,Formula!B83,10)),IF(INDEX(Properties!A$1:CB$87,Formula!D83,10)=0,10^6,INDEX(Properties!A$1:CB$87,Formula!D83,10)),IF(INDEX(Properties!A$1:CB$87,Formula!F83,10)=0,10^6,INDEX(Properties!A$1:CB$87,Formula!F83,10)),IF(INDEX(Properties!A$1:CB$87,Formula!H83,10)=0,10^6,INDEX(Properties!A$1:CB$87,Formula!H83,10)),IF(INDEX(Properties!A$1:CB$87,Formula!J83,10)=0,10^6,INDEX(Properties!A$1:CB$87,Formula!J83,10)))</f>
        <v>4</v>
      </c>
      <c r="AK83" s="51">
        <f t="shared" si="37"/>
        <v>3</v>
      </c>
      <c r="AL83" s="57">
        <f>((Formula!C83)/(Formula!C83+Formula!E83+Formula!G83+Formula!I83+Formula!K83))*(INDEX(Properties!A$1:CB$87,Formula!B83,11))+((Formula!E83)/(Formula!C83+Formula!E83+Formula!G83+Formula!I83+Formula!K83))*(INDEX(Properties!A$1:CB$87,Formula!D83,11))+((Formula!G83)/(Formula!C83+Formula!E83+Formula!G83+Formula!I83+Formula!K83))*(INDEX(Properties!A$1:CB$87,Formula!F83,11))+((Formula!I83)/(Formula!C83+Formula!E83+Formula!G83+Formula!I83+Formula!K83))*(INDEX(Properties!A$1:CB$87,Formula!H83,11))+((Formula!K83)/(Formula!C83+Formula!E83+Formula!G83+Formula!I83+Formula!K83))*(INDEX(Properties!A$1:CB$87,Formula!J83,11))</f>
        <v>2</v>
      </c>
      <c r="AM83" s="57">
        <f>Formula!C83*(INDEX(Properties!A$1:CB$87,Formula!B83,11))+Formula!E83*(INDEX(Properties!A$1:CB$87,Formula!D83,11))+Formula!G83*(INDEX(Properties!A$1:CB$87,Formula!F83,11))+Formula!I83*(INDEX(Properties!A$1:CB$87,Formula!H83,11))+Formula!K83*(INDEX(Properties!A$1:CB$87,Formula!J83,11))</f>
        <v>10</v>
      </c>
      <c r="AN83" s="57">
        <f>VARP(IF(INDEX(Properties!A$1:CB$87,Formula!B83,11)&lt;&gt;"",INDEX(Properties!A$1:CB$87,Formula!B83,11)),IF(INDEX(Properties!A$1:CB$87,Formula!D83,11)&lt;&gt;"",INDEX(Properties!A$1:CB$87,Formula!D83,11)),IF(INDEX(Properties!A$1:CB$87,Formula!F83,11)&lt;&gt;"",INDEX(Properties!A$1:CB$87,Formula!F83,11)),IF(INDEX(Properties!A$1:CB$87,Formula!H83,11)&lt;&gt;"",INDEX(Properties!A$1:CB$87,Formula!H83,11)),IF(INDEX(Properties!A$1:CB$87,Formula!J83,11)&lt;&gt;"",INDEX(Properties!A$1:CB$87,Formula!J83,11)))</f>
        <v>0.96</v>
      </c>
      <c r="AO83" s="57">
        <f>MAX(INDEX(Properties!A$1:CB$87,Formula!B83,11),INDEX(Properties!A$1:CB$87,Formula!D83,11),INDEX(Properties!A$1:CB$87,Formula!F83,11),INDEX(Properties!A$1:CB$87,Formula!H83,11),INDEX(Properties!A$1:CB$87,Formula!J83,11))</f>
        <v>2</v>
      </c>
      <c r="AP83" s="57">
        <f>MIN(IF(Formula!B83=87,10^6,INDEX(Properties!A$1:CB$87,Formula!B83,11)),IF((Formula!D83)=87,10^6,INDEX(Properties!A$1:CB$87,Formula!D83,11)),IF((Formula!F83)=87,10^6,INDEX(Properties!A$1:CB$87,Formula!F83,11)),IF((Formula!H83)=87,10^6,INDEX(Properties!A$1:CB$87,Formula!H83,11)),IF(Formula!J83=87,10^6,INDEX(Properties!A$1:CB$87,Formula!J83,11)))</f>
        <v>2</v>
      </c>
      <c r="AQ83" s="57">
        <f t="shared" si="38"/>
        <v>0</v>
      </c>
      <c r="AR83" s="78">
        <f>((Formula!C83)/(Formula!C83+Formula!E83+Formula!G83+Formula!I83+Formula!K83))*(INDEX(Properties!A$1:CB$87,Formula!B83,12))+((Formula!E83)/(Formula!C83+Formula!E83+Formula!G83+Formula!I83+Formula!K83))*(INDEX(Properties!A$1:CB$87,Formula!D83,12))+((Formula!G83)/(Formula!C83+Formula!E83+Formula!G83+Formula!I83+Formula!K83))*(INDEX(Properties!A$1:CB$87,Formula!F83,12))+((Formula!I83)/(Formula!C83+Formula!E83+Formula!G83+Formula!I83+Formula!K83))*(INDEX(Properties!A$1:CB$87,Formula!H83,12))+((Formula!K83)/(Formula!C83+Formula!E83+Formula!G83+Formula!I83+Formula!K83))*(INDEX(Properties!A$1:CB$87,Formula!J83,12))</f>
        <v>2.4</v>
      </c>
      <c r="AS83" s="78">
        <f>Formula!C83*(INDEX(Properties!A$1:CB$87,Formula!B83,12))+Formula!E83*(INDEX(Properties!A$1:CB$87,Formula!D83,12))+Formula!G83*(INDEX(Properties!A$1:CB$87,Formula!F83,12))+Formula!I83*(INDEX(Properties!A$1:CB$87,Formula!H83,12))+Formula!K83*(INDEX(Properties!A$1:CB$87,Formula!J83,12))</f>
        <v>12</v>
      </c>
      <c r="AT83" s="78">
        <f>VARP(IF(INDEX(Properties!A$1:CB$87,Formula!B83,12)&lt;&gt;"",INDEX(Properties!A$1:CB$87,Formula!B83,12)),IF(INDEX(Properties!A$1:CB$87,Formula!D83,12)&lt;&gt;"",INDEX(Properties!A$1:CB$87,Formula!D83,12)),IF(INDEX(Properties!A$1:CB$87,Formula!F83,12)&lt;&gt;"",INDEX(Properties!A$1:CB$87,Formula!F83,12)),IF(INDEX(Properties!A$1:CB$87,Formula!H83,12)&lt;&gt;"",INDEX(Properties!A$1:CB$87,Formula!H83,12)),IF(INDEX(Properties!A$1:CB$87,Formula!J83,12)&lt;&gt;"",INDEX(Properties!A$1:CB$87,Formula!J83,12)))</f>
        <v>2.56</v>
      </c>
      <c r="AU83" s="78">
        <f>MAX(INDEX(Properties!A$1:CB$87,Formula!B83,12),INDEX(Properties!A$1:CB$87,Formula!D83,12),INDEX(Properties!A$1:CB$87,Formula!F83,12),INDEX(Properties!A$1:CB$87,Formula!H83,12),INDEX(Properties!A$1:CB$87,Formula!J83,12))</f>
        <v>4</v>
      </c>
      <c r="AV83" s="78">
        <f>MIN(IF(Formula!B83=87,10^6,INDEX(Properties!A$1:CB$87,Formula!B83,12)),IF((Formula!D83)=87,10^6,INDEX(Properties!A$1:CB$87,Formula!D83,12)),IF((Formula!F83)=87,10^6,INDEX(Properties!A$1:CB$87,Formula!F83,12)),IF((Formula!H83)=87,10^6,INDEX(Properties!A$1:CB$87,Formula!H83,12)),IF(Formula!J83=87,10^6,INDEX(Properties!A$1:CB$87,Formula!J83,12)))</f>
        <v>0</v>
      </c>
      <c r="AW83" s="78">
        <f t="shared" si="39"/>
        <v>4</v>
      </c>
      <c r="AX83" s="45">
        <f>((Formula!C83)/(Formula!C83+Formula!E83+Formula!G83+Formula!I83+Formula!K83))*(INDEX(Properties!A$1:CB$87,Formula!B83,13))+((Formula!E83)/(Formula!C83+Formula!E83+Formula!G83+Formula!I83+Formula!K83))*(INDEX(Properties!A$1:CB$87,Formula!D83,13))+((Formula!G83)/(Formula!C83+Formula!E83+Formula!G83+Formula!I83+Formula!K83))*(INDEX(Properties!A$1:CB$87,Formula!F83,13))+((Formula!I83)/(Formula!C83+Formula!E83+Formula!G83+Formula!I83+Formula!K83))*(INDEX(Properties!A$1:CB$87,Formula!H83,13))+((Formula!K83)/(Formula!C83+Formula!E83+Formula!G83+Formula!I83+Formula!K83))*(INDEX(Properties!A$1:CB$87,Formula!J83,13))</f>
        <v>2.4</v>
      </c>
      <c r="AY83" s="45">
        <f>Formula!C83*(INDEX(Properties!A$1:CB$87,Formula!B83,13))+Formula!E83*(INDEX(Properties!A$1:CB$87,Formula!D83,13))+Formula!G83*(INDEX(Properties!A$1:CB$87,Formula!F83,13))+Formula!I83*(INDEX(Properties!A$1:CB$87,Formula!H83,13))+Formula!K83*(INDEX(Properties!A$1:CB$87,Formula!J83,13))</f>
        <v>12</v>
      </c>
      <c r="AZ83" s="45">
        <f>VARP(IF(INDEX(Properties!A$1:CB$87,Formula!B83,13)&lt;&gt;"",INDEX(Properties!A$1:CB$87,Formula!B83,13)),IF(INDEX(Properties!A$1:CB$87,Formula!D83,13)&lt;&gt;"",INDEX(Properties!A$1:CB$87,Formula!D83,13)),IF(INDEX(Properties!A$1:CB$87,Formula!F83,13)&lt;&gt;"",INDEX(Properties!A$1:CB$87,Formula!F83,13)),IF(INDEX(Properties!A$1:CB$87,Formula!H83,13)&lt;&gt;"",INDEX(Properties!A$1:CB$87,Formula!H83,13)),IF(INDEX(Properties!A$1:CB$87,Formula!J83,13)&lt;&gt;"",INDEX(Properties!A$1:CB$87,Formula!J83,13)))</f>
        <v>15.04</v>
      </c>
      <c r="BA83" s="45">
        <f>MAX(INDEX(Properties!A$1:CB$87,Formula!B83,13),INDEX(Properties!A$1:CB$87,Formula!D83,13),INDEX(Properties!A$1:CB$87,Formula!F83,13),INDEX(Properties!A$1:CB$87,Formula!H83,13),INDEX(Properties!A$1:CB$87,Formula!J83,13))</f>
        <v>10</v>
      </c>
      <c r="BB83" s="45">
        <f>MIN(IF(Formula!B83=87,10^6,INDEX(Properties!A$1:CB$87,Formula!B83,13)),IF((Formula!D83)=87,10^6,INDEX(Properties!A$1:CB$87,Formula!D83,13)),IF((Formula!F83)=87,10^6,INDEX(Properties!A$1:CB$87,Formula!F83,13)),IF((Formula!H83)=87,10^6,INDEX(Properties!A$1:CB$87,Formula!H83,13)),IF(Formula!J83=87,10^6,INDEX(Properties!A$1:CB$87,Formula!J83,13)))</f>
        <v>0</v>
      </c>
      <c r="BC83" s="45">
        <f t="shared" si="40"/>
        <v>10</v>
      </c>
      <c r="BD83" s="63">
        <f>((Formula!C83)/(Formula!C83+Formula!E83+Formula!G83+Formula!I83+Formula!K83))*(INDEX(Properties!A$1:CB$87,Formula!B83,14))+((Formula!E83)/(Formula!C83+Formula!E83+Formula!G83+Formula!I83+Formula!K83))*(INDEX(Properties!A$1:CB$87,Formula!D83,14))+((Formula!G83)/(Formula!C83+Formula!E83+Formula!G83+Formula!I83+Formula!K83))*(INDEX(Properties!A$1:CB$87,Formula!F83,14))+((Formula!I83)/(Formula!C83+Formula!E83+Formula!G83+Formula!I83+Formula!K83))*(INDEX(Properties!A$1:CB$87,Formula!H83,14))+((Formula!K83)/(Formula!C83+Formula!E83+Formula!G83+Formula!I83+Formula!K83))*(INDEX(Properties!A$1:CB$87,Formula!J83,14))</f>
        <v>0</v>
      </c>
      <c r="BE83" s="63">
        <f>Formula!C83*(INDEX(Properties!A$1:CB$87,Formula!B83,14))+Formula!E83*(INDEX(Properties!A$1:CB$87,Formula!D83,14))+Formula!G83*(INDEX(Properties!A$1:CB$87,Formula!F83,14))+Formula!I83*(INDEX(Properties!A$1:CB$87,Formula!H83,14))+Formula!K83*(INDEX(Properties!A$1:CB$87,Formula!J83,14))</f>
        <v>0</v>
      </c>
      <c r="BF83" s="63">
        <f>VARP(IF(INDEX(Properties!A$1:CB$87,Formula!B83,14)&lt;&gt;"",INDEX(Properties!A$1:CB$87,Formula!B83,14)),IF(INDEX(Properties!A$1:CB$87,Formula!D83,14)&lt;&gt;"",INDEX(Properties!A$1:CB$87,Formula!D83,14)),IF(INDEX(Properties!A$1:CB$87,Formula!F83,14)&lt;&gt;"",INDEX(Properties!A$1:CB$87,Formula!F83,14)),IF(INDEX(Properties!A$1:CB$87,Formula!H83,14)&lt;&gt;"",INDEX(Properties!A$1:CB$87,Formula!H83,14)),IF(INDEX(Properties!A$1:CB$87,Formula!J83,14)&lt;&gt;"",INDEX(Properties!A$1:CB$87,Formula!J83,14)))</f>
        <v>0</v>
      </c>
      <c r="BG83" s="63">
        <f>MAX(INDEX(Properties!A$1:CB$87,Formula!B83,14),INDEX(Properties!A$1:CB$87,Formula!D83,14),INDEX(Properties!A$1:CB$87,Formula!F83,14),INDEX(Properties!A$1:CB$87,Formula!H83,14),INDEX(Properties!A$1:CB$87,Formula!J83,14))</f>
        <v>0</v>
      </c>
      <c r="BH83" s="63">
        <f>MIN(IF(Formula!B83=87,10^6,INDEX(Properties!A$1:CB$87,Formula!B83,14)),IF((Formula!D83)=87,10^6,INDEX(Properties!A$1:CB$87,Formula!D83,14)),IF((Formula!F83)=87,10^6,INDEX(Properties!A$1:CB$87,Formula!F83,14)),IF((Formula!H83)=87,10^6,INDEX(Properties!A$1:CB$87,Formula!H83,14)),IF(Formula!J83=87,10^6,INDEX(Properties!A$1:CB$87,Formula!J83,14)))</f>
        <v>0</v>
      </c>
      <c r="BI83" s="63">
        <f t="shared" si="41"/>
        <v>0</v>
      </c>
      <c r="BJ83" s="75">
        <f>((Formula!C83)/(Formula!C83+Formula!E83+Formula!G83+Formula!I83+Formula!K83))*(INDEX(Properties!A$1:CB$87,Formula!B83,19))+((Formula!E83)/(Formula!C83+Formula!E83+Formula!G83+Formula!I83+Formula!K83))*(INDEX(Properties!A$1:CB$87,Formula!D83,19))+((Formula!G83)/(Formula!C83+Formula!E83+Formula!G83+Formula!I83+Formula!K83))*(INDEX(Properties!A$1:CB$87,Formula!F83,19))+((Formula!I83)/(Formula!C83+Formula!E83+Formula!G83+Formula!I83+Formula!K83))*(INDEX(Properties!A$1:CB$87,Formula!H83,19))+((Formula!K83)/(Formula!C83+Formula!E83+Formula!G83+Formula!I83+Formula!K83))*(INDEX(Properties!A$1:CB$87,Formula!J83,19))</f>
        <v>6.8</v>
      </c>
      <c r="BK83" s="75">
        <f>Formula!C83*(INDEX(Properties!A$1:CB$87,Formula!B83,19))+Formula!E83*(INDEX(Properties!A$1:CB$87,Formula!D83,19))+Formula!G83*(INDEX(Properties!A$1:CB$87,Formula!F83,19))+Formula!I83*(INDEX(Properties!A$1:CB$87,Formula!H83,19))+Formula!K83*(INDEX(Properties!A$1:CB$87,Formula!J83,19))</f>
        <v>34</v>
      </c>
      <c r="BL83" s="75">
        <f>VARP(IF(INDEX(Properties!A$1:CB$87,Formula!B83,19)&lt;&gt;"",INDEX(Properties!A$1:CB$87,Formula!B83,19)),IF(INDEX(Properties!A$1:CB$87,Formula!D83,19)&lt;&gt;"",INDEX(Properties!A$1:CB$87,Formula!D83,19)),IF(INDEX(Properties!A$1:CB$87,Formula!F83,19)&lt;&gt;"",INDEX(Properties!A$1:CB$87,Formula!F83,19)),IF(INDEX(Properties!A$1:CB$87,Formula!H83,19)&lt;&gt;"",INDEX(Properties!A$1:CB$87,Formula!H83,19)),IF(INDEX(Properties!A$1:CB$87,Formula!J83,19)&lt;&gt;"",INDEX(Properties!A$1:CB$87,Formula!J83,19)))</f>
        <v>19.84</v>
      </c>
      <c r="BM83" s="75">
        <f>MAX(INDEX(Properties!A$1:CB$87,Formula!B83,19),INDEX(Properties!A$1:CB$87,Formula!D83,19),INDEX(Properties!A$1:CB$87,Formula!F83,19),INDEX(Properties!A$1:CB$87,Formula!H83,19),INDEX(Properties!A$1:CB$87,Formula!J83,19))</f>
        <v>12</v>
      </c>
      <c r="BN83" s="75">
        <f>MIN(IF(INDEX(Properties!A$1:CB$87,Formula!B83,19)=0,10^6,INDEX(Properties!A$1:CB$87,Formula!B83,19)),IF(INDEX(Properties!A$1:CB$87,Formula!D83,19)=0,10^6,INDEX(Properties!A$1:CB$87,Formula!D83,19)),IF(INDEX(Properties!A$1:CB$87,Formula!F83,19)=0,10^6,INDEX(Properties!A$1:CB$87,Formula!F83,19)),IF(INDEX(Properties!A$1:CB$87,Formula!H83,19)=0,10^6,INDEX(Properties!A$1:CB$87,Formula!H83,19)),IF(INDEX(Properties!A$1:CB$87,Formula!J83,19)=0,10^6,INDEX(Properties!A$1:CB$87,Formula!J83,19)))</f>
        <v>4</v>
      </c>
      <c r="BO83" s="75">
        <f t="shared" si="42"/>
        <v>8</v>
      </c>
      <c r="BP83" s="48">
        <f>((Formula!C83)/(Formula!C83+Formula!E83+Formula!G83+Formula!I83+Formula!K83))*(INDEX(Properties!A$1:CB$87,Formula!B83,20))+((Formula!E83)/(Formula!C83+Formula!E83+Formula!G83+Formula!I83+Formula!K83))*(INDEX(Properties!A$1:CB$87,Formula!D83,20))+((Formula!G83)/(Formula!C83+Formula!E83+Formula!G83+Formula!I83+Formula!K83))*(INDEX(Properties!A$1:CB$87,Formula!F83,20))+((Formula!I83)/(Formula!C83+Formula!E83+Formula!G83+Formula!I83+Formula!K83))*(INDEX(Properties!A$1:CB$87,Formula!H83,20))+((Formula!K83)/(Formula!C83+Formula!E83+Formula!G83+Formula!I83+Formula!K83))*(INDEX(Properties!A$1:CB$87,Formula!J83,20))</f>
        <v>4.3999999999999995</v>
      </c>
      <c r="BQ83" s="48">
        <f>Formula!C83*(INDEX(Properties!A$1:CB$87,Formula!B83,20))+Formula!E83*(INDEX(Properties!A$1:CB$87,Formula!D83,20))+Formula!G83*(INDEX(Properties!A$1:CB$87,Formula!F83,20))+Formula!I83*(INDEX(Properties!A$1:CB$87,Formula!H83,20))+Formula!K83*(INDEX(Properties!A$1:CB$87,Formula!J83,20))</f>
        <v>22</v>
      </c>
      <c r="BR83" s="48">
        <f>VARP(IF(INDEX(Properties!A$1:CB$87,Formula!B83,20)&lt;&gt;"",INDEX(Properties!A$1:CB$87,Formula!B83,20)),IF(INDEX(Properties!A$1:CB$87,Formula!D83,20)&lt;&gt;"",INDEX(Properties!A$1:CB$87,Formula!D83,20)),IF(INDEX(Properties!A$1:CB$87,Formula!F83,20)&lt;&gt;"",INDEX(Properties!A$1:CB$87,Formula!F83,20)),IF(INDEX(Properties!A$1:CB$87,Formula!H83,20)&lt;&gt;"",INDEX(Properties!A$1:CB$87,Formula!H83,20)),IF(INDEX(Properties!A$1:CB$87,Formula!J83,20)&lt;&gt;"",INDEX(Properties!A$1:CB$87,Formula!J83,20)))</f>
        <v>4.8</v>
      </c>
      <c r="BS83" s="48">
        <f>MAX(INDEX(Properties!A$1:CB$87,Formula!B83,20),INDEX(Properties!A$1:CB$87,Formula!D83,20),INDEX(Properties!A$1:CB$87,Formula!F83,20),INDEX(Properties!A$1:CB$87,Formula!H83,20),INDEX(Properties!A$1:CB$87,Formula!J83,20))</f>
        <v>6</v>
      </c>
      <c r="BT83" s="48">
        <f>MIN(IF(INDEX(Properties!A$1:CB$87,Formula!B83,20)=0,10^6,INDEX(Properties!A$1:CB$87,Formula!B83,20)),IF(INDEX(Properties!A$1:CB$87,Formula!D83,20)=0,10^6,INDEX(Properties!A$1:CB$87,Formula!D83,20)),IF(INDEX(Properties!A$1:CB$87,Formula!F83,20)=0,10^6,INDEX(Properties!A$1:CB$87,Formula!F83,20)),IF(INDEX(Properties!A$1:CB$87,Formula!H83,20)=0,10^6,INDEX(Properties!A$1:CB$87,Formula!H83,20)),IF(INDEX(Properties!A$1:CB$87,Formula!J83,20)=0,10^6,INDEX(Properties!A$1:CB$87,Formula!J83,20)))</f>
        <v>2</v>
      </c>
      <c r="BU83" s="48">
        <f t="shared" si="43"/>
        <v>4</v>
      </c>
      <c r="BV83" s="66">
        <f>((Formula!C83)/(Formula!C83+Formula!E83+Formula!G83+Formula!I83+Formula!K83))*(INDEX(Properties!A$1:CB$87,Formula!B83,21))+((Formula!E83)/(Formula!C83+Formula!E83+Formula!G83+Formula!I83+Formula!K83))*(INDEX(Properties!A$1:CB$87,Formula!D83,21))+((Formula!G83)/(Formula!C83+Formula!E83+Formula!G83+Formula!I83+Formula!K83))*(INDEX(Properties!A$1:CB$87,Formula!F83,21))+((Formula!I83)/(Formula!C83+Formula!E83+Formula!G83+Formula!I83+Formula!K83))*(INDEX(Properties!A$1:CB$87,Formula!H83,21))+((Formula!K83)/(Formula!C83+Formula!E83+Formula!G83+Formula!I83+Formula!K83))*(INDEX(Properties!A$1:CB$87,Formula!J83,21))</f>
        <v>4.1999999999999993</v>
      </c>
      <c r="BW83" s="66">
        <f>Formula!C83*(INDEX(Properties!A$1:CB$87,Formula!B83,21))+Formula!E83*(INDEX(Properties!A$1:CB$87,Formula!D83,21))+Formula!G83*(INDEX(Properties!A$1:CB$87,Formula!F83,21))+Formula!I83*(INDEX(Properties!A$1:CB$87,Formula!H83,21))+Formula!K83*(INDEX(Properties!A$1:CB$87,Formula!J83,21))</f>
        <v>21</v>
      </c>
      <c r="BX83" s="66">
        <f>VARP(IF(INDEX(Properties!A$1:CB$87,Formula!B83,21)&lt;&gt;"",INDEX(Properties!A$1:CB$87,Formula!B83,21)),IF(INDEX(Properties!A$1:CB$87,Formula!D83,21)&lt;&gt;"",INDEX(Properties!A$1:CB$87,Formula!D83,21)),IF(INDEX(Properties!A$1:CB$87,Formula!F83,21)&lt;&gt;"",INDEX(Properties!A$1:CB$87,Formula!F83,21)),IF(INDEX(Properties!A$1:CB$87,Formula!H83,21)&lt;&gt;"",INDEX(Properties!A$1:CB$87,Formula!H83,21)),IF(INDEX(Properties!A$1:CB$87,Formula!J83,21)&lt;&gt;"",INDEX(Properties!A$1:CB$87,Formula!J83,21)))</f>
        <v>4.96</v>
      </c>
      <c r="BY83" s="66">
        <f>MAX(INDEX(Properties!A$1:CB$87,Formula!B83,21),INDEX(Properties!A$1:CB$87,Formula!D83,21),INDEX(Properties!A$1:CB$87,Formula!F83,21),INDEX(Properties!A$1:CB$87,Formula!H83,21),INDEX(Properties!A$1:CB$87,Formula!J83,21))</f>
        <v>6</v>
      </c>
      <c r="BZ83" s="66">
        <f>MIN(IF(INDEX(Properties!A$1:CB$87,Formula!B83,21)=0,10^6,INDEX(Properties!A$1:CB$87,Formula!B83,21)),IF(INDEX(Properties!A$1:CB$87,Formula!D83,21)=0,10^6,INDEX(Properties!A$1:CB$87,Formula!D83,21)),IF(INDEX(Properties!A$1:CB$87,Formula!F83,21)=0,10^6,INDEX(Properties!A$1:CB$87,Formula!F83,21)),IF(INDEX(Properties!A$1:CB$87,Formula!H83,21)=0,10^6,INDEX(Properties!A$1:CB$87,Formula!H83,21)),IF(INDEX(Properties!A$1:CB$87,Formula!J83,21)=0,10^6,INDEX(Properties!A$1:CB$87,Formula!J83,21)))</f>
        <v>1</v>
      </c>
      <c r="CA83" s="66">
        <f t="shared" si="44"/>
        <v>5</v>
      </c>
      <c r="CB83" s="81">
        <f>((Formula!C83)/(Formula!C83+Formula!E83+Formula!G83+Formula!I83+Formula!K83))*(INDEX(Properties!A$1:CB$87,Formula!B83,23))+((Formula!E83)/(Formula!C83+Formula!E83+Formula!G83+Formula!I83+Formula!K83))*(INDEX(Properties!A$1:CB$87,Formula!D83,23))+((Formula!G83)/(Formula!C83+Formula!E83+Formula!G83+Formula!I83+Formula!K83))*(INDEX(Properties!A$1:CB$87,Formula!F83,23))+((Formula!I83)/(Formula!C83+Formula!E83+Formula!G83+Formula!I83+Formula!K83))*(INDEX(Properties!A$1:CB$87,Formula!H83,23))+((Formula!K83)/(Formula!C83+Formula!E83+Formula!G83+Formula!I83+Formula!K83))*(INDEX(Properties!A$1:CB$87,Formula!J83,23))</f>
        <v>1.6880000000000002</v>
      </c>
      <c r="CC83" s="81">
        <f>Formula!C83*(INDEX(Properties!A$1:CB$87,Formula!B83,23))+Formula!E83*(INDEX(Properties!A$1:CB$87,Formula!D83,23))+Formula!G83*(INDEX(Properties!A$1:CB$87,Formula!F83,23))+Formula!I83*(INDEX(Properties!A$1:CB$87,Formula!H83,23))+Formula!K83*(INDEX(Properties!A$1:CB$87,Formula!J83,23))</f>
        <v>8.4400000000000013</v>
      </c>
      <c r="CD83" s="81">
        <f>VARP(IF(INDEX(Properties!A$1:CB$87,Formula!B83,23)&lt;&gt;"",INDEX(Properties!A$1:CB$87,Formula!B83,23)),IF(INDEX(Properties!A$1:CB$87,Formula!D83,23)&lt;&gt;"",INDEX(Properties!A$1:CB$87,Formula!D83,23)),IF(INDEX(Properties!A$1:CB$87,Formula!F83,23)&lt;&gt;"",INDEX(Properties!A$1:CB$87,Formula!F83,23)),IF(INDEX(Properties!A$1:CB$87,Formula!H83,23)&lt;&gt;"",INDEX(Properties!A$1:CB$87,Formula!H83,23)),IF(INDEX(Properties!A$1:CB$87,Formula!J83,23)&lt;&gt;"",INDEX(Properties!A$1:CB$87,Formula!J83,23)))</f>
        <v>4.2933759999999985</v>
      </c>
      <c r="CE83" s="81">
        <f>MAX(INDEX(Properties!A$1:CB$87,Formula!B83,23),INDEX(Properties!A$1:CB$87,Formula!D83,23),INDEX(Properties!A$1:CB$87,Formula!F83,23),INDEX(Properties!A$1:CB$87,Formula!H83,23),INDEX(Properties!A$1:CB$87,Formula!J83,23))</f>
        <v>4.4400000000000004</v>
      </c>
      <c r="CF83" s="81">
        <f>MIN(IF(Formula!B83=87,10^6,INDEX(Properties!A$1:CB$87,Formula!B83,23)),IF((Formula!D83)=87,10^6,INDEX(Properties!A$1:CB$87,Formula!D83,23)),IF((Formula!F83)=87,10^6,INDEX(Properties!A$1:CB$87,Formula!F83,23)),IF((Formula!H83)=87,10^6,INDEX(Properties!A$1:CB$87,Formula!H83,23)),IF(Formula!J83=87,10^6,INDEX(Properties!A$1:CB$87,Formula!J83,23)))</f>
        <v>0</v>
      </c>
      <c r="CG83" s="81">
        <f t="shared" si="45"/>
        <v>4.4400000000000004</v>
      </c>
      <c r="CH83" s="39">
        <f>((Formula!C83)/(Formula!C83+Formula!E83+Formula!G83+Formula!I83+Formula!K83))*(INDEX(Properties!A$1:CB$87,Formula!B83,26))+((Formula!E83)/(Formula!C83+Formula!E83+Formula!G83+Formula!I83+Formula!K83))*(INDEX(Properties!A$1:CB$87,Formula!D83,26))+((Formula!G83)/(Formula!C83+Formula!E83+Formula!G83+Formula!I83+Formula!K83))*(INDEX(Properties!A$1:CB$87,Formula!F83,26))+((Formula!I83)/(Formula!C83+Formula!E83+Formula!G83+Formula!I83+Formula!K83))*(INDEX(Properties!A$1:CB$87,Formula!H83,26))+((Formula!K83)/(Formula!C83+Formula!E83+Formula!G83+Formula!I83+Formula!K83))*(INDEX(Properties!A$1:CB$87,Formula!J83,26))</f>
        <v>11.415319999999999</v>
      </c>
      <c r="CI83" s="39">
        <f>Formula!C83*(INDEX(Properties!A$1:CB$87,Formula!B83,26))+Formula!E83*(INDEX(Properties!A$1:CB$87,Formula!D83,26))+Formula!G83*(INDEX(Properties!A$1:CB$87,Formula!F83,26))+Formula!I83*(INDEX(Properties!A$1:CB$87,Formula!H83,26))+Formula!K83*(INDEX(Properties!A$1:CB$87,Formula!J83,26))</f>
        <v>57.076599999999999</v>
      </c>
      <c r="CJ83" s="39">
        <f>VARP(IF(INDEX(Properties!A$1:CB$87,Formula!B83,26)&lt;&gt;"",INDEX(Properties!A$1:CB$87,Formula!B83,26)),IF(INDEX(Properties!A$1:CB$87,Formula!D83,26)&lt;&gt;"",INDEX(Properties!A$1:CB$87,Formula!D83,26)),IF(INDEX(Properties!A$1:CB$87,Formula!F83,26)&lt;&gt;"",INDEX(Properties!A$1:CB$87,Formula!F83,26)),IF(INDEX(Properties!A$1:CB$87,Formula!H83,26)&lt;&gt;"",INDEX(Properties!A$1:CB$87,Formula!H83,26)),IF(INDEX(Properties!A$1:CB$87,Formula!J83,26)&lt;&gt;"",INDEX(Properties!A$1:CB$87,Formula!J83,26)))</f>
        <v>28.447339285600002</v>
      </c>
      <c r="CK83" s="39">
        <f>MAX(INDEX(Properties!A$1:CB$87,Formula!B83,26),INDEX(Properties!A$1:CB$87,Formula!D83,26),INDEX(Properties!A$1:CB$87,Formula!F83,26),INDEX(Properties!A$1:CB$87,Formula!H83,26),INDEX(Properties!A$1:CB$87,Formula!J83,26))</f>
        <v>13.6181</v>
      </c>
      <c r="CL83" s="39">
        <f>MIN(IF(INDEX(Properties!A$1:CB$87,Formula!B83,26)=0,10^6,INDEX(Properties!A$1:CB$87,Formula!B83,26)),IF(INDEX(Properties!A$1:CB$87,Formula!D83,26)=0,10^6,INDEX(Properties!A$1:CB$87,Formula!D83,26)),IF(INDEX(Properties!A$1:CB$87,Formula!F83,26)=0,10^6,INDEX(Properties!A$1:CB$87,Formula!F83,26)),IF(INDEX(Properties!A$1:CB$87,Formula!H83,26)=0,10^6,INDEX(Properties!A$1:CB$87,Formula!H83,26)),IF(INDEX(Properties!A$1:CB$87,Formula!J83,26)=0,10^6,INDEX(Properties!A$1:CB$87,Formula!J83,26)))</f>
        <v>6.8281000000000001</v>
      </c>
      <c r="CM83" s="39">
        <f t="shared" si="46"/>
        <v>6.79</v>
      </c>
      <c r="CN83" s="54">
        <f>((Formula!C83)/(Formula!C83+Formula!E83+Formula!G83+Formula!I83+Formula!K83))*(INDEX(Properties!A$1:CB$87,Formula!B83,30))+((Formula!E83)/(Formula!C83+Formula!E83+Formula!G83+Formula!I83+Formula!K83))*(INDEX(Properties!A$1:CB$87,Formula!D83,30))+((Formula!G83)/(Formula!C83+Formula!E83+Formula!G83+Formula!I83+Formula!K83))*(INDEX(Properties!A$1:CB$87,Formula!F83,30))+((Formula!I83)/(Formula!C83+Formula!E83+Formula!G83+Formula!I83+Formula!K83))*(INDEX(Properties!A$1:CB$87,Formula!H83,30))+((Formula!K83)/(Formula!C83+Formula!E83+Formula!G83+Formula!I83+Formula!K83))*(INDEX(Properties!A$1:CB$87,Formula!J83,30))</f>
        <v>2.702</v>
      </c>
      <c r="CO83" s="54">
        <f>Formula!C83*(INDEX(Properties!A$1:CB$87,Formula!B83,30))+Formula!E83*(INDEX(Properties!A$1:CB$87,Formula!D83,30))+Formula!G83*(INDEX(Properties!A$1:CB$87,Formula!F83,30))+Formula!I83*(INDEX(Properties!A$1:CB$87,Formula!H83,30))+Formula!K83*(INDEX(Properties!A$1:CB$87,Formula!J83,30))</f>
        <v>13.51</v>
      </c>
      <c r="CP83" s="54">
        <f>VARP(IF(INDEX(Properties!A$1:CB$87,Formula!B83,30)&lt;&gt;"",INDEX(Properties!A$1:CB$87,Formula!B83,30)),IF(INDEX(Properties!A$1:CB$87,Formula!D83,30)&lt;&gt;"",INDEX(Properties!A$1:CB$87,Formula!D83,30)),IF(INDEX(Properties!A$1:CB$87,Formula!F83,30)&lt;&gt;"",INDEX(Properties!A$1:CB$87,Formula!F83,30)),IF(INDEX(Properties!A$1:CB$87,Formula!H83,30)&lt;&gt;"",INDEX(Properties!A$1:CB$87,Formula!H83,30)),IF(INDEX(Properties!A$1:CB$87,Formula!J83,30)&lt;&gt;"",INDEX(Properties!A$1:CB$87,Formula!J83,30)))</f>
        <v>1.6272639999999998</v>
      </c>
      <c r="CQ83" s="54">
        <f>MAX(INDEX(Properties!A$1:CB$87,Formula!B83,30),INDEX(Properties!A$1:CB$87,Formula!D83,30),INDEX(Properties!A$1:CB$87,Formula!F83,30),INDEX(Properties!A$1:CB$87,Formula!H83,30),INDEX(Properties!A$1:CB$87,Formula!J83,30))</f>
        <v>3.44</v>
      </c>
      <c r="CR83" s="54">
        <f>MIN(IF(INDEX(Properties!A$1:CB$87,Formula!B83,30)=0,10^6,INDEX(Properties!A$1:CB$87,Formula!B83,30)),IF(INDEX(Properties!A$1:CB$87,Formula!D83,30)=0,10^6,INDEX(Properties!A$1:CB$87,Formula!D83,30)),IF(INDEX(Properties!A$1:CB$87,Formula!F83,30)=0,10^6,INDEX(Properties!A$1:CB$87,Formula!F83,30)),IF(INDEX(Properties!A$1:CB$87,Formula!H83,30)=0,10^6,INDEX(Properties!A$1:CB$87,Formula!H83,30)),IF(INDEX(Properties!A$1:CB$87,Formula!J83,30)=0,10^6,INDEX(Properties!A$1:CB$87,Formula!J83,30)))</f>
        <v>1.54</v>
      </c>
      <c r="CS83" s="54">
        <f t="shared" si="47"/>
        <v>1.9</v>
      </c>
      <c r="CT83" s="69">
        <f>((Formula!C83)/(Formula!C83+Formula!E83+Formula!G83+Formula!I83+Formula!K83))*(INDEX(Properties!A$1:CB$87,Formula!B83,31))+((Formula!E83)/(Formula!C83+Formula!E83+Formula!G83+Formula!I83+Formula!K83))*(INDEX(Properties!A$1:CB$87,Formula!D83,31))+((Formula!G83)/(Formula!C83+Formula!E83+Formula!G83+Formula!I83+Formula!K83))*(INDEX(Properties!A$1:CB$87,Formula!F83,31))+((Formula!I83)/(Formula!C83+Formula!E83+Formula!G83+Formula!I83+Formula!K83))*(INDEX(Properties!A$1:CB$87,Formula!H83,31))+((Formula!K83)/(Formula!C83+Formula!E83+Formula!G83+Formula!I83+Formula!K83))*(INDEX(Properties!A$1:CB$87,Formula!J83,31))</f>
        <v>2.6519999999999997</v>
      </c>
      <c r="CU83" s="69">
        <f>Formula!C83*(INDEX(Properties!A$1:CB$87,Formula!B83,31))+Formula!E83*(INDEX(Properties!A$1:CB$87,Formula!D83,31))+Formula!G83*(INDEX(Properties!A$1:CB$87,Formula!F83,31))+Formula!I83*(INDEX(Properties!A$1:CB$87,Formula!H83,31))+Formula!K83*(INDEX(Properties!A$1:CB$87,Formula!J83,31))</f>
        <v>13.259999999999998</v>
      </c>
      <c r="CV83" s="69">
        <f>VARP(IF(INDEX(Properties!A$1:CB$87,Formula!B83,31)&lt;&gt;"",INDEX(Properties!A$1:CB$87,Formula!B83,31)),IF(INDEX(Properties!A$1:CB$87,Formula!D83,31)&lt;&gt;"",INDEX(Properties!A$1:CB$87,Formula!D83,31)),IF(INDEX(Properties!A$1:CB$87,Formula!F83,31)&lt;&gt;"",INDEX(Properties!A$1:CB$87,Formula!F83,31)),IF(INDEX(Properties!A$1:CB$87,Formula!H83,31)&lt;&gt;"",INDEX(Properties!A$1:CB$87,Formula!H83,31)),IF(INDEX(Properties!A$1:CB$87,Formula!J83,31)&lt;&gt;"",INDEX(Properties!A$1:CB$87,Formula!J83,31)))</f>
        <v>1.558144</v>
      </c>
      <c r="CW83" s="69">
        <f>MAX(INDEX(Properties!A$1:CB$87,Formula!B83,31),INDEX(Properties!A$1:CB$87,Formula!D83,31),INDEX(Properties!A$1:CB$87,Formula!F83,31),INDEX(Properties!A$1:CB$87,Formula!H83,31),INDEX(Properties!A$1:CB$87,Formula!J83,31))</f>
        <v>3.32</v>
      </c>
      <c r="CX83" s="69">
        <f>MIN(IF(INDEX(Properties!A$1:CB$87,Formula!B83,31)=0,10^6,INDEX(Properties!A$1:CB$87,Formula!B83,31)),IF(INDEX(Properties!A$1:CB$87,Formula!D83,31)=0,10^6,INDEX(Properties!A$1:CB$87,Formula!D83,31)),IF(INDEX(Properties!A$1:CB$87,Formula!F83,31)=0,10^6,INDEX(Properties!A$1:CB$87,Formula!F83,31)),IF(INDEX(Properties!A$1:CB$87,Formula!H83,31)=0,10^6,INDEX(Properties!A$1:CB$87,Formula!H83,31)),IF(INDEX(Properties!A$1:CB$87,Formula!J83,31)=0,10^6,INDEX(Properties!A$1:CB$87,Formula!J83,31)))</f>
        <v>1.44</v>
      </c>
      <c r="CY83" s="69">
        <f t="shared" si="48"/>
        <v>1.88</v>
      </c>
      <c r="CZ83" s="42">
        <f>((Formula!C83)/(Formula!C83+Formula!E83+Formula!G83+Formula!I83+Formula!K83))*(INDEX(Properties!A$1:CB$87,Formula!B83,32))+((Formula!E83)/(Formula!C83+Formula!E83+Formula!G83+Formula!I83+Formula!K83))*(INDEX(Properties!A$1:CB$87,Formula!D83,32))+((Formula!G83)/(Formula!C83+Formula!E83+Formula!G83+Formula!I83+Formula!K83))*(INDEX(Properties!A$1:CB$87,Formula!F83,32))+((Formula!I83)/(Formula!C83+Formula!E83+Formula!G83+Formula!I83+Formula!K83))*(INDEX(Properties!A$1:CB$87,Formula!H83,32))+((Formula!K83)/(Formula!C83+Formula!E83+Formula!G83+Formula!I83+Formula!K83))*(INDEX(Properties!A$1:CB$87,Formula!J83,32))</f>
        <v>6.1040000000000001</v>
      </c>
      <c r="DA83" s="42">
        <f>Formula!C83*(INDEX(Properties!A$1:CB$87,Formula!B83,32))+Formula!E83*(INDEX(Properties!A$1:CB$87,Formula!D83,32))+Formula!G83*(INDEX(Properties!A$1:CB$87,Formula!F83,32))+Formula!I83*(INDEX(Properties!A$1:CB$87,Formula!H83,32))+Formula!K83*(INDEX(Properties!A$1:CB$87,Formula!J83,32))</f>
        <v>30.520000000000003</v>
      </c>
      <c r="DB83" s="42">
        <f>VARP(IF(INDEX(Properties!A$1:CB$87,Formula!B83,32)&lt;&gt;"",INDEX(Properties!A$1:CB$87,Formula!B83,32)),IF(INDEX(Properties!A$1:CB$87,Formula!D83,32)&lt;&gt;"",INDEX(Properties!A$1:CB$87,Formula!D83,32)),IF(INDEX(Properties!A$1:CB$87,Formula!F83,32)&lt;&gt;"",INDEX(Properties!A$1:CB$87,Formula!F83,32)),IF(INDEX(Properties!A$1:CB$87,Formula!H83,32)&lt;&gt;"",INDEX(Properties!A$1:CB$87,Formula!H83,32)),IF(INDEX(Properties!A$1:CB$87,Formula!J83,32)&lt;&gt;"",INDEX(Properties!A$1:CB$87,Formula!J83,32)))</f>
        <v>8.1755759999999995</v>
      </c>
      <c r="DC83" s="42">
        <f>MAX(INDEX(Properties!A$1:CB$87,Formula!B83,32),INDEX(Properties!A$1:CB$87,Formula!D83,32),INDEX(Properties!A$1:CB$87,Formula!F83,32),INDEX(Properties!A$1:CB$87,Formula!H83,32),INDEX(Properties!A$1:CB$87,Formula!J83,32))</f>
        <v>7.54</v>
      </c>
      <c r="DD83" s="42">
        <f>MIN(IF(INDEX(Properties!A$1:CB$87,Formula!B83,32)=0,10^6,INDEX(Properties!A$1:CB$87,Formula!B83,32)),IF(INDEX(Properties!A$1:CB$87,Formula!D83,32)=0,10^6,INDEX(Properties!A$1:CB$87,Formula!D83,32)),IF(INDEX(Properties!A$1:CB$87,Formula!F83,32)=0,10^6,INDEX(Properties!A$1:CB$87,Formula!F83,32)),IF(INDEX(Properties!A$1:CB$87,Formula!H83,32)=0,10^6,INDEX(Properties!A$1:CB$87,Formula!H83,32)),IF(INDEX(Properties!A$1:CB$87,Formula!J83,32)=0,10^6,INDEX(Properties!A$1:CB$87,Formula!J83,32)))</f>
        <v>3.45</v>
      </c>
      <c r="DE83" s="42">
        <f t="shared" si="49"/>
        <v>4.09</v>
      </c>
      <c r="DF83" s="60">
        <f>((Formula!C83)/(Formula!C83+Formula!E83+Formula!G83+Formula!I83+Formula!K83))*(INDEX(Properties!A$1:CB$87,Formula!B83,34))+((Formula!E83)/(Formula!C83+Formula!E83+Formula!G83+Formula!I83+Formula!K83))*(INDEX(Properties!A$1:CB$87,Formula!D83,34))+((Formula!G83)/(Formula!C83+Formula!E83+Formula!G83+Formula!I83+Formula!K83))*(INDEX(Properties!A$1:CB$87,Formula!F83,34))+((Formula!I83)/(Formula!C83+Formula!E83+Formula!G83+Formula!I83+Formula!K83))*(INDEX(Properties!A$1:CB$87,Formula!H83,34))+((Formula!K83)/(Formula!C83+Formula!E83+Formula!G83+Formula!I83+Formula!K83))*(INDEX(Properties!A$1:CB$87,Formula!J83,34))</f>
        <v>2.76</v>
      </c>
      <c r="DG83" s="60">
        <f>Formula!C83*(INDEX(Properties!A$1:CB$87,Formula!B83,34))+Formula!E83*(INDEX(Properties!A$1:CB$87,Formula!D83,34))+Formula!G83*(INDEX(Properties!A$1:CB$87,Formula!F83,34))+Formula!I83*(INDEX(Properties!A$1:CB$87,Formula!H83,34))+Formula!K83*(INDEX(Properties!A$1:CB$87,Formula!J83,34))</f>
        <v>13.8</v>
      </c>
      <c r="DH83" s="60">
        <f>VARP(IF(INDEX(Properties!A$1:CB$87,Formula!B83,34)&lt;&gt;"",INDEX(Properties!A$1:CB$87,Formula!B83,34)),IF(INDEX(Properties!A$1:CB$87,Formula!D83,34)&lt;&gt;"",INDEX(Properties!A$1:CB$87,Formula!D83,34)),IF(INDEX(Properties!A$1:CB$87,Formula!F83,34)&lt;&gt;"",INDEX(Properties!A$1:CB$87,Formula!F83,34)),IF(INDEX(Properties!A$1:CB$87,Formula!H83,34)&lt;&gt;"",INDEX(Properties!A$1:CB$87,Formula!H83,34)),IF(INDEX(Properties!A$1:CB$87,Formula!J83,34)&lt;&gt;"",INDEX(Properties!A$1:CB$87,Formula!J83,34)))</f>
        <v>1.7610640000000004</v>
      </c>
      <c r="DI83" s="60">
        <f>MAX(INDEX(Properties!A$1:CB$87,Formula!B83,34),INDEX(Properties!A$1:CB$87,Formula!D83,34),INDEX(Properties!A$1:CB$87,Formula!F83,34),INDEX(Properties!A$1:CB$87,Formula!H83,34),INDEX(Properties!A$1:CB$87,Formula!J83,34))</f>
        <v>3.61</v>
      </c>
      <c r="DJ83" s="60">
        <f>MIN(IF(INDEX(Properties!A$1:CB$87,Formula!B83,34)=0,10^6,INDEX(Properties!A$1:CB$87,Formula!B83,34)),IF(INDEX(Properties!A$1:CB$87,Formula!D83,34)=0,10^6,INDEX(Properties!A$1:CB$87,Formula!D83,34)),IF(INDEX(Properties!A$1:CB$87,Formula!F83,34)=0,10^6,INDEX(Properties!A$1:CB$87,Formula!F83,34)),IF(INDEX(Properties!A$1:CB$87,Formula!H83,34)=0,10^6,INDEX(Properties!A$1:CB$87,Formula!H83,34)),IF(INDEX(Properties!A$1:CB$87,Formula!J83,34)=0,10^6,INDEX(Properties!A$1:CB$87,Formula!J83,34)))</f>
        <v>1.38</v>
      </c>
      <c r="DK83" s="60">
        <f t="shared" si="50"/>
        <v>2.23</v>
      </c>
      <c r="DL83" s="45">
        <f>((Formula!C83)/(Formula!C83+Formula!E83+Formula!G83+Formula!I83+Formula!K83))*(INDEX(Properties!A$1:CB$87,Formula!B83,39))+((Formula!E83)/(Formula!C83+Formula!E83+Formula!G83+Formula!I83+Formula!K83))*(INDEX(Properties!A$1:CB$87,Formula!D83,39))+((Formula!G83)/(Formula!C83+Formula!E83+Formula!G83+Formula!I83+Formula!K83))*(INDEX(Properties!A$1:CB$87,Formula!F83,39))+((Formula!I83)/(Formula!C83+Formula!E83+Formula!G83+Formula!I83+Formula!K83))*(INDEX(Properties!A$1:CB$87,Formula!H83,39))+((Formula!K83)/(Formula!C83+Formula!E83+Formula!G83+Formula!I83+Formula!K83))*(INDEX(Properties!A$1:CB$87,Formula!J83,39))</f>
        <v>0.92399999999999993</v>
      </c>
      <c r="DM83" s="45">
        <f>Formula!C83*(INDEX(Properties!A$1:CB$87,Formula!B83,39))+Formula!E83*(INDEX(Properties!A$1:CB$87,Formula!D83,39))+Formula!G83*(INDEX(Properties!A$1:CB$87,Formula!F83,39))+Formula!I83*(INDEX(Properties!A$1:CB$87,Formula!H83,39))+Formula!K83*(INDEX(Properties!A$1:CB$87,Formula!J83,39))</f>
        <v>4.6199999999999992</v>
      </c>
      <c r="DN83" s="45">
        <f>VARP(IF(INDEX(Properties!A$1:CB$87,Formula!B83,39)&lt;&gt;"",INDEX(Properties!A$1:CB$87,Formula!B83,39)),IF(INDEX(Properties!A$1:CB$87,Formula!D83,39)&lt;&gt;"",INDEX(Properties!A$1:CB$87,Formula!D83,39)),IF(INDEX(Properties!A$1:CB$87,Formula!F83,39)&lt;&gt;"",INDEX(Properties!A$1:CB$87,Formula!F83,39)),IF(INDEX(Properties!A$1:CB$87,Formula!H83,39)&lt;&gt;"",INDEX(Properties!A$1:CB$87,Formula!H83,39)),IF(INDEX(Properties!A$1:CB$87,Formula!J83,39)&lt;&gt;"",INDEX(Properties!A$1:CB$87,Formula!J83,39)))</f>
        <v>0.53305600000000009</v>
      </c>
      <c r="DO83" s="45">
        <f>MAX(INDEX(Properties!A$1:CB$87,Formula!B83,39),INDEX(Properties!A$1:CB$87,Formula!D83,39),INDEX(Properties!A$1:CB$87,Formula!F83,39),INDEX(Properties!A$1:CB$87,Formula!H83,39),INDEX(Properties!A$1:CB$87,Formula!J83,39))</f>
        <v>1.76</v>
      </c>
      <c r="DP83" s="45">
        <f>MIN(IF(INDEX(Properties!A$1:CB$87,Formula!B83,39)=0,10^6,INDEX(Properties!A$1:CB$87,Formula!B83,39)),IF(INDEX(Properties!A$1:CB$87,Formula!D83,39)=0,10^6,INDEX(Properties!A$1:CB$87,Formula!D83,39)),IF(INDEX(Properties!A$1:CB$87,Formula!F83,39)=0,10^6,INDEX(Properties!A$1:CB$87,Formula!F83,39)),IF(INDEX(Properties!A$1:CB$87,Formula!H83,39)=0,10^6,INDEX(Properties!A$1:CB$87,Formula!H83,39)),IF(INDEX(Properties!A$1:CB$87,Formula!J83,39)=0,10^6,INDEX(Properties!A$1:CB$87,Formula!J83,39)))</f>
        <v>0.48</v>
      </c>
      <c r="DQ83" s="45">
        <f t="shared" si="51"/>
        <v>1.28</v>
      </c>
      <c r="DR83" s="63">
        <f>((Formula!C83)/(Formula!C83+Formula!E83+Formula!G83+Formula!I83+Formula!K83))*(INDEX(Properties!A$1:CB$87,Formula!B83,40))+((Formula!E83)/(Formula!C83+Formula!E83+Formula!G83+Formula!I83+Formula!K83))*(INDEX(Properties!A$1:CB$87,Formula!D83,40))+((Formula!G83)/(Formula!C83+Formula!E83+Formula!G83+Formula!I83+Formula!K83))*(INDEX(Properties!A$1:CB$87,Formula!F83,40))+((Formula!I83)/(Formula!C83+Formula!E83+Formula!G83+Formula!I83+Formula!K83))*(INDEX(Properties!A$1:CB$87,Formula!H83,40))+((Formula!K83)/(Formula!C83+Formula!E83+Formula!G83+Formula!I83+Formula!K83))*(INDEX(Properties!A$1:CB$87,Formula!J83,40))</f>
        <v>0.97199999999999998</v>
      </c>
      <c r="DS83" s="63">
        <f>Formula!C83*(INDEX(Properties!A$1:CB$87,Formula!B83,40))+Formula!E83*(INDEX(Properties!A$1:CB$87,Formula!D83,40))+Formula!G83*(INDEX(Properties!A$1:CB$87,Formula!F83,40))+Formula!I83*(INDEX(Properties!A$1:CB$87,Formula!H83,40))+Formula!K83*(INDEX(Properties!A$1:CB$87,Formula!J83,40))</f>
        <v>4.8599999999999994</v>
      </c>
      <c r="DT83" s="63">
        <f>VARP(IF(INDEX(Properties!A$1:CB$87,Formula!B83,40)&lt;&gt;"",INDEX(Properties!A$1:CB$87,Formula!B83,40)),IF(INDEX(Properties!A$1:CB$87,Formula!D83,40)&lt;&gt;"",INDEX(Properties!A$1:CB$87,Formula!D83,40)),IF(INDEX(Properties!A$1:CB$87,Formula!F83,40)&lt;&gt;"",INDEX(Properties!A$1:CB$87,Formula!F83,40)),IF(INDEX(Properties!A$1:CB$87,Formula!H83,40)&lt;&gt;"",INDEX(Properties!A$1:CB$87,Formula!H83,40)),IF(INDEX(Properties!A$1:CB$87,Formula!J83,40)&lt;&gt;"",INDEX(Properties!A$1:CB$87,Formula!J83,40)))</f>
        <v>0.35732000000000014</v>
      </c>
      <c r="DU83" s="63">
        <f>MAX(INDEX(Properties!A$1:CB$87,Formula!B83,40),INDEX(Properties!A$1:CB$87,Formula!D83,40),INDEX(Properties!A$1:CB$87,Formula!F83,40),INDEX(Properties!A$1:CB$87,Formula!H83,40),INDEX(Properties!A$1:CB$87,Formula!J83,40))</f>
        <v>1.36</v>
      </c>
      <c r="DV83" s="63">
        <f>MIN(IF(INDEX(Properties!A$1:CB$87,Formula!B83,40)=0,10^6,INDEX(Properties!A$1:CB$87,Formula!B83,40)),IF(INDEX(Properties!A$1:CB$87,Formula!D83,40)=0,10^6,INDEX(Properties!A$1:CB$87,Formula!D83,40)),IF(INDEX(Properties!A$1:CB$87,Formula!F83,40)=0,10^6,INDEX(Properties!A$1:CB$87,Formula!F83,40)),IF(INDEX(Properties!A$1:CB$87,Formula!H83,40)=0,10^6,INDEX(Properties!A$1:CB$87,Formula!H83,40)),IF(INDEX(Properties!A$1:CB$87,Formula!J83,40)=0,10^6,INDEX(Properties!A$1:CB$87,Formula!J83,40)))</f>
        <v>0.73</v>
      </c>
      <c r="DW83" s="63">
        <f t="shared" si="52"/>
        <v>0.63000000000000012</v>
      </c>
      <c r="DX83" s="75">
        <f>((Formula!C83)/(Formula!C83+Formula!E83+Formula!G83+Formula!I83+Formula!K83))*(INDEX(Properties!A$1:CB$87,Formula!B83,41))+((Formula!E83)/(Formula!C83+Formula!E83+Formula!G83+Formula!I83+Formula!K83))*(INDEX(Properties!A$1:CB$87,Formula!D83,41))+((Formula!G83)/(Formula!C83+Formula!E83+Formula!G83+Formula!I83+Formula!K83))*(INDEX(Properties!A$1:CB$87,Formula!F83,41))+((Formula!I83)/(Formula!C83+Formula!E83+Formula!G83+Formula!I83+Formula!K83))*(INDEX(Properties!A$1:CB$87,Formula!H83,41))+((Formula!K83)/(Formula!C83+Formula!E83+Formula!G83+Formula!I83+Formula!K83))*(INDEX(Properties!A$1:CB$87,Formula!J83,41))</f>
        <v>1.1320000000000001</v>
      </c>
      <c r="DY83" s="75">
        <f>Formula!C83*(INDEX(Properties!A$1:CB$87,Formula!B83,41))+Formula!E83*(INDEX(Properties!A$1:CB$87,Formula!D83,41))+Formula!G83*(INDEX(Properties!A$1:CB$87,Formula!F83,41))+Formula!I83*(INDEX(Properties!A$1:CB$87,Formula!H83,41))+Formula!K83*(INDEX(Properties!A$1:CB$87,Formula!J83,41))</f>
        <v>5.66</v>
      </c>
      <c r="DZ83" s="75">
        <f>VARP(IF(INDEX(Properties!A$1:CB$87,Formula!B83,41)&lt;&gt;"",INDEX(Properties!A$1:CB$87,Formula!B83,41)),IF(INDEX(Properties!A$1:CB$87,Formula!D83,41)&lt;&gt;"",INDEX(Properties!A$1:CB$87,Formula!D83,41)),IF(INDEX(Properties!A$1:CB$87,Formula!F83,41)&lt;&gt;"",INDEX(Properties!A$1:CB$87,Formula!F83,41)),IF(INDEX(Properties!A$1:CB$87,Formula!H83,41)&lt;&gt;"",INDEX(Properties!A$1:CB$87,Formula!H83,41)),IF(INDEX(Properties!A$1:CB$87,Formula!J83,41)&lt;&gt;"",INDEX(Properties!A$1:CB$87,Formula!J83,41)))</f>
        <v>0.27801600000000015</v>
      </c>
      <c r="EA83" s="75">
        <f>MAX(INDEX(Properties!A$1:CB$87,Formula!B83,41),INDEX(Properties!A$1:CB$87,Formula!D83,41),INDEX(Properties!A$1:CB$87,Formula!F83,41),INDEX(Properties!A$1:CB$87,Formula!H83,41),INDEX(Properties!A$1:CB$87,Formula!J83,41))</f>
        <v>1.26</v>
      </c>
      <c r="EB83" s="75">
        <f>MIN(IF(INDEX(Properties!A$1:CB$87,Formula!B83,41)=0,10^6,INDEX(Properties!A$1:CB$87,Formula!B83,41)),IF(INDEX(Properties!A$1:CB$87,Formula!D83,41)=0,10^6,INDEX(Properties!A$1:CB$87,Formula!D83,41)),IF(INDEX(Properties!A$1:CB$87,Formula!F83,41)=0,10^6,INDEX(Properties!A$1:CB$87,Formula!F83,41)),IF(INDEX(Properties!A$1:CB$87,Formula!H83,41)=0,10^6,INDEX(Properties!A$1:CB$87,Formula!H83,41)),IF(INDEX(Properties!A$1:CB$87,Formula!J83,41)=0,10^6,INDEX(Properties!A$1:CB$87,Formula!J83,41)))</f>
        <v>0.88</v>
      </c>
      <c r="EC83" s="75">
        <f t="shared" si="53"/>
        <v>0.38</v>
      </c>
      <c r="ED83" s="48">
        <f>((Formula!C83)/(Formula!C83+Formula!E83+Formula!G83+Formula!I83+Formula!K83))*(INDEX(Properties!A$1:CB$87,Formula!B83,45))+((Formula!E83)/(Formula!C83+Formula!E83+Formula!G83+Formula!I83+Formula!K83))*(INDEX(Properties!A$1:CB$87,Formula!D83,45))+((Formula!G83)/(Formula!C83+Formula!E83+Formula!G83+Formula!I83+Formula!K83))*(INDEX(Properties!A$1:CB$87,Formula!F83,45))+((Formula!I83)/(Formula!C83+Formula!E83+Formula!G83+Formula!I83+Formula!K83))*(INDEX(Properties!A$1:CB$87,Formula!H83,45))+((Formula!K83)/(Formula!C83+Formula!E83+Formula!G83+Formula!I83+Formula!K83))*(INDEX(Properties!A$1:CB$87,Formula!J83,45))</f>
        <v>1.1739999999999999</v>
      </c>
      <c r="EE83" s="48">
        <f>Formula!C83*(INDEX(Properties!A$1:CB$87,Formula!B83,45))+Formula!E83*(INDEX(Properties!A$1:CB$87,Formula!D83,45))+Formula!G83*(INDEX(Properties!A$1:CB$87,Formula!F83,45))+Formula!I83*(INDEX(Properties!A$1:CB$87,Formula!H83,45))+Formula!K83*(INDEX(Properties!A$1:CB$87,Formula!J83,45))</f>
        <v>5.87</v>
      </c>
      <c r="EF83" s="48">
        <f>VARP(IF(INDEX(Properties!A$1:CB$87,Formula!B83,45)&lt;&gt;"",INDEX(Properties!A$1:CB$87,Formula!B83,45)),IF(INDEX(Properties!A$1:CB$87,Formula!D83,45)&lt;&gt;"",INDEX(Properties!A$1:CB$87,Formula!D83,45)),IF(INDEX(Properties!A$1:CB$87,Formula!F83,45)&lt;&gt;"",INDEX(Properties!A$1:CB$87,Formula!F83,45)),IF(INDEX(Properties!A$1:CB$87,Formula!H83,45)&lt;&gt;"",INDEX(Properties!A$1:CB$87,Formula!H83,45)),IF(INDEX(Properties!A$1:CB$87,Formula!J83,45)&lt;&gt;"",INDEX(Properties!A$1:CB$87,Formula!J83,45)))</f>
        <v>1.110144</v>
      </c>
      <c r="EG83" s="48">
        <f>MAX(INDEX(Properties!A$1:CB$87,Formula!B83,45),INDEX(Properties!A$1:CB$87,Formula!D83,45),INDEX(Properties!A$1:CB$87,Formula!F83,45),INDEX(Properties!A$1:CB$87,Formula!H83,45),INDEX(Properties!A$1:CB$87,Formula!J83,45))</f>
        <v>2.58</v>
      </c>
      <c r="EH83" s="48">
        <f>MIN(IF(INDEX(Properties!A$1:CB$87,Formula!B83,45)=0,10^6,INDEX(Properties!A$1:CB$87,Formula!B83,45)),IF(INDEX(Properties!A$1:CB$87,Formula!D83,45)=0,10^6,INDEX(Properties!A$1:CB$87,Formula!D83,45)),IF(INDEX(Properties!A$1:CB$87,Formula!F83,45)=0,10^6,INDEX(Properties!A$1:CB$87,Formula!F83,45)),IF(INDEX(Properties!A$1:CB$87,Formula!H83,45)=0,10^6,INDEX(Properties!A$1:CB$87,Formula!H83,45)),IF(INDEX(Properties!A$1:CB$87,Formula!J83,45)=0,10^6,INDEX(Properties!A$1:CB$87,Formula!J83,45)))</f>
        <v>0.47</v>
      </c>
      <c r="EI83" s="48">
        <f t="shared" si="54"/>
        <v>2.1100000000000003</v>
      </c>
      <c r="EJ83" s="66">
        <f>((Formula!C83)/(Formula!C83+Formula!E83+Formula!G83+Formula!I83+Formula!K83))*(INDEX(Properties!A$1:CB$87,Formula!B83,46))+((Formula!E83)/(Formula!C83+Formula!E83+Formula!G83+Formula!I83+Formula!K83))*(INDEX(Properties!A$1:CB$87,Formula!D83,46))+((Formula!G83)/(Formula!C83+Formula!E83+Formula!G83+Formula!I83+Formula!K83))*(INDEX(Properties!A$1:CB$87,Formula!F83,46))+((Formula!I83)/(Formula!C83+Formula!E83+Formula!G83+Formula!I83+Formula!K83))*(INDEX(Properties!A$1:CB$87,Formula!H83,46))+((Formula!K83)/(Formula!C83+Formula!E83+Formula!G83+Formula!I83+Formula!K83))*(INDEX(Properties!A$1:CB$87,Formula!J83,46))</f>
        <v>1.024</v>
      </c>
      <c r="EK83" s="66">
        <f>Formula!C83*(INDEX(Properties!A$1:CB$87,Formula!B83,46))+Formula!E83*(INDEX(Properties!A$1:CB$87,Formula!D83,46))+Formula!G83*(INDEX(Properties!A$1:CB$87,Formula!F83,46))+Formula!I83*(INDEX(Properties!A$1:CB$87,Formula!H83,46))+Formula!K83*(INDEX(Properties!A$1:CB$87,Formula!J83,46))</f>
        <v>5.12</v>
      </c>
      <c r="EL83" s="66">
        <f>VARP(IF(INDEX(Properties!A$1:CB$87,Formula!B83,46)&lt;&gt;"",INDEX(Properties!A$1:CB$87,Formula!B83,46)),IF(INDEX(Properties!A$1:CB$87,Formula!D83,46)&lt;&gt;"",INDEX(Properties!A$1:CB$87,Formula!D83,46)),IF(INDEX(Properties!A$1:CB$87,Formula!F83,46)&lt;&gt;"",INDEX(Properties!A$1:CB$87,Formula!F83,46)),IF(INDEX(Properties!A$1:CB$87,Formula!H83,46)&lt;&gt;"",INDEX(Properties!A$1:CB$87,Formula!H83,46)),IF(INDEX(Properties!A$1:CB$87,Formula!J83,46)&lt;&gt;"",INDEX(Properties!A$1:CB$87,Formula!J83,46)))</f>
        <v>0.22324000000000005</v>
      </c>
      <c r="EM83" s="66">
        <f>MAX(INDEX(Properties!A$1:CB$87,Formula!B83,46),INDEX(Properties!A$1:CB$87,Formula!D83,46),INDEX(Properties!A$1:CB$87,Formula!F83,46),INDEX(Properties!A$1:CB$87,Formula!H83,46),INDEX(Properties!A$1:CB$87,Formula!J83,46))</f>
        <v>1.21</v>
      </c>
      <c r="EN83" s="66">
        <f>MIN(IF(INDEX(Properties!A$1:CB$87,Formula!B83,46)=0,10^6,INDEX(Properties!A$1:CB$87,Formula!B83,46)),IF(INDEX(Properties!A$1:CB$87,Formula!D83,46)=0,10^6,INDEX(Properties!A$1:CB$87,Formula!D83,46)),IF(INDEX(Properties!A$1:CB$87,Formula!F83,46)=0,10^6,INDEX(Properties!A$1:CB$87,Formula!F83,46)),IF(INDEX(Properties!A$1:CB$87,Formula!H83,46)=0,10^6,INDEX(Properties!A$1:CB$87,Formula!H83,46)),IF(INDEX(Properties!A$1:CB$87,Formula!J83,46)=0,10^6,INDEX(Properties!A$1:CB$87,Formula!J83,46)))</f>
        <v>0.74</v>
      </c>
      <c r="EO83" s="66">
        <f t="shared" si="55"/>
        <v>0.47</v>
      </c>
      <c r="EP83" s="81">
        <f>((Formula!C83)/(Formula!C83+Formula!E83+Formula!G83+Formula!I83+Formula!K83))*(INDEX(Properties!A$1:CB$87,Formula!B83,52))+((Formula!E83)/(Formula!C83+Formula!E83+Formula!G83+Formula!I83+Formula!K83))*(INDEX(Properties!A$1:CB$87,Formula!D83,52))+((Formula!G83)/(Formula!C83+Formula!E83+Formula!G83+Formula!I83+Formula!K83))*(INDEX(Properties!A$1:CB$87,Formula!F83,52))+((Formula!I83)/(Formula!C83+Formula!E83+Formula!G83+Formula!I83+Formula!K83))*(INDEX(Properties!A$1:CB$87,Formula!H83,52))+((Formula!K83)/(Formula!C83+Formula!E83+Formula!G83+Formula!I83+Formula!K83))*(INDEX(Properties!A$1:CB$87,Formula!J83,52))</f>
        <v>4.6758000000000006</v>
      </c>
      <c r="EQ83" s="81">
        <f>Formula!C83*(INDEX(Properties!A$1:CB$87,Formula!B83,52))+Formula!E83*(INDEX(Properties!A$1:CB$87,Formula!D83,52))+Formula!G83*(INDEX(Properties!A$1:CB$87,Formula!F83,52))+Formula!I83*(INDEX(Properties!A$1:CB$87,Formula!H83,52))+Formula!K83*(INDEX(Properties!A$1:CB$87,Formula!J83,52))</f>
        <v>23.379000000000001</v>
      </c>
      <c r="ER83" s="81">
        <f>VARP(IF(INDEX(Properties!A$1:CB$87,Formula!B83,52)&lt;&gt;"",INDEX(Properties!A$1:CB$87,Formula!B83,52)),IF(INDEX(Properties!A$1:CB$87,Formula!D83,52)&lt;&gt;"",INDEX(Properties!A$1:CB$87,Formula!D83,52)),IF(INDEX(Properties!A$1:CB$87,Formula!F83,52)&lt;&gt;"",INDEX(Properties!A$1:CB$87,Formula!F83,52)),IF(INDEX(Properties!A$1:CB$87,Formula!H83,52)&lt;&gt;"",INDEX(Properties!A$1:CB$87,Formula!H83,52)),IF(INDEX(Properties!A$1:CB$87,Formula!J83,52)&lt;&gt;"",INDEX(Properties!A$1:CB$87,Formula!J83,52)))</f>
        <v>31.952375840000006</v>
      </c>
      <c r="ES83" s="81">
        <f>MAX(INDEX(Properties!A$1:CB$87,Formula!B83,52),INDEX(Properties!A$1:CB$87,Formula!D83,52),INDEX(Properties!A$1:CB$87,Formula!F83,52),INDEX(Properties!A$1:CB$87,Formula!H83,52),INDEX(Properties!A$1:CB$87,Formula!J83,52))</f>
        <v>14.6</v>
      </c>
      <c r="ET83" s="81">
        <f>MIN(IF(INDEX(Properties!A$1:CB$87,Formula!B83,52)=0,10^6,INDEX(Properties!A$1:CB$87,Formula!B83,52)),IF(INDEX(Properties!A$1:CB$87,Formula!D83,52)=0,10^6,INDEX(Properties!A$1:CB$87,Formula!D83,52)),IF(INDEX(Properties!A$1:CB$87,Formula!F83,52)=0,10^6,INDEX(Properties!A$1:CB$87,Formula!F83,52)),IF(INDEX(Properties!A$1:CB$87,Formula!H83,52)=0,10^6,INDEX(Properties!A$1:CB$87,Formula!H83,52)),IF(INDEX(Properties!A$1:CB$87,Formula!J83,52)=0,10^6,INDEX(Properties!A$1:CB$87,Formula!J83,52)))</f>
        <v>0.79300000000000004</v>
      </c>
      <c r="EU83" s="81">
        <f t="shared" si="56"/>
        <v>13.807</v>
      </c>
      <c r="EV83" s="39">
        <f>((Formula!C83)/(Formula!C83+Formula!E83+Formula!G83+Formula!I83+Formula!K83))*(INDEX(Properties!A$1:CB$87,Formula!B83,53))+((Formula!E83)/(Formula!C83+Formula!E83+Formula!G83+Formula!I83+Formula!K83))*(INDEX(Properties!A$1:CB$87,Formula!D83,53))+((Formula!G83)/(Formula!C83+Formula!E83+Formula!G83+Formula!I83+Formula!K83))*(INDEX(Properties!A$1:CB$87,Formula!F83,53))+((Formula!I83)/(Formula!C83+Formula!E83+Formula!G83+Formula!I83+Formula!K83))*(INDEX(Properties!A$1:CB$87,Formula!H83,53))+((Formula!K83)/(Formula!C83+Formula!E83+Formula!G83+Formula!I83+Formula!K83))*(INDEX(Properties!A$1:CB$87,Formula!J83,53))</f>
        <v>558.03000000000009</v>
      </c>
      <c r="EW83" s="39">
        <f>Formula!C83*(INDEX(Properties!A$1:CB$87,Formula!B83,53))+Formula!E83*(INDEX(Properties!A$1:CB$87,Formula!D83,53))+Formula!G83*(INDEX(Properties!A$1:CB$87,Formula!F83,53))+Formula!I83*(INDEX(Properties!A$1:CB$87,Formula!H83,53))+Formula!K83*(INDEX(Properties!A$1:CB$87,Formula!J83,53))</f>
        <v>2790.15</v>
      </c>
      <c r="EX83" s="39">
        <f>VARP(IF(INDEX(Properties!A$1:CB$87,Formula!B83,53)&lt;&gt;"",INDEX(Properties!A$1:CB$87,Formula!B83,53)),IF(INDEX(Properties!A$1:CB$87,Formula!D83,53)&lt;&gt;"",INDEX(Properties!A$1:CB$87,Formula!D83,53)),IF(INDEX(Properties!A$1:CB$87,Formula!F83,53)&lt;&gt;"",INDEX(Properties!A$1:CB$87,Formula!F83,53)),IF(INDEX(Properties!A$1:CB$87,Formula!H83,53)&lt;&gt;"",INDEX(Properties!A$1:CB$87,Formula!H83,53)),IF(INDEX(Properties!A$1:CB$87,Formula!J83,53)&lt;&gt;"",INDEX(Properties!A$1:CB$87,Formula!J83,53)))</f>
        <v>556558.43260000006</v>
      </c>
      <c r="EY83" s="39">
        <f>MAX(INDEX(Properties!A$1:CB$87,Formula!B83,53),INDEX(Properties!A$1:CB$87,Formula!D83,53),INDEX(Properties!A$1:CB$87,Formula!F83,53),INDEX(Properties!A$1:CB$87,Formula!H83,53),INDEX(Properties!A$1:CB$87,Formula!J83,53))</f>
        <v>1933.15</v>
      </c>
      <c r="EZ83" s="39">
        <f>MIN(IF(INDEX(Properties!A$1:CB$87,Formula!B83,53)=0,10^6,INDEX(Properties!A$1:CB$87,Formula!B83,53)),IF(INDEX(Properties!A$1:CB$87,Formula!D83,53)=0,10^6,INDEX(Properties!A$1:CB$87,Formula!D83,53)),IF(INDEX(Properties!A$1:CB$87,Formula!F83,53)=0,10^6,INDEX(Properties!A$1:CB$87,Formula!F83,53)),IF(INDEX(Properties!A$1:CB$87,Formula!H83,53)=0,10^6,INDEX(Properties!A$1:CB$87,Formula!H83,53)),IF(INDEX(Properties!A$1:CB$87,Formula!J83,53)=0,10^6,INDEX(Properties!A$1:CB$87,Formula!J83,53)))</f>
        <v>54.749999999999972</v>
      </c>
      <c r="FA83" s="39">
        <f t="shared" si="57"/>
        <v>1878.4</v>
      </c>
      <c r="FB83" s="54">
        <f>((Formula!C83)/(Formula!C83+Formula!E83+Formula!G83+Formula!I83+Formula!K83))*(INDEX(Properties!A$1:CB$87,Formula!B83,54))+((Formula!E83)/(Formula!C83+Formula!E83+Formula!G83+Formula!I83+Formula!K83))*(INDEX(Properties!A$1:CB$87,Formula!D83,54))+((Formula!G83)/(Formula!C83+Formula!E83+Formula!G83+Formula!I83+Formula!K83))*(INDEX(Properties!A$1:CB$87,Formula!F83,54))+((Formula!I83)/(Formula!C83+Formula!E83+Formula!G83+Formula!I83+Formula!K83))*(INDEX(Properties!A$1:CB$87,Formula!H83,54))+((Formula!K83)/(Formula!C83+Formula!E83+Formula!G83+Formula!I83+Formula!K83))*(INDEX(Properties!A$1:CB$87,Formula!J83,54))</f>
        <v>1001.9500000000002</v>
      </c>
      <c r="FC83" s="54">
        <f>Formula!C83*(INDEX(Properties!A$1:CB$87,Formula!B83,54))+Formula!E83*(INDEX(Properties!A$1:CB$87,Formula!D83,54))+Formula!G83*(INDEX(Properties!A$1:CB$87,Formula!F83,54))+Formula!I83*(INDEX(Properties!A$1:CB$87,Formula!H83,54))+Formula!K83*(INDEX(Properties!A$1:CB$87,Formula!J83,54))</f>
        <v>5009.75</v>
      </c>
      <c r="FD83" s="54">
        <f>VARP(IF(INDEX(Properties!A$1:CB$87,Formula!B83,54)&lt;&gt;"",INDEX(Properties!A$1:CB$87,Formula!B83,54)),IF(INDEX(Properties!A$1:CB$87,Formula!D83,54)&lt;&gt;"",INDEX(Properties!A$1:CB$87,Formula!D83,54)),IF(INDEX(Properties!A$1:CB$87,Formula!F83,54)&lt;&gt;"",INDEX(Properties!A$1:CB$87,Formula!F83,54)),IF(INDEX(Properties!A$1:CB$87,Formula!H83,54)&lt;&gt;"",INDEX(Properties!A$1:CB$87,Formula!H83,54)),IF(INDEX(Properties!A$1:CB$87,Formula!J83,54)&lt;&gt;"",INDEX(Properties!A$1:CB$87,Formula!J83,54)))</f>
        <v>1881694.4614000004</v>
      </c>
      <c r="FE83" s="54">
        <f>MAX(INDEX(Properties!A$1:CB$87,Formula!B83,54),INDEX(Properties!A$1:CB$87,Formula!D83,54),INDEX(Properties!A$1:CB$87,Formula!F83,54),INDEX(Properties!A$1:CB$87,Formula!H83,54),INDEX(Properties!A$1:CB$87,Formula!J83,54))</f>
        <v>3560.15</v>
      </c>
      <c r="FF83" s="54">
        <f>MIN(IF(INDEX(Properties!A$1:CB$87,Formula!B83,54)=0,10^6,INDEX(Properties!A$1:CB$87,Formula!B83,54)),IF(INDEX(Properties!A$1:CB$87,Formula!D83,54)=0,10^6,INDEX(Properties!A$1:CB$87,Formula!D83,54)),IF(INDEX(Properties!A$1:CB$87,Formula!F83,54)=0,10^6,INDEX(Properties!A$1:CB$87,Formula!F83,54)),IF(INDEX(Properties!A$1:CB$87,Formula!H83,54)=0,10^6,INDEX(Properties!A$1:CB$87,Formula!H83,54)),IF(INDEX(Properties!A$1:CB$87,Formula!J83,54)=0,10^6,INDEX(Properties!A$1:CB$87,Formula!J83,54)))</f>
        <v>90.149999999999977</v>
      </c>
      <c r="FG83" s="54">
        <f t="shared" si="58"/>
        <v>3470</v>
      </c>
      <c r="FH83" s="69">
        <f>((Formula!C83)/(Formula!C83+Formula!E83+Formula!G83+Formula!I83+Formula!K83))*(INDEX(Properties!A$1:CB$87,Formula!B83,55))+((Formula!E83)/(Formula!C83+Formula!E83+Formula!G83+Formula!I83+Formula!K83))*(INDEX(Properties!A$1:CB$87,Formula!D83,55))+((Formula!G83)/(Formula!C83+Formula!E83+Formula!G83+Formula!I83+Formula!K83))*(INDEX(Properties!A$1:CB$87,Formula!F83,55))+((Formula!I83)/(Formula!C83+Formula!E83+Formula!G83+Formula!I83+Formula!K83))*(INDEX(Properties!A$1:CB$87,Formula!H83,55))+((Formula!K83)/(Formula!C83+Formula!E83+Formula!G83+Formula!I83+Formula!K83))*(INDEX(Properties!A$1:CB$87,Formula!J83,55))</f>
        <v>2.3348580000000001</v>
      </c>
      <c r="FI83" s="69">
        <f>Formula!C83*(INDEX(Properties!A$1:CB$87,Formula!B83,55))+Formula!E83*(INDEX(Properties!A$1:CB$87,Formula!D83,54))+Formula!G83*(INDEX(Properties!A$1:CB$87,Formula!F83,55))+Formula!I83*(INDEX(Properties!A$1:CB$87,Formula!H83,55))+Formula!K83*(INDEX(Properties!A$1:CB$87,Formula!J83,55))</f>
        <v>3567.2842900000001</v>
      </c>
      <c r="FJ83" s="69">
        <f>VARP(IF(INDEX(Properties!A$1:CB$87,Formula!B83,55)&lt;&gt;"",INDEX(Properties!A$1:CB$87,Formula!B83,55)),IF(INDEX(Properties!A$1:CB$87,Formula!D83,55)&lt;&gt;"",INDEX(Properties!A$1:CB$87,Formula!D83,55)),IF(INDEX(Properties!A$1:CB$87,Formula!F83,55)&lt;&gt;"",INDEX(Properties!A$1:CB$87,Formula!F83,55)),IF(INDEX(Properties!A$1:CB$87,Formula!H83,55)&lt;&gt;"",INDEX(Properties!A$1:CB$87,Formula!H83,55)),IF(INDEX(Properties!A$1:CB$87,Formula!J83,55)&lt;&gt;"",INDEX(Properties!A$1:CB$87,Formula!J83,55)))</f>
        <v>8.8408092791840005</v>
      </c>
      <c r="FK83" s="69">
        <f>MAX(INDEX(Properties!A$1:CB$87,Formula!B83,55),INDEX(Properties!A$1:CB$87,Formula!D83,55),INDEX(Properties!A$1:CB$87,Formula!F83,55),INDEX(Properties!A$1:CB$87,Formula!H83,55),INDEX(Properties!A$1:CB$87,Formula!J83,55))</f>
        <v>7.13</v>
      </c>
      <c r="FL83" s="69">
        <f>MIN(IF(INDEX(Properties!A$1:CB$87,Formula!B83,55)=0,10^6,INDEX(Properties!A$1:CB$87,Formula!B83,55)),IF(INDEX(Properties!A$1:CB$87,Formula!D83,55)=0,10^6,INDEX(Properties!A$1:CB$87,Formula!D83,55)),IF(INDEX(Properties!A$1:CB$87,Formula!F83,55)=0,10^6,INDEX(Properties!A$1:CB$87,Formula!F83,55)),IF(INDEX(Properties!A$1:CB$87,Formula!H83,55)=0,10^6,INDEX(Properties!A$1:CB$87,Formula!H83,55)),IF(INDEX(Properties!A$1:CB$87,Formula!J83,55)=0,10^6,INDEX(Properties!A$1:CB$87,Formula!J83,55)))</f>
        <v>1.4300000000000001E-3</v>
      </c>
      <c r="FM83" s="69">
        <f t="shared" si="59"/>
        <v>7.1285699999999999</v>
      </c>
      <c r="FN83" s="42">
        <f>((Formula!C83)/(Formula!C83+Formula!E83+Formula!G83+Formula!I83+Formula!K83))*(INDEX(Properties!A$1:CB$87,Formula!B83,56))+((Formula!E83)/(Formula!C83+Formula!E83+Formula!G83+Formula!I83+Formula!K83))*(INDEX(Properties!A$1:CB$87,Formula!D83,56))+((Formula!G83)/(Formula!C83+Formula!E83+Formula!G83+Formula!I83+Formula!K83))*(INDEX(Properties!A$1:CB$87,Formula!F83,56))+((Formula!I83)/(Formula!C83+Formula!E83+Formula!G83+Formula!I83+Formula!K83))*(INDEX(Properties!A$1:CB$87,Formula!H83,56))+((Formula!K83)/(Formula!C83+Formula!E83+Formula!G83+Formula!I83+Formula!K83))*(INDEX(Properties!A$1:CB$87,Formula!J83,56))</f>
        <v>0.7340000000000001</v>
      </c>
      <c r="FO83" s="42">
        <f>Formula!C83*(INDEX(Properties!A$1:CB$87,Formula!B83,56))+Formula!E83*(INDEX(Properties!A$1:CB$87,Formula!D83,56))+Formula!G83*(INDEX(Properties!A$1:CB$87,Formula!F83,56))+Formula!I83*(INDEX(Properties!A$1:CB$87,Formula!H83,56))+Formula!K83*(INDEX(Properties!A$1:CB$87,Formula!J83,56))</f>
        <v>3.6700000000000004</v>
      </c>
      <c r="FP83" s="42">
        <f>VARP(IF(INDEX(Properties!A$1:CB$87,Formula!B83,56)&lt;&gt;"",INDEX(Properties!A$1:CB$87,Formula!B83,56)),IF(INDEX(Properties!A$1:CB$87,Formula!D83,56)&lt;&gt;"",INDEX(Properties!A$1:CB$87,Formula!D83,56)),IF(INDEX(Properties!A$1:CB$87,Formula!F83,56)&lt;&gt;"",INDEX(Properties!A$1:CB$87,Formula!F83,56)),IF(INDEX(Properties!A$1:CB$87,Formula!H83,56)&lt;&gt;"",INDEX(Properties!A$1:CB$87,Formula!H83,56)),IF(INDEX(Properties!A$1:CB$87,Formula!J83,56)&lt;&gt;"",INDEX(Properties!A$1:CB$87,Formula!J83,56)))</f>
        <v>0.11982400000000001</v>
      </c>
      <c r="FQ83" s="42">
        <f>MAX(INDEX(Properties!A$1:CB$87,Formula!B83,56),INDEX(Properties!A$1:CB$87,Formula!D83,56),INDEX(Properties!A$1:CB$87,Formula!F83,56),INDEX(Properties!A$1:CB$87,Formula!H83,56),INDEX(Properties!A$1:CB$87,Formula!J83,56))</f>
        <v>0.92</v>
      </c>
      <c r="FR83" s="42">
        <f>MIN(IF(INDEX(Properties!A$1:CB$87,Formula!B83,56)=0,10^6,INDEX(Properties!A$1:CB$87,Formula!B83,56)),IF(INDEX(Properties!A$1:CB$87,Formula!D83,56)=0,10^6,INDEX(Properties!A$1:CB$87,Formula!D83,56)),IF(INDEX(Properties!A$1:CB$87,Formula!F83,56)=0,10^6,INDEX(Properties!A$1:CB$87,Formula!F83,56)),IF(INDEX(Properties!A$1:CB$87,Formula!H83,56)=0,10^6,INDEX(Properties!A$1:CB$87,Formula!H83,56)),IF(INDEX(Properties!A$1:CB$87,Formula!J83,56)=0,10^6,INDEX(Properties!A$1:CB$87,Formula!J83,56)))</f>
        <v>0.39</v>
      </c>
      <c r="FS83" s="42">
        <f t="shared" si="60"/>
        <v>0.53</v>
      </c>
      <c r="FT83" s="60">
        <f>((Formula!C83)/(Formula!C83+Formula!E83+Formula!G83+Formula!I83+Formula!K83))*(INDEX(Properties!A$1:CB$87,Formula!B83,57))+((Formula!E83)/(Formula!C83+Formula!E83+Formula!G83+Formula!I83+Formula!K83))*(INDEX(Properties!A$1:CB$87,Formula!D83,57))+((Formula!G83)/(Formula!C83+Formula!E83+Formula!G83+Formula!I83+Formula!K83))*(INDEX(Properties!A$1:CB$87,Formula!F83,57))+((Formula!I83)/(Formula!C83+Formula!E83+Formula!G83+Formula!I83+Formula!K83))*(INDEX(Properties!A$1:CB$87,Formula!H83,57))+((Formula!K83)/(Formula!C83+Formula!E83+Formula!G83+Formula!I83+Formula!K83))*(INDEX(Properties!A$1:CB$87,Formula!J83,57))</f>
        <v>4.6879540000000004</v>
      </c>
      <c r="FU83" s="60">
        <f>Formula!C83*(INDEX(Properties!A$1:CB$87,Formula!B83,57))+Formula!E83*(INDEX(Properties!A$1:CB$87,Formula!D83,57))+Formula!G83*(INDEX(Properties!A$1:CB$87,Formula!F83,57))+Formula!I83*(INDEX(Properties!A$1:CB$87,Formula!H83,57))+Formula!K83*(INDEX(Properties!A$1:CB$87,Formula!J83,57))</f>
        <v>23.439769999999999</v>
      </c>
      <c r="FV83" s="60">
        <f>VARP(IF(INDEX(Properties!A$1:CB$87,Formula!B83,57)&lt;&gt;"",INDEX(Properties!A$1:CB$87,Formula!B83,57)),IF(INDEX(Properties!A$1:CB$87,Formula!D83,57)&lt;&gt;"",INDEX(Properties!A$1:CB$87,Formula!D83,57)),IF(INDEX(Properties!A$1:CB$87,Formula!F83,57)&lt;&gt;"",INDEX(Properties!A$1:CB$87,Formula!F83,57)),IF(INDEX(Properties!A$1:CB$87,Formula!H83,57)&lt;&gt;"",INDEX(Properties!A$1:CB$87,Formula!H83,57)),IF(INDEX(Properties!A$1:CB$87,Formula!J83,57)&lt;&gt;"",INDEX(Properties!A$1:CB$87,Formula!J83,57)))</f>
        <v>37.322699290896004</v>
      </c>
      <c r="FW83" s="60">
        <f>MAX(INDEX(Properties!A$1:CB$87,Formula!B83,57),INDEX(Properties!A$1:CB$87,Formula!D83,57),INDEX(Properties!A$1:CB$87,Formula!F83,57),INDEX(Properties!A$1:CB$87,Formula!H83,57),INDEX(Properties!A$1:CB$87,Formula!J83,57))</f>
        <v>15.45</v>
      </c>
      <c r="FX83" s="60">
        <f>MIN(IF(INDEX(Properties!A$1:CB$87,Formula!B83,57)=0,10^6,INDEX(Properties!A$1:CB$87,Formula!B83,57)),IF(INDEX(Properties!A$1:CB$87,Formula!D83,57)=0,10^6,INDEX(Properties!A$1:CB$87,Formula!D83,57)),IF(INDEX(Properties!A$1:CB$87,Formula!F83,57)=0,10^6,INDEX(Properties!A$1:CB$87,Formula!F83,57)),IF(INDEX(Properties!A$1:CB$87,Formula!H83,57)=0,10^6,INDEX(Properties!A$1:CB$87,Formula!H83,57)),IF(INDEX(Properties!A$1:CB$87,Formula!J83,57)=0,10^6,INDEX(Properties!A$1:CB$87,Formula!J83,57)))</f>
        <v>0.22259000000000001</v>
      </c>
      <c r="FY83" s="60">
        <f t="shared" si="61"/>
        <v>15.227409999999999</v>
      </c>
      <c r="FZ83" s="72">
        <f>((Formula!C83)/(Formula!C83+Formula!E83+Formula!G83+Formula!I83+Formula!K83))*(INDEX(Properties!A$1:CB$87,Formula!B83,60))+((Formula!E83)/(Formula!C83+Formula!E83+Formula!G83+Formula!I83+Formula!K83))*(INDEX(Properties!A$1:CB$87,Formula!D83,60))+((Formula!G83)/(Formula!C83+Formula!E83+Formula!G83+Formula!I83+Formula!K83))*(INDEX(Properties!A$1:CB$87,Formula!F83,60))+((Formula!I83)/(Formula!C83+Formula!E83+Formula!G83+Formula!I83+Formula!K83))*(INDEX(Properties!A$1:CB$87,Formula!H83,60))+((Formula!K83)/(Formula!C83+Formula!E83+Formula!G83+Formula!I83+Formula!K83))*(INDEX(Properties!A$1:CB$87,Formula!J83,60))</f>
        <v>27.596044000000003</v>
      </c>
      <c r="GA83" s="72">
        <f>Formula!C83*(INDEX(Properties!A$1:CB$87,Formula!B83,60))+Formula!E83*(INDEX(Properties!A$1:CB$87,Formula!D83,60))+Formula!G83*(INDEX(Properties!A$1:CB$87,Formula!F83,60))+Formula!I83*(INDEX(Properties!A$1:CB$87,Formula!H83,60))+Formula!K83*(INDEX(Properties!A$1:CB$87,Formula!J83,60))</f>
        <v>137.98022</v>
      </c>
      <c r="GB83" s="72">
        <f>VARP(IF(INDEX(Properties!A$1:CB$87,Formula!B83,60)&lt;&gt;"",INDEX(Properties!A$1:CB$87,Formula!B83,60)),IF(INDEX(Properties!A$1:CB$87,Formula!D83,60)&lt;&gt;"",INDEX(Properties!A$1:CB$87,Formula!D83,60)),IF(INDEX(Properties!A$1:CB$87,Formula!F83,60)&lt;&gt;"",INDEX(Properties!A$1:CB$87,Formula!F83,60)),IF(INDEX(Properties!A$1:CB$87,Formula!H83,60)&lt;&gt;"",INDEX(Properties!A$1:CB$87,Formula!H83,60)),IF(INDEX(Properties!A$1:CB$87,Formula!J83,60)&lt;&gt;"",INDEX(Properties!A$1:CB$87,Formula!J83,60)))</f>
        <v>2026.1707187244162</v>
      </c>
      <c r="GC83" s="72">
        <f>MAX(INDEX(Properties!A$1:CB$87,Formula!B83,60),INDEX(Properties!A$1:CB$87,Formula!D83,60),INDEX(Properties!A$1:CB$87,Formula!F83,60),INDEX(Properties!A$1:CB$87,Formula!H83,60),INDEX(Properties!A$1:CB$87,Formula!J83,60))</f>
        <v>116</v>
      </c>
      <c r="GD83" s="72">
        <f>MIN(IF(INDEX(Properties!A$1:CB$87,Formula!B83,60)=0,10^6,INDEX(Properties!A$1:CB$87,Formula!B83,60)),IF(INDEX(Properties!A$1:CB$87,Formula!D83,60)=0,10^6,INDEX(Properties!A$1:CB$87,Formula!D83,60)),IF(INDEX(Properties!A$1:CB$87,Formula!F83,60)=0,10^6,INDEX(Properties!A$1:CB$87,Formula!F83,60)),IF(INDEX(Properties!A$1:CB$87,Formula!H83,60)=0,10^6,INDEX(Properties!A$1:CB$87,Formula!H83,60)),IF(INDEX(Properties!A$1:CB$87,Formula!J83,60)=0,10^6,INDEX(Properties!A$1:CB$87,Formula!J83,60)))</f>
        <v>2.674E-2</v>
      </c>
      <c r="GE83" s="72">
        <f t="shared" si="62"/>
        <v>115.97326</v>
      </c>
      <c r="GF83" s="51">
        <f>((Formula!C83)/(Formula!C83+Formula!E83+Formula!G83+Formula!I83+Formula!K83))*(INDEX(Properties!A$1:CB$87,Formula!B83,62))+((Formula!E83)/(Formula!C83+Formula!E83+Formula!G83+Formula!I83+Formula!K83))*(INDEX(Properties!A$1:CB$87,Formula!D83,62))+((Formula!G83)/(Formula!C83+Formula!E83+Formula!G83+Formula!I83+Formula!K83))*(INDEX(Properties!A$1:CB$87,Formula!F83,62))+((Formula!I83)/(Formula!C83+Formula!E83+Formula!G83+Formula!I83+Formula!K83))*(INDEX(Properties!A$1:CB$87,Formula!H83,62))+((Formula!K83)/(Formula!C83+Formula!E83+Formula!G83+Formula!I83+Formula!K83))*(INDEX(Properties!A$1:CB$87,Formula!J83,62))</f>
        <v>2.8120000000000003</v>
      </c>
      <c r="GG83" s="51">
        <f>Formula!C83*(INDEX(Properties!A$1:CB$87,Formula!B83,62))+Formula!E83*(INDEX(Properties!A$1:CB$87,Formula!D83,62))+Formula!G83*(INDEX(Properties!A$1:CB$87,Formula!F83,62))+Formula!I83*(INDEX(Properties!A$1:CB$87,Formula!H83,62))+Formula!K83*(INDEX(Properties!A$1:CB$87,Formula!J83,62))</f>
        <v>14.059999999999999</v>
      </c>
      <c r="GH83" s="51">
        <f>VARP(IF(INDEX(Properties!A$1:CB$87,Formula!B83,62)&lt;&gt;"",INDEX(Properties!A$1:CB$87,Formula!B83,62)),IF(INDEX(Properties!A$1:CB$87,Formula!D83,62)&lt;&gt;"",INDEX(Properties!A$1:CB$87,Formula!D83,62)),IF(INDEX(Properties!A$1:CB$87,Formula!F83,62)&lt;&gt;"",INDEX(Properties!A$1:CB$87,Formula!F83,62)),IF(INDEX(Properties!A$1:CB$87,Formula!H83,62)&lt;&gt;"",INDEX(Properties!A$1:CB$87,Formula!H83,62)),IF(INDEX(Properties!A$1:CB$87,Formula!J83,62)&lt;&gt;"",INDEX(Properties!A$1:CB$87,Formula!J83,62)))</f>
        <v>3.3301840000000009</v>
      </c>
      <c r="GI83" s="51">
        <f>MAX(INDEX(Properties!A$1:CB$87,Formula!B83,62),INDEX(Properties!A$1:CB$87,Formula!D83,62),INDEX(Properties!A$1:CB$87,Formula!F83,62),INDEX(Properties!A$1:CB$87,Formula!H83,62),INDEX(Properties!A$1:CB$87,Formula!J83,62))</f>
        <v>4.8499999999999996</v>
      </c>
      <c r="GJ83" s="51">
        <f>MIN(IF(INDEX(Properties!A$1:CB$87,Formula!B83,62)=0,10^6,INDEX(Properties!A$1:CB$87,Formula!B83,62)),IF(INDEX(Properties!A$1:CB$87,Formula!D83,62)=0,10^6,INDEX(Properties!A$1:CB$87,Formula!D83,62)),IF(INDEX(Properties!A$1:CB$87,Formula!F83,62)=0,10^6,INDEX(Properties!A$1:CB$87,Formula!F83,62)),IF(INDEX(Properties!A$1:CB$87,Formula!H83,62)=0,10^6,INDEX(Properties!A$1:CB$87,Formula!H83,62)),IF(INDEX(Properties!A$1:CB$87,Formula!J83,62)=0,10^6,INDEX(Properties!A$1:CB$87,Formula!J83,62)))</f>
        <v>1.35</v>
      </c>
      <c r="GK83" s="51">
        <f t="shared" si="63"/>
        <v>3.4999999999999996</v>
      </c>
      <c r="GL83" s="51">
        <f>Formula!P83</f>
        <v>161</v>
      </c>
      <c r="GM83" s="57">
        <f>Formula!O83</f>
        <v>5</v>
      </c>
      <c r="GN83" s="51">
        <f>Formula!N83</f>
        <v>0.02</v>
      </c>
    </row>
    <row r="84" spans="1:196" x14ac:dyDescent="0.3">
      <c r="A84" s="84" t="str">
        <f>Formula!A84</f>
        <v>NaCa4(BO3)3</v>
      </c>
      <c r="B84" s="89">
        <f>((Formula!C84)/(Formula!C84+Formula!E84+Formula!G84+Formula!I84+Formula!K84))*(INDEX(Properties!A$1:CB$87,Formula!B84,3))+((Formula!E84)/(Formula!C84+Formula!E84+Formula!G84+Formula!I84+Formula!K84))*(INDEX(Properties!A$1:CB$87,Formula!D84,3))+((Formula!G84)/(Formula!C84+Formula!E84+Formula!G84+Formula!I84+Formula!K84))*(INDEX(Properties!A$1:CB$87,Formula!F84,3))+((Formula!I84)/(Formula!C84+Formula!E84+Formula!G84+Formula!I84+Formula!K84))*(INDEX(Properties!A$1:CB$87,Formula!H84,3))+((Formula!K84)/(Formula!C84+Formula!E84+Formula!G84+Formula!I84+Formula!K84))*(INDEX(Properties!A$1:CB$87,Formula!J84,3))</f>
        <v>21.160551058823529</v>
      </c>
      <c r="C84" s="85">
        <f>Formula!C84*(INDEX(Properties!A$1:CB$87,Formula!B84,3))+Formula!E84*(INDEX(Properties!A$1:CB$87,Formula!D84,3))+Formula!G84*(INDEX(Properties!A$1:CB$87,Formula!F84,3))+Formula!I84*(INDEX(Properties!A$1:CB$87,Formula!H84,3))+Formula!K84*(INDEX(Properties!A$1:CB$87,Formula!J84,3))</f>
        <v>359.72936800000002</v>
      </c>
      <c r="D84" s="85">
        <f>VARP(IF(INDEX(Properties!A$1:CB$87,Formula!B84,3)&lt;&gt;"",INDEX(Properties!A$1:CB$87,Formula!B84,3)),IF(INDEX(Properties!A$1:CB$87,Formula!D84,3)&lt;&gt;"",INDEX(Properties!A$1:CB$87,Formula!D84,3)),IF(INDEX(Properties!A$1:CB$87,Formula!F84,3)&lt;&gt;"",INDEX(Properties!A$1:CB$87,Formula!F84,3)),IF(INDEX(Properties!A$1:CB$87,Formula!H84,3)&lt;&gt;"",INDEX(Properties!A$1:CB$87,Formula!H84,3)),IF(INDEX(Properties!A$1:CB$87,Formula!J84,3)&lt;&gt;"",INDEX(Properties!A$1:CB$87,Formula!J84,3)))</f>
        <v>178.40340428931592</v>
      </c>
      <c r="E84" s="85">
        <f>MAX(INDEX(Properties!A$1:CB$87,Formula!B84,3),INDEX(Properties!A$1:CB$87,Formula!D84,3),INDEX(Properties!A$1:CB$87,Formula!F84,3),INDEX(Properties!A$1:CB$87,Formula!H84,3),INDEX(Properties!A$1:CB$87,Formula!J84,3))</f>
        <v>40.078000000000003</v>
      </c>
      <c r="F84" s="85">
        <f>MIN(IF(INDEX(Properties!A$1:CB$87,Formula!B84,3)=0,10^6,INDEX(Properties!A$1:CB$87,Formula!B84,3)),IF(INDEX(Properties!A$1:CB$87,Formula!D84,3)=0,10^6,INDEX(Properties!A$1:CB$87,Formula!D84,3)),IF(INDEX(Properties!A$1:CB$87,Formula!F84,3)=0,10^6,INDEX(Properties!A$1:CB$87,Formula!F84,3)),IF(INDEX(Properties!A$1:CB$87,Formula!H84,3)=0,10^6,INDEX(Properties!A$1:CB$87,Formula!H84,3)),IF(INDEX(Properties!A$1:CB$87,Formula!J84,3)=0,10^6,INDEX(Properties!A$1:CB$87,Formula!J84,3)))</f>
        <v>10.811</v>
      </c>
      <c r="G84" s="85">
        <f t="shared" si="32"/>
        <v>29.267000000000003</v>
      </c>
      <c r="H84" s="87">
        <f>((Formula!C84)/(Formula!C84+Formula!E84+Formula!G84+Formula!I84+Formula!K84))*(INDEX(Properties!A$1:CB$87,Formula!B84,4))+((Formula!E84)/(Formula!C84+Formula!E84+Formula!G84+Formula!I84+Formula!K84))*(INDEX(Properties!A$1:CB$87,Formula!D84,4))+((Formula!G84)/(Formula!C84+Formula!E84+Formula!G84+Formula!I84+Formula!K84))*(INDEX(Properties!A$1:CB$87,Formula!F84,4))+((Formula!I84)/(Formula!C84+Formula!E84+Formula!G84+Formula!I84+Formula!K84))*(INDEX(Properties!A$1:CB$87,Formula!H84,4))+((Formula!K84)/(Formula!C84+Formula!E84+Formula!G84+Formula!I84+Formula!K84))*(INDEX(Properties!A$1:CB$87,Formula!J84,4))</f>
        <v>10.47058823529412</v>
      </c>
      <c r="I84" s="87">
        <f>Formula!C84*(INDEX(Properties!A$1:CB$87,Formula!B84,4))+Formula!E84*(INDEX(Properties!A$1:CB$87,Formula!D84,4))+Formula!G84*(INDEX(Properties!A$1:CB$87,Formula!F84,4))+Formula!I84*(INDEX(Properties!A$1:CB$87,Formula!H84,4))+Formula!K84*(INDEX(Properties!A$1:CB$87,Formula!J84,4))</f>
        <v>178</v>
      </c>
      <c r="J84" s="87">
        <f>VARP(IF(INDEX(Properties!A$1:CB$87,Formula!B84,4)&lt;&gt;"",INDEX(Properties!A$1:CB$87,Formula!B84,4)),IF(INDEX(Properties!A$1:CB$87,Formula!D84,4)&lt;&gt;"",INDEX(Properties!A$1:CB$87,Formula!D84,4)),IF(INDEX(Properties!A$1:CB$87,Formula!F84,4)&lt;&gt;"",INDEX(Properties!A$1:CB$87,Formula!F84,4)),IF(INDEX(Properties!A$1:CB$87,Formula!H84,4)&lt;&gt;"",INDEX(Properties!A$1:CB$87,Formula!H84,4)),IF(INDEX(Properties!A$1:CB$87,Formula!J84,4)&lt;&gt;"",INDEX(Properties!A$1:CB$87,Formula!J84,4)))</f>
        <v>44.56</v>
      </c>
      <c r="K84" s="87">
        <f>MAX(INDEX(Properties!A$1:CB$87,Formula!B84,4),INDEX(Properties!A$1:CB$87,Formula!D84,4),INDEX(Properties!A$1:CB$87,Formula!F84,4),INDEX(Properties!A$1:CB$87,Formula!H84,4),INDEX(Properties!A$1:CB$87,Formula!J84,4))</f>
        <v>20</v>
      </c>
      <c r="L84" s="87">
        <f>MIN(IF(INDEX(Properties!A$1:CB$87,Formula!B84,4)=0,10^6,INDEX(Properties!A$1:CB$87,Formula!B84,4)),IF(INDEX(Properties!A$1:CB$87,Formula!D84,4)=0,10^6,INDEX(Properties!A$1:CB$87,Formula!D84,4)),IF(INDEX(Properties!A$1:CB$87,Formula!F84,4)=0,10^6,INDEX(Properties!A$1:CB$87,Formula!F84,4)),IF(INDEX(Properties!A$1:CB$87,Formula!H84,4)=0,10^6,INDEX(Properties!A$1:CB$87,Formula!H84,4)),IF(INDEX(Properties!A$1:CB$87,Formula!J84,4)=0,10^6,INDEX(Properties!A$1:CB$87,Formula!J84,4)))</f>
        <v>5</v>
      </c>
      <c r="M84" s="87">
        <f t="shared" si="33"/>
        <v>15</v>
      </c>
      <c r="N84" s="89">
        <f>((Formula!C84)/(Formula!C84+Formula!E84+Formula!G84+Formula!I84+Formula!K84))*(INDEX(Properties!A$1:CB$87,Formula!B84,5))+((Formula!E84)/(Formula!C84+Formula!E84+Formula!G84+Formula!I84+Formula!K84))*(INDEX(Properties!A$1:CB$87,Formula!D84,5))+((Formula!G84)/(Formula!C84+Formula!E84+Formula!G84+Formula!I84+Formula!K84))*(INDEX(Properties!A$1:CB$87,Formula!F84,5))+((Formula!I84)/(Formula!C84+Formula!E84+Formula!G84+Formula!I84+Formula!K84))*(INDEX(Properties!A$1:CB$87,Formula!H84,5))+((Formula!K84)/(Formula!C84+Formula!E84+Formula!G84+Formula!I84+Formula!K84))*(INDEX(Properties!A$1:CB$87,Formula!J84,5))</f>
        <v>2.5294117647058822</v>
      </c>
      <c r="O84" s="89">
        <f>Formula!C84*(INDEX(Properties!A$1:CB$87,Formula!B84,5))+Formula!E84*(INDEX(Properties!A$1:CB$87,Formula!D84,5))+Formula!G84*(INDEX(Properties!A$1:CB$87,Formula!F84,5))+Formula!I84*(INDEX(Properties!A$1:CB$87,Formula!H84,5))+Formula!K84*(INDEX(Properties!A$1:CB$87,Formula!J84,5))</f>
        <v>43</v>
      </c>
      <c r="P84" s="89">
        <f>VARP(IF(INDEX(Properties!A$1:CB$87,Formula!B84,5)&lt;&gt;"",INDEX(Properties!A$1:CB$87,Formula!B84,5)),IF(INDEX(Properties!A$1:CB$87,Formula!D84,5)&lt;&gt;"",INDEX(Properties!A$1:CB$87,Formula!D84,5)),IF(INDEX(Properties!A$1:CB$87,Formula!F84,5)&lt;&gt;"",INDEX(Properties!A$1:CB$87,Formula!F84,5)),IF(INDEX(Properties!A$1:CB$87,Formula!H84,5)&lt;&gt;"",INDEX(Properties!A$1:CB$87,Formula!H84,5)),IF(INDEX(Properties!A$1:CB$87,Formula!J84,5)&lt;&gt;"",INDEX(Properties!A$1:CB$87,Formula!J84,5)))</f>
        <v>1.76</v>
      </c>
      <c r="Q84" s="89">
        <f>MAX(INDEX(Properties!A$1:CB$87,Formula!B84,5),INDEX(Properties!A$1:CB$87,Formula!D84,5),INDEX(Properties!A$1:CB$87,Formula!F84,5),INDEX(Properties!A$1:CB$87,Formula!H84,5),INDEX(Properties!A$1:CB$87,Formula!J84,5))</f>
        <v>4</v>
      </c>
      <c r="R84" s="89">
        <f>MIN(IF(INDEX(Properties!A$1:CB$87,Formula!B84,5)=0,10^6,INDEX(Properties!A$1:CB$87,Formula!B84,5)),IF(INDEX(Properties!A$1:CB$87,Formula!D84,5)=0,10^6,INDEX(Properties!A$1:CB$87,Formula!D84,5)),IF(INDEX(Properties!A$1:CB$87,Formula!F84,5)=0,10^6,INDEX(Properties!A$1:CB$87,Formula!F84,5)),IF(INDEX(Properties!A$1:CB$87,Formula!H84,5)=0,10^6,INDEX(Properties!A$1:CB$87,Formula!H84,5)),IF(INDEX(Properties!A$1:CB$87,Formula!J84,5)=0,10^6,INDEX(Properties!A$1:CB$87,Formula!J84,5)))</f>
        <v>2</v>
      </c>
      <c r="S84" s="89">
        <f t="shared" si="34"/>
        <v>2</v>
      </c>
      <c r="T84" s="60">
        <f>((Formula!C84)/(Formula!C84+Formula!E84+Formula!G84+Formula!I84+Formula!K84))*(INDEX(Properties!A$1:CB$87,Formula!B84,6))+((Formula!E84)/(Formula!C84+Formula!E84+Formula!G84+Formula!I84+Formula!K84))*(INDEX(Properties!A$1:CB$87,Formula!D84,6))+((Formula!G84)/(Formula!C84+Formula!E84+Formula!G84+Formula!I84+Formula!K84))*(INDEX(Properties!A$1:CB$87,Formula!F84,6))+((Formula!I84)/(Formula!C84+Formula!E84+Formula!G84+Formula!I84+Formula!K84))*(INDEX(Properties!A$1:CB$87,Formula!H84,6))+((Formula!K84)/(Formula!C84+Formula!E84+Formula!G84+Formula!I84+Formula!K84))*(INDEX(Properties!A$1:CB$87,Formula!J84,6))</f>
        <v>11.294117647058824</v>
      </c>
      <c r="U84" s="60">
        <f>Formula!C84*(INDEX(Properties!A$1:CB$87,Formula!B84,6))+Formula!E84*(INDEX(Properties!A$1:CB$87,Formula!D84,6))+Formula!G84*(INDEX(Properties!A$1:CB$87,Formula!F84,6))+Formula!I84*(INDEX(Properties!A$1:CB$87,Formula!H84,6))+Formula!K84*(INDEX(Properties!A$1:CB$87,Formula!J84,6))</f>
        <v>192</v>
      </c>
      <c r="V84" s="89">
        <f>VARP(IF(INDEX(Properties!A$1:CB$87,Formula!B84,6)&lt;&gt;"",INDEX(Properties!A$1:CB$87,Formula!B84,6)),IF(INDEX(Properties!A$1:CB$87,Formula!D84,6)&lt;&gt;"",INDEX(Properties!A$1:CB$87,Formula!D84,6)),IF(INDEX(Properties!A$1:CB$87,Formula!F84,6)&lt;&gt;"",INDEX(Properties!A$1:CB$87,Formula!F84,6)),IF(INDEX(Properties!A$1:CB$87,Formula!H84,6)&lt;&gt;"",INDEX(Properties!A$1:CB$87,Formula!H84,6)),IF(INDEX(Properties!A$1:CB$87,Formula!J84,6)&lt;&gt;"",INDEX(Properties!A$1:CB$87,Formula!J84,6)))</f>
        <v>45.04</v>
      </c>
      <c r="W84" s="60">
        <f>MAX(INDEX(Properties!A$1:CB$87,Formula!B84,6),INDEX(Properties!A$1:CB$87,Formula!D84,6),INDEX(Properties!A$1:CB$87,Formula!F84,6),INDEX(Properties!A$1:CB$87,Formula!H84,4),INDEX(Properties!A$1:CB$87,Formula!J84,6))</f>
        <v>13</v>
      </c>
      <c r="X84" s="60">
        <f>MIN(IF(INDEX(Properties!A$1:CB$87,Formula!B84,6)=0,10^6,INDEX(Properties!A$1:CB$87,Formula!B84,6)),IF(INDEX(Properties!A$1:CB$87,Formula!D84,6)=0,10^6,INDEX(Properties!A$1:CB$87,Formula!D84,6)),IF(INDEX(Properties!A$1:CB$87,Formula!F84,6)=0,10^6,INDEX(Properties!A$1:CB$87,Formula!F84,6)),IF(INDEX(Properties!A$1:CB$87,Formula!H84,6)=0,10^6,INDEX(Properties!A$1:CB$87,Formula!H84,6)),IF(INDEX(Properties!A$1:CB$87,Formula!J84,6)=0,10^6,INDEX(Properties!A$1:CB$87,Formula!J84,6)))</f>
        <v>1</v>
      </c>
      <c r="Y84" s="60">
        <f t="shared" si="35"/>
        <v>12</v>
      </c>
      <c r="Z84" s="72">
        <f>((Formula!C84)/(Formula!C84+Formula!E84+Formula!G84+Formula!I84+Formula!K84))*(INDEX(Properties!A$1:CB$87,Formula!B84,9))+((Formula!E84)/(Formula!C84+Formula!E84+Formula!G84+Formula!I84+Formula!K84))*(INDEX(Properties!A$1:CB$87,Formula!D84,9))+((Formula!G84)/(Formula!C84+Formula!E84+Formula!G84+Formula!I84+Formula!K84))*(INDEX(Properties!A$1:CB$87,Formula!F84,9))+((Formula!I84)/(Formula!C84+Formula!E84+Formula!G84+Formula!I84+Formula!K84))*(INDEX(Properties!A$1:CB$87,Formula!H84,9))+((Formula!K84)/(Formula!C84+Formula!E84+Formula!G84+Formula!I84+Formula!K84))*(INDEX(Properties!A$1:CB$87,Formula!J84,9))</f>
        <v>60.529411764705884</v>
      </c>
      <c r="AA84" s="72">
        <f>Formula!C84*(INDEX(Properties!A$1:CB$87,Formula!B84,9))+Formula!E84*(INDEX(Properties!A$1:CB$87,Formula!D84,9))+Formula!G84*(INDEX(Properties!A$1:CB$87,Formula!F84,9))+Formula!I84*(INDEX(Properties!A$1:CB$87,Formula!H84,9))+Formula!K84*(INDEX(Properties!A$1:CB$87,Formula!J84,9))</f>
        <v>1029</v>
      </c>
      <c r="AB84" s="72">
        <f>VARP(IF(INDEX(Properties!A$1:CB$87,Formula!B84,9)&lt;&gt;"",INDEX(Properties!A$1:CB$87,Formula!B84,9)),IF(INDEX(Properties!A$1:CB$87,Formula!D84,9)&lt;&gt;"",INDEX(Properties!A$1:CB$87,Formula!D84,9)),IF(INDEX(Properties!A$1:CB$87,Formula!F84,9)&lt;&gt;"",INDEX(Properties!A$1:CB$87,Formula!F84,9)),IF(INDEX(Properties!A$1:CB$87,Formula!H84,9)&lt;&gt;"",INDEX(Properties!A$1:CB$87,Formula!H84,9)),IF(INDEX(Properties!A$1:CB$87,Formula!J84,9)&lt;&gt;"",INDEX(Properties!A$1:CB$87,Formula!J84,9)))</f>
        <v>1432.24</v>
      </c>
      <c r="AC84" s="72">
        <f>MAX(INDEX(Properties!A$1:CB$87,Formula!B84,9),INDEX(Properties!A$1:CB$87,Formula!D84,9),INDEX(Properties!A$1:CB$87,Formula!F84,9),INDEX(Properties!A$1:CB$87,Formula!H84,9),INDEX(Properties!A$1:CB$87,Formula!J84,9))</f>
        <v>87</v>
      </c>
      <c r="AD84" s="72">
        <f>MIN(IF(INDEX(Properties!A$1:CB$87,Formula!B84,9)=0,10^6,INDEX(Properties!A$1:CB$87,Formula!B84,9)),IF(INDEX(Properties!A$1:CB$87,Formula!D84,9)=0,10^6,INDEX(Properties!A$1:CB$87,Formula!D84,9)),IF(INDEX(Properties!A$1:CB$87,Formula!F84,9)=0,10^6,INDEX(Properties!A$1:CB$87,Formula!F84,9)),IF(INDEX(Properties!A$1:CB$87,Formula!H84,9)=0,10^6,INDEX(Properties!A$1:CB$87,Formula!H84,9)),IF(INDEX(Properties!A$1:CB$87,Formula!J84,9)=0,10^6,INDEX(Properties!A$1:CB$87,Formula!J84,9)))</f>
        <v>2</v>
      </c>
      <c r="AE84" s="72">
        <f t="shared" si="36"/>
        <v>85</v>
      </c>
      <c r="AF84" s="51">
        <f>((Formula!C84)/(Formula!C84+Formula!E84+Formula!G84+Formula!I84+Formula!K84))*(INDEX(Properties!A$1:CB$87,Formula!B84,10))+((Formula!E84)/(Formula!C84+Formula!E84+Formula!G84+Formula!I84+Formula!K84))*(INDEX(Properties!A$1:CB$87,Formula!D84,10))+((Formula!G84)/(Formula!C84+Formula!E84+Formula!G84+Formula!I84+Formula!K84))*(INDEX(Properties!A$1:CB$87,Formula!F84,10))+((Formula!I84)/(Formula!C84+Formula!E84+Formula!G84+Formula!I84+Formula!K84))*(INDEX(Properties!A$1:CB$87,Formula!H84,10))+((Formula!K84)/(Formula!C84+Formula!E84+Formula!G84+Formula!I84+Formula!K84))*(INDEX(Properties!A$1:CB$87,Formula!J84,10))</f>
        <v>5.2941176470588243</v>
      </c>
      <c r="AG84" s="51">
        <f>Formula!C84*(INDEX(Properties!A$1:CB$87,Formula!B84,10))+Formula!E84*(INDEX(Properties!A$1:CB$87,Formula!D84,10))+Formula!G84*(INDEX(Properties!A$1:CB$87,Formula!F84,10))+Formula!I84*(INDEX(Properties!A$1:CB$87,Formula!H84,10))+Formula!K84*(INDEX(Properties!A$1:CB$87,Formula!J84,10))</f>
        <v>90</v>
      </c>
      <c r="AH84" s="51">
        <f>VARP(IF(INDEX(Properties!A$1:CB$87,Formula!B84,10)&lt;&gt;"",INDEX(Properties!A$1:CB$87,Formula!B84,10)),IF(INDEX(Properties!A$1:CB$87,Formula!D84,10)&lt;&gt;"",INDEX(Properties!A$1:CB$87,Formula!D84,10)),IF(INDEX(Properties!A$1:CB$87,Formula!F84,10)&lt;&gt;"",INDEX(Properties!A$1:CB$87,Formula!F84,10)),IF(INDEX(Properties!A$1:CB$87,Formula!H84,10)&lt;&gt;"",INDEX(Properties!A$1:CB$87,Formula!H84,10)),IF(INDEX(Properties!A$1:CB$87,Formula!J84,10)&lt;&gt;"",INDEX(Properties!A$1:CB$87,Formula!J84,10)))</f>
        <v>7.76</v>
      </c>
      <c r="AI84" s="51">
        <f>MAX(INDEX(Properties!A$1:CB$87,Formula!B84,10),INDEX(Properties!A$1:CB$87,Formula!D84,10),INDEX(Properties!A$1:CB$87,Formula!F84,10),INDEX(Properties!A$1:CB$87,Formula!H84,10),INDEX(Properties!A$1:CB$87,Formula!J84,10))</f>
        <v>7</v>
      </c>
      <c r="AJ84" s="51">
        <f>MIN(IF(INDEX(Properties!A$1:CB$87,Formula!B84,10)=0,10^6,INDEX(Properties!A$1:CB$87,Formula!B84,10)),IF(INDEX(Properties!A$1:CB$87,Formula!D84,10)=0,10^6,INDEX(Properties!A$1:CB$87,Formula!D84,10)),IF(INDEX(Properties!A$1:CB$87,Formula!F84,10)=0,10^6,INDEX(Properties!A$1:CB$87,Formula!F84,10)),IF(INDEX(Properties!A$1:CB$87,Formula!H84,10)=0,10^6,INDEX(Properties!A$1:CB$87,Formula!H84,10)),IF(INDEX(Properties!A$1:CB$87,Formula!J84,10)=0,10^6,INDEX(Properties!A$1:CB$87,Formula!J84,10)))</f>
        <v>1</v>
      </c>
      <c r="AK84" s="51">
        <f t="shared" si="37"/>
        <v>6</v>
      </c>
      <c r="AL84" s="57">
        <f>((Formula!C84)/(Formula!C84+Formula!E84+Formula!G84+Formula!I84+Formula!K84))*(INDEX(Properties!A$1:CB$87,Formula!B84,11))+((Formula!E84)/(Formula!C84+Formula!E84+Formula!G84+Formula!I84+Formula!K84))*(INDEX(Properties!A$1:CB$87,Formula!D84,11))+((Formula!G84)/(Formula!C84+Formula!E84+Formula!G84+Formula!I84+Formula!K84))*(INDEX(Properties!A$1:CB$87,Formula!F84,11))+((Formula!I84)/(Formula!C84+Formula!E84+Formula!G84+Formula!I84+Formula!K84))*(INDEX(Properties!A$1:CB$87,Formula!H84,11))+((Formula!K84)/(Formula!C84+Formula!E84+Formula!G84+Formula!I84+Formula!K84))*(INDEX(Properties!A$1:CB$87,Formula!J84,11))</f>
        <v>1.9411764705882353</v>
      </c>
      <c r="AM84" s="57">
        <f>Formula!C84*(INDEX(Properties!A$1:CB$87,Formula!B84,11))+Formula!E84*(INDEX(Properties!A$1:CB$87,Formula!D84,11))+Formula!G84*(INDEX(Properties!A$1:CB$87,Formula!F84,11))+Formula!I84*(INDEX(Properties!A$1:CB$87,Formula!H84,11))+Formula!K84*(INDEX(Properties!A$1:CB$87,Formula!J84,11))</f>
        <v>33</v>
      </c>
      <c r="AN84" s="57">
        <f>VARP(IF(INDEX(Properties!A$1:CB$87,Formula!B84,11)&lt;&gt;"",INDEX(Properties!A$1:CB$87,Formula!B84,11)),IF(INDEX(Properties!A$1:CB$87,Formula!D84,11)&lt;&gt;"",INDEX(Properties!A$1:CB$87,Formula!D84,11)),IF(INDEX(Properties!A$1:CB$87,Formula!F84,11)&lt;&gt;"",INDEX(Properties!A$1:CB$87,Formula!F84,11)),IF(INDEX(Properties!A$1:CB$87,Formula!H84,11)&lt;&gt;"",INDEX(Properties!A$1:CB$87,Formula!H84,11)),IF(INDEX(Properties!A$1:CB$87,Formula!J84,11)&lt;&gt;"",INDEX(Properties!A$1:CB$87,Formula!J84,11)))</f>
        <v>0.64</v>
      </c>
      <c r="AO84" s="57">
        <f>MAX(INDEX(Properties!A$1:CB$87,Formula!B84,11),INDEX(Properties!A$1:CB$87,Formula!D84,11),INDEX(Properties!A$1:CB$87,Formula!F84,11),INDEX(Properties!A$1:CB$87,Formula!H84,11),INDEX(Properties!A$1:CB$87,Formula!J84,11))</f>
        <v>2</v>
      </c>
      <c r="AP84" s="57">
        <f>MIN(IF(Formula!B84=87,10^6,INDEX(Properties!A$1:CB$87,Formula!B84,11)),IF((Formula!D84)=87,10^6,INDEX(Properties!A$1:CB$87,Formula!D84,11)),IF((Formula!F84)=87,10^6,INDEX(Properties!A$1:CB$87,Formula!F84,11)),IF((Formula!H84)=87,10^6,INDEX(Properties!A$1:CB$87,Formula!H84,11)),IF(Formula!J84=87,10^6,INDEX(Properties!A$1:CB$87,Formula!J84,11)))</f>
        <v>1</v>
      </c>
      <c r="AQ84" s="57">
        <f t="shared" si="38"/>
        <v>1</v>
      </c>
      <c r="AR84" s="78">
        <f>((Formula!C84)/(Formula!C84+Formula!E84+Formula!G84+Formula!I84+Formula!K84))*(INDEX(Properties!A$1:CB$87,Formula!B84,12))+((Formula!E84)/(Formula!C84+Formula!E84+Formula!G84+Formula!I84+Formula!K84))*(INDEX(Properties!A$1:CB$87,Formula!D84,12))+((Formula!G84)/(Formula!C84+Formula!E84+Formula!G84+Formula!I84+Formula!K84))*(INDEX(Properties!A$1:CB$87,Formula!F84,12))+((Formula!I84)/(Formula!C84+Formula!E84+Formula!G84+Formula!I84+Formula!K84))*(INDEX(Properties!A$1:CB$87,Formula!H84,12))+((Formula!K84)/(Formula!C84+Formula!E84+Formula!G84+Formula!I84+Formula!K84))*(INDEX(Properties!A$1:CB$87,Formula!J84,12))</f>
        <v>2.2941176470588234</v>
      </c>
      <c r="AS84" s="78">
        <f>Formula!C84*(INDEX(Properties!A$1:CB$87,Formula!B84,12))+Formula!E84*(INDEX(Properties!A$1:CB$87,Formula!D84,12))+Formula!G84*(INDEX(Properties!A$1:CB$87,Formula!F84,12))+Formula!I84*(INDEX(Properties!A$1:CB$87,Formula!H84,12))+Formula!K84*(INDEX(Properties!A$1:CB$87,Formula!J84,12))</f>
        <v>39</v>
      </c>
      <c r="AT84" s="78">
        <f>VARP(IF(INDEX(Properties!A$1:CB$87,Formula!B84,12)&lt;&gt;"",INDEX(Properties!A$1:CB$87,Formula!B84,12)),IF(INDEX(Properties!A$1:CB$87,Formula!D84,12)&lt;&gt;"",INDEX(Properties!A$1:CB$87,Formula!D84,12)),IF(INDEX(Properties!A$1:CB$87,Formula!F84,12)&lt;&gt;"",INDEX(Properties!A$1:CB$87,Formula!F84,12)),IF(INDEX(Properties!A$1:CB$87,Formula!H84,12)&lt;&gt;"",INDEX(Properties!A$1:CB$87,Formula!H84,12)),IF(INDEX(Properties!A$1:CB$87,Formula!J84,12)&lt;&gt;"",INDEX(Properties!A$1:CB$87,Formula!J84,12)))</f>
        <v>2.4</v>
      </c>
      <c r="AU84" s="78">
        <f>MAX(INDEX(Properties!A$1:CB$87,Formula!B84,12),INDEX(Properties!A$1:CB$87,Formula!D84,12),INDEX(Properties!A$1:CB$87,Formula!F84,12),INDEX(Properties!A$1:CB$87,Formula!H84,12),INDEX(Properties!A$1:CB$87,Formula!J84,12))</f>
        <v>4</v>
      </c>
      <c r="AV84" s="78">
        <f>MIN(IF(Formula!B84=87,10^6,INDEX(Properties!A$1:CB$87,Formula!B84,12)),IF((Formula!D84)=87,10^6,INDEX(Properties!A$1:CB$87,Formula!D84,12)),IF((Formula!F84)=87,10^6,INDEX(Properties!A$1:CB$87,Formula!F84,12)),IF((Formula!H84)=87,10^6,INDEX(Properties!A$1:CB$87,Formula!H84,12)),IF(Formula!J84=87,10^6,INDEX(Properties!A$1:CB$87,Formula!J84,12)))</f>
        <v>0</v>
      </c>
      <c r="AW84" s="78">
        <f t="shared" si="39"/>
        <v>4</v>
      </c>
      <c r="AX84" s="45">
        <f>((Formula!C84)/(Formula!C84+Formula!E84+Formula!G84+Formula!I84+Formula!K84))*(INDEX(Properties!A$1:CB$87,Formula!B84,13))+((Formula!E84)/(Formula!C84+Formula!E84+Formula!G84+Formula!I84+Formula!K84))*(INDEX(Properties!A$1:CB$87,Formula!D84,13))+((Formula!G84)/(Formula!C84+Formula!E84+Formula!G84+Formula!I84+Formula!K84))*(INDEX(Properties!A$1:CB$87,Formula!F84,13))+((Formula!I84)/(Formula!C84+Formula!E84+Formula!G84+Formula!I84+Formula!K84))*(INDEX(Properties!A$1:CB$87,Formula!H84,13))+((Formula!K84)/(Formula!C84+Formula!E84+Formula!G84+Formula!I84+Formula!K84))*(INDEX(Properties!A$1:CB$87,Formula!J84,13))</f>
        <v>0</v>
      </c>
      <c r="AY84" s="45">
        <f>Formula!C84*(INDEX(Properties!A$1:CB$87,Formula!B84,13))+Formula!E84*(INDEX(Properties!A$1:CB$87,Formula!D84,13))+Formula!G84*(INDEX(Properties!A$1:CB$87,Formula!F84,13))+Formula!I84*(INDEX(Properties!A$1:CB$87,Formula!H84,13))+Formula!K84*(INDEX(Properties!A$1:CB$87,Formula!J84,13))</f>
        <v>0</v>
      </c>
      <c r="AZ84" s="45">
        <f>VARP(IF(INDEX(Properties!A$1:CB$87,Formula!B84,13)&lt;&gt;"",INDEX(Properties!A$1:CB$87,Formula!B84,13)),IF(INDEX(Properties!A$1:CB$87,Formula!D84,13)&lt;&gt;"",INDEX(Properties!A$1:CB$87,Formula!D84,13)),IF(INDEX(Properties!A$1:CB$87,Formula!F84,13)&lt;&gt;"",INDEX(Properties!A$1:CB$87,Formula!F84,13)),IF(INDEX(Properties!A$1:CB$87,Formula!H84,13)&lt;&gt;"",INDEX(Properties!A$1:CB$87,Formula!H84,13)),IF(INDEX(Properties!A$1:CB$87,Formula!J84,13)&lt;&gt;"",INDEX(Properties!A$1:CB$87,Formula!J84,13)))</f>
        <v>0</v>
      </c>
      <c r="BA84" s="45">
        <f>MAX(INDEX(Properties!A$1:CB$87,Formula!B84,13),INDEX(Properties!A$1:CB$87,Formula!D84,13),INDEX(Properties!A$1:CB$87,Formula!F84,13),INDEX(Properties!A$1:CB$87,Formula!H84,13),INDEX(Properties!A$1:CB$87,Formula!J84,13))</f>
        <v>0</v>
      </c>
      <c r="BB84" s="45">
        <f>MIN(IF(Formula!B84=87,10^6,INDEX(Properties!A$1:CB$87,Formula!B84,13)),IF((Formula!D84)=87,10^6,INDEX(Properties!A$1:CB$87,Formula!D84,13)),IF((Formula!F84)=87,10^6,INDEX(Properties!A$1:CB$87,Formula!F84,13)),IF((Formula!H84)=87,10^6,INDEX(Properties!A$1:CB$87,Formula!H84,13)),IF(Formula!J84=87,10^6,INDEX(Properties!A$1:CB$87,Formula!J84,13)))</f>
        <v>0</v>
      </c>
      <c r="BC84" s="45">
        <f t="shared" si="40"/>
        <v>0</v>
      </c>
      <c r="BD84" s="63">
        <f>((Formula!C84)/(Formula!C84+Formula!E84+Formula!G84+Formula!I84+Formula!K84))*(INDEX(Properties!A$1:CB$87,Formula!B84,14))+((Formula!E84)/(Formula!C84+Formula!E84+Formula!G84+Formula!I84+Formula!K84))*(INDEX(Properties!A$1:CB$87,Formula!D84,14))+((Formula!G84)/(Formula!C84+Formula!E84+Formula!G84+Formula!I84+Formula!K84))*(INDEX(Properties!A$1:CB$87,Formula!F84,14))+((Formula!I84)/(Formula!C84+Formula!E84+Formula!G84+Formula!I84+Formula!K84))*(INDEX(Properties!A$1:CB$87,Formula!H84,14))+((Formula!K84)/(Formula!C84+Formula!E84+Formula!G84+Formula!I84+Formula!K84))*(INDEX(Properties!A$1:CB$87,Formula!J84,14))</f>
        <v>0</v>
      </c>
      <c r="BE84" s="63">
        <f>Formula!C84*(INDEX(Properties!A$1:CB$87,Formula!B84,14))+Formula!E84*(INDEX(Properties!A$1:CB$87,Formula!D84,14))+Formula!G84*(INDEX(Properties!A$1:CB$87,Formula!F84,14))+Formula!I84*(INDEX(Properties!A$1:CB$87,Formula!H84,14))+Formula!K84*(INDEX(Properties!A$1:CB$87,Formula!J84,14))</f>
        <v>0</v>
      </c>
      <c r="BF84" s="63">
        <f>VARP(IF(INDEX(Properties!A$1:CB$87,Formula!B84,14)&lt;&gt;"",INDEX(Properties!A$1:CB$87,Formula!B84,14)),IF(INDEX(Properties!A$1:CB$87,Formula!D84,14)&lt;&gt;"",INDEX(Properties!A$1:CB$87,Formula!D84,14)),IF(INDEX(Properties!A$1:CB$87,Formula!F84,14)&lt;&gt;"",INDEX(Properties!A$1:CB$87,Formula!F84,14)),IF(INDEX(Properties!A$1:CB$87,Formula!H84,14)&lt;&gt;"",INDEX(Properties!A$1:CB$87,Formula!H84,14)),IF(INDEX(Properties!A$1:CB$87,Formula!J84,14)&lt;&gt;"",INDEX(Properties!A$1:CB$87,Formula!J84,14)))</f>
        <v>0</v>
      </c>
      <c r="BG84" s="63">
        <f>MAX(INDEX(Properties!A$1:CB$87,Formula!B84,14),INDEX(Properties!A$1:CB$87,Formula!D84,14),INDEX(Properties!A$1:CB$87,Formula!F84,14),INDEX(Properties!A$1:CB$87,Formula!H84,14),INDEX(Properties!A$1:CB$87,Formula!J84,14))</f>
        <v>0</v>
      </c>
      <c r="BH84" s="63">
        <f>MIN(IF(Formula!B84=87,10^6,INDEX(Properties!A$1:CB$87,Formula!B84,14)),IF((Formula!D84)=87,10^6,INDEX(Properties!A$1:CB$87,Formula!D84,14)),IF((Formula!F84)=87,10^6,INDEX(Properties!A$1:CB$87,Formula!F84,14)),IF((Formula!H84)=87,10^6,INDEX(Properties!A$1:CB$87,Formula!H84,14)),IF(Formula!J84=87,10^6,INDEX(Properties!A$1:CB$87,Formula!J84,14)))</f>
        <v>0</v>
      </c>
      <c r="BI84" s="63">
        <f t="shared" si="41"/>
        <v>0</v>
      </c>
      <c r="BJ84" s="75">
        <f>((Formula!C84)/(Formula!C84+Formula!E84+Formula!G84+Formula!I84+Formula!K84))*(INDEX(Properties!A$1:CB$87,Formula!B84,19))+((Formula!E84)/(Formula!C84+Formula!E84+Formula!G84+Formula!I84+Formula!K84))*(INDEX(Properties!A$1:CB$87,Formula!D84,19))+((Formula!G84)/(Formula!C84+Formula!E84+Formula!G84+Formula!I84+Formula!K84))*(INDEX(Properties!A$1:CB$87,Formula!F84,19))+((Formula!I84)/(Formula!C84+Formula!E84+Formula!G84+Formula!I84+Formula!K84))*(INDEX(Properties!A$1:CB$87,Formula!H84,19))+((Formula!K84)/(Formula!C84+Formula!E84+Formula!G84+Formula!I84+Formula!K84))*(INDEX(Properties!A$1:CB$87,Formula!J84,19))</f>
        <v>4.2352941176470589</v>
      </c>
      <c r="BK84" s="75">
        <f>Formula!C84*(INDEX(Properties!A$1:CB$87,Formula!B84,19))+Formula!E84*(INDEX(Properties!A$1:CB$87,Formula!D84,19))+Formula!G84*(INDEX(Properties!A$1:CB$87,Formula!F84,19))+Formula!I84*(INDEX(Properties!A$1:CB$87,Formula!H84,19))+Formula!K84*(INDEX(Properties!A$1:CB$87,Formula!J84,19))</f>
        <v>72</v>
      </c>
      <c r="BL84" s="75">
        <f>VARP(IF(INDEX(Properties!A$1:CB$87,Formula!B84,19)&lt;&gt;"",INDEX(Properties!A$1:CB$87,Formula!B84,19)),IF(INDEX(Properties!A$1:CB$87,Formula!D84,19)&lt;&gt;"",INDEX(Properties!A$1:CB$87,Formula!D84,19)),IF(INDEX(Properties!A$1:CB$87,Formula!F84,19)&lt;&gt;"",INDEX(Properties!A$1:CB$87,Formula!F84,19)),IF(INDEX(Properties!A$1:CB$87,Formula!H84,19)&lt;&gt;"",INDEX(Properties!A$1:CB$87,Formula!H84,19)),IF(INDEX(Properties!A$1:CB$87,Formula!J84,19)&lt;&gt;"",INDEX(Properties!A$1:CB$87,Formula!J84,19)))</f>
        <v>4.24</v>
      </c>
      <c r="BM84" s="75">
        <f>MAX(INDEX(Properties!A$1:CB$87,Formula!B84,19),INDEX(Properties!A$1:CB$87,Formula!D84,19),INDEX(Properties!A$1:CB$87,Formula!F84,19),INDEX(Properties!A$1:CB$87,Formula!H84,19),INDEX(Properties!A$1:CB$87,Formula!J84,19))</f>
        <v>6</v>
      </c>
      <c r="BN84" s="75">
        <f>MIN(IF(INDEX(Properties!A$1:CB$87,Formula!B84,19)=0,10^6,INDEX(Properties!A$1:CB$87,Formula!B84,19)),IF(INDEX(Properties!A$1:CB$87,Formula!D84,19)=0,10^6,INDEX(Properties!A$1:CB$87,Formula!D84,19)),IF(INDEX(Properties!A$1:CB$87,Formula!F84,19)=0,10^6,INDEX(Properties!A$1:CB$87,Formula!F84,19)),IF(INDEX(Properties!A$1:CB$87,Formula!H84,19)=0,10^6,INDEX(Properties!A$1:CB$87,Formula!H84,19)),IF(INDEX(Properties!A$1:CB$87,Formula!J84,19)=0,10^6,INDEX(Properties!A$1:CB$87,Formula!J84,19)))</f>
        <v>1</v>
      </c>
      <c r="BO84" s="75">
        <f t="shared" si="42"/>
        <v>5</v>
      </c>
      <c r="BP84" s="48">
        <f>((Formula!C84)/(Formula!C84+Formula!E84+Formula!G84+Formula!I84+Formula!K84))*(INDEX(Properties!A$1:CB$87,Formula!B84,20))+((Formula!E84)/(Formula!C84+Formula!E84+Formula!G84+Formula!I84+Formula!K84))*(INDEX(Properties!A$1:CB$87,Formula!D84,20))+((Formula!G84)/(Formula!C84+Formula!E84+Formula!G84+Formula!I84+Formula!K84))*(INDEX(Properties!A$1:CB$87,Formula!F84,20))+((Formula!I84)/(Formula!C84+Formula!E84+Formula!G84+Formula!I84+Formula!K84))*(INDEX(Properties!A$1:CB$87,Formula!H84,20))+((Formula!K84)/(Formula!C84+Formula!E84+Formula!G84+Formula!I84+Formula!K84))*(INDEX(Properties!A$1:CB$87,Formula!J84,20))</f>
        <v>4.2352941176470589</v>
      </c>
      <c r="BQ84" s="48">
        <f>Formula!C84*(INDEX(Properties!A$1:CB$87,Formula!B84,20))+Formula!E84*(INDEX(Properties!A$1:CB$87,Formula!D84,20))+Formula!G84*(INDEX(Properties!A$1:CB$87,Formula!F84,20))+Formula!I84*(INDEX(Properties!A$1:CB$87,Formula!H84,20))+Formula!K84*(INDEX(Properties!A$1:CB$87,Formula!J84,20))</f>
        <v>72</v>
      </c>
      <c r="BR84" s="48">
        <f>VARP(IF(INDEX(Properties!A$1:CB$87,Formula!B84,20)&lt;&gt;"",INDEX(Properties!A$1:CB$87,Formula!B84,20)),IF(INDEX(Properties!A$1:CB$87,Formula!D84,20)&lt;&gt;"",INDEX(Properties!A$1:CB$87,Formula!D84,20)),IF(INDEX(Properties!A$1:CB$87,Formula!F84,20)&lt;&gt;"",INDEX(Properties!A$1:CB$87,Formula!F84,20)),IF(INDEX(Properties!A$1:CB$87,Formula!H84,20)&lt;&gt;"",INDEX(Properties!A$1:CB$87,Formula!H84,20)),IF(INDEX(Properties!A$1:CB$87,Formula!J84,20)&lt;&gt;"",INDEX(Properties!A$1:CB$87,Formula!J84,20)))</f>
        <v>4.24</v>
      </c>
      <c r="BS84" s="48">
        <f>MAX(INDEX(Properties!A$1:CB$87,Formula!B84,20),INDEX(Properties!A$1:CB$87,Formula!D84,20),INDEX(Properties!A$1:CB$87,Formula!F84,20),INDEX(Properties!A$1:CB$87,Formula!H84,20),INDEX(Properties!A$1:CB$87,Formula!J84,20))</f>
        <v>6</v>
      </c>
      <c r="BT84" s="48">
        <f>MIN(IF(INDEX(Properties!A$1:CB$87,Formula!B84,20)=0,10^6,INDEX(Properties!A$1:CB$87,Formula!B84,20)),IF(INDEX(Properties!A$1:CB$87,Formula!D84,20)=0,10^6,INDEX(Properties!A$1:CB$87,Formula!D84,20)),IF(INDEX(Properties!A$1:CB$87,Formula!F84,20)=0,10^6,INDEX(Properties!A$1:CB$87,Formula!F84,20)),IF(INDEX(Properties!A$1:CB$87,Formula!H84,20)=0,10^6,INDEX(Properties!A$1:CB$87,Formula!H84,20)),IF(INDEX(Properties!A$1:CB$87,Formula!J84,20)=0,10^6,INDEX(Properties!A$1:CB$87,Formula!J84,20)))</f>
        <v>1</v>
      </c>
      <c r="BU84" s="48">
        <f t="shared" si="43"/>
        <v>5</v>
      </c>
      <c r="BV84" s="66">
        <f>((Formula!C84)/(Formula!C84+Formula!E84+Formula!G84+Formula!I84+Formula!K84))*(INDEX(Properties!A$1:CB$87,Formula!B84,21))+((Formula!E84)/(Formula!C84+Formula!E84+Formula!G84+Formula!I84+Formula!K84))*(INDEX(Properties!A$1:CB$87,Formula!D84,21))+((Formula!G84)/(Formula!C84+Formula!E84+Formula!G84+Formula!I84+Formula!K84))*(INDEX(Properties!A$1:CB$87,Formula!F84,21))+((Formula!I84)/(Formula!C84+Formula!E84+Formula!G84+Formula!I84+Formula!K84))*(INDEX(Properties!A$1:CB$87,Formula!H84,21))+((Formula!K84)/(Formula!C84+Formula!E84+Formula!G84+Formula!I84+Formula!K84))*(INDEX(Properties!A$1:CB$87,Formula!J84,21))</f>
        <v>4.2352941176470589</v>
      </c>
      <c r="BW84" s="66">
        <f>Formula!C84*(INDEX(Properties!A$1:CB$87,Formula!B84,21))+Formula!E84*(INDEX(Properties!A$1:CB$87,Formula!D84,21))+Formula!G84*(INDEX(Properties!A$1:CB$87,Formula!F84,21))+Formula!I84*(INDEX(Properties!A$1:CB$87,Formula!H84,21))+Formula!K84*(INDEX(Properties!A$1:CB$87,Formula!J84,21))</f>
        <v>72</v>
      </c>
      <c r="BX84" s="66">
        <f>VARP(IF(INDEX(Properties!A$1:CB$87,Formula!B84,21)&lt;&gt;"",INDEX(Properties!A$1:CB$87,Formula!B84,21)),IF(INDEX(Properties!A$1:CB$87,Formula!D84,21)&lt;&gt;"",INDEX(Properties!A$1:CB$87,Formula!D84,21)),IF(INDEX(Properties!A$1:CB$87,Formula!F84,21)&lt;&gt;"",INDEX(Properties!A$1:CB$87,Formula!F84,21)),IF(INDEX(Properties!A$1:CB$87,Formula!H84,21)&lt;&gt;"",INDEX(Properties!A$1:CB$87,Formula!H84,21)),IF(INDEX(Properties!A$1:CB$87,Formula!J84,21)&lt;&gt;"",INDEX(Properties!A$1:CB$87,Formula!J84,21)))</f>
        <v>4.24</v>
      </c>
      <c r="BY84" s="66">
        <f>MAX(INDEX(Properties!A$1:CB$87,Formula!B84,21),INDEX(Properties!A$1:CB$87,Formula!D84,21),INDEX(Properties!A$1:CB$87,Formula!F84,21),INDEX(Properties!A$1:CB$87,Formula!H84,21),INDEX(Properties!A$1:CB$87,Formula!J84,21))</f>
        <v>6</v>
      </c>
      <c r="BZ84" s="66">
        <f>MIN(IF(INDEX(Properties!A$1:CB$87,Formula!B84,21)=0,10^6,INDEX(Properties!A$1:CB$87,Formula!B84,21)),IF(INDEX(Properties!A$1:CB$87,Formula!D84,21)=0,10^6,INDEX(Properties!A$1:CB$87,Formula!D84,21)),IF(INDEX(Properties!A$1:CB$87,Formula!F84,21)=0,10^6,INDEX(Properties!A$1:CB$87,Formula!F84,21)),IF(INDEX(Properties!A$1:CB$87,Formula!H84,21)=0,10^6,INDEX(Properties!A$1:CB$87,Formula!H84,21)),IF(INDEX(Properties!A$1:CB$87,Formula!J84,21)=0,10^6,INDEX(Properties!A$1:CB$87,Formula!J84,21)))</f>
        <v>1</v>
      </c>
      <c r="CA84" s="66">
        <f t="shared" si="44"/>
        <v>5</v>
      </c>
      <c r="CB84" s="81">
        <f>((Formula!C84)/(Formula!C84+Formula!E84+Formula!G84+Formula!I84+Formula!K84))*(INDEX(Properties!A$1:CB$87,Formula!B84,23))+((Formula!E84)/(Formula!C84+Formula!E84+Formula!G84+Formula!I84+Formula!K84))*(INDEX(Properties!A$1:CB$87,Formula!D84,23))+((Formula!G84)/(Formula!C84+Formula!E84+Formula!G84+Formula!I84+Formula!K84))*(INDEX(Properties!A$1:CB$87,Formula!F84,23))+((Formula!I84)/(Formula!C84+Formula!E84+Formula!G84+Formula!I84+Formula!K84))*(INDEX(Properties!A$1:CB$87,Formula!H84,23))+((Formula!K84)/(Formula!C84+Formula!E84+Formula!G84+Formula!I84+Formula!K84))*(INDEX(Properties!A$1:CB$87,Formula!J84,23))</f>
        <v>1.0588235294117647</v>
      </c>
      <c r="CC84" s="81">
        <f>Formula!C84*(INDEX(Properties!A$1:CB$87,Formula!B84,23))+Formula!E84*(INDEX(Properties!A$1:CB$87,Formula!D84,23))+Formula!G84*(INDEX(Properties!A$1:CB$87,Formula!F84,23))+Formula!I84*(INDEX(Properties!A$1:CB$87,Formula!H84,23))+Formula!K84*(INDEX(Properties!A$1:CB$87,Formula!J84,23))</f>
        <v>18</v>
      </c>
      <c r="CD84" s="81">
        <f>VARP(IF(INDEX(Properties!A$1:CB$87,Formula!B84,23)&lt;&gt;"",INDEX(Properties!A$1:CB$87,Formula!B84,23)),IF(INDEX(Properties!A$1:CB$87,Formula!D84,23)&lt;&gt;"",INDEX(Properties!A$1:CB$87,Formula!D84,23)),IF(INDEX(Properties!A$1:CB$87,Formula!F84,23)&lt;&gt;"",INDEX(Properties!A$1:CB$87,Formula!F84,23)),IF(INDEX(Properties!A$1:CB$87,Formula!H84,23)&lt;&gt;"",INDEX(Properties!A$1:CB$87,Formula!H84,23)),IF(INDEX(Properties!A$1:CB$87,Formula!J84,23)&lt;&gt;"",INDEX(Properties!A$1:CB$87,Formula!J84,23)))</f>
        <v>1.36</v>
      </c>
      <c r="CE84" s="81">
        <f>MAX(INDEX(Properties!A$1:CB$87,Formula!B84,23),INDEX(Properties!A$1:CB$87,Formula!D84,23),INDEX(Properties!A$1:CB$87,Formula!F84,23),INDEX(Properties!A$1:CB$87,Formula!H84,23),INDEX(Properties!A$1:CB$87,Formula!J84,23))</f>
        <v>3</v>
      </c>
      <c r="CF84" s="81">
        <f>MIN(IF(Formula!B84=87,10^6,INDEX(Properties!A$1:CB$87,Formula!B84,23)),IF((Formula!D84)=87,10^6,INDEX(Properties!A$1:CB$87,Formula!D84,23)),IF((Formula!F84)=87,10^6,INDEX(Properties!A$1:CB$87,Formula!F84,23)),IF((Formula!H84)=87,10^6,INDEX(Properties!A$1:CB$87,Formula!H84,23)),IF(Formula!J84=87,10^6,INDEX(Properties!A$1:CB$87,Formula!J84,23)))</f>
        <v>0</v>
      </c>
      <c r="CG84" s="81">
        <f t="shared" si="45"/>
        <v>3</v>
      </c>
      <c r="CH84" s="39">
        <f>((Formula!C84)/(Formula!C84+Formula!E84+Formula!G84+Formula!I84+Formula!K84))*(INDEX(Properties!A$1:CB$87,Formula!B84,26))+((Formula!E84)/(Formula!C84+Formula!E84+Formula!G84+Formula!I84+Formula!K84))*(INDEX(Properties!A$1:CB$87,Formula!D84,26))+((Formula!G84)/(Formula!C84+Formula!E84+Formula!G84+Formula!I84+Formula!K84))*(INDEX(Properties!A$1:CB$87,Formula!F84,26))+((Formula!I84)/(Formula!C84+Formula!E84+Formula!G84+Formula!I84+Formula!K84))*(INDEX(Properties!A$1:CB$87,Formula!H84,26))+((Formula!K84)/(Formula!C84+Formula!E84+Formula!G84+Formula!I84+Formula!K84))*(INDEX(Properties!A$1:CB$87,Formula!J84,26))</f>
        <v>10.414635294117648</v>
      </c>
      <c r="CI84" s="39">
        <f>Formula!C84*(INDEX(Properties!A$1:CB$87,Formula!B84,26))+Formula!E84*(INDEX(Properties!A$1:CB$87,Formula!D84,26))+Formula!G84*(INDEX(Properties!A$1:CB$87,Formula!F84,26))+Formula!I84*(INDEX(Properties!A$1:CB$87,Formula!H84,26))+Formula!K84*(INDEX(Properties!A$1:CB$87,Formula!J84,26))</f>
        <v>177.0488</v>
      </c>
      <c r="CJ84" s="39">
        <f>VARP(IF(INDEX(Properties!A$1:CB$87,Formula!B84,26)&lt;&gt;"",INDEX(Properties!A$1:CB$87,Formula!B84,26)),IF(INDEX(Properties!A$1:CB$87,Formula!D84,26)&lt;&gt;"",INDEX(Properties!A$1:CB$87,Formula!D84,26)),IF(INDEX(Properties!A$1:CB$87,Formula!F84,26)&lt;&gt;"",INDEX(Properties!A$1:CB$87,Formula!F84,26)),IF(INDEX(Properties!A$1:CB$87,Formula!H84,26)&lt;&gt;"",INDEX(Properties!A$1:CB$87,Formula!H84,26)),IF(INDEX(Properties!A$1:CB$87,Formula!J84,26)&lt;&gt;"",INDEX(Properties!A$1:CB$87,Formula!J84,26)))</f>
        <v>19.612492589600006</v>
      </c>
      <c r="CK84" s="39">
        <f>MAX(INDEX(Properties!A$1:CB$87,Formula!B84,26),INDEX(Properties!A$1:CB$87,Formula!D84,26),INDEX(Properties!A$1:CB$87,Formula!F84,26),INDEX(Properties!A$1:CB$87,Formula!H84,26),INDEX(Properties!A$1:CB$87,Formula!J84,26))</f>
        <v>13.6181</v>
      </c>
      <c r="CL84" s="39">
        <f>MIN(IF(INDEX(Properties!A$1:CB$87,Formula!B84,26)=0,10^6,INDEX(Properties!A$1:CB$87,Formula!B84,26)),IF(INDEX(Properties!A$1:CB$87,Formula!D84,26)=0,10^6,INDEX(Properties!A$1:CB$87,Formula!D84,26)),IF(INDEX(Properties!A$1:CB$87,Formula!F84,26)=0,10^6,INDEX(Properties!A$1:CB$87,Formula!F84,26)),IF(INDEX(Properties!A$1:CB$87,Formula!H84,26)=0,10^6,INDEX(Properties!A$1:CB$87,Formula!H84,26)),IF(INDEX(Properties!A$1:CB$87,Formula!J84,26)=0,10^6,INDEX(Properties!A$1:CB$87,Formula!J84,26)))</f>
        <v>5.1391</v>
      </c>
      <c r="CM84" s="39">
        <f t="shared" si="46"/>
        <v>8.4789999999999992</v>
      </c>
      <c r="CN84" s="54">
        <f>((Formula!C84)/(Formula!C84+Formula!E84+Formula!G84+Formula!I84+Formula!K84))*(INDEX(Properties!A$1:CB$87,Formula!B84,30))+((Formula!E84)/(Formula!C84+Formula!E84+Formula!G84+Formula!I84+Formula!K84))*(INDEX(Properties!A$1:CB$87,Formula!D84,30))+((Formula!G84)/(Formula!C84+Formula!E84+Formula!G84+Formula!I84+Formula!K84))*(INDEX(Properties!A$1:CB$87,Formula!F84,30))+((Formula!I84)/(Formula!C84+Formula!E84+Formula!G84+Formula!I84+Formula!K84))*(INDEX(Properties!A$1:CB$87,Formula!H84,30))+((Formula!K84)/(Formula!C84+Formula!E84+Formula!G84+Formula!I84+Formula!K84))*(INDEX(Properties!A$1:CB$87,Formula!J84,30))</f>
        <v>2.4711764705882353</v>
      </c>
      <c r="CO84" s="54">
        <f>Formula!C84*(INDEX(Properties!A$1:CB$87,Formula!B84,30))+Formula!E84*(INDEX(Properties!A$1:CB$87,Formula!D84,30))+Formula!G84*(INDEX(Properties!A$1:CB$87,Formula!F84,30))+Formula!I84*(INDEX(Properties!A$1:CB$87,Formula!H84,30))+Formula!K84*(INDEX(Properties!A$1:CB$87,Formula!J84,30))</f>
        <v>42.010000000000005</v>
      </c>
      <c r="CP84" s="54">
        <f>VARP(IF(INDEX(Properties!A$1:CB$87,Formula!B84,30)&lt;&gt;"",INDEX(Properties!A$1:CB$87,Formula!B84,30)),IF(INDEX(Properties!A$1:CB$87,Formula!D84,30)&lt;&gt;"",INDEX(Properties!A$1:CB$87,Formula!D84,30)),IF(INDEX(Properties!A$1:CB$87,Formula!F84,30)&lt;&gt;"",INDEX(Properties!A$1:CB$87,Formula!F84,30)),IF(INDEX(Properties!A$1:CB$87,Formula!H84,30)&lt;&gt;"",INDEX(Properties!A$1:CB$87,Formula!H84,30)),IF(INDEX(Properties!A$1:CB$87,Formula!J84,30)&lt;&gt;"",INDEX(Properties!A$1:CB$87,Formula!J84,30)))</f>
        <v>1.3756959999999998</v>
      </c>
      <c r="CQ84" s="54">
        <f>MAX(INDEX(Properties!A$1:CB$87,Formula!B84,30),INDEX(Properties!A$1:CB$87,Formula!D84,30),INDEX(Properties!A$1:CB$87,Formula!F84,30),INDEX(Properties!A$1:CB$87,Formula!H84,30),INDEX(Properties!A$1:CB$87,Formula!J84,30))</f>
        <v>3.44</v>
      </c>
      <c r="CR84" s="54">
        <f>MIN(IF(INDEX(Properties!A$1:CB$87,Formula!B84,30)=0,10^6,INDEX(Properties!A$1:CB$87,Formula!B84,30)),IF(INDEX(Properties!A$1:CB$87,Formula!D84,30)=0,10^6,INDEX(Properties!A$1:CB$87,Formula!D84,30)),IF(INDEX(Properties!A$1:CB$87,Formula!F84,30)=0,10^6,INDEX(Properties!A$1:CB$87,Formula!F84,30)),IF(INDEX(Properties!A$1:CB$87,Formula!H84,30)=0,10^6,INDEX(Properties!A$1:CB$87,Formula!H84,30)),IF(INDEX(Properties!A$1:CB$87,Formula!J84,30)=0,10^6,INDEX(Properties!A$1:CB$87,Formula!J84,30)))</f>
        <v>0.93</v>
      </c>
      <c r="CS84" s="54">
        <f t="shared" si="47"/>
        <v>2.5099999999999998</v>
      </c>
      <c r="CT84" s="69">
        <f>((Formula!C84)/(Formula!C84+Formula!E84+Formula!G84+Formula!I84+Formula!K84))*(INDEX(Properties!A$1:CB$87,Formula!B84,31))+((Formula!E84)/(Formula!C84+Formula!E84+Formula!G84+Formula!I84+Formula!K84))*(INDEX(Properties!A$1:CB$87,Formula!D84,31))+((Formula!G84)/(Formula!C84+Formula!E84+Formula!G84+Formula!I84+Formula!K84))*(INDEX(Properties!A$1:CB$87,Formula!F84,31))+((Formula!I84)/(Formula!C84+Formula!E84+Formula!G84+Formula!I84+Formula!K84))*(INDEX(Properties!A$1:CB$87,Formula!H84,31))+((Formula!K84)/(Formula!C84+Formula!E84+Formula!G84+Formula!I84+Formula!K84))*(INDEX(Properties!A$1:CB$87,Formula!J84,31))</f>
        <v>2.4205882352941175</v>
      </c>
      <c r="CU84" s="69">
        <f>Formula!C84*(INDEX(Properties!A$1:CB$87,Formula!B84,31))+Formula!E84*(INDEX(Properties!A$1:CB$87,Formula!D84,31))+Formula!G84*(INDEX(Properties!A$1:CB$87,Formula!F84,31))+Formula!I84*(INDEX(Properties!A$1:CB$87,Formula!H84,31))+Formula!K84*(INDEX(Properties!A$1:CB$87,Formula!J84,31))</f>
        <v>41.15</v>
      </c>
      <c r="CV84" s="69">
        <f>VARP(IF(INDEX(Properties!A$1:CB$87,Formula!B84,31)&lt;&gt;"",INDEX(Properties!A$1:CB$87,Formula!B84,31)),IF(INDEX(Properties!A$1:CB$87,Formula!D84,31)&lt;&gt;"",INDEX(Properties!A$1:CB$87,Formula!D84,31)),IF(INDEX(Properties!A$1:CB$87,Formula!F84,31)&lt;&gt;"",INDEX(Properties!A$1:CB$87,Formula!F84,31)),IF(INDEX(Properties!A$1:CB$87,Formula!H84,31)&lt;&gt;"",INDEX(Properties!A$1:CB$87,Formula!H84,31)),IF(INDEX(Properties!A$1:CB$87,Formula!J84,31)&lt;&gt;"",INDEX(Properties!A$1:CB$87,Formula!J84,31)))</f>
        <v>1.2387439999999998</v>
      </c>
      <c r="CW84" s="69">
        <f>MAX(INDEX(Properties!A$1:CB$87,Formula!B84,31),INDEX(Properties!A$1:CB$87,Formula!D84,31),INDEX(Properties!A$1:CB$87,Formula!F84,31),INDEX(Properties!A$1:CB$87,Formula!H84,31),INDEX(Properties!A$1:CB$87,Formula!J84,31))</f>
        <v>3.32</v>
      </c>
      <c r="CX84" s="69">
        <f>MIN(IF(INDEX(Properties!A$1:CB$87,Formula!B84,31)=0,10^6,INDEX(Properties!A$1:CB$87,Formula!B84,31)),IF(INDEX(Properties!A$1:CB$87,Formula!D84,31)=0,10^6,INDEX(Properties!A$1:CB$87,Formula!D84,31)),IF(INDEX(Properties!A$1:CB$87,Formula!F84,31)=0,10^6,INDEX(Properties!A$1:CB$87,Formula!F84,31)),IF(INDEX(Properties!A$1:CB$87,Formula!H84,31)=0,10^6,INDEX(Properties!A$1:CB$87,Formula!H84,31)),IF(INDEX(Properties!A$1:CB$87,Formula!J84,31)=0,10^6,INDEX(Properties!A$1:CB$87,Formula!J84,31)))</f>
        <v>0.89</v>
      </c>
      <c r="CY84" s="69">
        <f t="shared" si="48"/>
        <v>2.4299999999999997</v>
      </c>
      <c r="CZ84" s="42">
        <f>((Formula!C84)/(Formula!C84+Formula!E84+Formula!G84+Formula!I84+Formula!K84))*(INDEX(Properties!A$1:CB$87,Formula!B84,32))+((Formula!E84)/(Formula!C84+Formula!E84+Formula!G84+Formula!I84+Formula!K84))*(INDEX(Properties!A$1:CB$87,Formula!D84,32))+((Formula!G84)/(Formula!C84+Formula!E84+Formula!G84+Formula!I84+Formula!K84))*(INDEX(Properties!A$1:CB$87,Formula!F84,32))+((Formula!I84)/(Formula!C84+Formula!E84+Formula!G84+Formula!I84+Formula!K84))*(INDEX(Properties!A$1:CB$87,Formula!H84,32))+((Formula!K84)/(Formula!C84+Formula!E84+Formula!G84+Formula!I84+Formula!K84))*(INDEX(Properties!A$1:CB$87,Formula!J84,32))</f>
        <v>5.4341176470588231</v>
      </c>
      <c r="DA84" s="42">
        <f>Formula!C84*(INDEX(Properties!A$1:CB$87,Formula!B84,32))+Formula!E84*(INDEX(Properties!A$1:CB$87,Formula!D84,32))+Formula!G84*(INDEX(Properties!A$1:CB$87,Formula!F84,32))+Formula!I84*(INDEX(Properties!A$1:CB$87,Formula!H84,32))+Formula!K84*(INDEX(Properties!A$1:CB$87,Formula!J84,32))</f>
        <v>92.38</v>
      </c>
      <c r="DB84" s="42">
        <f>VARP(IF(INDEX(Properties!A$1:CB$87,Formula!B84,32)&lt;&gt;"",INDEX(Properties!A$1:CB$87,Formula!B84,32)),IF(INDEX(Properties!A$1:CB$87,Formula!D84,32)&lt;&gt;"",INDEX(Properties!A$1:CB$87,Formula!D84,32)),IF(INDEX(Properties!A$1:CB$87,Formula!F84,32)&lt;&gt;"",INDEX(Properties!A$1:CB$87,Formula!F84,32)),IF(INDEX(Properties!A$1:CB$87,Formula!H84,32)&lt;&gt;"",INDEX(Properties!A$1:CB$87,Formula!H84,32)),IF(INDEX(Properties!A$1:CB$87,Formula!J84,32)&lt;&gt;"",INDEX(Properties!A$1:CB$87,Formula!J84,32)))</f>
        <v>6.2462640000000009</v>
      </c>
      <c r="DC84" s="42">
        <f>MAX(INDEX(Properties!A$1:CB$87,Formula!B84,32),INDEX(Properties!A$1:CB$87,Formula!D84,32),INDEX(Properties!A$1:CB$87,Formula!F84,32),INDEX(Properties!A$1:CB$87,Formula!H84,32),INDEX(Properties!A$1:CB$87,Formula!J84,32))</f>
        <v>7.54</v>
      </c>
      <c r="DD84" s="42">
        <f>MIN(IF(INDEX(Properties!A$1:CB$87,Formula!B84,32)=0,10^6,INDEX(Properties!A$1:CB$87,Formula!B84,32)),IF(INDEX(Properties!A$1:CB$87,Formula!D84,32)=0,10^6,INDEX(Properties!A$1:CB$87,Formula!D84,32)),IF(INDEX(Properties!A$1:CB$87,Formula!F84,32)=0,10^6,INDEX(Properties!A$1:CB$87,Formula!F84,32)),IF(INDEX(Properties!A$1:CB$87,Formula!H84,32)=0,10^6,INDEX(Properties!A$1:CB$87,Formula!H84,32)),IF(INDEX(Properties!A$1:CB$87,Formula!J84,32)=0,10^6,INDEX(Properties!A$1:CB$87,Formula!J84,32)))</f>
        <v>2.2000000000000002</v>
      </c>
      <c r="DE84" s="42">
        <f t="shared" si="49"/>
        <v>5.34</v>
      </c>
      <c r="DF84" s="60">
        <f>((Formula!C84)/(Formula!C84+Formula!E84+Formula!G84+Formula!I84+Formula!K84))*(INDEX(Properties!A$1:CB$87,Formula!B84,34))+((Formula!E84)/(Formula!C84+Formula!E84+Formula!G84+Formula!I84+Formula!K84))*(INDEX(Properties!A$1:CB$87,Formula!D84,34))+((Formula!G84)/(Formula!C84+Formula!E84+Formula!G84+Formula!I84+Formula!K84))*(INDEX(Properties!A$1:CB$87,Formula!F84,34))+((Formula!I84)/(Formula!C84+Formula!E84+Formula!G84+Formula!I84+Formula!K84))*(INDEX(Properties!A$1:CB$87,Formula!H84,34))+((Formula!K84)/(Formula!C84+Formula!E84+Formula!G84+Formula!I84+Formula!K84))*(INDEX(Properties!A$1:CB$87,Formula!J84,34))</f>
        <v>2.5675294117647058</v>
      </c>
      <c r="DG84" s="60">
        <f>Formula!C84*(INDEX(Properties!A$1:CB$87,Formula!B84,34))+Formula!E84*(INDEX(Properties!A$1:CB$87,Formula!D84,34))+Formula!G84*(INDEX(Properties!A$1:CB$87,Formula!F84,34))+Formula!I84*(INDEX(Properties!A$1:CB$87,Formula!H84,34))+Formula!K84*(INDEX(Properties!A$1:CB$87,Formula!J84,34))</f>
        <v>43.648000000000003</v>
      </c>
      <c r="DH84" s="60">
        <f>VARP(IF(INDEX(Properties!A$1:CB$87,Formula!B84,34)&lt;&gt;"",INDEX(Properties!A$1:CB$87,Formula!B84,34)),IF(INDEX(Properties!A$1:CB$87,Formula!D84,34)&lt;&gt;"",INDEX(Properties!A$1:CB$87,Formula!D84,34)),IF(INDEX(Properties!A$1:CB$87,Formula!F84,34)&lt;&gt;"",INDEX(Properties!A$1:CB$87,Formula!F84,34)),IF(INDEX(Properties!A$1:CB$87,Formula!H84,34)&lt;&gt;"",INDEX(Properties!A$1:CB$87,Formula!H84,34)),IF(INDEX(Properties!A$1:CB$87,Formula!J84,34)&lt;&gt;"",INDEX(Properties!A$1:CB$87,Formula!J84,34)))</f>
        <v>1.52403976</v>
      </c>
      <c r="DI84" s="60">
        <f>MAX(INDEX(Properties!A$1:CB$87,Formula!B84,34),INDEX(Properties!A$1:CB$87,Formula!D84,34),INDEX(Properties!A$1:CB$87,Formula!F84,34),INDEX(Properties!A$1:CB$87,Formula!H84,34),INDEX(Properties!A$1:CB$87,Formula!J84,34))</f>
        <v>3.61</v>
      </c>
      <c r="DJ84" s="60">
        <f>MIN(IF(INDEX(Properties!A$1:CB$87,Formula!B84,34)=0,10^6,INDEX(Properties!A$1:CB$87,Formula!B84,34)),IF(INDEX(Properties!A$1:CB$87,Formula!D84,34)=0,10^6,INDEX(Properties!A$1:CB$87,Formula!D84,34)),IF(INDEX(Properties!A$1:CB$87,Formula!F84,34)=0,10^6,INDEX(Properties!A$1:CB$87,Formula!F84,34)),IF(INDEX(Properties!A$1:CB$87,Formula!H84,34)=0,10^6,INDEX(Properties!A$1:CB$87,Formula!H84,34)),IF(INDEX(Properties!A$1:CB$87,Formula!J84,34)=0,10^6,INDEX(Properties!A$1:CB$87,Formula!J84,34)))</f>
        <v>0.86899999999999999</v>
      </c>
      <c r="DK84" s="60">
        <f t="shared" si="50"/>
        <v>2.7409999999999997</v>
      </c>
      <c r="DL84" s="45">
        <f>((Formula!C84)/(Formula!C84+Formula!E84+Formula!G84+Formula!I84+Formula!K84))*(INDEX(Properties!A$1:CB$87,Formula!B84,39))+((Formula!E84)/(Formula!C84+Formula!E84+Formula!G84+Formula!I84+Formula!K84))*(INDEX(Properties!A$1:CB$87,Formula!D84,39))+((Formula!G84)/(Formula!C84+Formula!E84+Formula!G84+Formula!I84+Formula!K84))*(INDEX(Properties!A$1:CB$87,Formula!F84,39))+((Formula!I84)/(Formula!C84+Formula!E84+Formula!G84+Formula!I84+Formula!K84))*(INDEX(Properties!A$1:CB$87,Formula!H84,39))+((Formula!K84)/(Formula!C84+Formula!E84+Formula!G84+Formula!I84+Formula!K84))*(INDEX(Properties!A$1:CB$87,Formula!J84,39))</f>
        <v>0.97588235294117642</v>
      </c>
      <c r="DM84" s="45">
        <f>Formula!C84*(INDEX(Properties!A$1:CB$87,Formula!B84,39))+Formula!E84*(INDEX(Properties!A$1:CB$87,Formula!D84,39))+Formula!G84*(INDEX(Properties!A$1:CB$87,Formula!F84,39))+Formula!I84*(INDEX(Properties!A$1:CB$87,Formula!H84,39))+Formula!K84*(INDEX(Properties!A$1:CB$87,Formula!J84,39))</f>
        <v>16.59</v>
      </c>
      <c r="DN84" s="45">
        <f>VARP(IF(INDEX(Properties!A$1:CB$87,Formula!B84,39)&lt;&gt;"",INDEX(Properties!A$1:CB$87,Formula!B84,39)),IF(INDEX(Properties!A$1:CB$87,Formula!D84,39)&lt;&gt;"",INDEX(Properties!A$1:CB$87,Formula!D84,39)),IF(INDEX(Properties!A$1:CB$87,Formula!F84,39)&lt;&gt;"",INDEX(Properties!A$1:CB$87,Formula!F84,39)),IF(INDEX(Properties!A$1:CB$87,Formula!H84,39)&lt;&gt;"",INDEX(Properties!A$1:CB$87,Formula!H84,39)),IF(INDEX(Properties!A$1:CB$87,Formula!J84,39)&lt;&gt;"",INDEX(Properties!A$1:CB$87,Formula!J84,39)))</f>
        <v>0.59473600000000004</v>
      </c>
      <c r="DO84" s="45">
        <f>MAX(INDEX(Properties!A$1:CB$87,Formula!B84,39),INDEX(Properties!A$1:CB$87,Formula!D84,39),INDEX(Properties!A$1:CB$87,Formula!F84,39),INDEX(Properties!A$1:CB$87,Formula!H84,39),INDEX(Properties!A$1:CB$87,Formula!J84,39))</f>
        <v>1.94</v>
      </c>
      <c r="DP84" s="45">
        <f>MIN(IF(INDEX(Properties!A$1:CB$87,Formula!B84,39)=0,10^6,INDEX(Properties!A$1:CB$87,Formula!B84,39)),IF(INDEX(Properties!A$1:CB$87,Formula!D84,39)=0,10^6,INDEX(Properties!A$1:CB$87,Formula!D84,39)),IF(INDEX(Properties!A$1:CB$87,Formula!F84,39)=0,10^6,INDEX(Properties!A$1:CB$87,Formula!F84,39)),IF(INDEX(Properties!A$1:CB$87,Formula!H84,39)=0,10^6,INDEX(Properties!A$1:CB$87,Formula!H84,39)),IF(INDEX(Properties!A$1:CB$87,Formula!J84,39)=0,10^6,INDEX(Properties!A$1:CB$87,Formula!J84,39)))</f>
        <v>0.48</v>
      </c>
      <c r="DQ84" s="45">
        <f t="shared" si="51"/>
        <v>1.46</v>
      </c>
      <c r="DR84" s="63">
        <f>((Formula!C84)/(Formula!C84+Formula!E84+Formula!G84+Formula!I84+Formula!K84))*(INDEX(Properties!A$1:CB$87,Formula!B84,40))+((Formula!E84)/(Formula!C84+Formula!E84+Formula!G84+Formula!I84+Formula!K84))*(INDEX(Properties!A$1:CB$87,Formula!D84,40))+((Formula!G84)/(Formula!C84+Formula!E84+Formula!G84+Formula!I84+Formula!K84))*(INDEX(Properties!A$1:CB$87,Formula!F84,40))+((Formula!I84)/(Formula!C84+Formula!E84+Formula!G84+Formula!I84+Formula!K84))*(INDEX(Properties!A$1:CB$87,Formula!H84,40))+((Formula!K84)/(Formula!C84+Formula!E84+Formula!G84+Formula!I84+Formula!K84))*(INDEX(Properties!A$1:CB$87,Formula!J84,40))</f>
        <v>1.0311764705882354</v>
      </c>
      <c r="DS84" s="63">
        <f>Formula!C84*(INDEX(Properties!A$1:CB$87,Formula!B84,40))+Formula!E84*(INDEX(Properties!A$1:CB$87,Formula!D84,40))+Formula!G84*(INDEX(Properties!A$1:CB$87,Formula!F84,40))+Formula!I84*(INDEX(Properties!A$1:CB$87,Formula!H84,40))+Formula!K84*(INDEX(Properties!A$1:CB$87,Formula!J84,40))</f>
        <v>17.53</v>
      </c>
      <c r="DT84" s="63">
        <f>VARP(IF(INDEX(Properties!A$1:CB$87,Formula!B84,40)&lt;&gt;"",INDEX(Properties!A$1:CB$87,Formula!B84,40)),IF(INDEX(Properties!A$1:CB$87,Formula!D84,40)&lt;&gt;"",INDEX(Properties!A$1:CB$87,Formula!D84,40)),IF(INDEX(Properties!A$1:CB$87,Formula!F84,40)&lt;&gt;"",INDEX(Properties!A$1:CB$87,Formula!F84,40)),IF(INDEX(Properties!A$1:CB$87,Formula!H84,40)&lt;&gt;"",INDEX(Properties!A$1:CB$87,Formula!H84,40)),IF(INDEX(Properties!A$1:CB$87,Formula!J84,40)&lt;&gt;"",INDEX(Properties!A$1:CB$87,Formula!J84,40)))</f>
        <v>0.38774399999999998</v>
      </c>
      <c r="DU84" s="63">
        <f>MAX(INDEX(Properties!A$1:CB$87,Formula!B84,40),INDEX(Properties!A$1:CB$87,Formula!D84,40),INDEX(Properties!A$1:CB$87,Formula!F84,40),INDEX(Properties!A$1:CB$87,Formula!H84,40),INDEX(Properties!A$1:CB$87,Formula!J84,40))</f>
        <v>1.74</v>
      </c>
      <c r="DV84" s="63">
        <f>MIN(IF(INDEX(Properties!A$1:CB$87,Formula!B84,40)=0,10^6,INDEX(Properties!A$1:CB$87,Formula!B84,40)),IF(INDEX(Properties!A$1:CB$87,Formula!D84,40)=0,10^6,INDEX(Properties!A$1:CB$87,Formula!D84,40)),IF(INDEX(Properties!A$1:CB$87,Formula!F84,40)=0,10^6,INDEX(Properties!A$1:CB$87,Formula!F84,40)),IF(INDEX(Properties!A$1:CB$87,Formula!H84,40)=0,10^6,INDEX(Properties!A$1:CB$87,Formula!H84,40)),IF(INDEX(Properties!A$1:CB$87,Formula!J84,40)=0,10^6,INDEX(Properties!A$1:CB$87,Formula!J84,40)))</f>
        <v>0.73</v>
      </c>
      <c r="DW84" s="63">
        <f t="shared" si="52"/>
        <v>1.01</v>
      </c>
      <c r="DX84" s="75">
        <f>((Formula!C84)/(Formula!C84+Formula!E84+Formula!G84+Formula!I84+Formula!K84))*(INDEX(Properties!A$1:CB$87,Formula!B84,41))+((Formula!E84)/(Formula!C84+Formula!E84+Formula!G84+Formula!I84+Formula!K84))*(INDEX(Properties!A$1:CB$87,Formula!D84,41))+((Formula!G84)/(Formula!C84+Formula!E84+Formula!G84+Formula!I84+Formula!K84))*(INDEX(Properties!A$1:CB$87,Formula!F84,41))+((Formula!I84)/(Formula!C84+Formula!E84+Formula!G84+Formula!I84+Formula!K84))*(INDEX(Properties!A$1:CB$87,Formula!H84,41))+((Formula!K84)/(Formula!C84+Formula!E84+Formula!G84+Formula!I84+Formula!K84))*(INDEX(Properties!A$1:CB$87,Formula!J84,41))</f>
        <v>1.0758823529411765</v>
      </c>
      <c r="DY84" s="75">
        <f>Formula!C84*(INDEX(Properties!A$1:CB$87,Formula!B84,41))+Formula!E84*(INDEX(Properties!A$1:CB$87,Formula!D84,41))+Formula!G84*(INDEX(Properties!A$1:CB$87,Formula!F84,41))+Formula!I84*(INDEX(Properties!A$1:CB$87,Formula!H84,41))+Formula!K84*(INDEX(Properties!A$1:CB$87,Formula!J84,41))</f>
        <v>18.29</v>
      </c>
      <c r="DZ84" s="75">
        <f>VARP(IF(INDEX(Properties!A$1:CB$87,Formula!B84,41)&lt;&gt;"",INDEX(Properties!A$1:CB$87,Formula!B84,41)),IF(INDEX(Properties!A$1:CB$87,Formula!D84,41)&lt;&gt;"",INDEX(Properties!A$1:CB$87,Formula!D84,41)),IF(INDEX(Properties!A$1:CB$87,Formula!F84,41)&lt;&gt;"",INDEX(Properties!A$1:CB$87,Formula!F84,41)),IF(INDEX(Properties!A$1:CB$87,Formula!H84,41)&lt;&gt;"",INDEX(Properties!A$1:CB$87,Formula!H84,41)),IF(INDEX(Properties!A$1:CB$87,Formula!J84,41)&lt;&gt;"",INDEX(Properties!A$1:CB$87,Formula!J84,41)))</f>
        <v>0.2497440000000001</v>
      </c>
      <c r="EA84" s="75">
        <f>MAX(INDEX(Properties!A$1:CB$87,Formula!B84,41),INDEX(Properties!A$1:CB$87,Formula!D84,41),INDEX(Properties!A$1:CB$87,Formula!F84,41),INDEX(Properties!A$1:CB$87,Formula!H84,41),INDEX(Properties!A$1:CB$87,Formula!J84,41))</f>
        <v>1.26</v>
      </c>
      <c r="EB84" s="75">
        <f>MIN(IF(INDEX(Properties!A$1:CB$87,Formula!B84,41)=0,10^6,INDEX(Properties!A$1:CB$87,Formula!B84,41)),IF(INDEX(Properties!A$1:CB$87,Formula!D84,41)=0,10^6,INDEX(Properties!A$1:CB$87,Formula!D84,41)),IF(INDEX(Properties!A$1:CB$87,Formula!F84,41)=0,10^6,INDEX(Properties!A$1:CB$87,Formula!F84,41)),IF(INDEX(Properties!A$1:CB$87,Formula!H84,41)=0,10^6,INDEX(Properties!A$1:CB$87,Formula!H84,41)),IF(INDEX(Properties!A$1:CB$87,Formula!J84,41)=0,10^6,INDEX(Properties!A$1:CB$87,Formula!J84,41)))</f>
        <v>0.41</v>
      </c>
      <c r="EC84" s="75">
        <f t="shared" si="53"/>
        <v>0.85000000000000009</v>
      </c>
      <c r="ED84" s="48">
        <f>((Formula!C84)/(Formula!C84+Formula!E84+Formula!G84+Formula!I84+Formula!K84))*(INDEX(Properties!A$1:CB$87,Formula!B84,45))+((Formula!E84)/(Formula!C84+Formula!E84+Formula!G84+Formula!I84+Formula!K84))*(INDEX(Properties!A$1:CB$87,Formula!D84,45))+((Formula!G84)/(Formula!C84+Formula!E84+Formula!G84+Formula!I84+Formula!K84))*(INDEX(Properties!A$1:CB$87,Formula!F84,45))+((Formula!I84)/(Formula!C84+Formula!E84+Formula!G84+Formula!I84+Formula!K84))*(INDEX(Properties!A$1:CB$87,Formula!H84,45))+((Formula!K84)/(Formula!C84+Formula!E84+Formula!G84+Formula!I84+Formula!K84))*(INDEX(Properties!A$1:CB$87,Formula!J84,45))</f>
        <v>1.2517647058823529</v>
      </c>
      <c r="EE84" s="48">
        <f>Formula!C84*(INDEX(Properties!A$1:CB$87,Formula!B84,45))+Formula!E84*(INDEX(Properties!A$1:CB$87,Formula!D84,45))+Formula!G84*(INDEX(Properties!A$1:CB$87,Formula!F84,45))+Formula!I84*(INDEX(Properties!A$1:CB$87,Formula!H84,45))+Formula!K84*(INDEX(Properties!A$1:CB$87,Formula!J84,45))</f>
        <v>21.28</v>
      </c>
      <c r="EF84" s="48">
        <f>VARP(IF(INDEX(Properties!A$1:CB$87,Formula!B84,45)&lt;&gt;"",INDEX(Properties!A$1:CB$87,Formula!B84,45)),IF(INDEX(Properties!A$1:CB$87,Formula!D84,45)&lt;&gt;"",INDEX(Properties!A$1:CB$87,Formula!D84,45)),IF(INDEX(Properties!A$1:CB$87,Formula!F84,45)&lt;&gt;"",INDEX(Properties!A$1:CB$87,Formula!F84,45)),IF(INDEX(Properties!A$1:CB$87,Formula!H84,45)&lt;&gt;"",INDEX(Properties!A$1:CB$87,Formula!H84,45)),IF(INDEX(Properties!A$1:CB$87,Formula!J84,45)&lt;&gt;"",INDEX(Properties!A$1:CB$87,Formula!J84,45)))</f>
        <v>1.4612240000000001</v>
      </c>
      <c r="EG84" s="48">
        <f>MAX(INDEX(Properties!A$1:CB$87,Formula!B84,45),INDEX(Properties!A$1:CB$87,Formula!D84,45),INDEX(Properties!A$1:CB$87,Formula!F84,45),INDEX(Properties!A$1:CB$87,Formula!H84,45),INDEX(Properties!A$1:CB$87,Formula!J84,45))</f>
        <v>3</v>
      </c>
      <c r="EH84" s="48">
        <f>MIN(IF(INDEX(Properties!A$1:CB$87,Formula!B84,45)=0,10^6,INDEX(Properties!A$1:CB$87,Formula!B84,45)),IF(INDEX(Properties!A$1:CB$87,Formula!D84,45)=0,10^6,INDEX(Properties!A$1:CB$87,Formula!D84,45)),IF(INDEX(Properties!A$1:CB$87,Formula!F84,45)=0,10^6,INDEX(Properties!A$1:CB$87,Formula!F84,45)),IF(INDEX(Properties!A$1:CB$87,Formula!H84,45)=0,10^6,INDEX(Properties!A$1:CB$87,Formula!H84,45)),IF(INDEX(Properties!A$1:CB$87,Formula!J84,45)=0,10^6,INDEX(Properties!A$1:CB$87,Formula!J84,45)))</f>
        <v>0.47</v>
      </c>
      <c r="EI84" s="48">
        <f t="shared" si="54"/>
        <v>2.5300000000000002</v>
      </c>
      <c r="EJ84" s="66">
        <f>((Formula!C84)/(Formula!C84+Formula!E84+Formula!G84+Formula!I84+Formula!K84))*(INDEX(Properties!A$1:CB$87,Formula!B84,46))+((Formula!E84)/(Formula!C84+Formula!E84+Formula!G84+Formula!I84+Formula!K84))*(INDEX(Properties!A$1:CB$87,Formula!D84,46))+((Formula!G84)/(Formula!C84+Formula!E84+Formula!G84+Formula!I84+Formula!K84))*(INDEX(Properties!A$1:CB$87,Formula!F84,46))+((Formula!I84)/(Formula!C84+Formula!E84+Formula!G84+Formula!I84+Formula!K84))*(INDEX(Properties!A$1:CB$87,Formula!H84,46))+((Formula!K84)/(Formula!C84+Formula!E84+Formula!G84+Formula!I84+Formula!K84))*(INDEX(Properties!A$1:CB$87,Formula!J84,46))</f>
        <v>1.0211764705882354</v>
      </c>
      <c r="EK84" s="66">
        <f>Formula!C84*(INDEX(Properties!A$1:CB$87,Formula!B84,46))+Formula!E84*(INDEX(Properties!A$1:CB$87,Formula!D84,46))+Formula!G84*(INDEX(Properties!A$1:CB$87,Formula!F84,46))+Formula!I84*(INDEX(Properties!A$1:CB$87,Formula!H84,46))+Formula!K84*(INDEX(Properties!A$1:CB$87,Formula!J84,46))</f>
        <v>17.36</v>
      </c>
      <c r="EL84" s="66">
        <f>VARP(IF(INDEX(Properties!A$1:CB$87,Formula!B84,46)&lt;&gt;"",INDEX(Properties!A$1:CB$87,Formula!B84,46)),IF(INDEX(Properties!A$1:CB$87,Formula!D84,46)&lt;&gt;"",INDEX(Properties!A$1:CB$87,Formula!D84,46)),IF(INDEX(Properties!A$1:CB$87,Formula!F84,46)&lt;&gt;"",INDEX(Properties!A$1:CB$87,Formula!F84,46)),IF(INDEX(Properties!A$1:CB$87,Formula!H84,46)&lt;&gt;"",INDEX(Properties!A$1:CB$87,Formula!H84,46)),IF(INDEX(Properties!A$1:CB$87,Formula!J84,46)&lt;&gt;"",INDEX(Properties!A$1:CB$87,Formula!J84,46)))</f>
        <v>0.26885600000000009</v>
      </c>
      <c r="EM84" s="66">
        <f>MAX(INDEX(Properties!A$1:CB$87,Formula!B84,46),INDEX(Properties!A$1:CB$87,Formula!D84,46),INDEX(Properties!A$1:CB$87,Formula!F84,46),INDEX(Properties!A$1:CB$87,Formula!H84,46),INDEX(Properties!A$1:CB$87,Formula!J84,46))</f>
        <v>1.21</v>
      </c>
      <c r="EN84" s="66">
        <f>MIN(IF(INDEX(Properties!A$1:CB$87,Formula!B84,46)=0,10^6,INDEX(Properties!A$1:CB$87,Formula!B84,46)),IF(INDEX(Properties!A$1:CB$87,Formula!D84,46)=0,10^6,INDEX(Properties!A$1:CB$87,Formula!D84,46)),IF(INDEX(Properties!A$1:CB$87,Formula!F84,46)=0,10^6,INDEX(Properties!A$1:CB$87,Formula!F84,46)),IF(INDEX(Properties!A$1:CB$87,Formula!H84,46)=0,10^6,INDEX(Properties!A$1:CB$87,Formula!H84,46)),IF(INDEX(Properties!A$1:CB$87,Formula!J84,46)=0,10^6,INDEX(Properties!A$1:CB$87,Formula!J84,46)))</f>
        <v>0.25</v>
      </c>
      <c r="EO84" s="66">
        <f t="shared" si="55"/>
        <v>0.96</v>
      </c>
      <c r="EP84" s="81">
        <f>((Formula!C84)/(Formula!C84+Formula!E84+Formula!G84+Formula!I84+Formula!K84))*(INDEX(Properties!A$1:CB$87,Formula!B84,52))+((Formula!E84)/(Formula!C84+Formula!E84+Formula!G84+Formula!I84+Formula!K84))*(INDEX(Properties!A$1:CB$87,Formula!D84,52))+((Formula!G84)/(Formula!C84+Formula!E84+Formula!G84+Formula!I84+Formula!K84))*(INDEX(Properties!A$1:CB$87,Formula!F84,52))+((Formula!I84)/(Formula!C84+Formula!E84+Formula!G84+Formula!I84+Formula!K84))*(INDEX(Properties!A$1:CB$87,Formula!H84,52))+((Formula!K84)/(Formula!C84+Formula!E84+Formula!G84+Formula!I84+Formula!K84))*(INDEX(Properties!A$1:CB$87,Formula!J84,52))</f>
        <v>7.7021764705882365</v>
      </c>
      <c r="EQ84" s="81">
        <f>Formula!C84*(INDEX(Properties!A$1:CB$87,Formula!B84,52))+Formula!E84*(INDEX(Properties!A$1:CB$87,Formula!D84,52))+Formula!G84*(INDEX(Properties!A$1:CB$87,Formula!F84,52))+Formula!I84*(INDEX(Properties!A$1:CB$87,Formula!H84,52))+Formula!K84*(INDEX(Properties!A$1:CB$87,Formula!J84,52))</f>
        <v>130.93700000000001</v>
      </c>
      <c r="ER84" s="81">
        <f>VARP(IF(INDEX(Properties!A$1:CB$87,Formula!B84,52)&lt;&gt;"",INDEX(Properties!A$1:CB$87,Formula!B84,52)),IF(INDEX(Properties!A$1:CB$87,Formula!D84,52)&lt;&gt;"",INDEX(Properties!A$1:CB$87,Formula!D84,52)),IF(INDEX(Properties!A$1:CB$87,Formula!F84,52)&lt;&gt;"",INDEX(Properties!A$1:CB$87,Formula!F84,52)),IF(INDEX(Properties!A$1:CB$87,Formula!H84,52)&lt;&gt;"",INDEX(Properties!A$1:CB$87,Formula!H84,52)),IF(INDEX(Properties!A$1:CB$87,Formula!J84,52)&lt;&gt;"",INDEX(Properties!A$1:CB$87,Formula!J84,52)))</f>
        <v>116.51227983999999</v>
      </c>
      <c r="ES84" s="81">
        <f>MAX(INDEX(Properties!A$1:CB$87,Formula!B84,52),INDEX(Properties!A$1:CB$87,Formula!D84,52),INDEX(Properties!A$1:CB$87,Formula!F84,52),INDEX(Properties!A$1:CB$87,Formula!H84,52),INDEX(Properties!A$1:CB$87,Formula!J84,52))</f>
        <v>23.6</v>
      </c>
      <c r="ET84" s="81">
        <f>MIN(IF(INDEX(Properties!A$1:CB$87,Formula!B84,52)=0,10^6,INDEX(Properties!A$1:CB$87,Formula!B84,52)),IF(INDEX(Properties!A$1:CB$87,Formula!D84,52)=0,10^6,INDEX(Properties!A$1:CB$87,Formula!D84,52)),IF(INDEX(Properties!A$1:CB$87,Formula!F84,52)=0,10^6,INDEX(Properties!A$1:CB$87,Formula!F84,52)),IF(INDEX(Properties!A$1:CB$87,Formula!H84,52)=0,10^6,INDEX(Properties!A$1:CB$87,Formula!H84,52)),IF(INDEX(Properties!A$1:CB$87,Formula!J84,52)=0,10^6,INDEX(Properties!A$1:CB$87,Formula!J84,52)))</f>
        <v>0.79300000000000004</v>
      </c>
      <c r="EU84" s="81">
        <f t="shared" si="56"/>
        <v>22.807000000000002</v>
      </c>
      <c r="EV84" s="39">
        <f>((Formula!C84)/(Formula!C84+Formula!E84+Formula!G84+Formula!I84+Formula!K84))*(INDEX(Properties!A$1:CB$87,Formula!B84,53))+((Formula!E84)/(Formula!C84+Formula!E84+Formula!G84+Formula!I84+Formula!K84))*(INDEX(Properties!A$1:CB$87,Formula!D84,53))+((Formula!G84)/(Formula!C84+Formula!E84+Formula!G84+Formula!I84+Formula!K84))*(INDEX(Properties!A$1:CB$87,Formula!F84,53))+((Formula!I84)/(Formula!C84+Formula!E84+Formula!G84+Formula!I84+Formula!K84))*(INDEX(Properties!A$1:CB$87,Formula!H84,53))+((Formula!K84)/(Formula!C84+Formula!E84+Formula!G84+Formula!I84+Formula!K84))*(INDEX(Properties!A$1:CB$87,Formula!J84,53))</f>
        <v>727.57352941176475</v>
      </c>
      <c r="EW84" s="39">
        <f>Formula!C84*(INDEX(Properties!A$1:CB$87,Formula!B84,53))+Formula!E84*(INDEX(Properties!A$1:CB$87,Formula!D84,53))+Formula!G84*(INDEX(Properties!A$1:CB$87,Formula!F84,53))+Formula!I84*(INDEX(Properties!A$1:CB$87,Formula!H84,53))+Formula!K84*(INDEX(Properties!A$1:CB$87,Formula!J84,53))</f>
        <v>12368.75</v>
      </c>
      <c r="EX84" s="39">
        <f>VARP(IF(INDEX(Properties!A$1:CB$87,Formula!B84,53)&lt;&gt;"",INDEX(Properties!A$1:CB$87,Formula!B84,53)),IF(INDEX(Properties!A$1:CB$87,Formula!D84,53)&lt;&gt;"",INDEX(Properties!A$1:CB$87,Formula!D84,53)),IF(INDEX(Properties!A$1:CB$87,Formula!F84,53)&lt;&gt;"",INDEX(Properties!A$1:CB$87,Formula!F84,53)),IF(INDEX(Properties!A$1:CB$87,Formula!H84,53)&lt;&gt;"",INDEX(Properties!A$1:CB$87,Formula!H84,53)),IF(INDEX(Properties!A$1:CB$87,Formula!J84,53)&lt;&gt;"",INDEX(Properties!A$1:CB$87,Formula!J84,53)))</f>
        <v>776733.7420000002</v>
      </c>
      <c r="EY84" s="39">
        <f>MAX(INDEX(Properties!A$1:CB$87,Formula!B84,53),INDEX(Properties!A$1:CB$87,Formula!D84,53),INDEX(Properties!A$1:CB$87,Formula!F84,53),INDEX(Properties!A$1:CB$87,Formula!H84,53),INDEX(Properties!A$1:CB$87,Formula!J84,53))</f>
        <v>2352.15</v>
      </c>
      <c r="EZ84" s="39">
        <f>MIN(IF(INDEX(Properties!A$1:CB$87,Formula!B84,53)=0,10^6,INDEX(Properties!A$1:CB$87,Formula!B84,53)),IF(INDEX(Properties!A$1:CB$87,Formula!D84,53)=0,10^6,INDEX(Properties!A$1:CB$87,Formula!D84,53)),IF(INDEX(Properties!A$1:CB$87,Formula!F84,53)=0,10^6,INDEX(Properties!A$1:CB$87,Formula!F84,53)),IF(INDEX(Properties!A$1:CB$87,Formula!H84,53)=0,10^6,INDEX(Properties!A$1:CB$87,Formula!H84,53)),IF(INDEX(Properties!A$1:CB$87,Formula!J84,53)=0,10^6,INDEX(Properties!A$1:CB$87,Formula!J84,53)))</f>
        <v>54.749999999999972</v>
      </c>
      <c r="FA84" s="39">
        <f t="shared" si="57"/>
        <v>2297.4</v>
      </c>
      <c r="FB84" s="54">
        <f>((Formula!C84)/(Formula!C84+Formula!E84+Formula!G84+Formula!I84+Formula!K84))*(INDEX(Properties!A$1:CB$87,Formula!B84,54))+((Formula!E84)/(Formula!C84+Formula!E84+Formula!G84+Formula!I84+Formula!K84))*(INDEX(Properties!A$1:CB$87,Formula!D84,54))+((Formula!G84)/(Formula!C84+Formula!E84+Formula!G84+Formula!I84+Formula!K84))*(INDEX(Properties!A$1:CB$87,Formula!F84,54))+((Formula!I84)/(Formula!C84+Formula!E84+Formula!G84+Formula!I84+Formula!K84))*(INDEX(Properties!A$1:CB$87,Formula!H84,54))+((Formula!K84)/(Formula!C84+Formula!E84+Formula!G84+Formula!I84+Formula!K84))*(INDEX(Properties!A$1:CB$87,Formula!J84,54))</f>
        <v>1283.594117647059</v>
      </c>
      <c r="FC84" s="54">
        <f>Formula!C84*(INDEX(Properties!A$1:CB$87,Formula!B84,54))+Formula!E84*(INDEX(Properties!A$1:CB$87,Formula!D84,54))+Formula!G84*(INDEX(Properties!A$1:CB$87,Formula!F84,54))+Formula!I84*(INDEX(Properties!A$1:CB$87,Formula!H84,54))+Formula!K84*(INDEX(Properties!A$1:CB$87,Formula!J84,54))</f>
        <v>21821.1</v>
      </c>
      <c r="FD84" s="54">
        <f>VARP(IF(INDEX(Properties!A$1:CB$87,Formula!B84,54)&lt;&gt;"",INDEX(Properties!A$1:CB$87,Formula!B84,54)),IF(INDEX(Properties!A$1:CB$87,Formula!D84,54)&lt;&gt;"",INDEX(Properties!A$1:CB$87,Formula!D84,54)),IF(INDEX(Properties!A$1:CB$87,Formula!F84,54)&lt;&gt;"",INDEX(Properties!A$1:CB$87,Formula!F84,54)),IF(INDEX(Properties!A$1:CB$87,Formula!H84,54)&lt;&gt;"",INDEX(Properties!A$1:CB$87,Formula!H84,54)),IF(INDEX(Properties!A$1:CB$87,Formula!J84,54)&lt;&gt;"",INDEX(Properties!A$1:CB$87,Formula!J84,54)))</f>
        <v>2422568.8174000005</v>
      </c>
      <c r="FE84" s="54">
        <f>MAX(INDEX(Properties!A$1:CB$87,Formula!B84,54),INDEX(Properties!A$1:CB$87,Formula!D84,54),INDEX(Properties!A$1:CB$87,Formula!F84,54),INDEX(Properties!A$1:CB$87,Formula!H84,54),INDEX(Properties!A$1:CB$87,Formula!J84,54))</f>
        <v>4275</v>
      </c>
      <c r="FF84" s="54">
        <f>MIN(IF(INDEX(Properties!A$1:CB$87,Formula!B84,54)=0,10^6,INDEX(Properties!A$1:CB$87,Formula!B84,54)),IF(INDEX(Properties!A$1:CB$87,Formula!D84,54)=0,10^6,INDEX(Properties!A$1:CB$87,Formula!D84,54)),IF(INDEX(Properties!A$1:CB$87,Formula!F84,54)=0,10^6,INDEX(Properties!A$1:CB$87,Formula!F84,54)),IF(INDEX(Properties!A$1:CB$87,Formula!H84,54)=0,10^6,INDEX(Properties!A$1:CB$87,Formula!H84,54)),IF(INDEX(Properties!A$1:CB$87,Formula!J84,54)=0,10^6,INDEX(Properties!A$1:CB$87,Formula!J84,54)))</f>
        <v>90.149999999999977</v>
      </c>
      <c r="FG84" s="54">
        <f t="shared" si="58"/>
        <v>4184.8500000000004</v>
      </c>
      <c r="FH84" s="69">
        <f>((Formula!C84)/(Formula!C84+Formula!E84+Formula!G84+Formula!I84+Formula!K84))*(INDEX(Properties!A$1:CB$87,Formula!B84,55))+((Formula!E84)/(Formula!C84+Formula!E84+Formula!G84+Formula!I84+Formula!K84))*(INDEX(Properties!A$1:CB$87,Formula!D84,55))+((Formula!G84)/(Formula!C84+Formula!E84+Formula!G84+Formula!I84+Formula!K84))*(INDEX(Properties!A$1:CB$87,Formula!F84,55))+((Formula!I84)/(Formula!C84+Formula!E84+Formula!G84+Formula!I84+Formula!K84))*(INDEX(Properties!A$1:CB$87,Formula!H84,55))+((Formula!K84)/(Formula!C84+Formula!E84+Formula!G84+Formula!I84+Formula!K84))*(INDEX(Properties!A$1:CB$87,Formula!J84,55))</f>
        <v>0.83552176470588235</v>
      </c>
      <c r="FI84" s="69">
        <f>Formula!C84*(INDEX(Properties!A$1:CB$87,Formula!B84,55))+Formula!E84*(INDEX(Properties!A$1:CB$87,Formula!D84,54))+Formula!G84*(INDEX(Properties!A$1:CB$87,Formula!F84,55))+Formula!I84*(INDEX(Properties!A$1:CB$87,Formula!H84,55))+Formula!K84*(INDEX(Properties!A$1:CB$87,Formula!J84,55))</f>
        <v>7036.6038699999999</v>
      </c>
      <c r="FJ84" s="69">
        <f>VARP(IF(INDEX(Properties!A$1:CB$87,Formula!B84,55)&lt;&gt;"",INDEX(Properties!A$1:CB$87,Formula!B84,55)),IF(INDEX(Properties!A$1:CB$87,Formula!D84,55)&lt;&gt;"",INDEX(Properties!A$1:CB$87,Formula!D84,55)),IF(INDEX(Properties!A$1:CB$87,Formula!F84,55)&lt;&gt;"",INDEX(Properties!A$1:CB$87,Formula!F84,55)),IF(INDEX(Properties!A$1:CB$87,Formula!H84,55)&lt;&gt;"",INDEX(Properties!A$1:CB$87,Formula!H84,55)),IF(INDEX(Properties!A$1:CB$87,Formula!J84,55)&lt;&gt;"",INDEX(Properties!A$1:CB$87,Formula!J84,55)))</f>
        <v>0.81845958878399994</v>
      </c>
      <c r="FK84" s="69">
        <f>MAX(INDEX(Properties!A$1:CB$87,Formula!B84,55),INDEX(Properties!A$1:CB$87,Formula!D84,55),INDEX(Properties!A$1:CB$87,Formula!F84,55),INDEX(Properties!A$1:CB$87,Formula!H84,55),INDEX(Properties!A$1:CB$87,Formula!J84,55))</f>
        <v>2.34</v>
      </c>
      <c r="FL84" s="69">
        <f>MIN(IF(INDEX(Properties!A$1:CB$87,Formula!B84,55)=0,10^6,INDEX(Properties!A$1:CB$87,Formula!B84,55)),IF(INDEX(Properties!A$1:CB$87,Formula!D84,55)=0,10^6,INDEX(Properties!A$1:CB$87,Formula!D84,55)),IF(INDEX(Properties!A$1:CB$87,Formula!F84,55)=0,10^6,INDEX(Properties!A$1:CB$87,Formula!F84,55)),IF(INDEX(Properties!A$1:CB$87,Formula!H84,55)=0,10^6,INDEX(Properties!A$1:CB$87,Formula!H84,55)),IF(INDEX(Properties!A$1:CB$87,Formula!J84,55)=0,10^6,INDEX(Properties!A$1:CB$87,Formula!J84,55)))</f>
        <v>1.4300000000000001E-3</v>
      </c>
      <c r="FM84" s="69">
        <f t="shared" si="59"/>
        <v>2.3385699999999998</v>
      </c>
      <c r="FN84" s="42">
        <f>((Formula!C84)/(Formula!C84+Formula!E84+Formula!G84+Formula!I84+Formula!K84))*(INDEX(Properties!A$1:CB$87,Formula!B84,56))+((Formula!E84)/(Formula!C84+Formula!E84+Formula!G84+Formula!I84+Formula!K84))*(INDEX(Properties!A$1:CB$87,Formula!D84,56))+((Formula!G84)/(Formula!C84+Formula!E84+Formula!G84+Formula!I84+Formula!K84))*(INDEX(Properties!A$1:CB$87,Formula!F84,56))+((Formula!I84)/(Formula!C84+Formula!E84+Formula!G84+Formula!I84+Formula!K84))*(INDEX(Properties!A$1:CB$87,Formula!H84,56))+((Formula!K84)/(Formula!C84+Formula!E84+Formula!G84+Formula!I84+Formula!K84))*(INDEX(Properties!A$1:CB$87,Formula!J84,56))</f>
        <v>0.88764705882352946</v>
      </c>
      <c r="FO84" s="42">
        <f>Formula!C84*(INDEX(Properties!A$1:CB$87,Formula!B84,56))+Formula!E84*(INDEX(Properties!A$1:CB$87,Formula!D84,56))+Formula!G84*(INDEX(Properties!A$1:CB$87,Formula!F84,56))+Formula!I84*(INDEX(Properties!A$1:CB$87,Formula!H84,56))+Formula!K84*(INDEX(Properties!A$1:CB$87,Formula!J84,56))</f>
        <v>15.090000000000002</v>
      </c>
      <c r="FP84" s="42">
        <f>VARP(IF(INDEX(Properties!A$1:CB$87,Formula!B84,56)&lt;&gt;"",INDEX(Properties!A$1:CB$87,Formula!B84,56)),IF(INDEX(Properties!A$1:CB$87,Formula!D84,56)&lt;&gt;"",INDEX(Properties!A$1:CB$87,Formula!D84,56)),IF(INDEX(Properties!A$1:CB$87,Formula!F84,56)&lt;&gt;"",INDEX(Properties!A$1:CB$87,Formula!F84,56)),IF(INDEX(Properties!A$1:CB$87,Formula!H84,56)&lt;&gt;"",INDEX(Properties!A$1:CB$87,Formula!H84,56)),IF(INDEX(Properties!A$1:CB$87,Formula!J84,56)&lt;&gt;"",INDEX(Properties!A$1:CB$87,Formula!J84,56)))</f>
        <v>0.18171999999999991</v>
      </c>
      <c r="FQ84" s="42">
        <f>MAX(INDEX(Properties!A$1:CB$87,Formula!B84,56),INDEX(Properties!A$1:CB$87,Formula!D84,56),INDEX(Properties!A$1:CB$87,Formula!F84,56),INDEX(Properties!A$1:CB$87,Formula!H84,56),INDEX(Properties!A$1:CB$87,Formula!J84,56))</f>
        <v>1.23</v>
      </c>
      <c r="FR84" s="42">
        <f>MIN(IF(INDEX(Properties!A$1:CB$87,Formula!B84,56)=0,10^6,INDEX(Properties!A$1:CB$87,Formula!B84,56)),IF(INDEX(Properties!A$1:CB$87,Formula!D84,56)=0,10^6,INDEX(Properties!A$1:CB$87,Formula!D84,56)),IF(INDEX(Properties!A$1:CB$87,Formula!F84,56)=0,10^6,INDEX(Properties!A$1:CB$87,Formula!F84,56)),IF(INDEX(Properties!A$1:CB$87,Formula!H84,56)=0,10^6,INDEX(Properties!A$1:CB$87,Formula!H84,56)),IF(INDEX(Properties!A$1:CB$87,Formula!J84,56)=0,10^6,INDEX(Properties!A$1:CB$87,Formula!J84,56)))</f>
        <v>0.63</v>
      </c>
      <c r="FS84" s="42">
        <f t="shared" si="60"/>
        <v>0.6</v>
      </c>
      <c r="FT84" s="60">
        <f>((Formula!C84)/(Formula!C84+Formula!E84+Formula!G84+Formula!I84+Formula!K84))*(INDEX(Properties!A$1:CB$87,Formula!B84,57))+((Formula!E84)/(Formula!C84+Formula!E84+Formula!G84+Formula!I84+Formula!K84))*(INDEX(Properties!A$1:CB$87,Formula!D84,57))+((Formula!G84)/(Formula!C84+Formula!E84+Formula!G84+Formula!I84+Formula!K84))*(INDEX(Properties!A$1:CB$87,Formula!F84,57))+((Formula!I84)/(Formula!C84+Formula!E84+Formula!G84+Formula!I84+Formula!K84))*(INDEX(Properties!A$1:CB$87,Formula!H84,57))+((Formula!K84)/(Formula!C84+Formula!E84+Formula!G84+Formula!I84+Formula!K84))*(INDEX(Properties!A$1:CB$87,Formula!J84,57))</f>
        <v>11.138900588235295</v>
      </c>
      <c r="FU84" s="60">
        <f>Formula!C84*(INDEX(Properties!A$1:CB$87,Formula!B84,57))+Formula!E84*(INDEX(Properties!A$1:CB$87,Formula!D84,57))+Formula!G84*(INDEX(Properties!A$1:CB$87,Formula!F84,57))+Formula!I84*(INDEX(Properties!A$1:CB$87,Formula!H84,57))+Formula!K84*(INDEX(Properties!A$1:CB$87,Formula!J84,57))</f>
        <v>189.36131</v>
      </c>
      <c r="FV84" s="60">
        <f>VARP(IF(INDEX(Properties!A$1:CB$87,Formula!B84,57)&lt;&gt;"",INDEX(Properties!A$1:CB$87,Formula!B84,57)),IF(INDEX(Properties!A$1:CB$87,Formula!D84,57)&lt;&gt;"",INDEX(Properties!A$1:CB$87,Formula!D84,57)),IF(INDEX(Properties!A$1:CB$87,Formula!F84,57)&lt;&gt;"",INDEX(Properties!A$1:CB$87,Formula!F84,57)),IF(INDEX(Properties!A$1:CB$87,Formula!H84,57)&lt;&gt;"",INDEX(Properties!A$1:CB$87,Formula!H84,57)),IF(INDEX(Properties!A$1:CB$87,Formula!J84,57)&lt;&gt;"",INDEX(Properties!A$1:CB$87,Formula!J84,57)))</f>
        <v>368.3659004156961</v>
      </c>
      <c r="FW84" s="60">
        <f>MAX(INDEX(Properties!A$1:CB$87,Formula!B84,57),INDEX(Properties!A$1:CB$87,Formula!D84,57),INDEX(Properties!A$1:CB$87,Formula!F84,57),INDEX(Properties!A$1:CB$87,Formula!H84,57),INDEX(Properties!A$1:CB$87,Formula!J84,57))</f>
        <v>50.2</v>
      </c>
      <c r="FX84" s="60">
        <f>MIN(IF(INDEX(Properties!A$1:CB$87,Formula!B84,57)=0,10^6,INDEX(Properties!A$1:CB$87,Formula!B84,57)),IF(INDEX(Properties!A$1:CB$87,Formula!D84,57)=0,10^6,INDEX(Properties!A$1:CB$87,Formula!D84,57)),IF(INDEX(Properties!A$1:CB$87,Formula!F84,57)=0,10^6,INDEX(Properties!A$1:CB$87,Formula!F84,57)),IF(INDEX(Properties!A$1:CB$87,Formula!H84,57)=0,10^6,INDEX(Properties!A$1:CB$87,Formula!H84,57)),IF(INDEX(Properties!A$1:CB$87,Formula!J84,57)=0,10^6,INDEX(Properties!A$1:CB$87,Formula!J84,57)))</f>
        <v>0.22259000000000001</v>
      </c>
      <c r="FY84" s="60">
        <f t="shared" si="61"/>
        <v>49.977410000000006</v>
      </c>
      <c r="FZ84" s="72">
        <f>((Formula!C84)/(Formula!C84+Formula!E84+Formula!G84+Formula!I84+Formula!K84))*(INDEX(Properties!A$1:CB$87,Formula!B84,60))+((Formula!E84)/(Formula!C84+Formula!E84+Formula!G84+Formula!I84+Formula!K84))*(INDEX(Properties!A$1:CB$87,Formula!D84,60))+((Formula!G84)/(Formula!C84+Formula!E84+Formula!G84+Formula!I84+Formula!K84))*(INDEX(Properties!A$1:CB$87,Formula!F84,60))+((Formula!I84)/(Formula!C84+Formula!E84+Formula!G84+Formula!I84+Formula!K84))*(INDEX(Properties!A$1:CB$87,Formula!H84,60))+((Formula!K84)/(Formula!C84+Formula!E84+Formula!G84+Formula!I84+Formula!K84))*(INDEX(Properties!A$1:CB$87,Formula!J84,60))</f>
        <v>60.131803529411762</v>
      </c>
      <c r="GA84" s="72">
        <f>Formula!C84*(INDEX(Properties!A$1:CB$87,Formula!B84,60))+Formula!E84*(INDEX(Properties!A$1:CB$87,Formula!D84,60))+Formula!G84*(INDEX(Properties!A$1:CB$87,Formula!F84,60))+Formula!I84*(INDEX(Properties!A$1:CB$87,Formula!H84,60))+Formula!K84*(INDEX(Properties!A$1:CB$87,Formula!J84,60))</f>
        <v>1022.24066</v>
      </c>
      <c r="GB84" s="72">
        <f>VARP(IF(INDEX(Properties!A$1:CB$87,Formula!B84,60)&lt;&gt;"",INDEX(Properties!A$1:CB$87,Formula!B84,60)),IF(INDEX(Properties!A$1:CB$87,Formula!D84,60)&lt;&gt;"",INDEX(Properties!A$1:CB$87,Formula!D84,60)),IF(INDEX(Properties!A$1:CB$87,Formula!F84,60)&lt;&gt;"",INDEX(Properties!A$1:CB$87,Formula!F84,60)),IF(INDEX(Properties!A$1:CB$87,Formula!H84,60)&lt;&gt;"",INDEX(Properties!A$1:CB$87,Formula!H84,60)),IF(INDEX(Properties!A$1:CB$87,Formula!J84,60)&lt;&gt;"",INDEX(Properties!A$1:CB$87,Formula!J84,60)))</f>
        <v>6704.2528888044144</v>
      </c>
      <c r="GC84" s="72">
        <f>MAX(INDEX(Properties!A$1:CB$87,Formula!B84,60),INDEX(Properties!A$1:CB$87,Formula!D84,60),INDEX(Properties!A$1:CB$87,Formula!F84,60),INDEX(Properties!A$1:CB$87,Formula!H84,60),INDEX(Properties!A$1:CB$87,Formula!J84,60))</f>
        <v>200</v>
      </c>
      <c r="GD84" s="72">
        <f>MIN(IF(INDEX(Properties!A$1:CB$87,Formula!B84,60)=0,10^6,INDEX(Properties!A$1:CB$87,Formula!B84,60)),IF(INDEX(Properties!A$1:CB$87,Formula!D84,60)=0,10^6,INDEX(Properties!A$1:CB$87,Formula!D84,60)),IF(INDEX(Properties!A$1:CB$87,Formula!F84,60)=0,10^6,INDEX(Properties!A$1:CB$87,Formula!F84,60)),IF(INDEX(Properties!A$1:CB$87,Formula!H84,60)=0,10^6,INDEX(Properties!A$1:CB$87,Formula!H84,60)),IF(INDEX(Properties!A$1:CB$87,Formula!J84,60)=0,10^6,INDEX(Properties!A$1:CB$87,Formula!J84,60)))</f>
        <v>2.674E-2</v>
      </c>
      <c r="GE84" s="72">
        <f t="shared" si="62"/>
        <v>199.97326000000001</v>
      </c>
      <c r="GF84" s="51">
        <f>((Formula!C84)/(Formula!C84+Formula!E84+Formula!G84+Formula!I84+Formula!K84))*(INDEX(Properties!A$1:CB$87,Formula!B84,62))+((Formula!E84)/(Formula!C84+Formula!E84+Formula!G84+Formula!I84+Formula!K84))*(INDEX(Properties!A$1:CB$87,Formula!D84,62))+((Formula!G84)/(Formula!C84+Formula!E84+Formula!G84+Formula!I84+Formula!K84))*(INDEX(Properties!A$1:CB$87,Formula!F84,62))+((Formula!I84)/(Formula!C84+Formula!E84+Formula!G84+Formula!I84+Formula!K84))*(INDEX(Properties!A$1:CB$87,Formula!H84,62))+((Formula!K84)/(Formula!C84+Formula!E84+Formula!G84+Formula!I84+Formula!K84))*(INDEX(Properties!A$1:CB$87,Formula!J84,62))</f>
        <v>2.9107647058823529</v>
      </c>
      <c r="GG84" s="51">
        <f>Formula!C84*(INDEX(Properties!A$1:CB$87,Formula!B84,62))+Formula!E84*(INDEX(Properties!A$1:CB$87,Formula!D84,62))+Formula!G84*(INDEX(Properties!A$1:CB$87,Formula!F84,62))+Formula!I84*(INDEX(Properties!A$1:CB$87,Formula!H84,62))+Formula!K84*(INDEX(Properties!A$1:CB$87,Formula!J84,62))</f>
        <v>49.483000000000004</v>
      </c>
      <c r="GH84" s="51">
        <f>VARP(IF(INDEX(Properties!A$1:CB$87,Formula!B84,62)&lt;&gt;"",INDEX(Properties!A$1:CB$87,Formula!B84,62)),IF(INDEX(Properties!A$1:CB$87,Formula!D84,62)&lt;&gt;"",INDEX(Properties!A$1:CB$87,Formula!D84,62)),IF(INDEX(Properties!A$1:CB$87,Formula!F84,62)&lt;&gt;"",INDEX(Properties!A$1:CB$87,Formula!F84,62)),IF(INDEX(Properties!A$1:CB$87,Formula!H84,62)&lt;&gt;"",INDEX(Properties!A$1:CB$87,Formula!H84,62)),IF(INDEX(Properties!A$1:CB$87,Formula!J84,62)&lt;&gt;"",INDEX(Properties!A$1:CB$87,Formula!J84,62)))</f>
        <v>3.8660662400000012</v>
      </c>
      <c r="GI84" s="51">
        <f>MAX(INDEX(Properties!A$1:CB$87,Formula!B84,62),INDEX(Properties!A$1:CB$87,Formula!D84,62),INDEX(Properties!A$1:CB$87,Formula!F84,62),INDEX(Properties!A$1:CB$87,Formula!H84,62),INDEX(Properties!A$1:CB$87,Formula!J84,62))</f>
        <v>5.81</v>
      </c>
      <c r="GJ84" s="51">
        <f>MIN(IF(INDEX(Properties!A$1:CB$87,Formula!B84,62)=0,10^6,INDEX(Properties!A$1:CB$87,Formula!B84,62)),IF(INDEX(Properties!A$1:CB$87,Formula!D84,62)=0,10^6,INDEX(Properties!A$1:CB$87,Formula!D84,62)),IF(INDEX(Properties!A$1:CB$87,Formula!F84,62)=0,10^6,INDEX(Properties!A$1:CB$87,Formula!F84,62)),IF(INDEX(Properties!A$1:CB$87,Formula!H84,62)=0,10^6,INDEX(Properties!A$1:CB$87,Formula!H84,62)),IF(INDEX(Properties!A$1:CB$87,Formula!J84,62)=0,10^6,INDEX(Properties!A$1:CB$87,Formula!J84,62)))</f>
        <v>1.113</v>
      </c>
      <c r="GK84" s="51">
        <f t="shared" si="63"/>
        <v>4.6969999999999992</v>
      </c>
      <c r="GL84" s="51">
        <f>Formula!P84</f>
        <v>40</v>
      </c>
      <c r="GM84" s="57">
        <f>Formula!O84</f>
        <v>3</v>
      </c>
      <c r="GN84" s="51">
        <f>Formula!N84</f>
        <v>0.08</v>
      </c>
    </row>
    <row r="85" spans="1:196" x14ac:dyDescent="0.3">
      <c r="A85" s="84" t="str">
        <f>Formula!A85</f>
        <v>LiCaBO3</v>
      </c>
      <c r="B85" s="89">
        <f>((Formula!C85)/(Formula!C85+Formula!E85+Formula!G85+Formula!I85+Formula!K85))*(INDEX(Properties!A$1:CB$87,Formula!B85,3))+((Formula!E85)/(Formula!C85+Formula!E85+Formula!G85+Formula!I85+Formula!K85))*(INDEX(Properties!A$1:CB$87,Formula!D85,3))+((Formula!G85)/(Formula!C85+Formula!E85+Formula!G85+Formula!I85+Formula!K85))*(INDEX(Properties!A$1:CB$87,Formula!F85,3))+((Formula!I85)/(Formula!C85+Formula!E85+Formula!G85+Formula!I85+Formula!K85))*(INDEX(Properties!A$1:CB$87,Formula!H85,3))+((Formula!K85)/(Formula!C85+Formula!E85+Formula!G85+Formula!I85+Formula!K85))*(INDEX(Properties!A$1:CB$87,Formula!J85,3))</f>
        <v>17.638033333333333</v>
      </c>
      <c r="C85" s="85">
        <f>Formula!C85*(INDEX(Properties!A$1:CB$87,Formula!B85,3))+Formula!E85*(INDEX(Properties!A$1:CB$87,Formula!D85,3))+Formula!G85*(INDEX(Properties!A$1:CB$87,Formula!F85,3))+Formula!I85*(INDEX(Properties!A$1:CB$87,Formula!H85,3))+Formula!K85*(INDEX(Properties!A$1:CB$87,Formula!J85,3))</f>
        <v>105.82820000000001</v>
      </c>
      <c r="D85" s="85">
        <f>VARP(IF(INDEX(Properties!A$1:CB$87,Formula!B85,3)&lt;&gt;"",INDEX(Properties!A$1:CB$87,Formula!B85,3)),IF(INDEX(Properties!A$1:CB$87,Formula!D85,3)&lt;&gt;"",INDEX(Properties!A$1:CB$87,Formula!D85,3)),IF(INDEX(Properties!A$1:CB$87,Formula!F85,3)&lt;&gt;"",INDEX(Properties!A$1:CB$87,Formula!F85,3)),IF(INDEX(Properties!A$1:CB$87,Formula!H85,3)&lt;&gt;"",INDEX(Properties!A$1:CB$87,Formula!H85,3)),IF(INDEX(Properties!A$1:CB$87,Formula!J85,3)&lt;&gt;"",INDEX(Properties!A$1:CB$87,Formula!J85,3)))</f>
        <v>187.42520509760007</v>
      </c>
      <c r="E85" s="85">
        <f>MAX(INDEX(Properties!A$1:CB$87,Formula!B85,3),INDEX(Properties!A$1:CB$87,Formula!D85,3),INDEX(Properties!A$1:CB$87,Formula!F85,3),INDEX(Properties!A$1:CB$87,Formula!H85,3),INDEX(Properties!A$1:CB$87,Formula!J85,3))</f>
        <v>40.078000000000003</v>
      </c>
      <c r="F85" s="85">
        <f>MIN(IF(INDEX(Properties!A$1:CB$87,Formula!B85,3)=0,10^6,INDEX(Properties!A$1:CB$87,Formula!B85,3)),IF(INDEX(Properties!A$1:CB$87,Formula!D85,3)=0,10^6,INDEX(Properties!A$1:CB$87,Formula!D85,3)),IF(INDEX(Properties!A$1:CB$87,Formula!F85,3)=0,10^6,INDEX(Properties!A$1:CB$87,Formula!F85,3)),IF(INDEX(Properties!A$1:CB$87,Formula!H85,3)=0,10^6,INDEX(Properties!A$1:CB$87,Formula!H85,3)),IF(INDEX(Properties!A$1:CB$87,Formula!J85,3)=0,10^6,INDEX(Properties!A$1:CB$87,Formula!J85,3)))</f>
        <v>6.9409999999999998</v>
      </c>
      <c r="G85" s="85">
        <f t="shared" si="32"/>
        <v>33.137</v>
      </c>
      <c r="H85" s="87">
        <f>((Formula!C85)/(Formula!C85+Formula!E85+Formula!G85+Formula!I85+Formula!K85))*(INDEX(Properties!A$1:CB$87,Formula!B85,4))+((Formula!E85)/(Formula!C85+Formula!E85+Formula!G85+Formula!I85+Formula!K85))*(INDEX(Properties!A$1:CB$87,Formula!D85,4))+((Formula!G85)/(Formula!C85+Formula!E85+Formula!G85+Formula!I85+Formula!K85))*(INDEX(Properties!A$1:CB$87,Formula!F85,4))+((Formula!I85)/(Formula!C85+Formula!E85+Formula!G85+Formula!I85+Formula!K85))*(INDEX(Properties!A$1:CB$87,Formula!H85,4))+((Formula!K85)/(Formula!C85+Formula!E85+Formula!G85+Formula!I85+Formula!K85))*(INDEX(Properties!A$1:CB$87,Formula!J85,4))</f>
        <v>8.6666666666666661</v>
      </c>
      <c r="I85" s="87">
        <f>Formula!C85*(INDEX(Properties!A$1:CB$87,Formula!B85,4))+Formula!E85*(INDEX(Properties!A$1:CB$87,Formula!D85,4))+Formula!G85*(INDEX(Properties!A$1:CB$87,Formula!F85,4))+Formula!I85*(INDEX(Properties!A$1:CB$87,Formula!H85,4))+Formula!K85*(INDEX(Properties!A$1:CB$87,Formula!J85,4))</f>
        <v>52</v>
      </c>
      <c r="J85" s="87">
        <f>VARP(IF(INDEX(Properties!A$1:CB$87,Formula!B85,4)&lt;&gt;"",INDEX(Properties!A$1:CB$87,Formula!B85,4)),IF(INDEX(Properties!A$1:CB$87,Formula!D85,4)&lt;&gt;"",INDEX(Properties!A$1:CB$87,Formula!D85,4)),IF(INDEX(Properties!A$1:CB$87,Formula!F85,4)&lt;&gt;"",INDEX(Properties!A$1:CB$87,Formula!F85,4)),IF(INDEX(Properties!A$1:CB$87,Formula!H85,4)&lt;&gt;"",INDEX(Properties!A$1:CB$87,Formula!H85,4)),IF(INDEX(Properties!A$1:CB$87,Formula!J85,4)&lt;&gt;"",INDEX(Properties!A$1:CB$87,Formula!J85,4)))</f>
        <v>47.76</v>
      </c>
      <c r="K85" s="87">
        <f>MAX(INDEX(Properties!A$1:CB$87,Formula!B85,4),INDEX(Properties!A$1:CB$87,Formula!D85,4),INDEX(Properties!A$1:CB$87,Formula!F85,4),INDEX(Properties!A$1:CB$87,Formula!H85,4),INDEX(Properties!A$1:CB$87,Formula!J85,4))</f>
        <v>20</v>
      </c>
      <c r="L85" s="87">
        <f>MIN(IF(INDEX(Properties!A$1:CB$87,Formula!B85,4)=0,10^6,INDEX(Properties!A$1:CB$87,Formula!B85,4)),IF(INDEX(Properties!A$1:CB$87,Formula!D85,4)=0,10^6,INDEX(Properties!A$1:CB$87,Formula!D85,4)),IF(INDEX(Properties!A$1:CB$87,Formula!F85,4)=0,10^6,INDEX(Properties!A$1:CB$87,Formula!F85,4)),IF(INDEX(Properties!A$1:CB$87,Formula!H85,4)=0,10^6,INDEX(Properties!A$1:CB$87,Formula!H85,4)),IF(INDEX(Properties!A$1:CB$87,Formula!J85,4)=0,10^6,INDEX(Properties!A$1:CB$87,Formula!J85,4)))</f>
        <v>3</v>
      </c>
      <c r="M85" s="87">
        <f t="shared" si="33"/>
        <v>17</v>
      </c>
      <c r="N85" s="89">
        <f>((Formula!C85)/(Formula!C85+Formula!E85+Formula!G85+Formula!I85+Formula!K85))*(INDEX(Properties!A$1:CB$87,Formula!B85,5))+((Formula!E85)/(Formula!C85+Formula!E85+Formula!G85+Formula!I85+Formula!K85))*(INDEX(Properties!A$1:CB$87,Formula!D85,5))+((Formula!G85)/(Formula!C85+Formula!E85+Formula!G85+Formula!I85+Formula!K85))*(INDEX(Properties!A$1:CB$87,Formula!F85,5))+((Formula!I85)/(Formula!C85+Formula!E85+Formula!G85+Formula!I85+Formula!K85))*(INDEX(Properties!A$1:CB$87,Formula!H85,5))+((Formula!K85)/(Formula!C85+Formula!E85+Formula!G85+Formula!I85+Formula!K85))*(INDEX(Properties!A$1:CB$87,Formula!J85,5))</f>
        <v>2.333333333333333</v>
      </c>
      <c r="O85" s="89">
        <f>Formula!C85*(INDEX(Properties!A$1:CB$87,Formula!B85,5))+Formula!E85*(INDEX(Properties!A$1:CB$87,Formula!D85,5))+Formula!G85*(INDEX(Properties!A$1:CB$87,Formula!F85,5))+Formula!I85*(INDEX(Properties!A$1:CB$87,Formula!H85,5))+Formula!K85*(INDEX(Properties!A$1:CB$87,Formula!J85,5))</f>
        <v>14</v>
      </c>
      <c r="P85" s="89">
        <f>VARP(IF(INDEX(Properties!A$1:CB$87,Formula!B85,5)&lt;&gt;"",INDEX(Properties!A$1:CB$87,Formula!B85,5)),IF(INDEX(Properties!A$1:CB$87,Formula!D85,5)&lt;&gt;"",INDEX(Properties!A$1:CB$87,Formula!D85,5)),IF(INDEX(Properties!A$1:CB$87,Formula!F85,5)&lt;&gt;"",INDEX(Properties!A$1:CB$87,Formula!F85,5)),IF(INDEX(Properties!A$1:CB$87,Formula!H85,5)&lt;&gt;"",INDEX(Properties!A$1:CB$87,Formula!H85,5)),IF(INDEX(Properties!A$1:CB$87,Formula!J85,5)&lt;&gt;"",INDEX(Properties!A$1:CB$87,Formula!J85,5)))</f>
        <v>1.6</v>
      </c>
      <c r="Q85" s="89">
        <f>MAX(INDEX(Properties!A$1:CB$87,Formula!B85,5),INDEX(Properties!A$1:CB$87,Formula!D85,5),INDEX(Properties!A$1:CB$87,Formula!F85,5),INDEX(Properties!A$1:CB$87,Formula!H85,5),INDEX(Properties!A$1:CB$87,Formula!J85,5))</f>
        <v>4</v>
      </c>
      <c r="R85" s="89">
        <f>MIN(IF(INDEX(Properties!A$1:CB$87,Formula!B85,5)=0,10^6,INDEX(Properties!A$1:CB$87,Formula!B85,5)),IF(INDEX(Properties!A$1:CB$87,Formula!D85,5)=0,10^6,INDEX(Properties!A$1:CB$87,Formula!D85,5)),IF(INDEX(Properties!A$1:CB$87,Formula!F85,5)=0,10^6,INDEX(Properties!A$1:CB$87,Formula!F85,5)),IF(INDEX(Properties!A$1:CB$87,Formula!H85,5)=0,10^6,INDEX(Properties!A$1:CB$87,Formula!H85,5)),IF(INDEX(Properties!A$1:CB$87,Formula!J85,5)=0,10^6,INDEX(Properties!A$1:CB$87,Formula!J85,5)))</f>
        <v>2</v>
      </c>
      <c r="S85" s="89">
        <f t="shared" si="34"/>
        <v>2</v>
      </c>
      <c r="T85" s="60">
        <f>((Formula!C85)/(Formula!C85+Formula!E85+Formula!G85+Formula!I85+Formula!K85))*(INDEX(Properties!A$1:CB$87,Formula!B85,6))+((Formula!E85)/(Formula!C85+Formula!E85+Formula!G85+Formula!I85+Formula!K85))*(INDEX(Properties!A$1:CB$87,Formula!D85,6))+((Formula!G85)/(Formula!C85+Formula!E85+Formula!G85+Formula!I85+Formula!K85))*(INDEX(Properties!A$1:CB$87,Formula!F85,6))+((Formula!I85)/(Formula!C85+Formula!E85+Formula!G85+Formula!I85+Formula!K85))*(INDEX(Properties!A$1:CB$87,Formula!H85,6))+((Formula!K85)/(Formula!C85+Formula!E85+Formula!G85+Formula!I85+Formula!K85))*(INDEX(Properties!A$1:CB$87,Formula!J85,6))</f>
        <v>10.666666666666666</v>
      </c>
      <c r="U85" s="60">
        <f>Formula!C85*(INDEX(Properties!A$1:CB$87,Formula!B85,6))+Formula!E85*(INDEX(Properties!A$1:CB$87,Formula!D85,6))+Formula!G85*(INDEX(Properties!A$1:CB$87,Formula!F85,6))+Formula!I85*(INDEX(Properties!A$1:CB$87,Formula!H85,6))+Formula!K85*(INDEX(Properties!A$1:CB$87,Formula!J85,6))</f>
        <v>64</v>
      </c>
      <c r="V85" s="89">
        <f>VARP(IF(INDEX(Properties!A$1:CB$87,Formula!B85,6)&lt;&gt;"",INDEX(Properties!A$1:CB$87,Formula!B85,6)),IF(INDEX(Properties!A$1:CB$87,Formula!D85,6)&lt;&gt;"",INDEX(Properties!A$1:CB$87,Formula!D85,6)),IF(INDEX(Properties!A$1:CB$87,Formula!F85,6)&lt;&gt;"",INDEX(Properties!A$1:CB$87,Formula!F85,6)),IF(INDEX(Properties!A$1:CB$87,Formula!H85,6)&lt;&gt;"",INDEX(Properties!A$1:CB$87,Formula!H85,6)),IF(INDEX(Properties!A$1:CB$87,Formula!J85,6)&lt;&gt;"",INDEX(Properties!A$1:CB$87,Formula!J85,6)))</f>
        <v>45.04</v>
      </c>
      <c r="W85" s="60">
        <f>MAX(INDEX(Properties!A$1:CB$87,Formula!B85,6),INDEX(Properties!A$1:CB$87,Formula!D85,6),INDEX(Properties!A$1:CB$87,Formula!F85,6),INDEX(Properties!A$1:CB$87,Formula!H85,4),INDEX(Properties!A$1:CB$87,Formula!J85,6))</f>
        <v>13</v>
      </c>
      <c r="X85" s="60">
        <f>MIN(IF(INDEX(Properties!A$1:CB$87,Formula!B85,6)=0,10^6,INDEX(Properties!A$1:CB$87,Formula!B85,6)),IF(INDEX(Properties!A$1:CB$87,Formula!D85,6)=0,10^6,INDEX(Properties!A$1:CB$87,Formula!D85,6)),IF(INDEX(Properties!A$1:CB$87,Formula!F85,6)=0,10^6,INDEX(Properties!A$1:CB$87,Formula!F85,6)),IF(INDEX(Properties!A$1:CB$87,Formula!H85,6)=0,10^6,INDEX(Properties!A$1:CB$87,Formula!H85,6)),IF(INDEX(Properties!A$1:CB$87,Formula!J85,6)=0,10^6,INDEX(Properties!A$1:CB$87,Formula!J85,6)))</f>
        <v>1</v>
      </c>
      <c r="Y85" s="60">
        <f t="shared" si="35"/>
        <v>12</v>
      </c>
      <c r="Z85" s="72">
        <f>((Formula!C85)/(Formula!C85+Formula!E85+Formula!G85+Formula!I85+Formula!K85))*(INDEX(Properties!A$1:CB$87,Formula!B85,9))+((Formula!E85)/(Formula!C85+Formula!E85+Formula!G85+Formula!I85+Formula!K85))*(INDEX(Properties!A$1:CB$87,Formula!D85,9))+((Formula!G85)/(Formula!C85+Formula!E85+Formula!G85+Formula!I85+Formula!K85))*(INDEX(Properties!A$1:CB$87,Formula!F85,9))+((Formula!I85)/(Formula!C85+Formula!E85+Formula!G85+Formula!I85+Formula!K85))*(INDEX(Properties!A$1:CB$87,Formula!H85,9))+((Formula!K85)/(Formula!C85+Formula!E85+Formula!G85+Formula!I85+Formula!K85))*(INDEX(Properties!A$1:CB$87,Formula!J85,9))</f>
        <v>56.833333333333336</v>
      </c>
      <c r="AA85" s="72">
        <f>Formula!C85*(INDEX(Properties!A$1:CB$87,Formula!B85,9))+Formula!E85*(INDEX(Properties!A$1:CB$87,Formula!D85,9))+Formula!G85*(INDEX(Properties!A$1:CB$87,Formula!F85,9))+Formula!I85*(INDEX(Properties!A$1:CB$87,Formula!H85,9))+Formula!K85*(INDEX(Properties!A$1:CB$87,Formula!J85,9))</f>
        <v>341</v>
      </c>
      <c r="AB85" s="72">
        <f>VARP(IF(INDEX(Properties!A$1:CB$87,Formula!B85,9)&lt;&gt;"",INDEX(Properties!A$1:CB$87,Formula!B85,9)),IF(INDEX(Properties!A$1:CB$87,Formula!D85,9)&lt;&gt;"",INDEX(Properties!A$1:CB$87,Formula!D85,9)),IF(INDEX(Properties!A$1:CB$87,Formula!F85,9)&lt;&gt;"",INDEX(Properties!A$1:CB$87,Formula!F85,9)),IF(INDEX(Properties!A$1:CB$87,Formula!H85,9)&lt;&gt;"",INDEX(Properties!A$1:CB$87,Formula!H85,9)),IF(INDEX(Properties!A$1:CB$87,Formula!J85,9)&lt;&gt;"",INDEX(Properties!A$1:CB$87,Formula!J85,9)))</f>
        <v>1445.04</v>
      </c>
      <c r="AC85" s="72">
        <f>MAX(INDEX(Properties!A$1:CB$87,Formula!B85,9),INDEX(Properties!A$1:CB$87,Formula!D85,9),INDEX(Properties!A$1:CB$87,Formula!F85,9),INDEX(Properties!A$1:CB$87,Formula!H85,9),INDEX(Properties!A$1:CB$87,Formula!J85,9))</f>
        <v>87</v>
      </c>
      <c r="AD85" s="72">
        <f>MIN(IF(INDEX(Properties!A$1:CB$87,Formula!B85,9)=0,10^6,INDEX(Properties!A$1:CB$87,Formula!B85,9)),IF(INDEX(Properties!A$1:CB$87,Formula!D85,9)=0,10^6,INDEX(Properties!A$1:CB$87,Formula!D85,9)),IF(INDEX(Properties!A$1:CB$87,Formula!F85,9)=0,10^6,INDEX(Properties!A$1:CB$87,Formula!F85,9)),IF(INDEX(Properties!A$1:CB$87,Formula!H85,9)=0,10^6,INDEX(Properties!A$1:CB$87,Formula!H85,9)),IF(INDEX(Properties!A$1:CB$87,Formula!J85,9)=0,10^6,INDEX(Properties!A$1:CB$87,Formula!J85,9)))</f>
        <v>1</v>
      </c>
      <c r="AE85" s="72">
        <f t="shared" si="36"/>
        <v>86</v>
      </c>
      <c r="AF85" s="51">
        <f>((Formula!C85)/(Formula!C85+Formula!E85+Formula!G85+Formula!I85+Formula!K85))*(INDEX(Properties!A$1:CB$87,Formula!B85,10))+((Formula!E85)/(Formula!C85+Formula!E85+Formula!G85+Formula!I85+Formula!K85))*(INDEX(Properties!A$1:CB$87,Formula!D85,10))+((Formula!G85)/(Formula!C85+Formula!E85+Formula!G85+Formula!I85+Formula!K85))*(INDEX(Properties!A$1:CB$87,Formula!F85,10))+((Formula!I85)/(Formula!C85+Formula!E85+Formula!G85+Formula!I85+Formula!K85))*(INDEX(Properties!A$1:CB$87,Formula!H85,10))+((Formula!K85)/(Formula!C85+Formula!E85+Formula!G85+Formula!I85+Formula!K85))*(INDEX(Properties!A$1:CB$87,Formula!J85,10))</f>
        <v>5</v>
      </c>
      <c r="AG85" s="51">
        <f>Formula!C85*(INDEX(Properties!A$1:CB$87,Formula!B85,10))+Formula!E85*(INDEX(Properties!A$1:CB$87,Formula!D85,10))+Formula!G85*(INDEX(Properties!A$1:CB$87,Formula!F85,10))+Formula!I85*(INDEX(Properties!A$1:CB$87,Formula!H85,10))+Formula!K85*(INDEX(Properties!A$1:CB$87,Formula!J85,10))</f>
        <v>30</v>
      </c>
      <c r="AH85" s="51">
        <f>VARP(IF(INDEX(Properties!A$1:CB$87,Formula!B85,10)&lt;&gt;"",INDEX(Properties!A$1:CB$87,Formula!B85,10)),IF(INDEX(Properties!A$1:CB$87,Formula!D85,10)&lt;&gt;"",INDEX(Properties!A$1:CB$87,Formula!D85,10)),IF(INDEX(Properties!A$1:CB$87,Formula!F85,10)&lt;&gt;"",INDEX(Properties!A$1:CB$87,Formula!F85,10)),IF(INDEX(Properties!A$1:CB$87,Formula!H85,10)&lt;&gt;"",INDEX(Properties!A$1:CB$87,Formula!H85,10)),IF(INDEX(Properties!A$1:CB$87,Formula!J85,10)&lt;&gt;"",INDEX(Properties!A$1:CB$87,Formula!J85,10)))</f>
        <v>7.76</v>
      </c>
      <c r="AI85" s="51">
        <f>MAX(INDEX(Properties!A$1:CB$87,Formula!B85,10),INDEX(Properties!A$1:CB$87,Formula!D85,10),INDEX(Properties!A$1:CB$87,Formula!F85,10),INDEX(Properties!A$1:CB$87,Formula!H85,10),INDEX(Properties!A$1:CB$87,Formula!J85,10))</f>
        <v>7</v>
      </c>
      <c r="AJ85" s="51">
        <f>MIN(IF(INDEX(Properties!A$1:CB$87,Formula!B85,10)=0,10^6,INDEX(Properties!A$1:CB$87,Formula!B85,10)),IF(INDEX(Properties!A$1:CB$87,Formula!D85,10)=0,10^6,INDEX(Properties!A$1:CB$87,Formula!D85,10)),IF(INDEX(Properties!A$1:CB$87,Formula!F85,10)=0,10^6,INDEX(Properties!A$1:CB$87,Formula!F85,10)),IF(INDEX(Properties!A$1:CB$87,Formula!H85,10)=0,10^6,INDEX(Properties!A$1:CB$87,Formula!H85,10)),IF(INDEX(Properties!A$1:CB$87,Formula!J85,10)=0,10^6,INDEX(Properties!A$1:CB$87,Formula!J85,10)))</f>
        <v>1</v>
      </c>
      <c r="AK85" s="51">
        <f t="shared" si="37"/>
        <v>6</v>
      </c>
      <c r="AL85" s="57">
        <f>((Formula!C85)/(Formula!C85+Formula!E85+Formula!G85+Formula!I85+Formula!K85))*(INDEX(Properties!A$1:CB$87,Formula!B85,11))+((Formula!E85)/(Formula!C85+Formula!E85+Formula!G85+Formula!I85+Formula!K85))*(INDEX(Properties!A$1:CB$87,Formula!D85,11))+((Formula!G85)/(Formula!C85+Formula!E85+Formula!G85+Formula!I85+Formula!K85))*(INDEX(Properties!A$1:CB$87,Formula!F85,11))+((Formula!I85)/(Formula!C85+Formula!E85+Formula!G85+Formula!I85+Formula!K85))*(INDEX(Properties!A$1:CB$87,Formula!H85,11))+((Formula!K85)/(Formula!C85+Formula!E85+Formula!G85+Formula!I85+Formula!K85))*(INDEX(Properties!A$1:CB$87,Formula!J85,11))</f>
        <v>1.8333333333333333</v>
      </c>
      <c r="AM85" s="57">
        <f>Formula!C85*(INDEX(Properties!A$1:CB$87,Formula!B85,11))+Formula!E85*(INDEX(Properties!A$1:CB$87,Formula!D85,11))+Formula!G85*(INDEX(Properties!A$1:CB$87,Formula!F85,11))+Formula!I85*(INDEX(Properties!A$1:CB$87,Formula!H85,11))+Formula!K85*(INDEX(Properties!A$1:CB$87,Formula!J85,11))</f>
        <v>11</v>
      </c>
      <c r="AN85" s="57">
        <f>VARP(IF(INDEX(Properties!A$1:CB$87,Formula!B85,11)&lt;&gt;"",INDEX(Properties!A$1:CB$87,Formula!B85,11)),IF(INDEX(Properties!A$1:CB$87,Formula!D85,11)&lt;&gt;"",INDEX(Properties!A$1:CB$87,Formula!D85,11)),IF(INDEX(Properties!A$1:CB$87,Formula!F85,11)&lt;&gt;"",INDEX(Properties!A$1:CB$87,Formula!F85,11)),IF(INDEX(Properties!A$1:CB$87,Formula!H85,11)&lt;&gt;"",INDEX(Properties!A$1:CB$87,Formula!H85,11)),IF(INDEX(Properties!A$1:CB$87,Formula!J85,11)&lt;&gt;"",INDEX(Properties!A$1:CB$87,Formula!J85,11)))</f>
        <v>0.64</v>
      </c>
      <c r="AO85" s="57">
        <f>MAX(INDEX(Properties!A$1:CB$87,Formula!B85,11),INDEX(Properties!A$1:CB$87,Formula!D85,11),INDEX(Properties!A$1:CB$87,Formula!F85,11),INDEX(Properties!A$1:CB$87,Formula!H85,11),INDEX(Properties!A$1:CB$87,Formula!J85,11))</f>
        <v>2</v>
      </c>
      <c r="AP85" s="57">
        <f>MIN(IF(Formula!B85=87,10^6,INDEX(Properties!A$1:CB$87,Formula!B85,11)),IF((Formula!D85)=87,10^6,INDEX(Properties!A$1:CB$87,Formula!D85,11)),IF((Formula!F85)=87,10^6,INDEX(Properties!A$1:CB$87,Formula!F85,11)),IF((Formula!H85)=87,10^6,INDEX(Properties!A$1:CB$87,Formula!H85,11)),IF(Formula!J85=87,10^6,INDEX(Properties!A$1:CB$87,Formula!J85,11)))</f>
        <v>1</v>
      </c>
      <c r="AQ85" s="57">
        <f t="shared" si="38"/>
        <v>1</v>
      </c>
      <c r="AR85" s="78">
        <f>((Formula!C85)/(Formula!C85+Formula!E85+Formula!G85+Formula!I85+Formula!K85))*(INDEX(Properties!A$1:CB$87,Formula!B85,12))+((Formula!E85)/(Formula!C85+Formula!E85+Formula!G85+Formula!I85+Formula!K85))*(INDEX(Properties!A$1:CB$87,Formula!D85,12))+((Formula!G85)/(Formula!C85+Formula!E85+Formula!G85+Formula!I85+Formula!K85))*(INDEX(Properties!A$1:CB$87,Formula!F85,12))+((Formula!I85)/(Formula!C85+Formula!E85+Formula!G85+Formula!I85+Formula!K85))*(INDEX(Properties!A$1:CB$87,Formula!H85,12))+((Formula!K85)/(Formula!C85+Formula!E85+Formula!G85+Formula!I85+Formula!K85))*(INDEX(Properties!A$1:CB$87,Formula!J85,12))</f>
        <v>2.1666666666666665</v>
      </c>
      <c r="AS85" s="78">
        <f>Formula!C85*(INDEX(Properties!A$1:CB$87,Formula!B85,12))+Formula!E85*(INDEX(Properties!A$1:CB$87,Formula!D85,12))+Formula!G85*(INDEX(Properties!A$1:CB$87,Formula!F85,12))+Formula!I85*(INDEX(Properties!A$1:CB$87,Formula!H85,12))+Formula!K85*(INDEX(Properties!A$1:CB$87,Formula!J85,12))</f>
        <v>13</v>
      </c>
      <c r="AT85" s="78">
        <f>VARP(IF(INDEX(Properties!A$1:CB$87,Formula!B85,12)&lt;&gt;"",INDEX(Properties!A$1:CB$87,Formula!B85,12)),IF(INDEX(Properties!A$1:CB$87,Formula!D85,12)&lt;&gt;"",INDEX(Properties!A$1:CB$87,Formula!D85,12)),IF(INDEX(Properties!A$1:CB$87,Formula!F85,12)&lt;&gt;"",INDEX(Properties!A$1:CB$87,Formula!F85,12)),IF(INDEX(Properties!A$1:CB$87,Formula!H85,12)&lt;&gt;"",INDEX(Properties!A$1:CB$87,Formula!H85,12)),IF(INDEX(Properties!A$1:CB$87,Formula!J85,12)&lt;&gt;"",INDEX(Properties!A$1:CB$87,Formula!J85,12)))</f>
        <v>2.4</v>
      </c>
      <c r="AU85" s="78">
        <f>MAX(INDEX(Properties!A$1:CB$87,Formula!B85,12),INDEX(Properties!A$1:CB$87,Formula!D85,12),INDEX(Properties!A$1:CB$87,Formula!F85,12),INDEX(Properties!A$1:CB$87,Formula!H85,12),INDEX(Properties!A$1:CB$87,Formula!J85,12))</f>
        <v>4</v>
      </c>
      <c r="AV85" s="78">
        <f>MIN(IF(Formula!B85=87,10^6,INDEX(Properties!A$1:CB$87,Formula!B85,12)),IF((Formula!D85)=87,10^6,INDEX(Properties!A$1:CB$87,Formula!D85,12)),IF((Formula!F85)=87,10^6,INDEX(Properties!A$1:CB$87,Formula!F85,12)),IF((Formula!H85)=87,10^6,INDEX(Properties!A$1:CB$87,Formula!H85,12)),IF(Formula!J85=87,10^6,INDEX(Properties!A$1:CB$87,Formula!J85,12)))</f>
        <v>0</v>
      </c>
      <c r="AW85" s="78">
        <f t="shared" si="39"/>
        <v>4</v>
      </c>
      <c r="AX85" s="45">
        <f>((Formula!C85)/(Formula!C85+Formula!E85+Formula!G85+Formula!I85+Formula!K85))*(INDEX(Properties!A$1:CB$87,Formula!B85,13))+((Formula!E85)/(Formula!C85+Formula!E85+Formula!G85+Formula!I85+Formula!K85))*(INDEX(Properties!A$1:CB$87,Formula!D85,13))+((Formula!G85)/(Formula!C85+Formula!E85+Formula!G85+Formula!I85+Formula!K85))*(INDEX(Properties!A$1:CB$87,Formula!F85,13))+((Formula!I85)/(Formula!C85+Formula!E85+Formula!G85+Formula!I85+Formula!K85))*(INDEX(Properties!A$1:CB$87,Formula!H85,13))+((Formula!K85)/(Formula!C85+Formula!E85+Formula!G85+Formula!I85+Formula!K85))*(INDEX(Properties!A$1:CB$87,Formula!J85,13))</f>
        <v>0</v>
      </c>
      <c r="AY85" s="45">
        <f>Formula!C85*(INDEX(Properties!A$1:CB$87,Formula!B85,13))+Formula!E85*(INDEX(Properties!A$1:CB$87,Formula!D85,13))+Formula!G85*(INDEX(Properties!A$1:CB$87,Formula!F85,13))+Formula!I85*(INDEX(Properties!A$1:CB$87,Formula!H85,13))+Formula!K85*(INDEX(Properties!A$1:CB$87,Formula!J85,13))</f>
        <v>0</v>
      </c>
      <c r="AZ85" s="45">
        <f>VARP(IF(INDEX(Properties!A$1:CB$87,Formula!B85,13)&lt;&gt;"",INDEX(Properties!A$1:CB$87,Formula!B85,13)),IF(INDEX(Properties!A$1:CB$87,Formula!D85,13)&lt;&gt;"",INDEX(Properties!A$1:CB$87,Formula!D85,13)),IF(INDEX(Properties!A$1:CB$87,Formula!F85,13)&lt;&gt;"",INDEX(Properties!A$1:CB$87,Formula!F85,13)),IF(INDEX(Properties!A$1:CB$87,Formula!H85,13)&lt;&gt;"",INDEX(Properties!A$1:CB$87,Formula!H85,13)),IF(INDEX(Properties!A$1:CB$87,Formula!J85,13)&lt;&gt;"",INDEX(Properties!A$1:CB$87,Formula!J85,13)))</f>
        <v>0</v>
      </c>
      <c r="BA85" s="45">
        <f>MAX(INDEX(Properties!A$1:CB$87,Formula!B85,13),INDEX(Properties!A$1:CB$87,Formula!D85,13),INDEX(Properties!A$1:CB$87,Formula!F85,13),INDEX(Properties!A$1:CB$87,Formula!H85,13),INDEX(Properties!A$1:CB$87,Formula!J85,13))</f>
        <v>0</v>
      </c>
      <c r="BB85" s="45">
        <f>MIN(IF(Formula!B85=87,10^6,INDEX(Properties!A$1:CB$87,Formula!B85,13)),IF((Formula!D85)=87,10^6,INDEX(Properties!A$1:CB$87,Formula!D85,13)),IF((Formula!F85)=87,10^6,INDEX(Properties!A$1:CB$87,Formula!F85,13)),IF((Formula!H85)=87,10^6,INDEX(Properties!A$1:CB$87,Formula!H85,13)),IF(Formula!J85=87,10^6,INDEX(Properties!A$1:CB$87,Formula!J85,13)))</f>
        <v>0</v>
      </c>
      <c r="BC85" s="45">
        <f t="shared" si="40"/>
        <v>0</v>
      </c>
      <c r="BD85" s="63">
        <f>((Formula!C85)/(Formula!C85+Formula!E85+Formula!G85+Formula!I85+Formula!K85))*(INDEX(Properties!A$1:CB$87,Formula!B85,14))+((Formula!E85)/(Formula!C85+Formula!E85+Formula!G85+Formula!I85+Formula!K85))*(INDEX(Properties!A$1:CB$87,Formula!D85,14))+((Formula!G85)/(Formula!C85+Formula!E85+Formula!G85+Formula!I85+Formula!K85))*(INDEX(Properties!A$1:CB$87,Formula!F85,14))+((Formula!I85)/(Formula!C85+Formula!E85+Formula!G85+Formula!I85+Formula!K85))*(INDEX(Properties!A$1:CB$87,Formula!H85,14))+((Formula!K85)/(Formula!C85+Formula!E85+Formula!G85+Formula!I85+Formula!K85))*(INDEX(Properties!A$1:CB$87,Formula!J85,14))</f>
        <v>0</v>
      </c>
      <c r="BE85" s="63">
        <f>Formula!C85*(INDEX(Properties!A$1:CB$87,Formula!B85,14))+Formula!E85*(INDEX(Properties!A$1:CB$87,Formula!D85,14))+Formula!G85*(INDEX(Properties!A$1:CB$87,Formula!F85,14))+Formula!I85*(INDEX(Properties!A$1:CB$87,Formula!H85,14))+Formula!K85*(INDEX(Properties!A$1:CB$87,Formula!J85,14))</f>
        <v>0</v>
      </c>
      <c r="BF85" s="63">
        <f>VARP(IF(INDEX(Properties!A$1:CB$87,Formula!B85,14)&lt;&gt;"",INDEX(Properties!A$1:CB$87,Formula!B85,14)),IF(INDEX(Properties!A$1:CB$87,Formula!D85,14)&lt;&gt;"",INDEX(Properties!A$1:CB$87,Formula!D85,14)),IF(INDEX(Properties!A$1:CB$87,Formula!F85,14)&lt;&gt;"",INDEX(Properties!A$1:CB$87,Formula!F85,14)),IF(INDEX(Properties!A$1:CB$87,Formula!H85,14)&lt;&gt;"",INDEX(Properties!A$1:CB$87,Formula!H85,14)),IF(INDEX(Properties!A$1:CB$87,Formula!J85,14)&lt;&gt;"",INDEX(Properties!A$1:CB$87,Formula!J85,14)))</f>
        <v>0</v>
      </c>
      <c r="BG85" s="63">
        <f>MAX(INDEX(Properties!A$1:CB$87,Formula!B85,14),INDEX(Properties!A$1:CB$87,Formula!D85,14),INDEX(Properties!A$1:CB$87,Formula!F85,14),INDEX(Properties!A$1:CB$87,Formula!H85,14),INDEX(Properties!A$1:CB$87,Formula!J85,14))</f>
        <v>0</v>
      </c>
      <c r="BH85" s="63">
        <f>MIN(IF(Formula!B85=87,10^6,INDEX(Properties!A$1:CB$87,Formula!B85,14)),IF((Formula!D85)=87,10^6,INDEX(Properties!A$1:CB$87,Formula!D85,14)),IF((Formula!F85)=87,10^6,INDEX(Properties!A$1:CB$87,Formula!F85,14)),IF((Formula!H85)=87,10^6,INDEX(Properties!A$1:CB$87,Formula!H85,14)),IF(Formula!J85=87,10^6,INDEX(Properties!A$1:CB$87,Formula!J85,14)))</f>
        <v>0</v>
      </c>
      <c r="BI85" s="63">
        <f t="shared" si="41"/>
        <v>0</v>
      </c>
      <c r="BJ85" s="75">
        <f>((Formula!C85)/(Formula!C85+Formula!E85+Formula!G85+Formula!I85+Formula!K85))*(INDEX(Properties!A$1:CB$87,Formula!B85,19))+((Formula!E85)/(Formula!C85+Formula!E85+Formula!G85+Formula!I85+Formula!K85))*(INDEX(Properties!A$1:CB$87,Formula!D85,19))+((Formula!G85)/(Formula!C85+Formula!E85+Formula!G85+Formula!I85+Formula!K85))*(INDEX(Properties!A$1:CB$87,Formula!F85,19))+((Formula!I85)/(Formula!C85+Formula!E85+Formula!G85+Formula!I85+Formula!K85))*(INDEX(Properties!A$1:CB$87,Formula!H85,19))+((Formula!K85)/(Formula!C85+Formula!E85+Formula!G85+Formula!I85+Formula!K85))*(INDEX(Properties!A$1:CB$87,Formula!J85,19))</f>
        <v>4</v>
      </c>
      <c r="BK85" s="75">
        <f>Formula!C85*(INDEX(Properties!A$1:CB$87,Formula!B85,19))+Formula!E85*(INDEX(Properties!A$1:CB$87,Formula!D85,19))+Formula!G85*(INDEX(Properties!A$1:CB$87,Formula!F85,19))+Formula!I85*(INDEX(Properties!A$1:CB$87,Formula!H85,19))+Formula!K85*(INDEX(Properties!A$1:CB$87,Formula!J85,19))</f>
        <v>24</v>
      </c>
      <c r="BL85" s="75">
        <f>VARP(IF(INDEX(Properties!A$1:CB$87,Formula!B85,19)&lt;&gt;"",INDEX(Properties!A$1:CB$87,Formula!B85,19)),IF(INDEX(Properties!A$1:CB$87,Formula!D85,19)&lt;&gt;"",INDEX(Properties!A$1:CB$87,Formula!D85,19)),IF(INDEX(Properties!A$1:CB$87,Formula!F85,19)&lt;&gt;"",INDEX(Properties!A$1:CB$87,Formula!F85,19)),IF(INDEX(Properties!A$1:CB$87,Formula!H85,19)&lt;&gt;"",INDEX(Properties!A$1:CB$87,Formula!H85,19)),IF(INDEX(Properties!A$1:CB$87,Formula!J85,19)&lt;&gt;"",INDEX(Properties!A$1:CB$87,Formula!J85,19)))</f>
        <v>4.24</v>
      </c>
      <c r="BM85" s="75">
        <f>MAX(INDEX(Properties!A$1:CB$87,Formula!B85,19),INDEX(Properties!A$1:CB$87,Formula!D85,19),INDEX(Properties!A$1:CB$87,Formula!F85,19),INDEX(Properties!A$1:CB$87,Formula!H85,19),INDEX(Properties!A$1:CB$87,Formula!J85,19))</f>
        <v>6</v>
      </c>
      <c r="BN85" s="75">
        <f>MIN(IF(INDEX(Properties!A$1:CB$87,Formula!B85,19)=0,10^6,INDEX(Properties!A$1:CB$87,Formula!B85,19)),IF(INDEX(Properties!A$1:CB$87,Formula!D85,19)=0,10^6,INDEX(Properties!A$1:CB$87,Formula!D85,19)),IF(INDEX(Properties!A$1:CB$87,Formula!F85,19)=0,10^6,INDEX(Properties!A$1:CB$87,Formula!F85,19)),IF(INDEX(Properties!A$1:CB$87,Formula!H85,19)=0,10^6,INDEX(Properties!A$1:CB$87,Formula!H85,19)),IF(INDEX(Properties!A$1:CB$87,Formula!J85,19)=0,10^6,INDEX(Properties!A$1:CB$87,Formula!J85,19)))</f>
        <v>1</v>
      </c>
      <c r="BO85" s="75">
        <f t="shared" si="42"/>
        <v>5</v>
      </c>
      <c r="BP85" s="48">
        <f>((Formula!C85)/(Formula!C85+Formula!E85+Formula!G85+Formula!I85+Formula!K85))*(INDEX(Properties!A$1:CB$87,Formula!B85,20))+((Formula!E85)/(Formula!C85+Formula!E85+Formula!G85+Formula!I85+Formula!K85))*(INDEX(Properties!A$1:CB$87,Formula!D85,20))+((Formula!G85)/(Formula!C85+Formula!E85+Formula!G85+Formula!I85+Formula!K85))*(INDEX(Properties!A$1:CB$87,Formula!F85,20))+((Formula!I85)/(Formula!C85+Formula!E85+Formula!G85+Formula!I85+Formula!K85))*(INDEX(Properties!A$1:CB$87,Formula!H85,20))+((Formula!K85)/(Formula!C85+Formula!E85+Formula!G85+Formula!I85+Formula!K85))*(INDEX(Properties!A$1:CB$87,Formula!J85,20))</f>
        <v>4</v>
      </c>
      <c r="BQ85" s="48">
        <f>Formula!C85*(INDEX(Properties!A$1:CB$87,Formula!B85,20))+Formula!E85*(INDEX(Properties!A$1:CB$87,Formula!D85,20))+Formula!G85*(INDEX(Properties!A$1:CB$87,Formula!F85,20))+Formula!I85*(INDEX(Properties!A$1:CB$87,Formula!H85,20))+Formula!K85*(INDEX(Properties!A$1:CB$87,Formula!J85,20))</f>
        <v>24</v>
      </c>
      <c r="BR85" s="48">
        <f>VARP(IF(INDEX(Properties!A$1:CB$87,Formula!B85,20)&lt;&gt;"",INDEX(Properties!A$1:CB$87,Formula!B85,20)),IF(INDEX(Properties!A$1:CB$87,Formula!D85,20)&lt;&gt;"",INDEX(Properties!A$1:CB$87,Formula!D85,20)),IF(INDEX(Properties!A$1:CB$87,Formula!F85,20)&lt;&gt;"",INDEX(Properties!A$1:CB$87,Formula!F85,20)),IF(INDEX(Properties!A$1:CB$87,Formula!H85,20)&lt;&gt;"",INDEX(Properties!A$1:CB$87,Formula!H85,20)),IF(INDEX(Properties!A$1:CB$87,Formula!J85,20)&lt;&gt;"",INDEX(Properties!A$1:CB$87,Formula!J85,20)))</f>
        <v>4.24</v>
      </c>
      <c r="BS85" s="48">
        <f>MAX(INDEX(Properties!A$1:CB$87,Formula!B85,20),INDEX(Properties!A$1:CB$87,Formula!D85,20),INDEX(Properties!A$1:CB$87,Formula!F85,20),INDEX(Properties!A$1:CB$87,Formula!H85,20),INDEX(Properties!A$1:CB$87,Formula!J85,20))</f>
        <v>6</v>
      </c>
      <c r="BT85" s="48">
        <f>MIN(IF(INDEX(Properties!A$1:CB$87,Formula!B85,20)=0,10^6,INDEX(Properties!A$1:CB$87,Formula!B85,20)),IF(INDEX(Properties!A$1:CB$87,Formula!D85,20)=0,10^6,INDEX(Properties!A$1:CB$87,Formula!D85,20)),IF(INDEX(Properties!A$1:CB$87,Formula!F85,20)=0,10^6,INDEX(Properties!A$1:CB$87,Formula!F85,20)),IF(INDEX(Properties!A$1:CB$87,Formula!H85,20)=0,10^6,INDEX(Properties!A$1:CB$87,Formula!H85,20)),IF(INDEX(Properties!A$1:CB$87,Formula!J85,20)=0,10^6,INDEX(Properties!A$1:CB$87,Formula!J85,20)))</f>
        <v>1</v>
      </c>
      <c r="BU85" s="48">
        <f t="shared" si="43"/>
        <v>5</v>
      </c>
      <c r="BV85" s="66">
        <f>((Formula!C85)/(Formula!C85+Formula!E85+Formula!G85+Formula!I85+Formula!K85))*(INDEX(Properties!A$1:CB$87,Formula!B85,21))+((Formula!E85)/(Formula!C85+Formula!E85+Formula!G85+Formula!I85+Formula!K85))*(INDEX(Properties!A$1:CB$87,Formula!D85,21))+((Formula!G85)/(Formula!C85+Formula!E85+Formula!G85+Formula!I85+Formula!K85))*(INDEX(Properties!A$1:CB$87,Formula!F85,21))+((Formula!I85)/(Formula!C85+Formula!E85+Formula!G85+Formula!I85+Formula!K85))*(INDEX(Properties!A$1:CB$87,Formula!H85,21))+((Formula!K85)/(Formula!C85+Formula!E85+Formula!G85+Formula!I85+Formula!K85))*(INDEX(Properties!A$1:CB$87,Formula!J85,21))</f>
        <v>4</v>
      </c>
      <c r="BW85" s="66">
        <f>Formula!C85*(INDEX(Properties!A$1:CB$87,Formula!B85,21))+Formula!E85*(INDEX(Properties!A$1:CB$87,Formula!D85,21))+Formula!G85*(INDEX(Properties!A$1:CB$87,Formula!F85,21))+Formula!I85*(INDEX(Properties!A$1:CB$87,Formula!H85,21))+Formula!K85*(INDEX(Properties!A$1:CB$87,Formula!J85,21))</f>
        <v>24</v>
      </c>
      <c r="BX85" s="66">
        <f>VARP(IF(INDEX(Properties!A$1:CB$87,Formula!B85,21)&lt;&gt;"",INDEX(Properties!A$1:CB$87,Formula!B85,21)),IF(INDEX(Properties!A$1:CB$87,Formula!D85,21)&lt;&gt;"",INDEX(Properties!A$1:CB$87,Formula!D85,21)),IF(INDEX(Properties!A$1:CB$87,Formula!F85,21)&lt;&gt;"",INDEX(Properties!A$1:CB$87,Formula!F85,21)),IF(INDEX(Properties!A$1:CB$87,Formula!H85,21)&lt;&gt;"",INDEX(Properties!A$1:CB$87,Formula!H85,21)),IF(INDEX(Properties!A$1:CB$87,Formula!J85,21)&lt;&gt;"",INDEX(Properties!A$1:CB$87,Formula!J85,21)))</f>
        <v>4.24</v>
      </c>
      <c r="BY85" s="66">
        <f>MAX(INDEX(Properties!A$1:CB$87,Formula!B85,21),INDEX(Properties!A$1:CB$87,Formula!D85,21),INDEX(Properties!A$1:CB$87,Formula!F85,21),INDEX(Properties!A$1:CB$87,Formula!H85,21),INDEX(Properties!A$1:CB$87,Formula!J85,21))</f>
        <v>6</v>
      </c>
      <c r="BZ85" s="66">
        <f>MIN(IF(INDEX(Properties!A$1:CB$87,Formula!B85,21)=0,10^6,INDEX(Properties!A$1:CB$87,Formula!B85,21)),IF(INDEX(Properties!A$1:CB$87,Formula!D85,21)=0,10^6,INDEX(Properties!A$1:CB$87,Formula!D85,21)),IF(INDEX(Properties!A$1:CB$87,Formula!F85,21)=0,10^6,INDEX(Properties!A$1:CB$87,Formula!F85,21)),IF(INDEX(Properties!A$1:CB$87,Formula!H85,21)=0,10^6,INDEX(Properties!A$1:CB$87,Formula!H85,21)),IF(INDEX(Properties!A$1:CB$87,Formula!J85,21)=0,10^6,INDEX(Properties!A$1:CB$87,Formula!J85,21)))</f>
        <v>1</v>
      </c>
      <c r="CA85" s="66">
        <f t="shared" si="44"/>
        <v>5</v>
      </c>
      <c r="CB85" s="81">
        <f>((Formula!C85)/(Formula!C85+Formula!E85+Formula!G85+Formula!I85+Formula!K85))*(INDEX(Properties!A$1:CB$87,Formula!B85,23))+((Formula!E85)/(Formula!C85+Formula!E85+Formula!G85+Formula!I85+Formula!K85))*(INDEX(Properties!A$1:CB$87,Formula!D85,23))+((Formula!G85)/(Formula!C85+Formula!E85+Formula!G85+Formula!I85+Formula!K85))*(INDEX(Properties!A$1:CB$87,Formula!F85,23))+((Formula!I85)/(Formula!C85+Formula!E85+Formula!G85+Formula!I85+Formula!K85))*(INDEX(Properties!A$1:CB$87,Formula!H85,23))+((Formula!K85)/(Formula!C85+Formula!E85+Formula!G85+Formula!I85+Formula!K85))*(INDEX(Properties!A$1:CB$87,Formula!J85,23))</f>
        <v>1</v>
      </c>
      <c r="CC85" s="81">
        <f>Formula!C85*(INDEX(Properties!A$1:CB$87,Formula!B85,23))+Formula!E85*(INDEX(Properties!A$1:CB$87,Formula!D85,23))+Formula!G85*(INDEX(Properties!A$1:CB$87,Formula!F85,23))+Formula!I85*(INDEX(Properties!A$1:CB$87,Formula!H85,23))+Formula!K85*(INDEX(Properties!A$1:CB$87,Formula!J85,23))</f>
        <v>6</v>
      </c>
      <c r="CD85" s="81">
        <f>VARP(IF(INDEX(Properties!A$1:CB$87,Formula!B85,23)&lt;&gt;"",INDEX(Properties!A$1:CB$87,Formula!B85,23)),IF(INDEX(Properties!A$1:CB$87,Formula!D85,23)&lt;&gt;"",INDEX(Properties!A$1:CB$87,Formula!D85,23)),IF(INDEX(Properties!A$1:CB$87,Formula!F85,23)&lt;&gt;"",INDEX(Properties!A$1:CB$87,Formula!F85,23)),IF(INDEX(Properties!A$1:CB$87,Formula!H85,23)&lt;&gt;"",INDEX(Properties!A$1:CB$87,Formula!H85,23)),IF(INDEX(Properties!A$1:CB$87,Formula!J85,23)&lt;&gt;"",INDEX(Properties!A$1:CB$87,Formula!J85,23)))</f>
        <v>1.36</v>
      </c>
      <c r="CE85" s="81">
        <f>MAX(INDEX(Properties!A$1:CB$87,Formula!B85,23),INDEX(Properties!A$1:CB$87,Formula!D85,23),INDEX(Properties!A$1:CB$87,Formula!F85,23),INDEX(Properties!A$1:CB$87,Formula!H85,23),INDEX(Properties!A$1:CB$87,Formula!J85,23))</f>
        <v>3</v>
      </c>
      <c r="CF85" s="81">
        <f>MIN(IF(Formula!B85=87,10^6,INDEX(Properties!A$1:CB$87,Formula!B85,23)),IF((Formula!D85)=87,10^6,INDEX(Properties!A$1:CB$87,Formula!D85,23)),IF((Formula!F85)=87,10^6,INDEX(Properties!A$1:CB$87,Formula!F85,23)),IF((Formula!H85)=87,10^6,INDEX(Properties!A$1:CB$87,Formula!H85,23)),IF(Formula!J85=87,10^6,INDEX(Properties!A$1:CB$87,Formula!J85,23)))</f>
        <v>0</v>
      </c>
      <c r="CG85" s="81">
        <f t="shared" si="45"/>
        <v>3</v>
      </c>
      <c r="CH85" s="39">
        <f>((Formula!C85)/(Formula!C85+Formula!E85+Formula!G85+Formula!I85+Formula!K85))*(INDEX(Properties!A$1:CB$87,Formula!B85,26))+((Formula!E85)/(Formula!C85+Formula!E85+Formula!G85+Formula!I85+Formula!K85))*(INDEX(Properties!A$1:CB$87,Formula!D85,26))+((Formula!G85)/(Formula!C85+Formula!E85+Formula!G85+Formula!I85+Formula!K85))*(INDEX(Properties!A$1:CB$87,Formula!F85,26))+((Formula!I85)/(Formula!C85+Formula!E85+Formula!G85+Formula!I85+Formula!K85))*(INDEX(Properties!A$1:CB$87,Formula!H85,26))+((Formula!K85)/(Formula!C85+Formula!E85+Formula!G85+Formula!I85+Formula!K85))*(INDEX(Properties!A$1:CB$87,Formula!J85,26))</f>
        <v>10.109533333333333</v>
      </c>
      <c r="CI85" s="39">
        <f>Formula!C85*(INDEX(Properties!A$1:CB$87,Formula!B85,26))+Formula!E85*(INDEX(Properties!A$1:CB$87,Formula!D85,26))+Formula!G85*(INDEX(Properties!A$1:CB$87,Formula!F85,26))+Formula!I85*(INDEX(Properties!A$1:CB$87,Formula!H85,26))+Formula!K85*(INDEX(Properties!A$1:CB$87,Formula!J85,26))</f>
        <v>60.657200000000003</v>
      </c>
      <c r="CJ85" s="39">
        <f>VARP(IF(INDEX(Properties!A$1:CB$87,Formula!B85,26)&lt;&gt;"",INDEX(Properties!A$1:CB$87,Formula!B85,26)),IF(INDEX(Properties!A$1:CB$87,Formula!D85,26)&lt;&gt;"",INDEX(Properties!A$1:CB$87,Formula!D85,26)),IF(INDEX(Properties!A$1:CB$87,Formula!F85,26)&lt;&gt;"",INDEX(Properties!A$1:CB$87,Formula!F85,26)),IF(INDEX(Properties!A$1:CB$87,Formula!H85,26)&lt;&gt;"",INDEX(Properties!A$1:CB$87,Formula!H85,26)),IF(INDEX(Properties!A$1:CB$87,Formula!J85,26)&lt;&gt;"",INDEX(Properties!A$1:CB$87,Formula!J85,26)))</f>
        <v>19.471689308000006</v>
      </c>
      <c r="CK85" s="39">
        <f>MAX(INDEX(Properties!A$1:CB$87,Formula!B85,26),INDEX(Properties!A$1:CB$87,Formula!D85,26),INDEX(Properties!A$1:CB$87,Formula!F85,26),INDEX(Properties!A$1:CB$87,Formula!H85,26),INDEX(Properties!A$1:CB$87,Formula!J85,26))</f>
        <v>13.6181</v>
      </c>
      <c r="CL85" s="39">
        <f>MIN(IF(INDEX(Properties!A$1:CB$87,Formula!B85,26)=0,10^6,INDEX(Properties!A$1:CB$87,Formula!B85,26)),IF(INDEX(Properties!A$1:CB$87,Formula!D85,26)=0,10^6,INDEX(Properties!A$1:CB$87,Formula!D85,26)),IF(INDEX(Properties!A$1:CB$87,Formula!F85,26)=0,10^6,INDEX(Properties!A$1:CB$87,Formula!F85,26)),IF(INDEX(Properties!A$1:CB$87,Formula!H85,26)=0,10^6,INDEX(Properties!A$1:CB$87,Formula!H85,26)),IF(INDEX(Properties!A$1:CB$87,Formula!J85,26)=0,10^6,INDEX(Properties!A$1:CB$87,Formula!J85,26)))</f>
        <v>5.3917000000000002</v>
      </c>
      <c r="CM85" s="39">
        <f t="shared" si="46"/>
        <v>8.2263999999999999</v>
      </c>
      <c r="CN85" s="54">
        <f>((Formula!C85)/(Formula!C85+Formula!E85+Formula!G85+Formula!I85+Formula!K85))*(INDEX(Properties!A$1:CB$87,Formula!B85,30))+((Formula!E85)/(Formula!C85+Formula!E85+Formula!G85+Formula!I85+Formula!K85))*(INDEX(Properties!A$1:CB$87,Formula!D85,30))+((Formula!G85)/(Formula!C85+Formula!E85+Formula!G85+Formula!I85+Formula!K85))*(INDEX(Properties!A$1:CB$87,Formula!F85,30))+((Formula!I85)/(Formula!C85+Formula!E85+Formula!G85+Formula!I85+Formula!K85))*(INDEX(Properties!A$1:CB$87,Formula!H85,30))+((Formula!K85)/(Formula!C85+Formula!E85+Formula!G85+Formula!I85+Formula!K85))*(INDEX(Properties!A$1:CB$87,Formula!J85,30))</f>
        <v>2.3899999999999997</v>
      </c>
      <c r="CO85" s="54">
        <f>Formula!C85*(INDEX(Properties!A$1:CB$87,Formula!B85,30))+Formula!E85*(INDEX(Properties!A$1:CB$87,Formula!D85,30))+Formula!G85*(INDEX(Properties!A$1:CB$87,Formula!F85,30))+Formula!I85*(INDEX(Properties!A$1:CB$87,Formula!H85,30))+Formula!K85*(INDEX(Properties!A$1:CB$87,Formula!J85,30))</f>
        <v>14.34</v>
      </c>
      <c r="CP85" s="54">
        <f>VARP(IF(INDEX(Properties!A$1:CB$87,Formula!B85,30)&lt;&gt;"",INDEX(Properties!A$1:CB$87,Formula!B85,30)),IF(INDEX(Properties!A$1:CB$87,Formula!D85,30)&lt;&gt;"",INDEX(Properties!A$1:CB$87,Formula!D85,30)),IF(INDEX(Properties!A$1:CB$87,Formula!F85,30)&lt;&gt;"",INDEX(Properties!A$1:CB$87,Formula!F85,30)),IF(INDEX(Properties!A$1:CB$87,Formula!H85,30)&lt;&gt;"",INDEX(Properties!A$1:CB$87,Formula!H85,30)),IF(INDEX(Properties!A$1:CB$87,Formula!J85,30)&lt;&gt;"",INDEX(Properties!A$1:CB$87,Formula!J85,30)))</f>
        <v>1.365056</v>
      </c>
      <c r="CQ85" s="54">
        <f>MAX(INDEX(Properties!A$1:CB$87,Formula!B85,30),INDEX(Properties!A$1:CB$87,Formula!D85,30),INDEX(Properties!A$1:CB$87,Formula!F85,30),INDEX(Properties!A$1:CB$87,Formula!H85,30),INDEX(Properties!A$1:CB$87,Formula!J85,30))</f>
        <v>3.44</v>
      </c>
      <c r="CR85" s="54">
        <f>MIN(IF(INDEX(Properties!A$1:CB$87,Formula!B85,30)=0,10^6,INDEX(Properties!A$1:CB$87,Formula!B85,30)),IF(INDEX(Properties!A$1:CB$87,Formula!D85,30)=0,10^6,INDEX(Properties!A$1:CB$87,Formula!D85,30)),IF(INDEX(Properties!A$1:CB$87,Formula!F85,30)=0,10^6,INDEX(Properties!A$1:CB$87,Formula!F85,30)),IF(INDEX(Properties!A$1:CB$87,Formula!H85,30)=0,10^6,INDEX(Properties!A$1:CB$87,Formula!H85,30)),IF(INDEX(Properties!A$1:CB$87,Formula!J85,30)=0,10^6,INDEX(Properties!A$1:CB$87,Formula!J85,30)))</f>
        <v>0.98</v>
      </c>
      <c r="CS85" s="54">
        <f t="shared" si="47"/>
        <v>2.46</v>
      </c>
      <c r="CT85" s="69">
        <f>((Formula!C85)/(Formula!C85+Formula!E85+Formula!G85+Formula!I85+Formula!K85))*(INDEX(Properties!A$1:CB$87,Formula!B85,31))+((Formula!E85)/(Formula!C85+Formula!E85+Formula!G85+Formula!I85+Formula!K85))*(INDEX(Properties!A$1:CB$87,Formula!D85,31))+((Formula!G85)/(Formula!C85+Formula!E85+Formula!G85+Formula!I85+Formula!K85))*(INDEX(Properties!A$1:CB$87,Formula!F85,31))+((Formula!I85)/(Formula!C85+Formula!E85+Formula!G85+Formula!I85+Formula!K85))*(INDEX(Properties!A$1:CB$87,Formula!H85,31))+((Formula!K85)/(Formula!C85+Formula!E85+Formula!G85+Formula!I85+Formula!K85))*(INDEX(Properties!A$1:CB$87,Formula!J85,31))</f>
        <v>2.3216666666666663</v>
      </c>
      <c r="CU85" s="69">
        <f>Formula!C85*(INDEX(Properties!A$1:CB$87,Formula!B85,31))+Formula!E85*(INDEX(Properties!A$1:CB$87,Formula!D85,31))+Formula!G85*(INDEX(Properties!A$1:CB$87,Formula!F85,31))+Formula!I85*(INDEX(Properties!A$1:CB$87,Formula!H85,31))+Formula!K85*(INDEX(Properties!A$1:CB$87,Formula!J85,31))</f>
        <v>13.93</v>
      </c>
      <c r="CV85" s="69">
        <f>VARP(IF(INDEX(Properties!A$1:CB$87,Formula!B85,31)&lt;&gt;"",INDEX(Properties!A$1:CB$87,Formula!B85,31)),IF(INDEX(Properties!A$1:CB$87,Formula!D85,31)&lt;&gt;"",INDEX(Properties!A$1:CB$87,Formula!D85,31)),IF(INDEX(Properties!A$1:CB$87,Formula!F85,31)&lt;&gt;"",INDEX(Properties!A$1:CB$87,Formula!F85,31)),IF(INDEX(Properties!A$1:CB$87,Formula!H85,31)&lt;&gt;"",INDEX(Properties!A$1:CB$87,Formula!H85,31)),IF(INDEX(Properties!A$1:CB$87,Formula!J85,31)&lt;&gt;"",INDEX(Properties!A$1:CB$87,Formula!J85,31)))</f>
        <v>1.2364960000000005</v>
      </c>
      <c r="CW85" s="69">
        <f>MAX(INDEX(Properties!A$1:CB$87,Formula!B85,31),INDEX(Properties!A$1:CB$87,Formula!D85,31),INDEX(Properties!A$1:CB$87,Formula!F85,31),INDEX(Properties!A$1:CB$87,Formula!H85,31),INDEX(Properties!A$1:CB$87,Formula!J85,31))</f>
        <v>3.32</v>
      </c>
      <c r="CX85" s="69">
        <f>MIN(IF(INDEX(Properties!A$1:CB$87,Formula!B85,31)=0,10^6,INDEX(Properties!A$1:CB$87,Formula!B85,31)),IF(INDEX(Properties!A$1:CB$87,Formula!D85,31)=0,10^6,INDEX(Properties!A$1:CB$87,Formula!D85,31)),IF(INDEX(Properties!A$1:CB$87,Formula!F85,31)=0,10^6,INDEX(Properties!A$1:CB$87,Formula!F85,31)),IF(INDEX(Properties!A$1:CB$87,Formula!H85,31)=0,10^6,INDEX(Properties!A$1:CB$87,Formula!H85,31)),IF(INDEX(Properties!A$1:CB$87,Formula!J85,31)=0,10^6,INDEX(Properties!A$1:CB$87,Formula!J85,31)))</f>
        <v>0.9</v>
      </c>
      <c r="CY85" s="69">
        <f t="shared" si="48"/>
        <v>2.42</v>
      </c>
      <c r="CZ85" s="42">
        <f>((Formula!C85)/(Formula!C85+Formula!E85+Formula!G85+Formula!I85+Formula!K85))*(INDEX(Properties!A$1:CB$87,Formula!B85,32))+((Formula!E85)/(Formula!C85+Formula!E85+Formula!G85+Formula!I85+Formula!K85))*(INDEX(Properties!A$1:CB$87,Formula!D85,32))+((Formula!G85)/(Formula!C85+Formula!E85+Formula!G85+Formula!I85+Formula!K85))*(INDEX(Properties!A$1:CB$87,Formula!F85,32))+((Formula!I85)/(Formula!C85+Formula!E85+Formula!G85+Formula!I85+Formula!K85))*(INDEX(Properties!A$1:CB$87,Formula!H85,32))+((Formula!K85)/(Formula!C85+Formula!E85+Formula!G85+Formula!I85+Formula!K85))*(INDEX(Properties!A$1:CB$87,Formula!J85,32))</f>
        <v>5.3533333333333335</v>
      </c>
      <c r="DA85" s="42">
        <f>Formula!C85*(INDEX(Properties!A$1:CB$87,Formula!B85,32))+Formula!E85*(INDEX(Properties!A$1:CB$87,Formula!D85,32))+Formula!G85*(INDEX(Properties!A$1:CB$87,Formula!F85,32))+Formula!I85*(INDEX(Properties!A$1:CB$87,Formula!H85,32))+Formula!K85*(INDEX(Properties!A$1:CB$87,Formula!J85,32))</f>
        <v>32.120000000000005</v>
      </c>
      <c r="DB85" s="42">
        <f>VARP(IF(INDEX(Properties!A$1:CB$87,Formula!B85,32)&lt;&gt;"",INDEX(Properties!A$1:CB$87,Formula!B85,32)),IF(INDEX(Properties!A$1:CB$87,Formula!D85,32)&lt;&gt;"",INDEX(Properties!A$1:CB$87,Formula!D85,32)),IF(INDEX(Properties!A$1:CB$87,Formula!F85,32)&lt;&gt;"",INDEX(Properties!A$1:CB$87,Formula!F85,32)),IF(INDEX(Properties!A$1:CB$87,Formula!H85,32)&lt;&gt;"",INDEX(Properties!A$1:CB$87,Formula!H85,32)),IF(INDEX(Properties!A$1:CB$87,Formula!J85,32)&lt;&gt;"",INDEX(Properties!A$1:CB$87,Formula!J85,32)))</f>
        <v>6.2166960000000016</v>
      </c>
      <c r="DC85" s="42">
        <f>MAX(INDEX(Properties!A$1:CB$87,Formula!B85,32),INDEX(Properties!A$1:CB$87,Formula!D85,32),INDEX(Properties!A$1:CB$87,Formula!F85,32),INDEX(Properties!A$1:CB$87,Formula!H85,32),INDEX(Properties!A$1:CB$87,Formula!J85,32))</f>
        <v>7.54</v>
      </c>
      <c r="DD85" s="42">
        <f>MIN(IF(INDEX(Properties!A$1:CB$87,Formula!B85,32)=0,10^6,INDEX(Properties!A$1:CB$87,Formula!B85,32)),IF(INDEX(Properties!A$1:CB$87,Formula!D85,32)=0,10^6,INDEX(Properties!A$1:CB$87,Formula!D85,32)),IF(INDEX(Properties!A$1:CB$87,Formula!F85,32)=0,10^6,INDEX(Properties!A$1:CB$87,Formula!F85,32)),IF(INDEX(Properties!A$1:CB$87,Formula!H85,32)=0,10^6,INDEX(Properties!A$1:CB$87,Formula!H85,32)),IF(INDEX(Properties!A$1:CB$87,Formula!J85,32)=0,10^6,INDEX(Properties!A$1:CB$87,Formula!J85,32)))</f>
        <v>2.2000000000000002</v>
      </c>
      <c r="DE85" s="42">
        <f t="shared" si="49"/>
        <v>5.34</v>
      </c>
      <c r="DF85" s="60">
        <f>((Formula!C85)/(Formula!C85+Formula!E85+Formula!G85+Formula!I85+Formula!K85))*(INDEX(Properties!A$1:CB$87,Formula!B85,34))+((Formula!E85)/(Formula!C85+Formula!E85+Formula!G85+Formula!I85+Formula!K85))*(INDEX(Properties!A$1:CB$87,Formula!D85,34))+((Formula!G85)/(Formula!C85+Formula!E85+Formula!G85+Formula!I85+Formula!K85))*(INDEX(Properties!A$1:CB$87,Formula!F85,34))+((Formula!I85)/(Formula!C85+Formula!E85+Formula!G85+Formula!I85+Formula!K85))*(INDEX(Properties!A$1:CB$87,Formula!H85,34))+((Formula!K85)/(Formula!C85+Formula!E85+Formula!G85+Formula!I85+Formula!K85))*(INDEX(Properties!A$1:CB$87,Formula!J85,34))</f>
        <v>2.4711666666666665</v>
      </c>
      <c r="DG85" s="60">
        <f>Formula!C85*(INDEX(Properties!A$1:CB$87,Formula!B85,34))+Formula!E85*(INDEX(Properties!A$1:CB$87,Formula!D85,34))+Formula!G85*(INDEX(Properties!A$1:CB$87,Formula!F85,34))+Formula!I85*(INDEX(Properties!A$1:CB$87,Formula!H85,34))+Formula!K85*(INDEX(Properties!A$1:CB$87,Formula!J85,34))</f>
        <v>14.827</v>
      </c>
      <c r="DH85" s="60">
        <f>VARP(IF(INDEX(Properties!A$1:CB$87,Formula!B85,34)&lt;&gt;"",INDEX(Properties!A$1:CB$87,Formula!B85,34)),IF(INDEX(Properties!A$1:CB$87,Formula!D85,34)&lt;&gt;"",INDEX(Properties!A$1:CB$87,Formula!D85,34)),IF(INDEX(Properties!A$1:CB$87,Formula!F85,34)&lt;&gt;"",INDEX(Properties!A$1:CB$87,Formula!F85,34)),IF(INDEX(Properties!A$1:CB$87,Formula!H85,34)&lt;&gt;"",INDEX(Properties!A$1:CB$87,Formula!H85,34)),IF(INDEX(Properties!A$1:CB$87,Formula!J85,34)&lt;&gt;"",INDEX(Properties!A$1:CB$87,Formula!J85,34)))</f>
        <v>1.5132622399999998</v>
      </c>
      <c r="DI85" s="60">
        <f>MAX(INDEX(Properties!A$1:CB$87,Formula!B85,34),INDEX(Properties!A$1:CB$87,Formula!D85,34),INDEX(Properties!A$1:CB$87,Formula!F85,34),INDEX(Properties!A$1:CB$87,Formula!H85,34),INDEX(Properties!A$1:CB$87,Formula!J85,34))</f>
        <v>3.61</v>
      </c>
      <c r="DJ85" s="60">
        <f>MIN(IF(INDEX(Properties!A$1:CB$87,Formula!B85,34)=0,10^6,INDEX(Properties!A$1:CB$87,Formula!B85,34)),IF(INDEX(Properties!A$1:CB$87,Formula!D85,34)=0,10^6,INDEX(Properties!A$1:CB$87,Formula!D85,34)),IF(INDEX(Properties!A$1:CB$87,Formula!F85,34)=0,10^6,INDEX(Properties!A$1:CB$87,Formula!F85,34)),IF(INDEX(Properties!A$1:CB$87,Formula!H85,34)=0,10^6,INDEX(Properties!A$1:CB$87,Formula!H85,34)),IF(INDEX(Properties!A$1:CB$87,Formula!J85,34)=0,10^6,INDEX(Properties!A$1:CB$87,Formula!J85,34)))</f>
        <v>0.91200000000000003</v>
      </c>
      <c r="DK85" s="60">
        <f t="shared" si="50"/>
        <v>2.698</v>
      </c>
      <c r="DL85" s="45">
        <f>((Formula!C85)/(Formula!C85+Formula!E85+Formula!G85+Formula!I85+Formula!K85))*(INDEX(Properties!A$1:CB$87,Formula!B85,39))+((Formula!E85)/(Formula!C85+Formula!E85+Formula!G85+Formula!I85+Formula!K85))*(INDEX(Properties!A$1:CB$87,Formula!D85,39))+((Formula!G85)/(Formula!C85+Formula!E85+Formula!G85+Formula!I85+Formula!K85))*(INDEX(Properties!A$1:CB$87,Formula!F85,39))+((Formula!I85)/(Formula!C85+Formula!E85+Formula!G85+Formula!I85+Formula!K85))*(INDEX(Properties!A$1:CB$87,Formula!H85,39))+((Formula!K85)/(Formula!C85+Formula!E85+Formula!G85+Formula!I85+Formula!K85))*(INDEX(Properties!A$1:CB$87,Formula!J85,39))</f>
        <v>0.98666666666666658</v>
      </c>
      <c r="DM85" s="45">
        <f>Formula!C85*(INDEX(Properties!A$1:CB$87,Formula!B85,39))+Formula!E85*(INDEX(Properties!A$1:CB$87,Formula!D85,39))+Formula!G85*(INDEX(Properties!A$1:CB$87,Formula!F85,39))+Formula!I85*(INDEX(Properties!A$1:CB$87,Formula!H85,39))+Formula!K85*(INDEX(Properties!A$1:CB$87,Formula!J85,39))</f>
        <v>5.92</v>
      </c>
      <c r="DN85" s="45">
        <f>VARP(IF(INDEX(Properties!A$1:CB$87,Formula!B85,39)&lt;&gt;"",INDEX(Properties!A$1:CB$87,Formula!B85,39)),IF(INDEX(Properties!A$1:CB$87,Formula!D85,39)&lt;&gt;"",INDEX(Properties!A$1:CB$87,Formula!D85,39)),IF(INDEX(Properties!A$1:CB$87,Formula!F85,39)&lt;&gt;"",INDEX(Properties!A$1:CB$87,Formula!F85,39)),IF(INDEX(Properties!A$1:CB$87,Formula!H85,39)&lt;&gt;"",INDEX(Properties!A$1:CB$87,Formula!H85,39)),IF(INDEX(Properties!A$1:CB$87,Formula!J85,39)&lt;&gt;"",INDEX(Properties!A$1:CB$87,Formula!J85,39)))</f>
        <v>0.52389600000000058</v>
      </c>
      <c r="DO85" s="45">
        <f>MAX(INDEX(Properties!A$1:CB$87,Formula!B85,39),INDEX(Properties!A$1:CB$87,Formula!D85,39),INDEX(Properties!A$1:CB$87,Formula!F85,39),INDEX(Properties!A$1:CB$87,Formula!H85,39),INDEX(Properties!A$1:CB$87,Formula!J85,39))</f>
        <v>1.94</v>
      </c>
      <c r="DP85" s="45">
        <f>MIN(IF(INDEX(Properties!A$1:CB$87,Formula!B85,39)=0,10^6,INDEX(Properties!A$1:CB$87,Formula!B85,39)),IF(INDEX(Properties!A$1:CB$87,Formula!D85,39)=0,10^6,INDEX(Properties!A$1:CB$87,Formula!D85,39)),IF(INDEX(Properties!A$1:CB$87,Formula!F85,39)=0,10^6,INDEX(Properties!A$1:CB$87,Formula!F85,39)),IF(INDEX(Properties!A$1:CB$87,Formula!H85,39)=0,10^6,INDEX(Properties!A$1:CB$87,Formula!H85,39)),IF(INDEX(Properties!A$1:CB$87,Formula!J85,39)=0,10^6,INDEX(Properties!A$1:CB$87,Formula!J85,39)))</f>
        <v>0.48</v>
      </c>
      <c r="DQ85" s="45">
        <f t="shared" si="51"/>
        <v>1.46</v>
      </c>
      <c r="DR85" s="63">
        <f>((Formula!C85)/(Formula!C85+Formula!E85+Formula!G85+Formula!I85+Formula!K85))*(INDEX(Properties!A$1:CB$87,Formula!B85,40))+((Formula!E85)/(Formula!C85+Formula!E85+Formula!G85+Formula!I85+Formula!K85))*(INDEX(Properties!A$1:CB$87,Formula!D85,40))+((Formula!G85)/(Formula!C85+Formula!E85+Formula!G85+Formula!I85+Formula!K85))*(INDEX(Properties!A$1:CB$87,Formula!F85,40))+((Formula!I85)/(Formula!C85+Formula!E85+Formula!G85+Formula!I85+Formula!K85))*(INDEX(Properties!A$1:CB$87,Formula!H85,40))+((Formula!K85)/(Formula!C85+Formula!E85+Formula!G85+Formula!I85+Formula!K85))*(INDEX(Properties!A$1:CB$87,Formula!J85,40))</f>
        <v>1.0149999999999999</v>
      </c>
      <c r="DS85" s="63">
        <f>Formula!C85*(INDEX(Properties!A$1:CB$87,Formula!B85,40))+Formula!E85*(INDEX(Properties!A$1:CB$87,Formula!D85,40))+Formula!G85*(INDEX(Properties!A$1:CB$87,Formula!F85,40))+Formula!I85*(INDEX(Properties!A$1:CB$87,Formula!H85,40))+Formula!K85*(INDEX(Properties!A$1:CB$87,Formula!J85,40))</f>
        <v>6.09</v>
      </c>
      <c r="DT85" s="63">
        <f>VARP(IF(INDEX(Properties!A$1:CB$87,Formula!B85,40)&lt;&gt;"",INDEX(Properties!A$1:CB$87,Formula!B85,40)),IF(INDEX(Properties!A$1:CB$87,Formula!D85,40)&lt;&gt;"",INDEX(Properties!A$1:CB$87,Formula!D85,40)),IF(INDEX(Properties!A$1:CB$87,Formula!F85,40)&lt;&gt;"",INDEX(Properties!A$1:CB$87,Formula!F85,40)),IF(INDEX(Properties!A$1:CB$87,Formula!H85,40)&lt;&gt;"",INDEX(Properties!A$1:CB$87,Formula!H85,40)),IF(INDEX(Properties!A$1:CB$87,Formula!J85,40)&lt;&gt;"",INDEX(Properties!A$1:CB$87,Formula!J85,40)))</f>
        <v>0.34822400000000003</v>
      </c>
      <c r="DU85" s="63">
        <f>MAX(INDEX(Properties!A$1:CB$87,Formula!B85,40),INDEX(Properties!A$1:CB$87,Formula!D85,40),INDEX(Properties!A$1:CB$87,Formula!F85,40),INDEX(Properties!A$1:CB$87,Formula!H85,40),INDEX(Properties!A$1:CB$87,Formula!J85,40))</f>
        <v>1.74</v>
      </c>
      <c r="DV85" s="63">
        <f>MIN(IF(INDEX(Properties!A$1:CB$87,Formula!B85,40)=0,10^6,INDEX(Properties!A$1:CB$87,Formula!B85,40)),IF(INDEX(Properties!A$1:CB$87,Formula!D85,40)=0,10^6,INDEX(Properties!A$1:CB$87,Formula!D85,40)),IF(INDEX(Properties!A$1:CB$87,Formula!F85,40)=0,10^6,INDEX(Properties!A$1:CB$87,Formula!F85,40)),IF(INDEX(Properties!A$1:CB$87,Formula!H85,40)=0,10^6,INDEX(Properties!A$1:CB$87,Formula!H85,40)),IF(INDEX(Properties!A$1:CB$87,Formula!J85,40)=0,10^6,INDEX(Properties!A$1:CB$87,Formula!J85,40)))</f>
        <v>0.73</v>
      </c>
      <c r="DW85" s="63">
        <f t="shared" si="52"/>
        <v>1.01</v>
      </c>
      <c r="DX85" s="75">
        <f>((Formula!C85)/(Formula!C85+Formula!E85+Formula!G85+Formula!I85+Formula!K85))*(INDEX(Properties!A$1:CB$87,Formula!B85,41))+((Formula!E85)/(Formula!C85+Formula!E85+Formula!G85+Formula!I85+Formula!K85))*(INDEX(Properties!A$1:CB$87,Formula!D85,41))+((Formula!G85)/(Formula!C85+Formula!E85+Formula!G85+Formula!I85+Formula!K85))*(INDEX(Properties!A$1:CB$87,Formula!F85,41))+((Formula!I85)/(Formula!C85+Formula!E85+Formula!G85+Formula!I85+Formula!K85))*(INDEX(Properties!A$1:CB$87,Formula!H85,41))+((Formula!K85)/(Formula!C85+Formula!E85+Formula!G85+Formula!I85+Formula!K85))*(INDEX(Properties!A$1:CB$87,Formula!J85,41))</f>
        <v>1.0383333333333333</v>
      </c>
      <c r="DY85" s="75">
        <f>Formula!C85*(INDEX(Properties!A$1:CB$87,Formula!B85,41))+Formula!E85*(INDEX(Properties!A$1:CB$87,Formula!D85,41))+Formula!G85*(INDEX(Properties!A$1:CB$87,Formula!F85,41))+Formula!I85*(INDEX(Properties!A$1:CB$87,Formula!H85,41))+Formula!K85*(INDEX(Properties!A$1:CB$87,Formula!J85,41))</f>
        <v>6.23</v>
      </c>
      <c r="DZ85" s="75">
        <f>VARP(IF(INDEX(Properties!A$1:CB$87,Formula!B85,41)&lt;&gt;"",INDEX(Properties!A$1:CB$87,Formula!B85,41)),IF(INDEX(Properties!A$1:CB$87,Formula!D85,41)&lt;&gt;"",INDEX(Properties!A$1:CB$87,Formula!D85,41)),IF(INDEX(Properties!A$1:CB$87,Formula!F85,41)&lt;&gt;"",INDEX(Properties!A$1:CB$87,Formula!F85,41)),IF(INDEX(Properties!A$1:CB$87,Formula!H85,41)&lt;&gt;"",INDEX(Properties!A$1:CB$87,Formula!H85,41)),IF(INDEX(Properties!A$1:CB$87,Formula!J85,41)&lt;&gt;"",INDEX(Properties!A$1:CB$87,Formula!J85,41)))</f>
        <v>0.222496</v>
      </c>
      <c r="EA85" s="75">
        <f>MAX(INDEX(Properties!A$1:CB$87,Formula!B85,41),INDEX(Properties!A$1:CB$87,Formula!D85,41),INDEX(Properties!A$1:CB$87,Formula!F85,41),INDEX(Properties!A$1:CB$87,Formula!H85,41),INDEX(Properties!A$1:CB$87,Formula!J85,41))</f>
        <v>1.26</v>
      </c>
      <c r="EB85" s="75">
        <f>MIN(IF(INDEX(Properties!A$1:CB$87,Formula!B85,41)=0,10^6,INDEX(Properties!A$1:CB$87,Formula!B85,41)),IF(INDEX(Properties!A$1:CB$87,Formula!D85,41)=0,10^6,INDEX(Properties!A$1:CB$87,Formula!D85,41)),IF(INDEX(Properties!A$1:CB$87,Formula!F85,41)=0,10^6,INDEX(Properties!A$1:CB$87,Formula!F85,41)),IF(INDEX(Properties!A$1:CB$87,Formula!H85,41)=0,10^6,INDEX(Properties!A$1:CB$87,Formula!H85,41)),IF(INDEX(Properties!A$1:CB$87,Formula!J85,41)=0,10^6,INDEX(Properties!A$1:CB$87,Formula!J85,41)))</f>
        <v>0.41</v>
      </c>
      <c r="EC85" s="75">
        <f t="shared" si="53"/>
        <v>0.85000000000000009</v>
      </c>
      <c r="ED85" s="48">
        <f>((Formula!C85)/(Formula!C85+Formula!E85+Formula!G85+Formula!I85+Formula!K85))*(INDEX(Properties!A$1:CB$87,Formula!B85,45))+((Formula!E85)/(Formula!C85+Formula!E85+Formula!G85+Formula!I85+Formula!K85))*(INDEX(Properties!A$1:CB$87,Formula!D85,45))+((Formula!G85)/(Formula!C85+Formula!E85+Formula!G85+Formula!I85+Formula!K85))*(INDEX(Properties!A$1:CB$87,Formula!F85,45))+((Formula!I85)/(Formula!C85+Formula!E85+Formula!G85+Formula!I85+Formula!K85))*(INDEX(Properties!A$1:CB$87,Formula!H85,45))+((Formula!K85)/(Formula!C85+Formula!E85+Formula!G85+Formula!I85+Formula!K85))*(INDEX(Properties!A$1:CB$87,Formula!J85,45))</f>
        <v>1.1366666666666667</v>
      </c>
      <c r="EE85" s="48">
        <f>Formula!C85*(INDEX(Properties!A$1:CB$87,Formula!B85,45))+Formula!E85*(INDEX(Properties!A$1:CB$87,Formula!D85,45))+Formula!G85*(INDEX(Properties!A$1:CB$87,Formula!F85,45))+Formula!I85*(INDEX(Properties!A$1:CB$87,Formula!H85,45))+Formula!K85*(INDEX(Properties!A$1:CB$87,Formula!J85,45))</f>
        <v>6.82</v>
      </c>
      <c r="EF85" s="48">
        <f>VARP(IF(INDEX(Properties!A$1:CB$87,Formula!B85,45)&lt;&gt;"",INDEX(Properties!A$1:CB$87,Formula!B85,45)),IF(INDEX(Properties!A$1:CB$87,Formula!D85,45)&lt;&gt;"",INDEX(Properties!A$1:CB$87,Formula!D85,45)),IF(INDEX(Properties!A$1:CB$87,Formula!F85,45)&lt;&gt;"",INDEX(Properties!A$1:CB$87,Formula!F85,45)),IF(INDEX(Properties!A$1:CB$87,Formula!H85,45)&lt;&gt;"",INDEX(Properties!A$1:CB$87,Formula!H85,45)),IF(INDEX(Properties!A$1:CB$87,Formula!J85,45)&lt;&gt;"",INDEX(Properties!A$1:CB$87,Formula!J85,45)))</f>
        <v>1.1076240000000004</v>
      </c>
      <c r="EG85" s="48">
        <f>MAX(INDEX(Properties!A$1:CB$87,Formula!B85,45),INDEX(Properties!A$1:CB$87,Formula!D85,45),INDEX(Properties!A$1:CB$87,Formula!F85,45),INDEX(Properties!A$1:CB$87,Formula!H85,45),INDEX(Properties!A$1:CB$87,Formula!J85,45))</f>
        <v>3</v>
      </c>
      <c r="EH85" s="48">
        <f>MIN(IF(INDEX(Properties!A$1:CB$87,Formula!B85,45)=0,10^6,INDEX(Properties!A$1:CB$87,Formula!B85,45)),IF(INDEX(Properties!A$1:CB$87,Formula!D85,45)=0,10^6,INDEX(Properties!A$1:CB$87,Formula!D85,45)),IF(INDEX(Properties!A$1:CB$87,Formula!F85,45)=0,10^6,INDEX(Properties!A$1:CB$87,Formula!F85,45)),IF(INDEX(Properties!A$1:CB$87,Formula!H85,45)=0,10^6,INDEX(Properties!A$1:CB$87,Formula!H85,45)),IF(INDEX(Properties!A$1:CB$87,Formula!J85,45)=0,10^6,INDEX(Properties!A$1:CB$87,Formula!J85,45)))</f>
        <v>0.47</v>
      </c>
      <c r="EI85" s="48">
        <f t="shared" si="54"/>
        <v>2.5300000000000002</v>
      </c>
      <c r="EJ85" s="66">
        <f>((Formula!C85)/(Formula!C85+Formula!E85+Formula!G85+Formula!I85+Formula!K85))*(INDEX(Properties!A$1:CB$87,Formula!B85,46))+((Formula!E85)/(Formula!C85+Formula!E85+Formula!G85+Formula!I85+Formula!K85))*(INDEX(Properties!A$1:CB$87,Formula!D85,46))+((Formula!G85)/(Formula!C85+Formula!E85+Formula!G85+Formula!I85+Formula!K85))*(INDEX(Properties!A$1:CB$87,Formula!F85,46))+((Formula!I85)/(Formula!C85+Formula!E85+Formula!G85+Formula!I85+Formula!K85))*(INDEX(Properties!A$1:CB$87,Formula!H85,46))+((Formula!K85)/(Formula!C85+Formula!E85+Formula!G85+Formula!I85+Formula!K85))*(INDEX(Properties!A$1:CB$87,Formula!J85,46))</f>
        <v>0.98666666666666658</v>
      </c>
      <c r="EK85" s="66">
        <f>Formula!C85*(INDEX(Properties!A$1:CB$87,Formula!B85,46))+Formula!E85*(INDEX(Properties!A$1:CB$87,Formula!D85,46))+Formula!G85*(INDEX(Properties!A$1:CB$87,Formula!F85,46))+Formula!I85*(INDEX(Properties!A$1:CB$87,Formula!H85,46))+Formula!K85*(INDEX(Properties!A$1:CB$87,Formula!J85,46))</f>
        <v>5.92</v>
      </c>
      <c r="EL85" s="66">
        <f>VARP(IF(INDEX(Properties!A$1:CB$87,Formula!B85,46)&lt;&gt;"",INDEX(Properties!A$1:CB$87,Formula!B85,46)),IF(INDEX(Properties!A$1:CB$87,Formula!D85,46)&lt;&gt;"",INDEX(Properties!A$1:CB$87,Formula!D85,46)),IF(INDEX(Properties!A$1:CB$87,Formula!F85,46)&lt;&gt;"",INDEX(Properties!A$1:CB$87,Formula!F85,46)),IF(INDEX(Properties!A$1:CB$87,Formula!H85,46)&lt;&gt;"",INDEX(Properties!A$1:CB$87,Formula!H85,46)),IF(INDEX(Properties!A$1:CB$87,Formula!J85,46)&lt;&gt;"",INDEX(Properties!A$1:CB$87,Formula!J85,46)))</f>
        <v>0.2372399999999999</v>
      </c>
      <c r="EM85" s="66">
        <f>MAX(INDEX(Properties!A$1:CB$87,Formula!B85,46),INDEX(Properties!A$1:CB$87,Formula!D85,46),INDEX(Properties!A$1:CB$87,Formula!F85,46),INDEX(Properties!A$1:CB$87,Formula!H85,46),INDEX(Properties!A$1:CB$87,Formula!J85,46))</f>
        <v>1.21</v>
      </c>
      <c r="EN85" s="66">
        <f>MIN(IF(INDEX(Properties!A$1:CB$87,Formula!B85,46)=0,10^6,INDEX(Properties!A$1:CB$87,Formula!B85,46)),IF(INDEX(Properties!A$1:CB$87,Formula!D85,46)=0,10^6,INDEX(Properties!A$1:CB$87,Formula!D85,46)),IF(INDEX(Properties!A$1:CB$87,Formula!F85,46)=0,10^6,INDEX(Properties!A$1:CB$87,Formula!F85,46)),IF(INDEX(Properties!A$1:CB$87,Formula!H85,46)=0,10^6,INDEX(Properties!A$1:CB$87,Formula!H85,46)),IF(INDEX(Properties!A$1:CB$87,Formula!J85,46)=0,10^6,INDEX(Properties!A$1:CB$87,Formula!J85,46)))</f>
        <v>0.25</v>
      </c>
      <c r="EO85" s="66">
        <f t="shared" si="55"/>
        <v>0.96</v>
      </c>
      <c r="EP85" s="81">
        <f>((Formula!C85)/(Formula!C85+Formula!E85+Formula!G85+Formula!I85+Formula!K85))*(INDEX(Properties!A$1:CB$87,Formula!B85,52))+((Formula!E85)/(Formula!C85+Formula!E85+Formula!G85+Formula!I85+Formula!K85))*(INDEX(Properties!A$1:CB$87,Formula!D85,52))+((Formula!G85)/(Formula!C85+Formula!E85+Formula!G85+Formula!I85+Formula!K85))*(INDEX(Properties!A$1:CB$87,Formula!F85,52))+((Formula!I85)/(Formula!C85+Formula!E85+Formula!G85+Formula!I85+Formula!K85))*(INDEX(Properties!A$1:CB$87,Formula!H85,52))+((Formula!K85)/(Formula!C85+Formula!E85+Formula!G85+Formula!I85+Formula!K85))*(INDEX(Properties!A$1:CB$87,Formula!J85,52))</f>
        <v>8.7464999999999993</v>
      </c>
      <c r="EQ85" s="81">
        <f>Formula!C85*(INDEX(Properties!A$1:CB$87,Formula!B85,52))+Formula!E85*(INDEX(Properties!A$1:CB$87,Formula!D85,52))+Formula!G85*(INDEX(Properties!A$1:CB$87,Formula!F85,52))+Formula!I85*(INDEX(Properties!A$1:CB$87,Formula!H85,52))+Formula!K85*(INDEX(Properties!A$1:CB$87,Formula!J85,52))</f>
        <v>52.478999999999999</v>
      </c>
      <c r="ER85" s="81">
        <f>VARP(IF(INDEX(Properties!A$1:CB$87,Formula!B85,52)&lt;&gt;"",INDEX(Properties!A$1:CB$87,Formula!B85,52)),IF(INDEX(Properties!A$1:CB$87,Formula!D85,52)&lt;&gt;"",INDEX(Properties!A$1:CB$87,Formula!D85,52)),IF(INDEX(Properties!A$1:CB$87,Formula!F85,52)&lt;&gt;"",INDEX(Properties!A$1:CB$87,Formula!F85,52)),IF(INDEX(Properties!A$1:CB$87,Formula!H85,52)&lt;&gt;"",INDEX(Properties!A$1:CB$87,Formula!H85,52)),IF(INDEX(Properties!A$1:CB$87,Formula!J85,52)&lt;&gt;"",INDEX(Properties!A$1:CB$87,Formula!J85,52)))</f>
        <v>120.38787183999997</v>
      </c>
      <c r="ES85" s="81">
        <f>MAX(INDEX(Properties!A$1:CB$87,Formula!B85,52),INDEX(Properties!A$1:CB$87,Formula!D85,52),INDEX(Properties!A$1:CB$87,Formula!F85,52),INDEX(Properties!A$1:CB$87,Formula!H85,52),INDEX(Properties!A$1:CB$87,Formula!J85,52))</f>
        <v>24.3</v>
      </c>
      <c r="ET85" s="81">
        <f>MIN(IF(INDEX(Properties!A$1:CB$87,Formula!B85,52)=0,10^6,INDEX(Properties!A$1:CB$87,Formula!B85,52)),IF(INDEX(Properties!A$1:CB$87,Formula!D85,52)=0,10^6,INDEX(Properties!A$1:CB$87,Formula!D85,52)),IF(INDEX(Properties!A$1:CB$87,Formula!F85,52)=0,10^6,INDEX(Properties!A$1:CB$87,Formula!F85,52)),IF(INDEX(Properties!A$1:CB$87,Formula!H85,52)=0,10^6,INDEX(Properties!A$1:CB$87,Formula!H85,52)),IF(INDEX(Properties!A$1:CB$87,Formula!J85,52)=0,10^6,INDEX(Properties!A$1:CB$87,Formula!J85,52)))</f>
        <v>0.79300000000000004</v>
      </c>
      <c r="EU85" s="81">
        <f t="shared" si="56"/>
        <v>23.507000000000001</v>
      </c>
      <c r="EV85" s="39">
        <f>((Formula!C85)/(Formula!C85+Formula!E85+Formula!G85+Formula!I85+Formula!K85))*(INDEX(Properties!A$1:CB$87,Formula!B85,53))+((Formula!E85)/(Formula!C85+Formula!E85+Formula!G85+Formula!I85+Formula!K85))*(INDEX(Properties!A$1:CB$87,Formula!D85,53))+((Formula!G85)/(Formula!C85+Formula!E85+Formula!G85+Formula!I85+Formula!K85))*(INDEX(Properties!A$1:CB$87,Formula!F85,53))+((Formula!I85)/(Formula!C85+Formula!E85+Formula!G85+Formula!I85+Formula!K85))*(INDEX(Properties!A$1:CB$87,Formula!H85,53))+((Formula!K85)/(Formula!C85+Formula!E85+Formula!G85+Formula!I85+Formula!K85))*(INDEX(Properties!A$1:CB$87,Formula!J85,53))</f>
        <v>680.36666666666667</v>
      </c>
      <c r="EW85" s="39">
        <f>Formula!C85*(INDEX(Properties!A$1:CB$87,Formula!B85,53))+Formula!E85*(INDEX(Properties!A$1:CB$87,Formula!D85,53))+Formula!G85*(INDEX(Properties!A$1:CB$87,Formula!F85,53))+Formula!I85*(INDEX(Properties!A$1:CB$87,Formula!H85,53))+Formula!K85*(INDEX(Properties!A$1:CB$87,Formula!J85,53))</f>
        <v>4082.2000000000003</v>
      </c>
      <c r="EX85" s="39">
        <f>VARP(IF(INDEX(Properties!A$1:CB$87,Formula!B85,53)&lt;&gt;"",INDEX(Properties!A$1:CB$87,Formula!B85,53)),IF(INDEX(Properties!A$1:CB$87,Formula!D85,53)&lt;&gt;"",INDEX(Properties!A$1:CB$87,Formula!D85,53)),IF(INDEX(Properties!A$1:CB$87,Formula!F85,53)&lt;&gt;"",INDEX(Properties!A$1:CB$87,Formula!F85,53)),IF(INDEX(Properties!A$1:CB$87,Formula!H85,53)&lt;&gt;"",INDEX(Properties!A$1:CB$87,Formula!H85,53)),IF(INDEX(Properties!A$1:CB$87,Formula!J85,53)&lt;&gt;"",INDEX(Properties!A$1:CB$87,Formula!J85,53)))</f>
        <v>764362.81440000015</v>
      </c>
      <c r="EY85" s="39">
        <f>MAX(INDEX(Properties!A$1:CB$87,Formula!B85,53),INDEX(Properties!A$1:CB$87,Formula!D85,53),INDEX(Properties!A$1:CB$87,Formula!F85,53),INDEX(Properties!A$1:CB$87,Formula!H85,53),INDEX(Properties!A$1:CB$87,Formula!J85,53))</f>
        <v>2352.15</v>
      </c>
      <c r="EZ85" s="39">
        <f>MIN(IF(INDEX(Properties!A$1:CB$87,Formula!B85,53)=0,10^6,INDEX(Properties!A$1:CB$87,Formula!B85,53)),IF(INDEX(Properties!A$1:CB$87,Formula!D85,53)=0,10^6,INDEX(Properties!A$1:CB$87,Formula!D85,53)),IF(INDEX(Properties!A$1:CB$87,Formula!F85,53)=0,10^6,INDEX(Properties!A$1:CB$87,Formula!F85,53)),IF(INDEX(Properties!A$1:CB$87,Formula!H85,53)=0,10^6,INDEX(Properties!A$1:CB$87,Formula!H85,53)),IF(INDEX(Properties!A$1:CB$87,Formula!J85,53)=0,10^6,INDEX(Properties!A$1:CB$87,Formula!J85,53)))</f>
        <v>54.749999999999972</v>
      </c>
      <c r="FA85" s="39">
        <f t="shared" si="57"/>
        <v>2297.4</v>
      </c>
      <c r="FB85" s="54">
        <f>((Formula!C85)/(Formula!C85+Formula!E85+Formula!G85+Formula!I85+Formula!K85))*(INDEX(Properties!A$1:CB$87,Formula!B85,54))+((Formula!E85)/(Formula!C85+Formula!E85+Formula!G85+Formula!I85+Formula!K85))*(INDEX(Properties!A$1:CB$87,Formula!D85,54))+((Formula!G85)/(Formula!C85+Formula!E85+Formula!G85+Formula!I85+Formula!K85))*(INDEX(Properties!A$1:CB$87,Formula!F85,54))+((Formula!I85)/(Formula!C85+Formula!E85+Formula!G85+Formula!I85+Formula!K85))*(INDEX(Properties!A$1:CB$87,Formula!H85,54))+((Formula!K85)/(Formula!C85+Formula!E85+Formula!G85+Formula!I85+Formula!K85))*(INDEX(Properties!A$1:CB$87,Formula!J85,54))</f>
        <v>1319.625</v>
      </c>
      <c r="FC85" s="54">
        <f>Formula!C85*(INDEX(Properties!A$1:CB$87,Formula!B85,54))+Formula!E85*(INDEX(Properties!A$1:CB$87,Formula!D85,54))+Formula!G85*(INDEX(Properties!A$1:CB$87,Formula!F85,54))+Formula!I85*(INDEX(Properties!A$1:CB$87,Formula!H85,54))+Formula!K85*(INDEX(Properties!A$1:CB$87,Formula!J85,54))</f>
        <v>7917.75</v>
      </c>
      <c r="FD85" s="54">
        <f>VARP(IF(INDEX(Properties!A$1:CB$87,Formula!B85,54)&lt;&gt;"",INDEX(Properties!A$1:CB$87,Formula!B85,54)),IF(INDEX(Properties!A$1:CB$87,Formula!D85,54)&lt;&gt;"",INDEX(Properties!A$1:CB$87,Formula!D85,54)),IF(INDEX(Properties!A$1:CB$87,Formula!F85,54)&lt;&gt;"",INDEX(Properties!A$1:CB$87,Formula!F85,54)),IF(INDEX(Properties!A$1:CB$87,Formula!H85,54)&lt;&gt;"",INDEX(Properties!A$1:CB$87,Formula!H85,54)),IF(INDEX(Properties!A$1:CB$87,Formula!J85,54)&lt;&gt;"",INDEX(Properties!A$1:CB$87,Formula!J85,54)))</f>
        <v>2401282.2334000007</v>
      </c>
      <c r="FE85" s="54">
        <f>MAX(INDEX(Properties!A$1:CB$87,Formula!B85,54),INDEX(Properties!A$1:CB$87,Formula!D85,54),INDEX(Properties!A$1:CB$87,Formula!F85,54),INDEX(Properties!A$1:CB$87,Formula!H85,54),INDEX(Properties!A$1:CB$87,Formula!J85,54))</f>
        <v>4275</v>
      </c>
      <c r="FF85" s="54">
        <f>MIN(IF(INDEX(Properties!A$1:CB$87,Formula!B85,54)=0,10^6,INDEX(Properties!A$1:CB$87,Formula!B85,54)),IF(INDEX(Properties!A$1:CB$87,Formula!D85,54)=0,10^6,INDEX(Properties!A$1:CB$87,Formula!D85,54)),IF(INDEX(Properties!A$1:CB$87,Formula!F85,54)=0,10^6,INDEX(Properties!A$1:CB$87,Formula!F85,54)),IF(INDEX(Properties!A$1:CB$87,Formula!H85,54)=0,10^6,INDEX(Properties!A$1:CB$87,Formula!H85,54)),IF(INDEX(Properties!A$1:CB$87,Formula!J85,54)=0,10^6,INDEX(Properties!A$1:CB$87,Formula!J85,54)))</f>
        <v>90.149999999999977</v>
      </c>
      <c r="FG85" s="54">
        <f t="shared" si="58"/>
        <v>4184.8500000000004</v>
      </c>
      <c r="FH85" s="69">
        <f>((Formula!C85)/(Formula!C85+Formula!E85+Formula!G85+Formula!I85+Formula!K85))*(INDEX(Properties!A$1:CB$87,Formula!B85,55))+((Formula!E85)/(Formula!C85+Formula!E85+Formula!G85+Formula!I85+Formula!K85))*(INDEX(Properties!A$1:CB$87,Formula!D85,55))+((Formula!G85)/(Formula!C85+Formula!E85+Formula!G85+Formula!I85+Formula!K85))*(INDEX(Properties!A$1:CB$87,Formula!F85,55))+((Formula!I85)/(Formula!C85+Formula!E85+Formula!G85+Formula!I85+Formula!K85))*(INDEX(Properties!A$1:CB$87,Formula!H85,55))+((Formula!K85)/(Formula!C85+Formula!E85+Formula!G85+Formula!I85+Formula!K85))*(INDEX(Properties!A$1:CB$87,Formula!J85,55))</f>
        <v>0.73821499999999995</v>
      </c>
      <c r="FI85" s="69">
        <f>Formula!C85*(INDEX(Properties!A$1:CB$87,Formula!B85,55))+Formula!E85*(INDEX(Properties!A$1:CB$87,Formula!D85,54))+Formula!G85*(INDEX(Properties!A$1:CB$87,Formula!F85,55))+Formula!I85*(INDEX(Properties!A$1:CB$87,Formula!H85,55))+Formula!K85*(INDEX(Properties!A$1:CB$87,Formula!J85,55))</f>
        <v>1760.0292900000002</v>
      </c>
      <c r="FJ85" s="69">
        <f>VARP(IF(INDEX(Properties!A$1:CB$87,Formula!B85,55)&lt;&gt;"",INDEX(Properties!A$1:CB$87,Formula!B85,55)),IF(INDEX(Properties!A$1:CB$87,Formula!D85,55)&lt;&gt;"",INDEX(Properties!A$1:CB$87,Formula!D85,55)),IF(INDEX(Properties!A$1:CB$87,Formula!F85,55)&lt;&gt;"",INDEX(Properties!A$1:CB$87,Formula!F85,55)),IF(INDEX(Properties!A$1:CB$87,Formula!H85,55)&lt;&gt;"",INDEX(Properties!A$1:CB$87,Formula!H85,55)),IF(INDEX(Properties!A$1:CB$87,Formula!J85,55)&lt;&gt;"",INDEX(Properties!A$1:CB$87,Formula!J85,55)))</f>
        <v>0.84913410718400006</v>
      </c>
      <c r="FK85" s="69">
        <f>MAX(INDEX(Properties!A$1:CB$87,Formula!B85,55),INDEX(Properties!A$1:CB$87,Formula!D85,55),INDEX(Properties!A$1:CB$87,Formula!F85,55),INDEX(Properties!A$1:CB$87,Formula!H85,55),INDEX(Properties!A$1:CB$87,Formula!J85,55))</f>
        <v>2.34</v>
      </c>
      <c r="FL85" s="69">
        <f>MIN(IF(INDEX(Properties!A$1:CB$87,Formula!B85,55)=0,10^6,INDEX(Properties!A$1:CB$87,Formula!B85,55)),IF(INDEX(Properties!A$1:CB$87,Formula!D85,55)=0,10^6,INDEX(Properties!A$1:CB$87,Formula!D85,55)),IF(INDEX(Properties!A$1:CB$87,Formula!F85,55)=0,10^6,INDEX(Properties!A$1:CB$87,Formula!F85,55)),IF(INDEX(Properties!A$1:CB$87,Formula!H85,55)=0,10^6,INDEX(Properties!A$1:CB$87,Formula!H85,55)),IF(INDEX(Properties!A$1:CB$87,Formula!J85,55)=0,10^6,INDEX(Properties!A$1:CB$87,Formula!J85,55)))</f>
        <v>1.4300000000000001E-3</v>
      </c>
      <c r="FM85" s="69">
        <f t="shared" si="59"/>
        <v>2.3385699999999998</v>
      </c>
      <c r="FN85" s="42">
        <f>((Formula!C85)/(Formula!C85+Formula!E85+Formula!G85+Formula!I85+Formula!K85))*(INDEX(Properties!A$1:CB$87,Formula!B85,56))+((Formula!E85)/(Formula!C85+Formula!E85+Formula!G85+Formula!I85+Formula!K85))*(INDEX(Properties!A$1:CB$87,Formula!D85,56))+((Formula!G85)/(Formula!C85+Formula!E85+Formula!G85+Formula!I85+Formula!K85))*(INDEX(Properties!A$1:CB$87,Formula!F85,56))+((Formula!I85)/(Formula!C85+Formula!E85+Formula!G85+Formula!I85+Formula!K85))*(INDEX(Properties!A$1:CB$87,Formula!H85,56))+((Formula!K85)/(Formula!C85+Formula!E85+Formula!G85+Formula!I85+Formula!K85))*(INDEX(Properties!A$1:CB$87,Formula!J85,56))</f>
        <v>1.335</v>
      </c>
      <c r="FO85" s="42">
        <f>Formula!C85*(INDEX(Properties!A$1:CB$87,Formula!B85,56))+Formula!E85*(INDEX(Properties!A$1:CB$87,Formula!D85,56))+Formula!G85*(INDEX(Properties!A$1:CB$87,Formula!F85,56))+Formula!I85*(INDEX(Properties!A$1:CB$87,Formula!H85,56))+Formula!K85*(INDEX(Properties!A$1:CB$87,Formula!J85,56))</f>
        <v>8.01</v>
      </c>
      <c r="FP85" s="42">
        <f>VARP(IF(INDEX(Properties!A$1:CB$87,Formula!B85,56)&lt;&gt;"",INDEX(Properties!A$1:CB$87,Formula!B85,56)),IF(INDEX(Properties!A$1:CB$87,Formula!D85,56)&lt;&gt;"",INDEX(Properties!A$1:CB$87,Formula!D85,56)),IF(INDEX(Properties!A$1:CB$87,Formula!F85,56)&lt;&gt;"",INDEX(Properties!A$1:CB$87,Formula!F85,56)),IF(INDEX(Properties!A$1:CB$87,Formula!H85,56)&lt;&gt;"",INDEX(Properties!A$1:CB$87,Formula!H85,56)),IF(INDEX(Properties!A$1:CB$87,Formula!J85,56)&lt;&gt;"",INDEX(Properties!A$1:CB$87,Formula!J85,56)))</f>
        <v>1.5259840000000002</v>
      </c>
      <c r="FQ85" s="42">
        <f>MAX(INDEX(Properties!A$1:CB$87,Formula!B85,56),INDEX(Properties!A$1:CB$87,Formula!D85,56),INDEX(Properties!A$1:CB$87,Formula!F85,56),INDEX(Properties!A$1:CB$87,Formula!H85,56),INDEX(Properties!A$1:CB$87,Formula!J85,56))</f>
        <v>3.6</v>
      </c>
      <c r="FR85" s="42">
        <f>MIN(IF(INDEX(Properties!A$1:CB$87,Formula!B85,56)=0,10^6,INDEX(Properties!A$1:CB$87,Formula!B85,56)),IF(INDEX(Properties!A$1:CB$87,Formula!D85,56)=0,10^6,INDEX(Properties!A$1:CB$87,Formula!D85,56)),IF(INDEX(Properties!A$1:CB$87,Formula!F85,56)=0,10^6,INDEX(Properties!A$1:CB$87,Formula!F85,56)),IF(INDEX(Properties!A$1:CB$87,Formula!H85,56)=0,10^6,INDEX(Properties!A$1:CB$87,Formula!H85,56)),IF(INDEX(Properties!A$1:CB$87,Formula!J85,56)=0,10^6,INDEX(Properties!A$1:CB$87,Formula!J85,56)))</f>
        <v>0.63</v>
      </c>
      <c r="FS85" s="42">
        <f t="shared" si="60"/>
        <v>2.97</v>
      </c>
      <c r="FT85" s="60">
        <f>((Formula!C85)/(Formula!C85+Formula!E85+Formula!G85+Formula!I85+Formula!K85))*(INDEX(Properties!A$1:CB$87,Formula!B85,57))+((Formula!E85)/(Formula!C85+Formula!E85+Formula!G85+Formula!I85+Formula!K85))*(INDEX(Properties!A$1:CB$87,Formula!D85,57))+((Formula!G85)/(Formula!C85+Formula!E85+Formula!G85+Formula!I85+Formula!K85))*(INDEX(Properties!A$1:CB$87,Formula!F85,57))+((Formula!I85)/(Formula!C85+Formula!E85+Formula!G85+Formula!I85+Formula!K85))*(INDEX(Properties!A$1:CB$87,Formula!H85,57))+((Formula!K85)/(Formula!C85+Formula!E85+Formula!G85+Formula!I85+Formula!K85))*(INDEX(Properties!A$1:CB$87,Formula!J85,57))</f>
        <v>10.401295000000001</v>
      </c>
      <c r="FU85" s="60">
        <f>Formula!C85*(INDEX(Properties!A$1:CB$87,Formula!B85,57))+Formula!E85*(INDEX(Properties!A$1:CB$87,Formula!D85,57))+Formula!G85*(INDEX(Properties!A$1:CB$87,Formula!F85,57))+Formula!I85*(INDEX(Properties!A$1:CB$87,Formula!H85,57))+Formula!K85*(INDEX(Properties!A$1:CB$87,Formula!J85,57))</f>
        <v>62.407769999999999</v>
      </c>
      <c r="FV85" s="60">
        <f>VARP(IF(INDEX(Properties!A$1:CB$87,Formula!B85,57)&lt;&gt;"",INDEX(Properties!A$1:CB$87,Formula!B85,57)),IF(INDEX(Properties!A$1:CB$87,Formula!D85,57)&lt;&gt;"",INDEX(Properties!A$1:CB$87,Formula!D85,57)),IF(INDEX(Properties!A$1:CB$87,Formula!F85,57)&lt;&gt;"",INDEX(Properties!A$1:CB$87,Formula!F85,57)),IF(INDEX(Properties!A$1:CB$87,Formula!H85,57)&lt;&gt;"",INDEX(Properties!A$1:CB$87,Formula!H85,57)),IF(INDEX(Properties!A$1:CB$87,Formula!J85,57)&lt;&gt;"",INDEX(Properties!A$1:CB$87,Formula!J85,57)))</f>
        <v>366.8297268812961</v>
      </c>
      <c r="FW85" s="60">
        <f>MAX(INDEX(Properties!A$1:CB$87,Formula!B85,57),INDEX(Properties!A$1:CB$87,Formula!D85,57),INDEX(Properties!A$1:CB$87,Formula!F85,57),INDEX(Properties!A$1:CB$87,Formula!H85,57),INDEX(Properties!A$1:CB$87,Formula!J85,57))</f>
        <v>50.2</v>
      </c>
      <c r="FX85" s="60">
        <f>MIN(IF(INDEX(Properties!A$1:CB$87,Formula!B85,57)=0,10^6,INDEX(Properties!A$1:CB$87,Formula!B85,57)),IF(INDEX(Properties!A$1:CB$87,Formula!D85,57)=0,10^6,INDEX(Properties!A$1:CB$87,Formula!D85,57)),IF(INDEX(Properties!A$1:CB$87,Formula!F85,57)=0,10^6,INDEX(Properties!A$1:CB$87,Formula!F85,57)),IF(INDEX(Properties!A$1:CB$87,Formula!H85,57)=0,10^6,INDEX(Properties!A$1:CB$87,Formula!H85,57)),IF(INDEX(Properties!A$1:CB$87,Formula!J85,57)=0,10^6,INDEX(Properties!A$1:CB$87,Formula!J85,57)))</f>
        <v>0.22259000000000001</v>
      </c>
      <c r="FY85" s="60">
        <f t="shared" si="61"/>
        <v>49.977410000000006</v>
      </c>
      <c r="FZ85" s="72">
        <f>((Formula!C85)/(Formula!C85+Formula!E85+Formula!G85+Formula!I85+Formula!K85))*(INDEX(Properties!A$1:CB$87,Formula!B85,60))+((Formula!E85)/(Formula!C85+Formula!E85+Formula!G85+Formula!I85+Formula!K85))*(INDEX(Properties!A$1:CB$87,Formula!D85,60))+((Formula!G85)/(Formula!C85+Formula!E85+Formula!G85+Formula!I85+Formula!K85))*(INDEX(Properties!A$1:CB$87,Formula!F85,60))+((Formula!I85)/(Formula!C85+Formula!E85+Formula!G85+Formula!I85+Formula!K85))*(INDEX(Properties!A$1:CB$87,Formula!H85,60))+((Formula!K85)/(Formula!C85+Formula!E85+Formula!G85+Formula!I85+Formula!K85))*(INDEX(Properties!A$1:CB$87,Formula!J85,60))</f>
        <v>51.963369999999998</v>
      </c>
      <c r="GA85" s="72">
        <f>Formula!C85*(INDEX(Properties!A$1:CB$87,Formula!B85,60))+Formula!E85*(INDEX(Properties!A$1:CB$87,Formula!D85,60))+Formula!G85*(INDEX(Properties!A$1:CB$87,Formula!F85,60))+Formula!I85*(INDEX(Properties!A$1:CB$87,Formula!H85,60))+Formula!K85*(INDEX(Properties!A$1:CB$87,Formula!J85,60))</f>
        <v>311.78021999999999</v>
      </c>
      <c r="GB85" s="72">
        <f>VARP(IF(INDEX(Properties!A$1:CB$87,Formula!B85,60)&lt;&gt;"",INDEX(Properties!A$1:CB$87,Formula!B85,60)),IF(INDEX(Properties!A$1:CB$87,Formula!D85,60)&lt;&gt;"",INDEX(Properties!A$1:CB$87,Formula!D85,60)),IF(INDEX(Properties!A$1:CB$87,Formula!F85,60)&lt;&gt;"",INDEX(Properties!A$1:CB$87,Formula!F85,60)),IF(INDEX(Properties!A$1:CB$87,Formula!H85,60)&lt;&gt;"",INDEX(Properties!A$1:CB$87,Formula!H85,60)),IF(INDEX(Properties!A$1:CB$87,Formula!J85,60)&lt;&gt;"",INDEX(Properties!A$1:CB$87,Formula!J85,60)))</f>
        <v>5693.6757257644149</v>
      </c>
      <c r="GC85" s="72">
        <f>MAX(INDEX(Properties!A$1:CB$87,Formula!B85,60),INDEX(Properties!A$1:CB$87,Formula!D85,60),INDEX(Properties!A$1:CB$87,Formula!F85,60),INDEX(Properties!A$1:CB$87,Formula!H85,60),INDEX(Properties!A$1:CB$87,Formula!J85,60))</f>
        <v>200</v>
      </c>
      <c r="GD85" s="72">
        <f>MIN(IF(INDEX(Properties!A$1:CB$87,Formula!B85,60)=0,10^6,INDEX(Properties!A$1:CB$87,Formula!B85,60)),IF(INDEX(Properties!A$1:CB$87,Formula!D85,60)=0,10^6,INDEX(Properties!A$1:CB$87,Formula!D85,60)),IF(INDEX(Properties!A$1:CB$87,Formula!F85,60)=0,10^6,INDEX(Properties!A$1:CB$87,Formula!F85,60)),IF(INDEX(Properties!A$1:CB$87,Formula!H85,60)=0,10^6,INDEX(Properties!A$1:CB$87,Formula!H85,60)),IF(INDEX(Properties!A$1:CB$87,Formula!J85,60)=0,10^6,INDEX(Properties!A$1:CB$87,Formula!J85,60)))</f>
        <v>2.674E-2</v>
      </c>
      <c r="GE85" s="72">
        <f t="shared" si="62"/>
        <v>199.97326000000001</v>
      </c>
      <c r="GF85" s="51">
        <f>((Formula!C85)/(Formula!C85+Formula!E85+Formula!G85+Formula!I85+Formula!K85))*(INDEX(Properties!A$1:CB$87,Formula!B85,62))+((Formula!E85)/(Formula!C85+Formula!E85+Formula!G85+Formula!I85+Formula!K85))*(INDEX(Properties!A$1:CB$87,Formula!D85,62))+((Formula!G85)/(Formula!C85+Formula!E85+Formula!G85+Formula!I85+Formula!K85))*(INDEX(Properties!A$1:CB$87,Formula!F85,62))+((Formula!I85)/(Formula!C85+Formula!E85+Formula!G85+Formula!I85+Formula!K85))*(INDEX(Properties!A$1:CB$87,Formula!H85,62))+((Formula!K85)/(Formula!C85+Formula!E85+Formula!G85+Formula!I85+Formula!K85))*(INDEX(Properties!A$1:CB$87,Formula!J85,62))</f>
        <v>2.8566666666666665</v>
      </c>
      <c r="GG85" s="51">
        <f>Formula!C85*(INDEX(Properties!A$1:CB$87,Formula!B85,62))+Formula!E85*(INDEX(Properties!A$1:CB$87,Formula!D85,62))+Formula!G85*(INDEX(Properties!A$1:CB$87,Formula!F85,62))+Formula!I85*(INDEX(Properties!A$1:CB$87,Formula!H85,62))+Formula!K85*(INDEX(Properties!A$1:CB$87,Formula!J85,62))</f>
        <v>17.14</v>
      </c>
      <c r="GH85" s="51">
        <f>VARP(IF(INDEX(Properties!A$1:CB$87,Formula!B85,62)&lt;&gt;"",INDEX(Properties!A$1:CB$87,Formula!B85,62)),IF(INDEX(Properties!A$1:CB$87,Formula!D85,62)&lt;&gt;"",INDEX(Properties!A$1:CB$87,Formula!D85,62)),IF(INDEX(Properties!A$1:CB$87,Formula!F85,62)&lt;&gt;"",INDEX(Properties!A$1:CB$87,Formula!F85,62)),IF(INDEX(Properties!A$1:CB$87,Formula!H85,62)&lt;&gt;"",INDEX(Properties!A$1:CB$87,Formula!H85,62)),IF(INDEX(Properties!A$1:CB$87,Formula!J85,62)&lt;&gt;"",INDEX(Properties!A$1:CB$87,Formula!J85,62)))</f>
        <v>3.6682000000000015</v>
      </c>
      <c r="GI85" s="51">
        <f>MAX(INDEX(Properties!A$1:CB$87,Formula!B85,62),INDEX(Properties!A$1:CB$87,Formula!D85,62),INDEX(Properties!A$1:CB$87,Formula!F85,62),INDEX(Properties!A$1:CB$87,Formula!H85,62),INDEX(Properties!A$1:CB$87,Formula!J85,62))</f>
        <v>5.81</v>
      </c>
      <c r="GJ85" s="51">
        <f>MIN(IF(INDEX(Properties!A$1:CB$87,Formula!B85,62)=0,10^6,INDEX(Properties!A$1:CB$87,Formula!B85,62)),IF(INDEX(Properties!A$1:CB$87,Formula!D85,62)=0,10^6,INDEX(Properties!A$1:CB$87,Formula!D85,62)),IF(INDEX(Properties!A$1:CB$87,Formula!F85,62)=0,10^6,INDEX(Properties!A$1:CB$87,Formula!F85,62)),IF(INDEX(Properties!A$1:CB$87,Formula!H85,62)=0,10^6,INDEX(Properties!A$1:CB$87,Formula!H85,62)),IF(INDEX(Properties!A$1:CB$87,Formula!J85,62)=0,10^6,INDEX(Properties!A$1:CB$87,Formula!J85,62)))</f>
        <v>1.63</v>
      </c>
      <c r="GK85" s="51">
        <f t="shared" si="63"/>
        <v>4.18</v>
      </c>
      <c r="GL85" s="51">
        <f>Formula!P85</f>
        <v>61</v>
      </c>
      <c r="GM85" s="57">
        <f>Formula!O85</f>
        <v>3</v>
      </c>
      <c r="GN85" s="51">
        <f>Formula!N85</f>
        <v>0.03</v>
      </c>
    </row>
    <row r="86" spans="1:196" x14ac:dyDescent="0.3">
      <c r="A86" s="84" t="str">
        <f>Formula!A86</f>
        <v>LaAlO3</v>
      </c>
      <c r="B86" s="89">
        <f>((Formula!C86)/(Formula!C86+Formula!E86+Formula!G86+Formula!I86+Formula!K86))*(INDEX(Properties!A$1:CB$87,Formula!B86,3))+((Formula!E86)/(Formula!C86+Formula!E86+Formula!G86+Formula!I86+Formula!K86))*(INDEX(Properties!A$1:CB$87,Formula!D86,3))+((Formula!G86)/(Formula!C86+Formula!E86+Formula!G86+Formula!I86+Formula!K86))*(INDEX(Properties!A$1:CB$87,Formula!F86,3))+((Formula!I86)/(Formula!C86+Formula!E86+Formula!G86+Formula!I86+Formula!K86))*(INDEX(Properties!A$1:CB$87,Formula!H86,3))+((Formula!K86)/(Formula!C86+Formula!E86+Formula!G86+Formula!I86+Formula!K86))*(INDEX(Properties!A$1:CB$87,Formula!J86,3))</f>
        <v>42.777047799999998</v>
      </c>
      <c r="C86" s="85">
        <f>Formula!C86*(INDEX(Properties!A$1:CB$87,Formula!B86,3))+Formula!E86*(INDEX(Properties!A$1:CB$87,Formula!D86,3))+Formula!G86*(INDEX(Properties!A$1:CB$87,Formula!F86,3))+Formula!I86*(INDEX(Properties!A$1:CB$87,Formula!H86,3))+Formula!K86*(INDEX(Properties!A$1:CB$87,Formula!J86,3))</f>
        <v>213.88523899999998</v>
      </c>
      <c r="D86" s="85">
        <f>VARP(IF(INDEX(Properties!A$1:CB$87,Formula!B86,3)&lt;&gt;"",INDEX(Properties!A$1:CB$87,Formula!B86,3)),IF(INDEX(Properties!A$1:CB$87,Formula!D86,3)&lt;&gt;"",INDEX(Properties!A$1:CB$87,Formula!D86,3)),IF(INDEX(Properties!A$1:CB$87,Formula!F86,3)&lt;&gt;"",INDEX(Properties!A$1:CB$87,Formula!F86,3)),IF(INDEX(Properties!A$1:CB$87,Formula!H86,3)&lt;&gt;"",INDEX(Properties!A$1:CB$87,Formula!H86,3)),IF(INDEX(Properties!A$1:CB$87,Formula!J86,3)&lt;&gt;"",INDEX(Properties!A$1:CB$87,Formula!J86,3)))</f>
        <v>2732.437367799675</v>
      </c>
      <c r="E86" s="85">
        <f>MAX(INDEX(Properties!A$1:CB$87,Formula!B86,3),INDEX(Properties!A$1:CB$87,Formula!D86,3),INDEX(Properties!A$1:CB$87,Formula!F86,3),INDEX(Properties!A$1:CB$87,Formula!H86,3),INDEX(Properties!A$1:CB$87,Formula!J86,3))</f>
        <v>138.90549999999999</v>
      </c>
      <c r="F86" s="85">
        <f>MIN(IF(INDEX(Properties!A$1:CB$87,Formula!B86,3)=0,10^6,INDEX(Properties!A$1:CB$87,Formula!B86,3)),IF(INDEX(Properties!A$1:CB$87,Formula!D86,3)=0,10^6,INDEX(Properties!A$1:CB$87,Formula!D86,3)),IF(INDEX(Properties!A$1:CB$87,Formula!F86,3)=0,10^6,INDEX(Properties!A$1:CB$87,Formula!F86,3)),IF(INDEX(Properties!A$1:CB$87,Formula!H86,3)=0,10^6,INDEX(Properties!A$1:CB$87,Formula!H86,3)),IF(INDEX(Properties!A$1:CB$87,Formula!J86,3)=0,10^6,INDEX(Properties!A$1:CB$87,Formula!J86,3)))</f>
        <v>15.9994</v>
      </c>
      <c r="G86" s="85">
        <f t="shared" si="32"/>
        <v>122.9061</v>
      </c>
      <c r="H86" s="87">
        <f>((Formula!C86)/(Formula!C86+Formula!E86+Formula!G86+Formula!I86+Formula!K86))*(INDEX(Properties!A$1:CB$87,Formula!B86,4))+((Formula!E86)/(Formula!C86+Formula!E86+Formula!G86+Formula!I86+Formula!K86))*(INDEX(Properties!A$1:CB$87,Formula!D86,4))+((Formula!G86)/(Formula!C86+Formula!E86+Formula!G86+Formula!I86+Formula!K86))*(INDEX(Properties!A$1:CB$87,Formula!F86,4))+((Formula!I86)/(Formula!C86+Formula!E86+Formula!G86+Formula!I86+Formula!K86))*(INDEX(Properties!A$1:CB$87,Formula!H86,4))+((Formula!K86)/(Formula!C86+Formula!E86+Formula!G86+Formula!I86+Formula!K86))*(INDEX(Properties!A$1:CB$87,Formula!J86,4))</f>
        <v>18.8</v>
      </c>
      <c r="I86" s="87">
        <f>Formula!C86*(INDEX(Properties!A$1:CB$87,Formula!B86,4))+Formula!E86*(INDEX(Properties!A$1:CB$87,Formula!D86,4))+Formula!G86*(INDEX(Properties!A$1:CB$87,Formula!F86,4))+Formula!I86*(INDEX(Properties!A$1:CB$87,Formula!H86,4))+Formula!K86*(INDEX(Properties!A$1:CB$87,Formula!J86,4))</f>
        <v>94</v>
      </c>
      <c r="J86" s="87">
        <f>VARP(IF(INDEX(Properties!A$1:CB$87,Formula!B86,4)&lt;&gt;"",INDEX(Properties!A$1:CB$87,Formula!B86,4)),IF(INDEX(Properties!A$1:CB$87,Formula!D86,4)&lt;&gt;"",INDEX(Properties!A$1:CB$87,Formula!D86,4)),IF(INDEX(Properties!A$1:CB$87,Formula!F86,4)&lt;&gt;"",INDEX(Properties!A$1:CB$87,Formula!F86,4)),IF(INDEX(Properties!A$1:CB$87,Formula!H86,4)&lt;&gt;"",INDEX(Properties!A$1:CB$87,Formula!H86,4)),IF(INDEX(Properties!A$1:CB$87,Formula!J86,4)&lt;&gt;"",INDEX(Properties!A$1:CB$87,Formula!J86,4)))</f>
        <v>453.04</v>
      </c>
      <c r="K86" s="87">
        <f>MAX(INDEX(Properties!A$1:CB$87,Formula!B86,4),INDEX(Properties!A$1:CB$87,Formula!D86,4),INDEX(Properties!A$1:CB$87,Formula!F86,4),INDEX(Properties!A$1:CB$87,Formula!H86,4),INDEX(Properties!A$1:CB$87,Formula!J86,4))</f>
        <v>57</v>
      </c>
      <c r="L86" s="87">
        <f>MIN(IF(INDEX(Properties!A$1:CB$87,Formula!B86,4)=0,10^6,INDEX(Properties!A$1:CB$87,Formula!B86,4)),IF(INDEX(Properties!A$1:CB$87,Formula!D86,4)=0,10^6,INDEX(Properties!A$1:CB$87,Formula!D86,4)),IF(INDEX(Properties!A$1:CB$87,Formula!F86,4)=0,10^6,INDEX(Properties!A$1:CB$87,Formula!F86,4)),IF(INDEX(Properties!A$1:CB$87,Formula!H86,4)=0,10^6,INDEX(Properties!A$1:CB$87,Formula!H86,4)),IF(INDEX(Properties!A$1:CB$87,Formula!J86,4)=0,10^6,INDEX(Properties!A$1:CB$87,Formula!J86,4)))</f>
        <v>8</v>
      </c>
      <c r="M86" s="87">
        <f t="shared" si="33"/>
        <v>49</v>
      </c>
      <c r="N86" s="89">
        <f>((Formula!C86)/(Formula!C86+Formula!E86+Formula!G86+Formula!I86+Formula!K86))*(INDEX(Properties!A$1:CB$87,Formula!B86,5))+((Formula!E86)/(Formula!C86+Formula!E86+Formula!G86+Formula!I86+Formula!K86))*(INDEX(Properties!A$1:CB$87,Formula!D86,5))+((Formula!G86)/(Formula!C86+Formula!E86+Formula!G86+Formula!I86+Formula!K86))*(INDEX(Properties!A$1:CB$87,Formula!F86,5))+((Formula!I86)/(Formula!C86+Formula!E86+Formula!G86+Formula!I86+Formula!K86))*(INDEX(Properties!A$1:CB$87,Formula!H86,5))+((Formula!K86)/(Formula!C86+Formula!E86+Formula!G86+Formula!I86+Formula!K86))*(INDEX(Properties!A$1:CB$87,Formula!J86,5))</f>
        <v>3</v>
      </c>
      <c r="O86" s="89">
        <f>Formula!C86*(INDEX(Properties!A$1:CB$87,Formula!B86,5))+Formula!E86*(INDEX(Properties!A$1:CB$87,Formula!D86,5))+Formula!G86*(INDEX(Properties!A$1:CB$87,Formula!F86,5))+Formula!I86*(INDEX(Properties!A$1:CB$87,Formula!H86,5))+Formula!K86*(INDEX(Properties!A$1:CB$87,Formula!J86,5))</f>
        <v>15</v>
      </c>
      <c r="P86" s="89">
        <f>VARP(IF(INDEX(Properties!A$1:CB$87,Formula!B86,5)&lt;&gt;"",INDEX(Properties!A$1:CB$87,Formula!B86,5)),IF(INDEX(Properties!A$1:CB$87,Formula!D86,5)&lt;&gt;"",INDEX(Properties!A$1:CB$87,Formula!D86,5)),IF(INDEX(Properties!A$1:CB$87,Formula!F86,5)&lt;&gt;"",INDEX(Properties!A$1:CB$87,Formula!F86,5)),IF(INDEX(Properties!A$1:CB$87,Formula!H86,5)&lt;&gt;"",INDEX(Properties!A$1:CB$87,Formula!H86,5)),IF(INDEX(Properties!A$1:CB$87,Formula!J86,5)&lt;&gt;"",INDEX(Properties!A$1:CB$87,Formula!J86,5)))</f>
        <v>4.96</v>
      </c>
      <c r="Q86" s="89">
        <f>MAX(INDEX(Properties!A$1:CB$87,Formula!B86,5),INDEX(Properties!A$1:CB$87,Formula!D86,5),INDEX(Properties!A$1:CB$87,Formula!F86,5),INDEX(Properties!A$1:CB$87,Formula!H86,5),INDEX(Properties!A$1:CB$87,Formula!J86,5))</f>
        <v>6</v>
      </c>
      <c r="R86" s="89">
        <f>MIN(IF(INDEX(Properties!A$1:CB$87,Formula!B86,5)=0,10^6,INDEX(Properties!A$1:CB$87,Formula!B86,5)),IF(INDEX(Properties!A$1:CB$87,Formula!D86,5)=0,10^6,INDEX(Properties!A$1:CB$87,Formula!D86,5)),IF(INDEX(Properties!A$1:CB$87,Formula!F86,5)=0,10^6,INDEX(Properties!A$1:CB$87,Formula!F86,5)),IF(INDEX(Properties!A$1:CB$87,Formula!H86,5)=0,10^6,INDEX(Properties!A$1:CB$87,Formula!H86,5)),IF(INDEX(Properties!A$1:CB$87,Formula!J86,5)=0,10^6,INDEX(Properties!A$1:CB$87,Formula!J86,5)))</f>
        <v>2</v>
      </c>
      <c r="S86" s="89">
        <f t="shared" si="34"/>
        <v>4</v>
      </c>
      <c r="T86" s="60">
        <f>((Formula!C86)/(Formula!C86+Formula!E86+Formula!G86+Formula!I86+Formula!K86))*(INDEX(Properties!A$1:CB$87,Formula!B86,6))+((Formula!E86)/(Formula!C86+Formula!E86+Formula!G86+Formula!I86+Formula!K86))*(INDEX(Properties!A$1:CB$87,Formula!D86,6))+((Formula!G86)/(Formula!C86+Formula!E86+Formula!G86+Formula!I86+Formula!K86))*(INDEX(Properties!A$1:CB$87,Formula!F86,6))+((Formula!I86)/(Formula!C86+Formula!E86+Formula!G86+Formula!I86+Formula!K86))*(INDEX(Properties!A$1:CB$87,Formula!H86,6))+((Formula!K86)/(Formula!C86+Formula!E86+Formula!G86+Formula!I86+Formula!K86))*(INDEX(Properties!A$1:CB$87,Formula!J86,6))</f>
        <v>12.8</v>
      </c>
      <c r="U86" s="60">
        <f>Formula!C86*(INDEX(Properties!A$1:CB$87,Formula!B86,6))+Formula!E86*(INDEX(Properties!A$1:CB$87,Formula!D86,6))+Formula!G86*(INDEX(Properties!A$1:CB$87,Formula!F86,6))+Formula!I86*(INDEX(Properties!A$1:CB$87,Formula!H86,6))+Formula!K86*(INDEX(Properties!A$1:CB$87,Formula!J86,6))</f>
        <v>64</v>
      </c>
      <c r="V86" s="89">
        <f>VARP(IF(INDEX(Properties!A$1:CB$87,Formula!B86,6)&lt;&gt;"",INDEX(Properties!A$1:CB$87,Formula!B86,6)),IF(INDEX(Properties!A$1:CB$87,Formula!D86,6)&lt;&gt;"",INDEX(Properties!A$1:CB$87,Formula!D86,6)),IF(INDEX(Properties!A$1:CB$87,Formula!F86,6)&lt;&gt;"",INDEX(Properties!A$1:CB$87,Formula!F86,6)),IF(INDEX(Properties!A$1:CB$87,Formula!H86,6)&lt;&gt;"",INDEX(Properties!A$1:CB$87,Formula!H86,6)),IF(INDEX(Properties!A$1:CB$87,Formula!J86,6)&lt;&gt;"",INDEX(Properties!A$1:CB$87,Formula!J86,6)))</f>
        <v>45.84</v>
      </c>
      <c r="W86" s="60">
        <f>MAX(INDEX(Properties!A$1:CB$87,Formula!B86,6),INDEX(Properties!A$1:CB$87,Formula!D86,6),INDEX(Properties!A$1:CB$87,Formula!F86,6),INDEX(Properties!A$1:CB$87,Formula!H86,4),INDEX(Properties!A$1:CB$87,Formula!J86,6))</f>
        <v>16</v>
      </c>
      <c r="X86" s="60">
        <f>MIN(IF(INDEX(Properties!A$1:CB$87,Formula!B86,6)=0,10^6,INDEX(Properties!A$1:CB$87,Formula!B86,6)),IF(INDEX(Properties!A$1:CB$87,Formula!D86,6)=0,10^6,INDEX(Properties!A$1:CB$87,Formula!D86,6)),IF(INDEX(Properties!A$1:CB$87,Formula!F86,6)=0,10^6,INDEX(Properties!A$1:CB$87,Formula!F86,6)),IF(INDEX(Properties!A$1:CB$87,Formula!H86,6)=0,10^6,INDEX(Properties!A$1:CB$87,Formula!H86,6)),IF(INDEX(Properties!A$1:CB$87,Formula!J86,6)=0,10^6,INDEX(Properties!A$1:CB$87,Formula!J86,6)))</f>
        <v>3</v>
      </c>
      <c r="Y86" s="60">
        <f t="shared" si="35"/>
        <v>13</v>
      </c>
      <c r="Z86" s="72">
        <f>((Formula!C86)/(Formula!C86+Formula!E86+Formula!G86+Formula!I86+Formula!K86))*(INDEX(Properties!A$1:CB$87,Formula!B86,9))+((Formula!E86)/(Formula!C86+Formula!E86+Formula!G86+Formula!I86+Formula!K86))*(INDEX(Properties!A$1:CB$87,Formula!D86,9))+((Formula!G86)/(Formula!C86+Formula!E86+Formula!G86+Formula!I86+Formula!K86))*(INDEX(Properties!A$1:CB$87,Formula!F86,9))+((Formula!I86)/(Formula!C86+Formula!E86+Formula!G86+Formula!I86+Formula!K86))*(INDEX(Properties!A$1:CB$87,Formula!H86,9))+((Formula!K86)/(Formula!C86+Formula!E86+Formula!G86+Formula!I86+Formula!K86))*(INDEX(Properties!A$1:CB$87,Formula!J86,9))</f>
        <v>69.400000000000006</v>
      </c>
      <c r="AA86" s="72">
        <f>Formula!C86*(INDEX(Properties!A$1:CB$87,Formula!B86,9))+Formula!E86*(INDEX(Properties!A$1:CB$87,Formula!D86,9))+Formula!G86*(INDEX(Properties!A$1:CB$87,Formula!F86,9))+Formula!I86*(INDEX(Properties!A$1:CB$87,Formula!H86,9))+Formula!K86*(INDEX(Properties!A$1:CB$87,Formula!J86,9))</f>
        <v>347</v>
      </c>
      <c r="AB86" s="72">
        <f>VARP(IF(INDEX(Properties!A$1:CB$87,Formula!B86,9)&lt;&gt;"",INDEX(Properties!A$1:CB$87,Formula!B86,9)),IF(INDEX(Properties!A$1:CB$87,Formula!D86,9)&lt;&gt;"",INDEX(Properties!A$1:CB$87,Formula!D86,9)),IF(INDEX(Properties!A$1:CB$87,Formula!F86,9)&lt;&gt;"",INDEX(Properties!A$1:CB$87,Formula!F86,9)),IF(INDEX(Properties!A$1:CB$87,Formula!H86,9)&lt;&gt;"",INDEX(Properties!A$1:CB$87,Formula!H86,9)),IF(INDEX(Properties!A$1:CB$87,Formula!J86,9)&lt;&gt;"",INDEX(Properties!A$1:CB$87,Formula!J86,9)))</f>
        <v>1416.24</v>
      </c>
      <c r="AC86" s="72">
        <f>MAX(INDEX(Properties!A$1:CB$87,Formula!B86,9),INDEX(Properties!A$1:CB$87,Formula!D86,9),INDEX(Properties!A$1:CB$87,Formula!F86,9),INDEX(Properties!A$1:CB$87,Formula!H86,9),INDEX(Properties!A$1:CB$87,Formula!J86,9))</f>
        <v>87</v>
      </c>
      <c r="AD86" s="72">
        <f>MIN(IF(INDEX(Properties!A$1:CB$87,Formula!B86,9)=0,10^6,INDEX(Properties!A$1:CB$87,Formula!B86,9)),IF(INDEX(Properties!A$1:CB$87,Formula!D86,9)=0,10^6,INDEX(Properties!A$1:CB$87,Formula!D86,9)),IF(INDEX(Properties!A$1:CB$87,Formula!F86,9)=0,10^6,INDEX(Properties!A$1:CB$87,Formula!F86,9)),IF(INDEX(Properties!A$1:CB$87,Formula!H86,9)=0,10^6,INDEX(Properties!A$1:CB$87,Formula!H86,9)),IF(INDEX(Properties!A$1:CB$87,Formula!J86,9)=0,10^6,INDEX(Properties!A$1:CB$87,Formula!J86,9)))</f>
        <v>13</v>
      </c>
      <c r="AE86" s="72">
        <f t="shared" si="36"/>
        <v>74</v>
      </c>
      <c r="AF86" s="51">
        <f>((Formula!C86)/(Formula!C86+Formula!E86+Formula!G86+Formula!I86+Formula!K86))*(INDEX(Properties!A$1:CB$87,Formula!B86,10))+((Formula!E86)/(Formula!C86+Formula!E86+Formula!G86+Formula!I86+Formula!K86))*(INDEX(Properties!A$1:CB$87,Formula!D86,10))+((Formula!G86)/(Formula!C86+Formula!E86+Formula!G86+Formula!I86+Formula!K86))*(INDEX(Properties!A$1:CB$87,Formula!F86,10))+((Formula!I86)/(Formula!C86+Formula!E86+Formula!G86+Formula!I86+Formula!K86))*(INDEX(Properties!A$1:CB$87,Formula!H86,10))+((Formula!K86)/(Formula!C86+Formula!E86+Formula!G86+Formula!I86+Formula!K86))*(INDEX(Properties!A$1:CB$87,Formula!J86,10))</f>
        <v>5.8000000000000007</v>
      </c>
      <c r="AG86" s="51">
        <f>Formula!C86*(INDEX(Properties!A$1:CB$87,Formula!B86,10))+Formula!E86*(INDEX(Properties!A$1:CB$87,Formula!D86,10))+Formula!G86*(INDEX(Properties!A$1:CB$87,Formula!F86,10))+Formula!I86*(INDEX(Properties!A$1:CB$87,Formula!H86,10))+Formula!K86*(INDEX(Properties!A$1:CB$87,Formula!J86,10))</f>
        <v>29</v>
      </c>
      <c r="AH86" s="51">
        <f>VARP(IF(INDEX(Properties!A$1:CB$87,Formula!B86,10)&lt;&gt;"",INDEX(Properties!A$1:CB$87,Formula!B86,10)),IF(INDEX(Properties!A$1:CB$87,Formula!D86,10)&lt;&gt;"",INDEX(Properties!A$1:CB$87,Formula!D86,10)),IF(INDEX(Properties!A$1:CB$87,Formula!F86,10)&lt;&gt;"",INDEX(Properties!A$1:CB$87,Formula!F86,10)),IF(INDEX(Properties!A$1:CB$87,Formula!H86,10)&lt;&gt;"",INDEX(Properties!A$1:CB$87,Formula!H86,10)),IF(INDEX(Properties!A$1:CB$87,Formula!J86,10)&lt;&gt;"",INDEX(Properties!A$1:CB$87,Formula!J86,10)))</f>
        <v>7.6</v>
      </c>
      <c r="AI86" s="51">
        <f>MAX(INDEX(Properties!A$1:CB$87,Formula!B86,10),INDEX(Properties!A$1:CB$87,Formula!D86,10),INDEX(Properties!A$1:CB$87,Formula!F86,10),INDEX(Properties!A$1:CB$87,Formula!H86,10),INDEX(Properties!A$1:CB$87,Formula!J86,10))</f>
        <v>7</v>
      </c>
      <c r="AJ86" s="51">
        <f>MIN(IF(INDEX(Properties!A$1:CB$87,Formula!B86,10)=0,10^6,INDEX(Properties!A$1:CB$87,Formula!B86,10)),IF(INDEX(Properties!A$1:CB$87,Formula!D86,10)=0,10^6,INDEX(Properties!A$1:CB$87,Formula!D86,10)),IF(INDEX(Properties!A$1:CB$87,Formula!F86,10)=0,10^6,INDEX(Properties!A$1:CB$87,Formula!F86,10)),IF(INDEX(Properties!A$1:CB$87,Formula!H86,10)=0,10^6,INDEX(Properties!A$1:CB$87,Formula!H86,10)),IF(INDEX(Properties!A$1:CB$87,Formula!J86,10)=0,10^6,INDEX(Properties!A$1:CB$87,Formula!J86,10)))</f>
        <v>3</v>
      </c>
      <c r="AK86" s="51">
        <f t="shared" si="37"/>
        <v>4</v>
      </c>
      <c r="AL86" s="57">
        <f>((Formula!C86)/(Formula!C86+Formula!E86+Formula!G86+Formula!I86+Formula!K86))*(INDEX(Properties!A$1:CB$87,Formula!B86,11))+((Formula!E86)/(Formula!C86+Formula!E86+Formula!G86+Formula!I86+Formula!K86))*(INDEX(Properties!A$1:CB$87,Formula!D86,11))+((Formula!G86)/(Formula!C86+Formula!E86+Formula!G86+Formula!I86+Formula!K86))*(INDEX(Properties!A$1:CB$87,Formula!F86,11))+((Formula!I86)/(Formula!C86+Formula!E86+Formula!G86+Formula!I86+Formula!K86))*(INDEX(Properties!A$1:CB$87,Formula!H86,11))+((Formula!K86)/(Formula!C86+Formula!E86+Formula!G86+Formula!I86+Formula!K86))*(INDEX(Properties!A$1:CB$87,Formula!J86,11))</f>
        <v>2</v>
      </c>
      <c r="AM86" s="57">
        <f>Formula!C86*(INDEX(Properties!A$1:CB$87,Formula!B86,11))+Formula!E86*(INDEX(Properties!A$1:CB$87,Formula!D86,11))+Formula!G86*(INDEX(Properties!A$1:CB$87,Formula!F86,11))+Formula!I86*(INDEX(Properties!A$1:CB$87,Formula!H86,11))+Formula!K86*(INDEX(Properties!A$1:CB$87,Formula!J86,11))</f>
        <v>10</v>
      </c>
      <c r="AN86" s="57">
        <f>VARP(IF(INDEX(Properties!A$1:CB$87,Formula!B86,11)&lt;&gt;"",INDEX(Properties!A$1:CB$87,Formula!B86,11)),IF(INDEX(Properties!A$1:CB$87,Formula!D86,11)&lt;&gt;"",INDEX(Properties!A$1:CB$87,Formula!D86,11)),IF(INDEX(Properties!A$1:CB$87,Formula!F86,11)&lt;&gt;"",INDEX(Properties!A$1:CB$87,Formula!F86,11)),IF(INDEX(Properties!A$1:CB$87,Formula!H86,11)&lt;&gt;"",INDEX(Properties!A$1:CB$87,Formula!H86,11)),IF(INDEX(Properties!A$1:CB$87,Formula!J86,11)&lt;&gt;"",INDEX(Properties!A$1:CB$87,Formula!J86,11)))</f>
        <v>0.96</v>
      </c>
      <c r="AO86" s="57">
        <f>MAX(INDEX(Properties!A$1:CB$87,Formula!B86,11),INDEX(Properties!A$1:CB$87,Formula!D86,11),INDEX(Properties!A$1:CB$87,Formula!F86,11),INDEX(Properties!A$1:CB$87,Formula!H86,11),INDEX(Properties!A$1:CB$87,Formula!J86,11))</f>
        <v>2</v>
      </c>
      <c r="AP86" s="57">
        <f>MIN(IF(Formula!B86=87,10^6,INDEX(Properties!A$1:CB$87,Formula!B86,11)),IF((Formula!D86)=87,10^6,INDEX(Properties!A$1:CB$87,Formula!D86,11)),IF((Formula!F86)=87,10^6,INDEX(Properties!A$1:CB$87,Formula!F86,11)),IF((Formula!H86)=87,10^6,INDEX(Properties!A$1:CB$87,Formula!H86,11)),IF(Formula!J86=87,10^6,INDEX(Properties!A$1:CB$87,Formula!J86,11)))</f>
        <v>2</v>
      </c>
      <c r="AQ86" s="57">
        <f t="shared" si="38"/>
        <v>0</v>
      </c>
      <c r="AR86" s="78">
        <f>((Formula!C86)/(Formula!C86+Formula!E86+Formula!G86+Formula!I86+Formula!K86))*(INDEX(Properties!A$1:CB$87,Formula!B86,12))+((Formula!E86)/(Formula!C86+Formula!E86+Formula!G86+Formula!I86+Formula!K86))*(INDEX(Properties!A$1:CB$87,Formula!D86,12))+((Formula!G86)/(Formula!C86+Formula!E86+Formula!G86+Formula!I86+Formula!K86))*(INDEX(Properties!A$1:CB$87,Formula!F86,12))+((Formula!I86)/(Formula!C86+Formula!E86+Formula!G86+Formula!I86+Formula!K86))*(INDEX(Properties!A$1:CB$87,Formula!H86,12))+((Formula!K86)/(Formula!C86+Formula!E86+Formula!G86+Formula!I86+Formula!K86))*(INDEX(Properties!A$1:CB$87,Formula!J86,12))</f>
        <v>2.6</v>
      </c>
      <c r="AS86" s="78">
        <f>Formula!C86*(INDEX(Properties!A$1:CB$87,Formula!B86,12))+Formula!E86*(INDEX(Properties!A$1:CB$87,Formula!D86,12))+Formula!G86*(INDEX(Properties!A$1:CB$87,Formula!F86,12))+Formula!I86*(INDEX(Properties!A$1:CB$87,Formula!H86,12))+Formula!K86*(INDEX(Properties!A$1:CB$87,Formula!J86,12))</f>
        <v>13</v>
      </c>
      <c r="AT86" s="78">
        <f>VARP(IF(INDEX(Properties!A$1:CB$87,Formula!B86,12)&lt;&gt;"",INDEX(Properties!A$1:CB$87,Formula!B86,12)),IF(INDEX(Properties!A$1:CB$87,Formula!D86,12)&lt;&gt;"",INDEX(Properties!A$1:CB$87,Formula!D86,12)),IF(INDEX(Properties!A$1:CB$87,Formula!F86,12)&lt;&gt;"",INDEX(Properties!A$1:CB$87,Formula!F86,12)),IF(INDEX(Properties!A$1:CB$87,Formula!H86,12)&lt;&gt;"",INDEX(Properties!A$1:CB$87,Formula!H86,12)),IF(INDEX(Properties!A$1:CB$87,Formula!J86,12)&lt;&gt;"",INDEX(Properties!A$1:CB$87,Formula!J86,12)))</f>
        <v>2.4</v>
      </c>
      <c r="AU86" s="78">
        <f>MAX(INDEX(Properties!A$1:CB$87,Formula!B86,12),INDEX(Properties!A$1:CB$87,Formula!D86,12),INDEX(Properties!A$1:CB$87,Formula!F86,12),INDEX(Properties!A$1:CB$87,Formula!H86,12),INDEX(Properties!A$1:CB$87,Formula!J86,12))</f>
        <v>4</v>
      </c>
      <c r="AV86" s="78">
        <f>MIN(IF(Formula!B86=87,10^6,INDEX(Properties!A$1:CB$87,Formula!B86,12)),IF((Formula!D86)=87,10^6,INDEX(Properties!A$1:CB$87,Formula!D86,12)),IF((Formula!F86)=87,10^6,INDEX(Properties!A$1:CB$87,Formula!F86,12)),IF((Formula!H86)=87,10^6,INDEX(Properties!A$1:CB$87,Formula!H86,12)),IF(Formula!J86=87,10^6,INDEX(Properties!A$1:CB$87,Formula!J86,12)))</f>
        <v>0</v>
      </c>
      <c r="AW86" s="78">
        <f t="shared" si="39"/>
        <v>4</v>
      </c>
      <c r="AX86" s="45">
        <f>((Formula!C86)/(Formula!C86+Formula!E86+Formula!G86+Formula!I86+Formula!K86))*(INDEX(Properties!A$1:CB$87,Formula!B86,13))+((Formula!E86)/(Formula!C86+Formula!E86+Formula!G86+Formula!I86+Formula!K86))*(INDEX(Properties!A$1:CB$87,Formula!D86,13))+((Formula!G86)/(Formula!C86+Formula!E86+Formula!G86+Formula!I86+Formula!K86))*(INDEX(Properties!A$1:CB$87,Formula!F86,13))+((Formula!I86)/(Formula!C86+Formula!E86+Formula!G86+Formula!I86+Formula!K86))*(INDEX(Properties!A$1:CB$87,Formula!H86,13))+((Formula!K86)/(Formula!C86+Formula!E86+Formula!G86+Formula!I86+Formula!K86))*(INDEX(Properties!A$1:CB$87,Formula!J86,13))</f>
        <v>0.2</v>
      </c>
      <c r="AY86" s="45">
        <f>Formula!C86*(INDEX(Properties!A$1:CB$87,Formula!B86,13))+Formula!E86*(INDEX(Properties!A$1:CB$87,Formula!D86,13))+Formula!G86*(INDEX(Properties!A$1:CB$87,Formula!F86,13))+Formula!I86*(INDEX(Properties!A$1:CB$87,Formula!H86,13))+Formula!K86*(INDEX(Properties!A$1:CB$87,Formula!J86,13))</f>
        <v>1</v>
      </c>
      <c r="AZ86" s="45">
        <f>VARP(IF(INDEX(Properties!A$1:CB$87,Formula!B86,13)&lt;&gt;"",INDEX(Properties!A$1:CB$87,Formula!B86,13)),IF(INDEX(Properties!A$1:CB$87,Formula!D86,13)&lt;&gt;"",INDEX(Properties!A$1:CB$87,Formula!D86,13)),IF(INDEX(Properties!A$1:CB$87,Formula!F86,13)&lt;&gt;"",INDEX(Properties!A$1:CB$87,Formula!F86,13)),IF(INDEX(Properties!A$1:CB$87,Formula!H86,13)&lt;&gt;"",INDEX(Properties!A$1:CB$87,Formula!H86,13)),IF(INDEX(Properties!A$1:CB$87,Formula!J86,13)&lt;&gt;"",INDEX(Properties!A$1:CB$87,Formula!J86,13)))</f>
        <v>0.16</v>
      </c>
      <c r="BA86" s="45">
        <f>MAX(INDEX(Properties!A$1:CB$87,Formula!B86,13),INDEX(Properties!A$1:CB$87,Formula!D86,13),INDEX(Properties!A$1:CB$87,Formula!F86,13),INDEX(Properties!A$1:CB$87,Formula!H86,13),INDEX(Properties!A$1:CB$87,Formula!J86,13))</f>
        <v>1</v>
      </c>
      <c r="BB86" s="45">
        <f>MIN(IF(Formula!B86=87,10^6,INDEX(Properties!A$1:CB$87,Formula!B86,13)),IF((Formula!D86)=87,10^6,INDEX(Properties!A$1:CB$87,Formula!D86,13)),IF((Formula!F86)=87,10^6,INDEX(Properties!A$1:CB$87,Formula!F86,13)),IF((Formula!H86)=87,10^6,INDEX(Properties!A$1:CB$87,Formula!H86,13)),IF(Formula!J86=87,10^6,INDEX(Properties!A$1:CB$87,Formula!J86,13)))</f>
        <v>0</v>
      </c>
      <c r="BC86" s="45">
        <f t="shared" si="40"/>
        <v>1</v>
      </c>
      <c r="BD86" s="63">
        <f>((Formula!C86)/(Formula!C86+Formula!E86+Formula!G86+Formula!I86+Formula!K86))*(INDEX(Properties!A$1:CB$87,Formula!B86,14))+((Formula!E86)/(Formula!C86+Formula!E86+Formula!G86+Formula!I86+Formula!K86))*(INDEX(Properties!A$1:CB$87,Formula!D86,14))+((Formula!G86)/(Formula!C86+Formula!E86+Formula!G86+Formula!I86+Formula!K86))*(INDEX(Properties!A$1:CB$87,Formula!F86,14))+((Formula!I86)/(Formula!C86+Formula!E86+Formula!G86+Formula!I86+Formula!K86))*(INDEX(Properties!A$1:CB$87,Formula!H86,14))+((Formula!K86)/(Formula!C86+Formula!E86+Formula!G86+Formula!I86+Formula!K86))*(INDEX(Properties!A$1:CB$87,Formula!J86,14))</f>
        <v>0</v>
      </c>
      <c r="BE86" s="63">
        <f>Formula!C86*(INDEX(Properties!A$1:CB$87,Formula!B86,14))+Formula!E86*(INDEX(Properties!A$1:CB$87,Formula!D86,14))+Formula!G86*(INDEX(Properties!A$1:CB$87,Formula!F86,14))+Formula!I86*(INDEX(Properties!A$1:CB$87,Formula!H86,14))+Formula!K86*(INDEX(Properties!A$1:CB$87,Formula!J86,14))</f>
        <v>0</v>
      </c>
      <c r="BF86" s="63">
        <f>VARP(IF(INDEX(Properties!A$1:CB$87,Formula!B86,14)&lt;&gt;"",INDEX(Properties!A$1:CB$87,Formula!B86,14)),IF(INDEX(Properties!A$1:CB$87,Formula!D86,14)&lt;&gt;"",INDEX(Properties!A$1:CB$87,Formula!D86,14)),IF(INDEX(Properties!A$1:CB$87,Formula!F86,14)&lt;&gt;"",INDEX(Properties!A$1:CB$87,Formula!F86,14)),IF(INDEX(Properties!A$1:CB$87,Formula!H86,14)&lt;&gt;"",INDEX(Properties!A$1:CB$87,Formula!H86,14)),IF(INDEX(Properties!A$1:CB$87,Formula!J86,14)&lt;&gt;"",INDEX(Properties!A$1:CB$87,Formula!J86,14)))</f>
        <v>0</v>
      </c>
      <c r="BG86" s="63">
        <f>MAX(INDEX(Properties!A$1:CB$87,Formula!B86,14),INDEX(Properties!A$1:CB$87,Formula!D86,14),INDEX(Properties!A$1:CB$87,Formula!F86,14),INDEX(Properties!A$1:CB$87,Formula!H86,14),INDEX(Properties!A$1:CB$87,Formula!J86,14))</f>
        <v>0</v>
      </c>
      <c r="BH86" s="63">
        <f>MIN(IF(Formula!B86=87,10^6,INDEX(Properties!A$1:CB$87,Formula!B86,14)),IF((Formula!D86)=87,10^6,INDEX(Properties!A$1:CB$87,Formula!D86,14)),IF((Formula!F86)=87,10^6,INDEX(Properties!A$1:CB$87,Formula!F86,14)),IF((Formula!H86)=87,10^6,INDEX(Properties!A$1:CB$87,Formula!H86,14)),IF(Formula!J86=87,10^6,INDEX(Properties!A$1:CB$87,Formula!J86,14)))</f>
        <v>0</v>
      </c>
      <c r="BI86" s="63">
        <f t="shared" si="41"/>
        <v>0</v>
      </c>
      <c r="BJ86" s="75">
        <f>((Formula!C86)/(Formula!C86+Formula!E86+Formula!G86+Formula!I86+Formula!K86))*(INDEX(Properties!A$1:CB$87,Formula!B86,19))+((Formula!E86)/(Formula!C86+Formula!E86+Formula!G86+Formula!I86+Formula!K86))*(INDEX(Properties!A$1:CB$87,Formula!D86,19))+((Formula!G86)/(Formula!C86+Formula!E86+Formula!G86+Formula!I86+Formula!K86))*(INDEX(Properties!A$1:CB$87,Formula!F86,19))+((Formula!I86)/(Formula!C86+Formula!E86+Formula!G86+Formula!I86+Formula!K86))*(INDEX(Properties!A$1:CB$87,Formula!H86,19))+((Formula!K86)/(Formula!C86+Formula!E86+Formula!G86+Formula!I86+Formula!K86))*(INDEX(Properties!A$1:CB$87,Formula!J86,19))</f>
        <v>4.8</v>
      </c>
      <c r="BK86" s="75">
        <f>Formula!C86*(INDEX(Properties!A$1:CB$87,Formula!B86,19))+Formula!E86*(INDEX(Properties!A$1:CB$87,Formula!D86,19))+Formula!G86*(INDEX(Properties!A$1:CB$87,Formula!F86,19))+Formula!I86*(INDEX(Properties!A$1:CB$87,Formula!H86,19))+Formula!K86*(INDEX(Properties!A$1:CB$87,Formula!J86,19))</f>
        <v>24</v>
      </c>
      <c r="BL86" s="75">
        <f>VARP(IF(INDEX(Properties!A$1:CB$87,Formula!B86,19)&lt;&gt;"",INDEX(Properties!A$1:CB$87,Formula!B86,19)),IF(INDEX(Properties!A$1:CB$87,Formula!D86,19)&lt;&gt;"",INDEX(Properties!A$1:CB$87,Formula!D86,19)),IF(INDEX(Properties!A$1:CB$87,Formula!F86,19)&lt;&gt;"",INDEX(Properties!A$1:CB$87,Formula!F86,19)),IF(INDEX(Properties!A$1:CB$87,Formula!H86,19)&lt;&gt;"",INDEX(Properties!A$1:CB$87,Formula!H86,19)),IF(INDEX(Properties!A$1:CB$87,Formula!J86,19)&lt;&gt;"",INDEX(Properties!A$1:CB$87,Formula!J86,19)))</f>
        <v>5.04</v>
      </c>
      <c r="BM86" s="75">
        <f>MAX(INDEX(Properties!A$1:CB$87,Formula!B86,19),INDEX(Properties!A$1:CB$87,Formula!D86,19),INDEX(Properties!A$1:CB$87,Formula!F86,19),INDEX(Properties!A$1:CB$87,Formula!H86,19),INDEX(Properties!A$1:CB$87,Formula!J86,19))</f>
        <v>6</v>
      </c>
      <c r="BN86" s="75">
        <f>MIN(IF(INDEX(Properties!A$1:CB$87,Formula!B86,19)=0,10^6,INDEX(Properties!A$1:CB$87,Formula!B86,19)),IF(INDEX(Properties!A$1:CB$87,Formula!D86,19)=0,10^6,INDEX(Properties!A$1:CB$87,Formula!D86,19)),IF(INDEX(Properties!A$1:CB$87,Formula!F86,19)=0,10^6,INDEX(Properties!A$1:CB$87,Formula!F86,19)),IF(INDEX(Properties!A$1:CB$87,Formula!H86,19)=0,10^6,INDEX(Properties!A$1:CB$87,Formula!H86,19)),IF(INDEX(Properties!A$1:CB$87,Formula!J86,19)=0,10^6,INDEX(Properties!A$1:CB$87,Formula!J86,19)))</f>
        <v>3</v>
      </c>
      <c r="BO86" s="75">
        <f t="shared" si="42"/>
        <v>3</v>
      </c>
      <c r="BP86" s="48">
        <f>((Formula!C86)/(Formula!C86+Formula!E86+Formula!G86+Formula!I86+Formula!K86))*(INDEX(Properties!A$1:CB$87,Formula!B86,20))+((Formula!E86)/(Formula!C86+Formula!E86+Formula!G86+Formula!I86+Formula!K86))*(INDEX(Properties!A$1:CB$87,Formula!D86,20))+((Formula!G86)/(Formula!C86+Formula!E86+Formula!G86+Formula!I86+Formula!K86))*(INDEX(Properties!A$1:CB$87,Formula!F86,20))+((Formula!I86)/(Formula!C86+Formula!E86+Formula!G86+Formula!I86+Formula!K86))*(INDEX(Properties!A$1:CB$87,Formula!H86,20))+((Formula!K86)/(Formula!C86+Formula!E86+Formula!G86+Formula!I86+Formula!K86))*(INDEX(Properties!A$1:CB$87,Formula!J86,20))</f>
        <v>4.5999999999999996</v>
      </c>
      <c r="BQ86" s="48">
        <f>Formula!C86*(INDEX(Properties!A$1:CB$87,Formula!B86,20))+Formula!E86*(INDEX(Properties!A$1:CB$87,Formula!D86,20))+Formula!G86*(INDEX(Properties!A$1:CB$87,Formula!F86,20))+Formula!I86*(INDEX(Properties!A$1:CB$87,Formula!H86,20))+Formula!K86*(INDEX(Properties!A$1:CB$87,Formula!J86,20))</f>
        <v>23</v>
      </c>
      <c r="BR86" s="48">
        <f>VARP(IF(INDEX(Properties!A$1:CB$87,Formula!B86,20)&lt;&gt;"",INDEX(Properties!A$1:CB$87,Formula!B86,20)),IF(INDEX(Properties!A$1:CB$87,Formula!D86,20)&lt;&gt;"",INDEX(Properties!A$1:CB$87,Formula!D86,20)),IF(INDEX(Properties!A$1:CB$87,Formula!F86,20)&lt;&gt;"",INDEX(Properties!A$1:CB$87,Formula!F86,20)),IF(INDEX(Properties!A$1:CB$87,Formula!H86,20)&lt;&gt;"",INDEX(Properties!A$1:CB$87,Formula!H86,20)),IF(INDEX(Properties!A$1:CB$87,Formula!J86,20)&lt;&gt;"",INDEX(Properties!A$1:CB$87,Formula!J86,20)))</f>
        <v>4.96</v>
      </c>
      <c r="BS86" s="48">
        <f>MAX(INDEX(Properties!A$1:CB$87,Formula!B86,20),INDEX(Properties!A$1:CB$87,Formula!D86,20),INDEX(Properties!A$1:CB$87,Formula!F86,20),INDEX(Properties!A$1:CB$87,Formula!H86,20),INDEX(Properties!A$1:CB$87,Formula!J86,20))</f>
        <v>6</v>
      </c>
      <c r="BT86" s="48">
        <f>MIN(IF(INDEX(Properties!A$1:CB$87,Formula!B86,20)=0,10^6,INDEX(Properties!A$1:CB$87,Formula!B86,20)),IF(INDEX(Properties!A$1:CB$87,Formula!D86,20)=0,10^6,INDEX(Properties!A$1:CB$87,Formula!D86,20)),IF(INDEX(Properties!A$1:CB$87,Formula!F86,20)=0,10^6,INDEX(Properties!A$1:CB$87,Formula!F86,20)),IF(INDEX(Properties!A$1:CB$87,Formula!H86,20)=0,10^6,INDEX(Properties!A$1:CB$87,Formula!H86,20)),IF(INDEX(Properties!A$1:CB$87,Formula!J86,20)=0,10^6,INDEX(Properties!A$1:CB$87,Formula!J86,20)))</f>
        <v>2</v>
      </c>
      <c r="BU86" s="48">
        <f t="shared" si="43"/>
        <v>4</v>
      </c>
      <c r="BV86" s="66">
        <f>((Formula!C86)/(Formula!C86+Formula!E86+Formula!G86+Formula!I86+Formula!K86))*(INDEX(Properties!A$1:CB$87,Formula!B86,21))+((Formula!E86)/(Formula!C86+Formula!E86+Formula!G86+Formula!I86+Formula!K86))*(INDEX(Properties!A$1:CB$87,Formula!D86,21))+((Formula!G86)/(Formula!C86+Formula!E86+Formula!G86+Formula!I86+Formula!K86))*(INDEX(Properties!A$1:CB$87,Formula!F86,21))+((Formula!I86)/(Formula!C86+Formula!E86+Formula!G86+Formula!I86+Formula!K86))*(INDEX(Properties!A$1:CB$87,Formula!H86,21))+((Formula!K86)/(Formula!C86+Formula!E86+Formula!G86+Formula!I86+Formula!K86))*(INDEX(Properties!A$1:CB$87,Formula!J86,21))</f>
        <v>4.3999999999999995</v>
      </c>
      <c r="BW86" s="66">
        <f>Formula!C86*(INDEX(Properties!A$1:CB$87,Formula!B86,21))+Formula!E86*(INDEX(Properties!A$1:CB$87,Formula!D86,21))+Formula!G86*(INDEX(Properties!A$1:CB$87,Formula!F86,21))+Formula!I86*(INDEX(Properties!A$1:CB$87,Formula!H86,21))+Formula!K86*(INDEX(Properties!A$1:CB$87,Formula!J86,21))</f>
        <v>22</v>
      </c>
      <c r="BX86" s="66">
        <f>VARP(IF(INDEX(Properties!A$1:CB$87,Formula!B86,21)&lt;&gt;"",INDEX(Properties!A$1:CB$87,Formula!B86,21)),IF(INDEX(Properties!A$1:CB$87,Formula!D86,21)&lt;&gt;"",INDEX(Properties!A$1:CB$87,Formula!D86,21)),IF(INDEX(Properties!A$1:CB$87,Formula!F86,21)&lt;&gt;"",INDEX(Properties!A$1:CB$87,Formula!F86,21)),IF(INDEX(Properties!A$1:CB$87,Formula!H86,21)&lt;&gt;"",INDEX(Properties!A$1:CB$87,Formula!H86,21)),IF(INDEX(Properties!A$1:CB$87,Formula!J86,21)&lt;&gt;"",INDEX(Properties!A$1:CB$87,Formula!J86,21)))</f>
        <v>5.2</v>
      </c>
      <c r="BY86" s="66">
        <f>MAX(INDEX(Properties!A$1:CB$87,Formula!B86,21),INDEX(Properties!A$1:CB$87,Formula!D86,21),INDEX(Properties!A$1:CB$87,Formula!F86,21),INDEX(Properties!A$1:CB$87,Formula!H86,21),INDEX(Properties!A$1:CB$87,Formula!J86,21))</f>
        <v>6</v>
      </c>
      <c r="BZ86" s="66">
        <f>MIN(IF(INDEX(Properties!A$1:CB$87,Formula!B86,21)=0,10^6,INDEX(Properties!A$1:CB$87,Formula!B86,21)),IF(INDEX(Properties!A$1:CB$87,Formula!D86,21)=0,10^6,INDEX(Properties!A$1:CB$87,Formula!D86,21)),IF(INDEX(Properties!A$1:CB$87,Formula!F86,21)=0,10^6,INDEX(Properties!A$1:CB$87,Formula!F86,21)),IF(INDEX(Properties!A$1:CB$87,Formula!H86,21)=0,10^6,INDEX(Properties!A$1:CB$87,Formula!H86,21)),IF(INDEX(Properties!A$1:CB$87,Formula!J86,21)=0,10^6,INDEX(Properties!A$1:CB$87,Formula!J86,21)))</f>
        <v>1</v>
      </c>
      <c r="CA86" s="66">
        <f t="shared" si="44"/>
        <v>5</v>
      </c>
      <c r="CB86" s="81">
        <f>((Formula!C86)/(Formula!C86+Formula!E86+Formula!G86+Formula!I86+Formula!K86))*(INDEX(Properties!A$1:CB$87,Formula!B86,23))+((Formula!E86)/(Formula!C86+Formula!E86+Formula!G86+Formula!I86+Formula!K86))*(INDEX(Properties!A$1:CB$87,Formula!D86,23))+((Formula!G86)/(Formula!C86+Formula!E86+Formula!G86+Formula!I86+Formula!K86))*(INDEX(Properties!A$1:CB$87,Formula!F86,23))+((Formula!I86)/(Formula!C86+Formula!E86+Formula!G86+Formula!I86+Formula!K86))*(INDEX(Properties!A$1:CB$87,Formula!H86,23))+((Formula!K86)/(Formula!C86+Formula!E86+Formula!G86+Formula!I86+Formula!K86))*(INDEX(Properties!A$1:CB$87,Formula!J86,23))</f>
        <v>1.2000000000000002</v>
      </c>
      <c r="CC86" s="81">
        <f>Formula!C86*(INDEX(Properties!A$1:CB$87,Formula!B86,23))+Formula!E86*(INDEX(Properties!A$1:CB$87,Formula!D86,23))+Formula!G86*(INDEX(Properties!A$1:CB$87,Formula!F86,23))+Formula!I86*(INDEX(Properties!A$1:CB$87,Formula!H86,23))+Formula!K86*(INDEX(Properties!A$1:CB$87,Formula!J86,23))</f>
        <v>6</v>
      </c>
      <c r="CD86" s="81">
        <f>VARP(IF(INDEX(Properties!A$1:CB$87,Formula!B86,23)&lt;&gt;"",INDEX(Properties!A$1:CB$87,Formula!B86,23)),IF(INDEX(Properties!A$1:CB$87,Formula!D86,23)&lt;&gt;"",INDEX(Properties!A$1:CB$87,Formula!D86,23)),IF(INDEX(Properties!A$1:CB$87,Formula!F86,23)&lt;&gt;"",INDEX(Properties!A$1:CB$87,Formula!F86,23)),IF(INDEX(Properties!A$1:CB$87,Formula!H86,23)&lt;&gt;"",INDEX(Properties!A$1:CB$87,Formula!H86,23)),IF(INDEX(Properties!A$1:CB$87,Formula!J86,23)&lt;&gt;"",INDEX(Properties!A$1:CB$87,Formula!J86,23)))</f>
        <v>2.16</v>
      </c>
      <c r="CE86" s="81">
        <f>MAX(INDEX(Properties!A$1:CB$87,Formula!B86,23),INDEX(Properties!A$1:CB$87,Formula!D86,23),INDEX(Properties!A$1:CB$87,Formula!F86,23),INDEX(Properties!A$1:CB$87,Formula!H86,23),INDEX(Properties!A$1:CB$87,Formula!J86,23))</f>
        <v>3</v>
      </c>
      <c r="CF86" s="81">
        <f>MIN(IF(Formula!B86=87,10^6,INDEX(Properties!A$1:CB$87,Formula!B86,23)),IF((Formula!D86)=87,10^6,INDEX(Properties!A$1:CB$87,Formula!D86,23)),IF((Formula!F86)=87,10^6,INDEX(Properties!A$1:CB$87,Formula!F86,23)),IF((Formula!H86)=87,10^6,INDEX(Properties!A$1:CB$87,Formula!H86,23)),IF(Formula!J86=87,10^6,INDEX(Properties!A$1:CB$87,Formula!J86,23)))</f>
        <v>0</v>
      </c>
      <c r="CG86" s="81">
        <f t="shared" si="45"/>
        <v>3</v>
      </c>
      <c r="CH86" s="39">
        <f>((Formula!C86)/(Formula!C86+Formula!E86+Formula!G86+Formula!I86+Formula!K86))*(INDEX(Properties!A$1:CB$87,Formula!B86,26))+((Formula!E86)/(Formula!C86+Formula!E86+Formula!G86+Formula!I86+Formula!K86))*(INDEX(Properties!A$1:CB$87,Formula!D86,26))+((Formula!G86)/(Formula!C86+Formula!E86+Formula!G86+Formula!I86+Formula!K86))*(INDEX(Properties!A$1:CB$87,Formula!F86,26))+((Formula!I86)/(Formula!C86+Formula!E86+Formula!G86+Formula!I86+Formula!K86))*(INDEX(Properties!A$1:CB$87,Formula!H86,26))+((Formula!K86)/(Formula!C86+Formula!E86+Formula!G86+Formula!I86+Formula!K86))*(INDEX(Properties!A$1:CB$87,Formula!J86,26))</f>
        <v>10.4834</v>
      </c>
      <c r="CI86" s="39">
        <f>Formula!C86*(INDEX(Properties!A$1:CB$87,Formula!B86,26))+Formula!E86*(INDEX(Properties!A$1:CB$87,Formula!D86,26))+Formula!G86*(INDEX(Properties!A$1:CB$87,Formula!F86,26))+Formula!I86*(INDEX(Properties!A$1:CB$87,Formula!H86,26))+Formula!K86*(INDEX(Properties!A$1:CB$87,Formula!J86,26))</f>
        <v>52.417000000000002</v>
      </c>
      <c r="CJ86" s="39">
        <f>VARP(IF(INDEX(Properties!A$1:CB$87,Formula!B86,26)&lt;&gt;"",INDEX(Properties!A$1:CB$87,Formula!B86,26)),IF(INDEX(Properties!A$1:CB$87,Formula!D86,26)&lt;&gt;"",INDEX(Properties!A$1:CB$87,Formula!D86,26)),IF(INDEX(Properties!A$1:CB$87,Formula!F86,26)&lt;&gt;"",INDEX(Properties!A$1:CB$87,Formula!F86,26)),IF(INDEX(Properties!A$1:CB$87,Formula!H86,26)&lt;&gt;"",INDEX(Properties!A$1:CB$87,Formula!H86,26)),IF(INDEX(Properties!A$1:CB$87,Formula!J86,26)&lt;&gt;"",INDEX(Properties!A$1:CB$87,Formula!J86,26)))</f>
        <v>25.113945026400003</v>
      </c>
      <c r="CK86" s="39">
        <f>MAX(INDEX(Properties!A$1:CB$87,Formula!B86,26),INDEX(Properties!A$1:CB$87,Formula!D86,26),INDEX(Properties!A$1:CB$87,Formula!F86,26),INDEX(Properties!A$1:CB$87,Formula!H86,26),INDEX(Properties!A$1:CB$87,Formula!J86,26))</f>
        <v>13.6181</v>
      </c>
      <c r="CL86" s="39">
        <f>MIN(IF(INDEX(Properties!A$1:CB$87,Formula!B86,26)=0,10^6,INDEX(Properties!A$1:CB$87,Formula!B86,26)),IF(INDEX(Properties!A$1:CB$87,Formula!D86,26)=0,10^6,INDEX(Properties!A$1:CB$87,Formula!D86,26)),IF(INDEX(Properties!A$1:CB$87,Formula!F86,26)=0,10^6,INDEX(Properties!A$1:CB$87,Formula!F86,26)),IF(INDEX(Properties!A$1:CB$87,Formula!H86,26)=0,10^6,INDEX(Properties!A$1:CB$87,Formula!H86,26)),IF(INDEX(Properties!A$1:CB$87,Formula!J86,26)=0,10^6,INDEX(Properties!A$1:CB$87,Formula!J86,26)))</f>
        <v>5.5769000000000002</v>
      </c>
      <c r="CM86" s="39">
        <f t="shared" si="46"/>
        <v>8.0411999999999999</v>
      </c>
      <c r="CN86" s="54">
        <f>((Formula!C86)/(Formula!C86+Formula!E86+Formula!G86+Formula!I86+Formula!K86))*(INDEX(Properties!A$1:CB$87,Formula!B86,30))+((Formula!E86)/(Formula!C86+Formula!E86+Formula!G86+Formula!I86+Formula!K86))*(INDEX(Properties!A$1:CB$87,Formula!D86,30))+((Formula!G86)/(Formula!C86+Formula!E86+Formula!G86+Formula!I86+Formula!K86))*(INDEX(Properties!A$1:CB$87,Formula!F86,30))+((Formula!I86)/(Formula!C86+Formula!E86+Formula!G86+Formula!I86+Formula!K86))*(INDEX(Properties!A$1:CB$87,Formula!H86,30))+((Formula!K86)/(Formula!C86+Formula!E86+Formula!G86+Formula!I86+Formula!K86))*(INDEX(Properties!A$1:CB$87,Formula!J86,30))</f>
        <v>2.6059999999999999</v>
      </c>
      <c r="CO86" s="54">
        <f>Formula!C86*(INDEX(Properties!A$1:CB$87,Formula!B86,30))+Formula!E86*(INDEX(Properties!A$1:CB$87,Formula!D86,30))+Formula!G86*(INDEX(Properties!A$1:CB$87,Formula!F86,30))+Formula!I86*(INDEX(Properties!A$1:CB$87,Formula!H86,30))+Formula!K86*(INDEX(Properties!A$1:CB$87,Formula!J86,30))</f>
        <v>13.030000000000001</v>
      </c>
      <c r="CP86" s="54">
        <f>VARP(IF(INDEX(Properties!A$1:CB$87,Formula!B86,30)&lt;&gt;"",INDEX(Properties!A$1:CB$87,Formula!B86,30)),IF(INDEX(Properties!A$1:CB$87,Formula!D86,30)&lt;&gt;"",INDEX(Properties!A$1:CB$87,Formula!D86,30)),IF(INDEX(Properties!A$1:CB$87,Formula!F86,30)&lt;&gt;"",INDEX(Properties!A$1:CB$87,Formula!F86,30)),IF(INDEX(Properties!A$1:CB$87,Formula!H86,30)&lt;&gt;"",INDEX(Properties!A$1:CB$87,Formula!H86,30)),IF(INDEX(Properties!A$1:CB$87,Formula!J86,30)&lt;&gt;"",INDEX(Properties!A$1:CB$87,Formula!J86,30)))</f>
        <v>1.6142399999999997</v>
      </c>
      <c r="CQ86" s="54">
        <f>MAX(INDEX(Properties!A$1:CB$87,Formula!B86,30),INDEX(Properties!A$1:CB$87,Formula!D86,30),INDEX(Properties!A$1:CB$87,Formula!F86,30),INDEX(Properties!A$1:CB$87,Formula!H86,30),INDEX(Properties!A$1:CB$87,Formula!J86,30))</f>
        <v>3.44</v>
      </c>
      <c r="CR86" s="54">
        <f>MIN(IF(INDEX(Properties!A$1:CB$87,Formula!B86,30)=0,10^6,INDEX(Properties!A$1:CB$87,Formula!B86,30)),IF(INDEX(Properties!A$1:CB$87,Formula!D86,30)=0,10^6,INDEX(Properties!A$1:CB$87,Formula!D86,30)),IF(INDEX(Properties!A$1:CB$87,Formula!F86,30)=0,10^6,INDEX(Properties!A$1:CB$87,Formula!F86,30)),IF(INDEX(Properties!A$1:CB$87,Formula!H86,30)=0,10^6,INDEX(Properties!A$1:CB$87,Formula!H86,30)),IF(INDEX(Properties!A$1:CB$87,Formula!J86,30)=0,10^6,INDEX(Properties!A$1:CB$87,Formula!J86,30)))</f>
        <v>1.1000000000000001</v>
      </c>
      <c r="CS86" s="54">
        <f t="shared" si="47"/>
        <v>2.34</v>
      </c>
      <c r="CT86" s="69">
        <f>((Formula!C86)/(Formula!C86+Formula!E86+Formula!G86+Formula!I86+Formula!K86))*(INDEX(Properties!A$1:CB$87,Formula!B86,31))+((Formula!E86)/(Formula!C86+Formula!E86+Formula!G86+Formula!I86+Formula!K86))*(INDEX(Properties!A$1:CB$87,Formula!D86,31))+((Formula!G86)/(Formula!C86+Formula!E86+Formula!G86+Formula!I86+Formula!K86))*(INDEX(Properties!A$1:CB$87,Formula!F86,31))+((Formula!I86)/(Formula!C86+Formula!E86+Formula!G86+Formula!I86+Formula!K86))*(INDEX(Properties!A$1:CB$87,Formula!H86,31))+((Formula!K86)/(Formula!C86+Formula!E86+Formula!G86+Formula!I86+Formula!K86))*(INDEX(Properties!A$1:CB$87,Formula!J86,31))</f>
        <v>2.59</v>
      </c>
      <c r="CU86" s="69">
        <f>Formula!C86*(INDEX(Properties!A$1:CB$87,Formula!B86,31))+Formula!E86*(INDEX(Properties!A$1:CB$87,Formula!D86,31))+Formula!G86*(INDEX(Properties!A$1:CB$87,Formula!F86,31))+Formula!I86*(INDEX(Properties!A$1:CB$87,Formula!H86,31))+Formula!K86*(INDEX(Properties!A$1:CB$87,Formula!J86,31))</f>
        <v>12.95</v>
      </c>
      <c r="CV86" s="69">
        <f>VARP(IF(INDEX(Properties!A$1:CB$87,Formula!B86,31)&lt;&gt;"",INDEX(Properties!A$1:CB$87,Formula!B86,31)),IF(INDEX(Properties!A$1:CB$87,Formula!D86,31)&lt;&gt;"",INDEX(Properties!A$1:CB$87,Formula!D86,31)),IF(INDEX(Properties!A$1:CB$87,Formula!F86,31)&lt;&gt;"",INDEX(Properties!A$1:CB$87,Formula!F86,31)),IF(INDEX(Properties!A$1:CB$87,Formula!H86,31)&lt;&gt;"",INDEX(Properties!A$1:CB$87,Formula!H86,31)),IF(INDEX(Properties!A$1:CB$87,Formula!J86,31)&lt;&gt;"",INDEX(Properties!A$1:CB$87,Formula!J86,31)))</f>
        <v>1.5142559999999998</v>
      </c>
      <c r="CW86" s="69">
        <f>MAX(INDEX(Properties!A$1:CB$87,Formula!B86,31),INDEX(Properties!A$1:CB$87,Formula!D86,31),INDEX(Properties!A$1:CB$87,Formula!F86,31),INDEX(Properties!A$1:CB$87,Formula!H86,31),INDEX(Properties!A$1:CB$87,Formula!J86,31))</f>
        <v>3.32</v>
      </c>
      <c r="CX86" s="69">
        <f>MIN(IF(INDEX(Properties!A$1:CB$87,Formula!B86,31)=0,10^6,INDEX(Properties!A$1:CB$87,Formula!B86,31)),IF(INDEX(Properties!A$1:CB$87,Formula!D86,31)=0,10^6,INDEX(Properties!A$1:CB$87,Formula!D86,31)),IF(INDEX(Properties!A$1:CB$87,Formula!F86,31)=0,10^6,INDEX(Properties!A$1:CB$87,Formula!F86,31)),IF(INDEX(Properties!A$1:CB$87,Formula!H86,31)=0,10^6,INDEX(Properties!A$1:CB$87,Formula!H86,31)),IF(INDEX(Properties!A$1:CB$87,Formula!J86,31)=0,10^6,INDEX(Properties!A$1:CB$87,Formula!J86,31)))</f>
        <v>1.35</v>
      </c>
      <c r="CY86" s="69">
        <f t="shared" si="48"/>
        <v>1.9699999999999998</v>
      </c>
      <c r="CZ86" s="42">
        <f>((Formula!C86)/(Formula!C86+Formula!E86+Formula!G86+Formula!I86+Formula!K86))*(INDEX(Properties!A$1:CB$87,Formula!B86,32))+((Formula!E86)/(Formula!C86+Formula!E86+Formula!G86+Formula!I86+Formula!K86))*(INDEX(Properties!A$1:CB$87,Formula!D86,32))+((Formula!G86)/(Formula!C86+Formula!E86+Formula!G86+Formula!I86+Formula!K86))*(INDEX(Properties!A$1:CB$87,Formula!F86,32))+((Formula!I86)/(Formula!C86+Formula!E86+Formula!G86+Formula!I86+Formula!K86))*(INDEX(Properties!A$1:CB$87,Formula!H86,32))+((Formula!K86)/(Formula!C86+Formula!E86+Formula!G86+Formula!I86+Formula!K86))*(INDEX(Properties!A$1:CB$87,Formula!J86,32))</f>
        <v>5.79</v>
      </c>
      <c r="DA86" s="42">
        <f>Formula!C86*(INDEX(Properties!A$1:CB$87,Formula!B86,32))+Formula!E86*(INDEX(Properties!A$1:CB$87,Formula!D86,32))+Formula!G86*(INDEX(Properties!A$1:CB$87,Formula!F86,32))+Formula!I86*(INDEX(Properties!A$1:CB$87,Formula!H86,32))+Formula!K86*(INDEX(Properties!A$1:CB$87,Formula!J86,32))</f>
        <v>28.950000000000003</v>
      </c>
      <c r="DB86" s="42">
        <f>VARP(IF(INDEX(Properties!A$1:CB$87,Formula!B86,32)&lt;&gt;"",INDEX(Properties!A$1:CB$87,Formula!B86,32)),IF(INDEX(Properties!A$1:CB$87,Formula!D86,32)&lt;&gt;"",INDEX(Properties!A$1:CB$87,Formula!D86,32)),IF(INDEX(Properties!A$1:CB$87,Formula!F86,32)&lt;&gt;"",INDEX(Properties!A$1:CB$87,Formula!F86,32)),IF(INDEX(Properties!A$1:CB$87,Formula!H86,32)&lt;&gt;"",INDEX(Properties!A$1:CB$87,Formula!H86,32)),IF(INDEX(Properties!A$1:CB$87,Formula!J86,32)&lt;&gt;"",INDEX(Properties!A$1:CB$87,Formula!J86,32)))</f>
        <v>7.6838239999999978</v>
      </c>
      <c r="DC86" s="42">
        <f>MAX(INDEX(Properties!A$1:CB$87,Formula!B86,32),INDEX(Properties!A$1:CB$87,Formula!D86,32),INDEX(Properties!A$1:CB$87,Formula!F86,32),INDEX(Properties!A$1:CB$87,Formula!H86,32),INDEX(Properties!A$1:CB$87,Formula!J86,32))</f>
        <v>7.54</v>
      </c>
      <c r="DD86" s="42">
        <f>MIN(IF(INDEX(Properties!A$1:CB$87,Formula!B86,32)=0,10^6,INDEX(Properties!A$1:CB$87,Formula!B86,32)),IF(INDEX(Properties!A$1:CB$87,Formula!D86,32)=0,10^6,INDEX(Properties!A$1:CB$87,Formula!D86,32)),IF(INDEX(Properties!A$1:CB$87,Formula!F86,32)=0,10^6,INDEX(Properties!A$1:CB$87,Formula!F86,32)),IF(INDEX(Properties!A$1:CB$87,Formula!H86,32)=0,10^6,INDEX(Properties!A$1:CB$87,Formula!H86,32)),IF(INDEX(Properties!A$1:CB$87,Formula!J86,32)=0,10^6,INDEX(Properties!A$1:CB$87,Formula!J86,32)))</f>
        <v>3.1</v>
      </c>
      <c r="DE86" s="42">
        <f t="shared" si="49"/>
        <v>4.4399999999999995</v>
      </c>
      <c r="DF86" s="60">
        <f>((Formula!C86)/(Formula!C86+Formula!E86+Formula!G86+Formula!I86+Formula!K86))*(INDEX(Properties!A$1:CB$87,Formula!B86,34))+((Formula!E86)/(Formula!C86+Formula!E86+Formula!G86+Formula!I86+Formula!K86))*(INDEX(Properties!A$1:CB$87,Formula!D86,34))+((Formula!G86)/(Formula!C86+Formula!E86+Formula!G86+Formula!I86+Formula!K86))*(INDEX(Properties!A$1:CB$87,Formula!F86,34))+((Formula!I86)/(Formula!C86+Formula!E86+Formula!G86+Formula!I86+Formula!K86))*(INDEX(Properties!A$1:CB$87,Formula!H86,34))+((Formula!K86)/(Formula!C86+Formula!E86+Formula!G86+Formula!I86+Formula!K86))*(INDEX(Properties!A$1:CB$87,Formula!J86,34))</f>
        <v>2.7065999999999999</v>
      </c>
      <c r="DG86" s="60">
        <f>Formula!C86*(INDEX(Properties!A$1:CB$87,Formula!B86,34))+Formula!E86*(INDEX(Properties!A$1:CB$87,Formula!D86,34))+Formula!G86*(INDEX(Properties!A$1:CB$87,Formula!F86,34))+Formula!I86*(INDEX(Properties!A$1:CB$87,Formula!H86,34))+Formula!K86*(INDEX(Properties!A$1:CB$87,Formula!J86,34))</f>
        <v>13.533000000000001</v>
      </c>
      <c r="DH86" s="60">
        <f>VARP(IF(INDEX(Properties!A$1:CB$87,Formula!B86,34)&lt;&gt;"",INDEX(Properties!A$1:CB$87,Formula!B86,34)),IF(INDEX(Properties!A$1:CB$87,Formula!D86,34)&lt;&gt;"",INDEX(Properties!A$1:CB$87,Formula!D86,34)),IF(INDEX(Properties!A$1:CB$87,Formula!F86,34)&lt;&gt;"",INDEX(Properties!A$1:CB$87,Formula!F86,34)),IF(INDEX(Properties!A$1:CB$87,Formula!H86,34)&lt;&gt;"",INDEX(Properties!A$1:CB$87,Formula!H86,34)),IF(INDEX(Properties!A$1:CB$87,Formula!J86,34)&lt;&gt;"",INDEX(Properties!A$1:CB$87,Formula!J86,34)))</f>
        <v>1.7702350399999995</v>
      </c>
      <c r="DI86" s="60">
        <f>MAX(INDEX(Properties!A$1:CB$87,Formula!B86,34),INDEX(Properties!A$1:CB$87,Formula!D86,34),INDEX(Properties!A$1:CB$87,Formula!F86,34),INDEX(Properties!A$1:CB$87,Formula!H86,34),INDEX(Properties!A$1:CB$87,Formula!J86,34))</f>
        <v>3.61</v>
      </c>
      <c r="DJ86" s="60">
        <f>MIN(IF(INDEX(Properties!A$1:CB$87,Formula!B86,34)=0,10^6,INDEX(Properties!A$1:CB$87,Formula!B86,34)),IF(INDEX(Properties!A$1:CB$87,Formula!D86,34)=0,10^6,INDEX(Properties!A$1:CB$87,Formula!D86,34)),IF(INDEX(Properties!A$1:CB$87,Formula!F86,34)=0,10^6,INDEX(Properties!A$1:CB$87,Formula!F86,34)),IF(INDEX(Properties!A$1:CB$87,Formula!H86,34)=0,10^6,INDEX(Properties!A$1:CB$87,Formula!H86,34)),IF(INDEX(Properties!A$1:CB$87,Formula!J86,34)=0,10^6,INDEX(Properties!A$1:CB$87,Formula!J86,34)))</f>
        <v>1.0900000000000001</v>
      </c>
      <c r="DK86" s="60">
        <f t="shared" si="50"/>
        <v>2.5199999999999996</v>
      </c>
      <c r="DL86" s="45">
        <f>((Formula!C86)/(Formula!C86+Formula!E86+Formula!G86+Formula!I86+Formula!K86))*(INDEX(Properties!A$1:CB$87,Formula!B86,39))+((Formula!E86)/(Formula!C86+Formula!E86+Formula!G86+Formula!I86+Formula!K86))*(INDEX(Properties!A$1:CB$87,Formula!D86,39))+((Formula!G86)/(Formula!C86+Formula!E86+Formula!G86+Formula!I86+Formula!K86))*(INDEX(Properties!A$1:CB$87,Formula!F86,39))+((Formula!I86)/(Formula!C86+Formula!E86+Formula!G86+Formula!I86+Formula!K86))*(INDEX(Properties!A$1:CB$87,Formula!H86,39))+((Formula!K86)/(Formula!C86+Formula!E86+Formula!G86+Formula!I86+Formula!K86))*(INDEX(Properties!A$1:CB$87,Formula!J86,39))</f>
        <v>0.91399999999999992</v>
      </c>
      <c r="DM86" s="45">
        <f>Formula!C86*(INDEX(Properties!A$1:CB$87,Formula!B86,39))+Formula!E86*(INDEX(Properties!A$1:CB$87,Formula!D86,39))+Formula!G86*(INDEX(Properties!A$1:CB$87,Formula!F86,39))+Formula!I86*(INDEX(Properties!A$1:CB$87,Formula!H86,39))+Formula!K86*(INDEX(Properties!A$1:CB$87,Formula!J86,39))</f>
        <v>4.57</v>
      </c>
      <c r="DN86" s="45">
        <f>VARP(IF(INDEX(Properties!A$1:CB$87,Formula!B86,39)&lt;&gt;"",INDEX(Properties!A$1:CB$87,Formula!B86,39)),IF(INDEX(Properties!A$1:CB$87,Formula!D86,39)&lt;&gt;"",INDEX(Properties!A$1:CB$87,Formula!D86,39)),IF(INDEX(Properties!A$1:CB$87,Formula!F86,39)&lt;&gt;"",INDEX(Properties!A$1:CB$87,Formula!F86,39)),IF(INDEX(Properties!A$1:CB$87,Formula!H86,39)&lt;&gt;"",INDEX(Properties!A$1:CB$87,Formula!H86,39)),IF(INDEX(Properties!A$1:CB$87,Formula!J86,39)&lt;&gt;"",INDEX(Properties!A$1:CB$87,Formula!J86,39)))</f>
        <v>0.56377600000000005</v>
      </c>
      <c r="DO86" s="45">
        <f>MAX(INDEX(Properties!A$1:CB$87,Formula!B86,39),INDEX(Properties!A$1:CB$87,Formula!D86,39),INDEX(Properties!A$1:CB$87,Formula!F86,39),INDEX(Properties!A$1:CB$87,Formula!H86,39),INDEX(Properties!A$1:CB$87,Formula!J86,39))</f>
        <v>1.95</v>
      </c>
      <c r="DP86" s="45">
        <f>MIN(IF(INDEX(Properties!A$1:CB$87,Formula!B86,39)=0,10^6,INDEX(Properties!A$1:CB$87,Formula!B86,39)),IF(INDEX(Properties!A$1:CB$87,Formula!D86,39)=0,10^6,INDEX(Properties!A$1:CB$87,Formula!D86,39)),IF(INDEX(Properties!A$1:CB$87,Formula!F86,39)=0,10^6,INDEX(Properties!A$1:CB$87,Formula!F86,39)),IF(INDEX(Properties!A$1:CB$87,Formula!H86,39)=0,10^6,INDEX(Properties!A$1:CB$87,Formula!H86,39)),IF(INDEX(Properties!A$1:CB$87,Formula!J86,39)=0,10^6,INDEX(Properties!A$1:CB$87,Formula!J86,39)))</f>
        <v>0.48</v>
      </c>
      <c r="DQ86" s="45">
        <f t="shared" si="51"/>
        <v>1.47</v>
      </c>
      <c r="DR86" s="63">
        <f>((Formula!C86)/(Formula!C86+Formula!E86+Formula!G86+Formula!I86+Formula!K86))*(INDEX(Properties!A$1:CB$87,Formula!B86,40))+((Formula!E86)/(Formula!C86+Formula!E86+Formula!G86+Formula!I86+Formula!K86))*(INDEX(Properties!A$1:CB$87,Formula!D86,40))+((Formula!G86)/(Formula!C86+Formula!E86+Formula!G86+Formula!I86+Formula!K86))*(INDEX(Properties!A$1:CB$87,Formula!F86,40))+((Formula!I86)/(Formula!C86+Formula!E86+Formula!G86+Formula!I86+Formula!K86))*(INDEX(Properties!A$1:CB$87,Formula!H86,40))+((Formula!K86)/(Formula!C86+Formula!E86+Formula!G86+Formula!I86+Formula!K86))*(INDEX(Properties!A$1:CB$87,Formula!J86,40))</f>
        <v>1.012</v>
      </c>
      <c r="DS86" s="63">
        <f>Formula!C86*(INDEX(Properties!A$1:CB$87,Formula!B86,40))+Formula!E86*(INDEX(Properties!A$1:CB$87,Formula!D86,40))+Formula!G86*(INDEX(Properties!A$1:CB$87,Formula!F86,40))+Formula!I86*(INDEX(Properties!A$1:CB$87,Formula!H86,40))+Formula!K86*(INDEX(Properties!A$1:CB$87,Formula!J86,40))</f>
        <v>5.0600000000000005</v>
      </c>
      <c r="DT86" s="63">
        <f>VARP(IF(INDEX(Properties!A$1:CB$87,Formula!B86,40)&lt;&gt;"",INDEX(Properties!A$1:CB$87,Formula!B86,40)),IF(INDEX(Properties!A$1:CB$87,Formula!D86,40)&lt;&gt;"",INDEX(Properties!A$1:CB$87,Formula!D86,40)),IF(INDEX(Properties!A$1:CB$87,Formula!F86,40)&lt;&gt;"",INDEX(Properties!A$1:CB$87,Formula!F86,40)),IF(INDEX(Properties!A$1:CB$87,Formula!H86,40)&lt;&gt;"",INDEX(Properties!A$1:CB$87,Formula!H86,40)),IF(INDEX(Properties!A$1:CB$87,Formula!J86,40)&lt;&gt;"",INDEX(Properties!A$1:CB$87,Formula!J86,40)))</f>
        <v>0.43787999999999982</v>
      </c>
      <c r="DU86" s="63">
        <f>MAX(INDEX(Properties!A$1:CB$87,Formula!B86,40),INDEX(Properties!A$1:CB$87,Formula!D86,40),INDEX(Properties!A$1:CB$87,Formula!F86,40),INDEX(Properties!A$1:CB$87,Formula!H86,40),INDEX(Properties!A$1:CB$87,Formula!J86,40))</f>
        <v>1.69</v>
      </c>
      <c r="DV86" s="63">
        <f>MIN(IF(INDEX(Properties!A$1:CB$87,Formula!B86,40)=0,10^6,INDEX(Properties!A$1:CB$87,Formula!B86,40)),IF(INDEX(Properties!A$1:CB$87,Formula!D86,40)=0,10^6,INDEX(Properties!A$1:CB$87,Formula!D86,40)),IF(INDEX(Properties!A$1:CB$87,Formula!F86,40)=0,10^6,INDEX(Properties!A$1:CB$87,Formula!F86,40)),IF(INDEX(Properties!A$1:CB$87,Formula!H86,40)=0,10^6,INDEX(Properties!A$1:CB$87,Formula!H86,40)),IF(INDEX(Properties!A$1:CB$87,Formula!J86,40)=0,10^6,INDEX(Properties!A$1:CB$87,Formula!J86,40)))</f>
        <v>0.73</v>
      </c>
      <c r="DW86" s="63">
        <f t="shared" si="52"/>
        <v>0.96</v>
      </c>
      <c r="DX86" s="75">
        <f>((Formula!C86)/(Formula!C86+Formula!E86+Formula!G86+Formula!I86+Formula!K86))*(INDEX(Properties!A$1:CB$87,Formula!B86,41))+((Formula!E86)/(Formula!C86+Formula!E86+Formula!G86+Formula!I86+Formula!K86))*(INDEX(Properties!A$1:CB$87,Formula!D86,41))+((Formula!G86)/(Formula!C86+Formula!E86+Formula!G86+Formula!I86+Formula!K86))*(INDEX(Properties!A$1:CB$87,Formula!F86,41))+((Formula!I86)/(Formula!C86+Formula!E86+Formula!G86+Formula!I86+Formula!K86))*(INDEX(Properties!A$1:CB$87,Formula!H86,41))+((Formula!K86)/(Formula!C86+Formula!E86+Formula!G86+Formula!I86+Formula!K86))*(INDEX(Properties!A$1:CB$87,Formula!J86,41))</f>
        <v>1.1259999999999999</v>
      </c>
      <c r="DY86" s="75">
        <f>Formula!C86*(INDEX(Properties!A$1:CB$87,Formula!B86,41))+Formula!E86*(INDEX(Properties!A$1:CB$87,Formula!D86,41))+Formula!G86*(INDEX(Properties!A$1:CB$87,Formula!F86,41))+Formula!I86*(INDEX(Properties!A$1:CB$87,Formula!H86,41))+Formula!K86*(INDEX(Properties!A$1:CB$87,Formula!J86,41))</f>
        <v>5.6300000000000008</v>
      </c>
      <c r="DZ86" s="75">
        <f>VARP(IF(INDEX(Properties!A$1:CB$87,Formula!B86,41)&lt;&gt;"",INDEX(Properties!A$1:CB$87,Formula!B86,41)),IF(INDEX(Properties!A$1:CB$87,Formula!D86,41)&lt;&gt;"",INDEX(Properties!A$1:CB$87,Formula!D86,41)),IF(INDEX(Properties!A$1:CB$87,Formula!F86,41)&lt;&gt;"",INDEX(Properties!A$1:CB$87,Formula!F86,41)),IF(INDEX(Properties!A$1:CB$87,Formula!H86,41)&lt;&gt;"",INDEX(Properties!A$1:CB$87,Formula!H86,41)),IF(INDEX(Properties!A$1:CB$87,Formula!J86,41)&lt;&gt;"",INDEX(Properties!A$1:CB$87,Formula!J86,41)))</f>
        <v>0.29689599999999994</v>
      </c>
      <c r="EA86" s="75">
        <f>MAX(INDEX(Properties!A$1:CB$87,Formula!B86,41),INDEX(Properties!A$1:CB$87,Formula!D86,41),INDEX(Properties!A$1:CB$87,Formula!F86,41),INDEX(Properties!A$1:CB$87,Formula!H86,41),INDEX(Properties!A$1:CB$87,Formula!J86,41))</f>
        <v>1.26</v>
      </c>
      <c r="EB86" s="75">
        <f>MIN(IF(INDEX(Properties!A$1:CB$87,Formula!B86,41)=0,10^6,INDEX(Properties!A$1:CB$87,Formula!B86,41)),IF(INDEX(Properties!A$1:CB$87,Formula!D86,41)=0,10^6,INDEX(Properties!A$1:CB$87,Formula!D86,41)),IF(INDEX(Properties!A$1:CB$87,Formula!F86,41)=0,10^6,INDEX(Properties!A$1:CB$87,Formula!F86,41)),IF(INDEX(Properties!A$1:CB$87,Formula!H86,41)=0,10^6,INDEX(Properties!A$1:CB$87,Formula!H86,41)),IF(INDEX(Properties!A$1:CB$87,Formula!J86,41)=0,10^6,INDEX(Properties!A$1:CB$87,Formula!J86,41)))</f>
        <v>0.68</v>
      </c>
      <c r="EC86" s="75">
        <f t="shared" si="53"/>
        <v>0.57999999999999996</v>
      </c>
      <c r="ED86" s="48">
        <f>((Formula!C86)/(Formula!C86+Formula!E86+Formula!G86+Formula!I86+Formula!K86))*(INDEX(Properties!A$1:CB$87,Formula!B86,45))+((Formula!E86)/(Formula!C86+Formula!E86+Formula!G86+Formula!I86+Formula!K86))*(INDEX(Properties!A$1:CB$87,Formula!D86,45))+((Formula!G86)/(Formula!C86+Formula!E86+Formula!G86+Formula!I86+Formula!K86))*(INDEX(Properties!A$1:CB$87,Formula!F86,45))+((Formula!I86)/(Formula!C86+Formula!E86+Formula!G86+Formula!I86+Formula!K86))*(INDEX(Properties!A$1:CB$87,Formula!H86,45))+((Formula!K86)/(Formula!C86+Formula!E86+Formula!G86+Formula!I86+Formula!K86))*(INDEX(Properties!A$1:CB$87,Formula!J86,45))</f>
        <v>1.2340000000000002</v>
      </c>
      <c r="EE86" s="48">
        <f>Formula!C86*(INDEX(Properties!A$1:CB$87,Formula!B86,45))+Formula!E86*(INDEX(Properties!A$1:CB$87,Formula!D86,45))+Formula!G86*(INDEX(Properties!A$1:CB$87,Formula!F86,45))+Formula!I86*(INDEX(Properties!A$1:CB$87,Formula!H86,45))+Formula!K86*(INDEX(Properties!A$1:CB$87,Formula!J86,45))</f>
        <v>6.17</v>
      </c>
      <c r="EF86" s="48">
        <f>VARP(IF(INDEX(Properties!A$1:CB$87,Formula!B86,45)&lt;&gt;"",INDEX(Properties!A$1:CB$87,Formula!B86,45)),IF(INDEX(Properties!A$1:CB$87,Formula!D86,45)&lt;&gt;"",INDEX(Properties!A$1:CB$87,Formula!D86,45)),IF(INDEX(Properties!A$1:CB$87,Formula!F86,45)&lt;&gt;"",INDEX(Properties!A$1:CB$87,Formula!F86,45)),IF(INDEX(Properties!A$1:CB$87,Formula!H86,45)&lt;&gt;"",INDEX(Properties!A$1:CB$87,Formula!H86,45)),IF(INDEX(Properties!A$1:CB$87,Formula!J86,45)&lt;&gt;"",INDEX(Properties!A$1:CB$87,Formula!J86,45)))</f>
        <v>1.4118240000000002</v>
      </c>
      <c r="EG86" s="48">
        <f>MAX(INDEX(Properties!A$1:CB$87,Formula!B86,45),INDEX(Properties!A$1:CB$87,Formula!D86,45),INDEX(Properties!A$1:CB$87,Formula!F86,45),INDEX(Properties!A$1:CB$87,Formula!H86,45),INDEX(Properties!A$1:CB$87,Formula!J86,45))</f>
        <v>3.08</v>
      </c>
      <c r="EH86" s="48">
        <f>MIN(IF(INDEX(Properties!A$1:CB$87,Formula!B86,45)=0,10^6,INDEX(Properties!A$1:CB$87,Formula!B86,45)),IF(INDEX(Properties!A$1:CB$87,Formula!D86,45)=0,10^6,INDEX(Properties!A$1:CB$87,Formula!D86,45)),IF(INDEX(Properties!A$1:CB$87,Formula!F86,45)=0,10^6,INDEX(Properties!A$1:CB$87,Formula!F86,45)),IF(INDEX(Properties!A$1:CB$87,Formula!H86,45)=0,10^6,INDEX(Properties!A$1:CB$87,Formula!H86,45)),IF(INDEX(Properties!A$1:CB$87,Formula!J86,45)=0,10^6,INDEX(Properties!A$1:CB$87,Formula!J86,45)))</f>
        <v>0.47</v>
      </c>
      <c r="EI86" s="48">
        <f t="shared" si="54"/>
        <v>2.6100000000000003</v>
      </c>
      <c r="EJ86" s="66">
        <f>((Formula!C86)/(Formula!C86+Formula!E86+Formula!G86+Formula!I86+Formula!K86))*(INDEX(Properties!A$1:CB$87,Formula!B86,46))+((Formula!E86)/(Formula!C86+Formula!E86+Formula!G86+Formula!I86+Formula!K86))*(INDEX(Properties!A$1:CB$87,Formula!D86,46))+((Formula!G86)/(Formula!C86+Formula!E86+Formula!G86+Formula!I86+Formula!K86))*(INDEX(Properties!A$1:CB$87,Formula!F86,46))+((Formula!I86)/(Formula!C86+Formula!E86+Formula!G86+Formula!I86+Formula!K86))*(INDEX(Properties!A$1:CB$87,Formula!H86,46))+((Formula!K86)/(Formula!C86+Formula!E86+Formula!G86+Formula!I86+Formula!K86))*(INDEX(Properties!A$1:CB$87,Formula!J86,46))</f>
        <v>1.1040000000000001</v>
      </c>
      <c r="EK86" s="66">
        <f>Formula!C86*(INDEX(Properties!A$1:CB$87,Formula!B86,46))+Formula!E86*(INDEX(Properties!A$1:CB$87,Formula!D86,46))+Formula!G86*(INDEX(Properties!A$1:CB$87,Formula!F86,46))+Formula!I86*(INDEX(Properties!A$1:CB$87,Formula!H86,46))+Formula!K86*(INDEX(Properties!A$1:CB$87,Formula!J86,46))</f>
        <v>5.52</v>
      </c>
      <c r="EL86" s="66">
        <f>VARP(IF(INDEX(Properties!A$1:CB$87,Formula!B86,46)&lt;&gt;"",INDEX(Properties!A$1:CB$87,Formula!B86,46)),IF(INDEX(Properties!A$1:CB$87,Formula!D86,46)&lt;&gt;"",INDEX(Properties!A$1:CB$87,Formula!D86,46)),IF(INDEX(Properties!A$1:CB$87,Formula!F86,46)&lt;&gt;"",INDEX(Properties!A$1:CB$87,Formula!F86,46)),IF(INDEX(Properties!A$1:CB$87,Formula!H86,46)&lt;&gt;"",INDEX(Properties!A$1:CB$87,Formula!H86,46)),IF(INDEX(Properties!A$1:CB$87,Formula!J86,46)&lt;&gt;"",INDEX(Properties!A$1:CB$87,Formula!J86,46)))</f>
        <v>0.33452000000000004</v>
      </c>
      <c r="EM86" s="66">
        <f>MAX(INDEX(Properties!A$1:CB$87,Formula!B86,46),INDEX(Properties!A$1:CB$87,Formula!D86,46),INDEX(Properties!A$1:CB$87,Formula!F86,46),INDEX(Properties!A$1:CB$87,Formula!H86,46),INDEX(Properties!A$1:CB$87,Formula!J86,46))</f>
        <v>1.36</v>
      </c>
      <c r="EN86" s="66">
        <f>MIN(IF(INDEX(Properties!A$1:CB$87,Formula!B86,46)=0,10^6,INDEX(Properties!A$1:CB$87,Formula!B86,46)),IF(INDEX(Properties!A$1:CB$87,Formula!D86,46)=0,10^6,INDEX(Properties!A$1:CB$87,Formula!D86,46)),IF(INDEX(Properties!A$1:CB$87,Formula!F86,46)=0,10^6,INDEX(Properties!A$1:CB$87,Formula!F86,46)),IF(INDEX(Properties!A$1:CB$87,Formula!H86,46)=0,10^6,INDEX(Properties!A$1:CB$87,Formula!H86,46)),IF(INDEX(Properties!A$1:CB$87,Formula!J86,46)=0,10^6,INDEX(Properties!A$1:CB$87,Formula!J86,46)))</f>
        <v>0.53</v>
      </c>
      <c r="EO86" s="66">
        <f t="shared" si="55"/>
        <v>0.83000000000000007</v>
      </c>
      <c r="EP86" s="81">
        <f>((Formula!C86)/(Formula!C86+Formula!E86+Formula!G86+Formula!I86+Formula!K86))*(INDEX(Properties!A$1:CB$87,Formula!B86,52))+((Formula!E86)/(Formula!C86+Formula!E86+Formula!G86+Formula!I86+Formula!K86))*(INDEX(Properties!A$1:CB$87,Formula!D86,52))+((Formula!G86)/(Formula!C86+Formula!E86+Formula!G86+Formula!I86+Formula!K86))*(INDEX(Properties!A$1:CB$87,Formula!F86,52))+((Formula!I86)/(Formula!C86+Formula!E86+Formula!G86+Formula!I86+Formula!K86))*(INDEX(Properties!A$1:CB$87,Formula!H86,52))+((Formula!K86)/(Formula!C86+Formula!E86+Formula!G86+Formula!I86+Formula!K86))*(INDEX(Properties!A$1:CB$87,Formula!J86,52))</f>
        <v>8.3558000000000003</v>
      </c>
      <c r="EQ86" s="81">
        <f>Formula!C86*(INDEX(Properties!A$1:CB$87,Formula!B86,52))+Formula!E86*(INDEX(Properties!A$1:CB$87,Formula!D86,52))+Formula!G86*(INDEX(Properties!A$1:CB$87,Formula!F86,52))+Formula!I86*(INDEX(Properties!A$1:CB$87,Formula!H86,52))+Formula!K86*(INDEX(Properties!A$1:CB$87,Formula!J86,52))</f>
        <v>41.779000000000003</v>
      </c>
      <c r="ER86" s="81">
        <f>VARP(IF(INDEX(Properties!A$1:CB$87,Formula!B86,52)&lt;&gt;"",INDEX(Properties!A$1:CB$87,Formula!B86,52)),IF(INDEX(Properties!A$1:CB$87,Formula!D86,52)&lt;&gt;"",INDEX(Properties!A$1:CB$87,Formula!D86,52)),IF(INDEX(Properties!A$1:CB$87,Formula!F86,52)&lt;&gt;"",INDEX(Properties!A$1:CB$87,Formula!F86,52)),IF(INDEX(Properties!A$1:CB$87,Formula!H86,52)&lt;&gt;"",INDEX(Properties!A$1:CB$87,Formula!H86,52)),IF(INDEX(Properties!A$1:CB$87,Formula!J86,52)&lt;&gt;"",INDEX(Properties!A$1:CB$87,Formula!J86,52)))</f>
        <v>142.72667984</v>
      </c>
      <c r="ES86" s="81">
        <f>MAX(INDEX(Properties!A$1:CB$87,Formula!B86,52),INDEX(Properties!A$1:CB$87,Formula!D86,52),INDEX(Properties!A$1:CB$87,Formula!F86,52),INDEX(Properties!A$1:CB$87,Formula!H86,52),INDEX(Properties!A$1:CB$87,Formula!J86,52))</f>
        <v>31.1</v>
      </c>
      <c r="ET86" s="81">
        <f>MIN(IF(INDEX(Properties!A$1:CB$87,Formula!B86,52)=0,10^6,INDEX(Properties!A$1:CB$87,Formula!B86,52)),IF(INDEX(Properties!A$1:CB$87,Formula!D86,52)=0,10^6,INDEX(Properties!A$1:CB$87,Formula!D86,52)),IF(INDEX(Properties!A$1:CB$87,Formula!F86,52)=0,10^6,INDEX(Properties!A$1:CB$87,Formula!F86,52)),IF(INDEX(Properties!A$1:CB$87,Formula!H86,52)=0,10^6,INDEX(Properties!A$1:CB$87,Formula!H86,52)),IF(INDEX(Properties!A$1:CB$87,Formula!J86,52)=0,10^6,INDEX(Properties!A$1:CB$87,Formula!J86,52)))</f>
        <v>0.79300000000000004</v>
      </c>
      <c r="EU86" s="81">
        <f t="shared" si="56"/>
        <v>30.307000000000002</v>
      </c>
      <c r="EV86" s="39">
        <f>((Formula!C86)/(Formula!C86+Formula!E86+Formula!G86+Formula!I86+Formula!K86))*(INDEX(Properties!A$1:CB$87,Formula!B86,53))+((Formula!E86)/(Formula!C86+Formula!E86+Formula!G86+Formula!I86+Formula!K86))*(INDEX(Properties!A$1:CB$87,Formula!D86,53))+((Formula!G86)/(Formula!C86+Formula!E86+Formula!G86+Formula!I86+Formula!K86))*(INDEX(Properties!A$1:CB$87,Formula!F86,53))+((Formula!I86)/(Formula!C86+Formula!E86+Formula!G86+Formula!I86+Formula!K86))*(INDEX(Properties!A$1:CB$87,Formula!H86,53))+((Formula!K86)/(Formula!C86+Formula!E86+Formula!G86+Formula!I86+Formula!K86))*(INDEX(Properties!A$1:CB$87,Formula!J86,53))</f>
        <v>458.10999999999996</v>
      </c>
      <c r="EW86" s="39">
        <f>Formula!C86*(INDEX(Properties!A$1:CB$87,Formula!B86,53))+Formula!E86*(INDEX(Properties!A$1:CB$87,Formula!D86,53))+Formula!G86*(INDEX(Properties!A$1:CB$87,Formula!F86,53))+Formula!I86*(INDEX(Properties!A$1:CB$87,Formula!H86,53))+Formula!K86*(INDEX(Properties!A$1:CB$87,Formula!J86,53))</f>
        <v>2290.5500000000002</v>
      </c>
      <c r="EX86" s="39">
        <f>VARP(IF(INDEX(Properties!A$1:CB$87,Formula!B86,53)&lt;&gt;"",INDEX(Properties!A$1:CB$87,Formula!B86,53)),IF(INDEX(Properties!A$1:CB$87,Formula!D86,53)&lt;&gt;"",INDEX(Properties!A$1:CB$87,Formula!D86,53)),IF(INDEX(Properties!A$1:CB$87,Formula!F86,53)&lt;&gt;"",INDEX(Properties!A$1:CB$87,Formula!F86,53)),IF(INDEX(Properties!A$1:CB$87,Formula!H86,53)&lt;&gt;"",INDEX(Properties!A$1:CB$87,Formula!H86,53)),IF(INDEX(Properties!A$1:CB$87,Formula!J86,53)&lt;&gt;"",INDEX(Properties!A$1:CB$87,Formula!J86,53)))</f>
        <v>269195.51740000001</v>
      </c>
      <c r="EY86" s="39">
        <f>MAX(INDEX(Properties!A$1:CB$87,Formula!B86,53),INDEX(Properties!A$1:CB$87,Formula!D86,53),INDEX(Properties!A$1:CB$87,Formula!F86,53),INDEX(Properties!A$1:CB$87,Formula!H86,53),INDEX(Properties!A$1:CB$87,Formula!J86,53))</f>
        <v>1193.1500000000001</v>
      </c>
      <c r="EZ86" s="39">
        <f>MIN(IF(INDEX(Properties!A$1:CB$87,Formula!B86,53)=0,10^6,INDEX(Properties!A$1:CB$87,Formula!B86,53)),IF(INDEX(Properties!A$1:CB$87,Formula!D86,53)=0,10^6,INDEX(Properties!A$1:CB$87,Formula!D86,53)),IF(INDEX(Properties!A$1:CB$87,Formula!F86,53)=0,10^6,INDEX(Properties!A$1:CB$87,Formula!F86,53)),IF(INDEX(Properties!A$1:CB$87,Formula!H86,53)=0,10^6,INDEX(Properties!A$1:CB$87,Formula!H86,53)),IF(INDEX(Properties!A$1:CB$87,Formula!J86,53)=0,10^6,INDEX(Properties!A$1:CB$87,Formula!J86,53)))</f>
        <v>54.749999999999972</v>
      </c>
      <c r="FA86" s="39">
        <f t="shared" si="57"/>
        <v>1138.4000000000001</v>
      </c>
      <c r="FB86" s="54">
        <f>((Formula!C86)/(Formula!C86+Formula!E86+Formula!G86+Formula!I86+Formula!K86))*(INDEX(Properties!A$1:CB$87,Formula!B86,54))+((Formula!E86)/(Formula!C86+Formula!E86+Formula!G86+Formula!I86+Formula!K86))*(INDEX(Properties!A$1:CB$87,Formula!D86,54))+((Formula!G86)/(Formula!C86+Formula!E86+Formula!G86+Formula!I86+Formula!K86))*(INDEX(Properties!A$1:CB$87,Formula!F86,54))+((Formula!I86)/(Formula!C86+Formula!E86+Formula!G86+Formula!I86+Formula!K86))*(INDEX(Properties!A$1:CB$87,Formula!H86,54))+((Formula!K86)/(Formula!C86+Formula!E86+Formula!G86+Formula!I86+Formula!K86))*(INDEX(Properties!A$1:CB$87,Formula!J86,54))</f>
        <v>1347.55</v>
      </c>
      <c r="FC86" s="54">
        <f>Formula!C86*(INDEX(Properties!A$1:CB$87,Formula!B86,54))+Formula!E86*(INDEX(Properties!A$1:CB$87,Formula!D86,54))+Formula!G86*(INDEX(Properties!A$1:CB$87,Formula!F86,54))+Formula!I86*(INDEX(Properties!A$1:CB$87,Formula!H86,54))+Formula!K86*(INDEX(Properties!A$1:CB$87,Formula!J86,54))</f>
        <v>6737.75</v>
      </c>
      <c r="FD86" s="54">
        <f>VARP(IF(INDEX(Properties!A$1:CB$87,Formula!B86,54)&lt;&gt;"",INDEX(Properties!A$1:CB$87,Formula!B86,54)),IF(INDEX(Properties!A$1:CB$87,Formula!D86,54)&lt;&gt;"",INDEX(Properties!A$1:CB$87,Formula!D86,54)),IF(INDEX(Properties!A$1:CB$87,Formula!F86,54)&lt;&gt;"",INDEX(Properties!A$1:CB$87,Formula!F86,54)),IF(INDEX(Properties!A$1:CB$87,Formula!H86,54)&lt;&gt;"",INDEX(Properties!A$1:CB$87,Formula!H86,54)),IF(INDEX(Properties!A$1:CB$87,Formula!J86,54)&lt;&gt;"",INDEX(Properties!A$1:CB$87,Formula!J86,54)))</f>
        <v>2561633.2134000007</v>
      </c>
      <c r="FE86" s="54">
        <f>MAX(INDEX(Properties!A$1:CB$87,Formula!B86,54),INDEX(Properties!A$1:CB$87,Formula!D86,54),INDEX(Properties!A$1:CB$87,Formula!F86,54),INDEX(Properties!A$1:CB$87,Formula!H86,54),INDEX(Properties!A$1:CB$87,Formula!J86,54))</f>
        <v>3727.15</v>
      </c>
      <c r="FF86" s="54">
        <f>MIN(IF(INDEX(Properties!A$1:CB$87,Formula!B86,54)=0,10^6,INDEX(Properties!A$1:CB$87,Formula!B86,54)),IF(INDEX(Properties!A$1:CB$87,Formula!D86,54)=0,10^6,INDEX(Properties!A$1:CB$87,Formula!D86,54)),IF(INDEX(Properties!A$1:CB$87,Formula!F86,54)=0,10^6,INDEX(Properties!A$1:CB$87,Formula!F86,54)),IF(INDEX(Properties!A$1:CB$87,Formula!H86,54)=0,10^6,INDEX(Properties!A$1:CB$87,Formula!H86,54)),IF(INDEX(Properties!A$1:CB$87,Formula!J86,54)=0,10^6,INDEX(Properties!A$1:CB$87,Formula!J86,54)))</f>
        <v>90.149999999999977</v>
      </c>
      <c r="FG86" s="54">
        <f t="shared" si="58"/>
        <v>3637</v>
      </c>
      <c r="FH86" s="69">
        <f>((Formula!C86)/(Formula!C86+Formula!E86+Formula!G86+Formula!I86+Formula!K86))*(INDEX(Properties!A$1:CB$87,Formula!B86,55))+((Formula!E86)/(Formula!C86+Formula!E86+Formula!G86+Formula!I86+Formula!K86))*(INDEX(Properties!A$1:CB$87,Formula!D86,55))+((Formula!G86)/(Formula!C86+Formula!E86+Formula!G86+Formula!I86+Formula!K86))*(INDEX(Properties!A$1:CB$87,Formula!F86,55))+((Formula!I86)/(Formula!C86+Formula!E86+Formula!G86+Formula!I86+Formula!K86))*(INDEX(Properties!A$1:CB$87,Formula!H86,55))+((Formula!K86)/(Formula!C86+Formula!E86+Formula!G86+Formula!I86+Formula!K86))*(INDEX(Properties!A$1:CB$87,Formula!J86,55))</f>
        <v>1.7708580000000003</v>
      </c>
      <c r="FI86" s="69">
        <f>Formula!C86*(INDEX(Properties!A$1:CB$87,Formula!B86,55))+Formula!E86*(INDEX(Properties!A$1:CB$87,Formula!D86,54))+Formula!G86*(INDEX(Properties!A$1:CB$87,Formula!F86,55))+Formula!I86*(INDEX(Properties!A$1:CB$87,Formula!H86,55))+Formula!K86*(INDEX(Properties!A$1:CB$87,Formula!J86,55))</f>
        <v>2746.30429</v>
      </c>
      <c r="FJ86" s="69">
        <f>VARP(IF(INDEX(Properties!A$1:CB$87,Formula!B86,55)&lt;&gt;"",INDEX(Properties!A$1:CB$87,Formula!B86,55)),IF(INDEX(Properties!A$1:CB$87,Formula!D86,55)&lt;&gt;"",INDEX(Properties!A$1:CB$87,Formula!D86,55)),IF(INDEX(Properties!A$1:CB$87,Formula!F86,55)&lt;&gt;"",INDEX(Properties!A$1:CB$87,Formula!F86,55)),IF(INDEX(Properties!A$1:CB$87,Formula!H86,55)&lt;&gt;"",INDEX(Properties!A$1:CB$87,Formula!H86,55)),IF(INDEX(Properties!A$1:CB$87,Formula!J86,55)&lt;&gt;"",INDEX(Properties!A$1:CB$87,Formula!J86,55)))</f>
        <v>5.8885878871840012</v>
      </c>
      <c r="FK86" s="69">
        <f>MAX(INDEX(Properties!A$1:CB$87,Formula!B86,55),INDEX(Properties!A$1:CB$87,Formula!D86,55),INDEX(Properties!A$1:CB$87,Formula!F86,55),INDEX(Properties!A$1:CB$87,Formula!H86,55),INDEX(Properties!A$1:CB$87,Formula!J86,55))</f>
        <v>6.15</v>
      </c>
      <c r="FL86" s="69">
        <f>MIN(IF(INDEX(Properties!A$1:CB$87,Formula!B86,55)=0,10^6,INDEX(Properties!A$1:CB$87,Formula!B86,55)),IF(INDEX(Properties!A$1:CB$87,Formula!D86,55)=0,10^6,INDEX(Properties!A$1:CB$87,Formula!D86,55)),IF(INDEX(Properties!A$1:CB$87,Formula!F86,55)=0,10^6,INDEX(Properties!A$1:CB$87,Formula!F86,55)),IF(INDEX(Properties!A$1:CB$87,Formula!H86,55)=0,10^6,INDEX(Properties!A$1:CB$87,Formula!H86,55)),IF(INDEX(Properties!A$1:CB$87,Formula!J86,55)=0,10^6,INDEX(Properties!A$1:CB$87,Formula!J86,55)))</f>
        <v>1.4300000000000001E-3</v>
      </c>
      <c r="FM86" s="69">
        <f t="shared" si="59"/>
        <v>6.1485700000000003</v>
      </c>
      <c r="FN86" s="42">
        <f>((Formula!C86)/(Formula!C86+Formula!E86+Formula!G86+Formula!I86+Formula!K86))*(INDEX(Properties!A$1:CB$87,Formula!B86,56))+((Formula!E86)/(Formula!C86+Formula!E86+Formula!G86+Formula!I86+Formula!K86))*(INDEX(Properties!A$1:CB$87,Formula!D86,56))+((Formula!G86)/(Formula!C86+Formula!E86+Formula!G86+Formula!I86+Formula!K86))*(INDEX(Properties!A$1:CB$87,Formula!F86,56))+((Formula!I86)/(Formula!C86+Formula!E86+Formula!G86+Formula!I86+Formula!K86))*(INDEX(Properties!A$1:CB$87,Formula!H86,56))+((Formula!K86)/(Formula!C86+Formula!E86+Formula!G86+Formula!I86+Formula!K86))*(INDEX(Properties!A$1:CB$87,Formula!J86,56))</f>
        <v>0.77</v>
      </c>
      <c r="FO86" s="42">
        <f>Formula!C86*(INDEX(Properties!A$1:CB$87,Formula!B86,56))+Formula!E86*(INDEX(Properties!A$1:CB$87,Formula!D86,56))+Formula!G86*(INDEX(Properties!A$1:CB$87,Formula!F86,56))+Formula!I86*(INDEX(Properties!A$1:CB$87,Formula!H86,56))+Formula!K86*(INDEX(Properties!A$1:CB$87,Formula!J86,56))</f>
        <v>3.8500000000000005</v>
      </c>
      <c r="FP86" s="42">
        <f>VARP(IF(INDEX(Properties!A$1:CB$87,Formula!B86,56)&lt;&gt;"",INDEX(Properties!A$1:CB$87,Formula!B86,56)),IF(INDEX(Properties!A$1:CB$87,Formula!D86,56)&lt;&gt;"",INDEX(Properties!A$1:CB$87,Formula!D86,56)),IF(INDEX(Properties!A$1:CB$87,Formula!F86,56)&lt;&gt;"",INDEX(Properties!A$1:CB$87,Formula!F86,56)),IF(INDEX(Properties!A$1:CB$87,Formula!H86,56)&lt;&gt;"",INDEX(Properties!A$1:CB$87,Formula!H86,56)),IF(INDEX(Properties!A$1:CB$87,Formula!J86,56)&lt;&gt;"",INDEX(Properties!A$1:CB$87,Formula!J86,56)))</f>
        <v>0.176896</v>
      </c>
      <c r="FQ86" s="42">
        <f>MAX(INDEX(Properties!A$1:CB$87,Formula!B86,56),INDEX(Properties!A$1:CB$87,Formula!D86,56),INDEX(Properties!A$1:CB$87,Formula!F86,56),INDEX(Properties!A$1:CB$87,Formula!H86,56),INDEX(Properties!A$1:CB$87,Formula!J86,56))</f>
        <v>0.92</v>
      </c>
      <c r="FR86" s="42">
        <f>MIN(IF(INDEX(Properties!A$1:CB$87,Formula!B86,56)=0,10^6,INDEX(Properties!A$1:CB$87,Formula!B86,56)),IF(INDEX(Properties!A$1:CB$87,Formula!D86,56)=0,10^6,INDEX(Properties!A$1:CB$87,Formula!D86,56)),IF(INDEX(Properties!A$1:CB$87,Formula!F86,56)=0,10^6,INDEX(Properties!A$1:CB$87,Formula!F86,56)),IF(INDEX(Properties!A$1:CB$87,Formula!H86,56)=0,10^6,INDEX(Properties!A$1:CB$87,Formula!H86,56)),IF(INDEX(Properties!A$1:CB$87,Formula!J86,56)=0,10^6,INDEX(Properties!A$1:CB$87,Formula!J86,56)))</f>
        <v>0.19</v>
      </c>
      <c r="FS86" s="42">
        <f t="shared" si="60"/>
        <v>0.73</v>
      </c>
      <c r="FT86" s="60">
        <f>((Formula!C86)/(Formula!C86+Formula!E86+Formula!G86+Formula!I86+Formula!K86))*(INDEX(Properties!A$1:CB$87,Formula!B86,57))+((Formula!E86)/(Formula!C86+Formula!E86+Formula!G86+Formula!I86+Formula!K86))*(INDEX(Properties!A$1:CB$87,Formula!D86,57))+((Formula!G86)/(Formula!C86+Formula!E86+Formula!G86+Formula!I86+Formula!K86))*(INDEX(Properties!A$1:CB$87,Formula!F86,57))+((Formula!I86)/(Formula!C86+Formula!E86+Formula!G86+Formula!I86+Formula!K86))*(INDEX(Properties!A$1:CB$87,Formula!H86,57))+((Formula!K86)/(Formula!C86+Formula!E86+Formula!G86+Formula!I86+Formula!K86))*(INDEX(Properties!A$1:CB$87,Formula!J86,57))</f>
        <v>3.5315540000000003</v>
      </c>
      <c r="FU86" s="60">
        <f>Formula!C86*(INDEX(Properties!A$1:CB$87,Formula!B86,57))+Formula!E86*(INDEX(Properties!A$1:CB$87,Formula!D86,57))+Formula!G86*(INDEX(Properties!A$1:CB$87,Formula!F86,57))+Formula!I86*(INDEX(Properties!A$1:CB$87,Formula!H86,57))+Formula!K86*(INDEX(Properties!A$1:CB$87,Formula!J86,57))</f>
        <v>17.657769999999999</v>
      </c>
      <c r="FV86" s="60">
        <f>VARP(IF(INDEX(Properties!A$1:CB$87,Formula!B86,57)&lt;&gt;"",INDEX(Properties!A$1:CB$87,Formula!B86,57)),IF(INDEX(Properties!A$1:CB$87,Formula!D86,57)&lt;&gt;"",INDEX(Properties!A$1:CB$87,Formula!D86,57)),IF(INDEX(Properties!A$1:CB$87,Formula!F86,57)&lt;&gt;"",INDEX(Properties!A$1:CB$87,Formula!F86,57)),IF(INDEX(Properties!A$1:CB$87,Formula!H86,57)&lt;&gt;"",INDEX(Properties!A$1:CB$87,Formula!H86,57)),IF(INDEX(Properties!A$1:CB$87,Formula!J86,57)&lt;&gt;"",INDEX(Properties!A$1:CB$87,Formula!J86,57)))</f>
        <v>19.131799081295995</v>
      </c>
      <c r="FW86" s="60">
        <f>MAX(INDEX(Properties!A$1:CB$87,Formula!B86,57),INDEX(Properties!A$1:CB$87,Formula!D86,57),INDEX(Properties!A$1:CB$87,Formula!F86,57),INDEX(Properties!A$1:CB$87,Formula!H86,57),INDEX(Properties!A$1:CB$87,Formula!J86,57))</f>
        <v>10.79</v>
      </c>
      <c r="FX86" s="60">
        <f>MIN(IF(INDEX(Properties!A$1:CB$87,Formula!B86,57)=0,10^6,INDEX(Properties!A$1:CB$87,Formula!B86,57)),IF(INDEX(Properties!A$1:CB$87,Formula!D86,57)=0,10^6,INDEX(Properties!A$1:CB$87,Formula!D86,57)),IF(INDEX(Properties!A$1:CB$87,Formula!F86,57)=0,10^6,INDEX(Properties!A$1:CB$87,Formula!F86,57)),IF(INDEX(Properties!A$1:CB$87,Formula!H86,57)=0,10^6,INDEX(Properties!A$1:CB$87,Formula!H86,57)),IF(INDEX(Properties!A$1:CB$87,Formula!J86,57)=0,10^6,INDEX(Properties!A$1:CB$87,Formula!J86,57)))</f>
        <v>0.22259000000000001</v>
      </c>
      <c r="FY86" s="60">
        <f t="shared" si="61"/>
        <v>10.567409999999999</v>
      </c>
      <c r="FZ86" s="72">
        <f>((Formula!C86)/(Formula!C86+Formula!E86+Formula!G86+Formula!I86+Formula!K86))*(INDEX(Properties!A$1:CB$87,Formula!B86,60))+((Formula!E86)/(Formula!C86+Formula!E86+Formula!G86+Formula!I86+Formula!K86))*(INDEX(Properties!A$1:CB$87,Formula!D86,60))+((Formula!G86)/(Formula!C86+Formula!E86+Formula!G86+Formula!I86+Formula!K86))*(INDEX(Properties!A$1:CB$87,Formula!F86,60))+((Formula!I86)/(Formula!C86+Formula!E86+Formula!G86+Formula!I86+Formula!K86))*(INDEX(Properties!A$1:CB$87,Formula!H86,60))+((Formula!K86)/(Formula!C86+Formula!E86+Formula!G86+Formula!I86+Formula!K86))*(INDEX(Properties!A$1:CB$87,Formula!J86,60))</f>
        <v>50.116044000000009</v>
      </c>
      <c r="GA86" s="72">
        <f>Formula!C86*(INDEX(Properties!A$1:CB$87,Formula!B86,60))+Formula!E86*(INDEX(Properties!A$1:CB$87,Formula!D86,60))+Formula!G86*(INDEX(Properties!A$1:CB$87,Formula!F86,60))+Formula!I86*(INDEX(Properties!A$1:CB$87,Formula!H86,60))+Formula!K86*(INDEX(Properties!A$1:CB$87,Formula!J86,60))</f>
        <v>250.58022</v>
      </c>
      <c r="GB86" s="72">
        <f>VARP(IF(INDEX(Properties!A$1:CB$87,Formula!B86,60)&lt;&gt;"",INDEX(Properties!A$1:CB$87,Formula!B86,60)),IF(INDEX(Properties!A$1:CB$87,Formula!D86,60)&lt;&gt;"",INDEX(Properties!A$1:CB$87,Formula!D86,60)),IF(INDEX(Properties!A$1:CB$87,Formula!F86,60)&lt;&gt;"",INDEX(Properties!A$1:CB$87,Formula!F86,60)),IF(INDEX(Properties!A$1:CB$87,Formula!H86,60)&lt;&gt;"",INDEX(Properties!A$1:CB$87,Formula!H86,60)),IF(INDEX(Properties!A$1:CB$87,Formula!J86,60)&lt;&gt;"",INDEX(Properties!A$1:CB$87,Formula!J86,60)))</f>
        <v>8759.7042448044158</v>
      </c>
      <c r="GC86" s="72">
        <f>MAX(INDEX(Properties!A$1:CB$87,Formula!B86,60),INDEX(Properties!A$1:CB$87,Formula!D86,60),INDEX(Properties!A$1:CB$87,Formula!F86,60),INDEX(Properties!A$1:CB$87,Formula!H86,60),INDEX(Properties!A$1:CB$87,Formula!J86,60))</f>
        <v>237</v>
      </c>
      <c r="GD86" s="72">
        <f>MIN(IF(INDEX(Properties!A$1:CB$87,Formula!B86,60)=0,10^6,INDEX(Properties!A$1:CB$87,Formula!B86,60)),IF(INDEX(Properties!A$1:CB$87,Formula!D86,60)=0,10^6,INDEX(Properties!A$1:CB$87,Formula!D86,60)),IF(INDEX(Properties!A$1:CB$87,Formula!F86,60)=0,10^6,INDEX(Properties!A$1:CB$87,Formula!F86,60)),IF(INDEX(Properties!A$1:CB$87,Formula!H86,60)=0,10^6,INDEX(Properties!A$1:CB$87,Formula!H86,60)),IF(INDEX(Properties!A$1:CB$87,Formula!J86,60)=0,10^6,INDEX(Properties!A$1:CB$87,Formula!J86,60)))</f>
        <v>2.674E-2</v>
      </c>
      <c r="GE86" s="72">
        <f t="shared" si="62"/>
        <v>236.97326000000001</v>
      </c>
      <c r="GF86" s="51">
        <f>((Formula!C86)/(Formula!C86+Formula!E86+Formula!G86+Formula!I86+Formula!K86))*(INDEX(Properties!A$1:CB$87,Formula!B86,62))+((Formula!E86)/(Formula!C86+Formula!E86+Formula!G86+Formula!I86+Formula!K86))*(INDEX(Properties!A$1:CB$87,Formula!D86,62))+((Formula!G86)/(Formula!C86+Formula!E86+Formula!G86+Formula!I86+Formula!K86))*(INDEX(Properties!A$1:CB$87,Formula!F86,62))+((Formula!I86)/(Formula!C86+Formula!E86+Formula!G86+Formula!I86+Formula!K86))*(INDEX(Properties!A$1:CB$87,Formula!H86,62))+((Formula!K86)/(Formula!C86+Formula!E86+Formula!G86+Formula!I86+Formula!K86))*(INDEX(Properties!A$1:CB$87,Formula!J86,62))</f>
        <v>3.1440000000000001</v>
      </c>
      <c r="GG86" s="51">
        <f>Formula!C86*(INDEX(Properties!A$1:CB$87,Formula!B86,62))+Formula!E86*(INDEX(Properties!A$1:CB$87,Formula!D86,62))+Formula!G86*(INDEX(Properties!A$1:CB$87,Formula!F86,62))+Formula!I86*(INDEX(Properties!A$1:CB$87,Formula!H86,62))+Formula!K86*(INDEX(Properties!A$1:CB$87,Formula!J86,62))</f>
        <v>15.719999999999999</v>
      </c>
      <c r="GH86" s="51">
        <f>VARP(IF(INDEX(Properties!A$1:CB$87,Formula!B86,62)&lt;&gt;"",INDEX(Properties!A$1:CB$87,Formula!B86,62)),IF(INDEX(Properties!A$1:CB$87,Formula!D86,62)&lt;&gt;"",INDEX(Properties!A$1:CB$87,Formula!D86,62)),IF(INDEX(Properties!A$1:CB$87,Formula!F86,62)&lt;&gt;"",INDEX(Properties!A$1:CB$87,Formula!F86,62)),IF(INDEX(Properties!A$1:CB$87,Formula!H86,62)&lt;&gt;"",INDEX(Properties!A$1:CB$87,Formula!H86,62)),IF(INDEX(Properties!A$1:CB$87,Formula!J86,62)&lt;&gt;"",INDEX(Properties!A$1:CB$87,Formula!J86,62)))</f>
        <v>3.2742640000000001</v>
      </c>
      <c r="GI86" s="51">
        <f>MAX(INDEX(Properties!A$1:CB$87,Formula!B86,62),INDEX(Properties!A$1:CB$87,Formula!D86,62),INDEX(Properties!A$1:CB$87,Formula!F86,62),INDEX(Properties!A$1:CB$87,Formula!H86,62),INDEX(Properties!A$1:CB$87,Formula!J86,62))</f>
        <v>4.47</v>
      </c>
      <c r="GJ86" s="51">
        <f>MIN(IF(INDEX(Properties!A$1:CB$87,Formula!B86,62)=0,10^6,INDEX(Properties!A$1:CB$87,Formula!B86,62)),IF(INDEX(Properties!A$1:CB$87,Formula!D86,62)=0,10^6,INDEX(Properties!A$1:CB$87,Formula!D86,62)),IF(INDEX(Properties!A$1:CB$87,Formula!F86,62)=0,10^6,INDEX(Properties!A$1:CB$87,Formula!F86,62)),IF(INDEX(Properties!A$1:CB$87,Formula!H86,62)=0,10^6,INDEX(Properties!A$1:CB$87,Formula!H86,62)),IF(INDEX(Properties!A$1:CB$87,Formula!J86,62)=0,10^6,INDEX(Properties!A$1:CB$87,Formula!J86,62)))</f>
        <v>2.62</v>
      </c>
      <c r="GK86" s="51">
        <f t="shared" si="63"/>
        <v>1.8499999999999996</v>
      </c>
      <c r="GL86" s="51">
        <f>Formula!P86</f>
        <v>160</v>
      </c>
      <c r="GM86" s="57">
        <f>Formula!O86</f>
        <v>5</v>
      </c>
      <c r="GN86" s="51">
        <f>Formula!N86</f>
        <v>0.02</v>
      </c>
    </row>
    <row r="87" spans="1:196" x14ac:dyDescent="0.3">
      <c r="A87" s="84" t="str">
        <f>Formula!A87</f>
        <v>CaZnV2O7</v>
      </c>
      <c r="B87" s="89">
        <f>((Formula!C87)/(Formula!C87+Formula!E87+Formula!G87+Formula!I87+Formula!K87))*(INDEX(Properties!A$1:CB$87,Formula!B87,3))+((Formula!E87)/(Formula!C87+Formula!E87+Formula!G87+Formula!I87+Formula!K87))*(INDEX(Properties!A$1:CB$87,Formula!D87,3))+((Formula!G87)/(Formula!C87+Formula!E87+Formula!G87+Formula!I87+Formula!K87))*(INDEX(Properties!A$1:CB$87,Formula!F87,3))+((Formula!I87)/(Formula!C87+Formula!E87+Formula!G87+Formula!I87+Formula!K87))*(INDEX(Properties!A$1:CB$87,Formula!H87,3))+((Formula!K87)/(Formula!C87+Formula!E87+Formula!G87+Formula!I87+Formula!K87))*(INDEX(Properties!A$1:CB$87,Formula!J87,3))</f>
        <v>29.222363636363639</v>
      </c>
      <c r="C87" s="85">
        <f>Formula!C87*(INDEX(Properties!A$1:CB$87,Formula!B87,3))+Formula!E87*(INDEX(Properties!A$1:CB$87,Formula!D87,3))+Formula!G87*(INDEX(Properties!A$1:CB$87,Formula!F87,3))+Formula!I87*(INDEX(Properties!A$1:CB$87,Formula!H87,3))+Formula!K87*(INDEX(Properties!A$1:CB$87,Formula!J87,3))</f>
        <v>321.44600000000003</v>
      </c>
      <c r="D87" s="85">
        <f>VARP(IF(INDEX(Properties!A$1:CB$87,Formula!B87,3)&lt;&gt;"",INDEX(Properties!A$1:CB$87,Formula!B87,3)),IF(INDEX(Properties!A$1:CB$87,Formula!D87,3)&lt;&gt;"",INDEX(Properties!A$1:CB$87,Formula!D87,3)),IF(INDEX(Properties!A$1:CB$87,Formula!F87,3)&lt;&gt;"",INDEX(Properties!A$1:CB$87,Formula!F87,3)),IF(INDEX(Properties!A$1:CB$87,Formula!H87,3)&lt;&gt;"",INDEX(Properties!A$1:CB$87,Formula!H87,3)),IF(INDEX(Properties!A$1:CB$87,Formula!J87,3)&lt;&gt;"",INDEX(Properties!A$1:CB$87,Formula!J87,3)))</f>
        <v>564.62847342399982</v>
      </c>
      <c r="E87" s="85">
        <f>MAX(INDEX(Properties!A$1:CB$87,Formula!B87,3),INDEX(Properties!A$1:CB$87,Formula!D87,3),INDEX(Properties!A$1:CB$87,Formula!F87,3),INDEX(Properties!A$1:CB$87,Formula!H87,3),INDEX(Properties!A$1:CB$87,Formula!J87,3))</f>
        <v>65.38</v>
      </c>
      <c r="F87" s="85">
        <f>MIN(IF(INDEX(Properties!A$1:CB$87,Formula!B87,3)=0,10^6,INDEX(Properties!A$1:CB$87,Formula!B87,3)),IF(INDEX(Properties!A$1:CB$87,Formula!D87,3)=0,10^6,INDEX(Properties!A$1:CB$87,Formula!D87,3)),IF(INDEX(Properties!A$1:CB$87,Formula!F87,3)=0,10^6,INDEX(Properties!A$1:CB$87,Formula!F87,3)),IF(INDEX(Properties!A$1:CB$87,Formula!H87,3)=0,10^6,INDEX(Properties!A$1:CB$87,Formula!H87,3)),IF(INDEX(Properties!A$1:CB$87,Formula!J87,3)=0,10^6,INDEX(Properties!A$1:CB$87,Formula!J87,3)))</f>
        <v>15.9994</v>
      </c>
      <c r="G87" s="85">
        <f t="shared" si="32"/>
        <v>49.380599999999994</v>
      </c>
      <c r="H87" s="87">
        <f>((Formula!C87)/(Formula!C87+Formula!E87+Formula!G87+Formula!I87+Formula!K87))*(INDEX(Properties!A$1:CB$87,Formula!B87,4))+((Formula!E87)/(Formula!C87+Formula!E87+Formula!G87+Formula!I87+Formula!K87))*(INDEX(Properties!A$1:CB$87,Formula!D87,4))+((Formula!G87)/(Formula!C87+Formula!E87+Formula!G87+Formula!I87+Formula!K87))*(INDEX(Properties!A$1:CB$87,Formula!F87,4))+((Formula!I87)/(Formula!C87+Formula!E87+Formula!G87+Formula!I87+Formula!K87))*(INDEX(Properties!A$1:CB$87,Formula!H87,4))+((Formula!K87)/(Formula!C87+Formula!E87+Formula!G87+Formula!I87+Formula!K87))*(INDEX(Properties!A$1:CB$87,Formula!J87,4))</f>
        <v>14</v>
      </c>
      <c r="I87" s="87">
        <f>Formula!C87*(INDEX(Properties!A$1:CB$87,Formula!B87,4))+Formula!E87*(INDEX(Properties!A$1:CB$87,Formula!D87,4))+Formula!G87*(INDEX(Properties!A$1:CB$87,Formula!F87,4))+Formula!I87*(INDEX(Properties!A$1:CB$87,Formula!H87,4))+Formula!K87*(INDEX(Properties!A$1:CB$87,Formula!J87,4))</f>
        <v>154</v>
      </c>
      <c r="J87" s="87">
        <f>VARP(IF(INDEX(Properties!A$1:CB$87,Formula!B87,4)&lt;&gt;"",INDEX(Properties!A$1:CB$87,Formula!B87,4)),IF(INDEX(Properties!A$1:CB$87,Formula!D87,4)&lt;&gt;"",INDEX(Properties!A$1:CB$87,Formula!D87,4)),IF(INDEX(Properties!A$1:CB$87,Formula!F87,4)&lt;&gt;"",INDEX(Properties!A$1:CB$87,Formula!F87,4)),IF(INDEX(Properties!A$1:CB$87,Formula!H87,4)&lt;&gt;"",INDEX(Properties!A$1:CB$87,Formula!H87,4)),IF(INDEX(Properties!A$1:CB$87,Formula!J87,4)&lt;&gt;"",INDEX(Properties!A$1:CB$87,Formula!J87,4)))</f>
        <v>119.04</v>
      </c>
      <c r="K87" s="87">
        <f>MAX(INDEX(Properties!A$1:CB$87,Formula!B87,4),INDEX(Properties!A$1:CB$87,Formula!D87,4),INDEX(Properties!A$1:CB$87,Formula!F87,4),INDEX(Properties!A$1:CB$87,Formula!H87,4),INDEX(Properties!A$1:CB$87,Formula!J87,4))</f>
        <v>30</v>
      </c>
      <c r="L87" s="87">
        <f>MIN(IF(INDEX(Properties!A$1:CB$87,Formula!B87,4)=0,10^6,INDEX(Properties!A$1:CB$87,Formula!B87,4)),IF(INDEX(Properties!A$1:CB$87,Formula!D87,4)=0,10^6,INDEX(Properties!A$1:CB$87,Formula!D87,4)),IF(INDEX(Properties!A$1:CB$87,Formula!F87,4)=0,10^6,INDEX(Properties!A$1:CB$87,Formula!F87,4)),IF(INDEX(Properties!A$1:CB$87,Formula!H87,4)=0,10^6,INDEX(Properties!A$1:CB$87,Formula!H87,4)),IF(INDEX(Properties!A$1:CB$87,Formula!J87,4)=0,10^6,INDEX(Properties!A$1:CB$87,Formula!J87,4)))</f>
        <v>8</v>
      </c>
      <c r="M87" s="87">
        <f t="shared" si="33"/>
        <v>22</v>
      </c>
      <c r="N87" s="89">
        <f>((Formula!C87)/(Formula!C87+Formula!E87+Formula!G87+Formula!I87+Formula!K87))*(INDEX(Properties!A$1:CB$87,Formula!B87,5))+((Formula!E87)/(Formula!C87+Formula!E87+Formula!G87+Formula!I87+Formula!K87))*(INDEX(Properties!A$1:CB$87,Formula!D87,5))+((Formula!G87)/(Formula!C87+Formula!E87+Formula!G87+Formula!I87+Formula!K87))*(INDEX(Properties!A$1:CB$87,Formula!F87,5))+((Formula!I87)/(Formula!C87+Formula!E87+Formula!G87+Formula!I87+Formula!K87))*(INDEX(Properties!A$1:CB$87,Formula!H87,5))+((Formula!K87)/(Formula!C87+Formula!E87+Formula!G87+Formula!I87+Formula!K87))*(INDEX(Properties!A$1:CB$87,Formula!J87,5))</f>
        <v>2.7272727272727275</v>
      </c>
      <c r="O87" s="89">
        <f>Formula!C87*(INDEX(Properties!A$1:CB$87,Formula!B87,5))+Formula!E87*(INDEX(Properties!A$1:CB$87,Formula!D87,5))+Formula!G87*(INDEX(Properties!A$1:CB$87,Formula!F87,5))+Formula!I87*(INDEX(Properties!A$1:CB$87,Formula!H87,5))+Formula!K87*(INDEX(Properties!A$1:CB$87,Formula!J87,5))</f>
        <v>30</v>
      </c>
      <c r="P87" s="89">
        <f>VARP(IF(INDEX(Properties!A$1:CB$87,Formula!B87,5)&lt;&gt;"",INDEX(Properties!A$1:CB$87,Formula!B87,5)),IF(INDEX(Properties!A$1:CB$87,Formula!D87,5)&lt;&gt;"",INDEX(Properties!A$1:CB$87,Formula!D87,5)),IF(INDEX(Properties!A$1:CB$87,Formula!F87,5)&lt;&gt;"",INDEX(Properties!A$1:CB$87,Formula!F87,5)),IF(INDEX(Properties!A$1:CB$87,Formula!H87,5)&lt;&gt;"",INDEX(Properties!A$1:CB$87,Formula!H87,5)),IF(INDEX(Properties!A$1:CB$87,Formula!J87,5)&lt;&gt;"",INDEX(Properties!A$1:CB$87,Formula!J87,5)))</f>
        <v>2.56</v>
      </c>
      <c r="Q87" s="89">
        <f>MAX(INDEX(Properties!A$1:CB$87,Formula!B87,5),INDEX(Properties!A$1:CB$87,Formula!D87,5),INDEX(Properties!A$1:CB$87,Formula!F87,5),INDEX(Properties!A$1:CB$87,Formula!H87,5),INDEX(Properties!A$1:CB$87,Formula!J87,5))</f>
        <v>4</v>
      </c>
      <c r="R87" s="89">
        <f>MIN(IF(INDEX(Properties!A$1:CB$87,Formula!B87,5)=0,10^6,INDEX(Properties!A$1:CB$87,Formula!B87,5)),IF(INDEX(Properties!A$1:CB$87,Formula!D87,5)=0,10^6,INDEX(Properties!A$1:CB$87,Formula!D87,5)),IF(INDEX(Properties!A$1:CB$87,Formula!F87,5)=0,10^6,INDEX(Properties!A$1:CB$87,Formula!F87,5)),IF(INDEX(Properties!A$1:CB$87,Formula!H87,5)=0,10^6,INDEX(Properties!A$1:CB$87,Formula!H87,5)),IF(INDEX(Properties!A$1:CB$87,Formula!J87,5)=0,10^6,INDEX(Properties!A$1:CB$87,Formula!J87,5)))</f>
        <v>2</v>
      </c>
      <c r="S87" s="89">
        <f t="shared" si="34"/>
        <v>2</v>
      </c>
      <c r="T87" s="60">
        <f>((Formula!C87)/(Formula!C87+Formula!E87+Formula!G87+Formula!I87+Formula!K87))*(INDEX(Properties!A$1:CB$87,Formula!B87,6))+((Formula!E87)/(Formula!C87+Formula!E87+Formula!G87+Formula!I87+Formula!K87))*(INDEX(Properties!A$1:CB$87,Formula!D87,6))+((Formula!G87)/(Formula!C87+Formula!E87+Formula!G87+Formula!I87+Formula!K87))*(INDEX(Properties!A$1:CB$87,Formula!F87,6))+((Formula!I87)/(Formula!C87+Formula!E87+Formula!G87+Formula!I87+Formula!K87))*(INDEX(Properties!A$1:CB$87,Formula!H87,6))+((Formula!K87)/(Formula!C87+Formula!E87+Formula!G87+Formula!I87+Formula!K87))*(INDEX(Properties!A$1:CB$87,Formula!J87,6))</f>
        <v>12.545454545454545</v>
      </c>
      <c r="U87" s="60">
        <f>Formula!C87*(INDEX(Properties!A$1:CB$87,Formula!B87,6))+Formula!E87*(INDEX(Properties!A$1:CB$87,Formula!D87,6))+Formula!G87*(INDEX(Properties!A$1:CB$87,Formula!F87,6))+Formula!I87*(INDEX(Properties!A$1:CB$87,Formula!H87,6))+Formula!K87*(INDEX(Properties!A$1:CB$87,Formula!J87,6))</f>
        <v>138</v>
      </c>
      <c r="V87" s="89">
        <f>VARP(IF(INDEX(Properties!A$1:CB$87,Formula!B87,6)&lt;&gt;"",INDEX(Properties!A$1:CB$87,Formula!B87,6)),IF(INDEX(Properties!A$1:CB$87,Formula!D87,6)&lt;&gt;"",INDEX(Properties!A$1:CB$87,Formula!D87,6)),IF(INDEX(Properties!A$1:CB$87,Formula!F87,6)&lt;&gt;"",INDEX(Properties!A$1:CB$87,Formula!F87,6)),IF(INDEX(Properties!A$1:CB$87,Formula!H87,6)&lt;&gt;"",INDEX(Properties!A$1:CB$87,Formula!H87,6)),IF(INDEX(Properties!A$1:CB$87,Formula!J87,6)&lt;&gt;"",INDEX(Properties!A$1:CB$87,Formula!J87,6)))</f>
        <v>36.159999999999997</v>
      </c>
      <c r="W87" s="60">
        <f>MAX(INDEX(Properties!A$1:CB$87,Formula!B87,6),INDEX(Properties!A$1:CB$87,Formula!D87,6),INDEX(Properties!A$1:CB$87,Formula!F87,6),INDEX(Properties!A$1:CB$87,Formula!H87,4),INDEX(Properties!A$1:CB$87,Formula!J87,6))</f>
        <v>12</v>
      </c>
      <c r="X87" s="60">
        <f>MIN(IF(INDEX(Properties!A$1:CB$87,Formula!B87,6)=0,10^6,INDEX(Properties!A$1:CB$87,Formula!B87,6)),IF(INDEX(Properties!A$1:CB$87,Formula!D87,6)=0,10^6,INDEX(Properties!A$1:CB$87,Formula!D87,6)),IF(INDEX(Properties!A$1:CB$87,Formula!F87,6)=0,10^6,INDEX(Properties!A$1:CB$87,Formula!F87,6)),IF(INDEX(Properties!A$1:CB$87,Formula!H87,6)=0,10^6,INDEX(Properties!A$1:CB$87,Formula!H87,6)),IF(INDEX(Properties!A$1:CB$87,Formula!J87,6)=0,10^6,INDEX(Properties!A$1:CB$87,Formula!J87,6)))</f>
        <v>2</v>
      </c>
      <c r="Y87" s="60">
        <f t="shared" si="35"/>
        <v>10</v>
      </c>
      <c r="Z87" s="72">
        <f>((Formula!C87)/(Formula!C87+Formula!E87+Formula!G87+Formula!I87+Formula!K87))*(INDEX(Properties!A$1:CB$87,Formula!B87,9))+((Formula!E87)/(Formula!C87+Formula!E87+Formula!G87+Formula!I87+Formula!K87))*(INDEX(Properties!A$1:CB$87,Formula!D87,9))+((Formula!G87)/(Formula!C87+Formula!E87+Formula!G87+Formula!I87+Formula!K87))*(INDEX(Properties!A$1:CB$87,Formula!F87,9))+((Formula!I87)/(Formula!C87+Formula!E87+Formula!G87+Formula!I87+Formula!K87))*(INDEX(Properties!A$1:CB$87,Formula!H87,9))+((Formula!K87)/(Formula!C87+Formula!E87+Formula!G87+Formula!I87+Formula!K87))*(INDEX(Properties!A$1:CB$87,Formula!J87,9))</f>
        <v>71.181818181818187</v>
      </c>
      <c r="AA87" s="72">
        <f>Formula!C87*(INDEX(Properties!A$1:CB$87,Formula!B87,9))+Formula!E87*(INDEX(Properties!A$1:CB$87,Formula!D87,9))+Formula!G87*(INDEX(Properties!A$1:CB$87,Formula!F87,9))+Formula!I87*(INDEX(Properties!A$1:CB$87,Formula!H87,9))+Formula!K87*(INDEX(Properties!A$1:CB$87,Formula!J87,9))</f>
        <v>783</v>
      </c>
      <c r="AB87" s="72">
        <f>VARP(IF(INDEX(Properties!A$1:CB$87,Formula!B87,9)&lt;&gt;"",INDEX(Properties!A$1:CB$87,Formula!B87,9)),IF(INDEX(Properties!A$1:CB$87,Formula!D87,9)&lt;&gt;"",INDEX(Properties!A$1:CB$87,Formula!D87,9)),IF(INDEX(Properties!A$1:CB$87,Formula!F87,9)&lt;&gt;"",INDEX(Properties!A$1:CB$87,Formula!F87,9)),IF(INDEX(Properties!A$1:CB$87,Formula!H87,9)&lt;&gt;"",INDEX(Properties!A$1:CB$87,Formula!H87,9)),IF(INDEX(Properties!A$1:CB$87,Formula!J87,9)&lt;&gt;"",INDEX(Properties!A$1:CB$87,Formula!J87,9)))</f>
        <v>1158.24</v>
      </c>
      <c r="AC87" s="72">
        <f>MAX(INDEX(Properties!A$1:CB$87,Formula!B87,9),INDEX(Properties!A$1:CB$87,Formula!D87,9),INDEX(Properties!A$1:CB$87,Formula!F87,9),INDEX(Properties!A$1:CB$87,Formula!H87,9),INDEX(Properties!A$1:CB$87,Formula!J87,9))</f>
        <v>87</v>
      </c>
      <c r="AD87" s="72">
        <f>MIN(IF(INDEX(Properties!A$1:CB$87,Formula!B87,9)=0,10^6,INDEX(Properties!A$1:CB$87,Formula!B87,9)),IF(INDEX(Properties!A$1:CB$87,Formula!D87,9)=0,10^6,INDEX(Properties!A$1:CB$87,Formula!D87,9)),IF(INDEX(Properties!A$1:CB$87,Formula!F87,9)=0,10^6,INDEX(Properties!A$1:CB$87,Formula!F87,9)),IF(INDEX(Properties!A$1:CB$87,Formula!H87,9)=0,10^6,INDEX(Properties!A$1:CB$87,Formula!H87,9)),IF(INDEX(Properties!A$1:CB$87,Formula!J87,9)=0,10^6,INDEX(Properties!A$1:CB$87,Formula!J87,9)))</f>
        <v>7</v>
      </c>
      <c r="AE87" s="72">
        <f t="shared" si="36"/>
        <v>80</v>
      </c>
      <c r="AF87" s="51">
        <f>((Formula!C87)/(Formula!C87+Formula!E87+Formula!G87+Formula!I87+Formula!K87))*(INDEX(Properties!A$1:CB$87,Formula!B87,10))+((Formula!E87)/(Formula!C87+Formula!E87+Formula!G87+Formula!I87+Formula!K87))*(INDEX(Properties!A$1:CB$87,Formula!D87,10))+((Formula!G87)/(Formula!C87+Formula!E87+Formula!G87+Formula!I87+Formula!K87))*(INDEX(Properties!A$1:CB$87,Formula!F87,10))+((Formula!I87)/(Formula!C87+Formula!E87+Formula!G87+Formula!I87+Formula!K87))*(INDEX(Properties!A$1:CB$87,Formula!H87,10))+((Formula!K87)/(Formula!C87+Formula!E87+Formula!G87+Formula!I87+Formula!K87))*(INDEX(Properties!A$1:CB$87,Formula!J87,10))</f>
        <v>5.7272727272727266</v>
      </c>
      <c r="AG87" s="51">
        <f>Formula!C87*(INDEX(Properties!A$1:CB$87,Formula!B87,10))+Formula!E87*(INDEX(Properties!A$1:CB$87,Formula!D87,10))+Formula!G87*(INDEX(Properties!A$1:CB$87,Formula!F87,10))+Formula!I87*(INDEX(Properties!A$1:CB$87,Formula!H87,10))+Formula!K87*(INDEX(Properties!A$1:CB$87,Formula!J87,10))</f>
        <v>63</v>
      </c>
      <c r="AH87" s="51">
        <f>VARP(IF(INDEX(Properties!A$1:CB$87,Formula!B87,10)&lt;&gt;"",INDEX(Properties!A$1:CB$87,Formula!B87,10)),IF(INDEX(Properties!A$1:CB$87,Formula!D87,10)&lt;&gt;"",INDEX(Properties!A$1:CB$87,Formula!D87,10)),IF(INDEX(Properties!A$1:CB$87,Formula!F87,10)&lt;&gt;"",INDEX(Properties!A$1:CB$87,Formula!F87,10)),IF(INDEX(Properties!A$1:CB$87,Formula!H87,10)&lt;&gt;"",INDEX(Properties!A$1:CB$87,Formula!H87,10)),IF(INDEX(Properties!A$1:CB$87,Formula!J87,10)&lt;&gt;"",INDEX(Properties!A$1:CB$87,Formula!J87,10)))</f>
        <v>5.44</v>
      </c>
      <c r="AI87" s="51">
        <f>MAX(INDEX(Properties!A$1:CB$87,Formula!B87,10),INDEX(Properties!A$1:CB$87,Formula!D87,10),INDEX(Properties!A$1:CB$87,Formula!F87,10),INDEX(Properties!A$1:CB$87,Formula!H87,10),INDEX(Properties!A$1:CB$87,Formula!J87,10))</f>
        <v>7</v>
      </c>
      <c r="AJ87" s="51">
        <f>MIN(IF(INDEX(Properties!A$1:CB$87,Formula!B87,10)=0,10^6,INDEX(Properties!A$1:CB$87,Formula!B87,10)),IF(INDEX(Properties!A$1:CB$87,Formula!D87,10)=0,10^6,INDEX(Properties!A$1:CB$87,Formula!D87,10)),IF(INDEX(Properties!A$1:CB$87,Formula!F87,10)=0,10^6,INDEX(Properties!A$1:CB$87,Formula!F87,10)),IF(INDEX(Properties!A$1:CB$87,Formula!H87,10)=0,10^6,INDEX(Properties!A$1:CB$87,Formula!H87,10)),IF(INDEX(Properties!A$1:CB$87,Formula!J87,10)=0,10^6,INDEX(Properties!A$1:CB$87,Formula!J87,10)))</f>
        <v>2</v>
      </c>
      <c r="AK87" s="51">
        <f t="shared" si="37"/>
        <v>5</v>
      </c>
      <c r="AL87" s="57">
        <f>((Formula!C87)/(Formula!C87+Formula!E87+Formula!G87+Formula!I87+Formula!K87))*(INDEX(Properties!A$1:CB$87,Formula!B87,11))+((Formula!E87)/(Formula!C87+Formula!E87+Formula!G87+Formula!I87+Formula!K87))*(INDEX(Properties!A$1:CB$87,Formula!D87,11))+((Formula!G87)/(Formula!C87+Formula!E87+Formula!G87+Formula!I87+Formula!K87))*(INDEX(Properties!A$1:CB$87,Formula!F87,11))+((Formula!I87)/(Formula!C87+Formula!E87+Formula!G87+Formula!I87+Formula!K87))*(INDEX(Properties!A$1:CB$87,Formula!H87,11))+((Formula!K87)/(Formula!C87+Formula!E87+Formula!G87+Formula!I87+Formula!K87))*(INDEX(Properties!A$1:CB$87,Formula!J87,11))</f>
        <v>1.8181818181818181</v>
      </c>
      <c r="AM87" s="57">
        <f>Formula!C87*(INDEX(Properties!A$1:CB$87,Formula!B87,11))+Formula!E87*(INDEX(Properties!A$1:CB$87,Formula!D87,11))+Formula!G87*(INDEX(Properties!A$1:CB$87,Formula!F87,11))+Formula!I87*(INDEX(Properties!A$1:CB$87,Formula!H87,11))+Formula!K87*(INDEX(Properties!A$1:CB$87,Formula!J87,11))</f>
        <v>20</v>
      </c>
      <c r="AN87" s="57">
        <f>VARP(IF(INDEX(Properties!A$1:CB$87,Formula!B87,11)&lt;&gt;"",INDEX(Properties!A$1:CB$87,Formula!B87,11)),IF(INDEX(Properties!A$1:CB$87,Formula!D87,11)&lt;&gt;"",INDEX(Properties!A$1:CB$87,Formula!D87,11)),IF(INDEX(Properties!A$1:CB$87,Formula!F87,11)&lt;&gt;"",INDEX(Properties!A$1:CB$87,Formula!F87,11)),IF(INDEX(Properties!A$1:CB$87,Formula!H87,11)&lt;&gt;"",INDEX(Properties!A$1:CB$87,Formula!H87,11)),IF(INDEX(Properties!A$1:CB$87,Formula!J87,11)&lt;&gt;"",INDEX(Properties!A$1:CB$87,Formula!J87,11)))</f>
        <v>0.64</v>
      </c>
      <c r="AO87" s="57">
        <f>MAX(INDEX(Properties!A$1:CB$87,Formula!B87,11),INDEX(Properties!A$1:CB$87,Formula!D87,11),INDEX(Properties!A$1:CB$87,Formula!F87,11),INDEX(Properties!A$1:CB$87,Formula!H87,11),INDEX(Properties!A$1:CB$87,Formula!J87,11))</f>
        <v>2</v>
      </c>
      <c r="AP87" s="57">
        <f>MIN(IF(Formula!B87=87,10^6,INDEX(Properties!A$1:CB$87,Formula!B87,11)),IF((Formula!D87)=87,10^6,INDEX(Properties!A$1:CB$87,Formula!D87,11)),IF((Formula!F87)=87,10^6,INDEX(Properties!A$1:CB$87,Formula!F87,11)),IF((Formula!H87)=87,10^6,INDEX(Properties!A$1:CB$87,Formula!H87,11)),IF(Formula!J87=87,10^6,INDEX(Properties!A$1:CB$87,Formula!J87,11)))</f>
        <v>1</v>
      </c>
      <c r="AQ87" s="57">
        <f t="shared" si="38"/>
        <v>1</v>
      </c>
      <c r="AR87" s="78">
        <f>((Formula!C87)/(Formula!C87+Formula!E87+Formula!G87+Formula!I87+Formula!K87))*(INDEX(Properties!A$1:CB$87,Formula!B87,12))+((Formula!E87)/(Formula!C87+Formula!E87+Formula!G87+Formula!I87+Formula!K87))*(INDEX(Properties!A$1:CB$87,Formula!D87,12))+((Formula!G87)/(Formula!C87+Formula!E87+Formula!G87+Formula!I87+Formula!K87))*(INDEX(Properties!A$1:CB$87,Formula!F87,12))+((Formula!I87)/(Formula!C87+Formula!E87+Formula!G87+Formula!I87+Formula!K87))*(INDEX(Properties!A$1:CB$87,Formula!H87,12))+((Formula!K87)/(Formula!C87+Formula!E87+Formula!G87+Formula!I87+Formula!K87))*(INDEX(Properties!A$1:CB$87,Formula!J87,12))</f>
        <v>2.5454545454545454</v>
      </c>
      <c r="AS87" s="78">
        <f>Formula!C87*(INDEX(Properties!A$1:CB$87,Formula!B87,12))+Formula!E87*(INDEX(Properties!A$1:CB$87,Formula!D87,12))+Formula!G87*(INDEX(Properties!A$1:CB$87,Formula!F87,12))+Formula!I87*(INDEX(Properties!A$1:CB$87,Formula!H87,12))+Formula!K87*(INDEX(Properties!A$1:CB$87,Formula!J87,12))</f>
        <v>28</v>
      </c>
      <c r="AT87" s="78">
        <f>VARP(IF(INDEX(Properties!A$1:CB$87,Formula!B87,12)&lt;&gt;"",INDEX(Properties!A$1:CB$87,Formula!B87,12)),IF(INDEX(Properties!A$1:CB$87,Formula!D87,12)&lt;&gt;"",INDEX(Properties!A$1:CB$87,Formula!D87,12)),IF(INDEX(Properties!A$1:CB$87,Formula!F87,12)&lt;&gt;"",INDEX(Properties!A$1:CB$87,Formula!F87,12)),IF(INDEX(Properties!A$1:CB$87,Formula!H87,12)&lt;&gt;"",INDEX(Properties!A$1:CB$87,Formula!H87,12)),IF(INDEX(Properties!A$1:CB$87,Formula!J87,12)&lt;&gt;"",INDEX(Properties!A$1:CB$87,Formula!J87,12)))</f>
        <v>2.56</v>
      </c>
      <c r="AU87" s="78">
        <f>MAX(INDEX(Properties!A$1:CB$87,Formula!B87,12),INDEX(Properties!A$1:CB$87,Formula!D87,12),INDEX(Properties!A$1:CB$87,Formula!F87,12),INDEX(Properties!A$1:CB$87,Formula!H87,12),INDEX(Properties!A$1:CB$87,Formula!J87,12))</f>
        <v>4</v>
      </c>
      <c r="AV87" s="78">
        <f>MIN(IF(Formula!B87=87,10^6,INDEX(Properties!A$1:CB$87,Formula!B87,12)),IF((Formula!D87)=87,10^6,INDEX(Properties!A$1:CB$87,Formula!D87,12)),IF((Formula!F87)=87,10^6,INDEX(Properties!A$1:CB$87,Formula!F87,12)),IF((Formula!H87)=87,10^6,INDEX(Properties!A$1:CB$87,Formula!H87,12)),IF(Formula!J87=87,10^6,INDEX(Properties!A$1:CB$87,Formula!J87,12)))</f>
        <v>0</v>
      </c>
      <c r="AW87" s="78">
        <f t="shared" si="39"/>
        <v>4</v>
      </c>
      <c r="AX87" s="45">
        <f>((Formula!C87)/(Formula!C87+Formula!E87+Formula!G87+Formula!I87+Formula!K87))*(INDEX(Properties!A$1:CB$87,Formula!B87,13))+((Formula!E87)/(Formula!C87+Formula!E87+Formula!G87+Formula!I87+Formula!K87))*(INDEX(Properties!A$1:CB$87,Formula!D87,13))+((Formula!G87)/(Formula!C87+Formula!E87+Formula!G87+Formula!I87+Formula!K87))*(INDEX(Properties!A$1:CB$87,Formula!F87,13))+((Formula!I87)/(Formula!C87+Formula!E87+Formula!G87+Formula!I87+Formula!K87))*(INDEX(Properties!A$1:CB$87,Formula!H87,13))+((Formula!K87)/(Formula!C87+Formula!E87+Formula!G87+Formula!I87+Formula!K87))*(INDEX(Properties!A$1:CB$87,Formula!J87,13))</f>
        <v>1.8181818181818183</v>
      </c>
      <c r="AY87" s="45">
        <f>Formula!C87*(INDEX(Properties!A$1:CB$87,Formula!B87,13))+Formula!E87*(INDEX(Properties!A$1:CB$87,Formula!D87,13))+Formula!G87*(INDEX(Properties!A$1:CB$87,Formula!F87,13))+Formula!I87*(INDEX(Properties!A$1:CB$87,Formula!H87,13))+Formula!K87*(INDEX(Properties!A$1:CB$87,Formula!J87,13))</f>
        <v>20</v>
      </c>
      <c r="AZ87" s="45">
        <f>VARP(IF(INDEX(Properties!A$1:CB$87,Formula!B87,13)&lt;&gt;"",INDEX(Properties!A$1:CB$87,Formula!B87,13)),IF(INDEX(Properties!A$1:CB$87,Formula!D87,13)&lt;&gt;"",INDEX(Properties!A$1:CB$87,Formula!D87,13)),IF(INDEX(Properties!A$1:CB$87,Formula!F87,13)&lt;&gt;"",INDEX(Properties!A$1:CB$87,Formula!F87,13)),IF(INDEX(Properties!A$1:CB$87,Formula!H87,13)&lt;&gt;"",INDEX(Properties!A$1:CB$87,Formula!H87,13)),IF(INDEX(Properties!A$1:CB$87,Formula!J87,13)&lt;&gt;"",INDEX(Properties!A$1:CB$87,Formula!J87,13)))</f>
        <v>16</v>
      </c>
      <c r="BA87" s="45">
        <f>MAX(INDEX(Properties!A$1:CB$87,Formula!B87,13),INDEX(Properties!A$1:CB$87,Formula!D87,13),INDEX(Properties!A$1:CB$87,Formula!F87,13),INDEX(Properties!A$1:CB$87,Formula!H87,13),INDEX(Properties!A$1:CB$87,Formula!J87,13))</f>
        <v>10</v>
      </c>
      <c r="BB87" s="45">
        <f>MIN(IF(Formula!B87=87,10^6,INDEX(Properties!A$1:CB$87,Formula!B87,13)),IF((Formula!D87)=87,10^6,INDEX(Properties!A$1:CB$87,Formula!D87,13)),IF((Formula!F87)=87,10^6,INDEX(Properties!A$1:CB$87,Formula!F87,13)),IF((Formula!H87)=87,10^6,INDEX(Properties!A$1:CB$87,Formula!H87,13)),IF(Formula!J87=87,10^6,INDEX(Properties!A$1:CB$87,Formula!J87,13)))</f>
        <v>0</v>
      </c>
      <c r="BC87" s="45">
        <f t="shared" si="40"/>
        <v>10</v>
      </c>
      <c r="BD87" s="63">
        <f>((Formula!C87)/(Formula!C87+Formula!E87+Formula!G87+Formula!I87+Formula!K87))*(INDEX(Properties!A$1:CB$87,Formula!B87,14))+((Formula!E87)/(Formula!C87+Formula!E87+Formula!G87+Formula!I87+Formula!K87))*(INDEX(Properties!A$1:CB$87,Formula!D87,14))+((Formula!G87)/(Formula!C87+Formula!E87+Formula!G87+Formula!I87+Formula!K87))*(INDEX(Properties!A$1:CB$87,Formula!F87,14))+((Formula!I87)/(Formula!C87+Formula!E87+Formula!G87+Formula!I87+Formula!K87))*(INDEX(Properties!A$1:CB$87,Formula!H87,14))+((Formula!K87)/(Formula!C87+Formula!E87+Formula!G87+Formula!I87+Formula!K87))*(INDEX(Properties!A$1:CB$87,Formula!J87,14))</f>
        <v>0</v>
      </c>
      <c r="BE87" s="63">
        <f>Formula!C87*(INDEX(Properties!A$1:CB$87,Formula!B87,14))+Formula!E87*(INDEX(Properties!A$1:CB$87,Formula!D87,14))+Formula!G87*(INDEX(Properties!A$1:CB$87,Formula!F87,14))+Formula!I87*(INDEX(Properties!A$1:CB$87,Formula!H87,14))+Formula!K87*(INDEX(Properties!A$1:CB$87,Formula!J87,14))</f>
        <v>0</v>
      </c>
      <c r="BF87" s="63">
        <f>VARP(IF(INDEX(Properties!A$1:CB$87,Formula!B87,14)&lt;&gt;"",INDEX(Properties!A$1:CB$87,Formula!B87,14)),IF(INDEX(Properties!A$1:CB$87,Formula!D87,14)&lt;&gt;"",INDEX(Properties!A$1:CB$87,Formula!D87,14)),IF(INDEX(Properties!A$1:CB$87,Formula!F87,14)&lt;&gt;"",INDEX(Properties!A$1:CB$87,Formula!F87,14)),IF(INDEX(Properties!A$1:CB$87,Formula!H87,14)&lt;&gt;"",INDEX(Properties!A$1:CB$87,Formula!H87,14)),IF(INDEX(Properties!A$1:CB$87,Formula!J87,14)&lt;&gt;"",INDEX(Properties!A$1:CB$87,Formula!J87,14)))</f>
        <v>0</v>
      </c>
      <c r="BG87" s="63">
        <f>MAX(INDEX(Properties!A$1:CB$87,Formula!B87,14),INDEX(Properties!A$1:CB$87,Formula!D87,14),INDEX(Properties!A$1:CB$87,Formula!F87,14),INDEX(Properties!A$1:CB$87,Formula!H87,14),INDEX(Properties!A$1:CB$87,Formula!J87,14))</f>
        <v>0</v>
      </c>
      <c r="BH87" s="63">
        <f>MIN(IF(Formula!B87=87,10^6,INDEX(Properties!A$1:CB$87,Formula!B87,14)),IF((Formula!D87)=87,10^6,INDEX(Properties!A$1:CB$87,Formula!D87,14)),IF((Formula!F87)=87,10^6,INDEX(Properties!A$1:CB$87,Formula!F87,14)),IF((Formula!H87)=87,10^6,INDEX(Properties!A$1:CB$87,Formula!H87,14)),IF(Formula!J87=87,10^6,INDEX(Properties!A$1:CB$87,Formula!J87,14)))</f>
        <v>0</v>
      </c>
      <c r="BI87" s="63">
        <f t="shared" si="41"/>
        <v>0</v>
      </c>
      <c r="BJ87" s="75">
        <f>((Formula!C87)/(Formula!C87+Formula!E87+Formula!G87+Formula!I87+Formula!K87))*(INDEX(Properties!A$1:CB$87,Formula!B87,19))+((Formula!E87)/(Formula!C87+Formula!E87+Formula!G87+Formula!I87+Formula!K87))*(INDEX(Properties!A$1:CB$87,Formula!D87,19))+((Formula!G87)/(Formula!C87+Formula!E87+Formula!G87+Formula!I87+Formula!K87))*(INDEX(Properties!A$1:CB$87,Formula!F87,19))+((Formula!I87)/(Formula!C87+Formula!E87+Formula!G87+Formula!I87+Formula!K87))*(INDEX(Properties!A$1:CB$87,Formula!H87,19))+((Formula!K87)/(Formula!C87+Formula!E87+Formula!G87+Formula!I87+Formula!K87))*(INDEX(Properties!A$1:CB$87,Formula!J87,19))</f>
        <v>6.1818181818181817</v>
      </c>
      <c r="BK87" s="75">
        <f>Formula!C87*(INDEX(Properties!A$1:CB$87,Formula!B87,19))+Formula!E87*(INDEX(Properties!A$1:CB$87,Formula!D87,19))+Formula!G87*(INDEX(Properties!A$1:CB$87,Formula!F87,19))+Formula!I87*(INDEX(Properties!A$1:CB$87,Formula!H87,19))+Formula!K87*(INDEX(Properties!A$1:CB$87,Formula!J87,19))</f>
        <v>68</v>
      </c>
      <c r="BL87" s="75">
        <f>VARP(IF(INDEX(Properties!A$1:CB$87,Formula!B87,19)&lt;&gt;"",INDEX(Properties!A$1:CB$87,Formula!B87,19)),IF(INDEX(Properties!A$1:CB$87,Formula!D87,19)&lt;&gt;"",INDEX(Properties!A$1:CB$87,Formula!D87,19)),IF(INDEX(Properties!A$1:CB$87,Formula!F87,19)&lt;&gt;"",INDEX(Properties!A$1:CB$87,Formula!F87,19)),IF(INDEX(Properties!A$1:CB$87,Formula!H87,19)&lt;&gt;"",INDEX(Properties!A$1:CB$87,Formula!H87,19)),IF(INDEX(Properties!A$1:CB$87,Formula!J87,19)&lt;&gt;"",INDEX(Properties!A$1:CB$87,Formula!J87,19)))</f>
        <v>16.96</v>
      </c>
      <c r="BM87" s="75">
        <f>MAX(INDEX(Properties!A$1:CB$87,Formula!B87,19),INDEX(Properties!A$1:CB$87,Formula!D87,19),INDEX(Properties!A$1:CB$87,Formula!F87,19),INDEX(Properties!A$1:CB$87,Formula!H87,19),INDEX(Properties!A$1:CB$87,Formula!J87,19))</f>
        <v>12</v>
      </c>
      <c r="BN87" s="75">
        <f>MIN(IF(INDEX(Properties!A$1:CB$87,Formula!B87,19)=0,10^6,INDEX(Properties!A$1:CB$87,Formula!B87,19)),IF(INDEX(Properties!A$1:CB$87,Formula!D87,19)=0,10^6,INDEX(Properties!A$1:CB$87,Formula!D87,19)),IF(INDEX(Properties!A$1:CB$87,Formula!F87,19)=0,10^6,INDEX(Properties!A$1:CB$87,Formula!F87,19)),IF(INDEX(Properties!A$1:CB$87,Formula!H87,19)=0,10^6,INDEX(Properties!A$1:CB$87,Formula!H87,19)),IF(INDEX(Properties!A$1:CB$87,Formula!J87,19)=0,10^6,INDEX(Properties!A$1:CB$87,Formula!J87,19)))</f>
        <v>2</v>
      </c>
      <c r="BO87" s="75">
        <f t="shared" si="42"/>
        <v>10</v>
      </c>
      <c r="BP87" s="48">
        <f>((Formula!C87)/(Formula!C87+Formula!E87+Formula!G87+Formula!I87+Formula!K87))*(INDEX(Properties!A$1:CB$87,Formula!B87,20))+((Formula!E87)/(Formula!C87+Formula!E87+Formula!G87+Formula!I87+Formula!K87))*(INDEX(Properties!A$1:CB$87,Formula!D87,20))+((Formula!G87)/(Formula!C87+Formula!E87+Formula!G87+Formula!I87+Formula!K87))*(INDEX(Properties!A$1:CB$87,Formula!F87,20))+((Formula!I87)/(Formula!C87+Formula!E87+Formula!G87+Formula!I87+Formula!K87))*(INDEX(Properties!A$1:CB$87,Formula!H87,20))+((Formula!K87)/(Formula!C87+Formula!E87+Formula!G87+Formula!I87+Formula!K87))*(INDEX(Properties!A$1:CB$87,Formula!J87,20))</f>
        <v>4.3636363636363633</v>
      </c>
      <c r="BQ87" s="48">
        <f>Formula!C87*(INDEX(Properties!A$1:CB$87,Formula!B87,20))+Formula!E87*(INDEX(Properties!A$1:CB$87,Formula!D87,20))+Formula!G87*(INDEX(Properties!A$1:CB$87,Formula!F87,20))+Formula!I87*(INDEX(Properties!A$1:CB$87,Formula!H87,20))+Formula!K87*(INDEX(Properties!A$1:CB$87,Formula!J87,20))</f>
        <v>48</v>
      </c>
      <c r="BR87" s="48">
        <f>VARP(IF(INDEX(Properties!A$1:CB$87,Formula!B87,20)&lt;&gt;"",INDEX(Properties!A$1:CB$87,Formula!B87,20)),IF(INDEX(Properties!A$1:CB$87,Formula!D87,20)&lt;&gt;"",INDEX(Properties!A$1:CB$87,Formula!D87,20)),IF(INDEX(Properties!A$1:CB$87,Formula!F87,20)&lt;&gt;"",INDEX(Properties!A$1:CB$87,Formula!F87,20)),IF(INDEX(Properties!A$1:CB$87,Formula!H87,20)&lt;&gt;"",INDEX(Properties!A$1:CB$87,Formula!H87,20)),IF(INDEX(Properties!A$1:CB$87,Formula!J87,20)&lt;&gt;"",INDEX(Properties!A$1:CB$87,Formula!J87,20)))</f>
        <v>4.16</v>
      </c>
      <c r="BS87" s="48">
        <f>MAX(INDEX(Properties!A$1:CB$87,Formula!B87,20),INDEX(Properties!A$1:CB$87,Formula!D87,20),INDEX(Properties!A$1:CB$87,Formula!F87,20),INDEX(Properties!A$1:CB$87,Formula!H87,20),INDEX(Properties!A$1:CB$87,Formula!J87,20))</f>
        <v>6</v>
      </c>
      <c r="BT87" s="48">
        <f>MIN(IF(INDEX(Properties!A$1:CB$87,Formula!B87,20)=0,10^6,INDEX(Properties!A$1:CB$87,Formula!B87,20)),IF(INDEX(Properties!A$1:CB$87,Formula!D87,20)=0,10^6,INDEX(Properties!A$1:CB$87,Formula!D87,20)),IF(INDEX(Properties!A$1:CB$87,Formula!F87,20)=0,10^6,INDEX(Properties!A$1:CB$87,Formula!F87,20)),IF(INDEX(Properties!A$1:CB$87,Formula!H87,20)=0,10^6,INDEX(Properties!A$1:CB$87,Formula!H87,20)),IF(INDEX(Properties!A$1:CB$87,Formula!J87,20)=0,10^6,INDEX(Properties!A$1:CB$87,Formula!J87,20)))</f>
        <v>1</v>
      </c>
      <c r="BU87" s="48">
        <f t="shared" si="43"/>
        <v>5</v>
      </c>
      <c r="BV87" s="66">
        <f>((Formula!C87)/(Formula!C87+Formula!E87+Formula!G87+Formula!I87+Formula!K87))*(INDEX(Properties!A$1:CB$87,Formula!B87,21))+((Formula!E87)/(Formula!C87+Formula!E87+Formula!G87+Formula!I87+Formula!K87))*(INDEX(Properties!A$1:CB$87,Formula!D87,21))+((Formula!G87)/(Formula!C87+Formula!E87+Formula!G87+Formula!I87+Formula!K87))*(INDEX(Properties!A$1:CB$87,Formula!F87,21))+((Formula!I87)/(Formula!C87+Formula!E87+Formula!G87+Formula!I87+Formula!K87))*(INDEX(Properties!A$1:CB$87,Formula!H87,21))+((Formula!K87)/(Formula!C87+Formula!E87+Formula!G87+Formula!I87+Formula!K87))*(INDEX(Properties!A$1:CB$87,Formula!J87,21))</f>
        <v>4.8181818181818183</v>
      </c>
      <c r="BW87" s="66">
        <f>Formula!C87*(INDEX(Properties!A$1:CB$87,Formula!B87,21))+Formula!E87*(INDEX(Properties!A$1:CB$87,Formula!D87,21))+Formula!G87*(INDEX(Properties!A$1:CB$87,Formula!F87,21))+Formula!I87*(INDEX(Properties!A$1:CB$87,Formula!H87,21))+Formula!K87*(INDEX(Properties!A$1:CB$87,Formula!J87,21))</f>
        <v>53</v>
      </c>
      <c r="BX87" s="66">
        <f>VARP(IF(INDEX(Properties!A$1:CB$87,Formula!B87,21)&lt;&gt;"",INDEX(Properties!A$1:CB$87,Formula!B87,21)),IF(INDEX(Properties!A$1:CB$87,Formula!D87,21)&lt;&gt;"",INDEX(Properties!A$1:CB$87,Formula!D87,21)),IF(INDEX(Properties!A$1:CB$87,Formula!F87,21)&lt;&gt;"",INDEX(Properties!A$1:CB$87,Formula!F87,21)),IF(INDEX(Properties!A$1:CB$87,Formula!H87,21)&lt;&gt;"",INDEX(Properties!A$1:CB$87,Formula!H87,21)),IF(INDEX(Properties!A$1:CB$87,Formula!J87,21)&lt;&gt;"",INDEX(Properties!A$1:CB$87,Formula!J87,21)))</f>
        <v>4.6399999999999997</v>
      </c>
      <c r="BY87" s="66">
        <f>MAX(INDEX(Properties!A$1:CB$87,Formula!B87,21),INDEX(Properties!A$1:CB$87,Formula!D87,21),INDEX(Properties!A$1:CB$87,Formula!F87,21),INDEX(Properties!A$1:CB$87,Formula!H87,21),INDEX(Properties!A$1:CB$87,Formula!J87,21))</f>
        <v>6</v>
      </c>
      <c r="BZ87" s="66">
        <f>MIN(IF(INDEX(Properties!A$1:CB$87,Formula!B87,21)=0,10^6,INDEX(Properties!A$1:CB$87,Formula!B87,21)),IF(INDEX(Properties!A$1:CB$87,Formula!D87,21)=0,10^6,INDEX(Properties!A$1:CB$87,Formula!D87,21)),IF(INDEX(Properties!A$1:CB$87,Formula!F87,21)=0,10^6,INDEX(Properties!A$1:CB$87,Formula!F87,21)),IF(INDEX(Properties!A$1:CB$87,Formula!H87,21)=0,10^6,INDEX(Properties!A$1:CB$87,Formula!H87,21)),IF(INDEX(Properties!A$1:CB$87,Formula!J87,21)=0,10^6,INDEX(Properties!A$1:CB$87,Formula!J87,21)))</f>
        <v>1</v>
      </c>
      <c r="CA87" s="66">
        <f t="shared" si="44"/>
        <v>5</v>
      </c>
      <c r="CB87" s="81">
        <f>((Formula!C87)/(Formula!C87+Formula!E87+Formula!G87+Formula!I87+Formula!K87))*(INDEX(Properties!A$1:CB$87,Formula!B87,23))+((Formula!E87)/(Formula!C87+Formula!E87+Formula!G87+Formula!I87+Formula!K87))*(INDEX(Properties!A$1:CB$87,Formula!D87,23))+((Formula!G87)/(Formula!C87+Formula!E87+Formula!G87+Formula!I87+Formula!K87))*(INDEX(Properties!A$1:CB$87,Formula!F87,23))+((Formula!I87)/(Formula!C87+Formula!E87+Formula!G87+Formula!I87+Formula!K87))*(INDEX(Properties!A$1:CB$87,Formula!H87,23))+((Formula!K87)/(Formula!C87+Formula!E87+Formula!G87+Formula!I87+Formula!K87))*(INDEX(Properties!A$1:CB$87,Formula!J87,23))</f>
        <v>1.6363636363636365</v>
      </c>
      <c r="CC87" s="81">
        <f>Formula!C87*(INDEX(Properties!A$1:CB$87,Formula!B87,23))+Formula!E87*(INDEX(Properties!A$1:CB$87,Formula!D87,23))+Formula!G87*(INDEX(Properties!A$1:CB$87,Formula!F87,23))+Formula!I87*(INDEX(Properties!A$1:CB$87,Formula!H87,23))+Formula!K87*(INDEX(Properties!A$1:CB$87,Formula!J87,23))</f>
        <v>18</v>
      </c>
      <c r="CD87" s="81">
        <f>VARP(IF(INDEX(Properties!A$1:CB$87,Formula!B87,23)&lt;&gt;"",INDEX(Properties!A$1:CB$87,Formula!B87,23)),IF(INDEX(Properties!A$1:CB$87,Formula!D87,23)&lt;&gt;"",INDEX(Properties!A$1:CB$87,Formula!D87,23)),IF(INDEX(Properties!A$1:CB$87,Formula!F87,23)&lt;&gt;"",INDEX(Properties!A$1:CB$87,Formula!F87,23)),IF(INDEX(Properties!A$1:CB$87,Formula!H87,23)&lt;&gt;"",INDEX(Properties!A$1:CB$87,Formula!H87,23)),IF(INDEX(Properties!A$1:CB$87,Formula!J87,23)&lt;&gt;"",INDEX(Properties!A$1:CB$87,Formula!J87,23)))</f>
        <v>5.4512640000000001</v>
      </c>
      <c r="CE87" s="81">
        <f>MAX(INDEX(Properties!A$1:CB$87,Formula!B87,23),INDEX(Properties!A$1:CB$87,Formula!D87,23),INDEX(Properties!A$1:CB$87,Formula!F87,23),INDEX(Properties!A$1:CB$87,Formula!H87,23),INDEX(Properties!A$1:CB$87,Formula!J87,23))</f>
        <v>5.78</v>
      </c>
      <c r="CF87" s="81">
        <f>MIN(IF(Formula!B87=87,10^6,INDEX(Properties!A$1:CB$87,Formula!B87,23)),IF((Formula!D87)=87,10^6,INDEX(Properties!A$1:CB$87,Formula!D87,23)),IF((Formula!F87)=87,10^6,INDEX(Properties!A$1:CB$87,Formula!F87,23)),IF((Formula!H87)=87,10^6,INDEX(Properties!A$1:CB$87,Formula!H87,23)),IF(Formula!J87=87,10^6,INDEX(Properties!A$1:CB$87,Formula!J87,23)))</f>
        <v>0</v>
      </c>
      <c r="CG87" s="81">
        <f t="shared" si="45"/>
        <v>5.78</v>
      </c>
      <c r="CH87" s="39">
        <f>((Formula!C87)/(Formula!C87+Formula!E87+Formula!G87+Formula!I87+Formula!K87))*(INDEX(Properties!A$1:CB$87,Formula!B87,26))+((Formula!E87)/(Formula!C87+Formula!E87+Formula!G87+Formula!I87+Formula!K87))*(INDEX(Properties!A$1:CB$87,Formula!D87,26))+((Formula!G87)/(Formula!C87+Formula!E87+Formula!G87+Formula!I87+Formula!K87))*(INDEX(Properties!A$1:CB$87,Formula!F87,26))+((Formula!I87)/(Formula!C87+Formula!E87+Formula!G87+Formula!I87+Formula!K87))*(INDEX(Properties!A$1:CB$87,Formula!H87,26))+((Formula!K87)/(Formula!C87+Formula!E87+Formula!G87+Formula!I87+Formula!K87))*(INDEX(Properties!A$1:CB$87,Formula!J87,26))</f>
        <v>11.306100000000001</v>
      </c>
      <c r="CI87" s="39">
        <f>Formula!C87*(INDEX(Properties!A$1:CB$87,Formula!B87,26))+Formula!E87*(INDEX(Properties!A$1:CB$87,Formula!D87,26))+Formula!G87*(INDEX(Properties!A$1:CB$87,Formula!F87,26))+Formula!I87*(INDEX(Properties!A$1:CB$87,Formula!H87,26))+Formula!K87*(INDEX(Properties!A$1:CB$87,Formula!J87,26))</f>
        <v>124.36709999999999</v>
      </c>
      <c r="CJ87" s="39">
        <f>VARP(IF(INDEX(Properties!A$1:CB$87,Formula!B87,26)&lt;&gt;"",INDEX(Properties!A$1:CB$87,Formula!B87,26)),IF(INDEX(Properties!A$1:CB$87,Formula!D87,26)&lt;&gt;"",INDEX(Properties!A$1:CB$87,Formula!D87,26)),IF(INDEX(Properties!A$1:CB$87,Formula!F87,26)&lt;&gt;"",INDEX(Properties!A$1:CB$87,Formula!F87,26)),IF(INDEX(Properties!A$1:CB$87,Formula!H87,26)&lt;&gt;"",INDEX(Properties!A$1:CB$87,Formula!H87,26)),IF(INDEX(Properties!A$1:CB$87,Formula!J87,26)&lt;&gt;"",INDEX(Properties!A$1:CB$87,Formula!J87,26)))</f>
        <v>19.842648987999983</v>
      </c>
      <c r="CK87" s="39">
        <f>MAX(INDEX(Properties!A$1:CB$87,Formula!B87,26),INDEX(Properties!A$1:CB$87,Formula!D87,26),INDEX(Properties!A$1:CB$87,Formula!F87,26),INDEX(Properties!A$1:CB$87,Formula!H87,26),INDEX(Properties!A$1:CB$87,Formula!J87,26))</f>
        <v>13.6181</v>
      </c>
      <c r="CL87" s="39">
        <f>MIN(IF(INDEX(Properties!A$1:CB$87,Formula!B87,26)=0,10^6,INDEX(Properties!A$1:CB$87,Formula!B87,26)),IF(INDEX(Properties!A$1:CB$87,Formula!D87,26)=0,10^6,INDEX(Properties!A$1:CB$87,Formula!D87,26)),IF(INDEX(Properties!A$1:CB$87,Formula!F87,26)=0,10^6,INDEX(Properties!A$1:CB$87,Formula!F87,26)),IF(INDEX(Properties!A$1:CB$87,Formula!H87,26)=0,10^6,INDEX(Properties!A$1:CB$87,Formula!H87,26)),IF(INDEX(Properties!A$1:CB$87,Formula!J87,26)=0,10^6,INDEX(Properties!A$1:CB$87,Formula!J87,26)))</f>
        <v>6.1132</v>
      </c>
      <c r="CM87" s="39">
        <f t="shared" si="46"/>
        <v>7.5049000000000001</v>
      </c>
      <c r="CN87" s="54">
        <f>((Formula!C87)/(Formula!C87+Formula!E87+Formula!G87+Formula!I87+Formula!K87))*(INDEX(Properties!A$1:CB$87,Formula!B87,30))+((Formula!E87)/(Formula!C87+Formula!E87+Formula!G87+Formula!I87+Formula!K87))*(INDEX(Properties!A$1:CB$87,Formula!D87,30))+((Formula!G87)/(Formula!C87+Formula!E87+Formula!G87+Formula!I87+Formula!K87))*(INDEX(Properties!A$1:CB$87,Formula!F87,30))+((Formula!I87)/(Formula!C87+Formula!E87+Formula!G87+Formula!I87+Formula!K87))*(INDEX(Properties!A$1:CB$87,Formula!H87,30))+((Formula!K87)/(Formula!C87+Formula!E87+Formula!G87+Formula!I87+Formula!K87))*(INDEX(Properties!A$1:CB$87,Formula!J87,30))</f>
        <v>2.7318181818181815</v>
      </c>
      <c r="CO87" s="54">
        <f>Formula!C87*(INDEX(Properties!A$1:CB$87,Formula!B87,30))+Formula!E87*(INDEX(Properties!A$1:CB$87,Formula!D87,30))+Formula!G87*(INDEX(Properties!A$1:CB$87,Formula!F87,30))+Formula!I87*(INDEX(Properties!A$1:CB$87,Formula!H87,30))+Formula!K87*(INDEX(Properties!A$1:CB$87,Formula!J87,30))</f>
        <v>30.049999999999997</v>
      </c>
      <c r="CP87" s="54">
        <f>VARP(IF(INDEX(Properties!A$1:CB$87,Formula!B87,30)&lt;&gt;"",INDEX(Properties!A$1:CB$87,Formula!B87,30)),IF(INDEX(Properties!A$1:CB$87,Formula!D87,30)&lt;&gt;"",INDEX(Properties!A$1:CB$87,Formula!D87,30)),IF(INDEX(Properties!A$1:CB$87,Formula!F87,30)&lt;&gt;"",INDEX(Properties!A$1:CB$87,Formula!F87,30)),IF(INDEX(Properties!A$1:CB$87,Formula!H87,30)&lt;&gt;"",INDEX(Properties!A$1:CB$87,Formula!H87,30)),IF(INDEX(Properties!A$1:CB$87,Formula!J87,30)&lt;&gt;"",INDEX(Properties!A$1:CB$87,Formula!J87,30)))</f>
        <v>1.2598399999999998</v>
      </c>
      <c r="CQ87" s="54">
        <f>MAX(INDEX(Properties!A$1:CB$87,Formula!B87,30),INDEX(Properties!A$1:CB$87,Formula!D87,30),INDEX(Properties!A$1:CB$87,Formula!F87,30),INDEX(Properties!A$1:CB$87,Formula!H87,30),INDEX(Properties!A$1:CB$87,Formula!J87,30))</f>
        <v>3.44</v>
      </c>
      <c r="CR87" s="54">
        <f>MIN(IF(INDEX(Properties!A$1:CB$87,Formula!B87,30)=0,10^6,INDEX(Properties!A$1:CB$87,Formula!B87,30)),IF(INDEX(Properties!A$1:CB$87,Formula!D87,30)=0,10^6,INDEX(Properties!A$1:CB$87,Formula!D87,30)),IF(INDEX(Properties!A$1:CB$87,Formula!F87,30)=0,10^6,INDEX(Properties!A$1:CB$87,Formula!F87,30)),IF(INDEX(Properties!A$1:CB$87,Formula!H87,30)=0,10^6,INDEX(Properties!A$1:CB$87,Formula!H87,30)),IF(INDEX(Properties!A$1:CB$87,Formula!J87,30)=0,10^6,INDEX(Properties!A$1:CB$87,Formula!J87,30)))</f>
        <v>1</v>
      </c>
      <c r="CS87" s="54">
        <f t="shared" si="47"/>
        <v>2.44</v>
      </c>
      <c r="CT87" s="69">
        <f>((Formula!C87)/(Formula!C87+Formula!E87+Formula!G87+Formula!I87+Formula!K87))*(INDEX(Properties!A$1:CB$87,Formula!B87,31))+((Formula!E87)/(Formula!C87+Formula!E87+Formula!G87+Formula!I87+Formula!K87))*(INDEX(Properties!A$1:CB$87,Formula!D87,31))+((Formula!G87)/(Formula!C87+Formula!E87+Formula!G87+Formula!I87+Formula!K87))*(INDEX(Properties!A$1:CB$87,Formula!F87,31))+((Formula!I87)/(Formula!C87+Formula!E87+Formula!G87+Formula!I87+Formula!K87))*(INDEX(Properties!A$1:CB$87,Formula!H87,31))+((Formula!K87)/(Formula!C87+Formula!E87+Formula!G87+Formula!I87+Formula!K87))*(INDEX(Properties!A$1:CB$87,Formula!J87,31))</f>
        <v>2.7136363636363638</v>
      </c>
      <c r="CU87" s="69">
        <f>Formula!C87*(INDEX(Properties!A$1:CB$87,Formula!B87,31))+Formula!E87*(INDEX(Properties!A$1:CB$87,Formula!D87,31))+Formula!G87*(INDEX(Properties!A$1:CB$87,Formula!F87,31))+Formula!I87*(INDEX(Properties!A$1:CB$87,Formula!H87,31))+Formula!K87*(INDEX(Properties!A$1:CB$87,Formula!J87,31))</f>
        <v>29.849999999999998</v>
      </c>
      <c r="CV87" s="69">
        <f>VARP(IF(INDEX(Properties!A$1:CB$87,Formula!B87,31)&lt;&gt;"",INDEX(Properties!A$1:CB$87,Formula!B87,31)),IF(INDEX(Properties!A$1:CB$87,Formula!D87,31)&lt;&gt;"",INDEX(Properties!A$1:CB$87,Formula!D87,31)),IF(INDEX(Properties!A$1:CB$87,Formula!F87,31)&lt;&gt;"",INDEX(Properties!A$1:CB$87,Formula!F87,31)),IF(INDEX(Properties!A$1:CB$87,Formula!H87,31)&lt;&gt;"",INDEX(Properties!A$1:CB$87,Formula!H87,31)),IF(INDEX(Properties!A$1:CB$87,Formula!J87,31)&lt;&gt;"",INDEX(Properties!A$1:CB$87,Formula!J87,31)))</f>
        <v>1.1775840000000002</v>
      </c>
      <c r="CW87" s="69">
        <f>MAX(INDEX(Properties!A$1:CB$87,Formula!B87,31),INDEX(Properties!A$1:CB$87,Formula!D87,31),INDEX(Properties!A$1:CB$87,Formula!F87,31),INDEX(Properties!A$1:CB$87,Formula!H87,31),INDEX(Properties!A$1:CB$87,Formula!J87,31))</f>
        <v>3.32</v>
      </c>
      <c r="CX87" s="69">
        <f>MIN(IF(INDEX(Properties!A$1:CB$87,Formula!B87,31)=0,10^6,INDEX(Properties!A$1:CB$87,Formula!B87,31)),IF(INDEX(Properties!A$1:CB$87,Formula!D87,31)=0,10^6,INDEX(Properties!A$1:CB$87,Formula!D87,31)),IF(INDEX(Properties!A$1:CB$87,Formula!F87,31)=0,10^6,INDEX(Properties!A$1:CB$87,Formula!F87,31)),IF(INDEX(Properties!A$1:CB$87,Formula!H87,31)=0,10^6,INDEX(Properties!A$1:CB$87,Formula!H87,31)),IF(INDEX(Properties!A$1:CB$87,Formula!J87,31)=0,10^6,INDEX(Properties!A$1:CB$87,Formula!J87,31)))</f>
        <v>1.17</v>
      </c>
      <c r="CY87" s="69">
        <f t="shared" si="48"/>
        <v>2.15</v>
      </c>
      <c r="CZ87" s="42">
        <f>((Formula!C87)/(Formula!C87+Formula!E87+Formula!G87+Formula!I87+Formula!K87))*(INDEX(Properties!A$1:CB$87,Formula!B87,32))+((Formula!E87)/(Formula!C87+Formula!E87+Formula!G87+Formula!I87+Formula!K87))*(INDEX(Properties!A$1:CB$87,Formula!D87,32))+((Formula!G87)/(Formula!C87+Formula!E87+Formula!G87+Formula!I87+Formula!K87))*(INDEX(Properties!A$1:CB$87,Formula!F87,32))+((Formula!I87)/(Formula!C87+Formula!E87+Formula!G87+Formula!I87+Formula!K87))*(INDEX(Properties!A$1:CB$87,Formula!H87,32))+((Formula!K87)/(Formula!C87+Formula!E87+Formula!G87+Formula!I87+Formula!K87))*(INDEX(Properties!A$1:CB$87,Formula!J87,32))</f>
        <v>6.0790909090909091</v>
      </c>
      <c r="DA87" s="42">
        <f>Formula!C87*(INDEX(Properties!A$1:CB$87,Formula!B87,32))+Formula!E87*(INDEX(Properties!A$1:CB$87,Formula!D87,32))+Formula!G87*(INDEX(Properties!A$1:CB$87,Formula!F87,32))+Formula!I87*(INDEX(Properties!A$1:CB$87,Formula!H87,32))+Formula!K87*(INDEX(Properties!A$1:CB$87,Formula!J87,32))</f>
        <v>66.87</v>
      </c>
      <c r="DB87" s="42">
        <f>VARP(IF(INDEX(Properties!A$1:CB$87,Formula!B87,32)&lt;&gt;"",INDEX(Properties!A$1:CB$87,Formula!B87,32)),IF(INDEX(Properties!A$1:CB$87,Formula!D87,32)&lt;&gt;"",INDEX(Properties!A$1:CB$87,Formula!D87,32)),IF(INDEX(Properties!A$1:CB$87,Formula!F87,32)&lt;&gt;"",INDEX(Properties!A$1:CB$87,Formula!F87,32)),IF(INDEX(Properties!A$1:CB$87,Formula!H87,32)&lt;&gt;"",INDEX(Properties!A$1:CB$87,Formula!H87,32)),IF(INDEX(Properties!A$1:CB$87,Formula!J87,32)&lt;&gt;"",INDEX(Properties!A$1:CB$87,Formula!J87,32)))</f>
        <v>6.2357760000000004</v>
      </c>
      <c r="DC87" s="42">
        <f>MAX(INDEX(Properties!A$1:CB$87,Formula!B87,32),INDEX(Properties!A$1:CB$87,Formula!D87,32),INDEX(Properties!A$1:CB$87,Formula!F87,32),INDEX(Properties!A$1:CB$87,Formula!H87,32),INDEX(Properties!A$1:CB$87,Formula!J87,32))</f>
        <v>7.54</v>
      </c>
      <c r="DD87" s="42">
        <f>MIN(IF(INDEX(Properties!A$1:CB$87,Formula!B87,32)=0,10^6,INDEX(Properties!A$1:CB$87,Formula!B87,32)),IF(INDEX(Properties!A$1:CB$87,Formula!D87,32)=0,10^6,INDEX(Properties!A$1:CB$87,Formula!D87,32)),IF(INDEX(Properties!A$1:CB$87,Formula!F87,32)=0,10^6,INDEX(Properties!A$1:CB$87,Formula!F87,32)),IF(INDEX(Properties!A$1:CB$87,Formula!H87,32)=0,10^6,INDEX(Properties!A$1:CB$87,Formula!H87,32)),IF(INDEX(Properties!A$1:CB$87,Formula!J87,32)=0,10^6,INDEX(Properties!A$1:CB$87,Formula!J87,32)))</f>
        <v>2.2000000000000002</v>
      </c>
      <c r="DE87" s="42">
        <f t="shared" si="49"/>
        <v>5.34</v>
      </c>
      <c r="DF87" s="60">
        <f>((Formula!C87)/(Formula!C87+Formula!E87+Formula!G87+Formula!I87+Formula!K87))*(INDEX(Properties!A$1:CB$87,Formula!B87,34))+((Formula!E87)/(Formula!C87+Formula!E87+Formula!G87+Formula!I87+Formula!K87))*(INDEX(Properties!A$1:CB$87,Formula!D87,34))+((Formula!G87)/(Formula!C87+Formula!E87+Formula!G87+Formula!I87+Formula!K87))*(INDEX(Properties!A$1:CB$87,Formula!F87,34))+((Formula!I87)/(Formula!C87+Formula!E87+Formula!G87+Formula!I87+Formula!K87))*(INDEX(Properties!A$1:CB$87,Formula!H87,34))+((Formula!K87)/(Formula!C87+Formula!E87+Formula!G87+Formula!I87+Formula!K87))*(INDEX(Properties!A$1:CB$87,Formula!J87,34))</f>
        <v>2.835818181818182</v>
      </c>
      <c r="DG87" s="60">
        <f>Formula!C87*(INDEX(Properties!A$1:CB$87,Formula!B87,34))+Formula!E87*(INDEX(Properties!A$1:CB$87,Formula!D87,34))+Formula!G87*(INDEX(Properties!A$1:CB$87,Formula!F87,34))+Formula!I87*(INDEX(Properties!A$1:CB$87,Formula!H87,34))+Formula!K87*(INDEX(Properties!A$1:CB$87,Formula!J87,34))</f>
        <v>31.193999999999999</v>
      </c>
      <c r="DH87" s="60">
        <f>VARP(IF(INDEX(Properties!A$1:CB$87,Formula!B87,34)&lt;&gt;"",INDEX(Properties!A$1:CB$87,Formula!B87,34)),IF(INDEX(Properties!A$1:CB$87,Formula!D87,34)&lt;&gt;"",INDEX(Properties!A$1:CB$87,Formula!D87,34)),IF(INDEX(Properties!A$1:CB$87,Formula!F87,34)&lt;&gt;"",INDEX(Properties!A$1:CB$87,Formula!F87,34)),IF(INDEX(Properties!A$1:CB$87,Formula!H87,34)&lt;&gt;"",INDEX(Properties!A$1:CB$87,Formula!H87,34)),IF(INDEX(Properties!A$1:CB$87,Formula!J87,34)&lt;&gt;"",INDEX(Properties!A$1:CB$87,Formula!J87,34)))</f>
        <v>1.3840729599999995</v>
      </c>
      <c r="DI87" s="60">
        <f>MAX(INDEX(Properties!A$1:CB$87,Formula!B87,34),INDEX(Properties!A$1:CB$87,Formula!D87,34),INDEX(Properties!A$1:CB$87,Formula!F87,34),INDEX(Properties!A$1:CB$87,Formula!H87,34),INDEX(Properties!A$1:CB$87,Formula!J87,34))</f>
        <v>3.61</v>
      </c>
      <c r="DJ87" s="60">
        <f>MIN(IF(INDEX(Properties!A$1:CB$87,Formula!B87,34)=0,10^6,INDEX(Properties!A$1:CB$87,Formula!B87,34)),IF(INDEX(Properties!A$1:CB$87,Formula!D87,34)=0,10^6,INDEX(Properties!A$1:CB$87,Formula!D87,34)),IF(INDEX(Properties!A$1:CB$87,Formula!F87,34)=0,10^6,INDEX(Properties!A$1:CB$87,Formula!F87,34)),IF(INDEX(Properties!A$1:CB$87,Formula!H87,34)=0,10^6,INDEX(Properties!A$1:CB$87,Formula!H87,34)),IF(INDEX(Properties!A$1:CB$87,Formula!J87,34)=0,10^6,INDEX(Properties!A$1:CB$87,Formula!J87,34)))</f>
        <v>1.034</v>
      </c>
      <c r="DK87" s="60">
        <f t="shared" si="50"/>
        <v>2.5759999999999996</v>
      </c>
      <c r="DL87" s="45">
        <f>((Formula!C87)/(Formula!C87+Formula!E87+Formula!G87+Formula!I87+Formula!K87))*(INDEX(Properties!A$1:CB$87,Formula!B87,39))+((Formula!E87)/(Formula!C87+Formula!E87+Formula!G87+Formula!I87+Formula!K87))*(INDEX(Properties!A$1:CB$87,Formula!D87,39))+((Formula!G87)/(Formula!C87+Formula!E87+Formula!G87+Formula!I87+Formula!K87))*(INDEX(Properties!A$1:CB$87,Formula!F87,39))+((Formula!I87)/(Formula!C87+Formula!E87+Formula!G87+Formula!I87+Formula!K87))*(INDEX(Properties!A$1:CB$87,Formula!H87,39))+((Formula!K87)/(Formula!C87+Formula!E87+Formula!G87+Formula!I87+Formula!K87))*(INDEX(Properties!A$1:CB$87,Formula!J87,39))</f>
        <v>0.91272727272727261</v>
      </c>
      <c r="DM87" s="45">
        <f>Formula!C87*(INDEX(Properties!A$1:CB$87,Formula!B87,39))+Formula!E87*(INDEX(Properties!A$1:CB$87,Formula!D87,39))+Formula!G87*(INDEX(Properties!A$1:CB$87,Formula!F87,39))+Formula!I87*(INDEX(Properties!A$1:CB$87,Formula!H87,39))+Formula!K87*(INDEX(Properties!A$1:CB$87,Formula!J87,39))</f>
        <v>10.039999999999999</v>
      </c>
      <c r="DN87" s="45">
        <f>VARP(IF(INDEX(Properties!A$1:CB$87,Formula!B87,39)&lt;&gt;"",INDEX(Properties!A$1:CB$87,Formula!B87,39)),IF(INDEX(Properties!A$1:CB$87,Formula!D87,39)&lt;&gt;"",INDEX(Properties!A$1:CB$87,Formula!D87,39)),IF(INDEX(Properties!A$1:CB$87,Formula!F87,39)&lt;&gt;"",INDEX(Properties!A$1:CB$87,Formula!F87,39)),IF(INDEX(Properties!A$1:CB$87,Formula!H87,39)&lt;&gt;"",INDEX(Properties!A$1:CB$87,Formula!H87,39)),IF(INDEX(Properties!A$1:CB$87,Formula!J87,39)&lt;&gt;"",INDEX(Properties!A$1:CB$87,Formula!J87,39)))</f>
        <v>0.54319999999999968</v>
      </c>
      <c r="DO87" s="45">
        <f>MAX(INDEX(Properties!A$1:CB$87,Formula!B87,39),INDEX(Properties!A$1:CB$87,Formula!D87,39),INDEX(Properties!A$1:CB$87,Formula!F87,39),INDEX(Properties!A$1:CB$87,Formula!H87,39),INDEX(Properties!A$1:CB$87,Formula!J87,39))</f>
        <v>1.94</v>
      </c>
      <c r="DP87" s="45">
        <f>MIN(IF(INDEX(Properties!A$1:CB$87,Formula!B87,39)=0,10^6,INDEX(Properties!A$1:CB$87,Formula!B87,39)),IF(INDEX(Properties!A$1:CB$87,Formula!D87,39)=0,10^6,INDEX(Properties!A$1:CB$87,Formula!D87,39)),IF(INDEX(Properties!A$1:CB$87,Formula!F87,39)=0,10^6,INDEX(Properties!A$1:CB$87,Formula!F87,39)),IF(INDEX(Properties!A$1:CB$87,Formula!H87,39)=0,10^6,INDEX(Properties!A$1:CB$87,Formula!H87,39)),IF(INDEX(Properties!A$1:CB$87,Formula!J87,39)=0,10^6,INDEX(Properties!A$1:CB$87,Formula!J87,39)))</f>
        <v>0.48</v>
      </c>
      <c r="DQ87" s="45">
        <f t="shared" si="51"/>
        <v>1.46</v>
      </c>
      <c r="DR87" s="63">
        <f>((Formula!C87)/(Formula!C87+Formula!E87+Formula!G87+Formula!I87+Formula!K87))*(INDEX(Properties!A$1:CB$87,Formula!B87,40))+((Formula!E87)/(Formula!C87+Formula!E87+Formula!G87+Formula!I87+Formula!K87))*(INDEX(Properties!A$1:CB$87,Formula!D87,40))+((Formula!G87)/(Formula!C87+Formula!E87+Formula!G87+Formula!I87+Formula!K87))*(INDEX(Properties!A$1:CB$87,Formula!F87,40))+((Formula!I87)/(Formula!C87+Formula!E87+Formula!G87+Formula!I87+Formula!K87))*(INDEX(Properties!A$1:CB$87,Formula!H87,40))+((Formula!K87)/(Formula!C87+Formula!E87+Formula!G87+Formula!I87+Formula!K87))*(INDEX(Properties!A$1:CB$87,Formula!J87,40))</f>
        <v>0.97272727272727266</v>
      </c>
      <c r="DS87" s="63">
        <f>Formula!C87*(INDEX(Properties!A$1:CB$87,Formula!B87,40))+Formula!E87*(INDEX(Properties!A$1:CB$87,Formula!D87,40))+Formula!G87*(INDEX(Properties!A$1:CB$87,Formula!F87,40))+Formula!I87*(INDEX(Properties!A$1:CB$87,Formula!H87,40))+Formula!K87*(INDEX(Properties!A$1:CB$87,Formula!J87,40))</f>
        <v>10.7</v>
      </c>
      <c r="DT87" s="63">
        <f>VARP(IF(INDEX(Properties!A$1:CB$87,Formula!B87,40)&lt;&gt;"",INDEX(Properties!A$1:CB$87,Formula!B87,40)),IF(INDEX(Properties!A$1:CB$87,Formula!D87,40)&lt;&gt;"",INDEX(Properties!A$1:CB$87,Formula!D87,40)),IF(INDEX(Properties!A$1:CB$87,Formula!F87,40)&lt;&gt;"",INDEX(Properties!A$1:CB$87,Formula!F87,40)),IF(INDEX(Properties!A$1:CB$87,Formula!H87,40)&lt;&gt;"",INDEX(Properties!A$1:CB$87,Formula!H87,40)),IF(INDEX(Properties!A$1:CB$87,Formula!J87,40)&lt;&gt;"",INDEX(Properties!A$1:CB$87,Formula!J87,40)))</f>
        <v>0.35779999999999956</v>
      </c>
      <c r="DU87" s="63">
        <f>MAX(INDEX(Properties!A$1:CB$87,Formula!B87,40),INDEX(Properties!A$1:CB$87,Formula!D87,40),INDEX(Properties!A$1:CB$87,Formula!F87,40),INDEX(Properties!A$1:CB$87,Formula!H87,40),INDEX(Properties!A$1:CB$87,Formula!J87,40))</f>
        <v>1.74</v>
      </c>
      <c r="DV87" s="63">
        <f>MIN(IF(INDEX(Properties!A$1:CB$87,Formula!B87,40)=0,10^6,INDEX(Properties!A$1:CB$87,Formula!B87,40)),IF(INDEX(Properties!A$1:CB$87,Formula!D87,40)=0,10^6,INDEX(Properties!A$1:CB$87,Formula!D87,40)),IF(INDEX(Properties!A$1:CB$87,Formula!F87,40)=0,10^6,INDEX(Properties!A$1:CB$87,Formula!F87,40)),IF(INDEX(Properties!A$1:CB$87,Formula!H87,40)=0,10^6,INDEX(Properties!A$1:CB$87,Formula!H87,40)),IF(INDEX(Properties!A$1:CB$87,Formula!J87,40)=0,10^6,INDEX(Properties!A$1:CB$87,Formula!J87,40)))</f>
        <v>0.73</v>
      </c>
      <c r="DW87" s="63">
        <f t="shared" si="52"/>
        <v>1.01</v>
      </c>
      <c r="DX87" s="75">
        <f>((Formula!C87)/(Formula!C87+Formula!E87+Formula!G87+Formula!I87+Formula!K87))*(INDEX(Properties!A$1:CB$87,Formula!B87,41))+((Formula!E87)/(Formula!C87+Formula!E87+Formula!G87+Formula!I87+Formula!K87))*(INDEX(Properties!A$1:CB$87,Formula!D87,41))+((Formula!G87)/(Formula!C87+Formula!E87+Formula!G87+Formula!I87+Formula!K87))*(INDEX(Properties!A$1:CB$87,Formula!F87,41))+((Formula!I87)/(Formula!C87+Formula!E87+Formula!G87+Formula!I87+Formula!K87))*(INDEX(Properties!A$1:CB$87,Formula!H87,41))+((Formula!K87)/(Formula!C87+Formula!E87+Formula!G87+Formula!I87+Formula!K87))*(INDEX(Properties!A$1:CB$87,Formula!J87,41))</f>
        <v>1.1436363636363636</v>
      </c>
      <c r="DY87" s="75">
        <f>Formula!C87*(INDEX(Properties!A$1:CB$87,Formula!B87,41))+Formula!E87*(INDEX(Properties!A$1:CB$87,Formula!D87,41))+Formula!G87*(INDEX(Properties!A$1:CB$87,Formula!F87,41))+Formula!I87*(INDEX(Properties!A$1:CB$87,Formula!H87,41))+Formula!K87*(INDEX(Properties!A$1:CB$87,Formula!J87,41))</f>
        <v>12.58</v>
      </c>
      <c r="DZ87" s="75">
        <f>VARP(IF(INDEX(Properties!A$1:CB$87,Formula!B87,41)&lt;&gt;"",INDEX(Properties!A$1:CB$87,Formula!B87,41)),IF(INDEX(Properties!A$1:CB$87,Formula!D87,41)&lt;&gt;"",INDEX(Properties!A$1:CB$87,Formula!D87,41)),IF(INDEX(Properties!A$1:CB$87,Formula!F87,41)&lt;&gt;"",INDEX(Properties!A$1:CB$87,Formula!F87,41)),IF(INDEX(Properties!A$1:CB$87,Formula!H87,41)&lt;&gt;"",INDEX(Properties!A$1:CB$87,Formula!H87,41)),IF(INDEX(Properties!A$1:CB$87,Formula!J87,41)&lt;&gt;"",INDEX(Properties!A$1:CB$87,Formula!J87,41)))</f>
        <v>0.19479999999999989</v>
      </c>
      <c r="EA87" s="75">
        <f>MAX(INDEX(Properties!A$1:CB$87,Formula!B87,41),INDEX(Properties!A$1:CB$87,Formula!D87,41),INDEX(Properties!A$1:CB$87,Formula!F87,41),INDEX(Properties!A$1:CB$87,Formula!H87,41),INDEX(Properties!A$1:CB$87,Formula!J87,41))</f>
        <v>1.26</v>
      </c>
      <c r="EB87" s="75">
        <f>MIN(IF(INDEX(Properties!A$1:CB$87,Formula!B87,41)=0,10^6,INDEX(Properties!A$1:CB$87,Formula!B87,41)),IF(INDEX(Properties!A$1:CB$87,Formula!D87,41)=0,10^6,INDEX(Properties!A$1:CB$87,Formula!D87,41)),IF(INDEX(Properties!A$1:CB$87,Formula!F87,41)=0,10^6,INDEX(Properties!A$1:CB$87,Formula!F87,41)),IF(INDEX(Properties!A$1:CB$87,Formula!H87,41)=0,10^6,INDEX(Properties!A$1:CB$87,Formula!H87,41)),IF(INDEX(Properties!A$1:CB$87,Formula!J87,41)=0,10^6,INDEX(Properties!A$1:CB$87,Formula!J87,41)))</f>
        <v>0.87</v>
      </c>
      <c r="EC87" s="75">
        <f t="shared" si="53"/>
        <v>0.39</v>
      </c>
      <c r="ED87" s="48">
        <f>((Formula!C87)/(Formula!C87+Formula!E87+Formula!G87+Formula!I87+Formula!K87))*(INDEX(Properties!A$1:CB$87,Formula!B87,45))+((Formula!E87)/(Formula!C87+Formula!E87+Formula!G87+Formula!I87+Formula!K87))*(INDEX(Properties!A$1:CB$87,Formula!D87,45))+((Formula!G87)/(Formula!C87+Formula!E87+Formula!G87+Formula!I87+Formula!K87))*(INDEX(Properties!A$1:CB$87,Formula!F87,45))+((Formula!I87)/(Formula!C87+Formula!E87+Formula!G87+Formula!I87+Formula!K87))*(INDEX(Properties!A$1:CB$87,Formula!H87,45))+((Formula!K87)/(Formula!C87+Formula!E87+Formula!G87+Formula!I87+Formula!K87))*(INDEX(Properties!A$1:CB$87,Formula!J87,45))</f>
        <v>1.1863636363636363</v>
      </c>
      <c r="EE87" s="48">
        <f>Formula!C87*(INDEX(Properties!A$1:CB$87,Formula!B87,45))+Formula!E87*(INDEX(Properties!A$1:CB$87,Formula!D87,45))+Formula!G87*(INDEX(Properties!A$1:CB$87,Formula!F87,45))+Formula!I87*(INDEX(Properties!A$1:CB$87,Formula!H87,45))+Formula!K87*(INDEX(Properties!A$1:CB$87,Formula!J87,45))</f>
        <v>13.05</v>
      </c>
      <c r="EF87" s="48">
        <f>VARP(IF(INDEX(Properties!A$1:CB$87,Formula!B87,45)&lt;&gt;"",INDEX(Properties!A$1:CB$87,Formula!B87,45)),IF(INDEX(Properties!A$1:CB$87,Formula!D87,45)&lt;&gt;"",INDEX(Properties!A$1:CB$87,Formula!D87,45)),IF(INDEX(Properties!A$1:CB$87,Formula!F87,45)&lt;&gt;"",INDEX(Properties!A$1:CB$87,Formula!F87,45)),IF(INDEX(Properties!A$1:CB$87,Formula!H87,45)&lt;&gt;"",INDEX(Properties!A$1:CB$87,Formula!H87,45)),IF(INDEX(Properties!A$1:CB$87,Formula!J87,45)&lt;&gt;"",INDEX(Properties!A$1:CB$87,Formula!J87,45)))</f>
        <v>1.314416</v>
      </c>
      <c r="EG87" s="48">
        <f>MAX(INDEX(Properties!A$1:CB$87,Formula!B87,45),INDEX(Properties!A$1:CB$87,Formula!D87,45),INDEX(Properties!A$1:CB$87,Formula!F87,45),INDEX(Properties!A$1:CB$87,Formula!H87,45),INDEX(Properties!A$1:CB$87,Formula!J87,45))</f>
        <v>3</v>
      </c>
      <c r="EH87" s="48">
        <f>MIN(IF(INDEX(Properties!A$1:CB$87,Formula!B87,45)=0,10^6,INDEX(Properties!A$1:CB$87,Formula!B87,45)),IF(INDEX(Properties!A$1:CB$87,Formula!D87,45)=0,10^6,INDEX(Properties!A$1:CB$87,Formula!D87,45)),IF(INDEX(Properties!A$1:CB$87,Formula!F87,45)=0,10^6,INDEX(Properties!A$1:CB$87,Formula!F87,45)),IF(INDEX(Properties!A$1:CB$87,Formula!H87,45)=0,10^6,INDEX(Properties!A$1:CB$87,Formula!H87,45)),IF(INDEX(Properties!A$1:CB$87,Formula!J87,45)=0,10^6,INDEX(Properties!A$1:CB$87,Formula!J87,45)))</f>
        <v>0.47</v>
      </c>
      <c r="EI87" s="48">
        <f t="shared" si="54"/>
        <v>2.5300000000000002</v>
      </c>
      <c r="EJ87" s="66">
        <f>((Formula!C87)/(Formula!C87+Formula!E87+Formula!G87+Formula!I87+Formula!K87))*(INDEX(Properties!A$1:CB$87,Formula!B87,46))+((Formula!E87)/(Formula!C87+Formula!E87+Formula!G87+Formula!I87+Formula!K87))*(INDEX(Properties!A$1:CB$87,Formula!D87,46))+((Formula!G87)/(Formula!C87+Formula!E87+Formula!G87+Formula!I87+Formula!K87))*(INDEX(Properties!A$1:CB$87,Formula!F87,46))+((Formula!I87)/(Formula!C87+Formula!E87+Formula!G87+Formula!I87+Formula!K87))*(INDEX(Properties!A$1:CB$87,Formula!H87,46))+((Formula!K87)/(Formula!C87+Formula!E87+Formula!G87+Formula!I87+Formula!K87))*(INDEX(Properties!A$1:CB$87,Formula!J87,46))</f>
        <v>1.0790909090909091</v>
      </c>
      <c r="EK87" s="66">
        <f>Formula!C87*(INDEX(Properties!A$1:CB$87,Formula!B87,46))+Formula!E87*(INDEX(Properties!A$1:CB$87,Formula!D87,46))+Formula!G87*(INDEX(Properties!A$1:CB$87,Formula!F87,46))+Formula!I87*(INDEX(Properties!A$1:CB$87,Formula!H87,46))+Formula!K87*(INDEX(Properties!A$1:CB$87,Formula!J87,46))</f>
        <v>11.87</v>
      </c>
      <c r="EL87" s="66">
        <f>VARP(IF(INDEX(Properties!A$1:CB$87,Formula!B87,46)&lt;&gt;"",INDEX(Properties!A$1:CB$87,Formula!B87,46)),IF(INDEX(Properties!A$1:CB$87,Formula!D87,46)&lt;&gt;"",INDEX(Properties!A$1:CB$87,Formula!D87,46)),IF(INDEX(Properties!A$1:CB$87,Formula!F87,46)&lt;&gt;"",INDEX(Properties!A$1:CB$87,Formula!F87,46)),IF(INDEX(Properties!A$1:CB$87,Formula!H87,46)&lt;&gt;"",INDEX(Properties!A$1:CB$87,Formula!H87,46)),IF(INDEX(Properties!A$1:CB$87,Formula!J87,46)&lt;&gt;"",INDEX(Properties!A$1:CB$87,Formula!J87,46)))</f>
        <v>0.18487999999999999</v>
      </c>
      <c r="EM87" s="66">
        <f>MAX(INDEX(Properties!A$1:CB$87,Formula!B87,46),INDEX(Properties!A$1:CB$87,Formula!D87,46),INDEX(Properties!A$1:CB$87,Formula!F87,46),INDEX(Properties!A$1:CB$87,Formula!H87,46),INDEX(Properties!A$1:CB$87,Formula!J87,46))</f>
        <v>1.21</v>
      </c>
      <c r="EN87" s="66">
        <f>MIN(IF(INDEX(Properties!A$1:CB$87,Formula!B87,46)=0,10^6,INDEX(Properties!A$1:CB$87,Formula!B87,46)),IF(INDEX(Properties!A$1:CB$87,Formula!D87,46)=0,10^6,INDEX(Properties!A$1:CB$87,Formula!D87,46)),IF(INDEX(Properties!A$1:CB$87,Formula!F87,46)=0,10^6,INDEX(Properties!A$1:CB$87,Formula!F87,46)),IF(INDEX(Properties!A$1:CB$87,Formula!H87,46)=0,10^6,INDEX(Properties!A$1:CB$87,Formula!H87,46)),IF(INDEX(Properties!A$1:CB$87,Formula!J87,46)=0,10^6,INDEX(Properties!A$1:CB$87,Formula!J87,46)))</f>
        <v>0.74</v>
      </c>
      <c r="EO87" s="66">
        <f t="shared" si="55"/>
        <v>0.47</v>
      </c>
      <c r="EP87" s="81">
        <f>((Formula!C87)/(Formula!C87+Formula!E87+Formula!G87+Formula!I87+Formula!K87))*(INDEX(Properties!A$1:CB$87,Formula!B87,52))+((Formula!E87)/(Formula!C87+Formula!E87+Formula!G87+Formula!I87+Formula!K87))*(INDEX(Properties!A$1:CB$87,Formula!D87,52))+((Formula!G87)/(Formula!C87+Formula!E87+Formula!G87+Formula!I87+Formula!K87))*(INDEX(Properties!A$1:CB$87,Formula!F87,52))+((Formula!I87)/(Formula!C87+Formula!E87+Formula!G87+Formula!I87+Formula!K87))*(INDEX(Properties!A$1:CB$87,Formula!H87,52))+((Formula!K87)/(Formula!C87+Formula!E87+Formula!G87+Formula!I87+Formula!K87))*(INDEX(Properties!A$1:CB$87,Formula!J87,52))</f>
        <v>5.268272727272727</v>
      </c>
      <c r="EQ87" s="81">
        <f>Formula!C87*(INDEX(Properties!A$1:CB$87,Formula!B87,52))+Formula!E87*(INDEX(Properties!A$1:CB$87,Formula!D87,52))+Formula!G87*(INDEX(Properties!A$1:CB$87,Formula!F87,52))+Formula!I87*(INDEX(Properties!A$1:CB$87,Formula!H87,52))+Formula!K87*(INDEX(Properties!A$1:CB$87,Formula!J87,52))</f>
        <v>57.951000000000008</v>
      </c>
      <c r="ER87" s="81">
        <f>VARP(IF(INDEX(Properties!A$1:CB$87,Formula!B87,52)&lt;&gt;"",INDEX(Properties!A$1:CB$87,Formula!B87,52)),IF(INDEX(Properties!A$1:CB$87,Formula!D87,52)&lt;&gt;"",INDEX(Properties!A$1:CB$87,Formula!D87,52)),IF(INDEX(Properties!A$1:CB$87,Formula!F87,52)&lt;&gt;"",INDEX(Properties!A$1:CB$87,Formula!F87,52)),IF(INDEX(Properties!A$1:CB$87,Formula!H87,52)&lt;&gt;"",INDEX(Properties!A$1:CB$87,Formula!H87,52)),IF(INDEX(Properties!A$1:CB$87,Formula!J87,52)&lt;&gt;"",INDEX(Properties!A$1:CB$87,Formula!J87,52)))</f>
        <v>69.998663840000006</v>
      </c>
      <c r="ES87" s="81">
        <f>MAX(INDEX(Properties!A$1:CB$87,Formula!B87,52),INDEX(Properties!A$1:CB$87,Formula!D87,52),INDEX(Properties!A$1:CB$87,Formula!F87,52),INDEX(Properties!A$1:CB$87,Formula!H87,52),INDEX(Properties!A$1:CB$87,Formula!J87,52))</f>
        <v>22.8</v>
      </c>
      <c r="ET87" s="81">
        <f>MIN(IF(INDEX(Properties!A$1:CB$87,Formula!B87,52)=0,10^6,INDEX(Properties!A$1:CB$87,Formula!B87,52)),IF(INDEX(Properties!A$1:CB$87,Formula!D87,52)=0,10^6,INDEX(Properties!A$1:CB$87,Formula!D87,52)),IF(INDEX(Properties!A$1:CB$87,Formula!F87,52)=0,10^6,INDEX(Properties!A$1:CB$87,Formula!F87,52)),IF(INDEX(Properties!A$1:CB$87,Formula!H87,52)=0,10^6,INDEX(Properties!A$1:CB$87,Formula!H87,52)),IF(INDEX(Properties!A$1:CB$87,Formula!J87,52)=0,10^6,INDEX(Properties!A$1:CB$87,Formula!J87,52)))</f>
        <v>0.79300000000000004</v>
      </c>
      <c r="EU87" s="81">
        <f t="shared" si="56"/>
        <v>22.007000000000001</v>
      </c>
      <c r="EV87" s="39">
        <f>((Formula!C87)/(Formula!C87+Formula!E87+Formula!G87+Formula!I87+Formula!K87))*(INDEX(Properties!A$1:CB$87,Formula!B87,53))+((Formula!E87)/(Formula!C87+Formula!E87+Formula!G87+Formula!I87+Formula!K87))*(INDEX(Properties!A$1:CB$87,Formula!D87,53))+((Formula!G87)/(Formula!C87+Formula!E87+Formula!G87+Formula!I87+Formula!K87))*(INDEX(Properties!A$1:CB$87,Formula!F87,53))+((Formula!I87)/(Formula!C87+Formula!E87+Formula!G87+Formula!I87+Formula!K87))*(INDEX(Properties!A$1:CB$87,Formula!H87,53))+((Formula!K87)/(Formula!C87+Formula!E87+Formula!G87+Formula!I87+Formula!K87))*(INDEX(Properties!A$1:CB$87,Formula!J87,53))</f>
        <v>586.2227272727273</v>
      </c>
      <c r="EW87" s="39">
        <f>Formula!C87*(INDEX(Properties!A$1:CB$87,Formula!B87,53))+Formula!E87*(INDEX(Properties!A$1:CB$87,Formula!D87,53))+Formula!G87*(INDEX(Properties!A$1:CB$87,Formula!F87,53))+Formula!I87*(INDEX(Properties!A$1:CB$87,Formula!H87,53))+Formula!K87*(INDEX(Properties!A$1:CB$87,Formula!J87,53))</f>
        <v>6448.4500000000007</v>
      </c>
      <c r="EX87" s="39">
        <f>VARP(IF(INDEX(Properties!A$1:CB$87,Formula!B87,53)&lt;&gt;"",INDEX(Properties!A$1:CB$87,Formula!B87,53)),IF(INDEX(Properties!A$1:CB$87,Formula!D87,53)&lt;&gt;"",INDEX(Properties!A$1:CB$87,Formula!D87,53)),IF(INDEX(Properties!A$1:CB$87,Formula!F87,53)&lt;&gt;"",INDEX(Properties!A$1:CB$87,Formula!F87,53)),IF(INDEX(Properties!A$1:CB$87,Formula!H87,53)&lt;&gt;"",INDEX(Properties!A$1:CB$87,Formula!H87,53)),IF(INDEX(Properties!A$1:CB$87,Formula!J87,53)&lt;&gt;"",INDEX(Properties!A$1:CB$87,Formula!J87,53)))</f>
        <v>614723.19240000006</v>
      </c>
      <c r="EY87" s="39">
        <f>MAX(INDEX(Properties!A$1:CB$87,Formula!B87,53),INDEX(Properties!A$1:CB$87,Formula!D87,53),INDEX(Properties!A$1:CB$87,Formula!F87,53),INDEX(Properties!A$1:CB$87,Formula!H87,53),INDEX(Properties!A$1:CB$87,Formula!J87,53))</f>
        <v>2130.15</v>
      </c>
      <c r="EZ87" s="39">
        <f>MIN(IF(INDEX(Properties!A$1:CB$87,Formula!B87,53)=0,10^6,INDEX(Properties!A$1:CB$87,Formula!B87,53)),IF(INDEX(Properties!A$1:CB$87,Formula!D87,53)=0,10^6,INDEX(Properties!A$1:CB$87,Formula!D87,53)),IF(INDEX(Properties!A$1:CB$87,Formula!F87,53)=0,10^6,INDEX(Properties!A$1:CB$87,Formula!F87,53)),IF(INDEX(Properties!A$1:CB$87,Formula!H87,53)=0,10^6,INDEX(Properties!A$1:CB$87,Formula!H87,53)),IF(INDEX(Properties!A$1:CB$87,Formula!J87,53)=0,10^6,INDEX(Properties!A$1:CB$87,Formula!J87,53)))</f>
        <v>54.749999999999972</v>
      </c>
      <c r="FA87" s="39">
        <f t="shared" si="57"/>
        <v>2075.4</v>
      </c>
      <c r="FB87" s="54">
        <f>((Formula!C87)/(Formula!C87+Formula!E87+Formula!G87+Formula!I87+Formula!K87))*(INDEX(Properties!A$1:CB$87,Formula!B87,54))+((Formula!E87)/(Formula!C87+Formula!E87+Formula!G87+Formula!I87+Formula!K87))*(INDEX(Properties!A$1:CB$87,Formula!D87,54))+((Formula!G87)/(Formula!C87+Formula!E87+Formula!G87+Formula!I87+Formula!K87))*(INDEX(Properties!A$1:CB$87,Formula!F87,54))+((Formula!I87)/(Formula!C87+Formula!E87+Formula!G87+Formula!I87+Formula!K87))*(INDEX(Properties!A$1:CB$87,Formula!H87,54))+((Formula!K87)/(Formula!C87+Formula!E87+Formula!G87+Formula!I87+Formula!K87))*(INDEX(Properties!A$1:CB$87,Formula!J87,54))</f>
        <v>859.78636363636372</v>
      </c>
      <c r="FC87" s="54">
        <f>Formula!C87*(INDEX(Properties!A$1:CB$87,Formula!B87,54))+Formula!E87*(INDEX(Properties!A$1:CB$87,Formula!D87,54))+Formula!G87*(INDEX(Properties!A$1:CB$87,Formula!F87,54))+Formula!I87*(INDEX(Properties!A$1:CB$87,Formula!H87,54))+Formula!K87*(INDEX(Properties!A$1:CB$87,Formula!J87,54))</f>
        <v>9457.65</v>
      </c>
      <c r="FD87" s="54">
        <f>VARP(IF(INDEX(Properties!A$1:CB$87,Formula!B87,54)&lt;&gt;"",INDEX(Properties!A$1:CB$87,Formula!B87,54)),IF(INDEX(Properties!A$1:CB$87,Formula!D87,54)&lt;&gt;"",INDEX(Properties!A$1:CB$87,Formula!D87,54)),IF(INDEX(Properties!A$1:CB$87,Formula!F87,54)&lt;&gt;"",INDEX(Properties!A$1:CB$87,Formula!F87,54)),IF(INDEX(Properties!A$1:CB$87,Formula!H87,54)&lt;&gt;"",INDEX(Properties!A$1:CB$87,Formula!H87,54)),IF(INDEX(Properties!A$1:CB$87,Formula!J87,54)&lt;&gt;"",INDEX(Properties!A$1:CB$87,Formula!J87,54)))</f>
        <v>1205601.0156000003</v>
      </c>
      <c r="FE87" s="54">
        <f>MAX(INDEX(Properties!A$1:CB$87,Formula!B87,54),INDEX(Properties!A$1:CB$87,Formula!D87,54),INDEX(Properties!A$1:CB$87,Formula!F87,54),INDEX(Properties!A$1:CB$87,Formula!H87,54),INDEX(Properties!A$1:CB$87,Formula!J87,54))</f>
        <v>2945.15</v>
      </c>
      <c r="FF87" s="54">
        <f>MIN(IF(INDEX(Properties!A$1:CB$87,Formula!B87,54)=0,10^6,INDEX(Properties!A$1:CB$87,Formula!B87,54)),IF(INDEX(Properties!A$1:CB$87,Formula!D87,54)=0,10^6,INDEX(Properties!A$1:CB$87,Formula!D87,54)),IF(INDEX(Properties!A$1:CB$87,Formula!F87,54)=0,10^6,INDEX(Properties!A$1:CB$87,Formula!F87,54)),IF(INDEX(Properties!A$1:CB$87,Formula!H87,54)=0,10^6,INDEX(Properties!A$1:CB$87,Formula!H87,54)),IF(INDEX(Properties!A$1:CB$87,Formula!J87,54)=0,10^6,INDEX(Properties!A$1:CB$87,Formula!J87,54)))</f>
        <v>90.149999999999977</v>
      </c>
      <c r="FG87" s="54">
        <f t="shared" si="58"/>
        <v>2855</v>
      </c>
      <c r="FH87" s="69">
        <f>((Formula!C87)/(Formula!C87+Formula!E87+Formula!G87+Formula!I87+Formula!K87))*(INDEX(Properties!A$1:CB$87,Formula!B87,55))+((Formula!E87)/(Formula!C87+Formula!E87+Formula!G87+Formula!I87+Formula!K87))*(INDEX(Properties!A$1:CB$87,Formula!D87,55))+((Formula!G87)/(Formula!C87+Formula!E87+Formula!G87+Formula!I87+Formula!K87))*(INDEX(Properties!A$1:CB$87,Formula!F87,55))+((Formula!I87)/(Formula!C87+Formula!E87+Formula!G87+Formula!I87+Formula!K87))*(INDEX(Properties!A$1:CB$87,Formula!H87,55))+((Formula!K87)/(Formula!C87+Formula!E87+Formula!G87+Formula!I87+Formula!K87))*(INDEX(Properties!A$1:CB$87,Formula!J87,55))</f>
        <v>2.0972736363636368</v>
      </c>
      <c r="FI87" s="69">
        <f>Formula!C87*(INDEX(Properties!A$1:CB$87,Formula!B87,55))+Formula!E87*(INDEX(Properties!A$1:CB$87,Formula!D87,54))+Formula!G87*(INDEX(Properties!A$1:CB$87,Formula!F87,55))+Formula!I87*(INDEX(Properties!A$1:CB$87,Formula!H87,55))+Formula!K87*(INDEX(Properties!A$1:CB$87,Formula!J87,55))</f>
        <v>1195.0900100000001</v>
      </c>
      <c r="FJ87" s="69">
        <f>VARP(IF(INDEX(Properties!A$1:CB$87,Formula!B87,55)&lt;&gt;"",INDEX(Properties!A$1:CB$87,Formula!B87,55)),IF(INDEX(Properties!A$1:CB$87,Formula!D87,55)&lt;&gt;"",INDEX(Properties!A$1:CB$87,Formula!D87,55)),IF(INDEX(Properties!A$1:CB$87,Formula!F87,55)&lt;&gt;"",INDEX(Properties!A$1:CB$87,Formula!F87,55)),IF(INDEX(Properties!A$1:CB$87,Formula!H87,55)&lt;&gt;"",INDEX(Properties!A$1:CB$87,Formula!H87,55)),IF(INDEX(Properties!A$1:CB$87,Formula!J87,55)&lt;&gt;"",INDEX(Properties!A$1:CB$87,Formula!J87,55)))</f>
        <v>10.911008799184005</v>
      </c>
      <c r="FK87" s="69">
        <f>MAX(INDEX(Properties!A$1:CB$87,Formula!B87,55),INDEX(Properties!A$1:CB$87,Formula!D87,55),INDEX(Properties!A$1:CB$87,Formula!F87,55),INDEX(Properties!A$1:CB$87,Formula!H87,55),INDEX(Properties!A$1:CB$87,Formula!J87,55))</f>
        <v>7.19</v>
      </c>
      <c r="FL87" s="69">
        <f>MIN(IF(INDEX(Properties!A$1:CB$87,Formula!B87,55)=0,10^6,INDEX(Properties!A$1:CB$87,Formula!B87,55)),IF(INDEX(Properties!A$1:CB$87,Formula!D87,55)=0,10^6,INDEX(Properties!A$1:CB$87,Formula!D87,55)),IF(INDEX(Properties!A$1:CB$87,Formula!F87,55)=0,10^6,INDEX(Properties!A$1:CB$87,Formula!F87,55)),IF(INDEX(Properties!A$1:CB$87,Formula!H87,55)=0,10^6,INDEX(Properties!A$1:CB$87,Formula!H87,55)),IF(INDEX(Properties!A$1:CB$87,Formula!J87,55)=0,10^6,INDEX(Properties!A$1:CB$87,Formula!J87,55)))</f>
        <v>1.4300000000000001E-3</v>
      </c>
      <c r="FM87" s="69">
        <f t="shared" si="59"/>
        <v>7.1885700000000003</v>
      </c>
      <c r="FN87" s="42">
        <f>((Formula!C87)/(Formula!C87+Formula!E87+Formula!G87+Formula!I87+Formula!K87))*(INDEX(Properties!A$1:CB$87,Formula!B87,56))+((Formula!E87)/(Formula!C87+Formula!E87+Formula!G87+Formula!I87+Formula!K87))*(INDEX(Properties!A$1:CB$87,Formula!D87,56))+((Formula!G87)/(Formula!C87+Formula!E87+Formula!G87+Formula!I87+Formula!K87))*(INDEX(Properties!A$1:CB$87,Formula!F87,56))+((Formula!I87)/(Formula!C87+Formula!E87+Formula!G87+Formula!I87+Formula!K87))*(INDEX(Properties!A$1:CB$87,Formula!H87,56))+((Formula!K87)/(Formula!C87+Formula!E87+Formula!G87+Formula!I87+Formula!K87))*(INDEX(Properties!A$1:CB$87,Formula!J87,56))</f>
        <v>0.76</v>
      </c>
      <c r="FO87" s="42">
        <f>Formula!C87*(INDEX(Properties!A$1:CB$87,Formula!B87,56))+Formula!E87*(INDEX(Properties!A$1:CB$87,Formula!D87,56))+Formula!G87*(INDEX(Properties!A$1:CB$87,Formula!F87,56))+Formula!I87*(INDEX(Properties!A$1:CB$87,Formula!H87,56))+Formula!K87*(INDEX(Properties!A$1:CB$87,Formula!J87,56))</f>
        <v>8.36</v>
      </c>
      <c r="FP87" s="42">
        <f>VARP(IF(INDEX(Properties!A$1:CB$87,Formula!B87,56)&lt;&gt;"",INDEX(Properties!A$1:CB$87,Formula!B87,56)),IF(INDEX(Properties!A$1:CB$87,Formula!D87,56)&lt;&gt;"",INDEX(Properties!A$1:CB$87,Formula!D87,56)),IF(INDEX(Properties!A$1:CB$87,Formula!F87,56)&lt;&gt;"",INDEX(Properties!A$1:CB$87,Formula!F87,56)),IF(INDEX(Properties!A$1:CB$87,Formula!H87,56)&lt;&gt;"",INDEX(Properties!A$1:CB$87,Formula!H87,56)),IF(INDEX(Properties!A$1:CB$87,Formula!J87,56)&lt;&gt;"",INDEX(Properties!A$1:CB$87,Formula!J87,56)))</f>
        <v>9.109600000000001E-2</v>
      </c>
      <c r="FQ87" s="42">
        <f>MAX(INDEX(Properties!A$1:CB$87,Formula!B87,56),INDEX(Properties!A$1:CB$87,Formula!D87,56),INDEX(Properties!A$1:CB$87,Formula!F87,56),INDEX(Properties!A$1:CB$87,Formula!H87,56),INDEX(Properties!A$1:CB$87,Formula!J87,56))</f>
        <v>0.92</v>
      </c>
      <c r="FR87" s="42">
        <f>MIN(IF(INDEX(Properties!A$1:CB$87,Formula!B87,56)=0,10^6,INDEX(Properties!A$1:CB$87,Formula!B87,56)),IF(INDEX(Properties!A$1:CB$87,Formula!D87,56)=0,10^6,INDEX(Properties!A$1:CB$87,Formula!D87,56)),IF(INDEX(Properties!A$1:CB$87,Formula!F87,56)=0,10^6,INDEX(Properties!A$1:CB$87,Formula!F87,56)),IF(INDEX(Properties!A$1:CB$87,Formula!H87,56)=0,10^6,INDEX(Properties!A$1:CB$87,Formula!H87,56)),IF(INDEX(Properties!A$1:CB$87,Formula!J87,56)=0,10^6,INDEX(Properties!A$1:CB$87,Formula!J87,56)))</f>
        <v>0.39</v>
      </c>
      <c r="FS87" s="42">
        <f t="shared" si="60"/>
        <v>0.53</v>
      </c>
      <c r="FT87" s="60">
        <f>((Formula!C87)/(Formula!C87+Formula!E87+Formula!G87+Formula!I87+Formula!K87))*(INDEX(Properties!A$1:CB$87,Formula!B87,57))+((Formula!E87)/(Formula!C87+Formula!E87+Formula!G87+Formula!I87+Formula!K87))*(INDEX(Properties!A$1:CB$87,Formula!D87,57))+((Formula!G87)/(Formula!C87+Formula!E87+Formula!G87+Formula!I87+Formula!K87))*(INDEX(Properties!A$1:CB$87,Formula!F87,57))+((Formula!I87)/(Formula!C87+Formula!E87+Formula!G87+Formula!I87+Formula!K87))*(INDEX(Properties!A$1:CB$87,Formula!H87,57))+((Formula!K87)/(Formula!C87+Formula!E87+Formula!G87+Formula!I87+Formula!K87))*(INDEX(Properties!A$1:CB$87,Formula!J87,57))</f>
        <v>4.6563754545454543</v>
      </c>
      <c r="FU87" s="60">
        <f>Formula!C87*(INDEX(Properties!A$1:CB$87,Formula!B87,57))+Formula!E87*(INDEX(Properties!A$1:CB$87,Formula!D87,57))+Formula!G87*(INDEX(Properties!A$1:CB$87,Formula!F87,57))+Formula!I87*(INDEX(Properties!A$1:CB$87,Formula!H87,57))+Formula!K87*(INDEX(Properties!A$1:CB$87,Formula!J87,57))</f>
        <v>51.22012999999999</v>
      </c>
      <c r="FV87" s="60">
        <f>VARP(IF(INDEX(Properties!A$1:CB$87,Formula!B87,57)&lt;&gt;"",INDEX(Properties!A$1:CB$87,Formula!B87,57)),IF(INDEX(Properties!A$1:CB$87,Formula!D87,57)&lt;&gt;"",INDEX(Properties!A$1:CB$87,Formula!D87,57)),IF(INDEX(Properties!A$1:CB$87,Formula!F87,57)&lt;&gt;"",INDEX(Properties!A$1:CB$87,Formula!F87,57)),IF(INDEX(Properties!A$1:CB$87,Formula!H87,57)&lt;&gt;"",INDEX(Properties!A$1:CB$87,Formula!H87,57)),IF(INDEX(Properties!A$1:CB$87,Formula!J87,57)&lt;&gt;"",INDEX(Properties!A$1:CB$87,Formula!J87,57)))</f>
        <v>38.921238962896005</v>
      </c>
      <c r="FW87" s="60">
        <f>MAX(INDEX(Properties!A$1:CB$87,Formula!B87,57),INDEX(Properties!A$1:CB$87,Formula!D87,57),INDEX(Properties!A$1:CB$87,Formula!F87,57),INDEX(Properties!A$1:CB$87,Formula!H87,57),INDEX(Properties!A$1:CB$87,Formula!J87,57))</f>
        <v>16.899999999999999</v>
      </c>
      <c r="FX87" s="60">
        <f>MIN(IF(INDEX(Properties!A$1:CB$87,Formula!B87,57)=0,10^6,INDEX(Properties!A$1:CB$87,Formula!B87,57)),IF(INDEX(Properties!A$1:CB$87,Formula!D87,57)=0,10^6,INDEX(Properties!A$1:CB$87,Formula!D87,57)),IF(INDEX(Properties!A$1:CB$87,Formula!F87,57)=0,10^6,INDEX(Properties!A$1:CB$87,Formula!F87,57)),IF(INDEX(Properties!A$1:CB$87,Formula!H87,57)=0,10^6,INDEX(Properties!A$1:CB$87,Formula!H87,57)),IF(INDEX(Properties!A$1:CB$87,Formula!J87,57)=0,10^6,INDEX(Properties!A$1:CB$87,Formula!J87,57)))</f>
        <v>0.22259000000000001</v>
      </c>
      <c r="FY87" s="60">
        <f t="shared" si="61"/>
        <v>16.677409999999998</v>
      </c>
      <c r="FZ87" s="72">
        <f>((Formula!C87)/(Formula!C87+Formula!E87+Formula!G87+Formula!I87+Formula!K87))*(INDEX(Properties!A$1:CB$87,Formula!B87,60))+((Formula!E87)/(Formula!C87+Formula!E87+Formula!G87+Formula!I87+Formula!K87))*(INDEX(Properties!A$1:CB$87,Formula!D87,60))+((Formula!G87)/(Formula!C87+Formula!E87+Formula!G87+Formula!I87+Formula!K87))*(INDEX(Properties!A$1:CB$87,Formula!F87,60))+((Formula!I87)/(Formula!C87+Formula!E87+Formula!G87+Formula!I87+Formula!K87))*(INDEX(Properties!A$1:CB$87,Formula!H87,60))+((Formula!K87)/(Formula!C87+Formula!E87+Formula!G87+Formula!I87+Formula!K87))*(INDEX(Properties!A$1:CB$87,Formula!J87,60))</f>
        <v>45.780652727272731</v>
      </c>
      <c r="GA87" s="72">
        <f>Formula!C87*(INDEX(Properties!A$1:CB$87,Formula!B87,60))+Formula!E87*(INDEX(Properties!A$1:CB$87,Formula!D87,60))+Formula!G87*(INDEX(Properties!A$1:CB$87,Formula!F87,60))+Formula!I87*(INDEX(Properties!A$1:CB$87,Formula!H87,60))+Formula!K87*(INDEX(Properties!A$1:CB$87,Formula!J87,60))</f>
        <v>503.58717999999999</v>
      </c>
      <c r="GB87" s="72">
        <f>VARP(IF(INDEX(Properties!A$1:CB$87,Formula!B87,60)&lt;&gt;"",INDEX(Properties!A$1:CB$87,Formula!B87,60)),IF(INDEX(Properties!A$1:CB$87,Formula!D87,60)&lt;&gt;"",INDEX(Properties!A$1:CB$87,Formula!D87,60)),IF(INDEX(Properties!A$1:CB$87,Formula!F87,60)&lt;&gt;"",INDEX(Properties!A$1:CB$87,Formula!F87,60)),IF(INDEX(Properties!A$1:CB$87,Formula!H87,60)&lt;&gt;"",INDEX(Properties!A$1:CB$87,Formula!H87,60)),IF(INDEX(Properties!A$1:CB$87,Formula!J87,60)&lt;&gt;"",INDEX(Properties!A$1:CB$87,Formula!J87,60)))</f>
        <v>5732.0980841644159</v>
      </c>
      <c r="GC87" s="72">
        <f>MAX(INDEX(Properties!A$1:CB$87,Formula!B87,60),INDEX(Properties!A$1:CB$87,Formula!D87,60),INDEX(Properties!A$1:CB$87,Formula!F87,60),INDEX(Properties!A$1:CB$87,Formula!H87,60),INDEX(Properties!A$1:CB$87,Formula!J87,60))</f>
        <v>200</v>
      </c>
      <c r="GD87" s="72">
        <f>MIN(IF(INDEX(Properties!A$1:CB$87,Formula!B87,60)=0,10^6,INDEX(Properties!A$1:CB$87,Formula!B87,60)),IF(INDEX(Properties!A$1:CB$87,Formula!D87,60)=0,10^6,INDEX(Properties!A$1:CB$87,Formula!D87,60)),IF(INDEX(Properties!A$1:CB$87,Formula!F87,60)=0,10^6,INDEX(Properties!A$1:CB$87,Formula!F87,60)),IF(INDEX(Properties!A$1:CB$87,Formula!H87,60)=0,10^6,INDEX(Properties!A$1:CB$87,Formula!H87,60)),IF(INDEX(Properties!A$1:CB$87,Formula!J87,60)=0,10^6,INDEX(Properties!A$1:CB$87,Formula!J87,60)))</f>
        <v>2.674E-2</v>
      </c>
      <c r="GE87" s="72">
        <f t="shared" si="62"/>
        <v>199.97326000000001</v>
      </c>
      <c r="GF87" s="51">
        <f>((Formula!C87)/(Formula!C87+Formula!E87+Formula!G87+Formula!I87+Formula!K87))*(INDEX(Properties!A$1:CB$87,Formula!B87,62))+((Formula!E87)/(Formula!C87+Formula!E87+Formula!G87+Formula!I87+Formula!K87))*(INDEX(Properties!A$1:CB$87,Formula!D87,62))+((Formula!G87)/(Formula!C87+Formula!E87+Formula!G87+Formula!I87+Formula!K87))*(INDEX(Properties!A$1:CB$87,Formula!F87,62))+((Formula!I87)/(Formula!C87+Formula!E87+Formula!G87+Formula!I87+Formula!K87))*(INDEX(Properties!A$1:CB$87,Formula!H87,62))+((Formula!K87)/(Formula!C87+Formula!E87+Formula!G87+Formula!I87+Formula!K87))*(INDEX(Properties!A$1:CB$87,Formula!J87,62))</f>
        <v>2.7027272727272726</v>
      </c>
      <c r="GG87" s="51">
        <f>Formula!C87*(INDEX(Properties!A$1:CB$87,Formula!B87,62))+Formula!E87*(INDEX(Properties!A$1:CB$87,Formula!D87,62))+Formula!G87*(INDEX(Properties!A$1:CB$87,Formula!F87,62))+Formula!I87*(INDEX(Properties!A$1:CB$87,Formula!H87,62))+Formula!K87*(INDEX(Properties!A$1:CB$87,Formula!J87,62))</f>
        <v>29.73</v>
      </c>
      <c r="GH87" s="51">
        <f>VARP(IF(INDEX(Properties!A$1:CB$87,Formula!B87,62)&lt;&gt;"",INDEX(Properties!A$1:CB$87,Formula!B87,62)),IF(INDEX(Properties!A$1:CB$87,Formula!D87,62)&lt;&gt;"",INDEX(Properties!A$1:CB$87,Formula!D87,62)),IF(INDEX(Properties!A$1:CB$87,Formula!F87,62)&lt;&gt;"",INDEX(Properties!A$1:CB$87,Formula!F87,62)),IF(INDEX(Properties!A$1:CB$87,Formula!H87,62)&lt;&gt;"",INDEX(Properties!A$1:CB$87,Formula!H87,62)),IF(INDEX(Properties!A$1:CB$87,Formula!J87,62)&lt;&gt;"",INDEX(Properties!A$1:CB$87,Formula!J87,62)))</f>
        <v>1.8481759999999996</v>
      </c>
      <c r="GI87" s="51">
        <f>MAX(INDEX(Properties!A$1:CB$87,Formula!B87,62),INDEX(Properties!A$1:CB$87,Formula!D87,62),INDEX(Properties!A$1:CB$87,Formula!F87,62),INDEX(Properties!A$1:CB$87,Formula!H87,62),INDEX(Properties!A$1:CB$87,Formula!J87,62))</f>
        <v>4.0999999999999996</v>
      </c>
      <c r="GJ87" s="51">
        <f>MIN(IF(INDEX(Properties!A$1:CB$87,Formula!B87,62)=0,10^6,INDEX(Properties!A$1:CB$87,Formula!B87,62)),IF(INDEX(Properties!A$1:CB$87,Formula!D87,62)=0,10^6,INDEX(Properties!A$1:CB$87,Formula!D87,62)),IF(INDEX(Properties!A$1:CB$87,Formula!F87,62)=0,10^6,INDEX(Properties!A$1:CB$87,Formula!F87,62)),IF(INDEX(Properties!A$1:CB$87,Formula!H87,62)=0,10^6,INDEX(Properties!A$1:CB$87,Formula!H87,62)),IF(INDEX(Properties!A$1:CB$87,Formula!J87,62)=0,10^6,INDEX(Properties!A$1:CB$87,Formula!J87,62)))</f>
        <v>1.35</v>
      </c>
      <c r="GK87" s="51">
        <f t="shared" si="63"/>
        <v>2.7499999999999996</v>
      </c>
      <c r="GL87" s="51">
        <f>Formula!P87</f>
        <v>14</v>
      </c>
      <c r="GM87" s="57">
        <f>Formula!O87</f>
        <v>2</v>
      </c>
      <c r="GN87" s="51">
        <f>Formula!N87</f>
        <v>0.02</v>
      </c>
    </row>
    <row r="88" spans="1:196" x14ac:dyDescent="0.3">
      <c r="A88" s="84" t="str">
        <f>Formula!A88</f>
        <v>Ca3La6Si6O24</v>
      </c>
      <c r="B88" s="89">
        <f>((Formula!C88)/(Formula!C88+Formula!E88+Formula!G88+Formula!I88+Formula!K88))*(INDEX(Properties!A$1:CB$87,Formula!B88,3))+((Formula!E88)/(Formula!C88+Formula!E88+Formula!G88+Formula!I88+Formula!K88))*(INDEX(Properties!A$1:CB$87,Formula!D88,3))+((Formula!G88)/(Formula!C88+Formula!E88+Formula!G88+Formula!I88+Formula!K88))*(INDEX(Properties!A$1:CB$87,Formula!F88,3))+((Formula!I88)/(Formula!C88+Formula!E88+Formula!G88+Formula!I88+Formula!K88))*(INDEX(Properties!A$1:CB$87,Formula!H88,3))+((Formula!K88)/(Formula!C88+Formula!E88+Formula!G88+Formula!I88+Formula!K88))*(INDEX(Properties!A$1:CB$87,Formula!J88,3))</f>
        <v>38.619630769230767</v>
      </c>
      <c r="C88" s="85">
        <f>Formula!C88*(INDEX(Properties!A$1:CB$87,Formula!B88,3))+Formula!E88*(INDEX(Properties!A$1:CB$87,Formula!D88,3))+Formula!G88*(INDEX(Properties!A$1:CB$87,Formula!F88,3))+Formula!I88*(INDEX(Properties!A$1:CB$87,Formula!H88,3))+Formula!K88*(INDEX(Properties!A$1:CB$87,Formula!J88,3))</f>
        <v>1506.1656</v>
      </c>
      <c r="D88" s="85">
        <f>VARP(IF(INDEX(Properties!A$1:CB$87,Formula!B88,3)&lt;&gt;"",INDEX(Properties!A$1:CB$87,Formula!B88,3)),IF(INDEX(Properties!A$1:CB$87,Formula!D88,3)&lt;&gt;"",INDEX(Properties!A$1:CB$87,Formula!D88,3)),IF(INDEX(Properties!A$1:CB$87,Formula!F88,3)&lt;&gt;"",INDEX(Properties!A$1:CB$87,Formula!F88,3)),IF(INDEX(Properties!A$1:CB$87,Formula!H88,3)&lt;&gt;"",INDEX(Properties!A$1:CB$87,Formula!H88,3)),IF(INDEX(Properties!A$1:CB$87,Formula!J88,3)&lt;&gt;"",INDEX(Properties!A$1:CB$87,Formula!J88,3)))</f>
        <v>2398.7715818295997</v>
      </c>
      <c r="E88" s="85">
        <f>MAX(INDEX(Properties!A$1:CB$87,Formula!B88,3),INDEX(Properties!A$1:CB$87,Formula!D88,3),INDEX(Properties!A$1:CB$87,Formula!F88,3),INDEX(Properties!A$1:CB$87,Formula!H88,3),INDEX(Properties!A$1:CB$87,Formula!J88,3))</f>
        <v>138.90549999999999</v>
      </c>
      <c r="F88" s="85">
        <f>MIN(IF(INDEX(Properties!A$1:CB$87,Formula!B88,3)=0,10^6,INDEX(Properties!A$1:CB$87,Formula!B88,3)),IF(INDEX(Properties!A$1:CB$87,Formula!D88,3)=0,10^6,INDEX(Properties!A$1:CB$87,Formula!D88,3)),IF(INDEX(Properties!A$1:CB$87,Formula!F88,3)=0,10^6,INDEX(Properties!A$1:CB$87,Formula!F88,3)),IF(INDEX(Properties!A$1:CB$87,Formula!H88,3)=0,10^6,INDEX(Properties!A$1:CB$87,Formula!H88,3)),IF(INDEX(Properties!A$1:CB$87,Formula!J88,3)=0,10^6,INDEX(Properties!A$1:CB$87,Formula!J88,3)))</f>
        <v>15.9994</v>
      </c>
      <c r="G88" s="85">
        <f t="shared" si="32"/>
        <v>122.9061</v>
      </c>
      <c r="H88" s="87">
        <f>((Formula!C88)/(Formula!C88+Formula!E88+Formula!G88+Formula!I88+Formula!K88))*(INDEX(Properties!A$1:CB$87,Formula!B88,4))+((Formula!E88)/(Formula!C88+Formula!E88+Formula!G88+Formula!I88+Formula!K88))*(INDEX(Properties!A$1:CB$87,Formula!D88,4))+((Formula!G88)/(Formula!C88+Formula!E88+Formula!G88+Formula!I88+Formula!K88))*(INDEX(Properties!A$1:CB$87,Formula!F88,4))+((Formula!I88)/(Formula!C88+Formula!E88+Formula!G88+Formula!I88+Formula!K88))*(INDEX(Properties!A$1:CB$87,Formula!H88,4))+((Formula!K88)/(Formula!C88+Formula!E88+Formula!G88+Formula!I88+Formula!K88))*(INDEX(Properties!A$1:CB$87,Formula!J88,4))</f>
        <v>17.384615384615387</v>
      </c>
      <c r="I88" s="87">
        <f>Formula!C88*(INDEX(Properties!A$1:CB$87,Formula!B88,4))+Formula!E88*(INDEX(Properties!A$1:CB$87,Formula!D88,4))+Formula!G88*(INDEX(Properties!A$1:CB$87,Formula!F88,4))+Formula!I88*(INDEX(Properties!A$1:CB$87,Formula!H88,4))+Formula!K88*(INDEX(Properties!A$1:CB$87,Formula!J88,4))</f>
        <v>678</v>
      </c>
      <c r="J88" s="87">
        <f>VARP(IF(INDEX(Properties!A$1:CB$87,Formula!B88,4)&lt;&gt;"",INDEX(Properties!A$1:CB$87,Formula!B88,4)),IF(INDEX(Properties!A$1:CB$87,Formula!D88,4)&lt;&gt;"",INDEX(Properties!A$1:CB$87,Formula!D88,4)),IF(INDEX(Properties!A$1:CB$87,Formula!F88,4)&lt;&gt;"",INDEX(Properties!A$1:CB$87,Formula!F88,4)),IF(INDEX(Properties!A$1:CB$87,Formula!H88,4)&lt;&gt;"",INDEX(Properties!A$1:CB$87,Formula!H88,4)),IF(INDEX(Properties!A$1:CB$87,Formula!J88,4)&lt;&gt;"",INDEX(Properties!A$1:CB$87,Formula!J88,4)))</f>
        <v>389.76</v>
      </c>
      <c r="K88" s="87">
        <f>MAX(INDEX(Properties!A$1:CB$87,Formula!B88,4),INDEX(Properties!A$1:CB$87,Formula!D88,4),INDEX(Properties!A$1:CB$87,Formula!F88,4),INDEX(Properties!A$1:CB$87,Formula!H88,4),INDEX(Properties!A$1:CB$87,Formula!J88,4))</f>
        <v>57</v>
      </c>
      <c r="L88" s="87">
        <f>MIN(IF(INDEX(Properties!A$1:CB$87,Formula!B88,4)=0,10^6,INDEX(Properties!A$1:CB$87,Formula!B88,4)),IF(INDEX(Properties!A$1:CB$87,Formula!D88,4)=0,10^6,INDEX(Properties!A$1:CB$87,Formula!D88,4)),IF(INDEX(Properties!A$1:CB$87,Formula!F88,4)=0,10^6,INDEX(Properties!A$1:CB$87,Formula!F88,4)),IF(INDEX(Properties!A$1:CB$87,Formula!H88,4)=0,10^6,INDEX(Properties!A$1:CB$87,Formula!H88,4)),IF(INDEX(Properties!A$1:CB$87,Formula!J88,4)=0,10^6,INDEX(Properties!A$1:CB$87,Formula!J88,4)))</f>
        <v>8</v>
      </c>
      <c r="M88" s="87">
        <f t="shared" si="33"/>
        <v>49</v>
      </c>
      <c r="N88" s="89">
        <f>((Formula!C88)/(Formula!C88+Formula!E88+Formula!G88+Formula!I88+Formula!K88))*(INDEX(Properties!A$1:CB$87,Formula!B88,5))+((Formula!E88)/(Formula!C88+Formula!E88+Formula!G88+Formula!I88+Formula!K88))*(INDEX(Properties!A$1:CB$87,Formula!D88,5))+((Formula!G88)/(Formula!C88+Formula!E88+Formula!G88+Formula!I88+Formula!K88))*(INDEX(Properties!A$1:CB$87,Formula!F88,5))+((Formula!I88)/(Formula!C88+Formula!E88+Formula!G88+Formula!I88+Formula!K88))*(INDEX(Properties!A$1:CB$87,Formula!H88,5))+((Formula!K88)/(Formula!C88+Formula!E88+Formula!G88+Formula!I88+Formula!K88))*(INDEX(Properties!A$1:CB$87,Formula!J88,5))</f>
        <v>2.9230769230769234</v>
      </c>
      <c r="O88" s="89">
        <f>Formula!C88*(INDEX(Properties!A$1:CB$87,Formula!B88,5))+Formula!E88*(INDEX(Properties!A$1:CB$87,Formula!D88,5))+Formula!G88*(INDEX(Properties!A$1:CB$87,Formula!F88,5))+Formula!I88*(INDEX(Properties!A$1:CB$87,Formula!H88,5))+Formula!K88*(INDEX(Properties!A$1:CB$87,Formula!J88,5))</f>
        <v>114</v>
      </c>
      <c r="P88" s="89">
        <f>VARP(IF(INDEX(Properties!A$1:CB$87,Formula!B88,5)&lt;&gt;"",INDEX(Properties!A$1:CB$87,Formula!B88,5)),IF(INDEX(Properties!A$1:CB$87,Formula!D88,5)&lt;&gt;"",INDEX(Properties!A$1:CB$87,Formula!D88,5)),IF(INDEX(Properties!A$1:CB$87,Formula!F88,5)&lt;&gt;"",INDEX(Properties!A$1:CB$87,Formula!F88,5)),IF(INDEX(Properties!A$1:CB$87,Formula!H88,5)&lt;&gt;"",INDEX(Properties!A$1:CB$87,Formula!H88,5)),IF(INDEX(Properties!A$1:CB$87,Formula!J88,5)&lt;&gt;"",INDEX(Properties!A$1:CB$87,Formula!J88,5)))</f>
        <v>4</v>
      </c>
      <c r="Q88" s="89">
        <f>MAX(INDEX(Properties!A$1:CB$87,Formula!B88,5),INDEX(Properties!A$1:CB$87,Formula!D88,5),INDEX(Properties!A$1:CB$87,Formula!F88,5),INDEX(Properties!A$1:CB$87,Formula!H88,5),INDEX(Properties!A$1:CB$87,Formula!J88,5))</f>
        <v>6</v>
      </c>
      <c r="R88" s="89">
        <f>MIN(IF(INDEX(Properties!A$1:CB$87,Formula!B88,5)=0,10^6,INDEX(Properties!A$1:CB$87,Formula!B88,5)),IF(INDEX(Properties!A$1:CB$87,Formula!D88,5)=0,10^6,INDEX(Properties!A$1:CB$87,Formula!D88,5)),IF(INDEX(Properties!A$1:CB$87,Formula!F88,5)=0,10^6,INDEX(Properties!A$1:CB$87,Formula!F88,5)),IF(INDEX(Properties!A$1:CB$87,Formula!H88,5)=0,10^6,INDEX(Properties!A$1:CB$87,Formula!H88,5)),IF(INDEX(Properties!A$1:CB$87,Formula!J88,5)=0,10^6,INDEX(Properties!A$1:CB$87,Formula!J88,5)))</f>
        <v>2</v>
      </c>
      <c r="S88" s="89">
        <f t="shared" si="34"/>
        <v>4</v>
      </c>
      <c r="T88" s="60">
        <f>((Formula!C88)/(Formula!C88+Formula!E88+Formula!G88+Formula!I88+Formula!K88))*(INDEX(Properties!A$1:CB$87,Formula!B88,6))+((Formula!E88)/(Formula!C88+Formula!E88+Formula!G88+Formula!I88+Formula!K88))*(INDEX(Properties!A$1:CB$87,Formula!D88,6))+((Formula!G88)/(Formula!C88+Formula!E88+Formula!G88+Formula!I88+Formula!K88))*(INDEX(Properties!A$1:CB$87,Formula!F88,6))+((Formula!I88)/(Formula!C88+Formula!E88+Formula!G88+Formula!I88+Formula!K88))*(INDEX(Properties!A$1:CB$87,Formula!H88,6))+((Formula!K88)/(Formula!C88+Formula!E88+Formula!G88+Formula!I88+Formula!K88))*(INDEX(Properties!A$1:CB$87,Formula!J88,6))</f>
        <v>12.615384615384617</v>
      </c>
      <c r="U88" s="60">
        <f>Formula!C88*(INDEX(Properties!A$1:CB$87,Formula!B88,6))+Formula!E88*(INDEX(Properties!A$1:CB$87,Formula!D88,6))+Formula!G88*(INDEX(Properties!A$1:CB$87,Formula!F88,6))+Formula!I88*(INDEX(Properties!A$1:CB$87,Formula!H88,6))+Formula!K88*(INDEX(Properties!A$1:CB$87,Formula!J88,6))</f>
        <v>492</v>
      </c>
      <c r="V88" s="89">
        <f>VARP(IF(INDEX(Properties!A$1:CB$87,Formula!B88,6)&lt;&gt;"",INDEX(Properties!A$1:CB$87,Formula!B88,6)),IF(INDEX(Properties!A$1:CB$87,Formula!D88,6)&lt;&gt;"",INDEX(Properties!A$1:CB$87,Formula!D88,6)),IF(INDEX(Properties!A$1:CB$87,Formula!F88,6)&lt;&gt;"",INDEX(Properties!A$1:CB$87,Formula!F88,6)),IF(INDEX(Properties!A$1:CB$87,Formula!H88,6)&lt;&gt;"",INDEX(Properties!A$1:CB$87,Formula!H88,6)),IF(INDEX(Properties!A$1:CB$87,Formula!J88,6)&lt;&gt;"",INDEX(Properties!A$1:CB$87,Formula!J88,6)))</f>
        <v>44</v>
      </c>
      <c r="W88" s="60">
        <f>MAX(INDEX(Properties!A$1:CB$87,Formula!B88,6),INDEX(Properties!A$1:CB$87,Formula!D88,6),INDEX(Properties!A$1:CB$87,Formula!F88,6),INDEX(Properties!A$1:CB$87,Formula!H88,4),INDEX(Properties!A$1:CB$87,Formula!J88,6))</f>
        <v>14</v>
      </c>
      <c r="X88" s="60">
        <f>MIN(IF(INDEX(Properties!A$1:CB$87,Formula!B88,6)=0,10^6,INDEX(Properties!A$1:CB$87,Formula!B88,6)),IF(INDEX(Properties!A$1:CB$87,Formula!D88,6)=0,10^6,INDEX(Properties!A$1:CB$87,Formula!D88,6)),IF(INDEX(Properties!A$1:CB$87,Formula!F88,6)=0,10^6,INDEX(Properties!A$1:CB$87,Formula!F88,6)),IF(INDEX(Properties!A$1:CB$87,Formula!H88,6)=0,10^6,INDEX(Properties!A$1:CB$87,Formula!H88,6)),IF(INDEX(Properties!A$1:CB$87,Formula!J88,6)=0,10^6,INDEX(Properties!A$1:CB$87,Formula!J88,6)))</f>
        <v>2</v>
      </c>
      <c r="Y88" s="60">
        <f t="shared" si="35"/>
        <v>12</v>
      </c>
      <c r="Z88" s="72">
        <f>((Formula!C88)/(Formula!C88+Formula!E88+Formula!G88+Formula!I88+Formula!K88))*(INDEX(Properties!A$1:CB$87,Formula!B88,9))+((Formula!E88)/(Formula!C88+Formula!E88+Formula!G88+Formula!I88+Formula!K88))*(INDEX(Properties!A$1:CB$87,Formula!D88,9))+((Formula!G88)/(Formula!C88+Formula!E88+Formula!G88+Formula!I88+Formula!K88))*(INDEX(Properties!A$1:CB$87,Formula!F88,9))+((Formula!I88)/(Formula!C88+Formula!E88+Formula!G88+Formula!I88+Formula!K88))*(INDEX(Properties!A$1:CB$87,Formula!H88,9))+((Formula!K88)/(Formula!C88+Formula!E88+Formula!G88+Formula!I88+Formula!K88))*(INDEX(Properties!A$1:CB$87,Formula!J88,9))</f>
        <v>68.07692307692308</v>
      </c>
      <c r="AA88" s="72">
        <f>Formula!C88*(INDEX(Properties!A$1:CB$87,Formula!B88,9))+Formula!E88*(INDEX(Properties!A$1:CB$87,Formula!D88,9))+Formula!G88*(INDEX(Properties!A$1:CB$87,Formula!F88,9))+Formula!I88*(INDEX(Properties!A$1:CB$87,Formula!H88,9))+Formula!K88*(INDEX(Properties!A$1:CB$87,Formula!J88,9))</f>
        <v>2655</v>
      </c>
      <c r="AB88" s="72">
        <f>VARP(IF(INDEX(Properties!A$1:CB$87,Formula!B88,9)&lt;&gt;"",INDEX(Properties!A$1:CB$87,Formula!B88,9)),IF(INDEX(Properties!A$1:CB$87,Formula!D88,9)&lt;&gt;"",INDEX(Properties!A$1:CB$87,Formula!D88,9)),IF(INDEX(Properties!A$1:CB$87,Formula!F88,9)&lt;&gt;"",INDEX(Properties!A$1:CB$87,Formula!F88,9)),IF(INDEX(Properties!A$1:CB$87,Formula!H88,9)&lt;&gt;"",INDEX(Properties!A$1:CB$87,Formula!H88,9)),IF(INDEX(Properties!A$1:CB$87,Formula!J88,9)&lt;&gt;"",INDEX(Properties!A$1:CB$87,Formula!J88,9)))</f>
        <v>1405.2</v>
      </c>
      <c r="AC88" s="72">
        <f>MAX(INDEX(Properties!A$1:CB$87,Formula!B88,9),INDEX(Properties!A$1:CB$87,Formula!D88,9),INDEX(Properties!A$1:CB$87,Formula!F88,9),INDEX(Properties!A$1:CB$87,Formula!H88,9),INDEX(Properties!A$1:CB$87,Formula!J88,9))</f>
        <v>87</v>
      </c>
      <c r="AD88" s="72">
        <f>MIN(IF(INDEX(Properties!A$1:CB$87,Formula!B88,9)=0,10^6,INDEX(Properties!A$1:CB$87,Formula!B88,9)),IF(INDEX(Properties!A$1:CB$87,Formula!D88,9)=0,10^6,INDEX(Properties!A$1:CB$87,Formula!D88,9)),IF(INDEX(Properties!A$1:CB$87,Formula!F88,9)=0,10^6,INDEX(Properties!A$1:CB$87,Formula!F88,9)),IF(INDEX(Properties!A$1:CB$87,Formula!H88,9)=0,10^6,INDEX(Properties!A$1:CB$87,Formula!H88,9)),IF(INDEX(Properties!A$1:CB$87,Formula!J88,9)=0,10^6,INDEX(Properties!A$1:CB$87,Formula!J88,9)))</f>
        <v>7</v>
      </c>
      <c r="AE88" s="72">
        <f t="shared" si="36"/>
        <v>80</v>
      </c>
      <c r="AF88" s="51">
        <f>((Formula!C88)/(Formula!C88+Formula!E88+Formula!G88+Formula!I88+Formula!K88))*(INDEX(Properties!A$1:CB$87,Formula!B88,10))+((Formula!E88)/(Formula!C88+Formula!E88+Formula!G88+Formula!I88+Formula!K88))*(INDEX(Properties!A$1:CB$87,Formula!D88,10))+((Formula!G88)/(Formula!C88+Formula!E88+Formula!G88+Formula!I88+Formula!K88))*(INDEX(Properties!A$1:CB$87,Formula!F88,10))+((Formula!I88)/(Formula!C88+Formula!E88+Formula!G88+Formula!I88+Formula!K88))*(INDEX(Properties!A$1:CB$87,Formula!H88,10))+((Formula!K88)/(Formula!C88+Formula!E88+Formula!G88+Formula!I88+Formula!K88))*(INDEX(Properties!A$1:CB$87,Formula!J88,10))</f>
        <v>5.8461538461538467</v>
      </c>
      <c r="AG88" s="51">
        <f>Formula!C88*(INDEX(Properties!A$1:CB$87,Formula!B88,10))+Formula!E88*(INDEX(Properties!A$1:CB$87,Formula!D88,10))+Formula!G88*(INDEX(Properties!A$1:CB$87,Formula!F88,10))+Formula!I88*(INDEX(Properties!A$1:CB$87,Formula!H88,10))+Formula!K88*(INDEX(Properties!A$1:CB$87,Formula!J88,10))</f>
        <v>228</v>
      </c>
      <c r="AH88" s="51">
        <f>VARP(IF(INDEX(Properties!A$1:CB$87,Formula!B88,10)&lt;&gt;"",INDEX(Properties!A$1:CB$87,Formula!B88,10)),IF(INDEX(Properties!A$1:CB$87,Formula!D88,10)&lt;&gt;"",INDEX(Properties!A$1:CB$87,Formula!D88,10)),IF(INDEX(Properties!A$1:CB$87,Formula!F88,10)&lt;&gt;"",INDEX(Properties!A$1:CB$87,Formula!F88,10)),IF(INDEX(Properties!A$1:CB$87,Formula!H88,10)&lt;&gt;"",INDEX(Properties!A$1:CB$87,Formula!H88,10)),IF(INDEX(Properties!A$1:CB$87,Formula!J88,10)&lt;&gt;"",INDEX(Properties!A$1:CB$87,Formula!J88,10)))</f>
        <v>6.64</v>
      </c>
      <c r="AI88" s="51">
        <f>MAX(INDEX(Properties!A$1:CB$87,Formula!B88,10),INDEX(Properties!A$1:CB$87,Formula!D88,10),INDEX(Properties!A$1:CB$87,Formula!F88,10),INDEX(Properties!A$1:CB$87,Formula!H88,10),INDEX(Properties!A$1:CB$87,Formula!J88,10))</f>
        <v>7</v>
      </c>
      <c r="AJ88" s="51">
        <f>MIN(IF(INDEX(Properties!A$1:CB$87,Formula!B88,10)=0,10^6,INDEX(Properties!A$1:CB$87,Formula!B88,10)),IF(INDEX(Properties!A$1:CB$87,Formula!D88,10)=0,10^6,INDEX(Properties!A$1:CB$87,Formula!D88,10)),IF(INDEX(Properties!A$1:CB$87,Formula!F88,10)=0,10^6,INDEX(Properties!A$1:CB$87,Formula!F88,10)),IF(INDEX(Properties!A$1:CB$87,Formula!H88,10)=0,10^6,INDEX(Properties!A$1:CB$87,Formula!H88,10)),IF(INDEX(Properties!A$1:CB$87,Formula!J88,10)=0,10^6,INDEX(Properties!A$1:CB$87,Formula!J88,10)))</f>
        <v>2</v>
      </c>
      <c r="AK88" s="51">
        <f t="shared" si="37"/>
        <v>5</v>
      </c>
      <c r="AL88" s="57">
        <f>((Formula!C88)/(Formula!C88+Formula!E88+Formula!G88+Formula!I88+Formula!K88))*(INDEX(Properties!A$1:CB$87,Formula!B88,11))+((Formula!E88)/(Formula!C88+Formula!E88+Formula!G88+Formula!I88+Formula!K88))*(INDEX(Properties!A$1:CB$87,Formula!D88,11))+((Formula!G88)/(Formula!C88+Formula!E88+Formula!G88+Formula!I88+Formula!K88))*(INDEX(Properties!A$1:CB$87,Formula!F88,11))+((Formula!I88)/(Formula!C88+Formula!E88+Formula!G88+Formula!I88+Formula!K88))*(INDEX(Properties!A$1:CB$87,Formula!H88,11))+((Formula!K88)/(Formula!C88+Formula!E88+Formula!G88+Formula!I88+Formula!K88))*(INDEX(Properties!A$1:CB$87,Formula!J88,11))</f>
        <v>2</v>
      </c>
      <c r="AM88" s="57">
        <f>Formula!C88*(INDEX(Properties!A$1:CB$87,Formula!B88,11))+Formula!E88*(INDEX(Properties!A$1:CB$87,Formula!D88,11))+Formula!G88*(INDEX(Properties!A$1:CB$87,Formula!F88,11))+Formula!I88*(INDEX(Properties!A$1:CB$87,Formula!H88,11))+Formula!K88*(INDEX(Properties!A$1:CB$87,Formula!J88,11))</f>
        <v>78</v>
      </c>
      <c r="AN88" s="57">
        <f>VARP(IF(INDEX(Properties!A$1:CB$87,Formula!B88,11)&lt;&gt;"",INDEX(Properties!A$1:CB$87,Formula!B88,11)),IF(INDEX(Properties!A$1:CB$87,Formula!D88,11)&lt;&gt;"",INDEX(Properties!A$1:CB$87,Formula!D88,11)),IF(INDEX(Properties!A$1:CB$87,Formula!F88,11)&lt;&gt;"",INDEX(Properties!A$1:CB$87,Formula!F88,11)),IF(INDEX(Properties!A$1:CB$87,Formula!H88,11)&lt;&gt;"",INDEX(Properties!A$1:CB$87,Formula!H88,11)),IF(INDEX(Properties!A$1:CB$87,Formula!J88,11)&lt;&gt;"",INDEX(Properties!A$1:CB$87,Formula!J88,11)))</f>
        <v>0.64</v>
      </c>
      <c r="AO88" s="57">
        <f>MAX(INDEX(Properties!A$1:CB$87,Formula!B88,11),INDEX(Properties!A$1:CB$87,Formula!D88,11),INDEX(Properties!A$1:CB$87,Formula!F88,11),INDEX(Properties!A$1:CB$87,Formula!H88,11),INDEX(Properties!A$1:CB$87,Formula!J88,11))</f>
        <v>2</v>
      </c>
      <c r="AP88" s="57">
        <f>MIN(IF(Formula!B88=87,10^6,INDEX(Properties!A$1:CB$87,Formula!B88,11)),IF((Formula!D88)=87,10^6,INDEX(Properties!A$1:CB$87,Formula!D88,11)),IF((Formula!F88)=87,10^6,INDEX(Properties!A$1:CB$87,Formula!F88,11)),IF((Formula!H88)=87,10^6,INDEX(Properties!A$1:CB$87,Formula!H88,11)),IF(Formula!J88=87,10^6,INDEX(Properties!A$1:CB$87,Formula!J88,11)))</f>
        <v>2</v>
      </c>
      <c r="AQ88" s="57">
        <f t="shared" si="38"/>
        <v>0</v>
      </c>
      <c r="AR88" s="78">
        <f>((Formula!C88)/(Formula!C88+Formula!E88+Formula!G88+Formula!I88+Formula!K88))*(INDEX(Properties!A$1:CB$87,Formula!B88,12))+((Formula!E88)/(Formula!C88+Formula!E88+Formula!G88+Formula!I88+Formula!K88))*(INDEX(Properties!A$1:CB$87,Formula!D88,12))+((Formula!G88)/(Formula!C88+Formula!E88+Formula!G88+Formula!I88+Formula!K88))*(INDEX(Properties!A$1:CB$87,Formula!F88,12))+((Formula!I88)/(Formula!C88+Formula!E88+Formula!G88+Formula!I88+Formula!K88))*(INDEX(Properties!A$1:CB$87,Formula!H88,12))+((Formula!K88)/(Formula!C88+Formula!E88+Formula!G88+Formula!I88+Formula!K88))*(INDEX(Properties!A$1:CB$87,Formula!J88,12))</f>
        <v>2.7692307692307692</v>
      </c>
      <c r="AS88" s="78">
        <f>Formula!C88*(INDEX(Properties!A$1:CB$87,Formula!B88,12))+Formula!E88*(INDEX(Properties!A$1:CB$87,Formula!D88,12))+Formula!G88*(INDEX(Properties!A$1:CB$87,Formula!F88,12))+Formula!I88*(INDEX(Properties!A$1:CB$87,Formula!H88,12))+Formula!K88*(INDEX(Properties!A$1:CB$87,Formula!J88,12))</f>
        <v>108</v>
      </c>
      <c r="AT88" s="78">
        <f>VARP(IF(INDEX(Properties!A$1:CB$87,Formula!B88,12)&lt;&gt;"",INDEX(Properties!A$1:CB$87,Formula!B88,12)),IF(INDEX(Properties!A$1:CB$87,Formula!D88,12)&lt;&gt;"",INDEX(Properties!A$1:CB$87,Formula!D88,12)),IF(INDEX(Properties!A$1:CB$87,Formula!F88,12)&lt;&gt;"",INDEX(Properties!A$1:CB$87,Formula!F88,12)),IF(INDEX(Properties!A$1:CB$87,Formula!H88,12)&lt;&gt;"",INDEX(Properties!A$1:CB$87,Formula!H88,12)),IF(INDEX(Properties!A$1:CB$87,Formula!J88,12)&lt;&gt;"",INDEX(Properties!A$1:CB$87,Formula!J88,12)))</f>
        <v>2.56</v>
      </c>
      <c r="AU88" s="78">
        <f>MAX(INDEX(Properties!A$1:CB$87,Formula!B88,12),INDEX(Properties!A$1:CB$87,Formula!D88,12),INDEX(Properties!A$1:CB$87,Formula!F88,12),INDEX(Properties!A$1:CB$87,Formula!H88,12),INDEX(Properties!A$1:CB$87,Formula!J88,12))</f>
        <v>4</v>
      </c>
      <c r="AV88" s="78">
        <f>MIN(IF(Formula!B88=87,10^6,INDEX(Properties!A$1:CB$87,Formula!B88,12)),IF((Formula!D88)=87,10^6,INDEX(Properties!A$1:CB$87,Formula!D88,12)),IF((Formula!F88)=87,10^6,INDEX(Properties!A$1:CB$87,Formula!F88,12)),IF((Formula!H88)=87,10^6,INDEX(Properties!A$1:CB$87,Formula!H88,12)),IF(Formula!J88=87,10^6,INDEX(Properties!A$1:CB$87,Formula!J88,12)))</f>
        <v>0</v>
      </c>
      <c r="AW88" s="78">
        <f t="shared" si="39"/>
        <v>4</v>
      </c>
      <c r="AX88" s="45">
        <f>((Formula!C88)/(Formula!C88+Formula!E88+Formula!G88+Formula!I88+Formula!K88))*(INDEX(Properties!A$1:CB$87,Formula!B88,13))+((Formula!E88)/(Formula!C88+Formula!E88+Formula!G88+Formula!I88+Formula!K88))*(INDEX(Properties!A$1:CB$87,Formula!D88,13))+((Formula!G88)/(Formula!C88+Formula!E88+Formula!G88+Formula!I88+Formula!K88))*(INDEX(Properties!A$1:CB$87,Formula!F88,13))+((Formula!I88)/(Formula!C88+Formula!E88+Formula!G88+Formula!I88+Formula!K88))*(INDEX(Properties!A$1:CB$87,Formula!H88,13))+((Formula!K88)/(Formula!C88+Formula!E88+Formula!G88+Formula!I88+Formula!K88))*(INDEX(Properties!A$1:CB$87,Formula!J88,13))</f>
        <v>0.15384615384615385</v>
      </c>
      <c r="AY88" s="45">
        <f>Formula!C88*(INDEX(Properties!A$1:CB$87,Formula!B88,13))+Formula!E88*(INDEX(Properties!A$1:CB$87,Formula!D88,13))+Formula!G88*(INDEX(Properties!A$1:CB$87,Formula!F88,13))+Formula!I88*(INDEX(Properties!A$1:CB$87,Formula!H88,13))+Formula!K88*(INDEX(Properties!A$1:CB$87,Formula!J88,13))</f>
        <v>6</v>
      </c>
      <c r="AZ88" s="45">
        <f>VARP(IF(INDEX(Properties!A$1:CB$87,Formula!B88,13)&lt;&gt;"",INDEX(Properties!A$1:CB$87,Formula!B88,13)),IF(INDEX(Properties!A$1:CB$87,Formula!D88,13)&lt;&gt;"",INDEX(Properties!A$1:CB$87,Formula!D88,13)),IF(INDEX(Properties!A$1:CB$87,Formula!F88,13)&lt;&gt;"",INDEX(Properties!A$1:CB$87,Formula!F88,13)),IF(INDEX(Properties!A$1:CB$87,Formula!H88,13)&lt;&gt;"",INDEX(Properties!A$1:CB$87,Formula!H88,13)),IF(INDEX(Properties!A$1:CB$87,Formula!J88,13)&lt;&gt;"",INDEX(Properties!A$1:CB$87,Formula!J88,13)))</f>
        <v>0.16</v>
      </c>
      <c r="BA88" s="45">
        <f>MAX(INDEX(Properties!A$1:CB$87,Formula!B88,13),INDEX(Properties!A$1:CB$87,Formula!D88,13),INDEX(Properties!A$1:CB$87,Formula!F88,13),INDEX(Properties!A$1:CB$87,Formula!H88,13),INDEX(Properties!A$1:CB$87,Formula!J88,13))</f>
        <v>1</v>
      </c>
      <c r="BB88" s="45">
        <f>MIN(IF(Formula!B88=87,10^6,INDEX(Properties!A$1:CB$87,Formula!B88,13)),IF((Formula!D88)=87,10^6,INDEX(Properties!A$1:CB$87,Formula!D88,13)),IF((Formula!F88)=87,10^6,INDEX(Properties!A$1:CB$87,Formula!F88,13)),IF((Formula!H88)=87,10^6,INDEX(Properties!A$1:CB$87,Formula!H88,13)),IF(Formula!J88=87,10^6,INDEX(Properties!A$1:CB$87,Formula!J88,13)))</f>
        <v>0</v>
      </c>
      <c r="BC88" s="45">
        <f t="shared" si="40"/>
        <v>1</v>
      </c>
      <c r="BD88" s="63">
        <f>((Formula!C88)/(Formula!C88+Formula!E88+Formula!G88+Formula!I88+Formula!K88))*(INDEX(Properties!A$1:CB$87,Formula!B88,14))+((Formula!E88)/(Formula!C88+Formula!E88+Formula!G88+Formula!I88+Formula!K88))*(INDEX(Properties!A$1:CB$87,Formula!D88,14))+((Formula!G88)/(Formula!C88+Formula!E88+Formula!G88+Formula!I88+Formula!K88))*(INDEX(Properties!A$1:CB$87,Formula!F88,14))+((Formula!I88)/(Formula!C88+Formula!E88+Formula!G88+Formula!I88+Formula!K88))*(INDEX(Properties!A$1:CB$87,Formula!H88,14))+((Formula!K88)/(Formula!C88+Formula!E88+Formula!G88+Formula!I88+Formula!K88))*(INDEX(Properties!A$1:CB$87,Formula!J88,14))</f>
        <v>0</v>
      </c>
      <c r="BE88" s="63">
        <f>Formula!C88*(INDEX(Properties!A$1:CB$87,Formula!B88,14))+Formula!E88*(INDEX(Properties!A$1:CB$87,Formula!D88,14))+Formula!G88*(INDEX(Properties!A$1:CB$87,Formula!F88,14))+Formula!I88*(INDEX(Properties!A$1:CB$87,Formula!H88,14))+Formula!K88*(INDEX(Properties!A$1:CB$87,Formula!J88,14))</f>
        <v>0</v>
      </c>
      <c r="BF88" s="63">
        <f>VARP(IF(INDEX(Properties!A$1:CB$87,Formula!B88,14)&lt;&gt;"",INDEX(Properties!A$1:CB$87,Formula!B88,14)),IF(INDEX(Properties!A$1:CB$87,Formula!D88,14)&lt;&gt;"",INDEX(Properties!A$1:CB$87,Formula!D88,14)),IF(INDEX(Properties!A$1:CB$87,Formula!F88,14)&lt;&gt;"",INDEX(Properties!A$1:CB$87,Formula!F88,14)),IF(INDEX(Properties!A$1:CB$87,Formula!H88,14)&lt;&gt;"",INDEX(Properties!A$1:CB$87,Formula!H88,14)),IF(INDEX(Properties!A$1:CB$87,Formula!J88,14)&lt;&gt;"",INDEX(Properties!A$1:CB$87,Formula!J88,14)))</f>
        <v>0</v>
      </c>
      <c r="BG88" s="63">
        <f>MAX(INDEX(Properties!A$1:CB$87,Formula!B88,14),INDEX(Properties!A$1:CB$87,Formula!D88,14),INDEX(Properties!A$1:CB$87,Formula!F88,14),INDEX(Properties!A$1:CB$87,Formula!H88,14),INDEX(Properties!A$1:CB$87,Formula!J88,14))</f>
        <v>0</v>
      </c>
      <c r="BH88" s="63">
        <f>MIN(IF(Formula!B88=87,10^6,INDEX(Properties!A$1:CB$87,Formula!B88,14)),IF((Formula!D88)=87,10^6,INDEX(Properties!A$1:CB$87,Formula!D88,14)),IF((Formula!F88)=87,10^6,INDEX(Properties!A$1:CB$87,Formula!F88,14)),IF((Formula!H88)=87,10^6,INDEX(Properties!A$1:CB$87,Formula!H88,14)),IF(Formula!J88=87,10^6,INDEX(Properties!A$1:CB$87,Formula!J88,14)))</f>
        <v>0</v>
      </c>
      <c r="BI88" s="63">
        <f t="shared" si="41"/>
        <v>0</v>
      </c>
      <c r="BJ88" s="75">
        <f>((Formula!C88)/(Formula!C88+Formula!E88+Formula!G88+Formula!I88+Formula!K88))*(INDEX(Properties!A$1:CB$87,Formula!B88,19))+((Formula!E88)/(Formula!C88+Formula!E88+Formula!G88+Formula!I88+Formula!K88))*(INDEX(Properties!A$1:CB$87,Formula!D88,19))+((Formula!G88)/(Formula!C88+Formula!E88+Formula!G88+Formula!I88+Formula!K88))*(INDEX(Properties!A$1:CB$87,Formula!F88,19))+((Formula!I88)/(Formula!C88+Formula!E88+Formula!G88+Formula!I88+Formula!K88))*(INDEX(Properties!A$1:CB$87,Formula!H88,19))+((Formula!K88)/(Formula!C88+Formula!E88+Formula!G88+Formula!I88+Formula!K88))*(INDEX(Properties!A$1:CB$87,Formula!J88,19))</f>
        <v>4.9230769230769234</v>
      </c>
      <c r="BK88" s="75">
        <f>Formula!C88*(INDEX(Properties!A$1:CB$87,Formula!B88,19))+Formula!E88*(INDEX(Properties!A$1:CB$87,Formula!D88,19))+Formula!G88*(INDEX(Properties!A$1:CB$87,Formula!F88,19))+Formula!I88*(INDEX(Properties!A$1:CB$87,Formula!H88,19))+Formula!K88*(INDEX(Properties!A$1:CB$87,Formula!J88,19))</f>
        <v>192</v>
      </c>
      <c r="BL88" s="75">
        <f>VARP(IF(INDEX(Properties!A$1:CB$87,Formula!B88,19)&lt;&gt;"",INDEX(Properties!A$1:CB$87,Formula!B88,19)),IF(INDEX(Properties!A$1:CB$87,Formula!D88,19)&lt;&gt;"",INDEX(Properties!A$1:CB$87,Formula!D88,19)),IF(INDEX(Properties!A$1:CB$87,Formula!F88,19)&lt;&gt;"",INDEX(Properties!A$1:CB$87,Formula!F88,19)),IF(INDEX(Properties!A$1:CB$87,Formula!H88,19)&lt;&gt;"",INDEX(Properties!A$1:CB$87,Formula!H88,19)),IF(INDEX(Properties!A$1:CB$87,Formula!J88,19)&lt;&gt;"",INDEX(Properties!A$1:CB$87,Formula!J88,19)))</f>
        <v>4</v>
      </c>
      <c r="BM88" s="75">
        <f>MAX(INDEX(Properties!A$1:CB$87,Formula!B88,19),INDEX(Properties!A$1:CB$87,Formula!D88,19),INDEX(Properties!A$1:CB$87,Formula!F88,19),INDEX(Properties!A$1:CB$87,Formula!H88,19),INDEX(Properties!A$1:CB$87,Formula!J88,19))</f>
        <v>6</v>
      </c>
      <c r="BN88" s="75">
        <f>MIN(IF(INDEX(Properties!A$1:CB$87,Formula!B88,19)=0,10^6,INDEX(Properties!A$1:CB$87,Formula!B88,19)),IF(INDEX(Properties!A$1:CB$87,Formula!D88,19)=0,10^6,INDEX(Properties!A$1:CB$87,Formula!D88,19)),IF(INDEX(Properties!A$1:CB$87,Formula!F88,19)=0,10^6,INDEX(Properties!A$1:CB$87,Formula!F88,19)),IF(INDEX(Properties!A$1:CB$87,Formula!H88,19)=0,10^6,INDEX(Properties!A$1:CB$87,Formula!H88,19)),IF(INDEX(Properties!A$1:CB$87,Formula!J88,19)=0,10^6,INDEX(Properties!A$1:CB$87,Formula!J88,19)))</f>
        <v>2</v>
      </c>
      <c r="BO88" s="75">
        <f t="shared" si="42"/>
        <v>4</v>
      </c>
      <c r="BP88" s="48">
        <f>((Formula!C88)/(Formula!C88+Formula!E88+Formula!G88+Formula!I88+Formula!K88))*(INDEX(Properties!A$1:CB$87,Formula!B88,20))+((Formula!E88)/(Formula!C88+Formula!E88+Formula!G88+Formula!I88+Formula!K88))*(INDEX(Properties!A$1:CB$87,Formula!D88,20))+((Formula!G88)/(Formula!C88+Formula!E88+Formula!G88+Formula!I88+Formula!K88))*(INDEX(Properties!A$1:CB$87,Formula!F88,20))+((Formula!I88)/(Formula!C88+Formula!E88+Formula!G88+Formula!I88+Formula!K88))*(INDEX(Properties!A$1:CB$87,Formula!H88,20))+((Formula!K88)/(Formula!C88+Formula!E88+Formula!G88+Formula!I88+Formula!K88))*(INDEX(Properties!A$1:CB$87,Formula!J88,20))</f>
        <v>4.7692307692307701</v>
      </c>
      <c r="BQ88" s="48">
        <f>Formula!C88*(INDEX(Properties!A$1:CB$87,Formula!B88,20))+Formula!E88*(INDEX(Properties!A$1:CB$87,Formula!D88,20))+Formula!G88*(INDEX(Properties!A$1:CB$87,Formula!F88,20))+Formula!I88*(INDEX(Properties!A$1:CB$87,Formula!H88,20))+Formula!K88*(INDEX(Properties!A$1:CB$87,Formula!J88,20))</f>
        <v>186</v>
      </c>
      <c r="BR88" s="48">
        <f>VARP(IF(INDEX(Properties!A$1:CB$87,Formula!B88,20)&lt;&gt;"",INDEX(Properties!A$1:CB$87,Formula!B88,20)),IF(INDEX(Properties!A$1:CB$87,Formula!D88,20)&lt;&gt;"",INDEX(Properties!A$1:CB$87,Formula!D88,20)),IF(INDEX(Properties!A$1:CB$87,Formula!F88,20)&lt;&gt;"",INDEX(Properties!A$1:CB$87,Formula!F88,20)),IF(INDEX(Properties!A$1:CB$87,Formula!H88,20)&lt;&gt;"",INDEX(Properties!A$1:CB$87,Formula!H88,20)),IF(INDEX(Properties!A$1:CB$87,Formula!J88,20)&lt;&gt;"",INDEX(Properties!A$1:CB$87,Formula!J88,20)))</f>
        <v>4.16</v>
      </c>
      <c r="BS88" s="48">
        <f>MAX(INDEX(Properties!A$1:CB$87,Formula!B88,20),INDEX(Properties!A$1:CB$87,Formula!D88,20),INDEX(Properties!A$1:CB$87,Formula!F88,20),INDEX(Properties!A$1:CB$87,Formula!H88,20),INDEX(Properties!A$1:CB$87,Formula!J88,20))</f>
        <v>6</v>
      </c>
      <c r="BT88" s="48">
        <f>MIN(IF(INDEX(Properties!A$1:CB$87,Formula!B88,20)=0,10^6,INDEX(Properties!A$1:CB$87,Formula!B88,20)),IF(INDEX(Properties!A$1:CB$87,Formula!D88,20)=0,10^6,INDEX(Properties!A$1:CB$87,Formula!D88,20)),IF(INDEX(Properties!A$1:CB$87,Formula!F88,20)=0,10^6,INDEX(Properties!A$1:CB$87,Formula!F88,20)),IF(INDEX(Properties!A$1:CB$87,Formula!H88,20)=0,10^6,INDEX(Properties!A$1:CB$87,Formula!H88,20)),IF(INDEX(Properties!A$1:CB$87,Formula!J88,20)=0,10^6,INDEX(Properties!A$1:CB$87,Formula!J88,20)))</f>
        <v>2</v>
      </c>
      <c r="BU88" s="48">
        <f t="shared" si="43"/>
        <v>4</v>
      </c>
      <c r="BV88" s="66">
        <f>((Formula!C88)/(Formula!C88+Formula!E88+Formula!G88+Formula!I88+Formula!K88))*(INDEX(Properties!A$1:CB$87,Formula!B88,21))+((Formula!E88)/(Formula!C88+Formula!E88+Formula!G88+Formula!I88+Formula!K88))*(INDEX(Properties!A$1:CB$87,Formula!D88,21))+((Formula!G88)/(Formula!C88+Formula!E88+Formula!G88+Formula!I88+Formula!K88))*(INDEX(Properties!A$1:CB$87,Formula!F88,21))+((Formula!I88)/(Formula!C88+Formula!E88+Formula!G88+Formula!I88+Formula!K88))*(INDEX(Properties!A$1:CB$87,Formula!H88,21))+((Formula!K88)/(Formula!C88+Formula!E88+Formula!G88+Formula!I88+Formula!K88))*(INDEX(Properties!A$1:CB$87,Formula!J88,21))</f>
        <v>4.6153846153846159</v>
      </c>
      <c r="BW88" s="66">
        <f>Formula!C88*(INDEX(Properties!A$1:CB$87,Formula!B88,21))+Formula!E88*(INDEX(Properties!A$1:CB$87,Formula!D88,21))+Formula!G88*(INDEX(Properties!A$1:CB$87,Formula!F88,21))+Formula!I88*(INDEX(Properties!A$1:CB$87,Formula!H88,21))+Formula!K88*(INDEX(Properties!A$1:CB$87,Formula!J88,21))</f>
        <v>180</v>
      </c>
      <c r="BX88" s="66">
        <f>VARP(IF(INDEX(Properties!A$1:CB$87,Formula!B88,21)&lt;&gt;"",INDEX(Properties!A$1:CB$87,Formula!B88,21)),IF(INDEX(Properties!A$1:CB$87,Formula!D88,21)&lt;&gt;"",INDEX(Properties!A$1:CB$87,Formula!D88,21)),IF(INDEX(Properties!A$1:CB$87,Formula!F88,21)&lt;&gt;"",INDEX(Properties!A$1:CB$87,Formula!F88,21)),IF(INDEX(Properties!A$1:CB$87,Formula!H88,21)&lt;&gt;"",INDEX(Properties!A$1:CB$87,Formula!H88,21)),IF(INDEX(Properties!A$1:CB$87,Formula!J88,21)&lt;&gt;"",INDEX(Properties!A$1:CB$87,Formula!J88,21)))</f>
        <v>4.6399999999999997</v>
      </c>
      <c r="BY88" s="66">
        <f>MAX(INDEX(Properties!A$1:CB$87,Formula!B88,21),INDEX(Properties!A$1:CB$87,Formula!D88,21),INDEX(Properties!A$1:CB$87,Formula!F88,21),INDEX(Properties!A$1:CB$87,Formula!H88,21),INDEX(Properties!A$1:CB$87,Formula!J88,21))</f>
        <v>6</v>
      </c>
      <c r="BZ88" s="66">
        <f>MIN(IF(INDEX(Properties!A$1:CB$87,Formula!B88,21)=0,10^6,INDEX(Properties!A$1:CB$87,Formula!B88,21)),IF(INDEX(Properties!A$1:CB$87,Formula!D88,21)=0,10^6,INDEX(Properties!A$1:CB$87,Formula!D88,21)),IF(INDEX(Properties!A$1:CB$87,Formula!F88,21)=0,10^6,INDEX(Properties!A$1:CB$87,Formula!F88,21)),IF(INDEX(Properties!A$1:CB$87,Formula!H88,21)=0,10^6,INDEX(Properties!A$1:CB$87,Formula!H88,21)),IF(INDEX(Properties!A$1:CB$87,Formula!J88,21)=0,10^6,INDEX(Properties!A$1:CB$87,Formula!J88,21)))</f>
        <v>1</v>
      </c>
      <c r="CA88" s="66">
        <f t="shared" si="44"/>
        <v>5</v>
      </c>
      <c r="CB88" s="81">
        <f>((Formula!C88)/(Formula!C88+Formula!E88+Formula!G88+Formula!I88+Formula!K88))*(INDEX(Properties!A$1:CB$87,Formula!B88,23))+((Formula!E88)/(Formula!C88+Formula!E88+Formula!G88+Formula!I88+Formula!K88))*(INDEX(Properties!A$1:CB$87,Formula!D88,23))+((Formula!G88)/(Formula!C88+Formula!E88+Formula!G88+Formula!I88+Formula!K88))*(INDEX(Properties!A$1:CB$87,Formula!F88,23))+((Formula!I88)/(Formula!C88+Formula!E88+Formula!G88+Formula!I88+Formula!K88))*(INDEX(Properties!A$1:CB$87,Formula!H88,23))+((Formula!K88)/(Formula!C88+Formula!E88+Formula!G88+Formula!I88+Formula!K88))*(INDEX(Properties!A$1:CB$87,Formula!J88,23))</f>
        <v>1.2307692307692308</v>
      </c>
      <c r="CC88" s="81">
        <f>Formula!C88*(INDEX(Properties!A$1:CB$87,Formula!B88,23))+Formula!E88*(INDEX(Properties!A$1:CB$87,Formula!D88,23))+Formula!G88*(INDEX(Properties!A$1:CB$87,Formula!F88,23))+Formula!I88*(INDEX(Properties!A$1:CB$87,Formula!H88,23))+Formula!K88*(INDEX(Properties!A$1:CB$87,Formula!J88,23))</f>
        <v>48</v>
      </c>
      <c r="CD88" s="81">
        <f>VARP(IF(INDEX(Properties!A$1:CB$87,Formula!B88,23)&lt;&gt;"",INDEX(Properties!A$1:CB$87,Formula!B88,23)),IF(INDEX(Properties!A$1:CB$87,Formula!D88,23)&lt;&gt;"",INDEX(Properties!A$1:CB$87,Formula!D88,23)),IF(INDEX(Properties!A$1:CB$87,Formula!F88,23)&lt;&gt;"",INDEX(Properties!A$1:CB$87,Formula!F88,23)),IF(INDEX(Properties!A$1:CB$87,Formula!H88,23)&lt;&gt;"",INDEX(Properties!A$1:CB$87,Formula!H88,23)),IF(INDEX(Properties!A$1:CB$87,Formula!J88,23)&lt;&gt;"",INDEX(Properties!A$1:CB$87,Formula!J88,23)))</f>
        <v>2.56</v>
      </c>
      <c r="CE88" s="81">
        <f>MAX(INDEX(Properties!A$1:CB$87,Formula!B88,23),INDEX(Properties!A$1:CB$87,Formula!D88,23),INDEX(Properties!A$1:CB$87,Formula!F88,23),INDEX(Properties!A$1:CB$87,Formula!H88,23),INDEX(Properties!A$1:CB$87,Formula!J88,23))</f>
        <v>4</v>
      </c>
      <c r="CF88" s="81">
        <f>MIN(IF(Formula!B88=87,10^6,INDEX(Properties!A$1:CB$87,Formula!B88,23)),IF((Formula!D88)=87,10^6,INDEX(Properties!A$1:CB$87,Formula!D88,23)),IF((Formula!F88)=87,10^6,INDEX(Properties!A$1:CB$87,Formula!F88,23)),IF((Formula!H88)=87,10^6,INDEX(Properties!A$1:CB$87,Formula!H88,23)),IF(Formula!J88=87,10^6,INDEX(Properties!A$1:CB$87,Formula!J88,23)))</f>
        <v>0</v>
      </c>
      <c r="CG88" s="81">
        <f t="shared" si="45"/>
        <v>4</v>
      </c>
      <c r="CH88" s="39">
        <f>((Formula!C88)/(Formula!C88+Formula!E88+Formula!G88+Formula!I88+Formula!K88))*(INDEX(Properties!A$1:CB$87,Formula!B88,26))+((Formula!E88)/(Formula!C88+Formula!E88+Formula!G88+Formula!I88+Formula!K88))*(INDEX(Properties!A$1:CB$87,Formula!D88,26))+((Formula!G88)/(Formula!C88+Formula!E88+Formula!G88+Formula!I88+Formula!K88))*(INDEX(Properties!A$1:CB$87,Formula!F88,26))+((Formula!I88)/(Formula!C88+Formula!E88+Formula!G88+Formula!I88+Formula!K88))*(INDEX(Properties!A$1:CB$87,Formula!H88,26))+((Formula!K88)/(Formula!C88+Formula!E88+Formula!G88+Formula!I88+Formula!K88))*(INDEX(Properties!A$1:CB$87,Formula!J88,26))</f>
        <v>10.962707692307692</v>
      </c>
      <c r="CI88" s="39">
        <f>Formula!C88*(INDEX(Properties!A$1:CB$87,Formula!B88,26))+Formula!E88*(INDEX(Properties!A$1:CB$87,Formula!D88,26))+Formula!G88*(INDEX(Properties!A$1:CB$87,Formula!F88,26))+Formula!I88*(INDEX(Properties!A$1:CB$87,Formula!H88,26))+Formula!K88*(INDEX(Properties!A$1:CB$87,Formula!J88,26))</f>
        <v>427.54560000000004</v>
      </c>
      <c r="CJ88" s="39">
        <f>VARP(IF(INDEX(Properties!A$1:CB$87,Formula!B88,26)&lt;&gt;"",INDEX(Properties!A$1:CB$87,Formula!B88,26)),IF(INDEX(Properties!A$1:CB$87,Formula!D88,26)&lt;&gt;"",INDEX(Properties!A$1:CB$87,Formula!D88,26)),IF(INDEX(Properties!A$1:CB$87,Formula!F88,26)&lt;&gt;"",INDEX(Properties!A$1:CB$87,Formula!F88,26)),IF(INDEX(Properties!A$1:CB$87,Formula!H88,26)&lt;&gt;"",INDEX(Properties!A$1:CB$87,Formula!H88,26)),IF(INDEX(Properties!A$1:CB$87,Formula!J88,26)&lt;&gt;"",INDEX(Properties!A$1:CB$87,Formula!J88,26)))</f>
        <v>19.292581349600006</v>
      </c>
      <c r="CK88" s="39">
        <f>MAX(INDEX(Properties!A$1:CB$87,Formula!B88,26),INDEX(Properties!A$1:CB$87,Formula!D88,26),INDEX(Properties!A$1:CB$87,Formula!F88,26),INDEX(Properties!A$1:CB$87,Formula!H88,26),INDEX(Properties!A$1:CB$87,Formula!J88,26))</f>
        <v>13.6181</v>
      </c>
      <c r="CL88" s="39">
        <f>MIN(IF(INDEX(Properties!A$1:CB$87,Formula!B88,26)=0,10^6,INDEX(Properties!A$1:CB$87,Formula!B88,26)),IF(INDEX(Properties!A$1:CB$87,Formula!D88,26)=0,10^6,INDEX(Properties!A$1:CB$87,Formula!D88,26)),IF(INDEX(Properties!A$1:CB$87,Formula!F88,26)=0,10^6,INDEX(Properties!A$1:CB$87,Formula!F88,26)),IF(INDEX(Properties!A$1:CB$87,Formula!H88,26)=0,10^6,INDEX(Properties!A$1:CB$87,Formula!H88,26)),IF(INDEX(Properties!A$1:CB$87,Formula!J88,26)=0,10^6,INDEX(Properties!A$1:CB$87,Formula!J88,26)))</f>
        <v>5.5769000000000002</v>
      </c>
      <c r="CM88" s="39">
        <f t="shared" si="46"/>
        <v>8.0411999999999999</v>
      </c>
      <c r="CN88" s="54">
        <f>((Formula!C88)/(Formula!C88+Formula!E88+Formula!G88+Formula!I88+Formula!K88))*(INDEX(Properties!A$1:CB$87,Formula!B88,30))+((Formula!E88)/(Formula!C88+Formula!E88+Formula!G88+Formula!I88+Formula!K88))*(INDEX(Properties!A$1:CB$87,Formula!D88,30))+((Formula!G88)/(Formula!C88+Formula!E88+Formula!G88+Formula!I88+Formula!K88))*(INDEX(Properties!A$1:CB$87,Formula!F88,30))+((Formula!I88)/(Formula!C88+Formula!E88+Formula!G88+Formula!I88+Formula!K88))*(INDEX(Properties!A$1:CB$87,Formula!H88,30))+((Formula!K88)/(Formula!C88+Formula!E88+Formula!G88+Formula!I88+Formula!K88))*(INDEX(Properties!A$1:CB$87,Formula!J88,30))</f>
        <v>2.6553846153846159</v>
      </c>
      <c r="CO88" s="54">
        <f>Formula!C88*(INDEX(Properties!A$1:CB$87,Formula!B88,30))+Formula!E88*(INDEX(Properties!A$1:CB$87,Formula!D88,30))+Formula!G88*(INDEX(Properties!A$1:CB$87,Formula!F88,30))+Formula!I88*(INDEX(Properties!A$1:CB$87,Formula!H88,30))+Formula!K88*(INDEX(Properties!A$1:CB$87,Formula!J88,30))</f>
        <v>103.56</v>
      </c>
      <c r="CP88" s="54">
        <f>VARP(IF(INDEX(Properties!A$1:CB$87,Formula!B88,30)&lt;&gt;"",INDEX(Properties!A$1:CB$87,Formula!B88,30)),IF(INDEX(Properties!A$1:CB$87,Formula!D88,30)&lt;&gt;"",INDEX(Properties!A$1:CB$87,Formula!D88,30)),IF(INDEX(Properties!A$1:CB$87,Formula!F88,30)&lt;&gt;"",INDEX(Properties!A$1:CB$87,Formula!F88,30)),IF(INDEX(Properties!A$1:CB$87,Formula!H88,30)&lt;&gt;"",INDEX(Properties!A$1:CB$87,Formula!H88,30)),IF(INDEX(Properties!A$1:CB$87,Formula!J88,30)&lt;&gt;"",INDEX(Properties!A$1:CB$87,Formula!J88,30)))</f>
        <v>1.3165759999999997</v>
      </c>
      <c r="CQ88" s="54">
        <f>MAX(INDEX(Properties!A$1:CB$87,Formula!B88,30),INDEX(Properties!A$1:CB$87,Formula!D88,30),INDEX(Properties!A$1:CB$87,Formula!F88,30),INDEX(Properties!A$1:CB$87,Formula!H88,30),INDEX(Properties!A$1:CB$87,Formula!J88,30))</f>
        <v>3.44</v>
      </c>
      <c r="CR88" s="54">
        <f>MIN(IF(INDEX(Properties!A$1:CB$87,Formula!B88,30)=0,10^6,INDEX(Properties!A$1:CB$87,Formula!B88,30)),IF(INDEX(Properties!A$1:CB$87,Formula!D88,30)=0,10^6,INDEX(Properties!A$1:CB$87,Formula!D88,30)),IF(INDEX(Properties!A$1:CB$87,Formula!F88,30)=0,10^6,INDEX(Properties!A$1:CB$87,Formula!F88,30)),IF(INDEX(Properties!A$1:CB$87,Formula!H88,30)=0,10^6,INDEX(Properties!A$1:CB$87,Formula!H88,30)),IF(INDEX(Properties!A$1:CB$87,Formula!J88,30)=0,10^6,INDEX(Properties!A$1:CB$87,Formula!J88,30)))</f>
        <v>1</v>
      </c>
      <c r="CS88" s="54">
        <f t="shared" si="47"/>
        <v>2.44</v>
      </c>
      <c r="CT88" s="69">
        <f>((Formula!C88)/(Formula!C88+Formula!E88+Formula!G88+Formula!I88+Formula!K88))*(INDEX(Properties!A$1:CB$87,Formula!B88,31))+((Formula!E88)/(Formula!C88+Formula!E88+Formula!G88+Formula!I88+Formula!K88))*(INDEX(Properties!A$1:CB$87,Formula!D88,31))+((Formula!G88)/(Formula!C88+Formula!E88+Formula!G88+Formula!I88+Formula!K88))*(INDEX(Properties!A$1:CB$87,Formula!F88,31))+((Formula!I88)/(Formula!C88+Formula!E88+Formula!G88+Formula!I88+Formula!K88))*(INDEX(Properties!A$1:CB$87,Formula!H88,31))+((Formula!K88)/(Formula!C88+Formula!E88+Formula!G88+Formula!I88+Formula!K88))*(INDEX(Properties!A$1:CB$87,Formula!J88,31))</f>
        <v>2.6453846153846152</v>
      </c>
      <c r="CU88" s="69">
        <f>Formula!C88*(INDEX(Properties!A$1:CB$87,Formula!B88,31))+Formula!E88*(INDEX(Properties!A$1:CB$87,Formula!D88,31))+Formula!G88*(INDEX(Properties!A$1:CB$87,Formula!F88,31))+Formula!I88*(INDEX(Properties!A$1:CB$87,Formula!H88,31))+Formula!K88*(INDEX(Properties!A$1:CB$87,Formula!J88,31))</f>
        <v>103.16999999999999</v>
      </c>
      <c r="CV88" s="69">
        <f>VARP(IF(INDEX(Properties!A$1:CB$87,Formula!B88,31)&lt;&gt;"",INDEX(Properties!A$1:CB$87,Formula!B88,31)),IF(INDEX(Properties!A$1:CB$87,Formula!D88,31)&lt;&gt;"",INDEX(Properties!A$1:CB$87,Formula!D88,31)),IF(INDEX(Properties!A$1:CB$87,Formula!F88,31)&lt;&gt;"",INDEX(Properties!A$1:CB$87,Formula!F88,31)),IF(INDEX(Properties!A$1:CB$87,Formula!H88,31)&lt;&gt;"",INDEX(Properties!A$1:CB$87,Formula!H88,31)),IF(INDEX(Properties!A$1:CB$87,Formula!J88,31)&lt;&gt;"",INDEX(Properties!A$1:CB$87,Formula!J88,31)))</f>
        <v>1.1807439999999993</v>
      </c>
      <c r="CW88" s="69">
        <f>MAX(INDEX(Properties!A$1:CB$87,Formula!B88,31),INDEX(Properties!A$1:CB$87,Formula!D88,31),INDEX(Properties!A$1:CB$87,Formula!F88,31),INDEX(Properties!A$1:CB$87,Formula!H88,31),INDEX(Properties!A$1:CB$87,Formula!J88,31))</f>
        <v>3.32</v>
      </c>
      <c r="CX88" s="69">
        <f>MIN(IF(INDEX(Properties!A$1:CB$87,Formula!B88,31)=0,10^6,INDEX(Properties!A$1:CB$87,Formula!B88,31)),IF(INDEX(Properties!A$1:CB$87,Formula!D88,31)=0,10^6,INDEX(Properties!A$1:CB$87,Formula!D88,31)),IF(INDEX(Properties!A$1:CB$87,Formula!F88,31)=0,10^6,INDEX(Properties!A$1:CB$87,Formula!F88,31)),IF(INDEX(Properties!A$1:CB$87,Formula!H88,31)=0,10^6,INDEX(Properties!A$1:CB$87,Formula!H88,31)),IF(INDEX(Properties!A$1:CB$87,Formula!J88,31)=0,10^6,INDEX(Properties!A$1:CB$87,Formula!J88,31)))</f>
        <v>1.17</v>
      </c>
      <c r="CY88" s="69">
        <f t="shared" si="48"/>
        <v>2.15</v>
      </c>
      <c r="CZ88" s="42">
        <f>((Formula!C88)/(Formula!C88+Formula!E88+Formula!G88+Formula!I88+Formula!K88))*(INDEX(Properties!A$1:CB$87,Formula!B88,32))+((Formula!E88)/(Formula!C88+Formula!E88+Formula!G88+Formula!I88+Formula!K88))*(INDEX(Properties!A$1:CB$87,Formula!D88,32))+((Formula!G88)/(Formula!C88+Formula!E88+Formula!G88+Formula!I88+Formula!K88))*(INDEX(Properties!A$1:CB$87,Formula!F88,32))+((Formula!I88)/(Formula!C88+Formula!E88+Formula!G88+Formula!I88+Formula!K88))*(INDEX(Properties!A$1:CB$87,Formula!H88,32))+((Formula!K88)/(Formula!C88+Formula!E88+Formula!G88+Formula!I88+Formula!K88))*(INDEX(Properties!A$1:CB$87,Formula!J88,32))</f>
        <v>6.0200000000000005</v>
      </c>
      <c r="DA88" s="42">
        <f>Formula!C88*(INDEX(Properties!A$1:CB$87,Formula!B88,32))+Formula!E88*(INDEX(Properties!A$1:CB$87,Formula!D88,32))+Formula!G88*(INDEX(Properties!A$1:CB$87,Formula!F88,32))+Formula!I88*(INDEX(Properties!A$1:CB$87,Formula!H88,32))+Formula!K88*(INDEX(Properties!A$1:CB$87,Formula!J88,32))</f>
        <v>234.78</v>
      </c>
      <c r="DB88" s="42">
        <f>VARP(IF(INDEX(Properties!A$1:CB$87,Formula!B88,32)&lt;&gt;"",INDEX(Properties!A$1:CB$87,Formula!B88,32)),IF(INDEX(Properties!A$1:CB$87,Formula!D88,32)&lt;&gt;"",INDEX(Properties!A$1:CB$87,Formula!D88,32)),IF(INDEX(Properties!A$1:CB$87,Formula!F88,32)&lt;&gt;"",INDEX(Properties!A$1:CB$87,Formula!F88,32)),IF(INDEX(Properties!A$1:CB$87,Formula!H88,32)&lt;&gt;"",INDEX(Properties!A$1:CB$87,Formula!H88,32)),IF(INDEX(Properties!A$1:CB$87,Formula!J88,32)&lt;&gt;"",INDEX(Properties!A$1:CB$87,Formula!J88,32)))</f>
        <v>6.4064159999999966</v>
      </c>
      <c r="DC88" s="42">
        <f>MAX(INDEX(Properties!A$1:CB$87,Formula!B88,32),INDEX(Properties!A$1:CB$87,Formula!D88,32),INDEX(Properties!A$1:CB$87,Formula!F88,32),INDEX(Properties!A$1:CB$87,Formula!H88,32),INDEX(Properties!A$1:CB$87,Formula!J88,32))</f>
        <v>7.54</v>
      </c>
      <c r="DD88" s="42">
        <f>MIN(IF(INDEX(Properties!A$1:CB$87,Formula!B88,32)=0,10^6,INDEX(Properties!A$1:CB$87,Formula!B88,32)),IF(INDEX(Properties!A$1:CB$87,Formula!D88,32)=0,10^6,INDEX(Properties!A$1:CB$87,Formula!D88,32)),IF(INDEX(Properties!A$1:CB$87,Formula!F88,32)=0,10^6,INDEX(Properties!A$1:CB$87,Formula!F88,32)),IF(INDEX(Properties!A$1:CB$87,Formula!H88,32)=0,10^6,INDEX(Properties!A$1:CB$87,Formula!H88,32)),IF(INDEX(Properties!A$1:CB$87,Formula!J88,32)=0,10^6,INDEX(Properties!A$1:CB$87,Formula!J88,32)))</f>
        <v>2.2000000000000002</v>
      </c>
      <c r="DE88" s="42">
        <f t="shared" si="49"/>
        <v>5.34</v>
      </c>
      <c r="DF88" s="60">
        <f>((Formula!C88)/(Formula!C88+Formula!E88+Formula!G88+Formula!I88+Formula!K88))*(INDEX(Properties!A$1:CB$87,Formula!B88,34))+((Formula!E88)/(Formula!C88+Formula!E88+Formula!G88+Formula!I88+Formula!K88))*(INDEX(Properties!A$1:CB$87,Formula!D88,34))+((Formula!G88)/(Formula!C88+Formula!E88+Formula!G88+Formula!I88+Formula!K88))*(INDEX(Properties!A$1:CB$87,Formula!F88,34))+((Formula!I88)/(Formula!C88+Formula!E88+Formula!G88+Formula!I88+Formula!K88))*(INDEX(Properties!A$1:CB$87,Formula!H88,34))+((Formula!K88)/(Formula!C88+Formula!E88+Formula!G88+Formula!I88+Formula!K88))*(INDEX(Properties!A$1:CB$87,Formula!J88,34))</f>
        <v>2.7635384615384613</v>
      </c>
      <c r="DG88" s="60">
        <f>Formula!C88*(INDEX(Properties!A$1:CB$87,Formula!B88,34))+Formula!E88*(INDEX(Properties!A$1:CB$87,Formula!D88,34))+Formula!G88*(INDEX(Properties!A$1:CB$87,Formula!F88,34))+Formula!I88*(INDEX(Properties!A$1:CB$87,Formula!H88,34))+Formula!K88*(INDEX(Properties!A$1:CB$87,Formula!J88,34))</f>
        <v>107.77799999999999</v>
      </c>
      <c r="DH88" s="60">
        <f>VARP(IF(INDEX(Properties!A$1:CB$87,Formula!B88,34)&lt;&gt;"",INDEX(Properties!A$1:CB$87,Formula!B88,34)),IF(INDEX(Properties!A$1:CB$87,Formula!D88,34)&lt;&gt;"",INDEX(Properties!A$1:CB$87,Formula!D88,34)),IF(INDEX(Properties!A$1:CB$87,Formula!F88,34)&lt;&gt;"",INDEX(Properties!A$1:CB$87,Formula!F88,34)),IF(INDEX(Properties!A$1:CB$87,Formula!H88,34)&lt;&gt;"",INDEX(Properties!A$1:CB$87,Formula!H88,34)),IF(INDEX(Properties!A$1:CB$87,Formula!J88,34)&lt;&gt;"",INDEX(Properties!A$1:CB$87,Formula!J88,34)))</f>
        <v>1.4511823999999991</v>
      </c>
      <c r="DI88" s="60">
        <f>MAX(INDEX(Properties!A$1:CB$87,Formula!B88,34),INDEX(Properties!A$1:CB$87,Formula!D88,34),INDEX(Properties!A$1:CB$87,Formula!F88,34),INDEX(Properties!A$1:CB$87,Formula!H88,34),INDEX(Properties!A$1:CB$87,Formula!J88,34))</f>
        <v>3.61</v>
      </c>
      <c r="DJ88" s="60">
        <f>MIN(IF(INDEX(Properties!A$1:CB$87,Formula!B88,34)=0,10^6,INDEX(Properties!A$1:CB$87,Formula!B88,34)),IF(INDEX(Properties!A$1:CB$87,Formula!D88,34)=0,10^6,INDEX(Properties!A$1:CB$87,Formula!D88,34)),IF(INDEX(Properties!A$1:CB$87,Formula!F88,34)=0,10^6,INDEX(Properties!A$1:CB$87,Formula!F88,34)),IF(INDEX(Properties!A$1:CB$87,Formula!H88,34)=0,10^6,INDEX(Properties!A$1:CB$87,Formula!H88,34)),IF(INDEX(Properties!A$1:CB$87,Formula!J88,34)=0,10^6,INDEX(Properties!A$1:CB$87,Formula!J88,34)))</f>
        <v>1.034</v>
      </c>
      <c r="DK88" s="60">
        <f t="shared" si="50"/>
        <v>2.5759999999999996</v>
      </c>
      <c r="DL88" s="45">
        <f>((Formula!C88)/(Formula!C88+Formula!E88+Formula!G88+Formula!I88+Formula!K88))*(INDEX(Properties!A$1:CB$87,Formula!B88,39))+((Formula!E88)/(Formula!C88+Formula!E88+Formula!G88+Formula!I88+Formula!K88))*(INDEX(Properties!A$1:CB$87,Formula!D88,39))+((Formula!G88)/(Formula!C88+Formula!E88+Formula!G88+Formula!I88+Formula!K88))*(INDEX(Properties!A$1:CB$87,Formula!F88,39))+((Formula!I88)/(Formula!C88+Formula!E88+Formula!G88+Formula!I88+Formula!K88))*(INDEX(Properties!A$1:CB$87,Formula!H88,39))+((Formula!K88)/(Formula!C88+Formula!E88+Formula!G88+Formula!I88+Formula!K88))*(INDEX(Properties!A$1:CB$87,Formula!J88,39))</f>
        <v>0.91538461538461546</v>
      </c>
      <c r="DM88" s="45">
        <f>Formula!C88*(INDEX(Properties!A$1:CB$87,Formula!B88,39))+Formula!E88*(INDEX(Properties!A$1:CB$87,Formula!D88,39))+Formula!G88*(INDEX(Properties!A$1:CB$87,Formula!F88,39))+Formula!I88*(INDEX(Properties!A$1:CB$87,Formula!H88,39))+Formula!K88*(INDEX(Properties!A$1:CB$87,Formula!J88,39))</f>
        <v>35.700000000000003</v>
      </c>
      <c r="DN88" s="45">
        <f>VARP(IF(INDEX(Properties!A$1:CB$87,Formula!B88,39)&lt;&gt;"",INDEX(Properties!A$1:CB$87,Formula!B88,39)),IF(INDEX(Properties!A$1:CB$87,Formula!D88,39)&lt;&gt;"",INDEX(Properties!A$1:CB$87,Formula!D88,39)),IF(INDEX(Properties!A$1:CB$87,Formula!F88,39)&lt;&gt;"",INDEX(Properties!A$1:CB$87,Formula!F88,39)),IF(INDEX(Properties!A$1:CB$87,Formula!H88,39)&lt;&gt;"",INDEX(Properties!A$1:CB$87,Formula!H88,39)),IF(INDEX(Properties!A$1:CB$87,Formula!J88,39)&lt;&gt;"",INDEX(Properties!A$1:CB$87,Formula!J88,39)))</f>
        <v>0.6045039999999996</v>
      </c>
      <c r="DO88" s="45">
        <f>MAX(INDEX(Properties!A$1:CB$87,Formula!B88,39),INDEX(Properties!A$1:CB$87,Formula!D88,39),INDEX(Properties!A$1:CB$87,Formula!F88,39),INDEX(Properties!A$1:CB$87,Formula!H88,39),INDEX(Properties!A$1:CB$87,Formula!J88,39))</f>
        <v>1.95</v>
      </c>
      <c r="DP88" s="45">
        <f>MIN(IF(INDEX(Properties!A$1:CB$87,Formula!B88,39)=0,10^6,INDEX(Properties!A$1:CB$87,Formula!B88,39)),IF(INDEX(Properties!A$1:CB$87,Formula!D88,39)=0,10^6,INDEX(Properties!A$1:CB$87,Formula!D88,39)),IF(INDEX(Properties!A$1:CB$87,Formula!F88,39)=0,10^6,INDEX(Properties!A$1:CB$87,Formula!F88,39)),IF(INDEX(Properties!A$1:CB$87,Formula!H88,39)=0,10^6,INDEX(Properties!A$1:CB$87,Formula!H88,39)),IF(INDEX(Properties!A$1:CB$87,Formula!J88,39)=0,10^6,INDEX(Properties!A$1:CB$87,Formula!J88,39)))</f>
        <v>0.48</v>
      </c>
      <c r="DQ88" s="45">
        <f t="shared" si="51"/>
        <v>1.47</v>
      </c>
      <c r="DR88" s="63">
        <f>((Formula!C88)/(Formula!C88+Formula!E88+Formula!G88+Formula!I88+Formula!K88))*(INDEX(Properties!A$1:CB$87,Formula!B88,40))+((Formula!E88)/(Formula!C88+Formula!E88+Formula!G88+Formula!I88+Formula!K88))*(INDEX(Properties!A$1:CB$87,Formula!D88,40))+((Formula!G88)/(Formula!C88+Formula!E88+Formula!G88+Formula!I88+Formula!K88))*(INDEX(Properties!A$1:CB$87,Formula!F88,40))+((Formula!I88)/(Formula!C88+Formula!E88+Formula!G88+Formula!I88+Formula!K88))*(INDEX(Properties!A$1:CB$87,Formula!H88,40))+((Formula!K88)/(Formula!C88+Formula!E88+Formula!G88+Formula!I88+Formula!K88))*(INDEX(Properties!A$1:CB$87,Formula!J88,40))</f>
        <v>1.0138461538461538</v>
      </c>
      <c r="DS88" s="63">
        <f>Formula!C88*(INDEX(Properties!A$1:CB$87,Formula!B88,40))+Formula!E88*(INDEX(Properties!A$1:CB$87,Formula!D88,40))+Formula!G88*(INDEX(Properties!A$1:CB$87,Formula!F88,40))+Formula!I88*(INDEX(Properties!A$1:CB$87,Formula!H88,40))+Formula!K88*(INDEX(Properties!A$1:CB$87,Formula!J88,40))</f>
        <v>39.54</v>
      </c>
      <c r="DT88" s="63">
        <f>VARP(IF(INDEX(Properties!A$1:CB$87,Formula!B88,40)&lt;&gt;"",INDEX(Properties!A$1:CB$87,Formula!B88,40)),IF(INDEX(Properties!A$1:CB$87,Formula!D88,40)&lt;&gt;"",INDEX(Properties!A$1:CB$87,Formula!D88,40)),IF(INDEX(Properties!A$1:CB$87,Formula!F88,40)&lt;&gt;"",INDEX(Properties!A$1:CB$87,Formula!F88,40)),IF(INDEX(Properties!A$1:CB$87,Formula!H88,40)&lt;&gt;"",INDEX(Properties!A$1:CB$87,Formula!H88,40)),IF(INDEX(Properties!A$1:CB$87,Formula!J88,40)&lt;&gt;"",INDEX(Properties!A$1:CB$87,Formula!J88,40)))</f>
        <v>0.41882400000000003</v>
      </c>
      <c r="DU88" s="63">
        <f>MAX(INDEX(Properties!A$1:CB$87,Formula!B88,40),INDEX(Properties!A$1:CB$87,Formula!D88,40),INDEX(Properties!A$1:CB$87,Formula!F88,40),INDEX(Properties!A$1:CB$87,Formula!H88,40),INDEX(Properties!A$1:CB$87,Formula!J88,40))</f>
        <v>1.74</v>
      </c>
      <c r="DV88" s="63">
        <f>MIN(IF(INDEX(Properties!A$1:CB$87,Formula!B88,40)=0,10^6,INDEX(Properties!A$1:CB$87,Formula!B88,40)),IF(INDEX(Properties!A$1:CB$87,Formula!D88,40)=0,10^6,INDEX(Properties!A$1:CB$87,Formula!D88,40)),IF(INDEX(Properties!A$1:CB$87,Formula!F88,40)=0,10^6,INDEX(Properties!A$1:CB$87,Formula!F88,40)),IF(INDEX(Properties!A$1:CB$87,Formula!H88,40)=0,10^6,INDEX(Properties!A$1:CB$87,Formula!H88,40)),IF(INDEX(Properties!A$1:CB$87,Formula!J88,40)=0,10^6,INDEX(Properties!A$1:CB$87,Formula!J88,40)))</f>
        <v>0.73</v>
      </c>
      <c r="DW88" s="63">
        <f t="shared" si="52"/>
        <v>1.01</v>
      </c>
      <c r="DX88" s="75">
        <f>((Formula!C88)/(Formula!C88+Formula!E88+Formula!G88+Formula!I88+Formula!K88))*(INDEX(Properties!A$1:CB$87,Formula!B88,41))+((Formula!E88)/(Formula!C88+Formula!E88+Formula!G88+Formula!I88+Formula!K88))*(INDEX(Properties!A$1:CB$87,Formula!D88,41))+((Formula!G88)/(Formula!C88+Formula!E88+Formula!G88+Formula!I88+Formula!K88))*(INDEX(Properties!A$1:CB$87,Formula!F88,41))+((Formula!I88)/(Formula!C88+Formula!E88+Formula!G88+Formula!I88+Formula!K88))*(INDEX(Properties!A$1:CB$87,Formula!H88,41))+((Formula!K88)/(Formula!C88+Formula!E88+Formula!G88+Formula!I88+Formula!K88))*(INDEX(Properties!A$1:CB$87,Formula!J88,41))</f>
        <v>1.1261538461538463</v>
      </c>
      <c r="DY88" s="75">
        <f>Formula!C88*(INDEX(Properties!A$1:CB$87,Formula!B88,41))+Formula!E88*(INDEX(Properties!A$1:CB$87,Formula!D88,41))+Formula!G88*(INDEX(Properties!A$1:CB$87,Formula!F88,41))+Formula!I88*(INDEX(Properties!A$1:CB$87,Formula!H88,41))+Formula!K88*(INDEX(Properties!A$1:CB$87,Formula!J88,41))</f>
        <v>43.92</v>
      </c>
      <c r="DZ88" s="75">
        <f>VARP(IF(INDEX(Properties!A$1:CB$87,Formula!B88,41)&lt;&gt;"",INDEX(Properties!A$1:CB$87,Formula!B88,41)),IF(INDEX(Properties!A$1:CB$87,Formula!D88,41)&lt;&gt;"",INDEX(Properties!A$1:CB$87,Formula!D88,41)),IF(INDEX(Properties!A$1:CB$87,Formula!F88,41)&lt;&gt;"",INDEX(Properties!A$1:CB$87,Formula!F88,41)),IF(INDEX(Properties!A$1:CB$87,Formula!H88,41)&lt;&gt;"",INDEX(Properties!A$1:CB$87,Formula!H88,41)),IF(INDEX(Properties!A$1:CB$87,Formula!J88,41)&lt;&gt;"",INDEX(Properties!A$1:CB$87,Formula!J88,41)))</f>
        <v>0.23385600000000012</v>
      </c>
      <c r="EA88" s="75">
        <f>MAX(INDEX(Properties!A$1:CB$87,Formula!B88,41),INDEX(Properties!A$1:CB$87,Formula!D88,41),INDEX(Properties!A$1:CB$87,Formula!F88,41),INDEX(Properties!A$1:CB$87,Formula!H88,41),INDEX(Properties!A$1:CB$87,Formula!J88,41))</f>
        <v>1.26</v>
      </c>
      <c r="EB88" s="75">
        <f>MIN(IF(INDEX(Properties!A$1:CB$87,Formula!B88,41)=0,10^6,INDEX(Properties!A$1:CB$87,Formula!B88,41)),IF(INDEX(Properties!A$1:CB$87,Formula!D88,41)=0,10^6,INDEX(Properties!A$1:CB$87,Formula!D88,41)),IF(INDEX(Properties!A$1:CB$87,Formula!F88,41)=0,10^6,INDEX(Properties!A$1:CB$87,Formula!F88,41)),IF(INDEX(Properties!A$1:CB$87,Formula!H88,41)=0,10^6,INDEX(Properties!A$1:CB$87,Formula!H88,41)),IF(INDEX(Properties!A$1:CB$87,Formula!J88,41)=0,10^6,INDEX(Properties!A$1:CB$87,Formula!J88,41)))</f>
        <v>0.54</v>
      </c>
      <c r="EC88" s="75">
        <f t="shared" si="53"/>
        <v>0.72</v>
      </c>
      <c r="ED88" s="48">
        <f>((Formula!C88)/(Formula!C88+Formula!E88+Formula!G88+Formula!I88+Formula!K88))*(INDEX(Properties!A$1:CB$87,Formula!B88,45))+((Formula!E88)/(Formula!C88+Formula!E88+Formula!G88+Formula!I88+Formula!K88))*(INDEX(Properties!A$1:CB$87,Formula!D88,45))+((Formula!G88)/(Formula!C88+Formula!E88+Formula!G88+Formula!I88+Formula!K88))*(INDEX(Properties!A$1:CB$87,Formula!F88,45))+((Formula!I88)/(Formula!C88+Formula!E88+Formula!G88+Formula!I88+Formula!K88))*(INDEX(Properties!A$1:CB$87,Formula!H88,45))+((Formula!K88)/(Formula!C88+Formula!E88+Formula!G88+Formula!I88+Formula!K88))*(INDEX(Properties!A$1:CB$87,Formula!J88,45))</f>
        <v>1.2123076923076923</v>
      </c>
      <c r="EE88" s="48">
        <f>Formula!C88*(INDEX(Properties!A$1:CB$87,Formula!B88,45))+Formula!E88*(INDEX(Properties!A$1:CB$87,Formula!D88,45))+Formula!G88*(INDEX(Properties!A$1:CB$87,Formula!F88,45))+Formula!I88*(INDEX(Properties!A$1:CB$87,Formula!H88,45))+Formula!K88*(INDEX(Properties!A$1:CB$87,Formula!J88,45))</f>
        <v>47.28</v>
      </c>
      <c r="EF88" s="48">
        <f>VARP(IF(INDEX(Properties!A$1:CB$87,Formula!B88,45)&lt;&gt;"",INDEX(Properties!A$1:CB$87,Formula!B88,45)),IF(INDEX(Properties!A$1:CB$87,Formula!D88,45)&lt;&gt;"",INDEX(Properties!A$1:CB$87,Formula!D88,45)),IF(INDEX(Properties!A$1:CB$87,Formula!F88,45)&lt;&gt;"",INDEX(Properties!A$1:CB$87,Formula!F88,45)),IF(INDEX(Properties!A$1:CB$87,Formula!H88,45)&lt;&gt;"",INDEX(Properties!A$1:CB$87,Formula!H88,45)),IF(INDEX(Properties!A$1:CB$87,Formula!J88,45)&lt;&gt;"",INDEX(Properties!A$1:CB$87,Formula!J88,45)))</f>
        <v>1.6039040000000007</v>
      </c>
      <c r="EG88" s="48">
        <f>MAX(INDEX(Properties!A$1:CB$87,Formula!B88,45),INDEX(Properties!A$1:CB$87,Formula!D88,45),INDEX(Properties!A$1:CB$87,Formula!F88,45),INDEX(Properties!A$1:CB$87,Formula!H88,45),INDEX(Properties!A$1:CB$87,Formula!J88,45))</f>
        <v>3.08</v>
      </c>
      <c r="EH88" s="48">
        <f>MIN(IF(INDEX(Properties!A$1:CB$87,Formula!B88,45)=0,10^6,INDEX(Properties!A$1:CB$87,Formula!B88,45)),IF(INDEX(Properties!A$1:CB$87,Formula!D88,45)=0,10^6,INDEX(Properties!A$1:CB$87,Formula!D88,45)),IF(INDEX(Properties!A$1:CB$87,Formula!F88,45)=0,10^6,INDEX(Properties!A$1:CB$87,Formula!F88,45)),IF(INDEX(Properties!A$1:CB$87,Formula!H88,45)=0,10^6,INDEX(Properties!A$1:CB$87,Formula!H88,45)),IF(INDEX(Properties!A$1:CB$87,Formula!J88,45)=0,10^6,INDEX(Properties!A$1:CB$87,Formula!J88,45)))</f>
        <v>0.47</v>
      </c>
      <c r="EI88" s="48">
        <f t="shared" si="54"/>
        <v>2.6100000000000003</v>
      </c>
      <c r="EJ88" s="66">
        <f>((Formula!C88)/(Formula!C88+Formula!E88+Formula!G88+Formula!I88+Formula!K88))*(INDEX(Properties!A$1:CB$87,Formula!B88,46))+((Formula!E88)/(Formula!C88+Formula!E88+Formula!G88+Formula!I88+Formula!K88))*(INDEX(Properties!A$1:CB$87,Formula!D88,46))+((Formula!G88)/(Formula!C88+Formula!E88+Formula!G88+Formula!I88+Formula!K88))*(INDEX(Properties!A$1:CB$87,Formula!F88,46))+((Formula!I88)/(Formula!C88+Formula!E88+Formula!G88+Formula!I88+Formula!K88))*(INDEX(Properties!A$1:CB$87,Formula!H88,46))+((Formula!K88)/(Formula!C88+Formula!E88+Formula!G88+Formula!I88+Formula!K88))*(INDEX(Properties!A$1:CB$87,Formula!J88,46))</f>
        <v>1.1030769230769231</v>
      </c>
      <c r="EK88" s="66">
        <f>Formula!C88*(INDEX(Properties!A$1:CB$87,Formula!B88,46))+Formula!E88*(INDEX(Properties!A$1:CB$87,Formula!D88,46))+Formula!G88*(INDEX(Properties!A$1:CB$87,Formula!F88,46))+Formula!I88*(INDEX(Properties!A$1:CB$87,Formula!H88,46))+Formula!K88*(INDEX(Properties!A$1:CB$87,Formula!J88,46))</f>
        <v>43.019999999999996</v>
      </c>
      <c r="EL88" s="66">
        <f>VARP(IF(INDEX(Properties!A$1:CB$87,Formula!B88,46)&lt;&gt;"",INDEX(Properties!A$1:CB$87,Formula!B88,46)),IF(INDEX(Properties!A$1:CB$87,Formula!D88,46)&lt;&gt;"",INDEX(Properties!A$1:CB$87,Formula!D88,46)),IF(INDEX(Properties!A$1:CB$87,Formula!F88,46)&lt;&gt;"",INDEX(Properties!A$1:CB$87,Formula!F88,46)),IF(INDEX(Properties!A$1:CB$87,Formula!H88,46)&lt;&gt;"",INDEX(Properties!A$1:CB$87,Formula!H88,46)),IF(INDEX(Properties!A$1:CB$87,Formula!J88,46)&lt;&gt;"",INDEX(Properties!A$1:CB$87,Formula!J88,46)))</f>
        <v>0.27897600000000028</v>
      </c>
      <c r="EM88" s="66">
        <f>MAX(INDEX(Properties!A$1:CB$87,Formula!B88,46),INDEX(Properties!A$1:CB$87,Formula!D88,46),INDEX(Properties!A$1:CB$87,Formula!F88,46),INDEX(Properties!A$1:CB$87,Formula!H88,46),INDEX(Properties!A$1:CB$87,Formula!J88,46))</f>
        <v>1.36</v>
      </c>
      <c r="EN88" s="66">
        <f>MIN(IF(INDEX(Properties!A$1:CB$87,Formula!B88,46)=0,10^6,INDEX(Properties!A$1:CB$87,Formula!B88,46)),IF(INDEX(Properties!A$1:CB$87,Formula!D88,46)=0,10^6,INDEX(Properties!A$1:CB$87,Formula!D88,46)),IF(INDEX(Properties!A$1:CB$87,Formula!F88,46)=0,10^6,INDEX(Properties!A$1:CB$87,Formula!F88,46)),IF(INDEX(Properties!A$1:CB$87,Formula!H88,46)=0,10^6,INDEX(Properties!A$1:CB$87,Formula!H88,46)),IF(INDEX(Properties!A$1:CB$87,Formula!J88,46)=0,10^6,INDEX(Properties!A$1:CB$87,Formula!J88,46)))</f>
        <v>0.4</v>
      </c>
      <c r="EO88" s="66">
        <f t="shared" si="55"/>
        <v>0.96000000000000008</v>
      </c>
      <c r="EP88" s="81">
        <f>((Formula!C88)/(Formula!C88+Formula!E88+Formula!G88+Formula!I88+Formula!K88))*(INDEX(Properties!A$1:CB$87,Formula!B88,52))+((Formula!E88)/(Formula!C88+Formula!E88+Formula!G88+Formula!I88+Formula!K88))*(INDEX(Properties!A$1:CB$87,Formula!D88,52))+((Formula!G88)/(Formula!C88+Formula!E88+Formula!G88+Formula!I88+Formula!K88))*(INDEX(Properties!A$1:CB$87,Formula!F88,52))+((Formula!I88)/(Formula!C88+Formula!E88+Formula!G88+Formula!I88+Formula!K88))*(INDEX(Properties!A$1:CB$87,Formula!H88,52))+((Formula!K88)/(Formula!C88+Formula!E88+Formula!G88+Formula!I88+Formula!K88))*(INDEX(Properties!A$1:CB$87,Formula!J88,52))</f>
        <v>7.8572307692307701</v>
      </c>
      <c r="EQ88" s="81">
        <f>Formula!C88*(INDEX(Properties!A$1:CB$87,Formula!B88,52))+Formula!E88*(INDEX(Properties!A$1:CB$87,Formula!D88,52))+Formula!G88*(INDEX(Properties!A$1:CB$87,Formula!F88,52))+Formula!I88*(INDEX(Properties!A$1:CB$87,Formula!H88,52))+Formula!K88*(INDEX(Properties!A$1:CB$87,Formula!J88,52))</f>
        <v>306.43200000000002</v>
      </c>
      <c r="ER88" s="81">
        <f>VARP(IF(INDEX(Properties!A$1:CB$87,Formula!B88,52)&lt;&gt;"",INDEX(Properties!A$1:CB$87,Formula!B88,52)),IF(INDEX(Properties!A$1:CB$87,Formula!D88,52)&lt;&gt;"",INDEX(Properties!A$1:CB$87,Formula!D88,52)),IF(INDEX(Properties!A$1:CB$87,Formula!F88,52)&lt;&gt;"",INDEX(Properties!A$1:CB$87,Formula!F88,52)),IF(INDEX(Properties!A$1:CB$87,Formula!H88,52)&lt;&gt;"",INDEX(Properties!A$1:CB$87,Formula!H88,52)),IF(INDEX(Properties!A$1:CB$87,Formula!J88,52)&lt;&gt;"",INDEX(Properties!A$1:CB$87,Formula!J88,52)))</f>
        <v>158.92102384</v>
      </c>
      <c r="ES88" s="81">
        <f>MAX(INDEX(Properties!A$1:CB$87,Formula!B88,52),INDEX(Properties!A$1:CB$87,Formula!D88,52),INDEX(Properties!A$1:CB$87,Formula!F88,52),INDEX(Properties!A$1:CB$87,Formula!H88,52),INDEX(Properties!A$1:CB$87,Formula!J88,52))</f>
        <v>31.1</v>
      </c>
      <c r="ET88" s="81">
        <f>MIN(IF(INDEX(Properties!A$1:CB$87,Formula!B88,52)=0,10^6,INDEX(Properties!A$1:CB$87,Formula!B88,52)),IF(INDEX(Properties!A$1:CB$87,Formula!D88,52)=0,10^6,INDEX(Properties!A$1:CB$87,Formula!D88,52)),IF(INDEX(Properties!A$1:CB$87,Formula!F88,52)=0,10^6,INDEX(Properties!A$1:CB$87,Formula!F88,52)),IF(INDEX(Properties!A$1:CB$87,Formula!H88,52)=0,10^6,INDEX(Properties!A$1:CB$87,Formula!H88,52)),IF(INDEX(Properties!A$1:CB$87,Formula!J88,52)=0,10^6,INDEX(Properties!A$1:CB$87,Formula!J88,52)))</f>
        <v>0.79300000000000004</v>
      </c>
      <c r="EU88" s="81">
        <f t="shared" si="56"/>
        <v>30.307000000000002</v>
      </c>
      <c r="EV88" s="39">
        <f>((Formula!C88)/(Formula!C88+Formula!E88+Formula!G88+Formula!I88+Formula!K88))*(INDEX(Properties!A$1:CB$87,Formula!B88,53))+((Formula!E88)/(Formula!C88+Formula!E88+Formula!G88+Formula!I88+Formula!K88))*(INDEX(Properties!A$1:CB$87,Formula!D88,53))+((Formula!G88)/(Formula!C88+Formula!E88+Formula!G88+Formula!I88+Formula!K88))*(INDEX(Properties!A$1:CB$87,Formula!F88,53))+((Formula!I88)/(Formula!C88+Formula!E88+Formula!G88+Formula!I88+Formula!K88))*(INDEX(Properties!A$1:CB$87,Formula!H88,53))+((Formula!K88)/(Formula!C88+Formula!E88+Formula!G88+Formula!I88+Formula!K88))*(INDEX(Properties!A$1:CB$87,Formula!J88,53))</f>
        <v>561.75</v>
      </c>
      <c r="EW88" s="39">
        <f>Formula!C88*(INDEX(Properties!A$1:CB$87,Formula!B88,53))+Formula!E88*(INDEX(Properties!A$1:CB$87,Formula!D88,53))+Formula!G88*(INDEX(Properties!A$1:CB$87,Formula!F88,53))+Formula!I88*(INDEX(Properties!A$1:CB$87,Formula!H88,53))+Formula!K88*(INDEX(Properties!A$1:CB$87,Formula!J88,53))</f>
        <v>21908.25</v>
      </c>
      <c r="EX88" s="39">
        <f>VARP(IF(INDEX(Properties!A$1:CB$87,Formula!B88,53)&lt;&gt;"",INDEX(Properties!A$1:CB$87,Formula!B88,53)),IF(INDEX(Properties!A$1:CB$87,Formula!D88,53)&lt;&gt;"",INDEX(Properties!A$1:CB$87,Formula!D88,53)),IF(INDEX(Properties!A$1:CB$87,Formula!F88,53)&lt;&gt;"",INDEX(Properties!A$1:CB$87,Formula!F88,53)),IF(INDEX(Properties!A$1:CB$87,Formula!H88,53)&lt;&gt;"",INDEX(Properties!A$1:CB$87,Formula!H88,53)),IF(INDEX(Properties!A$1:CB$87,Formula!J88,53)&lt;&gt;"",INDEX(Properties!A$1:CB$87,Formula!J88,53)))</f>
        <v>445396.55640000018</v>
      </c>
      <c r="EY88" s="39">
        <f>MAX(INDEX(Properties!A$1:CB$87,Formula!B88,53),INDEX(Properties!A$1:CB$87,Formula!D88,53),INDEX(Properties!A$1:CB$87,Formula!F88,53),INDEX(Properties!A$1:CB$87,Formula!H88,53),INDEX(Properties!A$1:CB$87,Formula!J88,53))</f>
        <v>1683.15</v>
      </c>
      <c r="EZ88" s="39">
        <f>MIN(IF(INDEX(Properties!A$1:CB$87,Formula!B88,53)=0,10^6,INDEX(Properties!A$1:CB$87,Formula!B88,53)),IF(INDEX(Properties!A$1:CB$87,Formula!D88,53)=0,10^6,INDEX(Properties!A$1:CB$87,Formula!D88,53)),IF(INDEX(Properties!A$1:CB$87,Formula!F88,53)=0,10^6,INDEX(Properties!A$1:CB$87,Formula!F88,53)),IF(INDEX(Properties!A$1:CB$87,Formula!H88,53)=0,10^6,INDEX(Properties!A$1:CB$87,Formula!H88,53)),IF(INDEX(Properties!A$1:CB$87,Formula!J88,53)=0,10^6,INDEX(Properties!A$1:CB$87,Formula!J88,53)))</f>
        <v>54.749999999999972</v>
      </c>
      <c r="FA88" s="39">
        <f t="shared" si="57"/>
        <v>1628.4</v>
      </c>
      <c r="FB88" s="54">
        <f>((Formula!C88)/(Formula!C88+Formula!E88+Formula!G88+Formula!I88+Formula!K88))*(INDEX(Properties!A$1:CB$87,Formula!B88,54))+((Formula!E88)/(Formula!C88+Formula!E88+Formula!G88+Formula!I88+Formula!K88))*(INDEX(Properties!A$1:CB$87,Formula!D88,54))+((Formula!G88)/(Formula!C88+Formula!E88+Formula!G88+Formula!I88+Formula!K88))*(INDEX(Properties!A$1:CB$87,Formula!F88,54))+((Formula!I88)/(Formula!C88+Formula!E88+Formula!G88+Formula!I88+Formula!K88))*(INDEX(Properties!A$1:CB$87,Formula!H88,54))+((Formula!K88)/(Formula!C88+Formula!E88+Formula!G88+Formula!I88+Formula!K88))*(INDEX(Properties!A$1:CB$87,Formula!J88,54))</f>
        <v>1168.3807692307691</v>
      </c>
      <c r="FC88" s="54">
        <f>Formula!C88*(INDEX(Properties!A$1:CB$87,Formula!B88,54))+Formula!E88*(INDEX(Properties!A$1:CB$87,Formula!D88,54))+Formula!G88*(INDEX(Properties!A$1:CB$87,Formula!F88,54))+Formula!I88*(INDEX(Properties!A$1:CB$87,Formula!H88,54))+Formula!K88*(INDEX(Properties!A$1:CB$87,Formula!J88,54))</f>
        <v>45566.85</v>
      </c>
      <c r="FD88" s="54">
        <f>VARP(IF(INDEX(Properties!A$1:CB$87,Formula!B88,54)&lt;&gt;"",INDEX(Properties!A$1:CB$87,Formula!B88,54)),IF(INDEX(Properties!A$1:CB$87,Formula!D88,54)&lt;&gt;"",INDEX(Properties!A$1:CB$87,Formula!D88,54)),IF(INDEX(Properties!A$1:CB$87,Formula!F88,54)&lt;&gt;"",INDEX(Properties!A$1:CB$87,Formula!F88,54)),IF(INDEX(Properties!A$1:CB$87,Formula!H88,54)&lt;&gt;"",INDEX(Properties!A$1:CB$87,Formula!H88,54)),IF(INDEX(Properties!A$1:CB$87,Formula!J88,54)&lt;&gt;"",INDEX(Properties!A$1:CB$87,Formula!J88,54)))</f>
        <v>2087598.6675999998</v>
      </c>
      <c r="FE88" s="54">
        <f>MAX(INDEX(Properties!A$1:CB$87,Formula!B88,54),INDEX(Properties!A$1:CB$87,Formula!D88,54),INDEX(Properties!A$1:CB$87,Formula!F88,54),INDEX(Properties!A$1:CB$87,Formula!H88,54),INDEX(Properties!A$1:CB$87,Formula!J88,54))</f>
        <v>3727.15</v>
      </c>
      <c r="FF88" s="54">
        <f>MIN(IF(INDEX(Properties!A$1:CB$87,Formula!B88,54)=0,10^6,INDEX(Properties!A$1:CB$87,Formula!B88,54)),IF(INDEX(Properties!A$1:CB$87,Formula!D88,54)=0,10^6,INDEX(Properties!A$1:CB$87,Formula!D88,54)),IF(INDEX(Properties!A$1:CB$87,Formula!F88,54)=0,10^6,INDEX(Properties!A$1:CB$87,Formula!F88,54)),IF(INDEX(Properties!A$1:CB$87,Formula!H88,54)=0,10^6,INDEX(Properties!A$1:CB$87,Formula!H88,54)),IF(INDEX(Properties!A$1:CB$87,Formula!J88,54)=0,10^6,INDEX(Properties!A$1:CB$87,Formula!J88,54)))</f>
        <v>90.149999999999977</v>
      </c>
      <c r="FG88" s="54">
        <f t="shared" si="58"/>
        <v>3637</v>
      </c>
      <c r="FH88" s="69">
        <f>((Formula!C88)/(Formula!C88+Formula!E88+Formula!G88+Formula!I88+Formula!K88))*(INDEX(Properties!A$1:CB$87,Formula!B88,55))+((Formula!E88)/(Formula!C88+Formula!E88+Formula!G88+Formula!I88+Formula!K88))*(INDEX(Properties!A$1:CB$87,Formula!D88,55))+((Formula!G88)/(Formula!C88+Formula!E88+Formula!G88+Formula!I88+Formula!K88))*(INDEX(Properties!A$1:CB$87,Formula!F88,55))+((Formula!I88)/(Formula!C88+Formula!E88+Formula!G88+Formula!I88+Formula!K88))*(INDEX(Properties!A$1:CB$87,Formula!H88,55))+((Formula!K88)/(Formula!C88+Formula!E88+Formula!G88+Formula!I88+Formula!K88))*(INDEX(Properties!A$1:CB$87,Formula!J88,55))</f>
        <v>1.4247261538461538</v>
      </c>
      <c r="FI88" s="69">
        <f>Formula!C88*(INDEX(Properties!A$1:CB$87,Formula!B88,55))+Formula!E88*(INDEX(Properties!A$1:CB$87,Formula!D88,54))+Formula!G88*(INDEX(Properties!A$1:CB$87,Formula!F88,55))+Formula!I88*(INDEX(Properties!A$1:CB$87,Formula!H88,55))+Formula!K88*(INDEX(Properties!A$1:CB$87,Formula!J88,55))</f>
        <v>22381.564320000001</v>
      </c>
      <c r="FJ88" s="69">
        <f>VARP(IF(INDEX(Properties!A$1:CB$87,Formula!B88,55)&lt;&gt;"",INDEX(Properties!A$1:CB$87,Formula!B88,55)),IF(INDEX(Properties!A$1:CB$87,Formula!D88,55)&lt;&gt;"",INDEX(Properties!A$1:CB$87,Formula!D88,55)),IF(INDEX(Properties!A$1:CB$87,Formula!F88,55)&lt;&gt;"",INDEX(Properties!A$1:CB$87,Formula!F88,55)),IF(INDEX(Properties!A$1:CB$87,Formula!H88,55)&lt;&gt;"",INDEX(Properties!A$1:CB$87,Formula!H88,55)),IF(INDEX(Properties!A$1:CB$87,Formula!J88,55)&lt;&gt;"",INDEX(Properties!A$1:CB$87,Formula!J88,55)))</f>
        <v>5.1055968951840018</v>
      </c>
      <c r="FK88" s="69">
        <f>MAX(INDEX(Properties!A$1:CB$87,Formula!B88,55),INDEX(Properties!A$1:CB$87,Formula!D88,55),INDEX(Properties!A$1:CB$87,Formula!F88,55),INDEX(Properties!A$1:CB$87,Formula!H88,55),INDEX(Properties!A$1:CB$87,Formula!J88,55))</f>
        <v>6.15</v>
      </c>
      <c r="FL88" s="69">
        <f>MIN(IF(INDEX(Properties!A$1:CB$87,Formula!B88,55)=0,10^6,INDEX(Properties!A$1:CB$87,Formula!B88,55)),IF(INDEX(Properties!A$1:CB$87,Formula!D88,55)=0,10^6,INDEX(Properties!A$1:CB$87,Formula!D88,55)),IF(INDEX(Properties!A$1:CB$87,Formula!F88,55)=0,10^6,INDEX(Properties!A$1:CB$87,Formula!F88,55)),IF(INDEX(Properties!A$1:CB$87,Formula!H88,55)=0,10^6,INDEX(Properties!A$1:CB$87,Formula!H88,55)),IF(INDEX(Properties!A$1:CB$87,Formula!J88,55)=0,10^6,INDEX(Properties!A$1:CB$87,Formula!J88,55)))</f>
        <v>1.4300000000000001E-3</v>
      </c>
      <c r="FM88" s="69">
        <f t="shared" si="59"/>
        <v>6.1485700000000003</v>
      </c>
      <c r="FN88" s="42">
        <f>((Formula!C88)/(Formula!C88+Formula!E88+Formula!G88+Formula!I88+Formula!K88))*(INDEX(Properties!A$1:CB$87,Formula!B88,56))+((Formula!E88)/(Formula!C88+Formula!E88+Formula!G88+Formula!I88+Formula!K88))*(INDEX(Properties!A$1:CB$87,Formula!D88,56))+((Formula!G88)/(Formula!C88+Formula!E88+Formula!G88+Formula!I88+Formula!K88))*(INDEX(Properties!A$1:CB$87,Formula!F88,56))+((Formula!I88)/(Formula!C88+Formula!E88+Formula!G88+Formula!I88+Formula!K88))*(INDEX(Properties!A$1:CB$87,Formula!H88,56))+((Formula!K88)/(Formula!C88+Formula!E88+Formula!G88+Formula!I88+Formula!K88))*(INDEX(Properties!A$1:CB$87,Formula!J88,56))</f>
        <v>0.7530769230769232</v>
      </c>
      <c r="FO88" s="42">
        <f>Formula!C88*(INDEX(Properties!A$1:CB$87,Formula!B88,56))+Formula!E88*(INDEX(Properties!A$1:CB$87,Formula!D88,56))+Formula!G88*(INDEX(Properties!A$1:CB$87,Formula!F88,56))+Formula!I88*(INDEX(Properties!A$1:CB$87,Formula!H88,56))+Formula!K88*(INDEX(Properties!A$1:CB$87,Formula!J88,56))</f>
        <v>29.37</v>
      </c>
      <c r="FP88" s="42">
        <f>VARP(IF(INDEX(Properties!A$1:CB$87,Formula!B88,56)&lt;&gt;"",INDEX(Properties!A$1:CB$87,Formula!B88,56)),IF(INDEX(Properties!A$1:CB$87,Formula!D88,56)&lt;&gt;"",INDEX(Properties!A$1:CB$87,Formula!D88,56)),IF(INDEX(Properties!A$1:CB$87,Formula!F88,56)&lt;&gt;"",INDEX(Properties!A$1:CB$87,Formula!F88,56)),IF(INDEX(Properties!A$1:CB$87,Formula!H88,56)&lt;&gt;"",INDEX(Properties!A$1:CB$87,Formula!H88,56)),IF(INDEX(Properties!A$1:CB$87,Formula!J88,56)&lt;&gt;"",INDEX(Properties!A$1:CB$87,Formula!J88,56)))</f>
        <v>0.11659999999999997</v>
      </c>
      <c r="FQ88" s="42">
        <f>MAX(INDEX(Properties!A$1:CB$87,Formula!B88,56),INDEX(Properties!A$1:CB$87,Formula!D88,56),INDEX(Properties!A$1:CB$87,Formula!F88,56),INDEX(Properties!A$1:CB$87,Formula!H88,56),INDEX(Properties!A$1:CB$87,Formula!J88,56))</f>
        <v>0.92</v>
      </c>
      <c r="FR88" s="42">
        <f>MIN(IF(INDEX(Properties!A$1:CB$87,Formula!B88,56)=0,10^6,INDEX(Properties!A$1:CB$87,Formula!B88,56)),IF(INDEX(Properties!A$1:CB$87,Formula!D88,56)=0,10^6,INDEX(Properties!A$1:CB$87,Formula!D88,56)),IF(INDEX(Properties!A$1:CB$87,Formula!F88,56)=0,10^6,INDEX(Properties!A$1:CB$87,Formula!F88,56)),IF(INDEX(Properties!A$1:CB$87,Formula!H88,56)=0,10^6,INDEX(Properties!A$1:CB$87,Formula!H88,56)),IF(INDEX(Properties!A$1:CB$87,Formula!J88,56)=0,10^6,INDEX(Properties!A$1:CB$87,Formula!J88,56)))</f>
        <v>0.19</v>
      </c>
      <c r="FS88" s="42">
        <f t="shared" si="60"/>
        <v>0.73</v>
      </c>
      <c r="FT88" s="60">
        <f>((Formula!C88)/(Formula!C88+Formula!E88+Formula!G88+Formula!I88+Formula!K88))*(INDEX(Properties!A$1:CB$87,Formula!B88,57))+((Formula!E88)/(Formula!C88+Formula!E88+Formula!G88+Formula!I88+Formula!K88))*(INDEX(Properties!A$1:CB$87,Formula!D88,57))+((Formula!G88)/(Formula!C88+Formula!E88+Formula!G88+Formula!I88+Formula!K88))*(INDEX(Properties!A$1:CB$87,Formula!F88,57))+((Formula!I88)/(Formula!C88+Formula!E88+Formula!G88+Formula!I88+Formula!K88))*(INDEX(Properties!A$1:CB$87,Formula!H88,57))+((Formula!K88)/(Formula!C88+Formula!E88+Formula!G88+Formula!I88+Formula!K88))*(INDEX(Properties!A$1:CB$87,Formula!J88,57))</f>
        <v>9.5246707692307702</v>
      </c>
      <c r="FU88" s="60">
        <f>Formula!C88*(INDEX(Properties!A$1:CB$87,Formula!B88,57))+Formula!E88*(INDEX(Properties!A$1:CB$87,Formula!D88,57))+Formula!G88*(INDEX(Properties!A$1:CB$87,Formula!F88,57))+Formula!I88*(INDEX(Properties!A$1:CB$87,Formula!H88,57))+Formula!K88*(INDEX(Properties!A$1:CB$87,Formula!J88,57))</f>
        <v>371.46215999999993</v>
      </c>
      <c r="FV88" s="60">
        <f>VARP(IF(INDEX(Properties!A$1:CB$87,Formula!B88,57)&lt;&gt;"",INDEX(Properties!A$1:CB$87,Formula!B88,57)),IF(INDEX(Properties!A$1:CB$87,Formula!D88,57)&lt;&gt;"",INDEX(Properties!A$1:CB$87,Formula!D88,57)),IF(INDEX(Properties!A$1:CB$87,Formula!F88,57)&lt;&gt;"",INDEX(Properties!A$1:CB$87,Formula!F88,57)),IF(INDEX(Properties!A$1:CB$87,Formula!H88,57)&lt;&gt;"",INDEX(Properties!A$1:CB$87,Formula!H88,57)),IF(INDEX(Properties!A$1:CB$87,Formula!J88,57)&lt;&gt;"",INDEX(Properties!A$1:CB$87,Formula!J88,57)))</f>
        <v>361.66875132129599</v>
      </c>
      <c r="FW88" s="60">
        <f>MAX(INDEX(Properties!A$1:CB$87,Formula!B88,57),INDEX(Properties!A$1:CB$87,Formula!D88,57),INDEX(Properties!A$1:CB$87,Formula!F88,57),INDEX(Properties!A$1:CB$87,Formula!H88,57),INDEX(Properties!A$1:CB$87,Formula!J88,57))</f>
        <v>50.55</v>
      </c>
      <c r="FX88" s="60">
        <f>MIN(IF(INDEX(Properties!A$1:CB$87,Formula!B88,57)=0,10^6,INDEX(Properties!A$1:CB$87,Formula!B88,57)),IF(INDEX(Properties!A$1:CB$87,Formula!D88,57)=0,10^6,INDEX(Properties!A$1:CB$87,Formula!D88,57)),IF(INDEX(Properties!A$1:CB$87,Formula!F88,57)=0,10^6,INDEX(Properties!A$1:CB$87,Formula!F88,57)),IF(INDEX(Properties!A$1:CB$87,Formula!H88,57)=0,10^6,INDEX(Properties!A$1:CB$87,Formula!H88,57)),IF(INDEX(Properties!A$1:CB$87,Formula!J88,57)=0,10^6,INDEX(Properties!A$1:CB$87,Formula!J88,57)))</f>
        <v>0.22259000000000001</v>
      </c>
      <c r="FY88" s="60">
        <f t="shared" si="61"/>
        <v>50.32741</v>
      </c>
      <c r="FZ88" s="72">
        <f>((Formula!C88)/(Formula!C88+Formula!E88+Formula!G88+Formula!I88+Formula!K88))*(INDEX(Properties!A$1:CB$87,Formula!B88,60))+((Formula!E88)/(Formula!C88+Formula!E88+Formula!G88+Formula!I88+Formula!K88))*(INDEX(Properties!A$1:CB$87,Formula!D88,60))+((Formula!G88)/(Formula!C88+Formula!E88+Formula!G88+Formula!I88+Formula!K88))*(INDEX(Properties!A$1:CB$87,Formula!F88,60))+((Formula!I88)/(Formula!C88+Formula!E88+Formula!G88+Formula!I88+Formula!K88))*(INDEX(Properties!A$1:CB$87,Formula!H88,60))+((Formula!K88)/(Formula!C88+Formula!E88+Formula!G88+Formula!I88+Formula!K88))*(INDEX(Properties!A$1:CB$87,Formula!J88,60))</f>
        <v>40.247224615384617</v>
      </c>
      <c r="GA88" s="72">
        <f>Formula!C88*(INDEX(Properties!A$1:CB$87,Formula!B88,60))+Formula!E88*(INDEX(Properties!A$1:CB$87,Formula!D88,60))+Formula!G88*(INDEX(Properties!A$1:CB$87,Formula!F88,60))+Formula!I88*(INDEX(Properties!A$1:CB$87,Formula!H88,60))+Formula!K88*(INDEX(Properties!A$1:CB$87,Formula!J88,60))</f>
        <v>1569.64176</v>
      </c>
      <c r="GB88" s="72">
        <f>VARP(IF(INDEX(Properties!A$1:CB$87,Formula!B88,60)&lt;&gt;"",INDEX(Properties!A$1:CB$87,Formula!B88,60)),IF(INDEX(Properties!A$1:CB$87,Formula!D88,60)&lt;&gt;"",INDEX(Properties!A$1:CB$87,Formula!D88,60)),IF(INDEX(Properties!A$1:CB$87,Formula!F88,60)&lt;&gt;"",INDEX(Properties!A$1:CB$87,Formula!F88,60)),IF(INDEX(Properties!A$1:CB$87,Formula!H88,60)&lt;&gt;"",INDEX(Properties!A$1:CB$87,Formula!H88,60)),IF(INDEX(Properties!A$1:CB$87,Formula!J88,60)&lt;&gt;"",INDEX(Properties!A$1:CB$87,Formula!J88,60)))</f>
        <v>7189.1867936044155</v>
      </c>
      <c r="GC88" s="72">
        <f>MAX(INDEX(Properties!A$1:CB$87,Formula!B88,60),INDEX(Properties!A$1:CB$87,Formula!D88,60),INDEX(Properties!A$1:CB$87,Formula!F88,60),INDEX(Properties!A$1:CB$87,Formula!H88,60),INDEX(Properties!A$1:CB$87,Formula!J88,60))</f>
        <v>200</v>
      </c>
      <c r="GD88" s="72">
        <f>MIN(IF(INDEX(Properties!A$1:CB$87,Formula!B88,60)=0,10^6,INDEX(Properties!A$1:CB$87,Formula!B88,60)),IF(INDEX(Properties!A$1:CB$87,Formula!D88,60)=0,10^6,INDEX(Properties!A$1:CB$87,Formula!D88,60)),IF(INDEX(Properties!A$1:CB$87,Formula!F88,60)=0,10^6,INDEX(Properties!A$1:CB$87,Formula!F88,60)),IF(INDEX(Properties!A$1:CB$87,Formula!H88,60)=0,10^6,INDEX(Properties!A$1:CB$87,Formula!H88,60)),IF(INDEX(Properties!A$1:CB$87,Formula!J88,60)=0,10^6,INDEX(Properties!A$1:CB$87,Formula!J88,60)))</f>
        <v>2.674E-2</v>
      </c>
      <c r="GE88" s="72">
        <f t="shared" si="62"/>
        <v>199.97326000000001</v>
      </c>
      <c r="GF88" s="51">
        <f>((Formula!C88)/(Formula!C88+Formula!E88+Formula!G88+Formula!I88+Formula!K88))*(INDEX(Properties!A$1:CB$87,Formula!B88,62))+((Formula!E88)/(Formula!C88+Formula!E88+Formula!G88+Formula!I88+Formula!K88))*(INDEX(Properties!A$1:CB$87,Formula!D88,62))+((Formula!G88)/(Formula!C88+Formula!E88+Formula!G88+Formula!I88+Formula!K88))*(INDEX(Properties!A$1:CB$87,Formula!F88,62))+((Formula!I88)/(Formula!C88+Formula!E88+Formula!G88+Formula!I88+Formula!K88))*(INDEX(Properties!A$1:CB$87,Formula!H88,62))+((Formula!K88)/(Formula!C88+Formula!E88+Formula!G88+Formula!I88+Formula!K88))*(INDEX(Properties!A$1:CB$87,Formula!J88,62))</f>
        <v>3.1538461538461542</v>
      </c>
      <c r="GG88" s="51">
        <f>Formula!C88*(INDEX(Properties!A$1:CB$87,Formula!B88,62))+Formula!E88*(INDEX(Properties!A$1:CB$87,Formula!D88,62))+Formula!G88*(INDEX(Properties!A$1:CB$87,Formula!F88,62))+Formula!I88*(INDEX(Properties!A$1:CB$87,Formula!H88,62))+Formula!K88*(INDEX(Properties!A$1:CB$87,Formula!J88,62))</f>
        <v>123</v>
      </c>
      <c r="GH88" s="51">
        <f>VARP(IF(INDEX(Properties!A$1:CB$87,Formula!B88,62)&lt;&gt;"",INDEX(Properties!A$1:CB$87,Formula!B88,62)),IF(INDEX(Properties!A$1:CB$87,Formula!D88,62)&lt;&gt;"",INDEX(Properties!A$1:CB$87,Formula!D88,62)),IF(INDEX(Properties!A$1:CB$87,Formula!F88,62)&lt;&gt;"",INDEX(Properties!A$1:CB$87,Formula!F88,62)),IF(INDEX(Properties!A$1:CB$87,Formula!H88,62)&lt;&gt;"",INDEX(Properties!A$1:CB$87,Formula!H88,62)),IF(INDEX(Properties!A$1:CB$87,Formula!J88,62)&lt;&gt;"",INDEX(Properties!A$1:CB$87,Formula!J88,62)))</f>
        <v>2.9786160000000019</v>
      </c>
      <c r="GI88" s="51">
        <f>MAX(INDEX(Properties!A$1:CB$87,Formula!B88,62),INDEX(Properties!A$1:CB$87,Formula!D88,62),INDEX(Properties!A$1:CB$87,Formula!F88,62),INDEX(Properties!A$1:CB$87,Formula!H88,62),INDEX(Properties!A$1:CB$87,Formula!J88,62))</f>
        <v>4.63</v>
      </c>
      <c r="GJ88" s="51">
        <f>MIN(IF(INDEX(Properties!A$1:CB$87,Formula!B88,62)=0,10^6,INDEX(Properties!A$1:CB$87,Formula!B88,62)),IF(INDEX(Properties!A$1:CB$87,Formula!D88,62)=0,10^6,INDEX(Properties!A$1:CB$87,Formula!D88,62)),IF(INDEX(Properties!A$1:CB$87,Formula!F88,62)=0,10^6,INDEX(Properties!A$1:CB$87,Formula!F88,62)),IF(INDEX(Properties!A$1:CB$87,Formula!H88,62)=0,10^6,INDEX(Properties!A$1:CB$87,Formula!H88,62)),IF(INDEX(Properties!A$1:CB$87,Formula!J88,62)=0,10^6,INDEX(Properties!A$1:CB$87,Formula!J88,62)))</f>
        <v>1.84</v>
      </c>
      <c r="GK88" s="51">
        <f t="shared" si="63"/>
        <v>2.79</v>
      </c>
      <c r="GL88" s="51">
        <f>Formula!P88</f>
        <v>176</v>
      </c>
      <c r="GM88" s="57">
        <f>Formula!O88</f>
        <v>6</v>
      </c>
      <c r="GN88" s="51">
        <f>Formula!N88</f>
        <v>0.08</v>
      </c>
    </row>
    <row r="89" spans="1:196" x14ac:dyDescent="0.3">
      <c r="A89" s="84" t="str">
        <f>Formula!A89</f>
        <v>Sr2CaTeO6</v>
      </c>
      <c r="B89" s="89">
        <f>((Formula!C89)/(Formula!C89+Formula!E89+Formula!G89+Formula!I89+Formula!K89))*(INDEX(Properties!A$1:CB$87,Formula!B89,3))+((Formula!E89)/(Formula!C89+Formula!E89+Formula!G89+Formula!I89+Formula!K89))*(INDEX(Properties!A$1:CB$87,Formula!D89,3))+((Formula!G89)/(Formula!C89+Formula!E89+Formula!G89+Formula!I89+Formula!K89))*(INDEX(Properties!A$1:CB$87,Formula!F89,3))+((Formula!I89)/(Formula!C89+Formula!E89+Formula!G89+Formula!I89+Formula!K89))*(INDEX(Properties!A$1:CB$87,Formula!H89,3))+((Formula!K89)/(Formula!C89+Formula!E89+Formula!G89+Formula!I89+Formula!K89))*(INDEX(Properties!A$1:CB$87,Formula!J89,3))</f>
        <v>43.891440000000003</v>
      </c>
      <c r="C89" s="85">
        <f>Formula!C89*(INDEX(Properties!A$1:CB$87,Formula!B89,3))+Formula!E89*(INDEX(Properties!A$1:CB$87,Formula!D89,3))+Formula!G89*(INDEX(Properties!A$1:CB$87,Formula!F89,3))+Formula!I89*(INDEX(Properties!A$1:CB$87,Formula!H89,3))+Formula!K89*(INDEX(Properties!A$1:CB$87,Formula!J89,3))</f>
        <v>438.9144</v>
      </c>
      <c r="D89" s="85">
        <f>VARP(IF(INDEX(Properties!A$1:CB$87,Formula!B89,3)&lt;&gt;"",INDEX(Properties!A$1:CB$87,Formula!B89,3)),IF(INDEX(Properties!A$1:CB$87,Formula!D89,3)&lt;&gt;"",INDEX(Properties!A$1:CB$87,Formula!D89,3)),IF(INDEX(Properties!A$1:CB$87,Formula!F89,3)&lt;&gt;"",INDEX(Properties!A$1:CB$87,Formula!F89,3)),IF(INDEX(Properties!A$1:CB$87,Formula!H89,3)&lt;&gt;"",INDEX(Properties!A$1:CB$87,Formula!H89,3)),IF(INDEX(Properties!A$1:CB$87,Formula!J89,3)&lt;&gt;"",INDEX(Properties!A$1:CB$87,Formula!J89,3)))</f>
        <v>2220.1590870016003</v>
      </c>
      <c r="E89" s="85">
        <f>MAX(INDEX(Properties!A$1:CB$87,Formula!B89,3),INDEX(Properties!A$1:CB$87,Formula!D89,3),INDEX(Properties!A$1:CB$87,Formula!F89,3),INDEX(Properties!A$1:CB$87,Formula!H89,3),INDEX(Properties!A$1:CB$87,Formula!J89,3))</f>
        <v>127.6</v>
      </c>
      <c r="F89" s="85">
        <f>MIN(IF(INDEX(Properties!A$1:CB$87,Formula!B89,3)=0,10^6,INDEX(Properties!A$1:CB$87,Formula!B89,3)),IF(INDEX(Properties!A$1:CB$87,Formula!D89,3)=0,10^6,INDEX(Properties!A$1:CB$87,Formula!D89,3)),IF(INDEX(Properties!A$1:CB$87,Formula!F89,3)=0,10^6,INDEX(Properties!A$1:CB$87,Formula!F89,3)),IF(INDEX(Properties!A$1:CB$87,Formula!H89,3)=0,10^6,INDEX(Properties!A$1:CB$87,Formula!H89,3)),IF(INDEX(Properties!A$1:CB$87,Formula!J89,3)=0,10^6,INDEX(Properties!A$1:CB$87,Formula!J89,3)))</f>
        <v>15.9994</v>
      </c>
      <c r="G89" s="85">
        <f t="shared" si="32"/>
        <v>111.6006</v>
      </c>
      <c r="H89" s="87">
        <f>((Formula!C89)/(Formula!C89+Formula!E89+Formula!G89+Formula!I89+Formula!K89))*(INDEX(Properties!A$1:CB$87,Formula!B89,4))+((Formula!E89)/(Formula!C89+Formula!E89+Formula!G89+Formula!I89+Formula!K89))*(INDEX(Properties!A$1:CB$87,Formula!D89,4))+((Formula!G89)/(Formula!C89+Formula!E89+Formula!G89+Formula!I89+Formula!K89))*(INDEX(Properties!A$1:CB$87,Formula!F89,4))+((Formula!I89)/(Formula!C89+Formula!E89+Formula!G89+Formula!I89+Formula!K89))*(INDEX(Properties!A$1:CB$87,Formula!H89,4))+((Formula!K89)/(Formula!C89+Formula!E89+Formula!G89+Formula!I89+Formula!K89))*(INDEX(Properties!A$1:CB$87,Formula!J89,4))</f>
        <v>19.600000000000001</v>
      </c>
      <c r="I89" s="87">
        <f>Formula!C89*(INDEX(Properties!A$1:CB$87,Formula!B89,4))+Formula!E89*(INDEX(Properties!A$1:CB$87,Formula!D89,4))+Formula!G89*(INDEX(Properties!A$1:CB$87,Formula!F89,4))+Formula!I89*(INDEX(Properties!A$1:CB$87,Formula!H89,4))+Formula!K89*(INDEX(Properties!A$1:CB$87,Formula!J89,4))</f>
        <v>196</v>
      </c>
      <c r="J89" s="87">
        <f>VARP(IF(INDEX(Properties!A$1:CB$87,Formula!B89,4)&lt;&gt;"",INDEX(Properties!A$1:CB$87,Formula!B89,4)),IF(INDEX(Properties!A$1:CB$87,Formula!D89,4)&lt;&gt;"",INDEX(Properties!A$1:CB$87,Formula!D89,4)),IF(INDEX(Properties!A$1:CB$87,Formula!F89,4)&lt;&gt;"",INDEX(Properties!A$1:CB$87,Formula!F89,4)),IF(INDEX(Properties!A$1:CB$87,Formula!H89,4)&lt;&gt;"",INDEX(Properties!A$1:CB$87,Formula!H89,4)),IF(INDEX(Properties!A$1:CB$87,Formula!J89,4)&lt;&gt;"",INDEX(Properties!A$1:CB$87,Formula!J89,4)))</f>
        <v>365.44</v>
      </c>
      <c r="K89" s="87">
        <f>MAX(INDEX(Properties!A$1:CB$87,Formula!B89,4),INDEX(Properties!A$1:CB$87,Formula!D89,4),INDEX(Properties!A$1:CB$87,Formula!F89,4),INDEX(Properties!A$1:CB$87,Formula!H89,4),INDEX(Properties!A$1:CB$87,Formula!J89,4))</f>
        <v>52</v>
      </c>
      <c r="L89" s="87">
        <f>MIN(IF(INDEX(Properties!A$1:CB$87,Formula!B89,4)=0,10^6,INDEX(Properties!A$1:CB$87,Formula!B89,4)),IF(INDEX(Properties!A$1:CB$87,Formula!D89,4)=0,10^6,INDEX(Properties!A$1:CB$87,Formula!D89,4)),IF(INDEX(Properties!A$1:CB$87,Formula!F89,4)=0,10^6,INDEX(Properties!A$1:CB$87,Formula!F89,4)),IF(INDEX(Properties!A$1:CB$87,Formula!H89,4)=0,10^6,INDEX(Properties!A$1:CB$87,Formula!H89,4)),IF(INDEX(Properties!A$1:CB$87,Formula!J89,4)=0,10^6,INDEX(Properties!A$1:CB$87,Formula!J89,4)))</f>
        <v>8</v>
      </c>
      <c r="M89" s="87">
        <f t="shared" si="33"/>
        <v>44</v>
      </c>
      <c r="N89" s="89">
        <f>((Formula!C89)/(Formula!C89+Formula!E89+Formula!G89+Formula!I89+Formula!K89))*(INDEX(Properties!A$1:CB$87,Formula!B89,5))+((Formula!E89)/(Formula!C89+Formula!E89+Formula!G89+Formula!I89+Formula!K89))*(INDEX(Properties!A$1:CB$87,Formula!D89,5))+((Formula!G89)/(Formula!C89+Formula!E89+Formula!G89+Formula!I89+Formula!K89))*(INDEX(Properties!A$1:CB$87,Formula!F89,5))+((Formula!I89)/(Formula!C89+Formula!E89+Formula!G89+Formula!I89+Formula!K89))*(INDEX(Properties!A$1:CB$87,Formula!H89,5))+((Formula!K89)/(Formula!C89+Formula!E89+Formula!G89+Formula!I89+Formula!K89))*(INDEX(Properties!A$1:CB$87,Formula!J89,5))</f>
        <v>3.0999999999999996</v>
      </c>
      <c r="O89" s="89">
        <f>Formula!C89*(INDEX(Properties!A$1:CB$87,Formula!B89,5))+Formula!E89*(INDEX(Properties!A$1:CB$87,Formula!D89,5))+Formula!G89*(INDEX(Properties!A$1:CB$87,Formula!F89,5))+Formula!I89*(INDEX(Properties!A$1:CB$87,Formula!H89,5))+Formula!K89*(INDEX(Properties!A$1:CB$87,Formula!J89,5))</f>
        <v>31</v>
      </c>
      <c r="P89" s="89">
        <f>VARP(IF(INDEX(Properties!A$1:CB$87,Formula!B89,5)&lt;&gt;"",INDEX(Properties!A$1:CB$87,Formula!B89,5)),IF(INDEX(Properties!A$1:CB$87,Formula!D89,5)&lt;&gt;"",INDEX(Properties!A$1:CB$87,Formula!D89,5)),IF(INDEX(Properties!A$1:CB$87,Formula!F89,5)&lt;&gt;"",INDEX(Properties!A$1:CB$87,Formula!F89,5)),IF(INDEX(Properties!A$1:CB$87,Formula!H89,5)&lt;&gt;"",INDEX(Properties!A$1:CB$87,Formula!H89,5)),IF(INDEX(Properties!A$1:CB$87,Formula!J89,5)&lt;&gt;"",INDEX(Properties!A$1:CB$87,Formula!J89,5)))</f>
        <v>3.76</v>
      </c>
      <c r="Q89" s="89">
        <f>MAX(INDEX(Properties!A$1:CB$87,Formula!B89,5),INDEX(Properties!A$1:CB$87,Formula!D89,5),INDEX(Properties!A$1:CB$87,Formula!F89,5),INDEX(Properties!A$1:CB$87,Formula!H89,5),INDEX(Properties!A$1:CB$87,Formula!J89,5))</f>
        <v>5</v>
      </c>
      <c r="R89" s="89">
        <f>MIN(IF(INDEX(Properties!A$1:CB$87,Formula!B89,5)=0,10^6,INDEX(Properties!A$1:CB$87,Formula!B89,5)),IF(INDEX(Properties!A$1:CB$87,Formula!D89,5)=0,10^6,INDEX(Properties!A$1:CB$87,Formula!D89,5)),IF(INDEX(Properties!A$1:CB$87,Formula!F89,5)=0,10^6,INDEX(Properties!A$1:CB$87,Formula!F89,5)),IF(INDEX(Properties!A$1:CB$87,Formula!H89,5)=0,10^6,INDEX(Properties!A$1:CB$87,Formula!H89,5)),IF(INDEX(Properties!A$1:CB$87,Formula!J89,5)=0,10^6,INDEX(Properties!A$1:CB$87,Formula!J89,5)))</f>
        <v>2</v>
      </c>
      <c r="S89" s="89">
        <f t="shared" si="34"/>
        <v>3</v>
      </c>
      <c r="T89" s="60">
        <f>((Formula!C89)/(Formula!C89+Formula!E89+Formula!G89+Formula!I89+Formula!K89))*(INDEX(Properties!A$1:CB$87,Formula!B89,6))+((Formula!E89)/(Formula!C89+Formula!E89+Formula!G89+Formula!I89+Formula!K89))*(INDEX(Properties!A$1:CB$87,Formula!D89,6))+((Formula!G89)/(Formula!C89+Formula!E89+Formula!G89+Formula!I89+Formula!K89))*(INDEX(Properties!A$1:CB$87,Formula!F89,6))+((Formula!I89)/(Formula!C89+Formula!E89+Formula!G89+Formula!I89+Formula!K89))*(INDEX(Properties!A$1:CB$87,Formula!H89,6))+((Formula!K89)/(Formula!C89+Formula!E89+Formula!G89+Formula!I89+Formula!K89))*(INDEX(Properties!A$1:CB$87,Formula!J89,6))</f>
        <v>11.8</v>
      </c>
      <c r="U89" s="60">
        <f>Formula!C89*(INDEX(Properties!A$1:CB$87,Formula!B89,6))+Formula!E89*(INDEX(Properties!A$1:CB$87,Formula!D89,6))+Formula!G89*(INDEX(Properties!A$1:CB$87,Formula!F89,6))+Formula!I89*(INDEX(Properties!A$1:CB$87,Formula!H89,6))+Formula!K89*(INDEX(Properties!A$1:CB$87,Formula!J89,6))</f>
        <v>118</v>
      </c>
      <c r="V89" s="89">
        <f>VARP(IF(INDEX(Properties!A$1:CB$87,Formula!B89,6)&lt;&gt;"",INDEX(Properties!A$1:CB$87,Formula!B89,6)),IF(INDEX(Properties!A$1:CB$87,Formula!D89,6)&lt;&gt;"",INDEX(Properties!A$1:CB$87,Formula!D89,6)),IF(INDEX(Properties!A$1:CB$87,Formula!F89,6)&lt;&gt;"",INDEX(Properties!A$1:CB$87,Formula!F89,6)),IF(INDEX(Properties!A$1:CB$87,Formula!H89,6)&lt;&gt;"",INDEX(Properties!A$1:CB$87,Formula!H89,6)),IF(INDEX(Properties!A$1:CB$87,Formula!J89,6)&lt;&gt;"",INDEX(Properties!A$1:CB$87,Formula!J89,6)))</f>
        <v>52.16</v>
      </c>
      <c r="W89" s="60">
        <f>MAX(INDEX(Properties!A$1:CB$87,Formula!B89,6),INDEX(Properties!A$1:CB$87,Formula!D89,6),INDEX(Properties!A$1:CB$87,Formula!F89,6),INDEX(Properties!A$1:CB$87,Formula!H89,4),INDEX(Properties!A$1:CB$87,Formula!J89,6))</f>
        <v>16</v>
      </c>
      <c r="X89" s="60">
        <f>MIN(IF(INDEX(Properties!A$1:CB$87,Formula!B89,6)=0,10^6,INDEX(Properties!A$1:CB$87,Formula!B89,6)),IF(INDEX(Properties!A$1:CB$87,Formula!D89,6)=0,10^6,INDEX(Properties!A$1:CB$87,Formula!D89,6)),IF(INDEX(Properties!A$1:CB$87,Formula!F89,6)=0,10^6,INDEX(Properties!A$1:CB$87,Formula!F89,6)),IF(INDEX(Properties!A$1:CB$87,Formula!H89,6)=0,10^6,INDEX(Properties!A$1:CB$87,Formula!H89,6)),IF(INDEX(Properties!A$1:CB$87,Formula!J89,6)=0,10^6,INDEX(Properties!A$1:CB$87,Formula!J89,6)))</f>
        <v>2</v>
      </c>
      <c r="Y89" s="60">
        <f t="shared" si="35"/>
        <v>14</v>
      </c>
      <c r="Z89" s="72">
        <f>((Formula!C89)/(Formula!C89+Formula!E89+Formula!G89+Formula!I89+Formula!K89))*(INDEX(Properties!A$1:CB$87,Formula!B89,9))+((Formula!E89)/(Formula!C89+Formula!E89+Formula!G89+Formula!I89+Formula!K89))*(INDEX(Properties!A$1:CB$87,Formula!D89,9))+((Formula!G89)/(Formula!C89+Formula!E89+Formula!G89+Formula!I89+Formula!K89))*(INDEX(Properties!A$1:CB$87,Formula!F89,9))+((Formula!I89)/(Formula!C89+Formula!E89+Formula!G89+Formula!I89+Formula!K89))*(INDEX(Properties!A$1:CB$87,Formula!H89,9))+((Formula!K89)/(Formula!C89+Formula!E89+Formula!G89+Formula!I89+Formula!K89))*(INDEX(Properties!A$1:CB$87,Formula!J89,9))</f>
        <v>63.5</v>
      </c>
      <c r="AA89" s="72">
        <f>Formula!C89*(INDEX(Properties!A$1:CB$87,Formula!B89,9))+Formula!E89*(INDEX(Properties!A$1:CB$87,Formula!D89,9))+Formula!G89*(INDEX(Properties!A$1:CB$87,Formula!F89,9))+Formula!I89*(INDEX(Properties!A$1:CB$87,Formula!H89,9))+Formula!K89*(INDEX(Properties!A$1:CB$87,Formula!J89,9))</f>
        <v>635</v>
      </c>
      <c r="AB89" s="72">
        <f>VARP(IF(INDEX(Properties!A$1:CB$87,Formula!B89,9)&lt;&gt;"",INDEX(Properties!A$1:CB$87,Formula!B89,9)),IF(INDEX(Properties!A$1:CB$87,Formula!D89,9)&lt;&gt;"",INDEX(Properties!A$1:CB$87,Formula!D89,9)),IF(INDEX(Properties!A$1:CB$87,Formula!F89,9)&lt;&gt;"",INDEX(Properties!A$1:CB$87,Formula!F89,9)),IF(INDEX(Properties!A$1:CB$87,Formula!H89,9)&lt;&gt;"",INDEX(Properties!A$1:CB$87,Formula!H89,9)),IF(INDEX(Properties!A$1:CB$87,Formula!J89,9)&lt;&gt;"",INDEX(Properties!A$1:CB$87,Formula!J89,9)))</f>
        <v>1681.84</v>
      </c>
      <c r="AC89" s="72">
        <f>MAX(INDEX(Properties!A$1:CB$87,Formula!B89,9),INDEX(Properties!A$1:CB$87,Formula!D89,9),INDEX(Properties!A$1:CB$87,Formula!F89,9),INDEX(Properties!A$1:CB$87,Formula!H89,9),INDEX(Properties!A$1:CB$87,Formula!J89,9))</f>
        <v>90</v>
      </c>
      <c r="AD89" s="72">
        <f>MIN(IF(INDEX(Properties!A$1:CB$87,Formula!B89,9)=0,10^6,INDEX(Properties!A$1:CB$87,Formula!B89,9)),IF(INDEX(Properties!A$1:CB$87,Formula!D89,9)=0,10^6,INDEX(Properties!A$1:CB$87,Formula!D89,9)),IF(INDEX(Properties!A$1:CB$87,Formula!F89,9)=0,10^6,INDEX(Properties!A$1:CB$87,Formula!F89,9)),IF(INDEX(Properties!A$1:CB$87,Formula!H89,9)=0,10^6,INDEX(Properties!A$1:CB$87,Formula!H89,9)),IF(INDEX(Properties!A$1:CB$87,Formula!J89,9)=0,10^6,INDEX(Properties!A$1:CB$87,Formula!J89,9)))</f>
        <v>7</v>
      </c>
      <c r="AE89" s="72">
        <f t="shared" si="36"/>
        <v>83</v>
      </c>
      <c r="AF89" s="51">
        <f>((Formula!C89)/(Formula!C89+Formula!E89+Formula!G89+Formula!I89+Formula!K89))*(INDEX(Properties!A$1:CB$87,Formula!B89,10))+((Formula!E89)/(Formula!C89+Formula!E89+Formula!G89+Formula!I89+Formula!K89))*(INDEX(Properties!A$1:CB$87,Formula!D89,10))+((Formula!G89)/(Formula!C89+Formula!E89+Formula!G89+Formula!I89+Formula!K89))*(INDEX(Properties!A$1:CB$87,Formula!F89,10))+((Formula!I89)/(Formula!C89+Formula!E89+Formula!G89+Formula!I89+Formula!K89))*(INDEX(Properties!A$1:CB$87,Formula!H89,10))+((Formula!K89)/(Formula!C89+Formula!E89+Formula!G89+Formula!I89+Formula!K89))*(INDEX(Properties!A$1:CB$87,Formula!J89,10))</f>
        <v>5.4</v>
      </c>
      <c r="AG89" s="51">
        <f>Formula!C89*(INDEX(Properties!A$1:CB$87,Formula!B89,10))+Formula!E89*(INDEX(Properties!A$1:CB$87,Formula!D89,10))+Formula!G89*(INDEX(Properties!A$1:CB$87,Formula!F89,10))+Formula!I89*(INDEX(Properties!A$1:CB$87,Formula!H89,10))+Formula!K89*(INDEX(Properties!A$1:CB$87,Formula!J89,10))</f>
        <v>54</v>
      </c>
      <c r="AH89" s="51">
        <f>VARP(IF(INDEX(Properties!A$1:CB$87,Formula!B89,10)&lt;&gt;"",INDEX(Properties!A$1:CB$87,Formula!B89,10)),IF(INDEX(Properties!A$1:CB$87,Formula!D89,10)&lt;&gt;"",INDEX(Properties!A$1:CB$87,Formula!D89,10)),IF(INDEX(Properties!A$1:CB$87,Formula!F89,10)&lt;&gt;"",INDEX(Properties!A$1:CB$87,Formula!F89,10)),IF(INDEX(Properties!A$1:CB$87,Formula!H89,10)&lt;&gt;"",INDEX(Properties!A$1:CB$87,Formula!H89,10)),IF(INDEX(Properties!A$1:CB$87,Formula!J89,10)&lt;&gt;"",INDEX(Properties!A$1:CB$87,Formula!J89,10)))</f>
        <v>7.04</v>
      </c>
      <c r="AI89" s="51">
        <f>MAX(INDEX(Properties!A$1:CB$87,Formula!B89,10),INDEX(Properties!A$1:CB$87,Formula!D89,10),INDEX(Properties!A$1:CB$87,Formula!F89,10),INDEX(Properties!A$1:CB$87,Formula!H89,10),INDEX(Properties!A$1:CB$87,Formula!J89,10))</f>
        <v>7</v>
      </c>
      <c r="AJ89" s="51">
        <f>MIN(IF(INDEX(Properties!A$1:CB$87,Formula!B89,10)=0,10^6,INDEX(Properties!A$1:CB$87,Formula!B89,10)),IF(INDEX(Properties!A$1:CB$87,Formula!D89,10)=0,10^6,INDEX(Properties!A$1:CB$87,Formula!D89,10)),IF(INDEX(Properties!A$1:CB$87,Formula!F89,10)=0,10^6,INDEX(Properties!A$1:CB$87,Formula!F89,10)),IF(INDEX(Properties!A$1:CB$87,Formula!H89,10)=0,10^6,INDEX(Properties!A$1:CB$87,Formula!H89,10)),IF(INDEX(Properties!A$1:CB$87,Formula!J89,10)=0,10^6,INDEX(Properties!A$1:CB$87,Formula!J89,10)))</f>
        <v>2</v>
      </c>
      <c r="AK89" s="51">
        <f t="shared" si="37"/>
        <v>5</v>
      </c>
      <c r="AL89" s="57">
        <f>((Formula!C89)/(Formula!C89+Formula!E89+Formula!G89+Formula!I89+Formula!K89))*(INDEX(Properties!A$1:CB$87,Formula!B89,11))+((Formula!E89)/(Formula!C89+Formula!E89+Formula!G89+Formula!I89+Formula!K89))*(INDEX(Properties!A$1:CB$87,Formula!D89,11))+((Formula!G89)/(Formula!C89+Formula!E89+Formula!G89+Formula!I89+Formula!K89))*(INDEX(Properties!A$1:CB$87,Formula!F89,11))+((Formula!I89)/(Formula!C89+Formula!E89+Formula!G89+Formula!I89+Formula!K89))*(INDEX(Properties!A$1:CB$87,Formula!H89,11))+((Formula!K89)/(Formula!C89+Formula!E89+Formula!G89+Formula!I89+Formula!K89))*(INDEX(Properties!A$1:CB$87,Formula!J89,11))</f>
        <v>2</v>
      </c>
      <c r="AM89" s="57">
        <f>Formula!C89*(INDEX(Properties!A$1:CB$87,Formula!B89,11))+Formula!E89*(INDEX(Properties!A$1:CB$87,Formula!D89,11))+Formula!G89*(INDEX(Properties!A$1:CB$87,Formula!F89,11))+Formula!I89*(INDEX(Properties!A$1:CB$87,Formula!H89,11))+Formula!K89*(INDEX(Properties!A$1:CB$87,Formula!J89,11))</f>
        <v>20</v>
      </c>
      <c r="AN89" s="57">
        <f>VARP(IF(INDEX(Properties!A$1:CB$87,Formula!B89,11)&lt;&gt;"",INDEX(Properties!A$1:CB$87,Formula!B89,11)),IF(INDEX(Properties!A$1:CB$87,Formula!D89,11)&lt;&gt;"",INDEX(Properties!A$1:CB$87,Formula!D89,11)),IF(INDEX(Properties!A$1:CB$87,Formula!F89,11)&lt;&gt;"",INDEX(Properties!A$1:CB$87,Formula!F89,11)),IF(INDEX(Properties!A$1:CB$87,Formula!H89,11)&lt;&gt;"",INDEX(Properties!A$1:CB$87,Formula!H89,11)),IF(INDEX(Properties!A$1:CB$87,Formula!J89,11)&lt;&gt;"",INDEX(Properties!A$1:CB$87,Formula!J89,11)))</f>
        <v>0.64</v>
      </c>
      <c r="AO89" s="57">
        <f>MAX(INDEX(Properties!A$1:CB$87,Formula!B89,11),INDEX(Properties!A$1:CB$87,Formula!D89,11),INDEX(Properties!A$1:CB$87,Formula!F89,11),INDEX(Properties!A$1:CB$87,Formula!H89,11),INDEX(Properties!A$1:CB$87,Formula!J89,11))</f>
        <v>2</v>
      </c>
      <c r="AP89" s="57">
        <f>MIN(IF(Formula!B89=87,10^6,INDEX(Properties!A$1:CB$87,Formula!B89,11)),IF((Formula!D89)=87,10^6,INDEX(Properties!A$1:CB$87,Formula!D89,11)),IF((Formula!F89)=87,10^6,INDEX(Properties!A$1:CB$87,Formula!F89,11)),IF((Formula!H89)=87,10^6,INDEX(Properties!A$1:CB$87,Formula!H89,11)),IF(Formula!J89=87,10^6,INDEX(Properties!A$1:CB$87,Formula!J89,11)))</f>
        <v>2</v>
      </c>
      <c r="AQ89" s="57">
        <f t="shared" si="38"/>
        <v>0</v>
      </c>
      <c r="AR89" s="78">
        <f>((Formula!C89)/(Formula!C89+Formula!E89+Formula!G89+Formula!I89+Formula!K89))*(INDEX(Properties!A$1:CB$87,Formula!B89,12))+((Formula!E89)/(Formula!C89+Formula!E89+Formula!G89+Formula!I89+Formula!K89))*(INDEX(Properties!A$1:CB$87,Formula!D89,12))+((Formula!G89)/(Formula!C89+Formula!E89+Formula!G89+Formula!I89+Formula!K89))*(INDEX(Properties!A$1:CB$87,Formula!F89,12))+((Formula!I89)/(Formula!C89+Formula!E89+Formula!G89+Formula!I89+Formula!K89))*(INDEX(Properties!A$1:CB$87,Formula!H89,12))+((Formula!K89)/(Formula!C89+Formula!E89+Formula!G89+Formula!I89+Formula!K89))*(INDEX(Properties!A$1:CB$87,Formula!J89,12))</f>
        <v>2.8</v>
      </c>
      <c r="AS89" s="78">
        <f>Formula!C89*(INDEX(Properties!A$1:CB$87,Formula!B89,12))+Formula!E89*(INDEX(Properties!A$1:CB$87,Formula!D89,12))+Formula!G89*(INDEX(Properties!A$1:CB$87,Formula!F89,12))+Formula!I89*(INDEX(Properties!A$1:CB$87,Formula!H89,12))+Formula!K89*(INDEX(Properties!A$1:CB$87,Formula!J89,12))</f>
        <v>28</v>
      </c>
      <c r="AT89" s="78">
        <f>VARP(IF(INDEX(Properties!A$1:CB$87,Formula!B89,12)&lt;&gt;"",INDEX(Properties!A$1:CB$87,Formula!B89,12)),IF(INDEX(Properties!A$1:CB$87,Formula!D89,12)&lt;&gt;"",INDEX(Properties!A$1:CB$87,Formula!D89,12)),IF(INDEX(Properties!A$1:CB$87,Formula!F89,12)&lt;&gt;"",INDEX(Properties!A$1:CB$87,Formula!F89,12)),IF(INDEX(Properties!A$1:CB$87,Formula!H89,12)&lt;&gt;"",INDEX(Properties!A$1:CB$87,Formula!H89,12)),IF(INDEX(Properties!A$1:CB$87,Formula!J89,12)&lt;&gt;"",INDEX(Properties!A$1:CB$87,Formula!J89,12)))</f>
        <v>3.84</v>
      </c>
      <c r="AU89" s="78">
        <f>MAX(INDEX(Properties!A$1:CB$87,Formula!B89,12),INDEX(Properties!A$1:CB$87,Formula!D89,12),INDEX(Properties!A$1:CB$87,Formula!F89,12),INDEX(Properties!A$1:CB$87,Formula!H89,12),INDEX(Properties!A$1:CB$87,Formula!J89,12))</f>
        <v>4</v>
      </c>
      <c r="AV89" s="78">
        <f>MIN(IF(Formula!B89=87,10^6,INDEX(Properties!A$1:CB$87,Formula!B89,12)),IF((Formula!D89)=87,10^6,INDEX(Properties!A$1:CB$87,Formula!D89,12)),IF((Formula!F89)=87,10^6,INDEX(Properties!A$1:CB$87,Formula!F89,12)),IF((Formula!H89)=87,10^6,INDEX(Properties!A$1:CB$87,Formula!H89,12)),IF(Formula!J89=87,10^6,INDEX(Properties!A$1:CB$87,Formula!J89,12)))</f>
        <v>0</v>
      </c>
      <c r="AW89" s="78">
        <f t="shared" si="39"/>
        <v>4</v>
      </c>
      <c r="AX89" s="45">
        <f>((Formula!C89)/(Formula!C89+Formula!E89+Formula!G89+Formula!I89+Formula!K89))*(INDEX(Properties!A$1:CB$87,Formula!B89,13))+((Formula!E89)/(Formula!C89+Formula!E89+Formula!G89+Formula!I89+Formula!K89))*(INDEX(Properties!A$1:CB$87,Formula!D89,13))+((Formula!G89)/(Formula!C89+Formula!E89+Formula!G89+Formula!I89+Formula!K89))*(INDEX(Properties!A$1:CB$87,Formula!F89,13))+((Formula!I89)/(Formula!C89+Formula!E89+Formula!G89+Formula!I89+Formula!K89))*(INDEX(Properties!A$1:CB$87,Formula!H89,13))+((Formula!K89)/(Formula!C89+Formula!E89+Formula!G89+Formula!I89+Formula!K89))*(INDEX(Properties!A$1:CB$87,Formula!J89,13))</f>
        <v>1</v>
      </c>
      <c r="AY89" s="45">
        <f>Formula!C89*(INDEX(Properties!A$1:CB$87,Formula!B89,13))+Formula!E89*(INDEX(Properties!A$1:CB$87,Formula!D89,13))+Formula!G89*(INDEX(Properties!A$1:CB$87,Formula!F89,13))+Formula!I89*(INDEX(Properties!A$1:CB$87,Formula!H89,13))+Formula!K89*(INDEX(Properties!A$1:CB$87,Formula!J89,13))</f>
        <v>10</v>
      </c>
      <c r="AZ89" s="45">
        <f>VARP(IF(INDEX(Properties!A$1:CB$87,Formula!B89,13)&lt;&gt;"",INDEX(Properties!A$1:CB$87,Formula!B89,13)),IF(INDEX(Properties!A$1:CB$87,Formula!D89,13)&lt;&gt;"",INDEX(Properties!A$1:CB$87,Formula!D89,13)),IF(INDEX(Properties!A$1:CB$87,Formula!F89,13)&lt;&gt;"",INDEX(Properties!A$1:CB$87,Formula!F89,13)),IF(INDEX(Properties!A$1:CB$87,Formula!H89,13)&lt;&gt;"",INDEX(Properties!A$1:CB$87,Formula!H89,13)),IF(INDEX(Properties!A$1:CB$87,Formula!J89,13)&lt;&gt;"",INDEX(Properties!A$1:CB$87,Formula!J89,13)))</f>
        <v>16</v>
      </c>
      <c r="BA89" s="45">
        <f>MAX(INDEX(Properties!A$1:CB$87,Formula!B89,13),INDEX(Properties!A$1:CB$87,Formula!D89,13),INDEX(Properties!A$1:CB$87,Formula!F89,13),INDEX(Properties!A$1:CB$87,Formula!H89,13),INDEX(Properties!A$1:CB$87,Formula!J89,13))</f>
        <v>10</v>
      </c>
      <c r="BB89" s="45">
        <f>MIN(IF(Formula!B89=87,10^6,INDEX(Properties!A$1:CB$87,Formula!B89,13)),IF((Formula!D89)=87,10^6,INDEX(Properties!A$1:CB$87,Formula!D89,13)),IF((Formula!F89)=87,10^6,INDEX(Properties!A$1:CB$87,Formula!F89,13)),IF((Formula!H89)=87,10^6,INDEX(Properties!A$1:CB$87,Formula!H89,13)),IF(Formula!J89=87,10^6,INDEX(Properties!A$1:CB$87,Formula!J89,13)))</f>
        <v>0</v>
      </c>
      <c r="BC89" s="45">
        <f t="shared" si="40"/>
        <v>10</v>
      </c>
      <c r="BD89" s="63">
        <f>((Formula!C89)/(Formula!C89+Formula!E89+Formula!G89+Formula!I89+Formula!K89))*(INDEX(Properties!A$1:CB$87,Formula!B89,14))+((Formula!E89)/(Formula!C89+Formula!E89+Formula!G89+Formula!I89+Formula!K89))*(INDEX(Properties!A$1:CB$87,Formula!D89,14))+((Formula!G89)/(Formula!C89+Formula!E89+Formula!G89+Formula!I89+Formula!K89))*(INDEX(Properties!A$1:CB$87,Formula!F89,14))+((Formula!I89)/(Formula!C89+Formula!E89+Formula!G89+Formula!I89+Formula!K89))*(INDEX(Properties!A$1:CB$87,Formula!H89,14))+((Formula!K89)/(Formula!C89+Formula!E89+Formula!G89+Formula!I89+Formula!K89))*(INDEX(Properties!A$1:CB$87,Formula!J89,14))</f>
        <v>0</v>
      </c>
      <c r="BE89" s="63">
        <f>Formula!C89*(INDEX(Properties!A$1:CB$87,Formula!B89,14))+Formula!E89*(INDEX(Properties!A$1:CB$87,Formula!D89,14))+Formula!G89*(INDEX(Properties!A$1:CB$87,Formula!F89,14))+Formula!I89*(INDEX(Properties!A$1:CB$87,Formula!H89,14))+Formula!K89*(INDEX(Properties!A$1:CB$87,Formula!J89,14))</f>
        <v>0</v>
      </c>
      <c r="BF89" s="63">
        <f>VARP(IF(INDEX(Properties!A$1:CB$87,Formula!B89,14)&lt;&gt;"",INDEX(Properties!A$1:CB$87,Formula!B89,14)),IF(INDEX(Properties!A$1:CB$87,Formula!D89,14)&lt;&gt;"",INDEX(Properties!A$1:CB$87,Formula!D89,14)),IF(INDEX(Properties!A$1:CB$87,Formula!F89,14)&lt;&gt;"",INDEX(Properties!A$1:CB$87,Formula!F89,14)),IF(INDEX(Properties!A$1:CB$87,Formula!H89,14)&lt;&gt;"",INDEX(Properties!A$1:CB$87,Formula!H89,14)),IF(INDEX(Properties!A$1:CB$87,Formula!J89,14)&lt;&gt;"",INDEX(Properties!A$1:CB$87,Formula!J89,14)))</f>
        <v>0</v>
      </c>
      <c r="BG89" s="63">
        <f>MAX(INDEX(Properties!A$1:CB$87,Formula!B89,14),INDEX(Properties!A$1:CB$87,Formula!D89,14),INDEX(Properties!A$1:CB$87,Formula!F89,14),INDEX(Properties!A$1:CB$87,Formula!H89,14),INDEX(Properties!A$1:CB$87,Formula!J89,14))</f>
        <v>0</v>
      </c>
      <c r="BH89" s="63">
        <f>MIN(IF(Formula!B89=87,10^6,INDEX(Properties!A$1:CB$87,Formula!B89,14)),IF((Formula!D89)=87,10^6,INDEX(Properties!A$1:CB$87,Formula!D89,14)),IF((Formula!F89)=87,10^6,INDEX(Properties!A$1:CB$87,Formula!F89,14)),IF((Formula!H89)=87,10^6,INDEX(Properties!A$1:CB$87,Formula!H89,14)),IF(Formula!J89=87,10^6,INDEX(Properties!A$1:CB$87,Formula!J89,14)))</f>
        <v>0</v>
      </c>
      <c r="BI89" s="63">
        <f t="shared" si="41"/>
        <v>0</v>
      </c>
      <c r="BJ89" s="75">
        <f>((Formula!C89)/(Formula!C89+Formula!E89+Formula!G89+Formula!I89+Formula!K89))*(INDEX(Properties!A$1:CB$87,Formula!B89,19))+((Formula!E89)/(Formula!C89+Formula!E89+Formula!G89+Formula!I89+Formula!K89))*(INDEX(Properties!A$1:CB$87,Formula!D89,19))+((Formula!G89)/(Formula!C89+Formula!E89+Formula!G89+Formula!I89+Formula!K89))*(INDEX(Properties!A$1:CB$87,Formula!F89,19))+((Formula!I89)/(Formula!C89+Formula!E89+Formula!G89+Formula!I89+Formula!K89))*(INDEX(Properties!A$1:CB$87,Formula!H89,19))+((Formula!K89)/(Formula!C89+Formula!E89+Formula!G89+Formula!I89+Formula!K89))*(INDEX(Properties!A$1:CB$87,Formula!J89,19))</f>
        <v>5.8</v>
      </c>
      <c r="BK89" s="75">
        <f>Formula!C89*(INDEX(Properties!A$1:CB$87,Formula!B89,19))+Formula!E89*(INDEX(Properties!A$1:CB$87,Formula!D89,19))+Formula!G89*(INDEX(Properties!A$1:CB$87,Formula!F89,19))+Formula!I89*(INDEX(Properties!A$1:CB$87,Formula!H89,19))+Formula!K89*(INDEX(Properties!A$1:CB$87,Formula!J89,19))</f>
        <v>58</v>
      </c>
      <c r="BL89" s="75">
        <f>VARP(IF(INDEX(Properties!A$1:CB$87,Formula!B89,19)&lt;&gt;"",INDEX(Properties!A$1:CB$87,Formula!B89,19)),IF(INDEX(Properties!A$1:CB$87,Formula!D89,19)&lt;&gt;"",INDEX(Properties!A$1:CB$87,Formula!D89,19)),IF(INDEX(Properties!A$1:CB$87,Formula!F89,19)&lt;&gt;"",INDEX(Properties!A$1:CB$87,Formula!F89,19)),IF(INDEX(Properties!A$1:CB$87,Formula!H89,19)&lt;&gt;"",INDEX(Properties!A$1:CB$87,Formula!H89,19)),IF(INDEX(Properties!A$1:CB$87,Formula!J89,19)&lt;&gt;"",INDEX(Properties!A$1:CB$87,Formula!J89,19)))</f>
        <v>32.96</v>
      </c>
      <c r="BM89" s="75">
        <f>MAX(INDEX(Properties!A$1:CB$87,Formula!B89,19),INDEX(Properties!A$1:CB$87,Formula!D89,19),INDEX(Properties!A$1:CB$87,Formula!F89,19),INDEX(Properties!A$1:CB$87,Formula!H89,19),INDEX(Properties!A$1:CB$87,Formula!J89,19))</f>
        <v>16</v>
      </c>
      <c r="BN89" s="75">
        <f>MIN(IF(INDEX(Properties!A$1:CB$87,Formula!B89,19)=0,10^6,INDEX(Properties!A$1:CB$87,Formula!B89,19)),IF(INDEX(Properties!A$1:CB$87,Formula!D89,19)=0,10^6,INDEX(Properties!A$1:CB$87,Formula!D89,19)),IF(INDEX(Properties!A$1:CB$87,Formula!F89,19)=0,10^6,INDEX(Properties!A$1:CB$87,Formula!F89,19)),IF(INDEX(Properties!A$1:CB$87,Formula!H89,19)=0,10^6,INDEX(Properties!A$1:CB$87,Formula!H89,19)),IF(INDEX(Properties!A$1:CB$87,Formula!J89,19)=0,10^6,INDEX(Properties!A$1:CB$87,Formula!J89,19)))</f>
        <v>2</v>
      </c>
      <c r="BO89" s="75">
        <f t="shared" si="42"/>
        <v>14</v>
      </c>
      <c r="BP89" s="48">
        <f>((Formula!C89)/(Formula!C89+Formula!E89+Formula!G89+Formula!I89+Formula!K89))*(INDEX(Properties!A$1:CB$87,Formula!B89,20))+((Formula!E89)/(Formula!C89+Formula!E89+Formula!G89+Formula!I89+Formula!K89))*(INDEX(Properties!A$1:CB$87,Formula!D89,20))+((Formula!G89)/(Formula!C89+Formula!E89+Formula!G89+Formula!I89+Formula!K89))*(INDEX(Properties!A$1:CB$87,Formula!F89,20))+((Formula!I89)/(Formula!C89+Formula!E89+Formula!G89+Formula!I89+Formula!K89))*(INDEX(Properties!A$1:CB$87,Formula!H89,20))+((Formula!K89)/(Formula!C89+Formula!E89+Formula!G89+Formula!I89+Formula!K89))*(INDEX(Properties!A$1:CB$87,Formula!J89,20))</f>
        <v>4.8</v>
      </c>
      <c r="BQ89" s="48">
        <f>Formula!C89*(INDEX(Properties!A$1:CB$87,Formula!B89,20))+Formula!E89*(INDEX(Properties!A$1:CB$87,Formula!D89,20))+Formula!G89*(INDEX(Properties!A$1:CB$87,Formula!F89,20))+Formula!I89*(INDEX(Properties!A$1:CB$87,Formula!H89,20))+Formula!K89*(INDEX(Properties!A$1:CB$87,Formula!J89,20))</f>
        <v>48</v>
      </c>
      <c r="BR89" s="48">
        <f>VARP(IF(INDEX(Properties!A$1:CB$87,Formula!B89,20)&lt;&gt;"",INDEX(Properties!A$1:CB$87,Formula!B89,20)),IF(INDEX(Properties!A$1:CB$87,Formula!D89,20)&lt;&gt;"",INDEX(Properties!A$1:CB$87,Formula!D89,20)),IF(INDEX(Properties!A$1:CB$87,Formula!F89,20)&lt;&gt;"",INDEX(Properties!A$1:CB$87,Formula!F89,20)),IF(INDEX(Properties!A$1:CB$87,Formula!H89,20)&lt;&gt;"",INDEX(Properties!A$1:CB$87,Formula!H89,20)),IF(INDEX(Properties!A$1:CB$87,Formula!J89,20)&lt;&gt;"",INDEX(Properties!A$1:CB$87,Formula!J89,20)))</f>
        <v>5.76</v>
      </c>
      <c r="BS89" s="48">
        <f>MAX(INDEX(Properties!A$1:CB$87,Formula!B89,20),INDEX(Properties!A$1:CB$87,Formula!D89,20),INDEX(Properties!A$1:CB$87,Formula!F89,20),INDEX(Properties!A$1:CB$87,Formula!H89,20),INDEX(Properties!A$1:CB$87,Formula!J89,20))</f>
        <v>6</v>
      </c>
      <c r="BT89" s="48">
        <f>MIN(IF(INDEX(Properties!A$1:CB$87,Formula!B89,20)=0,10^6,INDEX(Properties!A$1:CB$87,Formula!B89,20)),IF(INDEX(Properties!A$1:CB$87,Formula!D89,20)=0,10^6,INDEX(Properties!A$1:CB$87,Formula!D89,20)),IF(INDEX(Properties!A$1:CB$87,Formula!F89,20)=0,10^6,INDEX(Properties!A$1:CB$87,Formula!F89,20)),IF(INDEX(Properties!A$1:CB$87,Formula!H89,20)=0,10^6,INDEX(Properties!A$1:CB$87,Formula!H89,20)),IF(INDEX(Properties!A$1:CB$87,Formula!J89,20)=0,10^6,INDEX(Properties!A$1:CB$87,Formula!J89,20)))</f>
        <v>2</v>
      </c>
      <c r="BU89" s="48">
        <f t="shared" si="43"/>
        <v>4</v>
      </c>
      <c r="BV89" s="66">
        <f>((Formula!C89)/(Formula!C89+Formula!E89+Formula!G89+Formula!I89+Formula!K89))*(INDEX(Properties!A$1:CB$87,Formula!B89,21))+((Formula!E89)/(Formula!C89+Formula!E89+Formula!G89+Formula!I89+Formula!K89))*(INDEX(Properties!A$1:CB$87,Formula!D89,21))+((Formula!G89)/(Formula!C89+Formula!E89+Formula!G89+Formula!I89+Formula!K89))*(INDEX(Properties!A$1:CB$87,Formula!F89,21))+((Formula!I89)/(Formula!C89+Formula!E89+Formula!G89+Formula!I89+Formula!K89))*(INDEX(Properties!A$1:CB$87,Formula!H89,21))+((Formula!K89)/(Formula!C89+Formula!E89+Formula!G89+Formula!I89+Formula!K89))*(INDEX(Properties!A$1:CB$87,Formula!J89,21))</f>
        <v>4.8</v>
      </c>
      <c r="BW89" s="66">
        <f>Formula!C89*(INDEX(Properties!A$1:CB$87,Formula!B89,21))+Formula!E89*(INDEX(Properties!A$1:CB$87,Formula!D89,21))+Formula!G89*(INDEX(Properties!A$1:CB$87,Formula!F89,21))+Formula!I89*(INDEX(Properties!A$1:CB$87,Formula!H89,21))+Formula!K89*(INDEX(Properties!A$1:CB$87,Formula!J89,21))</f>
        <v>48</v>
      </c>
      <c r="BX89" s="66">
        <f>VARP(IF(INDEX(Properties!A$1:CB$87,Formula!B89,21)&lt;&gt;"",INDEX(Properties!A$1:CB$87,Formula!B89,21)),IF(INDEX(Properties!A$1:CB$87,Formula!D89,21)&lt;&gt;"",INDEX(Properties!A$1:CB$87,Formula!D89,21)),IF(INDEX(Properties!A$1:CB$87,Formula!F89,21)&lt;&gt;"",INDEX(Properties!A$1:CB$87,Formula!F89,21)),IF(INDEX(Properties!A$1:CB$87,Formula!H89,21)&lt;&gt;"",INDEX(Properties!A$1:CB$87,Formula!H89,21)),IF(INDEX(Properties!A$1:CB$87,Formula!J89,21)&lt;&gt;"",INDEX(Properties!A$1:CB$87,Formula!J89,21)))</f>
        <v>5.76</v>
      </c>
      <c r="BY89" s="66">
        <f>MAX(INDEX(Properties!A$1:CB$87,Formula!B89,21),INDEX(Properties!A$1:CB$87,Formula!D89,21),INDEX(Properties!A$1:CB$87,Formula!F89,21),INDEX(Properties!A$1:CB$87,Formula!H89,21),INDEX(Properties!A$1:CB$87,Formula!J89,21))</f>
        <v>6</v>
      </c>
      <c r="BZ89" s="66">
        <f>MIN(IF(INDEX(Properties!A$1:CB$87,Formula!B89,21)=0,10^6,INDEX(Properties!A$1:CB$87,Formula!B89,21)),IF(INDEX(Properties!A$1:CB$87,Formula!D89,21)=0,10^6,INDEX(Properties!A$1:CB$87,Formula!D89,21)),IF(INDEX(Properties!A$1:CB$87,Formula!F89,21)=0,10^6,INDEX(Properties!A$1:CB$87,Formula!F89,21)),IF(INDEX(Properties!A$1:CB$87,Formula!H89,21)=0,10^6,INDEX(Properties!A$1:CB$87,Formula!H89,21)),IF(INDEX(Properties!A$1:CB$87,Formula!J89,21)=0,10^6,INDEX(Properties!A$1:CB$87,Formula!J89,21)))</f>
        <v>2</v>
      </c>
      <c r="CA89" s="66">
        <f t="shared" si="44"/>
        <v>4</v>
      </c>
      <c r="CB89" s="81">
        <f>((Formula!C89)/(Formula!C89+Formula!E89+Formula!G89+Formula!I89+Formula!K89))*(INDEX(Properties!A$1:CB$87,Formula!B89,23))+((Formula!E89)/(Formula!C89+Formula!E89+Formula!G89+Formula!I89+Formula!K89))*(INDEX(Properties!A$1:CB$87,Formula!D89,23))+((Formula!G89)/(Formula!C89+Formula!E89+Formula!G89+Formula!I89+Formula!K89))*(INDEX(Properties!A$1:CB$87,Formula!F89,23))+((Formula!I89)/(Formula!C89+Formula!E89+Formula!G89+Formula!I89+Formula!K89))*(INDEX(Properties!A$1:CB$87,Formula!H89,23))+((Formula!K89)/(Formula!C89+Formula!E89+Formula!G89+Formula!I89+Formula!K89))*(INDEX(Properties!A$1:CB$87,Formula!J89,23))</f>
        <v>0.8</v>
      </c>
      <c r="CC89" s="81">
        <f>Formula!C89*(INDEX(Properties!A$1:CB$87,Formula!B89,23))+Formula!E89*(INDEX(Properties!A$1:CB$87,Formula!D89,23))+Formula!G89*(INDEX(Properties!A$1:CB$87,Formula!F89,23))+Formula!I89*(INDEX(Properties!A$1:CB$87,Formula!H89,23))+Formula!K89*(INDEX(Properties!A$1:CB$87,Formula!J89,23))</f>
        <v>8</v>
      </c>
      <c r="CD89" s="81">
        <f>VARP(IF(INDEX(Properties!A$1:CB$87,Formula!B89,23)&lt;&gt;"",INDEX(Properties!A$1:CB$87,Formula!B89,23)),IF(INDEX(Properties!A$1:CB$87,Formula!D89,23)&lt;&gt;"",INDEX(Properties!A$1:CB$87,Formula!D89,23)),IF(INDEX(Properties!A$1:CB$87,Formula!F89,23)&lt;&gt;"",INDEX(Properties!A$1:CB$87,Formula!F89,23)),IF(INDEX(Properties!A$1:CB$87,Formula!H89,23)&lt;&gt;"",INDEX(Properties!A$1:CB$87,Formula!H89,23)),IF(INDEX(Properties!A$1:CB$87,Formula!J89,23)&lt;&gt;"",INDEX(Properties!A$1:CB$87,Formula!J89,23)))</f>
        <v>0.96</v>
      </c>
      <c r="CE89" s="81">
        <f>MAX(INDEX(Properties!A$1:CB$87,Formula!B89,23),INDEX(Properties!A$1:CB$87,Formula!D89,23),INDEX(Properties!A$1:CB$87,Formula!F89,23),INDEX(Properties!A$1:CB$87,Formula!H89,23),INDEX(Properties!A$1:CB$87,Formula!J89,23))</f>
        <v>2</v>
      </c>
      <c r="CF89" s="81">
        <f>MIN(IF(Formula!B89=87,10^6,INDEX(Properties!A$1:CB$87,Formula!B89,23)),IF((Formula!D89)=87,10^6,INDEX(Properties!A$1:CB$87,Formula!D89,23)),IF((Formula!F89)=87,10^6,INDEX(Properties!A$1:CB$87,Formula!F89,23)),IF((Formula!H89)=87,10^6,INDEX(Properties!A$1:CB$87,Formula!H89,23)),IF(Formula!J89=87,10^6,INDEX(Properties!A$1:CB$87,Formula!J89,23)))</f>
        <v>0</v>
      </c>
      <c r="CG89" s="81">
        <f t="shared" si="45"/>
        <v>2</v>
      </c>
      <c r="CH89" s="39">
        <f>((Formula!C89)/(Formula!C89+Formula!E89+Formula!G89+Formula!I89+Formula!K89))*(INDEX(Properties!A$1:CB$87,Formula!B89,26))+((Formula!E89)/(Formula!C89+Formula!E89+Formula!G89+Formula!I89+Formula!K89))*(INDEX(Properties!A$1:CB$87,Formula!D89,26))+((Formula!G89)/(Formula!C89+Formula!E89+Formula!G89+Formula!I89+Formula!K89))*(INDEX(Properties!A$1:CB$87,Formula!F89,26))+((Formula!I89)/(Formula!C89+Formula!E89+Formula!G89+Formula!I89+Formula!K89))*(INDEX(Properties!A$1:CB$87,Formula!H89,26))+((Formula!K89)/(Formula!C89+Formula!E89+Formula!G89+Formula!I89+Formula!K89))*(INDEX(Properties!A$1:CB$87,Formula!J89,26))</f>
        <v>10.82212</v>
      </c>
      <c r="CI89" s="39">
        <f>Formula!C89*(INDEX(Properties!A$1:CB$87,Formula!B89,26))+Formula!E89*(INDEX(Properties!A$1:CB$87,Formula!D89,26))+Formula!G89*(INDEX(Properties!A$1:CB$87,Formula!F89,26))+Formula!I89*(INDEX(Properties!A$1:CB$87,Formula!H89,26))+Formula!K89*(INDEX(Properties!A$1:CB$87,Formula!J89,26))</f>
        <v>108.22120000000001</v>
      </c>
      <c r="CJ89" s="39">
        <f>VARP(IF(INDEX(Properties!A$1:CB$87,Formula!B89,26)&lt;&gt;"",INDEX(Properties!A$1:CB$87,Formula!B89,26)),IF(INDEX(Properties!A$1:CB$87,Formula!D89,26)&lt;&gt;"",INDEX(Properties!A$1:CB$87,Formula!D89,26)),IF(INDEX(Properties!A$1:CB$87,Formula!F89,26)&lt;&gt;"",INDEX(Properties!A$1:CB$87,Formula!F89,26)),IF(INDEX(Properties!A$1:CB$87,Formula!H89,26)&lt;&gt;"",INDEX(Properties!A$1:CB$87,Formula!H89,26)),IF(INDEX(Properties!A$1:CB$87,Formula!J89,26)&lt;&gt;"",INDEX(Properties!A$1:CB$87,Formula!J89,26)))</f>
        <v>19.852755138399989</v>
      </c>
      <c r="CK89" s="39">
        <f>MAX(INDEX(Properties!A$1:CB$87,Formula!B89,26),INDEX(Properties!A$1:CB$87,Formula!D89,26),INDEX(Properties!A$1:CB$87,Formula!F89,26),INDEX(Properties!A$1:CB$87,Formula!H89,26),INDEX(Properties!A$1:CB$87,Formula!J89,26))</f>
        <v>13.6181</v>
      </c>
      <c r="CL89" s="39">
        <f>MIN(IF(INDEX(Properties!A$1:CB$87,Formula!B89,26)=0,10^6,INDEX(Properties!A$1:CB$87,Formula!B89,26)),IF(INDEX(Properties!A$1:CB$87,Formula!D89,26)=0,10^6,INDEX(Properties!A$1:CB$87,Formula!D89,26)),IF(INDEX(Properties!A$1:CB$87,Formula!F89,26)=0,10^6,INDEX(Properties!A$1:CB$87,Formula!F89,26)),IF(INDEX(Properties!A$1:CB$87,Formula!H89,26)=0,10^6,INDEX(Properties!A$1:CB$87,Formula!H89,26)),IF(INDEX(Properties!A$1:CB$87,Formula!J89,26)=0,10^6,INDEX(Properties!A$1:CB$87,Formula!J89,26)))</f>
        <v>5.6948999999999996</v>
      </c>
      <c r="CM89" s="39">
        <f t="shared" si="46"/>
        <v>7.9232000000000005</v>
      </c>
      <c r="CN89" s="54">
        <f>((Formula!C89)/(Formula!C89+Formula!E89+Formula!G89+Formula!I89+Formula!K89))*(INDEX(Properties!A$1:CB$87,Formula!B89,30))+((Formula!E89)/(Formula!C89+Formula!E89+Formula!G89+Formula!I89+Formula!K89))*(INDEX(Properties!A$1:CB$87,Formula!D89,30))+((Formula!G89)/(Formula!C89+Formula!E89+Formula!G89+Formula!I89+Formula!K89))*(INDEX(Properties!A$1:CB$87,Formula!F89,30))+((Formula!I89)/(Formula!C89+Formula!E89+Formula!G89+Formula!I89+Formula!K89))*(INDEX(Properties!A$1:CB$87,Formula!H89,30))+((Formula!K89)/(Formula!C89+Formula!E89+Formula!G89+Formula!I89+Formula!K89))*(INDEX(Properties!A$1:CB$87,Formula!J89,30))</f>
        <v>2.5640000000000001</v>
      </c>
      <c r="CO89" s="54">
        <f>Formula!C89*(INDEX(Properties!A$1:CB$87,Formula!B89,30))+Formula!E89*(INDEX(Properties!A$1:CB$87,Formula!D89,30))+Formula!G89*(INDEX(Properties!A$1:CB$87,Formula!F89,30))+Formula!I89*(INDEX(Properties!A$1:CB$87,Formula!H89,30))+Formula!K89*(INDEX(Properties!A$1:CB$87,Formula!J89,30))</f>
        <v>25.64</v>
      </c>
      <c r="CP89" s="54">
        <f>VARP(IF(INDEX(Properties!A$1:CB$87,Formula!B89,30)&lt;&gt;"",INDEX(Properties!A$1:CB$87,Formula!B89,30)),IF(INDEX(Properties!A$1:CB$87,Formula!D89,30)&lt;&gt;"",INDEX(Properties!A$1:CB$87,Formula!D89,30)),IF(INDEX(Properties!A$1:CB$87,Formula!F89,30)&lt;&gt;"",INDEX(Properties!A$1:CB$87,Formula!F89,30)),IF(INDEX(Properties!A$1:CB$87,Formula!H89,30)&lt;&gt;"",INDEX(Properties!A$1:CB$87,Formula!H89,30)),IF(INDEX(Properties!A$1:CB$87,Formula!J89,30)&lt;&gt;"",INDEX(Properties!A$1:CB$87,Formula!J89,30)))</f>
        <v>1.3852159999999989</v>
      </c>
      <c r="CQ89" s="54">
        <f>MAX(INDEX(Properties!A$1:CB$87,Formula!B89,30),INDEX(Properties!A$1:CB$87,Formula!D89,30),INDEX(Properties!A$1:CB$87,Formula!F89,30),INDEX(Properties!A$1:CB$87,Formula!H89,30),INDEX(Properties!A$1:CB$87,Formula!J89,30))</f>
        <v>3.44</v>
      </c>
      <c r="CR89" s="54">
        <f>MIN(IF(INDEX(Properties!A$1:CB$87,Formula!B89,30)=0,10^6,INDEX(Properties!A$1:CB$87,Formula!B89,30)),IF(INDEX(Properties!A$1:CB$87,Formula!D89,30)=0,10^6,INDEX(Properties!A$1:CB$87,Formula!D89,30)),IF(INDEX(Properties!A$1:CB$87,Formula!F89,30)=0,10^6,INDEX(Properties!A$1:CB$87,Formula!F89,30)),IF(INDEX(Properties!A$1:CB$87,Formula!H89,30)=0,10^6,INDEX(Properties!A$1:CB$87,Formula!H89,30)),IF(INDEX(Properties!A$1:CB$87,Formula!J89,30)=0,10^6,INDEX(Properties!A$1:CB$87,Formula!J89,30)))</f>
        <v>0.95</v>
      </c>
      <c r="CS89" s="54">
        <f t="shared" si="47"/>
        <v>2.4900000000000002</v>
      </c>
      <c r="CT89" s="69">
        <f>((Formula!C89)/(Formula!C89+Formula!E89+Formula!G89+Formula!I89+Formula!K89))*(INDEX(Properties!A$1:CB$87,Formula!B89,31))+((Formula!E89)/(Formula!C89+Formula!E89+Formula!G89+Formula!I89+Formula!K89))*(INDEX(Properties!A$1:CB$87,Formula!D89,31))+((Formula!G89)/(Formula!C89+Formula!E89+Formula!G89+Formula!I89+Formula!K89))*(INDEX(Properties!A$1:CB$87,Formula!F89,31))+((Formula!I89)/(Formula!C89+Formula!E89+Formula!G89+Formula!I89+Formula!K89))*(INDEX(Properties!A$1:CB$87,Formula!H89,31))+((Formula!K89)/(Formula!C89+Formula!E89+Formula!G89+Formula!I89+Formula!K89))*(INDEX(Properties!A$1:CB$87,Formula!J89,31))</f>
        <v>2.5729999999999995</v>
      </c>
      <c r="CU89" s="69">
        <f>Formula!C89*(INDEX(Properties!A$1:CB$87,Formula!B89,31))+Formula!E89*(INDEX(Properties!A$1:CB$87,Formula!D89,31))+Formula!G89*(INDEX(Properties!A$1:CB$87,Formula!F89,31))+Formula!I89*(INDEX(Properties!A$1:CB$87,Formula!H89,31))+Formula!K89*(INDEX(Properties!A$1:CB$87,Formula!J89,31))</f>
        <v>25.729999999999997</v>
      </c>
      <c r="CV89" s="69">
        <f>VARP(IF(INDEX(Properties!A$1:CB$87,Formula!B89,31)&lt;&gt;"",INDEX(Properties!A$1:CB$87,Formula!B89,31)),IF(INDEX(Properties!A$1:CB$87,Formula!D89,31)&lt;&gt;"",INDEX(Properties!A$1:CB$87,Formula!D89,31)),IF(INDEX(Properties!A$1:CB$87,Formula!F89,31)&lt;&gt;"",INDEX(Properties!A$1:CB$87,Formula!F89,31)),IF(INDEX(Properties!A$1:CB$87,Formula!H89,31)&lt;&gt;"",INDEX(Properties!A$1:CB$87,Formula!H89,31)),IF(INDEX(Properties!A$1:CB$87,Formula!J89,31)&lt;&gt;"",INDEX(Properties!A$1:CB$87,Formula!J89,31)))</f>
        <v>1.3065199999999999</v>
      </c>
      <c r="CW89" s="69">
        <f>MAX(INDEX(Properties!A$1:CB$87,Formula!B89,31),INDEX(Properties!A$1:CB$87,Formula!D89,31),INDEX(Properties!A$1:CB$87,Formula!F89,31),INDEX(Properties!A$1:CB$87,Formula!H89,31),INDEX(Properties!A$1:CB$87,Formula!J89,31))</f>
        <v>3.32</v>
      </c>
      <c r="CX89" s="69">
        <f>MIN(IF(INDEX(Properties!A$1:CB$87,Formula!B89,31)=0,10^6,INDEX(Properties!A$1:CB$87,Formula!B89,31)),IF(INDEX(Properties!A$1:CB$87,Formula!D89,31)=0,10^6,INDEX(Properties!A$1:CB$87,Formula!D89,31)),IF(INDEX(Properties!A$1:CB$87,Formula!F89,31)=0,10^6,INDEX(Properties!A$1:CB$87,Formula!F89,31)),IF(INDEX(Properties!A$1:CB$87,Formula!H89,31)=0,10^6,INDEX(Properties!A$1:CB$87,Formula!H89,31)),IF(INDEX(Properties!A$1:CB$87,Formula!J89,31)=0,10^6,INDEX(Properties!A$1:CB$87,Formula!J89,31)))</f>
        <v>1.1299999999999999</v>
      </c>
      <c r="CY89" s="69">
        <f t="shared" si="48"/>
        <v>2.19</v>
      </c>
      <c r="CZ89" s="42">
        <f>((Formula!C89)/(Formula!C89+Formula!E89+Formula!G89+Formula!I89+Formula!K89))*(INDEX(Properties!A$1:CB$87,Formula!B89,32))+((Formula!E89)/(Formula!C89+Formula!E89+Formula!G89+Formula!I89+Formula!K89))*(INDEX(Properties!A$1:CB$87,Formula!D89,32))+((Formula!G89)/(Formula!C89+Formula!E89+Formula!G89+Formula!I89+Formula!K89))*(INDEX(Properties!A$1:CB$87,Formula!F89,32))+((Formula!I89)/(Formula!C89+Formula!E89+Formula!G89+Formula!I89+Formula!K89))*(INDEX(Properties!A$1:CB$87,Formula!H89,32))+((Formula!K89)/(Formula!C89+Formula!E89+Formula!G89+Formula!I89+Formula!K89))*(INDEX(Properties!A$1:CB$87,Formula!J89,32))</f>
        <v>5.6929999999999996</v>
      </c>
      <c r="DA89" s="42">
        <f>Formula!C89*(INDEX(Properties!A$1:CB$87,Formula!B89,32))+Formula!E89*(INDEX(Properties!A$1:CB$87,Formula!D89,32))+Formula!G89*(INDEX(Properties!A$1:CB$87,Formula!F89,32))+Formula!I89*(INDEX(Properties!A$1:CB$87,Formula!H89,32))+Formula!K89*(INDEX(Properties!A$1:CB$87,Formula!J89,32))</f>
        <v>56.930000000000007</v>
      </c>
      <c r="DB89" s="42">
        <f>VARP(IF(INDEX(Properties!A$1:CB$87,Formula!B89,32)&lt;&gt;"",INDEX(Properties!A$1:CB$87,Formula!B89,32)),IF(INDEX(Properties!A$1:CB$87,Formula!D89,32)&lt;&gt;"",INDEX(Properties!A$1:CB$87,Formula!D89,32)),IF(INDEX(Properties!A$1:CB$87,Formula!F89,32)&lt;&gt;"",INDEX(Properties!A$1:CB$87,Formula!F89,32)),IF(INDEX(Properties!A$1:CB$87,Formula!H89,32)&lt;&gt;"",INDEX(Properties!A$1:CB$87,Formula!H89,32)),IF(INDEX(Properties!A$1:CB$87,Formula!J89,32)&lt;&gt;"",INDEX(Properties!A$1:CB$87,Formula!J89,32)))</f>
        <v>7.2914240000000019</v>
      </c>
      <c r="DC89" s="42">
        <f>MAX(INDEX(Properties!A$1:CB$87,Formula!B89,32),INDEX(Properties!A$1:CB$87,Formula!D89,32),INDEX(Properties!A$1:CB$87,Formula!F89,32),INDEX(Properties!A$1:CB$87,Formula!H89,32),INDEX(Properties!A$1:CB$87,Formula!J89,32))</f>
        <v>7.54</v>
      </c>
      <c r="DD89" s="42">
        <f>MIN(IF(INDEX(Properties!A$1:CB$87,Formula!B89,32)=0,10^6,INDEX(Properties!A$1:CB$87,Formula!B89,32)),IF(INDEX(Properties!A$1:CB$87,Formula!D89,32)=0,10^6,INDEX(Properties!A$1:CB$87,Formula!D89,32)),IF(INDEX(Properties!A$1:CB$87,Formula!F89,32)=0,10^6,INDEX(Properties!A$1:CB$87,Formula!F89,32)),IF(INDEX(Properties!A$1:CB$87,Formula!H89,32)=0,10^6,INDEX(Properties!A$1:CB$87,Formula!H89,32)),IF(INDEX(Properties!A$1:CB$87,Formula!J89,32)=0,10^6,INDEX(Properties!A$1:CB$87,Formula!J89,32)))</f>
        <v>2</v>
      </c>
      <c r="DE89" s="42">
        <f t="shared" si="49"/>
        <v>5.54</v>
      </c>
      <c r="DF89" s="60">
        <f>((Formula!C89)/(Formula!C89+Formula!E89+Formula!G89+Formula!I89+Formula!K89))*(INDEX(Properties!A$1:CB$87,Formula!B89,34))+((Formula!E89)/(Formula!C89+Formula!E89+Formula!G89+Formula!I89+Formula!K89))*(INDEX(Properties!A$1:CB$87,Formula!D89,34))+((Formula!G89)/(Formula!C89+Formula!E89+Formula!G89+Formula!I89+Formula!K89))*(INDEX(Properties!A$1:CB$87,Formula!F89,34))+((Formula!I89)/(Formula!C89+Formula!E89+Formula!G89+Formula!I89+Formula!K89))*(INDEX(Properties!A$1:CB$87,Formula!H89,34))+((Formula!K89)/(Formula!C89+Formula!E89+Formula!G89+Formula!I89+Formula!K89))*(INDEX(Properties!A$1:CB$87,Formula!J89,34))</f>
        <v>2.6778</v>
      </c>
      <c r="DG89" s="60">
        <f>Formula!C89*(INDEX(Properties!A$1:CB$87,Formula!B89,34))+Formula!E89*(INDEX(Properties!A$1:CB$87,Formula!D89,34))+Formula!G89*(INDEX(Properties!A$1:CB$87,Formula!F89,34))+Formula!I89*(INDEX(Properties!A$1:CB$87,Formula!H89,34))+Formula!K89*(INDEX(Properties!A$1:CB$87,Formula!J89,34))</f>
        <v>26.777999999999999</v>
      </c>
      <c r="DH89" s="60">
        <f>VARP(IF(INDEX(Properties!A$1:CB$87,Formula!B89,34)&lt;&gt;"",INDEX(Properties!A$1:CB$87,Formula!B89,34)),IF(INDEX(Properties!A$1:CB$87,Formula!D89,34)&lt;&gt;"",INDEX(Properties!A$1:CB$87,Formula!D89,34)),IF(INDEX(Properties!A$1:CB$87,Formula!F89,34)&lt;&gt;"",INDEX(Properties!A$1:CB$87,Formula!F89,34)),IF(INDEX(Properties!A$1:CB$87,Formula!H89,34)&lt;&gt;"",INDEX(Properties!A$1:CB$87,Formula!H89,34)),IF(INDEX(Properties!A$1:CB$87,Formula!J89,34)&lt;&gt;"",INDEX(Properties!A$1:CB$87,Formula!J89,34)))</f>
        <v>1.5253088000000006</v>
      </c>
      <c r="DI89" s="60">
        <f>MAX(INDEX(Properties!A$1:CB$87,Formula!B89,34),INDEX(Properties!A$1:CB$87,Formula!D89,34),INDEX(Properties!A$1:CB$87,Formula!F89,34),INDEX(Properties!A$1:CB$87,Formula!H89,34),INDEX(Properties!A$1:CB$87,Formula!J89,34))</f>
        <v>3.61</v>
      </c>
      <c r="DJ89" s="60">
        <f>MIN(IF(INDEX(Properties!A$1:CB$87,Formula!B89,34)=0,10^6,INDEX(Properties!A$1:CB$87,Formula!B89,34)),IF(INDEX(Properties!A$1:CB$87,Formula!D89,34)=0,10^6,INDEX(Properties!A$1:CB$87,Formula!D89,34)),IF(INDEX(Properties!A$1:CB$87,Formula!F89,34)=0,10^6,INDEX(Properties!A$1:CB$87,Formula!F89,34)),IF(INDEX(Properties!A$1:CB$87,Formula!H89,34)=0,10^6,INDEX(Properties!A$1:CB$87,Formula!H89,34)),IF(INDEX(Properties!A$1:CB$87,Formula!J89,34)=0,10^6,INDEX(Properties!A$1:CB$87,Formula!J89,34)))</f>
        <v>0.96299999999999997</v>
      </c>
      <c r="DK89" s="60">
        <f t="shared" si="50"/>
        <v>2.6469999999999998</v>
      </c>
      <c r="DL89" s="45">
        <f>((Formula!C89)/(Formula!C89+Formula!E89+Formula!G89+Formula!I89+Formula!K89))*(INDEX(Properties!A$1:CB$87,Formula!B89,39))+((Formula!E89)/(Formula!C89+Formula!E89+Formula!G89+Formula!I89+Formula!K89))*(INDEX(Properties!A$1:CB$87,Formula!D89,39))+((Formula!G89)/(Formula!C89+Formula!E89+Formula!G89+Formula!I89+Formula!K89))*(INDEX(Properties!A$1:CB$87,Formula!F89,39))+((Formula!I89)/(Formula!C89+Formula!E89+Formula!G89+Formula!I89+Formula!K89))*(INDEX(Properties!A$1:CB$87,Formula!H89,39))+((Formula!K89)/(Formula!C89+Formula!E89+Formula!G89+Formula!I89+Formula!K89))*(INDEX(Properties!A$1:CB$87,Formula!J89,39))</f>
        <v>1.0429999999999999</v>
      </c>
      <c r="DM89" s="45">
        <f>Formula!C89*(INDEX(Properties!A$1:CB$87,Formula!B89,39))+Formula!E89*(INDEX(Properties!A$1:CB$87,Formula!D89,39))+Formula!G89*(INDEX(Properties!A$1:CB$87,Formula!F89,39))+Formula!I89*(INDEX(Properties!A$1:CB$87,Formula!H89,39))+Formula!K89*(INDEX(Properties!A$1:CB$87,Formula!J89,39))</f>
        <v>10.43</v>
      </c>
      <c r="DN89" s="45">
        <f>VARP(IF(INDEX(Properties!A$1:CB$87,Formula!B89,39)&lt;&gt;"",INDEX(Properties!A$1:CB$87,Formula!B89,39)),IF(INDEX(Properties!A$1:CB$87,Formula!D89,39)&lt;&gt;"",INDEX(Properties!A$1:CB$87,Formula!D89,39)),IF(INDEX(Properties!A$1:CB$87,Formula!F89,39)&lt;&gt;"",INDEX(Properties!A$1:CB$87,Formula!F89,39)),IF(INDEX(Properties!A$1:CB$87,Formula!H89,39)&lt;&gt;"",INDEX(Properties!A$1:CB$87,Formula!H89,39)),IF(INDEX(Properties!A$1:CB$87,Formula!J89,39)&lt;&gt;"",INDEX(Properties!A$1:CB$87,Formula!J89,39)))</f>
        <v>0.69637599999999988</v>
      </c>
      <c r="DO89" s="45">
        <f>MAX(INDEX(Properties!A$1:CB$87,Formula!B89,39),INDEX(Properties!A$1:CB$87,Formula!D89,39),INDEX(Properties!A$1:CB$87,Formula!F89,39),INDEX(Properties!A$1:CB$87,Formula!H89,39),INDEX(Properties!A$1:CB$87,Formula!J89,39))</f>
        <v>2.19</v>
      </c>
      <c r="DP89" s="45">
        <f>MIN(IF(INDEX(Properties!A$1:CB$87,Formula!B89,39)=0,10^6,INDEX(Properties!A$1:CB$87,Formula!B89,39)),IF(INDEX(Properties!A$1:CB$87,Formula!D89,39)=0,10^6,INDEX(Properties!A$1:CB$87,Formula!D89,39)),IF(INDEX(Properties!A$1:CB$87,Formula!F89,39)=0,10^6,INDEX(Properties!A$1:CB$87,Formula!F89,39)),IF(INDEX(Properties!A$1:CB$87,Formula!H89,39)=0,10^6,INDEX(Properties!A$1:CB$87,Formula!H89,39)),IF(INDEX(Properties!A$1:CB$87,Formula!J89,39)=0,10^6,INDEX(Properties!A$1:CB$87,Formula!J89,39)))</f>
        <v>0.48</v>
      </c>
      <c r="DQ89" s="45">
        <f t="shared" si="51"/>
        <v>1.71</v>
      </c>
      <c r="DR89" s="63">
        <f>((Formula!C89)/(Formula!C89+Formula!E89+Formula!G89+Formula!I89+Formula!K89))*(INDEX(Properties!A$1:CB$87,Formula!B89,40))+((Formula!E89)/(Formula!C89+Formula!E89+Formula!G89+Formula!I89+Formula!K89))*(INDEX(Properties!A$1:CB$87,Formula!D89,40))+((Formula!G89)/(Formula!C89+Formula!E89+Formula!G89+Formula!I89+Formula!K89))*(INDEX(Properties!A$1:CB$87,Formula!F89,40))+((Formula!I89)/(Formula!C89+Formula!E89+Formula!G89+Formula!I89+Formula!K89))*(INDEX(Properties!A$1:CB$87,Formula!H89,40))+((Formula!K89)/(Formula!C89+Formula!E89+Formula!G89+Formula!I89+Formula!K89))*(INDEX(Properties!A$1:CB$87,Formula!J89,40))</f>
        <v>1.131</v>
      </c>
      <c r="DS89" s="63">
        <f>Formula!C89*(INDEX(Properties!A$1:CB$87,Formula!B89,40))+Formula!E89*(INDEX(Properties!A$1:CB$87,Formula!D89,40))+Formula!G89*(INDEX(Properties!A$1:CB$87,Formula!F89,40))+Formula!I89*(INDEX(Properties!A$1:CB$87,Formula!H89,40))+Formula!K89*(INDEX(Properties!A$1:CB$87,Formula!J89,40))</f>
        <v>11.309999999999999</v>
      </c>
      <c r="DT89" s="63">
        <f>VARP(IF(INDEX(Properties!A$1:CB$87,Formula!B89,40)&lt;&gt;"",INDEX(Properties!A$1:CB$87,Formula!B89,40)),IF(INDEX(Properties!A$1:CB$87,Formula!D89,40)&lt;&gt;"",INDEX(Properties!A$1:CB$87,Formula!D89,40)),IF(INDEX(Properties!A$1:CB$87,Formula!F89,40)&lt;&gt;"",INDEX(Properties!A$1:CB$87,Formula!F89,40)),IF(INDEX(Properties!A$1:CB$87,Formula!H89,40)&lt;&gt;"",INDEX(Properties!A$1:CB$87,Formula!H89,40)),IF(INDEX(Properties!A$1:CB$87,Formula!J89,40)&lt;&gt;"",INDEX(Properties!A$1:CB$87,Formula!J89,40)))</f>
        <v>0.49597599999999997</v>
      </c>
      <c r="DU89" s="63">
        <f>MAX(INDEX(Properties!A$1:CB$87,Formula!B89,40),INDEX(Properties!A$1:CB$87,Formula!D89,40),INDEX(Properties!A$1:CB$87,Formula!F89,40),INDEX(Properties!A$1:CB$87,Formula!H89,40),INDEX(Properties!A$1:CB$87,Formula!J89,40))</f>
        <v>1.92</v>
      </c>
      <c r="DV89" s="63">
        <f>MIN(IF(INDEX(Properties!A$1:CB$87,Formula!B89,40)=0,10^6,INDEX(Properties!A$1:CB$87,Formula!B89,40)),IF(INDEX(Properties!A$1:CB$87,Formula!D89,40)=0,10^6,INDEX(Properties!A$1:CB$87,Formula!D89,40)),IF(INDEX(Properties!A$1:CB$87,Formula!F89,40)=0,10^6,INDEX(Properties!A$1:CB$87,Formula!F89,40)),IF(INDEX(Properties!A$1:CB$87,Formula!H89,40)=0,10^6,INDEX(Properties!A$1:CB$87,Formula!H89,40)),IF(INDEX(Properties!A$1:CB$87,Formula!J89,40)=0,10^6,INDEX(Properties!A$1:CB$87,Formula!J89,40)))</f>
        <v>0.73</v>
      </c>
      <c r="DW89" s="63">
        <f t="shared" si="52"/>
        <v>1.19</v>
      </c>
      <c r="DX89" s="75">
        <f>((Formula!C89)/(Formula!C89+Formula!E89+Formula!G89+Formula!I89+Formula!K89))*(INDEX(Properties!A$1:CB$87,Formula!B89,41))+((Formula!E89)/(Formula!C89+Formula!E89+Formula!G89+Formula!I89+Formula!K89))*(INDEX(Properties!A$1:CB$87,Formula!D89,41))+((Formula!G89)/(Formula!C89+Formula!E89+Formula!G89+Formula!I89+Formula!K89))*(INDEX(Properties!A$1:CB$87,Formula!F89,41))+((Formula!I89)/(Formula!C89+Formula!E89+Formula!G89+Formula!I89+Formula!K89))*(INDEX(Properties!A$1:CB$87,Formula!H89,41))+((Formula!K89)/(Formula!C89+Formula!E89+Formula!G89+Formula!I89+Formula!K89))*(INDEX(Properties!A$1:CB$87,Formula!J89,41))</f>
        <v>1.341</v>
      </c>
      <c r="DY89" s="75">
        <f>Formula!C89*(INDEX(Properties!A$1:CB$87,Formula!B89,41))+Formula!E89*(INDEX(Properties!A$1:CB$87,Formula!D89,41))+Formula!G89*(INDEX(Properties!A$1:CB$87,Formula!F89,41))+Formula!I89*(INDEX(Properties!A$1:CB$87,Formula!H89,41))+Formula!K89*(INDEX(Properties!A$1:CB$87,Formula!J89,41))</f>
        <v>13.41</v>
      </c>
      <c r="DZ89" s="75">
        <f>VARP(IF(INDEX(Properties!A$1:CB$87,Formula!B89,41)&lt;&gt;"",INDEX(Properties!A$1:CB$87,Formula!B89,41)),IF(INDEX(Properties!A$1:CB$87,Formula!D89,41)&lt;&gt;"",INDEX(Properties!A$1:CB$87,Formula!D89,41)),IF(INDEX(Properties!A$1:CB$87,Formula!F89,41)&lt;&gt;"",INDEX(Properties!A$1:CB$87,Formula!F89,41)),IF(INDEX(Properties!A$1:CB$87,Formula!H89,41)&lt;&gt;"",INDEX(Properties!A$1:CB$87,Formula!H89,41)),IF(INDEX(Properties!A$1:CB$87,Formula!J89,41)&lt;&gt;"",INDEX(Properties!A$1:CB$87,Formula!J89,41)))</f>
        <v>0.44193600000000061</v>
      </c>
      <c r="EA89" s="75">
        <f>MAX(INDEX(Properties!A$1:CB$87,Formula!B89,41),INDEX(Properties!A$1:CB$87,Formula!D89,41),INDEX(Properties!A$1:CB$87,Formula!F89,41),INDEX(Properties!A$1:CB$87,Formula!H89,41),INDEX(Properties!A$1:CB$87,Formula!J89,41))</f>
        <v>2.0699999999999998</v>
      </c>
      <c r="EB89" s="75">
        <f>MIN(IF(INDEX(Properties!A$1:CB$87,Formula!B89,41)=0,10^6,INDEX(Properties!A$1:CB$87,Formula!B89,41)),IF(INDEX(Properties!A$1:CB$87,Formula!D89,41)=0,10^6,INDEX(Properties!A$1:CB$87,Formula!D89,41)),IF(INDEX(Properties!A$1:CB$87,Formula!F89,41)=0,10^6,INDEX(Properties!A$1:CB$87,Formula!F89,41)),IF(INDEX(Properties!A$1:CB$87,Formula!H89,41)=0,10^6,INDEX(Properties!A$1:CB$87,Formula!H89,41)),IF(INDEX(Properties!A$1:CB$87,Formula!J89,41)=0,10^6,INDEX(Properties!A$1:CB$87,Formula!J89,41)))</f>
        <v>1.1399999999999999</v>
      </c>
      <c r="EC89" s="75">
        <f t="shared" si="53"/>
        <v>0.92999999999999994</v>
      </c>
      <c r="ED89" s="48">
        <f>((Formula!C89)/(Formula!C89+Formula!E89+Formula!G89+Formula!I89+Formula!K89))*(INDEX(Properties!A$1:CB$87,Formula!B89,45))+((Formula!E89)/(Formula!C89+Formula!E89+Formula!G89+Formula!I89+Formula!K89))*(INDEX(Properties!A$1:CB$87,Formula!D89,45))+((Formula!G89)/(Formula!C89+Formula!E89+Formula!G89+Formula!I89+Formula!K89))*(INDEX(Properties!A$1:CB$87,Formula!F89,45))+((Formula!I89)/(Formula!C89+Formula!E89+Formula!G89+Formula!I89+Formula!K89))*(INDEX(Properties!A$1:CB$87,Formula!H89,45))+((Formula!K89)/(Formula!C89+Formula!E89+Formula!G89+Formula!I89+Formula!K89))*(INDEX(Properties!A$1:CB$87,Formula!J89,45))</f>
        <v>1.391</v>
      </c>
      <c r="EE89" s="48">
        <f>Formula!C89*(INDEX(Properties!A$1:CB$87,Formula!B89,45))+Formula!E89*(INDEX(Properties!A$1:CB$87,Formula!D89,45))+Formula!G89*(INDEX(Properties!A$1:CB$87,Formula!F89,45))+Formula!I89*(INDEX(Properties!A$1:CB$87,Formula!H89,45))+Formula!K89*(INDEX(Properties!A$1:CB$87,Formula!J89,45))</f>
        <v>13.91</v>
      </c>
      <c r="EF89" s="48">
        <f>VARP(IF(INDEX(Properties!A$1:CB$87,Formula!B89,45)&lt;&gt;"",INDEX(Properties!A$1:CB$87,Formula!B89,45)),IF(INDEX(Properties!A$1:CB$87,Formula!D89,45)&lt;&gt;"",INDEX(Properties!A$1:CB$87,Formula!D89,45)),IF(INDEX(Properties!A$1:CB$87,Formula!F89,45)&lt;&gt;"",INDEX(Properties!A$1:CB$87,Formula!F89,45)),IF(INDEX(Properties!A$1:CB$87,Formula!H89,45)&lt;&gt;"",INDEX(Properties!A$1:CB$87,Formula!H89,45)),IF(INDEX(Properties!A$1:CB$87,Formula!J89,45)&lt;&gt;"",INDEX(Properties!A$1:CB$87,Formula!J89,45)))</f>
        <v>1.6738799999999991</v>
      </c>
      <c r="EG89" s="48">
        <f>MAX(INDEX(Properties!A$1:CB$87,Formula!B89,45),INDEX(Properties!A$1:CB$87,Formula!D89,45),INDEX(Properties!A$1:CB$87,Formula!F89,45),INDEX(Properties!A$1:CB$87,Formula!H89,45),INDEX(Properties!A$1:CB$87,Formula!J89,45))</f>
        <v>3.21</v>
      </c>
      <c r="EH89" s="48">
        <f>MIN(IF(INDEX(Properties!A$1:CB$87,Formula!B89,45)=0,10^6,INDEX(Properties!A$1:CB$87,Formula!B89,45)),IF(INDEX(Properties!A$1:CB$87,Formula!D89,45)=0,10^6,INDEX(Properties!A$1:CB$87,Formula!D89,45)),IF(INDEX(Properties!A$1:CB$87,Formula!F89,45)=0,10^6,INDEX(Properties!A$1:CB$87,Formula!F89,45)),IF(INDEX(Properties!A$1:CB$87,Formula!H89,45)=0,10^6,INDEX(Properties!A$1:CB$87,Formula!H89,45)),IF(INDEX(Properties!A$1:CB$87,Formula!J89,45)=0,10^6,INDEX(Properties!A$1:CB$87,Formula!J89,45)))</f>
        <v>0.47</v>
      </c>
      <c r="EI89" s="48">
        <f t="shared" si="54"/>
        <v>2.74</v>
      </c>
      <c r="EJ89" s="66">
        <f>((Formula!C89)/(Formula!C89+Formula!E89+Formula!G89+Formula!I89+Formula!K89))*(INDEX(Properties!A$1:CB$87,Formula!B89,46))+((Formula!E89)/(Formula!C89+Formula!E89+Formula!G89+Formula!I89+Formula!K89))*(INDEX(Properties!A$1:CB$87,Formula!D89,46))+((Formula!G89)/(Formula!C89+Formula!E89+Formula!G89+Formula!I89+Formula!K89))*(INDEX(Properties!A$1:CB$87,Formula!F89,46))+((Formula!I89)/(Formula!C89+Formula!E89+Formula!G89+Formula!I89+Formula!K89))*(INDEX(Properties!A$1:CB$87,Formula!H89,46))+((Formula!K89)/(Formula!C89+Formula!E89+Formula!G89+Formula!I89+Formula!K89))*(INDEX(Properties!A$1:CB$87,Formula!J89,46))</f>
        <v>1.2149999999999999</v>
      </c>
      <c r="EK89" s="66">
        <f>Formula!C89*(INDEX(Properties!A$1:CB$87,Formula!B89,46))+Formula!E89*(INDEX(Properties!A$1:CB$87,Formula!D89,46))+Formula!G89*(INDEX(Properties!A$1:CB$87,Formula!F89,46))+Formula!I89*(INDEX(Properties!A$1:CB$87,Formula!H89,46))+Formula!K89*(INDEX(Properties!A$1:CB$87,Formula!J89,46))</f>
        <v>12.15</v>
      </c>
      <c r="EL89" s="66">
        <f>VARP(IF(INDEX(Properties!A$1:CB$87,Formula!B89,46)&lt;&gt;"",INDEX(Properties!A$1:CB$87,Formula!B89,46)),IF(INDEX(Properties!A$1:CB$87,Formula!D89,46)&lt;&gt;"",INDEX(Properties!A$1:CB$87,Formula!D89,46)),IF(INDEX(Properties!A$1:CB$87,Formula!F89,46)&lt;&gt;"",INDEX(Properties!A$1:CB$87,Formula!F89,46)),IF(INDEX(Properties!A$1:CB$87,Formula!H89,46)&lt;&gt;"",INDEX(Properties!A$1:CB$87,Formula!H89,46)),IF(INDEX(Properties!A$1:CB$87,Formula!J89,46)&lt;&gt;"",INDEX(Properties!A$1:CB$87,Formula!J89,46)))</f>
        <v>0.23370399999999988</v>
      </c>
      <c r="EM89" s="66">
        <f>MAX(INDEX(Properties!A$1:CB$87,Formula!B89,46),INDEX(Properties!A$1:CB$87,Formula!D89,46),INDEX(Properties!A$1:CB$87,Formula!F89,46),INDEX(Properties!A$1:CB$87,Formula!H89,46),INDEX(Properties!A$1:CB$87,Formula!J89,46))</f>
        <v>1.32</v>
      </c>
      <c r="EN89" s="66">
        <f>MIN(IF(INDEX(Properties!A$1:CB$87,Formula!B89,46)=0,10^6,INDEX(Properties!A$1:CB$87,Formula!B89,46)),IF(INDEX(Properties!A$1:CB$87,Formula!D89,46)=0,10^6,INDEX(Properties!A$1:CB$87,Formula!D89,46)),IF(INDEX(Properties!A$1:CB$87,Formula!F89,46)=0,10^6,INDEX(Properties!A$1:CB$87,Formula!F89,46)),IF(INDEX(Properties!A$1:CB$87,Formula!H89,46)=0,10^6,INDEX(Properties!A$1:CB$87,Formula!H89,46)),IF(INDEX(Properties!A$1:CB$87,Formula!J89,46)=0,10^6,INDEX(Properties!A$1:CB$87,Formula!J89,46)))</f>
        <v>1.1100000000000001</v>
      </c>
      <c r="EO89" s="66">
        <f t="shared" si="55"/>
        <v>0.20999999999999996</v>
      </c>
      <c r="EP89" s="81">
        <f>((Formula!C89)/(Formula!C89+Formula!E89+Formula!G89+Formula!I89+Formula!K89))*(INDEX(Properties!A$1:CB$87,Formula!B89,52))+((Formula!E89)/(Formula!C89+Formula!E89+Formula!G89+Formula!I89+Formula!K89))*(INDEX(Properties!A$1:CB$87,Formula!D89,52))+((Formula!G89)/(Formula!C89+Formula!E89+Formula!G89+Formula!I89+Formula!K89))*(INDEX(Properties!A$1:CB$87,Formula!F89,52))+((Formula!I89)/(Formula!C89+Formula!E89+Formula!G89+Formula!I89+Formula!K89))*(INDEX(Properties!A$1:CB$87,Formula!H89,52))+((Formula!K89)/(Formula!C89+Formula!E89+Formula!G89+Formula!I89+Formula!K89))*(INDEX(Properties!A$1:CB$87,Formula!J89,52))</f>
        <v>8.825800000000001</v>
      </c>
      <c r="EQ89" s="81">
        <f>Formula!C89*(INDEX(Properties!A$1:CB$87,Formula!B89,52))+Formula!E89*(INDEX(Properties!A$1:CB$87,Formula!D89,52))+Formula!G89*(INDEX(Properties!A$1:CB$87,Formula!F89,52))+Formula!I89*(INDEX(Properties!A$1:CB$87,Formula!H89,52))+Formula!K89*(INDEX(Properties!A$1:CB$87,Formula!J89,52))</f>
        <v>88.257999999999996</v>
      </c>
      <c r="ER89" s="81">
        <f>VARP(IF(INDEX(Properties!A$1:CB$87,Formula!B89,52)&lt;&gt;"",INDEX(Properties!A$1:CB$87,Formula!B89,52)),IF(INDEX(Properties!A$1:CB$87,Formula!D89,52)&lt;&gt;"",INDEX(Properties!A$1:CB$87,Formula!D89,52)),IF(INDEX(Properties!A$1:CB$87,Formula!F89,52)&lt;&gt;"",INDEX(Properties!A$1:CB$87,Formula!F89,52)),IF(INDEX(Properties!A$1:CB$87,Formula!H89,52)&lt;&gt;"",INDEX(Properties!A$1:CB$87,Formula!H89,52)),IF(INDEX(Properties!A$1:CB$87,Formula!J89,52)&lt;&gt;"",INDEX(Properties!A$1:CB$87,Formula!J89,52)))</f>
        <v>133.93191983999998</v>
      </c>
      <c r="ES89" s="81">
        <f>MAX(INDEX(Properties!A$1:CB$87,Formula!B89,52),INDEX(Properties!A$1:CB$87,Formula!D89,52),INDEX(Properties!A$1:CB$87,Formula!F89,52),INDEX(Properties!A$1:CB$87,Formula!H89,52),INDEX(Properties!A$1:CB$87,Formula!J89,52))</f>
        <v>27.6</v>
      </c>
      <c r="ET89" s="81">
        <f>MIN(IF(INDEX(Properties!A$1:CB$87,Formula!B89,52)=0,10^6,INDEX(Properties!A$1:CB$87,Formula!B89,52)),IF(INDEX(Properties!A$1:CB$87,Formula!D89,52)=0,10^6,INDEX(Properties!A$1:CB$87,Formula!D89,52)),IF(INDEX(Properties!A$1:CB$87,Formula!F89,52)=0,10^6,INDEX(Properties!A$1:CB$87,Formula!F89,52)),IF(INDEX(Properties!A$1:CB$87,Formula!H89,52)=0,10^6,INDEX(Properties!A$1:CB$87,Formula!H89,52)),IF(INDEX(Properties!A$1:CB$87,Formula!J89,52)=0,10^6,INDEX(Properties!A$1:CB$87,Formula!J89,52)))</f>
        <v>0.79300000000000004</v>
      </c>
      <c r="EU89" s="81">
        <f t="shared" si="56"/>
        <v>26.807000000000002</v>
      </c>
      <c r="EV89" s="39">
        <f>((Formula!C89)/(Formula!C89+Formula!E89+Formula!G89+Formula!I89+Formula!K89))*(INDEX(Properties!A$1:CB$87,Formula!B89,53))+((Formula!E89)/(Formula!C89+Formula!E89+Formula!G89+Formula!I89+Formula!K89))*(INDEX(Properties!A$1:CB$87,Formula!D89,53))+((Formula!G89)/(Formula!C89+Formula!E89+Formula!G89+Formula!I89+Formula!K89))*(INDEX(Properties!A$1:CB$87,Formula!F89,53))+((Formula!I89)/(Formula!C89+Formula!E89+Formula!G89+Formula!I89+Formula!K89))*(INDEX(Properties!A$1:CB$87,Formula!H89,53))+((Formula!K89)/(Formula!C89+Formula!E89+Formula!G89+Formula!I89+Formula!K89))*(INDEX(Properties!A$1:CB$87,Formula!J89,53))</f>
        <v>424.76</v>
      </c>
      <c r="EW89" s="39">
        <f>Formula!C89*(INDEX(Properties!A$1:CB$87,Formula!B89,53))+Formula!E89*(INDEX(Properties!A$1:CB$87,Formula!D89,53))+Formula!G89*(INDEX(Properties!A$1:CB$87,Formula!F89,53))+Formula!I89*(INDEX(Properties!A$1:CB$87,Formula!H89,53))+Formula!K89*(INDEX(Properties!A$1:CB$87,Formula!J89,53))</f>
        <v>4247.6000000000004</v>
      </c>
      <c r="EX89" s="39">
        <f>VARP(IF(INDEX(Properties!A$1:CB$87,Formula!B89,53)&lt;&gt;"",INDEX(Properties!A$1:CB$87,Formula!B89,53)),IF(INDEX(Properties!A$1:CB$87,Formula!D89,53)&lt;&gt;"",INDEX(Properties!A$1:CB$87,Formula!D89,53)),IF(INDEX(Properties!A$1:CB$87,Formula!F89,53)&lt;&gt;"",INDEX(Properties!A$1:CB$87,Formula!F89,53)),IF(INDEX(Properties!A$1:CB$87,Formula!H89,53)&lt;&gt;"",INDEX(Properties!A$1:CB$87,Formula!H89,53)),IF(INDEX(Properties!A$1:CB$87,Formula!J89,53)&lt;&gt;"",INDEX(Properties!A$1:CB$87,Formula!J89,53)))</f>
        <v>225840.37039999999</v>
      </c>
      <c r="EY89" s="39">
        <f>MAX(INDEX(Properties!A$1:CB$87,Formula!B89,53),INDEX(Properties!A$1:CB$87,Formula!D89,53),INDEX(Properties!A$1:CB$87,Formula!F89,53),INDEX(Properties!A$1:CB$87,Formula!H89,53),INDEX(Properties!A$1:CB$87,Formula!J89,53))</f>
        <v>1112.1500000000001</v>
      </c>
      <c r="EZ89" s="39">
        <f>MIN(IF(INDEX(Properties!A$1:CB$87,Formula!B89,53)=0,10^6,INDEX(Properties!A$1:CB$87,Formula!B89,53)),IF(INDEX(Properties!A$1:CB$87,Formula!D89,53)=0,10^6,INDEX(Properties!A$1:CB$87,Formula!D89,53)),IF(INDEX(Properties!A$1:CB$87,Formula!F89,53)=0,10^6,INDEX(Properties!A$1:CB$87,Formula!F89,53)),IF(INDEX(Properties!A$1:CB$87,Formula!H89,53)=0,10^6,INDEX(Properties!A$1:CB$87,Formula!H89,53)),IF(INDEX(Properties!A$1:CB$87,Formula!J89,53)=0,10^6,INDEX(Properties!A$1:CB$87,Formula!J89,53)))</f>
        <v>54.749999999999972</v>
      </c>
      <c r="FA89" s="39">
        <f t="shared" si="57"/>
        <v>1057.4000000000001</v>
      </c>
      <c r="FB89" s="54">
        <f>((Formula!C89)/(Formula!C89+Formula!E89+Formula!G89+Formula!I89+Formula!K89))*(INDEX(Properties!A$1:CB$87,Formula!B89,54))+((Formula!E89)/(Formula!C89+Formula!E89+Formula!G89+Formula!I89+Formula!K89))*(INDEX(Properties!A$1:CB$87,Formula!D89,54))+((Formula!G89)/(Formula!C89+Formula!E89+Formula!G89+Formula!I89+Formula!K89))*(INDEX(Properties!A$1:CB$87,Formula!F89,54))+((Formula!I89)/(Formula!C89+Formula!E89+Formula!G89+Formula!I89+Formula!K89))*(INDEX(Properties!A$1:CB$87,Formula!H89,54))+((Formula!K89)/(Formula!C89+Formula!E89+Formula!G89+Formula!I89+Formula!K89))*(INDEX(Properties!A$1:CB$87,Formula!J89,54))</f>
        <v>687.53000000000009</v>
      </c>
      <c r="FC89" s="54">
        <f>Formula!C89*(INDEX(Properties!A$1:CB$87,Formula!B89,54))+Formula!E89*(INDEX(Properties!A$1:CB$87,Formula!D89,54))+Formula!G89*(INDEX(Properties!A$1:CB$87,Formula!F89,54))+Formula!I89*(INDEX(Properties!A$1:CB$87,Formula!H89,54))+Formula!K89*(INDEX(Properties!A$1:CB$87,Formula!J89,54))</f>
        <v>6875.3</v>
      </c>
      <c r="FD89" s="54">
        <f>VARP(IF(INDEX(Properties!A$1:CB$87,Formula!B89,54)&lt;&gt;"",INDEX(Properties!A$1:CB$87,Formula!B89,54)),IF(INDEX(Properties!A$1:CB$87,Formula!D89,54)&lt;&gt;"",INDEX(Properties!A$1:CB$87,Formula!D89,54)),IF(INDEX(Properties!A$1:CB$87,Formula!F89,54)&lt;&gt;"",INDEX(Properties!A$1:CB$87,Formula!F89,54)),IF(INDEX(Properties!A$1:CB$87,Formula!H89,54)&lt;&gt;"",INDEX(Properties!A$1:CB$87,Formula!H89,54)),IF(INDEX(Properties!A$1:CB$87,Formula!J89,54)&lt;&gt;"",INDEX(Properties!A$1:CB$87,Formula!J89,54)))</f>
        <v>578254.2836000002</v>
      </c>
      <c r="FE89" s="54">
        <f>MAX(INDEX(Properties!A$1:CB$87,Formula!B89,54),INDEX(Properties!A$1:CB$87,Formula!D89,54),INDEX(Properties!A$1:CB$87,Formula!F89,54),INDEX(Properties!A$1:CB$87,Formula!H89,54),INDEX(Properties!A$1:CB$87,Formula!J89,54))</f>
        <v>1757.15</v>
      </c>
      <c r="FF89" s="54">
        <f>MIN(IF(INDEX(Properties!A$1:CB$87,Formula!B89,54)=0,10^6,INDEX(Properties!A$1:CB$87,Formula!B89,54)),IF(INDEX(Properties!A$1:CB$87,Formula!D89,54)=0,10^6,INDEX(Properties!A$1:CB$87,Formula!D89,54)),IF(INDEX(Properties!A$1:CB$87,Formula!F89,54)=0,10^6,INDEX(Properties!A$1:CB$87,Formula!F89,54)),IF(INDEX(Properties!A$1:CB$87,Formula!H89,54)=0,10^6,INDEX(Properties!A$1:CB$87,Formula!H89,54)),IF(INDEX(Properties!A$1:CB$87,Formula!J89,54)=0,10^6,INDEX(Properties!A$1:CB$87,Formula!J89,54)))</f>
        <v>90.149999999999977</v>
      </c>
      <c r="FG89" s="54">
        <f t="shared" si="58"/>
        <v>1667</v>
      </c>
      <c r="FH89" s="69">
        <f>((Formula!C89)/(Formula!C89+Formula!E89+Formula!G89+Formula!I89+Formula!K89))*(INDEX(Properties!A$1:CB$87,Formula!B89,55))+((Formula!E89)/(Formula!C89+Formula!E89+Formula!G89+Formula!I89+Formula!K89))*(INDEX(Properties!A$1:CB$87,Formula!D89,55))+((Formula!G89)/(Formula!C89+Formula!E89+Formula!G89+Formula!I89+Formula!K89))*(INDEX(Properties!A$1:CB$87,Formula!F89,55))+((Formula!I89)/(Formula!C89+Formula!E89+Formula!G89+Formula!I89+Formula!K89))*(INDEX(Properties!A$1:CB$87,Formula!H89,55))+((Formula!K89)/(Formula!C89+Formula!E89+Formula!G89+Formula!I89+Formula!K89))*(INDEX(Properties!A$1:CB$87,Formula!J89,55))</f>
        <v>1.3058580000000002</v>
      </c>
      <c r="FI89" s="69">
        <f>Formula!C89*(INDEX(Properties!A$1:CB$87,Formula!B89,55))+Formula!E89*(INDEX(Properties!A$1:CB$87,Formula!D89,54))+Formula!G89*(INDEX(Properties!A$1:CB$87,Formula!F89,55))+Formula!I89*(INDEX(Properties!A$1:CB$87,Formula!H89,55))+Formula!K89*(INDEX(Properties!A$1:CB$87,Formula!J89,55))</f>
        <v>1768.65858</v>
      </c>
      <c r="FJ89" s="69">
        <f>VARP(IF(INDEX(Properties!A$1:CB$87,Formula!B89,55)&lt;&gt;"",INDEX(Properties!A$1:CB$87,Formula!B89,55)),IF(INDEX(Properties!A$1:CB$87,Formula!D89,55)&lt;&gt;"",INDEX(Properties!A$1:CB$87,Formula!D89,55)),IF(INDEX(Properties!A$1:CB$87,Formula!F89,55)&lt;&gt;"",INDEX(Properties!A$1:CB$87,Formula!F89,55)),IF(INDEX(Properties!A$1:CB$87,Formula!H89,55)&lt;&gt;"",INDEX(Properties!A$1:CB$87,Formula!H89,55)),IF(INDEX(Properties!A$1:CB$87,Formula!J89,55)&lt;&gt;"",INDEX(Properties!A$1:CB$87,Formula!J89,55)))</f>
        <v>5.3071522791840016</v>
      </c>
      <c r="FK89" s="69">
        <f>MAX(INDEX(Properties!A$1:CB$87,Formula!B89,55),INDEX(Properties!A$1:CB$87,Formula!D89,55),INDEX(Properties!A$1:CB$87,Formula!F89,55),INDEX(Properties!A$1:CB$87,Formula!H89,55),INDEX(Properties!A$1:CB$87,Formula!J89,55))</f>
        <v>6.24</v>
      </c>
      <c r="FL89" s="69">
        <f>MIN(IF(INDEX(Properties!A$1:CB$87,Formula!B89,55)=0,10^6,INDEX(Properties!A$1:CB$87,Formula!B89,55)),IF(INDEX(Properties!A$1:CB$87,Formula!D89,55)=0,10^6,INDEX(Properties!A$1:CB$87,Formula!D89,55)),IF(INDEX(Properties!A$1:CB$87,Formula!F89,55)=0,10^6,INDEX(Properties!A$1:CB$87,Formula!F89,55)),IF(INDEX(Properties!A$1:CB$87,Formula!H89,55)=0,10^6,INDEX(Properties!A$1:CB$87,Formula!H89,55)),IF(INDEX(Properties!A$1:CB$87,Formula!J89,55)=0,10^6,INDEX(Properties!A$1:CB$87,Formula!J89,55)))</f>
        <v>1.4300000000000001E-3</v>
      </c>
      <c r="FM89" s="69">
        <f t="shared" si="59"/>
        <v>6.2385700000000002</v>
      </c>
      <c r="FN89" s="42">
        <f>((Formula!C89)/(Formula!C89+Formula!E89+Formula!G89+Formula!I89+Formula!K89))*(INDEX(Properties!A$1:CB$87,Formula!B89,56))+((Formula!E89)/(Formula!C89+Formula!E89+Formula!G89+Formula!I89+Formula!K89))*(INDEX(Properties!A$1:CB$87,Formula!D89,56))+((Formula!G89)/(Formula!C89+Formula!E89+Formula!G89+Formula!I89+Formula!K89))*(INDEX(Properties!A$1:CB$87,Formula!F89,56))+((Formula!I89)/(Formula!C89+Formula!E89+Formula!G89+Formula!I89+Formula!K89))*(INDEX(Properties!A$1:CB$87,Formula!H89,56))+((Formula!K89)/(Formula!C89+Formula!E89+Formula!G89+Formula!I89+Formula!K89))*(INDEX(Properties!A$1:CB$87,Formula!J89,56))</f>
        <v>0.69500000000000006</v>
      </c>
      <c r="FO89" s="42">
        <f>Formula!C89*(INDEX(Properties!A$1:CB$87,Formula!B89,56))+Formula!E89*(INDEX(Properties!A$1:CB$87,Formula!D89,56))+Formula!G89*(INDEX(Properties!A$1:CB$87,Formula!F89,56))+Formula!I89*(INDEX(Properties!A$1:CB$87,Formula!H89,56))+Formula!K89*(INDEX(Properties!A$1:CB$87,Formula!J89,56))</f>
        <v>6.95</v>
      </c>
      <c r="FP89" s="42">
        <f>VARP(IF(INDEX(Properties!A$1:CB$87,Formula!B89,56)&lt;&gt;"",INDEX(Properties!A$1:CB$87,Formula!B89,56)),IF(INDEX(Properties!A$1:CB$87,Formula!D89,56)&lt;&gt;"",INDEX(Properties!A$1:CB$87,Formula!D89,56)),IF(INDEX(Properties!A$1:CB$87,Formula!F89,56)&lt;&gt;"",INDEX(Properties!A$1:CB$87,Formula!F89,56)),IF(INDEX(Properties!A$1:CB$87,Formula!H89,56)&lt;&gt;"",INDEX(Properties!A$1:CB$87,Formula!H89,56)),IF(INDEX(Properties!A$1:CB$87,Formula!J89,56)&lt;&gt;"",INDEX(Properties!A$1:CB$87,Formula!J89,56)))</f>
        <v>0.10656000000000003</v>
      </c>
      <c r="FQ89" s="42">
        <f>MAX(INDEX(Properties!A$1:CB$87,Formula!B89,56),INDEX(Properties!A$1:CB$87,Formula!D89,56),INDEX(Properties!A$1:CB$87,Formula!F89,56),INDEX(Properties!A$1:CB$87,Formula!H89,56),INDEX(Properties!A$1:CB$87,Formula!J89,56))</f>
        <v>0.92</v>
      </c>
      <c r="FR89" s="42">
        <f>MIN(IF(INDEX(Properties!A$1:CB$87,Formula!B89,56)=0,10^6,INDEX(Properties!A$1:CB$87,Formula!B89,56)),IF(INDEX(Properties!A$1:CB$87,Formula!D89,56)=0,10^6,INDEX(Properties!A$1:CB$87,Formula!D89,56)),IF(INDEX(Properties!A$1:CB$87,Formula!F89,56)=0,10^6,INDEX(Properties!A$1:CB$87,Formula!F89,56)),IF(INDEX(Properties!A$1:CB$87,Formula!H89,56)=0,10^6,INDEX(Properties!A$1:CB$87,Formula!H89,56)),IF(INDEX(Properties!A$1:CB$87,Formula!J89,56)=0,10^6,INDEX(Properties!A$1:CB$87,Formula!J89,56)))</f>
        <v>0.2</v>
      </c>
      <c r="FS89" s="42">
        <f t="shared" si="60"/>
        <v>0.72</v>
      </c>
      <c r="FT89" s="60">
        <f>((Formula!C89)/(Formula!C89+Formula!E89+Formula!G89+Formula!I89+Formula!K89))*(INDEX(Properties!A$1:CB$87,Formula!B89,57))+((Formula!E89)/(Formula!C89+Formula!E89+Formula!G89+Formula!I89+Formula!K89))*(INDEX(Properties!A$1:CB$87,Formula!D89,57))+((Formula!G89)/(Formula!C89+Formula!E89+Formula!G89+Formula!I89+Formula!K89))*(INDEX(Properties!A$1:CB$87,Formula!F89,57))+((Formula!I89)/(Formula!C89+Formula!E89+Formula!G89+Formula!I89+Formula!K89))*(INDEX(Properties!A$1:CB$87,Formula!H89,57))+((Formula!K89)/(Formula!C89+Formula!E89+Formula!G89+Formula!I89+Formula!K89))*(INDEX(Properties!A$1:CB$87,Formula!J89,57))</f>
        <v>4.3965540000000001</v>
      </c>
      <c r="FU89" s="60">
        <f>Formula!C89*(INDEX(Properties!A$1:CB$87,Formula!B89,57))+Formula!E89*(INDEX(Properties!A$1:CB$87,Formula!D89,57))+Formula!G89*(INDEX(Properties!A$1:CB$87,Formula!F89,57))+Formula!I89*(INDEX(Properties!A$1:CB$87,Formula!H89,57))+Formula!K89*(INDEX(Properties!A$1:CB$87,Formula!J89,57))</f>
        <v>43.965539999999997</v>
      </c>
      <c r="FV89" s="60">
        <f>VARP(IF(INDEX(Properties!A$1:CB$87,Formula!B89,57)&lt;&gt;"",INDEX(Properties!A$1:CB$87,Formula!B89,57)),IF(INDEX(Properties!A$1:CB$87,Formula!D89,57)&lt;&gt;"",INDEX(Properties!A$1:CB$87,Formula!D89,57)),IF(INDEX(Properties!A$1:CB$87,Formula!F89,57)&lt;&gt;"",INDEX(Properties!A$1:CB$87,Formula!F89,57)),IF(INDEX(Properties!A$1:CB$87,Formula!H89,57)&lt;&gt;"",INDEX(Properties!A$1:CB$87,Formula!H89,57)),IF(INDEX(Properties!A$1:CB$87,Formula!J89,57)&lt;&gt;"",INDEX(Properties!A$1:CB$87,Formula!J89,57)))</f>
        <v>41.798990233295996</v>
      </c>
      <c r="FW89" s="60">
        <f>MAX(INDEX(Properties!A$1:CB$87,Formula!B89,57),INDEX(Properties!A$1:CB$87,Formula!D89,57),INDEX(Properties!A$1:CB$87,Formula!F89,57),INDEX(Properties!A$1:CB$87,Formula!H89,57),INDEX(Properties!A$1:CB$87,Formula!J89,57))</f>
        <v>17.489999999999998</v>
      </c>
      <c r="FX89" s="60">
        <f>MIN(IF(INDEX(Properties!A$1:CB$87,Formula!B89,57)=0,10^6,INDEX(Properties!A$1:CB$87,Formula!B89,57)),IF(INDEX(Properties!A$1:CB$87,Formula!D89,57)=0,10^6,INDEX(Properties!A$1:CB$87,Formula!D89,57)),IF(INDEX(Properties!A$1:CB$87,Formula!F89,57)=0,10^6,INDEX(Properties!A$1:CB$87,Formula!F89,57)),IF(INDEX(Properties!A$1:CB$87,Formula!H89,57)=0,10^6,INDEX(Properties!A$1:CB$87,Formula!H89,57)),IF(INDEX(Properties!A$1:CB$87,Formula!J89,57)=0,10^6,INDEX(Properties!A$1:CB$87,Formula!J89,57)))</f>
        <v>0.22259000000000001</v>
      </c>
      <c r="FY89" s="60">
        <f t="shared" si="61"/>
        <v>17.267409999999998</v>
      </c>
      <c r="FZ89" s="72">
        <f>((Formula!C89)/(Formula!C89+Formula!E89+Formula!G89+Formula!I89+Formula!K89))*(INDEX(Properties!A$1:CB$87,Formula!B89,60))+((Formula!E89)/(Formula!C89+Formula!E89+Formula!G89+Formula!I89+Formula!K89))*(INDEX(Properties!A$1:CB$87,Formula!D89,60))+((Formula!G89)/(Formula!C89+Formula!E89+Formula!G89+Formula!I89+Formula!K89))*(INDEX(Properties!A$1:CB$87,Formula!F89,60))+((Formula!I89)/(Formula!C89+Formula!E89+Formula!G89+Formula!I89+Formula!K89))*(INDEX(Properties!A$1:CB$87,Formula!H89,60))+((Formula!K89)/(Formula!C89+Formula!E89+Formula!G89+Formula!I89+Formula!K89))*(INDEX(Properties!A$1:CB$87,Formula!J89,60))</f>
        <v>27.311043999999999</v>
      </c>
      <c r="GA89" s="72">
        <f>Formula!C89*(INDEX(Properties!A$1:CB$87,Formula!B89,60))+Formula!E89*(INDEX(Properties!A$1:CB$87,Formula!D89,60))+Formula!G89*(INDEX(Properties!A$1:CB$87,Formula!F89,60))+Formula!I89*(INDEX(Properties!A$1:CB$87,Formula!H89,60))+Formula!K89*(INDEX(Properties!A$1:CB$87,Formula!J89,60))</f>
        <v>273.11044000000004</v>
      </c>
      <c r="GB89" s="72">
        <f>VARP(IF(INDEX(Properties!A$1:CB$87,Formula!B89,60)&lt;&gt;"",INDEX(Properties!A$1:CB$87,Formula!B89,60)),IF(INDEX(Properties!A$1:CB$87,Formula!D89,60)&lt;&gt;"",INDEX(Properties!A$1:CB$87,Formula!D89,60)),IF(INDEX(Properties!A$1:CB$87,Formula!F89,60)&lt;&gt;"",INDEX(Properties!A$1:CB$87,Formula!F89,60)),IF(INDEX(Properties!A$1:CB$87,Formula!H89,60)&lt;&gt;"",INDEX(Properties!A$1:CB$87,Formula!H89,60)),IF(INDEX(Properties!A$1:CB$87,Formula!J89,60)&lt;&gt;"",INDEX(Properties!A$1:CB$87,Formula!J89,60)))</f>
        <v>5990.7133335244152</v>
      </c>
      <c r="GC89" s="72">
        <f>MAX(INDEX(Properties!A$1:CB$87,Formula!B89,60),INDEX(Properties!A$1:CB$87,Formula!D89,60),INDEX(Properties!A$1:CB$87,Formula!F89,60),INDEX(Properties!A$1:CB$87,Formula!H89,60),INDEX(Properties!A$1:CB$87,Formula!J89,60))</f>
        <v>200</v>
      </c>
      <c r="GD89" s="72">
        <f>MIN(IF(INDEX(Properties!A$1:CB$87,Formula!B89,60)=0,10^6,INDEX(Properties!A$1:CB$87,Formula!B89,60)),IF(INDEX(Properties!A$1:CB$87,Formula!D89,60)=0,10^6,INDEX(Properties!A$1:CB$87,Formula!D89,60)),IF(INDEX(Properties!A$1:CB$87,Formula!F89,60)=0,10^6,INDEX(Properties!A$1:CB$87,Formula!F89,60)),IF(INDEX(Properties!A$1:CB$87,Formula!H89,60)=0,10^6,INDEX(Properties!A$1:CB$87,Formula!H89,60)),IF(INDEX(Properties!A$1:CB$87,Formula!J89,60)=0,10^6,INDEX(Properties!A$1:CB$87,Formula!J89,60)))</f>
        <v>2.674E-2</v>
      </c>
      <c r="GE89" s="72">
        <f t="shared" si="62"/>
        <v>199.97326000000001</v>
      </c>
      <c r="GF89" s="51">
        <f>((Formula!C89)/(Formula!C89+Formula!E89+Formula!G89+Formula!I89+Formula!K89))*(INDEX(Properties!A$1:CB$87,Formula!B89,62))+((Formula!E89)/(Formula!C89+Formula!E89+Formula!G89+Formula!I89+Formula!K89))*(INDEX(Properties!A$1:CB$87,Formula!D89,62))+((Formula!G89)/(Formula!C89+Formula!E89+Formula!G89+Formula!I89+Formula!K89))*(INDEX(Properties!A$1:CB$87,Formula!F89,62))+((Formula!I89)/(Formula!C89+Formula!E89+Formula!G89+Formula!I89+Formula!K89))*(INDEX(Properties!A$1:CB$87,Formula!H89,62))+((Formula!K89)/(Formula!C89+Formula!E89+Formula!G89+Formula!I89+Formula!K89))*(INDEX(Properties!A$1:CB$87,Formula!J89,62))</f>
        <v>2.319</v>
      </c>
      <c r="GG89" s="51">
        <f>Formula!C89*(INDEX(Properties!A$1:CB$87,Formula!B89,62))+Formula!E89*(INDEX(Properties!A$1:CB$87,Formula!D89,62))+Formula!G89*(INDEX(Properties!A$1:CB$87,Formula!F89,62))+Formula!I89*(INDEX(Properties!A$1:CB$87,Formula!H89,62))+Formula!K89*(INDEX(Properties!A$1:CB$87,Formula!J89,62))</f>
        <v>23.19</v>
      </c>
      <c r="GH89" s="51">
        <f>VARP(IF(INDEX(Properties!A$1:CB$87,Formula!B89,62)&lt;&gt;"",INDEX(Properties!A$1:CB$87,Formula!B89,62)),IF(INDEX(Properties!A$1:CB$87,Formula!D89,62)&lt;&gt;"",INDEX(Properties!A$1:CB$87,Formula!D89,62)),IF(INDEX(Properties!A$1:CB$87,Formula!F89,62)&lt;&gt;"",INDEX(Properties!A$1:CB$87,Formula!F89,62)),IF(INDEX(Properties!A$1:CB$87,Formula!H89,62)&lt;&gt;"",INDEX(Properties!A$1:CB$87,Formula!H89,62)),IF(INDEX(Properties!A$1:CB$87,Formula!J89,62)&lt;&gt;"",INDEX(Properties!A$1:CB$87,Formula!J89,62)))</f>
        <v>0.79862399999999978</v>
      </c>
      <c r="GI89" s="51">
        <f>MAX(INDEX(Properties!A$1:CB$87,Formula!B89,62),INDEX(Properties!A$1:CB$87,Formula!D89,62),INDEX(Properties!A$1:CB$87,Formula!F89,62),INDEX(Properties!A$1:CB$87,Formula!H89,62),INDEX(Properties!A$1:CB$87,Formula!J89,62))</f>
        <v>2.62</v>
      </c>
      <c r="GJ89" s="51">
        <f>MIN(IF(INDEX(Properties!A$1:CB$87,Formula!B89,62)=0,10^6,INDEX(Properties!A$1:CB$87,Formula!B89,62)),IF(INDEX(Properties!A$1:CB$87,Formula!D89,62)=0,10^6,INDEX(Properties!A$1:CB$87,Formula!D89,62)),IF(INDEX(Properties!A$1:CB$87,Formula!F89,62)=0,10^6,INDEX(Properties!A$1:CB$87,Formula!F89,62)),IF(INDEX(Properties!A$1:CB$87,Formula!H89,62)=0,10^6,INDEX(Properties!A$1:CB$87,Formula!H89,62)),IF(INDEX(Properties!A$1:CB$87,Formula!J89,62)=0,10^6,INDEX(Properties!A$1:CB$87,Formula!J89,62)))</f>
        <v>1.72</v>
      </c>
      <c r="GK89" s="51">
        <f t="shared" si="63"/>
        <v>0.90000000000000013</v>
      </c>
      <c r="GL89" s="51">
        <f>Formula!P89</f>
        <v>14</v>
      </c>
      <c r="GM89" s="57">
        <f>Formula!O89</f>
        <v>2</v>
      </c>
      <c r="GN89" s="51">
        <f>Formula!N89</f>
        <v>0.04</v>
      </c>
    </row>
    <row r="90" spans="1:196" x14ac:dyDescent="0.3">
      <c r="A90" s="84" t="str">
        <f>Formula!A90</f>
        <v>MgO</v>
      </c>
      <c r="B90" s="89">
        <f>((Formula!C90)/(Formula!C90+Formula!E90+Formula!G90+Formula!I90+Formula!K90))*(INDEX(Properties!A$1:CB$87,Formula!B90,3))+((Formula!E90)/(Formula!C90+Formula!E90+Formula!G90+Formula!I90+Formula!K90))*(INDEX(Properties!A$1:CB$87,Formula!D90,3))+((Formula!G90)/(Formula!C90+Formula!E90+Formula!G90+Formula!I90+Formula!K90))*(INDEX(Properties!A$1:CB$87,Formula!F90,3))+((Formula!I90)/(Formula!C90+Formula!E90+Formula!G90+Formula!I90+Formula!K90))*(INDEX(Properties!A$1:CB$87,Formula!H90,3))+((Formula!K90)/(Formula!C90+Formula!E90+Formula!G90+Formula!I90+Formula!K90))*(INDEX(Properties!A$1:CB$87,Formula!J90,3))</f>
        <v>20.152200000000001</v>
      </c>
      <c r="C90" s="85">
        <f>Formula!C90*(INDEX(Properties!A$1:CB$87,Formula!B90,3))+Formula!E90*(INDEX(Properties!A$1:CB$87,Formula!D90,3))+Formula!G90*(INDEX(Properties!A$1:CB$87,Formula!F90,3))+Formula!I90*(INDEX(Properties!A$1:CB$87,Formula!H90,3))+Formula!K90*(INDEX(Properties!A$1:CB$87,Formula!J90,3))</f>
        <v>40.304400000000001</v>
      </c>
      <c r="D90" s="85">
        <f>VARP(IF(INDEX(Properties!A$1:CB$87,Formula!B90,3)&lt;&gt;"",INDEX(Properties!A$1:CB$87,Formula!B90,3)),IF(INDEX(Properties!A$1:CB$87,Formula!D90,3)&lt;&gt;"",INDEX(Properties!A$1:CB$87,Formula!D90,3)),IF(INDEX(Properties!A$1:CB$87,Formula!F90,3)&lt;&gt;"",INDEX(Properties!A$1:CB$87,Formula!F90,3)),IF(INDEX(Properties!A$1:CB$87,Formula!H90,3)&lt;&gt;"",INDEX(Properties!A$1:CB$87,Formula!H90,3)),IF(INDEX(Properties!A$1:CB$87,Formula!J90,3)&lt;&gt;"",INDEX(Properties!A$1:CB$87,Formula!J90,3)))</f>
        <v>104.36497869759999</v>
      </c>
      <c r="E90" s="85">
        <f>MAX(INDEX(Properties!A$1:CB$87,Formula!B90,3),INDEX(Properties!A$1:CB$87,Formula!D90,3),INDEX(Properties!A$1:CB$87,Formula!F90,3),INDEX(Properties!A$1:CB$87,Formula!H90,3),INDEX(Properties!A$1:CB$87,Formula!J90,3))</f>
        <v>24.305</v>
      </c>
      <c r="F90" s="85">
        <f>MIN(IF(INDEX(Properties!A$1:CB$87,Formula!B90,3)=0,10^6,INDEX(Properties!A$1:CB$87,Formula!B90,3)),IF(INDEX(Properties!A$1:CB$87,Formula!D90,3)=0,10^6,INDEX(Properties!A$1:CB$87,Formula!D90,3)),IF(INDEX(Properties!A$1:CB$87,Formula!F90,3)=0,10^6,INDEX(Properties!A$1:CB$87,Formula!F90,3)),IF(INDEX(Properties!A$1:CB$87,Formula!H90,3)=0,10^6,INDEX(Properties!A$1:CB$87,Formula!H90,3)),IF(INDEX(Properties!A$1:CB$87,Formula!J90,3)=0,10^6,INDEX(Properties!A$1:CB$87,Formula!J90,3)))</f>
        <v>15.9994</v>
      </c>
      <c r="G90" s="85">
        <f t="shared" si="32"/>
        <v>8.3056000000000001</v>
      </c>
      <c r="H90" s="87">
        <f>((Formula!C90)/(Formula!C90+Formula!E90+Formula!G90+Formula!I90+Formula!K90))*(INDEX(Properties!A$1:CB$87,Formula!B90,4))+((Formula!E90)/(Formula!C90+Formula!E90+Formula!G90+Formula!I90+Formula!K90))*(INDEX(Properties!A$1:CB$87,Formula!D90,4))+((Formula!G90)/(Formula!C90+Formula!E90+Formula!G90+Formula!I90+Formula!K90))*(INDEX(Properties!A$1:CB$87,Formula!F90,4))+((Formula!I90)/(Formula!C90+Formula!E90+Formula!G90+Formula!I90+Formula!K90))*(INDEX(Properties!A$1:CB$87,Formula!H90,4))+((Formula!K90)/(Formula!C90+Formula!E90+Formula!G90+Formula!I90+Formula!K90))*(INDEX(Properties!A$1:CB$87,Formula!J90,4))</f>
        <v>10</v>
      </c>
      <c r="I90" s="87">
        <f>Formula!C90*(INDEX(Properties!A$1:CB$87,Formula!B90,4))+Formula!E90*(INDEX(Properties!A$1:CB$87,Formula!D90,4))+Formula!G90*(INDEX(Properties!A$1:CB$87,Formula!F90,4))+Formula!I90*(INDEX(Properties!A$1:CB$87,Formula!H90,4))+Formula!K90*(INDEX(Properties!A$1:CB$87,Formula!J90,4))</f>
        <v>20</v>
      </c>
      <c r="J90" s="87">
        <f>VARP(IF(INDEX(Properties!A$1:CB$87,Formula!B90,4)&lt;&gt;"",INDEX(Properties!A$1:CB$87,Formula!B90,4)),IF(INDEX(Properties!A$1:CB$87,Formula!D90,4)&lt;&gt;"",INDEX(Properties!A$1:CB$87,Formula!D90,4)),IF(INDEX(Properties!A$1:CB$87,Formula!F90,4)&lt;&gt;"",INDEX(Properties!A$1:CB$87,Formula!F90,4)),IF(INDEX(Properties!A$1:CB$87,Formula!H90,4)&lt;&gt;"",INDEX(Properties!A$1:CB$87,Formula!H90,4)),IF(INDEX(Properties!A$1:CB$87,Formula!J90,4)&lt;&gt;"",INDEX(Properties!A$1:CB$87,Formula!J90,4)))</f>
        <v>25.6</v>
      </c>
      <c r="K90" s="87">
        <f>MAX(INDEX(Properties!A$1:CB$87,Formula!B90,4),INDEX(Properties!A$1:CB$87,Formula!D90,4),INDEX(Properties!A$1:CB$87,Formula!F90,4),INDEX(Properties!A$1:CB$87,Formula!H90,4),INDEX(Properties!A$1:CB$87,Formula!J90,4))</f>
        <v>12</v>
      </c>
      <c r="L90" s="87">
        <f>MIN(IF(INDEX(Properties!A$1:CB$87,Formula!B90,4)=0,10^6,INDEX(Properties!A$1:CB$87,Formula!B90,4)),IF(INDEX(Properties!A$1:CB$87,Formula!D90,4)=0,10^6,INDEX(Properties!A$1:CB$87,Formula!D90,4)),IF(INDEX(Properties!A$1:CB$87,Formula!F90,4)=0,10^6,INDEX(Properties!A$1:CB$87,Formula!F90,4)),IF(INDEX(Properties!A$1:CB$87,Formula!H90,4)=0,10^6,INDEX(Properties!A$1:CB$87,Formula!H90,4)),IF(INDEX(Properties!A$1:CB$87,Formula!J90,4)=0,10^6,INDEX(Properties!A$1:CB$87,Formula!J90,4)))</f>
        <v>8</v>
      </c>
      <c r="M90" s="87">
        <f t="shared" si="33"/>
        <v>4</v>
      </c>
      <c r="N90" s="89">
        <f>((Formula!C90)/(Formula!C90+Formula!E90+Formula!G90+Formula!I90+Formula!K90))*(INDEX(Properties!A$1:CB$87,Formula!B90,5))+((Formula!E90)/(Formula!C90+Formula!E90+Formula!G90+Formula!I90+Formula!K90))*(INDEX(Properties!A$1:CB$87,Formula!D90,5))+((Formula!G90)/(Formula!C90+Formula!E90+Formula!G90+Formula!I90+Formula!K90))*(INDEX(Properties!A$1:CB$87,Formula!F90,5))+((Formula!I90)/(Formula!C90+Formula!E90+Formula!G90+Formula!I90+Formula!K90))*(INDEX(Properties!A$1:CB$87,Formula!H90,5))+((Formula!K90)/(Formula!C90+Formula!E90+Formula!G90+Formula!I90+Formula!K90))*(INDEX(Properties!A$1:CB$87,Formula!J90,5))</f>
        <v>2.5</v>
      </c>
      <c r="O90" s="89">
        <f>Formula!C90*(INDEX(Properties!A$1:CB$87,Formula!B90,5))+Formula!E90*(INDEX(Properties!A$1:CB$87,Formula!D90,5))+Formula!G90*(INDEX(Properties!A$1:CB$87,Formula!F90,5))+Formula!I90*(INDEX(Properties!A$1:CB$87,Formula!H90,5))+Formula!K90*(INDEX(Properties!A$1:CB$87,Formula!J90,5))</f>
        <v>5</v>
      </c>
      <c r="P90" s="89">
        <f>VARP(IF(INDEX(Properties!A$1:CB$87,Formula!B90,5)&lt;&gt;"",INDEX(Properties!A$1:CB$87,Formula!B90,5)),IF(INDEX(Properties!A$1:CB$87,Formula!D90,5)&lt;&gt;"",INDEX(Properties!A$1:CB$87,Formula!D90,5)),IF(INDEX(Properties!A$1:CB$87,Formula!F90,5)&lt;&gt;"",INDEX(Properties!A$1:CB$87,Formula!F90,5)),IF(INDEX(Properties!A$1:CB$87,Formula!H90,5)&lt;&gt;"",INDEX(Properties!A$1:CB$87,Formula!H90,5)),IF(INDEX(Properties!A$1:CB$87,Formula!J90,5)&lt;&gt;"",INDEX(Properties!A$1:CB$87,Formula!J90,5)))</f>
        <v>1.6</v>
      </c>
      <c r="Q90" s="89">
        <f>MAX(INDEX(Properties!A$1:CB$87,Formula!B90,5),INDEX(Properties!A$1:CB$87,Formula!D90,5),INDEX(Properties!A$1:CB$87,Formula!F90,5),INDEX(Properties!A$1:CB$87,Formula!H90,5),INDEX(Properties!A$1:CB$87,Formula!J90,5))</f>
        <v>3</v>
      </c>
      <c r="R90" s="89">
        <f>MIN(IF(INDEX(Properties!A$1:CB$87,Formula!B90,5)=0,10^6,INDEX(Properties!A$1:CB$87,Formula!B90,5)),IF(INDEX(Properties!A$1:CB$87,Formula!D90,5)=0,10^6,INDEX(Properties!A$1:CB$87,Formula!D90,5)),IF(INDEX(Properties!A$1:CB$87,Formula!F90,5)=0,10^6,INDEX(Properties!A$1:CB$87,Formula!F90,5)),IF(INDEX(Properties!A$1:CB$87,Formula!H90,5)=0,10^6,INDEX(Properties!A$1:CB$87,Formula!H90,5)),IF(INDEX(Properties!A$1:CB$87,Formula!J90,5)=0,10^6,INDEX(Properties!A$1:CB$87,Formula!J90,5)))</f>
        <v>2</v>
      </c>
      <c r="S90" s="89">
        <f t="shared" si="34"/>
        <v>1</v>
      </c>
      <c r="T90" s="60">
        <f>((Formula!C90)/(Formula!C90+Formula!E90+Formula!G90+Formula!I90+Formula!K90))*(INDEX(Properties!A$1:CB$87,Formula!B90,6))+((Formula!E90)/(Formula!C90+Formula!E90+Formula!G90+Formula!I90+Formula!K90))*(INDEX(Properties!A$1:CB$87,Formula!D90,6))+((Formula!G90)/(Formula!C90+Formula!E90+Formula!G90+Formula!I90+Formula!K90))*(INDEX(Properties!A$1:CB$87,Formula!F90,6))+((Formula!I90)/(Formula!C90+Formula!E90+Formula!G90+Formula!I90+Formula!K90))*(INDEX(Properties!A$1:CB$87,Formula!H90,6))+((Formula!K90)/(Formula!C90+Formula!E90+Formula!G90+Formula!I90+Formula!K90))*(INDEX(Properties!A$1:CB$87,Formula!J90,6))</f>
        <v>9</v>
      </c>
      <c r="U90" s="60">
        <f>Formula!C90*(INDEX(Properties!A$1:CB$87,Formula!B90,6))+Formula!E90*(INDEX(Properties!A$1:CB$87,Formula!D90,6))+Formula!G90*(INDEX(Properties!A$1:CB$87,Formula!F90,6))+Formula!I90*(INDEX(Properties!A$1:CB$87,Formula!H90,6))+Formula!K90*(INDEX(Properties!A$1:CB$87,Formula!J90,6))</f>
        <v>18</v>
      </c>
      <c r="V90" s="89">
        <f>VARP(IF(INDEX(Properties!A$1:CB$87,Formula!B90,6)&lt;&gt;"",INDEX(Properties!A$1:CB$87,Formula!B90,6)),IF(INDEX(Properties!A$1:CB$87,Formula!D90,6)&lt;&gt;"",INDEX(Properties!A$1:CB$87,Formula!D90,6)),IF(INDEX(Properties!A$1:CB$87,Formula!F90,6)&lt;&gt;"",INDEX(Properties!A$1:CB$87,Formula!F90,6)),IF(INDEX(Properties!A$1:CB$87,Formula!H90,6)&lt;&gt;"",INDEX(Properties!A$1:CB$87,Formula!H90,6)),IF(INDEX(Properties!A$1:CB$87,Formula!J90,6)&lt;&gt;"",INDEX(Properties!A$1:CB$87,Formula!J90,6)))</f>
        <v>39.04</v>
      </c>
      <c r="W90" s="60">
        <f>MAX(INDEX(Properties!A$1:CB$87,Formula!B90,6),INDEX(Properties!A$1:CB$87,Formula!D90,6),INDEX(Properties!A$1:CB$87,Formula!F90,6),INDEX(Properties!A$1:CB$87,Formula!H90,4),INDEX(Properties!A$1:CB$87,Formula!J90,6))</f>
        <v>16</v>
      </c>
      <c r="X90" s="60">
        <f>MIN(IF(INDEX(Properties!A$1:CB$87,Formula!B90,6)=0,10^6,INDEX(Properties!A$1:CB$87,Formula!B90,6)),IF(INDEX(Properties!A$1:CB$87,Formula!D90,6)=0,10^6,INDEX(Properties!A$1:CB$87,Formula!D90,6)),IF(INDEX(Properties!A$1:CB$87,Formula!F90,6)=0,10^6,INDEX(Properties!A$1:CB$87,Formula!F90,6)),IF(INDEX(Properties!A$1:CB$87,Formula!H90,6)=0,10^6,INDEX(Properties!A$1:CB$87,Formula!H90,6)),IF(INDEX(Properties!A$1:CB$87,Formula!J90,6)=0,10^6,INDEX(Properties!A$1:CB$87,Formula!J90,6)))</f>
        <v>2</v>
      </c>
      <c r="Y90" s="60">
        <f t="shared" si="35"/>
        <v>14</v>
      </c>
      <c r="Z90" s="72">
        <f>((Formula!C90)/(Formula!C90+Formula!E90+Formula!G90+Formula!I90+Formula!K90))*(INDEX(Properties!A$1:CB$87,Formula!B90,9))+((Formula!E90)/(Formula!C90+Formula!E90+Formula!G90+Formula!I90+Formula!K90))*(INDEX(Properties!A$1:CB$87,Formula!D90,9))+((Formula!G90)/(Formula!C90+Formula!E90+Formula!G90+Formula!I90+Formula!K90))*(INDEX(Properties!A$1:CB$87,Formula!F90,9))+((Formula!I90)/(Formula!C90+Formula!E90+Formula!G90+Formula!I90+Formula!K90))*(INDEX(Properties!A$1:CB$87,Formula!H90,9))+((Formula!K90)/(Formula!C90+Formula!E90+Formula!G90+Formula!I90+Formula!K90))*(INDEX(Properties!A$1:CB$87,Formula!J90,9))</f>
        <v>77.5</v>
      </c>
      <c r="AA90" s="72">
        <f>Formula!C90*(INDEX(Properties!A$1:CB$87,Formula!B90,9))+Formula!E90*(INDEX(Properties!A$1:CB$87,Formula!D90,9))+Formula!G90*(INDEX(Properties!A$1:CB$87,Formula!F90,9))+Formula!I90*(INDEX(Properties!A$1:CB$87,Formula!H90,9))+Formula!K90*(INDEX(Properties!A$1:CB$87,Formula!J90,9))</f>
        <v>155</v>
      </c>
      <c r="AB90" s="72">
        <f>VARP(IF(INDEX(Properties!A$1:CB$87,Formula!B90,9)&lt;&gt;"",INDEX(Properties!A$1:CB$87,Formula!B90,9)),IF(INDEX(Properties!A$1:CB$87,Formula!D90,9)&lt;&gt;"",INDEX(Properties!A$1:CB$87,Formula!D90,9)),IF(INDEX(Properties!A$1:CB$87,Formula!F90,9)&lt;&gt;"",INDEX(Properties!A$1:CB$87,Formula!F90,9)),IF(INDEX(Properties!A$1:CB$87,Formula!H90,9)&lt;&gt;"",INDEX(Properties!A$1:CB$87,Formula!H90,9)),IF(INDEX(Properties!A$1:CB$87,Formula!J90,9)&lt;&gt;"",INDEX(Properties!A$1:CB$87,Formula!J90,9)))</f>
        <v>1477.6</v>
      </c>
      <c r="AC90" s="72">
        <f>MAX(INDEX(Properties!A$1:CB$87,Formula!B90,9),INDEX(Properties!A$1:CB$87,Formula!D90,9),INDEX(Properties!A$1:CB$87,Formula!F90,9),INDEX(Properties!A$1:CB$87,Formula!H90,9),INDEX(Properties!A$1:CB$87,Formula!J90,9))</f>
        <v>87</v>
      </c>
      <c r="AD90" s="72">
        <f>MIN(IF(INDEX(Properties!A$1:CB$87,Formula!B90,9)=0,10^6,INDEX(Properties!A$1:CB$87,Formula!B90,9)),IF(INDEX(Properties!A$1:CB$87,Formula!D90,9)=0,10^6,INDEX(Properties!A$1:CB$87,Formula!D90,9)),IF(INDEX(Properties!A$1:CB$87,Formula!F90,9)=0,10^6,INDEX(Properties!A$1:CB$87,Formula!F90,9)),IF(INDEX(Properties!A$1:CB$87,Formula!H90,9)=0,10^6,INDEX(Properties!A$1:CB$87,Formula!H90,9)),IF(INDEX(Properties!A$1:CB$87,Formula!J90,9)=0,10^6,INDEX(Properties!A$1:CB$87,Formula!J90,9)))</f>
        <v>68</v>
      </c>
      <c r="AE90" s="72">
        <f t="shared" si="36"/>
        <v>19</v>
      </c>
      <c r="AF90" s="51">
        <f>((Formula!C90)/(Formula!C90+Formula!E90+Formula!G90+Formula!I90+Formula!K90))*(INDEX(Properties!A$1:CB$87,Formula!B90,10))+((Formula!E90)/(Formula!C90+Formula!E90+Formula!G90+Formula!I90+Formula!K90))*(INDEX(Properties!A$1:CB$87,Formula!D90,10))+((Formula!G90)/(Formula!C90+Formula!E90+Formula!G90+Formula!I90+Formula!K90))*(INDEX(Properties!A$1:CB$87,Formula!F90,10))+((Formula!I90)/(Formula!C90+Formula!E90+Formula!G90+Formula!I90+Formula!K90))*(INDEX(Properties!A$1:CB$87,Formula!H90,10))+((Formula!K90)/(Formula!C90+Formula!E90+Formula!G90+Formula!I90+Formula!K90))*(INDEX(Properties!A$1:CB$87,Formula!J90,10))</f>
        <v>4.5</v>
      </c>
      <c r="AG90" s="51">
        <f>Formula!C90*(INDEX(Properties!A$1:CB$87,Formula!B90,10))+Formula!E90*(INDEX(Properties!A$1:CB$87,Formula!D90,10))+Formula!G90*(INDEX(Properties!A$1:CB$87,Formula!F90,10))+Formula!I90*(INDEX(Properties!A$1:CB$87,Formula!H90,10))+Formula!K90*(INDEX(Properties!A$1:CB$87,Formula!J90,10))</f>
        <v>9</v>
      </c>
      <c r="AH90" s="51">
        <f>VARP(IF(INDEX(Properties!A$1:CB$87,Formula!B90,10)&lt;&gt;"",INDEX(Properties!A$1:CB$87,Formula!B90,10)),IF(INDEX(Properties!A$1:CB$87,Formula!D90,10)&lt;&gt;"",INDEX(Properties!A$1:CB$87,Formula!D90,10)),IF(INDEX(Properties!A$1:CB$87,Formula!F90,10)&lt;&gt;"",INDEX(Properties!A$1:CB$87,Formula!F90,10)),IF(INDEX(Properties!A$1:CB$87,Formula!H90,10)&lt;&gt;"",INDEX(Properties!A$1:CB$87,Formula!H90,10)),IF(INDEX(Properties!A$1:CB$87,Formula!J90,10)&lt;&gt;"",INDEX(Properties!A$1:CB$87,Formula!J90,10)))</f>
        <v>7.36</v>
      </c>
      <c r="AI90" s="51">
        <f>MAX(INDEX(Properties!A$1:CB$87,Formula!B90,10),INDEX(Properties!A$1:CB$87,Formula!D90,10),INDEX(Properties!A$1:CB$87,Formula!F90,10),INDEX(Properties!A$1:CB$87,Formula!H90,10),INDEX(Properties!A$1:CB$87,Formula!J90,10))</f>
        <v>7</v>
      </c>
      <c r="AJ90" s="51">
        <f>MIN(IF(INDEX(Properties!A$1:CB$87,Formula!B90,10)=0,10^6,INDEX(Properties!A$1:CB$87,Formula!B90,10)),IF(INDEX(Properties!A$1:CB$87,Formula!D90,10)=0,10^6,INDEX(Properties!A$1:CB$87,Formula!D90,10)),IF(INDEX(Properties!A$1:CB$87,Formula!F90,10)=0,10^6,INDEX(Properties!A$1:CB$87,Formula!F90,10)),IF(INDEX(Properties!A$1:CB$87,Formula!H90,10)=0,10^6,INDEX(Properties!A$1:CB$87,Formula!H90,10)),IF(INDEX(Properties!A$1:CB$87,Formula!J90,10)=0,10^6,INDEX(Properties!A$1:CB$87,Formula!J90,10)))</f>
        <v>2</v>
      </c>
      <c r="AK90" s="51">
        <f t="shared" si="37"/>
        <v>5</v>
      </c>
      <c r="AL90" s="57">
        <f>((Formula!C90)/(Formula!C90+Formula!E90+Formula!G90+Formula!I90+Formula!K90))*(INDEX(Properties!A$1:CB$87,Formula!B90,11))+((Formula!E90)/(Formula!C90+Formula!E90+Formula!G90+Formula!I90+Formula!K90))*(INDEX(Properties!A$1:CB$87,Formula!D90,11))+((Formula!G90)/(Formula!C90+Formula!E90+Formula!G90+Formula!I90+Formula!K90))*(INDEX(Properties!A$1:CB$87,Formula!F90,11))+((Formula!I90)/(Formula!C90+Formula!E90+Formula!G90+Formula!I90+Formula!K90))*(INDEX(Properties!A$1:CB$87,Formula!H90,11))+((Formula!K90)/(Formula!C90+Formula!E90+Formula!G90+Formula!I90+Formula!K90))*(INDEX(Properties!A$1:CB$87,Formula!J90,11))</f>
        <v>2</v>
      </c>
      <c r="AM90" s="57">
        <f>Formula!C90*(INDEX(Properties!A$1:CB$87,Formula!B90,11))+Formula!E90*(INDEX(Properties!A$1:CB$87,Formula!D90,11))+Formula!G90*(INDEX(Properties!A$1:CB$87,Formula!F90,11))+Formula!I90*(INDEX(Properties!A$1:CB$87,Formula!H90,11))+Formula!K90*(INDEX(Properties!A$1:CB$87,Formula!J90,11))</f>
        <v>4</v>
      </c>
      <c r="AN90" s="57">
        <f>VARP(IF(INDEX(Properties!A$1:CB$87,Formula!B90,11)&lt;&gt;"",INDEX(Properties!A$1:CB$87,Formula!B90,11)),IF(INDEX(Properties!A$1:CB$87,Formula!D90,11)&lt;&gt;"",INDEX(Properties!A$1:CB$87,Formula!D90,11)),IF(INDEX(Properties!A$1:CB$87,Formula!F90,11)&lt;&gt;"",INDEX(Properties!A$1:CB$87,Formula!F90,11)),IF(INDEX(Properties!A$1:CB$87,Formula!H90,11)&lt;&gt;"",INDEX(Properties!A$1:CB$87,Formula!H90,11)),IF(INDEX(Properties!A$1:CB$87,Formula!J90,11)&lt;&gt;"",INDEX(Properties!A$1:CB$87,Formula!J90,11)))</f>
        <v>0.96</v>
      </c>
      <c r="AO90" s="57">
        <f>MAX(INDEX(Properties!A$1:CB$87,Formula!B90,11),INDEX(Properties!A$1:CB$87,Formula!D90,11),INDEX(Properties!A$1:CB$87,Formula!F90,11),INDEX(Properties!A$1:CB$87,Formula!H90,11),INDEX(Properties!A$1:CB$87,Formula!J90,11))</f>
        <v>2</v>
      </c>
      <c r="AP90" s="57">
        <f>MIN(IF(Formula!B90=87,10^6,INDEX(Properties!A$1:CB$87,Formula!B90,11)),IF((Formula!D90)=87,10^6,INDEX(Properties!A$1:CB$87,Formula!D90,11)),IF((Formula!F90)=87,10^6,INDEX(Properties!A$1:CB$87,Formula!F90,11)),IF((Formula!H90)=87,10^6,INDEX(Properties!A$1:CB$87,Formula!H90,11)),IF(Formula!J90=87,10^6,INDEX(Properties!A$1:CB$87,Formula!J90,11)))</f>
        <v>2</v>
      </c>
      <c r="AQ90" s="57">
        <f t="shared" si="38"/>
        <v>0</v>
      </c>
      <c r="AR90" s="78">
        <f>((Formula!C90)/(Formula!C90+Formula!E90+Formula!G90+Formula!I90+Formula!K90))*(INDEX(Properties!A$1:CB$87,Formula!B90,12))+((Formula!E90)/(Formula!C90+Formula!E90+Formula!G90+Formula!I90+Formula!K90))*(INDEX(Properties!A$1:CB$87,Formula!D90,12))+((Formula!G90)/(Formula!C90+Formula!E90+Formula!G90+Formula!I90+Formula!K90))*(INDEX(Properties!A$1:CB$87,Formula!F90,12))+((Formula!I90)/(Formula!C90+Formula!E90+Formula!G90+Formula!I90+Formula!K90))*(INDEX(Properties!A$1:CB$87,Formula!H90,12))+((Formula!K90)/(Formula!C90+Formula!E90+Formula!G90+Formula!I90+Formula!K90))*(INDEX(Properties!A$1:CB$87,Formula!J90,12))</f>
        <v>2</v>
      </c>
      <c r="AS90" s="78">
        <f>Formula!C90*(INDEX(Properties!A$1:CB$87,Formula!B90,12))+Formula!E90*(INDEX(Properties!A$1:CB$87,Formula!D90,12))+Formula!G90*(INDEX(Properties!A$1:CB$87,Formula!F90,12))+Formula!I90*(INDEX(Properties!A$1:CB$87,Formula!H90,12))+Formula!K90*(INDEX(Properties!A$1:CB$87,Formula!J90,12))</f>
        <v>4</v>
      </c>
      <c r="AT90" s="78">
        <f>VARP(IF(INDEX(Properties!A$1:CB$87,Formula!B90,12)&lt;&gt;"",INDEX(Properties!A$1:CB$87,Formula!B90,12)),IF(INDEX(Properties!A$1:CB$87,Formula!D90,12)&lt;&gt;"",INDEX(Properties!A$1:CB$87,Formula!D90,12)),IF(INDEX(Properties!A$1:CB$87,Formula!F90,12)&lt;&gt;"",INDEX(Properties!A$1:CB$87,Formula!F90,12)),IF(INDEX(Properties!A$1:CB$87,Formula!H90,12)&lt;&gt;"",INDEX(Properties!A$1:CB$87,Formula!H90,12)),IF(INDEX(Properties!A$1:CB$87,Formula!J90,12)&lt;&gt;"",INDEX(Properties!A$1:CB$87,Formula!J90,12)))</f>
        <v>2.56</v>
      </c>
      <c r="AU90" s="78">
        <f>MAX(INDEX(Properties!A$1:CB$87,Formula!B90,12),INDEX(Properties!A$1:CB$87,Formula!D90,12),INDEX(Properties!A$1:CB$87,Formula!F90,12),INDEX(Properties!A$1:CB$87,Formula!H90,12),INDEX(Properties!A$1:CB$87,Formula!J90,12))</f>
        <v>4</v>
      </c>
      <c r="AV90" s="78">
        <f>MIN(IF(Formula!B90=87,10^6,INDEX(Properties!A$1:CB$87,Formula!B90,12)),IF((Formula!D90)=87,10^6,INDEX(Properties!A$1:CB$87,Formula!D90,12)),IF((Formula!F90)=87,10^6,INDEX(Properties!A$1:CB$87,Formula!F90,12)),IF((Formula!H90)=87,10^6,INDEX(Properties!A$1:CB$87,Formula!H90,12)),IF(Formula!J90=87,10^6,INDEX(Properties!A$1:CB$87,Formula!J90,12)))</f>
        <v>0</v>
      </c>
      <c r="AW90" s="78">
        <f t="shared" si="39"/>
        <v>4</v>
      </c>
      <c r="AX90" s="45">
        <f>((Formula!C90)/(Formula!C90+Formula!E90+Formula!G90+Formula!I90+Formula!K90))*(INDEX(Properties!A$1:CB$87,Formula!B90,13))+((Formula!E90)/(Formula!C90+Formula!E90+Formula!G90+Formula!I90+Formula!K90))*(INDEX(Properties!A$1:CB$87,Formula!D90,13))+((Formula!G90)/(Formula!C90+Formula!E90+Formula!G90+Formula!I90+Formula!K90))*(INDEX(Properties!A$1:CB$87,Formula!F90,13))+((Formula!I90)/(Formula!C90+Formula!E90+Formula!G90+Formula!I90+Formula!K90))*(INDEX(Properties!A$1:CB$87,Formula!H90,13))+((Formula!K90)/(Formula!C90+Formula!E90+Formula!G90+Formula!I90+Formula!K90))*(INDEX(Properties!A$1:CB$87,Formula!J90,13))</f>
        <v>0</v>
      </c>
      <c r="AY90" s="45">
        <f>Formula!C90*(INDEX(Properties!A$1:CB$87,Formula!B90,13))+Formula!E90*(INDEX(Properties!A$1:CB$87,Formula!D90,13))+Formula!G90*(INDEX(Properties!A$1:CB$87,Formula!F90,13))+Formula!I90*(INDEX(Properties!A$1:CB$87,Formula!H90,13))+Formula!K90*(INDEX(Properties!A$1:CB$87,Formula!J90,13))</f>
        <v>0</v>
      </c>
      <c r="AZ90" s="45">
        <f>VARP(IF(INDEX(Properties!A$1:CB$87,Formula!B90,13)&lt;&gt;"",INDEX(Properties!A$1:CB$87,Formula!B90,13)),IF(INDEX(Properties!A$1:CB$87,Formula!D90,13)&lt;&gt;"",INDEX(Properties!A$1:CB$87,Formula!D90,13)),IF(INDEX(Properties!A$1:CB$87,Formula!F90,13)&lt;&gt;"",INDEX(Properties!A$1:CB$87,Formula!F90,13)),IF(INDEX(Properties!A$1:CB$87,Formula!H90,13)&lt;&gt;"",INDEX(Properties!A$1:CB$87,Formula!H90,13)),IF(INDEX(Properties!A$1:CB$87,Formula!J90,13)&lt;&gt;"",INDEX(Properties!A$1:CB$87,Formula!J90,13)))</f>
        <v>0</v>
      </c>
      <c r="BA90" s="45">
        <f>MAX(INDEX(Properties!A$1:CB$87,Formula!B90,13),INDEX(Properties!A$1:CB$87,Formula!D90,13),INDEX(Properties!A$1:CB$87,Formula!F90,13),INDEX(Properties!A$1:CB$87,Formula!H90,13),INDEX(Properties!A$1:CB$87,Formula!J90,13))</f>
        <v>0</v>
      </c>
      <c r="BB90" s="45">
        <f>MIN(IF(Formula!B90=87,10^6,INDEX(Properties!A$1:CB$87,Formula!B90,13)),IF((Formula!D90)=87,10^6,INDEX(Properties!A$1:CB$87,Formula!D90,13)),IF((Formula!F90)=87,10^6,INDEX(Properties!A$1:CB$87,Formula!F90,13)),IF((Formula!H90)=87,10^6,INDEX(Properties!A$1:CB$87,Formula!H90,13)),IF(Formula!J90=87,10^6,INDEX(Properties!A$1:CB$87,Formula!J90,13)))</f>
        <v>0</v>
      </c>
      <c r="BC90" s="45">
        <f t="shared" si="40"/>
        <v>0</v>
      </c>
      <c r="BD90" s="63">
        <f>((Formula!C90)/(Formula!C90+Formula!E90+Formula!G90+Formula!I90+Formula!K90))*(INDEX(Properties!A$1:CB$87,Formula!B90,14))+((Formula!E90)/(Formula!C90+Formula!E90+Formula!G90+Formula!I90+Formula!K90))*(INDEX(Properties!A$1:CB$87,Formula!D90,14))+((Formula!G90)/(Formula!C90+Formula!E90+Formula!G90+Formula!I90+Formula!K90))*(INDEX(Properties!A$1:CB$87,Formula!F90,14))+((Formula!I90)/(Formula!C90+Formula!E90+Formula!G90+Formula!I90+Formula!K90))*(INDEX(Properties!A$1:CB$87,Formula!H90,14))+((Formula!K90)/(Formula!C90+Formula!E90+Formula!G90+Formula!I90+Formula!K90))*(INDEX(Properties!A$1:CB$87,Formula!J90,14))</f>
        <v>0</v>
      </c>
      <c r="BE90" s="63">
        <f>Formula!C90*(INDEX(Properties!A$1:CB$87,Formula!B90,14))+Formula!E90*(INDEX(Properties!A$1:CB$87,Formula!D90,14))+Formula!G90*(INDEX(Properties!A$1:CB$87,Formula!F90,14))+Formula!I90*(INDEX(Properties!A$1:CB$87,Formula!H90,14))+Formula!K90*(INDEX(Properties!A$1:CB$87,Formula!J90,14))</f>
        <v>0</v>
      </c>
      <c r="BF90" s="63">
        <f>VARP(IF(INDEX(Properties!A$1:CB$87,Formula!B90,14)&lt;&gt;"",INDEX(Properties!A$1:CB$87,Formula!B90,14)),IF(INDEX(Properties!A$1:CB$87,Formula!D90,14)&lt;&gt;"",INDEX(Properties!A$1:CB$87,Formula!D90,14)),IF(INDEX(Properties!A$1:CB$87,Formula!F90,14)&lt;&gt;"",INDEX(Properties!A$1:CB$87,Formula!F90,14)),IF(INDEX(Properties!A$1:CB$87,Formula!H90,14)&lt;&gt;"",INDEX(Properties!A$1:CB$87,Formula!H90,14)),IF(INDEX(Properties!A$1:CB$87,Formula!J90,14)&lt;&gt;"",INDEX(Properties!A$1:CB$87,Formula!J90,14)))</f>
        <v>0</v>
      </c>
      <c r="BG90" s="63">
        <f>MAX(INDEX(Properties!A$1:CB$87,Formula!B90,14),INDEX(Properties!A$1:CB$87,Formula!D90,14),INDEX(Properties!A$1:CB$87,Formula!F90,14),INDEX(Properties!A$1:CB$87,Formula!H90,14),INDEX(Properties!A$1:CB$87,Formula!J90,14))</f>
        <v>0</v>
      </c>
      <c r="BH90" s="63">
        <f>MIN(IF(Formula!B90=87,10^6,INDEX(Properties!A$1:CB$87,Formula!B90,14)),IF((Formula!D90)=87,10^6,INDEX(Properties!A$1:CB$87,Formula!D90,14)),IF((Formula!F90)=87,10^6,INDEX(Properties!A$1:CB$87,Formula!F90,14)),IF((Formula!H90)=87,10^6,INDEX(Properties!A$1:CB$87,Formula!H90,14)),IF(Formula!J90=87,10^6,INDEX(Properties!A$1:CB$87,Formula!J90,14)))</f>
        <v>0</v>
      </c>
      <c r="BI90" s="63">
        <f t="shared" si="41"/>
        <v>0</v>
      </c>
      <c r="BJ90" s="75">
        <f>((Formula!C90)/(Formula!C90+Formula!E90+Formula!G90+Formula!I90+Formula!K90))*(INDEX(Properties!A$1:CB$87,Formula!B90,19))+((Formula!E90)/(Formula!C90+Formula!E90+Formula!G90+Formula!I90+Formula!K90))*(INDEX(Properties!A$1:CB$87,Formula!D90,19))+((Formula!G90)/(Formula!C90+Formula!E90+Formula!G90+Formula!I90+Formula!K90))*(INDEX(Properties!A$1:CB$87,Formula!F90,19))+((Formula!I90)/(Formula!C90+Formula!E90+Formula!G90+Formula!I90+Formula!K90))*(INDEX(Properties!A$1:CB$87,Formula!H90,19))+((Formula!K90)/(Formula!C90+Formula!E90+Formula!G90+Formula!I90+Formula!K90))*(INDEX(Properties!A$1:CB$87,Formula!J90,19))</f>
        <v>4</v>
      </c>
      <c r="BK90" s="75">
        <f>Formula!C90*(INDEX(Properties!A$1:CB$87,Formula!B90,19))+Formula!E90*(INDEX(Properties!A$1:CB$87,Formula!D90,19))+Formula!G90*(INDEX(Properties!A$1:CB$87,Formula!F90,19))+Formula!I90*(INDEX(Properties!A$1:CB$87,Formula!H90,19))+Formula!K90*(INDEX(Properties!A$1:CB$87,Formula!J90,19))</f>
        <v>8</v>
      </c>
      <c r="BL90" s="75">
        <f>VARP(IF(INDEX(Properties!A$1:CB$87,Formula!B90,19)&lt;&gt;"",INDEX(Properties!A$1:CB$87,Formula!B90,19)),IF(INDEX(Properties!A$1:CB$87,Formula!D90,19)&lt;&gt;"",INDEX(Properties!A$1:CB$87,Formula!D90,19)),IF(INDEX(Properties!A$1:CB$87,Formula!F90,19)&lt;&gt;"",INDEX(Properties!A$1:CB$87,Formula!F90,19)),IF(INDEX(Properties!A$1:CB$87,Formula!H90,19)&lt;&gt;"",INDEX(Properties!A$1:CB$87,Formula!H90,19)),IF(INDEX(Properties!A$1:CB$87,Formula!J90,19)&lt;&gt;"",INDEX(Properties!A$1:CB$87,Formula!J90,19)))</f>
        <v>5.44</v>
      </c>
      <c r="BM90" s="75">
        <f>MAX(INDEX(Properties!A$1:CB$87,Formula!B90,19),INDEX(Properties!A$1:CB$87,Formula!D90,19),INDEX(Properties!A$1:CB$87,Formula!F90,19),INDEX(Properties!A$1:CB$87,Formula!H90,19),INDEX(Properties!A$1:CB$87,Formula!J90,19))</f>
        <v>6</v>
      </c>
      <c r="BN90" s="75">
        <f>MIN(IF(INDEX(Properties!A$1:CB$87,Formula!B90,19)=0,10^6,INDEX(Properties!A$1:CB$87,Formula!B90,19)),IF(INDEX(Properties!A$1:CB$87,Formula!D90,19)=0,10^6,INDEX(Properties!A$1:CB$87,Formula!D90,19)),IF(INDEX(Properties!A$1:CB$87,Formula!F90,19)=0,10^6,INDEX(Properties!A$1:CB$87,Formula!F90,19)),IF(INDEX(Properties!A$1:CB$87,Formula!H90,19)=0,10^6,INDEX(Properties!A$1:CB$87,Formula!H90,19)),IF(INDEX(Properties!A$1:CB$87,Formula!J90,19)=0,10^6,INDEX(Properties!A$1:CB$87,Formula!J90,19)))</f>
        <v>2</v>
      </c>
      <c r="BO90" s="75">
        <f t="shared" si="42"/>
        <v>4</v>
      </c>
      <c r="BP90" s="48">
        <f>((Formula!C90)/(Formula!C90+Formula!E90+Formula!G90+Formula!I90+Formula!K90))*(INDEX(Properties!A$1:CB$87,Formula!B90,20))+((Formula!E90)/(Formula!C90+Formula!E90+Formula!G90+Formula!I90+Formula!K90))*(INDEX(Properties!A$1:CB$87,Formula!D90,20))+((Formula!G90)/(Formula!C90+Formula!E90+Formula!G90+Formula!I90+Formula!K90))*(INDEX(Properties!A$1:CB$87,Formula!F90,20))+((Formula!I90)/(Formula!C90+Formula!E90+Formula!G90+Formula!I90+Formula!K90))*(INDEX(Properties!A$1:CB$87,Formula!H90,20))+((Formula!K90)/(Formula!C90+Formula!E90+Formula!G90+Formula!I90+Formula!K90))*(INDEX(Properties!A$1:CB$87,Formula!J90,20))</f>
        <v>4</v>
      </c>
      <c r="BQ90" s="48">
        <f>Formula!C90*(INDEX(Properties!A$1:CB$87,Formula!B90,20))+Formula!E90*(INDEX(Properties!A$1:CB$87,Formula!D90,20))+Formula!G90*(INDEX(Properties!A$1:CB$87,Formula!F90,20))+Formula!I90*(INDEX(Properties!A$1:CB$87,Formula!H90,20))+Formula!K90*(INDEX(Properties!A$1:CB$87,Formula!J90,20))</f>
        <v>8</v>
      </c>
      <c r="BR90" s="48">
        <f>VARP(IF(INDEX(Properties!A$1:CB$87,Formula!B90,20)&lt;&gt;"",INDEX(Properties!A$1:CB$87,Formula!B90,20)),IF(INDEX(Properties!A$1:CB$87,Formula!D90,20)&lt;&gt;"",INDEX(Properties!A$1:CB$87,Formula!D90,20)),IF(INDEX(Properties!A$1:CB$87,Formula!F90,20)&lt;&gt;"",INDEX(Properties!A$1:CB$87,Formula!F90,20)),IF(INDEX(Properties!A$1:CB$87,Formula!H90,20)&lt;&gt;"",INDEX(Properties!A$1:CB$87,Formula!H90,20)),IF(INDEX(Properties!A$1:CB$87,Formula!J90,20)&lt;&gt;"",INDEX(Properties!A$1:CB$87,Formula!J90,20)))</f>
        <v>5.44</v>
      </c>
      <c r="BS90" s="48">
        <f>MAX(INDEX(Properties!A$1:CB$87,Formula!B90,20),INDEX(Properties!A$1:CB$87,Formula!D90,20),INDEX(Properties!A$1:CB$87,Formula!F90,20),INDEX(Properties!A$1:CB$87,Formula!H90,20),INDEX(Properties!A$1:CB$87,Formula!J90,20))</f>
        <v>6</v>
      </c>
      <c r="BT90" s="48">
        <f>MIN(IF(INDEX(Properties!A$1:CB$87,Formula!B90,20)=0,10^6,INDEX(Properties!A$1:CB$87,Formula!B90,20)),IF(INDEX(Properties!A$1:CB$87,Formula!D90,20)=0,10^6,INDEX(Properties!A$1:CB$87,Formula!D90,20)),IF(INDEX(Properties!A$1:CB$87,Formula!F90,20)=0,10^6,INDEX(Properties!A$1:CB$87,Formula!F90,20)),IF(INDEX(Properties!A$1:CB$87,Formula!H90,20)=0,10^6,INDEX(Properties!A$1:CB$87,Formula!H90,20)),IF(INDEX(Properties!A$1:CB$87,Formula!J90,20)=0,10^6,INDEX(Properties!A$1:CB$87,Formula!J90,20)))</f>
        <v>2</v>
      </c>
      <c r="BU90" s="48">
        <f t="shared" si="43"/>
        <v>4</v>
      </c>
      <c r="BV90" s="66">
        <f>((Formula!C90)/(Formula!C90+Formula!E90+Formula!G90+Formula!I90+Formula!K90))*(INDEX(Properties!A$1:CB$87,Formula!B90,21))+((Formula!E90)/(Formula!C90+Formula!E90+Formula!G90+Formula!I90+Formula!K90))*(INDEX(Properties!A$1:CB$87,Formula!D90,21))+((Formula!G90)/(Formula!C90+Formula!E90+Formula!G90+Formula!I90+Formula!K90))*(INDEX(Properties!A$1:CB$87,Formula!F90,21))+((Formula!I90)/(Formula!C90+Formula!E90+Formula!G90+Formula!I90+Formula!K90))*(INDEX(Properties!A$1:CB$87,Formula!H90,21))+((Formula!K90)/(Formula!C90+Formula!E90+Formula!G90+Formula!I90+Formula!K90))*(INDEX(Properties!A$1:CB$87,Formula!J90,21))</f>
        <v>4</v>
      </c>
      <c r="BW90" s="66">
        <f>Formula!C90*(INDEX(Properties!A$1:CB$87,Formula!B90,21))+Formula!E90*(INDEX(Properties!A$1:CB$87,Formula!D90,21))+Formula!G90*(INDEX(Properties!A$1:CB$87,Formula!F90,21))+Formula!I90*(INDEX(Properties!A$1:CB$87,Formula!H90,21))+Formula!K90*(INDEX(Properties!A$1:CB$87,Formula!J90,21))</f>
        <v>8</v>
      </c>
      <c r="BX90" s="66">
        <f>VARP(IF(INDEX(Properties!A$1:CB$87,Formula!B90,21)&lt;&gt;"",INDEX(Properties!A$1:CB$87,Formula!B90,21)),IF(INDEX(Properties!A$1:CB$87,Formula!D90,21)&lt;&gt;"",INDEX(Properties!A$1:CB$87,Formula!D90,21)),IF(INDEX(Properties!A$1:CB$87,Formula!F90,21)&lt;&gt;"",INDEX(Properties!A$1:CB$87,Formula!F90,21)),IF(INDEX(Properties!A$1:CB$87,Formula!H90,21)&lt;&gt;"",INDEX(Properties!A$1:CB$87,Formula!H90,21)),IF(INDEX(Properties!A$1:CB$87,Formula!J90,21)&lt;&gt;"",INDEX(Properties!A$1:CB$87,Formula!J90,21)))</f>
        <v>5.44</v>
      </c>
      <c r="BY90" s="66">
        <f>MAX(INDEX(Properties!A$1:CB$87,Formula!B90,21),INDEX(Properties!A$1:CB$87,Formula!D90,21),INDEX(Properties!A$1:CB$87,Formula!F90,21),INDEX(Properties!A$1:CB$87,Formula!H90,21),INDEX(Properties!A$1:CB$87,Formula!J90,21))</f>
        <v>6</v>
      </c>
      <c r="BZ90" s="66">
        <f>MIN(IF(INDEX(Properties!A$1:CB$87,Formula!B90,21)=0,10^6,INDEX(Properties!A$1:CB$87,Formula!B90,21)),IF(INDEX(Properties!A$1:CB$87,Formula!D90,21)=0,10^6,INDEX(Properties!A$1:CB$87,Formula!D90,21)),IF(INDEX(Properties!A$1:CB$87,Formula!F90,21)=0,10^6,INDEX(Properties!A$1:CB$87,Formula!F90,21)),IF(INDEX(Properties!A$1:CB$87,Formula!H90,21)=0,10^6,INDEX(Properties!A$1:CB$87,Formula!H90,21)),IF(INDEX(Properties!A$1:CB$87,Formula!J90,21)=0,10^6,INDEX(Properties!A$1:CB$87,Formula!J90,21)))</f>
        <v>2</v>
      </c>
      <c r="CA90" s="66">
        <f t="shared" si="44"/>
        <v>4</v>
      </c>
      <c r="CB90" s="81">
        <f>((Formula!C90)/(Formula!C90+Formula!E90+Formula!G90+Formula!I90+Formula!K90))*(INDEX(Properties!A$1:CB$87,Formula!B90,23))+((Formula!E90)/(Formula!C90+Formula!E90+Formula!G90+Formula!I90+Formula!K90))*(INDEX(Properties!A$1:CB$87,Formula!D90,23))+((Formula!G90)/(Formula!C90+Formula!E90+Formula!G90+Formula!I90+Formula!K90))*(INDEX(Properties!A$1:CB$87,Formula!F90,23))+((Formula!I90)/(Formula!C90+Formula!E90+Formula!G90+Formula!I90+Formula!K90))*(INDEX(Properties!A$1:CB$87,Formula!H90,23))+((Formula!K90)/(Formula!C90+Formula!E90+Formula!G90+Formula!I90+Formula!K90))*(INDEX(Properties!A$1:CB$87,Formula!J90,23))</f>
        <v>1</v>
      </c>
      <c r="CC90" s="81">
        <f>Formula!C90*(INDEX(Properties!A$1:CB$87,Formula!B90,23))+Formula!E90*(INDEX(Properties!A$1:CB$87,Formula!D90,23))+Formula!G90*(INDEX(Properties!A$1:CB$87,Formula!F90,23))+Formula!I90*(INDEX(Properties!A$1:CB$87,Formula!H90,23))+Formula!K90*(INDEX(Properties!A$1:CB$87,Formula!J90,23))</f>
        <v>2</v>
      </c>
      <c r="CD90" s="81">
        <f>VARP(IF(INDEX(Properties!A$1:CB$87,Formula!B90,23)&lt;&gt;"",INDEX(Properties!A$1:CB$87,Formula!B90,23)),IF(INDEX(Properties!A$1:CB$87,Formula!D90,23)&lt;&gt;"",INDEX(Properties!A$1:CB$87,Formula!D90,23)),IF(INDEX(Properties!A$1:CB$87,Formula!F90,23)&lt;&gt;"",INDEX(Properties!A$1:CB$87,Formula!F90,23)),IF(INDEX(Properties!A$1:CB$87,Formula!H90,23)&lt;&gt;"",INDEX(Properties!A$1:CB$87,Formula!H90,23)),IF(INDEX(Properties!A$1:CB$87,Formula!J90,23)&lt;&gt;"",INDEX(Properties!A$1:CB$87,Formula!J90,23)))</f>
        <v>0.64</v>
      </c>
      <c r="CE90" s="81">
        <f>MAX(INDEX(Properties!A$1:CB$87,Formula!B90,23),INDEX(Properties!A$1:CB$87,Formula!D90,23),INDEX(Properties!A$1:CB$87,Formula!F90,23),INDEX(Properties!A$1:CB$87,Formula!H90,23),INDEX(Properties!A$1:CB$87,Formula!J90,23))</f>
        <v>2</v>
      </c>
      <c r="CF90" s="81">
        <f>MIN(IF(Formula!B90=87,10^6,INDEX(Properties!A$1:CB$87,Formula!B90,23)),IF((Formula!D90)=87,10^6,INDEX(Properties!A$1:CB$87,Formula!D90,23)),IF((Formula!F90)=87,10^6,INDEX(Properties!A$1:CB$87,Formula!F90,23)),IF((Formula!H90)=87,10^6,INDEX(Properties!A$1:CB$87,Formula!H90,23)),IF(Formula!J90=87,10^6,INDEX(Properties!A$1:CB$87,Formula!J90,23)))</f>
        <v>0</v>
      </c>
      <c r="CG90" s="81">
        <f t="shared" si="45"/>
        <v>2</v>
      </c>
      <c r="CH90" s="39">
        <f>((Formula!C90)/(Formula!C90+Formula!E90+Formula!G90+Formula!I90+Formula!K90))*(INDEX(Properties!A$1:CB$87,Formula!B90,26))+((Formula!E90)/(Formula!C90+Formula!E90+Formula!G90+Formula!I90+Formula!K90))*(INDEX(Properties!A$1:CB$87,Formula!D90,26))+((Formula!G90)/(Formula!C90+Formula!E90+Formula!G90+Formula!I90+Formula!K90))*(INDEX(Properties!A$1:CB$87,Formula!F90,26))+((Formula!I90)/(Formula!C90+Formula!E90+Formula!G90+Formula!I90+Formula!K90))*(INDEX(Properties!A$1:CB$87,Formula!H90,26))+((Formula!K90)/(Formula!C90+Formula!E90+Formula!G90+Formula!I90+Formula!K90))*(INDEX(Properties!A$1:CB$87,Formula!J90,26))</f>
        <v>10.632149999999999</v>
      </c>
      <c r="CI90" s="39">
        <f>Formula!C90*(INDEX(Properties!A$1:CB$87,Formula!B90,26))+Formula!E90*(INDEX(Properties!A$1:CB$87,Formula!D90,26))+Formula!G90*(INDEX(Properties!A$1:CB$87,Formula!F90,26))+Formula!I90*(INDEX(Properties!A$1:CB$87,Formula!H90,26))+Formula!K90*(INDEX(Properties!A$1:CB$87,Formula!J90,26))</f>
        <v>21.264299999999999</v>
      </c>
      <c r="CJ90" s="39">
        <f>VARP(IF(INDEX(Properties!A$1:CB$87,Formula!B90,26)&lt;&gt;"",INDEX(Properties!A$1:CB$87,Formula!B90,26)),IF(INDEX(Properties!A$1:CB$87,Formula!D90,26)&lt;&gt;"",INDEX(Properties!A$1:CB$87,Formula!D90,26)),IF(INDEX(Properties!A$1:CB$87,Formula!F90,26)&lt;&gt;"",INDEX(Properties!A$1:CB$87,Formula!F90,26)),IF(INDEX(Properties!A$1:CB$87,Formula!H90,26)&lt;&gt;"",INDEX(Properties!A$1:CB$87,Formula!H90,26)),IF(INDEX(Properties!A$1:CB$87,Formula!J90,26)&lt;&gt;"",INDEX(Properties!A$1:CB$87,Formula!J90,26)))</f>
        <v>30.696586230400008</v>
      </c>
      <c r="CK90" s="39">
        <f>MAX(INDEX(Properties!A$1:CB$87,Formula!B90,26),INDEX(Properties!A$1:CB$87,Formula!D90,26),INDEX(Properties!A$1:CB$87,Formula!F90,26),INDEX(Properties!A$1:CB$87,Formula!H90,26),INDEX(Properties!A$1:CB$87,Formula!J90,26))</f>
        <v>13.6181</v>
      </c>
      <c r="CL90" s="39">
        <f>MIN(IF(INDEX(Properties!A$1:CB$87,Formula!B90,26)=0,10^6,INDEX(Properties!A$1:CB$87,Formula!B90,26)),IF(INDEX(Properties!A$1:CB$87,Formula!D90,26)=0,10^6,INDEX(Properties!A$1:CB$87,Formula!D90,26)),IF(INDEX(Properties!A$1:CB$87,Formula!F90,26)=0,10^6,INDEX(Properties!A$1:CB$87,Formula!F90,26)),IF(INDEX(Properties!A$1:CB$87,Formula!H90,26)=0,10^6,INDEX(Properties!A$1:CB$87,Formula!H90,26)),IF(INDEX(Properties!A$1:CB$87,Formula!J90,26)=0,10^6,INDEX(Properties!A$1:CB$87,Formula!J90,26)))</f>
        <v>7.6462000000000003</v>
      </c>
      <c r="CM90" s="39">
        <f t="shared" si="46"/>
        <v>5.9718999999999998</v>
      </c>
      <c r="CN90" s="54">
        <f>((Formula!C90)/(Formula!C90+Formula!E90+Formula!G90+Formula!I90+Formula!K90))*(INDEX(Properties!A$1:CB$87,Formula!B90,30))+((Formula!E90)/(Formula!C90+Formula!E90+Formula!G90+Formula!I90+Formula!K90))*(INDEX(Properties!A$1:CB$87,Formula!D90,30))+((Formula!G90)/(Formula!C90+Formula!E90+Formula!G90+Formula!I90+Formula!K90))*(INDEX(Properties!A$1:CB$87,Formula!F90,30))+((Formula!I90)/(Formula!C90+Formula!E90+Formula!G90+Formula!I90+Formula!K90))*(INDEX(Properties!A$1:CB$87,Formula!H90,30))+((Formula!K90)/(Formula!C90+Formula!E90+Formula!G90+Formula!I90+Formula!K90))*(INDEX(Properties!A$1:CB$87,Formula!J90,30))</f>
        <v>2.375</v>
      </c>
      <c r="CO90" s="54">
        <f>Formula!C90*(INDEX(Properties!A$1:CB$87,Formula!B90,30))+Formula!E90*(INDEX(Properties!A$1:CB$87,Formula!D90,30))+Formula!G90*(INDEX(Properties!A$1:CB$87,Formula!F90,30))+Formula!I90*(INDEX(Properties!A$1:CB$87,Formula!H90,30))+Formula!K90*(INDEX(Properties!A$1:CB$87,Formula!J90,30))</f>
        <v>4.75</v>
      </c>
      <c r="CP90" s="54">
        <f>VARP(IF(INDEX(Properties!A$1:CB$87,Formula!B90,30)&lt;&gt;"",INDEX(Properties!A$1:CB$87,Formula!B90,30)),IF(INDEX(Properties!A$1:CB$87,Formula!D90,30)&lt;&gt;"",INDEX(Properties!A$1:CB$87,Formula!D90,30)),IF(INDEX(Properties!A$1:CB$87,Formula!F90,30)&lt;&gt;"",INDEX(Properties!A$1:CB$87,Formula!F90,30)),IF(INDEX(Properties!A$1:CB$87,Formula!H90,30)&lt;&gt;"",INDEX(Properties!A$1:CB$87,Formula!H90,30)),IF(INDEX(Properties!A$1:CB$87,Formula!J90,30)&lt;&gt;"",INDEX(Properties!A$1:CB$87,Formula!J90,30)))</f>
        <v>1.8074399999999997</v>
      </c>
      <c r="CQ90" s="54">
        <f>MAX(INDEX(Properties!A$1:CB$87,Formula!B90,30),INDEX(Properties!A$1:CB$87,Formula!D90,30),INDEX(Properties!A$1:CB$87,Formula!F90,30),INDEX(Properties!A$1:CB$87,Formula!H90,30),INDEX(Properties!A$1:CB$87,Formula!J90,30))</f>
        <v>3.44</v>
      </c>
      <c r="CR90" s="54">
        <f>MIN(IF(INDEX(Properties!A$1:CB$87,Formula!B90,30)=0,10^6,INDEX(Properties!A$1:CB$87,Formula!B90,30)),IF(INDEX(Properties!A$1:CB$87,Formula!D90,30)=0,10^6,INDEX(Properties!A$1:CB$87,Formula!D90,30)),IF(INDEX(Properties!A$1:CB$87,Formula!F90,30)=0,10^6,INDEX(Properties!A$1:CB$87,Formula!F90,30)),IF(INDEX(Properties!A$1:CB$87,Formula!H90,30)=0,10^6,INDEX(Properties!A$1:CB$87,Formula!H90,30)),IF(INDEX(Properties!A$1:CB$87,Formula!J90,30)=0,10^6,INDEX(Properties!A$1:CB$87,Formula!J90,30)))</f>
        <v>1.31</v>
      </c>
      <c r="CS90" s="54">
        <f t="shared" si="47"/>
        <v>2.13</v>
      </c>
      <c r="CT90" s="69">
        <f>((Formula!C90)/(Formula!C90+Formula!E90+Formula!G90+Formula!I90+Formula!K90))*(INDEX(Properties!A$1:CB$87,Formula!B90,31))+((Formula!E90)/(Formula!C90+Formula!E90+Formula!G90+Formula!I90+Formula!K90))*(INDEX(Properties!A$1:CB$87,Formula!D90,31))+((Formula!G90)/(Formula!C90+Formula!E90+Formula!G90+Formula!I90+Formula!K90))*(INDEX(Properties!A$1:CB$87,Formula!F90,31))+((Formula!I90)/(Formula!C90+Formula!E90+Formula!G90+Formula!I90+Formula!K90))*(INDEX(Properties!A$1:CB$87,Formula!H90,31))+((Formula!K90)/(Formula!C90+Formula!E90+Formula!G90+Formula!I90+Formula!K90))*(INDEX(Properties!A$1:CB$87,Formula!J90,31))</f>
        <v>2.3149999999999999</v>
      </c>
      <c r="CU90" s="69">
        <f>Formula!C90*(INDEX(Properties!A$1:CB$87,Formula!B90,31))+Formula!E90*(INDEX(Properties!A$1:CB$87,Formula!D90,31))+Formula!G90*(INDEX(Properties!A$1:CB$87,Formula!F90,31))+Formula!I90*(INDEX(Properties!A$1:CB$87,Formula!H90,31))+Formula!K90*(INDEX(Properties!A$1:CB$87,Formula!J90,31))</f>
        <v>4.63</v>
      </c>
      <c r="CV90" s="69">
        <f>VARP(IF(INDEX(Properties!A$1:CB$87,Formula!B90,31)&lt;&gt;"",INDEX(Properties!A$1:CB$87,Formula!B90,31)),IF(INDEX(Properties!A$1:CB$87,Formula!D90,31)&lt;&gt;"",INDEX(Properties!A$1:CB$87,Formula!D90,31)),IF(INDEX(Properties!A$1:CB$87,Formula!F90,31)&lt;&gt;"",INDEX(Properties!A$1:CB$87,Formula!F90,31)),IF(INDEX(Properties!A$1:CB$87,Formula!H90,31)&lt;&gt;"",INDEX(Properties!A$1:CB$87,Formula!H90,31)),IF(INDEX(Properties!A$1:CB$87,Formula!J90,31)&lt;&gt;"",INDEX(Properties!A$1:CB$87,Formula!J90,31)))</f>
        <v>1.6902239999999999</v>
      </c>
      <c r="CW90" s="69">
        <f>MAX(INDEX(Properties!A$1:CB$87,Formula!B90,31),INDEX(Properties!A$1:CB$87,Formula!D90,31),INDEX(Properties!A$1:CB$87,Formula!F90,31),INDEX(Properties!A$1:CB$87,Formula!H90,31),INDEX(Properties!A$1:CB$87,Formula!J90,31))</f>
        <v>3.32</v>
      </c>
      <c r="CX90" s="69">
        <f>MIN(IF(INDEX(Properties!A$1:CB$87,Formula!B90,31)=0,10^6,INDEX(Properties!A$1:CB$87,Formula!B90,31)),IF(INDEX(Properties!A$1:CB$87,Formula!D90,31)=0,10^6,INDEX(Properties!A$1:CB$87,Formula!D90,31)),IF(INDEX(Properties!A$1:CB$87,Formula!F90,31)=0,10^6,INDEX(Properties!A$1:CB$87,Formula!F90,31)),IF(INDEX(Properties!A$1:CB$87,Formula!H90,31)=0,10^6,INDEX(Properties!A$1:CB$87,Formula!H90,31)),IF(INDEX(Properties!A$1:CB$87,Formula!J90,31)=0,10^6,INDEX(Properties!A$1:CB$87,Formula!J90,31)))</f>
        <v>1.31</v>
      </c>
      <c r="CY90" s="69">
        <f t="shared" si="48"/>
        <v>2.0099999999999998</v>
      </c>
      <c r="CZ90" s="42">
        <f>((Formula!C90)/(Formula!C90+Formula!E90+Formula!G90+Formula!I90+Formula!K90))*(INDEX(Properties!A$1:CB$87,Formula!B90,32))+((Formula!E90)/(Formula!C90+Formula!E90+Formula!G90+Formula!I90+Formula!K90))*(INDEX(Properties!A$1:CB$87,Formula!D90,32))+((Formula!G90)/(Formula!C90+Formula!E90+Formula!G90+Formula!I90+Formula!K90))*(INDEX(Properties!A$1:CB$87,Formula!F90,32))+((Formula!I90)/(Formula!C90+Formula!E90+Formula!G90+Formula!I90+Formula!K90))*(INDEX(Properties!A$1:CB$87,Formula!H90,32))+((Formula!K90)/(Formula!C90+Formula!E90+Formula!G90+Formula!I90+Formula!K90))*(INDEX(Properties!A$1:CB$87,Formula!J90,32))</f>
        <v>5.6449999999999996</v>
      </c>
      <c r="DA90" s="42">
        <f>Formula!C90*(INDEX(Properties!A$1:CB$87,Formula!B90,32))+Formula!E90*(INDEX(Properties!A$1:CB$87,Formula!D90,32))+Formula!G90*(INDEX(Properties!A$1:CB$87,Formula!F90,32))+Formula!I90*(INDEX(Properties!A$1:CB$87,Formula!H90,32))+Formula!K90*(INDEX(Properties!A$1:CB$87,Formula!J90,32))</f>
        <v>11.29</v>
      </c>
      <c r="DB90" s="42">
        <f>VARP(IF(INDEX(Properties!A$1:CB$87,Formula!B90,32)&lt;&gt;"",INDEX(Properties!A$1:CB$87,Formula!B90,32)),IF(INDEX(Properties!A$1:CB$87,Formula!D90,32)&lt;&gt;"",INDEX(Properties!A$1:CB$87,Formula!D90,32)),IF(INDEX(Properties!A$1:CB$87,Formula!F90,32)&lt;&gt;"",INDEX(Properties!A$1:CB$87,Formula!F90,32)),IF(INDEX(Properties!A$1:CB$87,Formula!H90,32)&lt;&gt;"",INDEX(Properties!A$1:CB$87,Formula!H90,32)),IF(INDEX(Properties!A$1:CB$87,Formula!J90,32)&lt;&gt;"",INDEX(Properties!A$1:CB$87,Formula!J90,32)))</f>
        <v>9.0842559999999981</v>
      </c>
      <c r="DC90" s="42">
        <f>MAX(INDEX(Properties!A$1:CB$87,Formula!B90,32),INDEX(Properties!A$1:CB$87,Formula!D90,32),INDEX(Properties!A$1:CB$87,Formula!F90,32),INDEX(Properties!A$1:CB$87,Formula!H90,32),INDEX(Properties!A$1:CB$87,Formula!J90,32))</f>
        <v>7.54</v>
      </c>
      <c r="DD90" s="42">
        <f>MIN(IF(INDEX(Properties!A$1:CB$87,Formula!B90,32)=0,10^6,INDEX(Properties!A$1:CB$87,Formula!B90,32)),IF(INDEX(Properties!A$1:CB$87,Formula!D90,32)=0,10^6,INDEX(Properties!A$1:CB$87,Formula!D90,32)),IF(INDEX(Properties!A$1:CB$87,Formula!F90,32)=0,10^6,INDEX(Properties!A$1:CB$87,Formula!F90,32)),IF(INDEX(Properties!A$1:CB$87,Formula!H90,32)=0,10^6,INDEX(Properties!A$1:CB$87,Formula!H90,32)),IF(INDEX(Properties!A$1:CB$87,Formula!J90,32)=0,10^6,INDEX(Properties!A$1:CB$87,Formula!J90,32)))</f>
        <v>3.75</v>
      </c>
      <c r="DE90" s="42">
        <f t="shared" si="49"/>
        <v>3.79</v>
      </c>
      <c r="DF90" s="60">
        <f>((Formula!C90)/(Formula!C90+Formula!E90+Formula!G90+Formula!I90+Formula!K90))*(INDEX(Properties!A$1:CB$87,Formula!B90,34))+((Formula!E90)/(Formula!C90+Formula!E90+Formula!G90+Formula!I90+Formula!K90))*(INDEX(Properties!A$1:CB$87,Formula!D90,34))+((Formula!G90)/(Formula!C90+Formula!E90+Formula!G90+Formula!I90+Formula!K90))*(INDEX(Properties!A$1:CB$87,Formula!F90,34))+((Formula!I90)/(Formula!C90+Formula!E90+Formula!G90+Formula!I90+Formula!K90))*(INDEX(Properties!A$1:CB$87,Formula!H90,34))+((Formula!K90)/(Formula!C90+Formula!E90+Formula!G90+Formula!I90+Formula!K90))*(INDEX(Properties!A$1:CB$87,Formula!J90,34))</f>
        <v>2.4514999999999998</v>
      </c>
      <c r="DG90" s="60">
        <f>Formula!C90*(INDEX(Properties!A$1:CB$87,Formula!B90,34))+Formula!E90*(INDEX(Properties!A$1:CB$87,Formula!D90,34))+Formula!G90*(INDEX(Properties!A$1:CB$87,Formula!F90,34))+Formula!I90*(INDEX(Properties!A$1:CB$87,Formula!H90,34))+Formula!K90*(INDEX(Properties!A$1:CB$87,Formula!J90,34))</f>
        <v>4.9029999999999996</v>
      </c>
      <c r="DH90" s="60">
        <f>VARP(IF(INDEX(Properties!A$1:CB$87,Formula!B90,34)&lt;&gt;"",INDEX(Properties!A$1:CB$87,Formula!B90,34)),IF(INDEX(Properties!A$1:CB$87,Formula!D90,34)&lt;&gt;"",INDEX(Properties!A$1:CB$87,Formula!D90,34)),IF(INDEX(Properties!A$1:CB$87,Formula!F90,34)&lt;&gt;"",INDEX(Properties!A$1:CB$87,Formula!F90,34)),IF(INDEX(Properties!A$1:CB$87,Formula!H90,34)&lt;&gt;"",INDEX(Properties!A$1:CB$87,Formula!H90,34)),IF(INDEX(Properties!A$1:CB$87,Formula!J90,34)&lt;&gt;"",INDEX(Properties!A$1:CB$87,Formula!J90,34)))</f>
        <v>1.9792134400000003</v>
      </c>
      <c r="DI90" s="60">
        <f>MAX(INDEX(Properties!A$1:CB$87,Formula!B90,34),INDEX(Properties!A$1:CB$87,Formula!D90,34),INDEX(Properties!A$1:CB$87,Formula!F90,34),INDEX(Properties!A$1:CB$87,Formula!H90,34),INDEX(Properties!A$1:CB$87,Formula!J90,34))</f>
        <v>3.61</v>
      </c>
      <c r="DJ90" s="60">
        <f>MIN(IF(INDEX(Properties!A$1:CB$87,Formula!B90,34)=0,10^6,INDEX(Properties!A$1:CB$87,Formula!B90,34)),IF(INDEX(Properties!A$1:CB$87,Formula!D90,34)=0,10^6,INDEX(Properties!A$1:CB$87,Formula!D90,34)),IF(INDEX(Properties!A$1:CB$87,Formula!F90,34)=0,10^6,INDEX(Properties!A$1:CB$87,Formula!F90,34)),IF(INDEX(Properties!A$1:CB$87,Formula!H90,34)=0,10^6,INDEX(Properties!A$1:CB$87,Formula!H90,34)),IF(INDEX(Properties!A$1:CB$87,Formula!J90,34)=0,10^6,INDEX(Properties!A$1:CB$87,Formula!J90,34)))</f>
        <v>1.2929999999999999</v>
      </c>
      <c r="DK90" s="60">
        <f t="shared" si="50"/>
        <v>2.3170000000000002</v>
      </c>
      <c r="DL90" s="45">
        <f>((Formula!C90)/(Formula!C90+Formula!E90+Formula!G90+Formula!I90+Formula!K90))*(INDEX(Properties!A$1:CB$87,Formula!B90,39))+((Formula!E90)/(Formula!C90+Formula!E90+Formula!G90+Formula!I90+Formula!K90))*(INDEX(Properties!A$1:CB$87,Formula!D90,39))+((Formula!G90)/(Formula!C90+Formula!E90+Formula!G90+Formula!I90+Formula!K90))*(INDEX(Properties!A$1:CB$87,Formula!F90,39))+((Formula!I90)/(Formula!C90+Formula!E90+Formula!G90+Formula!I90+Formula!K90))*(INDEX(Properties!A$1:CB$87,Formula!H90,39))+((Formula!K90)/(Formula!C90+Formula!E90+Formula!G90+Formula!I90+Formula!K90))*(INDEX(Properties!A$1:CB$87,Formula!J90,39))</f>
        <v>0.96499999999999997</v>
      </c>
      <c r="DM90" s="45">
        <f>Formula!C90*(INDEX(Properties!A$1:CB$87,Formula!B90,39))+Formula!E90*(INDEX(Properties!A$1:CB$87,Formula!D90,39))+Formula!G90*(INDEX(Properties!A$1:CB$87,Formula!F90,39))+Formula!I90*(INDEX(Properties!A$1:CB$87,Formula!H90,39))+Formula!K90*(INDEX(Properties!A$1:CB$87,Formula!J90,39))</f>
        <v>1.93</v>
      </c>
      <c r="DN90" s="45">
        <f>VARP(IF(INDEX(Properties!A$1:CB$87,Formula!B90,39)&lt;&gt;"",INDEX(Properties!A$1:CB$87,Formula!B90,39)),IF(INDEX(Properties!A$1:CB$87,Formula!D90,39)&lt;&gt;"",INDEX(Properties!A$1:CB$87,Formula!D90,39)),IF(INDEX(Properties!A$1:CB$87,Formula!F90,39)&lt;&gt;"",INDEX(Properties!A$1:CB$87,Formula!F90,39)),IF(INDEX(Properties!A$1:CB$87,Formula!H90,39)&lt;&gt;"",INDEX(Properties!A$1:CB$87,Formula!H90,39)),IF(INDEX(Properties!A$1:CB$87,Formula!J90,39)&lt;&gt;"",INDEX(Properties!A$1:CB$87,Formula!J90,39)))</f>
        <v>0.31758400000000003</v>
      </c>
      <c r="DO90" s="45">
        <f>MAX(INDEX(Properties!A$1:CB$87,Formula!B90,39),INDEX(Properties!A$1:CB$87,Formula!D90,39),INDEX(Properties!A$1:CB$87,Formula!F90,39),INDEX(Properties!A$1:CB$87,Formula!H90,39),INDEX(Properties!A$1:CB$87,Formula!J90,39))</f>
        <v>1.45</v>
      </c>
      <c r="DP90" s="45">
        <f>MIN(IF(INDEX(Properties!A$1:CB$87,Formula!B90,39)=0,10^6,INDEX(Properties!A$1:CB$87,Formula!B90,39)),IF(INDEX(Properties!A$1:CB$87,Formula!D90,39)=0,10^6,INDEX(Properties!A$1:CB$87,Formula!D90,39)),IF(INDEX(Properties!A$1:CB$87,Formula!F90,39)=0,10^6,INDEX(Properties!A$1:CB$87,Formula!F90,39)),IF(INDEX(Properties!A$1:CB$87,Formula!H90,39)=0,10^6,INDEX(Properties!A$1:CB$87,Formula!H90,39)),IF(INDEX(Properties!A$1:CB$87,Formula!J90,39)=0,10^6,INDEX(Properties!A$1:CB$87,Formula!J90,39)))</f>
        <v>0.48</v>
      </c>
      <c r="DQ90" s="45">
        <f t="shared" si="51"/>
        <v>0.97</v>
      </c>
      <c r="DR90" s="63">
        <f>((Formula!C90)/(Formula!C90+Formula!E90+Formula!G90+Formula!I90+Formula!K90))*(INDEX(Properties!A$1:CB$87,Formula!B90,40))+((Formula!E90)/(Formula!C90+Formula!E90+Formula!G90+Formula!I90+Formula!K90))*(INDEX(Properties!A$1:CB$87,Formula!D90,40))+((Formula!G90)/(Formula!C90+Formula!E90+Formula!G90+Formula!I90+Formula!K90))*(INDEX(Properties!A$1:CB$87,Formula!F90,40))+((Formula!I90)/(Formula!C90+Formula!E90+Formula!G90+Formula!I90+Formula!K90))*(INDEX(Properties!A$1:CB$87,Formula!H90,40))+((Formula!K90)/(Formula!C90+Formula!E90+Formula!G90+Formula!I90+Formula!K90))*(INDEX(Properties!A$1:CB$87,Formula!J90,40))</f>
        <v>1.0150000000000001</v>
      </c>
      <c r="DS90" s="63">
        <f>Formula!C90*(INDEX(Properties!A$1:CB$87,Formula!B90,40))+Formula!E90*(INDEX(Properties!A$1:CB$87,Formula!D90,40))+Formula!G90*(INDEX(Properties!A$1:CB$87,Formula!F90,40))+Formula!I90*(INDEX(Properties!A$1:CB$87,Formula!H90,40))+Formula!K90*(INDEX(Properties!A$1:CB$87,Formula!J90,40))</f>
        <v>2.0300000000000002</v>
      </c>
      <c r="DT90" s="63">
        <f>VARP(IF(INDEX(Properties!A$1:CB$87,Formula!B90,40)&lt;&gt;"",INDEX(Properties!A$1:CB$87,Formula!B90,40)),IF(INDEX(Properties!A$1:CB$87,Formula!D90,40)&lt;&gt;"",INDEX(Properties!A$1:CB$87,Formula!D90,40)),IF(INDEX(Properties!A$1:CB$87,Formula!F90,40)&lt;&gt;"",INDEX(Properties!A$1:CB$87,Formula!F90,40)),IF(INDEX(Properties!A$1:CB$87,Formula!H90,40)&lt;&gt;"",INDEX(Properties!A$1:CB$87,Formula!H90,40)),IF(INDEX(Properties!A$1:CB$87,Formula!J90,40)&lt;&gt;"",INDEX(Properties!A$1:CB$87,Formula!J90,40)))</f>
        <v>0.27974399999999994</v>
      </c>
      <c r="DU90" s="63">
        <f>MAX(INDEX(Properties!A$1:CB$87,Formula!B90,40),INDEX(Properties!A$1:CB$87,Formula!D90,40),INDEX(Properties!A$1:CB$87,Formula!F90,40),INDEX(Properties!A$1:CB$87,Formula!H90,40),INDEX(Properties!A$1:CB$87,Formula!J90,40))</f>
        <v>1.3</v>
      </c>
      <c r="DV90" s="63">
        <f>MIN(IF(INDEX(Properties!A$1:CB$87,Formula!B90,40)=0,10^6,INDEX(Properties!A$1:CB$87,Formula!B90,40)),IF(INDEX(Properties!A$1:CB$87,Formula!D90,40)=0,10^6,INDEX(Properties!A$1:CB$87,Formula!D90,40)),IF(INDEX(Properties!A$1:CB$87,Formula!F90,40)=0,10^6,INDEX(Properties!A$1:CB$87,Formula!F90,40)),IF(INDEX(Properties!A$1:CB$87,Formula!H90,40)=0,10^6,INDEX(Properties!A$1:CB$87,Formula!H90,40)),IF(INDEX(Properties!A$1:CB$87,Formula!J90,40)=0,10^6,INDEX(Properties!A$1:CB$87,Formula!J90,40)))</f>
        <v>0.73</v>
      </c>
      <c r="DW90" s="63">
        <f t="shared" si="52"/>
        <v>0.57000000000000006</v>
      </c>
      <c r="DX90" s="75">
        <f>((Formula!C90)/(Formula!C90+Formula!E90+Formula!G90+Formula!I90+Formula!K90))*(INDEX(Properties!A$1:CB$87,Formula!B90,41))+((Formula!E90)/(Formula!C90+Formula!E90+Formula!G90+Formula!I90+Formula!K90))*(INDEX(Properties!A$1:CB$87,Formula!D90,41))+((Formula!G90)/(Formula!C90+Formula!E90+Formula!G90+Formula!I90+Formula!K90))*(INDEX(Properties!A$1:CB$87,Formula!F90,41))+((Formula!I90)/(Formula!C90+Formula!E90+Formula!G90+Formula!I90+Formula!K90))*(INDEX(Properties!A$1:CB$87,Formula!H90,41))+((Formula!K90)/(Formula!C90+Formula!E90+Formula!G90+Formula!I90+Formula!K90))*(INDEX(Properties!A$1:CB$87,Formula!J90,41))</f>
        <v>1.06</v>
      </c>
      <c r="DY90" s="75">
        <f>Formula!C90*(INDEX(Properties!A$1:CB$87,Formula!B90,41))+Formula!E90*(INDEX(Properties!A$1:CB$87,Formula!D90,41))+Formula!G90*(INDEX(Properties!A$1:CB$87,Formula!F90,41))+Formula!I90*(INDEX(Properties!A$1:CB$87,Formula!H90,41))+Formula!K90*(INDEX(Properties!A$1:CB$87,Formula!J90,41))</f>
        <v>2.12</v>
      </c>
      <c r="DZ90" s="75">
        <f>VARP(IF(INDEX(Properties!A$1:CB$87,Formula!B90,41)&lt;&gt;"",INDEX(Properties!A$1:CB$87,Formula!B90,41)),IF(INDEX(Properties!A$1:CB$87,Formula!D90,41)&lt;&gt;"",INDEX(Properties!A$1:CB$87,Formula!D90,41)),IF(INDEX(Properties!A$1:CB$87,Formula!F90,41)&lt;&gt;"",INDEX(Properties!A$1:CB$87,Formula!F90,41)),IF(INDEX(Properties!A$1:CB$87,Formula!H90,41)&lt;&gt;"",INDEX(Properties!A$1:CB$87,Formula!H90,41)),IF(INDEX(Properties!A$1:CB$87,Formula!J90,41)&lt;&gt;"",INDEX(Properties!A$1:CB$87,Formula!J90,41)))</f>
        <v>0.28566399999999992</v>
      </c>
      <c r="EA90" s="75">
        <f>MAX(INDEX(Properties!A$1:CB$87,Formula!B90,41),INDEX(Properties!A$1:CB$87,Formula!D90,41),INDEX(Properties!A$1:CB$87,Formula!F90,41),INDEX(Properties!A$1:CB$87,Formula!H90,41),INDEX(Properties!A$1:CB$87,Formula!J90,41))</f>
        <v>1.26</v>
      </c>
      <c r="EB90" s="75">
        <f>MIN(IF(INDEX(Properties!A$1:CB$87,Formula!B90,41)=0,10^6,INDEX(Properties!A$1:CB$87,Formula!B90,41)),IF(INDEX(Properties!A$1:CB$87,Formula!D90,41)=0,10^6,INDEX(Properties!A$1:CB$87,Formula!D90,41)),IF(INDEX(Properties!A$1:CB$87,Formula!F90,41)=0,10^6,INDEX(Properties!A$1:CB$87,Formula!F90,41)),IF(INDEX(Properties!A$1:CB$87,Formula!H90,41)=0,10^6,INDEX(Properties!A$1:CB$87,Formula!H90,41)),IF(INDEX(Properties!A$1:CB$87,Formula!J90,41)=0,10^6,INDEX(Properties!A$1:CB$87,Formula!J90,41)))</f>
        <v>0.86</v>
      </c>
      <c r="EC90" s="75">
        <f t="shared" si="53"/>
        <v>0.4</v>
      </c>
      <c r="ED90" s="48">
        <f>((Formula!C90)/(Formula!C90+Formula!E90+Formula!G90+Formula!I90+Formula!K90))*(INDEX(Properties!A$1:CB$87,Formula!B90,45))+((Formula!E90)/(Formula!C90+Formula!E90+Formula!G90+Formula!I90+Formula!K90))*(INDEX(Properties!A$1:CB$87,Formula!D90,45))+((Formula!G90)/(Formula!C90+Formula!E90+Formula!G90+Formula!I90+Formula!K90))*(INDEX(Properties!A$1:CB$87,Formula!F90,45))+((Formula!I90)/(Formula!C90+Formula!E90+Formula!G90+Formula!I90+Formula!K90))*(INDEX(Properties!A$1:CB$87,Formula!H90,45))+((Formula!K90)/(Formula!C90+Formula!E90+Formula!G90+Formula!I90+Formula!K90))*(INDEX(Properties!A$1:CB$87,Formula!J90,45))</f>
        <v>1.25</v>
      </c>
      <c r="EE90" s="48">
        <f>Formula!C90*(INDEX(Properties!A$1:CB$87,Formula!B90,45))+Formula!E90*(INDEX(Properties!A$1:CB$87,Formula!D90,45))+Formula!G90*(INDEX(Properties!A$1:CB$87,Formula!F90,45))+Formula!I90*(INDEX(Properties!A$1:CB$87,Formula!H90,45))+Formula!K90*(INDEX(Properties!A$1:CB$87,Formula!J90,45))</f>
        <v>2.5</v>
      </c>
      <c r="EF90" s="48">
        <f>VARP(IF(INDEX(Properties!A$1:CB$87,Formula!B90,45)&lt;&gt;"",INDEX(Properties!A$1:CB$87,Formula!B90,45)),IF(INDEX(Properties!A$1:CB$87,Formula!D90,45)&lt;&gt;"",INDEX(Properties!A$1:CB$87,Formula!D90,45)),IF(INDEX(Properties!A$1:CB$87,Formula!F90,45)&lt;&gt;"",INDEX(Properties!A$1:CB$87,Formula!F90,45)),IF(INDEX(Properties!A$1:CB$87,Formula!H90,45)&lt;&gt;"",INDEX(Properties!A$1:CB$87,Formula!H90,45)),IF(INDEX(Properties!A$1:CB$87,Formula!J90,45)&lt;&gt;"",INDEX(Properties!A$1:CB$87,Formula!J90,45)))</f>
        <v>0.6183599999999998</v>
      </c>
      <c r="EG90" s="48">
        <f>MAX(INDEX(Properties!A$1:CB$87,Formula!B90,45),INDEX(Properties!A$1:CB$87,Formula!D90,45),INDEX(Properties!A$1:CB$87,Formula!F90,45),INDEX(Properties!A$1:CB$87,Formula!H90,45),INDEX(Properties!A$1:CB$87,Formula!J90,45))</f>
        <v>2.0299999999999998</v>
      </c>
      <c r="EH90" s="48">
        <f>MIN(IF(INDEX(Properties!A$1:CB$87,Formula!B90,45)=0,10^6,INDEX(Properties!A$1:CB$87,Formula!B90,45)),IF(INDEX(Properties!A$1:CB$87,Formula!D90,45)=0,10^6,INDEX(Properties!A$1:CB$87,Formula!D90,45)),IF(INDEX(Properties!A$1:CB$87,Formula!F90,45)=0,10^6,INDEX(Properties!A$1:CB$87,Formula!F90,45)),IF(INDEX(Properties!A$1:CB$87,Formula!H90,45)=0,10^6,INDEX(Properties!A$1:CB$87,Formula!H90,45)),IF(INDEX(Properties!A$1:CB$87,Formula!J90,45)=0,10^6,INDEX(Properties!A$1:CB$87,Formula!J90,45)))</f>
        <v>0.47</v>
      </c>
      <c r="EI90" s="48">
        <f t="shared" si="54"/>
        <v>1.5599999999999998</v>
      </c>
      <c r="EJ90" s="66">
        <f>((Formula!C90)/(Formula!C90+Formula!E90+Formula!G90+Formula!I90+Formula!K90))*(INDEX(Properties!A$1:CB$87,Formula!B90,46))+((Formula!E90)/(Formula!C90+Formula!E90+Formula!G90+Formula!I90+Formula!K90))*(INDEX(Properties!A$1:CB$87,Formula!D90,46))+((Formula!G90)/(Formula!C90+Formula!E90+Formula!G90+Formula!I90+Formula!K90))*(INDEX(Properties!A$1:CB$87,Formula!F90,46))+((Formula!I90)/(Formula!C90+Formula!E90+Formula!G90+Formula!I90+Formula!K90))*(INDEX(Properties!A$1:CB$87,Formula!H90,46))+((Formula!K90)/(Formula!C90+Formula!E90+Formula!G90+Formula!I90+Formula!K90))*(INDEX(Properties!A$1:CB$87,Formula!J90,46))</f>
        <v>1.0349999999999999</v>
      </c>
      <c r="EK90" s="66">
        <f>Formula!C90*(INDEX(Properties!A$1:CB$87,Formula!B90,46))+Formula!E90*(INDEX(Properties!A$1:CB$87,Formula!D90,46))+Formula!G90*(INDEX(Properties!A$1:CB$87,Formula!F90,46))+Formula!I90*(INDEX(Properties!A$1:CB$87,Formula!H90,46))+Formula!K90*(INDEX(Properties!A$1:CB$87,Formula!J90,46))</f>
        <v>2.0699999999999998</v>
      </c>
      <c r="EL90" s="66">
        <f>VARP(IF(INDEX(Properties!A$1:CB$87,Formula!B90,46)&lt;&gt;"",INDEX(Properties!A$1:CB$87,Formula!B90,46)),IF(INDEX(Properties!A$1:CB$87,Formula!D90,46)&lt;&gt;"",INDEX(Properties!A$1:CB$87,Formula!D90,46)),IF(INDEX(Properties!A$1:CB$87,Formula!F90,46)&lt;&gt;"",INDEX(Properties!A$1:CB$87,Formula!F90,46)),IF(INDEX(Properties!A$1:CB$87,Formula!H90,46)&lt;&gt;"",INDEX(Properties!A$1:CB$87,Formula!H90,46)),IF(INDEX(Properties!A$1:CB$87,Formula!J90,46)&lt;&gt;"",INDEX(Properties!A$1:CB$87,Formula!J90,46)))</f>
        <v>0.26934400000000003</v>
      </c>
      <c r="EM90" s="66">
        <f>MAX(INDEX(Properties!A$1:CB$87,Formula!B90,46),INDEX(Properties!A$1:CB$87,Formula!D90,46),INDEX(Properties!A$1:CB$87,Formula!F90,46),INDEX(Properties!A$1:CB$87,Formula!H90,46),INDEX(Properties!A$1:CB$87,Formula!J90,46))</f>
        <v>1.21</v>
      </c>
      <c r="EN90" s="66">
        <f>MIN(IF(INDEX(Properties!A$1:CB$87,Formula!B90,46)=0,10^6,INDEX(Properties!A$1:CB$87,Formula!B90,46)),IF(INDEX(Properties!A$1:CB$87,Formula!D90,46)=0,10^6,INDEX(Properties!A$1:CB$87,Formula!D90,46)),IF(INDEX(Properties!A$1:CB$87,Formula!F90,46)=0,10^6,INDEX(Properties!A$1:CB$87,Formula!F90,46)),IF(INDEX(Properties!A$1:CB$87,Formula!H90,46)=0,10^6,INDEX(Properties!A$1:CB$87,Formula!H90,46)),IF(INDEX(Properties!A$1:CB$87,Formula!J90,46)=0,10^6,INDEX(Properties!A$1:CB$87,Formula!J90,46)))</f>
        <v>0.86</v>
      </c>
      <c r="EO90" s="66">
        <f t="shared" si="55"/>
        <v>0.35</v>
      </c>
      <c r="EP90" s="81">
        <f>((Formula!C90)/(Formula!C90+Formula!E90+Formula!G90+Formula!I90+Formula!K90))*(INDEX(Properties!A$1:CB$87,Formula!B90,52))+((Formula!E90)/(Formula!C90+Formula!E90+Formula!G90+Formula!I90+Formula!K90))*(INDEX(Properties!A$1:CB$87,Formula!D90,52))+((Formula!G90)/(Formula!C90+Formula!E90+Formula!G90+Formula!I90+Formula!K90))*(INDEX(Properties!A$1:CB$87,Formula!F90,52))+((Formula!I90)/(Formula!C90+Formula!E90+Formula!G90+Formula!I90+Formula!K90))*(INDEX(Properties!A$1:CB$87,Formula!H90,52))+((Formula!K90)/(Formula!C90+Formula!E90+Formula!G90+Formula!I90+Formula!K90))*(INDEX(Properties!A$1:CB$87,Formula!J90,52))</f>
        <v>5.6964999999999995</v>
      </c>
      <c r="EQ90" s="81">
        <f>Formula!C90*(INDEX(Properties!A$1:CB$87,Formula!B90,52))+Formula!E90*(INDEX(Properties!A$1:CB$87,Formula!D90,52))+Formula!G90*(INDEX(Properties!A$1:CB$87,Formula!F90,52))+Formula!I90*(INDEX(Properties!A$1:CB$87,Formula!H90,52))+Formula!K90*(INDEX(Properties!A$1:CB$87,Formula!J90,52))</f>
        <v>11.392999999999999</v>
      </c>
      <c r="ER90" s="81">
        <f>VARP(IF(INDEX(Properties!A$1:CB$87,Formula!B90,52)&lt;&gt;"",INDEX(Properties!A$1:CB$87,Formula!B90,52)),IF(INDEX(Properties!A$1:CB$87,Formula!D90,52)&lt;&gt;"",INDEX(Properties!A$1:CB$87,Formula!D90,52)),IF(INDEX(Properties!A$1:CB$87,Formula!F90,52)&lt;&gt;"",INDEX(Properties!A$1:CB$87,Formula!F90,52)),IF(INDEX(Properties!A$1:CB$87,Formula!H90,52)&lt;&gt;"",INDEX(Properties!A$1:CB$87,Formula!H90,52)),IF(INDEX(Properties!A$1:CB$87,Formula!J90,52)&lt;&gt;"",INDEX(Properties!A$1:CB$87,Formula!J90,52)))</f>
        <v>17.405751840000004</v>
      </c>
      <c r="ES90" s="81">
        <f>MAX(INDEX(Properties!A$1:CB$87,Formula!B90,52),INDEX(Properties!A$1:CB$87,Formula!D90,52),INDEX(Properties!A$1:CB$87,Formula!F90,52),INDEX(Properties!A$1:CB$87,Formula!H90,52),INDEX(Properties!A$1:CB$87,Formula!J90,52))</f>
        <v>10.6</v>
      </c>
      <c r="ET90" s="81">
        <f>MIN(IF(INDEX(Properties!A$1:CB$87,Formula!B90,52)=0,10^6,INDEX(Properties!A$1:CB$87,Formula!B90,52)),IF(INDEX(Properties!A$1:CB$87,Formula!D90,52)=0,10^6,INDEX(Properties!A$1:CB$87,Formula!D90,52)),IF(INDEX(Properties!A$1:CB$87,Formula!F90,52)=0,10^6,INDEX(Properties!A$1:CB$87,Formula!F90,52)),IF(INDEX(Properties!A$1:CB$87,Formula!H90,52)=0,10^6,INDEX(Properties!A$1:CB$87,Formula!H90,52)),IF(INDEX(Properties!A$1:CB$87,Formula!J90,52)=0,10^6,INDEX(Properties!A$1:CB$87,Formula!J90,52)))</f>
        <v>0.79300000000000004</v>
      </c>
      <c r="EU90" s="81">
        <f t="shared" si="56"/>
        <v>9.8070000000000004</v>
      </c>
      <c r="EV90" s="39">
        <f>((Formula!C90)/(Formula!C90+Formula!E90+Formula!G90+Formula!I90+Formula!K90))*(INDEX(Properties!A$1:CB$87,Formula!B90,53))+((Formula!E90)/(Formula!C90+Formula!E90+Formula!G90+Formula!I90+Formula!K90))*(INDEX(Properties!A$1:CB$87,Formula!D90,53))+((Formula!G90)/(Formula!C90+Formula!E90+Formula!G90+Formula!I90+Formula!K90))*(INDEX(Properties!A$1:CB$87,Formula!F90,53))+((Formula!I90)/(Formula!C90+Formula!E90+Formula!G90+Formula!I90+Formula!K90))*(INDEX(Properties!A$1:CB$87,Formula!H90,53))+((Formula!K90)/(Formula!C90+Formula!E90+Formula!G90+Formula!I90+Formula!K90))*(INDEX(Properties!A$1:CB$87,Formula!J90,53))</f>
        <v>488.45</v>
      </c>
      <c r="EW90" s="39">
        <f>Formula!C90*(INDEX(Properties!A$1:CB$87,Formula!B90,53))+Formula!E90*(INDEX(Properties!A$1:CB$87,Formula!D90,53))+Formula!G90*(INDEX(Properties!A$1:CB$87,Formula!F90,53))+Formula!I90*(INDEX(Properties!A$1:CB$87,Formula!H90,53))+Formula!K90*(INDEX(Properties!A$1:CB$87,Formula!J90,53))</f>
        <v>976.9</v>
      </c>
      <c r="EX90" s="39">
        <f>VARP(IF(INDEX(Properties!A$1:CB$87,Formula!B90,53)&lt;&gt;"",INDEX(Properties!A$1:CB$87,Formula!B90,53)),IF(INDEX(Properties!A$1:CB$87,Formula!D90,53)&lt;&gt;"",INDEX(Properties!A$1:CB$87,Formula!D90,53)),IF(INDEX(Properties!A$1:CB$87,Formula!F90,53)&lt;&gt;"",INDEX(Properties!A$1:CB$87,Formula!F90,53)),IF(INDEX(Properties!A$1:CB$87,Formula!H90,53)&lt;&gt;"",INDEX(Properties!A$1:CB$87,Formula!H90,53)),IF(INDEX(Properties!A$1:CB$87,Formula!J90,53)&lt;&gt;"",INDEX(Properties!A$1:CB$87,Formula!J90,53)))</f>
        <v>132498.29259999999</v>
      </c>
      <c r="EY90" s="39">
        <f>MAX(INDEX(Properties!A$1:CB$87,Formula!B90,53),INDEX(Properties!A$1:CB$87,Formula!D90,53),INDEX(Properties!A$1:CB$87,Formula!F90,53),INDEX(Properties!A$1:CB$87,Formula!H90,53),INDEX(Properties!A$1:CB$87,Formula!J90,53))</f>
        <v>922.15</v>
      </c>
      <c r="EZ90" s="39">
        <f>MIN(IF(INDEX(Properties!A$1:CB$87,Formula!B90,53)=0,10^6,INDEX(Properties!A$1:CB$87,Formula!B90,53)),IF(INDEX(Properties!A$1:CB$87,Formula!D90,53)=0,10^6,INDEX(Properties!A$1:CB$87,Formula!D90,53)),IF(INDEX(Properties!A$1:CB$87,Formula!F90,53)=0,10^6,INDEX(Properties!A$1:CB$87,Formula!F90,53)),IF(INDEX(Properties!A$1:CB$87,Formula!H90,53)=0,10^6,INDEX(Properties!A$1:CB$87,Formula!H90,53)),IF(INDEX(Properties!A$1:CB$87,Formula!J90,53)=0,10^6,INDEX(Properties!A$1:CB$87,Formula!J90,53)))</f>
        <v>54.749999999999972</v>
      </c>
      <c r="FA90" s="39">
        <f t="shared" si="57"/>
        <v>867.4</v>
      </c>
      <c r="FB90" s="54">
        <f>((Formula!C90)/(Formula!C90+Formula!E90+Formula!G90+Formula!I90+Formula!K90))*(INDEX(Properties!A$1:CB$87,Formula!B90,54))+((Formula!E90)/(Formula!C90+Formula!E90+Formula!G90+Formula!I90+Formula!K90))*(INDEX(Properties!A$1:CB$87,Formula!D90,54))+((Formula!G90)/(Formula!C90+Formula!E90+Formula!G90+Formula!I90+Formula!K90))*(INDEX(Properties!A$1:CB$87,Formula!F90,54))+((Formula!I90)/(Formula!C90+Formula!E90+Formula!G90+Formula!I90+Formula!K90))*(INDEX(Properties!A$1:CB$87,Formula!H90,54))+((Formula!K90)/(Formula!C90+Formula!E90+Formula!G90+Formula!I90+Formula!K90))*(INDEX(Properties!A$1:CB$87,Formula!J90,54))</f>
        <v>726.65000000000009</v>
      </c>
      <c r="FC90" s="54">
        <f>Formula!C90*(INDEX(Properties!A$1:CB$87,Formula!B90,54))+Formula!E90*(INDEX(Properties!A$1:CB$87,Formula!D90,54))+Formula!G90*(INDEX(Properties!A$1:CB$87,Formula!F90,54))+Formula!I90*(INDEX(Properties!A$1:CB$87,Formula!H90,54))+Formula!K90*(INDEX(Properties!A$1:CB$87,Formula!J90,54))</f>
        <v>1453.3000000000002</v>
      </c>
      <c r="FD90" s="54">
        <f>VARP(IF(INDEX(Properties!A$1:CB$87,Formula!B90,54)&lt;&gt;"",INDEX(Properties!A$1:CB$87,Formula!B90,54)),IF(INDEX(Properties!A$1:CB$87,Formula!D90,54)&lt;&gt;"",INDEX(Properties!A$1:CB$87,Formula!D90,54)),IF(INDEX(Properties!A$1:CB$87,Formula!F90,54)&lt;&gt;"",INDEX(Properties!A$1:CB$87,Formula!F90,54)),IF(INDEX(Properties!A$1:CB$87,Formula!H90,54)&lt;&gt;"",INDEX(Properties!A$1:CB$87,Formula!H90,54)),IF(INDEX(Properties!A$1:CB$87,Formula!J90,54)&lt;&gt;"",INDEX(Properties!A$1:CB$87,Formula!J90,54)))</f>
        <v>288777.75340000005</v>
      </c>
      <c r="FE90" s="54">
        <f>MAX(INDEX(Properties!A$1:CB$87,Formula!B90,54),INDEX(Properties!A$1:CB$87,Formula!D90,54),INDEX(Properties!A$1:CB$87,Formula!F90,54),INDEX(Properties!A$1:CB$87,Formula!H90,54),INDEX(Properties!A$1:CB$87,Formula!J90,54))</f>
        <v>1363.15</v>
      </c>
      <c r="FF90" s="54">
        <f>MIN(IF(INDEX(Properties!A$1:CB$87,Formula!B90,54)=0,10^6,INDEX(Properties!A$1:CB$87,Formula!B90,54)),IF(INDEX(Properties!A$1:CB$87,Formula!D90,54)=0,10^6,INDEX(Properties!A$1:CB$87,Formula!D90,54)),IF(INDEX(Properties!A$1:CB$87,Formula!F90,54)=0,10^6,INDEX(Properties!A$1:CB$87,Formula!F90,54)),IF(INDEX(Properties!A$1:CB$87,Formula!H90,54)=0,10^6,INDEX(Properties!A$1:CB$87,Formula!H90,54)),IF(INDEX(Properties!A$1:CB$87,Formula!J90,54)=0,10^6,INDEX(Properties!A$1:CB$87,Formula!J90,54)))</f>
        <v>90.149999999999977</v>
      </c>
      <c r="FG90" s="54">
        <f t="shared" si="58"/>
        <v>1273</v>
      </c>
      <c r="FH90" s="69">
        <f>((Formula!C90)/(Formula!C90+Formula!E90+Formula!G90+Formula!I90+Formula!K90))*(INDEX(Properties!A$1:CB$87,Formula!B90,55))+((Formula!E90)/(Formula!C90+Formula!E90+Formula!G90+Formula!I90+Formula!K90))*(INDEX(Properties!A$1:CB$87,Formula!D90,55))+((Formula!G90)/(Formula!C90+Formula!E90+Formula!G90+Formula!I90+Formula!K90))*(INDEX(Properties!A$1:CB$87,Formula!F90,55))+((Formula!I90)/(Formula!C90+Formula!E90+Formula!G90+Formula!I90+Formula!K90))*(INDEX(Properties!A$1:CB$87,Formula!H90,55))+((Formula!K90)/(Formula!C90+Formula!E90+Formula!G90+Formula!I90+Formula!K90))*(INDEX(Properties!A$1:CB$87,Formula!J90,55))</f>
        <v>0.87071500000000002</v>
      </c>
      <c r="FI90" s="69">
        <f>Formula!C90*(INDEX(Properties!A$1:CB$87,Formula!B90,55))+Formula!E90*(INDEX(Properties!A$1:CB$87,Formula!D90,54))+Formula!G90*(INDEX(Properties!A$1:CB$87,Formula!F90,55))+Formula!I90*(INDEX(Properties!A$1:CB$87,Formula!H90,55))+Formula!K90*(INDEX(Properties!A$1:CB$87,Formula!J90,55))</f>
        <v>91.889999999999972</v>
      </c>
      <c r="FJ90" s="69">
        <f>VARP(IF(INDEX(Properties!A$1:CB$87,Formula!B90,55)&lt;&gt;"",INDEX(Properties!A$1:CB$87,Formula!B90,55)),IF(INDEX(Properties!A$1:CB$87,Formula!D90,55)&lt;&gt;"",INDEX(Properties!A$1:CB$87,Formula!D90,55)),IF(INDEX(Properties!A$1:CB$87,Formula!F90,55)&lt;&gt;"",INDEX(Properties!A$1:CB$87,Formula!F90,55)),IF(INDEX(Properties!A$1:CB$87,Formula!H90,55)&lt;&gt;"",INDEX(Properties!A$1:CB$87,Formula!H90,55)),IF(INDEX(Properties!A$1:CB$87,Formula!J90,55)&lt;&gt;"",INDEX(Properties!A$1:CB$87,Formula!J90,55)))</f>
        <v>0.48421727118399999</v>
      </c>
      <c r="FK90" s="69">
        <f>MAX(INDEX(Properties!A$1:CB$87,Formula!B90,55),INDEX(Properties!A$1:CB$87,Formula!D90,55),INDEX(Properties!A$1:CB$87,Formula!F90,55),INDEX(Properties!A$1:CB$87,Formula!H90,55),INDEX(Properties!A$1:CB$87,Formula!J90,55))</f>
        <v>1.74</v>
      </c>
      <c r="FL90" s="69">
        <f>MIN(IF(INDEX(Properties!A$1:CB$87,Formula!B90,55)=0,10^6,INDEX(Properties!A$1:CB$87,Formula!B90,55)),IF(INDEX(Properties!A$1:CB$87,Formula!D90,55)=0,10^6,INDEX(Properties!A$1:CB$87,Formula!D90,55)),IF(INDEX(Properties!A$1:CB$87,Formula!F90,55)=0,10^6,INDEX(Properties!A$1:CB$87,Formula!F90,55)),IF(INDEX(Properties!A$1:CB$87,Formula!H90,55)=0,10^6,INDEX(Properties!A$1:CB$87,Formula!H90,55)),IF(INDEX(Properties!A$1:CB$87,Formula!J90,55)=0,10^6,INDEX(Properties!A$1:CB$87,Formula!J90,55)))</f>
        <v>1.4300000000000001E-3</v>
      </c>
      <c r="FM90" s="69">
        <f t="shared" si="59"/>
        <v>1.7385699999999999</v>
      </c>
      <c r="FN90" s="42">
        <f>((Formula!C90)/(Formula!C90+Formula!E90+Formula!G90+Formula!I90+Formula!K90))*(INDEX(Properties!A$1:CB$87,Formula!B90,56))+((Formula!E90)/(Formula!C90+Formula!E90+Formula!G90+Formula!I90+Formula!K90))*(INDEX(Properties!A$1:CB$87,Formula!D90,56))+((Formula!G90)/(Formula!C90+Formula!E90+Formula!G90+Formula!I90+Formula!K90))*(INDEX(Properties!A$1:CB$87,Formula!F90,56))+((Formula!I90)/(Formula!C90+Formula!E90+Formula!G90+Formula!I90+Formula!K90))*(INDEX(Properties!A$1:CB$87,Formula!H90,56))+((Formula!K90)/(Formula!C90+Formula!E90+Formula!G90+Formula!I90+Formula!K90))*(INDEX(Properties!A$1:CB$87,Formula!J90,56))</f>
        <v>0.97</v>
      </c>
      <c r="FO90" s="42">
        <f>Formula!C90*(INDEX(Properties!A$1:CB$87,Formula!B90,56))+Formula!E90*(INDEX(Properties!A$1:CB$87,Formula!D90,56))+Formula!G90*(INDEX(Properties!A$1:CB$87,Formula!F90,56))+Formula!I90*(INDEX(Properties!A$1:CB$87,Formula!H90,56))+Formula!K90*(INDEX(Properties!A$1:CB$87,Formula!J90,56))</f>
        <v>1.94</v>
      </c>
      <c r="FP90" s="42">
        <f>VARP(IF(INDEX(Properties!A$1:CB$87,Formula!B90,56)&lt;&gt;"",INDEX(Properties!A$1:CB$87,Formula!B90,56)),IF(INDEX(Properties!A$1:CB$87,Formula!D90,56)&lt;&gt;"",INDEX(Properties!A$1:CB$87,Formula!D90,56)),IF(INDEX(Properties!A$1:CB$87,Formula!F90,56)&lt;&gt;"",INDEX(Properties!A$1:CB$87,Formula!F90,56)),IF(INDEX(Properties!A$1:CB$87,Formula!H90,56)&lt;&gt;"",INDEX(Properties!A$1:CB$87,Formula!H90,56)),IF(INDEX(Properties!A$1:CB$87,Formula!J90,56)&lt;&gt;"",INDEX(Properties!A$1:CB$87,Formula!J90,56)))</f>
        <v>0.22681600000000002</v>
      </c>
      <c r="FQ90" s="42">
        <f>MAX(INDEX(Properties!A$1:CB$87,Formula!B90,56),INDEX(Properties!A$1:CB$87,Formula!D90,56),INDEX(Properties!A$1:CB$87,Formula!F90,56),INDEX(Properties!A$1:CB$87,Formula!H90,56),INDEX(Properties!A$1:CB$87,Formula!J90,56))</f>
        <v>1.02</v>
      </c>
      <c r="FR90" s="42">
        <f>MIN(IF(INDEX(Properties!A$1:CB$87,Formula!B90,56)=0,10^6,INDEX(Properties!A$1:CB$87,Formula!B90,56)),IF(INDEX(Properties!A$1:CB$87,Formula!D90,56)=0,10^6,INDEX(Properties!A$1:CB$87,Formula!D90,56)),IF(INDEX(Properties!A$1:CB$87,Formula!F90,56)=0,10^6,INDEX(Properties!A$1:CB$87,Formula!F90,56)),IF(INDEX(Properties!A$1:CB$87,Formula!H90,56)=0,10^6,INDEX(Properties!A$1:CB$87,Formula!H90,56)),IF(INDEX(Properties!A$1:CB$87,Formula!J90,56)=0,10^6,INDEX(Properties!A$1:CB$87,Formula!J90,56)))</f>
        <v>0.92</v>
      </c>
      <c r="FS90" s="42">
        <f t="shared" si="60"/>
        <v>9.9999999999999978E-2</v>
      </c>
      <c r="FT90" s="60">
        <f>((Formula!C90)/(Formula!C90+Formula!E90+Formula!G90+Formula!I90+Formula!K90))*(INDEX(Properties!A$1:CB$87,Formula!B90,57))+((Formula!E90)/(Formula!C90+Formula!E90+Formula!G90+Formula!I90+Formula!K90))*(INDEX(Properties!A$1:CB$87,Formula!D90,57))+((Formula!G90)/(Formula!C90+Formula!E90+Formula!G90+Formula!I90+Formula!K90))*(INDEX(Properties!A$1:CB$87,Formula!F90,57))+((Formula!I90)/(Formula!C90+Formula!E90+Formula!G90+Formula!I90+Formula!K90))*(INDEX(Properties!A$1:CB$87,Formula!H90,57))+((Formula!K90)/(Formula!C90+Formula!E90+Formula!G90+Formula!I90+Formula!K90))*(INDEX(Properties!A$1:CB$87,Formula!J90,57))</f>
        <v>4.5882950000000005</v>
      </c>
      <c r="FU90" s="60">
        <f>Formula!C90*(INDEX(Properties!A$1:CB$87,Formula!B90,57))+Formula!E90*(INDEX(Properties!A$1:CB$87,Formula!D90,57))+Formula!G90*(INDEX(Properties!A$1:CB$87,Formula!F90,57))+Formula!I90*(INDEX(Properties!A$1:CB$87,Formula!H90,57))+Formula!K90*(INDEX(Properties!A$1:CB$87,Formula!J90,57))</f>
        <v>9.1765900000000009</v>
      </c>
      <c r="FV90" s="60">
        <f>VARP(IF(INDEX(Properties!A$1:CB$87,Formula!B90,57)&lt;&gt;"",INDEX(Properties!A$1:CB$87,Formula!B90,57)),IF(INDEX(Properties!A$1:CB$87,Formula!D90,57)&lt;&gt;"",INDEX(Properties!A$1:CB$87,Formula!D90,57)),IF(INDEX(Properties!A$1:CB$87,Formula!F90,57)&lt;&gt;"",INDEX(Properties!A$1:CB$87,Formula!F90,57)),IF(INDEX(Properties!A$1:CB$87,Formula!H90,57)&lt;&gt;"",INDEX(Properties!A$1:CB$87,Formula!H90,57)),IF(INDEX(Properties!A$1:CB$87,Formula!J90,57)&lt;&gt;"",INDEX(Properties!A$1:CB$87,Formula!J90,57)))</f>
        <v>12.676340300496003</v>
      </c>
      <c r="FW90" s="60">
        <f>MAX(INDEX(Properties!A$1:CB$87,Formula!B90,57),INDEX(Properties!A$1:CB$87,Formula!D90,57),INDEX(Properties!A$1:CB$87,Formula!F90,57),INDEX(Properties!A$1:CB$87,Formula!H90,57),INDEX(Properties!A$1:CB$87,Formula!J90,57))</f>
        <v>8.9540000000000006</v>
      </c>
      <c r="FX90" s="60">
        <f>MIN(IF(INDEX(Properties!A$1:CB$87,Formula!B90,57)=0,10^6,INDEX(Properties!A$1:CB$87,Formula!B90,57)),IF(INDEX(Properties!A$1:CB$87,Formula!D90,57)=0,10^6,INDEX(Properties!A$1:CB$87,Formula!D90,57)),IF(INDEX(Properties!A$1:CB$87,Formula!F90,57)=0,10^6,INDEX(Properties!A$1:CB$87,Formula!F90,57)),IF(INDEX(Properties!A$1:CB$87,Formula!H90,57)=0,10^6,INDEX(Properties!A$1:CB$87,Formula!H90,57)),IF(INDEX(Properties!A$1:CB$87,Formula!J90,57)=0,10^6,INDEX(Properties!A$1:CB$87,Formula!J90,57)))</f>
        <v>0.22259000000000001</v>
      </c>
      <c r="FY90" s="60">
        <f t="shared" si="61"/>
        <v>8.7314100000000003</v>
      </c>
      <c r="FZ90" s="72">
        <f>((Formula!C90)/(Formula!C90+Formula!E90+Formula!G90+Formula!I90+Formula!K90))*(INDEX(Properties!A$1:CB$87,Formula!B90,60))+((Formula!E90)/(Formula!C90+Formula!E90+Formula!G90+Formula!I90+Formula!K90))*(INDEX(Properties!A$1:CB$87,Formula!D90,60))+((Formula!G90)/(Formula!C90+Formula!E90+Formula!G90+Formula!I90+Formula!K90))*(INDEX(Properties!A$1:CB$87,Formula!F90,60))+((Formula!I90)/(Formula!C90+Formula!E90+Formula!G90+Formula!I90+Formula!K90))*(INDEX(Properties!A$1:CB$87,Formula!H90,60))+((Formula!K90)/(Formula!C90+Formula!E90+Formula!G90+Formula!I90+Formula!K90))*(INDEX(Properties!A$1:CB$87,Formula!J90,60))</f>
        <v>78.013369999999995</v>
      </c>
      <c r="GA90" s="72">
        <f>Formula!C90*(INDEX(Properties!A$1:CB$87,Formula!B90,60))+Formula!E90*(INDEX(Properties!A$1:CB$87,Formula!D90,60))+Formula!G90*(INDEX(Properties!A$1:CB$87,Formula!F90,60))+Formula!I90*(INDEX(Properties!A$1:CB$87,Formula!H90,60))+Formula!K90*(INDEX(Properties!A$1:CB$87,Formula!J90,60))</f>
        <v>156.02673999999999</v>
      </c>
      <c r="GB90" s="72">
        <f>VARP(IF(INDEX(Properties!A$1:CB$87,Formula!B90,60)&lt;&gt;"",INDEX(Properties!A$1:CB$87,Formula!B90,60)),IF(INDEX(Properties!A$1:CB$87,Formula!D90,60)&lt;&gt;"",INDEX(Properties!A$1:CB$87,Formula!D90,60)),IF(INDEX(Properties!A$1:CB$87,Formula!F90,60)&lt;&gt;"",INDEX(Properties!A$1:CB$87,Formula!F90,60)),IF(INDEX(Properties!A$1:CB$87,Formula!H90,60)&lt;&gt;"",INDEX(Properties!A$1:CB$87,Formula!H90,60)),IF(INDEX(Properties!A$1:CB$87,Formula!J90,60)&lt;&gt;"",INDEX(Properties!A$1:CB$87,Formula!J90,60)))</f>
        <v>3893.4263992044157</v>
      </c>
      <c r="GC90" s="72">
        <f>MAX(INDEX(Properties!A$1:CB$87,Formula!B90,60),INDEX(Properties!A$1:CB$87,Formula!D90,60),INDEX(Properties!A$1:CB$87,Formula!F90,60),INDEX(Properties!A$1:CB$87,Formula!H90,60),INDEX(Properties!A$1:CB$87,Formula!J90,60))</f>
        <v>156</v>
      </c>
      <c r="GD90" s="72">
        <f>MIN(IF(INDEX(Properties!A$1:CB$87,Formula!B90,60)=0,10^6,INDEX(Properties!A$1:CB$87,Formula!B90,60)),IF(INDEX(Properties!A$1:CB$87,Formula!D90,60)=0,10^6,INDEX(Properties!A$1:CB$87,Formula!D90,60)),IF(INDEX(Properties!A$1:CB$87,Formula!F90,60)=0,10^6,INDEX(Properties!A$1:CB$87,Formula!F90,60)),IF(INDEX(Properties!A$1:CB$87,Formula!H90,60)=0,10^6,INDEX(Properties!A$1:CB$87,Formula!H90,60)),IF(INDEX(Properties!A$1:CB$87,Formula!J90,60)=0,10^6,INDEX(Properties!A$1:CB$87,Formula!J90,60)))</f>
        <v>2.674E-2</v>
      </c>
      <c r="GE90" s="72">
        <f t="shared" si="62"/>
        <v>155.97326000000001</v>
      </c>
      <c r="GF90" s="51">
        <f>((Formula!C90)/(Formula!C90+Formula!E90+Formula!G90+Formula!I90+Formula!K90))*(INDEX(Properties!A$1:CB$87,Formula!B90,62))+((Formula!E90)/(Formula!C90+Formula!E90+Formula!G90+Formula!I90+Formula!K90))*(INDEX(Properties!A$1:CB$87,Formula!D90,62))+((Formula!G90)/(Formula!C90+Formula!E90+Formula!G90+Formula!I90+Formula!K90))*(INDEX(Properties!A$1:CB$87,Formula!F90,62))+((Formula!I90)/(Formula!C90+Formula!E90+Formula!G90+Formula!I90+Formula!K90))*(INDEX(Properties!A$1:CB$87,Formula!H90,62))+((Formula!K90)/(Formula!C90+Formula!E90+Formula!G90+Formula!I90+Formula!K90))*(INDEX(Properties!A$1:CB$87,Formula!J90,62))</f>
        <v>2.0649999999999999</v>
      </c>
      <c r="GG90" s="51">
        <f>Formula!C90*(INDEX(Properties!A$1:CB$87,Formula!B90,62))+Formula!E90*(INDEX(Properties!A$1:CB$87,Formula!D90,62))+Formula!G90*(INDEX(Properties!A$1:CB$87,Formula!F90,62))+Formula!I90*(INDEX(Properties!A$1:CB$87,Formula!H90,62))+Formula!K90*(INDEX(Properties!A$1:CB$87,Formula!J90,62))</f>
        <v>4.13</v>
      </c>
      <c r="GH90" s="51">
        <f>VARP(IF(INDEX(Properties!A$1:CB$87,Formula!B90,62)&lt;&gt;"",INDEX(Properties!A$1:CB$87,Formula!B90,62)),IF(INDEX(Properties!A$1:CB$87,Formula!D90,62)&lt;&gt;"",INDEX(Properties!A$1:CB$87,Formula!D90,62)),IF(INDEX(Properties!A$1:CB$87,Formula!F90,62)&lt;&gt;"",INDEX(Properties!A$1:CB$87,Formula!F90,62)),IF(INDEX(Properties!A$1:CB$87,Formula!H90,62)&lt;&gt;"",INDEX(Properties!A$1:CB$87,Formula!H90,62)),IF(INDEX(Properties!A$1:CB$87,Formula!J90,62)&lt;&gt;"",INDEX(Properties!A$1:CB$87,Formula!J90,62)))</f>
        <v>1.1466240000000001</v>
      </c>
      <c r="GI90" s="51">
        <f>MAX(INDEX(Properties!A$1:CB$87,Formula!B90,62),INDEX(Properties!A$1:CB$87,Formula!D90,62),INDEX(Properties!A$1:CB$87,Formula!F90,62),INDEX(Properties!A$1:CB$87,Formula!H90,62),INDEX(Properties!A$1:CB$87,Formula!J90,62))</f>
        <v>2.62</v>
      </c>
      <c r="GJ90" s="51">
        <f>MIN(IF(INDEX(Properties!A$1:CB$87,Formula!B90,62)=0,10^6,INDEX(Properties!A$1:CB$87,Formula!B90,62)),IF(INDEX(Properties!A$1:CB$87,Formula!D90,62)=0,10^6,INDEX(Properties!A$1:CB$87,Formula!D90,62)),IF(INDEX(Properties!A$1:CB$87,Formula!F90,62)=0,10^6,INDEX(Properties!A$1:CB$87,Formula!F90,62)),IF(INDEX(Properties!A$1:CB$87,Formula!H90,62)=0,10^6,INDEX(Properties!A$1:CB$87,Formula!H90,62)),IF(INDEX(Properties!A$1:CB$87,Formula!J90,62)=0,10^6,INDEX(Properties!A$1:CB$87,Formula!J90,62)))</f>
        <v>1.51</v>
      </c>
      <c r="GK90" s="51">
        <f t="shared" si="63"/>
        <v>1.1100000000000001</v>
      </c>
      <c r="GL90" s="51">
        <f>Formula!P90</f>
        <v>225</v>
      </c>
      <c r="GM90" s="57">
        <f>Formula!O90</f>
        <v>7</v>
      </c>
      <c r="GN90" s="51">
        <f>Formula!N90</f>
        <v>0.05</v>
      </c>
    </row>
    <row r="91" spans="1:196" x14ac:dyDescent="0.3">
      <c r="A91" s="84" t="str">
        <f>Formula!A91</f>
        <v>Gd2O3</v>
      </c>
      <c r="B91" s="89">
        <f>((Formula!C91)/(Formula!C91+Formula!E91+Formula!G91+Formula!I91+Formula!K91))*(INDEX(Properties!A$1:CB$87,Formula!B91,3))+((Formula!E91)/(Formula!C91+Formula!E91+Formula!G91+Formula!I91+Formula!K91))*(INDEX(Properties!A$1:CB$87,Formula!D91,3))+((Formula!G91)/(Formula!C91+Formula!E91+Formula!G91+Formula!I91+Formula!K91))*(INDEX(Properties!A$1:CB$87,Formula!F91,3))+((Formula!I91)/(Formula!C91+Formula!E91+Formula!G91+Formula!I91+Formula!K91))*(INDEX(Properties!A$1:CB$87,Formula!H91,3))+((Formula!K91)/(Formula!C91+Formula!E91+Formula!G91+Formula!I91+Formula!K91))*(INDEX(Properties!A$1:CB$87,Formula!J91,3))</f>
        <v>72.499639999999999</v>
      </c>
      <c r="C91" s="85">
        <f>Formula!C91*(INDEX(Properties!A$1:CB$87,Formula!B91,3))+Formula!E91*(INDEX(Properties!A$1:CB$87,Formula!D91,3))+Formula!G91*(INDEX(Properties!A$1:CB$87,Formula!F91,3))+Formula!I91*(INDEX(Properties!A$1:CB$87,Formula!H91,3))+Formula!K91*(INDEX(Properties!A$1:CB$87,Formula!J91,3))</f>
        <v>362.4982</v>
      </c>
      <c r="D91" s="85">
        <f>VARP(IF(INDEX(Properties!A$1:CB$87,Formula!B91,3)&lt;&gt;"",INDEX(Properties!A$1:CB$87,Formula!B91,3)),IF(INDEX(Properties!A$1:CB$87,Formula!D91,3)&lt;&gt;"",INDEX(Properties!A$1:CB$87,Formula!D91,3)),IF(INDEX(Properties!A$1:CB$87,Formula!F91,3)&lt;&gt;"",INDEX(Properties!A$1:CB$87,Formula!F91,3)),IF(INDEX(Properties!A$1:CB$87,Formula!H91,3)&lt;&gt;"",INDEX(Properties!A$1:CB$87,Formula!H91,3)),IF(INDEX(Properties!A$1:CB$87,Formula!J91,3)&lt;&gt;"",INDEX(Properties!A$1:CB$87,Formula!J91,3)))</f>
        <v>3796.0944760576003</v>
      </c>
      <c r="E91" s="85">
        <f>MAX(INDEX(Properties!A$1:CB$87,Formula!B91,3),INDEX(Properties!A$1:CB$87,Formula!D91,3),INDEX(Properties!A$1:CB$87,Formula!F91,3),INDEX(Properties!A$1:CB$87,Formula!H91,3),INDEX(Properties!A$1:CB$87,Formula!J91,3))</f>
        <v>157.25</v>
      </c>
      <c r="F91" s="85">
        <f>MIN(IF(INDEX(Properties!A$1:CB$87,Formula!B91,3)=0,10^6,INDEX(Properties!A$1:CB$87,Formula!B91,3)),IF(INDEX(Properties!A$1:CB$87,Formula!D91,3)=0,10^6,INDEX(Properties!A$1:CB$87,Formula!D91,3)),IF(INDEX(Properties!A$1:CB$87,Formula!F91,3)=0,10^6,INDEX(Properties!A$1:CB$87,Formula!F91,3)),IF(INDEX(Properties!A$1:CB$87,Formula!H91,3)=0,10^6,INDEX(Properties!A$1:CB$87,Formula!H91,3)),IF(INDEX(Properties!A$1:CB$87,Formula!J91,3)=0,10^6,INDEX(Properties!A$1:CB$87,Formula!J91,3)))</f>
        <v>15.9994</v>
      </c>
      <c r="G91" s="85">
        <f t="shared" si="32"/>
        <v>141.25059999999999</v>
      </c>
      <c r="H91" s="87">
        <f>((Formula!C91)/(Formula!C91+Formula!E91+Formula!G91+Formula!I91+Formula!K91))*(INDEX(Properties!A$1:CB$87,Formula!B91,4))+((Formula!E91)/(Formula!C91+Formula!E91+Formula!G91+Formula!I91+Formula!K91))*(INDEX(Properties!A$1:CB$87,Formula!D91,4))+((Formula!G91)/(Formula!C91+Formula!E91+Formula!G91+Formula!I91+Formula!K91))*(INDEX(Properties!A$1:CB$87,Formula!F91,4))+((Formula!I91)/(Formula!C91+Formula!E91+Formula!G91+Formula!I91+Formula!K91))*(INDEX(Properties!A$1:CB$87,Formula!H91,4))+((Formula!K91)/(Formula!C91+Formula!E91+Formula!G91+Formula!I91+Formula!K91))*(INDEX(Properties!A$1:CB$87,Formula!J91,4))</f>
        <v>30.400000000000002</v>
      </c>
      <c r="I91" s="87">
        <f>Formula!C91*(INDEX(Properties!A$1:CB$87,Formula!B91,4))+Formula!E91*(INDEX(Properties!A$1:CB$87,Formula!D91,4))+Formula!G91*(INDEX(Properties!A$1:CB$87,Formula!F91,4))+Formula!I91*(INDEX(Properties!A$1:CB$87,Formula!H91,4))+Formula!K91*(INDEX(Properties!A$1:CB$87,Formula!J91,4))</f>
        <v>152</v>
      </c>
      <c r="J91" s="87">
        <f>VARP(IF(INDEX(Properties!A$1:CB$87,Formula!B91,4)&lt;&gt;"",INDEX(Properties!A$1:CB$87,Formula!B91,4)),IF(INDEX(Properties!A$1:CB$87,Formula!D91,4)&lt;&gt;"",INDEX(Properties!A$1:CB$87,Formula!D91,4)),IF(INDEX(Properties!A$1:CB$87,Formula!F91,4)&lt;&gt;"",INDEX(Properties!A$1:CB$87,Formula!F91,4)),IF(INDEX(Properties!A$1:CB$87,Formula!H91,4)&lt;&gt;"",INDEX(Properties!A$1:CB$87,Formula!H91,4)),IF(INDEX(Properties!A$1:CB$87,Formula!J91,4)&lt;&gt;"",INDEX(Properties!A$1:CB$87,Formula!J91,4)))</f>
        <v>624.64</v>
      </c>
      <c r="K91" s="87">
        <f>MAX(INDEX(Properties!A$1:CB$87,Formula!B91,4),INDEX(Properties!A$1:CB$87,Formula!D91,4),INDEX(Properties!A$1:CB$87,Formula!F91,4),INDEX(Properties!A$1:CB$87,Formula!H91,4),INDEX(Properties!A$1:CB$87,Formula!J91,4))</f>
        <v>64</v>
      </c>
      <c r="L91" s="87">
        <f>MIN(IF(INDEX(Properties!A$1:CB$87,Formula!B91,4)=0,10^6,INDEX(Properties!A$1:CB$87,Formula!B91,4)),IF(INDEX(Properties!A$1:CB$87,Formula!D91,4)=0,10^6,INDEX(Properties!A$1:CB$87,Formula!D91,4)),IF(INDEX(Properties!A$1:CB$87,Formula!F91,4)=0,10^6,INDEX(Properties!A$1:CB$87,Formula!F91,4)),IF(INDEX(Properties!A$1:CB$87,Formula!H91,4)=0,10^6,INDEX(Properties!A$1:CB$87,Formula!H91,4)),IF(INDEX(Properties!A$1:CB$87,Formula!J91,4)=0,10^6,INDEX(Properties!A$1:CB$87,Formula!J91,4)))</f>
        <v>8</v>
      </c>
      <c r="M91" s="87">
        <f t="shared" si="33"/>
        <v>56</v>
      </c>
      <c r="N91" s="89">
        <f>((Formula!C91)/(Formula!C91+Formula!E91+Formula!G91+Formula!I91+Formula!K91))*(INDEX(Properties!A$1:CB$87,Formula!B91,5))+((Formula!E91)/(Formula!C91+Formula!E91+Formula!G91+Formula!I91+Formula!K91))*(INDEX(Properties!A$1:CB$87,Formula!D91,5))+((Formula!G91)/(Formula!C91+Formula!E91+Formula!G91+Formula!I91+Formula!K91))*(INDEX(Properties!A$1:CB$87,Formula!F91,5))+((Formula!I91)/(Formula!C91+Formula!E91+Formula!G91+Formula!I91+Formula!K91))*(INDEX(Properties!A$1:CB$87,Formula!H91,5))+((Formula!K91)/(Formula!C91+Formula!E91+Formula!G91+Formula!I91+Formula!K91))*(INDEX(Properties!A$1:CB$87,Formula!J91,5))</f>
        <v>3.6000000000000005</v>
      </c>
      <c r="O91" s="89">
        <f>Formula!C91*(INDEX(Properties!A$1:CB$87,Formula!B91,5))+Formula!E91*(INDEX(Properties!A$1:CB$87,Formula!D91,5))+Formula!G91*(INDEX(Properties!A$1:CB$87,Formula!F91,5))+Formula!I91*(INDEX(Properties!A$1:CB$87,Formula!H91,5))+Formula!K91*(INDEX(Properties!A$1:CB$87,Formula!J91,5))</f>
        <v>18</v>
      </c>
      <c r="P91" s="89">
        <f>VARP(IF(INDEX(Properties!A$1:CB$87,Formula!B91,5)&lt;&gt;"",INDEX(Properties!A$1:CB$87,Formula!B91,5)),IF(INDEX(Properties!A$1:CB$87,Formula!D91,5)&lt;&gt;"",INDEX(Properties!A$1:CB$87,Formula!D91,5)),IF(INDEX(Properties!A$1:CB$87,Formula!F91,5)&lt;&gt;"",INDEX(Properties!A$1:CB$87,Formula!F91,5)),IF(INDEX(Properties!A$1:CB$87,Formula!H91,5)&lt;&gt;"",INDEX(Properties!A$1:CB$87,Formula!H91,5)),IF(INDEX(Properties!A$1:CB$87,Formula!J91,5)&lt;&gt;"",INDEX(Properties!A$1:CB$87,Formula!J91,5)))</f>
        <v>5.44</v>
      </c>
      <c r="Q91" s="89">
        <f>MAX(INDEX(Properties!A$1:CB$87,Formula!B91,5),INDEX(Properties!A$1:CB$87,Formula!D91,5),INDEX(Properties!A$1:CB$87,Formula!F91,5),INDEX(Properties!A$1:CB$87,Formula!H91,5),INDEX(Properties!A$1:CB$87,Formula!J91,5))</f>
        <v>6</v>
      </c>
      <c r="R91" s="89">
        <f>MIN(IF(INDEX(Properties!A$1:CB$87,Formula!B91,5)=0,10^6,INDEX(Properties!A$1:CB$87,Formula!B91,5)),IF(INDEX(Properties!A$1:CB$87,Formula!D91,5)=0,10^6,INDEX(Properties!A$1:CB$87,Formula!D91,5)),IF(INDEX(Properties!A$1:CB$87,Formula!F91,5)=0,10^6,INDEX(Properties!A$1:CB$87,Formula!F91,5)),IF(INDEX(Properties!A$1:CB$87,Formula!H91,5)=0,10^6,INDEX(Properties!A$1:CB$87,Formula!H91,5)),IF(INDEX(Properties!A$1:CB$87,Formula!J91,5)=0,10^6,INDEX(Properties!A$1:CB$87,Formula!J91,5)))</f>
        <v>2</v>
      </c>
      <c r="S91" s="89">
        <f t="shared" si="34"/>
        <v>4</v>
      </c>
      <c r="T91" s="60">
        <f>((Formula!C91)/(Formula!C91+Formula!E91+Formula!G91+Formula!I91+Formula!K91))*(INDEX(Properties!A$1:CB$87,Formula!B91,6))+((Formula!E91)/(Formula!C91+Formula!E91+Formula!G91+Formula!I91+Formula!K91))*(INDEX(Properties!A$1:CB$87,Formula!D91,6))+((Formula!G91)/(Formula!C91+Formula!E91+Formula!G91+Formula!I91+Formula!K91))*(INDEX(Properties!A$1:CB$87,Formula!F91,6))+((Formula!I91)/(Formula!C91+Formula!E91+Formula!G91+Formula!I91+Formula!K91))*(INDEX(Properties!A$1:CB$87,Formula!H91,6))+((Formula!K91)/(Formula!C91+Formula!E91+Formula!G91+Formula!I91+Formula!K91))*(INDEX(Properties!A$1:CB$87,Formula!J91,6))</f>
        <v>10.8</v>
      </c>
      <c r="U91" s="60">
        <f>Formula!C91*(INDEX(Properties!A$1:CB$87,Formula!B91,6))+Formula!E91*(INDEX(Properties!A$1:CB$87,Formula!D91,6))+Formula!G91*(INDEX(Properties!A$1:CB$87,Formula!F91,6))+Formula!I91*(INDEX(Properties!A$1:CB$87,Formula!H91,6))+Formula!K91*(INDEX(Properties!A$1:CB$87,Formula!J91,6))</f>
        <v>54</v>
      </c>
      <c r="V91" s="89">
        <f>VARP(IF(INDEX(Properties!A$1:CB$87,Formula!B91,6)&lt;&gt;"",INDEX(Properties!A$1:CB$87,Formula!B91,6)),IF(INDEX(Properties!A$1:CB$87,Formula!D91,6)&lt;&gt;"",INDEX(Properties!A$1:CB$87,Formula!D91,6)),IF(INDEX(Properties!A$1:CB$87,Formula!F91,6)&lt;&gt;"",INDEX(Properties!A$1:CB$87,Formula!F91,6)),IF(INDEX(Properties!A$1:CB$87,Formula!H91,6)&lt;&gt;"",INDEX(Properties!A$1:CB$87,Formula!H91,6)),IF(INDEX(Properties!A$1:CB$87,Formula!J91,6)&lt;&gt;"",INDEX(Properties!A$1:CB$87,Formula!J91,6)))</f>
        <v>38.56</v>
      </c>
      <c r="W91" s="60">
        <f>MAX(INDEX(Properties!A$1:CB$87,Formula!B91,6),INDEX(Properties!A$1:CB$87,Formula!D91,6),INDEX(Properties!A$1:CB$87,Formula!F91,6),INDEX(Properties!A$1:CB$87,Formula!H91,4),INDEX(Properties!A$1:CB$87,Formula!J91,6))</f>
        <v>16</v>
      </c>
      <c r="X91" s="60">
        <f>MIN(IF(INDEX(Properties!A$1:CB$87,Formula!B91,6)=0,10^6,INDEX(Properties!A$1:CB$87,Formula!B91,6)),IF(INDEX(Properties!A$1:CB$87,Formula!D91,6)=0,10^6,INDEX(Properties!A$1:CB$87,Formula!D91,6)),IF(INDEX(Properties!A$1:CB$87,Formula!F91,6)=0,10^6,INDEX(Properties!A$1:CB$87,Formula!F91,6)),IF(INDEX(Properties!A$1:CB$87,Formula!H91,6)=0,10^6,INDEX(Properties!A$1:CB$87,Formula!H91,6)),IF(INDEX(Properties!A$1:CB$87,Formula!J91,6)=0,10^6,INDEX(Properties!A$1:CB$87,Formula!J91,6)))</f>
        <v>3</v>
      </c>
      <c r="Y91" s="60">
        <f t="shared" si="35"/>
        <v>13</v>
      </c>
      <c r="Z91" s="72">
        <f>((Formula!C91)/(Formula!C91+Formula!E91+Formula!G91+Formula!I91+Formula!K91))*(INDEX(Properties!A$1:CB$87,Formula!B91,9))+((Formula!E91)/(Formula!C91+Formula!E91+Formula!G91+Formula!I91+Formula!K91))*(INDEX(Properties!A$1:CB$87,Formula!D91,9))+((Formula!G91)/(Formula!C91+Formula!E91+Formula!G91+Formula!I91+Formula!K91))*(INDEX(Properties!A$1:CB$87,Formula!F91,9))+((Formula!I91)/(Formula!C91+Formula!E91+Formula!G91+Formula!I91+Formula!K91))*(INDEX(Properties!A$1:CB$87,Formula!H91,9))+((Formula!K91)/(Formula!C91+Formula!E91+Formula!G91+Formula!I91+Formula!K91))*(INDEX(Properties!A$1:CB$87,Formula!J91,9))</f>
        <v>63</v>
      </c>
      <c r="AA91" s="72">
        <f>Formula!C91*(INDEX(Properties!A$1:CB$87,Formula!B91,9))+Formula!E91*(INDEX(Properties!A$1:CB$87,Formula!D91,9))+Formula!G91*(INDEX(Properties!A$1:CB$87,Formula!F91,9))+Formula!I91*(INDEX(Properties!A$1:CB$87,Formula!H91,9))+Formula!K91*(INDEX(Properties!A$1:CB$87,Formula!J91,9))</f>
        <v>315</v>
      </c>
      <c r="AB91" s="72">
        <f>VARP(IF(INDEX(Properties!A$1:CB$87,Formula!B91,9)&lt;&gt;"",INDEX(Properties!A$1:CB$87,Formula!B91,9)),IF(INDEX(Properties!A$1:CB$87,Formula!D91,9)&lt;&gt;"",INDEX(Properties!A$1:CB$87,Formula!D91,9)),IF(INDEX(Properties!A$1:CB$87,Formula!F91,9)&lt;&gt;"",INDEX(Properties!A$1:CB$87,Formula!F91,9)),IF(INDEX(Properties!A$1:CB$87,Formula!H91,9)&lt;&gt;"",INDEX(Properties!A$1:CB$87,Formula!H91,9)),IF(INDEX(Properties!A$1:CB$87,Formula!J91,9)&lt;&gt;"",INDEX(Properties!A$1:CB$87,Formula!J91,9)))</f>
        <v>1139.76</v>
      </c>
      <c r="AC91" s="72">
        <f>MAX(INDEX(Properties!A$1:CB$87,Formula!B91,9),INDEX(Properties!A$1:CB$87,Formula!D91,9),INDEX(Properties!A$1:CB$87,Formula!F91,9),INDEX(Properties!A$1:CB$87,Formula!H91,9),INDEX(Properties!A$1:CB$87,Formula!J91,9))</f>
        <v>87</v>
      </c>
      <c r="AD91" s="72">
        <f>MIN(IF(INDEX(Properties!A$1:CB$87,Formula!B91,9)=0,10^6,INDEX(Properties!A$1:CB$87,Formula!B91,9)),IF(INDEX(Properties!A$1:CB$87,Formula!D91,9)=0,10^6,INDEX(Properties!A$1:CB$87,Formula!D91,9)),IF(INDEX(Properties!A$1:CB$87,Formula!F91,9)=0,10^6,INDEX(Properties!A$1:CB$87,Formula!F91,9)),IF(INDEX(Properties!A$1:CB$87,Formula!H91,9)=0,10^6,INDEX(Properties!A$1:CB$87,Formula!H91,9)),IF(INDEX(Properties!A$1:CB$87,Formula!J91,9)=0,10^6,INDEX(Properties!A$1:CB$87,Formula!J91,9)))</f>
        <v>27</v>
      </c>
      <c r="AE91" s="72">
        <f t="shared" si="36"/>
        <v>60</v>
      </c>
      <c r="AF91" s="51">
        <f>((Formula!C91)/(Formula!C91+Formula!E91+Formula!G91+Formula!I91+Formula!K91))*(INDEX(Properties!A$1:CB$87,Formula!B91,10))+((Formula!E91)/(Formula!C91+Formula!E91+Formula!G91+Formula!I91+Formula!K91))*(INDEX(Properties!A$1:CB$87,Formula!D91,10))+((Formula!G91)/(Formula!C91+Formula!E91+Formula!G91+Formula!I91+Formula!K91))*(INDEX(Properties!A$1:CB$87,Formula!F91,10))+((Formula!I91)/(Formula!C91+Formula!E91+Formula!G91+Formula!I91+Formula!K91))*(INDEX(Properties!A$1:CB$87,Formula!H91,10))+((Formula!K91)/(Formula!C91+Formula!E91+Formula!G91+Formula!I91+Formula!K91))*(INDEX(Properties!A$1:CB$87,Formula!J91,10))</f>
        <v>5.4</v>
      </c>
      <c r="AG91" s="51">
        <f>Formula!C91*(INDEX(Properties!A$1:CB$87,Formula!B91,10))+Formula!E91*(INDEX(Properties!A$1:CB$87,Formula!D91,10))+Formula!G91*(INDEX(Properties!A$1:CB$87,Formula!F91,10))+Formula!I91*(INDEX(Properties!A$1:CB$87,Formula!H91,10))+Formula!K91*(INDEX(Properties!A$1:CB$87,Formula!J91,10))</f>
        <v>27</v>
      </c>
      <c r="AH91" s="51">
        <f>VARP(IF(INDEX(Properties!A$1:CB$87,Formula!B91,10)&lt;&gt;"",INDEX(Properties!A$1:CB$87,Formula!B91,10)),IF(INDEX(Properties!A$1:CB$87,Formula!D91,10)&lt;&gt;"",INDEX(Properties!A$1:CB$87,Formula!D91,10)),IF(INDEX(Properties!A$1:CB$87,Formula!F91,10)&lt;&gt;"",INDEX(Properties!A$1:CB$87,Formula!F91,10)),IF(INDEX(Properties!A$1:CB$87,Formula!H91,10)&lt;&gt;"",INDEX(Properties!A$1:CB$87,Formula!H91,10)),IF(INDEX(Properties!A$1:CB$87,Formula!J91,10)&lt;&gt;"",INDEX(Properties!A$1:CB$87,Formula!J91,10)))</f>
        <v>7.6</v>
      </c>
      <c r="AI91" s="51">
        <f>MAX(INDEX(Properties!A$1:CB$87,Formula!B91,10),INDEX(Properties!A$1:CB$87,Formula!D91,10),INDEX(Properties!A$1:CB$87,Formula!F91,10),INDEX(Properties!A$1:CB$87,Formula!H91,10),INDEX(Properties!A$1:CB$87,Formula!J91,10))</f>
        <v>7</v>
      </c>
      <c r="AJ91" s="51">
        <f>MIN(IF(INDEX(Properties!A$1:CB$87,Formula!B91,10)=0,10^6,INDEX(Properties!A$1:CB$87,Formula!B91,10)),IF(INDEX(Properties!A$1:CB$87,Formula!D91,10)=0,10^6,INDEX(Properties!A$1:CB$87,Formula!D91,10)),IF(INDEX(Properties!A$1:CB$87,Formula!F91,10)=0,10^6,INDEX(Properties!A$1:CB$87,Formula!F91,10)),IF(INDEX(Properties!A$1:CB$87,Formula!H91,10)=0,10^6,INDEX(Properties!A$1:CB$87,Formula!H91,10)),IF(INDEX(Properties!A$1:CB$87,Formula!J91,10)=0,10^6,INDEX(Properties!A$1:CB$87,Formula!J91,10)))</f>
        <v>3</v>
      </c>
      <c r="AK91" s="51">
        <f t="shared" si="37"/>
        <v>4</v>
      </c>
      <c r="AL91" s="57">
        <f>((Formula!C91)/(Formula!C91+Formula!E91+Formula!G91+Formula!I91+Formula!K91))*(INDEX(Properties!A$1:CB$87,Formula!B91,11))+((Formula!E91)/(Formula!C91+Formula!E91+Formula!G91+Formula!I91+Formula!K91))*(INDEX(Properties!A$1:CB$87,Formula!D91,11))+((Formula!G91)/(Formula!C91+Formula!E91+Formula!G91+Formula!I91+Formula!K91))*(INDEX(Properties!A$1:CB$87,Formula!F91,11))+((Formula!I91)/(Formula!C91+Formula!E91+Formula!G91+Formula!I91+Formula!K91))*(INDEX(Properties!A$1:CB$87,Formula!H91,11))+((Formula!K91)/(Formula!C91+Formula!E91+Formula!G91+Formula!I91+Formula!K91))*(INDEX(Properties!A$1:CB$87,Formula!J91,11))</f>
        <v>2</v>
      </c>
      <c r="AM91" s="57">
        <f>Formula!C91*(INDEX(Properties!A$1:CB$87,Formula!B91,11))+Formula!E91*(INDEX(Properties!A$1:CB$87,Formula!D91,11))+Formula!G91*(INDEX(Properties!A$1:CB$87,Formula!F91,11))+Formula!I91*(INDEX(Properties!A$1:CB$87,Formula!H91,11))+Formula!K91*(INDEX(Properties!A$1:CB$87,Formula!J91,11))</f>
        <v>10</v>
      </c>
      <c r="AN91" s="57">
        <f>VARP(IF(INDEX(Properties!A$1:CB$87,Formula!B91,11)&lt;&gt;"",INDEX(Properties!A$1:CB$87,Formula!B91,11)),IF(INDEX(Properties!A$1:CB$87,Formula!D91,11)&lt;&gt;"",INDEX(Properties!A$1:CB$87,Formula!D91,11)),IF(INDEX(Properties!A$1:CB$87,Formula!F91,11)&lt;&gt;"",INDEX(Properties!A$1:CB$87,Formula!F91,11)),IF(INDEX(Properties!A$1:CB$87,Formula!H91,11)&lt;&gt;"",INDEX(Properties!A$1:CB$87,Formula!H91,11)),IF(INDEX(Properties!A$1:CB$87,Formula!J91,11)&lt;&gt;"",INDEX(Properties!A$1:CB$87,Formula!J91,11)))</f>
        <v>0.96</v>
      </c>
      <c r="AO91" s="57">
        <f>MAX(INDEX(Properties!A$1:CB$87,Formula!B91,11),INDEX(Properties!A$1:CB$87,Formula!D91,11),INDEX(Properties!A$1:CB$87,Formula!F91,11),INDEX(Properties!A$1:CB$87,Formula!H91,11),INDEX(Properties!A$1:CB$87,Formula!J91,11))</f>
        <v>2</v>
      </c>
      <c r="AP91" s="57">
        <f>MIN(IF(Formula!B91=87,10^6,INDEX(Properties!A$1:CB$87,Formula!B91,11)),IF((Formula!D91)=87,10^6,INDEX(Properties!A$1:CB$87,Formula!D91,11)),IF((Formula!F91)=87,10^6,INDEX(Properties!A$1:CB$87,Formula!F91,11)),IF((Formula!H91)=87,10^6,INDEX(Properties!A$1:CB$87,Formula!H91,11)),IF(Formula!J91=87,10^6,INDEX(Properties!A$1:CB$87,Formula!J91,11)))</f>
        <v>2</v>
      </c>
      <c r="AQ91" s="57">
        <f t="shared" si="38"/>
        <v>0</v>
      </c>
      <c r="AR91" s="78">
        <f>((Formula!C91)/(Formula!C91+Formula!E91+Formula!G91+Formula!I91+Formula!K91))*(INDEX(Properties!A$1:CB$87,Formula!B91,12))+((Formula!E91)/(Formula!C91+Formula!E91+Formula!G91+Formula!I91+Formula!K91))*(INDEX(Properties!A$1:CB$87,Formula!D91,12))+((Formula!G91)/(Formula!C91+Formula!E91+Formula!G91+Formula!I91+Formula!K91))*(INDEX(Properties!A$1:CB$87,Formula!F91,12))+((Formula!I91)/(Formula!C91+Formula!E91+Formula!G91+Formula!I91+Formula!K91))*(INDEX(Properties!A$1:CB$87,Formula!H91,12))+((Formula!K91)/(Formula!C91+Formula!E91+Formula!G91+Formula!I91+Formula!K91))*(INDEX(Properties!A$1:CB$87,Formula!J91,12))</f>
        <v>2.4</v>
      </c>
      <c r="AS91" s="78">
        <f>Formula!C91*(INDEX(Properties!A$1:CB$87,Formula!B91,12))+Formula!E91*(INDEX(Properties!A$1:CB$87,Formula!D91,12))+Formula!G91*(INDEX(Properties!A$1:CB$87,Formula!F91,12))+Formula!I91*(INDEX(Properties!A$1:CB$87,Formula!H91,12))+Formula!K91*(INDEX(Properties!A$1:CB$87,Formula!J91,12))</f>
        <v>12</v>
      </c>
      <c r="AT91" s="78">
        <f>VARP(IF(INDEX(Properties!A$1:CB$87,Formula!B91,12)&lt;&gt;"",INDEX(Properties!A$1:CB$87,Formula!B91,12)),IF(INDEX(Properties!A$1:CB$87,Formula!D91,12)&lt;&gt;"",INDEX(Properties!A$1:CB$87,Formula!D91,12)),IF(INDEX(Properties!A$1:CB$87,Formula!F91,12)&lt;&gt;"",INDEX(Properties!A$1:CB$87,Formula!F91,12)),IF(INDEX(Properties!A$1:CB$87,Formula!H91,12)&lt;&gt;"",INDEX(Properties!A$1:CB$87,Formula!H91,12)),IF(INDEX(Properties!A$1:CB$87,Formula!J91,12)&lt;&gt;"",INDEX(Properties!A$1:CB$87,Formula!J91,12)))</f>
        <v>2.56</v>
      </c>
      <c r="AU91" s="78">
        <f>MAX(INDEX(Properties!A$1:CB$87,Formula!B91,12),INDEX(Properties!A$1:CB$87,Formula!D91,12),INDEX(Properties!A$1:CB$87,Formula!F91,12),INDEX(Properties!A$1:CB$87,Formula!H91,12),INDEX(Properties!A$1:CB$87,Formula!J91,12))</f>
        <v>4</v>
      </c>
      <c r="AV91" s="78">
        <f>MIN(IF(Formula!B91=87,10^6,INDEX(Properties!A$1:CB$87,Formula!B91,12)),IF((Formula!D91)=87,10^6,INDEX(Properties!A$1:CB$87,Formula!D91,12)),IF((Formula!F91)=87,10^6,INDEX(Properties!A$1:CB$87,Formula!F91,12)),IF((Formula!H91)=87,10^6,INDEX(Properties!A$1:CB$87,Formula!H91,12)),IF(Formula!J91=87,10^6,INDEX(Properties!A$1:CB$87,Formula!J91,12)))</f>
        <v>0</v>
      </c>
      <c r="AW91" s="78">
        <f t="shared" si="39"/>
        <v>4</v>
      </c>
      <c r="AX91" s="45">
        <f>((Formula!C91)/(Formula!C91+Formula!E91+Formula!G91+Formula!I91+Formula!K91))*(INDEX(Properties!A$1:CB$87,Formula!B91,13))+((Formula!E91)/(Formula!C91+Formula!E91+Formula!G91+Formula!I91+Formula!K91))*(INDEX(Properties!A$1:CB$87,Formula!D91,13))+((Formula!G91)/(Formula!C91+Formula!E91+Formula!G91+Formula!I91+Formula!K91))*(INDEX(Properties!A$1:CB$87,Formula!F91,13))+((Formula!I91)/(Formula!C91+Formula!E91+Formula!G91+Formula!I91+Formula!K91))*(INDEX(Properties!A$1:CB$87,Formula!H91,13))+((Formula!K91)/(Formula!C91+Formula!E91+Formula!G91+Formula!I91+Formula!K91))*(INDEX(Properties!A$1:CB$87,Formula!J91,13))</f>
        <v>0.4</v>
      </c>
      <c r="AY91" s="45">
        <f>Formula!C91*(INDEX(Properties!A$1:CB$87,Formula!B91,13))+Formula!E91*(INDEX(Properties!A$1:CB$87,Formula!D91,13))+Formula!G91*(INDEX(Properties!A$1:CB$87,Formula!F91,13))+Formula!I91*(INDEX(Properties!A$1:CB$87,Formula!H91,13))+Formula!K91*(INDEX(Properties!A$1:CB$87,Formula!J91,13))</f>
        <v>2</v>
      </c>
      <c r="AZ91" s="45">
        <f>VARP(IF(INDEX(Properties!A$1:CB$87,Formula!B91,13)&lt;&gt;"",INDEX(Properties!A$1:CB$87,Formula!B91,13)),IF(INDEX(Properties!A$1:CB$87,Formula!D91,13)&lt;&gt;"",INDEX(Properties!A$1:CB$87,Formula!D91,13)),IF(INDEX(Properties!A$1:CB$87,Formula!F91,13)&lt;&gt;"",INDEX(Properties!A$1:CB$87,Formula!F91,13)),IF(INDEX(Properties!A$1:CB$87,Formula!H91,13)&lt;&gt;"",INDEX(Properties!A$1:CB$87,Formula!H91,13)),IF(INDEX(Properties!A$1:CB$87,Formula!J91,13)&lt;&gt;"",INDEX(Properties!A$1:CB$87,Formula!J91,13)))</f>
        <v>0.16</v>
      </c>
      <c r="BA91" s="45">
        <f>MAX(INDEX(Properties!A$1:CB$87,Formula!B91,13),INDEX(Properties!A$1:CB$87,Formula!D91,13),INDEX(Properties!A$1:CB$87,Formula!F91,13),INDEX(Properties!A$1:CB$87,Formula!H91,13),INDEX(Properties!A$1:CB$87,Formula!J91,13))</f>
        <v>1</v>
      </c>
      <c r="BB91" s="45">
        <f>MIN(IF(Formula!B91=87,10^6,INDEX(Properties!A$1:CB$87,Formula!B91,13)),IF((Formula!D91)=87,10^6,INDEX(Properties!A$1:CB$87,Formula!D91,13)),IF((Formula!F91)=87,10^6,INDEX(Properties!A$1:CB$87,Formula!F91,13)),IF((Formula!H91)=87,10^6,INDEX(Properties!A$1:CB$87,Formula!H91,13)),IF(Formula!J91=87,10^6,INDEX(Properties!A$1:CB$87,Formula!J91,13)))</f>
        <v>0</v>
      </c>
      <c r="BC91" s="45">
        <f t="shared" si="40"/>
        <v>1</v>
      </c>
      <c r="BD91" s="63">
        <f>((Formula!C91)/(Formula!C91+Formula!E91+Formula!G91+Formula!I91+Formula!K91))*(INDEX(Properties!A$1:CB$87,Formula!B91,14))+((Formula!E91)/(Formula!C91+Formula!E91+Formula!G91+Formula!I91+Formula!K91))*(INDEX(Properties!A$1:CB$87,Formula!D91,14))+((Formula!G91)/(Formula!C91+Formula!E91+Formula!G91+Formula!I91+Formula!K91))*(INDEX(Properties!A$1:CB$87,Formula!F91,14))+((Formula!I91)/(Formula!C91+Formula!E91+Formula!G91+Formula!I91+Formula!K91))*(INDEX(Properties!A$1:CB$87,Formula!H91,14))+((Formula!K91)/(Formula!C91+Formula!E91+Formula!G91+Formula!I91+Formula!K91))*(INDEX(Properties!A$1:CB$87,Formula!J91,14))</f>
        <v>2.8000000000000003</v>
      </c>
      <c r="BE91" s="63">
        <f>Formula!C91*(INDEX(Properties!A$1:CB$87,Formula!B91,14))+Formula!E91*(INDEX(Properties!A$1:CB$87,Formula!D91,14))+Formula!G91*(INDEX(Properties!A$1:CB$87,Formula!F91,14))+Formula!I91*(INDEX(Properties!A$1:CB$87,Formula!H91,14))+Formula!K91*(INDEX(Properties!A$1:CB$87,Formula!J91,14))</f>
        <v>14</v>
      </c>
      <c r="BF91" s="63">
        <f>VARP(IF(INDEX(Properties!A$1:CB$87,Formula!B91,14)&lt;&gt;"",INDEX(Properties!A$1:CB$87,Formula!B91,14)),IF(INDEX(Properties!A$1:CB$87,Formula!D91,14)&lt;&gt;"",INDEX(Properties!A$1:CB$87,Formula!D91,14)),IF(INDEX(Properties!A$1:CB$87,Formula!F91,14)&lt;&gt;"",INDEX(Properties!A$1:CB$87,Formula!F91,14)),IF(INDEX(Properties!A$1:CB$87,Formula!H91,14)&lt;&gt;"",INDEX(Properties!A$1:CB$87,Formula!H91,14)),IF(INDEX(Properties!A$1:CB$87,Formula!J91,14)&lt;&gt;"",INDEX(Properties!A$1:CB$87,Formula!J91,14)))</f>
        <v>7.84</v>
      </c>
      <c r="BG91" s="63">
        <f>MAX(INDEX(Properties!A$1:CB$87,Formula!B91,14),INDEX(Properties!A$1:CB$87,Formula!D91,14),INDEX(Properties!A$1:CB$87,Formula!F91,14),INDEX(Properties!A$1:CB$87,Formula!H91,14),INDEX(Properties!A$1:CB$87,Formula!J91,14))</f>
        <v>7</v>
      </c>
      <c r="BH91" s="63">
        <f>MIN(IF(Formula!B91=87,10^6,INDEX(Properties!A$1:CB$87,Formula!B91,14)),IF((Formula!D91)=87,10^6,INDEX(Properties!A$1:CB$87,Formula!D91,14)),IF((Formula!F91)=87,10^6,INDEX(Properties!A$1:CB$87,Formula!F91,14)),IF((Formula!H91)=87,10^6,INDEX(Properties!A$1:CB$87,Formula!H91,14)),IF(Formula!J91=87,10^6,INDEX(Properties!A$1:CB$87,Formula!J91,14)))</f>
        <v>0</v>
      </c>
      <c r="BI91" s="63">
        <f t="shared" si="41"/>
        <v>7</v>
      </c>
      <c r="BJ91" s="75">
        <f>((Formula!C91)/(Formula!C91+Formula!E91+Formula!G91+Formula!I91+Formula!K91))*(INDEX(Properties!A$1:CB$87,Formula!B91,19))+((Formula!E91)/(Formula!C91+Formula!E91+Formula!G91+Formula!I91+Formula!K91))*(INDEX(Properties!A$1:CB$87,Formula!D91,19))+((Formula!G91)/(Formula!C91+Formula!E91+Formula!G91+Formula!I91+Formula!K91))*(INDEX(Properties!A$1:CB$87,Formula!F91,19))+((Formula!I91)/(Formula!C91+Formula!E91+Formula!G91+Formula!I91+Formula!K91))*(INDEX(Properties!A$1:CB$87,Formula!H91,19))+((Formula!K91)/(Formula!C91+Formula!E91+Formula!G91+Formula!I91+Formula!K91))*(INDEX(Properties!A$1:CB$87,Formula!J91,19))</f>
        <v>7.6</v>
      </c>
      <c r="BK91" s="75">
        <f>Formula!C91*(INDEX(Properties!A$1:CB$87,Formula!B91,19))+Formula!E91*(INDEX(Properties!A$1:CB$87,Formula!D91,19))+Formula!G91*(INDEX(Properties!A$1:CB$87,Formula!F91,19))+Formula!I91*(INDEX(Properties!A$1:CB$87,Formula!H91,19))+Formula!K91*(INDEX(Properties!A$1:CB$87,Formula!J91,19))</f>
        <v>38</v>
      </c>
      <c r="BL91" s="75">
        <f>VARP(IF(INDEX(Properties!A$1:CB$87,Formula!B91,19)&lt;&gt;"",INDEX(Properties!A$1:CB$87,Formula!B91,19)),IF(INDEX(Properties!A$1:CB$87,Formula!D91,19)&lt;&gt;"",INDEX(Properties!A$1:CB$87,Formula!D91,19)),IF(INDEX(Properties!A$1:CB$87,Formula!F91,19)&lt;&gt;"",INDEX(Properties!A$1:CB$87,Formula!F91,19)),IF(INDEX(Properties!A$1:CB$87,Formula!H91,19)&lt;&gt;"",INDEX(Properties!A$1:CB$87,Formula!H91,19)),IF(INDEX(Properties!A$1:CB$87,Formula!J91,19)&lt;&gt;"",INDEX(Properties!A$1:CB$87,Formula!J91,19)))</f>
        <v>16.96</v>
      </c>
      <c r="BM91" s="75">
        <f>MAX(INDEX(Properties!A$1:CB$87,Formula!B91,19),INDEX(Properties!A$1:CB$87,Formula!D91,19),INDEX(Properties!A$1:CB$87,Formula!F91,19),INDEX(Properties!A$1:CB$87,Formula!H91,19),INDEX(Properties!A$1:CB$87,Formula!J91,19))</f>
        <v>10</v>
      </c>
      <c r="BN91" s="75">
        <f>MIN(IF(INDEX(Properties!A$1:CB$87,Formula!B91,19)=0,10^6,INDEX(Properties!A$1:CB$87,Formula!B91,19)),IF(INDEX(Properties!A$1:CB$87,Formula!D91,19)=0,10^6,INDEX(Properties!A$1:CB$87,Formula!D91,19)),IF(INDEX(Properties!A$1:CB$87,Formula!F91,19)=0,10^6,INDEX(Properties!A$1:CB$87,Formula!F91,19)),IF(INDEX(Properties!A$1:CB$87,Formula!H91,19)=0,10^6,INDEX(Properties!A$1:CB$87,Formula!H91,19)),IF(INDEX(Properties!A$1:CB$87,Formula!J91,19)=0,10^6,INDEX(Properties!A$1:CB$87,Formula!J91,19)))</f>
        <v>6</v>
      </c>
      <c r="BO91" s="75">
        <f t="shared" si="42"/>
        <v>4</v>
      </c>
      <c r="BP91" s="48">
        <f>((Formula!C91)/(Formula!C91+Formula!E91+Formula!G91+Formula!I91+Formula!K91))*(INDEX(Properties!A$1:CB$87,Formula!B91,20))+((Formula!E91)/(Formula!C91+Formula!E91+Formula!G91+Formula!I91+Formula!K91))*(INDEX(Properties!A$1:CB$87,Formula!D91,20))+((Formula!G91)/(Formula!C91+Formula!E91+Formula!G91+Formula!I91+Formula!K91))*(INDEX(Properties!A$1:CB$87,Formula!F91,20))+((Formula!I91)/(Formula!C91+Formula!E91+Formula!G91+Formula!I91+Formula!K91))*(INDEX(Properties!A$1:CB$87,Formula!H91,20))+((Formula!K91)/(Formula!C91+Formula!E91+Formula!G91+Formula!I91+Formula!K91))*(INDEX(Properties!A$1:CB$87,Formula!J91,20))</f>
        <v>4.3999999999999995</v>
      </c>
      <c r="BQ91" s="48">
        <f>Formula!C91*(INDEX(Properties!A$1:CB$87,Formula!B91,20))+Formula!E91*(INDEX(Properties!A$1:CB$87,Formula!D91,20))+Formula!G91*(INDEX(Properties!A$1:CB$87,Formula!F91,20))+Formula!I91*(INDEX(Properties!A$1:CB$87,Formula!H91,20))+Formula!K91*(INDEX(Properties!A$1:CB$87,Formula!J91,20))</f>
        <v>22</v>
      </c>
      <c r="BR91" s="48">
        <f>VARP(IF(INDEX(Properties!A$1:CB$87,Formula!B91,20)&lt;&gt;"",INDEX(Properties!A$1:CB$87,Formula!B91,20)),IF(INDEX(Properties!A$1:CB$87,Formula!D91,20)&lt;&gt;"",INDEX(Properties!A$1:CB$87,Formula!D91,20)),IF(INDEX(Properties!A$1:CB$87,Formula!F91,20)&lt;&gt;"",INDEX(Properties!A$1:CB$87,Formula!F91,20)),IF(INDEX(Properties!A$1:CB$87,Formula!H91,20)&lt;&gt;"",INDEX(Properties!A$1:CB$87,Formula!H91,20)),IF(INDEX(Properties!A$1:CB$87,Formula!J91,20)&lt;&gt;"",INDEX(Properties!A$1:CB$87,Formula!J91,20)))</f>
        <v>5.44</v>
      </c>
      <c r="BS91" s="48">
        <f>MAX(INDEX(Properties!A$1:CB$87,Formula!B91,20),INDEX(Properties!A$1:CB$87,Formula!D91,20),INDEX(Properties!A$1:CB$87,Formula!F91,20),INDEX(Properties!A$1:CB$87,Formula!H91,20),INDEX(Properties!A$1:CB$87,Formula!J91,20))</f>
        <v>6</v>
      </c>
      <c r="BT91" s="48">
        <f>MIN(IF(INDEX(Properties!A$1:CB$87,Formula!B91,20)=0,10^6,INDEX(Properties!A$1:CB$87,Formula!B91,20)),IF(INDEX(Properties!A$1:CB$87,Formula!D91,20)=0,10^6,INDEX(Properties!A$1:CB$87,Formula!D91,20)),IF(INDEX(Properties!A$1:CB$87,Formula!F91,20)=0,10^6,INDEX(Properties!A$1:CB$87,Formula!F91,20)),IF(INDEX(Properties!A$1:CB$87,Formula!H91,20)=0,10^6,INDEX(Properties!A$1:CB$87,Formula!H91,20)),IF(INDEX(Properties!A$1:CB$87,Formula!J91,20)=0,10^6,INDEX(Properties!A$1:CB$87,Formula!J91,20)))</f>
        <v>2</v>
      </c>
      <c r="BU91" s="48">
        <f t="shared" si="43"/>
        <v>4</v>
      </c>
      <c r="BV91" s="66">
        <f>((Formula!C91)/(Formula!C91+Formula!E91+Formula!G91+Formula!I91+Formula!K91))*(INDEX(Properties!A$1:CB$87,Formula!B91,21))+((Formula!E91)/(Formula!C91+Formula!E91+Formula!G91+Formula!I91+Formula!K91))*(INDEX(Properties!A$1:CB$87,Formula!D91,21))+((Formula!G91)/(Formula!C91+Formula!E91+Formula!G91+Formula!I91+Formula!K91))*(INDEX(Properties!A$1:CB$87,Formula!F91,21))+((Formula!I91)/(Formula!C91+Formula!E91+Formula!G91+Formula!I91+Formula!K91))*(INDEX(Properties!A$1:CB$87,Formula!H91,21))+((Formula!K91)/(Formula!C91+Formula!E91+Formula!G91+Formula!I91+Formula!K91))*(INDEX(Properties!A$1:CB$87,Formula!J91,21))</f>
        <v>4.8</v>
      </c>
      <c r="BW91" s="66">
        <f>Formula!C91*(INDEX(Properties!A$1:CB$87,Formula!B91,21))+Formula!E91*(INDEX(Properties!A$1:CB$87,Formula!D91,21))+Formula!G91*(INDEX(Properties!A$1:CB$87,Formula!F91,21))+Formula!I91*(INDEX(Properties!A$1:CB$87,Formula!H91,21))+Formula!K91*(INDEX(Properties!A$1:CB$87,Formula!J91,21))</f>
        <v>24</v>
      </c>
      <c r="BX91" s="66">
        <f>VARP(IF(INDEX(Properties!A$1:CB$87,Formula!B91,21)&lt;&gt;"",INDEX(Properties!A$1:CB$87,Formula!B91,21)),IF(INDEX(Properties!A$1:CB$87,Formula!D91,21)&lt;&gt;"",INDEX(Properties!A$1:CB$87,Formula!D91,21)),IF(INDEX(Properties!A$1:CB$87,Formula!F91,21)&lt;&gt;"",INDEX(Properties!A$1:CB$87,Formula!F91,21)),IF(INDEX(Properties!A$1:CB$87,Formula!H91,21)&lt;&gt;"",INDEX(Properties!A$1:CB$87,Formula!H91,21)),IF(INDEX(Properties!A$1:CB$87,Formula!J91,21)&lt;&gt;"",INDEX(Properties!A$1:CB$87,Formula!J91,21)))</f>
        <v>5.76</v>
      </c>
      <c r="BY91" s="66">
        <f>MAX(INDEX(Properties!A$1:CB$87,Formula!B91,21),INDEX(Properties!A$1:CB$87,Formula!D91,21),INDEX(Properties!A$1:CB$87,Formula!F91,21),INDEX(Properties!A$1:CB$87,Formula!H91,21),INDEX(Properties!A$1:CB$87,Formula!J91,21))</f>
        <v>6</v>
      </c>
      <c r="BZ91" s="66">
        <f>MIN(IF(INDEX(Properties!A$1:CB$87,Formula!B91,21)=0,10^6,INDEX(Properties!A$1:CB$87,Formula!B91,21)),IF(INDEX(Properties!A$1:CB$87,Formula!D91,21)=0,10^6,INDEX(Properties!A$1:CB$87,Formula!D91,21)),IF(INDEX(Properties!A$1:CB$87,Formula!F91,21)=0,10^6,INDEX(Properties!A$1:CB$87,Formula!F91,21)),IF(INDEX(Properties!A$1:CB$87,Formula!H91,21)=0,10^6,INDEX(Properties!A$1:CB$87,Formula!H91,21)),IF(INDEX(Properties!A$1:CB$87,Formula!J91,21)=0,10^6,INDEX(Properties!A$1:CB$87,Formula!J91,21)))</f>
        <v>3</v>
      </c>
      <c r="CA91" s="66">
        <f t="shared" si="44"/>
        <v>3</v>
      </c>
      <c r="CB91" s="81">
        <f>((Formula!C91)/(Formula!C91+Formula!E91+Formula!G91+Formula!I91+Formula!K91))*(INDEX(Properties!A$1:CB$87,Formula!B91,23))+((Formula!E91)/(Formula!C91+Formula!E91+Formula!G91+Formula!I91+Formula!K91))*(INDEX(Properties!A$1:CB$87,Formula!D91,23))+((Formula!G91)/(Formula!C91+Formula!E91+Formula!G91+Formula!I91+Formula!K91))*(INDEX(Properties!A$1:CB$87,Formula!F91,23))+((Formula!I91)/(Formula!C91+Formula!E91+Formula!G91+Formula!I91+Formula!K91))*(INDEX(Properties!A$1:CB$87,Formula!H91,23))+((Formula!K91)/(Formula!C91+Formula!E91+Formula!G91+Formula!I91+Formula!K91))*(INDEX(Properties!A$1:CB$87,Formula!J91,23))</f>
        <v>1.2000000000000002</v>
      </c>
      <c r="CC91" s="81">
        <f>Formula!C91*(INDEX(Properties!A$1:CB$87,Formula!B91,23))+Formula!E91*(INDEX(Properties!A$1:CB$87,Formula!D91,23))+Formula!G91*(INDEX(Properties!A$1:CB$87,Formula!F91,23))+Formula!I91*(INDEX(Properties!A$1:CB$87,Formula!H91,23))+Formula!K91*(INDEX(Properties!A$1:CB$87,Formula!J91,23))</f>
        <v>6</v>
      </c>
      <c r="CD91" s="81">
        <f>VARP(IF(INDEX(Properties!A$1:CB$87,Formula!B91,23)&lt;&gt;"",INDEX(Properties!A$1:CB$87,Formula!B91,23)),IF(INDEX(Properties!A$1:CB$87,Formula!D91,23)&lt;&gt;"",INDEX(Properties!A$1:CB$87,Formula!D91,23)),IF(INDEX(Properties!A$1:CB$87,Formula!F91,23)&lt;&gt;"",INDEX(Properties!A$1:CB$87,Formula!F91,23)),IF(INDEX(Properties!A$1:CB$87,Formula!H91,23)&lt;&gt;"",INDEX(Properties!A$1:CB$87,Formula!H91,23)),IF(INDEX(Properties!A$1:CB$87,Formula!J91,23)&lt;&gt;"",INDEX(Properties!A$1:CB$87,Formula!J91,23)))</f>
        <v>1.44</v>
      </c>
      <c r="CE91" s="81">
        <f>MAX(INDEX(Properties!A$1:CB$87,Formula!B91,23),INDEX(Properties!A$1:CB$87,Formula!D91,23),INDEX(Properties!A$1:CB$87,Formula!F91,23),INDEX(Properties!A$1:CB$87,Formula!H91,23),INDEX(Properties!A$1:CB$87,Formula!J91,23))</f>
        <v>3</v>
      </c>
      <c r="CF91" s="81">
        <f>MIN(IF(Formula!B91=87,10^6,INDEX(Properties!A$1:CB$87,Formula!B91,23)),IF((Formula!D91)=87,10^6,INDEX(Properties!A$1:CB$87,Formula!D91,23)),IF((Formula!F91)=87,10^6,INDEX(Properties!A$1:CB$87,Formula!F91,23)),IF((Formula!H91)=87,10^6,INDEX(Properties!A$1:CB$87,Formula!H91,23)),IF(Formula!J91=87,10^6,INDEX(Properties!A$1:CB$87,Formula!J91,23)))</f>
        <v>0</v>
      </c>
      <c r="CG91" s="81">
        <f t="shared" si="45"/>
        <v>3</v>
      </c>
      <c r="CH91" s="39">
        <f>((Formula!C91)/(Formula!C91+Formula!E91+Formula!G91+Formula!I91+Formula!K91))*(INDEX(Properties!A$1:CB$87,Formula!B91,26))+((Formula!E91)/(Formula!C91+Formula!E91+Formula!G91+Formula!I91+Formula!K91))*(INDEX(Properties!A$1:CB$87,Formula!D91,26))+((Formula!G91)/(Formula!C91+Formula!E91+Formula!G91+Formula!I91+Formula!K91))*(INDEX(Properties!A$1:CB$87,Formula!F91,26))+((Formula!I91)/(Formula!C91+Formula!E91+Formula!G91+Formula!I91+Formula!K91))*(INDEX(Properties!A$1:CB$87,Formula!H91,26))+((Formula!K91)/(Formula!C91+Formula!E91+Formula!G91+Formula!I91+Formula!K91))*(INDEX(Properties!A$1:CB$87,Formula!J91,26))</f>
        <v>10.63078</v>
      </c>
      <c r="CI91" s="39">
        <f>Formula!C91*(INDEX(Properties!A$1:CB$87,Formula!B91,26))+Formula!E91*(INDEX(Properties!A$1:CB$87,Formula!D91,26))+Formula!G91*(INDEX(Properties!A$1:CB$87,Formula!F91,26))+Formula!I91*(INDEX(Properties!A$1:CB$87,Formula!H91,26))+Formula!K91*(INDEX(Properties!A$1:CB$87,Formula!J91,26))</f>
        <v>53.1539</v>
      </c>
      <c r="CJ91" s="39">
        <f>VARP(IF(INDEX(Properties!A$1:CB$87,Formula!B91,26)&lt;&gt;"",INDEX(Properties!A$1:CB$87,Formula!B91,26)),IF(INDEX(Properties!A$1:CB$87,Formula!D91,26)&lt;&gt;"",INDEX(Properties!A$1:CB$87,Formula!D91,26)),IF(INDEX(Properties!A$1:CB$87,Formula!F91,26)&lt;&gt;"",INDEX(Properties!A$1:CB$87,Formula!F91,26)),IF(INDEX(Properties!A$1:CB$87,Formula!H91,26)&lt;&gt;"",INDEX(Properties!A$1:CB$87,Formula!H91,26)),IF(INDEX(Properties!A$1:CB$87,Formula!J91,26)&lt;&gt;"",INDEX(Properties!A$1:CB$87,Formula!J91,26)))</f>
        <v>29.023742713600004</v>
      </c>
      <c r="CK91" s="39">
        <f>MAX(INDEX(Properties!A$1:CB$87,Formula!B91,26),INDEX(Properties!A$1:CB$87,Formula!D91,26),INDEX(Properties!A$1:CB$87,Formula!F91,26),INDEX(Properties!A$1:CB$87,Formula!H91,26),INDEX(Properties!A$1:CB$87,Formula!J91,26))</f>
        <v>13.6181</v>
      </c>
      <c r="CL91" s="39">
        <f>MIN(IF(INDEX(Properties!A$1:CB$87,Formula!B91,26)=0,10^6,INDEX(Properties!A$1:CB$87,Formula!B91,26)),IF(INDEX(Properties!A$1:CB$87,Formula!D91,26)=0,10^6,INDEX(Properties!A$1:CB$87,Formula!D91,26)),IF(INDEX(Properties!A$1:CB$87,Formula!F91,26)=0,10^6,INDEX(Properties!A$1:CB$87,Formula!F91,26)),IF(INDEX(Properties!A$1:CB$87,Formula!H91,26)=0,10^6,INDEX(Properties!A$1:CB$87,Formula!H91,26)),IF(INDEX(Properties!A$1:CB$87,Formula!J91,26)=0,10^6,INDEX(Properties!A$1:CB$87,Formula!J91,26)))</f>
        <v>6.1497999999999999</v>
      </c>
      <c r="CM91" s="39">
        <f t="shared" si="46"/>
        <v>7.4683000000000002</v>
      </c>
      <c r="CN91" s="54">
        <f>((Formula!C91)/(Formula!C91+Formula!E91+Formula!G91+Formula!I91+Formula!K91))*(INDEX(Properties!A$1:CB$87,Formula!B91,30))+((Formula!E91)/(Formula!C91+Formula!E91+Formula!G91+Formula!I91+Formula!K91))*(INDEX(Properties!A$1:CB$87,Formula!D91,30))+((Formula!G91)/(Formula!C91+Formula!E91+Formula!G91+Formula!I91+Formula!K91))*(INDEX(Properties!A$1:CB$87,Formula!F91,30))+((Formula!I91)/(Formula!C91+Formula!E91+Formula!G91+Formula!I91+Formula!K91))*(INDEX(Properties!A$1:CB$87,Formula!H91,30))+((Formula!K91)/(Formula!C91+Formula!E91+Formula!G91+Formula!I91+Formula!K91))*(INDEX(Properties!A$1:CB$87,Formula!J91,30))</f>
        <v>2.544</v>
      </c>
      <c r="CO91" s="54">
        <f>Formula!C91*(INDEX(Properties!A$1:CB$87,Formula!B91,30))+Formula!E91*(INDEX(Properties!A$1:CB$87,Formula!D91,30))+Formula!G91*(INDEX(Properties!A$1:CB$87,Formula!F91,30))+Formula!I91*(INDEX(Properties!A$1:CB$87,Formula!H91,30))+Formula!K91*(INDEX(Properties!A$1:CB$87,Formula!J91,30))</f>
        <v>12.72</v>
      </c>
      <c r="CP91" s="54">
        <f>VARP(IF(INDEX(Properties!A$1:CB$87,Formula!B91,30)&lt;&gt;"",INDEX(Properties!A$1:CB$87,Formula!B91,30)),IF(INDEX(Properties!A$1:CB$87,Formula!D91,30)&lt;&gt;"",INDEX(Properties!A$1:CB$87,Formula!D91,30)),IF(INDEX(Properties!A$1:CB$87,Formula!F91,30)&lt;&gt;"",INDEX(Properties!A$1:CB$87,Formula!F91,30)),IF(INDEX(Properties!A$1:CB$87,Formula!H91,30)&lt;&gt;"",INDEX(Properties!A$1:CB$87,Formula!H91,30)),IF(INDEX(Properties!A$1:CB$87,Formula!J91,30)&lt;&gt;"",INDEX(Properties!A$1:CB$87,Formula!J91,30)))</f>
        <v>1.7935359999999998</v>
      </c>
      <c r="CQ91" s="54">
        <f>MAX(INDEX(Properties!A$1:CB$87,Formula!B91,30),INDEX(Properties!A$1:CB$87,Formula!D91,30),INDEX(Properties!A$1:CB$87,Formula!F91,30),INDEX(Properties!A$1:CB$87,Formula!H91,30),INDEX(Properties!A$1:CB$87,Formula!J91,30))</f>
        <v>3.44</v>
      </c>
      <c r="CR91" s="54">
        <f>MIN(IF(INDEX(Properties!A$1:CB$87,Formula!B91,30)=0,10^6,INDEX(Properties!A$1:CB$87,Formula!B91,30)),IF(INDEX(Properties!A$1:CB$87,Formula!D91,30)=0,10^6,INDEX(Properties!A$1:CB$87,Formula!D91,30)),IF(INDEX(Properties!A$1:CB$87,Formula!F91,30)=0,10^6,INDEX(Properties!A$1:CB$87,Formula!F91,30)),IF(INDEX(Properties!A$1:CB$87,Formula!H91,30)=0,10^6,INDEX(Properties!A$1:CB$87,Formula!H91,30)),IF(INDEX(Properties!A$1:CB$87,Formula!J91,30)=0,10^6,INDEX(Properties!A$1:CB$87,Formula!J91,30)))</f>
        <v>1.2</v>
      </c>
      <c r="CS91" s="54">
        <f t="shared" si="47"/>
        <v>2.2400000000000002</v>
      </c>
      <c r="CT91" s="69">
        <f>((Formula!C91)/(Formula!C91+Formula!E91+Formula!G91+Formula!I91+Formula!K91))*(INDEX(Properties!A$1:CB$87,Formula!B91,31))+((Formula!E91)/(Formula!C91+Formula!E91+Formula!G91+Formula!I91+Formula!K91))*(INDEX(Properties!A$1:CB$87,Formula!D91,31))+((Formula!G91)/(Formula!C91+Formula!E91+Formula!G91+Formula!I91+Formula!K91))*(INDEX(Properties!A$1:CB$87,Formula!F91,31))+((Formula!I91)/(Formula!C91+Formula!E91+Formula!G91+Formula!I91+Formula!K91))*(INDEX(Properties!A$1:CB$87,Formula!H91,31))+((Formula!K91)/(Formula!C91+Formula!E91+Formula!G91+Formula!I91+Formula!K91))*(INDEX(Properties!A$1:CB$87,Formula!J91,31))</f>
        <v>2.4319999999999999</v>
      </c>
      <c r="CU91" s="69">
        <f>Formula!C91*(INDEX(Properties!A$1:CB$87,Formula!B91,31))+Formula!E91*(INDEX(Properties!A$1:CB$87,Formula!D91,31))+Formula!G91*(INDEX(Properties!A$1:CB$87,Formula!F91,31))+Formula!I91*(INDEX(Properties!A$1:CB$87,Formula!H91,31))+Formula!K91*(INDEX(Properties!A$1:CB$87,Formula!J91,31))</f>
        <v>12.16</v>
      </c>
      <c r="CV91" s="69">
        <f>VARP(IF(INDEX(Properties!A$1:CB$87,Formula!B91,31)&lt;&gt;"",INDEX(Properties!A$1:CB$87,Formula!B91,31)),IF(INDEX(Properties!A$1:CB$87,Formula!D91,31)&lt;&gt;"",INDEX(Properties!A$1:CB$87,Formula!D91,31)),IF(INDEX(Properties!A$1:CB$87,Formula!F91,31)&lt;&gt;"",INDEX(Properties!A$1:CB$87,Formula!F91,31)),IF(INDEX(Properties!A$1:CB$87,Formula!H91,31)&lt;&gt;"",INDEX(Properties!A$1:CB$87,Formula!H91,31)),IF(INDEX(Properties!A$1:CB$87,Formula!J91,31)&lt;&gt;"",INDEX(Properties!A$1:CB$87,Formula!J91,31)))</f>
        <v>1.6650239999999998</v>
      </c>
      <c r="CW91" s="69">
        <f>MAX(INDEX(Properties!A$1:CB$87,Formula!B91,31),INDEX(Properties!A$1:CB$87,Formula!D91,31),INDEX(Properties!A$1:CB$87,Formula!F91,31),INDEX(Properties!A$1:CB$87,Formula!H91,31),INDEX(Properties!A$1:CB$87,Formula!J91,31))</f>
        <v>3.32</v>
      </c>
      <c r="CX91" s="69">
        <f>MIN(IF(INDEX(Properties!A$1:CB$87,Formula!B91,31)=0,10^6,INDEX(Properties!A$1:CB$87,Formula!B91,31)),IF(INDEX(Properties!A$1:CB$87,Formula!D91,31)=0,10^6,INDEX(Properties!A$1:CB$87,Formula!D91,31)),IF(INDEX(Properties!A$1:CB$87,Formula!F91,31)=0,10^6,INDEX(Properties!A$1:CB$87,Formula!F91,31)),IF(INDEX(Properties!A$1:CB$87,Formula!H91,31)=0,10^6,INDEX(Properties!A$1:CB$87,Formula!H91,31)),IF(INDEX(Properties!A$1:CB$87,Formula!J91,31)=0,10^6,INDEX(Properties!A$1:CB$87,Formula!J91,31)))</f>
        <v>1.1000000000000001</v>
      </c>
      <c r="CY91" s="69">
        <f t="shared" si="48"/>
        <v>2.2199999999999998</v>
      </c>
      <c r="CZ91" s="42">
        <f>((Formula!C91)/(Formula!C91+Formula!E91+Formula!G91+Formula!I91+Formula!K91))*(INDEX(Properties!A$1:CB$87,Formula!B91,32))+((Formula!E91)/(Formula!C91+Formula!E91+Formula!G91+Formula!I91+Formula!K91))*(INDEX(Properties!A$1:CB$87,Formula!D91,32))+((Formula!G91)/(Formula!C91+Formula!E91+Formula!G91+Formula!I91+Formula!K91))*(INDEX(Properties!A$1:CB$87,Formula!F91,32))+((Formula!I91)/(Formula!C91+Formula!E91+Formula!G91+Formula!I91+Formula!K91))*(INDEX(Properties!A$1:CB$87,Formula!H91,32))+((Formula!K91)/(Formula!C91+Formula!E91+Formula!G91+Formula!I91+Formula!K91))*(INDEX(Properties!A$1:CB$87,Formula!J91,32))</f>
        <v>5.7640000000000002</v>
      </c>
      <c r="DA91" s="42">
        <f>Formula!C91*(INDEX(Properties!A$1:CB$87,Formula!B91,32))+Formula!E91*(INDEX(Properties!A$1:CB$87,Formula!D91,32))+Formula!G91*(INDEX(Properties!A$1:CB$87,Formula!F91,32))+Formula!I91*(INDEX(Properties!A$1:CB$87,Formula!H91,32))+Formula!K91*(INDEX(Properties!A$1:CB$87,Formula!J91,32))</f>
        <v>28.82</v>
      </c>
      <c r="DB91" s="42">
        <f>VARP(IF(INDEX(Properties!A$1:CB$87,Formula!B91,32)&lt;&gt;"",INDEX(Properties!A$1:CB$87,Formula!B91,32)),IF(INDEX(Properties!A$1:CB$87,Formula!D91,32)&lt;&gt;"",INDEX(Properties!A$1:CB$87,Formula!D91,32)),IF(INDEX(Properties!A$1:CB$87,Formula!F91,32)&lt;&gt;"",INDEX(Properties!A$1:CB$87,Formula!F91,32)),IF(INDEX(Properties!A$1:CB$87,Formula!H91,32)&lt;&gt;"",INDEX(Properties!A$1:CB$87,Formula!H91,32)),IF(INDEX(Properties!A$1:CB$87,Formula!J91,32)&lt;&gt;"",INDEX(Properties!A$1:CB$87,Formula!J91,32)))</f>
        <v>8.7639359999999993</v>
      </c>
      <c r="DC91" s="42">
        <f>MAX(INDEX(Properties!A$1:CB$87,Formula!B91,32),INDEX(Properties!A$1:CB$87,Formula!D91,32),INDEX(Properties!A$1:CB$87,Formula!F91,32),INDEX(Properties!A$1:CB$87,Formula!H91,32),INDEX(Properties!A$1:CB$87,Formula!J91,32))</f>
        <v>7.54</v>
      </c>
      <c r="DD91" s="42">
        <f>MIN(IF(INDEX(Properties!A$1:CB$87,Formula!B91,32)=0,10^6,INDEX(Properties!A$1:CB$87,Formula!B91,32)),IF(INDEX(Properties!A$1:CB$87,Formula!D91,32)=0,10^6,INDEX(Properties!A$1:CB$87,Formula!D91,32)),IF(INDEX(Properties!A$1:CB$87,Formula!F91,32)=0,10^6,INDEX(Properties!A$1:CB$87,Formula!F91,32)),IF(INDEX(Properties!A$1:CB$87,Formula!H91,32)=0,10^6,INDEX(Properties!A$1:CB$87,Formula!H91,32)),IF(INDEX(Properties!A$1:CB$87,Formula!J91,32)=0,10^6,INDEX(Properties!A$1:CB$87,Formula!J91,32)))</f>
        <v>3.1</v>
      </c>
      <c r="DE91" s="42">
        <f t="shared" si="49"/>
        <v>4.4399999999999995</v>
      </c>
      <c r="DF91" s="60">
        <f>((Formula!C91)/(Formula!C91+Formula!E91+Formula!G91+Formula!I91+Formula!K91))*(INDEX(Properties!A$1:CB$87,Formula!B91,34))+((Formula!E91)/(Formula!C91+Formula!E91+Formula!G91+Formula!I91+Formula!K91))*(INDEX(Properties!A$1:CB$87,Formula!D91,34))+((Formula!G91)/(Formula!C91+Formula!E91+Formula!G91+Formula!I91+Formula!K91))*(INDEX(Properties!A$1:CB$87,Formula!F91,34))+((Formula!I91)/(Formula!C91+Formula!E91+Formula!G91+Formula!I91+Formula!K91))*(INDEX(Properties!A$1:CB$87,Formula!H91,34))+((Formula!K91)/(Formula!C91+Formula!E91+Formula!G91+Formula!I91+Formula!K91))*(INDEX(Properties!A$1:CB$87,Formula!J91,34))</f>
        <v>2.6019999999999999</v>
      </c>
      <c r="DG91" s="60">
        <f>Formula!C91*(INDEX(Properties!A$1:CB$87,Formula!B91,34))+Formula!E91*(INDEX(Properties!A$1:CB$87,Formula!D91,34))+Formula!G91*(INDEX(Properties!A$1:CB$87,Formula!F91,34))+Formula!I91*(INDEX(Properties!A$1:CB$87,Formula!H91,34))+Formula!K91*(INDEX(Properties!A$1:CB$87,Formula!J91,34))</f>
        <v>13.01</v>
      </c>
      <c r="DH91" s="60">
        <f>VARP(IF(INDEX(Properties!A$1:CB$87,Formula!B91,34)&lt;&gt;"",INDEX(Properties!A$1:CB$87,Formula!B91,34)),IF(INDEX(Properties!A$1:CB$87,Formula!D91,34)&lt;&gt;"",INDEX(Properties!A$1:CB$87,Formula!D91,34)),IF(INDEX(Properties!A$1:CB$87,Formula!F91,34)&lt;&gt;"",INDEX(Properties!A$1:CB$87,Formula!F91,34)),IF(INDEX(Properties!A$1:CB$87,Formula!H91,34)&lt;&gt;"",INDEX(Properties!A$1:CB$87,Formula!H91,34)),IF(INDEX(Properties!A$1:CB$87,Formula!J91,34)&lt;&gt;"",INDEX(Properties!A$1:CB$87,Formula!J91,34)))</f>
        <v>1.9604399999999997</v>
      </c>
      <c r="DI91" s="60">
        <f>MAX(INDEX(Properties!A$1:CB$87,Formula!B91,34),INDEX(Properties!A$1:CB$87,Formula!D91,34),INDEX(Properties!A$1:CB$87,Formula!F91,34),INDEX(Properties!A$1:CB$87,Formula!H91,34),INDEX(Properties!A$1:CB$87,Formula!J91,34))</f>
        <v>3.61</v>
      </c>
      <c r="DJ91" s="60">
        <f>MIN(IF(INDEX(Properties!A$1:CB$87,Formula!B91,34)=0,10^6,INDEX(Properties!A$1:CB$87,Formula!B91,34)),IF(INDEX(Properties!A$1:CB$87,Formula!D91,34)=0,10^6,INDEX(Properties!A$1:CB$87,Formula!D91,34)),IF(INDEX(Properties!A$1:CB$87,Formula!F91,34)=0,10^6,INDEX(Properties!A$1:CB$87,Formula!F91,34)),IF(INDEX(Properties!A$1:CB$87,Formula!H91,34)=0,10^6,INDEX(Properties!A$1:CB$87,Formula!H91,34)),IF(INDEX(Properties!A$1:CB$87,Formula!J91,34)=0,10^6,INDEX(Properties!A$1:CB$87,Formula!J91,34)))</f>
        <v>1.0900000000000001</v>
      </c>
      <c r="DK91" s="60">
        <f t="shared" si="50"/>
        <v>2.5199999999999996</v>
      </c>
      <c r="DL91" s="45">
        <f>((Formula!C91)/(Formula!C91+Formula!E91+Formula!G91+Formula!I91+Formula!K91))*(INDEX(Properties!A$1:CB$87,Formula!B91,39))+((Formula!E91)/(Formula!C91+Formula!E91+Formula!G91+Formula!I91+Formula!K91))*(INDEX(Properties!A$1:CB$87,Formula!D91,39))+((Formula!G91)/(Formula!C91+Formula!E91+Formula!G91+Formula!I91+Formula!K91))*(INDEX(Properties!A$1:CB$87,Formula!F91,39))+((Formula!I91)/(Formula!C91+Formula!E91+Formula!G91+Formula!I91+Formula!K91))*(INDEX(Properties!A$1:CB$87,Formula!H91,39))+((Formula!K91)/(Formula!C91+Formula!E91+Formula!G91+Formula!I91+Formula!K91))*(INDEX(Properties!A$1:CB$87,Formula!J91,39))</f>
        <v>1.22</v>
      </c>
      <c r="DM91" s="45">
        <f>Formula!C91*(INDEX(Properties!A$1:CB$87,Formula!B91,39))+Formula!E91*(INDEX(Properties!A$1:CB$87,Formula!D91,39))+Formula!G91*(INDEX(Properties!A$1:CB$87,Formula!F91,39))+Formula!I91*(INDEX(Properties!A$1:CB$87,Formula!H91,39))+Formula!K91*(INDEX(Properties!A$1:CB$87,Formula!J91,39))</f>
        <v>6.1</v>
      </c>
      <c r="DN91" s="45">
        <f>VARP(IF(INDEX(Properties!A$1:CB$87,Formula!B91,39)&lt;&gt;"",INDEX(Properties!A$1:CB$87,Formula!B91,39)),IF(INDEX(Properties!A$1:CB$87,Formula!D91,39)&lt;&gt;"",INDEX(Properties!A$1:CB$87,Formula!D91,39)),IF(INDEX(Properties!A$1:CB$87,Formula!F91,39)&lt;&gt;"",INDEX(Properties!A$1:CB$87,Formula!F91,39)),IF(INDEX(Properties!A$1:CB$87,Formula!H91,39)&lt;&gt;"",INDEX(Properties!A$1:CB$87,Formula!H91,39)),IF(INDEX(Properties!A$1:CB$87,Formula!J91,39)&lt;&gt;"",INDEX(Properties!A$1:CB$87,Formula!J91,39)))</f>
        <v>0.81601600000000019</v>
      </c>
      <c r="DO91" s="45">
        <f>MAX(INDEX(Properties!A$1:CB$87,Formula!B91,39),INDEX(Properties!A$1:CB$87,Formula!D91,39),INDEX(Properties!A$1:CB$87,Formula!F91,39),INDEX(Properties!A$1:CB$87,Formula!H91,39),INDEX(Properties!A$1:CB$87,Formula!J91,39))</f>
        <v>2.33</v>
      </c>
      <c r="DP91" s="45">
        <f>MIN(IF(INDEX(Properties!A$1:CB$87,Formula!B91,39)=0,10^6,INDEX(Properties!A$1:CB$87,Formula!B91,39)),IF(INDEX(Properties!A$1:CB$87,Formula!D91,39)=0,10^6,INDEX(Properties!A$1:CB$87,Formula!D91,39)),IF(INDEX(Properties!A$1:CB$87,Formula!F91,39)=0,10^6,INDEX(Properties!A$1:CB$87,Formula!F91,39)),IF(INDEX(Properties!A$1:CB$87,Formula!H91,39)=0,10^6,INDEX(Properties!A$1:CB$87,Formula!H91,39)),IF(INDEX(Properties!A$1:CB$87,Formula!J91,39)=0,10^6,INDEX(Properties!A$1:CB$87,Formula!J91,39)))</f>
        <v>0.48</v>
      </c>
      <c r="DQ91" s="45">
        <f t="shared" si="51"/>
        <v>1.85</v>
      </c>
      <c r="DR91" s="63">
        <f>((Formula!C91)/(Formula!C91+Formula!E91+Formula!G91+Formula!I91+Formula!K91))*(INDEX(Properties!A$1:CB$87,Formula!B91,40))+((Formula!E91)/(Formula!C91+Formula!E91+Formula!G91+Formula!I91+Formula!K91))*(INDEX(Properties!A$1:CB$87,Formula!D91,40))+((Formula!G91)/(Formula!C91+Formula!E91+Formula!G91+Formula!I91+Formula!K91))*(INDEX(Properties!A$1:CB$87,Formula!F91,40))+((Formula!I91)/(Formula!C91+Formula!E91+Formula!G91+Formula!I91+Formula!K91))*(INDEX(Properties!A$1:CB$87,Formula!H91,40))+((Formula!K91)/(Formula!C91+Formula!E91+Formula!G91+Formula!I91+Formula!K91))*(INDEX(Properties!A$1:CB$87,Formula!J91,40))</f>
        <v>1.0820000000000001</v>
      </c>
      <c r="DS91" s="63">
        <f>Formula!C91*(INDEX(Properties!A$1:CB$87,Formula!B91,40))+Formula!E91*(INDEX(Properties!A$1:CB$87,Formula!D91,40))+Formula!G91*(INDEX(Properties!A$1:CB$87,Formula!F91,40))+Formula!I91*(INDEX(Properties!A$1:CB$87,Formula!H91,40))+Formula!K91*(INDEX(Properties!A$1:CB$87,Formula!J91,40))</f>
        <v>5.41</v>
      </c>
      <c r="DT91" s="63">
        <f>VARP(IF(INDEX(Properties!A$1:CB$87,Formula!B91,40)&lt;&gt;"",INDEX(Properties!A$1:CB$87,Formula!B91,40)),IF(INDEX(Properties!A$1:CB$87,Formula!D91,40)&lt;&gt;"",INDEX(Properties!A$1:CB$87,Formula!D91,40)),IF(INDEX(Properties!A$1:CB$87,Formula!F91,40)&lt;&gt;"",INDEX(Properties!A$1:CB$87,Formula!F91,40)),IF(INDEX(Properties!A$1:CB$87,Formula!H91,40)&lt;&gt;"",INDEX(Properties!A$1:CB$87,Formula!H91,40)),IF(INDEX(Properties!A$1:CB$87,Formula!J91,40)&lt;&gt;"",INDEX(Properties!A$1:CB$87,Formula!J91,40)))</f>
        <v>0.405976</v>
      </c>
      <c r="DU91" s="63">
        <f>MAX(INDEX(Properties!A$1:CB$87,Formula!B91,40),INDEX(Properties!A$1:CB$87,Formula!D91,40),INDEX(Properties!A$1:CB$87,Formula!F91,40),INDEX(Properties!A$1:CB$87,Formula!H91,40),INDEX(Properties!A$1:CB$87,Formula!J91,40))</f>
        <v>1.61</v>
      </c>
      <c r="DV91" s="63">
        <f>MIN(IF(INDEX(Properties!A$1:CB$87,Formula!B91,40)=0,10^6,INDEX(Properties!A$1:CB$87,Formula!B91,40)),IF(INDEX(Properties!A$1:CB$87,Formula!D91,40)=0,10^6,INDEX(Properties!A$1:CB$87,Formula!D91,40)),IF(INDEX(Properties!A$1:CB$87,Formula!F91,40)=0,10^6,INDEX(Properties!A$1:CB$87,Formula!F91,40)),IF(INDEX(Properties!A$1:CB$87,Formula!H91,40)=0,10^6,INDEX(Properties!A$1:CB$87,Formula!H91,40)),IF(INDEX(Properties!A$1:CB$87,Formula!J91,40)=0,10^6,INDEX(Properties!A$1:CB$87,Formula!J91,40)))</f>
        <v>0.73</v>
      </c>
      <c r="DW91" s="63">
        <f t="shared" si="52"/>
        <v>0.88000000000000012</v>
      </c>
      <c r="DX91" s="75">
        <f>((Formula!C91)/(Formula!C91+Formula!E91+Formula!G91+Formula!I91+Formula!K91))*(INDEX(Properties!A$1:CB$87,Formula!B91,41))+((Formula!E91)/(Formula!C91+Formula!E91+Formula!G91+Formula!I91+Formula!K91))*(INDEX(Properties!A$1:CB$87,Formula!D91,41))+((Formula!G91)/(Formula!C91+Formula!E91+Formula!G91+Formula!I91+Formula!K91))*(INDEX(Properties!A$1:CB$87,Formula!F91,41))+((Formula!I91)/(Formula!C91+Formula!E91+Formula!G91+Formula!I91+Formula!K91))*(INDEX(Properties!A$1:CB$87,Formula!H91,41))+((Formula!K91)/(Formula!C91+Formula!E91+Formula!G91+Formula!I91+Formula!K91))*(INDEX(Properties!A$1:CB$87,Formula!J91,41))</f>
        <v>1.1880000000000002</v>
      </c>
      <c r="DY91" s="75">
        <f>Formula!C91*(INDEX(Properties!A$1:CB$87,Formula!B91,41))+Formula!E91*(INDEX(Properties!A$1:CB$87,Formula!D91,41))+Formula!G91*(INDEX(Properties!A$1:CB$87,Formula!F91,41))+Formula!I91*(INDEX(Properties!A$1:CB$87,Formula!H91,41))+Formula!K91*(INDEX(Properties!A$1:CB$87,Formula!J91,41))</f>
        <v>5.94</v>
      </c>
      <c r="DZ91" s="75">
        <f>VARP(IF(INDEX(Properties!A$1:CB$87,Formula!B91,41)&lt;&gt;"",INDEX(Properties!A$1:CB$87,Formula!B91,41)),IF(INDEX(Properties!A$1:CB$87,Formula!D91,41)&lt;&gt;"",INDEX(Properties!A$1:CB$87,Formula!D91,41)),IF(INDEX(Properties!A$1:CB$87,Formula!F91,41)&lt;&gt;"",INDEX(Properties!A$1:CB$87,Formula!F91,41)),IF(INDEX(Properties!A$1:CB$87,Formula!H91,41)&lt;&gt;"",INDEX(Properties!A$1:CB$87,Formula!H91,41)),IF(INDEX(Properties!A$1:CB$87,Formula!J91,41)&lt;&gt;"",INDEX(Properties!A$1:CB$87,Formula!J91,41)))</f>
        <v>0.33177600000000013</v>
      </c>
      <c r="EA91" s="75">
        <f>MAX(INDEX(Properties!A$1:CB$87,Formula!B91,41),INDEX(Properties!A$1:CB$87,Formula!D91,41),INDEX(Properties!A$1:CB$87,Formula!F91,41),INDEX(Properties!A$1:CB$87,Formula!H91,41),INDEX(Properties!A$1:CB$87,Formula!J91,41))</f>
        <v>1.26</v>
      </c>
      <c r="EB91" s="75">
        <f>MIN(IF(INDEX(Properties!A$1:CB$87,Formula!B91,41)=0,10^6,INDEX(Properties!A$1:CB$87,Formula!B91,41)),IF(INDEX(Properties!A$1:CB$87,Formula!D91,41)=0,10^6,INDEX(Properties!A$1:CB$87,Formula!D91,41)),IF(INDEX(Properties!A$1:CB$87,Formula!F91,41)=0,10^6,INDEX(Properties!A$1:CB$87,Formula!F91,41)),IF(INDEX(Properties!A$1:CB$87,Formula!H91,41)=0,10^6,INDEX(Properties!A$1:CB$87,Formula!H91,41)),IF(INDEX(Properties!A$1:CB$87,Formula!J91,41)=0,10^6,INDEX(Properties!A$1:CB$87,Formula!J91,41)))</f>
        <v>1.08</v>
      </c>
      <c r="EC91" s="75">
        <f t="shared" si="53"/>
        <v>0.17999999999999994</v>
      </c>
      <c r="ED91" s="48">
        <f>((Formula!C91)/(Formula!C91+Formula!E91+Formula!G91+Formula!I91+Formula!K91))*(INDEX(Properties!A$1:CB$87,Formula!B91,45))+((Formula!E91)/(Formula!C91+Formula!E91+Formula!G91+Formula!I91+Formula!K91))*(INDEX(Properties!A$1:CB$87,Formula!D91,45))+((Formula!G91)/(Formula!C91+Formula!E91+Formula!G91+Formula!I91+Formula!K91))*(INDEX(Properties!A$1:CB$87,Formula!F91,45))+((Formula!I91)/(Formula!C91+Formula!E91+Formula!G91+Formula!I91+Formula!K91))*(INDEX(Properties!A$1:CB$87,Formula!H91,45))+((Formula!K91)/(Formula!C91+Formula!E91+Formula!G91+Formula!I91+Formula!K91))*(INDEX(Properties!A$1:CB$87,Formula!J91,45))</f>
        <v>1.8460000000000001</v>
      </c>
      <c r="EE91" s="48">
        <f>Formula!C91*(INDEX(Properties!A$1:CB$87,Formula!B91,45))+Formula!E91*(INDEX(Properties!A$1:CB$87,Formula!D91,45))+Formula!G91*(INDEX(Properties!A$1:CB$87,Formula!F91,45))+Formula!I91*(INDEX(Properties!A$1:CB$87,Formula!H91,45))+Formula!K91*(INDEX(Properties!A$1:CB$87,Formula!J91,45))</f>
        <v>9.23</v>
      </c>
      <c r="EF91" s="48">
        <f>VARP(IF(INDEX(Properties!A$1:CB$87,Formula!B91,45)&lt;&gt;"",INDEX(Properties!A$1:CB$87,Formula!B91,45)),IF(INDEX(Properties!A$1:CB$87,Formula!D91,45)&lt;&gt;"",INDEX(Properties!A$1:CB$87,Formula!D91,45)),IF(INDEX(Properties!A$1:CB$87,Formula!F91,45)&lt;&gt;"",INDEX(Properties!A$1:CB$87,Formula!F91,45)),IF(INDEX(Properties!A$1:CB$87,Formula!H91,45)&lt;&gt;"",INDEX(Properties!A$1:CB$87,Formula!H91,45)),IF(INDEX(Properties!A$1:CB$87,Formula!J91,45)&lt;&gt;"",INDEX(Properties!A$1:CB$87,Formula!J91,45)))</f>
        <v>2.3344240000000007</v>
      </c>
      <c r="EG91" s="48">
        <f>MAX(INDEX(Properties!A$1:CB$87,Formula!B91,45),INDEX(Properties!A$1:CB$87,Formula!D91,45),INDEX(Properties!A$1:CB$87,Formula!F91,45),INDEX(Properties!A$1:CB$87,Formula!H91,45),INDEX(Properties!A$1:CB$87,Formula!J91,45))</f>
        <v>3.91</v>
      </c>
      <c r="EH91" s="48">
        <f>MIN(IF(INDEX(Properties!A$1:CB$87,Formula!B91,45)=0,10^6,INDEX(Properties!A$1:CB$87,Formula!B91,45)),IF(INDEX(Properties!A$1:CB$87,Formula!D91,45)=0,10^6,INDEX(Properties!A$1:CB$87,Formula!D91,45)),IF(INDEX(Properties!A$1:CB$87,Formula!F91,45)=0,10^6,INDEX(Properties!A$1:CB$87,Formula!F91,45)),IF(INDEX(Properties!A$1:CB$87,Formula!H91,45)=0,10^6,INDEX(Properties!A$1:CB$87,Formula!H91,45)),IF(INDEX(Properties!A$1:CB$87,Formula!J91,45)=0,10^6,INDEX(Properties!A$1:CB$87,Formula!J91,45)))</f>
        <v>0.47</v>
      </c>
      <c r="EI91" s="48">
        <f t="shared" si="54"/>
        <v>3.4400000000000004</v>
      </c>
      <c r="EJ91" s="66">
        <f>((Formula!C91)/(Formula!C91+Formula!E91+Formula!G91+Formula!I91+Formula!K91))*(INDEX(Properties!A$1:CB$87,Formula!B91,46))+((Formula!E91)/(Formula!C91+Formula!E91+Formula!G91+Formula!I91+Formula!K91))*(INDEX(Properties!A$1:CB$87,Formula!D91,46))+((Formula!G91)/(Formula!C91+Formula!E91+Formula!G91+Formula!I91+Formula!K91))*(INDEX(Properties!A$1:CB$87,Formula!F91,46))+((Formula!I91)/(Formula!C91+Formula!E91+Formula!G91+Formula!I91+Formula!K91))*(INDEX(Properties!A$1:CB$87,Formula!H91,46))+((Formula!K91)/(Formula!C91+Formula!E91+Formula!G91+Formula!I91+Formula!K91))*(INDEX(Properties!A$1:CB$87,Formula!J91,46))</f>
        <v>1.1579999999999999</v>
      </c>
      <c r="EK91" s="66">
        <f>Formula!C91*(INDEX(Properties!A$1:CB$87,Formula!B91,46))+Formula!E91*(INDEX(Properties!A$1:CB$87,Formula!D91,46))+Formula!G91*(INDEX(Properties!A$1:CB$87,Formula!F91,46))+Formula!I91*(INDEX(Properties!A$1:CB$87,Formula!H91,46))+Formula!K91*(INDEX(Properties!A$1:CB$87,Formula!J91,46))</f>
        <v>5.79</v>
      </c>
      <c r="EL91" s="66">
        <f>VARP(IF(INDEX(Properties!A$1:CB$87,Formula!B91,46)&lt;&gt;"",INDEX(Properties!A$1:CB$87,Formula!B91,46)),IF(INDEX(Properties!A$1:CB$87,Formula!D91,46)&lt;&gt;"",INDEX(Properties!A$1:CB$87,Formula!D91,46)),IF(INDEX(Properties!A$1:CB$87,Formula!F91,46)&lt;&gt;"",INDEX(Properties!A$1:CB$87,Formula!F91,46)),IF(INDEX(Properties!A$1:CB$87,Formula!H91,46)&lt;&gt;"",INDEX(Properties!A$1:CB$87,Formula!H91,46)),IF(INDEX(Properties!A$1:CB$87,Formula!J91,46)&lt;&gt;"",INDEX(Properties!A$1:CB$87,Formula!J91,46)))</f>
        <v>0.31633599999999995</v>
      </c>
      <c r="EM91" s="66">
        <f>MAX(INDEX(Properties!A$1:CB$87,Formula!B91,46),INDEX(Properties!A$1:CB$87,Formula!D91,46),INDEX(Properties!A$1:CB$87,Formula!F91,46),INDEX(Properties!A$1:CB$87,Formula!H91,46),INDEX(Properties!A$1:CB$87,Formula!J91,46))</f>
        <v>1.21</v>
      </c>
      <c r="EN91" s="66">
        <f>MIN(IF(INDEX(Properties!A$1:CB$87,Formula!B91,46)=0,10^6,INDEX(Properties!A$1:CB$87,Formula!B91,46)),IF(INDEX(Properties!A$1:CB$87,Formula!D91,46)=0,10^6,INDEX(Properties!A$1:CB$87,Formula!D91,46)),IF(INDEX(Properties!A$1:CB$87,Formula!F91,46)=0,10^6,INDEX(Properties!A$1:CB$87,Formula!F91,46)),IF(INDEX(Properties!A$1:CB$87,Formula!H91,46)=0,10^6,INDEX(Properties!A$1:CB$87,Formula!H91,46)),IF(INDEX(Properties!A$1:CB$87,Formula!J91,46)=0,10^6,INDEX(Properties!A$1:CB$87,Formula!J91,46)))</f>
        <v>1.08</v>
      </c>
      <c r="EO91" s="66">
        <f t="shared" si="55"/>
        <v>0.12999999999999989</v>
      </c>
      <c r="EP91" s="81">
        <f>((Formula!C91)/(Formula!C91+Formula!E91+Formula!G91+Formula!I91+Formula!K91))*(INDEX(Properties!A$1:CB$87,Formula!B91,52))+((Formula!E91)/(Formula!C91+Formula!E91+Formula!G91+Formula!I91+Formula!K91))*(INDEX(Properties!A$1:CB$87,Formula!D91,52))+((Formula!G91)/(Formula!C91+Formula!E91+Formula!G91+Formula!I91+Formula!K91))*(INDEX(Properties!A$1:CB$87,Formula!F91,52))+((Formula!I91)/(Formula!C91+Formula!E91+Formula!G91+Formula!I91+Formula!K91))*(INDEX(Properties!A$1:CB$87,Formula!H91,52))+((Formula!K91)/(Formula!C91+Formula!E91+Formula!G91+Formula!I91+Formula!K91))*(INDEX(Properties!A$1:CB$87,Formula!J91,52))</f>
        <v>9.8757999999999999</v>
      </c>
      <c r="EQ91" s="81">
        <f>Formula!C91*(INDEX(Properties!A$1:CB$87,Formula!B91,52))+Formula!E91*(INDEX(Properties!A$1:CB$87,Formula!D91,52))+Formula!G91*(INDEX(Properties!A$1:CB$87,Formula!F91,52))+Formula!I91*(INDEX(Properties!A$1:CB$87,Formula!H91,52))+Formula!K91*(INDEX(Properties!A$1:CB$87,Formula!J91,52))</f>
        <v>49.378999999999998</v>
      </c>
      <c r="ER91" s="81">
        <f>VARP(IF(INDEX(Properties!A$1:CB$87,Formula!B91,52)&lt;&gt;"",INDEX(Properties!A$1:CB$87,Formula!B91,52)),IF(INDEX(Properties!A$1:CB$87,Formula!D91,52)&lt;&gt;"",INDEX(Properties!A$1:CB$87,Formula!D91,52)),IF(INDEX(Properties!A$1:CB$87,Formula!F91,52)&lt;&gt;"",INDEX(Properties!A$1:CB$87,Formula!F91,52)),IF(INDEX(Properties!A$1:CB$87,Formula!H91,52)&lt;&gt;"",INDEX(Properties!A$1:CB$87,Formula!H91,52)),IF(INDEX(Properties!A$1:CB$87,Formula!J91,52)&lt;&gt;"",INDEX(Properties!A$1:CB$87,Formula!J91,52)))</f>
        <v>86.969775839999983</v>
      </c>
      <c r="ES91" s="81">
        <f>MAX(INDEX(Properties!A$1:CB$87,Formula!B91,52),INDEX(Properties!A$1:CB$87,Formula!D91,52),INDEX(Properties!A$1:CB$87,Formula!F91,52),INDEX(Properties!A$1:CB$87,Formula!H91,52),INDEX(Properties!A$1:CB$87,Formula!J91,52))</f>
        <v>23.5</v>
      </c>
      <c r="ET91" s="81">
        <f>MIN(IF(INDEX(Properties!A$1:CB$87,Formula!B91,52)=0,10^6,INDEX(Properties!A$1:CB$87,Formula!B91,52)),IF(INDEX(Properties!A$1:CB$87,Formula!D91,52)=0,10^6,INDEX(Properties!A$1:CB$87,Formula!D91,52)),IF(INDEX(Properties!A$1:CB$87,Formula!F91,52)=0,10^6,INDEX(Properties!A$1:CB$87,Formula!F91,52)),IF(INDEX(Properties!A$1:CB$87,Formula!H91,52)=0,10^6,INDEX(Properties!A$1:CB$87,Formula!H91,52)),IF(INDEX(Properties!A$1:CB$87,Formula!J91,52)=0,10^6,INDEX(Properties!A$1:CB$87,Formula!J91,52)))</f>
        <v>0.79300000000000004</v>
      </c>
      <c r="EU91" s="81">
        <f t="shared" si="56"/>
        <v>22.707000000000001</v>
      </c>
      <c r="EV91" s="39">
        <f>((Formula!C91)/(Formula!C91+Formula!E91+Formula!G91+Formula!I91+Formula!K91))*(INDEX(Properties!A$1:CB$87,Formula!B91,53))+((Formula!E91)/(Formula!C91+Formula!E91+Formula!G91+Formula!I91+Formula!K91))*(INDEX(Properties!A$1:CB$87,Formula!D91,53))+((Formula!G91)/(Formula!C91+Formula!E91+Formula!G91+Formula!I91+Formula!K91))*(INDEX(Properties!A$1:CB$87,Formula!F91,53))+((Formula!I91)/(Formula!C91+Formula!E91+Formula!G91+Formula!I91+Formula!K91))*(INDEX(Properties!A$1:CB$87,Formula!H91,53))+((Formula!K91)/(Formula!C91+Formula!E91+Formula!G91+Formula!I91+Formula!K91))*(INDEX(Properties!A$1:CB$87,Formula!J91,53))</f>
        <v>667.31000000000006</v>
      </c>
      <c r="EW91" s="39">
        <f>Formula!C91*(INDEX(Properties!A$1:CB$87,Formula!B91,53))+Formula!E91*(INDEX(Properties!A$1:CB$87,Formula!D91,53))+Formula!G91*(INDEX(Properties!A$1:CB$87,Formula!F91,53))+Formula!I91*(INDEX(Properties!A$1:CB$87,Formula!H91,53))+Formula!K91*(INDEX(Properties!A$1:CB$87,Formula!J91,53))</f>
        <v>3336.55</v>
      </c>
      <c r="EX91" s="39">
        <f>VARP(IF(INDEX(Properties!A$1:CB$87,Formula!B91,53)&lt;&gt;"",INDEX(Properties!A$1:CB$87,Formula!B91,53)),IF(INDEX(Properties!A$1:CB$87,Formula!D91,53)&lt;&gt;"",INDEX(Properties!A$1:CB$87,Formula!D91,53)),IF(INDEX(Properties!A$1:CB$87,Formula!F91,53)&lt;&gt;"",INDEX(Properties!A$1:CB$87,Formula!F91,53)),IF(INDEX(Properties!A$1:CB$87,Formula!H91,53)&lt;&gt;"",INDEX(Properties!A$1:CB$87,Formula!H91,53)),IF(INDEX(Properties!A$1:CB$87,Formula!J91,53)&lt;&gt;"",INDEX(Properties!A$1:CB$87,Formula!J91,53)))</f>
        <v>396071.76459999999</v>
      </c>
      <c r="EY91" s="39">
        <f>MAX(INDEX(Properties!A$1:CB$87,Formula!B91,53),INDEX(Properties!A$1:CB$87,Formula!D91,53),INDEX(Properties!A$1:CB$87,Formula!F91,53),INDEX(Properties!A$1:CB$87,Formula!H91,53),INDEX(Properties!A$1:CB$87,Formula!J91,53))</f>
        <v>1586.15</v>
      </c>
      <c r="EZ91" s="39">
        <f>MIN(IF(INDEX(Properties!A$1:CB$87,Formula!B91,53)=0,10^6,INDEX(Properties!A$1:CB$87,Formula!B91,53)),IF(INDEX(Properties!A$1:CB$87,Formula!D91,53)=0,10^6,INDEX(Properties!A$1:CB$87,Formula!D91,53)),IF(INDEX(Properties!A$1:CB$87,Formula!F91,53)=0,10^6,INDEX(Properties!A$1:CB$87,Formula!F91,53)),IF(INDEX(Properties!A$1:CB$87,Formula!H91,53)=0,10^6,INDEX(Properties!A$1:CB$87,Formula!H91,53)),IF(INDEX(Properties!A$1:CB$87,Formula!J91,53)=0,10^6,INDEX(Properties!A$1:CB$87,Formula!J91,53)))</f>
        <v>54.749999999999972</v>
      </c>
      <c r="FA91" s="39">
        <f t="shared" si="57"/>
        <v>1531.4</v>
      </c>
      <c r="FB91" s="54">
        <f>((Formula!C91)/(Formula!C91+Formula!E91+Formula!G91+Formula!I91+Formula!K91))*(INDEX(Properties!A$1:CB$87,Formula!B91,54))+((Formula!E91)/(Formula!C91+Formula!E91+Formula!G91+Formula!I91+Formula!K91))*(INDEX(Properties!A$1:CB$87,Formula!D91,54))+((Formula!G91)/(Formula!C91+Formula!E91+Formula!G91+Formula!I91+Formula!K91))*(INDEX(Properties!A$1:CB$87,Formula!F91,54))+((Formula!I91)/(Formula!C91+Formula!E91+Formula!G91+Formula!I91+Formula!K91))*(INDEX(Properties!A$1:CB$87,Formula!H91,54))+((Formula!K91)/(Formula!C91+Formula!E91+Formula!G91+Formula!I91+Formula!K91))*(INDEX(Properties!A$1:CB$87,Formula!J91,54))</f>
        <v>1472.55</v>
      </c>
      <c r="FC91" s="54">
        <f>Formula!C91*(INDEX(Properties!A$1:CB$87,Formula!B91,54))+Formula!E91*(INDEX(Properties!A$1:CB$87,Formula!D91,54))+Formula!G91*(INDEX(Properties!A$1:CB$87,Formula!F91,54))+Formula!I91*(INDEX(Properties!A$1:CB$87,Formula!H91,54))+Formula!K91*(INDEX(Properties!A$1:CB$87,Formula!J91,54))</f>
        <v>7362.75</v>
      </c>
      <c r="FD91" s="54">
        <f>VARP(IF(INDEX(Properties!A$1:CB$87,Formula!B91,54)&lt;&gt;"",INDEX(Properties!A$1:CB$87,Formula!B91,54)),IF(INDEX(Properties!A$1:CB$87,Formula!D91,54)&lt;&gt;"",INDEX(Properties!A$1:CB$87,Formula!D91,54)),IF(INDEX(Properties!A$1:CB$87,Formula!F91,54)&lt;&gt;"",INDEX(Properties!A$1:CB$87,Formula!F91,54)),IF(INDEX(Properties!A$1:CB$87,Formula!H91,54)&lt;&gt;"",INDEX(Properties!A$1:CB$87,Formula!H91,54)),IF(INDEX(Properties!A$1:CB$87,Formula!J91,54)&lt;&gt;"",INDEX(Properties!A$1:CB$87,Formula!J91,54)))</f>
        <v>1987754.2614</v>
      </c>
      <c r="FE91" s="54">
        <f>MAX(INDEX(Properties!A$1:CB$87,Formula!B91,54),INDEX(Properties!A$1:CB$87,Formula!D91,54),INDEX(Properties!A$1:CB$87,Formula!F91,54),INDEX(Properties!A$1:CB$87,Formula!H91,54),INDEX(Properties!A$1:CB$87,Formula!J91,54))</f>
        <v>3546.15</v>
      </c>
      <c r="FF91" s="54">
        <f>MIN(IF(INDEX(Properties!A$1:CB$87,Formula!B91,54)=0,10^6,INDEX(Properties!A$1:CB$87,Formula!B91,54)),IF(INDEX(Properties!A$1:CB$87,Formula!D91,54)=0,10^6,INDEX(Properties!A$1:CB$87,Formula!D91,54)),IF(INDEX(Properties!A$1:CB$87,Formula!F91,54)=0,10^6,INDEX(Properties!A$1:CB$87,Formula!F91,54)),IF(INDEX(Properties!A$1:CB$87,Formula!H91,54)=0,10^6,INDEX(Properties!A$1:CB$87,Formula!H91,54)),IF(INDEX(Properties!A$1:CB$87,Formula!J91,54)=0,10^6,INDEX(Properties!A$1:CB$87,Formula!J91,54)))</f>
        <v>90.149999999999977</v>
      </c>
      <c r="FG91" s="54">
        <f t="shared" si="58"/>
        <v>3456</v>
      </c>
      <c r="FH91" s="69">
        <f>((Formula!C91)/(Formula!C91+Formula!E91+Formula!G91+Formula!I91+Formula!K91))*(INDEX(Properties!A$1:CB$87,Formula!B91,55))+((Formula!E91)/(Formula!C91+Formula!E91+Formula!G91+Formula!I91+Formula!K91))*(INDEX(Properties!A$1:CB$87,Formula!D91,55))+((Formula!G91)/(Formula!C91+Formula!E91+Formula!G91+Formula!I91+Formula!K91))*(INDEX(Properties!A$1:CB$87,Formula!F91,55))+((Formula!I91)/(Formula!C91+Formula!E91+Formula!G91+Formula!I91+Formula!K91))*(INDEX(Properties!A$1:CB$87,Formula!H91,55))+((Formula!K91)/(Formula!C91+Formula!E91+Formula!G91+Formula!I91+Formula!K91))*(INDEX(Properties!A$1:CB$87,Formula!J91,55))</f>
        <v>3.1608580000000002</v>
      </c>
      <c r="FI91" s="69">
        <f>Formula!C91*(INDEX(Properties!A$1:CB$87,Formula!B91,55))+Formula!E91*(INDEX(Properties!A$1:CB$87,Formula!D91,54))+Formula!G91*(INDEX(Properties!A$1:CB$87,Formula!F91,55))+Formula!I91*(INDEX(Properties!A$1:CB$87,Formula!H91,55))+Formula!K91*(INDEX(Properties!A$1:CB$87,Formula!J91,55))</f>
        <v>286.24999999999994</v>
      </c>
      <c r="FJ91" s="69">
        <f>VARP(IF(INDEX(Properties!A$1:CB$87,Formula!B91,55)&lt;&gt;"",INDEX(Properties!A$1:CB$87,Formula!B91,55)),IF(INDEX(Properties!A$1:CB$87,Formula!D91,55)&lt;&gt;"",INDEX(Properties!A$1:CB$87,Formula!D91,55)),IF(INDEX(Properties!A$1:CB$87,Formula!F91,55)&lt;&gt;"",INDEX(Properties!A$1:CB$87,Formula!F91,55)),IF(INDEX(Properties!A$1:CB$87,Formula!H91,55)&lt;&gt;"",INDEX(Properties!A$1:CB$87,Formula!H91,55)),IF(INDEX(Properties!A$1:CB$87,Formula!J91,55)&lt;&gt;"",INDEX(Properties!A$1:CB$87,Formula!J91,55)))</f>
        <v>9.9846965671839989</v>
      </c>
      <c r="FK91" s="69">
        <f>MAX(INDEX(Properties!A$1:CB$87,Formula!B91,55),INDEX(Properties!A$1:CB$87,Formula!D91,55),INDEX(Properties!A$1:CB$87,Formula!F91,55),INDEX(Properties!A$1:CB$87,Formula!H91,55),INDEX(Properties!A$1:CB$87,Formula!J91,55))</f>
        <v>7.9</v>
      </c>
      <c r="FL91" s="69">
        <f>MIN(IF(INDEX(Properties!A$1:CB$87,Formula!B91,55)=0,10^6,INDEX(Properties!A$1:CB$87,Formula!B91,55)),IF(INDEX(Properties!A$1:CB$87,Formula!D91,55)=0,10^6,INDEX(Properties!A$1:CB$87,Formula!D91,55)),IF(INDEX(Properties!A$1:CB$87,Formula!F91,55)=0,10^6,INDEX(Properties!A$1:CB$87,Formula!F91,55)),IF(INDEX(Properties!A$1:CB$87,Formula!H91,55)=0,10^6,INDEX(Properties!A$1:CB$87,Formula!H91,55)),IF(INDEX(Properties!A$1:CB$87,Formula!J91,55)=0,10^6,INDEX(Properties!A$1:CB$87,Formula!J91,55)))</f>
        <v>1.4300000000000001E-3</v>
      </c>
      <c r="FM91" s="69">
        <f t="shared" si="59"/>
        <v>7.8985700000000003</v>
      </c>
      <c r="FN91" s="42">
        <f>((Formula!C91)/(Formula!C91+Formula!E91+Formula!G91+Formula!I91+Formula!K91))*(INDEX(Properties!A$1:CB$87,Formula!B91,56))+((Formula!E91)/(Formula!C91+Formula!E91+Formula!G91+Formula!I91+Formula!K91))*(INDEX(Properties!A$1:CB$87,Formula!D91,56))+((Formula!G91)/(Formula!C91+Formula!E91+Formula!G91+Formula!I91+Formula!K91))*(INDEX(Properties!A$1:CB$87,Formula!F91,56))+((Formula!I91)/(Formula!C91+Formula!E91+Formula!G91+Formula!I91+Formula!K91))*(INDEX(Properties!A$1:CB$87,Formula!H91,56))+((Formula!K91)/(Formula!C91+Formula!E91+Formula!G91+Formula!I91+Formula!K91))*(INDEX(Properties!A$1:CB$87,Formula!J91,56))</f>
        <v>0.64400000000000002</v>
      </c>
      <c r="FO91" s="42">
        <f>Formula!C91*(INDEX(Properties!A$1:CB$87,Formula!B91,56))+Formula!E91*(INDEX(Properties!A$1:CB$87,Formula!D91,56))+Formula!G91*(INDEX(Properties!A$1:CB$87,Formula!F91,56))+Formula!I91*(INDEX(Properties!A$1:CB$87,Formula!H91,56))+Formula!K91*(INDEX(Properties!A$1:CB$87,Formula!J91,56))</f>
        <v>3.22</v>
      </c>
      <c r="FP91" s="42">
        <f>VARP(IF(INDEX(Properties!A$1:CB$87,Formula!B91,56)&lt;&gt;"",INDEX(Properties!A$1:CB$87,Formula!B91,56)),IF(INDEX(Properties!A$1:CB$87,Formula!D91,56)&lt;&gt;"",INDEX(Properties!A$1:CB$87,Formula!D91,56)),IF(INDEX(Properties!A$1:CB$87,Formula!F91,56)&lt;&gt;"",INDEX(Properties!A$1:CB$87,Formula!F91,56)),IF(INDEX(Properties!A$1:CB$87,Formula!H91,56)&lt;&gt;"",INDEX(Properties!A$1:CB$87,Formula!H91,56)),IF(INDEX(Properties!A$1:CB$87,Formula!J91,56)&lt;&gt;"",INDEX(Properties!A$1:CB$87,Formula!J91,56)))</f>
        <v>0.12695999999999999</v>
      </c>
      <c r="FQ91" s="42">
        <f>MAX(INDEX(Properties!A$1:CB$87,Formula!B91,56),INDEX(Properties!A$1:CB$87,Formula!D91,56),INDEX(Properties!A$1:CB$87,Formula!F91,56),INDEX(Properties!A$1:CB$87,Formula!H91,56),INDEX(Properties!A$1:CB$87,Formula!J91,56))</f>
        <v>0.92</v>
      </c>
      <c r="FR91" s="42">
        <f>MIN(IF(INDEX(Properties!A$1:CB$87,Formula!B91,56)=0,10^6,INDEX(Properties!A$1:CB$87,Formula!B91,56)),IF(INDEX(Properties!A$1:CB$87,Formula!D91,56)=0,10^6,INDEX(Properties!A$1:CB$87,Formula!D91,56)),IF(INDEX(Properties!A$1:CB$87,Formula!F91,56)=0,10^6,INDEX(Properties!A$1:CB$87,Formula!F91,56)),IF(INDEX(Properties!A$1:CB$87,Formula!H91,56)=0,10^6,INDEX(Properties!A$1:CB$87,Formula!H91,56)),IF(INDEX(Properties!A$1:CB$87,Formula!J91,56)=0,10^6,INDEX(Properties!A$1:CB$87,Formula!J91,56)))</f>
        <v>0.23</v>
      </c>
      <c r="FS91" s="42">
        <f t="shared" si="60"/>
        <v>0.69000000000000006</v>
      </c>
      <c r="FT91" s="60">
        <f>((Formula!C91)/(Formula!C91+Formula!E91+Formula!G91+Formula!I91+Formula!K91))*(INDEX(Properties!A$1:CB$87,Formula!B91,57))+((Formula!E91)/(Formula!C91+Formula!E91+Formula!G91+Formula!I91+Formula!K91))*(INDEX(Properties!A$1:CB$87,Formula!D91,57))+((Formula!G91)/(Formula!C91+Formula!E91+Formula!G91+Formula!I91+Formula!K91))*(INDEX(Properties!A$1:CB$87,Formula!F91,57))+((Formula!I91)/(Formula!C91+Formula!E91+Formula!G91+Formula!I91+Formula!K91))*(INDEX(Properties!A$1:CB$87,Formula!H91,57))+((Formula!K91)/(Formula!C91+Formula!E91+Formula!G91+Formula!I91+Formula!K91))*(INDEX(Properties!A$1:CB$87,Formula!J91,57))</f>
        <v>4.1535540000000006</v>
      </c>
      <c r="FU91" s="60">
        <f>Formula!C91*(INDEX(Properties!A$1:CB$87,Formula!B91,57))+Formula!E91*(INDEX(Properties!A$1:CB$87,Formula!D91,57))+Formula!G91*(INDEX(Properties!A$1:CB$87,Formula!F91,57))+Formula!I91*(INDEX(Properties!A$1:CB$87,Formula!H91,57))+Formula!K91*(INDEX(Properties!A$1:CB$87,Formula!J91,57))</f>
        <v>20.767770000000002</v>
      </c>
      <c r="FV91" s="60">
        <f>VARP(IF(INDEX(Properties!A$1:CB$87,Formula!B91,57)&lt;&gt;"",INDEX(Properties!A$1:CB$87,Formula!B91,57)),IF(INDEX(Properties!A$1:CB$87,Formula!D91,57)&lt;&gt;"",INDEX(Properties!A$1:CB$87,Formula!D91,57)),IF(INDEX(Properties!A$1:CB$87,Formula!F91,57)&lt;&gt;"",INDEX(Properties!A$1:CB$87,Formula!F91,57)),IF(INDEX(Properties!A$1:CB$87,Formula!H91,57)&lt;&gt;"",INDEX(Properties!A$1:CB$87,Formula!H91,57)),IF(INDEX(Properties!A$1:CB$87,Formula!J91,57)&lt;&gt;"",INDEX(Properties!A$1:CB$87,Formula!J91,57)))</f>
        <v>15.989365049296003</v>
      </c>
      <c r="FW91" s="60">
        <f>MAX(INDEX(Properties!A$1:CB$87,Formula!B91,57),INDEX(Properties!A$1:CB$87,Formula!D91,57),INDEX(Properties!A$1:CB$87,Formula!F91,57),INDEX(Properties!A$1:CB$87,Formula!H91,57),INDEX(Properties!A$1:CB$87,Formula!J91,57))</f>
        <v>10.050000000000001</v>
      </c>
      <c r="FX91" s="60">
        <f>MIN(IF(INDEX(Properties!A$1:CB$87,Formula!B91,57)=0,10^6,INDEX(Properties!A$1:CB$87,Formula!B91,57)),IF(INDEX(Properties!A$1:CB$87,Formula!D91,57)=0,10^6,INDEX(Properties!A$1:CB$87,Formula!D91,57)),IF(INDEX(Properties!A$1:CB$87,Formula!F91,57)=0,10^6,INDEX(Properties!A$1:CB$87,Formula!F91,57)),IF(INDEX(Properties!A$1:CB$87,Formula!H91,57)=0,10^6,INDEX(Properties!A$1:CB$87,Formula!H91,57)),IF(INDEX(Properties!A$1:CB$87,Formula!J91,57)=0,10^6,INDEX(Properties!A$1:CB$87,Formula!J91,57)))</f>
        <v>0.22259000000000001</v>
      </c>
      <c r="FY91" s="60">
        <f t="shared" si="61"/>
        <v>9.8274100000000004</v>
      </c>
      <c r="FZ91" s="72">
        <f>((Formula!C91)/(Formula!C91+Formula!E91+Formula!G91+Formula!I91+Formula!K91))*(INDEX(Properties!A$1:CB$87,Formula!B91,60))+((Formula!E91)/(Formula!C91+Formula!E91+Formula!G91+Formula!I91+Formula!K91))*(INDEX(Properties!A$1:CB$87,Formula!D91,60))+((Formula!G91)/(Formula!C91+Formula!E91+Formula!G91+Formula!I91+Formula!K91))*(INDEX(Properties!A$1:CB$87,Formula!F91,60))+((Formula!I91)/(Formula!C91+Formula!E91+Formula!G91+Formula!I91+Formula!K91))*(INDEX(Properties!A$1:CB$87,Formula!H91,60))+((Formula!K91)/(Formula!C91+Formula!E91+Formula!G91+Formula!I91+Formula!K91))*(INDEX(Properties!A$1:CB$87,Formula!J91,60))</f>
        <v>4.2560440000000002</v>
      </c>
      <c r="GA91" s="72">
        <f>Formula!C91*(INDEX(Properties!A$1:CB$87,Formula!B91,60))+Formula!E91*(INDEX(Properties!A$1:CB$87,Formula!D91,60))+Formula!G91*(INDEX(Properties!A$1:CB$87,Formula!F91,60))+Formula!I91*(INDEX(Properties!A$1:CB$87,Formula!H91,60))+Formula!K91*(INDEX(Properties!A$1:CB$87,Formula!J91,60))</f>
        <v>21.28022</v>
      </c>
      <c r="GB91" s="72">
        <f>VARP(IF(INDEX(Properties!A$1:CB$87,Formula!B91,60)&lt;&gt;"",INDEX(Properties!A$1:CB$87,Formula!B91,60)),IF(INDEX(Properties!A$1:CB$87,Formula!D91,60)&lt;&gt;"",INDEX(Properties!A$1:CB$87,Formula!D91,60)),IF(INDEX(Properties!A$1:CB$87,Formula!F91,60)&lt;&gt;"",INDEX(Properties!A$1:CB$87,Formula!F91,60)),IF(INDEX(Properties!A$1:CB$87,Formula!H91,60)&lt;&gt;"",INDEX(Properties!A$1:CB$87,Formula!H91,60)),IF(INDEX(Properties!A$1:CB$87,Formula!J91,60)&lt;&gt;"",INDEX(Properties!A$1:CB$87,Formula!J91,60)))</f>
        <v>17.955038884415998</v>
      </c>
      <c r="GC91" s="72">
        <f>MAX(INDEX(Properties!A$1:CB$87,Formula!B91,60),INDEX(Properties!A$1:CB$87,Formula!D91,60),INDEX(Properties!A$1:CB$87,Formula!F91,60),INDEX(Properties!A$1:CB$87,Formula!H91,60),INDEX(Properties!A$1:CB$87,Formula!J91,60))</f>
        <v>10.6</v>
      </c>
      <c r="GD91" s="72">
        <f>MIN(IF(INDEX(Properties!A$1:CB$87,Formula!B91,60)=0,10^6,INDEX(Properties!A$1:CB$87,Formula!B91,60)),IF(INDEX(Properties!A$1:CB$87,Formula!D91,60)=0,10^6,INDEX(Properties!A$1:CB$87,Formula!D91,60)),IF(INDEX(Properties!A$1:CB$87,Formula!F91,60)=0,10^6,INDEX(Properties!A$1:CB$87,Formula!F91,60)),IF(INDEX(Properties!A$1:CB$87,Formula!H91,60)=0,10^6,INDEX(Properties!A$1:CB$87,Formula!H91,60)),IF(INDEX(Properties!A$1:CB$87,Formula!J91,60)=0,10^6,INDEX(Properties!A$1:CB$87,Formula!J91,60)))</f>
        <v>2.674E-2</v>
      </c>
      <c r="GE91" s="72">
        <f t="shared" si="62"/>
        <v>10.573259999999999</v>
      </c>
      <c r="GF91" s="51">
        <f>((Formula!C91)/(Formula!C91+Formula!E91+Formula!G91+Formula!I91+Formula!K91))*(INDEX(Properties!A$1:CB$87,Formula!B91,62))+((Formula!E91)/(Formula!C91+Formula!E91+Formula!G91+Formula!I91+Formula!K91))*(INDEX(Properties!A$1:CB$87,Formula!D91,62))+((Formula!G91)/(Formula!C91+Formula!E91+Formula!G91+Formula!I91+Formula!K91))*(INDEX(Properties!A$1:CB$87,Formula!F91,62))+((Formula!I91)/(Formula!C91+Formula!E91+Formula!G91+Formula!I91+Formula!K91))*(INDEX(Properties!A$1:CB$87,Formula!H91,62))+((Formula!K91)/(Formula!C91+Formula!E91+Formula!G91+Formula!I91+Formula!K91))*(INDEX(Properties!A$1:CB$87,Formula!J91,62))</f>
        <v>3.2279999999999998</v>
      </c>
      <c r="GG91" s="51">
        <f>Formula!C91*(INDEX(Properties!A$1:CB$87,Formula!B91,62))+Formula!E91*(INDEX(Properties!A$1:CB$87,Formula!D91,62))+Formula!G91*(INDEX(Properties!A$1:CB$87,Formula!F91,62))+Formula!I91*(INDEX(Properties!A$1:CB$87,Formula!H91,62))+Formula!K91*(INDEX(Properties!A$1:CB$87,Formula!J91,62))</f>
        <v>16.14</v>
      </c>
      <c r="GH91" s="51">
        <f>VARP(IF(INDEX(Properties!A$1:CB$87,Formula!B91,62)&lt;&gt;"",INDEX(Properties!A$1:CB$87,Formula!B91,62)),IF(INDEX(Properties!A$1:CB$87,Formula!D91,62)&lt;&gt;"",INDEX(Properties!A$1:CB$87,Formula!D91,62)),IF(INDEX(Properties!A$1:CB$87,Formula!F91,62)&lt;&gt;"",INDEX(Properties!A$1:CB$87,Formula!F91,62)),IF(INDEX(Properties!A$1:CB$87,Formula!H91,62)&lt;&gt;"",INDEX(Properties!A$1:CB$87,Formula!H91,62)),IF(INDEX(Properties!A$1:CB$87,Formula!J91,62)&lt;&gt;"",INDEX(Properties!A$1:CB$87,Formula!J91,62)))</f>
        <v>2.9728959999999995</v>
      </c>
      <c r="GI91" s="51">
        <f>MAX(INDEX(Properties!A$1:CB$87,Formula!B91,62),INDEX(Properties!A$1:CB$87,Formula!D91,62),INDEX(Properties!A$1:CB$87,Formula!F91,62),INDEX(Properties!A$1:CB$87,Formula!H91,62),INDEX(Properties!A$1:CB$87,Formula!J91,62))</f>
        <v>4.1399999999999997</v>
      </c>
      <c r="GJ91" s="51">
        <f>MIN(IF(INDEX(Properties!A$1:CB$87,Formula!B91,62)=0,10^6,INDEX(Properties!A$1:CB$87,Formula!B91,62)),IF(INDEX(Properties!A$1:CB$87,Formula!D91,62)=0,10^6,INDEX(Properties!A$1:CB$87,Formula!D91,62)),IF(INDEX(Properties!A$1:CB$87,Formula!F91,62)=0,10^6,INDEX(Properties!A$1:CB$87,Formula!F91,62)),IF(INDEX(Properties!A$1:CB$87,Formula!H91,62)=0,10^6,INDEX(Properties!A$1:CB$87,Formula!H91,62)),IF(INDEX(Properties!A$1:CB$87,Formula!J91,62)=0,10^6,INDEX(Properties!A$1:CB$87,Formula!J91,62)))</f>
        <v>2.62</v>
      </c>
      <c r="GK91" s="51">
        <f t="shared" si="63"/>
        <v>1.5199999999999996</v>
      </c>
      <c r="GL91" s="51">
        <f>Formula!P91</f>
        <v>206</v>
      </c>
      <c r="GM91" s="57">
        <f>Formula!O91</f>
        <v>7</v>
      </c>
      <c r="GN91" s="51">
        <f>Formula!N91</f>
        <v>0.08</v>
      </c>
    </row>
    <row r="92" spans="1:196" x14ac:dyDescent="0.3">
      <c r="A92" s="84" t="str">
        <f>Formula!A92</f>
        <v>CaSiO3</v>
      </c>
      <c r="B92" s="89">
        <f>((Formula!C92)/(Formula!C92+Formula!E92+Formula!G92+Formula!I92+Formula!K92))*(INDEX(Properties!A$1:CB$87,Formula!B92,3))+((Formula!E92)/(Formula!C92+Formula!E92+Formula!G92+Formula!I92+Formula!K92))*(INDEX(Properties!A$1:CB$87,Formula!D92,3))+((Formula!G92)/(Formula!C92+Formula!E92+Formula!G92+Formula!I92+Formula!K92))*(INDEX(Properties!A$1:CB$87,Formula!F92,3))+((Formula!I92)/(Formula!C92+Formula!E92+Formula!G92+Formula!I92+Formula!K92))*(INDEX(Properties!A$1:CB$87,Formula!H92,3))+((Formula!K92)/(Formula!C92+Formula!E92+Formula!G92+Formula!I92+Formula!K92))*(INDEX(Properties!A$1:CB$87,Formula!J92,3))</f>
        <v>23.232340000000001</v>
      </c>
      <c r="C92" s="85">
        <f>Formula!C92*(INDEX(Properties!A$1:CB$87,Formula!B92,3))+Formula!E92*(INDEX(Properties!A$1:CB$87,Formula!D92,3))+Formula!G92*(INDEX(Properties!A$1:CB$87,Formula!F92,3))+Formula!I92*(INDEX(Properties!A$1:CB$87,Formula!H92,3))+Formula!K92*(INDEX(Properties!A$1:CB$87,Formula!J92,3))</f>
        <v>116.1617</v>
      </c>
      <c r="D92" s="85">
        <f>VARP(IF(INDEX(Properties!A$1:CB$87,Formula!B92,3)&lt;&gt;"",INDEX(Properties!A$1:CB$87,Formula!B92,3)),IF(INDEX(Properties!A$1:CB$87,Formula!D92,3)&lt;&gt;"",INDEX(Properties!A$1:CB$87,Formula!D92,3)),IF(INDEX(Properties!A$1:CB$87,Formula!F92,3)&lt;&gt;"",INDEX(Properties!A$1:CB$87,Formula!F92,3)),IF(INDEX(Properties!A$1:CB$87,Formula!H92,3)&lt;&gt;"",INDEX(Properties!A$1:CB$87,Formula!H92,3)),IF(INDEX(Properties!A$1:CB$87,Formula!J92,3)&lt;&gt;"",INDEX(Properties!A$1:CB$87,Formula!J92,3)))</f>
        <v>246.86868946560014</v>
      </c>
      <c r="E92" s="85">
        <f>MAX(INDEX(Properties!A$1:CB$87,Formula!B92,3),INDEX(Properties!A$1:CB$87,Formula!D92,3),INDEX(Properties!A$1:CB$87,Formula!F92,3),INDEX(Properties!A$1:CB$87,Formula!H92,3),INDEX(Properties!A$1:CB$87,Formula!J92,3))</f>
        <v>40.078000000000003</v>
      </c>
      <c r="F92" s="85">
        <f>MIN(IF(INDEX(Properties!A$1:CB$87,Formula!B92,3)=0,10^6,INDEX(Properties!A$1:CB$87,Formula!B92,3)),IF(INDEX(Properties!A$1:CB$87,Formula!D92,3)=0,10^6,INDEX(Properties!A$1:CB$87,Formula!D92,3)),IF(INDEX(Properties!A$1:CB$87,Formula!F92,3)=0,10^6,INDEX(Properties!A$1:CB$87,Formula!F92,3)),IF(INDEX(Properties!A$1:CB$87,Formula!H92,3)=0,10^6,INDEX(Properties!A$1:CB$87,Formula!H92,3)),IF(INDEX(Properties!A$1:CB$87,Formula!J92,3)=0,10^6,INDEX(Properties!A$1:CB$87,Formula!J92,3)))</f>
        <v>15.9994</v>
      </c>
      <c r="G92" s="85">
        <f t="shared" si="32"/>
        <v>24.078600000000002</v>
      </c>
      <c r="H92" s="87">
        <f>((Formula!C92)/(Formula!C92+Formula!E92+Formula!G92+Formula!I92+Formula!K92))*(INDEX(Properties!A$1:CB$87,Formula!B92,4))+((Formula!E92)/(Formula!C92+Formula!E92+Formula!G92+Formula!I92+Formula!K92))*(INDEX(Properties!A$1:CB$87,Formula!D92,4))+((Formula!G92)/(Formula!C92+Formula!E92+Formula!G92+Formula!I92+Formula!K92))*(INDEX(Properties!A$1:CB$87,Formula!F92,4))+((Formula!I92)/(Formula!C92+Formula!E92+Formula!G92+Formula!I92+Formula!K92))*(INDEX(Properties!A$1:CB$87,Formula!H92,4))+((Formula!K92)/(Formula!C92+Formula!E92+Formula!G92+Formula!I92+Formula!K92))*(INDEX(Properties!A$1:CB$87,Formula!J92,4))</f>
        <v>11.600000000000001</v>
      </c>
      <c r="I92" s="87">
        <f>Formula!C92*(INDEX(Properties!A$1:CB$87,Formula!B92,4))+Formula!E92*(INDEX(Properties!A$1:CB$87,Formula!D92,4))+Formula!G92*(INDEX(Properties!A$1:CB$87,Formula!F92,4))+Formula!I92*(INDEX(Properties!A$1:CB$87,Formula!H92,4))+Formula!K92*(INDEX(Properties!A$1:CB$87,Formula!J92,4))</f>
        <v>58</v>
      </c>
      <c r="J92" s="87">
        <f>VARP(IF(INDEX(Properties!A$1:CB$87,Formula!B92,4)&lt;&gt;"",INDEX(Properties!A$1:CB$87,Formula!B92,4)),IF(INDEX(Properties!A$1:CB$87,Formula!D92,4)&lt;&gt;"",INDEX(Properties!A$1:CB$87,Formula!D92,4)),IF(INDEX(Properties!A$1:CB$87,Formula!F92,4)&lt;&gt;"",INDEX(Properties!A$1:CB$87,Formula!F92,4)),IF(INDEX(Properties!A$1:CB$87,Formula!H92,4)&lt;&gt;"",INDEX(Properties!A$1:CB$87,Formula!H92,4)),IF(INDEX(Properties!A$1:CB$87,Formula!J92,4)&lt;&gt;"",INDEX(Properties!A$1:CB$87,Formula!J92,4)))</f>
        <v>61.44</v>
      </c>
      <c r="K92" s="87">
        <f>MAX(INDEX(Properties!A$1:CB$87,Formula!B92,4),INDEX(Properties!A$1:CB$87,Formula!D92,4),INDEX(Properties!A$1:CB$87,Formula!F92,4),INDEX(Properties!A$1:CB$87,Formula!H92,4),INDEX(Properties!A$1:CB$87,Formula!J92,4))</f>
        <v>20</v>
      </c>
      <c r="L92" s="87">
        <f>MIN(IF(INDEX(Properties!A$1:CB$87,Formula!B92,4)=0,10^6,INDEX(Properties!A$1:CB$87,Formula!B92,4)),IF(INDEX(Properties!A$1:CB$87,Formula!D92,4)=0,10^6,INDEX(Properties!A$1:CB$87,Formula!D92,4)),IF(INDEX(Properties!A$1:CB$87,Formula!F92,4)=0,10^6,INDEX(Properties!A$1:CB$87,Formula!F92,4)),IF(INDEX(Properties!A$1:CB$87,Formula!H92,4)=0,10^6,INDEX(Properties!A$1:CB$87,Formula!H92,4)),IF(INDEX(Properties!A$1:CB$87,Formula!J92,4)=0,10^6,INDEX(Properties!A$1:CB$87,Formula!J92,4)))</f>
        <v>8</v>
      </c>
      <c r="M92" s="87">
        <f t="shared" si="33"/>
        <v>12</v>
      </c>
      <c r="N92" s="89">
        <f>((Formula!C92)/(Formula!C92+Formula!E92+Formula!G92+Formula!I92+Formula!K92))*(INDEX(Properties!A$1:CB$87,Formula!B92,5))+((Formula!E92)/(Formula!C92+Formula!E92+Formula!G92+Formula!I92+Formula!K92))*(INDEX(Properties!A$1:CB$87,Formula!D92,5))+((Formula!G92)/(Formula!C92+Formula!E92+Formula!G92+Formula!I92+Formula!K92))*(INDEX(Properties!A$1:CB$87,Formula!F92,5))+((Formula!I92)/(Formula!C92+Formula!E92+Formula!G92+Formula!I92+Formula!K92))*(INDEX(Properties!A$1:CB$87,Formula!H92,5))+((Formula!K92)/(Formula!C92+Formula!E92+Formula!G92+Formula!I92+Formula!K92))*(INDEX(Properties!A$1:CB$87,Formula!J92,5))</f>
        <v>2.6</v>
      </c>
      <c r="O92" s="89">
        <f>Formula!C92*(INDEX(Properties!A$1:CB$87,Formula!B92,5))+Formula!E92*(INDEX(Properties!A$1:CB$87,Formula!D92,5))+Formula!G92*(INDEX(Properties!A$1:CB$87,Formula!F92,5))+Formula!I92*(INDEX(Properties!A$1:CB$87,Formula!H92,5))+Formula!K92*(INDEX(Properties!A$1:CB$87,Formula!J92,5))</f>
        <v>13</v>
      </c>
      <c r="P92" s="89">
        <f>VARP(IF(INDEX(Properties!A$1:CB$87,Formula!B92,5)&lt;&gt;"",INDEX(Properties!A$1:CB$87,Formula!B92,5)),IF(INDEX(Properties!A$1:CB$87,Formula!D92,5)&lt;&gt;"",INDEX(Properties!A$1:CB$87,Formula!D92,5)),IF(INDEX(Properties!A$1:CB$87,Formula!F92,5)&lt;&gt;"",INDEX(Properties!A$1:CB$87,Formula!F92,5)),IF(INDEX(Properties!A$1:CB$87,Formula!H92,5)&lt;&gt;"",INDEX(Properties!A$1:CB$87,Formula!H92,5)),IF(INDEX(Properties!A$1:CB$87,Formula!J92,5)&lt;&gt;"",INDEX(Properties!A$1:CB$87,Formula!J92,5)))</f>
        <v>2.56</v>
      </c>
      <c r="Q92" s="89">
        <f>MAX(INDEX(Properties!A$1:CB$87,Formula!B92,5),INDEX(Properties!A$1:CB$87,Formula!D92,5),INDEX(Properties!A$1:CB$87,Formula!F92,5),INDEX(Properties!A$1:CB$87,Formula!H92,5),INDEX(Properties!A$1:CB$87,Formula!J92,5))</f>
        <v>4</v>
      </c>
      <c r="R92" s="89">
        <f>MIN(IF(INDEX(Properties!A$1:CB$87,Formula!B92,5)=0,10^6,INDEX(Properties!A$1:CB$87,Formula!B92,5)),IF(INDEX(Properties!A$1:CB$87,Formula!D92,5)=0,10^6,INDEX(Properties!A$1:CB$87,Formula!D92,5)),IF(INDEX(Properties!A$1:CB$87,Formula!F92,5)=0,10^6,INDEX(Properties!A$1:CB$87,Formula!F92,5)),IF(INDEX(Properties!A$1:CB$87,Formula!H92,5)=0,10^6,INDEX(Properties!A$1:CB$87,Formula!H92,5)),IF(INDEX(Properties!A$1:CB$87,Formula!J92,5)=0,10^6,INDEX(Properties!A$1:CB$87,Formula!J92,5)))</f>
        <v>2</v>
      </c>
      <c r="S92" s="89">
        <f t="shared" si="34"/>
        <v>2</v>
      </c>
      <c r="T92" s="60">
        <f>((Formula!C92)/(Formula!C92+Formula!E92+Formula!G92+Formula!I92+Formula!K92))*(INDEX(Properties!A$1:CB$87,Formula!B92,6))+((Formula!E92)/(Formula!C92+Formula!E92+Formula!G92+Formula!I92+Formula!K92))*(INDEX(Properties!A$1:CB$87,Formula!D92,6))+((Formula!G92)/(Formula!C92+Formula!E92+Formula!G92+Formula!I92+Formula!K92))*(INDEX(Properties!A$1:CB$87,Formula!F92,6))+((Formula!I92)/(Formula!C92+Formula!E92+Formula!G92+Formula!I92+Formula!K92))*(INDEX(Properties!A$1:CB$87,Formula!H92,6))+((Formula!K92)/(Formula!C92+Formula!E92+Formula!G92+Formula!I92+Formula!K92))*(INDEX(Properties!A$1:CB$87,Formula!J92,6))</f>
        <v>12.8</v>
      </c>
      <c r="U92" s="60">
        <f>Formula!C92*(INDEX(Properties!A$1:CB$87,Formula!B92,6))+Formula!E92*(INDEX(Properties!A$1:CB$87,Formula!D92,6))+Formula!G92*(INDEX(Properties!A$1:CB$87,Formula!F92,6))+Formula!I92*(INDEX(Properties!A$1:CB$87,Formula!H92,6))+Formula!K92*(INDEX(Properties!A$1:CB$87,Formula!J92,6))</f>
        <v>64</v>
      </c>
      <c r="V92" s="89">
        <f>VARP(IF(INDEX(Properties!A$1:CB$87,Formula!B92,6)&lt;&gt;"",INDEX(Properties!A$1:CB$87,Formula!B92,6)),IF(INDEX(Properties!A$1:CB$87,Formula!D92,6)&lt;&gt;"",INDEX(Properties!A$1:CB$87,Formula!D92,6)),IF(INDEX(Properties!A$1:CB$87,Formula!F92,6)&lt;&gt;"",INDEX(Properties!A$1:CB$87,Formula!F92,6)),IF(INDEX(Properties!A$1:CB$87,Formula!H92,6)&lt;&gt;"",INDEX(Properties!A$1:CB$87,Formula!H92,6)),IF(INDEX(Properties!A$1:CB$87,Formula!J92,6)&lt;&gt;"",INDEX(Properties!A$1:CB$87,Formula!J92,6)))</f>
        <v>50.24</v>
      </c>
      <c r="W92" s="60">
        <f>MAX(INDEX(Properties!A$1:CB$87,Formula!B92,6),INDEX(Properties!A$1:CB$87,Formula!D92,6),INDEX(Properties!A$1:CB$87,Formula!F92,6),INDEX(Properties!A$1:CB$87,Formula!H92,4),INDEX(Properties!A$1:CB$87,Formula!J92,6))</f>
        <v>16</v>
      </c>
      <c r="X92" s="60">
        <f>MIN(IF(INDEX(Properties!A$1:CB$87,Formula!B92,6)=0,10^6,INDEX(Properties!A$1:CB$87,Formula!B92,6)),IF(INDEX(Properties!A$1:CB$87,Formula!D92,6)=0,10^6,INDEX(Properties!A$1:CB$87,Formula!D92,6)),IF(INDEX(Properties!A$1:CB$87,Formula!F92,6)=0,10^6,INDEX(Properties!A$1:CB$87,Formula!F92,6)),IF(INDEX(Properties!A$1:CB$87,Formula!H92,6)=0,10^6,INDEX(Properties!A$1:CB$87,Formula!H92,6)),IF(INDEX(Properties!A$1:CB$87,Formula!J92,6)=0,10^6,INDEX(Properties!A$1:CB$87,Formula!J92,6)))</f>
        <v>2</v>
      </c>
      <c r="Y92" s="60">
        <f t="shared" si="35"/>
        <v>14</v>
      </c>
      <c r="Z92" s="72">
        <f>((Formula!C92)/(Formula!C92+Formula!E92+Formula!G92+Formula!I92+Formula!K92))*(INDEX(Properties!A$1:CB$87,Formula!B92,9))+((Formula!E92)/(Formula!C92+Formula!E92+Formula!G92+Formula!I92+Formula!K92))*(INDEX(Properties!A$1:CB$87,Formula!D92,9))+((Formula!G92)/(Formula!C92+Formula!E92+Formula!G92+Formula!I92+Formula!K92))*(INDEX(Properties!A$1:CB$87,Formula!F92,9))+((Formula!I92)/(Formula!C92+Formula!E92+Formula!G92+Formula!I92+Formula!K92))*(INDEX(Properties!A$1:CB$87,Formula!H92,9))+((Formula!K92)/(Formula!C92+Formula!E92+Formula!G92+Formula!I92+Formula!K92))*(INDEX(Properties!A$1:CB$87,Formula!J92,9))</f>
        <v>69.199999999999989</v>
      </c>
      <c r="AA92" s="72">
        <f>Formula!C92*(INDEX(Properties!A$1:CB$87,Formula!B92,9))+Formula!E92*(INDEX(Properties!A$1:CB$87,Formula!D92,9))+Formula!G92*(INDEX(Properties!A$1:CB$87,Formula!F92,9))+Formula!I92*(INDEX(Properties!A$1:CB$87,Formula!H92,9))+Formula!K92*(INDEX(Properties!A$1:CB$87,Formula!J92,9))</f>
        <v>346</v>
      </c>
      <c r="AB92" s="72">
        <f>VARP(IF(INDEX(Properties!A$1:CB$87,Formula!B92,9)&lt;&gt;"",INDEX(Properties!A$1:CB$87,Formula!B92,9)),IF(INDEX(Properties!A$1:CB$87,Formula!D92,9)&lt;&gt;"",INDEX(Properties!A$1:CB$87,Formula!D92,9)),IF(INDEX(Properties!A$1:CB$87,Formula!F92,9)&lt;&gt;"",INDEX(Properties!A$1:CB$87,Formula!F92,9)),IF(INDEX(Properties!A$1:CB$87,Formula!H92,9)&lt;&gt;"",INDEX(Properties!A$1:CB$87,Formula!H92,9)),IF(INDEX(Properties!A$1:CB$87,Formula!J92,9)&lt;&gt;"",INDEX(Properties!A$1:CB$87,Formula!J92,9)))</f>
        <v>1557.04</v>
      </c>
      <c r="AC92" s="72">
        <f>MAX(INDEX(Properties!A$1:CB$87,Formula!B92,9),INDEX(Properties!A$1:CB$87,Formula!D92,9),INDEX(Properties!A$1:CB$87,Formula!F92,9),INDEX(Properties!A$1:CB$87,Formula!H92,9),INDEX(Properties!A$1:CB$87,Formula!J92,9))</f>
        <v>87</v>
      </c>
      <c r="AD92" s="72">
        <f>MIN(IF(INDEX(Properties!A$1:CB$87,Formula!B92,9)=0,10^6,INDEX(Properties!A$1:CB$87,Formula!B92,9)),IF(INDEX(Properties!A$1:CB$87,Formula!D92,9)=0,10^6,INDEX(Properties!A$1:CB$87,Formula!D92,9)),IF(INDEX(Properties!A$1:CB$87,Formula!F92,9)=0,10^6,INDEX(Properties!A$1:CB$87,Formula!F92,9)),IF(INDEX(Properties!A$1:CB$87,Formula!H92,9)=0,10^6,INDEX(Properties!A$1:CB$87,Formula!H92,9)),IF(INDEX(Properties!A$1:CB$87,Formula!J92,9)=0,10^6,INDEX(Properties!A$1:CB$87,Formula!J92,9)))</f>
        <v>7</v>
      </c>
      <c r="AE92" s="72">
        <f t="shared" si="36"/>
        <v>80</v>
      </c>
      <c r="AF92" s="51">
        <f>((Formula!C92)/(Formula!C92+Formula!E92+Formula!G92+Formula!I92+Formula!K92))*(INDEX(Properties!A$1:CB$87,Formula!B92,10))+((Formula!E92)/(Formula!C92+Formula!E92+Formula!G92+Formula!I92+Formula!K92))*(INDEX(Properties!A$1:CB$87,Formula!D92,10))+((Formula!G92)/(Formula!C92+Formula!E92+Formula!G92+Formula!I92+Formula!K92))*(INDEX(Properties!A$1:CB$87,Formula!F92,10))+((Formula!I92)/(Formula!C92+Formula!E92+Formula!G92+Formula!I92+Formula!K92))*(INDEX(Properties!A$1:CB$87,Formula!H92,10))+((Formula!K92)/(Formula!C92+Formula!E92+Formula!G92+Formula!I92+Formula!K92))*(INDEX(Properties!A$1:CB$87,Formula!J92,10))</f>
        <v>5.8000000000000007</v>
      </c>
      <c r="AG92" s="51">
        <f>Formula!C92*(INDEX(Properties!A$1:CB$87,Formula!B92,10))+Formula!E92*(INDEX(Properties!A$1:CB$87,Formula!D92,10))+Formula!G92*(INDEX(Properties!A$1:CB$87,Formula!F92,10))+Formula!I92*(INDEX(Properties!A$1:CB$87,Formula!H92,10))+Formula!K92*(INDEX(Properties!A$1:CB$87,Formula!J92,10))</f>
        <v>29</v>
      </c>
      <c r="AH92" s="51">
        <f>VARP(IF(INDEX(Properties!A$1:CB$87,Formula!B92,10)&lt;&gt;"",INDEX(Properties!A$1:CB$87,Formula!B92,10)),IF(INDEX(Properties!A$1:CB$87,Formula!D92,10)&lt;&gt;"",INDEX(Properties!A$1:CB$87,Formula!D92,10)),IF(INDEX(Properties!A$1:CB$87,Formula!F92,10)&lt;&gt;"",INDEX(Properties!A$1:CB$87,Formula!F92,10)),IF(INDEX(Properties!A$1:CB$87,Formula!H92,10)&lt;&gt;"",INDEX(Properties!A$1:CB$87,Formula!H92,10)),IF(INDEX(Properties!A$1:CB$87,Formula!J92,10)&lt;&gt;"",INDEX(Properties!A$1:CB$87,Formula!J92,10)))</f>
        <v>8.8000000000000007</v>
      </c>
      <c r="AI92" s="51">
        <f>MAX(INDEX(Properties!A$1:CB$87,Formula!B92,10),INDEX(Properties!A$1:CB$87,Formula!D92,10),INDEX(Properties!A$1:CB$87,Formula!F92,10),INDEX(Properties!A$1:CB$87,Formula!H92,10),INDEX(Properties!A$1:CB$87,Formula!J92,10))</f>
        <v>7</v>
      </c>
      <c r="AJ92" s="51">
        <f>MIN(IF(INDEX(Properties!A$1:CB$87,Formula!B92,10)=0,10^6,INDEX(Properties!A$1:CB$87,Formula!B92,10)),IF(INDEX(Properties!A$1:CB$87,Formula!D92,10)=0,10^6,INDEX(Properties!A$1:CB$87,Formula!D92,10)),IF(INDEX(Properties!A$1:CB$87,Formula!F92,10)=0,10^6,INDEX(Properties!A$1:CB$87,Formula!F92,10)),IF(INDEX(Properties!A$1:CB$87,Formula!H92,10)=0,10^6,INDEX(Properties!A$1:CB$87,Formula!H92,10)),IF(INDEX(Properties!A$1:CB$87,Formula!J92,10)=0,10^6,INDEX(Properties!A$1:CB$87,Formula!J92,10)))</f>
        <v>2</v>
      </c>
      <c r="AK92" s="51">
        <f t="shared" si="37"/>
        <v>5</v>
      </c>
      <c r="AL92" s="57">
        <f>((Formula!C92)/(Formula!C92+Formula!E92+Formula!G92+Formula!I92+Formula!K92))*(INDEX(Properties!A$1:CB$87,Formula!B92,11))+((Formula!E92)/(Formula!C92+Formula!E92+Formula!G92+Formula!I92+Formula!K92))*(INDEX(Properties!A$1:CB$87,Formula!D92,11))+((Formula!G92)/(Formula!C92+Formula!E92+Formula!G92+Formula!I92+Formula!K92))*(INDEX(Properties!A$1:CB$87,Formula!F92,11))+((Formula!I92)/(Formula!C92+Formula!E92+Formula!G92+Formula!I92+Formula!K92))*(INDEX(Properties!A$1:CB$87,Formula!H92,11))+((Formula!K92)/(Formula!C92+Formula!E92+Formula!G92+Formula!I92+Formula!K92))*(INDEX(Properties!A$1:CB$87,Formula!J92,11))</f>
        <v>2</v>
      </c>
      <c r="AM92" s="57">
        <f>Formula!C92*(INDEX(Properties!A$1:CB$87,Formula!B92,11))+Formula!E92*(INDEX(Properties!A$1:CB$87,Formula!D92,11))+Formula!G92*(INDEX(Properties!A$1:CB$87,Formula!F92,11))+Formula!I92*(INDEX(Properties!A$1:CB$87,Formula!H92,11))+Formula!K92*(INDEX(Properties!A$1:CB$87,Formula!J92,11))</f>
        <v>10</v>
      </c>
      <c r="AN92" s="57">
        <f>VARP(IF(INDEX(Properties!A$1:CB$87,Formula!B92,11)&lt;&gt;"",INDEX(Properties!A$1:CB$87,Formula!B92,11)),IF(INDEX(Properties!A$1:CB$87,Formula!D92,11)&lt;&gt;"",INDEX(Properties!A$1:CB$87,Formula!D92,11)),IF(INDEX(Properties!A$1:CB$87,Formula!F92,11)&lt;&gt;"",INDEX(Properties!A$1:CB$87,Formula!F92,11)),IF(INDEX(Properties!A$1:CB$87,Formula!H92,11)&lt;&gt;"",INDEX(Properties!A$1:CB$87,Formula!H92,11)),IF(INDEX(Properties!A$1:CB$87,Formula!J92,11)&lt;&gt;"",INDEX(Properties!A$1:CB$87,Formula!J92,11)))</f>
        <v>0.96</v>
      </c>
      <c r="AO92" s="57">
        <f>MAX(INDEX(Properties!A$1:CB$87,Formula!B92,11),INDEX(Properties!A$1:CB$87,Formula!D92,11),INDEX(Properties!A$1:CB$87,Formula!F92,11),INDEX(Properties!A$1:CB$87,Formula!H92,11),INDEX(Properties!A$1:CB$87,Formula!J92,11))</f>
        <v>2</v>
      </c>
      <c r="AP92" s="57">
        <f>MIN(IF(Formula!B92=87,10^6,INDEX(Properties!A$1:CB$87,Formula!B92,11)),IF((Formula!D92)=87,10^6,INDEX(Properties!A$1:CB$87,Formula!D92,11)),IF((Formula!F92)=87,10^6,INDEX(Properties!A$1:CB$87,Formula!F92,11)),IF((Formula!H92)=87,10^6,INDEX(Properties!A$1:CB$87,Formula!H92,11)),IF(Formula!J92=87,10^6,INDEX(Properties!A$1:CB$87,Formula!J92,11)))</f>
        <v>2</v>
      </c>
      <c r="AQ92" s="57">
        <f t="shared" si="38"/>
        <v>0</v>
      </c>
      <c r="AR92" s="78">
        <f>((Formula!C92)/(Formula!C92+Formula!E92+Formula!G92+Formula!I92+Formula!K92))*(INDEX(Properties!A$1:CB$87,Formula!B92,12))+((Formula!E92)/(Formula!C92+Formula!E92+Formula!G92+Formula!I92+Formula!K92))*(INDEX(Properties!A$1:CB$87,Formula!D92,12))+((Formula!G92)/(Formula!C92+Formula!E92+Formula!G92+Formula!I92+Formula!K92))*(INDEX(Properties!A$1:CB$87,Formula!F92,12))+((Formula!I92)/(Formula!C92+Formula!E92+Formula!G92+Formula!I92+Formula!K92))*(INDEX(Properties!A$1:CB$87,Formula!H92,12))+((Formula!K92)/(Formula!C92+Formula!E92+Formula!G92+Formula!I92+Formula!K92))*(INDEX(Properties!A$1:CB$87,Formula!J92,12))</f>
        <v>2.8</v>
      </c>
      <c r="AS92" s="78">
        <f>Formula!C92*(INDEX(Properties!A$1:CB$87,Formula!B92,12))+Formula!E92*(INDEX(Properties!A$1:CB$87,Formula!D92,12))+Formula!G92*(INDEX(Properties!A$1:CB$87,Formula!F92,12))+Formula!I92*(INDEX(Properties!A$1:CB$87,Formula!H92,12))+Formula!K92*(INDEX(Properties!A$1:CB$87,Formula!J92,12))</f>
        <v>14</v>
      </c>
      <c r="AT92" s="78">
        <f>VARP(IF(INDEX(Properties!A$1:CB$87,Formula!B92,12)&lt;&gt;"",INDEX(Properties!A$1:CB$87,Formula!B92,12)),IF(INDEX(Properties!A$1:CB$87,Formula!D92,12)&lt;&gt;"",INDEX(Properties!A$1:CB$87,Formula!D92,12)),IF(INDEX(Properties!A$1:CB$87,Formula!F92,12)&lt;&gt;"",INDEX(Properties!A$1:CB$87,Formula!F92,12)),IF(INDEX(Properties!A$1:CB$87,Formula!H92,12)&lt;&gt;"",INDEX(Properties!A$1:CB$87,Formula!H92,12)),IF(INDEX(Properties!A$1:CB$87,Formula!J92,12)&lt;&gt;"",INDEX(Properties!A$1:CB$87,Formula!J92,12)))</f>
        <v>2.56</v>
      </c>
      <c r="AU92" s="78">
        <f>MAX(INDEX(Properties!A$1:CB$87,Formula!B92,12),INDEX(Properties!A$1:CB$87,Formula!D92,12),INDEX(Properties!A$1:CB$87,Formula!F92,12),INDEX(Properties!A$1:CB$87,Formula!H92,12),INDEX(Properties!A$1:CB$87,Formula!J92,12))</f>
        <v>4</v>
      </c>
      <c r="AV92" s="78">
        <f>MIN(IF(Formula!B92=87,10^6,INDEX(Properties!A$1:CB$87,Formula!B92,12)),IF((Formula!D92)=87,10^6,INDEX(Properties!A$1:CB$87,Formula!D92,12)),IF((Formula!F92)=87,10^6,INDEX(Properties!A$1:CB$87,Formula!F92,12)),IF((Formula!H92)=87,10^6,INDEX(Properties!A$1:CB$87,Formula!H92,12)),IF(Formula!J92=87,10^6,INDEX(Properties!A$1:CB$87,Formula!J92,12)))</f>
        <v>0</v>
      </c>
      <c r="AW92" s="78">
        <f t="shared" si="39"/>
        <v>4</v>
      </c>
      <c r="AX92" s="45">
        <f>((Formula!C92)/(Formula!C92+Formula!E92+Formula!G92+Formula!I92+Formula!K92))*(INDEX(Properties!A$1:CB$87,Formula!B92,13))+((Formula!E92)/(Formula!C92+Formula!E92+Formula!G92+Formula!I92+Formula!K92))*(INDEX(Properties!A$1:CB$87,Formula!D92,13))+((Formula!G92)/(Formula!C92+Formula!E92+Formula!G92+Formula!I92+Formula!K92))*(INDEX(Properties!A$1:CB$87,Formula!F92,13))+((Formula!I92)/(Formula!C92+Formula!E92+Formula!G92+Formula!I92+Formula!K92))*(INDEX(Properties!A$1:CB$87,Formula!H92,13))+((Formula!K92)/(Formula!C92+Formula!E92+Formula!G92+Formula!I92+Formula!K92))*(INDEX(Properties!A$1:CB$87,Formula!J92,13))</f>
        <v>0</v>
      </c>
      <c r="AY92" s="45">
        <f>Formula!C92*(INDEX(Properties!A$1:CB$87,Formula!B92,13))+Formula!E92*(INDEX(Properties!A$1:CB$87,Formula!D92,13))+Formula!G92*(INDEX(Properties!A$1:CB$87,Formula!F92,13))+Formula!I92*(INDEX(Properties!A$1:CB$87,Formula!H92,13))+Formula!K92*(INDEX(Properties!A$1:CB$87,Formula!J92,13))</f>
        <v>0</v>
      </c>
      <c r="AZ92" s="45">
        <f>VARP(IF(INDEX(Properties!A$1:CB$87,Formula!B92,13)&lt;&gt;"",INDEX(Properties!A$1:CB$87,Formula!B92,13)),IF(INDEX(Properties!A$1:CB$87,Formula!D92,13)&lt;&gt;"",INDEX(Properties!A$1:CB$87,Formula!D92,13)),IF(INDEX(Properties!A$1:CB$87,Formula!F92,13)&lt;&gt;"",INDEX(Properties!A$1:CB$87,Formula!F92,13)),IF(INDEX(Properties!A$1:CB$87,Formula!H92,13)&lt;&gt;"",INDEX(Properties!A$1:CB$87,Formula!H92,13)),IF(INDEX(Properties!A$1:CB$87,Formula!J92,13)&lt;&gt;"",INDEX(Properties!A$1:CB$87,Formula!J92,13)))</f>
        <v>0</v>
      </c>
      <c r="BA92" s="45">
        <f>MAX(INDEX(Properties!A$1:CB$87,Formula!B92,13),INDEX(Properties!A$1:CB$87,Formula!D92,13),INDEX(Properties!A$1:CB$87,Formula!F92,13),INDEX(Properties!A$1:CB$87,Formula!H92,13),INDEX(Properties!A$1:CB$87,Formula!J92,13))</f>
        <v>0</v>
      </c>
      <c r="BB92" s="45">
        <f>MIN(IF(Formula!B92=87,10^6,INDEX(Properties!A$1:CB$87,Formula!B92,13)),IF((Formula!D92)=87,10^6,INDEX(Properties!A$1:CB$87,Formula!D92,13)),IF((Formula!F92)=87,10^6,INDEX(Properties!A$1:CB$87,Formula!F92,13)),IF((Formula!H92)=87,10^6,INDEX(Properties!A$1:CB$87,Formula!H92,13)),IF(Formula!J92=87,10^6,INDEX(Properties!A$1:CB$87,Formula!J92,13)))</f>
        <v>0</v>
      </c>
      <c r="BC92" s="45">
        <f t="shared" si="40"/>
        <v>0</v>
      </c>
      <c r="BD92" s="63">
        <f>((Formula!C92)/(Formula!C92+Formula!E92+Formula!G92+Formula!I92+Formula!K92))*(INDEX(Properties!A$1:CB$87,Formula!B92,14))+((Formula!E92)/(Formula!C92+Formula!E92+Formula!G92+Formula!I92+Formula!K92))*(INDEX(Properties!A$1:CB$87,Formula!D92,14))+((Formula!G92)/(Formula!C92+Formula!E92+Formula!G92+Formula!I92+Formula!K92))*(INDEX(Properties!A$1:CB$87,Formula!F92,14))+((Formula!I92)/(Formula!C92+Formula!E92+Formula!G92+Formula!I92+Formula!K92))*(INDEX(Properties!A$1:CB$87,Formula!H92,14))+((Formula!K92)/(Formula!C92+Formula!E92+Formula!G92+Formula!I92+Formula!K92))*(INDEX(Properties!A$1:CB$87,Formula!J92,14))</f>
        <v>0</v>
      </c>
      <c r="BE92" s="63">
        <f>Formula!C92*(INDEX(Properties!A$1:CB$87,Formula!B92,14))+Formula!E92*(INDEX(Properties!A$1:CB$87,Formula!D92,14))+Formula!G92*(INDEX(Properties!A$1:CB$87,Formula!F92,14))+Formula!I92*(INDEX(Properties!A$1:CB$87,Formula!H92,14))+Formula!K92*(INDEX(Properties!A$1:CB$87,Formula!J92,14))</f>
        <v>0</v>
      </c>
      <c r="BF92" s="63">
        <f>VARP(IF(INDEX(Properties!A$1:CB$87,Formula!B92,14)&lt;&gt;"",INDEX(Properties!A$1:CB$87,Formula!B92,14)),IF(INDEX(Properties!A$1:CB$87,Formula!D92,14)&lt;&gt;"",INDEX(Properties!A$1:CB$87,Formula!D92,14)),IF(INDEX(Properties!A$1:CB$87,Formula!F92,14)&lt;&gt;"",INDEX(Properties!A$1:CB$87,Formula!F92,14)),IF(INDEX(Properties!A$1:CB$87,Formula!H92,14)&lt;&gt;"",INDEX(Properties!A$1:CB$87,Formula!H92,14)),IF(INDEX(Properties!A$1:CB$87,Formula!J92,14)&lt;&gt;"",INDEX(Properties!A$1:CB$87,Formula!J92,14)))</f>
        <v>0</v>
      </c>
      <c r="BG92" s="63">
        <f>MAX(INDEX(Properties!A$1:CB$87,Formula!B92,14),INDEX(Properties!A$1:CB$87,Formula!D92,14),INDEX(Properties!A$1:CB$87,Formula!F92,14),INDEX(Properties!A$1:CB$87,Formula!H92,14),INDEX(Properties!A$1:CB$87,Formula!J92,14))</f>
        <v>0</v>
      </c>
      <c r="BH92" s="63">
        <f>MIN(IF(Formula!B92=87,10^6,INDEX(Properties!A$1:CB$87,Formula!B92,14)),IF((Formula!D92)=87,10^6,INDEX(Properties!A$1:CB$87,Formula!D92,14)),IF((Formula!F92)=87,10^6,INDEX(Properties!A$1:CB$87,Formula!F92,14)),IF((Formula!H92)=87,10^6,INDEX(Properties!A$1:CB$87,Formula!H92,14)),IF(Formula!J92=87,10^6,INDEX(Properties!A$1:CB$87,Formula!J92,14)))</f>
        <v>0</v>
      </c>
      <c r="BI92" s="63">
        <f t="shared" si="41"/>
        <v>0</v>
      </c>
      <c r="BJ92" s="75">
        <f>((Formula!C92)/(Formula!C92+Formula!E92+Formula!G92+Formula!I92+Formula!K92))*(INDEX(Properties!A$1:CB$87,Formula!B92,19))+((Formula!E92)/(Formula!C92+Formula!E92+Formula!G92+Formula!I92+Formula!K92))*(INDEX(Properties!A$1:CB$87,Formula!D92,19))+((Formula!G92)/(Formula!C92+Formula!E92+Formula!G92+Formula!I92+Formula!K92))*(INDEX(Properties!A$1:CB$87,Formula!F92,19))+((Formula!I92)/(Formula!C92+Formula!E92+Formula!G92+Formula!I92+Formula!K92))*(INDEX(Properties!A$1:CB$87,Formula!H92,19))+((Formula!K92)/(Formula!C92+Formula!E92+Formula!G92+Formula!I92+Formula!K92))*(INDEX(Properties!A$1:CB$87,Formula!J92,19))</f>
        <v>4.8</v>
      </c>
      <c r="BK92" s="75">
        <f>Formula!C92*(INDEX(Properties!A$1:CB$87,Formula!B92,19))+Formula!E92*(INDEX(Properties!A$1:CB$87,Formula!D92,19))+Formula!G92*(INDEX(Properties!A$1:CB$87,Formula!F92,19))+Formula!I92*(INDEX(Properties!A$1:CB$87,Formula!H92,19))+Formula!K92*(INDEX(Properties!A$1:CB$87,Formula!J92,19))</f>
        <v>24</v>
      </c>
      <c r="BL92" s="75">
        <f>VARP(IF(INDEX(Properties!A$1:CB$87,Formula!B92,19)&lt;&gt;"",INDEX(Properties!A$1:CB$87,Formula!B92,19)),IF(INDEX(Properties!A$1:CB$87,Formula!D92,19)&lt;&gt;"",INDEX(Properties!A$1:CB$87,Formula!D92,19)),IF(INDEX(Properties!A$1:CB$87,Formula!F92,19)&lt;&gt;"",INDEX(Properties!A$1:CB$87,Formula!F92,19)),IF(INDEX(Properties!A$1:CB$87,Formula!H92,19)&lt;&gt;"",INDEX(Properties!A$1:CB$87,Formula!H92,19)),IF(INDEX(Properties!A$1:CB$87,Formula!J92,19)&lt;&gt;"",INDEX(Properties!A$1:CB$87,Formula!J92,19)))</f>
        <v>5.44</v>
      </c>
      <c r="BM92" s="75">
        <f>MAX(INDEX(Properties!A$1:CB$87,Formula!B92,19),INDEX(Properties!A$1:CB$87,Formula!D92,19),INDEX(Properties!A$1:CB$87,Formula!F92,19),INDEX(Properties!A$1:CB$87,Formula!H92,19),INDEX(Properties!A$1:CB$87,Formula!J92,19))</f>
        <v>6</v>
      </c>
      <c r="BN92" s="75">
        <f>MIN(IF(INDEX(Properties!A$1:CB$87,Formula!B92,19)=0,10^6,INDEX(Properties!A$1:CB$87,Formula!B92,19)),IF(INDEX(Properties!A$1:CB$87,Formula!D92,19)=0,10^6,INDEX(Properties!A$1:CB$87,Formula!D92,19)),IF(INDEX(Properties!A$1:CB$87,Formula!F92,19)=0,10^6,INDEX(Properties!A$1:CB$87,Formula!F92,19)),IF(INDEX(Properties!A$1:CB$87,Formula!H92,19)=0,10^6,INDEX(Properties!A$1:CB$87,Formula!H92,19)),IF(INDEX(Properties!A$1:CB$87,Formula!J92,19)=0,10^6,INDEX(Properties!A$1:CB$87,Formula!J92,19)))</f>
        <v>2</v>
      </c>
      <c r="BO92" s="75">
        <f t="shared" si="42"/>
        <v>4</v>
      </c>
      <c r="BP92" s="48">
        <f>((Formula!C92)/(Formula!C92+Formula!E92+Formula!G92+Formula!I92+Formula!K92))*(INDEX(Properties!A$1:CB$87,Formula!B92,20))+((Formula!E92)/(Formula!C92+Formula!E92+Formula!G92+Formula!I92+Formula!K92))*(INDEX(Properties!A$1:CB$87,Formula!D92,20))+((Formula!G92)/(Formula!C92+Formula!E92+Formula!G92+Formula!I92+Formula!K92))*(INDEX(Properties!A$1:CB$87,Formula!F92,20))+((Formula!I92)/(Formula!C92+Formula!E92+Formula!G92+Formula!I92+Formula!K92))*(INDEX(Properties!A$1:CB$87,Formula!H92,20))+((Formula!K92)/(Formula!C92+Formula!E92+Formula!G92+Formula!I92+Formula!K92))*(INDEX(Properties!A$1:CB$87,Formula!J92,20))</f>
        <v>4.8</v>
      </c>
      <c r="BQ92" s="48">
        <f>Formula!C92*(INDEX(Properties!A$1:CB$87,Formula!B92,20))+Formula!E92*(INDEX(Properties!A$1:CB$87,Formula!D92,20))+Formula!G92*(INDEX(Properties!A$1:CB$87,Formula!F92,20))+Formula!I92*(INDEX(Properties!A$1:CB$87,Formula!H92,20))+Formula!K92*(INDEX(Properties!A$1:CB$87,Formula!J92,20))</f>
        <v>24</v>
      </c>
      <c r="BR92" s="48">
        <f>VARP(IF(INDEX(Properties!A$1:CB$87,Formula!B92,20)&lt;&gt;"",INDEX(Properties!A$1:CB$87,Formula!B92,20)),IF(INDEX(Properties!A$1:CB$87,Formula!D92,20)&lt;&gt;"",INDEX(Properties!A$1:CB$87,Formula!D92,20)),IF(INDEX(Properties!A$1:CB$87,Formula!F92,20)&lt;&gt;"",INDEX(Properties!A$1:CB$87,Formula!F92,20)),IF(INDEX(Properties!A$1:CB$87,Formula!H92,20)&lt;&gt;"",INDEX(Properties!A$1:CB$87,Formula!H92,20)),IF(INDEX(Properties!A$1:CB$87,Formula!J92,20)&lt;&gt;"",INDEX(Properties!A$1:CB$87,Formula!J92,20)))</f>
        <v>5.44</v>
      </c>
      <c r="BS92" s="48">
        <f>MAX(INDEX(Properties!A$1:CB$87,Formula!B92,20),INDEX(Properties!A$1:CB$87,Formula!D92,20),INDEX(Properties!A$1:CB$87,Formula!F92,20),INDEX(Properties!A$1:CB$87,Formula!H92,20),INDEX(Properties!A$1:CB$87,Formula!J92,20))</f>
        <v>6</v>
      </c>
      <c r="BT92" s="48">
        <f>MIN(IF(INDEX(Properties!A$1:CB$87,Formula!B92,20)=0,10^6,INDEX(Properties!A$1:CB$87,Formula!B92,20)),IF(INDEX(Properties!A$1:CB$87,Formula!D92,20)=0,10^6,INDEX(Properties!A$1:CB$87,Formula!D92,20)),IF(INDEX(Properties!A$1:CB$87,Formula!F92,20)=0,10^6,INDEX(Properties!A$1:CB$87,Formula!F92,20)),IF(INDEX(Properties!A$1:CB$87,Formula!H92,20)=0,10^6,INDEX(Properties!A$1:CB$87,Formula!H92,20)),IF(INDEX(Properties!A$1:CB$87,Formula!J92,20)=0,10^6,INDEX(Properties!A$1:CB$87,Formula!J92,20)))</f>
        <v>2</v>
      </c>
      <c r="BU92" s="48">
        <f t="shared" si="43"/>
        <v>4</v>
      </c>
      <c r="BV92" s="66">
        <f>((Formula!C92)/(Formula!C92+Formula!E92+Formula!G92+Formula!I92+Formula!K92))*(INDEX(Properties!A$1:CB$87,Formula!B92,21))+((Formula!E92)/(Formula!C92+Formula!E92+Formula!G92+Formula!I92+Formula!K92))*(INDEX(Properties!A$1:CB$87,Formula!D92,21))+((Formula!G92)/(Formula!C92+Formula!E92+Formula!G92+Formula!I92+Formula!K92))*(INDEX(Properties!A$1:CB$87,Formula!F92,21))+((Formula!I92)/(Formula!C92+Formula!E92+Formula!G92+Formula!I92+Formula!K92))*(INDEX(Properties!A$1:CB$87,Formula!H92,21))+((Formula!K92)/(Formula!C92+Formula!E92+Formula!G92+Formula!I92+Formula!K92))*(INDEX(Properties!A$1:CB$87,Formula!J92,21))</f>
        <v>4.8</v>
      </c>
      <c r="BW92" s="66">
        <f>Formula!C92*(INDEX(Properties!A$1:CB$87,Formula!B92,21))+Formula!E92*(INDEX(Properties!A$1:CB$87,Formula!D92,21))+Formula!G92*(INDEX(Properties!A$1:CB$87,Formula!F92,21))+Formula!I92*(INDEX(Properties!A$1:CB$87,Formula!H92,21))+Formula!K92*(INDEX(Properties!A$1:CB$87,Formula!J92,21))</f>
        <v>24</v>
      </c>
      <c r="BX92" s="66">
        <f>VARP(IF(INDEX(Properties!A$1:CB$87,Formula!B92,21)&lt;&gt;"",INDEX(Properties!A$1:CB$87,Formula!B92,21)),IF(INDEX(Properties!A$1:CB$87,Formula!D92,21)&lt;&gt;"",INDEX(Properties!A$1:CB$87,Formula!D92,21)),IF(INDEX(Properties!A$1:CB$87,Formula!F92,21)&lt;&gt;"",INDEX(Properties!A$1:CB$87,Formula!F92,21)),IF(INDEX(Properties!A$1:CB$87,Formula!H92,21)&lt;&gt;"",INDEX(Properties!A$1:CB$87,Formula!H92,21)),IF(INDEX(Properties!A$1:CB$87,Formula!J92,21)&lt;&gt;"",INDEX(Properties!A$1:CB$87,Formula!J92,21)))</f>
        <v>5.44</v>
      </c>
      <c r="BY92" s="66">
        <f>MAX(INDEX(Properties!A$1:CB$87,Formula!B92,21),INDEX(Properties!A$1:CB$87,Formula!D92,21),INDEX(Properties!A$1:CB$87,Formula!F92,21),INDEX(Properties!A$1:CB$87,Formula!H92,21),INDEX(Properties!A$1:CB$87,Formula!J92,21))</f>
        <v>6</v>
      </c>
      <c r="BZ92" s="66">
        <f>MIN(IF(INDEX(Properties!A$1:CB$87,Formula!B92,21)=0,10^6,INDEX(Properties!A$1:CB$87,Formula!B92,21)),IF(INDEX(Properties!A$1:CB$87,Formula!D92,21)=0,10^6,INDEX(Properties!A$1:CB$87,Formula!D92,21)),IF(INDEX(Properties!A$1:CB$87,Formula!F92,21)=0,10^6,INDEX(Properties!A$1:CB$87,Formula!F92,21)),IF(INDEX(Properties!A$1:CB$87,Formula!H92,21)=0,10^6,INDEX(Properties!A$1:CB$87,Formula!H92,21)),IF(INDEX(Properties!A$1:CB$87,Formula!J92,21)=0,10^6,INDEX(Properties!A$1:CB$87,Formula!J92,21)))</f>
        <v>2</v>
      </c>
      <c r="CA92" s="66">
        <f t="shared" si="44"/>
        <v>4</v>
      </c>
      <c r="CB92" s="81">
        <f>((Formula!C92)/(Formula!C92+Formula!E92+Formula!G92+Formula!I92+Formula!K92))*(INDEX(Properties!A$1:CB$87,Formula!B92,23))+((Formula!E92)/(Formula!C92+Formula!E92+Formula!G92+Formula!I92+Formula!K92))*(INDEX(Properties!A$1:CB$87,Formula!D92,23))+((Formula!G92)/(Formula!C92+Formula!E92+Formula!G92+Formula!I92+Formula!K92))*(INDEX(Properties!A$1:CB$87,Formula!F92,23))+((Formula!I92)/(Formula!C92+Formula!E92+Formula!G92+Formula!I92+Formula!K92))*(INDEX(Properties!A$1:CB$87,Formula!H92,23))+((Formula!K92)/(Formula!C92+Formula!E92+Formula!G92+Formula!I92+Formula!K92))*(INDEX(Properties!A$1:CB$87,Formula!J92,23))</f>
        <v>1.2000000000000002</v>
      </c>
      <c r="CC92" s="81">
        <f>Formula!C92*(INDEX(Properties!A$1:CB$87,Formula!B92,23))+Formula!E92*(INDEX(Properties!A$1:CB$87,Formula!D92,23))+Formula!G92*(INDEX(Properties!A$1:CB$87,Formula!F92,23))+Formula!I92*(INDEX(Properties!A$1:CB$87,Formula!H92,23))+Formula!K92*(INDEX(Properties!A$1:CB$87,Formula!J92,23))</f>
        <v>6</v>
      </c>
      <c r="CD92" s="81">
        <f>VARP(IF(INDEX(Properties!A$1:CB$87,Formula!B92,23)&lt;&gt;"",INDEX(Properties!A$1:CB$87,Formula!B92,23)),IF(INDEX(Properties!A$1:CB$87,Formula!D92,23)&lt;&gt;"",INDEX(Properties!A$1:CB$87,Formula!D92,23)),IF(INDEX(Properties!A$1:CB$87,Formula!F92,23)&lt;&gt;"",INDEX(Properties!A$1:CB$87,Formula!F92,23)),IF(INDEX(Properties!A$1:CB$87,Formula!H92,23)&lt;&gt;"",INDEX(Properties!A$1:CB$87,Formula!H92,23)),IF(INDEX(Properties!A$1:CB$87,Formula!J92,23)&lt;&gt;"",INDEX(Properties!A$1:CB$87,Formula!J92,23)))</f>
        <v>2.56</v>
      </c>
      <c r="CE92" s="81">
        <f>MAX(INDEX(Properties!A$1:CB$87,Formula!B92,23),INDEX(Properties!A$1:CB$87,Formula!D92,23),INDEX(Properties!A$1:CB$87,Formula!F92,23),INDEX(Properties!A$1:CB$87,Formula!H92,23),INDEX(Properties!A$1:CB$87,Formula!J92,23))</f>
        <v>4</v>
      </c>
      <c r="CF92" s="81">
        <f>MIN(IF(Formula!B92=87,10^6,INDEX(Properties!A$1:CB$87,Formula!B92,23)),IF((Formula!D92)=87,10^6,INDEX(Properties!A$1:CB$87,Formula!D92,23)),IF((Formula!F92)=87,10^6,INDEX(Properties!A$1:CB$87,Formula!F92,23)),IF((Formula!H92)=87,10^6,INDEX(Properties!A$1:CB$87,Formula!H92,23)),IF(Formula!J92=87,10^6,INDEX(Properties!A$1:CB$87,Formula!J92,23)))</f>
        <v>0</v>
      </c>
      <c r="CG92" s="81">
        <f t="shared" si="45"/>
        <v>4</v>
      </c>
      <c r="CH92" s="39">
        <f>((Formula!C92)/(Formula!C92+Formula!E92+Formula!G92+Formula!I92+Formula!K92))*(INDEX(Properties!A$1:CB$87,Formula!B92,26))+((Formula!E92)/(Formula!C92+Formula!E92+Formula!G92+Formula!I92+Formula!K92))*(INDEX(Properties!A$1:CB$87,Formula!D92,26))+((Formula!G92)/(Formula!C92+Formula!E92+Formula!G92+Formula!I92+Formula!K92))*(INDEX(Properties!A$1:CB$87,Formula!F92,26))+((Formula!I92)/(Formula!C92+Formula!E92+Formula!G92+Formula!I92+Formula!K92))*(INDEX(Properties!A$1:CB$87,Formula!H92,26))+((Formula!K92)/(Formula!C92+Formula!E92+Formula!G92+Formula!I92+Formula!K92))*(INDEX(Properties!A$1:CB$87,Formula!J92,26))</f>
        <v>11.02384</v>
      </c>
      <c r="CI92" s="39">
        <f>Formula!C92*(INDEX(Properties!A$1:CB$87,Formula!B92,26))+Formula!E92*(INDEX(Properties!A$1:CB$87,Formula!D92,26))+Formula!G92*(INDEX(Properties!A$1:CB$87,Formula!F92,26))+Formula!I92*(INDEX(Properties!A$1:CB$87,Formula!H92,26))+Formula!K92*(INDEX(Properties!A$1:CB$87,Formula!J92,26))</f>
        <v>55.119200000000006</v>
      </c>
      <c r="CJ92" s="39">
        <f>VARP(IF(INDEX(Properties!A$1:CB$87,Formula!B92,26)&lt;&gt;"",INDEX(Properties!A$1:CB$87,Formula!B92,26)),IF(INDEX(Properties!A$1:CB$87,Formula!D92,26)&lt;&gt;"",INDEX(Properties!A$1:CB$87,Formula!D92,26)),IF(INDEX(Properties!A$1:CB$87,Formula!F92,26)&lt;&gt;"",INDEX(Properties!A$1:CB$87,Formula!F92,26)),IF(INDEX(Properties!A$1:CB$87,Formula!H92,26)&lt;&gt;"",INDEX(Properties!A$1:CB$87,Formula!H92,26)),IF(INDEX(Properties!A$1:CB$87,Formula!J92,26)&lt;&gt;"",INDEX(Properties!A$1:CB$87,Formula!J92,26)))</f>
        <v>26.756347387999995</v>
      </c>
      <c r="CK92" s="39">
        <f>MAX(INDEX(Properties!A$1:CB$87,Formula!B92,26),INDEX(Properties!A$1:CB$87,Formula!D92,26),INDEX(Properties!A$1:CB$87,Formula!F92,26),INDEX(Properties!A$1:CB$87,Formula!H92,26),INDEX(Properties!A$1:CB$87,Formula!J92,26))</f>
        <v>13.6181</v>
      </c>
      <c r="CL92" s="39">
        <f>MIN(IF(INDEX(Properties!A$1:CB$87,Formula!B92,26)=0,10^6,INDEX(Properties!A$1:CB$87,Formula!B92,26)),IF(INDEX(Properties!A$1:CB$87,Formula!D92,26)=0,10^6,INDEX(Properties!A$1:CB$87,Formula!D92,26)),IF(INDEX(Properties!A$1:CB$87,Formula!F92,26)=0,10^6,INDEX(Properties!A$1:CB$87,Formula!F92,26)),IF(INDEX(Properties!A$1:CB$87,Formula!H92,26)=0,10^6,INDEX(Properties!A$1:CB$87,Formula!H92,26)),IF(INDEX(Properties!A$1:CB$87,Formula!J92,26)=0,10^6,INDEX(Properties!A$1:CB$87,Formula!J92,26)))</f>
        <v>6.1132</v>
      </c>
      <c r="CM92" s="39">
        <f t="shared" si="46"/>
        <v>7.5049000000000001</v>
      </c>
      <c r="CN92" s="54">
        <f>((Formula!C92)/(Formula!C92+Formula!E92+Formula!G92+Formula!I92+Formula!K92))*(INDEX(Properties!A$1:CB$87,Formula!B92,30))+((Formula!E92)/(Formula!C92+Formula!E92+Formula!G92+Formula!I92+Formula!K92))*(INDEX(Properties!A$1:CB$87,Formula!D92,30))+((Formula!G92)/(Formula!C92+Formula!E92+Formula!G92+Formula!I92+Formula!K92))*(INDEX(Properties!A$1:CB$87,Formula!F92,30))+((Formula!I92)/(Formula!C92+Formula!E92+Formula!G92+Formula!I92+Formula!K92))*(INDEX(Properties!A$1:CB$87,Formula!H92,30))+((Formula!K92)/(Formula!C92+Formula!E92+Formula!G92+Formula!I92+Formula!K92))*(INDEX(Properties!A$1:CB$87,Formula!J92,30))</f>
        <v>2.6440000000000001</v>
      </c>
      <c r="CO92" s="54">
        <f>Formula!C92*(INDEX(Properties!A$1:CB$87,Formula!B92,30))+Formula!E92*(INDEX(Properties!A$1:CB$87,Formula!D92,30))+Formula!G92*(INDEX(Properties!A$1:CB$87,Formula!F92,30))+Formula!I92*(INDEX(Properties!A$1:CB$87,Formula!H92,30))+Formula!K92*(INDEX(Properties!A$1:CB$87,Formula!J92,30))</f>
        <v>13.22</v>
      </c>
      <c r="CP92" s="54">
        <f>VARP(IF(INDEX(Properties!A$1:CB$87,Formula!B92,30)&lt;&gt;"",INDEX(Properties!A$1:CB$87,Formula!B92,30)),IF(INDEX(Properties!A$1:CB$87,Formula!D92,30)&lt;&gt;"",INDEX(Properties!A$1:CB$87,Formula!D92,30)),IF(INDEX(Properties!A$1:CB$87,Formula!F92,30)&lt;&gt;"",INDEX(Properties!A$1:CB$87,Formula!F92,30)),IF(INDEX(Properties!A$1:CB$87,Formula!H92,30)&lt;&gt;"",INDEX(Properties!A$1:CB$87,Formula!H92,30)),IF(INDEX(Properties!A$1:CB$87,Formula!J92,30)&lt;&gt;"",INDEX(Properties!A$1:CB$87,Formula!J92,30)))</f>
        <v>1.6808959999999997</v>
      </c>
      <c r="CQ92" s="54">
        <f>MAX(INDEX(Properties!A$1:CB$87,Formula!B92,30),INDEX(Properties!A$1:CB$87,Formula!D92,30),INDEX(Properties!A$1:CB$87,Formula!F92,30),INDEX(Properties!A$1:CB$87,Formula!H92,30),INDEX(Properties!A$1:CB$87,Formula!J92,30))</f>
        <v>3.44</v>
      </c>
      <c r="CR92" s="54">
        <f>MIN(IF(INDEX(Properties!A$1:CB$87,Formula!B92,30)=0,10^6,INDEX(Properties!A$1:CB$87,Formula!B92,30)),IF(INDEX(Properties!A$1:CB$87,Formula!D92,30)=0,10^6,INDEX(Properties!A$1:CB$87,Formula!D92,30)),IF(INDEX(Properties!A$1:CB$87,Formula!F92,30)=0,10^6,INDEX(Properties!A$1:CB$87,Formula!F92,30)),IF(INDEX(Properties!A$1:CB$87,Formula!H92,30)=0,10^6,INDEX(Properties!A$1:CB$87,Formula!H92,30)),IF(INDEX(Properties!A$1:CB$87,Formula!J92,30)=0,10^6,INDEX(Properties!A$1:CB$87,Formula!J92,30)))</f>
        <v>1</v>
      </c>
      <c r="CS92" s="54">
        <f t="shared" si="47"/>
        <v>2.44</v>
      </c>
      <c r="CT92" s="69">
        <f>((Formula!C92)/(Formula!C92+Formula!E92+Formula!G92+Formula!I92+Formula!K92))*(INDEX(Properties!A$1:CB$87,Formula!B92,31))+((Formula!E92)/(Formula!C92+Formula!E92+Formula!G92+Formula!I92+Formula!K92))*(INDEX(Properties!A$1:CB$87,Formula!D92,31))+((Formula!G92)/(Formula!C92+Formula!E92+Formula!G92+Formula!I92+Formula!K92))*(INDEX(Properties!A$1:CB$87,Formula!F92,31))+((Formula!I92)/(Formula!C92+Formula!E92+Formula!G92+Formula!I92+Formula!K92))*(INDEX(Properties!A$1:CB$87,Formula!H92,31))+((Formula!K92)/(Formula!C92+Formula!E92+Formula!G92+Formula!I92+Formula!K92))*(INDEX(Properties!A$1:CB$87,Formula!J92,31))</f>
        <v>2.6219999999999999</v>
      </c>
      <c r="CU92" s="69">
        <f>Formula!C92*(INDEX(Properties!A$1:CB$87,Formula!B92,31))+Formula!E92*(INDEX(Properties!A$1:CB$87,Formula!D92,31))+Formula!G92*(INDEX(Properties!A$1:CB$87,Formula!F92,31))+Formula!I92*(INDEX(Properties!A$1:CB$87,Formula!H92,31))+Formula!K92*(INDEX(Properties!A$1:CB$87,Formula!J92,31))</f>
        <v>13.11</v>
      </c>
      <c r="CV92" s="69">
        <f>VARP(IF(INDEX(Properties!A$1:CB$87,Formula!B92,31)&lt;&gt;"",INDEX(Properties!A$1:CB$87,Formula!B92,31)),IF(INDEX(Properties!A$1:CB$87,Formula!D92,31)&lt;&gt;"",INDEX(Properties!A$1:CB$87,Formula!D92,31)),IF(INDEX(Properties!A$1:CB$87,Formula!F92,31)&lt;&gt;"",INDEX(Properties!A$1:CB$87,Formula!F92,31)),IF(INDEX(Properties!A$1:CB$87,Formula!H92,31)&lt;&gt;"",INDEX(Properties!A$1:CB$87,Formula!H92,31)),IF(INDEX(Properties!A$1:CB$87,Formula!J92,31)&lt;&gt;"",INDEX(Properties!A$1:CB$87,Formula!J92,31)))</f>
        <v>1.587904</v>
      </c>
      <c r="CW92" s="69">
        <f>MAX(INDEX(Properties!A$1:CB$87,Formula!B92,31),INDEX(Properties!A$1:CB$87,Formula!D92,31),INDEX(Properties!A$1:CB$87,Formula!F92,31),INDEX(Properties!A$1:CB$87,Formula!H92,31),INDEX(Properties!A$1:CB$87,Formula!J92,31))</f>
        <v>3.32</v>
      </c>
      <c r="CX92" s="69">
        <f>MIN(IF(INDEX(Properties!A$1:CB$87,Formula!B92,31)=0,10^6,INDEX(Properties!A$1:CB$87,Formula!B92,31)),IF(INDEX(Properties!A$1:CB$87,Formula!D92,31)=0,10^6,INDEX(Properties!A$1:CB$87,Formula!D92,31)),IF(INDEX(Properties!A$1:CB$87,Formula!F92,31)=0,10^6,INDEX(Properties!A$1:CB$87,Formula!F92,31)),IF(INDEX(Properties!A$1:CB$87,Formula!H92,31)=0,10^6,INDEX(Properties!A$1:CB$87,Formula!H92,31)),IF(INDEX(Properties!A$1:CB$87,Formula!J92,31)=0,10^6,INDEX(Properties!A$1:CB$87,Formula!J92,31)))</f>
        <v>1.17</v>
      </c>
      <c r="CY92" s="69">
        <f t="shared" si="48"/>
        <v>2.15</v>
      </c>
      <c r="CZ92" s="42">
        <f>((Formula!C92)/(Formula!C92+Formula!E92+Formula!G92+Formula!I92+Formula!K92))*(INDEX(Properties!A$1:CB$87,Formula!B92,32))+((Formula!E92)/(Formula!C92+Formula!E92+Formula!G92+Formula!I92+Formula!K92))*(INDEX(Properties!A$1:CB$87,Formula!D92,32))+((Formula!G92)/(Formula!C92+Formula!E92+Formula!G92+Formula!I92+Formula!K92))*(INDEX(Properties!A$1:CB$87,Formula!F92,32))+((Formula!I92)/(Formula!C92+Formula!E92+Formula!G92+Formula!I92+Formula!K92))*(INDEX(Properties!A$1:CB$87,Formula!H92,32))+((Formula!K92)/(Formula!C92+Formula!E92+Formula!G92+Formula!I92+Formula!K92))*(INDEX(Properties!A$1:CB$87,Formula!J92,32))</f>
        <v>5.9180000000000001</v>
      </c>
      <c r="DA92" s="42">
        <f>Formula!C92*(INDEX(Properties!A$1:CB$87,Formula!B92,32))+Formula!E92*(INDEX(Properties!A$1:CB$87,Formula!D92,32))+Formula!G92*(INDEX(Properties!A$1:CB$87,Formula!F92,32))+Formula!I92*(INDEX(Properties!A$1:CB$87,Formula!H92,32))+Formula!K92*(INDEX(Properties!A$1:CB$87,Formula!J92,32))</f>
        <v>29.59</v>
      </c>
      <c r="DB92" s="42">
        <f>VARP(IF(INDEX(Properties!A$1:CB$87,Formula!B92,32)&lt;&gt;"",INDEX(Properties!A$1:CB$87,Formula!B92,32)),IF(INDEX(Properties!A$1:CB$87,Formula!D92,32)&lt;&gt;"",INDEX(Properties!A$1:CB$87,Formula!D92,32)),IF(INDEX(Properties!A$1:CB$87,Formula!F92,32)&lt;&gt;"",INDEX(Properties!A$1:CB$87,Formula!F92,32)),IF(INDEX(Properties!A$1:CB$87,Formula!H92,32)&lt;&gt;"",INDEX(Properties!A$1:CB$87,Formula!H92,32)),IF(INDEX(Properties!A$1:CB$87,Formula!J92,32)&lt;&gt;"",INDEX(Properties!A$1:CB$87,Formula!J92,32)))</f>
        <v>8.4672959999999993</v>
      </c>
      <c r="DC92" s="42">
        <f>MAX(INDEX(Properties!A$1:CB$87,Formula!B92,32),INDEX(Properties!A$1:CB$87,Formula!D92,32),INDEX(Properties!A$1:CB$87,Formula!F92,32),INDEX(Properties!A$1:CB$87,Formula!H92,32),INDEX(Properties!A$1:CB$87,Formula!J92,32))</f>
        <v>7.54</v>
      </c>
      <c r="DD92" s="42">
        <f>MIN(IF(INDEX(Properties!A$1:CB$87,Formula!B92,32)=0,10^6,INDEX(Properties!A$1:CB$87,Formula!B92,32)),IF(INDEX(Properties!A$1:CB$87,Formula!D92,32)=0,10^6,INDEX(Properties!A$1:CB$87,Formula!D92,32)),IF(INDEX(Properties!A$1:CB$87,Formula!F92,32)=0,10^6,INDEX(Properties!A$1:CB$87,Formula!F92,32)),IF(INDEX(Properties!A$1:CB$87,Formula!H92,32)=0,10^6,INDEX(Properties!A$1:CB$87,Formula!H92,32)),IF(INDEX(Properties!A$1:CB$87,Formula!J92,32)=0,10^6,INDEX(Properties!A$1:CB$87,Formula!J92,32)))</f>
        <v>2.2000000000000002</v>
      </c>
      <c r="DE92" s="42">
        <f t="shared" si="49"/>
        <v>5.34</v>
      </c>
      <c r="DF92" s="60">
        <f>((Formula!C92)/(Formula!C92+Formula!E92+Formula!G92+Formula!I92+Formula!K92))*(INDEX(Properties!A$1:CB$87,Formula!B92,34))+((Formula!E92)/(Formula!C92+Formula!E92+Formula!G92+Formula!I92+Formula!K92))*(INDEX(Properties!A$1:CB$87,Formula!D92,34))+((Formula!G92)/(Formula!C92+Formula!E92+Formula!G92+Formula!I92+Formula!K92))*(INDEX(Properties!A$1:CB$87,Formula!F92,34))+((Formula!I92)/(Formula!C92+Formula!E92+Formula!G92+Formula!I92+Formula!K92))*(INDEX(Properties!A$1:CB$87,Formula!H92,34))+((Formula!K92)/(Formula!C92+Formula!E92+Formula!G92+Formula!I92+Formula!K92))*(INDEX(Properties!A$1:CB$87,Formula!J92,34))</f>
        <v>2.7559999999999998</v>
      </c>
      <c r="DG92" s="60">
        <f>Formula!C92*(INDEX(Properties!A$1:CB$87,Formula!B92,34))+Formula!E92*(INDEX(Properties!A$1:CB$87,Formula!D92,34))+Formula!G92*(INDEX(Properties!A$1:CB$87,Formula!F92,34))+Formula!I92*(INDEX(Properties!A$1:CB$87,Formula!H92,34))+Formula!K92*(INDEX(Properties!A$1:CB$87,Formula!J92,34))</f>
        <v>13.780000000000001</v>
      </c>
      <c r="DH92" s="60">
        <f>VARP(IF(INDEX(Properties!A$1:CB$87,Formula!B92,34)&lt;&gt;"",INDEX(Properties!A$1:CB$87,Formula!B92,34)),IF(INDEX(Properties!A$1:CB$87,Formula!D92,34)&lt;&gt;"",INDEX(Properties!A$1:CB$87,Formula!D92,34)),IF(INDEX(Properties!A$1:CB$87,Formula!F92,34)&lt;&gt;"",INDEX(Properties!A$1:CB$87,Formula!F92,34)),IF(INDEX(Properties!A$1:CB$87,Formula!H92,34)&lt;&gt;"",INDEX(Properties!A$1:CB$87,Formula!H92,34)),IF(INDEX(Properties!A$1:CB$87,Formula!J92,34)&lt;&gt;"",INDEX(Properties!A$1:CB$87,Formula!J92,34)))</f>
        <v>1.8331183999999996</v>
      </c>
      <c r="DI92" s="60">
        <f>MAX(INDEX(Properties!A$1:CB$87,Formula!B92,34),INDEX(Properties!A$1:CB$87,Formula!D92,34),INDEX(Properties!A$1:CB$87,Formula!F92,34),INDEX(Properties!A$1:CB$87,Formula!H92,34),INDEX(Properties!A$1:CB$87,Formula!J92,34))</f>
        <v>3.61</v>
      </c>
      <c r="DJ92" s="60">
        <f>MIN(IF(INDEX(Properties!A$1:CB$87,Formula!B92,34)=0,10^6,INDEX(Properties!A$1:CB$87,Formula!B92,34)),IF(INDEX(Properties!A$1:CB$87,Formula!D92,34)=0,10^6,INDEX(Properties!A$1:CB$87,Formula!D92,34)),IF(INDEX(Properties!A$1:CB$87,Formula!F92,34)=0,10^6,INDEX(Properties!A$1:CB$87,Formula!F92,34)),IF(INDEX(Properties!A$1:CB$87,Formula!H92,34)=0,10^6,INDEX(Properties!A$1:CB$87,Formula!H92,34)),IF(INDEX(Properties!A$1:CB$87,Formula!J92,34)=0,10^6,INDEX(Properties!A$1:CB$87,Formula!J92,34)))</f>
        <v>1.034</v>
      </c>
      <c r="DK92" s="60">
        <f t="shared" si="50"/>
        <v>2.5759999999999996</v>
      </c>
      <c r="DL92" s="45">
        <f>((Formula!C92)/(Formula!C92+Formula!E92+Formula!G92+Formula!I92+Formula!K92))*(INDEX(Properties!A$1:CB$87,Formula!B92,39))+((Formula!E92)/(Formula!C92+Formula!E92+Formula!G92+Formula!I92+Formula!K92))*(INDEX(Properties!A$1:CB$87,Formula!D92,39))+((Formula!G92)/(Formula!C92+Formula!E92+Formula!G92+Formula!I92+Formula!K92))*(INDEX(Properties!A$1:CB$87,Formula!F92,39))+((Formula!I92)/(Formula!C92+Formula!E92+Formula!G92+Formula!I92+Formula!K92))*(INDEX(Properties!A$1:CB$87,Formula!H92,39))+((Formula!K92)/(Formula!C92+Formula!E92+Formula!G92+Formula!I92+Formula!K92))*(INDEX(Properties!A$1:CB$87,Formula!J92,39))</f>
        <v>0.89800000000000013</v>
      </c>
      <c r="DM92" s="45">
        <f>Formula!C92*(INDEX(Properties!A$1:CB$87,Formula!B92,39))+Formula!E92*(INDEX(Properties!A$1:CB$87,Formula!D92,39))+Formula!G92*(INDEX(Properties!A$1:CB$87,Formula!F92,39))+Formula!I92*(INDEX(Properties!A$1:CB$87,Formula!H92,39))+Formula!K92*(INDEX(Properties!A$1:CB$87,Formula!J92,39))</f>
        <v>4.49</v>
      </c>
      <c r="DN92" s="45">
        <f>VARP(IF(INDEX(Properties!A$1:CB$87,Formula!B92,39)&lt;&gt;"",INDEX(Properties!A$1:CB$87,Formula!B92,39)),IF(INDEX(Properties!A$1:CB$87,Formula!D92,39)&lt;&gt;"",INDEX(Properties!A$1:CB$87,Formula!D92,39)),IF(INDEX(Properties!A$1:CB$87,Formula!F92,39)&lt;&gt;"",INDEX(Properties!A$1:CB$87,Formula!F92,39)),IF(INDEX(Properties!A$1:CB$87,Formula!H92,39)&lt;&gt;"",INDEX(Properties!A$1:CB$87,Formula!H92,39)),IF(INDEX(Properties!A$1:CB$87,Formula!J92,39)&lt;&gt;"",INDEX(Properties!A$1:CB$87,Formula!J92,39)))</f>
        <v>0.54678400000000027</v>
      </c>
      <c r="DO92" s="45">
        <f>MAX(INDEX(Properties!A$1:CB$87,Formula!B92,39),INDEX(Properties!A$1:CB$87,Formula!D92,39),INDEX(Properties!A$1:CB$87,Formula!F92,39),INDEX(Properties!A$1:CB$87,Formula!H92,39),INDEX(Properties!A$1:CB$87,Formula!J92,39))</f>
        <v>1.94</v>
      </c>
      <c r="DP92" s="45">
        <f>MIN(IF(INDEX(Properties!A$1:CB$87,Formula!B92,39)=0,10^6,INDEX(Properties!A$1:CB$87,Formula!B92,39)),IF(INDEX(Properties!A$1:CB$87,Formula!D92,39)=0,10^6,INDEX(Properties!A$1:CB$87,Formula!D92,39)),IF(INDEX(Properties!A$1:CB$87,Formula!F92,39)=0,10^6,INDEX(Properties!A$1:CB$87,Formula!F92,39)),IF(INDEX(Properties!A$1:CB$87,Formula!H92,39)=0,10^6,INDEX(Properties!A$1:CB$87,Formula!H92,39)),IF(INDEX(Properties!A$1:CB$87,Formula!J92,39)=0,10^6,INDEX(Properties!A$1:CB$87,Formula!J92,39)))</f>
        <v>0.48</v>
      </c>
      <c r="DQ92" s="45">
        <f t="shared" si="51"/>
        <v>1.46</v>
      </c>
      <c r="DR92" s="63">
        <f>((Formula!C92)/(Formula!C92+Formula!E92+Formula!G92+Formula!I92+Formula!K92))*(INDEX(Properties!A$1:CB$87,Formula!B92,40))+((Formula!E92)/(Formula!C92+Formula!E92+Formula!G92+Formula!I92+Formula!K92))*(INDEX(Properties!A$1:CB$87,Formula!D92,40))+((Formula!G92)/(Formula!C92+Formula!E92+Formula!G92+Formula!I92+Formula!K92))*(INDEX(Properties!A$1:CB$87,Formula!F92,40))+((Formula!I92)/(Formula!C92+Formula!E92+Formula!G92+Formula!I92+Formula!K92))*(INDEX(Properties!A$1:CB$87,Formula!H92,40))+((Formula!K92)/(Formula!C92+Formula!E92+Formula!G92+Formula!I92+Formula!K92))*(INDEX(Properties!A$1:CB$87,Formula!J92,40))</f>
        <v>1.008</v>
      </c>
      <c r="DS92" s="63">
        <f>Formula!C92*(INDEX(Properties!A$1:CB$87,Formula!B92,40))+Formula!E92*(INDEX(Properties!A$1:CB$87,Formula!D92,40))+Formula!G92*(INDEX(Properties!A$1:CB$87,Formula!F92,40))+Formula!I92*(INDEX(Properties!A$1:CB$87,Formula!H92,40))+Formula!K92*(INDEX(Properties!A$1:CB$87,Formula!J92,40))</f>
        <v>5.04</v>
      </c>
      <c r="DT92" s="63">
        <f>VARP(IF(INDEX(Properties!A$1:CB$87,Formula!B92,40)&lt;&gt;"",INDEX(Properties!A$1:CB$87,Formula!B92,40)),IF(INDEX(Properties!A$1:CB$87,Formula!D92,40)&lt;&gt;"",INDEX(Properties!A$1:CB$87,Formula!D92,40)),IF(INDEX(Properties!A$1:CB$87,Formula!F92,40)&lt;&gt;"",INDEX(Properties!A$1:CB$87,Formula!F92,40)),IF(INDEX(Properties!A$1:CB$87,Formula!H92,40)&lt;&gt;"",INDEX(Properties!A$1:CB$87,Formula!H92,40)),IF(INDEX(Properties!A$1:CB$87,Formula!J92,40)&lt;&gt;"",INDEX(Properties!A$1:CB$87,Formula!J92,40)))</f>
        <v>0.44586400000000004</v>
      </c>
      <c r="DU92" s="63">
        <f>MAX(INDEX(Properties!A$1:CB$87,Formula!B92,40),INDEX(Properties!A$1:CB$87,Formula!D92,40),INDEX(Properties!A$1:CB$87,Formula!F92,40),INDEX(Properties!A$1:CB$87,Formula!H92,40),INDEX(Properties!A$1:CB$87,Formula!J92,40))</f>
        <v>1.74</v>
      </c>
      <c r="DV92" s="63">
        <f>MIN(IF(INDEX(Properties!A$1:CB$87,Formula!B92,40)=0,10^6,INDEX(Properties!A$1:CB$87,Formula!B92,40)),IF(INDEX(Properties!A$1:CB$87,Formula!D92,40)=0,10^6,INDEX(Properties!A$1:CB$87,Formula!D92,40)),IF(INDEX(Properties!A$1:CB$87,Formula!F92,40)=0,10^6,INDEX(Properties!A$1:CB$87,Formula!F92,40)),IF(INDEX(Properties!A$1:CB$87,Formula!H92,40)=0,10^6,INDEX(Properties!A$1:CB$87,Formula!H92,40)),IF(INDEX(Properties!A$1:CB$87,Formula!J92,40)=0,10^6,INDEX(Properties!A$1:CB$87,Formula!J92,40)))</f>
        <v>0.73</v>
      </c>
      <c r="DW92" s="63">
        <f t="shared" si="52"/>
        <v>1.01</v>
      </c>
      <c r="DX92" s="75">
        <f>((Formula!C92)/(Formula!C92+Formula!E92+Formula!G92+Formula!I92+Formula!K92))*(INDEX(Properties!A$1:CB$87,Formula!B92,41))+((Formula!E92)/(Formula!C92+Formula!E92+Formula!G92+Formula!I92+Formula!K92))*(INDEX(Properties!A$1:CB$87,Formula!D92,41))+((Formula!G92)/(Formula!C92+Formula!E92+Formula!G92+Formula!I92+Formula!K92))*(INDEX(Properties!A$1:CB$87,Formula!F92,41))+((Formula!I92)/(Formula!C92+Formula!E92+Formula!G92+Formula!I92+Formula!K92))*(INDEX(Properties!A$1:CB$87,Formula!H92,41))+((Formula!K92)/(Formula!C92+Formula!E92+Formula!G92+Formula!I92+Formula!K92))*(INDEX(Properties!A$1:CB$87,Formula!J92,41))</f>
        <v>1.0920000000000001</v>
      </c>
      <c r="DY92" s="75">
        <f>Formula!C92*(INDEX(Properties!A$1:CB$87,Formula!B92,41))+Formula!E92*(INDEX(Properties!A$1:CB$87,Formula!D92,41))+Formula!G92*(INDEX(Properties!A$1:CB$87,Formula!F92,41))+Formula!I92*(INDEX(Properties!A$1:CB$87,Formula!H92,41))+Formula!K92*(INDEX(Properties!A$1:CB$87,Formula!J92,41))</f>
        <v>5.46</v>
      </c>
      <c r="DZ92" s="75">
        <f>VARP(IF(INDEX(Properties!A$1:CB$87,Formula!B92,41)&lt;&gt;"",INDEX(Properties!A$1:CB$87,Formula!B92,41)),IF(INDEX(Properties!A$1:CB$87,Formula!D92,41)&lt;&gt;"",INDEX(Properties!A$1:CB$87,Formula!D92,41)),IF(INDEX(Properties!A$1:CB$87,Formula!F92,41)&lt;&gt;"",INDEX(Properties!A$1:CB$87,Formula!F92,41)),IF(INDEX(Properties!A$1:CB$87,Formula!H92,41)&lt;&gt;"",INDEX(Properties!A$1:CB$87,Formula!H92,41)),IF(INDEX(Properties!A$1:CB$87,Formula!J92,41)&lt;&gt;"",INDEX(Properties!A$1:CB$87,Formula!J92,41)))</f>
        <v>0.29001599999999994</v>
      </c>
      <c r="EA92" s="75">
        <f>MAX(INDEX(Properties!A$1:CB$87,Formula!B92,41),INDEX(Properties!A$1:CB$87,Formula!D92,41),INDEX(Properties!A$1:CB$87,Formula!F92,41),INDEX(Properties!A$1:CB$87,Formula!H92,41),INDEX(Properties!A$1:CB$87,Formula!J92,41))</f>
        <v>1.26</v>
      </c>
      <c r="EB92" s="75">
        <f>MIN(IF(INDEX(Properties!A$1:CB$87,Formula!B92,41)=0,10^6,INDEX(Properties!A$1:CB$87,Formula!B92,41)),IF(INDEX(Properties!A$1:CB$87,Formula!D92,41)=0,10^6,INDEX(Properties!A$1:CB$87,Formula!D92,41)),IF(INDEX(Properties!A$1:CB$87,Formula!F92,41)=0,10^6,INDEX(Properties!A$1:CB$87,Formula!F92,41)),IF(INDEX(Properties!A$1:CB$87,Formula!H92,41)=0,10^6,INDEX(Properties!A$1:CB$87,Formula!H92,41)),IF(INDEX(Properties!A$1:CB$87,Formula!J92,41)=0,10^6,INDEX(Properties!A$1:CB$87,Formula!J92,41)))</f>
        <v>0.54</v>
      </c>
      <c r="EC92" s="75">
        <f t="shared" si="53"/>
        <v>0.72</v>
      </c>
      <c r="ED92" s="48">
        <f>((Formula!C92)/(Formula!C92+Formula!E92+Formula!G92+Formula!I92+Formula!K92))*(INDEX(Properties!A$1:CB$87,Formula!B92,45))+((Formula!E92)/(Formula!C92+Formula!E92+Formula!G92+Formula!I92+Formula!K92))*(INDEX(Properties!A$1:CB$87,Formula!D92,45))+((Formula!G92)/(Formula!C92+Formula!E92+Formula!G92+Formula!I92+Formula!K92))*(INDEX(Properties!A$1:CB$87,Formula!F92,45))+((Formula!I92)/(Formula!C92+Formula!E92+Formula!G92+Formula!I92+Formula!K92))*(INDEX(Properties!A$1:CB$87,Formula!H92,45))+((Formula!K92)/(Formula!C92+Formula!E92+Formula!G92+Formula!I92+Formula!K92))*(INDEX(Properties!A$1:CB$87,Formula!J92,45))</f>
        <v>1.1660000000000001</v>
      </c>
      <c r="EE92" s="48">
        <f>Formula!C92*(INDEX(Properties!A$1:CB$87,Formula!B92,45))+Formula!E92*(INDEX(Properties!A$1:CB$87,Formula!D92,45))+Formula!G92*(INDEX(Properties!A$1:CB$87,Formula!F92,45))+Formula!I92*(INDEX(Properties!A$1:CB$87,Formula!H92,45))+Formula!K92*(INDEX(Properties!A$1:CB$87,Formula!J92,45))</f>
        <v>5.83</v>
      </c>
      <c r="EF92" s="48">
        <f>VARP(IF(INDEX(Properties!A$1:CB$87,Formula!B92,45)&lt;&gt;"",INDEX(Properties!A$1:CB$87,Formula!B92,45)),IF(INDEX(Properties!A$1:CB$87,Formula!D92,45)&lt;&gt;"",INDEX(Properties!A$1:CB$87,Formula!D92,45)),IF(INDEX(Properties!A$1:CB$87,Formula!F92,45)&lt;&gt;"",INDEX(Properties!A$1:CB$87,Formula!F92,45)),IF(INDEX(Properties!A$1:CB$87,Formula!H92,45)&lt;&gt;"",INDEX(Properties!A$1:CB$87,Formula!H92,45)),IF(INDEX(Properties!A$1:CB$87,Formula!J92,45)&lt;&gt;"",INDEX(Properties!A$1:CB$87,Formula!J92,45)))</f>
        <v>1.2909760000000006</v>
      </c>
      <c r="EG92" s="48">
        <f>MAX(INDEX(Properties!A$1:CB$87,Formula!B92,45),INDEX(Properties!A$1:CB$87,Formula!D92,45),INDEX(Properties!A$1:CB$87,Formula!F92,45),INDEX(Properties!A$1:CB$87,Formula!H92,45),INDEX(Properties!A$1:CB$87,Formula!J92,45))</f>
        <v>3</v>
      </c>
      <c r="EH92" s="48">
        <f>MIN(IF(INDEX(Properties!A$1:CB$87,Formula!B92,45)=0,10^6,INDEX(Properties!A$1:CB$87,Formula!B92,45)),IF(INDEX(Properties!A$1:CB$87,Formula!D92,45)=0,10^6,INDEX(Properties!A$1:CB$87,Formula!D92,45)),IF(INDEX(Properties!A$1:CB$87,Formula!F92,45)=0,10^6,INDEX(Properties!A$1:CB$87,Formula!F92,45)),IF(INDEX(Properties!A$1:CB$87,Formula!H92,45)=0,10^6,INDEX(Properties!A$1:CB$87,Formula!H92,45)),IF(INDEX(Properties!A$1:CB$87,Formula!J92,45)=0,10^6,INDEX(Properties!A$1:CB$87,Formula!J92,45)))</f>
        <v>0.47</v>
      </c>
      <c r="EI92" s="48">
        <f t="shared" si="54"/>
        <v>2.5300000000000002</v>
      </c>
      <c r="EJ92" s="66">
        <f>((Formula!C92)/(Formula!C92+Formula!E92+Formula!G92+Formula!I92+Formula!K92))*(INDEX(Properties!A$1:CB$87,Formula!B92,46))+((Formula!E92)/(Formula!C92+Formula!E92+Formula!G92+Formula!I92+Formula!K92))*(INDEX(Properties!A$1:CB$87,Formula!D92,46))+((Formula!G92)/(Formula!C92+Formula!E92+Formula!G92+Formula!I92+Formula!K92))*(INDEX(Properties!A$1:CB$87,Formula!F92,46))+((Formula!I92)/(Formula!C92+Formula!E92+Formula!G92+Formula!I92+Formula!K92))*(INDEX(Properties!A$1:CB$87,Formula!H92,46))+((Formula!K92)/(Formula!C92+Formula!E92+Formula!G92+Formula!I92+Formula!K92))*(INDEX(Properties!A$1:CB$87,Formula!J92,46))</f>
        <v>1.034</v>
      </c>
      <c r="EK92" s="66">
        <f>Formula!C92*(INDEX(Properties!A$1:CB$87,Formula!B92,46))+Formula!E92*(INDEX(Properties!A$1:CB$87,Formula!D92,46))+Formula!G92*(INDEX(Properties!A$1:CB$87,Formula!F92,46))+Formula!I92*(INDEX(Properties!A$1:CB$87,Formula!H92,46))+Formula!K92*(INDEX(Properties!A$1:CB$87,Formula!J92,46))</f>
        <v>5.17</v>
      </c>
      <c r="EL92" s="66">
        <f>VARP(IF(INDEX(Properties!A$1:CB$87,Formula!B92,46)&lt;&gt;"",INDEX(Properties!A$1:CB$87,Formula!B92,46)),IF(INDEX(Properties!A$1:CB$87,Formula!D92,46)&lt;&gt;"",INDEX(Properties!A$1:CB$87,Formula!D92,46)),IF(INDEX(Properties!A$1:CB$87,Formula!F92,46)&lt;&gt;"",INDEX(Properties!A$1:CB$87,Formula!F92,46)),IF(INDEX(Properties!A$1:CB$87,Formula!H92,46)&lt;&gt;"",INDEX(Properties!A$1:CB$87,Formula!H92,46)),IF(INDEX(Properties!A$1:CB$87,Formula!J92,46)&lt;&gt;"",INDEX(Properties!A$1:CB$87,Formula!J92,46)))</f>
        <v>0.28224000000000005</v>
      </c>
      <c r="EM92" s="66">
        <f>MAX(INDEX(Properties!A$1:CB$87,Formula!B92,46),INDEX(Properties!A$1:CB$87,Formula!D92,46),INDEX(Properties!A$1:CB$87,Formula!F92,46),INDEX(Properties!A$1:CB$87,Formula!H92,46),INDEX(Properties!A$1:CB$87,Formula!J92,46))</f>
        <v>1.21</v>
      </c>
      <c r="EN92" s="66">
        <f>MIN(IF(INDEX(Properties!A$1:CB$87,Formula!B92,46)=0,10^6,INDEX(Properties!A$1:CB$87,Formula!B92,46)),IF(INDEX(Properties!A$1:CB$87,Formula!D92,46)=0,10^6,INDEX(Properties!A$1:CB$87,Formula!D92,46)),IF(INDEX(Properties!A$1:CB$87,Formula!F92,46)=0,10^6,INDEX(Properties!A$1:CB$87,Formula!F92,46)),IF(INDEX(Properties!A$1:CB$87,Formula!H92,46)=0,10^6,INDEX(Properties!A$1:CB$87,Formula!H92,46)),IF(INDEX(Properties!A$1:CB$87,Formula!J92,46)=0,10^6,INDEX(Properties!A$1:CB$87,Formula!J92,46)))</f>
        <v>0.4</v>
      </c>
      <c r="EO92" s="66">
        <f t="shared" si="55"/>
        <v>0.80999999999999994</v>
      </c>
      <c r="EP92" s="81">
        <f>((Formula!C92)/(Formula!C92+Formula!E92+Formula!G92+Formula!I92+Formula!K92))*(INDEX(Properties!A$1:CB$87,Formula!B92,52))+((Formula!E92)/(Formula!C92+Formula!E92+Formula!G92+Formula!I92+Formula!K92))*(INDEX(Properties!A$1:CB$87,Formula!D92,52))+((Formula!G92)/(Formula!C92+Formula!E92+Formula!G92+Formula!I92+Formula!K92))*(INDEX(Properties!A$1:CB$87,Formula!F92,52))+((Formula!I92)/(Formula!C92+Formula!E92+Formula!G92+Formula!I92+Formula!K92))*(INDEX(Properties!A$1:CB$87,Formula!H92,52))+((Formula!K92)/(Formula!C92+Formula!E92+Formula!G92+Formula!I92+Formula!K92))*(INDEX(Properties!A$1:CB$87,Formula!J92,52))</f>
        <v>6.1158000000000001</v>
      </c>
      <c r="EQ92" s="81">
        <f>Formula!C92*(INDEX(Properties!A$1:CB$87,Formula!B92,52))+Formula!E92*(INDEX(Properties!A$1:CB$87,Formula!D92,52))+Formula!G92*(INDEX(Properties!A$1:CB$87,Formula!F92,52))+Formula!I92*(INDEX(Properties!A$1:CB$87,Formula!H92,52))+Formula!K92*(INDEX(Properties!A$1:CB$87,Formula!J92,52))</f>
        <v>30.579000000000004</v>
      </c>
      <c r="ER92" s="81">
        <f>VARP(IF(INDEX(Properties!A$1:CB$87,Formula!B92,52)&lt;&gt;"",INDEX(Properties!A$1:CB$87,Formula!B92,52)),IF(INDEX(Properties!A$1:CB$87,Formula!D92,52)&lt;&gt;"",INDEX(Properties!A$1:CB$87,Formula!D92,52)),IF(INDEX(Properties!A$1:CB$87,Formula!F92,52)&lt;&gt;"",INDEX(Properties!A$1:CB$87,Formula!F92,52)),IF(INDEX(Properties!A$1:CB$87,Formula!H92,52)&lt;&gt;"",INDEX(Properties!A$1:CB$87,Formula!H92,52)),IF(INDEX(Properties!A$1:CB$87,Formula!J92,52)&lt;&gt;"",INDEX(Properties!A$1:CB$87,Formula!J92,52)))</f>
        <v>76.302007839999973</v>
      </c>
      <c r="ES92" s="81">
        <f>MAX(INDEX(Properties!A$1:CB$87,Formula!B92,52),INDEX(Properties!A$1:CB$87,Formula!D92,52),INDEX(Properties!A$1:CB$87,Formula!F92,52),INDEX(Properties!A$1:CB$87,Formula!H92,52),INDEX(Properties!A$1:CB$87,Formula!J92,52))</f>
        <v>22.8</v>
      </c>
      <c r="ET92" s="81">
        <f>MIN(IF(INDEX(Properties!A$1:CB$87,Formula!B92,52)=0,10^6,INDEX(Properties!A$1:CB$87,Formula!B92,52)),IF(INDEX(Properties!A$1:CB$87,Formula!D92,52)=0,10^6,INDEX(Properties!A$1:CB$87,Formula!D92,52)),IF(INDEX(Properties!A$1:CB$87,Formula!F92,52)=0,10^6,INDEX(Properties!A$1:CB$87,Formula!F92,52)),IF(INDEX(Properties!A$1:CB$87,Formula!H92,52)=0,10^6,INDEX(Properties!A$1:CB$87,Formula!H92,52)),IF(INDEX(Properties!A$1:CB$87,Formula!J92,52)=0,10^6,INDEX(Properties!A$1:CB$87,Formula!J92,52)))</f>
        <v>0.79300000000000004</v>
      </c>
      <c r="EU92" s="81">
        <f t="shared" si="56"/>
        <v>22.007000000000001</v>
      </c>
      <c r="EV92" s="39">
        <f>((Formula!C92)/(Formula!C92+Formula!E92+Formula!G92+Formula!I92+Formula!K92))*(INDEX(Properties!A$1:CB$87,Formula!B92,53))+((Formula!E92)/(Formula!C92+Formula!E92+Formula!G92+Formula!I92+Formula!K92))*(INDEX(Properties!A$1:CB$87,Formula!D92,53))+((Formula!G92)/(Formula!C92+Formula!E92+Formula!G92+Formula!I92+Formula!K92))*(INDEX(Properties!A$1:CB$87,Formula!F92,53))+((Formula!I92)/(Formula!C92+Formula!E92+Formula!G92+Formula!I92+Formula!K92))*(INDEX(Properties!A$1:CB$87,Formula!H92,53))+((Formula!K92)/(Formula!C92+Formula!E92+Formula!G92+Formula!I92+Formula!K92))*(INDEX(Properties!A$1:CB$87,Formula!J92,53))</f>
        <v>591.91000000000008</v>
      </c>
      <c r="EW92" s="39">
        <f>Formula!C92*(INDEX(Properties!A$1:CB$87,Formula!B92,53))+Formula!E92*(INDEX(Properties!A$1:CB$87,Formula!D92,53))+Formula!G92*(INDEX(Properties!A$1:CB$87,Formula!F92,53))+Formula!I92*(INDEX(Properties!A$1:CB$87,Formula!H92,53))+Formula!K92*(INDEX(Properties!A$1:CB$87,Formula!J92,53))</f>
        <v>2959.55</v>
      </c>
      <c r="EX92" s="39">
        <f>VARP(IF(INDEX(Properties!A$1:CB$87,Formula!B92,53)&lt;&gt;"",INDEX(Properties!A$1:CB$87,Formula!B92,53)),IF(INDEX(Properties!A$1:CB$87,Formula!D92,53)&lt;&gt;"",INDEX(Properties!A$1:CB$87,Formula!D92,53)),IF(INDEX(Properties!A$1:CB$87,Formula!F92,53)&lt;&gt;"",INDEX(Properties!A$1:CB$87,Formula!F92,53)),IF(INDEX(Properties!A$1:CB$87,Formula!H92,53)&lt;&gt;"",INDEX(Properties!A$1:CB$87,Formula!H92,53)),IF(INDEX(Properties!A$1:CB$87,Formula!J92,53)&lt;&gt;"",INDEX(Properties!A$1:CB$87,Formula!J92,53)))</f>
        <v>489662.42140000017</v>
      </c>
      <c r="EY92" s="39">
        <f>MAX(INDEX(Properties!A$1:CB$87,Formula!B92,53),INDEX(Properties!A$1:CB$87,Formula!D92,53),INDEX(Properties!A$1:CB$87,Formula!F92,53),INDEX(Properties!A$1:CB$87,Formula!H92,53),INDEX(Properties!A$1:CB$87,Formula!J92,53))</f>
        <v>1683.15</v>
      </c>
      <c r="EZ92" s="39">
        <f>MIN(IF(INDEX(Properties!A$1:CB$87,Formula!B92,53)=0,10^6,INDEX(Properties!A$1:CB$87,Formula!B92,53)),IF(INDEX(Properties!A$1:CB$87,Formula!D92,53)=0,10^6,INDEX(Properties!A$1:CB$87,Formula!D92,53)),IF(INDEX(Properties!A$1:CB$87,Formula!F92,53)=0,10^6,INDEX(Properties!A$1:CB$87,Formula!F92,53)),IF(INDEX(Properties!A$1:CB$87,Formula!H92,53)=0,10^6,INDEX(Properties!A$1:CB$87,Formula!H92,53)),IF(INDEX(Properties!A$1:CB$87,Formula!J92,53)=0,10^6,INDEX(Properties!A$1:CB$87,Formula!J92,53)))</f>
        <v>54.749999999999972</v>
      </c>
      <c r="FA92" s="39">
        <f t="shared" si="57"/>
        <v>1628.4</v>
      </c>
      <c r="FB92" s="54">
        <f>((Formula!C92)/(Formula!C92+Formula!E92+Formula!G92+Formula!I92+Formula!K92))*(INDEX(Properties!A$1:CB$87,Formula!B92,54))+((Formula!E92)/(Formula!C92+Formula!E92+Formula!G92+Formula!I92+Formula!K92))*(INDEX(Properties!A$1:CB$87,Formula!D92,54))+((Formula!G92)/(Formula!C92+Formula!E92+Formula!G92+Formula!I92+Formula!K92))*(INDEX(Properties!A$1:CB$87,Formula!F92,54))+((Formula!I92)/(Formula!C92+Formula!E92+Formula!G92+Formula!I92+Formula!K92))*(INDEX(Properties!A$1:CB$87,Formula!H92,54))+((Formula!K92)/(Formula!C92+Formula!E92+Formula!G92+Formula!I92+Formula!K92))*(INDEX(Properties!A$1:CB$87,Formula!J92,54))</f>
        <v>931.15000000000009</v>
      </c>
      <c r="FC92" s="54">
        <f>Formula!C92*(INDEX(Properties!A$1:CB$87,Formula!B92,54))+Formula!E92*(INDEX(Properties!A$1:CB$87,Formula!D92,54))+Formula!G92*(INDEX(Properties!A$1:CB$87,Formula!F92,54))+Formula!I92*(INDEX(Properties!A$1:CB$87,Formula!H92,54))+Formula!K92*(INDEX(Properties!A$1:CB$87,Formula!J92,54))</f>
        <v>4655.75</v>
      </c>
      <c r="FD92" s="54">
        <f>VARP(IF(INDEX(Properties!A$1:CB$87,Formula!B92,54)&lt;&gt;"",INDEX(Properties!A$1:CB$87,Formula!B92,54)),IF(INDEX(Properties!A$1:CB$87,Formula!D92,54)&lt;&gt;"",INDEX(Properties!A$1:CB$87,Formula!D92,54)),IF(INDEX(Properties!A$1:CB$87,Formula!F92,54)&lt;&gt;"",INDEX(Properties!A$1:CB$87,Formula!F92,54)),IF(INDEX(Properties!A$1:CB$87,Formula!H92,54)&lt;&gt;"",INDEX(Properties!A$1:CB$87,Formula!H92,54)),IF(INDEX(Properties!A$1:CB$87,Formula!J92,54)&lt;&gt;"",INDEX(Properties!A$1:CB$87,Formula!J92,54)))</f>
        <v>1199389.0054000006</v>
      </c>
      <c r="FE92" s="54">
        <f>MAX(INDEX(Properties!A$1:CB$87,Formula!B92,54),INDEX(Properties!A$1:CB$87,Formula!D92,54),INDEX(Properties!A$1:CB$87,Formula!F92,54),INDEX(Properties!A$1:CB$87,Formula!H92,54),INDEX(Properties!A$1:CB$87,Formula!J92,54))</f>
        <v>2628.15</v>
      </c>
      <c r="FF92" s="54">
        <f>MIN(IF(INDEX(Properties!A$1:CB$87,Formula!B92,54)=0,10^6,INDEX(Properties!A$1:CB$87,Formula!B92,54)),IF(INDEX(Properties!A$1:CB$87,Formula!D92,54)=0,10^6,INDEX(Properties!A$1:CB$87,Formula!D92,54)),IF(INDEX(Properties!A$1:CB$87,Formula!F92,54)=0,10^6,INDEX(Properties!A$1:CB$87,Formula!F92,54)),IF(INDEX(Properties!A$1:CB$87,Formula!H92,54)=0,10^6,INDEX(Properties!A$1:CB$87,Formula!H92,54)),IF(INDEX(Properties!A$1:CB$87,Formula!J92,54)=0,10^6,INDEX(Properties!A$1:CB$87,Formula!J92,54)))</f>
        <v>90.149999999999977</v>
      </c>
      <c r="FG92" s="54">
        <f t="shared" si="58"/>
        <v>2538</v>
      </c>
      <c r="FH92" s="69">
        <f>((Formula!C92)/(Formula!C92+Formula!E92+Formula!G92+Formula!I92+Formula!K92))*(INDEX(Properties!A$1:CB$87,Formula!B92,55))+((Formula!E92)/(Formula!C92+Formula!E92+Formula!G92+Formula!I92+Formula!K92))*(INDEX(Properties!A$1:CB$87,Formula!D92,55))+((Formula!G92)/(Formula!C92+Formula!E92+Formula!G92+Formula!I92+Formula!K92))*(INDEX(Properties!A$1:CB$87,Formula!F92,55))+((Formula!I92)/(Formula!C92+Formula!E92+Formula!G92+Formula!I92+Formula!K92))*(INDEX(Properties!A$1:CB$87,Formula!H92,55))+((Formula!K92)/(Formula!C92+Formula!E92+Formula!G92+Formula!I92+Formula!K92))*(INDEX(Properties!A$1:CB$87,Formula!J92,55))</f>
        <v>0.77685800000000005</v>
      </c>
      <c r="FI92" s="69">
        <f>Formula!C92*(INDEX(Properties!A$1:CB$87,Formula!B92,55))+Formula!E92*(INDEX(Properties!A$1:CB$87,Formula!D92,54))+Formula!G92*(INDEX(Properties!A$1:CB$87,Formula!F92,55))+Formula!I92*(INDEX(Properties!A$1:CB$87,Formula!H92,55))+Formula!K92*(INDEX(Properties!A$1:CB$87,Formula!J92,55))</f>
        <v>2629.7042900000001</v>
      </c>
      <c r="FJ92" s="69">
        <f>VARP(IF(INDEX(Properties!A$1:CB$87,Formula!B92,55)&lt;&gt;"",INDEX(Properties!A$1:CB$87,Formula!B92,55)),IF(INDEX(Properties!A$1:CB$87,Formula!D92,55)&lt;&gt;"",INDEX(Properties!A$1:CB$87,Formula!D92,55)),IF(INDEX(Properties!A$1:CB$87,Formula!F92,55)&lt;&gt;"",INDEX(Properties!A$1:CB$87,Formula!F92,55)),IF(INDEX(Properties!A$1:CB$87,Formula!H92,55)&lt;&gt;"",INDEX(Properties!A$1:CB$87,Formula!H92,55)),IF(INDEX(Properties!A$1:CB$87,Formula!J92,55)&lt;&gt;"",INDEX(Properties!A$1:CB$87,Formula!J92,55)))</f>
        <v>0.96366045518400023</v>
      </c>
      <c r="FK92" s="69">
        <f>MAX(INDEX(Properties!A$1:CB$87,Formula!B92,55),INDEX(Properties!A$1:CB$87,Formula!D92,55),INDEX(Properties!A$1:CB$87,Formula!F92,55),INDEX(Properties!A$1:CB$87,Formula!H92,55),INDEX(Properties!A$1:CB$87,Formula!J92,55))</f>
        <v>2.33</v>
      </c>
      <c r="FL92" s="69">
        <f>MIN(IF(INDEX(Properties!A$1:CB$87,Formula!B92,55)=0,10^6,INDEX(Properties!A$1:CB$87,Formula!B92,55)),IF(INDEX(Properties!A$1:CB$87,Formula!D92,55)=0,10^6,INDEX(Properties!A$1:CB$87,Formula!D92,55)),IF(INDEX(Properties!A$1:CB$87,Formula!F92,55)=0,10^6,INDEX(Properties!A$1:CB$87,Formula!F92,55)),IF(INDEX(Properties!A$1:CB$87,Formula!H92,55)=0,10^6,INDEX(Properties!A$1:CB$87,Formula!H92,55)),IF(INDEX(Properties!A$1:CB$87,Formula!J92,55)=0,10^6,INDEX(Properties!A$1:CB$87,Formula!J92,55)))</f>
        <v>1.4300000000000001E-3</v>
      </c>
      <c r="FM92" s="69">
        <f t="shared" si="59"/>
        <v>2.32857</v>
      </c>
      <c r="FN92" s="42">
        <f>((Formula!C92)/(Formula!C92+Formula!E92+Formula!G92+Formula!I92+Formula!K92))*(INDEX(Properties!A$1:CB$87,Formula!B92,56))+((Formula!E92)/(Formula!C92+Formula!E92+Formula!G92+Formula!I92+Formula!K92))*(INDEX(Properties!A$1:CB$87,Formula!D92,56))+((Formula!G92)/(Formula!C92+Formula!E92+Formula!G92+Formula!I92+Formula!K92))*(INDEX(Properties!A$1:CB$87,Formula!F92,56))+((Formula!I92)/(Formula!C92+Formula!E92+Formula!G92+Formula!I92+Formula!K92))*(INDEX(Properties!A$1:CB$87,Formula!H92,56))+((Formula!K92)/(Formula!C92+Formula!E92+Formula!G92+Formula!I92+Formula!K92))*(INDEX(Properties!A$1:CB$87,Formula!J92,56))</f>
        <v>0.82000000000000006</v>
      </c>
      <c r="FO92" s="42">
        <f>Formula!C92*(INDEX(Properties!A$1:CB$87,Formula!B92,56))+Formula!E92*(INDEX(Properties!A$1:CB$87,Formula!D92,56))+Formula!G92*(INDEX(Properties!A$1:CB$87,Formula!F92,56))+Formula!I92*(INDEX(Properties!A$1:CB$87,Formula!H92,56))+Formula!K92*(INDEX(Properties!A$1:CB$87,Formula!J92,56))</f>
        <v>4.0999999999999996</v>
      </c>
      <c r="FP92" s="42">
        <f>VARP(IF(INDEX(Properties!A$1:CB$87,Formula!B92,56)&lt;&gt;"",INDEX(Properties!A$1:CB$87,Formula!B92,56)),IF(INDEX(Properties!A$1:CB$87,Formula!D92,56)&lt;&gt;"",INDEX(Properties!A$1:CB$87,Formula!D92,56)),IF(INDEX(Properties!A$1:CB$87,Formula!F92,56)&lt;&gt;"",INDEX(Properties!A$1:CB$87,Formula!F92,56)),IF(INDEX(Properties!A$1:CB$87,Formula!H92,56)&lt;&gt;"",INDEX(Properties!A$1:CB$87,Formula!H92,56)),IF(INDEX(Properties!A$1:CB$87,Formula!J92,56)&lt;&gt;"",INDEX(Properties!A$1:CB$87,Formula!J92,56)))</f>
        <v>0.14517600000000006</v>
      </c>
      <c r="FQ92" s="42">
        <f>MAX(INDEX(Properties!A$1:CB$87,Formula!B92,56),INDEX(Properties!A$1:CB$87,Formula!D92,56),INDEX(Properties!A$1:CB$87,Formula!F92,56),INDEX(Properties!A$1:CB$87,Formula!H92,56),INDEX(Properties!A$1:CB$87,Formula!J92,56))</f>
        <v>0.92</v>
      </c>
      <c r="FR92" s="42">
        <f>MIN(IF(INDEX(Properties!A$1:CB$87,Formula!B92,56)=0,10^6,INDEX(Properties!A$1:CB$87,Formula!B92,56)),IF(INDEX(Properties!A$1:CB$87,Formula!D92,56)=0,10^6,INDEX(Properties!A$1:CB$87,Formula!D92,56)),IF(INDEX(Properties!A$1:CB$87,Formula!F92,56)=0,10^6,INDEX(Properties!A$1:CB$87,Formula!F92,56)),IF(INDEX(Properties!A$1:CB$87,Formula!H92,56)=0,10^6,INDEX(Properties!A$1:CB$87,Formula!H92,56)),IF(INDEX(Properties!A$1:CB$87,Formula!J92,56)=0,10^6,INDEX(Properties!A$1:CB$87,Formula!J92,56)))</f>
        <v>0.63</v>
      </c>
      <c r="FS92" s="42">
        <f t="shared" si="60"/>
        <v>0.29000000000000004</v>
      </c>
      <c r="FT92" s="60">
        <f>((Formula!C92)/(Formula!C92+Formula!E92+Formula!G92+Formula!I92+Formula!K92))*(INDEX(Properties!A$1:CB$87,Formula!B92,57))+((Formula!E92)/(Formula!C92+Formula!E92+Formula!G92+Formula!I92+Formula!K92))*(INDEX(Properties!A$1:CB$87,Formula!D92,57))+((Formula!G92)/(Formula!C92+Formula!E92+Formula!G92+Formula!I92+Formula!K92))*(INDEX(Properties!A$1:CB$87,Formula!F92,57))+((Formula!I92)/(Formula!C92+Formula!E92+Formula!G92+Formula!I92+Formula!K92))*(INDEX(Properties!A$1:CB$87,Formula!H92,57))+((Formula!K92)/(Formula!C92+Formula!E92+Formula!G92+Formula!I92+Formula!K92))*(INDEX(Properties!A$1:CB$87,Formula!J92,57))</f>
        <v>11.951554</v>
      </c>
      <c r="FU92" s="60">
        <f>Formula!C92*(INDEX(Properties!A$1:CB$87,Formula!B92,57))+Formula!E92*(INDEX(Properties!A$1:CB$87,Formula!D92,57))+Formula!G92*(INDEX(Properties!A$1:CB$87,Formula!F92,57))+Formula!I92*(INDEX(Properties!A$1:CB$87,Formula!H92,57))+Formula!K92*(INDEX(Properties!A$1:CB$87,Formula!J92,57))</f>
        <v>59.757769999999994</v>
      </c>
      <c r="FV92" s="60">
        <f>VARP(IF(INDEX(Properties!A$1:CB$87,Formula!B92,57)&lt;&gt;"",INDEX(Properties!A$1:CB$87,Formula!B92,57)),IF(INDEX(Properties!A$1:CB$87,Formula!D92,57)&lt;&gt;"",INDEX(Properties!A$1:CB$87,Formula!D92,57)),IF(INDEX(Properties!A$1:CB$87,Formula!F92,57)&lt;&gt;"",INDEX(Properties!A$1:CB$87,Formula!F92,57)),IF(INDEX(Properties!A$1:CB$87,Formula!H92,57)&lt;&gt;"",INDEX(Properties!A$1:CB$87,Formula!H92,57)),IF(INDEX(Properties!A$1:CB$87,Formula!J92,57)&lt;&gt;"",INDEX(Properties!A$1:CB$87,Formula!J92,57)))</f>
        <v>384.93739596129598</v>
      </c>
      <c r="FW92" s="60">
        <f>MAX(INDEX(Properties!A$1:CB$87,Formula!B92,57),INDEX(Properties!A$1:CB$87,Formula!D92,57),INDEX(Properties!A$1:CB$87,Formula!F92,57),INDEX(Properties!A$1:CB$87,Formula!H92,57),INDEX(Properties!A$1:CB$87,Formula!J92,57))</f>
        <v>50.55</v>
      </c>
      <c r="FX92" s="60">
        <f>MIN(IF(INDEX(Properties!A$1:CB$87,Formula!B92,57)=0,10^6,INDEX(Properties!A$1:CB$87,Formula!B92,57)),IF(INDEX(Properties!A$1:CB$87,Formula!D92,57)=0,10^6,INDEX(Properties!A$1:CB$87,Formula!D92,57)),IF(INDEX(Properties!A$1:CB$87,Formula!F92,57)=0,10^6,INDEX(Properties!A$1:CB$87,Formula!F92,57)),IF(INDEX(Properties!A$1:CB$87,Formula!H92,57)=0,10^6,INDEX(Properties!A$1:CB$87,Formula!H92,57)),IF(INDEX(Properties!A$1:CB$87,Formula!J92,57)=0,10^6,INDEX(Properties!A$1:CB$87,Formula!J92,57)))</f>
        <v>0.22259000000000001</v>
      </c>
      <c r="FY92" s="60">
        <f t="shared" si="61"/>
        <v>50.32741</v>
      </c>
      <c r="FZ92" s="72">
        <f>((Formula!C92)/(Formula!C92+Formula!E92+Formula!G92+Formula!I92+Formula!K92))*(INDEX(Properties!A$1:CB$87,Formula!B92,60))+((Formula!E92)/(Formula!C92+Formula!E92+Formula!G92+Formula!I92+Formula!K92))*(INDEX(Properties!A$1:CB$87,Formula!D92,60))+((Formula!G92)/(Formula!C92+Formula!E92+Formula!G92+Formula!I92+Formula!K92))*(INDEX(Properties!A$1:CB$87,Formula!F92,60))+((Formula!I92)/(Formula!C92+Formula!E92+Formula!G92+Formula!I92+Formula!K92))*(INDEX(Properties!A$1:CB$87,Formula!H92,60))+((Formula!K92)/(Formula!C92+Formula!E92+Formula!G92+Formula!I92+Formula!K92))*(INDEX(Properties!A$1:CB$87,Formula!J92,60))</f>
        <v>69.616043999999988</v>
      </c>
      <c r="GA92" s="72">
        <f>Formula!C92*(INDEX(Properties!A$1:CB$87,Formula!B92,60))+Formula!E92*(INDEX(Properties!A$1:CB$87,Formula!D92,60))+Formula!G92*(INDEX(Properties!A$1:CB$87,Formula!F92,60))+Formula!I92*(INDEX(Properties!A$1:CB$87,Formula!H92,60))+Formula!K92*(INDEX(Properties!A$1:CB$87,Formula!J92,60))</f>
        <v>348.08022</v>
      </c>
      <c r="GB92" s="72">
        <f>VARP(IF(INDEX(Properties!A$1:CB$87,Formula!B92,60)&lt;&gt;"",INDEX(Properties!A$1:CB$87,Formula!B92,60)),IF(INDEX(Properties!A$1:CB$87,Formula!D92,60)&lt;&gt;"",INDEX(Properties!A$1:CB$87,Formula!D92,60)),IF(INDEX(Properties!A$1:CB$87,Formula!F92,60)&lt;&gt;"",INDEX(Properties!A$1:CB$87,Formula!F92,60)),IF(INDEX(Properties!A$1:CB$87,Formula!H92,60)&lt;&gt;"",INDEX(Properties!A$1:CB$87,Formula!H92,60)),IF(INDEX(Properties!A$1:CB$87,Formula!J92,60)&lt;&gt;"",INDEX(Properties!A$1:CB$87,Formula!J92,60)))</f>
        <v>7535.895672804415</v>
      </c>
      <c r="GC92" s="72">
        <f>MAX(INDEX(Properties!A$1:CB$87,Formula!B92,60),INDEX(Properties!A$1:CB$87,Formula!D92,60),INDEX(Properties!A$1:CB$87,Formula!F92,60),INDEX(Properties!A$1:CB$87,Formula!H92,60),INDEX(Properties!A$1:CB$87,Formula!J92,60))</f>
        <v>200</v>
      </c>
      <c r="GD92" s="72">
        <f>MIN(IF(INDEX(Properties!A$1:CB$87,Formula!B92,60)=0,10^6,INDEX(Properties!A$1:CB$87,Formula!B92,60)),IF(INDEX(Properties!A$1:CB$87,Formula!D92,60)=0,10^6,INDEX(Properties!A$1:CB$87,Formula!D92,60)),IF(INDEX(Properties!A$1:CB$87,Formula!F92,60)=0,10^6,INDEX(Properties!A$1:CB$87,Formula!F92,60)),IF(INDEX(Properties!A$1:CB$87,Formula!H92,60)=0,10^6,INDEX(Properties!A$1:CB$87,Formula!H92,60)),IF(INDEX(Properties!A$1:CB$87,Formula!J92,60)=0,10^6,INDEX(Properties!A$1:CB$87,Formula!J92,60)))</f>
        <v>2.674E-2</v>
      </c>
      <c r="GE92" s="72">
        <f t="shared" si="62"/>
        <v>199.97326000000001</v>
      </c>
      <c r="GF92" s="51">
        <f>((Formula!C92)/(Formula!C92+Formula!E92+Formula!G92+Formula!I92+Formula!K92))*(INDEX(Properties!A$1:CB$87,Formula!B92,62))+((Formula!E92)/(Formula!C92+Formula!E92+Formula!G92+Formula!I92+Formula!K92))*(INDEX(Properties!A$1:CB$87,Formula!D92,62))+((Formula!G92)/(Formula!C92+Formula!E92+Formula!G92+Formula!I92+Formula!K92))*(INDEX(Properties!A$1:CB$87,Formula!F92,62))+((Formula!I92)/(Formula!C92+Formula!E92+Formula!G92+Formula!I92+Formula!K92))*(INDEX(Properties!A$1:CB$87,Formula!H92,62))+((Formula!K92)/(Formula!C92+Formula!E92+Formula!G92+Formula!I92+Formula!K92))*(INDEX(Properties!A$1:CB$87,Formula!J92,62))</f>
        <v>2.8660000000000001</v>
      </c>
      <c r="GG92" s="51">
        <f>Formula!C92*(INDEX(Properties!A$1:CB$87,Formula!B92,62))+Formula!E92*(INDEX(Properties!A$1:CB$87,Formula!D92,62))+Formula!G92*(INDEX(Properties!A$1:CB$87,Formula!F92,62))+Formula!I92*(INDEX(Properties!A$1:CB$87,Formula!H92,62))+Formula!K92*(INDEX(Properties!A$1:CB$87,Formula!J92,62))</f>
        <v>14.33</v>
      </c>
      <c r="GH92" s="51">
        <f>VARP(IF(INDEX(Properties!A$1:CB$87,Formula!B92,62)&lt;&gt;"",INDEX(Properties!A$1:CB$87,Formula!B92,62)),IF(INDEX(Properties!A$1:CB$87,Formula!D92,62)&lt;&gt;"",INDEX(Properties!A$1:CB$87,Formula!D92,62)),IF(INDEX(Properties!A$1:CB$87,Formula!F92,62)&lt;&gt;"",INDEX(Properties!A$1:CB$87,Formula!F92,62)),IF(INDEX(Properties!A$1:CB$87,Formula!H92,62)&lt;&gt;"",INDEX(Properties!A$1:CB$87,Formula!H92,62)),IF(INDEX(Properties!A$1:CB$87,Formula!J92,62)&lt;&gt;"",INDEX(Properties!A$1:CB$87,Formula!J92,62)))</f>
        <v>3.0322559999999994</v>
      </c>
      <c r="GI92" s="51">
        <f>MAX(INDEX(Properties!A$1:CB$87,Formula!B92,62),INDEX(Properties!A$1:CB$87,Formula!D92,62),INDEX(Properties!A$1:CB$87,Formula!F92,62),INDEX(Properties!A$1:CB$87,Formula!H92,62),INDEX(Properties!A$1:CB$87,Formula!J92,62))</f>
        <v>4.63</v>
      </c>
      <c r="GJ92" s="51">
        <f>MIN(IF(INDEX(Properties!A$1:CB$87,Formula!B92,62)=0,10^6,INDEX(Properties!A$1:CB$87,Formula!B92,62)),IF(INDEX(Properties!A$1:CB$87,Formula!D92,62)=0,10^6,INDEX(Properties!A$1:CB$87,Formula!D92,62)),IF(INDEX(Properties!A$1:CB$87,Formula!F92,62)=0,10^6,INDEX(Properties!A$1:CB$87,Formula!F92,62)),IF(INDEX(Properties!A$1:CB$87,Formula!H92,62)=0,10^6,INDEX(Properties!A$1:CB$87,Formula!H92,62)),IF(INDEX(Properties!A$1:CB$87,Formula!J92,62)=0,10^6,INDEX(Properties!A$1:CB$87,Formula!J92,62)))</f>
        <v>1.84</v>
      </c>
      <c r="GK92" s="51">
        <f t="shared" si="63"/>
        <v>2.79</v>
      </c>
      <c r="GL92" s="51">
        <f>Formula!P92</f>
        <v>14</v>
      </c>
      <c r="GM92" s="57">
        <f>Formula!O92</f>
        <v>2</v>
      </c>
      <c r="GN92" s="51">
        <f>Formula!N92</f>
        <v>0.03</v>
      </c>
    </row>
    <row r="93" spans="1:196" x14ac:dyDescent="0.3">
      <c r="A93" s="84" t="str">
        <f>Formula!A93</f>
        <v>La2Zr2O7</v>
      </c>
      <c r="B93" s="89">
        <f>((Formula!C93)/(Formula!C93+Formula!E93+Formula!G93+Formula!I93+Formula!K93))*(INDEX(Properties!A$1:CB$87,Formula!B93,3))+((Formula!E93)/(Formula!C93+Formula!E93+Formula!G93+Formula!I93+Formula!K93))*(INDEX(Properties!A$1:CB$87,Formula!D93,3))+((Formula!G93)/(Formula!C93+Formula!E93+Formula!G93+Formula!I93+Formula!K93))*(INDEX(Properties!A$1:CB$87,Formula!F93,3))+((Formula!I93)/(Formula!C93+Formula!E93+Formula!G93+Formula!I93+Formula!K93))*(INDEX(Properties!A$1:CB$87,Formula!H93,3))+((Formula!K93)/(Formula!C93+Formula!E93+Formula!G93+Formula!I93+Formula!K93))*(INDEX(Properties!A$1:CB$87,Formula!J93,3))</f>
        <v>52.023163636363634</v>
      </c>
      <c r="C93" s="85">
        <f>Formula!C93*(INDEX(Properties!A$1:CB$87,Formula!B93,3))+Formula!E93*(INDEX(Properties!A$1:CB$87,Formula!D93,3))+Formula!G93*(INDEX(Properties!A$1:CB$87,Formula!F93,3))+Formula!I93*(INDEX(Properties!A$1:CB$87,Formula!H93,3))+Formula!K93*(INDEX(Properties!A$1:CB$87,Formula!J93,3))</f>
        <v>572.25480000000005</v>
      </c>
      <c r="D93" s="85">
        <f>VARP(IF(INDEX(Properties!A$1:CB$87,Formula!B93,3)&lt;&gt;"",INDEX(Properties!A$1:CB$87,Formula!B93,3)),IF(INDEX(Properties!A$1:CB$87,Formula!D93,3)&lt;&gt;"",INDEX(Properties!A$1:CB$87,Formula!D93,3)),IF(INDEX(Properties!A$1:CB$87,Formula!F93,3)&lt;&gt;"",INDEX(Properties!A$1:CB$87,Formula!F93,3)),IF(INDEX(Properties!A$1:CB$87,Formula!H93,3)&lt;&gt;"",INDEX(Properties!A$1:CB$87,Formula!H93,3)),IF(INDEX(Properties!A$1:CB$87,Formula!J93,3)&lt;&gt;"",INDEX(Properties!A$1:CB$87,Formula!J93,3)))</f>
        <v>3151.3299647135996</v>
      </c>
      <c r="E93" s="85">
        <f>MAX(INDEX(Properties!A$1:CB$87,Formula!B93,3),INDEX(Properties!A$1:CB$87,Formula!D93,3),INDEX(Properties!A$1:CB$87,Formula!F93,3),INDEX(Properties!A$1:CB$87,Formula!H93,3),INDEX(Properties!A$1:CB$87,Formula!J93,3))</f>
        <v>138.90549999999999</v>
      </c>
      <c r="F93" s="85">
        <f>MIN(IF(INDEX(Properties!A$1:CB$87,Formula!B93,3)=0,10^6,INDEX(Properties!A$1:CB$87,Formula!B93,3)),IF(INDEX(Properties!A$1:CB$87,Formula!D93,3)=0,10^6,INDEX(Properties!A$1:CB$87,Formula!D93,3)),IF(INDEX(Properties!A$1:CB$87,Formula!F93,3)=0,10^6,INDEX(Properties!A$1:CB$87,Formula!F93,3)),IF(INDEX(Properties!A$1:CB$87,Formula!H93,3)=0,10^6,INDEX(Properties!A$1:CB$87,Formula!H93,3)),IF(INDEX(Properties!A$1:CB$87,Formula!J93,3)=0,10^6,INDEX(Properties!A$1:CB$87,Formula!J93,3)))</f>
        <v>15.9994</v>
      </c>
      <c r="G93" s="85">
        <f t="shared" si="32"/>
        <v>122.9061</v>
      </c>
      <c r="H93" s="87">
        <f>((Formula!C93)/(Formula!C93+Formula!E93+Formula!G93+Formula!I93+Formula!K93))*(INDEX(Properties!A$1:CB$87,Formula!B93,4))+((Formula!E93)/(Formula!C93+Formula!E93+Formula!G93+Formula!I93+Formula!K93))*(INDEX(Properties!A$1:CB$87,Formula!D93,4))+((Formula!G93)/(Formula!C93+Formula!E93+Formula!G93+Formula!I93+Formula!K93))*(INDEX(Properties!A$1:CB$87,Formula!F93,4))+((Formula!I93)/(Formula!C93+Formula!E93+Formula!G93+Formula!I93+Formula!K93))*(INDEX(Properties!A$1:CB$87,Formula!H93,4))+((Formula!K93)/(Formula!C93+Formula!E93+Formula!G93+Formula!I93+Formula!K93))*(INDEX(Properties!A$1:CB$87,Formula!J93,4))</f>
        <v>22.727272727272727</v>
      </c>
      <c r="I93" s="87">
        <f>Formula!C93*(INDEX(Properties!A$1:CB$87,Formula!B93,4))+Formula!E93*(INDEX(Properties!A$1:CB$87,Formula!D93,4))+Formula!G93*(INDEX(Properties!A$1:CB$87,Formula!F93,4))+Formula!I93*(INDEX(Properties!A$1:CB$87,Formula!H93,4))+Formula!K93*(INDEX(Properties!A$1:CB$87,Formula!J93,4))</f>
        <v>250</v>
      </c>
      <c r="J93" s="87">
        <f>VARP(IF(INDEX(Properties!A$1:CB$87,Formula!B93,4)&lt;&gt;"",INDEX(Properties!A$1:CB$87,Formula!B93,4)),IF(INDEX(Properties!A$1:CB$87,Formula!D93,4)&lt;&gt;"",INDEX(Properties!A$1:CB$87,Formula!D93,4)),IF(INDEX(Properties!A$1:CB$87,Formula!F93,4)&lt;&gt;"",INDEX(Properties!A$1:CB$87,Formula!F93,4)),IF(INDEX(Properties!A$1:CB$87,Formula!H93,4)&lt;&gt;"",INDEX(Properties!A$1:CB$87,Formula!H93,4)),IF(INDEX(Properties!A$1:CB$87,Formula!J93,4)&lt;&gt;"",INDEX(Properties!A$1:CB$87,Formula!J93,4)))</f>
        <v>541.6</v>
      </c>
      <c r="K93" s="87">
        <f>MAX(INDEX(Properties!A$1:CB$87,Formula!B93,4),INDEX(Properties!A$1:CB$87,Formula!D93,4),INDEX(Properties!A$1:CB$87,Formula!F93,4),INDEX(Properties!A$1:CB$87,Formula!H93,4),INDEX(Properties!A$1:CB$87,Formula!J93,4))</f>
        <v>57</v>
      </c>
      <c r="L93" s="87">
        <f>MIN(IF(INDEX(Properties!A$1:CB$87,Formula!B93,4)=0,10^6,INDEX(Properties!A$1:CB$87,Formula!B93,4)),IF(INDEX(Properties!A$1:CB$87,Formula!D93,4)=0,10^6,INDEX(Properties!A$1:CB$87,Formula!D93,4)),IF(INDEX(Properties!A$1:CB$87,Formula!F93,4)=0,10^6,INDEX(Properties!A$1:CB$87,Formula!F93,4)),IF(INDEX(Properties!A$1:CB$87,Formula!H93,4)=0,10^6,INDEX(Properties!A$1:CB$87,Formula!H93,4)),IF(INDEX(Properties!A$1:CB$87,Formula!J93,4)=0,10^6,INDEX(Properties!A$1:CB$87,Formula!J93,4)))</f>
        <v>8</v>
      </c>
      <c r="M93" s="87">
        <f t="shared" si="33"/>
        <v>49</v>
      </c>
      <c r="N93" s="89">
        <f>((Formula!C93)/(Formula!C93+Formula!E93+Formula!G93+Formula!I93+Formula!K93))*(INDEX(Properties!A$1:CB$87,Formula!B93,5))+((Formula!E93)/(Formula!C93+Formula!E93+Formula!G93+Formula!I93+Formula!K93))*(INDEX(Properties!A$1:CB$87,Formula!D93,5))+((Formula!G93)/(Formula!C93+Formula!E93+Formula!G93+Formula!I93+Formula!K93))*(INDEX(Properties!A$1:CB$87,Formula!F93,5))+((Formula!I93)/(Formula!C93+Formula!E93+Formula!G93+Formula!I93+Formula!K93))*(INDEX(Properties!A$1:CB$87,Formula!H93,5))+((Formula!K93)/(Formula!C93+Formula!E93+Formula!G93+Formula!I93+Formula!K93))*(INDEX(Properties!A$1:CB$87,Formula!J93,5))</f>
        <v>3.2727272727272725</v>
      </c>
      <c r="O93" s="89">
        <f>Formula!C93*(INDEX(Properties!A$1:CB$87,Formula!B93,5))+Formula!E93*(INDEX(Properties!A$1:CB$87,Formula!D93,5))+Formula!G93*(INDEX(Properties!A$1:CB$87,Formula!F93,5))+Formula!I93*(INDEX(Properties!A$1:CB$87,Formula!H93,5))+Formula!K93*(INDEX(Properties!A$1:CB$87,Formula!J93,5))</f>
        <v>36</v>
      </c>
      <c r="P93" s="89">
        <f>VARP(IF(INDEX(Properties!A$1:CB$87,Formula!B93,5)&lt;&gt;"",INDEX(Properties!A$1:CB$87,Formula!B93,5)),IF(INDEX(Properties!A$1:CB$87,Formula!D93,5)&lt;&gt;"",INDEX(Properties!A$1:CB$87,Formula!D93,5)),IF(INDEX(Properties!A$1:CB$87,Formula!F93,5)&lt;&gt;"",INDEX(Properties!A$1:CB$87,Formula!F93,5)),IF(INDEX(Properties!A$1:CB$87,Formula!H93,5)&lt;&gt;"",INDEX(Properties!A$1:CB$87,Formula!H93,5)),IF(INDEX(Properties!A$1:CB$87,Formula!J93,5)&lt;&gt;"",INDEX(Properties!A$1:CB$87,Formula!J93,5)))</f>
        <v>6.24</v>
      </c>
      <c r="Q93" s="89">
        <f>MAX(INDEX(Properties!A$1:CB$87,Formula!B93,5),INDEX(Properties!A$1:CB$87,Formula!D93,5),INDEX(Properties!A$1:CB$87,Formula!F93,5),INDEX(Properties!A$1:CB$87,Formula!H93,5),INDEX(Properties!A$1:CB$87,Formula!J93,5))</f>
        <v>6</v>
      </c>
      <c r="R93" s="89">
        <f>MIN(IF(INDEX(Properties!A$1:CB$87,Formula!B93,5)=0,10^6,INDEX(Properties!A$1:CB$87,Formula!B93,5)),IF(INDEX(Properties!A$1:CB$87,Formula!D93,5)=0,10^6,INDEX(Properties!A$1:CB$87,Formula!D93,5)),IF(INDEX(Properties!A$1:CB$87,Formula!F93,5)=0,10^6,INDEX(Properties!A$1:CB$87,Formula!F93,5)),IF(INDEX(Properties!A$1:CB$87,Formula!H93,5)=0,10^6,INDEX(Properties!A$1:CB$87,Formula!H93,5)),IF(INDEX(Properties!A$1:CB$87,Formula!J93,5)=0,10^6,INDEX(Properties!A$1:CB$87,Formula!J93,5)))</f>
        <v>2</v>
      </c>
      <c r="S93" s="89">
        <f t="shared" si="34"/>
        <v>4</v>
      </c>
      <c r="T93" s="60">
        <f>((Formula!C93)/(Formula!C93+Formula!E93+Formula!G93+Formula!I93+Formula!K93))*(INDEX(Properties!A$1:CB$87,Formula!B93,6))+((Formula!E93)/(Formula!C93+Formula!E93+Formula!G93+Formula!I93+Formula!K93))*(INDEX(Properties!A$1:CB$87,Formula!D93,6))+((Formula!G93)/(Formula!C93+Formula!E93+Formula!G93+Formula!I93+Formula!K93))*(INDEX(Properties!A$1:CB$87,Formula!F93,6))+((Formula!I93)/(Formula!C93+Formula!E93+Formula!G93+Formula!I93+Formula!K93))*(INDEX(Properties!A$1:CB$87,Formula!H93,6))+((Formula!K93)/(Formula!C93+Formula!E93+Formula!G93+Formula!I93+Formula!K93))*(INDEX(Properties!A$1:CB$87,Formula!J93,6))</f>
        <v>11.454545454545455</v>
      </c>
      <c r="U93" s="60">
        <f>Formula!C93*(INDEX(Properties!A$1:CB$87,Formula!B93,6))+Formula!E93*(INDEX(Properties!A$1:CB$87,Formula!D93,6))+Formula!G93*(INDEX(Properties!A$1:CB$87,Formula!F93,6))+Formula!I93*(INDEX(Properties!A$1:CB$87,Formula!H93,6))+Formula!K93*(INDEX(Properties!A$1:CB$87,Formula!J93,6))</f>
        <v>126</v>
      </c>
      <c r="V93" s="89">
        <f>VARP(IF(INDEX(Properties!A$1:CB$87,Formula!B93,6)&lt;&gt;"",INDEX(Properties!A$1:CB$87,Formula!B93,6)),IF(INDEX(Properties!A$1:CB$87,Formula!D93,6)&lt;&gt;"",INDEX(Properties!A$1:CB$87,Formula!D93,6)),IF(INDEX(Properties!A$1:CB$87,Formula!F93,6)&lt;&gt;"",INDEX(Properties!A$1:CB$87,Formula!F93,6)),IF(INDEX(Properties!A$1:CB$87,Formula!H93,6)&lt;&gt;"",INDEX(Properties!A$1:CB$87,Formula!H93,6)),IF(INDEX(Properties!A$1:CB$87,Formula!J93,6)&lt;&gt;"",INDEX(Properties!A$1:CB$87,Formula!J93,6)))</f>
        <v>35.04</v>
      </c>
      <c r="W93" s="60">
        <f>MAX(INDEX(Properties!A$1:CB$87,Formula!B93,6),INDEX(Properties!A$1:CB$87,Formula!D93,6),INDEX(Properties!A$1:CB$87,Formula!F93,6),INDEX(Properties!A$1:CB$87,Formula!H93,4),INDEX(Properties!A$1:CB$87,Formula!J93,6))</f>
        <v>16</v>
      </c>
      <c r="X93" s="60">
        <f>MIN(IF(INDEX(Properties!A$1:CB$87,Formula!B93,6)=0,10^6,INDEX(Properties!A$1:CB$87,Formula!B93,6)),IF(INDEX(Properties!A$1:CB$87,Formula!D93,6)=0,10^6,INDEX(Properties!A$1:CB$87,Formula!D93,6)),IF(INDEX(Properties!A$1:CB$87,Formula!F93,6)=0,10^6,INDEX(Properties!A$1:CB$87,Formula!F93,6)),IF(INDEX(Properties!A$1:CB$87,Formula!H93,6)=0,10^6,INDEX(Properties!A$1:CB$87,Formula!H93,6)),IF(INDEX(Properties!A$1:CB$87,Formula!J93,6)=0,10^6,INDEX(Properties!A$1:CB$87,Formula!J93,6)))</f>
        <v>3</v>
      </c>
      <c r="Y93" s="60">
        <f t="shared" si="35"/>
        <v>13</v>
      </c>
      <c r="Z93" s="72">
        <f>((Formula!C93)/(Formula!C93+Formula!E93+Formula!G93+Formula!I93+Formula!K93))*(INDEX(Properties!A$1:CB$87,Formula!B93,9))+((Formula!E93)/(Formula!C93+Formula!E93+Formula!G93+Formula!I93+Formula!K93))*(INDEX(Properties!A$1:CB$87,Formula!D93,9))+((Formula!G93)/(Formula!C93+Formula!E93+Formula!G93+Formula!I93+Formula!K93))*(INDEX(Properties!A$1:CB$87,Formula!F93,9))+((Formula!I93)/(Formula!C93+Formula!E93+Formula!G93+Formula!I93+Formula!K93))*(INDEX(Properties!A$1:CB$87,Formula!H93,9))+((Formula!K93)/(Formula!C93+Formula!E93+Formula!G93+Formula!I93+Formula!K93))*(INDEX(Properties!A$1:CB$87,Formula!J93,9))</f>
        <v>65.72727272727272</v>
      </c>
      <c r="AA93" s="72">
        <f>Formula!C93*(INDEX(Properties!A$1:CB$87,Formula!B93,9))+Formula!E93*(INDEX(Properties!A$1:CB$87,Formula!D93,9))+Formula!G93*(INDEX(Properties!A$1:CB$87,Formula!F93,9))+Formula!I93*(INDEX(Properties!A$1:CB$87,Formula!H93,9))+Formula!K93*(INDEX(Properties!A$1:CB$87,Formula!J93,9))</f>
        <v>723</v>
      </c>
      <c r="AB93" s="72">
        <f>VARP(IF(INDEX(Properties!A$1:CB$87,Formula!B93,9)&lt;&gt;"",INDEX(Properties!A$1:CB$87,Formula!B93,9)),IF(INDEX(Properties!A$1:CB$87,Formula!D93,9)&lt;&gt;"",INDEX(Properties!A$1:CB$87,Formula!D93,9)),IF(INDEX(Properties!A$1:CB$87,Formula!F93,9)&lt;&gt;"",INDEX(Properties!A$1:CB$87,Formula!F93,9)),IF(INDEX(Properties!A$1:CB$87,Formula!H93,9)&lt;&gt;"",INDEX(Properties!A$1:CB$87,Formula!H93,9)),IF(INDEX(Properties!A$1:CB$87,Formula!J93,9)&lt;&gt;"",INDEX(Properties!A$1:CB$87,Formula!J93,9)))</f>
        <v>1105.3599999999999</v>
      </c>
      <c r="AC93" s="72">
        <f>MAX(INDEX(Properties!A$1:CB$87,Formula!B93,9),INDEX(Properties!A$1:CB$87,Formula!D93,9),INDEX(Properties!A$1:CB$87,Formula!F93,9),INDEX(Properties!A$1:CB$87,Formula!H93,9),INDEX(Properties!A$1:CB$87,Formula!J93,9))</f>
        <v>87</v>
      </c>
      <c r="AD93" s="72">
        <f>MIN(IF(INDEX(Properties!A$1:CB$87,Formula!B93,9)=0,10^6,INDEX(Properties!A$1:CB$87,Formula!B93,9)),IF(INDEX(Properties!A$1:CB$87,Formula!D93,9)=0,10^6,INDEX(Properties!A$1:CB$87,Formula!D93,9)),IF(INDEX(Properties!A$1:CB$87,Formula!F93,9)=0,10^6,INDEX(Properties!A$1:CB$87,Formula!F93,9)),IF(INDEX(Properties!A$1:CB$87,Formula!H93,9)=0,10^6,INDEX(Properties!A$1:CB$87,Formula!H93,9)),IF(INDEX(Properties!A$1:CB$87,Formula!J93,9)=0,10^6,INDEX(Properties!A$1:CB$87,Formula!J93,9)))</f>
        <v>13</v>
      </c>
      <c r="AE93" s="72">
        <f t="shared" si="36"/>
        <v>74</v>
      </c>
      <c r="AF93" s="51">
        <f>((Formula!C93)/(Formula!C93+Formula!E93+Formula!G93+Formula!I93+Formula!K93))*(INDEX(Properties!A$1:CB$87,Formula!B93,10))+((Formula!E93)/(Formula!C93+Formula!E93+Formula!G93+Formula!I93+Formula!K93))*(INDEX(Properties!A$1:CB$87,Formula!D93,10))+((Formula!G93)/(Formula!C93+Formula!E93+Formula!G93+Formula!I93+Formula!K93))*(INDEX(Properties!A$1:CB$87,Formula!F93,10))+((Formula!I93)/(Formula!C93+Formula!E93+Formula!G93+Formula!I93+Formula!K93))*(INDEX(Properties!A$1:CB$87,Formula!H93,10))+((Formula!K93)/(Formula!C93+Formula!E93+Formula!G93+Formula!I93+Formula!K93))*(INDEX(Properties!A$1:CB$87,Formula!J93,10))</f>
        <v>5.7272727272727266</v>
      </c>
      <c r="AG93" s="51">
        <f>Formula!C93*(INDEX(Properties!A$1:CB$87,Formula!B93,10))+Formula!E93*(INDEX(Properties!A$1:CB$87,Formula!D93,10))+Formula!G93*(INDEX(Properties!A$1:CB$87,Formula!F93,10))+Formula!I93*(INDEX(Properties!A$1:CB$87,Formula!H93,10))+Formula!K93*(INDEX(Properties!A$1:CB$87,Formula!J93,10))</f>
        <v>63</v>
      </c>
      <c r="AH93" s="51">
        <f>VARP(IF(INDEX(Properties!A$1:CB$87,Formula!B93,10)&lt;&gt;"",INDEX(Properties!A$1:CB$87,Formula!B93,10)),IF(INDEX(Properties!A$1:CB$87,Formula!D93,10)&lt;&gt;"",INDEX(Properties!A$1:CB$87,Formula!D93,10)),IF(INDEX(Properties!A$1:CB$87,Formula!F93,10)&lt;&gt;"",INDEX(Properties!A$1:CB$87,Formula!F93,10)),IF(INDEX(Properties!A$1:CB$87,Formula!H93,10)&lt;&gt;"",INDEX(Properties!A$1:CB$87,Formula!H93,10)),IF(INDEX(Properties!A$1:CB$87,Formula!J93,10)&lt;&gt;"",INDEX(Properties!A$1:CB$87,Formula!J93,10)))</f>
        <v>6.96</v>
      </c>
      <c r="AI93" s="51">
        <f>MAX(INDEX(Properties!A$1:CB$87,Formula!B93,10),INDEX(Properties!A$1:CB$87,Formula!D93,10),INDEX(Properties!A$1:CB$87,Formula!F93,10),INDEX(Properties!A$1:CB$87,Formula!H93,10),INDEX(Properties!A$1:CB$87,Formula!J93,10))</f>
        <v>7</v>
      </c>
      <c r="AJ93" s="51">
        <f>MIN(IF(INDEX(Properties!A$1:CB$87,Formula!B93,10)=0,10^6,INDEX(Properties!A$1:CB$87,Formula!B93,10)),IF(INDEX(Properties!A$1:CB$87,Formula!D93,10)=0,10^6,INDEX(Properties!A$1:CB$87,Formula!D93,10)),IF(INDEX(Properties!A$1:CB$87,Formula!F93,10)=0,10^6,INDEX(Properties!A$1:CB$87,Formula!F93,10)),IF(INDEX(Properties!A$1:CB$87,Formula!H93,10)=0,10^6,INDEX(Properties!A$1:CB$87,Formula!H93,10)),IF(INDEX(Properties!A$1:CB$87,Formula!J93,10)=0,10^6,INDEX(Properties!A$1:CB$87,Formula!J93,10)))</f>
        <v>3</v>
      </c>
      <c r="AK93" s="51">
        <f t="shared" si="37"/>
        <v>4</v>
      </c>
      <c r="AL93" s="57">
        <f>((Formula!C93)/(Formula!C93+Formula!E93+Formula!G93+Formula!I93+Formula!K93))*(INDEX(Properties!A$1:CB$87,Formula!B93,11))+((Formula!E93)/(Formula!C93+Formula!E93+Formula!G93+Formula!I93+Formula!K93))*(INDEX(Properties!A$1:CB$87,Formula!D93,11))+((Formula!G93)/(Formula!C93+Formula!E93+Formula!G93+Formula!I93+Formula!K93))*(INDEX(Properties!A$1:CB$87,Formula!F93,11))+((Formula!I93)/(Formula!C93+Formula!E93+Formula!G93+Formula!I93+Formula!K93))*(INDEX(Properties!A$1:CB$87,Formula!H93,11))+((Formula!K93)/(Formula!C93+Formula!E93+Formula!G93+Formula!I93+Formula!K93))*(INDEX(Properties!A$1:CB$87,Formula!J93,11))</f>
        <v>2</v>
      </c>
      <c r="AM93" s="57">
        <f>Formula!C93*(INDEX(Properties!A$1:CB$87,Formula!B93,11))+Formula!E93*(INDEX(Properties!A$1:CB$87,Formula!D93,11))+Formula!G93*(INDEX(Properties!A$1:CB$87,Formula!F93,11))+Formula!I93*(INDEX(Properties!A$1:CB$87,Formula!H93,11))+Formula!K93*(INDEX(Properties!A$1:CB$87,Formula!J93,11))</f>
        <v>22</v>
      </c>
      <c r="AN93" s="57">
        <f>VARP(IF(INDEX(Properties!A$1:CB$87,Formula!B93,11)&lt;&gt;"",INDEX(Properties!A$1:CB$87,Formula!B93,11)),IF(INDEX(Properties!A$1:CB$87,Formula!D93,11)&lt;&gt;"",INDEX(Properties!A$1:CB$87,Formula!D93,11)),IF(INDEX(Properties!A$1:CB$87,Formula!F93,11)&lt;&gt;"",INDEX(Properties!A$1:CB$87,Formula!F93,11)),IF(INDEX(Properties!A$1:CB$87,Formula!H93,11)&lt;&gt;"",INDEX(Properties!A$1:CB$87,Formula!H93,11)),IF(INDEX(Properties!A$1:CB$87,Formula!J93,11)&lt;&gt;"",INDEX(Properties!A$1:CB$87,Formula!J93,11)))</f>
        <v>0.96</v>
      </c>
      <c r="AO93" s="57">
        <f>MAX(INDEX(Properties!A$1:CB$87,Formula!B93,11),INDEX(Properties!A$1:CB$87,Formula!D93,11),INDEX(Properties!A$1:CB$87,Formula!F93,11),INDEX(Properties!A$1:CB$87,Formula!H93,11),INDEX(Properties!A$1:CB$87,Formula!J93,11))</f>
        <v>2</v>
      </c>
      <c r="AP93" s="57">
        <f>MIN(IF(Formula!B93=87,10^6,INDEX(Properties!A$1:CB$87,Formula!B93,11)),IF((Formula!D93)=87,10^6,INDEX(Properties!A$1:CB$87,Formula!D93,11)),IF((Formula!F93)=87,10^6,INDEX(Properties!A$1:CB$87,Formula!F93,11)),IF((Formula!H93)=87,10^6,INDEX(Properties!A$1:CB$87,Formula!H93,11)),IF(Formula!J93=87,10^6,INDEX(Properties!A$1:CB$87,Formula!J93,11)))</f>
        <v>2</v>
      </c>
      <c r="AQ93" s="57">
        <f t="shared" si="38"/>
        <v>0</v>
      </c>
      <c r="AR93" s="78">
        <f>((Formula!C93)/(Formula!C93+Formula!E93+Formula!G93+Formula!I93+Formula!K93))*(INDEX(Properties!A$1:CB$87,Formula!B93,12))+((Formula!E93)/(Formula!C93+Formula!E93+Formula!G93+Formula!I93+Formula!K93))*(INDEX(Properties!A$1:CB$87,Formula!D93,12))+((Formula!G93)/(Formula!C93+Formula!E93+Formula!G93+Formula!I93+Formula!K93))*(INDEX(Properties!A$1:CB$87,Formula!F93,12))+((Formula!I93)/(Formula!C93+Formula!E93+Formula!G93+Formula!I93+Formula!K93))*(INDEX(Properties!A$1:CB$87,Formula!H93,12))+((Formula!K93)/(Formula!C93+Formula!E93+Formula!G93+Formula!I93+Formula!K93))*(INDEX(Properties!A$1:CB$87,Formula!J93,12))</f>
        <v>2.5454545454545454</v>
      </c>
      <c r="AS93" s="78">
        <f>Formula!C93*(INDEX(Properties!A$1:CB$87,Formula!B93,12))+Formula!E93*(INDEX(Properties!A$1:CB$87,Formula!D93,12))+Formula!G93*(INDEX(Properties!A$1:CB$87,Formula!F93,12))+Formula!I93*(INDEX(Properties!A$1:CB$87,Formula!H93,12))+Formula!K93*(INDEX(Properties!A$1:CB$87,Formula!J93,12))</f>
        <v>28</v>
      </c>
      <c r="AT93" s="78">
        <f>VARP(IF(INDEX(Properties!A$1:CB$87,Formula!B93,12)&lt;&gt;"",INDEX(Properties!A$1:CB$87,Formula!B93,12)),IF(INDEX(Properties!A$1:CB$87,Formula!D93,12)&lt;&gt;"",INDEX(Properties!A$1:CB$87,Formula!D93,12)),IF(INDEX(Properties!A$1:CB$87,Formula!F93,12)&lt;&gt;"",INDEX(Properties!A$1:CB$87,Formula!F93,12)),IF(INDEX(Properties!A$1:CB$87,Formula!H93,12)&lt;&gt;"",INDEX(Properties!A$1:CB$87,Formula!H93,12)),IF(INDEX(Properties!A$1:CB$87,Formula!J93,12)&lt;&gt;"",INDEX(Properties!A$1:CB$87,Formula!J93,12)))</f>
        <v>2.56</v>
      </c>
      <c r="AU93" s="78">
        <f>MAX(INDEX(Properties!A$1:CB$87,Formula!B93,12),INDEX(Properties!A$1:CB$87,Formula!D93,12),INDEX(Properties!A$1:CB$87,Formula!F93,12),INDEX(Properties!A$1:CB$87,Formula!H93,12),INDEX(Properties!A$1:CB$87,Formula!J93,12))</f>
        <v>4</v>
      </c>
      <c r="AV93" s="78">
        <f>MIN(IF(Formula!B93=87,10^6,INDEX(Properties!A$1:CB$87,Formula!B93,12)),IF((Formula!D93)=87,10^6,INDEX(Properties!A$1:CB$87,Formula!D93,12)),IF((Formula!F93)=87,10^6,INDEX(Properties!A$1:CB$87,Formula!F93,12)),IF((Formula!H93)=87,10^6,INDEX(Properties!A$1:CB$87,Formula!H93,12)),IF(Formula!J93=87,10^6,INDEX(Properties!A$1:CB$87,Formula!J93,12)))</f>
        <v>0</v>
      </c>
      <c r="AW93" s="78">
        <f t="shared" si="39"/>
        <v>4</v>
      </c>
      <c r="AX93" s="45">
        <f>((Formula!C93)/(Formula!C93+Formula!E93+Formula!G93+Formula!I93+Formula!K93))*(INDEX(Properties!A$1:CB$87,Formula!B93,13))+((Formula!E93)/(Formula!C93+Formula!E93+Formula!G93+Formula!I93+Formula!K93))*(INDEX(Properties!A$1:CB$87,Formula!D93,13))+((Formula!G93)/(Formula!C93+Formula!E93+Formula!G93+Formula!I93+Formula!K93))*(INDEX(Properties!A$1:CB$87,Formula!F93,13))+((Formula!I93)/(Formula!C93+Formula!E93+Formula!G93+Formula!I93+Formula!K93))*(INDEX(Properties!A$1:CB$87,Formula!H93,13))+((Formula!K93)/(Formula!C93+Formula!E93+Formula!G93+Formula!I93+Formula!K93))*(INDEX(Properties!A$1:CB$87,Formula!J93,13))</f>
        <v>0.54545454545454541</v>
      </c>
      <c r="AY93" s="45">
        <f>Formula!C93*(INDEX(Properties!A$1:CB$87,Formula!B93,13))+Formula!E93*(INDEX(Properties!A$1:CB$87,Formula!D93,13))+Formula!G93*(INDEX(Properties!A$1:CB$87,Formula!F93,13))+Formula!I93*(INDEX(Properties!A$1:CB$87,Formula!H93,13))+Formula!K93*(INDEX(Properties!A$1:CB$87,Formula!J93,13))</f>
        <v>6</v>
      </c>
      <c r="AZ93" s="45">
        <f>VARP(IF(INDEX(Properties!A$1:CB$87,Formula!B93,13)&lt;&gt;"",INDEX(Properties!A$1:CB$87,Formula!B93,13)),IF(INDEX(Properties!A$1:CB$87,Formula!D93,13)&lt;&gt;"",INDEX(Properties!A$1:CB$87,Formula!D93,13)),IF(INDEX(Properties!A$1:CB$87,Formula!F93,13)&lt;&gt;"",INDEX(Properties!A$1:CB$87,Formula!F93,13)),IF(INDEX(Properties!A$1:CB$87,Formula!H93,13)&lt;&gt;"",INDEX(Properties!A$1:CB$87,Formula!H93,13)),IF(INDEX(Properties!A$1:CB$87,Formula!J93,13)&lt;&gt;"",INDEX(Properties!A$1:CB$87,Formula!J93,13)))</f>
        <v>0.64</v>
      </c>
      <c r="BA93" s="45">
        <f>MAX(INDEX(Properties!A$1:CB$87,Formula!B93,13),INDEX(Properties!A$1:CB$87,Formula!D93,13),INDEX(Properties!A$1:CB$87,Formula!F93,13),INDEX(Properties!A$1:CB$87,Formula!H93,13),INDEX(Properties!A$1:CB$87,Formula!J93,13))</f>
        <v>2</v>
      </c>
      <c r="BB93" s="45">
        <f>MIN(IF(Formula!B93=87,10^6,INDEX(Properties!A$1:CB$87,Formula!B93,13)),IF((Formula!D93)=87,10^6,INDEX(Properties!A$1:CB$87,Formula!D93,13)),IF((Formula!F93)=87,10^6,INDEX(Properties!A$1:CB$87,Formula!F93,13)),IF((Formula!H93)=87,10^6,INDEX(Properties!A$1:CB$87,Formula!H93,13)),IF(Formula!J93=87,10^6,INDEX(Properties!A$1:CB$87,Formula!J93,13)))</f>
        <v>0</v>
      </c>
      <c r="BC93" s="45">
        <f t="shared" si="40"/>
        <v>2</v>
      </c>
      <c r="BD93" s="63">
        <f>((Formula!C93)/(Formula!C93+Formula!E93+Formula!G93+Formula!I93+Formula!K93))*(INDEX(Properties!A$1:CB$87,Formula!B93,14))+((Formula!E93)/(Formula!C93+Formula!E93+Formula!G93+Formula!I93+Formula!K93))*(INDEX(Properties!A$1:CB$87,Formula!D93,14))+((Formula!G93)/(Formula!C93+Formula!E93+Formula!G93+Formula!I93+Formula!K93))*(INDEX(Properties!A$1:CB$87,Formula!F93,14))+((Formula!I93)/(Formula!C93+Formula!E93+Formula!G93+Formula!I93+Formula!K93))*(INDEX(Properties!A$1:CB$87,Formula!H93,14))+((Formula!K93)/(Formula!C93+Formula!E93+Formula!G93+Formula!I93+Formula!K93))*(INDEX(Properties!A$1:CB$87,Formula!J93,14))</f>
        <v>0</v>
      </c>
      <c r="BE93" s="63">
        <f>Formula!C93*(INDEX(Properties!A$1:CB$87,Formula!B93,14))+Formula!E93*(INDEX(Properties!A$1:CB$87,Formula!D93,14))+Formula!G93*(INDEX(Properties!A$1:CB$87,Formula!F93,14))+Formula!I93*(INDEX(Properties!A$1:CB$87,Formula!H93,14))+Formula!K93*(INDEX(Properties!A$1:CB$87,Formula!J93,14))</f>
        <v>0</v>
      </c>
      <c r="BF93" s="63">
        <f>VARP(IF(INDEX(Properties!A$1:CB$87,Formula!B93,14)&lt;&gt;"",INDEX(Properties!A$1:CB$87,Formula!B93,14)),IF(INDEX(Properties!A$1:CB$87,Formula!D93,14)&lt;&gt;"",INDEX(Properties!A$1:CB$87,Formula!D93,14)),IF(INDEX(Properties!A$1:CB$87,Formula!F93,14)&lt;&gt;"",INDEX(Properties!A$1:CB$87,Formula!F93,14)),IF(INDEX(Properties!A$1:CB$87,Formula!H93,14)&lt;&gt;"",INDEX(Properties!A$1:CB$87,Formula!H93,14)),IF(INDEX(Properties!A$1:CB$87,Formula!J93,14)&lt;&gt;"",INDEX(Properties!A$1:CB$87,Formula!J93,14)))</f>
        <v>0</v>
      </c>
      <c r="BG93" s="63">
        <f>MAX(INDEX(Properties!A$1:CB$87,Formula!B93,14),INDEX(Properties!A$1:CB$87,Formula!D93,14),INDEX(Properties!A$1:CB$87,Formula!F93,14),INDEX(Properties!A$1:CB$87,Formula!H93,14),INDEX(Properties!A$1:CB$87,Formula!J93,14))</f>
        <v>0</v>
      </c>
      <c r="BH93" s="63">
        <f>MIN(IF(Formula!B93=87,10^6,INDEX(Properties!A$1:CB$87,Formula!B93,14)),IF((Formula!D93)=87,10^6,INDEX(Properties!A$1:CB$87,Formula!D93,14)),IF((Formula!F93)=87,10^6,INDEX(Properties!A$1:CB$87,Formula!F93,14)),IF((Formula!H93)=87,10^6,INDEX(Properties!A$1:CB$87,Formula!H93,14)),IF(Formula!J93=87,10^6,INDEX(Properties!A$1:CB$87,Formula!J93,14)))</f>
        <v>0</v>
      </c>
      <c r="BI93" s="63">
        <f t="shared" si="41"/>
        <v>0</v>
      </c>
      <c r="BJ93" s="75">
        <f>((Formula!C93)/(Formula!C93+Formula!E93+Formula!G93+Formula!I93+Formula!K93))*(INDEX(Properties!A$1:CB$87,Formula!B93,19))+((Formula!E93)/(Formula!C93+Formula!E93+Formula!G93+Formula!I93+Formula!K93))*(INDEX(Properties!A$1:CB$87,Formula!D93,19))+((Formula!G93)/(Formula!C93+Formula!E93+Formula!G93+Formula!I93+Formula!K93))*(INDEX(Properties!A$1:CB$87,Formula!F93,19))+((Formula!I93)/(Formula!C93+Formula!E93+Formula!G93+Formula!I93+Formula!K93))*(INDEX(Properties!A$1:CB$87,Formula!H93,19))+((Formula!K93)/(Formula!C93+Formula!E93+Formula!G93+Formula!I93+Formula!K93))*(INDEX(Properties!A$1:CB$87,Formula!J93,19))</f>
        <v>5.0909090909090908</v>
      </c>
      <c r="BK93" s="75">
        <f>Formula!C93*(INDEX(Properties!A$1:CB$87,Formula!B93,19))+Formula!E93*(INDEX(Properties!A$1:CB$87,Formula!D93,19))+Formula!G93*(INDEX(Properties!A$1:CB$87,Formula!F93,19))+Formula!I93*(INDEX(Properties!A$1:CB$87,Formula!H93,19))+Formula!K93*(INDEX(Properties!A$1:CB$87,Formula!J93,19))</f>
        <v>56</v>
      </c>
      <c r="BL93" s="75">
        <f>VARP(IF(INDEX(Properties!A$1:CB$87,Formula!B93,19)&lt;&gt;"",INDEX(Properties!A$1:CB$87,Formula!B93,19)),IF(INDEX(Properties!A$1:CB$87,Formula!D93,19)&lt;&gt;"",INDEX(Properties!A$1:CB$87,Formula!D93,19)),IF(INDEX(Properties!A$1:CB$87,Formula!F93,19)&lt;&gt;"",INDEX(Properties!A$1:CB$87,Formula!F93,19)),IF(INDEX(Properties!A$1:CB$87,Formula!H93,19)&lt;&gt;"",INDEX(Properties!A$1:CB$87,Formula!H93,19)),IF(INDEX(Properties!A$1:CB$87,Formula!J93,19)&lt;&gt;"",INDEX(Properties!A$1:CB$87,Formula!J93,19)))</f>
        <v>5.44</v>
      </c>
      <c r="BM93" s="75">
        <f>MAX(INDEX(Properties!A$1:CB$87,Formula!B93,19),INDEX(Properties!A$1:CB$87,Formula!D93,19),INDEX(Properties!A$1:CB$87,Formula!F93,19),INDEX(Properties!A$1:CB$87,Formula!H93,19),INDEX(Properties!A$1:CB$87,Formula!J93,19))</f>
        <v>6</v>
      </c>
      <c r="BN93" s="75">
        <f>MIN(IF(INDEX(Properties!A$1:CB$87,Formula!B93,19)=0,10^6,INDEX(Properties!A$1:CB$87,Formula!B93,19)),IF(INDEX(Properties!A$1:CB$87,Formula!D93,19)=0,10^6,INDEX(Properties!A$1:CB$87,Formula!D93,19)),IF(INDEX(Properties!A$1:CB$87,Formula!F93,19)=0,10^6,INDEX(Properties!A$1:CB$87,Formula!F93,19)),IF(INDEX(Properties!A$1:CB$87,Formula!H93,19)=0,10^6,INDEX(Properties!A$1:CB$87,Formula!H93,19)),IF(INDEX(Properties!A$1:CB$87,Formula!J93,19)=0,10^6,INDEX(Properties!A$1:CB$87,Formula!J93,19)))</f>
        <v>3</v>
      </c>
      <c r="BO93" s="75">
        <f t="shared" si="42"/>
        <v>3</v>
      </c>
      <c r="BP93" s="48">
        <f>((Formula!C93)/(Formula!C93+Formula!E93+Formula!G93+Formula!I93+Formula!K93))*(INDEX(Properties!A$1:CB$87,Formula!B93,20))+((Formula!E93)/(Formula!C93+Formula!E93+Formula!G93+Formula!I93+Formula!K93))*(INDEX(Properties!A$1:CB$87,Formula!D93,20))+((Formula!G93)/(Formula!C93+Formula!E93+Formula!G93+Formula!I93+Formula!K93))*(INDEX(Properties!A$1:CB$87,Formula!F93,20))+((Formula!I93)/(Formula!C93+Formula!E93+Formula!G93+Formula!I93+Formula!K93))*(INDEX(Properties!A$1:CB$87,Formula!H93,20))+((Formula!K93)/(Formula!C93+Formula!E93+Formula!G93+Formula!I93+Formula!K93))*(INDEX(Properties!A$1:CB$87,Formula!J93,20))</f>
        <v>4.5454545454545459</v>
      </c>
      <c r="BQ93" s="48">
        <f>Formula!C93*(INDEX(Properties!A$1:CB$87,Formula!B93,20))+Formula!E93*(INDEX(Properties!A$1:CB$87,Formula!D93,20))+Formula!G93*(INDEX(Properties!A$1:CB$87,Formula!F93,20))+Formula!I93*(INDEX(Properties!A$1:CB$87,Formula!H93,20))+Formula!K93*(INDEX(Properties!A$1:CB$87,Formula!J93,20))</f>
        <v>50</v>
      </c>
      <c r="BR93" s="48">
        <f>VARP(IF(INDEX(Properties!A$1:CB$87,Formula!B93,20)&lt;&gt;"",INDEX(Properties!A$1:CB$87,Formula!B93,20)),IF(INDEX(Properties!A$1:CB$87,Formula!D93,20)&lt;&gt;"",INDEX(Properties!A$1:CB$87,Formula!D93,20)),IF(INDEX(Properties!A$1:CB$87,Formula!F93,20)&lt;&gt;"",INDEX(Properties!A$1:CB$87,Formula!F93,20)),IF(INDEX(Properties!A$1:CB$87,Formula!H93,20)&lt;&gt;"",INDEX(Properties!A$1:CB$87,Formula!H93,20)),IF(INDEX(Properties!A$1:CB$87,Formula!J93,20)&lt;&gt;"",INDEX(Properties!A$1:CB$87,Formula!J93,20)))</f>
        <v>4.8</v>
      </c>
      <c r="BS93" s="48">
        <f>MAX(INDEX(Properties!A$1:CB$87,Formula!B93,20),INDEX(Properties!A$1:CB$87,Formula!D93,20),INDEX(Properties!A$1:CB$87,Formula!F93,20),INDEX(Properties!A$1:CB$87,Formula!H93,20),INDEX(Properties!A$1:CB$87,Formula!J93,20))</f>
        <v>6</v>
      </c>
      <c r="BT93" s="48">
        <f>MIN(IF(INDEX(Properties!A$1:CB$87,Formula!B93,20)=0,10^6,INDEX(Properties!A$1:CB$87,Formula!B93,20)),IF(INDEX(Properties!A$1:CB$87,Formula!D93,20)=0,10^6,INDEX(Properties!A$1:CB$87,Formula!D93,20)),IF(INDEX(Properties!A$1:CB$87,Formula!F93,20)=0,10^6,INDEX(Properties!A$1:CB$87,Formula!F93,20)),IF(INDEX(Properties!A$1:CB$87,Formula!H93,20)=0,10^6,INDEX(Properties!A$1:CB$87,Formula!H93,20)),IF(INDEX(Properties!A$1:CB$87,Formula!J93,20)=0,10^6,INDEX(Properties!A$1:CB$87,Formula!J93,20)))</f>
        <v>2</v>
      </c>
      <c r="BU93" s="48">
        <f t="shared" si="43"/>
        <v>4</v>
      </c>
      <c r="BV93" s="66">
        <f>((Formula!C93)/(Formula!C93+Formula!E93+Formula!G93+Formula!I93+Formula!K93))*(INDEX(Properties!A$1:CB$87,Formula!B93,21))+((Formula!E93)/(Formula!C93+Formula!E93+Formula!G93+Formula!I93+Formula!K93))*(INDEX(Properties!A$1:CB$87,Formula!D93,21))+((Formula!G93)/(Formula!C93+Formula!E93+Formula!G93+Formula!I93+Formula!K93))*(INDEX(Properties!A$1:CB$87,Formula!F93,21))+((Formula!I93)/(Formula!C93+Formula!E93+Formula!G93+Formula!I93+Formula!K93))*(INDEX(Properties!A$1:CB$87,Formula!H93,21))+((Formula!K93)/(Formula!C93+Formula!E93+Formula!G93+Formula!I93+Formula!K93))*(INDEX(Properties!A$1:CB$87,Formula!J93,21))</f>
        <v>4.3636363636363633</v>
      </c>
      <c r="BW93" s="66">
        <f>Formula!C93*(INDEX(Properties!A$1:CB$87,Formula!B93,21))+Formula!E93*(INDEX(Properties!A$1:CB$87,Formula!D93,21))+Formula!G93*(INDEX(Properties!A$1:CB$87,Formula!F93,21))+Formula!I93*(INDEX(Properties!A$1:CB$87,Formula!H93,21))+Formula!K93*(INDEX(Properties!A$1:CB$87,Formula!J93,21))</f>
        <v>48</v>
      </c>
      <c r="BX93" s="66">
        <f>VARP(IF(INDEX(Properties!A$1:CB$87,Formula!B93,21)&lt;&gt;"",INDEX(Properties!A$1:CB$87,Formula!B93,21)),IF(INDEX(Properties!A$1:CB$87,Formula!D93,21)&lt;&gt;"",INDEX(Properties!A$1:CB$87,Formula!D93,21)),IF(INDEX(Properties!A$1:CB$87,Formula!F93,21)&lt;&gt;"",INDEX(Properties!A$1:CB$87,Formula!F93,21)),IF(INDEX(Properties!A$1:CB$87,Formula!H93,21)&lt;&gt;"",INDEX(Properties!A$1:CB$87,Formula!H93,21)),IF(INDEX(Properties!A$1:CB$87,Formula!J93,21)&lt;&gt;"",INDEX(Properties!A$1:CB$87,Formula!J93,21)))</f>
        <v>4.96</v>
      </c>
      <c r="BY93" s="66">
        <f>MAX(INDEX(Properties!A$1:CB$87,Formula!B93,21),INDEX(Properties!A$1:CB$87,Formula!D93,21),INDEX(Properties!A$1:CB$87,Formula!F93,21),INDEX(Properties!A$1:CB$87,Formula!H93,21),INDEX(Properties!A$1:CB$87,Formula!J93,21))</f>
        <v>6</v>
      </c>
      <c r="BZ93" s="66">
        <f>MIN(IF(INDEX(Properties!A$1:CB$87,Formula!B93,21)=0,10^6,INDEX(Properties!A$1:CB$87,Formula!B93,21)),IF(INDEX(Properties!A$1:CB$87,Formula!D93,21)=0,10^6,INDEX(Properties!A$1:CB$87,Formula!D93,21)),IF(INDEX(Properties!A$1:CB$87,Formula!F93,21)=0,10^6,INDEX(Properties!A$1:CB$87,Formula!F93,21)),IF(INDEX(Properties!A$1:CB$87,Formula!H93,21)=0,10^6,INDEX(Properties!A$1:CB$87,Formula!H93,21)),IF(INDEX(Properties!A$1:CB$87,Formula!J93,21)=0,10^6,INDEX(Properties!A$1:CB$87,Formula!J93,21)))</f>
        <v>1</v>
      </c>
      <c r="CA93" s="66">
        <f t="shared" si="44"/>
        <v>5</v>
      </c>
      <c r="CB93" s="81">
        <f>((Formula!C93)/(Formula!C93+Formula!E93+Formula!G93+Formula!I93+Formula!K93))*(INDEX(Properties!A$1:CB$87,Formula!B93,23))+((Formula!E93)/(Formula!C93+Formula!E93+Formula!G93+Formula!I93+Formula!K93))*(INDEX(Properties!A$1:CB$87,Formula!D93,23))+((Formula!G93)/(Formula!C93+Formula!E93+Formula!G93+Formula!I93+Formula!K93))*(INDEX(Properties!A$1:CB$87,Formula!F93,23))+((Formula!I93)/(Formula!C93+Formula!E93+Formula!G93+Formula!I93+Formula!K93))*(INDEX(Properties!A$1:CB$87,Formula!H93,23))+((Formula!K93)/(Formula!C93+Formula!E93+Formula!G93+Formula!I93+Formula!K93))*(INDEX(Properties!A$1:CB$87,Formula!J93,23))</f>
        <v>1.2727272727272727</v>
      </c>
      <c r="CC93" s="81">
        <f>Formula!C93*(INDEX(Properties!A$1:CB$87,Formula!B93,23))+Formula!E93*(INDEX(Properties!A$1:CB$87,Formula!D93,23))+Formula!G93*(INDEX(Properties!A$1:CB$87,Formula!F93,23))+Formula!I93*(INDEX(Properties!A$1:CB$87,Formula!H93,23))+Formula!K93*(INDEX(Properties!A$1:CB$87,Formula!J93,23))</f>
        <v>14</v>
      </c>
      <c r="CD93" s="81">
        <f>VARP(IF(INDEX(Properties!A$1:CB$87,Formula!B93,23)&lt;&gt;"",INDEX(Properties!A$1:CB$87,Formula!B93,23)),IF(INDEX(Properties!A$1:CB$87,Formula!D93,23)&lt;&gt;"",INDEX(Properties!A$1:CB$87,Formula!D93,23)),IF(INDEX(Properties!A$1:CB$87,Formula!F93,23)&lt;&gt;"",INDEX(Properties!A$1:CB$87,Formula!F93,23)),IF(INDEX(Properties!A$1:CB$87,Formula!H93,23)&lt;&gt;"",INDEX(Properties!A$1:CB$87,Formula!H93,23)),IF(INDEX(Properties!A$1:CB$87,Formula!J93,23)&lt;&gt;"",INDEX(Properties!A$1:CB$87,Formula!J93,23)))</f>
        <v>3.04</v>
      </c>
      <c r="CE93" s="81">
        <f>MAX(INDEX(Properties!A$1:CB$87,Formula!B93,23),INDEX(Properties!A$1:CB$87,Formula!D93,23),INDEX(Properties!A$1:CB$87,Formula!F93,23),INDEX(Properties!A$1:CB$87,Formula!H93,23),INDEX(Properties!A$1:CB$87,Formula!J93,23))</f>
        <v>4</v>
      </c>
      <c r="CF93" s="81">
        <f>MIN(IF(Formula!B93=87,10^6,INDEX(Properties!A$1:CB$87,Formula!B93,23)),IF((Formula!D93)=87,10^6,INDEX(Properties!A$1:CB$87,Formula!D93,23)),IF((Formula!F93)=87,10^6,INDEX(Properties!A$1:CB$87,Formula!F93,23)),IF((Formula!H93)=87,10^6,INDEX(Properties!A$1:CB$87,Formula!H93,23)),IF(Formula!J93=87,10^6,INDEX(Properties!A$1:CB$87,Formula!J93,23)))</f>
        <v>0</v>
      </c>
      <c r="CG93" s="81">
        <f t="shared" si="45"/>
        <v>4</v>
      </c>
      <c r="CH93" s="39">
        <f>((Formula!C93)/(Formula!C93+Formula!E93+Formula!G93+Formula!I93+Formula!K93))*(INDEX(Properties!A$1:CB$87,Formula!B93,26))+((Formula!E93)/(Formula!C93+Formula!E93+Formula!G93+Formula!I93+Formula!K93))*(INDEX(Properties!A$1:CB$87,Formula!D93,26))+((Formula!G93)/(Formula!C93+Formula!E93+Formula!G93+Formula!I93+Formula!K93))*(INDEX(Properties!A$1:CB$87,Formula!F93,26))+((Formula!I93)/(Formula!C93+Formula!E93+Formula!G93+Formula!I93+Formula!K93))*(INDEX(Properties!A$1:CB$87,Formula!H93,26))+((Formula!K93)/(Formula!C93+Formula!E93+Formula!G93+Formula!I93+Formula!K93))*(INDEX(Properties!A$1:CB$87,Formula!J93,26))</f>
        <v>10.886209090909091</v>
      </c>
      <c r="CI93" s="39">
        <f>Formula!C93*(INDEX(Properties!A$1:CB$87,Formula!B93,26))+Formula!E93*(INDEX(Properties!A$1:CB$87,Formula!D93,26))+Formula!G93*(INDEX(Properties!A$1:CB$87,Formula!F93,26))+Formula!I93*(INDEX(Properties!A$1:CB$87,Formula!H93,26))+Formula!K93*(INDEX(Properties!A$1:CB$87,Formula!J93,26))</f>
        <v>119.7483</v>
      </c>
      <c r="CJ93" s="39">
        <f>VARP(IF(INDEX(Properties!A$1:CB$87,Formula!B93,26)&lt;&gt;"",INDEX(Properties!A$1:CB$87,Formula!B93,26)),IF(INDEX(Properties!A$1:CB$87,Formula!D93,26)&lt;&gt;"",INDEX(Properties!A$1:CB$87,Formula!D93,26)),IF(INDEX(Properties!A$1:CB$87,Formula!F93,26)&lt;&gt;"",INDEX(Properties!A$1:CB$87,Formula!F93,26)),IF(INDEX(Properties!A$1:CB$87,Formula!H93,26)&lt;&gt;"",INDEX(Properties!A$1:CB$87,Formula!H93,26)),IF(INDEX(Properties!A$1:CB$87,Formula!J93,26)&lt;&gt;"",INDEX(Properties!A$1:CB$87,Formula!J93,26)))</f>
        <v>25.427335077600009</v>
      </c>
      <c r="CK93" s="39">
        <f>MAX(INDEX(Properties!A$1:CB$87,Formula!B93,26),INDEX(Properties!A$1:CB$87,Formula!D93,26),INDEX(Properties!A$1:CB$87,Formula!F93,26),INDEX(Properties!A$1:CB$87,Formula!H93,26),INDEX(Properties!A$1:CB$87,Formula!J93,26))</f>
        <v>13.6181</v>
      </c>
      <c r="CL93" s="39">
        <f>MIN(IF(INDEX(Properties!A$1:CB$87,Formula!B93,26)=0,10^6,INDEX(Properties!A$1:CB$87,Formula!B93,26)),IF(INDEX(Properties!A$1:CB$87,Formula!D93,26)=0,10^6,INDEX(Properties!A$1:CB$87,Formula!D93,26)),IF(INDEX(Properties!A$1:CB$87,Formula!F93,26)=0,10^6,INDEX(Properties!A$1:CB$87,Formula!F93,26)),IF(INDEX(Properties!A$1:CB$87,Formula!H93,26)=0,10^6,INDEX(Properties!A$1:CB$87,Formula!H93,26)),IF(INDEX(Properties!A$1:CB$87,Formula!J93,26)=0,10^6,INDEX(Properties!A$1:CB$87,Formula!J93,26)))</f>
        <v>5.5769000000000002</v>
      </c>
      <c r="CM93" s="39">
        <f t="shared" si="46"/>
        <v>8.0411999999999999</v>
      </c>
      <c r="CN93" s="54">
        <f>((Formula!C93)/(Formula!C93+Formula!E93+Formula!G93+Formula!I93+Formula!K93))*(INDEX(Properties!A$1:CB$87,Formula!B93,30))+((Formula!E93)/(Formula!C93+Formula!E93+Formula!G93+Formula!I93+Formula!K93))*(INDEX(Properties!A$1:CB$87,Formula!D93,30))+((Formula!G93)/(Formula!C93+Formula!E93+Formula!G93+Formula!I93+Formula!K93))*(INDEX(Properties!A$1:CB$87,Formula!F93,30))+((Formula!I93)/(Formula!C93+Formula!E93+Formula!G93+Formula!I93+Formula!K93))*(INDEX(Properties!A$1:CB$87,Formula!H93,30))+((Formula!K93)/(Formula!C93+Formula!E93+Formula!G93+Formula!I93+Formula!K93))*(INDEX(Properties!A$1:CB$87,Formula!J93,30))</f>
        <v>2.6309090909090909</v>
      </c>
      <c r="CO93" s="54">
        <f>Formula!C93*(INDEX(Properties!A$1:CB$87,Formula!B93,30))+Formula!E93*(INDEX(Properties!A$1:CB$87,Formula!D93,30))+Formula!G93*(INDEX(Properties!A$1:CB$87,Formula!F93,30))+Formula!I93*(INDEX(Properties!A$1:CB$87,Formula!H93,30))+Formula!K93*(INDEX(Properties!A$1:CB$87,Formula!J93,30))</f>
        <v>28.939999999999998</v>
      </c>
      <c r="CP93" s="54">
        <f>VARP(IF(INDEX(Properties!A$1:CB$87,Formula!B93,30)&lt;&gt;"",INDEX(Properties!A$1:CB$87,Formula!B93,30)),IF(INDEX(Properties!A$1:CB$87,Formula!D93,30)&lt;&gt;"",INDEX(Properties!A$1:CB$87,Formula!D93,30)),IF(INDEX(Properties!A$1:CB$87,Formula!F93,30)&lt;&gt;"",INDEX(Properties!A$1:CB$87,Formula!F93,30)),IF(INDEX(Properties!A$1:CB$87,Formula!H93,30)&lt;&gt;"",INDEX(Properties!A$1:CB$87,Formula!H93,30)),IF(INDEX(Properties!A$1:CB$87,Formula!J93,30)&lt;&gt;"",INDEX(Properties!A$1:CB$87,Formula!J93,30)))</f>
        <v>1.5842239999999999</v>
      </c>
      <c r="CQ93" s="54">
        <f>MAX(INDEX(Properties!A$1:CB$87,Formula!B93,30),INDEX(Properties!A$1:CB$87,Formula!D93,30),INDEX(Properties!A$1:CB$87,Formula!F93,30),INDEX(Properties!A$1:CB$87,Formula!H93,30),INDEX(Properties!A$1:CB$87,Formula!J93,30))</f>
        <v>3.44</v>
      </c>
      <c r="CR93" s="54">
        <f>MIN(IF(INDEX(Properties!A$1:CB$87,Formula!B93,30)=0,10^6,INDEX(Properties!A$1:CB$87,Formula!B93,30)),IF(INDEX(Properties!A$1:CB$87,Formula!D93,30)=0,10^6,INDEX(Properties!A$1:CB$87,Formula!D93,30)),IF(INDEX(Properties!A$1:CB$87,Formula!F93,30)=0,10^6,INDEX(Properties!A$1:CB$87,Formula!F93,30)),IF(INDEX(Properties!A$1:CB$87,Formula!H93,30)=0,10^6,INDEX(Properties!A$1:CB$87,Formula!H93,30)),IF(INDEX(Properties!A$1:CB$87,Formula!J93,30)=0,10^6,INDEX(Properties!A$1:CB$87,Formula!J93,30)))</f>
        <v>1.1000000000000001</v>
      </c>
      <c r="CS93" s="54">
        <f t="shared" si="47"/>
        <v>2.34</v>
      </c>
      <c r="CT93" s="69">
        <f>((Formula!C93)/(Formula!C93+Formula!E93+Formula!G93+Formula!I93+Formula!K93))*(INDEX(Properties!A$1:CB$87,Formula!B93,31))+((Formula!E93)/(Formula!C93+Formula!E93+Formula!G93+Formula!I93+Formula!K93))*(INDEX(Properties!A$1:CB$87,Formula!D93,31))+((Formula!G93)/(Formula!C93+Formula!E93+Formula!G93+Formula!I93+Formula!K93))*(INDEX(Properties!A$1:CB$87,Formula!F93,31))+((Formula!I93)/(Formula!C93+Formula!E93+Formula!G93+Formula!I93+Formula!K93))*(INDEX(Properties!A$1:CB$87,Formula!H93,31))+((Formula!K93)/(Formula!C93+Formula!E93+Formula!G93+Formula!I93+Formula!K93))*(INDEX(Properties!A$1:CB$87,Formula!J93,31))</f>
        <v>2.6672727272727275</v>
      </c>
      <c r="CU93" s="69">
        <f>Formula!C93*(INDEX(Properties!A$1:CB$87,Formula!B93,31))+Formula!E93*(INDEX(Properties!A$1:CB$87,Formula!D93,31))+Formula!G93*(INDEX(Properties!A$1:CB$87,Formula!F93,31))+Formula!I93*(INDEX(Properties!A$1:CB$87,Formula!H93,31))+Formula!K93*(INDEX(Properties!A$1:CB$87,Formula!J93,31))</f>
        <v>29.339999999999996</v>
      </c>
      <c r="CV93" s="69">
        <f>VARP(IF(INDEX(Properties!A$1:CB$87,Formula!B93,31)&lt;&gt;"",INDEX(Properties!A$1:CB$87,Formula!B93,31)),IF(INDEX(Properties!A$1:CB$87,Formula!D93,31)&lt;&gt;"",INDEX(Properties!A$1:CB$87,Formula!D93,31)),IF(INDEX(Properties!A$1:CB$87,Formula!F93,31)&lt;&gt;"",INDEX(Properties!A$1:CB$87,Formula!F93,31)),IF(INDEX(Properties!A$1:CB$87,Formula!H93,31)&lt;&gt;"",INDEX(Properties!A$1:CB$87,Formula!H93,31)),IF(INDEX(Properties!A$1:CB$87,Formula!J93,31)&lt;&gt;"",INDEX(Properties!A$1:CB$87,Formula!J93,31)))</f>
        <v>1.5239040000000004</v>
      </c>
      <c r="CW93" s="69">
        <f>MAX(INDEX(Properties!A$1:CB$87,Formula!B93,31),INDEX(Properties!A$1:CB$87,Formula!D93,31),INDEX(Properties!A$1:CB$87,Formula!F93,31),INDEX(Properties!A$1:CB$87,Formula!H93,31),INDEX(Properties!A$1:CB$87,Formula!J93,31))</f>
        <v>3.32</v>
      </c>
      <c r="CX93" s="69">
        <f>MIN(IF(INDEX(Properties!A$1:CB$87,Formula!B93,31)=0,10^6,INDEX(Properties!A$1:CB$87,Formula!B93,31)),IF(INDEX(Properties!A$1:CB$87,Formula!D93,31)=0,10^6,INDEX(Properties!A$1:CB$87,Formula!D93,31)),IF(INDEX(Properties!A$1:CB$87,Formula!F93,31)=0,10^6,INDEX(Properties!A$1:CB$87,Formula!F93,31)),IF(INDEX(Properties!A$1:CB$87,Formula!H93,31)=0,10^6,INDEX(Properties!A$1:CB$87,Formula!H93,31)),IF(INDEX(Properties!A$1:CB$87,Formula!J93,31)=0,10^6,INDEX(Properties!A$1:CB$87,Formula!J93,31)))</f>
        <v>1.35</v>
      </c>
      <c r="CY93" s="69">
        <f t="shared" si="48"/>
        <v>1.9699999999999998</v>
      </c>
      <c r="CZ93" s="42">
        <f>((Formula!C93)/(Formula!C93+Formula!E93+Formula!G93+Formula!I93+Formula!K93))*(INDEX(Properties!A$1:CB$87,Formula!B93,32))+((Formula!E93)/(Formula!C93+Formula!E93+Formula!G93+Formula!I93+Formula!K93))*(INDEX(Properties!A$1:CB$87,Formula!D93,32))+((Formula!G93)/(Formula!C93+Formula!E93+Formula!G93+Formula!I93+Formula!K93))*(INDEX(Properties!A$1:CB$87,Formula!F93,32))+((Formula!I93)/(Formula!C93+Formula!E93+Formula!G93+Formula!I93+Formula!K93))*(INDEX(Properties!A$1:CB$87,Formula!H93,32))+((Formula!K93)/(Formula!C93+Formula!E93+Formula!G93+Formula!I93+Formula!K93))*(INDEX(Properties!A$1:CB$87,Formula!J93,32))</f>
        <v>6.0236363636363635</v>
      </c>
      <c r="DA93" s="42">
        <f>Formula!C93*(INDEX(Properties!A$1:CB$87,Formula!B93,32))+Formula!E93*(INDEX(Properties!A$1:CB$87,Formula!D93,32))+Formula!G93*(INDEX(Properties!A$1:CB$87,Formula!F93,32))+Formula!I93*(INDEX(Properties!A$1:CB$87,Formula!H93,32))+Formula!K93*(INDEX(Properties!A$1:CB$87,Formula!J93,32))</f>
        <v>66.260000000000005</v>
      </c>
      <c r="DB93" s="42">
        <f>VARP(IF(INDEX(Properties!A$1:CB$87,Formula!B93,32)&lt;&gt;"",INDEX(Properties!A$1:CB$87,Formula!B93,32)),IF(INDEX(Properties!A$1:CB$87,Formula!D93,32)&lt;&gt;"",INDEX(Properties!A$1:CB$87,Formula!D93,32)),IF(INDEX(Properties!A$1:CB$87,Formula!F93,32)&lt;&gt;"",INDEX(Properties!A$1:CB$87,Formula!F93,32)),IF(INDEX(Properties!A$1:CB$87,Formula!H93,32)&lt;&gt;"",INDEX(Properties!A$1:CB$87,Formula!H93,32)),IF(INDEX(Properties!A$1:CB$87,Formula!J93,32)&lt;&gt;"",INDEX(Properties!A$1:CB$87,Formula!J93,32)))</f>
        <v>7.785503999999996</v>
      </c>
      <c r="DC93" s="42">
        <f>MAX(INDEX(Properties!A$1:CB$87,Formula!B93,32),INDEX(Properties!A$1:CB$87,Formula!D93,32),INDEX(Properties!A$1:CB$87,Formula!F93,32),INDEX(Properties!A$1:CB$87,Formula!H93,32),INDEX(Properties!A$1:CB$87,Formula!J93,32))</f>
        <v>7.54</v>
      </c>
      <c r="DD93" s="42">
        <f>MIN(IF(INDEX(Properties!A$1:CB$87,Formula!B93,32)=0,10^6,INDEX(Properties!A$1:CB$87,Formula!B93,32)),IF(INDEX(Properties!A$1:CB$87,Formula!D93,32)=0,10^6,INDEX(Properties!A$1:CB$87,Formula!D93,32)),IF(INDEX(Properties!A$1:CB$87,Formula!F93,32)=0,10^6,INDEX(Properties!A$1:CB$87,Formula!F93,32)),IF(INDEX(Properties!A$1:CB$87,Formula!H93,32)=0,10^6,INDEX(Properties!A$1:CB$87,Formula!H93,32)),IF(INDEX(Properties!A$1:CB$87,Formula!J93,32)=0,10^6,INDEX(Properties!A$1:CB$87,Formula!J93,32)))</f>
        <v>3.1</v>
      </c>
      <c r="DE93" s="42">
        <f t="shared" si="49"/>
        <v>4.4399999999999995</v>
      </c>
      <c r="DF93" s="60">
        <f>((Formula!C93)/(Formula!C93+Formula!E93+Formula!G93+Formula!I93+Formula!K93))*(INDEX(Properties!A$1:CB$87,Formula!B93,34))+((Formula!E93)/(Formula!C93+Formula!E93+Formula!G93+Formula!I93+Formula!K93))*(INDEX(Properties!A$1:CB$87,Formula!D93,34))+((Formula!G93)/(Formula!C93+Formula!E93+Formula!G93+Formula!I93+Formula!K93))*(INDEX(Properties!A$1:CB$87,Formula!F93,34))+((Formula!I93)/(Formula!C93+Formula!E93+Formula!G93+Formula!I93+Formula!K93))*(INDEX(Properties!A$1:CB$87,Formula!H93,34))+((Formula!K93)/(Formula!C93+Formula!E93+Formula!G93+Formula!I93+Formula!K93))*(INDEX(Properties!A$1:CB$87,Formula!J93,34))</f>
        <v>2.7354545454545454</v>
      </c>
      <c r="DG93" s="60">
        <f>Formula!C93*(INDEX(Properties!A$1:CB$87,Formula!B93,34))+Formula!E93*(INDEX(Properties!A$1:CB$87,Formula!D93,34))+Formula!G93*(INDEX(Properties!A$1:CB$87,Formula!F93,34))+Formula!I93*(INDEX(Properties!A$1:CB$87,Formula!H93,34))+Formula!K93*(INDEX(Properties!A$1:CB$87,Formula!J93,34))</f>
        <v>30.09</v>
      </c>
      <c r="DH93" s="60">
        <f>VARP(IF(INDEX(Properties!A$1:CB$87,Formula!B93,34)&lt;&gt;"",INDEX(Properties!A$1:CB$87,Formula!B93,34)),IF(INDEX(Properties!A$1:CB$87,Formula!D93,34)&lt;&gt;"",INDEX(Properties!A$1:CB$87,Formula!D93,34)),IF(INDEX(Properties!A$1:CB$87,Formula!F93,34)&lt;&gt;"",INDEX(Properties!A$1:CB$87,Formula!F93,34)),IF(INDEX(Properties!A$1:CB$87,Formula!H93,34)&lt;&gt;"",INDEX(Properties!A$1:CB$87,Formula!H93,34)),IF(INDEX(Properties!A$1:CB$87,Formula!J93,34)&lt;&gt;"",INDEX(Properties!A$1:CB$87,Formula!J93,34)))</f>
        <v>1.7429040000000002</v>
      </c>
      <c r="DI93" s="60">
        <f>MAX(INDEX(Properties!A$1:CB$87,Formula!B93,34),INDEX(Properties!A$1:CB$87,Formula!D93,34),INDEX(Properties!A$1:CB$87,Formula!F93,34),INDEX(Properties!A$1:CB$87,Formula!H93,34),INDEX(Properties!A$1:CB$87,Formula!J93,34))</f>
        <v>3.61</v>
      </c>
      <c r="DJ93" s="60">
        <f>MIN(IF(INDEX(Properties!A$1:CB$87,Formula!B93,34)=0,10^6,INDEX(Properties!A$1:CB$87,Formula!B93,34)),IF(INDEX(Properties!A$1:CB$87,Formula!D93,34)=0,10^6,INDEX(Properties!A$1:CB$87,Formula!D93,34)),IF(INDEX(Properties!A$1:CB$87,Formula!F93,34)=0,10^6,INDEX(Properties!A$1:CB$87,Formula!F93,34)),IF(INDEX(Properties!A$1:CB$87,Formula!H93,34)=0,10^6,INDEX(Properties!A$1:CB$87,Formula!H93,34)),IF(INDEX(Properties!A$1:CB$87,Formula!J93,34)=0,10^6,INDEX(Properties!A$1:CB$87,Formula!J93,34)))</f>
        <v>1.0900000000000001</v>
      </c>
      <c r="DK93" s="60">
        <f t="shared" si="50"/>
        <v>2.5199999999999996</v>
      </c>
      <c r="DL93" s="45">
        <f>((Formula!C93)/(Formula!C93+Formula!E93+Formula!G93+Formula!I93+Formula!K93))*(INDEX(Properties!A$1:CB$87,Formula!B93,39))+((Formula!E93)/(Formula!C93+Formula!E93+Formula!G93+Formula!I93+Formula!K93))*(INDEX(Properties!A$1:CB$87,Formula!D93,39))+((Formula!G93)/(Formula!C93+Formula!E93+Formula!G93+Formula!I93+Formula!K93))*(INDEX(Properties!A$1:CB$87,Formula!F93,39))+((Formula!I93)/(Formula!C93+Formula!E93+Formula!G93+Formula!I93+Formula!K93))*(INDEX(Properties!A$1:CB$87,Formula!H93,39))+((Formula!K93)/(Formula!C93+Formula!E93+Formula!G93+Formula!I93+Formula!K93))*(INDEX(Properties!A$1:CB$87,Formula!J93,39))</f>
        <v>1.0345454545454547</v>
      </c>
      <c r="DM93" s="45">
        <f>Formula!C93*(INDEX(Properties!A$1:CB$87,Formula!B93,39))+Formula!E93*(INDEX(Properties!A$1:CB$87,Formula!D93,39))+Formula!G93*(INDEX(Properties!A$1:CB$87,Formula!F93,39))+Formula!I93*(INDEX(Properties!A$1:CB$87,Formula!H93,39))+Formula!K93*(INDEX(Properties!A$1:CB$87,Formula!J93,39))</f>
        <v>11.379999999999999</v>
      </c>
      <c r="DN93" s="45">
        <f>VARP(IF(INDEX(Properties!A$1:CB$87,Formula!B93,39)&lt;&gt;"",INDEX(Properties!A$1:CB$87,Formula!B93,39)),IF(INDEX(Properties!A$1:CB$87,Formula!D93,39)&lt;&gt;"",INDEX(Properties!A$1:CB$87,Formula!D93,39)),IF(INDEX(Properties!A$1:CB$87,Formula!F93,39)&lt;&gt;"",INDEX(Properties!A$1:CB$87,Formula!F93,39)),IF(INDEX(Properties!A$1:CB$87,Formula!H93,39)&lt;&gt;"",INDEX(Properties!A$1:CB$87,Formula!H93,39)),IF(INDEX(Properties!A$1:CB$87,Formula!J93,39)&lt;&gt;"",INDEX(Properties!A$1:CB$87,Formula!J93,39)))</f>
        <v>0.84889599999999954</v>
      </c>
      <c r="DO93" s="45">
        <f>MAX(INDEX(Properties!A$1:CB$87,Formula!B93,39),INDEX(Properties!A$1:CB$87,Formula!D93,39),INDEX(Properties!A$1:CB$87,Formula!F93,39),INDEX(Properties!A$1:CB$87,Formula!H93,39),INDEX(Properties!A$1:CB$87,Formula!J93,39))</f>
        <v>2.06</v>
      </c>
      <c r="DP93" s="45">
        <f>MIN(IF(INDEX(Properties!A$1:CB$87,Formula!B93,39)=0,10^6,INDEX(Properties!A$1:CB$87,Formula!B93,39)),IF(INDEX(Properties!A$1:CB$87,Formula!D93,39)=0,10^6,INDEX(Properties!A$1:CB$87,Formula!D93,39)),IF(INDEX(Properties!A$1:CB$87,Formula!F93,39)=0,10^6,INDEX(Properties!A$1:CB$87,Formula!F93,39)),IF(INDEX(Properties!A$1:CB$87,Formula!H93,39)=0,10^6,INDEX(Properties!A$1:CB$87,Formula!H93,39)),IF(INDEX(Properties!A$1:CB$87,Formula!J93,39)=0,10^6,INDEX(Properties!A$1:CB$87,Formula!J93,39)))</f>
        <v>0.48</v>
      </c>
      <c r="DQ93" s="45">
        <f t="shared" si="51"/>
        <v>1.58</v>
      </c>
      <c r="DR93" s="63">
        <f>((Formula!C93)/(Formula!C93+Formula!E93+Formula!G93+Formula!I93+Formula!K93))*(INDEX(Properties!A$1:CB$87,Formula!B93,40))+((Formula!E93)/(Formula!C93+Formula!E93+Formula!G93+Formula!I93+Formula!K93))*(INDEX(Properties!A$1:CB$87,Formula!D93,40))+((Formula!G93)/(Formula!C93+Formula!E93+Formula!G93+Formula!I93+Formula!K93))*(INDEX(Properties!A$1:CB$87,Formula!F93,40))+((Formula!I93)/(Formula!C93+Formula!E93+Formula!G93+Formula!I93+Formula!K93))*(INDEX(Properties!A$1:CB$87,Formula!H93,40))+((Formula!K93)/(Formula!C93+Formula!E93+Formula!G93+Formula!I93+Formula!K93))*(INDEX(Properties!A$1:CB$87,Formula!J93,40))</f>
        <v>1.040909090909091</v>
      </c>
      <c r="DS93" s="63">
        <f>Formula!C93*(INDEX(Properties!A$1:CB$87,Formula!B93,40))+Formula!E93*(INDEX(Properties!A$1:CB$87,Formula!D93,40))+Formula!G93*(INDEX(Properties!A$1:CB$87,Formula!F93,40))+Formula!I93*(INDEX(Properties!A$1:CB$87,Formula!H93,40))+Formula!K93*(INDEX(Properties!A$1:CB$87,Formula!J93,40))</f>
        <v>11.45</v>
      </c>
      <c r="DT93" s="63">
        <f>VARP(IF(INDEX(Properties!A$1:CB$87,Formula!B93,40)&lt;&gt;"",INDEX(Properties!A$1:CB$87,Formula!B93,40)),IF(INDEX(Properties!A$1:CB$87,Formula!D93,40)&lt;&gt;"",INDEX(Properties!A$1:CB$87,Formula!D93,40)),IF(INDEX(Properties!A$1:CB$87,Formula!F93,40)&lt;&gt;"",INDEX(Properties!A$1:CB$87,Formula!F93,40)),IF(INDEX(Properties!A$1:CB$87,Formula!H93,40)&lt;&gt;"",INDEX(Properties!A$1:CB$87,Formula!H93,40)),IF(INDEX(Properties!A$1:CB$87,Formula!J93,40)&lt;&gt;"",INDEX(Properties!A$1:CB$87,Formula!J93,40)))</f>
        <v>0.50747999999999993</v>
      </c>
      <c r="DU93" s="63">
        <f>MAX(INDEX(Properties!A$1:CB$87,Formula!B93,40),INDEX(Properties!A$1:CB$87,Formula!D93,40),INDEX(Properties!A$1:CB$87,Formula!F93,40),INDEX(Properties!A$1:CB$87,Formula!H93,40),INDEX(Properties!A$1:CB$87,Formula!J93,40))</f>
        <v>1.69</v>
      </c>
      <c r="DV93" s="63">
        <f>MIN(IF(INDEX(Properties!A$1:CB$87,Formula!B93,40)=0,10^6,INDEX(Properties!A$1:CB$87,Formula!B93,40)),IF(INDEX(Properties!A$1:CB$87,Formula!D93,40)=0,10^6,INDEX(Properties!A$1:CB$87,Formula!D93,40)),IF(INDEX(Properties!A$1:CB$87,Formula!F93,40)=0,10^6,INDEX(Properties!A$1:CB$87,Formula!F93,40)),IF(INDEX(Properties!A$1:CB$87,Formula!H93,40)=0,10^6,INDEX(Properties!A$1:CB$87,Formula!H93,40)),IF(INDEX(Properties!A$1:CB$87,Formula!J93,40)=0,10^6,INDEX(Properties!A$1:CB$87,Formula!J93,40)))</f>
        <v>0.73</v>
      </c>
      <c r="DW93" s="63">
        <f t="shared" si="52"/>
        <v>0.96</v>
      </c>
      <c r="DX93" s="75">
        <f>((Formula!C93)/(Formula!C93+Formula!E93+Formula!G93+Formula!I93+Formula!K93))*(INDEX(Properties!A$1:CB$87,Formula!B93,41))+((Formula!E93)/(Formula!C93+Formula!E93+Formula!G93+Formula!I93+Formula!K93))*(INDEX(Properties!A$1:CB$87,Formula!D93,41))+((Formula!G93)/(Formula!C93+Formula!E93+Formula!G93+Formula!I93+Formula!K93))*(INDEX(Properties!A$1:CB$87,Formula!F93,41))+((Formula!I93)/(Formula!C93+Formula!E93+Formula!G93+Formula!I93+Formula!K93))*(INDEX(Properties!A$1:CB$87,Formula!H93,41))+((Formula!K93)/(Formula!C93+Formula!E93+Formula!G93+Formula!I93+Formula!K93))*(INDEX(Properties!A$1:CB$87,Formula!J93,41))</f>
        <v>1.1709090909090909</v>
      </c>
      <c r="DY93" s="75">
        <f>Formula!C93*(INDEX(Properties!A$1:CB$87,Formula!B93,41))+Formula!E93*(INDEX(Properties!A$1:CB$87,Formula!D93,41))+Formula!G93*(INDEX(Properties!A$1:CB$87,Formula!F93,41))+Formula!I93*(INDEX(Properties!A$1:CB$87,Formula!H93,41))+Formula!K93*(INDEX(Properties!A$1:CB$87,Formula!J93,41))</f>
        <v>12.879999999999999</v>
      </c>
      <c r="DZ93" s="75">
        <f>VARP(IF(INDEX(Properties!A$1:CB$87,Formula!B93,41)&lt;&gt;"",INDEX(Properties!A$1:CB$87,Formula!B93,41)),IF(INDEX(Properties!A$1:CB$87,Formula!D93,41)&lt;&gt;"",INDEX(Properties!A$1:CB$87,Formula!D93,41)),IF(INDEX(Properties!A$1:CB$87,Formula!F93,41)&lt;&gt;"",INDEX(Properties!A$1:CB$87,Formula!F93,41)),IF(INDEX(Properties!A$1:CB$87,Formula!H93,41)&lt;&gt;"",INDEX(Properties!A$1:CB$87,Formula!H93,41)),IF(INDEX(Properties!A$1:CB$87,Formula!J93,41)&lt;&gt;"",INDEX(Properties!A$1:CB$87,Formula!J93,41)))</f>
        <v>0.30625599999999997</v>
      </c>
      <c r="EA93" s="75">
        <f>MAX(INDEX(Properties!A$1:CB$87,Formula!B93,41),INDEX(Properties!A$1:CB$87,Formula!D93,41),INDEX(Properties!A$1:CB$87,Formula!F93,41),INDEX(Properties!A$1:CB$87,Formula!H93,41),INDEX(Properties!A$1:CB$87,Formula!J93,41))</f>
        <v>1.26</v>
      </c>
      <c r="EB93" s="75">
        <f>MIN(IF(INDEX(Properties!A$1:CB$87,Formula!B93,41)=0,10^6,INDEX(Properties!A$1:CB$87,Formula!B93,41)),IF(INDEX(Properties!A$1:CB$87,Formula!D93,41)=0,10^6,INDEX(Properties!A$1:CB$87,Formula!D93,41)),IF(INDEX(Properties!A$1:CB$87,Formula!F93,41)=0,10^6,INDEX(Properties!A$1:CB$87,Formula!F93,41)),IF(INDEX(Properties!A$1:CB$87,Formula!H93,41)=0,10^6,INDEX(Properties!A$1:CB$87,Formula!H93,41)),IF(INDEX(Properties!A$1:CB$87,Formula!J93,41)=0,10^6,INDEX(Properties!A$1:CB$87,Formula!J93,41)))</f>
        <v>0.86</v>
      </c>
      <c r="EC93" s="75">
        <f t="shared" si="53"/>
        <v>0.4</v>
      </c>
      <c r="ED93" s="48">
        <f>((Formula!C93)/(Formula!C93+Formula!E93+Formula!G93+Formula!I93+Formula!K93))*(INDEX(Properties!A$1:CB$87,Formula!B93,45))+((Formula!E93)/(Formula!C93+Formula!E93+Formula!G93+Formula!I93+Formula!K93))*(INDEX(Properties!A$1:CB$87,Formula!D93,45))+((Formula!G93)/(Formula!C93+Formula!E93+Formula!G93+Formula!I93+Formula!K93))*(INDEX(Properties!A$1:CB$87,Formula!F93,45))+((Formula!I93)/(Formula!C93+Formula!E93+Formula!G93+Formula!I93+Formula!K93))*(INDEX(Properties!A$1:CB$87,Formula!H93,45))+((Formula!K93)/(Formula!C93+Formula!E93+Formula!G93+Formula!I93+Formula!K93))*(INDEX(Properties!A$1:CB$87,Formula!J93,45))</f>
        <v>1.3736363636363638</v>
      </c>
      <c r="EE93" s="48">
        <f>Formula!C93*(INDEX(Properties!A$1:CB$87,Formula!B93,45))+Formula!E93*(INDEX(Properties!A$1:CB$87,Formula!D93,45))+Formula!G93*(INDEX(Properties!A$1:CB$87,Formula!F93,45))+Formula!I93*(INDEX(Properties!A$1:CB$87,Formula!H93,45))+Formula!K93*(INDEX(Properties!A$1:CB$87,Formula!J93,45))</f>
        <v>15.11</v>
      </c>
      <c r="EF93" s="48">
        <f>VARP(IF(INDEX(Properties!A$1:CB$87,Formula!B93,45)&lt;&gt;"",INDEX(Properties!A$1:CB$87,Formula!B93,45)),IF(INDEX(Properties!A$1:CB$87,Formula!D93,45)&lt;&gt;"",INDEX(Properties!A$1:CB$87,Formula!D93,45)),IF(INDEX(Properties!A$1:CB$87,Formula!F93,45)&lt;&gt;"",INDEX(Properties!A$1:CB$87,Formula!F93,45)),IF(INDEX(Properties!A$1:CB$87,Formula!H93,45)&lt;&gt;"",INDEX(Properties!A$1:CB$87,Formula!H93,45)),IF(INDEX(Properties!A$1:CB$87,Formula!J93,45)&lt;&gt;"",INDEX(Properties!A$1:CB$87,Formula!J93,45)))</f>
        <v>1.9150640000000001</v>
      </c>
      <c r="EG93" s="48">
        <f>MAX(INDEX(Properties!A$1:CB$87,Formula!B93,45),INDEX(Properties!A$1:CB$87,Formula!D93,45),INDEX(Properties!A$1:CB$87,Formula!F93,45),INDEX(Properties!A$1:CB$87,Formula!H93,45),INDEX(Properties!A$1:CB$87,Formula!J93,45))</f>
        <v>3.08</v>
      </c>
      <c r="EH93" s="48">
        <f>MIN(IF(INDEX(Properties!A$1:CB$87,Formula!B93,45)=0,10^6,INDEX(Properties!A$1:CB$87,Formula!B93,45)),IF(INDEX(Properties!A$1:CB$87,Formula!D93,45)=0,10^6,INDEX(Properties!A$1:CB$87,Formula!D93,45)),IF(INDEX(Properties!A$1:CB$87,Formula!F93,45)=0,10^6,INDEX(Properties!A$1:CB$87,Formula!F93,45)),IF(INDEX(Properties!A$1:CB$87,Formula!H93,45)=0,10^6,INDEX(Properties!A$1:CB$87,Formula!H93,45)),IF(INDEX(Properties!A$1:CB$87,Formula!J93,45)=0,10^6,INDEX(Properties!A$1:CB$87,Formula!J93,45)))</f>
        <v>0.47</v>
      </c>
      <c r="EI93" s="48">
        <f t="shared" si="54"/>
        <v>2.6100000000000003</v>
      </c>
      <c r="EJ93" s="66">
        <f>((Formula!C93)/(Formula!C93+Formula!E93+Formula!G93+Formula!I93+Formula!K93))*(INDEX(Properties!A$1:CB$87,Formula!B93,46))+((Formula!E93)/(Formula!C93+Formula!E93+Formula!G93+Formula!I93+Formula!K93))*(INDEX(Properties!A$1:CB$87,Formula!D93,46))+((Formula!G93)/(Formula!C93+Formula!E93+Formula!G93+Formula!I93+Formula!K93))*(INDEX(Properties!A$1:CB$87,Formula!F93,46))+((Formula!I93)/(Formula!C93+Formula!E93+Formula!G93+Formula!I93+Formula!K93))*(INDEX(Properties!A$1:CB$87,Formula!H93,46))+((Formula!K93)/(Formula!C93+Formula!E93+Formula!G93+Formula!I93+Formula!K93))*(INDEX(Properties!A$1:CB$87,Formula!J93,46))</f>
        <v>1.1736363636363638</v>
      </c>
      <c r="EK93" s="66">
        <f>Formula!C93*(INDEX(Properties!A$1:CB$87,Formula!B93,46))+Formula!E93*(INDEX(Properties!A$1:CB$87,Formula!D93,46))+Formula!G93*(INDEX(Properties!A$1:CB$87,Formula!F93,46))+Formula!I93*(INDEX(Properties!A$1:CB$87,Formula!H93,46))+Formula!K93*(INDEX(Properties!A$1:CB$87,Formula!J93,46))</f>
        <v>12.91</v>
      </c>
      <c r="EL93" s="66">
        <f>VARP(IF(INDEX(Properties!A$1:CB$87,Formula!B93,46)&lt;&gt;"",INDEX(Properties!A$1:CB$87,Formula!B93,46)),IF(INDEX(Properties!A$1:CB$87,Formula!D93,46)&lt;&gt;"",INDEX(Properties!A$1:CB$87,Formula!D93,46)),IF(INDEX(Properties!A$1:CB$87,Formula!F93,46)&lt;&gt;"",INDEX(Properties!A$1:CB$87,Formula!F93,46)),IF(INDEX(Properties!A$1:CB$87,Formula!H93,46)&lt;&gt;"",INDEX(Properties!A$1:CB$87,Formula!H93,46)),IF(INDEX(Properties!A$1:CB$87,Formula!J93,46)&lt;&gt;"",INDEX(Properties!A$1:CB$87,Formula!J93,46)))</f>
        <v>0.34006399999999998</v>
      </c>
      <c r="EM93" s="66">
        <f>MAX(INDEX(Properties!A$1:CB$87,Formula!B93,46),INDEX(Properties!A$1:CB$87,Formula!D93,46),INDEX(Properties!A$1:CB$87,Formula!F93,46),INDEX(Properties!A$1:CB$87,Formula!H93,46),INDEX(Properties!A$1:CB$87,Formula!J93,46))</f>
        <v>1.36</v>
      </c>
      <c r="EN93" s="66">
        <f>MIN(IF(INDEX(Properties!A$1:CB$87,Formula!B93,46)=0,10^6,INDEX(Properties!A$1:CB$87,Formula!B93,46)),IF(INDEX(Properties!A$1:CB$87,Formula!D93,46)=0,10^6,INDEX(Properties!A$1:CB$87,Formula!D93,46)),IF(INDEX(Properties!A$1:CB$87,Formula!F93,46)=0,10^6,INDEX(Properties!A$1:CB$87,Formula!F93,46)),IF(INDEX(Properties!A$1:CB$87,Formula!H93,46)=0,10^6,INDEX(Properties!A$1:CB$87,Formula!H93,46)),IF(INDEX(Properties!A$1:CB$87,Formula!J93,46)=0,10^6,INDEX(Properties!A$1:CB$87,Formula!J93,46)))</f>
        <v>0.86</v>
      </c>
      <c r="EO93" s="66">
        <f t="shared" si="55"/>
        <v>0.50000000000000011</v>
      </c>
      <c r="EP93" s="81">
        <f>((Formula!C93)/(Formula!C93+Formula!E93+Formula!G93+Formula!I93+Formula!K93))*(INDEX(Properties!A$1:CB$87,Formula!B93,52))+((Formula!E93)/(Formula!C93+Formula!E93+Formula!G93+Formula!I93+Formula!K93))*(INDEX(Properties!A$1:CB$87,Formula!D93,52))+((Formula!G93)/(Formula!C93+Formula!E93+Formula!G93+Formula!I93+Formula!K93))*(INDEX(Properties!A$1:CB$87,Formula!F93,52))+((Formula!I93)/(Formula!C93+Formula!E93+Formula!G93+Formula!I93+Formula!K93))*(INDEX(Properties!A$1:CB$87,Formula!H93,52))+((Formula!K93)/(Formula!C93+Formula!E93+Formula!G93+Formula!I93+Formula!K93))*(INDEX(Properties!A$1:CB$87,Formula!J93,52))</f>
        <v>9.4137272727272734</v>
      </c>
      <c r="EQ93" s="81">
        <f>Formula!C93*(INDEX(Properties!A$1:CB$87,Formula!B93,52))+Formula!E93*(INDEX(Properties!A$1:CB$87,Formula!D93,52))+Formula!G93*(INDEX(Properties!A$1:CB$87,Formula!F93,52))+Formula!I93*(INDEX(Properties!A$1:CB$87,Formula!H93,52))+Formula!K93*(INDEX(Properties!A$1:CB$87,Formula!J93,52))</f>
        <v>103.551</v>
      </c>
      <c r="ER93" s="81">
        <f>VARP(IF(INDEX(Properties!A$1:CB$87,Formula!B93,52)&lt;&gt;"",INDEX(Properties!A$1:CB$87,Formula!B93,52)),IF(INDEX(Properties!A$1:CB$87,Formula!D93,52)&lt;&gt;"",INDEX(Properties!A$1:CB$87,Formula!D93,52)),IF(INDEX(Properties!A$1:CB$87,Formula!F93,52)&lt;&gt;"",INDEX(Properties!A$1:CB$87,Formula!F93,52)),IF(INDEX(Properties!A$1:CB$87,Formula!H93,52)&lt;&gt;"",INDEX(Properties!A$1:CB$87,Formula!H93,52)),IF(INDEX(Properties!A$1:CB$87,Formula!J93,52)&lt;&gt;"",INDEX(Properties!A$1:CB$87,Formula!J93,52)))</f>
        <v>158.47605583999996</v>
      </c>
      <c r="ES93" s="81">
        <f>MAX(INDEX(Properties!A$1:CB$87,Formula!B93,52),INDEX(Properties!A$1:CB$87,Formula!D93,52),INDEX(Properties!A$1:CB$87,Formula!F93,52),INDEX(Properties!A$1:CB$87,Formula!H93,52),INDEX(Properties!A$1:CB$87,Formula!J93,52))</f>
        <v>31.1</v>
      </c>
      <c r="ET93" s="81">
        <f>MIN(IF(INDEX(Properties!A$1:CB$87,Formula!B93,52)=0,10^6,INDEX(Properties!A$1:CB$87,Formula!B93,52)),IF(INDEX(Properties!A$1:CB$87,Formula!D93,52)=0,10^6,INDEX(Properties!A$1:CB$87,Formula!D93,52)),IF(INDEX(Properties!A$1:CB$87,Formula!F93,52)=0,10^6,INDEX(Properties!A$1:CB$87,Formula!F93,52)),IF(INDEX(Properties!A$1:CB$87,Formula!H93,52)=0,10^6,INDEX(Properties!A$1:CB$87,Formula!H93,52)),IF(INDEX(Properties!A$1:CB$87,Formula!J93,52)=0,10^6,INDEX(Properties!A$1:CB$87,Formula!J93,52)))</f>
        <v>0.79300000000000004</v>
      </c>
      <c r="EU93" s="81">
        <f t="shared" si="56"/>
        <v>30.307000000000002</v>
      </c>
      <c r="EV93" s="39">
        <f>((Formula!C93)/(Formula!C93+Formula!E93+Formula!G93+Formula!I93+Formula!K93))*(INDEX(Properties!A$1:CB$87,Formula!B93,53))+((Formula!E93)/(Formula!C93+Formula!E93+Formula!G93+Formula!I93+Formula!K93))*(INDEX(Properties!A$1:CB$87,Formula!D93,53))+((Formula!G93)/(Formula!C93+Formula!E93+Formula!G93+Formula!I93+Formula!K93))*(INDEX(Properties!A$1:CB$87,Formula!F93,53))+((Formula!I93)/(Formula!C93+Formula!E93+Formula!G93+Formula!I93+Formula!K93))*(INDEX(Properties!A$1:CB$87,Formula!H93,53))+((Formula!K93)/(Formula!C93+Formula!E93+Formula!G93+Formula!I93+Formula!K93))*(INDEX(Properties!A$1:CB$87,Formula!J93,53))</f>
        <v>638.16818181818189</v>
      </c>
      <c r="EW93" s="39">
        <f>Formula!C93*(INDEX(Properties!A$1:CB$87,Formula!B93,53))+Formula!E93*(INDEX(Properties!A$1:CB$87,Formula!D93,53))+Formula!G93*(INDEX(Properties!A$1:CB$87,Formula!F93,53))+Formula!I93*(INDEX(Properties!A$1:CB$87,Formula!H93,53))+Formula!K93*(INDEX(Properties!A$1:CB$87,Formula!J93,53))</f>
        <v>7019.85</v>
      </c>
      <c r="EX93" s="39">
        <f>VARP(IF(INDEX(Properties!A$1:CB$87,Formula!B93,53)&lt;&gt;"",INDEX(Properties!A$1:CB$87,Formula!B93,53)),IF(INDEX(Properties!A$1:CB$87,Formula!D93,53)&lt;&gt;"",INDEX(Properties!A$1:CB$87,Formula!D93,53)),IF(INDEX(Properties!A$1:CB$87,Formula!F93,53)&lt;&gt;"",INDEX(Properties!A$1:CB$87,Formula!F93,53)),IF(INDEX(Properties!A$1:CB$87,Formula!H93,53)&lt;&gt;"",INDEX(Properties!A$1:CB$87,Formula!H93,53)),IF(INDEX(Properties!A$1:CB$87,Formula!J93,53)&lt;&gt;"",INDEX(Properties!A$1:CB$87,Formula!J93,53)))</f>
        <v>733474.74939999997</v>
      </c>
      <c r="EY93" s="39">
        <f>MAX(INDEX(Properties!A$1:CB$87,Formula!B93,53),INDEX(Properties!A$1:CB$87,Formula!D93,53),INDEX(Properties!A$1:CB$87,Formula!F93,53),INDEX(Properties!A$1:CB$87,Formula!H93,53),INDEX(Properties!A$1:CB$87,Formula!J93,53))</f>
        <v>2125.15</v>
      </c>
      <c r="EZ93" s="39">
        <f>MIN(IF(INDEX(Properties!A$1:CB$87,Formula!B93,53)=0,10^6,INDEX(Properties!A$1:CB$87,Formula!B93,53)),IF(INDEX(Properties!A$1:CB$87,Formula!D93,53)=0,10^6,INDEX(Properties!A$1:CB$87,Formula!D93,53)),IF(INDEX(Properties!A$1:CB$87,Formula!F93,53)=0,10^6,INDEX(Properties!A$1:CB$87,Formula!F93,53)),IF(INDEX(Properties!A$1:CB$87,Formula!H93,53)=0,10^6,INDEX(Properties!A$1:CB$87,Formula!H93,53)),IF(INDEX(Properties!A$1:CB$87,Formula!J93,53)=0,10^6,INDEX(Properties!A$1:CB$87,Formula!J93,53)))</f>
        <v>54.749999999999972</v>
      </c>
      <c r="FA93" s="39">
        <f t="shared" si="57"/>
        <v>2070.4</v>
      </c>
      <c r="FB93" s="54">
        <f>((Formula!C93)/(Formula!C93+Formula!E93+Formula!G93+Formula!I93+Formula!K93))*(INDEX(Properties!A$1:CB$87,Formula!B93,54))+((Formula!E93)/(Formula!C93+Formula!E93+Formula!G93+Formula!I93+Formula!K93))*(INDEX(Properties!A$1:CB$87,Formula!D93,54))+((Formula!G93)/(Formula!C93+Formula!E93+Formula!G93+Formula!I93+Formula!K93))*(INDEX(Properties!A$1:CB$87,Formula!F93,54))+((Formula!I93)/(Formula!C93+Formula!E93+Formula!G93+Formula!I93+Formula!K93))*(INDEX(Properties!A$1:CB$87,Formula!H93,54))+((Formula!K93)/(Formula!C93+Formula!E93+Formula!G93+Formula!I93+Formula!K93))*(INDEX(Properties!A$1:CB$87,Formula!J93,54))</f>
        <v>1580.5136363636361</v>
      </c>
      <c r="FC93" s="54">
        <f>Formula!C93*(INDEX(Properties!A$1:CB$87,Formula!B93,54))+Formula!E93*(INDEX(Properties!A$1:CB$87,Formula!D93,54))+Formula!G93*(INDEX(Properties!A$1:CB$87,Formula!F93,54))+Formula!I93*(INDEX(Properties!A$1:CB$87,Formula!H93,54))+Formula!K93*(INDEX(Properties!A$1:CB$87,Formula!J93,54))</f>
        <v>17385.649999999998</v>
      </c>
      <c r="FD93" s="54">
        <f>VARP(IF(INDEX(Properties!A$1:CB$87,Formula!B93,54)&lt;&gt;"",INDEX(Properties!A$1:CB$87,Formula!B93,54)),IF(INDEX(Properties!A$1:CB$87,Formula!D93,54)&lt;&gt;"",INDEX(Properties!A$1:CB$87,Formula!D93,54)),IF(INDEX(Properties!A$1:CB$87,Formula!F93,54)&lt;&gt;"",INDEX(Properties!A$1:CB$87,Formula!F93,54)),IF(INDEX(Properties!A$1:CB$87,Formula!H93,54)&lt;&gt;"",INDEX(Properties!A$1:CB$87,Formula!H93,54)),IF(INDEX(Properties!A$1:CB$87,Formula!J93,54)&lt;&gt;"",INDEX(Properties!A$1:CB$87,Formula!J93,54)))</f>
        <v>4236825.4534</v>
      </c>
      <c r="FE93" s="54">
        <f>MAX(INDEX(Properties!A$1:CB$87,Formula!B93,54),INDEX(Properties!A$1:CB$87,Formula!D93,54),INDEX(Properties!A$1:CB$87,Formula!F93,54),INDEX(Properties!A$1:CB$87,Formula!H93,54),INDEX(Properties!A$1:CB$87,Formula!J93,54))</f>
        <v>4650.1499999999996</v>
      </c>
      <c r="FF93" s="54">
        <f>MIN(IF(INDEX(Properties!A$1:CB$87,Formula!B93,54)=0,10^6,INDEX(Properties!A$1:CB$87,Formula!B93,54)),IF(INDEX(Properties!A$1:CB$87,Formula!D93,54)=0,10^6,INDEX(Properties!A$1:CB$87,Formula!D93,54)),IF(INDEX(Properties!A$1:CB$87,Formula!F93,54)=0,10^6,INDEX(Properties!A$1:CB$87,Formula!F93,54)),IF(INDEX(Properties!A$1:CB$87,Formula!H93,54)=0,10^6,INDEX(Properties!A$1:CB$87,Formula!H93,54)),IF(INDEX(Properties!A$1:CB$87,Formula!J93,54)=0,10^6,INDEX(Properties!A$1:CB$87,Formula!J93,54)))</f>
        <v>90.149999999999977</v>
      </c>
      <c r="FG93" s="54">
        <f t="shared" si="58"/>
        <v>4560</v>
      </c>
      <c r="FH93" s="69">
        <f>((Formula!C93)/(Formula!C93+Formula!E93+Formula!G93+Formula!I93+Formula!K93))*(INDEX(Properties!A$1:CB$87,Formula!B93,55))+((Formula!E93)/(Formula!C93+Formula!E93+Formula!G93+Formula!I93+Formula!K93))*(INDEX(Properties!A$1:CB$87,Formula!D93,55))+((Formula!G93)/(Formula!C93+Formula!E93+Formula!G93+Formula!I93+Formula!K93))*(INDEX(Properties!A$1:CB$87,Formula!F93,55))+((Formula!I93)/(Formula!C93+Formula!E93+Formula!G93+Formula!I93+Formula!K93))*(INDEX(Properties!A$1:CB$87,Formula!H93,55))+((Formula!K93)/(Formula!C93+Formula!E93+Formula!G93+Formula!I93+Formula!K93))*(INDEX(Properties!A$1:CB$87,Formula!J93,55))</f>
        <v>2.302728181818182</v>
      </c>
      <c r="FI93" s="69">
        <f>Formula!C93*(INDEX(Properties!A$1:CB$87,Formula!B93,55))+Formula!E93*(INDEX(Properties!A$1:CB$87,Formula!D93,54))+Formula!G93*(INDEX(Properties!A$1:CB$87,Formula!F93,55))+Formula!I93*(INDEX(Properties!A$1:CB$87,Formula!H93,55))+Formula!K93*(INDEX(Properties!A$1:CB$87,Formula!J93,55))</f>
        <v>9312.6100099999985</v>
      </c>
      <c r="FJ93" s="69">
        <f>VARP(IF(INDEX(Properties!A$1:CB$87,Formula!B93,55)&lt;&gt;"",INDEX(Properties!A$1:CB$87,Formula!B93,55)),IF(INDEX(Properties!A$1:CB$87,Formula!D93,55)&lt;&gt;"",INDEX(Properties!A$1:CB$87,Formula!D93,55)),IF(INDEX(Properties!A$1:CB$87,Formula!F93,55)&lt;&gt;"",INDEX(Properties!A$1:CB$87,Formula!F93,55)),IF(INDEX(Properties!A$1:CB$87,Formula!H93,55)&lt;&gt;"",INDEX(Properties!A$1:CB$87,Formula!H93,55)),IF(INDEX(Properties!A$1:CB$87,Formula!J93,55)&lt;&gt;"",INDEX(Properties!A$1:CB$87,Formula!J93,55)))</f>
        <v>9.6280480231840002</v>
      </c>
      <c r="FK93" s="69">
        <f>MAX(INDEX(Properties!A$1:CB$87,Formula!B93,55),INDEX(Properties!A$1:CB$87,Formula!D93,55),INDEX(Properties!A$1:CB$87,Formula!F93,55),INDEX(Properties!A$1:CB$87,Formula!H93,55),INDEX(Properties!A$1:CB$87,Formula!J93,55))</f>
        <v>6.51</v>
      </c>
      <c r="FL93" s="69">
        <f>MIN(IF(INDEX(Properties!A$1:CB$87,Formula!B93,55)=0,10^6,INDEX(Properties!A$1:CB$87,Formula!B93,55)),IF(INDEX(Properties!A$1:CB$87,Formula!D93,55)=0,10^6,INDEX(Properties!A$1:CB$87,Formula!D93,55)),IF(INDEX(Properties!A$1:CB$87,Formula!F93,55)=0,10^6,INDEX(Properties!A$1:CB$87,Formula!F93,55)),IF(INDEX(Properties!A$1:CB$87,Formula!H93,55)=0,10^6,INDEX(Properties!A$1:CB$87,Formula!H93,55)),IF(INDEX(Properties!A$1:CB$87,Formula!J93,55)=0,10^6,INDEX(Properties!A$1:CB$87,Formula!J93,55)))</f>
        <v>1.4300000000000001E-3</v>
      </c>
      <c r="FM93" s="69">
        <f t="shared" si="59"/>
        <v>6.5085699999999997</v>
      </c>
      <c r="FN93" s="42">
        <f>((Formula!C93)/(Formula!C93+Formula!E93+Formula!G93+Formula!I93+Formula!K93))*(INDEX(Properties!A$1:CB$87,Formula!B93,56))+((Formula!E93)/(Formula!C93+Formula!E93+Formula!G93+Formula!I93+Formula!K93))*(INDEX(Properties!A$1:CB$87,Formula!D93,56))+((Formula!G93)/(Formula!C93+Formula!E93+Formula!G93+Formula!I93+Formula!K93))*(INDEX(Properties!A$1:CB$87,Formula!F93,56))+((Formula!I93)/(Formula!C93+Formula!E93+Formula!G93+Formula!I93+Formula!K93))*(INDEX(Properties!A$1:CB$87,Formula!H93,56))+((Formula!K93)/(Formula!C93+Formula!E93+Formula!G93+Formula!I93+Formula!K93))*(INDEX(Properties!A$1:CB$87,Formula!J93,56))</f>
        <v>0.66909090909090907</v>
      </c>
      <c r="FO93" s="42">
        <f>Formula!C93*(INDEX(Properties!A$1:CB$87,Formula!B93,56))+Formula!E93*(INDEX(Properties!A$1:CB$87,Formula!D93,56))+Formula!G93*(INDEX(Properties!A$1:CB$87,Formula!F93,56))+Formula!I93*(INDEX(Properties!A$1:CB$87,Formula!H93,56))+Formula!K93*(INDEX(Properties!A$1:CB$87,Formula!J93,56))</f>
        <v>7.36</v>
      </c>
      <c r="FP93" s="42">
        <f>VARP(IF(INDEX(Properties!A$1:CB$87,Formula!B93,56)&lt;&gt;"",INDEX(Properties!A$1:CB$87,Formula!B93,56)),IF(INDEX(Properties!A$1:CB$87,Formula!D93,56)&lt;&gt;"",INDEX(Properties!A$1:CB$87,Formula!D93,56)),IF(INDEX(Properties!A$1:CB$87,Formula!F93,56)&lt;&gt;"",INDEX(Properties!A$1:CB$87,Formula!F93,56)),IF(INDEX(Properties!A$1:CB$87,Formula!H93,56)&lt;&gt;"",INDEX(Properties!A$1:CB$87,Formula!H93,56)),IF(INDEX(Properties!A$1:CB$87,Formula!J93,56)&lt;&gt;"",INDEX(Properties!A$1:CB$87,Formula!J93,56)))</f>
        <v>0.11490399999999999</v>
      </c>
      <c r="FQ93" s="42">
        <f>MAX(INDEX(Properties!A$1:CB$87,Formula!B93,56),INDEX(Properties!A$1:CB$87,Formula!D93,56),INDEX(Properties!A$1:CB$87,Formula!F93,56),INDEX(Properties!A$1:CB$87,Formula!H93,56),INDEX(Properties!A$1:CB$87,Formula!J93,56))</f>
        <v>0.92</v>
      </c>
      <c r="FR93" s="42">
        <f>MIN(IF(INDEX(Properties!A$1:CB$87,Formula!B93,56)=0,10^6,INDEX(Properties!A$1:CB$87,Formula!B93,56)),IF(INDEX(Properties!A$1:CB$87,Formula!D93,56)=0,10^6,INDEX(Properties!A$1:CB$87,Formula!D93,56)),IF(INDEX(Properties!A$1:CB$87,Formula!F93,56)=0,10^6,INDEX(Properties!A$1:CB$87,Formula!F93,56)),IF(INDEX(Properties!A$1:CB$87,Formula!H93,56)=0,10^6,INDEX(Properties!A$1:CB$87,Formula!H93,56)),IF(INDEX(Properties!A$1:CB$87,Formula!J93,56)=0,10^6,INDEX(Properties!A$1:CB$87,Formula!J93,56)))</f>
        <v>0.19</v>
      </c>
      <c r="FS93" s="42">
        <f t="shared" si="60"/>
        <v>0.73</v>
      </c>
      <c r="FT93" s="60">
        <f>((Formula!C93)/(Formula!C93+Formula!E93+Formula!G93+Formula!I93+Formula!K93))*(INDEX(Properties!A$1:CB$87,Formula!B93,57))+((Formula!E93)/(Formula!C93+Formula!E93+Formula!G93+Formula!I93+Formula!K93))*(INDEX(Properties!A$1:CB$87,Formula!D93,57))+((Formula!G93)/(Formula!C93+Formula!E93+Formula!G93+Formula!I93+Formula!K93))*(INDEX(Properties!A$1:CB$87,Formula!F93,57))+((Formula!I93)/(Formula!C93+Formula!E93+Formula!G93+Formula!I93+Formula!K93))*(INDEX(Properties!A$1:CB$87,Formula!H93,57))+((Formula!K93)/(Formula!C93+Formula!E93+Formula!G93+Formula!I93+Formula!K93))*(INDEX(Properties!A$1:CB$87,Formula!J93,57))</f>
        <v>4.341648181818182</v>
      </c>
      <c r="FU93" s="60">
        <f>Formula!C93*(INDEX(Properties!A$1:CB$87,Formula!B93,57))+Formula!E93*(INDEX(Properties!A$1:CB$87,Formula!D93,57))+Formula!G93*(INDEX(Properties!A$1:CB$87,Formula!F93,57))+Formula!I93*(INDEX(Properties!A$1:CB$87,Formula!H93,57))+Formula!K93*(INDEX(Properties!A$1:CB$87,Formula!J93,57))</f>
        <v>47.758129999999994</v>
      </c>
      <c r="FV93" s="60">
        <f>VARP(IF(INDEX(Properties!A$1:CB$87,Formula!B93,57)&lt;&gt;"",INDEX(Properties!A$1:CB$87,Formula!B93,57)),IF(INDEX(Properties!A$1:CB$87,Formula!D93,57)&lt;&gt;"",INDEX(Properties!A$1:CB$87,Formula!D93,57)),IF(INDEX(Properties!A$1:CB$87,Formula!F93,57)&lt;&gt;"",INDEX(Properties!A$1:CB$87,Formula!F93,57)),IF(INDEX(Properties!A$1:CB$87,Formula!H93,57)&lt;&gt;"",INDEX(Properties!A$1:CB$87,Formula!H93,57)),IF(INDEX(Properties!A$1:CB$87,Formula!J93,57)&lt;&gt;"",INDEX(Properties!A$1:CB$87,Formula!J93,57)))</f>
        <v>43.06218108929599</v>
      </c>
      <c r="FW93" s="60">
        <f>MAX(INDEX(Properties!A$1:CB$87,Formula!B93,57),INDEX(Properties!A$1:CB$87,Formula!D93,57),INDEX(Properties!A$1:CB$87,Formula!F93,57),INDEX(Properties!A$1:CB$87,Formula!H93,57),INDEX(Properties!A$1:CB$87,Formula!J93,57))</f>
        <v>16.899999999999999</v>
      </c>
      <c r="FX93" s="60">
        <f>MIN(IF(INDEX(Properties!A$1:CB$87,Formula!B93,57)=0,10^6,INDEX(Properties!A$1:CB$87,Formula!B93,57)),IF(INDEX(Properties!A$1:CB$87,Formula!D93,57)=0,10^6,INDEX(Properties!A$1:CB$87,Formula!D93,57)),IF(INDEX(Properties!A$1:CB$87,Formula!F93,57)=0,10^6,INDEX(Properties!A$1:CB$87,Formula!F93,57)),IF(INDEX(Properties!A$1:CB$87,Formula!H93,57)=0,10^6,INDEX(Properties!A$1:CB$87,Formula!H93,57)),IF(INDEX(Properties!A$1:CB$87,Formula!J93,57)=0,10^6,INDEX(Properties!A$1:CB$87,Formula!J93,57)))</f>
        <v>0.22259000000000001</v>
      </c>
      <c r="FY93" s="60">
        <f t="shared" si="61"/>
        <v>16.677409999999998</v>
      </c>
      <c r="FZ93" s="72">
        <f>((Formula!C93)/(Formula!C93+Formula!E93+Formula!G93+Formula!I93+Formula!K93))*(INDEX(Properties!A$1:CB$87,Formula!B93,60))+((Formula!E93)/(Formula!C93+Formula!E93+Formula!G93+Formula!I93+Formula!K93))*(INDEX(Properties!A$1:CB$87,Formula!D93,60))+((Formula!G93)/(Formula!C93+Formula!E93+Formula!G93+Formula!I93+Formula!K93))*(INDEX(Properties!A$1:CB$87,Formula!F93,60))+((Formula!I93)/(Formula!C93+Formula!E93+Formula!G93+Formula!I93+Formula!K93))*(INDEX(Properties!A$1:CB$87,Formula!H93,60))+((Formula!K93)/(Formula!C93+Formula!E93+Formula!G93+Formula!I93+Formula!K93))*(INDEX(Properties!A$1:CB$87,Formula!J93,60))</f>
        <v>6.5988345454545456</v>
      </c>
      <c r="GA93" s="72">
        <f>Formula!C93*(INDEX(Properties!A$1:CB$87,Formula!B93,60))+Formula!E93*(INDEX(Properties!A$1:CB$87,Formula!D93,60))+Formula!G93*(INDEX(Properties!A$1:CB$87,Formula!F93,60))+Formula!I93*(INDEX(Properties!A$1:CB$87,Formula!H93,60))+Formula!K93*(INDEX(Properties!A$1:CB$87,Formula!J93,60))</f>
        <v>72.587180000000004</v>
      </c>
      <c r="GB93" s="72">
        <f>VARP(IF(INDEX(Properties!A$1:CB$87,Formula!B93,60)&lt;&gt;"",INDEX(Properties!A$1:CB$87,Formula!B93,60)),IF(INDEX(Properties!A$1:CB$87,Formula!D93,60)&lt;&gt;"",INDEX(Properties!A$1:CB$87,Formula!D93,60)),IF(INDEX(Properties!A$1:CB$87,Formula!F93,60)&lt;&gt;"",INDEX(Properties!A$1:CB$87,Formula!F93,60)),IF(INDEX(Properties!A$1:CB$87,Formula!H93,60)&lt;&gt;"",INDEX(Properties!A$1:CB$87,Formula!H93,60)),IF(INDEX(Properties!A$1:CB$87,Formula!J93,60)&lt;&gt;"",INDEX(Properties!A$1:CB$87,Formula!J93,60)))</f>
        <v>87.013075364415997</v>
      </c>
      <c r="GC93" s="72">
        <f>MAX(INDEX(Properties!A$1:CB$87,Formula!B93,60),INDEX(Properties!A$1:CB$87,Formula!D93,60),INDEX(Properties!A$1:CB$87,Formula!F93,60),INDEX(Properties!A$1:CB$87,Formula!H93,60),INDEX(Properties!A$1:CB$87,Formula!J93,60))</f>
        <v>22.7</v>
      </c>
      <c r="GD93" s="72">
        <f>MIN(IF(INDEX(Properties!A$1:CB$87,Formula!B93,60)=0,10^6,INDEX(Properties!A$1:CB$87,Formula!B93,60)),IF(INDEX(Properties!A$1:CB$87,Formula!D93,60)=0,10^6,INDEX(Properties!A$1:CB$87,Formula!D93,60)),IF(INDEX(Properties!A$1:CB$87,Formula!F93,60)=0,10^6,INDEX(Properties!A$1:CB$87,Formula!F93,60)),IF(INDEX(Properties!A$1:CB$87,Formula!H93,60)=0,10^6,INDEX(Properties!A$1:CB$87,Formula!H93,60)),IF(INDEX(Properties!A$1:CB$87,Formula!J93,60)=0,10^6,INDEX(Properties!A$1:CB$87,Formula!J93,60)))</f>
        <v>2.674E-2</v>
      </c>
      <c r="GE93" s="72">
        <f t="shared" si="62"/>
        <v>22.673259999999999</v>
      </c>
      <c r="GF93" s="51">
        <f>((Formula!C93)/(Formula!C93+Formula!E93+Formula!G93+Formula!I93+Formula!K93))*(INDEX(Properties!A$1:CB$87,Formula!B93,62))+((Formula!E93)/(Formula!C93+Formula!E93+Formula!G93+Formula!I93+Formula!K93))*(INDEX(Properties!A$1:CB$87,Formula!D93,62))+((Formula!G93)/(Formula!C93+Formula!E93+Formula!G93+Formula!I93+Formula!K93))*(INDEX(Properties!A$1:CB$87,Formula!F93,62))+((Formula!I93)/(Formula!C93+Formula!E93+Formula!G93+Formula!I93+Formula!K93))*(INDEX(Properties!A$1:CB$87,Formula!H93,62))+((Formula!K93)/(Formula!C93+Formula!E93+Formula!G93+Formula!I93+Formula!K93))*(INDEX(Properties!A$1:CB$87,Formula!J93,62))</f>
        <v>3.6163636363636362</v>
      </c>
      <c r="GG93" s="51">
        <f>Formula!C93*(INDEX(Properties!A$1:CB$87,Formula!B93,62))+Formula!E93*(INDEX(Properties!A$1:CB$87,Formula!D93,62))+Formula!G93*(INDEX(Properties!A$1:CB$87,Formula!F93,62))+Formula!I93*(INDEX(Properties!A$1:CB$87,Formula!H93,62))+Formula!K93*(INDEX(Properties!A$1:CB$87,Formula!J93,62))</f>
        <v>39.78</v>
      </c>
      <c r="GH93" s="51">
        <f>VARP(IF(INDEX(Properties!A$1:CB$87,Formula!B93,62)&lt;&gt;"",INDEX(Properties!A$1:CB$87,Formula!B93,62)),IF(INDEX(Properties!A$1:CB$87,Formula!D93,62)&lt;&gt;"",INDEX(Properties!A$1:CB$87,Formula!D93,62)),IF(INDEX(Properties!A$1:CB$87,Formula!F93,62)&lt;&gt;"",INDEX(Properties!A$1:CB$87,Formula!F93,62)),IF(INDEX(Properties!A$1:CB$87,Formula!H93,62)&lt;&gt;"",INDEX(Properties!A$1:CB$87,Formula!H93,62)),IF(INDEX(Properties!A$1:CB$87,Formula!J93,62)&lt;&gt;"",INDEX(Properties!A$1:CB$87,Formula!J93,62)))</f>
        <v>6.0633359999999996</v>
      </c>
      <c r="GI93" s="51">
        <f>MAX(INDEX(Properties!A$1:CB$87,Formula!B93,62),INDEX(Properties!A$1:CB$87,Formula!D93,62),INDEX(Properties!A$1:CB$87,Formula!F93,62),INDEX(Properties!A$1:CB$87,Formula!H93,62),INDEX(Properties!A$1:CB$87,Formula!J93,62))</f>
        <v>6.25</v>
      </c>
      <c r="GJ93" s="51">
        <f>MIN(IF(INDEX(Properties!A$1:CB$87,Formula!B93,62)=0,10^6,INDEX(Properties!A$1:CB$87,Formula!B93,62)),IF(INDEX(Properties!A$1:CB$87,Formula!D93,62)=0,10^6,INDEX(Properties!A$1:CB$87,Formula!D93,62)),IF(INDEX(Properties!A$1:CB$87,Formula!F93,62)=0,10^6,INDEX(Properties!A$1:CB$87,Formula!F93,62)),IF(INDEX(Properties!A$1:CB$87,Formula!H93,62)=0,10^6,INDEX(Properties!A$1:CB$87,Formula!H93,62)),IF(INDEX(Properties!A$1:CB$87,Formula!J93,62)=0,10^6,INDEX(Properties!A$1:CB$87,Formula!J93,62)))</f>
        <v>2.62</v>
      </c>
      <c r="GK93" s="51">
        <f t="shared" si="63"/>
        <v>3.63</v>
      </c>
      <c r="GL93" s="51">
        <f>Formula!P93</f>
        <v>227</v>
      </c>
      <c r="GM93" s="57">
        <f>Formula!O93</f>
        <v>7</v>
      </c>
      <c r="GN93" s="51">
        <f>Formula!N93</f>
        <v>0.05</v>
      </c>
    </row>
    <row r="94" spans="1:196" x14ac:dyDescent="0.3">
      <c r="A94" s="84" t="str">
        <f>Formula!A94</f>
        <v>CaTiO(SiO4)</v>
      </c>
      <c r="B94" s="89">
        <f>((Formula!C94)/(Formula!C94+Formula!E94+Formula!G94+Formula!I94+Formula!K94))*(INDEX(Properties!A$1:CB$87,Formula!B94,3))+((Formula!E94)/(Formula!C94+Formula!E94+Formula!G94+Formula!I94+Formula!K94))*(INDEX(Properties!A$1:CB$87,Formula!D94,3))+((Formula!G94)/(Formula!C94+Formula!E94+Formula!G94+Formula!I94+Formula!K94))*(INDEX(Properties!A$1:CB$87,Formula!F94,3))+((Formula!I94)/(Formula!C94+Formula!E94+Formula!G94+Formula!I94+Formula!K94))*(INDEX(Properties!A$1:CB$87,Formula!H94,3))+((Formula!K94)/(Formula!C94+Formula!E94+Formula!G94+Formula!I94+Formula!K94))*(INDEX(Properties!A$1:CB$87,Formula!J94,3))</f>
        <v>25.480363636363634</v>
      </c>
      <c r="C94" s="85">
        <f>Formula!C94*(INDEX(Properties!A$1:CB$87,Formula!B94,3))+Formula!E94*(INDEX(Properties!A$1:CB$87,Formula!D94,3))+Formula!G94*(INDEX(Properties!A$1:CB$87,Formula!F94,3))+Formula!I94*(INDEX(Properties!A$1:CB$87,Formula!H94,3))+Formula!K94*(INDEX(Properties!A$1:CB$87,Formula!J94,3))</f>
        <v>280.28399999999999</v>
      </c>
      <c r="D94" s="85">
        <f>VARP(IF(INDEX(Properties!A$1:CB$87,Formula!B94,3)&lt;&gt;"",INDEX(Properties!A$1:CB$87,Formula!B94,3)),IF(INDEX(Properties!A$1:CB$87,Formula!D94,3)&lt;&gt;"",INDEX(Properties!A$1:CB$87,Formula!D94,3)),IF(INDEX(Properties!A$1:CB$87,Formula!F94,3)&lt;&gt;"",INDEX(Properties!A$1:CB$87,Formula!F94,3)),IF(INDEX(Properties!A$1:CB$87,Formula!H94,3)&lt;&gt;"",INDEX(Properties!A$1:CB$87,Formula!H94,3)),IF(INDEX(Properties!A$1:CB$87,Formula!J94,3)&lt;&gt;"",INDEX(Properties!A$1:CB$87,Formula!J94,3)))</f>
        <v>291.17859696159996</v>
      </c>
      <c r="E94" s="85">
        <f>MAX(INDEX(Properties!A$1:CB$87,Formula!B94,3),INDEX(Properties!A$1:CB$87,Formula!D94,3),INDEX(Properties!A$1:CB$87,Formula!F94,3),INDEX(Properties!A$1:CB$87,Formula!H94,3),INDEX(Properties!A$1:CB$87,Formula!J94,3))</f>
        <v>47.866999999999997</v>
      </c>
      <c r="F94" s="85">
        <f>MIN(IF(INDEX(Properties!A$1:CB$87,Formula!B94,3)=0,10^6,INDEX(Properties!A$1:CB$87,Formula!B94,3)),IF(INDEX(Properties!A$1:CB$87,Formula!D94,3)=0,10^6,INDEX(Properties!A$1:CB$87,Formula!D94,3)),IF(INDEX(Properties!A$1:CB$87,Formula!F94,3)=0,10^6,INDEX(Properties!A$1:CB$87,Formula!F94,3)),IF(INDEX(Properties!A$1:CB$87,Formula!H94,3)=0,10^6,INDEX(Properties!A$1:CB$87,Formula!H94,3)),IF(INDEX(Properties!A$1:CB$87,Formula!J94,3)=0,10^6,INDEX(Properties!A$1:CB$87,Formula!J94,3)))</f>
        <v>15.9994</v>
      </c>
      <c r="G94" s="85">
        <f t="shared" si="32"/>
        <v>31.867599999999996</v>
      </c>
      <c r="H94" s="87">
        <f>((Formula!C94)/(Formula!C94+Formula!E94+Formula!G94+Formula!I94+Formula!K94))*(INDEX(Properties!A$1:CB$87,Formula!B94,4))+((Formula!E94)/(Formula!C94+Formula!E94+Formula!G94+Formula!I94+Formula!K94))*(INDEX(Properties!A$1:CB$87,Formula!D94,4))+((Formula!G94)/(Formula!C94+Formula!E94+Formula!G94+Formula!I94+Formula!K94))*(INDEX(Properties!A$1:CB$87,Formula!F94,4))+((Formula!I94)/(Formula!C94+Formula!E94+Formula!G94+Formula!I94+Formula!K94))*(INDEX(Properties!A$1:CB$87,Formula!H94,4))+((Formula!K94)/(Formula!C94+Formula!E94+Formula!G94+Formula!I94+Formula!K94))*(INDEX(Properties!A$1:CB$87,Formula!J94,4))</f>
        <v>12.545454545454547</v>
      </c>
      <c r="I94" s="87">
        <f>Formula!C94*(INDEX(Properties!A$1:CB$87,Formula!B94,4))+Formula!E94*(INDEX(Properties!A$1:CB$87,Formula!D94,4))+Formula!G94*(INDEX(Properties!A$1:CB$87,Formula!F94,4))+Formula!I94*(INDEX(Properties!A$1:CB$87,Formula!H94,4))+Formula!K94*(INDEX(Properties!A$1:CB$87,Formula!J94,4))</f>
        <v>138</v>
      </c>
      <c r="J94" s="87">
        <f>VARP(IF(INDEX(Properties!A$1:CB$87,Formula!B94,4)&lt;&gt;"",INDEX(Properties!A$1:CB$87,Formula!B94,4)),IF(INDEX(Properties!A$1:CB$87,Formula!D94,4)&lt;&gt;"",INDEX(Properties!A$1:CB$87,Formula!D94,4)),IF(INDEX(Properties!A$1:CB$87,Formula!F94,4)&lt;&gt;"",INDEX(Properties!A$1:CB$87,Formula!F94,4)),IF(INDEX(Properties!A$1:CB$87,Formula!H94,4)&lt;&gt;"",INDEX(Properties!A$1:CB$87,Formula!H94,4)),IF(INDEX(Properties!A$1:CB$87,Formula!J94,4)&lt;&gt;"",INDEX(Properties!A$1:CB$87,Formula!J94,4)))</f>
        <v>64.959999999999994</v>
      </c>
      <c r="K94" s="87">
        <f>MAX(INDEX(Properties!A$1:CB$87,Formula!B94,4),INDEX(Properties!A$1:CB$87,Formula!D94,4),INDEX(Properties!A$1:CB$87,Formula!F94,4),INDEX(Properties!A$1:CB$87,Formula!H94,4),INDEX(Properties!A$1:CB$87,Formula!J94,4))</f>
        <v>22</v>
      </c>
      <c r="L94" s="87">
        <f>MIN(IF(INDEX(Properties!A$1:CB$87,Formula!B94,4)=0,10^6,INDEX(Properties!A$1:CB$87,Formula!B94,4)),IF(INDEX(Properties!A$1:CB$87,Formula!D94,4)=0,10^6,INDEX(Properties!A$1:CB$87,Formula!D94,4)),IF(INDEX(Properties!A$1:CB$87,Formula!F94,4)=0,10^6,INDEX(Properties!A$1:CB$87,Formula!F94,4)),IF(INDEX(Properties!A$1:CB$87,Formula!H94,4)=0,10^6,INDEX(Properties!A$1:CB$87,Formula!H94,4)),IF(INDEX(Properties!A$1:CB$87,Formula!J94,4)=0,10^6,INDEX(Properties!A$1:CB$87,Formula!J94,4)))</f>
        <v>8</v>
      </c>
      <c r="M94" s="87">
        <f t="shared" si="33"/>
        <v>14</v>
      </c>
      <c r="N94" s="89">
        <f>((Formula!C94)/(Formula!C94+Formula!E94+Formula!G94+Formula!I94+Formula!K94))*(INDEX(Properties!A$1:CB$87,Formula!B94,5))+((Formula!E94)/(Formula!C94+Formula!E94+Formula!G94+Formula!I94+Formula!K94))*(INDEX(Properties!A$1:CB$87,Formula!D94,5))+((Formula!G94)/(Formula!C94+Formula!E94+Formula!G94+Formula!I94+Formula!K94))*(INDEX(Properties!A$1:CB$87,Formula!F94,5))+((Formula!I94)/(Formula!C94+Formula!E94+Formula!G94+Formula!I94+Formula!K94))*(INDEX(Properties!A$1:CB$87,Formula!H94,5))+((Formula!K94)/(Formula!C94+Formula!E94+Formula!G94+Formula!I94+Formula!K94))*(INDEX(Properties!A$1:CB$87,Formula!J94,5))</f>
        <v>2.7272727272727271</v>
      </c>
      <c r="O94" s="89">
        <f>Formula!C94*(INDEX(Properties!A$1:CB$87,Formula!B94,5))+Formula!E94*(INDEX(Properties!A$1:CB$87,Formula!D94,5))+Formula!G94*(INDEX(Properties!A$1:CB$87,Formula!F94,5))+Formula!I94*(INDEX(Properties!A$1:CB$87,Formula!H94,5))+Formula!K94*(INDEX(Properties!A$1:CB$87,Formula!J94,5))</f>
        <v>30</v>
      </c>
      <c r="P94" s="89">
        <f>VARP(IF(INDEX(Properties!A$1:CB$87,Formula!B94,5)&lt;&gt;"",INDEX(Properties!A$1:CB$87,Formula!B94,5)),IF(INDEX(Properties!A$1:CB$87,Formula!D94,5)&lt;&gt;"",INDEX(Properties!A$1:CB$87,Formula!D94,5)),IF(INDEX(Properties!A$1:CB$87,Formula!F94,5)&lt;&gt;"",INDEX(Properties!A$1:CB$87,Formula!F94,5)),IF(INDEX(Properties!A$1:CB$87,Formula!H94,5)&lt;&gt;"",INDEX(Properties!A$1:CB$87,Formula!H94,5)),IF(INDEX(Properties!A$1:CB$87,Formula!J94,5)&lt;&gt;"",INDEX(Properties!A$1:CB$87,Formula!J94,5)))</f>
        <v>2.2400000000000002</v>
      </c>
      <c r="Q94" s="89">
        <f>MAX(INDEX(Properties!A$1:CB$87,Formula!B94,5),INDEX(Properties!A$1:CB$87,Formula!D94,5),INDEX(Properties!A$1:CB$87,Formula!F94,5),INDEX(Properties!A$1:CB$87,Formula!H94,5),INDEX(Properties!A$1:CB$87,Formula!J94,5))</f>
        <v>4</v>
      </c>
      <c r="R94" s="89">
        <f>MIN(IF(INDEX(Properties!A$1:CB$87,Formula!B94,5)=0,10^6,INDEX(Properties!A$1:CB$87,Formula!B94,5)),IF(INDEX(Properties!A$1:CB$87,Formula!D94,5)=0,10^6,INDEX(Properties!A$1:CB$87,Formula!D94,5)),IF(INDEX(Properties!A$1:CB$87,Formula!F94,5)=0,10^6,INDEX(Properties!A$1:CB$87,Formula!F94,5)),IF(INDEX(Properties!A$1:CB$87,Formula!H94,5)=0,10^6,INDEX(Properties!A$1:CB$87,Formula!H94,5)),IF(INDEX(Properties!A$1:CB$87,Formula!J94,5)=0,10^6,INDEX(Properties!A$1:CB$87,Formula!J94,5)))</f>
        <v>2</v>
      </c>
      <c r="S94" s="89">
        <f t="shared" si="34"/>
        <v>2</v>
      </c>
      <c r="T94" s="60">
        <f>((Formula!C94)/(Formula!C94+Formula!E94+Formula!G94+Formula!I94+Formula!K94))*(INDEX(Properties!A$1:CB$87,Formula!B94,6))+((Formula!E94)/(Formula!C94+Formula!E94+Formula!G94+Formula!I94+Formula!K94))*(INDEX(Properties!A$1:CB$87,Formula!D94,6))+((Formula!G94)/(Formula!C94+Formula!E94+Formula!G94+Formula!I94+Formula!K94))*(INDEX(Properties!A$1:CB$87,Formula!F94,6))+((Formula!I94)/(Formula!C94+Formula!E94+Formula!G94+Formula!I94+Formula!K94))*(INDEX(Properties!A$1:CB$87,Formula!H94,6))+((Formula!K94)/(Formula!C94+Formula!E94+Formula!G94+Formula!I94+Formula!K94))*(INDEX(Properties!A$1:CB$87,Formula!J94,6))</f>
        <v>12.90909090909091</v>
      </c>
      <c r="U94" s="60">
        <f>Formula!C94*(INDEX(Properties!A$1:CB$87,Formula!B94,6))+Formula!E94*(INDEX(Properties!A$1:CB$87,Formula!D94,6))+Formula!G94*(INDEX(Properties!A$1:CB$87,Formula!F94,6))+Formula!I94*(INDEX(Properties!A$1:CB$87,Formula!H94,6))+Formula!K94*(INDEX(Properties!A$1:CB$87,Formula!J94,6))</f>
        <v>142</v>
      </c>
      <c r="V94" s="89">
        <f>VARP(IF(INDEX(Properties!A$1:CB$87,Formula!B94,6)&lt;&gt;"",INDEX(Properties!A$1:CB$87,Formula!B94,6)),IF(INDEX(Properties!A$1:CB$87,Formula!D94,6)&lt;&gt;"",INDEX(Properties!A$1:CB$87,Formula!D94,6)),IF(INDEX(Properties!A$1:CB$87,Formula!F94,6)&lt;&gt;"",INDEX(Properties!A$1:CB$87,Formula!F94,6)),IF(INDEX(Properties!A$1:CB$87,Formula!H94,6)&lt;&gt;"",INDEX(Properties!A$1:CB$87,Formula!H94,6)),IF(INDEX(Properties!A$1:CB$87,Formula!J94,6)&lt;&gt;"",INDEX(Properties!A$1:CB$87,Formula!J94,6)))</f>
        <v>42.56</v>
      </c>
      <c r="W94" s="60">
        <f>MAX(INDEX(Properties!A$1:CB$87,Formula!B94,6),INDEX(Properties!A$1:CB$87,Formula!D94,6),INDEX(Properties!A$1:CB$87,Formula!F94,6),INDEX(Properties!A$1:CB$87,Formula!H94,4),INDEX(Properties!A$1:CB$87,Formula!J94,6))</f>
        <v>14</v>
      </c>
      <c r="X94" s="60">
        <f>MIN(IF(INDEX(Properties!A$1:CB$87,Formula!B94,6)=0,10^6,INDEX(Properties!A$1:CB$87,Formula!B94,6)),IF(INDEX(Properties!A$1:CB$87,Formula!D94,6)=0,10^6,INDEX(Properties!A$1:CB$87,Formula!D94,6)),IF(INDEX(Properties!A$1:CB$87,Formula!F94,6)=0,10^6,INDEX(Properties!A$1:CB$87,Formula!F94,6)),IF(INDEX(Properties!A$1:CB$87,Formula!H94,6)=0,10^6,INDEX(Properties!A$1:CB$87,Formula!H94,6)),IF(INDEX(Properties!A$1:CB$87,Formula!J94,6)=0,10^6,INDEX(Properties!A$1:CB$87,Formula!J94,6)))</f>
        <v>2</v>
      </c>
      <c r="Y94" s="60">
        <f t="shared" si="35"/>
        <v>12</v>
      </c>
      <c r="Z94" s="72">
        <f>((Formula!C94)/(Formula!C94+Formula!E94+Formula!G94+Formula!I94+Formula!K94))*(INDEX(Properties!A$1:CB$87,Formula!B94,9))+((Formula!E94)/(Formula!C94+Formula!E94+Formula!G94+Formula!I94+Formula!K94))*(INDEX(Properties!A$1:CB$87,Formula!D94,9))+((Formula!G94)/(Formula!C94+Formula!E94+Formula!G94+Formula!I94+Formula!K94))*(INDEX(Properties!A$1:CB$87,Formula!F94,9))+((Formula!I94)/(Formula!C94+Formula!E94+Formula!G94+Formula!I94+Formula!K94))*(INDEX(Properties!A$1:CB$87,Formula!H94,9))+((Formula!K94)/(Formula!C94+Formula!E94+Formula!G94+Formula!I94+Formula!K94))*(INDEX(Properties!A$1:CB$87,Formula!J94,9))</f>
        <v>72.454545454545453</v>
      </c>
      <c r="AA94" s="72">
        <f>Formula!C94*(INDEX(Properties!A$1:CB$87,Formula!B94,9))+Formula!E94*(INDEX(Properties!A$1:CB$87,Formula!D94,9))+Formula!G94*(INDEX(Properties!A$1:CB$87,Formula!F94,9))+Formula!I94*(INDEX(Properties!A$1:CB$87,Formula!H94,9))+Formula!K94*(INDEX(Properties!A$1:CB$87,Formula!J94,9))</f>
        <v>797</v>
      </c>
      <c r="AB94" s="72">
        <f>VARP(IF(INDEX(Properties!A$1:CB$87,Formula!B94,9)&lt;&gt;"",INDEX(Properties!A$1:CB$87,Formula!B94,9)),IF(INDEX(Properties!A$1:CB$87,Formula!D94,9)&lt;&gt;"",INDEX(Properties!A$1:CB$87,Formula!D94,9)),IF(INDEX(Properties!A$1:CB$87,Formula!F94,9)&lt;&gt;"",INDEX(Properties!A$1:CB$87,Formula!F94,9)),IF(INDEX(Properties!A$1:CB$87,Formula!H94,9)&lt;&gt;"",INDEX(Properties!A$1:CB$87,Formula!H94,9)),IF(INDEX(Properties!A$1:CB$87,Formula!J94,9)&lt;&gt;"",INDEX(Properties!A$1:CB$87,Formula!J94,9)))</f>
        <v>1261.2</v>
      </c>
      <c r="AC94" s="72">
        <f>MAX(INDEX(Properties!A$1:CB$87,Formula!B94,9),INDEX(Properties!A$1:CB$87,Formula!D94,9),INDEX(Properties!A$1:CB$87,Formula!F94,9),INDEX(Properties!A$1:CB$87,Formula!H94,9),INDEX(Properties!A$1:CB$87,Formula!J94,9))</f>
        <v>87</v>
      </c>
      <c r="AD94" s="72">
        <f>MIN(IF(INDEX(Properties!A$1:CB$87,Formula!B94,9)=0,10^6,INDEX(Properties!A$1:CB$87,Formula!B94,9)),IF(INDEX(Properties!A$1:CB$87,Formula!D94,9)=0,10^6,INDEX(Properties!A$1:CB$87,Formula!D94,9)),IF(INDEX(Properties!A$1:CB$87,Formula!F94,9)=0,10^6,INDEX(Properties!A$1:CB$87,Formula!F94,9)),IF(INDEX(Properties!A$1:CB$87,Formula!H94,9)=0,10^6,INDEX(Properties!A$1:CB$87,Formula!H94,9)),IF(INDEX(Properties!A$1:CB$87,Formula!J94,9)=0,10^6,INDEX(Properties!A$1:CB$87,Formula!J94,9)))</f>
        <v>7</v>
      </c>
      <c r="AE94" s="72">
        <f t="shared" si="36"/>
        <v>80</v>
      </c>
      <c r="AF94" s="51">
        <f>((Formula!C94)/(Formula!C94+Formula!E94+Formula!G94+Formula!I94+Formula!K94))*(INDEX(Properties!A$1:CB$87,Formula!B94,10))+((Formula!E94)/(Formula!C94+Formula!E94+Formula!G94+Formula!I94+Formula!K94))*(INDEX(Properties!A$1:CB$87,Formula!D94,10))+((Formula!G94)/(Formula!C94+Formula!E94+Formula!G94+Formula!I94+Formula!K94))*(INDEX(Properties!A$1:CB$87,Formula!F94,10))+((Formula!I94)/(Formula!C94+Formula!E94+Formula!G94+Formula!I94+Formula!K94))*(INDEX(Properties!A$1:CB$87,Formula!H94,10))+((Formula!K94)/(Formula!C94+Formula!E94+Formula!G94+Formula!I94+Formula!K94))*(INDEX(Properties!A$1:CB$87,Formula!J94,10))</f>
        <v>5.9090909090909083</v>
      </c>
      <c r="AG94" s="51">
        <f>Formula!C94*(INDEX(Properties!A$1:CB$87,Formula!B94,10))+Formula!E94*(INDEX(Properties!A$1:CB$87,Formula!D94,10))+Formula!G94*(INDEX(Properties!A$1:CB$87,Formula!F94,10))+Formula!I94*(INDEX(Properties!A$1:CB$87,Formula!H94,10))+Formula!K94*(INDEX(Properties!A$1:CB$87,Formula!J94,10))</f>
        <v>65</v>
      </c>
      <c r="AH94" s="51">
        <f>VARP(IF(INDEX(Properties!A$1:CB$87,Formula!B94,10)&lt;&gt;"",INDEX(Properties!A$1:CB$87,Formula!B94,10)),IF(INDEX(Properties!A$1:CB$87,Formula!D94,10)&lt;&gt;"",INDEX(Properties!A$1:CB$87,Formula!D94,10)),IF(INDEX(Properties!A$1:CB$87,Formula!F94,10)&lt;&gt;"",INDEX(Properties!A$1:CB$87,Formula!F94,10)),IF(INDEX(Properties!A$1:CB$87,Formula!H94,10)&lt;&gt;"",INDEX(Properties!A$1:CB$87,Formula!H94,10)),IF(INDEX(Properties!A$1:CB$87,Formula!J94,10)&lt;&gt;"",INDEX(Properties!A$1:CB$87,Formula!J94,10)))</f>
        <v>6.56</v>
      </c>
      <c r="AI94" s="51">
        <f>MAX(INDEX(Properties!A$1:CB$87,Formula!B94,10),INDEX(Properties!A$1:CB$87,Formula!D94,10),INDEX(Properties!A$1:CB$87,Formula!F94,10),INDEX(Properties!A$1:CB$87,Formula!H94,10),INDEX(Properties!A$1:CB$87,Formula!J94,10))</f>
        <v>7</v>
      </c>
      <c r="AJ94" s="51">
        <f>MIN(IF(INDEX(Properties!A$1:CB$87,Formula!B94,10)=0,10^6,INDEX(Properties!A$1:CB$87,Formula!B94,10)),IF(INDEX(Properties!A$1:CB$87,Formula!D94,10)=0,10^6,INDEX(Properties!A$1:CB$87,Formula!D94,10)),IF(INDEX(Properties!A$1:CB$87,Formula!F94,10)=0,10^6,INDEX(Properties!A$1:CB$87,Formula!F94,10)),IF(INDEX(Properties!A$1:CB$87,Formula!H94,10)=0,10^6,INDEX(Properties!A$1:CB$87,Formula!H94,10)),IF(INDEX(Properties!A$1:CB$87,Formula!J94,10)=0,10^6,INDEX(Properties!A$1:CB$87,Formula!J94,10)))</f>
        <v>2</v>
      </c>
      <c r="AK94" s="51">
        <f t="shared" si="37"/>
        <v>5</v>
      </c>
      <c r="AL94" s="57">
        <f>((Formula!C94)/(Formula!C94+Formula!E94+Formula!G94+Formula!I94+Formula!K94))*(INDEX(Properties!A$1:CB$87,Formula!B94,11))+((Formula!E94)/(Formula!C94+Formula!E94+Formula!G94+Formula!I94+Formula!K94))*(INDEX(Properties!A$1:CB$87,Formula!D94,11))+((Formula!G94)/(Formula!C94+Formula!E94+Formula!G94+Formula!I94+Formula!K94))*(INDEX(Properties!A$1:CB$87,Formula!F94,11))+((Formula!I94)/(Formula!C94+Formula!E94+Formula!G94+Formula!I94+Formula!K94))*(INDEX(Properties!A$1:CB$87,Formula!H94,11))+((Formula!K94)/(Formula!C94+Formula!E94+Formula!G94+Formula!I94+Formula!K94))*(INDEX(Properties!A$1:CB$87,Formula!J94,11))</f>
        <v>2</v>
      </c>
      <c r="AM94" s="57">
        <f>Formula!C94*(INDEX(Properties!A$1:CB$87,Formula!B94,11))+Formula!E94*(INDEX(Properties!A$1:CB$87,Formula!D94,11))+Formula!G94*(INDEX(Properties!A$1:CB$87,Formula!F94,11))+Formula!I94*(INDEX(Properties!A$1:CB$87,Formula!H94,11))+Formula!K94*(INDEX(Properties!A$1:CB$87,Formula!J94,11))</f>
        <v>22</v>
      </c>
      <c r="AN94" s="57">
        <f>VARP(IF(INDEX(Properties!A$1:CB$87,Formula!B94,11)&lt;&gt;"",INDEX(Properties!A$1:CB$87,Formula!B94,11)),IF(INDEX(Properties!A$1:CB$87,Formula!D94,11)&lt;&gt;"",INDEX(Properties!A$1:CB$87,Formula!D94,11)),IF(INDEX(Properties!A$1:CB$87,Formula!F94,11)&lt;&gt;"",INDEX(Properties!A$1:CB$87,Formula!F94,11)),IF(INDEX(Properties!A$1:CB$87,Formula!H94,11)&lt;&gt;"",INDEX(Properties!A$1:CB$87,Formula!H94,11)),IF(INDEX(Properties!A$1:CB$87,Formula!J94,11)&lt;&gt;"",INDEX(Properties!A$1:CB$87,Formula!J94,11)))</f>
        <v>0.64</v>
      </c>
      <c r="AO94" s="57">
        <f>MAX(INDEX(Properties!A$1:CB$87,Formula!B94,11),INDEX(Properties!A$1:CB$87,Formula!D94,11),INDEX(Properties!A$1:CB$87,Formula!F94,11),INDEX(Properties!A$1:CB$87,Formula!H94,11),INDEX(Properties!A$1:CB$87,Formula!J94,11))</f>
        <v>2</v>
      </c>
      <c r="AP94" s="57">
        <f>MIN(IF(Formula!B94=87,10^6,INDEX(Properties!A$1:CB$87,Formula!B94,11)),IF((Formula!D94)=87,10^6,INDEX(Properties!A$1:CB$87,Formula!D94,11)),IF((Formula!F94)=87,10^6,INDEX(Properties!A$1:CB$87,Formula!F94,11)),IF((Formula!H94)=87,10^6,INDEX(Properties!A$1:CB$87,Formula!H94,11)),IF(Formula!J94=87,10^6,INDEX(Properties!A$1:CB$87,Formula!J94,11)))</f>
        <v>2</v>
      </c>
      <c r="AQ94" s="57">
        <f t="shared" si="38"/>
        <v>0</v>
      </c>
      <c r="AR94" s="78">
        <f>((Formula!C94)/(Formula!C94+Formula!E94+Formula!G94+Formula!I94+Formula!K94))*(INDEX(Properties!A$1:CB$87,Formula!B94,12))+((Formula!E94)/(Formula!C94+Formula!E94+Formula!G94+Formula!I94+Formula!K94))*(INDEX(Properties!A$1:CB$87,Formula!D94,12))+((Formula!G94)/(Formula!C94+Formula!E94+Formula!G94+Formula!I94+Formula!K94))*(INDEX(Properties!A$1:CB$87,Formula!F94,12))+((Formula!I94)/(Formula!C94+Formula!E94+Formula!G94+Formula!I94+Formula!K94))*(INDEX(Properties!A$1:CB$87,Formula!H94,12))+((Formula!K94)/(Formula!C94+Formula!E94+Formula!G94+Formula!I94+Formula!K94))*(INDEX(Properties!A$1:CB$87,Formula!J94,12))</f>
        <v>2.5454545454545454</v>
      </c>
      <c r="AS94" s="78">
        <f>Formula!C94*(INDEX(Properties!A$1:CB$87,Formula!B94,12))+Formula!E94*(INDEX(Properties!A$1:CB$87,Formula!D94,12))+Formula!G94*(INDEX(Properties!A$1:CB$87,Formula!F94,12))+Formula!I94*(INDEX(Properties!A$1:CB$87,Formula!H94,12))+Formula!K94*(INDEX(Properties!A$1:CB$87,Formula!J94,12))</f>
        <v>28</v>
      </c>
      <c r="AT94" s="78">
        <f>VARP(IF(INDEX(Properties!A$1:CB$87,Formula!B94,12)&lt;&gt;"",INDEX(Properties!A$1:CB$87,Formula!B94,12)),IF(INDEX(Properties!A$1:CB$87,Formula!D94,12)&lt;&gt;"",INDEX(Properties!A$1:CB$87,Formula!D94,12)),IF(INDEX(Properties!A$1:CB$87,Formula!F94,12)&lt;&gt;"",INDEX(Properties!A$1:CB$87,Formula!F94,12)),IF(INDEX(Properties!A$1:CB$87,Formula!H94,12)&lt;&gt;"",INDEX(Properties!A$1:CB$87,Formula!H94,12)),IF(INDEX(Properties!A$1:CB$87,Formula!J94,12)&lt;&gt;"",INDEX(Properties!A$1:CB$87,Formula!J94,12)))</f>
        <v>2.56</v>
      </c>
      <c r="AU94" s="78">
        <f>MAX(INDEX(Properties!A$1:CB$87,Formula!B94,12),INDEX(Properties!A$1:CB$87,Formula!D94,12),INDEX(Properties!A$1:CB$87,Formula!F94,12),INDEX(Properties!A$1:CB$87,Formula!H94,12),INDEX(Properties!A$1:CB$87,Formula!J94,12))</f>
        <v>4</v>
      </c>
      <c r="AV94" s="78">
        <f>MIN(IF(Formula!B94=87,10^6,INDEX(Properties!A$1:CB$87,Formula!B94,12)),IF((Formula!D94)=87,10^6,INDEX(Properties!A$1:CB$87,Formula!D94,12)),IF((Formula!F94)=87,10^6,INDEX(Properties!A$1:CB$87,Formula!F94,12)),IF((Formula!H94)=87,10^6,INDEX(Properties!A$1:CB$87,Formula!H94,12)),IF(Formula!J94=87,10^6,INDEX(Properties!A$1:CB$87,Formula!J94,12)))</f>
        <v>0</v>
      </c>
      <c r="AW94" s="78">
        <f t="shared" si="39"/>
        <v>4</v>
      </c>
      <c r="AX94" s="45">
        <f>((Formula!C94)/(Formula!C94+Formula!E94+Formula!G94+Formula!I94+Formula!K94))*(INDEX(Properties!A$1:CB$87,Formula!B94,13))+((Formula!E94)/(Formula!C94+Formula!E94+Formula!G94+Formula!I94+Formula!K94))*(INDEX(Properties!A$1:CB$87,Formula!D94,13))+((Formula!G94)/(Formula!C94+Formula!E94+Formula!G94+Formula!I94+Formula!K94))*(INDEX(Properties!A$1:CB$87,Formula!F94,13))+((Formula!I94)/(Formula!C94+Formula!E94+Formula!G94+Formula!I94+Formula!K94))*(INDEX(Properties!A$1:CB$87,Formula!H94,13))+((Formula!K94)/(Formula!C94+Formula!E94+Formula!G94+Formula!I94+Formula!K94))*(INDEX(Properties!A$1:CB$87,Formula!J94,13))</f>
        <v>0.18181818181818182</v>
      </c>
      <c r="AY94" s="45">
        <f>Formula!C94*(INDEX(Properties!A$1:CB$87,Formula!B94,13))+Formula!E94*(INDEX(Properties!A$1:CB$87,Formula!D94,13))+Formula!G94*(INDEX(Properties!A$1:CB$87,Formula!F94,13))+Formula!I94*(INDEX(Properties!A$1:CB$87,Formula!H94,13))+Formula!K94*(INDEX(Properties!A$1:CB$87,Formula!J94,13))</f>
        <v>2</v>
      </c>
      <c r="AZ94" s="45">
        <f>VARP(IF(INDEX(Properties!A$1:CB$87,Formula!B94,13)&lt;&gt;"",INDEX(Properties!A$1:CB$87,Formula!B94,13)),IF(INDEX(Properties!A$1:CB$87,Formula!D94,13)&lt;&gt;"",INDEX(Properties!A$1:CB$87,Formula!D94,13)),IF(INDEX(Properties!A$1:CB$87,Formula!F94,13)&lt;&gt;"",INDEX(Properties!A$1:CB$87,Formula!F94,13)),IF(INDEX(Properties!A$1:CB$87,Formula!H94,13)&lt;&gt;"",INDEX(Properties!A$1:CB$87,Formula!H94,13)),IF(INDEX(Properties!A$1:CB$87,Formula!J94,13)&lt;&gt;"",INDEX(Properties!A$1:CB$87,Formula!J94,13)))</f>
        <v>0.64</v>
      </c>
      <c r="BA94" s="45">
        <f>MAX(INDEX(Properties!A$1:CB$87,Formula!B94,13),INDEX(Properties!A$1:CB$87,Formula!D94,13),INDEX(Properties!A$1:CB$87,Formula!F94,13),INDEX(Properties!A$1:CB$87,Formula!H94,13),INDEX(Properties!A$1:CB$87,Formula!J94,13))</f>
        <v>2</v>
      </c>
      <c r="BB94" s="45">
        <f>MIN(IF(Formula!B94=87,10^6,INDEX(Properties!A$1:CB$87,Formula!B94,13)),IF((Formula!D94)=87,10^6,INDEX(Properties!A$1:CB$87,Formula!D94,13)),IF((Formula!F94)=87,10^6,INDEX(Properties!A$1:CB$87,Formula!F94,13)),IF((Formula!H94)=87,10^6,INDEX(Properties!A$1:CB$87,Formula!H94,13)),IF(Formula!J94=87,10^6,INDEX(Properties!A$1:CB$87,Formula!J94,13)))</f>
        <v>0</v>
      </c>
      <c r="BC94" s="45">
        <f t="shared" si="40"/>
        <v>2</v>
      </c>
      <c r="BD94" s="63">
        <f>((Formula!C94)/(Formula!C94+Formula!E94+Formula!G94+Formula!I94+Formula!K94))*(INDEX(Properties!A$1:CB$87,Formula!B94,14))+((Formula!E94)/(Formula!C94+Formula!E94+Formula!G94+Formula!I94+Formula!K94))*(INDEX(Properties!A$1:CB$87,Formula!D94,14))+((Formula!G94)/(Formula!C94+Formula!E94+Formula!G94+Formula!I94+Formula!K94))*(INDEX(Properties!A$1:CB$87,Formula!F94,14))+((Formula!I94)/(Formula!C94+Formula!E94+Formula!G94+Formula!I94+Formula!K94))*(INDEX(Properties!A$1:CB$87,Formula!H94,14))+((Formula!K94)/(Formula!C94+Formula!E94+Formula!G94+Formula!I94+Formula!K94))*(INDEX(Properties!A$1:CB$87,Formula!J94,14))</f>
        <v>0</v>
      </c>
      <c r="BE94" s="63">
        <f>Formula!C94*(INDEX(Properties!A$1:CB$87,Formula!B94,14))+Formula!E94*(INDEX(Properties!A$1:CB$87,Formula!D94,14))+Formula!G94*(INDEX(Properties!A$1:CB$87,Formula!F94,14))+Formula!I94*(INDEX(Properties!A$1:CB$87,Formula!H94,14))+Formula!K94*(INDEX(Properties!A$1:CB$87,Formula!J94,14))</f>
        <v>0</v>
      </c>
      <c r="BF94" s="63">
        <f>VARP(IF(INDEX(Properties!A$1:CB$87,Formula!B94,14)&lt;&gt;"",INDEX(Properties!A$1:CB$87,Formula!B94,14)),IF(INDEX(Properties!A$1:CB$87,Formula!D94,14)&lt;&gt;"",INDEX(Properties!A$1:CB$87,Formula!D94,14)),IF(INDEX(Properties!A$1:CB$87,Formula!F94,14)&lt;&gt;"",INDEX(Properties!A$1:CB$87,Formula!F94,14)),IF(INDEX(Properties!A$1:CB$87,Formula!H94,14)&lt;&gt;"",INDEX(Properties!A$1:CB$87,Formula!H94,14)),IF(INDEX(Properties!A$1:CB$87,Formula!J94,14)&lt;&gt;"",INDEX(Properties!A$1:CB$87,Formula!J94,14)))</f>
        <v>0</v>
      </c>
      <c r="BG94" s="63">
        <f>MAX(INDEX(Properties!A$1:CB$87,Formula!B94,14),INDEX(Properties!A$1:CB$87,Formula!D94,14),INDEX(Properties!A$1:CB$87,Formula!F94,14),INDEX(Properties!A$1:CB$87,Formula!H94,14),INDEX(Properties!A$1:CB$87,Formula!J94,14))</f>
        <v>0</v>
      </c>
      <c r="BH94" s="63">
        <f>MIN(IF(Formula!B94=87,10^6,INDEX(Properties!A$1:CB$87,Formula!B94,14)),IF((Formula!D94)=87,10^6,INDEX(Properties!A$1:CB$87,Formula!D94,14)),IF((Formula!F94)=87,10^6,INDEX(Properties!A$1:CB$87,Formula!F94,14)),IF((Formula!H94)=87,10^6,INDEX(Properties!A$1:CB$87,Formula!H94,14)),IF(Formula!J94=87,10^6,INDEX(Properties!A$1:CB$87,Formula!J94,14)))</f>
        <v>0</v>
      </c>
      <c r="BI94" s="63">
        <f t="shared" si="41"/>
        <v>0</v>
      </c>
      <c r="BJ94" s="75">
        <f>((Formula!C94)/(Formula!C94+Formula!E94+Formula!G94+Formula!I94+Formula!K94))*(INDEX(Properties!A$1:CB$87,Formula!B94,19))+((Formula!E94)/(Formula!C94+Formula!E94+Formula!G94+Formula!I94+Formula!K94))*(INDEX(Properties!A$1:CB$87,Formula!D94,19))+((Formula!G94)/(Formula!C94+Formula!E94+Formula!G94+Formula!I94+Formula!K94))*(INDEX(Properties!A$1:CB$87,Formula!F94,19))+((Formula!I94)/(Formula!C94+Formula!E94+Formula!G94+Formula!I94+Formula!K94))*(INDEX(Properties!A$1:CB$87,Formula!H94,19))+((Formula!K94)/(Formula!C94+Formula!E94+Formula!G94+Formula!I94+Formula!K94))*(INDEX(Properties!A$1:CB$87,Formula!J94,19))</f>
        <v>4.7272727272727266</v>
      </c>
      <c r="BK94" s="75">
        <f>Formula!C94*(INDEX(Properties!A$1:CB$87,Formula!B94,19))+Formula!E94*(INDEX(Properties!A$1:CB$87,Formula!D94,19))+Formula!G94*(INDEX(Properties!A$1:CB$87,Formula!F94,19))+Formula!I94*(INDEX(Properties!A$1:CB$87,Formula!H94,19))+Formula!K94*(INDEX(Properties!A$1:CB$87,Formula!J94,19))</f>
        <v>52</v>
      </c>
      <c r="BL94" s="75">
        <f>VARP(IF(INDEX(Properties!A$1:CB$87,Formula!B94,19)&lt;&gt;"",INDEX(Properties!A$1:CB$87,Formula!B94,19)),IF(INDEX(Properties!A$1:CB$87,Formula!D94,19)&lt;&gt;"",INDEX(Properties!A$1:CB$87,Formula!D94,19)),IF(INDEX(Properties!A$1:CB$87,Formula!F94,19)&lt;&gt;"",INDEX(Properties!A$1:CB$87,Formula!F94,19)),IF(INDEX(Properties!A$1:CB$87,Formula!H94,19)&lt;&gt;"",INDEX(Properties!A$1:CB$87,Formula!H94,19)),IF(INDEX(Properties!A$1:CB$87,Formula!J94,19)&lt;&gt;"",INDEX(Properties!A$1:CB$87,Formula!J94,19)))</f>
        <v>4.16</v>
      </c>
      <c r="BM94" s="75">
        <f>MAX(INDEX(Properties!A$1:CB$87,Formula!B94,19),INDEX(Properties!A$1:CB$87,Formula!D94,19),INDEX(Properties!A$1:CB$87,Formula!F94,19),INDEX(Properties!A$1:CB$87,Formula!H94,19),INDEX(Properties!A$1:CB$87,Formula!J94,19))</f>
        <v>6</v>
      </c>
      <c r="BN94" s="75">
        <f>MIN(IF(INDEX(Properties!A$1:CB$87,Formula!B94,19)=0,10^6,INDEX(Properties!A$1:CB$87,Formula!B94,19)),IF(INDEX(Properties!A$1:CB$87,Formula!D94,19)=0,10^6,INDEX(Properties!A$1:CB$87,Formula!D94,19)),IF(INDEX(Properties!A$1:CB$87,Formula!F94,19)=0,10^6,INDEX(Properties!A$1:CB$87,Formula!F94,19)),IF(INDEX(Properties!A$1:CB$87,Formula!H94,19)=0,10^6,INDEX(Properties!A$1:CB$87,Formula!H94,19)),IF(INDEX(Properties!A$1:CB$87,Formula!J94,19)=0,10^6,INDEX(Properties!A$1:CB$87,Formula!J94,19)))</f>
        <v>2</v>
      </c>
      <c r="BO94" s="75">
        <f t="shared" si="42"/>
        <v>4</v>
      </c>
      <c r="BP94" s="48">
        <f>((Formula!C94)/(Formula!C94+Formula!E94+Formula!G94+Formula!I94+Formula!K94))*(INDEX(Properties!A$1:CB$87,Formula!B94,20))+((Formula!E94)/(Formula!C94+Formula!E94+Formula!G94+Formula!I94+Formula!K94))*(INDEX(Properties!A$1:CB$87,Formula!D94,20))+((Formula!G94)/(Formula!C94+Formula!E94+Formula!G94+Formula!I94+Formula!K94))*(INDEX(Properties!A$1:CB$87,Formula!F94,20))+((Formula!I94)/(Formula!C94+Formula!E94+Formula!G94+Formula!I94+Formula!K94))*(INDEX(Properties!A$1:CB$87,Formula!H94,20))+((Formula!K94)/(Formula!C94+Formula!E94+Formula!G94+Formula!I94+Formula!K94))*(INDEX(Properties!A$1:CB$87,Formula!J94,20))</f>
        <v>4.545454545454545</v>
      </c>
      <c r="BQ94" s="48">
        <f>Formula!C94*(INDEX(Properties!A$1:CB$87,Formula!B94,20))+Formula!E94*(INDEX(Properties!A$1:CB$87,Formula!D94,20))+Formula!G94*(INDEX(Properties!A$1:CB$87,Formula!F94,20))+Formula!I94*(INDEX(Properties!A$1:CB$87,Formula!H94,20))+Formula!K94*(INDEX(Properties!A$1:CB$87,Formula!J94,20))</f>
        <v>50</v>
      </c>
      <c r="BR94" s="48">
        <f>VARP(IF(INDEX(Properties!A$1:CB$87,Formula!B94,20)&lt;&gt;"",INDEX(Properties!A$1:CB$87,Formula!B94,20)),IF(INDEX(Properties!A$1:CB$87,Formula!D94,20)&lt;&gt;"",INDEX(Properties!A$1:CB$87,Formula!D94,20)),IF(INDEX(Properties!A$1:CB$87,Formula!F94,20)&lt;&gt;"",INDEX(Properties!A$1:CB$87,Formula!F94,20)),IF(INDEX(Properties!A$1:CB$87,Formula!H94,20)&lt;&gt;"",INDEX(Properties!A$1:CB$87,Formula!H94,20)),IF(INDEX(Properties!A$1:CB$87,Formula!J94,20)&lt;&gt;"",INDEX(Properties!A$1:CB$87,Formula!J94,20)))</f>
        <v>4.16</v>
      </c>
      <c r="BS94" s="48">
        <f>MAX(INDEX(Properties!A$1:CB$87,Formula!B94,20),INDEX(Properties!A$1:CB$87,Formula!D94,20),INDEX(Properties!A$1:CB$87,Formula!F94,20),INDEX(Properties!A$1:CB$87,Formula!H94,20),INDEX(Properties!A$1:CB$87,Formula!J94,20))</f>
        <v>6</v>
      </c>
      <c r="BT94" s="48">
        <f>MIN(IF(INDEX(Properties!A$1:CB$87,Formula!B94,20)=0,10^6,INDEX(Properties!A$1:CB$87,Formula!B94,20)),IF(INDEX(Properties!A$1:CB$87,Formula!D94,20)=0,10^6,INDEX(Properties!A$1:CB$87,Formula!D94,20)),IF(INDEX(Properties!A$1:CB$87,Formula!F94,20)=0,10^6,INDEX(Properties!A$1:CB$87,Formula!F94,20)),IF(INDEX(Properties!A$1:CB$87,Formula!H94,20)=0,10^6,INDEX(Properties!A$1:CB$87,Formula!H94,20)),IF(INDEX(Properties!A$1:CB$87,Formula!J94,20)=0,10^6,INDEX(Properties!A$1:CB$87,Formula!J94,20)))</f>
        <v>2</v>
      </c>
      <c r="BU94" s="48">
        <f t="shared" si="43"/>
        <v>4</v>
      </c>
      <c r="BV94" s="66">
        <f>((Formula!C94)/(Formula!C94+Formula!E94+Formula!G94+Formula!I94+Formula!K94))*(INDEX(Properties!A$1:CB$87,Formula!B94,21))+((Formula!E94)/(Formula!C94+Formula!E94+Formula!G94+Formula!I94+Formula!K94))*(INDEX(Properties!A$1:CB$87,Formula!D94,21))+((Formula!G94)/(Formula!C94+Formula!E94+Formula!G94+Formula!I94+Formula!K94))*(INDEX(Properties!A$1:CB$87,Formula!F94,21))+((Formula!I94)/(Formula!C94+Formula!E94+Formula!G94+Formula!I94+Formula!K94))*(INDEX(Properties!A$1:CB$87,Formula!H94,21))+((Formula!K94)/(Formula!C94+Formula!E94+Formula!G94+Formula!I94+Formula!K94))*(INDEX(Properties!A$1:CB$87,Formula!J94,21))</f>
        <v>4.545454545454545</v>
      </c>
      <c r="BW94" s="66">
        <f>Formula!C94*(INDEX(Properties!A$1:CB$87,Formula!B94,21))+Formula!E94*(INDEX(Properties!A$1:CB$87,Formula!D94,21))+Formula!G94*(INDEX(Properties!A$1:CB$87,Formula!F94,21))+Formula!I94*(INDEX(Properties!A$1:CB$87,Formula!H94,21))+Formula!K94*(INDEX(Properties!A$1:CB$87,Formula!J94,21))</f>
        <v>50</v>
      </c>
      <c r="BX94" s="66">
        <f>VARP(IF(INDEX(Properties!A$1:CB$87,Formula!B94,21)&lt;&gt;"",INDEX(Properties!A$1:CB$87,Formula!B94,21)),IF(INDEX(Properties!A$1:CB$87,Formula!D94,21)&lt;&gt;"",INDEX(Properties!A$1:CB$87,Formula!D94,21)),IF(INDEX(Properties!A$1:CB$87,Formula!F94,21)&lt;&gt;"",INDEX(Properties!A$1:CB$87,Formula!F94,21)),IF(INDEX(Properties!A$1:CB$87,Formula!H94,21)&lt;&gt;"",INDEX(Properties!A$1:CB$87,Formula!H94,21)),IF(INDEX(Properties!A$1:CB$87,Formula!J94,21)&lt;&gt;"",INDEX(Properties!A$1:CB$87,Formula!J94,21)))</f>
        <v>4.16</v>
      </c>
      <c r="BY94" s="66">
        <f>MAX(INDEX(Properties!A$1:CB$87,Formula!B94,21),INDEX(Properties!A$1:CB$87,Formula!D94,21),INDEX(Properties!A$1:CB$87,Formula!F94,21),INDEX(Properties!A$1:CB$87,Formula!H94,21),INDEX(Properties!A$1:CB$87,Formula!J94,21))</f>
        <v>6</v>
      </c>
      <c r="BZ94" s="66">
        <f>MIN(IF(INDEX(Properties!A$1:CB$87,Formula!B94,21)=0,10^6,INDEX(Properties!A$1:CB$87,Formula!B94,21)),IF(INDEX(Properties!A$1:CB$87,Formula!D94,21)=0,10^6,INDEX(Properties!A$1:CB$87,Formula!D94,21)),IF(INDEX(Properties!A$1:CB$87,Formula!F94,21)=0,10^6,INDEX(Properties!A$1:CB$87,Formula!F94,21)),IF(INDEX(Properties!A$1:CB$87,Formula!H94,21)=0,10^6,INDEX(Properties!A$1:CB$87,Formula!H94,21)),IF(INDEX(Properties!A$1:CB$87,Formula!J94,21)=0,10^6,INDEX(Properties!A$1:CB$87,Formula!J94,21)))</f>
        <v>2</v>
      </c>
      <c r="CA94" s="66">
        <f t="shared" si="44"/>
        <v>4</v>
      </c>
      <c r="CB94" s="81">
        <f>((Formula!C94)/(Formula!C94+Formula!E94+Formula!G94+Formula!I94+Formula!K94))*(INDEX(Properties!A$1:CB$87,Formula!B94,23))+((Formula!E94)/(Formula!C94+Formula!E94+Formula!G94+Formula!I94+Formula!K94))*(INDEX(Properties!A$1:CB$87,Formula!D94,23))+((Formula!G94)/(Formula!C94+Formula!E94+Formula!G94+Formula!I94+Formula!K94))*(INDEX(Properties!A$1:CB$87,Formula!F94,23))+((Formula!I94)/(Formula!C94+Formula!E94+Formula!G94+Formula!I94+Formula!K94))*(INDEX(Properties!A$1:CB$87,Formula!H94,23))+((Formula!K94)/(Formula!C94+Formula!E94+Formula!G94+Formula!I94+Formula!K94))*(INDEX(Properties!A$1:CB$87,Formula!J94,23))</f>
        <v>2</v>
      </c>
      <c r="CC94" s="81">
        <f>Formula!C94*(INDEX(Properties!A$1:CB$87,Formula!B94,23))+Formula!E94*(INDEX(Properties!A$1:CB$87,Formula!D94,23))+Formula!G94*(INDEX(Properties!A$1:CB$87,Formula!F94,23))+Formula!I94*(INDEX(Properties!A$1:CB$87,Formula!H94,23))+Formula!K94*(INDEX(Properties!A$1:CB$87,Formula!J94,23))</f>
        <v>22</v>
      </c>
      <c r="CD94" s="81">
        <f>VARP(IF(INDEX(Properties!A$1:CB$87,Formula!B94,23)&lt;&gt;"",INDEX(Properties!A$1:CB$87,Formula!B94,23)),IF(INDEX(Properties!A$1:CB$87,Formula!D94,23)&lt;&gt;"",INDEX(Properties!A$1:CB$87,Formula!D94,23)),IF(INDEX(Properties!A$1:CB$87,Formula!F94,23)&lt;&gt;"",INDEX(Properties!A$1:CB$87,Formula!F94,23)),IF(INDEX(Properties!A$1:CB$87,Formula!H94,23)&lt;&gt;"",INDEX(Properties!A$1:CB$87,Formula!H94,23)),IF(INDEX(Properties!A$1:CB$87,Formula!J94,23)&lt;&gt;"",INDEX(Properties!A$1:CB$87,Formula!J94,23)))</f>
        <v>3.2</v>
      </c>
      <c r="CE94" s="81">
        <f>MAX(INDEX(Properties!A$1:CB$87,Formula!B94,23),INDEX(Properties!A$1:CB$87,Formula!D94,23),INDEX(Properties!A$1:CB$87,Formula!F94,23),INDEX(Properties!A$1:CB$87,Formula!H94,23),INDEX(Properties!A$1:CB$87,Formula!J94,23))</f>
        <v>4</v>
      </c>
      <c r="CF94" s="81">
        <f>MIN(IF(Formula!B94=87,10^6,INDEX(Properties!A$1:CB$87,Formula!B94,23)),IF((Formula!D94)=87,10^6,INDEX(Properties!A$1:CB$87,Formula!D94,23)),IF((Formula!F94)=87,10^6,INDEX(Properties!A$1:CB$87,Formula!F94,23)),IF((Formula!H94)=87,10^6,INDEX(Properties!A$1:CB$87,Formula!H94,23)),IF(Formula!J94=87,10^6,INDEX(Properties!A$1:CB$87,Formula!J94,23)))</f>
        <v>0</v>
      </c>
      <c r="CG94" s="81">
        <f t="shared" si="45"/>
        <v>4</v>
      </c>
      <c r="CH94" s="39">
        <f>((Formula!C94)/(Formula!C94+Formula!E94+Formula!G94+Formula!I94+Formula!K94))*(INDEX(Properties!A$1:CB$87,Formula!B94,26))+((Formula!E94)/(Formula!C94+Formula!E94+Formula!G94+Formula!I94+Formula!K94))*(INDEX(Properties!A$1:CB$87,Formula!D94,26))+((Formula!G94)/(Formula!C94+Formula!E94+Formula!G94+Formula!I94+Formula!K94))*(INDEX(Properties!A$1:CB$87,Formula!F94,26))+((Formula!I94)/(Formula!C94+Formula!E94+Formula!G94+Formula!I94+Formula!K94))*(INDEX(Properties!A$1:CB$87,Formula!H94,26))+((Formula!K94)/(Formula!C94+Formula!E94+Formula!G94+Formula!I94+Formula!K94))*(INDEX(Properties!A$1:CB$87,Formula!J94,26))</f>
        <v>10.330781818181819</v>
      </c>
      <c r="CI94" s="39">
        <f>Formula!C94*(INDEX(Properties!A$1:CB$87,Formula!B94,26))+Formula!E94*(INDEX(Properties!A$1:CB$87,Formula!D94,26))+Formula!G94*(INDEX(Properties!A$1:CB$87,Formula!F94,26))+Formula!I94*(INDEX(Properties!A$1:CB$87,Formula!H94,26))+Formula!K94*(INDEX(Properties!A$1:CB$87,Formula!J94,26))</f>
        <v>113.6386</v>
      </c>
      <c r="CJ94" s="39">
        <f>VARP(IF(INDEX(Properties!A$1:CB$87,Formula!B94,26)&lt;&gt;"",INDEX(Properties!A$1:CB$87,Formula!B94,26)),IF(INDEX(Properties!A$1:CB$87,Formula!D94,26)&lt;&gt;"",INDEX(Properties!A$1:CB$87,Formula!D94,26)),IF(INDEX(Properties!A$1:CB$87,Formula!F94,26)&lt;&gt;"",INDEX(Properties!A$1:CB$87,Formula!F94,26)),IF(INDEX(Properties!A$1:CB$87,Formula!H94,26)&lt;&gt;"",INDEX(Properties!A$1:CB$87,Formula!H94,26)),IF(INDEX(Properties!A$1:CB$87,Formula!J94,26)&lt;&gt;"",INDEX(Properties!A$1:CB$87,Formula!J94,26)))</f>
        <v>18.984986341600006</v>
      </c>
      <c r="CK94" s="39">
        <f>MAX(INDEX(Properties!A$1:CB$87,Formula!B94,26),INDEX(Properties!A$1:CB$87,Formula!D94,26),INDEX(Properties!A$1:CB$87,Formula!F94,26),INDEX(Properties!A$1:CB$87,Formula!H94,26),INDEX(Properties!A$1:CB$87,Formula!J94,26))</f>
        <v>13.6181</v>
      </c>
      <c r="CL94" s="39">
        <f>MIN(IF(INDEX(Properties!A$1:CB$87,Formula!B94,26)=0,10^6,INDEX(Properties!A$1:CB$87,Formula!B94,26)),IF(INDEX(Properties!A$1:CB$87,Formula!D94,26)=0,10^6,INDEX(Properties!A$1:CB$87,Formula!D94,26)),IF(INDEX(Properties!A$1:CB$87,Formula!F94,26)=0,10^6,INDEX(Properties!A$1:CB$87,Formula!F94,26)),IF(INDEX(Properties!A$1:CB$87,Formula!H94,26)=0,10^6,INDEX(Properties!A$1:CB$87,Formula!H94,26)),IF(INDEX(Properties!A$1:CB$87,Formula!J94,26)=0,10^6,INDEX(Properties!A$1:CB$87,Formula!J94,26)))</f>
        <v>6.1132</v>
      </c>
      <c r="CM94" s="39">
        <f t="shared" si="46"/>
        <v>7.5049000000000001</v>
      </c>
      <c r="CN94" s="54">
        <f>((Formula!C94)/(Formula!C94+Formula!E94+Formula!G94+Formula!I94+Formula!K94))*(INDEX(Properties!A$1:CB$87,Formula!B94,30))+((Formula!E94)/(Formula!C94+Formula!E94+Formula!G94+Formula!I94+Formula!K94))*(INDEX(Properties!A$1:CB$87,Formula!D94,30))+((Formula!G94)/(Formula!C94+Formula!E94+Formula!G94+Formula!I94+Formula!K94))*(INDEX(Properties!A$1:CB$87,Formula!F94,30))+((Formula!I94)/(Formula!C94+Formula!E94+Formula!G94+Formula!I94+Formula!K94))*(INDEX(Properties!A$1:CB$87,Formula!H94,30))+((Formula!K94)/(Formula!C94+Formula!E94+Formula!G94+Formula!I94+Formula!K94))*(INDEX(Properties!A$1:CB$87,Formula!J94,30))</f>
        <v>2.4854545454545454</v>
      </c>
      <c r="CO94" s="54">
        <f>Formula!C94*(INDEX(Properties!A$1:CB$87,Formula!B94,30))+Formula!E94*(INDEX(Properties!A$1:CB$87,Formula!D94,30))+Formula!G94*(INDEX(Properties!A$1:CB$87,Formula!F94,30))+Formula!I94*(INDEX(Properties!A$1:CB$87,Formula!H94,30))+Formula!K94*(INDEX(Properties!A$1:CB$87,Formula!J94,30))</f>
        <v>27.34</v>
      </c>
      <c r="CP94" s="54">
        <f>VARP(IF(INDEX(Properties!A$1:CB$87,Formula!B94,30)&lt;&gt;"",INDEX(Properties!A$1:CB$87,Formula!B94,30)),IF(INDEX(Properties!A$1:CB$87,Formula!D94,30)&lt;&gt;"",INDEX(Properties!A$1:CB$87,Formula!D94,30)),IF(INDEX(Properties!A$1:CB$87,Formula!F94,30)&lt;&gt;"",INDEX(Properties!A$1:CB$87,Formula!F94,30)),IF(INDEX(Properties!A$1:CB$87,Formula!H94,30)&lt;&gt;"",INDEX(Properties!A$1:CB$87,Formula!H94,30)),IF(INDEX(Properties!A$1:CB$87,Formula!J94,30)&lt;&gt;"",INDEX(Properties!A$1:CB$87,Formula!J94,30)))</f>
        <v>1.2792640000000004</v>
      </c>
      <c r="CQ94" s="54">
        <f>MAX(INDEX(Properties!A$1:CB$87,Formula!B94,30),INDEX(Properties!A$1:CB$87,Formula!D94,30),INDEX(Properties!A$1:CB$87,Formula!F94,30),INDEX(Properties!A$1:CB$87,Formula!H94,30),INDEX(Properties!A$1:CB$87,Formula!J94,30))</f>
        <v>3.44</v>
      </c>
      <c r="CR94" s="54">
        <f>MIN(IF(INDEX(Properties!A$1:CB$87,Formula!B94,30)=0,10^6,INDEX(Properties!A$1:CB$87,Formula!B94,30)),IF(INDEX(Properties!A$1:CB$87,Formula!D94,30)=0,10^6,INDEX(Properties!A$1:CB$87,Formula!D94,30)),IF(INDEX(Properties!A$1:CB$87,Formula!F94,30)=0,10^6,INDEX(Properties!A$1:CB$87,Formula!F94,30)),IF(INDEX(Properties!A$1:CB$87,Formula!H94,30)=0,10^6,INDEX(Properties!A$1:CB$87,Formula!H94,30)),IF(INDEX(Properties!A$1:CB$87,Formula!J94,30)=0,10^6,INDEX(Properties!A$1:CB$87,Formula!J94,30)))</f>
        <v>1</v>
      </c>
      <c r="CS94" s="54">
        <f t="shared" si="47"/>
        <v>2.44</v>
      </c>
      <c r="CT94" s="69">
        <f>((Formula!C94)/(Formula!C94+Formula!E94+Formula!G94+Formula!I94+Formula!K94))*(INDEX(Properties!A$1:CB$87,Formula!B94,31))+((Formula!E94)/(Formula!C94+Formula!E94+Formula!G94+Formula!I94+Formula!K94))*(INDEX(Properties!A$1:CB$87,Formula!D94,31))+((Formula!G94)/(Formula!C94+Formula!E94+Formula!G94+Formula!I94+Formula!K94))*(INDEX(Properties!A$1:CB$87,Formula!F94,31))+((Formula!I94)/(Formula!C94+Formula!E94+Formula!G94+Formula!I94+Formula!K94))*(INDEX(Properties!A$1:CB$87,Formula!H94,31))+((Formula!K94)/(Formula!C94+Formula!E94+Formula!G94+Formula!I94+Formula!K94))*(INDEX(Properties!A$1:CB$87,Formula!J94,31))</f>
        <v>2.5045454545454544</v>
      </c>
      <c r="CU94" s="69">
        <f>Formula!C94*(INDEX(Properties!A$1:CB$87,Formula!B94,31))+Formula!E94*(INDEX(Properties!A$1:CB$87,Formula!D94,31))+Formula!G94*(INDEX(Properties!A$1:CB$87,Formula!F94,31))+Formula!I94*(INDEX(Properties!A$1:CB$87,Formula!H94,31))+Formula!K94*(INDEX(Properties!A$1:CB$87,Formula!J94,31))</f>
        <v>27.549999999999997</v>
      </c>
      <c r="CV94" s="69">
        <f>VARP(IF(INDEX(Properties!A$1:CB$87,Formula!B94,31)&lt;&gt;"",INDEX(Properties!A$1:CB$87,Formula!B94,31)),IF(INDEX(Properties!A$1:CB$87,Formula!D94,31)&lt;&gt;"",INDEX(Properties!A$1:CB$87,Formula!D94,31)),IF(INDEX(Properties!A$1:CB$87,Formula!F94,31)&lt;&gt;"",INDEX(Properties!A$1:CB$87,Formula!F94,31)),IF(INDEX(Properties!A$1:CB$87,Formula!H94,31)&lt;&gt;"",INDEX(Properties!A$1:CB$87,Formula!H94,31)),IF(INDEX(Properties!A$1:CB$87,Formula!J94,31)&lt;&gt;"",INDEX(Properties!A$1:CB$87,Formula!J94,31)))</f>
        <v>1.1787039999999991</v>
      </c>
      <c r="CW94" s="69">
        <f>MAX(INDEX(Properties!A$1:CB$87,Formula!B94,31),INDEX(Properties!A$1:CB$87,Formula!D94,31),INDEX(Properties!A$1:CB$87,Formula!F94,31),INDEX(Properties!A$1:CB$87,Formula!H94,31),INDEX(Properties!A$1:CB$87,Formula!J94,31))</f>
        <v>3.32</v>
      </c>
      <c r="CX94" s="69">
        <f>MIN(IF(INDEX(Properties!A$1:CB$87,Formula!B94,31)=0,10^6,INDEX(Properties!A$1:CB$87,Formula!B94,31)),IF(INDEX(Properties!A$1:CB$87,Formula!D94,31)=0,10^6,INDEX(Properties!A$1:CB$87,Formula!D94,31)),IF(INDEX(Properties!A$1:CB$87,Formula!F94,31)=0,10^6,INDEX(Properties!A$1:CB$87,Formula!F94,31)),IF(INDEX(Properties!A$1:CB$87,Formula!H94,31)=0,10^6,INDEX(Properties!A$1:CB$87,Formula!H94,31)),IF(INDEX(Properties!A$1:CB$87,Formula!J94,31)=0,10^6,INDEX(Properties!A$1:CB$87,Formula!J94,31)))</f>
        <v>1.17</v>
      </c>
      <c r="CY94" s="69">
        <f t="shared" si="48"/>
        <v>2.15</v>
      </c>
      <c r="CZ94" s="42">
        <f>((Formula!C94)/(Formula!C94+Formula!E94+Formula!G94+Formula!I94+Formula!K94))*(INDEX(Properties!A$1:CB$87,Formula!B94,32))+((Formula!E94)/(Formula!C94+Formula!E94+Formula!G94+Formula!I94+Formula!K94))*(INDEX(Properties!A$1:CB$87,Formula!D94,32))+((Formula!G94)/(Formula!C94+Formula!E94+Formula!G94+Formula!I94+Formula!K94))*(INDEX(Properties!A$1:CB$87,Formula!F94,32))+((Formula!I94)/(Formula!C94+Formula!E94+Formula!G94+Formula!I94+Formula!K94))*(INDEX(Properties!A$1:CB$87,Formula!H94,32))+((Formula!K94)/(Formula!C94+Formula!E94+Formula!G94+Formula!I94+Formula!K94))*(INDEX(Properties!A$1:CB$87,Formula!J94,32))</f>
        <v>5.6754545454545458</v>
      </c>
      <c r="DA94" s="42">
        <f>Formula!C94*(INDEX(Properties!A$1:CB$87,Formula!B94,32))+Formula!E94*(INDEX(Properties!A$1:CB$87,Formula!D94,32))+Formula!G94*(INDEX(Properties!A$1:CB$87,Formula!F94,32))+Formula!I94*(INDEX(Properties!A$1:CB$87,Formula!H94,32))+Formula!K94*(INDEX(Properties!A$1:CB$87,Formula!J94,32))</f>
        <v>62.43</v>
      </c>
      <c r="DB94" s="42">
        <f>VARP(IF(INDEX(Properties!A$1:CB$87,Formula!B94,32)&lt;&gt;"",INDEX(Properties!A$1:CB$87,Formula!B94,32)),IF(INDEX(Properties!A$1:CB$87,Formula!D94,32)&lt;&gt;"",INDEX(Properties!A$1:CB$87,Formula!D94,32)),IF(INDEX(Properties!A$1:CB$87,Formula!F94,32)&lt;&gt;"",INDEX(Properties!A$1:CB$87,Formula!F94,32)),IF(INDEX(Properties!A$1:CB$87,Formula!H94,32)&lt;&gt;"",INDEX(Properties!A$1:CB$87,Formula!H94,32)),IF(INDEX(Properties!A$1:CB$87,Formula!J94,32)&lt;&gt;"",INDEX(Properties!A$1:CB$87,Formula!J94,32)))</f>
        <v>6.3669359999999982</v>
      </c>
      <c r="DC94" s="42">
        <f>MAX(INDEX(Properties!A$1:CB$87,Formula!B94,32),INDEX(Properties!A$1:CB$87,Formula!D94,32),INDEX(Properties!A$1:CB$87,Formula!F94,32),INDEX(Properties!A$1:CB$87,Formula!H94,32),INDEX(Properties!A$1:CB$87,Formula!J94,32))</f>
        <v>7.54</v>
      </c>
      <c r="DD94" s="42">
        <f>MIN(IF(INDEX(Properties!A$1:CB$87,Formula!B94,32)=0,10^6,INDEX(Properties!A$1:CB$87,Formula!B94,32)),IF(INDEX(Properties!A$1:CB$87,Formula!D94,32)=0,10^6,INDEX(Properties!A$1:CB$87,Formula!D94,32)),IF(INDEX(Properties!A$1:CB$87,Formula!F94,32)=0,10^6,INDEX(Properties!A$1:CB$87,Formula!F94,32)),IF(INDEX(Properties!A$1:CB$87,Formula!H94,32)=0,10^6,INDEX(Properties!A$1:CB$87,Formula!H94,32)),IF(INDEX(Properties!A$1:CB$87,Formula!J94,32)=0,10^6,INDEX(Properties!A$1:CB$87,Formula!J94,32)))</f>
        <v>2.2000000000000002</v>
      </c>
      <c r="DE94" s="42">
        <f t="shared" si="49"/>
        <v>5.34</v>
      </c>
      <c r="DF94" s="60">
        <f>((Formula!C94)/(Formula!C94+Formula!E94+Formula!G94+Formula!I94+Formula!K94))*(INDEX(Properties!A$1:CB$87,Formula!B94,34))+((Formula!E94)/(Formula!C94+Formula!E94+Formula!G94+Formula!I94+Formula!K94))*(INDEX(Properties!A$1:CB$87,Formula!D94,34))+((Formula!G94)/(Formula!C94+Formula!E94+Formula!G94+Formula!I94+Formula!K94))*(INDEX(Properties!A$1:CB$87,Formula!F94,34))+((Formula!I94)/(Formula!C94+Formula!E94+Formula!G94+Formula!I94+Formula!K94))*(INDEX(Properties!A$1:CB$87,Formula!H94,34))+((Formula!K94)/(Formula!C94+Formula!E94+Formula!G94+Formula!I94+Formula!K94))*(INDEX(Properties!A$1:CB$87,Formula!J94,34))</f>
        <v>2.5570909090909089</v>
      </c>
      <c r="DG94" s="60">
        <f>Formula!C94*(INDEX(Properties!A$1:CB$87,Formula!B94,34))+Formula!E94*(INDEX(Properties!A$1:CB$87,Formula!D94,34))+Formula!G94*(INDEX(Properties!A$1:CB$87,Formula!F94,34))+Formula!I94*(INDEX(Properties!A$1:CB$87,Formula!H94,34))+Formula!K94*(INDEX(Properties!A$1:CB$87,Formula!J94,34))</f>
        <v>28.128</v>
      </c>
      <c r="DH94" s="60">
        <f>VARP(IF(INDEX(Properties!A$1:CB$87,Formula!B94,34)&lt;&gt;"",INDEX(Properties!A$1:CB$87,Formula!B94,34)),IF(INDEX(Properties!A$1:CB$87,Formula!D94,34)&lt;&gt;"",INDEX(Properties!A$1:CB$87,Formula!D94,34)),IF(INDEX(Properties!A$1:CB$87,Formula!F94,34)&lt;&gt;"",INDEX(Properties!A$1:CB$87,Formula!F94,34)),IF(INDEX(Properties!A$1:CB$87,Formula!H94,34)&lt;&gt;"",INDEX(Properties!A$1:CB$87,Formula!H94,34)),IF(INDEX(Properties!A$1:CB$87,Formula!J94,34)&lt;&gt;"",INDEX(Properties!A$1:CB$87,Formula!J94,34)))</f>
        <v>1.4135983999999999</v>
      </c>
      <c r="DI94" s="60">
        <f>MAX(INDEX(Properties!A$1:CB$87,Formula!B94,34),INDEX(Properties!A$1:CB$87,Formula!D94,34),INDEX(Properties!A$1:CB$87,Formula!F94,34),INDEX(Properties!A$1:CB$87,Formula!H94,34),INDEX(Properties!A$1:CB$87,Formula!J94,34))</f>
        <v>3.61</v>
      </c>
      <c r="DJ94" s="60">
        <f>MIN(IF(INDEX(Properties!A$1:CB$87,Formula!B94,34)=0,10^6,INDEX(Properties!A$1:CB$87,Formula!B94,34)),IF(INDEX(Properties!A$1:CB$87,Formula!D94,34)=0,10^6,INDEX(Properties!A$1:CB$87,Formula!D94,34)),IF(INDEX(Properties!A$1:CB$87,Formula!F94,34)=0,10^6,INDEX(Properties!A$1:CB$87,Formula!F94,34)),IF(INDEX(Properties!A$1:CB$87,Formula!H94,34)=0,10^6,INDEX(Properties!A$1:CB$87,Formula!H94,34)),IF(INDEX(Properties!A$1:CB$87,Formula!J94,34)=0,10^6,INDEX(Properties!A$1:CB$87,Formula!J94,34)))</f>
        <v>1.034</v>
      </c>
      <c r="DK94" s="60">
        <f t="shared" si="50"/>
        <v>2.5759999999999996</v>
      </c>
      <c r="DL94" s="45">
        <f>((Formula!C94)/(Formula!C94+Formula!E94+Formula!G94+Formula!I94+Formula!K94))*(INDEX(Properties!A$1:CB$87,Formula!B94,39))+((Formula!E94)/(Formula!C94+Formula!E94+Formula!G94+Formula!I94+Formula!K94))*(INDEX(Properties!A$1:CB$87,Formula!D94,39))+((Formula!G94)/(Formula!C94+Formula!E94+Formula!G94+Formula!I94+Formula!K94))*(INDEX(Properties!A$1:CB$87,Formula!F94,39))+((Formula!I94)/(Formula!C94+Formula!E94+Formula!G94+Formula!I94+Formula!K94))*(INDEX(Properties!A$1:CB$87,Formula!H94,39))+((Formula!K94)/(Formula!C94+Formula!E94+Formula!G94+Formula!I94+Formula!K94))*(INDEX(Properties!A$1:CB$87,Formula!J94,39))</f>
        <v>0.95818181818181813</v>
      </c>
      <c r="DM94" s="45">
        <f>Formula!C94*(INDEX(Properties!A$1:CB$87,Formula!B94,39))+Formula!E94*(INDEX(Properties!A$1:CB$87,Formula!D94,39))+Formula!G94*(INDEX(Properties!A$1:CB$87,Formula!F94,39))+Formula!I94*(INDEX(Properties!A$1:CB$87,Formula!H94,39))+Formula!K94*(INDEX(Properties!A$1:CB$87,Formula!J94,39))</f>
        <v>10.540000000000001</v>
      </c>
      <c r="DN94" s="45">
        <f>VARP(IF(INDEX(Properties!A$1:CB$87,Formula!B94,39)&lt;&gt;"",INDEX(Properties!A$1:CB$87,Formula!B94,39)),IF(INDEX(Properties!A$1:CB$87,Formula!D94,39)&lt;&gt;"",INDEX(Properties!A$1:CB$87,Formula!D94,39)),IF(INDEX(Properties!A$1:CB$87,Formula!F94,39)&lt;&gt;"",INDEX(Properties!A$1:CB$87,Formula!F94,39)),IF(INDEX(Properties!A$1:CB$87,Formula!H94,39)&lt;&gt;"",INDEX(Properties!A$1:CB$87,Formula!H94,39)),IF(INDEX(Properties!A$1:CB$87,Formula!J94,39)&lt;&gt;"",INDEX(Properties!A$1:CB$87,Formula!J94,39)))</f>
        <v>0.54537599999999986</v>
      </c>
      <c r="DO94" s="45">
        <f>MAX(INDEX(Properties!A$1:CB$87,Formula!B94,39),INDEX(Properties!A$1:CB$87,Formula!D94,39),INDEX(Properties!A$1:CB$87,Formula!F94,39),INDEX(Properties!A$1:CB$87,Formula!H94,39),INDEX(Properties!A$1:CB$87,Formula!J94,39))</f>
        <v>1.94</v>
      </c>
      <c r="DP94" s="45">
        <f>MIN(IF(INDEX(Properties!A$1:CB$87,Formula!B94,39)=0,10^6,INDEX(Properties!A$1:CB$87,Formula!B94,39)),IF(INDEX(Properties!A$1:CB$87,Formula!D94,39)=0,10^6,INDEX(Properties!A$1:CB$87,Formula!D94,39)),IF(INDEX(Properties!A$1:CB$87,Formula!F94,39)=0,10^6,INDEX(Properties!A$1:CB$87,Formula!F94,39)),IF(INDEX(Properties!A$1:CB$87,Formula!H94,39)=0,10^6,INDEX(Properties!A$1:CB$87,Formula!H94,39)),IF(INDEX(Properties!A$1:CB$87,Formula!J94,39)=0,10^6,INDEX(Properties!A$1:CB$87,Formula!J94,39)))</f>
        <v>0.48</v>
      </c>
      <c r="DQ94" s="45">
        <f t="shared" si="51"/>
        <v>1.46</v>
      </c>
      <c r="DR94" s="63">
        <f>((Formula!C94)/(Formula!C94+Formula!E94+Formula!G94+Formula!I94+Formula!K94))*(INDEX(Properties!A$1:CB$87,Formula!B94,40))+((Formula!E94)/(Formula!C94+Formula!E94+Formula!G94+Formula!I94+Formula!K94))*(INDEX(Properties!A$1:CB$87,Formula!D94,40))+((Formula!G94)/(Formula!C94+Formula!E94+Formula!G94+Formula!I94+Formula!K94))*(INDEX(Properties!A$1:CB$87,Formula!F94,40))+((Formula!I94)/(Formula!C94+Formula!E94+Formula!G94+Formula!I94+Formula!K94))*(INDEX(Properties!A$1:CB$87,Formula!H94,40))+((Formula!K94)/(Formula!C94+Formula!E94+Formula!G94+Formula!I94+Formula!K94))*(INDEX(Properties!A$1:CB$87,Formula!J94,40))</f>
        <v>1.0172727272727273</v>
      </c>
      <c r="DS94" s="63">
        <f>Formula!C94*(INDEX(Properties!A$1:CB$87,Formula!B94,40))+Formula!E94*(INDEX(Properties!A$1:CB$87,Formula!D94,40))+Formula!G94*(INDEX(Properties!A$1:CB$87,Formula!F94,40))+Formula!I94*(INDEX(Properties!A$1:CB$87,Formula!H94,40))+Formula!K94*(INDEX(Properties!A$1:CB$87,Formula!J94,40))</f>
        <v>11.190000000000001</v>
      </c>
      <c r="DT94" s="63">
        <f>VARP(IF(INDEX(Properties!A$1:CB$87,Formula!B94,40)&lt;&gt;"",INDEX(Properties!A$1:CB$87,Formula!B94,40)),IF(INDEX(Properties!A$1:CB$87,Formula!D94,40)&lt;&gt;"",INDEX(Properties!A$1:CB$87,Formula!D94,40)),IF(INDEX(Properties!A$1:CB$87,Formula!F94,40)&lt;&gt;"",INDEX(Properties!A$1:CB$87,Formula!F94,40)),IF(INDEX(Properties!A$1:CB$87,Formula!H94,40)&lt;&gt;"",INDEX(Properties!A$1:CB$87,Formula!H94,40)),IF(INDEX(Properties!A$1:CB$87,Formula!J94,40)&lt;&gt;"",INDEX(Properties!A$1:CB$87,Formula!J94,40)))</f>
        <v>0.35229600000000016</v>
      </c>
      <c r="DU94" s="63">
        <f>MAX(INDEX(Properties!A$1:CB$87,Formula!B94,40),INDEX(Properties!A$1:CB$87,Formula!D94,40),INDEX(Properties!A$1:CB$87,Formula!F94,40),INDEX(Properties!A$1:CB$87,Formula!H94,40),INDEX(Properties!A$1:CB$87,Formula!J94,40))</f>
        <v>1.74</v>
      </c>
      <c r="DV94" s="63">
        <f>MIN(IF(INDEX(Properties!A$1:CB$87,Formula!B94,40)=0,10^6,INDEX(Properties!A$1:CB$87,Formula!B94,40)),IF(INDEX(Properties!A$1:CB$87,Formula!D94,40)=0,10^6,INDEX(Properties!A$1:CB$87,Formula!D94,40)),IF(INDEX(Properties!A$1:CB$87,Formula!F94,40)=0,10^6,INDEX(Properties!A$1:CB$87,Formula!F94,40)),IF(INDEX(Properties!A$1:CB$87,Formula!H94,40)=0,10^6,INDEX(Properties!A$1:CB$87,Formula!H94,40)),IF(INDEX(Properties!A$1:CB$87,Formula!J94,40)=0,10^6,INDEX(Properties!A$1:CB$87,Formula!J94,40)))</f>
        <v>0.73</v>
      </c>
      <c r="DW94" s="63">
        <f t="shared" si="52"/>
        <v>1.01</v>
      </c>
      <c r="DX94" s="75">
        <f>((Formula!C94)/(Formula!C94+Formula!E94+Formula!G94+Formula!I94+Formula!K94))*(INDEX(Properties!A$1:CB$87,Formula!B94,41))+((Formula!E94)/(Formula!C94+Formula!E94+Formula!G94+Formula!I94+Formula!K94))*(INDEX(Properties!A$1:CB$87,Formula!D94,41))+((Formula!G94)/(Formula!C94+Formula!E94+Formula!G94+Formula!I94+Formula!K94))*(INDEX(Properties!A$1:CB$87,Formula!F94,41))+((Formula!I94)/(Formula!C94+Formula!E94+Formula!G94+Formula!I94+Formula!K94))*(INDEX(Properties!A$1:CB$87,Formula!H94,41))+((Formula!K94)/(Formula!C94+Formula!E94+Formula!G94+Formula!I94+Formula!K94))*(INDEX(Properties!A$1:CB$87,Formula!J94,41))</f>
        <v>0.96363636363636362</v>
      </c>
      <c r="DY94" s="75">
        <f>Formula!C94*(INDEX(Properties!A$1:CB$87,Formula!B94,41))+Formula!E94*(INDEX(Properties!A$1:CB$87,Formula!D94,41))+Formula!G94*(INDEX(Properties!A$1:CB$87,Formula!F94,41))+Formula!I94*(INDEX(Properties!A$1:CB$87,Formula!H94,41))+Formula!K94*(INDEX(Properties!A$1:CB$87,Formula!J94,41))</f>
        <v>10.6</v>
      </c>
      <c r="DZ94" s="75">
        <f>VARP(IF(INDEX(Properties!A$1:CB$87,Formula!B94,41)&lt;&gt;"",INDEX(Properties!A$1:CB$87,Formula!B94,41)),IF(INDEX(Properties!A$1:CB$87,Formula!D94,41)&lt;&gt;"",INDEX(Properties!A$1:CB$87,Formula!D94,41)),IF(INDEX(Properties!A$1:CB$87,Formula!F94,41)&lt;&gt;"",INDEX(Properties!A$1:CB$87,Formula!F94,41)),IF(INDEX(Properties!A$1:CB$87,Formula!H94,41)&lt;&gt;"",INDEX(Properties!A$1:CB$87,Formula!H94,41)),IF(INDEX(Properties!A$1:CB$87,Formula!J94,41)&lt;&gt;"",INDEX(Properties!A$1:CB$87,Formula!J94,41)))</f>
        <v>0.21481600000000006</v>
      </c>
      <c r="EA94" s="75">
        <f>MAX(INDEX(Properties!A$1:CB$87,Formula!B94,41),INDEX(Properties!A$1:CB$87,Formula!D94,41),INDEX(Properties!A$1:CB$87,Formula!F94,41),INDEX(Properties!A$1:CB$87,Formula!H94,41),INDEX(Properties!A$1:CB$87,Formula!J94,41))</f>
        <v>1.26</v>
      </c>
      <c r="EB94" s="75">
        <f>MIN(IF(INDEX(Properties!A$1:CB$87,Formula!B94,41)=0,10^6,INDEX(Properties!A$1:CB$87,Formula!B94,41)),IF(INDEX(Properties!A$1:CB$87,Formula!D94,41)=0,10^6,INDEX(Properties!A$1:CB$87,Formula!D94,41)),IF(INDEX(Properties!A$1:CB$87,Formula!F94,41)=0,10^6,INDEX(Properties!A$1:CB$87,Formula!F94,41)),IF(INDEX(Properties!A$1:CB$87,Formula!H94,41)=0,10^6,INDEX(Properties!A$1:CB$87,Formula!H94,41)),IF(INDEX(Properties!A$1:CB$87,Formula!J94,41)=0,10^6,INDEX(Properties!A$1:CB$87,Formula!J94,41)))</f>
        <v>0.54</v>
      </c>
      <c r="EC94" s="75">
        <f t="shared" si="53"/>
        <v>0.72</v>
      </c>
      <c r="ED94" s="48">
        <f>((Formula!C94)/(Formula!C94+Formula!E94+Formula!G94+Formula!I94+Formula!K94))*(INDEX(Properties!A$1:CB$87,Formula!B94,45))+((Formula!E94)/(Formula!C94+Formula!E94+Formula!G94+Formula!I94+Formula!K94))*(INDEX(Properties!A$1:CB$87,Formula!D94,45))+((Formula!G94)/(Formula!C94+Formula!E94+Formula!G94+Formula!I94+Formula!K94))*(INDEX(Properties!A$1:CB$87,Formula!F94,45))+((Formula!I94)/(Formula!C94+Formula!E94+Formula!G94+Formula!I94+Formula!K94))*(INDEX(Properties!A$1:CB$87,Formula!H94,45))+((Formula!K94)/(Formula!C94+Formula!E94+Formula!G94+Formula!I94+Formula!K94))*(INDEX(Properties!A$1:CB$87,Formula!J94,45))</f>
        <v>1.2372727272727273</v>
      </c>
      <c r="EE94" s="48">
        <f>Formula!C94*(INDEX(Properties!A$1:CB$87,Formula!B94,45))+Formula!E94*(INDEX(Properties!A$1:CB$87,Formula!D94,45))+Formula!G94*(INDEX(Properties!A$1:CB$87,Formula!F94,45))+Formula!I94*(INDEX(Properties!A$1:CB$87,Formula!H94,45))+Formula!K94*(INDEX(Properties!A$1:CB$87,Formula!J94,45))</f>
        <v>13.61</v>
      </c>
      <c r="EF94" s="48">
        <f>VARP(IF(INDEX(Properties!A$1:CB$87,Formula!B94,45)&lt;&gt;"",INDEX(Properties!A$1:CB$87,Formula!B94,45)),IF(INDEX(Properties!A$1:CB$87,Formula!D94,45)&lt;&gt;"",INDEX(Properties!A$1:CB$87,Formula!D94,45)),IF(INDEX(Properties!A$1:CB$87,Formula!F94,45)&lt;&gt;"",INDEX(Properties!A$1:CB$87,Formula!F94,45)),IF(INDEX(Properties!A$1:CB$87,Formula!H94,45)&lt;&gt;"",INDEX(Properties!A$1:CB$87,Formula!H94,45)),IF(INDEX(Properties!A$1:CB$87,Formula!J94,45)&lt;&gt;"",INDEX(Properties!A$1:CB$87,Formula!J94,45)))</f>
        <v>1.3467040000000003</v>
      </c>
      <c r="EG94" s="48">
        <f>MAX(INDEX(Properties!A$1:CB$87,Formula!B94,45),INDEX(Properties!A$1:CB$87,Formula!D94,45),INDEX(Properties!A$1:CB$87,Formula!F94,45),INDEX(Properties!A$1:CB$87,Formula!H94,45),INDEX(Properties!A$1:CB$87,Formula!J94,45))</f>
        <v>3</v>
      </c>
      <c r="EH94" s="48">
        <f>MIN(IF(INDEX(Properties!A$1:CB$87,Formula!B94,45)=0,10^6,INDEX(Properties!A$1:CB$87,Formula!B94,45)),IF(INDEX(Properties!A$1:CB$87,Formula!D94,45)=0,10^6,INDEX(Properties!A$1:CB$87,Formula!D94,45)),IF(INDEX(Properties!A$1:CB$87,Formula!F94,45)=0,10^6,INDEX(Properties!A$1:CB$87,Formula!F94,45)),IF(INDEX(Properties!A$1:CB$87,Formula!H94,45)=0,10^6,INDEX(Properties!A$1:CB$87,Formula!H94,45)),IF(INDEX(Properties!A$1:CB$87,Formula!J94,45)=0,10^6,INDEX(Properties!A$1:CB$87,Formula!J94,45)))</f>
        <v>0.47</v>
      </c>
      <c r="EI94" s="48">
        <f t="shared" si="54"/>
        <v>2.5300000000000002</v>
      </c>
      <c r="EJ94" s="66">
        <f>((Formula!C94)/(Formula!C94+Formula!E94+Formula!G94+Formula!I94+Formula!K94))*(INDEX(Properties!A$1:CB$87,Formula!B94,46))+((Formula!E94)/(Formula!C94+Formula!E94+Formula!G94+Formula!I94+Formula!K94))*(INDEX(Properties!A$1:CB$87,Formula!D94,46))+((Formula!G94)/(Formula!C94+Formula!E94+Formula!G94+Formula!I94+Formula!K94))*(INDEX(Properties!A$1:CB$87,Formula!F94,46))+((Formula!I94)/(Formula!C94+Formula!E94+Formula!G94+Formula!I94+Formula!K94))*(INDEX(Properties!A$1:CB$87,Formula!H94,46))+((Formula!K94)/(Formula!C94+Formula!E94+Formula!G94+Formula!I94+Formula!K94))*(INDEX(Properties!A$1:CB$87,Formula!J94,46))</f>
        <v>0.8672727272727272</v>
      </c>
      <c r="EK94" s="66">
        <f>Formula!C94*(INDEX(Properties!A$1:CB$87,Formula!B94,46))+Formula!E94*(INDEX(Properties!A$1:CB$87,Formula!D94,46))+Formula!G94*(INDEX(Properties!A$1:CB$87,Formula!F94,46))+Formula!I94*(INDEX(Properties!A$1:CB$87,Formula!H94,46))+Formula!K94*(INDEX(Properties!A$1:CB$87,Formula!J94,46))</f>
        <v>9.5399999999999991</v>
      </c>
      <c r="EL94" s="66">
        <f>VARP(IF(INDEX(Properties!A$1:CB$87,Formula!B94,46)&lt;&gt;"",INDEX(Properties!A$1:CB$87,Formula!B94,46)),IF(INDEX(Properties!A$1:CB$87,Formula!D94,46)&lt;&gt;"",INDEX(Properties!A$1:CB$87,Formula!D94,46)),IF(INDEX(Properties!A$1:CB$87,Formula!F94,46)&lt;&gt;"",INDEX(Properties!A$1:CB$87,Formula!F94,46)),IF(INDEX(Properties!A$1:CB$87,Formula!H94,46)&lt;&gt;"",INDEX(Properties!A$1:CB$87,Formula!H94,46)),IF(INDEX(Properties!A$1:CB$87,Formula!J94,46)&lt;&gt;"",INDEX(Properties!A$1:CB$87,Formula!J94,46)))</f>
        <v>0.20724000000000004</v>
      </c>
      <c r="EM94" s="66">
        <f>MAX(INDEX(Properties!A$1:CB$87,Formula!B94,46),INDEX(Properties!A$1:CB$87,Formula!D94,46),INDEX(Properties!A$1:CB$87,Formula!F94,46),INDEX(Properties!A$1:CB$87,Formula!H94,46),INDEX(Properties!A$1:CB$87,Formula!J94,46))</f>
        <v>1.21</v>
      </c>
      <c r="EN94" s="66">
        <f>MIN(IF(INDEX(Properties!A$1:CB$87,Formula!B94,46)=0,10^6,INDEX(Properties!A$1:CB$87,Formula!B94,46)),IF(INDEX(Properties!A$1:CB$87,Formula!D94,46)=0,10^6,INDEX(Properties!A$1:CB$87,Formula!D94,46)),IF(INDEX(Properties!A$1:CB$87,Formula!F94,46)=0,10^6,INDEX(Properties!A$1:CB$87,Formula!F94,46)),IF(INDEX(Properties!A$1:CB$87,Formula!H94,46)=0,10^6,INDEX(Properties!A$1:CB$87,Formula!H94,46)),IF(INDEX(Properties!A$1:CB$87,Formula!J94,46)=0,10^6,INDEX(Properties!A$1:CB$87,Formula!J94,46)))</f>
        <v>0.4</v>
      </c>
      <c r="EO94" s="66">
        <f t="shared" si="55"/>
        <v>0.80999999999999994</v>
      </c>
      <c r="EP94" s="81">
        <f>((Formula!C94)/(Formula!C94+Formula!E94+Formula!G94+Formula!I94+Formula!K94))*(INDEX(Properties!A$1:CB$87,Formula!B94,52))+((Formula!E94)/(Formula!C94+Formula!E94+Formula!G94+Formula!I94+Formula!K94))*(INDEX(Properties!A$1:CB$87,Formula!D94,52))+((Formula!G94)/(Formula!C94+Formula!E94+Formula!G94+Formula!I94+Formula!K94))*(INDEX(Properties!A$1:CB$87,Formula!F94,52))+((Formula!I94)/(Formula!C94+Formula!E94+Formula!G94+Formula!I94+Formula!K94))*(INDEX(Properties!A$1:CB$87,Formula!H94,52))+((Formula!K94)/(Formula!C94+Formula!E94+Formula!G94+Formula!I94+Formula!K94))*(INDEX(Properties!A$1:CB$87,Formula!J94,52))</f>
        <v>5.7240909090909096</v>
      </c>
      <c r="EQ94" s="81">
        <f>Formula!C94*(INDEX(Properties!A$1:CB$87,Formula!B94,52))+Formula!E94*(INDEX(Properties!A$1:CB$87,Formula!D94,52))+Formula!G94*(INDEX(Properties!A$1:CB$87,Formula!F94,52))+Formula!I94*(INDEX(Properties!A$1:CB$87,Formula!H94,52))+Formula!K94*(INDEX(Properties!A$1:CB$87,Formula!J94,52))</f>
        <v>62.965000000000003</v>
      </c>
      <c r="ER94" s="81">
        <f>VARP(IF(INDEX(Properties!A$1:CB$87,Formula!B94,52)&lt;&gt;"",INDEX(Properties!A$1:CB$87,Formula!B94,52)),IF(INDEX(Properties!A$1:CB$87,Formula!D94,52)&lt;&gt;"",INDEX(Properties!A$1:CB$87,Formula!D94,52)),IF(INDEX(Properties!A$1:CB$87,Formula!F94,52)&lt;&gt;"",INDEX(Properties!A$1:CB$87,Formula!F94,52)),IF(INDEX(Properties!A$1:CB$87,Formula!H94,52)&lt;&gt;"",INDEX(Properties!A$1:CB$87,Formula!H94,52)),IF(INDEX(Properties!A$1:CB$87,Formula!J94,52)&lt;&gt;"",INDEX(Properties!A$1:CB$87,Formula!J94,52)))</f>
        <v>76.543783840000003</v>
      </c>
      <c r="ES94" s="81">
        <f>MAX(INDEX(Properties!A$1:CB$87,Formula!B94,52),INDEX(Properties!A$1:CB$87,Formula!D94,52),INDEX(Properties!A$1:CB$87,Formula!F94,52),INDEX(Properties!A$1:CB$87,Formula!H94,52),INDEX(Properties!A$1:CB$87,Formula!J94,52))</f>
        <v>22.8</v>
      </c>
      <c r="ET94" s="81">
        <f>MIN(IF(INDEX(Properties!A$1:CB$87,Formula!B94,52)=0,10^6,INDEX(Properties!A$1:CB$87,Formula!B94,52)),IF(INDEX(Properties!A$1:CB$87,Formula!D94,52)=0,10^6,INDEX(Properties!A$1:CB$87,Formula!D94,52)),IF(INDEX(Properties!A$1:CB$87,Formula!F94,52)=0,10^6,INDEX(Properties!A$1:CB$87,Formula!F94,52)),IF(INDEX(Properties!A$1:CB$87,Formula!H94,52)=0,10^6,INDEX(Properties!A$1:CB$87,Formula!H94,52)),IF(INDEX(Properties!A$1:CB$87,Formula!J94,52)=0,10^6,INDEX(Properties!A$1:CB$87,Formula!J94,52)))</f>
        <v>0.79300000000000004</v>
      </c>
      <c r="EU94" s="81">
        <f t="shared" si="56"/>
        <v>22.007000000000001</v>
      </c>
      <c r="EV94" s="39">
        <f>((Formula!C94)/(Formula!C94+Formula!E94+Formula!G94+Formula!I94+Formula!K94))*(INDEX(Properties!A$1:CB$87,Formula!B94,53))+((Formula!E94)/(Formula!C94+Formula!E94+Formula!G94+Formula!I94+Formula!K94))*(INDEX(Properties!A$1:CB$87,Formula!D94,53))+((Formula!G94)/(Formula!C94+Formula!E94+Formula!G94+Formula!I94+Formula!K94))*(INDEX(Properties!A$1:CB$87,Formula!F94,53))+((Formula!I94)/(Formula!C94+Formula!E94+Formula!G94+Formula!I94+Formula!K94))*(INDEX(Properties!A$1:CB$87,Formula!H94,53))+((Formula!K94)/(Formula!C94+Formula!E94+Formula!G94+Formula!I94+Formula!K94))*(INDEX(Properties!A$1:CB$87,Formula!J94,53))</f>
        <v>913.78636363636372</v>
      </c>
      <c r="EW94" s="39">
        <f>Formula!C94*(INDEX(Properties!A$1:CB$87,Formula!B94,53))+Formula!E94*(INDEX(Properties!A$1:CB$87,Formula!D94,53))+Formula!G94*(INDEX(Properties!A$1:CB$87,Formula!F94,53))+Formula!I94*(INDEX(Properties!A$1:CB$87,Formula!H94,53))+Formula!K94*(INDEX(Properties!A$1:CB$87,Formula!J94,53))</f>
        <v>10051.650000000001</v>
      </c>
      <c r="EX94" s="39">
        <f>VARP(IF(INDEX(Properties!A$1:CB$87,Formula!B94,53)&lt;&gt;"",INDEX(Properties!A$1:CB$87,Formula!B94,53)),IF(INDEX(Properties!A$1:CB$87,Formula!D94,53)&lt;&gt;"",INDEX(Properties!A$1:CB$87,Formula!D94,53)),IF(INDEX(Properties!A$1:CB$87,Formula!F94,53)&lt;&gt;"",INDEX(Properties!A$1:CB$87,Formula!F94,53)),IF(INDEX(Properties!A$1:CB$87,Formula!H94,53)&lt;&gt;"",INDEX(Properties!A$1:CB$87,Formula!H94,53)),IF(INDEX(Properties!A$1:CB$87,Formula!J94,53)&lt;&gt;"",INDEX(Properties!A$1:CB$87,Formula!J94,53)))</f>
        <v>646827.51639999996</v>
      </c>
      <c r="EY94" s="39">
        <f>MAX(INDEX(Properties!A$1:CB$87,Formula!B94,53),INDEX(Properties!A$1:CB$87,Formula!D94,53),INDEX(Properties!A$1:CB$87,Formula!F94,53),INDEX(Properties!A$1:CB$87,Formula!H94,53),INDEX(Properties!A$1:CB$87,Formula!J94,53))</f>
        <v>1933.15</v>
      </c>
      <c r="EZ94" s="39">
        <f>MIN(IF(INDEX(Properties!A$1:CB$87,Formula!B94,53)=0,10^6,INDEX(Properties!A$1:CB$87,Formula!B94,53)),IF(INDEX(Properties!A$1:CB$87,Formula!D94,53)=0,10^6,INDEX(Properties!A$1:CB$87,Formula!D94,53)),IF(INDEX(Properties!A$1:CB$87,Formula!F94,53)=0,10^6,INDEX(Properties!A$1:CB$87,Formula!F94,53)),IF(INDEX(Properties!A$1:CB$87,Formula!H94,53)=0,10^6,INDEX(Properties!A$1:CB$87,Formula!H94,53)),IF(INDEX(Properties!A$1:CB$87,Formula!J94,53)=0,10^6,INDEX(Properties!A$1:CB$87,Formula!J94,53)))</f>
        <v>54.749999999999972</v>
      </c>
      <c r="FA94" s="39">
        <f t="shared" si="57"/>
        <v>1878.4</v>
      </c>
      <c r="FB94" s="54">
        <f>((Formula!C94)/(Formula!C94+Formula!E94+Formula!G94+Formula!I94+Formula!K94))*(INDEX(Properties!A$1:CB$87,Formula!B94,54))+((Formula!E94)/(Formula!C94+Formula!E94+Formula!G94+Formula!I94+Formula!K94))*(INDEX(Properties!A$1:CB$87,Formula!D94,54))+((Formula!G94)/(Formula!C94+Formula!E94+Formula!G94+Formula!I94+Formula!K94))*(INDEX(Properties!A$1:CB$87,Formula!F94,54))+((Formula!I94)/(Formula!C94+Formula!E94+Formula!G94+Formula!I94+Formula!K94))*(INDEX(Properties!A$1:CB$87,Formula!H94,54))+((Formula!K94)/(Formula!C94+Formula!E94+Formula!G94+Formula!I94+Formula!K94))*(INDEX(Properties!A$1:CB$87,Formula!J94,54))</f>
        <v>1480.0590909090911</v>
      </c>
      <c r="FC94" s="54">
        <f>Formula!C94*(INDEX(Properties!A$1:CB$87,Formula!B94,54))+Formula!E94*(INDEX(Properties!A$1:CB$87,Formula!D94,54))+Formula!G94*(INDEX(Properties!A$1:CB$87,Formula!F94,54))+Formula!I94*(INDEX(Properties!A$1:CB$87,Formula!H94,54))+Formula!K94*(INDEX(Properties!A$1:CB$87,Formula!J94,54))</f>
        <v>16280.650000000001</v>
      </c>
      <c r="FD94" s="54">
        <f>VARP(IF(INDEX(Properties!A$1:CB$87,Formula!B94,54)&lt;&gt;"",INDEX(Properties!A$1:CB$87,Formula!B94,54)),IF(INDEX(Properties!A$1:CB$87,Formula!D94,54)&lt;&gt;"",INDEX(Properties!A$1:CB$87,Formula!D94,54)),IF(INDEX(Properties!A$1:CB$87,Formula!F94,54)&lt;&gt;"",INDEX(Properties!A$1:CB$87,Formula!F94,54)),IF(INDEX(Properties!A$1:CB$87,Formula!H94,54)&lt;&gt;"",INDEX(Properties!A$1:CB$87,Formula!H94,54)),IF(INDEX(Properties!A$1:CB$87,Formula!J94,54)&lt;&gt;"",INDEX(Properties!A$1:CB$87,Formula!J94,54)))</f>
        <v>1952674.0236000004</v>
      </c>
      <c r="FE94" s="54">
        <f>MAX(INDEX(Properties!A$1:CB$87,Formula!B94,54),INDEX(Properties!A$1:CB$87,Formula!D94,54),INDEX(Properties!A$1:CB$87,Formula!F94,54),INDEX(Properties!A$1:CB$87,Formula!H94,54),INDEX(Properties!A$1:CB$87,Formula!J94,54))</f>
        <v>3560.15</v>
      </c>
      <c r="FF94" s="54">
        <f>MIN(IF(INDEX(Properties!A$1:CB$87,Formula!B94,54)=0,10^6,INDEX(Properties!A$1:CB$87,Formula!B94,54)),IF(INDEX(Properties!A$1:CB$87,Formula!D94,54)=0,10^6,INDEX(Properties!A$1:CB$87,Formula!D94,54)),IF(INDEX(Properties!A$1:CB$87,Formula!F94,54)=0,10^6,INDEX(Properties!A$1:CB$87,Formula!F94,54)),IF(INDEX(Properties!A$1:CB$87,Formula!H94,54)=0,10^6,INDEX(Properties!A$1:CB$87,Formula!H94,54)),IF(INDEX(Properties!A$1:CB$87,Formula!J94,54)=0,10^6,INDEX(Properties!A$1:CB$87,Formula!J94,54)))</f>
        <v>90.149999999999977</v>
      </c>
      <c r="FG94" s="54">
        <f t="shared" si="58"/>
        <v>3470</v>
      </c>
      <c r="FH94" s="69">
        <f>((Formula!C94)/(Formula!C94+Formula!E94+Formula!G94+Formula!I94+Formula!K94))*(INDEX(Properties!A$1:CB$87,Formula!B94,55))+((Formula!E94)/(Formula!C94+Formula!E94+Formula!G94+Formula!I94+Formula!K94))*(INDEX(Properties!A$1:CB$87,Formula!D94,55))+((Formula!G94)/(Formula!C94+Formula!E94+Formula!G94+Formula!I94+Formula!K94))*(INDEX(Properties!A$1:CB$87,Formula!F94,55))+((Formula!I94)/(Formula!C94+Formula!E94+Formula!G94+Formula!I94+Formula!K94))*(INDEX(Properties!A$1:CB$87,Formula!H94,55))+((Formula!K94)/(Formula!C94+Formula!E94+Formula!G94+Formula!I94+Formula!K94))*(INDEX(Properties!A$1:CB$87,Formula!J94,55))</f>
        <v>1.4015590909090909</v>
      </c>
      <c r="FI94" s="69">
        <f>Formula!C94*(INDEX(Properties!A$1:CB$87,Formula!B94,55))+Formula!E94*(INDEX(Properties!A$1:CB$87,Formula!D94,54))+Formula!G94*(INDEX(Properties!A$1:CB$87,Formula!F94,55))+Formula!I94*(INDEX(Properties!A$1:CB$87,Formula!H94,55))+Formula!K94*(INDEX(Properties!A$1:CB$87,Formula!J94,55))</f>
        <v>3571.0271500000003</v>
      </c>
      <c r="FJ94" s="69">
        <f>VARP(IF(INDEX(Properties!A$1:CB$87,Formula!B94,55)&lt;&gt;"",INDEX(Properties!A$1:CB$87,Formula!B94,55)),IF(INDEX(Properties!A$1:CB$87,Formula!D94,55)&lt;&gt;"",INDEX(Properties!A$1:CB$87,Formula!D94,55)),IF(INDEX(Properties!A$1:CB$87,Formula!F94,55)&lt;&gt;"",INDEX(Properties!A$1:CB$87,Formula!F94,55)),IF(INDEX(Properties!A$1:CB$87,Formula!H94,55)&lt;&gt;"",INDEX(Properties!A$1:CB$87,Formula!H94,55)),IF(INDEX(Properties!A$1:CB$87,Formula!J94,55)&lt;&gt;"",INDEX(Properties!A$1:CB$87,Formula!J94,55)))</f>
        <v>2.8517810791840001</v>
      </c>
      <c r="FK94" s="69">
        <f>MAX(INDEX(Properties!A$1:CB$87,Formula!B94,55),INDEX(Properties!A$1:CB$87,Formula!D94,55),INDEX(Properties!A$1:CB$87,Formula!F94,55),INDEX(Properties!A$1:CB$87,Formula!H94,55),INDEX(Properties!A$1:CB$87,Formula!J94,55))</f>
        <v>4.54</v>
      </c>
      <c r="FL94" s="69">
        <f>MIN(IF(INDEX(Properties!A$1:CB$87,Formula!B94,55)=0,10^6,INDEX(Properties!A$1:CB$87,Formula!B94,55)),IF(INDEX(Properties!A$1:CB$87,Formula!D94,55)=0,10^6,INDEX(Properties!A$1:CB$87,Formula!D94,55)),IF(INDEX(Properties!A$1:CB$87,Formula!F94,55)=0,10^6,INDEX(Properties!A$1:CB$87,Formula!F94,55)),IF(INDEX(Properties!A$1:CB$87,Formula!H94,55)=0,10^6,INDEX(Properties!A$1:CB$87,Formula!H94,55)),IF(INDEX(Properties!A$1:CB$87,Formula!J94,55)=0,10^6,INDEX(Properties!A$1:CB$87,Formula!J94,55)))</f>
        <v>1.4300000000000001E-3</v>
      </c>
      <c r="FM94" s="69">
        <f t="shared" si="59"/>
        <v>4.53857</v>
      </c>
      <c r="FN94" s="42">
        <f>((Formula!C94)/(Formula!C94+Formula!E94+Formula!G94+Formula!I94+Formula!K94))*(INDEX(Properties!A$1:CB$87,Formula!B94,56))+((Formula!E94)/(Formula!C94+Formula!E94+Formula!G94+Formula!I94+Formula!K94))*(INDEX(Properties!A$1:CB$87,Formula!D94,56))+((Formula!G94)/(Formula!C94+Formula!E94+Formula!G94+Formula!I94+Formula!K94))*(INDEX(Properties!A$1:CB$87,Formula!F94,56))+((Formula!I94)/(Formula!C94+Formula!E94+Formula!G94+Formula!I94+Formula!K94))*(INDEX(Properties!A$1:CB$87,Formula!H94,56))+((Formula!K94)/(Formula!C94+Formula!E94+Formula!G94+Formula!I94+Formula!K94))*(INDEX(Properties!A$1:CB$87,Formula!J94,56))</f>
        <v>0.780909090909091</v>
      </c>
      <c r="FO94" s="42">
        <f>Formula!C94*(INDEX(Properties!A$1:CB$87,Formula!B94,56))+Formula!E94*(INDEX(Properties!A$1:CB$87,Formula!D94,56))+Formula!G94*(INDEX(Properties!A$1:CB$87,Formula!F94,56))+Formula!I94*(INDEX(Properties!A$1:CB$87,Formula!H94,56))+Formula!K94*(INDEX(Properties!A$1:CB$87,Formula!J94,56))</f>
        <v>8.59</v>
      </c>
      <c r="FP94" s="42">
        <f>VARP(IF(INDEX(Properties!A$1:CB$87,Formula!B94,56)&lt;&gt;"",INDEX(Properties!A$1:CB$87,Formula!B94,56)),IF(INDEX(Properties!A$1:CB$87,Formula!D94,56)&lt;&gt;"",INDEX(Properties!A$1:CB$87,Formula!D94,56)),IF(INDEX(Properties!A$1:CB$87,Formula!F94,56)&lt;&gt;"",INDEX(Properties!A$1:CB$87,Formula!F94,56)),IF(INDEX(Properties!A$1:CB$87,Formula!H94,56)&lt;&gt;"",INDEX(Properties!A$1:CB$87,Formula!H94,56)),IF(INDEX(Properties!A$1:CB$87,Formula!J94,56)&lt;&gt;"",INDEX(Properties!A$1:CB$87,Formula!J94,56)))</f>
        <v>9.4424000000000133E-2</v>
      </c>
      <c r="FQ94" s="42">
        <f>MAX(INDEX(Properties!A$1:CB$87,Formula!B94,56),INDEX(Properties!A$1:CB$87,Formula!D94,56),INDEX(Properties!A$1:CB$87,Formula!F94,56),INDEX(Properties!A$1:CB$87,Formula!H94,56),INDEX(Properties!A$1:CB$87,Formula!J94,56))</f>
        <v>0.92</v>
      </c>
      <c r="FR94" s="42">
        <f>MIN(IF(INDEX(Properties!A$1:CB$87,Formula!B94,56)=0,10^6,INDEX(Properties!A$1:CB$87,Formula!B94,56)),IF(INDEX(Properties!A$1:CB$87,Formula!D94,56)=0,10^6,INDEX(Properties!A$1:CB$87,Formula!D94,56)),IF(INDEX(Properties!A$1:CB$87,Formula!F94,56)=0,10^6,INDEX(Properties!A$1:CB$87,Formula!F94,56)),IF(INDEX(Properties!A$1:CB$87,Formula!H94,56)=0,10^6,INDEX(Properties!A$1:CB$87,Formula!H94,56)),IF(INDEX(Properties!A$1:CB$87,Formula!J94,56)=0,10^6,INDEX(Properties!A$1:CB$87,Formula!J94,56)))</f>
        <v>0.52</v>
      </c>
      <c r="FS94" s="42">
        <f t="shared" si="60"/>
        <v>0.4</v>
      </c>
      <c r="FT94" s="60">
        <f>((Formula!C94)/(Formula!C94+Formula!E94+Formula!G94+Formula!I94+Formula!K94))*(INDEX(Properties!A$1:CB$87,Formula!B94,57))+((Formula!E94)/(Formula!C94+Formula!E94+Formula!G94+Formula!I94+Formula!K94))*(INDEX(Properties!A$1:CB$87,Formula!D94,57))+((Formula!G94)/(Formula!C94+Formula!E94+Formula!G94+Formula!I94+Formula!K94))*(INDEX(Properties!A$1:CB$87,Formula!F94,57))+((Formula!I94)/(Formula!C94+Formula!E94+Formula!G94+Formula!I94+Formula!K94))*(INDEX(Properties!A$1:CB$87,Formula!H94,57))+((Formula!K94)/(Formula!C94+Formula!E94+Formula!G94+Formula!I94+Formula!K94))*(INDEX(Properties!A$1:CB$87,Formula!J94,57))</f>
        <v>20.663904545454546</v>
      </c>
      <c r="FU94" s="60">
        <f>Formula!C94*(INDEX(Properties!A$1:CB$87,Formula!B94,57))+Formula!E94*(INDEX(Properties!A$1:CB$87,Formula!D94,57))+Formula!G94*(INDEX(Properties!A$1:CB$87,Formula!F94,57))+Formula!I94*(INDEX(Properties!A$1:CB$87,Formula!H94,57))+Formula!K94*(INDEX(Properties!A$1:CB$87,Formula!J94,57))</f>
        <v>227.30295000000001</v>
      </c>
      <c r="FV94" s="60">
        <f>VARP(IF(INDEX(Properties!A$1:CB$87,Formula!B94,57)&lt;&gt;"",INDEX(Properties!A$1:CB$87,Formula!B94,57)),IF(INDEX(Properties!A$1:CB$87,Formula!D94,57)&lt;&gt;"",INDEX(Properties!A$1:CB$87,Formula!D94,57)),IF(INDEX(Properties!A$1:CB$87,Formula!F94,57)&lt;&gt;"",INDEX(Properties!A$1:CB$87,Formula!F94,57)),IF(INDEX(Properties!A$1:CB$87,Formula!H94,57)&lt;&gt;"",INDEX(Properties!A$1:CB$87,Formula!H94,57)),IF(INDEX(Properties!A$1:CB$87,Formula!J94,57)&lt;&gt;"",INDEX(Properties!A$1:CB$87,Formula!J94,57)))</f>
        <v>349.81943472129615</v>
      </c>
      <c r="FW94" s="60">
        <f>MAX(INDEX(Properties!A$1:CB$87,Formula!B94,57),INDEX(Properties!A$1:CB$87,Formula!D94,57),INDEX(Properties!A$1:CB$87,Formula!F94,57),INDEX(Properties!A$1:CB$87,Formula!H94,57),INDEX(Properties!A$1:CB$87,Formula!J94,57))</f>
        <v>50.55</v>
      </c>
      <c r="FX94" s="60">
        <f>MIN(IF(INDEX(Properties!A$1:CB$87,Formula!B94,57)=0,10^6,INDEX(Properties!A$1:CB$87,Formula!B94,57)),IF(INDEX(Properties!A$1:CB$87,Formula!D94,57)=0,10^6,INDEX(Properties!A$1:CB$87,Formula!D94,57)),IF(INDEX(Properties!A$1:CB$87,Formula!F94,57)=0,10^6,INDEX(Properties!A$1:CB$87,Formula!F94,57)),IF(INDEX(Properties!A$1:CB$87,Formula!H94,57)=0,10^6,INDEX(Properties!A$1:CB$87,Formula!H94,57)),IF(INDEX(Properties!A$1:CB$87,Formula!J94,57)=0,10^6,INDEX(Properties!A$1:CB$87,Formula!J94,57)))</f>
        <v>0.22259000000000001</v>
      </c>
      <c r="FY94" s="60">
        <f t="shared" si="61"/>
        <v>50.32741</v>
      </c>
      <c r="FZ94" s="72">
        <f>((Formula!C94)/(Formula!C94+Formula!E94+Formula!G94+Formula!I94+Formula!K94))*(INDEX(Properties!A$1:CB$87,Formula!B94,60))+((Formula!E94)/(Formula!C94+Formula!E94+Formula!G94+Formula!I94+Formula!K94))*(INDEX(Properties!A$1:CB$87,Formula!D94,60))+((Formula!G94)/(Formula!C94+Formula!E94+Formula!G94+Formula!I94+Formula!K94))*(INDEX(Properties!A$1:CB$87,Formula!F94,60))+((Formula!I94)/(Formula!C94+Formula!E94+Formula!G94+Formula!I94+Formula!K94))*(INDEX(Properties!A$1:CB$87,Formula!H94,60))+((Formula!K94)/(Formula!C94+Formula!E94+Formula!G94+Formula!I94+Formula!K94))*(INDEX(Properties!A$1:CB$87,Formula!J94,60))</f>
        <v>74.003063636363649</v>
      </c>
      <c r="GA94" s="72">
        <f>Formula!C94*(INDEX(Properties!A$1:CB$87,Formula!B94,60))+Formula!E94*(INDEX(Properties!A$1:CB$87,Formula!D94,60))+Formula!G94*(INDEX(Properties!A$1:CB$87,Formula!F94,60))+Formula!I94*(INDEX(Properties!A$1:CB$87,Formula!H94,60))+Formula!K94*(INDEX(Properties!A$1:CB$87,Formula!J94,60))</f>
        <v>814.03369999999995</v>
      </c>
      <c r="GB94" s="72">
        <f>VARP(IF(INDEX(Properties!A$1:CB$87,Formula!B94,60)&lt;&gt;"",INDEX(Properties!A$1:CB$87,Formula!B94,60)),IF(INDEX(Properties!A$1:CB$87,Formula!D94,60)&lt;&gt;"",INDEX(Properties!A$1:CB$87,Formula!D94,60)),IF(INDEX(Properties!A$1:CB$87,Formula!F94,60)&lt;&gt;"",INDEX(Properties!A$1:CB$87,Formula!F94,60)),IF(INDEX(Properties!A$1:CB$87,Formula!H94,60)&lt;&gt;"",INDEX(Properties!A$1:CB$87,Formula!H94,60)),IF(INDEX(Properties!A$1:CB$87,Formula!J94,60)&lt;&gt;"",INDEX(Properties!A$1:CB$87,Formula!J94,60)))</f>
        <v>7002.8904243244151</v>
      </c>
      <c r="GC94" s="72">
        <f>MAX(INDEX(Properties!A$1:CB$87,Formula!B94,60),INDEX(Properties!A$1:CB$87,Formula!D94,60),INDEX(Properties!A$1:CB$87,Formula!F94,60),INDEX(Properties!A$1:CB$87,Formula!H94,60),INDEX(Properties!A$1:CB$87,Formula!J94,60))</f>
        <v>200</v>
      </c>
      <c r="GD94" s="72">
        <f>MIN(IF(INDEX(Properties!A$1:CB$87,Formula!B94,60)=0,10^6,INDEX(Properties!A$1:CB$87,Formula!B94,60)),IF(INDEX(Properties!A$1:CB$87,Formula!D94,60)=0,10^6,INDEX(Properties!A$1:CB$87,Formula!D94,60)),IF(INDEX(Properties!A$1:CB$87,Formula!F94,60)=0,10^6,INDEX(Properties!A$1:CB$87,Formula!F94,60)),IF(INDEX(Properties!A$1:CB$87,Formula!H94,60)=0,10^6,INDEX(Properties!A$1:CB$87,Formula!H94,60)),IF(INDEX(Properties!A$1:CB$87,Formula!J94,60)=0,10^6,INDEX(Properties!A$1:CB$87,Formula!J94,60)))</f>
        <v>2.674E-2</v>
      </c>
      <c r="GE94" s="72">
        <f t="shared" si="62"/>
        <v>199.97326000000001</v>
      </c>
      <c r="GF94" s="51">
        <f>((Formula!C94)/(Formula!C94+Formula!E94+Formula!G94+Formula!I94+Formula!K94))*(INDEX(Properties!A$1:CB$87,Formula!B94,62))+((Formula!E94)/(Formula!C94+Formula!E94+Formula!G94+Formula!I94+Formula!K94))*(INDEX(Properties!A$1:CB$87,Formula!D94,62))+((Formula!G94)/(Formula!C94+Formula!E94+Formula!G94+Formula!I94+Formula!K94))*(INDEX(Properties!A$1:CB$87,Formula!F94,62))+((Formula!I94)/(Formula!C94+Formula!E94+Formula!G94+Formula!I94+Formula!K94))*(INDEX(Properties!A$1:CB$87,Formula!H94,62))+((Formula!K94)/(Formula!C94+Formula!E94+Formula!G94+Formula!I94+Formula!K94))*(INDEX(Properties!A$1:CB$87,Formula!J94,62))</f>
        <v>3.4827272727272729</v>
      </c>
      <c r="GG94" s="51">
        <f>Formula!C94*(INDEX(Properties!A$1:CB$87,Formula!B94,62))+Formula!E94*(INDEX(Properties!A$1:CB$87,Formula!D94,62))+Formula!G94*(INDEX(Properties!A$1:CB$87,Formula!F94,62))+Formula!I94*(INDEX(Properties!A$1:CB$87,Formula!H94,62))+Formula!K94*(INDEX(Properties!A$1:CB$87,Formula!J94,62))</f>
        <v>38.31</v>
      </c>
      <c r="GH94" s="51">
        <f>VARP(IF(INDEX(Properties!A$1:CB$87,Formula!B94,62)&lt;&gt;"",INDEX(Properties!A$1:CB$87,Formula!B94,62)),IF(INDEX(Properties!A$1:CB$87,Formula!D94,62)&lt;&gt;"",INDEX(Properties!A$1:CB$87,Formula!D94,62)),IF(INDEX(Properties!A$1:CB$87,Formula!F94,62)&lt;&gt;"",INDEX(Properties!A$1:CB$87,Formula!F94,62)),IF(INDEX(Properties!A$1:CB$87,Formula!H94,62)&lt;&gt;"",INDEX(Properties!A$1:CB$87,Formula!H94,62)),IF(INDEX(Properties!A$1:CB$87,Formula!J94,62)&lt;&gt;"",INDEX(Properties!A$1:CB$87,Formula!J94,62)))</f>
        <v>3.2689360000000001</v>
      </c>
      <c r="GI94" s="51">
        <f>MAX(INDEX(Properties!A$1:CB$87,Formula!B94,62),INDEX(Properties!A$1:CB$87,Formula!D94,62),INDEX(Properties!A$1:CB$87,Formula!F94,62),INDEX(Properties!A$1:CB$87,Formula!H94,62),INDEX(Properties!A$1:CB$87,Formula!J94,62))</f>
        <v>4.8499999999999996</v>
      </c>
      <c r="GJ94" s="51">
        <f>MIN(IF(INDEX(Properties!A$1:CB$87,Formula!B94,62)=0,10^6,INDEX(Properties!A$1:CB$87,Formula!B94,62)),IF(INDEX(Properties!A$1:CB$87,Formula!D94,62)=0,10^6,INDEX(Properties!A$1:CB$87,Formula!D94,62)),IF(INDEX(Properties!A$1:CB$87,Formula!F94,62)=0,10^6,INDEX(Properties!A$1:CB$87,Formula!F94,62)),IF(INDEX(Properties!A$1:CB$87,Formula!H94,62)=0,10^6,INDEX(Properties!A$1:CB$87,Formula!H94,62)),IF(INDEX(Properties!A$1:CB$87,Formula!J94,62)=0,10^6,INDEX(Properties!A$1:CB$87,Formula!J94,62)))</f>
        <v>1.84</v>
      </c>
      <c r="GK94" s="51">
        <f t="shared" si="63"/>
        <v>3.01</v>
      </c>
      <c r="GL94" s="51">
        <f>Formula!P94</f>
        <v>15</v>
      </c>
      <c r="GM94" s="57">
        <f>Formula!O94</f>
        <v>2</v>
      </c>
      <c r="GN94" s="51">
        <f>Formula!N94</f>
        <v>0.02</v>
      </c>
    </row>
    <row r="95" spans="1:196" x14ac:dyDescent="0.3">
      <c r="A95" s="84" t="str">
        <f>Formula!A95</f>
        <v>Ba2ZnMoO6</v>
      </c>
      <c r="B95" s="89">
        <f>((Formula!C95)/(Formula!C95+Formula!E95+Formula!G95+Formula!I95+Formula!K95))*(INDEX(Properties!A$1:CB$87,Formula!B95,3))+((Formula!E95)/(Formula!C95+Formula!E95+Formula!G95+Formula!I95+Formula!K95))*(INDEX(Properties!A$1:CB$87,Formula!D95,3))+((Formula!G95)/(Formula!C95+Formula!E95+Formula!G95+Formula!I95+Formula!K95))*(INDEX(Properties!A$1:CB$87,Formula!F95,3))+((Formula!I95)/(Formula!C95+Formula!E95+Formula!G95+Formula!I95+Formula!K95))*(INDEX(Properties!A$1:CB$87,Formula!H95,3))+((Formula!K95)/(Formula!C95+Formula!E95+Formula!G95+Formula!I95+Formula!K95))*(INDEX(Properties!A$1:CB$87,Formula!J95,3))</f>
        <v>53.198039999999999</v>
      </c>
      <c r="C95" s="85">
        <f>Formula!C95*(INDEX(Properties!A$1:CB$87,Formula!B95,3))+Formula!E95*(INDEX(Properties!A$1:CB$87,Formula!D95,3))+Formula!G95*(INDEX(Properties!A$1:CB$87,Formula!F95,3))+Formula!I95*(INDEX(Properties!A$1:CB$87,Formula!H95,3))+Formula!K95*(INDEX(Properties!A$1:CB$87,Formula!J95,3))</f>
        <v>531.98039999999992</v>
      </c>
      <c r="D95" s="85">
        <f>VARP(IF(INDEX(Properties!A$1:CB$87,Formula!B95,3)&lt;&gt;"",INDEX(Properties!A$1:CB$87,Formula!B95,3)),IF(INDEX(Properties!A$1:CB$87,Formula!D95,3)&lt;&gt;"",INDEX(Properties!A$1:CB$87,Formula!D95,3)),IF(INDEX(Properties!A$1:CB$87,Formula!F95,3)&lt;&gt;"",INDEX(Properties!A$1:CB$87,Formula!F95,3)),IF(INDEX(Properties!A$1:CB$87,Formula!H95,3)&lt;&gt;"",INDEX(Properties!A$1:CB$87,Formula!H95,3)),IF(INDEX(Properties!A$1:CB$87,Formula!J95,3)&lt;&gt;"",INDEX(Properties!A$1:CB$87,Formula!J95,3)))</f>
        <v>2558.7805234336015</v>
      </c>
      <c r="E95" s="85">
        <f>MAX(INDEX(Properties!A$1:CB$87,Formula!B95,3),INDEX(Properties!A$1:CB$87,Formula!D95,3),INDEX(Properties!A$1:CB$87,Formula!F95,3),INDEX(Properties!A$1:CB$87,Formula!H95,3),INDEX(Properties!A$1:CB$87,Formula!J95,3))</f>
        <v>137.327</v>
      </c>
      <c r="F95" s="85">
        <f>MIN(IF(INDEX(Properties!A$1:CB$87,Formula!B95,3)=0,10^6,INDEX(Properties!A$1:CB$87,Formula!B95,3)),IF(INDEX(Properties!A$1:CB$87,Formula!D95,3)=0,10^6,INDEX(Properties!A$1:CB$87,Formula!D95,3)),IF(INDEX(Properties!A$1:CB$87,Formula!F95,3)=0,10^6,INDEX(Properties!A$1:CB$87,Formula!F95,3)),IF(INDEX(Properties!A$1:CB$87,Formula!H95,3)=0,10^6,INDEX(Properties!A$1:CB$87,Formula!H95,3)),IF(INDEX(Properties!A$1:CB$87,Formula!J95,3)=0,10^6,INDEX(Properties!A$1:CB$87,Formula!J95,3)))</f>
        <v>15.9994</v>
      </c>
      <c r="G95" s="85">
        <f t="shared" si="32"/>
        <v>121.3276</v>
      </c>
      <c r="H95" s="87">
        <f>((Formula!C95)/(Formula!C95+Formula!E95+Formula!G95+Formula!I95+Formula!K95))*(INDEX(Properties!A$1:CB$87,Formula!B95,4))+((Formula!E95)/(Formula!C95+Formula!E95+Formula!G95+Formula!I95+Formula!K95))*(INDEX(Properties!A$1:CB$87,Formula!D95,4))+((Formula!G95)/(Formula!C95+Formula!E95+Formula!G95+Formula!I95+Formula!K95))*(INDEX(Properties!A$1:CB$87,Formula!F95,4))+((Formula!I95)/(Formula!C95+Formula!E95+Formula!G95+Formula!I95+Formula!K95))*(INDEX(Properties!A$1:CB$87,Formula!H95,4))+((Formula!K95)/(Formula!C95+Formula!E95+Formula!G95+Formula!I95+Formula!K95))*(INDEX(Properties!A$1:CB$87,Formula!J95,4))</f>
        <v>23.200000000000003</v>
      </c>
      <c r="I95" s="87">
        <f>Formula!C95*(INDEX(Properties!A$1:CB$87,Formula!B95,4))+Formula!E95*(INDEX(Properties!A$1:CB$87,Formula!D95,4))+Formula!G95*(INDEX(Properties!A$1:CB$87,Formula!F95,4))+Formula!I95*(INDEX(Properties!A$1:CB$87,Formula!H95,4))+Formula!K95*(INDEX(Properties!A$1:CB$87,Formula!J95,4))</f>
        <v>232</v>
      </c>
      <c r="J95" s="87">
        <f>VARP(IF(INDEX(Properties!A$1:CB$87,Formula!B95,4)&lt;&gt;"",INDEX(Properties!A$1:CB$87,Formula!B95,4)),IF(INDEX(Properties!A$1:CB$87,Formula!D95,4)&lt;&gt;"",INDEX(Properties!A$1:CB$87,Formula!D95,4)),IF(INDEX(Properties!A$1:CB$87,Formula!F95,4)&lt;&gt;"",INDEX(Properties!A$1:CB$87,Formula!F95,4)),IF(INDEX(Properties!A$1:CB$87,Formula!H95,4)&lt;&gt;"",INDEX(Properties!A$1:CB$87,Formula!H95,4)),IF(INDEX(Properties!A$1:CB$87,Formula!J95,4)&lt;&gt;"",INDEX(Properties!A$1:CB$87,Formula!J95,4)))</f>
        <v>432.96</v>
      </c>
      <c r="K95" s="87">
        <f>MAX(INDEX(Properties!A$1:CB$87,Formula!B95,4),INDEX(Properties!A$1:CB$87,Formula!D95,4),INDEX(Properties!A$1:CB$87,Formula!F95,4),INDEX(Properties!A$1:CB$87,Formula!H95,4),INDEX(Properties!A$1:CB$87,Formula!J95,4))</f>
        <v>56</v>
      </c>
      <c r="L95" s="87">
        <f>MIN(IF(INDEX(Properties!A$1:CB$87,Formula!B95,4)=0,10^6,INDEX(Properties!A$1:CB$87,Formula!B95,4)),IF(INDEX(Properties!A$1:CB$87,Formula!D95,4)=0,10^6,INDEX(Properties!A$1:CB$87,Formula!D95,4)),IF(INDEX(Properties!A$1:CB$87,Formula!F95,4)=0,10^6,INDEX(Properties!A$1:CB$87,Formula!F95,4)),IF(INDEX(Properties!A$1:CB$87,Formula!H95,4)=0,10^6,INDEX(Properties!A$1:CB$87,Formula!H95,4)),IF(INDEX(Properties!A$1:CB$87,Formula!J95,4)=0,10^6,INDEX(Properties!A$1:CB$87,Formula!J95,4)))</f>
        <v>8</v>
      </c>
      <c r="M95" s="87">
        <f t="shared" si="33"/>
        <v>48</v>
      </c>
      <c r="N95" s="89">
        <f>((Formula!C95)/(Formula!C95+Formula!E95+Formula!G95+Formula!I95+Formula!K95))*(INDEX(Properties!A$1:CB$87,Formula!B95,5))+((Formula!E95)/(Formula!C95+Formula!E95+Formula!G95+Formula!I95+Formula!K95))*(INDEX(Properties!A$1:CB$87,Formula!D95,5))+((Formula!G95)/(Formula!C95+Formula!E95+Formula!G95+Formula!I95+Formula!K95))*(INDEX(Properties!A$1:CB$87,Formula!F95,5))+((Formula!I95)/(Formula!C95+Formula!E95+Formula!G95+Formula!I95+Formula!K95))*(INDEX(Properties!A$1:CB$87,Formula!H95,5))+((Formula!K95)/(Formula!C95+Formula!E95+Formula!G95+Formula!I95+Formula!K95))*(INDEX(Properties!A$1:CB$87,Formula!J95,5))</f>
        <v>3.3</v>
      </c>
      <c r="O95" s="89">
        <f>Formula!C95*(INDEX(Properties!A$1:CB$87,Formula!B95,5))+Formula!E95*(INDEX(Properties!A$1:CB$87,Formula!D95,5))+Formula!G95*(INDEX(Properties!A$1:CB$87,Formula!F95,5))+Formula!I95*(INDEX(Properties!A$1:CB$87,Formula!H95,5))+Formula!K95*(INDEX(Properties!A$1:CB$87,Formula!J95,5))</f>
        <v>33</v>
      </c>
      <c r="P95" s="89">
        <f>VARP(IF(INDEX(Properties!A$1:CB$87,Formula!B95,5)&lt;&gt;"",INDEX(Properties!A$1:CB$87,Formula!B95,5)),IF(INDEX(Properties!A$1:CB$87,Formula!D95,5)&lt;&gt;"",INDEX(Properties!A$1:CB$87,Formula!D95,5)),IF(INDEX(Properties!A$1:CB$87,Formula!F95,5)&lt;&gt;"",INDEX(Properties!A$1:CB$87,Formula!F95,5)),IF(INDEX(Properties!A$1:CB$87,Formula!H95,5)&lt;&gt;"",INDEX(Properties!A$1:CB$87,Formula!H95,5)),IF(INDEX(Properties!A$1:CB$87,Formula!J95,5)&lt;&gt;"",INDEX(Properties!A$1:CB$87,Formula!J95,5)))</f>
        <v>4.6399999999999997</v>
      </c>
      <c r="Q95" s="89">
        <f>MAX(INDEX(Properties!A$1:CB$87,Formula!B95,5),INDEX(Properties!A$1:CB$87,Formula!D95,5),INDEX(Properties!A$1:CB$87,Formula!F95,5),INDEX(Properties!A$1:CB$87,Formula!H95,5),INDEX(Properties!A$1:CB$87,Formula!J95,5))</f>
        <v>6</v>
      </c>
      <c r="R95" s="89">
        <f>MIN(IF(INDEX(Properties!A$1:CB$87,Formula!B95,5)=0,10^6,INDEX(Properties!A$1:CB$87,Formula!B95,5)),IF(INDEX(Properties!A$1:CB$87,Formula!D95,5)=0,10^6,INDEX(Properties!A$1:CB$87,Formula!D95,5)),IF(INDEX(Properties!A$1:CB$87,Formula!F95,5)=0,10^6,INDEX(Properties!A$1:CB$87,Formula!F95,5)),IF(INDEX(Properties!A$1:CB$87,Formula!H95,5)=0,10^6,INDEX(Properties!A$1:CB$87,Formula!H95,5)),IF(INDEX(Properties!A$1:CB$87,Formula!J95,5)=0,10^6,INDEX(Properties!A$1:CB$87,Formula!J95,5)))</f>
        <v>2</v>
      </c>
      <c r="S95" s="89">
        <f t="shared" si="34"/>
        <v>4</v>
      </c>
      <c r="T95" s="60">
        <f>((Formula!C95)/(Formula!C95+Formula!E95+Formula!G95+Formula!I95+Formula!K95))*(INDEX(Properties!A$1:CB$87,Formula!B95,6))+((Formula!E95)/(Formula!C95+Formula!E95+Formula!G95+Formula!I95+Formula!K95))*(INDEX(Properties!A$1:CB$87,Formula!D95,6))+((Formula!G95)/(Formula!C95+Formula!E95+Formula!G95+Formula!I95+Formula!K95))*(INDEX(Properties!A$1:CB$87,Formula!F95,6))+((Formula!I95)/(Formula!C95+Formula!E95+Formula!G95+Formula!I95+Formula!K95))*(INDEX(Properties!A$1:CB$87,Formula!H95,6))+((Formula!K95)/(Formula!C95+Formula!E95+Formula!G95+Formula!I95+Formula!K95))*(INDEX(Properties!A$1:CB$87,Formula!J95,6))</f>
        <v>11.8</v>
      </c>
      <c r="U95" s="60">
        <f>Formula!C95*(INDEX(Properties!A$1:CB$87,Formula!B95,6))+Formula!E95*(INDEX(Properties!A$1:CB$87,Formula!D95,6))+Formula!G95*(INDEX(Properties!A$1:CB$87,Formula!F95,6))+Formula!I95*(INDEX(Properties!A$1:CB$87,Formula!H95,6))+Formula!K95*(INDEX(Properties!A$1:CB$87,Formula!J95,6))</f>
        <v>118</v>
      </c>
      <c r="V95" s="89">
        <f>VARP(IF(INDEX(Properties!A$1:CB$87,Formula!B95,6)&lt;&gt;"",INDEX(Properties!A$1:CB$87,Formula!B95,6)),IF(INDEX(Properties!A$1:CB$87,Formula!D95,6)&lt;&gt;"",INDEX(Properties!A$1:CB$87,Formula!D95,6)),IF(INDEX(Properties!A$1:CB$87,Formula!F95,6)&lt;&gt;"",INDEX(Properties!A$1:CB$87,Formula!F95,6)),IF(INDEX(Properties!A$1:CB$87,Formula!H95,6)&lt;&gt;"",INDEX(Properties!A$1:CB$87,Formula!H95,6)),IF(INDEX(Properties!A$1:CB$87,Formula!J95,6)&lt;&gt;"",INDEX(Properties!A$1:CB$87,Formula!J95,6)))</f>
        <v>36.159999999999997</v>
      </c>
      <c r="W95" s="60">
        <f>MAX(INDEX(Properties!A$1:CB$87,Formula!B95,6),INDEX(Properties!A$1:CB$87,Formula!D95,6),INDEX(Properties!A$1:CB$87,Formula!F95,6),INDEX(Properties!A$1:CB$87,Formula!H95,4),INDEX(Properties!A$1:CB$87,Formula!J95,6))</f>
        <v>12</v>
      </c>
      <c r="X95" s="60">
        <f>MIN(IF(INDEX(Properties!A$1:CB$87,Formula!B95,6)=0,10^6,INDEX(Properties!A$1:CB$87,Formula!B95,6)),IF(INDEX(Properties!A$1:CB$87,Formula!D95,6)=0,10^6,INDEX(Properties!A$1:CB$87,Formula!D95,6)),IF(INDEX(Properties!A$1:CB$87,Formula!F95,6)=0,10^6,INDEX(Properties!A$1:CB$87,Formula!F95,6)),IF(INDEX(Properties!A$1:CB$87,Formula!H95,6)=0,10^6,INDEX(Properties!A$1:CB$87,Formula!H95,6)),IF(INDEX(Properties!A$1:CB$87,Formula!J95,6)=0,10^6,INDEX(Properties!A$1:CB$87,Formula!J95,6)))</f>
        <v>2</v>
      </c>
      <c r="Y95" s="60">
        <f t="shared" si="35"/>
        <v>10</v>
      </c>
      <c r="Z95" s="72">
        <f>((Formula!C95)/(Formula!C95+Formula!E95+Formula!G95+Formula!I95+Formula!K95))*(INDEX(Properties!A$1:CB$87,Formula!B95,9))+((Formula!E95)/(Formula!C95+Formula!E95+Formula!G95+Formula!I95+Formula!K95))*(INDEX(Properties!A$1:CB$87,Formula!D95,9))+((Formula!G95)/(Formula!C95+Formula!E95+Formula!G95+Formula!I95+Formula!K95))*(INDEX(Properties!A$1:CB$87,Formula!F95,9))+((Formula!I95)/(Formula!C95+Formula!E95+Formula!G95+Formula!I95+Formula!K95))*(INDEX(Properties!A$1:CB$87,Formula!H95,9))+((Formula!K95)/(Formula!C95+Formula!E95+Formula!G95+Formula!I95+Formula!K95))*(INDEX(Properties!A$1:CB$87,Formula!J95,9))</f>
        <v>65.899999999999991</v>
      </c>
      <c r="AA95" s="72">
        <f>Formula!C95*(INDEX(Properties!A$1:CB$87,Formula!B95,9))+Formula!E95*(INDEX(Properties!A$1:CB$87,Formula!D95,9))+Formula!G95*(INDEX(Properties!A$1:CB$87,Formula!F95,9))+Formula!I95*(INDEX(Properties!A$1:CB$87,Formula!H95,9))+Formula!K95*(INDEX(Properties!A$1:CB$87,Formula!J95,9))</f>
        <v>659</v>
      </c>
      <c r="AB95" s="72">
        <f>VARP(IF(INDEX(Properties!A$1:CB$87,Formula!B95,9)&lt;&gt;"",INDEX(Properties!A$1:CB$87,Formula!B95,9)),IF(INDEX(Properties!A$1:CB$87,Formula!D95,9)&lt;&gt;"",INDEX(Properties!A$1:CB$87,Formula!D95,9)),IF(INDEX(Properties!A$1:CB$87,Formula!F95,9)&lt;&gt;"",INDEX(Properties!A$1:CB$87,Formula!F95,9)),IF(INDEX(Properties!A$1:CB$87,Formula!H95,9)&lt;&gt;"",INDEX(Properties!A$1:CB$87,Formula!H95,9)),IF(INDEX(Properties!A$1:CB$87,Formula!J95,9)&lt;&gt;"",INDEX(Properties!A$1:CB$87,Formula!J95,9)))</f>
        <v>1133.2</v>
      </c>
      <c r="AC95" s="72">
        <f>MAX(INDEX(Properties!A$1:CB$87,Formula!B95,9),INDEX(Properties!A$1:CB$87,Formula!D95,9),INDEX(Properties!A$1:CB$87,Formula!F95,9),INDEX(Properties!A$1:CB$87,Formula!H95,9),INDEX(Properties!A$1:CB$87,Formula!J95,9))</f>
        <v>87</v>
      </c>
      <c r="AD95" s="72">
        <f>MIN(IF(INDEX(Properties!A$1:CB$87,Formula!B95,9)=0,10^6,INDEX(Properties!A$1:CB$87,Formula!B95,9)),IF(INDEX(Properties!A$1:CB$87,Formula!D95,9)=0,10^6,INDEX(Properties!A$1:CB$87,Formula!D95,9)),IF(INDEX(Properties!A$1:CB$87,Formula!F95,9)=0,10^6,INDEX(Properties!A$1:CB$87,Formula!F95,9)),IF(INDEX(Properties!A$1:CB$87,Formula!H95,9)=0,10^6,INDEX(Properties!A$1:CB$87,Formula!H95,9)),IF(INDEX(Properties!A$1:CB$87,Formula!J95,9)=0,10^6,INDEX(Properties!A$1:CB$87,Formula!J95,9)))</f>
        <v>9</v>
      </c>
      <c r="AE95" s="72">
        <f t="shared" si="36"/>
        <v>78</v>
      </c>
      <c r="AF95" s="51">
        <f>((Formula!C95)/(Formula!C95+Formula!E95+Formula!G95+Formula!I95+Formula!K95))*(INDEX(Properties!A$1:CB$87,Formula!B95,10))+((Formula!E95)/(Formula!C95+Formula!E95+Formula!G95+Formula!I95+Formula!K95))*(INDEX(Properties!A$1:CB$87,Formula!D95,10))+((Formula!G95)/(Formula!C95+Formula!E95+Formula!G95+Formula!I95+Formula!K95))*(INDEX(Properties!A$1:CB$87,Formula!F95,10))+((Formula!I95)/(Formula!C95+Formula!E95+Formula!G95+Formula!I95+Formula!K95))*(INDEX(Properties!A$1:CB$87,Formula!H95,10))+((Formula!K95)/(Formula!C95+Formula!E95+Formula!G95+Formula!I95+Formula!K95))*(INDEX(Properties!A$1:CB$87,Formula!J95,10))</f>
        <v>5.4</v>
      </c>
      <c r="AG95" s="51">
        <f>Formula!C95*(INDEX(Properties!A$1:CB$87,Formula!B95,10))+Formula!E95*(INDEX(Properties!A$1:CB$87,Formula!D95,10))+Formula!G95*(INDEX(Properties!A$1:CB$87,Formula!F95,10))+Formula!I95*(INDEX(Properties!A$1:CB$87,Formula!H95,10))+Formula!K95*(INDEX(Properties!A$1:CB$87,Formula!J95,10))</f>
        <v>54</v>
      </c>
      <c r="AH95" s="51">
        <f>VARP(IF(INDEX(Properties!A$1:CB$87,Formula!B95,10)&lt;&gt;"",INDEX(Properties!A$1:CB$87,Formula!B95,10)),IF(INDEX(Properties!A$1:CB$87,Formula!D95,10)&lt;&gt;"",INDEX(Properties!A$1:CB$87,Formula!D95,10)),IF(INDEX(Properties!A$1:CB$87,Formula!F95,10)&lt;&gt;"",INDEX(Properties!A$1:CB$87,Formula!F95,10)),IF(INDEX(Properties!A$1:CB$87,Formula!H95,10)&lt;&gt;"",INDEX(Properties!A$1:CB$87,Formula!H95,10)),IF(INDEX(Properties!A$1:CB$87,Formula!J95,10)&lt;&gt;"",INDEX(Properties!A$1:CB$87,Formula!J95,10)))</f>
        <v>5.44</v>
      </c>
      <c r="AI95" s="51">
        <f>MAX(INDEX(Properties!A$1:CB$87,Formula!B95,10),INDEX(Properties!A$1:CB$87,Formula!D95,10),INDEX(Properties!A$1:CB$87,Formula!F95,10),INDEX(Properties!A$1:CB$87,Formula!H95,10),INDEX(Properties!A$1:CB$87,Formula!J95,10))</f>
        <v>7</v>
      </c>
      <c r="AJ95" s="51">
        <f>MIN(IF(INDEX(Properties!A$1:CB$87,Formula!B95,10)=0,10^6,INDEX(Properties!A$1:CB$87,Formula!B95,10)),IF(INDEX(Properties!A$1:CB$87,Formula!D95,10)=0,10^6,INDEX(Properties!A$1:CB$87,Formula!D95,10)),IF(INDEX(Properties!A$1:CB$87,Formula!F95,10)=0,10^6,INDEX(Properties!A$1:CB$87,Formula!F95,10)),IF(INDEX(Properties!A$1:CB$87,Formula!H95,10)=0,10^6,INDEX(Properties!A$1:CB$87,Formula!H95,10)),IF(INDEX(Properties!A$1:CB$87,Formula!J95,10)=0,10^6,INDEX(Properties!A$1:CB$87,Formula!J95,10)))</f>
        <v>2</v>
      </c>
      <c r="AK95" s="51">
        <f t="shared" si="37"/>
        <v>5</v>
      </c>
      <c r="AL95" s="57">
        <f>((Formula!C95)/(Formula!C95+Formula!E95+Formula!G95+Formula!I95+Formula!K95))*(INDEX(Properties!A$1:CB$87,Formula!B95,11))+((Formula!E95)/(Formula!C95+Formula!E95+Formula!G95+Formula!I95+Formula!K95))*(INDEX(Properties!A$1:CB$87,Formula!D95,11))+((Formula!G95)/(Formula!C95+Formula!E95+Formula!G95+Formula!I95+Formula!K95))*(INDEX(Properties!A$1:CB$87,Formula!F95,11))+((Formula!I95)/(Formula!C95+Formula!E95+Formula!G95+Formula!I95+Formula!K95))*(INDEX(Properties!A$1:CB$87,Formula!H95,11))+((Formula!K95)/(Formula!C95+Formula!E95+Formula!G95+Formula!I95+Formula!K95))*(INDEX(Properties!A$1:CB$87,Formula!J95,11))</f>
        <v>1.9</v>
      </c>
      <c r="AM95" s="57">
        <f>Formula!C95*(INDEX(Properties!A$1:CB$87,Formula!B95,11))+Formula!E95*(INDEX(Properties!A$1:CB$87,Formula!D95,11))+Formula!G95*(INDEX(Properties!A$1:CB$87,Formula!F95,11))+Formula!I95*(INDEX(Properties!A$1:CB$87,Formula!H95,11))+Formula!K95*(INDEX(Properties!A$1:CB$87,Formula!J95,11))</f>
        <v>19</v>
      </c>
      <c r="AN95" s="57">
        <f>VARP(IF(INDEX(Properties!A$1:CB$87,Formula!B95,11)&lt;&gt;"",INDEX(Properties!A$1:CB$87,Formula!B95,11)),IF(INDEX(Properties!A$1:CB$87,Formula!D95,11)&lt;&gt;"",INDEX(Properties!A$1:CB$87,Formula!D95,11)),IF(INDEX(Properties!A$1:CB$87,Formula!F95,11)&lt;&gt;"",INDEX(Properties!A$1:CB$87,Formula!F95,11)),IF(INDEX(Properties!A$1:CB$87,Formula!H95,11)&lt;&gt;"",INDEX(Properties!A$1:CB$87,Formula!H95,11)),IF(INDEX(Properties!A$1:CB$87,Formula!J95,11)&lt;&gt;"",INDEX(Properties!A$1:CB$87,Formula!J95,11)))</f>
        <v>0.64</v>
      </c>
      <c r="AO95" s="57">
        <f>MAX(INDEX(Properties!A$1:CB$87,Formula!B95,11),INDEX(Properties!A$1:CB$87,Formula!D95,11),INDEX(Properties!A$1:CB$87,Formula!F95,11),INDEX(Properties!A$1:CB$87,Formula!H95,11),INDEX(Properties!A$1:CB$87,Formula!J95,11))</f>
        <v>2</v>
      </c>
      <c r="AP95" s="57">
        <f>MIN(IF(Formula!B95=87,10^6,INDEX(Properties!A$1:CB$87,Formula!B95,11)),IF((Formula!D95)=87,10^6,INDEX(Properties!A$1:CB$87,Formula!D95,11)),IF((Formula!F95)=87,10^6,INDEX(Properties!A$1:CB$87,Formula!F95,11)),IF((Formula!H95)=87,10^6,INDEX(Properties!A$1:CB$87,Formula!H95,11)),IF(Formula!J95=87,10^6,INDEX(Properties!A$1:CB$87,Formula!J95,11)))</f>
        <v>1</v>
      </c>
      <c r="AQ95" s="57">
        <f t="shared" si="38"/>
        <v>1</v>
      </c>
      <c r="AR95" s="78">
        <f>((Formula!C95)/(Formula!C95+Formula!E95+Formula!G95+Formula!I95+Formula!K95))*(INDEX(Properties!A$1:CB$87,Formula!B95,12))+((Formula!E95)/(Formula!C95+Formula!E95+Formula!G95+Formula!I95+Formula!K95))*(INDEX(Properties!A$1:CB$87,Formula!D95,12))+((Formula!G95)/(Formula!C95+Formula!E95+Formula!G95+Formula!I95+Formula!K95))*(INDEX(Properties!A$1:CB$87,Formula!F95,12))+((Formula!I95)/(Formula!C95+Formula!E95+Formula!G95+Formula!I95+Formula!K95))*(INDEX(Properties!A$1:CB$87,Formula!H95,12))+((Formula!K95)/(Formula!C95+Formula!E95+Formula!G95+Formula!I95+Formula!K95))*(INDEX(Properties!A$1:CB$87,Formula!J95,12))</f>
        <v>2.4</v>
      </c>
      <c r="AS95" s="78">
        <f>Formula!C95*(INDEX(Properties!A$1:CB$87,Formula!B95,12))+Formula!E95*(INDEX(Properties!A$1:CB$87,Formula!D95,12))+Formula!G95*(INDEX(Properties!A$1:CB$87,Formula!F95,12))+Formula!I95*(INDEX(Properties!A$1:CB$87,Formula!H95,12))+Formula!K95*(INDEX(Properties!A$1:CB$87,Formula!J95,12))</f>
        <v>24</v>
      </c>
      <c r="AT95" s="78">
        <f>VARP(IF(INDEX(Properties!A$1:CB$87,Formula!B95,12)&lt;&gt;"",INDEX(Properties!A$1:CB$87,Formula!B95,12)),IF(INDEX(Properties!A$1:CB$87,Formula!D95,12)&lt;&gt;"",INDEX(Properties!A$1:CB$87,Formula!D95,12)),IF(INDEX(Properties!A$1:CB$87,Formula!F95,12)&lt;&gt;"",INDEX(Properties!A$1:CB$87,Formula!F95,12)),IF(INDEX(Properties!A$1:CB$87,Formula!H95,12)&lt;&gt;"",INDEX(Properties!A$1:CB$87,Formula!H95,12)),IF(INDEX(Properties!A$1:CB$87,Formula!J95,12)&lt;&gt;"",INDEX(Properties!A$1:CB$87,Formula!J95,12)))</f>
        <v>2.56</v>
      </c>
      <c r="AU95" s="78">
        <f>MAX(INDEX(Properties!A$1:CB$87,Formula!B95,12),INDEX(Properties!A$1:CB$87,Formula!D95,12),INDEX(Properties!A$1:CB$87,Formula!F95,12),INDEX(Properties!A$1:CB$87,Formula!H95,12),INDEX(Properties!A$1:CB$87,Formula!J95,12))</f>
        <v>4</v>
      </c>
      <c r="AV95" s="78">
        <f>MIN(IF(Formula!B95=87,10^6,INDEX(Properties!A$1:CB$87,Formula!B95,12)),IF((Formula!D95)=87,10^6,INDEX(Properties!A$1:CB$87,Formula!D95,12)),IF((Formula!F95)=87,10^6,INDEX(Properties!A$1:CB$87,Formula!F95,12)),IF((Formula!H95)=87,10^6,INDEX(Properties!A$1:CB$87,Formula!H95,12)),IF(Formula!J95=87,10^6,INDEX(Properties!A$1:CB$87,Formula!J95,12)))</f>
        <v>0</v>
      </c>
      <c r="AW95" s="78">
        <f t="shared" si="39"/>
        <v>4</v>
      </c>
      <c r="AX95" s="45">
        <f>((Formula!C95)/(Formula!C95+Formula!E95+Formula!G95+Formula!I95+Formula!K95))*(INDEX(Properties!A$1:CB$87,Formula!B95,13))+((Formula!E95)/(Formula!C95+Formula!E95+Formula!G95+Formula!I95+Formula!K95))*(INDEX(Properties!A$1:CB$87,Formula!D95,13))+((Formula!G95)/(Formula!C95+Formula!E95+Formula!G95+Formula!I95+Formula!K95))*(INDEX(Properties!A$1:CB$87,Formula!F95,13))+((Formula!I95)/(Formula!C95+Formula!E95+Formula!G95+Formula!I95+Formula!K95))*(INDEX(Properties!A$1:CB$87,Formula!H95,13))+((Formula!K95)/(Formula!C95+Formula!E95+Formula!G95+Formula!I95+Formula!K95))*(INDEX(Properties!A$1:CB$87,Formula!J95,13))</f>
        <v>1.5</v>
      </c>
      <c r="AY95" s="45">
        <f>Formula!C95*(INDEX(Properties!A$1:CB$87,Formula!B95,13))+Formula!E95*(INDEX(Properties!A$1:CB$87,Formula!D95,13))+Formula!G95*(INDEX(Properties!A$1:CB$87,Formula!F95,13))+Formula!I95*(INDEX(Properties!A$1:CB$87,Formula!H95,13))+Formula!K95*(INDEX(Properties!A$1:CB$87,Formula!J95,13))</f>
        <v>15</v>
      </c>
      <c r="AZ95" s="45">
        <f>VARP(IF(INDEX(Properties!A$1:CB$87,Formula!B95,13)&lt;&gt;"",INDEX(Properties!A$1:CB$87,Formula!B95,13)),IF(INDEX(Properties!A$1:CB$87,Formula!D95,13)&lt;&gt;"",INDEX(Properties!A$1:CB$87,Formula!D95,13)),IF(INDEX(Properties!A$1:CB$87,Formula!F95,13)&lt;&gt;"",INDEX(Properties!A$1:CB$87,Formula!F95,13)),IF(INDEX(Properties!A$1:CB$87,Formula!H95,13)&lt;&gt;"",INDEX(Properties!A$1:CB$87,Formula!H95,13)),IF(INDEX(Properties!A$1:CB$87,Formula!J95,13)&lt;&gt;"",INDEX(Properties!A$1:CB$87,Formula!J95,13)))</f>
        <v>16</v>
      </c>
      <c r="BA95" s="45">
        <f>MAX(INDEX(Properties!A$1:CB$87,Formula!B95,13),INDEX(Properties!A$1:CB$87,Formula!D95,13),INDEX(Properties!A$1:CB$87,Formula!F95,13),INDEX(Properties!A$1:CB$87,Formula!H95,13),INDEX(Properties!A$1:CB$87,Formula!J95,13))</f>
        <v>10</v>
      </c>
      <c r="BB95" s="45">
        <f>MIN(IF(Formula!B95=87,10^6,INDEX(Properties!A$1:CB$87,Formula!B95,13)),IF((Formula!D95)=87,10^6,INDEX(Properties!A$1:CB$87,Formula!D95,13)),IF((Formula!F95)=87,10^6,INDEX(Properties!A$1:CB$87,Formula!F95,13)),IF((Formula!H95)=87,10^6,INDEX(Properties!A$1:CB$87,Formula!H95,13)),IF(Formula!J95=87,10^6,INDEX(Properties!A$1:CB$87,Formula!J95,13)))</f>
        <v>0</v>
      </c>
      <c r="BC95" s="45">
        <f t="shared" si="40"/>
        <v>10</v>
      </c>
      <c r="BD95" s="63">
        <f>((Formula!C95)/(Formula!C95+Formula!E95+Formula!G95+Formula!I95+Formula!K95))*(INDEX(Properties!A$1:CB$87,Formula!B95,14))+((Formula!E95)/(Formula!C95+Formula!E95+Formula!G95+Formula!I95+Formula!K95))*(INDEX(Properties!A$1:CB$87,Formula!D95,14))+((Formula!G95)/(Formula!C95+Formula!E95+Formula!G95+Formula!I95+Formula!K95))*(INDEX(Properties!A$1:CB$87,Formula!F95,14))+((Formula!I95)/(Formula!C95+Formula!E95+Formula!G95+Formula!I95+Formula!K95))*(INDEX(Properties!A$1:CB$87,Formula!H95,14))+((Formula!K95)/(Formula!C95+Formula!E95+Formula!G95+Formula!I95+Formula!K95))*(INDEX(Properties!A$1:CB$87,Formula!J95,14))</f>
        <v>0</v>
      </c>
      <c r="BE95" s="63">
        <f>Formula!C95*(INDEX(Properties!A$1:CB$87,Formula!B95,14))+Formula!E95*(INDEX(Properties!A$1:CB$87,Formula!D95,14))+Formula!G95*(INDEX(Properties!A$1:CB$87,Formula!F95,14))+Formula!I95*(INDEX(Properties!A$1:CB$87,Formula!H95,14))+Formula!K95*(INDEX(Properties!A$1:CB$87,Formula!J95,14))</f>
        <v>0</v>
      </c>
      <c r="BF95" s="63">
        <f>VARP(IF(INDEX(Properties!A$1:CB$87,Formula!B95,14)&lt;&gt;"",INDEX(Properties!A$1:CB$87,Formula!B95,14)),IF(INDEX(Properties!A$1:CB$87,Formula!D95,14)&lt;&gt;"",INDEX(Properties!A$1:CB$87,Formula!D95,14)),IF(INDEX(Properties!A$1:CB$87,Formula!F95,14)&lt;&gt;"",INDEX(Properties!A$1:CB$87,Formula!F95,14)),IF(INDEX(Properties!A$1:CB$87,Formula!H95,14)&lt;&gt;"",INDEX(Properties!A$1:CB$87,Formula!H95,14)),IF(INDEX(Properties!A$1:CB$87,Formula!J95,14)&lt;&gt;"",INDEX(Properties!A$1:CB$87,Formula!J95,14)))</f>
        <v>0</v>
      </c>
      <c r="BG95" s="63">
        <f>MAX(INDEX(Properties!A$1:CB$87,Formula!B95,14),INDEX(Properties!A$1:CB$87,Formula!D95,14),INDEX(Properties!A$1:CB$87,Formula!F95,14),INDEX(Properties!A$1:CB$87,Formula!H95,14),INDEX(Properties!A$1:CB$87,Formula!J95,14))</f>
        <v>0</v>
      </c>
      <c r="BH95" s="63">
        <f>MIN(IF(Formula!B95=87,10^6,INDEX(Properties!A$1:CB$87,Formula!B95,14)),IF((Formula!D95)=87,10^6,INDEX(Properties!A$1:CB$87,Formula!D95,14)),IF((Formula!F95)=87,10^6,INDEX(Properties!A$1:CB$87,Formula!F95,14)),IF((Formula!H95)=87,10^6,INDEX(Properties!A$1:CB$87,Formula!H95,14)),IF(Formula!J95=87,10^6,INDEX(Properties!A$1:CB$87,Formula!J95,14)))</f>
        <v>0</v>
      </c>
      <c r="BI95" s="63">
        <f t="shared" si="41"/>
        <v>0</v>
      </c>
      <c r="BJ95" s="75">
        <f>((Formula!C95)/(Formula!C95+Formula!E95+Formula!G95+Formula!I95+Formula!K95))*(INDEX(Properties!A$1:CB$87,Formula!B95,19))+((Formula!E95)/(Formula!C95+Formula!E95+Formula!G95+Formula!I95+Formula!K95))*(INDEX(Properties!A$1:CB$87,Formula!D95,19))+((Formula!G95)/(Formula!C95+Formula!E95+Formula!G95+Formula!I95+Formula!K95))*(INDEX(Properties!A$1:CB$87,Formula!F95,19))+((Formula!I95)/(Formula!C95+Formula!E95+Formula!G95+Formula!I95+Formula!K95))*(INDEX(Properties!A$1:CB$87,Formula!H95,19))+((Formula!K95)/(Formula!C95+Formula!E95+Formula!G95+Formula!I95+Formula!K95))*(INDEX(Properties!A$1:CB$87,Formula!J95,19))</f>
        <v>5.8</v>
      </c>
      <c r="BK95" s="75">
        <f>Formula!C95*(INDEX(Properties!A$1:CB$87,Formula!B95,19))+Formula!E95*(INDEX(Properties!A$1:CB$87,Formula!D95,19))+Formula!G95*(INDEX(Properties!A$1:CB$87,Formula!F95,19))+Formula!I95*(INDEX(Properties!A$1:CB$87,Formula!H95,19))+Formula!K95*(INDEX(Properties!A$1:CB$87,Formula!J95,19))</f>
        <v>58</v>
      </c>
      <c r="BL95" s="75">
        <f>VARP(IF(INDEX(Properties!A$1:CB$87,Formula!B95,19)&lt;&gt;"",INDEX(Properties!A$1:CB$87,Formula!B95,19)),IF(INDEX(Properties!A$1:CB$87,Formula!D95,19)&lt;&gt;"",INDEX(Properties!A$1:CB$87,Formula!D95,19)),IF(INDEX(Properties!A$1:CB$87,Formula!F95,19)&lt;&gt;"",INDEX(Properties!A$1:CB$87,Formula!F95,19)),IF(INDEX(Properties!A$1:CB$87,Formula!H95,19)&lt;&gt;"",INDEX(Properties!A$1:CB$87,Formula!H95,19)),IF(INDEX(Properties!A$1:CB$87,Formula!J95,19)&lt;&gt;"",INDEX(Properties!A$1:CB$87,Formula!J95,19)))</f>
        <v>16.96</v>
      </c>
      <c r="BM95" s="75">
        <f>MAX(INDEX(Properties!A$1:CB$87,Formula!B95,19),INDEX(Properties!A$1:CB$87,Formula!D95,19),INDEX(Properties!A$1:CB$87,Formula!F95,19),INDEX(Properties!A$1:CB$87,Formula!H95,19),INDEX(Properties!A$1:CB$87,Formula!J95,19))</f>
        <v>12</v>
      </c>
      <c r="BN95" s="75">
        <f>MIN(IF(INDEX(Properties!A$1:CB$87,Formula!B95,19)=0,10^6,INDEX(Properties!A$1:CB$87,Formula!B95,19)),IF(INDEX(Properties!A$1:CB$87,Formula!D95,19)=0,10^6,INDEX(Properties!A$1:CB$87,Formula!D95,19)),IF(INDEX(Properties!A$1:CB$87,Formula!F95,19)=0,10^6,INDEX(Properties!A$1:CB$87,Formula!F95,19)),IF(INDEX(Properties!A$1:CB$87,Formula!H95,19)=0,10^6,INDEX(Properties!A$1:CB$87,Formula!H95,19)),IF(INDEX(Properties!A$1:CB$87,Formula!J95,19)=0,10^6,INDEX(Properties!A$1:CB$87,Formula!J95,19)))</f>
        <v>2</v>
      </c>
      <c r="BO95" s="75">
        <f t="shared" si="42"/>
        <v>10</v>
      </c>
      <c r="BP95" s="48">
        <f>((Formula!C95)/(Formula!C95+Formula!E95+Formula!G95+Formula!I95+Formula!K95))*(INDEX(Properties!A$1:CB$87,Formula!B95,20))+((Formula!E95)/(Formula!C95+Formula!E95+Formula!G95+Formula!I95+Formula!K95))*(INDEX(Properties!A$1:CB$87,Formula!D95,20))+((Formula!G95)/(Formula!C95+Formula!E95+Formula!G95+Formula!I95+Formula!K95))*(INDEX(Properties!A$1:CB$87,Formula!F95,20))+((Formula!I95)/(Formula!C95+Formula!E95+Formula!G95+Formula!I95+Formula!K95))*(INDEX(Properties!A$1:CB$87,Formula!H95,20))+((Formula!K95)/(Formula!C95+Formula!E95+Formula!G95+Formula!I95+Formula!K95))*(INDEX(Properties!A$1:CB$87,Formula!J95,20))</f>
        <v>4.3</v>
      </c>
      <c r="BQ95" s="48">
        <f>Formula!C95*(INDEX(Properties!A$1:CB$87,Formula!B95,20))+Formula!E95*(INDEX(Properties!A$1:CB$87,Formula!D95,20))+Formula!G95*(INDEX(Properties!A$1:CB$87,Formula!F95,20))+Formula!I95*(INDEX(Properties!A$1:CB$87,Formula!H95,20))+Formula!K95*(INDEX(Properties!A$1:CB$87,Formula!J95,20))</f>
        <v>43</v>
      </c>
      <c r="BR95" s="48">
        <f>VARP(IF(INDEX(Properties!A$1:CB$87,Formula!B95,20)&lt;&gt;"",INDEX(Properties!A$1:CB$87,Formula!B95,20)),IF(INDEX(Properties!A$1:CB$87,Formula!D95,20)&lt;&gt;"",INDEX(Properties!A$1:CB$87,Formula!D95,20)),IF(INDEX(Properties!A$1:CB$87,Formula!F95,20)&lt;&gt;"",INDEX(Properties!A$1:CB$87,Formula!F95,20)),IF(INDEX(Properties!A$1:CB$87,Formula!H95,20)&lt;&gt;"",INDEX(Properties!A$1:CB$87,Formula!H95,20)),IF(INDEX(Properties!A$1:CB$87,Formula!J95,20)&lt;&gt;"",INDEX(Properties!A$1:CB$87,Formula!J95,20)))</f>
        <v>4.16</v>
      </c>
      <c r="BS95" s="48">
        <f>MAX(INDEX(Properties!A$1:CB$87,Formula!B95,20),INDEX(Properties!A$1:CB$87,Formula!D95,20),INDEX(Properties!A$1:CB$87,Formula!F95,20),INDEX(Properties!A$1:CB$87,Formula!H95,20),INDEX(Properties!A$1:CB$87,Formula!J95,20))</f>
        <v>6</v>
      </c>
      <c r="BT95" s="48">
        <f>MIN(IF(INDEX(Properties!A$1:CB$87,Formula!B95,20)=0,10^6,INDEX(Properties!A$1:CB$87,Formula!B95,20)),IF(INDEX(Properties!A$1:CB$87,Formula!D95,20)=0,10^6,INDEX(Properties!A$1:CB$87,Formula!D95,20)),IF(INDEX(Properties!A$1:CB$87,Formula!F95,20)=0,10^6,INDEX(Properties!A$1:CB$87,Formula!F95,20)),IF(INDEX(Properties!A$1:CB$87,Formula!H95,20)=0,10^6,INDEX(Properties!A$1:CB$87,Formula!H95,20)),IF(INDEX(Properties!A$1:CB$87,Formula!J95,20)=0,10^6,INDEX(Properties!A$1:CB$87,Formula!J95,20)))</f>
        <v>1</v>
      </c>
      <c r="BU95" s="48">
        <f t="shared" si="43"/>
        <v>5</v>
      </c>
      <c r="BV95" s="66">
        <f>((Formula!C95)/(Formula!C95+Formula!E95+Formula!G95+Formula!I95+Formula!K95))*(INDEX(Properties!A$1:CB$87,Formula!B95,21))+((Formula!E95)/(Formula!C95+Formula!E95+Formula!G95+Formula!I95+Formula!K95))*(INDEX(Properties!A$1:CB$87,Formula!D95,21))+((Formula!G95)/(Formula!C95+Formula!E95+Formula!G95+Formula!I95+Formula!K95))*(INDEX(Properties!A$1:CB$87,Formula!F95,21))+((Formula!I95)/(Formula!C95+Formula!E95+Formula!G95+Formula!I95+Formula!K95))*(INDEX(Properties!A$1:CB$87,Formula!H95,21))+((Formula!K95)/(Formula!C95+Formula!E95+Formula!G95+Formula!I95+Formula!K95))*(INDEX(Properties!A$1:CB$87,Formula!J95,21))</f>
        <v>4.5</v>
      </c>
      <c r="BW95" s="66">
        <f>Formula!C95*(INDEX(Properties!A$1:CB$87,Formula!B95,21))+Formula!E95*(INDEX(Properties!A$1:CB$87,Formula!D95,21))+Formula!G95*(INDEX(Properties!A$1:CB$87,Formula!F95,21))+Formula!I95*(INDEX(Properties!A$1:CB$87,Formula!H95,21))+Formula!K95*(INDEX(Properties!A$1:CB$87,Formula!J95,21))</f>
        <v>45</v>
      </c>
      <c r="BX95" s="66">
        <f>VARP(IF(INDEX(Properties!A$1:CB$87,Formula!B95,21)&lt;&gt;"",INDEX(Properties!A$1:CB$87,Formula!B95,21)),IF(INDEX(Properties!A$1:CB$87,Formula!D95,21)&lt;&gt;"",INDEX(Properties!A$1:CB$87,Formula!D95,21)),IF(INDEX(Properties!A$1:CB$87,Formula!F95,21)&lt;&gt;"",INDEX(Properties!A$1:CB$87,Formula!F95,21)),IF(INDEX(Properties!A$1:CB$87,Formula!H95,21)&lt;&gt;"",INDEX(Properties!A$1:CB$87,Formula!H95,21)),IF(INDEX(Properties!A$1:CB$87,Formula!J95,21)&lt;&gt;"",INDEX(Properties!A$1:CB$87,Formula!J95,21)))</f>
        <v>4.6399999999999997</v>
      </c>
      <c r="BY95" s="66">
        <f>MAX(INDEX(Properties!A$1:CB$87,Formula!B95,21),INDEX(Properties!A$1:CB$87,Formula!D95,21),INDEX(Properties!A$1:CB$87,Formula!F95,21),INDEX(Properties!A$1:CB$87,Formula!H95,21),INDEX(Properties!A$1:CB$87,Formula!J95,21))</f>
        <v>6</v>
      </c>
      <c r="BZ95" s="66">
        <f>MIN(IF(INDEX(Properties!A$1:CB$87,Formula!B95,21)=0,10^6,INDEX(Properties!A$1:CB$87,Formula!B95,21)),IF(INDEX(Properties!A$1:CB$87,Formula!D95,21)=0,10^6,INDEX(Properties!A$1:CB$87,Formula!D95,21)),IF(INDEX(Properties!A$1:CB$87,Formula!F95,21)=0,10^6,INDEX(Properties!A$1:CB$87,Formula!F95,21)),IF(INDEX(Properties!A$1:CB$87,Formula!H95,21)=0,10^6,INDEX(Properties!A$1:CB$87,Formula!H95,21)),IF(INDEX(Properties!A$1:CB$87,Formula!J95,21)=0,10^6,INDEX(Properties!A$1:CB$87,Formula!J95,21)))</f>
        <v>1</v>
      </c>
      <c r="CA95" s="66">
        <f t="shared" si="44"/>
        <v>5</v>
      </c>
      <c r="CB95" s="81">
        <f>((Formula!C95)/(Formula!C95+Formula!E95+Formula!G95+Formula!I95+Formula!K95))*(INDEX(Properties!A$1:CB$87,Formula!B95,23))+((Formula!E95)/(Formula!C95+Formula!E95+Formula!G95+Formula!I95+Formula!K95))*(INDEX(Properties!A$1:CB$87,Formula!D95,23))+((Formula!G95)/(Formula!C95+Formula!E95+Formula!G95+Formula!I95+Formula!K95))*(INDEX(Properties!A$1:CB$87,Formula!F95,23))+((Formula!I95)/(Formula!C95+Formula!E95+Formula!G95+Formula!I95+Formula!K95))*(INDEX(Properties!A$1:CB$87,Formula!H95,23))+((Formula!K95)/(Formula!C95+Formula!E95+Formula!G95+Formula!I95+Formula!K95))*(INDEX(Properties!A$1:CB$87,Formula!J95,23))</f>
        <v>1.4220000000000002</v>
      </c>
      <c r="CC95" s="81">
        <f>Formula!C95*(INDEX(Properties!A$1:CB$87,Formula!B95,23))+Formula!E95*(INDEX(Properties!A$1:CB$87,Formula!D95,23))+Formula!G95*(INDEX(Properties!A$1:CB$87,Formula!F95,23))+Formula!I95*(INDEX(Properties!A$1:CB$87,Formula!H95,23))+Formula!K95*(INDEX(Properties!A$1:CB$87,Formula!J95,23))</f>
        <v>14.220000000000002</v>
      </c>
      <c r="CD95" s="81">
        <f>VARP(IF(INDEX(Properties!A$1:CB$87,Formula!B95,23)&lt;&gt;"",INDEX(Properties!A$1:CB$87,Formula!B95,23)),IF(INDEX(Properties!A$1:CB$87,Formula!D95,23)&lt;&gt;"",INDEX(Properties!A$1:CB$87,Formula!D95,23)),IF(INDEX(Properties!A$1:CB$87,Formula!F95,23)&lt;&gt;"",INDEX(Properties!A$1:CB$87,Formula!F95,23)),IF(INDEX(Properties!A$1:CB$87,Formula!H95,23)&lt;&gt;"",INDEX(Properties!A$1:CB$87,Formula!H95,23)),IF(INDEX(Properties!A$1:CB$87,Formula!J95,23)&lt;&gt;"",INDEX(Properties!A$1:CB$87,Formula!J95,23)))</f>
        <v>5.4512640000000001</v>
      </c>
      <c r="CE95" s="81">
        <f>MAX(INDEX(Properties!A$1:CB$87,Formula!B95,23),INDEX(Properties!A$1:CB$87,Formula!D95,23),INDEX(Properties!A$1:CB$87,Formula!F95,23),INDEX(Properties!A$1:CB$87,Formula!H95,23),INDEX(Properties!A$1:CB$87,Formula!J95,23))</f>
        <v>5.78</v>
      </c>
      <c r="CF95" s="81">
        <f>MIN(IF(Formula!B95=87,10^6,INDEX(Properties!A$1:CB$87,Formula!B95,23)),IF((Formula!D95)=87,10^6,INDEX(Properties!A$1:CB$87,Formula!D95,23)),IF((Formula!F95)=87,10^6,INDEX(Properties!A$1:CB$87,Formula!F95,23)),IF((Formula!H95)=87,10^6,INDEX(Properties!A$1:CB$87,Formula!H95,23)),IF(Formula!J95=87,10^6,INDEX(Properties!A$1:CB$87,Formula!J95,23)))</f>
        <v>0</v>
      </c>
      <c r="CG95" s="81">
        <f t="shared" si="45"/>
        <v>5.78</v>
      </c>
      <c r="CH95" s="39">
        <f>((Formula!C95)/(Formula!C95+Formula!E95+Formula!G95+Formula!I95+Formula!K95))*(INDEX(Properties!A$1:CB$87,Formula!B95,26))+((Formula!E95)/(Formula!C95+Formula!E95+Formula!G95+Formula!I95+Formula!K95))*(INDEX(Properties!A$1:CB$87,Formula!D95,26))+((Formula!G95)/(Formula!C95+Formula!E95+Formula!G95+Formula!I95+Formula!K95))*(INDEX(Properties!A$1:CB$87,Formula!F95,26))+((Formula!I95)/(Formula!C95+Formula!E95+Formula!G95+Formula!I95+Formula!K95))*(INDEX(Properties!A$1:CB$87,Formula!H95,26))+((Formula!K95)/(Formula!C95+Formula!E95+Formula!G95+Formula!I95+Formula!K95))*(INDEX(Properties!A$1:CB$87,Formula!J95,26))</f>
        <v>10.86186</v>
      </c>
      <c r="CI95" s="39">
        <f>Formula!C95*(INDEX(Properties!A$1:CB$87,Formula!B95,26))+Formula!E95*(INDEX(Properties!A$1:CB$87,Formula!D95,26))+Formula!G95*(INDEX(Properties!A$1:CB$87,Formula!F95,26))+Formula!I95*(INDEX(Properties!A$1:CB$87,Formula!H95,26))+Formula!K95*(INDEX(Properties!A$1:CB$87,Formula!J95,26))</f>
        <v>108.6186</v>
      </c>
      <c r="CJ95" s="39">
        <f>VARP(IF(INDEX(Properties!A$1:CB$87,Formula!B95,26)&lt;&gt;"",INDEX(Properties!A$1:CB$87,Formula!B95,26)),IF(INDEX(Properties!A$1:CB$87,Formula!D95,26)&lt;&gt;"",INDEX(Properties!A$1:CB$87,Formula!D95,26)),IF(INDEX(Properties!A$1:CB$87,Formula!F95,26)&lt;&gt;"",INDEX(Properties!A$1:CB$87,Formula!F95,26)),IF(INDEX(Properties!A$1:CB$87,Formula!H95,26)&lt;&gt;"",INDEX(Properties!A$1:CB$87,Formula!H95,26)),IF(INDEX(Properties!A$1:CB$87,Formula!J95,26)&lt;&gt;"",INDEX(Properties!A$1:CB$87,Formula!J95,26)))</f>
        <v>20.3435948216</v>
      </c>
      <c r="CK95" s="39">
        <f>MAX(INDEX(Properties!A$1:CB$87,Formula!B95,26),INDEX(Properties!A$1:CB$87,Formula!D95,26),INDEX(Properties!A$1:CB$87,Formula!F95,26),INDEX(Properties!A$1:CB$87,Formula!H95,26),INDEX(Properties!A$1:CB$87,Formula!J95,26))</f>
        <v>13.6181</v>
      </c>
      <c r="CL95" s="39">
        <f>MIN(IF(INDEX(Properties!A$1:CB$87,Formula!B95,26)=0,10^6,INDEX(Properties!A$1:CB$87,Formula!B95,26)),IF(INDEX(Properties!A$1:CB$87,Formula!D95,26)=0,10^6,INDEX(Properties!A$1:CB$87,Formula!D95,26)),IF(INDEX(Properties!A$1:CB$87,Formula!F95,26)=0,10^6,INDEX(Properties!A$1:CB$87,Formula!F95,26)),IF(INDEX(Properties!A$1:CB$87,Formula!H95,26)=0,10^6,INDEX(Properties!A$1:CB$87,Formula!H95,26)),IF(INDEX(Properties!A$1:CB$87,Formula!J95,26)=0,10^6,INDEX(Properties!A$1:CB$87,Formula!J95,26)))</f>
        <v>5.2117000000000004</v>
      </c>
      <c r="CM95" s="39">
        <f t="shared" si="46"/>
        <v>8.4063999999999997</v>
      </c>
      <c r="CN95" s="54">
        <f>((Formula!C95)/(Formula!C95+Formula!E95+Formula!G95+Formula!I95+Formula!K95))*(INDEX(Properties!A$1:CB$87,Formula!B95,30))+((Formula!E95)/(Formula!C95+Formula!E95+Formula!G95+Formula!I95+Formula!K95))*(INDEX(Properties!A$1:CB$87,Formula!D95,30))+((Formula!G95)/(Formula!C95+Formula!E95+Formula!G95+Formula!I95+Formula!K95))*(INDEX(Properties!A$1:CB$87,Formula!F95,30))+((Formula!I95)/(Formula!C95+Formula!E95+Formula!G95+Formula!I95+Formula!K95))*(INDEX(Properties!A$1:CB$87,Formula!H95,30))+((Formula!K95)/(Formula!C95+Formula!E95+Formula!G95+Formula!I95+Formula!K95))*(INDEX(Properties!A$1:CB$87,Formula!J95,30))</f>
        <v>2.6230000000000002</v>
      </c>
      <c r="CO95" s="54">
        <f>Formula!C95*(INDEX(Properties!A$1:CB$87,Formula!B95,30))+Formula!E95*(INDEX(Properties!A$1:CB$87,Formula!D95,30))+Formula!G95*(INDEX(Properties!A$1:CB$87,Formula!F95,30))+Formula!I95*(INDEX(Properties!A$1:CB$87,Formula!H95,30))+Formula!K95*(INDEX(Properties!A$1:CB$87,Formula!J95,30))</f>
        <v>26.23</v>
      </c>
      <c r="CP95" s="54">
        <f>VARP(IF(INDEX(Properties!A$1:CB$87,Formula!B95,30)&lt;&gt;"",INDEX(Properties!A$1:CB$87,Formula!B95,30)),IF(INDEX(Properties!A$1:CB$87,Formula!D95,30)&lt;&gt;"",INDEX(Properties!A$1:CB$87,Formula!D95,30)),IF(INDEX(Properties!A$1:CB$87,Formula!F95,30)&lt;&gt;"",INDEX(Properties!A$1:CB$87,Formula!F95,30)),IF(INDEX(Properties!A$1:CB$87,Formula!H95,30)&lt;&gt;"",INDEX(Properties!A$1:CB$87,Formula!H95,30)),IF(INDEX(Properties!A$1:CB$87,Formula!J95,30)&lt;&gt;"",INDEX(Properties!A$1:CB$87,Formula!J95,30)))</f>
        <v>1.3523759999999994</v>
      </c>
      <c r="CQ95" s="54">
        <f>MAX(INDEX(Properties!A$1:CB$87,Formula!B95,30),INDEX(Properties!A$1:CB$87,Formula!D95,30),INDEX(Properties!A$1:CB$87,Formula!F95,30),INDEX(Properties!A$1:CB$87,Formula!H95,30),INDEX(Properties!A$1:CB$87,Formula!J95,30))</f>
        <v>3.44</v>
      </c>
      <c r="CR95" s="54">
        <f>MIN(IF(INDEX(Properties!A$1:CB$87,Formula!B95,30)=0,10^6,INDEX(Properties!A$1:CB$87,Formula!B95,30)),IF(INDEX(Properties!A$1:CB$87,Formula!D95,30)=0,10^6,INDEX(Properties!A$1:CB$87,Formula!D95,30)),IF(INDEX(Properties!A$1:CB$87,Formula!F95,30)=0,10^6,INDEX(Properties!A$1:CB$87,Formula!F95,30)),IF(INDEX(Properties!A$1:CB$87,Formula!H95,30)=0,10^6,INDEX(Properties!A$1:CB$87,Formula!H95,30)),IF(INDEX(Properties!A$1:CB$87,Formula!J95,30)=0,10^6,INDEX(Properties!A$1:CB$87,Formula!J95,30)))</f>
        <v>0.89</v>
      </c>
      <c r="CS95" s="54">
        <f t="shared" si="47"/>
        <v>2.5499999999999998</v>
      </c>
      <c r="CT95" s="69">
        <f>((Formula!C95)/(Formula!C95+Formula!E95+Formula!G95+Formula!I95+Formula!K95))*(INDEX(Properties!A$1:CB$87,Formula!B95,31))+((Formula!E95)/(Formula!C95+Formula!E95+Formula!G95+Formula!I95+Formula!K95))*(INDEX(Properties!A$1:CB$87,Formula!D95,31))+((Formula!G95)/(Formula!C95+Formula!E95+Formula!G95+Formula!I95+Formula!K95))*(INDEX(Properties!A$1:CB$87,Formula!F95,31))+((Formula!I95)/(Formula!C95+Formula!E95+Formula!G95+Formula!I95+Formula!K95))*(INDEX(Properties!A$1:CB$87,Formula!H95,31))+((Formula!K95)/(Formula!C95+Formula!E95+Formula!G95+Formula!I95+Formula!K95))*(INDEX(Properties!A$1:CB$87,Formula!J95,31))</f>
        <v>2.5459999999999998</v>
      </c>
      <c r="CU95" s="69">
        <f>Formula!C95*(INDEX(Properties!A$1:CB$87,Formula!B95,31))+Formula!E95*(INDEX(Properties!A$1:CB$87,Formula!D95,31))+Formula!G95*(INDEX(Properties!A$1:CB$87,Formula!F95,31))+Formula!I95*(INDEX(Properties!A$1:CB$87,Formula!H95,31))+Formula!K95*(INDEX(Properties!A$1:CB$87,Formula!J95,31))</f>
        <v>25.459999999999997</v>
      </c>
      <c r="CV95" s="69">
        <f>VARP(IF(INDEX(Properties!A$1:CB$87,Formula!B95,31)&lt;&gt;"",INDEX(Properties!A$1:CB$87,Formula!B95,31)),IF(INDEX(Properties!A$1:CB$87,Formula!D95,31)&lt;&gt;"",INDEX(Properties!A$1:CB$87,Formula!D95,31)),IF(INDEX(Properties!A$1:CB$87,Formula!F95,31)&lt;&gt;"",INDEX(Properties!A$1:CB$87,Formula!F95,31)),IF(INDEX(Properties!A$1:CB$87,Formula!H95,31)&lt;&gt;"",INDEX(Properties!A$1:CB$87,Formula!H95,31)),IF(INDEX(Properties!A$1:CB$87,Formula!J95,31)&lt;&gt;"",INDEX(Properties!A$1:CB$87,Formula!J95,31)))</f>
        <v>1.1840640000000002</v>
      </c>
      <c r="CW95" s="69">
        <f>MAX(INDEX(Properties!A$1:CB$87,Formula!B95,31),INDEX(Properties!A$1:CB$87,Formula!D95,31),INDEX(Properties!A$1:CB$87,Formula!F95,31),INDEX(Properties!A$1:CB$87,Formula!H95,31),INDEX(Properties!A$1:CB$87,Formula!J95,31))</f>
        <v>3.32</v>
      </c>
      <c r="CX95" s="69">
        <f>MIN(IF(INDEX(Properties!A$1:CB$87,Formula!B95,31)=0,10^6,INDEX(Properties!A$1:CB$87,Formula!B95,31)),IF(INDEX(Properties!A$1:CB$87,Formula!D95,31)=0,10^6,INDEX(Properties!A$1:CB$87,Formula!D95,31)),IF(INDEX(Properties!A$1:CB$87,Formula!F95,31)=0,10^6,INDEX(Properties!A$1:CB$87,Formula!F95,31)),IF(INDEX(Properties!A$1:CB$87,Formula!H95,31)=0,10^6,INDEX(Properties!A$1:CB$87,Formula!H95,31)),IF(INDEX(Properties!A$1:CB$87,Formula!J95,31)=0,10^6,INDEX(Properties!A$1:CB$87,Formula!J95,31)))</f>
        <v>1.08</v>
      </c>
      <c r="CY95" s="69">
        <f t="shared" si="48"/>
        <v>2.2399999999999998</v>
      </c>
      <c r="CZ95" s="42">
        <f>((Formula!C95)/(Formula!C95+Formula!E95+Formula!G95+Formula!I95+Formula!K95))*(INDEX(Properties!A$1:CB$87,Formula!B95,32))+((Formula!E95)/(Formula!C95+Formula!E95+Formula!G95+Formula!I95+Formula!K95))*(INDEX(Properties!A$1:CB$87,Formula!D95,32))+((Formula!G95)/(Formula!C95+Formula!E95+Formula!G95+Formula!I95+Formula!K95))*(INDEX(Properties!A$1:CB$87,Formula!F95,32))+((Formula!I95)/(Formula!C95+Formula!E95+Formula!G95+Formula!I95+Formula!K95))*(INDEX(Properties!A$1:CB$87,Formula!H95,32))+((Formula!K95)/(Formula!C95+Formula!E95+Formula!G95+Formula!I95+Formula!K95))*(INDEX(Properties!A$1:CB$87,Formula!J95,32))</f>
        <v>5.8390000000000004</v>
      </c>
      <c r="DA95" s="42">
        <f>Formula!C95*(INDEX(Properties!A$1:CB$87,Formula!B95,32))+Formula!E95*(INDEX(Properties!A$1:CB$87,Formula!D95,32))+Formula!G95*(INDEX(Properties!A$1:CB$87,Formula!F95,32))+Formula!I95*(INDEX(Properties!A$1:CB$87,Formula!H95,32))+Formula!K95*(INDEX(Properties!A$1:CB$87,Formula!J95,32))</f>
        <v>58.39</v>
      </c>
      <c r="DB95" s="42">
        <f>VARP(IF(INDEX(Properties!A$1:CB$87,Formula!B95,32)&lt;&gt;"",INDEX(Properties!A$1:CB$87,Formula!B95,32)),IF(INDEX(Properties!A$1:CB$87,Formula!D95,32)&lt;&gt;"",INDEX(Properties!A$1:CB$87,Formula!D95,32)),IF(INDEX(Properties!A$1:CB$87,Formula!F95,32)&lt;&gt;"",INDEX(Properties!A$1:CB$87,Formula!F95,32)),IF(INDEX(Properties!A$1:CB$87,Formula!H95,32)&lt;&gt;"",INDEX(Properties!A$1:CB$87,Formula!H95,32)),IF(INDEX(Properties!A$1:CB$87,Formula!J95,32)&lt;&gt;"",INDEX(Properties!A$1:CB$87,Formula!J95,32)))</f>
        <v>6.1438560000000004</v>
      </c>
      <c r="DC95" s="42">
        <f>MAX(INDEX(Properties!A$1:CB$87,Formula!B95,32),INDEX(Properties!A$1:CB$87,Formula!D95,32),INDEX(Properties!A$1:CB$87,Formula!F95,32),INDEX(Properties!A$1:CB$87,Formula!H95,32),INDEX(Properties!A$1:CB$87,Formula!J95,32))</f>
        <v>7.54</v>
      </c>
      <c r="DD95" s="42">
        <f>MIN(IF(INDEX(Properties!A$1:CB$87,Formula!B95,32)=0,10^6,INDEX(Properties!A$1:CB$87,Formula!B95,32)),IF(INDEX(Properties!A$1:CB$87,Formula!D95,32)=0,10^6,INDEX(Properties!A$1:CB$87,Formula!D95,32)),IF(INDEX(Properties!A$1:CB$87,Formula!F95,32)=0,10^6,INDEX(Properties!A$1:CB$87,Formula!F95,32)),IF(INDEX(Properties!A$1:CB$87,Formula!H95,32)=0,10^6,INDEX(Properties!A$1:CB$87,Formula!H95,32)),IF(INDEX(Properties!A$1:CB$87,Formula!J95,32)=0,10^6,INDEX(Properties!A$1:CB$87,Formula!J95,32)))</f>
        <v>2.4</v>
      </c>
      <c r="DE95" s="42">
        <f t="shared" si="49"/>
        <v>5.1400000000000006</v>
      </c>
      <c r="DF95" s="60">
        <f>((Formula!C95)/(Formula!C95+Formula!E95+Formula!G95+Formula!I95+Formula!K95))*(INDEX(Properties!A$1:CB$87,Formula!B95,34))+((Formula!E95)/(Formula!C95+Formula!E95+Formula!G95+Formula!I95+Formula!K95))*(INDEX(Properties!A$1:CB$87,Formula!D95,34))+((Formula!G95)/(Formula!C95+Formula!E95+Formula!G95+Formula!I95+Formula!K95))*(INDEX(Properties!A$1:CB$87,Formula!F95,34))+((Formula!I95)/(Formula!C95+Formula!E95+Formula!G95+Formula!I95+Formula!K95))*(INDEX(Properties!A$1:CB$87,Formula!H95,34))+((Formula!K95)/(Formula!C95+Formula!E95+Formula!G95+Formula!I95+Formula!K95))*(INDEX(Properties!A$1:CB$87,Formula!J95,34))</f>
        <v>2.6482000000000001</v>
      </c>
      <c r="DG95" s="60">
        <f>Formula!C95*(INDEX(Properties!A$1:CB$87,Formula!B95,34))+Formula!E95*(INDEX(Properties!A$1:CB$87,Formula!D95,34))+Formula!G95*(INDEX(Properties!A$1:CB$87,Formula!F95,34))+Formula!I95*(INDEX(Properties!A$1:CB$87,Formula!H95,34))+Formula!K95*(INDEX(Properties!A$1:CB$87,Formula!J95,34))</f>
        <v>26.481999999999999</v>
      </c>
      <c r="DH95" s="60">
        <f>VARP(IF(INDEX(Properties!A$1:CB$87,Formula!B95,34)&lt;&gt;"",INDEX(Properties!A$1:CB$87,Formula!B95,34)),IF(INDEX(Properties!A$1:CB$87,Formula!D95,34)&lt;&gt;"",INDEX(Properties!A$1:CB$87,Formula!D95,34)),IF(INDEX(Properties!A$1:CB$87,Formula!F95,34)&lt;&gt;"",INDEX(Properties!A$1:CB$87,Formula!F95,34)),IF(INDEX(Properties!A$1:CB$87,Formula!H95,34)&lt;&gt;"",INDEX(Properties!A$1:CB$87,Formula!H95,34)),IF(INDEX(Properties!A$1:CB$87,Formula!J95,34)&lt;&gt;"",INDEX(Properties!A$1:CB$87,Formula!J95,34)))</f>
        <v>1.4187481600000007</v>
      </c>
      <c r="DI95" s="60">
        <f>MAX(INDEX(Properties!A$1:CB$87,Formula!B95,34),INDEX(Properties!A$1:CB$87,Formula!D95,34),INDEX(Properties!A$1:CB$87,Formula!F95,34),INDEX(Properties!A$1:CB$87,Formula!H95,34),INDEX(Properties!A$1:CB$87,Formula!J95,34))</f>
        <v>3.61</v>
      </c>
      <c r="DJ95" s="60">
        <f>MIN(IF(INDEX(Properties!A$1:CB$87,Formula!B95,34)=0,10^6,INDEX(Properties!A$1:CB$87,Formula!B95,34)),IF(INDEX(Properties!A$1:CB$87,Formula!D95,34)=0,10^6,INDEX(Properties!A$1:CB$87,Formula!D95,34)),IF(INDEX(Properties!A$1:CB$87,Formula!F95,34)=0,10^6,INDEX(Properties!A$1:CB$87,Formula!F95,34)),IF(INDEX(Properties!A$1:CB$87,Formula!H95,34)=0,10^6,INDEX(Properties!A$1:CB$87,Formula!H95,34)),IF(INDEX(Properties!A$1:CB$87,Formula!J95,34)=0,10^6,INDEX(Properties!A$1:CB$87,Formula!J95,34)))</f>
        <v>0.88100000000000001</v>
      </c>
      <c r="DK95" s="60">
        <f t="shared" si="50"/>
        <v>2.7290000000000001</v>
      </c>
      <c r="DL95" s="45">
        <f>((Formula!C95)/(Formula!C95+Formula!E95+Formula!G95+Formula!I95+Formula!K95))*(INDEX(Properties!A$1:CB$87,Formula!B95,39))+((Formula!E95)/(Formula!C95+Formula!E95+Formula!G95+Formula!I95+Formula!K95))*(INDEX(Properties!A$1:CB$87,Formula!D95,39))+((Formula!G95)/(Formula!C95+Formula!E95+Formula!G95+Formula!I95+Formula!K95))*(INDEX(Properties!A$1:CB$87,Formula!F95,39))+((Formula!I95)/(Formula!C95+Formula!E95+Formula!G95+Formula!I95+Formula!K95))*(INDEX(Properties!A$1:CB$87,Formula!H95,39))+((Formula!K95)/(Formula!C95+Formula!E95+Formula!G95+Formula!I95+Formula!K95))*(INDEX(Properties!A$1:CB$87,Formula!J95,39))</f>
        <v>1.1260000000000001</v>
      </c>
      <c r="DM95" s="45">
        <f>Formula!C95*(INDEX(Properties!A$1:CB$87,Formula!B95,39))+Formula!E95*(INDEX(Properties!A$1:CB$87,Formula!D95,39))+Formula!G95*(INDEX(Properties!A$1:CB$87,Formula!F95,39))+Formula!I95*(INDEX(Properties!A$1:CB$87,Formula!H95,39))+Formula!K95*(INDEX(Properties!A$1:CB$87,Formula!J95,39))</f>
        <v>11.259999999999998</v>
      </c>
      <c r="DN95" s="45">
        <f>VARP(IF(INDEX(Properties!A$1:CB$87,Formula!B95,39)&lt;&gt;"",INDEX(Properties!A$1:CB$87,Formula!B95,39)),IF(INDEX(Properties!A$1:CB$87,Formula!D95,39)&lt;&gt;"",INDEX(Properties!A$1:CB$87,Formula!D95,39)),IF(INDEX(Properties!A$1:CB$87,Formula!F95,39)&lt;&gt;"",INDEX(Properties!A$1:CB$87,Formula!F95,39)),IF(INDEX(Properties!A$1:CB$87,Formula!H95,39)&lt;&gt;"",INDEX(Properties!A$1:CB$87,Formula!H95,39)),IF(INDEX(Properties!A$1:CB$87,Formula!J95,39)&lt;&gt;"",INDEX(Properties!A$1:CB$87,Formula!J95,39)))</f>
        <v>0.84878399999999976</v>
      </c>
      <c r="DO95" s="45">
        <f>MAX(INDEX(Properties!A$1:CB$87,Formula!B95,39),INDEX(Properties!A$1:CB$87,Formula!D95,39),INDEX(Properties!A$1:CB$87,Formula!F95,39),INDEX(Properties!A$1:CB$87,Formula!H95,39),INDEX(Properties!A$1:CB$87,Formula!J95,39))</f>
        <v>2.5299999999999998</v>
      </c>
      <c r="DP95" s="45">
        <f>MIN(IF(INDEX(Properties!A$1:CB$87,Formula!B95,39)=0,10^6,INDEX(Properties!A$1:CB$87,Formula!B95,39)),IF(INDEX(Properties!A$1:CB$87,Formula!D95,39)=0,10^6,INDEX(Properties!A$1:CB$87,Formula!D95,39)),IF(INDEX(Properties!A$1:CB$87,Formula!F95,39)=0,10^6,INDEX(Properties!A$1:CB$87,Formula!F95,39)),IF(INDEX(Properties!A$1:CB$87,Formula!H95,39)=0,10^6,INDEX(Properties!A$1:CB$87,Formula!H95,39)),IF(INDEX(Properties!A$1:CB$87,Formula!J95,39)=0,10^6,INDEX(Properties!A$1:CB$87,Formula!J95,39)))</f>
        <v>0.48</v>
      </c>
      <c r="DQ95" s="45">
        <f t="shared" si="51"/>
        <v>2.0499999999999998</v>
      </c>
      <c r="DR95" s="63">
        <f>((Formula!C95)/(Formula!C95+Formula!E95+Formula!G95+Formula!I95+Formula!K95))*(INDEX(Properties!A$1:CB$87,Formula!B95,40))+((Formula!E95)/(Formula!C95+Formula!E95+Formula!G95+Formula!I95+Formula!K95))*(INDEX(Properties!A$1:CB$87,Formula!D95,40))+((Formula!G95)/(Formula!C95+Formula!E95+Formula!G95+Formula!I95+Formula!K95))*(INDEX(Properties!A$1:CB$87,Formula!F95,40))+((Formula!I95)/(Formula!C95+Formula!E95+Formula!G95+Formula!I95+Formula!K95))*(INDEX(Properties!A$1:CB$87,Formula!H95,40))+((Formula!K95)/(Formula!C95+Formula!E95+Formula!G95+Formula!I95+Formula!K95))*(INDEX(Properties!A$1:CB$87,Formula!J95,40))</f>
        <v>1.1100000000000001</v>
      </c>
      <c r="DS95" s="63">
        <f>Formula!C95*(INDEX(Properties!A$1:CB$87,Formula!B95,40))+Formula!E95*(INDEX(Properties!A$1:CB$87,Formula!D95,40))+Formula!G95*(INDEX(Properties!A$1:CB$87,Formula!F95,40))+Formula!I95*(INDEX(Properties!A$1:CB$87,Formula!H95,40))+Formula!K95*(INDEX(Properties!A$1:CB$87,Formula!J95,40))</f>
        <v>11.1</v>
      </c>
      <c r="DT95" s="63">
        <f>VARP(IF(INDEX(Properties!A$1:CB$87,Formula!B95,40)&lt;&gt;"",INDEX(Properties!A$1:CB$87,Formula!B95,40)),IF(INDEX(Properties!A$1:CB$87,Formula!D95,40)&lt;&gt;"",INDEX(Properties!A$1:CB$87,Formula!D95,40)),IF(INDEX(Properties!A$1:CB$87,Formula!F95,40)&lt;&gt;"",INDEX(Properties!A$1:CB$87,Formula!F95,40)),IF(INDEX(Properties!A$1:CB$87,Formula!H95,40)&lt;&gt;"",INDEX(Properties!A$1:CB$87,Formula!H95,40)),IF(INDEX(Properties!A$1:CB$87,Formula!J95,40)&lt;&gt;"",INDEX(Properties!A$1:CB$87,Formula!J95,40)))</f>
        <v>0.4575439999999999</v>
      </c>
      <c r="DU95" s="63">
        <f>MAX(INDEX(Properties!A$1:CB$87,Formula!B95,40),INDEX(Properties!A$1:CB$87,Formula!D95,40),INDEX(Properties!A$1:CB$87,Formula!F95,40),INDEX(Properties!A$1:CB$87,Formula!H95,40),INDEX(Properties!A$1:CB$87,Formula!J95,40))</f>
        <v>1.98</v>
      </c>
      <c r="DV95" s="63">
        <f>MIN(IF(INDEX(Properties!A$1:CB$87,Formula!B95,40)=0,10^6,INDEX(Properties!A$1:CB$87,Formula!B95,40)),IF(INDEX(Properties!A$1:CB$87,Formula!D95,40)=0,10^6,INDEX(Properties!A$1:CB$87,Formula!D95,40)),IF(INDEX(Properties!A$1:CB$87,Formula!F95,40)=0,10^6,INDEX(Properties!A$1:CB$87,Formula!F95,40)),IF(INDEX(Properties!A$1:CB$87,Formula!H95,40)=0,10^6,INDEX(Properties!A$1:CB$87,Formula!H95,40)),IF(INDEX(Properties!A$1:CB$87,Formula!J95,40)=0,10^6,INDEX(Properties!A$1:CB$87,Formula!J95,40)))</f>
        <v>0.73</v>
      </c>
      <c r="DW95" s="63">
        <f t="shared" si="52"/>
        <v>1.25</v>
      </c>
      <c r="DX95" s="75">
        <f>((Formula!C95)/(Formula!C95+Formula!E95+Formula!G95+Formula!I95+Formula!K95))*(INDEX(Properties!A$1:CB$87,Formula!B95,41))+((Formula!E95)/(Formula!C95+Formula!E95+Formula!G95+Formula!I95+Formula!K95))*(INDEX(Properties!A$1:CB$87,Formula!D95,41))+((Formula!G95)/(Formula!C95+Formula!E95+Formula!G95+Formula!I95+Formula!K95))*(INDEX(Properties!A$1:CB$87,Formula!F95,41))+((Formula!I95)/(Formula!C95+Formula!E95+Formula!G95+Formula!I95+Formula!K95))*(INDEX(Properties!A$1:CB$87,Formula!H95,41))+((Formula!K95)/(Formula!C95+Formula!E95+Formula!G95+Formula!I95+Formula!K95))*(INDEX(Properties!A$1:CB$87,Formula!J95,41))</f>
        <v>1.2250000000000001</v>
      </c>
      <c r="DY95" s="75">
        <f>Formula!C95*(INDEX(Properties!A$1:CB$87,Formula!B95,41))+Formula!E95*(INDEX(Properties!A$1:CB$87,Formula!D95,41))+Formula!G95*(INDEX(Properties!A$1:CB$87,Formula!F95,41))+Formula!I95*(INDEX(Properties!A$1:CB$87,Formula!H95,41))+Formula!K95*(INDEX(Properties!A$1:CB$87,Formula!J95,41))</f>
        <v>12.25</v>
      </c>
      <c r="DZ95" s="75">
        <f>VARP(IF(INDEX(Properties!A$1:CB$87,Formula!B95,41)&lt;&gt;"",INDEX(Properties!A$1:CB$87,Formula!B95,41)),IF(INDEX(Properties!A$1:CB$87,Formula!D95,41)&lt;&gt;"",INDEX(Properties!A$1:CB$87,Formula!D95,41)),IF(INDEX(Properties!A$1:CB$87,Formula!F95,41)&lt;&gt;"",INDEX(Properties!A$1:CB$87,Formula!F95,41)),IF(INDEX(Properties!A$1:CB$87,Formula!H95,41)&lt;&gt;"",INDEX(Properties!A$1:CB$87,Formula!H95,41)),IF(INDEX(Properties!A$1:CB$87,Formula!J95,41)&lt;&gt;"",INDEX(Properties!A$1:CB$87,Formula!J95,41)))</f>
        <v>0.25853599999999999</v>
      </c>
      <c r="EA95" s="75">
        <f>MAX(INDEX(Properties!A$1:CB$87,Formula!B95,41),INDEX(Properties!A$1:CB$87,Formula!D95,41),INDEX(Properties!A$1:CB$87,Formula!F95,41),INDEX(Properties!A$1:CB$87,Formula!H95,41),INDEX(Properties!A$1:CB$87,Formula!J95,41))</f>
        <v>1.49</v>
      </c>
      <c r="EB95" s="75">
        <f>MIN(IF(INDEX(Properties!A$1:CB$87,Formula!B95,41)=0,10^6,INDEX(Properties!A$1:CB$87,Formula!B95,41)),IF(INDEX(Properties!A$1:CB$87,Formula!D95,41)=0,10^6,INDEX(Properties!A$1:CB$87,Formula!D95,41)),IF(INDEX(Properties!A$1:CB$87,Formula!F95,41)=0,10^6,INDEX(Properties!A$1:CB$87,Formula!F95,41)),IF(INDEX(Properties!A$1:CB$87,Formula!H95,41)=0,10^6,INDEX(Properties!A$1:CB$87,Formula!H95,41)),IF(INDEX(Properties!A$1:CB$87,Formula!J95,41)=0,10^6,INDEX(Properties!A$1:CB$87,Formula!J95,41)))</f>
        <v>0.83</v>
      </c>
      <c r="EC95" s="75">
        <f t="shared" si="53"/>
        <v>0.66</v>
      </c>
      <c r="ED95" s="48">
        <f>((Formula!C95)/(Formula!C95+Formula!E95+Formula!G95+Formula!I95+Formula!K95))*(INDEX(Properties!A$1:CB$87,Formula!B95,45))+((Formula!E95)/(Formula!C95+Formula!E95+Formula!G95+Formula!I95+Formula!K95))*(INDEX(Properties!A$1:CB$87,Formula!D95,45))+((Formula!G95)/(Formula!C95+Formula!E95+Formula!G95+Formula!I95+Formula!K95))*(INDEX(Properties!A$1:CB$87,Formula!F95,45))+((Formula!I95)/(Formula!C95+Formula!E95+Formula!G95+Formula!I95+Formula!K95))*(INDEX(Properties!A$1:CB$87,Formula!H95,45))+((Formula!K95)/(Formula!C95+Formula!E95+Formula!G95+Formula!I95+Formula!K95))*(INDEX(Properties!A$1:CB$87,Formula!J95,45))</f>
        <v>1.4220000000000002</v>
      </c>
      <c r="EE95" s="48">
        <f>Formula!C95*(INDEX(Properties!A$1:CB$87,Formula!B95,45))+Formula!E95*(INDEX(Properties!A$1:CB$87,Formula!D95,45))+Formula!G95*(INDEX(Properties!A$1:CB$87,Formula!F95,45))+Formula!I95*(INDEX(Properties!A$1:CB$87,Formula!H95,45))+Formula!K95*(INDEX(Properties!A$1:CB$87,Formula!J95,45))</f>
        <v>14.22</v>
      </c>
      <c r="EF95" s="48">
        <f>VARP(IF(INDEX(Properties!A$1:CB$87,Formula!B95,45)&lt;&gt;"",INDEX(Properties!A$1:CB$87,Formula!B95,45)),IF(INDEX(Properties!A$1:CB$87,Formula!D95,45)&lt;&gt;"",INDEX(Properties!A$1:CB$87,Formula!D95,45)),IF(INDEX(Properties!A$1:CB$87,Formula!F95,45)&lt;&gt;"",INDEX(Properties!A$1:CB$87,Formula!F95,45)),IF(INDEX(Properties!A$1:CB$87,Formula!H95,45)&lt;&gt;"",INDEX(Properties!A$1:CB$87,Formula!H95,45)),IF(INDEX(Properties!A$1:CB$87,Formula!J95,45)&lt;&gt;"",INDEX(Properties!A$1:CB$87,Formula!J95,45)))</f>
        <v>1.6731039999999995</v>
      </c>
      <c r="EG95" s="48">
        <f>MAX(INDEX(Properties!A$1:CB$87,Formula!B95,45),INDEX(Properties!A$1:CB$87,Formula!D95,45),INDEX(Properties!A$1:CB$87,Formula!F95,45),INDEX(Properties!A$1:CB$87,Formula!H95,45),INDEX(Properties!A$1:CB$87,Formula!J95,45))</f>
        <v>3.4</v>
      </c>
      <c r="EH95" s="48">
        <f>MIN(IF(INDEX(Properties!A$1:CB$87,Formula!B95,45)=0,10^6,INDEX(Properties!A$1:CB$87,Formula!B95,45)),IF(INDEX(Properties!A$1:CB$87,Formula!D95,45)=0,10^6,INDEX(Properties!A$1:CB$87,Formula!D95,45)),IF(INDEX(Properties!A$1:CB$87,Formula!F95,45)=0,10^6,INDEX(Properties!A$1:CB$87,Formula!F95,45)),IF(INDEX(Properties!A$1:CB$87,Formula!H95,45)=0,10^6,INDEX(Properties!A$1:CB$87,Formula!H95,45)),IF(INDEX(Properties!A$1:CB$87,Formula!J95,45)=0,10^6,INDEX(Properties!A$1:CB$87,Formula!J95,45)))</f>
        <v>0.47</v>
      </c>
      <c r="EI95" s="48">
        <f t="shared" si="54"/>
        <v>2.9299999999999997</v>
      </c>
      <c r="EJ95" s="66">
        <f>((Formula!C95)/(Formula!C95+Formula!E95+Formula!G95+Formula!I95+Formula!K95))*(INDEX(Properties!A$1:CB$87,Formula!B95,46))+((Formula!E95)/(Formula!C95+Formula!E95+Formula!G95+Formula!I95+Formula!K95))*(INDEX(Properties!A$1:CB$87,Formula!D95,46))+((Formula!G95)/(Formula!C95+Formula!E95+Formula!G95+Formula!I95+Formula!K95))*(INDEX(Properties!A$1:CB$87,Formula!F95,46))+((Formula!I95)/(Formula!C95+Formula!E95+Formula!G95+Formula!I95+Formula!K95))*(INDEX(Properties!A$1:CB$87,Formula!H95,46))+((Formula!K95)/(Formula!C95+Formula!E95+Formula!G95+Formula!I95+Formula!K95))*(INDEX(Properties!A$1:CB$87,Formula!J95,46))</f>
        <v>1.177</v>
      </c>
      <c r="EK95" s="66">
        <f>Formula!C95*(INDEX(Properties!A$1:CB$87,Formula!B95,46))+Formula!E95*(INDEX(Properties!A$1:CB$87,Formula!D95,46))+Formula!G95*(INDEX(Properties!A$1:CB$87,Formula!F95,46))+Formula!I95*(INDEX(Properties!A$1:CB$87,Formula!H95,46))+Formula!K95*(INDEX(Properties!A$1:CB$87,Formula!J95,46))</f>
        <v>11.77</v>
      </c>
      <c r="EL95" s="66">
        <f>VARP(IF(INDEX(Properties!A$1:CB$87,Formula!B95,46)&lt;&gt;"",INDEX(Properties!A$1:CB$87,Formula!B95,46)),IF(INDEX(Properties!A$1:CB$87,Formula!D95,46)&lt;&gt;"",INDEX(Properties!A$1:CB$87,Formula!D95,46)),IF(INDEX(Properties!A$1:CB$87,Formula!F95,46)&lt;&gt;"",INDEX(Properties!A$1:CB$87,Formula!F95,46)),IF(INDEX(Properties!A$1:CB$87,Formula!H95,46)&lt;&gt;"",INDEX(Properties!A$1:CB$87,Formula!H95,46)),IF(INDEX(Properties!A$1:CB$87,Formula!J95,46)&lt;&gt;"",INDEX(Properties!A$1:CB$87,Formula!J95,46)))</f>
        <v>0.25546399999999975</v>
      </c>
      <c r="EM95" s="66">
        <f>MAX(INDEX(Properties!A$1:CB$87,Formula!B95,46),INDEX(Properties!A$1:CB$87,Formula!D95,46),INDEX(Properties!A$1:CB$87,Formula!F95,46),INDEX(Properties!A$1:CB$87,Formula!H95,46),INDEX(Properties!A$1:CB$87,Formula!J95,46))</f>
        <v>1.49</v>
      </c>
      <c r="EN95" s="66">
        <f>MIN(IF(INDEX(Properties!A$1:CB$87,Formula!B95,46)=0,10^6,INDEX(Properties!A$1:CB$87,Formula!B95,46)),IF(INDEX(Properties!A$1:CB$87,Formula!D95,46)=0,10^6,INDEX(Properties!A$1:CB$87,Formula!D95,46)),IF(INDEX(Properties!A$1:CB$87,Formula!F95,46)=0,10^6,INDEX(Properties!A$1:CB$87,Formula!F95,46)),IF(INDEX(Properties!A$1:CB$87,Formula!H95,46)=0,10^6,INDEX(Properties!A$1:CB$87,Formula!H95,46)),IF(INDEX(Properties!A$1:CB$87,Formula!J95,46)=0,10^6,INDEX(Properties!A$1:CB$87,Formula!J95,46)))</f>
        <v>0.74</v>
      </c>
      <c r="EO95" s="66">
        <f t="shared" si="55"/>
        <v>0.75</v>
      </c>
      <c r="EP95" s="81">
        <f>((Formula!C95)/(Formula!C95+Formula!E95+Formula!G95+Formula!I95+Formula!K95))*(INDEX(Properties!A$1:CB$87,Formula!B95,52))+((Formula!E95)/(Formula!C95+Formula!E95+Formula!G95+Formula!I95+Formula!K95))*(INDEX(Properties!A$1:CB$87,Formula!D95,52))+((Formula!G95)/(Formula!C95+Formula!E95+Formula!G95+Formula!I95+Formula!K95))*(INDEX(Properties!A$1:CB$87,Formula!F95,52))+((Formula!I95)/(Formula!C95+Formula!E95+Formula!G95+Formula!I95+Formula!K95))*(INDEX(Properties!A$1:CB$87,Formula!H95,52))+((Formula!K95)/(Formula!C95+Formula!E95+Formula!G95+Formula!I95+Formula!K95))*(INDEX(Properties!A$1:CB$87,Formula!J95,52))</f>
        <v>10.335800000000003</v>
      </c>
      <c r="EQ95" s="81">
        <f>Formula!C95*(INDEX(Properties!A$1:CB$87,Formula!B95,52))+Formula!E95*(INDEX(Properties!A$1:CB$87,Formula!D95,52))+Formula!G95*(INDEX(Properties!A$1:CB$87,Formula!F95,52))+Formula!I95*(INDEX(Properties!A$1:CB$87,Formula!H95,52))+Formula!K95*(INDEX(Properties!A$1:CB$87,Formula!J95,52))</f>
        <v>103.358</v>
      </c>
      <c r="ER95" s="81">
        <f>VARP(IF(INDEX(Properties!A$1:CB$87,Formula!B95,52)&lt;&gt;"",INDEX(Properties!A$1:CB$87,Formula!B95,52)),IF(INDEX(Properties!A$1:CB$87,Formula!D95,52)&lt;&gt;"",INDEX(Properties!A$1:CB$87,Formula!D95,52)),IF(INDEX(Properties!A$1:CB$87,Formula!F95,52)&lt;&gt;"",INDEX(Properties!A$1:CB$87,Formula!F95,52)),IF(INDEX(Properties!A$1:CB$87,Formula!H95,52)&lt;&gt;"",INDEX(Properties!A$1:CB$87,Formula!H95,52)),IF(INDEX(Properties!A$1:CB$87,Formula!J95,52)&lt;&gt;"",INDEX(Properties!A$1:CB$87,Formula!J95,52)))</f>
        <v>213.77359984000006</v>
      </c>
      <c r="ES95" s="81">
        <f>MAX(INDEX(Properties!A$1:CB$87,Formula!B95,52),INDEX(Properties!A$1:CB$87,Formula!D95,52),INDEX(Properties!A$1:CB$87,Formula!F95,52),INDEX(Properties!A$1:CB$87,Formula!H95,52),INDEX(Properties!A$1:CB$87,Formula!J95,52))</f>
        <v>39.700000000000003</v>
      </c>
      <c r="ET95" s="81">
        <f>MIN(IF(INDEX(Properties!A$1:CB$87,Formula!B95,52)=0,10^6,INDEX(Properties!A$1:CB$87,Formula!B95,52)),IF(INDEX(Properties!A$1:CB$87,Formula!D95,52)=0,10^6,INDEX(Properties!A$1:CB$87,Formula!D95,52)),IF(INDEX(Properties!A$1:CB$87,Formula!F95,52)=0,10^6,INDEX(Properties!A$1:CB$87,Formula!F95,52)),IF(INDEX(Properties!A$1:CB$87,Formula!H95,52)=0,10^6,INDEX(Properties!A$1:CB$87,Formula!H95,52)),IF(INDEX(Properties!A$1:CB$87,Formula!J95,52)=0,10^6,INDEX(Properties!A$1:CB$87,Formula!J95,52)))</f>
        <v>0.79300000000000004</v>
      </c>
      <c r="EU95" s="81">
        <f t="shared" si="56"/>
        <v>38.907000000000004</v>
      </c>
      <c r="EV95" s="39">
        <f>((Formula!C95)/(Formula!C95+Formula!E95+Formula!G95+Formula!I95+Formula!K95))*(INDEX(Properties!A$1:CB$87,Formula!B95,53))+((Formula!E95)/(Formula!C95+Formula!E95+Formula!G95+Formula!I95+Formula!K95))*(INDEX(Properties!A$1:CB$87,Formula!D95,53))+((Formula!G95)/(Formula!C95+Formula!E95+Formula!G95+Formula!I95+Formula!K95))*(INDEX(Properties!A$1:CB$87,Formula!F95,53))+((Formula!I95)/(Formula!C95+Formula!E95+Formula!G95+Formula!I95+Formula!K95))*(INDEX(Properties!A$1:CB$87,Formula!H95,53))+((Formula!K95)/(Formula!C95+Formula!E95+Formula!G95+Formula!I95+Formula!K95))*(INDEX(Properties!A$1:CB$87,Formula!J95,53))</f>
        <v>590.7700000000001</v>
      </c>
      <c r="EW95" s="39">
        <f>Formula!C95*(INDEX(Properties!A$1:CB$87,Formula!B95,53))+Formula!E95*(INDEX(Properties!A$1:CB$87,Formula!D95,53))+Formula!G95*(INDEX(Properties!A$1:CB$87,Formula!F95,53))+Formula!I95*(INDEX(Properties!A$1:CB$87,Formula!H95,53))+Formula!K95*(INDEX(Properties!A$1:CB$87,Formula!J95,53))</f>
        <v>5907.7000000000007</v>
      </c>
      <c r="EX95" s="39">
        <f>VARP(IF(INDEX(Properties!A$1:CB$87,Formula!B95,53)&lt;&gt;"",INDEX(Properties!A$1:CB$87,Formula!B95,53)),IF(INDEX(Properties!A$1:CB$87,Formula!D95,53)&lt;&gt;"",INDEX(Properties!A$1:CB$87,Formula!D95,53)),IF(INDEX(Properties!A$1:CB$87,Formula!F95,53)&lt;&gt;"",INDEX(Properties!A$1:CB$87,Formula!F95,53)),IF(INDEX(Properties!A$1:CB$87,Formula!H95,53)&lt;&gt;"",INDEX(Properties!A$1:CB$87,Formula!H95,53)),IF(INDEX(Properties!A$1:CB$87,Formula!J95,53)&lt;&gt;"",INDEX(Properties!A$1:CB$87,Formula!J95,53)))</f>
        <v>1106808.4484000001</v>
      </c>
      <c r="EY95" s="39">
        <f>MAX(INDEX(Properties!A$1:CB$87,Formula!B95,53),INDEX(Properties!A$1:CB$87,Formula!D95,53),INDEX(Properties!A$1:CB$87,Formula!F95,53),INDEX(Properties!A$1:CB$87,Formula!H95,53),INDEX(Properties!A$1:CB$87,Formula!J95,53))</f>
        <v>2890.15</v>
      </c>
      <c r="EZ95" s="39">
        <f>MIN(IF(INDEX(Properties!A$1:CB$87,Formula!B95,53)=0,10^6,INDEX(Properties!A$1:CB$87,Formula!B95,53)),IF(INDEX(Properties!A$1:CB$87,Formula!D95,53)=0,10^6,INDEX(Properties!A$1:CB$87,Formula!D95,53)),IF(INDEX(Properties!A$1:CB$87,Formula!F95,53)=0,10^6,INDEX(Properties!A$1:CB$87,Formula!F95,53)),IF(INDEX(Properties!A$1:CB$87,Formula!H95,53)=0,10^6,INDEX(Properties!A$1:CB$87,Formula!H95,53)),IF(INDEX(Properties!A$1:CB$87,Formula!J95,53)=0,10^6,INDEX(Properties!A$1:CB$87,Formula!J95,53)))</f>
        <v>54.749999999999972</v>
      </c>
      <c r="FA95" s="39">
        <f t="shared" si="57"/>
        <v>2835.4</v>
      </c>
      <c r="FB95" s="54">
        <f>((Formula!C95)/(Formula!C95+Formula!E95+Formula!G95+Formula!I95+Formula!K95))*(INDEX(Properties!A$1:CB$87,Formula!B95,54))+((Formula!E95)/(Formula!C95+Formula!E95+Formula!G95+Formula!I95+Formula!K95))*(INDEX(Properties!A$1:CB$87,Formula!D95,54))+((Formula!G95)/(Formula!C95+Formula!E95+Formula!G95+Formula!I95+Formula!K95))*(INDEX(Properties!A$1:CB$87,Formula!F95,54))+((Formula!I95)/(Formula!C95+Formula!E95+Formula!G95+Formula!I95+Formula!K95))*(INDEX(Properties!A$1:CB$87,Formula!H95,54))+((Formula!K95)/(Formula!C95+Formula!E95+Formula!G95+Formula!I95+Formula!K95))*(INDEX(Properties!A$1:CB$87,Formula!J95,54))</f>
        <v>1043.1500000000001</v>
      </c>
      <c r="FC95" s="54">
        <f>Formula!C95*(INDEX(Properties!A$1:CB$87,Formula!B95,54))+Formula!E95*(INDEX(Properties!A$1:CB$87,Formula!D95,54))+Formula!G95*(INDEX(Properties!A$1:CB$87,Formula!F95,54))+Formula!I95*(INDEX(Properties!A$1:CB$87,Formula!H95,54))+Formula!K95*(INDEX(Properties!A$1:CB$87,Formula!J95,54))</f>
        <v>10431.5</v>
      </c>
      <c r="FD95" s="54">
        <f>VARP(IF(INDEX(Properties!A$1:CB$87,Formula!B95,54)&lt;&gt;"",INDEX(Properties!A$1:CB$87,Formula!B95,54)),IF(INDEX(Properties!A$1:CB$87,Formula!D95,54)&lt;&gt;"",INDEX(Properties!A$1:CB$87,Formula!D95,54)),IF(INDEX(Properties!A$1:CB$87,Formula!F95,54)&lt;&gt;"",INDEX(Properties!A$1:CB$87,Formula!F95,54)),IF(INDEX(Properties!A$1:CB$87,Formula!H95,54)&lt;&gt;"",INDEX(Properties!A$1:CB$87,Formula!H95,54)),IF(INDEX(Properties!A$1:CB$87,Formula!J95,54)&lt;&gt;"",INDEX(Properties!A$1:CB$87,Formula!J95,54)))</f>
        <v>3181224.2475999999</v>
      </c>
      <c r="FE95" s="54">
        <f>MAX(INDEX(Properties!A$1:CB$87,Formula!B95,54),INDEX(Properties!A$1:CB$87,Formula!D95,54),INDEX(Properties!A$1:CB$87,Formula!F95,54),INDEX(Properties!A$1:CB$87,Formula!H95,54),INDEX(Properties!A$1:CB$87,Formula!J95,54))</f>
        <v>4885.1499999999996</v>
      </c>
      <c r="FF95" s="54">
        <f>MIN(IF(INDEX(Properties!A$1:CB$87,Formula!B95,54)=0,10^6,INDEX(Properties!A$1:CB$87,Formula!B95,54)),IF(INDEX(Properties!A$1:CB$87,Formula!D95,54)=0,10^6,INDEX(Properties!A$1:CB$87,Formula!D95,54)),IF(INDEX(Properties!A$1:CB$87,Formula!F95,54)=0,10^6,INDEX(Properties!A$1:CB$87,Formula!F95,54)),IF(INDEX(Properties!A$1:CB$87,Formula!H95,54)=0,10^6,INDEX(Properties!A$1:CB$87,Formula!H95,54)),IF(INDEX(Properties!A$1:CB$87,Formula!J95,54)=0,10^6,INDEX(Properties!A$1:CB$87,Formula!J95,54)))</f>
        <v>90.149999999999977</v>
      </c>
      <c r="FG95" s="54">
        <f t="shared" si="58"/>
        <v>4795</v>
      </c>
      <c r="FH95" s="69">
        <f>((Formula!C95)/(Formula!C95+Formula!E95+Formula!G95+Formula!I95+Formula!K95))*(INDEX(Properties!A$1:CB$87,Formula!B95,55))+((Formula!E95)/(Formula!C95+Formula!E95+Formula!G95+Formula!I95+Formula!K95))*(INDEX(Properties!A$1:CB$87,Formula!D95,55))+((Formula!G95)/(Formula!C95+Formula!E95+Formula!G95+Formula!I95+Formula!K95))*(INDEX(Properties!A$1:CB$87,Formula!F95,55))+((Formula!I95)/(Formula!C95+Formula!E95+Formula!G95+Formula!I95+Formula!K95))*(INDEX(Properties!A$1:CB$87,Formula!H95,55))+((Formula!K95)/(Formula!C95+Formula!E95+Formula!G95+Formula!I95+Formula!K95))*(INDEX(Properties!A$1:CB$87,Formula!J95,55))</f>
        <v>2.4338580000000003</v>
      </c>
      <c r="FI95" s="69">
        <f>Formula!C95*(INDEX(Properties!A$1:CB$87,Formula!B95,55))+Formula!E95*(INDEX(Properties!A$1:CB$87,Formula!D95,54))+Formula!G95*(INDEX(Properties!A$1:CB$87,Formula!F95,55))+Formula!I95*(INDEX(Properties!A$1:CB$87,Formula!H95,55))+Formula!K95*(INDEX(Properties!A$1:CB$87,Formula!J95,55))</f>
        <v>1196.3585800000001</v>
      </c>
      <c r="FJ95" s="69">
        <f>VARP(IF(INDEX(Properties!A$1:CB$87,Formula!B95,55)&lt;&gt;"",INDEX(Properties!A$1:CB$87,Formula!B95,55)),IF(INDEX(Properties!A$1:CB$87,Formula!D95,55)&lt;&gt;"",INDEX(Properties!A$1:CB$87,Formula!D95,55)),IF(INDEX(Properties!A$1:CB$87,Formula!F95,55)&lt;&gt;"",INDEX(Properties!A$1:CB$87,Formula!F95,55)),IF(INDEX(Properties!A$1:CB$87,Formula!H95,55)&lt;&gt;"",INDEX(Properties!A$1:CB$87,Formula!H95,55)),IF(INDEX(Properties!A$1:CB$87,Formula!J95,55)&lt;&gt;"",INDEX(Properties!A$1:CB$87,Formula!J95,55)))</f>
        <v>16.067441375183993</v>
      </c>
      <c r="FK95" s="69">
        <f>MAX(INDEX(Properties!A$1:CB$87,Formula!B95,55),INDEX(Properties!A$1:CB$87,Formula!D95,55),INDEX(Properties!A$1:CB$87,Formula!F95,55),INDEX(Properties!A$1:CB$87,Formula!H95,55),INDEX(Properties!A$1:CB$87,Formula!J95,55))</f>
        <v>10.199999999999999</v>
      </c>
      <c r="FL95" s="69">
        <f>MIN(IF(INDEX(Properties!A$1:CB$87,Formula!B95,55)=0,10^6,INDEX(Properties!A$1:CB$87,Formula!B95,55)),IF(INDEX(Properties!A$1:CB$87,Formula!D95,55)=0,10^6,INDEX(Properties!A$1:CB$87,Formula!D95,55)),IF(INDEX(Properties!A$1:CB$87,Formula!F95,55)=0,10^6,INDEX(Properties!A$1:CB$87,Formula!F95,55)),IF(INDEX(Properties!A$1:CB$87,Formula!H95,55)=0,10^6,INDEX(Properties!A$1:CB$87,Formula!H95,55)),IF(INDEX(Properties!A$1:CB$87,Formula!J95,55)=0,10^6,INDEX(Properties!A$1:CB$87,Formula!J95,55)))</f>
        <v>1.4300000000000001E-3</v>
      </c>
      <c r="FM95" s="69">
        <f t="shared" si="59"/>
        <v>10.19857</v>
      </c>
      <c r="FN95" s="42">
        <f>((Formula!C95)/(Formula!C95+Formula!E95+Formula!G95+Formula!I95+Formula!K95))*(INDEX(Properties!A$1:CB$87,Formula!B95,56))+((Formula!E95)/(Formula!C95+Formula!E95+Formula!G95+Formula!I95+Formula!K95))*(INDEX(Properties!A$1:CB$87,Formula!D95,56))+((Formula!G95)/(Formula!C95+Formula!E95+Formula!G95+Formula!I95+Formula!K95))*(INDEX(Properties!A$1:CB$87,Formula!F95,56))+((Formula!I95)/(Formula!C95+Formula!E95+Formula!G95+Formula!I95+Formula!K95))*(INDEX(Properties!A$1:CB$87,Formula!H95,56))+((Formula!K95)/(Formula!C95+Formula!E95+Formula!G95+Formula!I95+Formula!K95))*(INDEX(Properties!A$1:CB$87,Formula!J95,56))</f>
        <v>0.65680000000000005</v>
      </c>
      <c r="FO95" s="42">
        <f>Formula!C95*(INDEX(Properties!A$1:CB$87,Formula!B95,56))+Formula!E95*(INDEX(Properties!A$1:CB$87,Formula!D95,56))+Formula!G95*(INDEX(Properties!A$1:CB$87,Formula!F95,56))+Formula!I95*(INDEX(Properties!A$1:CB$87,Formula!H95,56))+Formula!K95*(INDEX(Properties!A$1:CB$87,Formula!J95,56))</f>
        <v>6.5680000000000005</v>
      </c>
      <c r="FP95" s="42">
        <f>VARP(IF(INDEX(Properties!A$1:CB$87,Formula!B95,56)&lt;&gt;"",INDEX(Properties!A$1:CB$87,Formula!B95,56)),IF(INDEX(Properties!A$1:CB$87,Formula!D95,56)&lt;&gt;"",INDEX(Properties!A$1:CB$87,Formula!D95,56)),IF(INDEX(Properties!A$1:CB$87,Formula!F95,56)&lt;&gt;"",INDEX(Properties!A$1:CB$87,Formula!F95,56)),IF(INDEX(Properties!A$1:CB$87,Formula!H95,56)&lt;&gt;"",INDEX(Properties!A$1:CB$87,Formula!H95,56)),IF(INDEX(Properties!A$1:CB$87,Formula!J95,56)&lt;&gt;"",INDEX(Properties!A$1:CB$87,Formula!J95,56)))</f>
        <v>9.6055360000000006E-2</v>
      </c>
      <c r="FQ95" s="42">
        <f>MAX(INDEX(Properties!A$1:CB$87,Formula!B95,56),INDEX(Properties!A$1:CB$87,Formula!D95,56),INDEX(Properties!A$1:CB$87,Formula!F95,56),INDEX(Properties!A$1:CB$87,Formula!H95,56),INDEX(Properties!A$1:CB$87,Formula!J95,56))</f>
        <v>0.92</v>
      </c>
      <c r="FR95" s="42">
        <f>MIN(IF(INDEX(Properties!A$1:CB$87,Formula!B95,56)=0,10^6,INDEX(Properties!A$1:CB$87,Formula!B95,56)),IF(INDEX(Properties!A$1:CB$87,Formula!D95,56)=0,10^6,INDEX(Properties!A$1:CB$87,Formula!D95,56)),IF(INDEX(Properties!A$1:CB$87,Formula!F95,56)=0,10^6,INDEX(Properties!A$1:CB$87,Formula!F95,56)),IF(INDEX(Properties!A$1:CB$87,Formula!H95,56)=0,10^6,INDEX(Properties!A$1:CB$87,Formula!H95,56)),IF(INDEX(Properties!A$1:CB$87,Formula!J95,56)=0,10^6,INDEX(Properties!A$1:CB$87,Formula!J95,56)))</f>
        <v>0.20399999999999999</v>
      </c>
      <c r="FS95" s="42">
        <f t="shared" si="60"/>
        <v>0.71600000000000008</v>
      </c>
      <c r="FT95" s="60">
        <f>((Formula!C95)/(Formula!C95+Formula!E95+Formula!G95+Formula!I95+Formula!K95))*(INDEX(Properties!A$1:CB$87,Formula!B95,57))+((Formula!E95)/(Formula!C95+Formula!E95+Formula!G95+Formula!I95+Formula!K95))*(INDEX(Properties!A$1:CB$87,Formula!D95,57))+((Formula!G95)/(Formula!C95+Formula!E95+Formula!G95+Formula!I95+Formula!K95))*(INDEX(Properties!A$1:CB$87,Formula!F95,57))+((Formula!I95)/(Formula!C95+Formula!E95+Formula!G95+Formula!I95+Formula!K95))*(INDEX(Properties!A$1:CB$87,Formula!H95,57))+((Formula!K95)/(Formula!C95+Formula!E95+Formula!G95+Formula!I95+Formula!K95))*(INDEX(Properties!A$1:CB$87,Formula!J95,57))</f>
        <v>5.6157540000000008</v>
      </c>
      <c r="FU95" s="60">
        <f>Formula!C95*(INDEX(Properties!A$1:CB$87,Formula!B95,57))+Formula!E95*(INDEX(Properties!A$1:CB$87,Formula!D95,57))+Formula!G95*(INDEX(Properties!A$1:CB$87,Formula!F95,57))+Formula!I95*(INDEX(Properties!A$1:CB$87,Formula!H95,57))+Formula!K95*(INDEX(Properties!A$1:CB$87,Formula!J95,57))</f>
        <v>56.157540000000004</v>
      </c>
      <c r="FV95" s="60">
        <f>VARP(IF(INDEX(Properties!A$1:CB$87,Formula!B95,57)&lt;&gt;"",INDEX(Properties!A$1:CB$87,Formula!B95,57)),IF(INDEX(Properties!A$1:CB$87,Formula!D95,57)&lt;&gt;"",INDEX(Properties!A$1:CB$87,Formula!D95,57)),IF(INDEX(Properties!A$1:CB$87,Formula!F95,57)&lt;&gt;"",INDEX(Properties!A$1:CB$87,Formula!F95,57)),IF(INDEX(Properties!A$1:CB$87,Formula!H95,57)&lt;&gt;"",INDEX(Properties!A$1:CB$87,Formula!H95,57)),IF(INDEX(Properties!A$1:CB$87,Formula!J95,57)&lt;&gt;"",INDEX(Properties!A$1:CB$87,Formula!J95,57)))</f>
        <v>138.07361633089599</v>
      </c>
      <c r="FW95" s="60">
        <f>MAX(INDEX(Properties!A$1:CB$87,Formula!B95,57),INDEX(Properties!A$1:CB$87,Formula!D95,57),INDEX(Properties!A$1:CB$87,Formula!F95,57),INDEX(Properties!A$1:CB$87,Formula!H95,57),INDEX(Properties!A$1:CB$87,Formula!J95,57))</f>
        <v>32</v>
      </c>
      <c r="FX95" s="60">
        <f>MIN(IF(INDEX(Properties!A$1:CB$87,Formula!B95,57)=0,10^6,INDEX(Properties!A$1:CB$87,Formula!B95,57)),IF(INDEX(Properties!A$1:CB$87,Formula!D95,57)=0,10^6,INDEX(Properties!A$1:CB$87,Formula!D95,57)),IF(INDEX(Properties!A$1:CB$87,Formula!F95,57)=0,10^6,INDEX(Properties!A$1:CB$87,Formula!F95,57)),IF(INDEX(Properties!A$1:CB$87,Formula!H95,57)=0,10^6,INDEX(Properties!A$1:CB$87,Formula!H95,57)),IF(INDEX(Properties!A$1:CB$87,Formula!J95,57)=0,10^6,INDEX(Properties!A$1:CB$87,Formula!J95,57)))</f>
        <v>0.22259000000000001</v>
      </c>
      <c r="FY95" s="60">
        <f t="shared" si="61"/>
        <v>31.77741</v>
      </c>
      <c r="FZ95" s="72">
        <f>((Formula!C95)/(Formula!C95+Formula!E95+Formula!G95+Formula!I95+Formula!K95))*(INDEX(Properties!A$1:CB$87,Formula!B95,60))+((Formula!E95)/(Formula!C95+Formula!E95+Formula!G95+Formula!I95+Formula!K95))*(INDEX(Properties!A$1:CB$87,Formula!D95,60))+((Formula!G95)/(Formula!C95+Formula!E95+Formula!G95+Formula!I95+Formula!K95))*(INDEX(Properties!A$1:CB$87,Formula!F95,60))+((Formula!I95)/(Formula!C95+Formula!E95+Formula!G95+Formula!I95+Formula!K95))*(INDEX(Properties!A$1:CB$87,Formula!H95,60))+((Formula!K95)/(Formula!C95+Formula!E95+Formula!G95+Formula!I95+Formula!K95))*(INDEX(Properties!A$1:CB$87,Formula!J95,60))</f>
        <v>29.096044000000003</v>
      </c>
      <c r="GA95" s="72">
        <f>Formula!C95*(INDEX(Properties!A$1:CB$87,Formula!B95,60))+Formula!E95*(INDEX(Properties!A$1:CB$87,Formula!D95,60))+Formula!G95*(INDEX(Properties!A$1:CB$87,Formula!F95,60))+Formula!I95*(INDEX(Properties!A$1:CB$87,Formula!H95,60))+Formula!K95*(INDEX(Properties!A$1:CB$87,Formula!J95,60))</f>
        <v>290.96044000000001</v>
      </c>
      <c r="GB95" s="72">
        <f>VARP(IF(INDEX(Properties!A$1:CB$87,Formula!B95,60)&lt;&gt;"",INDEX(Properties!A$1:CB$87,Formula!B95,60)),IF(INDEX(Properties!A$1:CB$87,Formula!D95,60)&lt;&gt;"",INDEX(Properties!A$1:CB$87,Formula!D95,60)),IF(INDEX(Properties!A$1:CB$87,Formula!F95,60)&lt;&gt;"",INDEX(Properties!A$1:CB$87,Formula!F95,60)),IF(INDEX(Properties!A$1:CB$87,Formula!H95,60)&lt;&gt;"",INDEX(Properties!A$1:CB$87,Formula!H95,60)),IF(INDEX(Properties!A$1:CB$87,Formula!J95,60)&lt;&gt;"",INDEX(Properties!A$1:CB$87,Formula!J95,60)))</f>
        <v>3599.0589963244151</v>
      </c>
      <c r="GC95" s="72">
        <f>MAX(INDEX(Properties!A$1:CB$87,Formula!B95,60),INDEX(Properties!A$1:CB$87,Formula!D95,60),INDEX(Properties!A$1:CB$87,Formula!F95,60),INDEX(Properties!A$1:CB$87,Formula!H95,60),INDEX(Properties!A$1:CB$87,Formula!J95,60))</f>
        <v>138</v>
      </c>
      <c r="GD95" s="72">
        <f>MIN(IF(INDEX(Properties!A$1:CB$87,Formula!B95,60)=0,10^6,INDEX(Properties!A$1:CB$87,Formula!B95,60)),IF(INDEX(Properties!A$1:CB$87,Formula!D95,60)=0,10^6,INDEX(Properties!A$1:CB$87,Formula!D95,60)),IF(INDEX(Properties!A$1:CB$87,Formula!F95,60)=0,10^6,INDEX(Properties!A$1:CB$87,Formula!F95,60)),IF(INDEX(Properties!A$1:CB$87,Formula!H95,60)=0,10^6,INDEX(Properties!A$1:CB$87,Formula!H95,60)),IF(INDEX(Properties!A$1:CB$87,Formula!J95,60)=0,10^6,INDEX(Properties!A$1:CB$87,Formula!J95,60)))</f>
        <v>2.674E-2</v>
      </c>
      <c r="GE95" s="72">
        <f t="shared" si="62"/>
        <v>137.97326000000001</v>
      </c>
      <c r="GF95" s="51">
        <f>((Formula!C95)/(Formula!C95+Formula!E95+Formula!G95+Formula!I95+Formula!K95))*(INDEX(Properties!A$1:CB$87,Formula!B95,62))+((Formula!E95)/(Formula!C95+Formula!E95+Formula!G95+Formula!I95+Formula!K95))*(INDEX(Properties!A$1:CB$87,Formula!D95,62))+((Formula!G95)/(Formula!C95+Formula!E95+Formula!G95+Formula!I95+Formula!K95))*(INDEX(Properties!A$1:CB$87,Formula!F95,62))+((Formula!I95)/(Formula!C95+Formula!E95+Formula!G95+Formula!I95+Formula!K95))*(INDEX(Properties!A$1:CB$87,Formula!H95,62))+((Formula!K95)/(Formula!C95+Formula!E95+Formula!G95+Formula!I95+Formula!K95))*(INDEX(Properties!A$1:CB$87,Formula!J95,62))</f>
        <v>2.7690000000000001</v>
      </c>
      <c r="GG95" s="51">
        <f>Formula!C95*(INDEX(Properties!A$1:CB$87,Formula!B95,62))+Formula!E95*(INDEX(Properties!A$1:CB$87,Formula!D95,62))+Formula!G95*(INDEX(Properties!A$1:CB$87,Formula!F95,62))+Formula!I95*(INDEX(Properties!A$1:CB$87,Formula!H95,62))+Formula!K95*(INDEX(Properties!A$1:CB$87,Formula!J95,62))</f>
        <v>27.69</v>
      </c>
      <c r="GH95" s="51">
        <f>VARP(IF(INDEX(Properties!A$1:CB$87,Formula!B95,62)&lt;&gt;"",INDEX(Properties!A$1:CB$87,Formula!B95,62)),IF(INDEX(Properties!A$1:CB$87,Formula!D95,62)&lt;&gt;"",INDEX(Properties!A$1:CB$87,Formula!D95,62)),IF(INDEX(Properties!A$1:CB$87,Formula!F95,62)&lt;&gt;"",INDEX(Properties!A$1:CB$87,Formula!F95,62)),IF(INDEX(Properties!A$1:CB$87,Formula!H95,62)&lt;&gt;"",INDEX(Properties!A$1:CB$87,Formula!H95,62)),IF(INDEX(Properties!A$1:CB$87,Formula!J95,62)&lt;&gt;"",INDEX(Properties!A$1:CB$87,Formula!J95,62)))</f>
        <v>5.3204159999999998</v>
      </c>
      <c r="GI95" s="51">
        <f>MAX(INDEX(Properties!A$1:CB$87,Formula!B95,62),INDEX(Properties!A$1:CB$87,Formula!D95,62),INDEX(Properties!A$1:CB$87,Formula!F95,62),INDEX(Properties!A$1:CB$87,Formula!H95,62),INDEX(Properties!A$1:CB$87,Formula!J95,62))</f>
        <v>6.82</v>
      </c>
      <c r="GJ95" s="51">
        <f>MIN(IF(INDEX(Properties!A$1:CB$87,Formula!B95,62)=0,10^6,INDEX(Properties!A$1:CB$87,Formula!B95,62)),IF(INDEX(Properties!A$1:CB$87,Formula!D95,62)=0,10^6,INDEX(Properties!A$1:CB$87,Formula!D95,62)),IF(INDEX(Properties!A$1:CB$87,Formula!F95,62)=0,10^6,INDEX(Properties!A$1:CB$87,Formula!F95,62)),IF(INDEX(Properties!A$1:CB$87,Formula!H95,62)=0,10^6,INDEX(Properties!A$1:CB$87,Formula!H95,62)),IF(INDEX(Properties!A$1:CB$87,Formula!J95,62)=0,10^6,INDEX(Properties!A$1:CB$87,Formula!J95,62)))</f>
        <v>1.35</v>
      </c>
      <c r="GK95" s="51">
        <f t="shared" si="63"/>
        <v>5.4700000000000006</v>
      </c>
      <c r="GL95" s="51">
        <f>Formula!P95</f>
        <v>225</v>
      </c>
      <c r="GM95" s="57">
        <f>Formula!O95</f>
        <v>7</v>
      </c>
      <c r="GN95" s="51">
        <f>Formula!N95</f>
        <v>0.06</v>
      </c>
    </row>
    <row r="96" spans="1:196" x14ac:dyDescent="0.3">
      <c r="A96" s="84" t="str">
        <f>Formula!A96</f>
        <v>InGaZnO4</v>
      </c>
      <c r="B96" s="89">
        <f>((Formula!C96)/(Formula!C96+Formula!E96+Formula!G96+Formula!I96+Formula!K96))*(INDEX(Properties!A$1:CB$87,Formula!B96,3))+((Formula!E96)/(Formula!C96+Formula!E96+Formula!G96+Formula!I96+Formula!K96))*(INDEX(Properties!A$1:CB$87,Formula!D96,3))+((Formula!G96)/(Formula!C96+Formula!E96+Formula!G96+Formula!I96+Formula!K96))*(INDEX(Properties!A$1:CB$87,Formula!F96,3))+((Formula!I96)/(Formula!C96+Formula!E96+Formula!G96+Formula!I96+Formula!K96))*(INDEX(Properties!A$1:CB$87,Formula!H96,3))+((Formula!K96)/(Formula!C96+Formula!E96+Formula!G96+Formula!I96+Formula!K96))*(INDEX(Properties!A$1:CB$87,Formula!J96,3))</f>
        <v>44.84551428571428</v>
      </c>
      <c r="C96" s="85">
        <f>Formula!C96*(INDEX(Properties!A$1:CB$87,Formula!B96,3))+Formula!E96*(INDEX(Properties!A$1:CB$87,Formula!D96,3))+Formula!G96*(INDEX(Properties!A$1:CB$87,Formula!F96,3))+Formula!I96*(INDEX(Properties!A$1:CB$87,Formula!H96,3))+Formula!K96*(INDEX(Properties!A$1:CB$87,Formula!J96,3))</f>
        <v>313.91859999999997</v>
      </c>
      <c r="D96" s="85">
        <f>VARP(IF(INDEX(Properties!A$1:CB$87,Formula!B96,3)&lt;&gt;"",INDEX(Properties!A$1:CB$87,Formula!B96,3)),IF(INDEX(Properties!A$1:CB$87,Formula!D96,3)&lt;&gt;"",INDEX(Properties!A$1:CB$87,Formula!D96,3)),IF(INDEX(Properties!A$1:CB$87,Formula!F96,3)&lt;&gt;"",INDEX(Properties!A$1:CB$87,Formula!F96,3)),IF(INDEX(Properties!A$1:CB$87,Formula!H96,3)&lt;&gt;"",INDEX(Properties!A$1:CB$87,Formula!H96,3)),IF(INDEX(Properties!A$1:CB$87,Formula!J96,3)&lt;&gt;"",INDEX(Properties!A$1:CB$87,Formula!J96,3)))</f>
        <v>1686.4526452256005</v>
      </c>
      <c r="E96" s="85">
        <f>MAX(INDEX(Properties!A$1:CB$87,Formula!B96,3),INDEX(Properties!A$1:CB$87,Formula!D96,3),INDEX(Properties!A$1:CB$87,Formula!F96,3),INDEX(Properties!A$1:CB$87,Formula!H96,3),INDEX(Properties!A$1:CB$87,Formula!J96,3))</f>
        <v>114.818</v>
      </c>
      <c r="F96" s="85">
        <f>MIN(IF(INDEX(Properties!A$1:CB$87,Formula!B96,3)=0,10^6,INDEX(Properties!A$1:CB$87,Formula!B96,3)),IF(INDEX(Properties!A$1:CB$87,Formula!D96,3)=0,10^6,INDEX(Properties!A$1:CB$87,Formula!D96,3)),IF(INDEX(Properties!A$1:CB$87,Formula!F96,3)=0,10^6,INDEX(Properties!A$1:CB$87,Formula!F96,3)),IF(INDEX(Properties!A$1:CB$87,Formula!H96,3)=0,10^6,INDEX(Properties!A$1:CB$87,Formula!H96,3)),IF(INDEX(Properties!A$1:CB$87,Formula!J96,3)=0,10^6,INDEX(Properties!A$1:CB$87,Formula!J96,3)))</f>
        <v>15.9994</v>
      </c>
      <c r="G96" s="85">
        <f t="shared" si="32"/>
        <v>98.818600000000004</v>
      </c>
      <c r="H96" s="87">
        <f>((Formula!C96)/(Formula!C96+Formula!E96+Formula!G96+Formula!I96+Formula!K96))*(INDEX(Properties!A$1:CB$87,Formula!B96,4))+((Formula!E96)/(Formula!C96+Formula!E96+Formula!G96+Formula!I96+Formula!K96))*(INDEX(Properties!A$1:CB$87,Formula!D96,4))+((Formula!G96)/(Formula!C96+Formula!E96+Formula!G96+Formula!I96+Formula!K96))*(INDEX(Properties!A$1:CB$87,Formula!F96,4))+((Formula!I96)/(Formula!C96+Formula!E96+Formula!G96+Formula!I96+Formula!K96))*(INDEX(Properties!A$1:CB$87,Formula!H96,4))+((Formula!K96)/(Formula!C96+Formula!E96+Formula!G96+Formula!I96+Formula!K96))*(INDEX(Properties!A$1:CB$87,Formula!J96,4))</f>
        <v>20.285714285714285</v>
      </c>
      <c r="I96" s="87">
        <f>Formula!C96*(INDEX(Properties!A$1:CB$87,Formula!B96,4))+Formula!E96*(INDEX(Properties!A$1:CB$87,Formula!D96,4))+Formula!G96*(INDEX(Properties!A$1:CB$87,Formula!F96,4))+Formula!I96*(INDEX(Properties!A$1:CB$87,Formula!H96,4))+Formula!K96*(INDEX(Properties!A$1:CB$87,Formula!J96,4))</f>
        <v>142</v>
      </c>
      <c r="J96" s="87">
        <f>VARP(IF(INDEX(Properties!A$1:CB$87,Formula!B96,4)&lt;&gt;"",INDEX(Properties!A$1:CB$87,Formula!B96,4)),IF(INDEX(Properties!A$1:CB$87,Formula!D96,4)&lt;&gt;"",INDEX(Properties!A$1:CB$87,Formula!D96,4)),IF(INDEX(Properties!A$1:CB$87,Formula!F96,4)&lt;&gt;"",INDEX(Properties!A$1:CB$87,Formula!F96,4)),IF(INDEX(Properties!A$1:CB$87,Formula!H96,4)&lt;&gt;"",INDEX(Properties!A$1:CB$87,Formula!H96,4)),IF(INDEX(Properties!A$1:CB$87,Formula!J96,4)&lt;&gt;"",INDEX(Properties!A$1:CB$87,Formula!J96,4)))</f>
        <v>308.24</v>
      </c>
      <c r="K96" s="87">
        <f>MAX(INDEX(Properties!A$1:CB$87,Formula!B96,4),INDEX(Properties!A$1:CB$87,Formula!D96,4),INDEX(Properties!A$1:CB$87,Formula!F96,4),INDEX(Properties!A$1:CB$87,Formula!H96,4),INDEX(Properties!A$1:CB$87,Formula!J96,4))</f>
        <v>49</v>
      </c>
      <c r="L96" s="87">
        <f>MIN(IF(INDEX(Properties!A$1:CB$87,Formula!B96,4)=0,10^6,INDEX(Properties!A$1:CB$87,Formula!B96,4)),IF(INDEX(Properties!A$1:CB$87,Formula!D96,4)=0,10^6,INDEX(Properties!A$1:CB$87,Formula!D96,4)),IF(INDEX(Properties!A$1:CB$87,Formula!F96,4)=0,10^6,INDEX(Properties!A$1:CB$87,Formula!F96,4)),IF(INDEX(Properties!A$1:CB$87,Formula!H96,4)=0,10^6,INDEX(Properties!A$1:CB$87,Formula!H96,4)),IF(INDEX(Properties!A$1:CB$87,Formula!J96,4)=0,10^6,INDEX(Properties!A$1:CB$87,Formula!J96,4)))</f>
        <v>8</v>
      </c>
      <c r="M96" s="87">
        <f t="shared" si="33"/>
        <v>41</v>
      </c>
      <c r="N96" s="89">
        <f>((Formula!C96)/(Formula!C96+Formula!E96+Formula!G96+Formula!I96+Formula!K96))*(INDEX(Properties!A$1:CB$87,Formula!B96,5))+((Formula!E96)/(Formula!C96+Formula!E96+Formula!G96+Formula!I96+Formula!K96))*(INDEX(Properties!A$1:CB$87,Formula!D96,5))+((Formula!G96)/(Formula!C96+Formula!E96+Formula!G96+Formula!I96+Formula!K96))*(INDEX(Properties!A$1:CB$87,Formula!F96,5))+((Formula!I96)/(Formula!C96+Formula!E96+Formula!G96+Formula!I96+Formula!K96))*(INDEX(Properties!A$1:CB$87,Formula!H96,5))+((Formula!K96)/(Formula!C96+Formula!E96+Formula!G96+Formula!I96+Formula!K96))*(INDEX(Properties!A$1:CB$87,Formula!J96,5))</f>
        <v>3</v>
      </c>
      <c r="O96" s="89">
        <f>Formula!C96*(INDEX(Properties!A$1:CB$87,Formula!B96,5))+Formula!E96*(INDEX(Properties!A$1:CB$87,Formula!D96,5))+Formula!G96*(INDEX(Properties!A$1:CB$87,Formula!F96,5))+Formula!I96*(INDEX(Properties!A$1:CB$87,Formula!H96,5))+Formula!K96*(INDEX(Properties!A$1:CB$87,Formula!J96,5))</f>
        <v>21</v>
      </c>
      <c r="P96" s="89">
        <f>VARP(IF(INDEX(Properties!A$1:CB$87,Formula!B96,5)&lt;&gt;"",INDEX(Properties!A$1:CB$87,Formula!B96,5)),IF(INDEX(Properties!A$1:CB$87,Formula!D96,5)&lt;&gt;"",INDEX(Properties!A$1:CB$87,Formula!D96,5)),IF(INDEX(Properties!A$1:CB$87,Formula!F96,5)&lt;&gt;"",INDEX(Properties!A$1:CB$87,Formula!F96,5)),IF(INDEX(Properties!A$1:CB$87,Formula!H96,5)&lt;&gt;"",INDEX(Properties!A$1:CB$87,Formula!H96,5)),IF(INDEX(Properties!A$1:CB$87,Formula!J96,5)&lt;&gt;"",INDEX(Properties!A$1:CB$87,Formula!J96,5)))</f>
        <v>3.2</v>
      </c>
      <c r="Q96" s="89">
        <f>MAX(INDEX(Properties!A$1:CB$87,Formula!B96,5),INDEX(Properties!A$1:CB$87,Formula!D96,5),INDEX(Properties!A$1:CB$87,Formula!F96,5),INDEX(Properties!A$1:CB$87,Formula!H96,5),INDEX(Properties!A$1:CB$87,Formula!J96,5))</f>
        <v>5</v>
      </c>
      <c r="R96" s="89">
        <f>MIN(IF(INDEX(Properties!A$1:CB$87,Formula!B96,5)=0,10^6,INDEX(Properties!A$1:CB$87,Formula!B96,5)),IF(INDEX(Properties!A$1:CB$87,Formula!D96,5)=0,10^6,INDEX(Properties!A$1:CB$87,Formula!D96,5)),IF(INDEX(Properties!A$1:CB$87,Formula!F96,5)=0,10^6,INDEX(Properties!A$1:CB$87,Formula!F96,5)),IF(INDEX(Properties!A$1:CB$87,Formula!H96,5)=0,10^6,INDEX(Properties!A$1:CB$87,Formula!H96,5)),IF(INDEX(Properties!A$1:CB$87,Formula!J96,5)=0,10^6,INDEX(Properties!A$1:CB$87,Formula!J96,5)))</f>
        <v>2</v>
      </c>
      <c r="S96" s="89">
        <f t="shared" si="34"/>
        <v>3</v>
      </c>
      <c r="T96" s="60">
        <f>((Formula!C96)/(Formula!C96+Formula!E96+Formula!G96+Formula!I96+Formula!K96))*(INDEX(Properties!A$1:CB$87,Formula!B96,6))+((Formula!E96)/(Formula!C96+Formula!E96+Formula!G96+Formula!I96+Formula!K96))*(INDEX(Properties!A$1:CB$87,Formula!D96,6))+((Formula!G96)/(Formula!C96+Formula!E96+Formula!G96+Formula!I96+Formula!K96))*(INDEX(Properties!A$1:CB$87,Formula!F96,6))+((Formula!I96)/(Formula!C96+Formula!E96+Formula!G96+Formula!I96+Formula!K96))*(INDEX(Properties!A$1:CB$87,Formula!H96,6))+((Formula!K96)/(Formula!C96+Formula!E96+Formula!G96+Formula!I96+Formula!K96))*(INDEX(Properties!A$1:CB$87,Formula!J96,6))</f>
        <v>14.571428571428569</v>
      </c>
      <c r="U96" s="60">
        <f>Formula!C96*(INDEX(Properties!A$1:CB$87,Formula!B96,6))+Formula!E96*(INDEX(Properties!A$1:CB$87,Formula!D96,6))+Formula!G96*(INDEX(Properties!A$1:CB$87,Formula!F96,6))+Formula!I96*(INDEX(Properties!A$1:CB$87,Formula!H96,6))+Formula!K96*(INDEX(Properties!A$1:CB$87,Formula!J96,6))</f>
        <v>102</v>
      </c>
      <c r="V96" s="89">
        <f>VARP(IF(INDEX(Properties!A$1:CB$87,Formula!B96,6)&lt;&gt;"",INDEX(Properties!A$1:CB$87,Formula!B96,6)),IF(INDEX(Properties!A$1:CB$87,Formula!D96,6)&lt;&gt;"",INDEX(Properties!A$1:CB$87,Formula!D96,6)),IF(INDEX(Properties!A$1:CB$87,Formula!F96,6)&lt;&gt;"",INDEX(Properties!A$1:CB$87,Formula!F96,6)),IF(INDEX(Properties!A$1:CB$87,Formula!H96,6)&lt;&gt;"",INDEX(Properties!A$1:CB$87,Formula!H96,6)),IF(INDEX(Properties!A$1:CB$87,Formula!J96,6)&lt;&gt;"",INDEX(Properties!A$1:CB$87,Formula!J96,6)))</f>
        <v>30.96</v>
      </c>
      <c r="W96" s="60">
        <f>MAX(INDEX(Properties!A$1:CB$87,Formula!B96,6),INDEX(Properties!A$1:CB$87,Formula!D96,6),INDEX(Properties!A$1:CB$87,Formula!F96,6),INDEX(Properties!A$1:CB$87,Formula!H96,4),INDEX(Properties!A$1:CB$87,Formula!J96,6))</f>
        <v>13</v>
      </c>
      <c r="X96" s="60">
        <f>MIN(IF(INDEX(Properties!A$1:CB$87,Formula!B96,6)=0,10^6,INDEX(Properties!A$1:CB$87,Formula!B96,6)),IF(INDEX(Properties!A$1:CB$87,Formula!D96,6)=0,10^6,INDEX(Properties!A$1:CB$87,Formula!D96,6)),IF(INDEX(Properties!A$1:CB$87,Formula!F96,6)=0,10^6,INDEX(Properties!A$1:CB$87,Formula!F96,6)),IF(INDEX(Properties!A$1:CB$87,Formula!H96,6)=0,10^6,INDEX(Properties!A$1:CB$87,Formula!H96,6)),IF(INDEX(Properties!A$1:CB$87,Formula!J96,6)=0,10^6,INDEX(Properties!A$1:CB$87,Formula!J96,6)))</f>
        <v>12</v>
      </c>
      <c r="Y96" s="60">
        <f t="shared" si="35"/>
        <v>1</v>
      </c>
      <c r="Z96" s="72">
        <f>((Formula!C96)/(Formula!C96+Formula!E96+Formula!G96+Formula!I96+Formula!K96))*(INDEX(Properties!A$1:CB$87,Formula!B96,9))+((Formula!E96)/(Formula!C96+Formula!E96+Formula!G96+Formula!I96+Formula!K96))*(INDEX(Properties!A$1:CB$87,Formula!D96,9))+((Formula!G96)/(Formula!C96+Formula!E96+Formula!G96+Formula!I96+Formula!K96))*(INDEX(Properties!A$1:CB$87,Formula!F96,9))+((Formula!I96)/(Formula!C96+Formula!E96+Formula!G96+Formula!I96+Formula!K96))*(INDEX(Properties!A$1:CB$87,Formula!H96,9))+((Formula!K96)/(Formula!C96+Formula!E96+Formula!G96+Formula!I96+Formula!K96))*(INDEX(Properties!A$1:CB$87,Formula!J96,9))</f>
        <v>80.857142857142847</v>
      </c>
      <c r="AA96" s="72">
        <f>Formula!C96*(INDEX(Properties!A$1:CB$87,Formula!B96,9))+Formula!E96*(INDEX(Properties!A$1:CB$87,Formula!D96,9))+Formula!G96*(INDEX(Properties!A$1:CB$87,Formula!F96,9))+Formula!I96*(INDEX(Properties!A$1:CB$87,Formula!H96,9))+Formula!K96*(INDEX(Properties!A$1:CB$87,Formula!J96,9))</f>
        <v>566</v>
      </c>
      <c r="AB96" s="72">
        <f>VARP(IF(INDEX(Properties!A$1:CB$87,Formula!B96,9)&lt;&gt;"",INDEX(Properties!A$1:CB$87,Formula!B96,9)),IF(INDEX(Properties!A$1:CB$87,Formula!D96,9)&lt;&gt;"",INDEX(Properties!A$1:CB$87,Formula!D96,9)),IF(INDEX(Properties!A$1:CB$87,Formula!F96,9)&lt;&gt;"",INDEX(Properties!A$1:CB$87,Formula!F96,9)),IF(INDEX(Properties!A$1:CB$87,Formula!H96,9)&lt;&gt;"",INDEX(Properties!A$1:CB$87,Formula!H96,9)),IF(INDEX(Properties!A$1:CB$87,Formula!J96,9)&lt;&gt;"",INDEX(Properties!A$1:CB$87,Formula!J96,9)))</f>
        <v>965.2</v>
      </c>
      <c r="AC96" s="72">
        <f>MAX(INDEX(Properties!A$1:CB$87,Formula!B96,9),INDEX(Properties!A$1:CB$87,Formula!D96,9),INDEX(Properties!A$1:CB$87,Formula!F96,9),INDEX(Properties!A$1:CB$87,Formula!H96,9),INDEX(Properties!A$1:CB$87,Formula!J96,9))</f>
        <v>87</v>
      </c>
      <c r="AD96" s="72">
        <f>MIN(IF(INDEX(Properties!A$1:CB$87,Formula!B96,9)=0,10^6,INDEX(Properties!A$1:CB$87,Formula!B96,9)),IF(INDEX(Properties!A$1:CB$87,Formula!D96,9)=0,10^6,INDEX(Properties!A$1:CB$87,Formula!D96,9)),IF(INDEX(Properties!A$1:CB$87,Formula!F96,9)=0,10^6,INDEX(Properties!A$1:CB$87,Formula!F96,9)),IF(INDEX(Properties!A$1:CB$87,Formula!H96,9)=0,10^6,INDEX(Properties!A$1:CB$87,Formula!H96,9)),IF(INDEX(Properties!A$1:CB$87,Formula!J96,9)=0,10^6,INDEX(Properties!A$1:CB$87,Formula!J96,9)))</f>
        <v>69</v>
      </c>
      <c r="AE96" s="72">
        <f t="shared" si="36"/>
        <v>18</v>
      </c>
      <c r="AF96" s="51">
        <f>((Formula!C96)/(Formula!C96+Formula!E96+Formula!G96+Formula!I96+Formula!K96))*(INDEX(Properties!A$1:CB$87,Formula!B96,10))+((Formula!E96)/(Formula!C96+Formula!E96+Formula!G96+Formula!I96+Formula!K96))*(INDEX(Properties!A$1:CB$87,Formula!D96,10))+((Formula!G96)/(Formula!C96+Formula!E96+Formula!G96+Formula!I96+Formula!K96))*(INDEX(Properties!A$1:CB$87,Formula!F96,10))+((Formula!I96)/(Formula!C96+Formula!E96+Formula!G96+Formula!I96+Formula!K96))*(INDEX(Properties!A$1:CB$87,Formula!H96,10))+((Formula!K96)/(Formula!C96+Formula!E96+Formula!G96+Formula!I96+Formula!K96))*(INDEX(Properties!A$1:CB$87,Formula!J96,10))</f>
        <v>6</v>
      </c>
      <c r="AG96" s="51">
        <f>Formula!C96*(INDEX(Properties!A$1:CB$87,Formula!B96,10))+Formula!E96*(INDEX(Properties!A$1:CB$87,Formula!D96,10))+Formula!G96*(INDEX(Properties!A$1:CB$87,Formula!F96,10))+Formula!I96*(INDEX(Properties!A$1:CB$87,Formula!H96,10))+Formula!K96*(INDEX(Properties!A$1:CB$87,Formula!J96,10))</f>
        <v>42</v>
      </c>
      <c r="AH96" s="51">
        <f>VARP(IF(INDEX(Properties!A$1:CB$87,Formula!B96,10)&lt;&gt;"",INDEX(Properties!A$1:CB$87,Formula!B96,10)),IF(INDEX(Properties!A$1:CB$87,Formula!D96,10)&lt;&gt;"",INDEX(Properties!A$1:CB$87,Formula!D96,10)),IF(INDEX(Properties!A$1:CB$87,Formula!F96,10)&lt;&gt;"",INDEX(Properties!A$1:CB$87,Formula!F96,10)),IF(INDEX(Properties!A$1:CB$87,Formula!H96,10)&lt;&gt;"",INDEX(Properties!A$1:CB$87,Formula!H96,10)),IF(INDEX(Properties!A$1:CB$87,Formula!J96,10)&lt;&gt;"",INDEX(Properties!A$1:CB$87,Formula!J96,10)))</f>
        <v>5.36</v>
      </c>
      <c r="AI96" s="51">
        <f>MAX(INDEX(Properties!A$1:CB$87,Formula!B96,10),INDEX(Properties!A$1:CB$87,Formula!D96,10),INDEX(Properties!A$1:CB$87,Formula!F96,10),INDEX(Properties!A$1:CB$87,Formula!H96,10),INDEX(Properties!A$1:CB$87,Formula!J96,10))</f>
        <v>7</v>
      </c>
      <c r="AJ96" s="51">
        <f>MIN(IF(INDEX(Properties!A$1:CB$87,Formula!B96,10)=0,10^6,INDEX(Properties!A$1:CB$87,Formula!B96,10)),IF(INDEX(Properties!A$1:CB$87,Formula!D96,10)=0,10^6,INDEX(Properties!A$1:CB$87,Formula!D96,10)),IF(INDEX(Properties!A$1:CB$87,Formula!F96,10)=0,10^6,INDEX(Properties!A$1:CB$87,Formula!F96,10)),IF(INDEX(Properties!A$1:CB$87,Formula!H96,10)=0,10^6,INDEX(Properties!A$1:CB$87,Formula!H96,10)),IF(INDEX(Properties!A$1:CB$87,Formula!J96,10)=0,10^6,INDEX(Properties!A$1:CB$87,Formula!J96,10)))</f>
        <v>4</v>
      </c>
      <c r="AK96" s="51">
        <f t="shared" si="37"/>
        <v>3</v>
      </c>
      <c r="AL96" s="57">
        <f>((Formula!C96)/(Formula!C96+Formula!E96+Formula!G96+Formula!I96+Formula!K96))*(INDEX(Properties!A$1:CB$87,Formula!B96,11))+((Formula!E96)/(Formula!C96+Formula!E96+Formula!G96+Formula!I96+Formula!K96))*(INDEX(Properties!A$1:CB$87,Formula!D96,11))+((Formula!G96)/(Formula!C96+Formula!E96+Formula!G96+Formula!I96+Formula!K96))*(INDEX(Properties!A$1:CB$87,Formula!F96,11))+((Formula!I96)/(Formula!C96+Formula!E96+Formula!G96+Formula!I96+Formula!K96))*(INDEX(Properties!A$1:CB$87,Formula!H96,11))+((Formula!K96)/(Formula!C96+Formula!E96+Formula!G96+Formula!I96+Formula!K96))*(INDEX(Properties!A$1:CB$87,Formula!J96,11))</f>
        <v>2</v>
      </c>
      <c r="AM96" s="57">
        <f>Formula!C96*(INDEX(Properties!A$1:CB$87,Formula!B96,11))+Formula!E96*(INDEX(Properties!A$1:CB$87,Formula!D96,11))+Formula!G96*(INDEX(Properties!A$1:CB$87,Formula!F96,11))+Formula!I96*(INDEX(Properties!A$1:CB$87,Formula!H96,11))+Formula!K96*(INDEX(Properties!A$1:CB$87,Formula!J96,11))</f>
        <v>14</v>
      </c>
      <c r="AN96" s="57">
        <f>VARP(IF(INDEX(Properties!A$1:CB$87,Formula!B96,11)&lt;&gt;"",INDEX(Properties!A$1:CB$87,Formula!B96,11)),IF(INDEX(Properties!A$1:CB$87,Formula!D96,11)&lt;&gt;"",INDEX(Properties!A$1:CB$87,Formula!D96,11)),IF(INDEX(Properties!A$1:CB$87,Formula!F96,11)&lt;&gt;"",INDEX(Properties!A$1:CB$87,Formula!F96,11)),IF(INDEX(Properties!A$1:CB$87,Formula!H96,11)&lt;&gt;"",INDEX(Properties!A$1:CB$87,Formula!H96,11)),IF(INDEX(Properties!A$1:CB$87,Formula!J96,11)&lt;&gt;"",INDEX(Properties!A$1:CB$87,Formula!J96,11)))</f>
        <v>0.64</v>
      </c>
      <c r="AO96" s="57">
        <f>MAX(INDEX(Properties!A$1:CB$87,Formula!B96,11),INDEX(Properties!A$1:CB$87,Formula!D96,11),INDEX(Properties!A$1:CB$87,Formula!F96,11),INDEX(Properties!A$1:CB$87,Formula!H96,11),INDEX(Properties!A$1:CB$87,Formula!J96,11))</f>
        <v>2</v>
      </c>
      <c r="AP96" s="57">
        <f>MIN(IF(Formula!B96=87,10^6,INDEX(Properties!A$1:CB$87,Formula!B96,11)),IF((Formula!D96)=87,10^6,INDEX(Properties!A$1:CB$87,Formula!D96,11)),IF((Formula!F96)=87,10^6,INDEX(Properties!A$1:CB$87,Formula!F96,11)),IF((Formula!H96)=87,10^6,INDEX(Properties!A$1:CB$87,Formula!H96,11)),IF(Formula!J96=87,10^6,INDEX(Properties!A$1:CB$87,Formula!J96,11)))</f>
        <v>2</v>
      </c>
      <c r="AQ96" s="57">
        <f t="shared" si="38"/>
        <v>0</v>
      </c>
      <c r="AR96" s="78">
        <f>((Formula!C96)/(Formula!C96+Formula!E96+Formula!G96+Formula!I96+Formula!K96))*(INDEX(Properties!A$1:CB$87,Formula!B96,12))+((Formula!E96)/(Formula!C96+Formula!E96+Formula!G96+Formula!I96+Formula!K96))*(INDEX(Properties!A$1:CB$87,Formula!D96,12))+((Formula!G96)/(Formula!C96+Formula!E96+Formula!G96+Formula!I96+Formula!K96))*(INDEX(Properties!A$1:CB$87,Formula!F96,12))+((Formula!I96)/(Formula!C96+Formula!E96+Formula!G96+Formula!I96+Formula!K96))*(INDEX(Properties!A$1:CB$87,Formula!H96,12))+((Formula!K96)/(Formula!C96+Formula!E96+Formula!G96+Formula!I96+Formula!K96))*(INDEX(Properties!A$1:CB$87,Formula!J96,12))</f>
        <v>2.5714285714285712</v>
      </c>
      <c r="AS96" s="78">
        <f>Formula!C96*(INDEX(Properties!A$1:CB$87,Formula!B96,12))+Formula!E96*(INDEX(Properties!A$1:CB$87,Formula!D96,12))+Formula!G96*(INDEX(Properties!A$1:CB$87,Formula!F96,12))+Formula!I96*(INDEX(Properties!A$1:CB$87,Formula!H96,12))+Formula!K96*(INDEX(Properties!A$1:CB$87,Formula!J96,12))</f>
        <v>18</v>
      </c>
      <c r="AT96" s="78">
        <f>VARP(IF(INDEX(Properties!A$1:CB$87,Formula!B96,12)&lt;&gt;"",INDEX(Properties!A$1:CB$87,Formula!B96,12)),IF(INDEX(Properties!A$1:CB$87,Formula!D96,12)&lt;&gt;"",INDEX(Properties!A$1:CB$87,Formula!D96,12)),IF(INDEX(Properties!A$1:CB$87,Formula!F96,12)&lt;&gt;"",INDEX(Properties!A$1:CB$87,Formula!F96,12)),IF(INDEX(Properties!A$1:CB$87,Formula!H96,12)&lt;&gt;"",INDEX(Properties!A$1:CB$87,Formula!H96,12)),IF(INDEX(Properties!A$1:CB$87,Formula!J96,12)&lt;&gt;"",INDEX(Properties!A$1:CB$87,Formula!J96,12)))</f>
        <v>2.16</v>
      </c>
      <c r="AU96" s="78">
        <f>MAX(INDEX(Properties!A$1:CB$87,Formula!B96,12),INDEX(Properties!A$1:CB$87,Formula!D96,12),INDEX(Properties!A$1:CB$87,Formula!F96,12),INDEX(Properties!A$1:CB$87,Formula!H96,12),INDEX(Properties!A$1:CB$87,Formula!J96,12))</f>
        <v>4</v>
      </c>
      <c r="AV96" s="78">
        <f>MIN(IF(Formula!B96=87,10^6,INDEX(Properties!A$1:CB$87,Formula!B96,12)),IF((Formula!D96)=87,10^6,INDEX(Properties!A$1:CB$87,Formula!D96,12)),IF((Formula!F96)=87,10^6,INDEX(Properties!A$1:CB$87,Formula!F96,12)),IF((Formula!H96)=87,10^6,INDEX(Properties!A$1:CB$87,Formula!H96,12)),IF(Formula!J96=87,10^6,INDEX(Properties!A$1:CB$87,Formula!J96,12)))</f>
        <v>0</v>
      </c>
      <c r="AW96" s="78">
        <f t="shared" si="39"/>
        <v>4</v>
      </c>
      <c r="AX96" s="45">
        <f>((Formula!C96)/(Formula!C96+Formula!E96+Formula!G96+Formula!I96+Formula!K96))*(INDEX(Properties!A$1:CB$87,Formula!B96,13))+((Formula!E96)/(Formula!C96+Formula!E96+Formula!G96+Formula!I96+Formula!K96))*(INDEX(Properties!A$1:CB$87,Formula!D96,13))+((Formula!G96)/(Formula!C96+Formula!E96+Formula!G96+Formula!I96+Formula!K96))*(INDEX(Properties!A$1:CB$87,Formula!F96,13))+((Formula!I96)/(Formula!C96+Formula!E96+Formula!G96+Formula!I96+Formula!K96))*(INDEX(Properties!A$1:CB$87,Formula!H96,13))+((Formula!K96)/(Formula!C96+Formula!E96+Formula!G96+Formula!I96+Formula!K96))*(INDEX(Properties!A$1:CB$87,Formula!J96,13))</f>
        <v>4.2857142857142847</v>
      </c>
      <c r="AY96" s="45">
        <f>Formula!C96*(INDEX(Properties!A$1:CB$87,Formula!B96,13))+Formula!E96*(INDEX(Properties!A$1:CB$87,Formula!D96,13))+Formula!G96*(INDEX(Properties!A$1:CB$87,Formula!F96,13))+Formula!I96*(INDEX(Properties!A$1:CB$87,Formula!H96,13))+Formula!K96*(INDEX(Properties!A$1:CB$87,Formula!J96,13))</f>
        <v>30</v>
      </c>
      <c r="AZ96" s="45">
        <f>VARP(IF(INDEX(Properties!A$1:CB$87,Formula!B96,13)&lt;&gt;"",INDEX(Properties!A$1:CB$87,Formula!B96,13)),IF(INDEX(Properties!A$1:CB$87,Formula!D96,13)&lt;&gt;"",INDEX(Properties!A$1:CB$87,Formula!D96,13)),IF(INDEX(Properties!A$1:CB$87,Formula!F96,13)&lt;&gt;"",INDEX(Properties!A$1:CB$87,Formula!F96,13)),IF(INDEX(Properties!A$1:CB$87,Formula!H96,13)&lt;&gt;"",INDEX(Properties!A$1:CB$87,Formula!H96,13)),IF(INDEX(Properties!A$1:CB$87,Formula!J96,13)&lt;&gt;"",INDEX(Properties!A$1:CB$87,Formula!J96,13)))</f>
        <v>24</v>
      </c>
      <c r="BA96" s="45">
        <f>MAX(INDEX(Properties!A$1:CB$87,Formula!B96,13),INDEX(Properties!A$1:CB$87,Formula!D96,13),INDEX(Properties!A$1:CB$87,Formula!F96,13),INDEX(Properties!A$1:CB$87,Formula!H96,13),INDEX(Properties!A$1:CB$87,Formula!J96,13))</f>
        <v>10</v>
      </c>
      <c r="BB96" s="45">
        <f>MIN(IF(Formula!B96=87,10^6,INDEX(Properties!A$1:CB$87,Formula!B96,13)),IF((Formula!D96)=87,10^6,INDEX(Properties!A$1:CB$87,Formula!D96,13)),IF((Formula!F96)=87,10^6,INDEX(Properties!A$1:CB$87,Formula!F96,13)),IF((Formula!H96)=87,10^6,INDEX(Properties!A$1:CB$87,Formula!H96,13)),IF(Formula!J96=87,10^6,INDEX(Properties!A$1:CB$87,Formula!J96,13)))</f>
        <v>0</v>
      </c>
      <c r="BC96" s="45">
        <f t="shared" si="40"/>
        <v>10</v>
      </c>
      <c r="BD96" s="63">
        <f>((Formula!C96)/(Formula!C96+Formula!E96+Formula!G96+Formula!I96+Formula!K96))*(INDEX(Properties!A$1:CB$87,Formula!B96,14))+((Formula!E96)/(Formula!C96+Formula!E96+Formula!G96+Formula!I96+Formula!K96))*(INDEX(Properties!A$1:CB$87,Formula!D96,14))+((Formula!G96)/(Formula!C96+Formula!E96+Formula!G96+Formula!I96+Formula!K96))*(INDEX(Properties!A$1:CB$87,Formula!F96,14))+((Formula!I96)/(Formula!C96+Formula!E96+Formula!G96+Formula!I96+Formula!K96))*(INDEX(Properties!A$1:CB$87,Formula!H96,14))+((Formula!K96)/(Formula!C96+Formula!E96+Formula!G96+Formula!I96+Formula!K96))*(INDEX(Properties!A$1:CB$87,Formula!J96,14))</f>
        <v>0</v>
      </c>
      <c r="BE96" s="63">
        <f>Formula!C96*(INDEX(Properties!A$1:CB$87,Formula!B96,14))+Formula!E96*(INDEX(Properties!A$1:CB$87,Formula!D96,14))+Formula!G96*(INDEX(Properties!A$1:CB$87,Formula!F96,14))+Formula!I96*(INDEX(Properties!A$1:CB$87,Formula!H96,14))+Formula!K96*(INDEX(Properties!A$1:CB$87,Formula!J96,14))</f>
        <v>0</v>
      </c>
      <c r="BF96" s="63">
        <f>VARP(IF(INDEX(Properties!A$1:CB$87,Formula!B96,14)&lt;&gt;"",INDEX(Properties!A$1:CB$87,Formula!B96,14)),IF(INDEX(Properties!A$1:CB$87,Formula!D96,14)&lt;&gt;"",INDEX(Properties!A$1:CB$87,Formula!D96,14)),IF(INDEX(Properties!A$1:CB$87,Formula!F96,14)&lt;&gt;"",INDEX(Properties!A$1:CB$87,Formula!F96,14)),IF(INDEX(Properties!A$1:CB$87,Formula!H96,14)&lt;&gt;"",INDEX(Properties!A$1:CB$87,Formula!H96,14)),IF(INDEX(Properties!A$1:CB$87,Formula!J96,14)&lt;&gt;"",INDEX(Properties!A$1:CB$87,Formula!J96,14)))</f>
        <v>0</v>
      </c>
      <c r="BG96" s="63">
        <f>MAX(INDEX(Properties!A$1:CB$87,Formula!B96,14),INDEX(Properties!A$1:CB$87,Formula!D96,14),INDEX(Properties!A$1:CB$87,Formula!F96,14),INDEX(Properties!A$1:CB$87,Formula!H96,14),INDEX(Properties!A$1:CB$87,Formula!J96,14))</f>
        <v>0</v>
      </c>
      <c r="BH96" s="63">
        <f>MIN(IF(Formula!B96=87,10^6,INDEX(Properties!A$1:CB$87,Formula!B96,14)),IF((Formula!D96)=87,10^6,INDEX(Properties!A$1:CB$87,Formula!D96,14)),IF((Formula!F96)=87,10^6,INDEX(Properties!A$1:CB$87,Formula!F96,14)),IF((Formula!H96)=87,10^6,INDEX(Properties!A$1:CB$87,Formula!H96,14)),IF(Formula!J96=87,10^6,INDEX(Properties!A$1:CB$87,Formula!J96,14)))</f>
        <v>0</v>
      </c>
      <c r="BI96" s="63">
        <f t="shared" si="41"/>
        <v>0</v>
      </c>
      <c r="BJ96" s="75">
        <f>((Formula!C96)/(Formula!C96+Formula!E96+Formula!G96+Formula!I96+Formula!K96))*(INDEX(Properties!A$1:CB$87,Formula!B96,19))+((Formula!E96)/(Formula!C96+Formula!E96+Formula!G96+Formula!I96+Formula!K96))*(INDEX(Properties!A$1:CB$87,Formula!D96,19))+((Formula!G96)/(Formula!C96+Formula!E96+Formula!G96+Formula!I96+Formula!K96))*(INDEX(Properties!A$1:CB$87,Formula!F96,19))+((Formula!I96)/(Formula!C96+Formula!E96+Formula!G96+Formula!I96+Formula!K96))*(INDEX(Properties!A$1:CB$87,Formula!H96,19))+((Formula!K96)/(Formula!C96+Formula!E96+Formula!G96+Formula!I96+Formula!K96))*(INDEX(Properties!A$1:CB$87,Formula!J96,19))</f>
        <v>8.8571428571428559</v>
      </c>
      <c r="BK96" s="75">
        <f>Formula!C96*(INDEX(Properties!A$1:CB$87,Formula!B96,19))+Formula!E96*(INDEX(Properties!A$1:CB$87,Formula!D96,19))+Formula!G96*(INDEX(Properties!A$1:CB$87,Formula!F96,19))+Formula!I96*(INDEX(Properties!A$1:CB$87,Formula!H96,19))+Formula!K96*(INDEX(Properties!A$1:CB$87,Formula!J96,19))</f>
        <v>62</v>
      </c>
      <c r="BL96" s="75">
        <f>VARP(IF(INDEX(Properties!A$1:CB$87,Formula!B96,19)&lt;&gt;"",INDEX(Properties!A$1:CB$87,Formula!B96,19)),IF(INDEX(Properties!A$1:CB$87,Formula!D96,19)&lt;&gt;"",INDEX(Properties!A$1:CB$87,Formula!D96,19)),IF(INDEX(Properties!A$1:CB$87,Formula!F96,19)&lt;&gt;"",INDEX(Properties!A$1:CB$87,Formula!F96,19)),IF(INDEX(Properties!A$1:CB$87,Formula!H96,19)&lt;&gt;"",INDEX(Properties!A$1:CB$87,Formula!H96,19)),IF(INDEX(Properties!A$1:CB$87,Formula!J96,19)&lt;&gt;"",INDEX(Properties!A$1:CB$87,Formula!J96,19)))</f>
        <v>26.16</v>
      </c>
      <c r="BM96" s="75">
        <f>MAX(INDEX(Properties!A$1:CB$87,Formula!B96,19),INDEX(Properties!A$1:CB$87,Formula!D96,19),INDEX(Properties!A$1:CB$87,Formula!F96,19),INDEX(Properties!A$1:CB$87,Formula!H96,19),INDEX(Properties!A$1:CB$87,Formula!J96,19))</f>
        <v>13</v>
      </c>
      <c r="BN96" s="75">
        <f>MIN(IF(INDEX(Properties!A$1:CB$87,Formula!B96,19)=0,10^6,INDEX(Properties!A$1:CB$87,Formula!B96,19)),IF(INDEX(Properties!A$1:CB$87,Formula!D96,19)=0,10^6,INDEX(Properties!A$1:CB$87,Formula!D96,19)),IF(INDEX(Properties!A$1:CB$87,Formula!F96,19)=0,10^6,INDEX(Properties!A$1:CB$87,Formula!F96,19)),IF(INDEX(Properties!A$1:CB$87,Formula!H96,19)=0,10^6,INDEX(Properties!A$1:CB$87,Formula!H96,19)),IF(INDEX(Properties!A$1:CB$87,Formula!J96,19)=0,10^6,INDEX(Properties!A$1:CB$87,Formula!J96,19)))</f>
        <v>6</v>
      </c>
      <c r="BO96" s="75">
        <f t="shared" si="42"/>
        <v>7</v>
      </c>
      <c r="BP96" s="48">
        <f>((Formula!C96)/(Formula!C96+Formula!E96+Formula!G96+Formula!I96+Formula!K96))*(INDEX(Properties!A$1:CB$87,Formula!B96,20))+((Formula!E96)/(Formula!C96+Formula!E96+Formula!G96+Formula!I96+Formula!K96))*(INDEX(Properties!A$1:CB$87,Formula!D96,20))+((Formula!G96)/(Formula!C96+Formula!E96+Formula!G96+Formula!I96+Formula!K96))*(INDEX(Properties!A$1:CB$87,Formula!F96,20))+((Formula!I96)/(Formula!C96+Formula!E96+Formula!G96+Formula!I96+Formula!K96))*(INDEX(Properties!A$1:CB$87,Formula!H96,20))+((Formula!K96)/(Formula!C96+Formula!E96+Formula!G96+Formula!I96+Formula!K96))*(INDEX(Properties!A$1:CB$87,Formula!J96,20))</f>
        <v>4.5714285714285712</v>
      </c>
      <c r="BQ96" s="48">
        <f>Formula!C96*(INDEX(Properties!A$1:CB$87,Formula!B96,20))+Formula!E96*(INDEX(Properties!A$1:CB$87,Formula!D96,20))+Formula!G96*(INDEX(Properties!A$1:CB$87,Formula!F96,20))+Formula!I96*(INDEX(Properties!A$1:CB$87,Formula!H96,20))+Formula!K96*(INDEX(Properties!A$1:CB$87,Formula!J96,20))</f>
        <v>32</v>
      </c>
      <c r="BR96" s="48">
        <f>VARP(IF(INDEX(Properties!A$1:CB$87,Formula!B96,20)&lt;&gt;"",INDEX(Properties!A$1:CB$87,Formula!B96,20)),IF(INDEX(Properties!A$1:CB$87,Formula!D96,20)&lt;&gt;"",INDEX(Properties!A$1:CB$87,Formula!D96,20)),IF(INDEX(Properties!A$1:CB$87,Formula!F96,20)&lt;&gt;"",INDEX(Properties!A$1:CB$87,Formula!F96,20)),IF(INDEX(Properties!A$1:CB$87,Formula!H96,20)&lt;&gt;"",INDEX(Properties!A$1:CB$87,Formula!H96,20)),IF(INDEX(Properties!A$1:CB$87,Formula!J96,20)&lt;&gt;"",INDEX(Properties!A$1:CB$87,Formula!J96,20)))</f>
        <v>3.76</v>
      </c>
      <c r="BS96" s="48">
        <f>MAX(INDEX(Properties!A$1:CB$87,Formula!B96,20),INDEX(Properties!A$1:CB$87,Formula!D96,20),INDEX(Properties!A$1:CB$87,Formula!F96,20),INDEX(Properties!A$1:CB$87,Formula!H96,20),INDEX(Properties!A$1:CB$87,Formula!J96,20))</f>
        <v>6</v>
      </c>
      <c r="BT96" s="48">
        <f>MIN(IF(INDEX(Properties!A$1:CB$87,Formula!B96,20)=0,10^6,INDEX(Properties!A$1:CB$87,Formula!B96,20)),IF(INDEX(Properties!A$1:CB$87,Formula!D96,20)=0,10^6,INDEX(Properties!A$1:CB$87,Formula!D96,20)),IF(INDEX(Properties!A$1:CB$87,Formula!F96,20)=0,10^6,INDEX(Properties!A$1:CB$87,Formula!F96,20)),IF(INDEX(Properties!A$1:CB$87,Formula!H96,20)=0,10^6,INDEX(Properties!A$1:CB$87,Formula!H96,20)),IF(INDEX(Properties!A$1:CB$87,Formula!J96,20)=0,10^6,INDEX(Properties!A$1:CB$87,Formula!J96,20)))</f>
        <v>2</v>
      </c>
      <c r="BU96" s="48">
        <f t="shared" si="43"/>
        <v>4</v>
      </c>
      <c r="BV96" s="66">
        <f>((Formula!C96)/(Formula!C96+Formula!E96+Formula!G96+Formula!I96+Formula!K96))*(INDEX(Properties!A$1:CB$87,Formula!B96,21))+((Formula!E96)/(Formula!C96+Formula!E96+Formula!G96+Formula!I96+Formula!K96))*(INDEX(Properties!A$1:CB$87,Formula!D96,21))+((Formula!G96)/(Formula!C96+Formula!E96+Formula!G96+Formula!I96+Formula!K96))*(INDEX(Properties!A$1:CB$87,Formula!F96,21))+((Formula!I96)/(Formula!C96+Formula!E96+Formula!G96+Formula!I96+Formula!K96))*(INDEX(Properties!A$1:CB$87,Formula!H96,21))+((Formula!K96)/(Formula!C96+Formula!E96+Formula!G96+Formula!I96+Formula!K96))*(INDEX(Properties!A$1:CB$87,Formula!J96,21))</f>
        <v>4.4285714285714288</v>
      </c>
      <c r="BW96" s="66">
        <f>Formula!C96*(INDEX(Properties!A$1:CB$87,Formula!B96,21))+Formula!E96*(INDEX(Properties!A$1:CB$87,Formula!D96,21))+Formula!G96*(INDEX(Properties!A$1:CB$87,Formula!F96,21))+Formula!I96*(INDEX(Properties!A$1:CB$87,Formula!H96,21))+Formula!K96*(INDEX(Properties!A$1:CB$87,Formula!J96,21))</f>
        <v>31</v>
      </c>
      <c r="BX96" s="66">
        <f>VARP(IF(INDEX(Properties!A$1:CB$87,Formula!B96,21)&lt;&gt;"",INDEX(Properties!A$1:CB$87,Formula!B96,21)),IF(INDEX(Properties!A$1:CB$87,Formula!D96,21)&lt;&gt;"",INDEX(Properties!A$1:CB$87,Formula!D96,21)),IF(INDEX(Properties!A$1:CB$87,Formula!F96,21)&lt;&gt;"",INDEX(Properties!A$1:CB$87,Formula!F96,21)),IF(INDEX(Properties!A$1:CB$87,Formula!H96,21)&lt;&gt;"",INDEX(Properties!A$1:CB$87,Formula!H96,21)),IF(INDEX(Properties!A$1:CB$87,Formula!J96,21)&lt;&gt;"",INDEX(Properties!A$1:CB$87,Formula!J96,21)))</f>
        <v>4.24</v>
      </c>
      <c r="BY96" s="66">
        <f>MAX(INDEX(Properties!A$1:CB$87,Formula!B96,21),INDEX(Properties!A$1:CB$87,Formula!D96,21),INDEX(Properties!A$1:CB$87,Formula!F96,21),INDEX(Properties!A$1:CB$87,Formula!H96,21),INDEX(Properties!A$1:CB$87,Formula!J96,21))</f>
        <v>6</v>
      </c>
      <c r="BZ96" s="66">
        <f>MIN(IF(INDEX(Properties!A$1:CB$87,Formula!B96,21)=0,10^6,INDEX(Properties!A$1:CB$87,Formula!B96,21)),IF(INDEX(Properties!A$1:CB$87,Formula!D96,21)=0,10^6,INDEX(Properties!A$1:CB$87,Formula!D96,21)),IF(INDEX(Properties!A$1:CB$87,Formula!F96,21)=0,10^6,INDEX(Properties!A$1:CB$87,Formula!F96,21)),IF(INDEX(Properties!A$1:CB$87,Formula!H96,21)=0,10^6,INDEX(Properties!A$1:CB$87,Formula!H96,21)),IF(INDEX(Properties!A$1:CB$87,Formula!J96,21)=0,10^6,INDEX(Properties!A$1:CB$87,Formula!J96,21)))</f>
        <v>1</v>
      </c>
      <c r="CA96" s="66">
        <f t="shared" si="44"/>
        <v>5</v>
      </c>
      <c r="CB96" s="81">
        <f>((Formula!C96)/(Formula!C96+Formula!E96+Formula!G96+Formula!I96+Formula!K96))*(INDEX(Properties!A$1:CB$87,Formula!B96,23))+((Formula!E96)/(Formula!C96+Formula!E96+Formula!G96+Formula!I96+Formula!K96))*(INDEX(Properties!A$1:CB$87,Formula!D96,23))+((Formula!G96)/(Formula!C96+Formula!E96+Formula!G96+Formula!I96+Formula!K96))*(INDEX(Properties!A$1:CB$87,Formula!F96,23))+((Formula!I96)/(Formula!C96+Formula!E96+Formula!G96+Formula!I96+Formula!K96))*(INDEX(Properties!A$1:CB$87,Formula!H96,23))+((Formula!K96)/(Formula!C96+Formula!E96+Formula!G96+Formula!I96+Formula!K96))*(INDEX(Properties!A$1:CB$87,Formula!J96,23))</f>
        <v>1.617142857142857</v>
      </c>
      <c r="CC96" s="81">
        <f>Formula!C96*(INDEX(Properties!A$1:CB$87,Formula!B96,23))+Formula!E96*(INDEX(Properties!A$1:CB$87,Formula!D96,23))+Formula!G96*(INDEX(Properties!A$1:CB$87,Formula!F96,23))+Formula!I96*(INDEX(Properties!A$1:CB$87,Formula!H96,23))+Formula!K96*(INDEX(Properties!A$1:CB$87,Formula!J96,23))</f>
        <v>11.32</v>
      </c>
      <c r="CD96" s="81">
        <f>VARP(IF(INDEX(Properties!A$1:CB$87,Formula!B96,23)&lt;&gt;"",INDEX(Properties!A$1:CB$87,Formula!B96,23)),IF(INDEX(Properties!A$1:CB$87,Formula!D96,23)&lt;&gt;"",INDEX(Properties!A$1:CB$87,Formula!D96,23)),IF(INDEX(Properties!A$1:CB$87,Formula!F96,23)&lt;&gt;"",INDEX(Properties!A$1:CB$87,Formula!F96,23)),IF(INDEX(Properties!A$1:CB$87,Formula!H96,23)&lt;&gt;"",INDEX(Properties!A$1:CB$87,Formula!H96,23)),IF(INDEX(Properties!A$1:CB$87,Formula!J96,23)&lt;&gt;"",INDEX(Properties!A$1:CB$87,Formula!J96,23)))</f>
        <v>3.5504639999999994</v>
      </c>
      <c r="CE96" s="81">
        <f>MAX(INDEX(Properties!A$1:CB$87,Formula!B96,23),INDEX(Properties!A$1:CB$87,Formula!D96,23),INDEX(Properties!A$1:CB$87,Formula!F96,23),INDEX(Properties!A$1:CB$87,Formula!H96,23),INDEX(Properties!A$1:CB$87,Formula!J96,23))</f>
        <v>4.4400000000000004</v>
      </c>
      <c r="CF96" s="81">
        <f>MIN(IF(Formula!B96=87,10^6,INDEX(Properties!A$1:CB$87,Formula!B96,23)),IF((Formula!D96)=87,10^6,INDEX(Properties!A$1:CB$87,Formula!D96,23)),IF((Formula!F96)=87,10^6,INDEX(Properties!A$1:CB$87,Formula!F96,23)),IF((Formula!H96)=87,10^6,INDEX(Properties!A$1:CB$87,Formula!H96,23)),IF(Formula!J96=87,10^6,INDEX(Properties!A$1:CB$87,Formula!J96,23)))</f>
        <v>0</v>
      </c>
      <c r="CG96" s="81">
        <f t="shared" si="45"/>
        <v>4.4400000000000004</v>
      </c>
      <c r="CH96" s="39">
        <f>((Formula!C96)/(Formula!C96+Formula!E96+Formula!G96+Formula!I96+Formula!K96))*(INDEX(Properties!A$1:CB$87,Formula!B96,26))+((Formula!E96)/(Formula!C96+Formula!E96+Formula!G96+Formula!I96+Formula!K96))*(INDEX(Properties!A$1:CB$87,Formula!D96,26))+((Formula!G96)/(Formula!C96+Formula!E96+Formula!G96+Formula!I96+Formula!K96))*(INDEX(Properties!A$1:CB$87,Formula!F96,26))+((Formula!I96)/(Formula!C96+Formula!E96+Formula!G96+Formula!I96+Formula!K96))*(INDEX(Properties!A$1:CB$87,Formula!H96,26))+((Formula!K96)/(Formula!C96+Formula!E96+Formula!G96+Formula!I96+Formula!K96))*(INDEX(Properties!A$1:CB$87,Formula!J96,26))</f>
        <v>10.807471428571429</v>
      </c>
      <c r="CI96" s="39">
        <f>Formula!C96*(INDEX(Properties!A$1:CB$87,Formula!B96,26))+Formula!E96*(INDEX(Properties!A$1:CB$87,Formula!D96,26))+Formula!G96*(INDEX(Properties!A$1:CB$87,Formula!F96,26))+Formula!I96*(INDEX(Properties!A$1:CB$87,Formula!H96,26))+Formula!K96*(INDEX(Properties!A$1:CB$87,Formula!J96,26))</f>
        <v>75.652299999999997</v>
      </c>
      <c r="CJ96" s="39">
        <f>VARP(IF(INDEX(Properties!A$1:CB$87,Formula!B96,26)&lt;&gt;"",INDEX(Properties!A$1:CB$87,Formula!B96,26)),IF(INDEX(Properties!A$1:CB$87,Formula!D96,26)&lt;&gt;"",INDEX(Properties!A$1:CB$87,Formula!D96,26)),IF(INDEX(Properties!A$1:CB$87,Formula!F96,26)&lt;&gt;"",INDEX(Properties!A$1:CB$87,Formula!F96,26)),IF(INDEX(Properties!A$1:CB$87,Formula!H96,26)&lt;&gt;"",INDEX(Properties!A$1:CB$87,Formula!H96,26)),IF(INDEX(Properties!A$1:CB$87,Formula!J96,26)&lt;&gt;"",INDEX(Properties!A$1:CB$87,Formula!J96,26)))</f>
        <v>20.199501179999999</v>
      </c>
      <c r="CK96" s="39">
        <f>MAX(INDEX(Properties!A$1:CB$87,Formula!B96,26),INDEX(Properties!A$1:CB$87,Formula!D96,26),INDEX(Properties!A$1:CB$87,Formula!F96,26),INDEX(Properties!A$1:CB$87,Formula!H96,26),INDEX(Properties!A$1:CB$87,Formula!J96,26))</f>
        <v>13.6181</v>
      </c>
      <c r="CL96" s="39">
        <f>MIN(IF(INDEX(Properties!A$1:CB$87,Formula!B96,26)=0,10^6,INDEX(Properties!A$1:CB$87,Formula!B96,26)),IF(INDEX(Properties!A$1:CB$87,Formula!D96,26)=0,10^6,INDEX(Properties!A$1:CB$87,Formula!D96,26)),IF(INDEX(Properties!A$1:CB$87,Formula!F96,26)=0,10^6,INDEX(Properties!A$1:CB$87,Formula!F96,26)),IF(INDEX(Properties!A$1:CB$87,Formula!H96,26)=0,10^6,INDEX(Properties!A$1:CB$87,Formula!H96,26)),IF(INDEX(Properties!A$1:CB$87,Formula!J96,26)=0,10^6,INDEX(Properties!A$1:CB$87,Formula!J96,26)))</f>
        <v>5.7864000000000004</v>
      </c>
      <c r="CM96" s="39">
        <f t="shared" si="46"/>
        <v>7.8316999999999997</v>
      </c>
      <c r="CN96" s="54">
        <f>((Formula!C96)/(Formula!C96+Formula!E96+Formula!G96+Formula!I96+Formula!K96))*(INDEX(Properties!A$1:CB$87,Formula!B96,30))+((Formula!E96)/(Formula!C96+Formula!E96+Formula!G96+Formula!I96+Formula!K96))*(INDEX(Properties!A$1:CB$87,Formula!D96,30))+((Formula!G96)/(Formula!C96+Formula!E96+Formula!G96+Formula!I96+Formula!K96))*(INDEX(Properties!A$1:CB$87,Formula!F96,30))+((Formula!I96)/(Formula!C96+Formula!E96+Formula!G96+Formula!I96+Formula!K96))*(INDEX(Properties!A$1:CB$87,Formula!H96,30))+((Formula!K96)/(Formula!C96+Formula!E96+Formula!G96+Formula!I96+Formula!K96))*(INDEX(Properties!A$1:CB$87,Formula!J96,30))</f>
        <v>2.714285714285714</v>
      </c>
      <c r="CO96" s="54">
        <f>Formula!C96*(INDEX(Properties!A$1:CB$87,Formula!B96,30))+Formula!E96*(INDEX(Properties!A$1:CB$87,Formula!D96,30))+Formula!G96*(INDEX(Properties!A$1:CB$87,Formula!F96,30))+Formula!I96*(INDEX(Properties!A$1:CB$87,Formula!H96,30))+Formula!K96*(INDEX(Properties!A$1:CB$87,Formula!J96,30))</f>
        <v>19</v>
      </c>
      <c r="CP96" s="54">
        <f>VARP(IF(INDEX(Properties!A$1:CB$87,Formula!B96,30)&lt;&gt;"",INDEX(Properties!A$1:CB$87,Formula!B96,30)),IF(INDEX(Properties!A$1:CB$87,Formula!D96,30)&lt;&gt;"",INDEX(Properties!A$1:CB$87,Formula!D96,30)),IF(INDEX(Properties!A$1:CB$87,Formula!F96,30)&lt;&gt;"",INDEX(Properties!A$1:CB$87,Formula!F96,30)),IF(INDEX(Properties!A$1:CB$87,Formula!H96,30)&lt;&gt;"",INDEX(Properties!A$1:CB$87,Formula!H96,30)),IF(INDEX(Properties!A$1:CB$87,Formula!J96,30)&lt;&gt;"",INDEX(Properties!A$1:CB$87,Formula!J96,30)))</f>
        <v>1.1864239999999995</v>
      </c>
      <c r="CQ96" s="54">
        <f>MAX(INDEX(Properties!A$1:CB$87,Formula!B96,30),INDEX(Properties!A$1:CB$87,Formula!D96,30),INDEX(Properties!A$1:CB$87,Formula!F96,30),INDEX(Properties!A$1:CB$87,Formula!H96,30),INDEX(Properties!A$1:CB$87,Formula!J96,30))</f>
        <v>3.44</v>
      </c>
      <c r="CR96" s="54">
        <f>MIN(IF(INDEX(Properties!A$1:CB$87,Formula!B96,30)=0,10^6,INDEX(Properties!A$1:CB$87,Formula!B96,30)),IF(INDEX(Properties!A$1:CB$87,Formula!D96,30)=0,10^6,INDEX(Properties!A$1:CB$87,Formula!D96,30)),IF(INDEX(Properties!A$1:CB$87,Formula!F96,30)=0,10^6,INDEX(Properties!A$1:CB$87,Formula!F96,30)),IF(INDEX(Properties!A$1:CB$87,Formula!H96,30)=0,10^6,INDEX(Properties!A$1:CB$87,Formula!H96,30)),IF(INDEX(Properties!A$1:CB$87,Formula!J96,30)=0,10^6,INDEX(Properties!A$1:CB$87,Formula!J96,30)))</f>
        <v>1.65</v>
      </c>
      <c r="CS96" s="54">
        <f t="shared" si="47"/>
        <v>1.79</v>
      </c>
      <c r="CT96" s="69">
        <f>((Formula!C96)/(Formula!C96+Formula!E96+Formula!G96+Formula!I96+Formula!K96))*(INDEX(Properties!A$1:CB$87,Formula!B96,31))+((Formula!E96)/(Formula!C96+Formula!E96+Formula!G96+Formula!I96+Formula!K96))*(INDEX(Properties!A$1:CB$87,Formula!D96,31))+((Formula!G96)/(Formula!C96+Formula!E96+Formula!G96+Formula!I96+Formula!K96))*(INDEX(Properties!A$1:CB$87,Formula!F96,31))+((Formula!I96)/(Formula!C96+Formula!E96+Formula!G96+Formula!I96+Formula!K96))*(INDEX(Properties!A$1:CB$87,Formula!H96,31))+((Formula!K96)/(Formula!C96+Formula!E96+Formula!G96+Formula!I96+Formula!K96))*(INDEX(Properties!A$1:CB$87,Formula!J96,31))</f>
        <v>2.5785714285714283</v>
      </c>
      <c r="CU96" s="69">
        <f>Formula!C96*(INDEX(Properties!A$1:CB$87,Formula!B96,31))+Formula!E96*(INDEX(Properties!A$1:CB$87,Formula!D96,31))+Formula!G96*(INDEX(Properties!A$1:CB$87,Formula!F96,31))+Formula!I96*(INDEX(Properties!A$1:CB$87,Formula!H96,31))+Formula!K96*(INDEX(Properties!A$1:CB$87,Formula!J96,31))</f>
        <v>18.049999999999997</v>
      </c>
      <c r="CV96" s="69">
        <f>VARP(IF(INDEX(Properties!A$1:CB$87,Formula!B96,31)&lt;&gt;"",INDEX(Properties!A$1:CB$87,Formula!B96,31)),IF(INDEX(Properties!A$1:CB$87,Formula!D96,31)&lt;&gt;"",INDEX(Properties!A$1:CB$87,Formula!D96,31)),IF(INDEX(Properties!A$1:CB$87,Formula!F96,31)&lt;&gt;"",INDEX(Properties!A$1:CB$87,Formula!F96,31)),IF(INDEX(Properties!A$1:CB$87,Formula!H96,31)&lt;&gt;"",INDEX(Properties!A$1:CB$87,Formula!H96,31)),IF(INDEX(Properties!A$1:CB$87,Formula!J96,31)&lt;&gt;"",INDEX(Properties!A$1:CB$87,Formula!J96,31)))</f>
        <v>1.1106559999999996</v>
      </c>
      <c r="CW96" s="69">
        <f>MAX(INDEX(Properties!A$1:CB$87,Formula!B96,31),INDEX(Properties!A$1:CB$87,Formula!D96,31),INDEX(Properties!A$1:CB$87,Formula!F96,31),INDEX(Properties!A$1:CB$87,Formula!H96,31),INDEX(Properties!A$1:CB$87,Formula!J96,31))</f>
        <v>3.32</v>
      </c>
      <c r="CX96" s="69">
        <f>MIN(IF(INDEX(Properties!A$1:CB$87,Formula!B96,31)=0,10^6,INDEX(Properties!A$1:CB$87,Formula!B96,31)),IF(INDEX(Properties!A$1:CB$87,Formula!D96,31)=0,10^6,INDEX(Properties!A$1:CB$87,Formula!D96,31)),IF(INDEX(Properties!A$1:CB$87,Formula!F96,31)=0,10^6,INDEX(Properties!A$1:CB$87,Formula!F96,31)),IF(INDEX(Properties!A$1:CB$87,Formula!H96,31)=0,10^6,INDEX(Properties!A$1:CB$87,Formula!H96,31)),IF(INDEX(Properties!A$1:CB$87,Formula!J96,31)=0,10^6,INDEX(Properties!A$1:CB$87,Formula!J96,31)))</f>
        <v>1.44</v>
      </c>
      <c r="CY96" s="69">
        <f t="shared" si="48"/>
        <v>1.88</v>
      </c>
      <c r="CZ96" s="42">
        <f>((Formula!C96)/(Formula!C96+Formula!E96+Formula!G96+Formula!I96+Formula!K96))*(INDEX(Properties!A$1:CB$87,Formula!B96,32))+((Formula!E96)/(Formula!C96+Formula!E96+Formula!G96+Formula!I96+Formula!K96))*(INDEX(Properties!A$1:CB$87,Formula!D96,32))+((Formula!G96)/(Formula!C96+Formula!E96+Formula!G96+Formula!I96+Formula!K96))*(INDEX(Properties!A$1:CB$87,Formula!F96,32))+((Formula!I96)/(Formula!C96+Formula!E96+Formula!G96+Formula!I96+Formula!K96))*(INDEX(Properties!A$1:CB$87,Formula!H96,32))+((Formula!K96)/(Formula!C96+Formula!E96+Formula!G96+Formula!I96+Formula!K96))*(INDEX(Properties!A$1:CB$87,Formula!J96,32))</f>
        <v>5.8442857142857143</v>
      </c>
      <c r="DA96" s="42">
        <f>Formula!C96*(INDEX(Properties!A$1:CB$87,Formula!B96,32))+Formula!E96*(INDEX(Properties!A$1:CB$87,Formula!D96,32))+Formula!G96*(INDEX(Properties!A$1:CB$87,Formula!F96,32))+Formula!I96*(INDEX(Properties!A$1:CB$87,Formula!H96,32))+Formula!K96*(INDEX(Properties!A$1:CB$87,Formula!J96,32))</f>
        <v>40.909999999999997</v>
      </c>
      <c r="DB96" s="42">
        <f>VARP(IF(INDEX(Properties!A$1:CB$87,Formula!B96,32)&lt;&gt;"",INDEX(Properties!A$1:CB$87,Formula!B96,32)),IF(INDEX(Properties!A$1:CB$87,Formula!D96,32)&lt;&gt;"",INDEX(Properties!A$1:CB$87,Formula!D96,32)),IF(INDEX(Properties!A$1:CB$87,Formula!F96,32)&lt;&gt;"",INDEX(Properties!A$1:CB$87,Formula!F96,32)),IF(INDEX(Properties!A$1:CB$87,Formula!H96,32)&lt;&gt;"",INDEX(Properties!A$1:CB$87,Formula!H96,32)),IF(INDEX(Properties!A$1:CB$87,Formula!J96,32)&lt;&gt;"",INDEX(Properties!A$1:CB$87,Formula!J96,32)))</f>
        <v>5.9198559999999993</v>
      </c>
      <c r="DC96" s="42">
        <f>MAX(INDEX(Properties!A$1:CB$87,Formula!B96,32),INDEX(Properties!A$1:CB$87,Formula!D96,32),INDEX(Properties!A$1:CB$87,Formula!F96,32),INDEX(Properties!A$1:CB$87,Formula!H96,32),INDEX(Properties!A$1:CB$87,Formula!J96,32))</f>
        <v>7.54</v>
      </c>
      <c r="DD96" s="42">
        <f>MIN(IF(INDEX(Properties!A$1:CB$87,Formula!B96,32)=0,10^6,INDEX(Properties!A$1:CB$87,Formula!B96,32)),IF(INDEX(Properties!A$1:CB$87,Formula!D96,32)=0,10^6,INDEX(Properties!A$1:CB$87,Formula!D96,32)),IF(INDEX(Properties!A$1:CB$87,Formula!F96,32)=0,10^6,INDEX(Properties!A$1:CB$87,Formula!F96,32)),IF(INDEX(Properties!A$1:CB$87,Formula!H96,32)=0,10^6,INDEX(Properties!A$1:CB$87,Formula!H96,32)),IF(INDEX(Properties!A$1:CB$87,Formula!J96,32)=0,10^6,INDEX(Properties!A$1:CB$87,Formula!J96,32)))</f>
        <v>3.1</v>
      </c>
      <c r="DE96" s="42">
        <f t="shared" si="49"/>
        <v>4.4399999999999995</v>
      </c>
      <c r="DF96" s="60">
        <f>((Formula!C96)/(Formula!C96+Formula!E96+Formula!G96+Formula!I96+Formula!K96))*(INDEX(Properties!A$1:CB$87,Formula!B96,34))+((Formula!E96)/(Formula!C96+Formula!E96+Formula!G96+Formula!I96+Formula!K96))*(INDEX(Properties!A$1:CB$87,Formula!D96,34))+((Formula!G96)/(Formula!C96+Formula!E96+Formula!G96+Formula!I96+Formula!K96))*(INDEX(Properties!A$1:CB$87,Formula!F96,34))+((Formula!I96)/(Formula!C96+Formula!E96+Formula!G96+Formula!I96+Formula!K96))*(INDEX(Properties!A$1:CB$87,Formula!H96,34))+((Formula!K96)/(Formula!C96+Formula!E96+Formula!G96+Formula!I96+Formula!K96))*(INDEX(Properties!A$1:CB$87,Formula!J96,34))</f>
        <v>2.7774285714285711</v>
      </c>
      <c r="DG96" s="60">
        <f>Formula!C96*(INDEX(Properties!A$1:CB$87,Formula!B96,34))+Formula!E96*(INDEX(Properties!A$1:CB$87,Formula!D96,34))+Formula!G96*(INDEX(Properties!A$1:CB$87,Formula!F96,34))+Formula!I96*(INDEX(Properties!A$1:CB$87,Formula!H96,34))+Formula!K96*(INDEX(Properties!A$1:CB$87,Formula!J96,34))</f>
        <v>19.442</v>
      </c>
      <c r="DH96" s="60">
        <f>VARP(IF(INDEX(Properties!A$1:CB$87,Formula!B96,34)&lt;&gt;"",INDEX(Properties!A$1:CB$87,Formula!B96,34)),IF(INDEX(Properties!A$1:CB$87,Formula!D96,34)&lt;&gt;"",INDEX(Properties!A$1:CB$87,Formula!D96,34)),IF(INDEX(Properties!A$1:CB$87,Formula!F96,34)&lt;&gt;"",INDEX(Properties!A$1:CB$87,Formula!F96,34)),IF(INDEX(Properties!A$1:CB$87,Formula!H96,34)&lt;&gt;"",INDEX(Properties!A$1:CB$87,Formula!H96,34)),IF(INDEX(Properties!A$1:CB$87,Formula!J96,34)&lt;&gt;"",INDEX(Properties!A$1:CB$87,Formula!J96,34)))</f>
        <v>1.3105526399999996</v>
      </c>
      <c r="DI96" s="60">
        <f>MAX(INDEX(Properties!A$1:CB$87,Formula!B96,34),INDEX(Properties!A$1:CB$87,Formula!D96,34),INDEX(Properties!A$1:CB$87,Formula!F96,34),INDEX(Properties!A$1:CB$87,Formula!H96,34),INDEX(Properties!A$1:CB$87,Formula!J96,34))</f>
        <v>3.61</v>
      </c>
      <c r="DJ96" s="60">
        <f>MIN(IF(INDEX(Properties!A$1:CB$87,Formula!B96,34)=0,10^6,INDEX(Properties!A$1:CB$87,Formula!B96,34)),IF(INDEX(Properties!A$1:CB$87,Formula!D96,34)=0,10^6,INDEX(Properties!A$1:CB$87,Formula!D96,34)),IF(INDEX(Properties!A$1:CB$87,Formula!F96,34)=0,10^6,INDEX(Properties!A$1:CB$87,Formula!F96,34)),IF(INDEX(Properties!A$1:CB$87,Formula!H96,34)=0,10^6,INDEX(Properties!A$1:CB$87,Formula!H96,34)),IF(INDEX(Properties!A$1:CB$87,Formula!J96,34)=0,10^6,INDEX(Properties!A$1:CB$87,Formula!J96,34)))</f>
        <v>1.59</v>
      </c>
      <c r="DK96" s="60">
        <f t="shared" si="50"/>
        <v>2.0199999999999996</v>
      </c>
      <c r="DL96" s="45">
        <f>((Formula!C96)/(Formula!C96+Formula!E96+Formula!G96+Formula!I96+Formula!K96))*(INDEX(Properties!A$1:CB$87,Formula!B96,39))+((Formula!E96)/(Formula!C96+Formula!E96+Formula!G96+Formula!I96+Formula!K96))*(INDEX(Properties!A$1:CB$87,Formula!D96,39))+((Formula!G96)/(Formula!C96+Formula!E96+Formula!G96+Formula!I96+Formula!K96))*(INDEX(Properties!A$1:CB$87,Formula!F96,39))+((Formula!I96)/(Formula!C96+Formula!E96+Formula!G96+Formula!I96+Formula!K96))*(INDEX(Properties!A$1:CB$87,Formula!H96,39))+((Formula!K96)/(Formula!C96+Formula!E96+Formula!G96+Formula!I96+Formula!K96))*(INDEX(Properties!A$1:CB$87,Formula!J96,39))</f>
        <v>0.89428571428571424</v>
      </c>
      <c r="DM96" s="45">
        <f>Formula!C96*(INDEX(Properties!A$1:CB$87,Formula!B96,39))+Formula!E96*(INDEX(Properties!A$1:CB$87,Formula!D96,39))+Formula!G96*(INDEX(Properties!A$1:CB$87,Formula!F96,39))+Formula!I96*(INDEX(Properties!A$1:CB$87,Formula!H96,39))+Formula!K96*(INDEX(Properties!A$1:CB$87,Formula!J96,39))</f>
        <v>6.26</v>
      </c>
      <c r="DN96" s="45">
        <f>VARP(IF(INDEX(Properties!A$1:CB$87,Formula!B96,39)&lt;&gt;"",INDEX(Properties!A$1:CB$87,Formula!B96,39)),IF(INDEX(Properties!A$1:CB$87,Formula!D96,39)&lt;&gt;"",INDEX(Properties!A$1:CB$87,Formula!D96,39)),IF(INDEX(Properties!A$1:CB$87,Formula!F96,39)&lt;&gt;"",INDEX(Properties!A$1:CB$87,Formula!F96,39)),IF(INDEX(Properties!A$1:CB$87,Formula!H96,39)&lt;&gt;"",INDEX(Properties!A$1:CB$87,Formula!H96,39)),IF(INDEX(Properties!A$1:CB$87,Formula!J96,39)&lt;&gt;"",INDEX(Properties!A$1:CB$87,Formula!J96,39)))</f>
        <v>0.37670400000000015</v>
      </c>
      <c r="DO96" s="45">
        <f>MAX(INDEX(Properties!A$1:CB$87,Formula!B96,39),INDEX(Properties!A$1:CB$87,Formula!D96,39),INDEX(Properties!A$1:CB$87,Formula!F96,39),INDEX(Properties!A$1:CB$87,Formula!H96,39),INDEX(Properties!A$1:CB$87,Formula!J96,39))</f>
        <v>1.56</v>
      </c>
      <c r="DP96" s="45">
        <f>MIN(IF(INDEX(Properties!A$1:CB$87,Formula!B96,39)=0,10^6,INDEX(Properties!A$1:CB$87,Formula!B96,39)),IF(INDEX(Properties!A$1:CB$87,Formula!D96,39)=0,10^6,INDEX(Properties!A$1:CB$87,Formula!D96,39)),IF(INDEX(Properties!A$1:CB$87,Formula!F96,39)=0,10^6,INDEX(Properties!A$1:CB$87,Formula!F96,39)),IF(INDEX(Properties!A$1:CB$87,Formula!H96,39)=0,10^6,INDEX(Properties!A$1:CB$87,Formula!H96,39)),IF(INDEX(Properties!A$1:CB$87,Formula!J96,39)=0,10^6,INDEX(Properties!A$1:CB$87,Formula!J96,39)))</f>
        <v>0.48</v>
      </c>
      <c r="DQ96" s="45">
        <f t="shared" si="51"/>
        <v>1.08</v>
      </c>
      <c r="DR96" s="63">
        <f>((Formula!C96)/(Formula!C96+Formula!E96+Formula!G96+Formula!I96+Formula!K96))*(INDEX(Properties!A$1:CB$87,Formula!B96,40))+((Formula!E96)/(Formula!C96+Formula!E96+Formula!G96+Formula!I96+Formula!K96))*(INDEX(Properties!A$1:CB$87,Formula!D96,40))+((Formula!G96)/(Formula!C96+Formula!E96+Formula!G96+Formula!I96+Formula!K96))*(INDEX(Properties!A$1:CB$87,Formula!F96,40))+((Formula!I96)/(Formula!C96+Formula!E96+Formula!G96+Formula!I96+Formula!K96))*(INDEX(Properties!A$1:CB$87,Formula!H96,40))+((Formula!K96)/(Formula!C96+Formula!E96+Formula!G96+Formula!I96+Formula!K96))*(INDEX(Properties!A$1:CB$87,Formula!J96,40))</f>
        <v>0.99</v>
      </c>
      <c r="DS96" s="63">
        <f>Formula!C96*(INDEX(Properties!A$1:CB$87,Formula!B96,40))+Formula!E96*(INDEX(Properties!A$1:CB$87,Formula!D96,40))+Formula!G96*(INDEX(Properties!A$1:CB$87,Formula!F96,40))+Formula!I96*(INDEX(Properties!A$1:CB$87,Formula!H96,40))+Formula!K96*(INDEX(Properties!A$1:CB$87,Formula!J96,40))</f>
        <v>6.93</v>
      </c>
      <c r="DT96" s="63">
        <f>VARP(IF(INDEX(Properties!A$1:CB$87,Formula!B96,40)&lt;&gt;"",INDEX(Properties!A$1:CB$87,Formula!B96,40)),IF(INDEX(Properties!A$1:CB$87,Formula!D96,40)&lt;&gt;"",INDEX(Properties!A$1:CB$87,Formula!D96,40)),IF(INDEX(Properties!A$1:CB$87,Formula!F96,40)&lt;&gt;"",INDEX(Properties!A$1:CB$87,Formula!F96,40)),IF(INDEX(Properties!A$1:CB$87,Formula!H96,40)&lt;&gt;"",INDEX(Properties!A$1:CB$87,Formula!H96,40)),IF(INDEX(Properties!A$1:CB$87,Formula!J96,40)&lt;&gt;"",INDEX(Properties!A$1:CB$87,Formula!J96,40)))</f>
        <v>0.28333599999999992</v>
      </c>
      <c r="DU96" s="63">
        <f>MAX(INDEX(Properties!A$1:CB$87,Formula!B96,40),INDEX(Properties!A$1:CB$87,Formula!D96,40),INDEX(Properties!A$1:CB$87,Formula!F96,40),INDEX(Properties!A$1:CB$87,Formula!H96,40),INDEX(Properties!A$1:CB$87,Formula!J96,40))</f>
        <v>1.44</v>
      </c>
      <c r="DV96" s="63">
        <f>MIN(IF(INDEX(Properties!A$1:CB$87,Formula!B96,40)=0,10^6,INDEX(Properties!A$1:CB$87,Formula!B96,40)),IF(INDEX(Properties!A$1:CB$87,Formula!D96,40)=0,10^6,INDEX(Properties!A$1:CB$87,Formula!D96,40)),IF(INDEX(Properties!A$1:CB$87,Formula!F96,40)=0,10^6,INDEX(Properties!A$1:CB$87,Formula!F96,40)),IF(INDEX(Properties!A$1:CB$87,Formula!H96,40)=0,10^6,INDEX(Properties!A$1:CB$87,Formula!H96,40)),IF(INDEX(Properties!A$1:CB$87,Formula!J96,40)=0,10^6,INDEX(Properties!A$1:CB$87,Formula!J96,40)))</f>
        <v>0.73</v>
      </c>
      <c r="DW96" s="63">
        <f t="shared" si="52"/>
        <v>0.71</v>
      </c>
      <c r="DX96" s="75">
        <f>((Formula!C96)/(Formula!C96+Formula!E96+Formula!G96+Formula!I96+Formula!K96))*(INDEX(Properties!A$1:CB$87,Formula!B96,41))+((Formula!E96)/(Formula!C96+Formula!E96+Formula!G96+Formula!I96+Formula!K96))*(INDEX(Properties!A$1:CB$87,Formula!D96,41))+((Formula!G96)/(Formula!C96+Formula!E96+Formula!G96+Formula!I96+Formula!K96))*(INDEX(Properties!A$1:CB$87,Formula!F96,41))+((Formula!I96)/(Formula!C96+Formula!E96+Formula!G96+Formula!I96+Formula!K96))*(INDEX(Properties!A$1:CB$87,Formula!H96,41))+((Formula!K96)/(Formula!C96+Formula!E96+Formula!G96+Formula!I96+Formula!K96))*(INDEX(Properties!A$1:CB$87,Formula!J96,41))</f>
        <v>1.0885714285714285</v>
      </c>
      <c r="DY96" s="75">
        <f>Formula!C96*(INDEX(Properties!A$1:CB$87,Formula!B96,41))+Formula!E96*(INDEX(Properties!A$1:CB$87,Formula!D96,41))+Formula!G96*(INDEX(Properties!A$1:CB$87,Formula!F96,41))+Formula!I96*(INDEX(Properties!A$1:CB$87,Formula!H96,41))+Formula!K96*(INDEX(Properties!A$1:CB$87,Formula!J96,41))</f>
        <v>7.62</v>
      </c>
      <c r="DZ96" s="75">
        <f>VARP(IF(INDEX(Properties!A$1:CB$87,Formula!B96,41)&lt;&gt;"",INDEX(Properties!A$1:CB$87,Formula!B96,41)),IF(INDEX(Properties!A$1:CB$87,Formula!D96,41)&lt;&gt;"",INDEX(Properties!A$1:CB$87,Formula!D96,41)),IF(INDEX(Properties!A$1:CB$87,Formula!F96,41)&lt;&gt;"",INDEX(Properties!A$1:CB$87,Formula!F96,41)),IF(INDEX(Properties!A$1:CB$87,Formula!H96,41)&lt;&gt;"",INDEX(Properties!A$1:CB$87,Formula!H96,41)),IF(INDEX(Properties!A$1:CB$87,Formula!J96,41)&lt;&gt;"",INDEX(Properties!A$1:CB$87,Formula!J96,41)))</f>
        <v>0.174816</v>
      </c>
      <c r="EA96" s="75">
        <f>MAX(INDEX(Properties!A$1:CB$87,Formula!B96,41),INDEX(Properties!A$1:CB$87,Formula!D96,41),INDEX(Properties!A$1:CB$87,Formula!F96,41),INDEX(Properties!A$1:CB$87,Formula!H96,41),INDEX(Properties!A$1:CB$87,Formula!J96,41))</f>
        <v>1.26</v>
      </c>
      <c r="EB96" s="75">
        <f>MIN(IF(INDEX(Properties!A$1:CB$87,Formula!B96,41)=0,10^6,INDEX(Properties!A$1:CB$87,Formula!B96,41)),IF(INDEX(Properties!A$1:CB$87,Formula!D96,41)=0,10^6,INDEX(Properties!A$1:CB$87,Formula!D96,41)),IF(INDEX(Properties!A$1:CB$87,Formula!F96,41)=0,10^6,INDEX(Properties!A$1:CB$87,Formula!F96,41)),IF(INDEX(Properties!A$1:CB$87,Formula!H96,41)=0,10^6,INDEX(Properties!A$1:CB$87,Formula!H96,41)),IF(INDEX(Properties!A$1:CB$87,Formula!J96,41)=0,10^6,INDEX(Properties!A$1:CB$87,Formula!J96,41)))</f>
        <v>0.76</v>
      </c>
      <c r="EC96" s="75">
        <f t="shared" si="53"/>
        <v>0.5</v>
      </c>
      <c r="ED96" s="48">
        <f>((Formula!C96)/(Formula!C96+Formula!E96+Formula!G96+Formula!I96+Formula!K96))*(INDEX(Properties!A$1:CB$87,Formula!B96,45))+((Formula!E96)/(Formula!C96+Formula!E96+Formula!G96+Formula!I96+Formula!K96))*(INDEX(Properties!A$1:CB$87,Formula!D96,45))+((Formula!G96)/(Formula!C96+Formula!E96+Formula!G96+Formula!I96+Formula!K96))*(INDEX(Properties!A$1:CB$87,Formula!F96,45))+((Formula!I96)/(Formula!C96+Formula!E96+Formula!G96+Formula!I96+Formula!K96))*(INDEX(Properties!A$1:CB$87,Formula!H96,45))+((Formula!K96)/(Formula!C96+Formula!E96+Formula!G96+Formula!I96+Formula!K96))*(INDEX(Properties!A$1:CB$87,Formula!J96,45))</f>
        <v>1.0728571428571425</v>
      </c>
      <c r="EE96" s="48">
        <f>Formula!C96*(INDEX(Properties!A$1:CB$87,Formula!B96,45))+Formula!E96*(INDEX(Properties!A$1:CB$87,Formula!D96,45))+Formula!G96*(INDEX(Properties!A$1:CB$87,Formula!F96,45))+Formula!I96*(INDEX(Properties!A$1:CB$87,Formula!H96,45))+Formula!K96*(INDEX(Properties!A$1:CB$87,Formula!J96,45))</f>
        <v>7.51</v>
      </c>
      <c r="EF96" s="48">
        <f>VARP(IF(INDEX(Properties!A$1:CB$87,Formula!B96,45)&lt;&gt;"",INDEX(Properties!A$1:CB$87,Formula!B96,45)),IF(INDEX(Properties!A$1:CB$87,Formula!D96,45)&lt;&gt;"",INDEX(Properties!A$1:CB$87,Formula!D96,45)),IF(INDEX(Properties!A$1:CB$87,Formula!F96,45)&lt;&gt;"",INDEX(Properties!A$1:CB$87,Formula!F96,45)),IF(INDEX(Properties!A$1:CB$87,Formula!H96,45)&lt;&gt;"",INDEX(Properties!A$1:CB$87,Formula!H96,45)),IF(INDEX(Properties!A$1:CB$87,Formula!J96,45)&lt;&gt;"",INDEX(Properties!A$1:CB$87,Formula!J96,45)))</f>
        <v>0.6811600000000001</v>
      </c>
      <c r="EG96" s="48">
        <f>MAX(INDEX(Properties!A$1:CB$87,Formula!B96,45),INDEX(Properties!A$1:CB$87,Formula!D96,45),INDEX(Properties!A$1:CB$87,Formula!F96,45),INDEX(Properties!A$1:CB$87,Formula!H96,45),INDEX(Properties!A$1:CB$87,Formula!J96,45))</f>
        <v>2.0499999999999998</v>
      </c>
      <c r="EH96" s="48">
        <f>MIN(IF(INDEX(Properties!A$1:CB$87,Formula!B96,45)=0,10^6,INDEX(Properties!A$1:CB$87,Formula!B96,45)),IF(INDEX(Properties!A$1:CB$87,Formula!D96,45)=0,10^6,INDEX(Properties!A$1:CB$87,Formula!D96,45)),IF(INDEX(Properties!A$1:CB$87,Formula!F96,45)=0,10^6,INDEX(Properties!A$1:CB$87,Formula!F96,45)),IF(INDEX(Properties!A$1:CB$87,Formula!H96,45)=0,10^6,INDEX(Properties!A$1:CB$87,Formula!H96,45)),IF(INDEX(Properties!A$1:CB$87,Formula!J96,45)=0,10^6,INDEX(Properties!A$1:CB$87,Formula!J96,45)))</f>
        <v>0.47</v>
      </c>
      <c r="EI96" s="48">
        <f t="shared" si="54"/>
        <v>1.5799999999999998</v>
      </c>
      <c r="EJ96" s="66">
        <f>((Formula!C96)/(Formula!C96+Formula!E96+Formula!G96+Formula!I96+Formula!K96))*(INDEX(Properties!A$1:CB$87,Formula!B96,46))+((Formula!E96)/(Formula!C96+Formula!E96+Formula!G96+Formula!I96+Formula!K96))*(INDEX(Properties!A$1:CB$87,Formula!D96,46))+((Formula!G96)/(Formula!C96+Formula!E96+Formula!G96+Formula!I96+Formula!K96))*(INDEX(Properties!A$1:CB$87,Formula!F96,46))+((Formula!I96)/(Formula!C96+Formula!E96+Formula!G96+Formula!I96+Formula!K96))*(INDEX(Properties!A$1:CB$87,Formula!H96,46))+((Formula!K96)/(Formula!C96+Formula!E96+Formula!G96+Formula!I96+Formula!K96))*(INDEX(Properties!A$1:CB$87,Formula!J96,46))</f>
        <v>1.04</v>
      </c>
      <c r="EK96" s="66">
        <f>Formula!C96*(INDEX(Properties!A$1:CB$87,Formula!B96,46))+Formula!E96*(INDEX(Properties!A$1:CB$87,Formula!D96,46))+Formula!G96*(INDEX(Properties!A$1:CB$87,Formula!F96,46))+Formula!I96*(INDEX(Properties!A$1:CB$87,Formula!H96,46))+Formula!K96*(INDEX(Properties!A$1:CB$87,Formula!J96,46))</f>
        <v>7.2799999999999994</v>
      </c>
      <c r="EL96" s="66">
        <f>VARP(IF(INDEX(Properties!A$1:CB$87,Formula!B96,46)&lt;&gt;"",INDEX(Properties!A$1:CB$87,Formula!B96,46)),IF(INDEX(Properties!A$1:CB$87,Formula!D96,46)&lt;&gt;"",INDEX(Properties!A$1:CB$87,Formula!D96,46)),IF(INDEX(Properties!A$1:CB$87,Formula!F96,46)&lt;&gt;"",INDEX(Properties!A$1:CB$87,Formula!F96,46)),IF(INDEX(Properties!A$1:CB$87,Formula!H96,46)&lt;&gt;"",INDEX(Properties!A$1:CB$87,Formula!H96,46)),IF(INDEX(Properties!A$1:CB$87,Formula!J96,46)&lt;&gt;"",INDEX(Properties!A$1:CB$87,Formula!J96,46)))</f>
        <v>0.16167999999999999</v>
      </c>
      <c r="EM96" s="66">
        <f>MAX(INDEX(Properties!A$1:CB$87,Formula!B96,46),INDEX(Properties!A$1:CB$87,Formula!D96,46),INDEX(Properties!A$1:CB$87,Formula!F96,46),INDEX(Properties!A$1:CB$87,Formula!H96,46),INDEX(Properties!A$1:CB$87,Formula!J96,46))</f>
        <v>1.21</v>
      </c>
      <c r="EN96" s="66">
        <f>MIN(IF(INDEX(Properties!A$1:CB$87,Formula!B96,46)=0,10^6,INDEX(Properties!A$1:CB$87,Formula!B96,46)),IF(INDEX(Properties!A$1:CB$87,Formula!D96,46)=0,10^6,INDEX(Properties!A$1:CB$87,Formula!D96,46)),IF(INDEX(Properties!A$1:CB$87,Formula!F96,46)=0,10^6,INDEX(Properties!A$1:CB$87,Formula!F96,46)),IF(INDEX(Properties!A$1:CB$87,Formula!H96,46)=0,10^6,INDEX(Properties!A$1:CB$87,Formula!H96,46)),IF(INDEX(Properties!A$1:CB$87,Formula!J96,46)=0,10^6,INDEX(Properties!A$1:CB$87,Formula!J96,46)))</f>
        <v>0.74</v>
      </c>
      <c r="EO96" s="66">
        <f t="shared" si="55"/>
        <v>0.47</v>
      </c>
      <c r="EP96" s="81">
        <f>((Formula!C96)/(Formula!C96+Formula!E96+Formula!G96+Formula!I96+Formula!K96))*(INDEX(Properties!A$1:CB$87,Formula!B96,52))+((Formula!E96)/(Formula!C96+Formula!E96+Formula!G96+Formula!I96+Formula!K96))*(INDEX(Properties!A$1:CB$87,Formula!D96,52))+((Formula!G96)/(Formula!C96+Formula!E96+Formula!G96+Formula!I96+Formula!K96))*(INDEX(Properties!A$1:CB$87,Formula!F96,52))+((Formula!I96)/(Formula!C96+Formula!E96+Formula!G96+Formula!I96+Formula!K96))*(INDEX(Properties!A$1:CB$87,Formula!H96,52))+((Formula!K96)/(Formula!C96+Formula!E96+Formula!G96+Formula!I96+Formula!K96))*(INDEX(Properties!A$1:CB$87,Formula!J96,52))</f>
        <v>3.9102857142857141</v>
      </c>
      <c r="EQ96" s="81">
        <f>Formula!C96*(INDEX(Properties!A$1:CB$87,Formula!B96,52))+Formula!E96*(INDEX(Properties!A$1:CB$87,Formula!D96,52))+Formula!G96*(INDEX(Properties!A$1:CB$87,Formula!F96,52))+Formula!I96*(INDEX(Properties!A$1:CB$87,Formula!H96,52))+Formula!K96*(INDEX(Properties!A$1:CB$87,Formula!J96,52))</f>
        <v>27.371999999999996</v>
      </c>
      <c r="ER96" s="81">
        <f>VARP(IF(INDEX(Properties!A$1:CB$87,Formula!B96,52)&lt;&gt;"",INDEX(Properties!A$1:CB$87,Formula!B96,52)),IF(INDEX(Properties!A$1:CB$87,Formula!D96,52)&lt;&gt;"",INDEX(Properties!A$1:CB$87,Formula!D96,52)),IF(INDEX(Properties!A$1:CB$87,Formula!F96,52)&lt;&gt;"",INDEX(Properties!A$1:CB$87,Formula!F96,52)),IF(INDEX(Properties!A$1:CB$87,Formula!H96,52)&lt;&gt;"",INDEX(Properties!A$1:CB$87,Formula!H96,52)),IF(INDEX(Properties!A$1:CB$87,Formula!J96,52)&lt;&gt;"",INDEX(Properties!A$1:CB$87,Formula!J96,52)))</f>
        <v>15.271767840000011</v>
      </c>
      <c r="ES96" s="81">
        <f>MAX(INDEX(Properties!A$1:CB$87,Formula!B96,52),INDEX(Properties!A$1:CB$87,Formula!D96,52),INDEX(Properties!A$1:CB$87,Formula!F96,52),INDEX(Properties!A$1:CB$87,Formula!H96,52),INDEX(Properties!A$1:CB$87,Formula!J96,52))</f>
        <v>9.6999999999999993</v>
      </c>
      <c r="ET96" s="81">
        <f>MIN(IF(INDEX(Properties!A$1:CB$87,Formula!B96,52)=0,10^6,INDEX(Properties!A$1:CB$87,Formula!B96,52)),IF(INDEX(Properties!A$1:CB$87,Formula!D96,52)=0,10^6,INDEX(Properties!A$1:CB$87,Formula!D96,52)),IF(INDEX(Properties!A$1:CB$87,Formula!F96,52)=0,10^6,INDEX(Properties!A$1:CB$87,Formula!F96,52)),IF(INDEX(Properties!A$1:CB$87,Formula!H96,52)=0,10^6,INDEX(Properties!A$1:CB$87,Formula!H96,52)),IF(INDEX(Properties!A$1:CB$87,Formula!J96,52)=0,10^6,INDEX(Properties!A$1:CB$87,Formula!J96,52)))</f>
        <v>0.79300000000000004</v>
      </c>
      <c r="EU96" s="81">
        <f t="shared" si="56"/>
        <v>8.907</v>
      </c>
      <c r="EV96" s="39">
        <f>((Formula!C96)/(Formula!C96+Formula!E96+Formula!G96+Formula!I96+Formula!K96))*(INDEX(Properties!A$1:CB$87,Formula!B96,53))+((Formula!E96)/(Formula!C96+Formula!E96+Formula!G96+Formula!I96+Formula!K96))*(INDEX(Properties!A$1:CB$87,Formula!D96,53))+((Formula!G96)/(Formula!C96+Formula!E96+Formula!G96+Formula!I96+Formula!K96))*(INDEX(Properties!A$1:CB$87,Formula!F96,53))+((Formula!I96)/(Formula!C96+Formula!E96+Formula!G96+Formula!I96+Formula!K96))*(INDEX(Properties!A$1:CB$87,Formula!H96,53))+((Formula!K96)/(Formula!C96+Formula!E96+Formula!G96+Formula!I96+Formula!K96))*(INDEX(Properties!A$1:CB$87,Formula!J96,53))</f>
        <v>234.92142857142855</v>
      </c>
      <c r="EW96" s="39">
        <f>Formula!C96*(INDEX(Properties!A$1:CB$87,Formula!B96,53))+Formula!E96*(INDEX(Properties!A$1:CB$87,Formula!D96,53))+Formula!G96*(INDEX(Properties!A$1:CB$87,Formula!F96,53))+Formula!I96*(INDEX(Properties!A$1:CB$87,Formula!H96,53))+Formula!K96*(INDEX(Properties!A$1:CB$87,Formula!J96,53))</f>
        <v>1644.4499999999998</v>
      </c>
      <c r="EX96" s="39">
        <f>VARP(IF(INDEX(Properties!A$1:CB$87,Formula!B96,53)&lt;&gt;"",INDEX(Properties!A$1:CB$87,Formula!B96,53)),IF(INDEX(Properties!A$1:CB$87,Formula!D96,53)&lt;&gt;"",INDEX(Properties!A$1:CB$87,Formula!D96,53)),IF(INDEX(Properties!A$1:CB$87,Formula!F96,53)&lt;&gt;"",INDEX(Properties!A$1:CB$87,Formula!F96,53)),IF(INDEX(Properties!A$1:CB$87,Formula!H96,53)&lt;&gt;"",INDEX(Properties!A$1:CB$87,Formula!H96,53)),IF(INDEX(Properties!A$1:CB$87,Formula!J96,53)&lt;&gt;"",INDEX(Properties!A$1:CB$87,Formula!J96,53)))</f>
        <v>64233.096400000009</v>
      </c>
      <c r="EY96" s="39">
        <f>MAX(INDEX(Properties!A$1:CB$87,Formula!B96,53),INDEX(Properties!A$1:CB$87,Formula!D96,53),INDEX(Properties!A$1:CB$87,Formula!F96,53),INDEX(Properties!A$1:CB$87,Formula!H96,53),INDEX(Properties!A$1:CB$87,Formula!J96,53))</f>
        <v>692.75</v>
      </c>
      <c r="EZ96" s="39">
        <f>MIN(IF(INDEX(Properties!A$1:CB$87,Formula!B96,53)=0,10^6,INDEX(Properties!A$1:CB$87,Formula!B96,53)),IF(INDEX(Properties!A$1:CB$87,Formula!D96,53)=0,10^6,INDEX(Properties!A$1:CB$87,Formula!D96,53)),IF(INDEX(Properties!A$1:CB$87,Formula!F96,53)=0,10^6,INDEX(Properties!A$1:CB$87,Formula!F96,53)),IF(INDEX(Properties!A$1:CB$87,Formula!H96,53)=0,10^6,INDEX(Properties!A$1:CB$87,Formula!H96,53)),IF(INDEX(Properties!A$1:CB$87,Formula!J96,53)=0,10^6,INDEX(Properties!A$1:CB$87,Formula!J96,53)))</f>
        <v>54.749999999999972</v>
      </c>
      <c r="FA96" s="39">
        <f t="shared" si="57"/>
        <v>638</v>
      </c>
      <c r="FB96" s="54">
        <f>((Formula!C96)/(Formula!C96+Formula!E96+Formula!G96+Formula!I96+Formula!K96))*(INDEX(Properties!A$1:CB$87,Formula!B96,54))+((Formula!E96)/(Formula!C96+Formula!E96+Formula!G96+Formula!I96+Formula!K96))*(INDEX(Properties!A$1:CB$87,Formula!D96,54))+((Formula!G96)/(Formula!C96+Formula!E96+Formula!G96+Formula!I96+Formula!K96))*(INDEX(Properties!A$1:CB$87,Formula!F96,54))+((Formula!I96)/(Formula!C96+Formula!E96+Formula!G96+Formula!I96+Formula!K96))*(INDEX(Properties!A$1:CB$87,Formula!H96,54))+((Formula!K96)/(Formula!C96+Formula!E96+Formula!G96+Formula!I96+Formula!K96))*(INDEX(Properties!A$1:CB$87,Formula!J96,54))</f>
        <v>938.43571428571431</v>
      </c>
      <c r="FC96" s="54">
        <f>Formula!C96*(INDEX(Properties!A$1:CB$87,Formula!B96,54))+Formula!E96*(INDEX(Properties!A$1:CB$87,Formula!D96,54))+Formula!G96*(INDEX(Properties!A$1:CB$87,Formula!F96,54))+Formula!I96*(INDEX(Properties!A$1:CB$87,Formula!H96,54))+Formula!K96*(INDEX(Properties!A$1:CB$87,Formula!J96,54))</f>
        <v>6569.0500000000011</v>
      </c>
      <c r="FD96" s="54">
        <f>VARP(IF(INDEX(Properties!A$1:CB$87,Formula!B96,54)&lt;&gt;"",INDEX(Properties!A$1:CB$87,Formula!B96,54)),IF(INDEX(Properties!A$1:CB$87,Formula!D96,54)&lt;&gt;"",INDEX(Properties!A$1:CB$87,Formula!D96,54)),IF(INDEX(Properties!A$1:CB$87,Formula!F96,54)&lt;&gt;"",INDEX(Properties!A$1:CB$87,Formula!F96,54)),IF(INDEX(Properties!A$1:CB$87,Formula!H96,54)&lt;&gt;"",INDEX(Properties!A$1:CB$87,Formula!H96,54)),IF(INDEX(Properties!A$1:CB$87,Formula!J96,54)&lt;&gt;"",INDEX(Properties!A$1:CB$87,Formula!J96,54)))</f>
        <v>1232628.6196000008</v>
      </c>
      <c r="FE96" s="54">
        <f>MAX(INDEX(Properties!A$1:CB$87,Formula!B96,54),INDEX(Properties!A$1:CB$87,Formula!D96,54),INDEX(Properties!A$1:CB$87,Formula!F96,54),INDEX(Properties!A$1:CB$87,Formula!H96,54),INDEX(Properties!A$1:CB$87,Formula!J96,54))</f>
        <v>2676.15</v>
      </c>
      <c r="FF96" s="54">
        <f>MIN(IF(INDEX(Properties!A$1:CB$87,Formula!B96,54)=0,10^6,INDEX(Properties!A$1:CB$87,Formula!B96,54)),IF(INDEX(Properties!A$1:CB$87,Formula!D96,54)=0,10^6,INDEX(Properties!A$1:CB$87,Formula!D96,54)),IF(INDEX(Properties!A$1:CB$87,Formula!F96,54)=0,10^6,INDEX(Properties!A$1:CB$87,Formula!F96,54)),IF(INDEX(Properties!A$1:CB$87,Formula!H96,54)=0,10^6,INDEX(Properties!A$1:CB$87,Formula!H96,54)),IF(INDEX(Properties!A$1:CB$87,Formula!J96,54)=0,10^6,INDEX(Properties!A$1:CB$87,Formula!J96,54)))</f>
        <v>90.149999999999977</v>
      </c>
      <c r="FG96" s="54">
        <f t="shared" si="58"/>
        <v>2586</v>
      </c>
      <c r="FH96" s="69">
        <f>((Formula!C96)/(Formula!C96+Formula!E96+Formula!G96+Formula!I96+Formula!K96))*(INDEX(Properties!A$1:CB$87,Formula!B96,55))+((Formula!E96)/(Formula!C96+Formula!E96+Formula!G96+Formula!I96+Formula!K96))*(INDEX(Properties!A$1:CB$87,Formula!D96,55))+((Formula!G96)/(Formula!C96+Formula!E96+Formula!G96+Formula!I96+Formula!K96))*(INDEX(Properties!A$1:CB$87,Formula!F96,55))+((Formula!I96)/(Formula!C96+Formula!E96+Formula!G96+Formula!I96+Formula!K96))*(INDEX(Properties!A$1:CB$87,Formula!H96,55))+((Formula!K96)/(Formula!C96+Formula!E96+Formula!G96+Formula!I96+Formula!K96))*(INDEX(Properties!A$1:CB$87,Formula!J96,55))</f>
        <v>2.9065314285714288</v>
      </c>
      <c r="FI96" s="69">
        <f>Formula!C96*(INDEX(Properties!A$1:CB$87,Formula!B96,55))+Formula!E96*(INDEX(Properties!A$1:CB$87,Formula!D96,54))+Formula!G96*(INDEX(Properties!A$1:CB$87,Formula!F96,55))+Formula!I96*(INDEX(Properties!A$1:CB$87,Formula!H96,55))+Formula!K96*(INDEX(Properties!A$1:CB$87,Formula!J96,55))</f>
        <v>2690.5957200000003</v>
      </c>
      <c r="FJ96" s="69">
        <f>VARP(IF(INDEX(Properties!A$1:CB$87,Formula!B96,55)&lt;&gt;"",INDEX(Properties!A$1:CB$87,Formula!B96,55)),IF(INDEX(Properties!A$1:CB$87,Formula!D96,55)&lt;&gt;"",INDEX(Properties!A$1:CB$87,Formula!D96,55)),IF(INDEX(Properties!A$1:CB$87,Formula!F96,55)&lt;&gt;"",INDEX(Properties!A$1:CB$87,Formula!F96,55)),IF(INDEX(Properties!A$1:CB$87,Formula!H96,55)&lt;&gt;"",INDEX(Properties!A$1:CB$87,Formula!H96,55)),IF(INDEX(Properties!A$1:CB$87,Formula!J96,55)&lt;&gt;"",INDEX(Properties!A$1:CB$87,Formula!J96,55)))</f>
        <v>11.265649431183999</v>
      </c>
      <c r="FK96" s="69">
        <f>MAX(INDEX(Properties!A$1:CB$87,Formula!B96,55),INDEX(Properties!A$1:CB$87,Formula!D96,55),INDEX(Properties!A$1:CB$87,Formula!F96,55),INDEX(Properties!A$1:CB$87,Formula!H96,55),INDEX(Properties!A$1:CB$87,Formula!J96,55))</f>
        <v>7.31</v>
      </c>
      <c r="FL96" s="69">
        <f>MIN(IF(INDEX(Properties!A$1:CB$87,Formula!B96,55)=0,10^6,INDEX(Properties!A$1:CB$87,Formula!B96,55)),IF(INDEX(Properties!A$1:CB$87,Formula!D96,55)=0,10^6,INDEX(Properties!A$1:CB$87,Formula!D96,55)),IF(INDEX(Properties!A$1:CB$87,Formula!F96,55)=0,10^6,INDEX(Properties!A$1:CB$87,Formula!F96,55)),IF(INDEX(Properties!A$1:CB$87,Formula!H96,55)=0,10^6,INDEX(Properties!A$1:CB$87,Formula!H96,55)),IF(INDEX(Properties!A$1:CB$87,Formula!J96,55)=0,10^6,INDEX(Properties!A$1:CB$87,Formula!J96,55)))</f>
        <v>1.4300000000000001E-3</v>
      </c>
      <c r="FM96" s="69">
        <f t="shared" si="59"/>
        <v>7.3085699999999996</v>
      </c>
      <c r="FN96" s="42">
        <f>((Formula!C96)/(Formula!C96+Formula!E96+Formula!G96+Formula!I96+Formula!K96))*(INDEX(Properties!A$1:CB$87,Formula!B96,56))+((Formula!E96)/(Formula!C96+Formula!E96+Formula!G96+Formula!I96+Formula!K96))*(INDEX(Properties!A$1:CB$87,Formula!D96,56))+((Formula!G96)/(Formula!C96+Formula!E96+Formula!G96+Formula!I96+Formula!K96))*(INDEX(Properties!A$1:CB$87,Formula!F96,56))+((Formula!I96)/(Formula!C96+Formula!E96+Formula!G96+Formula!I96+Formula!K96))*(INDEX(Properties!A$1:CB$87,Formula!H96,56))+((Formula!K96)/(Formula!C96+Formula!E96+Formula!G96+Formula!I96+Formula!K96))*(INDEX(Properties!A$1:CB$87,Formula!J96,56))</f>
        <v>0.66714285714285715</v>
      </c>
      <c r="FO96" s="42">
        <f>Formula!C96*(INDEX(Properties!A$1:CB$87,Formula!B96,56))+Formula!E96*(INDEX(Properties!A$1:CB$87,Formula!D96,56))+Formula!G96*(INDEX(Properties!A$1:CB$87,Formula!F96,56))+Formula!I96*(INDEX(Properties!A$1:CB$87,Formula!H96,56))+Formula!K96*(INDEX(Properties!A$1:CB$87,Formula!J96,56))</f>
        <v>4.67</v>
      </c>
      <c r="FP96" s="42">
        <f>VARP(IF(INDEX(Properties!A$1:CB$87,Formula!B96,56)&lt;&gt;"",INDEX(Properties!A$1:CB$87,Formula!B96,56)),IF(INDEX(Properties!A$1:CB$87,Formula!D96,56)&lt;&gt;"",INDEX(Properties!A$1:CB$87,Formula!D96,56)),IF(INDEX(Properties!A$1:CB$87,Formula!F96,56)&lt;&gt;"",INDEX(Properties!A$1:CB$87,Formula!F96,56)),IF(INDEX(Properties!A$1:CB$87,Formula!H96,56)&lt;&gt;"",INDEX(Properties!A$1:CB$87,Formula!H96,56)),IF(INDEX(Properties!A$1:CB$87,Formula!J96,56)&lt;&gt;"",INDEX(Properties!A$1:CB$87,Formula!J96,56)))</f>
        <v>9.173599999999997E-2</v>
      </c>
      <c r="FQ96" s="42">
        <f>MAX(INDEX(Properties!A$1:CB$87,Formula!B96,56),INDEX(Properties!A$1:CB$87,Formula!D96,56),INDEX(Properties!A$1:CB$87,Formula!F96,56),INDEX(Properties!A$1:CB$87,Formula!H96,56),INDEX(Properties!A$1:CB$87,Formula!J96,56))</f>
        <v>0.92</v>
      </c>
      <c r="FR96" s="42">
        <f>MIN(IF(INDEX(Properties!A$1:CB$87,Formula!B96,56)=0,10^6,INDEX(Properties!A$1:CB$87,Formula!B96,56)),IF(INDEX(Properties!A$1:CB$87,Formula!D96,56)=0,10^6,INDEX(Properties!A$1:CB$87,Formula!D96,56)),IF(INDEX(Properties!A$1:CB$87,Formula!F96,56)=0,10^6,INDEX(Properties!A$1:CB$87,Formula!F96,56)),IF(INDEX(Properties!A$1:CB$87,Formula!H96,56)=0,10^6,INDEX(Properties!A$1:CB$87,Formula!H96,56)),IF(INDEX(Properties!A$1:CB$87,Formula!J96,56)=0,10^6,INDEX(Properties!A$1:CB$87,Formula!J96,56)))</f>
        <v>0.23</v>
      </c>
      <c r="FS96" s="42">
        <f t="shared" si="60"/>
        <v>0.69000000000000006</v>
      </c>
      <c r="FT96" s="60">
        <f>((Formula!C96)/(Formula!C96+Formula!E96+Formula!G96+Formula!I96+Formula!K96))*(INDEX(Properties!A$1:CB$87,Formula!B96,57))+((Formula!E96)/(Formula!C96+Formula!E96+Formula!G96+Formula!I96+Formula!K96))*(INDEX(Properties!A$1:CB$87,Formula!D96,57))+((Formula!G96)/(Formula!C96+Formula!E96+Formula!G96+Formula!I96+Formula!K96))*(INDEX(Properties!A$1:CB$87,Formula!F96,57))+((Formula!I96)/(Formula!C96+Formula!E96+Formula!G96+Formula!I96+Formula!K96))*(INDEX(Properties!A$1:CB$87,Formula!H96,57))+((Formula!K96)/(Formula!C96+Formula!E96+Formula!G96+Formula!I96+Formula!K96))*(INDEX(Properties!A$1:CB$87,Formula!J96,57))</f>
        <v>2.4379085714285718</v>
      </c>
      <c r="FU96" s="60">
        <f>Formula!C96*(INDEX(Properties!A$1:CB$87,Formula!B96,57))+Formula!E96*(INDEX(Properties!A$1:CB$87,Formula!D96,57))+Formula!G96*(INDEX(Properties!A$1:CB$87,Formula!F96,57))+Formula!I96*(INDEX(Properties!A$1:CB$87,Formula!H96,57))+Formula!K96*(INDEX(Properties!A$1:CB$87,Formula!J96,57))</f>
        <v>17.065360000000002</v>
      </c>
      <c r="FV96" s="60">
        <f>VARP(IF(INDEX(Properties!A$1:CB$87,Formula!B96,57)&lt;&gt;"",INDEX(Properties!A$1:CB$87,Formula!B96,57)),IF(INDEX(Properties!A$1:CB$87,Formula!D96,57)&lt;&gt;"",INDEX(Properties!A$1:CB$87,Formula!D96,57)),IF(INDEX(Properties!A$1:CB$87,Formula!F96,57)&lt;&gt;"",INDEX(Properties!A$1:CB$87,Formula!F96,57)),IF(INDEX(Properties!A$1:CB$87,Formula!H96,57)&lt;&gt;"",INDEX(Properties!A$1:CB$87,Formula!H96,57)),IF(INDEX(Properties!A$1:CB$87,Formula!J96,57)&lt;&gt;"",INDEX(Properties!A$1:CB$87,Formula!J96,57)))</f>
        <v>8.3560615492960011</v>
      </c>
      <c r="FW96" s="60">
        <f>MAX(INDEX(Properties!A$1:CB$87,Formula!B96,57),INDEX(Properties!A$1:CB$87,Formula!D96,57),INDEX(Properties!A$1:CB$87,Formula!F96,57),INDEX(Properties!A$1:CB$87,Formula!H96,57),INDEX(Properties!A$1:CB$87,Formula!J96,57))</f>
        <v>7.3220000000000001</v>
      </c>
      <c r="FX96" s="60">
        <f>MIN(IF(INDEX(Properties!A$1:CB$87,Formula!B96,57)=0,10^6,INDEX(Properties!A$1:CB$87,Formula!B96,57)),IF(INDEX(Properties!A$1:CB$87,Formula!D96,57)=0,10^6,INDEX(Properties!A$1:CB$87,Formula!D96,57)),IF(INDEX(Properties!A$1:CB$87,Formula!F96,57)=0,10^6,INDEX(Properties!A$1:CB$87,Formula!F96,57)),IF(INDEX(Properties!A$1:CB$87,Formula!H96,57)=0,10^6,INDEX(Properties!A$1:CB$87,Formula!H96,57)),IF(INDEX(Properties!A$1:CB$87,Formula!J96,57)=0,10^6,INDEX(Properties!A$1:CB$87,Formula!J96,57)))</f>
        <v>0.22259000000000001</v>
      </c>
      <c r="FY96" s="60">
        <f t="shared" si="61"/>
        <v>7.0994099999999998</v>
      </c>
      <c r="FZ96" s="72">
        <f>((Formula!C96)/(Formula!C96+Formula!E96+Formula!G96+Formula!I96+Formula!K96))*(INDEX(Properties!A$1:CB$87,Formula!B96,60))+((Formula!E96)/(Formula!C96+Formula!E96+Formula!G96+Formula!I96+Formula!K96))*(INDEX(Properties!A$1:CB$87,Formula!D96,60))+((Formula!G96)/(Formula!C96+Formula!E96+Formula!G96+Formula!I96+Formula!K96))*(INDEX(Properties!A$1:CB$87,Formula!F96,60))+((Formula!I96)/(Formula!C96+Formula!E96+Formula!G96+Formula!I96+Formula!K96))*(INDEX(Properties!A$1:CB$87,Formula!H96,60))+((Formula!K96)/(Formula!C96+Formula!E96+Formula!G96+Formula!I96+Formula!K96))*(INDEX(Properties!A$1:CB$87,Formula!J96,60))</f>
        <v>34.043851428571422</v>
      </c>
      <c r="GA96" s="72">
        <f>Formula!C96*(INDEX(Properties!A$1:CB$87,Formula!B96,60))+Formula!E96*(INDEX(Properties!A$1:CB$87,Formula!D96,60))+Formula!G96*(INDEX(Properties!A$1:CB$87,Formula!F96,60))+Formula!I96*(INDEX(Properties!A$1:CB$87,Formula!H96,60))+Formula!K96*(INDEX(Properties!A$1:CB$87,Formula!J96,60))</f>
        <v>238.30695999999998</v>
      </c>
      <c r="GB96" s="72">
        <f>VARP(IF(INDEX(Properties!A$1:CB$87,Formula!B96,60)&lt;&gt;"",INDEX(Properties!A$1:CB$87,Formula!B96,60)),IF(INDEX(Properties!A$1:CB$87,Formula!D96,60)&lt;&gt;"",INDEX(Properties!A$1:CB$87,Formula!D96,60)),IF(INDEX(Properties!A$1:CB$87,Formula!F96,60)&lt;&gt;"",INDEX(Properties!A$1:CB$87,Formula!F96,60)),IF(INDEX(Properties!A$1:CB$87,Formula!H96,60)&lt;&gt;"",INDEX(Properties!A$1:CB$87,Formula!H96,60)),IF(INDEX(Properties!A$1:CB$87,Formula!J96,60)&lt;&gt;"",INDEX(Properties!A$1:CB$87,Formula!J96,60)))</f>
        <v>2082.5049569644161</v>
      </c>
      <c r="GC96" s="72">
        <f>MAX(INDEX(Properties!A$1:CB$87,Formula!B96,60),INDEX(Properties!A$1:CB$87,Formula!D96,60),INDEX(Properties!A$1:CB$87,Formula!F96,60),INDEX(Properties!A$1:CB$87,Formula!H96,60),INDEX(Properties!A$1:CB$87,Formula!J96,60))</f>
        <v>116</v>
      </c>
      <c r="GD96" s="72">
        <f>MIN(IF(INDEX(Properties!A$1:CB$87,Formula!B96,60)=0,10^6,INDEX(Properties!A$1:CB$87,Formula!B96,60)),IF(INDEX(Properties!A$1:CB$87,Formula!D96,60)=0,10^6,INDEX(Properties!A$1:CB$87,Formula!D96,60)),IF(INDEX(Properties!A$1:CB$87,Formula!F96,60)=0,10^6,INDEX(Properties!A$1:CB$87,Formula!F96,60)),IF(INDEX(Properties!A$1:CB$87,Formula!H96,60)=0,10^6,INDEX(Properties!A$1:CB$87,Formula!H96,60)),IF(INDEX(Properties!A$1:CB$87,Formula!J96,60)=0,10^6,INDEX(Properties!A$1:CB$87,Formula!J96,60)))</f>
        <v>2.674E-2</v>
      </c>
      <c r="GE96" s="72">
        <f t="shared" si="62"/>
        <v>115.97326</v>
      </c>
      <c r="GF96" s="51">
        <f>((Formula!C96)/(Formula!C96+Formula!E96+Formula!G96+Formula!I96+Formula!K96))*(INDEX(Properties!A$1:CB$87,Formula!B96,62))+((Formula!E96)/(Formula!C96+Formula!E96+Formula!G96+Formula!I96+Formula!K96))*(INDEX(Properties!A$1:CB$87,Formula!D96,62))+((Formula!G96)/(Formula!C96+Formula!E96+Formula!G96+Formula!I96+Formula!K96))*(INDEX(Properties!A$1:CB$87,Formula!F96,62))+((Formula!I96)/(Formula!C96+Formula!E96+Formula!G96+Formula!I96+Formula!K96))*(INDEX(Properties!A$1:CB$87,Formula!H96,62))+((Formula!K96)/(Formula!C96+Formula!E96+Formula!G96+Formula!I96+Formula!K96))*(INDEX(Properties!A$1:CB$87,Formula!J96,62))</f>
        <v>2.4514285714285711</v>
      </c>
      <c r="GG96" s="51">
        <f>Formula!C96*(INDEX(Properties!A$1:CB$87,Formula!B96,62))+Formula!E96*(INDEX(Properties!A$1:CB$87,Formula!D96,62))+Formula!G96*(INDEX(Properties!A$1:CB$87,Formula!F96,62))+Formula!I96*(INDEX(Properties!A$1:CB$87,Formula!H96,62))+Formula!K96*(INDEX(Properties!A$1:CB$87,Formula!J96,62))</f>
        <v>17.16</v>
      </c>
      <c r="GH96" s="51">
        <f>VARP(IF(INDEX(Properties!A$1:CB$87,Formula!B96,62)&lt;&gt;"",INDEX(Properties!A$1:CB$87,Formula!B96,62)),IF(INDEX(Properties!A$1:CB$87,Formula!D96,62)&lt;&gt;"",INDEX(Properties!A$1:CB$87,Formula!D96,62)),IF(INDEX(Properties!A$1:CB$87,Formula!F96,62)&lt;&gt;"",INDEX(Properties!A$1:CB$87,Formula!F96,62)),IF(INDEX(Properties!A$1:CB$87,Formula!H96,62)&lt;&gt;"",INDEX(Properties!A$1:CB$87,Formula!H96,62)),IF(INDEX(Properties!A$1:CB$87,Formula!J96,62)&lt;&gt;"",INDEX(Properties!A$1:CB$87,Formula!J96,62)))</f>
        <v>1.1270800000000003</v>
      </c>
      <c r="GI96" s="51">
        <f>MAX(INDEX(Properties!A$1:CB$87,Formula!B96,62),INDEX(Properties!A$1:CB$87,Formula!D96,62),INDEX(Properties!A$1:CB$87,Formula!F96,62),INDEX(Properties!A$1:CB$87,Formula!H96,62),INDEX(Properties!A$1:CB$87,Formula!J96,62))</f>
        <v>2.81</v>
      </c>
      <c r="GJ96" s="51">
        <f>MIN(IF(INDEX(Properties!A$1:CB$87,Formula!B96,62)=0,10^6,INDEX(Properties!A$1:CB$87,Formula!B96,62)),IF(INDEX(Properties!A$1:CB$87,Formula!D96,62)=0,10^6,INDEX(Properties!A$1:CB$87,Formula!D96,62)),IF(INDEX(Properties!A$1:CB$87,Formula!F96,62)=0,10^6,INDEX(Properties!A$1:CB$87,Formula!F96,62)),IF(INDEX(Properties!A$1:CB$87,Formula!H96,62)=0,10^6,INDEX(Properties!A$1:CB$87,Formula!H96,62)),IF(INDEX(Properties!A$1:CB$87,Formula!J96,62)=0,10^6,INDEX(Properties!A$1:CB$87,Formula!J96,62)))</f>
        <v>1.35</v>
      </c>
      <c r="GK96" s="51">
        <f t="shared" si="63"/>
        <v>1.46</v>
      </c>
      <c r="GL96" s="51">
        <f>Formula!P96</f>
        <v>166</v>
      </c>
      <c r="GM96" s="57">
        <f>Formula!O96</f>
        <v>5</v>
      </c>
      <c r="GN96" s="51">
        <f>Formula!N96</f>
        <v>0.02</v>
      </c>
    </row>
    <row r="97" spans="1:196" x14ac:dyDescent="0.3">
      <c r="A97" s="84" t="str">
        <f>Formula!A97</f>
        <v>Y2O3</v>
      </c>
      <c r="B97" s="89">
        <f>((Formula!C97)/(Formula!C97+Formula!E97+Formula!G97+Formula!I97+Formula!K97))*(INDEX(Properties!A$1:CB$87,Formula!B97,3))+((Formula!E97)/(Formula!C97+Formula!E97+Formula!G97+Formula!I97+Formula!K97))*(INDEX(Properties!A$1:CB$87,Formula!D97,3))+((Formula!G97)/(Formula!C97+Formula!E97+Formula!G97+Formula!I97+Formula!K97))*(INDEX(Properties!A$1:CB$87,Formula!F97,3))+((Formula!I97)/(Formula!C97+Formula!E97+Formula!G97+Formula!I97+Formula!K97))*(INDEX(Properties!A$1:CB$87,Formula!H97,3))+((Formula!K97)/(Formula!C97+Formula!E97+Formula!G97+Formula!I97+Formula!K97))*(INDEX(Properties!A$1:CB$87,Formula!J97,3))</f>
        <v>45.161976000000003</v>
      </c>
      <c r="C97" s="85">
        <f>Formula!C97*(INDEX(Properties!A$1:CB$87,Formula!B97,3))+Formula!E97*(INDEX(Properties!A$1:CB$87,Formula!D97,3))+Formula!G97*(INDEX(Properties!A$1:CB$87,Formula!F97,3))+Formula!I97*(INDEX(Properties!A$1:CB$87,Formula!H97,3))+Formula!K97*(INDEX(Properties!A$1:CB$87,Formula!J97,3))</f>
        <v>225.80987999999999</v>
      </c>
      <c r="D97" s="85">
        <f>VARP(IF(INDEX(Properties!A$1:CB$87,Formula!B97,3)&lt;&gt;"",INDEX(Properties!A$1:CB$87,Formula!B97,3)),IF(INDEX(Properties!A$1:CB$87,Formula!D97,3)&lt;&gt;"",INDEX(Properties!A$1:CB$87,Formula!D97,3)),IF(INDEX(Properties!A$1:CB$87,Formula!F97,3)&lt;&gt;"",INDEX(Properties!A$1:CB$87,Formula!F97,3)),IF(INDEX(Properties!A$1:CB$87,Formula!H97,3)&lt;&gt;"",INDEX(Properties!A$1:CB$87,Formula!H97,3)),IF(INDEX(Properties!A$1:CB$87,Formula!J97,3)&lt;&gt;"",INDEX(Properties!A$1:CB$87,Formula!J97,3)))</f>
        <v>1191.8414621148158</v>
      </c>
      <c r="E97" s="85">
        <f>MAX(INDEX(Properties!A$1:CB$87,Formula!B97,3),INDEX(Properties!A$1:CB$87,Formula!D97,3),INDEX(Properties!A$1:CB$87,Formula!F97,3),INDEX(Properties!A$1:CB$87,Formula!H97,3),INDEX(Properties!A$1:CB$87,Formula!J97,3))</f>
        <v>88.905839999999998</v>
      </c>
      <c r="F97" s="85">
        <f>MIN(IF(INDEX(Properties!A$1:CB$87,Formula!B97,3)=0,10^6,INDEX(Properties!A$1:CB$87,Formula!B97,3)),IF(INDEX(Properties!A$1:CB$87,Formula!D97,3)=0,10^6,INDEX(Properties!A$1:CB$87,Formula!D97,3)),IF(INDEX(Properties!A$1:CB$87,Formula!F97,3)=0,10^6,INDEX(Properties!A$1:CB$87,Formula!F97,3)),IF(INDEX(Properties!A$1:CB$87,Formula!H97,3)=0,10^6,INDEX(Properties!A$1:CB$87,Formula!H97,3)),IF(INDEX(Properties!A$1:CB$87,Formula!J97,3)=0,10^6,INDEX(Properties!A$1:CB$87,Formula!J97,3)))</f>
        <v>15.9994</v>
      </c>
      <c r="G97" s="85">
        <f t="shared" si="32"/>
        <v>72.906440000000003</v>
      </c>
      <c r="H97" s="87">
        <f>((Formula!C97)/(Formula!C97+Formula!E97+Formula!G97+Formula!I97+Formula!K97))*(INDEX(Properties!A$1:CB$87,Formula!B97,4))+((Formula!E97)/(Formula!C97+Formula!E97+Formula!G97+Formula!I97+Formula!K97))*(INDEX(Properties!A$1:CB$87,Formula!D97,4))+((Formula!G97)/(Formula!C97+Formula!E97+Formula!G97+Formula!I97+Formula!K97))*(INDEX(Properties!A$1:CB$87,Formula!F97,4))+((Formula!I97)/(Formula!C97+Formula!E97+Formula!G97+Formula!I97+Formula!K97))*(INDEX(Properties!A$1:CB$87,Formula!H97,4))+((Formula!K97)/(Formula!C97+Formula!E97+Formula!G97+Formula!I97+Formula!K97))*(INDEX(Properties!A$1:CB$87,Formula!J97,4))</f>
        <v>20.400000000000002</v>
      </c>
      <c r="I97" s="87">
        <f>Formula!C97*(INDEX(Properties!A$1:CB$87,Formula!B97,4))+Formula!E97*(INDEX(Properties!A$1:CB$87,Formula!D97,4))+Formula!G97*(INDEX(Properties!A$1:CB$87,Formula!F97,4))+Formula!I97*(INDEX(Properties!A$1:CB$87,Formula!H97,4))+Formula!K97*(INDEX(Properties!A$1:CB$87,Formula!J97,4))</f>
        <v>102</v>
      </c>
      <c r="J97" s="87">
        <f>VARP(IF(INDEX(Properties!A$1:CB$87,Formula!B97,4)&lt;&gt;"",INDEX(Properties!A$1:CB$87,Formula!B97,4)),IF(INDEX(Properties!A$1:CB$87,Formula!D97,4)&lt;&gt;"",INDEX(Properties!A$1:CB$87,Formula!D97,4)),IF(INDEX(Properties!A$1:CB$87,Formula!F97,4)&lt;&gt;"",INDEX(Properties!A$1:CB$87,Formula!F97,4)),IF(INDEX(Properties!A$1:CB$87,Formula!H97,4)&lt;&gt;"",INDEX(Properties!A$1:CB$87,Formula!H97,4)),IF(INDEX(Properties!A$1:CB$87,Formula!J97,4)&lt;&gt;"",INDEX(Properties!A$1:CB$87,Formula!J97,4)))</f>
        <v>228.64</v>
      </c>
      <c r="K97" s="87">
        <f>MAX(INDEX(Properties!A$1:CB$87,Formula!B97,4),INDEX(Properties!A$1:CB$87,Formula!D97,4),INDEX(Properties!A$1:CB$87,Formula!F97,4),INDEX(Properties!A$1:CB$87,Formula!H97,4),INDEX(Properties!A$1:CB$87,Formula!J97,4))</f>
        <v>39</v>
      </c>
      <c r="L97" s="87">
        <f>MIN(IF(INDEX(Properties!A$1:CB$87,Formula!B97,4)=0,10^6,INDEX(Properties!A$1:CB$87,Formula!B97,4)),IF(INDEX(Properties!A$1:CB$87,Formula!D97,4)=0,10^6,INDEX(Properties!A$1:CB$87,Formula!D97,4)),IF(INDEX(Properties!A$1:CB$87,Formula!F97,4)=0,10^6,INDEX(Properties!A$1:CB$87,Formula!F97,4)),IF(INDEX(Properties!A$1:CB$87,Formula!H97,4)=0,10^6,INDEX(Properties!A$1:CB$87,Formula!H97,4)),IF(INDEX(Properties!A$1:CB$87,Formula!J97,4)=0,10^6,INDEX(Properties!A$1:CB$87,Formula!J97,4)))</f>
        <v>8</v>
      </c>
      <c r="M97" s="87">
        <f t="shared" si="33"/>
        <v>31</v>
      </c>
      <c r="N97" s="89">
        <f>((Formula!C97)/(Formula!C97+Formula!E97+Formula!G97+Formula!I97+Formula!K97))*(INDEX(Properties!A$1:CB$87,Formula!B97,5))+((Formula!E97)/(Formula!C97+Formula!E97+Formula!G97+Formula!I97+Formula!K97))*(INDEX(Properties!A$1:CB$87,Formula!D97,5))+((Formula!G97)/(Formula!C97+Formula!E97+Formula!G97+Formula!I97+Formula!K97))*(INDEX(Properties!A$1:CB$87,Formula!F97,5))+((Formula!I97)/(Formula!C97+Formula!E97+Formula!G97+Formula!I97+Formula!K97))*(INDEX(Properties!A$1:CB$87,Formula!H97,5))+((Formula!K97)/(Formula!C97+Formula!E97+Formula!G97+Formula!I97+Formula!K97))*(INDEX(Properties!A$1:CB$87,Formula!J97,5))</f>
        <v>3.2</v>
      </c>
      <c r="O97" s="89">
        <f>Formula!C97*(INDEX(Properties!A$1:CB$87,Formula!B97,5))+Formula!E97*(INDEX(Properties!A$1:CB$87,Formula!D97,5))+Formula!G97*(INDEX(Properties!A$1:CB$87,Formula!F97,5))+Formula!I97*(INDEX(Properties!A$1:CB$87,Formula!H97,5))+Formula!K97*(INDEX(Properties!A$1:CB$87,Formula!J97,5))</f>
        <v>16</v>
      </c>
      <c r="P97" s="89">
        <f>VARP(IF(INDEX(Properties!A$1:CB$87,Formula!B97,5)&lt;&gt;"",INDEX(Properties!A$1:CB$87,Formula!B97,5)),IF(INDEX(Properties!A$1:CB$87,Formula!D97,5)&lt;&gt;"",INDEX(Properties!A$1:CB$87,Formula!D97,5)),IF(INDEX(Properties!A$1:CB$87,Formula!F97,5)&lt;&gt;"",INDEX(Properties!A$1:CB$87,Formula!F97,5)),IF(INDEX(Properties!A$1:CB$87,Formula!H97,5)&lt;&gt;"",INDEX(Properties!A$1:CB$87,Formula!H97,5)),IF(INDEX(Properties!A$1:CB$87,Formula!J97,5)&lt;&gt;"",INDEX(Properties!A$1:CB$87,Formula!J97,5)))</f>
        <v>3.84</v>
      </c>
      <c r="Q97" s="89">
        <f>MAX(INDEX(Properties!A$1:CB$87,Formula!B97,5),INDEX(Properties!A$1:CB$87,Formula!D97,5),INDEX(Properties!A$1:CB$87,Formula!F97,5),INDEX(Properties!A$1:CB$87,Formula!H97,5),INDEX(Properties!A$1:CB$87,Formula!J97,5))</f>
        <v>5</v>
      </c>
      <c r="R97" s="89">
        <f>MIN(IF(INDEX(Properties!A$1:CB$87,Formula!B97,5)=0,10^6,INDEX(Properties!A$1:CB$87,Formula!B97,5)),IF(INDEX(Properties!A$1:CB$87,Formula!D97,5)=0,10^6,INDEX(Properties!A$1:CB$87,Formula!D97,5)),IF(INDEX(Properties!A$1:CB$87,Formula!F97,5)=0,10^6,INDEX(Properties!A$1:CB$87,Formula!F97,5)),IF(INDEX(Properties!A$1:CB$87,Formula!H97,5)=0,10^6,INDEX(Properties!A$1:CB$87,Formula!H97,5)),IF(INDEX(Properties!A$1:CB$87,Formula!J97,5)=0,10^6,INDEX(Properties!A$1:CB$87,Formula!J97,5)))</f>
        <v>2</v>
      </c>
      <c r="S97" s="89">
        <f t="shared" si="34"/>
        <v>3</v>
      </c>
      <c r="T97" s="60">
        <f>((Formula!C97)/(Formula!C97+Formula!E97+Formula!G97+Formula!I97+Formula!K97))*(INDEX(Properties!A$1:CB$87,Formula!B97,6))+((Formula!E97)/(Formula!C97+Formula!E97+Formula!G97+Formula!I97+Formula!K97))*(INDEX(Properties!A$1:CB$87,Formula!D97,6))+((Formula!G97)/(Formula!C97+Formula!E97+Formula!G97+Formula!I97+Formula!K97))*(INDEX(Properties!A$1:CB$87,Formula!F97,6))+((Formula!I97)/(Formula!C97+Formula!E97+Formula!G97+Formula!I97+Formula!K97))*(INDEX(Properties!A$1:CB$87,Formula!H97,6))+((Formula!K97)/(Formula!C97+Formula!E97+Formula!G97+Formula!I97+Formula!K97))*(INDEX(Properties!A$1:CB$87,Formula!J97,6))</f>
        <v>10.8</v>
      </c>
      <c r="U97" s="60">
        <f>Formula!C97*(INDEX(Properties!A$1:CB$87,Formula!B97,6))+Formula!E97*(INDEX(Properties!A$1:CB$87,Formula!D97,6))+Formula!G97*(INDEX(Properties!A$1:CB$87,Formula!F97,6))+Formula!I97*(INDEX(Properties!A$1:CB$87,Formula!H97,6))+Formula!K97*(INDEX(Properties!A$1:CB$87,Formula!J97,6))</f>
        <v>54</v>
      </c>
      <c r="V97" s="89">
        <f>VARP(IF(INDEX(Properties!A$1:CB$87,Formula!B97,6)&lt;&gt;"",INDEX(Properties!A$1:CB$87,Formula!B97,6)),IF(INDEX(Properties!A$1:CB$87,Formula!D97,6)&lt;&gt;"",INDEX(Properties!A$1:CB$87,Formula!D97,6)),IF(INDEX(Properties!A$1:CB$87,Formula!F97,6)&lt;&gt;"",INDEX(Properties!A$1:CB$87,Formula!F97,6)),IF(INDEX(Properties!A$1:CB$87,Formula!H97,6)&lt;&gt;"",INDEX(Properties!A$1:CB$87,Formula!H97,6)),IF(INDEX(Properties!A$1:CB$87,Formula!J97,6)&lt;&gt;"",INDEX(Properties!A$1:CB$87,Formula!J97,6)))</f>
        <v>38.56</v>
      </c>
      <c r="W97" s="60">
        <f>MAX(INDEX(Properties!A$1:CB$87,Formula!B97,6),INDEX(Properties!A$1:CB$87,Formula!D97,6),INDEX(Properties!A$1:CB$87,Formula!F97,6),INDEX(Properties!A$1:CB$87,Formula!H97,4),INDEX(Properties!A$1:CB$87,Formula!J97,6))</f>
        <v>16</v>
      </c>
      <c r="X97" s="60">
        <f>MIN(IF(INDEX(Properties!A$1:CB$87,Formula!B97,6)=0,10^6,INDEX(Properties!A$1:CB$87,Formula!B97,6)),IF(INDEX(Properties!A$1:CB$87,Formula!D97,6)=0,10^6,INDEX(Properties!A$1:CB$87,Formula!D97,6)),IF(INDEX(Properties!A$1:CB$87,Formula!F97,6)=0,10^6,INDEX(Properties!A$1:CB$87,Formula!F97,6)),IF(INDEX(Properties!A$1:CB$87,Formula!H97,6)=0,10^6,INDEX(Properties!A$1:CB$87,Formula!H97,6)),IF(INDEX(Properties!A$1:CB$87,Formula!J97,6)=0,10^6,INDEX(Properties!A$1:CB$87,Formula!J97,6)))</f>
        <v>3</v>
      </c>
      <c r="Y97" s="60">
        <f t="shared" si="35"/>
        <v>13</v>
      </c>
      <c r="Z97" s="72">
        <f>((Formula!C97)/(Formula!C97+Formula!E97+Formula!G97+Formula!I97+Formula!K97))*(INDEX(Properties!A$1:CB$87,Formula!B97,9))+((Formula!E97)/(Formula!C97+Formula!E97+Formula!G97+Formula!I97+Formula!K97))*(INDEX(Properties!A$1:CB$87,Formula!D97,9))+((Formula!G97)/(Formula!C97+Formula!E97+Formula!G97+Formula!I97+Formula!K97))*(INDEX(Properties!A$1:CB$87,Formula!F97,9))+((Formula!I97)/(Formula!C97+Formula!E97+Formula!G97+Formula!I97+Formula!K97))*(INDEX(Properties!A$1:CB$87,Formula!H97,9))+((Formula!K97)/(Formula!C97+Formula!E97+Formula!G97+Formula!I97+Formula!K97))*(INDEX(Properties!A$1:CB$87,Formula!J97,9))</f>
        <v>57</v>
      </c>
      <c r="AA97" s="72">
        <f>Formula!C97*(INDEX(Properties!A$1:CB$87,Formula!B97,9))+Formula!E97*(INDEX(Properties!A$1:CB$87,Formula!D97,9))+Formula!G97*(INDEX(Properties!A$1:CB$87,Formula!F97,9))+Formula!I97*(INDEX(Properties!A$1:CB$87,Formula!H97,9))+Formula!K97*(INDEX(Properties!A$1:CB$87,Formula!J97,9))</f>
        <v>285</v>
      </c>
      <c r="AB97" s="72">
        <f>VARP(IF(INDEX(Properties!A$1:CB$87,Formula!B97,9)&lt;&gt;"",INDEX(Properties!A$1:CB$87,Formula!B97,9)),IF(INDEX(Properties!A$1:CB$87,Formula!D97,9)&lt;&gt;"",INDEX(Properties!A$1:CB$87,Formula!D97,9)),IF(INDEX(Properties!A$1:CB$87,Formula!F97,9)&lt;&gt;"",INDEX(Properties!A$1:CB$87,Formula!F97,9)),IF(INDEX(Properties!A$1:CB$87,Formula!H97,9)&lt;&gt;"",INDEX(Properties!A$1:CB$87,Formula!H97,9)),IF(INDEX(Properties!A$1:CB$87,Formula!J97,9)&lt;&gt;"",INDEX(Properties!A$1:CB$87,Formula!J97,9)))</f>
        <v>1150.56</v>
      </c>
      <c r="AC97" s="72">
        <f>MAX(INDEX(Properties!A$1:CB$87,Formula!B97,9),INDEX(Properties!A$1:CB$87,Formula!D97,9),INDEX(Properties!A$1:CB$87,Formula!F97,9),INDEX(Properties!A$1:CB$87,Formula!H97,9),INDEX(Properties!A$1:CB$87,Formula!J97,9))</f>
        <v>87</v>
      </c>
      <c r="AD97" s="72">
        <f>MIN(IF(INDEX(Properties!A$1:CB$87,Formula!B97,9)=0,10^6,INDEX(Properties!A$1:CB$87,Formula!B97,9)),IF(INDEX(Properties!A$1:CB$87,Formula!D97,9)=0,10^6,INDEX(Properties!A$1:CB$87,Formula!D97,9)),IF(INDEX(Properties!A$1:CB$87,Formula!F97,9)=0,10^6,INDEX(Properties!A$1:CB$87,Formula!F97,9)),IF(INDEX(Properties!A$1:CB$87,Formula!H97,9)=0,10^6,INDEX(Properties!A$1:CB$87,Formula!H97,9)),IF(INDEX(Properties!A$1:CB$87,Formula!J97,9)=0,10^6,INDEX(Properties!A$1:CB$87,Formula!J97,9)))</f>
        <v>12</v>
      </c>
      <c r="AE97" s="72">
        <f t="shared" si="36"/>
        <v>75</v>
      </c>
      <c r="AF97" s="51">
        <f>((Formula!C97)/(Formula!C97+Formula!E97+Formula!G97+Formula!I97+Formula!K97))*(INDEX(Properties!A$1:CB$87,Formula!B97,10))+((Formula!E97)/(Formula!C97+Formula!E97+Formula!G97+Formula!I97+Formula!K97))*(INDEX(Properties!A$1:CB$87,Formula!D97,10))+((Formula!G97)/(Formula!C97+Formula!E97+Formula!G97+Formula!I97+Formula!K97))*(INDEX(Properties!A$1:CB$87,Formula!F97,10))+((Formula!I97)/(Formula!C97+Formula!E97+Formula!G97+Formula!I97+Formula!K97))*(INDEX(Properties!A$1:CB$87,Formula!H97,10))+((Formula!K97)/(Formula!C97+Formula!E97+Formula!G97+Formula!I97+Formula!K97))*(INDEX(Properties!A$1:CB$87,Formula!J97,10))</f>
        <v>5.4</v>
      </c>
      <c r="AG97" s="51">
        <f>Formula!C97*(INDEX(Properties!A$1:CB$87,Formula!B97,10))+Formula!E97*(INDEX(Properties!A$1:CB$87,Formula!D97,10))+Formula!G97*(INDEX(Properties!A$1:CB$87,Formula!F97,10))+Formula!I97*(INDEX(Properties!A$1:CB$87,Formula!H97,10))+Formula!K97*(INDEX(Properties!A$1:CB$87,Formula!J97,10))</f>
        <v>27</v>
      </c>
      <c r="AH97" s="51">
        <f>VARP(IF(INDEX(Properties!A$1:CB$87,Formula!B97,10)&lt;&gt;"",INDEX(Properties!A$1:CB$87,Formula!B97,10)),IF(INDEX(Properties!A$1:CB$87,Formula!D97,10)&lt;&gt;"",INDEX(Properties!A$1:CB$87,Formula!D97,10)),IF(INDEX(Properties!A$1:CB$87,Formula!F97,10)&lt;&gt;"",INDEX(Properties!A$1:CB$87,Formula!F97,10)),IF(INDEX(Properties!A$1:CB$87,Formula!H97,10)&lt;&gt;"",INDEX(Properties!A$1:CB$87,Formula!H97,10)),IF(INDEX(Properties!A$1:CB$87,Formula!J97,10)&lt;&gt;"",INDEX(Properties!A$1:CB$87,Formula!J97,10)))</f>
        <v>7.6</v>
      </c>
      <c r="AI97" s="51">
        <f>MAX(INDEX(Properties!A$1:CB$87,Formula!B97,10),INDEX(Properties!A$1:CB$87,Formula!D97,10),INDEX(Properties!A$1:CB$87,Formula!F97,10),INDEX(Properties!A$1:CB$87,Formula!H97,10),INDEX(Properties!A$1:CB$87,Formula!J97,10))</f>
        <v>7</v>
      </c>
      <c r="AJ97" s="51">
        <f>MIN(IF(INDEX(Properties!A$1:CB$87,Formula!B97,10)=0,10^6,INDEX(Properties!A$1:CB$87,Formula!B97,10)),IF(INDEX(Properties!A$1:CB$87,Formula!D97,10)=0,10^6,INDEX(Properties!A$1:CB$87,Formula!D97,10)),IF(INDEX(Properties!A$1:CB$87,Formula!F97,10)=0,10^6,INDEX(Properties!A$1:CB$87,Formula!F97,10)),IF(INDEX(Properties!A$1:CB$87,Formula!H97,10)=0,10^6,INDEX(Properties!A$1:CB$87,Formula!H97,10)),IF(INDEX(Properties!A$1:CB$87,Formula!J97,10)=0,10^6,INDEX(Properties!A$1:CB$87,Formula!J97,10)))</f>
        <v>3</v>
      </c>
      <c r="AK97" s="51">
        <f t="shared" si="37"/>
        <v>4</v>
      </c>
      <c r="AL97" s="57">
        <f>((Formula!C97)/(Formula!C97+Formula!E97+Formula!G97+Formula!I97+Formula!K97))*(INDEX(Properties!A$1:CB$87,Formula!B97,11))+((Formula!E97)/(Formula!C97+Formula!E97+Formula!G97+Formula!I97+Formula!K97))*(INDEX(Properties!A$1:CB$87,Formula!D97,11))+((Formula!G97)/(Formula!C97+Formula!E97+Formula!G97+Formula!I97+Formula!K97))*(INDEX(Properties!A$1:CB$87,Formula!F97,11))+((Formula!I97)/(Formula!C97+Formula!E97+Formula!G97+Formula!I97+Formula!K97))*(INDEX(Properties!A$1:CB$87,Formula!H97,11))+((Formula!K97)/(Formula!C97+Formula!E97+Formula!G97+Formula!I97+Formula!K97))*(INDEX(Properties!A$1:CB$87,Formula!J97,11))</f>
        <v>2</v>
      </c>
      <c r="AM97" s="57">
        <f>Formula!C97*(INDEX(Properties!A$1:CB$87,Formula!B97,11))+Formula!E97*(INDEX(Properties!A$1:CB$87,Formula!D97,11))+Formula!G97*(INDEX(Properties!A$1:CB$87,Formula!F97,11))+Formula!I97*(INDEX(Properties!A$1:CB$87,Formula!H97,11))+Formula!K97*(INDEX(Properties!A$1:CB$87,Formula!J97,11))</f>
        <v>10</v>
      </c>
      <c r="AN97" s="57">
        <f>VARP(IF(INDEX(Properties!A$1:CB$87,Formula!B97,11)&lt;&gt;"",INDEX(Properties!A$1:CB$87,Formula!B97,11)),IF(INDEX(Properties!A$1:CB$87,Formula!D97,11)&lt;&gt;"",INDEX(Properties!A$1:CB$87,Formula!D97,11)),IF(INDEX(Properties!A$1:CB$87,Formula!F97,11)&lt;&gt;"",INDEX(Properties!A$1:CB$87,Formula!F97,11)),IF(INDEX(Properties!A$1:CB$87,Formula!H97,11)&lt;&gt;"",INDEX(Properties!A$1:CB$87,Formula!H97,11)),IF(INDEX(Properties!A$1:CB$87,Formula!J97,11)&lt;&gt;"",INDEX(Properties!A$1:CB$87,Formula!J97,11)))</f>
        <v>0.96</v>
      </c>
      <c r="AO97" s="57">
        <f>MAX(INDEX(Properties!A$1:CB$87,Formula!B97,11),INDEX(Properties!A$1:CB$87,Formula!D97,11),INDEX(Properties!A$1:CB$87,Formula!F97,11),INDEX(Properties!A$1:CB$87,Formula!H97,11),INDEX(Properties!A$1:CB$87,Formula!J97,11))</f>
        <v>2</v>
      </c>
      <c r="AP97" s="57">
        <f>MIN(IF(Formula!B97=87,10^6,INDEX(Properties!A$1:CB$87,Formula!B97,11)),IF((Formula!D97)=87,10^6,INDEX(Properties!A$1:CB$87,Formula!D97,11)),IF((Formula!F97)=87,10^6,INDEX(Properties!A$1:CB$87,Formula!F97,11)),IF((Formula!H97)=87,10^6,INDEX(Properties!A$1:CB$87,Formula!H97,11)),IF(Formula!J97=87,10^6,INDEX(Properties!A$1:CB$87,Formula!J97,11)))</f>
        <v>2</v>
      </c>
      <c r="AQ97" s="57">
        <f t="shared" si="38"/>
        <v>0</v>
      </c>
      <c r="AR97" s="78">
        <f>((Formula!C97)/(Formula!C97+Formula!E97+Formula!G97+Formula!I97+Formula!K97))*(INDEX(Properties!A$1:CB$87,Formula!B97,12))+((Formula!E97)/(Formula!C97+Formula!E97+Formula!G97+Formula!I97+Formula!K97))*(INDEX(Properties!A$1:CB$87,Formula!D97,12))+((Formula!G97)/(Formula!C97+Formula!E97+Formula!G97+Formula!I97+Formula!K97))*(INDEX(Properties!A$1:CB$87,Formula!F97,12))+((Formula!I97)/(Formula!C97+Formula!E97+Formula!G97+Formula!I97+Formula!K97))*(INDEX(Properties!A$1:CB$87,Formula!H97,12))+((Formula!K97)/(Formula!C97+Formula!E97+Formula!G97+Formula!I97+Formula!K97))*(INDEX(Properties!A$1:CB$87,Formula!J97,12))</f>
        <v>2.4</v>
      </c>
      <c r="AS97" s="78">
        <f>Formula!C97*(INDEX(Properties!A$1:CB$87,Formula!B97,12))+Formula!E97*(INDEX(Properties!A$1:CB$87,Formula!D97,12))+Formula!G97*(INDEX(Properties!A$1:CB$87,Formula!F97,12))+Formula!I97*(INDEX(Properties!A$1:CB$87,Formula!H97,12))+Formula!K97*(INDEX(Properties!A$1:CB$87,Formula!J97,12))</f>
        <v>12</v>
      </c>
      <c r="AT97" s="78">
        <f>VARP(IF(INDEX(Properties!A$1:CB$87,Formula!B97,12)&lt;&gt;"",INDEX(Properties!A$1:CB$87,Formula!B97,12)),IF(INDEX(Properties!A$1:CB$87,Formula!D97,12)&lt;&gt;"",INDEX(Properties!A$1:CB$87,Formula!D97,12)),IF(INDEX(Properties!A$1:CB$87,Formula!F97,12)&lt;&gt;"",INDEX(Properties!A$1:CB$87,Formula!F97,12)),IF(INDEX(Properties!A$1:CB$87,Formula!H97,12)&lt;&gt;"",INDEX(Properties!A$1:CB$87,Formula!H97,12)),IF(INDEX(Properties!A$1:CB$87,Formula!J97,12)&lt;&gt;"",INDEX(Properties!A$1:CB$87,Formula!J97,12)))</f>
        <v>2.56</v>
      </c>
      <c r="AU97" s="78">
        <f>MAX(INDEX(Properties!A$1:CB$87,Formula!B97,12),INDEX(Properties!A$1:CB$87,Formula!D97,12),INDEX(Properties!A$1:CB$87,Formula!F97,12),INDEX(Properties!A$1:CB$87,Formula!H97,12),INDEX(Properties!A$1:CB$87,Formula!J97,12))</f>
        <v>4</v>
      </c>
      <c r="AV97" s="78">
        <f>MIN(IF(Formula!B97=87,10^6,INDEX(Properties!A$1:CB$87,Formula!B97,12)),IF((Formula!D97)=87,10^6,INDEX(Properties!A$1:CB$87,Formula!D97,12)),IF((Formula!F97)=87,10^6,INDEX(Properties!A$1:CB$87,Formula!F97,12)),IF((Formula!H97)=87,10^6,INDEX(Properties!A$1:CB$87,Formula!H97,12)),IF(Formula!J97=87,10^6,INDEX(Properties!A$1:CB$87,Formula!J97,12)))</f>
        <v>0</v>
      </c>
      <c r="AW97" s="78">
        <f t="shared" si="39"/>
        <v>4</v>
      </c>
      <c r="AX97" s="45">
        <f>((Formula!C97)/(Formula!C97+Formula!E97+Formula!G97+Formula!I97+Formula!K97))*(INDEX(Properties!A$1:CB$87,Formula!B97,13))+((Formula!E97)/(Formula!C97+Formula!E97+Formula!G97+Formula!I97+Formula!K97))*(INDEX(Properties!A$1:CB$87,Formula!D97,13))+((Formula!G97)/(Formula!C97+Formula!E97+Formula!G97+Formula!I97+Formula!K97))*(INDEX(Properties!A$1:CB$87,Formula!F97,13))+((Formula!I97)/(Formula!C97+Formula!E97+Formula!G97+Formula!I97+Formula!K97))*(INDEX(Properties!A$1:CB$87,Formula!H97,13))+((Formula!K97)/(Formula!C97+Formula!E97+Formula!G97+Formula!I97+Formula!K97))*(INDEX(Properties!A$1:CB$87,Formula!J97,13))</f>
        <v>0.4</v>
      </c>
      <c r="AY97" s="45">
        <f>Formula!C97*(INDEX(Properties!A$1:CB$87,Formula!B97,13))+Formula!E97*(INDEX(Properties!A$1:CB$87,Formula!D97,13))+Formula!G97*(INDEX(Properties!A$1:CB$87,Formula!F97,13))+Formula!I97*(INDEX(Properties!A$1:CB$87,Formula!H97,13))+Formula!K97*(INDEX(Properties!A$1:CB$87,Formula!J97,13))</f>
        <v>2</v>
      </c>
      <c r="AZ97" s="45">
        <f>VARP(IF(INDEX(Properties!A$1:CB$87,Formula!B97,13)&lt;&gt;"",INDEX(Properties!A$1:CB$87,Formula!B97,13)),IF(INDEX(Properties!A$1:CB$87,Formula!D97,13)&lt;&gt;"",INDEX(Properties!A$1:CB$87,Formula!D97,13)),IF(INDEX(Properties!A$1:CB$87,Formula!F97,13)&lt;&gt;"",INDEX(Properties!A$1:CB$87,Formula!F97,13)),IF(INDEX(Properties!A$1:CB$87,Formula!H97,13)&lt;&gt;"",INDEX(Properties!A$1:CB$87,Formula!H97,13)),IF(INDEX(Properties!A$1:CB$87,Formula!J97,13)&lt;&gt;"",INDEX(Properties!A$1:CB$87,Formula!J97,13)))</f>
        <v>0.16</v>
      </c>
      <c r="BA97" s="45">
        <f>MAX(INDEX(Properties!A$1:CB$87,Formula!B97,13),INDEX(Properties!A$1:CB$87,Formula!D97,13),INDEX(Properties!A$1:CB$87,Formula!F97,13),INDEX(Properties!A$1:CB$87,Formula!H97,13),INDEX(Properties!A$1:CB$87,Formula!J97,13))</f>
        <v>1</v>
      </c>
      <c r="BB97" s="45">
        <f>MIN(IF(Formula!B97=87,10^6,INDEX(Properties!A$1:CB$87,Formula!B97,13)),IF((Formula!D97)=87,10^6,INDEX(Properties!A$1:CB$87,Formula!D97,13)),IF((Formula!F97)=87,10^6,INDEX(Properties!A$1:CB$87,Formula!F97,13)),IF((Formula!H97)=87,10^6,INDEX(Properties!A$1:CB$87,Formula!H97,13)),IF(Formula!J97=87,10^6,INDEX(Properties!A$1:CB$87,Formula!J97,13)))</f>
        <v>0</v>
      </c>
      <c r="BC97" s="45">
        <f t="shared" si="40"/>
        <v>1</v>
      </c>
      <c r="BD97" s="63">
        <f>((Formula!C97)/(Formula!C97+Formula!E97+Formula!G97+Formula!I97+Formula!K97))*(INDEX(Properties!A$1:CB$87,Formula!B97,14))+((Formula!E97)/(Formula!C97+Formula!E97+Formula!G97+Formula!I97+Formula!K97))*(INDEX(Properties!A$1:CB$87,Formula!D97,14))+((Formula!G97)/(Formula!C97+Formula!E97+Formula!G97+Formula!I97+Formula!K97))*(INDEX(Properties!A$1:CB$87,Formula!F97,14))+((Formula!I97)/(Formula!C97+Formula!E97+Formula!G97+Formula!I97+Formula!K97))*(INDEX(Properties!A$1:CB$87,Formula!H97,14))+((Formula!K97)/(Formula!C97+Formula!E97+Formula!G97+Formula!I97+Formula!K97))*(INDEX(Properties!A$1:CB$87,Formula!J97,14))</f>
        <v>0</v>
      </c>
      <c r="BE97" s="63">
        <f>Formula!C97*(INDEX(Properties!A$1:CB$87,Formula!B97,14))+Formula!E97*(INDEX(Properties!A$1:CB$87,Formula!D97,14))+Formula!G97*(INDEX(Properties!A$1:CB$87,Formula!F97,14))+Formula!I97*(INDEX(Properties!A$1:CB$87,Formula!H97,14))+Formula!K97*(INDEX(Properties!A$1:CB$87,Formula!J97,14))</f>
        <v>0</v>
      </c>
      <c r="BF97" s="63">
        <f>VARP(IF(INDEX(Properties!A$1:CB$87,Formula!B97,14)&lt;&gt;"",INDEX(Properties!A$1:CB$87,Formula!B97,14)),IF(INDEX(Properties!A$1:CB$87,Formula!D97,14)&lt;&gt;"",INDEX(Properties!A$1:CB$87,Formula!D97,14)),IF(INDEX(Properties!A$1:CB$87,Formula!F97,14)&lt;&gt;"",INDEX(Properties!A$1:CB$87,Formula!F97,14)),IF(INDEX(Properties!A$1:CB$87,Formula!H97,14)&lt;&gt;"",INDEX(Properties!A$1:CB$87,Formula!H97,14)),IF(INDEX(Properties!A$1:CB$87,Formula!J97,14)&lt;&gt;"",INDEX(Properties!A$1:CB$87,Formula!J97,14)))</f>
        <v>0</v>
      </c>
      <c r="BG97" s="63">
        <f>MAX(INDEX(Properties!A$1:CB$87,Formula!B97,14),INDEX(Properties!A$1:CB$87,Formula!D97,14),INDEX(Properties!A$1:CB$87,Formula!F97,14),INDEX(Properties!A$1:CB$87,Formula!H97,14),INDEX(Properties!A$1:CB$87,Formula!J97,14))</f>
        <v>0</v>
      </c>
      <c r="BH97" s="63">
        <f>MIN(IF(Formula!B97=87,10^6,INDEX(Properties!A$1:CB$87,Formula!B97,14)),IF((Formula!D97)=87,10^6,INDEX(Properties!A$1:CB$87,Formula!D97,14)),IF((Formula!F97)=87,10^6,INDEX(Properties!A$1:CB$87,Formula!F97,14)),IF((Formula!H97)=87,10^6,INDEX(Properties!A$1:CB$87,Formula!H97,14)),IF(Formula!J97=87,10^6,INDEX(Properties!A$1:CB$87,Formula!J97,14)))</f>
        <v>0</v>
      </c>
      <c r="BI97" s="63">
        <f t="shared" si="41"/>
        <v>0</v>
      </c>
      <c r="BJ97" s="75">
        <f>((Formula!C97)/(Formula!C97+Formula!E97+Formula!G97+Formula!I97+Formula!K97))*(INDEX(Properties!A$1:CB$87,Formula!B97,19))+((Formula!E97)/(Formula!C97+Formula!E97+Formula!G97+Formula!I97+Formula!K97))*(INDEX(Properties!A$1:CB$87,Formula!D97,19))+((Formula!G97)/(Formula!C97+Formula!E97+Formula!G97+Formula!I97+Formula!K97))*(INDEX(Properties!A$1:CB$87,Formula!F97,19))+((Formula!I97)/(Formula!C97+Formula!E97+Formula!G97+Formula!I97+Formula!K97))*(INDEX(Properties!A$1:CB$87,Formula!H97,19))+((Formula!K97)/(Formula!C97+Formula!E97+Formula!G97+Formula!I97+Formula!K97))*(INDEX(Properties!A$1:CB$87,Formula!J97,19))</f>
        <v>4.8</v>
      </c>
      <c r="BK97" s="75">
        <f>Formula!C97*(INDEX(Properties!A$1:CB$87,Formula!B97,19))+Formula!E97*(INDEX(Properties!A$1:CB$87,Formula!D97,19))+Formula!G97*(INDEX(Properties!A$1:CB$87,Formula!F97,19))+Formula!I97*(INDEX(Properties!A$1:CB$87,Formula!H97,19))+Formula!K97*(INDEX(Properties!A$1:CB$87,Formula!J97,19))</f>
        <v>24</v>
      </c>
      <c r="BL97" s="75">
        <f>VARP(IF(INDEX(Properties!A$1:CB$87,Formula!B97,19)&lt;&gt;"",INDEX(Properties!A$1:CB$87,Formula!B97,19)),IF(INDEX(Properties!A$1:CB$87,Formula!D97,19)&lt;&gt;"",INDEX(Properties!A$1:CB$87,Formula!D97,19)),IF(INDEX(Properties!A$1:CB$87,Formula!F97,19)&lt;&gt;"",INDEX(Properties!A$1:CB$87,Formula!F97,19)),IF(INDEX(Properties!A$1:CB$87,Formula!H97,19)&lt;&gt;"",INDEX(Properties!A$1:CB$87,Formula!H97,19)),IF(INDEX(Properties!A$1:CB$87,Formula!J97,19)&lt;&gt;"",INDEX(Properties!A$1:CB$87,Formula!J97,19)))</f>
        <v>5.76</v>
      </c>
      <c r="BM97" s="75">
        <f>MAX(INDEX(Properties!A$1:CB$87,Formula!B97,19),INDEX(Properties!A$1:CB$87,Formula!D97,19),INDEX(Properties!A$1:CB$87,Formula!F97,19),INDEX(Properties!A$1:CB$87,Formula!H97,19),INDEX(Properties!A$1:CB$87,Formula!J97,19))</f>
        <v>6</v>
      </c>
      <c r="BN97" s="75">
        <f>MIN(IF(INDEX(Properties!A$1:CB$87,Formula!B97,19)=0,10^6,INDEX(Properties!A$1:CB$87,Formula!B97,19)),IF(INDEX(Properties!A$1:CB$87,Formula!D97,19)=0,10^6,INDEX(Properties!A$1:CB$87,Formula!D97,19)),IF(INDEX(Properties!A$1:CB$87,Formula!F97,19)=0,10^6,INDEX(Properties!A$1:CB$87,Formula!F97,19)),IF(INDEX(Properties!A$1:CB$87,Formula!H97,19)=0,10^6,INDEX(Properties!A$1:CB$87,Formula!H97,19)),IF(INDEX(Properties!A$1:CB$87,Formula!J97,19)=0,10^6,INDEX(Properties!A$1:CB$87,Formula!J97,19)))</f>
        <v>3</v>
      </c>
      <c r="BO97" s="75">
        <f t="shared" si="42"/>
        <v>3</v>
      </c>
      <c r="BP97" s="48">
        <f>((Formula!C97)/(Formula!C97+Formula!E97+Formula!G97+Formula!I97+Formula!K97))*(INDEX(Properties!A$1:CB$87,Formula!B97,20))+((Formula!E97)/(Formula!C97+Formula!E97+Formula!G97+Formula!I97+Formula!K97))*(INDEX(Properties!A$1:CB$87,Formula!D97,20))+((Formula!G97)/(Formula!C97+Formula!E97+Formula!G97+Formula!I97+Formula!K97))*(INDEX(Properties!A$1:CB$87,Formula!F97,20))+((Formula!I97)/(Formula!C97+Formula!E97+Formula!G97+Formula!I97+Formula!K97))*(INDEX(Properties!A$1:CB$87,Formula!H97,20))+((Formula!K97)/(Formula!C97+Formula!E97+Formula!G97+Formula!I97+Formula!K97))*(INDEX(Properties!A$1:CB$87,Formula!J97,20))</f>
        <v>4.3999999999999995</v>
      </c>
      <c r="BQ97" s="48">
        <f>Formula!C97*(INDEX(Properties!A$1:CB$87,Formula!B97,20))+Formula!E97*(INDEX(Properties!A$1:CB$87,Formula!D97,20))+Formula!G97*(INDEX(Properties!A$1:CB$87,Formula!F97,20))+Formula!I97*(INDEX(Properties!A$1:CB$87,Formula!H97,20))+Formula!K97*(INDEX(Properties!A$1:CB$87,Formula!J97,20))</f>
        <v>22</v>
      </c>
      <c r="BR97" s="48">
        <f>VARP(IF(INDEX(Properties!A$1:CB$87,Formula!B97,20)&lt;&gt;"",INDEX(Properties!A$1:CB$87,Formula!B97,20)),IF(INDEX(Properties!A$1:CB$87,Formula!D97,20)&lt;&gt;"",INDEX(Properties!A$1:CB$87,Formula!D97,20)),IF(INDEX(Properties!A$1:CB$87,Formula!F97,20)&lt;&gt;"",INDEX(Properties!A$1:CB$87,Formula!F97,20)),IF(INDEX(Properties!A$1:CB$87,Formula!H97,20)&lt;&gt;"",INDEX(Properties!A$1:CB$87,Formula!H97,20)),IF(INDEX(Properties!A$1:CB$87,Formula!J97,20)&lt;&gt;"",INDEX(Properties!A$1:CB$87,Formula!J97,20)))</f>
        <v>5.44</v>
      </c>
      <c r="BS97" s="48">
        <f>MAX(INDEX(Properties!A$1:CB$87,Formula!B97,20),INDEX(Properties!A$1:CB$87,Formula!D97,20),INDEX(Properties!A$1:CB$87,Formula!F97,20),INDEX(Properties!A$1:CB$87,Formula!H97,20),INDEX(Properties!A$1:CB$87,Formula!J97,20))</f>
        <v>6</v>
      </c>
      <c r="BT97" s="48">
        <f>MIN(IF(INDEX(Properties!A$1:CB$87,Formula!B97,20)=0,10^6,INDEX(Properties!A$1:CB$87,Formula!B97,20)),IF(INDEX(Properties!A$1:CB$87,Formula!D97,20)=0,10^6,INDEX(Properties!A$1:CB$87,Formula!D97,20)),IF(INDEX(Properties!A$1:CB$87,Formula!F97,20)=0,10^6,INDEX(Properties!A$1:CB$87,Formula!F97,20)),IF(INDEX(Properties!A$1:CB$87,Formula!H97,20)=0,10^6,INDEX(Properties!A$1:CB$87,Formula!H97,20)),IF(INDEX(Properties!A$1:CB$87,Formula!J97,20)=0,10^6,INDEX(Properties!A$1:CB$87,Formula!J97,20)))</f>
        <v>2</v>
      </c>
      <c r="BU97" s="48">
        <f t="shared" si="43"/>
        <v>4</v>
      </c>
      <c r="BV97" s="66">
        <f>((Formula!C97)/(Formula!C97+Formula!E97+Formula!G97+Formula!I97+Formula!K97))*(INDEX(Properties!A$1:CB$87,Formula!B97,21))+((Formula!E97)/(Formula!C97+Formula!E97+Formula!G97+Formula!I97+Formula!K97))*(INDEX(Properties!A$1:CB$87,Formula!D97,21))+((Formula!G97)/(Formula!C97+Formula!E97+Formula!G97+Formula!I97+Formula!K97))*(INDEX(Properties!A$1:CB$87,Formula!F97,21))+((Formula!I97)/(Formula!C97+Formula!E97+Formula!G97+Formula!I97+Formula!K97))*(INDEX(Properties!A$1:CB$87,Formula!H97,21))+((Formula!K97)/(Formula!C97+Formula!E97+Formula!G97+Formula!I97+Formula!K97))*(INDEX(Properties!A$1:CB$87,Formula!J97,21))</f>
        <v>3.9999999999999996</v>
      </c>
      <c r="BW97" s="66">
        <f>Formula!C97*(INDEX(Properties!A$1:CB$87,Formula!B97,21))+Formula!E97*(INDEX(Properties!A$1:CB$87,Formula!D97,21))+Formula!G97*(INDEX(Properties!A$1:CB$87,Formula!F97,21))+Formula!I97*(INDEX(Properties!A$1:CB$87,Formula!H97,21))+Formula!K97*(INDEX(Properties!A$1:CB$87,Formula!J97,21))</f>
        <v>20</v>
      </c>
      <c r="BX97" s="66">
        <f>VARP(IF(INDEX(Properties!A$1:CB$87,Formula!B97,21)&lt;&gt;"",INDEX(Properties!A$1:CB$87,Formula!B97,21)),IF(INDEX(Properties!A$1:CB$87,Formula!D97,21)&lt;&gt;"",INDEX(Properties!A$1:CB$87,Formula!D97,21)),IF(INDEX(Properties!A$1:CB$87,Formula!F97,21)&lt;&gt;"",INDEX(Properties!A$1:CB$87,Formula!F97,21)),IF(INDEX(Properties!A$1:CB$87,Formula!H97,21)&lt;&gt;"",INDEX(Properties!A$1:CB$87,Formula!H97,21)),IF(INDEX(Properties!A$1:CB$87,Formula!J97,21)&lt;&gt;"",INDEX(Properties!A$1:CB$87,Formula!J97,21)))</f>
        <v>5.44</v>
      </c>
      <c r="BY97" s="66">
        <f>MAX(INDEX(Properties!A$1:CB$87,Formula!B97,21),INDEX(Properties!A$1:CB$87,Formula!D97,21),INDEX(Properties!A$1:CB$87,Formula!F97,21),INDEX(Properties!A$1:CB$87,Formula!H97,21),INDEX(Properties!A$1:CB$87,Formula!J97,21))</f>
        <v>6</v>
      </c>
      <c r="BZ97" s="66">
        <f>MIN(IF(INDEX(Properties!A$1:CB$87,Formula!B97,21)=0,10^6,INDEX(Properties!A$1:CB$87,Formula!B97,21)),IF(INDEX(Properties!A$1:CB$87,Formula!D97,21)=0,10^6,INDEX(Properties!A$1:CB$87,Formula!D97,21)),IF(INDEX(Properties!A$1:CB$87,Formula!F97,21)=0,10^6,INDEX(Properties!A$1:CB$87,Formula!F97,21)),IF(INDEX(Properties!A$1:CB$87,Formula!H97,21)=0,10^6,INDEX(Properties!A$1:CB$87,Formula!H97,21)),IF(INDEX(Properties!A$1:CB$87,Formula!J97,21)=0,10^6,INDEX(Properties!A$1:CB$87,Formula!J97,21)))</f>
        <v>1</v>
      </c>
      <c r="CA97" s="66">
        <f t="shared" si="44"/>
        <v>5</v>
      </c>
      <c r="CB97" s="81">
        <f>((Formula!C97)/(Formula!C97+Formula!E97+Formula!G97+Formula!I97+Formula!K97))*(INDEX(Properties!A$1:CB$87,Formula!B97,23))+((Formula!E97)/(Formula!C97+Formula!E97+Formula!G97+Formula!I97+Formula!K97))*(INDEX(Properties!A$1:CB$87,Formula!D97,23))+((Formula!G97)/(Formula!C97+Formula!E97+Formula!G97+Formula!I97+Formula!K97))*(INDEX(Properties!A$1:CB$87,Formula!F97,23))+((Formula!I97)/(Formula!C97+Formula!E97+Formula!G97+Formula!I97+Formula!K97))*(INDEX(Properties!A$1:CB$87,Formula!H97,23))+((Formula!K97)/(Formula!C97+Formula!E97+Formula!G97+Formula!I97+Formula!K97))*(INDEX(Properties!A$1:CB$87,Formula!J97,23))</f>
        <v>1.2000000000000002</v>
      </c>
      <c r="CC97" s="81">
        <f>Formula!C97*(INDEX(Properties!A$1:CB$87,Formula!B97,23))+Formula!E97*(INDEX(Properties!A$1:CB$87,Formula!D97,23))+Formula!G97*(INDEX(Properties!A$1:CB$87,Formula!F97,23))+Formula!I97*(INDEX(Properties!A$1:CB$87,Formula!H97,23))+Formula!K97*(INDEX(Properties!A$1:CB$87,Formula!J97,23))</f>
        <v>6</v>
      </c>
      <c r="CD97" s="81">
        <f>VARP(IF(INDEX(Properties!A$1:CB$87,Formula!B97,23)&lt;&gt;"",INDEX(Properties!A$1:CB$87,Formula!B97,23)),IF(INDEX(Properties!A$1:CB$87,Formula!D97,23)&lt;&gt;"",INDEX(Properties!A$1:CB$87,Formula!D97,23)),IF(INDEX(Properties!A$1:CB$87,Formula!F97,23)&lt;&gt;"",INDEX(Properties!A$1:CB$87,Formula!F97,23)),IF(INDEX(Properties!A$1:CB$87,Formula!H97,23)&lt;&gt;"",INDEX(Properties!A$1:CB$87,Formula!H97,23)),IF(INDEX(Properties!A$1:CB$87,Formula!J97,23)&lt;&gt;"",INDEX(Properties!A$1:CB$87,Formula!J97,23)))</f>
        <v>1.44</v>
      </c>
      <c r="CE97" s="81">
        <f>MAX(INDEX(Properties!A$1:CB$87,Formula!B97,23),INDEX(Properties!A$1:CB$87,Formula!D97,23),INDEX(Properties!A$1:CB$87,Formula!F97,23),INDEX(Properties!A$1:CB$87,Formula!H97,23),INDEX(Properties!A$1:CB$87,Formula!J97,23))</f>
        <v>3</v>
      </c>
      <c r="CF97" s="81">
        <f>MIN(IF(Formula!B97=87,10^6,INDEX(Properties!A$1:CB$87,Formula!B97,23)),IF((Formula!D97)=87,10^6,INDEX(Properties!A$1:CB$87,Formula!D97,23)),IF((Formula!F97)=87,10^6,INDEX(Properties!A$1:CB$87,Formula!F97,23)),IF((Formula!H97)=87,10^6,INDEX(Properties!A$1:CB$87,Formula!H97,23)),IF(Formula!J97=87,10^6,INDEX(Properties!A$1:CB$87,Formula!J97,23)))</f>
        <v>0</v>
      </c>
      <c r="CG97" s="81">
        <f t="shared" si="45"/>
        <v>3</v>
      </c>
      <c r="CH97" s="39">
        <f>((Formula!C97)/(Formula!C97+Formula!E97+Formula!G97+Formula!I97+Formula!K97))*(INDEX(Properties!A$1:CB$87,Formula!B97,26))+((Formula!E97)/(Formula!C97+Formula!E97+Formula!G97+Formula!I97+Formula!K97))*(INDEX(Properties!A$1:CB$87,Formula!D97,26))+((Formula!G97)/(Formula!C97+Formula!E97+Formula!G97+Formula!I97+Formula!K97))*(INDEX(Properties!A$1:CB$87,Formula!F97,26))+((Formula!I97)/(Formula!C97+Formula!E97+Formula!G97+Formula!I97+Formula!K97))*(INDEX(Properties!A$1:CB$87,Formula!H97,26))+((Formula!K97)/(Formula!C97+Formula!E97+Formula!G97+Formula!I97+Formula!K97))*(INDEX(Properties!A$1:CB$87,Formula!J97,26))</f>
        <v>10.657779999999999</v>
      </c>
      <c r="CI97" s="39">
        <f>Formula!C97*(INDEX(Properties!A$1:CB$87,Formula!B97,26))+Formula!E97*(INDEX(Properties!A$1:CB$87,Formula!D97,26))+Formula!G97*(INDEX(Properties!A$1:CB$87,Formula!F97,26))+Formula!I97*(INDEX(Properties!A$1:CB$87,Formula!H97,26))+Formula!K97*(INDEX(Properties!A$1:CB$87,Formula!J97,26))</f>
        <v>53.288899999999998</v>
      </c>
      <c r="CJ97" s="39">
        <f>VARP(IF(INDEX(Properties!A$1:CB$87,Formula!B97,26)&lt;&gt;"",INDEX(Properties!A$1:CB$87,Formula!B97,26)),IF(INDEX(Properties!A$1:CB$87,Formula!D97,26)&lt;&gt;"",INDEX(Properties!A$1:CB$87,Formula!D97,26)),IF(INDEX(Properties!A$1:CB$87,Formula!F97,26)&lt;&gt;"",INDEX(Properties!A$1:CB$87,Formula!F97,26)),IF(INDEX(Properties!A$1:CB$87,Formula!H97,26)&lt;&gt;"",INDEX(Properties!A$1:CB$87,Formula!H97,26)),IF(INDEX(Properties!A$1:CB$87,Formula!J97,26)&lt;&gt;"",INDEX(Properties!A$1:CB$87,Formula!J97,26)))</f>
        <v>29.083769653600001</v>
      </c>
      <c r="CK97" s="39">
        <f>MAX(INDEX(Properties!A$1:CB$87,Formula!B97,26),INDEX(Properties!A$1:CB$87,Formula!D97,26),INDEX(Properties!A$1:CB$87,Formula!F97,26),INDEX(Properties!A$1:CB$87,Formula!H97,26),INDEX(Properties!A$1:CB$87,Formula!J97,26))</f>
        <v>13.6181</v>
      </c>
      <c r="CL97" s="39">
        <f>MIN(IF(INDEX(Properties!A$1:CB$87,Formula!B97,26)=0,10^6,INDEX(Properties!A$1:CB$87,Formula!B97,26)),IF(INDEX(Properties!A$1:CB$87,Formula!D97,26)=0,10^6,INDEX(Properties!A$1:CB$87,Formula!D97,26)),IF(INDEX(Properties!A$1:CB$87,Formula!F97,26)=0,10^6,INDEX(Properties!A$1:CB$87,Formula!F97,26)),IF(INDEX(Properties!A$1:CB$87,Formula!H97,26)=0,10^6,INDEX(Properties!A$1:CB$87,Formula!H97,26)),IF(INDEX(Properties!A$1:CB$87,Formula!J97,26)=0,10^6,INDEX(Properties!A$1:CB$87,Formula!J97,26)))</f>
        <v>6.2172999999999998</v>
      </c>
      <c r="CM97" s="39">
        <f t="shared" si="46"/>
        <v>7.4008000000000003</v>
      </c>
      <c r="CN97" s="54">
        <f>((Formula!C97)/(Formula!C97+Formula!E97+Formula!G97+Formula!I97+Formula!K97))*(INDEX(Properties!A$1:CB$87,Formula!B97,30))+((Formula!E97)/(Formula!C97+Formula!E97+Formula!G97+Formula!I97+Formula!K97))*(INDEX(Properties!A$1:CB$87,Formula!D97,30))+((Formula!G97)/(Formula!C97+Formula!E97+Formula!G97+Formula!I97+Formula!K97))*(INDEX(Properties!A$1:CB$87,Formula!F97,30))+((Formula!I97)/(Formula!C97+Formula!E97+Formula!G97+Formula!I97+Formula!K97))*(INDEX(Properties!A$1:CB$87,Formula!H97,30))+((Formula!K97)/(Formula!C97+Formula!E97+Formula!G97+Formula!I97+Formula!K97))*(INDEX(Properties!A$1:CB$87,Formula!J97,30))</f>
        <v>2.552</v>
      </c>
      <c r="CO97" s="54">
        <f>Formula!C97*(INDEX(Properties!A$1:CB$87,Formula!B97,30))+Formula!E97*(INDEX(Properties!A$1:CB$87,Formula!D97,30))+Formula!G97*(INDEX(Properties!A$1:CB$87,Formula!F97,30))+Formula!I97*(INDEX(Properties!A$1:CB$87,Formula!H97,30))+Formula!K97*(INDEX(Properties!A$1:CB$87,Formula!J97,30))</f>
        <v>12.76</v>
      </c>
      <c r="CP97" s="54">
        <f>VARP(IF(INDEX(Properties!A$1:CB$87,Formula!B97,30)&lt;&gt;"",INDEX(Properties!A$1:CB$87,Formula!B97,30)),IF(INDEX(Properties!A$1:CB$87,Formula!D97,30)&lt;&gt;"",INDEX(Properties!A$1:CB$87,Formula!D97,30)),IF(INDEX(Properties!A$1:CB$87,Formula!F97,30)&lt;&gt;"",INDEX(Properties!A$1:CB$87,Formula!F97,30)),IF(INDEX(Properties!A$1:CB$87,Formula!H97,30)&lt;&gt;"",INDEX(Properties!A$1:CB$87,Formula!H97,30)),IF(INDEX(Properties!A$1:CB$87,Formula!J97,30)&lt;&gt;"",INDEX(Properties!A$1:CB$87,Formula!J97,30)))</f>
        <v>1.7957759999999998</v>
      </c>
      <c r="CQ97" s="54">
        <f>MAX(INDEX(Properties!A$1:CB$87,Formula!B97,30),INDEX(Properties!A$1:CB$87,Formula!D97,30),INDEX(Properties!A$1:CB$87,Formula!F97,30),INDEX(Properties!A$1:CB$87,Formula!H97,30),INDEX(Properties!A$1:CB$87,Formula!J97,30))</f>
        <v>3.44</v>
      </c>
      <c r="CR97" s="54">
        <f>MIN(IF(INDEX(Properties!A$1:CB$87,Formula!B97,30)=0,10^6,INDEX(Properties!A$1:CB$87,Formula!B97,30)),IF(INDEX(Properties!A$1:CB$87,Formula!D97,30)=0,10^6,INDEX(Properties!A$1:CB$87,Formula!D97,30)),IF(INDEX(Properties!A$1:CB$87,Formula!F97,30)=0,10^6,INDEX(Properties!A$1:CB$87,Formula!F97,30)),IF(INDEX(Properties!A$1:CB$87,Formula!H97,30)=0,10^6,INDEX(Properties!A$1:CB$87,Formula!H97,30)),IF(INDEX(Properties!A$1:CB$87,Formula!J97,30)=0,10^6,INDEX(Properties!A$1:CB$87,Formula!J97,30)))</f>
        <v>1.22</v>
      </c>
      <c r="CS97" s="54">
        <f t="shared" si="47"/>
        <v>2.2199999999999998</v>
      </c>
      <c r="CT97" s="69">
        <f>((Formula!C97)/(Formula!C97+Formula!E97+Formula!G97+Formula!I97+Formula!K97))*(INDEX(Properties!A$1:CB$87,Formula!B97,31))+((Formula!E97)/(Formula!C97+Formula!E97+Formula!G97+Formula!I97+Formula!K97))*(INDEX(Properties!A$1:CB$87,Formula!D97,31))+((Formula!G97)/(Formula!C97+Formula!E97+Formula!G97+Formula!I97+Formula!K97))*(INDEX(Properties!A$1:CB$87,Formula!F97,31))+((Formula!I97)/(Formula!C97+Formula!E97+Formula!G97+Formula!I97+Formula!K97))*(INDEX(Properties!A$1:CB$87,Formula!H97,31))+((Formula!K97)/(Formula!C97+Formula!E97+Formula!G97+Formula!I97+Formula!K97))*(INDEX(Properties!A$1:CB$87,Formula!J97,31))</f>
        <v>2.5559999999999996</v>
      </c>
      <c r="CU97" s="69">
        <f>Formula!C97*(INDEX(Properties!A$1:CB$87,Formula!B97,31))+Formula!E97*(INDEX(Properties!A$1:CB$87,Formula!D97,31))+Formula!G97*(INDEX(Properties!A$1:CB$87,Formula!F97,31))+Formula!I97*(INDEX(Properties!A$1:CB$87,Formula!H97,31))+Formula!K97*(INDEX(Properties!A$1:CB$87,Formula!J97,31))</f>
        <v>12.78</v>
      </c>
      <c r="CV97" s="69">
        <f>VARP(IF(INDEX(Properties!A$1:CB$87,Formula!B97,31)&lt;&gt;"",INDEX(Properties!A$1:CB$87,Formula!B97,31)),IF(INDEX(Properties!A$1:CB$87,Formula!D97,31)&lt;&gt;"",INDEX(Properties!A$1:CB$87,Formula!D97,31)),IF(INDEX(Properties!A$1:CB$87,Formula!F97,31)&lt;&gt;"",INDEX(Properties!A$1:CB$87,Formula!F97,31)),IF(INDEX(Properties!A$1:CB$87,Formula!H97,31)&lt;&gt;"",INDEX(Properties!A$1:CB$87,Formula!H97,31)),IF(INDEX(Properties!A$1:CB$87,Formula!J97,31)&lt;&gt;"",INDEX(Properties!A$1:CB$87,Formula!J97,31)))</f>
        <v>1.707184</v>
      </c>
      <c r="CW97" s="69">
        <f>MAX(INDEX(Properties!A$1:CB$87,Formula!B97,31),INDEX(Properties!A$1:CB$87,Formula!D97,31),INDEX(Properties!A$1:CB$87,Formula!F97,31),INDEX(Properties!A$1:CB$87,Formula!H97,31),INDEX(Properties!A$1:CB$87,Formula!J97,31))</f>
        <v>3.32</v>
      </c>
      <c r="CX97" s="69">
        <f>MIN(IF(INDEX(Properties!A$1:CB$87,Formula!B97,31)=0,10^6,INDEX(Properties!A$1:CB$87,Formula!B97,31)),IF(INDEX(Properties!A$1:CB$87,Formula!D97,31)=0,10^6,INDEX(Properties!A$1:CB$87,Formula!D97,31)),IF(INDEX(Properties!A$1:CB$87,Formula!F97,31)=0,10^6,INDEX(Properties!A$1:CB$87,Formula!F97,31)),IF(INDEX(Properties!A$1:CB$87,Formula!H97,31)=0,10^6,INDEX(Properties!A$1:CB$87,Formula!H97,31)),IF(INDEX(Properties!A$1:CB$87,Formula!J97,31)=0,10^6,INDEX(Properties!A$1:CB$87,Formula!J97,31)))</f>
        <v>1.41</v>
      </c>
      <c r="CY97" s="69">
        <f t="shared" si="48"/>
        <v>1.91</v>
      </c>
      <c r="CZ97" s="42">
        <f>((Formula!C97)/(Formula!C97+Formula!E97+Formula!G97+Formula!I97+Formula!K97))*(INDEX(Properties!A$1:CB$87,Formula!B97,32))+((Formula!E97)/(Formula!C97+Formula!E97+Formula!G97+Formula!I97+Formula!K97))*(INDEX(Properties!A$1:CB$87,Formula!D97,32))+((Formula!G97)/(Formula!C97+Formula!E97+Formula!G97+Formula!I97+Formula!K97))*(INDEX(Properties!A$1:CB$87,Formula!F97,32))+((Formula!I97)/(Formula!C97+Formula!E97+Formula!G97+Formula!I97+Formula!K97))*(INDEX(Properties!A$1:CB$87,Formula!H97,32))+((Formula!K97)/(Formula!C97+Formula!E97+Formula!G97+Formula!I97+Formula!K97))*(INDEX(Properties!A$1:CB$87,Formula!J97,32))</f>
        <v>5.8</v>
      </c>
      <c r="DA97" s="42">
        <f>Formula!C97*(INDEX(Properties!A$1:CB$87,Formula!B97,32))+Formula!E97*(INDEX(Properties!A$1:CB$87,Formula!D97,32))+Formula!G97*(INDEX(Properties!A$1:CB$87,Formula!F97,32))+Formula!I97*(INDEX(Properties!A$1:CB$87,Formula!H97,32))+Formula!K97*(INDEX(Properties!A$1:CB$87,Formula!J97,32))</f>
        <v>29</v>
      </c>
      <c r="DB97" s="42">
        <f>VARP(IF(INDEX(Properties!A$1:CB$87,Formula!B97,32)&lt;&gt;"",INDEX(Properties!A$1:CB$87,Formula!B97,32)),IF(INDEX(Properties!A$1:CB$87,Formula!D97,32)&lt;&gt;"",INDEX(Properties!A$1:CB$87,Formula!D97,32)),IF(INDEX(Properties!A$1:CB$87,Formula!F97,32)&lt;&gt;"",INDEX(Properties!A$1:CB$87,Formula!F97,32)),IF(INDEX(Properties!A$1:CB$87,Formula!H97,32)&lt;&gt;"",INDEX(Properties!A$1:CB$87,Formula!H97,32)),IF(INDEX(Properties!A$1:CB$87,Formula!J97,32)&lt;&gt;"",INDEX(Properties!A$1:CB$87,Formula!J97,32)))</f>
        <v>8.8002239999999983</v>
      </c>
      <c r="DC97" s="42">
        <f>MAX(INDEX(Properties!A$1:CB$87,Formula!B97,32),INDEX(Properties!A$1:CB$87,Formula!D97,32),INDEX(Properties!A$1:CB$87,Formula!F97,32),INDEX(Properties!A$1:CB$87,Formula!H97,32),INDEX(Properties!A$1:CB$87,Formula!J97,32))</f>
        <v>7.54</v>
      </c>
      <c r="DD97" s="42">
        <f>MIN(IF(INDEX(Properties!A$1:CB$87,Formula!B97,32)=0,10^6,INDEX(Properties!A$1:CB$87,Formula!B97,32)),IF(INDEX(Properties!A$1:CB$87,Formula!D97,32)=0,10^6,INDEX(Properties!A$1:CB$87,Formula!D97,32)),IF(INDEX(Properties!A$1:CB$87,Formula!F97,32)=0,10^6,INDEX(Properties!A$1:CB$87,Formula!F97,32)),IF(INDEX(Properties!A$1:CB$87,Formula!H97,32)=0,10^6,INDEX(Properties!A$1:CB$87,Formula!H97,32)),IF(INDEX(Properties!A$1:CB$87,Formula!J97,32)=0,10^6,INDEX(Properties!A$1:CB$87,Formula!J97,32)))</f>
        <v>3.19</v>
      </c>
      <c r="DE97" s="42">
        <f t="shared" si="49"/>
        <v>4.3499999999999996</v>
      </c>
      <c r="DF97" s="60">
        <f>((Formula!C97)/(Formula!C97+Formula!E97+Formula!G97+Formula!I97+Formula!K97))*(INDEX(Properties!A$1:CB$87,Formula!B97,34))+((Formula!E97)/(Formula!C97+Formula!E97+Formula!G97+Formula!I97+Formula!K97))*(INDEX(Properties!A$1:CB$87,Formula!D97,34))+((Formula!G97)/(Formula!C97+Formula!E97+Formula!G97+Formula!I97+Formula!K97))*(INDEX(Properties!A$1:CB$87,Formula!F97,34))+((Formula!I97)/(Formula!C97+Formula!E97+Formula!G97+Formula!I97+Formula!K97))*(INDEX(Properties!A$1:CB$87,Formula!H97,34))+((Formula!K97)/(Formula!C97+Formula!E97+Formula!G97+Formula!I97+Formula!K97))*(INDEX(Properties!A$1:CB$87,Formula!J97,34))</f>
        <v>2.6139999999999999</v>
      </c>
      <c r="DG97" s="60">
        <f>Formula!C97*(INDEX(Properties!A$1:CB$87,Formula!B97,34))+Formula!E97*(INDEX(Properties!A$1:CB$87,Formula!D97,34))+Formula!G97*(INDEX(Properties!A$1:CB$87,Formula!F97,34))+Formula!I97*(INDEX(Properties!A$1:CB$87,Formula!H97,34))+Formula!K97*(INDEX(Properties!A$1:CB$87,Formula!J97,34))</f>
        <v>13.07</v>
      </c>
      <c r="DH97" s="60">
        <f>VARP(IF(INDEX(Properties!A$1:CB$87,Formula!B97,34)&lt;&gt;"",INDEX(Properties!A$1:CB$87,Formula!B97,34)),IF(INDEX(Properties!A$1:CB$87,Formula!D97,34)&lt;&gt;"",INDEX(Properties!A$1:CB$87,Formula!D97,34)),IF(INDEX(Properties!A$1:CB$87,Formula!F97,34)&lt;&gt;"",INDEX(Properties!A$1:CB$87,Formula!F97,34)),IF(INDEX(Properties!A$1:CB$87,Formula!H97,34)&lt;&gt;"",INDEX(Properties!A$1:CB$87,Formula!H97,34)),IF(INDEX(Properties!A$1:CB$87,Formula!J97,34)&lt;&gt;"",INDEX(Properties!A$1:CB$87,Formula!J97,34)))</f>
        <v>1.9623840000000001</v>
      </c>
      <c r="DI97" s="60">
        <f>MAX(INDEX(Properties!A$1:CB$87,Formula!B97,34),INDEX(Properties!A$1:CB$87,Formula!D97,34),INDEX(Properties!A$1:CB$87,Formula!F97,34),INDEX(Properties!A$1:CB$87,Formula!H97,34),INDEX(Properties!A$1:CB$87,Formula!J97,34))</f>
        <v>3.61</v>
      </c>
      <c r="DJ97" s="60">
        <f>MIN(IF(INDEX(Properties!A$1:CB$87,Formula!B97,34)=0,10^6,INDEX(Properties!A$1:CB$87,Formula!B97,34)),IF(INDEX(Properties!A$1:CB$87,Formula!D97,34)=0,10^6,INDEX(Properties!A$1:CB$87,Formula!D97,34)),IF(INDEX(Properties!A$1:CB$87,Formula!F97,34)=0,10^6,INDEX(Properties!A$1:CB$87,Formula!F97,34)),IF(INDEX(Properties!A$1:CB$87,Formula!H97,34)=0,10^6,INDEX(Properties!A$1:CB$87,Formula!H97,34)),IF(INDEX(Properties!A$1:CB$87,Formula!J97,34)=0,10^6,INDEX(Properties!A$1:CB$87,Formula!J97,34)))</f>
        <v>1.1200000000000001</v>
      </c>
      <c r="DK97" s="60">
        <f t="shared" si="50"/>
        <v>2.4899999999999998</v>
      </c>
      <c r="DL97" s="45">
        <f>((Formula!C97)/(Formula!C97+Formula!E97+Formula!G97+Formula!I97+Formula!K97))*(INDEX(Properties!A$1:CB$87,Formula!B97,39))+((Formula!E97)/(Formula!C97+Formula!E97+Formula!G97+Formula!I97+Formula!K97))*(INDEX(Properties!A$1:CB$87,Formula!D97,39))+((Formula!G97)/(Formula!C97+Formula!E97+Formula!G97+Formula!I97+Formula!K97))*(INDEX(Properties!A$1:CB$87,Formula!F97,39))+((Formula!I97)/(Formula!C97+Formula!E97+Formula!G97+Formula!I97+Formula!K97))*(INDEX(Properties!A$1:CB$87,Formula!H97,39))+((Formula!K97)/(Formula!C97+Formula!E97+Formula!G97+Formula!I97+Formula!K97))*(INDEX(Properties!A$1:CB$87,Formula!J97,39))</f>
        <v>1.1360000000000001</v>
      </c>
      <c r="DM97" s="45">
        <f>Formula!C97*(INDEX(Properties!A$1:CB$87,Formula!B97,39))+Formula!E97*(INDEX(Properties!A$1:CB$87,Formula!D97,39))+Formula!G97*(INDEX(Properties!A$1:CB$87,Formula!F97,39))+Formula!I97*(INDEX(Properties!A$1:CB$87,Formula!H97,39))+Formula!K97*(INDEX(Properties!A$1:CB$87,Formula!J97,39))</f>
        <v>5.68</v>
      </c>
      <c r="DN97" s="45">
        <f>VARP(IF(INDEX(Properties!A$1:CB$87,Formula!B97,39)&lt;&gt;"",INDEX(Properties!A$1:CB$87,Formula!B97,39)),IF(INDEX(Properties!A$1:CB$87,Formula!D97,39)&lt;&gt;"",INDEX(Properties!A$1:CB$87,Formula!D97,39)),IF(INDEX(Properties!A$1:CB$87,Formula!F97,39)&lt;&gt;"",INDEX(Properties!A$1:CB$87,Formula!F97,39)),IF(INDEX(Properties!A$1:CB$87,Formula!H97,39)&lt;&gt;"",INDEX(Properties!A$1:CB$87,Formula!H97,39)),IF(INDEX(Properties!A$1:CB$87,Formula!J97,39)&lt;&gt;"",INDEX(Properties!A$1:CB$87,Formula!J97,39)))</f>
        <v>0.67456000000000016</v>
      </c>
      <c r="DO97" s="45">
        <f>MAX(INDEX(Properties!A$1:CB$87,Formula!B97,39),INDEX(Properties!A$1:CB$87,Formula!D97,39),INDEX(Properties!A$1:CB$87,Formula!F97,39),INDEX(Properties!A$1:CB$87,Formula!H97,39),INDEX(Properties!A$1:CB$87,Formula!J97,39))</f>
        <v>2.12</v>
      </c>
      <c r="DP97" s="45">
        <f>MIN(IF(INDEX(Properties!A$1:CB$87,Formula!B97,39)=0,10^6,INDEX(Properties!A$1:CB$87,Formula!B97,39)),IF(INDEX(Properties!A$1:CB$87,Formula!D97,39)=0,10^6,INDEX(Properties!A$1:CB$87,Formula!D97,39)),IF(INDEX(Properties!A$1:CB$87,Formula!F97,39)=0,10^6,INDEX(Properties!A$1:CB$87,Formula!F97,39)),IF(INDEX(Properties!A$1:CB$87,Formula!H97,39)=0,10^6,INDEX(Properties!A$1:CB$87,Formula!H97,39)),IF(INDEX(Properties!A$1:CB$87,Formula!J97,39)=0,10^6,INDEX(Properties!A$1:CB$87,Formula!J97,39)))</f>
        <v>0.48</v>
      </c>
      <c r="DQ97" s="45">
        <f t="shared" si="51"/>
        <v>1.6400000000000001</v>
      </c>
      <c r="DR97" s="63">
        <f>((Formula!C97)/(Formula!C97+Formula!E97+Formula!G97+Formula!I97+Formula!K97))*(INDEX(Properties!A$1:CB$87,Formula!B97,40))+((Formula!E97)/(Formula!C97+Formula!E97+Formula!G97+Formula!I97+Formula!K97))*(INDEX(Properties!A$1:CB$87,Formula!D97,40))+((Formula!G97)/(Formula!C97+Formula!E97+Formula!G97+Formula!I97+Formula!K97))*(INDEX(Properties!A$1:CB$87,Formula!F97,40))+((Formula!I97)/(Formula!C97+Formula!E97+Formula!G97+Formula!I97+Formula!K97))*(INDEX(Properties!A$1:CB$87,Formula!H97,40))+((Formula!K97)/(Formula!C97+Formula!E97+Formula!G97+Formula!I97+Formula!K97))*(INDEX(Properties!A$1:CB$87,Formula!J97,40))</f>
        <v>1.0860000000000001</v>
      </c>
      <c r="DS97" s="63">
        <f>Formula!C97*(INDEX(Properties!A$1:CB$87,Formula!B97,40))+Formula!E97*(INDEX(Properties!A$1:CB$87,Formula!D97,40))+Formula!G97*(INDEX(Properties!A$1:CB$87,Formula!F97,40))+Formula!I97*(INDEX(Properties!A$1:CB$87,Formula!H97,40))+Formula!K97*(INDEX(Properties!A$1:CB$87,Formula!J97,40))</f>
        <v>5.43</v>
      </c>
      <c r="DT97" s="63">
        <f>VARP(IF(INDEX(Properties!A$1:CB$87,Formula!B97,40)&lt;&gt;"",INDEX(Properties!A$1:CB$87,Formula!B97,40)),IF(INDEX(Properties!A$1:CB$87,Formula!D97,40)&lt;&gt;"",INDEX(Properties!A$1:CB$87,Formula!D97,40)),IF(INDEX(Properties!A$1:CB$87,Formula!F97,40)&lt;&gt;"",INDEX(Properties!A$1:CB$87,Formula!F97,40)),IF(INDEX(Properties!A$1:CB$87,Formula!H97,40)&lt;&gt;"",INDEX(Properties!A$1:CB$87,Formula!H97,40)),IF(INDEX(Properties!A$1:CB$87,Formula!J97,40)&lt;&gt;"",INDEX(Properties!A$1:CB$87,Formula!J97,40)))</f>
        <v>0.41055999999999998</v>
      </c>
      <c r="DU97" s="63">
        <f>MAX(INDEX(Properties!A$1:CB$87,Formula!B97,40),INDEX(Properties!A$1:CB$87,Formula!D97,40),INDEX(Properties!A$1:CB$87,Formula!F97,40),INDEX(Properties!A$1:CB$87,Formula!H97,40),INDEX(Properties!A$1:CB$87,Formula!J97,40))</f>
        <v>1.62</v>
      </c>
      <c r="DV97" s="63">
        <f>MIN(IF(INDEX(Properties!A$1:CB$87,Formula!B97,40)=0,10^6,INDEX(Properties!A$1:CB$87,Formula!B97,40)),IF(INDEX(Properties!A$1:CB$87,Formula!D97,40)=0,10^6,INDEX(Properties!A$1:CB$87,Formula!D97,40)),IF(INDEX(Properties!A$1:CB$87,Formula!F97,40)=0,10^6,INDEX(Properties!A$1:CB$87,Formula!F97,40)),IF(INDEX(Properties!A$1:CB$87,Formula!H97,40)=0,10^6,INDEX(Properties!A$1:CB$87,Formula!H97,40)),IF(INDEX(Properties!A$1:CB$87,Formula!J97,40)=0,10^6,INDEX(Properties!A$1:CB$87,Formula!J97,40)))</f>
        <v>0.73</v>
      </c>
      <c r="DW97" s="63">
        <f t="shared" si="52"/>
        <v>0.89000000000000012</v>
      </c>
      <c r="DX97" s="75">
        <f>((Formula!C97)/(Formula!C97+Formula!E97+Formula!G97+Formula!I97+Formula!K97))*(INDEX(Properties!A$1:CB$87,Formula!B97,41))+((Formula!E97)/(Formula!C97+Formula!E97+Formula!G97+Formula!I97+Formula!K97))*(INDEX(Properties!A$1:CB$87,Formula!D97,41))+((Formula!G97)/(Formula!C97+Formula!E97+Formula!G97+Formula!I97+Formula!K97))*(INDEX(Properties!A$1:CB$87,Formula!F97,41))+((Formula!I97)/(Formula!C97+Formula!E97+Formula!G97+Formula!I97+Formula!K97))*(INDEX(Properties!A$1:CB$87,Formula!H97,41))+((Formula!K97)/(Formula!C97+Formula!E97+Formula!G97+Formula!I97+Formula!K97))*(INDEX(Properties!A$1:CB$87,Formula!J97,41))</f>
        <v>1.1720000000000002</v>
      </c>
      <c r="DY97" s="75">
        <f>Formula!C97*(INDEX(Properties!A$1:CB$87,Formula!B97,41))+Formula!E97*(INDEX(Properties!A$1:CB$87,Formula!D97,41))+Formula!G97*(INDEX(Properties!A$1:CB$87,Formula!F97,41))+Formula!I97*(INDEX(Properties!A$1:CB$87,Formula!H97,41))+Formula!K97*(INDEX(Properties!A$1:CB$87,Formula!J97,41))</f>
        <v>5.86</v>
      </c>
      <c r="DZ97" s="75">
        <f>VARP(IF(INDEX(Properties!A$1:CB$87,Formula!B97,41)&lt;&gt;"",INDEX(Properties!A$1:CB$87,Formula!B97,41)),IF(INDEX(Properties!A$1:CB$87,Formula!D97,41)&lt;&gt;"",INDEX(Properties!A$1:CB$87,Formula!D97,41)),IF(INDEX(Properties!A$1:CB$87,Formula!F97,41)&lt;&gt;"",INDEX(Properties!A$1:CB$87,Formula!F97,41)),IF(INDEX(Properties!A$1:CB$87,Formula!H97,41)&lt;&gt;"",INDEX(Properties!A$1:CB$87,Formula!H97,41)),IF(INDEX(Properties!A$1:CB$87,Formula!J97,41)&lt;&gt;"",INDEX(Properties!A$1:CB$87,Formula!J97,41)))</f>
        <v>0.32224000000000003</v>
      </c>
      <c r="EA97" s="75">
        <f>MAX(INDEX(Properties!A$1:CB$87,Formula!B97,41),INDEX(Properties!A$1:CB$87,Formula!D97,41),INDEX(Properties!A$1:CB$87,Formula!F97,41),INDEX(Properties!A$1:CB$87,Formula!H97,41),INDEX(Properties!A$1:CB$87,Formula!J97,41))</f>
        <v>1.26</v>
      </c>
      <c r="EB97" s="75">
        <f>MIN(IF(INDEX(Properties!A$1:CB$87,Formula!B97,41)=0,10^6,INDEX(Properties!A$1:CB$87,Formula!B97,41)),IF(INDEX(Properties!A$1:CB$87,Formula!D97,41)=0,10^6,INDEX(Properties!A$1:CB$87,Formula!D97,41)),IF(INDEX(Properties!A$1:CB$87,Formula!F97,41)=0,10^6,INDEX(Properties!A$1:CB$87,Formula!F97,41)),IF(INDEX(Properties!A$1:CB$87,Formula!H97,41)=0,10^6,INDEX(Properties!A$1:CB$87,Formula!H97,41)),IF(INDEX(Properties!A$1:CB$87,Formula!J97,41)=0,10^6,INDEX(Properties!A$1:CB$87,Formula!J97,41)))</f>
        <v>1.04</v>
      </c>
      <c r="EC97" s="75">
        <f t="shared" si="53"/>
        <v>0.21999999999999997</v>
      </c>
      <c r="ED97" s="48">
        <f>((Formula!C97)/(Formula!C97+Formula!E97+Formula!G97+Formula!I97+Formula!K97))*(INDEX(Properties!A$1:CB$87,Formula!B97,45))+((Formula!E97)/(Formula!C97+Formula!E97+Formula!G97+Formula!I97+Formula!K97))*(INDEX(Properties!A$1:CB$87,Formula!D97,45))+((Formula!G97)/(Formula!C97+Formula!E97+Formula!G97+Formula!I97+Formula!K97))*(INDEX(Properties!A$1:CB$87,Formula!F97,45))+((Formula!I97)/(Formula!C97+Formula!E97+Formula!G97+Formula!I97+Formula!K97))*(INDEX(Properties!A$1:CB$87,Formula!H97,45))+((Formula!K97)/(Formula!C97+Formula!E97+Formula!G97+Formula!I97+Formula!K97))*(INDEX(Properties!A$1:CB$87,Formula!J97,45))</f>
        <v>1.458</v>
      </c>
      <c r="EE97" s="48">
        <f>Formula!C97*(INDEX(Properties!A$1:CB$87,Formula!B97,45))+Formula!E97*(INDEX(Properties!A$1:CB$87,Formula!D97,45))+Formula!G97*(INDEX(Properties!A$1:CB$87,Formula!F97,45))+Formula!I97*(INDEX(Properties!A$1:CB$87,Formula!H97,45))+Formula!K97*(INDEX(Properties!A$1:CB$87,Formula!J97,45))</f>
        <v>7.29</v>
      </c>
      <c r="EF97" s="48">
        <f>VARP(IF(INDEX(Properties!A$1:CB$87,Formula!B97,45)&lt;&gt;"",INDEX(Properties!A$1:CB$87,Formula!B97,45)),IF(INDEX(Properties!A$1:CB$87,Formula!D97,45)&lt;&gt;"",INDEX(Properties!A$1:CB$87,Formula!D97,45)),IF(INDEX(Properties!A$1:CB$87,Formula!F97,45)&lt;&gt;"",INDEX(Properties!A$1:CB$87,Formula!F97,45)),IF(INDEX(Properties!A$1:CB$87,Formula!H97,45)&lt;&gt;"",INDEX(Properties!A$1:CB$87,Formula!H97,45)),IF(INDEX(Properties!A$1:CB$87,Formula!J97,45)&lt;&gt;"",INDEX(Properties!A$1:CB$87,Formula!J97,45)))</f>
        <v>1.3077759999999998</v>
      </c>
      <c r="EG97" s="48">
        <f>MAX(INDEX(Properties!A$1:CB$87,Formula!B97,45),INDEX(Properties!A$1:CB$87,Formula!D97,45),INDEX(Properties!A$1:CB$87,Formula!F97,45),INDEX(Properties!A$1:CB$87,Formula!H97,45),INDEX(Properties!A$1:CB$87,Formula!J97,45))</f>
        <v>2.94</v>
      </c>
      <c r="EH97" s="48">
        <f>MIN(IF(INDEX(Properties!A$1:CB$87,Formula!B97,45)=0,10^6,INDEX(Properties!A$1:CB$87,Formula!B97,45)),IF(INDEX(Properties!A$1:CB$87,Formula!D97,45)=0,10^6,INDEX(Properties!A$1:CB$87,Formula!D97,45)),IF(INDEX(Properties!A$1:CB$87,Formula!F97,45)=0,10^6,INDEX(Properties!A$1:CB$87,Formula!F97,45)),IF(INDEX(Properties!A$1:CB$87,Formula!H97,45)=0,10^6,INDEX(Properties!A$1:CB$87,Formula!H97,45)),IF(INDEX(Properties!A$1:CB$87,Formula!J97,45)=0,10^6,INDEX(Properties!A$1:CB$87,Formula!J97,45)))</f>
        <v>0.47</v>
      </c>
      <c r="EI97" s="48">
        <f t="shared" si="54"/>
        <v>2.4699999999999998</v>
      </c>
      <c r="EJ97" s="66">
        <f>((Formula!C97)/(Formula!C97+Formula!E97+Formula!G97+Formula!I97+Formula!K97))*(INDEX(Properties!A$1:CB$87,Formula!B97,46))+((Formula!E97)/(Formula!C97+Formula!E97+Formula!G97+Formula!I97+Formula!K97))*(INDEX(Properties!A$1:CB$87,Formula!D97,46))+((Formula!G97)/(Formula!C97+Formula!E97+Formula!G97+Formula!I97+Formula!K97))*(INDEX(Properties!A$1:CB$87,Formula!F97,46))+((Formula!I97)/(Formula!C97+Formula!E97+Formula!G97+Formula!I97+Formula!K97))*(INDEX(Properties!A$1:CB$87,Formula!H97,46))+((Formula!K97)/(Formula!C97+Formula!E97+Formula!G97+Formula!I97+Formula!K97))*(INDEX(Properties!A$1:CB$87,Formula!J97,46))</f>
        <v>1.1419999999999999</v>
      </c>
      <c r="EK97" s="66">
        <f>Formula!C97*(INDEX(Properties!A$1:CB$87,Formula!B97,46))+Formula!E97*(INDEX(Properties!A$1:CB$87,Formula!D97,46))+Formula!G97*(INDEX(Properties!A$1:CB$87,Formula!F97,46))+Formula!I97*(INDEX(Properties!A$1:CB$87,Formula!H97,46))+Formula!K97*(INDEX(Properties!A$1:CB$87,Formula!J97,46))</f>
        <v>5.71</v>
      </c>
      <c r="EL97" s="66">
        <f>VARP(IF(INDEX(Properties!A$1:CB$87,Formula!B97,46)&lt;&gt;"",INDEX(Properties!A$1:CB$87,Formula!B97,46)),IF(INDEX(Properties!A$1:CB$87,Formula!D97,46)&lt;&gt;"",INDEX(Properties!A$1:CB$87,Formula!D97,46)),IF(INDEX(Properties!A$1:CB$87,Formula!F97,46)&lt;&gt;"",INDEX(Properties!A$1:CB$87,Formula!F97,46)),IF(INDEX(Properties!A$1:CB$87,Formula!H97,46)&lt;&gt;"",INDEX(Properties!A$1:CB$87,Formula!H97,46)),IF(INDEX(Properties!A$1:CB$87,Formula!J97,46)&lt;&gt;"",INDEX(Properties!A$1:CB$87,Formula!J97,46)))</f>
        <v>0.30664000000000002</v>
      </c>
      <c r="EM97" s="66">
        <f>MAX(INDEX(Properties!A$1:CB$87,Formula!B97,46),INDEX(Properties!A$1:CB$87,Formula!D97,46),INDEX(Properties!A$1:CB$87,Formula!F97,46),INDEX(Properties!A$1:CB$87,Formula!H97,46),INDEX(Properties!A$1:CB$87,Formula!J97,46))</f>
        <v>1.21</v>
      </c>
      <c r="EN97" s="66">
        <f>MIN(IF(INDEX(Properties!A$1:CB$87,Formula!B97,46)=0,10^6,INDEX(Properties!A$1:CB$87,Formula!B97,46)),IF(INDEX(Properties!A$1:CB$87,Formula!D97,46)=0,10^6,INDEX(Properties!A$1:CB$87,Formula!D97,46)),IF(INDEX(Properties!A$1:CB$87,Formula!F97,46)=0,10^6,INDEX(Properties!A$1:CB$87,Formula!F97,46)),IF(INDEX(Properties!A$1:CB$87,Formula!H97,46)=0,10^6,INDEX(Properties!A$1:CB$87,Formula!H97,46)),IF(INDEX(Properties!A$1:CB$87,Formula!J97,46)=0,10^6,INDEX(Properties!A$1:CB$87,Formula!J97,46)))</f>
        <v>1.04</v>
      </c>
      <c r="EO97" s="66">
        <f t="shared" si="55"/>
        <v>0.16999999999999993</v>
      </c>
      <c r="EP97" s="81">
        <f>((Formula!C97)/(Formula!C97+Formula!E97+Formula!G97+Formula!I97+Formula!K97))*(INDEX(Properties!A$1:CB$87,Formula!B97,52))+((Formula!E97)/(Formula!C97+Formula!E97+Formula!G97+Formula!I97+Formula!K97))*(INDEX(Properties!A$1:CB$87,Formula!D97,52))+((Formula!G97)/(Formula!C97+Formula!E97+Formula!G97+Formula!I97+Formula!K97))*(INDEX(Properties!A$1:CB$87,Formula!F97,52))+((Formula!I97)/(Formula!C97+Formula!E97+Formula!G97+Formula!I97+Formula!K97))*(INDEX(Properties!A$1:CB$87,Formula!H97,52))+((Formula!K97)/(Formula!C97+Formula!E97+Formula!G97+Formula!I97+Formula!K97))*(INDEX(Properties!A$1:CB$87,Formula!J97,52))</f>
        <v>9.5557999999999996</v>
      </c>
      <c r="EQ97" s="81">
        <f>Formula!C97*(INDEX(Properties!A$1:CB$87,Formula!B97,52))+Formula!E97*(INDEX(Properties!A$1:CB$87,Formula!D97,52))+Formula!G97*(INDEX(Properties!A$1:CB$87,Formula!F97,52))+Formula!I97*(INDEX(Properties!A$1:CB$87,Formula!H97,52))+Formula!K97*(INDEX(Properties!A$1:CB$87,Formula!J97,52))</f>
        <v>47.778999999999996</v>
      </c>
      <c r="ER97" s="81">
        <f>VARP(IF(INDEX(Properties!A$1:CB$87,Formula!B97,52)&lt;&gt;"",INDEX(Properties!A$1:CB$87,Formula!B97,52)),IF(INDEX(Properties!A$1:CB$87,Formula!D97,52)&lt;&gt;"",INDEX(Properties!A$1:CB$87,Formula!D97,52)),IF(INDEX(Properties!A$1:CB$87,Formula!F97,52)&lt;&gt;"",INDEX(Properties!A$1:CB$87,Formula!F97,52)),IF(INDEX(Properties!A$1:CB$87,Formula!H97,52)&lt;&gt;"",INDEX(Properties!A$1:CB$87,Formula!H97,52)),IF(INDEX(Properties!A$1:CB$87,Formula!J97,52)&lt;&gt;"",INDEX(Properties!A$1:CB$87,Formula!J97,52)))</f>
        <v>81.106927839999969</v>
      </c>
      <c r="ES97" s="81">
        <f>MAX(INDEX(Properties!A$1:CB$87,Formula!B97,52),INDEX(Properties!A$1:CB$87,Formula!D97,52),INDEX(Properties!A$1:CB$87,Formula!F97,52),INDEX(Properties!A$1:CB$87,Formula!H97,52),INDEX(Properties!A$1:CB$87,Formula!J97,52))</f>
        <v>22.7</v>
      </c>
      <c r="ET97" s="81">
        <f>MIN(IF(INDEX(Properties!A$1:CB$87,Formula!B97,52)=0,10^6,INDEX(Properties!A$1:CB$87,Formula!B97,52)),IF(INDEX(Properties!A$1:CB$87,Formula!D97,52)=0,10^6,INDEX(Properties!A$1:CB$87,Formula!D97,52)),IF(INDEX(Properties!A$1:CB$87,Formula!F97,52)=0,10^6,INDEX(Properties!A$1:CB$87,Formula!F97,52)),IF(INDEX(Properties!A$1:CB$87,Formula!H97,52)=0,10^6,INDEX(Properties!A$1:CB$87,Formula!H97,52)),IF(INDEX(Properties!A$1:CB$87,Formula!J97,52)=0,10^6,INDEX(Properties!A$1:CB$87,Formula!J97,52)))</f>
        <v>0.79300000000000004</v>
      </c>
      <c r="EU97" s="81">
        <f t="shared" si="56"/>
        <v>21.907</v>
      </c>
      <c r="EV97" s="39">
        <f>((Formula!C97)/(Formula!C97+Formula!E97+Formula!G97+Formula!I97+Formula!K97))*(INDEX(Properties!A$1:CB$87,Formula!B97,53))+((Formula!E97)/(Formula!C97+Formula!E97+Formula!G97+Formula!I97+Formula!K97))*(INDEX(Properties!A$1:CB$87,Formula!D97,53))+((Formula!G97)/(Formula!C97+Formula!E97+Formula!G97+Formula!I97+Formula!K97))*(INDEX(Properties!A$1:CB$87,Formula!F97,53))+((Formula!I97)/(Formula!C97+Formula!E97+Formula!G97+Formula!I97+Formula!K97))*(INDEX(Properties!A$1:CB$87,Formula!H97,53))+((Formula!K97)/(Formula!C97+Formula!E97+Formula!G97+Formula!I97+Formula!K97))*(INDEX(Properties!A$1:CB$87,Formula!J97,53))</f>
        <v>751.31000000000006</v>
      </c>
      <c r="EW97" s="39">
        <f>Formula!C97*(INDEX(Properties!A$1:CB$87,Formula!B97,53))+Formula!E97*(INDEX(Properties!A$1:CB$87,Formula!D97,53))+Formula!G97*(INDEX(Properties!A$1:CB$87,Formula!F97,53))+Formula!I97*(INDEX(Properties!A$1:CB$87,Formula!H97,53))+Formula!K97*(INDEX(Properties!A$1:CB$87,Formula!J97,53))</f>
        <v>3756.55</v>
      </c>
      <c r="EX97" s="39">
        <f>VARP(IF(INDEX(Properties!A$1:CB$87,Formula!B97,53)&lt;&gt;"",INDEX(Properties!A$1:CB$87,Formula!B97,53)),IF(INDEX(Properties!A$1:CB$87,Formula!D97,53)&lt;&gt;"",INDEX(Properties!A$1:CB$87,Formula!D97,53)),IF(INDEX(Properties!A$1:CB$87,Formula!F97,53)&lt;&gt;"",INDEX(Properties!A$1:CB$87,Formula!F97,53)),IF(INDEX(Properties!A$1:CB$87,Formula!H97,53)&lt;&gt;"",INDEX(Properties!A$1:CB$87,Formula!H97,53)),IF(INDEX(Properties!A$1:CB$87,Formula!J97,53)&lt;&gt;"",INDEX(Properties!A$1:CB$87,Formula!J97,53)))</f>
        <v>508797.24460000003</v>
      </c>
      <c r="EY97" s="39">
        <f>MAX(INDEX(Properties!A$1:CB$87,Formula!B97,53),INDEX(Properties!A$1:CB$87,Formula!D97,53),INDEX(Properties!A$1:CB$87,Formula!F97,53),INDEX(Properties!A$1:CB$87,Formula!H97,53),INDEX(Properties!A$1:CB$87,Formula!J97,53))</f>
        <v>1796.15</v>
      </c>
      <c r="EZ97" s="39">
        <f>MIN(IF(INDEX(Properties!A$1:CB$87,Formula!B97,53)=0,10^6,INDEX(Properties!A$1:CB$87,Formula!B97,53)),IF(INDEX(Properties!A$1:CB$87,Formula!D97,53)=0,10^6,INDEX(Properties!A$1:CB$87,Formula!D97,53)),IF(INDEX(Properties!A$1:CB$87,Formula!F97,53)=0,10^6,INDEX(Properties!A$1:CB$87,Formula!F97,53)),IF(INDEX(Properties!A$1:CB$87,Formula!H97,53)=0,10^6,INDEX(Properties!A$1:CB$87,Formula!H97,53)),IF(INDEX(Properties!A$1:CB$87,Formula!J97,53)=0,10^6,INDEX(Properties!A$1:CB$87,Formula!J97,53)))</f>
        <v>54.749999999999972</v>
      </c>
      <c r="FA97" s="39">
        <f t="shared" si="57"/>
        <v>1741.4</v>
      </c>
      <c r="FB97" s="54">
        <f>((Formula!C97)/(Formula!C97+Formula!E97+Formula!G97+Formula!I97+Formula!K97))*(INDEX(Properties!A$1:CB$87,Formula!B97,54))+((Formula!E97)/(Formula!C97+Formula!E97+Formula!G97+Formula!I97+Formula!K97))*(INDEX(Properties!A$1:CB$87,Formula!D97,54))+((Formula!G97)/(Formula!C97+Formula!E97+Formula!G97+Formula!I97+Formula!K97))*(INDEX(Properties!A$1:CB$87,Formula!F97,54))+((Formula!I97)/(Formula!C97+Formula!E97+Formula!G97+Formula!I97+Formula!K97))*(INDEX(Properties!A$1:CB$87,Formula!H97,54))+((Formula!K97)/(Formula!C97+Formula!E97+Formula!G97+Formula!I97+Formula!K97))*(INDEX(Properties!A$1:CB$87,Formula!J97,54))</f>
        <v>1498.15</v>
      </c>
      <c r="FC97" s="54">
        <f>Formula!C97*(INDEX(Properties!A$1:CB$87,Formula!B97,54))+Formula!E97*(INDEX(Properties!A$1:CB$87,Formula!D97,54))+Formula!G97*(INDEX(Properties!A$1:CB$87,Formula!F97,54))+Formula!I97*(INDEX(Properties!A$1:CB$87,Formula!H97,54))+Formula!K97*(INDEX(Properties!A$1:CB$87,Formula!J97,54))</f>
        <v>7490.75</v>
      </c>
      <c r="FD97" s="54">
        <f>VARP(IF(INDEX(Properties!A$1:CB$87,Formula!B97,54)&lt;&gt;"",INDEX(Properties!A$1:CB$87,Formula!B97,54)),IF(INDEX(Properties!A$1:CB$87,Formula!D97,54)&lt;&gt;"",INDEX(Properties!A$1:CB$87,Formula!D97,54)),IF(INDEX(Properties!A$1:CB$87,Formula!F97,54)&lt;&gt;"",INDEX(Properties!A$1:CB$87,Formula!F97,54)),IF(INDEX(Properties!A$1:CB$87,Formula!H97,54)&lt;&gt;"",INDEX(Properties!A$1:CB$87,Formula!H97,54)),IF(INDEX(Properties!A$1:CB$87,Formula!J97,54)&lt;&gt;"",INDEX(Properties!A$1:CB$87,Formula!J97,54)))</f>
        <v>2060573.2054000003</v>
      </c>
      <c r="FE97" s="54">
        <f>MAX(INDEX(Properties!A$1:CB$87,Formula!B97,54),INDEX(Properties!A$1:CB$87,Formula!D97,54),INDEX(Properties!A$1:CB$87,Formula!F97,54),INDEX(Properties!A$1:CB$87,Formula!H97,54),INDEX(Properties!A$1:CB$87,Formula!J97,54))</f>
        <v>3610.15</v>
      </c>
      <c r="FF97" s="54">
        <f>MIN(IF(INDEX(Properties!A$1:CB$87,Formula!B97,54)=0,10^6,INDEX(Properties!A$1:CB$87,Formula!B97,54)),IF(INDEX(Properties!A$1:CB$87,Formula!D97,54)=0,10^6,INDEX(Properties!A$1:CB$87,Formula!D97,54)),IF(INDEX(Properties!A$1:CB$87,Formula!F97,54)=0,10^6,INDEX(Properties!A$1:CB$87,Formula!F97,54)),IF(INDEX(Properties!A$1:CB$87,Formula!H97,54)=0,10^6,INDEX(Properties!A$1:CB$87,Formula!H97,54)),IF(INDEX(Properties!A$1:CB$87,Formula!J97,54)=0,10^6,INDEX(Properties!A$1:CB$87,Formula!J97,54)))</f>
        <v>90.149999999999977</v>
      </c>
      <c r="FG97" s="54">
        <f t="shared" si="58"/>
        <v>3520</v>
      </c>
      <c r="FH97" s="69">
        <f>((Formula!C97)/(Formula!C97+Formula!E97+Formula!G97+Formula!I97+Formula!K97))*(INDEX(Properties!A$1:CB$87,Formula!B97,55))+((Formula!E97)/(Formula!C97+Formula!E97+Formula!G97+Formula!I97+Formula!K97))*(INDEX(Properties!A$1:CB$87,Formula!D97,55))+((Formula!G97)/(Formula!C97+Formula!E97+Formula!G97+Formula!I97+Formula!K97))*(INDEX(Properties!A$1:CB$87,Formula!F97,55))+((Formula!I97)/(Formula!C97+Formula!E97+Formula!G97+Formula!I97+Formula!K97))*(INDEX(Properties!A$1:CB$87,Formula!H97,55))+((Formula!K97)/(Formula!C97+Formula!E97+Formula!G97+Formula!I97+Formula!K97))*(INDEX(Properties!A$1:CB$87,Formula!J97,55))</f>
        <v>1.7888580000000001</v>
      </c>
      <c r="FI97" s="69">
        <f>Formula!C97*(INDEX(Properties!A$1:CB$87,Formula!B97,55))+Formula!E97*(INDEX(Properties!A$1:CB$87,Formula!D97,54))+Formula!G97*(INDEX(Properties!A$1:CB$87,Formula!F97,55))+Formula!I97*(INDEX(Properties!A$1:CB$87,Formula!H97,55))+Formula!K97*(INDEX(Properties!A$1:CB$87,Formula!J97,55))</f>
        <v>279.38999999999993</v>
      </c>
      <c r="FJ97" s="69">
        <f>VARP(IF(INDEX(Properties!A$1:CB$87,Formula!B97,55)&lt;&gt;"",INDEX(Properties!A$1:CB$87,Formula!B97,55)),IF(INDEX(Properties!A$1:CB$87,Formula!D97,55)&lt;&gt;"",INDEX(Properties!A$1:CB$87,Formula!D97,55)),IF(INDEX(Properties!A$1:CB$87,Formula!F97,55)&lt;&gt;"",INDEX(Properties!A$1:CB$87,Formula!F97,55)),IF(INDEX(Properties!A$1:CB$87,Formula!H97,55)&lt;&gt;"",INDEX(Properties!A$1:CB$87,Formula!H97,55)),IF(INDEX(Properties!A$1:CB$87,Formula!J97,55)&lt;&gt;"",INDEX(Properties!A$1:CB$87,Formula!J97,55)))</f>
        <v>3.1964329591839999</v>
      </c>
      <c r="FK97" s="69">
        <f>MAX(INDEX(Properties!A$1:CB$87,Formula!B97,55),INDEX(Properties!A$1:CB$87,Formula!D97,55),INDEX(Properties!A$1:CB$87,Formula!F97,55),INDEX(Properties!A$1:CB$87,Formula!H97,55),INDEX(Properties!A$1:CB$87,Formula!J97,55))</f>
        <v>4.47</v>
      </c>
      <c r="FL97" s="69">
        <f>MIN(IF(INDEX(Properties!A$1:CB$87,Formula!B97,55)=0,10^6,INDEX(Properties!A$1:CB$87,Formula!B97,55)),IF(INDEX(Properties!A$1:CB$87,Formula!D97,55)=0,10^6,INDEX(Properties!A$1:CB$87,Formula!D97,55)),IF(INDEX(Properties!A$1:CB$87,Formula!F97,55)=0,10^6,INDEX(Properties!A$1:CB$87,Formula!F97,55)),IF(INDEX(Properties!A$1:CB$87,Formula!H97,55)=0,10^6,INDEX(Properties!A$1:CB$87,Formula!H97,55)),IF(INDEX(Properties!A$1:CB$87,Formula!J97,55)=0,10^6,INDEX(Properties!A$1:CB$87,Formula!J97,55)))</f>
        <v>1.4300000000000001E-3</v>
      </c>
      <c r="FM97" s="69">
        <f t="shared" si="59"/>
        <v>4.4685699999999997</v>
      </c>
      <c r="FN97" s="42">
        <f>((Formula!C97)/(Formula!C97+Formula!E97+Formula!G97+Formula!I97+Formula!K97))*(INDEX(Properties!A$1:CB$87,Formula!B97,56))+((Formula!E97)/(Formula!C97+Formula!E97+Formula!G97+Formula!I97+Formula!K97))*(INDEX(Properties!A$1:CB$87,Formula!D97,56))+((Formula!G97)/(Formula!C97+Formula!E97+Formula!G97+Formula!I97+Formula!K97))*(INDEX(Properties!A$1:CB$87,Formula!F97,56))+((Formula!I97)/(Formula!C97+Formula!E97+Formula!G97+Formula!I97+Formula!K97))*(INDEX(Properties!A$1:CB$87,Formula!H97,56))+((Formula!K97)/(Formula!C97+Formula!E97+Formula!G97+Formula!I97+Formula!K97))*(INDEX(Properties!A$1:CB$87,Formula!J97,56))</f>
        <v>0.67200000000000004</v>
      </c>
      <c r="FO97" s="42">
        <f>Formula!C97*(INDEX(Properties!A$1:CB$87,Formula!B97,56))+Formula!E97*(INDEX(Properties!A$1:CB$87,Formula!D97,56))+Formula!G97*(INDEX(Properties!A$1:CB$87,Formula!F97,56))+Formula!I97*(INDEX(Properties!A$1:CB$87,Formula!H97,56))+Formula!K97*(INDEX(Properties!A$1:CB$87,Formula!J97,56))</f>
        <v>3.3600000000000003</v>
      </c>
      <c r="FP97" s="42">
        <f>VARP(IF(INDEX(Properties!A$1:CB$87,Formula!B97,56)&lt;&gt;"",INDEX(Properties!A$1:CB$87,Formula!B97,56)),IF(INDEX(Properties!A$1:CB$87,Formula!D97,56)&lt;&gt;"",INDEX(Properties!A$1:CB$87,Formula!D97,56)),IF(INDEX(Properties!A$1:CB$87,Formula!F97,56)&lt;&gt;"",INDEX(Properties!A$1:CB$87,Formula!F97,56)),IF(INDEX(Properties!A$1:CB$87,Formula!H97,56)&lt;&gt;"",INDEX(Properties!A$1:CB$87,Formula!H97,56)),IF(INDEX(Properties!A$1:CB$87,Formula!J97,56)&lt;&gt;"",INDEX(Properties!A$1:CB$87,Formula!J97,56)))</f>
        <v>0.12774400000000002</v>
      </c>
      <c r="FQ97" s="42">
        <f>MAX(INDEX(Properties!A$1:CB$87,Formula!B97,56),INDEX(Properties!A$1:CB$87,Formula!D97,56),INDEX(Properties!A$1:CB$87,Formula!F97,56),INDEX(Properties!A$1:CB$87,Formula!H97,56),INDEX(Properties!A$1:CB$87,Formula!J97,56))</f>
        <v>0.92</v>
      </c>
      <c r="FR97" s="42">
        <f>MIN(IF(INDEX(Properties!A$1:CB$87,Formula!B97,56)=0,10^6,INDEX(Properties!A$1:CB$87,Formula!B97,56)),IF(INDEX(Properties!A$1:CB$87,Formula!D97,56)=0,10^6,INDEX(Properties!A$1:CB$87,Formula!D97,56)),IF(INDEX(Properties!A$1:CB$87,Formula!F97,56)=0,10^6,INDEX(Properties!A$1:CB$87,Formula!F97,56)),IF(INDEX(Properties!A$1:CB$87,Formula!H97,56)=0,10^6,INDEX(Properties!A$1:CB$87,Formula!H97,56)),IF(INDEX(Properties!A$1:CB$87,Formula!J97,56)=0,10^6,INDEX(Properties!A$1:CB$87,Formula!J97,56)))</f>
        <v>0.3</v>
      </c>
      <c r="FS97" s="42">
        <f t="shared" si="60"/>
        <v>0.62000000000000011</v>
      </c>
      <c r="FT97" s="60">
        <f>((Formula!C97)/(Formula!C97+Formula!E97+Formula!G97+Formula!I97+Formula!K97))*(INDEX(Properties!A$1:CB$87,Formula!B97,57))+((Formula!E97)/(Formula!C97+Formula!E97+Formula!G97+Formula!I97+Formula!K97))*(INDEX(Properties!A$1:CB$87,Formula!D97,57))+((Formula!G97)/(Formula!C97+Formula!E97+Formula!G97+Formula!I97+Formula!K97))*(INDEX(Properties!A$1:CB$87,Formula!F97,57))+((Formula!I97)/(Formula!C97+Formula!E97+Formula!G97+Formula!I97+Formula!K97))*(INDEX(Properties!A$1:CB$87,Formula!H97,57))+((Formula!K97)/(Formula!C97+Formula!E97+Formula!G97+Formula!I97+Formula!K97))*(INDEX(Properties!A$1:CB$87,Formula!J97,57))</f>
        <v>4.6935540000000007</v>
      </c>
      <c r="FU97" s="60">
        <f>Formula!C97*(INDEX(Properties!A$1:CB$87,Formula!B97,57))+Formula!E97*(INDEX(Properties!A$1:CB$87,Formula!D97,57))+Formula!G97*(INDEX(Properties!A$1:CB$87,Formula!F97,57))+Formula!I97*(INDEX(Properties!A$1:CB$87,Formula!H97,57))+Formula!K97*(INDEX(Properties!A$1:CB$87,Formula!J97,57))</f>
        <v>23.467770000000002</v>
      </c>
      <c r="FV97" s="60">
        <f>VARP(IF(INDEX(Properties!A$1:CB$87,Formula!B97,57)&lt;&gt;"",INDEX(Properties!A$1:CB$87,Formula!B97,57)),IF(INDEX(Properties!A$1:CB$87,Formula!D97,57)&lt;&gt;"",INDEX(Properties!A$1:CB$87,Formula!D97,57)),IF(INDEX(Properties!A$1:CB$87,Formula!F97,57)&lt;&gt;"",INDEX(Properties!A$1:CB$87,Formula!F97,57)),IF(INDEX(Properties!A$1:CB$87,Formula!H97,57)&lt;&gt;"",INDEX(Properties!A$1:CB$87,Formula!H97,57)),IF(INDEX(Properties!A$1:CB$87,Formula!J97,57)&lt;&gt;"",INDEX(Properties!A$1:CB$87,Formula!J97,57)))</f>
        <v>20.598525329295999</v>
      </c>
      <c r="FW97" s="60">
        <f>MAX(INDEX(Properties!A$1:CB$87,Formula!B97,57),INDEX(Properties!A$1:CB$87,Formula!D97,57),INDEX(Properties!A$1:CB$87,Formula!F97,57),INDEX(Properties!A$1:CB$87,Formula!H97,57),INDEX(Properties!A$1:CB$87,Formula!J97,57))</f>
        <v>11.4</v>
      </c>
      <c r="FX97" s="60">
        <f>MIN(IF(INDEX(Properties!A$1:CB$87,Formula!B97,57)=0,10^6,INDEX(Properties!A$1:CB$87,Formula!B97,57)),IF(INDEX(Properties!A$1:CB$87,Formula!D97,57)=0,10^6,INDEX(Properties!A$1:CB$87,Formula!D97,57)),IF(INDEX(Properties!A$1:CB$87,Formula!F97,57)=0,10^6,INDEX(Properties!A$1:CB$87,Formula!F97,57)),IF(INDEX(Properties!A$1:CB$87,Formula!H97,57)=0,10^6,INDEX(Properties!A$1:CB$87,Formula!H97,57)),IF(INDEX(Properties!A$1:CB$87,Formula!J97,57)=0,10^6,INDEX(Properties!A$1:CB$87,Formula!J97,57)))</f>
        <v>0.22259000000000001</v>
      </c>
      <c r="FY97" s="60">
        <f t="shared" si="61"/>
        <v>11.17741</v>
      </c>
      <c r="FZ97" s="72">
        <f>((Formula!C97)/(Formula!C97+Formula!E97+Formula!G97+Formula!I97+Formula!K97))*(INDEX(Properties!A$1:CB$87,Formula!B97,60))+((Formula!E97)/(Formula!C97+Formula!E97+Formula!G97+Formula!I97+Formula!K97))*(INDEX(Properties!A$1:CB$87,Formula!D97,60))+((Formula!G97)/(Formula!C97+Formula!E97+Formula!G97+Formula!I97+Formula!K97))*(INDEX(Properties!A$1:CB$87,Formula!F97,60))+((Formula!I97)/(Formula!C97+Formula!E97+Formula!G97+Formula!I97+Formula!K97))*(INDEX(Properties!A$1:CB$87,Formula!H97,60))+((Formula!K97)/(Formula!C97+Formula!E97+Formula!G97+Formula!I97+Formula!K97))*(INDEX(Properties!A$1:CB$87,Formula!J97,60))</f>
        <v>6.8960439999999998</v>
      </c>
      <c r="GA97" s="72">
        <f>Formula!C97*(INDEX(Properties!A$1:CB$87,Formula!B97,60))+Formula!E97*(INDEX(Properties!A$1:CB$87,Formula!D97,60))+Formula!G97*(INDEX(Properties!A$1:CB$87,Formula!F97,60))+Formula!I97*(INDEX(Properties!A$1:CB$87,Formula!H97,60))+Formula!K97*(INDEX(Properties!A$1:CB$87,Formula!J97,60))</f>
        <v>34.480219999999996</v>
      </c>
      <c r="GB97" s="72">
        <f>VARP(IF(INDEX(Properties!A$1:CB$87,Formula!B97,60)&lt;&gt;"",INDEX(Properties!A$1:CB$87,Formula!B97,60)),IF(INDEX(Properties!A$1:CB$87,Formula!D97,60)&lt;&gt;"",INDEX(Properties!A$1:CB$87,Formula!D97,60)),IF(INDEX(Properties!A$1:CB$87,Formula!F97,60)&lt;&gt;"",INDEX(Properties!A$1:CB$87,Formula!F97,60)),IF(INDEX(Properties!A$1:CB$87,Formula!H97,60)&lt;&gt;"",INDEX(Properties!A$1:CB$87,Formula!H97,60)),IF(INDEX(Properties!A$1:CB$87,Formula!J97,60)&lt;&gt;"",INDEX(Properties!A$1:CB$87,Formula!J97,60)))</f>
        <v>47.297720164415999</v>
      </c>
      <c r="GC97" s="72">
        <f>MAX(INDEX(Properties!A$1:CB$87,Formula!B97,60),INDEX(Properties!A$1:CB$87,Formula!D97,60),INDEX(Properties!A$1:CB$87,Formula!F97,60),INDEX(Properties!A$1:CB$87,Formula!H97,60),INDEX(Properties!A$1:CB$87,Formula!J97,60))</f>
        <v>17.2</v>
      </c>
      <c r="GD97" s="72">
        <f>MIN(IF(INDEX(Properties!A$1:CB$87,Formula!B97,60)=0,10^6,INDEX(Properties!A$1:CB$87,Formula!B97,60)),IF(INDEX(Properties!A$1:CB$87,Formula!D97,60)=0,10^6,INDEX(Properties!A$1:CB$87,Formula!D97,60)),IF(INDEX(Properties!A$1:CB$87,Formula!F97,60)=0,10^6,INDEX(Properties!A$1:CB$87,Formula!F97,60)),IF(INDEX(Properties!A$1:CB$87,Formula!H97,60)=0,10^6,INDEX(Properties!A$1:CB$87,Formula!H97,60)),IF(INDEX(Properties!A$1:CB$87,Formula!J97,60)=0,10^6,INDEX(Properties!A$1:CB$87,Formula!J97,60)))</f>
        <v>2.674E-2</v>
      </c>
      <c r="GE97" s="72">
        <f t="shared" si="62"/>
        <v>17.173259999999999</v>
      </c>
      <c r="GF97" s="51">
        <f>((Formula!C97)/(Formula!C97+Formula!E97+Formula!G97+Formula!I97+Formula!K97))*(INDEX(Properties!A$1:CB$87,Formula!B97,62))+((Formula!E97)/(Formula!C97+Formula!E97+Formula!G97+Formula!I97+Formula!K97))*(INDEX(Properties!A$1:CB$87,Formula!D97,62))+((Formula!G97)/(Formula!C97+Formula!E97+Formula!G97+Formula!I97+Formula!K97))*(INDEX(Properties!A$1:CB$87,Formula!F97,62))+((Formula!I97)/(Formula!C97+Formula!E97+Formula!G97+Formula!I97+Formula!K97))*(INDEX(Properties!A$1:CB$87,Formula!H97,62))+((Formula!K97)/(Formula!C97+Formula!E97+Formula!G97+Formula!I97+Formula!K97))*(INDEX(Properties!A$1:CB$87,Formula!J97,62))</f>
        <v>3.3200000000000003</v>
      </c>
      <c r="GG97" s="51">
        <f>Formula!C97*(INDEX(Properties!A$1:CB$87,Formula!B97,62))+Formula!E97*(INDEX(Properties!A$1:CB$87,Formula!D97,62))+Formula!G97*(INDEX(Properties!A$1:CB$87,Formula!F97,62))+Formula!I97*(INDEX(Properties!A$1:CB$87,Formula!H97,62))+Formula!K97*(INDEX(Properties!A$1:CB$87,Formula!J97,62))</f>
        <v>16.600000000000001</v>
      </c>
      <c r="GH97" s="51">
        <f>VARP(IF(INDEX(Properties!A$1:CB$87,Formula!B97,62)&lt;&gt;"",INDEX(Properties!A$1:CB$87,Formula!B97,62)),IF(INDEX(Properties!A$1:CB$87,Formula!D97,62)&lt;&gt;"",INDEX(Properties!A$1:CB$87,Formula!D97,62)),IF(INDEX(Properties!A$1:CB$87,Formula!F97,62)&lt;&gt;"",INDEX(Properties!A$1:CB$87,Formula!F97,62)),IF(INDEX(Properties!A$1:CB$87,Formula!H97,62)&lt;&gt;"",INDEX(Properties!A$1:CB$87,Formula!H97,62)),IF(INDEX(Properties!A$1:CB$87,Formula!J97,62)&lt;&gt;"",INDEX(Properties!A$1:CB$87,Formula!J97,62)))</f>
        <v>3.2378559999999998</v>
      </c>
      <c r="GI97" s="51">
        <f>MAX(INDEX(Properties!A$1:CB$87,Formula!B97,62),INDEX(Properties!A$1:CB$87,Formula!D97,62),INDEX(Properties!A$1:CB$87,Formula!F97,62),INDEX(Properties!A$1:CB$87,Formula!H97,62),INDEX(Properties!A$1:CB$87,Formula!J97,62))</f>
        <v>4.37</v>
      </c>
      <c r="GJ97" s="51">
        <f>MIN(IF(INDEX(Properties!A$1:CB$87,Formula!B97,62)=0,10^6,INDEX(Properties!A$1:CB$87,Formula!B97,62)),IF(INDEX(Properties!A$1:CB$87,Formula!D97,62)=0,10^6,INDEX(Properties!A$1:CB$87,Formula!D97,62)),IF(INDEX(Properties!A$1:CB$87,Formula!F97,62)=0,10^6,INDEX(Properties!A$1:CB$87,Formula!F97,62)),IF(INDEX(Properties!A$1:CB$87,Formula!H97,62)=0,10^6,INDEX(Properties!A$1:CB$87,Formula!H97,62)),IF(INDEX(Properties!A$1:CB$87,Formula!J97,62)=0,10^6,INDEX(Properties!A$1:CB$87,Formula!J97,62)))</f>
        <v>2.62</v>
      </c>
      <c r="GK97" s="51">
        <f t="shared" si="63"/>
        <v>1.75</v>
      </c>
      <c r="GL97" s="51">
        <f>Formula!P97</f>
        <v>230</v>
      </c>
      <c r="GM97" s="57">
        <f>Formula!O97</f>
        <v>7</v>
      </c>
      <c r="GN97" s="51">
        <f>Formula!N97</f>
        <v>7.0000000000000007E-2</v>
      </c>
    </row>
    <row r="98" spans="1:196" x14ac:dyDescent="0.3">
      <c r="A98" s="84" t="str">
        <f>Formula!A98</f>
        <v>KBaScSi3O9</v>
      </c>
      <c r="B98" s="89">
        <f>((Formula!C98)/(Formula!C98+Formula!E98+Formula!G98+Formula!I98+Formula!K98))*(INDEX(Properties!A$1:CB$87,Formula!B98,3))+((Formula!E98)/(Formula!C98+Formula!E98+Formula!G98+Formula!I98+Formula!K98))*(INDEX(Properties!A$1:CB$87,Formula!D98,3))+((Formula!G98)/(Formula!C98+Formula!E98+Formula!G98+Formula!I98+Formula!K98))*(INDEX(Properties!A$1:CB$87,Formula!F98,3))+((Formula!I98)/(Formula!C98+Formula!E98+Formula!G98+Formula!I98+Formula!K98))*(INDEX(Properties!A$1:CB$87,Formula!H98,3))+((Formula!K98)/(Formula!C98+Formula!E98+Formula!G98+Formula!I98+Formula!K98))*(INDEX(Properties!A$1:CB$87,Formula!J98,3))</f>
        <v>29.975487333333334</v>
      </c>
      <c r="C98" s="85">
        <f>Formula!C98*(INDEX(Properties!A$1:CB$87,Formula!B98,3))+Formula!E98*(INDEX(Properties!A$1:CB$87,Formula!D98,3))+Formula!G98*(INDEX(Properties!A$1:CB$87,Formula!F98,3))+Formula!I98*(INDEX(Properties!A$1:CB$87,Formula!H98,3))+Formula!K98*(INDEX(Properties!A$1:CB$87,Formula!J98,3))</f>
        <v>449.63231000000002</v>
      </c>
      <c r="D98" s="85">
        <f>VARP(IF(INDEX(Properties!A$1:CB$87,Formula!B98,3)&lt;&gt;"",INDEX(Properties!A$1:CB$87,Formula!B98,3)),IF(INDEX(Properties!A$1:CB$87,Formula!D98,3)&lt;&gt;"",INDEX(Properties!A$1:CB$87,Formula!D98,3)),IF(INDEX(Properties!A$1:CB$87,Formula!F98,3)&lt;&gt;"",INDEX(Properties!A$1:CB$87,Formula!F98,3)),IF(INDEX(Properties!A$1:CB$87,Formula!H98,3)&lt;&gt;"",INDEX(Properties!A$1:CB$87,Formula!H98,3)),IF(INDEX(Properties!A$1:CB$87,Formula!J98,3)&lt;&gt;"",INDEX(Properties!A$1:CB$87,Formula!J98,3)))</f>
        <v>1871.7481669443357</v>
      </c>
      <c r="E98" s="85">
        <f>MAX(INDEX(Properties!A$1:CB$87,Formula!B98,3),INDEX(Properties!A$1:CB$87,Formula!D98,3),INDEX(Properties!A$1:CB$87,Formula!F98,3),INDEX(Properties!A$1:CB$87,Formula!H98,3),INDEX(Properties!A$1:CB$87,Formula!J98,3))</f>
        <v>137.327</v>
      </c>
      <c r="F98" s="85">
        <f>MIN(IF(INDEX(Properties!A$1:CB$87,Formula!B98,3)=0,10^6,INDEX(Properties!A$1:CB$87,Formula!B98,3)),IF(INDEX(Properties!A$1:CB$87,Formula!D98,3)=0,10^6,INDEX(Properties!A$1:CB$87,Formula!D98,3)),IF(INDEX(Properties!A$1:CB$87,Formula!F98,3)=0,10^6,INDEX(Properties!A$1:CB$87,Formula!F98,3)),IF(INDEX(Properties!A$1:CB$87,Formula!H98,3)=0,10^6,INDEX(Properties!A$1:CB$87,Formula!H98,3)),IF(INDEX(Properties!A$1:CB$87,Formula!J98,3)=0,10^6,INDEX(Properties!A$1:CB$87,Formula!J98,3)))</f>
        <v>15.9994</v>
      </c>
      <c r="G98" s="85">
        <f t="shared" si="32"/>
        <v>121.3276</v>
      </c>
      <c r="H98" s="87">
        <f>((Formula!C98)/(Formula!C98+Formula!E98+Formula!G98+Formula!I98+Formula!K98))*(INDEX(Properties!A$1:CB$87,Formula!B98,4))+((Formula!E98)/(Formula!C98+Formula!E98+Formula!G98+Formula!I98+Formula!K98))*(INDEX(Properties!A$1:CB$87,Formula!D98,4))+((Formula!G98)/(Formula!C98+Formula!E98+Formula!G98+Formula!I98+Formula!K98))*(INDEX(Properties!A$1:CB$87,Formula!F98,4))+((Formula!I98)/(Formula!C98+Formula!E98+Formula!G98+Formula!I98+Formula!K98))*(INDEX(Properties!A$1:CB$87,Formula!H98,4))+((Formula!K98)/(Formula!C98+Formula!E98+Formula!G98+Formula!I98+Formula!K98))*(INDEX(Properties!A$1:CB$87,Formula!J98,4))</f>
        <v>14</v>
      </c>
      <c r="I98" s="87">
        <f>Formula!C98*(INDEX(Properties!A$1:CB$87,Formula!B98,4))+Formula!E98*(INDEX(Properties!A$1:CB$87,Formula!D98,4))+Formula!G98*(INDEX(Properties!A$1:CB$87,Formula!F98,4))+Formula!I98*(INDEX(Properties!A$1:CB$87,Formula!H98,4))+Formula!K98*(INDEX(Properties!A$1:CB$87,Formula!J98,4))</f>
        <v>210</v>
      </c>
      <c r="J98" s="87">
        <f>VARP(IF(INDEX(Properties!A$1:CB$87,Formula!B98,4)&lt;&gt;"",INDEX(Properties!A$1:CB$87,Formula!B98,4)),IF(INDEX(Properties!A$1:CB$87,Formula!D98,4)&lt;&gt;"",INDEX(Properties!A$1:CB$87,Formula!D98,4)),IF(INDEX(Properties!A$1:CB$87,Formula!F98,4)&lt;&gt;"",INDEX(Properties!A$1:CB$87,Formula!F98,4)),IF(INDEX(Properties!A$1:CB$87,Formula!H98,4)&lt;&gt;"",INDEX(Properties!A$1:CB$87,Formula!H98,4)),IF(INDEX(Properties!A$1:CB$87,Formula!J98,4)&lt;&gt;"",INDEX(Properties!A$1:CB$87,Formula!J98,4)))</f>
        <v>282.64</v>
      </c>
      <c r="K98" s="87">
        <f>MAX(INDEX(Properties!A$1:CB$87,Formula!B98,4),INDEX(Properties!A$1:CB$87,Formula!D98,4),INDEX(Properties!A$1:CB$87,Formula!F98,4),INDEX(Properties!A$1:CB$87,Formula!H98,4),INDEX(Properties!A$1:CB$87,Formula!J98,4))</f>
        <v>56</v>
      </c>
      <c r="L98" s="87">
        <f>MIN(IF(INDEX(Properties!A$1:CB$87,Formula!B98,4)=0,10^6,INDEX(Properties!A$1:CB$87,Formula!B98,4)),IF(INDEX(Properties!A$1:CB$87,Formula!D98,4)=0,10^6,INDEX(Properties!A$1:CB$87,Formula!D98,4)),IF(INDEX(Properties!A$1:CB$87,Formula!F98,4)=0,10^6,INDEX(Properties!A$1:CB$87,Formula!F98,4)),IF(INDEX(Properties!A$1:CB$87,Formula!H98,4)=0,10^6,INDEX(Properties!A$1:CB$87,Formula!H98,4)),IF(INDEX(Properties!A$1:CB$87,Formula!J98,4)=0,10^6,INDEX(Properties!A$1:CB$87,Formula!J98,4)))</f>
        <v>8</v>
      </c>
      <c r="M98" s="87">
        <f t="shared" si="33"/>
        <v>48</v>
      </c>
      <c r="N98" s="89">
        <f>((Formula!C98)/(Formula!C98+Formula!E98+Formula!G98+Formula!I98+Formula!K98))*(INDEX(Properties!A$1:CB$87,Formula!B98,5))+((Formula!E98)/(Formula!C98+Formula!E98+Formula!G98+Formula!I98+Formula!K98))*(INDEX(Properties!A$1:CB$87,Formula!D98,5))+((Formula!G98)/(Formula!C98+Formula!E98+Formula!G98+Formula!I98+Formula!K98))*(INDEX(Properties!A$1:CB$87,Formula!F98,5))+((Formula!I98)/(Formula!C98+Formula!E98+Formula!G98+Formula!I98+Formula!K98))*(INDEX(Properties!A$1:CB$87,Formula!H98,5))+((Formula!K98)/(Formula!C98+Formula!E98+Formula!G98+Formula!I98+Formula!K98))*(INDEX(Properties!A$1:CB$87,Formula!J98,5))</f>
        <v>2.7333333333333334</v>
      </c>
      <c r="O98" s="89">
        <f>Formula!C98*(INDEX(Properties!A$1:CB$87,Formula!B98,5))+Formula!E98*(INDEX(Properties!A$1:CB$87,Formula!D98,5))+Formula!G98*(INDEX(Properties!A$1:CB$87,Formula!F98,5))+Formula!I98*(INDEX(Properties!A$1:CB$87,Formula!H98,5))+Formula!K98*(INDEX(Properties!A$1:CB$87,Formula!J98,5))</f>
        <v>41</v>
      </c>
      <c r="P98" s="89">
        <f>VARP(IF(INDEX(Properties!A$1:CB$87,Formula!B98,5)&lt;&gt;"",INDEX(Properties!A$1:CB$87,Formula!B98,5)),IF(INDEX(Properties!A$1:CB$87,Formula!D98,5)&lt;&gt;"",INDEX(Properties!A$1:CB$87,Formula!D98,5)),IF(INDEX(Properties!A$1:CB$87,Formula!F98,5)&lt;&gt;"",INDEX(Properties!A$1:CB$87,Formula!F98,5)),IF(INDEX(Properties!A$1:CB$87,Formula!H98,5)&lt;&gt;"",INDEX(Properties!A$1:CB$87,Formula!H98,5)),IF(INDEX(Properties!A$1:CB$87,Formula!J98,5)&lt;&gt;"",INDEX(Properties!A$1:CB$87,Formula!J98,5)))</f>
        <v>1.76</v>
      </c>
      <c r="Q98" s="89">
        <f>MAX(INDEX(Properties!A$1:CB$87,Formula!B98,5),INDEX(Properties!A$1:CB$87,Formula!D98,5),INDEX(Properties!A$1:CB$87,Formula!F98,5),INDEX(Properties!A$1:CB$87,Formula!H98,5),INDEX(Properties!A$1:CB$87,Formula!J98,5))</f>
        <v>6</v>
      </c>
      <c r="R98" s="89">
        <f>MIN(IF(INDEX(Properties!A$1:CB$87,Formula!B98,5)=0,10^6,INDEX(Properties!A$1:CB$87,Formula!B98,5)),IF(INDEX(Properties!A$1:CB$87,Formula!D98,5)=0,10^6,INDEX(Properties!A$1:CB$87,Formula!D98,5)),IF(INDEX(Properties!A$1:CB$87,Formula!F98,5)=0,10^6,INDEX(Properties!A$1:CB$87,Formula!F98,5)),IF(INDEX(Properties!A$1:CB$87,Formula!H98,5)=0,10^6,INDEX(Properties!A$1:CB$87,Formula!H98,5)),IF(INDEX(Properties!A$1:CB$87,Formula!J98,5)=0,10^6,INDEX(Properties!A$1:CB$87,Formula!J98,5)))</f>
        <v>2</v>
      </c>
      <c r="S98" s="89">
        <f t="shared" si="34"/>
        <v>4</v>
      </c>
      <c r="T98" s="60">
        <f>((Formula!C98)/(Formula!C98+Formula!E98+Formula!G98+Formula!I98+Formula!K98))*(INDEX(Properties!A$1:CB$87,Formula!B98,6))+((Formula!E98)/(Formula!C98+Formula!E98+Formula!G98+Formula!I98+Formula!K98))*(INDEX(Properties!A$1:CB$87,Formula!D98,6))+((Formula!G98)/(Formula!C98+Formula!E98+Formula!G98+Formula!I98+Formula!K98))*(INDEX(Properties!A$1:CB$87,Formula!F98,6))+((Formula!I98)/(Formula!C98+Formula!E98+Formula!G98+Formula!I98+Formula!K98))*(INDEX(Properties!A$1:CB$87,Formula!H98,6))+((Formula!K98)/(Formula!C98+Formula!E98+Formula!G98+Formula!I98+Formula!K98))*(INDEX(Properties!A$1:CB$87,Formula!J98,6))</f>
        <v>12.8</v>
      </c>
      <c r="U98" s="60">
        <f>Formula!C98*(INDEX(Properties!A$1:CB$87,Formula!B98,6))+Formula!E98*(INDEX(Properties!A$1:CB$87,Formula!D98,6))+Formula!G98*(INDEX(Properties!A$1:CB$87,Formula!F98,6))+Formula!I98*(INDEX(Properties!A$1:CB$87,Formula!H98,6))+Formula!K98*(INDEX(Properties!A$1:CB$87,Formula!J98,6))</f>
        <v>192</v>
      </c>
      <c r="V98" s="89">
        <f>VARP(IF(INDEX(Properties!A$1:CB$87,Formula!B98,6)&lt;&gt;"",INDEX(Properties!A$1:CB$87,Formula!B98,6)),IF(INDEX(Properties!A$1:CB$87,Formula!D98,6)&lt;&gt;"",INDEX(Properties!A$1:CB$87,Formula!D98,6)),IF(INDEX(Properties!A$1:CB$87,Formula!F98,6)&lt;&gt;"",INDEX(Properties!A$1:CB$87,Formula!F98,6)),IF(INDEX(Properties!A$1:CB$87,Formula!H98,6)&lt;&gt;"",INDEX(Properties!A$1:CB$87,Formula!H98,6)),IF(INDEX(Properties!A$1:CB$87,Formula!J98,6)&lt;&gt;"",INDEX(Properties!A$1:CB$87,Formula!J98,6)))</f>
        <v>41.36</v>
      </c>
      <c r="W98" s="60">
        <f>MAX(INDEX(Properties!A$1:CB$87,Formula!B98,6),INDEX(Properties!A$1:CB$87,Formula!D98,6),INDEX(Properties!A$1:CB$87,Formula!F98,6),INDEX(Properties!A$1:CB$87,Formula!H98,4),INDEX(Properties!A$1:CB$87,Formula!J98,6))</f>
        <v>16</v>
      </c>
      <c r="X98" s="60">
        <f>MIN(IF(INDEX(Properties!A$1:CB$87,Formula!B98,6)=0,10^6,INDEX(Properties!A$1:CB$87,Formula!B98,6)),IF(INDEX(Properties!A$1:CB$87,Formula!D98,6)=0,10^6,INDEX(Properties!A$1:CB$87,Formula!D98,6)),IF(INDEX(Properties!A$1:CB$87,Formula!F98,6)=0,10^6,INDEX(Properties!A$1:CB$87,Formula!F98,6)),IF(INDEX(Properties!A$1:CB$87,Formula!H98,6)=0,10^6,INDEX(Properties!A$1:CB$87,Formula!H98,6)),IF(INDEX(Properties!A$1:CB$87,Formula!J98,6)=0,10^6,INDEX(Properties!A$1:CB$87,Formula!J98,6)))</f>
        <v>1</v>
      </c>
      <c r="Y98" s="60">
        <f t="shared" si="35"/>
        <v>15</v>
      </c>
      <c r="Z98" s="72">
        <f>((Formula!C98)/(Formula!C98+Formula!E98+Formula!G98+Formula!I98+Formula!K98))*(INDEX(Properties!A$1:CB$87,Formula!B98,9))+((Formula!E98)/(Formula!C98+Formula!E98+Formula!G98+Formula!I98+Formula!K98))*(INDEX(Properties!A$1:CB$87,Formula!D98,9))+((Formula!G98)/(Formula!C98+Formula!E98+Formula!G98+Formula!I98+Formula!K98))*(INDEX(Properties!A$1:CB$87,Formula!F98,9))+((Formula!I98)/(Formula!C98+Formula!E98+Formula!G98+Formula!I98+Formula!K98))*(INDEX(Properties!A$1:CB$87,Formula!H98,9))+((Formula!K98)/(Formula!C98+Formula!E98+Formula!G98+Formula!I98+Formula!K98))*(INDEX(Properties!A$1:CB$87,Formula!J98,9))</f>
        <v>69.333333333333329</v>
      </c>
      <c r="AA98" s="72">
        <f>Formula!C98*(INDEX(Properties!A$1:CB$87,Formula!B98,9))+Formula!E98*(INDEX(Properties!A$1:CB$87,Formula!D98,9))+Formula!G98*(INDEX(Properties!A$1:CB$87,Formula!F98,9))+Formula!I98*(INDEX(Properties!A$1:CB$87,Formula!H98,9))+Formula!K98*(INDEX(Properties!A$1:CB$87,Formula!J98,9))</f>
        <v>1040</v>
      </c>
      <c r="AB98" s="72">
        <f>VARP(IF(INDEX(Properties!A$1:CB$87,Formula!B98,9)&lt;&gt;"",INDEX(Properties!A$1:CB$87,Formula!B98,9)),IF(INDEX(Properties!A$1:CB$87,Formula!D98,9)&lt;&gt;"",INDEX(Properties!A$1:CB$87,Formula!D98,9)),IF(INDEX(Properties!A$1:CB$87,Formula!F98,9)&lt;&gt;"",INDEX(Properties!A$1:CB$87,Formula!F98,9)),IF(INDEX(Properties!A$1:CB$87,Formula!H98,9)&lt;&gt;"",INDEX(Properties!A$1:CB$87,Formula!H98,9)),IF(INDEX(Properties!A$1:CB$87,Formula!J98,9)&lt;&gt;"",INDEX(Properties!A$1:CB$87,Formula!J98,9)))</f>
        <v>1359.04</v>
      </c>
      <c r="AC98" s="72">
        <f>MAX(INDEX(Properties!A$1:CB$87,Formula!B98,9),INDEX(Properties!A$1:CB$87,Formula!D98,9),INDEX(Properties!A$1:CB$87,Formula!F98,9),INDEX(Properties!A$1:CB$87,Formula!H98,9),INDEX(Properties!A$1:CB$87,Formula!J98,9))</f>
        <v>87</v>
      </c>
      <c r="AD98" s="72">
        <f>MIN(IF(INDEX(Properties!A$1:CB$87,Formula!B98,9)=0,10^6,INDEX(Properties!A$1:CB$87,Formula!B98,9)),IF(INDEX(Properties!A$1:CB$87,Formula!D98,9)=0,10^6,INDEX(Properties!A$1:CB$87,Formula!D98,9)),IF(INDEX(Properties!A$1:CB$87,Formula!F98,9)=0,10^6,INDEX(Properties!A$1:CB$87,Formula!F98,9)),IF(INDEX(Properties!A$1:CB$87,Formula!H98,9)=0,10^6,INDEX(Properties!A$1:CB$87,Formula!H98,9)),IF(INDEX(Properties!A$1:CB$87,Formula!J98,9)=0,10^6,INDEX(Properties!A$1:CB$87,Formula!J98,9)))</f>
        <v>3</v>
      </c>
      <c r="AE98" s="72">
        <f t="shared" si="36"/>
        <v>84</v>
      </c>
      <c r="AF98" s="51">
        <f>((Formula!C98)/(Formula!C98+Formula!E98+Formula!G98+Formula!I98+Formula!K98))*(INDEX(Properties!A$1:CB$87,Formula!B98,10))+((Formula!E98)/(Formula!C98+Formula!E98+Formula!G98+Formula!I98+Formula!K98))*(INDEX(Properties!A$1:CB$87,Formula!D98,10))+((Formula!G98)/(Formula!C98+Formula!E98+Formula!G98+Formula!I98+Formula!K98))*(INDEX(Properties!A$1:CB$87,Formula!F98,10))+((Formula!I98)/(Formula!C98+Formula!E98+Formula!G98+Formula!I98+Formula!K98))*(INDEX(Properties!A$1:CB$87,Formula!H98,10))+((Formula!K98)/(Formula!C98+Formula!E98+Formula!G98+Formula!I98+Formula!K98))*(INDEX(Properties!A$1:CB$87,Formula!J98,10))</f>
        <v>5.8000000000000007</v>
      </c>
      <c r="AG98" s="51">
        <f>Formula!C98*(INDEX(Properties!A$1:CB$87,Formula!B98,10))+Formula!E98*(INDEX(Properties!A$1:CB$87,Formula!D98,10))+Formula!G98*(INDEX(Properties!A$1:CB$87,Formula!F98,10))+Formula!I98*(INDEX(Properties!A$1:CB$87,Formula!H98,10))+Formula!K98*(INDEX(Properties!A$1:CB$87,Formula!J98,10))</f>
        <v>87</v>
      </c>
      <c r="AH98" s="51">
        <f>VARP(IF(INDEX(Properties!A$1:CB$87,Formula!B98,10)&lt;&gt;"",INDEX(Properties!A$1:CB$87,Formula!B98,10)),IF(INDEX(Properties!A$1:CB$87,Formula!D98,10)&lt;&gt;"",INDEX(Properties!A$1:CB$87,Formula!D98,10)),IF(INDEX(Properties!A$1:CB$87,Formula!F98,10)&lt;&gt;"",INDEX(Properties!A$1:CB$87,Formula!F98,10)),IF(INDEX(Properties!A$1:CB$87,Formula!H98,10)&lt;&gt;"",INDEX(Properties!A$1:CB$87,Formula!H98,10)),IF(INDEX(Properties!A$1:CB$87,Formula!J98,10)&lt;&gt;"",INDEX(Properties!A$1:CB$87,Formula!J98,10)))</f>
        <v>5.36</v>
      </c>
      <c r="AI98" s="51">
        <f>MAX(INDEX(Properties!A$1:CB$87,Formula!B98,10),INDEX(Properties!A$1:CB$87,Formula!D98,10),INDEX(Properties!A$1:CB$87,Formula!F98,10),INDEX(Properties!A$1:CB$87,Formula!H98,10),INDEX(Properties!A$1:CB$87,Formula!J98,10))</f>
        <v>7</v>
      </c>
      <c r="AJ98" s="51">
        <f>MIN(IF(INDEX(Properties!A$1:CB$87,Formula!B98,10)=0,10^6,INDEX(Properties!A$1:CB$87,Formula!B98,10)),IF(INDEX(Properties!A$1:CB$87,Formula!D98,10)=0,10^6,INDEX(Properties!A$1:CB$87,Formula!D98,10)),IF(INDEX(Properties!A$1:CB$87,Formula!F98,10)=0,10^6,INDEX(Properties!A$1:CB$87,Formula!F98,10)),IF(INDEX(Properties!A$1:CB$87,Formula!H98,10)=0,10^6,INDEX(Properties!A$1:CB$87,Formula!H98,10)),IF(INDEX(Properties!A$1:CB$87,Formula!J98,10)=0,10^6,INDEX(Properties!A$1:CB$87,Formula!J98,10)))</f>
        <v>1</v>
      </c>
      <c r="AK98" s="51">
        <f t="shared" si="37"/>
        <v>6</v>
      </c>
      <c r="AL98" s="57">
        <f>((Formula!C98)/(Formula!C98+Formula!E98+Formula!G98+Formula!I98+Formula!K98))*(INDEX(Properties!A$1:CB$87,Formula!B98,11))+((Formula!E98)/(Formula!C98+Formula!E98+Formula!G98+Formula!I98+Formula!K98))*(INDEX(Properties!A$1:CB$87,Formula!D98,11))+((Formula!G98)/(Formula!C98+Formula!E98+Formula!G98+Formula!I98+Formula!K98))*(INDEX(Properties!A$1:CB$87,Formula!F98,11))+((Formula!I98)/(Formula!C98+Formula!E98+Formula!G98+Formula!I98+Formula!K98))*(INDEX(Properties!A$1:CB$87,Formula!H98,11))+((Formula!K98)/(Formula!C98+Formula!E98+Formula!G98+Formula!I98+Formula!K98))*(INDEX(Properties!A$1:CB$87,Formula!J98,11))</f>
        <v>1.9333333333333333</v>
      </c>
      <c r="AM98" s="57">
        <f>Formula!C98*(INDEX(Properties!A$1:CB$87,Formula!B98,11))+Formula!E98*(INDEX(Properties!A$1:CB$87,Formula!D98,11))+Formula!G98*(INDEX(Properties!A$1:CB$87,Formula!F98,11))+Formula!I98*(INDEX(Properties!A$1:CB$87,Formula!H98,11))+Formula!K98*(INDEX(Properties!A$1:CB$87,Formula!J98,11))</f>
        <v>29</v>
      </c>
      <c r="AN98" s="57">
        <f>VARP(IF(INDEX(Properties!A$1:CB$87,Formula!B98,11)&lt;&gt;"",INDEX(Properties!A$1:CB$87,Formula!B98,11)),IF(INDEX(Properties!A$1:CB$87,Formula!D98,11)&lt;&gt;"",INDEX(Properties!A$1:CB$87,Formula!D98,11)),IF(INDEX(Properties!A$1:CB$87,Formula!F98,11)&lt;&gt;"",INDEX(Properties!A$1:CB$87,Formula!F98,11)),IF(INDEX(Properties!A$1:CB$87,Formula!H98,11)&lt;&gt;"",INDEX(Properties!A$1:CB$87,Formula!H98,11)),IF(INDEX(Properties!A$1:CB$87,Formula!J98,11)&lt;&gt;"",INDEX(Properties!A$1:CB$87,Formula!J98,11)))</f>
        <v>0.16</v>
      </c>
      <c r="AO98" s="57">
        <f>MAX(INDEX(Properties!A$1:CB$87,Formula!B98,11),INDEX(Properties!A$1:CB$87,Formula!D98,11),INDEX(Properties!A$1:CB$87,Formula!F98,11),INDEX(Properties!A$1:CB$87,Formula!H98,11),INDEX(Properties!A$1:CB$87,Formula!J98,11))</f>
        <v>2</v>
      </c>
      <c r="AP98" s="57">
        <f>MIN(IF(Formula!B98=87,10^6,INDEX(Properties!A$1:CB$87,Formula!B98,11)),IF((Formula!D98)=87,10^6,INDEX(Properties!A$1:CB$87,Formula!D98,11)),IF((Formula!F98)=87,10^6,INDEX(Properties!A$1:CB$87,Formula!F98,11)),IF((Formula!H98)=87,10^6,INDEX(Properties!A$1:CB$87,Formula!H98,11)),IF(Formula!J98=87,10^6,INDEX(Properties!A$1:CB$87,Formula!J98,11)))</f>
        <v>1</v>
      </c>
      <c r="AQ98" s="57">
        <f t="shared" si="38"/>
        <v>1</v>
      </c>
      <c r="AR98" s="78">
        <f>((Formula!C98)/(Formula!C98+Formula!E98+Formula!G98+Formula!I98+Formula!K98))*(INDEX(Properties!A$1:CB$87,Formula!B98,12))+((Formula!E98)/(Formula!C98+Formula!E98+Formula!G98+Formula!I98+Formula!K98))*(INDEX(Properties!A$1:CB$87,Formula!D98,12))+((Formula!G98)/(Formula!C98+Formula!E98+Formula!G98+Formula!I98+Formula!K98))*(INDEX(Properties!A$1:CB$87,Formula!F98,12))+((Formula!I98)/(Formula!C98+Formula!E98+Formula!G98+Formula!I98+Formula!K98))*(INDEX(Properties!A$1:CB$87,Formula!H98,12))+((Formula!K98)/(Formula!C98+Formula!E98+Formula!G98+Formula!I98+Formula!K98))*(INDEX(Properties!A$1:CB$87,Formula!J98,12))</f>
        <v>2.8</v>
      </c>
      <c r="AS98" s="78">
        <f>Formula!C98*(INDEX(Properties!A$1:CB$87,Formula!B98,12))+Formula!E98*(INDEX(Properties!A$1:CB$87,Formula!D98,12))+Formula!G98*(INDEX(Properties!A$1:CB$87,Formula!F98,12))+Formula!I98*(INDEX(Properties!A$1:CB$87,Formula!H98,12))+Formula!K98*(INDEX(Properties!A$1:CB$87,Formula!J98,12))</f>
        <v>42</v>
      </c>
      <c r="AT98" s="78">
        <f>VARP(IF(INDEX(Properties!A$1:CB$87,Formula!B98,12)&lt;&gt;"",INDEX(Properties!A$1:CB$87,Formula!B98,12)),IF(INDEX(Properties!A$1:CB$87,Formula!D98,12)&lt;&gt;"",INDEX(Properties!A$1:CB$87,Formula!D98,12)),IF(INDEX(Properties!A$1:CB$87,Formula!F98,12)&lt;&gt;"",INDEX(Properties!A$1:CB$87,Formula!F98,12)),IF(INDEX(Properties!A$1:CB$87,Formula!H98,12)&lt;&gt;"",INDEX(Properties!A$1:CB$87,Formula!H98,12)),IF(INDEX(Properties!A$1:CB$87,Formula!J98,12)&lt;&gt;"",INDEX(Properties!A$1:CB$87,Formula!J98,12)))</f>
        <v>2.56</v>
      </c>
      <c r="AU98" s="78">
        <f>MAX(INDEX(Properties!A$1:CB$87,Formula!B98,12),INDEX(Properties!A$1:CB$87,Formula!D98,12),INDEX(Properties!A$1:CB$87,Formula!F98,12),INDEX(Properties!A$1:CB$87,Formula!H98,12),INDEX(Properties!A$1:CB$87,Formula!J98,12))</f>
        <v>4</v>
      </c>
      <c r="AV98" s="78">
        <f>MIN(IF(Formula!B98=87,10^6,INDEX(Properties!A$1:CB$87,Formula!B98,12)),IF((Formula!D98)=87,10^6,INDEX(Properties!A$1:CB$87,Formula!D98,12)),IF((Formula!F98)=87,10^6,INDEX(Properties!A$1:CB$87,Formula!F98,12)),IF((Formula!H98)=87,10^6,INDEX(Properties!A$1:CB$87,Formula!H98,12)),IF(Formula!J98=87,10^6,INDEX(Properties!A$1:CB$87,Formula!J98,12)))</f>
        <v>0</v>
      </c>
      <c r="AW98" s="78">
        <f t="shared" si="39"/>
        <v>4</v>
      </c>
      <c r="AX98" s="45">
        <f>((Formula!C98)/(Formula!C98+Formula!E98+Formula!G98+Formula!I98+Formula!K98))*(INDEX(Properties!A$1:CB$87,Formula!B98,13))+((Formula!E98)/(Formula!C98+Formula!E98+Formula!G98+Formula!I98+Formula!K98))*(INDEX(Properties!A$1:CB$87,Formula!D98,13))+((Formula!G98)/(Formula!C98+Formula!E98+Formula!G98+Formula!I98+Formula!K98))*(INDEX(Properties!A$1:CB$87,Formula!F98,13))+((Formula!I98)/(Formula!C98+Formula!E98+Formula!G98+Formula!I98+Formula!K98))*(INDEX(Properties!A$1:CB$87,Formula!H98,13))+((Formula!K98)/(Formula!C98+Formula!E98+Formula!G98+Formula!I98+Formula!K98))*(INDEX(Properties!A$1:CB$87,Formula!J98,13))</f>
        <v>6.6666666666666666E-2</v>
      </c>
      <c r="AY98" s="45">
        <f>Formula!C98*(INDEX(Properties!A$1:CB$87,Formula!B98,13))+Formula!E98*(INDEX(Properties!A$1:CB$87,Formula!D98,13))+Formula!G98*(INDEX(Properties!A$1:CB$87,Formula!F98,13))+Formula!I98*(INDEX(Properties!A$1:CB$87,Formula!H98,13))+Formula!K98*(INDEX(Properties!A$1:CB$87,Formula!J98,13))</f>
        <v>1</v>
      </c>
      <c r="AZ98" s="45">
        <f>VARP(IF(INDEX(Properties!A$1:CB$87,Formula!B98,13)&lt;&gt;"",INDEX(Properties!A$1:CB$87,Formula!B98,13)),IF(INDEX(Properties!A$1:CB$87,Formula!D98,13)&lt;&gt;"",INDEX(Properties!A$1:CB$87,Formula!D98,13)),IF(INDEX(Properties!A$1:CB$87,Formula!F98,13)&lt;&gt;"",INDEX(Properties!A$1:CB$87,Formula!F98,13)),IF(INDEX(Properties!A$1:CB$87,Formula!H98,13)&lt;&gt;"",INDEX(Properties!A$1:CB$87,Formula!H98,13)),IF(INDEX(Properties!A$1:CB$87,Formula!J98,13)&lt;&gt;"",INDEX(Properties!A$1:CB$87,Formula!J98,13)))</f>
        <v>0.16</v>
      </c>
      <c r="BA98" s="45">
        <f>MAX(INDEX(Properties!A$1:CB$87,Formula!B98,13),INDEX(Properties!A$1:CB$87,Formula!D98,13),INDEX(Properties!A$1:CB$87,Formula!F98,13),INDEX(Properties!A$1:CB$87,Formula!H98,13),INDEX(Properties!A$1:CB$87,Formula!J98,13))</f>
        <v>1</v>
      </c>
      <c r="BB98" s="45">
        <f>MIN(IF(Formula!B98=87,10^6,INDEX(Properties!A$1:CB$87,Formula!B98,13)),IF((Formula!D98)=87,10^6,INDEX(Properties!A$1:CB$87,Formula!D98,13)),IF((Formula!F98)=87,10^6,INDEX(Properties!A$1:CB$87,Formula!F98,13)),IF((Formula!H98)=87,10^6,INDEX(Properties!A$1:CB$87,Formula!H98,13)),IF(Formula!J98=87,10^6,INDEX(Properties!A$1:CB$87,Formula!J98,13)))</f>
        <v>0</v>
      </c>
      <c r="BC98" s="45">
        <f t="shared" si="40"/>
        <v>1</v>
      </c>
      <c r="BD98" s="63">
        <f>((Formula!C98)/(Formula!C98+Formula!E98+Formula!G98+Formula!I98+Formula!K98))*(INDEX(Properties!A$1:CB$87,Formula!B98,14))+((Formula!E98)/(Formula!C98+Formula!E98+Formula!G98+Formula!I98+Formula!K98))*(INDEX(Properties!A$1:CB$87,Formula!D98,14))+((Formula!G98)/(Formula!C98+Formula!E98+Formula!G98+Formula!I98+Formula!K98))*(INDEX(Properties!A$1:CB$87,Formula!F98,14))+((Formula!I98)/(Formula!C98+Formula!E98+Formula!G98+Formula!I98+Formula!K98))*(INDEX(Properties!A$1:CB$87,Formula!H98,14))+((Formula!K98)/(Formula!C98+Formula!E98+Formula!G98+Formula!I98+Formula!K98))*(INDEX(Properties!A$1:CB$87,Formula!J98,14))</f>
        <v>0</v>
      </c>
      <c r="BE98" s="63">
        <f>Formula!C98*(INDEX(Properties!A$1:CB$87,Formula!B98,14))+Formula!E98*(INDEX(Properties!A$1:CB$87,Formula!D98,14))+Formula!G98*(INDEX(Properties!A$1:CB$87,Formula!F98,14))+Formula!I98*(INDEX(Properties!A$1:CB$87,Formula!H98,14))+Formula!K98*(INDEX(Properties!A$1:CB$87,Formula!J98,14))</f>
        <v>0</v>
      </c>
      <c r="BF98" s="63">
        <f>VARP(IF(INDEX(Properties!A$1:CB$87,Formula!B98,14)&lt;&gt;"",INDEX(Properties!A$1:CB$87,Formula!B98,14)),IF(INDEX(Properties!A$1:CB$87,Formula!D98,14)&lt;&gt;"",INDEX(Properties!A$1:CB$87,Formula!D98,14)),IF(INDEX(Properties!A$1:CB$87,Formula!F98,14)&lt;&gt;"",INDEX(Properties!A$1:CB$87,Formula!F98,14)),IF(INDEX(Properties!A$1:CB$87,Formula!H98,14)&lt;&gt;"",INDEX(Properties!A$1:CB$87,Formula!H98,14)),IF(INDEX(Properties!A$1:CB$87,Formula!J98,14)&lt;&gt;"",INDEX(Properties!A$1:CB$87,Formula!J98,14)))</f>
        <v>0</v>
      </c>
      <c r="BG98" s="63">
        <f>MAX(INDEX(Properties!A$1:CB$87,Formula!B98,14),INDEX(Properties!A$1:CB$87,Formula!D98,14),INDEX(Properties!A$1:CB$87,Formula!F98,14),INDEX(Properties!A$1:CB$87,Formula!H98,14),INDEX(Properties!A$1:CB$87,Formula!J98,14))</f>
        <v>0</v>
      </c>
      <c r="BH98" s="63">
        <f>MIN(IF(Formula!B98=87,10^6,INDEX(Properties!A$1:CB$87,Formula!B98,14)),IF((Formula!D98)=87,10^6,INDEX(Properties!A$1:CB$87,Formula!D98,14)),IF((Formula!F98)=87,10^6,INDEX(Properties!A$1:CB$87,Formula!F98,14)),IF((Formula!H98)=87,10^6,INDEX(Properties!A$1:CB$87,Formula!H98,14)),IF(Formula!J98=87,10^6,INDEX(Properties!A$1:CB$87,Formula!J98,14)))</f>
        <v>0</v>
      </c>
      <c r="BI98" s="63">
        <f t="shared" si="41"/>
        <v>0</v>
      </c>
      <c r="BJ98" s="75">
        <f>((Formula!C98)/(Formula!C98+Formula!E98+Formula!G98+Formula!I98+Formula!K98))*(INDEX(Properties!A$1:CB$87,Formula!B98,19))+((Formula!E98)/(Formula!C98+Formula!E98+Formula!G98+Formula!I98+Formula!K98))*(INDEX(Properties!A$1:CB$87,Formula!D98,19))+((Formula!G98)/(Formula!C98+Formula!E98+Formula!G98+Formula!I98+Formula!K98))*(INDEX(Properties!A$1:CB$87,Formula!F98,19))+((Formula!I98)/(Formula!C98+Formula!E98+Formula!G98+Formula!I98+Formula!K98))*(INDEX(Properties!A$1:CB$87,Formula!H98,19))+((Formula!K98)/(Formula!C98+Formula!E98+Formula!G98+Formula!I98+Formula!K98))*(INDEX(Properties!A$1:CB$87,Formula!J98,19))</f>
        <v>4.8</v>
      </c>
      <c r="BK98" s="75">
        <f>Formula!C98*(INDEX(Properties!A$1:CB$87,Formula!B98,19))+Formula!E98*(INDEX(Properties!A$1:CB$87,Formula!D98,19))+Formula!G98*(INDEX(Properties!A$1:CB$87,Formula!F98,19))+Formula!I98*(INDEX(Properties!A$1:CB$87,Formula!H98,19))+Formula!K98*(INDEX(Properties!A$1:CB$87,Formula!J98,19))</f>
        <v>72</v>
      </c>
      <c r="BL98" s="75">
        <f>VARP(IF(INDEX(Properties!A$1:CB$87,Formula!B98,19)&lt;&gt;"",INDEX(Properties!A$1:CB$87,Formula!B98,19)),IF(INDEX(Properties!A$1:CB$87,Formula!D98,19)&lt;&gt;"",INDEX(Properties!A$1:CB$87,Formula!D98,19)),IF(INDEX(Properties!A$1:CB$87,Formula!F98,19)&lt;&gt;"",INDEX(Properties!A$1:CB$87,Formula!F98,19)),IF(INDEX(Properties!A$1:CB$87,Formula!H98,19)&lt;&gt;"",INDEX(Properties!A$1:CB$87,Formula!H98,19)),IF(INDEX(Properties!A$1:CB$87,Formula!J98,19)&lt;&gt;"",INDEX(Properties!A$1:CB$87,Formula!J98,19)))</f>
        <v>2.96</v>
      </c>
      <c r="BM98" s="75">
        <f>MAX(INDEX(Properties!A$1:CB$87,Formula!B98,19),INDEX(Properties!A$1:CB$87,Formula!D98,19),INDEX(Properties!A$1:CB$87,Formula!F98,19),INDEX(Properties!A$1:CB$87,Formula!H98,19),INDEX(Properties!A$1:CB$87,Formula!J98,19))</f>
        <v>6</v>
      </c>
      <c r="BN98" s="75">
        <f>MIN(IF(INDEX(Properties!A$1:CB$87,Formula!B98,19)=0,10^6,INDEX(Properties!A$1:CB$87,Formula!B98,19)),IF(INDEX(Properties!A$1:CB$87,Formula!D98,19)=0,10^6,INDEX(Properties!A$1:CB$87,Formula!D98,19)),IF(INDEX(Properties!A$1:CB$87,Formula!F98,19)=0,10^6,INDEX(Properties!A$1:CB$87,Formula!F98,19)),IF(INDEX(Properties!A$1:CB$87,Formula!H98,19)=0,10^6,INDEX(Properties!A$1:CB$87,Formula!H98,19)),IF(INDEX(Properties!A$1:CB$87,Formula!J98,19)=0,10^6,INDEX(Properties!A$1:CB$87,Formula!J98,19)))</f>
        <v>1</v>
      </c>
      <c r="BO98" s="75">
        <f t="shared" si="42"/>
        <v>5</v>
      </c>
      <c r="BP98" s="48">
        <f>((Formula!C98)/(Formula!C98+Formula!E98+Formula!G98+Formula!I98+Formula!K98))*(INDEX(Properties!A$1:CB$87,Formula!B98,20))+((Formula!E98)/(Formula!C98+Formula!E98+Formula!G98+Formula!I98+Formula!K98))*(INDEX(Properties!A$1:CB$87,Formula!D98,20))+((Formula!G98)/(Formula!C98+Formula!E98+Formula!G98+Formula!I98+Formula!K98))*(INDEX(Properties!A$1:CB$87,Formula!F98,20))+((Formula!I98)/(Formula!C98+Formula!E98+Formula!G98+Formula!I98+Formula!K98))*(INDEX(Properties!A$1:CB$87,Formula!H98,20))+((Formula!K98)/(Formula!C98+Formula!E98+Formula!G98+Formula!I98+Formula!K98))*(INDEX(Properties!A$1:CB$87,Formula!J98,20))</f>
        <v>4.7333333333333325</v>
      </c>
      <c r="BQ98" s="48">
        <f>Formula!C98*(INDEX(Properties!A$1:CB$87,Formula!B98,20))+Formula!E98*(INDEX(Properties!A$1:CB$87,Formula!D98,20))+Formula!G98*(INDEX(Properties!A$1:CB$87,Formula!F98,20))+Formula!I98*(INDEX(Properties!A$1:CB$87,Formula!H98,20))+Formula!K98*(INDEX(Properties!A$1:CB$87,Formula!J98,20))</f>
        <v>71</v>
      </c>
      <c r="BR98" s="48">
        <f>VARP(IF(INDEX(Properties!A$1:CB$87,Formula!B98,20)&lt;&gt;"",INDEX(Properties!A$1:CB$87,Formula!B98,20)),IF(INDEX(Properties!A$1:CB$87,Formula!D98,20)&lt;&gt;"",INDEX(Properties!A$1:CB$87,Formula!D98,20)),IF(INDEX(Properties!A$1:CB$87,Formula!F98,20)&lt;&gt;"",INDEX(Properties!A$1:CB$87,Formula!F98,20)),IF(INDEX(Properties!A$1:CB$87,Formula!H98,20)&lt;&gt;"",INDEX(Properties!A$1:CB$87,Formula!H98,20)),IF(INDEX(Properties!A$1:CB$87,Formula!J98,20)&lt;&gt;"",INDEX(Properties!A$1:CB$87,Formula!J98,20)))</f>
        <v>3.2</v>
      </c>
      <c r="BS98" s="48">
        <f>MAX(INDEX(Properties!A$1:CB$87,Formula!B98,20),INDEX(Properties!A$1:CB$87,Formula!D98,20),INDEX(Properties!A$1:CB$87,Formula!F98,20),INDEX(Properties!A$1:CB$87,Formula!H98,20),INDEX(Properties!A$1:CB$87,Formula!J98,20))</f>
        <v>6</v>
      </c>
      <c r="BT98" s="48">
        <f>MIN(IF(INDEX(Properties!A$1:CB$87,Formula!B98,20)=0,10^6,INDEX(Properties!A$1:CB$87,Formula!B98,20)),IF(INDEX(Properties!A$1:CB$87,Formula!D98,20)=0,10^6,INDEX(Properties!A$1:CB$87,Formula!D98,20)),IF(INDEX(Properties!A$1:CB$87,Formula!F98,20)=0,10^6,INDEX(Properties!A$1:CB$87,Formula!F98,20)),IF(INDEX(Properties!A$1:CB$87,Formula!H98,20)=0,10^6,INDEX(Properties!A$1:CB$87,Formula!H98,20)),IF(INDEX(Properties!A$1:CB$87,Formula!J98,20)=0,10^6,INDEX(Properties!A$1:CB$87,Formula!J98,20)))</f>
        <v>1</v>
      </c>
      <c r="BU98" s="48">
        <f t="shared" si="43"/>
        <v>5</v>
      </c>
      <c r="BV98" s="66">
        <f>((Formula!C98)/(Formula!C98+Formula!E98+Formula!G98+Formula!I98+Formula!K98))*(INDEX(Properties!A$1:CB$87,Formula!B98,21))+((Formula!E98)/(Formula!C98+Formula!E98+Formula!G98+Formula!I98+Formula!K98))*(INDEX(Properties!A$1:CB$87,Formula!D98,21))+((Formula!G98)/(Formula!C98+Formula!E98+Formula!G98+Formula!I98+Formula!K98))*(INDEX(Properties!A$1:CB$87,Formula!F98,21))+((Formula!I98)/(Formula!C98+Formula!E98+Formula!G98+Formula!I98+Formula!K98))*(INDEX(Properties!A$1:CB$87,Formula!H98,21))+((Formula!K98)/(Formula!C98+Formula!E98+Formula!G98+Formula!I98+Formula!K98))*(INDEX(Properties!A$1:CB$87,Formula!J98,21))</f>
        <v>4.6666666666666661</v>
      </c>
      <c r="BW98" s="66">
        <f>Formula!C98*(INDEX(Properties!A$1:CB$87,Formula!B98,21))+Formula!E98*(INDEX(Properties!A$1:CB$87,Formula!D98,21))+Formula!G98*(INDEX(Properties!A$1:CB$87,Formula!F98,21))+Formula!I98*(INDEX(Properties!A$1:CB$87,Formula!H98,21))+Formula!K98*(INDEX(Properties!A$1:CB$87,Formula!J98,21))</f>
        <v>70</v>
      </c>
      <c r="BX98" s="66">
        <f>VARP(IF(INDEX(Properties!A$1:CB$87,Formula!B98,21)&lt;&gt;"",INDEX(Properties!A$1:CB$87,Formula!B98,21)),IF(INDEX(Properties!A$1:CB$87,Formula!D98,21)&lt;&gt;"",INDEX(Properties!A$1:CB$87,Formula!D98,21)),IF(INDEX(Properties!A$1:CB$87,Formula!F98,21)&lt;&gt;"",INDEX(Properties!A$1:CB$87,Formula!F98,21)),IF(INDEX(Properties!A$1:CB$87,Formula!H98,21)&lt;&gt;"",INDEX(Properties!A$1:CB$87,Formula!H98,21)),IF(INDEX(Properties!A$1:CB$87,Formula!J98,21)&lt;&gt;"",INDEX(Properties!A$1:CB$87,Formula!J98,21)))</f>
        <v>3.76</v>
      </c>
      <c r="BY98" s="66">
        <f>MAX(INDEX(Properties!A$1:CB$87,Formula!B98,21),INDEX(Properties!A$1:CB$87,Formula!D98,21),INDEX(Properties!A$1:CB$87,Formula!F98,21),INDEX(Properties!A$1:CB$87,Formula!H98,21),INDEX(Properties!A$1:CB$87,Formula!J98,21))</f>
        <v>6</v>
      </c>
      <c r="BZ98" s="66">
        <f>MIN(IF(INDEX(Properties!A$1:CB$87,Formula!B98,21)=0,10^6,INDEX(Properties!A$1:CB$87,Formula!B98,21)),IF(INDEX(Properties!A$1:CB$87,Formula!D98,21)=0,10^6,INDEX(Properties!A$1:CB$87,Formula!D98,21)),IF(INDEX(Properties!A$1:CB$87,Formula!F98,21)=0,10^6,INDEX(Properties!A$1:CB$87,Formula!F98,21)),IF(INDEX(Properties!A$1:CB$87,Formula!H98,21)=0,10^6,INDEX(Properties!A$1:CB$87,Formula!H98,21)),IF(INDEX(Properties!A$1:CB$87,Formula!J98,21)=0,10^6,INDEX(Properties!A$1:CB$87,Formula!J98,21)))</f>
        <v>1</v>
      </c>
      <c r="CA98" s="66">
        <f t="shared" si="44"/>
        <v>5</v>
      </c>
      <c r="CB98" s="81">
        <f>((Formula!C98)/(Formula!C98+Formula!E98+Formula!G98+Formula!I98+Formula!K98))*(INDEX(Properties!A$1:CB$87,Formula!B98,23))+((Formula!E98)/(Formula!C98+Formula!E98+Formula!G98+Formula!I98+Formula!K98))*(INDEX(Properties!A$1:CB$87,Formula!D98,23))+((Formula!G98)/(Formula!C98+Formula!E98+Formula!G98+Formula!I98+Formula!K98))*(INDEX(Properties!A$1:CB$87,Formula!F98,23))+((Formula!I98)/(Formula!C98+Formula!E98+Formula!G98+Formula!I98+Formula!K98))*(INDEX(Properties!A$1:CB$87,Formula!H98,23))+((Formula!K98)/(Formula!C98+Formula!E98+Formula!G98+Formula!I98+Formula!K98))*(INDEX(Properties!A$1:CB$87,Formula!J98,23))</f>
        <v>1.2000000000000002</v>
      </c>
      <c r="CC98" s="81">
        <f>Formula!C98*(INDEX(Properties!A$1:CB$87,Formula!B98,23))+Formula!E98*(INDEX(Properties!A$1:CB$87,Formula!D98,23))+Formula!G98*(INDEX(Properties!A$1:CB$87,Formula!F98,23))+Formula!I98*(INDEX(Properties!A$1:CB$87,Formula!H98,23))+Formula!K98*(INDEX(Properties!A$1:CB$87,Formula!J98,23))</f>
        <v>18</v>
      </c>
      <c r="CD98" s="81">
        <f>VARP(IF(INDEX(Properties!A$1:CB$87,Formula!B98,23)&lt;&gt;"",INDEX(Properties!A$1:CB$87,Formula!B98,23)),IF(INDEX(Properties!A$1:CB$87,Formula!D98,23)&lt;&gt;"",INDEX(Properties!A$1:CB$87,Formula!D98,23)),IF(INDEX(Properties!A$1:CB$87,Formula!F98,23)&lt;&gt;"",INDEX(Properties!A$1:CB$87,Formula!F98,23)),IF(INDEX(Properties!A$1:CB$87,Formula!H98,23)&lt;&gt;"",INDEX(Properties!A$1:CB$87,Formula!H98,23)),IF(INDEX(Properties!A$1:CB$87,Formula!J98,23)&lt;&gt;"",INDEX(Properties!A$1:CB$87,Formula!J98,23)))</f>
        <v>2</v>
      </c>
      <c r="CE98" s="81">
        <f>MAX(INDEX(Properties!A$1:CB$87,Formula!B98,23),INDEX(Properties!A$1:CB$87,Formula!D98,23),INDEX(Properties!A$1:CB$87,Formula!F98,23),INDEX(Properties!A$1:CB$87,Formula!H98,23),INDEX(Properties!A$1:CB$87,Formula!J98,23))</f>
        <v>4</v>
      </c>
      <c r="CF98" s="81">
        <f>MIN(IF(Formula!B98=87,10^6,INDEX(Properties!A$1:CB$87,Formula!B98,23)),IF((Formula!D98)=87,10^6,INDEX(Properties!A$1:CB$87,Formula!D98,23)),IF((Formula!F98)=87,10^6,INDEX(Properties!A$1:CB$87,Formula!F98,23)),IF((Formula!H98)=87,10^6,INDEX(Properties!A$1:CB$87,Formula!H98,23)),IF(Formula!J98=87,10^6,INDEX(Properties!A$1:CB$87,Formula!J98,23)))</f>
        <v>0</v>
      </c>
      <c r="CG98" s="81">
        <f t="shared" si="45"/>
        <v>4</v>
      </c>
      <c r="CH98" s="39">
        <f>((Formula!C98)/(Formula!C98+Formula!E98+Formula!G98+Formula!I98+Formula!K98))*(INDEX(Properties!A$1:CB$87,Formula!B98,26))+((Formula!E98)/(Formula!C98+Formula!E98+Formula!G98+Formula!I98+Formula!K98))*(INDEX(Properties!A$1:CB$87,Formula!D98,26))+((Formula!G98)/(Formula!C98+Formula!E98+Formula!G98+Formula!I98+Formula!K98))*(INDEX(Properties!A$1:CB$87,Formula!F98,26))+((Formula!I98)/(Formula!C98+Formula!E98+Formula!G98+Formula!I98+Formula!K98))*(INDEX(Properties!A$1:CB$87,Formula!H98,26))+((Formula!K98)/(Formula!C98+Formula!E98+Formula!G98+Formula!I98+Formula!K98))*(INDEX(Properties!A$1:CB$87,Formula!J98,26))</f>
        <v>10.87546</v>
      </c>
      <c r="CI98" s="39">
        <f>Formula!C98*(INDEX(Properties!A$1:CB$87,Formula!B98,26))+Formula!E98*(INDEX(Properties!A$1:CB$87,Formula!D98,26))+Formula!G98*(INDEX(Properties!A$1:CB$87,Formula!F98,26))+Formula!I98*(INDEX(Properties!A$1:CB$87,Formula!H98,26))+Formula!K98*(INDEX(Properties!A$1:CB$87,Formula!J98,26))</f>
        <v>163.1319</v>
      </c>
      <c r="CJ98" s="39">
        <f>VARP(IF(INDEX(Properties!A$1:CB$87,Formula!B98,26)&lt;&gt;"",INDEX(Properties!A$1:CB$87,Formula!B98,26)),IF(INDEX(Properties!A$1:CB$87,Formula!D98,26)&lt;&gt;"",INDEX(Properties!A$1:CB$87,Formula!D98,26)),IF(INDEX(Properties!A$1:CB$87,Formula!F98,26)&lt;&gt;"",INDEX(Properties!A$1:CB$87,Formula!F98,26)),IF(INDEX(Properties!A$1:CB$87,Formula!H98,26)&lt;&gt;"",INDEX(Properties!A$1:CB$87,Formula!H98,26)),IF(INDEX(Properties!A$1:CB$87,Formula!J98,26)&lt;&gt;"",INDEX(Properties!A$1:CB$87,Formula!J98,26)))</f>
        <v>10.784938198400013</v>
      </c>
      <c r="CK98" s="39">
        <f>MAX(INDEX(Properties!A$1:CB$87,Formula!B98,26),INDEX(Properties!A$1:CB$87,Formula!D98,26),INDEX(Properties!A$1:CB$87,Formula!F98,26),INDEX(Properties!A$1:CB$87,Formula!H98,26),INDEX(Properties!A$1:CB$87,Formula!J98,26))</f>
        <v>13.6181</v>
      </c>
      <c r="CL98" s="39">
        <f>MIN(IF(INDEX(Properties!A$1:CB$87,Formula!B98,26)=0,10^6,INDEX(Properties!A$1:CB$87,Formula!B98,26)),IF(INDEX(Properties!A$1:CB$87,Formula!D98,26)=0,10^6,INDEX(Properties!A$1:CB$87,Formula!D98,26)),IF(INDEX(Properties!A$1:CB$87,Formula!F98,26)=0,10^6,INDEX(Properties!A$1:CB$87,Formula!F98,26)),IF(INDEX(Properties!A$1:CB$87,Formula!H98,26)=0,10^6,INDEX(Properties!A$1:CB$87,Formula!H98,26)),IF(INDEX(Properties!A$1:CB$87,Formula!J98,26)=0,10^6,INDEX(Properties!A$1:CB$87,Formula!J98,26)))</f>
        <v>4.3407</v>
      </c>
      <c r="CM98" s="39">
        <f t="shared" si="46"/>
        <v>9.2774000000000001</v>
      </c>
      <c r="CN98" s="54">
        <f>((Formula!C98)/(Formula!C98+Formula!E98+Formula!G98+Formula!I98+Formula!K98))*(INDEX(Properties!A$1:CB$87,Formula!B98,30))+((Formula!E98)/(Formula!C98+Formula!E98+Formula!G98+Formula!I98+Formula!K98))*(INDEX(Properties!A$1:CB$87,Formula!D98,30))+((Formula!G98)/(Formula!C98+Formula!E98+Formula!G98+Formula!I98+Formula!K98))*(INDEX(Properties!A$1:CB$87,Formula!F98,30))+((Formula!I98)/(Formula!C98+Formula!E98+Formula!G98+Formula!I98+Formula!K98))*(INDEX(Properties!A$1:CB$87,Formula!H98,30))+((Formula!K98)/(Formula!C98+Formula!E98+Formula!G98+Formula!I98+Formula!K98))*(INDEX(Properties!A$1:CB$87,Formula!J98,30))</f>
        <v>2.6486666666666667</v>
      </c>
      <c r="CO98" s="54">
        <f>Formula!C98*(INDEX(Properties!A$1:CB$87,Formula!B98,30))+Formula!E98*(INDEX(Properties!A$1:CB$87,Formula!D98,30))+Formula!G98*(INDEX(Properties!A$1:CB$87,Formula!F98,30))+Formula!I98*(INDEX(Properties!A$1:CB$87,Formula!H98,30))+Formula!K98*(INDEX(Properties!A$1:CB$87,Formula!J98,30))</f>
        <v>39.730000000000004</v>
      </c>
      <c r="CP98" s="54">
        <f>VARP(IF(INDEX(Properties!A$1:CB$87,Formula!B98,30)&lt;&gt;"",INDEX(Properties!A$1:CB$87,Formula!B98,30)),IF(INDEX(Properties!A$1:CB$87,Formula!D98,30)&lt;&gt;"",INDEX(Properties!A$1:CB$87,Formula!D98,30)),IF(INDEX(Properties!A$1:CB$87,Formula!F98,30)&lt;&gt;"",INDEX(Properties!A$1:CB$87,Formula!F98,30)),IF(INDEX(Properties!A$1:CB$87,Formula!H98,30)&lt;&gt;"",INDEX(Properties!A$1:CB$87,Formula!H98,30)),IF(INDEX(Properties!A$1:CB$87,Formula!J98,30)&lt;&gt;"",INDEX(Properties!A$1:CB$87,Formula!J98,30)))</f>
        <v>0.92241600000000001</v>
      </c>
      <c r="CQ98" s="54">
        <f>MAX(INDEX(Properties!A$1:CB$87,Formula!B98,30),INDEX(Properties!A$1:CB$87,Formula!D98,30),INDEX(Properties!A$1:CB$87,Formula!F98,30),INDEX(Properties!A$1:CB$87,Formula!H98,30),INDEX(Properties!A$1:CB$87,Formula!J98,30))</f>
        <v>3.44</v>
      </c>
      <c r="CR98" s="54">
        <f>MIN(IF(INDEX(Properties!A$1:CB$87,Formula!B98,30)=0,10^6,INDEX(Properties!A$1:CB$87,Formula!B98,30)),IF(INDEX(Properties!A$1:CB$87,Formula!D98,30)=0,10^6,INDEX(Properties!A$1:CB$87,Formula!D98,30)),IF(INDEX(Properties!A$1:CB$87,Formula!F98,30)=0,10^6,INDEX(Properties!A$1:CB$87,Formula!F98,30)),IF(INDEX(Properties!A$1:CB$87,Formula!H98,30)=0,10^6,INDEX(Properties!A$1:CB$87,Formula!H98,30)),IF(INDEX(Properties!A$1:CB$87,Formula!J98,30)=0,10^6,INDEX(Properties!A$1:CB$87,Formula!J98,30)))</f>
        <v>0.82</v>
      </c>
      <c r="CS98" s="54">
        <f t="shared" si="47"/>
        <v>2.62</v>
      </c>
      <c r="CT98" s="69">
        <f>((Formula!C98)/(Formula!C98+Formula!E98+Formula!G98+Formula!I98+Formula!K98))*(INDEX(Properties!A$1:CB$87,Formula!B98,31))+((Formula!E98)/(Formula!C98+Formula!E98+Formula!G98+Formula!I98+Formula!K98))*(INDEX(Properties!A$1:CB$87,Formula!D98,31))+((Formula!G98)/(Formula!C98+Formula!E98+Formula!G98+Formula!I98+Formula!K98))*(INDEX(Properties!A$1:CB$87,Formula!F98,31))+((Formula!I98)/(Formula!C98+Formula!E98+Formula!G98+Formula!I98+Formula!K98))*(INDEX(Properties!A$1:CB$87,Formula!H98,31))+((Formula!K98)/(Formula!C98+Formula!E98+Formula!G98+Formula!I98+Formula!K98))*(INDEX(Properties!A$1:CB$87,Formula!J98,31))</f>
        <v>2.6133333333333333</v>
      </c>
      <c r="CU98" s="69">
        <f>Formula!C98*(INDEX(Properties!A$1:CB$87,Formula!B98,31))+Formula!E98*(INDEX(Properties!A$1:CB$87,Formula!D98,31))+Formula!G98*(INDEX(Properties!A$1:CB$87,Formula!F98,31))+Formula!I98*(INDEX(Properties!A$1:CB$87,Formula!H98,31))+Formula!K98*(INDEX(Properties!A$1:CB$87,Formula!J98,31))</f>
        <v>39.200000000000003</v>
      </c>
      <c r="CV98" s="69">
        <f>VARP(IF(INDEX(Properties!A$1:CB$87,Formula!B98,31)&lt;&gt;"",INDEX(Properties!A$1:CB$87,Formula!B98,31)),IF(INDEX(Properties!A$1:CB$87,Formula!D98,31)&lt;&gt;"",INDEX(Properties!A$1:CB$87,Formula!D98,31)),IF(INDEX(Properties!A$1:CB$87,Formula!F98,31)&lt;&gt;"",INDEX(Properties!A$1:CB$87,Formula!F98,31)),IF(INDEX(Properties!A$1:CB$87,Formula!H98,31)&lt;&gt;"",INDEX(Properties!A$1:CB$87,Formula!H98,31)),IF(INDEX(Properties!A$1:CB$87,Formula!J98,31)&lt;&gt;"",INDEX(Properties!A$1:CB$87,Formula!J98,31)))</f>
        <v>0.78614399999999984</v>
      </c>
      <c r="CW98" s="69">
        <f>MAX(INDEX(Properties!A$1:CB$87,Formula!B98,31),INDEX(Properties!A$1:CB$87,Formula!D98,31),INDEX(Properties!A$1:CB$87,Formula!F98,31),INDEX(Properties!A$1:CB$87,Formula!H98,31),INDEX(Properties!A$1:CB$87,Formula!J98,31))</f>
        <v>3.32</v>
      </c>
      <c r="CX98" s="69">
        <f>MIN(IF(INDEX(Properties!A$1:CB$87,Formula!B98,31)=0,10^6,INDEX(Properties!A$1:CB$87,Formula!B98,31)),IF(INDEX(Properties!A$1:CB$87,Formula!D98,31)=0,10^6,INDEX(Properties!A$1:CB$87,Formula!D98,31)),IF(INDEX(Properties!A$1:CB$87,Formula!F98,31)=0,10^6,INDEX(Properties!A$1:CB$87,Formula!F98,31)),IF(INDEX(Properties!A$1:CB$87,Formula!H98,31)=0,10^6,INDEX(Properties!A$1:CB$87,Formula!H98,31)),IF(INDEX(Properties!A$1:CB$87,Formula!J98,31)=0,10^6,INDEX(Properties!A$1:CB$87,Formula!J98,31)))</f>
        <v>0.8</v>
      </c>
      <c r="CY98" s="69">
        <f t="shared" si="48"/>
        <v>2.5199999999999996</v>
      </c>
      <c r="CZ98" s="42">
        <f>((Formula!C98)/(Formula!C98+Formula!E98+Formula!G98+Formula!I98+Formula!K98))*(INDEX(Properties!A$1:CB$87,Formula!B98,32))+((Formula!E98)/(Formula!C98+Formula!E98+Formula!G98+Formula!I98+Formula!K98))*(INDEX(Properties!A$1:CB$87,Formula!D98,32))+((Formula!G98)/(Formula!C98+Formula!E98+Formula!G98+Formula!I98+Formula!K98))*(INDEX(Properties!A$1:CB$87,Formula!F98,32))+((Formula!I98)/(Formula!C98+Formula!E98+Formula!G98+Formula!I98+Formula!K98))*(INDEX(Properties!A$1:CB$87,Formula!H98,32))+((Formula!K98)/(Formula!C98+Formula!E98+Formula!G98+Formula!I98+Formula!K98))*(INDEX(Properties!A$1:CB$87,Formula!J98,32))</f>
        <v>6.0220000000000002</v>
      </c>
      <c r="DA98" s="42">
        <f>Formula!C98*(INDEX(Properties!A$1:CB$87,Formula!B98,32))+Formula!E98*(INDEX(Properties!A$1:CB$87,Formula!D98,32))+Formula!G98*(INDEX(Properties!A$1:CB$87,Formula!F98,32))+Formula!I98*(INDEX(Properties!A$1:CB$87,Formula!H98,32))+Formula!K98*(INDEX(Properties!A$1:CB$87,Formula!J98,32))</f>
        <v>90.33</v>
      </c>
      <c r="DB98" s="42">
        <f>VARP(IF(INDEX(Properties!A$1:CB$87,Formula!B98,32)&lt;&gt;"",INDEX(Properties!A$1:CB$87,Formula!B98,32)),IF(INDEX(Properties!A$1:CB$87,Formula!D98,32)&lt;&gt;"",INDEX(Properties!A$1:CB$87,Formula!D98,32)),IF(INDEX(Properties!A$1:CB$87,Formula!F98,32)&lt;&gt;"",INDEX(Properties!A$1:CB$87,Formula!F98,32)),IF(INDEX(Properties!A$1:CB$87,Formula!H98,32)&lt;&gt;"",INDEX(Properties!A$1:CB$87,Formula!H98,32)),IF(INDEX(Properties!A$1:CB$87,Formula!J98,32)&lt;&gt;"",INDEX(Properties!A$1:CB$87,Formula!J98,32)))</f>
        <v>3.7144640000000004</v>
      </c>
      <c r="DC98" s="42">
        <f>MAX(INDEX(Properties!A$1:CB$87,Formula!B98,32),INDEX(Properties!A$1:CB$87,Formula!D98,32),INDEX(Properties!A$1:CB$87,Formula!F98,32),INDEX(Properties!A$1:CB$87,Formula!H98,32),INDEX(Properties!A$1:CB$87,Formula!J98,32))</f>
        <v>7.54</v>
      </c>
      <c r="DD98" s="42">
        <f>MIN(IF(INDEX(Properties!A$1:CB$87,Formula!B98,32)=0,10^6,INDEX(Properties!A$1:CB$87,Formula!B98,32)),IF(INDEX(Properties!A$1:CB$87,Formula!D98,32)=0,10^6,INDEX(Properties!A$1:CB$87,Formula!D98,32)),IF(INDEX(Properties!A$1:CB$87,Formula!F98,32)=0,10^6,INDEX(Properties!A$1:CB$87,Formula!F98,32)),IF(INDEX(Properties!A$1:CB$87,Formula!H98,32)=0,10^6,INDEX(Properties!A$1:CB$87,Formula!H98,32)),IF(INDEX(Properties!A$1:CB$87,Formula!J98,32)=0,10^6,INDEX(Properties!A$1:CB$87,Formula!J98,32)))</f>
        <v>2.4</v>
      </c>
      <c r="DE98" s="42">
        <f t="shared" si="49"/>
        <v>5.1400000000000006</v>
      </c>
      <c r="DF98" s="60">
        <f>((Formula!C98)/(Formula!C98+Formula!E98+Formula!G98+Formula!I98+Formula!K98))*(INDEX(Properties!A$1:CB$87,Formula!B98,34))+((Formula!E98)/(Formula!C98+Formula!E98+Formula!G98+Formula!I98+Formula!K98))*(INDEX(Properties!A$1:CB$87,Formula!D98,34))+((Formula!G98)/(Formula!C98+Formula!E98+Formula!G98+Formula!I98+Formula!K98))*(INDEX(Properties!A$1:CB$87,Formula!F98,34))+((Formula!I98)/(Formula!C98+Formula!E98+Formula!G98+Formula!I98+Formula!K98))*(INDEX(Properties!A$1:CB$87,Formula!H98,34))+((Formula!K98)/(Formula!C98+Formula!E98+Formula!G98+Formula!I98+Formula!K98))*(INDEX(Properties!A$1:CB$87,Formula!J98,34))</f>
        <v>2.7362000000000002</v>
      </c>
      <c r="DG98" s="60">
        <f>Formula!C98*(INDEX(Properties!A$1:CB$87,Formula!B98,34))+Formula!E98*(INDEX(Properties!A$1:CB$87,Formula!D98,34))+Formula!G98*(INDEX(Properties!A$1:CB$87,Formula!F98,34))+Formula!I98*(INDEX(Properties!A$1:CB$87,Formula!H98,34))+Formula!K98*(INDEX(Properties!A$1:CB$87,Formula!J98,34))</f>
        <v>41.042999999999999</v>
      </c>
      <c r="DH98" s="60">
        <f>VARP(IF(INDEX(Properties!A$1:CB$87,Formula!B98,34)&lt;&gt;"",INDEX(Properties!A$1:CB$87,Formula!B98,34)),IF(INDEX(Properties!A$1:CB$87,Formula!D98,34)&lt;&gt;"",INDEX(Properties!A$1:CB$87,Formula!D98,34)),IF(INDEX(Properties!A$1:CB$87,Formula!F98,34)&lt;&gt;"",INDEX(Properties!A$1:CB$87,Formula!F98,34)),IF(INDEX(Properties!A$1:CB$87,Formula!H98,34)&lt;&gt;"",INDEX(Properties!A$1:CB$87,Formula!H98,34)),IF(INDEX(Properties!A$1:CB$87,Formula!J98,34)&lt;&gt;"",INDEX(Properties!A$1:CB$87,Formula!J98,34)))</f>
        <v>1.1106121600000005</v>
      </c>
      <c r="DI98" s="60">
        <f>MAX(INDEX(Properties!A$1:CB$87,Formula!B98,34),INDEX(Properties!A$1:CB$87,Formula!D98,34),INDEX(Properties!A$1:CB$87,Formula!F98,34),INDEX(Properties!A$1:CB$87,Formula!H98,34),INDEX(Properties!A$1:CB$87,Formula!J98,34))</f>
        <v>3.61</v>
      </c>
      <c r="DJ98" s="60">
        <f>MIN(IF(INDEX(Properties!A$1:CB$87,Formula!B98,34)=0,10^6,INDEX(Properties!A$1:CB$87,Formula!B98,34)),IF(INDEX(Properties!A$1:CB$87,Formula!D98,34)=0,10^6,INDEX(Properties!A$1:CB$87,Formula!D98,34)),IF(INDEX(Properties!A$1:CB$87,Formula!F98,34)=0,10^6,INDEX(Properties!A$1:CB$87,Formula!F98,34)),IF(INDEX(Properties!A$1:CB$87,Formula!H98,34)=0,10^6,INDEX(Properties!A$1:CB$87,Formula!H98,34)),IF(INDEX(Properties!A$1:CB$87,Formula!J98,34)=0,10^6,INDEX(Properties!A$1:CB$87,Formula!J98,34)))</f>
        <v>0.73399999999999999</v>
      </c>
      <c r="DK98" s="60">
        <f t="shared" si="50"/>
        <v>2.8759999999999999</v>
      </c>
      <c r="DL98" s="45">
        <f>((Formula!C98)/(Formula!C98+Formula!E98+Formula!G98+Formula!I98+Formula!K98))*(INDEX(Properties!A$1:CB$87,Formula!B98,39))+((Formula!E98)/(Formula!C98+Formula!E98+Formula!G98+Formula!I98+Formula!K98))*(INDEX(Properties!A$1:CB$87,Formula!D98,39))+((Formula!G98)/(Formula!C98+Formula!E98+Formula!G98+Formula!I98+Formula!K98))*(INDEX(Properties!A$1:CB$87,Formula!F98,39))+((Formula!I98)/(Formula!C98+Formula!E98+Formula!G98+Formula!I98+Formula!K98))*(INDEX(Properties!A$1:CB$87,Formula!H98,39))+((Formula!K98)/(Formula!C98+Formula!E98+Formula!G98+Formula!I98+Formula!K98))*(INDEX(Properties!A$1:CB$87,Formula!J98,39))</f>
        <v>0.96333333333333337</v>
      </c>
      <c r="DM98" s="45">
        <f>Formula!C98*(INDEX(Properties!A$1:CB$87,Formula!B98,39))+Formula!E98*(INDEX(Properties!A$1:CB$87,Formula!D98,39))+Formula!G98*(INDEX(Properties!A$1:CB$87,Formula!F98,39))+Formula!I98*(INDEX(Properties!A$1:CB$87,Formula!H98,39))+Formula!K98*(INDEX(Properties!A$1:CB$87,Formula!J98,39))</f>
        <v>14.45</v>
      </c>
      <c r="DN98" s="45">
        <f>VARP(IF(INDEX(Properties!A$1:CB$87,Formula!B98,39)&lt;&gt;"",INDEX(Properties!A$1:CB$87,Formula!B98,39)),IF(INDEX(Properties!A$1:CB$87,Formula!D98,39)&lt;&gt;"",INDEX(Properties!A$1:CB$87,Formula!D98,39)),IF(INDEX(Properties!A$1:CB$87,Formula!F98,39)&lt;&gt;"",INDEX(Properties!A$1:CB$87,Formula!F98,39)),IF(INDEX(Properties!A$1:CB$87,Formula!H98,39)&lt;&gt;"",INDEX(Properties!A$1:CB$87,Formula!H98,39)),IF(INDEX(Properties!A$1:CB$87,Formula!J98,39)&lt;&gt;"",INDEX(Properties!A$1:CB$87,Formula!J98,39)))</f>
        <v>0.6150959999999992</v>
      </c>
      <c r="DO98" s="45">
        <f>MAX(INDEX(Properties!A$1:CB$87,Formula!B98,39),INDEX(Properties!A$1:CB$87,Formula!D98,39),INDEX(Properties!A$1:CB$87,Formula!F98,39),INDEX(Properties!A$1:CB$87,Formula!H98,39),INDEX(Properties!A$1:CB$87,Formula!J98,39))</f>
        <v>2.5299999999999998</v>
      </c>
      <c r="DP98" s="45">
        <f>MIN(IF(INDEX(Properties!A$1:CB$87,Formula!B98,39)=0,10^6,INDEX(Properties!A$1:CB$87,Formula!B98,39)),IF(INDEX(Properties!A$1:CB$87,Formula!D98,39)=0,10^6,INDEX(Properties!A$1:CB$87,Formula!D98,39)),IF(INDEX(Properties!A$1:CB$87,Formula!F98,39)=0,10^6,INDEX(Properties!A$1:CB$87,Formula!F98,39)),IF(INDEX(Properties!A$1:CB$87,Formula!H98,39)=0,10^6,INDEX(Properties!A$1:CB$87,Formula!H98,39)),IF(INDEX(Properties!A$1:CB$87,Formula!J98,39)=0,10^6,INDEX(Properties!A$1:CB$87,Formula!J98,39)))</f>
        <v>0.48</v>
      </c>
      <c r="DQ98" s="45">
        <f t="shared" si="51"/>
        <v>2.0499999999999998</v>
      </c>
      <c r="DR98" s="63">
        <f>((Formula!C98)/(Formula!C98+Formula!E98+Formula!G98+Formula!I98+Formula!K98))*(INDEX(Properties!A$1:CB$87,Formula!B98,40))+((Formula!E98)/(Formula!C98+Formula!E98+Formula!G98+Formula!I98+Formula!K98))*(INDEX(Properties!A$1:CB$87,Formula!D98,40))+((Formula!G98)/(Formula!C98+Formula!E98+Formula!G98+Formula!I98+Formula!K98))*(INDEX(Properties!A$1:CB$87,Formula!F98,40))+((Formula!I98)/(Formula!C98+Formula!E98+Formula!G98+Formula!I98+Formula!K98))*(INDEX(Properties!A$1:CB$87,Formula!H98,40))+((Formula!K98)/(Formula!C98+Formula!E98+Formula!G98+Formula!I98+Formula!K98))*(INDEX(Properties!A$1:CB$87,Formula!J98,40))</f>
        <v>1.0186666666666666</v>
      </c>
      <c r="DS98" s="63">
        <f>Formula!C98*(INDEX(Properties!A$1:CB$87,Formula!B98,40))+Formula!E98*(INDEX(Properties!A$1:CB$87,Formula!D98,40))+Formula!G98*(INDEX(Properties!A$1:CB$87,Formula!F98,40))+Formula!I98*(INDEX(Properties!A$1:CB$87,Formula!H98,40))+Formula!K98*(INDEX(Properties!A$1:CB$87,Formula!J98,40))</f>
        <v>15.280000000000001</v>
      </c>
      <c r="DT98" s="63">
        <f>VARP(IF(INDEX(Properties!A$1:CB$87,Formula!B98,40)&lt;&gt;"",INDEX(Properties!A$1:CB$87,Formula!B98,40)),IF(INDEX(Properties!A$1:CB$87,Formula!D98,40)&lt;&gt;"",INDEX(Properties!A$1:CB$87,Formula!D98,40)),IF(INDEX(Properties!A$1:CB$87,Formula!F98,40)&lt;&gt;"",INDEX(Properties!A$1:CB$87,Formula!F98,40)),IF(INDEX(Properties!A$1:CB$87,Formula!H98,40)&lt;&gt;"",INDEX(Properties!A$1:CB$87,Formula!H98,40)),IF(INDEX(Properties!A$1:CB$87,Formula!J98,40)&lt;&gt;"",INDEX(Properties!A$1:CB$87,Formula!J98,40)))</f>
        <v>0.23498399999999975</v>
      </c>
      <c r="DU98" s="63">
        <f>MAX(INDEX(Properties!A$1:CB$87,Formula!B98,40),INDEX(Properties!A$1:CB$87,Formula!D98,40),INDEX(Properties!A$1:CB$87,Formula!F98,40),INDEX(Properties!A$1:CB$87,Formula!H98,40),INDEX(Properties!A$1:CB$87,Formula!J98,40))</f>
        <v>1.98</v>
      </c>
      <c r="DV98" s="63">
        <f>MIN(IF(INDEX(Properties!A$1:CB$87,Formula!B98,40)=0,10^6,INDEX(Properties!A$1:CB$87,Formula!B98,40)),IF(INDEX(Properties!A$1:CB$87,Formula!D98,40)=0,10^6,INDEX(Properties!A$1:CB$87,Formula!D98,40)),IF(INDEX(Properties!A$1:CB$87,Formula!F98,40)=0,10^6,INDEX(Properties!A$1:CB$87,Formula!F98,40)),IF(INDEX(Properties!A$1:CB$87,Formula!H98,40)=0,10^6,INDEX(Properties!A$1:CB$87,Formula!H98,40)),IF(INDEX(Properties!A$1:CB$87,Formula!J98,40)=0,10^6,INDEX(Properties!A$1:CB$87,Formula!J98,40)))</f>
        <v>0.73</v>
      </c>
      <c r="DW98" s="63">
        <f t="shared" si="52"/>
        <v>1.25</v>
      </c>
      <c r="DX98" s="75">
        <f>((Formula!C98)/(Formula!C98+Formula!E98+Formula!G98+Formula!I98+Formula!K98))*(INDEX(Properties!A$1:CB$87,Formula!B98,41))+((Formula!E98)/(Formula!C98+Formula!E98+Formula!G98+Formula!I98+Formula!K98))*(INDEX(Properties!A$1:CB$87,Formula!D98,41))+((Formula!G98)/(Formula!C98+Formula!E98+Formula!G98+Formula!I98+Formula!K98))*(INDEX(Properties!A$1:CB$87,Formula!F98,41))+((Formula!I98)/(Formula!C98+Formula!E98+Formula!G98+Formula!I98+Formula!K98))*(INDEX(Properties!A$1:CB$87,Formula!H98,41))+((Formula!K98)/(Formula!C98+Formula!E98+Formula!G98+Formula!I98+Formula!K98))*(INDEX(Properties!A$1:CB$87,Formula!J98,41))</f>
        <v>1.1240000000000001</v>
      </c>
      <c r="DY98" s="75">
        <f>Formula!C98*(INDEX(Properties!A$1:CB$87,Formula!B98,41))+Formula!E98*(INDEX(Properties!A$1:CB$87,Formula!D98,41))+Formula!G98*(INDEX(Properties!A$1:CB$87,Formula!F98,41))+Formula!I98*(INDEX(Properties!A$1:CB$87,Formula!H98,41))+Formula!K98*(INDEX(Properties!A$1:CB$87,Formula!J98,41))</f>
        <v>16.86</v>
      </c>
      <c r="DZ98" s="75">
        <f>VARP(IF(INDEX(Properties!A$1:CB$87,Formula!B98,41)&lt;&gt;"",INDEX(Properties!A$1:CB$87,Formula!B98,41)),IF(INDEX(Properties!A$1:CB$87,Formula!D98,41)&lt;&gt;"",INDEX(Properties!A$1:CB$87,Formula!D98,41)),IF(INDEX(Properties!A$1:CB$87,Formula!F98,41)&lt;&gt;"",INDEX(Properties!A$1:CB$87,Formula!F98,41)),IF(INDEX(Properties!A$1:CB$87,Formula!H98,41)&lt;&gt;"",INDEX(Properties!A$1:CB$87,Formula!H98,41)),IF(INDEX(Properties!A$1:CB$87,Formula!J98,41)&lt;&gt;"",INDEX(Properties!A$1:CB$87,Formula!J98,41)))</f>
        <v>0.14076000000000022</v>
      </c>
      <c r="EA98" s="75">
        <f>MAX(INDEX(Properties!A$1:CB$87,Formula!B98,41),INDEX(Properties!A$1:CB$87,Formula!D98,41),INDEX(Properties!A$1:CB$87,Formula!F98,41),INDEX(Properties!A$1:CB$87,Formula!H98,41),INDEX(Properties!A$1:CB$87,Formula!J98,41))</f>
        <v>1.52</v>
      </c>
      <c r="EB98" s="75">
        <f>MIN(IF(INDEX(Properties!A$1:CB$87,Formula!B98,41)=0,10^6,INDEX(Properties!A$1:CB$87,Formula!B98,41)),IF(INDEX(Properties!A$1:CB$87,Formula!D98,41)=0,10^6,INDEX(Properties!A$1:CB$87,Formula!D98,41)),IF(INDEX(Properties!A$1:CB$87,Formula!F98,41)=0,10^6,INDEX(Properties!A$1:CB$87,Formula!F98,41)),IF(INDEX(Properties!A$1:CB$87,Formula!H98,41)=0,10^6,INDEX(Properties!A$1:CB$87,Formula!H98,41)),IF(INDEX(Properties!A$1:CB$87,Formula!J98,41)=0,10^6,INDEX(Properties!A$1:CB$87,Formula!J98,41)))</f>
        <v>0.54</v>
      </c>
      <c r="EC98" s="75">
        <f t="shared" si="53"/>
        <v>0.98</v>
      </c>
      <c r="ED98" s="48">
        <f>((Formula!C98)/(Formula!C98+Formula!E98+Formula!G98+Formula!I98+Formula!K98))*(INDEX(Properties!A$1:CB$87,Formula!B98,45))+((Formula!E98)/(Formula!C98+Formula!E98+Formula!G98+Formula!I98+Formula!K98))*(INDEX(Properties!A$1:CB$87,Formula!D98,45))+((Formula!G98)/(Formula!C98+Formula!E98+Formula!G98+Formula!I98+Formula!K98))*(INDEX(Properties!A$1:CB$87,Formula!F98,45))+((Formula!I98)/(Formula!C98+Formula!E98+Formula!G98+Formula!I98+Formula!K98))*(INDEX(Properties!A$1:CB$87,Formula!H98,45))+((Formula!K98)/(Formula!C98+Formula!E98+Formula!G98+Formula!I98+Formula!K98))*(INDEX(Properties!A$1:CB$87,Formula!J98,45))</f>
        <v>1.222</v>
      </c>
      <c r="EE98" s="48">
        <f>Formula!C98*(INDEX(Properties!A$1:CB$87,Formula!B98,45))+Formula!E98*(INDEX(Properties!A$1:CB$87,Formula!D98,45))+Formula!G98*(INDEX(Properties!A$1:CB$87,Formula!F98,45))+Formula!I98*(INDEX(Properties!A$1:CB$87,Formula!H98,45))+Formula!K98*(INDEX(Properties!A$1:CB$87,Formula!J98,45))</f>
        <v>18.329999999999998</v>
      </c>
      <c r="EF98" s="48">
        <f>VARP(IF(INDEX(Properties!A$1:CB$87,Formula!B98,45)&lt;&gt;"",INDEX(Properties!A$1:CB$87,Formula!B98,45)),IF(INDEX(Properties!A$1:CB$87,Formula!D98,45)&lt;&gt;"",INDEX(Properties!A$1:CB$87,Formula!D98,45)),IF(INDEX(Properties!A$1:CB$87,Formula!F98,45)&lt;&gt;"",INDEX(Properties!A$1:CB$87,Formula!F98,45)),IF(INDEX(Properties!A$1:CB$87,Formula!H98,45)&lt;&gt;"",INDEX(Properties!A$1:CB$87,Formula!H98,45)),IF(INDEX(Properties!A$1:CB$87,Formula!J98,45)&lt;&gt;"",INDEX(Properties!A$1:CB$87,Formula!J98,45)))</f>
        <v>1.4914639999999986</v>
      </c>
      <c r="EG98" s="48">
        <f>MAX(INDEX(Properties!A$1:CB$87,Formula!B98,45),INDEX(Properties!A$1:CB$87,Formula!D98,45),INDEX(Properties!A$1:CB$87,Formula!F98,45),INDEX(Properties!A$1:CB$87,Formula!H98,45),INDEX(Properties!A$1:CB$87,Formula!J98,45))</f>
        <v>3.69</v>
      </c>
      <c r="EH98" s="48">
        <f>MIN(IF(INDEX(Properties!A$1:CB$87,Formula!B98,45)=0,10^6,INDEX(Properties!A$1:CB$87,Formula!B98,45)),IF(INDEX(Properties!A$1:CB$87,Formula!D98,45)=0,10^6,INDEX(Properties!A$1:CB$87,Formula!D98,45)),IF(INDEX(Properties!A$1:CB$87,Formula!F98,45)=0,10^6,INDEX(Properties!A$1:CB$87,Formula!F98,45)),IF(INDEX(Properties!A$1:CB$87,Formula!H98,45)=0,10^6,INDEX(Properties!A$1:CB$87,Formula!H98,45)),IF(INDEX(Properties!A$1:CB$87,Formula!J98,45)=0,10^6,INDEX(Properties!A$1:CB$87,Formula!J98,45)))</f>
        <v>0.47</v>
      </c>
      <c r="EI98" s="48">
        <f t="shared" si="54"/>
        <v>3.2199999999999998</v>
      </c>
      <c r="EJ98" s="66">
        <f>((Formula!C98)/(Formula!C98+Formula!E98+Formula!G98+Formula!I98+Formula!K98))*(INDEX(Properties!A$1:CB$87,Formula!B98,46))+((Formula!E98)/(Formula!C98+Formula!E98+Formula!G98+Formula!I98+Formula!K98))*(INDEX(Properties!A$1:CB$87,Formula!D98,46))+((Formula!G98)/(Formula!C98+Formula!E98+Formula!G98+Formula!I98+Formula!K98))*(INDEX(Properties!A$1:CB$87,Formula!F98,46))+((Formula!I98)/(Formula!C98+Formula!E98+Formula!G98+Formula!I98+Formula!K98))*(INDEX(Properties!A$1:CB$87,Formula!H98,46))+((Formula!K98)/(Formula!C98+Formula!E98+Formula!G98+Formula!I98+Formula!K98))*(INDEX(Properties!A$1:CB$87,Formula!J98,46))</f>
        <v>1.0660000000000001</v>
      </c>
      <c r="EK98" s="66">
        <f>Formula!C98*(INDEX(Properties!A$1:CB$87,Formula!B98,46))+Formula!E98*(INDEX(Properties!A$1:CB$87,Formula!D98,46))+Formula!G98*(INDEX(Properties!A$1:CB$87,Formula!F98,46))+Formula!I98*(INDEX(Properties!A$1:CB$87,Formula!H98,46))+Formula!K98*(INDEX(Properties!A$1:CB$87,Formula!J98,46))</f>
        <v>15.99</v>
      </c>
      <c r="EL98" s="66">
        <f>VARP(IF(INDEX(Properties!A$1:CB$87,Formula!B98,46)&lt;&gt;"",INDEX(Properties!A$1:CB$87,Formula!B98,46)),IF(INDEX(Properties!A$1:CB$87,Formula!D98,46)&lt;&gt;"",INDEX(Properties!A$1:CB$87,Formula!D98,46)),IF(INDEX(Properties!A$1:CB$87,Formula!F98,46)&lt;&gt;"",INDEX(Properties!A$1:CB$87,Formula!F98,46)),IF(INDEX(Properties!A$1:CB$87,Formula!H98,46)&lt;&gt;"",INDEX(Properties!A$1:CB$87,Formula!H98,46)),IF(INDEX(Properties!A$1:CB$87,Formula!J98,46)&lt;&gt;"",INDEX(Properties!A$1:CB$87,Formula!J98,46)))</f>
        <v>0.17493600000000001</v>
      </c>
      <c r="EM98" s="66">
        <f>MAX(INDEX(Properties!A$1:CB$87,Formula!B98,46),INDEX(Properties!A$1:CB$87,Formula!D98,46),INDEX(Properties!A$1:CB$87,Formula!F98,46),INDEX(Properties!A$1:CB$87,Formula!H98,46),INDEX(Properties!A$1:CB$87,Formula!J98,46))</f>
        <v>1.52</v>
      </c>
      <c r="EN98" s="66">
        <f>MIN(IF(INDEX(Properties!A$1:CB$87,Formula!B98,46)=0,10^6,INDEX(Properties!A$1:CB$87,Formula!B98,46)),IF(INDEX(Properties!A$1:CB$87,Formula!D98,46)=0,10^6,INDEX(Properties!A$1:CB$87,Formula!D98,46)),IF(INDEX(Properties!A$1:CB$87,Formula!F98,46)=0,10^6,INDEX(Properties!A$1:CB$87,Formula!F98,46)),IF(INDEX(Properties!A$1:CB$87,Formula!H98,46)=0,10^6,INDEX(Properties!A$1:CB$87,Formula!H98,46)),IF(INDEX(Properties!A$1:CB$87,Formula!J98,46)=0,10^6,INDEX(Properties!A$1:CB$87,Formula!J98,46)))</f>
        <v>0.4</v>
      </c>
      <c r="EO98" s="66">
        <f t="shared" si="55"/>
        <v>1.1200000000000001</v>
      </c>
      <c r="EP98" s="81">
        <f>((Formula!C98)/(Formula!C98+Formula!E98+Formula!G98+Formula!I98+Formula!K98))*(INDEX(Properties!A$1:CB$87,Formula!B98,52))+((Formula!E98)/(Formula!C98+Formula!E98+Formula!G98+Formula!I98+Formula!K98))*(INDEX(Properties!A$1:CB$87,Formula!D98,52))+((Formula!G98)/(Formula!C98+Formula!E98+Formula!G98+Formula!I98+Formula!K98))*(INDEX(Properties!A$1:CB$87,Formula!F98,52))+((Formula!I98)/(Formula!C98+Formula!E98+Formula!G98+Formula!I98+Formula!K98))*(INDEX(Properties!A$1:CB$87,Formula!H98,52))+((Formula!K98)/(Formula!C98+Formula!E98+Formula!G98+Formula!I98+Formula!K98))*(INDEX(Properties!A$1:CB$87,Formula!J98,52))</f>
        <v>8.2824666666666662</v>
      </c>
      <c r="EQ98" s="81">
        <f>Formula!C98*(INDEX(Properties!A$1:CB$87,Formula!B98,52))+Formula!E98*(INDEX(Properties!A$1:CB$87,Formula!D98,52))+Formula!G98*(INDEX(Properties!A$1:CB$87,Formula!F98,52))+Formula!I98*(INDEX(Properties!A$1:CB$87,Formula!H98,52))+Formula!K98*(INDEX(Properties!A$1:CB$87,Formula!J98,52))</f>
        <v>124.23699999999999</v>
      </c>
      <c r="ER98" s="81">
        <f>VARP(IF(INDEX(Properties!A$1:CB$87,Formula!B98,52)&lt;&gt;"",INDEX(Properties!A$1:CB$87,Formula!B98,52)),IF(INDEX(Properties!A$1:CB$87,Formula!D98,52)&lt;&gt;"",INDEX(Properties!A$1:CB$87,Formula!D98,52)),IF(INDEX(Properties!A$1:CB$87,Formula!F98,52)&lt;&gt;"",INDEX(Properties!A$1:CB$87,Formula!F98,52)),IF(INDEX(Properties!A$1:CB$87,Formula!H98,52)&lt;&gt;"",INDEX(Properties!A$1:CB$87,Formula!H98,52)),IF(INDEX(Properties!A$1:CB$87,Formula!J98,52)&lt;&gt;"",INDEX(Properties!A$1:CB$87,Formula!J98,52)))</f>
        <v>302.49934384000005</v>
      </c>
      <c r="ES98" s="81">
        <f>MAX(INDEX(Properties!A$1:CB$87,Formula!B98,52),INDEX(Properties!A$1:CB$87,Formula!D98,52),INDEX(Properties!A$1:CB$87,Formula!F98,52),INDEX(Properties!A$1:CB$87,Formula!H98,52),INDEX(Properties!A$1:CB$87,Formula!J98,52))</f>
        <v>43.4</v>
      </c>
      <c r="ET98" s="81">
        <f>MIN(IF(INDEX(Properties!A$1:CB$87,Formula!B98,52)=0,10^6,INDEX(Properties!A$1:CB$87,Formula!B98,52)),IF(INDEX(Properties!A$1:CB$87,Formula!D98,52)=0,10^6,INDEX(Properties!A$1:CB$87,Formula!D98,52)),IF(INDEX(Properties!A$1:CB$87,Formula!F98,52)=0,10^6,INDEX(Properties!A$1:CB$87,Formula!F98,52)),IF(INDEX(Properties!A$1:CB$87,Formula!H98,52)=0,10^6,INDEX(Properties!A$1:CB$87,Formula!H98,52)),IF(INDEX(Properties!A$1:CB$87,Formula!J98,52)=0,10^6,INDEX(Properties!A$1:CB$87,Formula!J98,52)))</f>
        <v>0.79300000000000004</v>
      </c>
      <c r="EU98" s="81">
        <f t="shared" si="56"/>
        <v>42.606999999999999</v>
      </c>
      <c r="EV98" s="39">
        <f>((Formula!C98)/(Formula!C98+Formula!E98+Formula!G98+Formula!I98+Formula!K98))*(INDEX(Properties!A$1:CB$87,Formula!B98,53))+((Formula!E98)/(Formula!C98+Formula!E98+Formula!G98+Formula!I98+Formula!K98))*(INDEX(Properties!A$1:CB$87,Formula!D98,53))+((Formula!G98)/(Formula!C98+Formula!E98+Formula!G98+Formula!I98+Formula!K98))*(INDEX(Properties!A$1:CB$87,Formula!F98,53))+((Formula!I98)/(Formula!C98+Formula!E98+Formula!G98+Formula!I98+Formula!K98))*(INDEX(Properties!A$1:CB$87,Formula!H98,53))+((Formula!K98)/(Formula!C98+Formula!E98+Formula!G98+Formula!I98+Formula!K98))*(INDEX(Properties!A$1:CB$87,Formula!J98,53))</f>
        <v>579.39333333333343</v>
      </c>
      <c r="EW98" s="39">
        <f>Formula!C98*(INDEX(Properties!A$1:CB$87,Formula!B98,53))+Formula!E98*(INDEX(Properties!A$1:CB$87,Formula!D98,53))+Formula!G98*(INDEX(Properties!A$1:CB$87,Formula!F98,53))+Formula!I98*(INDEX(Properties!A$1:CB$87,Formula!H98,53))+Formula!K98*(INDEX(Properties!A$1:CB$87,Formula!J98,53))</f>
        <v>8690.9000000000015</v>
      </c>
      <c r="EX98" s="39">
        <f>VARP(IF(INDEX(Properties!A$1:CB$87,Formula!B98,53)&lt;&gt;"",INDEX(Properties!A$1:CB$87,Formula!B98,53)),IF(INDEX(Properties!A$1:CB$87,Formula!D98,53)&lt;&gt;"",INDEX(Properties!A$1:CB$87,Formula!D98,53)),IF(INDEX(Properties!A$1:CB$87,Formula!F98,53)&lt;&gt;"",INDEX(Properties!A$1:CB$87,Formula!F98,53)),IF(INDEX(Properties!A$1:CB$87,Formula!H98,53)&lt;&gt;"",INDEX(Properties!A$1:CB$87,Formula!H98,53)),IF(INDEX(Properties!A$1:CB$87,Formula!J98,53)&lt;&gt;"",INDEX(Properties!A$1:CB$87,Formula!J98,53)))</f>
        <v>492165.63560000004</v>
      </c>
      <c r="EY98" s="39">
        <f>MAX(INDEX(Properties!A$1:CB$87,Formula!B98,53),INDEX(Properties!A$1:CB$87,Formula!D98,53),INDEX(Properties!A$1:CB$87,Formula!F98,53),INDEX(Properties!A$1:CB$87,Formula!H98,53),INDEX(Properties!A$1:CB$87,Formula!J98,53))</f>
        <v>1814.15</v>
      </c>
      <c r="EZ98" s="39">
        <f>MIN(IF(INDEX(Properties!A$1:CB$87,Formula!B98,53)=0,10^6,INDEX(Properties!A$1:CB$87,Formula!B98,53)),IF(INDEX(Properties!A$1:CB$87,Formula!D98,53)=0,10^6,INDEX(Properties!A$1:CB$87,Formula!D98,53)),IF(INDEX(Properties!A$1:CB$87,Formula!F98,53)=0,10^6,INDEX(Properties!A$1:CB$87,Formula!F98,53)),IF(INDEX(Properties!A$1:CB$87,Formula!H98,53)=0,10^6,INDEX(Properties!A$1:CB$87,Formula!H98,53)),IF(INDEX(Properties!A$1:CB$87,Formula!J98,53)=0,10^6,INDEX(Properties!A$1:CB$87,Formula!J98,53)))</f>
        <v>54.749999999999972</v>
      </c>
      <c r="FA98" s="39">
        <f t="shared" si="57"/>
        <v>1759.4</v>
      </c>
      <c r="FB98" s="54">
        <f>((Formula!C98)/(Formula!C98+Formula!E98+Formula!G98+Formula!I98+Formula!K98))*(INDEX(Properties!A$1:CB$87,Formula!B98,54))+((Formula!E98)/(Formula!C98+Formula!E98+Formula!G98+Formula!I98+Formula!K98))*(INDEX(Properties!A$1:CB$87,Formula!D98,54))+((Formula!G98)/(Formula!C98+Formula!E98+Formula!G98+Formula!I98+Formula!K98))*(INDEX(Properties!A$1:CB$87,Formula!F98,54))+((Formula!I98)/(Formula!C98+Formula!E98+Formula!G98+Formula!I98+Formula!K98))*(INDEX(Properties!A$1:CB$87,Formula!H98,54))+((Formula!K98)/(Formula!C98+Formula!E98+Formula!G98+Formula!I98+Formula!K98))*(INDEX(Properties!A$1:CB$87,Formula!J98,54))</f>
        <v>983.15</v>
      </c>
      <c r="FC98" s="54">
        <f>Formula!C98*(INDEX(Properties!A$1:CB$87,Formula!B98,54))+Formula!E98*(INDEX(Properties!A$1:CB$87,Formula!D98,54))+Formula!G98*(INDEX(Properties!A$1:CB$87,Formula!F98,54))+Formula!I98*(INDEX(Properties!A$1:CB$87,Formula!H98,54))+Formula!K98*(INDEX(Properties!A$1:CB$87,Formula!J98,54))</f>
        <v>14747.250000000002</v>
      </c>
      <c r="FD98" s="54">
        <f>VARP(IF(INDEX(Properties!A$1:CB$87,Formula!B98,54)&lt;&gt;"",INDEX(Properties!A$1:CB$87,Formula!B98,54)),IF(INDEX(Properties!A$1:CB$87,Formula!D98,54)&lt;&gt;"",INDEX(Properties!A$1:CB$87,Formula!D98,54)),IF(INDEX(Properties!A$1:CB$87,Formula!F98,54)&lt;&gt;"",INDEX(Properties!A$1:CB$87,Formula!F98,54)),IF(INDEX(Properties!A$1:CB$87,Formula!H98,54)&lt;&gt;"",INDEX(Properties!A$1:CB$87,Formula!H98,54)),IF(INDEX(Properties!A$1:CB$87,Formula!J98,54)&lt;&gt;"",INDEX(Properties!A$1:CB$87,Formula!J98,54)))</f>
        <v>1180618.9600000007</v>
      </c>
      <c r="FE98" s="54">
        <f>MAX(INDEX(Properties!A$1:CB$87,Formula!B98,54),INDEX(Properties!A$1:CB$87,Formula!D98,54),INDEX(Properties!A$1:CB$87,Formula!F98,54),INDEX(Properties!A$1:CB$87,Formula!H98,54),INDEX(Properties!A$1:CB$87,Formula!J98,54))</f>
        <v>3105.15</v>
      </c>
      <c r="FF98" s="54">
        <f>MIN(IF(INDEX(Properties!A$1:CB$87,Formula!B98,54)=0,10^6,INDEX(Properties!A$1:CB$87,Formula!B98,54)),IF(INDEX(Properties!A$1:CB$87,Formula!D98,54)=0,10^6,INDEX(Properties!A$1:CB$87,Formula!D98,54)),IF(INDEX(Properties!A$1:CB$87,Formula!F98,54)=0,10^6,INDEX(Properties!A$1:CB$87,Formula!F98,54)),IF(INDEX(Properties!A$1:CB$87,Formula!H98,54)=0,10^6,INDEX(Properties!A$1:CB$87,Formula!H98,54)),IF(INDEX(Properties!A$1:CB$87,Formula!J98,54)=0,10^6,INDEX(Properties!A$1:CB$87,Formula!J98,54)))</f>
        <v>90.149999999999977</v>
      </c>
      <c r="FG98" s="54">
        <f t="shared" si="58"/>
        <v>3015</v>
      </c>
      <c r="FH98" s="69">
        <f>((Formula!C98)/(Formula!C98+Formula!E98+Formula!G98+Formula!I98+Formula!K98))*(INDEX(Properties!A$1:CB$87,Formula!B98,55))+((Formula!E98)/(Formula!C98+Formula!E98+Formula!G98+Formula!I98+Formula!K98))*(INDEX(Properties!A$1:CB$87,Formula!D98,55))+((Formula!G98)/(Formula!C98+Formula!E98+Formula!G98+Formula!I98+Formula!K98))*(INDEX(Properties!A$1:CB$87,Formula!F98,55))+((Formula!I98)/(Formula!C98+Formula!E98+Formula!G98+Formula!I98+Formula!K98))*(INDEX(Properties!A$1:CB$87,Formula!H98,55))+((Formula!K98)/(Formula!C98+Formula!E98+Formula!G98+Formula!I98+Formula!K98))*(INDEX(Properties!A$1:CB$87,Formula!J98,55))</f>
        <v>0.95685799999999999</v>
      </c>
      <c r="FI98" s="69">
        <f>Formula!C98*(INDEX(Properties!A$1:CB$87,Formula!B98,55))+Formula!E98*(INDEX(Properties!A$1:CB$87,Formula!D98,54))+Formula!G98*(INDEX(Properties!A$1:CB$87,Formula!F98,55))+Formula!I98*(INDEX(Properties!A$1:CB$87,Formula!H98,55))+Formula!K98*(INDEX(Properties!A$1:CB$87,Formula!J98,55))</f>
        <v>1924.00287</v>
      </c>
      <c r="FJ98" s="69">
        <f>VARP(IF(INDEX(Properties!A$1:CB$87,Formula!B98,55)&lt;&gt;"",INDEX(Properties!A$1:CB$87,Formula!B98,55)),IF(INDEX(Properties!A$1:CB$87,Formula!D98,55)&lt;&gt;"",INDEX(Properties!A$1:CB$87,Formula!D98,55)),IF(INDEX(Properties!A$1:CB$87,Formula!F98,55)&lt;&gt;"",INDEX(Properties!A$1:CB$87,Formula!F98,55)),IF(INDEX(Properties!A$1:CB$87,Formula!H98,55)&lt;&gt;"",INDEX(Properties!A$1:CB$87,Formula!H98,55)),IF(INDEX(Properties!A$1:CB$87,Formula!J98,55)&lt;&gt;"",INDEX(Properties!A$1:CB$87,Formula!J98,55)))</f>
        <v>1.722516935184002</v>
      </c>
      <c r="FK98" s="69">
        <f>MAX(INDEX(Properties!A$1:CB$87,Formula!B98,55),INDEX(Properties!A$1:CB$87,Formula!D98,55),INDEX(Properties!A$1:CB$87,Formula!F98,55),INDEX(Properties!A$1:CB$87,Formula!H98,55),INDEX(Properties!A$1:CB$87,Formula!J98,55))</f>
        <v>3.5</v>
      </c>
      <c r="FL98" s="69">
        <f>MIN(IF(INDEX(Properties!A$1:CB$87,Formula!B98,55)=0,10^6,INDEX(Properties!A$1:CB$87,Formula!B98,55)),IF(INDEX(Properties!A$1:CB$87,Formula!D98,55)=0,10^6,INDEX(Properties!A$1:CB$87,Formula!D98,55)),IF(INDEX(Properties!A$1:CB$87,Formula!F98,55)=0,10^6,INDEX(Properties!A$1:CB$87,Formula!F98,55)),IF(INDEX(Properties!A$1:CB$87,Formula!H98,55)=0,10^6,INDEX(Properties!A$1:CB$87,Formula!H98,55)),IF(INDEX(Properties!A$1:CB$87,Formula!J98,55)=0,10^6,INDEX(Properties!A$1:CB$87,Formula!J98,55)))</f>
        <v>1.4300000000000001E-3</v>
      </c>
      <c r="FM98" s="69">
        <f t="shared" si="59"/>
        <v>3.49857</v>
      </c>
      <c r="FN98" s="42">
        <f>((Formula!C98)/(Formula!C98+Formula!E98+Formula!G98+Formula!I98+Formula!K98))*(INDEX(Properties!A$1:CB$87,Formula!B98,56))+((Formula!E98)/(Formula!C98+Formula!E98+Formula!G98+Formula!I98+Formula!K98))*(INDEX(Properties!A$1:CB$87,Formula!D98,56))+((Formula!G98)/(Formula!C98+Formula!E98+Formula!G98+Formula!I98+Formula!K98))*(INDEX(Properties!A$1:CB$87,Formula!F98,56))+((Formula!I98)/(Formula!C98+Formula!E98+Formula!G98+Formula!I98+Formula!K98))*(INDEX(Properties!A$1:CB$87,Formula!H98,56))+((Formula!K98)/(Formula!C98+Formula!E98+Formula!G98+Formula!I98+Formula!K98))*(INDEX(Properties!A$1:CB$87,Formula!J98,56))</f>
        <v>0.79760000000000009</v>
      </c>
      <c r="FO98" s="42">
        <f>Formula!C98*(INDEX(Properties!A$1:CB$87,Formula!B98,56))+Formula!E98*(INDEX(Properties!A$1:CB$87,Formula!D98,56))+Formula!G98*(INDEX(Properties!A$1:CB$87,Formula!F98,56))+Formula!I98*(INDEX(Properties!A$1:CB$87,Formula!H98,56))+Formula!K98*(INDEX(Properties!A$1:CB$87,Formula!J98,56))</f>
        <v>11.964</v>
      </c>
      <c r="FP98" s="42">
        <f>VARP(IF(INDEX(Properties!A$1:CB$87,Formula!B98,56)&lt;&gt;"",INDEX(Properties!A$1:CB$87,Formula!B98,56)),IF(INDEX(Properties!A$1:CB$87,Formula!D98,56)&lt;&gt;"",INDEX(Properties!A$1:CB$87,Formula!D98,56)),IF(INDEX(Properties!A$1:CB$87,Formula!F98,56)&lt;&gt;"",INDEX(Properties!A$1:CB$87,Formula!F98,56)),IF(INDEX(Properties!A$1:CB$87,Formula!H98,56)&lt;&gt;"",INDEX(Properties!A$1:CB$87,Formula!H98,56)),IF(INDEX(Properties!A$1:CB$87,Formula!J98,56)&lt;&gt;"",INDEX(Properties!A$1:CB$87,Formula!J98,56)))</f>
        <v>5.7408960000000134E-2</v>
      </c>
      <c r="FQ98" s="42">
        <f>MAX(INDEX(Properties!A$1:CB$87,Formula!B98,56),INDEX(Properties!A$1:CB$87,Formula!D98,56),INDEX(Properties!A$1:CB$87,Formula!F98,56),INDEX(Properties!A$1:CB$87,Formula!H98,56),INDEX(Properties!A$1:CB$87,Formula!J98,56))</f>
        <v>0.92</v>
      </c>
      <c r="FR98" s="42">
        <f>MIN(IF(INDEX(Properties!A$1:CB$87,Formula!B98,56)=0,10^6,INDEX(Properties!A$1:CB$87,Formula!B98,56)),IF(INDEX(Properties!A$1:CB$87,Formula!D98,56)=0,10^6,INDEX(Properties!A$1:CB$87,Formula!D98,56)),IF(INDEX(Properties!A$1:CB$87,Formula!F98,56)=0,10^6,INDEX(Properties!A$1:CB$87,Formula!F98,56)),IF(INDEX(Properties!A$1:CB$87,Formula!H98,56)=0,10^6,INDEX(Properties!A$1:CB$87,Formula!H98,56)),IF(INDEX(Properties!A$1:CB$87,Formula!J98,56)=0,10^6,INDEX(Properties!A$1:CB$87,Formula!J98,56)))</f>
        <v>0.20399999999999999</v>
      </c>
      <c r="FS98" s="42">
        <f t="shared" si="60"/>
        <v>0.71600000000000008</v>
      </c>
      <c r="FT98" s="60">
        <f>((Formula!C98)/(Formula!C98+Formula!E98+Formula!G98+Formula!I98+Formula!K98))*(INDEX(Properties!A$1:CB$87,Formula!B98,57))+((Formula!E98)/(Formula!C98+Formula!E98+Formula!G98+Formula!I98+Formula!K98))*(INDEX(Properties!A$1:CB$87,Formula!D98,57))+((Formula!G98)/(Formula!C98+Formula!E98+Formula!G98+Formula!I98+Formula!K98))*(INDEX(Properties!A$1:CB$87,Formula!F98,57))+((Formula!I98)/(Formula!C98+Formula!E98+Formula!G98+Formula!I98+Formula!K98))*(INDEX(Properties!A$1:CB$87,Formula!H98,57))+((Formula!K98)/(Formula!C98+Formula!E98+Formula!G98+Formula!I98+Formula!K98))*(INDEX(Properties!A$1:CB$87,Formula!J98,57))</f>
        <v>11.855820666666666</v>
      </c>
      <c r="FU98" s="60">
        <f>Formula!C98*(INDEX(Properties!A$1:CB$87,Formula!B98,57))+Formula!E98*(INDEX(Properties!A$1:CB$87,Formula!D98,57))+Formula!G98*(INDEX(Properties!A$1:CB$87,Formula!F98,57))+Formula!I98*(INDEX(Properties!A$1:CB$87,Formula!H98,57))+Formula!K98*(INDEX(Properties!A$1:CB$87,Formula!J98,57))</f>
        <v>177.83730999999997</v>
      </c>
      <c r="FV98" s="60">
        <f>VARP(IF(INDEX(Properties!A$1:CB$87,Formula!B98,57)&lt;&gt;"",INDEX(Properties!A$1:CB$87,Formula!B98,57)),IF(INDEX(Properties!A$1:CB$87,Formula!D98,57)&lt;&gt;"",INDEX(Properties!A$1:CB$87,Formula!D98,57)),IF(INDEX(Properties!A$1:CB$87,Formula!F98,57)&lt;&gt;"",INDEX(Properties!A$1:CB$87,Formula!F98,57)),IF(INDEX(Properties!A$1:CB$87,Formula!H98,57)&lt;&gt;"",INDEX(Properties!A$1:CB$87,Formula!H98,57)),IF(INDEX(Properties!A$1:CB$87,Formula!J98,57)&lt;&gt;"",INDEX(Properties!A$1:CB$87,Formula!J98,57)))</f>
        <v>339.19480508449601</v>
      </c>
      <c r="FW98" s="60">
        <f>MAX(INDEX(Properties!A$1:CB$87,Formula!B98,57),INDEX(Properties!A$1:CB$87,Formula!D98,57),INDEX(Properties!A$1:CB$87,Formula!F98,57),INDEX(Properties!A$1:CB$87,Formula!H98,57),INDEX(Properties!A$1:CB$87,Formula!J98,57))</f>
        <v>50.55</v>
      </c>
      <c r="FX98" s="60">
        <f>MIN(IF(INDEX(Properties!A$1:CB$87,Formula!B98,57)=0,10^6,INDEX(Properties!A$1:CB$87,Formula!B98,57)),IF(INDEX(Properties!A$1:CB$87,Formula!D98,57)=0,10^6,INDEX(Properties!A$1:CB$87,Formula!D98,57)),IF(INDEX(Properties!A$1:CB$87,Formula!F98,57)=0,10^6,INDEX(Properties!A$1:CB$87,Formula!F98,57)),IF(INDEX(Properties!A$1:CB$87,Formula!H98,57)=0,10^6,INDEX(Properties!A$1:CB$87,Formula!H98,57)),IF(INDEX(Properties!A$1:CB$87,Formula!J98,57)=0,10^6,INDEX(Properties!A$1:CB$87,Formula!J98,57)))</f>
        <v>0.22259000000000001</v>
      </c>
      <c r="FY98" s="60">
        <f t="shared" si="61"/>
        <v>50.32741</v>
      </c>
      <c r="FZ98" s="72">
        <f>((Formula!C98)/(Formula!C98+Formula!E98+Formula!G98+Formula!I98+Formula!K98))*(INDEX(Properties!A$1:CB$87,Formula!B98,60))+((Formula!E98)/(Formula!C98+Formula!E98+Formula!G98+Formula!I98+Formula!K98))*(INDEX(Properties!A$1:CB$87,Formula!D98,60))+((Formula!G98)/(Formula!C98+Formula!E98+Formula!G98+Formula!I98+Formula!K98))*(INDEX(Properties!A$1:CB$87,Formula!F98,60))+((Formula!I98)/(Formula!C98+Formula!E98+Formula!G98+Formula!I98+Formula!K98))*(INDEX(Properties!A$1:CB$87,Formula!H98,60))+((Formula!K98)/(Formula!C98+Formula!E98+Formula!G98+Formula!I98+Formula!K98))*(INDEX(Properties!A$1:CB$87,Formula!J98,60))</f>
        <v>38.722710666666671</v>
      </c>
      <c r="GA98" s="72">
        <f>Formula!C98*(INDEX(Properties!A$1:CB$87,Formula!B98,60))+Formula!E98*(INDEX(Properties!A$1:CB$87,Formula!D98,60))+Formula!G98*(INDEX(Properties!A$1:CB$87,Formula!F98,60))+Formula!I98*(INDEX(Properties!A$1:CB$87,Formula!H98,60))+Formula!K98*(INDEX(Properties!A$1:CB$87,Formula!J98,60))</f>
        <v>580.84066000000007</v>
      </c>
      <c r="GB98" s="72">
        <f>VARP(IF(INDEX(Properties!A$1:CB$87,Formula!B98,60)&lt;&gt;"",INDEX(Properties!A$1:CB$87,Formula!B98,60)),IF(INDEX(Properties!A$1:CB$87,Formula!D98,60)&lt;&gt;"",INDEX(Properties!A$1:CB$87,Formula!D98,60)),IF(INDEX(Properties!A$1:CB$87,Formula!F98,60)&lt;&gt;"",INDEX(Properties!A$1:CB$87,Formula!F98,60)),IF(INDEX(Properties!A$1:CB$87,Formula!H98,60)&lt;&gt;"",INDEX(Properties!A$1:CB$87,Formula!H98,60)),IF(INDEX(Properties!A$1:CB$87,Formula!J98,60)&lt;&gt;"",INDEX(Properties!A$1:CB$87,Formula!J98,60)))</f>
        <v>3355.0968980844145</v>
      </c>
      <c r="GC98" s="72">
        <f>MAX(INDEX(Properties!A$1:CB$87,Formula!B98,60),INDEX(Properties!A$1:CB$87,Formula!D98,60),INDEX(Properties!A$1:CB$87,Formula!F98,60),INDEX(Properties!A$1:CB$87,Formula!H98,60),INDEX(Properties!A$1:CB$87,Formula!J98,60))</f>
        <v>148</v>
      </c>
      <c r="GD98" s="72">
        <f>MIN(IF(INDEX(Properties!A$1:CB$87,Formula!B98,60)=0,10^6,INDEX(Properties!A$1:CB$87,Formula!B98,60)),IF(INDEX(Properties!A$1:CB$87,Formula!D98,60)=0,10^6,INDEX(Properties!A$1:CB$87,Formula!D98,60)),IF(INDEX(Properties!A$1:CB$87,Formula!F98,60)=0,10^6,INDEX(Properties!A$1:CB$87,Formula!F98,60)),IF(INDEX(Properties!A$1:CB$87,Formula!H98,60)=0,10^6,INDEX(Properties!A$1:CB$87,Formula!H98,60)),IF(INDEX(Properties!A$1:CB$87,Formula!J98,60)=0,10^6,INDEX(Properties!A$1:CB$87,Formula!J98,60)))</f>
        <v>2.674E-2</v>
      </c>
      <c r="GE98" s="72">
        <f t="shared" si="62"/>
        <v>147.97326000000001</v>
      </c>
      <c r="GF98" s="51">
        <f>((Formula!C98)/(Formula!C98+Formula!E98+Formula!G98+Formula!I98+Formula!K98))*(INDEX(Properties!A$1:CB$87,Formula!B98,62))+((Formula!E98)/(Formula!C98+Formula!E98+Formula!G98+Formula!I98+Formula!K98))*(INDEX(Properties!A$1:CB$87,Formula!D98,62))+((Formula!G98)/(Formula!C98+Formula!E98+Formula!G98+Formula!I98+Formula!K98))*(INDEX(Properties!A$1:CB$87,Formula!F98,62))+((Formula!I98)/(Formula!C98+Formula!E98+Formula!G98+Formula!I98+Formula!K98))*(INDEX(Properties!A$1:CB$87,Formula!H98,62))+((Formula!K98)/(Formula!C98+Formula!E98+Formula!G98+Formula!I98+Formula!K98))*(INDEX(Properties!A$1:CB$87,Formula!J98,62))</f>
        <v>2.9469333333333334</v>
      </c>
      <c r="GG98" s="51">
        <f>Formula!C98*(INDEX(Properties!A$1:CB$87,Formula!B98,62))+Formula!E98*(INDEX(Properties!A$1:CB$87,Formula!D98,62))+Formula!G98*(INDEX(Properties!A$1:CB$87,Formula!F98,62))+Formula!I98*(INDEX(Properties!A$1:CB$87,Formula!H98,62))+Formula!K98*(INDEX(Properties!A$1:CB$87,Formula!J98,62))</f>
        <v>44.204000000000008</v>
      </c>
      <c r="GH98" s="51">
        <f>VARP(IF(INDEX(Properties!A$1:CB$87,Formula!B98,62)&lt;&gt;"",INDEX(Properties!A$1:CB$87,Formula!B98,62)),IF(INDEX(Properties!A$1:CB$87,Formula!D98,62)&lt;&gt;"",INDEX(Properties!A$1:CB$87,Formula!D98,62)),IF(INDEX(Properties!A$1:CB$87,Formula!F98,62)&lt;&gt;"",INDEX(Properties!A$1:CB$87,Formula!F98,62)),IF(INDEX(Properties!A$1:CB$87,Formula!H98,62)&lt;&gt;"",INDEX(Properties!A$1:CB$87,Formula!H98,62)),IF(INDEX(Properties!A$1:CB$87,Formula!J98,62)&lt;&gt;"",INDEX(Properties!A$1:CB$87,Formula!J98,62)))</f>
        <v>1.7766409599999975</v>
      </c>
      <c r="GI98" s="51">
        <f>MAX(INDEX(Properties!A$1:CB$87,Formula!B98,62),INDEX(Properties!A$1:CB$87,Formula!D98,62),INDEX(Properties!A$1:CB$87,Formula!F98,62),INDEX(Properties!A$1:CB$87,Formula!H98,62),INDEX(Properties!A$1:CB$87,Formula!J98,62))</f>
        <v>4.63</v>
      </c>
      <c r="GJ98" s="51">
        <f>MIN(IF(INDEX(Properties!A$1:CB$87,Formula!B98,62)=0,10^6,INDEX(Properties!A$1:CB$87,Formula!B98,62)),IF(INDEX(Properties!A$1:CB$87,Formula!D98,62)=0,10^6,INDEX(Properties!A$1:CB$87,Formula!D98,62)),IF(INDEX(Properties!A$1:CB$87,Formula!F98,62)=0,10^6,INDEX(Properties!A$1:CB$87,Formula!F98,62)),IF(INDEX(Properties!A$1:CB$87,Formula!H98,62)=0,10^6,INDEX(Properties!A$1:CB$87,Formula!H98,62)),IF(INDEX(Properties!A$1:CB$87,Formula!J98,62)=0,10^6,INDEX(Properties!A$1:CB$87,Formula!J98,62)))</f>
        <v>0.93400000000000005</v>
      </c>
      <c r="GK98" s="51">
        <f t="shared" si="63"/>
        <v>3.6959999999999997</v>
      </c>
      <c r="GL98" s="51">
        <f>Formula!P98</f>
        <v>14</v>
      </c>
      <c r="GM98" s="57">
        <f>Formula!O98</f>
        <v>2</v>
      </c>
      <c r="GN98" s="51">
        <f>Formula!N98</f>
        <v>7.0000000000000007E-2</v>
      </c>
    </row>
    <row r="99" spans="1:196" x14ac:dyDescent="0.3">
      <c r="A99" s="84" t="str">
        <f>Formula!A99</f>
        <v>SrZrO3</v>
      </c>
      <c r="B99" s="89">
        <f>((Formula!C99)/(Formula!C99+Formula!E99+Formula!G99+Formula!I99+Formula!K99))*(INDEX(Properties!A$1:CB$87,Formula!B99,3))+((Formula!E99)/(Formula!C99+Formula!E99+Formula!G99+Formula!I99+Formula!K99))*(INDEX(Properties!A$1:CB$87,Formula!D99,3))+((Formula!G99)/(Formula!C99+Formula!E99+Formula!G99+Formula!I99+Formula!K99))*(INDEX(Properties!A$1:CB$87,Formula!F99,3))+((Formula!I99)/(Formula!C99+Formula!E99+Formula!G99+Formula!I99+Formula!K99))*(INDEX(Properties!A$1:CB$87,Formula!H99,3))+((Formula!K99)/(Formula!C99+Formula!E99+Formula!G99+Formula!I99+Formula!K99))*(INDEX(Properties!A$1:CB$87,Formula!J99,3))</f>
        <v>45.36844</v>
      </c>
      <c r="C99" s="85">
        <f>Formula!C99*(INDEX(Properties!A$1:CB$87,Formula!B99,3))+Formula!E99*(INDEX(Properties!A$1:CB$87,Formula!D99,3))+Formula!G99*(INDEX(Properties!A$1:CB$87,Formula!F99,3))+Formula!I99*(INDEX(Properties!A$1:CB$87,Formula!H99,3))+Formula!K99*(INDEX(Properties!A$1:CB$87,Formula!J99,3))</f>
        <v>226.84219999999999</v>
      </c>
      <c r="D99" s="85">
        <f>VARP(IF(INDEX(Properties!A$1:CB$87,Formula!B99,3)&lt;&gt;"",INDEX(Properties!A$1:CB$87,Formula!B99,3)),IF(INDEX(Properties!A$1:CB$87,Formula!D99,3)&lt;&gt;"",INDEX(Properties!A$1:CB$87,Formula!D99,3)),IF(INDEX(Properties!A$1:CB$87,Formula!F99,3)&lt;&gt;"",INDEX(Properties!A$1:CB$87,Formula!F99,3)),IF(INDEX(Properties!A$1:CB$87,Formula!H99,3)&lt;&gt;"",INDEX(Properties!A$1:CB$87,Formula!H99,3)),IF(INDEX(Properties!A$1:CB$87,Formula!J99,3)&lt;&gt;"",INDEX(Properties!A$1:CB$87,Formula!J99,3)))</f>
        <v>1732.4546543295999</v>
      </c>
      <c r="E99" s="85">
        <f>MAX(INDEX(Properties!A$1:CB$87,Formula!B99,3),INDEX(Properties!A$1:CB$87,Formula!D99,3),INDEX(Properties!A$1:CB$87,Formula!F99,3),INDEX(Properties!A$1:CB$87,Formula!H99,3),INDEX(Properties!A$1:CB$87,Formula!J99,3))</f>
        <v>91.224000000000004</v>
      </c>
      <c r="F99" s="85">
        <f>MIN(IF(INDEX(Properties!A$1:CB$87,Formula!B99,3)=0,10^6,INDEX(Properties!A$1:CB$87,Formula!B99,3)),IF(INDEX(Properties!A$1:CB$87,Formula!D99,3)=0,10^6,INDEX(Properties!A$1:CB$87,Formula!D99,3)),IF(INDEX(Properties!A$1:CB$87,Formula!F99,3)=0,10^6,INDEX(Properties!A$1:CB$87,Formula!F99,3)),IF(INDEX(Properties!A$1:CB$87,Formula!H99,3)=0,10^6,INDEX(Properties!A$1:CB$87,Formula!H99,3)),IF(INDEX(Properties!A$1:CB$87,Formula!J99,3)=0,10^6,INDEX(Properties!A$1:CB$87,Formula!J99,3)))</f>
        <v>15.9994</v>
      </c>
      <c r="G99" s="85">
        <f t="shared" si="32"/>
        <v>75.224600000000009</v>
      </c>
      <c r="H99" s="87">
        <f>((Formula!C99)/(Formula!C99+Formula!E99+Formula!G99+Formula!I99+Formula!K99))*(INDEX(Properties!A$1:CB$87,Formula!B99,4))+((Formula!E99)/(Formula!C99+Formula!E99+Formula!G99+Formula!I99+Formula!K99))*(INDEX(Properties!A$1:CB$87,Formula!D99,4))+((Formula!G99)/(Formula!C99+Formula!E99+Formula!G99+Formula!I99+Formula!K99))*(INDEX(Properties!A$1:CB$87,Formula!F99,4))+((Formula!I99)/(Formula!C99+Formula!E99+Formula!G99+Formula!I99+Formula!K99))*(INDEX(Properties!A$1:CB$87,Formula!H99,4))+((Formula!K99)/(Formula!C99+Formula!E99+Formula!G99+Formula!I99+Formula!K99))*(INDEX(Properties!A$1:CB$87,Formula!J99,4))</f>
        <v>20.400000000000002</v>
      </c>
      <c r="I99" s="87">
        <f>Formula!C99*(INDEX(Properties!A$1:CB$87,Formula!B99,4))+Formula!E99*(INDEX(Properties!A$1:CB$87,Formula!D99,4))+Formula!G99*(INDEX(Properties!A$1:CB$87,Formula!F99,4))+Formula!I99*(INDEX(Properties!A$1:CB$87,Formula!H99,4))+Formula!K99*(INDEX(Properties!A$1:CB$87,Formula!J99,4))</f>
        <v>102</v>
      </c>
      <c r="J99" s="87">
        <f>VARP(IF(INDEX(Properties!A$1:CB$87,Formula!B99,4)&lt;&gt;"",INDEX(Properties!A$1:CB$87,Formula!B99,4)),IF(INDEX(Properties!A$1:CB$87,Formula!D99,4)&lt;&gt;"",INDEX(Properties!A$1:CB$87,Formula!D99,4)),IF(INDEX(Properties!A$1:CB$87,Formula!F99,4)&lt;&gt;"",INDEX(Properties!A$1:CB$87,Formula!F99,4)),IF(INDEX(Properties!A$1:CB$87,Formula!H99,4)&lt;&gt;"",INDEX(Properties!A$1:CB$87,Formula!H99,4)),IF(INDEX(Properties!A$1:CB$87,Formula!J99,4)&lt;&gt;"",INDEX(Properties!A$1:CB$87,Formula!J99,4)))</f>
        <v>325.76</v>
      </c>
      <c r="K99" s="87">
        <f>MAX(INDEX(Properties!A$1:CB$87,Formula!B99,4),INDEX(Properties!A$1:CB$87,Formula!D99,4),INDEX(Properties!A$1:CB$87,Formula!F99,4),INDEX(Properties!A$1:CB$87,Formula!H99,4),INDEX(Properties!A$1:CB$87,Formula!J99,4))</f>
        <v>40</v>
      </c>
      <c r="L99" s="87">
        <f>MIN(IF(INDEX(Properties!A$1:CB$87,Formula!B99,4)=0,10^6,INDEX(Properties!A$1:CB$87,Formula!B99,4)),IF(INDEX(Properties!A$1:CB$87,Formula!D99,4)=0,10^6,INDEX(Properties!A$1:CB$87,Formula!D99,4)),IF(INDEX(Properties!A$1:CB$87,Formula!F99,4)=0,10^6,INDEX(Properties!A$1:CB$87,Formula!F99,4)),IF(INDEX(Properties!A$1:CB$87,Formula!H99,4)=0,10^6,INDEX(Properties!A$1:CB$87,Formula!H99,4)),IF(INDEX(Properties!A$1:CB$87,Formula!J99,4)=0,10^6,INDEX(Properties!A$1:CB$87,Formula!J99,4)))</f>
        <v>8</v>
      </c>
      <c r="M99" s="87">
        <f t="shared" si="33"/>
        <v>32</v>
      </c>
      <c r="N99" s="89">
        <f>((Formula!C99)/(Formula!C99+Formula!E99+Formula!G99+Formula!I99+Formula!K99))*(INDEX(Properties!A$1:CB$87,Formula!B99,5))+((Formula!E99)/(Formula!C99+Formula!E99+Formula!G99+Formula!I99+Formula!K99))*(INDEX(Properties!A$1:CB$87,Formula!D99,5))+((Formula!G99)/(Formula!C99+Formula!E99+Formula!G99+Formula!I99+Formula!K99))*(INDEX(Properties!A$1:CB$87,Formula!F99,5))+((Formula!I99)/(Formula!C99+Formula!E99+Formula!G99+Formula!I99+Formula!K99))*(INDEX(Properties!A$1:CB$87,Formula!H99,5))+((Formula!K99)/(Formula!C99+Formula!E99+Formula!G99+Formula!I99+Formula!K99))*(INDEX(Properties!A$1:CB$87,Formula!J99,5))</f>
        <v>3.2</v>
      </c>
      <c r="O99" s="89">
        <f>Formula!C99*(INDEX(Properties!A$1:CB$87,Formula!B99,5))+Formula!E99*(INDEX(Properties!A$1:CB$87,Formula!D99,5))+Formula!G99*(INDEX(Properties!A$1:CB$87,Formula!F99,5))+Formula!I99*(INDEX(Properties!A$1:CB$87,Formula!H99,5))+Formula!K99*(INDEX(Properties!A$1:CB$87,Formula!J99,5))</f>
        <v>16</v>
      </c>
      <c r="P99" s="89">
        <f>VARP(IF(INDEX(Properties!A$1:CB$87,Formula!B99,5)&lt;&gt;"",INDEX(Properties!A$1:CB$87,Formula!B99,5)),IF(INDEX(Properties!A$1:CB$87,Formula!D99,5)&lt;&gt;"",INDEX(Properties!A$1:CB$87,Formula!D99,5)),IF(INDEX(Properties!A$1:CB$87,Formula!F99,5)&lt;&gt;"",INDEX(Properties!A$1:CB$87,Formula!F99,5)),IF(INDEX(Properties!A$1:CB$87,Formula!H99,5)&lt;&gt;"",INDEX(Properties!A$1:CB$87,Formula!H99,5)),IF(INDEX(Properties!A$1:CB$87,Formula!J99,5)&lt;&gt;"",INDEX(Properties!A$1:CB$87,Formula!J99,5)))</f>
        <v>5.04</v>
      </c>
      <c r="Q99" s="89">
        <f>MAX(INDEX(Properties!A$1:CB$87,Formula!B99,5),INDEX(Properties!A$1:CB$87,Formula!D99,5),INDEX(Properties!A$1:CB$87,Formula!F99,5),INDEX(Properties!A$1:CB$87,Formula!H99,5),INDEX(Properties!A$1:CB$87,Formula!J99,5))</f>
        <v>5</v>
      </c>
      <c r="R99" s="89">
        <f>MIN(IF(INDEX(Properties!A$1:CB$87,Formula!B99,5)=0,10^6,INDEX(Properties!A$1:CB$87,Formula!B99,5)),IF(INDEX(Properties!A$1:CB$87,Formula!D99,5)=0,10^6,INDEX(Properties!A$1:CB$87,Formula!D99,5)),IF(INDEX(Properties!A$1:CB$87,Formula!F99,5)=0,10^6,INDEX(Properties!A$1:CB$87,Formula!F99,5)),IF(INDEX(Properties!A$1:CB$87,Formula!H99,5)=0,10^6,INDEX(Properties!A$1:CB$87,Formula!H99,5)),IF(INDEX(Properties!A$1:CB$87,Formula!J99,5)=0,10^6,INDEX(Properties!A$1:CB$87,Formula!J99,5)))</f>
        <v>2</v>
      </c>
      <c r="S99" s="89">
        <f t="shared" si="34"/>
        <v>3</v>
      </c>
      <c r="T99" s="60">
        <f>((Formula!C99)/(Formula!C99+Formula!E99+Formula!G99+Formula!I99+Formula!K99))*(INDEX(Properties!A$1:CB$87,Formula!B99,6))+((Formula!E99)/(Formula!C99+Formula!E99+Formula!G99+Formula!I99+Formula!K99))*(INDEX(Properties!A$1:CB$87,Formula!D99,6))+((Formula!G99)/(Formula!C99+Formula!E99+Formula!G99+Formula!I99+Formula!K99))*(INDEX(Properties!A$1:CB$87,Formula!F99,6))+((Formula!I99)/(Formula!C99+Formula!E99+Formula!G99+Formula!I99+Formula!K99))*(INDEX(Properties!A$1:CB$87,Formula!H99,6))+((Formula!K99)/(Formula!C99+Formula!E99+Formula!G99+Formula!I99+Formula!K99))*(INDEX(Properties!A$1:CB$87,Formula!J99,6))</f>
        <v>10.8</v>
      </c>
      <c r="U99" s="60">
        <f>Formula!C99*(INDEX(Properties!A$1:CB$87,Formula!B99,6))+Formula!E99*(INDEX(Properties!A$1:CB$87,Formula!D99,6))+Formula!G99*(INDEX(Properties!A$1:CB$87,Formula!F99,6))+Formula!I99*(INDEX(Properties!A$1:CB$87,Formula!H99,6))+Formula!K99*(INDEX(Properties!A$1:CB$87,Formula!J99,6))</f>
        <v>54</v>
      </c>
      <c r="V99" s="89">
        <f>VARP(IF(INDEX(Properties!A$1:CB$87,Formula!B99,6)&lt;&gt;"",INDEX(Properties!A$1:CB$87,Formula!B99,6)),IF(INDEX(Properties!A$1:CB$87,Formula!D99,6)&lt;&gt;"",INDEX(Properties!A$1:CB$87,Formula!D99,6)),IF(INDEX(Properties!A$1:CB$87,Formula!F99,6)&lt;&gt;"",INDEX(Properties!A$1:CB$87,Formula!F99,6)),IF(INDEX(Properties!A$1:CB$87,Formula!H99,6)&lt;&gt;"",INDEX(Properties!A$1:CB$87,Formula!H99,6)),IF(INDEX(Properties!A$1:CB$87,Formula!J99,6)&lt;&gt;"",INDEX(Properties!A$1:CB$87,Formula!J99,6)))</f>
        <v>35.840000000000003</v>
      </c>
      <c r="W99" s="60">
        <f>MAX(INDEX(Properties!A$1:CB$87,Formula!B99,6),INDEX(Properties!A$1:CB$87,Formula!D99,6),INDEX(Properties!A$1:CB$87,Formula!F99,6),INDEX(Properties!A$1:CB$87,Formula!H99,4),INDEX(Properties!A$1:CB$87,Formula!J99,6))</f>
        <v>16</v>
      </c>
      <c r="X99" s="60">
        <f>MIN(IF(INDEX(Properties!A$1:CB$87,Formula!B99,6)=0,10^6,INDEX(Properties!A$1:CB$87,Formula!B99,6)),IF(INDEX(Properties!A$1:CB$87,Formula!D99,6)=0,10^6,INDEX(Properties!A$1:CB$87,Formula!D99,6)),IF(INDEX(Properties!A$1:CB$87,Formula!F99,6)=0,10^6,INDEX(Properties!A$1:CB$87,Formula!F99,6)),IF(INDEX(Properties!A$1:CB$87,Formula!H99,6)=0,10^6,INDEX(Properties!A$1:CB$87,Formula!H99,6)),IF(INDEX(Properties!A$1:CB$87,Formula!J99,6)=0,10^6,INDEX(Properties!A$1:CB$87,Formula!J99,6)))</f>
        <v>2</v>
      </c>
      <c r="Y99" s="60">
        <f t="shared" si="35"/>
        <v>14</v>
      </c>
      <c r="Z99" s="72">
        <f>((Formula!C99)/(Formula!C99+Formula!E99+Formula!G99+Formula!I99+Formula!K99))*(INDEX(Properties!A$1:CB$87,Formula!B99,9))+((Formula!E99)/(Formula!C99+Formula!E99+Formula!G99+Formula!I99+Formula!K99))*(INDEX(Properties!A$1:CB$87,Formula!D99,9))+((Formula!G99)/(Formula!C99+Formula!E99+Formula!G99+Formula!I99+Formula!K99))*(INDEX(Properties!A$1:CB$87,Formula!F99,9))+((Formula!I99)/(Formula!C99+Formula!E99+Formula!G99+Formula!I99+Formula!K99))*(INDEX(Properties!A$1:CB$87,Formula!H99,9))+((Formula!K99)/(Formula!C99+Formula!E99+Formula!G99+Formula!I99+Formula!K99))*(INDEX(Properties!A$1:CB$87,Formula!J99,9))</f>
        <v>62.599999999999994</v>
      </c>
      <c r="AA99" s="72">
        <f>Formula!C99*(INDEX(Properties!A$1:CB$87,Formula!B99,9))+Formula!E99*(INDEX(Properties!A$1:CB$87,Formula!D99,9))+Formula!G99*(INDEX(Properties!A$1:CB$87,Formula!F99,9))+Formula!I99*(INDEX(Properties!A$1:CB$87,Formula!H99,9))+Formula!K99*(INDEX(Properties!A$1:CB$87,Formula!J99,9))</f>
        <v>313</v>
      </c>
      <c r="AB99" s="72">
        <f>VARP(IF(INDEX(Properties!A$1:CB$87,Formula!B99,9)&lt;&gt;"",INDEX(Properties!A$1:CB$87,Formula!B99,9)),IF(INDEX(Properties!A$1:CB$87,Formula!D99,9)&lt;&gt;"",INDEX(Properties!A$1:CB$87,Formula!D99,9)),IF(INDEX(Properties!A$1:CB$87,Formula!F99,9)&lt;&gt;"",INDEX(Properties!A$1:CB$87,Formula!F99,9)),IF(INDEX(Properties!A$1:CB$87,Formula!H99,9)&lt;&gt;"",INDEX(Properties!A$1:CB$87,Formula!H99,9)),IF(INDEX(Properties!A$1:CB$87,Formula!J99,9)&lt;&gt;"",INDEX(Properties!A$1:CB$87,Formula!J99,9)))</f>
        <v>1140.96</v>
      </c>
      <c r="AC99" s="72">
        <f>MAX(INDEX(Properties!A$1:CB$87,Formula!B99,9),INDEX(Properties!A$1:CB$87,Formula!D99,9),INDEX(Properties!A$1:CB$87,Formula!F99,9),INDEX(Properties!A$1:CB$87,Formula!H99,9),INDEX(Properties!A$1:CB$87,Formula!J99,9))</f>
        <v>87</v>
      </c>
      <c r="AD99" s="72">
        <f>MIN(IF(INDEX(Properties!A$1:CB$87,Formula!B99,9)=0,10^6,INDEX(Properties!A$1:CB$87,Formula!B99,9)),IF(INDEX(Properties!A$1:CB$87,Formula!D99,9)=0,10^6,INDEX(Properties!A$1:CB$87,Formula!D99,9)),IF(INDEX(Properties!A$1:CB$87,Formula!F99,9)=0,10^6,INDEX(Properties!A$1:CB$87,Formula!F99,9)),IF(INDEX(Properties!A$1:CB$87,Formula!H99,9)=0,10^6,INDEX(Properties!A$1:CB$87,Formula!H99,9)),IF(INDEX(Properties!A$1:CB$87,Formula!J99,9)=0,10^6,INDEX(Properties!A$1:CB$87,Formula!J99,9)))</f>
        <v>8</v>
      </c>
      <c r="AE99" s="72">
        <f t="shared" si="36"/>
        <v>79</v>
      </c>
      <c r="AF99" s="51">
        <f>((Formula!C99)/(Formula!C99+Formula!E99+Formula!G99+Formula!I99+Formula!K99))*(INDEX(Properties!A$1:CB$87,Formula!B99,10))+((Formula!E99)/(Formula!C99+Formula!E99+Formula!G99+Formula!I99+Formula!K99))*(INDEX(Properties!A$1:CB$87,Formula!D99,10))+((Formula!G99)/(Formula!C99+Formula!E99+Formula!G99+Formula!I99+Formula!K99))*(INDEX(Properties!A$1:CB$87,Formula!F99,10))+((Formula!I99)/(Formula!C99+Formula!E99+Formula!G99+Formula!I99+Formula!K99))*(INDEX(Properties!A$1:CB$87,Formula!H99,10))+((Formula!K99)/(Formula!C99+Formula!E99+Formula!G99+Formula!I99+Formula!K99))*(INDEX(Properties!A$1:CB$87,Formula!J99,10))</f>
        <v>5.4</v>
      </c>
      <c r="AG99" s="51">
        <f>Formula!C99*(INDEX(Properties!A$1:CB$87,Formula!B99,10))+Formula!E99*(INDEX(Properties!A$1:CB$87,Formula!D99,10))+Formula!G99*(INDEX(Properties!A$1:CB$87,Formula!F99,10))+Formula!I99*(INDEX(Properties!A$1:CB$87,Formula!H99,10))+Formula!K99*(INDEX(Properties!A$1:CB$87,Formula!J99,10))</f>
        <v>27</v>
      </c>
      <c r="AH99" s="51">
        <f>VARP(IF(INDEX(Properties!A$1:CB$87,Formula!B99,10)&lt;&gt;"",INDEX(Properties!A$1:CB$87,Formula!B99,10)),IF(INDEX(Properties!A$1:CB$87,Formula!D99,10)&lt;&gt;"",INDEX(Properties!A$1:CB$87,Formula!D99,10)),IF(INDEX(Properties!A$1:CB$87,Formula!F99,10)&lt;&gt;"",INDEX(Properties!A$1:CB$87,Formula!F99,10)),IF(INDEX(Properties!A$1:CB$87,Formula!H99,10)&lt;&gt;"",INDEX(Properties!A$1:CB$87,Formula!H99,10)),IF(INDEX(Properties!A$1:CB$87,Formula!J99,10)&lt;&gt;"",INDEX(Properties!A$1:CB$87,Formula!J99,10)))</f>
        <v>7.04</v>
      </c>
      <c r="AI99" s="51">
        <f>MAX(INDEX(Properties!A$1:CB$87,Formula!B99,10),INDEX(Properties!A$1:CB$87,Formula!D99,10),INDEX(Properties!A$1:CB$87,Formula!F99,10),INDEX(Properties!A$1:CB$87,Formula!H99,10),INDEX(Properties!A$1:CB$87,Formula!J99,10))</f>
        <v>7</v>
      </c>
      <c r="AJ99" s="51">
        <f>MIN(IF(INDEX(Properties!A$1:CB$87,Formula!B99,10)=0,10^6,INDEX(Properties!A$1:CB$87,Formula!B99,10)),IF(INDEX(Properties!A$1:CB$87,Formula!D99,10)=0,10^6,INDEX(Properties!A$1:CB$87,Formula!D99,10)),IF(INDEX(Properties!A$1:CB$87,Formula!F99,10)=0,10^6,INDEX(Properties!A$1:CB$87,Formula!F99,10)),IF(INDEX(Properties!A$1:CB$87,Formula!H99,10)=0,10^6,INDEX(Properties!A$1:CB$87,Formula!H99,10)),IF(INDEX(Properties!A$1:CB$87,Formula!J99,10)=0,10^6,INDEX(Properties!A$1:CB$87,Formula!J99,10)))</f>
        <v>2</v>
      </c>
      <c r="AK99" s="51">
        <f t="shared" si="37"/>
        <v>5</v>
      </c>
      <c r="AL99" s="57">
        <f>((Formula!C99)/(Formula!C99+Formula!E99+Formula!G99+Formula!I99+Formula!K99))*(INDEX(Properties!A$1:CB$87,Formula!B99,11))+((Formula!E99)/(Formula!C99+Formula!E99+Formula!G99+Formula!I99+Formula!K99))*(INDEX(Properties!A$1:CB$87,Formula!D99,11))+((Formula!G99)/(Formula!C99+Formula!E99+Formula!G99+Formula!I99+Formula!K99))*(INDEX(Properties!A$1:CB$87,Formula!F99,11))+((Formula!I99)/(Formula!C99+Formula!E99+Formula!G99+Formula!I99+Formula!K99))*(INDEX(Properties!A$1:CB$87,Formula!H99,11))+((Formula!K99)/(Formula!C99+Formula!E99+Formula!G99+Formula!I99+Formula!K99))*(INDEX(Properties!A$1:CB$87,Formula!J99,11))</f>
        <v>2</v>
      </c>
      <c r="AM99" s="57">
        <f>Formula!C99*(INDEX(Properties!A$1:CB$87,Formula!B99,11))+Formula!E99*(INDEX(Properties!A$1:CB$87,Formula!D99,11))+Formula!G99*(INDEX(Properties!A$1:CB$87,Formula!F99,11))+Formula!I99*(INDEX(Properties!A$1:CB$87,Formula!H99,11))+Formula!K99*(INDEX(Properties!A$1:CB$87,Formula!J99,11))</f>
        <v>10</v>
      </c>
      <c r="AN99" s="57">
        <f>VARP(IF(INDEX(Properties!A$1:CB$87,Formula!B99,11)&lt;&gt;"",INDEX(Properties!A$1:CB$87,Formula!B99,11)),IF(INDEX(Properties!A$1:CB$87,Formula!D99,11)&lt;&gt;"",INDEX(Properties!A$1:CB$87,Formula!D99,11)),IF(INDEX(Properties!A$1:CB$87,Formula!F99,11)&lt;&gt;"",INDEX(Properties!A$1:CB$87,Formula!F99,11)),IF(INDEX(Properties!A$1:CB$87,Formula!H99,11)&lt;&gt;"",INDEX(Properties!A$1:CB$87,Formula!H99,11)),IF(INDEX(Properties!A$1:CB$87,Formula!J99,11)&lt;&gt;"",INDEX(Properties!A$1:CB$87,Formula!J99,11)))</f>
        <v>0.96</v>
      </c>
      <c r="AO99" s="57">
        <f>MAX(INDEX(Properties!A$1:CB$87,Formula!B99,11),INDEX(Properties!A$1:CB$87,Formula!D99,11),INDEX(Properties!A$1:CB$87,Formula!F99,11),INDEX(Properties!A$1:CB$87,Formula!H99,11),INDEX(Properties!A$1:CB$87,Formula!J99,11))</f>
        <v>2</v>
      </c>
      <c r="AP99" s="57">
        <f>MIN(IF(Formula!B99=87,10^6,INDEX(Properties!A$1:CB$87,Formula!B99,11)),IF((Formula!D99)=87,10^6,INDEX(Properties!A$1:CB$87,Formula!D99,11)),IF((Formula!F99)=87,10^6,INDEX(Properties!A$1:CB$87,Formula!F99,11)),IF((Formula!H99)=87,10^6,INDEX(Properties!A$1:CB$87,Formula!H99,11)),IF(Formula!J99=87,10^6,INDEX(Properties!A$1:CB$87,Formula!J99,11)))</f>
        <v>2</v>
      </c>
      <c r="AQ99" s="57">
        <f t="shared" si="38"/>
        <v>0</v>
      </c>
      <c r="AR99" s="78">
        <f>((Formula!C99)/(Formula!C99+Formula!E99+Formula!G99+Formula!I99+Formula!K99))*(INDEX(Properties!A$1:CB$87,Formula!B99,12))+((Formula!E99)/(Formula!C99+Formula!E99+Formula!G99+Formula!I99+Formula!K99))*(INDEX(Properties!A$1:CB$87,Formula!D99,12))+((Formula!G99)/(Formula!C99+Formula!E99+Formula!G99+Formula!I99+Formula!K99))*(INDEX(Properties!A$1:CB$87,Formula!F99,12))+((Formula!I99)/(Formula!C99+Formula!E99+Formula!G99+Formula!I99+Formula!K99))*(INDEX(Properties!A$1:CB$87,Formula!H99,12))+((Formula!K99)/(Formula!C99+Formula!E99+Formula!G99+Formula!I99+Formula!K99))*(INDEX(Properties!A$1:CB$87,Formula!J99,12))</f>
        <v>2.4</v>
      </c>
      <c r="AS99" s="78">
        <f>Formula!C99*(INDEX(Properties!A$1:CB$87,Formula!B99,12))+Formula!E99*(INDEX(Properties!A$1:CB$87,Formula!D99,12))+Formula!G99*(INDEX(Properties!A$1:CB$87,Formula!F99,12))+Formula!I99*(INDEX(Properties!A$1:CB$87,Formula!H99,12))+Formula!K99*(INDEX(Properties!A$1:CB$87,Formula!J99,12))</f>
        <v>12</v>
      </c>
      <c r="AT99" s="78">
        <f>VARP(IF(INDEX(Properties!A$1:CB$87,Formula!B99,12)&lt;&gt;"",INDEX(Properties!A$1:CB$87,Formula!B99,12)),IF(INDEX(Properties!A$1:CB$87,Formula!D99,12)&lt;&gt;"",INDEX(Properties!A$1:CB$87,Formula!D99,12)),IF(INDEX(Properties!A$1:CB$87,Formula!F99,12)&lt;&gt;"",INDEX(Properties!A$1:CB$87,Formula!F99,12)),IF(INDEX(Properties!A$1:CB$87,Formula!H99,12)&lt;&gt;"",INDEX(Properties!A$1:CB$87,Formula!H99,12)),IF(INDEX(Properties!A$1:CB$87,Formula!J99,12)&lt;&gt;"",INDEX(Properties!A$1:CB$87,Formula!J99,12)))</f>
        <v>2.56</v>
      </c>
      <c r="AU99" s="78">
        <f>MAX(INDEX(Properties!A$1:CB$87,Formula!B99,12),INDEX(Properties!A$1:CB$87,Formula!D99,12),INDEX(Properties!A$1:CB$87,Formula!F99,12),INDEX(Properties!A$1:CB$87,Formula!H99,12),INDEX(Properties!A$1:CB$87,Formula!J99,12))</f>
        <v>4</v>
      </c>
      <c r="AV99" s="78">
        <f>MIN(IF(Formula!B99=87,10^6,INDEX(Properties!A$1:CB$87,Formula!B99,12)),IF((Formula!D99)=87,10^6,INDEX(Properties!A$1:CB$87,Formula!D99,12)),IF((Formula!F99)=87,10^6,INDEX(Properties!A$1:CB$87,Formula!F99,12)),IF((Formula!H99)=87,10^6,INDEX(Properties!A$1:CB$87,Formula!H99,12)),IF(Formula!J99=87,10^6,INDEX(Properties!A$1:CB$87,Formula!J99,12)))</f>
        <v>0</v>
      </c>
      <c r="AW99" s="78">
        <f t="shared" si="39"/>
        <v>4</v>
      </c>
      <c r="AX99" s="45">
        <f>((Formula!C99)/(Formula!C99+Formula!E99+Formula!G99+Formula!I99+Formula!K99))*(INDEX(Properties!A$1:CB$87,Formula!B99,13))+((Formula!E99)/(Formula!C99+Formula!E99+Formula!G99+Formula!I99+Formula!K99))*(INDEX(Properties!A$1:CB$87,Formula!D99,13))+((Formula!G99)/(Formula!C99+Formula!E99+Formula!G99+Formula!I99+Formula!K99))*(INDEX(Properties!A$1:CB$87,Formula!F99,13))+((Formula!I99)/(Formula!C99+Formula!E99+Formula!G99+Formula!I99+Formula!K99))*(INDEX(Properties!A$1:CB$87,Formula!H99,13))+((Formula!K99)/(Formula!C99+Formula!E99+Formula!G99+Formula!I99+Formula!K99))*(INDEX(Properties!A$1:CB$87,Formula!J99,13))</f>
        <v>0.4</v>
      </c>
      <c r="AY99" s="45">
        <f>Formula!C99*(INDEX(Properties!A$1:CB$87,Formula!B99,13))+Formula!E99*(INDEX(Properties!A$1:CB$87,Formula!D99,13))+Formula!G99*(INDEX(Properties!A$1:CB$87,Formula!F99,13))+Formula!I99*(INDEX(Properties!A$1:CB$87,Formula!H99,13))+Formula!K99*(INDEX(Properties!A$1:CB$87,Formula!J99,13))</f>
        <v>2</v>
      </c>
      <c r="AZ99" s="45">
        <f>VARP(IF(INDEX(Properties!A$1:CB$87,Formula!B99,13)&lt;&gt;"",INDEX(Properties!A$1:CB$87,Formula!B99,13)),IF(INDEX(Properties!A$1:CB$87,Formula!D99,13)&lt;&gt;"",INDEX(Properties!A$1:CB$87,Formula!D99,13)),IF(INDEX(Properties!A$1:CB$87,Formula!F99,13)&lt;&gt;"",INDEX(Properties!A$1:CB$87,Formula!F99,13)),IF(INDEX(Properties!A$1:CB$87,Formula!H99,13)&lt;&gt;"",INDEX(Properties!A$1:CB$87,Formula!H99,13)),IF(INDEX(Properties!A$1:CB$87,Formula!J99,13)&lt;&gt;"",INDEX(Properties!A$1:CB$87,Formula!J99,13)))</f>
        <v>0.64</v>
      </c>
      <c r="BA99" s="45">
        <f>MAX(INDEX(Properties!A$1:CB$87,Formula!B99,13),INDEX(Properties!A$1:CB$87,Formula!D99,13),INDEX(Properties!A$1:CB$87,Formula!F99,13),INDEX(Properties!A$1:CB$87,Formula!H99,13),INDEX(Properties!A$1:CB$87,Formula!J99,13))</f>
        <v>2</v>
      </c>
      <c r="BB99" s="45">
        <f>MIN(IF(Formula!B99=87,10^6,INDEX(Properties!A$1:CB$87,Formula!B99,13)),IF((Formula!D99)=87,10^6,INDEX(Properties!A$1:CB$87,Formula!D99,13)),IF((Formula!F99)=87,10^6,INDEX(Properties!A$1:CB$87,Formula!F99,13)),IF((Formula!H99)=87,10^6,INDEX(Properties!A$1:CB$87,Formula!H99,13)),IF(Formula!J99=87,10^6,INDEX(Properties!A$1:CB$87,Formula!J99,13)))</f>
        <v>0</v>
      </c>
      <c r="BC99" s="45">
        <f t="shared" si="40"/>
        <v>2</v>
      </c>
      <c r="BD99" s="63">
        <f>((Formula!C99)/(Formula!C99+Formula!E99+Formula!G99+Formula!I99+Formula!K99))*(INDEX(Properties!A$1:CB$87,Formula!B99,14))+((Formula!E99)/(Formula!C99+Formula!E99+Formula!G99+Formula!I99+Formula!K99))*(INDEX(Properties!A$1:CB$87,Formula!D99,14))+((Formula!G99)/(Formula!C99+Formula!E99+Formula!G99+Formula!I99+Formula!K99))*(INDEX(Properties!A$1:CB$87,Formula!F99,14))+((Formula!I99)/(Formula!C99+Formula!E99+Formula!G99+Formula!I99+Formula!K99))*(INDEX(Properties!A$1:CB$87,Formula!H99,14))+((Formula!K99)/(Formula!C99+Formula!E99+Formula!G99+Formula!I99+Formula!K99))*(INDEX(Properties!A$1:CB$87,Formula!J99,14))</f>
        <v>0</v>
      </c>
      <c r="BE99" s="63">
        <f>Formula!C99*(INDEX(Properties!A$1:CB$87,Formula!B99,14))+Formula!E99*(INDEX(Properties!A$1:CB$87,Formula!D99,14))+Formula!G99*(INDEX(Properties!A$1:CB$87,Formula!F99,14))+Formula!I99*(INDEX(Properties!A$1:CB$87,Formula!H99,14))+Formula!K99*(INDEX(Properties!A$1:CB$87,Formula!J99,14))</f>
        <v>0</v>
      </c>
      <c r="BF99" s="63">
        <f>VARP(IF(INDEX(Properties!A$1:CB$87,Formula!B99,14)&lt;&gt;"",INDEX(Properties!A$1:CB$87,Formula!B99,14)),IF(INDEX(Properties!A$1:CB$87,Formula!D99,14)&lt;&gt;"",INDEX(Properties!A$1:CB$87,Formula!D99,14)),IF(INDEX(Properties!A$1:CB$87,Formula!F99,14)&lt;&gt;"",INDEX(Properties!A$1:CB$87,Formula!F99,14)),IF(INDEX(Properties!A$1:CB$87,Formula!H99,14)&lt;&gt;"",INDEX(Properties!A$1:CB$87,Formula!H99,14)),IF(INDEX(Properties!A$1:CB$87,Formula!J99,14)&lt;&gt;"",INDEX(Properties!A$1:CB$87,Formula!J99,14)))</f>
        <v>0</v>
      </c>
      <c r="BG99" s="63">
        <f>MAX(INDEX(Properties!A$1:CB$87,Formula!B99,14),INDEX(Properties!A$1:CB$87,Formula!D99,14),INDEX(Properties!A$1:CB$87,Formula!F99,14),INDEX(Properties!A$1:CB$87,Formula!H99,14),INDEX(Properties!A$1:CB$87,Formula!J99,14))</f>
        <v>0</v>
      </c>
      <c r="BH99" s="63">
        <f>MIN(IF(Formula!B99=87,10^6,INDEX(Properties!A$1:CB$87,Formula!B99,14)),IF((Formula!D99)=87,10^6,INDEX(Properties!A$1:CB$87,Formula!D99,14)),IF((Formula!F99)=87,10^6,INDEX(Properties!A$1:CB$87,Formula!F99,14)),IF((Formula!H99)=87,10^6,INDEX(Properties!A$1:CB$87,Formula!H99,14)),IF(Formula!J99=87,10^6,INDEX(Properties!A$1:CB$87,Formula!J99,14)))</f>
        <v>0</v>
      </c>
      <c r="BI99" s="63">
        <f t="shared" si="41"/>
        <v>0</v>
      </c>
      <c r="BJ99" s="75">
        <f>((Formula!C99)/(Formula!C99+Formula!E99+Formula!G99+Formula!I99+Formula!K99))*(INDEX(Properties!A$1:CB$87,Formula!B99,19))+((Formula!E99)/(Formula!C99+Formula!E99+Formula!G99+Formula!I99+Formula!K99))*(INDEX(Properties!A$1:CB$87,Formula!D99,19))+((Formula!G99)/(Formula!C99+Formula!E99+Formula!G99+Formula!I99+Formula!K99))*(INDEX(Properties!A$1:CB$87,Formula!F99,19))+((Formula!I99)/(Formula!C99+Formula!E99+Formula!G99+Formula!I99+Formula!K99))*(INDEX(Properties!A$1:CB$87,Formula!H99,19))+((Formula!K99)/(Formula!C99+Formula!E99+Formula!G99+Formula!I99+Formula!K99))*(INDEX(Properties!A$1:CB$87,Formula!J99,19))</f>
        <v>4.8</v>
      </c>
      <c r="BK99" s="75">
        <f>Formula!C99*(INDEX(Properties!A$1:CB$87,Formula!B99,19))+Formula!E99*(INDEX(Properties!A$1:CB$87,Formula!D99,19))+Formula!G99*(INDEX(Properties!A$1:CB$87,Formula!F99,19))+Formula!I99*(INDEX(Properties!A$1:CB$87,Formula!H99,19))+Formula!K99*(INDEX(Properties!A$1:CB$87,Formula!J99,19))</f>
        <v>24</v>
      </c>
      <c r="BL99" s="75">
        <f>VARP(IF(INDEX(Properties!A$1:CB$87,Formula!B99,19)&lt;&gt;"",INDEX(Properties!A$1:CB$87,Formula!B99,19)),IF(INDEX(Properties!A$1:CB$87,Formula!D99,19)&lt;&gt;"",INDEX(Properties!A$1:CB$87,Formula!D99,19)),IF(INDEX(Properties!A$1:CB$87,Formula!F99,19)&lt;&gt;"",INDEX(Properties!A$1:CB$87,Formula!F99,19)),IF(INDEX(Properties!A$1:CB$87,Formula!H99,19)&lt;&gt;"",INDEX(Properties!A$1:CB$87,Formula!H99,19)),IF(INDEX(Properties!A$1:CB$87,Formula!J99,19)&lt;&gt;"",INDEX(Properties!A$1:CB$87,Formula!J99,19)))</f>
        <v>5.44</v>
      </c>
      <c r="BM99" s="75">
        <f>MAX(INDEX(Properties!A$1:CB$87,Formula!B99,19),INDEX(Properties!A$1:CB$87,Formula!D99,19),INDEX(Properties!A$1:CB$87,Formula!F99,19),INDEX(Properties!A$1:CB$87,Formula!H99,19),INDEX(Properties!A$1:CB$87,Formula!J99,19))</f>
        <v>6</v>
      </c>
      <c r="BN99" s="75">
        <f>MIN(IF(INDEX(Properties!A$1:CB$87,Formula!B99,19)=0,10^6,INDEX(Properties!A$1:CB$87,Formula!B99,19)),IF(INDEX(Properties!A$1:CB$87,Formula!D99,19)=0,10^6,INDEX(Properties!A$1:CB$87,Formula!D99,19)),IF(INDEX(Properties!A$1:CB$87,Formula!F99,19)=0,10^6,INDEX(Properties!A$1:CB$87,Formula!F99,19)),IF(INDEX(Properties!A$1:CB$87,Formula!H99,19)=0,10^6,INDEX(Properties!A$1:CB$87,Formula!H99,19)),IF(INDEX(Properties!A$1:CB$87,Formula!J99,19)=0,10^6,INDEX(Properties!A$1:CB$87,Formula!J99,19)))</f>
        <v>2</v>
      </c>
      <c r="BO99" s="75">
        <f t="shared" si="42"/>
        <v>4</v>
      </c>
      <c r="BP99" s="48">
        <f>((Formula!C99)/(Formula!C99+Formula!E99+Formula!G99+Formula!I99+Formula!K99))*(INDEX(Properties!A$1:CB$87,Formula!B99,20))+((Formula!E99)/(Formula!C99+Formula!E99+Formula!G99+Formula!I99+Formula!K99))*(INDEX(Properties!A$1:CB$87,Formula!D99,20))+((Formula!G99)/(Formula!C99+Formula!E99+Formula!G99+Formula!I99+Formula!K99))*(INDEX(Properties!A$1:CB$87,Formula!F99,20))+((Formula!I99)/(Formula!C99+Formula!E99+Formula!G99+Formula!I99+Formula!K99))*(INDEX(Properties!A$1:CB$87,Formula!H99,20))+((Formula!K99)/(Formula!C99+Formula!E99+Formula!G99+Formula!I99+Formula!K99))*(INDEX(Properties!A$1:CB$87,Formula!J99,20))</f>
        <v>4.3999999999999995</v>
      </c>
      <c r="BQ99" s="48">
        <f>Formula!C99*(INDEX(Properties!A$1:CB$87,Formula!B99,20))+Formula!E99*(INDEX(Properties!A$1:CB$87,Formula!D99,20))+Formula!G99*(INDEX(Properties!A$1:CB$87,Formula!F99,20))+Formula!I99*(INDEX(Properties!A$1:CB$87,Formula!H99,20))+Formula!K99*(INDEX(Properties!A$1:CB$87,Formula!J99,20))</f>
        <v>22</v>
      </c>
      <c r="BR99" s="48">
        <f>VARP(IF(INDEX(Properties!A$1:CB$87,Formula!B99,20)&lt;&gt;"",INDEX(Properties!A$1:CB$87,Formula!B99,20)),IF(INDEX(Properties!A$1:CB$87,Formula!D99,20)&lt;&gt;"",INDEX(Properties!A$1:CB$87,Formula!D99,20)),IF(INDEX(Properties!A$1:CB$87,Formula!F99,20)&lt;&gt;"",INDEX(Properties!A$1:CB$87,Formula!F99,20)),IF(INDEX(Properties!A$1:CB$87,Formula!H99,20)&lt;&gt;"",INDEX(Properties!A$1:CB$87,Formula!H99,20)),IF(INDEX(Properties!A$1:CB$87,Formula!J99,20)&lt;&gt;"",INDEX(Properties!A$1:CB$87,Formula!J99,20)))</f>
        <v>4.8</v>
      </c>
      <c r="BS99" s="48">
        <f>MAX(INDEX(Properties!A$1:CB$87,Formula!B99,20),INDEX(Properties!A$1:CB$87,Formula!D99,20),INDEX(Properties!A$1:CB$87,Formula!F99,20),INDEX(Properties!A$1:CB$87,Formula!H99,20),INDEX(Properties!A$1:CB$87,Formula!J99,20))</f>
        <v>6</v>
      </c>
      <c r="BT99" s="48">
        <f>MIN(IF(INDEX(Properties!A$1:CB$87,Formula!B99,20)=0,10^6,INDEX(Properties!A$1:CB$87,Formula!B99,20)),IF(INDEX(Properties!A$1:CB$87,Formula!D99,20)=0,10^6,INDEX(Properties!A$1:CB$87,Formula!D99,20)),IF(INDEX(Properties!A$1:CB$87,Formula!F99,20)=0,10^6,INDEX(Properties!A$1:CB$87,Formula!F99,20)),IF(INDEX(Properties!A$1:CB$87,Formula!H99,20)=0,10^6,INDEX(Properties!A$1:CB$87,Formula!H99,20)),IF(INDEX(Properties!A$1:CB$87,Formula!J99,20)=0,10^6,INDEX(Properties!A$1:CB$87,Formula!J99,20)))</f>
        <v>2</v>
      </c>
      <c r="BU99" s="48">
        <f t="shared" si="43"/>
        <v>4</v>
      </c>
      <c r="BV99" s="66">
        <f>((Formula!C99)/(Formula!C99+Formula!E99+Formula!G99+Formula!I99+Formula!K99))*(INDEX(Properties!A$1:CB$87,Formula!B99,21))+((Formula!E99)/(Formula!C99+Formula!E99+Formula!G99+Formula!I99+Formula!K99))*(INDEX(Properties!A$1:CB$87,Formula!D99,21))+((Formula!G99)/(Formula!C99+Formula!E99+Formula!G99+Formula!I99+Formula!K99))*(INDEX(Properties!A$1:CB$87,Formula!F99,21))+((Formula!I99)/(Formula!C99+Formula!E99+Formula!G99+Formula!I99+Formula!K99))*(INDEX(Properties!A$1:CB$87,Formula!H99,21))+((Formula!K99)/(Formula!C99+Formula!E99+Formula!G99+Formula!I99+Formula!K99))*(INDEX(Properties!A$1:CB$87,Formula!J99,21))</f>
        <v>4.3999999999999995</v>
      </c>
      <c r="BW99" s="66">
        <f>Formula!C99*(INDEX(Properties!A$1:CB$87,Formula!B99,21))+Formula!E99*(INDEX(Properties!A$1:CB$87,Formula!D99,21))+Formula!G99*(INDEX(Properties!A$1:CB$87,Formula!F99,21))+Formula!I99*(INDEX(Properties!A$1:CB$87,Formula!H99,21))+Formula!K99*(INDEX(Properties!A$1:CB$87,Formula!J99,21))</f>
        <v>22</v>
      </c>
      <c r="BX99" s="66">
        <f>VARP(IF(INDEX(Properties!A$1:CB$87,Formula!B99,21)&lt;&gt;"",INDEX(Properties!A$1:CB$87,Formula!B99,21)),IF(INDEX(Properties!A$1:CB$87,Formula!D99,21)&lt;&gt;"",INDEX(Properties!A$1:CB$87,Formula!D99,21)),IF(INDEX(Properties!A$1:CB$87,Formula!F99,21)&lt;&gt;"",INDEX(Properties!A$1:CB$87,Formula!F99,21)),IF(INDEX(Properties!A$1:CB$87,Formula!H99,21)&lt;&gt;"",INDEX(Properties!A$1:CB$87,Formula!H99,21)),IF(INDEX(Properties!A$1:CB$87,Formula!J99,21)&lt;&gt;"",INDEX(Properties!A$1:CB$87,Formula!J99,21)))</f>
        <v>4.8</v>
      </c>
      <c r="BY99" s="66">
        <f>MAX(INDEX(Properties!A$1:CB$87,Formula!B99,21),INDEX(Properties!A$1:CB$87,Formula!D99,21),INDEX(Properties!A$1:CB$87,Formula!F99,21),INDEX(Properties!A$1:CB$87,Formula!H99,21),INDEX(Properties!A$1:CB$87,Formula!J99,21))</f>
        <v>6</v>
      </c>
      <c r="BZ99" s="66">
        <f>MIN(IF(INDEX(Properties!A$1:CB$87,Formula!B99,21)=0,10^6,INDEX(Properties!A$1:CB$87,Formula!B99,21)),IF(INDEX(Properties!A$1:CB$87,Formula!D99,21)=0,10^6,INDEX(Properties!A$1:CB$87,Formula!D99,21)),IF(INDEX(Properties!A$1:CB$87,Formula!F99,21)=0,10^6,INDEX(Properties!A$1:CB$87,Formula!F99,21)),IF(INDEX(Properties!A$1:CB$87,Formula!H99,21)=0,10^6,INDEX(Properties!A$1:CB$87,Formula!H99,21)),IF(INDEX(Properties!A$1:CB$87,Formula!J99,21)=0,10^6,INDEX(Properties!A$1:CB$87,Formula!J99,21)))</f>
        <v>2</v>
      </c>
      <c r="CA99" s="66">
        <f t="shared" si="44"/>
        <v>4</v>
      </c>
      <c r="CB99" s="81">
        <f>((Formula!C99)/(Formula!C99+Formula!E99+Formula!G99+Formula!I99+Formula!K99))*(INDEX(Properties!A$1:CB$87,Formula!B99,23))+((Formula!E99)/(Formula!C99+Formula!E99+Formula!G99+Formula!I99+Formula!K99))*(INDEX(Properties!A$1:CB$87,Formula!D99,23))+((Formula!G99)/(Formula!C99+Formula!E99+Formula!G99+Formula!I99+Formula!K99))*(INDEX(Properties!A$1:CB$87,Formula!F99,23))+((Formula!I99)/(Formula!C99+Formula!E99+Formula!G99+Formula!I99+Formula!K99))*(INDEX(Properties!A$1:CB$87,Formula!H99,23))+((Formula!K99)/(Formula!C99+Formula!E99+Formula!G99+Formula!I99+Formula!K99))*(INDEX(Properties!A$1:CB$87,Formula!J99,23))</f>
        <v>1.2000000000000002</v>
      </c>
      <c r="CC99" s="81">
        <f>Formula!C99*(INDEX(Properties!A$1:CB$87,Formula!B99,23))+Formula!E99*(INDEX(Properties!A$1:CB$87,Formula!D99,23))+Formula!G99*(INDEX(Properties!A$1:CB$87,Formula!F99,23))+Formula!I99*(INDEX(Properties!A$1:CB$87,Formula!H99,23))+Formula!K99*(INDEX(Properties!A$1:CB$87,Formula!J99,23))</f>
        <v>6</v>
      </c>
      <c r="CD99" s="81">
        <f>VARP(IF(INDEX(Properties!A$1:CB$87,Formula!B99,23)&lt;&gt;"",INDEX(Properties!A$1:CB$87,Formula!B99,23)),IF(INDEX(Properties!A$1:CB$87,Formula!D99,23)&lt;&gt;"",INDEX(Properties!A$1:CB$87,Formula!D99,23)),IF(INDEX(Properties!A$1:CB$87,Formula!F99,23)&lt;&gt;"",INDEX(Properties!A$1:CB$87,Formula!F99,23)),IF(INDEX(Properties!A$1:CB$87,Formula!H99,23)&lt;&gt;"",INDEX(Properties!A$1:CB$87,Formula!H99,23)),IF(INDEX(Properties!A$1:CB$87,Formula!J99,23)&lt;&gt;"",INDEX(Properties!A$1:CB$87,Formula!J99,23)))</f>
        <v>2.56</v>
      </c>
      <c r="CE99" s="81">
        <f>MAX(INDEX(Properties!A$1:CB$87,Formula!B99,23),INDEX(Properties!A$1:CB$87,Formula!D99,23),INDEX(Properties!A$1:CB$87,Formula!F99,23),INDEX(Properties!A$1:CB$87,Formula!H99,23),INDEX(Properties!A$1:CB$87,Formula!J99,23))</f>
        <v>4</v>
      </c>
      <c r="CF99" s="81">
        <f>MIN(IF(Formula!B99=87,10^6,INDEX(Properties!A$1:CB$87,Formula!B99,23)),IF((Formula!D99)=87,10^6,INDEX(Properties!A$1:CB$87,Formula!D99,23)),IF((Formula!F99)=87,10^6,INDEX(Properties!A$1:CB$87,Formula!F99,23)),IF((Formula!H99)=87,10^6,INDEX(Properties!A$1:CB$87,Formula!H99,23)),IF(Formula!J99=87,10^6,INDEX(Properties!A$1:CB$87,Formula!J99,23)))</f>
        <v>0</v>
      </c>
      <c r="CG99" s="81">
        <f t="shared" si="45"/>
        <v>4</v>
      </c>
      <c r="CH99" s="39">
        <f>((Formula!C99)/(Formula!C99+Formula!E99+Formula!G99+Formula!I99+Formula!K99))*(INDEX(Properties!A$1:CB$87,Formula!B99,26))+((Formula!E99)/(Formula!C99+Formula!E99+Formula!G99+Formula!I99+Formula!K99))*(INDEX(Properties!A$1:CB$87,Formula!D99,26))+((Formula!G99)/(Formula!C99+Formula!E99+Formula!G99+Formula!I99+Formula!K99))*(INDEX(Properties!A$1:CB$87,Formula!F99,26))+((Formula!I99)/(Formula!C99+Formula!E99+Formula!G99+Formula!I99+Formula!K99))*(INDEX(Properties!A$1:CB$87,Formula!H99,26))+((Formula!K99)/(Formula!C99+Formula!E99+Formula!G99+Formula!I99+Formula!K99))*(INDEX(Properties!A$1:CB$87,Formula!J99,26))</f>
        <v>10.636619999999999</v>
      </c>
      <c r="CI99" s="39">
        <f>Formula!C99*(INDEX(Properties!A$1:CB$87,Formula!B99,26))+Formula!E99*(INDEX(Properties!A$1:CB$87,Formula!D99,26))+Formula!G99*(INDEX(Properties!A$1:CB$87,Formula!F99,26))+Formula!I99*(INDEX(Properties!A$1:CB$87,Formula!H99,26))+Formula!K99*(INDEX(Properties!A$1:CB$87,Formula!J99,26))</f>
        <v>53.183100000000003</v>
      </c>
      <c r="CJ99" s="39">
        <f>VARP(IF(INDEX(Properties!A$1:CB$87,Formula!B99,26)&lt;&gt;"",INDEX(Properties!A$1:CB$87,Formula!B99,26)),IF(INDEX(Properties!A$1:CB$87,Formula!D99,26)&lt;&gt;"",INDEX(Properties!A$1:CB$87,Formula!D99,26)),IF(INDEX(Properties!A$1:CB$87,Formula!F99,26)&lt;&gt;"",INDEX(Properties!A$1:CB$87,Formula!F99,26)),IF(INDEX(Properties!A$1:CB$87,Formula!H99,26)&lt;&gt;"",INDEX(Properties!A$1:CB$87,Formula!H99,26)),IF(INDEX(Properties!A$1:CB$87,Formula!J99,26)&lt;&gt;"",INDEX(Properties!A$1:CB$87,Formula!J99,26)))</f>
        <v>25.4489677816</v>
      </c>
      <c r="CK99" s="39">
        <f>MAX(INDEX(Properties!A$1:CB$87,Formula!B99,26),INDEX(Properties!A$1:CB$87,Formula!D99,26),INDEX(Properties!A$1:CB$87,Formula!F99,26),INDEX(Properties!A$1:CB$87,Formula!H99,26),INDEX(Properties!A$1:CB$87,Formula!J99,26))</f>
        <v>13.6181</v>
      </c>
      <c r="CL99" s="39">
        <f>MIN(IF(INDEX(Properties!A$1:CB$87,Formula!B99,26)=0,10^6,INDEX(Properties!A$1:CB$87,Formula!B99,26)),IF(INDEX(Properties!A$1:CB$87,Formula!D99,26)=0,10^6,INDEX(Properties!A$1:CB$87,Formula!D99,26)),IF(INDEX(Properties!A$1:CB$87,Formula!F99,26)=0,10^6,INDEX(Properties!A$1:CB$87,Formula!F99,26)),IF(INDEX(Properties!A$1:CB$87,Formula!H99,26)=0,10^6,INDEX(Properties!A$1:CB$87,Formula!H99,26)),IF(INDEX(Properties!A$1:CB$87,Formula!J99,26)=0,10^6,INDEX(Properties!A$1:CB$87,Formula!J99,26)))</f>
        <v>5.6948999999999996</v>
      </c>
      <c r="CM99" s="39">
        <f t="shared" si="46"/>
        <v>7.9232000000000005</v>
      </c>
      <c r="CN99" s="54">
        <f>((Formula!C99)/(Formula!C99+Formula!E99+Formula!G99+Formula!I99+Formula!K99))*(INDEX(Properties!A$1:CB$87,Formula!B99,30))+((Formula!E99)/(Formula!C99+Formula!E99+Formula!G99+Formula!I99+Formula!K99))*(INDEX(Properties!A$1:CB$87,Formula!D99,30))+((Formula!G99)/(Formula!C99+Formula!E99+Formula!G99+Formula!I99+Formula!K99))*(INDEX(Properties!A$1:CB$87,Formula!F99,30))+((Formula!I99)/(Formula!C99+Formula!E99+Formula!G99+Formula!I99+Formula!K99))*(INDEX(Properties!A$1:CB$87,Formula!H99,30))+((Formula!K99)/(Formula!C99+Formula!E99+Formula!G99+Formula!I99+Formula!K99))*(INDEX(Properties!A$1:CB$87,Formula!J99,30))</f>
        <v>2.52</v>
      </c>
      <c r="CO99" s="54">
        <f>Formula!C99*(INDEX(Properties!A$1:CB$87,Formula!B99,30))+Formula!E99*(INDEX(Properties!A$1:CB$87,Formula!D99,30))+Formula!G99*(INDEX(Properties!A$1:CB$87,Formula!F99,30))+Formula!I99*(INDEX(Properties!A$1:CB$87,Formula!H99,30))+Formula!K99*(INDEX(Properties!A$1:CB$87,Formula!J99,30))</f>
        <v>12.600000000000001</v>
      </c>
      <c r="CP99" s="54">
        <f>VARP(IF(INDEX(Properties!A$1:CB$87,Formula!B99,30)&lt;&gt;"",INDEX(Properties!A$1:CB$87,Formula!B99,30)),IF(INDEX(Properties!A$1:CB$87,Formula!D99,30)&lt;&gt;"",INDEX(Properties!A$1:CB$87,Formula!D99,30)),IF(INDEX(Properties!A$1:CB$87,Formula!F99,30)&lt;&gt;"",INDEX(Properties!A$1:CB$87,Formula!F99,30)),IF(INDEX(Properties!A$1:CB$87,Formula!H99,30)&lt;&gt;"",INDEX(Properties!A$1:CB$87,Formula!H99,30)),IF(INDEX(Properties!A$1:CB$87,Formula!J99,30)&lt;&gt;"",INDEX(Properties!A$1:CB$87,Formula!J99,30)))</f>
        <v>1.5922639999999992</v>
      </c>
      <c r="CQ99" s="54">
        <f>MAX(INDEX(Properties!A$1:CB$87,Formula!B99,30),INDEX(Properties!A$1:CB$87,Formula!D99,30),INDEX(Properties!A$1:CB$87,Formula!F99,30),INDEX(Properties!A$1:CB$87,Formula!H99,30),INDEX(Properties!A$1:CB$87,Formula!J99,30))</f>
        <v>3.44</v>
      </c>
      <c r="CR99" s="54">
        <f>MIN(IF(INDEX(Properties!A$1:CB$87,Formula!B99,30)=0,10^6,INDEX(Properties!A$1:CB$87,Formula!B99,30)),IF(INDEX(Properties!A$1:CB$87,Formula!D99,30)=0,10^6,INDEX(Properties!A$1:CB$87,Formula!D99,30)),IF(INDEX(Properties!A$1:CB$87,Formula!F99,30)=0,10^6,INDEX(Properties!A$1:CB$87,Formula!F99,30)),IF(INDEX(Properties!A$1:CB$87,Formula!H99,30)=0,10^6,INDEX(Properties!A$1:CB$87,Formula!H99,30)),IF(INDEX(Properties!A$1:CB$87,Formula!J99,30)=0,10^6,INDEX(Properties!A$1:CB$87,Formula!J99,30)))</f>
        <v>0.95</v>
      </c>
      <c r="CS99" s="54">
        <f t="shared" si="47"/>
        <v>2.4900000000000002</v>
      </c>
      <c r="CT99" s="69">
        <f>((Formula!C99)/(Formula!C99+Formula!E99+Formula!G99+Formula!I99+Formula!K99))*(INDEX(Properties!A$1:CB$87,Formula!B99,31))+((Formula!E99)/(Formula!C99+Formula!E99+Formula!G99+Formula!I99+Formula!K99))*(INDEX(Properties!A$1:CB$87,Formula!D99,31))+((Formula!G99)/(Formula!C99+Formula!E99+Formula!G99+Formula!I99+Formula!K99))*(INDEX(Properties!A$1:CB$87,Formula!F99,31))+((Formula!I99)/(Formula!C99+Formula!E99+Formula!G99+Formula!I99+Formula!K99))*(INDEX(Properties!A$1:CB$87,Formula!H99,31))+((Formula!K99)/(Formula!C99+Formula!E99+Formula!G99+Formula!I99+Formula!K99))*(INDEX(Properties!A$1:CB$87,Formula!J99,31))</f>
        <v>2.5579999999999998</v>
      </c>
      <c r="CU99" s="69">
        <f>Formula!C99*(INDEX(Properties!A$1:CB$87,Formula!B99,31))+Formula!E99*(INDEX(Properties!A$1:CB$87,Formula!D99,31))+Formula!G99*(INDEX(Properties!A$1:CB$87,Formula!F99,31))+Formula!I99*(INDEX(Properties!A$1:CB$87,Formula!H99,31))+Formula!K99*(INDEX(Properties!A$1:CB$87,Formula!J99,31))</f>
        <v>12.79</v>
      </c>
      <c r="CV99" s="69">
        <f>VARP(IF(INDEX(Properties!A$1:CB$87,Formula!B99,31)&lt;&gt;"",INDEX(Properties!A$1:CB$87,Formula!B99,31)),IF(INDEX(Properties!A$1:CB$87,Formula!D99,31)&lt;&gt;"",INDEX(Properties!A$1:CB$87,Formula!D99,31)),IF(INDEX(Properties!A$1:CB$87,Formula!F99,31)&lt;&gt;"",INDEX(Properties!A$1:CB$87,Formula!F99,31)),IF(INDEX(Properties!A$1:CB$87,Formula!H99,31)&lt;&gt;"",INDEX(Properties!A$1:CB$87,Formula!H99,31)),IF(INDEX(Properties!A$1:CB$87,Formula!J99,31)&lt;&gt;"",INDEX(Properties!A$1:CB$87,Formula!J99,31)))</f>
        <v>1.5249599999999999</v>
      </c>
      <c r="CW99" s="69">
        <f>MAX(INDEX(Properties!A$1:CB$87,Formula!B99,31),INDEX(Properties!A$1:CB$87,Formula!D99,31),INDEX(Properties!A$1:CB$87,Formula!F99,31),INDEX(Properties!A$1:CB$87,Formula!H99,31),INDEX(Properties!A$1:CB$87,Formula!J99,31))</f>
        <v>3.32</v>
      </c>
      <c r="CX99" s="69">
        <f>MIN(IF(INDEX(Properties!A$1:CB$87,Formula!B99,31)=0,10^6,INDEX(Properties!A$1:CB$87,Formula!B99,31)),IF(INDEX(Properties!A$1:CB$87,Formula!D99,31)=0,10^6,INDEX(Properties!A$1:CB$87,Formula!D99,31)),IF(INDEX(Properties!A$1:CB$87,Formula!F99,31)=0,10^6,INDEX(Properties!A$1:CB$87,Formula!F99,31)),IF(INDEX(Properties!A$1:CB$87,Formula!H99,31)=0,10^6,INDEX(Properties!A$1:CB$87,Formula!H99,31)),IF(INDEX(Properties!A$1:CB$87,Formula!J99,31)=0,10^6,INDEX(Properties!A$1:CB$87,Formula!J99,31)))</f>
        <v>1.1299999999999999</v>
      </c>
      <c r="CY99" s="69">
        <f t="shared" si="48"/>
        <v>2.19</v>
      </c>
      <c r="CZ99" s="42">
        <f>((Formula!C99)/(Formula!C99+Formula!E99+Formula!G99+Formula!I99+Formula!K99))*(INDEX(Properties!A$1:CB$87,Formula!B99,32))+((Formula!E99)/(Formula!C99+Formula!E99+Formula!G99+Formula!I99+Formula!K99))*(INDEX(Properties!A$1:CB$87,Formula!D99,32))+((Formula!G99)/(Formula!C99+Formula!E99+Formula!G99+Formula!I99+Formula!K99))*(INDEX(Properties!A$1:CB$87,Formula!F99,32))+((Formula!I99)/(Formula!C99+Formula!E99+Formula!G99+Formula!I99+Formula!K99))*(INDEX(Properties!A$1:CB$87,Formula!H99,32))+((Formula!K99)/(Formula!C99+Formula!E99+Formula!G99+Formula!I99+Formula!K99))*(INDEX(Properties!A$1:CB$87,Formula!J99,32))</f>
        <v>5.6520000000000001</v>
      </c>
      <c r="DA99" s="42">
        <f>Formula!C99*(INDEX(Properties!A$1:CB$87,Formula!B99,32))+Formula!E99*(INDEX(Properties!A$1:CB$87,Formula!D99,32))+Formula!G99*(INDEX(Properties!A$1:CB$87,Formula!F99,32))+Formula!I99*(INDEX(Properties!A$1:CB$87,Formula!H99,32))+Formula!K99*(INDEX(Properties!A$1:CB$87,Formula!J99,32))</f>
        <v>28.26</v>
      </c>
      <c r="DB99" s="42">
        <f>VARP(IF(INDEX(Properties!A$1:CB$87,Formula!B99,32)&lt;&gt;"",INDEX(Properties!A$1:CB$87,Formula!B99,32)),IF(INDEX(Properties!A$1:CB$87,Formula!D99,32)&lt;&gt;"",INDEX(Properties!A$1:CB$87,Formula!D99,32)),IF(INDEX(Properties!A$1:CB$87,Formula!F99,32)&lt;&gt;"",INDEX(Properties!A$1:CB$87,Formula!F99,32)),IF(INDEX(Properties!A$1:CB$87,Formula!H99,32)&lt;&gt;"",INDEX(Properties!A$1:CB$87,Formula!H99,32)),IF(INDEX(Properties!A$1:CB$87,Formula!J99,32)&lt;&gt;"",INDEX(Properties!A$1:CB$87,Formula!J99,32)))</f>
        <v>7.8717440000000014</v>
      </c>
      <c r="DC99" s="42">
        <f>MAX(INDEX(Properties!A$1:CB$87,Formula!B99,32),INDEX(Properties!A$1:CB$87,Formula!D99,32),INDEX(Properties!A$1:CB$87,Formula!F99,32),INDEX(Properties!A$1:CB$87,Formula!H99,32),INDEX(Properties!A$1:CB$87,Formula!J99,32))</f>
        <v>7.54</v>
      </c>
      <c r="DD99" s="42">
        <f>MIN(IF(INDEX(Properties!A$1:CB$87,Formula!B99,32)=0,10^6,INDEX(Properties!A$1:CB$87,Formula!B99,32)),IF(INDEX(Properties!A$1:CB$87,Formula!D99,32)=0,10^6,INDEX(Properties!A$1:CB$87,Formula!D99,32)),IF(INDEX(Properties!A$1:CB$87,Formula!F99,32)=0,10^6,INDEX(Properties!A$1:CB$87,Formula!F99,32)),IF(INDEX(Properties!A$1:CB$87,Formula!H99,32)=0,10^6,INDEX(Properties!A$1:CB$87,Formula!H99,32)),IF(INDEX(Properties!A$1:CB$87,Formula!J99,32)=0,10^6,INDEX(Properties!A$1:CB$87,Formula!J99,32)))</f>
        <v>2</v>
      </c>
      <c r="DE99" s="42">
        <f t="shared" si="49"/>
        <v>5.54</v>
      </c>
      <c r="DF99" s="60">
        <f>((Formula!C99)/(Formula!C99+Formula!E99+Formula!G99+Formula!I99+Formula!K99))*(INDEX(Properties!A$1:CB$87,Formula!B99,34))+((Formula!E99)/(Formula!C99+Formula!E99+Formula!G99+Formula!I99+Formula!K99))*(INDEX(Properties!A$1:CB$87,Formula!D99,34))+((Formula!G99)/(Formula!C99+Formula!E99+Formula!G99+Formula!I99+Formula!K99))*(INDEX(Properties!A$1:CB$87,Formula!F99,34))+((Formula!I99)/(Formula!C99+Formula!E99+Formula!G99+Formula!I99+Formula!K99))*(INDEX(Properties!A$1:CB$87,Formula!H99,34))+((Formula!K99)/(Formula!C99+Formula!E99+Formula!G99+Formula!I99+Formula!K99))*(INDEX(Properties!A$1:CB$87,Formula!J99,34))</f>
        <v>2.6225999999999998</v>
      </c>
      <c r="DG99" s="60">
        <f>Formula!C99*(INDEX(Properties!A$1:CB$87,Formula!B99,34))+Formula!E99*(INDEX(Properties!A$1:CB$87,Formula!D99,34))+Formula!G99*(INDEX(Properties!A$1:CB$87,Formula!F99,34))+Formula!I99*(INDEX(Properties!A$1:CB$87,Formula!H99,34))+Formula!K99*(INDEX(Properties!A$1:CB$87,Formula!J99,34))</f>
        <v>13.113</v>
      </c>
      <c r="DH99" s="60">
        <f>VARP(IF(INDEX(Properties!A$1:CB$87,Formula!B99,34)&lt;&gt;"",INDEX(Properties!A$1:CB$87,Formula!B99,34)),IF(INDEX(Properties!A$1:CB$87,Formula!D99,34)&lt;&gt;"",INDEX(Properties!A$1:CB$87,Formula!D99,34)),IF(INDEX(Properties!A$1:CB$87,Formula!F99,34)&lt;&gt;"",INDEX(Properties!A$1:CB$87,Formula!F99,34)),IF(INDEX(Properties!A$1:CB$87,Formula!H99,34)&lt;&gt;"",INDEX(Properties!A$1:CB$87,Formula!H99,34)),IF(INDEX(Properties!A$1:CB$87,Formula!J99,34)&lt;&gt;"",INDEX(Properties!A$1:CB$87,Formula!J99,34)))</f>
        <v>1.7512758399999999</v>
      </c>
      <c r="DI99" s="60">
        <f>MAX(INDEX(Properties!A$1:CB$87,Formula!B99,34),INDEX(Properties!A$1:CB$87,Formula!D99,34),INDEX(Properties!A$1:CB$87,Formula!F99,34),INDEX(Properties!A$1:CB$87,Formula!H99,34),INDEX(Properties!A$1:CB$87,Formula!J99,34))</f>
        <v>3.61</v>
      </c>
      <c r="DJ99" s="60">
        <f>MIN(IF(INDEX(Properties!A$1:CB$87,Formula!B99,34)=0,10^6,INDEX(Properties!A$1:CB$87,Formula!B99,34)),IF(INDEX(Properties!A$1:CB$87,Formula!D99,34)=0,10^6,INDEX(Properties!A$1:CB$87,Formula!D99,34)),IF(INDEX(Properties!A$1:CB$87,Formula!F99,34)=0,10^6,INDEX(Properties!A$1:CB$87,Formula!F99,34)),IF(INDEX(Properties!A$1:CB$87,Formula!H99,34)=0,10^6,INDEX(Properties!A$1:CB$87,Formula!H99,34)),IF(INDEX(Properties!A$1:CB$87,Formula!J99,34)=0,10^6,INDEX(Properties!A$1:CB$87,Formula!J99,34)))</f>
        <v>0.96299999999999997</v>
      </c>
      <c r="DK99" s="60">
        <f t="shared" si="50"/>
        <v>2.6469999999999998</v>
      </c>
      <c r="DL99" s="45">
        <f>((Formula!C99)/(Formula!C99+Formula!E99+Formula!G99+Formula!I99+Formula!K99))*(INDEX(Properties!A$1:CB$87,Formula!B99,39))+((Formula!E99)/(Formula!C99+Formula!E99+Formula!G99+Formula!I99+Formula!K99))*(INDEX(Properties!A$1:CB$87,Formula!D99,39))+((Formula!G99)/(Formula!C99+Formula!E99+Formula!G99+Formula!I99+Formula!K99))*(INDEX(Properties!A$1:CB$87,Formula!F99,39))+((Formula!I99)/(Formula!C99+Formula!E99+Formula!G99+Formula!I99+Formula!K99))*(INDEX(Properties!A$1:CB$87,Formula!H99,39))+((Formula!K99)/(Formula!C99+Formula!E99+Formula!G99+Formula!I99+Formula!K99))*(INDEX(Properties!A$1:CB$87,Formula!J99,39))</f>
        <v>1.1380000000000001</v>
      </c>
      <c r="DM99" s="45">
        <f>Formula!C99*(INDEX(Properties!A$1:CB$87,Formula!B99,39))+Formula!E99*(INDEX(Properties!A$1:CB$87,Formula!D99,39))+Formula!G99*(INDEX(Properties!A$1:CB$87,Formula!F99,39))+Formula!I99*(INDEX(Properties!A$1:CB$87,Formula!H99,39))+Formula!K99*(INDEX(Properties!A$1:CB$87,Formula!J99,39))</f>
        <v>5.6899999999999995</v>
      </c>
      <c r="DN99" s="45">
        <f>VARP(IF(INDEX(Properties!A$1:CB$87,Formula!B99,39)&lt;&gt;"",INDEX(Properties!A$1:CB$87,Formula!B99,39)),IF(INDEX(Properties!A$1:CB$87,Formula!D99,39)&lt;&gt;"",INDEX(Properties!A$1:CB$87,Formula!D99,39)),IF(INDEX(Properties!A$1:CB$87,Formula!F99,39)&lt;&gt;"",INDEX(Properties!A$1:CB$87,Formula!F99,39)),IF(INDEX(Properties!A$1:CB$87,Formula!H99,39)&lt;&gt;"",INDEX(Properties!A$1:CB$87,Formula!H99,39)),IF(INDEX(Properties!A$1:CB$87,Formula!J99,39)&lt;&gt;"",INDEX(Properties!A$1:CB$87,Formula!J99,39)))</f>
        <v>0.95910399999999962</v>
      </c>
      <c r="DO99" s="45">
        <f>MAX(INDEX(Properties!A$1:CB$87,Formula!B99,39),INDEX(Properties!A$1:CB$87,Formula!D99,39),INDEX(Properties!A$1:CB$87,Formula!F99,39),INDEX(Properties!A$1:CB$87,Formula!H99,39),INDEX(Properties!A$1:CB$87,Formula!J99,39))</f>
        <v>2.19</v>
      </c>
      <c r="DP99" s="45">
        <f>MIN(IF(INDEX(Properties!A$1:CB$87,Formula!B99,39)=0,10^6,INDEX(Properties!A$1:CB$87,Formula!B99,39)),IF(INDEX(Properties!A$1:CB$87,Formula!D99,39)=0,10^6,INDEX(Properties!A$1:CB$87,Formula!D99,39)),IF(INDEX(Properties!A$1:CB$87,Formula!F99,39)=0,10^6,INDEX(Properties!A$1:CB$87,Formula!F99,39)),IF(INDEX(Properties!A$1:CB$87,Formula!H99,39)=0,10^6,INDEX(Properties!A$1:CB$87,Formula!H99,39)),IF(INDEX(Properties!A$1:CB$87,Formula!J99,39)=0,10^6,INDEX(Properties!A$1:CB$87,Formula!J99,39)))</f>
        <v>0.48</v>
      </c>
      <c r="DQ99" s="45">
        <f t="shared" si="51"/>
        <v>1.71</v>
      </c>
      <c r="DR99" s="63">
        <f>((Formula!C99)/(Formula!C99+Formula!E99+Formula!G99+Formula!I99+Formula!K99))*(INDEX(Properties!A$1:CB$87,Formula!B99,40))+((Formula!E99)/(Formula!C99+Formula!E99+Formula!G99+Formula!I99+Formula!K99))*(INDEX(Properties!A$1:CB$87,Formula!D99,40))+((Formula!G99)/(Formula!C99+Formula!E99+Formula!G99+Formula!I99+Formula!K99))*(INDEX(Properties!A$1:CB$87,Formula!F99,40))+((Formula!I99)/(Formula!C99+Formula!E99+Formula!G99+Formula!I99+Formula!K99))*(INDEX(Properties!A$1:CB$87,Formula!H99,40))+((Formula!K99)/(Formula!C99+Formula!E99+Formula!G99+Formula!I99+Formula!K99))*(INDEX(Properties!A$1:CB$87,Formula!J99,40))</f>
        <v>1.1179999999999999</v>
      </c>
      <c r="DS99" s="63">
        <f>Formula!C99*(INDEX(Properties!A$1:CB$87,Formula!B99,40))+Formula!E99*(INDEX(Properties!A$1:CB$87,Formula!D99,40))+Formula!G99*(INDEX(Properties!A$1:CB$87,Formula!F99,40))+Formula!I99*(INDEX(Properties!A$1:CB$87,Formula!H99,40))+Formula!K99*(INDEX(Properties!A$1:CB$87,Formula!J99,40))</f>
        <v>5.59</v>
      </c>
      <c r="DT99" s="63">
        <f>VARP(IF(INDEX(Properties!A$1:CB$87,Formula!B99,40)&lt;&gt;"",INDEX(Properties!A$1:CB$87,Formula!B99,40)),IF(INDEX(Properties!A$1:CB$87,Formula!D99,40)&lt;&gt;"",INDEX(Properties!A$1:CB$87,Formula!D99,40)),IF(INDEX(Properties!A$1:CB$87,Formula!F99,40)&lt;&gt;"",INDEX(Properties!A$1:CB$87,Formula!F99,40)),IF(INDEX(Properties!A$1:CB$87,Formula!H99,40)&lt;&gt;"",INDEX(Properties!A$1:CB$87,Formula!H99,40)),IF(INDEX(Properties!A$1:CB$87,Formula!J99,40)&lt;&gt;"",INDEX(Properties!A$1:CB$87,Formula!J99,40)))</f>
        <v>0.59966399999999997</v>
      </c>
      <c r="DU99" s="63">
        <f>MAX(INDEX(Properties!A$1:CB$87,Formula!B99,40),INDEX(Properties!A$1:CB$87,Formula!D99,40),INDEX(Properties!A$1:CB$87,Formula!F99,40),INDEX(Properties!A$1:CB$87,Formula!H99,40),INDEX(Properties!A$1:CB$87,Formula!J99,40))</f>
        <v>1.92</v>
      </c>
      <c r="DV99" s="63">
        <f>MIN(IF(INDEX(Properties!A$1:CB$87,Formula!B99,40)=0,10^6,INDEX(Properties!A$1:CB$87,Formula!B99,40)),IF(INDEX(Properties!A$1:CB$87,Formula!D99,40)=0,10^6,INDEX(Properties!A$1:CB$87,Formula!D99,40)),IF(INDEX(Properties!A$1:CB$87,Formula!F99,40)=0,10^6,INDEX(Properties!A$1:CB$87,Formula!F99,40)),IF(INDEX(Properties!A$1:CB$87,Formula!H99,40)=0,10^6,INDEX(Properties!A$1:CB$87,Formula!H99,40)),IF(INDEX(Properties!A$1:CB$87,Formula!J99,40)=0,10^6,INDEX(Properties!A$1:CB$87,Formula!J99,40)))</f>
        <v>0.73</v>
      </c>
      <c r="DW99" s="63">
        <f t="shared" si="52"/>
        <v>1.19</v>
      </c>
      <c r="DX99" s="75">
        <f>((Formula!C99)/(Formula!C99+Formula!E99+Formula!G99+Formula!I99+Formula!K99))*(INDEX(Properties!A$1:CB$87,Formula!B99,41))+((Formula!E99)/(Formula!C99+Formula!E99+Formula!G99+Formula!I99+Formula!K99))*(INDEX(Properties!A$1:CB$87,Formula!D99,41))+((Formula!G99)/(Formula!C99+Formula!E99+Formula!G99+Formula!I99+Formula!K99))*(INDEX(Properties!A$1:CB$87,Formula!F99,41))+((Formula!I99)/(Formula!C99+Formula!E99+Formula!G99+Formula!I99+Formula!K99))*(INDEX(Properties!A$1:CB$87,Formula!H99,41))+((Formula!K99)/(Formula!C99+Formula!E99+Formula!G99+Formula!I99+Formula!K99))*(INDEX(Properties!A$1:CB$87,Formula!J99,41))</f>
        <v>1.1920000000000002</v>
      </c>
      <c r="DY99" s="75">
        <f>Formula!C99*(INDEX(Properties!A$1:CB$87,Formula!B99,41))+Formula!E99*(INDEX(Properties!A$1:CB$87,Formula!D99,41))+Formula!G99*(INDEX(Properties!A$1:CB$87,Formula!F99,41))+Formula!I99*(INDEX(Properties!A$1:CB$87,Formula!H99,41))+Formula!K99*(INDEX(Properties!A$1:CB$87,Formula!J99,41))</f>
        <v>5.9600000000000009</v>
      </c>
      <c r="DZ99" s="75">
        <f>VARP(IF(INDEX(Properties!A$1:CB$87,Formula!B99,41)&lt;&gt;"",INDEX(Properties!A$1:CB$87,Formula!B99,41)),IF(INDEX(Properties!A$1:CB$87,Formula!D99,41)&lt;&gt;"",INDEX(Properties!A$1:CB$87,Formula!D99,41)),IF(INDEX(Properties!A$1:CB$87,Formula!F99,41)&lt;&gt;"",INDEX(Properties!A$1:CB$87,Formula!F99,41)),IF(INDEX(Properties!A$1:CB$87,Formula!H99,41)&lt;&gt;"",INDEX(Properties!A$1:CB$87,Formula!H99,41)),IF(INDEX(Properties!A$1:CB$87,Formula!J99,41)&lt;&gt;"",INDEX(Properties!A$1:CB$87,Formula!J99,41)))</f>
        <v>0.34057599999999999</v>
      </c>
      <c r="EA99" s="75">
        <f>MAX(INDEX(Properties!A$1:CB$87,Formula!B99,41),INDEX(Properties!A$1:CB$87,Formula!D99,41),INDEX(Properties!A$1:CB$87,Formula!F99,41),INDEX(Properties!A$1:CB$87,Formula!H99,41),INDEX(Properties!A$1:CB$87,Formula!J99,41))</f>
        <v>1.32</v>
      </c>
      <c r="EB99" s="75">
        <f>MIN(IF(INDEX(Properties!A$1:CB$87,Formula!B99,41)=0,10^6,INDEX(Properties!A$1:CB$87,Formula!B99,41)),IF(INDEX(Properties!A$1:CB$87,Formula!D99,41)=0,10^6,INDEX(Properties!A$1:CB$87,Formula!D99,41)),IF(INDEX(Properties!A$1:CB$87,Formula!F99,41)=0,10^6,INDEX(Properties!A$1:CB$87,Formula!F99,41)),IF(INDEX(Properties!A$1:CB$87,Formula!H99,41)=0,10^6,INDEX(Properties!A$1:CB$87,Formula!H99,41)),IF(INDEX(Properties!A$1:CB$87,Formula!J99,41)=0,10^6,INDEX(Properties!A$1:CB$87,Formula!J99,41)))</f>
        <v>0.86</v>
      </c>
      <c r="EC99" s="75">
        <f t="shared" si="53"/>
        <v>0.46000000000000008</v>
      </c>
      <c r="ED99" s="48">
        <f>((Formula!C99)/(Formula!C99+Formula!E99+Formula!G99+Formula!I99+Formula!K99))*(INDEX(Properties!A$1:CB$87,Formula!B99,45))+((Formula!E99)/(Formula!C99+Formula!E99+Formula!G99+Formula!I99+Formula!K99))*(INDEX(Properties!A$1:CB$87,Formula!D99,45))+((Formula!G99)/(Formula!C99+Formula!E99+Formula!G99+Formula!I99+Formula!K99))*(INDEX(Properties!A$1:CB$87,Formula!F99,45))+((Formula!I99)/(Formula!C99+Formula!E99+Formula!G99+Formula!I99+Formula!K99))*(INDEX(Properties!A$1:CB$87,Formula!H99,45))+((Formula!K99)/(Formula!C99+Formula!E99+Formula!G99+Formula!I99+Formula!K99))*(INDEX(Properties!A$1:CB$87,Formula!J99,45))</f>
        <v>1.4900000000000002</v>
      </c>
      <c r="EE99" s="48">
        <f>Formula!C99*(INDEX(Properties!A$1:CB$87,Formula!B99,45))+Formula!E99*(INDEX(Properties!A$1:CB$87,Formula!D99,45))+Formula!G99*(INDEX(Properties!A$1:CB$87,Formula!F99,45))+Formula!I99*(INDEX(Properties!A$1:CB$87,Formula!H99,45))+Formula!K99*(INDEX(Properties!A$1:CB$87,Formula!J99,45))</f>
        <v>7.45</v>
      </c>
      <c r="EF99" s="48">
        <f>VARP(IF(INDEX(Properties!A$1:CB$87,Formula!B99,45)&lt;&gt;"",INDEX(Properties!A$1:CB$87,Formula!B99,45)),IF(INDEX(Properties!A$1:CB$87,Formula!D99,45)&lt;&gt;"",INDEX(Properties!A$1:CB$87,Formula!D99,45)),IF(INDEX(Properties!A$1:CB$87,Formula!F99,45)&lt;&gt;"",INDEX(Properties!A$1:CB$87,Formula!F99,45)),IF(INDEX(Properties!A$1:CB$87,Formula!H99,45)&lt;&gt;"",INDEX(Properties!A$1:CB$87,Formula!H99,45)),IF(INDEX(Properties!A$1:CB$87,Formula!J99,45)&lt;&gt;"",INDEX(Properties!A$1:CB$87,Formula!J99,45)))</f>
        <v>2.0115760000000007</v>
      </c>
      <c r="EG99" s="48">
        <f>MAX(INDEX(Properties!A$1:CB$87,Formula!B99,45),INDEX(Properties!A$1:CB$87,Formula!D99,45),INDEX(Properties!A$1:CB$87,Formula!F99,45),INDEX(Properties!A$1:CB$87,Formula!H99,45),INDEX(Properties!A$1:CB$87,Formula!J99,45))</f>
        <v>3.21</v>
      </c>
      <c r="EH99" s="48">
        <f>MIN(IF(INDEX(Properties!A$1:CB$87,Formula!B99,45)=0,10^6,INDEX(Properties!A$1:CB$87,Formula!B99,45)),IF(INDEX(Properties!A$1:CB$87,Formula!D99,45)=0,10^6,INDEX(Properties!A$1:CB$87,Formula!D99,45)),IF(INDEX(Properties!A$1:CB$87,Formula!F99,45)=0,10^6,INDEX(Properties!A$1:CB$87,Formula!F99,45)),IF(INDEX(Properties!A$1:CB$87,Formula!H99,45)=0,10^6,INDEX(Properties!A$1:CB$87,Formula!H99,45)),IF(INDEX(Properties!A$1:CB$87,Formula!J99,45)=0,10^6,INDEX(Properties!A$1:CB$87,Formula!J99,45)))</f>
        <v>0.47</v>
      </c>
      <c r="EI99" s="48">
        <f t="shared" si="54"/>
        <v>2.74</v>
      </c>
      <c r="EJ99" s="66">
        <f>((Formula!C99)/(Formula!C99+Formula!E99+Formula!G99+Formula!I99+Formula!K99))*(INDEX(Properties!A$1:CB$87,Formula!B99,46))+((Formula!E99)/(Formula!C99+Formula!E99+Formula!G99+Formula!I99+Formula!K99))*(INDEX(Properties!A$1:CB$87,Formula!D99,46))+((Formula!G99)/(Formula!C99+Formula!E99+Formula!G99+Formula!I99+Formula!K99))*(INDEX(Properties!A$1:CB$87,Formula!F99,46))+((Formula!I99)/(Formula!C99+Formula!E99+Formula!G99+Formula!I99+Formula!K99))*(INDEX(Properties!A$1:CB$87,Formula!H99,46))+((Formula!K99)/(Formula!C99+Formula!E99+Formula!G99+Formula!I99+Formula!K99))*(INDEX(Properties!A$1:CB$87,Formula!J99,46))</f>
        <v>1.1619999999999999</v>
      </c>
      <c r="EK99" s="66">
        <f>Formula!C99*(INDEX(Properties!A$1:CB$87,Formula!B99,46))+Formula!E99*(INDEX(Properties!A$1:CB$87,Formula!D99,46))+Formula!G99*(INDEX(Properties!A$1:CB$87,Formula!F99,46))+Formula!I99*(INDEX(Properties!A$1:CB$87,Formula!H99,46))+Formula!K99*(INDEX(Properties!A$1:CB$87,Formula!J99,46))</f>
        <v>5.8100000000000005</v>
      </c>
      <c r="EL99" s="66">
        <f>VARP(IF(INDEX(Properties!A$1:CB$87,Formula!B99,46)&lt;&gt;"",INDEX(Properties!A$1:CB$87,Formula!B99,46)),IF(INDEX(Properties!A$1:CB$87,Formula!D99,46)&lt;&gt;"",INDEX(Properties!A$1:CB$87,Formula!D99,46)),IF(INDEX(Properties!A$1:CB$87,Formula!F99,46)&lt;&gt;"",INDEX(Properties!A$1:CB$87,Formula!F99,46)),IF(INDEX(Properties!A$1:CB$87,Formula!H99,46)&lt;&gt;"",INDEX(Properties!A$1:CB$87,Formula!H99,46)),IF(INDEX(Properties!A$1:CB$87,Formula!J99,46)&lt;&gt;"",INDEX(Properties!A$1:CB$87,Formula!J99,46)))</f>
        <v>0.32953600000000011</v>
      </c>
      <c r="EM99" s="66">
        <f>MAX(INDEX(Properties!A$1:CB$87,Formula!B99,46),INDEX(Properties!A$1:CB$87,Formula!D99,46),INDEX(Properties!A$1:CB$87,Formula!F99,46),INDEX(Properties!A$1:CB$87,Formula!H99,46),INDEX(Properties!A$1:CB$87,Formula!J99,46))</f>
        <v>1.32</v>
      </c>
      <c r="EN99" s="66">
        <f>MIN(IF(INDEX(Properties!A$1:CB$87,Formula!B99,46)=0,10^6,INDEX(Properties!A$1:CB$87,Formula!B99,46)),IF(INDEX(Properties!A$1:CB$87,Formula!D99,46)=0,10^6,INDEX(Properties!A$1:CB$87,Formula!D99,46)),IF(INDEX(Properties!A$1:CB$87,Formula!F99,46)=0,10^6,INDEX(Properties!A$1:CB$87,Formula!F99,46)),IF(INDEX(Properties!A$1:CB$87,Formula!H99,46)=0,10^6,INDEX(Properties!A$1:CB$87,Formula!H99,46)),IF(INDEX(Properties!A$1:CB$87,Formula!J99,46)=0,10^6,INDEX(Properties!A$1:CB$87,Formula!J99,46)))</f>
        <v>0.86</v>
      </c>
      <c r="EO99" s="66">
        <f t="shared" si="55"/>
        <v>0.46000000000000008</v>
      </c>
      <c r="EP99" s="81">
        <f>((Formula!C99)/(Formula!C99+Formula!E99+Formula!G99+Formula!I99+Formula!K99))*(INDEX(Properties!A$1:CB$87,Formula!B99,52))+((Formula!E99)/(Formula!C99+Formula!E99+Formula!G99+Formula!I99+Formula!K99))*(INDEX(Properties!A$1:CB$87,Formula!D99,52))+((Formula!G99)/(Formula!C99+Formula!E99+Formula!G99+Formula!I99+Formula!K99))*(INDEX(Properties!A$1:CB$87,Formula!F99,52))+((Formula!I99)/(Formula!C99+Formula!E99+Formula!G99+Formula!I99+Formula!K99))*(INDEX(Properties!A$1:CB$87,Formula!H99,52))+((Formula!K99)/(Formula!C99+Formula!E99+Formula!G99+Formula!I99+Formula!K99))*(INDEX(Properties!A$1:CB$87,Formula!J99,52))</f>
        <v>9.575800000000001</v>
      </c>
      <c r="EQ99" s="81">
        <f>Formula!C99*(INDEX(Properties!A$1:CB$87,Formula!B99,52))+Formula!E99*(INDEX(Properties!A$1:CB$87,Formula!D99,52))+Formula!G99*(INDEX(Properties!A$1:CB$87,Formula!F99,52))+Formula!I99*(INDEX(Properties!A$1:CB$87,Formula!H99,52))+Formula!K99*(INDEX(Properties!A$1:CB$87,Formula!J99,52))</f>
        <v>47.878999999999998</v>
      </c>
      <c r="ER99" s="81">
        <f>VARP(IF(INDEX(Properties!A$1:CB$87,Formula!B99,52)&lt;&gt;"",INDEX(Properties!A$1:CB$87,Formula!B99,52)),IF(INDEX(Properties!A$1:CB$87,Formula!D99,52)&lt;&gt;"",INDEX(Properties!A$1:CB$87,Formula!D99,52)),IF(INDEX(Properties!A$1:CB$87,Formula!F99,52)&lt;&gt;"",INDEX(Properties!A$1:CB$87,Formula!F99,52)),IF(INDEX(Properties!A$1:CB$87,Formula!H99,52)&lt;&gt;"",INDEX(Properties!A$1:CB$87,Formula!H99,52)),IF(INDEX(Properties!A$1:CB$87,Formula!J99,52)&lt;&gt;"",INDEX(Properties!A$1:CB$87,Formula!J99,52)))</f>
        <v>130.83809583999999</v>
      </c>
      <c r="ES99" s="81">
        <f>MAX(INDEX(Properties!A$1:CB$87,Formula!B99,52),INDEX(Properties!A$1:CB$87,Formula!D99,52),INDEX(Properties!A$1:CB$87,Formula!F99,52),INDEX(Properties!A$1:CB$87,Formula!H99,52),INDEX(Properties!A$1:CB$87,Formula!J99,52))</f>
        <v>27.6</v>
      </c>
      <c r="ET99" s="81">
        <f>MIN(IF(INDEX(Properties!A$1:CB$87,Formula!B99,52)=0,10^6,INDEX(Properties!A$1:CB$87,Formula!B99,52)),IF(INDEX(Properties!A$1:CB$87,Formula!D99,52)=0,10^6,INDEX(Properties!A$1:CB$87,Formula!D99,52)),IF(INDEX(Properties!A$1:CB$87,Formula!F99,52)=0,10^6,INDEX(Properties!A$1:CB$87,Formula!F99,52)),IF(INDEX(Properties!A$1:CB$87,Formula!H99,52)=0,10^6,INDEX(Properties!A$1:CB$87,Formula!H99,52)),IF(INDEX(Properties!A$1:CB$87,Formula!J99,52)=0,10^6,INDEX(Properties!A$1:CB$87,Formula!J99,52)))</f>
        <v>0.79300000000000004</v>
      </c>
      <c r="EU99" s="81">
        <f t="shared" si="56"/>
        <v>26.807000000000002</v>
      </c>
      <c r="EV99" s="39">
        <f>((Formula!C99)/(Formula!C99+Formula!E99+Formula!G99+Formula!I99+Formula!K99))*(INDEX(Properties!A$1:CB$87,Formula!B99,53))+((Formula!E99)/(Formula!C99+Formula!E99+Formula!G99+Formula!I99+Formula!K99))*(INDEX(Properties!A$1:CB$87,Formula!D99,53))+((Formula!G99)/(Formula!C99+Formula!E99+Formula!G99+Formula!I99+Formula!K99))*(INDEX(Properties!A$1:CB$87,Formula!F99,53))+((Formula!I99)/(Formula!C99+Formula!E99+Formula!G99+Formula!I99+Formula!K99))*(INDEX(Properties!A$1:CB$87,Formula!H99,53))+((Formula!K99)/(Formula!C99+Formula!E99+Formula!G99+Formula!I99+Formula!K99))*(INDEX(Properties!A$1:CB$87,Formula!J99,53))</f>
        <v>666.31000000000006</v>
      </c>
      <c r="EW99" s="39">
        <f>Formula!C99*(INDEX(Properties!A$1:CB$87,Formula!B99,53))+Formula!E99*(INDEX(Properties!A$1:CB$87,Formula!D99,53))+Formula!G99*(INDEX(Properties!A$1:CB$87,Formula!F99,53))+Formula!I99*(INDEX(Properties!A$1:CB$87,Formula!H99,53))+Formula!K99*(INDEX(Properties!A$1:CB$87,Formula!J99,53))</f>
        <v>3331.55</v>
      </c>
      <c r="EX99" s="39">
        <f>VARP(IF(INDEX(Properties!A$1:CB$87,Formula!B99,53)&lt;&gt;"",INDEX(Properties!A$1:CB$87,Formula!B99,53)),IF(INDEX(Properties!A$1:CB$87,Formula!D99,53)&lt;&gt;"",INDEX(Properties!A$1:CB$87,Formula!D99,53)),IF(INDEX(Properties!A$1:CB$87,Formula!F99,53)&lt;&gt;"",INDEX(Properties!A$1:CB$87,Formula!F99,53)),IF(INDEX(Properties!A$1:CB$87,Formula!H99,53)&lt;&gt;"",INDEX(Properties!A$1:CB$87,Formula!H99,53)),IF(INDEX(Properties!A$1:CB$87,Formula!J99,53)&lt;&gt;"",INDEX(Properties!A$1:CB$87,Formula!J99,53)))</f>
        <v>705803.09340000001</v>
      </c>
      <c r="EY99" s="39">
        <f>MAX(INDEX(Properties!A$1:CB$87,Formula!B99,53),INDEX(Properties!A$1:CB$87,Formula!D99,53),INDEX(Properties!A$1:CB$87,Formula!F99,53),INDEX(Properties!A$1:CB$87,Formula!H99,53),INDEX(Properties!A$1:CB$87,Formula!J99,53))</f>
        <v>2125.15</v>
      </c>
      <c r="EZ99" s="39">
        <f>MIN(IF(INDEX(Properties!A$1:CB$87,Formula!B99,53)=0,10^6,INDEX(Properties!A$1:CB$87,Formula!B99,53)),IF(INDEX(Properties!A$1:CB$87,Formula!D99,53)=0,10^6,INDEX(Properties!A$1:CB$87,Formula!D99,53)),IF(INDEX(Properties!A$1:CB$87,Formula!F99,53)=0,10^6,INDEX(Properties!A$1:CB$87,Formula!F99,53)),IF(INDEX(Properties!A$1:CB$87,Formula!H99,53)=0,10^6,INDEX(Properties!A$1:CB$87,Formula!H99,53)),IF(INDEX(Properties!A$1:CB$87,Formula!J99,53)=0,10^6,INDEX(Properties!A$1:CB$87,Formula!J99,53)))</f>
        <v>54.749999999999972</v>
      </c>
      <c r="FA99" s="39">
        <f t="shared" si="57"/>
        <v>2070.4</v>
      </c>
      <c r="FB99" s="54">
        <f>((Formula!C99)/(Formula!C99+Formula!E99+Formula!G99+Formula!I99+Formula!K99))*(INDEX(Properties!A$1:CB$87,Formula!B99,54))+((Formula!E99)/(Formula!C99+Formula!E99+Formula!G99+Formula!I99+Formula!K99))*(INDEX(Properties!A$1:CB$87,Formula!D99,54))+((Formula!G99)/(Formula!C99+Formula!E99+Formula!G99+Formula!I99+Formula!K99))*(INDEX(Properties!A$1:CB$87,Formula!F99,54))+((Formula!I99)/(Formula!C99+Formula!E99+Formula!G99+Formula!I99+Formula!K99))*(INDEX(Properties!A$1:CB$87,Formula!H99,54))+((Formula!K99)/(Formula!C99+Formula!E99+Formula!G99+Formula!I99+Formula!K99))*(INDEX(Properties!A$1:CB$87,Formula!J99,54))</f>
        <v>1315.55</v>
      </c>
      <c r="FC99" s="54">
        <f>Formula!C99*(INDEX(Properties!A$1:CB$87,Formula!B99,54))+Formula!E99*(INDEX(Properties!A$1:CB$87,Formula!D99,54))+Formula!G99*(INDEX(Properties!A$1:CB$87,Formula!F99,54))+Formula!I99*(INDEX(Properties!A$1:CB$87,Formula!H99,54))+Formula!K99*(INDEX(Properties!A$1:CB$87,Formula!J99,54))</f>
        <v>6577.7499999999991</v>
      </c>
      <c r="FD99" s="54">
        <f>VARP(IF(INDEX(Properties!A$1:CB$87,Formula!B99,54)&lt;&gt;"",INDEX(Properties!A$1:CB$87,Formula!B99,54)),IF(INDEX(Properties!A$1:CB$87,Formula!D99,54)&lt;&gt;"",INDEX(Properties!A$1:CB$87,Formula!D99,54)),IF(INDEX(Properties!A$1:CB$87,Formula!F99,54)&lt;&gt;"",INDEX(Properties!A$1:CB$87,Formula!F99,54)),IF(INDEX(Properties!A$1:CB$87,Formula!H99,54)&lt;&gt;"",INDEX(Properties!A$1:CB$87,Formula!H99,54)),IF(INDEX(Properties!A$1:CB$87,Formula!J99,54)&lt;&gt;"",INDEX(Properties!A$1:CB$87,Formula!J99,54)))</f>
        <v>3238538.9733999996</v>
      </c>
      <c r="FE99" s="54">
        <f>MAX(INDEX(Properties!A$1:CB$87,Formula!B99,54),INDEX(Properties!A$1:CB$87,Formula!D99,54),INDEX(Properties!A$1:CB$87,Formula!F99,54),INDEX(Properties!A$1:CB$87,Formula!H99,54),INDEX(Properties!A$1:CB$87,Formula!J99,54))</f>
        <v>4650.1499999999996</v>
      </c>
      <c r="FF99" s="54">
        <f>MIN(IF(INDEX(Properties!A$1:CB$87,Formula!B99,54)=0,10^6,INDEX(Properties!A$1:CB$87,Formula!B99,54)),IF(INDEX(Properties!A$1:CB$87,Formula!D99,54)=0,10^6,INDEX(Properties!A$1:CB$87,Formula!D99,54)),IF(INDEX(Properties!A$1:CB$87,Formula!F99,54)=0,10^6,INDEX(Properties!A$1:CB$87,Formula!F99,54)),IF(INDEX(Properties!A$1:CB$87,Formula!H99,54)=0,10^6,INDEX(Properties!A$1:CB$87,Formula!H99,54)),IF(INDEX(Properties!A$1:CB$87,Formula!J99,54)=0,10^6,INDEX(Properties!A$1:CB$87,Formula!J99,54)))</f>
        <v>90.149999999999977</v>
      </c>
      <c r="FG99" s="54">
        <f t="shared" si="58"/>
        <v>4560</v>
      </c>
      <c r="FH99" s="69">
        <f>((Formula!C99)/(Formula!C99+Formula!E99+Formula!G99+Formula!I99+Formula!K99))*(INDEX(Properties!A$1:CB$87,Formula!B99,55))+((Formula!E99)/(Formula!C99+Formula!E99+Formula!G99+Formula!I99+Formula!K99))*(INDEX(Properties!A$1:CB$87,Formula!D99,55))+((Formula!G99)/(Formula!C99+Formula!E99+Formula!G99+Formula!I99+Formula!K99))*(INDEX(Properties!A$1:CB$87,Formula!F99,55))+((Formula!I99)/(Formula!C99+Formula!E99+Formula!G99+Formula!I99+Formula!K99))*(INDEX(Properties!A$1:CB$87,Formula!H99,55))+((Formula!K99)/(Formula!C99+Formula!E99+Formula!G99+Formula!I99+Formula!K99))*(INDEX(Properties!A$1:CB$87,Formula!J99,55))</f>
        <v>1.8288580000000001</v>
      </c>
      <c r="FI99" s="69">
        <f>Formula!C99*(INDEX(Properties!A$1:CB$87,Formula!B99,55))+Formula!E99*(INDEX(Properties!A$1:CB$87,Formula!D99,54))+Formula!G99*(INDEX(Properties!A$1:CB$87,Formula!F99,55))+Formula!I99*(INDEX(Properties!A$1:CB$87,Formula!H99,55))+Formula!K99*(INDEX(Properties!A$1:CB$87,Formula!J99,55))</f>
        <v>4652.7842899999996</v>
      </c>
      <c r="FJ99" s="69">
        <f>VARP(IF(INDEX(Properties!A$1:CB$87,Formula!B99,55)&lt;&gt;"",INDEX(Properties!A$1:CB$87,Formula!B99,55)),IF(INDEX(Properties!A$1:CB$87,Formula!D99,55)&lt;&gt;"",INDEX(Properties!A$1:CB$87,Formula!D99,55)),IF(INDEX(Properties!A$1:CB$87,Formula!F99,55)&lt;&gt;"",INDEX(Properties!A$1:CB$87,Formula!F99,55)),IF(INDEX(Properties!A$1:CB$87,Formula!H99,55)&lt;&gt;"",INDEX(Properties!A$1:CB$87,Formula!H99,55)),IF(INDEX(Properties!A$1:CB$87,Formula!J99,55)&lt;&gt;"",INDEX(Properties!A$1:CB$87,Formula!J99,55)))</f>
        <v>6.5167707111839999</v>
      </c>
      <c r="FK99" s="69">
        <f>MAX(INDEX(Properties!A$1:CB$87,Formula!B99,55),INDEX(Properties!A$1:CB$87,Formula!D99,55),INDEX(Properties!A$1:CB$87,Formula!F99,55),INDEX(Properties!A$1:CB$87,Formula!H99,55),INDEX(Properties!A$1:CB$87,Formula!J99,55))</f>
        <v>6.51</v>
      </c>
      <c r="FL99" s="69">
        <f>MIN(IF(INDEX(Properties!A$1:CB$87,Formula!B99,55)=0,10^6,INDEX(Properties!A$1:CB$87,Formula!B99,55)),IF(INDEX(Properties!A$1:CB$87,Formula!D99,55)=0,10^6,INDEX(Properties!A$1:CB$87,Formula!D99,55)),IF(INDEX(Properties!A$1:CB$87,Formula!F99,55)=0,10^6,INDEX(Properties!A$1:CB$87,Formula!F99,55)),IF(INDEX(Properties!A$1:CB$87,Formula!H99,55)=0,10^6,INDEX(Properties!A$1:CB$87,Formula!H99,55)),IF(INDEX(Properties!A$1:CB$87,Formula!J99,55)=0,10^6,INDEX(Properties!A$1:CB$87,Formula!J99,55)))</f>
        <v>1.4300000000000001E-3</v>
      </c>
      <c r="FM99" s="69">
        <f t="shared" si="59"/>
        <v>6.5085699999999997</v>
      </c>
      <c r="FN99" s="42">
        <f>((Formula!C99)/(Formula!C99+Formula!E99+Formula!G99+Formula!I99+Formula!K99))*(INDEX(Properties!A$1:CB$87,Formula!B99,56))+((Formula!E99)/(Formula!C99+Formula!E99+Formula!G99+Formula!I99+Formula!K99))*(INDEX(Properties!A$1:CB$87,Formula!D99,56))+((Formula!G99)/(Formula!C99+Formula!E99+Formula!G99+Formula!I99+Formula!K99))*(INDEX(Properties!A$1:CB$87,Formula!F99,56))+((Formula!I99)/(Formula!C99+Formula!E99+Formula!G99+Formula!I99+Formula!K99))*(INDEX(Properties!A$1:CB$87,Formula!H99,56))+((Formula!K99)/(Formula!C99+Formula!E99+Formula!G99+Formula!I99+Formula!K99))*(INDEX(Properties!A$1:CB$87,Formula!J99,56))</f>
        <v>0.66600000000000004</v>
      </c>
      <c r="FO99" s="42">
        <f>Formula!C99*(INDEX(Properties!A$1:CB$87,Formula!B99,56))+Formula!E99*(INDEX(Properties!A$1:CB$87,Formula!D99,56))+Formula!G99*(INDEX(Properties!A$1:CB$87,Formula!F99,56))+Formula!I99*(INDEX(Properties!A$1:CB$87,Formula!H99,56))+Formula!K99*(INDEX(Properties!A$1:CB$87,Formula!J99,56))</f>
        <v>3.33</v>
      </c>
      <c r="FP99" s="42">
        <f>VARP(IF(INDEX(Properties!A$1:CB$87,Formula!B99,56)&lt;&gt;"",INDEX(Properties!A$1:CB$87,Formula!B99,56)),IF(INDEX(Properties!A$1:CB$87,Formula!D99,56)&lt;&gt;"",INDEX(Properties!A$1:CB$87,Formula!D99,56)),IF(INDEX(Properties!A$1:CB$87,Formula!F99,56)&lt;&gt;"",INDEX(Properties!A$1:CB$87,Formula!F99,56)),IF(INDEX(Properties!A$1:CB$87,Formula!H99,56)&lt;&gt;"",INDEX(Properties!A$1:CB$87,Formula!H99,56)),IF(INDEX(Properties!A$1:CB$87,Formula!J99,56)&lt;&gt;"",INDEX(Properties!A$1:CB$87,Formula!J99,56)))</f>
        <v>0.11305599999999996</v>
      </c>
      <c r="FQ99" s="42">
        <f>MAX(INDEX(Properties!A$1:CB$87,Formula!B99,56),INDEX(Properties!A$1:CB$87,Formula!D99,56),INDEX(Properties!A$1:CB$87,Formula!F99,56),INDEX(Properties!A$1:CB$87,Formula!H99,56),INDEX(Properties!A$1:CB$87,Formula!J99,56))</f>
        <v>0.92</v>
      </c>
      <c r="FR99" s="42">
        <f>MIN(IF(INDEX(Properties!A$1:CB$87,Formula!B99,56)=0,10^6,INDEX(Properties!A$1:CB$87,Formula!B99,56)),IF(INDEX(Properties!A$1:CB$87,Formula!D99,56)=0,10^6,INDEX(Properties!A$1:CB$87,Formula!D99,56)),IF(INDEX(Properties!A$1:CB$87,Formula!F99,56)=0,10^6,INDEX(Properties!A$1:CB$87,Formula!F99,56)),IF(INDEX(Properties!A$1:CB$87,Formula!H99,56)=0,10^6,INDEX(Properties!A$1:CB$87,Formula!H99,56)),IF(INDEX(Properties!A$1:CB$87,Formula!J99,56)=0,10^6,INDEX(Properties!A$1:CB$87,Formula!J99,56)))</f>
        <v>0.27</v>
      </c>
      <c r="FS99" s="42">
        <f t="shared" si="60"/>
        <v>0.65</v>
      </c>
      <c r="FT99" s="60">
        <f>((Formula!C99)/(Formula!C99+Formula!E99+Formula!G99+Formula!I99+Formula!K99))*(INDEX(Properties!A$1:CB$87,Formula!B99,57))+((Formula!E99)/(Formula!C99+Formula!E99+Formula!G99+Formula!I99+Formula!K99))*(INDEX(Properties!A$1:CB$87,Formula!D99,57))+((Formula!G99)/(Formula!C99+Formula!E99+Formula!G99+Formula!I99+Formula!K99))*(INDEX(Properties!A$1:CB$87,Formula!F99,57))+((Formula!I99)/(Formula!C99+Formula!E99+Formula!G99+Formula!I99+Formula!K99))*(INDEX(Properties!A$1:CB$87,Formula!H99,57))+((Formula!K99)/(Formula!C99+Formula!E99+Formula!G99+Formula!I99+Formula!K99))*(INDEX(Properties!A$1:CB$87,Formula!J99,57))</f>
        <v>5.1735540000000002</v>
      </c>
      <c r="FU99" s="60">
        <f>Formula!C99*(INDEX(Properties!A$1:CB$87,Formula!B99,57))+Formula!E99*(INDEX(Properties!A$1:CB$87,Formula!D99,57))+Formula!G99*(INDEX(Properties!A$1:CB$87,Formula!F99,57))+Formula!I99*(INDEX(Properties!A$1:CB$87,Formula!H99,57))+Formula!K99*(INDEX(Properties!A$1:CB$87,Formula!J99,57))</f>
        <v>25.86777</v>
      </c>
      <c r="FV99" s="60">
        <f>VARP(IF(INDEX(Properties!A$1:CB$87,Formula!B99,57)&lt;&gt;"",INDEX(Properties!A$1:CB$87,Formula!B99,57)),IF(INDEX(Properties!A$1:CB$87,Formula!D99,57)&lt;&gt;"",INDEX(Properties!A$1:CB$87,Formula!D99,57)),IF(INDEX(Properties!A$1:CB$87,Formula!F99,57)&lt;&gt;"",INDEX(Properties!A$1:CB$87,Formula!F99,57)),IF(INDEX(Properties!A$1:CB$87,Formula!H99,57)&lt;&gt;"",INDEX(Properties!A$1:CB$87,Formula!H99,57)),IF(INDEX(Properties!A$1:CB$87,Formula!J99,57)&lt;&gt;"",INDEX(Properties!A$1:CB$87,Formula!J99,57)))</f>
        <v>45.057585969295999</v>
      </c>
      <c r="FW99" s="60">
        <f>MAX(INDEX(Properties!A$1:CB$87,Formula!B99,57),INDEX(Properties!A$1:CB$87,Formula!D99,57),INDEX(Properties!A$1:CB$87,Formula!F99,57),INDEX(Properties!A$1:CB$87,Formula!H99,57),INDEX(Properties!A$1:CB$87,Formula!J99,57))</f>
        <v>16.899999999999999</v>
      </c>
      <c r="FX99" s="60">
        <f>MIN(IF(INDEX(Properties!A$1:CB$87,Formula!B99,57)=0,10^6,INDEX(Properties!A$1:CB$87,Formula!B99,57)),IF(INDEX(Properties!A$1:CB$87,Formula!D99,57)=0,10^6,INDEX(Properties!A$1:CB$87,Formula!D99,57)),IF(INDEX(Properties!A$1:CB$87,Formula!F99,57)=0,10^6,INDEX(Properties!A$1:CB$87,Formula!F99,57)),IF(INDEX(Properties!A$1:CB$87,Formula!H99,57)=0,10^6,INDEX(Properties!A$1:CB$87,Formula!H99,57)),IF(INDEX(Properties!A$1:CB$87,Formula!J99,57)=0,10^6,INDEX(Properties!A$1:CB$87,Formula!J99,57)))</f>
        <v>0.22259000000000001</v>
      </c>
      <c r="FY99" s="60">
        <f t="shared" si="61"/>
        <v>16.677409999999998</v>
      </c>
      <c r="FZ99" s="72">
        <f>((Formula!C99)/(Formula!C99+Formula!E99+Formula!G99+Formula!I99+Formula!K99))*(INDEX(Properties!A$1:CB$87,Formula!B99,60))+((Formula!E99)/(Formula!C99+Formula!E99+Formula!G99+Formula!I99+Formula!K99))*(INDEX(Properties!A$1:CB$87,Formula!D99,60))+((Formula!G99)/(Formula!C99+Formula!E99+Formula!G99+Formula!I99+Formula!K99))*(INDEX(Properties!A$1:CB$87,Formula!F99,60))+((Formula!I99)/(Formula!C99+Formula!E99+Formula!G99+Formula!I99+Formula!K99))*(INDEX(Properties!A$1:CB$87,Formula!H99,60))+((Formula!K99)/(Formula!C99+Formula!E99+Formula!G99+Formula!I99+Formula!K99))*(INDEX(Properties!A$1:CB$87,Formula!J99,60))</f>
        <v>11.616044</v>
      </c>
      <c r="GA99" s="72">
        <f>Formula!C99*(INDEX(Properties!A$1:CB$87,Formula!B99,60))+Formula!E99*(INDEX(Properties!A$1:CB$87,Formula!D99,60))+Formula!G99*(INDEX(Properties!A$1:CB$87,Formula!F99,60))+Formula!I99*(INDEX(Properties!A$1:CB$87,Formula!H99,60))+Formula!K99*(INDEX(Properties!A$1:CB$87,Formula!J99,60))</f>
        <v>58.080219999999997</v>
      </c>
      <c r="GB99" s="72">
        <f>VARP(IF(INDEX(Properties!A$1:CB$87,Formula!B99,60)&lt;&gt;"",INDEX(Properties!A$1:CB$87,Formula!B99,60)),IF(INDEX(Properties!A$1:CB$87,Formula!D99,60)&lt;&gt;"",INDEX(Properties!A$1:CB$87,Formula!D99,60)),IF(INDEX(Properties!A$1:CB$87,Formula!F99,60)&lt;&gt;"",INDEX(Properties!A$1:CB$87,Formula!F99,60)),IF(INDEX(Properties!A$1:CB$87,Formula!H99,60)&lt;&gt;"",INDEX(Properties!A$1:CB$87,Formula!H99,60)),IF(INDEX(Properties!A$1:CB$87,Formula!J99,60)&lt;&gt;"",INDEX(Properties!A$1:CB$87,Formula!J99,60)))</f>
        <v>217.59204080441603</v>
      </c>
      <c r="GC99" s="72">
        <f>MAX(INDEX(Properties!A$1:CB$87,Formula!B99,60),INDEX(Properties!A$1:CB$87,Formula!D99,60),INDEX(Properties!A$1:CB$87,Formula!F99,60),INDEX(Properties!A$1:CB$87,Formula!H99,60),INDEX(Properties!A$1:CB$87,Formula!J99,60))</f>
        <v>35.299999999999997</v>
      </c>
      <c r="GD99" s="72">
        <f>MIN(IF(INDEX(Properties!A$1:CB$87,Formula!B99,60)=0,10^6,INDEX(Properties!A$1:CB$87,Formula!B99,60)),IF(INDEX(Properties!A$1:CB$87,Formula!D99,60)=0,10^6,INDEX(Properties!A$1:CB$87,Formula!D99,60)),IF(INDEX(Properties!A$1:CB$87,Formula!F99,60)=0,10^6,INDEX(Properties!A$1:CB$87,Formula!F99,60)),IF(INDEX(Properties!A$1:CB$87,Formula!H99,60)=0,10^6,INDEX(Properties!A$1:CB$87,Formula!H99,60)),IF(INDEX(Properties!A$1:CB$87,Formula!J99,60)=0,10^6,INDEX(Properties!A$1:CB$87,Formula!J99,60)))</f>
        <v>2.674E-2</v>
      </c>
      <c r="GE99" s="72">
        <f t="shared" si="62"/>
        <v>35.273260000000001</v>
      </c>
      <c r="GF99" s="51">
        <f>((Formula!C99)/(Formula!C99+Formula!E99+Formula!G99+Formula!I99+Formula!K99))*(INDEX(Properties!A$1:CB$87,Formula!B99,62))+((Formula!E99)/(Formula!C99+Formula!E99+Formula!G99+Formula!I99+Formula!K99))*(INDEX(Properties!A$1:CB$87,Formula!D99,62))+((Formula!G99)/(Formula!C99+Formula!E99+Formula!G99+Formula!I99+Formula!K99))*(INDEX(Properties!A$1:CB$87,Formula!F99,62))+((Formula!I99)/(Formula!C99+Formula!E99+Formula!G99+Formula!I99+Formula!K99))*(INDEX(Properties!A$1:CB$87,Formula!H99,62))+((Formula!K99)/(Formula!C99+Formula!E99+Formula!G99+Formula!I99+Formula!K99))*(INDEX(Properties!A$1:CB$87,Formula!J99,62))</f>
        <v>3.1660000000000004</v>
      </c>
      <c r="GG99" s="51">
        <f>Formula!C99*(INDEX(Properties!A$1:CB$87,Formula!B99,62))+Formula!E99*(INDEX(Properties!A$1:CB$87,Formula!D99,62))+Formula!G99*(INDEX(Properties!A$1:CB$87,Formula!F99,62))+Formula!I99*(INDEX(Properties!A$1:CB$87,Formula!H99,62))+Formula!K99*(INDEX(Properties!A$1:CB$87,Formula!J99,62))</f>
        <v>15.83</v>
      </c>
      <c r="GH99" s="51">
        <f>VARP(IF(INDEX(Properties!A$1:CB$87,Formula!B99,62)&lt;&gt;"",INDEX(Properties!A$1:CB$87,Formula!B99,62)),IF(INDEX(Properties!A$1:CB$87,Formula!D99,62)&lt;&gt;"",INDEX(Properties!A$1:CB$87,Formula!D99,62)),IF(INDEX(Properties!A$1:CB$87,Formula!F99,62)&lt;&gt;"",INDEX(Properties!A$1:CB$87,Formula!F99,62)),IF(INDEX(Properties!A$1:CB$87,Formula!H99,62)&lt;&gt;"",INDEX(Properties!A$1:CB$87,Formula!H99,62)),IF(INDEX(Properties!A$1:CB$87,Formula!J99,62)&lt;&gt;"",INDEX(Properties!A$1:CB$87,Formula!J99,62)))</f>
        <v>5.2911359999999998</v>
      </c>
      <c r="GI99" s="51">
        <f>MAX(INDEX(Properties!A$1:CB$87,Formula!B99,62),INDEX(Properties!A$1:CB$87,Formula!D99,62),INDEX(Properties!A$1:CB$87,Formula!F99,62),INDEX(Properties!A$1:CB$87,Formula!H99,62),INDEX(Properties!A$1:CB$87,Formula!J99,62))</f>
        <v>6.25</v>
      </c>
      <c r="GJ99" s="51">
        <f>MIN(IF(INDEX(Properties!A$1:CB$87,Formula!B99,62)=0,10^6,INDEX(Properties!A$1:CB$87,Formula!B99,62)),IF(INDEX(Properties!A$1:CB$87,Formula!D99,62)=0,10^6,INDEX(Properties!A$1:CB$87,Formula!D99,62)),IF(INDEX(Properties!A$1:CB$87,Formula!F99,62)=0,10^6,INDEX(Properties!A$1:CB$87,Formula!F99,62)),IF(INDEX(Properties!A$1:CB$87,Formula!H99,62)=0,10^6,INDEX(Properties!A$1:CB$87,Formula!H99,62)),IF(INDEX(Properties!A$1:CB$87,Formula!J99,62)=0,10^6,INDEX(Properties!A$1:CB$87,Formula!J99,62)))</f>
        <v>1.72</v>
      </c>
      <c r="GK99" s="51">
        <f t="shared" si="63"/>
        <v>4.53</v>
      </c>
      <c r="GL99" s="51">
        <f>Formula!P99</f>
        <v>62</v>
      </c>
      <c r="GM99" s="57">
        <f>Formula!O99</f>
        <v>3</v>
      </c>
      <c r="GN99" s="51">
        <f>Formula!N99</f>
        <v>0.05</v>
      </c>
    </row>
    <row r="100" spans="1:196" x14ac:dyDescent="0.3">
      <c r="A100" s="84" t="str">
        <f>Formula!A100</f>
        <v>Ba2GdTaO6</v>
      </c>
      <c r="B100" s="89">
        <f>((Formula!C100)/(Formula!C100+Formula!E100+Formula!G100+Formula!I100+Formula!K100))*(INDEX(Properties!A$1:CB$87,Formula!B100,3))+((Formula!E100)/(Formula!C100+Formula!E100+Formula!G100+Formula!I100+Formula!K100))*(INDEX(Properties!A$1:CB$87,Formula!D100,3))+((Formula!G100)/(Formula!C100+Formula!E100+Formula!G100+Formula!I100+Formula!K100))*(INDEX(Properties!A$1:CB$87,Formula!F100,3))+((Formula!I100)/(Formula!C100+Formula!E100+Formula!G100+Formula!I100+Formula!K100))*(INDEX(Properties!A$1:CB$87,Formula!H100,3))+((Formula!K100)/(Formula!C100+Formula!E100+Formula!G100+Formula!I100+Formula!K100))*(INDEX(Properties!A$1:CB$87,Formula!J100,3))</f>
        <v>70.884829999999994</v>
      </c>
      <c r="C100" s="85">
        <f>Formula!C100*(INDEX(Properties!A$1:CB$87,Formula!B100,3))+Formula!E100*(INDEX(Properties!A$1:CB$87,Formula!D100,3))+Formula!G100*(INDEX(Properties!A$1:CB$87,Formula!F100,3))+Formula!I100*(INDEX(Properties!A$1:CB$87,Formula!H100,3))+Formula!K100*(INDEX(Properties!A$1:CB$87,Formula!J100,3))</f>
        <v>708.84829999999999</v>
      </c>
      <c r="D100" s="85">
        <f>VARP(IF(INDEX(Properties!A$1:CB$87,Formula!B100,3)&lt;&gt;"",INDEX(Properties!A$1:CB$87,Formula!B100,3)),IF(INDEX(Properties!A$1:CB$87,Formula!D100,3)&lt;&gt;"",INDEX(Properties!A$1:CB$87,Formula!D100,3)),IF(INDEX(Properties!A$1:CB$87,Formula!F100,3)&lt;&gt;"",INDEX(Properties!A$1:CB$87,Formula!F100,3)),IF(INDEX(Properties!A$1:CB$87,Formula!H100,3)&lt;&gt;"",INDEX(Properties!A$1:CB$87,Formula!H100,3)),IF(INDEX(Properties!A$1:CB$87,Formula!J100,3)&lt;&gt;"",INDEX(Properties!A$1:CB$87,Formula!J100,3)))</f>
        <v>5653.0326491344022</v>
      </c>
      <c r="E100" s="85">
        <f>MAX(INDEX(Properties!A$1:CB$87,Formula!B100,3),INDEX(Properties!A$1:CB$87,Formula!D100,3),INDEX(Properties!A$1:CB$87,Formula!F100,3),INDEX(Properties!A$1:CB$87,Formula!H100,3),INDEX(Properties!A$1:CB$87,Formula!J100,3))</f>
        <v>180.9479</v>
      </c>
      <c r="F100" s="85">
        <f>MIN(IF(INDEX(Properties!A$1:CB$87,Formula!B100,3)=0,10^6,INDEX(Properties!A$1:CB$87,Formula!B100,3)),IF(INDEX(Properties!A$1:CB$87,Formula!D100,3)=0,10^6,INDEX(Properties!A$1:CB$87,Formula!D100,3)),IF(INDEX(Properties!A$1:CB$87,Formula!F100,3)=0,10^6,INDEX(Properties!A$1:CB$87,Formula!F100,3)),IF(INDEX(Properties!A$1:CB$87,Formula!H100,3)=0,10^6,INDEX(Properties!A$1:CB$87,Formula!H100,3)),IF(INDEX(Properties!A$1:CB$87,Formula!J100,3)=0,10^6,INDEX(Properties!A$1:CB$87,Formula!J100,3)))</f>
        <v>15.9994</v>
      </c>
      <c r="G100" s="85">
        <f t="shared" si="32"/>
        <v>164.9485</v>
      </c>
      <c r="H100" s="87">
        <f>((Formula!C100)/(Formula!C100+Formula!E100+Formula!G100+Formula!I100+Formula!K100))*(INDEX(Properties!A$1:CB$87,Formula!B100,4))+((Formula!E100)/(Formula!C100+Formula!E100+Formula!G100+Formula!I100+Formula!K100))*(INDEX(Properties!A$1:CB$87,Formula!D100,4))+((Formula!G100)/(Formula!C100+Formula!E100+Formula!G100+Formula!I100+Formula!K100))*(INDEX(Properties!A$1:CB$87,Formula!F100,4))+((Formula!I100)/(Formula!C100+Formula!E100+Formula!G100+Formula!I100+Formula!K100))*(INDEX(Properties!A$1:CB$87,Formula!H100,4))+((Formula!K100)/(Formula!C100+Formula!E100+Formula!G100+Formula!I100+Formula!K100))*(INDEX(Properties!A$1:CB$87,Formula!J100,4))</f>
        <v>29.700000000000003</v>
      </c>
      <c r="I100" s="87">
        <f>Formula!C100*(INDEX(Properties!A$1:CB$87,Formula!B100,4))+Formula!E100*(INDEX(Properties!A$1:CB$87,Formula!D100,4))+Formula!G100*(INDEX(Properties!A$1:CB$87,Formula!F100,4))+Formula!I100*(INDEX(Properties!A$1:CB$87,Formula!H100,4))+Formula!K100*(INDEX(Properties!A$1:CB$87,Formula!J100,4))</f>
        <v>297</v>
      </c>
      <c r="J100" s="87">
        <f>VARP(IF(INDEX(Properties!A$1:CB$87,Formula!B100,4)&lt;&gt;"",INDEX(Properties!A$1:CB$87,Formula!B100,4)),IF(INDEX(Properties!A$1:CB$87,Formula!D100,4)&lt;&gt;"",INDEX(Properties!A$1:CB$87,Formula!D100,4)),IF(INDEX(Properties!A$1:CB$87,Formula!F100,4)&lt;&gt;"",INDEX(Properties!A$1:CB$87,Formula!F100,4)),IF(INDEX(Properties!A$1:CB$87,Formula!H100,4)&lt;&gt;"",INDEX(Properties!A$1:CB$87,Formula!H100,4)),IF(INDEX(Properties!A$1:CB$87,Formula!J100,4)&lt;&gt;"",INDEX(Properties!A$1:CB$87,Formula!J100,4)))</f>
        <v>908.96</v>
      </c>
      <c r="K100" s="87">
        <f>MAX(INDEX(Properties!A$1:CB$87,Formula!B100,4),INDEX(Properties!A$1:CB$87,Formula!D100,4),INDEX(Properties!A$1:CB$87,Formula!F100,4),INDEX(Properties!A$1:CB$87,Formula!H100,4),INDEX(Properties!A$1:CB$87,Formula!J100,4))</f>
        <v>73</v>
      </c>
      <c r="L100" s="87">
        <f>MIN(IF(INDEX(Properties!A$1:CB$87,Formula!B100,4)=0,10^6,INDEX(Properties!A$1:CB$87,Formula!B100,4)),IF(INDEX(Properties!A$1:CB$87,Formula!D100,4)=0,10^6,INDEX(Properties!A$1:CB$87,Formula!D100,4)),IF(INDEX(Properties!A$1:CB$87,Formula!F100,4)=0,10^6,INDEX(Properties!A$1:CB$87,Formula!F100,4)),IF(INDEX(Properties!A$1:CB$87,Formula!H100,4)=0,10^6,INDEX(Properties!A$1:CB$87,Formula!H100,4)),IF(INDEX(Properties!A$1:CB$87,Formula!J100,4)=0,10^6,INDEX(Properties!A$1:CB$87,Formula!J100,4)))</f>
        <v>8</v>
      </c>
      <c r="M100" s="87">
        <f t="shared" si="33"/>
        <v>65</v>
      </c>
      <c r="N100" s="89">
        <f>((Formula!C100)/(Formula!C100+Formula!E100+Formula!G100+Formula!I100+Formula!K100))*(INDEX(Properties!A$1:CB$87,Formula!B100,5))+((Formula!E100)/(Formula!C100+Formula!E100+Formula!G100+Formula!I100+Formula!K100))*(INDEX(Properties!A$1:CB$87,Formula!D100,5))+((Formula!G100)/(Formula!C100+Formula!E100+Formula!G100+Formula!I100+Formula!K100))*(INDEX(Properties!A$1:CB$87,Formula!F100,5))+((Formula!I100)/(Formula!C100+Formula!E100+Formula!G100+Formula!I100+Formula!K100))*(INDEX(Properties!A$1:CB$87,Formula!H100,5))+((Formula!K100)/(Formula!C100+Formula!E100+Formula!G100+Formula!I100+Formula!K100))*(INDEX(Properties!A$1:CB$87,Formula!J100,5))</f>
        <v>3.6000000000000005</v>
      </c>
      <c r="O100" s="89">
        <f>Formula!C100*(INDEX(Properties!A$1:CB$87,Formula!B100,5))+Formula!E100*(INDEX(Properties!A$1:CB$87,Formula!D100,5))+Formula!G100*(INDEX(Properties!A$1:CB$87,Formula!F100,5))+Formula!I100*(INDEX(Properties!A$1:CB$87,Formula!H100,5))+Formula!K100*(INDEX(Properties!A$1:CB$87,Formula!J100,5))</f>
        <v>36</v>
      </c>
      <c r="P100" s="89">
        <f>VARP(IF(INDEX(Properties!A$1:CB$87,Formula!B100,5)&lt;&gt;"",INDEX(Properties!A$1:CB$87,Formula!B100,5)),IF(INDEX(Properties!A$1:CB$87,Formula!D100,5)&lt;&gt;"",INDEX(Properties!A$1:CB$87,Formula!D100,5)),IF(INDEX(Properties!A$1:CB$87,Formula!F100,5)&lt;&gt;"",INDEX(Properties!A$1:CB$87,Formula!F100,5)),IF(INDEX(Properties!A$1:CB$87,Formula!H100,5)&lt;&gt;"",INDEX(Properties!A$1:CB$87,Formula!H100,5)),IF(INDEX(Properties!A$1:CB$87,Formula!J100,5)&lt;&gt;"",INDEX(Properties!A$1:CB$87,Formula!J100,5)))</f>
        <v>6.4</v>
      </c>
      <c r="Q100" s="89">
        <f>MAX(INDEX(Properties!A$1:CB$87,Formula!B100,5),INDEX(Properties!A$1:CB$87,Formula!D100,5),INDEX(Properties!A$1:CB$87,Formula!F100,5),INDEX(Properties!A$1:CB$87,Formula!H100,5),INDEX(Properties!A$1:CB$87,Formula!J100,5))</f>
        <v>6</v>
      </c>
      <c r="R100" s="89">
        <f>MIN(IF(INDEX(Properties!A$1:CB$87,Formula!B100,5)=0,10^6,INDEX(Properties!A$1:CB$87,Formula!B100,5)),IF(INDEX(Properties!A$1:CB$87,Formula!D100,5)=0,10^6,INDEX(Properties!A$1:CB$87,Formula!D100,5)),IF(INDEX(Properties!A$1:CB$87,Formula!F100,5)=0,10^6,INDEX(Properties!A$1:CB$87,Formula!F100,5)),IF(INDEX(Properties!A$1:CB$87,Formula!H100,5)=0,10^6,INDEX(Properties!A$1:CB$87,Formula!H100,5)),IF(INDEX(Properties!A$1:CB$87,Formula!J100,5)=0,10^6,INDEX(Properties!A$1:CB$87,Formula!J100,5)))</f>
        <v>2</v>
      </c>
      <c r="S100" s="89">
        <f t="shared" si="34"/>
        <v>4</v>
      </c>
      <c r="T100" s="60">
        <f>((Formula!C100)/(Formula!C100+Formula!E100+Formula!G100+Formula!I100+Formula!K100))*(INDEX(Properties!A$1:CB$87,Formula!B100,6))+((Formula!E100)/(Formula!C100+Formula!E100+Formula!G100+Formula!I100+Formula!K100))*(INDEX(Properties!A$1:CB$87,Formula!D100,6))+((Formula!G100)/(Formula!C100+Formula!E100+Formula!G100+Formula!I100+Formula!K100))*(INDEX(Properties!A$1:CB$87,Formula!F100,6))+((Formula!I100)/(Formula!C100+Formula!E100+Formula!G100+Formula!I100+Formula!K100))*(INDEX(Properties!A$1:CB$87,Formula!H100,6))+((Formula!K100)/(Formula!C100+Formula!E100+Formula!G100+Formula!I100+Formula!K100))*(INDEX(Properties!A$1:CB$87,Formula!J100,6))</f>
        <v>10.8</v>
      </c>
      <c r="U100" s="60">
        <f>Formula!C100*(INDEX(Properties!A$1:CB$87,Formula!B100,6))+Formula!E100*(INDEX(Properties!A$1:CB$87,Formula!D100,6))+Formula!G100*(INDEX(Properties!A$1:CB$87,Formula!F100,6))+Formula!I100*(INDEX(Properties!A$1:CB$87,Formula!H100,6))+Formula!K100*(INDEX(Properties!A$1:CB$87,Formula!J100,6))</f>
        <v>108</v>
      </c>
      <c r="V100" s="89">
        <f>VARP(IF(INDEX(Properties!A$1:CB$87,Formula!B100,6)&lt;&gt;"",INDEX(Properties!A$1:CB$87,Formula!B100,6)),IF(INDEX(Properties!A$1:CB$87,Formula!D100,6)&lt;&gt;"",INDEX(Properties!A$1:CB$87,Formula!D100,6)),IF(INDEX(Properties!A$1:CB$87,Formula!F100,6)&lt;&gt;"",INDEX(Properties!A$1:CB$87,Formula!F100,6)),IF(INDEX(Properties!A$1:CB$87,Formula!H100,6)&lt;&gt;"",INDEX(Properties!A$1:CB$87,Formula!H100,6)),IF(INDEX(Properties!A$1:CB$87,Formula!J100,6)&lt;&gt;"",INDEX(Properties!A$1:CB$87,Formula!J100,6)))</f>
        <v>31.76</v>
      </c>
      <c r="W100" s="60">
        <f>MAX(INDEX(Properties!A$1:CB$87,Formula!B100,6),INDEX(Properties!A$1:CB$87,Formula!D100,6),INDEX(Properties!A$1:CB$87,Formula!F100,6),INDEX(Properties!A$1:CB$87,Formula!H100,4),INDEX(Properties!A$1:CB$87,Formula!J100,6))</f>
        <v>8</v>
      </c>
      <c r="X100" s="60">
        <f>MIN(IF(INDEX(Properties!A$1:CB$87,Formula!B100,6)=0,10^6,INDEX(Properties!A$1:CB$87,Formula!B100,6)),IF(INDEX(Properties!A$1:CB$87,Formula!D100,6)=0,10^6,INDEX(Properties!A$1:CB$87,Formula!D100,6)),IF(INDEX(Properties!A$1:CB$87,Formula!F100,6)=0,10^6,INDEX(Properties!A$1:CB$87,Formula!F100,6)),IF(INDEX(Properties!A$1:CB$87,Formula!H100,6)=0,10^6,INDEX(Properties!A$1:CB$87,Formula!H100,6)),IF(INDEX(Properties!A$1:CB$87,Formula!J100,6)=0,10^6,INDEX(Properties!A$1:CB$87,Formula!J100,6)))</f>
        <v>2</v>
      </c>
      <c r="Y100" s="60">
        <f t="shared" si="35"/>
        <v>6</v>
      </c>
      <c r="Z100" s="72">
        <f>((Formula!C100)/(Formula!C100+Formula!E100+Formula!G100+Formula!I100+Formula!K100))*(INDEX(Properties!A$1:CB$87,Formula!B100,9))+((Formula!E100)/(Formula!C100+Formula!E100+Formula!G100+Formula!I100+Formula!K100))*(INDEX(Properties!A$1:CB$87,Formula!D100,9))+((Formula!G100)/(Formula!C100+Formula!E100+Formula!G100+Formula!I100+Formula!K100))*(INDEX(Properties!A$1:CB$87,Formula!F100,9))+((Formula!I100)/(Formula!C100+Formula!E100+Formula!G100+Formula!I100+Formula!K100))*(INDEX(Properties!A$1:CB$87,Formula!H100,9))+((Formula!K100)/(Formula!C100+Formula!E100+Formula!G100+Formula!I100+Formula!K100))*(INDEX(Properties!A$1:CB$87,Formula!J100,9))</f>
        <v>61.5</v>
      </c>
      <c r="AA100" s="72">
        <f>Formula!C100*(INDEX(Properties!A$1:CB$87,Formula!B100,9))+Formula!E100*(INDEX(Properties!A$1:CB$87,Formula!D100,9))+Formula!G100*(INDEX(Properties!A$1:CB$87,Formula!F100,9))+Formula!I100*(INDEX(Properties!A$1:CB$87,Formula!H100,9))+Formula!K100*(INDEX(Properties!A$1:CB$87,Formula!J100,9))</f>
        <v>615</v>
      </c>
      <c r="AB100" s="72">
        <f>VARP(IF(INDEX(Properties!A$1:CB$87,Formula!B100,9)&lt;&gt;"",INDEX(Properties!A$1:CB$87,Formula!B100,9)),IF(INDEX(Properties!A$1:CB$87,Formula!D100,9)&lt;&gt;"",INDEX(Properties!A$1:CB$87,Formula!D100,9)),IF(INDEX(Properties!A$1:CB$87,Formula!F100,9)&lt;&gt;"",INDEX(Properties!A$1:CB$87,Formula!F100,9)),IF(INDEX(Properties!A$1:CB$87,Formula!H100,9)&lt;&gt;"",INDEX(Properties!A$1:CB$87,Formula!H100,9)),IF(INDEX(Properties!A$1:CB$87,Formula!J100,9)&lt;&gt;"",INDEX(Properties!A$1:CB$87,Formula!J100,9)))</f>
        <v>966.96</v>
      </c>
      <c r="AC100" s="72">
        <f>MAX(INDEX(Properties!A$1:CB$87,Formula!B100,9),INDEX(Properties!A$1:CB$87,Formula!D100,9),INDEX(Properties!A$1:CB$87,Formula!F100,9),INDEX(Properties!A$1:CB$87,Formula!H100,9),INDEX(Properties!A$1:CB$87,Formula!J100,9))</f>
        <v>87</v>
      </c>
      <c r="AD100" s="72">
        <f>MIN(IF(INDEX(Properties!A$1:CB$87,Formula!B100,9)=0,10^6,INDEX(Properties!A$1:CB$87,Formula!B100,9)),IF(INDEX(Properties!A$1:CB$87,Formula!D100,9)=0,10^6,INDEX(Properties!A$1:CB$87,Formula!D100,9)),IF(INDEX(Properties!A$1:CB$87,Formula!F100,9)=0,10^6,INDEX(Properties!A$1:CB$87,Formula!F100,9)),IF(INDEX(Properties!A$1:CB$87,Formula!H100,9)=0,10^6,INDEX(Properties!A$1:CB$87,Formula!H100,9)),IF(INDEX(Properties!A$1:CB$87,Formula!J100,9)=0,10^6,INDEX(Properties!A$1:CB$87,Formula!J100,9)))</f>
        <v>9</v>
      </c>
      <c r="AE100" s="72">
        <f t="shared" si="36"/>
        <v>78</v>
      </c>
      <c r="AF100" s="51">
        <f>((Formula!C100)/(Formula!C100+Formula!E100+Formula!G100+Formula!I100+Formula!K100))*(INDEX(Properties!A$1:CB$87,Formula!B100,10))+((Formula!E100)/(Formula!C100+Formula!E100+Formula!G100+Formula!I100+Formula!K100))*(INDEX(Properties!A$1:CB$87,Formula!D100,10))+((Formula!G100)/(Formula!C100+Formula!E100+Formula!G100+Formula!I100+Formula!K100))*(INDEX(Properties!A$1:CB$87,Formula!F100,10))+((Formula!I100)/(Formula!C100+Formula!E100+Formula!G100+Formula!I100+Formula!K100))*(INDEX(Properties!A$1:CB$87,Formula!H100,10))+((Formula!K100)/(Formula!C100+Formula!E100+Formula!G100+Formula!I100+Formula!K100))*(INDEX(Properties!A$1:CB$87,Formula!J100,10))</f>
        <v>5.3000000000000007</v>
      </c>
      <c r="AG100" s="51">
        <f>Formula!C100*(INDEX(Properties!A$1:CB$87,Formula!B100,10))+Formula!E100*(INDEX(Properties!A$1:CB$87,Formula!D100,10))+Formula!G100*(INDEX(Properties!A$1:CB$87,Formula!F100,10))+Formula!I100*(INDEX(Properties!A$1:CB$87,Formula!H100,10))+Formula!K100*(INDEX(Properties!A$1:CB$87,Formula!J100,10))</f>
        <v>53</v>
      </c>
      <c r="AH100" s="51">
        <f>VARP(IF(INDEX(Properties!A$1:CB$87,Formula!B100,10)&lt;&gt;"",INDEX(Properties!A$1:CB$87,Formula!B100,10)),IF(INDEX(Properties!A$1:CB$87,Formula!D100,10)&lt;&gt;"",INDEX(Properties!A$1:CB$87,Formula!D100,10)),IF(INDEX(Properties!A$1:CB$87,Formula!F100,10)&lt;&gt;"",INDEX(Properties!A$1:CB$87,Formula!F100,10)),IF(INDEX(Properties!A$1:CB$87,Formula!H100,10)&lt;&gt;"",INDEX(Properties!A$1:CB$87,Formula!H100,10)),IF(INDEX(Properties!A$1:CB$87,Formula!J100,10)&lt;&gt;"",INDEX(Properties!A$1:CB$87,Formula!J100,10)))</f>
        <v>5.36</v>
      </c>
      <c r="AI100" s="51">
        <f>MAX(INDEX(Properties!A$1:CB$87,Formula!B100,10),INDEX(Properties!A$1:CB$87,Formula!D100,10),INDEX(Properties!A$1:CB$87,Formula!F100,10),INDEX(Properties!A$1:CB$87,Formula!H100,10),INDEX(Properties!A$1:CB$87,Formula!J100,10))</f>
        <v>7</v>
      </c>
      <c r="AJ100" s="51">
        <f>MIN(IF(INDEX(Properties!A$1:CB$87,Formula!B100,10)=0,10^6,INDEX(Properties!A$1:CB$87,Formula!B100,10)),IF(INDEX(Properties!A$1:CB$87,Formula!D100,10)=0,10^6,INDEX(Properties!A$1:CB$87,Formula!D100,10)),IF(INDEX(Properties!A$1:CB$87,Formula!F100,10)=0,10^6,INDEX(Properties!A$1:CB$87,Formula!F100,10)),IF(INDEX(Properties!A$1:CB$87,Formula!H100,10)=0,10^6,INDEX(Properties!A$1:CB$87,Formula!H100,10)),IF(INDEX(Properties!A$1:CB$87,Formula!J100,10)=0,10^6,INDEX(Properties!A$1:CB$87,Formula!J100,10)))</f>
        <v>2</v>
      </c>
      <c r="AK100" s="51">
        <f t="shared" si="37"/>
        <v>5</v>
      </c>
      <c r="AL100" s="57">
        <f>((Formula!C100)/(Formula!C100+Formula!E100+Formula!G100+Formula!I100+Formula!K100))*(INDEX(Properties!A$1:CB$87,Formula!B100,11))+((Formula!E100)/(Formula!C100+Formula!E100+Formula!G100+Formula!I100+Formula!K100))*(INDEX(Properties!A$1:CB$87,Formula!D100,11))+((Formula!G100)/(Formula!C100+Formula!E100+Formula!G100+Formula!I100+Formula!K100))*(INDEX(Properties!A$1:CB$87,Formula!F100,11))+((Formula!I100)/(Formula!C100+Formula!E100+Formula!G100+Formula!I100+Formula!K100))*(INDEX(Properties!A$1:CB$87,Formula!H100,11))+((Formula!K100)/(Formula!C100+Formula!E100+Formula!G100+Formula!I100+Formula!K100))*(INDEX(Properties!A$1:CB$87,Formula!J100,11))</f>
        <v>2</v>
      </c>
      <c r="AM100" s="57">
        <f>Formula!C100*(INDEX(Properties!A$1:CB$87,Formula!B100,11))+Formula!E100*(INDEX(Properties!A$1:CB$87,Formula!D100,11))+Formula!G100*(INDEX(Properties!A$1:CB$87,Formula!F100,11))+Formula!I100*(INDEX(Properties!A$1:CB$87,Formula!H100,11))+Formula!K100*(INDEX(Properties!A$1:CB$87,Formula!J100,11))</f>
        <v>20</v>
      </c>
      <c r="AN100" s="57">
        <f>VARP(IF(INDEX(Properties!A$1:CB$87,Formula!B100,11)&lt;&gt;"",INDEX(Properties!A$1:CB$87,Formula!B100,11)),IF(INDEX(Properties!A$1:CB$87,Formula!D100,11)&lt;&gt;"",INDEX(Properties!A$1:CB$87,Formula!D100,11)),IF(INDEX(Properties!A$1:CB$87,Formula!F100,11)&lt;&gt;"",INDEX(Properties!A$1:CB$87,Formula!F100,11)),IF(INDEX(Properties!A$1:CB$87,Formula!H100,11)&lt;&gt;"",INDEX(Properties!A$1:CB$87,Formula!H100,11)),IF(INDEX(Properties!A$1:CB$87,Formula!J100,11)&lt;&gt;"",INDEX(Properties!A$1:CB$87,Formula!J100,11)))</f>
        <v>0.64</v>
      </c>
      <c r="AO100" s="57">
        <f>MAX(INDEX(Properties!A$1:CB$87,Formula!B100,11),INDEX(Properties!A$1:CB$87,Formula!D100,11),INDEX(Properties!A$1:CB$87,Formula!F100,11),INDEX(Properties!A$1:CB$87,Formula!H100,11),INDEX(Properties!A$1:CB$87,Formula!J100,11))</f>
        <v>2</v>
      </c>
      <c r="AP100" s="57">
        <f>MIN(IF(Formula!B100=87,10^6,INDEX(Properties!A$1:CB$87,Formula!B100,11)),IF((Formula!D100)=87,10^6,INDEX(Properties!A$1:CB$87,Formula!D100,11)),IF((Formula!F100)=87,10^6,INDEX(Properties!A$1:CB$87,Formula!F100,11)),IF((Formula!H100)=87,10^6,INDEX(Properties!A$1:CB$87,Formula!H100,11)),IF(Formula!J100=87,10^6,INDEX(Properties!A$1:CB$87,Formula!J100,11)))</f>
        <v>2</v>
      </c>
      <c r="AQ100" s="57">
        <f t="shared" si="38"/>
        <v>0</v>
      </c>
      <c r="AR100" s="78">
        <f>((Formula!C100)/(Formula!C100+Formula!E100+Formula!G100+Formula!I100+Formula!K100))*(INDEX(Properties!A$1:CB$87,Formula!B100,12))+((Formula!E100)/(Formula!C100+Formula!E100+Formula!G100+Formula!I100+Formula!K100))*(INDEX(Properties!A$1:CB$87,Formula!D100,12))+((Formula!G100)/(Formula!C100+Formula!E100+Formula!G100+Formula!I100+Formula!K100))*(INDEX(Properties!A$1:CB$87,Formula!F100,12))+((Formula!I100)/(Formula!C100+Formula!E100+Formula!G100+Formula!I100+Formula!K100))*(INDEX(Properties!A$1:CB$87,Formula!H100,12))+((Formula!K100)/(Formula!C100+Formula!E100+Formula!G100+Formula!I100+Formula!K100))*(INDEX(Properties!A$1:CB$87,Formula!J100,12))</f>
        <v>2.4</v>
      </c>
      <c r="AS100" s="78">
        <f>Formula!C100*(INDEX(Properties!A$1:CB$87,Formula!B100,12))+Formula!E100*(INDEX(Properties!A$1:CB$87,Formula!D100,12))+Formula!G100*(INDEX(Properties!A$1:CB$87,Formula!F100,12))+Formula!I100*(INDEX(Properties!A$1:CB$87,Formula!H100,12))+Formula!K100*(INDEX(Properties!A$1:CB$87,Formula!J100,12))</f>
        <v>24</v>
      </c>
      <c r="AT100" s="78">
        <f>VARP(IF(INDEX(Properties!A$1:CB$87,Formula!B100,12)&lt;&gt;"",INDEX(Properties!A$1:CB$87,Formula!B100,12)),IF(INDEX(Properties!A$1:CB$87,Formula!D100,12)&lt;&gt;"",INDEX(Properties!A$1:CB$87,Formula!D100,12)),IF(INDEX(Properties!A$1:CB$87,Formula!F100,12)&lt;&gt;"",INDEX(Properties!A$1:CB$87,Formula!F100,12)),IF(INDEX(Properties!A$1:CB$87,Formula!H100,12)&lt;&gt;"",INDEX(Properties!A$1:CB$87,Formula!H100,12)),IF(INDEX(Properties!A$1:CB$87,Formula!J100,12)&lt;&gt;"",INDEX(Properties!A$1:CB$87,Formula!J100,12)))</f>
        <v>2.56</v>
      </c>
      <c r="AU100" s="78">
        <f>MAX(INDEX(Properties!A$1:CB$87,Formula!B100,12),INDEX(Properties!A$1:CB$87,Formula!D100,12),INDEX(Properties!A$1:CB$87,Formula!F100,12),INDEX(Properties!A$1:CB$87,Formula!H100,12),INDEX(Properties!A$1:CB$87,Formula!J100,12))</f>
        <v>4</v>
      </c>
      <c r="AV100" s="78">
        <f>MIN(IF(Formula!B100=87,10^6,INDEX(Properties!A$1:CB$87,Formula!B100,12)),IF((Formula!D100)=87,10^6,INDEX(Properties!A$1:CB$87,Formula!D100,12)),IF((Formula!F100)=87,10^6,INDEX(Properties!A$1:CB$87,Formula!F100,12)),IF((Formula!H100)=87,10^6,INDEX(Properties!A$1:CB$87,Formula!H100,12)),IF(Formula!J100=87,10^6,INDEX(Properties!A$1:CB$87,Formula!J100,12)))</f>
        <v>0</v>
      </c>
      <c r="AW100" s="78">
        <f t="shared" si="39"/>
        <v>4</v>
      </c>
      <c r="AX100" s="45">
        <f>((Formula!C100)/(Formula!C100+Formula!E100+Formula!G100+Formula!I100+Formula!K100))*(INDEX(Properties!A$1:CB$87,Formula!B100,13))+((Formula!E100)/(Formula!C100+Formula!E100+Formula!G100+Formula!I100+Formula!K100))*(INDEX(Properties!A$1:CB$87,Formula!D100,13))+((Formula!G100)/(Formula!C100+Formula!E100+Formula!G100+Formula!I100+Formula!K100))*(INDEX(Properties!A$1:CB$87,Formula!F100,13))+((Formula!I100)/(Formula!C100+Formula!E100+Formula!G100+Formula!I100+Formula!K100))*(INDEX(Properties!A$1:CB$87,Formula!H100,13))+((Formula!K100)/(Formula!C100+Formula!E100+Formula!G100+Formula!I100+Formula!K100))*(INDEX(Properties!A$1:CB$87,Formula!J100,13))</f>
        <v>0.4</v>
      </c>
      <c r="AY100" s="45">
        <f>Formula!C100*(INDEX(Properties!A$1:CB$87,Formula!B100,13))+Formula!E100*(INDEX(Properties!A$1:CB$87,Formula!D100,13))+Formula!G100*(INDEX(Properties!A$1:CB$87,Formula!F100,13))+Formula!I100*(INDEX(Properties!A$1:CB$87,Formula!H100,13))+Formula!K100*(INDEX(Properties!A$1:CB$87,Formula!J100,13))</f>
        <v>4</v>
      </c>
      <c r="AZ100" s="45">
        <f>VARP(IF(INDEX(Properties!A$1:CB$87,Formula!B100,13)&lt;&gt;"",INDEX(Properties!A$1:CB$87,Formula!B100,13)),IF(INDEX(Properties!A$1:CB$87,Formula!D100,13)&lt;&gt;"",INDEX(Properties!A$1:CB$87,Formula!D100,13)),IF(INDEX(Properties!A$1:CB$87,Formula!F100,13)&lt;&gt;"",INDEX(Properties!A$1:CB$87,Formula!F100,13)),IF(INDEX(Properties!A$1:CB$87,Formula!H100,13)&lt;&gt;"",INDEX(Properties!A$1:CB$87,Formula!H100,13)),IF(INDEX(Properties!A$1:CB$87,Formula!J100,13)&lt;&gt;"",INDEX(Properties!A$1:CB$87,Formula!J100,13)))</f>
        <v>1.36</v>
      </c>
      <c r="BA100" s="45">
        <f>MAX(INDEX(Properties!A$1:CB$87,Formula!B100,13),INDEX(Properties!A$1:CB$87,Formula!D100,13),INDEX(Properties!A$1:CB$87,Formula!F100,13),INDEX(Properties!A$1:CB$87,Formula!H100,13),INDEX(Properties!A$1:CB$87,Formula!J100,13))</f>
        <v>3</v>
      </c>
      <c r="BB100" s="45">
        <f>MIN(IF(Formula!B100=87,10^6,INDEX(Properties!A$1:CB$87,Formula!B100,13)),IF((Formula!D100)=87,10^6,INDEX(Properties!A$1:CB$87,Formula!D100,13)),IF((Formula!F100)=87,10^6,INDEX(Properties!A$1:CB$87,Formula!F100,13)),IF((Formula!H100)=87,10^6,INDEX(Properties!A$1:CB$87,Formula!H100,13)),IF(Formula!J100=87,10^6,INDEX(Properties!A$1:CB$87,Formula!J100,13)))</f>
        <v>0</v>
      </c>
      <c r="BC100" s="45">
        <f t="shared" si="40"/>
        <v>3</v>
      </c>
      <c r="BD100" s="63">
        <f>((Formula!C100)/(Formula!C100+Formula!E100+Formula!G100+Formula!I100+Formula!K100))*(INDEX(Properties!A$1:CB$87,Formula!B100,14))+((Formula!E100)/(Formula!C100+Formula!E100+Formula!G100+Formula!I100+Formula!K100))*(INDEX(Properties!A$1:CB$87,Formula!D100,14))+((Formula!G100)/(Formula!C100+Formula!E100+Formula!G100+Formula!I100+Formula!K100))*(INDEX(Properties!A$1:CB$87,Formula!F100,14))+((Formula!I100)/(Formula!C100+Formula!E100+Formula!G100+Formula!I100+Formula!K100))*(INDEX(Properties!A$1:CB$87,Formula!H100,14))+((Formula!K100)/(Formula!C100+Formula!E100+Formula!G100+Formula!I100+Formula!K100))*(INDEX(Properties!A$1:CB$87,Formula!J100,14))</f>
        <v>2.1</v>
      </c>
      <c r="BE100" s="63">
        <f>Formula!C100*(INDEX(Properties!A$1:CB$87,Formula!B100,14))+Formula!E100*(INDEX(Properties!A$1:CB$87,Formula!D100,14))+Formula!G100*(INDEX(Properties!A$1:CB$87,Formula!F100,14))+Formula!I100*(INDEX(Properties!A$1:CB$87,Formula!H100,14))+Formula!K100*(INDEX(Properties!A$1:CB$87,Formula!J100,14))</f>
        <v>21</v>
      </c>
      <c r="BF100" s="63">
        <f>VARP(IF(INDEX(Properties!A$1:CB$87,Formula!B100,14)&lt;&gt;"",INDEX(Properties!A$1:CB$87,Formula!B100,14)),IF(INDEX(Properties!A$1:CB$87,Formula!D100,14)&lt;&gt;"",INDEX(Properties!A$1:CB$87,Formula!D100,14)),IF(INDEX(Properties!A$1:CB$87,Formula!F100,14)&lt;&gt;"",INDEX(Properties!A$1:CB$87,Formula!F100,14)),IF(INDEX(Properties!A$1:CB$87,Formula!H100,14)&lt;&gt;"",INDEX(Properties!A$1:CB$87,Formula!H100,14)),IF(INDEX(Properties!A$1:CB$87,Formula!J100,14)&lt;&gt;"",INDEX(Properties!A$1:CB$87,Formula!J100,14)))</f>
        <v>31.36</v>
      </c>
      <c r="BG100" s="63">
        <f>MAX(INDEX(Properties!A$1:CB$87,Formula!B100,14),INDEX(Properties!A$1:CB$87,Formula!D100,14),INDEX(Properties!A$1:CB$87,Formula!F100,14),INDEX(Properties!A$1:CB$87,Formula!H100,14),INDEX(Properties!A$1:CB$87,Formula!J100,14))</f>
        <v>14</v>
      </c>
      <c r="BH100" s="63">
        <f>MIN(IF(Formula!B100=87,10^6,INDEX(Properties!A$1:CB$87,Formula!B100,14)),IF((Formula!D100)=87,10^6,INDEX(Properties!A$1:CB$87,Formula!D100,14)),IF((Formula!F100)=87,10^6,INDEX(Properties!A$1:CB$87,Formula!F100,14)),IF((Formula!H100)=87,10^6,INDEX(Properties!A$1:CB$87,Formula!H100,14)),IF(Formula!J100=87,10^6,INDEX(Properties!A$1:CB$87,Formula!J100,14)))</f>
        <v>0</v>
      </c>
      <c r="BI100" s="63">
        <f t="shared" si="41"/>
        <v>14</v>
      </c>
      <c r="BJ100" s="75">
        <f>((Formula!C100)/(Formula!C100+Formula!E100+Formula!G100+Formula!I100+Formula!K100))*(INDEX(Properties!A$1:CB$87,Formula!B100,19))+((Formula!E100)/(Formula!C100+Formula!E100+Formula!G100+Formula!I100+Formula!K100))*(INDEX(Properties!A$1:CB$87,Formula!D100,19))+((Formula!G100)/(Formula!C100+Formula!E100+Formula!G100+Formula!I100+Formula!K100))*(INDEX(Properties!A$1:CB$87,Formula!F100,19))+((Formula!I100)/(Formula!C100+Formula!E100+Formula!G100+Formula!I100+Formula!K100))*(INDEX(Properties!A$1:CB$87,Formula!H100,19))+((Formula!K100)/(Formula!C100+Formula!E100+Formula!G100+Formula!I100+Formula!K100))*(INDEX(Properties!A$1:CB$87,Formula!J100,19))</f>
        <v>6.8999999999999995</v>
      </c>
      <c r="BK100" s="75">
        <f>Formula!C100*(INDEX(Properties!A$1:CB$87,Formula!B100,19))+Formula!E100*(INDEX(Properties!A$1:CB$87,Formula!D100,19))+Formula!G100*(INDEX(Properties!A$1:CB$87,Formula!F100,19))+Formula!I100*(INDEX(Properties!A$1:CB$87,Formula!H100,19))+Formula!K100*(INDEX(Properties!A$1:CB$87,Formula!J100,19))</f>
        <v>69</v>
      </c>
      <c r="BL100" s="75">
        <f>VARP(IF(INDEX(Properties!A$1:CB$87,Formula!B100,19)&lt;&gt;"",INDEX(Properties!A$1:CB$87,Formula!B100,19)),IF(INDEX(Properties!A$1:CB$87,Formula!D100,19)&lt;&gt;"",INDEX(Properties!A$1:CB$87,Formula!D100,19)),IF(INDEX(Properties!A$1:CB$87,Formula!F100,19)&lt;&gt;"",INDEX(Properties!A$1:CB$87,Formula!F100,19)),IF(INDEX(Properties!A$1:CB$87,Formula!H100,19)&lt;&gt;"",INDEX(Properties!A$1:CB$87,Formula!H100,19)),IF(INDEX(Properties!A$1:CB$87,Formula!J100,19)&lt;&gt;"",INDEX(Properties!A$1:CB$87,Formula!J100,19)))</f>
        <v>45.44</v>
      </c>
      <c r="BM100" s="75">
        <f>MAX(INDEX(Properties!A$1:CB$87,Formula!B100,19),INDEX(Properties!A$1:CB$87,Formula!D100,19),INDEX(Properties!A$1:CB$87,Formula!F100,19),INDEX(Properties!A$1:CB$87,Formula!H100,19),INDEX(Properties!A$1:CB$87,Formula!J100,19))</f>
        <v>19</v>
      </c>
      <c r="BN100" s="75">
        <f>MIN(IF(INDEX(Properties!A$1:CB$87,Formula!B100,19)=0,10^6,INDEX(Properties!A$1:CB$87,Formula!B100,19)),IF(INDEX(Properties!A$1:CB$87,Formula!D100,19)=0,10^6,INDEX(Properties!A$1:CB$87,Formula!D100,19)),IF(INDEX(Properties!A$1:CB$87,Formula!F100,19)=0,10^6,INDEX(Properties!A$1:CB$87,Formula!F100,19)),IF(INDEX(Properties!A$1:CB$87,Formula!H100,19)=0,10^6,INDEX(Properties!A$1:CB$87,Formula!H100,19)),IF(INDEX(Properties!A$1:CB$87,Formula!J100,19)=0,10^6,INDEX(Properties!A$1:CB$87,Formula!J100,19)))</f>
        <v>2</v>
      </c>
      <c r="BO100" s="75">
        <f t="shared" si="42"/>
        <v>17</v>
      </c>
      <c r="BP100" s="48">
        <f>((Formula!C100)/(Formula!C100+Formula!E100+Formula!G100+Formula!I100+Formula!K100))*(INDEX(Properties!A$1:CB$87,Formula!B100,20))+((Formula!E100)/(Formula!C100+Formula!E100+Formula!G100+Formula!I100+Formula!K100))*(INDEX(Properties!A$1:CB$87,Formula!D100,20))+((Formula!G100)/(Formula!C100+Formula!E100+Formula!G100+Formula!I100+Formula!K100))*(INDEX(Properties!A$1:CB$87,Formula!F100,20))+((Formula!I100)/(Formula!C100+Formula!E100+Formula!G100+Formula!I100+Formula!K100))*(INDEX(Properties!A$1:CB$87,Formula!H100,20))+((Formula!K100)/(Formula!C100+Formula!E100+Formula!G100+Formula!I100+Formula!K100))*(INDEX(Properties!A$1:CB$87,Formula!J100,20))</f>
        <v>4.3999999999999995</v>
      </c>
      <c r="BQ100" s="48">
        <f>Formula!C100*(INDEX(Properties!A$1:CB$87,Formula!B100,20))+Formula!E100*(INDEX(Properties!A$1:CB$87,Formula!D100,20))+Formula!G100*(INDEX(Properties!A$1:CB$87,Formula!F100,20))+Formula!I100*(INDEX(Properties!A$1:CB$87,Formula!H100,20))+Formula!K100*(INDEX(Properties!A$1:CB$87,Formula!J100,20))</f>
        <v>44</v>
      </c>
      <c r="BR100" s="48">
        <f>VARP(IF(INDEX(Properties!A$1:CB$87,Formula!B100,20)&lt;&gt;"",INDEX(Properties!A$1:CB$87,Formula!B100,20)),IF(INDEX(Properties!A$1:CB$87,Formula!D100,20)&lt;&gt;"",INDEX(Properties!A$1:CB$87,Formula!D100,20)),IF(INDEX(Properties!A$1:CB$87,Formula!F100,20)&lt;&gt;"",INDEX(Properties!A$1:CB$87,Formula!F100,20)),IF(INDEX(Properties!A$1:CB$87,Formula!H100,20)&lt;&gt;"",INDEX(Properties!A$1:CB$87,Formula!H100,20)),IF(INDEX(Properties!A$1:CB$87,Formula!J100,20)&lt;&gt;"",INDEX(Properties!A$1:CB$87,Formula!J100,20)))</f>
        <v>3.84</v>
      </c>
      <c r="BS100" s="48">
        <f>MAX(INDEX(Properties!A$1:CB$87,Formula!B100,20),INDEX(Properties!A$1:CB$87,Formula!D100,20),INDEX(Properties!A$1:CB$87,Formula!F100,20),INDEX(Properties!A$1:CB$87,Formula!H100,20),INDEX(Properties!A$1:CB$87,Formula!J100,20))</f>
        <v>6</v>
      </c>
      <c r="BT100" s="48">
        <f>MIN(IF(INDEX(Properties!A$1:CB$87,Formula!B100,20)=0,10^6,INDEX(Properties!A$1:CB$87,Formula!B100,20)),IF(INDEX(Properties!A$1:CB$87,Formula!D100,20)=0,10^6,INDEX(Properties!A$1:CB$87,Formula!D100,20)),IF(INDEX(Properties!A$1:CB$87,Formula!F100,20)=0,10^6,INDEX(Properties!A$1:CB$87,Formula!F100,20)),IF(INDEX(Properties!A$1:CB$87,Formula!H100,20)=0,10^6,INDEX(Properties!A$1:CB$87,Formula!H100,20)),IF(INDEX(Properties!A$1:CB$87,Formula!J100,20)=0,10^6,INDEX(Properties!A$1:CB$87,Formula!J100,20)))</f>
        <v>2</v>
      </c>
      <c r="BU100" s="48">
        <f t="shared" si="43"/>
        <v>4</v>
      </c>
      <c r="BV100" s="66">
        <f>((Formula!C100)/(Formula!C100+Formula!E100+Formula!G100+Formula!I100+Formula!K100))*(INDEX(Properties!A$1:CB$87,Formula!B100,21))+((Formula!E100)/(Formula!C100+Formula!E100+Formula!G100+Formula!I100+Formula!K100))*(INDEX(Properties!A$1:CB$87,Formula!D100,21))+((Formula!G100)/(Formula!C100+Formula!E100+Formula!G100+Formula!I100+Formula!K100))*(INDEX(Properties!A$1:CB$87,Formula!F100,21))+((Formula!I100)/(Formula!C100+Formula!E100+Formula!G100+Formula!I100+Formula!K100))*(INDEX(Properties!A$1:CB$87,Formula!H100,21))+((Formula!K100)/(Formula!C100+Formula!E100+Formula!G100+Formula!I100+Formula!K100))*(INDEX(Properties!A$1:CB$87,Formula!J100,21))</f>
        <v>4.5999999999999996</v>
      </c>
      <c r="BW100" s="66">
        <f>Formula!C100*(INDEX(Properties!A$1:CB$87,Formula!B100,21))+Formula!E100*(INDEX(Properties!A$1:CB$87,Formula!D100,21))+Formula!G100*(INDEX(Properties!A$1:CB$87,Formula!F100,21))+Formula!I100*(INDEX(Properties!A$1:CB$87,Formula!H100,21))+Formula!K100*(INDEX(Properties!A$1:CB$87,Formula!J100,21))</f>
        <v>46</v>
      </c>
      <c r="BX100" s="66">
        <f>VARP(IF(INDEX(Properties!A$1:CB$87,Formula!B100,21)&lt;&gt;"",INDEX(Properties!A$1:CB$87,Formula!B100,21)),IF(INDEX(Properties!A$1:CB$87,Formula!D100,21)&lt;&gt;"",INDEX(Properties!A$1:CB$87,Formula!D100,21)),IF(INDEX(Properties!A$1:CB$87,Formula!F100,21)&lt;&gt;"",INDEX(Properties!A$1:CB$87,Formula!F100,21)),IF(INDEX(Properties!A$1:CB$87,Formula!H100,21)&lt;&gt;"",INDEX(Properties!A$1:CB$87,Formula!H100,21)),IF(INDEX(Properties!A$1:CB$87,Formula!J100,21)&lt;&gt;"",INDEX(Properties!A$1:CB$87,Formula!J100,21)))</f>
        <v>3.76</v>
      </c>
      <c r="BY100" s="66">
        <f>MAX(INDEX(Properties!A$1:CB$87,Formula!B100,21),INDEX(Properties!A$1:CB$87,Formula!D100,21),INDEX(Properties!A$1:CB$87,Formula!F100,21),INDEX(Properties!A$1:CB$87,Formula!H100,21),INDEX(Properties!A$1:CB$87,Formula!J100,21))</f>
        <v>6</v>
      </c>
      <c r="BZ100" s="66">
        <f>MIN(IF(INDEX(Properties!A$1:CB$87,Formula!B100,21)=0,10^6,INDEX(Properties!A$1:CB$87,Formula!B100,21)),IF(INDEX(Properties!A$1:CB$87,Formula!D100,21)=0,10^6,INDEX(Properties!A$1:CB$87,Formula!D100,21)),IF(INDEX(Properties!A$1:CB$87,Formula!F100,21)=0,10^6,INDEX(Properties!A$1:CB$87,Formula!F100,21)),IF(INDEX(Properties!A$1:CB$87,Formula!H100,21)=0,10^6,INDEX(Properties!A$1:CB$87,Formula!H100,21)),IF(INDEX(Properties!A$1:CB$87,Formula!J100,21)=0,10^6,INDEX(Properties!A$1:CB$87,Formula!J100,21)))</f>
        <v>2</v>
      </c>
      <c r="CA100" s="66">
        <f t="shared" si="44"/>
        <v>4</v>
      </c>
      <c r="CB100" s="81">
        <f>((Formula!C100)/(Formula!C100+Formula!E100+Formula!G100+Formula!I100+Formula!K100))*(INDEX(Properties!A$1:CB$87,Formula!B100,23))+((Formula!E100)/(Formula!C100+Formula!E100+Formula!G100+Formula!I100+Formula!K100))*(INDEX(Properties!A$1:CB$87,Formula!D100,23))+((Formula!G100)/(Formula!C100+Formula!E100+Formula!G100+Formula!I100+Formula!K100))*(INDEX(Properties!A$1:CB$87,Formula!F100,23))+((Formula!I100)/(Formula!C100+Formula!E100+Formula!G100+Formula!I100+Formula!K100))*(INDEX(Properties!A$1:CB$87,Formula!H100,23))+((Formula!K100)/(Formula!C100+Formula!E100+Formula!G100+Formula!I100+Formula!K100))*(INDEX(Properties!A$1:CB$87,Formula!J100,23))</f>
        <v>1.2000000000000002</v>
      </c>
      <c r="CC100" s="81">
        <f>Formula!C100*(INDEX(Properties!A$1:CB$87,Formula!B100,23))+Formula!E100*(INDEX(Properties!A$1:CB$87,Formula!D100,23))+Formula!G100*(INDEX(Properties!A$1:CB$87,Formula!F100,23))+Formula!I100*(INDEX(Properties!A$1:CB$87,Formula!H100,23))+Formula!K100*(INDEX(Properties!A$1:CB$87,Formula!J100,23))</f>
        <v>12</v>
      </c>
      <c r="CD100" s="81">
        <f>VARP(IF(INDEX(Properties!A$1:CB$87,Formula!B100,23)&lt;&gt;"",INDEX(Properties!A$1:CB$87,Formula!B100,23)),IF(INDEX(Properties!A$1:CB$87,Formula!D100,23)&lt;&gt;"",INDEX(Properties!A$1:CB$87,Formula!D100,23)),IF(INDEX(Properties!A$1:CB$87,Formula!F100,23)&lt;&gt;"",INDEX(Properties!A$1:CB$87,Formula!F100,23)),IF(INDEX(Properties!A$1:CB$87,Formula!H100,23)&lt;&gt;"",INDEX(Properties!A$1:CB$87,Formula!H100,23)),IF(INDEX(Properties!A$1:CB$87,Formula!J100,23)&lt;&gt;"",INDEX(Properties!A$1:CB$87,Formula!J100,23)))</f>
        <v>3.6</v>
      </c>
      <c r="CE100" s="81">
        <f>MAX(INDEX(Properties!A$1:CB$87,Formula!B100,23),INDEX(Properties!A$1:CB$87,Formula!D100,23),INDEX(Properties!A$1:CB$87,Formula!F100,23),INDEX(Properties!A$1:CB$87,Formula!H100,23),INDEX(Properties!A$1:CB$87,Formula!J100,23))</f>
        <v>5</v>
      </c>
      <c r="CF100" s="81">
        <f>MIN(IF(Formula!B100=87,10^6,INDEX(Properties!A$1:CB$87,Formula!B100,23)),IF((Formula!D100)=87,10^6,INDEX(Properties!A$1:CB$87,Formula!D100,23)),IF((Formula!F100)=87,10^6,INDEX(Properties!A$1:CB$87,Formula!F100,23)),IF((Formula!H100)=87,10^6,INDEX(Properties!A$1:CB$87,Formula!H100,23)),IF(Formula!J100=87,10^6,INDEX(Properties!A$1:CB$87,Formula!J100,23)))</f>
        <v>0</v>
      </c>
      <c r="CG100" s="81">
        <f t="shared" si="45"/>
        <v>5</v>
      </c>
      <c r="CH100" s="39">
        <f>((Formula!C100)/(Formula!C100+Formula!E100+Formula!G100+Formula!I100+Formula!K100))*(INDEX(Properties!A$1:CB$87,Formula!B100,26))+((Formula!E100)/(Formula!C100+Formula!E100+Formula!G100+Formula!I100+Formula!K100))*(INDEX(Properties!A$1:CB$87,Formula!D100,26))+((Formula!G100)/(Formula!C100+Formula!E100+Formula!G100+Formula!I100+Formula!K100))*(INDEX(Properties!A$1:CB$87,Formula!F100,26))+((Formula!I100)/(Formula!C100+Formula!E100+Formula!G100+Formula!I100+Formula!K100))*(INDEX(Properties!A$1:CB$87,Formula!H100,26))+((Formula!K100)/(Formula!C100+Formula!E100+Formula!G100+Formula!I100+Formula!K100))*(INDEX(Properties!A$1:CB$87,Formula!J100,26))</f>
        <v>10.58314</v>
      </c>
      <c r="CI100" s="39">
        <f>Formula!C100*(INDEX(Properties!A$1:CB$87,Formula!B100,26))+Formula!E100*(INDEX(Properties!A$1:CB$87,Formula!D100,26))+Formula!G100*(INDEX(Properties!A$1:CB$87,Formula!F100,26))+Formula!I100*(INDEX(Properties!A$1:CB$87,Formula!H100,26))+Formula!K100*(INDEX(Properties!A$1:CB$87,Formula!J100,26))</f>
        <v>105.8314</v>
      </c>
      <c r="CJ100" s="39">
        <f>VARP(IF(INDEX(Properties!A$1:CB$87,Formula!B100,26)&lt;&gt;"",INDEX(Properties!A$1:CB$87,Formula!B100,26)),IF(INDEX(Properties!A$1:CB$87,Formula!D100,26)&lt;&gt;"",INDEX(Properties!A$1:CB$87,Formula!D100,26)),IF(INDEX(Properties!A$1:CB$87,Formula!F100,26)&lt;&gt;"",INDEX(Properties!A$1:CB$87,Formula!F100,26)),IF(INDEX(Properties!A$1:CB$87,Formula!H100,26)&lt;&gt;"",INDEX(Properties!A$1:CB$87,Formula!H100,26)),IF(INDEX(Properties!A$1:CB$87,Formula!J100,26)&lt;&gt;"",INDEX(Properties!A$1:CB$87,Formula!J100,26)))</f>
        <v>19.160238834400015</v>
      </c>
      <c r="CK100" s="39">
        <f>MAX(INDEX(Properties!A$1:CB$87,Formula!B100,26),INDEX(Properties!A$1:CB$87,Formula!D100,26),INDEX(Properties!A$1:CB$87,Formula!F100,26),INDEX(Properties!A$1:CB$87,Formula!H100,26),INDEX(Properties!A$1:CB$87,Formula!J100,26))</f>
        <v>13.6181</v>
      </c>
      <c r="CL100" s="39">
        <f>MIN(IF(INDEX(Properties!A$1:CB$87,Formula!B100,26)=0,10^6,INDEX(Properties!A$1:CB$87,Formula!B100,26)),IF(INDEX(Properties!A$1:CB$87,Formula!D100,26)=0,10^6,INDEX(Properties!A$1:CB$87,Formula!D100,26)),IF(INDEX(Properties!A$1:CB$87,Formula!F100,26)=0,10^6,INDEX(Properties!A$1:CB$87,Formula!F100,26)),IF(INDEX(Properties!A$1:CB$87,Formula!H100,26)=0,10^6,INDEX(Properties!A$1:CB$87,Formula!H100,26)),IF(INDEX(Properties!A$1:CB$87,Formula!J100,26)=0,10^6,INDEX(Properties!A$1:CB$87,Formula!J100,26)))</f>
        <v>5.2117000000000004</v>
      </c>
      <c r="CM100" s="39">
        <f t="shared" si="46"/>
        <v>8.4063999999999997</v>
      </c>
      <c r="CN100" s="54">
        <f>((Formula!C100)/(Formula!C100+Formula!E100+Formula!G100+Formula!I100+Formula!K100))*(INDEX(Properties!A$1:CB$87,Formula!B100,30))+((Formula!E100)/(Formula!C100+Formula!E100+Formula!G100+Formula!I100+Formula!K100))*(INDEX(Properties!A$1:CB$87,Formula!D100,30))+((Formula!G100)/(Formula!C100+Formula!E100+Formula!G100+Formula!I100+Formula!K100))*(INDEX(Properties!A$1:CB$87,Formula!F100,30))+((Formula!I100)/(Formula!C100+Formula!E100+Formula!G100+Formula!I100+Formula!K100))*(INDEX(Properties!A$1:CB$87,Formula!H100,30))+((Formula!K100)/(Formula!C100+Formula!E100+Formula!G100+Formula!I100+Formula!K100))*(INDEX(Properties!A$1:CB$87,Formula!J100,30))</f>
        <v>2.512</v>
      </c>
      <c r="CO100" s="54">
        <f>Formula!C100*(INDEX(Properties!A$1:CB$87,Formula!B100,30))+Formula!E100*(INDEX(Properties!A$1:CB$87,Formula!D100,30))+Formula!G100*(INDEX(Properties!A$1:CB$87,Formula!F100,30))+Formula!I100*(INDEX(Properties!A$1:CB$87,Formula!H100,30))+Formula!K100*(INDEX(Properties!A$1:CB$87,Formula!J100,30))</f>
        <v>25.12</v>
      </c>
      <c r="CP100" s="54">
        <f>VARP(IF(INDEX(Properties!A$1:CB$87,Formula!B100,30)&lt;&gt;"",INDEX(Properties!A$1:CB$87,Formula!B100,30)),IF(INDEX(Properties!A$1:CB$87,Formula!D100,30)&lt;&gt;"",INDEX(Properties!A$1:CB$87,Formula!D100,30)),IF(INDEX(Properties!A$1:CB$87,Formula!F100,30)&lt;&gt;"",INDEX(Properties!A$1:CB$87,Formula!F100,30)),IF(INDEX(Properties!A$1:CB$87,Formula!H100,30)&lt;&gt;"",INDEX(Properties!A$1:CB$87,Formula!H100,30)),IF(INDEX(Properties!A$1:CB$87,Formula!J100,30)&lt;&gt;"",INDEX(Properties!A$1:CB$87,Formula!J100,30)))</f>
        <v>1.2863040000000001</v>
      </c>
      <c r="CQ100" s="54">
        <f>MAX(INDEX(Properties!A$1:CB$87,Formula!B100,30),INDEX(Properties!A$1:CB$87,Formula!D100,30),INDEX(Properties!A$1:CB$87,Formula!F100,30),INDEX(Properties!A$1:CB$87,Formula!H100,30),INDEX(Properties!A$1:CB$87,Formula!J100,30))</f>
        <v>3.44</v>
      </c>
      <c r="CR100" s="54">
        <f>MIN(IF(INDEX(Properties!A$1:CB$87,Formula!B100,30)=0,10^6,INDEX(Properties!A$1:CB$87,Formula!B100,30)),IF(INDEX(Properties!A$1:CB$87,Formula!D100,30)=0,10^6,INDEX(Properties!A$1:CB$87,Formula!D100,30)),IF(INDEX(Properties!A$1:CB$87,Formula!F100,30)=0,10^6,INDEX(Properties!A$1:CB$87,Formula!F100,30)),IF(INDEX(Properties!A$1:CB$87,Formula!H100,30)=0,10^6,INDEX(Properties!A$1:CB$87,Formula!H100,30)),IF(INDEX(Properties!A$1:CB$87,Formula!J100,30)=0,10^6,INDEX(Properties!A$1:CB$87,Formula!J100,30)))</f>
        <v>0.89</v>
      </c>
      <c r="CS100" s="54">
        <f t="shared" si="47"/>
        <v>2.5499999999999998</v>
      </c>
      <c r="CT100" s="69">
        <f>((Formula!C100)/(Formula!C100+Formula!E100+Formula!G100+Formula!I100+Formula!K100))*(INDEX(Properties!A$1:CB$87,Formula!B100,31))+((Formula!E100)/(Formula!C100+Formula!E100+Formula!G100+Formula!I100+Formula!K100))*(INDEX(Properties!A$1:CB$87,Formula!D100,31))+((Formula!G100)/(Formula!C100+Formula!E100+Formula!G100+Formula!I100+Formula!K100))*(INDEX(Properties!A$1:CB$87,Formula!F100,31))+((Formula!I100)/(Formula!C100+Formula!E100+Formula!G100+Formula!I100+Formula!K100))*(INDEX(Properties!A$1:CB$87,Formula!H100,31))+((Formula!K100)/(Formula!C100+Formula!E100+Formula!G100+Formula!I100+Formula!K100))*(INDEX(Properties!A$1:CB$87,Formula!J100,31))</f>
        <v>2.5119999999999996</v>
      </c>
      <c r="CU100" s="69">
        <f>Formula!C100*(INDEX(Properties!A$1:CB$87,Formula!B100,31))+Formula!E100*(INDEX(Properties!A$1:CB$87,Formula!D100,31))+Formula!G100*(INDEX(Properties!A$1:CB$87,Formula!F100,31))+Formula!I100*(INDEX(Properties!A$1:CB$87,Formula!H100,31))+Formula!K100*(INDEX(Properties!A$1:CB$87,Formula!J100,31))</f>
        <v>25.119999999999997</v>
      </c>
      <c r="CV100" s="69">
        <f>VARP(IF(INDEX(Properties!A$1:CB$87,Formula!B100,31)&lt;&gt;"",INDEX(Properties!A$1:CB$87,Formula!B100,31)),IF(INDEX(Properties!A$1:CB$87,Formula!D100,31)&lt;&gt;"",INDEX(Properties!A$1:CB$87,Formula!D100,31)),IF(INDEX(Properties!A$1:CB$87,Formula!F100,31)&lt;&gt;"",INDEX(Properties!A$1:CB$87,Formula!F100,31)),IF(INDEX(Properties!A$1:CB$87,Formula!H100,31)&lt;&gt;"",INDEX(Properties!A$1:CB$87,Formula!H100,31)),IF(INDEX(Properties!A$1:CB$87,Formula!J100,31)&lt;&gt;"",INDEX(Properties!A$1:CB$87,Formula!J100,31)))</f>
        <v>1.2183359999999996</v>
      </c>
      <c r="CW100" s="69">
        <f>MAX(INDEX(Properties!A$1:CB$87,Formula!B100,31),INDEX(Properties!A$1:CB$87,Formula!D100,31),INDEX(Properties!A$1:CB$87,Formula!F100,31),INDEX(Properties!A$1:CB$87,Formula!H100,31),INDEX(Properties!A$1:CB$87,Formula!J100,31))</f>
        <v>3.32</v>
      </c>
      <c r="CX100" s="69">
        <f>MIN(IF(INDEX(Properties!A$1:CB$87,Formula!B100,31)=0,10^6,INDEX(Properties!A$1:CB$87,Formula!B100,31)),IF(INDEX(Properties!A$1:CB$87,Formula!D100,31)=0,10^6,INDEX(Properties!A$1:CB$87,Formula!D100,31)),IF(INDEX(Properties!A$1:CB$87,Formula!F100,31)=0,10^6,INDEX(Properties!A$1:CB$87,Formula!F100,31)),IF(INDEX(Properties!A$1:CB$87,Formula!H100,31)=0,10^6,INDEX(Properties!A$1:CB$87,Formula!H100,31)),IF(INDEX(Properties!A$1:CB$87,Formula!J100,31)=0,10^6,INDEX(Properties!A$1:CB$87,Formula!J100,31)))</f>
        <v>1.08</v>
      </c>
      <c r="CY100" s="69">
        <f t="shared" si="48"/>
        <v>2.2399999999999998</v>
      </c>
      <c r="CZ100" s="42">
        <f>((Formula!C100)/(Formula!C100+Formula!E100+Formula!G100+Formula!I100+Formula!K100))*(INDEX(Properties!A$1:CB$87,Formula!B100,32))+((Formula!E100)/(Formula!C100+Formula!E100+Formula!G100+Formula!I100+Formula!K100))*(INDEX(Properties!A$1:CB$87,Formula!D100,32))+((Formula!G100)/(Formula!C100+Formula!E100+Formula!G100+Formula!I100+Formula!K100))*(INDEX(Properties!A$1:CB$87,Formula!F100,32))+((Formula!I100)/(Formula!C100+Formula!E100+Formula!G100+Formula!I100+Formula!K100))*(INDEX(Properties!A$1:CB$87,Formula!H100,32))+((Formula!K100)/(Formula!C100+Formula!E100+Formula!G100+Formula!I100+Formula!K100))*(INDEX(Properties!A$1:CB$87,Formula!J100,32))</f>
        <v>5.7249999999999996</v>
      </c>
      <c r="DA100" s="42">
        <f>Formula!C100*(INDEX(Properties!A$1:CB$87,Formula!B100,32))+Formula!E100*(INDEX(Properties!A$1:CB$87,Formula!D100,32))+Formula!G100*(INDEX(Properties!A$1:CB$87,Formula!F100,32))+Formula!I100*(INDEX(Properties!A$1:CB$87,Formula!H100,32))+Formula!K100*(INDEX(Properties!A$1:CB$87,Formula!J100,32))</f>
        <v>57.25</v>
      </c>
      <c r="DB100" s="42">
        <f>VARP(IF(INDEX(Properties!A$1:CB$87,Formula!B100,32)&lt;&gt;"",INDEX(Properties!A$1:CB$87,Formula!B100,32)),IF(INDEX(Properties!A$1:CB$87,Formula!D100,32)&lt;&gt;"",INDEX(Properties!A$1:CB$87,Formula!D100,32)),IF(INDEX(Properties!A$1:CB$87,Formula!F100,32)&lt;&gt;"",INDEX(Properties!A$1:CB$87,Formula!F100,32)),IF(INDEX(Properties!A$1:CB$87,Formula!H100,32)&lt;&gt;"",INDEX(Properties!A$1:CB$87,Formula!H100,32)),IF(INDEX(Properties!A$1:CB$87,Formula!J100,32)&lt;&gt;"",INDEX(Properties!A$1:CB$87,Formula!J100,32)))</f>
        <v>6.0578400000000014</v>
      </c>
      <c r="DC100" s="42">
        <f>MAX(INDEX(Properties!A$1:CB$87,Formula!B100,32),INDEX(Properties!A$1:CB$87,Formula!D100,32),INDEX(Properties!A$1:CB$87,Formula!F100,32),INDEX(Properties!A$1:CB$87,Formula!H100,32),INDEX(Properties!A$1:CB$87,Formula!J100,32))</f>
        <v>7.54</v>
      </c>
      <c r="DD100" s="42">
        <f>MIN(IF(INDEX(Properties!A$1:CB$87,Formula!B100,32)=0,10^6,INDEX(Properties!A$1:CB$87,Formula!B100,32)),IF(INDEX(Properties!A$1:CB$87,Formula!D100,32)=0,10^6,INDEX(Properties!A$1:CB$87,Formula!D100,32)),IF(INDEX(Properties!A$1:CB$87,Formula!F100,32)=0,10^6,INDEX(Properties!A$1:CB$87,Formula!F100,32)),IF(INDEX(Properties!A$1:CB$87,Formula!H100,32)=0,10^6,INDEX(Properties!A$1:CB$87,Formula!H100,32)),IF(INDEX(Properties!A$1:CB$87,Formula!J100,32)=0,10^6,INDEX(Properties!A$1:CB$87,Formula!J100,32)))</f>
        <v>2.4</v>
      </c>
      <c r="DE100" s="42">
        <f t="shared" si="49"/>
        <v>5.1400000000000006</v>
      </c>
      <c r="DF100" s="60">
        <f>((Formula!C100)/(Formula!C100+Formula!E100+Formula!G100+Formula!I100+Formula!K100))*(INDEX(Properties!A$1:CB$87,Formula!B100,34))+((Formula!E100)/(Formula!C100+Formula!E100+Formula!G100+Formula!I100+Formula!K100))*(INDEX(Properties!A$1:CB$87,Formula!D100,34))+((Formula!G100)/(Formula!C100+Formula!E100+Formula!G100+Formula!I100+Formula!K100))*(INDEX(Properties!A$1:CB$87,Formula!F100,34))+((Formula!I100)/(Formula!C100+Formula!E100+Formula!G100+Formula!I100+Formula!K100))*(INDEX(Properties!A$1:CB$87,Formula!H100,34))+((Formula!K100)/(Formula!C100+Formula!E100+Formula!G100+Formula!I100+Formula!K100))*(INDEX(Properties!A$1:CB$87,Formula!J100,34))</f>
        <v>2.5851999999999999</v>
      </c>
      <c r="DG100" s="60">
        <f>Formula!C100*(INDEX(Properties!A$1:CB$87,Formula!B100,34))+Formula!E100*(INDEX(Properties!A$1:CB$87,Formula!D100,34))+Formula!G100*(INDEX(Properties!A$1:CB$87,Formula!F100,34))+Formula!I100*(INDEX(Properties!A$1:CB$87,Formula!H100,34))+Formula!K100*(INDEX(Properties!A$1:CB$87,Formula!J100,34))</f>
        <v>25.852</v>
      </c>
      <c r="DH100" s="60">
        <f>VARP(IF(INDEX(Properties!A$1:CB$87,Formula!B100,34)&lt;&gt;"",INDEX(Properties!A$1:CB$87,Formula!B100,34)),IF(INDEX(Properties!A$1:CB$87,Formula!D100,34)&lt;&gt;"",INDEX(Properties!A$1:CB$87,Formula!D100,34)),IF(INDEX(Properties!A$1:CB$87,Formula!F100,34)&lt;&gt;"",INDEX(Properties!A$1:CB$87,Formula!F100,34)),IF(INDEX(Properties!A$1:CB$87,Formula!H100,34)&lt;&gt;"",INDEX(Properties!A$1:CB$87,Formula!H100,34)),IF(INDEX(Properties!A$1:CB$87,Formula!J100,34)&lt;&gt;"",INDEX(Properties!A$1:CB$87,Formula!J100,34)))</f>
        <v>1.4423825600000004</v>
      </c>
      <c r="DI100" s="60">
        <f>MAX(INDEX(Properties!A$1:CB$87,Formula!B100,34),INDEX(Properties!A$1:CB$87,Formula!D100,34),INDEX(Properties!A$1:CB$87,Formula!F100,34),INDEX(Properties!A$1:CB$87,Formula!H100,34),INDEX(Properties!A$1:CB$87,Formula!J100,34))</f>
        <v>3.61</v>
      </c>
      <c r="DJ100" s="60">
        <f>MIN(IF(INDEX(Properties!A$1:CB$87,Formula!B100,34)=0,10^6,INDEX(Properties!A$1:CB$87,Formula!B100,34)),IF(INDEX(Properties!A$1:CB$87,Formula!D100,34)=0,10^6,INDEX(Properties!A$1:CB$87,Formula!D100,34)),IF(INDEX(Properties!A$1:CB$87,Formula!F100,34)=0,10^6,INDEX(Properties!A$1:CB$87,Formula!F100,34)),IF(INDEX(Properties!A$1:CB$87,Formula!H100,34)=0,10^6,INDEX(Properties!A$1:CB$87,Formula!H100,34)),IF(INDEX(Properties!A$1:CB$87,Formula!J100,34)=0,10^6,INDEX(Properties!A$1:CB$87,Formula!J100,34)))</f>
        <v>0.88100000000000001</v>
      </c>
      <c r="DK100" s="60">
        <f t="shared" si="50"/>
        <v>2.7290000000000001</v>
      </c>
      <c r="DL100" s="45">
        <f>((Formula!C100)/(Formula!C100+Formula!E100+Formula!G100+Formula!I100+Formula!K100))*(INDEX(Properties!A$1:CB$87,Formula!B100,39))+((Formula!E100)/(Formula!C100+Formula!E100+Formula!G100+Formula!I100+Formula!K100))*(INDEX(Properties!A$1:CB$87,Formula!D100,39))+((Formula!G100)/(Formula!C100+Formula!E100+Formula!G100+Formula!I100+Formula!K100))*(INDEX(Properties!A$1:CB$87,Formula!F100,39))+((Formula!I100)/(Formula!C100+Formula!E100+Formula!G100+Formula!I100+Formula!K100))*(INDEX(Properties!A$1:CB$87,Formula!H100,39))+((Formula!K100)/(Formula!C100+Formula!E100+Formula!G100+Formula!I100+Formula!K100))*(INDEX(Properties!A$1:CB$87,Formula!J100,39))</f>
        <v>1.2270000000000001</v>
      </c>
      <c r="DM100" s="45">
        <f>Formula!C100*(INDEX(Properties!A$1:CB$87,Formula!B100,39))+Formula!E100*(INDEX(Properties!A$1:CB$87,Formula!D100,39))+Formula!G100*(INDEX(Properties!A$1:CB$87,Formula!F100,39))+Formula!I100*(INDEX(Properties!A$1:CB$87,Formula!H100,39))+Formula!K100*(INDEX(Properties!A$1:CB$87,Formula!J100,39))</f>
        <v>12.27</v>
      </c>
      <c r="DN100" s="45">
        <f>VARP(IF(INDEX(Properties!A$1:CB$87,Formula!B100,39)&lt;&gt;"",INDEX(Properties!A$1:CB$87,Formula!B100,39)),IF(INDEX(Properties!A$1:CB$87,Formula!D100,39)&lt;&gt;"",INDEX(Properties!A$1:CB$87,Formula!D100,39)),IF(INDEX(Properties!A$1:CB$87,Formula!F100,39)&lt;&gt;"",INDEX(Properties!A$1:CB$87,Formula!F100,39)),IF(INDEX(Properties!A$1:CB$87,Formula!H100,39)&lt;&gt;"",INDEX(Properties!A$1:CB$87,Formula!H100,39)),IF(INDEX(Properties!A$1:CB$87,Formula!J100,39)&lt;&gt;"",INDEX(Properties!A$1:CB$87,Formula!J100,39)))</f>
        <v>1.0570159999999995</v>
      </c>
      <c r="DO100" s="45">
        <f>MAX(INDEX(Properties!A$1:CB$87,Formula!B100,39),INDEX(Properties!A$1:CB$87,Formula!D100,39),INDEX(Properties!A$1:CB$87,Formula!F100,39),INDEX(Properties!A$1:CB$87,Formula!H100,39),INDEX(Properties!A$1:CB$87,Formula!J100,39))</f>
        <v>2.5299999999999998</v>
      </c>
      <c r="DP100" s="45">
        <f>MIN(IF(INDEX(Properties!A$1:CB$87,Formula!B100,39)=0,10^6,INDEX(Properties!A$1:CB$87,Formula!B100,39)),IF(INDEX(Properties!A$1:CB$87,Formula!D100,39)=0,10^6,INDEX(Properties!A$1:CB$87,Formula!D100,39)),IF(INDEX(Properties!A$1:CB$87,Formula!F100,39)=0,10^6,INDEX(Properties!A$1:CB$87,Formula!F100,39)),IF(INDEX(Properties!A$1:CB$87,Formula!H100,39)=0,10^6,INDEX(Properties!A$1:CB$87,Formula!H100,39)),IF(INDEX(Properties!A$1:CB$87,Formula!J100,39)=0,10^6,INDEX(Properties!A$1:CB$87,Formula!J100,39)))</f>
        <v>0.48</v>
      </c>
      <c r="DQ100" s="45">
        <f t="shared" si="51"/>
        <v>2.0499999999999998</v>
      </c>
      <c r="DR100" s="63">
        <f>((Formula!C100)/(Formula!C100+Formula!E100+Formula!G100+Formula!I100+Formula!K100))*(INDEX(Properties!A$1:CB$87,Formula!B100,40))+((Formula!E100)/(Formula!C100+Formula!E100+Formula!G100+Formula!I100+Formula!K100))*(INDEX(Properties!A$1:CB$87,Formula!D100,40))+((Formula!G100)/(Formula!C100+Formula!E100+Formula!G100+Formula!I100+Formula!K100))*(INDEX(Properties!A$1:CB$87,Formula!F100,40))+((Formula!I100)/(Formula!C100+Formula!E100+Formula!G100+Formula!I100+Formula!K100))*(INDEX(Properties!A$1:CB$87,Formula!H100,40))+((Formula!K100)/(Formula!C100+Formula!E100+Formula!G100+Formula!I100+Formula!K100))*(INDEX(Properties!A$1:CB$87,Formula!J100,40))</f>
        <v>1.133</v>
      </c>
      <c r="DS100" s="63">
        <f>Formula!C100*(INDEX(Properties!A$1:CB$87,Formula!B100,40))+Formula!E100*(INDEX(Properties!A$1:CB$87,Formula!D100,40))+Formula!G100*(INDEX(Properties!A$1:CB$87,Formula!F100,40))+Formula!I100*(INDEX(Properties!A$1:CB$87,Formula!H100,40))+Formula!K100*(INDEX(Properties!A$1:CB$87,Formula!J100,40))</f>
        <v>11.33</v>
      </c>
      <c r="DT100" s="63">
        <f>VARP(IF(INDEX(Properties!A$1:CB$87,Formula!B100,40)&lt;&gt;"",INDEX(Properties!A$1:CB$87,Formula!B100,40)),IF(INDEX(Properties!A$1:CB$87,Formula!D100,40)&lt;&gt;"",INDEX(Properties!A$1:CB$87,Formula!D100,40)),IF(INDEX(Properties!A$1:CB$87,Formula!F100,40)&lt;&gt;"",INDEX(Properties!A$1:CB$87,Formula!F100,40)),IF(INDEX(Properties!A$1:CB$87,Formula!H100,40)&lt;&gt;"",INDEX(Properties!A$1:CB$87,Formula!H100,40)),IF(INDEX(Properties!A$1:CB$87,Formula!J100,40)&lt;&gt;"",INDEX(Properties!A$1:CB$87,Formula!J100,40)))</f>
        <v>0.49036000000000002</v>
      </c>
      <c r="DU100" s="63">
        <f>MAX(INDEX(Properties!A$1:CB$87,Formula!B100,40),INDEX(Properties!A$1:CB$87,Formula!D100,40),INDEX(Properties!A$1:CB$87,Formula!F100,40),INDEX(Properties!A$1:CB$87,Formula!H100,40),INDEX(Properties!A$1:CB$87,Formula!J100,40))</f>
        <v>1.98</v>
      </c>
      <c r="DV100" s="63">
        <f>MIN(IF(INDEX(Properties!A$1:CB$87,Formula!B100,40)=0,10^6,INDEX(Properties!A$1:CB$87,Formula!B100,40)),IF(INDEX(Properties!A$1:CB$87,Formula!D100,40)=0,10^6,INDEX(Properties!A$1:CB$87,Formula!D100,40)),IF(INDEX(Properties!A$1:CB$87,Formula!F100,40)=0,10^6,INDEX(Properties!A$1:CB$87,Formula!F100,40)),IF(INDEX(Properties!A$1:CB$87,Formula!H100,40)=0,10^6,INDEX(Properties!A$1:CB$87,Formula!H100,40)),IF(INDEX(Properties!A$1:CB$87,Formula!J100,40)=0,10^6,INDEX(Properties!A$1:CB$87,Formula!J100,40)))</f>
        <v>0.73</v>
      </c>
      <c r="DW100" s="63">
        <f t="shared" si="52"/>
        <v>1.25</v>
      </c>
      <c r="DX100" s="75">
        <f>((Formula!C100)/(Formula!C100+Formula!E100+Formula!G100+Formula!I100+Formula!K100))*(INDEX(Properties!A$1:CB$87,Formula!B100,41))+((Formula!E100)/(Formula!C100+Formula!E100+Formula!G100+Formula!I100+Formula!K100))*(INDEX(Properties!A$1:CB$87,Formula!D100,41))+((Formula!G100)/(Formula!C100+Formula!E100+Formula!G100+Formula!I100+Formula!K100))*(INDEX(Properties!A$1:CB$87,Formula!F100,41))+((Formula!I100)/(Formula!C100+Formula!E100+Formula!G100+Formula!I100+Formula!K100))*(INDEX(Properties!A$1:CB$87,Formula!H100,41))+((Formula!K100)/(Formula!C100+Formula!E100+Formula!G100+Formula!I100+Formula!K100))*(INDEX(Properties!A$1:CB$87,Formula!J100,41))</f>
        <v>1.248</v>
      </c>
      <c r="DY100" s="75">
        <f>Formula!C100*(INDEX(Properties!A$1:CB$87,Formula!B100,41))+Formula!E100*(INDEX(Properties!A$1:CB$87,Formula!D100,41))+Formula!G100*(INDEX(Properties!A$1:CB$87,Formula!F100,41))+Formula!I100*(INDEX(Properties!A$1:CB$87,Formula!H100,41))+Formula!K100*(INDEX(Properties!A$1:CB$87,Formula!J100,41))</f>
        <v>12.48</v>
      </c>
      <c r="DZ100" s="75">
        <f>VARP(IF(INDEX(Properties!A$1:CB$87,Formula!B100,41)&lt;&gt;"",INDEX(Properties!A$1:CB$87,Formula!B100,41)),IF(INDEX(Properties!A$1:CB$87,Formula!D100,41)&lt;&gt;"",INDEX(Properties!A$1:CB$87,Formula!D100,41)),IF(INDEX(Properties!A$1:CB$87,Formula!F100,41)&lt;&gt;"",INDEX(Properties!A$1:CB$87,Formula!F100,41)),IF(INDEX(Properties!A$1:CB$87,Formula!H100,41)&lt;&gt;"",INDEX(Properties!A$1:CB$87,Formula!H100,41)),IF(INDEX(Properties!A$1:CB$87,Formula!J100,41)&lt;&gt;"",INDEX(Properties!A$1:CB$87,Formula!J100,41)))</f>
        <v>0.26289599999999991</v>
      </c>
      <c r="EA100" s="75">
        <f>MAX(INDEX(Properties!A$1:CB$87,Formula!B100,41),INDEX(Properties!A$1:CB$87,Formula!D100,41),INDEX(Properties!A$1:CB$87,Formula!F100,41),INDEX(Properties!A$1:CB$87,Formula!H100,41),INDEX(Properties!A$1:CB$87,Formula!J100,41))</f>
        <v>1.49</v>
      </c>
      <c r="EB100" s="75">
        <f>MIN(IF(INDEX(Properties!A$1:CB$87,Formula!B100,41)=0,10^6,INDEX(Properties!A$1:CB$87,Formula!B100,41)),IF(INDEX(Properties!A$1:CB$87,Formula!D100,41)=0,10^6,INDEX(Properties!A$1:CB$87,Formula!D100,41)),IF(INDEX(Properties!A$1:CB$87,Formula!F100,41)=0,10^6,INDEX(Properties!A$1:CB$87,Formula!F100,41)),IF(INDEX(Properties!A$1:CB$87,Formula!H100,41)=0,10^6,INDEX(Properties!A$1:CB$87,Formula!H100,41)),IF(INDEX(Properties!A$1:CB$87,Formula!J100,41)=0,10^6,INDEX(Properties!A$1:CB$87,Formula!J100,41)))</f>
        <v>0.86</v>
      </c>
      <c r="EC100" s="75">
        <f t="shared" si="53"/>
        <v>0.63</v>
      </c>
      <c r="ED100" s="48">
        <f>((Formula!C100)/(Formula!C100+Formula!E100+Formula!G100+Formula!I100+Formula!K100))*(INDEX(Properties!A$1:CB$87,Formula!B100,45))+((Formula!E100)/(Formula!C100+Formula!E100+Formula!G100+Formula!I100+Formula!K100))*(INDEX(Properties!A$1:CB$87,Formula!D100,45))+((Formula!G100)/(Formula!C100+Formula!E100+Formula!G100+Formula!I100+Formula!K100))*(INDEX(Properties!A$1:CB$87,Formula!F100,45))+((Formula!I100)/(Formula!C100+Formula!E100+Formula!G100+Formula!I100+Formula!K100))*(INDEX(Properties!A$1:CB$87,Formula!H100,45))+((Formula!K100)/(Formula!C100+Formula!E100+Formula!G100+Formula!I100+Formula!K100))*(INDEX(Properties!A$1:CB$87,Formula!J100,45))</f>
        <v>1.6320000000000001</v>
      </c>
      <c r="EE100" s="48">
        <f>Formula!C100*(INDEX(Properties!A$1:CB$87,Formula!B100,45))+Formula!E100*(INDEX(Properties!A$1:CB$87,Formula!D100,45))+Formula!G100*(INDEX(Properties!A$1:CB$87,Formula!F100,45))+Formula!I100*(INDEX(Properties!A$1:CB$87,Formula!H100,45))+Formula!K100*(INDEX(Properties!A$1:CB$87,Formula!J100,45))</f>
        <v>16.32</v>
      </c>
      <c r="EF100" s="48">
        <f>VARP(IF(INDEX(Properties!A$1:CB$87,Formula!B100,45)&lt;&gt;"",INDEX(Properties!A$1:CB$87,Formula!B100,45)),IF(INDEX(Properties!A$1:CB$87,Formula!D100,45)&lt;&gt;"",INDEX(Properties!A$1:CB$87,Formula!D100,45)),IF(INDEX(Properties!A$1:CB$87,Formula!F100,45)&lt;&gt;"",INDEX(Properties!A$1:CB$87,Formula!F100,45)),IF(INDEX(Properties!A$1:CB$87,Formula!H100,45)&lt;&gt;"",INDEX(Properties!A$1:CB$87,Formula!H100,45)),IF(INDEX(Properties!A$1:CB$87,Formula!J100,45)&lt;&gt;"",INDEX(Properties!A$1:CB$87,Formula!J100,45)))</f>
        <v>2.5016239999999992</v>
      </c>
      <c r="EG100" s="48">
        <f>MAX(INDEX(Properties!A$1:CB$87,Formula!B100,45),INDEX(Properties!A$1:CB$87,Formula!D100,45),INDEX(Properties!A$1:CB$87,Formula!F100,45),INDEX(Properties!A$1:CB$87,Formula!H100,45),INDEX(Properties!A$1:CB$87,Formula!J100,45))</f>
        <v>3.91</v>
      </c>
      <c r="EH100" s="48">
        <f>MIN(IF(INDEX(Properties!A$1:CB$87,Formula!B100,45)=0,10^6,INDEX(Properties!A$1:CB$87,Formula!B100,45)),IF(INDEX(Properties!A$1:CB$87,Formula!D100,45)=0,10^6,INDEX(Properties!A$1:CB$87,Formula!D100,45)),IF(INDEX(Properties!A$1:CB$87,Formula!F100,45)=0,10^6,INDEX(Properties!A$1:CB$87,Formula!F100,45)),IF(INDEX(Properties!A$1:CB$87,Formula!H100,45)=0,10^6,INDEX(Properties!A$1:CB$87,Formula!H100,45)),IF(INDEX(Properties!A$1:CB$87,Formula!J100,45)=0,10^6,INDEX(Properties!A$1:CB$87,Formula!J100,45)))</f>
        <v>0.47</v>
      </c>
      <c r="EI100" s="48">
        <f t="shared" si="54"/>
        <v>3.4400000000000004</v>
      </c>
      <c r="EJ100" s="66">
        <f>((Formula!C100)/(Formula!C100+Formula!E100+Formula!G100+Formula!I100+Formula!K100))*(INDEX(Properties!A$1:CB$87,Formula!B100,46))+((Formula!E100)/(Formula!C100+Formula!E100+Formula!G100+Formula!I100+Formula!K100))*(INDEX(Properties!A$1:CB$87,Formula!D100,46))+((Formula!G100)/(Formula!C100+Formula!E100+Formula!G100+Formula!I100+Formula!K100))*(INDEX(Properties!A$1:CB$87,Formula!F100,46))+((Formula!I100)/(Formula!C100+Formula!E100+Formula!G100+Formula!I100+Formula!K100))*(INDEX(Properties!A$1:CB$87,Formula!H100,46))+((Formula!K100)/(Formula!C100+Formula!E100+Formula!G100+Formula!I100+Formula!K100))*(INDEX(Properties!A$1:CB$87,Formula!J100,46))</f>
        <v>1.21</v>
      </c>
      <c r="EK100" s="66">
        <f>Formula!C100*(INDEX(Properties!A$1:CB$87,Formula!B100,46))+Formula!E100*(INDEX(Properties!A$1:CB$87,Formula!D100,46))+Formula!G100*(INDEX(Properties!A$1:CB$87,Formula!F100,46))+Formula!I100*(INDEX(Properties!A$1:CB$87,Formula!H100,46))+Formula!K100*(INDEX(Properties!A$1:CB$87,Formula!J100,46))</f>
        <v>12.100000000000001</v>
      </c>
      <c r="EL100" s="66">
        <f>VARP(IF(INDEX(Properties!A$1:CB$87,Formula!B100,46)&lt;&gt;"",INDEX(Properties!A$1:CB$87,Formula!B100,46)),IF(INDEX(Properties!A$1:CB$87,Formula!D100,46)&lt;&gt;"",INDEX(Properties!A$1:CB$87,Formula!D100,46)),IF(INDEX(Properties!A$1:CB$87,Formula!F100,46)&lt;&gt;"",INDEX(Properties!A$1:CB$87,Formula!F100,46)),IF(INDEX(Properties!A$1:CB$87,Formula!H100,46)&lt;&gt;"",INDEX(Properties!A$1:CB$87,Formula!H100,46)),IF(INDEX(Properties!A$1:CB$87,Formula!J100,46)&lt;&gt;"",INDEX(Properties!A$1:CB$87,Formula!J100,46)))</f>
        <v>0.26005599999999973</v>
      </c>
      <c r="EM100" s="66">
        <f>MAX(INDEX(Properties!A$1:CB$87,Formula!B100,46),INDEX(Properties!A$1:CB$87,Formula!D100,46),INDEX(Properties!A$1:CB$87,Formula!F100,46),INDEX(Properties!A$1:CB$87,Formula!H100,46),INDEX(Properties!A$1:CB$87,Formula!J100,46))</f>
        <v>1.49</v>
      </c>
      <c r="EN100" s="66">
        <f>MIN(IF(INDEX(Properties!A$1:CB$87,Formula!B100,46)=0,10^6,INDEX(Properties!A$1:CB$87,Formula!B100,46)),IF(INDEX(Properties!A$1:CB$87,Formula!D100,46)=0,10^6,INDEX(Properties!A$1:CB$87,Formula!D100,46)),IF(INDEX(Properties!A$1:CB$87,Formula!F100,46)=0,10^6,INDEX(Properties!A$1:CB$87,Formula!F100,46)),IF(INDEX(Properties!A$1:CB$87,Formula!H100,46)=0,10^6,INDEX(Properties!A$1:CB$87,Formula!H100,46)),IF(INDEX(Properties!A$1:CB$87,Formula!J100,46)=0,10^6,INDEX(Properties!A$1:CB$87,Formula!J100,46)))</f>
        <v>0.78</v>
      </c>
      <c r="EO100" s="66">
        <f t="shared" si="55"/>
        <v>0.71</v>
      </c>
      <c r="EP100" s="81">
        <f>((Formula!C100)/(Formula!C100+Formula!E100+Formula!G100+Formula!I100+Formula!K100))*(INDEX(Properties!A$1:CB$87,Formula!B100,52))+((Formula!E100)/(Formula!C100+Formula!E100+Formula!G100+Formula!I100+Formula!K100))*(INDEX(Properties!A$1:CB$87,Formula!D100,52))+((Formula!G100)/(Formula!C100+Formula!E100+Formula!G100+Formula!I100+Formula!K100))*(INDEX(Properties!A$1:CB$87,Formula!F100,52))+((Formula!I100)/(Formula!C100+Formula!E100+Formula!G100+Formula!I100+Formula!K100))*(INDEX(Properties!A$1:CB$87,Formula!H100,52))+((Formula!K100)/(Formula!C100+Formula!E100+Formula!G100+Formula!I100+Formula!K100))*(INDEX(Properties!A$1:CB$87,Formula!J100,52))</f>
        <v>12.075800000000001</v>
      </c>
      <c r="EQ100" s="81">
        <f>Formula!C100*(INDEX(Properties!A$1:CB$87,Formula!B100,52))+Formula!E100*(INDEX(Properties!A$1:CB$87,Formula!D100,52))+Formula!G100*(INDEX(Properties!A$1:CB$87,Formula!F100,52))+Formula!I100*(INDEX(Properties!A$1:CB$87,Formula!H100,52))+Formula!K100*(INDEX(Properties!A$1:CB$87,Formula!J100,52))</f>
        <v>120.758</v>
      </c>
      <c r="ER100" s="81">
        <f>VARP(IF(INDEX(Properties!A$1:CB$87,Formula!B100,52)&lt;&gt;"",INDEX(Properties!A$1:CB$87,Formula!B100,52)),IF(INDEX(Properties!A$1:CB$87,Formula!D100,52)&lt;&gt;"",INDEX(Properties!A$1:CB$87,Formula!D100,52)),IF(INDEX(Properties!A$1:CB$87,Formula!F100,52)&lt;&gt;"",INDEX(Properties!A$1:CB$87,Formula!F100,52)),IF(INDEX(Properties!A$1:CB$87,Formula!H100,52)&lt;&gt;"",INDEX(Properties!A$1:CB$87,Formula!H100,52)),IF(INDEX(Properties!A$1:CB$87,Formula!J100,52)&lt;&gt;"",INDEX(Properties!A$1:CB$87,Formula!J100,52)))</f>
        <v>222.3825438400001</v>
      </c>
      <c r="ES100" s="81">
        <f>MAX(INDEX(Properties!A$1:CB$87,Formula!B100,52),INDEX(Properties!A$1:CB$87,Formula!D100,52),INDEX(Properties!A$1:CB$87,Formula!F100,52),INDEX(Properties!A$1:CB$87,Formula!H100,52),INDEX(Properties!A$1:CB$87,Formula!J100,52))</f>
        <v>39.700000000000003</v>
      </c>
      <c r="ET100" s="81">
        <f>MIN(IF(INDEX(Properties!A$1:CB$87,Formula!B100,52)=0,10^6,INDEX(Properties!A$1:CB$87,Formula!B100,52)),IF(INDEX(Properties!A$1:CB$87,Formula!D100,52)=0,10^6,INDEX(Properties!A$1:CB$87,Formula!D100,52)),IF(INDEX(Properties!A$1:CB$87,Formula!F100,52)=0,10^6,INDEX(Properties!A$1:CB$87,Formula!F100,52)),IF(INDEX(Properties!A$1:CB$87,Formula!H100,52)=0,10^6,INDEX(Properties!A$1:CB$87,Formula!H100,52)),IF(INDEX(Properties!A$1:CB$87,Formula!J100,52)=0,10^6,INDEX(Properties!A$1:CB$87,Formula!J100,52)))</f>
        <v>0.79300000000000004</v>
      </c>
      <c r="EU100" s="81">
        <f t="shared" si="56"/>
        <v>38.907000000000004</v>
      </c>
      <c r="EV100" s="39">
        <f>((Formula!C100)/(Formula!C100+Formula!E100+Formula!G100+Formula!I100+Formula!K100))*(INDEX(Properties!A$1:CB$87,Formula!B100,53))+((Formula!E100)/(Formula!C100+Formula!E100+Formula!G100+Formula!I100+Formula!K100))*(INDEX(Properties!A$1:CB$87,Formula!D100,53))+((Formula!G100)/(Formula!C100+Formula!E100+Formula!G100+Formula!I100+Formula!K100))*(INDEX(Properties!A$1:CB$87,Formula!F100,53))+((Formula!I100)/(Formula!C100+Formula!E100+Formula!G100+Formula!I100+Formula!K100))*(INDEX(Properties!A$1:CB$87,Formula!H100,53))+((Formula!K100)/(Formula!C100+Formula!E100+Formula!G100+Formula!I100+Formula!K100))*(INDEX(Properties!A$1:CB$87,Formula!J100,53))</f>
        <v>718.0100000000001</v>
      </c>
      <c r="EW100" s="39">
        <f>Formula!C100*(INDEX(Properties!A$1:CB$87,Formula!B100,53))+Formula!E100*(INDEX(Properties!A$1:CB$87,Formula!D100,53))+Formula!G100*(INDEX(Properties!A$1:CB$87,Formula!F100,53))+Formula!I100*(INDEX(Properties!A$1:CB$87,Formula!H100,53))+Formula!K100*(INDEX(Properties!A$1:CB$87,Formula!J100,53))</f>
        <v>7180.1</v>
      </c>
      <c r="EX100" s="39">
        <f>VARP(IF(INDEX(Properties!A$1:CB$87,Formula!B100,53)&lt;&gt;"",INDEX(Properties!A$1:CB$87,Formula!B100,53)),IF(INDEX(Properties!A$1:CB$87,Formula!D100,53)&lt;&gt;"",INDEX(Properties!A$1:CB$87,Formula!D100,53)),IF(INDEX(Properties!A$1:CB$87,Formula!F100,53)&lt;&gt;"",INDEX(Properties!A$1:CB$87,Formula!F100,53)),IF(INDEX(Properties!A$1:CB$87,Formula!H100,53)&lt;&gt;"",INDEX(Properties!A$1:CB$87,Formula!H100,53)),IF(INDEX(Properties!A$1:CB$87,Formula!J100,53)&lt;&gt;"",INDEX(Properties!A$1:CB$87,Formula!J100,53)))</f>
        <v>1444229.8163999999</v>
      </c>
      <c r="EY100" s="39">
        <f>MAX(INDEX(Properties!A$1:CB$87,Formula!B100,53),INDEX(Properties!A$1:CB$87,Formula!D100,53),INDEX(Properties!A$1:CB$87,Formula!F100,53),INDEX(Properties!A$1:CB$87,Formula!H100,53),INDEX(Properties!A$1:CB$87,Formula!J100,53))</f>
        <v>3269.15</v>
      </c>
      <c r="EZ100" s="39">
        <f>MIN(IF(INDEX(Properties!A$1:CB$87,Formula!B100,53)=0,10^6,INDEX(Properties!A$1:CB$87,Formula!B100,53)),IF(INDEX(Properties!A$1:CB$87,Formula!D100,53)=0,10^6,INDEX(Properties!A$1:CB$87,Formula!D100,53)),IF(INDEX(Properties!A$1:CB$87,Formula!F100,53)=0,10^6,INDEX(Properties!A$1:CB$87,Formula!F100,53)),IF(INDEX(Properties!A$1:CB$87,Formula!H100,53)=0,10^6,INDEX(Properties!A$1:CB$87,Formula!H100,53)),IF(INDEX(Properties!A$1:CB$87,Formula!J100,53)=0,10^6,INDEX(Properties!A$1:CB$87,Formula!J100,53)))</f>
        <v>54.749999999999972</v>
      </c>
      <c r="FA100" s="39">
        <f t="shared" si="57"/>
        <v>3214.4</v>
      </c>
      <c r="FB100" s="54">
        <f>((Formula!C100)/(Formula!C100+Formula!E100+Formula!G100+Formula!I100+Formula!K100))*(INDEX(Properties!A$1:CB$87,Formula!B100,54))+((Formula!E100)/(Formula!C100+Formula!E100+Formula!G100+Formula!I100+Formula!K100))*(INDEX(Properties!A$1:CB$87,Formula!D100,54))+((Formula!G100)/(Formula!C100+Formula!E100+Formula!G100+Formula!I100+Formula!K100))*(INDEX(Properties!A$1:CB$87,Formula!F100,54))+((Formula!I100)/(Formula!C100+Formula!E100+Formula!G100+Formula!I100+Formula!K100))*(INDEX(Properties!A$1:CB$87,Formula!H100,54))+((Formula!K100)/(Formula!C100+Formula!E100+Formula!G100+Formula!I100+Formula!K100))*(INDEX(Properties!A$1:CB$87,Formula!J100,54))</f>
        <v>1361.1499999999999</v>
      </c>
      <c r="FC100" s="54">
        <f>Formula!C100*(INDEX(Properties!A$1:CB$87,Formula!B100,54))+Formula!E100*(INDEX(Properties!A$1:CB$87,Formula!D100,54))+Formula!G100*(INDEX(Properties!A$1:CB$87,Formula!F100,54))+Formula!I100*(INDEX(Properties!A$1:CB$87,Formula!H100,54))+Formula!K100*(INDEX(Properties!A$1:CB$87,Formula!J100,54))</f>
        <v>13611.5</v>
      </c>
      <c r="FD100" s="54">
        <f>VARP(IF(INDEX(Properties!A$1:CB$87,Formula!B100,54)&lt;&gt;"",INDEX(Properties!A$1:CB$87,Formula!B100,54)),IF(INDEX(Properties!A$1:CB$87,Formula!D100,54)&lt;&gt;"",INDEX(Properties!A$1:CB$87,Formula!D100,54)),IF(INDEX(Properties!A$1:CB$87,Formula!F100,54)&lt;&gt;"",INDEX(Properties!A$1:CB$87,Formula!F100,54)),IF(INDEX(Properties!A$1:CB$87,Formula!H100,54)&lt;&gt;"",INDEX(Properties!A$1:CB$87,Formula!H100,54)),IF(INDEX(Properties!A$1:CB$87,Formula!J100,54)&lt;&gt;"",INDEX(Properties!A$1:CB$87,Formula!J100,54)))</f>
        <v>4682132.4075999996</v>
      </c>
      <c r="FE100" s="54">
        <f>MAX(INDEX(Properties!A$1:CB$87,Formula!B100,54),INDEX(Properties!A$1:CB$87,Formula!D100,54),INDEX(Properties!A$1:CB$87,Formula!F100,54),INDEX(Properties!A$1:CB$87,Formula!H100,54),INDEX(Properties!A$1:CB$87,Formula!J100,54))</f>
        <v>5698.15</v>
      </c>
      <c r="FF100" s="54">
        <f>MIN(IF(INDEX(Properties!A$1:CB$87,Formula!B100,54)=0,10^6,INDEX(Properties!A$1:CB$87,Formula!B100,54)),IF(INDEX(Properties!A$1:CB$87,Formula!D100,54)=0,10^6,INDEX(Properties!A$1:CB$87,Formula!D100,54)),IF(INDEX(Properties!A$1:CB$87,Formula!F100,54)=0,10^6,INDEX(Properties!A$1:CB$87,Formula!F100,54)),IF(INDEX(Properties!A$1:CB$87,Formula!H100,54)=0,10^6,INDEX(Properties!A$1:CB$87,Formula!H100,54)),IF(INDEX(Properties!A$1:CB$87,Formula!J100,54)=0,10^6,INDEX(Properties!A$1:CB$87,Formula!J100,54)))</f>
        <v>90.149999999999977</v>
      </c>
      <c r="FG100" s="54">
        <f t="shared" si="58"/>
        <v>5608</v>
      </c>
      <c r="FH100" s="69">
        <f>((Formula!C100)/(Formula!C100+Formula!E100+Formula!G100+Formula!I100+Formula!K100))*(INDEX(Properties!A$1:CB$87,Formula!B100,55))+((Formula!E100)/(Formula!C100+Formula!E100+Formula!G100+Formula!I100+Formula!K100))*(INDEX(Properties!A$1:CB$87,Formula!D100,55))+((Formula!G100)/(Formula!C100+Formula!E100+Formula!G100+Formula!I100+Formula!K100))*(INDEX(Properties!A$1:CB$87,Formula!F100,55))+((Formula!I100)/(Formula!C100+Formula!E100+Formula!G100+Formula!I100+Formula!K100))*(INDEX(Properties!A$1:CB$87,Formula!H100,55))+((Formula!K100)/(Formula!C100+Formula!E100+Formula!G100+Formula!I100+Formula!K100))*(INDEX(Properties!A$1:CB$87,Formula!J100,55))</f>
        <v>3.1508580000000004</v>
      </c>
      <c r="FI100" s="69">
        <f>Formula!C100*(INDEX(Properties!A$1:CB$87,Formula!B100,55))+Formula!E100*(INDEX(Properties!A$1:CB$87,Formula!D100,54))+Formula!G100*(INDEX(Properties!A$1:CB$87,Formula!F100,55))+Formula!I100*(INDEX(Properties!A$1:CB$87,Formula!H100,55))+Formula!K100*(INDEX(Properties!A$1:CB$87,Formula!J100,55))</f>
        <v>3569.7585800000002</v>
      </c>
      <c r="FJ100" s="69">
        <f>VARP(IF(INDEX(Properties!A$1:CB$87,Formula!B100,55)&lt;&gt;"",INDEX(Properties!A$1:CB$87,Formula!B100,55)),IF(INDEX(Properties!A$1:CB$87,Formula!D100,55)&lt;&gt;"",INDEX(Properties!A$1:CB$87,Formula!D100,55)),IF(INDEX(Properties!A$1:CB$87,Formula!F100,55)&lt;&gt;"",INDEX(Properties!A$1:CB$87,Formula!F100,55)),IF(INDEX(Properties!A$1:CB$87,Formula!H100,55)&lt;&gt;"",INDEX(Properties!A$1:CB$87,Formula!H100,55)),IF(INDEX(Properties!A$1:CB$87,Formula!J100,55)&lt;&gt;"",INDEX(Properties!A$1:CB$87,Formula!J100,55)))</f>
        <v>38.680797127184</v>
      </c>
      <c r="FK100" s="69">
        <f>MAX(INDEX(Properties!A$1:CB$87,Formula!B100,55),INDEX(Properties!A$1:CB$87,Formula!D100,55),INDEX(Properties!A$1:CB$87,Formula!F100,55),INDEX(Properties!A$1:CB$87,Formula!H100,55),INDEX(Properties!A$1:CB$87,Formula!J100,55))</f>
        <v>16.600000000000001</v>
      </c>
      <c r="FL100" s="69">
        <f>MIN(IF(INDEX(Properties!A$1:CB$87,Formula!B100,55)=0,10^6,INDEX(Properties!A$1:CB$87,Formula!B100,55)),IF(INDEX(Properties!A$1:CB$87,Formula!D100,55)=0,10^6,INDEX(Properties!A$1:CB$87,Formula!D100,55)),IF(INDEX(Properties!A$1:CB$87,Formula!F100,55)=0,10^6,INDEX(Properties!A$1:CB$87,Formula!F100,55)),IF(INDEX(Properties!A$1:CB$87,Formula!H100,55)=0,10^6,INDEX(Properties!A$1:CB$87,Formula!H100,55)),IF(INDEX(Properties!A$1:CB$87,Formula!J100,55)=0,10^6,INDEX(Properties!A$1:CB$87,Formula!J100,55)))</f>
        <v>1.4300000000000001E-3</v>
      </c>
      <c r="FM100" s="69">
        <f t="shared" si="59"/>
        <v>16.598570000000002</v>
      </c>
      <c r="FN100" s="42">
        <f>((Formula!C100)/(Formula!C100+Formula!E100+Formula!G100+Formula!I100+Formula!K100))*(INDEX(Properties!A$1:CB$87,Formula!B100,56))+((Formula!E100)/(Formula!C100+Formula!E100+Formula!G100+Formula!I100+Formula!K100))*(INDEX(Properties!A$1:CB$87,Formula!D100,56))+((Formula!G100)/(Formula!C100+Formula!E100+Formula!G100+Formula!I100+Formula!K100))*(INDEX(Properties!A$1:CB$87,Formula!F100,56))+((Formula!I100)/(Formula!C100+Formula!E100+Formula!G100+Formula!I100+Formula!K100))*(INDEX(Properties!A$1:CB$87,Formula!H100,56))+((Formula!K100)/(Formula!C100+Formula!E100+Formula!G100+Formula!I100+Formula!K100))*(INDEX(Properties!A$1:CB$87,Formula!J100,56))</f>
        <v>0.62980000000000003</v>
      </c>
      <c r="FO100" s="42">
        <f>Formula!C100*(INDEX(Properties!A$1:CB$87,Formula!B100,56))+Formula!E100*(INDEX(Properties!A$1:CB$87,Formula!D100,56))+Formula!G100*(INDEX(Properties!A$1:CB$87,Formula!F100,56))+Formula!I100*(INDEX(Properties!A$1:CB$87,Formula!H100,56))+Formula!K100*(INDEX(Properties!A$1:CB$87,Formula!J100,56))</f>
        <v>6.298</v>
      </c>
      <c r="FP100" s="42">
        <f>VARP(IF(INDEX(Properties!A$1:CB$87,Formula!B100,56)&lt;&gt;"",INDEX(Properties!A$1:CB$87,Formula!B100,56)),IF(INDEX(Properties!A$1:CB$87,Formula!D100,56)&lt;&gt;"",INDEX(Properties!A$1:CB$87,Formula!D100,56)),IF(INDEX(Properties!A$1:CB$87,Formula!F100,56)&lt;&gt;"",INDEX(Properties!A$1:CB$87,Formula!F100,56)),IF(INDEX(Properties!A$1:CB$87,Formula!H100,56)&lt;&gt;"",INDEX(Properties!A$1:CB$87,Formula!H100,56)),IF(INDEX(Properties!A$1:CB$87,Formula!J100,56)&lt;&gt;"",INDEX(Properties!A$1:CB$87,Formula!J100,56)))</f>
        <v>0.10282175999999996</v>
      </c>
      <c r="FQ100" s="42">
        <f>MAX(INDEX(Properties!A$1:CB$87,Formula!B100,56),INDEX(Properties!A$1:CB$87,Formula!D100,56),INDEX(Properties!A$1:CB$87,Formula!F100,56),INDEX(Properties!A$1:CB$87,Formula!H100,56),INDEX(Properties!A$1:CB$87,Formula!J100,56))</f>
        <v>0.92</v>
      </c>
      <c r="FR100" s="42">
        <f>MIN(IF(INDEX(Properties!A$1:CB$87,Formula!B100,56)=0,10^6,INDEX(Properties!A$1:CB$87,Formula!B100,56)),IF(INDEX(Properties!A$1:CB$87,Formula!D100,56)=0,10^6,INDEX(Properties!A$1:CB$87,Formula!D100,56)),IF(INDEX(Properties!A$1:CB$87,Formula!F100,56)=0,10^6,INDEX(Properties!A$1:CB$87,Formula!F100,56)),IF(INDEX(Properties!A$1:CB$87,Formula!H100,56)=0,10^6,INDEX(Properties!A$1:CB$87,Formula!H100,56)),IF(INDEX(Properties!A$1:CB$87,Formula!J100,56)=0,10^6,INDEX(Properties!A$1:CB$87,Formula!J100,56)))</f>
        <v>0.14000000000000001</v>
      </c>
      <c r="FS100" s="42">
        <f t="shared" si="60"/>
        <v>0.78</v>
      </c>
      <c r="FT100" s="60">
        <f>((Formula!C100)/(Formula!C100+Formula!E100+Formula!G100+Formula!I100+Formula!K100))*(INDEX(Properties!A$1:CB$87,Formula!B100,57))+((Formula!E100)/(Formula!C100+Formula!E100+Formula!G100+Formula!I100+Formula!K100))*(INDEX(Properties!A$1:CB$87,Formula!D100,57))+((Formula!G100)/(Formula!C100+Formula!E100+Formula!G100+Formula!I100+Formula!K100))*(INDEX(Properties!A$1:CB$87,Formula!F100,57))+((Formula!I100)/(Formula!C100+Formula!E100+Formula!G100+Formula!I100+Formula!K100))*(INDEX(Properties!A$1:CB$87,Formula!H100,57))+((Formula!K100)/(Formula!C100+Formula!E100+Formula!G100+Formula!I100+Formula!K100))*(INDEX(Properties!A$1:CB$87,Formula!J100,57))</f>
        <v>5.848554</v>
      </c>
      <c r="FU100" s="60">
        <f>Formula!C100*(INDEX(Properties!A$1:CB$87,Formula!B100,57))+Formula!E100*(INDEX(Properties!A$1:CB$87,Formula!D100,57))+Formula!G100*(INDEX(Properties!A$1:CB$87,Formula!F100,57))+Formula!I100*(INDEX(Properties!A$1:CB$87,Formula!H100,57))+Formula!K100*(INDEX(Properties!A$1:CB$87,Formula!J100,57))</f>
        <v>58.485540000000007</v>
      </c>
      <c r="FV100" s="60">
        <f>VARP(IF(INDEX(Properties!A$1:CB$87,Formula!B100,57)&lt;&gt;"",INDEX(Properties!A$1:CB$87,Formula!B100,57)),IF(INDEX(Properties!A$1:CB$87,Formula!D100,57)&lt;&gt;"",INDEX(Properties!A$1:CB$87,Formula!D100,57)),IF(INDEX(Properties!A$1:CB$87,Formula!F100,57)&lt;&gt;"",INDEX(Properties!A$1:CB$87,Formula!F100,57)),IF(INDEX(Properties!A$1:CB$87,Formula!H100,57)&lt;&gt;"",INDEX(Properties!A$1:CB$87,Formula!H100,57)),IF(INDEX(Properties!A$1:CB$87,Formula!J100,57)&lt;&gt;"",INDEX(Properties!A$1:CB$87,Formula!J100,57)))</f>
        <v>133.43885172929598</v>
      </c>
      <c r="FW100" s="60">
        <f>MAX(INDEX(Properties!A$1:CB$87,Formula!B100,57),INDEX(Properties!A$1:CB$87,Formula!D100,57),INDEX(Properties!A$1:CB$87,Formula!F100,57),INDEX(Properties!A$1:CB$87,Formula!H100,57),INDEX(Properties!A$1:CB$87,Formula!J100,57))</f>
        <v>31.6</v>
      </c>
      <c r="FX100" s="60">
        <f>MIN(IF(INDEX(Properties!A$1:CB$87,Formula!B100,57)=0,10^6,INDEX(Properties!A$1:CB$87,Formula!B100,57)),IF(INDEX(Properties!A$1:CB$87,Formula!D100,57)=0,10^6,INDEX(Properties!A$1:CB$87,Formula!D100,57)),IF(INDEX(Properties!A$1:CB$87,Formula!F100,57)=0,10^6,INDEX(Properties!A$1:CB$87,Formula!F100,57)),IF(INDEX(Properties!A$1:CB$87,Formula!H100,57)=0,10^6,INDEX(Properties!A$1:CB$87,Formula!H100,57)),IF(INDEX(Properties!A$1:CB$87,Formula!J100,57)=0,10^6,INDEX(Properties!A$1:CB$87,Formula!J100,57)))</f>
        <v>0.22259000000000001</v>
      </c>
      <c r="FY100" s="60">
        <f t="shared" si="61"/>
        <v>31.377410000000001</v>
      </c>
      <c r="FZ100" s="72">
        <f>((Formula!C100)/(Formula!C100+Formula!E100+Formula!G100+Formula!I100+Formula!K100))*(INDEX(Properties!A$1:CB$87,Formula!B100,60))+((Formula!E100)/(Formula!C100+Formula!E100+Formula!G100+Formula!I100+Formula!K100))*(INDEX(Properties!A$1:CB$87,Formula!D100,60))+((Formula!G100)/(Formula!C100+Formula!E100+Formula!G100+Formula!I100+Formula!K100))*(INDEX(Properties!A$1:CB$87,Formula!F100,60))+((Formula!I100)/(Formula!C100+Formula!E100+Formula!G100+Formula!I100+Formula!K100))*(INDEX(Properties!A$1:CB$87,Formula!H100,60))+((Formula!K100)/(Formula!C100+Formula!E100+Formula!G100+Formula!I100+Formula!K100))*(INDEX(Properties!A$1:CB$87,Formula!J100,60))</f>
        <v>10.506044000000001</v>
      </c>
      <c r="GA100" s="72">
        <f>Formula!C100*(INDEX(Properties!A$1:CB$87,Formula!B100,60))+Formula!E100*(INDEX(Properties!A$1:CB$87,Formula!D100,60))+Formula!G100*(INDEX(Properties!A$1:CB$87,Formula!F100,60))+Formula!I100*(INDEX(Properties!A$1:CB$87,Formula!H100,60))+Formula!K100*(INDEX(Properties!A$1:CB$87,Formula!J100,60))</f>
        <v>105.06044</v>
      </c>
      <c r="GB100" s="72">
        <f>VARP(IF(INDEX(Properties!A$1:CB$87,Formula!B100,60)&lt;&gt;"",INDEX(Properties!A$1:CB$87,Formula!B100,60)),IF(INDEX(Properties!A$1:CB$87,Formula!D100,60)&lt;&gt;"",INDEX(Properties!A$1:CB$87,Formula!D100,60)),IF(INDEX(Properties!A$1:CB$87,Formula!F100,60)&lt;&gt;"",INDEX(Properties!A$1:CB$87,Formula!F100,60)),IF(INDEX(Properties!A$1:CB$87,Formula!H100,60)&lt;&gt;"",INDEX(Properties!A$1:CB$87,Formula!H100,60)),IF(INDEX(Properties!A$1:CB$87,Formula!J100,60)&lt;&gt;"",INDEX(Properties!A$1:CB$87,Formula!J100,60)))</f>
        <v>451.95907360441606</v>
      </c>
      <c r="GC100" s="72">
        <f>MAX(INDEX(Properties!A$1:CB$87,Formula!B100,60),INDEX(Properties!A$1:CB$87,Formula!D100,60),INDEX(Properties!A$1:CB$87,Formula!F100,60),INDEX(Properties!A$1:CB$87,Formula!H100,60),INDEX(Properties!A$1:CB$87,Formula!J100,60))</f>
        <v>57.5</v>
      </c>
      <c r="GD100" s="72">
        <f>MIN(IF(INDEX(Properties!A$1:CB$87,Formula!B100,60)=0,10^6,INDEX(Properties!A$1:CB$87,Formula!B100,60)),IF(INDEX(Properties!A$1:CB$87,Formula!D100,60)=0,10^6,INDEX(Properties!A$1:CB$87,Formula!D100,60)),IF(INDEX(Properties!A$1:CB$87,Formula!F100,60)=0,10^6,INDEX(Properties!A$1:CB$87,Formula!F100,60)),IF(INDEX(Properties!A$1:CB$87,Formula!H100,60)=0,10^6,INDEX(Properties!A$1:CB$87,Formula!H100,60)),IF(INDEX(Properties!A$1:CB$87,Formula!J100,60)=0,10^6,INDEX(Properties!A$1:CB$87,Formula!J100,60)))</f>
        <v>2.674E-2</v>
      </c>
      <c r="GE100" s="72">
        <f t="shared" si="62"/>
        <v>57.473260000000003</v>
      </c>
      <c r="GF100" s="51">
        <f>((Formula!C100)/(Formula!C100+Formula!E100+Formula!G100+Formula!I100+Formula!K100))*(INDEX(Properties!A$1:CB$87,Formula!B100,62))+((Formula!E100)/(Formula!C100+Formula!E100+Formula!G100+Formula!I100+Formula!K100))*(INDEX(Properties!A$1:CB$87,Formula!D100,62))+((Formula!G100)/(Formula!C100+Formula!E100+Formula!G100+Formula!I100+Formula!K100))*(INDEX(Properties!A$1:CB$87,Formula!F100,62))+((Formula!I100)/(Formula!C100+Formula!E100+Formula!G100+Formula!I100+Formula!K100))*(INDEX(Properties!A$1:CB$87,Formula!H100,62))+((Formula!K100)/(Formula!C100+Formula!E100+Formula!G100+Formula!I100+Formula!K100))*(INDEX(Properties!A$1:CB$87,Formula!J100,62))</f>
        <v>3.1760000000000002</v>
      </c>
      <c r="GG100" s="51">
        <f>Formula!C100*(INDEX(Properties!A$1:CB$87,Formula!B100,62))+Formula!E100*(INDEX(Properties!A$1:CB$87,Formula!D100,62))+Formula!G100*(INDEX(Properties!A$1:CB$87,Formula!F100,62))+Formula!I100*(INDEX(Properties!A$1:CB$87,Formula!H100,62))+Formula!K100*(INDEX(Properties!A$1:CB$87,Formula!J100,62))</f>
        <v>31.759999999999998</v>
      </c>
      <c r="GH100" s="51">
        <f>VARP(IF(INDEX(Properties!A$1:CB$87,Formula!B100,62)&lt;&gt;"",INDEX(Properties!A$1:CB$87,Formula!B100,62)),IF(INDEX(Properties!A$1:CB$87,Formula!D100,62)&lt;&gt;"",INDEX(Properties!A$1:CB$87,Formula!D100,62)),IF(INDEX(Properties!A$1:CB$87,Formula!F100,62)&lt;&gt;"",INDEX(Properties!A$1:CB$87,Formula!F100,62)),IF(INDEX(Properties!A$1:CB$87,Formula!H100,62)&lt;&gt;"",INDEX(Properties!A$1:CB$87,Formula!H100,62)),IF(INDEX(Properties!A$1:CB$87,Formula!J100,62)&lt;&gt;"",INDEX(Properties!A$1:CB$87,Formula!J100,62)))</f>
        <v>7.4088960000000021</v>
      </c>
      <c r="GI100" s="51">
        <f>MAX(INDEX(Properties!A$1:CB$87,Formula!B100,62),INDEX(Properties!A$1:CB$87,Formula!D100,62),INDEX(Properties!A$1:CB$87,Formula!F100,62),INDEX(Properties!A$1:CB$87,Formula!H100,62),INDEX(Properties!A$1:CB$87,Formula!J100,62))</f>
        <v>8.1</v>
      </c>
      <c r="GJ100" s="51">
        <f>MIN(IF(INDEX(Properties!A$1:CB$87,Formula!B100,62)=0,10^6,INDEX(Properties!A$1:CB$87,Formula!B100,62)),IF(INDEX(Properties!A$1:CB$87,Formula!D100,62)=0,10^6,INDEX(Properties!A$1:CB$87,Formula!D100,62)),IF(INDEX(Properties!A$1:CB$87,Formula!F100,62)=0,10^6,INDEX(Properties!A$1:CB$87,Formula!F100,62)),IF(INDEX(Properties!A$1:CB$87,Formula!H100,62)=0,10^6,INDEX(Properties!A$1:CB$87,Formula!H100,62)),IF(INDEX(Properties!A$1:CB$87,Formula!J100,62)=0,10^6,INDEX(Properties!A$1:CB$87,Formula!J100,62)))</f>
        <v>1.9</v>
      </c>
      <c r="GK100" s="51">
        <f t="shared" si="63"/>
        <v>6.1999999999999993</v>
      </c>
      <c r="GL100" s="51">
        <f>Formula!P100</f>
        <v>225</v>
      </c>
      <c r="GM100" s="57">
        <f>Formula!O100</f>
        <v>7</v>
      </c>
      <c r="GN100" s="51">
        <f>Formula!N100</f>
        <v>0.1</v>
      </c>
    </row>
    <row r="101" spans="1:196" x14ac:dyDescent="0.3">
      <c r="A101" s="84" t="str">
        <f>Formula!A101</f>
        <v>SrGe(PO4)2</v>
      </c>
      <c r="B101" s="89">
        <f>((Formula!C101)/(Formula!C101+Formula!E101+Formula!G101+Formula!I101+Formula!K101))*(INDEX(Properties!A$1:CB$87,Formula!B101,3))+((Formula!E101)/(Formula!C101+Formula!E101+Formula!G101+Formula!I101+Formula!K101))*(INDEX(Properties!A$1:CB$87,Formula!D101,3))+((Formula!G101)/(Formula!C101+Formula!E101+Formula!G101+Formula!I101+Formula!K101))*(INDEX(Properties!A$1:CB$87,Formula!F101,3))+((Formula!I101)/(Formula!C101+Formula!E101+Formula!G101+Formula!I101+Formula!K101))*(INDEX(Properties!A$1:CB$87,Formula!H101,3))+((Formula!K101)/(Formula!C101+Formula!E101+Formula!G101+Formula!I101+Formula!K101))*(INDEX(Properties!A$1:CB$87,Formula!J101,3))</f>
        <v>29.182727</v>
      </c>
      <c r="C101" s="85">
        <f>Formula!C101*(INDEX(Properties!A$1:CB$87,Formula!B101,3))+Formula!E101*(INDEX(Properties!A$1:CB$87,Formula!D101,3))+Formula!G101*(INDEX(Properties!A$1:CB$87,Formula!F101,3))+Formula!I101*(INDEX(Properties!A$1:CB$87,Formula!H101,3))+Formula!K101*(INDEX(Properties!A$1:CB$87,Formula!J101,3))</f>
        <v>350.192724</v>
      </c>
      <c r="D101" s="85">
        <f>VARP(IF(INDEX(Properties!A$1:CB$87,Formula!B101,3)&lt;&gt;"",INDEX(Properties!A$1:CB$87,Formula!B101,3)),IF(INDEX(Properties!A$1:CB$87,Formula!D101,3)&lt;&gt;"",INDEX(Properties!A$1:CB$87,Formula!D101,3)),IF(INDEX(Properties!A$1:CB$87,Formula!F101,3)&lt;&gt;"",INDEX(Properties!A$1:CB$87,Formula!F101,3)),IF(INDEX(Properties!A$1:CB$87,Formula!H101,3)&lt;&gt;"",INDEX(Properties!A$1:CB$87,Formula!H101,3)),IF(INDEX(Properties!A$1:CB$87,Formula!J101,3)&lt;&gt;"",INDEX(Properties!A$1:CB$87,Formula!J101,3)))</f>
        <v>1115.8896517873989</v>
      </c>
      <c r="E101" s="85">
        <f>MAX(INDEX(Properties!A$1:CB$87,Formula!B101,3),INDEX(Properties!A$1:CB$87,Formula!D101,3),INDEX(Properties!A$1:CB$87,Formula!F101,3),INDEX(Properties!A$1:CB$87,Formula!H101,3),INDEX(Properties!A$1:CB$87,Formula!J101,3))</f>
        <v>87.62</v>
      </c>
      <c r="F101" s="85">
        <f>MIN(IF(INDEX(Properties!A$1:CB$87,Formula!B101,3)=0,10^6,INDEX(Properties!A$1:CB$87,Formula!B101,3)),IF(INDEX(Properties!A$1:CB$87,Formula!D101,3)=0,10^6,INDEX(Properties!A$1:CB$87,Formula!D101,3)),IF(INDEX(Properties!A$1:CB$87,Formula!F101,3)=0,10^6,INDEX(Properties!A$1:CB$87,Formula!F101,3)),IF(INDEX(Properties!A$1:CB$87,Formula!H101,3)=0,10^6,INDEX(Properties!A$1:CB$87,Formula!H101,3)),IF(INDEX(Properties!A$1:CB$87,Formula!J101,3)=0,10^6,INDEX(Properties!A$1:CB$87,Formula!J101,3)))</f>
        <v>15.9994</v>
      </c>
      <c r="G101" s="85">
        <f t="shared" si="32"/>
        <v>71.62060000000001</v>
      </c>
      <c r="H101" s="87">
        <f>((Formula!C101)/(Formula!C101+Formula!E101+Formula!G101+Formula!I101+Formula!K101))*(INDEX(Properties!A$1:CB$87,Formula!B101,4))+((Formula!E101)/(Formula!C101+Formula!E101+Formula!G101+Formula!I101+Formula!K101))*(INDEX(Properties!A$1:CB$87,Formula!D101,4))+((Formula!G101)/(Formula!C101+Formula!E101+Formula!G101+Formula!I101+Formula!K101))*(INDEX(Properties!A$1:CB$87,Formula!F101,4))+((Formula!I101)/(Formula!C101+Formula!E101+Formula!G101+Formula!I101+Formula!K101))*(INDEX(Properties!A$1:CB$87,Formula!H101,4))+((Formula!K101)/(Formula!C101+Formula!E101+Formula!G101+Formula!I101+Formula!K101))*(INDEX(Properties!A$1:CB$87,Formula!J101,4))</f>
        <v>13.666666666666664</v>
      </c>
      <c r="I101" s="87">
        <f>Formula!C101*(INDEX(Properties!A$1:CB$87,Formula!B101,4))+Formula!E101*(INDEX(Properties!A$1:CB$87,Formula!D101,4))+Formula!G101*(INDEX(Properties!A$1:CB$87,Formula!F101,4))+Formula!I101*(INDEX(Properties!A$1:CB$87,Formula!H101,4))+Formula!K101*(INDEX(Properties!A$1:CB$87,Formula!J101,4))</f>
        <v>164</v>
      </c>
      <c r="J101" s="87">
        <f>VARP(IF(INDEX(Properties!A$1:CB$87,Formula!B101,4)&lt;&gt;"",INDEX(Properties!A$1:CB$87,Formula!B101,4)),IF(INDEX(Properties!A$1:CB$87,Formula!D101,4)&lt;&gt;"",INDEX(Properties!A$1:CB$87,Formula!D101,4)),IF(INDEX(Properties!A$1:CB$87,Formula!F101,4)&lt;&gt;"",INDEX(Properties!A$1:CB$87,Formula!F101,4)),IF(INDEX(Properties!A$1:CB$87,Formula!H101,4)&lt;&gt;"",INDEX(Properties!A$1:CB$87,Formula!H101,4)),IF(INDEX(Properties!A$1:CB$87,Formula!J101,4)&lt;&gt;"",INDEX(Properties!A$1:CB$87,Formula!J101,4)))</f>
        <v>205.44</v>
      </c>
      <c r="K101" s="87">
        <f>MAX(INDEX(Properties!A$1:CB$87,Formula!B101,4),INDEX(Properties!A$1:CB$87,Formula!D101,4),INDEX(Properties!A$1:CB$87,Formula!F101,4),INDEX(Properties!A$1:CB$87,Formula!H101,4),INDEX(Properties!A$1:CB$87,Formula!J101,4))</f>
        <v>38</v>
      </c>
      <c r="L101" s="87">
        <f>MIN(IF(INDEX(Properties!A$1:CB$87,Formula!B101,4)=0,10^6,INDEX(Properties!A$1:CB$87,Formula!B101,4)),IF(INDEX(Properties!A$1:CB$87,Formula!D101,4)=0,10^6,INDEX(Properties!A$1:CB$87,Formula!D101,4)),IF(INDEX(Properties!A$1:CB$87,Formula!F101,4)=0,10^6,INDEX(Properties!A$1:CB$87,Formula!F101,4)),IF(INDEX(Properties!A$1:CB$87,Formula!H101,4)=0,10^6,INDEX(Properties!A$1:CB$87,Formula!H101,4)),IF(INDEX(Properties!A$1:CB$87,Formula!J101,4)=0,10^6,INDEX(Properties!A$1:CB$87,Formula!J101,4)))</f>
        <v>8</v>
      </c>
      <c r="M101" s="87">
        <f t="shared" si="33"/>
        <v>30</v>
      </c>
      <c r="N101" s="89">
        <f>((Formula!C101)/(Formula!C101+Formula!E101+Formula!G101+Formula!I101+Formula!K101))*(INDEX(Properties!A$1:CB$87,Formula!B101,5))+((Formula!E101)/(Formula!C101+Formula!E101+Formula!G101+Formula!I101+Formula!K101))*(INDEX(Properties!A$1:CB$87,Formula!D101,5))+((Formula!G101)/(Formula!C101+Formula!E101+Formula!G101+Formula!I101+Formula!K101))*(INDEX(Properties!A$1:CB$87,Formula!F101,5))+((Formula!I101)/(Formula!C101+Formula!E101+Formula!G101+Formula!I101+Formula!K101))*(INDEX(Properties!A$1:CB$87,Formula!H101,5))+((Formula!K101)/(Formula!C101+Formula!E101+Formula!G101+Formula!I101+Formula!K101))*(INDEX(Properties!A$1:CB$87,Formula!J101,5))</f>
        <v>2.583333333333333</v>
      </c>
      <c r="O101" s="89">
        <f>Formula!C101*(INDEX(Properties!A$1:CB$87,Formula!B101,5))+Formula!E101*(INDEX(Properties!A$1:CB$87,Formula!D101,5))+Formula!G101*(INDEX(Properties!A$1:CB$87,Formula!F101,5))+Formula!I101*(INDEX(Properties!A$1:CB$87,Formula!H101,5))+Formula!K101*(INDEX(Properties!A$1:CB$87,Formula!J101,5))</f>
        <v>31</v>
      </c>
      <c r="P101" s="89">
        <f>VARP(IF(INDEX(Properties!A$1:CB$87,Formula!B101,5)&lt;&gt;"",INDEX(Properties!A$1:CB$87,Formula!B101,5)),IF(INDEX(Properties!A$1:CB$87,Formula!D101,5)&lt;&gt;"",INDEX(Properties!A$1:CB$87,Formula!D101,5)),IF(INDEX(Properties!A$1:CB$87,Formula!F101,5)&lt;&gt;"",INDEX(Properties!A$1:CB$87,Formula!F101,5)),IF(INDEX(Properties!A$1:CB$87,Formula!H101,5)&lt;&gt;"",INDEX(Properties!A$1:CB$87,Formula!H101,5)),IF(INDEX(Properties!A$1:CB$87,Formula!J101,5)&lt;&gt;"",INDEX(Properties!A$1:CB$87,Formula!J101,5)))</f>
        <v>2.96</v>
      </c>
      <c r="Q101" s="89">
        <f>MAX(INDEX(Properties!A$1:CB$87,Formula!B101,5),INDEX(Properties!A$1:CB$87,Formula!D101,5),INDEX(Properties!A$1:CB$87,Formula!F101,5),INDEX(Properties!A$1:CB$87,Formula!H101,5),INDEX(Properties!A$1:CB$87,Formula!J101,5))</f>
        <v>5</v>
      </c>
      <c r="R101" s="89">
        <f>MIN(IF(INDEX(Properties!A$1:CB$87,Formula!B101,5)=0,10^6,INDEX(Properties!A$1:CB$87,Formula!B101,5)),IF(INDEX(Properties!A$1:CB$87,Formula!D101,5)=0,10^6,INDEX(Properties!A$1:CB$87,Formula!D101,5)),IF(INDEX(Properties!A$1:CB$87,Formula!F101,5)=0,10^6,INDEX(Properties!A$1:CB$87,Formula!F101,5)),IF(INDEX(Properties!A$1:CB$87,Formula!H101,5)=0,10^6,INDEX(Properties!A$1:CB$87,Formula!H101,5)),IF(INDEX(Properties!A$1:CB$87,Formula!J101,5)=0,10^6,INDEX(Properties!A$1:CB$87,Formula!J101,5)))</f>
        <v>2</v>
      </c>
      <c r="S101" s="89">
        <f t="shared" si="34"/>
        <v>3</v>
      </c>
      <c r="T101" s="60">
        <f>((Formula!C101)/(Formula!C101+Formula!E101+Formula!G101+Formula!I101+Formula!K101))*(INDEX(Properties!A$1:CB$87,Formula!B101,6))+((Formula!E101)/(Formula!C101+Formula!E101+Formula!G101+Formula!I101+Formula!K101))*(INDEX(Properties!A$1:CB$87,Formula!D101,6))+((Formula!G101)/(Formula!C101+Formula!E101+Formula!G101+Formula!I101+Formula!K101))*(INDEX(Properties!A$1:CB$87,Formula!F101,6))+((Formula!I101)/(Formula!C101+Formula!E101+Formula!G101+Formula!I101+Formula!K101))*(INDEX(Properties!A$1:CB$87,Formula!H101,6))+((Formula!K101)/(Formula!C101+Formula!E101+Formula!G101+Formula!I101+Formula!K101))*(INDEX(Properties!A$1:CB$87,Formula!J101,6))</f>
        <v>14.5</v>
      </c>
      <c r="U101" s="60">
        <f>Formula!C101*(INDEX(Properties!A$1:CB$87,Formula!B101,6))+Formula!E101*(INDEX(Properties!A$1:CB$87,Formula!D101,6))+Formula!G101*(INDEX(Properties!A$1:CB$87,Formula!F101,6))+Formula!I101*(INDEX(Properties!A$1:CB$87,Formula!H101,6))+Formula!K101*(INDEX(Properties!A$1:CB$87,Formula!J101,6))</f>
        <v>174</v>
      </c>
      <c r="V101" s="89">
        <f>VARP(IF(INDEX(Properties!A$1:CB$87,Formula!B101,6)&lt;&gt;"",INDEX(Properties!A$1:CB$87,Formula!B101,6)),IF(INDEX(Properties!A$1:CB$87,Formula!D101,6)&lt;&gt;"",INDEX(Properties!A$1:CB$87,Formula!D101,6)),IF(INDEX(Properties!A$1:CB$87,Formula!F101,6)&lt;&gt;"",INDEX(Properties!A$1:CB$87,Formula!F101,6)),IF(INDEX(Properties!A$1:CB$87,Formula!H101,6)&lt;&gt;"",INDEX(Properties!A$1:CB$87,Formula!H101,6)),IF(INDEX(Properties!A$1:CB$87,Formula!J101,6)&lt;&gt;"",INDEX(Properties!A$1:CB$87,Formula!J101,6)))</f>
        <v>47.84</v>
      </c>
      <c r="W101" s="60">
        <f>MAX(INDEX(Properties!A$1:CB$87,Formula!B101,6),INDEX(Properties!A$1:CB$87,Formula!D101,6),INDEX(Properties!A$1:CB$87,Formula!F101,6),INDEX(Properties!A$1:CB$87,Formula!H101,4),INDEX(Properties!A$1:CB$87,Formula!J101,6))</f>
        <v>15</v>
      </c>
      <c r="X101" s="60">
        <f>MIN(IF(INDEX(Properties!A$1:CB$87,Formula!B101,6)=0,10^6,INDEX(Properties!A$1:CB$87,Formula!B101,6)),IF(INDEX(Properties!A$1:CB$87,Formula!D101,6)=0,10^6,INDEX(Properties!A$1:CB$87,Formula!D101,6)),IF(INDEX(Properties!A$1:CB$87,Formula!F101,6)=0,10^6,INDEX(Properties!A$1:CB$87,Formula!F101,6)),IF(INDEX(Properties!A$1:CB$87,Formula!H101,6)=0,10^6,INDEX(Properties!A$1:CB$87,Formula!H101,6)),IF(INDEX(Properties!A$1:CB$87,Formula!J101,6)=0,10^6,INDEX(Properties!A$1:CB$87,Formula!J101,6)))</f>
        <v>2</v>
      </c>
      <c r="Y101" s="60">
        <f t="shared" si="35"/>
        <v>13</v>
      </c>
      <c r="Z101" s="72">
        <f>((Formula!C101)/(Formula!C101+Formula!E101+Formula!G101+Formula!I101+Formula!K101))*(INDEX(Properties!A$1:CB$87,Formula!B101,9))+((Formula!E101)/(Formula!C101+Formula!E101+Formula!G101+Formula!I101+Formula!K101))*(INDEX(Properties!A$1:CB$87,Formula!D101,9))+((Formula!G101)/(Formula!C101+Formula!E101+Formula!G101+Formula!I101+Formula!K101))*(INDEX(Properties!A$1:CB$87,Formula!F101,9))+((Formula!I101)/(Formula!C101+Formula!E101+Formula!G101+Formula!I101+Formula!K101))*(INDEX(Properties!A$1:CB$87,Formula!H101,9))+((Formula!K101)/(Formula!C101+Formula!E101+Formula!G101+Formula!I101+Formula!K101))*(INDEX(Properties!A$1:CB$87,Formula!J101,9))</f>
        <v>79.083333333333329</v>
      </c>
      <c r="AA101" s="72">
        <f>Formula!C101*(INDEX(Properties!A$1:CB$87,Formula!B101,9))+Formula!E101*(INDEX(Properties!A$1:CB$87,Formula!D101,9))+Formula!G101*(INDEX(Properties!A$1:CB$87,Formula!F101,9))+Formula!I101*(INDEX(Properties!A$1:CB$87,Formula!H101,9))+Formula!K101*(INDEX(Properties!A$1:CB$87,Formula!J101,9))</f>
        <v>949</v>
      </c>
      <c r="AB101" s="72">
        <f>VARP(IF(INDEX(Properties!A$1:CB$87,Formula!B101,9)&lt;&gt;"",INDEX(Properties!A$1:CB$87,Formula!B101,9)),IF(INDEX(Properties!A$1:CB$87,Formula!D101,9)&lt;&gt;"",INDEX(Properties!A$1:CB$87,Formula!D101,9)),IF(INDEX(Properties!A$1:CB$87,Formula!F101,9)&lt;&gt;"",INDEX(Properties!A$1:CB$87,Formula!F101,9)),IF(INDEX(Properties!A$1:CB$87,Formula!H101,9)&lt;&gt;"",INDEX(Properties!A$1:CB$87,Formula!H101,9)),IF(INDEX(Properties!A$1:CB$87,Formula!J101,9)&lt;&gt;"",INDEX(Properties!A$1:CB$87,Formula!J101,9)))</f>
        <v>1510.64</v>
      </c>
      <c r="AC101" s="72">
        <f>MAX(INDEX(Properties!A$1:CB$87,Formula!B101,9),INDEX(Properties!A$1:CB$87,Formula!D101,9),INDEX(Properties!A$1:CB$87,Formula!F101,9),INDEX(Properties!A$1:CB$87,Formula!H101,9),INDEX(Properties!A$1:CB$87,Formula!J101,9))</f>
        <v>87</v>
      </c>
      <c r="AD101" s="72">
        <f>MIN(IF(INDEX(Properties!A$1:CB$87,Formula!B101,9)=0,10^6,INDEX(Properties!A$1:CB$87,Formula!B101,9)),IF(INDEX(Properties!A$1:CB$87,Formula!D101,9)=0,10^6,INDEX(Properties!A$1:CB$87,Formula!D101,9)),IF(INDEX(Properties!A$1:CB$87,Formula!F101,9)=0,10^6,INDEX(Properties!A$1:CB$87,Formula!F101,9)),IF(INDEX(Properties!A$1:CB$87,Formula!H101,9)=0,10^6,INDEX(Properties!A$1:CB$87,Formula!H101,9)),IF(INDEX(Properties!A$1:CB$87,Formula!J101,9)=0,10^6,INDEX(Properties!A$1:CB$87,Formula!J101,9)))</f>
        <v>8</v>
      </c>
      <c r="AE101" s="72">
        <f t="shared" si="36"/>
        <v>79</v>
      </c>
      <c r="AF101" s="51">
        <f>((Formula!C101)/(Formula!C101+Formula!E101+Formula!G101+Formula!I101+Formula!K101))*(INDEX(Properties!A$1:CB$87,Formula!B101,10))+((Formula!E101)/(Formula!C101+Formula!E101+Formula!G101+Formula!I101+Formula!K101))*(INDEX(Properties!A$1:CB$87,Formula!D101,10))+((Formula!G101)/(Formula!C101+Formula!E101+Formula!G101+Formula!I101+Formula!K101))*(INDEX(Properties!A$1:CB$87,Formula!F101,10))+((Formula!I101)/(Formula!C101+Formula!E101+Formula!G101+Formula!I101+Formula!K101))*(INDEX(Properties!A$1:CB$87,Formula!H101,10))+((Formula!K101)/(Formula!C101+Formula!E101+Formula!G101+Formula!I101+Formula!K101))*(INDEX(Properties!A$1:CB$87,Formula!J101,10))</f>
        <v>6.4999999999999991</v>
      </c>
      <c r="AG101" s="51">
        <f>Formula!C101*(INDEX(Properties!A$1:CB$87,Formula!B101,10))+Formula!E101*(INDEX(Properties!A$1:CB$87,Formula!D101,10))+Formula!G101*(INDEX(Properties!A$1:CB$87,Formula!F101,10))+Formula!I101*(INDEX(Properties!A$1:CB$87,Formula!H101,10))+Formula!K101*(INDEX(Properties!A$1:CB$87,Formula!J101,10))</f>
        <v>78</v>
      </c>
      <c r="AH101" s="51">
        <f>VARP(IF(INDEX(Properties!A$1:CB$87,Formula!B101,10)&lt;&gt;"",INDEX(Properties!A$1:CB$87,Formula!B101,10)),IF(INDEX(Properties!A$1:CB$87,Formula!D101,10)&lt;&gt;"",INDEX(Properties!A$1:CB$87,Formula!D101,10)),IF(INDEX(Properties!A$1:CB$87,Formula!F101,10)&lt;&gt;"",INDEX(Properties!A$1:CB$87,Formula!F101,10)),IF(INDEX(Properties!A$1:CB$87,Formula!H101,10)&lt;&gt;"",INDEX(Properties!A$1:CB$87,Formula!H101,10)),IF(INDEX(Properties!A$1:CB$87,Formula!J101,10)&lt;&gt;"",INDEX(Properties!A$1:CB$87,Formula!J101,10)))</f>
        <v>8.24</v>
      </c>
      <c r="AI101" s="51">
        <f>MAX(INDEX(Properties!A$1:CB$87,Formula!B101,10),INDEX(Properties!A$1:CB$87,Formula!D101,10),INDEX(Properties!A$1:CB$87,Formula!F101,10),INDEX(Properties!A$1:CB$87,Formula!H101,10),INDEX(Properties!A$1:CB$87,Formula!J101,10))</f>
        <v>7</v>
      </c>
      <c r="AJ101" s="51">
        <f>MIN(IF(INDEX(Properties!A$1:CB$87,Formula!B101,10)=0,10^6,INDEX(Properties!A$1:CB$87,Formula!B101,10)),IF(INDEX(Properties!A$1:CB$87,Formula!D101,10)=0,10^6,INDEX(Properties!A$1:CB$87,Formula!D101,10)),IF(INDEX(Properties!A$1:CB$87,Formula!F101,10)=0,10^6,INDEX(Properties!A$1:CB$87,Formula!F101,10)),IF(INDEX(Properties!A$1:CB$87,Formula!H101,10)=0,10^6,INDEX(Properties!A$1:CB$87,Formula!H101,10)),IF(INDEX(Properties!A$1:CB$87,Formula!J101,10)=0,10^6,INDEX(Properties!A$1:CB$87,Formula!J101,10)))</f>
        <v>2</v>
      </c>
      <c r="AK101" s="51">
        <f t="shared" si="37"/>
        <v>5</v>
      </c>
      <c r="AL101" s="57">
        <f>((Formula!C101)/(Formula!C101+Formula!E101+Formula!G101+Formula!I101+Formula!K101))*(INDEX(Properties!A$1:CB$87,Formula!B101,11))+((Formula!E101)/(Formula!C101+Formula!E101+Formula!G101+Formula!I101+Formula!K101))*(INDEX(Properties!A$1:CB$87,Formula!D101,11))+((Formula!G101)/(Formula!C101+Formula!E101+Formula!G101+Formula!I101+Formula!K101))*(INDEX(Properties!A$1:CB$87,Formula!F101,11))+((Formula!I101)/(Formula!C101+Formula!E101+Formula!G101+Formula!I101+Formula!K101))*(INDEX(Properties!A$1:CB$87,Formula!H101,11))+((Formula!K101)/(Formula!C101+Formula!E101+Formula!G101+Formula!I101+Formula!K101))*(INDEX(Properties!A$1:CB$87,Formula!J101,11))</f>
        <v>2</v>
      </c>
      <c r="AM101" s="57">
        <f>Formula!C101*(INDEX(Properties!A$1:CB$87,Formula!B101,11))+Formula!E101*(INDEX(Properties!A$1:CB$87,Formula!D101,11))+Formula!G101*(INDEX(Properties!A$1:CB$87,Formula!F101,11))+Formula!I101*(INDEX(Properties!A$1:CB$87,Formula!H101,11))+Formula!K101*(INDEX(Properties!A$1:CB$87,Formula!J101,11))</f>
        <v>24</v>
      </c>
      <c r="AN101" s="57">
        <f>VARP(IF(INDEX(Properties!A$1:CB$87,Formula!B101,11)&lt;&gt;"",INDEX(Properties!A$1:CB$87,Formula!B101,11)),IF(INDEX(Properties!A$1:CB$87,Formula!D101,11)&lt;&gt;"",INDEX(Properties!A$1:CB$87,Formula!D101,11)),IF(INDEX(Properties!A$1:CB$87,Formula!F101,11)&lt;&gt;"",INDEX(Properties!A$1:CB$87,Formula!F101,11)),IF(INDEX(Properties!A$1:CB$87,Formula!H101,11)&lt;&gt;"",INDEX(Properties!A$1:CB$87,Formula!H101,11)),IF(INDEX(Properties!A$1:CB$87,Formula!J101,11)&lt;&gt;"",INDEX(Properties!A$1:CB$87,Formula!J101,11)))</f>
        <v>0.64</v>
      </c>
      <c r="AO101" s="57">
        <f>MAX(INDEX(Properties!A$1:CB$87,Formula!B101,11),INDEX(Properties!A$1:CB$87,Formula!D101,11),INDEX(Properties!A$1:CB$87,Formula!F101,11),INDEX(Properties!A$1:CB$87,Formula!H101,11),INDEX(Properties!A$1:CB$87,Formula!J101,11))</f>
        <v>2</v>
      </c>
      <c r="AP101" s="57">
        <f>MIN(IF(Formula!B101=87,10^6,INDEX(Properties!A$1:CB$87,Formula!B101,11)),IF((Formula!D101)=87,10^6,INDEX(Properties!A$1:CB$87,Formula!D101,11)),IF((Formula!F101)=87,10^6,INDEX(Properties!A$1:CB$87,Formula!F101,11)),IF((Formula!H101)=87,10^6,INDEX(Properties!A$1:CB$87,Formula!H101,11)),IF(Formula!J101=87,10^6,INDEX(Properties!A$1:CB$87,Formula!J101,11)))</f>
        <v>2</v>
      </c>
      <c r="AQ101" s="57">
        <f t="shared" si="38"/>
        <v>0</v>
      </c>
      <c r="AR101" s="78">
        <f>((Formula!C101)/(Formula!C101+Formula!E101+Formula!G101+Formula!I101+Formula!K101))*(INDEX(Properties!A$1:CB$87,Formula!B101,12))+((Formula!E101)/(Formula!C101+Formula!E101+Formula!G101+Formula!I101+Formula!K101))*(INDEX(Properties!A$1:CB$87,Formula!D101,12))+((Formula!G101)/(Formula!C101+Formula!E101+Formula!G101+Formula!I101+Formula!K101))*(INDEX(Properties!A$1:CB$87,Formula!F101,12))+((Formula!I101)/(Formula!C101+Formula!E101+Formula!G101+Formula!I101+Formula!K101))*(INDEX(Properties!A$1:CB$87,Formula!H101,12))+((Formula!K101)/(Formula!C101+Formula!E101+Formula!G101+Formula!I101+Formula!K101))*(INDEX(Properties!A$1:CB$87,Formula!J101,12))</f>
        <v>3.333333333333333</v>
      </c>
      <c r="AS101" s="78">
        <f>Formula!C101*(INDEX(Properties!A$1:CB$87,Formula!B101,12))+Formula!E101*(INDEX(Properties!A$1:CB$87,Formula!D101,12))+Formula!G101*(INDEX(Properties!A$1:CB$87,Formula!F101,12))+Formula!I101*(INDEX(Properties!A$1:CB$87,Formula!H101,12))+Formula!K101*(INDEX(Properties!A$1:CB$87,Formula!J101,12))</f>
        <v>40</v>
      </c>
      <c r="AT101" s="78">
        <f>VARP(IF(INDEX(Properties!A$1:CB$87,Formula!B101,12)&lt;&gt;"",INDEX(Properties!A$1:CB$87,Formula!B101,12)),IF(INDEX(Properties!A$1:CB$87,Formula!D101,12)&lt;&gt;"",INDEX(Properties!A$1:CB$87,Formula!D101,12)),IF(INDEX(Properties!A$1:CB$87,Formula!F101,12)&lt;&gt;"",INDEX(Properties!A$1:CB$87,Formula!F101,12)),IF(INDEX(Properties!A$1:CB$87,Formula!H101,12)&lt;&gt;"",INDEX(Properties!A$1:CB$87,Formula!H101,12)),IF(INDEX(Properties!A$1:CB$87,Formula!J101,12)&lt;&gt;"",INDEX(Properties!A$1:CB$87,Formula!J101,12)))</f>
        <v>2.56</v>
      </c>
      <c r="AU101" s="78">
        <f>MAX(INDEX(Properties!A$1:CB$87,Formula!B101,12),INDEX(Properties!A$1:CB$87,Formula!D101,12),INDEX(Properties!A$1:CB$87,Formula!F101,12),INDEX(Properties!A$1:CB$87,Formula!H101,12),INDEX(Properties!A$1:CB$87,Formula!J101,12))</f>
        <v>4</v>
      </c>
      <c r="AV101" s="78">
        <f>MIN(IF(Formula!B101=87,10^6,INDEX(Properties!A$1:CB$87,Formula!B101,12)),IF((Formula!D101)=87,10^6,INDEX(Properties!A$1:CB$87,Formula!D101,12)),IF((Formula!F101)=87,10^6,INDEX(Properties!A$1:CB$87,Formula!F101,12)),IF((Formula!H101)=87,10^6,INDEX(Properties!A$1:CB$87,Formula!H101,12)),IF(Formula!J101=87,10^6,INDEX(Properties!A$1:CB$87,Formula!J101,12)))</f>
        <v>0</v>
      </c>
      <c r="AW101" s="78">
        <f t="shared" si="39"/>
        <v>4</v>
      </c>
      <c r="AX101" s="45">
        <f>((Formula!C101)/(Formula!C101+Formula!E101+Formula!G101+Formula!I101+Formula!K101))*(INDEX(Properties!A$1:CB$87,Formula!B101,13))+((Formula!E101)/(Formula!C101+Formula!E101+Formula!G101+Formula!I101+Formula!K101))*(INDEX(Properties!A$1:CB$87,Formula!D101,13))+((Formula!G101)/(Formula!C101+Formula!E101+Formula!G101+Formula!I101+Formula!K101))*(INDEX(Properties!A$1:CB$87,Formula!F101,13))+((Formula!I101)/(Formula!C101+Formula!E101+Formula!G101+Formula!I101+Formula!K101))*(INDEX(Properties!A$1:CB$87,Formula!H101,13))+((Formula!K101)/(Formula!C101+Formula!E101+Formula!G101+Formula!I101+Formula!K101))*(INDEX(Properties!A$1:CB$87,Formula!J101,13))</f>
        <v>0.83333333333333326</v>
      </c>
      <c r="AY101" s="45">
        <f>Formula!C101*(INDEX(Properties!A$1:CB$87,Formula!B101,13))+Formula!E101*(INDEX(Properties!A$1:CB$87,Formula!D101,13))+Formula!G101*(INDEX(Properties!A$1:CB$87,Formula!F101,13))+Formula!I101*(INDEX(Properties!A$1:CB$87,Formula!H101,13))+Formula!K101*(INDEX(Properties!A$1:CB$87,Formula!J101,13))</f>
        <v>10</v>
      </c>
      <c r="AZ101" s="45">
        <f>VARP(IF(INDEX(Properties!A$1:CB$87,Formula!B101,13)&lt;&gt;"",INDEX(Properties!A$1:CB$87,Formula!B101,13)),IF(INDEX(Properties!A$1:CB$87,Formula!D101,13)&lt;&gt;"",INDEX(Properties!A$1:CB$87,Formula!D101,13)),IF(INDEX(Properties!A$1:CB$87,Formula!F101,13)&lt;&gt;"",INDEX(Properties!A$1:CB$87,Formula!F101,13)),IF(INDEX(Properties!A$1:CB$87,Formula!H101,13)&lt;&gt;"",INDEX(Properties!A$1:CB$87,Formula!H101,13)),IF(INDEX(Properties!A$1:CB$87,Formula!J101,13)&lt;&gt;"",INDEX(Properties!A$1:CB$87,Formula!J101,13)))</f>
        <v>16</v>
      </c>
      <c r="BA101" s="45">
        <f>MAX(INDEX(Properties!A$1:CB$87,Formula!B101,13),INDEX(Properties!A$1:CB$87,Formula!D101,13),INDEX(Properties!A$1:CB$87,Formula!F101,13),INDEX(Properties!A$1:CB$87,Formula!H101,13),INDEX(Properties!A$1:CB$87,Formula!J101,13))</f>
        <v>10</v>
      </c>
      <c r="BB101" s="45">
        <f>MIN(IF(Formula!B101=87,10^6,INDEX(Properties!A$1:CB$87,Formula!B101,13)),IF((Formula!D101)=87,10^6,INDEX(Properties!A$1:CB$87,Formula!D101,13)),IF((Formula!F101)=87,10^6,INDEX(Properties!A$1:CB$87,Formula!F101,13)),IF((Formula!H101)=87,10^6,INDEX(Properties!A$1:CB$87,Formula!H101,13)),IF(Formula!J101=87,10^6,INDEX(Properties!A$1:CB$87,Formula!J101,13)))</f>
        <v>0</v>
      </c>
      <c r="BC101" s="45">
        <f t="shared" si="40"/>
        <v>10</v>
      </c>
      <c r="BD101" s="63">
        <f>((Formula!C101)/(Formula!C101+Formula!E101+Formula!G101+Formula!I101+Formula!K101))*(INDEX(Properties!A$1:CB$87,Formula!B101,14))+((Formula!E101)/(Formula!C101+Formula!E101+Formula!G101+Formula!I101+Formula!K101))*(INDEX(Properties!A$1:CB$87,Formula!D101,14))+((Formula!G101)/(Formula!C101+Formula!E101+Formula!G101+Formula!I101+Formula!K101))*(INDEX(Properties!A$1:CB$87,Formula!F101,14))+((Formula!I101)/(Formula!C101+Formula!E101+Formula!G101+Formula!I101+Formula!K101))*(INDEX(Properties!A$1:CB$87,Formula!H101,14))+((Formula!K101)/(Formula!C101+Formula!E101+Formula!G101+Formula!I101+Formula!K101))*(INDEX(Properties!A$1:CB$87,Formula!J101,14))</f>
        <v>0</v>
      </c>
      <c r="BE101" s="63">
        <f>Formula!C101*(INDEX(Properties!A$1:CB$87,Formula!B101,14))+Formula!E101*(INDEX(Properties!A$1:CB$87,Formula!D101,14))+Formula!G101*(INDEX(Properties!A$1:CB$87,Formula!F101,14))+Formula!I101*(INDEX(Properties!A$1:CB$87,Formula!H101,14))+Formula!K101*(INDEX(Properties!A$1:CB$87,Formula!J101,14))</f>
        <v>0</v>
      </c>
      <c r="BF101" s="63">
        <f>VARP(IF(INDEX(Properties!A$1:CB$87,Formula!B101,14)&lt;&gt;"",INDEX(Properties!A$1:CB$87,Formula!B101,14)),IF(INDEX(Properties!A$1:CB$87,Formula!D101,14)&lt;&gt;"",INDEX(Properties!A$1:CB$87,Formula!D101,14)),IF(INDEX(Properties!A$1:CB$87,Formula!F101,14)&lt;&gt;"",INDEX(Properties!A$1:CB$87,Formula!F101,14)),IF(INDEX(Properties!A$1:CB$87,Formula!H101,14)&lt;&gt;"",INDEX(Properties!A$1:CB$87,Formula!H101,14)),IF(INDEX(Properties!A$1:CB$87,Formula!J101,14)&lt;&gt;"",INDEX(Properties!A$1:CB$87,Formula!J101,14)))</f>
        <v>0</v>
      </c>
      <c r="BG101" s="63">
        <f>MAX(INDEX(Properties!A$1:CB$87,Formula!B101,14),INDEX(Properties!A$1:CB$87,Formula!D101,14),INDEX(Properties!A$1:CB$87,Formula!F101,14),INDEX(Properties!A$1:CB$87,Formula!H101,14),INDEX(Properties!A$1:CB$87,Formula!J101,14))</f>
        <v>0</v>
      </c>
      <c r="BH101" s="63">
        <f>MIN(IF(Formula!B101=87,10^6,INDEX(Properties!A$1:CB$87,Formula!B101,14)),IF((Formula!D101)=87,10^6,INDEX(Properties!A$1:CB$87,Formula!D101,14)),IF((Formula!F101)=87,10^6,INDEX(Properties!A$1:CB$87,Formula!F101,14)),IF((Formula!H101)=87,10^6,INDEX(Properties!A$1:CB$87,Formula!H101,14)),IF(Formula!J101=87,10^6,INDEX(Properties!A$1:CB$87,Formula!J101,14)))</f>
        <v>0</v>
      </c>
      <c r="BI101" s="63">
        <f t="shared" si="41"/>
        <v>0</v>
      </c>
      <c r="BJ101" s="75">
        <f>((Formula!C101)/(Formula!C101+Formula!E101+Formula!G101+Formula!I101+Formula!K101))*(INDEX(Properties!A$1:CB$87,Formula!B101,19))+((Formula!E101)/(Formula!C101+Formula!E101+Formula!G101+Formula!I101+Formula!K101))*(INDEX(Properties!A$1:CB$87,Formula!D101,19))+((Formula!G101)/(Formula!C101+Formula!E101+Formula!G101+Formula!I101+Formula!K101))*(INDEX(Properties!A$1:CB$87,Formula!F101,19))+((Formula!I101)/(Formula!C101+Formula!E101+Formula!G101+Formula!I101+Formula!K101))*(INDEX(Properties!A$1:CB$87,Formula!H101,19))+((Formula!K101)/(Formula!C101+Formula!E101+Formula!G101+Formula!I101+Formula!K101))*(INDEX(Properties!A$1:CB$87,Formula!J101,19))</f>
        <v>6.1666666666666661</v>
      </c>
      <c r="BK101" s="75">
        <f>Formula!C101*(INDEX(Properties!A$1:CB$87,Formula!B101,19))+Formula!E101*(INDEX(Properties!A$1:CB$87,Formula!D101,19))+Formula!G101*(INDEX(Properties!A$1:CB$87,Formula!F101,19))+Formula!I101*(INDEX(Properties!A$1:CB$87,Formula!H101,19))+Formula!K101*(INDEX(Properties!A$1:CB$87,Formula!J101,19))</f>
        <v>74</v>
      </c>
      <c r="BL101" s="75">
        <f>VARP(IF(INDEX(Properties!A$1:CB$87,Formula!B101,19)&lt;&gt;"",INDEX(Properties!A$1:CB$87,Formula!B101,19)),IF(INDEX(Properties!A$1:CB$87,Formula!D101,19)&lt;&gt;"",INDEX(Properties!A$1:CB$87,Formula!D101,19)),IF(INDEX(Properties!A$1:CB$87,Formula!F101,19)&lt;&gt;"",INDEX(Properties!A$1:CB$87,Formula!F101,19)),IF(INDEX(Properties!A$1:CB$87,Formula!H101,19)&lt;&gt;"",INDEX(Properties!A$1:CB$87,Formula!H101,19)),IF(INDEX(Properties!A$1:CB$87,Formula!J101,19)&lt;&gt;"",INDEX(Properties!A$1:CB$87,Formula!J101,19)))</f>
        <v>23.04</v>
      </c>
      <c r="BM101" s="75">
        <f>MAX(INDEX(Properties!A$1:CB$87,Formula!B101,19),INDEX(Properties!A$1:CB$87,Formula!D101,19),INDEX(Properties!A$1:CB$87,Formula!F101,19),INDEX(Properties!A$1:CB$87,Formula!H101,19),INDEX(Properties!A$1:CB$87,Formula!J101,19))</f>
        <v>14</v>
      </c>
      <c r="BN101" s="75">
        <f>MIN(IF(INDEX(Properties!A$1:CB$87,Formula!B101,19)=0,10^6,INDEX(Properties!A$1:CB$87,Formula!B101,19)),IF(INDEX(Properties!A$1:CB$87,Formula!D101,19)=0,10^6,INDEX(Properties!A$1:CB$87,Formula!D101,19)),IF(INDEX(Properties!A$1:CB$87,Formula!F101,19)=0,10^6,INDEX(Properties!A$1:CB$87,Formula!F101,19)),IF(INDEX(Properties!A$1:CB$87,Formula!H101,19)=0,10^6,INDEX(Properties!A$1:CB$87,Formula!H101,19)),IF(INDEX(Properties!A$1:CB$87,Formula!J101,19)=0,10^6,INDEX(Properties!A$1:CB$87,Formula!J101,19)))</f>
        <v>2</v>
      </c>
      <c r="BO101" s="75">
        <f t="shared" si="42"/>
        <v>12</v>
      </c>
      <c r="BP101" s="48">
        <f>((Formula!C101)/(Formula!C101+Formula!E101+Formula!G101+Formula!I101+Formula!K101))*(INDEX(Properties!A$1:CB$87,Formula!B101,20))+((Formula!E101)/(Formula!C101+Formula!E101+Formula!G101+Formula!I101+Formula!K101))*(INDEX(Properties!A$1:CB$87,Formula!D101,20))+((Formula!G101)/(Formula!C101+Formula!E101+Formula!G101+Formula!I101+Formula!K101))*(INDEX(Properties!A$1:CB$87,Formula!F101,20))+((Formula!I101)/(Formula!C101+Formula!E101+Formula!G101+Formula!I101+Formula!K101))*(INDEX(Properties!A$1:CB$87,Formula!H101,20))+((Formula!K101)/(Formula!C101+Formula!E101+Formula!G101+Formula!I101+Formula!K101))*(INDEX(Properties!A$1:CB$87,Formula!J101,20))</f>
        <v>5.333333333333333</v>
      </c>
      <c r="BQ101" s="48">
        <f>Formula!C101*(INDEX(Properties!A$1:CB$87,Formula!B101,20))+Formula!E101*(INDEX(Properties!A$1:CB$87,Formula!D101,20))+Formula!G101*(INDEX(Properties!A$1:CB$87,Formula!F101,20))+Formula!I101*(INDEX(Properties!A$1:CB$87,Formula!H101,20))+Formula!K101*(INDEX(Properties!A$1:CB$87,Formula!J101,20))</f>
        <v>64</v>
      </c>
      <c r="BR101" s="48">
        <f>VARP(IF(INDEX(Properties!A$1:CB$87,Formula!B101,20)&lt;&gt;"",INDEX(Properties!A$1:CB$87,Formula!B101,20)),IF(INDEX(Properties!A$1:CB$87,Formula!D101,20)&lt;&gt;"",INDEX(Properties!A$1:CB$87,Formula!D101,20)),IF(INDEX(Properties!A$1:CB$87,Formula!F101,20)&lt;&gt;"",INDEX(Properties!A$1:CB$87,Formula!F101,20)),IF(INDEX(Properties!A$1:CB$87,Formula!H101,20)&lt;&gt;"",INDEX(Properties!A$1:CB$87,Formula!H101,20)),IF(INDEX(Properties!A$1:CB$87,Formula!J101,20)&lt;&gt;"",INDEX(Properties!A$1:CB$87,Formula!J101,20)))</f>
        <v>4.6399999999999997</v>
      </c>
      <c r="BS101" s="48">
        <f>MAX(INDEX(Properties!A$1:CB$87,Formula!B101,20),INDEX(Properties!A$1:CB$87,Formula!D101,20),INDEX(Properties!A$1:CB$87,Formula!F101,20),INDEX(Properties!A$1:CB$87,Formula!H101,20),INDEX(Properties!A$1:CB$87,Formula!J101,20))</f>
        <v>6</v>
      </c>
      <c r="BT101" s="48">
        <f>MIN(IF(INDEX(Properties!A$1:CB$87,Formula!B101,20)=0,10^6,INDEX(Properties!A$1:CB$87,Formula!B101,20)),IF(INDEX(Properties!A$1:CB$87,Formula!D101,20)=0,10^6,INDEX(Properties!A$1:CB$87,Formula!D101,20)),IF(INDEX(Properties!A$1:CB$87,Formula!F101,20)=0,10^6,INDEX(Properties!A$1:CB$87,Formula!F101,20)),IF(INDEX(Properties!A$1:CB$87,Formula!H101,20)=0,10^6,INDEX(Properties!A$1:CB$87,Formula!H101,20)),IF(INDEX(Properties!A$1:CB$87,Formula!J101,20)=0,10^6,INDEX(Properties!A$1:CB$87,Formula!J101,20)))</f>
        <v>2</v>
      </c>
      <c r="BU101" s="48">
        <f t="shared" si="43"/>
        <v>4</v>
      </c>
      <c r="BV101" s="66">
        <f>((Formula!C101)/(Formula!C101+Formula!E101+Formula!G101+Formula!I101+Formula!K101))*(INDEX(Properties!A$1:CB$87,Formula!B101,21))+((Formula!E101)/(Formula!C101+Formula!E101+Formula!G101+Formula!I101+Formula!K101))*(INDEX(Properties!A$1:CB$87,Formula!D101,21))+((Formula!G101)/(Formula!C101+Formula!E101+Formula!G101+Formula!I101+Formula!K101))*(INDEX(Properties!A$1:CB$87,Formula!F101,21))+((Formula!I101)/(Formula!C101+Formula!E101+Formula!G101+Formula!I101+Formula!K101))*(INDEX(Properties!A$1:CB$87,Formula!H101,21))+((Formula!K101)/(Formula!C101+Formula!E101+Formula!G101+Formula!I101+Formula!K101))*(INDEX(Properties!A$1:CB$87,Formula!J101,21))</f>
        <v>5.333333333333333</v>
      </c>
      <c r="BW101" s="66">
        <f>Formula!C101*(INDEX(Properties!A$1:CB$87,Formula!B101,21))+Formula!E101*(INDEX(Properties!A$1:CB$87,Formula!D101,21))+Formula!G101*(INDEX(Properties!A$1:CB$87,Formula!F101,21))+Formula!I101*(INDEX(Properties!A$1:CB$87,Formula!H101,21))+Formula!K101*(INDEX(Properties!A$1:CB$87,Formula!J101,21))</f>
        <v>64</v>
      </c>
      <c r="BX101" s="66">
        <f>VARP(IF(INDEX(Properties!A$1:CB$87,Formula!B101,21)&lt;&gt;"",INDEX(Properties!A$1:CB$87,Formula!B101,21)),IF(INDEX(Properties!A$1:CB$87,Formula!D101,21)&lt;&gt;"",INDEX(Properties!A$1:CB$87,Formula!D101,21)),IF(INDEX(Properties!A$1:CB$87,Formula!F101,21)&lt;&gt;"",INDEX(Properties!A$1:CB$87,Formula!F101,21)),IF(INDEX(Properties!A$1:CB$87,Formula!H101,21)&lt;&gt;"",INDEX(Properties!A$1:CB$87,Formula!H101,21)),IF(INDEX(Properties!A$1:CB$87,Formula!J101,21)&lt;&gt;"",INDEX(Properties!A$1:CB$87,Formula!J101,21)))</f>
        <v>4.6399999999999997</v>
      </c>
      <c r="BY101" s="66">
        <f>MAX(INDEX(Properties!A$1:CB$87,Formula!B101,21),INDEX(Properties!A$1:CB$87,Formula!D101,21),INDEX(Properties!A$1:CB$87,Formula!F101,21),INDEX(Properties!A$1:CB$87,Formula!H101,21),INDEX(Properties!A$1:CB$87,Formula!J101,21))</f>
        <v>6</v>
      </c>
      <c r="BZ101" s="66">
        <f>MIN(IF(INDEX(Properties!A$1:CB$87,Formula!B101,21)=0,10^6,INDEX(Properties!A$1:CB$87,Formula!B101,21)),IF(INDEX(Properties!A$1:CB$87,Formula!D101,21)=0,10^6,INDEX(Properties!A$1:CB$87,Formula!D101,21)),IF(INDEX(Properties!A$1:CB$87,Formula!F101,21)=0,10^6,INDEX(Properties!A$1:CB$87,Formula!F101,21)),IF(INDEX(Properties!A$1:CB$87,Formula!H101,21)=0,10^6,INDEX(Properties!A$1:CB$87,Formula!H101,21)),IF(INDEX(Properties!A$1:CB$87,Formula!J101,21)=0,10^6,INDEX(Properties!A$1:CB$87,Formula!J101,21)))</f>
        <v>2</v>
      </c>
      <c r="CA101" s="66">
        <f t="shared" si="44"/>
        <v>4</v>
      </c>
      <c r="CB101" s="81">
        <f>((Formula!C101)/(Formula!C101+Formula!E101+Formula!G101+Formula!I101+Formula!K101))*(INDEX(Properties!A$1:CB$87,Formula!B101,23))+((Formula!E101)/(Formula!C101+Formula!E101+Formula!G101+Formula!I101+Formula!K101))*(INDEX(Properties!A$1:CB$87,Formula!D101,23))+((Formula!G101)/(Formula!C101+Formula!E101+Formula!G101+Formula!I101+Formula!K101))*(INDEX(Properties!A$1:CB$87,Formula!F101,23))+((Formula!I101)/(Formula!C101+Formula!E101+Formula!G101+Formula!I101+Formula!K101))*(INDEX(Properties!A$1:CB$87,Formula!H101,23))+((Formula!K101)/(Formula!C101+Formula!E101+Formula!G101+Formula!I101+Formula!K101))*(INDEX(Properties!A$1:CB$87,Formula!J101,23))</f>
        <v>1</v>
      </c>
      <c r="CC101" s="81">
        <f>Formula!C101*(INDEX(Properties!A$1:CB$87,Formula!B101,23))+Formula!E101*(INDEX(Properties!A$1:CB$87,Formula!D101,23))+Formula!G101*(INDEX(Properties!A$1:CB$87,Formula!F101,23))+Formula!I101*(INDEX(Properties!A$1:CB$87,Formula!H101,23))+Formula!K101*(INDEX(Properties!A$1:CB$87,Formula!J101,23))</f>
        <v>12</v>
      </c>
      <c r="CD101" s="81">
        <f>VARP(IF(INDEX(Properties!A$1:CB$87,Formula!B101,23)&lt;&gt;"",INDEX(Properties!A$1:CB$87,Formula!B101,23)),IF(INDEX(Properties!A$1:CB$87,Formula!D101,23)&lt;&gt;"",INDEX(Properties!A$1:CB$87,Formula!D101,23)),IF(INDEX(Properties!A$1:CB$87,Formula!F101,23)&lt;&gt;"",INDEX(Properties!A$1:CB$87,Formula!F101,23)),IF(INDEX(Properties!A$1:CB$87,Formula!H101,23)&lt;&gt;"",INDEX(Properties!A$1:CB$87,Formula!H101,23)),IF(INDEX(Properties!A$1:CB$87,Formula!J101,23)&lt;&gt;"",INDEX(Properties!A$1:CB$87,Formula!J101,23)))</f>
        <v>2.56</v>
      </c>
      <c r="CE101" s="81">
        <f>MAX(INDEX(Properties!A$1:CB$87,Formula!B101,23),INDEX(Properties!A$1:CB$87,Formula!D101,23),INDEX(Properties!A$1:CB$87,Formula!F101,23),INDEX(Properties!A$1:CB$87,Formula!H101,23),INDEX(Properties!A$1:CB$87,Formula!J101,23))</f>
        <v>4</v>
      </c>
      <c r="CF101" s="81">
        <f>MIN(IF(Formula!B101=87,10^6,INDEX(Properties!A$1:CB$87,Formula!B101,23)),IF((Formula!D101)=87,10^6,INDEX(Properties!A$1:CB$87,Formula!D101,23)),IF((Formula!F101)=87,10^6,INDEX(Properties!A$1:CB$87,Formula!F101,23)),IF((Formula!H101)=87,10^6,INDEX(Properties!A$1:CB$87,Formula!H101,23)),IF(Formula!J101=87,10^6,INDEX(Properties!A$1:CB$87,Formula!J101,23)))</f>
        <v>0</v>
      </c>
      <c r="CG101" s="81">
        <f t="shared" si="45"/>
        <v>4</v>
      </c>
      <c r="CH101" s="39">
        <f>((Formula!C101)/(Formula!C101+Formula!E101+Formula!G101+Formula!I101+Formula!K101))*(INDEX(Properties!A$1:CB$87,Formula!B101,26))+((Formula!E101)/(Formula!C101+Formula!E101+Formula!G101+Formula!I101+Formula!K101))*(INDEX(Properties!A$1:CB$87,Formula!D101,26))+((Formula!G101)/(Formula!C101+Formula!E101+Formula!G101+Formula!I101+Formula!K101))*(INDEX(Properties!A$1:CB$87,Formula!F101,26))+((Formula!I101)/(Formula!C101+Formula!E101+Formula!G101+Formula!I101+Formula!K101))*(INDEX(Properties!A$1:CB$87,Formula!H101,26))+((Formula!K101)/(Formula!C101+Formula!E101+Formula!G101+Formula!I101+Formula!K101))*(INDEX(Properties!A$1:CB$87,Formula!J101,26))</f>
        <v>11.959374999999998</v>
      </c>
      <c r="CI101" s="39">
        <f>Formula!C101*(INDEX(Properties!A$1:CB$87,Formula!B101,26))+Formula!E101*(INDEX(Properties!A$1:CB$87,Formula!D101,26))+Formula!G101*(INDEX(Properties!A$1:CB$87,Formula!F101,26))+Formula!I101*(INDEX(Properties!A$1:CB$87,Formula!H101,26))+Formula!K101*(INDEX(Properties!A$1:CB$87,Formula!J101,26))</f>
        <v>143.51249999999999</v>
      </c>
      <c r="CJ101" s="39">
        <f>VARP(IF(INDEX(Properties!A$1:CB$87,Formula!B101,26)&lt;&gt;"",INDEX(Properties!A$1:CB$87,Formula!B101,26)),IF(INDEX(Properties!A$1:CB$87,Formula!D101,26)&lt;&gt;"",INDEX(Properties!A$1:CB$87,Formula!D101,26)),IF(INDEX(Properties!A$1:CB$87,Formula!F101,26)&lt;&gt;"",INDEX(Properties!A$1:CB$87,Formula!F101,26)),IF(INDEX(Properties!A$1:CB$87,Formula!H101,26)&lt;&gt;"",INDEX(Properties!A$1:CB$87,Formula!H101,26)),IF(INDEX(Properties!A$1:CB$87,Formula!J101,26)&lt;&gt;"",INDEX(Properties!A$1:CB$87,Formula!J101,26)))</f>
        <v>21.202300541600007</v>
      </c>
      <c r="CK101" s="39">
        <f>MAX(INDEX(Properties!A$1:CB$87,Formula!B101,26),INDEX(Properties!A$1:CB$87,Formula!D101,26),INDEX(Properties!A$1:CB$87,Formula!F101,26),INDEX(Properties!A$1:CB$87,Formula!H101,26),INDEX(Properties!A$1:CB$87,Formula!J101,26))</f>
        <v>13.6181</v>
      </c>
      <c r="CL101" s="39">
        <f>MIN(IF(INDEX(Properties!A$1:CB$87,Formula!B101,26)=0,10^6,INDEX(Properties!A$1:CB$87,Formula!B101,26)),IF(INDEX(Properties!A$1:CB$87,Formula!D101,26)=0,10^6,INDEX(Properties!A$1:CB$87,Formula!D101,26)),IF(INDEX(Properties!A$1:CB$87,Formula!F101,26)=0,10^6,INDEX(Properties!A$1:CB$87,Formula!F101,26)),IF(INDEX(Properties!A$1:CB$87,Formula!H101,26)=0,10^6,INDEX(Properties!A$1:CB$87,Formula!H101,26)),IF(INDEX(Properties!A$1:CB$87,Formula!J101,26)=0,10^6,INDEX(Properties!A$1:CB$87,Formula!J101,26)))</f>
        <v>5.6948999999999996</v>
      </c>
      <c r="CM101" s="39">
        <f t="shared" si="46"/>
        <v>7.9232000000000005</v>
      </c>
      <c r="CN101" s="54">
        <f>((Formula!C101)/(Formula!C101+Formula!E101+Formula!G101+Formula!I101+Formula!K101))*(INDEX(Properties!A$1:CB$87,Formula!B101,30))+((Formula!E101)/(Formula!C101+Formula!E101+Formula!G101+Formula!I101+Formula!K101))*(INDEX(Properties!A$1:CB$87,Formula!D101,30))+((Formula!G101)/(Formula!C101+Formula!E101+Formula!G101+Formula!I101+Formula!K101))*(INDEX(Properties!A$1:CB$87,Formula!F101,30))+((Formula!I101)/(Formula!C101+Formula!E101+Formula!G101+Formula!I101+Formula!K101))*(INDEX(Properties!A$1:CB$87,Formula!H101,30))+((Formula!K101)/(Formula!C101+Formula!E101+Formula!G101+Formula!I101+Formula!K101))*(INDEX(Properties!A$1:CB$87,Formula!J101,30))</f>
        <v>2.9049999999999994</v>
      </c>
      <c r="CO101" s="54">
        <f>Formula!C101*(INDEX(Properties!A$1:CB$87,Formula!B101,30))+Formula!E101*(INDEX(Properties!A$1:CB$87,Formula!D101,30))+Formula!G101*(INDEX(Properties!A$1:CB$87,Formula!F101,30))+Formula!I101*(INDEX(Properties!A$1:CB$87,Formula!H101,30))+Formula!K101*(INDEX(Properties!A$1:CB$87,Formula!J101,30))</f>
        <v>34.86</v>
      </c>
      <c r="CP101" s="54">
        <f>VARP(IF(INDEX(Properties!A$1:CB$87,Formula!B101,30)&lt;&gt;"",INDEX(Properties!A$1:CB$87,Formula!B101,30)),IF(INDEX(Properties!A$1:CB$87,Formula!D101,30)&lt;&gt;"",INDEX(Properties!A$1:CB$87,Formula!D101,30)),IF(INDEX(Properties!A$1:CB$87,Formula!F101,30)&lt;&gt;"",INDEX(Properties!A$1:CB$87,Formula!F101,30)),IF(INDEX(Properties!A$1:CB$87,Formula!H101,30)&lt;&gt;"",INDEX(Properties!A$1:CB$87,Formula!H101,30)),IF(INDEX(Properties!A$1:CB$87,Formula!J101,30)&lt;&gt;"",INDEX(Properties!A$1:CB$87,Formula!J101,30)))</f>
        <v>1.3629359999999997</v>
      </c>
      <c r="CQ101" s="54">
        <f>MAX(INDEX(Properties!A$1:CB$87,Formula!B101,30),INDEX(Properties!A$1:CB$87,Formula!D101,30),INDEX(Properties!A$1:CB$87,Formula!F101,30),INDEX(Properties!A$1:CB$87,Formula!H101,30),INDEX(Properties!A$1:CB$87,Formula!J101,30))</f>
        <v>3.44</v>
      </c>
      <c r="CR101" s="54">
        <f>MIN(IF(INDEX(Properties!A$1:CB$87,Formula!B101,30)=0,10^6,INDEX(Properties!A$1:CB$87,Formula!B101,30)),IF(INDEX(Properties!A$1:CB$87,Formula!D101,30)=0,10^6,INDEX(Properties!A$1:CB$87,Formula!D101,30)),IF(INDEX(Properties!A$1:CB$87,Formula!F101,30)=0,10^6,INDEX(Properties!A$1:CB$87,Formula!F101,30)),IF(INDEX(Properties!A$1:CB$87,Formula!H101,30)=0,10^6,INDEX(Properties!A$1:CB$87,Formula!H101,30)),IF(INDEX(Properties!A$1:CB$87,Formula!J101,30)=0,10^6,INDEX(Properties!A$1:CB$87,Formula!J101,30)))</f>
        <v>0.95</v>
      </c>
      <c r="CS101" s="54">
        <f t="shared" si="47"/>
        <v>2.4900000000000002</v>
      </c>
      <c r="CT101" s="69">
        <f>((Formula!C101)/(Formula!C101+Formula!E101+Formula!G101+Formula!I101+Formula!K101))*(INDEX(Properties!A$1:CB$87,Formula!B101,31))+((Formula!E101)/(Formula!C101+Formula!E101+Formula!G101+Formula!I101+Formula!K101))*(INDEX(Properties!A$1:CB$87,Formula!D101,31))+((Formula!G101)/(Formula!C101+Formula!E101+Formula!G101+Formula!I101+Formula!K101))*(INDEX(Properties!A$1:CB$87,Formula!F101,31))+((Formula!I101)/(Formula!C101+Formula!E101+Formula!G101+Formula!I101+Formula!K101))*(INDEX(Properties!A$1:CB$87,Formula!H101,31))+((Formula!K101)/(Formula!C101+Formula!E101+Formula!G101+Formula!I101+Formula!K101))*(INDEX(Properties!A$1:CB$87,Formula!J101,31))</f>
        <v>2.8599999999999994</v>
      </c>
      <c r="CU101" s="69">
        <f>Formula!C101*(INDEX(Properties!A$1:CB$87,Formula!B101,31))+Formula!E101*(INDEX(Properties!A$1:CB$87,Formula!D101,31))+Formula!G101*(INDEX(Properties!A$1:CB$87,Formula!F101,31))+Formula!I101*(INDEX(Properties!A$1:CB$87,Formula!H101,31))+Formula!K101*(INDEX(Properties!A$1:CB$87,Formula!J101,31))</f>
        <v>34.32</v>
      </c>
      <c r="CV101" s="69">
        <f>VARP(IF(INDEX(Properties!A$1:CB$87,Formula!B101,31)&lt;&gt;"",INDEX(Properties!A$1:CB$87,Formula!B101,31)),IF(INDEX(Properties!A$1:CB$87,Formula!D101,31)&lt;&gt;"",INDEX(Properties!A$1:CB$87,Formula!D101,31)),IF(INDEX(Properties!A$1:CB$87,Formula!F101,31)&lt;&gt;"",INDEX(Properties!A$1:CB$87,Formula!F101,31)),IF(INDEX(Properties!A$1:CB$87,Formula!H101,31)&lt;&gt;"",INDEX(Properties!A$1:CB$87,Formula!H101,31)),IF(INDEX(Properties!A$1:CB$87,Formula!J101,31)&lt;&gt;"",INDEX(Properties!A$1:CB$87,Formula!J101,31)))</f>
        <v>1.2588559999999989</v>
      </c>
      <c r="CW101" s="69">
        <f>MAX(INDEX(Properties!A$1:CB$87,Formula!B101,31),INDEX(Properties!A$1:CB$87,Formula!D101,31),INDEX(Properties!A$1:CB$87,Formula!F101,31),INDEX(Properties!A$1:CB$87,Formula!H101,31),INDEX(Properties!A$1:CB$87,Formula!J101,31))</f>
        <v>3.32</v>
      </c>
      <c r="CX101" s="69">
        <f>MIN(IF(INDEX(Properties!A$1:CB$87,Formula!B101,31)=0,10^6,INDEX(Properties!A$1:CB$87,Formula!B101,31)),IF(INDEX(Properties!A$1:CB$87,Formula!D101,31)=0,10^6,INDEX(Properties!A$1:CB$87,Formula!D101,31)),IF(INDEX(Properties!A$1:CB$87,Formula!F101,31)=0,10^6,INDEX(Properties!A$1:CB$87,Formula!F101,31)),IF(INDEX(Properties!A$1:CB$87,Formula!H101,31)=0,10^6,INDEX(Properties!A$1:CB$87,Formula!H101,31)),IF(INDEX(Properties!A$1:CB$87,Formula!J101,31)=0,10^6,INDEX(Properties!A$1:CB$87,Formula!J101,31)))</f>
        <v>1.1299999999999999</v>
      </c>
      <c r="CY101" s="69">
        <f t="shared" si="48"/>
        <v>2.19</v>
      </c>
      <c r="CZ101" s="42">
        <f>((Formula!C101)/(Formula!C101+Formula!E101+Formula!G101+Formula!I101+Formula!K101))*(INDEX(Properties!A$1:CB$87,Formula!B101,32))+((Formula!E101)/(Formula!C101+Formula!E101+Formula!G101+Formula!I101+Formula!K101))*(INDEX(Properties!A$1:CB$87,Formula!D101,32))+((Formula!G101)/(Formula!C101+Formula!E101+Formula!G101+Formula!I101+Formula!K101))*(INDEX(Properties!A$1:CB$87,Formula!F101,32))+((Formula!I101)/(Formula!C101+Formula!E101+Formula!G101+Formula!I101+Formula!K101))*(INDEX(Properties!A$1:CB$87,Formula!H101,32))+((Formula!K101)/(Formula!C101+Formula!E101+Formula!G101+Formula!I101+Formula!K101))*(INDEX(Properties!A$1:CB$87,Formula!J101,32))</f>
        <v>6.5133333333333328</v>
      </c>
      <c r="DA101" s="42">
        <f>Formula!C101*(INDEX(Properties!A$1:CB$87,Formula!B101,32))+Formula!E101*(INDEX(Properties!A$1:CB$87,Formula!D101,32))+Formula!G101*(INDEX(Properties!A$1:CB$87,Formula!F101,32))+Formula!I101*(INDEX(Properties!A$1:CB$87,Formula!H101,32))+Formula!K101*(INDEX(Properties!A$1:CB$87,Formula!J101,32))</f>
        <v>78.16</v>
      </c>
      <c r="DB101" s="42">
        <f>VARP(IF(INDEX(Properties!A$1:CB$87,Formula!B101,32)&lt;&gt;"",INDEX(Properties!A$1:CB$87,Formula!B101,32)),IF(INDEX(Properties!A$1:CB$87,Formula!D101,32)&lt;&gt;"",INDEX(Properties!A$1:CB$87,Formula!D101,32)),IF(INDEX(Properties!A$1:CB$87,Formula!F101,32)&lt;&gt;"",INDEX(Properties!A$1:CB$87,Formula!F101,32)),IF(INDEX(Properties!A$1:CB$87,Formula!H101,32)&lt;&gt;"",INDEX(Properties!A$1:CB$87,Formula!H101,32)),IF(INDEX(Properties!A$1:CB$87,Formula!J101,32)&lt;&gt;"",INDEX(Properties!A$1:CB$87,Formula!J101,32)))</f>
        <v>7.100896000000005</v>
      </c>
      <c r="DC101" s="42">
        <f>MAX(INDEX(Properties!A$1:CB$87,Formula!B101,32),INDEX(Properties!A$1:CB$87,Formula!D101,32),INDEX(Properties!A$1:CB$87,Formula!F101,32),INDEX(Properties!A$1:CB$87,Formula!H101,32),INDEX(Properties!A$1:CB$87,Formula!J101,32))</f>
        <v>7.54</v>
      </c>
      <c r="DD101" s="42">
        <f>MIN(IF(INDEX(Properties!A$1:CB$87,Formula!B101,32)=0,10^6,INDEX(Properties!A$1:CB$87,Formula!B101,32)),IF(INDEX(Properties!A$1:CB$87,Formula!D101,32)=0,10^6,INDEX(Properties!A$1:CB$87,Formula!D101,32)),IF(INDEX(Properties!A$1:CB$87,Formula!F101,32)=0,10^6,INDEX(Properties!A$1:CB$87,Formula!F101,32)),IF(INDEX(Properties!A$1:CB$87,Formula!H101,32)=0,10^6,INDEX(Properties!A$1:CB$87,Formula!H101,32)),IF(INDEX(Properties!A$1:CB$87,Formula!J101,32)=0,10^6,INDEX(Properties!A$1:CB$87,Formula!J101,32)))</f>
        <v>2</v>
      </c>
      <c r="DE101" s="42">
        <f t="shared" si="49"/>
        <v>5.54</v>
      </c>
      <c r="DF101" s="60">
        <f>((Formula!C101)/(Formula!C101+Formula!E101+Formula!G101+Formula!I101+Formula!K101))*(INDEX(Properties!A$1:CB$87,Formula!B101,34))+((Formula!E101)/(Formula!C101+Formula!E101+Formula!G101+Formula!I101+Formula!K101))*(INDEX(Properties!A$1:CB$87,Formula!D101,34))+((Formula!G101)/(Formula!C101+Formula!E101+Formula!G101+Formula!I101+Formula!K101))*(INDEX(Properties!A$1:CB$87,Formula!F101,34))+((Formula!I101)/(Formula!C101+Formula!E101+Formula!G101+Formula!I101+Formula!K101))*(INDEX(Properties!A$1:CB$87,Formula!H101,34))+((Formula!K101)/(Formula!C101+Formula!E101+Formula!G101+Formula!I101+Formula!K101))*(INDEX(Properties!A$1:CB$87,Formula!J101,34))</f>
        <v>3.0285833333333327</v>
      </c>
      <c r="DG101" s="60">
        <f>Formula!C101*(INDEX(Properties!A$1:CB$87,Formula!B101,34))+Formula!E101*(INDEX(Properties!A$1:CB$87,Formula!D101,34))+Formula!G101*(INDEX(Properties!A$1:CB$87,Formula!F101,34))+Formula!I101*(INDEX(Properties!A$1:CB$87,Formula!H101,34))+Formula!K101*(INDEX(Properties!A$1:CB$87,Formula!J101,34))</f>
        <v>36.342999999999996</v>
      </c>
      <c r="DH101" s="60">
        <f>VARP(IF(INDEX(Properties!A$1:CB$87,Formula!B101,34)&lt;&gt;"",INDEX(Properties!A$1:CB$87,Formula!B101,34)),IF(INDEX(Properties!A$1:CB$87,Formula!D101,34)&lt;&gt;"",INDEX(Properties!A$1:CB$87,Formula!D101,34)),IF(INDEX(Properties!A$1:CB$87,Formula!F101,34)&lt;&gt;"",INDEX(Properties!A$1:CB$87,Formula!F101,34)),IF(INDEX(Properties!A$1:CB$87,Formula!H101,34)&lt;&gt;"",INDEX(Properties!A$1:CB$87,Formula!H101,34)),IF(INDEX(Properties!A$1:CB$87,Formula!J101,34)&lt;&gt;"",INDEX(Properties!A$1:CB$87,Formula!J101,34)))</f>
        <v>1.4906068000000006</v>
      </c>
      <c r="DI101" s="60">
        <f>MAX(INDEX(Properties!A$1:CB$87,Formula!B101,34),INDEX(Properties!A$1:CB$87,Formula!D101,34),INDEX(Properties!A$1:CB$87,Formula!F101,34),INDEX(Properties!A$1:CB$87,Formula!H101,34),INDEX(Properties!A$1:CB$87,Formula!J101,34))</f>
        <v>3.61</v>
      </c>
      <c r="DJ101" s="60">
        <f>MIN(IF(INDEX(Properties!A$1:CB$87,Formula!B101,34)=0,10^6,INDEX(Properties!A$1:CB$87,Formula!B101,34)),IF(INDEX(Properties!A$1:CB$87,Formula!D101,34)=0,10^6,INDEX(Properties!A$1:CB$87,Formula!D101,34)),IF(INDEX(Properties!A$1:CB$87,Formula!F101,34)=0,10^6,INDEX(Properties!A$1:CB$87,Formula!F101,34)),IF(INDEX(Properties!A$1:CB$87,Formula!H101,34)=0,10^6,INDEX(Properties!A$1:CB$87,Formula!H101,34)),IF(INDEX(Properties!A$1:CB$87,Formula!J101,34)=0,10^6,INDEX(Properties!A$1:CB$87,Formula!J101,34)))</f>
        <v>0.96299999999999997</v>
      </c>
      <c r="DK101" s="60">
        <f t="shared" si="50"/>
        <v>2.6469999999999998</v>
      </c>
      <c r="DL101" s="45">
        <f>((Formula!C101)/(Formula!C101+Formula!E101+Formula!G101+Formula!I101+Formula!K101))*(INDEX(Properties!A$1:CB$87,Formula!B101,39))+((Formula!E101)/(Formula!C101+Formula!E101+Formula!G101+Formula!I101+Formula!K101))*(INDEX(Properties!A$1:CB$87,Formula!D101,39))+((Formula!G101)/(Formula!C101+Formula!E101+Formula!G101+Formula!I101+Formula!K101))*(INDEX(Properties!A$1:CB$87,Formula!F101,39))+((Formula!I101)/(Formula!C101+Formula!E101+Formula!G101+Formula!I101+Formula!K101))*(INDEX(Properties!A$1:CB$87,Formula!H101,39))+((Formula!K101)/(Formula!C101+Formula!E101+Formula!G101+Formula!I101+Formula!K101))*(INDEX(Properties!A$1:CB$87,Formula!J101,39))</f>
        <v>0.76999999999999991</v>
      </c>
      <c r="DM101" s="45">
        <f>Formula!C101*(INDEX(Properties!A$1:CB$87,Formula!B101,39))+Formula!E101*(INDEX(Properties!A$1:CB$87,Formula!D101,39))+Formula!G101*(INDEX(Properties!A$1:CB$87,Formula!F101,39))+Formula!I101*(INDEX(Properties!A$1:CB$87,Formula!H101,39))+Formula!K101*(INDEX(Properties!A$1:CB$87,Formula!J101,39))</f>
        <v>9.24</v>
      </c>
      <c r="DN101" s="45">
        <f>VARP(IF(INDEX(Properties!A$1:CB$87,Formula!B101,39)&lt;&gt;"",INDEX(Properties!A$1:CB$87,Formula!B101,39)),IF(INDEX(Properties!A$1:CB$87,Formula!D101,39)&lt;&gt;"",INDEX(Properties!A$1:CB$87,Formula!D101,39)),IF(INDEX(Properties!A$1:CB$87,Formula!F101,39)&lt;&gt;"",INDEX(Properties!A$1:CB$87,Formula!F101,39)),IF(INDEX(Properties!A$1:CB$87,Formula!H101,39)&lt;&gt;"",INDEX(Properties!A$1:CB$87,Formula!H101,39)),IF(INDEX(Properties!A$1:CB$87,Formula!J101,39)&lt;&gt;"",INDEX(Properties!A$1:CB$87,Formula!J101,39)))</f>
        <v>0.54947999999999975</v>
      </c>
      <c r="DO101" s="45">
        <f>MAX(INDEX(Properties!A$1:CB$87,Formula!B101,39),INDEX(Properties!A$1:CB$87,Formula!D101,39),INDEX(Properties!A$1:CB$87,Formula!F101,39),INDEX(Properties!A$1:CB$87,Formula!H101,39),INDEX(Properties!A$1:CB$87,Formula!J101,39))</f>
        <v>2.19</v>
      </c>
      <c r="DP101" s="45">
        <f>MIN(IF(INDEX(Properties!A$1:CB$87,Formula!B101,39)=0,10^6,INDEX(Properties!A$1:CB$87,Formula!B101,39)),IF(INDEX(Properties!A$1:CB$87,Formula!D101,39)=0,10^6,INDEX(Properties!A$1:CB$87,Formula!D101,39)),IF(INDEX(Properties!A$1:CB$87,Formula!F101,39)=0,10^6,INDEX(Properties!A$1:CB$87,Formula!F101,39)),IF(INDEX(Properties!A$1:CB$87,Formula!H101,39)=0,10^6,INDEX(Properties!A$1:CB$87,Formula!H101,39)),IF(INDEX(Properties!A$1:CB$87,Formula!J101,39)=0,10^6,INDEX(Properties!A$1:CB$87,Formula!J101,39)))</f>
        <v>0.48</v>
      </c>
      <c r="DQ101" s="45">
        <f t="shared" si="51"/>
        <v>1.71</v>
      </c>
      <c r="DR101" s="63">
        <f>((Formula!C101)/(Formula!C101+Formula!E101+Formula!G101+Formula!I101+Formula!K101))*(INDEX(Properties!A$1:CB$87,Formula!B101,40))+((Formula!E101)/(Formula!C101+Formula!E101+Formula!G101+Formula!I101+Formula!K101))*(INDEX(Properties!A$1:CB$87,Formula!D101,40))+((Formula!G101)/(Formula!C101+Formula!E101+Formula!G101+Formula!I101+Formula!K101))*(INDEX(Properties!A$1:CB$87,Formula!F101,40))+((Formula!I101)/(Formula!C101+Formula!E101+Formula!G101+Formula!I101+Formula!K101))*(INDEX(Properties!A$1:CB$87,Formula!H101,40))+((Formula!K101)/(Formula!C101+Formula!E101+Formula!G101+Formula!I101+Formula!K101))*(INDEX(Properties!A$1:CB$87,Formula!J101,40))</f>
        <v>0.92499999999999982</v>
      </c>
      <c r="DS101" s="63">
        <f>Formula!C101*(INDEX(Properties!A$1:CB$87,Formula!B101,40))+Formula!E101*(INDEX(Properties!A$1:CB$87,Formula!D101,40))+Formula!G101*(INDEX(Properties!A$1:CB$87,Formula!F101,40))+Formula!I101*(INDEX(Properties!A$1:CB$87,Formula!H101,40))+Formula!K101*(INDEX(Properties!A$1:CB$87,Formula!J101,40))</f>
        <v>11.1</v>
      </c>
      <c r="DT101" s="63">
        <f>VARP(IF(INDEX(Properties!A$1:CB$87,Formula!B101,40)&lt;&gt;"",INDEX(Properties!A$1:CB$87,Formula!B101,40)),IF(INDEX(Properties!A$1:CB$87,Formula!D101,40)&lt;&gt;"",INDEX(Properties!A$1:CB$87,Formula!D101,40)),IF(INDEX(Properties!A$1:CB$87,Formula!F101,40)&lt;&gt;"",INDEX(Properties!A$1:CB$87,Formula!F101,40)),IF(INDEX(Properties!A$1:CB$87,Formula!H101,40)&lt;&gt;"",INDEX(Properties!A$1:CB$87,Formula!H101,40)),IF(INDEX(Properties!A$1:CB$87,Formula!J101,40)&lt;&gt;"",INDEX(Properties!A$1:CB$87,Formula!J101,40)))</f>
        <v>0.39406399999999991</v>
      </c>
      <c r="DU101" s="63">
        <f>MAX(INDEX(Properties!A$1:CB$87,Formula!B101,40),INDEX(Properties!A$1:CB$87,Formula!D101,40),INDEX(Properties!A$1:CB$87,Formula!F101,40),INDEX(Properties!A$1:CB$87,Formula!H101,40),INDEX(Properties!A$1:CB$87,Formula!J101,40))</f>
        <v>1.92</v>
      </c>
      <c r="DV101" s="63">
        <f>MIN(IF(INDEX(Properties!A$1:CB$87,Formula!B101,40)=0,10^6,INDEX(Properties!A$1:CB$87,Formula!B101,40)),IF(INDEX(Properties!A$1:CB$87,Formula!D101,40)=0,10^6,INDEX(Properties!A$1:CB$87,Formula!D101,40)),IF(INDEX(Properties!A$1:CB$87,Formula!F101,40)=0,10^6,INDEX(Properties!A$1:CB$87,Formula!F101,40)),IF(INDEX(Properties!A$1:CB$87,Formula!H101,40)=0,10^6,INDEX(Properties!A$1:CB$87,Formula!H101,40)),IF(INDEX(Properties!A$1:CB$87,Formula!J101,40)=0,10^6,INDEX(Properties!A$1:CB$87,Formula!J101,40)))</f>
        <v>0.73</v>
      </c>
      <c r="DW101" s="63">
        <f t="shared" si="52"/>
        <v>1.19</v>
      </c>
      <c r="DX101" s="75">
        <f>((Formula!C101)/(Formula!C101+Formula!E101+Formula!G101+Formula!I101+Formula!K101))*(INDEX(Properties!A$1:CB$87,Formula!B101,41))+((Formula!E101)/(Formula!C101+Formula!E101+Formula!G101+Formula!I101+Formula!K101))*(INDEX(Properties!A$1:CB$87,Formula!D101,41))+((Formula!G101)/(Formula!C101+Formula!E101+Formula!G101+Formula!I101+Formula!K101))*(INDEX(Properties!A$1:CB$87,Formula!F101,41))+((Formula!I101)/(Formula!C101+Formula!E101+Formula!G101+Formula!I101+Formula!K101))*(INDEX(Properties!A$1:CB$87,Formula!H101,41))+((Formula!K101)/(Formula!C101+Formula!E101+Formula!G101+Formula!I101+Formula!K101))*(INDEX(Properties!A$1:CB$87,Formula!J101,41))</f>
        <v>1.1191666666666666</v>
      </c>
      <c r="DY101" s="75">
        <f>Formula!C101*(INDEX(Properties!A$1:CB$87,Formula!B101,41))+Formula!E101*(INDEX(Properties!A$1:CB$87,Formula!D101,41))+Formula!G101*(INDEX(Properties!A$1:CB$87,Formula!F101,41))+Formula!I101*(INDEX(Properties!A$1:CB$87,Formula!H101,41))+Formula!K101*(INDEX(Properties!A$1:CB$87,Formula!J101,41))</f>
        <v>13.43</v>
      </c>
      <c r="DZ101" s="75">
        <f>VARP(IF(INDEX(Properties!A$1:CB$87,Formula!B101,41)&lt;&gt;"",INDEX(Properties!A$1:CB$87,Formula!B101,41)),IF(INDEX(Properties!A$1:CB$87,Formula!D101,41)&lt;&gt;"",INDEX(Properties!A$1:CB$87,Formula!D101,41)),IF(INDEX(Properties!A$1:CB$87,Formula!F101,41)&lt;&gt;"",INDEX(Properties!A$1:CB$87,Formula!F101,41)),IF(INDEX(Properties!A$1:CB$87,Formula!H101,41)&lt;&gt;"",INDEX(Properties!A$1:CB$87,Formula!H101,41)),IF(INDEX(Properties!A$1:CB$87,Formula!J101,41)&lt;&gt;"",INDEX(Properties!A$1:CB$87,Formula!J101,41)))</f>
        <v>0.23502399999999996</v>
      </c>
      <c r="EA101" s="75">
        <f>MAX(INDEX(Properties!A$1:CB$87,Formula!B101,41),INDEX(Properties!A$1:CB$87,Formula!D101,41),INDEX(Properties!A$1:CB$87,Formula!F101,41),INDEX(Properties!A$1:CB$87,Formula!H101,41),INDEX(Properties!A$1:CB$87,Formula!J101,41))</f>
        <v>1.32</v>
      </c>
      <c r="EB101" s="75">
        <f>MIN(IF(INDEX(Properties!A$1:CB$87,Formula!B101,41)=0,10^6,INDEX(Properties!A$1:CB$87,Formula!B101,41)),IF(INDEX(Properties!A$1:CB$87,Formula!D101,41)=0,10^6,INDEX(Properties!A$1:CB$87,Formula!D101,41)),IF(INDEX(Properties!A$1:CB$87,Formula!F101,41)=0,10^6,INDEX(Properties!A$1:CB$87,Formula!F101,41)),IF(INDEX(Properties!A$1:CB$87,Formula!H101,41)=0,10^6,INDEX(Properties!A$1:CB$87,Formula!H101,41)),IF(INDEX(Properties!A$1:CB$87,Formula!J101,41)=0,10^6,INDEX(Properties!A$1:CB$87,Formula!J101,41)))</f>
        <v>0.57999999999999996</v>
      </c>
      <c r="EC101" s="75">
        <f t="shared" si="53"/>
        <v>0.7400000000000001</v>
      </c>
      <c r="ED101" s="48">
        <f>((Formula!C101)/(Formula!C101+Formula!E101+Formula!G101+Formula!I101+Formula!K101))*(INDEX(Properties!A$1:CB$87,Formula!B101,45))+((Formula!E101)/(Formula!C101+Formula!E101+Formula!G101+Formula!I101+Formula!K101))*(INDEX(Properties!A$1:CB$87,Formula!D101,45))+((Formula!G101)/(Formula!C101+Formula!E101+Formula!G101+Formula!I101+Formula!K101))*(INDEX(Properties!A$1:CB$87,Formula!F101,45))+((Formula!I101)/(Formula!C101+Formula!E101+Formula!G101+Formula!I101+Formula!K101))*(INDEX(Properties!A$1:CB$87,Formula!H101,45))+((Formula!K101)/(Formula!C101+Formula!E101+Formula!G101+Formula!I101+Formula!K101))*(INDEX(Properties!A$1:CB$87,Formula!J101,45))</f>
        <v>0.91749999999999998</v>
      </c>
      <c r="EE101" s="48">
        <f>Formula!C101*(INDEX(Properties!A$1:CB$87,Formula!B101,45))+Formula!E101*(INDEX(Properties!A$1:CB$87,Formula!D101,45))+Formula!G101*(INDEX(Properties!A$1:CB$87,Formula!F101,45))+Formula!I101*(INDEX(Properties!A$1:CB$87,Formula!H101,45))+Formula!K101*(INDEX(Properties!A$1:CB$87,Formula!J101,45))</f>
        <v>11.01</v>
      </c>
      <c r="EF101" s="48">
        <f>VARP(IF(INDEX(Properties!A$1:CB$87,Formula!B101,45)&lt;&gt;"",INDEX(Properties!A$1:CB$87,Formula!B101,45)),IF(INDEX(Properties!A$1:CB$87,Formula!D101,45)&lt;&gt;"",INDEX(Properties!A$1:CB$87,Formula!D101,45)),IF(INDEX(Properties!A$1:CB$87,Formula!F101,45)&lt;&gt;"",INDEX(Properties!A$1:CB$87,Formula!F101,45)),IF(INDEX(Properties!A$1:CB$87,Formula!H101,45)&lt;&gt;"",INDEX(Properties!A$1:CB$87,Formula!H101,45)),IF(INDEX(Properties!A$1:CB$87,Formula!J101,45)&lt;&gt;"",INDEX(Properties!A$1:CB$87,Formula!J101,45)))</f>
        <v>1.219624</v>
      </c>
      <c r="EG101" s="48">
        <f>MAX(INDEX(Properties!A$1:CB$87,Formula!B101,45),INDEX(Properties!A$1:CB$87,Formula!D101,45),INDEX(Properties!A$1:CB$87,Formula!F101,45),INDEX(Properties!A$1:CB$87,Formula!H101,45),INDEX(Properties!A$1:CB$87,Formula!J101,45))</f>
        <v>3.21</v>
      </c>
      <c r="EH101" s="48">
        <f>MIN(IF(INDEX(Properties!A$1:CB$87,Formula!B101,45)=0,10^6,INDEX(Properties!A$1:CB$87,Formula!B101,45)),IF(INDEX(Properties!A$1:CB$87,Formula!D101,45)=0,10^6,INDEX(Properties!A$1:CB$87,Formula!D101,45)),IF(INDEX(Properties!A$1:CB$87,Formula!F101,45)=0,10^6,INDEX(Properties!A$1:CB$87,Formula!F101,45)),IF(INDEX(Properties!A$1:CB$87,Formula!H101,45)=0,10^6,INDEX(Properties!A$1:CB$87,Formula!H101,45)),IF(INDEX(Properties!A$1:CB$87,Formula!J101,45)=0,10^6,INDEX(Properties!A$1:CB$87,Formula!J101,45)))</f>
        <v>0.47</v>
      </c>
      <c r="EI101" s="48">
        <f t="shared" si="54"/>
        <v>2.74</v>
      </c>
      <c r="EJ101" s="66">
        <f>((Formula!C101)/(Formula!C101+Formula!E101+Formula!G101+Formula!I101+Formula!K101))*(INDEX(Properties!A$1:CB$87,Formula!B101,46))+((Formula!E101)/(Formula!C101+Formula!E101+Formula!G101+Formula!I101+Formula!K101))*(INDEX(Properties!A$1:CB$87,Formula!D101,46))+((Formula!G101)/(Formula!C101+Formula!E101+Formula!G101+Formula!I101+Formula!K101))*(INDEX(Properties!A$1:CB$87,Formula!F101,46))+((Formula!I101)/(Formula!C101+Formula!E101+Formula!G101+Formula!I101+Formula!K101))*(INDEX(Properties!A$1:CB$87,Formula!H101,46))+((Formula!K101)/(Formula!C101+Formula!E101+Formula!G101+Formula!I101+Formula!K101))*(INDEX(Properties!A$1:CB$87,Formula!J101,46))</f>
        <v>1.0125</v>
      </c>
      <c r="EK101" s="66">
        <f>Formula!C101*(INDEX(Properties!A$1:CB$87,Formula!B101,46))+Formula!E101*(INDEX(Properties!A$1:CB$87,Formula!D101,46))+Formula!G101*(INDEX(Properties!A$1:CB$87,Formula!F101,46))+Formula!I101*(INDEX(Properties!A$1:CB$87,Formula!H101,46))+Formula!K101*(INDEX(Properties!A$1:CB$87,Formula!J101,46))</f>
        <v>12.15</v>
      </c>
      <c r="EL101" s="66">
        <f>VARP(IF(INDEX(Properties!A$1:CB$87,Formula!B101,46)&lt;&gt;"",INDEX(Properties!A$1:CB$87,Formula!B101,46)),IF(INDEX(Properties!A$1:CB$87,Formula!D101,46)&lt;&gt;"",INDEX(Properties!A$1:CB$87,Formula!D101,46)),IF(INDEX(Properties!A$1:CB$87,Formula!F101,46)&lt;&gt;"",INDEX(Properties!A$1:CB$87,Formula!F101,46)),IF(INDEX(Properties!A$1:CB$87,Formula!H101,46)&lt;&gt;"",INDEX(Properties!A$1:CB$87,Formula!H101,46)),IF(INDEX(Properties!A$1:CB$87,Formula!J101,46)&lt;&gt;"",INDEX(Properties!A$1:CB$87,Formula!J101,46)))</f>
        <v>0.26242399999999999</v>
      </c>
      <c r="EM101" s="66">
        <f>MAX(INDEX(Properties!A$1:CB$87,Formula!B101,46),INDEX(Properties!A$1:CB$87,Formula!D101,46),INDEX(Properties!A$1:CB$87,Formula!F101,46),INDEX(Properties!A$1:CB$87,Formula!H101,46),INDEX(Properties!A$1:CB$87,Formula!J101,46))</f>
        <v>1.32</v>
      </c>
      <c r="EN101" s="66">
        <f>MIN(IF(INDEX(Properties!A$1:CB$87,Formula!B101,46)=0,10^6,INDEX(Properties!A$1:CB$87,Formula!B101,46)),IF(INDEX(Properties!A$1:CB$87,Formula!D101,46)=0,10^6,INDEX(Properties!A$1:CB$87,Formula!D101,46)),IF(INDEX(Properties!A$1:CB$87,Formula!F101,46)=0,10^6,INDEX(Properties!A$1:CB$87,Formula!F101,46)),IF(INDEX(Properties!A$1:CB$87,Formula!H101,46)=0,10^6,INDEX(Properties!A$1:CB$87,Formula!H101,46)),IF(INDEX(Properties!A$1:CB$87,Formula!J101,46)=0,10^6,INDEX(Properties!A$1:CB$87,Formula!J101,46)))</f>
        <v>0.31</v>
      </c>
      <c r="EO101" s="66">
        <f t="shared" si="55"/>
        <v>1.01</v>
      </c>
      <c r="EP101" s="81">
        <f>((Formula!C101)/(Formula!C101+Formula!E101+Formula!G101+Formula!I101+Formula!K101))*(INDEX(Properties!A$1:CB$87,Formula!B101,52))+((Formula!E101)/(Formula!C101+Formula!E101+Formula!G101+Formula!I101+Formula!K101))*(INDEX(Properties!A$1:CB$87,Formula!D101,52))+((Formula!G101)/(Formula!C101+Formula!E101+Formula!G101+Formula!I101+Formula!K101))*(INDEX(Properties!A$1:CB$87,Formula!F101,52))+((Formula!I101)/(Formula!C101+Formula!E101+Formula!G101+Formula!I101+Formula!K101))*(INDEX(Properties!A$1:CB$87,Formula!H101,52))+((Formula!K101)/(Formula!C101+Formula!E101+Formula!G101+Formula!I101+Formula!K101))*(INDEX(Properties!A$1:CB$87,Formula!J101,52))</f>
        <v>3.9369999999999998</v>
      </c>
      <c r="EQ101" s="81">
        <f>Formula!C101*(INDEX(Properties!A$1:CB$87,Formula!B101,52))+Formula!E101*(INDEX(Properties!A$1:CB$87,Formula!D101,52))+Formula!G101*(INDEX(Properties!A$1:CB$87,Formula!F101,52))+Formula!I101*(INDEX(Properties!A$1:CB$87,Formula!H101,52))+Formula!K101*(INDEX(Properties!A$1:CB$87,Formula!J101,52))</f>
        <v>47.244000000000007</v>
      </c>
      <c r="ER101" s="81">
        <f>VARP(IF(INDEX(Properties!A$1:CB$87,Formula!B101,52)&lt;&gt;"",INDEX(Properties!A$1:CB$87,Formula!B101,52)),IF(INDEX(Properties!A$1:CB$87,Formula!D101,52)&lt;&gt;"",INDEX(Properties!A$1:CB$87,Formula!D101,52)),IF(INDEX(Properties!A$1:CB$87,Formula!F101,52)&lt;&gt;"",INDEX(Properties!A$1:CB$87,Formula!F101,52)),IF(INDEX(Properties!A$1:CB$87,Formula!H101,52)&lt;&gt;"",INDEX(Properties!A$1:CB$87,Formula!H101,52)),IF(INDEX(Properties!A$1:CB$87,Formula!J101,52)&lt;&gt;"",INDEX(Properties!A$1:CB$87,Formula!J101,52)))</f>
        <v>104.46870384000002</v>
      </c>
      <c r="ES101" s="81">
        <f>MAX(INDEX(Properties!A$1:CB$87,Formula!B101,52),INDEX(Properties!A$1:CB$87,Formula!D101,52),INDEX(Properties!A$1:CB$87,Formula!F101,52),INDEX(Properties!A$1:CB$87,Formula!H101,52),INDEX(Properties!A$1:CB$87,Formula!J101,52))</f>
        <v>27.6</v>
      </c>
      <c r="ET101" s="81">
        <f>MIN(IF(INDEX(Properties!A$1:CB$87,Formula!B101,52)=0,10^6,INDEX(Properties!A$1:CB$87,Formula!B101,52)),IF(INDEX(Properties!A$1:CB$87,Formula!D101,52)=0,10^6,INDEX(Properties!A$1:CB$87,Formula!D101,52)),IF(INDEX(Properties!A$1:CB$87,Formula!F101,52)=0,10^6,INDEX(Properties!A$1:CB$87,Formula!F101,52)),IF(INDEX(Properties!A$1:CB$87,Formula!H101,52)=0,10^6,INDEX(Properties!A$1:CB$87,Formula!H101,52)),IF(INDEX(Properties!A$1:CB$87,Formula!J101,52)=0,10^6,INDEX(Properties!A$1:CB$87,Formula!J101,52)))</f>
        <v>0.79300000000000004</v>
      </c>
      <c r="EU101" s="81">
        <f t="shared" si="56"/>
        <v>26.807000000000002</v>
      </c>
      <c r="EV101" s="39">
        <f>((Formula!C101)/(Formula!C101+Formula!E101+Formula!G101+Formula!I101+Formula!K101))*(INDEX(Properties!A$1:CB$87,Formula!B101,53))+((Formula!E101)/(Formula!C101+Formula!E101+Formula!G101+Formula!I101+Formula!K101))*(INDEX(Properties!A$1:CB$87,Formula!D101,53))+((Formula!G101)/(Formula!C101+Formula!E101+Formula!G101+Formula!I101+Formula!K101))*(INDEX(Properties!A$1:CB$87,Formula!F101,53))+((Formula!I101)/(Formula!C101+Formula!E101+Formula!G101+Formula!I101+Formula!K101))*(INDEX(Properties!A$1:CB$87,Formula!H101,53))+((Formula!K101)/(Formula!C101+Formula!E101+Formula!G101+Formula!I101+Formula!K101))*(INDEX(Properties!A$1:CB$87,Formula!J101,53))</f>
        <v>277.93333333333334</v>
      </c>
      <c r="EW101" s="39">
        <f>Formula!C101*(INDEX(Properties!A$1:CB$87,Formula!B101,53))+Formula!E101*(INDEX(Properties!A$1:CB$87,Formula!D101,53))+Formula!G101*(INDEX(Properties!A$1:CB$87,Formula!F101,53))+Formula!I101*(INDEX(Properties!A$1:CB$87,Formula!H101,53))+Formula!K101*(INDEX(Properties!A$1:CB$87,Formula!J101,53))</f>
        <v>3335.2</v>
      </c>
      <c r="EX101" s="39">
        <f>VARP(IF(INDEX(Properties!A$1:CB$87,Formula!B101,53)&lt;&gt;"",INDEX(Properties!A$1:CB$87,Formula!B101,53)),IF(INDEX(Properties!A$1:CB$87,Formula!D101,53)&lt;&gt;"",INDEX(Properties!A$1:CB$87,Formula!D101,53)),IF(INDEX(Properties!A$1:CB$87,Formula!F101,53)&lt;&gt;"",INDEX(Properties!A$1:CB$87,Formula!F101,53)),IF(INDEX(Properties!A$1:CB$87,Formula!H101,53)&lt;&gt;"",INDEX(Properties!A$1:CB$87,Formula!H101,53)),IF(INDEX(Properties!A$1:CB$87,Formula!J101,53)&lt;&gt;"",INDEX(Properties!A$1:CB$87,Formula!J101,53)))</f>
        <v>258227.04640000011</v>
      </c>
      <c r="EY101" s="39">
        <f>MAX(INDEX(Properties!A$1:CB$87,Formula!B101,53),INDEX(Properties!A$1:CB$87,Formula!D101,53),INDEX(Properties!A$1:CB$87,Formula!F101,53),INDEX(Properties!A$1:CB$87,Formula!H101,53),INDEX(Properties!A$1:CB$87,Formula!J101,53))</f>
        <v>1220.55</v>
      </c>
      <c r="EZ101" s="39">
        <f>MIN(IF(INDEX(Properties!A$1:CB$87,Formula!B101,53)=0,10^6,INDEX(Properties!A$1:CB$87,Formula!B101,53)),IF(INDEX(Properties!A$1:CB$87,Formula!D101,53)=0,10^6,INDEX(Properties!A$1:CB$87,Formula!D101,53)),IF(INDEX(Properties!A$1:CB$87,Formula!F101,53)=0,10^6,INDEX(Properties!A$1:CB$87,Formula!F101,53)),IF(INDEX(Properties!A$1:CB$87,Formula!H101,53)=0,10^6,INDEX(Properties!A$1:CB$87,Formula!H101,53)),IF(INDEX(Properties!A$1:CB$87,Formula!J101,53)=0,10^6,INDEX(Properties!A$1:CB$87,Formula!J101,53)))</f>
        <v>54.749999999999972</v>
      </c>
      <c r="FA101" s="39">
        <f t="shared" si="57"/>
        <v>1165.8</v>
      </c>
      <c r="FB101" s="54">
        <f>((Formula!C101)/(Formula!C101+Formula!E101+Formula!G101+Formula!I101+Formula!K101))*(INDEX(Properties!A$1:CB$87,Formula!B101,54))+((Formula!E101)/(Formula!C101+Formula!E101+Formula!G101+Formula!I101+Formula!K101))*(INDEX(Properties!A$1:CB$87,Formula!D101,54))+((Formula!G101)/(Formula!C101+Formula!E101+Formula!G101+Formula!I101+Formula!K101))*(INDEX(Properties!A$1:CB$87,Formula!F101,54))+((Formula!I101)/(Formula!C101+Formula!E101+Formula!G101+Formula!I101+Formula!K101))*(INDEX(Properties!A$1:CB$87,Formula!H101,54))+((Formula!K101)/(Formula!C101+Formula!E101+Formula!G101+Formula!I101+Formula!K101))*(INDEX(Properties!A$1:CB$87,Formula!J101,54))</f>
        <v>548.98333333333323</v>
      </c>
      <c r="FC101" s="54">
        <f>Formula!C101*(INDEX(Properties!A$1:CB$87,Formula!B101,54))+Formula!E101*(INDEX(Properties!A$1:CB$87,Formula!D101,54))+Formula!G101*(INDEX(Properties!A$1:CB$87,Formula!F101,54))+Formula!I101*(INDEX(Properties!A$1:CB$87,Formula!H101,54))+Formula!K101*(INDEX(Properties!A$1:CB$87,Formula!J101,54))</f>
        <v>6587.8</v>
      </c>
      <c r="FD101" s="54">
        <f>VARP(IF(INDEX(Properties!A$1:CB$87,Formula!B101,54)&lt;&gt;"",INDEX(Properties!A$1:CB$87,Formula!B101,54)),IF(INDEX(Properties!A$1:CB$87,Formula!D101,54)&lt;&gt;"",INDEX(Properties!A$1:CB$87,Formula!D101,54)),IF(INDEX(Properties!A$1:CB$87,Formula!F101,54)&lt;&gt;"",INDEX(Properties!A$1:CB$87,Formula!F101,54)),IF(INDEX(Properties!A$1:CB$87,Formula!H101,54)&lt;&gt;"",INDEX(Properties!A$1:CB$87,Formula!H101,54)),IF(INDEX(Properties!A$1:CB$87,Formula!J101,54)&lt;&gt;"",INDEX(Properties!A$1:CB$87,Formula!J101,54)))</f>
        <v>1370001.8796000006</v>
      </c>
      <c r="FE101" s="54">
        <f>MAX(INDEX(Properties!A$1:CB$87,Formula!B101,54),INDEX(Properties!A$1:CB$87,Formula!D101,54),INDEX(Properties!A$1:CB$87,Formula!F101,54),INDEX(Properties!A$1:CB$87,Formula!H101,54),INDEX(Properties!A$1:CB$87,Formula!J101,54))</f>
        <v>3103.15</v>
      </c>
      <c r="FF101" s="54">
        <f>MIN(IF(INDEX(Properties!A$1:CB$87,Formula!B101,54)=0,10^6,INDEX(Properties!A$1:CB$87,Formula!B101,54)),IF(INDEX(Properties!A$1:CB$87,Formula!D101,54)=0,10^6,INDEX(Properties!A$1:CB$87,Formula!D101,54)),IF(INDEX(Properties!A$1:CB$87,Formula!F101,54)=0,10^6,INDEX(Properties!A$1:CB$87,Formula!F101,54)),IF(INDEX(Properties!A$1:CB$87,Formula!H101,54)=0,10^6,INDEX(Properties!A$1:CB$87,Formula!H101,54)),IF(INDEX(Properties!A$1:CB$87,Formula!J101,54)=0,10^6,INDEX(Properties!A$1:CB$87,Formula!J101,54)))</f>
        <v>90.149999999999977</v>
      </c>
      <c r="FG101" s="54">
        <f t="shared" si="58"/>
        <v>3013</v>
      </c>
      <c r="FH101" s="69">
        <f>((Formula!C101)/(Formula!C101+Formula!E101+Formula!G101+Formula!I101+Formula!K101))*(INDEX(Properties!A$1:CB$87,Formula!B101,55))+((Formula!E101)/(Formula!C101+Formula!E101+Formula!G101+Formula!I101+Formula!K101))*(INDEX(Properties!A$1:CB$87,Formula!D101,55))+((Formula!G101)/(Formula!C101+Formula!E101+Formula!G101+Formula!I101+Formula!K101))*(INDEX(Properties!A$1:CB$87,Formula!F101,55))+((Formula!I101)/(Formula!C101+Formula!E101+Formula!G101+Formula!I101+Formula!K101))*(INDEX(Properties!A$1:CB$87,Formula!H101,55))+((Formula!K101)/(Formula!C101+Formula!E101+Formula!G101+Formula!I101+Formula!K101))*(INDEX(Properties!A$1:CB$87,Formula!J101,55))</f>
        <v>0.96678666666666668</v>
      </c>
      <c r="FI101" s="69">
        <f>Formula!C101*(INDEX(Properties!A$1:CB$87,Formula!B101,55))+Formula!E101*(INDEX(Properties!A$1:CB$87,Formula!D101,54))+Formula!G101*(INDEX(Properties!A$1:CB$87,Formula!F101,55))+Formula!I101*(INDEX(Properties!A$1:CB$87,Formula!H101,55))+Formula!K101*(INDEX(Properties!A$1:CB$87,Formula!J101,55))</f>
        <v>3109.4314400000003</v>
      </c>
      <c r="FJ101" s="69">
        <f>VARP(IF(INDEX(Properties!A$1:CB$87,Formula!B101,55)&lt;&gt;"",INDEX(Properties!A$1:CB$87,Formula!B101,55)),IF(INDEX(Properties!A$1:CB$87,Formula!D101,55)&lt;&gt;"",INDEX(Properties!A$1:CB$87,Formula!D101,55)),IF(INDEX(Properties!A$1:CB$87,Formula!F101,55)&lt;&gt;"",INDEX(Properties!A$1:CB$87,Formula!F101,55)),IF(INDEX(Properties!A$1:CB$87,Formula!H101,55)&lt;&gt;"",INDEX(Properties!A$1:CB$87,Formula!H101,55)),IF(INDEX(Properties!A$1:CB$87,Formula!J101,55)&lt;&gt;"",INDEX(Properties!A$1:CB$87,Formula!J101,55)))</f>
        <v>3.887106639184001</v>
      </c>
      <c r="FK101" s="69">
        <f>MAX(INDEX(Properties!A$1:CB$87,Formula!B101,55),INDEX(Properties!A$1:CB$87,Formula!D101,55),INDEX(Properties!A$1:CB$87,Formula!F101,55),INDEX(Properties!A$1:CB$87,Formula!H101,55),INDEX(Properties!A$1:CB$87,Formula!J101,55))</f>
        <v>5.32</v>
      </c>
      <c r="FL101" s="69">
        <f>MIN(IF(INDEX(Properties!A$1:CB$87,Formula!B101,55)=0,10^6,INDEX(Properties!A$1:CB$87,Formula!B101,55)),IF(INDEX(Properties!A$1:CB$87,Formula!D101,55)=0,10^6,INDEX(Properties!A$1:CB$87,Formula!D101,55)),IF(INDEX(Properties!A$1:CB$87,Formula!F101,55)=0,10^6,INDEX(Properties!A$1:CB$87,Formula!F101,55)),IF(INDEX(Properties!A$1:CB$87,Formula!H101,55)=0,10^6,INDEX(Properties!A$1:CB$87,Formula!H101,55)),IF(INDEX(Properties!A$1:CB$87,Formula!J101,55)=0,10^6,INDEX(Properties!A$1:CB$87,Formula!J101,55)))</f>
        <v>1.4300000000000001E-3</v>
      </c>
      <c r="FM101" s="69">
        <f t="shared" si="59"/>
        <v>5.3185700000000002</v>
      </c>
      <c r="FN101" s="42">
        <f>((Formula!C101)/(Formula!C101+Formula!E101+Formula!G101+Formula!I101+Formula!K101))*(INDEX(Properties!A$1:CB$87,Formula!B101,56))+((Formula!E101)/(Formula!C101+Formula!E101+Formula!G101+Formula!I101+Formula!K101))*(INDEX(Properties!A$1:CB$87,Formula!D101,56))+((Formula!G101)/(Formula!C101+Formula!E101+Formula!G101+Formula!I101+Formula!K101))*(INDEX(Properties!A$1:CB$87,Formula!F101,56))+((Formula!I101)/(Formula!C101+Formula!E101+Formula!G101+Formula!I101+Formula!K101))*(INDEX(Properties!A$1:CB$87,Formula!H101,56))+((Formula!K101)/(Formula!C101+Formula!E101+Formula!G101+Formula!I101+Formula!K101))*(INDEX(Properties!A$1:CB$87,Formula!J101,56))</f>
        <v>0.79333333333333322</v>
      </c>
      <c r="FO101" s="42">
        <f>Formula!C101*(INDEX(Properties!A$1:CB$87,Formula!B101,56))+Formula!E101*(INDEX(Properties!A$1:CB$87,Formula!D101,56))+Formula!G101*(INDEX(Properties!A$1:CB$87,Formula!F101,56))+Formula!I101*(INDEX(Properties!A$1:CB$87,Formula!H101,56))+Formula!K101*(INDEX(Properties!A$1:CB$87,Formula!J101,56))</f>
        <v>9.52</v>
      </c>
      <c r="FP101" s="42">
        <f>VARP(IF(INDEX(Properties!A$1:CB$87,Formula!B101,56)&lt;&gt;"",INDEX(Properties!A$1:CB$87,Formula!B101,56)),IF(INDEX(Properties!A$1:CB$87,Formula!D101,56)&lt;&gt;"",INDEX(Properties!A$1:CB$87,Formula!D101,56)),IF(INDEX(Properties!A$1:CB$87,Formula!F101,56)&lt;&gt;"",INDEX(Properties!A$1:CB$87,Formula!F101,56)),IF(INDEX(Properties!A$1:CB$87,Formula!H101,56)&lt;&gt;"",INDEX(Properties!A$1:CB$87,Formula!H101,56)),IF(INDEX(Properties!A$1:CB$87,Formula!J101,56)&lt;&gt;"",INDEX(Properties!A$1:CB$87,Formula!J101,56)))</f>
        <v>0.112896</v>
      </c>
      <c r="FQ101" s="42">
        <f>MAX(INDEX(Properties!A$1:CB$87,Formula!B101,56),INDEX(Properties!A$1:CB$87,Formula!D101,56),INDEX(Properties!A$1:CB$87,Formula!F101,56),INDEX(Properties!A$1:CB$87,Formula!H101,56),INDEX(Properties!A$1:CB$87,Formula!J101,56))</f>
        <v>0.92</v>
      </c>
      <c r="FR101" s="42">
        <f>MIN(IF(INDEX(Properties!A$1:CB$87,Formula!B101,56)=0,10^6,INDEX(Properties!A$1:CB$87,Formula!B101,56)),IF(INDEX(Properties!A$1:CB$87,Formula!D101,56)=0,10^6,INDEX(Properties!A$1:CB$87,Formula!D101,56)),IF(INDEX(Properties!A$1:CB$87,Formula!F101,56)=0,10^6,INDEX(Properties!A$1:CB$87,Formula!F101,56)),IF(INDEX(Properties!A$1:CB$87,Formula!H101,56)=0,10^6,INDEX(Properties!A$1:CB$87,Formula!H101,56)),IF(INDEX(Properties!A$1:CB$87,Formula!J101,56)=0,10^6,INDEX(Properties!A$1:CB$87,Formula!J101,56)))</f>
        <v>0.3</v>
      </c>
      <c r="FS101" s="42">
        <f t="shared" si="60"/>
        <v>0.62000000000000011</v>
      </c>
      <c r="FT101" s="60">
        <f>((Formula!C101)/(Formula!C101+Formula!E101+Formula!G101+Formula!I101+Formula!K101))*(INDEX(Properties!A$1:CB$87,Formula!B101,57))+((Formula!E101)/(Formula!C101+Formula!E101+Formula!G101+Formula!I101+Formula!K101))*(INDEX(Properties!A$1:CB$87,Formula!D101,57))+((Formula!G101)/(Formula!C101+Formula!E101+Formula!G101+Formula!I101+Formula!K101))*(INDEX(Properties!A$1:CB$87,Formula!F101,57))+((Formula!I101)/(Formula!C101+Formula!E101+Formula!G101+Formula!I101+Formula!K101))*(INDEX(Properties!A$1:CB$87,Formula!H101,57))+((Formula!K101)/(Formula!C101+Formula!E101+Formula!G101+Formula!I101+Formula!K101))*(INDEX(Properties!A$1:CB$87,Formula!J101,57))</f>
        <v>4.0278933333333331</v>
      </c>
      <c r="FU101" s="60">
        <f>Formula!C101*(INDEX(Properties!A$1:CB$87,Formula!B101,57))+Formula!E101*(INDEX(Properties!A$1:CB$87,Formula!D101,57))+Formula!G101*(INDEX(Properties!A$1:CB$87,Formula!F101,57))+Formula!I101*(INDEX(Properties!A$1:CB$87,Formula!H101,57))+Formula!K101*(INDEX(Properties!A$1:CB$87,Formula!J101,57))</f>
        <v>48.334719999999997</v>
      </c>
      <c r="FV101" s="60">
        <f>VARP(IF(INDEX(Properties!A$1:CB$87,Formula!B101,57)&lt;&gt;"",INDEX(Properties!A$1:CB$87,Formula!B101,57)),IF(INDEX(Properties!A$1:CB$87,Formula!D101,57)&lt;&gt;"",INDEX(Properties!A$1:CB$87,Formula!D101,57)),IF(INDEX(Properties!A$1:CB$87,Formula!F101,57)&lt;&gt;"",INDEX(Properties!A$1:CB$87,Formula!F101,57)),IF(INDEX(Properties!A$1:CB$87,Formula!H101,57)&lt;&gt;"",INDEX(Properties!A$1:CB$87,Formula!H101,57)),IF(INDEX(Properties!A$1:CB$87,Formula!J101,57)&lt;&gt;"",INDEX(Properties!A$1:CB$87,Formula!J101,57)))</f>
        <v>201.70629579089601</v>
      </c>
      <c r="FW101" s="60">
        <f>MAX(INDEX(Properties!A$1:CB$87,Formula!B101,57),INDEX(Properties!A$1:CB$87,Formula!D101,57),INDEX(Properties!A$1:CB$87,Formula!F101,57),INDEX(Properties!A$1:CB$87,Formula!H101,57),INDEX(Properties!A$1:CB$87,Formula!J101,57))</f>
        <v>36.94</v>
      </c>
      <c r="FX101" s="60">
        <f>MIN(IF(INDEX(Properties!A$1:CB$87,Formula!B101,57)=0,10^6,INDEX(Properties!A$1:CB$87,Formula!B101,57)),IF(INDEX(Properties!A$1:CB$87,Formula!D101,57)=0,10^6,INDEX(Properties!A$1:CB$87,Formula!D101,57)),IF(INDEX(Properties!A$1:CB$87,Formula!F101,57)=0,10^6,INDEX(Properties!A$1:CB$87,Formula!F101,57)),IF(INDEX(Properties!A$1:CB$87,Formula!H101,57)=0,10^6,INDEX(Properties!A$1:CB$87,Formula!H101,57)),IF(INDEX(Properties!A$1:CB$87,Formula!J101,57)=0,10^6,INDEX(Properties!A$1:CB$87,Formula!J101,57)))</f>
        <v>0.22259000000000001</v>
      </c>
      <c r="FY101" s="60">
        <f t="shared" si="61"/>
        <v>36.717410000000001</v>
      </c>
      <c r="FZ101" s="72">
        <f>((Formula!C101)/(Formula!C101+Formula!E101+Formula!G101+Formula!I101+Formula!K101))*(INDEX(Properties!A$1:CB$87,Formula!B101,60))+((Formula!E101)/(Formula!C101+Formula!E101+Formula!G101+Formula!I101+Formula!K101))*(INDEX(Properties!A$1:CB$87,Formula!D101,60))+((Formula!G101)/(Formula!C101+Formula!E101+Formula!G101+Formula!I101+Formula!K101))*(INDEX(Properties!A$1:CB$87,Formula!F101,60))+((Formula!I101)/(Formula!C101+Formula!E101+Formula!G101+Formula!I101+Formula!K101))*(INDEX(Properties!A$1:CB$87,Formula!H101,60))+((Formula!K101)/(Formula!C101+Formula!E101+Formula!G101+Formula!I101+Formula!K101))*(INDEX(Properties!A$1:CB$87,Formula!J101,60))</f>
        <v>7.9903266666666664</v>
      </c>
      <c r="GA101" s="72">
        <f>Formula!C101*(INDEX(Properties!A$1:CB$87,Formula!B101,60))+Formula!E101*(INDEX(Properties!A$1:CB$87,Formula!D101,60))+Formula!G101*(INDEX(Properties!A$1:CB$87,Formula!F101,60))+Formula!I101*(INDEX(Properties!A$1:CB$87,Formula!H101,60))+Formula!K101*(INDEX(Properties!A$1:CB$87,Formula!J101,60))</f>
        <v>95.883919999999989</v>
      </c>
      <c r="GB101" s="72">
        <f>VARP(IF(INDEX(Properties!A$1:CB$87,Formula!B101,60)&lt;&gt;"",INDEX(Properties!A$1:CB$87,Formula!B101,60)),IF(INDEX(Properties!A$1:CB$87,Formula!D101,60)&lt;&gt;"",INDEX(Properties!A$1:CB$87,Formula!D101,60)),IF(INDEX(Properties!A$1:CB$87,Formula!F101,60)&lt;&gt;"",INDEX(Properties!A$1:CB$87,Formula!F101,60)),IF(INDEX(Properties!A$1:CB$87,Formula!H101,60)&lt;&gt;"",INDEX(Properties!A$1:CB$87,Formula!H101,60)),IF(INDEX(Properties!A$1:CB$87,Formula!J101,60)&lt;&gt;"",INDEX(Properties!A$1:CB$87,Formula!J101,60)))</f>
        <v>602.31343585241586</v>
      </c>
      <c r="GC101" s="72">
        <f>MAX(INDEX(Properties!A$1:CB$87,Formula!B101,60),INDEX(Properties!A$1:CB$87,Formula!D101,60),INDEX(Properties!A$1:CB$87,Formula!F101,60),INDEX(Properties!A$1:CB$87,Formula!H101,60),INDEX(Properties!A$1:CB$87,Formula!J101,60))</f>
        <v>59.9</v>
      </c>
      <c r="GD101" s="72">
        <f>MIN(IF(INDEX(Properties!A$1:CB$87,Formula!B101,60)=0,10^6,INDEX(Properties!A$1:CB$87,Formula!B101,60)),IF(INDEX(Properties!A$1:CB$87,Formula!D101,60)=0,10^6,INDEX(Properties!A$1:CB$87,Formula!D101,60)),IF(INDEX(Properties!A$1:CB$87,Formula!F101,60)=0,10^6,INDEX(Properties!A$1:CB$87,Formula!F101,60)),IF(INDEX(Properties!A$1:CB$87,Formula!H101,60)=0,10^6,INDEX(Properties!A$1:CB$87,Formula!H101,60)),IF(INDEX(Properties!A$1:CB$87,Formula!J101,60)=0,10^6,INDEX(Properties!A$1:CB$87,Formula!J101,60)))</f>
        <v>2.674E-2</v>
      </c>
      <c r="GE101" s="72">
        <f t="shared" si="62"/>
        <v>59.873260000000002</v>
      </c>
      <c r="GF101" s="51">
        <f>((Formula!C101)/(Formula!C101+Formula!E101+Formula!G101+Formula!I101+Formula!K101))*(INDEX(Properties!A$1:CB$87,Formula!B101,62))+((Formula!E101)/(Formula!C101+Formula!E101+Formula!G101+Formula!I101+Formula!K101))*(INDEX(Properties!A$1:CB$87,Formula!D101,62))+((Formula!G101)/(Formula!C101+Formula!E101+Formula!G101+Formula!I101+Formula!K101))*(INDEX(Properties!A$1:CB$87,Formula!F101,62))+((Formula!I101)/(Formula!C101+Formula!E101+Formula!G101+Formula!I101+Formula!K101))*(INDEX(Properties!A$1:CB$87,Formula!H101,62))+((Formula!K101)/(Formula!C101+Formula!E101+Formula!G101+Formula!I101+Formula!K101))*(INDEX(Properties!A$1:CB$87,Formula!J101,62))</f>
        <v>2.7824999999999998</v>
      </c>
      <c r="GG101" s="51">
        <f>Formula!C101*(INDEX(Properties!A$1:CB$87,Formula!B101,62))+Formula!E101*(INDEX(Properties!A$1:CB$87,Formula!D101,62))+Formula!G101*(INDEX(Properties!A$1:CB$87,Formula!F101,62))+Formula!I101*(INDEX(Properties!A$1:CB$87,Formula!H101,62))+Formula!K101*(INDEX(Properties!A$1:CB$87,Formula!J101,62))</f>
        <v>33.39</v>
      </c>
      <c r="GH101" s="51">
        <f>VARP(IF(INDEX(Properties!A$1:CB$87,Formula!B101,62)&lt;&gt;"",INDEX(Properties!A$1:CB$87,Formula!B101,62)),IF(INDEX(Properties!A$1:CB$87,Formula!D101,62)&lt;&gt;"",INDEX(Properties!A$1:CB$87,Formula!D101,62)),IF(INDEX(Properties!A$1:CB$87,Formula!F101,62)&lt;&gt;"",INDEX(Properties!A$1:CB$87,Formula!F101,62)),IF(INDEX(Properties!A$1:CB$87,Formula!H101,62)&lt;&gt;"",INDEX(Properties!A$1:CB$87,Formula!H101,62)),IF(INDEX(Properties!A$1:CB$87,Formula!J101,62)&lt;&gt;"",INDEX(Properties!A$1:CB$87,Formula!J101,62)))</f>
        <v>1.8810640000000001</v>
      </c>
      <c r="GI101" s="51">
        <f>MAX(INDEX(Properties!A$1:CB$87,Formula!B101,62),INDEX(Properties!A$1:CB$87,Formula!D101,62),INDEX(Properties!A$1:CB$87,Formula!F101,62),INDEX(Properties!A$1:CB$87,Formula!H101,62),INDEX(Properties!A$1:CB$87,Formula!J101,62))</f>
        <v>3.85</v>
      </c>
      <c r="GJ101" s="51">
        <f>MIN(IF(INDEX(Properties!A$1:CB$87,Formula!B101,62)=0,10^6,INDEX(Properties!A$1:CB$87,Formula!B101,62)),IF(INDEX(Properties!A$1:CB$87,Formula!D101,62)=0,10^6,INDEX(Properties!A$1:CB$87,Formula!D101,62)),IF(INDEX(Properties!A$1:CB$87,Formula!F101,62)=0,10^6,INDEX(Properties!A$1:CB$87,Formula!F101,62)),IF(INDEX(Properties!A$1:CB$87,Formula!H101,62)=0,10^6,INDEX(Properties!A$1:CB$87,Formula!H101,62)),IF(INDEX(Properties!A$1:CB$87,Formula!J101,62)=0,10^6,INDEX(Properties!A$1:CB$87,Formula!J101,62)))</f>
        <v>1.72</v>
      </c>
      <c r="GK101" s="51">
        <f t="shared" si="63"/>
        <v>2.13</v>
      </c>
      <c r="GL101" s="51">
        <f>Formula!P101</f>
        <v>15</v>
      </c>
      <c r="GM101" s="57">
        <f>Formula!O101</f>
        <v>2</v>
      </c>
      <c r="GN101" s="51">
        <f>Formula!N101</f>
        <v>0.05</v>
      </c>
    </row>
    <row r="102" spans="1:196" x14ac:dyDescent="0.3">
      <c r="A102" s="84" t="str">
        <f>Formula!A102</f>
        <v>Ba2La4Zn2O10</v>
      </c>
      <c r="B102" s="89">
        <f>((Formula!C102)/(Formula!C102+Formula!E102+Formula!G102+Formula!I102+Formula!K102))*(INDEX(Properties!A$1:CB$87,Formula!B102,3))+((Formula!E102)/(Formula!C102+Formula!E102+Formula!G102+Formula!I102+Formula!K102))*(INDEX(Properties!A$1:CB$87,Formula!D102,3))+((Formula!G102)/(Formula!C102+Formula!E102+Formula!G102+Formula!I102+Formula!K102))*(INDEX(Properties!A$1:CB$87,Formula!F102,3))+((Formula!I102)/(Formula!C102+Formula!E102+Formula!G102+Formula!I102+Formula!K102))*(INDEX(Properties!A$1:CB$87,Formula!H102,3))+((Formula!K102)/(Formula!C102+Formula!E102+Formula!G102+Formula!I102+Formula!K102))*(INDEX(Properties!A$1:CB$87,Formula!J102,3))</f>
        <v>62.279444444444437</v>
      </c>
      <c r="C102" s="85">
        <f>Formula!C102*(INDEX(Properties!A$1:CB$87,Formula!B102,3))+Formula!E102*(INDEX(Properties!A$1:CB$87,Formula!D102,3))+Formula!G102*(INDEX(Properties!A$1:CB$87,Formula!F102,3))+Formula!I102*(INDEX(Properties!A$1:CB$87,Formula!H102,3))+Formula!K102*(INDEX(Properties!A$1:CB$87,Formula!J102,3))</f>
        <v>1121.03</v>
      </c>
      <c r="D102" s="85">
        <f>VARP(IF(INDEX(Properties!A$1:CB$87,Formula!B102,3)&lt;&gt;"",INDEX(Properties!A$1:CB$87,Formula!B102,3)),IF(INDEX(Properties!A$1:CB$87,Formula!D102,3)&lt;&gt;"",INDEX(Properties!A$1:CB$87,Formula!D102,3)),IF(INDEX(Properties!A$1:CB$87,Formula!F102,3)&lt;&gt;"",INDEX(Properties!A$1:CB$87,Formula!F102,3)),IF(INDEX(Properties!A$1:CB$87,Formula!H102,3)&lt;&gt;"",INDEX(Properties!A$1:CB$87,Formula!H102,3)),IF(INDEX(Properties!A$1:CB$87,Formula!J102,3)&lt;&gt;"",INDEX(Properties!A$1:CB$87,Formula!J102,3)))</f>
        <v>3421.3427710576007</v>
      </c>
      <c r="E102" s="85">
        <f>MAX(INDEX(Properties!A$1:CB$87,Formula!B102,3),INDEX(Properties!A$1:CB$87,Formula!D102,3),INDEX(Properties!A$1:CB$87,Formula!F102,3),INDEX(Properties!A$1:CB$87,Formula!H102,3),INDEX(Properties!A$1:CB$87,Formula!J102,3))</f>
        <v>138.90549999999999</v>
      </c>
      <c r="F102" s="85">
        <f>MIN(IF(INDEX(Properties!A$1:CB$87,Formula!B102,3)=0,10^6,INDEX(Properties!A$1:CB$87,Formula!B102,3)),IF(INDEX(Properties!A$1:CB$87,Formula!D102,3)=0,10^6,INDEX(Properties!A$1:CB$87,Formula!D102,3)),IF(INDEX(Properties!A$1:CB$87,Formula!F102,3)=0,10^6,INDEX(Properties!A$1:CB$87,Formula!F102,3)),IF(INDEX(Properties!A$1:CB$87,Formula!H102,3)=0,10^6,INDEX(Properties!A$1:CB$87,Formula!H102,3)),IF(INDEX(Properties!A$1:CB$87,Formula!J102,3)=0,10^6,INDEX(Properties!A$1:CB$87,Formula!J102,3)))</f>
        <v>15.9994</v>
      </c>
      <c r="G102" s="85">
        <f t="shared" si="32"/>
        <v>122.9061</v>
      </c>
      <c r="H102" s="87">
        <f>((Formula!C102)/(Formula!C102+Formula!E102+Formula!G102+Formula!I102+Formula!K102))*(INDEX(Properties!A$1:CB$87,Formula!B102,4))+((Formula!E102)/(Formula!C102+Formula!E102+Formula!G102+Formula!I102+Formula!K102))*(INDEX(Properties!A$1:CB$87,Formula!D102,4))+((Formula!G102)/(Formula!C102+Formula!E102+Formula!G102+Formula!I102+Formula!K102))*(INDEX(Properties!A$1:CB$87,Formula!F102,4))+((Formula!I102)/(Formula!C102+Formula!E102+Formula!G102+Formula!I102+Formula!K102))*(INDEX(Properties!A$1:CB$87,Formula!H102,4))+((Formula!K102)/(Formula!C102+Formula!E102+Formula!G102+Formula!I102+Formula!K102))*(INDEX(Properties!A$1:CB$87,Formula!J102,4))</f>
        <v>26.666666666666664</v>
      </c>
      <c r="I102" s="87">
        <f>Formula!C102*(INDEX(Properties!A$1:CB$87,Formula!B102,4))+Formula!E102*(INDEX(Properties!A$1:CB$87,Formula!D102,4))+Formula!G102*(INDEX(Properties!A$1:CB$87,Formula!F102,4))+Formula!I102*(INDEX(Properties!A$1:CB$87,Formula!H102,4))+Formula!K102*(INDEX(Properties!A$1:CB$87,Formula!J102,4))</f>
        <v>480</v>
      </c>
      <c r="J102" s="87">
        <f>VARP(IF(INDEX(Properties!A$1:CB$87,Formula!B102,4)&lt;&gt;"",INDEX(Properties!A$1:CB$87,Formula!B102,4)),IF(INDEX(Properties!A$1:CB$87,Formula!D102,4)&lt;&gt;"",INDEX(Properties!A$1:CB$87,Formula!D102,4)),IF(INDEX(Properties!A$1:CB$87,Formula!F102,4)&lt;&gt;"",INDEX(Properties!A$1:CB$87,Formula!F102,4)),IF(INDEX(Properties!A$1:CB$87,Formula!H102,4)&lt;&gt;"",INDEX(Properties!A$1:CB$87,Formula!H102,4)),IF(INDEX(Properties!A$1:CB$87,Formula!J102,4)&lt;&gt;"",INDEX(Properties!A$1:CB$87,Formula!J102,4)))</f>
        <v>557.76</v>
      </c>
      <c r="K102" s="87">
        <f>MAX(INDEX(Properties!A$1:CB$87,Formula!B102,4),INDEX(Properties!A$1:CB$87,Formula!D102,4),INDEX(Properties!A$1:CB$87,Formula!F102,4),INDEX(Properties!A$1:CB$87,Formula!H102,4),INDEX(Properties!A$1:CB$87,Formula!J102,4))</f>
        <v>57</v>
      </c>
      <c r="L102" s="87">
        <f>MIN(IF(INDEX(Properties!A$1:CB$87,Formula!B102,4)=0,10^6,INDEX(Properties!A$1:CB$87,Formula!B102,4)),IF(INDEX(Properties!A$1:CB$87,Formula!D102,4)=0,10^6,INDEX(Properties!A$1:CB$87,Formula!D102,4)),IF(INDEX(Properties!A$1:CB$87,Formula!F102,4)=0,10^6,INDEX(Properties!A$1:CB$87,Formula!F102,4)),IF(INDEX(Properties!A$1:CB$87,Formula!H102,4)=0,10^6,INDEX(Properties!A$1:CB$87,Formula!H102,4)),IF(INDEX(Properties!A$1:CB$87,Formula!J102,4)=0,10^6,INDEX(Properties!A$1:CB$87,Formula!J102,4)))</f>
        <v>8</v>
      </c>
      <c r="M102" s="87">
        <f t="shared" si="33"/>
        <v>49</v>
      </c>
      <c r="N102" s="89">
        <f>((Formula!C102)/(Formula!C102+Formula!E102+Formula!G102+Formula!I102+Formula!K102))*(INDEX(Properties!A$1:CB$87,Formula!B102,5))+((Formula!E102)/(Formula!C102+Formula!E102+Formula!G102+Formula!I102+Formula!K102))*(INDEX(Properties!A$1:CB$87,Formula!D102,5))+((Formula!G102)/(Formula!C102+Formula!E102+Formula!G102+Formula!I102+Formula!K102))*(INDEX(Properties!A$1:CB$87,Formula!F102,5))+((Formula!I102)/(Formula!C102+Formula!E102+Formula!G102+Formula!I102+Formula!K102))*(INDEX(Properties!A$1:CB$87,Formula!H102,5))+((Formula!K102)/(Formula!C102+Formula!E102+Formula!G102+Formula!I102+Formula!K102))*(INDEX(Properties!A$1:CB$87,Formula!J102,5))</f>
        <v>3.5555555555555558</v>
      </c>
      <c r="O102" s="89">
        <f>Formula!C102*(INDEX(Properties!A$1:CB$87,Formula!B102,5))+Formula!E102*(INDEX(Properties!A$1:CB$87,Formula!D102,5))+Formula!G102*(INDEX(Properties!A$1:CB$87,Formula!F102,5))+Formula!I102*(INDEX(Properties!A$1:CB$87,Formula!H102,5))+Formula!K102*(INDEX(Properties!A$1:CB$87,Formula!J102,5))</f>
        <v>64</v>
      </c>
      <c r="P102" s="89">
        <f>VARP(IF(INDEX(Properties!A$1:CB$87,Formula!B102,5)&lt;&gt;"",INDEX(Properties!A$1:CB$87,Formula!B102,5)),IF(INDEX(Properties!A$1:CB$87,Formula!D102,5)&lt;&gt;"",INDEX(Properties!A$1:CB$87,Formula!D102,5)),IF(INDEX(Properties!A$1:CB$87,Formula!F102,5)&lt;&gt;"",INDEX(Properties!A$1:CB$87,Formula!F102,5)),IF(INDEX(Properties!A$1:CB$87,Formula!H102,5)&lt;&gt;"",INDEX(Properties!A$1:CB$87,Formula!H102,5)),IF(INDEX(Properties!A$1:CB$87,Formula!J102,5)&lt;&gt;"",INDEX(Properties!A$1:CB$87,Formula!J102,5)))</f>
        <v>5.44</v>
      </c>
      <c r="Q102" s="89">
        <f>MAX(INDEX(Properties!A$1:CB$87,Formula!B102,5),INDEX(Properties!A$1:CB$87,Formula!D102,5),INDEX(Properties!A$1:CB$87,Formula!F102,5),INDEX(Properties!A$1:CB$87,Formula!H102,5),INDEX(Properties!A$1:CB$87,Formula!J102,5))</f>
        <v>6</v>
      </c>
      <c r="R102" s="89">
        <f>MIN(IF(INDEX(Properties!A$1:CB$87,Formula!B102,5)=0,10^6,INDEX(Properties!A$1:CB$87,Formula!B102,5)),IF(INDEX(Properties!A$1:CB$87,Formula!D102,5)=0,10^6,INDEX(Properties!A$1:CB$87,Formula!D102,5)),IF(INDEX(Properties!A$1:CB$87,Formula!F102,5)=0,10^6,INDEX(Properties!A$1:CB$87,Formula!F102,5)),IF(INDEX(Properties!A$1:CB$87,Formula!H102,5)=0,10^6,INDEX(Properties!A$1:CB$87,Formula!H102,5)),IF(INDEX(Properties!A$1:CB$87,Formula!J102,5)=0,10^6,INDEX(Properties!A$1:CB$87,Formula!J102,5)))</f>
        <v>2</v>
      </c>
      <c r="S102" s="89">
        <f t="shared" si="34"/>
        <v>4</v>
      </c>
      <c r="T102" s="60">
        <f>((Formula!C102)/(Formula!C102+Formula!E102+Formula!G102+Formula!I102+Formula!K102))*(INDEX(Properties!A$1:CB$87,Formula!B102,6))+((Formula!E102)/(Formula!C102+Formula!E102+Formula!G102+Formula!I102+Formula!K102))*(INDEX(Properties!A$1:CB$87,Formula!D102,6))+((Formula!G102)/(Formula!C102+Formula!E102+Formula!G102+Formula!I102+Formula!K102))*(INDEX(Properties!A$1:CB$87,Formula!F102,6))+((Formula!I102)/(Formula!C102+Formula!E102+Formula!G102+Formula!I102+Formula!K102))*(INDEX(Properties!A$1:CB$87,Formula!H102,6))+((Formula!K102)/(Formula!C102+Formula!E102+Formula!G102+Formula!I102+Formula!K102))*(INDEX(Properties!A$1:CB$87,Formula!J102,6))</f>
        <v>11.111111111111111</v>
      </c>
      <c r="U102" s="60">
        <f>Formula!C102*(INDEX(Properties!A$1:CB$87,Formula!B102,6))+Formula!E102*(INDEX(Properties!A$1:CB$87,Formula!D102,6))+Formula!G102*(INDEX(Properties!A$1:CB$87,Formula!F102,6))+Formula!I102*(INDEX(Properties!A$1:CB$87,Formula!H102,6))+Formula!K102*(INDEX(Properties!A$1:CB$87,Formula!J102,6))</f>
        <v>200</v>
      </c>
      <c r="V102" s="89">
        <f>VARP(IF(INDEX(Properties!A$1:CB$87,Formula!B102,6)&lt;&gt;"",INDEX(Properties!A$1:CB$87,Formula!B102,6)),IF(INDEX(Properties!A$1:CB$87,Formula!D102,6)&lt;&gt;"",INDEX(Properties!A$1:CB$87,Formula!D102,6)),IF(INDEX(Properties!A$1:CB$87,Formula!F102,6)&lt;&gt;"",INDEX(Properties!A$1:CB$87,Formula!F102,6)),IF(INDEX(Properties!A$1:CB$87,Formula!H102,6)&lt;&gt;"",INDEX(Properties!A$1:CB$87,Formula!H102,6)),IF(INDEX(Properties!A$1:CB$87,Formula!J102,6)&lt;&gt;"",INDEX(Properties!A$1:CB$87,Formula!J102,6)))</f>
        <v>39.04</v>
      </c>
      <c r="W102" s="60">
        <f>MAX(INDEX(Properties!A$1:CB$87,Formula!B102,6),INDEX(Properties!A$1:CB$87,Formula!D102,6),INDEX(Properties!A$1:CB$87,Formula!F102,6),INDEX(Properties!A$1:CB$87,Formula!H102,4),INDEX(Properties!A$1:CB$87,Formula!J102,6))</f>
        <v>12</v>
      </c>
      <c r="X102" s="60">
        <f>MIN(IF(INDEX(Properties!A$1:CB$87,Formula!B102,6)=0,10^6,INDEX(Properties!A$1:CB$87,Formula!B102,6)),IF(INDEX(Properties!A$1:CB$87,Formula!D102,6)=0,10^6,INDEX(Properties!A$1:CB$87,Formula!D102,6)),IF(INDEX(Properties!A$1:CB$87,Formula!F102,6)=0,10^6,INDEX(Properties!A$1:CB$87,Formula!F102,6)),IF(INDEX(Properties!A$1:CB$87,Formula!H102,6)=0,10^6,INDEX(Properties!A$1:CB$87,Formula!H102,6)),IF(INDEX(Properties!A$1:CB$87,Formula!J102,6)=0,10^6,INDEX(Properties!A$1:CB$87,Formula!J102,6)))</f>
        <v>2</v>
      </c>
      <c r="Y102" s="60">
        <f t="shared" si="35"/>
        <v>10</v>
      </c>
      <c r="Z102" s="72">
        <f>((Formula!C102)/(Formula!C102+Formula!E102+Formula!G102+Formula!I102+Formula!K102))*(INDEX(Properties!A$1:CB$87,Formula!B102,9))+((Formula!E102)/(Formula!C102+Formula!E102+Formula!G102+Formula!I102+Formula!K102))*(INDEX(Properties!A$1:CB$87,Formula!D102,9))+((Formula!G102)/(Formula!C102+Formula!E102+Formula!G102+Formula!I102+Formula!K102))*(INDEX(Properties!A$1:CB$87,Formula!F102,9))+((Formula!I102)/(Formula!C102+Formula!E102+Formula!G102+Formula!I102+Formula!K102))*(INDEX(Properties!A$1:CB$87,Formula!H102,9))+((Formula!K102)/(Formula!C102+Formula!E102+Formula!G102+Formula!I102+Formula!K102))*(INDEX(Properties!A$1:CB$87,Formula!J102,9))</f>
        <v>59.888888888888893</v>
      </c>
      <c r="AA102" s="72">
        <f>Formula!C102*(INDEX(Properties!A$1:CB$87,Formula!B102,9))+Formula!E102*(INDEX(Properties!A$1:CB$87,Formula!D102,9))+Formula!G102*(INDEX(Properties!A$1:CB$87,Formula!F102,9))+Formula!I102*(INDEX(Properties!A$1:CB$87,Formula!H102,9))+Formula!K102*(INDEX(Properties!A$1:CB$87,Formula!J102,9))</f>
        <v>1078</v>
      </c>
      <c r="AB102" s="72">
        <f>VARP(IF(INDEX(Properties!A$1:CB$87,Formula!B102,9)&lt;&gt;"",INDEX(Properties!A$1:CB$87,Formula!B102,9)),IF(INDEX(Properties!A$1:CB$87,Formula!D102,9)&lt;&gt;"",INDEX(Properties!A$1:CB$87,Formula!D102,9)),IF(INDEX(Properties!A$1:CB$87,Formula!F102,9)&lt;&gt;"",INDEX(Properties!A$1:CB$87,Formula!F102,9)),IF(INDEX(Properties!A$1:CB$87,Formula!H102,9)&lt;&gt;"",INDEX(Properties!A$1:CB$87,Formula!H102,9)),IF(INDEX(Properties!A$1:CB$87,Formula!J102,9)&lt;&gt;"",INDEX(Properties!A$1:CB$87,Formula!J102,9)))</f>
        <v>1248.6400000000001</v>
      </c>
      <c r="AC102" s="72">
        <f>MAX(INDEX(Properties!A$1:CB$87,Formula!B102,9),INDEX(Properties!A$1:CB$87,Formula!D102,9),INDEX(Properties!A$1:CB$87,Formula!F102,9),INDEX(Properties!A$1:CB$87,Formula!H102,9),INDEX(Properties!A$1:CB$87,Formula!J102,9))</f>
        <v>87</v>
      </c>
      <c r="AD102" s="72">
        <f>MIN(IF(INDEX(Properties!A$1:CB$87,Formula!B102,9)=0,10^6,INDEX(Properties!A$1:CB$87,Formula!B102,9)),IF(INDEX(Properties!A$1:CB$87,Formula!D102,9)=0,10^6,INDEX(Properties!A$1:CB$87,Formula!D102,9)),IF(INDEX(Properties!A$1:CB$87,Formula!F102,9)=0,10^6,INDEX(Properties!A$1:CB$87,Formula!F102,9)),IF(INDEX(Properties!A$1:CB$87,Formula!H102,9)=0,10^6,INDEX(Properties!A$1:CB$87,Formula!H102,9)),IF(INDEX(Properties!A$1:CB$87,Formula!J102,9)=0,10^6,INDEX(Properties!A$1:CB$87,Formula!J102,9)))</f>
        <v>9</v>
      </c>
      <c r="AE102" s="72">
        <f t="shared" si="36"/>
        <v>78</v>
      </c>
      <c r="AF102" s="51">
        <f>((Formula!C102)/(Formula!C102+Formula!E102+Formula!G102+Formula!I102+Formula!K102))*(INDEX(Properties!A$1:CB$87,Formula!B102,10))+((Formula!E102)/(Formula!C102+Formula!E102+Formula!G102+Formula!I102+Formula!K102))*(INDEX(Properties!A$1:CB$87,Formula!D102,10))+((Formula!G102)/(Formula!C102+Formula!E102+Formula!G102+Formula!I102+Formula!K102))*(INDEX(Properties!A$1:CB$87,Formula!F102,10))+((Formula!I102)/(Formula!C102+Formula!E102+Formula!G102+Formula!I102+Formula!K102))*(INDEX(Properties!A$1:CB$87,Formula!H102,10))+((Formula!K102)/(Formula!C102+Formula!E102+Formula!G102+Formula!I102+Formula!K102))*(INDEX(Properties!A$1:CB$87,Formula!J102,10))</f>
        <v>5.2222222222222223</v>
      </c>
      <c r="AG102" s="51">
        <f>Formula!C102*(INDEX(Properties!A$1:CB$87,Formula!B102,10))+Formula!E102*(INDEX(Properties!A$1:CB$87,Formula!D102,10))+Formula!G102*(INDEX(Properties!A$1:CB$87,Formula!F102,10))+Formula!I102*(INDEX(Properties!A$1:CB$87,Formula!H102,10))+Formula!K102*(INDEX(Properties!A$1:CB$87,Formula!J102,10))</f>
        <v>94</v>
      </c>
      <c r="AH102" s="51">
        <f>VARP(IF(INDEX(Properties!A$1:CB$87,Formula!B102,10)&lt;&gt;"",INDEX(Properties!A$1:CB$87,Formula!B102,10)),IF(INDEX(Properties!A$1:CB$87,Formula!D102,10)&lt;&gt;"",INDEX(Properties!A$1:CB$87,Formula!D102,10)),IF(INDEX(Properties!A$1:CB$87,Formula!F102,10)&lt;&gt;"",INDEX(Properties!A$1:CB$87,Formula!F102,10)),IF(INDEX(Properties!A$1:CB$87,Formula!H102,10)&lt;&gt;"",INDEX(Properties!A$1:CB$87,Formula!H102,10)),IF(INDEX(Properties!A$1:CB$87,Formula!J102,10)&lt;&gt;"",INDEX(Properties!A$1:CB$87,Formula!J102,10)))</f>
        <v>5.36</v>
      </c>
      <c r="AI102" s="51">
        <f>MAX(INDEX(Properties!A$1:CB$87,Formula!B102,10),INDEX(Properties!A$1:CB$87,Formula!D102,10),INDEX(Properties!A$1:CB$87,Formula!F102,10),INDEX(Properties!A$1:CB$87,Formula!H102,10),INDEX(Properties!A$1:CB$87,Formula!J102,10))</f>
        <v>7</v>
      </c>
      <c r="AJ102" s="51">
        <f>MIN(IF(INDEX(Properties!A$1:CB$87,Formula!B102,10)=0,10^6,INDEX(Properties!A$1:CB$87,Formula!B102,10)),IF(INDEX(Properties!A$1:CB$87,Formula!D102,10)=0,10^6,INDEX(Properties!A$1:CB$87,Formula!D102,10)),IF(INDEX(Properties!A$1:CB$87,Formula!F102,10)=0,10^6,INDEX(Properties!A$1:CB$87,Formula!F102,10)),IF(INDEX(Properties!A$1:CB$87,Formula!H102,10)=0,10^6,INDEX(Properties!A$1:CB$87,Formula!H102,10)),IF(INDEX(Properties!A$1:CB$87,Formula!J102,10)=0,10^6,INDEX(Properties!A$1:CB$87,Formula!J102,10)))</f>
        <v>2</v>
      </c>
      <c r="AK102" s="51">
        <f t="shared" si="37"/>
        <v>5</v>
      </c>
      <c r="AL102" s="57">
        <f>((Formula!C102)/(Formula!C102+Formula!E102+Formula!G102+Formula!I102+Formula!K102))*(INDEX(Properties!A$1:CB$87,Formula!B102,11))+((Formula!E102)/(Formula!C102+Formula!E102+Formula!G102+Formula!I102+Formula!K102))*(INDEX(Properties!A$1:CB$87,Formula!D102,11))+((Formula!G102)/(Formula!C102+Formula!E102+Formula!G102+Formula!I102+Formula!K102))*(INDEX(Properties!A$1:CB$87,Formula!F102,11))+((Formula!I102)/(Formula!C102+Formula!E102+Formula!G102+Formula!I102+Formula!K102))*(INDEX(Properties!A$1:CB$87,Formula!H102,11))+((Formula!K102)/(Formula!C102+Formula!E102+Formula!G102+Formula!I102+Formula!K102))*(INDEX(Properties!A$1:CB$87,Formula!J102,11))</f>
        <v>2</v>
      </c>
      <c r="AM102" s="57">
        <f>Formula!C102*(INDEX(Properties!A$1:CB$87,Formula!B102,11))+Formula!E102*(INDEX(Properties!A$1:CB$87,Formula!D102,11))+Formula!G102*(INDEX(Properties!A$1:CB$87,Formula!F102,11))+Formula!I102*(INDEX(Properties!A$1:CB$87,Formula!H102,11))+Formula!K102*(INDEX(Properties!A$1:CB$87,Formula!J102,11))</f>
        <v>36</v>
      </c>
      <c r="AN102" s="57">
        <f>VARP(IF(INDEX(Properties!A$1:CB$87,Formula!B102,11)&lt;&gt;"",INDEX(Properties!A$1:CB$87,Formula!B102,11)),IF(INDEX(Properties!A$1:CB$87,Formula!D102,11)&lt;&gt;"",INDEX(Properties!A$1:CB$87,Formula!D102,11)),IF(INDEX(Properties!A$1:CB$87,Formula!F102,11)&lt;&gt;"",INDEX(Properties!A$1:CB$87,Formula!F102,11)),IF(INDEX(Properties!A$1:CB$87,Formula!H102,11)&lt;&gt;"",INDEX(Properties!A$1:CB$87,Formula!H102,11)),IF(INDEX(Properties!A$1:CB$87,Formula!J102,11)&lt;&gt;"",INDEX(Properties!A$1:CB$87,Formula!J102,11)))</f>
        <v>0.64</v>
      </c>
      <c r="AO102" s="57">
        <f>MAX(INDEX(Properties!A$1:CB$87,Formula!B102,11),INDEX(Properties!A$1:CB$87,Formula!D102,11),INDEX(Properties!A$1:CB$87,Formula!F102,11),INDEX(Properties!A$1:CB$87,Formula!H102,11),INDEX(Properties!A$1:CB$87,Formula!J102,11))</f>
        <v>2</v>
      </c>
      <c r="AP102" s="57">
        <f>MIN(IF(Formula!B102=87,10^6,INDEX(Properties!A$1:CB$87,Formula!B102,11)),IF((Formula!D102)=87,10^6,INDEX(Properties!A$1:CB$87,Formula!D102,11)),IF((Formula!F102)=87,10^6,INDEX(Properties!A$1:CB$87,Formula!F102,11)),IF((Formula!H102)=87,10^6,INDEX(Properties!A$1:CB$87,Formula!H102,11)),IF(Formula!J102=87,10^6,INDEX(Properties!A$1:CB$87,Formula!J102,11)))</f>
        <v>2</v>
      </c>
      <c r="AQ102" s="57">
        <f t="shared" si="38"/>
        <v>0</v>
      </c>
      <c r="AR102" s="78">
        <f>((Formula!C102)/(Formula!C102+Formula!E102+Formula!G102+Formula!I102+Formula!K102))*(INDEX(Properties!A$1:CB$87,Formula!B102,12))+((Formula!E102)/(Formula!C102+Formula!E102+Formula!G102+Formula!I102+Formula!K102))*(INDEX(Properties!A$1:CB$87,Formula!D102,12))+((Formula!G102)/(Formula!C102+Formula!E102+Formula!G102+Formula!I102+Formula!K102))*(INDEX(Properties!A$1:CB$87,Formula!F102,12))+((Formula!I102)/(Formula!C102+Formula!E102+Formula!G102+Formula!I102+Formula!K102))*(INDEX(Properties!A$1:CB$87,Formula!H102,12))+((Formula!K102)/(Formula!C102+Formula!E102+Formula!G102+Formula!I102+Formula!K102))*(INDEX(Properties!A$1:CB$87,Formula!J102,12))</f>
        <v>2.2222222222222223</v>
      </c>
      <c r="AS102" s="78">
        <f>Formula!C102*(INDEX(Properties!A$1:CB$87,Formula!B102,12))+Formula!E102*(INDEX(Properties!A$1:CB$87,Formula!D102,12))+Formula!G102*(INDEX(Properties!A$1:CB$87,Formula!F102,12))+Formula!I102*(INDEX(Properties!A$1:CB$87,Formula!H102,12))+Formula!K102*(INDEX(Properties!A$1:CB$87,Formula!J102,12))</f>
        <v>40</v>
      </c>
      <c r="AT102" s="78">
        <f>VARP(IF(INDEX(Properties!A$1:CB$87,Formula!B102,12)&lt;&gt;"",INDEX(Properties!A$1:CB$87,Formula!B102,12)),IF(INDEX(Properties!A$1:CB$87,Formula!D102,12)&lt;&gt;"",INDEX(Properties!A$1:CB$87,Formula!D102,12)),IF(INDEX(Properties!A$1:CB$87,Formula!F102,12)&lt;&gt;"",INDEX(Properties!A$1:CB$87,Formula!F102,12)),IF(INDEX(Properties!A$1:CB$87,Formula!H102,12)&lt;&gt;"",INDEX(Properties!A$1:CB$87,Formula!H102,12)),IF(INDEX(Properties!A$1:CB$87,Formula!J102,12)&lt;&gt;"",INDEX(Properties!A$1:CB$87,Formula!J102,12)))</f>
        <v>2.56</v>
      </c>
      <c r="AU102" s="78">
        <f>MAX(INDEX(Properties!A$1:CB$87,Formula!B102,12),INDEX(Properties!A$1:CB$87,Formula!D102,12),INDEX(Properties!A$1:CB$87,Formula!F102,12),INDEX(Properties!A$1:CB$87,Formula!H102,12),INDEX(Properties!A$1:CB$87,Formula!J102,12))</f>
        <v>4</v>
      </c>
      <c r="AV102" s="78">
        <f>MIN(IF(Formula!B102=87,10^6,INDEX(Properties!A$1:CB$87,Formula!B102,12)),IF((Formula!D102)=87,10^6,INDEX(Properties!A$1:CB$87,Formula!D102,12)),IF((Formula!F102)=87,10^6,INDEX(Properties!A$1:CB$87,Formula!F102,12)),IF((Formula!H102)=87,10^6,INDEX(Properties!A$1:CB$87,Formula!H102,12)),IF(Formula!J102=87,10^6,INDEX(Properties!A$1:CB$87,Formula!J102,12)))</f>
        <v>0</v>
      </c>
      <c r="AW102" s="78">
        <f t="shared" si="39"/>
        <v>4</v>
      </c>
      <c r="AX102" s="45">
        <f>((Formula!C102)/(Formula!C102+Formula!E102+Formula!G102+Formula!I102+Formula!K102))*(INDEX(Properties!A$1:CB$87,Formula!B102,13))+((Formula!E102)/(Formula!C102+Formula!E102+Formula!G102+Formula!I102+Formula!K102))*(INDEX(Properties!A$1:CB$87,Formula!D102,13))+((Formula!G102)/(Formula!C102+Formula!E102+Formula!G102+Formula!I102+Formula!K102))*(INDEX(Properties!A$1:CB$87,Formula!F102,13))+((Formula!I102)/(Formula!C102+Formula!E102+Formula!G102+Formula!I102+Formula!K102))*(INDEX(Properties!A$1:CB$87,Formula!H102,13))+((Formula!K102)/(Formula!C102+Formula!E102+Formula!G102+Formula!I102+Formula!K102))*(INDEX(Properties!A$1:CB$87,Formula!J102,13))</f>
        <v>1.3333333333333335</v>
      </c>
      <c r="AY102" s="45">
        <f>Formula!C102*(INDEX(Properties!A$1:CB$87,Formula!B102,13))+Formula!E102*(INDEX(Properties!A$1:CB$87,Formula!D102,13))+Formula!G102*(INDEX(Properties!A$1:CB$87,Formula!F102,13))+Formula!I102*(INDEX(Properties!A$1:CB$87,Formula!H102,13))+Formula!K102*(INDEX(Properties!A$1:CB$87,Formula!J102,13))</f>
        <v>24</v>
      </c>
      <c r="AZ102" s="45">
        <f>VARP(IF(INDEX(Properties!A$1:CB$87,Formula!B102,13)&lt;&gt;"",INDEX(Properties!A$1:CB$87,Formula!B102,13)),IF(INDEX(Properties!A$1:CB$87,Formula!D102,13)&lt;&gt;"",INDEX(Properties!A$1:CB$87,Formula!D102,13)),IF(INDEX(Properties!A$1:CB$87,Formula!F102,13)&lt;&gt;"",INDEX(Properties!A$1:CB$87,Formula!F102,13)),IF(INDEX(Properties!A$1:CB$87,Formula!H102,13)&lt;&gt;"",INDEX(Properties!A$1:CB$87,Formula!H102,13)),IF(INDEX(Properties!A$1:CB$87,Formula!J102,13)&lt;&gt;"",INDEX(Properties!A$1:CB$87,Formula!J102,13)))</f>
        <v>15.36</v>
      </c>
      <c r="BA102" s="45">
        <f>MAX(INDEX(Properties!A$1:CB$87,Formula!B102,13),INDEX(Properties!A$1:CB$87,Formula!D102,13),INDEX(Properties!A$1:CB$87,Formula!F102,13),INDEX(Properties!A$1:CB$87,Formula!H102,13),INDEX(Properties!A$1:CB$87,Formula!J102,13))</f>
        <v>10</v>
      </c>
      <c r="BB102" s="45">
        <f>MIN(IF(Formula!B102=87,10^6,INDEX(Properties!A$1:CB$87,Formula!B102,13)),IF((Formula!D102)=87,10^6,INDEX(Properties!A$1:CB$87,Formula!D102,13)),IF((Formula!F102)=87,10^6,INDEX(Properties!A$1:CB$87,Formula!F102,13)),IF((Formula!H102)=87,10^6,INDEX(Properties!A$1:CB$87,Formula!H102,13)),IF(Formula!J102=87,10^6,INDEX(Properties!A$1:CB$87,Formula!J102,13)))</f>
        <v>0</v>
      </c>
      <c r="BC102" s="45">
        <f t="shared" si="40"/>
        <v>10</v>
      </c>
      <c r="BD102" s="63">
        <f>((Formula!C102)/(Formula!C102+Formula!E102+Formula!G102+Formula!I102+Formula!K102))*(INDEX(Properties!A$1:CB$87,Formula!B102,14))+((Formula!E102)/(Formula!C102+Formula!E102+Formula!G102+Formula!I102+Formula!K102))*(INDEX(Properties!A$1:CB$87,Formula!D102,14))+((Formula!G102)/(Formula!C102+Formula!E102+Formula!G102+Formula!I102+Formula!K102))*(INDEX(Properties!A$1:CB$87,Formula!F102,14))+((Formula!I102)/(Formula!C102+Formula!E102+Formula!G102+Formula!I102+Formula!K102))*(INDEX(Properties!A$1:CB$87,Formula!H102,14))+((Formula!K102)/(Formula!C102+Formula!E102+Formula!G102+Formula!I102+Formula!K102))*(INDEX(Properties!A$1:CB$87,Formula!J102,14))</f>
        <v>0</v>
      </c>
      <c r="BE102" s="63">
        <f>Formula!C102*(INDEX(Properties!A$1:CB$87,Formula!B102,14))+Formula!E102*(INDEX(Properties!A$1:CB$87,Formula!D102,14))+Formula!G102*(INDEX(Properties!A$1:CB$87,Formula!F102,14))+Formula!I102*(INDEX(Properties!A$1:CB$87,Formula!H102,14))+Formula!K102*(INDEX(Properties!A$1:CB$87,Formula!J102,14))</f>
        <v>0</v>
      </c>
      <c r="BF102" s="63">
        <f>VARP(IF(INDEX(Properties!A$1:CB$87,Formula!B102,14)&lt;&gt;"",INDEX(Properties!A$1:CB$87,Formula!B102,14)),IF(INDEX(Properties!A$1:CB$87,Formula!D102,14)&lt;&gt;"",INDEX(Properties!A$1:CB$87,Formula!D102,14)),IF(INDEX(Properties!A$1:CB$87,Formula!F102,14)&lt;&gt;"",INDEX(Properties!A$1:CB$87,Formula!F102,14)),IF(INDEX(Properties!A$1:CB$87,Formula!H102,14)&lt;&gt;"",INDEX(Properties!A$1:CB$87,Formula!H102,14)),IF(INDEX(Properties!A$1:CB$87,Formula!J102,14)&lt;&gt;"",INDEX(Properties!A$1:CB$87,Formula!J102,14)))</f>
        <v>0</v>
      </c>
      <c r="BG102" s="63">
        <f>MAX(INDEX(Properties!A$1:CB$87,Formula!B102,14),INDEX(Properties!A$1:CB$87,Formula!D102,14),INDEX(Properties!A$1:CB$87,Formula!F102,14),INDEX(Properties!A$1:CB$87,Formula!H102,14),INDEX(Properties!A$1:CB$87,Formula!J102,14))</f>
        <v>0</v>
      </c>
      <c r="BH102" s="63">
        <f>MIN(IF(Formula!B102=87,10^6,INDEX(Properties!A$1:CB$87,Formula!B102,14)),IF((Formula!D102)=87,10^6,INDEX(Properties!A$1:CB$87,Formula!D102,14)),IF((Formula!F102)=87,10^6,INDEX(Properties!A$1:CB$87,Formula!F102,14)),IF((Formula!H102)=87,10^6,INDEX(Properties!A$1:CB$87,Formula!H102,14)),IF(Formula!J102=87,10^6,INDEX(Properties!A$1:CB$87,Formula!J102,14)))</f>
        <v>0</v>
      </c>
      <c r="BI102" s="63">
        <f t="shared" si="41"/>
        <v>0</v>
      </c>
      <c r="BJ102" s="75">
        <f>((Formula!C102)/(Formula!C102+Formula!E102+Formula!G102+Formula!I102+Formula!K102))*(INDEX(Properties!A$1:CB$87,Formula!B102,19))+((Formula!E102)/(Formula!C102+Formula!E102+Formula!G102+Formula!I102+Formula!K102))*(INDEX(Properties!A$1:CB$87,Formula!D102,19))+((Formula!G102)/(Formula!C102+Formula!E102+Formula!G102+Formula!I102+Formula!K102))*(INDEX(Properties!A$1:CB$87,Formula!F102,19))+((Formula!I102)/(Formula!C102+Formula!E102+Formula!G102+Formula!I102+Formula!K102))*(INDEX(Properties!A$1:CB$87,Formula!H102,19))+((Formula!K102)/(Formula!C102+Formula!E102+Formula!G102+Formula!I102+Formula!K102))*(INDEX(Properties!A$1:CB$87,Formula!J102,19))</f>
        <v>5.5555555555555554</v>
      </c>
      <c r="BK102" s="75">
        <f>Formula!C102*(INDEX(Properties!A$1:CB$87,Formula!B102,19))+Formula!E102*(INDEX(Properties!A$1:CB$87,Formula!D102,19))+Formula!G102*(INDEX(Properties!A$1:CB$87,Formula!F102,19))+Formula!I102*(INDEX(Properties!A$1:CB$87,Formula!H102,19))+Formula!K102*(INDEX(Properties!A$1:CB$87,Formula!J102,19))</f>
        <v>100</v>
      </c>
      <c r="BL102" s="75">
        <f>VARP(IF(INDEX(Properties!A$1:CB$87,Formula!B102,19)&lt;&gt;"",INDEX(Properties!A$1:CB$87,Formula!B102,19)),IF(INDEX(Properties!A$1:CB$87,Formula!D102,19)&lt;&gt;"",INDEX(Properties!A$1:CB$87,Formula!D102,19)),IF(INDEX(Properties!A$1:CB$87,Formula!F102,19)&lt;&gt;"",INDEX(Properties!A$1:CB$87,Formula!F102,19)),IF(INDEX(Properties!A$1:CB$87,Formula!H102,19)&lt;&gt;"",INDEX(Properties!A$1:CB$87,Formula!H102,19)),IF(INDEX(Properties!A$1:CB$87,Formula!J102,19)&lt;&gt;"",INDEX(Properties!A$1:CB$87,Formula!J102,19)))</f>
        <v>17.440000000000001</v>
      </c>
      <c r="BM102" s="75">
        <f>MAX(INDEX(Properties!A$1:CB$87,Formula!B102,19),INDEX(Properties!A$1:CB$87,Formula!D102,19),INDEX(Properties!A$1:CB$87,Formula!F102,19),INDEX(Properties!A$1:CB$87,Formula!H102,19),INDEX(Properties!A$1:CB$87,Formula!J102,19))</f>
        <v>12</v>
      </c>
      <c r="BN102" s="75">
        <f>MIN(IF(INDEX(Properties!A$1:CB$87,Formula!B102,19)=0,10^6,INDEX(Properties!A$1:CB$87,Formula!B102,19)),IF(INDEX(Properties!A$1:CB$87,Formula!D102,19)=0,10^6,INDEX(Properties!A$1:CB$87,Formula!D102,19)),IF(INDEX(Properties!A$1:CB$87,Formula!F102,19)=0,10^6,INDEX(Properties!A$1:CB$87,Formula!F102,19)),IF(INDEX(Properties!A$1:CB$87,Formula!H102,19)=0,10^6,INDEX(Properties!A$1:CB$87,Formula!H102,19)),IF(INDEX(Properties!A$1:CB$87,Formula!J102,19)=0,10^6,INDEX(Properties!A$1:CB$87,Formula!J102,19)))</f>
        <v>2</v>
      </c>
      <c r="BO102" s="75">
        <f t="shared" si="42"/>
        <v>10</v>
      </c>
      <c r="BP102" s="48">
        <f>((Formula!C102)/(Formula!C102+Formula!E102+Formula!G102+Formula!I102+Formula!K102))*(INDEX(Properties!A$1:CB$87,Formula!B102,20))+((Formula!E102)/(Formula!C102+Formula!E102+Formula!G102+Formula!I102+Formula!K102))*(INDEX(Properties!A$1:CB$87,Formula!D102,20))+((Formula!G102)/(Formula!C102+Formula!E102+Formula!G102+Formula!I102+Formula!K102))*(INDEX(Properties!A$1:CB$87,Formula!F102,20))+((Formula!I102)/(Formula!C102+Formula!E102+Formula!G102+Formula!I102+Formula!K102))*(INDEX(Properties!A$1:CB$87,Formula!H102,20))+((Formula!K102)/(Formula!C102+Formula!E102+Formula!G102+Formula!I102+Formula!K102))*(INDEX(Properties!A$1:CB$87,Formula!J102,20))</f>
        <v>4.2222222222222223</v>
      </c>
      <c r="BQ102" s="48">
        <f>Formula!C102*(INDEX(Properties!A$1:CB$87,Formula!B102,20))+Formula!E102*(INDEX(Properties!A$1:CB$87,Formula!D102,20))+Formula!G102*(INDEX(Properties!A$1:CB$87,Formula!F102,20))+Formula!I102*(INDEX(Properties!A$1:CB$87,Formula!H102,20))+Formula!K102*(INDEX(Properties!A$1:CB$87,Formula!J102,20))</f>
        <v>76</v>
      </c>
      <c r="BR102" s="48">
        <f>VARP(IF(INDEX(Properties!A$1:CB$87,Formula!B102,20)&lt;&gt;"",INDEX(Properties!A$1:CB$87,Formula!B102,20)),IF(INDEX(Properties!A$1:CB$87,Formula!D102,20)&lt;&gt;"",INDEX(Properties!A$1:CB$87,Formula!D102,20)),IF(INDEX(Properties!A$1:CB$87,Formula!F102,20)&lt;&gt;"",INDEX(Properties!A$1:CB$87,Formula!F102,20)),IF(INDEX(Properties!A$1:CB$87,Formula!H102,20)&lt;&gt;"",INDEX(Properties!A$1:CB$87,Formula!H102,20)),IF(INDEX(Properties!A$1:CB$87,Formula!J102,20)&lt;&gt;"",INDEX(Properties!A$1:CB$87,Formula!J102,20)))</f>
        <v>3.84</v>
      </c>
      <c r="BS102" s="48">
        <f>MAX(INDEX(Properties!A$1:CB$87,Formula!B102,20),INDEX(Properties!A$1:CB$87,Formula!D102,20),INDEX(Properties!A$1:CB$87,Formula!F102,20),INDEX(Properties!A$1:CB$87,Formula!H102,20),INDEX(Properties!A$1:CB$87,Formula!J102,20))</f>
        <v>6</v>
      </c>
      <c r="BT102" s="48">
        <f>MIN(IF(INDEX(Properties!A$1:CB$87,Formula!B102,20)=0,10^6,INDEX(Properties!A$1:CB$87,Formula!B102,20)),IF(INDEX(Properties!A$1:CB$87,Formula!D102,20)=0,10^6,INDEX(Properties!A$1:CB$87,Formula!D102,20)),IF(INDEX(Properties!A$1:CB$87,Formula!F102,20)=0,10^6,INDEX(Properties!A$1:CB$87,Formula!F102,20)),IF(INDEX(Properties!A$1:CB$87,Formula!H102,20)=0,10^6,INDEX(Properties!A$1:CB$87,Formula!H102,20)),IF(INDEX(Properties!A$1:CB$87,Formula!J102,20)=0,10^6,INDEX(Properties!A$1:CB$87,Formula!J102,20)))</f>
        <v>2</v>
      </c>
      <c r="BU102" s="48">
        <f t="shared" si="43"/>
        <v>4</v>
      </c>
      <c r="BV102" s="66">
        <f>((Formula!C102)/(Formula!C102+Formula!E102+Formula!G102+Formula!I102+Formula!K102))*(INDEX(Properties!A$1:CB$87,Formula!B102,21))+((Formula!E102)/(Formula!C102+Formula!E102+Formula!G102+Formula!I102+Formula!K102))*(INDEX(Properties!A$1:CB$87,Formula!D102,21))+((Formula!G102)/(Formula!C102+Formula!E102+Formula!G102+Formula!I102+Formula!K102))*(INDEX(Properties!A$1:CB$87,Formula!F102,21))+((Formula!I102)/(Formula!C102+Formula!E102+Formula!G102+Formula!I102+Formula!K102))*(INDEX(Properties!A$1:CB$87,Formula!H102,21))+((Formula!K102)/(Formula!C102+Formula!E102+Formula!G102+Formula!I102+Formula!K102))*(INDEX(Properties!A$1:CB$87,Formula!J102,21))</f>
        <v>3.8888888888888893</v>
      </c>
      <c r="BW102" s="66">
        <f>Formula!C102*(INDEX(Properties!A$1:CB$87,Formula!B102,21))+Formula!E102*(INDEX(Properties!A$1:CB$87,Formula!D102,21))+Formula!G102*(INDEX(Properties!A$1:CB$87,Formula!F102,21))+Formula!I102*(INDEX(Properties!A$1:CB$87,Formula!H102,21))+Formula!K102*(INDEX(Properties!A$1:CB$87,Formula!J102,21))</f>
        <v>70</v>
      </c>
      <c r="BX102" s="66">
        <f>VARP(IF(INDEX(Properties!A$1:CB$87,Formula!B102,21)&lt;&gt;"",INDEX(Properties!A$1:CB$87,Formula!B102,21)),IF(INDEX(Properties!A$1:CB$87,Formula!D102,21)&lt;&gt;"",INDEX(Properties!A$1:CB$87,Formula!D102,21)),IF(INDEX(Properties!A$1:CB$87,Formula!F102,21)&lt;&gt;"",INDEX(Properties!A$1:CB$87,Formula!F102,21)),IF(INDEX(Properties!A$1:CB$87,Formula!H102,21)&lt;&gt;"",INDEX(Properties!A$1:CB$87,Formula!H102,21)),IF(INDEX(Properties!A$1:CB$87,Formula!J102,21)&lt;&gt;"",INDEX(Properties!A$1:CB$87,Formula!J102,21)))</f>
        <v>4.4000000000000004</v>
      </c>
      <c r="BY102" s="66">
        <f>MAX(INDEX(Properties!A$1:CB$87,Formula!B102,21),INDEX(Properties!A$1:CB$87,Formula!D102,21),INDEX(Properties!A$1:CB$87,Formula!F102,21),INDEX(Properties!A$1:CB$87,Formula!H102,21),INDEX(Properties!A$1:CB$87,Formula!J102,21))</f>
        <v>6</v>
      </c>
      <c r="BZ102" s="66">
        <f>MIN(IF(INDEX(Properties!A$1:CB$87,Formula!B102,21)=0,10^6,INDEX(Properties!A$1:CB$87,Formula!B102,21)),IF(INDEX(Properties!A$1:CB$87,Formula!D102,21)=0,10^6,INDEX(Properties!A$1:CB$87,Formula!D102,21)),IF(INDEX(Properties!A$1:CB$87,Formula!F102,21)=0,10^6,INDEX(Properties!A$1:CB$87,Formula!F102,21)),IF(INDEX(Properties!A$1:CB$87,Formula!H102,21)=0,10^6,INDEX(Properties!A$1:CB$87,Formula!H102,21)),IF(INDEX(Properties!A$1:CB$87,Formula!J102,21)=0,10^6,INDEX(Properties!A$1:CB$87,Formula!J102,21)))</f>
        <v>1</v>
      </c>
      <c r="CA102" s="66">
        <f t="shared" si="44"/>
        <v>5</v>
      </c>
      <c r="CB102" s="81">
        <f>((Formula!C102)/(Formula!C102+Formula!E102+Formula!G102+Formula!I102+Formula!K102))*(INDEX(Properties!A$1:CB$87,Formula!B102,23))+((Formula!E102)/(Formula!C102+Formula!E102+Formula!G102+Formula!I102+Formula!K102))*(INDEX(Properties!A$1:CB$87,Formula!D102,23))+((Formula!G102)/(Formula!C102+Formula!E102+Formula!G102+Formula!I102+Formula!K102))*(INDEX(Properties!A$1:CB$87,Formula!F102,23))+((Formula!I102)/(Formula!C102+Formula!E102+Formula!G102+Formula!I102+Formula!K102))*(INDEX(Properties!A$1:CB$87,Formula!H102,23))+((Formula!K102)/(Formula!C102+Formula!E102+Formula!G102+Formula!I102+Formula!K102))*(INDEX(Properties!A$1:CB$87,Formula!J102,23))</f>
        <v>1.3822222222222222</v>
      </c>
      <c r="CC102" s="81">
        <f>Formula!C102*(INDEX(Properties!A$1:CB$87,Formula!B102,23))+Formula!E102*(INDEX(Properties!A$1:CB$87,Formula!D102,23))+Formula!G102*(INDEX(Properties!A$1:CB$87,Formula!F102,23))+Formula!I102*(INDEX(Properties!A$1:CB$87,Formula!H102,23))+Formula!K102*(INDEX(Properties!A$1:CB$87,Formula!J102,23))</f>
        <v>24.880000000000003</v>
      </c>
      <c r="CD102" s="81">
        <f>VARP(IF(INDEX(Properties!A$1:CB$87,Formula!B102,23)&lt;&gt;"",INDEX(Properties!A$1:CB$87,Formula!B102,23)),IF(INDEX(Properties!A$1:CB$87,Formula!D102,23)&lt;&gt;"",INDEX(Properties!A$1:CB$87,Formula!D102,23)),IF(INDEX(Properties!A$1:CB$87,Formula!F102,23)&lt;&gt;"",INDEX(Properties!A$1:CB$87,Formula!F102,23)),IF(INDEX(Properties!A$1:CB$87,Formula!H102,23)&lt;&gt;"",INDEX(Properties!A$1:CB$87,Formula!H102,23)),IF(INDEX(Properties!A$1:CB$87,Formula!J102,23)&lt;&gt;"",INDEX(Properties!A$1:CB$87,Formula!J102,23)))</f>
        <v>2.9781759999999986</v>
      </c>
      <c r="CE102" s="81">
        <f>MAX(INDEX(Properties!A$1:CB$87,Formula!B102,23),INDEX(Properties!A$1:CB$87,Formula!D102,23),INDEX(Properties!A$1:CB$87,Formula!F102,23),INDEX(Properties!A$1:CB$87,Formula!H102,23),INDEX(Properties!A$1:CB$87,Formula!J102,23))</f>
        <v>4.4400000000000004</v>
      </c>
      <c r="CF102" s="81">
        <f>MIN(IF(Formula!B102=87,10^6,INDEX(Properties!A$1:CB$87,Formula!B102,23)),IF((Formula!D102)=87,10^6,INDEX(Properties!A$1:CB$87,Formula!D102,23)),IF((Formula!F102)=87,10^6,INDEX(Properties!A$1:CB$87,Formula!F102,23)),IF((Formula!H102)=87,10^6,INDEX(Properties!A$1:CB$87,Formula!H102,23)),IF(Formula!J102=87,10^6,INDEX(Properties!A$1:CB$87,Formula!J102,23)))</f>
        <v>0</v>
      </c>
      <c r="CG102" s="81">
        <f t="shared" si="45"/>
        <v>4.4400000000000004</v>
      </c>
      <c r="CH102" s="39">
        <f>((Formula!C102)/(Formula!C102+Formula!E102+Formula!G102+Formula!I102+Formula!K102))*(INDEX(Properties!A$1:CB$87,Formula!B102,26))+((Formula!E102)/(Formula!C102+Formula!E102+Formula!G102+Formula!I102+Formula!K102))*(INDEX(Properties!A$1:CB$87,Formula!D102,26))+((Formula!G102)/(Formula!C102+Formula!E102+Formula!G102+Formula!I102+Formula!K102))*(INDEX(Properties!A$1:CB$87,Formula!F102,26))+((Formula!I102)/(Formula!C102+Formula!E102+Formula!G102+Formula!I102+Formula!K102))*(INDEX(Properties!A$1:CB$87,Formula!H102,26))+((Formula!K102)/(Formula!C102+Formula!E102+Formula!G102+Formula!I102+Formula!K102))*(INDEX(Properties!A$1:CB$87,Formula!J102,26))</f>
        <v>10.4278</v>
      </c>
      <c r="CI102" s="39">
        <f>Formula!C102*(INDEX(Properties!A$1:CB$87,Formula!B102,26))+Formula!E102*(INDEX(Properties!A$1:CB$87,Formula!D102,26))+Formula!G102*(INDEX(Properties!A$1:CB$87,Formula!F102,26))+Formula!I102*(INDEX(Properties!A$1:CB$87,Formula!H102,26))+Formula!K102*(INDEX(Properties!A$1:CB$87,Formula!J102,26))</f>
        <v>187.7004</v>
      </c>
      <c r="CJ102" s="39">
        <f>VARP(IF(INDEX(Properties!A$1:CB$87,Formula!B102,26)&lt;&gt;"",INDEX(Properties!A$1:CB$87,Formula!B102,26)),IF(INDEX(Properties!A$1:CB$87,Formula!D102,26)&lt;&gt;"",INDEX(Properties!A$1:CB$87,Formula!D102,26)),IF(INDEX(Properties!A$1:CB$87,Formula!F102,26)&lt;&gt;"",INDEX(Properties!A$1:CB$87,Formula!F102,26)),IF(INDEX(Properties!A$1:CB$87,Formula!H102,26)&lt;&gt;"",INDEX(Properties!A$1:CB$87,Formula!H102,26)),IF(INDEX(Properties!A$1:CB$87,Formula!J102,26)&lt;&gt;"",INDEX(Properties!A$1:CB$87,Formula!J102,26)))</f>
        <v>20.693420717600002</v>
      </c>
      <c r="CK102" s="39">
        <f>MAX(INDEX(Properties!A$1:CB$87,Formula!B102,26),INDEX(Properties!A$1:CB$87,Formula!D102,26),INDEX(Properties!A$1:CB$87,Formula!F102,26),INDEX(Properties!A$1:CB$87,Formula!H102,26),INDEX(Properties!A$1:CB$87,Formula!J102,26))</f>
        <v>13.6181</v>
      </c>
      <c r="CL102" s="39">
        <f>MIN(IF(INDEX(Properties!A$1:CB$87,Formula!B102,26)=0,10^6,INDEX(Properties!A$1:CB$87,Formula!B102,26)),IF(INDEX(Properties!A$1:CB$87,Formula!D102,26)=0,10^6,INDEX(Properties!A$1:CB$87,Formula!D102,26)),IF(INDEX(Properties!A$1:CB$87,Formula!F102,26)=0,10^6,INDEX(Properties!A$1:CB$87,Formula!F102,26)),IF(INDEX(Properties!A$1:CB$87,Formula!H102,26)=0,10^6,INDEX(Properties!A$1:CB$87,Formula!H102,26)),IF(INDEX(Properties!A$1:CB$87,Formula!J102,26)=0,10^6,INDEX(Properties!A$1:CB$87,Formula!J102,26)))</f>
        <v>5.2117000000000004</v>
      </c>
      <c r="CM102" s="39">
        <f t="shared" si="46"/>
        <v>8.4063999999999997</v>
      </c>
      <c r="CN102" s="54">
        <f>((Formula!C102)/(Formula!C102+Formula!E102+Formula!G102+Formula!I102+Formula!K102))*(INDEX(Properties!A$1:CB$87,Formula!B102,30))+((Formula!E102)/(Formula!C102+Formula!E102+Formula!G102+Formula!I102+Formula!K102))*(INDEX(Properties!A$1:CB$87,Formula!D102,30))+((Formula!G102)/(Formula!C102+Formula!E102+Formula!G102+Formula!I102+Formula!K102))*(INDEX(Properties!A$1:CB$87,Formula!F102,30))+((Formula!I102)/(Formula!C102+Formula!E102+Formula!G102+Formula!I102+Formula!K102))*(INDEX(Properties!A$1:CB$87,Formula!H102,30))+((Formula!K102)/(Formula!C102+Formula!E102+Formula!G102+Formula!I102+Formula!K102))*(INDEX(Properties!A$1:CB$87,Formula!J102,30))</f>
        <v>2.4377777777777778</v>
      </c>
      <c r="CO102" s="54">
        <f>Formula!C102*(INDEX(Properties!A$1:CB$87,Formula!B102,30))+Formula!E102*(INDEX(Properties!A$1:CB$87,Formula!D102,30))+Formula!G102*(INDEX(Properties!A$1:CB$87,Formula!F102,30))+Formula!I102*(INDEX(Properties!A$1:CB$87,Formula!H102,30))+Formula!K102*(INDEX(Properties!A$1:CB$87,Formula!J102,30))</f>
        <v>43.879999999999995</v>
      </c>
      <c r="CP102" s="54">
        <f>VARP(IF(INDEX(Properties!A$1:CB$87,Formula!B102,30)&lt;&gt;"",INDEX(Properties!A$1:CB$87,Formula!B102,30)),IF(INDEX(Properties!A$1:CB$87,Formula!D102,30)&lt;&gt;"",INDEX(Properties!A$1:CB$87,Formula!D102,30)),IF(INDEX(Properties!A$1:CB$87,Formula!F102,30)&lt;&gt;"",INDEX(Properties!A$1:CB$87,Formula!F102,30)),IF(INDEX(Properties!A$1:CB$87,Formula!H102,30)&lt;&gt;"",INDEX(Properties!A$1:CB$87,Formula!H102,30)),IF(INDEX(Properties!A$1:CB$87,Formula!J102,30)&lt;&gt;"",INDEX(Properties!A$1:CB$87,Formula!J102,30)))</f>
        <v>1.3065839999999997</v>
      </c>
      <c r="CQ102" s="54">
        <f>MAX(INDEX(Properties!A$1:CB$87,Formula!B102,30),INDEX(Properties!A$1:CB$87,Formula!D102,30),INDEX(Properties!A$1:CB$87,Formula!F102,30),INDEX(Properties!A$1:CB$87,Formula!H102,30),INDEX(Properties!A$1:CB$87,Formula!J102,30))</f>
        <v>3.44</v>
      </c>
      <c r="CR102" s="54">
        <f>MIN(IF(INDEX(Properties!A$1:CB$87,Formula!B102,30)=0,10^6,INDEX(Properties!A$1:CB$87,Formula!B102,30)),IF(INDEX(Properties!A$1:CB$87,Formula!D102,30)=0,10^6,INDEX(Properties!A$1:CB$87,Formula!D102,30)),IF(INDEX(Properties!A$1:CB$87,Formula!F102,30)=0,10^6,INDEX(Properties!A$1:CB$87,Formula!F102,30)),IF(INDEX(Properties!A$1:CB$87,Formula!H102,30)=0,10^6,INDEX(Properties!A$1:CB$87,Formula!H102,30)),IF(INDEX(Properties!A$1:CB$87,Formula!J102,30)=0,10^6,INDEX(Properties!A$1:CB$87,Formula!J102,30)))</f>
        <v>0.89</v>
      </c>
      <c r="CS102" s="54">
        <f t="shared" si="47"/>
        <v>2.5499999999999998</v>
      </c>
      <c r="CT102" s="69">
        <f>((Formula!C102)/(Formula!C102+Formula!E102+Formula!G102+Formula!I102+Formula!K102))*(INDEX(Properties!A$1:CB$87,Formula!B102,31))+((Formula!E102)/(Formula!C102+Formula!E102+Formula!G102+Formula!I102+Formula!K102))*(INDEX(Properties!A$1:CB$87,Formula!D102,31))+((Formula!G102)/(Formula!C102+Formula!E102+Formula!G102+Formula!I102+Formula!K102))*(INDEX(Properties!A$1:CB$87,Formula!F102,31))+((Formula!I102)/(Formula!C102+Formula!E102+Formula!G102+Formula!I102+Formula!K102))*(INDEX(Properties!A$1:CB$87,Formula!H102,31))+((Formula!K102)/(Formula!C102+Formula!E102+Formula!G102+Formula!I102+Formula!K102))*(INDEX(Properties!A$1:CB$87,Formula!J102,31))</f>
        <v>2.4244444444444442</v>
      </c>
      <c r="CU102" s="69">
        <f>Formula!C102*(INDEX(Properties!A$1:CB$87,Formula!B102,31))+Formula!E102*(INDEX(Properties!A$1:CB$87,Formula!D102,31))+Formula!G102*(INDEX(Properties!A$1:CB$87,Formula!F102,31))+Formula!I102*(INDEX(Properties!A$1:CB$87,Formula!H102,31))+Formula!K102*(INDEX(Properties!A$1:CB$87,Formula!J102,31))</f>
        <v>43.64</v>
      </c>
      <c r="CV102" s="69">
        <f>VARP(IF(INDEX(Properties!A$1:CB$87,Formula!B102,31)&lt;&gt;"",INDEX(Properties!A$1:CB$87,Formula!B102,31)),IF(INDEX(Properties!A$1:CB$87,Formula!D102,31)&lt;&gt;"",INDEX(Properties!A$1:CB$87,Formula!D102,31)),IF(INDEX(Properties!A$1:CB$87,Formula!F102,31)&lt;&gt;"",INDEX(Properties!A$1:CB$87,Formula!F102,31)),IF(INDEX(Properties!A$1:CB$87,Formula!H102,31)&lt;&gt;"",INDEX(Properties!A$1:CB$87,Formula!H102,31)),IF(INDEX(Properties!A$1:CB$87,Formula!J102,31)&lt;&gt;"",INDEX(Properties!A$1:CB$87,Formula!J102,31)))</f>
        <v>1.1491359999999999</v>
      </c>
      <c r="CW102" s="69">
        <f>MAX(INDEX(Properties!A$1:CB$87,Formula!B102,31),INDEX(Properties!A$1:CB$87,Formula!D102,31),INDEX(Properties!A$1:CB$87,Formula!F102,31),INDEX(Properties!A$1:CB$87,Formula!H102,31),INDEX(Properties!A$1:CB$87,Formula!J102,31))</f>
        <v>3.32</v>
      </c>
      <c r="CX102" s="69">
        <f>MIN(IF(INDEX(Properties!A$1:CB$87,Formula!B102,31)=0,10^6,INDEX(Properties!A$1:CB$87,Formula!B102,31)),IF(INDEX(Properties!A$1:CB$87,Formula!D102,31)=0,10^6,INDEX(Properties!A$1:CB$87,Formula!D102,31)),IF(INDEX(Properties!A$1:CB$87,Formula!F102,31)=0,10^6,INDEX(Properties!A$1:CB$87,Formula!F102,31)),IF(INDEX(Properties!A$1:CB$87,Formula!H102,31)=0,10^6,INDEX(Properties!A$1:CB$87,Formula!H102,31)),IF(INDEX(Properties!A$1:CB$87,Formula!J102,31)=0,10^6,INDEX(Properties!A$1:CB$87,Formula!J102,31)))</f>
        <v>1.08</v>
      </c>
      <c r="CY102" s="69">
        <f t="shared" si="48"/>
        <v>2.2399999999999998</v>
      </c>
      <c r="CZ102" s="42">
        <f>((Formula!C102)/(Formula!C102+Formula!E102+Formula!G102+Formula!I102+Formula!K102))*(INDEX(Properties!A$1:CB$87,Formula!B102,32))+((Formula!E102)/(Formula!C102+Formula!E102+Formula!G102+Formula!I102+Formula!K102))*(INDEX(Properties!A$1:CB$87,Formula!D102,32))+((Formula!G102)/(Formula!C102+Formula!E102+Formula!G102+Formula!I102+Formula!K102))*(INDEX(Properties!A$1:CB$87,Formula!F102,32))+((Formula!I102)/(Formula!C102+Formula!E102+Formula!G102+Formula!I102+Formula!K102))*(INDEX(Properties!A$1:CB$87,Formula!H102,32))+((Formula!K102)/(Formula!C102+Formula!E102+Formula!G102+Formula!I102+Formula!K102))*(INDEX(Properties!A$1:CB$87,Formula!J102,32))</f>
        <v>5.6388888888888893</v>
      </c>
      <c r="DA102" s="42">
        <f>Formula!C102*(INDEX(Properties!A$1:CB$87,Formula!B102,32))+Formula!E102*(INDEX(Properties!A$1:CB$87,Formula!D102,32))+Formula!G102*(INDEX(Properties!A$1:CB$87,Formula!F102,32))+Formula!I102*(INDEX(Properties!A$1:CB$87,Formula!H102,32))+Formula!K102*(INDEX(Properties!A$1:CB$87,Formula!J102,32))</f>
        <v>101.5</v>
      </c>
      <c r="DB102" s="42">
        <f>VARP(IF(INDEX(Properties!A$1:CB$87,Formula!B102,32)&lt;&gt;"",INDEX(Properties!A$1:CB$87,Formula!B102,32)),IF(INDEX(Properties!A$1:CB$87,Formula!D102,32)&lt;&gt;"",INDEX(Properties!A$1:CB$87,Formula!D102,32)),IF(INDEX(Properties!A$1:CB$87,Formula!F102,32)&lt;&gt;"",INDEX(Properties!A$1:CB$87,Formula!F102,32)),IF(INDEX(Properties!A$1:CB$87,Formula!H102,32)&lt;&gt;"",INDEX(Properties!A$1:CB$87,Formula!H102,32)),IF(INDEX(Properties!A$1:CB$87,Formula!J102,32)&lt;&gt;"",INDEX(Properties!A$1:CB$87,Formula!J102,32)))</f>
        <v>6.1688160000000014</v>
      </c>
      <c r="DC102" s="42">
        <f>MAX(INDEX(Properties!A$1:CB$87,Formula!B102,32),INDEX(Properties!A$1:CB$87,Formula!D102,32),INDEX(Properties!A$1:CB$87,Formula!F102,32),INDEX(Properties!A$1:CB$87,Formula!H102,32),INDEX(Properties!A$1:CB$87,Formula!J102,32))</f>
        <v>7.54</v>
      </c>
      <c r="DD102" s="42">
        <f>MIN(IF(INDEX(Properties!A$1:CB$87,Formula!B102,32)=0,10^6,INDEX(Properties!A$1:CB$87,Formula!B102,32)),IF(INDEX(Properties!A$1:CB$87,Formula!D102,32)=0,10^6,INDEX(Properties!A$1:CB$87,Formula!D102,32)),IF(INDEX(Properties!A$1:CB$87,Formula!F102,32)=0,10^6,INDEX(Properties!A$1:CB$87,Formula!F102,32)),IF(INDEX(Properties!A$1:CB$87,Formula!H102,32)=0,10^6,INDEX(Properties!A$1:CB$87,Formula!H102,32)),IF(INDEX(Properties!A$1:CB$87,Formula!J102,32)=0,10^6,INDEX(Properties!A$1:CB$87,Formula!J102,32)))</f>
        <v>2.4</v>
      </c>
      <c r="DE102" s="42">
        <f t="shared" si="49"/>
        <v>5.1400000000000006</v>
      </c>
      <c r="DF102" s="60">
        <f>((Formula!C102)/(Formula!C102+Formula!E102+Formula!G102+Formula!I102+Formula!K102))*(INDEX(Properties!A$1:CB$87,Formula!B102,34))+((Formula!E102)/(Formula!C102+Formula!E102+Formula!G102+Formula!I102+Formula!K102))*(INDEX(Properties!A$1:CB$87,Formula!D102,34))+((Formula!G102)/(Formula!C102+Formula!E102+Formula!G102+Formula!I102+Formula!K102))*(INDEX(Properties!A$1:CB$87,Formula!F102,34))+((Formula!I102)/(Formula!C102+Formula!E102+Formula!G102+Formula!I102+Formula!K102))*(INDEX(Properties!A$1:CB$87,Formula!H102,34))+((Formula!K102)/(Formula!C102+Formula!E102+Formula!G102+Formula!I102+Formula!K102))*(INDEX(Properties!A$1:CB$87,Formula!J102,34))</f>
        <v>2.5223333333333331</v>
      </c>
      <c r="DG102" s="60">
        <f>Formula!C102*(INDEX(Properties!A$1:CB$87,Formula!B102,34))+Formula!E102*(INDEX(Properties!A$1:CB$87,Formula!D102,34))+Formula!G102*(INDEX(Properties!A$1:CB$87,Formula!F102,34))+Formula!I102*(INDEX(Properties!A$1:CB$87,Formula!H102,34))+Formula!K102*(INDEX(Properties!A$1:CB$87,Formula!J102,34))</f>
        <v>45.402000000000001</v>
      </c>
      <c r="DH102" s="60">
        <f>VARP(IF(INDEX(Properties!A$1:CB$87,Formula!B102,34)&lt;&gt;"",INDEX(Properties!A$1:CB$87,Formula!B102,34)),IF(INDEX(Properties!A$1:CB$87,Formula!D102,34)&lt;&gt;"",INDEX(Properties!A$1:CB$87,Formula!D102,34)),IF(INDEX(Properties!A$1:CB$87,Formula!F102,34)&lt;&gt;"",INDEX(Properties!A$1:CB$87,Formula!F102,34)),IF(INDEX(Properties!A$1:CB$87,Formula!H102,34)&lt;&gt;"",INDEX(Properties!A$1:CB$87,Formula!H102,34)),IF(INDEX(Properties!A$1:CB$87,Formula!J102,34)&lt;&gt;"",INDEX(Properties!A$1:CB$87,Formula!J102,34)))</f>
        <v>1.4479625600000008</v>
      </c>
      <c r="DI102" s="60">
        <f>MAX(INDEX(Properties!A$1:CB$87,Formula!B102,34),INDEX(Properties!A$1:CB$87,Formula!D102,34),INDEX(Properties!A$1:CB$87,Formula!F102,34),INDEX(Properties!A$1:CB$87,Formula!H102,34),INDEX(Properties!A$1:CB$87,Formula!J102,34))</f>
        <v>3.61</v>
      </c>
      <c r="DJ102" s="60">
        <f>MIN(IF(INDEX(Properties!A$1:CB$87,Formula!B102,34)=0,10^6,INDEX(Properties!A$1:CB$87,Formula!B102,34)),IF(INDEX(Properties!A$1:CB$87,Formula!D102,34)=0,10^6,INDEX(Properties!A$1:CB$87,Formula!D102,34)),IF(INDEX(Properties!A$1:CB$87,Formula!F102,34)=0,10^6,INDEX(Properties!A$1:CB$87,Formula!F102,34)),IF(INDEX(Properties!A$1:CB$87,Formula!H102,34)=0,10^6,INDEX(Properties!A$1:CB$87,Formula!H102,34)),IF(INDEX(Properties!A$1:CB$87,Formula!J102,34)=0,10^6,INDEX(Properties!A$1:CB$87,Formula!J102,34)))</f>
        <v>0.88100000000000001</v>
      </c>
      <c r="DK102" s="60">
        <f t="shared" si="50"/>
        <v>2.7290000000000001</v>
      </c>
      <c r="DL102" s="45">
        <f>((Formula!C102)/(Formula!C102+Formula!E102+Formula!G102+Formula!I102+Formula!K102))*(INDEX(Properties!A$1:CB$87,Formula!B102,39))+((Formula!E102)/(Formula!C102+Formula!E102+Formula!G102+Formula!I102+Formula!K102))*(INDEX(Properties!A$1:CB$87,Formula!D102,39))+((Formula!G102)/(Formula!C102+Formula!E102+Formula!G102+Formula!I102+Formula!K102))*(INDEX(Properties!A$1:CB$87,Formula!F102,39))+((Formula!I102)/(Formula!C102+Formula!E102+Formula!G102+Formula!I102+Formula!K102))*(INDEX(Properties!A$1:CB$87,Formula!H102,39))+((Formula!K102)/(Formula!C102+Formula!E102+Formula!G102+Formula!I102+Formula!K102))*(INDEX(Properties!A$1:CB$87,Formula!J102,39))</f>
        <v>1.1388888888888888</v>
      </c>
      <c r="DM102" s="45">
        <f>Formula!C102*(INDEX(Properties!A$1:CB$87,Formula!B102,39))+Formula!E102*(INDEX(Properties!A$1:CB$87,Formula!D102,39))+Formula!G102*(INDEX(Properties!A$1:CB$87,Formula!F102,39))+Formula!I102*(INDEX(Properties!A$1:CB$87,Formula!H102,39))+Formula!K102*(INDEX(Properties!A$1:CB$87,Formula!J102,39))</f>
        <v>20.5</v>
      </c>
      <c r="DN102" s="45">
        <f>VARP(IF(INDEX(Properties!A$1:CB$87,Formula!B102,39)&lt;&gt;"",INDEX(Properties!A$1:CB$87,Formula!B102,39)),IF(INDEX(Properties!A$1:CB$87,Formula!D102,39)&lt;&gt;"",INDEX(Properties!A$1:CB$87,Formula!D102,39)),IF(INDEX(Properties!A$1:CB$87,Formula!F102,39)&lt;&gt;"",INDEX(Properties!A$1:CB$87,Formula!F102,39)),IF(INDEX(Properties!A$1:CB$87,Formula!H102,39)&lt;&gt;"",INDEX(Properties!A$1:CB$87,Formula!H102,39)),IF(INDEX(Properties!A$1:CB$87,Formula!J102,39)&lt;&gt;"",INDEX(Properties!A$1:CB$87,Formula!J102,39)))</f>
        <v>0.86186400000000019</v>
      </c>
      <c r="DO102" s="45">
        <f>MAX(INDEX(Properties!A$1:CB$87,Formula!B102,39),INDEX(Properties!A$1:CB$87,Formula!D102,39),INDEX(Properties!A$1:CB$87,Formula!F102,39),INDEX(Properties!A$1:CB$87,Formula!H102,39),INDEX(Properties!A$1:CB$87,Formula!J102,39))</f>
        <v>2.5299999999999998</v>
      </c>
      <c r="DP102" s="45">
        <f>MIN(IF(INDEX(Properties!A$1:CB$87,Formula!B102,39)=0,10^6,INDEX(Properties!A$1:CB$87,Formula!B102,39)),IF(INDEX(Properties!A$1:CB$87,Formula!D102,39)=0,10^6,INDEX(Properties!A$1:CB$87,Formula!D102,39)),IF(INDEX(Properties!A$1:CB$87,Formula!F102,39)=0,10^6,INDEX(Properties!A$1:CB$87,Formula!F102,39)),IF(INDEX(Properties!A$1:CB$87,Formula!H102,39)=0,10^6,INDEX(Properties!A$1:CB$87,Formula!H102,39)),IF(INDEX(Properties!A$1:CB$87,Formula!J102,39)=0,10^6,INDEX(Properties!A$1:CB$87,Formula!J102,39)))</f>
        <v>0.48</v>
      </c>
      <c r="DQ102" s="45">
        <f t="shared" si="51"/>
        <v>2.0499999999999998</v>
      </c>
      <c r="DR102" s="63">
        <f>((Formula!C102)/(Formula!C102+Formula!E102+Formula!G102+Formula!I102+Formula!K102))*(INDEX(Properties!A$1:CB$87,Formula!B102,40))+((Formula!E102)/(Formula!C102+Formula!E102+Formula!G102+Formula!I102+Formula!K102))*(INDEX(Properties!A$1:CB$87,Formula!D102,40))+((Formula!G102)/(Formula!C102+Formula!E102+Formula!G102+Formula!I102+Formula!K102))*(INDEX(Properties!A$1:CB$87,Formula!F102,40))+((Formula!I102)/(Formula!C102+Formula!E102+Formula!G102+Formula!I102+Formula!K102))*(INDEX(Properties!A$1:CB$87,Formula!H102,40))+((Formula!K102)/(Formula!C102+Formula!E102+Formula!G102+Formula!I102+Formula!K102))*(INDEX(Properties!A$1:CB$87,Formula!J102,40))</f>
        <v>1.1466666666666665</v>
      </c>
      <c r="DS102" s="63">
        <f>Formula!C102*(INDEX(Properties!A$1:CB$87,Formula!B102,40))+Formula!E102*(INDEX(Properties!A$1:CB$87,Formula!D102,40))+Formula!G102*(INDEX(Properties!A$1:CB$87,Formula!F102,40))+Formula!I102*(INDEX(Properties!A$1:CB$87,Formula!H102,40))+Formula!K102*(INDEX(Properties!A$1:CB$87,Formula!J102,40))</f>
        <v>20.64</v>
      </c>
      <c r="DT102" s="63">
        <f>VARP(IF(INDEX(Properties!A$1:CB$87,Formula!B102,40)&lt;&gt;"",INDEX(Properties!A$1:CB$87,Formula!B102,40)),IF(INDEX(Properties!A$1:CB$87,Formula!D102,40)&lt;&gt;"",INDEX(Properties!A$1:CB$87,Formula!D102,40)),IF(INDEX(Properties!A$1:CB$87,Formula!F102,40)&lt;&gt;"",INDEX(Properties!A$1:CB$87,Formula!F102,40)),IF(INDEX(Properties!A$1:CB$87,Formula!H102,40)&lt;&gt;"",INDEX(Properties!A$1:CB$87,Formula!H102,40)),IF(INDEX(Properties!A$1:CB$87,Formula!J102,40)&lt;&gt;"",INDEX(Properties!A$1:CB$87,Formula!J102,40)))</f>
        <v>0.50093599999999949</v>
      </c>
      <c r="DU102" s="63">
        <f>MAX(INDEX(Properties!A$1:CB$87,Formula!B102,40),INDEX(Properties!A$1:CB$87,Formula!D102,40),INDEX(Properties!A$1:CB$87,Formula!F102,40),INDEX(Properties!A$1:CB$87,Formula!H102,40),INDEX(Properties!A$1:CB$87,Formula!J102,40))</f>
        <v>1.98</v>
      </c>
      <c r="DV102" s="63">
        <f>MIN(IF(INDEX(Properties!A$1:CB$87,Formula!B102,40)=0,10^6,INDEX(Properties!A$1:CB$87,Formula!B102,40)),IF(INDEX(Properties!A$1:CB$87,Formula!D102,40)=0,10^6,INDEX(Properties!A$1:CB$87,Formula!D102,40)),IF(INDEX(Properties!A$1:CB$87,Formula!F102,40)=0,10^6,INDEX(Properties!A$1:CB$87,Formula!F102,40)),IF(INDEX(Properties!A$1:CB$87,Formula!H102,40)=0,10^6,INDEX(Properties!A$1:CB$87,Formula!H102,40)),IF(INDEX(Properties!A$1:CB$87,Formula!J102,40)=0,10^6,INDEX(Properties!A$1:CB$87,Formula!J102,40)))</f>
        <v>0.73</v>
      </c>
      <c r="DW102" s="63">
        <f t="shared" si="52"/>
        <v>1.25</v>
      </c>
      <c r="DX102" s="75">
        <f>((Formula!C102)/(Formula!C102+Formula!E102+Formula!G102+Formula!I102+Formula!K102))*(INDEX(Properties!A$1:CB$87,Formula!B102,41))+((Formula!E102)/(Formula!C102+Formula!E102+Formula!G102+Formula!I102+Formula!K102))*(INDEX(Properties!A$1:CB$87,Formula!D102,41))+((Formula!G102)/(Formula!C102+Formula!E102+Formula!G102+Formula!I102+Formula!K102))*(INDEX(Properties!A$1:CB$87,Formula!F102,41))+((Formula!I102)/(Formula!C102+Formula!E102+Formula!G102+Formula!I102+Formula!K102))*(INDEX(Properties!A$1:CB$87,Formula!H102,41))+((Formula!K102)/(Formula!C102+Formula!E102+Formula!G102+Formula!I102+Formula!K102))*(INDEX(Properties!A$1:CB$87,Formula!J102,41))</f>
        <v>1.2233333333333332</v>
      </c>
      <c r="DY102" s="75">
        <f>Formula!C102*(INDEX(Properties!A$1:CB$87,Formula!B102,41))+Formula!E102*(INDEX(Properties!A$1:CB$87,Formula!D102,41))+Formula!G102*(INDEX(Properties!A$1:CB$87,Formula!F102,41))+Formula!I102*(INDEX(Properties!A$1:CB$87,Formula!H102,41))+Formula!K102*(INDEX(Properties!A$1:CB$87,Formula!J102,41))</f>
        <v>22.02</v>
      </c>
      <c r="DZ102" s="75">
        <f>VARP(IF(INDEX(Properties!A$1:CB$87,Formula!B102,41)&lt;&gt;"",INDEX(Properties!A$1:CB$87,Formula!B102,41)),IF(INDEX(Properties!A$1:CB$87,Formula!D102,41)&lt;&gt;"",INDEX(Properties!A$1:CB$87,Formula!D102,41)),IF(INDEX(Properties!A$1:CB$87,Formula!F102,41)&lt;&gt;"",INDEX(Properties!A$1:CB$87,Formula!F102,41)),IF(INDEX(Properties!A$1:CB$87,Formula!H102,41)&lt;&gt;"",INDEX(Properties!A$1:CB$87,Formula!H102,41)),IF(INDEX(Properties!A$1:CB$87,Formula!J102,41)&lt;&gt;"",INDEX(Properties!A$1:CB$87,Formula!J102,41)))</f>
        <v>0.26860000000000001</v>
      </c>
      <c r="EA102" s="75">
        <f>MAX(INDEX(Properties!A$1:CB$87,Formula!B102,41),INDEX(Properties!A$1:CB$87,Formula!D102,41),INDEX(Properties!A$1:CB$87,Formula!F102,41),INDEX(Properties!A$1:CB$87,Formula!H102,41),INDEX(Properties!A$1:CB$87,Formula!J102,41))</f>
        <v>1.49</v>
      </c>
      <c r="EB102" s="75">
        <f>MIN(IF(INDEX(Properties!A$1:CB$87,Formula!B102,41)=0,10^6,INDEX(Properties!A$1:CB$87,Formula!B102,41)),IF(INDEX(Properties!A$1:CB$87,Formula!D102,41)=0,10^6,INDEX(Properties!A$1:CB$87,Formula!D102,41)),IF(INDEX(Properties!A$1:CB$87,Formula!F102,41)=0,10^6,INDEX(Properties!A$1:CB$87,Formula!F102,41)),IF(INDEX(Properties!A$1:CB$87,Formula!H102,41)=0,10^6,INDEX(Properties!A$1:CB$87,Formula!H102,41)),IF(INDEX(Properties!A$1:CB$87,Formula!J102,41)=0,10^6,INDEX(Properties!A$1:CB$87,Formula!J102,41)))</f>
        <v>0.88</v>
      </c>
      <c r="EC102" s="75">
        <f t="shared" si="53"/>
        <v>0.61</v>
      </c>
      <c r="ED102" s="48">
        <f>((Formula!C102)/(Formula!C102+Formula!E102+Formula!G102+Formula!I102+Formula!K102))*(INDEX(Properties!A$1:CB$87,Formula!B102,45))+((Formula!E102)/(Formula!C102+Formula!E102+Formula!G102+Formula!I102+Formula!K102))*(INDEX(Properties!A$1:CB$87,Formula!D102,45))+((Formula!G102)/(Formula!C102+Formula!E102+Formula!G102+Formula!I102+Formula!K102))*(INDEX(Properties!A$1:CB$87,Formula!F102,45))+((Formula!I102)/(Formula!C102+Formula!E102+Formula!G102+Formula!I102+Formula!K102))*(INDEX(Properties!A$1:CB$87,Formula!H102,45))+((Formula!K102)/(Formula!C102+Formula!E102+Formula!G102+Formula!I102+Formula!K102))*(INDEX(Properties!A$1:CB$87,Formula!J102,45))</f>
        <v>1.5322222222222222</v>
      </c>
      <c r="EE102" s="48">
        <f>Formula!C102*(INDEX(Properties!A$1:CB$87,Formula!B102,45))+Formula!E102*(INDEX(Properties!A$1:CB$87,Formula!D102,45))+Formula!G102*(INDEX(Properties!A$1:CB$87,Formula!F102,45))+Formula!I102*(INDEX(Properties!A$1:CB$87,Formula!H102,45))+Formula!K102*(INDEX(Properties!A$1:CB$87,Formula!J102,45))</f>
        <v>27.580000000000002</v>
      </c>
      <c r="EF102" s="48">
        <f>VARP(IF(INDEX(Properties!A$1:CB$87,Formula!B102,45)&lt;&gt;"",INDEX(Properties!A$1:CB$87,Formula!B102,45)),IF(INDEX(Properties!A$1:CB$87,Formula!D102,45)&lt;&gt;"",INDEX(Properties!A$1:CB$87,Formula!D102,45)),IF(INDEX(Properties!A$1:CB$87,Formula!F102,45)&lt;&gt;"",INDEX(Properties!A$1:CB$87,Formula!F102,45)),IF(INDEX(Properties!A$1:CB$87,Formula!H102,45)&lt;&gt;"",INDEX(Properties!A$1:CB$87,Formula!H102,45)),IF(INDEX(Properties!A$1:CB$87,Formula!J102,45)&lt;&gt;"",INDEX(Properties!A$1:CB$87,Formula!J102,45)))</f>
        <v>1.8415839999999992</v>
      </c>
      <c r="EG102" s="48">
        <f>MAX(INDEX(Properties!A$1:CB$87,Formula!B102,45),INDEX(Properties!A$1:CB$87,Formula!D102,45),INDEX(Properties!A$1:CB$87,Formula!F102,45),INDEX(Properties!A$1:CB$87,Formula!H102,45),INDEX(Properties!A$1:CB$87,Formula!J102,45))</f>
        <v>3.4</v>
      </c>
      <c r="EH102" s="48">
        <f>MIN(IF(INDEX(Properties!A$1:CB$87,Formula!B102,45)=0,10^6,INDEX(Properties!A$1:CB$87,Formula!B102,45)),IF(INDEX(Properties!A$1:CB$87,Formula!D102,45)=0,10^6,INDEX(Properties!A$1:CB$87,Formula!D102,45)),IF(INDEX(Properties!A$1:CB$87,Formula!F102,45)=0,10^6,INDEX(Properties!A$1:CB$87,Formula!F102,45)),IF(INDEX(Properties!A$1:CB$87,Formula!H102,45)=0,10^6,INDEX(Properties!A$1:CB$87,Formula!H102,45)),IF(INDEX(Properties!A$1:CB$87,Formula!J102,45)=0,10^6,INDEX(Properties!A$1:CB$87,Formula!J102,45)))</f>
        <v>0.47</v>
      </c>
      <c r="EI102" s="48">
        <f t="shared" si="54"/>
        <v>2.9299999999999997</v>
      </c>
      <c r="EJ102" s="66">
        <f>((Formula!C102)/(Formula!C102+Formula!E102+Formula!G102+Formula!I102+Formula!K102))*(INDEX(Properties!A$1:CB$87,Formula!B102,46))+((Formula!E102)/(Formula!C102+Formula!E102+Formula!G102+Formula!I102+Formula!K102))*(INDEX(Properties!A$1:CB$87,Formula!D102,46))+((Formula!G102)/(Formula!C102+Formula!E102+Formula!G102+Formula!I102+Formula!K102))*(INDEX(Properties!A$1:CB$87,Formula!F102,46))+((Formula!I102)/(Formula!C102+Formula!E102+Formula!G102+Formula!I102+Formula!K102))*(INDEX(Properties!A$1:CB$87,Formula!H102,46))+((Formula!K102)/(Formula!C102+Formula!E102+Formula!G102+Formula!I102+Formula!K102))*(INDEX(Properties!A$1:CB$87,Formula!J102,46))</f>
        <v>1.2222222222222223</v>
      </c>
      <c r="EK102" s="66">
        <f>Formula!C102*(INDEX(Properties!A$1:CB$87,Formula!B102,46))+Formula!E102*(INDEX(Properties!A$1:CB$87,Formula!D102,46))+Formula!G102*(INDEX(Properties!A$1:CB$87,Formula!F102,46))+Formula!I102*(INDEX(Properties!A$1:CB$87,Formula!H102,46))+Formula!K102*(INDEX(Properties!A$1:CB$87,Formula!J102,46))</f>
        <v>22</v>
      </c>
      <c r="EL102" s="66">
        <f>VARP(IF(INDEX(Properties!A$1:CB$87,Formula!B102,46)&lt;&gt;"",INDEX(Properties!A$1:CB$87,Formula!B102,46)),IF(INDEX(Properties!A$1:CB$87,Formula!D102,46)&lt;&gt;"",INDEX(Properties!A$1:CB$87,Formula!D102,46)),IF(INDEX(Properties!A$1:CB$87,Formula!F102,46)&lt;&gt;"",INDEX(Properties!A$1:CB$87,Formula!F102,46)),IF(INDEX(Properties!A$1:CB$87,Formula!H102,46)&lt;&gt;"",INDEX(Properties!A$1:CB$87,Formula!H102,46)),IF(INDEX(Properties!A$1:CB$87,Formula!J102,46)&lt;&gt;"",INDEX(Properties!A$1:CB$87,Formula!J102,46)))</f>
        <v>0.29468000000000016</v>
      </c>
      <c r="EM102" s="66">
        <f>MAX(INDEX(Properties!A$1:CB$87,Formula!B102,46),INDEX(Properties!A$1:CB$87,Formula!D102,46),INDEX(Properties!A$1:CB$87,Formula!F102,46),INDEX(Properties!A$1:CB$87,Formula!H102,46),INDEX(Properties!A$1:CB$87,Formula!J102,46))</f>
        <v>1.49</v>
      </c>
      <c r="EN102" s="66">
        <f>MIN(IF(INDEX(Properties!A$1:CB$87,Formula!B102,46)=0,10^6,INDEX(Properties!A$1:CB$87,Formula!B102,46)),IF(INDEX(Properties!A$1:CB$87,Formula!D102,46)=0,10^6,INDEX(Properties!A$1:CB$87,Formula!D102,46)),IF(INDEX(Properties!A$1:CB$87,Formula!F102,46)=0,10^6,INDEX(Properties!A$1:CB$87,Formula!F102,46)),IF(INDEX(Properties!A$1:CB$87,Formula!H102,46)=0,10^6,INDEX(Properties!A$1:CB$87,Formula!H102,46)),IF(INDEX(Properties!A$1:CB$87,Formula!J102,46)=0,10^6,INDEX(Properties!A$1:CB$87,Formula!J102,46)))</f>
        <v>0.74</v>
      </c>
      <c r="EO102" s="66">
        <f t="shared" si="55"/>
        <v>0.75</v>
      </c>
      <c r="EP102" s="81">
        <f>((Formula!C102)/(Formula!C102+Formula!E102+Formula!G102+Formula!I102+Formula!K102))*(INDEX(Properties!A$1:CB$87,Formula!B102,52))+((Formula!E102)/(Formula!C102+Formula!E102+Formula!G102+Formula!I102+Formula!K102))*(INDEX(Properties!A$1:CB$87,Formula!D102,52))+((Formula!G102)/(Formula!C102+Formula!E102+Formula!G102+Formula!I102+Formula!K102))*(INDEX(Properties!A$1:CB$87,Formula!F102,52))+((Formula!I102)/(Formula!C102+Formula!E102+Formula!G102+Formula!I102+Formula!K102))*(INDEX(Properties!A$1:CB$87,Formula!H102,52))+((Formula!K102)/(Formula!C102+Formula!E102+Formula!G102+Formula!I102+Formula!K102))*(INDEX(Properties!A$1:CB$87,Formula!J102,52))</f>
        <v>12.473888888888888</v>
      </c>
      <c r="EQ102" s="81">
        <f>Formula!C102*(INDEX(Properties!A$1:CB$87,Formula!B102,52))+Formula!E102*(INDEX(Properties!A$1:CB$87,Formula!D102,52))+Formula!G102*(INDEX(Properties!A$1:CB$87,Formula!F102,52))+Formula!I102*(INDEX(Properties!A$1:CB$87,Formula!H102,52))+Formula!K102*(INDEX(Properties!A$1:CB$87,Formula!J102,52))</f>
        <v>224.53000000000003</v>
      </c>
      <c r="ER102" s="81">
        <f>VARP(IF(INDEX(Properties!A$1:CB$87,Formula!B102,52)&lt;&gt;"",INDEX(Properties!A$1:CB$87,Formula!B102,52)),IF(INDEX(Properties!A$1:CB$87,Formula!D102,52)&lt;&gt;"",INDEX(Properties!A$1:CB$87,Formula!D102,52)),IF(INDEX(Properties!A$1:CB$87,Formula!F102,52)&lt;&gt;"",INDEX(Properties!A$1:CB$87,Formula!F102,52)),IF(INDEX(Properties!A$1:CB$87,Formula!H102,52)&lt;&gt;"",INDEX(Properties!A$1:CB$87,Formula!H102,52)),IF(INDEX(Properties!A$1:CB$87,Formula!J102,52)&lt;&gt;"",INDEX(Properties!A$1:CB$87,Formula!J102,52)))</f>
        <v>273.66144783999994</v>
      </c>
      <c r="ES102" s="81">
        <f>MAX(INDEX(Properties!A$1:CB$87,Formula!B102,52),INDEX(Properties!A$1:CB$87,Formula!D102,52),INDEX(Properties!A$1:CB$87,Formula!F102,52),INDEX(Properties!A$1:CB$87,Formula!H102,52),INDEX(Properties!A$1:CB$87,Formula!J102,52))</f>
        <v>39.700000000000003</v>
      </c>
      <c r="ET102" s="81">
        <f>MIN(IF(INDEX(Properties!A$1:CB$87,Formula!B102,52)=0,10^6,INDEX(Properties!A$1:CB$87,Formula!B102,52)),IF(INDEX(Properties!A$1:CB$87,Formula!D102,52)=0,10^6,INDEX(Properties!A$1:CB$87,Formula!D102,52)),IF(INDEX(Properties!A$1:CB$87,Formula!F102,52)=0,10^6,INDEX(Properties!A$1:CB$87,Formula!F102,52)),IF(INDEX(Properties!A$1:CB$87,Formula!H102,52)=0,10^6,INDEX(Properties!A$1:CB$87,Formula!H102,52)),IF(INDEX(Properties!A$1:CB$87,Formula!J102,52)=0,10^6,INDEX(Properties!A$1:CB$87,Formula!J102,52)))</f>
        <v>0.79300000000000004</v>
      </c>
      <c r="EU102" s="81">
        <f t="shared" si="56"/>
        <v>38.907000000000004</v>
      </c>
      <c r="EV102" s="39">
        <f>((Formula!C102)/(Formula!C102+Formula!E102+Formula!G102+Formula!I102+Formula!K102))*(INDEX(Properties!A$1:CB$87,Formula!B102,53))+((Formula!E102)/(Formula!C102+Formula!E102+Formula!G102+Formula!I102+Formula!K102))*(INDEX(Properties!A$1:CB$87,Formula!D102,53))+((Formula!G102)/(Formula!C102+Formula!E102+Formula!G102+Formula!I102+Formula!K102))*(INDEX(Properties!A$1:CB$87,Formula!F102,53))+((Formula!I102)/(Formula!C102+Formula!E102+Formula!G102+Formula!I102+Formula!K102))*(INDEX(Properties!A$1:CB$87,Formula!H102,53))+((Formula!K102)/(Formula!C102+Formula!E102+Formula!G102+Formula!I102+Formula!K102))*(INDEX(Properties!A$1:CB$87,Formula!J102,53))</f>
        <v>483.43888888888887</v>
      </c>
      <c r="EW102" s="39">
        <f>Formula!C102*(INDEX(Properties!A$1:CB$87,Formula!B102,53))+Formula!E102*(INDEX(Properties!A$1:CB$87,Formula!D102,53))+Formula!G102*(INDEX(Properties!A$1:CB$87,Formula!F102,53))+Formula!I102*(INDEX(Properties!A$1:CB$87,Formula!H102,53))+Formula!K102*(INDEX(Properties!A$1:CB$87,Formula!J102,53))</f>
        <v>8701.9</v>
      </c>
      <c r="EX102" s="39">
        <f>VARP(IF(INDEX(Properties!A$1:CB$87,Formula!B102,53)&lt;&gt;"",INDEX(Properties!A$1:CB$87,Formula!B102,53)),IF(INDEX(Properties!A$1:CB$87,Formula!D102,53)&lt;&gt;"",INDEX(Properties!A$1:CB$87,Formula!D102,53)),IF(INDEX(Properties!A$1:CB$87,Formula!F102,53)&lt;&gt;"",INDEX(Properties!A$1:CB$87,Formula!F102,53)),IF(INDEX(Properties!A$1:CB$87,Formula!H102,53)&lt;&gt;"",INDEX(Properties!A$1:CB$87,Formula!H102,53)),IF(INDEX(Properties!A$1:CB$87,Formula!J102,53)&lt;&gt;"",INDEX(Properties!A$1:CB$87,Formula!J102,53)))</f>
        <v>235100.2764</v>
      </c>
      <c r="EY102" s="39">
        <f>MAX(INDEX(Properties!A$1:CB$87,Formula!B102,53),INDEX(Properties!A$1:CB$87,Formula!D102,53),INDEX(Properties!A$1:CB$87,Formula!F102,53),INDEX(Properties!A$1:CB$87,Formula!H102,53),INDEX(Properties!A$1:CB$87,Formula!J102,53))</f>
        <v>1193.1500000000001</v>
      </c>
      <c r="EZ102" s="39">
        <f>MIN(IF(INDEX(Properties!A$1:CB$87,Formula!B102,53)=0,10^6,INDEX(Properties!A$1:CB$87,Formula!B102,53)),IF(INDEX(Properties!A$1:CB$87,Formula!D102,53)=0,10^6,INDEX(Properties!A$1:CB$87,Formula!D102,53)),IF(INDEX(Properties!A$1:CB$87,Formula!F102,53)=0,10^6,INDEX(Properties!A$1:CB$87,Formula!F102,53)),IF(INDEX(Properties!A$1:CB$87,Formula!H102,53)=0,10^6,INDEX(Properties!A$1:CB$87,Formula!H102,53)),IF(INDEX(Properties!A$1:CB$87,Formula!J102,53)=0,10^6,INDEX(Properties!A$1:CB$87,Formula!J102,53)))</f>
        <v>54.749999999999972</v>
      </c>
      <c r="FA102" s="39">
        <f t="shared" si="57"/>
        <v>1138.4000000000001</v>
      </c>
      <c r="FB102" s="54">
        <f>((Formula!C102)/(Formula!C102+Formula!E102+Formula!G102+Formula!I102+Formula!K102))*(INDEX(Properties!A$1:CB$87,Formula!B102,54))+((Formula!E102)/(Formula!C102+Formula!E102+Formula!G102+Formula!I102+Formula!K102))*(INDEX(Properties!A$1:CB$87,Formula!D102,54))+((Formula!G102)/(Formula!C102+Formula!E102+Formula!G102+Formula!I102+Formula!K102))*(INDEX(Properties!A$1:CB$87,Formula!F102,54))+((Formula!I102)/(Formula!C102+Formula!E102+Formula!G102+Formula!I102+Formula!K102))*(INDEX(Properties!A$1:CB$87,Formula!H102,54))+((Formula!K102)/(Formula!C102+Formula!E102+Formula!G102+Formula!I102+Formula!K102))*(INDEX(Properties!A$1:CB$87,Formula!J102,54))</f>
        <v>1221.9277777777777</v>
      </c>
      <c r="FC102" s="54">
        <f>Formula!C102*(INDEX(Properties!A$1:CB$87,Formula!B102,54))+Formula!E102*(INDEX(Properties!A$1:CB$87,Formula!D102,54))+Formula!G102*(INDEX(Properties!A$1:CB$87,Formula!F102,54))+Formula!I102*(INDEX(Properties!A$1:CB$87,Formula!H102,54))+Formula!K102*(INDEX(Properties!A$1:CB$87,Formula!J102,54))</f>
        <v>21994.7</v>
      </c>
      <c r="FD102" s="54">
        <f>VARP(IF(INDEX(Properties!A$1:CB$87,Formula!B102,54)&lt;&gt;"",INDEX(Properties!A$1:CB$87,Formula!B102,54)),IF(INDEX(Properties!A$1:CB$87,Formula!D102,54)&lt;&gt;"",INDEX(Properties!A$1:CB$87,Formula!D102,54)),IF(INDEX(Properties!A$1:CB$87,Formula!F102,54)&lt;&gt;"",INDEX(Properties!A$1:CB$87,Formula!F102,54)),IF(INDEX(Properties!A$1:CB$87,Formula!H102,54)&lt;&gt;"",INDEX(Properties!A$1:CB$87,Formula!H102,54)),IF(INDEX(Properties!A$1:CB$87,Formula!J102,54)&lt;&gt;"",INDEX(Properties!A$1:CB$87,Formula!J102,54)))</f>
        <v>1880359.4716000005</v>
      </c>
      <c r="FE102" s="54">
        <f>MAX(INDEX(Properties!A$1:CB$87,Formula!B102,54),INDEX(Properties!A$1:CB$87,Formula!D102,54),INDEX(Properties!A$1:CB$87,Formula!F102,54),INDEX(Properties!A$1:CB$87,Formula!H102,54),INDEX(Properties!A$1:CB$87,Formula!J102,54))</f>
        <v>3727.15</v>
      </c>
      <c r="FF102" s="54">
        <f>MIN(IF(INDEX(Properties!A$1:CB$87,Formula!B102,54)=0,10^6,INDEX(Properties!A$1:CB$87,Formula!B102,54)),IF(INDEX(Properties!A$1:CB$87,Formula!D102,54)=0,10^6,INDEX(Properties!A$1:CB$87,Formula!D102,54)),IF(INDEX(Properties!A$1:CB$87,Formula!F102,54)=0,10^6,INDEX(Properties!A$1:CB$87,Formula!F102,54)),IF(INDEX(Properties!A$1:CB$87,Formula!H102,54)=0,10^6,INDEX(Properties!A$1:CB$87,Formula!H102,54)),IF(INDEX(Properties!A$1:CB$87,Formula!J102,54)=0,10^6,INDEX(Properties!A$1:CB$87,Formula!J102,54)))</f>
        <v>90.149999999999977</v>
      </c>
      <c r="FG102" s="54">
        <f t="shared" si="58"/>
        <v>3637</v>
      </c>
      <c r="FH102" s="69">
        <f>((Formula!C102)/(Formula!C102+Formula!E102+Formula!G102+Formula!I102+Formula!K102))*(INDEX(Properties!A$1:CB$87,Formula!B102,55))+((Formula!E102)/(Formula!C102+Formula!E102+Formula!G102+Formula!I102+Formula!K102))*(INDEX(Properties!A$1:CB$87,Formula!D102,55))+((Formula!G102)/(Formula!C102+Formula!E102+Formula!G102+Formula!I102+Formula!K102))*(INDEX(Properties!A$1:CB$87,Formula!F102,55))+((Formula!I102)/(Formula!C102+Formula!E102+Formula!G102+Formula!I102+Formula!K102))*(INDEX(Properties!A$1:CB$87,Formula!H102,55))+((Formula!K102)/(Formula!C102+Formula!E102+Formula!G102+Formula!I102+Formula!K102))*(INDEX(Properties!A$1:CB$87,Formula!J102,55))</f>
        <v>2.548572222222222</v>
      </c>
      <c r="FI102" s="69">
        <f>Formula!C102*(INDEX(Properties!A$1:CB$87,Formula!B102,55))+Formula!E102*(INDEX(Properties!A$1:CB$87,Formula!D102,54))+Formula!G102*(INDEX(Properties!A$1:CB$87,Formula!F102,55))+Formula!I102*(INDEX(Properties!A$1:CB$87,Formula!H102,55))+Formula!K102*(INDEX(Properties!A$1:CB$87,Formula!J102,55))</f>
        <v>14929.874300000001</v>
      </c>
      <c r="FJ102" s="69">
        <f>VARP(IF(INDEX(Properties!A$1:CB$87,Formula!B102,55)&lt;&gt;"",INDEX(Properties!A$1:CB$87,Formula!B102,55)),IF(INDEX(Properties!A$1:CB$87,Formula!D102,55)&lt;&gt;"",INDEX(Properties!A$1:CB$87,Formula!D102,55)),IF(INDEX(Properties!A$1:CB$87,Formula!F102,55)&lt;&gt;"",INDEX(Properties!A$1:CB$87,Formula!F102,55)),IF(INDEX(Properties!A$1:CB$87,Formula!H102,55)&lt;&gt;"",INDEX(Properties!A$1:CB$87,Formula!H102,55)),IF(INDEX(Properties!A$1:CB$87,Formula!J102,55)&lt;&gt;"",INDEX(Properties!A$1:CB$87,Formula!J102,55)))</f>
        <v>8.9172246951840002</v>
      </c>
      <c r="FK102" s="69">
        <f>MAX(INDEX(Properties!A$1:CB$87,Formula!B102,55),INDEX(Properties!A$1:CB$87,Formula!D102,55),INDEX(Properties!A$1:CB$87,Formula!F102,55),INDEX(Properties!A$1:CB$87,Formula!H102,55),INDEX(Properties!A$1:CB$87,Formula!J102,55))</f>
        <v>7.13</v>
      </c>
      <c r="FL102" s="69">
        <f>MIN(IF(INDEX(Properties!A$1:CB$87,Formula!B102,55)=0,10^6,INDEX(Properties!A$1:CB$87,Formula!B102,55)),IF(INDEX(Properties!A$1:CB$87,Formula!D102,55)=0,10^6,INDEX(Properties!A$1:CB$87,Formula!D102,55)),IF(INDEX(Properties!A$1:CB$87,Formula!F102,55)=0,10^6,INDEX(Properties!A$1:CB$87,Formula!F102,55)),IF(INDEX(Properties!A$1:CB$87,Formula!H102,55)=0,10^6,INDEX(Properties!A$1:CB$87,Formula!H102,55)),IF(INDEX(Properties!A$1:CB$87,Formula!J102,55)=0,10^6,INDEX(Properties!A$1:CB$87,Formula!J102,55)))</f>
        <v>1.4300000000000001E-3</v>
      </c>
      <c r="FM102" s="69">
        <f t="shared" si="59"/>
        <v>7.1285699999999999</v>
      </c>
      <c r="FN102" s="42">
        <f>((Formula!C102)/(Formula!C102+Formula!E102+Formula!G102+Formula!I102+Formula!K102))*(INDEX(Properties!A$1:CB$87,Formula!B102,56))+((Formula!E102)/(Formula!C102+Formula!E102+Formula!G102+Formula!I102+Formula!K102))*(INDEX(Properties!A$1:CB$87,Formula!D102,56))+((Formula!G102)/(Formula!C102+Formula!E102+Formula!G102+Formula!I102+Formula!K102))*(INDEX(Properties!A$1:CB$87,Formula!F102,56))+((Formula!I102)/(Formula!C102+Formula!E102+Formula!G102+Formula!I102+Formula!K102))*(INDEX(Properties!A$1:CB$87,Formula!H102,56))+((Formula!K102)/(Formula!C102+Formula!E102+Formula!G102+Formula!I102+Formula!K102))*(INDEX(Properties!A$1:CB$87,Formula!J102,56))</f>
        <v>0.6193333333333334</v>
      </c>
      <c r="FO102" s="42">
        <f>Formula!C102*(INDEX(Properties!A$1:CB$87,Formula!B102,56))+Formula!E102*(INDEX(Properties!A$1:CB$87,Formula!D102,56))+Formula!G102*(INDEX(Properties!A$1:CB$87,Formula!F102,56))+Formula!I102*(INDEX(Properties!A$1:CB$87,Formula!H102,56))+Formula!K102*(INDEX(Properties!A$1:CB$87,Formula!J102,56))</f>
        <v>11.148000000000001</v>
      </c>
      <c r="FP102" s="42">
        <f>VARP(IF(INDEX(Properties!A$1:CB$87,Formula!B102,56)&lt;&gt;"",INDEX(Properties!A$1:CB$87,Formula!B102,56)),IF(INDEX(Properties!A$1:CB$87,Formula!D102,56)&lt;&gt;"",INDEX(Properties!A$1:CB$87,Formula!D102,56)),IF(INDEX(Properties!A$1:CB$87,Formula!F102,56)&lt;&gt;"",INDEX(Properties!A$1:CB$87,Formula!F102,56)),IF(INDEX(Properties!A$1:CB$87,Formula!H102,56)&lt;&gt;"",INDEX(Properties!A$1:CB$87,Formula!H102,56)),IF(INDEX(Properties!A$1:CB$87,Formula!J102,56)&lt;&gt;"",INDEX(Properties!A$1:CB$87,Formula!J102,56)))</f>
        <v>9.9098560000000016E-2</v>
      </c>
      <c r="FQ102" s="42">
        <f>MAX(INDEX(Properties!A$1:CB$87,Formula!B102,56),INDEX(Properties!A$1:CB$87,Formula!D102,56),INDEX(Properties!A$1:CB$87,Formula!F102,56),INDEX(Properties!A$1:CB$87,Formula!H102,56),INDEX(Properties!A$1:CB$87,Formula!J102,56))</f>
        <v>0.92</v>
      </c>
      <c r="FR102" s="42">
        <f>MIN(IF(INDEX(Properties!A$1:CB$87,Formula!B102,56)=0,10^6,INDEX(Properties!A$1:CB$87,Formula!B102,56)),IF(INDEX(Properties!A$1:CB$87,Formula!D102,56)=0,10^6,INDEX(Properties!A$1:CB$87,Formula!D102,56)),IF(INDEX(Properties!A$1:CB$87,Formula!F102,56)=0,10^6,INDEX(Properties!A$1:CB$87,Formula!F102,56)),IF(INDEX(Properties!A$1:CB$87,Formula!H102,56)=0,10^6,INDEX(Properties!A$1:CB$87,Formula!H102,56)),IF(INDEX(Properties!A$1:CB$87,Formula!J102,56)=0,10^6,INDEX(Properties!A$1:CB$87,Formula!J102,56)))</f>
        <v>0.19</v>
      </c>
      <c r="FS102" s="42">
        <f t="shared" si="60"/>
        <v>0.73</v>
      </c>
      <c r="FT102" s="60">
        <f>((Formula!C102)/(Formula!C102+Formula!E102+Formula!G102+Formula!I102+Formula!K102))*(INDEX(Properties!A$1:CB$87,Formula!B102,57))+((Formula!E102)/(Formula!C102+Formula!E102+Formula!G102+Formula!I102+Formula!K102))*(INDEX(Properties!A$1:CB$87,Formula!D102,57))+((Formula!G102)/(Formula!C102+Formula!E102+Formula!G102+Formula!I102+Formula!K102))*(INDEX(Properties!A$1:CB$87,Formula!F102,57))+((Formula!I102)/(Formula!C102+Formula!E102+Formula!G102+Formula!I102+Formula!K102))*(INDEX(Properties!A$1:CB$87,Formula!H102,57))+((Formula!K102)/(Formula!C102+Formula!E102+Formula!G102+Formula!I102+Formula!K102))*(INDEX(Properties!A$1:CB$87,Formula!J102,57))</f>
        <v>3.1761055555555555</v>
      </c>
      <c r="FU102" s="60">
        <f>Formula!C102*(INDEX(Properties!A$1:CB$87,Formula!B102,57))+Formula!E102*(INDEX(Properties!A$1:CB$87,Formula!D102,57))+Formula!G102*(INDEX(Properties!A$1:CB$87,Formula!F102,57))+Formula!I102*(INDEX(Properties!A$1:CB$87,Formula!H102,57))+Formula!K102*(INDEX(Properties!A$1:CB$87,Formula!J102,57))</f>
        <v>57.169899999999998</v>
      </c>
      <c r="FV102" s="60">
        <f>VARP(IF(INDEX(Properties!A$1:CB$87,Formula!B102,57)&lt;&gt;"",INDEX(Properties!A$1:CB$87,Formula!B102,57)),IF(INDEX(Properties!A$1:CB$87,Formula!D102,57)&lt;&gt;"",INDEX(Properties!A$1:CB$87,Formula!D102,57)),IF(INDEX(Properties!A$1:CB$87,Formula!F102,57)&lt;&gt;"",INDEX(Properties!A$1:CB$87,Formula!F102,57)),IF(INDEX(Properties!A$1:CB$87,Formula!H102,57)&lt;&gt;"",INDEX(Properties!A$1:CB$87,Formula!H102,57)),IF(INDEX(Properties!A$1:CB$87,Formula!J102,57)&lt;&gt;"",INDEX(Properties!A$1:CB$87,Formula!J102,57)))</f>
        <v>11.952050090895998</v>
      </c>
      <c r="FW102" s="60">
        <f>MAX(INDEX(Properties!A$1:CB$87,Formula!B102,57),INDEX(Properties!A$1:CB$87,Formula!D102,57),INDEX(Properties!A$1:CB$87,Formula!F102,57),INDEX(Properties!A$1:CB$87,Formula!H102,57),INDEX(Properties!A$1:CB$87,Formula!J102,57))</f>
        <v>7.75</v>
      </c>
      <c r="FX102" s="60">
        <f>MIN(IF(INDEX(Properties!A$1:CB$87,Formula!B102,57)=0,10^6,INDEX(Properties!A$1:CB$87,Formula!B102,57)),IF(INDEX(Properties!A$1:CB$87,Formula!D102,57)=0,10^6,INDEX(Properties!A$1:CB$87,Formula!D102,57)),IF(INDEX(Properties!A$1:CB$87,Formula!F102,57)=0,10^6,INDEX(Properties!A$1:CB$87,Formula!F102,57)),IF(INDEX(Properties!A$1:CB$87,Formula!H102,57)=0,10^6,INDEX(Properties!A$1:CB$87,Formula!H102,57)),IF(INDEX(Properties!A$1:CB$87,Formula!J102,57)=0,10^6,INDEX(Properties!A$1:CB$87,Formula!J102,57)))</f>
        <v>0.22259000000000001</v>
      </c>
      <c r="FY102" s="60">
        <f t="shared" si="61"/>
        <v>7.5274099999999997</v>
      </c>
      <c r="FZ102" s="72">
        <f>((Formula!C102)/(Formula!C102+Formula!E102+Formula!G102+Formula!I102+Formula!K102))*(INDEX(Properties!A$1:CB$87,Formula!B102,60))+((Formula!E102)/(Formula!C102+Formula!E102+Formula!G102+Formula!I102+Formula!K102))*(INDEX(Properties!A$1:CB$87,Formula!D102,60))+((Formula!G102)/(Formula!C102+Formula!E102+Formula!G102+Formula!I102+Formula!K102))*(INDEX(Properties!A$1:CB$87,Formula!F102,60))+((Formula!I102)/(Formula!C102+Formula!E102+Formula!G102+Formula!I102+Formula!K102))*(INDEX(Properties!A$1:CB$87,Formula!H102,60))+((Formula!K102)/(Formula!C102+Formula!E102+Formula!G102+Formula!I102+Formula!K102))*(INDEX(Properties!A$1:CB$87,Formula!J102,60))</f>
        <v>17.948188888888886</v>
      </c>
      <c r="GA102" s="72">
        <f>Formula!C102*(INDEX(Properties!A$1:CB$87,Formula!B102,60))+Formula!E102*(INDEX(Properties!A$1:CB$87,Formula!D102,60))+Formula!G102*(INDEX(Properties!A$1:CB$87,Formula!F102,60))+Formula!I102*(INDEX(Properties!A$1:CB$87,Formula!H102,60))+Formula!K102*(INDEX(Properties!A$1:CB$87,Formula!J102,60))</f>
        <v>323.06740000000002</v>
      </c>
      <c r="GB102" s="72">
        <f>VARP(IF(INDEX(Properties!A$1:CB$87,Formula!B102,60)&lt;&gt;"",INDEX(Properties!A$1:CB$87,Formula!B102,60)),IF(INDEX(Properties!A$1:CB$87,Formula!D102,60)&lt;&gt;"",INDEX(Properties!A$1:CB$87,Formula!D102,60)),IF(INDEX(Properties!A$1:CB$87,Formula!F102,60)&lt;&gt;"",INDEX(Properties!A$1:CB$87,Formula!F102,60)),IF(INDEX(Properties!A$1:CB$87,Formula!H102,60)&lt;&gt;"",INDEX(Properties!A$1:CB$87,Formula!H102,60)),IF(INDEX(Properties!A$1:CB$87,Formula!J102,60)&lt;&gt;"",INDEX(Properties!A$1:CB$87,Formula!J102,60)))</f>
        <v>1920.069326724416</v>
      </c>
      <c r="GC102" s="72">
        <f>MAX(INDEX(Properties!A$1:CB$87,Formula!B102,60),INDEX(Properties!A$1:CB$87,Formula!D102,60),INDEX(Properties!A$1:CB$87,Formula!F102,60),INDEX(Properties!A$1:CB$87,Formula!H102,60),INDEX(Properties!A$1:CB$87,Formula!J102,60))</f>
        <v>116</v>
      </c>
      <c r="GD102" s="72">
        <f>MIN(IF(INDEX(Properties!A$1:CB$87,Formula!B102,60)=0,10^6,INDEX(Properties!A$1:CB$87,Formula!B102,60)),IF(INDEX(Properties!A$1:CB$87,Formula!D102,60)=0,10^6,INDEX(Properties!A$1:CB$87,Formula!D102,60)),IF(INDEX(Properties!A$1:CB$87,Formula!F102,60)=0,10^6,INDEX(Properties!A$1:CB$87,Formula!F102,60)),IF(INDEX(Properties!A$1:CB$87,Formula!H102,60)=0,10^6,INDEX(Properties!A$1:CB$87,Formula!H102,60)),IF(INDEX(Properties!A$1:CB$87,Formula!J102,60)=0,10^6,INDEX(Properties!A$1:CB$87,Formula!J102,60)))</f>
        <v>2.674E-2</v>
      </c>
      <c r="GE102" s="72">
        <f t="shared" si="62"/>
        <v>115.97326</v>
      </c>
      <c r="GF102" s="51">
        <f>((Formula!C102)/(Formula!C102+Formula!E102+Formula!G102+Formula!I102+Formula!K102))*(INDEX(Properties!A$1:CB$87,Formula!B102,62))+((Formula!E102)/(Formula!C102+Formula!E102+Formula!G102+Formula!I102+Formula!K102))*(INDEX(Properties!A$1:CB$87,Formula!D102,62))+((Formula!G102)/(Formula!C102+Formula!E102+Formula!G102+Formula!I102+Formula!K102))*(INDEX(Properties!A$1:CB$87,Formula!F102,62))+((Formula!I102)/(Formula!C102+Formula!E102+Formula!G102+Formula!I102+Formula!K102))*(INDEX(Properties!A$1:CB$87,Formula!H102,62))+((Formula!K102)/(Formula!C102+Formula!E102+Formula!G102+Formula!I102+Formula!K102))*(INDEX(Properties!A$1:CB$87,Formula!J102,62))</f>
        <v>2.8099999999999996</v>
      </c>
      <c r="GG102" s="51">
        <f>Formula!C102*(INDEX(Properties!A$1:CB$87,Formula!B102,62))+Formula!E102*(INDEX(Properties!A$1:CB$87,Formula!D102,62))+Formula!G102*(INDEX(Properties!A$1:CB$87,Formula!F102,62))+Formula!I102*(INDEX(Properties!A$1:CB$87,Formula!H102,62))+Formula!K102*(INDEX(Properties!A$1:CB$87,Formula!J102,62))</f>
        <v>50.58</v>
      </c>
      <c r="GH102" s="51">
        <f>VARP(IF(INDEX(Properties!A$1:CB$87,Formula!B102,62)&lt;&gt;"",INDEX(Properties!A$1:CB$87,Formula!B102,62)),IF(INDEX(Properties!A$1:CB$87,Formula!D102,62)&lt;&gt;"",INDEX(Properties!A$1:CB$87,Formula!D102,62)),IF(INDEX(Properties!A$1:CB$87,Formula!F102,62)&lt;&gt;"",INDEX(Properties!A$1:CB$87,Formula!F102,62)),IF(INDEX(Properties!A$1:CB$87,Formula!H102,62)&lt;&gt;"",INDEX(Properties!A$1:CB$87,Formula!H102,62)),IF(INDEX(Properties!A$1:CB$87,Formula!J102,62)&lt;&gt;"",INDEX(Properties!A$1:CB$87,Formula!J102,62)))</f>
        <v>2.1789360000000007</v>
      </c>
      <c r="GI102" s="51">
        <f>MAX(INDEX(Properties!A$1:CB$87,Formula!B102,62),INDEX(Properties!A$1:CB$87,Formula!D102,62),INDEX(Properties!A$1:CB$87,Formula!F102,62),INDEX(Properties!A$1:CB$87,Formula!H102,62),INDEX(Properties!A$1:CB$87,Formula!J102,62))</f>
        <v>4.47</v>
      </c>
      <c r="GJ102" s="51">
        <f>MIN(IF(INDEX(Properties!A$1:CB$87,Formula!B102,62)=0,10^6,INDEX(Properties!A$1:CB$87,Formula!B102,62)),IF(INDEX(Properties!A$1:CB$87,Formula!D102,62)=0,10^6,INDEX(Properties!A$1:CB$87,Formula!D102,62)),IF(INDEX(Properties!A$1:CB$87,Formula!F102,62)=0,10^6,INDEX(Properties!A$1:CB$87,Formula!F102,62)),IF(INDEX(Properties!A$1:CB$87,Formula!H102,62)=0,10^6,INDEX(Properties!A$1:CB$87,Formula!H102,62)),IF(INDEX(Properties!A$1:CB$87,Formula!J102,62)=0,10^6,INDEX(Properties!A$1:CB$87,Formula!J102,62)))</f>
        <v>1.35</v>
      </c>
      <c r="GK102" s="51">
        <f t="shared" si="63"/>
        <v>3.1199999999999997</v>
      </c>
      <c r="GL102" s="51">
        <f>Formula!P102</f>
        <v>140</v>
      </c>
      <c r="GM102" s="57">
        <f>Formula!O102</f>
        <v>4</v>
      </c>
      <c r="GN102" s="51">
        <f>Formula!N102</f>
        <v>0.05</v>
      </c>
    </row>
    <row r="103" spans="1:196" x14ac:dyDescent="0.3">
      <c r="A103" s="84" t="str">
        <f>Formula!A103</f>
        <v>Ba2SiO4</v>
      </c>
      <c r="B103" s="89">
        <f>((Formula!C103)/(Formula!C103+Formula!E103+Formula!G103+Formula!I103+Formula!K103))*(INDEX(Properties!A$1:CB$87,Formula!B103,3))+((Formula!E103)/(Formula!C103+Formula!E103+Formula!G103+Formula!I103+Formula!K103))*(INDEX(Properties!A$1:CB$87,Formula!D103,3))+((Formula!G103)/(Formula!C103+Formula!E103+Formula!G103+Formula!I103+Formula!K103))*(INDEX(Properties!A$1:CB$87,Formula!F103,3))+((Formula!I103)/(Formula!C103+Formula!E103+Formula!G103+Formula!I103+Formula!K103))*(INDEX(Properties!A$1:CB$87,Formula!H103,3))+((Formula!K103)/(Formula!C103+Formula!E103+Formula!G103+Formula!I103+Formula!K103))*(INDEX(Properties!A$1:CB$87,Formula!J103,3))</f>
        <v>52.391014285714284</v>
      </c>
      <c r="C103" s="85">
        <f>Formula!C103*(INDEX(Properties!A$1:CB$87,Formula!B103,3))+Formula!E103*(INDEX(Properties!A$1:CB$87,Formula!D103,3))+Formula!G103*(INDEX(Properties!A$1:CB$87,Formula!F103,3))+Formula!I103*(INDEX(Properties!A$1:CB$87,Formula!H103,3))+Formula!K103*(INDEX(Properties!A$1:CB$87,Formula!J103,3))</f>
        <v>366.7371</v>
      </c>
      <c r="D103" s="85">
        <f>VARP(IF(INDEX(Properties!A$1:CB$87,Formula!B103,3)&lt;&gt;"",INDEX(Properties!A$1:CB$87,Formula!B103,3)),IF(INDEX(Properties!A$1:CB$87,Formula!D103,3)&lt;&gt;"",INDEX(Properties!A$1:CB$87,Formula!D103,3)),IF(INDEX(Properties!A$1:CB$87,Formula!F103,3)&lt;&gt;"",INDEX(Properties!A$1:CB$87,Formula!F103,3)),IF(INDEX(Properties!A$1:CB$87,Formula!H103,3)&lt;&gt;"",INDEX(Properties!A$1:CB$87,Formula!H103,3)),IF(INDEX(Properties!A$1:CB$87,Formula!J103,3)&lt;&gt;"",INDEX(Properties!A$1:CB$87,Formula!J103,3)))</f>
        <v>2664.2851094575994</v>
      </c>
      <c r="E103" s="85">
        <f>MAX(INDEX(Properties!A$1:CB$87,Formula!B103,3),INDEX(Properties!A$1:CB$87,Formula!D103,3),INDEX(Properties!A$1:CB$87,Formula!F103,3),INDEX(Properties!A$1:CB$87,Formula!H103,3),INDEX(Properties!A$1:CB$87,Formula!J103,3))</f>
        <v>137.327</v>
      </c>
      <c r="F103" s="85">
        <f>MIN(IF(INDEX(Properties!A$1:CB$87,Formula!B103,3)=0,10^6,INDEX(Properties!A$1:CB$87,Formula!B103,3)),IF(INDEX(Properties!A$1:CB$87,Formula!D103,3)=0,10^6,INDEX(Properties!A$1:CB$87,Formula!D103,3)),IF(INDEX(Properties!A$1:CB$87,Formula!F103,3)=0,10^6,INDEX(Properties!A$1:CB$87,Formula!F103,3)),IF(INDEX(Properties!A$1:CB$87,Formula!H103,3)=0,10^6,INDEX(Properties!A$1:CB$87,Formula!H103,3)),IF(INDEX(Properties!A$1:CB$87,Formula!J103,3)=0,10^6,INDEX(Properties!A$1:CB$87,Formula!J103,3)))</f>
        <v>15.9994</v>
      </c>
      <c r="G103" s="85">
        <f t="shared" si="32"/>
        <v>121.3276</v>
      </c>
      <c r="H103" s="87">
        <f>((Formula!C103)/(Formula!C103+Formula!E103+Formula!G103+Formula!I103+Formula!K103))*(INDEX(Properties!A$1:CB$87,Formula!B103,4))+((Formula!E103)/(Formula!C103+Formula!E103+Formula!G103+Formula!I103+Formula!K103))*(INDEX(Properties!A$1:CB$87,Formula!D103,4))+((Formula!G103)/(Formula!C103+Formula!E103+Formula!G103+Formula!I103+Formula!K103))*(INDEX(Properties!A$1:CB$87,Formula!F103,4))+((Formula!I103)/(Formula!C103+Formula!E103+Formula!G103+Formula!I103+Formula!K103))*(INDEX(Properties!A$1:CB$87,Formula!H103,4))+((Formula!K103)/(Formula!C103+Formula!E103+Formula!G103+Formula!I103+Formula!K103))*(INDEX(Properties!A$1:CB$87,Formula!J103,4))</f>
        <v>22.571428571428569</v>
      </c>
      <c r="I103" s="87">
        <f>Formula!C103*(INDEX(Properties!A$1:CB$87,Formula!B103,4))+Formula!E103*(INDEX(Properties!A$1:CB$87,Formula!D103,4))+Formula!G103*(INDEX(Properties!A$1:CB$87,Formula!F103,4))+Formula!I103*(INDEX(Properties!A$1:CB$87,Formula!H103,4))+Formula!K103*(INDEX(Properties!A$1:CB$87,Formula!J103,4))</f>
        <v>158</v>
      </c>
      <c r="J103" s="87">
        <f>VARP(IF(INDEX(Properties!A$1:CB$87,Formula!B103,4)&lt;&gt;"",INDEX(Properties!A$1:CB$87,Formula!B103,4)),IF(INDEX(Properties!A$1:CB$87,Formula!D103,4)&lt;&gt;"",INDEX(Properties!A$1:CB$87,Formula!D103,4)),IF(INDEX(Properties!A$1:CB$87,Formula!F103,4)&lt;&gt;"",INDEX(Properties!A$1:CB$87,Formula!F103,4)),IF(INDEX(Properties!A$1:CB$87,Formula!H103,4)&lt;&gt;"",INDEX(Properties!A$1:CB$87,Formula!H103,4)),IF(INDEX(Properties!A$1:CB$87,Formula!J103,4)&lt;&gt;"",INDEX(Properties!A$1:CB$87,Formula!J103,4)))</f>
        <v>435.84</v>
      </c>
      <c r="K103" s="87">
        <f>MAX(INDEX(Properties!A$1:CB$87,Formula!B103,4),INDEX(Properties!A$1:CB$87,Formula!D103,4),INDEX(Properties!A$1:CB$87,Formula!F103,4),INDEX(Properties!A$1:CB$87,Formula!H103,4),INDEX(Properties!A$1:CB$87,Formula!J103,4))</f>
        <v>56</v>
      </c>
      <c r="L103" s="87">
        <f>MIN(IF(INDEX(Properties!A$1:CB$87,Formula!B103,4)=0,10^6,INDEX(Properties!A$1:CB$87,Formula!B103,4)),IF(INDEX(Properties!A$1:CB$87,Formula!D103,4)=0,10^6,INDEX(Properties!A$1:CB$87,Formula!D103,4)),IF(INDEX(Properties!A$1:CB$87,Formula!F103,4)=0,10^6,INDEX(Properties!A$1:CB$87,Formula!F103,4)),IF(INDEX(Properties!A$1:CB$87,Formula!H103,4)=0,10^6,INDEX(Properties!A$1:CB$87,Formula!H103,4)),IF(INDEX(Properties!A$1:CB$87,Formula!J103,4)=0,10^6,INDEX(Properties!A$1:CB$87,Formula!J103,4)))</f>
        <v>8</v>
      </c>
      <c r="M103" s="87">
        <f t="shared" si="33"/>
        <v>48</v>
      </c>
      <c r="N103" s="89">
        <f>((Formula!C103)/(Formula!C103+Formula!E103+Formula!G103+Formula!I103+Formula!K103))*(INDEX(Properties!A$1:CB$87,Formula!B103,5))+((Formula!E103)/(Formula!C103+Formula!E103+Formula!G103+Formula!I103+Formula!K103))*(INDEX(Properties!A$1:CB$87,Formula!D103,5))+((Formula!G103)/(Formula!C103+Formula!E103+Formula!G103+Formula!I103+Formula!K103))*(INDEX(Properties!A$1:CB$87,Formula!F103,5))+((Formula!I103)/(Formula!C103+Formula!E103+Formula!G103+Formula!I103+Formula!K103))*(INDEX(Properties!A$1:CB$87,Formula!H103,5))+((Formula!K103)/(Formula!C103+Formula!E103+Formula!G103+Formula!I103+Formula!K103))*(INDEX(Properties!A$1:CB$87,Formula!J103,5))</f>
        <v>3.2857142857142856</v>
      </c>
      <c r="O103" s="89">
        <f>Formula!C103*(INDEX(Properties!A$1:CB$87,Formula!B103,5))+Formula!E103*(INDEX(Properties!A$1:CB$87,Formula!D103,5))+Formula!G103*(INDEX(Properties!A$1:CB$87,Formula!F103,5))+Formula!I103*(INDEX(Properties!A$1:CB$87,Formula!H103,5))+Formula!K103*(INDEX(Properties!A$1:CB$87,Formula!J103,5))</f>
        <v>23</v>
      </c>
      <c r="P103" s="89">
        <f>VARP(IF(INDEX(Properties!A$1:CB$87,Formula!B103,5)&lt;&gt;"",INDEX(Properties!A$1:CB$87,Formula!B103,5)),IF(INDEX(Properties!A$1:CB$87,Formula!D103,5)&lt;&gt;"",INDEX(Properties!A$1:CB$87,Formula!D103,5)),IF(INDEX(Properties!A$1:CB$87,Formula!F103,5)&lt;&gt;"",INDEX(Properties!A$1:CB$87,Formula!F103,5)),IF(INDEX(Properties!A$1:CB$87,Formula!H103,5)&lt;&gt;"",INDEX(Properties!A$1:CB$87,Formula!H103,5)),IF(INDEX(Properties!A$1:CB$87,Formula!J103,5)&lt;&gt;"",INDEX(Properties!A$1:CB$87,Formula!J103,5)))</f>
        <v>4.96</v>
      </c>
      <c r="Q103" s="89">
        <f>MAX(INDEX(Properties!A$1:CB$87,Formula!B103,5),INDEX(Properties!A$1:CB$87,Formula!D103,5),INDEX(Properties!A$1:CB$87,Formula!F103,5),INDEX(Properties!A$1:CB$87,Formula!H103,5),INDEX(Properties!A$1:CB$87,Formula!J103,5))</f>
        <v>6</v>
      </c>
      <c r="R103" s="89">
        <f>MIN(IF(INDEX(Properties!A$1:CB$87,Formula!B103,5)=0,10^6,INDEX(Properties!A$1:CB$87,Formula!B103,5)),IF(INDEX(Properties!A$1:CB$87,Formula!D103,5)=0,10^6,INDEX(Properties!A$1:CB$87,Formula!D103,5)),IF(INDEX(Properties!A$1:CB$87,Formula!F103,5)=0,10^6,INDEX(Properties!A$1:CB$87,Formula!F103,5)),IF(INDEX(Properties!A$1:CB$87,Formula!H103,5)=0,10^6,INDEX(Properties!A$1:CB$87,Formula!H103,5)),IF(INDEX(Properties!A$1:CB$87,Formula!J103,5)=0,10^6,INDEX(Properties!A$1:CB$87,Formula!J103,5)))</f>
        <v>2</v>
      </c>
      <c r="S103" s="89">
        <f t="shared" si="34"/>
        <v>4</v>
      </c>
      <c r="T103" s="60">
        <f>((Formula!C103)/(Formula!C103+Formula!E103+Formula!G103+Formula!I103+Formula!K103))*(INDEX(Properties!A$1:CB$87,Formula!B103,6))+((Formula!E103)/(Formula!C103+Formula!E103+Formula!G103+Formula!I103+Formula!K103))*(INDEX(Properties!A$1:CB$87,Formula!D103,6))+((Formula!G103)/(Formula!C103+Formula!E103+Formula!G103+Formula!I103+Formula!K103))*(INDEX(Properties!A$1:CB$87,Formula!F103,6))+((Formula!I103)/(Formula!C103+Formula!E103+Formula!G103+Formula!I103+Formula!K103))*(INDEX(Properties!A$1:CB$87,Formula!H103,6))+((Formula!K103)/(Formula!C103+Formula!E103+Formula!G103+Formula!I103+Formula!K103))*(INDEX(Properties!A$1:CB$87,Formula!J103,6))</f>
        <v>11.714285714285714</v>
      </c>
      <c r="U103" s="60">
        <f>Formula!C103*(INDEX(Properties!A$1:CB$87,Formula!B103,6))+Formula!E103*(INDEX(Properties!A$1:CB$87,Formula!D103,6))+Formula!G103*(INDEX(Properties!A$1:CB$87,Formula!F103,6))+Formula!I103*(INDEX(Properties!A$1:CB$87,Formula!H103,6))+Formula!K103*(INDEX(Properties!A$1:CB$87,Formula!J103,6))</f>
        <v>82</v>
      </c>
      <c r="V103" s="89">
        <f>VARP(IF(INDEX(Properties!A$1:CB$87,Formula!B103,6)&lt;&gt;"",INDEX(Properties!A$1:CB$87,Formula!B103,6)),IF(INDEX(Properties!A$1:CB$87,Formula!D103,6)&lt;&gt;"",INDEX(Properties!A$1:CB$87,Formula!D103,6)),IF(INDEX(Properties!A$1:CB$87,Formula!F103,6)&lt;&gt;"",INDEX(Properties!A$1:CB$87,Formula!F103,6)),IF(INDEX(Properties!A$1:CB$87,Formula!H103,6)&lt;&gt;"",INDEX(Properties!A$1:CB$87,Formula!H103,6)),IF(INDEX(Properties!A$1:CB$87,Formula!J103,6)&lt;&gt;"",INDEX(Properties!A$1:CB$87,Formula!J103,6)))</f>
        <v>50.24</v>
      </c>
      <c r="W103" s="60">
        <f>MAX(INDEX(Properties!A$1:CB$87,Formula!B103,6),INDEX(Properties!A$1:CB$87,Formula!D103,6),INDEX(Properties!A$1:CB$87,Formula!F103,6),INDEX(Properties!A$1:CB$87,Formula!H103,4),INDEX(Properties!A$1:CB$87,Formula!J103,6))</f>
        <v>16</v>
      </c>
      <c r="X103" s="60">
        <f>MIN(IF(INDEX(Properties!A$1:CB$87,Formula!B103,6)=0,10^6,INDEX(Properties!A$1:CB$87,Formula!B103,6)),IF(INDEX(Properties!A$1:CB$87,Formula!D103,6)=0,10^6,INDEX(Properties!A$1:CB$87,Formula!D103,6)),IF(INDEX(Properties!A$1:CB$87,Formula!F103,6)=0,10^6,INDEX(Properties!A$1:CB$87,Formula!F103,6)),IF(INDEX(Properties!A$1:CB$87,Formula!H103,6)=0,10^6,INDEX(Properties!A$1:CB$87,Formula!H103,6)),IF(INDEX(Properties!A$1:CB$87,Formula!J103,6)=0,10^6,INDEX(Properties!A$1:CB$87,Formula!J103,6)))</f>
        <v>2</v>
      </c>
      <c r="Y103" s="60">
        <f t="shared" si="35"/>
        <v>14</v>
      </c>
      <c r="Z103" s="72">
        <f>((Formula!C103)/(Formula!C103+Formula!E103+Formula!G103+Formula!I103+Formula!K103))*(INDEX(Properties!A$1:CB$87,Formula!B103,9))+((Formula!E103)/(Formula!C103+Formula!E103+Formula!G103+Formula!I103+Formula!K103))*(INDEX(Properties!A$1:CB$87,Formula!D103,9))+((Formula!G103)/(Formula!C103+Formula!E103+Formula!G103+Formula!I103+Formula!K103))*(INDEX(Properties!A$1:CB$87,Formula!F103,9))+((Formula!I103)/(Formula!C103+Formula!E103+Formula!G103+Formula!I103+Formula!K103))*(INDEX(Properties!A$1:CB$87,Formula!H103,9))+((Formula!K103)/(Formula!C103+Formula!E103+Formula!G103+Formula!I103+Formula!K103))*(INDEX(Properties!A$1:CB$87,Formula!J103,9))</f>
        <v>63.428571428571423</v>
      </c>
      <c r="AA103" s="72">
        <f>Formula!C103*(INDEX(Properties!A$1:CB$87,Formula!B103,9))+Formula!E103*(INDEX(Properties!A$1:CB$87,Formula!D103,9))+Formula!G103*(INDEX(Properties!A$1:CB$87,Formula!F103,9))+Formula!I103*(INDEX(Properties!A$1:CB$87,Formula!H103,9))+Formula!K103*(INDEX(Properties!A$1:CB$87,Formula!J103,9))</f>
        <v>444</v>
      </c>
      <c r="AB103" s="72">
        <f>VARP(IF(INDEX(Properties!A$1:CB$87,Formula!B103,9)&lt;&gt;"",INDEX(Properties!A$1:CB$87,Formula!B103,9)),IF(INDEX(Properties!A$1:CB$87,Formula!D103,9)&lt;&gt;"",INDEX(Properties!A$1:CB$87,Formula!D103,9)),IF(INDEX(Properties!A$1:CB$87,Formula!F103,9)&lt;&gt;"",INDEX(Properties!A$1:CB$87,Formula!F103,9)),IF(INDEX(Properties!A$1:CB$87,Formula!H103,9)&lt;&gt;"",INDEX(Properties!A$1:CB$87,Formula!H103,9)),IF(INDEX(Properties!A$1:CB$87,Formula!J103,9)&lt;&gt;"",INDEX(Properties!A$1:CB$87,Formula!J103,9)))</f>
        <v>1535.76</v>
      </c>
      <c r="AC103" s="72">
        <f>MAX(INDEX(Properties!A$1:CB$87,Formula!B103,9),INDEX(Properties!A$1:CB$87,Formula!D103,9),INDEX(Properties!A$1:CB$87,Formula!F103,9),INDEX(Properties!A$1:CB$87,Formula!H103,9),INDEX(Properties!A$1:CB$87,Formula!J103,9))</f>
        <v>87</v>
      </c>
      <c r="AD103" s="72">
        <f>MIN(IF(INDEX(Properties!A$1:CB$87,Formula!B103,9)=0,10^6,INDEX(Properties!A$1:CB$87,Formula!B103,9)),IF(INDEX(Properties!A$1:CB$87,Formula!D103,9)=0,10^6,INDEX(Properties!A$1:CB$87,Formula!D103,9)),IF(INDEX(Properties!A$1:CB$87,Formula!F103,9)=0,10^6,INDEX(Properties!A$1:CB$87,Formula!F103,9)),IF(INDEX(Properties!A$1:CB$87,Formula!H103,9)=0,10^6,INDEX(Properties!A$1:CB$87,Formula!H103,9)),IF(INDEX(Properties!A$1:CB$87,Formula!J103,9)=0,10^6,INDEX(Properties!A$1:CB$87,Formula!J103,9)))</f>
        <v>9</v>
      </c>
      <c r="AE103" s="72">
        <f t="shared" si="36"/>
        <v>78</v>
      </c>
      <c r="AF103" s="51">
        <f>((Formula!C103)/(Formula!C103+Formula!E103+Formula!G103+Formula!I103+Formula!K103))*(INDEX(Properties!A$1:CB$87,Formula!B103,10))+((Formula!E103)/(Formula!C103+Formula!E103+Formula!G103+Formula!I103+Formula!K103))*(INDEX(Properties!A$1:CB$87,Formula!D103,10))+((Formula!G103)/(Formula!C103+Formula!E103+Formula!G103+Formula!I103+Formula!K103))*(INDEX(Properties!A$1:CB$87,Formula!F103,10))+((Formula!I103)/(Formula!C103+Formula!E103+Formula!G103+Formula!I103+Formula!K103))*(INDEX(Properties!A$1:CB$87,Formula!H103,10))+((Formula!K103)/(Formula!C103+Formula!E103+Formula!G103+Formula!I103+Formula!K103))*(INDEX(Properties!A$1:CB$87,Formula!J103,10))</f>
        <v>5.4285714285714288</v>
      </c>
      <c r="AG103" s="51">
        <f>Formula!C103*(INDEX(Properties!A$1:CB$87,Formula!B103,10))+Formula!E103*(INDEX(Properties!A$1:CB$87,Formula!D103,10))+Formula!G103*(INDEX(Properties!A$1:CB$87,Formula!F103,10))+Formula!I103*(INDEX(Properties!A$1:CB$87,Formula!H103,10))+Formula!K103*(INDEX(Properties!A$1:CB$87,Formula!J103,10))</f>
        <v>38</v>
      </c>
      <c r="AH103" s="51">
        <f>VARP(IF(INDEX(Properties!A$1:CB$87,Formula!B103,10)&lt;&gt;"",INDEX(Properties!A$1:CB$87,Formula!B103,10)),IF(INDEX(Properties!A$1:CB$87,Formula!D103,10)&lt;&gt;"",INDEX(Properties!A$1:CB$87,Formula!D103,10)),IF(INDEX(Properties!A$1:CB$87,Formula!F103,10)&lt;&gt;"",INDEX(Properties!A$1:CB$87,Formula!F103,10)),IF(INDEX(Properties!A$1:CB$87,Formula!H103,10)&lt;&gt;"",INDEX(Properties!A$1:CB$87,Formula!H103,10)),IF(INDEX(Properties!A$1:CB$87,Formula!J103,10)&lt;&gt;"",INDEX(Properties!A$1:CB$87,Formula!J103,10)))</f>
        <v>8.8000000000000007</v>
      </c>
      <c r="AI103" s="51">
        <f>MAX(INDEX(Properties!A$1:CB$87,Formula!B103,10),INDEX(Properties!A$1:CB$87,Formula!D103,10),INDEX(Properties!A$1:CB$87,Formula!F103,10),INDEX(Properties!A$1:CB$87,Formula!H103,10),INDEX(Properties!A$1:CB$87,Formula!J103,10))</f>
        <v>7</v>
      </c>
      <c r="AJ103" s="51">
        <f>MIN(IF(INDEX(Properties!A$1:CB$87,Formula!B103,10)=0,10^6,INDEX(Properties!A$1:CB$87,Formula!B103,10)),IF(INDEX(Properties!A$1:CB$87,Formula!D103,10)=0,10^6,INDEX(Properties!A$1:CB$87,Formula!D103,10)),IF(INDEX(Properties!A$1:CB$87,Formula!F103,10)=0,10^6,INDEX(Properties!A$1:CB$87,Formula!F103,10)),IF(INDEX(Properties!A$1:CB$87,Formula!H103,10)=0,10^6,INDEX(Properties!A$1:CB$87,Formula!H103,10)),IF(INDEX(Properties!A$1:CB$87,Formula!J103,10)=0,10^6,INDEX(Properties!A$1:CB$87,Formula!J103,10)))</f>
        <v>2</v>
      </c>
      <c r="AK103" s="51">
        <f t="shared" si="37"/>
        <v>5</v>
      </c>
      <c r="AL103" s="57">
        <f>((Formula!C103)/(Formula!C103+Formula!E103+Formula!G103+Formula!I103+Formula!K103))*(INDEX(Properties!A$1:CB$87,Formula!B103,11))+((Formula!E103)/(Formula!C103+Formula!E103+Formula!G103+Formula!I103+Formula!K103))*(INDEX(Properties!A$1:CB$87,Formula!D103,11))+((Formula!G103)/(Formula!C103+Formula!E103+Formula!G103+Formula!I103+Formula!K103))*(INDEX(Properties!A$1:CB$87,Formula!F103,11))+((Formula!I103)/(Formula!C103+Formula!E103+Formula!G103+Formula!I103+Formula!K103))*(INDEX(Properties!A$1:CB$87,Formula!H103,11))+((Formula!K103)/(Formula!C103+Formula!E103+Formula!G103+Formula!I103+Formula!K103))*(INDEX(Properties!A$1:CB$87,Formula!J103,11))</f>
        <v>2</v>
      </c>
      <c r="AM103" s="57">
        <f>Formula!C103*(INDEX(Properties!A$1:CB$87,Formula!B103,11))+Formula!E103*(INDEX(Properties!A$1:CB$87,Formula!D103,11))+Formula!G103*(INDEX(Properties!A$1:CB$87,Formula!F103,11))+Formula!I103*(INDEX(Properties!A$1:CB$87,Formula!H103,11))+Formula!K103*(INDEX(Properties!A$1:CB$87,Formula!J103,11))</f>
        <v>14</v>
      </c>
      <c r="AN103" s="57">
        <f>VARP(IF(INDEX(Properties!A$1:CB$87,Formula!B103,11)&lt;&gt;"",INDEX(Properties!A$1:CB$87,Formula!B103,11)),IF(INDEX(Properties!A$1:CB$87,Formula!D103,11)&lt;&gt;"",INDEX(Properties!A$1:CB$87,Formula!D103,11)),IF(INDEX(Properties!A$1:CB$87,Formula!F103,11)&lt;&gt;"",INDEX(Properties!A$1:CB$87,Formula!F103,11)),IF(INDEX(Properties!A$1:CB$87,Formula!H103,11)&lt;&gt;"",INDEX(Properties!A$1:CB$87,Formula!H103,11)),IF(INDEX(Properties!A$1:CB$87,Formula!J103,11)&lt;&gt;"",INDEX(Properties!A$1:CB$87,Formula!J103,11)))</f>
        <v>0.96</v>
      </c>
      <c r="AO103" s="57">
        <f>MAX(INDEX(Properties!A$1:CB$87,Formula!B103,11),INDEX(Properties!A$1:CB$87,Formula!D103,11),INDEX(Properties!A$1:CB$87,Formula!F103,11),INDEX(Properties!A$1:CB$87,Formula!H103,11),INDEX(Properties!A$1:CB$87,Formula!J103,11))</f>
        <v>2</v>
      </c>
      <c r="AP103" s="57">
        <f>MIN(IF(Formula!B103=87,10^6,INDEX(Properties!A$1:CB$87,Formula!B103,11)),IF((Formula!D103)=87,10^6,INDEX(Properties!A$1:CB$87,Formula!D103,11)),IF((Formula!F103)=87,10^6,INDEX(Properties!A$1:CB$87,Formula!F103,11)),IF((Formula!H103)=87,10^6,INDEX(Properties!A$1:CB$87,Formula!H103,11)),IF(Formula!J103=87,10^6,INDEX(Properties!A$1:CB$87,Formula!J103,11)))</f>
        <v>2</v>
      </c>
      <c r="AQ103" s="57">
        <f t="shared" si="38"/>
        <v>0</v>
      </c>
      <c r="AR103" s="78">
        <f>((Formula!C103)/(Formula!C103+Formula!E103+Formula!G103+Formula!I103+Formula!K103))*(INDEX(Properties!A$1:CB$87,Formula!B103,12))+((Formula!E103)/(Formula!C103+Formula!E103+Formula!G103+Formula!I103+Formula!K103))*(INDEX(Properties!A$1:CB$87,Formula!D103,12))+((Formula!G103)/(Formula!C103+Formula!E103+Formula!G103+Formula!I103+Formula!K103))*(INDEX(Properties!A$1:CB$87,Formula!F103,12))+((Formula!I103)/(Formula!C103+Formula!E103+Formula!G103+Formula!I103+Formula!K103))*(INDEX(Properties!A$1:CB$87,Formula!H103,12))+((Formula!K103)/(Formula!C103+Formula!E103+Formula!G103+Formula!I103+Formula!K103))*(INDEX(Properties!A$1:CB$87,Formula!J103,12))</f>
        <v>2.5714285714285712</v>
      </c>
      <c r="AS103" s="78">
        <f>Formula!C103*(INDEX(Properties!A$1:CB$87,Formula!B103,12))+Formula!E103*(INDEX(Properties!A$1:CB$87,Formula!D103,12))+Formula!G103*(INDEX(Properties!A$1:CB$87,Formula!F103,12))+Formula!I103*(INDEX(Properties!A$1:CB$87,Formula!H103,12))+Formula!K103*(INDEX(Properties!A$1:CB$87,Formula!J103,12))</f>
        <v>18</v>
      </c>
      <c r="AT103" s="78">
        <f>VARP(IF(INDEX(Properties!A$1:CB$87,Formula!B103,12)&lt;&gt;"",INDEX(Properties!A$1:CB$87,Formula!B103,12)),IF(INDEX(Properties!A$1:CB$87,Formula!D103,12)&lt;&gt;"",INDEX(Properties!A$1:CB$87,Formula!D103,12)),IF(INDEX(Properties!A$1:CB$87,Formula!F103,12)&lt;&gt;"",INDEX(Properties!A$1:CB$87,Formula!F103,12)),IF(INDEX(Properties!A$1:CB$87,Formula!H103,12)&lt;&gt;"",INDEX(Properties!A$1:CB$87,Formula!H103,12)),IF(INDEX(Properties!A$1:CB$87,Formula!J103,12)&lt;&gt;"",INDEX(Properties!A$1:CB$87,Formula!J103,12)))</f>
        <v>2.56</v>
      </c>
      <c r="AU103" s="78">
        <f>MAX(INDEX(Properties!A$1:CB$87,Formula!B103,12),INDEX(Properties!A$1:CB$87,Formula!D103,12),INDEX(Properties!A$1:CB$87,Formula!F103,12),INDEX(Properties!A$1:CB$87,Formula!H103,12),INDEX(Properties!A$1:CB$87,Formula!J103,12))</f>
        <v>4</v>
      </c>
      <c r="AV103" s="78">
        <f>MIN(IF(Formula!B103=87,10^6,INDEX(Properties!A$1:CB$87,Formula!B103,12)),IF((Formula!D103)=87,10^6,INDEX(Properties!A$1:CB$87,Formula!D103,12)),IF((Formula!F103)=87,10^6,INDEX(Properties!A$1:CB$87,Formula!F103,12)),IF((Formula!H103)=87,10^6,INDEX(Properties!A$1:CB$87,Formula!H103,12)),IF(Formula!J103=87,10^6,INDEX(Properties!A$1:CB$87,Formula!J103,12)))</f>
        <v>0</v>
      </c>
      <c r="AW103" s="78">
        <f t="shared" si="39"/>
        <v>4</v>
      </c>
      <c r="AX103" s="45">
        <f>((Formula!C103)/(Formula!C103+Formula!E103+Formula!G103+Formula!I103+Formula!K103))*(INDEX(Properties!A$1:CB$87,Formula!B103,13))+((Formula!E103)/(Formula!C103+Formula!E103+Formula!G103+Formula!I103+Formula!K103))*(INDEX(Properties!A$1:CB$87,Formula!D103,13))+((Formula!G103)/(Formula!C103+Formula!E103+Formula!G103+Formula!I103+Formula!K103))*(INDEX(Properties!A$1:CB$87,Formula!F103,13))+((Formula!I103)/(Formula!C103+Formula!E103+Formula!G103+Formula!I103+Formula!K103))*(INDEX(Properties!A$1:CB$87,Formula!H103,13))+((Formula!K103)/(Formula!C103+Formula!E103+Formula!G103+Formula!I103+Formula!K103))*(INDEX(Properties!A$1:CB$87,Formula!J103,13))</f>
        <v>0</v>
      </c>
      <c r="AY103" s="45">
        <f>Formula!C103*(INDEX(Properties!A$1:CB$87,Formula!B103,13))+Formula!E103*(INDEX(Properties!A$1:CB$87,Formula!D103,13))+Formula!G103*(INDEX(Properties!A$1:CB$87,Formula!F103,13))+Formula!I103*(INDEX(Properties!A$1:CB$87,Formula!H103,13))+Formula!K103*(INDEX(Properties!A$1:CB$87,Formula!J103,13))</f>
        <v>0</v>
      </c>
      <c r="AZ103" s="45">
        <f>VARP(IF(INDEX(Properties!A$1:CB$87,Formula!B103,13)&lt;&gt;"",INDEX(Properties!A$1:CB$87,Formula!B103,13)),IF(INDEX(Properties!A$1:CB$87,Formula!D103,13)&lt;&gt;"",INDEX(Properties!A$1:CB$87,Formula!D103,13)),IF(INDEX(Properties!A$1:CB$87,Formula!F103,13)&lt;&gt;"",INDEX(Properties!A$1:CB$87,Formula!F103,13)),IF(INDEX(Properties!A$1:CB$87,Formula!H103,13)&lt;&gt;"",INDEX(Properties!A$1:CB$87,Formula!H103,13)),IF(INDEX(Properties!A$1:CB$87,Formula!J103,13)&lt;&gt;"",INDEX(Properties!A$1:CB$87,Formula!J103,13)))</f>
        <v>0</v>
      </c>
      <c r="BA103" s="45">
        <f>MAX(INDEX(Properties!A$1:CB$87,Formula!B103,13),INDEX(Properties!A$1:CB$87,Formula!D103,13),INDEX(Properties!A$1:CB$87,Formula!F103,13),INDEX(Properties!A$1:CB$87,Formula!H103,13),INDEX(Properties!A$1:CB$87,Formula!J103,13))</f>
        <v>0</v>
      </c>
      <c r="BB103" s="45">
        <f>MIN(IF(Formula!B103=87,10^6,INDEX(Properties!A$1:CB$87,Formula!B103,13)),IF((Formula!D103)=87,10^6,INDEX(Properties!A$1:CB$87,Formula!D103,13)),IF((Formula!F103)=87,10^6,INDEX(Properties!A$1:CB$87,Formula!F103,13)),IF((Formula!H103)=87,10^6,INDEX(Properties!A$1:CB$87,Formula!H103,13)),IF(Formula!J103=87,10^6,INDEX(Properties!A$1:CB$87,Formula!J103,13)))</f>
        <v>0</v>
      </c>
      <c r="BC103" s="45">
        <f t="shared" si="40"/>
        <v>0</v>
      </c>
      <c r="BD103" s="63">
        <f>((Formula!C103)/(Formula!C103+Formula!E103+Formula!G103+Formula!I103+Formula!K103))*(INDEX(Properties!A$1:CB$87,Formula!B103,14))+((Formula!E103)/(Formula!C103+Formula!E103+Formula!G103+Formula!I103+Formula!K103))*(INDEX(Properties!A$1:CB$87,Formula!D103,14))+((Formula!G103)/(Formula!C103+Formula!E103+Formula!G103+Formula!I103+Formula!K103))*(INDEX(Properties!A$1:CB$87,Formula!F103,14))+((Formula!I103)/(Formula!C103+Formula!E103+Formula!G103+Formula!I103+Formula!K103))*(INDEX(Properties!A$1:CB$87,Formula!H103,14))+((Formula!K103)/(Formula!C103+Formula!E103+Formula!G103+Formula!I103+Formula!K103))*(INDEX(Properties!A$1:CB$87,Formula!J103,14))</f>
        <v>0</v>
      </c>
      <c r="BE103" s="63">
        <f>Formula!C103*(INDEX(Properties!A$1:CB$87,Formula!B103,14))+Formula!E103*(INDEX(Properties!A$1:CB$87,Formula!D103,14))+Formula!G103*(INDEX(Properties!A$1:CB$87,Formula!F103,14))+Formula!I103*(INDEX(Properties!A$1:CB$87,Formula!H103,14))+Formula!K103*(INDEX(Properties!A$1:CB$87,Formula!J103,14))</f>
        <v>0</v>
      </c>
      <c r="BF103" s="63">
        <f>VARP(IF(INDEX(Properties!A$1:CB$87,Formula!B103,14)&lt;&gt;"",INDEX(Properties!A$1:CB$87,Formula!B103,14)),IF(INDEX(Properties!A$1:CB$87,Formula!D103,14)&lt;&gt;"",INDEX(Properties!A$1:CB$87,Formula!D103,14)),IF(INDEX(Properties!A$1:CB$87,Formula!F103,14)&lt;&gt;"",INDEX(Properties!A$1:CB$87,Formula!F103,14)),IF(INDEX(Properties!A$1:CB$87,Formula!H103,14)&lt;&gt;"",INDEX(Properties!A$1:CB$87,Formula!H103,14)),IF(INDEX(Properties!A$1:CB$87,Formula!J103,14)&lt;&gt;"",INDEX(Properties!A$1:CB$87,Formula!J103,14)))</f>
        <v>0</v>
      </c>
      <c r="BG103" s="63">
        <f>MAX(INDEX(Properties!A$1:CB$87,Formula!B103,14),INDEX(Properties!A$1:CB$87,Formula!D103,14),INDEX(Properties!A$1:CB$87,Formula!F103,14),INDEX(Properties!A$1:CB$87,Formula!H103,14),INDEX(Properties!A$1:CB$87,Formula!J103,14))</f>
        <v>0</v>
      </c>
      <c r="BH103" s="63">
        <f>MIN(IF(Formula!B103=87,10^6,INDEX(Properties!A$1:CB$87,Formula!B103,14)),IF((Formula!D103)=87,10^6,INDEX(Properties!A$1:CB$87,Formula!D103,14)),IF((Formula!F103)=87,10^6,INDEX(Properties!A$1:CB$87,Formula!F103,14)),IF((Formula!H103)=87,10^6,INDEX(Properties!A$1:CB$87,Formula!H103,14)),IF(Formula!J103=87,10^6,INDEX(Properties!A$1:CB$87,Formula!J103,14)))</f>
        <v>0</v>
      </c>
      <c r="BI103" s="63">
        <f t="shared" si="41"/>
        <v>0</v>
      </c>
      <c r="BJ103" s="75">
        <f>((Formula!C103)/(Formula!C103+Formula!E103+Formula!G103+Formula!I103+Formula!K103))*(INDEX(Properties!A$1:CB$87,Formula!B103,19))+((Formula!E103)/(Formula!C103+Formula!E103+Formula!G103+Formula!I103+Formula!K103))*(INDEX(Properties!A$1:CB$87,Formula!D103,19))+((Formula!G103)/(Formula!C103+Formula!E103+Formula!G103+Formula!I103+Formula!K103))*(INDEX(Properties!A$1:CB$87,Formula!F103,19))+((Formula!I103)/(Formula!C103+Formula!E103+Formula!G103+Formula!I103+Formula!K103))*(INDEX(Properties!A$1:CB$87,Formula!H103,19))+((Formula!K103)/(Formula!C103+Formula!E103+Formula!G103+Formula!I103+Formula!K103))*(INDEX(Properties!A$1:CB$87,Formula!J103,19))</f>
        <v>4.5714285714285712</v>
      </c>
      <c r="BK103" s="75">
        <f>Formula!C103*(INDEX(Properties!A$1:CB$87,Formula!B103,19))+Formula!E103*(INDEX(Properties!A$1:CB$87,Formula!D103,19))+Formula!G103*(INDEX(Properties!A$1:CB$87,Formula!F103,19))+Formula!I103*(INDEX(Properties!A$1:CB$87,Formula!H103,19))+Formula!K103*(INDEX(Properties!A$1:CB$87,Formula!J103,19))</f>
        <v>32</v>
      </c>
      <c r="BL103" s="75">
        <f>VARP(IF(INDEX(Properties!A$1:CB$87,Formula!B103,19)&lt;&gt;"",INDEX(Properties!A$1:CB$87,Formula!B103,19)),IF(INDEX(Properties!A$1:CB$87,Formula!D103,19)&lt;&gt;"",INDEX(Properties!A$1:CB$87,Formula!D103,19)),IF(INDEX(Properties!A$1:CB$87,Formula!F103,19)&lt;&gt;"",INDEX(Properties!A$1:CB$87,Formula!F103,19)),IF(INDEX(Properties!A$1:CB$87,Formula!H103,19)&lt;&gt;"",INDEX(Properties!A$1:CB$87,Formula!H103,19)),IF(INDEX(Properties!A$1:CB$87,Formula!J103,19)&lt;&gt;"",INDEX(Properties!A$1:CB$87,Formula!J103,19)))</f>
        <v>5.44</v>
      </c>
      <c r="BM103" s="75">
        <f>MAX(INDEX(Properties!A$1:CB$87,Formula!B103,19),INDEX(Properties!A$1:CB$87,Formula!D103,19),INDEX(Properties!A$1:CB$87,Formula!F103,19),INDEX(Properties!A$1:CB$87,Formula!H103,19),INDEX(Properties!A$1:CB$87,Formula!J103,19))</f>
        <v>6</v>
      </c>
      <c r="BN103" s="75">
        <f>MIN(IF(INDEX(Properties!A$1:CB$87,Formula!B103,19)=0,10^6,INDEX(Properties!A$1:CB$87,Formula!B103,19)),IF(INDEX(Properties!A$1:CB$87,Formula!D103,19)=0,10^6,INDEX(Properties!A$1:CB$87,Formula!D103,19)),IF(INDEX(Properties!A$1:CB$87,Formula!F103,19)=0,10^6,INDEX(Properties!A$1:CB$87,Formula!F103,19)),IF(INDEX(Properties!A$1:CB$87,Formula!H103,19)=0,10^6,INDEX(Properties!A$1:CB$87,Formula!H103,19)),IF(INDEX(Properties!A$1:CB$87,Formula!J103,19)=0,10^6,INDEX(Properties!A$1:CB$87,Formula!J103,19)))</f>
        <v>2</v>
      </c>
      <c r="BO103" s="75">
        <f t="shared" si="42"/>
        <v>4</v>
      </c>
      <c r="BP103" s="48">
        <f>((Formula!C103)/(Formula!C103+Formula!E103+Formula!G103+Formula!I103+Formula!K103))*(INDEX(Properties!A$1:CB$87,Formula!B103,20))+((Formula!E103)/(Formula!C103+Formula!E103+Formula!G103+Formula!I103+Formula!K103))*(INDEX(Properties!A$1:CB$87,Formula!D103,20))+((Formula!G103)/(Formula!C103+Formula!E103+Formula!G103+Formula!I103+Formula!K103))*(INDEX(Properties!A$1:CB$87,Formula!F103,20))+((Formula!I103)/(Formula!C103+Formula!E103+Formula!G103+Formula!I103+Formula!K103))*(INDEX(Properties!A$1:CB$87,Formula!H103,20))+((Formula!K103)/(Formula!C103+Formula!E103+Formula!G103+Formula!I103+Formula!K103))*(INDEX(Properties!A$1:CB$87,Formula!J103,20))</f>
        <v>4.5714285714285712</v>
      </c>
      <c r="BQ103" s="48">
        <f>Formula!C103*(INDEX(Properties!A$1:CB$87,Formula!B103,20))+Formula!E103*(INDEX(Properties!A$1:CB$87,Formula!D103,20))+Formula!G103*(INDEX(Properties!A$1:CB$87,Formula!F103,20))+Formula!I103*(INDEX(Properties!A$1:CB$87,Formula!H103,20))+Formula!K103*(INDEX(Properties!A$1:CB$87,Formula!J103,20))</f>
        <v>32</v>
      </c>
      <c r="BR103" s="48">
        <f>VARP(IF(INDEX(Properties!A$1:CB$87,Formula!B103,20)&lt;&gt;"",INDEX(Properties!A$1:CB$87,Formula!B103,20)),IF(INDEX(Properties!A$1:CB$87,Formula!D103,20)&lt;&gt;"",INDEX(Properties!A$1:CB$87,Formula!D103,20)),IF(INDEX(Properties!A$1:CB$87,Formula!F103,20)&lt;&gt;"",INDEX(Properties!A$1:CB$87,Formula!F103,20)),IF(INDEX(Properties!A$1:CB$87,Formula!H103,20)&lt;&gt;"",INDEX(Properties!A$1:CB$87,Formula!H103,20)),IF(INDEX(Properties!A$1:CB$87,Formula!J103,20)&lt;&gt;"",INDEX(Properties!A$1:CB$87,Formula!J103,20)))</f>
        <v>5.44</v>
      </c>
      <c r="BS103" s="48">
        <f>MAX(INDEX(Properties!A$1:CB$87,Formula!B103,20),INDEX(Properties!A$1:CB$87,Formula!D103,20),INDEX(Properties!A$1:CB$87,Formula!F103,20),INDEX(Properties!A$1:CB$87,Formula!H103,20),INDEX(Properties!A$1:CB$87,Formula!J103,20))</f>
        <v>6</v>
      </c>
      <c r="BT103" s="48">
        <f>MIN(IF(INDEX(Properties!A$1:CB$87,Formula!B103,20)=0,10^6,INDEX(Properties!A$1:CB$87,Formula!B103,20)),IF(INDEX(Properties!A$1:CB$87,Formula!D103,20)=0,10^6,INDEX(Properties!A$1:CB$87,Formula!D103,20)),IF(INDEX(Properties!A$1:CB$87,Formula!F103,20)=0,10^6,INDEX(Properties!A$1:CB$87,Formula!F103,20)),IF(INDEX(Properties!A$1:CB$87,Formula!H103,20)=0,10^6,INDEX(Properties!A$1:CB$87,Formula!H103,20)),IF(INDEX(Properties!A$1:CB$87,Formula!J103,20)=0,10^6,INDEX(Properties!A$1:CB$87,Formula!J103,20)))</f>
        <v>2</v>
      </c>
      <c r="BU103" s="48">
        <f t="shared" si="43"/>
        <v>4</v>
      </c>
      <c r="BV103" s="66">
        <f>((Formula!C103)/(Formula!C103+Formula!E103+Formula!G103+Formula!I103+Formula!K103))*(INDEX(Properties!A$1:CB$87,Formula!B103,21))+((Formula!E103)/(Formula!C103+Formula!E103+Formula!G103+Formula!I103+Formula!K103))*(INDEX(Properties!A$1:CB$87,Formula!D103,21))+((Formula!G103)/(Formula!C103+Formula!E103+Formula!G103+Formula!I103+Formula!K103))*(INDEX(Properties!A$1:CB$87,Formula!F103,21))+((Formula!I103)/(Formula!C103+Formula!E103+Formula!G103+Formula!I103+Formula!K103))*(INDEX(Properties!A$1:CB$87,Formula!H103,21))+((Formula!K103)/(Formula!C103+Formula!E103+Formula!G103+Formula!I103+Formula!K103))*(INDEX(Properties!A$1:CB$87,Formula!J103,21))</f>
        <v>4.5714285714285712</v>
      </c>
      <c r="BW103" s="66">
        <f>Formula!C103*(INDEX(Properties!A$1:CB$87,Formula!B103,21))+Formula!E103*(INDEX(Properties!A$1:CB$87,Formula!D103,21))+Formula!G103*(INDEX(Properties!A$1:CB$87,Formula!F103,21))+Formula!I103*(INDEX(Properties!A$1:CB$87,Formula!H103,21))+Formula!K103*(INDEX(Properties!A$1:CB$87,Formula!J103,21))</f>
        <v>32</v>
      </c>
      <c r="BX103" s="66">
        <f>VARP(IF(INDEX(Properties!A$1:CB$87,Formula!B103,21)&lt;&gt;"",INDEX(Properties!A$1:CB$87,Formula!B103,21)),IF(INDEX(Properties!A$1:CB$87,Formula!D103,21)&lt;&gt;"",INDEX(Properties!A$1:CB$87,Formula!D103,21)),IF(INDEX(Properties!A$1:CB$87,Formula!F103,21)&lt;&gt;"",INDEX(Properties!A$1:CB$87,Formula!F103,21)),IF(INDEX(Properties!A$1:CB$87,Formula!H103,21)&lt;&gt;"",INDEX(Properties!A$1:CB$87,Formula!H103,21)),IF(INDEX(Properties!A$1:CB$87,Formula!J103,21)&lt;&gt;"",INDEX(Properties!A$1:CB$87,Formula!J103,21)))</f>
        <v>5.44</v>
      </c>
      <c r="BY103" s="66">
        <f>MAX(INDEX(Properties!A$1:CB$87,Formula!B103,21),INDEX(Properties!A$1:CB$87,Formula!D103,21),INDEX(Properties!A$1:CB$87,Formula!F103,21),INDEX(Properties!A$1:CB$87,Formula!H103,21),INDEX(Properties!A$1:CB$87,Formula!J103,21))</f>
        <v>6</v>
      </c>
      <c r="BZ103" s="66">
        <f>MIN(IF(INDEX(Properties!A$1:CB$87,Formula!B103,21)=0,10^6,INDEX(Properties!A$1:CB$87,Formula!B103,21)),IF(INDEX(Properties!A$1:CB$87,Formula!D103,21)=0,10^6,INDEX(Properties!A$1:CB$87,Formula!D103,21)),IF(INDEX(Properties!A$1:CB$87,Formula!F103,21)=0,10^6,INDEX(Properties!A$1:CB$87,Formula!F103,21)),IF(INDEX(Properties!A$1:CB$87,Formula!H103,21)=0,10^6,INDEX(Properties!A$1:CB$87,Formula!H103,21)),IF(INDEX(Properties!A$1:CB$87,Formula!J103,21)=0,10^6,INDEX(Properties!A$1:CB$87,Formula!J103,21)))</f>
        <v>2</v>
      </c>
      <c r="CA103" s="66">
        <f t="shared" si="44"/>
        <v>4</v>
      </c>
      <c r="CB103" s="81">
        <f>((Formula!C103)/(Formula!C103+Formula!E103+Formula!G103+Formula!I103+Formula!K103))*(INDEX(Properties!A$1:CB$87,Formula!B103,23))+((Formula!E103)/(Formula!C103+Formula!E103+Formula!G103+Formula!I103+Formula!K103))*(INDEX(Properties!A$1:CB$87,Formula!D103,23))+((Formula!G103)/(Formula!C103+Formula!E103+Formula!G103+Formula!I103+Formula!K103))*(INDEX(Properties!A$1:CB$87,Formula!F103,23))+((Formula!I103)/(Formula!C103+Formula!E103+Formula!G103+Formula!I103+Formula!K103))*(INDEX(Properties!A$1:CB$87,Formula!H103,23))+((Formula!K103)/(Formula!C103+Formula!E103+Formula!G103+Formula!I103+Formula!K103))*(INDEX(Properties!A$1:CB$87,Formula!J103,23))</f>
        <v>1.1428571428571428</v>
      </c>
      <c r="CC103" s="81">
        <f>Formula!C103*(INDEX(Properties!A$1:CB$87,Formula!B103,23))+Formula!E103*(INDEX(Properties!A$1:CB$87,Formula!D103,23))+Formula!G103*(INDEX(Properties!A$1:CB$87,Formula!F103,23))+Formula!I103*(INDEX(Properties!A$1:CB$87,Formula!H103,23))+Formula!K103*(INDEX(Properties!A$1:CB$87,Formula!J103,23))</f>
        <v>8</v>
      </c>
      <c r="CD103" s="81">
        <f>VARP(IF(INDEX(Properties!A$1:CB$87,Formula!B103,23)&lt;&gt;"",INDEX(Properties!A$1:CB$87,Formula!B103,23)),IF(INDEX(Properties!A$1:CB$87,Formula!D103,23)&lt;&gt;"",INDEX(Properties!A$1:CB$87,Formula!D103,23)),IF(INDEX(Properties!A$1:CB$87,Formula!F103,23)&lt;&gt;"",INDEX(Properties!A$1:CB$87,Formula!F103,23)),IF(INDEX(Properties!A$1:CB$87,Formula!H103,23)&lt;&gt;"",INDEX(Properties!A$1:CB$87,Formula!H103,23)),IF(INDEX(Properties!A$1:CB$87,Formula!J103,23)&lt;&gt;"",INDEX(Properties!A$1:CB$87,Formula!J103,23)))</f>
        <v>2.56</v>
      </c>
      <c r="CE103" s="81">
        <f>MAX(INDEX(Properties!A$1:CB$87,Formula!B103,23),INDEX(Properties!A$1:CB$87,Formula!D103,23),INDEX(Properties!A$1:CB$87,Formula!F103,23),INDEX(Properties!A$1:CB$87,Formula!H103,23),INDEX(Properties!A$1:CB$87,Formula!J103,23))</f>
        <v>4</v>
      </c>
      <c r="CF103" s="81">
        <f>MIN(IF(Formula!B103=87,10^6,INDEX(Properties!A$1:CB$87,Formula!B103,23)),IF((Formula!D103)=87,10^6,INDEX(Properties!A$1:CB$87,Formula!D103,23)),IF((Formula!F103)=87,10^6,INDEX(Properties!A$1:CB$87,Formula!F103,23)),IF((Formula!H103)=87,10^6,INDEX(Properties!A$1:CB$87,Formula!H103,23)),IF(Formula!J103=87,10^6,INDEX(Properties!A$1:CB$87,Formula!J103,23)))</f>
        <v>0</v>
      </c>
      <c r="CG103" s="81">
        <f t="shared" si="45"/>
        <v>4</v>
      </c>
      <c r="CH103" s="39">
        <f>((Formula!C103)/(Formula!C103+Formula!E103+Formula!G103+Formula!I103+Formula!K103))*(INDEX(Properties!A$1:CB$87,Formula!B103,26))+((Formula!E103)/(Formula!C103+Formula!E103+Formula!G103+Formula!I103+Formula!K103))*(INDEX(Properties!A$1:CB$87,Formula!D103,26))+((Formula!G103)/(Formula!C103+Formula!E103+Formula!G103+Formula!I103+Formula!K103))*(INDEX(Properties!A$1:CB$87,Formula!F103,26))+((Formula!I103)/(Formula!C103+Formula!E103+Formula!G103+Formula!I103+Formula!K103))*(INDEX(Properties!A$1:CB$87,Formula!H103,26))+((Formula!K103)/(Formula!C103+Formula!E103+Formula!G103+Formula!I103+Formula!K103))*(INDEX(Properties!A$1:CB$87,Formula!J103,26))</f>
        <v>10.435357142857143</v>
      </c>
      <c r="CI103" s="39">
        <f>Formula!C103*(INDEX(Properties!A$1:CB$87,Formula!B103,26))+Formula!E103*(INDEX(Properties!A$1:CB$87,Formula!D103,26))+Formula!G103*(INDEX(Properties!A$1:CB$87,Formula!F103,26))+Formula!I103*(INDEX(Properties!A$1:CB$87,Formula!H103,26))+Formula!K103*(INDEX(Properties!A$1:CB$87,Formula!J103,26))</f>
        <v>73.047499999999999</v>
      </c>
      <c r="CJ103" s="39">
        <f>VARP(IF(INDEX(Properties!A$1:CB$87,Formula!B103,26)&lt;&gt;"",INDEX(Properties!A$1:CB$87,Formula!B103,26)),IF(INDEX(Properties!A$1:CB$87,Formula!D103,26)&lt;&gt;"",INDEX(Properties!A$1:CB$87,Formula!D103,26)),IF(INDEX(Properties!A$1:CB$87,Formula!F103,26)&lt;&gt;"",INDEX(Properties!A$1:CB$87,Formula!F103,26)),IF(INDEX(Properties!A$1:CB$87,Formula!H103,26)&lt;&gt;"",INDEX(Properties!A$1:CB$87,Formula!H103,26)),IF(INDEX(Properties!A$1:CB$87,Formula!J103,26)&lt;&gt;"",INDEX(Properties!A$1:CB$87,Formula!J103,26)))</f>
        <v>26.692881788000008</v>
      </c>
      <c r="CK103" s="39">
        <f>MAX(INDEX(Properties!A$1:CB$87,Formula!B103,26),INDEX(Properties!A$1:CB$87,Formula!D103,26),INDEX(Properties!A$1:CB$87,Formula!F103,26),INDEX(Properties!A$1:CB$87,Formula!H103,26),INDEX(Properties!A$1:CB$87,Formula!J103,26))</f>
        <v>13.6181</v>
      </c>
      <c r="CL103" s="39">
        <f>MIN(IF(INDEX(Properties!A$1:CB$87,Formula!B103,26)=0,10^6,INDEX(Properties!A$1:CB$87,Formula!B103,26)),IF(INDEX(Properties!A$1:CB$87,Formula!D103,26)=0,10^6,INDEX(Properties!A$1:CB$87,Formula!D103,26)),IF(INDEX(Properties!A$1:CB$87,Formula!F103,26)=0,10^6,INDEX(Properties!A$1:CB$87,Formula!F103,26)),IF(INDEX(Properties!A$1:CB$87,Formula!H103,26)=0,10^6,INDEX(Properties!A$1:CB$87,Formula!H103,26)),IF(INDEX(Properties!A$1:CB$87,Formula!J103,26)=0,10^6,INDEX(Properties!A$1:CB$87,Formula!J103,26)))</f>
        <v>5.2117000000000004</v>
      </c>
      <c r="CM103" s="39">
        <f t="shared" si="46"/>
        <v>8.4063999999999997</v>
      </c>
      <c r="CN103" s="54">
        <f>((Formula!C103)/(Formula!C103+Formula!E103+Formula!G103+Formula!I103+Formula!K103))*(INDEX(Properties!A$1:CB$87,Formula!B103,30))+((Formula!E103)/(Formula!C103+Formula!E103+Formula!G103+Formula!I103+Formula!K103))*(INDEX(Properties!A$1:CB$87,Formula!D103,30))+((Formula!G103)/(Formula!C103+Formula!E103+Formula!G103+Formula!I103+Formula!K103))*(INDEX(Properties!A$1:CB$87,Formula!F103,30))+((Formula!I103)/(Formula!C103+Formula!E103+Formula!G103+Formula!I103+Formula!K103))*(INDEX(Properties!A$1:CB$87,Formula!H103,30))+((Formula!K103)/(Formula!C103+Formula!E103+Formula!G103+Formula!I103+Formula!K103))*(INDEX(Properties!A$1:CB$87,Formula!J103,30))</f>
        <v>2.4914285714285711</v>
      </c>
      <c r="CO103" s="54">
        <f>Formula!C103*(INDEX(Properties!A$1:CB$87,Formula!B103,30))+Formula!E103*(INDEX(Properties!A$1:CB$87,Formula!D103,30))+Formula!G103*(INDEX(Properties!A$1:CB$87,Formula!F103,30))+Formula!I103*(INDEX(Properties!A$1:CB$87,Formula!H103,30))+Formula!K103*(INDEX(Properties!A$1:CB$87,Formula!J103,30))</f>
        <v>17.439999999999998</v>
      </c>
      <c r="CP103" s="54">
        <f>VARP(IF(INDEX(Properties!A$1:CB$87,Formula!B103,30)&lt;&gt;"",INDEX(Properties!A$1:CB$87,Formula!B103,30)),IF(INDEX(Properties!A$1:CB$87,Formula!D103,30)&lt;&gt;"",INDEX(Properties!A$1:CB$87,Formula!D103,30)),IF(INDEX(Properties!A$1:CB$87,Formula!F103,30)&lt;&gt;"",INDEX(Properties!A$1:CB$87,Formula!F103,30)),IF(INDEX(Properties!A$1:CB$87,Formula!H103,30)&lt;&gt;"",INDEX(Properties!A$1:CB$87,Formula!H103,30)),IF(INDEX(Properties!A$1:CB$87,Formula!J103,30)&lt;&gt;"",INDEX(Properties!A$1:CB$87,Formula!J103,30)))</f>
        <v>1.6946239999999992</v>
      </c>
      <c r="CQ103" s="54">
        <f>MAX(INDEX(Properties!A$1:CB$87,Formula!B103,30),INDEX(Properties!A$1:CB$87,Formula!D103,30),INDEX(Properties!A$1:CB$87,Formula!F103,30),INDEX(Properties!A$1:CB$87,Formula!H103,30),INDEX(Properties!A$1:CB$87,Formula!J103,30))</f>
        <v>3.44</v>
      </c>
      <c r="CR103" s="54">
        <f>MIN(IF(INDEX(Properties!A$1:CB$87,Formula!B103,30)=0,10^6,INDEX(Properties!A$1:CB$87,Formula!B103,30)),IF(INDEX(Properties!A$1:CB$87,Formula!D103,30)=0,10^6,INDEX(Properties!A$1:CB$87,Formula!D103,30)),IF(INDEX(Properties!A$1:CB$87,Formula!F103,30)=0,10^6,INDEX(Properties!A$1:CB$87,Formula!F103,30)),IF(INDEX(Properties!A$1:CB$87,Formula!H103,30)=0,10^6,INDEX(Properties!A$1:CB$87,Formula!H103,30)),IF(INDEX(Properties!A$1:CB$87,Formula!J103,30)=0,10^6,INDEX(Properties!A$1:CB$87,Formula!J103,30)))</f>
        <v>0.89</v>
      </c>
      <c r="CS103" s="54">
        <f t="shared" si="47"/>
        <v>2.5499999999999998</v>
      </c>
      <c r="CT103" s="69">
        <f>((Formula!C103)/(Formula!C103+Formula!E103+Formula!G103+Formula!I103+Formula!K103))*(INDEX(Properties!A$1:CB$87,Formula!B103,31))+((Formula!E103)/(Formula!C103+Formula!E103+Formula!G103+Formula!I103+Formula!K103))*(INDEX(Properties!A$1:CB$87,Formula!D103,31))+((Formula!G103)/(Formula!C103+Formula!E103+Formula!G103+Formula!I103+Formula!K103))*(INDEX(Properties!A$1:CB$87,Formula!F103,31))+((Formula!I103)/(Formula!C103+Formula!E103+Formula!G103+Formula!I103+Formula!K103))*(INDEX(Properties!A$1:CB$87,Formula!H103,31))+((Formula!K103)/(Formula!C103+Formula!E103+Formula!G103+Formula!I103+Formula!K103))*(INDEX(Properties!A$1:CB$87,Formula!J103,31))</f>
        <v>2.4885714285714284</v>
      </c>
      <c r="CU103" s="69">
        <f>Formula!C103*(INDEX(Properties!A$1:CB$87,Formula!B103,31))+Formula!E103*(INDEX(Properties!A$1:CB$87,Formula!D103,31))+Formula!G103*(INDEX(Properties!A$1:CB$87,Formula!F103,31))+Formula!I103*(INDEX(Properties!A$1:CB$87,Formula!H103,31))+Formula!K103*(INDEX(Properties!A$1:CB$87,Formula!J103,31))</f>
        <v>17.420000000000002</v>
      </c>
      <c r="CV103" s="69">
        <f>VARP(IF(INDEX(Properties!A$1:CB$87,Formula!B103,31)&lt;&gt;"",INDEX(Properties!A$1:CB$87,Formula!B103,31)),IF(INDEX(Properties!A$1:CB$87,Formula!D103,31)&lt;&gt;"",INDEX(Properties!A$1:CB$87,Formula!D103,31)),IF(INDEX(Properties!A$1:CB$87,Formula!F103,31)&lt;&gt;"",INDEX(Properties!A$1:CB$87,Formula!F103,31)),IF(INDEX(Properties!A$1:CB$87,Formula!H103,31)&lt;&gt;"",INDEX(Properties!A$1:CB$87,Formula!H103,31)),IF(INDEX(Properties!A$1:CB$87,Formula!J103,31)&lt;&gt;"",INDEX(Properties!A$1:CB$87,Formula!J103,31)))</f>
        <v>1.5936640000000002</v>
      </c>
      <c r="CW103" s="69">
        <f>MAX(INDEX(Properties!A$1:CB$87,Formula!B103,31),INDEX(Properties!A$1:CB$87,Formula!D103,31),INDEX(Properties!A$1:CB$87,Formula!F103,31),INDEX(Properties!A$1:CB$87,Formula!H103,31),INDEX(Properties!A$1:CB$87,Formula!J103,31))</f>
        <v>3.32</v>
      </c>
      <c r="CX103" s="69">
        <f>MIN(IF(INDEX(Properties!A$1:CB$87,Formula!B103,31)=0,10^6,INDEX(Properties!A$1:CB$87,Formula!B103,31)),IF(INDEX(Properties!A$1:CB$87,Formula!D103,31)=0,10^6,INDEX(Properties!A$1:CB$87,Formula!D103,31)),IF(INDEX(Properties!A$1:CB$87,Formula!F103,31)=0,10^6,INDEX(Properties!A$1:CB$87,Formula!F103,31)),IF(INDEX(Properties!A$1:CB$87,Formula!H103,31)=0,10^6,INDEX(Properties!A$1:CB$87,Formula!H103,31)),IF(INDEX(Properties!A$1:CB$87,Formula!J103,31)=0,10^6,INDEX(Properties!A$1:CB$87,Formula!J103,31)))</f>
        <v>1.08</v>
      </c>
      <c r="CY103" s="69">
        <f t="shared" si="48"/>
        <v>2.2399999999999998</v>
      </c>
      <c r="CZ103" s="42">
        <f>((Formula!C103)/(Formula!C103+Formula!E103+Formula!G103+Formula!I103+Formula!K103))*(INDEX(Properties!A$1:CB$87,Formula!B103,32))+((Formula!E103)/(Formula!C103+Formula!E103+Formula!G103+Formula!I103+Formula!K103))*(INDEX(Properties!A$1:CB$87,Formula!D103,32))+((Formula!G103)/(Formula!C103+Formula!E103+Formula!G103+Formula!I103+Formula!K103))*(INDEX(Properties!A$1:CB$87,Formula!F103,32))+((Formula!I103)/(Formula!C103+Formula!E103+Formula!G103+Formula!I103+Formula!K103))*(INDEX(Properties!A$1:CB$87,Formula!H103,32))+((Formula!K103)/(Formula!C103+Formula!E103+Formula!G103+Formula!I103+Formula!K103))*(INDEX(Properties!A$1:CB$87,Formula!J103,32))</f>
        <v>5.6757142857142853</v>
      </c>
      <c r="DA103" s="42">
        <f>Formula!C103*(INDEX(Properties!A$1:CB$87,Formula!B103,32))+Formula!E103*(INDEX(Properties!A$1:CB$87,Formula!D103,32))+Formula!G103*(INDEX(Properties!A$1:CB$87,Formula!F103,32))+Formula!I103*(INDEX(Properties!A$1:CB$87,Formula!H103,32))+Formula!K103*(INDEX(Properties!A$1:CB$87,Formula!J103,32))</f>
        <v>39.730000000000004</v>
      </c>
      <c r="DB103" s="42">
        <f>VARP(IF(INDEX(Properties!A$1:CB$87,Formula!B103,32)&lt;&gt;"",INDEX(Properties!A$1:CB$87,Formula!B103,32)),IF(INDEX(Properties!A$1:CB$87,Formula!D103,32)&lt;&gt;"",INDEX(Properties!A$1:CB$87,Formula!D103,32)),IF(INDEX(Properties!A$1:CB$87,Formula!F103,32)&lt;&gt;"",INDEX(Properties!A$1:CB$87,Formula!F103,32)),IF(INDEX(Properties!A$1:CB$87,Formula!H103,32)&lt;&gt;"",INDEX(Properties!A$1:CB$87,Formula!H103,32)),IF(INDEX(Properties!A$1:CB$87,Formula!J103,32)&lt;&gt;"",INDEX(Properties!A$1:CB$87,Formula!J103,32)))</f>
        <v>8.4175359999999984</v>
      </c>
      <c r="DC103" s="42">
        <f>MAX(INDEX(Properties!A$1:CB$87,Formula!B103,32),INDEX(Properties!A$1:CB$87,Formula!D103,32),INDEX(Properties!A$1:CB$87,Formula!F103,32),INDEX(Properties!A$1:CB$87,Formula!H103,32),INDEX(Properties!A$1:CB$87,Formula!J103,32))</f>
        <v>7.54</v>
      </c>
      <c r="DD103" s="42">
        <f>MIN(IF(INDEX(Properties!A$1:CB$87,Formula!B103,32)=0,10^6,INDEX(Properties!A$1:CB$87,Formula!B103,32)),IF(INDEX(Properties!A$1:CB$87,Formula!D103,32)=0,10^6,INDEX(Properties!A$1:CB$87,Formula!D103,32)),IF(INDEX(Properties!A$1:CB$87,Formula!F103,32)=0,10^6,INDEX(Properties!A$1:CB$87,Formula!F103,32)),IF(INDEX(Properties!A$1:CB$87,Formula!H103,32)=0,10^6,INDEX(Properties!A$1:CB$87,Formula!H103,32)),IF(INDEX(Properties!A$1:CB$87,Formula!J103,32)=0,10^6,INDEX(Properties!A$1:CB$87,Formula!J103,32)))</f>
        <v>2.4</v>
      </c>
      <c r="DE103" s="42">
        <f t="shared" si="49"/>
        <v>5.1400000000000006</v>
      </c>
      <c r="DF103" s="60">
        <f>((Formula!C103)/(Formula!C103+Formula!E103+Formula!G103+Formula!I103+Formula!K103))*(INDEX(Properties!A$1:CB$87,Formula!B103,34))+((Formula!E103)/(Formula!C103+Formula!E103+Formula!G103+Formula!I103+Formula!K103))*(INDEX(Properties!A$1:CB$87,Formula!D103,34))+((Formula!G103)/(Formula!C103+Formula!E103+Formula!G103+Formula!I103+Formula!K103))*(INDEX(Properties!A$1:CB$87,Formula!F103,34))+((Formula!I103)/(Formula!C103+Formula!E103+Formula!G103+Formula!I103+Formula!K103))*(INDEX(Properties!A$1:CB$87,Formula!H103,34))+((Formula!K103)/(Formula!C103+Formula!E103+Formula!G103+Formula!I103+Formula!K103))*(INDEX(Properties!A$1:CB$87,Formula!J103,34))</f>
        <v>2.5882857142857141</v>
      </c>
      <c r="DG103" s="60">
        <f>Formula!C103*(INDEX(Properties!A$1:CB$87,Formula!B103,34))+Formula!E103*(INDEX(Properties!A$1:CB$87,Formula!D103,34))+Formula!G103*(INDEX(Properties!A$1:CB$87,Formula!F103,34))+Formula!I103*(INDEX(Properties!A$1:CB$87,Formula!H103,34))+Formula!K103*(INDEX(Properties!A$1:CB$87,Formula!J103,34))</f>
        <v>18.117999999999999</v>
      </c>
      <c r="DH103" s="60">
        <f>VARP(IF(INDEX(Properties!A$1:CB$87,Formula!B103,34)&lt;&gt;"",INDEX(Properties!A$1:CB$87,Formula!B103,34)),IF(INDEX(Properties!A$1:CB$87,Formula!D103,34)&lt;&gt;"",INDEX(Properties!A$1:CB$87,Formula!D103,34)),IF(INDEX(Properties!A$1:CB$87,Formula!F103,34)&lt;&gt;"",INDEX(Properties!A$1:CB$87,Formula!F103,34)),IF(INDEX(Properties!A$1:CB$87,Formula!H103,34)&lt;&gt;"",INDEX(Properties!A$1:CB$87,Formula!H103,34)),IF(INDEX(Properties!A$1:CB$87,Formula!J103,34)&lt;&gt;"",INDEX(Properties!A$1:CB$87,Formula!J103,34)))</f>
        <v>1.8538774399999993</v>
      </c>
      <c r="DI103" s="60">
        <f>MAX(INDEX(Properties!A$1:CB$87,Formula!B103,34),INDEX(Properties!A$1:CB$87,Formula!D103,34),INDEX(Properties!A$1:CB$87,Formula!F103,34),INDEX(Properties!A$1:CB$87,Formula!H103,34),INDEX(Properties!A$1:CB$87,Formula!J103,34))</f>
        <v>3.61</v>
      </c>
      <c r="DJ103" s="60">
        <f>MIN(IF(INDEX(Properties!A$1:CB$87,Formula!B103,34)=0,10^6,INDEX(Properties!A$1:CB$87,Formula!B103,34)),IF(INDEX(Properties!A$1:CB$87,Formula!D103,34)=0,10^6,INDEX(Properties!A$1:CB$87,Formula!D103,34)),IF(INDEX(Properties!A$1:CB$87,Formula!F103,34)=0,10^6,INDEX(Properties!A$1:CB$87,Formula!F103,34)),IF(INDEX(Properties!A$1:CB$87,Formula!H103,34)=0,10^6,INDEX(Properties!A$1:CB$87,Formula!H103,34)),IF(INDEX(Properties!A$1:CB$87,Formula!J103,34)=0,10^6,INDEX(Properties!A$1:CB$87,Formula!J103,34)))</f>
        <v>0.88100000000000001</v>
      </c>
      <c r="DK103" s="60">
        <f t="shared" si="50"/>
        <v>2.7290000000000001</v>
      </c>
      <c r="DL103" s="45">
        <f>((Formula!C103)/(Formula!C103+Formula!E103+Formula!G103+Formula!I103+Formula!K103))*(INDEX(Properties!A$1:CB$87,Formula!B103,39))+((Formula!E103)/(Formula!C103+Formula!E103+Formula!G103+Formula!I103+Formula!K103))*(INDEX(Properties!A$1:CB$87,Formula!D103,39))+((Formula!G103)/(Formula!C103+Formula!E103+Formula!G103+Formula!I103+Formula!K103))*(INDEX(Properties!A$1:CB$87,Formula!F103,39))+((Formula!I103)/(Formula!C103+Formula!E103+Formula!G103+Formula!I103+Formula!K103))*(INDEX(Properties!A$1:CB$87,Formula!H103,39))+((Formula!K103)/(Formula!C103+Formula!E103+Formula!G103+Formula!I103+Formula!K103))*(INDEX(Properties!A$1:CB$87,Formula!J103,39))</f>
        <v>1.1557142857142857</v>
      </c>
      <c r="DM103" s="45">
        <f>Formula!C103*(INDEX(Properties!A$1:CB$87,Formula!B103,39))+Formula!E103*(INDEX(Properties!A$1:CB$87,Formula!D103,39))+Formula!G103*(INDEX(Properties!A$1:CB$87,Formula!F103,39))+Formula!I103*(INDEX(Properties!A$1:CB$87,Formula!H103,39))+Formula!K103*(INDEX(Properties!A$1:CB$87,Formula!J103,39))</f>
        <v>8.09</v>
      </c>
      <c r="DN103" s="45">
        <f>VARP(IF(INDEX(Properties!A$1:CB$87,Formula!B103,39)&lt;&gt;"",INDEX(Properties!A$1:CB$87,Formula!B103,39)),IF(INDEX(Properties!A$1:CB$87,Formula!D103,39)&lt;&gt;"",INDEX(Properties!A$1:CB$87,Formula!D103,39)),IF(INDEX(Properties!A$1:CB$87,Formula!F103,39)&lt;&gt;"",INDEX(Properties!A$1:CB$87,Formula!F103,39)),IF(INDEX(Properties!A$1:CB$87,Formula!H103,39)&lt;&gt;"",INDEX(Properties!A$1:CB$87,Formula!H103,39)),IF(INDEX(Properties!A$1:CB$87,Formula!J103,39)&lt;&gt;"",INDEX(Properties!A$1:CB$87,Formula!J103,39)))</f>
        <v>0.89370400000000028</v>
      </c>
      <c r="DO103" s="45">
        <f>MAX(INDEX(Properties!A$1:CB$87,Formula!B103,39),INDEX(Properties!A$1:CB$87,Formula!D103,39),INDEX(Properties!A$1:CB$87,Formula!F103,39),INDEX(Properties!A$1:CB$87,Formula!H103,39),INDEX(Properties!A$1:CB$87,Formula!J103,39))</f>
        <v>2.5299999999999998</v>
      </c>
      <c r="DP103" s="45">
        <f>MIN(IF(INDEX(Properties!A$1:CB$87,Formula!B103,39)=0,10^6,INDEX(Properties!A$1:CB$87,Formula!B103,39)),IF(INDEX(Properties!A$1:CB$87,Formula!D103,39)=0,10^6,INDEX(Properties!A$1:CB$87,Formula!D103,39)),IF(INDEX(Properties!A$1:CB$87,Formula!F103,39)=0,10^6,INDEX(Properties!A$1:CB$87,Formula!F103,39)),IF(INDEX(Properties!A$1:CB$87,Formula!H103,39)=0,10^6,INDEX(Properties!A$1:CB$87,Formula!H103,39)),IF(INDEX(Properties!A$1:CB$87,Formula!J103,39)=0,10^6,INDEX(Properties!A$1:CB$87,Formula!J103,39)))</f>
        <v>0.48</v>
      </c>
      <c r="DQ103" s="45">
        <f t="shared" si="51"/>
        <v>2.0499999999999998</v>
      </c>
      <c r="DR103" s="63">
        <f>((Formula!C103)/(Formula!C103+Formula!E103+Formula!G103+Formula!I103+Formula!K103))*(INDEX(Properties!A$1:CB$87,Formula!B103,40))+((Formula!E103)/(Formula!C103+Formula!E103+Formula!G103+Formula!I103+Formula!K103))*(INDEX(Properties!A$1:CB$87,Formula!D103,40))+((Formula!G103)/(Formula!C103+Formula!E103+Formula!G103+Formula!I103+Formula!K103))*(INDEX(Properties!A$1:CB$87,Formula!F103,40))+((Formula!I103)/(Formula!C103+Formula!E103+Formula!G103+Formula!I103+Formula!K103))*(INDEX(Properties!A$1:CB$87,Formula!H103,40))+((Formula!K103)/(Formula!C103+Formula!E103+Formula!G103+Formula!I103+Formula!K103))*(INDEX(Properties!A$1:CB$87,Formula!J103,40))</f>
        <v>1.1414285714285715</v>
      </c>
      <c r="DS103" s="63">
        <f>Formula!C103*(INDEX(Properties!A$1:CB$87,Formula!B103,40))+Formula!E103*(INDEX(Properties!A$1:CB$87,Formula!D103,40))+Formula!G103*(INDEX(Properties!A$1:CB$87,Formula!F103,40))+Formula!I103*(INDEX(Properties!A$1:CB$87,Formula!H103,40))+Formula!K103*(INDEX(Properties!A$1:CB$87,Formula!J103,40))</f>
        <v>7.99</v>
      </c>
      <c r="DT103" s="63">
        <f>VARP(IF(INDEX(Properties!A$1:CB$87,Formula!B103,40)&lt;&gt;"",INDEX(Properties!A$1:CB$87,Formula!B103,40)),IF(INDEX(Properties!A$1:CB$87,Formula!D103,40)&lt;&gt;"",INDEX(Properties!A$1:CB$87,Formula!D103,40)),IF(INDEX(Properties!A$1:CB$87,Formula!F103,40)&lt;&gt;"",INDEX(Properties!A$1:CB$87,Formula!F103,40)),IF(INDEX(Properties!A$1:CB$87,Formula!H103,40)&lt;&gt;"",INDEX(Properties!A$1:CB$87,Formula!H103,40)),IF(INDEX(Properties!A$1:CB$87,Formula!J103,40)&lt;&gt;"",INDEX(Properties!A$1:CB$87,Formula!J103,40)))</f>
        <v>0.55338399999999999</v>
      </c>
      <c r="DU103" s="63">
        <f>MAX(INDEX(Properties!A$1:CB$87,Formula!B103,40),INDEX(Properties!A$1:CB$87,Formula!D103,40),INDEX(Properties!A$1:CB$87,Formula!F103,40),INDEX(Properties!A$1:CB$87,Formula!H103,40),INDEX(Properties!A$1:CB$87,Formula!J103,40))</f>
        <v>1.98</v>
      </c>
      <c r="DV103" s="63">
        <f>MIN(IF(INDEX(Properties!A$1:CB$87,Formula!B103,40)=0,10^6,INDEX(Properties!A$1:CB$87,Formula!B103,40)),IF(INDEX(Properties!A$1:CB$87,Formula!D103,40)=0,10^6,INDEX(Properties!A$1:CB$87,Formula!D103,40)),IF(INDEX(Properties!A$1:CB$87,Formula!F103,40)=0,10^6,INDEX(Properties!A$1:CB$87,Formula!F103,40)),IF(INDEX(Properties!A$1:CB$87,Formula!H103,40)=0,10^6,INDEX(Properties!A$1:CB$87,Formula!H103,40)),IF(INDEX(Properties!A$1:CB$87,Formula!J103,40)=0,10^6,INDEX(Properties!A$1:CB$87,Formula!J103,40)))</f>
        <v>0.73</v>
      </c>
      <c r="DW103" s="63">
        <f t="shared" si="52"/>
        <v>1.25</v>
      </c>
      <c r="DX103" s="75">
        <f>((Formula!C103)/(Formula!C103+Formula!E103+Formula!G103+Formula!I103+Formula!K103))*(INDEX(Properties!A$1:CB$87,Formula!B103,41))+((Formula!E103)/(Formula!C103+Formula!E103+Formula!G103+Formula!I103+Formula!K103))*(INDEX(Properties!A$1:CB$87,Formula!D103,41))+((Formula!G103)/(Formula!C103+Formula!E103+Formula!G103+Formula!I103+Formula!K103))*(INDEX(Properties!A$1:CB$87,Formula!F103,41))+((Formula!I103)/(Formula!C103+Formula!E103+Formula!G103+Formula!I103+Formula!K103))*(INDEX(Properties!A$1:CB$87,Formula!H103,41))+((Formula!K103)/(Formula!C103+Formula!E103+Formula!G103+Formula!I103+Formula!K103))*(INDEX(Properties!A$1:CB$87,Formula!J103,41))</f>
        <v>1.2228571428571429</v>
      </c>
      <c r="DY103" s="75">
        <f>Formula!C103*(INDEX(Properties!A$1:CB$87,Formula!B103,41))+Formula!E103*(INDEX(Properties!A$1:CB$87,Formula!D103,41))+Formula!G103*(INDEX(Properties!A$1:CB$87,Formula!F103,41))+Formula!I103*(INDEX(Properties!A$1:CB$87,Formula!H103,41))+Formula!K103*(INDEX(Properties!A$1:CB$87,Formula!J103,41))</f>
        <v>8.56</v>
      </c>
      <c r="DZ103" s="75">
        <f>VARP(IF(INDEX(Properties!A$1:CB$87,Formula!B103,41)&lt;&gt;"",INDEX(Properties!A$1:CB$87,Formula!B103,41)),IF(INDEX(Properties!A$1:CB$87,Formula!D103,41)&lt;&gt;"",INDEX(Properties!A$1:CB$87,Formula!D103,41)),IF(INDEX(Properties!A$1:CB$87,Formula!F103,41)&lt;&gt;"",INDEX(Properties!A$1:CB$87,Formula!F103,41)),IF(INDEX(Properties!A$1:CB$87,Formula!H103,41)&lt;&gt;"",INDEX(Properties!A$1:CB$87,Formula!H103,41)),IF(INDEX(Properties!A$1:CB$87,Formula!J103,41)&lt;&gt;"",INDEX(Properties!A$1:CB$87,Formula!J103,41)))</f>
        <v>0.38689599999999991</v>
      </c>
      <c r="EA103" s="75">
        <f>MAX(INDEX(Properties!A$1:CB$87,Formula!B103,41),INDEX(Properties!A$1:CB$87,Formula!D103,41),INDEX(Properties!A$1:CB$87,Formula!F103,41),INDEX(Properties!A$1:CB$87,Formula!H103,41),INDEX(Properties!A$1:CB$87,Formula!J103,41))</f>
        <v>1.49</v>
      </c>
      <c r="EB103" s="75">
        <f>MIN(IF(INDEX(Properties!A$1:CB$87,Formula!B103,41)=0,10^6,INDEX(Properties!A$1:CB$87,Formula!B103,41)),IF(INDEX(Properties!A$1:CB$87,Formula!D103,41)=0,10^6,INDEX(Properties!A$1:CB$87,Formula!D103,41)),IF(INDEX(Properties!A$1:CB$87,Formula!F103,41)=0,10^6,INDEX(Properties!A$1:CB$87,Formula!F103,41)),IF(INDEX(Properties!A$1:CB$87,Formula!H103,41)=0,10^6,INDEX(Properties!A$1:CB$87,Formula!H103,41)),IF(INDEX(Properties!A$1:CB$87,Formula!J103,41)=0,10^6,INDEX(Properties!A$1:CB$87,Formula!J103,41)))</f>
        <v>0.54</v>
      </c>
      <c r="EC103" s="75">
        <f t="shared" si="53"/>
        <v>0.95</v>
      </c>
      <c r="ED103" s="48">
        <f>((Formula!C103)/(Formula!C103+Formula!E103+Formula!G103+Formula!I103+Formula!K103))*(INDEX(Properties!A$1:CB$87,Formula!B103,45))+((Formula!E103)/(Formula!C103+Formula!E103+Formula!G103+Formula!I103+Formula!K103))*(INDEX(Properties!A$1:CB$87,Formula!D103,45))+((Formula!G103)/(Formula!C103+Formula!E103+Formula!G103+Formula!I103+Formula!K103))*(INDEX(Properties!A$1:CB$87,Formula!F103,45))+((Formula!I103)/(Formula!C103+Formula!E103+Formula!G103+Formula!I103+Formula!K103))*(INDEX(Properties!A$1:CB$87,Formula!H103,45))+((Formula!K103)/(Formula!C103+Formula!E103+Formula!G103+Formula!I103+Formula!K103))*(INDEX(Properties!A$1:CB$87,Formula!J103,45))</f>
        <v>1.4428571428571426</v>
      </c>
      <c r="EE103" s="48">
        <f>Formula!C103*(INDEX(Properties!A$1:CB$87,Formula!B103,45))+Formula!E103*(INDEX(Properties!A$1:CB$87,Formula!D103,45))+Formula!G103*(INDEX(Properties!A$1:CB$87,Formula!F103,45))+Formula!I103*(INDEX(Properties!A$1:CB$87,Formula!H103,45))+Formula!K103*(INDEX(Properties!A$1:CB$87,Formula!J103,45))</f>
        <v>10.099999999999998</v>
      </c>
      <c r="EF103" s="48">
        <f>VARP(IF(INDEX(Properties!A$1:CB$87,Formula!B103,45)&lt;&gt;"",INDEX(Properties!A$1:CB$87,Formula!B103,45)),IF(INDEX(Properties!A$1:CB$87,Formula!D103,45)&lt;&gt;"",INDEX(Properties!A$1:CB$87,Formula!D103,45)),IF(INDEX(Properties!A$1:CB$87,Formula!F103,45)&lt;&gt;"",INDEX(Properties!A$1:CB$87,Formula!F103,45)),IF(INDEX(Properties!A$1:CB$87,Formula!H103,45)&lt;&gt;"",INDEX(Properties!A$1:CB$87,Formula!H103,45)),IF(INDEX(Properties!A$1:CB$87,Formula!J103,45)&lt;&gt;"",INDEX(Properties!A$1:CB$87,Formula!J103,45)))</f>
        <v>1.6400960000000004</v>
      </c>
      <c r="EG103" s="48">
        <f>MAX(INDEX(Properties!A$1:CB$87,Formula!B103,45),INDEX(Properties!A$1:CB$87,Formula!D103,45),INDEX(Properties!A$1:CB$87,Formula!F103,45),INDEX(Properties!A$1:CB$87,Formula!H103,45),INDEX(Properties!A$1:CB$87,Formula!J103,45))</f>
        <v>3.4</v>
      </c>
      <c r="EH103" s="48">
        <f>MIN(IF(INDEX(Properties!A$1:CB$87,Formula!B103,45)=0,10^6,INDEX(Properties!A$1:CB$87,Formula!B103,45)),IF(INDEX(Properties!A$1:CB$87,Formula!D103,45)=0,10^6,INDEX(Properties!A$1:CB$87,Formula!D103,45)),IF(INDEX(Properties!A$1:CB$87,Formula!F103,45)=0,10^6,INDEX(Properties!A$1:CB$87,Formula!F103,45)),IF(INDEX(Properties!A$1:CB$87,Formula!H103,45)=0,10^6,INDEX(Properties!A$1:CB$87,Formula!H103,45)),IF(INDEX(Properties!A$1:CB$87,Formula!J103,45)=0,10^6,INDEX(Properties!A$1:CB$87,Formula!J103,45)))</f>
        <v>0.47</v>
      </c>
      <c r="EI103" s="48">
        <f t="shared" si="54"/>
        <v>2.9299999999999997</v>
      </c>
      <c r="EJ103" s="66">
        <f>((Formula!C103)/(Formula!C103+Formula!E103+Formula!G103+Formula!I103+Formula!K103))*(INDEX(Properties!A$1:CB$87,Formula!B103,46))+((Formula!E103)/(Formula!C103+Formula!E103+Formula!G103+Formula!I103+Formula!K103))*(INDEX(Properties!A$1:CB$87,Formula!D103,46))+((Formula!G103)/(Formula!C103+Formula!E103+Formula!G103+Formula!I103+Formula!K103))*(INDEX(Properties!A$1:CB$87,Formula!F103,46))+((Formula!I103)/(Formula!C103+Formula!E103+Formula!G103+Formula!I103+Formula!K103))*(INDEX(Properties!A$1:CB$87,Formula!H103,46))+((Formula!K103)/(Formula!C103+Formula!E103+Formula!G103+Formula!I103+Formula!K103))*(INDEX(Properties!A$1:CB$87,Formula!J103,46))</f>
        <v>1.1742857142857144</v>
      </c>
      <c r="EK103" s="66">
        <f>Formula!C103*(INDEX(Properties!A$1:CB$87,Formula!B103,46))+Formula!E103*(INDEX(Properties!A$1:CB$87,Formula!D103,46))+Formula!G103*(INDEX(Properties!A$1:CB$87,Formula!F103,46))+Formula!I103*(INDEX(Properties!A$1:CB$87,Formula!H103,46))+Formula!K103*(INDEX(Properties!A$1:CB$87,Formula!J103,46))</f>
        <v>8.2199999999999989</v>
      </c>
      <c r="EL103" s="66">
        <f>VARP(IF(INDEX(Properties!A$1:CB$87,Formula!B103,46)&lt;&gt;"",INDEX(Properties!A$1:CB$87,Formula!B103,46)),IF(INDEX(Properties!A$1:CB$87,Formula!D103,46)&lt;&gt;"",INDEX(Properties!A$1:CB$87,Formula!D103,46)),IF(INDEX(Properties!A$1:CB$87,Formula!F103,46)&lt;&gt;"",INDEX(Properties!A$1:CB$87,Formula!F103,46)),IF(INDEX(Properties!A$1:CB$87,Formula!H103,46)&lt;&gt;"",INDEX(Properties!A$1:CB$87,Formula!H103,46)),IF(INDEX(Properties!A$1:CB$87,Formula!J103,46)&lt;&gt;"",INDEX(Properties!A$1:CB$87,Formula!J103,46)))</f>
        <v>0.38443999999999995</v>
      </c>
      <c r="EM103" s="66">
        <f>MAX(INDEX(Properties!A$1:CB$87,Formula!B103,46),INDEX(Properties!A$1:CB$87,Formula!D103,46),INDEX(Properties!A$1:CB$87,Formula!F103,46),INDEX(Properties!A$1:CB$87,Formula!H103,46),INDEX(Properties!A$1:CB$87,Formula!J103,46))</f>
        <v>1.49</v>
      </c>
      <c r="EN103" s="66">
        <f>MIN(IF(INDEX(Properties!A$1:CB$87,Formula!B103,46)=0,10^6,INDEX(Properties!A$1:CB$87,Formula!B103,46)),IF(INDEX(Properties!A$1:CB$87,Formula!D103,46)=0,10^6,INDEX(Properties!A$1:CB$87,Formula!D103,46)),IF(INDEX(Properties!A$1:CB$87,Formula!F103,46)=0,10^6,INDEX(Properties!A$1:CB$87,Formula!F103,46)),IF(INDEX(Properties!A$1:CB$87,Formula!H103,46)=0,10^6,INDEX(Properties!A$1:CB$87,Formula!H103,46)),IF(INDEX(Properties!A$1:CB$87,Formula!J103,46)=0,10^6,INDEX(Properties!A$1:CB$87,Formula!J103,46)))</f>
        <v>0.4</v>
      </c>
      <c r="EO103" s="66">
        <f t="shared" si="55"/>
        <v>1.0899999999999999</v>
      </c>
      <c r="EP103" s="81">
        <f>((Formula!C103)/(Formula!C103+Formula!E103+Formula!G103+Formula!I103+Formula!K103))*(INDEX(Properties!A$1:CB$87,Formula!B103,52))+((Formula!E103)/(Formula!C103+Formula!E103+Formula!G103+Formula!I103+Formula!K103))*(INDEX(Properties!A$1:CB$87,Formula!D103,52))+((Formula!G103)/(Formula!C103+Formula!E103+Formula!G103+Formula!I103+Formula!K103))*(INDEX(Properties!A$1:CB$87,Formula!F103,52))+((Formula!I103)/(Formula!C103+Formula!E103+Formula!G103+Formula!I103+Formula!K103))*(INDEX(Properties!A$1:CB$87,Formula!H103,52))+((Formula!K103)/(Formula!C103+Formula!E103+Formula!G103+Formula!I103+Formula!K103))*(INDEX(Properties!A$1:CB$87,Formula!J103,52))</f>
        <v>12.567428571428573</v>
      </c>
      <c r="EQ103" s="81">
        <f>Formula!C103*(INDEX(Properties!A$1:CB$87,Formula!B103,52))+Formula!E103*(INDEX(Properties!A$1:CB$87,Formula!D103,52))+Formula!G103*(INDEX(Properties!A$1:CB$87,Formula!F103,52))+Formula!I103*(INDEX(Properties!A$1:CB$87,Formula!H103,52))+Formula!K103*(INDEX(Properties!A$1:CB$87,Formula!J103,52))</f>
        <v>87.972000000000008</v>
      </c>
      <c r="ER103" s="81">
        <f>VARP(IF(INDEX(Properties!A$1:CB$87,Formula!B103,52)&lt;&gt;"",INDEX(Properties!A$1:CB$87,Formula!B103,52)),IF(INDEX(Properties!A$1:CB$87,Formula!D103,52)&lt;&gt;"",INDEX(Properties!A$1:CB$87,Formula!D103,52)),IF(INDEX(Properties!A$1:CB$87,Formula!F103,52)&lt;&gt;"",INDEX(Properties!A$1:CB$87,Formula!F103,52)),IF(INDEX(Properties!A$1:CB$87,Formula!H103,52)&lt;&gt;"",INDEX(Properties!A$1:CB$87,Formula!H103,52)),IF(INDEX(Properties!A$1:CB$87,Formula!J103,52)&lt;&gt;"",INDEX(Properties!A$1:CB$87,Formula!J103,52)))</f>
        <v>236.92907184000003</v>
      </c>
      <c r="ES103" s="81">
        <f>MAX(INDEX(Properties!A$1:CB$87,Formula!B103,52),INDEX(Properties!A$1:CB$87,Formula!D103,52),INDEX(Properties!A$1:CB$87,Formula!F103,52),INDEX(Properties!A$1:CB$87,Formula!H103,52),INDEX(Properties!A$1:CB$87,Formula!J103,52))</f>
        <v>39.700000000000003</v>
      </c>
      <c r="ET103" s="81">
        <f>MIN(IF(INDEX(Properties!A$1:CB$87,Formula!B103,52)=0,10^6,INDEX(Properties!A$1:CB$87,Formula!B103,52)),IF(INDEX(Properties!A$1:CB$87,Formula!D103,52)=0,10^6,INDEX(Properties!A$1:CB$87,Formula!D103,52)),IF(INDEX(Properties!A$1:CB$87,Formula!F103,52)=0,10^6,INDEX(Properties!A$1:CB$87,Formula!F103,52)),IF(INDEX(Properties!A$1:CB$87,Formula!H103,52)=0,10^6,INDEX(Properties!A$1:CB$87,Formula!H103,52)),IF(INDEX(Properties!A$1:CB$87,Formula!J103,52)=0,10^6,INDEX(Properties!A$1:CB$87,Formula!J103,52)))</f>
        <v>0.79300000000000004</v>
      </c>
      <c r="EU103" s="81">
        <f t="shared" si="56"/>
        <v>38.907000000000004</v>
      </c>
      <c r="EV103" s="39">
        <f>((Formula!C103)/(Formula!C103+Formula!E103+Formula!G103+Formula!I103+Formula!K103))*(INDEX(Properties!A$1:CB$87,Formula!B103,53))+((Formula!E103)/(Formula!C103+Formula!E103+Formula!G103+Formula!I103+Formula!K103))*(INDEX(Properties!A$1:CB$87,Formula!D103,53))+((Formula!G103)/(Formula!C103+Formula!E103+Formula!G103+Formula!I103+Formula!K103))*(INDEX(Properties!A$1:CB$87,Formula!F103,53))+((Formula!I103)/(Formula!C103+Formula!E103+Formula!G103+Formula!I103+Formula!K103))*(INDEX(Properties!A$1:CB$87,Formula!H103,53))+((Formula!K103)/(Formula!C103+Formula!E103+Formula!G103+Formula!I103+Formula!K103))*(INDEX(Properties!A$1:CB$87,Formula!J103,53))</f>
        <v>556.92142857142846</v>
      </c>
      <c r="EW103" s="39">
        <f>Formula!C103*(INDEX(Properties!A$1:CB$87,Formula!B103,53))+Formula!E103*(INDEX(Properties!A$1:CB$87,Formula!D103,53))+Formula!G103*(INDEX(Properties!A$1:CB$87,Formula!F103,53))+Formula!I103*(INDEX(Properties!A$1:CB$87,Formula!H103,53))+Formula!K103*(INDEX(Properties!A$1:CB$87,Formula!J103,53))</f>
        <v>3898.45</v>
      </c>
      <c r="EX103" s="39">
        <f>VARP(IF(INDEX(Properties!A$1:CB$87,Formula!B103,53)&lt;&gt;"",INDEX(Properties!A$1:CB$87,Formula!B103,53)),IF(INDEX(Properties!A$1:CB$87,Formula!D103,53)&lt;&gt;"",INDEX(Properties!A$1:CB$87,Formula!D103,53)),IF(INDEX(Properties!A$1:CB$87,Formula!F103,53)&lt;&gt;"",INDEX(Properties!A$1:CB$87,Formula!F103,53)),IF(INDEX(Properties!A$1:CB$87,Formula!H103,53)&lt;&gt;"",INDEX(Properties!A$1:CB$87,Formula!H103,53)),IF(INDEX(Properties!A$1:CB$87,Formula!J103,53)&lt;&gt;"",INDEX(Properties!A$1:CB$87,Formula!J103,53)))</f>
        <v>467020.1974</v>
      </c>
      <c r="EY103" s="39">
        <f>MAX(INDEX(Properties!A$1:CB$87,Formula!B103,53),INDEX(Properties!A$1:CB$87,Formula!D103,53),INDEX(Properties!A$1:CB$87,Formula!F103,53),INDEX(Properties!A$1:CB$87,Formula!H103,53),INDEX(Properties!A$1:CB$87,Formula!J103,53))</f>
        <v>1683.15</v>
      </c>
      <c r="EZ103" s="39">
        <f>MIN(IF(INDEX(Properties!A$1:CB$87,Formula!B103,53)=0,10^6,INDEX(Properties!A$1:CB$87,Formula!B103,53)),IF(INDEX(Properties!A$1:CB$87,Formula!D103,53)=0,10^6,INDEX(Properties!A$1:CB$87,Formula!D103,53)),IF(INDEX(Properties!A$1:CB$87,Formula!F103,53)=0,10^6,INDEX(Properties!A$1:CB$87,Formula!F103,53)),IF(INDEX(Properties!A$1:CB$87,Formula!H103,53)=0,10^6,INDEX(Properties!A$1:CB$87,Formula!H103,53)),IF(INDEX(Properties!A$1:CB$87,Formula!J103,53)=0,10^6,INDEX(Properties!A$1:CB$87,Formula!J103,53)))</f>
        <v>54.749999999999972</v>
      </c>
      <c r="FA103" s="39">
        <f t="shared" si="57"/>
        <v>1628.4</v>
      </c>
      <c r="FB103" s="54">
        <f>((Formula!C103)/(Formula!C103+Formula!E103+Formula!G103+Formula!I103+Formula!K103))*(INDEX(Properties!A$1:CB$87,Formula!B103,54))+((Formula!E103)/(Formula!C103+Formula!E103+Formula!G103+Formula!I103+Formula!K103))*(INDEX(Properties!A$1:CB$87,Formula!D103,54))+((Formula!G103)/(Formula!C103+Formula!E103+Formula!G103+Formula!I103+Formula!K103))*(INDEX(Properties!A$1:CB$87,Formula!F103,54))+((Formula!I103)/(Formula!C103+Formula!E103+Formula!G103+Formula!I103+Formula!K103))*(INDEX(Properties!A$1:CB$87,Formula!H103,54))+((Formula!K103)/(Formula!C103+Formula!E103+Formula!G103+Formula!I103+Formula!K103))*(INDEX(Properties!A$1:CB$87,Formula!J103,54))</f>
        <v>973.57857142857142</v>
      </c>
      <c r="FC103" s="54">
        <f>Formula!C103*(INDEX(Properties!A$1:CB$87,Formula!B103,54))+Formula!E103*(INDEX(Properties!A$1:CB$87,Formula!D103,54))+Formula!G103*(INDEX(Properties!A$1:CB$87,Formula!F103,54))+Formula!I103*(INDEX(Properties!A$1:CB$87,Formula!H103,54))+Formula!K103*(INDEX(Properties!A$1:CB$87,Formula!J103,54))</f>
        <v>6815.0500000000011</v>
      </c>
      <c r="FD103" s="54">
        <f>VARP(IF(INDEX(Properties!A$1:CB$87,Formula!B103,54)&lt;&gt;"",INDEX(Properties!A$1:CB$87,Formula!B103,54)),IF(INDEX(Properties!A$1:CB$87,Formula!D103,54)&lt;&gt;"",INDEX(Properties!A$1:CB$87,Formula!D103,54)),IF(INDEX(Properties!A$1:CB$87,Formula!F103,54)&lt;&gt;"",INDEX(Properties!A$1:CB$87,Formula!F103,54)),IF(INDEX(Properties!A$1:CB$87,Formula!H103,54)&lt;&gt;"",INDEX(Properties!A$1:CB$87,Formula!H103,54)),IF(INDEX(Properties!A$1:CB$87,Formula!J103,54)&lt;&gt;"",INDEX(Properties!A$1:CB$87,Formula!J103,54)))</f>
        <v>1257075.3094000004</v>
      </c>
      <c r="FE103" s="54">
        <f>MAX(INDEX(Properties!A$1:CB$87,Formula!B103,54),INDEX(Properties!A$1:CB$87,Formula!D103,54),INDEX(Properties!A$1:CB$87,Formula!F103,54),INDEX(Properties!A$1:CB$87,Formula!H103,54),INDEX(Properties!A$1:CB$87,Formula!J103,54))</f>
        <v>2628.15</v>
      </c>
      <c r="FF103" s="54">
        <f>MIN(IF(INDEX(Properties!A$1:CB$87,Formula!B103,54)=0,10^6,INDEX(Properties!A$1:CB$87,Formula!B103,54)),IF(INDEX(Properties!A$1:CB$87,Formula!D103,54)=0,10^6,INDEX(Properties!A$1:CB$87,Formula!D103,54)),IF(INDEX(Properties!A$1:CB$87,Formula!F103,54)=0,10^6,INDEX(Properties!A$1:CB$87,Formula!F103,54)),IF(INDEX(Properties!A$1:CB$87,Formula!H103,54)=0,10^6,INDEX(Properties!A$1:CB$87,Formula!H103,54)),IF(INDEX(Properties!A$1:CB$87,Formula!J103,54)=0,10^6,INDEX(Properties!A$1:CB$87,Formula!J103,54)))</f>
        <v>90.149999999999977</v>
      </c>
      <c r="FG103" s="54">
        <f t="shared" si="58"/>
        <v>2538</v>
      </c>
      <c r="FH103" s="69">
        <f>((Formula!C103)/(Formula!C103+Formula!E103+Formula!G103+Formula!I103+Formula!K103))*(INDEX(Properties!A$1:CB$87,Formula!B103,55))+((Formula!E103)/(Formula!C103+Formula!E103+Formula!G103+Formula!I103+Formula!K103))*(INDEX(Properties!A$1:CB$87,Formula!D103,55))+((Formula!G103)/(Formula!C103+Formula!E103+Formula!G103+Formula!I103+Formula!K103))*(INDEX(Properties!A$1:CB$87,Formula!F103,55))+((Formula!I103)/(Formula!C103+Formula!E103+Formula!G103+Formula!I103+Formula!K103))*(INDEX(Properties!A$1:CB$87,Formula!H103,55))+((Formula!K103)/(Formula!C103+Formula!E103+Formula!G103+Formula!I103+Formula!K103))*(INDEX(Properties!A$1:CB$87,Formula!J103,55))</f>
        <v>1.3336742857142856</v>
      </c>
      <c r="FI103" s="69">
        <f>Formula!C103*(INDEX(Properties!A$1:CB$87,Formula!B103,55))+Formula!E103*(INDEX(Properties!A$1:CB$87,Formula!D103,54))+Formula!G103*(INDEX(Properties!A$1:CB$87,Formula!F103,55))+Formula!I103*(INDEX(Properties!A$1:CB$87,Formula!H103,55))+Formula!K103*(INDEX(Properties!A$1:CB$87,Formula!J103,55))</f>
        <v>2635.1557200000002</v>
      </c>
      <c r="FJ103" s="69">
        <f>VARP(IF(INDEX(Properties!A$1:CB$87,Formula!B103,55)&lt;&gt;"",INDEX(Properties!A$1:CB$87,Formula!B103,55)),IF(INDEX(Properties!A$1:CB$87,Formula!D103,55)&lt;&gt;"",INDEX(Properties!A$1:CB$87,Formula!D103,55)),IF(INDEX(Properties!A$1:CB$87,Formula!F103,55)&lt;&gt;"",INDEX(Properties!A$1:CB$87,Formula!F103,55)),IF(INDEX(Properties!A$1:CB$87,Formula!H103,55)&lt;&gt;"",INDEX(Properties!A$1:CB$87,Formula!H103,55)),IF(INDEX(Properties!A$1:CB$87,Formula!J103,55)&lt;&gt;"",INDEX(Properties!A$1:CB$87,Formula!J103,55)))</f>
        <v>2.1755573751839998</v>
      </c>
      <c r="FK103" s="69">
        <f>MAX(INDEX(Properties!A$1:CB$87,Formula!B103,55),INDEX(Properties!A$1:CB$87,Formula!D103,55),INDEX(Properties!A$1:CB$87,Formula!F103,55),INDEX(Properties!A$1:CB$87,Formula!H103,55),INDEX(Properties!A$1:CB$87,Formula!J103,55))</f>
        <v>3.5</v>
      </c>
      <c r="FL103" s="69">
        <f>MIN(IF(INDEX(Properties!A$1:CB$87,Formula!B103,55)=0,10^6,INDEX(Properties!A$1:CB$87,Formula!B103,55)),IF(INDEX(Properties!A$1:CB$87,Formula!D103,55)=0,10^6,INDEX(Properties!A$1:CB$87,Formula!D103,55)),IF(INDEX(Properties!A$1:CB$87,Formula!F103,55)=0,10^6,INDEX(Properties!A$1:CB$87,Formula!F103,55)),IF(INDEX(Properties!A$1:CB$87,Formula!H103,55)=0,10^6,INDEX(Properties!A$1:CB$87,Formula!H103,55)),IF(INDEX(Properties!A$1:CB$87,Formula!J103,55)=0,10^6,INDEX(Properties!A$1:CB$87,Formula!J103,55)))</f>
        <v>1.4300000000000001E-3</v>
      </c>
      <c r="FM103" s="69">
        <f t="shared" si="59"/>
        <v>3.49857</v>
      </c>
      <c r="FN103" s="42">
        <f>((Formula!C103)/(Formula!C103+Formula!E103+Formula!G103+Formula!I103+Formula!K103))*(INDEX(Properties!A$1:CB$87,Formula!B103,56))+((Formula!E103)/(Formula!C103+Formula!E103+Formula!G103+Formula!I103+Formula!K103))*(INDEX(Properties!A$1:CB$87,Formula!D103,56))+((Formula!G103)/(Formula!C103+Formula!E103+Formula!G103+Formula!I103+Formula!K103))*(INDEX(Properties!A$1:CB$87,Formula!F103,56))+((Formula!I103)/(Formula!C103+Formula!E103+Formula!G103+Formula!I103+Formula!K103))*(INDEX(Properties!A$1:CB$87,Formula!H103,56))+((Formula!K103)/(Formula!C103+Formula!E103+Formula!G103+Formula!I103+Formula!K103))*(INDEX(Properties!A$1:CB$87,Formula!J103,56))</f>
        <v>0.68542857142857139</v>
      </c>
      <c r="FO103" s="42">
        <f>Formula!C103*(INDEX(Properties!A$1:CB$87,Formula!B103,56))+Formula!E103*(INDEX(Properties!A$1:CB$87,Formula!D103,56))+Formula!G103*(INDEX(Properties!A$1:CB$87,Formula!F103,56))+Formula!I103*(INDEX(Properties!A$1:CB$87,Formula!H103,56))+Formula!K103*(INDEX(Properties!A$1:CB$87,Formula!J103,56))</f>
        <v>4.798</v>
      </c>
      <c r="FP103" s="42">
        <f>VARP(IF(INDEX(Properties!A$1:CB$87,Formula!B103,56)&lt;&gt;"",INDEX(Properties!A$1:CB$87,Formula!B103,56)),IF(INDEX(Properties!A$1:CB$87,Formula!D103,56)&lt;&gt;"",INDEX(Properties!A$1:CB$87,Formula!D103,56)),IF(INDEX(Properties!A$1:CB$87,Formula!F103,56)&lt;&gt;"",INDEX(Properties!A$1:CB$87,Formula!F103,56)),IF(INDEX(Properties!A$1:CB$87,Formula!H103,56)&lt;&gt;"",INDEX(Properties!A$1:CB$87,Formula!H103,56)),IF(INDEX(Properties!A$1:CB$87,Formula!J103,56)&lt;&gt;"",INDEX(Properties!A$1:CB$87,Formula!J103,56)))</f>
        <v>0.14388096</v>
      </c>
      <c r="FQ103" s="42">
        <f>MAX(INDEX(Properties!A$1:CB$87,Formula!B103,56),INDEX(Properties!A$1:CB$87,Formula!D103,56),INDEX(Properties!A$1:CB$87,Formula!F103,56),INDEX(Properties!A$1:CB$87,Formula!H103,56),INDEX(Properties!A$1:CB$87,Formula!J103,56))</f>
        <v>0.92</v>
      </c>
      <c r="FR103" s="42">
        <f>MIN(IF(INDEX(Properties!A$1:CB$87,Formula!B103,56)=0,10^6,INDEX(Properties!A$1:CB$87,Formula!B103,56)),IF(INDEX(Properties!A$1:CB$87,Formula!D103,56)=0,10^6,INDEX(Properties!A$1:CB$87,Formula!D103,56)),IF(INDEX(Properties!A$1:CB$87,Formula!F103,56)=0,10^6,INDEX(Properties!A$1:CB$87,Formula!F103,56)),IF(INDEX(Properties!A$1:CB$87,Formula!H103,56)=0,10^6,INDEX(Properties!A$1:CB$87,Formula!H103,56)),IF(INDEX(Properties!A$1:CB$87,Formula!J103,56)=0,10^6,INDEX(Properties!A$1:CB$87,Formula!J103,56)))</f>
        <v>0.20399999999999999</v>
      </c>
      <c r="FS103" s="42">
        <f t="shared" si="60"/>
        <v>0.71600000000000008</v>
      </c>
      <c r="FT103" s="60">
        <f>((Formula!C103)/(Formula!C103+Formula!E103+Formula!G103+Formula!I103+Formula!K103))*(INDEX(Properties!A$1:CB$87,Formula!B103,57))+((Formula!E103)/(Formula!C103+Formula!E103+Formula!G103+Formula!I103+Formula!K103))*(INDEX(Properties!A$1:CB$87,Formula!D103,57))+((Formula!G103)/(Formula!C103+Formula!E103+Formula!G103+Formula!I103+Formula!K103))*(INDEX(Properties!A$1:CB$87,Formula!F103,57))+((Formula!I103)/(Formula!C103+Formula!E103+Formula!G103+Formula!I103+Formula!K103))*(INDEX(Properties!A$1:CB$87,Formula!H103,57))+((Formula!K103)/(Formula!C103+Formula!E103+Formula!G103+Formula!I103+Formula!K103))*(INDEX(Properties!A$1:CB$87,Formula!J103,57))</f>
        <v>9.5629085714285704</v>
      </c>
      <c r="FU103" s="60">
        <f>Formula!C103*(INDEX(Properties!A$1:CB$87,Formula!B103,57))+Formula!E103*(INDEX(Properties!A$1:CB$87,Formula!D103,57))+Formula!G103*(INDEX(Properties!A$1:CB$87,Formula!F103,57))+Formula!I103*(INDEX(Properties!A$1:CB$87,Formula!H103,57))+Formula!K103*(INDEX(Properties!A$1:CB$87,Formula!J103,57))</f>
        <v>66.940359999999998</v>
      </c>
      <c r="FV103" s="60">
        <f>VARP(IF(INDEX(Properties!A$1:CB$87,Formula!B103,57)&lt;&gt;"",INDEX(Properties!A$1:CB$87,Formula!B103,57)),IF(INDEX(Properties!A$1:CB$87,Formula!D103,57)&lt;&gt;"",INDEX(Properties!A$1:CB$87,Formula!D103,57)),IF(INDEX(Properties!A$1:CB$87,Formula!F103,57)&lt;&gt;"",INDEX(Properties!A$1:CB$87,Formula!F103,57)),IF(INDEX(Properties!A$1:CB$87,Formula!H103,57)&lt;&gt;"",INDEX(Properties!A$1:CB$87,Formula!H103,57)),IF(INDEX(Properties!A$1:CB$87,Formula!J103,57)&lt;&gt;"",INDEX(Properties!A$1:CB$87,Formula!J103,57)))</f>
        <v>386.08716764929602</v>
      </c>
      <c r="FW103" s="60">
        <f>MAX(INDEX(Properties!A$1:CB$87,Formula!B103,57),INDEX(Properties!A$1:CB$87,Formula!D103,57),INDEX(Properties!A$1:CB$87,Formula!F103,57),INDEX(Properties!A$1:CB$87,Formula!H103,57),INDEX(Properties!A$1:CB$87,Formula!J103,57))</f>
        <v>50.55</v>
      </c>
      <c r="FX103" s="60">
        <f>MIN(IF(INDEX(Properties!A$1:CB$87,Formula!B103,57)=0,10^6,INDEX(Properties!A$1:CB$87,Formula!B103,57)),IF(INDEX(Properties!A$1:CB$87,Formula!D103,57)=0,10^6,INDEX(Properties!A$1:CB$87,Formula!D103,57)),IF(INDEX(Properties!A$1:CB$87,Formula!F103,57)=0,10^6,INDEX(Properties!A$1:CB$87,Formula!F103,57)),IF(INDEX(Properties!A$1:CB$87,Formula!H103,57)=0,10^6,INDEX(Properties!A$1:CB$87,Formula!H103,57)),IF(INDEX(Properties!A$1:CB$87,Formula!J103,57)=0,10^6,INDEX(Properties!A$1:CB$87,Formula!J103,57)))</f>
        <v>0.22259000000000001</v>
      </c>
      <c r="FY103" s="60">
        <f t="shared" si="61"/>
        <v>50.32741</v>
      </c>
      <c r="FZ103" s="72">
        <f>((Formula!C103)/(Formula!C103+Formula!E103+Formula!G103+Formula!I103+Formula!K103))*(INDEX(Properties!A$1:CB$87,Formula!B103,60))+((Formula!E103)/(Formula!C103+Formula!E103+Formula!G103+Formula!I103+Formula!K103))*(INDEX(Properties!A$1:CB$87,Formula!D103,60))+((Formula!G103)/(Formula!C103+Formula!E103+Formula!G103+Formula!I103+Formula!K103))*(INDEX(Properties!A$1:CB$87,Formula!F103,60))+((Formula!I103)/(Formula!C103+Formula!E103+Formula!G103+Formula!I103+Formula!K103))*(INDEX(Properties!A$1:CB$87,Formula!H103,60))+((Formula!K103)/(Formula!C103+Formula!E103+Formula!G103+Formula!I103+Formula!K103))*(INDEX(Properties!A$1:CB$87,Formula!J103,60))</f>
        <v>26.415279999999999</v>
      </c>
      <c r="GA103" s="72">
        <f>Formula!C103*(INDEX(Properties!A$1:CB$87,Formula!B103,60))+Formula!E103*(INDEX(Properties!A$1:CB$87,Formula!D103,60))+Formula!G103*(INDEX(Properties!A$1:CB$87,Formula!F103,60))+Formula!I103*(INDEX(Properties!A$1:CB$87,Formula!H103,60))+Formula!K103*(INDEX(Properties!A$1:CB$87,Formula!J103,60))</f>
        <v>184.90696</v>
      </c>
      <c r="GB103" s="72">
        <f>VARP(IF(INDEX(Properties!A$1:CB$87,Formula!B103,60)&lt;&gt;"",INDEX(Properties!A$1:CB$87,Formula!B103,60)),IF(INDEX(Properties!A$1:CB$87,Formula!D103,60)&lt;&gt;"",INDEX(Properties!A$1:CB$87,Formula!D103,60)),IF(INDEX(Properties!A$1:CB$87,Formula!F103,60)&lt;&gt;"",INDEX(Properties!A$1:CB$87,Formula!F103,60)),IF(INDEX(Properties!A$1:CB$87,Formula!H103,60)&lt;&gt;"",INDEX(Properties!A$1:CB$87,Formula!H103,60)),IF(INDEX(Properties!A$1:CB$87,Formula!J103,60)&lt;&gt;"",INDEX(Properties!A$1:CB$87,Formula!J103,60)))</f>
        <v>3340.5977515244163</v>
      </c>
      <c r="GC103" s="72">
        <f>MAX(INDEX(Properties!A$1:CB$87,Formula!B103,60),INDEX(Properties!A$1:CB$87,Formula!D103,60),INDEX(Properties!A$1:CB$87,Formula!F103,60),INDEX(Properties!A$1:CB$87,Formula!H103,60),INDEX(Properties!A$1:CB$87,Formula!J103,60))</f>
        <v>148</v>
      </c>
      <c r="GD103" s="72">
        <f>MIN(IF(INDEX(Properties!A$1:CB$87,Formula!B103,60)=0,10^6,INDEX(Properties!A$1:CB$87,Formula!B103,60)),IF(INDEX(Properties!A$1:CB$87,Formula!D103,60)=0,10^6,INDEX(Properties!A$1:CB$87,Formula!D103,60)),IF(INDEX(Properties!A$1:CB$87,Formula!F103,60)=0,10^6,INDEX(Properties!A$1:CB$87,Formula!F103,60)),IF(INDEX(Properties!A$1:CB$87,Formula!H103,60)=0,10^6,INDEX(Properties!A$1:CB$87,Formula!H103,60)),IF(INDEX(Properties!A$1:CB$87,Formula!J103,60)=0,10^6,INDEX(Properties!A$1:CB$87,Formula!J103,60)))</f>
        <v>2.674E-2</v>
      </c>
      <c r="GE103" s="72">
        <f t="shared" si="62"/>
        <v>147.97326000000001</v>
      </c>
      <c r="GF103" s="51">
        <f>((Formula!C103)/(Formula!C103+Formula!E103+Formula!G103+Formula!I103+Formula!K103))*(INDEX(Properties!A$1:CB$87,Formula!B103,62))+((Formula!E103)/(Formula!C103+Formula!E103+Formula!G103+Formula!I103+Formula!K103))*(INDEX(Properties!A$1:CB$87,Formula!D103,62))+((Formula!G103)/(Formula!C103+Formula!E103+Formula!G103+Formula!I103+Formula!K103))*(INDEX(Properties!A$1:CB$87,Formula!F103,62))+((Formula!I103)/(Formula!C103+Formula!E103+Formula!G103+Formula!I103+Formula!K103))*(INDEX(Properties!A$1:CB$87,Formula!H103,62))+((Formula!K103)/(Formula!C103+Formula!E103+Formula!G103+Formula!I103+Formula!K103))*(INDEX(Properties!A$1:CB$87,Formula!J103,62))</f>
        <v>2.7014285714285711</v>
      </c>
      <c r="GG103" s="51">
        <f>Formula!C103*(INDEX(Properties!A$1:CB$87,Formula!B103,62))+Formula!E103*(INDEX(Properties!A$1:CB$87,Formula!D103,62))+Formula!G103*(INDEX(Properties!A$1:CB$87,Formula!F103,62))+Formula!I103*(INDEX(Properties!A$1:CB$87,Formula!H103,62))+Formula!K103*(INDEX(Properties!A$1:CB$87,Formula!J103,62))</f>
        <v>18.91</v>
      </c>
      <c r="GH103" s="51">
        <f>VARP(IF(INDEX(Properties!A$1:CB$87,Formula!B103,62)&lt;&gt;"",INDEX(Properties!A$1:CB$87,Formula!B103,62)),IF(INDEX(Properties!A$1:CB$87,Formula!D103,62)&lt;&gt;"",INDEX(Properties!A$1:CB$87,Formula!D103,62)),IF(INDEX(Properties!A$1:CB$87,Formula!F103,62)&lt;&gt;"",INDEX(Properties!A$1:CB$87,Formula!F103,62)),IF(INDEX(Properties!A$1:CB$87,Formula!H103,62)&lt;&gt;"",INDEX(Properties!A$1:CB$87,Formula!H103,62)),IF(INDEX(Properties!A$1:CB$87,Formula!J103,62)&lt;&gt;"",INDEX(Properties!A$1:CB$87,Formula!J103,62)))</f>
        <v>3.0333600000000001</v>
      </c>
      <c r="GI103" s="51">
        <f>MAX(INDEX(Properties!A$1:CB$87,Formula!B103,62),INDEX(Properties!A$1:CB$87,Formula!D103,62),INDEX(Properties!A$1:CB$87,Formula!F103,62),INDEX(Properties!A$1:CB$87,Formula!H103,62),INDEX(Properties!A$1:CB$87,Formula!J103,62))</f>
        <v>4.63</v>
      </c>
      <c r="GJ103" s="51">
        <f>MIN(IF(INDEX(Properties!A$1:CB$87,Formula!B103,62)=0,10^6,INDEX(Properties!A$1:CB$87,Formula!B103,62)),IF(INDEX(Properties!A$1:CB$87,Formula!D103,62)=0,10^6,INDEX(Properties!A$1:CB$87,Formula!D103,62)),IF(INDEX(Properties!A$1:CB$87,Formula!F103,62)=0,10^6,INDEX(Properties!A$1:CB$87,Formula!F103,62)),IF(INDEX(Properties!A$1:CB$87,Formula!H103,62)=0,10^6,INDEX(Properties!A$1:CB$87,Formula!H103,62)),IF(INDEX(Properties!A$1:CB$87,Formula!J103,62)=0,10^6,INDEX(Properties!A$1:CB$87,Formula!J103,62)))</f>
        <v>1.9</v>
      </c>
      <c r="GK103" s="51">
        <f t="shared" si="63"/>
        <v>2.73</v>
      </c>
      <c r="GL103" s="51">
        <f>Formula!P103</f>
        <v>62</v>
      </c>
      <c r="GM103" s="57">
        <f>Formula!O103</f>
        <v>3</v>
      </c>
      <c r="GN103" s="51">
        <f>Formula!N103</f>
        <v>0.04</v>
      </c>
    </row>
    <row r="104" spans="1:196" x14ac:dyDescent="0.3">
      <c r="A104" s="84" t="str">
        <f>Formula!A104</f>
        <v>CaZrO3</v>
      </c>
      <c r="B104" s="89">
        <f>((Formula!C104)/(Formula!C104+Formula!E104+Formula!G104+Formula!I104+Formula!K104))*(INDEX(Properties!A$1:CB$87,Formula!B104,3))+((Formula!E104)/(Formula!C104+Formula!E104+Formula!G104+Formula!I104+Formula!K104))*(INDEX(Properties!A$1:CB$87,Formula!D104,3))+((Formula!G104)/(Formula!C104+Formula!E104+Formula!G104+Formula!I104+Formula!K104))*(INDEX(Properties!A$1:CB$87,Formula!F104,3))+((Formula!I104)/(Formula!C104+Formula!E104+Formula!G104+Formula!I104+Formula!K104))*(INDEX(Properties!A$1:CB$87,Formula!H104,3))+((Formula!K104)/(Formula!C104+Formula!E104+Formula!G104+Formula!I104+Formula!K104))*(INDEX(Properties!A$1:CB$87,Formula!J104,3))</f>
        <v>35.860040000000005</v>
      </c>
      <c r="C104" s="85">
        <f>Formula!C104*(INDEX(Properties!A$1:CB$87,Formula!B104,3))+Formula!E104*(INDEX(Properties!A$1:CB$87,Formula!D104,3))+Formula!G104*(INDEX(Properties!A$1:CB$87,Formula!F104,3))+Formula!I104*(INDEX(Properties!A$1:CB$87,Formula!H104,3))+Formula!K104*(INDEX(Properties!A$1:CB$87,Formula!J104,3))</f>
        <v>179.30020000000002</v>
      </c>
      <c r="D104" s="85">
        <f>VARP(IF(INDEX(Properties!A$1:CB$87,Formula!B104,3)&lt;&gt;"",INDEX(Properties!A$1:CB$87,Formula!B104,3)),IF(INDEX(Properties!A$1:CB$87,Formula!D104,3)&lt;&gt;"",INDEX(Properties!A$1:CB$87,Formula!D104,3)),IF(INDEX(Properties!A$1:CB$87,Formula!F104,3)&lt;&gt;"",INDEX(Properties!A$1:CB$87,Formula!F104,3)),IF(INDEX(Properties!A$1:CB$87,Formula!H104,3)&lt;&gt;"",INDEX(Properties!A$1:CB$87,Formula!H104,3)),IF(INDEX(Properties!A$1:CB$87,Formula!J104,3)&lt;&gt;"",INDEX(Properties!A$1:CB$87,Formula!J104,3)))</f>
        <v>1168.9009143935998</v>
      </c>
      <c r="E104" s="85">
        <f>MAX(INDEX(Properties!A$1:CB$87,Formula!B104,3),INDEX(Properties!A$1:CB$87,Formula!D104,3),INDEX(Properties!A$1:CB$87,Formula!F104,3),INDEX(Properties!A$1:CB$87,Formula!H104,3),INDEX(Properties!A$1:CB$87,Formula!J104,3))</f>
        <v>91.224000000000004</v>
      </c>
      <c r="F104" s="85">
        <f>MIN(IF(INDEX(Properties!A$1:CB$87,Formula!B104,3)=0,10^6,INDEX(Properties!A$1:CB$87,Formula!B104,3)),IF(INDEX(Properties!A$1:CB$87,Formula!D104,3)=0,10^6,INDEX(Properties!A$1:CB$87,Formula!D104,3)),IF(INDEX(Properties!A$1:CB$87,Formula!F104,3)=0,10^6,INDEX(Properties!A$1:CB$87,Formula!F104,3)),IF(INDEX(Properties!A$1:CB$87,Formula!H104,3)=0,10^6,INDEX(Properties!A$1:CB$87,Formula!H104,3)),IF(INDEX(Properties!A$1:CB$87,Formula!J104,3)=0,10^6,INDEX(Properties!A$1:CB$87,Formula!J104,3)))</f>
        <v>15.9994</v>
      </c>
      <c r="G104" s="85">
        <f t="shared" si="32"/>
        <v>75.224600000000009</v>
      </c>
      <c r="H104" s="87">
        <f>((Formula!C104)/(Formula!C104+Formula!E104+Formula!G104+Formula!I104+Formula!K104))*(INDEX(Properties!A$1:CB$87,Formula!B104,4))+((Formula!E104)/(Formula!C104+Formula!E104+Formula!G104+Formula!I104+Formula!K104))*(INDEX(Properties!A$1:CB$87,Formula!D104,4))+((Formula!G104)/(Formula!C104+Formula!E104+Formula!G104+Formula!I104+Formula!K104))*(INDEX(Properties!A$1:CB$87,Formula!F104,4))+((Formula!I104)/(Formula!C104+Formula!E104+Formula!G104+Formula!I104+Formula!K104))*(INDEX(Properties!A$1:CB$87,Formula!H104,4))+((Formula!K104)/(Formula!C104+Formula!E104+Formula!G104+Formula!I104+Formula!K104))*(INDEX(Properties!A$1:CB$87,Formula!J104,4))</f>
        <v>16.8</v>
      </c>
      <c r="I104" s="87">
        <f>Formula!C104*(INDEX(Properties!A$1:CB$87,Formula!B104,4))+Formula!E104*(INDEX(Properties!A$1:CB$87,Formula!D104,4))+Formula!G104*(INDEX(Properties!A$1:CB$87,Formula!F104,4))+Formula!I104*(INDEX(Properties!A$1:CB$87,Formula!H104,4))+Formula!K104*(INDEX(Properties!A$1:CB$87,Formula!J104,4))</f>
        <v>84</v>
      </c>
      <c r="J104" s="87">
        <f>VARP(IF(INDEX(Properties!A$1:CB$87,Formula!B104,4)&lt;&gt;"",INDEX(Properties!A$1:CB$87,Formula!B104,4)),IF(INDEX(Properties!A$1:CB$87,Formula!D104,4)&lt;&gt;"",INDEX(Properties!A$1:CB$87,Formula!D104,4)),IF(INDEX(Properties!A$1:CB$87,Formula!F104,4)&lt;&gt;"",INDEX(Properties!A$1:CB$87,Formula!F104,4)),IF(INDEX(Properties!A$1:CB$87,Formula!H104,4)&lt;&gt;"",INDEX(Properties!A$1:CB$87,Formula!H104,4)),IF(INDEX(Properties!A$1:CB$87,Formula!J104,4)&lt;&gt;"",INDEX(Properties!A$1:CB$87,Formula!J104,4)))</f>
        <v>227.84</v>
      </c>
      <c r="K104" s="87">
        <f>MAX(INDEX(Properties!A$1:CB$87,Formula!B104,4),INDEX(Properties!A$1:CB$87,Formula!D104,4),INDEX(Properties!A$1:CB$87,Formula!F104,4),INDEX(Properties!A$1:CB$87,Formula!H104,4),INDEX(Properties!A$1:CB$87,Formula!J104,4))</f>
        <v>40</v>
      </c>
      <c r="L104" s="87">
        <f>MIN(IF(INDEX(Properties!A$1:CB$87,Formula!B104,4)=0,10^6,INDEX(Properties!A$1:CB$87,Formula!B104,4)),IF(INDEX(Properties!A$1:CB$87,Formula!D104,4)=0,10^6,INDEX(Properties!A$1:CB$87,Formula!D104,4)),IF(INDEX(Properties!A$1:CB$87,Formula!F104,4)=0,10^6,INDEX(Properties!A$1:CB$87,Formula!F104,4)),IF(INDEX(Properties!A$1:CB$87,Formula!H104,4)=0,10^6,INDEX(Properties!A$1:CB$87,Formula!H104,4)),IF(INDEX(Properties!A$1:CB$87,Formula!J104,4)=0,10^6,INDEX(Properties!A$1:CB$87,Formula!J104,4)))</f>
        <v>8</v>
      </c>
      <c r="M104" s="87">
        <f t="shared" si="33"/>
        <v>32</v>
      </c>
      <c r="N104" s="89">
        <f>((Formula!C104)/(Formula!C104+Formula!E104+Formula!G104+Formula!I104+Formula!K104))*(INDEX(Properties!A$1:CB$87,Formula!B104,5))+((Formula!E104)/(Formula!C104+Formula!E104+Formula!G104+Formula!I104+Formula!K104))*(INDEX(Properties!A$1:CB$87,Formula!D104,5))+((Formula!G104)/(Formula!C104+Formula!E104+Formula!G104+Formula!I104+Formula!K104))*(INDEX(Properties!A$1:CB$87,Formula!F104,5))+((Formula!I104)/(Formula!C104+Formula!E104+Formula!G104+Formula!I104+Formula!K104))*(INDEX(Properties!A$1:CB$87,Formula!H104,5))+((Formula!K104)/(Formula!C104+Formula!E104+Formula!G104+Formula!I104+Formula!K104))*(INDEX(Properties!A$1:CB$87,Formula!J104,5))</f>
        <v>3</v>
      </c>
      <c r="O104" s="89">
        <f>Formula!C104*(INDEX(Properties!A$1:CB$87,Formula!B104,5))+Formula!E104*(INDEX(Properties!A$1:CB$87,Formula!D104,5))+Formula!G104*(INDEX(Properties!A$1:CB$87,Formula!F104,5))+Formula!I104*(INDEX(Properties!A$1:CB$87,Formula!H104,5))+Formula!K104*(INDEX(Properties!A$1:CB$87,Formula!J104,5))</f>
        <v>15</v>
      </c>
      <c r="P104" s="89">
        <f>VARP(IF(INDEX(Properties!A$1:CB$87,Formula!B104,5)&lt;&gt;"",INDEX(Properties!A$1:CB$87,Formula!B104,5)),IF(INDEX(Properties!A$1:CB$87,Formula!D104,5)&lt;&gt;"",INDEX(Properties!A$1:CB$87,Formula!D104,5)),IF(INDEX(Properties!A$1:CB$87,Formula!F104,5)&lt;&gt;"",INDEX(Properties!A$1:CB$87,Formula!F104,5)),IF(INDEX(Properties!A$1:CB$87,Formula!H104,5)&lt;&gt;"",INDEX(Properties!A$1:CB$87,Formula!H104,5)),IF(INDEX(Properties!A$1:CB$87,Formula!J104,5)&lt;&gt;"",INDEX(Properties!A$1:CB$87,Formula!J104,5)))</f>
        <v>4.16</v>
      </c>
      <c r="Q104" s="89">
        <f>MAX(INDEX(Properties!A$1:CB$87,Formula!B104,5),INDEX(Properties!A$1:CB$87,Formula!D104,5),INDEX(Properties!A$1:CB$87,Formula!F104,5),INDEX(Properties!A$1:CB$87,Formula!H104,5),INDEX(Properties!A$1:CB$87,Formula!J104,5))</f>
        <v>5</v>
      </c>
      <c r="R104" s="89">
        <f>MIN(IF(INDEX(Properties!A$1:CB$87,Formula!B104,5)=0,10^6,INDEX(Properties!A$1:CB$87,Formula!B104,5)),IF(INDEX(Properties!A$1:CB$87,Formula!D104,5)=0,10^6,INDEX(Properties!A$1:CB$87,Formula!D104,5)),IF(INDEX(Properties!A$1:CB$87,Formula!F104,5)=0,10^6,INDEX(Properties!A$1:CB$87,Formula!F104,5)),IF(INDEX(Properties!A$1:CB$87,Formula!H104,5)=0,10^6,INDEX(Properties!A$1:CB$87,Formula!H104,5)),IF(INDEX(Properties!A$1:CB$87,Formula!J104,5)=0,10^6,INDEX(Properties!A$1:CB$87,Formula!J104,5)))</f>
        <v>2</v>
      </c>
      <c r="S104" s="89">
        <f t="shared" si="34"/>
        <v>3</v>
      </c>
      <c r="T104" s="60">
        <f>((Formula!C104)/(Formula!C104+Formula!E104+Formula!G104+Formula!I104+Formula!K104))*(INDEX(Properties!A$1:CB$87,Formula!B104,6))+((Formula!E104)/(Formula!C104+Formula!E104+Formula!G104+Formula!I104+Formula!K104))*(INDEX(Properties!A$1:CB$87,Formula!D104,6))+((Formula!G104)/(Formula!C104+Formula!E104+Formula!G104+Formula!I104+Formula!K104))*(INDEX(Properties!A$1:CB$87,Formula!F104,6))+((Formula!I104)/(Formula!C104+Formula!E104+Formula!G104+Formula!I104+Formula!K104))*(INDEX(Properties!A$1:CB$87,Formula!H104,6))+((Formula!K104)/(Formula!C104+Formula!E104+Formula!G104+Formula!I104+Formula!K104))*(INDEX(Properties!A$1:CB$87,Formula!J104,6))</f>
        <v>10.8</v>
      </c>
      <c r="U104" s="60">
        <f>Formula!C104*(INDEX(Properties!A$1:CB$87,Formula!B104,6))+Formula!E104*(INDEX(Properties!A$1:CB$87,Formula!D104,6))+Formula!G104*(INDEX(Properties!A$1:CB$87,Formula!F104,6))+Formula!I104*(INDEX(Properties!A$1:CB$87,Formula!H104,6))+Formula!K104*(INDEX(Properties!A$1:CB$87,Formula!J104,6))</f>
        <v>54</v>
      </c>
      <c r="V104" s="89">
        <f>VARP(IF(INDEX(Properties!A$1:CB$87,Formula!B104,6)&lt;&gt;"",INDEX(Properties!A$1:CB$87,Formula!B104,6)),IF(INDEX(Properties!A$1:CB$87,Formula!D104,6)&lt;&gt;"",INDEX(Properties!A$1:CB$87,Formula!D104,6)),IF(INDEX(Properties!A$1:CB$87,Formula!F104,6)&lt;&gt;"",INDEX(Properties!A$1:CB$87,Formula!F104,6)),IF(INDEX(Properties!A$1:CB$87,Formula!H104,6)&lt;&gt;"",INDEX(Properties!A$1:CB$87,Formula!H104,6)),IF(INDEX(Properties!A$1:CB$87,Formula!J104,6)&lt;&gt;"",INDEX(Properties!A$1:CB$87,Formula!J104,6)))</f>
        <v>35.840000000000003</v>
      </c>
      <c r="W104" s="60">
        <f>MAX(INDEX(Properties!A$1:CB$87,Formula!B104,6),INDEX(Properties!A$1:CB$87,Formula!D104,6),INDEX(Properties!A$1:CB$87,Formula!F104,6),INDEX(Properties!A$1:CB$87,Formula!H104,4),INDEX(Properties!A$1:CB$87,Formula!J104,6))</f>
        <v>16</v>
      </c>
      <c r="X104" s="60">
        <f>MIN(IF(INDEX(Properties!A$1:CB$87,Formula!B104,6)=0,10^6,INDEX(Properties!A$1:CB$87,Formula!B104,6)),IF(INDEX(Properties!A$1:CB$87,Formula!D104,6)=0,10^6,INDEX(Properties!A$1:CB$87,Formula!D104,6)),IF(INDEX(Properties!A$1:CB$87,Formula!F104,6)=0,10^6,INDEX(Properties!A$1:CB$87,Formula!F104,6)),IF(INDEX(Properties!A$1:CB$87,Formula!H104,6)=0,10^6,INDEX(Properties!A$1:CB$87,Formula!H104,6)),IF(INDEX(Properties!A$1:CB$87,Formula!J104,6)=0,10^6,INDEX(Properties!A$1:CB$87,Formula!J104,6)))</f>
        <v>2</v>
      </c>
      <c r="Y104" s="60">
        <f t="shared" si="35"/>
        <v>14</v>
      </c>
      <c r="Z104" s="72">
        <f>((Formula!C104)/(Formula!C104+Formula!E104+Formula!G104+Formula!I104+Formula!K104))*(INDEX(Properties!A$1:CB$87,Formula!B104,9))+((Formula!E104)/(Formula!C104+Formula!E104+Formula!G104+Formula!I104+Formula!K104))*(INDEX(Properties!A$1:CB$87,Formula!D104,9))+((Formula!G104)/(Formula!C104+Formula!E104+Formula!G104+Formula!I104+Formula!K104))*(INDEX(Properties!A$1:CB$87,Formula!F104,9))+((Formula!I104)/(Formula!C104+Formula!E104+Formula!G104+Formula!I104+Formula!K104))*(INDEX(Properties!A$1:CB$87,Formula!H104,9))+((Formula!K104)/(Formula!C104+Formula!E104+Formula!G104+Formula!I104+Formula!K104))*(INDEX(Properties!A$1:CB$87,Formula!J104,9))</f>
        <v>62.4</v>
      </c>
      <c r="AA104" s="72">
        <f>Formula!C104*(INDEX(Properties!A$1:CB$87,Formula!B104,9))+Formula!E104*(INDEX(Properties!A$1:CB$87,Formula!D104,9))+Formula!G104*(INDEX(Properties!A$1:CB$87,Formula!F104,9))+Formula!I104*(INDEX(Properties!A$1:CB$87,Formula!H104,9))+Formula!K104*(INDEX(Properties!A$1:CB$87,Formula!J104,9))</f>
        <v>312</v>
      </c>
      <c r="AB104" s="72">
        <f>VARP(IF(INDEX(Properties!A$1:CB$87,Formula!B104,9)&lt;&gt;"",INDEX(Properties!A$1:CB$87,Formula!B104,9)),IF(INDEX(Properties!A$1:CB$87,Formula!D104,9)&lt;&gt;"",INDEX(Properties!A$1:CB$87,Formula!D104,9)),IF(INDEX(Properties!A$1:CB$87,Formula!F104,9)&lt;&gt;"",INDEX(Properties!A$1:CB$87,Formula!F104,9)),IF(INDEX(Properties!A$1:CB$87,Formula!H104,9)&lt;&gt;"",INDEX(Properties!A$1:CB$87,Formula!H104,9)),IF(INDEX(Properties!A$1:CB$87,Formula!J104,9)&lt;&gt;"",INDEX(Properties!A$1:CB$87,Formula!J104,9)))</f>
        <v>1149.04</v>
      </c>
      <c r="AC104" s="72">
        <f>MAX(INDEX(Properties!A$1:CB$87,Formula!B104,9),INDEX(Properties!A$1:CB$87,Formula!D104,9),INDEX(Properties!A$1:CB$87,Formula!F104,9),INDEX(Properties!A$1:CB$87,Formula!H104,9),INDEX(Properties!A$1:CB$87,Formula!J104,9))</f>
        <v>87</v>
      </c>
      <c r="AD104" s="72">
        <f>MIN(IF(INDEX(Properties!A$1:CB$87,Formula!B104,9)=0,10^6,INDEX(Properties!A$1:CB$87,Formula!B104,9)),IF(INDEX(Properties!A$1:CB$87,Formula!D104,9)=0,10^6,INDEX(Properties!A$1:CB$87,Formula!D104,9)),IF(INDEX(Properties!A$1:CB$87,Formula!F104,9)=0,10^6,INDEX(Properties!A$1:CB$87,Formula!F104,9)),IF(INDEX(Properties!A$1:CB$87,Formula!H104,9)=0,10^6,INDEX(Properties!A$1:CB$87,Formula!H104,9)),IF(INDEX(Properties!A$1:CB$87,Formula!J104,9)=0,10^6,INDEX(Properties!A$1:CB$87,Formula!J104,9)))</f>
        <v>7</v>
      </c>
      <c r="AE104" s="72">
        <f t="shared" si="36"/>
        <v>80</v>
      </c>
      <c r="AF104" s="51">
        <f>((Formula!C104)/(Formula!C104+Formula!E104+Formula!G104+Formula!I104+Formula!K104))*(INDEX(Properties!A$1:CB$87,Formula!B104,10))+((Formula!E104)/(Formula!C104+Formula!E104+Formula!G104+Formula!I104+Formula!K104))*(INDEX(Properties!A$1:CB$87,Formula!D104,10))+((Formula!G104)/(Formula!C104+Formula!E104+Formula!G104+Formula!I104+Formula!K104))*(INDEX(Properties!A$1:CB$87,Formula!F104,10))+((Formula!I104)/(Formula!C104+Formula!E104+Formula!G104+Formula!I104+Formula!K104))*(INDEX(Properties!A$1:CB$87,Formula!H104,10))+((Formula!K104)/(Formula!C104+Formula!E104+Formula!G104+Formula!I104+Formula!K104))*(INDEX(Properties!A$1:CB$87,Formula!J104,10))</f>
        <v>5.4</v>
      </c>
      <c r="AG104" s="51">
        <f>Formula!C104*(INDEX(Properties!A$1:CB$87,Formula!B104,10))+Formula!E104*(INDEX(Properties!A$1:CB$87,Formula!D104,10))+Formula!G104*(INDEX(Properties!A$1:CB$87,Formula!F104,10))+Formula!I104*(INDEX(Properties!A$1:CB$87,Formula!H104,10))+Formula!K104*(INDEX(Properties!A$1:CB$87,Formula!J104,10))</f>
        <v>27</v>
      </c>
      <c r="AH104" s="51">
        <f>VARP(IF(INDEX(Properties!A$1:CB$87,Formula!B104,10)&lt;&gt;"",INDEX(Properties!A$1:CB$87,Formula!B104,10)),IF(INDEX(Properties!A$1:CB$87,Formula!D104,10)&lt;&gt;"",INDEX(Properties!A$1:CB$87,Formula!D104,10)),IF(INDEX(Properties!A$1:CB$87,Formula!F104,10)&lt;&gt;"",INDEX(Properties!A$1:CB$87,Formula!F104,10)),IF(INDEX(Properties!A$1:CB$87,Formula!H104,10)&lt;&gt;"",INDEX(Properties!A$1:CB$87,Formula!H104,10)),IF(INDEX(Properties!A$1:CB$87,Formula!J104,10)&lt;&gt;"",INDEX(Properties!A$1:CB$87,Formula!J104,10)))</f>
        <v>7.04</v>
      </c>
      <c r="AI104" s="51">
        <f>MAX(INDEX(Properties!A$1:CB$87,Formula!B104,10),INDEX(Properties!A$1:CB$87,Formula!D104,10),INDEX(Properties!A$1:CB$87,Formula!F104,10),INDEX(Properties!A$1:CB$87,Formula!H104,10),INDEX(Properties!A$1:CB$87,Formula!J104,10))</f>
        <v>7</v>
      </c>
      <c r="AJ104" s="51">
        <f>MIN(IF(INDEX(Properties!A$1:CB$87,Formula!B104,10)=0,10^6,INDEX(Properties!A$1:CB$87,Formula!B104,10)),IF(INDEX(Properties!A$1:CB$87,Formula!D104,10)=0,10^6,INDEX(Properties!A$1:CB$87,Formula!D104,10)),IF(INDEX(Properties!A$1:CB$87,Formula!F104,10)=0,10^6,INDEX(Properties!A$1:CB$87,Formula!F104,10)),IF(INDEX(Properties!A$1:CB$87,Formula!H104,10)=0,10^6,INDEX(Properties!A$1:CB$87,Formula!H104,10)),IF(INDEX(Properties!A$1:CB$87,Formula!J104,10)=0,10^6,INDEX(Properties!A$1:CB$87,Formula!J104,10)))</f>
        <v>2</v>
      </c>
      <c r="AK104" s="51">
        <f t="shared" si="37"/>
        <v>5</v>
      </c>
      <c r="AL104" s="57">
        <f>((Formula!C104)/(Formula!C104+Formula!E104+Formula!G104+Formula!I104+Formula!K104))*(INDEX(Properties!A$1:CB$87,Formula!B104,11))+((Formula!E104)/(Formula!C104+Formula!E104+Formula!G104+Formula!I104+Formula!K104))*(INDEX(Properties!A$1:CB$87,Formula!D104,11))+((Formula!G104)/(Formula!C104+Formula!E104+Formula!G104+Formula!I104+Formula!K104))*(INDEX(Properties!A$1:CB$87,Formula!F104,11))+((Formula!I104)/(Formula!C104+Formula!E104+Formula!G104+Formula!I104+Formula!K104))*(INDEX(Properties!A$1:CB$87,Formula!H104,11))+((Formula!K104)/(Formula!C104+Formula!E104+Formula!G104+Formula!I104+Formula!K104))*(INDEX(Properties!A$1:CB$87,Formula!J104,11))</f>
        <v>2</v>
      </c>
      <c r="AM104" s="57">
        <f>Formula!C104*(INDEX(Properties!A$1:CB$87,Formula!B104,11))+Formula!E104*(INDEX(Properties!A$1:CB$87,Formula!D104,11))+Formula!G104*(INDEX(Properties!A$1:CB$87,Formula!F104,11))+Formula!I104*(INDEX(Properties!A$1:CB$87,Formula!H104,11))+Formula!K104*(INDEX(Properties!A$1:CB$87,Formula!J104,11))</f>
        <v>10</v>
      </c>
      <c r="AN104" s="57">
        <f>VARP(IF(INDEX(Properties!A$1:CB$87,Formula!B104,11)&lt;&gt;"",INDEX(Properties!A$1:CB$87,Formula!B104,11)),IF(INDEX(Properties!A$1:CB$87,Formula!D104,11)&lt;&gt;"",INDEX(Properties!A$1:CB$87,Formula!D104,11)),IF(INDEX(Properties!A$1:CB$87,Formula!F104,11)&lt;&gt;"",INDEX(Properties!A$1:CB$87,Formula!F104,11)),IF(INDEX(Properties!A$1:CB$87,Formula!H104,11)&lt;&gt;"",INDEX(Properties!A$1:CB$87,Formula!H104,11)),IF(INDEX(Properties!A$1:CB$87,Formula!J104,11)&lt;&gt;"",INDEX(Properties!A$1:CB$87,Formula!J104,11)))</f>
        <v>0.96</v>
      </c>
      <c r="AO104" s="57">
        <f>MAX(INDEX(Properties!A$1:CB$87,Formula!B104,11),INDEX(Properties!A$1:CB$87,Formula!D104,11),INDEX(Properties!A$1:CB$87,Formula!F104,11),INDEX(Properties!A$1:CB$87,Formula!H104,11),INDEX(Properties!A$1:CB$87,Formula!J104,11))</f>
        <v>2</v>
      </c>
      <c r="AP104" s="57">
        <f>MIN(IF(Formula!B104=87,10^6,INDEX(Properties!A$1:CB$87,Formula!B104,11)),IF((Formula!D104)=87,10^6,INDEX(Properties!A$1:CB$87,Formula!D104,11)),IF((Formula!F104)=87,10^6,INDEX(Properties!A$1:CB$87,Formula!F104,11)),IF((Formula!H104)=87,10^6,INDEX(Properties!A$1:CB$87,Formula!H104,11)),IF(Formula!J104=87,10^6,INDEX(Properties!A$1:CB$87,Formula!J104,11)))</f>
        <v>2</v>
      </c>
      <c r="AQ104" s="57">
        <f t="shared" si="38"/>
        <v>0</v>
      </c>
      <c r="AR104" s="78">
        <f>((Formula!C104)/(Formula!C104+Formula!E104+Formula!G104+Formula!I104+Formula!K104))*(INDEX(Properties!A$1:CB$87,Formula!B104,12))+((Formula!E104)/(Formula!C104+Formula!E104+Formula!G104+Formula!I104+Formula!K104))*(INDEX(Properties!A$1:CB$87,Formula!D104,12))+((Formula!G104)/(Formula!C104+Formula!E104+Formula!G104+Formula!I104+Formula!K104))*(INDEX(Properties!A$1:CB$87,Formula!F104,12))+((Formula!I104)/(Formula!C104+Formula!E104+Formula!G104+Formula!I104+Formula!K104))*(INDEX(Properties!A$1:CB$87,Formula!H104,12))+((Formula!K104)/(Formula!C104+Formula!E104+Formula!G104+Formula!I104+Formula!K104))*(INDEX(Properties!A$1:CB$87,Formula!J104,12))</f>
        <v>2.4</v>
      </c>
      <c r="AS104" s="78">
        <f>Formula!C104*(INDEX(Properties!A$1:CB$87,Formula!B104,12))+Formula!E104*(INDEX(Properties!A$1:CB$87,Formula!D104,12))+Formula!G104*(INDEX(Properties!A$1:CB$87,Formula!F104,12))+Formula!I104*(INDEX(Properties!A$1:CB$87,Formula!H104,12))+Formula!K104*(INDEX(Properties!A$1:CB$87,Formula!J104,12))</f>
        <v>12</v>
      </c>
      <c r="AT104" s="78">
        <f>VARP(IF(INDEX(Properties!A$1:CB$87,Formula!B104,12)&lt;&gt;"",INDEX(Properties!A$1:CB$87,Formula!B104,12)),IF(INDEX(Properties!A$1:CB$87,Formula!D104,12)&lt;&gt;"",INDEX(Properties!A$1:CB$87,Formula!D104,12)),IF(INDEX(Properties!A$1:CB$87,Formula!F104,12)&lt;&gt;"",INDEX(Properties!A$1:CB$87,Formula!F104,12)),IF(INDEX(Properties!A$1:CB$87,Formula!H104,12)&lt;&gt;"",INDEX(Properties!A$1:CB$87,Formula!H104,12)),IF(INDEX(Properties!A$1:CB$87,Formula!J104,12)&lt;&gt;"",INDEX(Properties!A$1:CB$87,Formula!J104,12)))</f>
        <v>2.56</v>
      </c>
      <c r="AU104" s="78">
        <f>MAX(INDEX(Properties!A$1:CB$87,Formula!B104,12),INDEX(Properties!A$1:CB$87,Formula!D104,12),INDEX(Properties!A$1:CB$87,Formula!F104,12),INDEX(Properties!A$1:CB$87,Formula!H104,12),INDEX(Properties!A$1:CB$87,Formula!J104,12))</f>
        <v>4</v>
      </c>
      <c r="AV104" s="78">
        <f>MIN(IF(Formula!B104=87,10^6,INDEX(Properties!A$1:CB$87,Formula!B104,12)),IF((Formula!D104)=87,10^6,INDEX(Properties!A$1:CB$87,Formula!D104,12)),IF((Formula!F104)=87,10^6,INDEX(Properties!A$1:CB$87,Formula!F104,12)),IF((Formula!H104)=87,10^6,INDEX(Properties!A$1:CB$87,Formula!H104,12)),IF(Formula!J104=87,10^6,INDEX(Properties!A$1:CB$87,Formula!J104,12)))</f>
        <v>0</v>
      </c>
      <c r="AW104" s="78">
        <f t="shared" si="39"/>
        <v>4</v>
      </c>
      <c r="AX104" s="45">
        <f>((Formula!C104)/(Formula!C104+Formula!E104+Formula!G104+Formula!I104+Formula!K104))*(INDEX(Properties!A$1:CB$87,Formula!B104,13))+((Formula!E104)/(Formula!C104+Formula!E104+Formula!G104+Formula!I104+Formula!K104))*(INDEX(Properties!A$1:CB$87,Formula!D104,13))+((Formula!G104)/(Formula!C104+Formula!E104+Formula!G104+Formula!I104+Formula!K104))*(INDEX(Properties!A$1:CB$87,Formula!F104,13))+((Formula!I104)/(Formula!C104+Formula!E104+Formula!G104+Formula!I104+Formula!K104))*(INDEX(Properties!A$1:CB$87,Formula!H104,13))+((Formula!K104)/(Formula!C104+Formula!E104+Formula!G104+Formula!I104+Formula!K104))*(INDEX(Properties!A$1:CB$87,Formula!J104,13))</f>
        <v>0.4</v>
      </c>
      <c r="AY104" s="45">
        <f>Formula!C104*(INDEX(Properties!A$1:CB$87,Formula!B104,13))+Formula!E104*(INDEX(Properties!A$1:CB$87,Formula!D104,13))+Formula!G104*(INDEX(Properties!A$1:CB$87,Formula!F104,13))+Formula!I104*(INDEX(Properties!A$1:CB$87,Formula!H104,13))+Formula!K104*(INDEX(Properties!A$1:CB$87,Formula!J104,13))</f>
        <v>2</v>
      </c>
      <c r="AZ104" s="45">
        <f>VARP(IF(INDEX(Properties!A$1:CB$87,Formula!B104,13)&lt;&gt;"",INDEX(Properties!A$1:CB$87,Formula!B104,13)),IF(INDEX(Properties!A$1:CB$87,Formula!D104,13)&lt;&gt;"",INDEX(Properties!A$1:CB$87,Formula!D104,13)),IF(INDEX(Properties!A$1:CB$87,Formula!F104,13)&lt;&gt;"",INDEX(Properties!A$1:CB$87,Formula!F104,13)),IF(INDEX(Properties!A$1:CB$87,Formula!H104,13)&lt;&gt;"",INDEX(Properties!A$1:CB$87,Formula!H104,13)),IF(INDEX(Properties!A$1:CB$87,Formula!J104,13)&lt;&gt;"",INDEX(Properties!A$1:CB$87,Formula!J104,13)))</f>
        <v>0.64</v>
      </c>
      <c r="BA104" s="45">
        <f>MAX(INDEX(Properties!A$1:CB$87,Formula!B104,13),INDEX(Properties!A$1:CB$87,Formula!D104,13),INDEX(Properties!A$1:CB$87,Formula!F104,13),INDEX(Properties!A$1:CB$87,Formula!H104,13),INDEX(Properties!A$1:CB$87,Formula!J104,13))</f>
        <v>2</v>
      </c>
      <c r="BB104" s="45">
        <f>MIN(IF(Formula!B104=87,10^6,INDEX(Properties!A$1:CB$87,Formula!B104,13)),IF((Formula!D104)=87,10^6,INDEX(Properties!A$1:CB$87,Formula!D104,13)),IF((Formula!F104)=87,10^6,INDEX(Properties!A$1:CB$87,Formula!F104,13)),IF((Formula!H104)=87,10^6,INDEX(Properties!A$1:CB$87,Formula!H104,13)),IF(Formula!J104=87,10^6,INDEX(Properties!A$1:CB$87,Formula!J104,13)))</f>
        <v>0</v>
      </c>
      <c r="BC104" s="45">
        <f t="shared" si="40"/>
        <v>2</v>
      </c>
      <c r="BD104" s="63">
        <f>((Formula!C104)/(Formula!C104+Formula!E104+Formula!G104+Formula!I104+Formula!K104))*(INDEX(Properties!A$1:CB$87,Formula!B104,14))+((Formula!E104)/(Formula!C104+Formula!E104+Formula!G104+Formula!I104+Formula!K104))*(INDEX(Properties!A$1:CB$87,Formula!D104,14))+((Formula!G104)/(Formula!C104+Formula!E104+Formula!G104+Formula!I104+Formula!K104))*(INDEX(Properties!A$1:CB$87,Formula!F104,14))+((Formula!I104)/(Formula!C104+Formula!E104+Formula!G104+Formula!I104+Formula!K104))*(INDEX(Properties!A$1:CB$87,Formula!H104,14))+((Formula!K104)/(Formula!C104+Formula!E104+Formula!G104+Formula!I104+Formula!K104))*(INDEX(Properties!A$1:CB$87,Formula!J104,14))</f>
        <v>0</v>
      </c>
      <c r="BE104" s="63">
        <f>Formula!C104*(INDEX(Properties!A$1:CB$87,Formula!B104,14))+Formula!E104*(INDEX(Properties!A$1:CB$87,Formula!D104,14))+Formula!G104*(INDEX(Properties!A$1:CB$87,Formula!F104,14))+Formula!I104*(INDEX(Properties!A$1:CB$87,Formula!H104,14))+Formula!K104*(INDEX(Properties!A$1:CB$87,Formula!J104,14))</f>
        <v>0</v>
      </c>
      <c r="BF104" s="63">
        <f>VARP(IF(INDEX(Properties!A$1:CB$87,Formula!B104,14)&lt;&gt;"",INDEX(Properties!A$1:CB$87,Formula!B104,14)),IF(INDEX(Properties!A$1:CB$87,Formula!D104,14)&lt;&gt;"",INDEX(Properties!A$1:CB$87,Formula!D104,14)),IF(INDEX(Properties!A$1:CB$87,Formula!F104,14)&lt;&gt;"",INDEX(Properties!A$1:CB$87,Formula!F104,14)),IF(INDEX(Properties!A$1:CB$87,Formula!H104,14)&lt;&gt;"",INDEX(Properties!A$1:CB$87,Formula!H104,14)),IF(INDEX(Properties!A$1:CB$87,Formula!J104,14)&lt;&gt;"",INDEX(Properties!A$1:CB$87,Formula!J104,14)))</f>
        <v>0</v>
      </c>
      <c r="BG104" s="63">
        <f>MAX(INDEX(Properties!A$1:CB$87,Formula!B104,14),INDEX(Properties!A$1:CB$87,Formula!D104,14),INDEX(Properties!A$1:CB$87,Formula!F104,14),INDEX(Properties!A$1:CB$87,Formula!H104,14),INDEX(Properties!A$1:CB$87,Formula!J104,14))</f>
        <v>0</v>
      </c>
      <c r="BH104" s="63">
        <f>MIN(IF(Formula!B104=87,10^6,INDEX(Properties!A$1:CB$87,Formula!B104,14)),IF((Formula!D104)=87,10^6,INDEX(Properties!A$1:CB$87,Formula!D104,14)),IF((Formula!F104)=87,10^6,INDEX(Properties!A$1:CB$87,Formula!F104,14)),IF((Formula!H104)=87,10^6,INDEX(Properties!A$1:CB$87,Formula!H104,14)),IF(Formula!J104=87,10^6,INDEX(Properties!A$1:CB$87,Formula!J104,14)))</f>
        <v>0</v>
      </c>
      <c r="BI104" s="63">
        <f t="shared" si="41"/>
        <v>0</v>
      </c>
      <c r="BJ104" s="75">
        <f>((Formula!C104)/(Formula!C104+Formula!E104+Formula!G104+Formula!I104+Formula!K104))*(INDEX(Properties!A$1:CB$87,Formula!B104,19))+((Formula!E104)/(Formula!C104+Formula!E104+Formula!G104+Formula!I104+Formula!K104))*(INDEX(Properties!A$1:CB$87,Formula!D104,19))+((Formula!G104)/(Formula!C104+Formula!E104+Formula!G104+Formula!I104+Formula!K104))*(INDEX(Properties!A$1:CB$87,Formula!F104,19))+((Formula!I104)/(Formula!C104+Formula!E104+Formula!G104+Formula!I104+Formula!K104))*(INDEX(Properties!A$1:CB$87,Formula!H104,19))+((Formula!K104)/(Formula!C104+Formula!E104+Formula!G104+Formula!I104+Formula!K104))*(INDEX(Properties!A$1:CB$87,Formula!J104,19))</f>
        <v>4.8</v>
      </c>
      <c r="BK104" s="75">
        <f>Formula!C104*(INDEX(Properties!A$1:CB$87,Formula!B104,19))+Formula!E104*(INDEX(Properties!A$1:CB$87,Formula!D104,19))+Formula!G104*(INDEX(Properties!A$1:CB$87,Formula!F104,19))+Formula!I104*(INDEX(Properties!A$1:CB$87,Formula!H104,19))+Formula!K104*(INDEX(Properties!A$1:CB$87,Formula!J104,19))</f>
        <v>24</v>
      </c>
      <c r="BL104" s="75">
        <f>VARP(IF(INDEX(Properties!A$1:CB$87,Formula!B104,19)&lt;&gt;"",INDEX(Properties!A$1:CB$87,Formula!B104,19)),IF(INDEX(Properties!A$1:CB$87,Formula!D104,19)&lt;&gt;"",INDEX(Properties!A$1:CB$87,Formula!D104,19)),IF(INDEX(Properties!A$1:CB$87,Formula!F104,19)&lt;&gt;"",INDEX(Properties!A$1:CB$87,Formula!F104,19)),IF(INDEX(Properties!A$1:CB$87,Formula!H104,19)&lt;&gt;"",INDEX(Properties!A$1:CB$87,Formula!H104,19)),IF(INDEX(Properties!A$1:CB$87,Formula!J104,19)&lt;&gt;"",INDEX(Properties!A$1:CB$87,Formula!J104,19)))</f>
        <v>5.44</v>
      </c>
      <c r="BM104" s="75">
        <f>MAX(INDEX(Properties!A$1:CB$87,Formula!B104,19),INDEX(Properties!A$1:CB$87,Formula!D104,19),INDEX(Properties!A$1:CB$87,Formula!F104,19),INDEX(Properties!A$1:CB$87,Formula!H104,19),INDEX(Properties!A$1:CB$87,Formula!J104,19))</f>
        <v>6</v>
      </c>
      <c r="BN104" s="75">
        <f>MIN(IF(INDEX(Properties!A$1:CB$87,Formula!B104,19)=0,10^6,INDEX(Properties!A$1:CB$87,Formula!B104,19)),IF(INDEX(Properties!A$1:CB$87,Formula!D104,19)=0,10^6,INDEX(Properties!A$1:CB$87,Formula!D104,19)),IF(INDEX(Properties!A$1:CB$87,Formula!F104,19)=0,10^6,INDEX(Properties!A$1:CB$87,Formula!F104,19)),IF(INDEX(Properties!A$1:CB$87,Formula!H104,19)=0,10^6,INDEX(Properties!A$1:CB$87,Formula!H104,19)),IF(INDEX(Properties!A$1:CB$87,Formula!J104,19)=0,10^6,INDEX(Properties!A$1:CB$87,Formula!J104,19)))</f>
        <v>2</v>
      </c>
      <c r="BO104" s="75">
        <f t="shared" si="42"/>
        <v>4</v>
      </c>
      <c r="BP104" s="48">
        <f>((Formula!C104)/(Formula!C104+Formula!E104+Formula!G104+Formula!I104+Formula!K104))*(INDEX(Properties!A$1:CB$87,Formula!B104,20))+((Formula!E104)/(Formula!C104+Formula!E104+Formula!G104+Formula!I104+Formula!K104))*(INDEX(Properties!A$1:CB$87,Formula!D104,20))+((Formula!G104)/(Formula!C104+Formula!E104+Formula!G104+Formula!I104+Formula!K104))*(INDEX(Properties!A$1:CB$87,Formula!F104,20))+((Formula!I104)/(Formula!C104+Formula!E104+Formula!G104+Formula!I104+Formula!K104))*(INDEX(Properties!A$1:CB$87,Formula!H104,20))+((Formula!K104)/(Formula!C104+Formula!E104+Formula!G104+Formula!I104+Formula!K104))*(INDEX(Properties!A$1:CB$87,Formula!J104,20))</f>
        <v>4.3999999999999995</v>
      </c>
      <c r="BQ104" s="48">
        <f>Formula!C104*(INDEX(Properties!A$1:CB$87,Formula!B104,20))+Formula!E104*(INDEX(Properties!A$1:CB$87,Formula!D104,20))+Formula!G104*(INDEX(Properties!A$1:CB$87,Formula!F104,20))+Formula!I104*(INDEX(Properties!A$1:CB$87,Formula!H104,20))+Formula!K104*(INDEX(Properties!A$1:CB$87,Formula!J104,20))</f>
        <v>22</v>
      </c>
      <c r="BR104" s="48">
        <f>VARP(IF(INDEX(Properties!A$1:CB$87,Formula!B104,20)&lt;&gt;"",INDEX(Properties!A$1:CB$87,Formula!B104,20)),IF(INDEX(Properties!A$1:CB$87,Formula!D104,20)&lt;&gt;"",INDEX(Properties!A$1:CB$87,Formula!D104,20)),IF(INDEX(Properties!A$1:CB$87,Formula!F104,20)&lt;&gt;"",INDEX(Properties!A$1:CB$87,Formula!F104,20)),IF(INDEX(Properties!A$1:CB$87,Formula!H104,20)&lt;&gt;"",INDEX(Properties!A$1:CB$87,Formula!H104,20)),IF(INDEX(Properties!A$1:CB$87,Formula!J104,20)&lt;&gt;"",INDEX(Properties!A$1:CB$87,Formula!J104,20)))</f>
        <v>4.8</v>
      </c>
      <c r="BS104" s="48">
        <f>MAX(INDEX(Properties!A$1:CB$87,Formula!B104,20),INDEX(Properties!A$1:CB$87,Formula!D104,20),INDEX(Properties!A$1:CB$87,Formula!F104,20),INDEX(Properties!A$1:CB$87,Formula!H104,20),INDEX(Properties!A$1:CB$87,Formula!J104,20))</f>
        <v>6</v>
      </c>
      <c r="BT104" s="48">
        <f>MIN(IF(INDEX(Properties!A$1:CB$87,Formula!B104,20)=0,10^6,INDEX(Properties!A$1:CB$87,Formula!B104,20)),IF(INDEX(Properties!A$1:CB$87,Formula!D104,20)=0,10^6,INDEX(Properties!A$1:CB$87,Formula!D104,20)),IF(INDEX(Properties!A$1:CB$87,Formula!F104,20)=0,10^6,INDEX(Properties!A$1:CB$87,Formula!F104,20)),IF(INDEX(Properties!A$1:CB$87,Formula!H104,20)=0,10^6,INDEX(Properties!A$1:CB$87,Formula!H104,20)),IF(INDEX(Properties!A$1:CB$87,Formula!J104,20)=0,10^6,INDEX(Properties!A$1:CB$87,Formula!J104,20)))</f>
        <v>2</v>
      </c>
      <c r="BU104" s="48">
        <f t="shared" si="43"/>
        <v>4</v>
      </c>
      <c r="BV104" s="66">
        <f>((Formula!C104)/(Formula!C104+Formula!E104+Formula!G104+Formula!I104+Formula!K104))*(INDEX(Properties!A$1:CB$87,Formula!B104,21))+((Formula!E104)/(Formula!C104+Formula!E104+Formula!G104+Formula!I104+Formula!K104))*(INDEX(Properties!A$1:CB$87,Formula!D104,21))+((Formula!G104)/(Formula!C104+Formula!E104+Formula!G104+Formula!I104+Formula!K104))*(INDEX(Properties!A$1:CB$87,Formula!F104,21))+((Formula!I104)/(Formula!C104+Formula!E104+Formula!G104+Formula!I104+Formula!K104))*(INDEX(Properties!A$1:CB$87,Formula!H104,21))+((Formula!K104)/(Formula!C104+Formula!E104+Formula!G104+Formula!I104+Formula!K104))*(INDEX(Properties!A$1:CB$87,Formula!J104,21))</f>
        <v>4.3999999999999995</v>
      </c>
      <c r="BW104" s="66">
        <f>Formula!C104*(INDEX(Properties!A$1:CB$87,Formula!B104,21))+Formula!E104*(INDEX(Properties!A$1:CB$87,Formula!D104,21))+Formula!G104*(INDEX(Properties!A$1:CB$87,Formula!F104,21))+Formula!I104*(INDEX(Properties!A$1:CB$87,Formula!H104,21))+Formula!K104*(INDEX(Properties!A$1:CB$87,Formula!J104,21))</f>
        <v>22</v>
      </c>
      <c r="BX104" s="66">
        <f>VARP(IF(INDEX(Properties!A$1:CB$87,Formula!B104,21)&lt;&gt;"",INDEX(Properties!A$1:CB$87,Formula!B104,21)),IF(INDEX(Properties!A$1:CB$87,Formula!D104,21)&lt;&gt;"",INDEX(Properties!A$1:CB$87,Formula!D104,21)),IF(INDEX(Properties!A$1:CB$87,Formula!F104,21)&lt;&gt;"",INDEX(Properties!A$1:CB$87,Formula!F104,21)),IF(INDEX(Properties!A$1:CB$87,Formula!H104,21)&lt;&gt;"",INDEX(Properties!A$1:CB$87,Formula!H104,21)),IF(INDEX(Properties!A$1:CB$87,Formula!J104,21)&lt;&gt;"",INDEX(Properties!A$1:CB$87,Formula!J104,21)))</f>
        <v>4.8</v>
      </c>
      <c r="BY104" s="66">
        <f>MAX(INDEX(Properties!A$1:CB$87,Formula!B104,21),INDEX(Properties!A$1:CB$87,Formula!D104,21),INDEX(Properties!A$1:CB$87,Formula!F104,21),INDEX(Properties!A$1:CB$87,Formula!H104,21),INDEX(Properties!A$1:CB$87,Formula!J104,21))</f>
        <v>6</v>
      </c>
      <c r="BZ104" s="66">
        <f>MIN(IF(INDEX(Properties!A$1:CB$87,Formula!B104,21)=0,10^6,INDEX(Properties!A$1:CB$87,Formula!B104,21)),IF(INDEX(Properties!A$1:CB$87,Formula!D104,21)=0,10^6,INDEX(Properties!A$1:CB$87,Formula!D104,21)),IF(INDEX(Properties!A$1:CB$87,Formula!F104,21)=0,10^6,INDEX(Properties!A$1:CB$87,Formula!F104,21)),IF(INDEX(Properties!A$1:CB$87,Formula!H104,21)=0,10^6,INDEX(Properties!A$1:CB$87,Formula!H104,21)),IF(INDEX(Properties!A$1:CB$87,Formula!J104,21)=0,10^6,INDEX(Properties!A$1:CB$87,Formula!J104,21)))</f>
        <v>2</v>
      </c>
      <c r="CA104" s="66">
        <f t="shared" si="44"/>
        <v>4</v>
      </c>
      <c r="CB104" s="81">
        <f>((Formula!C104)/(Formula!C104+Formula!E104+Formula!G104+Formula!I104+Formula!K104))*(INDEX(Properties!A$1:CB$87,Formula!B104,23))+((Formula!E104)/(Formula!C104+Formula!E104+Formula!G104+Formula!I104+Formula!K104))*(INDEX(Properties!A$1:CB$87,Formula!D104,23))+((Formula!G104)/(Formula!C104+Formula!E104+Formula!G104+Formula!I104+Formula!K104))*(INDEX(Properties!A$1:CB$87,Formula!F104,23))+((Formula!I104)/(Formula!C104+Formula!E104+Formula!G104+Formula!I104+Formula!K104))*(INDEX(Properties!A$1:CB$87,Formula!H104,23))+((Formula!K104)/(Formula!C104+Formula!E104+Formula!G104+Formula!I104+Formula!K104))*(INDEX(Properties!A$1:CB$87,Formula!J104,23))</f>
        <v>1.2000000000000002</v>
      </c>
      <c r="CC104" s="81">
        <f>Formula!C104*(INDEX(Properties!A$1:CB$87,Formula!B104,23))+Formula!E104*(INDEX(Properties!A$1:CB$87,Formula!D104,23))+Formula!G104*(INDEX(Properties!A$1:CB$87,Formula!F104,23))+Formula!I104*(INDEX(Properties!A$1:CB$87,Formula!H104,23))+Formula!K104*(INDEX(Properties!A$1:CB$87,Formula!J104,23))</f>
        <v>6</v>
      </c>
      <c r="CD104" s="81">
        <f>VARP(IF(INDEX(Properties!A$1:CB$87,Formula!B104,23)&lt;&gt;"",INDEX(Properties!A$1:CB$87,Formula!B104,23)),IF(INDEX(Properties!A$1:CB$87,Formula!D104,23)&lt;&gt;"",INDEX(Properties!A$1:CB$87,Formula!D104,23)),IF(INDEX(Properties!A$1:CB$87,Formula!F104,23)&lt;&gt;"",INDEX(Properties!A$1:CB$87,Formula!F104,23)),IF(INDEX(Properties!A$1:CB$87,Formula!H104,23)&lt;&gt;"",INDEX(Properties!A$1:CB$87,Formula!H104,23)),IF(INDEX(Properties!A$1:CB$87,Formula!J104,23)&lt;&gt;"",INDEX(Properties!A$1:CB$87,Formula!J104,23)))</f>
        <v>2.56</v>
      </c>
      <c r="CE104" s="81">
        <f>MAX(INDEX(Properties!A$1:CB$87,Formula!B104,23),INDEX(Properties!A$1:CB$87,Formula!D104,23),INDEX(Properties!A$1:CB$87,Formula!F104,23),INDEX(Properties!A$1:CB$87,Formula!H104,23),INDEX(Properties!A$1:CB$87,Formula!J104,23))</f>
        <v>4</v>
      </c>
      <c r="CF104" s="81">
        <f>MIN(IF(Formula!B104=87,10^6,INDEX(Properties!A$1:CB$87,Formula!B104,23)),IF((Formula!D104)=87,10^6,INDEX(Properties!A$1:CB$87,Formula!D104,23)),IF((Formula!F104)=87,10^6,INDEX(Properties!A$1:CB$87,Formula!F104,23)),IF((Formula!H104)=87,10^6,INDEX(Properties!A$1:CB$87,Formula!H104,23)),IF(Formula!J104=87,10^6,INDEX(Properties!A$1:CB$87,Formula!J104,23)))</f>
        <v>0</v>
      </c>
      <c r="CG104" s="81">
        <f t="shared" si="45"/>
        <v>4</v>
      </c>
      <c r="CH104" s="39">
        <f>((Formula!C104)/(Formula!C104+Formula!E104+Formula!G104+Formula!I104+Formula!K104))*(INDEX(Properties!A$1:CB$87,Formula!B104,26))+((Formula!E104)/(Formula!C104+Formula!E104+Formula!G104+Formula!I104+Formula!K104))*(INDEX(Properties!A$1:CB$87,Formula!D104,26))+((Formula!G104)/(Formula!C104+Formula!E104+Formula!G104+Formula!I104+Formula!K104))*(INDEX(Properties!A$1:CB$87,Formula!F104,26))+((Formula!I104)/(Formula!C104+Formula!E104+Formula!G104+Formula!I104+Formula!K104))*(INDEX(Properties!A$1:CB$87,Formula!H104,26))+((Formula!K104)/(Formula!C104+Formula!E104+Formula!G104+Formula!I104+Formula!K104))*(INDEX(Properties!A$1:CB$87,Formula!J104,26))</f>
        <v>10.720279999999999</v>
      </c>
      <c r="CI104" s="39">
        <f>Formula!C104*(INDEX(Properties!A$1:CB$87,Formula!B104,26))+Formula!E104*(INDEX(Properties!A$1:CB$87,Formula!D104,26))+Formula!G104*(INDEX(Properties!A$1:CB$87,Formula!F104,26))+Formula!I104*(INDEX(Properties!A$1:CB$87,Formula!H104,26))+Formula!K104*(INDEX(Properties!A$1:CB$87,Formula!J104,26))</f>
        <v>53.601399999999998</v>
      </c>
      <c r="CJ104" s="39">
        <f>VARP(IF(INDEX(Properties!A$1:CB$87,Formula!B104,26)&lt;&gt;"",INDEX(Properties!A$1:CB$87,Formula!B104,26)),IF(INDEX(Properties!A$1:CB$87,Formula!D104,26)&lt;&gt;"",INDEX(Properties!A$1:CB$87,Formula!D104,26)),IF(INDEX(Properties!A$1:CB$87,Formula!F104,26)&lt;&gt;"",INDEX(Properties!A$1:CB$87,Formula!F104,26)),IF(INDEX(Properties!A$1:CB$87,Formula!H104,26)&lt;&gt;"",INDEX(Properties!A$1:CB$87,Formula!H104,26)),IF(INDEX(Properties!A$1:CB$87,Formula!J104,26)&lt;&gt;"",INDEX(Properties!A$1:CB$87,Formula!J104,26)))</f>
        <v>25.561547370399992</v>
      </c>
      <c r="CK104" s="39">
        <f>MAX(INDEX(Properties!A$1:CB$87,Formula!B104,26),INDEX(Properties!A$1:CB$87,Formula!D104,26),INDEX(Properties!A$1:CB$87,Formula!F104,26),INDEX(Properties!A$1:CB$87,Formula!H104,26),INDEX(Properties!A$1:CB$87,Formula!J104,26))</f>
        <v>13.6181</v>
      </c>
      <c r="CL104" s="39">
        <f>MIN(IF(INDEX(Properties!A$1:CB$87,Formula!B104,26)=0,10^6,INDEX(Properties!A$1:CB$87,Formula!B104,26)),IF(INDEX(Properties!A$1:CB$87,Formula!D104,26)=0,10^6,INDEX(Properties!A$1:CB$87,Formula!D104,26)),IF(INDEX(Properties!A$1:CB$87,Formula!F104,26)=0,10^6,INDEX(Properties!A$1:CB$87,Formula!F104,26)),IF(INDEX(Properties!A$1:CB$87,Formula!H104,26)=0,10^6,INDEX(Properties!A$1:CB$87,Formula!H104,26)),IF(INDEX(Properties!A$1:CB$87,Formula!J104,26)=0,10^6,INDEX(Properties!A$1:CB$87,Formula!J104,26)))</f>
        <v>6.1132</v>
      </c>
      <c r="CM104" s="39">
        <f t="shared" si="46"/>
        <v>7.5049000000000001</v>
      </c>
      <c r="CN104" s="54">
        <f>((Formula!C104)/(Formula!C104+Formula!E104+Formula!G104+Formula!I104+Formula!K104))*(INDEX(Properties!A$1:CB$87,Formula!B104,30))+((Formula!E104)/(Formula!C104+Formula!E104+Formula!G104+Formula!I104+Formula!K104))*(INDEX(Properties!A$1:CB$87,Formula!D104,30))+((Formula!G104)/(Formula!C104+Formula!E104+Formula!G104+Formula!I104+Formula!K104))*(INDEX(Properties!A$1:CB$87,Formula!F104,30))+((Formula!I104)/(Formula!C104+Formula!E104+Formula!G104+Formula!I104+Formula!K104))*(INDEX(Properties!A$1:CB$87,Formula!H104,30))+((Formula!K104)/(Formula!C104+Formula!E104+Formula!G104+Formula!I104+Formula!K104))*(INDEX(Properties!A$1:CB$87,Formula!J104,30))</f>
        <v>2.5300000000000002</v>
      </c>
      <c r="CO104" s="54">
        <f>Formula!C104*(INDEX(Properties!A$1:CB$87,Formula!B104,30))+Formula!E104*(INDEX(Properties!A$1:CB$87,Formula!D104,30))+Formula!G104*(INDEX(Properties!A$1:CB$87,Formula!F104,30))+Formula!I104*(INDEX(Properties!A$1:CB$87,Formula!H104,30))+Formula!K104*(INDEX(Properties!A$1:CB$87,Formula!J104,30))</f>
        <v>12.65</v>
      </c>
      <c r="CP104" s="54">
        <f>VARP(IF(INDEX(Properties!A$1:CB$87,Formula!B104,30)&lt;&gt;"",INDEX(Properties!A$1:CB$87,Formula!B104,30)),IF(INDEX(Properties!A$1:CB$87,Formula!D104,30)&lt;&gt;"",INDEX(Properties!A$1:CB$87,Formula!D104,30)),IF(INDEX(Properties!A$1:CB$87,Formula!F104,30)&lt;&gt;"",INDEX(Properties!A$1:CB$87,Formula!F104,30)),IF(INDEX(Properties!A$1:CB$87,Formula!H104,30)&lt;&gt;"",INDEX(Properties!A$1:CB$87,Formula!H104,30)),IF(INDEX(Properties!A$1:CB$87,Formula!J104,30)&lt;&gt;"",INDEX(Properties!A$1:CB$87,Formula!J104,30)))</f>
        <v>1.5887839999999998</v>
      </c>
      <c r="CQ104" s="54">
        <f>MAX(INDEX(Properties!A$1:CB$87,Formula!B104,30),INDEX(Properties!A$1:CB$87,Formula!D104,30),INDEX(Properties!A$1:CB$87,Formula!F104,30),INDEX(Properties!A$1:CB$87,Formula!H104,30),INDEX(Properties!A$1:CB$87,Formula!J104,30))</f>
        <v>3.44</v>
      </c>
      <c r="CR104" s="54">
        <f>MIN(IF(INDEX(Properties!A$1:CB$87,Formula!B104,30)=0,10^6,INDEX(Properties!A$1:CB$87,Formula!B104,30)),IF(INDEX(Properties!A$1:CB$87,Formula!D104,30)=0,10^6,INDEX(Properties!A$1:CB$87,Formula!D104,30)),IF(INDEX(Properties!A$1:CB$87,Formula!F104,30)=0,10^6,INDEX(Properties!A$1:CB$87,Formula!F104,30)),IF(INDEX(Properties!A$1:CB$87,Formula!H104,30)=0,10^6,INDEX(Properties!A$1:CB$87,Formula!H104,30)),IF(INDEX(Properties!A$1:CB$87,Formula!J104,30)=0,10^6,INDEX(Properties!A$1:CB$87,Formula!J104,30)))</f>
        <v>1</v>
      </c>
      <c r="CS104" s="54">
        <f t="shared" si="47"/>
        <v>2.44</v>
      </c>
      <c r="CT104" s="69">
        <f>((Formula!C104)/(Formula!C104+Formula!E104+Formula!G104+Formula!I104+Formula!K104))*(INDEX(Properties!A$1:CB$87,Formula!B104,31))+((Formula!E104)/(Formula!C104+Formula!E104+Formula!G104+Formula!I104+Formula!K104))*(INDEX(Properties!A$1:CB$87,Formula!D104,31))+((Formula!G104)/(Formula!C104+Formula!E104+Formula!G104+Formula!I104+Formula!K104))*(INDEX(Properties!A$1:CB$87,Formula!F104,31))+((Formula!I104)/(Formula!C104+Formula!E104+Formula!G104+Formula!I104+Formula!K104))*(INDEX(Properties!A$1:CB$87,Formula!H104,31))+((Formula!K104)/(Formula!C104+Formula!E104+Formula!G104+Formula!I104+Formula!K104))*(INDEX(Properties!A$1:CB$87,Formula!J104,31))</f>
        <v>2.5659999999999998</v>
      </c>
      <c r="CU104" s="69">
        <f>Formula!C104*(INDEX(Properties!A$1:CB$87,Formula!B104,31))+Formula!E104*(INDEX(Properties!A$1:CB$87,Formula!D104,31))+Formula!G104*(INDEX(Properties!A$1:CB$87,Formula!F104,31))+Formula!I104*(INDEX(Properties!A$1:CB$87,Formula!H104,31))+Formula!K104*(INDEX(Properties!A$1:CB$87,Formula!J104,31))</f>
        <v>12.829999999999998</v>
      </c>
      <c r="CV104" s="69">
        <f>VARP(IF(INDEX(Properties!A$1:CB$87,Formula!B104,31)&lt;&gt;"",INDEX(Properties!A$1:CB$87,Formula!B104,31)),IF(INDEX(Properties!A$1:CB$87,Formula!D104,31)&lt;&gt;"",INDEX(Properties!A$1:CB$87,Formula!D104,31)),IF(INDEX(Properties!A$1:CB$87,Formula!F104,31)&lt;&gt;"",INDEX(Properties!A$1:CB$87,Formula!F104,31)),IF(INDEX(Properties!A$1:CB$87,Formula!H104,31)&lt;&gt;"",INDEX(Properties!A$1:CB$87,Formula!H104,31)),IF(INDEX(Properties!A$1:CB$87,Formula!J104,31)&lt;&gt;"",INDEX(Properties!A$1:CB$87,Formula!J104,31)))</f>
        <v>1.5236160000000001</v>
      </c>
      <c r="CW104" s="69">
        <f>MAX(INDEX(Properties!A$1:CB$87,Formula!B104,31),INDEX(Properties!A$1:CB$87,Formula!D104,31),INDEX(Properties!A$1:CB$87,Formula!F104,31),INDEX(Properties!A$1:CB$87,Formula!H104,31),INDEX(Properties!A$1:CB$87,Formula!J104,31))</f>
        <v>3.32</v>
      </c>
      <c r="CX104" s="69">
        <f>MIN(IF(INDEX(Properties!A$1:CB$87,Formula!B104,31)=0,10^6,INDEX(Properties!A$1:CB$87,Formula!B104,31)),IF(INDEX(Properties!A$1:CB$87,Formula!D104,31)=0,10^6,INDEX(Properties!A$1:CB$87,Formula!D104,31)),IF(INDEX(Properties!A$1:CB$87,Formula!F104,31)=0,10^6,INDEX(Properties!A$1:CB$87,Formula!F104,31)),IF(INDEX(Properties!A$1:CB$87,Formula!H104,31)=0,10^6,INDEX(Properties!A$1:CB$87,Formula!H104,31)),IF(INDEX(Properties!A$1:CB$87,Formula!J104,31)=0,10^6,INDEX(Properties!A$1:CB$87,Formula!J104,31)))</f>
        <v>1.17</v>
      </c>
      <c r="CY104" s="69">
        <f t="shared" si="48"/>
        <v>2.15</v>
      </c>
      <c r="CZ104" s="42">
        <f>((Formula!C104)/(Formula!C104+Formula!E104+Formula!G104+Formula!I104+Formula!K104))*(INDEX(Properties!A$1:CB$87,Formula!B104,32))+((Formula!E104)/(Formula!C104+Formula!E104+Formula!G104+Formula!I104+Formula!K104))*(INDEX(Properties!A$1:CB$87,Formula!D104,32))+((Formula!G104)/(Formula!C104+Formula!E104+Formula!G104+Formula!I104+Formula!K104))*(INDEX(Properties!A$1:CB$87,Formula!F104,32))+((Formula!I104)/(Formula!C104+Formula!E104+Formula!G104+Formula!I104+Formula!K104))*(INDEX(Properties!A$1:CB$87,Formula!H104,32))+((Formula!K104)/(Formula!C104+Formula!E104+Formula!G104+Formula!I104+Formula!K104))*(INDEX(Properties!A$1:CB$87,Formula!J104,32))</f>
        <v>5.6920000000000002</v>
      </c>
      <c r="DA104" s="42">
        <f>Formula!C104*(INDEX(Properties!A$1:CB$87,Formula!B104,32))+Formula!E104*(INDEX(Properties!A$1:CB$87,Formula!D104,32))+Formula!G104*(INDEX(Properties!A$1:CB$87,Formula!F104,32))+Formula!I104*(INDEX(Properties!A$1:CB$87,Formula!H104,32))+Formula!K104*(INDEX(Properties!A$1:CB$87,Formula!J104,32))</f>
        <v>28.46</v>
      </c>
      <c r="DB104" s="42">
        <f>VARP(IF(INDEX(Properties!A$1:CB$87,Formula!B104,32)&lt;&gt;"",INDEX(Properties!A$1:CB$87,Formula!B104,32)),IF(INDEX(Properties!A$1:CB$87,Formula!D104,32)&lt;&gt;"",INDEX(Properties!A$1:CB$87,Formula!D104,32)),IF(INDEX(Properties!A$1:CB$87,Formula!F104,32)&lt;&gt;"",INDEX(Properties!A$1:CB$87,Formula!F104,32)),IF(INDEX(Properties!A$1:CB$87,Formula!H104,32)&lt;&gt;"",INDEX(Properties!A$1:CB$87,Formula!H104,32)),IF(INDEX(Properties!A$1:CB$87,Formula!J104,32)&lt;&gt;"",INDEX(Properties!A$1:CB$87,Formula!J104,32)))</f>
        <v>7.8272639999999987</v>
      </c>
      <c r="DC104" s="42">
        <f>MAX(INDEX(Properties!A$1:CB$87,Formula!B104,32),INDEX(Properties!A$1:CB$87,Formula!D104,32),INDEX(Properties!A$1:CB$87,Formula!F104,32),INDEX(Properties!A$1:CB$87,Formula!H104,32),INDEX(Properties!A$1:CB$87,Formula!J104,32))</f>
        <v>7.54</v>
      </c>
      <c r="DD104" s="42">
        <f>MIN(IF(INDEX(Properties!A$1:CB$87,Formula!B104,32)=0,10^6,INDEX(Properties!A$1:CB$87,Formula!B104,32)),IF(INDEX(Properties!A$1:CB$87,Formula!D104,32)=0,10^6,INDEX(Properties!A$1:CB$87,Formula!D104,32)),IF(INDEX(Properties!A$1:CB$87,Formula!F104,32)=0,10^6,INDEX(Properties!A$1:CB$87,Formula!F104,32)),IF(INDEX(Properties!A$1:CB$87,Formula!H104,32)=0,10^6,INDEX(Properties!A$1:CB$87,Formula!H104,32)),IF(INDEX(Properties!A$1:CB$87,Formula!J104,32)=0,10^6,INDEX(Properties!A$1:CB$87,Formula!J104,32)))</f>
        <v>2.2000000000000002</v>
      </c>
      <c r="DE104" s="42">
        <f t="shared" si="49"/>
        <v>5.34</v>
      </c>
      <c r="DF104" s="60">
        <f>((Formula!C104)/(Formula!C104+Formula!E104+Formula!G104+Formula!I104+Formula!K104))*(INDEX(Properties!A$1:CB$87,Formula!B104,34))+((Formula!E104)/(Formula!C104+Formula!E104+Formula!G104+Formula!I104+Formula!K104))*(INDEX(Properties!A$1:CB$87,Formula!D104,34))+((Formula!G104)/(Formula!C104+Formula!E104+Formula!G104+Formula!I104+Formula!K104))*(INDEX(Properties!A$1:CB$87,Formula!F104,34))+((Formula!I104)/(Formula!C104+Formula!E104+Formula!G104+Formula!I104+Formula!K104))*(INDEX(Properties!A$1:CB$87,Formula!H104,34))+((Formula!K104)/(Formula!C104+Formula!E104+Formula!G104+Formula!I104+Formula!K104))*(INDEX(Properties!A$1:CB$87,Formula!J104,34))</f>
        <v>2.6368</v>
      </c>
      <c r="DG104" s="60">
        <f>Formula!C104*(INDEX(Properties!A$1:CB$87,Formula!B104,34))+Formula!E104*(INDEX(Properties!A$1:CB$87,Formula!D104,34))+Formula!G104*(INDEX(Properties!A$1:CB$87,Formula!F104,34))+Formula!I104*(INDEX(Properties!A$1:CB$87,Formula!H104,34))+Formula!K104*(INDEX(Properties!A$1:CB$87,Formula!J104,34))</f>
        <v>13.184000000000001</v>
      </c>
      <c r="DH104" s="60">
        <f>VARP(IF(INDEX(Properties!A$1:CB$87,Formula!B104,34)&lt;&gt;"",INDEX(Properties!A$1:CB$87,Formula!B104,34)),IF(INDEX(Properties!A$1:CB$87,Formula!D104,34)&lt;&gt;"",INDEX(Properties!A$1:CB$87,Formula!D104,34)),IF(INDEX(Properties!A$1:CB$87,Formula!F104,34)&lt;&gt;"",INDEX(Properties!A$1:CB$87,Formula!F104,34)),IF(INDEX(Properties!A$1:CB$87,Formula!H104,34)&lt;&gt;"",INDEX(Properties!A$1:CB$87,Formula!H104,34)),IF(INDEX(Properties!A$1:CB$87,Formula!J104,34)&lt;&gt;"",INDEX(Properties!A$1:CB$87,Formula!J104,34)))</f>
        <v>1.7459593599999994</v>
      </c>
      <c r="DI104" s="60">
        <f>MAX(INDEX(Properties!A$1:CB$87,Formula!B104,34),INDEX(Properties!A$1:CB$87,Formula!D104,34),INDEX(Properties!A$1:CB$87,Formula!F104,34),INDEX(Properties!A$1:CB$87,Formula!H104,34),INDEX(Properties!A$1:CB$87,Formula!J104,34))</f>
        <v>3.61</v>
      </c>
      <c r="DJ104" s="60">
        <f>MIN(IF(INDEX(Properties!A$1:CB$87,Formula!B104,34)=0,10^6,INDEX(Properties!A$1:CB$87,Formula!B104,34)),IF(INDEX(Properties!A$1:CB$87,Formula!D104,34)=0,10^6,INDEX(Properties!A$1:CB$87,Formula!D104,34)),IF(INDEX(Properties!A$1:CB$87,Formula!F104,34)=0,10^6,INDEX(Properties!A$1:CB$87,Formula!F104,34)),IF(INDEX(Properties!A$1:CB$87,Formula!H104,34)=0,10^6,INDEX(Properties!A$1:CB$87,Formula!H104,34)),IF(INDEX(Properties!A$1:CB$87,Formula!J104,34)=0,10^6,INDEX(Properties!A$1:CB$87,Formula!J104,34)))</f>
        <v>1.034</v>
      </c>
      <c r="DK104" s="60">
        <f t="shared" si="50"/>
        <v>2.5759999999999996</v>
      </c>
      <c r="DL104" s="45">
        <f>((Formula!C104)/(Formula!C104+Formula!E104+Formula!G104+Formula!I104+Formula!K104))*(INDEX(Properties!A$1:CB$87,Formula!B104,39))+((Formula!E104)/(Formula!C104+Formula!E104+Formula!G104+Formula!I104+Formula!K104))*(INDEX(Properties!A$1:CB$87,Formula!D104,39))+((Formula!G104)/(Formula!C104+Formula!E104+Formula!G104+Formula!I104+Formula!K104))*(INDEX(Properties!A$1:CB$87,Formula!F104,39))+((Formula!I104)/(Formula!C104+Formula!E104+Formula!G104+Formula!I104+Formula!K104))*(INDEX(Properties!A$1:CB$87,Formula!H104,39))+((Formula!K104)/(Formula!C104+Formula!E104+Formula!G104+Formula!I104+Formula!K104))*(INDEX(Properties!A$1:CB$87,Formula!J104,39))</f>
        <v>1.0880000000000001</v>
      </c>
      <c r="DM104" s="45">
        <f>Formula!C104*(INDEX(Properties!A$1:CB$87,Formula!B104,39))+Formula!E104*(INDEX(Properties!A$1:CB$87,Formula!D104,39))+Formula!G104*(INDEX(Properties!A$1:CB$87,Formula!F104,39))+Formula!I104*(INDEX(Properties!A$1:CB$87,Formula!H104,39))+Formula!K104*(INDEX(Properties!A$1:CB$87,Formula!J104,39))</f>
        <v>5.4399999999999995</v>
      </c>
      <c r="DN104" s="45">
        <f>VARP(IF(INDEX(Properties!A$1:CB$87,Formula!B104,39)&lt;&gt;"",INDEX(Properties!A$1:CB$87,Formula!B104,39)),IF(INDEX(Properties!A$1:CB$87,Formula!D104,39)&lt;&gt;"",INDEX(Properties!A$1:CB$87,Formula!D104,39)),IF(INDEX(Properties!A$1:CB$87,Formula!F104,39)&lt;&gt;"",INDEX(Properties!A$1:CB$87,Formula!F104,39)),IF(INDEX(Properties!A$1:CB$87,Formula!H104,39)&lt;&gt;"",INDEX(Properties!A$1:CB$87,Formula!H104,39)),IF(INDEX(Properties!A$1:CB$87,Formula!J104,39)&lt;&gt;"",INDEX(Properties!A$1:CB$87,Formula!J104,39)))</f>
        <v>0.84470399999999968</v>
      </c>
      <c r="DO104" s="45">
        <f>MAX(INDEX(Properties!A$1:CB$87,Formula!B104,39),INDEX(Properties!A$1:CB$87,Formula!D104,39),INDEX(Properties!A$1:CB$87,Formula!F104,39),INDEX(Properties!A$1:CB$87,Formula!H104,39),INDEX(Properties!A$1:CB$87,Formula!J104,39))</f>
        <v>2.06</v>
      </c>
      <c r="DP104" s="45">
        <f>MIN(IF(INDEX(Properties!A$1:CB$87,Formula!B104,39)=0,10^6,INDEX(Properties!A$1:CB$87,Formula!B104,39)),IF(INDEX(Properties!A$1:CB$87,Formula!D104,39)=0,10^6,INDEX(Properties!A$1:CB$87,Formula!D104,39)),IF(INDEX(Properties!A$1:CB$87,Formula!F104,39)=0,10^6,INDEX(Properties!A$1:CB$87,Formula!F104,39)),IF(INDEX(Properties!A$1:CB$87,Formula!H104,39)=0,10^6,INDEX(Properties!A$1:CB$87,Formula!H104,39)),IF(INDEX(Properties!A$1:CB$87,Formula!J104,39)=0,10^6,INDEX(Properties!A$1:CB$87,Formula!J104,39)))</f>
        <v>0.48</v>
      </c>
      <c r="DQ104" s="45">
        <f t="shared" si="51"/>
        <v>1.58</v>
      </c>
      <c r="DR104" s="63">
        <f>((Formula!C104)/(Formula!C104+Formula!E104+Formula!G104+Formula!I104+Formula!K104))*(INDEX(Properties!A$1:CB$87,Formula!B104,40))+((Formula!E104)/(Formula!C104+Formula!E104+Formula!G104+Formula!I104+Formula!K104))*(INDEX(Properties!A$1:CB$87,Formula!D104,40))+((Formula!G104)/(Formula!C104+Formula!E104+Formula!G104+Formula!I104+Formula!K104))*(INDEX(Properties!A$1:CB$87,Formula!F104,40))+((Formula!I104)/(Formula!C104+Formula!E104+Formula!G104+Formula!I104+Formula!K104))*(INDEX(Properties!A$1:CB$87,Formula!H104,40))+((Formula!K104)/(Formula!C104+Formula!E104+Formula!G104+Formula!I104+Formula!K104))*(INDEX(Properties!A$1:CB$87,Formula!J104,40))</f>
        <v>1.0820000000000001</v>
      </c>
      <c r="DS104" s="63">
        <f>Formula!C104*(INDEX(Properties!A$1:CB$87,Formula!B104,40))+Formula!E104*(INDEX(Properties!A$1:CB$87,Formula!D104,40))+Formula!G104*(INDEX(Properties!A$1:CB$87,Formula!F104,40))+Formula!I104*(INDEX(Properties!A$1:CB$87,Formula!H104,40))+Formula!K104*(INDEX(Properties!A$1:CB$87,Formula!J104,40))</f>
        <v>5.41</v>
      </c>
      <c r="DT104" s="63">
        <f>VARP(IF(INDEX(Properties!A$1:CB$87,Formula!B104,40)&lt;&gt;"",INDEX(Properties!A$1:CB$87,Formula!B104,40)),IF(INDEX(Properties!A$1:CB$87,Formula!D104,40)&lt;&gt;"",INDEX(Properties!A$1:CB$87,Formula!D104,40)),IF(INDEX(Properties!A$1:CB$87,Formula!F104,40)&lt;&gt;"",INDEX(Properties!A$1:CB$87,Formula!F104,40)),IF(INDEX(Properties!A$1:CB$87,Formula!H104,40)&lt;&gt;"",INDEX(Properties!A$1:CB$87,Formula!H104,40)),IF(INDEX(Properties!A$1:CB$87,Formula!J104,40)&lt;&gt;"",INDEX(Properties!A$1:CB$87,Formula!J104,40)))</f>
        <v>0.5260800000000001</v>
      </c>
      <c r="DU104" s="63">
        <f>MAX(INDEX(Properties!A$1:CB$87,Formula!B104,40),INDEX(Properties!A$1:CB$87,Formula!D104,40),INDEX(Properties!A$1:CB$87,Formula!F104,40),INDEX(Properties!A$1:CB$87,Formula!H104,40),INDEX(Properties!A$1:CB$87,Formula!J104,40))</f>
        <v>1.74</v>
      </c>
      <c r="DV104" s="63">
        <f>MIN(IF(INDEX(Properties!A$1:CB$87,Formula!B104,40)=0,10^6,INDEX(Properties!A$1:CB$87,Formula!B104,40)),IF(INDEX(Properties!A$1:CB$87,Formula!D104,40)=0,10^6,INDEX(Properties!A$1:CB$87,Formula!D104,40)),IF(INDEX(Properties!A$1:CB$87,Formula!F104,40)=0,10^6,INDEX(Properties!A$1:CB$87,Formula!F104,40)),IF(INDEX(Properties!A$1:CB$87,Formula!H104,40)=0,10^6,INDEX(Properties!A$1:CB$87,Formula!H104,40)),IF(INDEX(Properties!A$1:CB$87,Formula!J104,40)=0,10^6,INDEX(Properties!A$1:CB$87,Formula!J104,40)))</f>
        <v>0.73</v>
      </c>
      <c r="DW104" s="63">
        <f t="shared" si="52"/>
        <v>1.01</v>
      </c>
      <c r="DX104" s="75">
        <f>((Formula!C104)/(Formula!C104+Formula!E104+Formula!G104+Formula!I104+Formula!K104))*(INDEX(Properties!A$1:CB$87,Formula!B104,41))+((Formula!E104)/(Formula!C104+Formula!E104+Formula!G104+Formula!I104+Formula!K104))*(INDEX(Properties!A$1:CB$87,Formula!D104,41))+((Formula!G104)/(Formula!C104+Formula!E104+Formula!G104+Formula!I104+Formula!K104))*(INDEX(Properties!A$1:CB$87,Formula!F104,41))+((Formula!I104)/(Formula!C104+Formula!E104+Formula!G104+Formula!I104+Formula!K104))*(INDEX(Properties!A$1:CB$87,Formula!H104,41))+((Formula!K104)/(Formula!C104+Formula!E104+Formula!G104+Formula!I104+Formula!K104))*(INDEX(Properties!A$1:CB$87,Formula!J104,41))</f>
        <v>1.1560000000000001</v>
      </c>
      <c r="DY104" s="75">
        <f>Formula!C104*(INDEX(Properties!A$1:CB$87,Formula!B104,41))+Formula!E104*(INDEX(Properties!A$1:CB$87,Formula!D104,41))+Formula!G104*(INDEX(Properties!A$1:CB$87,Formula!F104,41))+Formula!I104*(INDEX(Properties!A$1:CB$87,Formula!H104,41))+Formula!K104*(INDEX(Properties!A$1:CB$87,Formula!J104,41))</f>
        <v>5.78</v>
      </c>
      <c r="DZ104" s="75">
        <f>VARP(IF(INDEX(Properties!A$1:CB$87,Formula!B104,41)&lt;&gt;"",INDEX(Properties!A$1:CB$87,Formula!B104,41)),IF(INDEX(Properties!A$1:CB$87,Formula!D104,41)&lt;&gt;"",INDEX(Properties!A$1:CB$87,Formula!D104,41)),IF(INDEX(Properties!A$1:CB$87,Formula!F104,41)&lt;&gt;"",INDEX(Properties!A$1:CB$87,Formula!F104,41)),IF(INDEX(Properties!A$1:CB$87,Formula!H104,41)&lt;&gt;"",INDEX(Properties!A$1:CB$87,Formula!H104,41)),IF(INDEX(Properties!A$1:CB$87,Formula!J104,41)&lt;&gt;"",INDEX(Properties!A$1:CB$87,Formula!J104,41)))</f>
        <v>0.30025600000000002</v>
      </c>
      <c r="EA104" s="75">
        <f>MAX(INDEX(Properties!A$1:CB$87,Formula!B104,41),INDEX(Properties!A$1:CB$87,Formula!D104,41),INDEX(Properties!A$1:CB$87,Formula!F104,41),INDEX(Properties!A$1:CB$87,Formula!H104,41),INDEX(Properties!A$1:CB$87,Formula!J104,41))</f>
        <v>1.26</v>
      </c>
      <c r="EB104" s="75">
        <f>MIN(IF(INDEX(Properties!A$1:CB$87,Formula!B104,41)=0,10^6,INDEX(Properties!A$1:CB$87,Formula!B104,41)),IF(INDEX(Properties!A$1:CB$87,Formula!D104,41)=0,10^6,INDEX(Properties!A$1:CB$87,Formula!D104,41)),IF(INDEX(Properties!A$1:CB$87,Formula!F104,41)=0,10^6,INDEX(Properties!A$1:CB$87,Formula!F104,41)),IF(INDEX(Properties!A$1:CB$87,Formula!H104,41)=0,10^6,INDEX(Properties!A$1:CB$87,Formula!H104,41)),IF(INDEX(Properties!A$1:CB$87,Formula!J104,41)=0,10^6,INDEX(Properties!A$1:CB$87,Formula!J104,41)))</f>
        <v>0.86</v>
      </c>
      <c r="EC104" s="75">
        <f t="shared" si="53"/>
        <v>0.4</v>
      </c>
      <c r="ED104" s="48">
        <f>((Formula!C104)/(Formula!C104+Formula!E104+Formula!G104+Formula!I104+Formula!K104))*(INDEX(Properties!A$1:CB$87,Formula!B104,45))+((Formula!E104)/(Formula!C104+Formula!E104+Formula!G104+Formula!I104+Formula!K104))*(INDEX(Properties!A$1:CB$87,Formula!D104,45))+((Formula!G104)/(Formula!C104+Formula!E104+Formula!G104+Formula!I104+Formula!K104))*(INDEX(Properties!A$1:CB$87,Formula!F104,45))+((Formula!I104)/(Formula!C104+Formula!E104+Formula!G104+Formula!I104+Formula!K104))*(INDEX(Properties!A$1:CB$87,Formula!H104,45))+((Formula!K104)/(Formula!C104+Formula!E104+Formula!G104+Formula!I104+Formula!K104))*(INDEX(Properties!A$1:CB$87,Formula!J104,45))</f>
        <v>1.4480000000000002</v>
      </c>
      <c r="EE104" s="48">
        <f>Formula!C104*(INDEX(Properties!A$1:CB$87,Formula!B104,45))+Formula!E104*(INDEX(Properties!A$1:CB$87,Formula!D104,45))+Formula!G104*(INDEX(Properties!A$1:CB$87,Formula!F104,45))+Formula!I104*(INDEX(Properties!A$1:CB$87,Formula!H104,45))+Formula!K104*(INDEX(Properties!A$1:CB$87,Formula!J104,45))</f>
        <v>7.24</v>
      </c>
      <c r="EF104" s="48">
        <f>VARP(IF(INDEX(Properties!A$1:CB$87,Formula!B104,45)&lt;&gt;"",INDEX(Properties!A$1:CB$87,Formula!B104,45)),IF(INDEX(Properties!A$1:CB$87,Formula!D104,45)&lt;&gt;"",INDEX(Properties!A$1:CB$87,Formula!D104,45)),IF(INDEX(Properties!A$1:CB$87,Formula!F104,45)&lt;&gt;"",INDEX(Properties!A$1:CB$87,Formula!F104,45)),IF(INDEX(Properties!A$1:CB$87,Formula!H104,45)&lt;&gt;"",INDEX(Properties!A$1:CB$87,Formula!H104,45)),IF(INDEX(Properties!A$1:CB$87,Formula!J104,45)&lt;&gt;"",INDEX(Properties!A$1:CB$87,Formula!J104,45)))</f>
        <v>1.8583600000000002</v>
      </c>
      <c r="EG104" s="48">
        <f>MAX(INDEX(Properties!A$1:CB$87,Formula!B104,45),INDEX(Properties!A$1:CB$87,Formula!D104,45),INDEX(Properties!A$1:CB$87,Formula!F104,45),INDEX(Properties!A$1:CB$87,Formula!H104,45),INDEX(Properties!A$1:CB$87,Formula!J104,45))</f>
        <v>3</v>
      </c>
      <c r="EH104" s="48">
        <f>MIN(IF(INDEX(Properties!A$1:CB$87,Formula!B104,45)=0,10^6,INDEX(Properties!A$1:CB$87,Formula!B104,45)),IF(INDEX(Properties!A$1:CB$87,Formula!D104,45)=0,10^6,INDEX(Properties!A$1:CB$87,Formula!D104,45)),IF(INDEX(Properties!A$1:CB$87,Formula!F104,45)=0,10^6,INDEX(Properties!A$1:CB$87,Formula!F104,45)),IF(INDEX(Properties!A$1:CB$87,Formula!H104,45)=0,10^6,INDEX(Properties!A$1:CB$87,Formula!H104,45)),IF(INDEX(Properties!A$1:CB$87,Formula!J104,45)=0,10^6,INDEX(Properties!A$1:CB$87,Formula!J104,45)))</f>
        <v>0.47</v>
      </c>
      <c r="EI104" s="48">
        <f t="shared" si="54"/>
        <v>2.5300000000000002</v>
      </c>
      <c r="EJ104" s="66">
        <f>((Formula!C104)/(Formula!C104+Formula!E104+Formula!G104+Formula!I104+Formula!K104))*(INDEX(Properties!A$1:CB$87,Formula!B104,46))+((Formula!E104)/(Formula!C104+Formula!E104+Formula!G104+Formula!I104+Formula!K104))*(INDEX(Properties!A$1:CB$87,Formula!D104,46))+((Formula!G104)/(Formula!C104+Formula!E104+Formula!G104+Formula!I104+Formula!K104))*(INDEX(Properties!A$1:CB$87,Formula!F104,46))+((Formula!I104)/(Formula!C104+Formula!E104+Formula!G104+Formula!I104+Formula!K104))*(INDEX(Properties!A$1:CB$87,Formula!H104,46))+((Formula!K104)/(Formula!C104+Formula!E104+Formula!G104+Formula!I104+Formula!K104))*(INDEX(Properties!A$1:CB$87,Formula!J104,46))</f>
        <v>1.1259999999999999</v>
      </c>
      <c r="EK104" s="66">
        <f>Formula!C104*(INDEX(Properties!A$1:CB$87,Formula!B104,46))+Formula!E104*(INDEX(Properties!A$1:CB$87,Formula!D104,46))+Formula!G104*(INDEX(Properties!A$1:CB$87,Formula!F104,46))+Formula!I104*(INDEX(Properties!A$1:CB$87,Formula!H104,46))+Formula!K104*(INDEX(Properties!A$1:CB$87,Formula!J104,46))</f>
        <v>5.63</v>
      </c>
      <c r="EL104" s="66">
        <f>VARP(IF(INDEX(Properties!A$1:CB$87,Formula!B104,46)&lt;&gt;"",INDEX(Properties!A$1:CB$87,Formula!B104,46)),IF(INDEX(Properties!A$1:CB$87,Formula!D104,46)&lt;&gt;"",INDEX(Properties!A$1:CB$87,Formula!D104,46)),IF(INDEX(Properties!A$1:CB$87,Formula!F104,46)&lt;&gt;"",INDEX(Properties!A$1:CB$87,Formula!F104,46)),IF(INDEX(Properties!A$1:CB$87,Formula!H104,46)&lt;&gt;"",INDEX(Properties!A$1:CB$87,Formula!H104,46)),IF(INDEX(Properties!A$1:CB$87,Formula!J104,46)&lt;&gt;"",INDEX(Properties!A$1:CB$87,Formula!J104,46)))</f>
        <v>0.28849599999999986</v>
      </c>
      <c r="EM104" s="66">
        <f>MAX(INDEX(Properties!A$1:CB$87,Formula!B104,46),INDEX(Properties!A$1:CB$87,Formula!D104,46),INDEX(Properties!A$1:CB$87,Formula!F104,46),INDEX(Properties!A$1:CB$87,Formula!H104,46),INDEX(Properties!A$1:CB$87,Formula!J104,46))</f>
        <v>1.21</v>
      </c>
      <c r="EN104" s="66">
        <f>MIN(IF(INDEX(Properties!A$1:CB$87,Formula!B104,46)=0,10^6,INDEX(Properties!A$1:CB$87,Formula!B104,46)),IF(INDEX(Properties!A$1:CB$87,Formula!D104,46)=0,10^6,INDEX(Properties!A$1:CB$87,Formula!D104,46)),IF(INDEX(Properties!A$1:CB$87,Formula!F104,46)=0,10^6,INDEX(Properties!A$1:CB$87,Formula!F104,46)),IF(INDEX(Properties!A$1:CB$87,Formula!H104,46)=0,10^6,INDEX(Properties!A$1:CB$87,Formula!H104,46)),IF(INDEX(Properties!A$1:CB$87,Formula!J104,46)=0,10^6,INDEX(Properties!A$1:CB$87,Formula!J104,46)))</f>
        <v>0.86</v>
      </c>
      <c r="EO104" s="66">
        <f t="shared" si="55"/>
        <v>0.35</v>
      </c>
      <c r="EP104" s="81">
        <f>((Formula!C104)/(Formula!C104+Formula!E104+Formula!G104+Formula!I104+Formula!K104))*(INDEX(Properties!A$1:CB$87,Formula!B104,52))+((Formula!E104)/(Formula!C104+Formula!E104+Formula!G104+Formula!I104+Formula!K104))*(INDEX(Properties!A$1:CB$87,Formula!D104,52))+((Formula!G104)/(Formula!C104+Formula!E104+Formula!G104+Formula!I104+Formula!K104))*(INDEX(Properties!A$1:CB$87,Formula!F104,52))+((Formula!I104)/(Formula!C104+Formula!E104+Formula!G104+Formula!I104+Formula!K104))*(INDEX(Properties!A$1:CB$87,Formula!H104,52))+((Formula!K104)/(Formula!C104+Formula!E104+Formula!G104+Formula!I104+Formula!K104))*(INDEX(Properties!A$1:CB$87,Formula!J104,52))</f>
        <v>8.6158000000000001</v>
      </c>
      <c r="EQ104" s="81">
        <f>Formula!C104*(INDEX(Properties!A$1:CB$87,Formula!B104,52))+Formula!E104*(INDEX(Properties!A$1:CB$87,Formula!D104,52))+Formula!G104*(INDEX(Properties!A$1:CB$87,Formula!F104,52))+Formula!I104*(INDEX(Properties!A$1:CB$87,Formula!H104,52))+Formula!K104*(INDEX(Properties!A$1:CB$87,Formula!J104,52))</f>
        <v>43.079000000000001</v>
      </c>
      <c r="ER104" s="81">
        <f>VARP(IF(INDEX(Properties!A$1:CB$87,Formula!B104,52)&lt;&gt;"",INDEX(Properties!A$1:CB$87,Formula!B104,52)),IF(INDEX(Properties!A$1:CB$87,Formula!D104,52)&lt;&gt;"",INDEX(Properties!A$1:CB$87,Formula!D104,52)),IF(INDEX(Properties!A$1:CB$87,Formula!F104,52)&lt;&gt;"",INDEX(Properties!A$1:CB$87,Formula!F104,52)),IF(INDEX(Properties!A$1:CB$87,Formula!H104,52)&lt;&gt;"",INDEX(Properties!A$1:CB$87,Formula!H104,52)),IF(INDEX(Properties!A$1:CB$87,Formula!J104,52)&lt;&gt;"",INDEX(Properties!A$1:CB$87,Formula!J104,52)))</f>
        <v>99.309007839999978</v>
      </c>
      <c r="ES104" s="81">
        <f>MAX(INDEX(Properties!A$1:CB$87,Formula!B104,52),INDEX(Properties!A$1:CB$87,Formula!D104,52),INDEX(Properties!A$1:CB$87,Formula!F104,52),INDEX(Properties!A$1:CB$87,Formula!H104,52),INDEX(Properties!A$1:CB$87,Formula!J104,52))</f>
        <v>22.8</v>
      </c>
      <c r="ET104" s="81">
        <f>MIN(IF(INDEX(Properties!A$1:CB$87,Formula!B104,52)=0,10^6,INDEX(Properties!A$1:CB$87,Formula!B104,52)),IF(INDEX(Properties!A$1:CB$87,Formula!D104,52)=0,10^6,INDEX(Properties!A$1:CB$87,Formula!D104,52)),IF(INDEX(Properties!A$1:CB$87,Formula!F104,52)=0,10^6,INDEX(Properties!A$1:CB$87,Formula!F104,52)),IF(INDEX(Properties!A$1:CB$87,Formula!H104,52)=0,10^6,INDEX(Properties!A$1:CB$87,Formula!H104,52)),IF(INDEX(Properties!A$1:CB$87,Formula!J104,52)=0,10^6,INDEX(Properties!A$1:CB$87,Formula!J104,52)))</f>
        <v>0.79300000000000004</v>
      </c>
      <c r="EU104" s="81">
        <f t="shared" si="56"/>
        <v>22.007000000000001</v>
      </c>
      <c r="EV104" s="39">
        <f>((Formula!C104)/(Formula!C104+Formula!E104+Formula!G104+Formula!I104+Formula!K104))*(INDEX(Properties!A$1:CB$87,Formula!B104,53))+((Formula!E104)/(Formula!C104+Formula!E104+Formula!G104+Formula!I104+Formula!K104))*(INDEX(Properties!A$1:CB$87,Formula!D104,53))+((Formula!G104)/(Formula!C104+Formula!E104+Formula!G104+Formula!I104+Formula!K104))*(INDEX(Properties!A$1:CB$87,Formula!F104,53))+((Formula!I104)/(Formula!C104+Formula!E104+Formula!G104+Formula!I104+Formula!K104))*(INDEX(Properties!A$1:CB$87,Formula!H104,53))+((Formula!K104)/(Formula!C104+Formula!E104+Formula!G104+Formula!I104+Formula!K104))*(INDEX(Properties!A$1:CB$87,Formula!J104,53))</f>
        <v>680.31000000000006</v>
      </c>
      <c r="EW104" s="39">
        <f>Formula!C104*(INDEX(Properties!A$1:CB$87,Formula!B104,53))+Formula!E104*(INDEX(Properties!A$1:CB$87,Formula!D104,53))+Formula!G104*(INDEX(Properties!A$1:CB$87,Formula!F104,53))+Formula!I104*(INDEX(Properties!A$1:CB$87,Formula!H104,53))+Formula!K104*(INDEX(Properties!A$1:CB$87,Formula!J104,53))</f>
        <v>3401.55</v>
      </c>
      <c r="EX104" s="39">
        <f>VARP(IF(INDEX(Properties!A$1:CB$87,Formula!B104,53)&lt;&gt;"",INDEX(Properties!A$1:CB$87,Formula!B104,53)),IF(INDEX(Properties!A$1:CB$87,Formula!D104,53)&lt;&gt;"",INDEX(Properties!A$1:CB$87,Formula!D104,53)),IF(INDEX(Properties!A$1:CB$87,Formula!F104,53)&lt;&gt;"",INDEX(Properties!A$1:CB$87,Formula!F104,53)),IF(INDEX(Properties!A$1:CB$87,Formula!H104,53)&lt;&gt;"",INDEX(Properties!A$1:CB$87,Formula!H104,53)),IF(INDEX(Properties!A$1:CB$87,Formula!J104,53)&lt;&gt;"",INDEX(Properties!A$1:CB$87,Formula!J104,53)))</f>
        <v>717723.81339999998</v>
      </c>
      <c r="EY104" s="39">
        <f>MAX(INDEX(Properties!A$1:CB$87,Formula!B104,53),INDEX(Properties!A$1:CB$87,Formula!D104,53),INDEX(Properties!A$1:CB$87,Formula!F104,53),INDEX(Properties!A$1:CB$87,Formula!H104,53),INDEX(Properties!A$1:CB$87,Formula!J104,53))</f>
        <v>2125.15</v>
      </c>
      <c r="EZ104" s="39">
        <f>MIN(IF(INDEX(Properties!A$1:CB$87,Formula!B104,53)=0,10^6,INDEX(Properties!A$1:CB$87,Formula!B104,53)),IF(INDEX(Properties!A$1:CB$87,Formula!D104,53)=0,10^6,INDEX(Properties!A$1:CB$87,Formula!D104,53)),IF(INDEX(Properties!A$1:CB$87,Formula!F104,53)=0,10^6,INDEX(Properties!A$1:CB$87,Formula!F104,53)),IF(INDEX(Properties!A$1:CB$87,Formula!H104,53)=0,10^6,INDEX(Properties!A$1:CB$87,Formula!H104,53)),IF(INDEX(Properties!A$1:CB$87,Formula!J104,53)=0,10^6,INDEX(Properties!A$1:CB$87,Formula!J104,53)))</f>
        <v>54.749999999999972</v>
      </c>
      <c r="FA104" s="39">
        <f t="shared" si="57"/>
        <v>2070.4</v>
      </c>
      <c r="FB104" s="54">
        <f>((Formula!C104)/(Formula!C104+Formula!E104+Formula!G104+Formula!I104+Formula!K104))*(INDEX(Properties!A$1:CB$87,Formula!B104,54))+((Formula!E104)/(Formula!C104+Formula!E104+Formula!G104+Formula!I104+Formula!K104))*(INDEX(Properties!A$1:CB$87,Formula!D104,54))+((Formula!G104)/(Formula!C104+Formula!E104+Formula!G104+Formula!I104+Formula!K104))*(INDEX(Properties!A$1:CB$87,Formula!F104,54))+((Formula!I104)/(Formula!C104+Formula!E104+Formula!G104+Formula!I104+Formula!K104))*(INDEX(Properties!A$1:CB$87,Formula!H104,54))+((Formula!K104)/(Formula!C104+Formula!E104+Formula!G104+Formula!I104+Formula!K104))*(INDEX(Properties!A$1:CB$87,Formula!J104,54))</f>
        <v>1335.55</v>
      </c>
      <c r="FC104" s="54">
        <f>Formula!C104*(INDEX(Properties!A$1:CB$87,Formula!B104,54))+Formula!E104*(INDEX(Properties!A$1:CB$87,Formula!D104,54))+Formula!G104*(INDEX(Properties!A$1:CB$87,Formula!F104,54))+Formula!I104*(INDEX(Properties!A$1:CB$87,Formula!H104,54))+Formula!K104*(INDEX(Properties!A$1:CB$87,Formula!J104,54))</f>
        <v>6677.7499999999991</v>
      </c>
      <c r="FD104" s="54">
        <f>VARP(IF(INDEX(Properties!A$1:CB$87,Formula!B104,54)&lt;&gt;"",INDEX(Properties!A$1:CB$87,Formula!B104,54)),IF(INDEX(Properties!A$1:CB$87,Formula!D104,54)&lt;&gt;"",INDEX(Properties!A$1:CB$87,Formula!D104,54)),IF(INDEX(Properties!A$1:CB$87,Formula!F104,54)&lt;&gt;"",INDEX(Properties!A$1:CB$87,Formula!F104,54)),IF(INDEX(Properties!A$1:CB$87,Formula!H104,54)&lt;&gt;"",INDEX(Properties!A$1:CB$87,Formula!H104,54)),IF(INDEX(Properties!A$1:CB$87,Formula!J104,54)&lt;&gt;"",INDEX(Properties!A$1:CB$87,Formula!J104,54)))</f>
        <v>3255245.3733999999</v>
      </c>
      <c r="FE104" s="54">
        <f>MAX(INDEX(Properties!A$1:CB$87,Formula!B104,54),INDEX(Properties!A$1:CB$87,Formula!D104,54),INDEX(Properties!A$1:CB$87,Formula!F104,54),INDEX(Properties!A$1:CB$87,Formula!H104,54),INDEX(Properties!A$1:CB$87,Formula!J104,54))</f>
        <v>4650.1499999999996</v>
      </c>
      <c r="FF104" s="54">
        <f>MIN(IF(INDEX(Properties!A$1:CB$87,Formula!B104,54)=0,10^6,INDEX(Properties!A$1:CB$87,Formula!B104,54)),IF(INDEX(Properties!A$1:CB$87,Formula!D104,54)=0,10^6,INDEX(Properties!A$1:CB$87,Formula!D104,54)),IF(INDEX(Properties!A$1:CB$87,Formula!F104,54)=0,10^6,INDEX(Properties!A$1:CB$87,Formula!F104,54)),IF(INDEX(Properties!A$1:CB$87,Formula!H104,54)=0,10^6,INDEX(Properties!A$1:CB$87,Formula!H104,54)),IF(INDEX(Properties!A$1:CB$87,Formula!J104,54)=0,10^6,INDEX(Properties!A$1:CB$87,Formula!J104,54)))</f>
        <v>90.149999999999977</v>
      </c>
      <c r="FG104" s="54">
        <f t="shared" si="58"/>
        <v>4560</v>
      </c>
      <c r="FH104" s="69">
        <f>((Formula!C104)/(Formula!C104+Formula!E104+Formula!G104+Formula!I104+Formula!K104))*(INDEX(Properties!A$1:CB$87,Formula!B104,55))+((Formula!E104)/(Formula!C104+Formula!E104+Formula!G104+Formula!I104+Formula!K104))*(INDEX(Properties!A$1:CB$87,Formula!D104,55))+((Formula!G104)/(Formula!C104+Formula!E104+Formula!G104+Formula!I104+Formula!K104))*(INDEX(Properties!A$1:CB$87,Formula!F104,55))+((Formula!I104)/(Formula!C104+Formula!E104+Formula!G104+Formula!I104+Formula!K104))*(INDEX(Properties!A$1:CB$87,Formula!H104,55))+((Formula!K104)/(Formula!C104+Formula!E104+Formula!G104+Formula!I104+Formula!K104))*(INDEX(Properties!A$1:CB$87,Formula!J104,55))</f>
        <v>1.6128580000000001</v>
      </c>
      <c r="FI104" s="69">
        <f>Formula!C104*(INDEX(Properties!A$1:CB$87,Formula!B104,55))+Formula!E104*(INDEX(Properties!A$1:CB$87,Formula!D104,54))+Formula!G104*(INDEX(Properties!A$1:CB$87,Formula!F104,55))+Formula!I104*(INDEX(Properties!A$1:CB$87,Formula!H104,55))+Formula!K104*(INDEX(Properties!A$1:CB$87,Formula!J104,55))</f>
        <v>4651.7042899999997</v>
      </c>
      <c r="FJ104" s="69">
        <f>VARP(IF(INDEX(Properties!A$1:CB$87,Formula!B104,55)&lt;&gt;"",INDEX(Properties!A$1:CB$87,Formula!B104,55)),IF(INDEX(Properties!A$1:CB$87,Formula!D104,55)&lt;&gt;"",INDEX(Properties!A$1:CB$87,Formula!D104,55)),IF(INDEX(Properties!A$1:CB$87,Formula!F104,55)&lt;&gt;"",INDEX(Properties!A$1:CB$87,Formula!F104,55)),IF(INDEX(Properties!A$1:CB$87,Formula!H104,55)&lt;&gt;"",INDEX(Properties!A$1:CB$87,Formula!H104,55)),IF(INDEX(Properties!A$1:CB$87,Formula!J104,55)&lt;&gt;"",INDEX(Properties!A$1:CB$87,Formula!J104,55)))</f>
        <v>6.3570542631839997</v>
      </c>
      <c r="FK104" s="69">
        <f>MAX(INDEX(Properties!A$1:CB$87,Formula!B104,55),INDEX(Properties!A$1:CB$87,Formula!D104,55),INDEX(Properties!A$1:CB$87,Formula!F104,55),INDEX(Properties!A$1:CB$87,Formula!H104,55),INDEX(Properties!A$1:CB$87,Formula!J104,55))</f>
        <v>6.51</v>
      </c>
      <c r="FL104" s="69">
        <f>MIN(IF(INDEX(Properties!A$1:CB$87,Formula!B104,55)=0,10^6,INDEX(Properties!A$1:CB$87,Formula!B104,55)),IF(INDEX(Properties!A$1:CB$87,Formula!D104,55)=0,10^6,INDEX(Properties!A$1:CB$87,Formula!D104,55)),IF(INDEX(Properties!A$1:CB$87,Formula!F104,55)=0,10^6,INDEX(Properties!A$1:CB$87,Formula!F104,55)),IF(INDEX(Properties!A$1:CB$87,Formula!H104,55)=0,10^6,INDEX(Properties!A$1:CB$87,Formula!H104,55)),IF(INDEX(Properties!A$1:CB$87,Formula!J104,55)=0,10^6,INDEX(Properties!A$1:CB$87,Formula!J104,55)))</f>
        <v>1.4300000000000001E-3</v>
      </c>
      <c r="FM104" s="69">
        <f t="shared" si="59"/>
        <v>6.5085699999999997</v>
      </c>
      <c r="FN104" s="42">
        <f>((Formula!C104)/(Formula!C104+Formula!E104+Formula!G104+Formula!I104+Formula!K104))*(INDEX(Properties!A$1:CB$87,Formula!B104,56))+((Formula!E104)/(Formula!C104+Formula!E104+Formula!G104+Formula!I104+Formula!K104))*(INDEX(Properties!A$1:CB$87,Formula!D104,56))+((Formula!G104)/(Formula!C104+Formula!E104+Formula!G104+Formula!I104+Formula!K104))*(INDEX(Properties!A$1:CB$87,Formula!F104,56))+((Formula!I104)/(Formula!C104+Formula!E104+Formula!G104+Formula!I104+Formula!K104))*(INDEX(Properties!A$1:CB$87,Formula!H104,56))+((Formula!K104)/(Formula!C104+Formula!E104+Formula!G104+Formula!I104+Formula!K104))*(INDEX(Properties!A$1:CB$87,Formula!J104,56))</f>
        <v>0.73199999999999998</v>
      </c>
      <c r="FO104" s="42">
        <f>Formula!C104*(INDEX(Properties!A$1:CB$87,Formula!B104,56))+Formula!E104*(INDEX(Properties!A$1:CB$87,Formula!D104,56))+Formula!G104*(INDEX(Properties!A$1:CB$87,Formula!F104,56))+Formula!I104*(INDEX(Properties!A$1:CB$87,Formula!H104,56))+Formula!K104*(INDEX(Properties!A$1:CB$87,Formula!J104,56))</f>
        <v>3.66</v>
      </c>
      <c r="FP104" s="42">
        <f>VARP(IF(INDEX(Properties!A$1:CB$87,Formula!B104,56)&lt;&gt;"",INDEX(Properties!A$1:CB$87,Formula!B104,56)),IF(INDEX(Properties!A$1:CB$87,Formula!D104,56)&lt;&gt;"",INDEX(Properties!A$1:CB$87,Formula!D104,56)),IF(INDEX(Properties!A$1:CB$87,Formula!F104,56)&lt;&gt;"",INDEX(Properties!A$1:CB$87,Formula!F104,56)),IF(INDEX(Properties!A$1:CB$87,Formula!H104,56)&lt;&gt;"",INDEX(Properties!A$1:CB$87,Formula!H104,56)),IF(INDEX(Properties!A$1:CB$87,Formula!J104,56)&lt;&gt;"",INDEX(Properties!A$1:CB$87,Formula!J104,56)))</f>
        <v>0.130744</v>
      </c>
      <c r="FQ104" s="42">
        <f>MAX(INDEX(Properties!A$1:CB$87,Formula!B104,56),INDEX(Properties!A$1:CB$87,Formula!D104,56),INDEX(Properties!A$1:CB$87,Formula!F104,56),INDEX(Properties!A$1:CB$87,Formula!H104,56),INDEX(Properties!A$1:CB$87,Formula!J104,56))</f>
        <v>0.92</v>
      </c>
      <c r="FR104" s="42">
        <f>MIN(IF(INDEX(Properties!A$1:CB$87,Formula!B104,56)=0,10^6,INDEX(Properties!A$1:CB$87,Formula!B104,56)),IF(INDEX(Properties!A$1:CB$87,Formula!D104,56)=0,10^6,INDEX(Properties!A$1:CB$87,Formula!D104,56)),IF(INDEX(Properties!A$1:CB$87,Formula!F104,56)=0,10^6,INDEX(Properties!A$1:CB$87,Formula!F104,56)),IF(INDEX(Properties!A$1:CB$87,Formula!H104,56)=0,10^6,INDEX(Properties!A$1:CB$87,Formula!H104,56)),IF(INDEX(Properties!A$1:CB$87,Formula!J104,56)=0,10^6,INDEX(Properties!A$1:CB$87,Formula!J104,56)))</f>
        <v>0.27</v>
      </c>
      <c r="FS104" s="42">
        <f t="shared" si="60"/>
        <v>0.65</v>
      </c>
      <c r="FT104" s="60">
        <f>((Formula!C104)/(Formula!C104+Formula!E104+Formula!G104+Formula!I104+Formula!K104))*(INDEX(Properties!A$1:CB$87,Formula!B104,57))+((Formula!E104)/(Formula!C104+Formula!E104+Formula!G104+Formula!I104+Formula!K104))*(INDEX(Properties!A$1:CB$87,Formula!D104,57))+((Formula!G104)/(Formula!C104+Formula!E104+Formula!G104+Formula!I104+Formula!K104))*(INDEX(Properties!A$1:CB$87,Formula!F104,57))+((Formula!I104)/(Formula!C104+Formula!E104+Formula!G104+Formula!I104+Formula!K104))*(INDEX(Properties!A$1:CB$87,Formula!H104,57))+((Formula!K104)/(Formula!C104+Formula!E104+Formula!G104+Formula!I104+Formula!K104))*(INDEX(Properties!A$1:CB$87,Formula!J104,57))</f>
        <v>5.2215540000000003</v>
      </c>
      <c r="FU104" s="60">
        <f>Formula!C104*(INDEX(Properties!A$1:CB$87,Formula!B104,57))+Formula!E104*(INDEX(Properties!A$1:CB$87,Formula!D104,57))+Formula!G104*(INDEX(Properties!A$1:CB$87,Formula!F104,57))+Formula!I104*(INDEX(Properties!A$1:CB$87,Formula!H104,57))+Formula!K104*(INDEX(Properties!A$1:CB$87,Formula!J104,57))</f>
        <v>26.107769999999999</v>
      </c>
      <c r="FV104" s="60">
        <f>VARP(IF(INDEX(Properties!A$1:CB$87,Formula!B104,57)&lt;&gt;"",INDEX(Properties!A$1:CB$87,Formula!B104,57)),IF(INDEX(Properties!A$1:CB$87,Formula!D104,57)&lt;&gt;"",INDEX(Properties!A$1:CB$87,Formula!D104,57)),IF(INDEX(Properties!A$1:CB$87,Formula!F104,57)&lt;&gt;"",INDEX(Properties!A$1:CB$87,Formula!F104,57)),IF(INDEX(Properties!A$1:CB$87,Formula!H104,57)&lt;&gt;"",INDEX(Properties!A$1:CB$87,Formula!H104,57)),IF(INDEX(Properties!A$1:CB$87,Formula!J104,57)&lt;&gt;"",INDEX(Properties!A$1:CB$87,Formula!J104,57)))</f>
        <v>45.37548824129599</v>
      </c>
      <c r="FW104" s="60">
        <f>MAX(INDEX(Properties!A$1:CB$87,Formula!B104,57),INDEX(Properties!A$1:CB$87,Formula!D104,57),INDEX(Properties!A$1:CB$87,Formula!F104,57),INDEX(Properties!A$1:CB$87,Formula!H104,57),INDEX(Properties!A$1:CB$87,Formula!J104,57))</f>
        <v>16.899999999999999</v>
      </c>
      <c r="FX104" s="60">
        <f>MIN(IF(INDEX(Properties!A$1:CB$87,Formula!B104,57)=0,10^6,INDEX(Properties!A$1:CB$87,Formula!B104,57)),IF(INDEX(Properties!A$1:CB$87,Formula!D104,57)=0,10^6,INDEX(Properties!A$1:CB$87,Formula!D104,57)),IF(INDEX(Properties!A$1:CB$87,Formula!F104,57)=0,10^6,INDEX(Properties!A$1:CB$87,Formula!F104,57)),IF(INDEX(Properties!A$1:CB$87,Formula!H104,57)=0,10^6,INDEX(Properties!A$1:CB$87,Formula!H104,57)),IF(INDEX(Properties!A$1:CB$87,Formula!J104,57)=0,10^6,INDEX(Properties!A$1:CB$87,Formula!J104,57)))</f>
        <v>0.22259000000000001</v>
      </c>
      <c r="FY104" s="60">
        <f t="shared" si="61"/>
        <v>16.677409999999998</v>
      </c>
      <c r="FZ104" s="72">
        <f>((Formula!C104)/(Formula!C104+Formula!E104+Formula!G104+Formula!I104+Formula!K104))*(INDEX(Properties!A$1:CB$87,Formula!B104,60))+((Formula!E104)/(Formula!C104+Formula!E104+Formula!G104+Formula!I104+Formula!K104))*(INDEX(Properties!A$1:CB$87,Formula!D104,60))+((Formula!G104)/(Formula!C104+Formula!E104+Formula!G104+Formula!I104+Formula!K104))*(INDEX(Properties!A$1:CB$87,Formula!F104,60))+((Formula!I104)/(Formula!C104+Formula!E104+Formula!G104+Formula!I104+Formula!K104))*(INDEX(Properties!A$1:CB$87,Formula!H104,60))+((Formula!K104)/(Formula!C104+Formula!E104+Formula!G104+Formula!I104+Formula!K104))*(INDEX(Properties!A$1:CB$87,Formula!J104,60))</f>
        <v>44.556044</v>
      </c>
      <c r="GA104" s="72">
        <f>Formula!C104*(INDEX(Properties!A$1:CB$87,Formula!B104,60))+Formula!E104*(INDEX(Properties!A$1:CB$87,Formula!D104,60))+Formula!G104*(INDEX(Properties!A$1:CB$87,Formula!F104,60))+Formula!I104*(INDEX(Properties!A$1:CB$87,Formula!H104,60))+Formula!K104*(INDEX(Properties!A$1:CB$87,Formula!J104,60))</f>
        <v>222.78021999999999</v>
      </c>
      <c r="GB104" s="72">
        <f>VARP(IF(INDEX(Properties!A$1:CB$87,Formula!B104,60)&lt;&gt;"",INDEX(Properties!A$1:CB$87,Formula!B104,60)),IF(INDEX(Properties!A$1:CB$87,Formula!D104,60)&lt;&gt;"",INDEX(Properties!A$1:CB$87,Formula!D104,60)),IF(INDEX(Properties!A$1:CB$87,Formula!F104,60)&lt;&gt;"",INDEX(Properties!A$1:CB$87,Formula!F104,60)),IF(INDEX(Properties!A$1:CB$87,Formula!H104,60)&lt;&gt;"",INDEX(Properties!A$1:CB$87,Formula!H104,60)),IF(INDEX(Properties!A$1:CB$87,Formula!J104,60)&lt;&gt;"",INDEX(Properties!A$1:CB$87,Formula!J104,60)))</f>
        <v>6118.770114564416</v>
      </c>
      <c r="GC104" s="72">
        <f>MAX(INDEX(Properties!A$1:CB$87,Formula!B104,60),INDEX(Properties!A$1:CB$87,Formula!D104,60),INDEX(Properties!A$1:CB$87,Formula!F104,60),INDEX(Properties!A$1:CB$87,Formula!H104,60),INDEX(Properties!A$1:CB$87,Formula!J104,60))</f>
        <v>200</v>
      </c>
      <c r="GD104" s="72">
        <f>MIN(IF(INDEX(Properties!A$1:CB$87,Formula!B104,60)=0,10^6,INDEX(Properties!A$1:CB$87,Formula!B104,60)),IF(INDEX(Properties!A$1:CB$87,Formula!D104,60)=0,10^6,INDEX(Properties!A$1:CB$87,Formula!D104,60)),IF(INDEX(Properties!A$1:CB$87,Formula!F104,60)=0,10^6,INDEX(Properties!A$1:CB$87,Formula!F104,60)),IF(INDEX(Properties!A$1:CB$87,Formula!H104,60)=0,10^6,INDEX(Properties!A$1:CB$87,Formula!H104,60)),IF(INDEX(Properties!A$1:CB$87,Formula!J104,60)=0,10^6,INDEX(Properties!A$1:CB$87,Formula!J104,60)))</f>
        <v>2.674E-2</v>
      </c>
      <c r="GE104" s="72">
        <f t="shared" si="62"/>
        <v>199.97326000000001</v>
      </c>
      <c r="GF104" s="51">
        <f>((Formula!C104)/(Formula!C104+Formula!E104+Formula!G104+Formula!I104+Formula!K104))*(INDEX(Properties!A$1:CB$87,Formula!B104,62))+((Formula!E104)/(Formula!C104+Formula!E104+Formula!G104+Formula!I104+Formula!K104))*(INDEX(Properties!A$1:CB$87,Formula!D104,62))+((Formula!G104)/(Formula!C104+Formula!E104+Formula!G104+Formula!I104+Formula!K104))*(INDEX(Properties!A$1:CB$87,Formula!F104,62))+((Formula!I104)/(Formula!C104+Formula!E104+Formula!G104+Formula!I104+Formula!K104))*(INDEX(Properties!A$1:CB$87,Formula!H104,62))+((Formula!K104)/(Formula!C104+Formula!E104+Formula!G104+Formula!I104+Formula!K104))*(INDEX(Properties!A$1:CB$87,Formula!J104,62))</f>
        <v>3.1900000000000004</v>
      </c>
      <c r="GG104" s="51">
        <f>Formula!C104*(INDEX(Properties!A$1:CB$87,Formula!B104,62))+Formula!E104*(INDEX(Properties!A$1:CB$87,Formula!D104,62))+Formula!G104*(INDEX(Properties!A$1:CB$87,Formula!F104,62))+Formula!I104*(INDEX(Properties!A$1:CB$87,Formula!H104,62))+Formula!K104*(INDEX(Properties!A$1:CB$87,Formula!J104,62))</f>
        <v>15.95</v>
      </c>
      <c r="GH104" s="51">
        <f>VARP(IF(INDEX(Properties!A$1:CB$87,Formula!B104,62)&lt;&gt;"",INDEX(Properties!A$1:CB$87,Formula!B104,62)),IF(INDEX(Properties!A$1:CB$87,Formula!D104,62)&lt;&gt;"",INDEX(Properties!A$1:CB$87,Formula!D104,62)),IF(INDEX(Properties!A$1:CB$87,Formula!F104,62)&lt;&gt;"",INDEX(Properties!A$1:CB$87,Formula!F104,62)),IF(INDEX(Properties!A$1:CB$87,Formula!H104,62)&lt;&gt;"",INDEX(Properties!A$1:CB$87,Formula!H104,62)),IF(INDEX(Properties!A$1:CB$87,Formula!J104,62)&lt;&gt;"",INDEX(Properties!A$1:CB$87,Formula!J104,62)))</f>
        <v>5.2743359999999981</v>
      </c>
      <c r="GI104" s="51">
        <f>MAX(INDEX(Properties!A$1:CB$87,Formula!B104,62),INDEX(Properties!A$1:CB$87,Formula!D104,62),INDEX(Properties!A$1:CB$87,Formula!F104,62),INDEX(Properties!A$1:CB$87,Formula!H104,62),INDEX(Properties!A$1:CB$87,Formula!J104,62))</f>
        <v>6.25</v>
      </c>
      <c r="GJ104" s="51">
        <f>MIN(IF(INDEX(Properties!A$1:CB$87,Formula!B104,62)=0,10^6,INDEX(Properties!A$1:CB$87,Formula!B104,62)),IF(INDEX(Properties!A$1:CB$87,Formula!D104,62)=0,10^6,INDEX(Properties!A$1:CB$87,Formula!D104,62)),IF(INDEX(Properties!A$1:CB$87,Formula!F104,62)=0,10^6,INDEX(Properties!A$1:CB$87,Formula!F104,62)),IF(INDEX(Properties!A$1:CB$87,Formula!H104,62)=0,10^6,INDEX(Properties!A$1:CB$87,Formula!H104,62)),IF(INDEX(Properties!A$1:CB$87,Formula!J104,62)=0,10^6,INDEX(Properties!A$1:CB$87,Formula!J104,62)))</f>
        <v>1.84</v>
      </c>
      <c r="GK104" s="51">
        <f t="shared" si="63"/>
        <v>4.41</v>
      </c>
      <c r="GL104" s="51">
        <f>Formula!P104</f>
        <v>62</v>
      </c>
      <c r="GM104" s="57">
        <f>Formula!O104</f>
        <v>3</v>
      </c>
      <c r="GN104" s="51">
        <f>Formula!N104</f>
        <v>0.09</v>
      </c>
    </row>
    <row r="105" spans="1:196" x14ac:dyDescent="0.3">
      <c r="A105" s="84" t="str">
        <f>Formula!A105</f>
        <v>Bi2O2CO3</v>
      </c>
      <c r="B105" s="89">
        <f>((Formula!C105)/(Formula!C105+Formula!E105+Formula!G105+Formula!I105+Formula!K105))*(INDEX(Properties!A$1:CB$87,Formula!B105,3))+((Formula!E105)/(Formula!C105+Formula!E105+Formula!G105+Formula!I105+Formula!K105))*(INDEX(Properties!A$1:CB$87,Formula!D105,3))+((Formula!G105)/(Formula!C105+Formula!E105+Formula!G105+Formula!I105+Formula!K105))*(INDEX(Properties!A$1:CB$87,Formula!F105,3))+((Formula!I105)/(Formula!C105+Formula!E105+Formula!G105+Formula!I105+Formula!K105))*(INDEX(Properties!A$1:CB$87,Formula!H105,3))+((Formula!K105)/(Formula!C105+Formula!E105+Formula!G105+Formula!I105+Formula!K105))*(INDEX(Properties!A$1:CB$87,Formula!J105,3))</f>
        <v>63.746092500000003</v>
      </c>
      <c r="C105" s="85">
        <f>Formula!C105*(INDEX(Properties!A$1:CB$87,Formula!B105,3))+Formula!E105*(INDEX(Properties!A$1:CB$87,Formula!D105,3))+Formula!G105*(INDEX(Properties!A$1:CB$87,Formula!F105,3))+Formula!I105*(INDEX(Properties!A$1:CB$87,Formula!H105,3))+Formula!K105*(INDEX(Properties!A$1:CB$87,Formula!J105,3))</f>
        <v>509.96874000000003</v>
      </c>
      <c r="D105" s="85">
        <f>VARP(IF(INDEX(Properties!A$1:CB$87,Formula!B105,3)&lt;&gt;"",INDEX(Properties!A$1:CB$87,Formula!B105,3)),IF(INDEX(Properties!A$1:CB$87,Formula!D105,3)&lt;&gt;"",INDEX(Properties!A$1:CB$87,Formula!D105,3)),IF(INDEX(Properties!A$1:CB$87,Formula!F105,3)&lt;&gt;"",INDEX(Properties!A$1:CB$87,Formula!F105,3)),IF(INDEX(Properties!A$1:CB$87,Formula!H105,3)&lt;&gt;"",INDEX(Properties!A$1:CB$87,Formula!H105,3)),IF(INDEX(Properties!A$1:CB$87,Formula!J105,3)&lt;&gt;"",INDEX(Properties!A$1:CB$87,Formula!J105,3)))</f>
        <v>6568.0229907316634</v>
      </c>
      <c r="E105" s="85">
        <f>MAX(INDEX(Properties!A$1:CB$87,Formula!B105,3),INDEX(Properties!A$1:CB$87,Formula!D105,3),INDEX(Properties!A$1:CB$87,Formula!F105,3),INDEX(Properties!A$1:CB$87,Formula!H105,3),INDEX(Properties!A$1:CB$87,Formula!J105,3))</f>
        <v>208.98036999999999</v>
      </c>
      <c r="F105" s="85">
        <f>MIN(IF(INDEX(Properties!A$1:CB$87,Formula!B105,3)=0,10^6,INDEX(Properties!A$1:CB$87,Formula!B105,3)),IF(INDEX(Properties!A$1:CB$87,Formula!D105,3)=0,10^6,INDEX(Properties!A$1:CB$87,Formula!D105,3)),IF(INDEX(Properties!A$1:CB$87,Formula!F105,3)=0,10^6,INDEX(Properties!A$1:CB$87,Formula!F105,3)),IF(INDEX(Properties!A$1:CB$87,Formula!H105,3)=0,10^6,INDEX(Properties!A$1:CB$87,Formula!H105,3)),IF(INDEX(Properties!A$1:CB$87,Formula!J105,3)=0,10^6,INDEX(Properties!A$1:CB$87,Formula!J105,3)))</f>
        <v>12.010999999999999</v>
      </c>
      <c r="G105" s="85">
        <f t="shared" si="32"/>
        <v>196.96937</v>
      </c>
      <c r="H105" s="87">
        <f>((Formula!C105)/(Formula!C105+Formula!E105+Formula!G105+Formula!I105+Formula!K105))*(INDEX(Properties!A$1:CB$87,Formula!B105,4))+((Formula!E105)/(Formula!C105+Formula!E105+Formula!G105+Formula!I105+Formula!K105))*(INDEX(Properties!A$1:CB$87,Formula!D105,4))+((Formula!G105)/(Formula!C105+Formula!E105+Formula!G105+Formula!I105+Formula!K105))*(INDEX(Properties!A$1:CB$87,Formula!F105,4))+((Formula!I105)/(Formula!C105+Formula!E105+Formula!G105+Formula!I105+Formula!K105))*(INDEX(Properties!A$1:CB$87,Formula!H105,4))+((Formula!K105)/(Formula!C105+Formula!E105+Formula!G105+Formula!I105+Formula!K105))*(INDEX(Properties!A$1:CB$87,Formula!J105,4))</f>
        <v>26.5</v>
      </c>
      <c r="I105" s="87">
        <f>Formula!C105*(INDEX(Properties!A$1:CB$87,Formula!B105,4))+Formula!E105*(INDEX(Properties!A$1:CB$87,Formula!D105,4))+Formula!G105*(INDEX(Properties!A$1:CB$87,Formula!F105,4))+Formula!I105*(INDEX(Properties!A$1:CB$87,Formula!H105,4))+Formula!K105*(INDEX(Properties!A$1:CB$87,Formula!J105,4))</f>
        <v>212</v>
      </c>
      <c r="J105" s="87">
        <f>VARP(IF(INDEX(Properties!A$1:CB$87,Formula!B105,4)&lt;&gt;"",INDEX(Properties!A$1:CB$87,Formula!B105,4)),IF(INDEX(Properties!A$1:CB$87,Formula!D105,4)&lt;&gt;"",INDEX(Properties!A$1:CB$87,Formula!D105,4)),IF(INDEX(Properties!A$1:CB$87,Formula!F105,4)&lt;&gt;"",INDEX(Properties!A$1:CB$87,Formula!F105,4)),IF(INDEX(Properties!A$1:CB$87,Formula!H105,4)&lt;&gt;"",INDEX(Properties!A$1:CB$87,Formula!H105,4)),IF(INDEX(Properties!A$1:CB$87,Formula!J105,4)&lt;&gt;"",INDEX(Properties!A$1:CB$87,Formula!J105,4)))</f>
        <v>1021.44</v>
      </c>
      <c r="K105" s="87">
        <f>MAX(INDEX(Properties!A$1:CB$87,Formula!B105,4),INDEX(Properties!A$1:CB$87,Formula!D105,4),INDEX(Properties!A$1:CB$87,Formula!F105,4),INDEX(Properties!A$1:CB$87,Formula!H105,4),INDEX(Properties!A$1:CB$87,Formula!J105,4))</f>
        <v>83</v>
      </c>
      <c r="L105" s="87">
        <f>MIN(IF(INDEX(Properties!A$1:CB$87,Formula!B105,4)=0,10^6,INDEX(Properties!A$1:CB$87,Formula!B105,4)),IF(INDEX(Properties!A$1:CB$87,Formula!D105,4)=0,10^6,INDEX(Properties!A$1:CB$87,Formula!D105,4)),IF(INDEX(Properties!A$1:CB$87,Formula!F105,4)=0,10^6,INDEX(Properties!A$1:CB$87,Formula!F105,4)),IF(INDEX(Properties!A$1:CB$87,Formula!H105,4)=0,10^6,INDEX(Properties!A$1:CB$87,Formula!H105,4)),IF(INDEX(Properties!A$1:CB$87,Formula!J105,4)=0,10^6,INDEX(Properties!A$1:CB$87,Formula!J105,4)))</f>
        <v>6</v>
      </c>
      <c r="M105" s="87">
        <f t="shared" si="33"/>
        <v>77</v>
      </c>
      <c r="N105" s="89">
        <f>((Formula!C105)/(Formula!C105+Formula!E105+Formula!G105+Formula!I105+Formula!K105))*(INDEX(Properties!A$1:CB$87,Formula!B105,5))+((Formula!E105)/(Formula!C105+Formula!E105+Formula!G105+Formula!I105+Formula!K105))*(INDEX(Properties!A$1:CB$87,Formula!D105,5))+((Formula!G105)/(Formula!C105+Formula!E105+Formula!G105+Formula!I105+Formula!K105))*(INDEX(Properties!A$1:CB$87,Formula!F105,5))+((Formula!I105)/(Formula!C105+Formula!E105+Formula!G105+Formula!I105+Formula!K105))*(INDEX(Properties!A$1:CB$87,Formula!H105,5))+((Formula!K105)/(Formula!C105+Formula!E105+Formula!G105+Formula!I105+Formula!K105))*(INDEX(Properties!A$1:CB$87,Formula!J105,5))</f>
        <v>3</v>
      </c>
      <c r="O105" s="89">
        <f>Formula!C105*(INDEX(Properties!A$1:CB$87,Formula!B105,5))+Formula!E105*(INDEX(Properties!A$1:CB$87,Formula!D105,5))+Formula!G105*(INDEX(Properties!A$1:CB$87,Formula!F105,5))+Formula!I105*(INDEX(Properties!A$1:CB$87,Formula!H105,5))+Formula!K105*(INDEX(Properties!A$1:CB$87,Formula!J105,5))</f>
        <v>24</v>
      </c>
      <c r="P105" s="89">
        <f>VARP(IF(INDEX(Properties!A$1:CB$87,Formula!B105,5)&lt;&gt;"",INDEX(Properties!A$1:CB$87,Formula!B105,5)),IF(INDEX(Properties!A$1:CB$87,Formula!D105,5)&lt;&gt;"",INDEX(Properties!A$1:CB$87,Formula!D105,5)),IF(INDEX(Properties!A$1:CB$87,Formula!F105,5)&lt;&gt;"",INDEX(Properties!A$1:CB$87,Formula!F105,5)),IF(INDEX(Properties!A$1:CB$87,Formula!H105,5)&lt;&gt;"",INDEX(Properties!A$1:CB$87,Formula!H105,5)),IF(INDEX(Properties!A$1:CB$87,Formula!J105,5)&lt;&gt;"",INDEX(Properties!A$1:CB$87,Formula!J105,5)))</f>
        <v>4.8</v>
      </c>
      <c r="Q105" s="89">
        <f>MAX(INDEX(Properties!A$1:CB$87,Formula!B105,5),INDEX(Properties!A$1:CB$87,Formula!D105,5),INDEX(Properties!A$1:CB$87,Formula!F105,5),INDEX(Properties!A$1:CB$87,Formula!H105,5),INDEX(Properties!A$1:CB$87,Formula!J105,5))</f>
        <v>6</v>
      </c>
      <c r="R105" s="89">
        <f>MIN(IF(INDEX(Properties!A$1:CB$87,Formula!B105,5)=0,10^6,INDEX(Properties!A$1:CB$87,Formula!B105,5)),IF(INDEX(Properties!A$1:CB$87,Formula!D105,5)=0,10^6,INDEX(Properties!A$1:CB$87,Formula!D105,5)),IF(INDEX(Properties!A$1:CB$87,Formula!F105,5)=0,10^6,INDEX(Properties!A$1:CB$87,Formula!F105,5)),IF(INDEX(Properties!A$1:CB$87,Formula!H105,5)=0,10^6,INDEX(Properties!A$1:CB$87,Formula!H105,5)),IF(INDEX(Properties!A$1:CB$87,Formula!J105,5)=0,10^6,INDEX(Properties!A$1:CB$87,Formula!J105,5)))</f>
        <v>2</v>
      </c>
      <c r="S105" s="89">
        <f t="shared" si="34"/>
        <v>4</v>
      </c>
      <c r="T105" s="60">
        <f>((Formula!C105)/(Formula!C105+Formula!E105+Formula!G105+Formula!I105+Formula!K105))*(INDEX(Properties!A$1:CB$87,Formula!B105,6))+((Formula!E105)/(Formula!C105+Formula!E105+Formula!G105+Formula!I105+Formula!K105))*(INDEX(Properties!A$1:CB$87,Formula!D105,6))+((Formula!G105)/(Formula!C105+Formula!E105+Formula!G105+Formula!I105+Formula!K105))*(INDEX(Properties!A$1:CB$87,Formula!F105,6))+((Formula!I105)/(Formula!C105+Formula!E105+Formula!G105+Formula!I105+Formula!K105))*(INDEX(Properties!A$1:CB$87,Formula!H105,6))+((Formula!K105)/(Formula!C105+Formula!E105+Formula!G105+Formula!I105+Formula!K105))*(INDEX(Properties!A$1:CB$87,Formula!J105,6))</f>
        <v>15.5</v>
      </c>
      <c r="U105" s="60">
        <f>Formula!C105*(INDEX(Properties!A$1:CB$87,Formula!B105,6))+Formula!E105*(INDEX(Properties!A$1:CB$87,Formula!D105,6))+Formula!G105*(INDEX(Properties!A$1:CB$87,Formula!F105,6))+Formula!I105*(INDEX(Properties!A$1:CB$87,Formula!H105,6))+Formula!K105*(INDEX(Properties!A$1:CB$87,Formula!J105,6))</f>
        <v>124</v>
      </c>
      <c r="V105" s="89">
        <f>VARP(IF(INDEX(Properties!A$1:CB$87,Formula!B105,6)&lt;&gt;"",INDEX(Properties!A$1:CB$87,Formula!B105,6)),IF(INDEX(Properties!A$1:CB$87,Formula!D105,6)&lt;&gt;"",INDEX(Properties!A$1:CB$87,Formula!D105,6)),IF(INDEX(Properties!A$1:CB$87,Formula!F105,6)&lt;&gt;"",INDEX(Properties!A$1:CB$87,Formula!F105,6)),IF(INDEX(Properties!A$1:CB$87,Formula!H105,6)&lt;&gt;"",INDEX(Properties!A$1:CB$87,Formula!H105,6)),IF(INDEX(Properties!A$1:CB$87,Formula!J105,6)&lt;&gt;"",INDEX(Properties!A$1:CB$87,Formula!J105,6)))</f>
        <v>54.4</v>
      </c>
      <c r="W105" s="60">
        <f>MAX(INDEX(Properties!A$1:CB$87,Formula!B105,6),INDEX(Properties!A$1:CB$87,Formula!D105,6),INDEX(Properties!A$1:CB$87,Formula!F105,6),INDEX(Properties!A$1:CB$87,Formula!H105,4),INDEX(Properties!A$1:CB$87,Formula!J105,6))</f>
        <v>16</v>
      </c>
      <c r="X105" s="60">
        <f>MIN(IF(INDEX(Properties!A$1:CB$87,Formula!B105,6)=0,10^6,INDEX(Properties!A$1:CB$87,Formula!B105,6)),IF(INDEX(Properties!A$1:CB$87,Formula!D105,6)=0,10^6,INDEX(Properties!A$1:CB$87,Formula!D105,6)),IF(INDEX(Properties!A$1:CB$87,Formula!F105,6)=0,10^6,INDEX(Properties!A$1:CB$87,Formula!F105,6)),IF(INDEX(Properties!A$1:CB$87,Formula!H105,6)=0,10^6,INDEX(Properties!A$1:CB$87,Formula!H105,6)),IF(INDEX(Properties!A$1:CB$87,Formula!J105,6)=0,10^6,INDEX(Properties!A$1:CB$87,Formula!J105,6)))</f>
        <v>14</v>
      </c>
      <c r="Y105" s="60">
        <f t="shared" si="35"/>
        <v>2</v>
      </c>
      <c r="Z105" s="72">
        <f>((Formula!C105)/(Formula!C105+Formula!E105+Formula!G105+Formula!I105+Formula!K105))*(INDEX(Properties!A$1:CB$87,Formula!B105,9))+((Formula!E105)/(Formula!C105+Formula!E105+Formula!G105+Formula!I105+Formula!K105))*(INDEX(Properties!A$1:CB$87,Formula!D105,9))+((Formula!G105)/(Formula!C105+Formula!E105+Formula!G105+Formula!I105+Formula!K105))*(INDEX(Properties!A$1:CB$87,Formula!F105,9))+((Formula!I105)/(Formula!C105+Formula!E105+Formula!G105+Formula!I105+Formula!K105))*(INDEX(Properties!A$1:CB$87,Formula!H105,9))+((Formula!K105)/(Formula!C105+Formula!E105+Formula!G105+Formula!I105+Formula!K105))*(INDEX(Properties!A$1:CB$87,Formula!J105,9))</f>
        <v>85.5</v>
      </c>
      <c r="AA105" s="72">
        <f>Formula!C105*(INDEX(Properties!A$1:CB$87,Formula!B105,9))+Formula!E105*(INDEX(Properties!A$1:CB$87,Formula!D105,9))+Formula!G105*(INDEX(Properties!A$1:CB$87,Formula!F105,9))+Formula!I105*(INDEX(Properties!A$1:CB$87,Formula!H105,9))+Formula!K105*(INDEX(Properties!A$1:CB$87,Formula!J105,9))</f>
        <v>684</v>
      </c>
      <c r="AB105" s="72">
        <f>VARP(IF(INDEX(Properties!A$1:CB$87,Formula!B105,9)&lt;&gt;"",INDEX(Properties!A$1:CB$87,Formula!B105,9)),IF(INDEX(Properties!A$1:CB$87,Formula!D105,9)&lt;&gt;"",INDEX(Properties!A$1:CB$87,Formula!D105,9)),IF(INDEX(Properties!A$1:CB$87,Formula!F105,9)&lt;&gt;"",INDEX(Properties!A$1:CB$87,Formula!F105,9)),IF(INDEX(Properties!A$1:CB$87,Formula!H105,9)&lt;&gt;"",INDEX(Properties!A$1:CB$87,Formula!H105,9)),IF(INDEX(Properties!A$1:CB$87,Formula!J105,9)&lt;&gt;"",INDEX(Properties!A$1:CB$87,Formula!J105,9)))</f>
        <v>1678.8</v>
      </c>
      <c r="AC105" s="72">
        <f>MAX(INDEX(Properties!A$1:CB$87,Formula!B105,9),INDEX(Properties!A$1:CB$87,Formula!D105,9),INDEX(Properties!A$1:CB$87,Formula!F105,9),INDEX(Properties!A$1:CB$87,Formula!H105,9),INDEX(Properties!A$1:CB$87,Formula!J105,9))</f>
        <v>87</v>
      </c>
      <c r="AD105" s="72">
        <f>MIN(IF(INDEX(Properties!A$1:CB$87,Formula!B105,9)=0,10^6,INDEX(Properties!A$1:CB$87,Formula!B105,9)),IF(INDEX(Properties!A$1:CB$87,Formula!D105,9)=0,10^6,INDEX(Properties!A$1:CB$87,Formula!D105,9)),IF(INDEX(Properties!A$1:CB$87,Formula!F105,9)=0,10^6,INDEX(Properties!A$1:CB$87,Formula!F105,9)),IF(INDEX(Properties!A$1:CB$87,Formula!H105,9)=0,10^6,INDEX(Properties!A$1:CB$87,Formula!H105,9)),IF(INDEX(Properties!A$1:CB$87,Formula!J105,9)=0,10^6,INDEX(Properties!A$1:CB$87,Formula!J105,9)))</f>
        <v>77</v>
      </c>
      <c r="AE105" s="72">
        <f t="shared" si="36"/>
        <v>10</v>
      </c>
      <c r="AF105" s="51">
        <f>((Formula!C105)/(Formula!C105+Formula!E105+Formula!G105+Formula!I105+Formula!K105))*(INDEX(Properties!A$1:CB$87,Formula!B105,10))+((Formula!E105)/(Formula!C105+Formula!E105+Formula!G105+Formula!I105+Formula!K105))*(INDEX(Properties!A$1:CB$87,Formula!D105,10))+((Formula!G105)/(Formula!C105+Formula!E105+Formula!G105+Formula!I105+Formula!K105))*(INDEX(Properties!A$1:CB$87,Formula!F105,10))+((Formula!I105)/(Formula!C105+Formula!E105+Formula!G105+Formula!I105+Formula!K105))*(INDEX(Properties!A$1:CB$87,Formula!H105,10))+((Formula!K105)/(Formula!C105+Formula!E105+Formula!G105+Formula!I105+Formula!K105))*(INDEX(Properties!A$1:CB$87,Formula!J105,10))</f>
        <v>6.5</v>
      </c>
      <c r="AG105" s="51">
        <f>Formula!C105*(INDEX(Properties!A$1:CB$87,Formula!B105,10))+Formula!E105*(INDEX(Properties!A$1:CB$87,Formula!D105,10))+Formula!G105*(INDEX(Properties!A$1:CB$87,Formula!F105,10))+Formula!I105*(INDEX(Properties!A$1:CB$87,Formula!H105,10))+Formula!K105*(INDEX(Properties!A$1:CB$87,Formula!J105,10))</f>
        <v>52</v>
      </c>
      <c r="AH105" s="51">
        <f>VARP(IF(INDEX(Properties!A$1:CB$87,Formula!B105,10)&lt;&gt;"",INDEX(Properties!A$1:CB$87,Formula!B105,10)),IF(INDEX(Properties!A$1:CB$87,Formula!D105,10)&lt;&gt;"",INDEX(Properties!A$1:CB$87,Formula!D105,10)),IF(INDEX(Properties!A$1:CB$87,Formula!F105,10)&lt;&gt;"",INDEX(Properties!A$1:CB$87,Formula!F105,10)),IF(INDEX(Properties!A$1:CB$87,Formula!H105,10)&lt;&gt;"",INDEX(Properties!A$1:CB$87,Formula!H105,10)),IF(INDEX(Properties!A$1:CB$87,Formula!J105,10)&lt;&gt;"",INDEX(Properties!A$1:CB$87,Formula!J105,10)))</f>
        <v>10.16</v>
      </c>
      <c r="AI105" s="51">
        <f>MAX(INDEX(Properties!A$1:CB$87,Formula!B105,10),INDEX(Properties!A$1:CB$87,Formula!D105,10),INDEX(Properties!A$1:CB$87,Formula!F105,10),INDEX(Properties!A$1:CB$87,Formula!H105,10),INDEX(Properties!A$1:CB$87,Formula!J105,10))</f>
        <v>7</v>
      </c>
      <c r="AJ105" s="51">
        <f>MIN(IF(INDEX(Properties!A$1:CB$87,Formula!B105,10)=0,10^6,INDEX(Properties!A$1:CB$87,Formula!B105,10)),IF(INDEX(Properties!A$1:CB$87,Formula!D105,10)=0,10^6,INDEX(Properties!A$1:CB$87,Formula!D105,10)),IF(INDEX(Properties!A$1:CB$87,Formula!F105,10)=0,10^6,INDEX(Properties!A$1:CB$87,Formula!F105,10)),IF(INDEX(Properties!A$1:CB$87,Formula!H105,10)=0,10^6,INDEX(Properties!A$1:CB$87,Formula!H105,10)),IF(INDEX(Properties!A$1:CB$87,Formula!J105,10)=0,10^6,INDEX(Properties!A$1:CB$87,Formula!J105,10)))</f>
        <v>5</v>
      </c>
      <c r="AK105" s="51">
        <f t="shared" si="37"/>
        <v>2</v>
      </c>
      <c r="AL105" s="57">
        <f>((Formula!C105)/(Formula!C105+Formula!E105+Formula!G105+Formula!I105+Formula!K105))*(INDEX(Properties!A$1:CB$87,Formula!B105,11))+((Formula!E105)/(Formula!C105+Formula!E105+Formula!G105+Formula!I105+Formula!K105))*(INDEX(Properties!A$1:CB$87,Formula!D105,11))+((Formula!G105)/(Formula!C105+Formula!E105+Formula!G105+Formula!I105+Formula!K105))*(INDEX(Properties!A$1:CB$87,Formula!F105,11))+((Formula!I105)/(Formula!C105+Formula!E105+Formula!G105+Formula!I105+Formula!K105))*(INDEX(Properties!A$1:CB$87,Formula!H105,11))+((Formula!K105)/(Formula!C105+Formula!E105+Formula!G105+Formula!I105+Formula!K105))*(INDEX(Properties!A$1:CB$87,Formula!J105,11))</f>
        <v>2</v>
      </c>
      <c r="AM105" s="57">
        <f>Formula!C105*(INDEX(Properties!A$1:CB$87,Formula!B105,11))+Formula!E105*(INDEX(Properties!A$1:CB$87,Formula!D105,11))+Formula!G105*(INDEX(Properties!A$1:CB$87,Formula!F105,11))+Formula!I105*(INDEX(Properties!A$1:CB$87,Formula!H105,11))+Formula!K105*(INDEX(Properties!A$1:CB$87,Formula!J105,11))</f>
        <v>16</v>
      </c>
      <c r="AN105" s="57">
        <f>VARP(IF(INDEX(Properties!A$1:CB$87,Formula!B105,11)&lt;&gt;"",INDEX(Properties!A$1:CB$87,Formula!B105,11)),IF(INDEX(Properties!A$1:CB$87,Formula!D105,11)&lt;&gt;"",INDEX(Properties!A$1:CB$87,Formula!D105,11)),IF(INDEX(Properties!A$1:CB$87,Formula!F105,11)&lt;&gt;"",INDEX(Properties!A$1:CB$87,Formula!F105,11)),IF(INDEX(Properties!A$1:CB$87,Formula!H105,11)&lt;&gt;"",INDEX(Properties!A$1:CB$87,Formula!H105,11)),IF(INDEX(Properties!A$1:CB$87,Formula!J105,11)&lt;&gt;"",INDEX(Properties!A$1:CB$87,Formula!J105,11)))</f>
        <v>0.96</v>
      </c>
      <c r="AO105" s="57">
        <f>MAX(INDEX(Properties!A$1:CB$87,Formula!B105,11),INDEX(Properties!A$1:CB$87,Formula!D105,11),INDEX(Properties!A$1:CB$87,Formula!F105,11),INDEX(Properties!A$1:CB$87,Formula!H105,11),INDEX(Properties!A$1:CB$87,Formula!J105,11))</f>
        <v>2</v>
      </c>
      <c r="AP105" s="57">
        <f>MIN(IF(Formula!B105=87,10^6,INDEX(Properties!A$1:CB$87,Formula!B105,11)),IF((Formula!D105)=87,10^6,INDEX(Properties!A$1:CB$87,Formula!D105,11)),IF((Formula!F105)=87,10^6,INDEX(Properties!A$1:CB$87,Formula!F105,11)),IF((Formula!H105)=87,10^6,INDEX(Properties!A$1:CB$87,Formula!H105,11)),IF(Formula!J105=87,10^6,INDEX(Properties!A$1:CB$87,Formula!J105,11)))</f>
        <v>2</v>
      </c>
      <c r="AQ105" s="57">
        <f t="shared" si="38"/>
        <v>0</v>
      </c>
      <c r="AR105" s="78">
        <f>((Formula!C105)/(Formula!C105+Formula!E105+Formula!G105+Formula!I105+Formula!K105))*(INDEX(Properties!A$1:CB$87,Formula!B105,12))+((Formula!E105)/(Formula!C105+Formula!E105+Formula!G105+Formula!I105+Formula!K105))*(INDEX(Properties!A$1:CB$87,Formula!D105,12))+((Formula!G105)/(Formula!C105+Formula!E105+Formula!G105+Formula!I105+Formula!K105))*(INDEX(Properties!A$1:CB$87,Formula!F105,12))+((Formula!I105)/(Formula!C105+Formula!E105+Formula!G105+Formula!I105+Formula!K105))*(INDEX(Properties!A$1:CB$87,Formula!H105,12))+((Formula!K105)/(Formula!C105+Formula!E105+Formula!G105+Formula!I105+Formula!K105))*(INDEX(Properties!A$1:CB$87,Formula!J105,12))</f>
        <v>3.5</v>
      </c>
      <c r="AS105" s="78">
        <f>Formula!C105*(INDEX(Properties!A$1:CB$87,Formula!B105,12))+Formula!E105*(INDEX(Properties!A$1:CB$87,Formula!D105,12))+Formula!G105*(INDEX(Properties!A$1:CB$87,Formula!F105,12))+Formula!I105*(INDEX(Properties!A$1:CB$87,Formula!H105,12))+Formula!K105*(INDEX(Properties!A$1:CB$87,Formula!J105,12))</f>
        <v>28</v>
      </c>
      <c r="AT105" s="78">
        <f>VARP(IF(INDEX(Properties!A$1:CB$87,Formula!B105,12)&lt;&gt;"",INDEX(Properties!A$1:CB$87,Formula!B105,12)),IF(INDEX(Properties!A$1:CB$87,Formula!D105,12)&lt;&gt;"",INDEX(Properties!A$1:CB$87,Formula!D105,12)),IF(INDEX(Properties!A$1:CB$87,Formula!F105,12)&lt;&gt;"",INDEX(Properties!A$1:CB$87,Formula!F105,12)),IF(INDEX(Properties!A$1:CB$87,Formula!H105,12)&lt;&gt;"",INDEX(Properties!A$1:CB$87,Formula!H105,12)),IF(INDEX(Properties!A$1:CB$87,Formula!J105,12)&lt;&gt;"",INDEX(Properties!A$1:CB$87,Formula!J105,12)))</f>
        <v>2.56</v>
      </c>
      <c r="AU105" s="78">
        <f>MAX(INDEX(Properties!A$1:CB$87,Formula!B105,12),INDEX(Properties!A$1:CB$87,Formula!D105,12),INDEX(Properties!A$1:CB$87,Formula!F105,12),INDEX(Properties!A$1:CB$87,Formula!H105,12),INDEX(Properties!A$1:CB$87,Formula!J105,12))</f>
        <v>4</v>
      </c>
      <c r="AV105" s="78">
        <f>MIN(IF(Formula!B105=87,10^6,INDEX(Properties!A$1:CB$87,Formula!B105,12)),IF((Formula!D105)=87,10^6,INDEX(Properties!A$1:CB$87,Formula!D105,12)),IF((Formula!F105)=87,10^6,INDEX(Properties!A$1:CB$87,Formula!F105,12)),IF((Formula!H105)=87,10^6,INDEX(Properties!A$1:CB$87,Formula!H105,12)),IF(Formula!J105=87,10^6,INDEX(Properties!A$1:CB$87,Formula!J105,12)))</f>
        <v>2</v>
      </c>
      <c r="AW105" s="78">
        <f t="shared" si="39"/>
        <v>2</v>
      </c>
      <c r="AX105" s="45">
        <f>((Formula!C105)/(Formula!C105+Formula!E105+Formula!G105+Formula!I105+Formula!K105))*(INDEX(Properties!A$1:CB$87,Formula!B105,13))+((Formula!E105)/(Formula!C105+Formula!E105+Formula!G105+Formula!I105+Formula!K105))*(INDEX(Properties!A$1:CB$87,Formula!D105,13))+((Formula!G105)/(Formula!C105+Formula!E105+Formula!G105+Formula!I105+Formula!K105))*(INDEX(Properties!A$1:CB$87,Formula!F105,13))+((Formula!I105)/(Formula!C105+Formula!E105+Formula!G105+Formula!I105+Formula!K105))*(INDEX(Properties!A$1:CB$87,Formula!H105,13))+((Formula!K105)/(Formula!C105+Formula!E105+Formula!G105+Formula!I105+Formula!K105))*(INDEX(Properties!A$1:CB$87,Formula!J105,13))</f>
        <v>2.5</v>
      </c>
      <c r="AY105" s="45">
        <f>Formula!C105*(INDEX(Properties!A$1:CB$87,Formula!B105,13))+Formula!E105*(INDEX(Properties!A$1:CB$87,Formula!D105,13))+Formula!G105*(INDEX(Properties!A$1:CB$87,Formula!F105,13))+Formula!I105*(INDEX(Properties!A$1:CB$87,Formula!H105,13))+Formula!K105*(INDEX(Properties!A$1:CB$87,Formula!J105,13))</f>
        <v>20</v>
      </c>
      <c r="AZ105" s="45">
        <f>VARP(IF(INDEX(Properties!A$1:CB$87,Formula!B105,13)&lt;&gt;"",INDEX(Properties!A$1:CB$87,Formula!B105,13)),IF(INDEX(Properties!A$1:CB$87,Formula!D105,13)&lt;&gt;"",INDEX(Properties!A$1:CB$87,Formula!D105,13)),IF(INDEX(Properties!A$1:CB$87,Formula!F105,13)&lt;&gt;"",INDEX(Properties!A$1:CB$87,Formula!F105,13)),IF(INDEX(Properties!A$1:CB$87,Formula!H105,13)&lt;&gt;"",INDEX(Properties!A$1:CB$87,Formula!H105,13)),IF(INDEX(Properties!A$1:CB$87,Formula!J105,13)&lt;&gt;"",INDEX(Properties!A$1:CB$87,Formula!J105,13)))</f>
        <v>16</v>
      </c>
      <c r="BA105" s="45">
        <f>MAX(INDEX(Properties!A$1:CB$87,Formula!B105,13),INDEX(Properties!A$1:CB$87,Formula!D105,13),INDEX(Properties!A$1:CB$87,Formula!F105,13),INDEX(Properties!A$1:CB$87,Formula!H105,13),INDEX(Properties!A$1:CB$87,Formula!J105,13))</f>
        <v>10</v>
      </c>
      <c r="BB105" s="45">
        <f>MIN(IF(Formula!B105=87,10^6,INDEX(Properties!A$1:CB$87,Formula!B105,13)),IF((Formula!D105)=87,10^6,INDEX(Properties!A$1:CB$87,Formula!D105,13)),IF((Formula!F105)=87,10^6,INDEX(Properties!A$1:CB$87,Formula!F105,13)),IF((Formula!H105)=87,10^6,INDEX(Properties!A$1:CB$87,Formula!H105,13)),IF(Formula!J105=87,10^6,INDEX(Properties!A$1:CB$87,Formula!J105,13)))</f>
        <v>0</v>
      </c>
      <c r="BC105" s="45">
        <f t="shared" si="40"/>
        <v>10</v>
      </c>
      <c r="BD105" s="63">
        <f>((Formula!C105)/(Formula!C105+Formula!E105+Formula!G105+Formula!I105+Formula!K105))*(INDEX(Properties!A$1:CB$87,Formula!B105,14))+((Formula!E105)/(Formula!C105+Formula!E105+Formula!G105+Formula!I105+Formula!K105))*(INDEX(Properties!A$1:CB$87,Formula!D105,14))+((Formula!G105)/(Formula!C105+Formula!E105+Formula!G105+Formula!I105+Formula!K105))*(INDEX(Properties!A$1:CB$87,Formula!F105,14))+((Formula!I105)/(Formula!C105+Formula!E105+Formula!G105+Formula!I105+Formula!K105))*(INDEX(Properties!A$1:CB$87,Formula!H105,14))+((Formula!K105)/(Formula!C105+Formula!E105+Formula!G105+Formula!I105+Formula!K105))*(INDEX(Properties!A$1:CB$87,Formula!J105,14))</f>
        <v>3.5</v>
      </c>
      <c r="BE105" s="63">
        <f>Formula!C105*(INDEX(Properties!A$1:CB$87,Formula!B105,14))+Formula!E105*(INDEX(Properties!A$1:CB$87,Formula!D105,14))+Formula!G105*(INDEX(Properties!A$1:CB$87,Formula!F105,14))+Formula!I105*(INDEX(Properties!A$1:CB$87,Formula!H105,14))+Formula!K105*(INDEX(Properties!A$1:CB$87,Formula!J105,14))</f>
        <v>28</v>
      </c>
      <c r="BF105" s="63">
        <f>VARP(IF(INDEX(Properties!A$1:CB$87,Formula!B105,14)&lt;&gt;"",INDEX(Properties!A$1:CB$87,Formula!B105,14)),IF(INDEX(Properties!A$1:CB$87,Formula!D105,14)&lt;&gt;"",INDEX(Properties!A$1:CB$87,Formula!D105,14)),IF(INDEX(Properties!A$1:CB$87,Formula!F105,14)&lt;&gt;"",INDEX(Properties!A$1:CB$87,Formula!F105,14)),IF(INDEX(Properties!A$1:CB$87,Formula!H105,14)&lt;&gt;"",INDEX(Properties!A$1:CB$87,Formula!H105,14)),IF(INDEX(Properties!A$1:CB$87,Formula!J105,14)&lt;&gt;"",INDEX(Properties!A$1:CB$87,Formula!J105,14)))</f>
        <v>31.36</v>
      </c>
      <c r="BG105" s="63">
        <f>MAX(INDEX(Properties!A$1:CB$87,Formula!B105,14),INDEX(Properties!A$1:CB$87,Formula!D105,14),INDEX(Properties!A$1:CB$87,Formula!F105,14),INDEX(Properties!A$1:CB$87,Formula!H105,14),INDEX(Properties!A$1:CB$87,Formula!J105,14))</f>
        <v>14</v>
      </c>
      <c r="BH105" s="63">
        <f>MIN(IF(Formula!B105=87,10^6,INDEX(Properties!A$1:CB$87,Formula!B105,14)),IF((Formula!D105)=87,10^6,INDEX(Properties!A$1:CB$87,Formula!D105,14)),IF((Formula!F105)=87,10^6,INDEX(Properties!A$1:CB$87,Formula!F105,14)),IF((Formula!H105)=87,10^6,INDEX(Properties!A$1:CB$87,Formula!H105,14)),IF(Formula!J105=87,10^6,INDEX(Properties!A$1:CB$87,Formula!J105,14)))</f>
        <v>0</v>
      </c>
      <c r="BI105" s="63">
        <f t="shared" si="41"/>
        <v>14</v>
      </c>
      <c r="BJ105" s="75">
        <f>((Formula!C105)/(Formula!C105+Formula!E105+Formula!G105+Formula!I105+Formula!K105))*(INDEX(Properties!A$1:CB$87,Formula!B105,19))+((Formula!E105)/(Formula!C105+Formula!E105+Formula!G105+Formula!I105+Formula!K105))*(INDEX(Properties!A$1:CB$87,Formula!D105,19))+((Formula!G105)/(Formula!C105+Formula!E105+Formula!G105+Formula!I105+Formula!K105))*(INDEX(Properties!A$1:CB$87,Formula!F105,19))+((Formula!I105)/(Formula!C105+Formula!E105+Formula!G105+Formula!I105+Formula!K105))*(INDEX(Properties!A$1:CB$87,Formula!H105,19))+((Formula!K105)/(Formula!C105+Formula!E105+Formula!G105+Formula!I105+Formula!K105))*(INDEX(Properties!A$1:CB$87,Formula!J105,19))</f>
        <v>11.5</v>
      </c>
      <c r="BK105" s="75">
        <f>Formula!C105*(INDEX(Properties!A$1:CB$87,Formula!B105,19))+Formula!E105*(INDEX(Properties!A$1:CB$87,Formula!D105,19))+Formula!G105*(INDEX(Properties!A$1:CB$87,Formula!F105,19))+Formula!I105*(INDEX(Properties!A$1:CB$87,Formula!H105,19))+Formula!K105*(INDEX(Properties!A$1:CB$87,Formula!J105,19))</f>
        <v>92</v>
      </c>
      <c r="BL105" s="75">
        <f>VARP(IF(INDEX(Properties!A$1:CB$87,Formula!B105,19)&lt;&gt;"",INDEX(Properties!A$1:CB$87,Formula!B105,19)),IF(INDEX(Properties!A$1:CB$87,Formula!D105,19)&lt;&gt;"",INDEX(Properties!A$1:CB$87,Formula!D105,19)),IF(INDEX(Properties!A$1:CB$87,Formula!F105,19)&lt;&gt;"",INDEX(Properties!A$1:CB$87,Formula!F105,19)),IF(INDEX(Properties!A$1:CB$87,Formula!H105,19)&lt;&gt;"",INDEX(Properties!A$1:CB$87,Formula!H105,19)),IF(INDEX(Properties!A$1:CB$87,Formula!J105,19)&lt;&gt;"",INDEX(Properties!A$1:CB$87,Formula!J105,19)))</f>
        <v>117.76</v>
      </c>
      <c r="BM105" s="75">
        <f>MAX(INDEX(Properties!A$1:CB$87,Formula!B105,19),INDEX(Properties!A$1:CB$87,Formula!D105,19),INDEX(Properties!A$1:CB$87,Formula!F105,19),INDEX(Properties!A$1:CB$87,Formula!H105,19),INDEX(Properties!A$1:CB$87,Formula!J105,19))</f>
        <v>29</v>
      </c>
      <c r="BN105" s="75">
        <f>MIN(IF(INDEX(Properties!A$1:CB$87,Formula!B105,19)=0,10^6,INDEX(Properties!A$1:CB$87,Formula!B105,19)),IF(INDEX(Properties!A$1:CB$87,Formula!D105,19)=0,10^6,INDEX(Properties!A$1:CB$87,Formula!D105,19)),IF(INDEX(Properties!A$1:CB$87,Formula!F105,19)=0,10^6,INDEX(Properties!A$1:CB$87,Formula!F105,19)),IF(INDEX(Properties!A$1:CB$87,Formula!H105,19)=0,10^6,INDEX(Properties!A$1:CB$87,Formula!H105,19)),IF(INDEX(Properties!A$1:CB$87,Formula!J105,19)=0,10^6,INDEX(Properties!A$1:CB$87,Formula!J105,19)))</f>
        <v>4</v>
      </c>
      <c r="BO105" s="75">
        <f t="shared" si="42"/>
        <v>25</v>
      </c>
      <c r="BP105" s="48">
        <f>((Formula!C105)/(Formula!C105+Formula!E105+Formula!G105+Formula!I105+Formula!K105))*(INDEX(Properties!A$1:CB$87,Formula!B105,20))+((Formula!E105)/(Formula!C105+Formula!E105+Formula!G105+Formula!I105+Formula!K105))*(INDEX(Properties!A$1:CB$87,Formula!D105,20))+((Formula!G105)/(Formula!C105+Formula!E105+Formula!G105+Formula!I105+Formula!K105))*(INDEX(Properties!A$1:CB$87,Formula!F105,20))+((Formula!I105)/(Formula!C105+Formula!E105+Formula!G105+Formula!I105+Formula!K105))*(INDEX(Properties!A$1:CB$87,Formula!H105,20))+((Formula!K105)/(Formula!C105+Formula!E105+Formula!G105+Formula!I105+Formula!K105))*(INDEX(Properties!A$1:CB$87,Formula!J105,20))</f>
        <v>5.5</v>
      </c>
      <c r="BQ105" s="48">
        <f>Formula!C105*(INDEX(Properties!A$1:CB$87,Formula!B105,20))+Formula!E105*(INDEX(Properties!A$1:CB$87,Formula!D105,20))+Formula!G105*(INDEX(Properties!A$1:CB$87,Formula!F105,20))+Formula!I105*(INDEX(Properties!A$1:CB$87,Formula!H105,20))+Formula!K105*(INDEX(Properties!A$1:CB$87,Formula!J105,20))</f>
        <v>44</v>
      </c>
      <c r="BR105" s="48">
        <f>VARP(IF(INDEX(Properties!A$1:CB$87,Formula!B105,20)&lt;&gt;"",INDEX(Properties!A$1:CB$87,Formula!B105,20)),IF(INDEX(Properties!A$1:CB$87,Formula!D105,20)&lt;&gt;"",INDEX(Properties!A$1:CB$87,Formula!D105,20)),IF(INDEX(Properties!A$1:CB$87,Formula!F105,20)&lt;&gt;"",INDEX(Properties!A$1:CB$87,Formula!F105,20)),IF(INDEX(Properties!A$1:CB$87,Formula!H105,20)&lt;&gt;"",INDEX(Properties!A$1:CB$87,Formula!H105,20)),IF(INDEX(Properties!A$1:CB$87,Formula!J105,20)&lt;&gt;"",INDEX(Properties!A$1:CB$87,Formula!J105,20)))</f>
        <v>6.4</v>
      </c>
      <c r="BS105" s="48">
        <f>MAX(INDEX(Properties!A$1:CB$87,Formula!B105,20),INDEX(Properties!A$1:CB$87,Formula!D105,20),INDEX(Properties!A$1:CB$87,Formula!F105,20),INDEX(Properties!A$1:CB$87,Formula!H105,20),INDEX(Properties!A$1:CB$87,Formula!J105,20))</f>
        <v>6</v>
      </c>
      <c r="BT105" s="48">
        <f>MIN(IF(INDEX(Properties!A$1:CB$87,Formula!B105,20)=0,10^6,INDEX(Properties!A$1:CB$87,Formula!B105,20)),IF(INDEX(Properties!A$1:CB$87,Formula!D105,20)=0,10^6,INDEX(Properties!A$1:CB$87,Formula!D105,20)),IF(INDEX(Properties!A$1:CB$87,Formula!F105,20)=0,10^6,INDEX(Properties!A$1:CB$87,Formula!F105,20)),IF(INDEX(Properties!A$1:CB$87,Formula!H105,20)=0,10^6,INDEX(Properties!A$1:CB$87,Formula!H105,20)),IF(INDEX(Properties!A$1:CB$87,Formula!J105,20)=0,10^6,INDEX(Properties!A$1:CB$87,Formula!J105,20)))</f>
        <v>4</v>
      </c>
      <c r="BU105" s="48">
        <f t="shared" si="43"/>
        <v>2</v>
      </c>
      <c r="BV105" s="66">
        <f>((Formula!C105)/(Formula!C105+Formula!E105+Formula!G105+Formula!I105+Formula!K105))*(INDEX(Properties!A$1:CB$87,Formula!B105,21))+((Formula!E105)/(Formula!C105+Formula!E105+Formula!G105+Formula!I105+Formula!K105))*(INDEX(Properties!A$1:CB$87,Formula!D105,21))+((Formula!G105)/(Formula!C105+Formula!E105+Formula!G105+Formula!I105+Formula!K105))*(INDEX(Properties!A$1:CB$87,Formula!F105,21))+((Formula!I105)/(Formula!C105+Formula!E105+Formula!G105+Formula!I105+Formula!K105))*(INDEX(Properties!A$1:CB$87,Formula!H105,21))+((Formula!K105)/(Formula!C105+Formula!E105+Formula!G105+Formula!I105+Formula!K105))*(INDEX(Properties!A$1:CB$87,Formula!J105,21))</f>
        <v>5.5</v>
      </c>
      <c r="BW105" s="66">
        <f>Formula!C105*(INDEX(Properties!A$1:CB$87,Formula!B105,21))+Formula!E105*(INDEX(Properties!A$1:CB$87,Formula!D105,21))+Formula!G105*(INDEX(Properties!A$1:CB$87,Formula!F105,21))+Formula!I105*(INDEX(Properties!A$1:CB$87,Formula!H105,21))+Formula!K105*(INDEX(Properties!A$1:CB$87,Formula!J105,21))</f>
        <v>44</v>
      </c>
      <c r="BX105" s="66">
        <f>VARP(IF(INDEX(Properties!A$1:CB$87,Formula!B105,21)&lt;&gt;"",INDEX(Properties!A$1:CB$87,Formula!B105,21)),IF(INDEX(Properties!A$1:CB$87,Formula!D105,21)&lt;&gt;"",INDEX(Properties!A$1:CB$87,Formula!D105,21)),IF(INDEX(Properties!A$1:CB$87,Formula!F105,21)&lt;&gt;"",INDEX(Properties!A$1:CB$87,Formula!F105,21)),IF(INDEX(Properties!A$1:CB$87,Formula!H105,21)&lt;&gt;"",INDEX(Properties!A$1:CB$87,Formula!H105,21)),IF(INDEX(Properties!A$1:CB$87,Formula!J105,21)&lt;&gt;"",INDEX(Properties!A$1:CB$87,Formula!J105,21)))</f>
        <v>6.4</v>
      </c>
      <c r="BY105" s="66">
        <f>MAX(INDEX(Properties!A$1:CB$87,Formula!B105,21),INDEX(Properties!A$1:CB$87,Formula!D105,21),INDEX(Properties!A$1:CB$87,Formula!F105,21),INDEX(Properties!A$1:CB$87,Formula!H105,21),INDEX(Properties!A$1:CB$87,Formula!J105,21))</f>
        <v>6</v>
      </c>
      <c r="BZ105" s="66">
        <f>MIN(IF(INDEX(Properties!A$1:CB$87,Formula!B105,21)=0,10^6,INDEX(Properties!A$1:CB$87,Formula!B105,21)),IF(INDEX(Properties!A$1:CB$87,Formula!D105,21)=0,10^6,INDEX(Properties!A$1:CB$87,Formula!D105,21)),IF(INDEX(Properties!A$1:CB$87,Formula!F105,21)=0,10^6,INDEX(Properties!A$1:CB$87,Formula!F105,21)),IF(INDEX(Properties!A$1:CB$87,Formula!H105,21)=0,10^6,INDEX(Properties!A$1:CB$87,Formula!H105,21)),IF(INDEX(Properties!A$1:CB$87,Formula!J105,21)=0,10^6,INDEX(Properties!A$1:CB$87,Formula!J105,21)))</f>
        <v>4</v>
      </c>
      <c r="CA105" s="66">
        <f t="shared" si="44"/>
        <v>2</v>
      </c>
      <c r="CB105" s="81">
        <f>((Formula!C105)/(Formula!C105+Formula!E105+Formula!G105+Formula!I105+Formula!K105))*(INDEX(Properties!A$1:CB$87,Formula!B105,23))+((Formula!E105)/(Formula!C105+Formula!E105+Formula!G105+Formula!I105+Formula!K105))*(INDEX(Properties!A$1:CB$87,Formula!D105,23))+((Formula!G105)/(Formula!C105+Formula!E105+Formula!G105+Formula!I105+Formula!K105))*(INDEX(Properties!A$1:CB$87,Formula!F105,23))+((Formula!I105)/(Formula!C105+Formula!E105+Formula!G105+Formula!I105+Formula!K105))*(INDEX(Properties!A$1:CB$87,Formula!H105,23))+((Formula!K105)/(Formula!C105+Formula!E105+Formula!G105+Formula!I105+Formula!K105))*(INDEX(Properties!A$1:CB$87,Formula!J105,23))</f>
        <v>1.25</v>
      </c>
      <c r="CC105" s="81">
        <f>Formula!C105*(INDEX(Properties!A$1:CB$87,Formula!B105,23))+Formula!E105*(INDEX(Properties!A$1:CB$87,Formula!D105,23))+Formula!G105*(INDEX(Properties!A$1:CB$87,Formula!F105,23))+Formula!I105*(INDEX(Properties!A$1:CB$87,Formula!H105,23))+Formula!K105*(INDEX(Properties!A$1:CB$87,Formula!J105,23))</f>
        <v>10</v>
      </c>
      <c r="CD105" s="81">
        <f>VARP(IF(INDEX(Properties!A$1:CB$87,Formula!B105,23)&lt;&gt;"",INDEX(Properties!A$1:CB$87,Formula!B105,23)),IF(INDEX(Properties!A$1:CB$87,Formula!D105,23)&lt;&gt;"",INDEX(Properties!A$1:CB$87,Formula!D105,23)),IF(INDEX(Properties!A$1:CB$87,Formula!F105,23)&lt;&gt;"",INDEX(Properties!A$1:CB$87,Formula!F105,23)),IF(INDEX(Properties!A$1:CB$87,Formula!H105,23)&lt;&gt;"",INDEX(Properties!A$1:CB$87,Formula!H105,23)),IF(INDEX(Properties!A$1:CB$87,Formula!J105,23)&lt;&gt;"",INDEX(Properties!A$1:CB$87,Formula!J105,23)))</f>
        <v>3.04</v>
      </c>
      <c r="CE105" s="81">
        <f>MAX(INDEX(Properties!A$1:CB$87,Formula!B105,23),INDEX(Properties!A$1:CB$87,Formula!D105,23),INDEX(Properties!A$1:CB$87,Formula!F105,23),INDEX(Properties!A$1:CB$87,Formula!H105,23),INDEX(Properties!A$1:CB$87,Formula!J105,23))</f>
        <v>4</v>
      </c>
      <c r="CF105" s="81">
        <f>MIN(IF(Formula!B105=87,10^6,INDEX(Properties!A$1:CB$87,Formula!B105,23)),IF((Formula!D105)=87,10^6,INDEX(Properties!A$1:CB$87,Formula!D105,23)),IF((Formula!F105)=87,10^6,INDEX(Properties!A$1:CB$87,Formula!F105,23)),IF((Formula!H105)=87,10^6,INDEX(Properties!A$1:CB$87,Formula!H105,23)),IF(Formula!J105=87,10^6,INDEX(Properties!A$1:CB$87,Formula!J105,23)))</f>
        <v>0</v>
      </c>
      <c r="CG105" s="81">
        <f t="shared" si="45"/>
        <v>4</v>
      </c>
      <c r="CH105" s="39">
        <f>((Formula!C105)/(Formula!C105+Formula!E105+Formula!G105+Formula!I105+Formula!K105))*(INDEX(Properties!A$1:CB$87,Formula!B105,26))+((Formula!E105)/(Formula!C105+Formula!E105+Formula!G105+Formula!I105+Formula!K105))*(INDEX(Properties!A$1:CB$87,Formula!D105,26))+((Formula!G105)/(Formula!C105+Formula!E105+Formula!G105+Formula!I105+Formula!K105))*(INDEX(Properties!A$1:CB$87,Formula!F105,26))+((Formula!I105)/(Formula!C105+Formula!E105+Formula!G105+Formula!I105+Formula!K105))*(INDEX(Properties!A$1:CB$87,Formula!H105,26))+((Formula!K105)/(Formula!C105+Formula!E105+Formula!G105+Formula!I105+Formula!K105))*(INDEX(Properties!A$1:CB$87,Formula!J105,26))</f>
        <v>11.740225000000001</v>
      </c>
      <c r="CI105" s="39">
        <f>Formula!C105*(INDEX(Properties!A$1:CB$87,Formula!B105,26))+Formula!E105*(INDEX(Properties!A$1:CB$87,Formula!D105,26))+Formula!G105*(INDEX(Properties!A$1:CB$87,Formula!F105,26))+Formula!I105*(INDEX(Properties!A$1:CB$87,Formula!H105,26))+Formula!K105*(INDEX(Properties!A$1:CB$87,Formula!J105,26))</f>
        <v>93.921800000000005</v>
      </c>
      <c r="CJ105" s="39">
        <f>VARP(IF(INDEX(Properties!A$1:CB$87,Formula!B105,26)&lt;&gt;"",INDEX(Properties!A$1:CB$87,Formula!B105,26)),IF(INDEX(Properties!A$1:CB$87,Formula!D105,26)&lt;&gt;"",INDEX(Properties!A$1:CB$87,Formula!D105,26)),IF(INDEX(Properties!A$1:CB$87,Formula!F105,26)&lt;&gt;"",INDEX(Properties!A$1:CB$87,Formula!F105,26)),IF(INDEX(Properties!A$1:CB$87,Formula!H105,26)&lt;&gt;"",INDEX(Properties!A$1:CB$87,Formula!H105,26)),IF(INDEX(Properties!A$1:CB$87,Formula!J105,26)&lt;&gt;"",INDEX(Properties!A$1:CB$87,Formula!J105,26)))</f>
        <v>31.684444261600021</v>
      </c>
      <c r="CK105" s="39">
        <f>MAX(INDEX(Properties!A$1:CB$87,Formula!B105,26),INDEX(Properties!A$1:CB$87,Formula!D105,26),INDEX(Properties!A$1:CB$87,Formula!F105,26),INDEX(Properties!A$1:CB$87,Formula!H105,26),INDEX(Properties!A$1:CB$87,Formula!J105,26))</f>
        <v>13.6181</v>
      </c>
      <c r="CL105" s="39">
        <f>MIN(IF(INDEX(Properties!A$1:CB$87,Formula!B105,26)=0,10^6,INDEX(Properties!A$1:CB$87,Formula!B105,26)),IF(INDEX(Properties!A$1:CB$87,Formula!D105,26)=0,10^6,INDEX(Properties!A$1:CB$87,Formula!D105,26)),IF(INDEX(Properties!A$1:CB$87,Formula!F105,26)=0,10^6,INDEX(Properties!A$1:CB$87,Formula!F105,26)),IF(INDEX(Properties!A$1:CB$87,Formula!H105,26)=0,10^6,INDEX(Properties!A$1:CB$87,Formula!H105,26)),IF(INDEX(Properties!A$1:CB$87,Formula!J105,26)=0,10^6,INDEX(Properties!A$1:CB$87,Formula!J105,26)))</f>
        <v>7.2854999999999999</v>
      </c>
      <c r="CM105" s="39">
        <f t="shared" si="46"/>
        <v>6.3326000000000002</v>
      </c>
      <c r="CN105" s="54">
        <f>((Formula!C105)/(Formula!C105+Formula!E105+Formula!G105+Formula!I105+Formula!K105))*(INDEX(Properties!A$1:CB$87,Formula!B105,30))+((Formula!E105)/(Formula!C105+Formula!E105+Formula!G105+Formula!I105+Formula!K105))*(INDEX(Properties!A$1:CB$87,Formula!D105,30))+((Formula!G105)/(Formula!C105+Formula!E105+Formula!G105+Formula!I105+Formula!K105))*(INDEX(Properties!A$1:CB$87,Formula!F105,30))+((Formula!I105)/(Formula!C105+Formula!E105+Formula!G105+Formula!I105+Formula!K105))*(INDEX(Properties!A$1:CB$87,Formula!H105,30))+((Formula!K105)/(Formula!C105+Formula!E105+Formula!G105+Formula!I105+Formula!K105))*(INDEX(Properties!A$1:CB$87,Formula!J105,30))</f>
        <v>2.9737499999999999</v>
      </c>
      <c r="CO105" s="54">
        <f>Formula!C105*(INDEX(Properties!A$1:CB$87,Formula!B105,30))+Formula!E105*(INDEX(Properties!A$1:CB$87,Formula!D105,30))+Formula!G105*(INDEX(Properties!A$1:CB$87,Formula!F105,30))+Formula!I105*(INDEX(Properties!A$1:CB$87,Formula!H105,30))+Formula!K105*(INDEX(Properties!A$1:CB$87,Formula!J105,30))</f>
        <v>23.79</v>
      </c>
      <c r="CP105" s="54">
        <f>VARP(IF(INDEX(Properties!A$1:CB$87,Formula!B105,30)&lt;&gt;"",INDEX(Properties!A$1:CB$87,Formula!B105,30)),IF(INDEX(Properties!A$1:CB$87,Formula!D105,30)&lt;&gt;"",INDEX(Properties!A$1:CB$87,Formula!D105,30)),IF(INDEX(Properties!A$1:CB$87,Formula!F105,30)&lt;&gt;"",INDEX(Properties!A$1:CB$87,Formula!F105,30)),IF(INDEX(Properties!A$1:CB$87,Formula!H105,30)&lt;&gt;"",INDEX(Properties!A$1:CB$87,Formula!H105,30)),IF(INDEX(Properties!A$1:CB$87,Formula!J105,30)&lt;&gt;"",INDEX(Properties!A$1:CB$87,Formula!J105,30)))</f>
        <v>1.9168959999999999</v>
      </c>
      <c r="CQ105" s="54">
        <f>MAX(INDEX(Properties!A$1:CB$87,Formula!B105,30),INDEX(Properties!A$1:CB$87,Formula!D105,30),INDEX(Properties!A$1:CB$87,Formula!F105,30),INDEX(Properties!A$1:CB$87,Formula!H105,30),INDEX(Properties!A$1:CB$87,Formula!J105,30))</f>
        <v>3.44</v>
      </c>
      <c r="CR105" s="54">
        <f>MIN(IF(INDEX(Properties!A$1:CB$87,Formula!B105,30)=0,10^6,INDEX(Properties!A$1:CB$87,Formula!B105,30)),IF(INDEX(Properties!A$1:CB$87,Formula!D105,30)=0,10^6,INDEX(Properties!A$1:CB$87,Formula!D105,30)),IF(INDEX(Properties!A$1:CB$87,Formula!F105,30)=0,10^6,INDEX(Properties!A$1:CB$87,Formula!F105,30)),IF(INDEX(Properties!A$1:CB$87,Formula!H105,30)=0,10^6,INDEX(Properties!A$1:CB$87,Formula!H105,30)),IF(INDEX(Properties!A$1:CB$87,Formula!J105,30)=0,10^6,INDEX(Properties!A$1:CB$87,Formula!J105,30)))</f>
        <v>2.02</v>
      </c>
      <c r="CS105" s="54">
        <f t="shared" si="47"/>
        <v>1.42</v>
      </c>
      <c r="CT105" s="69">
        <f>((Formula!C105)/(Formula!C105+Formula!E105+Formula!G105+Formula!I105+Formula!K105))*(INDEX(Properties!A$1:CB$87,Formula!B105,31))+((Formula!E105)/(Formula!C105+Formula!E105+Formula!G105+Formula!I105+Formula!K105))*(INDEX(Properties!A$1:CB$87,Formula!D105,31))+((Formula!G105)/(Formula!C105+Formula!E105+Formula!G105+Formula!I105+Formula!K105))*(INDEX(Properties!A$1:CB$87,Formula!F105,31))+((Formula!I105)/(Formula!C105+Formula!E105+Formula!G105+Formula!I105+Formula!K105))*(INDEX(Properties!A$1:CB$87,Formula!H105,31))+((Formula!K105)/(Formula!C105+Formula!E105+Formula!G105+Formula!I105+Formula!K105))*(INDEX(Properties!A$1:CB$87,Formula!J105,31))</f>
        <v>2.90625</v>
      </c>
      <c r="CU105" s="69">
        <f>Formula!C105*(INDEX(Properties!A$1:CB$87,Formula!B105,31))+Formula!E105*(INDEX(Properties!A$1:CB$87,Formula!D105,31))+Formula!G105*(INDEX(Properties!A$1:CB$87,Formula!F105,31))+Formula!I105*(INDEX(Properties!A$1:CB$87,Formula!H105,31))+Formula!K105*(INDEX(Properties!A$1:CB$87,Formula!J105,31))</f>
        <v>23.25</v>
      </c>
      <c r="CV105" s="69">
        <f>VARP(IF(INDEX(Properties!A$1:CB$87,Formula!B105,31)&lt;&gt;"",INDEX(Properties!A$1:CB$87,Formula!B105,31)),IF(INDEX(Properties!A$1:CB$87,Formula!D105,31)&lt;&gt;"",INDEX(Properties!A$1:CB$87,Formula!D105,31)),IF(INDEX(Properties!A$1:CB$87,Formula!F105,31)&lt;&gt;"",INDEX(Properties!A$1:CB$87,Formula!F105,31)),IF(INDEX(Properties!A$1:CB$87,Formula!H105,31)&lt;&gt;"",INDEX(Properties!A$1:CB$87,Formula!H105,31)),IF(INDEX(Properties!A$1:CB$87,Formula!J105,31)&lt;&gt;"",INDEX(Properties!A$1:CB$87,Formula!J105,31)))</f>
        <v>1.7914239999999992</v>
      </c>
      <c r="CW105" s="69">
        <f>MAX(INDEX(Properties!A$1:CB$87,Formula!B105,31),INDEX(Properties!A$1:CB$87,Formula!D105,31),INDEX(Properties!A$1:CB$87,Formula!F105,31),INDEX(Properties!A$1:CB$87,Formula!H105,31),INDEX(Properties!A$1:CB$87,Formula!J105,31))</f>
        <v>3.32</v>
      </c>
      <c r="CX105" s="69">
        <f>MIN(IF(INDEX(Properties!A$1:CB$87,Formula!B105,31)=0,10^6,INDEX(Properties!A$1:CB$87,Formula!B105,31)),IF(INDEX(Properties!A$1:CB$87,Formula!D105,31)=0,10^6,INDEX(Properties!A$1:CB$87,Formula!D105,31)),IF(INDEX(Properties!A$1:CB$87,Formula!F105,31)=0,10^6,INDEX(Properties!A$1:CB$87,Formula!F105,31)),IF(INDEX(Properties!A$1:CB$87,Formula!H105,31)=0,10^6,INDEX(Properties!A$1:CB$87,Formula!H105,31)),IF(INDEX(Properties!A$1:CB$87,Formula!J105,31)=0,10^6,INDEX(Properties!A$1:CB$87,Formula!J105,31)))</f>
        <v>2.14</v>
      </c>
      <c r="CY105" s="69">
        <f t="shared" si="48"/>
        <v>1.1799999999999997</v>
      </c>
      <c r="CZ105" s="42">
        <f>((Formula!C105)/(Formula!C105+Formula!E105+Formula!G105+Formula!I105+Formula!K105))*(INDEX(Properties!A$1:CB$87,Formula!B105,32))+((Formula!E105)/(Formula!C105+Formula!E105+Formula!G105+Formula!I105+Formula!K105))*(INDEX(Properties!A$1:CB$87,Formula!D105,32))+((Formula!G105)/(Formula!C105+Formula!E105+Formula!G105+Formula!I105+Formula!K105))*(INDEX(Properties!A$1:CB$87,Formula!F105,32))+((Formula!I105)/(Formula!C105+Formula!E105+Formula!G105+Formula!I105+Formula!K105))*(INDEX(Properties!A$1:CB$87,Formula!H105,32))+((Formula!K105)/(Formula!C105+Formula!E105+Formula!G105+Formula!I105+Formula!K105))*(INDEX(Properties!A$1:CB$87,Formula!J105,32))</f>
        <v>6.6687500000000002</v>
      </c>
      <c r="DA105" s="42">
        <f>Formula!C105*(INDEX(Properties!A$1:CB$87,Formula!B105,32))+Formula!E105*(INDEX(Properties!A$1:CB$87,Formula!D105,32))+Formula!G105*(INDEX(Properties!A$1:CB$87,Formula!F105,32))+Formula!I105*(INDEX(Properties!A$1:CB$87,Formula!H105,32))+Formula!K105*(INDEX(Properties!A$1:CB$87,Formula!J105,32))</f>
        <v>53.35</v>
      </c>
      <c r="DB105" s="42">
        <f>VARP(IF(INDEX(Properties!A$1:CB$87,Formula!B105,32)&lt;&gt;"",INDEX(Properties!A$1:CB$87,Formula!B105,32)),IF(INDEX(Properties!A$1:CB$87,Formula!D105,32)&lt;&gt;"",INDEX(Properties!A$1:CB$87,Formula!D105,32)),IF(INDEX(Properties!A$1:CB$87,Formula!F105,32)&lt;&gt;"",INDEX(Properties!A$1:CB$87,Formula!F105,32)),IF(INDEX(Properties!A$1:CB$87,Formula!H105,32)&lt;&gt;"",INDEX(Properties!A$1:CB$87,Formula!H105,32)),IF(INDEX(Properties!A$1:CB$87,Formula!J105,32)&lt;&gt;"",INDEX(Properties!A$1:CB$87,Formula!J105,32)))</f>
        <v>9.9421199999999956</v>
      </c>
      <c r="DC105" s="42">
        <f>MAX(INDEX(Properties!A$1:CB$87,Formula!B105,32),INDEX(Properties!A$1:CB$87,Formula!D105,32),INDEX(Properties!A$1:CB$87,Formula!F105,32),INDEX(Properties!A$1:CB$87,Formula!H105,32),INDEX(Properties!A$1:CB$87,Formula!J105,32))</f>
        <v>7.54</v>
      </c>
      <c r="DD105" s="42">
        <f>MIN(IF(INDEX(Properties!A$1:CB$87,Formula!B105,32)=0,10^6,INDEX(Properties!A$1:CB$87,Formula!B105,32)),IF(INDEX(Properties!A$1:CB$87,Formula!D105,32)=0,10^6,INDEX(Properties!A$1:CB$87,Formula!D105,32)),IF(INDEX(Properties!A$1:CB$87,Formula!F105,32)=0,10^6,INDEX(Properties!A$1:CB$87,Formula!F105,32)),IF(INDEX(Properties!A$1:CB$87,Formula!H105,32)=0,10^6,INDEX(Properties!A$1:CB$87,Formula!H105,32)),IF(INDEX(Properties!A$1:CB$87,Formula!J105,32)=0,10^6,INDEX(Properties!A$1:CB$87,Formula!J105,32)))</f>
        <v>4.6900000000000004</v>
      </c>
      <c r="DE105" s="42">
        <f t="shared" si="49"/>
        <v>2.8499999999999996</v>
      </c>
      <c r="DF105" s="60">
        <f>((Formula!C105)/(Formula!C105+Formula!E105+Formula!G105+Formula!I105+Formula!K105))*(INDEX(Properties!A$1:CB$87,Formula!B105,34))+((Formula!E105)/(Formula!C105+Formula!E105+Formula!G105+Formula!I105+Formula!K105))*(INDEX(Properties!A$1:CB$87,Formula!D105,34))+((Formula!G105)/(Formula!C105+Formula!E105+Formula!G105+Formula!I105+Formula!K105))*(INDEX(Properties!A$1:CB$87,Formula!F105,34))+((Formula!I105)/(Formula!C105+Formula!E105+Formula!G105+Formula!I105+Formula!K105))*(INDEX(Properties!A$1:CB$87,Formula!H105,34))+((Formula!K105)/(Formula!C105+Formula!E105+Formula!G105+Formula!I105+Formula!K105))*(INDEX(Properties!A$1:CB$87,Formula!J105,34))</f>
        <v>3.0767500000000001</v>
      </c>
      <c r="DG105" s="60">
        <f>Formula!C105*(INDEX(Properties!A$1:CB$87,Formula!B105,34))+Formula!E105*(INDEX(Properties!A$1:CB$87,Formula!D105,34))+Formula!G105*(INDEX(Properties!A$1:CB$87,Formula!F105,34))+Formula!I105*(INDEX(Properties!A$1:CB$87,Formula!H105,34))+Formula!K105*(INDEX(Properties!A$1:CB$87,Formula!J105,34))</f>
        <v>24.614000000000001</v>
      </c>
      <c r="DH105" s="60">
        <f>VARP(IF(INDEX(Properties!A$1:CB$87,Formula!B105,34)&lt;&gt;"",INDEX(Properties!A$1:CB$87,Formula!B105,34)),IF(INDEX(Properties!A$1:CB$87,Formula!D105,34)&lt;&gt;"",INDEX(Properties!A$1:CB$87,Formula!D105,34)),IF(INDEX(Properties!A$1:CB$87,Formula!F105,34)&lt;&gt;"",INDEX(Properties!A$1:CB$87,Formula!F105,34)),IF(INDEX(Properties!A$1:CB$87,Formula!H105,34)&lt;&gt;"",INDEX(Properties!A$1:CB$87,Formula!H105,34)),IF(INDEX(Properties!A$1:CB$87,Formula!J105,34)&lt;&gt;"",INDEX(Properties!A$1:CB$87,Formula!J105,34)))</f>
        <v>2.0427913599999998</v>
      </c>
      <c r="DI105" s="60">
        <f>MAX(INDEX(Properties!A$1:CB$87,Formula!B105,34),INDEX(Properties!A$1:CB$87,Formula!D105,34),INDEX(Properties!A$1:CB$87,Formula!F105,34),INDEX(Properties!A$1:CB$87,Formula!H105,34),INDEX(Properties!A$1:CB$87,Formula!J105,34))</f>
        <v>3.61</v>
      </c>
      <c r="DJ105" s="60">
        <f>MIN(IF(INDEX(Properties!A$1:CB$87,Formula!B105,34)=0,10^6,INDEX(Properties!A$1:CB$87,Formula!B105,34)),IF(INDEX(Properties!A$1:CB$87,Formula!D105,34)=0,10^6,INDEX(Properties!A$1:CB$87,Formula!D105,34)),IF(INDEX(Properties!A$1:CB$87,Formula!F105,34)=0,10^6,INDEX(Properties!A$1:CB$87,Formula!F105,34)),IF(INDEX(Properties!A$1:CB$87,Formula!H105,34)=0,10^6,INDEX(Properties!A$1:CB$87,Formula!H105,34)),IF(INDEX(Properties!A$1:CB$87,Formula!J105,34)=0,10^6,INDEX(Properties!A$1:CB$87,Formula!J105,34)))</f>
        <v>2.0099999999999998</v>
      </c>
      <c r="DK105" s="60">
        <f t="shared" si="50"/>
        <v>1.6</v>
      </c>
      <c r="DL105" s="45">
        <f>((Formula!C105)/(Formula!C105+Formula!E105+Formula!G105+Formula!I105+Formula!K105))*(INDEX(Properties!A$1:CB$87,Formula!B105,39))+((Formula!E105)/(Formula!C105+Formula!E105+Formula!G105+Formula!I105+Formula!K105))*(INDEX(Properties!A$1:CB$87,Formula!D105,39))+((Formula!G105)/(Formula!C105+Formula!E105+Formula!G105+Formula!I105+Formula!K105))*(INDEX(Properties!A$1:CB$87,Formula!F105,39))+((Formula!I105)/(Formula!C105+Formula!E105+Formula!G105+Formula!I105+Formula!K105))*(INDEX(Properties!A$1:CB$87,Formula!H105,39))+((Formula!K105)/(Formula!C105+Formula!E105+Formula!G105+Formula!I105+Formula!K105))*(INDEX(Properties!A$1:CB$87,Formula!J105,39))</f>
        <v>0.74124999999999996</v>
      </c>
      <c r="DM105" s="45">
        <f>Formula!C105*(INDEX(Properties!A$1:CB$87,Formula!B105,39))+Formula!E105*(INDEX(Properties!A$1:CB$87,Formula!D105,39))+Formula!G105*(INDEX(Properties!A$1:CB$87,Formula!F105,39))+Formula!I105*(INDEX(Properties!A$1:CB$87,Formula!H105,39))+Formula!K105*(INDEX(Properties!A$1:CB$87,Formula!J105,39))</f>
        <v>5.93</v>
      </c>
      <c r="DN105" s="45">
        <f>VARP(IF(INDEX(Properties!A$1:CB$87,Formula!B105,39)&lt;&gt;"",INDEX(Properties!A$1:CB$87,Formula!B105,39)),IF(INDEX(Properties!A$1:CB$87,Formula!D105,39)&lt;&gt;"",INDEX(Properties!A$1:CB$87,Formula!D105,39)),IF(INDEX(Properties!A$1:CB$87,Formula!F105,39)&lt;&gt;"",INDEX(Properties!A$1:CB$87,Formula!F105,39)),IF(INDEX(Properties!A$1:CB$87,Formula!H105,39)&lt;&gt;"",INDEX(Properties!A$1:CB$87,Formula!H105,39)),IF(INDEX(Properties!A$1:CB$87,Formula!J105,39)&lt;&gt;"",INDEX(Properties!A$1:CB$87,Formula!J105,39)))</f>
        <v>0.27858399999999994</v>
      </c>
      <c r="DO105" s="45">
        <f>MAX(INDEX(Properties!A$1:CB$87,Formula!B105,39),INDEX(Properties!A$1:CB$87,Formula!D105,39),INDEX(Properties!A$1:CB$87,Formula!F105,39),INDEX(Properties!A$1:CB$87,Formula!H105,39),INDEX(Properties!A$1:CB$87,Formula!J105,39))</f>
        <v>1.43</v>
      </c>
      <c r="DP105" s="45">
        <f>MIN(IF(INDEX(Properties!A$1:CB$87,Formula!B105,39)=0,10^6,INDEX(Properties!A$1:CB$87,Formula!B105,39)),IF(INDEX(Properties!A$1:CB$87,Formula!D105,39)=0,10^6,INDEX(Properties!A$1:CB$87,Formula!D105,39)),IF(INDEX(Properties!A$1:CB$87,Formula!F105,39)=0,10^6,INDEX(Properties!A$1:CB$87,Formula!F105,39)),IF(INDEX(Properties!A$1:CB$87,Formula!H105,39)=0,10^6,INDEX(Properties!A$1:CB$87,Formula!H105,39)),IF(INDEX(Properties!A$1:CB$87,Formula!J105,39)=0,10^6,INDEX(Properties!A$1:CB$87,Formula!J105,39)))</f>
        <v>0.48</v>
      </c>
      <c r="DQ105" s="45">
        <f t="shared" si="51"/>
        <v>0.95</v>
      </c>
      <c r="DR105" s="63">
        <f>((Formula!C105)/(Formula!C105+Formula!E105+Formula!G105+Formula!I105+Formula!K105))*(INDEX(Properties!A$1:CB$87,Formula!B105,40))+((Formula!E105)/(Formula!C105+Formula!E105+Formula!G105+Formula!I105+Formula!K105))*(INDEX(Properties!A$1:CB$87,Formula!D105,40))+((Formula!G105)/(Formula!C105+Formula!E105+Formula!G105+Formula!I105+Formula!K105))*(INDEX(Properties!A$1:CB$87,Formula!F105,40))+((Formula!I105)/(Formula!C105+Formula!E105+Formula!G105+Formula!I105+Formula!K105))*(INDEX(Properties!A$1:CB$87,Formula!H105,40))+((Formula!K105)/(Formula!C105+Formula!E105+Formula!G105+Formula!I105+Formula!K105))*(INDEX(Properties!A$1:CB$87,Formula!J105,40))</f>
        <v>0.91749999999999998</v>
      </c>
      <c r="DS105" s="63">
        <f>Formula!C105*(INDEX(Properties!A$1:CB$87,Formula!B105,40))+Formula!E105*(INDEX(Properties!A$1:CB$87,Formula!D105,40))+Formula!G105*(INDEX(Properties!A$1:CB$87,Formula!F105,40))+Formula!I105*(INDEX(Properties!A$1:CB$87,Formula!H105,40))+Formula!K105*(INDEX(Properties!A$1:CB$87,Formula!J105,40))</f>
        <v>7.34</v>
      </c>
      <c r="DT105" s="63">
        <f>VARP(IF(INDEX(Properties!A$1:CB$87,Formula!B105,40)&lt;&gt;"",INDEX(Properties!A$1:CB$87,Formula!B105,40)),IF(INDEX(Properties!A$1:CB$87,Formula!D105,40)&lt;&gt;"",INDEX(Properties!A$1:CB$87,Formula!D105,40)),IF(INDEX(Properties!A$1:CB$87,Formula!F105,40)&lt;&gt;"",INDEX(Properties!A$1:CB$87,Formula!F105,40)),IF(INDEX(Properties!A$1:CB$87,Formula!H105,40)&lt;&gt;"",INDEX(Properties!A$1:CB$87,Formula!H105,40)),IF(INDEX(Properties!A$1:CB$87,Formula!J105,40)&lt;&gt;"",INDEX(Properties!A$1:CB$87,Formula!J105,40)))</f>
        <v>0.30101599999999995</v>
      </c>
      <c r="DU105" s="63">
        <f>MAX(INDEX(Properties!A$1:CB$87,Formula!B105,40),INDEX(Properties!A$1:CB$87,Formula!D105,40),INDEX(Properties!A$1:CB$87,Formula!F105,40),INDEX(Properties!A$1:CB$87,Formula!H105,40),INDEX(Properties!A$1:CB$87,Formula!J105,40))</f>
        <v>1.46</v>
      </c>
      <c r="DV105" s="63">
        <f>MIN(IF(INDEX(Properties!A$1:CB$87,Formula!B105,40)=0,10^6,INDEX(Properties!A$1:CB$87,Formula!B105,40)),IF(INDEX(Properties!A$1:CB$87,Formula!D105,40)=0,10^6,INDEX(Properties!A$1:CB$87,Formula!D105,40)),IF(INDEX(Properties!A$1:CB$87,Formula!F105,40)=0,10^6,INDEX(Properties!A$1:CB$87,Formula!F105,40)),IF(INDEX(Properties!A$1:CB$87,Formula!H105,40)=0,10^6,INDEX(Properties!A$1:CB$87,Formula!H105,40)),IF(INDEX(Properties!A$1:CB$87,Formula!J105,40)=0,10^6,INDEX(Properties!A$1:CB$87,Formula!J105,40)))</f>
        <v>0.73</v>
      </c>
      <c r="DW105" s="63">
        <f t="shared" si="52"/>
        <v>0.73</v>
      </c>
      <c r="DX105" s="75">
        <f>((Formula!C105)/(Formula!C105+Formula!E105+Formula!G105+Formula!I105+Formula!K105))*(INDEX(Properties!A$1:CB$87,Formula!B105,41))+((Formula!E105)/(Formula!C105+Formula!E105+Formula!G105+Formula!I105+Formula!K105))*(INDEX(Properties!A$1:CB$87,Formula!D105,41))+((Formula!G105)/(Formula!C105+Formula!E105+Formula!G105+Formula!I105+Formula!K105))*(INDEX(Properties!A$1:CB$87,Formula!F105,41))+((Formula!I105)/(Formula!C105+Formula!E105+Formula!G105+Formula!I105+Formula!K105))*(INDEX(Properties!A$1:CB$87,Formula!H105,41))+((Formula!K105)/(Formula!C105+Formula!E105+Formula!G105+Formula!I105+Formula!K105))*(INDEX(Properties!A$1:CB$87,Formula!J105,41))</f>
        <v>1.1299999999999999</v>
      </c>
      <c r="DY105" s="75">
        <f>Formula!C105*(INDEX(Properties!A$1:CB$87,Formula!B105,41))+Formula!E105*(INDEX(Properties!A$1:CB$87,Formula!D105,41))+Formula!G105*(INDEX(Properties!A$1:CB$87,Formula!F105,41))+Formula!I105*(INDEX(Properties!A$1:CB$87,Formula!H105,41))+Formula!K105*(INDEX(Properties!A$1:CB$87,Formula!J105,41))</f>
        <v>9.0399999999999991</v>
      </c>
      <c r="DZ105" s="75">
        <f>VARP(IF(INDEX(Properties!A$1:CB$87,Formula!B105,41)&lt;&gt;"",INDEX(Properties!A$1:CB$87,Formula!B105,41)),IF(INDEX(Properties!A$1:CB$87,Formula!D105,41)&lt;&gt;"",INDEX(Properties!A$1:CB$87,Formula!D105,41)),IF(INDEX(Properties!A$1:CB$87,Formula!F105,41)&lt;&gt;"",INDEX(Properties!A$1:CB$87,Formula!F105,41)),IF(INDEX(Properties!A$1:CB$87,Formula!H105,41)&lt;&gt;"",INDEX(Properties!A$1:CB$87,Formula!H105,41)),IF(INDEX(Properties!A$1:CB$87,Formula!J105,41)&lt;&gt;"",INDEX(Properties!A$1:CB$87,Formula!J105,41)))</f>
        <v>0.30294399999999994</v>
      </c>
      <c r="EA105" s="75">
        <f>MAX(INDEX(Properties!A$1:CB$87,Formula!B105,41),INDEX(Properties!A$1:CB$87,Formula!D105,41),INDEX(Properties!A$1:CB$87,Formula!F105,41),INDEX(Properties!A$1:CB$87,Formula!H105,41),INDEX(Properties!A$1:CB$87,Formula!J105,41))</f>
        <v>1.26</v>
      </c>
      <c r="EB105" s="75">
        <f>MIN(IF(INDEX(Properties!A$1:CB$87,Formula!B105,41)=0,10^6,INDEX(Properties!A$1:CB$87,Formula!B105,41)),IF(INDEX(Properties!A$1:CB$87,Formula!D105,41)=0,10^6,INDEX(Properties!A$1:CB$87,Formula!D105,41)),IF(INDEX(Properties!A$1:CB$87,Formula!F105,41)=0,10^6,INDEX(Properties!A$1:CB$87,Formula!F105,41)),IF(INDEX(Properties!A$1:CB$87,Formula!H105,41)=0,10^6,INDEX(Properties!A$1:CB$87,Formula!H105,41)),IF(INDEX(Properties!A$1:CB$87,Formula!J105,41)=0,10^6,INDEX(Properties!A$1:CB$87,Formula!J105,41)))</f>
        <v>0.4</v>
      </c>
      <c r="EC105" s="75">
        <f t="shared" si="53"/>
        <v>0.86</v>
      </c>
      <c r="ED105" s="48">
        <f>((Formula!C105)/(Formula!C105+Formula!E105+Formula!G105+Formula!I105+Formula!K105))*(INDEX(Properties!A$1:CB$87,Formula!B105,45))+((Formula!E105)/(Formula!C105+Formula!E105+Formula!G105+Formula!I105+Formula!K105))*(INDEX(Properties!A$1:CB$87,Formula!D105,45))+((Formula!G105)/(Formula!C105+Formula!E105+Formula!G105+Formula!I105+Formula!K105))*(INDEX(Properties!A$1:CB$87,Formula!F105,45))+((Formula!I105)/(Formula!C105+Formula!E105+Formula!G105+Formula!I105+Formula!K105))*(INDEX(Properties!A$1:CB$87,Formula!H105,45))+((Formula!K105)/(Formula!C105+Formula!E105+Formula!G105+Formula!I105+Formula!K105))*(INDEX(Properties!A$1:CB$87,Formula!J105,45))</f>
        <v>0.87374999999999992</v>
      </c>
      <c r="EE105" s="48">
        <f>Formula!C105*(INDEX(Properties!A$1:CB$87,Formula!B105,45))+Formula!E105*(INDEX(Properties!A$1:CB$87,Formula!D105,45))+Formula!G105*(INDEX(Properties!A$1:CB$87,Formula!F105,45))+Formula!I105*(INDEX(Properties!A$1:CB$87,Formula!H105,45))+Formula!K105*(INDEX(Properties!A$1:CB$87,Formula!J105,45))</f>
        <v>6.9899999999999993</v>
      </c>
      <c r="EF105" s="48">
        <f>VARP(IF(INDEX(Properties!A$1:CB$87,Formula!B105,45)&lt;&gt;"",INDEX(Properties!A$1:CB$87,Formula!B105,45)),IF(INDEX(Properties!A$1:CB$87,Formula!D105,45)&lt;&gt;"",INDEX(Properties!A$1:CB$87,Formula!D105,45)),IF(INDEX(Properties!A$1:CB$87,Formula!F105,45)&lt;&gt;"",INDEX(Properties!A$1:CB$87,Formula!F105,45)),IF(INDEX(Properties!A$1:CB$87,Formula!H105,45)&lt;&gt;"",INDEX(Properties!A$1:CB$87,Formula!H105,45)),IF(INDEX(Properties!A$1:CB$87,Formula!J105,45)&lt;&gt;"",INDEX(Properties!A$1:CB$87,Formula!J105,45)))</f>
        <v>0.53921600000000003</v>
      </c>
      <c r="EG105" s="48">
        <f>MAX(INDEX(Properties!A$1:CB$87,Formula!B105,45),INDEX(Properties!A$1:CB$87,Formula!D105,45),INDEX(Properties!A$1:CB$87,Formula!F105,45),INDEX(Properties!A$1:CB$87,Formula!H105,45),INDEX(Properties!A$1:CB$87,Formula!J105,45))</f>
        <v>2</v>
      </c>
      <c r="EH105" s="48">
        <f>MIN(IF(INDEX(Properties!A$1:CB$87,Formula!B105,45)=0,10^6,INDEX(Properties!A$1:CB$87,Formula!B105,45)),IF(INDEX(Properties!A$1:CB$87,Formula!D105,45)=0,10^6,INDEX(Properties!A$1:CB$87,Formula!D105,45)),IF(INDEX(Properties!A$1:CB$87,Formula!F105,45)=0,10^6,INDEX(Properties!A$1:CB$87,Formula!F105,45)),IF(INDEX(Properties!A$1:CB$87,Formula!H105,45)=0,10^6,INDEX(Properties!A$1:CB$87,Formula!H105,45)),IF(INDEX(Properties!A$1:CB$87,Formula!J105,45)=0,10^6,INDEX(Properties!A$1:CB$87,Formula!J105,45)))</f>
        <v>0.47</v>
      </c>
      <c r="EI105" s="48">
        <f t="shared" si="54"/>
        <v>1.53</v>
      </c>
      <c r="EJ105" s="66">
        <f>((Formula!C105)/(Formula!C105+Formula!E105+Formula!G105+Formula!I105+Formula!K105))*(INDEX(Properties!A$1:CB$87,Formula!B105,46))+((Formula!E105)/(Formula!C105+Formula!E105+Formula!G105+Formula!I105+Formula!K105))*(INDEX(Properties!A$1:CB$87,Formula!D105,46))+((Formula!G105)/(Formula!C105+Formula!E105+Formula!G105+Formula!I105+Formula!K105))*(INDEX(Properties!A$1:CB$87,Formula!F105,46))+((Formula!I105)/(Formula!C105+Formula!E105+Formula!G105+Formula!I105+Formula!K105))*(INDEX(Properties!A$1:CB$87,Formula!H105,46))+((Formula!K105)/(Formula!C105+Formula!E105+Formula!G105+Formula!I105+Formula!K105))*(INDEX(Properties!A$1:CB$87,Formula!J105,46))</f>
        <v>1.085</v>
      </c>
      <c r="EK105" s="66">
        <f>Formula!C105*(INDEX(Properties!A$1:CB$87,Formula!B105,46))+Formula!E105*(INDEX(Properties!A$1:CB$87,Formula!D105,46))+Formula!G105*(INDEX(Properties!A$1:CB$87,Formula!F105,46))+Formula!I105*(INDEX(Properties!A$1:CB$87,Formula!H105,46))+Formula!K105*(INDEX(Properties!A$1:CB$87,Formula!J105,46))</f>
        <v>8.68</v>
      </c>
      <c r="EL105" s="66">
        <f>VARP(IF(INDEX(Properties!A$1:CB$87,Formula!B105,46)&lt;&gt;"",INDEX(Properties!A$1:CB$87,Formula!B105,46)),IF(INDEX(Properties!A$1:CB$87,Formula!D105,46)&lt;&gt;"",INDEX(Properties!A$1:CB$87,Formula!D105,46)),IF(INDEX(Properties!A$1:CB$87,Formula!F105,46)&lt;&gt;"",INDEX(Properties!A$1:CB$87,Formula!F105,46)),IF(INDEX(Properties!A$1:CB$87,Formula!H105,46)&lt;&gt;"",INDEX(Properties!A$1:CB$87,Formula!H105,46)),IF(INDEX(Properties!A$1:CB$87,Formula!J105,46)&lt;&gt;"",INDEX(Properties!A$1:CB$87,Formula!J105,46)))</f>
        <v>0.29826399999999992</v>
      </c>
      <c r="EM105" s="66">
        <f>MAX(INDEX(Properties!A$1:CB$87,Formula!B105,46),INDEX(Properties!A$1:CB$87,Formula!D105,46),INDEX(Properties!A$1:CB$87,Formula!F105,46),INDEX(Properties!A$1:CB$87,Formula!H105,46),INDEX(Properties!A$1:CB$87,Formula!J105,46))</f>
        <v>1.21</v>
      </c>
      <c r="EN105" s="66">
        <f>MIN(IF(INDEX(Properties!A$1:CB$87,Formula!B105,46)=0,10^6,INDEX(Properties!A$1:CB$87,Formula!B105,46)),IF(INDEX(Properties!A$1:CB$87,Formula!D105,46)=0,10^6,INDEX(Properties!A$1:CB$87,Formula!D105,46)),IF(INDEX(Properties!A$1:CB$87,Formula!F105,46)=0,10^6,INDEX(Properties!A$1:CB$87,Formula!F105,46)),IF(INDEX(Properties!A$1:CB$87,Formula!H105,46)=0,10^6,INDEX(Properties!A$1:CB$87,Formula!H105,46)),IF(INDEX(Properties!A$1:CB$87,Formula!J105,46)=0,10^6,INDEX(Properties!A$1:CB$87,Formula!J105,46)))</f>
        <v>0.28999999999999998</v>
      </c>
      <c r="EO105" s="66">
        <f t="shared" si="55"/>
        <v>0.91999999999999993</v>
      </c>
      <c r="EP105" s="81">
        <f>((Formula!C105)/(Formula!C105+Formula!E105+Formula!G105+Formula!I105+Formula!K105))*(INDEX(Properties!A$1:CB$87,Formula!B105,52))+((Formula!E105)/(Formula!C105+Formula!E105+Formula!G105+Formula!I105+Formula!K105))*(INDEX(Properties!A$1:CB$87,Formula!D105,52))+((Formula!G105)/(Formula!C105+Formula!E105+Formula!G105+Formula!I105+Formula!K105))*(INDEX(Properties!A$1:CB$87,Formula!F105,52))+((Formula!I105)/(Formula!C105+Formula!E105+Formula!G105+Formula!I105+Formula!K105))*(INDEX(Properties!A$1:CB$87,Formula!H105,52))+((Formula!K105)/(Formula!C105+Formula!E105+Formula!G105+Formula!I105+Formula!K105))*(INDEX(Properties!A$1:CB$87,Formula!J105,52))</f>
        <v>2.5706250000000002</v>
      </c>
      <c r="EQ105" s="81">
        <f>Formula!C105*(INDEX(Properties!A$1:CB$87,Formula!B105,52))+Formula!E105*(INDEX(Properties!A$1:CB$87,Formula!D105,52))+Formula!G105*(INDEX(Properties!A$1:CB$87,Formula!F105,52))+Formula!I105*(INDEX(Properties!A$1:CB$87,Formula!H105,52))+Formula!K105*(INDEX(Properties!A$1:CB$87,Formula!J105,52))</f>
        <v>20.565000000000001</v>
      </c>
      <c r="ER105" s="81">
        <f>VARP(IF(INDEX(Properties!A$1:CB$87,Formula!B105,52)&lt;&gt;"",INDEX(Properties!A$1:CB$87,Formula!B105,52)),IF(INDEX(Properties!A$1:CB$87,Formula!D105,52)&lt;&gt;"",INDEX(Properties!A$1:CB$87,Formula!D105,52)),IF(INDEX(Properties!A$1:CB$87,Formula!F105,52)&lt;&gt;"",INDEX(Properties!A$1:CB$87,Formula!F105,52)),IF(INDEX(Properties!A$1:CB$87,Formula!H105,52)&lt;&gt;"",INDEX(Properties!A$1:CB$87,Formula!H105,52)),IF(INDEX(Properties!A$1:CB$87,Formula!J105,52)&lt;&gt;"",INDEX(Properties!A$1:CB$87,Formula!J105,52)))</f>
        <v>7.7313678400000025</v>
      </c>
      <c r="ES105" s="81">
        <f>MAX(INDEX(Properties!A$1:CB$87,Formula!B105,52),INDEX(Properties!A$1:CB$87,Formula!D105,52),INDEX(Properties!A$1:CB$87,Formula!F105,52),INDEX(Properties!A$1:CB$87,Formula!H105,52),INDEX(Properties!A$1:CB$87,Formula!J105,52))</f>
        <v>7.4</v>
      </c>
      <c r="ET105" s="81">
        <f>MIN(IF(INDEX(Properties!A$1:CB$87,Formula!B105,52)=0,10^6,INDEX(Properties!A$1:CB$87,Formula!B105,52)),IF(INDEX(Properties!A$1:CB$87,Formula!D105,52)=0,10^6,INDEX(Properties!A$1:CB$87,Formula!D105,52)),IF(INDEX(Properties!A$1:CB$87,Formula!F105,52)=0,10^6,INDEX(Properties!A$1:CB$87,Formula!F105,52)),IF(INDEX(Properties!A$1:CB$87,Formula!H105,52)=0,10^6,INDEX(Properties!A$1:CB$87,Formula!H105,52)),IF(INDEX(Properties!A$1:CB$87,Formula!J105,52)=0,10^6,INDEX(Properties!A$1:CB$87,Formula!J105,52)))</f>
        <v>0.79300000000000004</v>
      </c>
      <c r="EU105" s="81">
        <f t="shared" si="56"/>
        <v>6.6070000000000002</v>
      </c>
      <c r="EV105" s="39">
        <f>((Formula!C105)/(Formula!C105+Formula!E105+Formula!G105+Formula!I105+Formula!K105))*(INDEX(Properties!A$1:CB$87,Formula!B105,53))+((Formula!E105)/(Formula!C105+Formula!E105+Formula!G105+Formula!I105+Formula!K105))*(INDEX(Properties!A$1:CB$87,Formula!D105,53))+((Formula!G105)/(Formula!C105+Formula!E105+Formula!G105+Formula!I105+Formula!K105))*(INDEX(Properties!A$1:CB$87,Formula!F105,53))+((Formula!I105)/(Formula!C105+Formula!E105+Formula!G105+Formula!I105+Formula!K105))*(INDEX(Properties!A$1:CB$87,Formula!H105,53))+((Formula!K105)/(Formula!C105+Formula!E105+Formula!G105+Formula!I105+Formula!K105))*(INDEX(Properties!A$1:CB$87,Formula!J105,53))</f>
        <v>625.27499999999998</v>
      </c>
      <c r="EW105" s="39">
        <f>Formula!C105*(INDEX(Properties!A$1:CB$87,Formula!B105,53))+Formula!E105*(INDEX(Properties!A$1:CB$87,Formula!D105,53))+Formula!G105*(INDEX(Properties!A$1:CB$87,Formula!F105,53))+Formula!I105*(INDEX(Properties!A$1:CB$87,Formula!H105,53))+Formula!K105*(INDEX(Properties!A$1:CB$87,Formula!J105,53))</f>
        <v>5002.2</v>
      </c>
      <c r="EX105" s="39">
        <f>VARP(IF(INDEX(Properties!A$1:CB$87,Formula!B105,53)&lt;&gt;"",INDEX(Properties!A$1:CB$87,Formula!B105,53)),IF(INDEX(Properties!A$1:CB$87,Formula!D105,53)&lt;&gt;"",INDEX(Properties!A$1:CB$87,Formula!D105,53)),IF(INDEX(Properties!A$1:CB$87,Formula!F105,53)&lt;&gt;"",INDEX(Properties!A$1:CB$87,Formula!F105,53)),IF(INDEX(Properties!A$1:CB$87,Formula!H105,53)&lt;&gt;"",INDEX(Properties!A$1:CB$87,Formula!H105,53)),IF(INDEX(Properties!A$1:CB$87,Formula!J105,53)&lt;&gt;"",INDEX(Properties!A$1:CB$87,Formula!J105,53)))</f>
        <v>1991175.9654000001</v>
      </c>
      <c r="EY105" s="39">
        <f>MAX(INDEX(Properties!A$1:CB$87,Formula!B105,53),INDEX(Properties!A$1:CB$87,Formula!D105,53),INDEX(Properties!A$1:CB$87,Formula!F105,53),INDEX(Properties!A$1:CB$87,Formula!H105,53),INDEX(Properties!A$1:CB$87,Formula!J105,53))</f>
        <v>3640.15</v>
      </c>
      <c r="EZ105" s="39">
        <f>MIN(IF(INDEX(Properties!A$1:CB$87,Formula!B105,53)=0,10^6,INDEX(Properties!A$1:CB$87,Formula!B105,53)),IF(INDEX(Properties!A$1:CB$87,Formula!D105,53)=0,10^6,INDEX(Properties!A$1:CB$87,Formula!D105,53)),IF(INDEX(Properties!A$1:CB$87,Formula!F105,53)=0,10^6,INDEX(Properties!A$1:CB$87,Formula!F105,53)),IF(INDEX(Properties!A$1:CB$87,Formula!H105,53)=0,10^6,INDEX(Properties!A$1:CB$87,Formula!H105,53)),IF(INDEX(Properties!A$1:CB$87,Formula!J105,53)=0,10^6,INDEX(Properties!A$1:CB$87,Formula!J105,53)))</f>
        <v>54.749999999999972</v>
      </c>
      <c r="FA105" s="39">
        <f t="shared" si="57"/>
        <v>3585.4</v>
      </c>
      <c r="FB105" s="54">
        <f>((Formula!C105)/(Formula!C105+Formula!E105+Formula!G105+Formula!I105+Formula!K105))*(INDEX(Properties!A$1:CB$87,Formula!B105,54))+((Formula!E105)/(Formula!C105+Formula!E105+Formula!G105+Formula!I105+Formula!K105))*(INDEX(Properties!A$1:CB$87,Formula!D105,54))+((Formula!G105)/(Formula!C105+Formula!E105+Formula!G105+Formula!I105+Formula!K105))*(INDEX(Properties!A$1:CB$87,Formula!F105,54))+((Formula!I105)/(Formula!C105+Formula!E105+Formula!G105+Formula!I105+Formula!K105))*(INDEX(Properties!A$1:CB$87,Formula!H105,54))+((Formula!K105)/(Formula!C105+Formula!E105+Formula!G105+Formula!I105+Formula!K105))*(INDEX(Properties!A$1:CB$87,Formula!J105,54))</f>
        <v>1152.1500000000001</v>
      </c>
      <c r="FC105" s="54">
        <f>Formula!C105*(INDEX(Properties!A$1:CB$87,Formula!B105,54))+Formula!E105*(INDEX(Properties!A$1:CB$87,Formula!D105,54))+Formula!G105*(INDEX(Properties!A$1:CB$87,Formula!F105,54))+Formula!I105*(INDEX(Properties!A$1:CB$87,Formula!H105,54))+Formula!K105*(INDEX(Properties!A$1:CB$87,Formula!J105,54))</f>
        <v>9217.2000000000007</v>
      </c>
      <c r="FD105" s="54">
        <f>VARP(IF(INDEX(Properties!A$1:CB$87,Formula!B105,54)&lt;&gt;"",INDEX(Properties!A$1:CB$87,Formula!B105,54)),IF(INDEX(Properties!A$1:CB$87,Formula!D105,54)&lt;&gt;"",INDEX(Properties!A$1:CB$87,Formula!D105,54)),IF(INDEX(Properties!A$1:CB$87,Formula!F105,54)&lt;&gt;"",INDEX(Properties!A$1:CB$87,Formula!F105,54)),IF(INDEX(Properties!A$1:CB$87,Formula!H105,54)&lt;&gt;"",INDEX(Properties!A$1:CB$87,Formula!H105,54)),IF(INDEX(Properties!A$1:CB$87,Formula!J105,54)&lt;&gt;"",INDEX(Properties!A$1:CB$87,Formula!J105,54)))</f>
        <v>3902865.1973999999</v>
      </c>
      <c r="FE105" s="54">
        <f>MAX(INDEX(Properties!A$1:CB$87,Formula!B105,54),INDEX(Properties!A$1:CB$87,Formula!D105,54),INDEX(Properties!A$1:CB$87,Formula!F105,54),INDEX(Properties!A$1:CB$87,Formula!H105,54),INDEX(Properties!A$1:CB$87,Formula!J105,54))</f>
        <v>5100.1499999999996</v>
      </c>
      <c r="FF105" s="54">
        <f>MIN(IF(INDEX(Properties!A$1:CB$87,Formula!B105,54)=0,10^6,INDEX(Properties!A$1:CB$87,Formula!B105,54)),IF(INDEX(Properties!A$1:CB$87,Formula!D105,54)=0,10^6,INDEX(Properties!A$1:CB$87,Formula!D105,54)),IF(INDEX(Properties!A$1:CB$87,Formula!F105,54)=0,10^6,INDEX(Properties!A$1:CB$87,Formula!F105,54)),IF(INDEX(Properties!A$1:CB$87,Formula!H105,54)=0,10^6,INDEX(Properties!A$1:CB$87,Formula!H105,54)),IF(INDEX(Properties!A$1:CB$87,Formula!J105,54)=0,10^6,INDEX(Properties!A$1:CB$87,Formula!J105,54)))</f>
        <v>90.149999999999977</v>
      </c>
      <c r="FG105" s="54">
        <f t="shared" si="58"/>
        <v>5010</v>
      </c>
      <c r="FH105" s="69">
        <f>((Formula!C105)/(Formula!C105+Formula!E105+Formula!G105+Formula!I105+Formula!K105))*(INDEX(Properties!A$1:CB$87,Formula!B105,55))+((Formula!E105)/(Formula!C105+Formula!E105+Formula!G105+Formula!I105+Formula!K105))*(INDEX(Properties!A$1:CB$87,Formula!D105,55))+((Formula!G105)/(Formula!C105+Formula!E105+Formula!G105+Formula!I105+Formula!K105))*(INDEX(Properties!A$1:CB$87,Formula!F105,55))+((Formula!I105)/(Formula!C105+Formula!E105+Formula!G105+Formula!I105+Formula!K105))*(INDEX(Properties!A$1:CB$87,Formula!H105,55))+((Formula!K105)/(Formula!C105+Formula!E105+Formula!G105+Formula!I105+Formula!K105))*(INDEX(Properties!A$1:CB$87,Formula!J105,55))</f>
        <v>2.7196437499999999</v>
      </c>
      <c r="FI105" s="69">
        <f>Formula!C105*(INDEX(Properties!A$1:CB$87,Formula!B105,55))+Formula!E105*(INDEX(Properties!A$1:CB$87,Formula!D105,54))+Formula!G105*(INDEX(Properties!A$1:CB$87,Formula!F105,55))+Formula!I105*(INDEX(Properties!A$1:CB$87,Formula!H105,55))+Formula!K105*(INDEX(Properties!A$1:CB$87,Formula!J105,55))</f>
        <v>5119.65715</v>
      </c>
      <c r="FJ105" s="69">
        <f>VARP(IF(INDEX(Properties!A$1:CB$87,Formula!B105,55)&lt;&gt;"",INDEX(Properties!A$1:CB$87,Formula!B105,55)),IF(INDEX(Properties!A$1:CB$87,Formula!D105,55)&lt;&gt;"",INDEX(Properties!A$1:CB$87,Formula!D105,55)),IF(INDEX(Properties!A$1:CB$87,Formula!F105,55)&lt;&gt;"",INDEX(Properties!A$1:CB$87,Formula!F105,55)),IF(INDEX(Properties!A$1:CB$87,Formula!H105,55)&lt;&gt;"",INDEX(Properties!A$1:CB$87,Formula!H105,55)),IF(INDEX(Properties!A$1:CB$87,Formula!J105,55)&lt;&gt;"",INDEX(Properties!A$1:CB$87,Formula!J105,55)))</f>
        <v>14.263627527184001</v>
      </c>
      <c r="FK105" s="69">
        <f>MAX(INDEX(Properties!A$1:CB$87,Formula!B105,55),INDEX(Properties!A$1:CB$87,Formula!D105,55),INDEX(Properties!A$1:CB$87,Formula!F105,55),INDEX(Properties!A$1:CB$87,Formula!H105,55),INDEX(Properties!A$1:CB$87,Formula!J105,55))</f>
        <v>9.75</v>
      </c>
      <c r="FL105" s="69">
        <f>MIN(IF(INDEX(Properties!A$1:CB$87,Formula!B105,55)=0,10^6,INDEX(Properties!A$1:CB$87,Formula!B105,55)),IF(INDEX(Properties!A$1:CB$87,Formula!D105,55)=0,10^6,INDEX(Properties!A$1:CB$87,Formula!D105,55)),IF(INDEX(Properties!A$1:CB$87,Formula!F105,55)=0,10^6,INDEX(Properties!A$1:CB$87,Formula!F105,55)),IF(INDEX(Properties!A$1:CB$87,Formula!H105,55)=0,10^6,INDEX(Properties!A$1:CB$87,Formula!H105,55)),IF(INDEX(Properties!A$1:CB$87,Formula!J105,55)=0,10^6,INDEX(Properties!A$1:CB$87,Formula!J105,55)))</f>
        <v>1.4300000000000001E-3</v>
      </c>
      <c r="FM105" s="69">
        <f t="shared" si="59"/>
        <v>9.7485700000000008</v>
      </c>
      <c r="FN105" s="42">
        <f>((Formula!C105)/(Formula!C105+Formula!E105+Formula!G105+Formula!I105+Formula!K105))*(INDEX(Properties!A$1:CB$87,Formula!B105,56))+((Formula!E105)/(Formula!C105+Formula!E105+Formula!G105+Formula!I105+Formula!K105))*(INDEX(Properties!A$1:CB$87,Formula!D105,56))+((Formula!G105)/(Formula!C105+Formula!E105+Formula!G105+Formula!I105+Formula!K105))*(INDEX(Properties!A$1:CB$87,Formula!F105,56))+((Formula!I105)/(Formula!C105+Formula!E105+Formula!G105+Formula!I105+Formula!K105))*(INDEX(Properties!A$1:CB$87,Formula!H105,56))+((Formula!K105)/(Formula!C105+Formula!E105+Formula!G105+Formula!I105+Formula!K105))*(INDEX(Properties!A$1:CB$87,Formula!J105,56))</f>
        <v>0.69375000000000009</v>
      </c>
      <c r="FO105" s="42">
        <f>Formula!C105*(INDEX(Properties!A$1:CB$87,Formula!B105,56))+Formula!E105*(INDEX(Properties!A$1:CB$87,Formula!D105,56))+Formula!G105*(INDEX(Properties!A$1:CB$87,Formula!F105,56))+Formula!I105*(INDEX(Properties!A$1:CB$87,Formula!H105,56))+Formula!K105*(INDEX(Properties!A$1:CB$87,Formula!J105,56))</f>
        <v>5.5500000000000007</v>
      </c>
      <c r="FP105" s="42">
        <f>VARP(IF(INDEX(Properties!A$1:CB$87,Formula!B105,56)&lt;&gt;"",INDEX(Properties!A$1:CB$87,Formula!B105,56)),IF(INDEX(Properties!A$1:CB$87,Formula!D105,56)&lt;&gt;"",INDEX(Properties!A$1:CB$87,Formula!D105,56)),IF(INDEX(Properties!A$1:CB$87,Formula!F105,56)&lt;&gt;"",INDEX(Properties!A$1:CB$87,Formula!F105,56)),IF(INDEX(Properties!A$1:CB$87,Formula!H105,56)&lt;&gt;"",INDEX(Properties!A$1:CB$87,Formula!H105,56)),IF(INDEX(Properties!A$1:CB$87,Formula!J105,56)&lt;&gt;"",INDEX(Properties!A$1:CB$87,Formula!J105,56)))</f>
        <v>0.15048000000000003</v>
      </c>
      <c r="FQ105" s="42">
        <f>MAX(INDEX(Properties!A$1:CB$87,Formula!B105,56),INDEX(Properties!A$1:CB$87,Formula!D105,56),INDEX(Properties!A$1:CB$87,Formula!F105,56),INDEX(Properties!A$1:CB$87,Formula!H105,56),INDEX(Properties!A$1:CB$87,Formula!J105,56))</f>
        <v>0.92</v>
      </c>
      <c r="FR105" s="42">
        <f>MIN(IF(INDEX(Properties!A$1:CB$87,Formula!B105,56)=0,10^6,INDEX(Properties!A$1:CB$87,Formula!B105,56)),IF(INDEX(Properties!A$1:CB$87,Formula!D105,56)=0,10^6,INDEX(Properties!A$1:CB$87,Formula!D105,56)),IF(INDEX(Properties!A$1:CB$87,Formula!F105,56)=0,10^6,INDEX(Properties!A$1:CB$87,Formula!F105,56)),IF(INDEX(Properties!A$1:CB$87,Formula!H105,56)=0,10^6,INDEX(Properties!A$1:CB$87,Formula!H105,56)),IF(INDEX(Properties!A$1:CB$87,Formula!J105,56)=0,10^6,INDEX(Properties!A$1:CB$87,Formula!J105,56)))</f>
        <v>0.12</v>
      </c>
      <c r="FS105" s="42">
        <f t="shared" si="60"/>
        <v>0.8</v>
      </c>
      <c r="FT105" s="60">
        <f>((Formula!C105)/(Formula!C105+Formula!E105+Formula!G105+Formula!I105+Formula!K105))*(INDEX(Properties!A$1:CB$87,Formula!B105,57))+((Formula!E105)/(Formula!C105+Formula!E105+Formula!G105+Formula!I105+Formula!K105))*(INDEX(Properties!A$1:CB$87,Formula!D105,57))+((Formula!G105)/(Formula!C105+Formula!E105+Formula!G105+Formula!I105+Formula!K105))*(INDEX(Properties!A$1:CB$87,Formula!F105,57))+((Formula!I105)/(Formula!C105+Formula!E105+Formula!G105+Formula!I105+Formula!K105))*(INDEX(Properties!A$1:CB$87,Formula!H105,57))+((Formula!K105)/(Formula!C105+Formula!E105+Formula!G105+Formula!I105+Formula!K105))*(INDEX(Properties!A$1:CB$87,Formula!J105,57))</f>
        <v>16.089118750000001</v>
      </c>
      <c r="FU105" s="60">
        <f>Formula!C105*(INDEX(Properties!A$1:CB$87,Formula!B105,57))+Formula!E105*(INDEX(Properties!A$1:CB$87,Formula!D105,57))+Formula!G105*(INDEX(Properties!A$1:CB$87,Formula!F105,57))+Formula!I105*(INDEX(Properties!A$1:CB$87,Formula!H105,57))+Formula!K105*(INDEX(Properties!A$1:CB$87,Formula!J105,57))</f>
        <v>128.71295000000001</v>
      </c>
      <c r="FV105" s="60">
        <f>VARP(IF(INDEX(Properties!A$1:CB$87,Formula!B105,57)&lt;&gt;"",INDEX(Properties!A$1:CB$87,Formula!B105,57)),IF(INDEX(Properties!A$1:CB$87,Formula!D105,57)&lt;&gt;"",INDEX(Properties!A$1:CB$87,Formula!D105,57)),IF(INDEX(Properties!A$1:CB$87,Formula!F105,57)&lt;&gt;"",INDEX(Properties!A$1:CB$87,Formula!F105,57)),IF(INDEX(Properties!A$1:CB$87,Formula!H105,57)&lt;&gt;"",INDEX(Properties!A$1:CB$87,Formula!H105,57)),IF(INDEX(Properties!A$1:CB$87,Formula!J105,57)&lt;&gt;"",INDEX(Properties!A$1:CB$87,Formula!J105,57)))</f>
        <v>1687.4473500492966</v>
      </c>
      <c r="FW105" s="60">
        <f>MAX(INDEX(Properties!A$1:CB$87,Formula!B105,57),INDEX(Properties!A$1:CB$87,Formula!D105,57),INDEX(Properties!A$1:CB$87,Formula!F105,57),INDEX(Properties!A$1:CB$87,Formula!H105,57),INDEX(Properties!A$1:CB$87,Formula!J105,57))</f>
        <v>105</v>
      </c>
      <c r="FX105" s="60">
        <f>MIN(IF(INDEX(Properties!A$1:CB$87,Formula!B105,57)=0,10^6,INDEX(Properties!A$1:CB$87,Formula!B105,57)),IF(INDEX(Properties!A$1:CB$87,Formula!D105,57)=0,10^6,INDEX(Properties!A$1:CB$87,Formula!D105,57)),IF(INDEX(Properties!A$1:CB$87,Formula!F105,57)=0,10^6,INDEX(Properties!A$1:CB$87,Formula!F105,57)),IF(INDEX(Properties!A$1:CB$87,Formula!H105,57)=0,10^6,INDEX(Properties!A$1:CB$87,Formula!H105,57)),IF(INDEX(Properties!A$1:CB$87,Formula!J105,57)=0,10^6,INDEX(Properties!A$1:CB$87,Formula!J105,57)))</f>
        <v>0.22259000000000001</v>
      </c>
      <c r="FY105" s="60">
        <f t="shared" si="61"/>
        <v>104.77741</v>
      </c>
      <c r="FZ105" s="72">
        <f>((Formula!C105)/(Formula!C105+Formula!E105+Formula!G105+Formula!I105+Formula!K105))*(INDEX(Properties!A$1:CB$87,Formula!B105,60))+((Formula!E105)/(Formula!C105+Formula!E105+Formula!G105+Formula!I105+Formula!K105))*(INDEX(Properties!A$1:CB$87,Formula!D105,60))+((Formula!G105)/(Formula!C105+Formula!E105+Formula!G105+Formula!I105+Formula!K105))*(INDEX(Properties!A$1:CB$87,Formula!F105,60))+((Formula!I105)/(Formula!C105+Formula!E105+Formula!G105+Formula!I105+Formula!K105))*(INDEX(Properties!A$1:CB$87,Formula!H105,60))+((Formula!K105)/(Formula!C105+Formula!E105+Formula!G105+Formula!I105+Formula!K105))*(INDEX(Properties!A$1:CB$87,Formula!J105,60))</f>
        <v>18.109212500000002</v>
      </c>
      <c r="GA105" s="72">
        <f>Formula!C105*(INDEX(Properties!A$1:CB$87,Formula!B105,60))+Formula!E105*(INDEX(Properties!A$1:CB$87,Formula!D105,60))+Formula!G105*(INDEX(Properties!A$1:CB$87,Formula!F105,60))+Formula!I105*(INDEX(Properties!A$1:CB$87,Formula!H105,60))+Formula!K105*(INDEX(Properties!A$1:CB$87,Formula!J105,60))</f>
        <v>144.87370000000001</v>
      </c>
      <c r="GB105" s="72">
        <f>VARP(IF(INDEX(Properties!A$1:CB$87,Formula!B105,60)&lt;&gt;"",INDEX(Properties!A$1:CB$87,Formula!B105,60)),IF(INDEX(Properties!A$1:CB$87,Formula!D105,60)&lt;&gt;"",INDEX(Properties!A$1:CB$87,Formula!D105,60)),IF(INDEX(Properties!A$1:CB$87,Formula!F105,60)&lt;&gt;"",INDEX(Properties!A$1:CB$87,Formula!F105,60)),IF(INDEX(Properties!A$1:CB$87,Formula!H105,60)&lt;&gt;"",INDEX(Properties!A$1:CB$87,Formula!H105,60)),IF(INDEX(Properties!A$1:CB$87,Formula!J105,60)&lt;&gt;"",INDEX(Properties!A$1:CB$87,Formula!J105,60)))</f>
        <v>2590.958826100416</v>
      </c>
      <c r="GC105" s="72">
        <f>MAX(INDEX(Properties!A$1:CB$87,Formula!B105,60),INDEX(Properties!A$1:CB$87,Formula!D105,60),INDEX(Properties!A$1:CB$87,Formula!F105,60),INDEX(Properties!A$1:CB$87,Formula!H105,60),INDEX(Properties!A$1:CB$87,Formula!J105,60))</f>
        <v>129</v>
      </c>
      <c r="GD105" s="72">
        <f>MIN(IF(INDEX(Properties!A$1:CB$87,Formula!B105,60)=0,10^6,INDEX(Properties!A$1:CB$87,Formula!B105,60)),IF(INDEX(Properties!A$1:CB$87,Formula!D105,60)=0,10^6,INDEX(Properties!A$1:CB$87,Formula!D105,60)),IF(INDEX(Properties!A$1:CB$87,Formula!F105,60)=0,10^6,INDEX(Properties!A$1:CB$87,Formula!F105,60)),IF(INDEX(Properties!A$1:CB$87,Formula!H105,60)=0,10^6,INDEX(Properties!A$1:CB$87,Formula!H105,60)),IF(INDEX(Properties!A$1:CB$87,Formula!J105,60)=0,10^6,INDEX(Properties!A$1:CB$87,Formula!J105,60)))</f>
        <v>2.674E-2</v>
      </c>
      <c r="GE105" s="72">
        <f t="shared" si="62"/>
        <v>128.97326000000001</v>
      </c>
      <c r="GF105" s="51">
        <f>((Formula!C105)/(Formula!C105+Formula!E105+Formula!G105+Formula!I105+Formula!K105))*(INDEX(Properties!A$1:CB$87,Formula!B105,62))+((Formula!E105)/(Formula!C105+Formula!E105+Formula!G105+Formula!I105+Formula!K105))*(INDEX(Properties!A$1:CB$87,Formula!D105,62))+((Formula!G105)/(Formula!C105+Formula!E105+Formula!G105+Formula!I105+Formula!K105))*(INDEX(Properties!A$1:CB$87,Formula!F105,62))+((Formula!I105)/(Formula!C105+Formula!E105+Formula!G105+Formula!I105+Formula!K105))*(INDEX(Properties!A$1:CB$87,Formula!H105,62))+((Formula!K105)/(Formula!C105+Formula!E105+Formula!G105+Formula!I105+Formula!K105))*(INDEX(Properties!A$1:CB$87,Formula!J105,62))</f>
        <v>3.1037500000000002</v>
      </c>
      <c r="GG105" s="51">
        <f>Formula!C105*(INDEX(Properties!A$1:CB$87,Formula!B105,62))+Formula!E105*(INDEX(Properties!A$1:CB$87,Formula!D105,62))+Formula!G105*(INDEX(Properties!A$1:CB$87,Formula!F105,62))+Formula!I105*(INDEX(Properties!A$1:CB$87,Formula!H105,62))+Formula!K105*(INDEX(Properties!A$1:CB$87,Formula!J105,62))</f>
        <v>24.830000000000002</v>
      </c>
      <c r="GH105" s="51">
        <f>VARP(IF(INDEX(Properties!A$1:CB$87,Formula!B105,62)&lt;&gt;"",INDEX(Properties!A$1:CB$87,Formula!B105,62)),IF(INDEX(Properties!A$1:CB$87,Formula!D105,62)&lt;&gt;"",INDEX(Properties!A$1:CB$87,Formula!D105,62)),IF(INDEX(Properties!A$1:CB$87,Formula!F105,62)&lt;&gt;"",INDEX(Properties!A$1:CB$87,Formula!F105,62)),IF(INDEX(Properties!A$1:CB$87,Formula!H105,62)&lt;&gt;"",INDEX(Properties!A$1:CB$87,Formula!H105,62)),IF(INDEX(Properties!A$1:CB$87,Formula!J105,62)&lt;&gt;"",INDEX(Properties!A$1:CB$87,Formula!J105,62)))</f>
        <v>7.2623839999999982</v>
      </c>
      <c r="GI105" s="51">
        <f>MAX(INDEX(Properties!A$1:CB$87,Formula!B105,62),INDEX(Properties!A$1:CB$87,Formula!D105,62),INDEX(Properties!A$1:CB$87,Formula!F105,62),INDEX(Properties!A$1:CB$87,Formula!H105,62),INDEX(Properties!A$1:CB$87,Formula!J105,62))</f>
        <v>7.37</v>
      </c>
      <c r="GJ105" s="51">
        <f>MIN(IF(INDEX(Properties!A$1:CB$87,Formula!B105,62)=0,10^6,INDEX(Properties!A$1:CB$87,Formula!B105,62)),IF(INDEX(Properties!A$1:CB$87,Formula!D105,62)=0,10^6,INDEX(Properties!A$1:CB$87,Formula!D105,62)),IF(INDEX(Properties!A$1:CB$87,Formula!F105,62)=0,10^6,INDEX(Properties!A$1:CB$87,Formula!F105,62)),IF(INDEX(Properties!A$1:CB$87,Formula!H105,62)=0,10^6,INDEX(Properties!A$1:CB$87,Formula!H105,62)),IF(INDEX(Properties!A$1:CB$87,Formula!J105,62)=0,10^6,INDEX(Properties!A$1:CB$87,Formula!J105,62)))</f>
        <v>2.1800000000000002</v>
      </c>
      <c r="GK105" s="51">
        <f t="shared" si="63"/>
        <v>5.1899999999999995</v>
      </c>
      <c r="GL105" s="51">
        <f>Formula!P105</f>
        <v>44</v>
      </c>
      <c r="GM105" s="57">
        <f>Formula!O105</f>
        <v>3</v>
      </c>
      <c r="GN105" s="51">
        <f>Formula!N105</f>
        <v>0.08</v>
      </c>
    </row>
    <row r="106" spans="1:196" x14ac:dyDescent="0.3">
      <c r="A106" s="84" t="str">
        <f>Formula!A106</f>
        <v>BaTiSi2GeO9</v>
      </c>
      <c r="B106" s="89">
        <f>((Formula!C106)/(Formula!C106+Formula!E106+Formula!G106+Formula!I106+Formula!K106))*(INDEX(Properties!A$1:CB$87,Formula!B106,3))+((Formula!E106)/(Formula!C106+Formula!E106+Formula!G106+Formula!I106+Formula!K106))*(INDEX(Properties!A$1:CB$87,Formula!D106,3))+((Formula!G106)/(Formula!C106+Formula!E106+Formula!G106+Formula!I106+Formula!K106))*(INDEX(Properties!A$1:CB$87,Formula!F106,3))+((Formula!I106)/(Formula!C106+Formula!E106+Formula!G106+Formula!I106+Formula!K106))*(INDEX(Properties!A$1:CB$87,Formula!H106,3))+((Formula!K106)/(Formula!C106+Formula!E106+Formula!G106+Formula!I106+Formula!K106))*(INDEX(Properties!A$1:CB$87,Formula!J106,3))</f>
        <v>32.713542857142855</v>
      </c>
      <c r="C106" s="85">
        <f>Formula!C106*(INDEX(Properties!A$1:CB$87,Formula!B106,3))+Formula!E106*(INDEX(Properties!A$1:CB$87,Formula!D106,3))+Formula!G106*(INDEX(Properties!A$1:CB$87,Formula!F106,3))+Formula!I106*(INDEX(Properties!A$1:CB$87,Formula!H106,3))+Formula!K106*(INDEX(Properties!A$1:CB$87,Formula!J106,3))</f>
        <v>457.9896</v>
      </c>
      <c r="D106" s="85">
        <f>VARP(IF(INDEX(Properties!A$1:CB$87,Formula!B106,3)&lt;&gt;"",INDEX(Properties!A$1:CB$87,Formula!B106,3)),IF(INDEX(Properties!A$1:CB$87,Formula!D106,3)&lt;&gt;"",INDEX(Properties!A$1:CB$87,Formula!D106,3)),IF(INDEX(Properties!A$1:CB$87,Formula!F106,3)&lt;&gt;"",INDEX(Properties!A$1:CB$87,Formula!F106,3)),IF(INDEX(Properties!A$1:CB$87,Formula!H106,3)&lt;&gt;"",INDEX(Properties!A$1:CB$87,Formula!H106,3)),IF(INDEX(Properties!A$1:CB$87,Formula!J106,3)&lt;&gt;"",INDEX(Properties!A$1:CB$87,Formula!J106,3)))</f>
        <v>1848.0101697536004</v>
      </c>
      <c r="E106" s="85">
        <f>MAX(INDEX(Properties!A$1:CB$87,Formula!B106,3),INDEX(Properties!A$1:CB$87,Formula!D106,3),INDEX(Properties!A$1:CB$87,Formula!F106,3),INDEX(Properties!A$1:CB$87,Formula!H106,3),INDEX(Properties!A$1:CB$87,Formula!J106,3))</f>
        <v>137.327</v>
      </c>
      <c r="F106" s="85">
        <f>MIN(IF(INDEX(Properties!A$1:CB$87,Formula!B106,3)=0,10^6,INDEX(Properties!A$1:CB$87,Formula!B106,3)),IF(INDEX(Properties!A$1:CB$87,Formula!D106,3)=0,10^6,INDEX(Properties!A$1:CB$87,Formula!D106,3)),IF(INDEX(Properties!A$1:CB$87,Formula!F106,3)=0,10^6,INDEX(Properties!A$1:CB$87,Formula!F106,3)),IF(INDEX(Properties!A$1:CB$87,Formula!H106,3)=0,10^6,INDEX(Properties!A$1:CB$87,Formula!H106,3)),IF(INDEX(Properties!A$1:CB$87,Formula!J106,3)=0,10^6,INDEX(Properties!A$1:CB$87,Formula!J106,3)))</f>
        <v>15.9994</v>
      </c>
      <c r="G106" s="85">
        <f t="shared" si="32"/>
        <v>121.3276</v>
      </c>
      <c r="H106" s="87">
        <f>((Formula!C106)/(Formula!C106+Formula!E106+Formula!G106+Formula!I106+Formula!K106))*(INDEX(Properties!A$1:CB$87,Formula!B106,4))+((Formula!E106)/(Formula!C106+Formula!E106+Formula!G106+Formula!I106+Formula!K106))*(INDEX(Properties!A$1:CB$87,Formula!D106,4))+((Formula!G106)/(Formula!C106+Formula!E106+Formula!G106+Formula!I106+Formula!K106))*(INDEX(Properties!A$1:CB$87,Formula!F106,4))+((Formula!I106)/(Formula!C106+Formula!E106+Formula!G106+Formula!I106+Formula!K106))*(INDEX(Properties!A$1:CB$87,Formula!H106,4))+((Formula!K106)/(Formula!C106+Formula!E106+Formula!G106+Formula!I106+Formula!K106))*(INDEX(Properties!A$1:CB$87,Formula!J106,4))</f>
        <v>15</v>
      </c>
      <c r="I106" s="87">
        <f>Formula!C106*(INDEX(Properties!A$1:CB$87,Formula!B106,4))+Formula!E106*(INDEX(Properties!A$1:CB$87,Formula!D106,4))+Formula!G106*(INDEX(Properties!A$1:CB$87,Formula!F106,4))+Formula!I106*(INDEX(Properties!A$1:CB$87,Formula!H106,4))+Formula!K106*(INDEX(Properties!A$1:CB$87,Formula!J106,4))</f>
        <v>210</v>
      </c>
      <c r="J106" s="87">
        <f>VARP(IF(INDEX(Properties!A$1:CB$87,Formula!B106,4)&lt;&gt;"",INDEX(Properties!A$1:CB$87,Formula!B106,4)),IF(INDEX(Properties!A$1:CB$87,Formula!D106,4)&lt;&gt;"",INDEX(Properties!A$1:CB$87,Formula!D106,4)),IF(INDEX(Properties!A$1:CB$87,Formula!F106,4)&lt;&gt;"",INDEX(Properties!A$1:CB$87,Formula!F106,4)),IF(INDEX(Properties!A$1:CB$87,Formula!H106,4)&lt;&gt;"",INDEX(Properties!A$1:CB$87,Formula!H106,4)),IF(INDEX(Properties!A$1:CB$87,Formula!J106,4)&lt;&gt;"",INDEX(Properties!A$1:CB$87,Formula!J106,4)))</f>
        <v>283.83999999999997</v>
      </c>
      <c r="K106" s="87">
        <f>MAX(INDEX(Properties!A$1:CB$87,Formula!B106,4),INDEX(Properties!A$1:CB$87,Formula!D106,4),INDEX(Properties!A$1:CB$87,Formula!F106,4),INDEX(Properties!A$1:CB$87,Formula!H106,4),INDEX(Properties!A$1:CB$87,Formula!J106,4))</f>
        <v>56</v>
      </c>
      <c r="L106" s="87">
        <f>MIN(IF(INDEX(Properties!A$1:CB$87,Formula!B106,4)=0,10^6,INDEX(Properties!A$1:CB$87,Formula!B106,4)),IF(INDEX(Properties!A$1:CB$87,Formula!D106,4)=0,10^6,INDEX(Properties!A$1:CB$87,Formula!D106,4)),IF(INDEX(Properties!A$1:CB$87,Formula!F106,4)=0,10^6,INDEX(Properties!A$1:CB$87,Formula!F106,4)),IF(INDEX(Properties!A$1:CB$87,Formula!H106,4)=0,10^6,INDEX(Properties!A$1:CB$87,Formula!H106,4)),IF(INDEX(Properties!A$1:CB$87,Formula!J106,4)=0,10^6,INDEX(Properties!A$1:CB$87,Formula!J106,4)))</f>
        <v>8</v>
      </c>
      <c r="M106" s="87">
        <f t="shared" si="33"/>
        <v>48</v>
      </c>
      <c r="N106" s="89">
        <f>((Formula!C106)/(Formula!C106+Formula!E106+Formula!G106+Formula!I106+Formula!K106))*(INDEX(Properties!A$1:CB$87,Formula!B106,5))+((Formula!E106)/(Formula!C106+Formula!E106+Formula!G106+Formula!I106+Formula!K106))*(INDEX(Properties!A$1:CB$87,Formula!D106,5))+((Formula!G106)/(Formula!C106+Formula!E106+Formula!G106+Formula!I106+Formula!K106))*(INDEX(Properties!A$1:CB$87,Formula!F106,5))+((Formula!I106)/(Formula!C106+Formula!E106+Formula!G106+Formula!I106+Formula!K106))*(INDEX(Properties!A$1:CB$87,Formula!H106,5))+((Formula!K106)/(Formula!C106+Formula!E106+Formula!G106+Formula!I106+Formula!K106))*(INDEX(Properties!A$1:CB$87,Formula!J106,5))</f>
        <v>2.7142857142857144</v>
      </c>
      <c r="O106" s="89">
        <f>Formula!C106*(INDEX(Properties!A$1:CB$87,Formula!B106,5))+Formula!E106*(INDEX(Properties!A$1:CB$87,Formula!D106,5))+Formula!G106*(INDEX(Properties!A$1:CB$87,Formula!F106,5))+Formula!I106*(INDEX(Properties!A$1:CB$87,Formula!H106,5))+Formula!K106*(INDEX(Properties!A$1:CB$87,Formula!J106,5))</f>
        <v>38</v>
      </c>
      <c r="P106" s="89">
        <f>VARP(IF(INDEX(Properties!A$1:CB$87,Formula!B106,5)&lt;&gt;"",INDEX(Properties!A$1:CB$87,Formula!B106,5)),IF(INDEX(Properties!A$1:CB$87,Formula!D106,5)&lt;&gt;"",INDEX(Properties!A$1:CB$87,Formula!D106,5)),IF(INDEX(Properties!A$1:CB$87,Formula!F106,5)&lt;&gt;"",INDEX(Properties!A$1:CB$87,Formula!F106,5)),IF(INDEX(Properties!A$1:CB$87,Formula!H106,5)&lt;&gt;"",INDEX(Properties!A$1:CB$87,Formula!H106,5)),IF(INDEX(Properties!A$1:CB$87,Formula!J106,5)&lt;&gt;"",INDEX(Properties!A$1:CB$87,Formula!J106,5)))</f>
        <v>1.76</v>
      </c>
      <c r="Q106" s="89">
        <f>MAX(INDEX(Properties!A$1:CB$87,Formula!B106,5),INDEX(Properties!A$1:CB$87,Formula!D106,5),INDEX(Properties!A$1:CB$87,Formula!F106,5),INDEX(Properties!A$1:CB$87,Formula!H106,5),INDEX(Properties!A$1:CB$87,Formula!J106,5))</f>
        <v>6</v>
      </c>
      <c r="R106" s="89">
        <f>MIN(IF(INDEX(Properties!A$1:CB$87,Formula!B106,5)=0,10^6,INDEX(Properties!A$1:CB$87,Formula!B106,5)),IF(INDEX(Properties!A$1:CB$87,Formula!D106,5)=0,10^6,INDEX(Properties!A$1:CB$87,Formula!D106,5)),IF(INDEX(Properties!A$1:CB$87,Formula!F106,5)=0,10^6,INDEX(Properties!A$1:CB$87,Formula!F106,5)),IF(INDEX(Properties!A$1:CB$87,Formula!H106,5)=0,10^6,INDEX(Properties!A$1:CB$87,Formula!H106,5)),IF(INDEX(Properties!A$1:CB$87,Formula!J106,5)=0,10^6,INDEX(Properties!A$1:CB$87,Formula!J106,5)))</f>
        <v>2</v>
      </c>
      <c r="S106" s="89">
        <f t="shared" si="34"/>
        <v>4</v>
      </c>
      <c r="T106" s="60">
        <f>((Formula!C106)/(Formula!C106+Formula!E106+Formula!G106+Formula!I106+Formula!K106))*(INDEX(Properties!A$1:CB$87,Formula!B106,6))+((Formula!E106)/(Formula!C106+Formula!E106+Formula!G106+Formula!I106+Formula!K106))*(INDEX(Properties!A$1:CB$87,Formula!D106,6))+((Formula!G106)/(Formula!C106+Formula!E106+Formula!G106+Formula!I106+Formula!K106))*(INDEX(Properties!A$1:CB$87,Formula!F106,6))+((Formula!I106)/(Formula!C106+Formula!E106+Formula!G106+Formula!I106+Formula!K106))*(INDEX(Properties!A$1:CB$87,Formula!H106,6))+((Formula!K106)/(Formula!C106+Formula!E106+Formula!G106+Formula!I106+Formula!K106))*(INDEX(Properties!A$1:CB$87,Formula!J106,6))</f>
        <v>13.714285714285715</v>
      </c>
      <c r="U106" s="60">
        <f>Formula!C106*(INDEX(Properties!A$1:CB$87,Formula!B106,6))+Formula!E106*(INDEX(Properties!A$1:CB$87,Formula!D106,6))+Formula!G106*(INDEX(Properties!A$1:CB$87,Formula!F106,6))+Formula!I106*(INDEX(Properties!A$1:CB$87,Formula!H106,6))+Formula!K106*(INDEX(Properties!A$1:CB$87,Formula!J106,6))</f>
        <v>192</v>
      </c>
      <c r="V106" s="89">
        <f>VARP(IF(INDEX(Properties!A$1:CB$87,Formula!B106,6)&lt;&gt;"",INDEX(Properties!A$1:CB$87,Formula!B106,6)),IF(INDEX(Properties!A$1:CB$87,Formula!D106,6)&lt;&gt;"",INDEX(Properties!A$1:CB$87,Formula!D106,6)),IF(INDEX(Properties!A$1:CB$87,Formula!F106,6)&lt;&gt;"",INDEX(Properties!A$1:CB$87,Formula!F106,6)),IF(INDEX(Properties!A$1:CB$87,Formula!H106,6)&lt;&gt;"",INDEX(Properties!A$1:CB$87,Formula!H106,6)),IF(INDEX(Properties!A$1:CB$87,Formula!J106,6)&lt;&gt;"",INDEX(Properties!A$1:CB$87,Formula!J106,6)))</f>
        <v>33.6</v>
      </c>
      <c r="W106" s="60">
        <f>MAX(INDEX(Properties!A$1:CB$87,Formula!B106,6),INDEX(Properties!A$1:CB$87,Formula!D106,6),INDEX(Properties!A$1:CB$87,Formula!F106,6),INDEX(Properties!A$1:CB$87,Formula!H106,4),INDEX(Properties!A$1:CB$87,Formula!J106,6))</f>
        <v>32</v>
      </c>
      <c r="X106" s="60">
        <f>MIN(IF(INDEX(Properties!A$1:CB$87,Formula!B106,6)=0,10^6,INDEX(Properties!A$1:CB$87,Formula!B106,6)),IF(INDEX(Properties!A$1:CB$87,Formula!D106,6)=0,10^6,INDEX(Properties!A$1:CB$87,Formula!D106,6)),IF(INDEX(Properties!A$1:CB$87,Formula!F106,6)=0,10^6,INDEX(Properties!A$1:CB$87,Formula!F106,6)),IF(INDEX(Properties!A$1:CB$87,Formula!H106,6)=0,10^6,INDEX(Properties!A$1:CB$87,Formula!H106,6)),IF(INDEX(Properties!A$1:CB$87,Formula!J106,6)=0,10^6,INDEX(Properties!A$1:CB$87,Formula!J106,6)))</f>
        <v>2</v>
      </c>
      <c r="Y106" s="60">
        <f t="shared" si="35"/>
        <v>30</v>
      </c>
      <c r="Z106" s="72">
        <f>((Formula!C106)/(Formula!C106+Formula!E106+Formula!G106+Formula!I106+Formula!K106))*(INDEX(Properties!A$1:CB$87,Formula!B106,9))+((Formula!E106)/(Formula!C106+Formula!E106+Formula!G106+Formula!I106+Formula!K106))*(INDEX(Properties!A$1:CB$87,Formula!D106,9))+((Formula!G106)/(Formula!C106+Formula!E106+Formula!G106+Formula!I106+Formula!K106))*(INDEX(Properties!A$1:CB$87,Formula!F106,9))+((Formula!I106)/(Formula!C106+Formula!E106+Formula!G106+Formula!I106+Formula!K106))*(INDEX(Properties!A$1:CB$87,Formula!H106,9))+((Formula!K106)/(Formula!C106+Formula!E106+Formula!G106+Formula!I106+Formula!K106))*(INDEX(Properties!A$1:CB$87,Formula!J106,9))</f>
        <v>76.428571428571431</v>
      </c>
      <c r="AA106" s="72">
        <f>Formula!C106*(INDEX(Properties!A$1:CB$87,Formula!B106,9))+Formula!E106*(INDEX(Properties!A$1:CB$87,Formula!D106,9))+Formula!G106*(INDEX(Properties!A$1:CB$87,Formula!F106,9))+Formula!I106*(INDEX(Properties!A$1:CB$87,Formula!H106,9))+Formula!K106*(INDEX(Properties!A$1:CB$87,Formula!J106,9))</f>
        <v>1070</v>
      </c>
      <c r="AB106" s="72">
        <f>VARP(IF(INDEX(Properties!A$1:CB$87,Formula!B106,9)&lt;&gt;"",INDEX(Properties!A$1:CB$87,Formula!B106,9)),IF(INDEX(Properties!A$1:CB$87,Formula!D106,9)&lt;&gt;"",INDEX(Properties!A$1:CB$87,Formula!D106,9)),IF(INDEX(Properties!A$1:CB$87,Formula!F106,9)&lt;&gt;"",INDEX(Properties!A$1:CB$87,Formula!F106,9)),IF(INDEX(Properties!A$1:CB$87,Formula!H106,9)&lt;&gt;"",INDEX(Properties!A$1:CB$87,Formula!H106,9)),IF(INDEX(Properties!A$1:CB$87,Formula!J106,9)&lt;&gt;"",INDEX(Properties!A$1:CB$87,Formula!J106,9)))</f>
        <v>860.16</v>
      </c>
      <c r="AC106" s="72">
        <f>MAX(INDEX(Properties!A$1:CB$87,Formula!B106,9),INDEX(Properties!A$1:CB$87,Formula!D106,9),INDEX(Properties!A$1:CB$87,Formula!F106,9),INDEX(Properties!A$1:CB$87,Formula!H106,9),INDEX(Properties!A$1:CB$87,Formula!J106,9))</f>
        <v>87</v>
      </c>
      <c r="AD106" s="72">
        <f>MIN(IF(INDEX(Properties!A$1:CB$87,Formula!B106,9)=0,10^6,INDEX(Properties!A$1:CB$87,Formula!B106,9)),IF(INDEX(Properties!A$1:CB$87,Formula!D106,9)=0,10^6,INDEX(Properties!A$1:CB$87,Formula!D106,9)),IF(INDEX(Properties!A$1:CB$87,Formula!F106,9)=0,10^6,INDEX(Properties!A$1:CB$87,Formula!F106,9)),IF(INDEX(Properties!A$1:CB$87,Formula!H106,9)=0,10^6,INDEX(Properties!A$1:CB$87,Formula!H106,9)),IF(INDEX(Properties!A$1:CB$87,Formula!J106,9)=0,10^6,INDEX(Properties!A$1:CB$87,Formula!J106,9)))</f>
        <v>9</v>
      </c>
      <c r="AE106" s="72">
        <f t="shared" si="36"/>
        <v>78</v>
      </c>
      <c r="AF106" s="51">
        <f>((Formula!C106)/(Formula!C106+Formula!E106+Formula!G106+Formula!I106+Formula!K106))*(INDEX(Properties!A$1:CB$87,Formula!B106,10))+((Formula!E106)/(Formula!C106+Formula!E106+Formula!G106+Formula!I106+Formula!K106))*(INDEX(Properties!A$1:CB$87,Formula!D106,10))+((Formula!G106)/(Formula!C106+Formula!E106+Formula!G106+Formula!I106+Formula!K106))*(INDEX(Properties!A$1:CB$87,Formula!F106,10))+((Formula!I106)/(Formula!C106+Formula!E106+Formula!G106+Formula!I106+Formula!K106))*(INDEX(Properties!A$1:CB$87,Formula!H106,10))+((Formula!K106)/(Formula!C106+Formula!E106+Formula!G106+Formula!I106+Formula!K106))*(INDEX(Properties!A$1:CB$87,Formula!J106,10))</f>
        <v>6.2142857142857144</v>
      </c>
      <c r="AG106" s="51">
        <f>Formula!C106*(INDEX(Properties!A$1:CB$87,Formula!B106,10))+Formula!E106*(INDEX(Properties!A$1:CB$87,Formula!D106,10))+Formula!G106*(INDEX(Properties!A$1:CB$87,Formula!F106,10))+Formula!I106*(INDEX(Properties!A$1:CB$87,Formula!H106,10))+Formula!K106*(INDEX(Properties!A$1:CB$87,Formula!J106,10))</f>
        <v>87</v>
      </c>
      <c r="AH106" s="51">
        <f>VARP(IF(INDEX(Properties!A$1:CB$87,Formula!B106,10)&lt;&gt;"",INDEX(Properties!A$1:CB$87,Formula!B106,10)),IF(INDEX(Properties!A$1:CB$87,Formula!D106,10)&lt;&gt;"",INDEX(Properties!A$1:CB$87,Formula!D106,10)),IF(INDEX(Properties!A$1:CB$87,Formula!F106,10)&lt;&gt;"",INDEX(Properties!A$1:CB$87,Formula!F106,10)),IF(INDEX(Properties!A$1:CB$87,Formula!H106,10)&lt;&gt;"",INDEX(Properties!A$1:CB$87,Formula!H106,10)),IF(INDEX(Properties!A$1:CB$87,Formula!J106,10)&lt;&gt;"",INDEX(Properties!A$1:CB$87,Formula!J106,10)))</f>
        <v>3.2</v>
      </c>
      <c r="AI106" s="51">
        <f>MAX(INDEX(Properties!A$1:CB$87,Formula!B106,10),INDEX(Properties!A$1:CB$87,Formula!D106,10),INDEX(Properties!A$1:CB$87,Formula!F106,10),INDEX(Properties!A$1:CB$87,Formula!H106,10),INDEX(Properties!A$1:CB$87,Formula!J106,10))</f>
        <v>7</v>
      </c>
      <c r="AJ106" s="51">
        <f>MIN(IF(INDEX(Properties!A$1:CB$87,Formula!B106,10)=0,10^6,INDEX(Properties!A$1:CB$87,Formula!B106,10)),IF(INDEX(Properties!A$1:CB$87,Formula!D106,10)=0,10^6,INDEX(Properties!A$1:CB$87,Formula!D106,10)),IF(INDEX(Properties!A$1:CB$87,Formula!F106,10)=0,10^6,INDEX(Properties!A$1:CB$87,Formula!F106,10)),IF(INDEX(Properties!A$1:CB$87,Formula!H106,10)=0,10^6,INDEX(Properties!A$1:CB$87,Formula!H106,10)),IF(INDEX(Properties!A$1:CB$87,Formula!J106,10)=0,10^6,INDEX(Properties!A$1:CB$87,Formula!J106,10)))</f>
        <v>2</v>
      </c>
      <c r="AK106" s="51">
        <f t="shared" si="37"/>
        <v>5</v>
      </c>
      <c r="AL106" s="57">
        <f>((Formula!C106)/(Formula!C106+Formula!E106+Formula!G106+Formula!I106+Formula!K106))*(INDEX(Properties!A$1:CB$87,Formula!B106,11))+((Formula!E106)/(Formula!C106+Formula!E106+Formula!G106+Formula!I106+Formula!K106))*(INDEX(Properties!A$1:CB$87,Formula!D106,11))+((Formula!G106)/(Formula!C106+Formula!E106+Formula!G106+Formula!I106+Formula!K106))*(INDEX(Properties!A$1:CB$87,Formula!F106,11))+((Formula!I106)/(Formula!C106+Formula!E106+Formula!G106+Formula!I106+Formula!K106))*(INDEX(Properties!A$1:CB$87,Formula!H106,11))+((Formula!K106)/(Formula!C106+Formula!E106+Formula!G106+Formula!I106+Formula!K106))*(INDEX(Properties!A$1:CB$87,Formula!J106,11))</f>
        <v>2</v>
      </c>
      <c r="AM106" s="57">
        <f>Formula!C106*(INDEX(Properties!A$1:CB$87,Formula!B106,11))+Formula!E106*(INDEX(Properties!A$1:CB$87,Formula!D106,11))+Formula!G106*(INDEX(Properties!A$1:CB$87,Formula!F106,11))+Formula!I106*(INDEX(Properties!A$1:CB$87,Formula!H106,11))+Formula!K106*(INDEX(Properties!A$1:CB$87,Formula!J106,11))</f>
        <v>28</v>
      </c>
      <c r="AN106" s="57">
        <f>VARP(IF(INDEX(Properties!A$1:CB$87,Formula!B106,11)&lt;&gt;"",INDEX(Properties!A$1:CB$87,Formula!B106,11)),IF(INDEX(Properties!A$1:CB$87,Formula!D106,11)&lt;&gt;"",INDEX(Properties!A$1:CB$87,Formula!D106,11)),IF(INDEX(Properties!A$1:CB$87,Formula!F106,11)&lt;&gt;"",INDEX(Properties!A$1:CB$87,Formula!F106,11)),IF(INDEX(Properties!A$1:CB$87,Formula!H106,11)&lt;&gt;"",INDEX(Properties!A$1:CB$87,Formula!H106,11)),IF(INDEX(Properties!A$1:CB$87,Formula!J106,11)&lt;&gt;"",INDEX(Properties!A$1:CB$87,Formula!J106,11)))</f>
        <v>0</v>
      </c>
      <c r="AO106" s="57">
        <f>MAX(INDEX(Properties!A$1:CB$87,Formula!B106,11),INDEX(Properties!A$1:CB$87,Formula!D106,11),INDEX(Properties!A$1:CB$87,Formula!F106,11),INDEX(Properties!A$1:CB$87,Formula!H106,11),INDEX(Properties!A$1:CB$87,Formula!J106,11))</f>
        <v>2</v>
      </c>
      <c r="AP106" s="57">
        <f>MIN(IF(Formula!B106=87,10^6,INDEX(Properties!A$1:CB$87,Formula!B106,11)),IF((Formula!D106)=87,10^6,INDEX(Properties!A$1:CB$87,Formula!D106,11)),IF((Formula!F106)=87,10^6,INDEX(Properties!A$1:CB$87,Formula!F106,11)),IF((Formula!H106)=87,10^6,INDEX(Properties!A$1:CB$87,Formula!H106,11)),IF(Formula!J106=87,10^6,INDEX(Properties!A$1:CB$87,Formula!J106,11)))</f>
        <v>2</v>
      </c>
      <c r="AQ106" s="57">
        <f t="shared" si="38"/>
        <v>0</v>
      </c>
      <c r="AR106" s="78">
        <f>((Formula!C106)/(Formula!C106+Formula!E106+Formula!G106+Formula!I106+Formula!K106))*(INDEX(Properties!A$1:CB$87,Formula!B106,12))+((Formula!E106)/(Formula!C106+Formula!E106+Formula!G106+Formula!I106+Formula!K106))*(INDEX(Properties!A$1:CB$87,Formula!D106,12))+((Formula!G106)/(Formula!C106+Formula!E106+Formula!G106+Formula!I106+Formula!K106))*(INDEX(Properties!A$1:CB$87,Formula!F106,12))+((Formula!I106)/(Formula!C106+Formula!E106+Formula!G106+Formula!I106+Formula!K106))*(INDEX(Properties!A$1:CB$87,Formula!H106,12))+((Formula!K106)/(Formula!C106+Formula!E106+Formula!G106+Formula!I106+Formula!K106))*(INDEX(Properties!A$1:CB$87,Formula!J106,12))</f>
        <v>3</v>
      </c>
      <c r="AS106" s="78">
        <f>Formula!C106*(INDEX(Properties!A$1:CB$87,Formula!B106,12))+Formula!E106*(INDEX(Properties!A$1:CB$87,Formula!D106,12))+Formula!G106*(INDEX(Properties!A$1:CB$87,Formula!F106,12))+Formula!I106*(INDEX(Properties!A$1:CB$87,Formula!H106,12))+Formula!K106*(INDEX(Properties!A$1:CB$87,Formula!J106,12))</f>
        <v>42</v>
      </c>
      <c r="AT106" s="78">
        <f>VARP(IF(INDEX(Properties!A$1:CB$87,Formula!B106,12)&lt;&gt;"",INDEX(Properties!A$1:CB$87,Formula!B106,12)),IF(INDEX(Properties!A$1:CB$87,Formula!D106,12)&lt;&gt;"",INDEX(Properties!A$1:CB$87,Formula!D106,12)),IF(INDEX(Properties!A$1:CB$87,Formula!F106,12)&lt;&gt;"",INDEX(Properties!A$1:CB$87,Formula!F106,12)),IF(INDEX(Properties!A$1:CB$87,Formula!H106,12)&lt;&gt;"",INDEX(Properties!A$1:CB$87,Formula!H106,12)),IF(INDEX(Properties!A$1:CB$87,Formula!J106,12)&lt;&gt;"",INDEX(Properties!A$1:CB$87,Formula!J106,12)))</f>
        <v>2.2400000000000002</v>
      </c>
      <c r="AU106" s="78">
        <f>MAX(INDEX(Properties!A$1:CB$87,Formula!B106,12),INDEX(Properties!A$1:CB$87,Formula!D106,12),INDEX(Properties!A$1:CB$87,Formula!F106,12),INDEX(Properties!A$1:CB$87,Formula!H106,12),INDEX(Properties!A$1:CB$87,Formula!J106,12))</f>
        <v>4</v>
      </c>
      <c r="AV106" s="78">
        <f>MIN(IF(Formula!B106=87,10^6,INDEX(Properties!A$1:CB$87,Formula!B106,12)),IF((Formula!D106)=87,10^6,INDEX(Properties!A$1:CB$87,Formula!D106,12)),IF((Formula!F106)=87,10^6,INDEX(Properties!A$1:CB$87,Formula!F106,12)),IF((Formula!H106)=87,10^6,INDEX(Properties!A$1:CB$87,Formula!H106,12)),IF(Formula!J106=87,10^6,INDEX(Properties!A$1:CB$87,Formula!J106,12)))</f>
        <v>0</v>
      </c>
      <c r="AW106" s="78">
        <f t="shared" si="39"/>
        <v>4</v>
      </c>
      <c r="AX106" s="45">
        <f>((Formula!C106)/(Formula!C106+Formula!E106+Formula!G106+Formula!I106+Formula!K106))*(INDEX(Properties!A$1:CB$87,Formula!B106,13))+((Formula!E106)/(Formula!C106+Formula!E106+Formula!G106+Formula!I106+Formula!K106))*(INDEX(Properties!A$1:CB$87,Formula!D106,13))+((Formula!G106)/(Formula!C106+Formula!E106+Formula!G106+Formula!I106+Formula!K106))*(INDEX(Properties!A$1:CB$87,Formula!F106,13))+((Formula!I106)/(Formula!C106+Formula!E106+Formula!G106+Formula!I106+Formula!K106))*(INDEX(Properties!A$1:CB$87,Formula!H106,13))+((Formula!K106)/(Formula!C106+Formula!E106+Formula!G106+Formula!I106+Formula!K106))*(INDEX(Properties!A$1:CB$87,Formula!J106,13))</f>
        <v>0.85714285714285698</v>
      </c>
      <c r="AY106" s="45">
        <f>Formula!C106*(INDEX(Properties!A$1:CB$87,Formula!B106,13))+Formula!E106*(INDEX(Properties!A$1:CB$87,Formula!D106,13))+Formula!G106*(INDEX(Properties!A$1:CB$87,Formula!F106,13))+Formula!I106*(INDEX(Properties!A$1:CB$87,Formula!H106,13))+Formula!K106*(INDEX(Properties!A$1:CB$87,Formula!J106,13))</f>
        <v>12</v>
      </c>
      <c r="AZ106" s="45">
        <f>VARP(IF(INDEX(Properties!A$1:CB$87,Formula!B106,13)&lt;&gt;"",INDEX(Properties!A$1:CB$87,Formula!B106,13)),IF(INDEX(Properties!A$1:CB$87,Formula!D106,13)&lt;&gt;"",INDEX(Properties!A$1:CB$87,Formula!D106,13)),IF(INDEX(Properties!A$1:CB$87,Formula!F106,13)&lt;&gt;"",INDEX(Properties!A$1:CB$87,Formula!F106,13)),IF(INDEX(Properties!A$1:CB$87,Formula!H106,13)&lt;&gt;"",INDEX(Properties!A$1:CB$87,Formula!H106,13)),IF(INDEX(Properties!A$1:CB$87,Formula!J106,13)&lt;&gt;"",INDEX(Properties!A$1:CB$87,Formula!J106,13)))</f>
        <v>15.04</v>
      </c>
      <c r="BA106" s="45">
        <f>MAX(INDEX(Properties!A$1:CB$87,Formula!B106,13),INDEX(Properties!A$1:CB$87,Formula!D106,13),INDEX(Properties!A$1:CB$87,Formula!F106,13),INDEX(Properties!A$1:CB$87,Formula!H106,13),INDEX(Properties!A$1:CB$87,Formula!J106,13))</f>
        <v>10</v>
      </c>
      <c r="BB106" s="45">
        <f>MIN(IF(Formula!B106=87,10^6,INDEX(Properties!A$1:CB$87,Formula!B106,13)),IF((Formula!D106)=87,10^6,INDEX(Properties!A$1:CB$87,Formula!D106,13)),IF((Formula!F106)=87,10^6,INDEX(Properties!A$1:CB$87,Formula!F106,13)),IF((Formula!H106)=87,10^6,INDEX(Properties!A$1:CB$87,Formula!H106,13)),IF(Formula!J106=87,10^6,INDEX(Properties!A$1:CB$87,Formula!J106,13)))</f>
        <v>0</v>
      </c>
      <c r="BC106" s="45">
        <f t="shared" si="40"/>
        <v>10</v>
      </c>
      <c r="BD106" s="63">
        <f>((Formula!C106)/(Formula!C106+Formula!E106+Formula!G106+Formula!I106+Formula!K106))*(INDEX(Properties!A$1:CB$87,Formula!B106,14))+((Formula!E106)/(Formula!C106+Formula!E106+Formula!G106+Formula!I106+Formula!K106))*(INDEX(Properties!A$1:CB$87,Formula!D106,14))+((Formula!G106)/(Formula!C106+Formula!E106+Formula!G106+Formula!I106+Formula!K106))*(INDEX(Properties!A$1:CB$87,Formula!F106,14))+((Formula!I106)/(Formula!C106+Formula!E106+Formula!G106+Formula!I106+Formula!K106))*(INDEX(Properties!A$1:CB$87,Formula!H106,14))+((Formula!K106)/(Formula!C106+Formula!E106+Formula!G106+Formula!I106+Formula!K106))*(INDEX(Properties!A$1:CB$87,Formula!J106,14))</f>
        <v>0</v>
      </c>
      <c r="BE106" s="63">
        <f>Formula!C106*(INDEX(Properties!A$1:CB$87,Formula!B106,14))+Formula!E106*(INDEX(Properties!A$1:CB$87,Formula!D106,14))+Formula!G106*(INDEX(Properties!A$1:CB$87,Formula!F106,14))+Formula!I106*(INDEX(Properties!A$1:CB$87,Formula!H106,14))+Formula!K106*(INDEX(Properties!A$1:CB$87,Formula!J106,14))</f>
        <v>0</v>
      </c>
      <c r="BF106" s="63">
        <f>VARP(IF(INDEX(Properties!A$1:CB$87,Formula!B106,14)&lt;&gt;"",INDEX(Properties!A$1:CB$87,Formula!B106,14)),IF(INDEX(Properties!A$1:CB$87,Formula!D106,14)&lt;&gt;"",INDEX(Properties!A$1:CB$87,Formula!D106,14)),IF(INDEX(Properties!A$1:CB$87,Formula!F106,14)&lt;&gt;"",INDEX(Properties!A$1:CB$87,Formula!F106,14)),IF(INDEX(Properties!A$1:CB$87,Formula!H106,14)&lt;&gt;"",INDEX(Properties!A$1:CB$87,Formula!H106,14)),IF(INDEX(Properties!A$1:CB$87,Formula!J106,14)&lt;&gt;"",INDEX(Properties!A$1:CB$87,Formula!J106,14)))</f>
        <v>0</v>
      </c>
      <c r="BG106" s="63">
        <f>MAX(INDEX(Properties!A$1:CB$87,Formula!B106,14),INDEX(Properties!A$1:CB$87,Formula!D106,14),INDEX(Properties!A$1:CB$87,Formula!F106,14),INDEX(Properties!A$1:CB$87,Formula!H106,14),INDEX(Properties!A$1:CB$87,Formula!J106,14))</f>
        <v>0</v>
      </c>
      <c r="BH106" s="63">
        <f>MIN(IF(Formula!B106=87,10^6,INDEX(Properties!A$1:CB$87,Formula!B106,14)),IF((Formula!D106)=87,10^6,INDEX(Properties!A$1:CB$87,Formula!D106,14)),IF((Formula!F106)=87,10^6,INDEX(Properties!A$1:CB$87,Formula!F106,14)),IF((Formula!H106)=87,10^6,INDEX(Properties!A$1:CB$87,Formula!H106,14)),IF(Formula!J106=87,10^6,INDEX(Properties!A$1:CB$87,Formula!J106,14)))</f>
        <v>0</v>
      </c>
      <c r="BI106" s="63">
        <f t="shared" si="41"/>
        <v>0</v>
      </c>
      <c r="BJ106" s="75">
        <f>((Formula!C106)/(Formula!C106+Formula!E106+Formula!G106+Formula!I106+Formula!K106))*(INDEX(Properties!A$1:CB$87,Formula!B106,19))+((Formula!E106)/(Formula!C106+Formula!E106+Formula!G106+Formula!I106+Formula!K106))*(INDEX(Properties!A$1:CB$87,Formula!D106,19))+((Formula!G106)/(Formula!C106+Formula!E106+Formula!G106+Formula!I106+Formula!K106))*(INDEX(Properties!A$1:CB$87,Formula!F106,19))+((Formula!I106)/(Formula!C106+Formula!E106+Formula!G106+Formula!I106+Formula!K106))*(INDEX(Properties!A$1:CB$87,Formula!H106,19))+((Formula!K106)/(Formula!C106+Formula!E106+Formula!G106+Formula!I106+Formula!K106))*(INDEX(Properties!A$1:CB$87,Formula!J106,19))</f>
        <v>5.8571428571428577</v>
      </c>
      <c r="BK106" s="75">
        <f>Formula!C106*(INDEX(Properties!A$1:CB$87,Formula!B106,19))+Formula!E106*(INDEX(Properties!A$1:CB$87,Formula!D106,19))+Formula!G106*(INDEX(Properties!A$1:CB$87,Formula!F106,19))+Formula!I106*(INDEX(Properties!A$1:CB$87,Formula!H106,19))+Formula!K106*(INDEX(Properties!A$1:CB$87,Formula!J106,19))</f>
        <v>82</v>
      </c>
      <c r="BL106" s="75">
        <f>VARP(IF(INDEX(Properties!A$1:CB$87,Formula!B106,19)&lt;&gt;"",INDEX(Properties!A$1:CB$87,Formula!B106,19)),IF(INDEX(Properties!A$1:CB$87,Formula!D106,19)&lt;&gt;"",INDEX(Properties!A$1:CB$87,Formula!D106,19)),IF(INDEX(Properties!A$1:CB$87,Formula!F106,19)&lt;&gt;"",INDEX(Properties!A$1:CB$87,Formula!F106,19)),IF(INDEX(Properties!A$1:CB$87,Formula!H106,19)&lt;&gt;"",INDEX(Properties!A$1:CB$87,Formula!H106,19)),IF(INDEX(Properties!A$1:CB$87,Formula!J106,19)&lt;&gt;"",INDEX(Properties!A$1:CB$87,Formula!J106,19)))</f>
        <v>17.600000000000001</v>
      </c>
      <c r="BM106" s="75">
        <f>MAX(INDEX(Properties!A$1:CB$87,Formula!B106,19),INDEX(Properties!A$1:CB$87,Formula!D106,19),INDEX(Properties!A$1:CB$87,Formula!F106,19),INDEX(Properties!A$1:CB$87,Formula!H106,19),INDEX(Properties!A$1:CB$87,Formula!J106,19))</f>
        <v>14</v>
      </c>
      <c r="BN106" s="75">
        <f>MIN(IF(INDEX(Properties!A$1:CB$87,Formula!B106,19)=0,10^6,INDEX(Properties!A$1:CB$87,Formula!B106,19)),IF(INDEX(Properties!A$1:CB$87,Formula!D106,19)=0,10^6,INDEX(Properties!A$1:CB$87,Formula!D106,19)),IF(INDEX(Properties!A$1:CB$87,Formula!F106,19)=0,10^6,INDEX(Properties!A$1:CB$87,Formula!F106,19)),IF(INDEX(Properties!A$1:CB$87,Formula!H106,19)=0,10^6,INDEX(Properties!A$1:CB$87,Formula!H106,19)),IF(INDEX(Properties!A$1:CB$87,Formula!J106,19)=0,10^6,INDEX(Properties!A$1:CB$87,Formula!J106,19)))</f>
        <v>2</v>
      </c>
      <c r="BO106" s="75">
        <f t="shared" si="42"/>
        <v>12</v>
      </c>
      <c r="BP106" s="48">
        <f>((Formula!C106)/(Formula!C106+Formula!E106+Formula!G106+Formula!I106+Formula!K106))*(INDEX(Properties!A$1:CB$87,Formula!B106,20))+((Formula!E106)/(Formula!C106+Formula!E106+Formula!G106+Formula!I106+Formula!K106))*(INDEX(Properties!A$1:CB$87,Formula!D106,20))+((Formula!G106)/(Formula!C106+Formula!E106+Formula!G106+Formula!I106+Formula!K106))*(INDEX(Properties!A$1:CB$87,Formula!F106,20))+((Formula!I106)/(Formula!C106+Formula!E106+Formula!G106+Formula!I106+Formula!K106))*(INDEX(Properties!A$1:CB$87,Formula!H106,20))+((Formula!K106)/(Formula!C106+Formula!E106+Formula!G106+Formula!I106+Formula!K106))*(INDEX(Properties!A$1:CB$87,Formula!J106,20))</f>
        <v>5</v>
      </c>
      <c r="BQ106" s="48">
        <f>Formula!C106*(INDEX(Properties!A$1:CB$87,Formula!B106,20))+Formula!E106*(INDEX(Properties!A$1:CB$87,Formula!D106,20))+Formula!G106*(INDEX(Properties!A$1:CB$87,Formula!F106,20))+Formula!I106*(INDEX(Properties!A$1:CB$87,Formula!H106,20))+Formula!K106*(INDEX(Properties!A$1:CB$87,Formula!J106,20))</f>
        <v>70</v>
      </c>
      <c r="BR106" s="48">
        <f>VARP(IF(INDEX(Properties!A$1:CB$87,Formula!B106,20)&lt;&gt;"",INDEX(Properties!A$1:CB$87,Formula!B106,20)),IF(INDEX(Properties!A$1:CB$87,Formula!D106,20)&lt;&gt;"",INDEX(Properties!A$1:CB$87,Formula!D106,20)),IF(INDEX(Properties!A$1:CB$87,Formula!F106,20)&lt;&gt;"",INDEX(Properties!A$1:CB$87,Formula!F106,20)),IF(INDEX(Properties!A$1:CB$87,Formula!H106,20)&lt;&gt;"",INDEX(Properties!A$1:CB$87,Formula!H106,20)),IF(INDEX(Properties!A$1:CB$87,Formula!J106,20)&lt;&gt;"",INDEX(Properties!A$1:CB$87,Formula!J106,20)))</f>
        <v>2.2400000000000002</v>
      </c>
      <c r="BS106" s="48">
        <f>MAX(INDEX(Properties!A$1:CB$87,Formula!B106,20),INDEX(Properties!A$1:CB$87,Formula!D106,20),INDEX(Properties!A$1:CB$87,Formula!F106,20),INDEX(Properties!A$1:CB$87,Formula!H106,20),INDEX(Properties!A$1:CB$87,Formula!J106,20))</f>
        <v>6</v>
      </c>
      <c r="BT106" s="48">
        <f>MIN(IF(INDEX(Properties!A$1:CB$87,Formula!B106,20)=0,10^6,INDEX(Properties!A$1:CB$87,Formula!B106,20)),IF(INDEX(Properties!A$1:CB$87,Formula!D106,20)=0,10^6,INDEX(Properties!A$1:CB$87,Formula!D106,20)),IF(INDEX(Properties!A$1:CB$87,Formula!F106,20)=0,10^6,INDEX(Properties!A$1:CB$87,Formula!F106,20)),IF(INDEX(Properties!A$1:CB$87,Formula!H106,20)=0,10^6,INDEX(Properties!A$1:CB$87,Formula!H106,20)),IF(INDEX(Properties!A$1:CB$87,Formula!J106,20)=0,10^6,INDEX(Properties!A$1:CB$87,Formula!J106,20)))</f>
        <v>2</v>
      </c>
      <c r="BU106" s="48">
        <f t="shared" si="43"/>
        <v>4</v>
      </c>
      <c r="BV106" s="66">
        <f>((Formula!C106)/(Formula!C106+Formula!E106+Formula!G106+Formula!I106+Formula!K106))*(INDEX(Properties!A$1:CB$87,Formula!B106,21))+((Formula!E106)/(Formula!C106+Formula!E106+Formula!G106+Formula!I106+Formula!K106))*(INDEX(Properties!A$1:CB$87,Formula!D106,21))+((Formula!G106)/(Formula!C106+Formula!E106+Formula!G106+Formula!I106+Formula!K106))*(INDEX(Properties!A$1:CB$87,Formula!F106,21))+((Formula!I106)/(Formula!C106+Formula!E106+Formula!G106+Formula!I106+Formula!K106))*(INDEX(Properties!A$1:CB$87,Formula!H106,21))+((Formula!K106)/(Formula!C106+Formula!E106+Formula!G106+Formula!I106+Formula!K106))*(INDEX(Properties!A$1:CB$87,Formula!J106,21))</f>
        <v>5</v>
      </c>
      <c r="BW106" s="66">
        <f>Formula!C106*(INDEX(Properties!A$1:CB$87,Formula!B106,21))+Formula!E106*(INDEX(Properties!A$1:CB$87,Formula!D106,21))+Formula!G106*(INDEX(Properties!A$1:CB$87,Formula!F106,21))+Formula!I106*(INDEX(Properties!A$1:CB$87,Formula!H106,21))+Formula!K106*(INDEX(Properties!A$1:CB$87,Formula!J106,21))</f>
        <v>70</v>
      </c>
      <c r="BX106" s="66">
        <f>VARP(IF(INDEX(Properties!A$1:CB$87,Formula!B106,21)&lt;&gt;"",INDEX(Properties!A$1:CB$87,Formula!B106,21)),IF(INDEX(Properties!A$1:CB$87,Formula!D106,21)&lt;&gt;"",INDEX(Properties!A$1:CB$87,Formula!D106,21)),IF(INDEX(Properties!A$1:CB$87,Formula!F106,21)&lt;&gt;"",INDEX(Properties!A$1:CB$87,Formula!F106,21)),IF(INDEX(Properties!A$1:CB$87,Formula!H106,21)&lt;&gt;"",INDEX(Properties!A$1:CB$87,Formula!H106,21)),IF(INDEX(Properties!A$1:CB$87,Formula!J106,21)&lt;&gt;"",INDEX(Properties!A$1:CB$87,Formula!J106,21)))</f>
        <v>2.2400000000000002</v>
      </c>
      <c r="BY106" s="66">
        <f>MAX(INDEX(Properties!A$1:CB$87,Formula!B106,21),INDEX(Properties!A$1:CB$87,Formula!D106,21),INDEX(Properties!A$1:CB$87,Formula!F106,21),INDEX(Properties!A$1:CB$87,Formula!H106,21),INDEX(Properties!A$1:CB$87,Formula!J106,21))</f>
        <v>6</v>
      </c>
      <c r="BZ106" s="66">
        <f>MIN(IF(INDEX(Properties!A$1:CB$87,Formula!B106,21)=0,10^6,INDEX(Properties!A$1:CB$87,Formula!B106,21)),IF(INDEX(Properties!A$1:CB$87,Formula!D106,21)=0,10^6,INDEX(Properties!A$1:CB$87,Formula!D106,21)),IF(INDEX(Properties!A$1:CB$87,Formula!F106,21)=0,10^6,INDEX(Properties!A$1:CB$87,Formula!F106,21)),IF(INDEX(Properties!A$1:CB$87,Formula!H106,21)=0,10^6,INDEX(Properties!A$1:CB$87,Formula!H106,21)),IF(INDEX(Properties!A$1:CB$87,Formula!J106,21)=0,10^6,INDEX(Properties!A$1:CB$87,Formula!J106,21)))</f>
        <v>2</v>
      </c>
      <c r="CA106" s="66">
        <f t="shared" si="44"/>
        <v>4</v>
      </c>
      <c r="CB106" s="81">
        <f>((Formula!C106)/(Formula!C106+Formula!E106+Formula!G106+Formula!I106+Formula!K106))*(INDEX(Properties!A$1:CB$87,Formula!B106,23))+((Formula!E106)/(Formula!C106+Formula!E106+Formula!G106+Formula!I106+Formula!K106))*(INDEX(Properties!A$1:CB$87,Formula!D106,23))+((Formula!G106)/(Formula!C106+Formula!E106+Formula!G106+Formula!I106+Formula!K106))*(INDEX(Properties!A$1:CB$87,Formula!F106,23))+((Formula!I106)/(Formula!C106+Formula!E106+Formula!G106+Formula!I106+Formula!K106))*(INDEX(Properties!A$1:CB$87,Formula!H106,23))+((Formula!K106)/(Formula!C106+Formula!E106+Formula!G106+Formula!I106+Formula!K106))*(INDEX(Properties!A$1:CB$87,Formula!J106,23))</f>
        <v>1.2857142857142856</v>
      </c>
      <c r="CC106" s="81">
        <f>Formula!C106*(INDEX(Properties!A$1:CB$87,Formula!B106,23))+Formula!E106*(INDEX(Properties!A$1:CB$87,Formula!D106,23))+Formula!G106*(INDEX(Properties!A$1:CB$87,Formula!F106,23))+Formula!I106*(INDEX(Properties!A$1:CB$87,Formula!H106,23))+Formula!K106*(INDEX(Properties!A$1:CB$87,Formula!J106,23))</f>
        <v>18</v>
      </c>
      <c r="CD106" s="81">
        <f>VARP(IF(INDEX(Properties!A$1:CB$87,Formula!B106,23)&lt;&gt;"",INDEX(Properties!A$1:CB$87,Formula!B106,23)),IF(INDEX(Properties!A$1:CB$87,Formula!D106,23)&lt;&gt;"",INDEX(Properties!A$1:CB$87,Formula!D106,23)),IF(INDEX(Properties!A$1:CB$87,Formula!F106,23)&lt;&gt;"",INDEX(Properties!A$1:CB$87,Formula!F106,23)),IF(INDEX(Properties!A$1:CB$87,Formula!H106,23)&lt;&gt;"",INDEX(Properties!A$1:CB$87,Formula!H106,23)),IF(INDEX(Properties!A$1:CB$87,Formula!J106,23)&lt;&gt;"",INDEX(Properties!A$1:CB$87,Formula!J106,23)))</f>
        <v>2.56</v>
      </c>
      <c r="CE106" s="81">
        <f>MAX(INDEX(Properties!A$1:CB$87,Formula!B106,23),INDEX(Properties!A$1:CB$87,Formula!D106,23),INDEX(Properties!A$1:CB$87,Formula!F106,23),INDEX(Properties!A$1:CB$87,Formula!H106,23),INDEX(Properties!A$1:CB$87,Formula!J106,23))</f>
        <v>4</v>
      </c>
      <c r="CF106" s="81">
        <f>MIN(IF(Formula!B106=87,10^6,INDEX(Properties!A$1:CB$87,Formula!B106,23)),IF((Formula!D106)=87,10^6,INDEX(Properties!A$1:CB$87,Formula!D106,23)),IF((Formula!F106)=87,10^6,INDEX(Properties!A$1:CB$87,Formula!F106,23)),IF((Formula!H106)=87,10^6,INDEX(Properties!A$1:CB$87,Formula!H106,23)),IF(Formula!J106=87,10^6,INDEX(Properties!A$1:CB$87,Formula!J106,23)))</f>
        <v>0</v>
      </c>
      <c r="CG106" s="81">
        <f t="shared" si="45"/>
        <v>4</v>
      </c>
      <c r="CH106" s="39">
        <f>((Formula!C106)/(Formula!C106+Formula!E106+Formula!G106+Formula!I106+Formula!K106))*(INDEX(Properties!A$1:CB$87,Formula!B106,26))+((Formula!E106)/(Formula!C106+Formula!E106+Formula!G106+Formula!I106+Formula!K106))*(INDEX(Properties!A$1:CB$87,Formula!D106,26))+((Formula!G106)/(Formula!C106+Formula!E106+Formula!G106+Formula!I106+Formula!K106))*(INDEX(Properties!A$1:CB$87,Formula!F106,26))+((Formula!I106)/(Formula!C106+Formula!E106+Formula!G106+Formula!I106+Formula!K106))*(INDEX(Properties!A$1:CB$87,Formula!H106,26))+((Formula!K106)/(Formula!C106+Formula!E106+Formula!G106+Formula!I106+Formula!K106))*(INDEX(Properties!A$1:CB$87,Formula!J106,26))</f>
        <v>11.343249999999999</v>
      </c>
      <c r="CI106" s="39">
        <f>Formula!C106*(INDEX(Properties!A$1:CB$87,Formula!B106,26))+Formula!E106*(INDEX(Properties!A$1:CB$87,Formula!D106,26))+Formula!G106*(INDEX(Properties!A$1:CB$87,Formula!F106,26))+Formula!I106*(INDEX(Properties!A$1:CB$87,Formula!H106,26))+Formula!K106*(INDEX(Properties!A$1:CB$87,Formula!J106,26))</f>
        <v>158.80549999999999</v>
      </c>
      <c r="CJ106" s="39">
        <f>VARP(IF(INDEX(Properties!A$1:CB$87,Formula!B106,26)&lt;&gt;"",INDEX(Properties!A$1:CB$87,Formula!B106,26)),IF(INDEX(Properties!A$1:CB$87,Formula!D106,26)&lt;&gt;"",INDEX(Properties!A$1:CB$87,Formula!D106,26)),IF(INDEX(Properties!A$1:CB$87,Formula!F106,26)&lt;&gt;"",INDEX(Properties!A$1:CB$87,Formula!F106,26)),IF(INDEX(Properties!A$1:CB$87,Formula!H106,26)&lt;&gt;"",INDEX(Properties!A$1:CB$87,Formula!H106,26)),IF(INDEX(Properties!A$1:CB$87,Formula!J106,26)&lt;&gt;"",INDEX(Properties!A$1:CB$87,Formula!J106,26)))</f>
        <v>8.0320022320000142</v>
      </c>
      <c r="CK106" s="39">
        <f>MAX(INDEX(Properties!A$1:CB$87,Formula!B106,26),INDEX(Properties!A$1:CB$87,Formula!D106,26),INDEX(Properties!A$1:CB$87,Formula!F106,26),INDEX(Properties!A$1:CB$87,Formula!H106,26),INDEX(Properties!A$1:CB$87,Formula!J106,26))</f>
        <v>13.6181</v>
      </c>
      <c r="CL106" s="39">
        <f>MIN(IF(INDEX(Properties!A$1:CB$87,Formula!B106,26)=0,10^6,INDEX(Properties!A$1:CB$87,Formula!B106,26)),IF(INDEX(Properties!A$1:CB$87,Formula!D106,26)=0,10^6,INDEX(Properties!A$1:CB$87,Formula!D106,26)),IF(INDEX(Properties!A$1:CB$87,Formula!F106,26)=0,10^6,INDEX(Properties!A$1:CB$87,Formula!F106,26)),IF(INDEX(Properties!A$1:CB$87,Formula!H106,26)=0,10^6,INDEX(Properties!A$1:CB$87,Formula!H106,26)),IF(INDEX(Properties!A$1:CB$87,Formula!J106,26)=0,10^6,INDEX(Properties!A$1:CB$87,Formula!J106,26)))</f>
        <v>5.2117000000000004</v>
      </c>
      <c r="CM106" s="39">
        <f t="shared" si="46"/>
        <v>8.4063999999999997</v>
      </c>
      <c r="CN106" s="54">
        <f>((Formula!C106)/(Formula!C106+Formula!E106+Formula!G106+Formula!I106+Formula!K106))*(INDEX(Properties!A$1:CB$87,Formula!B106,30))+((Formula!E106)/(Formula!C106+Formula!E106+Formula!G106+Formula!I106+Formula!K106))*(INDEX(Properties!A$1:CB$87,Formula!D106,30))+((Formula!G106)/(Formula!C106+Formula!E106+Formula!G106+Formula!I106+Formula!K106))*(INDEX(Properties!A$1:CB$87,Formula!F106,30))+((Formula!I106)/(Formula!C106+Formula!E106+Formula!G106+Formula!I106+Formula!K106))*(INDEX(Properties!A$1:CB$87,Formula!H106,30))+((Formula!K106)/(Formula!C106+Formula!E106+Formula!G106+Formula!I106+Formula!K106))*(INDEX(Properties!A$1:CB$87,Formula!J106,30))</f>
        <v>2.8000000000000003</v>
      </c>
      <c r="CO106" s="54">
        <f>Formula!C106*(INDEX(Properties!A$1:CB$87,Formula!B106,30))+Formula!E106*(INDEX(Properties!A$1:CB$87,Formula!D106,30))+Formula!G106*(INDEX(Properties!A$1:CB$87,Formula!F106,30))+Formula!I106*(INDEX(Properties!A$1:CB$87,Formula!H106,30))+Formula!K106*(INDEX(Properties!A$1:CB$87,Formula!J106,30))</f>
        <v>39.200000000000003</v>
      </c>
      <c r="CP106" s="54">
        <f>VARP(IF(INDEX(Properties!A$1:CB$87,Formula!B106,30)&lt;&gt;"",INDEX(Properties!A$1:CB$87,Formula!B106,30)),IF(INDEX(Properties!A$1:CB$87,Formula!D106,30)&lt;&gt;"",INDEX(Properties!A$1:CB$87,Formula!D106,30)),IF(INDEX(Properties!A$1:CB$87,Formula!F106,30)&lt;&gt;"",INDEX(Properties!A$1:CB$87,Formula!F106,30)),IF(INDEX(Properties!A$1:CB$87,Formula!H106,30)&lt;&gt;"",INDEX(Properties!A$1:CB$87,Formula!H106,30)),IF(INDEX(Properties!A$1:CB$87,Formula!J106,30)&lt;&gt;"",INDEX(Properties!A$1:CB$87,Formula!J106,30)))</f>
        <v>0.7035440000000005</v>
      </c>
      <c r="CQ106" s="54">
        <f>MAX(INDEX(Properties!A$1:CB$87,Formula!B106,30),INDEX(Properties!A$1:CB$87,Formula!D106,30),INDEX(Properties!A$1:CB$87,Formula!F106,30),INDEX(Properties!A$1:CB$87,Formula!H106,30),INDEX(Properties!A$1:CB$87,Formula!J106,30))</f>
        <v>3.44</v>
      </c>
      <c r="CR106" s="54">
        <f>MIN(IF(INDEX(Properties!A$1:CB$87,Formula!B106,30)=0,10^6,INDEX(Properties!A$1:CB$87,Formula!B106,30)),IF(INDEX(Properties!A$1:CB$87,Formula!D106,30)=0,10^6,INDEX(Properties!A$1:CB$87,Formula!D106,30)),IF(INDEX(Properties!A$1:CB$87,Formula!F106,30)=0,10^6,INDEX(Properties!A$1:CB$87,Formula!F106,30)),IF(INDEX(Properties!A$1:CB$87,Formula!H106,30)=0,10^6,INDEX(Properties!A$1:CB$87,Formula!H106,30)),IF(INDEX(Properties!A$1:CB$87,Formula!J106,30)=0,10^6,INDEX(Properties!A$1:CB$87,Formula!J106,30)))</f>
        <v>0.89</v>
      </c>
      <c r="CS106" s="54">
        <f t="shared" si="47"/>
        <v>2.5499999999999998</v>
      </c>
      <c r="CT106" s="69">
        <f>((Formula!C106)/(Formula!C106+Formula!E106+Formula!G106+Formula!I106+Formula!K106))*(INDEX(Properties!A$1:CB$87,Formula!B106,31))+((Formula!E106)/(Formula!C106+Formula!E106+Formula!G106+Formula!I106+Formula!K106))*(INDEX(Properties!A$1:CB$87,Formula!D106,31))+((Formula!G106)/(Formula!C106+Formula!E106+Formula!G106+Formula!I106+Formula!K106))*(INDEX(Properties!A$1:CB$87,Formula!F106,31))+((Formula!I106)/(Formula!C106+Formula!E106+Formula!G106+Formula!I106+Formula!K106))*(INDEX(Properties!A$1:CB$87,Formula!H106,31))+((Formula!K106)/(Formula!C106+Formula!E106+Formula!G106+Formula!I106+Formula!K106))*(INDEX(Properties!A$1:CB$87,Formula!J106,31))</f>
        <v>2.7692857142857141</v>
      </c>
      <c r="CU106" s="69">
        <f>Formula!C106*(INDEX(Properties!A$1:CB$87,Formula!B106,31))+Formula!E106*(INDEX(Properties!A$1:CB$87,Formula!D106,31))+Formula!G106*(INDEX(Properties!A$1:CB$87,Formula!F106,31))+Formula!I106*(INDEX(Properties!A$1:CB$87,Formula!H106,31))+Formula!K106*(INDEX(Properties!A$1:CB$87,Formula!J106,31))</f>
        <v>38.769999999999996</v>
      </c>
      <c r="CV106" s="69">
        <f>VARP(IF(INDEX(Properties!A$1:CB$87,Formula!B106,31)&lt;&gt;"",INDEX(Properties!A$1:CB$87,Formula!B106,31)),IF(INDEX(Properties!A$1:CB$87,Formula!D106,31)&lt;&gt;"",INDEX(Properties!A$1:CB$87,Formula!D106,31)),IF(INDEX(Properties!A$1:CB$87,Formula!F106,31)&lt;&gt;"",INDEX(Properties!A$1:CB$87,Formula!F106,31)),IF(INDEX(Properties!A$1:CB$87,Formula!H106,31)&lt;&gt;"",INDEX(Properties!A$1:CB$87,Formula!H106,31)),IF(INDEX(Properties!A$1:CB$87,Formula!J106,31)&lt;&gt;"",INDEX(Properties!A$1:CB$87,Formula!J106,31)))</f>
        <v>0.51966399999999968</v>
      </c>
      <c r="CW106" s="69">
        <f>MAX(INDEX(Properties!A$1:CB$87,Formula!B106,31),INDEX(Properties!A$1:CB$87,Formula!D106,31),INDEX(Properties!A$1:CB$87,Formula!F106,31),INDEX(Properties!A$1:CB$87,Formula!H106,31),INDEX(Properties!A$1:CB$87,Formula!J106,31))</f>
        <v>3.32</v>
      </c>
      <c r="CX106" s="69">
        <f>MIN(IF(INDEX(Properties!A$1:CB$87,Formula!B106,31)=0,10^6,INDEX(Properties!A$1:CB$87,Formula!B106,31)),IF(INDEX(Properties!A$1:CB$87,Formula!D106,31)=0,10^6,INDEX(Properties!A$1:CB$87,Formula!D106,31)),IF(INDEX(Properties!A$1:CB$87,Formula!F106,31)=0,10^6,INDEX(Properties!A$1:CB$87,Formula!F106,31)),IF(INDEX(Properties!A$1:CB$87,Formula!H106,31)=0,10^6,INDEX(Properties!A$1:CB$87,Formula!H106,31)),IF(INDEX(Properties!A$1:CB$87,Formula!J106,31)=0,10^6,INDEX(Properties!A$1:CB$87,Formula!J106,31)))</f>
        <v>1.08</v>
      </c>
      <c r="CY106" s="69">
        <f t="shared" si="48"/>
        <v>2.2399999999999998</v>
      </c>
      <c r="CZ106" s="42">
        <f>((Formula!C106)/(Formula!C106+Formula!E106+Formula!G106+Formula!I106+Formula!K106))*(INDEX(Properties!A$1:CB$87,Formula!B106,32))+((Formula!E106)/(Formula!C106+Formula!E106+Formula!G106+Formula!I106+Formula!K106))*(INDEX(Properties!A$1:CB$87,Formula!D106,32))+((Formula!G106)/(Formula!C106+Formula!E106+Formula!G106+Formula!I106+Formula!K106))*(INDEX(Properties!A$1:CB$87,Formula!F106,32))+((Formula!I106)/(Formula!C106+Formula!E106+Formula!G106+Formula!I106+Formula!K106))*(INDEX(Properties!A$1:CB$87,Formula!H106,32))+((Formula!K106)/(Formula!C106+Formula!E106+Formula!G106+Formula!I106+Formula!K106))*(INDEX(Properties!A$1:CB$87,Formula!J106,32))</f>
        <v>6.2750000000000004</v>
      </c>
      <c r="DA106" s="42">
        <f>Formula!C106*(INDEX(Properties!A$1:CB$87,Formula!B106,32))+Formula!E106*(INDEX(Properties!A$1:CB$87,Formula!D106,32))+Formula!G106*(INDEX(Properties!A$1:CB$87,Formula!F106,32))+Formula!I106*(INDEX(Properties!A$1:CB$87,Formula!H106,32))+Formula!K106*(INDEX(Properties!A$1:CB$87,Formula!J106,32))</f>
        <v>87.85</v>
      </c>
      <c r="DB106" s="42">
        <f>VARP(IF(INDEX(Properties!A$1:CB$87,Formula!B106,32)&lt;&gt;"",INDEX(Properties!A$1:CB$87,Formula!B106,32)),IF(INDEX(Properties!A$1:CB$87,Formula!D106,32)&lt;&gt;"",INDEX(Properties!A$1:CB$87,Formula!D106,32)),IF(INDEX(Properties!A$1:CB$87,Formula!F106,32)&lt;&gt;"",INDEX(Properties!A$1:CB$87,Formula!F106,32)),IF(INDEX(Properties!A$1:CB$87,Formula!H106,32)&lt;&gt;"",INDEX(Properties!A$1:CB$87,Formula!H106,32)),IF(INDEX(Properties!A$1:CB$87,Formula!J106,32)&lt;&gt;"",INDEX(Properties!A$1:CB$87,Formula!J106,32)))</f>
        <v>2.9646960000000036</v>
      </c>
      <c r="DC106" s="42">
        <f>MAX(INDEX(Properties!A$1:CB$87,Formula!B106,32),INDEX(Properties!A$1:CB$87,Formula!D106,32),INDEX(Properties!A$1:CB$87,Formula!F106,32),INDEX(Properties!A$1:CB$87,Formula!H106,32),INDEX(Properties!A$1:CB$87,Formula!J106,32))</f>
        <v>7.54</v>
      </c>
      <c r="DD106" s="42">
        <f>MIN(IF(INDEX(Properties!A$1:CB$87,Formula!B106,32)=0,10^6,INDEX(Properties!A$1:CB$87,Formula!B106,32)),IF(INDEX(Properties!A$1:CB$87,Formula!D106,32)=0,10^6,INDEX(Properties!A$1:CB$87,Formula!D106,32)),IF(INDEX(Properties!A$1:CB$87,Formula!F106,32)=0,10^6,INDEX(Properties!A$1:CB$87,Formula!F106,32)),IF(INDEX(Properties!A$1:CB$87,Formula!H106,32)=0,10^6,INDEX(Properties!A$1:CB$87,Formula!H106,32)),IF(INDEX(Properties!A$1:CB$87,Formula!J106,32)=0,10^6,INDEX(Properties!A$1:CB$87,Formula!J106,32)))</f>
        <v>2.4</v>
      </c>
      <c r="DE106" s="42">
        <f t="shared" si="49"/>
        <v>5.1400000000000006</v>
      </c>
      <c r="DF106" s="60">
        <f>((Formula!C106)/(Formula!C106+Formula!E106+Formula!G106+Formula!I106+Formula!K106))*(INDEX(Properties!A$1:CB$87,Formula!B106,34))+((Formula!E106)/(Formula!C106+Formula!E106+Formula!G106+Formula!I106+Formula!K106))*(INDEX(Properties!A$1:CB$87,Formula!D106,34))+((Formula!G106)/(Formula!C106+Formula!E106+Formula!G106+Formula!I106+Formula!K106))*(INDEX(Properties!A$1:CB$87,Formula!F106,34))+((Formula!I106)/(Formula!C106+Formula!E106+Formula!G106+Formula!I106+Formula!K106))*(INDEX(Properties!A$1:CB$87,Formula!H106,34))+((Formula!K106)/(Formula!C106+Formula!E106+Formula!G106+Formula!I106+Formula!K106))*(INDEX(Properties!A$1:CB$87,Formula!J106,34))</f>
        <v>2.8983571428571429</v>
      </c>
      <c r="DG106" s="60">
        <f>Formula!C106*(INDEX(Properties!A$1:CB$87,Formula!B106,34))+Formula!E106*(INDEX(Properties!A$1:CB$87,Formula!D106,34))+Formula!G106*(INDEX(Properties!A$1:CB$87,Formula!F106,34))+Formula!I106*(INDEX(Properties!A$1:CB$87,Formula!H106,34))+Formula!K106*(INDEX(Properties!A$1:CB$87,Formula!J106,34))</f>
        <v>40.576999999999998</v>
      </c>
      <c r="DH106" s="60">
        <f>VARP(IF(INDEX(Properties!A$1:CB$87,Formula!B106,34)&lt;&gt;"",INDEX(Properties!A$1:CB$87,Formula!B106,34)),IF(INDEX(Properties!A$1:CB$87,Formula!D106,34)&lt;&gt;"",INDEX(Properties!A$1:CB$87,Formula!D106,34)),IF(INDEX(Properties!A$1:CB$87,Formula!F106,34)&lt;&gt;"",INDEX(Properties!A$1:CB$87,Formula!F106,34)),IF(INDEX(Properties!A$1:CB$87,Formula!H106,34)&lt;&gt;"",INDEX(Properties!A$1:CB$87,Formula!H106,34)),IF(INDEX(Properties!A$1:CB$87,Formula!J106,34)&lt;&gt;"",INDEX(Properties!A$1:CB$87,Formula!J106,34)))</f>
        <v>0.84523216000000045</v>
      </c>
      <c r="DI106" s="60">
        <f>MAX(INDEX(Properties!A$1:CB$87,Formula!B106,34),INDEX(Properties!A$1:CB$87,Formula!D106,34),INDEX(Properties!A$1:CB$87,Formula!F106,34),INDEX(Properties!A$1:CB$87,Formula!H106,34),INDEX(Properties!A$1:CB$87,Formula!J106,34))</f>
        <v>3.61</v>
      </c>
      <c r="DJ106" s="60">
        <f>MIN(IF(INDEX(Properties!A$1:CB$87,Formula!B106,34)=0,10^6,INDEX(Properties!A$1:CB$87,Formula!B106,34)),IF(INDEX(Properties!A$1:CB$87,Formula!D106,34)=0,10^6,INDEX(Properties!A$1:CB$87,Formula!D106,34)),IF(INDEX(Properties!A$1:CB$87,Formula!F106,34)=0,10^6,INDEX(Properties!A$1:CB$87,Formula!F106,34)),IF(INDEX(Properties!A$1:CB$87,Formula!H106,34)=0,10^6,INDEX(Properties!A$1:CB$87,Formula!H106,34)),IF(INDEX(Properties!A$1:CB$87,Formula!J106,34)=0,10^6,INDEX(Properties!A$1:CB$87,Formula!J106,34)))</f>
        <v>0.88100000000000001</v>
      </c>
      <c r="DK106" s="60">
        <f t="shared" si="50"/>
        <v>2.7290000000000001</v>
      </c>
      <c r="DL106" s="45">
        <f>((Formula!C106)/(Formula!C106+Formula!E106+Formula!G106+Formula!I106+Formula!K106))*(INDEX(Properties!A$1:CB$87,Formula!B106,39))+((Formula!E106)/(Formula!C106+Formula!E106+Formula!G106+Formula!I106+Formula!K106))*(INDEX(Properties!A$1:CB$87,Formula!D106,39))+((Formula!G106)/(Formula!C106+Formula!E106+Formula!G106+Formula!I106+Formula!K106))*(INDEX(Properties!A$1:CB$87,Formula!F106,39))+((Formula!I106)/(Formula!C106+Formula!E106+Formula!G106+Formula!I106+Formula!K106))*(INDEX(Properties!A$1:CB$87,Formula!H106,39))+((Formula!K106)/(Formula!C106+Formula!E106+Formula!G106+Formula!I106+Formula!K106))*(INDEX(Properties!A$1:CB$87,Formula!J106,39))</f>
        <v>0.86285714285714288</v>
      </c>
      <c r="DM106" s="45">
        <f>Formula!C106*(INDEX(Properties!A$1:CB$87,Formula!B106,39))+Formula!E106*(INDEX(Properties!A$1:CB$87,Formula!D106,39))+Formula!G106*(INDEX(Properties!A$1:CB$87,Formula!F106,39))+Formula!I106*(INDEX(Properties!A$1:CB$87,Formula!H106,39))+Formula!K106*(INDEX(Properties!A$1:CB$87,Formula!J106,39))</f>
        <v>12.08</v>
      </c>
      <c r="DN106" s="45">
        <f>VARP(IF(INDEX(Properties!A$1:CB$87,Formula!B106,39)&lt;&gt;"",INDEX(Properties!A$1:CB$87,Formula!B106,39)),IF(INDEX(Properties!A$1:CB$87,Formula!D106,39)&lt;&gt;"",INDEX(Properties!A$1:CB$87,Formula!D106,39)),IF(INDEX(Properties!A$1:CB$87,Formula!F106,39)&lt;&gt;"",INDEX(Properties!A$1:CB$87,Formula!F106,39)),IF(INDEX(Properties!A$1:CB$87,Formula!H106,39)&lt;&gt;"",INDEX(Properties!A$1:CB$87,Formula!H106,39)),IF(INDEX(Properties!A$1:CB$87,Formula!J106,39)&lt;&gt;"",INDEX(Properties!A$1:CB$87,Formula!J106,39)))</f>
        <v>0.47122399999999942</v>
      </c>
      <c r="DO106" s="45">
        <f>MAX(INDEX(Properties!A$1:CB$87,Formula!B106,39),INDEX(Properties!A$1:CB$87,Formula!D106,39),INDEX(Properties!A$1:CB$87,Formula!F106,39),INDEX(Properties!A$1:CB$87,Formula!H106,39),INDEX(Properties!A$1:CB$87,Formula!J106,39))</f>
        <v>2.5299999999999998</v>
      </c>
      <c r="DP106" s="45">
        <f>MIN(IF(INDEX(Properties!A$1:CB$87,Formula!B106,39)=0,10^6,INDEX(Properties!A$1:CB$87,Formula!B106,39)),IF(INDEX(Properties!A$1:CB$87,Formula!D106,39)=0,10^6,INDEX(Properties!A$1:CB$87,Formula!D106,39)),IF(INDEX(Properties!A$1:CB$87,Formula!F106,39)=0,10^6,INDEX(Properties!A$1:CB$87,Formula!F106,39)),IF(INDEX(Properties!A$1:CB$87,Formula!H106,39)=0,10^6,INDEX(Properties!A$1:CB$87,Formula!H106,39)),IF(INDEX(Properties!A$1:CB$87,Formula!J106,39)=0,10^6,INDEX(Properties!A$1:CB$87,Formula!J106,39)))</f>
        <v>0.48</v>
      </c>
      <c r="DQ106" s="45">
        <f t="shared" si="51"/>
        <v>2.0499999999999998</v>
      </c>
      <c r="DR106" s="63">
        <f>((Formula!C106)/(Formula!C106+Formula!E106+Formula!G106+Formula!I106+Formula!K106))*(INDEX(Properties!A$1:CB$87,Formula!B106,40))+((Formula!E106)/(Formula!C106+Formula!E106+Formula!G106+Formula!I106+Formula!K106))*(INDEX(Properties!A$1:CB$87,Formula!D106,40))+((Formula!G106)/(Formula!C106+Formula!E106+Formula!G106+Formula!I106+Formula!K106))*(INDEX(Properties!A$1:CB$87,Formula!F106,40))+((Formula!I106)/(Formula!C106+Formula!E106+Formula!G106+Formula!I106+Formula!K106))*(INDEX(Properties!A$1:CB$87,Formula!H106,40))+((Formula!K106)/(Formula!C106+Formula!E106+Formula!G106+Formula!I106+Formula!K106))*(INDEX(Properties!A$1:CB$87,Formula!J106,40))</f>
        <v>0.95357142857142851</v>
      </c>
      <c r="DS106" s="63">
        <f>Formula!C106*(INDEX(Properties!A$1:CB$87,Formula!B106,40))+Formula!E106*(INDEX(Properties!A$1:CB$87,Formula!D106,40))+Formula!G106*(INDEX(Properties!A$1:CB$87,Formula!F106,40))+Formula!I106*(INDEX(Properties!A$1:CB$87,Formula!H106,40))+Formula!K106*(INDEX(Properties!A$1:CB$87,Formula!J106,40))</f>
        <v>13.350000000000001</v>
      </c>
      <c r="DT106" s="63">
        <f>VARP(IF(INDEX(Properties!A$1:CB$87,Formula!B106,40)&lt;&gt;"",INDEX(Properties!A$1:CB$87,Formula!B106,40)),IF(INDEX(Properties!A$1:CB$87,Formula!D106,40)&lt;&gt;"",INDEX(Properties!A$1:CB$87,Formula!D106,40)),IF(INDEX(Properties!A$1:CB$87,Formula!F106,40)&lt;&gt;"",INDEX(Properties!A$1:CB$87,Formula!F106,40)),IF(INDEX(Properties!A$1:CB$87,Formula!H106,40)&lt;&gt;"",INDEX(Properties!A$1:CB$87,Formula!H106,40)),IF(INDEX(Properties!A$1:CB$87,Formula!J106,40)&lt;&gt;"",INDEX(Properties!A$1:CB$87,Formula!J106,40)))</f>
        <v>0.16627999999999987</v>
      </c>
      <c r="DU106" s="63">
        <f>MAX(INDEX(Properties!A$1:CB$87,Formula!B106,40),INDEX(Properties!A$1:CB$87,Formula!D106,40),INDEX(Properties!A$1:CB$87,Formula!F106,40),INDEX(Properties!A$1:CB$87,Formula!H106,40),INDEX(Properties!A$1:CB$87,Formula!J106,40))</f>
        <v>1.98</v>
      </c>
      <c r="DV106" s="63">
        <f>MIN(IF(INDEX(Properties!A$1:CB$87,Formula!B106,40)=0,10^6,INDEX(Properties!A$1:CB$87,Formula!B106,40)),IF(INDEX(Properties!A$1:CB$87,Formula!D106,40)=0,10^6,INDEX(Properties!A$1:CB$87,Formula!D106,40)),IF(INDEX(Properties!A$1:CB$87,Formula!F106,40)=0,10^6,INDEX(Properties!A$1:CB$87,Formula!F106,40)),IF(INDEX(Properties!A$1:CB$87,Formula!H106,40)=0,10^6,INDEX(Properties!A$1:CB$87,Formula!H106,40)),IF(INDEX(Properties!A$1:CB$87,Formula!J106,40)=0,10^6,INDEX(Properties!A$1:CB$87,Formula!J106,40)))</f>
        <v>0.73</v>
      </c>
      <c r="DW106" s="63">
        <f t="shared" si="52"/>
        <v>1.25</v>
      </c>
      <c r="DX106" s="75">
        <f>((Formula!C106)/(Formula!C106+Formula!E106+Formula!G106+Formula!I106+Formula!K106))*(INDEX(Properties!A$1:CB$87,Formula!B106,41))+((Formula!E106)/(Formula!C106+Formula!E106+Formula!G106+Formula!I106+Formula!K106))*(INDEX(Properties!A$1:CB$87,Formula!D106,41))+((Formula!G106)/(Formula!C106+Formula!E106+Formula!G106+Formula!I106+Formula!K106))*(INDEX(Properties!A$1:CB$87,Formula!F106,41))+((Formula!I106)/(Formula!C106+Formula!E106+Formula!G106+Formula!I106+Formula!K106))*(INDEX(Properties!A$1:CB$87,Formula!H106,41))+((Formula!K106)/(Formula!C106+Formula!E106+Formula!G106+Formula!I106+Formula!K106))*(INDEX(Properties!A$1:CB$87,Formula!J106,41))</f>
        <v>1.1271428571428572</v>
      </c>
      <c r="DY106" s="75">
        <f>Formula!C106*(INDEX(Properties!A$1:CB$87,Formula!B106,41))+Formula!E106*(INDEX(Properties!A$1:CB$87,Formula!D106,41))+Formula!G106*(INDEX(Properties!A$1:CB$87,Formula!F106,41))+Formula!I106*(INDEX(Properties!A$1:CB$87,Formula!H106,41))+Formula!K106*(INDEX(Properties!A$1:CB$87,Formula!J106,41))</f>
        <v>15.780000000000001</v>
      </c>
      <c r="DZ106" s="75">
        <f>VARP(IF(INDEX(Properties!A$1:CB$87,Formula!B106,41)&lt;&gt;"",INDEX(Properties!A$1:CB$87,Formula!B106,41)),IF(INDEX(Properties!A$1:CB$87,Formula!D106,41)&lt;&gt;"",INDEX(Properties!A$1:CB$87,Formula!D106,41)),IF(INDEX(Properties!A$1:CB$87,Formula!F106,41)&lt;&gt;"",INDEX(Properties!A$1:CB$87,Formula!F106,41)),IF(INDEX(Properties!A$1:CB$87,Formula!H106,41)&lt;&gt;"",INDEX(Properties!A$1:CB$87,Formula!H106,41)),IF(INDEX(Properties!A$1:CB$87,Formula!J106,41)&lt;&gt;"",INDEX(Properties!A$1:CB$87,Formula!J106,41)))</f>
        <v>0.106216</v>
      </c>
      <c r="EA106" s="75">
        <f>MAX(INDEX(Properties!A$1:CB$87,Formula!B106,41),INDEX(Properties!A$1:CB$87,Formula!D106,41),INDEX(Properties!A$1:CB$87,Formula!F106,41),INDEX(Properties!A$1:CB$87,Formula!H106,41),INDEX(Properties!A$1:CB$87,Formula!J106,41))</f>
        <v>1.49</v>
      </c>
      <c r="EB106" s="75">
        <f>MIN(IF(INDEX(Properties!A$1:CB$87,Formula!B106,41)=0,10^6,INDEX(Properties!A$1:CB$87,Formula!B106,41)),IF(INDEX(Properties!A$1:CB$87,Formula!D106,41)=0,10^6,INDEX(Properties!A$1:CB$87,Formula!D106,41)),IF(INDEX(Properties!A$1:CB$87,Formula!F106,41)=0,10^6,INDEX(Properties!A$1:CB$87,Formula!F106,41)),IF(INDEX(Properties!A$1:CB$87,Formula!H106,41)=0,10^6,INDEX(Properties!A$1:CB$87,Formula!H106,41)),IF(INDEX(Properties!A$1:CB$87,Formula!J106,41)=0,10^6,INDEX(Properties!A$1:CB$87,Formula!J106,41)))</f>
        <v>0.54</v>
      </c>
      <c r="EC106" s="75">
        <f t="shared" si="53"/>
        <v>0.95</v>
      </c>
      <c r="ED106" s="48">
        <f>((Formula!C106)/(Formula!C106+Formula!E106+Formula!G106+Formula!I106+Formula!K106))*(INDEX(Properties!A$1:CB$87,Formula!B106,45))+((Formula!E106)/(Formula!C106+Formula!E106+Formula!G106+Formula!I106+Formula!K106))*(INDEX(Properties!A$1:CB$87,Formula!D106,45))+((Formula!G106)/(Formula!C106+Formula!E106+Formula!G106+Formula!I106+Formula!K106))*(INDEX(Properties!A$1:CB$87,Formula!F106,45))+((Formula!I106)/(Formula!C106+Formula!E106+Formula!G106+Formula!I106+Formula!K106))*(INDEX(Properties!A$1:CB$87,Formula!H106,45))+((Formula!K106)/(Formula!C106+Formula!E106+Formula!G106+Formula!I106+Formula!K106))*(INDEX(Properties!A$1:CB$87,Formula!J106,45))</f>
        <v>1.0435714285714286</v>
      </c>
      <c r="EE106" s="48">
        <f>Formula!C106*(INDEX(Properties!A$1:CB$87,Formula!B106,45))+Formula!E106*(INDEX(Properties!A$1:CB$87,Formula!D106,45))+Formula!G106*(INDEX(Properties!A$1:CB$87,Formula!F106,45))+Formula!I106*(INDEX(Properties!A$1:CB$87,Formula!H106,45))+Formula!K106*(INDEX(Properties!A$1:CB$87,Formula!J106,45))</f>
        <v>14.61</v>
      </c>
      <c r="EF106" s="48">
        <f>VARP(IF(INDEX(Properties!A$1:CB$87,Formula!B106,45)&lt;&gt;"",INDEX(Properties!A$1:CB$87,Formula!B106,45)),IF(INDEX(Properties!A$1:CB$87,Formula!D106,45)&lt;&gt;"",INDEX(Properties!A$1:CB$87,Formula!D106,45)),IF(INDEX(Properties!A$1:CB$87,Formula!F106,45)&lt;&gt;"",INDEX(Properties!A$1:CB$87,Formula!F106,45)),IF(INDEX(Properties!A$1:CB$87,Formula!H106,45)&lt;&gt;"",INDEX(Properties!A$1:CB$87,Formula!H106,45)),IF(INDEX(Properties!A$1:CB$87,Formula!J106,45)&lt;&gt;"",INDEX(Properties!A$1:CB$87,Formula!J106,45)))</f>
        <v>1.020464</v>
      </c>
      <c r="EG106" s="48">
        <f>MAX(INDEX(Properties!A$1:CB$87,Formula!B106,45),INDEX(Properties!A$1:CB$87,Formula!D106,45),INDEX(Properties!A$1:CB$87,Formula!F106,45),INDEX(Properties!A$1:CB$87,Formula!H106,45),INDEX(Properties!A$1:CB$87,Formula!J106,45))</f>
        <v>3.4</v>
      </c>
      <c r="EH106" s="48">
        <f>MIN(IF(INDEX(Properties!A$1:CB$87,Formula!B106,45)=0,10^6,INDEX(Properties!A$1:CB$87,Formula!B106,45)),IF(INDEX(Properties!A$1:CB$87,Formula!D106,45)=0,10^6,INDEX(Properties!A$1:CB$87,Formula!D106,45)),IF(INDEX(Properties!A$1:CB$87,Formula!F106,45)=0,10^6,INDEX(Properties!A$1:CB$87,Formula!F106,45)),IF(INDEX(Properties!A$1:CB$87,Formula!H106,45)=0,10^6,INDEX(Properties!A$1:CB$87,Formula!H106,45)),IF(INDEX(Properties!A$1:CB$87,Formula!J106,45)=0,10^6,INDEX(Properties!A$1:CB$87,Formula!J106,45)))</f>
        <v>0.47</v>
      </c>
      <c r="EI106" s="48">
        <f t="shared" si="54"/>
        <v>2.9299999999999997</v>
      </c>
      <c r="EJ106" s="66">
        <f>((Formula!C106)/(Formula!C106+Formula!E106+Formula!G106+Formula!I106+Formula!K106))*(INDEX(Properties!A$1:CB$87,Formula!B106,46))+((Formula!E106)/(Formula!C106+Formula!E106+Formula!G106+Formula!I106+Formula!K106))*(INDEX(Properties!A$1:CB$87,Formula!D106,46))+((Formula!G106)/(Formula!C106+Formula!E106+Formula!G106+Formula!I106+Formula!K106))*(INDEX(Properties!A$1:CB$87,Formula!F106,46))+((Formula!I106)/(Formula!C106+Formula!E106+Formula!G106+Formula!I106+Formula!K106))*(INDEX(Properties!A$1:CB$87,Formula!H106,46))+((Formula!K106)/(Formula!C106+Formula!E106+Formula!G106+Formula!I106+Formula!K106))*(INDEX(Properties!A$1:CB$87,Formula!J106,46))</f>
        <v>1.0328571428571429</v>
      </c>
      <c r="EK106" s="66">
        <f>Formula!C106*(INDEX(Properties!A$1:CB$87,Formula!B106,46))+Formula!E106*(INDEX(Properties!A$1:CB$87,Formula!D106,46))+Formula!G106*(INDEX(Properties!A$1:CB$87,Formula!F106,46))+Formula!I106*(INDEX(Properties!A$1:CB$87,Formula!H106,46))+Formula!K106*(INDEX(Properties!A$1:CB$87,Formula!J106,46))</f>
        <v>14.46</v>
      </c>
      <c r="EL106" s="66">
        <f>VARP(IF(INDEX(Properties!A$1:CB$87,Formula!B106,46)&lt;&gt;"",INDEX(Properties!A$1:CB$87,Formula!B106,46)),IF(INDEX(Properties!A$1:CB$87,Formula!D106,46)&lt;&gt;"",INDEX(Properties!A$1:CB$87,Formula!D106,46)),IF(INDEX(Properties!A$1:CB$87,Formula!F106,46)&lt;&gt;"",INDEX(Properties!A$1:CB$87,Formula!F106,46)),IF(INDEX(Properties!A$1:CB$87,Formula!H106,46)&lt;&gt;"",INDEX(Properties!A$1:CB$87,Formula!H106,46)),IF(INDEX(Properties!A$1:CB$87,Formula!J106,46)&lt;&gt;"",INDEX(Properties!A$1:CB$87,Formula!J106,46)))</f>
        <v>0.17014399999999996</v>
      </c>
      <c r="EM106" s="66">
        <f>MAX(INDEX(Properties!A$1:CB$87,Formula!B106,46),INDEX(Properties!A$1:CB$87,Formula!D106,46),INDEX(Properties!A$1:CB$87,Formula!F106,46),INDEX(Properties!A$1:CB$87,Formula!H106,46),INDEX(Properties!A$1:CB$87,Formula!J106,46))</f>
        <v>1.49</v>
      </c>
      <c r="EN106" s="66">
        <f>MIN(IF(INDEX(Properties!A$1:CB$87,Formula!B106,46)=0,10^6,INDEX(Properties!A$1:CB$87,Formula!B106,46)),IF(INDEX(Properties!A$1:CB$87,Formula!D106,46)=0,10^6,INDEX(Properties!A$1:CB$87,Formula!D106,46)),IF(INDEX(Properties!A$1:CB$87,Formula!F106,46)=0,10^6,INDEX(Properties!A$1:CB$87,Formula!F106,46)),IF(INDEX(Properties!A$1:CB$87,Formula!H106,46)=0,10^6,INDEX(Properties!A$1:CB$87,Formula!H106,46)),IF(INDEX(Properties!A$1:CB$87,Formula!J106,46)=0,10^6,INDEX(Properties!A$1:CB$87,Formula!J106,46)))</f>
        <v>0.4</v>
      </c>
      <c r="EO106" s="66">
        <f t="shared" si="55"/>
        <v>1.0899999999999999</v>
      </c>
      <c r="EP106" s="81">
        <f>((Formula!C106)/(Formula!C106+Formula!E106+Formula!G106+Formula!I106+Formula!K106))*(INDEX(Properties!A$1:CB$87,Formula!B106,52))+((Formula!E106)/(Formula!C106+Formula!E106+Formula!G106+Formula!I106+Formula!K106))*(INDEX(Properties!A$1:CB$87,Formula!D106,52))+((Formula!G106)/(Formula!C106+Formula!E106+Formula!G106+Formula!I106+Formula!K106))*(INDEX(Properties!A$1:CB$87,Formula!F106,52))+((Formula!I106)/(Formula!C106+Formula!E106+Formula!G106+Formula!I106+Formula!K106))*(INDEX(Properties!A$1:CB$87,Formula!H106,52))+((Formula!K106)/(Formula!C106+Formula!E106+Formula!G106+Formula!I106+Formula!K106))*(INDEX(Properties!A$1:CB$87,Formula!J106,52))</f>
        <v>5.5955000000000004</v>
      </c>
      <c r="EQ106" s="81">
        <f>Formula!C106*(INDEX(Properties!A$1:CB$87,Formula!B106,52))+Formula!E106*(INDEX(Properties!A$1:CB$87,Formula!D106,52))+Formula!G106*(INDEX(Properties!A$1:CB$87,Formula!F106,52))+Formula!I106*(INDEX(Properties!A$1:CB$87,Formula!H106,52))+Formula!K106*(INDEX(Properties!A$1:CB$87,Formula!J106,52))</f>
        <v>78.337000000000003</v>
      </c>
      <c r="ER106" s="81">
        <f>VARP(IF(INDEX(Properties!A$1:CB$87,Formula!B106,52)&lt;&gt;"",INDEX(Properties!A$1:CB$87,Formula!B106,52)),IF(INDEX(Properties!A$1:CB$87,Formula!D106,52)&lt;&gt;"",INDEX(Properties!A$1:CB$87,Formula!D106,52)),IF(INDEX(Properties!A$1:CB$87,Formula!F106,52)&lt;&gt;"",INDEX(Properties!A$1:CB$87,Formula!F106,52)),IF(INDEX(Properties!A$1:CB$87,Formula!H106,52)&lt;&gt;"",INDEX(Properties!A$1:CB$87,Formula!H106,52)),IF(INDEX(Properties!A$1:CB$87,Formula!J106,52)&lt;&gt;"",INDEX(Properties!A$1:CB$87,Formula!J106,52)))</f>
        <v>193.86466384000008</v>
      </c>
      <c r="ES106" s="81">
        <f>MAX(INDEX(Properties!A$1:CB$87,Formula!B106,52),INDEX(Properties!A$1:CB$87,Formula!D106,52),INDEX(Properties!A$1:CB$87,Formula!F106,52),INDEX(Properties!A$1:CB$87,Formula!H106,52),INDEX(Properties!A$1:CB$87,Formula!J106,52))</f>
        <v>39.700000000000003</v>
      </c>
      <c r="ET106" s="81">
        <f>MIN(IF(INDEX(Properties!A$1:CB$87,Formula!B106,52)=0,10^6,INDEX(Properties!A$1:CB$87,Formula!B106,52)),IF(INDEX(Properties!A$1:CB$87,Formula!D106,52)=0,10^6,INDEX(Properties!A$1:CB$87,Formula!D106,52)),IF(INDEX(Properties!A$1:CB$87,Formula!F106,52)=0,10^6,INDEX(Properties!A$1:CB$87,Formula!F106,52)),IF(INDEX(Properties!A$1:CB$87,Formula!H106,52)=0,10^6,INDEX(Properties!A$1:CB$87,Formula!H106,52)),IF(INDEX(Properties!A$1:CB$87,Formula!J106,52)=0,10^6,INDEX(Properties!A$1:CB$87,Formula!J106,52)))</f>
        <v>0.79300000000000004</v>
      </c>
      <c r="EU106" s="81">
        <f t="shared" si="56"/>
        <v>38.907000000000004</v>
      </c>
      <c r="EV106" s="39">
        <f>((Formula!C106)/(Formula!C106+Formula!E106+Formula!G106+Formula!I106+Formula!K106))*(INDEX(Properties!A$1:CB$87,Formula!B106,53))+((Formula!E106)/(Formula!C106+Formula!E106+Formula!G106+Formula!I106+Formula!K106))*(INDEX(Properties!A$1:CB$87,Formula!D106,53))+((Formula!G106)/(Formula!C106+Formula!E106+Formula!G106+Formula!I106+Formula!K106))*(INDEX(Properties!A$1:CB$87,Formula!F106,53))+((Formula!I106)/(Formula!C106+Formula!E106+Formula!G106+Formula!I106+Formula!K106))*(INDEX(Properties!A$1:CB$87,Formula!H106,53))+((Formula!K106)/(Formula!C106+Formula!E106+Formula!G106+Formula!I106+Formula!K106))*(INDEX(Properties!A$1:CB$87,Formula!J106,53))</f>
        <v>572.2071428571428</v>
      </c>
      <c r="EW106" s="39">
        <f>Formula!C106*(INDEX(Properties!A$1:CB$87,Formula!B106,53))+Formula!E106*(INDEX(Properties!A$1:CB$87,Formula!D106,53))+Formula!G106*(INDEX(Properties!A$1:CB$87,Formula!F106,53))+Formula!I106*(INDEX(Properties!A$1:CB$87,Formula!H106,53))+Formula!K106*(INDEX(Properties!A$1:CB$87,Formula!J106,53))</f>
        <v>8010.9000000000005</v>
      </c>
      <c r="EX106" s="39">
        <f>VARP(IF(INDEX(Properties!A$1:CB$87,Formula!B106,53)&lt;&gt;"",INDEX(Properties!A$1:CB$87,Formula!B106,53)),IF(INDEX(Properties!A$1:CB$87,Formula!D106,53)&lt;&gt;"",INDEX(Properties!A$1:CB$87,Formula!D106,53)),IF(INDEX(Properties!A$1:CB$87,Formula!F106,53)&lt;&gt;"",INDEX(Properties!A$1:CB$87,Formula!F106,53)),IF(INDEX(Properties!A$1:CB$87,Formula!H106,53)&lt;&gt;"",INDEX(Properties!A$1:CB$87,Formula!H106,53)),IF(INDEX(Properties!A$1:CB$87,Formula!J106,53)&lt;&gt;"",INDEX(Properties!A$1:CB$87,Formula!J106,53)))</f>
        <v>424255.02399999974</v>
      </c>
      <c r="EY106" s="39">
        <f>MAX(INDEX(Properties!A$1:CB$87,Formula!B106,53),INDEX(Properties!A$1:CB$87,Formula!D106,53),INDEX(Properties!A$1:CB$87,Formula!F106,53),INDEX(Properties!A$1:CB$87,Formula!H106,53),INDEX(Properties!A$1:CB$87,Formula!J106,53))</f>
        <v>1933.15</v>
      </c>
      <c r="EZ106" s="39">
        <f>MIN(IF(INDEX(Properties!A$1:CB$87,Formula!B106,53)=0,10^6,INDEX(Properties!A$1:CB$87,Formula!B106,53)),IF(INDEX(Properties!A$1:CB$87,Formula!D106,53)=0,10^6,INDEX(Properties!A$1:CB$87,Formula!D106,53)),IF(INDEX(Properties!A$1:CB$87,Formula!F106,53)=0,10^6,INDEX(Properties!A$1:CB$87,Formula!F106,53)),IF(INDEX(Properties!A$1:CB$87,Formula!H106,53)=0,10^6,INDEX(Properties!A$1:CB$87,Formula!H106,53)),IF(INDEX(Properties!A$1:CB$87,Formula!J106,53)=0,10^6,INDEX(Properties!A$1:CB$87,Formula!J106,53)))</f>
        <v>54.749999999999972</v>
      </c>
      <c r="FA106" s="39">
        <f t="shared" si="57"/>
        <v>1878.4</v>
      </c>
      <c r="FB106" s="54">
        <f>((Formula!C106)/(Formula!C106+Formula!E106+Formula!G106+Formula!I106+Formula!K106))*(INDEX(Properties!A$1:CB$87,Formula!B106,54))+((Formula!E106)/(Formula!C106+Formula!E106+Formula!G106+Formula!I106+Formula!K106))*(INDEX(Properties!A$1:CB$87,Formula!D106,54))+((Formula!G106)/(Formula!C106+Formula!E106+Formula!G106+Formula!I106+Formula!K106))*(INDEX(Properties!A$1:CB$87,Formula!F106,54))+((Formula!I106)/(Formula!C106+Formula!E106+Formula!G106+Formula!I106+Formula!K106))*(INDEX(Properties!A$1:CB$87,Formula!H106,54))+((Formula!K106)/(Formula!C106+Formula!E106+Formula!G106+Formula!I106+Formula!K106))*(INDEX(Properties!A$1:CB$87,Formula!J106,54))</f>
        <v>1046.007142857143</v>
      </c>
      <c r="FC106" s="54">
        <f>Formula!C106*(INDEX(Properties!A$1:CB$87,Formula!B106,54))+Formula!E106*(INDEX(Properties!A$1:CB$87,Formula!D106,54))+Formula!G106*(INDEX(Properties!A$1:CB$87,Formula!F106,54))+Formula!I106*(INDEX(Properties!A$1:CB$87,Formula!H106,54))+Formula!K106*(INDEX(Properties!A$1:CB$87,Formula!J106,54))</f>
        <v>14644.1</v>
      </c>
      <c r="FD106" s="54">
        <f>VARP(IF(INDEX(Properties!A$1:CB$87,Formula!B106,54)&lt;&gt;"",INDEX(Properties!A$1:CB$87,Formula!B106,54)),IF(INDEX(Properties!A$1:CB$87,Formula!D106,54)&lt;&gt;"",INDEX(Properties!A$1:CB$87,Formula!D106,54)),IF(INDEX(Properties!A$1:CB$87,Formula!F106,54)&lt;&gt;"",INDEX(Properties!A$1:CB$87,Formula!F106,54)),IF(INDEX(Properties!A$1:CB$87,Formula!H106,54)&lt;&gt;"",INDEX(Properties!A$1:CB$87,Formula!H106,54)),IF(INDEX(Properties!A$1:CB$87,Formula!J106,54)&lt;&gt;"",INDEX(Properties!A$1:CB$87,Formula!J106,54)))</f>
        <v>1473074.96</v>
      </c>
      <c r="FE106" s="54">
        <f>MAX(INDEX(Properties!A$1:CB$87,Formula!B106,54),INDEX(Properties!A$1:CB$87,Formula!D106,54),INDEX(Properties!A$1:CB$87,Formula!F106,54),INDEX(Properties!A$1:CB$87,Formula!H106,54),INDEX(Properties!A$1:CB$87,Formula!J106,54))</f>
        <v>3560.15</v>
      </c>
      <c r="FF106" s="54">
        <f>MIN(IF(INDEX(Properties!A$1:CB$87,Formula!B106,54)=0,10^6,INDEX(Properties!A$1:CB$87,Formula!B106,54)),IF(INDEX(Properties!A$1:CB$87,Formula!D106,54)=0,10^6,INDEX(Properties!A$1:CB$87,Formula!D106,54)),IF(INDEX(Properties!A$1:CB$87,Formula!F106,54)=0,10^6,INDEX(Properties!A$1:CB$87,Formula!F106,54)),IF(INDEX(Properties!A$1:CB$87,Formula!H106,54)=0,10^6,INDEX(Properties!A$1:CB$87,Formula!H106,54)),IF(INDEX(Properties!A$1:CB$87,Formula!J106,54)=0,10^6,INDEX(Properties!A$1:CB$87,Formula!J106,54)))</f>
        <v>90.149999999999977</v>
      </c>
      <c r="FG106" s="54">
        <f t="shared" si="58"/>
        <v>3470</v>
      </c>
      <c r="FH106" s="69">
        <f>((Formula!C106)/(Formula!C106+Formula!E106+Formula!G106+Formula!I106+Formula!K106))*(INDEX(Properties!A$1:CB$87,Formula!B106,55))+((Formula!E106)/(Formula!C106+Formula!E106+Formula!G106+Formula!I106+Formula!K106))*(INDEX(Properties!A$1:CB$87,Formula!D106,55))+((Formula!G106)/(Formula!C106+Formula!E106+Formula!G106+Formula!I106+Formula!K106))*(INDEX(Properties!A$1:CB$87,Formula!F106,55))+((Formula!I106)/(Formula!C106+Formula!E106+Formula!G106+Formula!I106+Formula!K106))*(INDEX(Properties!A$1:CB$87,Formula!H106,55))+((Formula!K106)/(Formula!C106+Formula!E106+Formula!G106+Formula!I106+Formula!K106))*(INDEX(Properties!A$1:CB$87,Formula!J106,55))</f>
        <v>1.2880621428571428</v>
      </c>
      <c r="FI106" s="69">
        <f>Formula!C106*(INDEX(Properties!A$1:CB$87,Formula!B106,55))+Formula!E106*(INDEX(Properties!A$1:CB$87,Formula!D106,54))+Formula!G106*(INDEX(Properties!A$1:CB$87,Formula!F106,55))+Formula!I106*(INDEX(Properties!A$1:CB$87,Formula!H106,55))+Formula!K106*(INDEX(Properties!A$1:CB$87,Formula!J106,55))</f>
        <v>3573.6428700000001</v>
      </c>
      <c r="FJ106" s="69">
        <f>VARP(IF(INDEX(Properties!A$1:CB$87,Formula!B106,55)&lt;&gt;"",INDEX(Properties!A$1:CB$87,Formula!B106,55)),IF(INDEX(Properties!A$1:CB$87,Formula!D106,55)&lt;&gt;"",INDEX(Properties!A$1:CB$87,Formula!D106,55)),IF(INDEX(Properties!A$1:CB$87,Formula!F106,55)&lt;&gt;"",INDEX(Properties!A$1:CB$87,Formula!F106,55)),IF(INDEX(Properties!A$1:CB$87,Formula!H106,55)&lt;&gt;"",INDEX(Properties!A$1:CB$87,Formula!H106,55)),IF(INDEX(Properties!A$1:CB$87,Formula!J106,55)&lt;&gt;"",INDEX(Properties!A$1:CB$87,Formula!J106,55)))</f>
        <v>3.4697413911840034</v>
      </c>
      <c r="FK106" s="69">
        <f>MAX(INDEX(Properties!A$1:CB$87,Formula!B106,55),INDEX(Properties!A$1:CB$87,Formula!D106,55),INDEX(Properties!A$1:CB$87,Formula!F106,55),INDEX(Properties!A$1:CB$87,Formula!H106,55),INDEX(Properties!A$1:CB$87,Formula!J106,55))</f>
        <v>5.32</v>
      </c>
      <c r="FL106" s="69">
        <f>MIN(IF(INDEX(Properties!A$1:CB$87,Formula!B106,55)=0,10^6,INDEX(Properties!A$1:CB$87,Formula!B106,55)),IF(INDEX(Properties!A$1:CB$87,Formula!D106,55)=0,10^6,INDEX(Properties!A$1:CB$87,Formula!D106,55)),IF(INDEX(Properties!A$1:CB$87,Formula!F106,55)=0,10^6,INDEX(Properties!A$1:CB$87,Formula!F106,55)),IF(INDEX(Properties!A$1:CB$87,Formula!H106,55)=0,10^6,INDEX(Properties!A$1:CB$87,Formula!H106,55)),IF(INDEX(Properties!A$1:CB$87,Formula!J106,55)=0,10^6,INDEX(Properties!A$1:CB$87,Formula!J106,55)))</f>
        <v>1.4300000000000001E-3</v>
      </c>
      <c r="FM106" s="69">
        <f t="shared" si="59"/>
        <v>5.3185700000000002</v>
      </c>
      <c r="FN106" s="42">
        <f>((Formula!C106)/(Formula!C106+Formula!E106+Formula!G106+Formula!I106+Formula!K106))*(INDEX(Properties!A$1:CB$87,Formula!B106,56))+((Formula!E106)/(Formula!C106+Formula!E106+Formula!G106+Formula!I106+Formula!K106))*(INDEX(Properties!A$1:CB$87,Formula!D106,56))+((Formula!G106)/(Formula!C106+Formula!E106+Formula!G106+Formula!I106+Formula!K106))*(INDEX(Properties!A$1:CB$87,Formula!F106,56))+((Formula!I106)/(Formula!C106+Formula!E106+Formula!G106+Formula!I106+Formula!K106))*(INDEX(Properties!A$1:CB$87,Formula!H106,56))+((Formula!K106)/(Formula!C106+Formula!E106+Formula!G106+Formula!I106+Formula!K106))*(INDEX(Properties!A$1:CB$87,Formula!J106,56))</f>
        <v>0.76742857142857157</v>
      </c>
      <c r="FO106" s="42">
        <f>Formula!C106*(INDEX(Properties!A$1:CB$87,Formula!B106,56))+Formula!E106*(INDEX(Properties!A$1:CB$87,Formula!D106,56))+Formula!G106*(INDEX(Properties!A$1:CB$87,Formula!F106,56))+Formula!I106*(INDEX(Properties!A$1:CB$87,Formula!H106,56))+Formula!K106*(INDEX(Properties!A$1:CB$87,Formula!J106,56))</f>
        <v>10.744000000000002</v>
      </c>
      <c r="FP106" s="42">
        <f>VARP(IF(INDEX(Properties!A$1:CB$87,Formula!B106,56)&lt;&gt;"",INDEX(Properties!A$1:CB$87,Formula!B106,56)),IF(INDEX(Properties!A$1:CB$87,Formula!D106,56)&lt;&gt;"",INDEX(Properties!A$1:CB$87,Formula!D106,56)),IF(INDEX(Properties!A$1:CB$87,Formula!F106,56)&lt;&gt;"",INDEX(Properties!A$1:CB$87,Formula!F106,56)),IF(INDEX(Properties!A$1:CB$87,Formula!H106,56)&lt;&gt;"",INDEX(Properties!A$1:CB$87,Formula!H106,56)),IF(INDEX(Properties!A$1:CB$87,Formula!J106,56)&lt;&gt;"",INDEX(Properties!A$1:CB$87,Formula!J106,56)))</f>
        <v>6.6972160000000044E-2</v>
      </c>
      <c r="FQ106" s="42">
        <f>MAX(INDEX(Properties!A$1:CB$87,Formula!B106,56),INDEX(Properties!A$1:CB$87,Formula!D106,56),INDEX(Properties!A$1:CB$87,Formula!F106,56),INDEX(Properties!A$1:CB$87,Formula!H106,56),INDEX(Properties!A$1:CB$87,Formula!J106,56))</f>
        <v>0.92</v>
      </c>
      <c r="FR106" s="42">
        <f>MIN(IF(INDEX(Properties!A$1:CB$87,Formula!B106,56)=0,10^6,INDEX(Properties!A$1:CB$87,Formula!B106,56)),IF(INDEX(Properties!A$1:CB$87,Formula!D106,56)=0,10^6,INDEX(Properties!A$1:CB$87,Formula!D106,56)),IF(INDEX(Properties!A$1:CB$87,Formula!F106,56)=0,10^6,INDEX(Properties!A$1:CB$87,Formula!F106,56)),IF(INDEX(Properties!A$1:CB$87,Formula!H106,56)=0,10^6,INDEX(Properties!A$1:CB$87,Formula!H106,56)),IF(INDEX(Properties!A$1:CB$87,Formula!J106,56)=0,10^6,INDEX(Properties!A$1:CB$87,Formula!J106,56)))</f>
        <v>0.20399999999999999</v>
      </c>
      <c r="FS106" s="42">
        <f t="shared" si="60"/>
        <v>0.71600000000000008</v>
      </c>
      <c r="FT106" s="60">
        <f>((Formula!C106)/(Formula!C106+Formula!E106+Formula!G106+Formula!I106+Formula!K106))*(INDEX(Properties!A$1:CB$87,Formula!B106,57))+((Formula!E106)/(Formula!C106+Formula!E106+Formula!G106+Formula!I106+Formula!K106))*(INDEX(Properties!A$1:CB$87,Formula!D106,57))+((Formula!G106)/(Formula!C106+Formula!E106+Formula!G106+Formula!I106+Formula!K106))*(INDEX(Properties!A$1:CB$87,Formula!F106,57))+((Formula!I106)/(Formula!C106+Formula!E106+Formula!G106+Formula!I106+Formula!K106))*(INDEX(Properties!A$1:CB$87,Formula!H106,57))+((Formula!K106)/(Formula!C106+Formula!E106+Formula!G106+Formula!I106+Formula!K106))*(INDEX(Properties!A$1:CB$87,Formula!J106,57))</f>
        <v>11.660236428571427</v>
      </c>
      <c r="FU106" s="60">
        <f>Formula!C106*(INDEX(Properties!A$1:CB$87,Formula!B106,57))+Formula!E106*(INDEX(Properties!A$1:CB$87,Formula!D106,57))+Formula!G106*(INDEX(Properties!A$1:CB$87,Formula!F106,57))+Formula!I106*(INDEX(Properties!A$1:CB$87,Formula!H106,57))+Formula!K106*(INDEX(Properties!A$1:CB$87,Formula!J106,57))</f>
        <v>163.24331000000001</v>
      </c>
      <c r="FV106" s="60">
        <f>VARP(IF(INDEX(Properties!A$1:CB$87,Formula!B106,57)&lt;&gt;"",INDEX(Properties!A$1:CB$87,Formula!B106,57)),IF(INDEX(Properties!A$1:CB$87,Formula!D106,57)&lt;&gt;"",INDEX(Properties!A$1:CB$87,Formula!D106,57)),IF(INDEX(Properties!A$1:CB$87,Formula!F106,57)&lt;&gt;"",INDEX(Properties!A$1:CB$87,Formula!F106,57)),IF(INDEX(Properties!A$1:CB$87,Formula!H106,57)&lt;&gt;"",INDEX(Properties!A$1:CB$87,Formula!H106,57)),IF(INDEX(Properties!A$1:CB$87,Formula!J106,57)&lt;&gt;"",INDEX(Properties!A$1:CB$87,Formula!J106,57)))</f>
        <v>351.672024441296</v>
      </c>
      <c r="FW106" s="60">
        <f>MAX(INDEX(Properties!A$1:CB$87,Formula!B106,57),INDEX(Properties!A$1:CB$87,Formula!D106,57),INDEX(Properties!A$1:CB$87,Formula!F106,57),INDEX(Properties!A$1:CB$87,Formula!H106,57),INDEX(Properties!A$1:CB$87,Formula!J106,57))</f>
        <v>50.55</v>
      </c>
      <c r="FX106" s="60">
        <f>MIN(IF(INDEX(Properties!A$1:CB$87,Formula!B106,57)=0,10^6,INDEX(Properties!A$1:CB$87,Formula!B106,57)),IF(INDEX(Properties!A$1:CB$87,Formula!D106,57)=0,10^6,INDEX(Properties!A$1:CB$87,Formula!D106,57)),IF(INDEX(Properties!A$1:CB$87,Formula!F106,57)=0,10^6,INDEX(Properties!A$1:CB$87,Formula!F106,57)),IF(INDEX(Properties!A$1:CB$87,Formula!H106,57)=0,10^6,INDEX(Properties!A$1:CB$87,Formula!H106,57)),IF(INDEX(Properties!A$1:CB$87,Formula!J106,57)=0,10^6,INDEX(Properties!A$1:CB$87,Formula!J106,57)))</f>
        <v>0.22259000000000001</v>
      </c>
      <c r="FY106" s="60">
        <f t="shared" si="61"/>
        <v>50.32741</v>
      </c>
      <c r="FZ106" s="72">
        <f>((Formula!C106)/(Formula!C106+Formula!E106+Formula!G106+Formula!I106+Formula!K106))*(INDEX(Properties!A$1:CB$87,Formula!B106,60))+((Formula!E106)/(Formula!C106+Formula!E106+Formula!G106+Formula!I106+Formula!K106))*(INDEX(Properties!A$1:CB$87,Formula!D106,60))+((Formula!G106)/(Formula!C106+Formula!E106+Formula!G106+Formula!I106+Formula!K106))*(INDEX(Properties!A$1:CB$87,Formula!F106,60))+((Formula!I106)/(Formula!C106+Formula!E106+Formula!G106+Formula!I106+Formula!K106))*(INDEX(Properties!A$1:CB$87,Formula!H106,60))+((Formula!K106)/(Formula!C106+Formula!E106+Formula!G106+Formula!I106+Formula!K106))*(INDEX(Properties!A$1:CB$87,Formula!J106,60))</f>
        <v>28.31719</v>
      </c>
      <c r="GA106" s="72">
        <f>Formula!C106*(INDEX(Properties!A$1:CB$87,Formula!B106,60))+Formula!E106*(INDEX(Properties!A$1:CB$87,Formula!D106,60))+Formula!G106*(INDEX(Properties!A$1:CB$87,Formula!F106,60))+Formula!I106*(INDEX(Properties!A$1:CB$87,Formula!H106,60))+Formula!K106*(INDEX(Properties!A$1:CB$87,Formula!J106,60))</f>
        <v>396.44065999999998</v>
      </c>
      <c r="GB106" s="72">
        <f>VARP(IF(INDEX(Properties!A$1:CB$87,Formula!B106,60)&lt;&gt;"",INDEX(Properties!A$1:CB$87,Formula!B106,60)),IF(INDEX(Properties!A$1:CB$87,Formula!D106,60)&lt;&gt;"",INDEX(Properties!A$1:CB$87,Formula!D106,60)),IF(INDEX(Properties!A$1:CB$87,Formula!F106,60)&lt;&gt;"",INDEX(Properties!A$1:CB$87,Formula!F106,60)),IF(INDEX(Properties!A$1:CB$87,Formula!H106,60)&lt;&gt;"",INDEX(Properties!A$1:CB$87,Formula!H106,60)),IF(INDEX(Properties!A$1:CB$87,Formula!J106,60)&lt;&gt;"",INDEX(Properties!A$1:CB$87,Formula!J106,60)))</f>
        <v>2797.3755649644154</v>
      </c>
      <c r="GC106" s="72">
        <f>MAX(INDEX(Properties!A$1:CB$87,Formula!B106,60),INDEX(Properties!A$1:CB$87,Formula!D106,60),INDEX(Properties!A$1:CB$87,Formula!F106,60),INDEX(Properties!A$1:CB$87,Formula!H106,60),INDEX(Properties!A$1:CB$87,Formula!J106,60))</f>
        <v>148</v>
      </c>
      <c r="GD106" s="72">
        <f>MIN(IF(INDEX(Properties!A$1:CB$87,Formula!B106,60)=0,10^6,INDEX(Properties!A$1:CB$87,Formula!B106,60)),IF(INDEX(Properties!A$1:CB$87,Formula!D106,60)=0,10^6,INDEX(Properties!A$1:CB$87,Formula!D106,60)),IF(INDEX(Properties!A$1:CB$87,Formula!F106,60)=0,10^6,INDEX(Properties!A$1:CB$87,Formula!F106,60)),IF(INDEX(Properties!A$1:CB$87,Formula!H106,60)=0,10^6,INDEX(Properties!A$1:CB$87,Formula!H106,60)),IF(INDEX(Properties!A$1:CB$87,Formula!J106,60)=0,10^6,INDEX(Properties!A$1:CB$87,Formula!J106,60)))</f>
        <v>2.674E-2</v>
      </c>
      <c r="GE106" s="72">
        <f t="shared" si="62"/>
        <v>147.97326000000001</v>
      </c>
      <c r="GF106" s="51">
        <f>((Formula!C106)/(Formula!C106+Formula!E106+Formula!G106+Formula!I106+Formula!K106))*(INDEX(Properties!A$1:CB$87,Formula!B106,62))+((Formula!E106)/(Formula!C106+Formula!E106+Formula!G106+Formula!I106+Formula!K106))*(INDEX(Properties!A$1:CB$87,Formula!D106,62))+((Formula!G106)/(Formula!C106+Formula!E106+Formula!G106+Formula!I106+Formula!K106))*(INDEX(Properties!A$1:CB$87,Formula!F106,62))+((Formula!I106)/(Formula!C106+Formula!E106+Formula!G106+Formula!I106+Formula!K106))*(INDEX(Properties!A$1:CB$87,Formula!H106,62))+((Formula!K106)/(Formula!C106+Formula!E106+Formula!G106+Formula!I106+Formula!K106))*(INDEX(Properties!A$1:CB$87,Formula!J106,62))</f>
        <v>3.1028571428571428</v>
      </c>
      <c r="GG106" s="51">
        <f>Formula!C106*(INDEX(Properties!A$1:CB$87,Formula!B106,62))+Formula!E106*(INDEX(Properties!A$1:CB$87,Formula!D106,62))+Formula!G106*(INDEX(Properties!A$1:CB$87,Formula!F106,62))+Formula!I106*(INDEX(Properties!A$1:CB$87,Formula!H106,62))+Formula!K106*(INDEX(Properties!A$1:CB$87,Formula!J106,62))</f>
        <v>43.44</v>
      </c>
      <c r="GH106" s="51">
        <f>VARP(IF(INDEX(Properties!A$1:CB$87,Formula!B106,62)&lt;&gt;"",INDEX(Properties!A$1:CB$87,Formula!B106,62)),IF(INDEX(Properties!A$1:CB$87,Formula!D106,62)&lt;&gt;"",INDEX(Properties!A$1:CB$87,Formula!D106,62)),IF(INDEX(Properties!A$1:CB$87,Formula!F106,62)&lt;&gt;"",INDEX(Properties!A$1:CB$87,Formula!F106,62)),IF(INDEX(Properties!A$1:CB$87,Formula!H106,62)&lt;&gt;"",INDEX(Properties!A$1:CB$87,Formula!H106,62)),IF(INDEX(Properties!A$1:CB$87,Formula!J106,62)&lt;&gt;"",INDEX(Properties!A$1:CB$87,Formula!J106,62)))</f>
        <v>1.306360000000002</v>
      </c>
      <c r="GI106" s="51">
        <f>MAX(INDEX(Properties!A$1:CB$87,Formula!B106,62),INDEX(Properties!A$1:CB$87,Formula!D106,62),INDEX(Properties!A$1:CB$87,Formula!F106,62),INDEX(Properties!A$1:CB$87,Formula!H106,62),INDEX(Properties!A$1:CB$87,Formula!J106,62))</f>
        <v>4.8499999999999996</v>
      </c>
      <c r="GJ106" s="51">
        <f>MIN(IF(INDEX(Properties!A$1:CB$87,Formula!B106,62)=0,10^6,INDEX(Properties!A$1:CB$87,Formula!B106,62)),IF(INDEX(Properties!A$1:CB$87,Formula!D106,62)=0,10^6,INDEX(Properties!A$1:CB$87,Formula!D106,62)),IF(INDEX(Properties!A$1:CB$87,Formula!F106,62)=0,10^6,INDEX(Properties!A$1:CB$87,Formula!F106,62)),IF(INDEX(Properties!A$1:CB$87,Formula!H106,62)=0,10^6,INDEX(Properties!A$1:CB$87,Formula!H106,62)),IF(INDEX(Properties!A$1:CB$87,Formula!J106,62)=0,10^6,INDEX(Properties!A$1:CB$87,Formula!J106,62)))</f>
        <v>1.9</v>
      </c>
      <c r="GK106" s="51">
        <f t="shared" si="63"/>
        <v>2.9499999999999997</v>
      </c>
      <c r="GL106" s="51">
        <f>Formula!P106</f>
        <v>188</v>
      </c>
      <c r="GM106" s="57">
        <f>Formula!O106</f>
        <v>6</v>
      </c>
      <c r="GN106" s="51">
        <f>Formula!N106</f>
        <v>7.0000000000000007E-2</v>
      </c>
    </row>
    <row r="107" spans="1:196" x14ac:dyDescent="0.3">
      <c r="A107" s="84" t="str">
        <f>Formula!A107</f>
        <v>CaGa2O4</v>
      </c>
      <c r="B107" s="89">
        <f>((Formula!C107)/(Formula!C107+Formula!E107+Formula!G107+Formula!I107+Formula!K107))*(INDEX(Properties!A$1:CB$87,Formula!B107,3))+((Formula!E107)/(Formula!C107+Formula!E107+Formula!G107+Formula!I107+Formula!K107))*(INDEX(Properties!A$1:CB$87,Formula!D107,3))+((Formula!G107)/(Formula!C107+Formula!E107+Formula!G107+Formula!I107+Formula!K107))*(INDEX(Properties!A$1:CB$87,Formula!F107,3))+((Formula!I107)/(Formula!C107+Formula!E107+Formula!G107+Formula!I107+Formula!K107))*(INDEX(Properties!A$1:CB$87,Formula!H107,3))+((Formula!K107)/(Formula!C107+Formula!E107+Formula!G107+Formula!I107+Formula!K107))*(INDEX(Properties!A$1:CB$87,Formula!J107,3))</f>
        <v>34.788799999999995</v>
      </c>
      <c r="C107" s="85">
        <f>Formula!C107*(INDEX(Properties!A$1:CB$87,Formula!B107,3))+Formula!E107*(INDEX(Properties!A$1:CB$87,Formula!D107,3))+Formula!G107*(INDEX(Properties!A$1:CB$87,Formula!F107,3))+Formula!I107*(INDEX(Properties!A$1:CB$87,Formula!H107,3))+Formula!K107*(INDEX(Properties!A$1:CB$87,Formula!J107,3))</f>
        <v>243.52160000000001</v>
      </c>
      <c r="D107" s="85">
        <f>VARP(IF(INDEX(Properties!A$1:CB$87,Formula!B107,3)&lt;&gt;"",INDEX(Properties!A$1:CB$87,Formula!B107,3)),IF(INDEX(Properties!A$1:CB$87,Formula!D107,3)&lt;&gt;"",INDEX(Properties!A$1:CB$87,Formula!D107,3)),IF(INDEX(Properties!A$1:CB$87,Formula!F107,3)&lt;&gt;"",INDEX(Properties!A$1:CB$87,Formula!F107,3)),IF(INDEX(Properties!A$1:CB$87,Formula!H107,3)&lt;&gt;"",INDEX(Properties!A$1:CB$87,Formula!H107,3)),IF(INDEX(Properties!A$1:CB$87,Formula!J107,3)&lt;&gt;"",INDEX(Properties!A$1:CB$87,Formula!J107,3)))</f>
        <v>711.67509706560008</v>
      </c>
      <c r="E107" s="85">
        <f>MAX(INDEX(Properties!A$1:CB$87,Formula!B107,3),INDEX(Properties!A$1:CB$87,Formula!D107,3),INDEX(Properties!A$1:CB$87,Formula!F107,3),INDEX(Properties!A$1:CB$87,Formula!H107,3),INDEX(Properties!A$1:CB$87,Formula!J107,3))</f>
        <v>69.722999999999999</v>
      </c>
      <c r="F107" s="85">
        <f>MIN(IF(INDEX(Properties!A$1:CB$87,Formula!B107,3)=0,10^6,INDEX(Properties!A$1:CB$87,Formula!B107,3)),IF(INDEX(Properties!A$1:CB$87,Formula!D107,3)=0,10^6,INDEX(Properties!A$1:CB$87,Formula!D107,3)),IF(INDEX(Properties!A$1:CB$87,Formula!F107,3)=0,10^6,INDEX(Properties!A$1:CB$87,Formula!F107,3)),IF(INDEX(Properties!A$1:CB$87,Formula!H107,3)=0,10^6,INDEX(Properties!A$1:CB$87,Formula!H107,3)),IF(INDEX(Properties!A$1:CB$87,Formula!J107,3)=0,10^6,INDEX(Properties!A$1:CB$87,Formula!J107,3)))</f>
        <v>15.9994</v>
      </c>
      <c r="G107" s="85">
        <f t="shared" si="32"/>
        <v>53.723599999999998</v>
      </c>
      <c r="H107" s="87">
        <f>((Formula!C107)/(Formula!C107+Formula!E107+Formula!G107+Formula!I107+Formula!K107))*(INDEX(Properties!A$1:CB$87,Formula!B107,4))+((Formula!E107)/(Formula!C107+Formula!E107+Formula!G107+Formula!I107+Formula!K107))*(INDEX(Properties!A$1:CB$87,Formula!D107,4))+((Formula!G107)/(Formula!C107+Formula!E107+Formula!G107+Formula!I107+Formula!K107))*(INDEX(Properties!A$1:CB$87,Formula!F107,4))+((Formula!I107)/(Formula!C107+Formula!E107+Formula!G107+Formula!I107+Formula!K107))*(INDEX(Properties!A$1:CB$87,Formula!H107,4))+((Formula!K107)/(Formula!C107+Formula!E107+Formula!G107+Formula!I107+Formula!K107))*(INDEX(Properties!A$1:CB$87,Formula!J107,4))</f>
        <v>16.285714285714285</v>
      </c>
      <c r="I107" s="87">
        <f>Formula!C107*(INDEX(Properties!A$1:CB$87,Formula!B107,4))+Formula!E107*(INDEX(Properties!A$1:CB$87,Formula!D107,4))+Formula!G107*(INDEX(Properties!A$1:CB$87,Formula!F107,4))+Formula!I107*(INDEX(Properties!A$1:CB$87,Formula!H107,4))+Formula!K107*(INDEX(Properties!A$1:CB$87,Formula!J107,4))</f>
        <v>114</v>
      </c>
      <c r="J107" s="87">
        <f>VARP(IF(INDEX(Properties!A$1:CB$87,Formula!B107,4)&lt;&gt;"",INDEX(Properties!A$1:CB$87,Formula!B107,4)),IF(INDEX(Properties!A$1:CB$87,Formula!D107,4)&lt;&gt;"",INDEX(Properties!A$1:CB$87,Formula!D107,4)),IF(INDEX(Properties!A$1:CB$87,Formula!F107,4)&lt;&gt;"",INDEX(Properties!A$1:CB$87,Formula!F107,4)),IF(INDEX(Properties!A$1:CB$87,Formula!H107,4)&lt;&gt;"",INDEX(Properties!A$1:CB$87,Formula!H107,4)),IF(INDEX(Properties!A$1:CB$87,Formula!J107,4)&lt;&gt;"",INDEX(Properties!A$1:CB$87,Formula!J107,4)))</f>
        <v>145.76</v>
      </c>
      <c r="K107" s="87">
        <f>MAX(INDEX(Properties!A$1:CB$87,Formula!B107,4),INDEX(Properties!A$1:CB$87,Formula!D107,4),INDEX(Properties!A$1:CB$87,Formula!F107,4),INDEX(Properties!A$1:CB$87,Formula!H107,4),INDEX(Properties!A$1:CB$87,Formula!J107,4))</f>
        <v>31</v>
      </c>
      <c r="L107" s="87">
        <f>MIN(IF(INDEX(Properties!A$1:CB$87,Formula!B107,4)=0,10^6,INDEX(Properties!A$1:CB$87,Formula!B107,4)),IF(INDEX(Properties!A$1:CB$87,Formula!D107,4)=0,10^6,INDEX(Properties!A$1:CB$87,Formula!D107,4)),IF(INDEX(Properties!A$1:CB$87,Formula!F107,4)=0,10^6,INDEX(Properties!A$1:CB$87,Formula!F107,4)),IF(INDEX(Properties!A$1:CB$87,Formula!H107,4)=0,10^6,INDEX(Properties!A$1:CB$87,Formula!H107,4)),IF(INDEX(Properties!A$1:CB$87,Formula!J107,4)=0,10^6,INDEX(Properties!A$1:CB$87,Formula!J107,4)))</f>
        <v>8</v>
      </c>
      <c r="M107" s="87">
        <f t="shared" si="33"/>
        <v>23</v>
      </c>
      <c r="N107" s="89">
        <f>((Formula!C107)/(Formula!C107+Formula!E107+Formula!G107+Formula!I107+Formula!K107))*(INDEX(Properties!A$1:CB$87,Formula!B107,5))+((Formula!E107)/(Formula!C107+Formula!E107+Formula!G107+Formula!I107+Formula!K107))*(INDEX(Properties!A$1:CB$87,Formula!D107,5))+((Formula!G107)/(Formula!C107+Formula!E107+Formula!G107+Formula!I107+Formula!K107))*(INDEX(Properties!A$1:CB$87,Formula!F107,5))+((Formula!I107)/(Formula!C107+Formula!E107+Formula!G107+Formula!I107+Formula!K107))*(INDEX(Properties!A$1:CB$87,Formula!H107,5))+((Formula!K107)/(Formula!C107+Formula!E107+Formula!G107+Formula!I107+Formula!K107))*(INDEX(Properties!A$1:CB$87,Formula!J107,5))</f>
        <v>2.8571428571428568</v>
      </c>
      <c r="O107" s="89">
        <f>Formula!C107*(INDEX(Properties!A$1:CB$87,Formula!B107,5))+Formula!E107*(INDEX(Properties!A$1:CB$87,Formula!D107,5))+Formula!G107*(INDEX(Properties!A$1:CB$87,Formula!F107,5))+Formula!I107*(INDEX(Properties!A$1:CB$87,Formula!H107,5))+Formula!K107*(INDEX(Properties!A$1:CB$87,Formula!J107,5))</f>
        <v>20</v>
      </c>
      <c r="P107" s="89">
        <f>VARP(IF(INDEX(Properties!A$1:CB$87,Formula!B107,5)&lt;&gt;"",INDEX(Properties!A$1:CB$87,Formula!B107,5)),IF(INDEX(Properties!A$1:CB$87,Formula!D107,5)&lt;&gt;"",INDEX(Properties!A$1:CB$87,Formula!D107,5)),IF(INDEX(Properties!A$1:CB$87,Formula!F107,5)&lt;&gt;"",INDEX(Properties!A$1:CB$87,Formula!F107,5)),IF(INDEX(Properties!A$1:CB$87,Formula!H107,5)&lt;&gt;"",INDEX(Properties!A$1:CB$87,Formula!H107,5)),IF(INDEX(Properties!A$1:CB$87,Formula!J107,5)&lt;&gt;"",INDEX(Properties!A$1:CB$87,Formula!J107,5)))</f>
        <v>3.2</v>
      </c>
      <c r="Q107" s="89">
        <f>MAX(INDEX(Properties!A$1:CB$87,Formula!B107,5),INDEX(Properties!A$1:CB$87,Formula!D107,5),INDEX(Properties!A$1:CB$87,Formula!F107,5),INDEX(Properties!A$1:CB$87,Formula!H107,5),INDEX(Properties!A$1:CB$87,Formula!J107,5))</f>
        <v>4</v>
      </c>
      <c r="R107" s="89">
        <f>MIN(IF(INDEX(Properties!A$1:CB$87,Formula!B107,5)=0,10^6,INDEX(Properties!A$1:CB$87,Formula!B107,5)),IF(INDEX(Properties!A$1:CB$87,Formula!D107,5)=0,10^6,INDEX(Properties!A$1:CB$87,Formula!D107,5)),IF(INDEX(Properties!A$1:CB$87,Formula!F107,5)=0,10^6,INDEX(Properties!A$1:CB$87,Formula!F107,5)),IF(INDEX(Properties!A$1:CB$87,Formula!H107,5)=0,10^6,INDEX(Properties!A$1:CB$87,Formula!H107,5)),IF(INDEX(Properties!A$1:CB$87,Formula!J107,5)=0,10^6,INDEX(Properties!A$1:CB$87,Formula!J107,5)))</f>
        <v>2</v>
      </c>
      <c r="S107" s="89">
        <f t="shared" si="34"/>
        <v>2</v>
      </c>
      <c r="T107" s="60">
        <f>((Formula!C107)/(Formula!C107+Formula!E107+Formula!G107+Formula!I107+Formula!K107))*(INDEX(Properties!A$1:CB$87,Formula!B107,6))+((Formula!E107)/(Formula!C107+Formula!E107+Formula!G107+Formula!I107+Formula!K107))*(INDEX(Properties!A$1:CB$87,Formula!D107,6))+((Formula!G107)/(Formula!C107+Formula!E107+Formula!G107+Formula!I107+Formula!K107))*(INDEX(Properties!A$1:CB$87,Formula!F107,6))+((Formula!I107)/(Formula!C107+Formula!E107+Formula!G107+Formula!I107+Formula!K107))*(INDEX(Properties!A$1:CB$87,Formula!H107,6))+((Formula!K107)/(Formula!C107+Formula!E107+Formula!G107+Formula!I107+Formula!K107))*(INDEX(Properties!A$1:CB$87,Formula!J107,6))</f>
        <v>13.142857142857142</v>
      </c>
      <c r="U107" s="60">
        <f>Formula!C107*(INDEX(Properties!A$1:CB$87,Formula!B107,6))+Formula!E107*(INDEX(Properties!A$1:CB$87,Formula!D107,6))+Formula!G107*(INDEX(Properties!A$1:CB$87,Formula!F107,6))+Formula!I107*(INDEX(Properties!A$1:CB$87,Formula!H107,6))+Formula!K107*(INDEX(Properties!A$1:CB$87,Formula!J107,6))</f>
        <v>92</v>
      </c>
      <c r="V107" s="89">
        <f>VARP(IF(INDEX(Properties!A$1:CB$87,Formula!B107,6)&lt;&gt;"",INDEX(Properties!A$1:CB$87,Formula!B107,6)),IF(INDEX(Properties!A$1:CB$87,Formula!D107,6)&lt;&gt;"",INDEX(Properties!A$1:CB$87,Formula!D107,6)),IF(INDEX(Properties!A$1:CB$87,Formula!F107,6)&lt;&gt;"",INDEX(Properties!A$1:CB$87,Formula!F107,6)),IF(INDEX(Properties!A$1:CB$87,Formula!H107,6)&lt;&gt;"",INDEX(Properties!A$1:CB$87,Formula!H107,6)),IF(INDEX(Properties!A$1:CB$87,Formula!J107,6)&lt;&gt;"",INDEX(Properties!A$1:CB$87,Formula!J107,6)))</f>
        <v>47.36</v>
      </c>
      <c r="W107" s="60">
        <f>MAX(INDEX(Properties!A$1:CB$87,Formula!B107,6),INDEX(Properties!A$1:CB$87,Formula!D107,6),INDEX(Properties!A$1:CB$87,Formula!F107,6),INDEX(Properties!A$1:CB$87,Formula!H107,4),INDEX(Properties!A$1:CB$87,Formula!J107,6))</f>
        <v>16</v>
      </c>
      <c r="X107" s="60">
        <f>MIN(IF(INDEX(Properties!A$1:CB$87,Formula!B107,6)=0,10^6,INDEX(Properties!A$1:CB$87,Formula!B107,6)),IF(INDEX(Properties!A$1:CB$87,Formula!D107,6)=0,10^6,INDEX(Properties!A$1:CB$87,Formula!D107,6)),IF(INDEX(Properties!A$1:CB$87,Formula!F107,6)=0,10^6,INDEX(Properties!A$1:CB$87,Formula!F107,6)),IF(INDEX(Properties!A$1:CB$87,Formula!H107,6)=0,10^6,INDEX(Properties!A$1:CB$87,Formula!H107,6)),IF(INDEX(Properties!A$1:CB$87,Formula!J107,6)=0,10^6,INDEX(Properties!A$1:CB$87,Formula!J107,6)))</f>
        <v>2</v>
      </c>
      <c r="Y107" s="60">
        <f t="shared" si="35"/>
        <v>14</v>
      </c>
      <c r="Z107" s="72">
        <f>((Formula!C107)/(Formula!C107+Formula!E107+Formula!G107+Formula!I107+Formula!K107))*(INDEX(Properties!A$1:CB$87,Formula!B107,9))+((Formula!E107)/(Formula!C107+Formula!E107+Formula!G107+Formula!I107+Formula!K107))*(INDEX(Properties!A$1:CB$87,Formula!D107,9))+((Formula!G107)/(Formula!C107+Formula!E107+Formula!G107+Formula!I107+Formula!K107))*(INDEX(Properties!A$1:CB$87,Formula!F107,9))+((Formula!I107)/(Formula!C107+Formula!E107+Formula!G107+Formula!I107+Formula!K107))*(INDEX(Properties!A$1:CB$87,Formula!H107,9))+((Formula!K107)/(Formula!C107+Formula!E107+Formula!G107+Formula!I107+Formula!K107))*(INDEX(Properties!A$1:CB$87,Formula!J107,9))</f>
        <v>71.857142857142847</v>
      </c>
      <c r="AA107" s="72">
        <f>Formula!C107*(INDEX(Properties!A$1:CB$87,Formula!B107,9))+Formula!E107*(INDEX(Properties!A$1:CB$87,Formula!D107,9))+Formula!G107*(INDEX(Properties!A$1:CB$87,Formula!F107,9))+Formula!I107*(INDEX(Properties!A$1:CB$87,Formula!H107,9))+Formula!K107*(INDEX(Properties!A$1:CB$87,Formula!J107,9))</f>
        <v>503</v>
      </c>
      <c r="AB107" s="72">
        <f>VARP(IF(INDEX(Properties!A$1:CB$87,Formula!B107,9)&lt;&gt;"",INDEX(Properties!A$1:CB$87,Formula!B107,9)),IF(INDEX(Properties!A$1:CB$87,Formula!D107,9)&lt;&gt;"",INDEX(Properties!A$1:CB$87,Formula!D107,9)),IF(INDEX(Properties!A$1:CB$87,Formula!F107,9)&lt;&gt;"",INDEX(Properties!A$1:CB$87,Formula!F107,9)),IF(INDEX(Properties!A$1:CB$87,Formula!H107,9)&lt;&gt;"",INDEX(Properties!A$1:CB$87,Formula!H107,9)),IF(INDEX(Properties!A$1:CB$87,Formula!J107,9)&lt;&gt;"",INDEX(Properties!A$1:CB$87,Formula!J107,9)))</f>
        <v>1489.84</v>
      </c>
      <c r="AC107" s="72">
        <f>MAX(INDEX(Properties!A$1:CB$87,Formula!B107,9),INDEX(Properties!A$1:CB$87,Formula!D107,9),INDEX(Properties!A$1:CB$87,Formula!F107,9),INDEX(Properties!A$1:CB$87,Formula!H107,9),INDEX(Properties!A$1:CB$87,Formula!J107,9))</f>
        <v>87</v>
      </c>
      <c r="AD107" s="72">
        <f>MIN(IF(INDEX(Properties!A$1:CB$87,Formula!B107,9)=0,10^6,INDEX(Properties!A$1:CB$87,Formula!B107,9)),IF(INDEX(Properties!A$1:CB$87,Formula!D107,9)=0,10^6,INDEX(Properties!A$1:CB$87,Formula!D107,9)),IF(INDEX(Properties!A$1:CB$87,Formula!F107,9)=0,10^6,INDEX(Properties!A$1:CB$87,Formula!F107,9)),IF(INDEX(Properties!A$1:CB$87,Formula!H107,9)=0,10^6,INDEX(Properties!A$1:CB$87,Formula!H107,9)),IF(INDEX(Properties!A$1:CB$87,Formula!J107,9)=0,10^6,INDEX(Properties!A$1:CB$87,Formula!J107,9)))</f>
        <v>7</v>
      </c>
      <c r="AE107" s="72">
        <f t="shared" si="36"/>
        <v>80</v>
      </c>
      <c r="AF107" s="51">
        <f>((Formula!C107)/(Formula!C107+Formula!E107+Formula!G107+Formula!I107+Formula!K107))*(INDEX(Properties!A$1:CB$87,Formula!B107,10))+((Formula!E107)/(Formula!C107+Formula!E107+Formula!G107+Formula!I107+Formula!K107))*(INDEX(Properties!A$1:CB$87,Formula!D107,10))+((Formula!G107)/(Formula!C107+Formula!E107+Formula!G107+Formula!I107+Formula!K107))*(INDEX(Properties!A$1:CB$87,Formula!F107,10))+((Formula!I107)/(Formula!C107+Formula!E107+Formula!G107+Formula!I107+Formula!K107))*(INDEX(Properties!A$1:CB$87,Formula!H107,10))+((Formula!K107)/(Formula!C107+Formula!E107+Formula!G107+Formula!I107+Formula!K107))*(INDEX(Properties!A$1:CB$87,Formula!J107,10))</f>
        <v>5.7142857142857135</v>
      </c>
      <c r="AG107" s="51">
        <f>Formula!C107*(INDEX(Properties!A$1:CB$87,Formula!B107,10))+Formula!E107*(INDEX(Properties!A$1:CB$87,Formula!D107,10))+Formula!G107*(INDEX(Properties!A$1:CB$87,Formula!F107,10))+Formula!I107*(INDEX(Properties!A$1:CB$87,Formula!H107,10))+Formula!K107*(INDEX(Properties!A$1:CB$87,Formula!J107,10))</f>
        <v>40</v>
      </c>
      <c r="AH107" s="51">
        <f>VARP(IF(INDEX(Properties!A$1:CB$87,Formula!B107,10)&lt;&gt;"",INDEX(Properties!A$1:CB$87,Formula!B107,10)),IF(INDEX(Properties!A$1:CB$87,Formula!D107,10)&lt;&gt;"",INDEX(Properties!A$1:CB$87,Formula!D107,10)),IF(INDEX(Properties!A$1:CB$87,Formula!F107,10)&lt;&gt;"",INDEX(Properties!A$1:CB$87,Formula!F107,10)),IF(INDEX(Properties!A$1:CB$87,Formula!H107,10)&lt;&gt;"",INDEX(Properties!A$1:CB$87,Formula!H107,10)),IF(INDEX(Properties!A$1:CB$87,Formula!J107,10)&lt;&gt;"",INDEX(Properties!A$1:CB$87,Formula!J107,10)))</f>
        <v>7.76</v>
      </c>
      <c r="AI107" s="51">
        <f>MAX(INDEX(Properties!A$1:CB$87,Formula!B107,10),INDEX(Properties!A$1:CB$87,Formula!D107,10),INDEX(Properties!A$1:CB$87,Formula!F107,10),INDEX(Properties!A$1:CB$87,Formula!H107,10),INDEX(Properties!A$1:CB$87,Formula!J107,10))</f>
        <v>7</v>
      </c>
      <c r="AJ107" s="51">
        <f>MIN(IF(INDEX(Properties!A$1:CB$87,Formula!B107,10)=0,10^6,INDEX(Properties!A$1:CB$87,Formula!B107,10)),IF(INDEX(Properties!A$1:CB$87,Formula!D107,10)=0,10^6,INDEX(Properties!A$1:CB$87,Formula!D107,10)),IF(INDEX(Properties!A$1:CB$87,Formula!F107,10)=0,10^6,INDEX(Properties!A$1:CB$87,Formula!F107,10)),IF(INDEX(Properties!A$1:CB$87,Formula!H107,10)=0,10^6,INDEX(Properties!A$1:CB$87,Formula!H107,10)),IF(INDEX(Properties!A$1:CB$87,Formula!J107,10)=0,10^6,INDEX(Properties!A$1:CB$87,Formula!J107,10)))</f>
        <v>2</v>
      </c>
      <c r="AK107" s="51">
        <f t="shared" si="37"/>
        <v>5</v>
      </c>
      <c r="AL107" s="57">
        <f>((Formula!C107)/(Formula!C107+Formula!E107+Formula!G107+Formula!I107+Formula!K107))*(INDEX(Properties!A$1:CB$87,Formula!B107,11))+((Formula!E107)/(Formula!C107+Formula!E107+Formula!G107+Formula!I107+Formula!K107))*(INDEX(Properties!A$1:CB$87,Formula!D107,11))+((Formula!G107)/(Formula!C107+Formula!E107+Formula!G107+Formula!I107+Formula!K107))*(INDEX(Properties!A$1:CB$87,Formula!F107,11))+((Formula!I107)/(Formula!C107+Formula!E107+Formula!G107+Formula!I107+Formula!K107))*(INDEX(Properties!A$1:CB$87,Formula!H107,11))+((Formula!K107)/(Formula!C107+Formula!E107+Formula!G107+Formula!I107+Formula!K107))*(INDEX(Properties!A$1:CB$87,Formula!J107,11))</f>
        <v>2</v>
      </c>
      <c r="AM107" s="57">
        <f>Formula!C107*(INDEX(Properties!A$1:CB$87,Formula!B107,11))+Formula!E107*(INDEX(Properties!A$1:CB$87,Formula!D107,11))+Formula!G107*(INDEX(Properties!A$1:CB$87,Formula!F107,11))+Formula!I107*(INDEX(Properties!A$1:CB$87,Formula!H107,11))+Formula!K107*(INDEX(Properties!A$1:CB$87,Formula!J107,11))</f>
        <v>14</v>
      </c>
      <c r="AN107" s="57">
        <f>VARP(IF(INDEX(Properties!A$1:CB$87,Formula!B107,11)&lt;&gt;"",INDEX(Properties!A$1:CB$87,Formula!B107,11)),IF(INDEX(Properties!A$1:CB$87,Formula!D107,11)&lt;&gt;"",INDEX(Properties!A$1:CB$87,Formula!D107,11)),IF(INDEX(Properties!A$1:CB$87,Formula!F107,11)&lt;&gt;"",INDEX(Properties!A$1:CB$87,Formula!F107,11)),IF(INDEX(Properties!A$1:CB$87,Formula!H107,11)&lt;&gt;"",INDEX(Properties!A$1:CB$87,Formula!H107,11)),IF(INDEX(Properties!A$1:CB$87,Formula!J107,11)&lt;&gt;"",INDEX(Properties!A$1:CB$87,Formula!J107,11)))</f>
        <v>0.96</v>
      </c>
      <c r="AO107" s="57">
        <f>MAX(INDEX(Properties!A$1:CB$87,Formula!B107,11),INDEX(Properties!A$1:CB$87,Formula!D107,11),INDEX(Properties!A$1:CB$87,Formula!F107,11),INDEX(Properties!A$1:CB$87,Formula!H107,11),INDEX(Properties!A$1:CB$87,Formula!J107,11))</f>
        <v>2</v>
      </c>
      <c r="AP107" s="57">
        <f>MIN(IF(Formula!B107=87,10^6,INDEX(Properties!A$1:CB$87,Formula!B107,11)),IF((Formula!D107)=87,10^6,INDEX(Properties!A$1:CB$87,Formula!D107,11)),IF((Formula!F107)=87,10^6,INDEX(Properties!A$1:CB$87,Formula!F107,11)),IF((Formula!H107)=87,10^6,INDEX(Properties!A$1:CB$87,Formula!H107,11)),IF(Formula!J107=87,10^6,INDEX(Properties!A$1:CB$87,Formula!J107,11)))</f>
        <v>2</v>
      </c>
      <c r="AQ107" s="57">
        <f t="shared" si="38"/>
        <v>0</v>
      </c>
      <c r="AR107" s="78">
        <f>((Formula!C107)/(Formula!C107+Formula!E107+Formula!G107+Formula!I107+Formula!K107))*(INDEX(Properties!A$1:CB$87,Formula!B107,12))+((Formula!E107)/(Formula!C107+Formula!E107+Formula!G107+Formula!I107+Formula!K107))*(INDEX(Properties!A$1:CB$87,Formula!D107,12))+((Formula!G107)/(Formula!C107+Formula!E107+Formula!G107+Formula!I107+Formula!K107))*(INDEX(Properties!A$1:CB$87,Formula!F107,12))+((Formula!I107)/(Formula!C107+Formula!E107+Formula!G107+Formula!I107+Formula!K107))*(INDEX(Properties!A$1:CB$87,Formula!H107,12))+((Formula!K107)/(Formula!C107+Formula!E107+Formula!G107+Formula!I107+Formula!K107))*(INDEX(Properties!A$1:CB$87,Formula!J107,12))</f>
        <v>2.5714285714285712</v>
      </c>
      <c r="AS107" s="78">
        <f>Formula!C107*(INDEX(Properties!A$1:CB$87,Formula!B107,12))+Formula!E107*(INDEX(Properties!A$1:CB$87,Formula!D107,12))+Formula!G107*(INDEX(Properties!A$1:CB$87,Formula!F107,12))+Formula!I107*(INDEX(Properties!A$1:CB$87,Formula!H107,12))+Formula!K107*(INDEX(Properties!A$1:CB$87,Formula!J107,12))</f>
        <v>18</v>
      </c>
      <c r="AT107" s="78">
        <f>VARP(IF(INDEX(Properties!A$1:CB$87,Formula!B107,12)&lt;&gt;"",INDEX(Properties!A$1:CB$87,Formula!B107,12)),IF(INDEX(Properties!A$1:CB$87,Formula!D107,12)&lt;&gt;"",INDEX(Properties!A$1:CB$87,Formula!D107,12)),IF(INDEX(Properties!A$1:CB$87,Formula!F107,12)&lt;&gt;"",INDEX(Properties!A$1:CB$87,Formula!F107,12)),IF(INDEX(Properties!A$1:CB$87,Formula!H107,12)&lt;&gt;"",INDEX(Properties!A$1:CB$87,Formula!H107,12)),IF(INDEX(Properties!A$1:CB$87,Formula!J107,12)&lt;&gt;"",INDEX(Properties!A$1:CB$87,Formula!J107,12)))</f>
        <v>2.4</v>
      </c>
      <c r="AU107" s="78">
        <f>MAX(INDEX(Properties!A$1:CB$87,Formula!B107,12),INDEX(Properties!A$1:CB$87,Formula!D107,12),INDEX(Properties!A$1:CB$87,Formula!F107,12),INDEX(Properties!A$1:CB$87,Formula!H107,12),INDEX(Properties!A$1:CB$87,Formula!J107,12))</f>
        <v>4</v>
      </c>
      <c r="AV107" s="78">
        <f>MIN(IF(Formula!B107=87,10^6,INDEX(Properties!A$1:CB$87,Formula!B107,12)),IF((Formula!D107)=87,10^6,INDEX(Properties!A$1:CB$87,Formula!D107,12)),IF((Formula!F107)=87,10^6,INDEX(Properties!A$1:CB$87,Formula!F107,12)),IF((Formula!H107)=87,10^6,INDEX(Properties!A$1:CB$87,Formula!H107,12)),IF(Formula!J107=87,10^6,INDEX(Properties!A$1:CB$87,Formula!J107,12)))</f>
        <v>0</v>
      </c>
      <c r="AW107" s="78">
        <f t="shared" si="39"/>
        <v>4</v>
      </c>
      <c r="AX107" s="45">
        <f>((Formula!C107)/(Formula!C107+Formula!E107+Formula!G107+Formula!I107+Formula!K107))*(INDEX(Properties!A$1:CB$87,Formula!B107,13))+((Formula!E107)/(Formula!C107+Formula!E107+Formula!G107+Formula!I107+Formula!K107))*(INDEX(Properties!A$1:CB$87,Formula!D107,13))+((Formula!G107)/(Formula!C107+Formula!E107+Formula!G107+Formula!I107+Formula!K107))*(INDEX(Properties!A$1:CB$87,Formula!F107,13))+((Formula!I107)/(Formula!C107+Formula!E107+Formula!G107+Formula!I107+Formula!K107))*(INDEX(Properties!A$1:CB$87,Formula!H107,13))+((Formula!K107)/(Formula!C107+Formula!E107+Formula!G107+Formula!I107+Formula!K107))*(INDEX(Properties!A$1:CB$87,Formula!J107,13))</f>
        <v>2.8571428571428568</v>
      </c>
      <c r="AY107" s="45">
        <f>Formula!C107*(INDEX(Properties!A$1:CB$87,Formula!B107,13))+Formula!E107*(INDEX(Properties!A$1:CB$87,Formula!D107,13))+Formula!G107*(INDEX(Properties!A$1:CB$87,Formula!F107,13))+Formula!I107*(INDEX(Properties!A$1:CB$87,Formula!H107,13))+Formula!K107*(INDEX(Properties!A$1:CB$87,Formula!J107,13))</f>
        <v>20</v>
      </c>
      <c r="AZ107" s="45">
        <f>VARP(IF(INDEX(Properties!A$1:CB$87,Formula!B107,13)&lt;&gt;"",INDEX(Properties!A$1:CB$87,Formula!B107,13)),IF(INDEX(Properties!A$1:CB$87,Formula!D107,13)&lt;&gt;"",INDEX(Properties!A$1:CB$87,Formula!D107,13)),IF(INDEX(Properties!A$1:CB$87,Formula!F107,13)&lt;&gt;"",INDEX(Properties!A$1:CB$87,Formula!F107,13)),IF(INDEX(Properties!A$1:CB$87,Formula!H107,13)&lt;&gt;"",INDEX(Properties!A$1:CB$87,Formula!H107,13)),IF(INDEX(Properties!A$1:CB$87,Formula!J107,13)&lt;&gt;"",INDEX(Properties!A$1:CB$87,Formula!J107,13)))</f>
        <v>16</v>
      </c>
      <c r="BA107" s="45">
        <f>MAX(INDEX(Properties!A$1:CB$87,Formula!B107,13),INDEX(Properties!A$1:CB$87,Formula!D107,13),INDEX(Properties!A$1:CB$87,Formula!F107,13),INDEX(Properties!A$1:CB$87,Formula!H107,13),INDEX(Properties!A$1:CB$87,Formula!J107,13))</f>
        <v>10</v>
      </c>
      <c r="BB107" s="45">
        <f>MIN(IF(Formula!B107=87,10^6,INDEX(Properties!A$1:CB$87,Formula!B107,13)),IF((Formula!D107)=87,10^6,INDEX(Properties!A$1:CB$87,Formula!D107,13)),IF((Formula!F107)=87,10^6,INDEX(Properties!A$1:CB$87,Formula!F107,13)),IF((Formula!H107)=87,10^6,INDEX(Properties!A$1:CB$87,Formula!H107,13)),IF(Formula!J107=87,10^6,INDEX(Properties!A$1:CB$87,Formula!J107,13)))</f>
        <v>0</v>
      </c>
      <c r="BC107" s="45">
        <f t="shared" si="40"/>
        <v>10</v>
      </c>
      <c r="BD107" s="63">
        <f>((Formula!C107)/(Formula!C107+Formula!E107+Formula!G107+Formula!I107+Formula!K107))*(INDEX(Properties!A$1:CB$87,Formula!B107,14))+((Formula!E107)/(Formula!C107+Formula!E107+Formula!G107+Formula!I107+Formula!K107))*(INDEX(Properties!A$1:CB$87,Formula!D107,14))+((Formula!G107)/(Formula!C107+Formula!E107+Formula!G107+Formula!I107+Formula!K107))*(INDEX(Properties!A$1:CB$87,Formula!F107,14))+((Formula!I107)/(Formula!C107+Formula!E107+Formula!G107+Formula!I107+Formula!K107))*(INDEX(Properties!A$1:CB$87,Formula!H107,14))+((Formula!K107)/(Formula!C107+Formula!E107+Formula!G107+Formula!I107+Formula!K107))*(INDEX(Properties!A$1:CB$87,Formula!J107,14))</f>
        <v>0</v>
      </c>
      <c r="BE107" s="63">
        <f>Formula!C107*(INDEX(Properties!A$1:CB$87,Formula!B107,14))+Formula!E107*(INDEX(Properties!A$1:CB$87,Formula!D107,14))+Formula!G107*(INDEX(Properties!A$1:CB$87,Formula!F107,14))+Formula!I107*(INDEX(Properties!A$1:CB$87,Formula!H107,14))+Formula!K107*(INDEX(Properties!A$1:CB$87,Formula!J107,14))</f>
        <v>0</v>
      </c>
      <c r="BF107" s="63">
        <f>VARP(IF(INDEX(Properties!A$1:CB$87,Formula!B107,14)&lt;&gt;"",INDEX(Properties!A$1:CB$87,Formula!B107,14)),IF(INDEX(Properties!A$1:CB$87,Formula!D107,14)&lt;&gt;"",INDEX(Properties!A$1:CB$87,Formula!D107,14)),IF(INDEX(Properties!A$1:CB$87,Formula!F107,14)&lt;&gt;"",INDEX(Properties!A$1:CB$87,Formula!F107,14)),IF(INDEX(Properties!A$1:CB$87,Formula!H107,14)&lt;&gt;"",INDEX(Properties!A$1:CB$87,Formula!H107,14)),IF(INDEX(Properties!A$1:CB$87,Formula!J107,14)&lt;&gt;"",INDEX(Properties!A$1:CB$87,Formula!J107,14)))</f>
        <v>0</v>
      </c>
      <c r="BG107" s="63">
        <f>MAX(INDEX(Properties!A$1:CB$87,Formula!B107,14),INDEX(Properties!A$1:CB$87,Formula!D107,14),INDEX(Properties!A$1:CB$87,Formula!F107,14),INDEX(Properties!A$1:CB$87,Formula!H107,14),INDEX(Properties!A$1:CB$87,Formula!J107,14))</f>
        <v>0</v>
      </c>
      <c r="BH107" s="63">
        <f>MIN(IF(Formula!B107=87,10^6,INDEX(Properties!A$1:CB$87,Formula!B107,14)),IF((Formula!D107)=87,10^6,INDEX(Properties!A$1:CB$87,Formula!D107,14)),IF((Formula!F107)=87,10^6,INDEX(Properties!A$1:CB$87,Formula!F107,14)),IF((Formula!H107)=87,10^6,INDEX(Properties!A$1:CB$87,Formula!H107,14)),IF(Formula!J107=87,10^6,INDEX(Properties!A$1:CB$87,Formula!J107,14)))</f>
        <v>0</v>
      </c>
      <c r="BI107" s="63">
        <f t="shared" si="41"/>
        <v>0</v>
      </c>
      <c r="BJ107" s="75">
        <f>((Formula!C107)/(Formula!C107+Formula!E107+Formula!G107+Formula!I107+Formula!K107))*(INDEX(Properties!A$1:CB$87,Formula!B107,19))+((Formula!E107)/(Formula!C107+Formula!E107+Formula!G107+Formula!I107+Formula!K107))*(INDEX(Properties!A$1:CB$87,Formula!D107,19))+((Formula!G107)/(Formula!C107+Formula!E107+Formula!G107+Formula!I107+Formula!K107))*(INDEX(Properties!A$1:CB$87,Formula!F107,19))+((Formula!I107)/(Formula!C107+Formula!E107+Formula!G107+Formula!I107+Formula!K107))*(INDEX(Properties!A$1:CB$87,Formula!H107,19))+((Formula!K107)/(Formula!C107+Formula!E107+Formula!G107+Formula!I107+Formula!K107))*(INDEX(Properties!A$1:CB$87,Formula!J107,19))</f>
        <v>7.4285714285714279</v>
      </c>
      <c r="BK107" s="75">
        <f>Formula!C107*(INDEX(Properties!A$1:CB$87,Formula!B107,19))+Formula!E107*(INDEX(Properties!A$1:CB$87,Formula!D107,19))+Formula!G107*(INDEX(Properties!A$1:CB$87,Formula!F107,19))+Formula!I107*(INDEX(Properties!A$1:CB$87,Formula!H107,19))+Formula!K107*(INDEX(Properties!A$1:CB$87,Formula!J107,19))</f>
        <v>52</v>
      </c>
      <c r="BL107" s="75">
        <f>VARP(IF(INDEX(Properties!A$1:CB$87,Formula!B107,19)&lt;&gt;"",INDEX(Properties!A$1:CB$87,Formula!B107,19)),IF(INDEX(Properties!A$1:CB$87,Formula!D107,19)&lt;&gt;"",INDEX(Properties!A$1:CB$87,Formula!D107,19)),IF(INDEX(Properties!A$1:CB$87,Formula!F107,19)&lt;&gt;"",INDEX(Properties!A$1:CB$87,Formula!F107,19)),IF(INDEX(Properties!A$1:CB$87,Formula!H107,19)&lt;&gt;"",INDEX(Properties!A$1:CB$87,Formula!H107,19)),IF(INDEX(Properties!A$1:CB$87,Formula!J107,19)&lt;&gt;"",INDEX(Properties!A$1:CB$87,Formula!J107,19)))</f>
        <v>24.16</v>
      </c>
      <c r="BM107" s="75">
        <f>MAX(INDEX(Properties!A$1:CB$87,Formula!B107,19),INDEX(Properties!A$1:CB$87,Formula!D107,19),INDEX(Properties!A$1:CB$87,Formula!F107,19),INDEX(Properties!A$1:CB$87,Formula!H107,19),INDEX(Properties!A$1:CB$87,Formula!J107,19))</f>
        <v>13</v>
      </c>
      <c r="BN107" s="75">
        <f>MIN(IF(INDEX(Properties!A$1:CB$87,Formula!B107,19)=0,10^6,INDEX(Properties!A$1:CB$87,Formula!B107,19)),IF(INDEX(Properties!A$1:CB$87,Formula!D107,19)=0,10^6,INDEX(Properties!A$1:CB$87,Formula!D107,19)),IF(INDEX(Properties!A$1:CB$87,Formula!F107,19)=0,10^6,INDEX(Properties!A$1:CB$87,Formula!F107,19)),IF(INDEX(Properties!A$1:CB$87,Formula!H107,19)=0,10^6,INDEX(Properties!A$1:CB$87,Formula!H107,19)),IF(INDEX(Properties!A$1:CB$87,Formula!J107,19)=0,10^6,INDEX(Properties!A$1:CB$87,Formula!J107,19)))</f>
        <v>2</v>
      </c>
      <c r="BO107" s="75">
        <f t="shared" si="42"/>
        <v>11</v>
      </c>
      <c r="BP107" s="48">
        <f>((Formula!C107)/(Formula!C107+Formula!E107+Formula!G107+Formula!I107+Formula!K107))*(INDEX(Properties!A$1:CB$87,Formula!B107,20))+((Formula!E107)/(Formula!C107+Formula!E107+Formula!G107+Formula!I107+Formula!K107))*(INDEX(Properties!A$1:CB$87,Formula!D107,20))+((Formula!G107)/(Formula!C107+Formula!E107+Formula!G107+Formula!I107+Formula!K107))*(INDEX(Properties!A$1:CB$87,Formula!F107,20))+((Formula!I107)/(Formula!C107+Formula!E107+Formula!G107+Formula!I107+Formula!K107))*(INDEX(Properties!A$1:CB$87,Formula!H107,20))+((Formula!K107)/(Formula!C107+Formula!E107+Formula!G107+Formula!I107+Formula!K107))*(INDEX(Properties!A$1:CB$87,Formula!J107,20))</f>
        <v>4.5714285714285712</v>
      </c>
      <c r="BQ107" s="48">
        <f>Formula!C107*(INDEX(Properties!A$1:CB$87,Formula!B107,20))+Formula!E107*(INDEX(Properties!A$1:CB$87,Formula!D107,20))+Formula!G107*(INDEX(Properties!A$1:CB$87,Formula!F107,20))+Formula!I107*(INDEX(Properties!A$1:CB$87,Formula!H107,20))+Formula!K107*(INDEX(Properties!A$1:CB$87,Formula!J107,20))</f>
        <v>32</v>
      </c>
      <c r="BR107" s="48">
        <f>VARP(IF(INDEX(Properties!A$1:CB$87,Formula!B107,20)&lt;&gt;"",INDEX(Properties!A$1:CB$87,Formula!B107,20)),IF(INDEX(Properties!A$1:CB$87,Formula!D107,20)&lt;&gt;"",INDEX(Properties!A$1:CB$87,Formula!D107,20)),IF(INDEX(Properties!A$1:CB$87,Formula!F107,20)&lt;&gt;"",INDEX(Properties!A$1:CB$87,Formula!F107,20)),IF(INDEX(Properties!A$1:CB$87,Formula!H107,20)&lt;&gt;"",INDEX(Properties!A$1:CB$87,Formula!H107,20)),IF(INDEX(Properties!A$1:CB$87,Formula!J107,20)&lt;&gt;"",INDEX(Properties!A$1:CB$87,Formula!J107,20)))</f>
        <v>4.96</v>
      </c>
      <c r="BS107" s="48">
        <f>MAX(INDEX(Properties!A$1:CB$87,Formula!B107,20),INDEX(Properties!A$1:CB$87,Formula!D107,20),INDEX(Properties!A$1:CB$87,Formula!F107,20),INDEX(Properties!A$1:CB$87,Formula!H107,20),INDEX(Properties!A$1:CB$87,Formula!J107,20))</f>
        <v>6</v>
      </c>
      <c r="BT107" s="48">
        <f>MIN(IF(INDEX(Properties!A$1:CB$87,Formula!B107,20)=0,10^6,INDEX(Properties!A$1:CB$87,Formula!B107,20)),IF(INDEX(Properties!A$1:CB$87,Formula!D107,20)=0,10^6,INDEX(Properties!A$1:CB$87,Formula!D107,20)),IF(INDEX(Properties!A$1:CB$87,Formula!F107,20)=0,10^6,INDEX(Properties!A$1:CB$87,Formula!F107,20)),IF(INDEX(Properties!A$1:CB$87,Formula!H107,20)=0,10^6,INDEX(Properties!A$1:CB$87,Formula!H107,20)),IF(INDEX(Properties!A$1:CB$87,Formula!J107,20)=0,10^6,INDEX(Properties!A$1:CB$87,Formula!J107,20)))</f>
        <v>2</v>
      </c>
      <c r="BU107" s="48">
        <f t="shared" si="43"/>
        <v>4</v>
      </c>
      <c r="BV107" s="66">
        <f>((Formula!C107)/(Formula!C107+Formula!E107+Formula!G107+Formula!I107+Formula!K107))*(INDEX(Properties!A$1:CB$87,Formula!B107,21))+((Formula!E107)/(Formula!C107+Formula!E107+Formula!G107+Formula!I107+Formula!K107))*(INDEX(Properties!A$1:CB$87,Formula!D107,21))+((Formula!G107)/(Formula!C107+Formula!E107+Formula!G107+Formula!I107+Formula!K107))*(INDEX(Properties!A$1:CB$87,Formula!F107,21))+((Formula!I107)/(Formula!C107+Formula!E107+Formula!G107+Formula!I107+Formula!K107))*(INDEX(Properties!A$1:CB$87,Formula!H107,21))+((Formula!K107)/(Formula!C107+Formula!E107+Formula!G107+Formula!I107+Formula!K107))*(INDEX(Properties!A$1:CB$87,Formula!J107,21))</f>
        <v>4.5714285714285712</v>
      </c>
      <c r="BW107" s="66">
        <f>Formula!C107*(INDEX(Properties!A$1:CB$87,Formula!B107,21))+Formula!E107*(INDEX(Properties!A$1:CB$87,Formula!D107,21))+Formula!G107*(INDEX(Properties!A$1:CB$87,Formula!F107,21))+Formula!I107*(INDEX(Properties!A$1:CB$87,Formula!H107,21))+Formula!K107*(INDEX(Properties!A$1:CB$87,Formula!J107,21))</f>
        <v>32</v>
      </c>
      <c r="BX107" s="66">
        <f>VARP(IF(INDEX(Properties!A$1:CB$87,Formula!B107,21)&lt;&gt;"",INDEX(Properties!A$1:CB$87,Formula!B107,21)),IF(INDEX(Properties!A$1:CB$87,Formula!D107,21)&lt;&gt;"",INDEX(Properties!A$1:CB$87,Formula!D107,21)),IF(INDEX(Properties!A$1:CB$87,Formula!F107,21)&lt;&gt;"",INDEX(Properties!A$1:CB$87,Formula!F107,21)),IF(INDEX(Properties!A$1:CB$87,Formula!H107,21)&lt;&gt;"",INDEX(Properties!A$1:CB$87,Formula!H107,21)),IF(INDEX(Properties!A$1:CB$87,Formula!J107,21)&lt;&gt;"",INDEX(Properties!A$1:CB$87,Formula!J107,21)))</f>
        <v>4.96</v>
      </c>
      <c r="BY107" s="66">
        <f>MAX(INDEX(Properties!A$1:CB$87,Formula!B107,21),INDEX(Properties!A$1:CB$87,Formula!D107,21),INDEX(Properties!A$1:CB$87,Formula!F107,21),INDEX(Properties!A$1:CB$87,Formula!H107,21),INDEX(Properties!A$1:CB$87,Formula!J107,21))</f>
        <v>6</v>
      </c>
      <c r="BZ107" s="66">
        <f>MIN(IF(INDEX(Properties!A$1:CB$87,Formula!B107,21)=0,10^6,INDEX(Properties!A$1:CB$87,Formula!B107,21)),IF(INDEX(Properties!A$1:CB$87,Formula!D107,21)=0,10^6,INDEX(Properties!A$1:CB$87,Formula!D107,21)),IF(INDEX(Properties!A$1:CB$87,Formula!F107,21)=0,10^6,INDEX(Properties!A$1:CB$87,Formula!F107,21)),IF(INDEX(Properties!A$1:CB$87,Formula!H107,21)=0,10^6,INDEX(Properties!A$1:CB$87,Formula!H107,21)),IF(INDEX(Properties!A$1:CB$87,Formula!J107,21)=0,10^6,INDEX(Properties!A$1:CB$87,Formula!J107,21)))</f>
        <v>2</v>
      </c>
      <c r="CA107" s="66">
        <f t="shared" si="44"/>
        <v>4</v>
      </c>
      <c r="CB107" s="81">
        <f>((Formula!C107)/(Formula!C107+Formula!E107+Formula!G107+Formula!I107+Formula!K107))*(INDEX(Properties!A$1:CB$87,Formula!B107,23))+((Formula!E107)/(Formula!C107+Formula!E107+Formula!G107+Formula!I107+Formula!K107))*(INDEX(Properties!A$1:CB$87,Formula!D107,23))+((Formula!G107)/(Formula!C107+Formula!E107+Formula!G107+Formula!I107+Formula!K107))*(INDEX(Properties!A$1:CB$87,Formula!F107,23))+((Formula!I107)/(Formula!C107+Formula!E107+Formula!G107+Formula!I107+Formula!K107))*(INDEX(Properties!A$1:CB$87,Formula!H107,23))+((Formula!K107)/(Formula!C107+Formula!E107+Formula!G107+Formula!I107+Formula!K107))*(INDEX(Properties!A$1:CB$87,Formula!J107,23))</f>
        <v>1.2685714285714285</v>
      </c>
      <c r="CC107" s="81">
        <f>Formula!C107*(INDEX(Properties!A$1:CB$87,Formula!B107,23))+Formula!E107*(INDEX(Properties!A$1:CB$87,Formula!D107,23))+Formula!G107*(INDEX(Properties!A$1:CB$87,Formula!F107,23))+Formula!I107*(INDEX(Properties!A$1:CB$87,Formula!H107,23))+Formula!K107*(INDEX(Properties!A$1:CB$87,Formula!J107,23))</f>
        <v>8.879999999999999</v>
      </c>
      <c r="CD107" s="81">
        <f>VARP(IF(INDEX(Properties!A$1:CB$87,Formula!B107,23)&lt;&gt;"",INDEX(Properties!A$1:CB$87,Formula!B107,23)),IF(INDEX(Properties!A$1:CB$87,Formula!D107,23)&lt;&gt;"",INDEX(Properties!A$1:CB$87,Formula!D107,23)),IF(INDEX(Properties!A$1:CB$87,Formula!F107,23)&lt;&gt;"",INDEX(Properties!A$1:CB$87,Formula!F107,23)),IF(INDEX(Properties!A$1:CB$87,Formula!H107,23)&lt;&gt;"",INDEX(Properties!A$1:CB$87,Formula!H107,23)),IF(INDEX(Properties!A$1:CB$87,Formula!J107,23)&lt;&gt;"",INDEX(Properties!A$1:CB$87,Formula!J107,23)))</f>
        <v>1.9829759999999998</v>
      </c>
      <c r="CE107" s="81">
        <f>MAX(INDEX(Properties!A$1:CB$87,Formula!B107,23),INDEX(Properties!A$1:CB$87,Formula!D107,23),INDEX(Properties!A$1:CB$87,Formula!F107,23),INDEX(Properties!A$1:CB$87,Formula!H107,23),INDEX(Properties!A$1:CB$87,Formula!J107,23))</f>
        <v>3.44</v>
      </c>
      <c r="CF107" s="81">
        <f>MIN(IF(Formula!B107=87,10^6,INDEX(Properties!A$1:CB$87,Formula!B107,23)),IF((Formula!D107)=87,10^6,INDEX(Properties!A$1:CB$87,Formula!D107,23)),IF((Formula!F107)=87,10^6,INDEX(Properties!A$1:CB$87,Formula!F107,23)),IF((Formula!H107)=87,10^6,INDEX(Properties!A$1:CB$87,Formula!H107,23)),IF(Formula!J107=87,10^6,INDEX(Properties!A$1:CB$87,Formula!J107,23)))</f>
        <v>0</v>
      </c>
      <c r="CG107" s="81">
        <f t="shared" si="45"/>
        <v>3.44</v>
      </c>
      <c r="CH107" s="39">
        <f>((Formula!C107)/(Formula!C107+Formula!E107+Formula!G107+Formula!I107+Formula!K107))*(INDEX(Properties!A$1:CB$87,Formula!B107,26))+((Formula!E107)/(Formula!C107+Formula!E107+Formula!G107+Formula!I107+Formula!K107))*(INDEX(Properties!A$1:CB$87,Formula!D107,26))+((Formula!G107)/(Formula!C107+Formula!E107+Formula!G107+Formula!I107+Formula!K107))*(INDEX(Properties!A$1:CB$87,Formula!F107,26))+((Formula!I107)/(Formula!C107+Formula!E107+Formula!G107+Formula!I107+Formula!K107))*(INDEX(Properties!A$1:CB$87,Formula!H107,26))+((Formula!K107)/(Formula!C107+Formula!E107+Formula!G107+Formula!I107+Formula!K107))*(INDEX(Properties!A$1:CB$87,Formula!J107,26))</f>
        <v>10.369171428571427</v>
      </c>
      <c r="CI107" s="39">
        <f>Formula!C107*(INDEX(Properties!A$1:CB$87,Formula!B107,26))+Formula!E107*(INDEX(Properties!A$1:CB$87,Formula!D107,26))+Formula!G107*(INDEX(Properties!A$1:CB$87,Formula!F107,26))+Formula!I107*(INDEX(Properties!A$1:CB$87,Formula!H107,26))+Formula!K107*(INDEX(Properties!A$1:CB$87,Formula!J107,26))</f>
        <v>72.584199999999996</v>
      </c>
      <c r="CJ107" s="39">
        <f>VARP(IF(INDEX(Properties!A$1:CB$87,Formula!B107,26)&lt;&gt;"",INDEX(Properties!A$1:CB$87,Formula!B107,26)),IF(INDEX(Properties!A$1:CB$87,Formula!D107,26)&lt;&gt;"",INDEX(Properties!A$1:CB$87,Formula!D107,26)),IF(INDEX(Properties!A$1:CB$87,Formula!F107,26)&lt;&gt;"",INDEX(Properties!A$1:CB$87,Formula!F107,26)),IF(INDEX(Properties!A$1:CB$87,Formula!H107,26)&lt;&gt;"",INDEX(Properties!A$1:CB$87,Formula!H107,26)),IF(INDEX(Properties!A$1:CB$87,Formula!J107,26)&lt;&gt;"",INDEX(Properties!A$1:CB$87,Formula!J107,26)))</f>
        <v>25.280541413599998</v>
      </c>
      <c r="CK107" s="39">
        <f>MAX(INDEX(Properties!A$1:CB$87,Formula!B107,26),INDEX(Properties!A$1:CB$87,Formula!D107,26),INDEX(Properties!A$1:CB$87,Formula!F107,26),INDEX(Properties!A$1:CB$87,Formula!H107,26),INDEX(Properties!A$1:CB$87,Formula!J107,26))</f>
        <v>13.6181</v>
      </c>
      <c r="CL107" s="39">
        <f>MIN(IF(INDEX(Properties!A$1:CB$87,Formula!B107,26)=0,10^6,INDEX(Properties!A$1:CB$87,Formula!B107,26)),IF(INDEX(Properties!A$1:CB$87,Formula!D107,26)=0,10^6,INDEX(Properties!A$1:CB$87,Formula!D107,26)),IF(INDEX(Properties!A$1:CB$87,Formula!F107,26)=0,10^6,INDEX(Properties!A$1:CB$87,Formula!F107,26)),IF(INDEX(Properties!A$1:CB$87,Formula!H107,26)=0,10^6,INDEX(Properties!A$1:CB$87,Formula!H107,26)),IF(INDEX(Properties!A$1:CB$87,Formula!J107,26)=0,10^6,INDEX(Properties!A$1:CB$87,Formula!J107,26)))</f>
        <v>5.9992999999999999</v>
      </c>
      <c r="CM107" s="39">
        <f t="shared" si="46"/>
        <v>7.6188000000000002</v>
      </c>
      <c r="CN107" s="54">
        <f>((Formula!C107)/(Formula!C107+Formula!E107+Formula!G107+Formula!I107+Formula!K107))*(INDEX(Properties!A$1:CB$87,Formula!B107,30))+((Formula!E107)/(Formula!C107+Formula!E107+Formula!G107+Formula!I107+Formula!K107))*(INDEX(Properties!A$1:CB$87,Formula!D107,30))+((Formula!G107)/(Formula!C107+Formula!E107+Formula!G107+Formula!I107+Formula!K107))*(INDEX(Properties!A$1:CB$87,Formula!F107,30))+((Formula!I107)/(Formula!C107+Formula!E107+Formula!G107+Formula!I107+Formula!K107))*(INDEX(Properties!A$1:CB$87,Formula!H107,30))+((Formula!K107)/(Formula!C107+Formula!E107+Formula!G107+Formula!I107+Formula!K107))*(INDEX(Properties!A$1:CB$87,Formula!J107,30))</f>
        <v>2.6257142857142854</v>
      </c>
      <c r="CO107" s="54">
        <f>Formula!C107*(INDEX(Properties!A$1:CB$87,Formula!B107,30))+Formula!E107*(INDEX(Properties!A$1:CB$87,Formula!D107,30))+Formula!G107*(INDEX(Properties!A$1:CB$87,Formula!F107,30))+Formula!I107*(INDEX(Properties!A$1:CB$87,Formula!H107,30))+Formula!K107*(INDEX(Properties!A$1:CB$87,Formula!J107,30))</f>
        <v>18.38</v>
      </c>
      <c r="CP107" s="54">
        <f>VARP(IF(INDEX(Properties!A$1:CB$87,Formula!B107,30)&lt;&gt;"",INDEX(Properties!A$1:CB$87,Formula!B107,30)),IF(INDEX(Properties!A$1:CB$87,Formula!D107,30)&lt;&gt;"",INDEX(Properties!A$1:CB$87,Formula!D107,30)),IF(INDEX(Properties!A$1:CB$87,Formula!F107,30)&lt;&gt;"",INDEX(Properties!A$1:CB$87,Formula!F107,30)),IF(INDEX(Properties!A$1:CB$87,Formula!H107,30)&lt;&gt;"",INDEX(Properties!A$1:CB$87,Formula!H107,30)),IF(INDEX(Properties!A$1:CB$87,Formula!J107,30)&lt;&gt;"",INDEX(Properties!A$1:CB$87,Formula!J107,30)))</f>
        <v>1.6594399999999996</v>
      </c>
      <c r="CQ107" s="54">
        <f>MAX(INDEX(Properties!A$1:CB$87,Formula!B107,30),INDEX(Properties!A$1:CB$87,Formula!D107,30),INDEX(Properties!A$1:CB$87,Formula!F107,30),INDEX(Properties!A$1:CB$87,Formula!H107,30),INDEX(Properties!A$1:CB$87,Formula!J107,30))</f>
        <v>3.44</v>
      </c>
      <c r="CR107" s="54">
        <f>MIN(IF(INDEX(Properties!A$1:CB$87,Formula!B107,30)=0,10^6,INDEX(Properties!A$1:CB$87,Formula!B107,30)),IF(INDEX(Properties!A$1:CB$87,Formula!D107,30)=0,10^6,INDEX(Properties!A$1:CB$87,Formula!D107,30)),IF(INDEX(Properties!A$1:CB$87,Formula!F107,30)=0,10^6,INDEX(Properties!A$1:CB$87,Formula!F107,30)),IF(INDEX(Properties!A$1:CB$87,Formula!H107,30)=0,10^6,INDEX(Properties!A$1:CB$87,Formula!H107,30)),IF(INDEX(Properties!A$1:CB$87,Formula!J107,30)=0,10^6,INDEX(Properties!A$1:CB$87,Formula!J107,30)))</f>
        <v>1</v>
      </c>
      <c r="CS107" s="54">
        <f t="shared" si="47"/>
        <v>2.44</v>
      </c>
      <c r="CT107" s="69">
        <f>((Formula!C107)/(Formula!C107+Formula!E107+Formula!G107+Formula!I107+Formula!K107))*(INDEX(Properties!A$1:CB$87,Formula!B107,31))+((Formula!E107)/(Formula!C107+Formula!E107+Formula!G107+Formula!I107+Formula!K107))*(INDEX(Properties!A$1:CB$87,Formula!D107,31))+((Formula!G107)/(Formula!C107+Formula!E107+Formula!G107+Formula!I107+Formula!K107))*(INDEX(Properties!A$1:CB$87,Formula!F107,31))+((Formula!I107)/(Formula!C107+Formula!E107+Formula!G107+Formula!I107+Formula!K107))*(INDEX(Properties!A$1:CB$87,Formula!H107,31))+((Formula!K107)/(Formula!C107+Formula!E107+Formula!G107+Formula!I107+Formula!K107))*(INDEX(Properties!A$1:CB$87,Formula!J107,31))</f>
        <v>2.5499999999999998</v>
      </c>
      <c r="CU107" s="69">
        <f>Formula!C107*(INDEX(Properties!A$1:CB$87,Formula!B107,31))+Formula!E107*(INDEX(Properties!A$1:CB$87,Formula!D107,31))+Formula!G107*(INDEX(Properties!A$1:CB$87,Formula!F107,31))+Formula!I107*(INDEX(Properties!A$1:CB$87,Formula!H107,31))+Formula!K107*(INDEX(Properties!A$1:CB$87,Formula!J107,31))</f>
        <v>17.850000000000001</v>
      </c>
      <c r="CV107" s="69">
        <f>VARP(IF(INDEX(Properties!A$1:CB$87,Formula!B107,31)&lt;&gt;"",INDEX(Properties!A$1:CB$87,Formula!B107,31)),IF(INDEX(Properties!A$1:CB$87,Formula!D107,31)&lt;&gt;"",INDEX(Properties!A$1:CB$87,Formula!D107,31)),IF(INDEX(Properties!A$1:CB$87,Formula!F107,31)&lt;&gt;"",INDEX(Properties!A$1:CB$87,Formula!F107,31)),IF(INDEX(Properties!A$1:CB$87,Formula!H107,31)&lt;&gt;"",INDEX(Properties!A$1:CB$87,Formula!H107,31)),IF(INDEX(Properties!A$1:CB$87,Formula!J107,31)&lt;&gt;"",INDEX(Properties!A$1:CB$87,Formula!J107,31)))</f>
        <v>1.5236160000000001</v>
      </c>
      <c r="CW107" s="69">
        <f>MAX(INDEX(Properties!A$1:CB$87,Formula!B107,31),INDEX(Properties!A$1:CB$87,Formula!D107,31),INDEX(Properties!A$1:CB$87,Formula!F107,31),INDEX(Properties!A$1:CB$87,Formula!H107,31),INDEX(Properties!A$1:CB$87,Formula!J107,31))</f>
        <v>3.32</v>
      </c>
      <c r="CX107" s="69">
        <f>MIN(IF(INDEX(Properties!A$1:CB$87,Formula!B107,31)=0,10^6,INDEX(Properties!A$1:CB$87,Formula!B107,31)),IF(INDEX(Properties!A$1:CB$87,Formula!D107,31)=0,10^6,INDEX(Properties!A$1:CB$87,Formula!D107,31)),IF(INDEX(Properties!A$1:CB$87,Formula!F107,31)=0,10^6,INDEX(Properties!A$1:CB$87,Formula!F107,31)),IF(INDEX(Properties!A$1:CB$87,Formula!H107,31)=0,10^6,INDEX(Properties!A$1:CB$87,Formula!H107,31)),IF(INDEX(Properties!A$1:CB$87,Formula!J107,31)=0,10^6,INDEX(Properties!A$1:CB$87,Formula!J107,31)))</f>
        <v>1.17</v>
      </c>
      <c r="CY107" s="69">
        <f t="shared" si="48"/>
        <v>2.15</v>
      </c>
      <c r="CZ107" s="42">
        <f>((Formula!C107)/(Formula!C107+Formula!E107+Formula!G107+Formula!I107+Formula!K107))*(INDEX(Properties!A$1:CB$87,Formula!B107,32))+((Formula!E107)/(Formula!C107+Formula!E107+Formula!G107+Formula!I107+Formula!K107))*(INDEX(Properties!A$1:CB$87,Formula!D107,32))+((Formula!G107)/(Formula!C107+Formula!E107+Formula!G107+Formula!I107+Formula!K107))*(INDEX(Properties!A$1:CB$87,Formula!F107,32))+((Formula!I107)/(Formula!C107+Formula!E107+Formula!G107+Formula!I107+Formula!K107))*(INDEX(Properties!A$1:CB$87,Formula!H107,32))+((Formula!K107)/(Formula!C107+Formula!E107+Formula!G107+Formula!I107+Formula!K107))*(INDEX(Properties!A$1:CB$87,Formula!J107,32))</f>
        <v>5.5371428571428574</v>
      </c>
      <c r="DA107" s="42">
        <f>Formula!C107*(INDEX(Properties!A$1:CB$87,Formula!B107,32))+Formula!E107*(INDEX(Properties!A$1:CB$87,Formula!D107,32))+Formula!G107*(INDEX(Properties!A$1:CB$87,Formula!F107,32))+Formula!I107*(INDEX(Properties!A$1:CB$87,Formula!H107,32))+Formula!K107*(INDEX(Properties!A$1:CB$87,Formula!J107,32))</f>
        <v>38.760000000000005</v>
      </c>
      <c r="DB107" s="42">
        <f>VARP(IF(INDEX(Properties!A$1:CB$87,Formula!B107,32)&lt;&gt;"",INDEX(Properties!A$1:CB$87,Formula!B107,32)),IF(INDEX(Properties!A$1:CB$87,Formula!D107,32)&lt;&gt;"",INDEX(Properties!A$1:CB$87,Formula!D107,32)),IF(INDEX(Properties!A$1:CB$87,Formula!F107,32)&lt;&gt;"",INDEX(Properties!A$1:CB$87,Formula!F107,32)),IF(INDEX(Properties!A$1:CB$87,Formula!H107,32)&lt;&gt;"",INDEX(Properties!A$1:CB$87,Formula!H107,32)),IF(INDEX(Properties!A$1:CB$87,Formula!J107,32)&lt;&gt;"",INDEX(Properties!A$1:CB$87,Formula!J107,32)))</f>
        <v>7.6885759999999994</v>
      </c>
      <c r="DC107" s="42">
        <f>MAX(INDEX(Properties!A$1:CB$87,Formula!B107,32),INDEX(Properties!A$1:CB$87,Formula!D107,32),INDEX(Properties!A$1:CB$87,Formula!F107,32),INDEX(Properties!A$1:CB$87,Formula!H107,32),INDEX(Properties!A$1:CB$87,Formula!J107,32))</f>
        <v>7.54</v>
      </c>
      <c r="DD107" s="42">
        <f>MIN(IF(INDEX(Properties!A$1:CB$87,Formula!B107,32)=0,10^6,INDEX(Properties!A$1:CB$87,Formula!B107,32)),IF(INDEX(Properties!A$1:CB$87,Formula!D107,32)=0,10^6,INDEX(Properties!A$1:CB$87,Formula!D107,32)),IF(INDEX(Properties!A$1:CB$87,Formula!F107,32)=0,10^6,INDEX(Properties!A$1:CB$87,Formula!F107,32)),IF(INDEX(Properties!A$1:CB$87,Formula!H107,32)=0,10^6,INDEX(Properties!A$1:CB$87,Formula!H107,32)),IF(INDEX(Properties!A$1:CB$87,Formula!J107,32)=0,10^6,INDEX(Properties!A$1:CB$87,Formula!J107,32)))</f>
        <v>2.2000000000000002</v>
      </c>
      <c r="DE107" s="42">
        <f t="shared" si="49"/>
        <v>5.34</v>
      </c>
      <c r="DF107" s="60">
        <f>((Formula!C107)/(Formula!C107+Formula!E107+Formula!G107+Formula!I107+Formula!K107))*(INDEX(Properties!A$1:CB$87,Formula!B107,34))+((Formula!E107)/(Formula!C107+Formula!E107+Formula!G107+Formula!I107+Formula!K107))*(INDEX(Properties!A$1:CB$87,Formula!D107,34))+((Formula!G107)/(Formula!C107+Formula!E107+Formula!G107+Formula!I107+Formula!K107))*(INDEX(Properties!A$1:CB$87,Formula!F107,34))+((Formula!I107)/(Formula!C107+Formula!E107+Formula!G107+Formula!I107+Formula!K107))*(INDEX(Properties!A$1:CB$87,Formula!H107,34))+((Formula!K107)/(Formula!C107+Formula!E107+Formula!G107+Formula!I107+Formula!K107))*(INDEX(Properties!A$1:CB$87,Formula!J107,34))</f>
        <v>2.7122857142857142</v>
      </c>
      <c r="DG107" s="60">
        <f>Formula!C107*(INDEX(Properties!A$1:CB$87,Formula!B107,34))+Formula!E107*(INDEX(Properties!A$1:CB$87,Formula!D107,34))+Formula!G107*(INDEX(Properties!A$1:CB$87,Formula!F107,34))+Formula!I107*(INDEX(Properties!A$1:CB$87,Formula!H107,34))+Formula!K107*(INDEX(Properties!A$1:CB$87,Formula!J107,34))</f>
        <v>18.986000000000001</v>
      </c>
      <c r="DH107" s="60">
        <f>VARP(IF(INDEX(Properties!A$1:CB$87,Formula!B107,34)&lt;&gt;"",INDEX(Properties!A$1:CB$87,Formula!B107,34)),IF(INDEX(Properties!A$1:CB$87,Formula!D107,34)&lt;&gt;"",INDEX(Properties!A$1:CB$87,Formula!D107,34)),IF(INDEX(Properties!A$1:CB$87,Formula!F107,34)&lt;&gt;"",INDEX(Properties!A$1:CB$87,Formula!F107,34)),IF(INDEX(Properties!A$1:CB$87,Formula!H107,34)&lt;&gt;"",INDEX(Properties!A$1:CB$87,Formula!H107,34)),IF(INDEX(Properties!A$1:CB$87,Formula!J107,34)&lt;&gt;"",INDEX(Properties!A$1:CB$87,Formula!J107,34)))</f>
        <v>1.7985584000000001</v>
      </c>
      <c r="DI107" s="60">
        <f>MAX(INDEX(Properties!A$1:CB$87,Formula!B107,34),INDEX(Properties!A$1:CB$87,Formula!D107,34),INDEX(Properties!A$1:CB$87,Formula!F107,34),INDEX(Properties!A$1:CB$87,Formula!H107,34),INDEX(Properties!A$1:CB$87,Formula!J107,34))</f>
        <v>3.61</v>
      </c>
      <c r="DJ107" s="60">
        <f>MIN(IF(INDEX(Properties!A$1:CB$87,Formula!B107,34)=0,10^6,INDEX(Properties!A$1:CB$87,Formula!B107,34)),IF(INDEX(Properties!A$1:CB$87,Formula!D107,34)=0,10^6,INDEX(Properties!A$1:CB$87,Formula!D107,34)),IF(INDEX(Properties!A$1:CB$87,Formula!F107,34)=0,10^6,INDEX(Properties!A$1:CB$87,Formula!F107,34)),IF(INDEX(Properties!A$1:CB$87,Formula!H107,34)=0,10^6,INDEX(Properties!A$1:CB$87,Formula!H107,34)),IF(INDEX(Properties!A$1:CB$87,Formula!J107,34)=0,10^6,INDEX(Properties!A$1:CB$87,Formula!J107,34)))</f>
        <v>1.034</v>
      </c>
      <c r="DK107" s="60">
        <f t="shared" si="50"/>
        <v>2.5759999999999996</v>
      </c>
      <c r="DL107" s="45">
        <f>((Formula!C107)/(Formula!C107+Formula!E107+Formula!G107+Formula!I107+Formula!K107))*(INDEX(Properties!A$1:CB$87,Formula!B107,39))+((Formula!E107)/(Formula!C107+Formula!E107+Formula!G107+Formula!I107+Formula!K107))*(INDEX(Properties!A$1:CB$87,Formula!D107,39))+((Formula!G107)/(Formula!C107+Formula!E107+Formula!G107+Formula!I107+Formula!K107))*(INDEX(Properties!A$1:CB$87,Formula!F107,39))+((Formula!I107)/(Formula!C107+Formula!E107+Formula!G107+Formula!I107+Formula!K107))*(INDEX(Properties!A$1:CB$87,Formula!H107,39))+((Formula!K107)/(Formula!C107+Formula!E107+Formula!G107+Formula!I107+Formula!K107))*(INDEX(Properties!A$1:CB$87,Formula!J107,39))</f>
        <v>0.94</v>
      </c>
      <c r="DM107" s="45">
        <f>Formula!C107*(INDEX(Properties!A$1:CB$87,Formula!B107,39))+Formula!E107*(INDEX(Properties!A$1:CB$87,Formula!D107,39))+Formula!G107*(INDEX(Properties!A$1:CB$87,Formula!F107,39))+Formula!I107*(INDEX(Properties!A$1:CB$87,Formula!H107,39))+Formula!K107*(INDEX(Properties!A$1:CB$87,Formula!J107,39))</f>
        <v>6.58</v>
      </c>
      <c r="DN107" s="45">
        <f>VARP(IF(INDEX(Properties!A$1:CB$87,Formula!B107,39)&lt;&gt;"",INDEX(Properties!A$1:CB$87,Formula!B107,39)),IF(INDEX(Properties!A$1:CB$87,Formula!D107,39)&lt;&gt;"",INDEX(Properties!A$1:CB$87,Formula!D107,39)),IF(INDEX(Properties!A$1:CB$87,Formula!F107,39)&lt;&gt;"",INDEX(Properties!A$1:CB$87,Formula!F107,39)),IF(INDEX(Properties!A$1:CB$87,Formula!H107,39)&lt;&gt;"",INDEX(Properties!A$1:CB$87,Formula!H107,39)),IF(INDEX(Properties!A$1:CB$87,Formula!J107,39)&lt;&gt;"",INDEX(Properties!A$1:CB$87,Formula!J107,39)))</f>
        <v>0.59718400000000016</v>
      </c>
      <c r="DO107" s="45">
        <f>MAX(INDEX(Properties!A$1:CB$87,Formula!B107,39),INDEX(Properties!A$1:CB$87,Formula!D107,39),INDEX(Properties!A$1:CB$87,Formula!F107,39),INDEX(Properties!A$1:CB$87,Formula!H107,39),INDEX(Properties!A$1:CB$87,Formula!J107,39))</f>
        <v>1.94</v>
      </c>
      <c r="DP107" s="45">
        <f>MIN(IF(INDEX(Properties!A$1:CB$87,Formula!B107,39)=0,10^6,INDEX(Properties!A$1:CB$87,Formula!B107,39)),IF(INDEX(Properties!A$1:CB$87,Formula!D107,39)=0,10^6,INDEX(Properties!A$1:CB$87,Formula!D107,39)),IF(INDEX(Properties!A$1:CB$87,Formula!F107,39)=0,10^6,INDEX(Properties!A$1:CB$87,Formula!F107,39)),IF(INDEX(Properties!A$1:CB$87,Formula!H107,39)=0,10^6,INDEX(Properties!A$1:CB$87,Formula!H107,39)),IF(INDEX(Properties!A$1:CB$87,Formula!J107,39)=0,10^6,INDEX(Properties!A$1:CB$87,Formula!J107,39)))</f>
        <v>0.48</v>
      </c>
      <c r="DQ107" s="45">
        <f t="shared" si="51"/>
        <v>1.46</v>
      </c>
      <c r="DR107" s="63">
        <f>((Formula!C107)/(Formula!C107+Formula!E107+Formula!G107+Formula!I107+Formula!K107))*(INDEX(Properties!A$1:CB$87,Formula!B107,40))+((Formula!E107)/(Formula!C107+Formula!E107+Formula!G107+Formula!I107+Formula!K107))*(INDEX(Properties!A$1:CB$87,Formula!D107,40))+((Formula!G107)/(Formula!C107+Formula!E107+Formula!G107+Formula!I107+Formula!K107))*(INDEX(Properties!A$1:CB$87,Formula!F107,40))+((Formula!I107)/(Formula!C107+Formula!E107+Formula!G107+Formula!I107+Formula!K107))*(INDEX(Properties!A$1:CB$87,Formula!H107,40))+((Formula!K107)/(Formula!C107+Formula!E107+Formula!G107+Formula!I107+Formula!K107))*(INDEX(Properties!A$1:CB$87,Formula!J107,40))</f>
        <v>1.0257142857142856</v>
      </c>
      <c r="DS107" s="63">
        <f>Formula!C107*(INDEX(Properties!A$1:CB$87,Formula!B107,40))+Formula!E107*(INDEX(Properties!A$1:CB$87,Formula!D107,40))+Formula!G107*(INDEX(Properties!A$1:CB$87,Formula!F107,40))+Formula!I107*(INDEX(Properties!A$1:CB$87,Formula!H107,40))+Formula!K107*(INDEX(Properties!A$1:CB$87,Formula!J107,40))</f>
        <v>7.18</v>
      </c>
      <c r="DT107" s="63">
        <f>VARP(IF(INDEX(Properties!A$1:CB$87,Formula!B107,40)&lt;&gt;"",INDEX(Properties!A$1:CB$87,Formula!B107,40)),IF(INDEX(Properties!A$1:CB$87,Formula!D107,40)&lt;&gt;"",INDEX(Properties!A$1:CB$87,Formula!D107,40)),IF(INDEX(Properties!A$1:CB$87,Formula!F107,40)&lt;&gt;"",INDEX(Properties!A$1:CB$87,Formula!F107,40)),IF(INDEX(Properties!A$1:CB$87,Formula!H107,40)&lt;&gt;"",INDEX(Properties!A$1:CB$87,Formula!H107,40)),IF(INDEX(Properties!A$1:CB$87,Formula!J107,40)&lt;&gt;"",INDEX(Properties!A$1:CB$87,Formula!J107,40)))</f>
        <v>0.47310399999999986</v>
      </c>
      <c r="DU107" s="63">
        <f>MAX(INDEX(Properties!A$1:CB$87,Formula!B107,40),INDEX(Properties!A$1:CB$87,Formula!D107,40),INDEX(Properties!A$1:CB$87,Formula!F107,40),INDEX(Properties!A$1:CB$87,Formula!H107,40),INDEX(Properties!A$1:CB$87,Formula!J107,40))</f>
        <v>1.74</v>
      </c>
      <c r="DV107" s="63">
        <f>MIN(IF(INDEX(Properties!A$1:CB$87,Formula!B107,40)=0,10^6,INDEX(Properties!A$1:CB$87,Formula!B107,40)),IF(INDEX(Properties!A$1:CB$87,Formula!D107,40)=0,10^6,INDEX(Properties!A$1:CB$87,Formula!D107,40)),IF(INDEX(Properties!A$1:CB$87,Formula!F107,40)=0,10^6,INDEX(Properties!A$1:CB$87,Formula!F107,40)),IF(INDEX(Properties!A$1:CB$87,Formula!H107,40)=0,10^6,INDEX(Properties!A$1:CB$87,Formula!H107,40)),IF(INDEX(Properties!A$1:CB$87,Formula!J107,40)=0,10^6,INDEX(Properties!A$1:CB$87,Formula!J107,40)))</f>
        <v>0.73</v>
      </c>
      <c r="DW107" s="63">
        <f t="shared" si="52"/>
        <v>1.01</v>
      </c>
      <c r="DX107" s="75">
        <f>((Formula!C107)/(Formula!C107+Formula!E107+Formula!G107+Formula!I107+Formula!K107))*(INDEX(Properties!A$1:CB$87,Formula!B107,41))+((Formula!E107)/(Formula!C107+Formula!E107+Formula!G107+Formula!I107+Formula!K107))*(INDEX(Properties!A$1:CB$87,Formula!D107,41))+((Formula!G107)/(Formula!C107+Formula!E107+Formula!G107+Formula!I107+Formula!K107))*(INDEX(Properties!A$1:CB$87,Formula!F107,41))+((Formula!I107)/(Formula!C107+Formula!E107+Formula!G107+Formula!I107+Formula!K107))*(INDEX(Properties!A$1:CB$87,Formula!H107,41))+((Formula!K107)/(Formula!C107+Formula!E107+Formula!G107+Formula!I107+Formula!K107))*(INDEX(Properties!A$1:CB$87,Formula!J107,41))</f>
        <v>1.1000000000000001</v>
      </c>
      <c r="DY107" s="75">
        <f>Formula!C107*(INDEX(Properties!A$1:CB$87,Formula!B107,41))+Formula!E107*(INDEX(Properties!A$1:CB$87,Formula!D107,41))+Formula!G107*(INDEX(Properties!A$1:CB$87,Formula!F107,41))+Formula!I107*(INDEX(Properties!A$1:CB$87,Formula!H107,41))+Formula!K107*(INDEX(Properties!A$1:CB$87,Formula!J107,41))</f>
        <v>7.7</v>
      </c>
      <c r="DZ107" s="75">
        <f>VARP(IF(INDEX(Properties!A$1:CB$87,Formula!B107,41)&lt;&gt;"",INDEX(Properties!A$1:CB$87,Formula!B107,41)),IF(INDEX(Properties!A$1:CB$87,Formula!D107,41)&lt;&gt;"",INDEX(Properties!A$1:CB$87,Formula!D107,41)),IF(INDEX(Properties!A$1:CB$87,Formula!F107,41)&lt;&gt;"",INDEX(Properties!A$1:CB$87,Formula!F107,41)),IF(INDEX(Properties!A$1:CB$87,Formula!H107,41)&lt;&gt;"",INDEX(Properties!A$1:CB$87,Formula!H107,41)),IF(INDEX(Properties!A$1:CB$87,Formula!J107,41)&lt;&gt;"",INDEX(Properties!A$1:CB$87,Formula!J107,41)))</f>
        <v>0.29353599999999985</v>
      </c>
      <c r="EA107" s="75">
        <f>MAX(INDEX(Properties!A$1:CB$87,Formula!B107,41),INDEX(Properties!A$1:CB$87,Formula!D107,41),INDEX(Properties!A$1:CB$87,Formula!F107,41),INDEX(Properties!A$1:CB$87,Formula!H107,41),INDEX(Properties!A$1:CB$87,Formula!J107,41))</f>
        <v>1.26</v>
      </c>
      <c r="EB107" s="75">
        <f>MIN(IF(INDEX(Properties!A$1:CB$87,Formula!B107,41)=0,10^6,INDEX(Properties!A$1:CB$87,Formula!B107,41)),IF(INDEX(Properties!A$1:CB$87,Formula!D107,41)=0,10^6,INDEX(Properties!A$1:CB$87,Formula!D107,41)),IF(INDEX(Properties!A$1:CB$87,Formula!F107,41)=0,10^6,INDEX(Properties!A$1:CB$87,Formula!F107,41)),IF(INDEX(Properties!A$1:CB$87,Formula!H107,41)=0,10^6,INDEX(Properties!A$1:CB$87,Formula!H107,41)),IF(INDEX(Properties!A$1:CB$87,Formula!J107,41)=0,10^6,INDEX(Properties!A$1:CB$87,Formula!J107,41)))</f>
        <v>0.76</v>
      </c>
      <c r="EC107" s="75">
        <f t="shared" si="53"/>
        <v>0.5</v>
      </c>
      <c r="ED107" s="48">
        <f>((Formula!C107)/(Formula!C107+Formula!E107+Formula!G107+Formula!I107+Formula!K107))*(INDEX(Properties!A$1:CB$87,Formula!B107,45))+((Formula!E107)/(Formula!C107+Formula!E107+Formula!G107+Formula!I107+Formula!K107))*(INDEX(Properties!A$1:CB$87,Formula!D107,45))+((Formula!G107)/(Formula!C107+Formula!E107+Formula!G107+Formula!I107+Formula!K107))*(INDEX(Properties!A$1:CB$87,Formula!F107,45))+((Formula!I107)/(Formula!C107+Formula!E107+Formula!G107+Formula!I107+Formula!K107))*(INDEX(Properties!A$1:CB$87,Formula!H107,45))+((Formula!K107)/(Formula!C107+Formula!E107+Formula!G107+Formula!I107+Formula!K107))*(INDEX(Properties!A$1:CB$87,Formula!J107,45))</f>
        <v>1.1828571428571426</v>
      </c>
      <c r="EE107" s="48">
        <f>Formula!C107*(INDEX(Properties!A$1:CB$87,Formula!B107,45))+Formula!E107*(INDEX(Properties!A$1:CB$87,Formula!D107,45))+Formula!G107*(INDEX(Properties!A$1:CB$87,Formula!F107,45))+Formula!I107*(INDEX(Properties!A$1:CB$87,Formula!H107,45))+Formula!K107*(INDEX(Properties!A$1:CB$87,Formula!J107,45))</f>
        <v>8.2800000000000011</v>
      </c>
      <c r="EF107" s="48">
        <f>VARP(IF(INDEX(Properties!A$1:CB$87,Formula!B107,45)&lt;&gt;"",INDEX(Properties!A$1:CB$87,Formula!B107,45)),IF(INDEX(Properties!A$1:CB$87,Formula!D107,45)&lt;&gt;"",INDEX(Properties!A$1:CB$87,Formula!D107,45)),IF(INDEX(Properties!A$1:CB$87,Formula!F107,45)&lt;&gt;"",INDEX(Properties!A$1:CB$87,Formula!F107,45)),IF(INDEX(Properties!A$1:CB$87,Formula!H107,45)&lt;&gt;"",INDEX(Properties!A$1:CB$87,Formula!H107,45)),IF(INDEX(Properties!A$1:CB$87,Formula!J107,45)&lt;&gt;"",INDEX(Properties!A$1:CB$87,Formula!J107,45)))</f>
        <v>1.3530240000000004</v>
      </c>
      <c r="EG107" s="48">
        <f>MAX(INDEX(Properties!A$1:CB$87,Formula!B107,45),INDEX(Properties!A$1:CB$87,Formula!D107,45),INDEX(Properties!A$1:CB$87,Formula!F107,45),INDEX(Properties!A$1:CB$87,Formula!H107,45),INDEX(Properties!A$1:CB$87,Formula!J107,45))</f>
        <v>3</v>
      </c>
      <c r="EH107" s="48">
        <f>MIN(IF(INDEX(Properties!A$1:CB$87,Formula!B107,45)=0,10^6,INDEX(Properties!A$1:CB$87,Formula!B107,45)),IF(INDEX(Properties!A$1:CB$87,Formula!D107,45)=0,10^6,INDEX(Properties!A$1:CB$87,Formula!D107,45)),IF(INDEX(Properties!A$1:CB$87,Formula!F107,45)=0,10^6,INDEX(Properties!A$1:CB$87,Formula!F107,45)),IF(INDEX(Properties!A$1:CB$87,Formula!H107,45)=0,10^6,INDEX(Properties!A$1:CB$87,Formula!H107,45)),IF(INDEX(Properties!A$1:CB$87,Formula!J107,45)=0,10^6,INDEX(Properties!A$1:CB$87,Formula!J107,45)))</f>
        <v>0.47</v>
      </c>
      <c r="EI107" s="48">
        <f t="shared" si="54"/>
        <v>2.5300000000000002</v>
      </c>
      <c r="EJ107" s="66">
        <f>((Formula!C107)/(Formula!C107+Formula!E107+Formula!G107+Formula!I107+Formula!K107))*(INDEX(Properties!A$1:CB$87,Formula!B107,46))+((Formula!E107)/(Formula!C107+Formula!E107+Formula!G107+Formula!I107+Formula!K107))*(INDEX(Properties!A$1:CB$87,Formula!D107,46))+((Formula!G107)/(Formula!C107+Formula!E107+Formula!G107+Formula!I107+Formula!K107))*(INDEX(Properties!A$1:CB$87,Formula!F107,46))+((Formula!I107)/(Formula!C107+Formula!E107+Formula!G107+Formula!I107+Formula!K107))*(INDEX(Properties!A$1:CB$87,Formula!H107,46))+((Formula!K107)/(Formula!C107+Formula!E107+Formula!G107+Formula!I107+Formula!K107))*(INDEX(Properties!A$1:CB$87,Formula!J107,46))</f>
        <v>1.0714285714285714</v>
      </c>
      <c r="EK107" s="66">
        <f>Formula!C107*(INDEX(Properties!A$1:CB$87,Formula!B107,46))+Formula!E107*(INDEX(Properties!A$1:CB$87,Formula!D107,46))+Formula!G107*(INDEX(Properties!A$1:CB$87,Formula!F107,46))+Formula!I107*(INDEX(Properties!A$1:CB$87,Formula!H107,46))+Formula!K107*(INDEX(Properties!A$1:CB$87,Formula!J107,46))</f>
        <v>7.5</v>
      </c>
      <c r="EL107" s="66">
        <f>VARP(IF(INDEX(Properties!A$1:CB$87,Formula!B107,46)&lt;&gt;"",INDEX(Properties!A$1:CB$87,Formula!B107,46)),IF(INDEX(Properties!A$1:CB$87,Formula!D107,46)&lt;&gt;"",INDEX(Properties!A$1:CB$87,Formula!D107,46)),IF(INDEX(Properties!A$1:CB$87,Formula!F107,46)&lt;&gt;"",INDEX(Properties!A$1:CB$87,Formula!F107,46)),IF(INDEX(Properties!A$1:CB$87,Formula!H107,46)&lt;&gt;"",INDEX(Properties!A$1:CB$87,Formula!H107,46)),IF(INDEX(Properties!A$1:CB$87,Formula!J107,46)&lt;&gt;"",INDEX(Properties!A$1:CB$87,Formula!J107,46)))</f>
        <v>0.28137600000000001</v>
      </c>
      <c r="EM107" s="66">
        <f>MAX(INDEX(Properties!A$1:CB$87,Formula!B107,46),INDEX(Properties!A$1:CB$87,Formula!D107,46),INDEX(Properties!A$1:CB$87,Formula!F107,46),INDEX(Properties!A$1:CB$87,Formula!H107,46),INDEX(Properties!A$1:CB$87,Formula!J107,46))</f>
        <v>1.21</v>
      </c>
      <c r="EN107" s="66">
        <f>MIN(IF(INDEX(Properties!A$1:CB$87,Formula!B107,46)=0,10^6,INDEX(Properties!A$1:CB$87,Formula!B107,46)),IF(INDEX(Properties!A$1:CB$87,Formula!D107,46)=0,10^6,INDEX(Properties!A$1:CB$87,Formula!D107,46)),IF(INDEX(Properties!A$1:CB$87,Formula!F107,46)=0,10^6,INDEX(Properties!A$1:CB$87,Formula!F107,46)),IF(INDEX(Properties!A$1:CB$87,Formula!H107,46)=0,10^6,INDEX(Properties!A$1:CB$87,Formula!H107,46)),IF(INDEX(Properties!A$1:CB$87,Formula!J107,46)=0,10^6,INDEX(Properties!A$1:CB$87,Formula!J107,46)))</f>
        <v>0.76</v>
      </c>
      <c r="EO107" s="66">
        <f t="shared" si="55"/>
        <v>0.44999999999999996</v>
      </c>
      <c r="EP107" s="81">
        <f>((Formula!C107)/(Formula!C107+Formula!E107+Formula!G107+Formula!I107+Formula!K107))*(INDEX(Properties!A$1:CB$87,Formula!B107,52))+((Formula!E107)/(Formula!C107+Formula!E107+Formula!G107+Formula!I107+Formula!K107))*(INDEX(Properties!A$1:CB$87,Formula!D107,52))+((Formula!G107)/(Formula!C107+Formula!E107+Formula!G107+Formula!I107+Formula!K107))*(INDEX(Properties!A$1:CB$87,Formula!F107,52))+((Formula!I107)/(Formula!C107+Formula!E107+Formula!G107+Formula!I107+Formula!K107))*(INDEX(Properties!A$1:CB$87,Formula!H107,52))+((Formula!K107)/(Formula!C107+Formula!E107+Formula!G107+Formula!I107+Formula!K107))*(INDEX(Properties!A$1:CB$87,Formula!J107,52))</f>
        <v>6.024571428571428</v>
      </c>
      <c r="EQ107" s="81">
        <f>Formula!C107*(INDEX(Properties!A$1:CB$87,Formula!B107,52))+Formula!E107*(INDEX(Properties!A$1:CB$87,Formula!D107,52))+Formula!G107*(INDEX(Properties!A$1:CB$87,Formula!F107,52))+Formula!I107*(INDEX(Properties!A$1:CB$87,Formula!H107,52))+Formula!K107*(INDEX(Properties!A$1:CB$87,Formula!J107,52))</f>
        <v>42.171999999999997</v>
      </c>
      <c r="ER107" s="81">
        <f>VARP(IF(INDEX(Properties!A$1:CB$87,Formula!B107,52)&lt;&gt;"",INDEX(Properties!A$1:CB$87,Formula!B107,52)),IF(INDEX(Properties!A$1:CB$87,Formula!D107,52)&lt;&gt;"",INDEX(Properties!A$1:CB$87,Formula!D107,52)),IF(INDEX(Properties!A$1:CB$87,Formula!F107,52)&lt;&gt;"",INDEX(Properties!A$1:CB$87,Formula!F107,52)),IF(INDEX(Properties!A$1:CB$87,Formula!H107,52)&lt;&gt;"",INDEX(Properties!A$1:CB$87,Formula!H107,52)),IF(INDEX(Properties!A$1:CB$87,Formula!J107,52)&lt;&gt;"",INDEX(Properties!A$1:CB$87,Formula!J107,52)))</f>
        <v>77.037919840000001</v>
      </c>
      <c r="ES107" s="81">
        <f>MAX(INDEX(Properties!A$1:CB$87,Formula!B107,52),INDEX(Properties!A$1:CB$87,Formula!D107,52),INDEX(Properties!A$1:CB$87,Formula!F107,52),INDEX(Properties!A$1:CB$87,Formula!H107,52),INDEX(Properties!A$1:CB$87,Formula!J107,52))</f>
        <v>22.8</v>
      </c>
      <c r="ET107" s="81">
        <f>MIN(IF(INDEX(Properties!A$1:CB$87,Formula!B107,52)=0,10^6,INDEX(Properties!A$1:CB$87,Formula!B107,52)),IF(INDEX(Properties!A$1:CB$87,Formula!D107,52)=0,10^6,INDEX(Properties!A$1:CB$87,Formula!D107,52)),IF(INDEX(Properties!A$1:CB$87,Formula!F107,52)=0,10^6,INDEX(Properties!A$1:CB$87,Formula!F107,52)),IF(INDEX(Properties!A$1:CB$87,Formula!H107,52)=0,10^6,INDEX(Properties!A$1:CB$87,Formula!H107,52)),IF(INDEX(Properties!A$1:CB$87,Formula!J107,52)=0,10^6,INDEX(Properties!A$1:CB$87,Formula!J107,52)))</f>
        <v>0.79300000000000004</v>
      </c>
      <c r="EU107" s="81">
        <f t="shared" si="56"/>
        <v>22.007000000000001</v>
      </c>
      <c r="EV107" s="39">
        <f>((Formula!C107)/(Formula!C107+Formula!E107+Formula!G107+Formula!I107+Formula!K107))*(INDEX(Properties!A$1:CB$87,Formula!B107,53))+((Formula!E107)/(Formula!C107+Formula!E107+Formula!G107+Formula!I107+Formula!K107))*(INDEX(Properties!A$1:CB$87,Formula!D107,53))+((Formula!G107)/(Formula!C107+Formula!E107+Formula!G107+Formula!I107+Formula!K107))*(INDEX(Properties!A$1:CB$87,Formula!F107,53))+((Formula!I107)/(Formula!C107+Formula!E107+Formula!G107+Formula!I107+Formula!K107))*(INDEX(Properties!A$1:CB$87,Formula!H107,53))+((Formula!K107)/(Formula!C107+Formula!E107+Formula!G107+Formula!I107+Formula!K107))*(INDEX(Properties!A$1:CB$87,Formula!J107,53))</f>
        <v>276.72142857142853</v>
      </c>
      <c r="EW107" s="39">
        <f>Formula!C107*(INDEX(Properties!A$1:CB$87,Formula!B107,53))+Formula!E107*(INDEX(Properties!A$1:CB$87,Formula!D107,53))+Formula!G107*(INDEX(Properties!A$1:CB$87,Formula!F107,53))+Formula!I107*(INDEX(Properties!A$1:CB$87,Formula!H107,53))+Formula!K107*(INDEX(Properties!A$1:CB$87,Formula!J107,53))</f>
        <v>1937.0500000000002</v>
      </c>
      <c r="EX107" s="39">
        <f>VARP(IF(INDEX(Properties!A$1:CB$87,Formula!B107,53)&lt;&gt;"",INDEX(Properties!A$1:CB$87,Formula!B107,53)),IF(INDEX(Properties!A$1:CB$87,Formula!D107,53)&lt;&gt;"",INDEX(Properties!A$1:CB$87,Formula!D107,53)),IF(INDEX(Properties!A$1:CB$87,Formula!F107,53)&lt;&gt;"",INDEX(Properties!A$1:CB$87,Formula!F107,53)),IF(INDEX(Properties!A$1:CB$87,Formula!H107,53)&lt;&gt;"",INDEX(Properties!A$1:CB$87,Formula!H107,53)),IF(INDEX(Properties!A$1:CB$87,Formula!J107,53)&lt;&gt;"",INDEX(Properties!A$1:CB$87,Formula!J107,53)))</f>
        <v>179912.41660000003</v>
      </c>
      <c r="EY107" s="39">
        <f>MAX(INDEX(Properties!A$1:CB$87,Formula!B107,53),INDEX(Properties!A$1:CB$87,Formula!D107,53),INDEX(Properties!A$1:CB$87,Formula!F107,53),INDEX(Properties!A$1:CB$87,Formula!H107,53),INDEX(Properties!A$1:CB$87,Formula!J107,53))</f>
        <v>1112.1500000000001</v>
      </c>
      <c r="EZ107" s="39">
        <f>MIN(IF(INDEX(Properties!A$1:CB$87,Formula!B107,53)=0,10^6,INDEX(Properties!A$1:CB$87,Formula!B107,53)),IF(INDEX(Properties!A$1:CB$87,Formula!D107,53)=0,10^6,INDEX(Properties!A$1:CB$87,Formula!D107,53)),IF(INDEX(Properties!A$1:CB$87,Formula!F107,53)=0,10^6,INDEX(Properties!A$1:CB$87,Formula!F107,53)),IF(INDEX(Properties!A$1:CB$87,Formula!H107,53)=0,10^6,INDEX(Properties!A$1:CB$87,Formula!H107,53)),IF(INDEX(Properties!A$1:CB$87,Formula!J107,53)=0,10^6,INDEX(Properties!A$1:CB$87,Formula!J107,53)))</f>
        <v>54.749999999999972</v>
      </c>
      <c r="FA107" s="39">
        <f t="shared" si="57"/>
        <v>1057.4000000000001</v>
      </c>
      <c r="FB107" s="54">
        <f>((Formula!C107)/(Formula!C107+Formula!E107+Formula!G107+Formula!I107+Formula!K107))*(INDEX(Properties!A$1:CB$87,Formula!B107,54))+((Formula!E107)/(Formula!C107+Formula!E107+Formula!G107+Formula!I107+Formula!K107))*(INDEX(Properties!A$1:CB$87,Formula!D107,54))+((Formula!G107)/(Formula!C107+Formula!E107+Formula!G107+Formula!I107+Formula!K107))*(INDEX(Properties!A$1:CB$87,Formula!F107,54))+((Formula!I107)/(Formula!C107+Formula!E107+Formula!G107+Formula!I107+Formula!K107))*(INDEX(Properties!A$1:CB$87,Formula!H107,54))+((Formula!K107)/(Formula!C107+Formula!E107+Formula!G107+Formula!I107+Formula!K107))*(INDEX(Properties!A$1:CB$87,Formula!J107,54))</f>
        <v>1067.1499999999999</v>
      </c>
      <c r="FC107" s="54">
        <f>Formula!C107*(INDEX(Properties!A$1:CB$87,Formula!B107,54))+Formula!E107*(INDEX(Properties!A$1:CB$87,Formula!D107,54))+Formula!G107*(INDEX(Properties!A$1:CB$87,Formula!F107,54))+Formula!I107*(INDEX(Properties!A$1:CB$87,Formula!H107,54))+Formula!K107*(INDEX(Properties!A$1:CB$87,Formula!J107,54))</f>
        <v>7470.0500000000011</v>
      </c>
      <c r="FD107" s="54">
        <f>VARP(IF(INDEX(Properties!A$1:CB$87,Formula!B107,54)&lt;&gt;"",INDEX(Properties!A$1:CB$87,Formula!B107,54)),IF(INDEX(Properties!A$1:CB$87,Formula!D107,54)&lt;&gt;"",INDEX(Properties!A$1:CB$87,Formula!D107,54)),IF(INDEX(Properties!A$1:CB$87,Formula!F107,54)&lt;&gt;"",INDEX(Properties!A$1:CB$87,Formula!F107,54)),IF(INDEX(Properties!A$1:CB$87,Formula!H107,54)&lt;&gt;"",INDEX(Properties!A$1:CB$87,Formula!H107,54)),IF(INDEX(Properties!A$1:CB$87,Formula!J107,54)&lt;&gt;"",INDEX(Properties!A$1:CB$87,Formula!J107,54)))</f>
        <v>1233032.3974000001</v>
      </c>
      <c r="FE107" s="54">
        <f>MAX(INDEX(Properties!A$1:CB$87,Formula!B107,54),INDEX(Properties!A$1:CB$87,Formula!D107,54),INDEX(Properties!A$1:CB$87,Formula!F107,54),INDEX(Properties!A$1:CB$87,Formula!H107,54),INDEX(Properties!A$1:CB$87,Formula!J107,54))</f>
        <v>2676.15</v>
      </c>
      <c r="FF107" s="54">
        <f>MIN(IF(INDEX(Properties!A$1:CB$87,Formula!B107,54)=0,10^6,INDEX(Properties!A$1:CB$87,Formula!B107,54)),IF(INDEX(Properties!A$1:CB$87,Formula!D107,54)=0,10^6,INDEX(Properties!A$1:CB$87,Formula!D107,54)),IF(INDEX(Properties!A$1:CB$87,Formula!F107,54)=0,10^6,INDEX(Properties!A$1:CB$87,Formula!F107,54)),IF(INDEX(Properties!A$1:CB$87,Formula!H107,54)=0,10^6,INDEX(Properties!A$1:CB$87,Formula!H107,54)),IF(INDEX(Properties!A$1:CB$87,Formula!J107,54)=0,10^6,INDEX(Properties!A$1:CB$87,Formula!J107,54)))</f>
        <v>90.149999999999977</v>
      </c>
      <c r="FG107" s="54">
        <f t="shared" si="58"/>
        <v>2586</v>
      </c>
      <c r="FH107" s="69">
        <f>((Formula!C107)/(Formula!C107+Formula!E107+Formula!G107+Formula!I107+Formula!K107))*(INDEX(Properties!A$1:CB$87,Formula!B107,55))+((Formula!E107)/(Formula!C107+Formula!E107+Formula!G107+Formula!I107+Formula!K107))*(INDEX(Properties!A$1:CB$87,Formula!D107,55))+((Formula!G107)/(Formula!C107+Formula!E107+Formula!G107+Formula!I107+Formula!K107))*(INDEX(Properties!A$1:CB$87,Formula!F107,55))+((Formula!I107)/(Formula!C107+Formula!E107+Formula!G107+Formula!I107+Formula!K107))*(INDEX(Properties!A$1:CB$87,Formula!H107,55))+((Formula!K107)/(Formula!C107+Formula!E107+Formula!G107+Formula!I107+Formula!K107))*(INDEX(Properties!A$1:CB$87,Formula!J107,55))</f>
        <v>1.9079599999999999</v>
      </c>
      <c r="FI107" s="69">
        <f>Formula!C107*(INDEX(Properties!A$1:CB$87,Formula!B107,55))+Formula!E107*(INDEX(Properties!A$1:CB$87,Formula!D107,54))+Formula!G107*(INDEX(Properties!A$1:CB$87,Formula!F107,55))+Formula!I107*(INDEX(Properties!A$1:CB$87,Formula!H107,55))+Formula!K107*(INDEX(Properties!A$1:CB$87,Formula!J107,55))</f>
        <v>5353.8557200000005</v>
      </c>
      <c r="FJ107" s="69">
        <f>VARP(IF(INDEX(Properties!A$1:CB$87,Formula!B107,55)&lt;&gt;"",INDEX(Properties!A$1:CB$87,Formula!B107,55)),IF(INDEX(Properties!A$1:CB$87,Formula!D107,55)&lt;&gt;"",INDEX(Properties!A$1:CB$87,Formula!D107,55)),IF(INDEX(Properties!A$1:CB$87,Formula!F107,55)&lt;&gt;"",INDEX(Properties!A$1:CB$87,Formula!F107,55)),IF(INDEX(Properties!A$1:CB$87,Formula!H107,55)&lt;&gt;"",INDEX(Properties!A$1:CB$87,Formula!H107,55)),IF(INDEX(Properties!A$1:CB$87,Formula!J107,55)&lt;&gt;"",INDEX(Properties!A$1:CB$87,Formula!J107,55)))</f>
        <v>5.221548047184001</v>
      </c>
      <c r="FK107" s="69">
        <f>MAX(INDEX(Properties!A$1:CB$87,Formula!B107,55),INDEX(Properties!A$1:CB$87,Formula!D107,55),INDEX(Properties!A$1:CB$87,Formula!F107,55),INDEX(Properties!A$1:CB$87,Formula!H107,55),INDEX(Properties!A$1:CB$87,Formula!J107,55))</f>
        <v>5.9</v>
      </c>
      <c r="FL107" s="69">
        <f>MIN(IF(INDEX(Properties!A$1:CB$87,Formula!B107,55)=0,10^6,INDEX(Properties!A$1:CB$87,Formula!B107,55)),IF(INDEX(Properties!A$1:CB$87,Formula!D107,55)=0,10^6,INDEX(Properties!A$1:CB$87,Formula!D107,55)),IF(INDEX(Properties!A$1:CB$87,Formula!F107,55)=0,10^6,INDEX(Properties!A$1:CB$87,Formula!F107,55)),IF(INDEX(Properties!A$1:CB$87,Formula!H107,55)=0,10^6,INDEX(Properties!A$1:CB$87,Formula!H107,55)),IF(INDEX(Properties!A$1:CB$87,Formula!J107,55)=0,10^6,INDEX(Properties!A$1:CB$87,Formula!J107,55)))</f>
        <v>1.4300000000000001E-3</v>
      </c>
      <c r="FM107" s="69">
        <f t="shared" si="59"/>
        <v>5.8985700000000003</v>
      </c>
      <c r="FN107" s="42">
        <f>((Formula!C107)/(Formula!C107+Formula!E107+Formula!G107+Formula!I107+Formula!K107))*(INDEX(Properties!A$1:CB$87,Formula!B107,56))+((Formula!E107)/(Formula!C107+Formula!E107+Formula!G107+Formula!I107+Formula!K107))*(INDEX(Properties!A$1:CB$87,Formula!D107,56))+((Formula!G107)/(Formula!C107+Formula!E107+Formula!G107+Formula!I107+Formula!K107))*(INDEX(Properties!A$1:CB$87,Formula!F107,56))+((Formula!I107)/(Formula!C107+Formula!E107+Formula!G107+Formula!I107+Formula!K107))*(INDEX(Properties!A$1:CB$87,Formula!H107,56))+((Formula!K107)/(Formula!C107+Formula!E107+Formula!G107+Formula!I107+Formula!K107))*(INDEX(Properties!A$1:CB$87,Formula!J107,56))</f>
        <v>0.72142857142857142</v>
      </c>
      <c r="FO107" s="42">
        <f>Formula!C107*(INDEX(Properties!A$1:CB$87,Formula!B107,56))+Formula!E107*(INDEX(Properties!A$1:CB$87,Formula!D107,56))+Formula!G107*(INDEX(Properties!A$1:CB$87,Formula!F107,56))+Formula!I107*(INDEX(Properties!A$1:CB$87,Formula!H107,56))+Formula!K107*(INDEX(Properties!A$1:CB$87,Formula!J107,56))</f>
        <v>5.0500000000000007</v>
      </c>
      <c r="FP107" s="42">
        <f>VARP(IF(INDEX(Properties!A$1:CB$87,Formula!B107,56)&lt;&gt;"",INDEX(Properties!A$1:CB$87,Formula!B107,56)),IF(INDEX(Properties!A$1:CB$87,Formula!D107,56)&lt;&gt;"",INDEX(Properties!A$1:CB$87,Formula!D107,56)),IF(INDEX(Properties!A$1:CB$87,Formula!F107,56)&lt;&gt;"",INDEX(Properties!A$1:CB$87,Formula!F107,56)),IF(INDEX(Properties!A$1:CB$87,Formula!H107,56)&lt;&gt;"",INDEX(Properties!A$1:CB$87,Formula!H107,56)),IF(INDEX(Properties!A$1:CB$87,Formula!J107,56)&lt;&gt;"",INDEX(Properties!A$1:CB$87,Formula!J107,56)))</f>
        <v>0.12858400000000003</v>
      </c>
      <c r="FQ107" s="42">
        <f>MAX(INDEX(Properties!A$1:CB$87,Formula!B107,56),INDEX(Properties!A$1:CB$87,Formula!D107,56),INDEX(Properties!A$1:CB$87,Formula!F107,56),INDEX(Properties!A$1:CB$87,Formula!H107,56),INDEX(Properties!A$1:CB$87,Formula!J107,56))</f>
        <v>0.92</v>
      </c>
      <c r="FR107" s="42">
        <f>MIN(IF(INDEX(Properties!A$1:CB$87,Formula!B107,56)=0,10^6,INDEX(Properties!A$1:CB$87,Formula!B107,56)),IF(INDEX(Properties!A$1:CB$87,Formula!D107,56)=0,10^6,INDEX(Properties!A$1:CB$87,Formula!D107,56)),IF(INDEX(Properties!A$1:CB$87,Formula!F107,56)=0,10^6,INDEX(Properties!A$1:CB$87,Formula!F107,56)),IF(INDEX(Properties!A$1:CB$87,Formula!H107,56)=0,10^6,INDEX(Properties!A$1:CB$87,Formula!H107,56)),IF(INDEX(Properties!A$1:CB$87,Formula!J107,56)=0,10^6,INDEX(Properties!A$1:CB$87,Formula!J107,56)))</f>
        <v>0.37</v>
      </c>
      <c r="FS107" s="42">
        <f t="shared" si="60"/>
        <v>0.55000000000000004</v>
      </c>
      <c r="FT107" s="60">
        <f>((Formula!C107)/(Formula!C107+Formula!E107+Formula!G107+Formula!I107+Formula!K107))*(INDEX(Properties!A$1:CB$87,Formula!B107,57))+((Formula!E107)/(Formula!C107+Formula!E107+Formula!G107+Formula!I107+Formula!K107))*(INDEX(Properties!A$1:CB$87,Formula!D107,57))+((Formula!G107)/(Formula!C107+Formula!E107+Formula!G107+Formula!I107+Formula!K107))*(INDEX(Properties!A$1:CB$87,Formula!F107,57))+((Formula!I107)/(Formula!C107+Formula!E107+Formula!G107+Formula!I107+Formula!K107))*(INDEX(Properties!A$1:CB$87,Formula!H107,57))+((Formula!K107)/(Formula!C107+Formula!E107+Formula!G107+Formula!I107+Formula!K107))*(INDEX(Properties!A$1:CB$87,Formula!J107,57))</f>
        <v>2.9443371428571425</v>
      </c>
      <c r="FU107" s="60">
        <f>Formula!C107*(INDEX(Properties!A$1:CB$87,Formula!B107,57))+Formula!E107*(INDEX(Properties!A$1:CB$87,Formula!D107,57))+Formula!G107*(INDEX(Properties!A$1:CB$87,Formula!F107,57))+Formula!I107*(INDEX(Properties!A$1:CB$87,Formula!H107,57))+Formula!K107*(INDEX(Properties!A$1:CB$87,Formula!J107,57))</f>
        <v>20.61036</v>
      </c>
      <c r="FV107" s="60">
        <f>VARP(IF(INDEX(Properties!A$1:CB$87,Formula!B107,57)&lt;&gt;"",INDEX(Properties!A$1:CB$87,Formula!B107,57)),IF(INDEX(Properties!A$1:CB$87,Formula!D107,57)&lt;&gt;"",INDEX(Properties!A$1:CB$87,Formula!D107,57)),IF(INDEX(Properties!A$1:CB$87,Formula!F107,57)&lt;&gt;"",INDEX(Properties!A$1:CB$87,Formula!F107,57)),IF(INDEX(Properties!A$1:CB$87,Formula!H107,57)&lt;&gt;"",INDEX(Properties!A$1:CB$87,Formula!H107,57)),IF(INDEX(Properties!A$1:CB$87,Formula!J107,57)&lt;&gt;"",INDEX(Properties!A$1:CB$87,Formula!J107,57)))</f>
        <v>12.605975673295998</v>
      </c>
      <c r="FW107" s="60">
        <f>MAX(INDEX(Properties!A$1:CB$87,Formula!B107,57),INDEX(Properties!A$1:CB$87,Formula!D107,57),INDEX(Properties!A$1:CB$87,Formula!F107,57),INDEX(Properties!A$1:CB$87,Formula!H107,57),INDEX(Properties!A$1:CB$87,Formula!J107,57))</f>
        <v>8.5399999999999991</v>
      </c>
      <c r="FX107" s="60">
        <f>MIN(IF(INDEX(Properties!A$1:CB$87,Formula!B107,57)=0,10^6,INDEX(Properties!A$1:CB$87,Formula!B107,57)),IF(INDEX(Properties!A$1:CB$87,Formula!D107,57)=0,10^6,INDEX(Properties!A$1:CB$87,Formula!D107,57)),IF(INDEX(Properties!A$1:CB$87,Formula!F107,57)=0,10^6,INDEX(Properties!A$1:CB$87,Formula!F107,57)),IF(INDEX(Properties!A$1:CB$87,Formula!H107,57)=0,10^6,INDEX(Properties!A$1:CB$87,Formula!H107,57)),IF(INDEX(Properties!A$1:CB$87,Formula!J107,57)=0,10^6,INDEX(Properties!A$1:CB$87,Formula!J107,57)))</f>
        <v>0.22259000000000001</v>
      </c>
      <c r="FY107" s="60">
        <f t="shared" si="61"/>
        <v>8.3174099999999989</v>
      </c>
      <c r="FZ107" s="72">
        <f>((Formula!C107)/(Formula!C107+Formula!E107+Formula!G107+Formula!I107+Formula!K107))*(INDEX(Properties!A$1:CB$87,Formula!B107,60))+((Formula!E107)/(Formula!C107+Formula!E107+Formula!G107+Formula!I107+Formula!K107))*(INDEX(Properties!A$1:CB$87,Formula!D107,60))+((Formula!G107)/(Formula!C107+Formula!E107+Formula!G107+Formula!I107+Formula!K107))*(INDEX(Properties!A$1:CB$87,Formula!F107,60))+((Formula!I107)/(Formula!C107+Formula!E107+Formula!G107+Formula!I107+Formula!K107))*(INDEX(Properties!A$1:CB$87,Formula!H107,60))+((Formula!K107)/(Formula!C107+Formula!E107+Formula!G107+Formula!I107+Formula!K107))*(INDEX(Properties!A$1:CB$87,Formula!J107,60))</f>
        <v>40.186708571428568</v>
      </c>
      <c r="GA107" s="72">
        <f>Formula!C107*(INDEX(Properties!A$1:CB$87,Formula!B107,60))+Formula!E107*(INDEX(Properties!A$1:CB$87,Formula!D107,60))+Formula!G107*(INDEX(Properties!A$1:CB$87,Formula!F107,60))+Formula!I107*(INDEX(Properties!A$1:CB$87,Formula!H107,60))+Formula!K107*(INDEX(Properties!A$1:CB$87,Formula!J107,60))</f>
        <v>281.30696</v>
      </c>
      <c r="GB107" s="72">
        <f>VARP(IF(INDEX(Properties!A$1:CB$87,Formula!B107,60)&lt;&gt;"",INDEX(Properties!A$1:CB$87,Formula!B107,60)),IF(INDEX(Properties!A$1:CB$87,Formula!D107,60)&lt;&gt;"",INDEX(Properties!A$1:CB$87,Formula!D107,60)),IF(INDEX(Properties!A$1:CB$87,Formula!F107,60)&lt;&gt;"",INDEX(Properties!A$1:CB$87,Formula!F107,60)),IF(INDEX(Properties!A$1:CB$87,Formula!H107,60)&lt;&gt;"",INDEX(Properties!A$1:CB$87,Formula!H107,60)),IF(INDEX(Properties!A$1:CB$87,Formula!J107,60)&lt;&gt;"",INDEX(Properties!A$1:CB$87,Formula!J107,60)))</f>
        <v>6013.623022884417</v>
      </c>
      <c r="GC107" s="72">
        <f>MAX(INDEX(Properties!A$1:CB$87,Formula!B107,60),INDEX(Properties!A$1:CB$87,Formula!D107,60),INDEX(Properties!A$1:CB$87,Formula!F107,60),INDEX(Properties!A$1:CB$87,Formula!H107,60),INDEX(Properties!A$1:CB$87,Formula!J107,60))</f>
        <v>200</v>
      </c>
      <c r="GD107" s="72">
        <f>MIN(IF(INDEX(Properties!A$1:CB$87,Formula!B107,60)=0,10^6,INDEX(Properties!A$1:CB$87,Formula!B107,60)),IF(INDEX(Properties!A$1:CB$87,Formula!D107,60)=0,10^6,INDEX(Properties!A$1:CB$87,Formula!D107,60)),IF(INDEX(Properties!A$1:CB$87,Formula!F107,60)=0,10^6,INDEX(Properties!A$1:CB$87,Formula!F107,60)),IF(INDEX(Properties!A$1:CB$87,Formula!H107,60)=0,10^6,INDEX(Properties!A$1:CB$87,Formula!H107,60)),IF(INDEX(Properties!A$1:CB$87,Formula!J107,60)=0,10^6,INDEX(Properties!A$1:CB$87,Formula!J107,60)))</f>
        <v>2.674E-2</v>
      </c>
      <c r="GE107" s="72">
        <f t="shared" si="62"/>
        <v>199.97326000000001</v>
      </c>
      <c r="GF107" s="51">
        <f>((Formula!C107)/(Formula!C107+Formula!E107+Formula!G107+Formula!I107+Formula!K107))*(INDEX(Properties!A$1:CB$87,Formula!B107,62))+((Formula!E107)/(Formula!C107+Formula!E107+Formula!G107+Formula!I107+Formula!K107))*(INDEX(Properties!A$1:CB$87,Formula!D107,62))+((Formula!G107)/(Formula!C107+Formula!E107+Formula!G107+Formula!I107+Formula!K107))*(INDEX(Properties!A$1:CB$87,Formula!F107,62))+((Formula!I107)/(Formula!C107+Formula!E107+Formula!G107+Formula!I107+Formula!K107))*(INDEX(Properties!A$1:CB$87,Formula!H107,62))+((Formula!K107)/(Formula!C107+Formula!E107+Formula!G107+Formula!I107+Formula!K107))*(INDEX(Properties!A$1:CB$87,Formula!J107,62))</f>
        <v>2.5628571428571427</v>
      </c>
      <c r="GG107" s="51">
        <f>Formula!C107*(INDEX(Properties!A$1:CB$87,Formula!B107,62))+Formula!E107*(INDEX(Properties!A$1:CB$87,Formula!D107,62))+Formula!G107*(INDEX(Properties!A$1:CB$87,Formula!F107,62))+Formula!I107*(INDEX(Properties!A$1:CB$87,Formula!H107,62))+Formula!K107*(INDEX(Properties!A$1:CB$87,Formula!J107,62))</f>
        <v>17.940000000000001</v>
      </c>
      <c r="GH107" s="51">
        <f>VARP(IF(INDEX(Properties!A$1:CB$87,Formula!B107,62)&lt;&gt;"",INDEX(Properties!A$1:CB$87,Formula!B107,62)),IF(INDEX(Properties!A$1:CB$87,Formula!D107,62)&lt;&gt;"",INDEX(Properties!A$1:CB$87,Formula!D107,62)),IF(INDEX(Properties!A$1:CB$87,Formula!F107,62)&lt;&gt;"",INDEX(Properties!A$1:CB$87,Formula!F107,62)),IF(INDEX(Properties!A$1:CB$87,Formula!H107,62)&lt;&gt;"",INDEX(Properties!A$1:CB$87,Formula!H107,62)),IF(INDEX(Properties!A$1:CB$87,Formula!J107,62)&lt;&gt;"",INDEX(Properties!A$1:CB$87,Formula!J107,62)))</f>
        <v>1.515104</v>
      </c>
      <c r="GI107" s="51">
        <f>MAX(INDEX(Properties!A$1:CB$87,Formula!B107,62),INDEX(Properties!A$1:CB$87,Formula!D107,62),INDEX(Properties!A$1:CB$87,Formula!F107,62),INDEX(Properties!A$1:CB$87,Formula!H107,62),INDEX(Properties!A$1:CB$87,Formula!J107,62))</f>
        <v>2.81</v>
      </c>
      <c r="GJ107" s="51">
        <f>MIN(IF(INDEX(Properties!A$1:CB$87,Formula!B107,62)=0,10^6,INDEX(Properties!A$1:CB$87,Formula!B107,62)),IF(INDEX(Properties!A$1:CB$87,Formula!D107,62)=0,10^6,INDEX(Properties!A$1:CB$87,Formula!D107,62)),IF(INDEX(Properties!A$1:CB$87,Formula!F107,62)=0,10^6,INDEX(Properties!A$1:CB$87,Formula!F107,62)),IF(INDEX(Properties!A$1:CB$87,Formula!H107,62)=0,10^6,INDEX(Properties!A$1:CB$87,Formula!H107,62)),IF(INDEX(Properties!A$1:CB$87,Formula!J107,62)=0,10^6,INDEX(Properties!A$1:CB$87,Formula!J107,62)))</f>
        <v>1.84</v>
      </c>
      <c r="GK107" s="51">
        <f t="shared" si="63"/>
        <v>0.97</v>
      </c>
      <c r="GL107" s="51">
        <f>Formula!P107</f>
        <v>33</v>
      </c>
      <c r="GM107" s="57">
        <f>Formula!O107</f>
        <v>3</v>
      </c>
      <c r="GN107" s="51">
        <f>Formula!N107</f>
        <v>0.04</v>
      </c>
    </row>
    <row r="108" spans="1:196" x14ac:dyDescent="0.3">
      <c r="A108" s="84" t="str">
        <f>Formula!A108</f>
        <v>Y2Gd2O3</v>
      </c>
      <c r="B108" s="89">
        <f>((Formula!C108)/(Formula!C108+Formula!E108+Formula!G108+Formula!I108+Formula!K108))*(INDEX(Properties!A$1:CB$87,Formula!B108,3))+((Formula!E108)/(Formula!C108+Formula!E108+Formula!G108+Formula!I108+Formula!K108))*(INDEX(Properties!A$1:CB$87,Formula!D108,3))+((Formula!G108)/(Formula!C108+Formula!E108+Formula!G108+Formula!I108+Formula!K108))*(INDEX(Properties!A$1:CB$87,Formula!F108,3))+((Formula!I108)/(Formula!C108+Formula!E108+Formula!G108+Formula!I108+Formula!K108))*(INDEX(Properties!A$1:CB$87,Formula!H108,3))+((Formula!K108)/(Formula!C108+Formula!E108+Formula!G108+Formula!I108+Formula!K108))*(INDEX(Properties!A$1:CB$87,Formula!J108,3))</f>
        <v>77.187125714285699</v>
      </c>
      <c r="C108" s="85">
        <f>Formula!C108*(INDEX(Properties!A$1:CB$87,Formula!B108,3))+Formula!E108*(INDEX(Properties!A$1:CB$87,Formula!D108,3))+Formula!G108*(INDEX(Properties!A$1:CB$87,Formula!F108,3))+Formula!I108*(INDEX(Properties!A$1:CB$87,Formula!H108,3))+Formula!K108*(INDEX(Properties!A$1:CB$87,Formula!J108,3))</f>
        <v>540.30988000000002</v>
      </c>
      <c r="D108" s="85">
        <f>VARP(IF(INDEX(Properties!A$1:CB$87,Formula!B108,3)&lt;&gt;"",INDEX(Properties!A$1:CB$87,Formula!B108,3)),IF(INDEX(Properties!A$1:CB$87,Formula!D108,3)&lt;&gt;"",INDEX(Properties!A$1:CB$87,Formula!D108,3)),IF(INDEX(Properties!A$1:CB$87,Formula!F108,3)&lt;&gt;"",INDEX(Properties!A$1:CB$87,Formula!F108,3)),IF(INDEX(Properties!A$1:CB$87,Formula!H108,3)&lt;&gt;"",INDEX(Properties!A$1:CB$87,Formula!H108,3)),IF(INDEX(Properties!A$1:CB$87,Formula!J108,3)&lt;&gt;"",INDEX(Properties!A$1:CB$87,Formula!J108,3)))</f>
        <v>3828.5435429148165</v>
      </c>
      <c r="E108" s="85">
        <f>MAX(INDEX(Properties!A$1:CB$87,Formula!B108,3),INDEX(Properties!A$1:CB$87,Formula!D108,3),INDEX(Properties!A$1:CB$87,Formula!F108,3),INDEX(Properties!A$1:CB$87,Formula!H108,3),INDEX(Properties!A$1:CB$87,Formula!J108,3))</f>
        <v>157.25</v>
      </c>
      <c r="F108" s="85">
        <f>MIN(IF(INDEX(Properties!A$1:CB$87,Formula!B108,3)=0,10^6,INDEX(Properties!A$1:CB$87,Formula!B108,3)),IF(INDEX(Properties!A$1:CB$87,Formula!D108,3)=0,10^6,INDEX(Properties!A$1:CB$87,Formula!D108,3)),IF(INDEX(Properties!A$1:CB$87,Formula!F108,3)=0,10^6,INDEX(Properties!A$1:CB$87,Formula!F108,3)),IF(INDEX(Properties!A$1:CB$87,Formula!H108,3)=0,10^6,INDEX(Properties!A$1:CB$87,Formula!H108,3)),IF(INDEX(Properties!A$1:CB$87,Formula!J108,3)=0,10^6,INDEX(Properties!A$1:CB$87,Formula!J108,3)))</f>
        <v>15.9994</v>
      </c>
      <c r="G108" s="85">
        <f t="shared" si="32"/>
        <v>141.25059999999999</v>
      </c>
      <c r="H108" s="87">
        <f>((Formula!C108)/(Formula!C108+Formula!E108+Formula!G108+Formula!I108+Formula!K108))*(INDEX(Properties!A$1:CB$87,Formula!B108,4))+((Formula!E108)/(Formula!C108+Formula!E108+Formula!G108+Formula!I108+Formula!K108))*(INDEX(Properties!A$1:CB$87,Formula!D108,4))+((Formula!G108)/(Formula!C108+Formula!E108+Formula!G108+Formula!I108+Formula!K108))*(INDEX(Properties!A$1:CB$87,Formula!F108,4))+((Formula!I108)/(Formula!C108+Formula!E108+Formula!G108+Formula!I108+Formula!K108))*(INDEX(Properties!A$1:CB$87,Formula!H108,4))+((Formula!K108)/(Formula!C108+Formula!E108+Formula!G108+Formula!I108+Formula!K108))*(INDEX(Properties!A$1:CB$87,Formula!J108,4))</f>
        <v>32.857142857142854</v>
      </c>
      <c r="I108" s="87">
        <f>Formula!C108*(INDEX(Properties!A$1:CB$87,Formula!B108,4))+Formula!E108*(INDEX(Properties!A$1:CB$87,Formula!D108,4))+Formula!G108*(INDEX(Properties!A$1:CB$87,Formula!F108,4))+Formula!I108*(INDEX(Properties!A$1:CB$87,Formula!H108,4))+Formula!K108*(INDEX(Properties!A$1:CB$87,Formula!J108,4))</f>
        <v>230</v>
      </c>
      <c r="J108" s="87">
        <f>VARP(IF(INDEX(Properties!A$1:CB$87,Formula!B108,4)&lt;&gt;"",INDEX(Properties!A$1:CB$87,Formula!B108,4)),IF(INDEX(Properties!A$1:CB$87,Formula!D108,4)&lt;&gt;"",INDEX(Properties!A$1:CB$87,Formula!D108,4)),IF(INDEX(Properties!A$1:CB$87,Formula!F108,4)&lt;&gt;"",INDEX(Properties!A$1:CB$87,Formula!F108,4)),IF(INDEX(Properties!A$1:CB$87,Formula!H108,4)&lt;&gt;"",INDEX(Properties!A$1:CB$87,Formula!H108,4)),IF(INDEX(Properties!A$1:CB$87,Formula!J108,4)&lt;&gt;"",INDEX(Properties!A$1:CB$87,Formula!J108,4)))</f>
        <v>643.36</v>
      </c>
      <c r="K108" s="87">
        <f>MAX(INDEX(Properties!A$1:CB$87,Formula!B108,4),INDEX(Properties!A$1:CB$87,Formula!D108,4),INDEX(Properties!A$1:CB$87,Formula!F108,4),INDEX(Properties!A$1:CB$87,Formula!H108,4),INDEX(Properties!A$1:CB$87,Formula!J108,4))</f>
        <v>64</v>
      </c>
      <c r="L108" s="87">
        <f>MIN(IF(INDEX(Properties!A$1:CB$87,Formula!B108,4)=0,10^6,INDEX(Properties!A$1:CB$87,Formula!B108,4)),IF(INDEX(Properties!A$1:CB$87,Formula!D108,4)=0,10^6,INDEX(Properties!A$1:CB$87,Formula!D108,4)),IF(INDEX(Properties!A$1:CB$87,Formula!F108,4)=0,10^6,INDEX(Properties!A$1:CB$87,Formula!F108,4)),IF(INDEX(Properties!A$1:CB$87,Formula!H108,4)=0,10^6,INDEX(Properties!A$1:CB$87,Formula!H108,4)),IF(INDEX(Properties!A$1:CB$87,Formula!J108,4)=0,10^6,INDEX(Properties!A$1:CB$87,Formula!J108,4)))</f>
        <v>8</v>
      </c>
      <c r="M108" s="87">
        <f t="shared" si="33"/>
        <v>56</v>
      </c>
      <c r="N108" s="89">
        <f>((Formula!C108)/(Formula!C108+Formula!E108+Formula!G108+Formula!I108+Formula!K108))*(INDEX(Properties!A$1:CB$87,Formula!B108,5))+((Formula!E108)/(Formula!C108+Formula!E108+Formula!G108+Formula!I108+Formula!K108))*(INDEX(Properties!A$1:CB$87,Formula!D108,5))+((Formula!G108)/(Formula!C108+Formula!E108+Formula!G108+Formula!I108+Formula!K108))*(INDEX(Properties!A$1:CB$87,Formula!F108,5))+((Formula!I108)/(Formula!C108+Formula!E108+Formula!G108+Formula!I108+Formula!K108))*(INDEX(Properties!A$1:CB$87,Formula!H108,5))+((Formula!K108)/(Formula!C108+Formula!E108+Formula!G108+Formula!I108+Formula!K108))*(INDEX(Properties!A$1:CB$87,Formula!J108,5))</f>
        <v>3.9999999999999996</v>
      </c>
      <c r="O108" s="89">
        <f>Formula!C108*(INDEX(Properties!A$1:CB$87,Formula!B108,5))+Formula!E108*(INDEX(Properties!A$1:CB$87,Formula!D108,5))+Formula!G108*(INDEX(Properties!A$1:CB$87,Formula!F108,5))+Formula!I108*(INDEX(Properties!A$1:CB$87,Formula!H108,5))+Formula!K108*(INDEX(Properties!A$1:CB$87,Formula!J108,5))</f>
        <v>28</v>
      </c>
      <c r="P108" s="89">
        <f>VARP(IF(INDEX(Properties!A$1:CB$87,Formula!B108,5)&lt;&gt;"",INDEX(Properties!A$1:CB$87,Formula!B108,5)),IF(INDEX(Properties!A$1:CB$87,Formula!D108,5)&lt;&gt;"",INDEX(Properties!A$1:CB$87,Formula!D108,5)),IF(INDEX(Properties!A$1:CB$87,Formula!F108,5)&lt;&gt;"",INDEX(Properties!A$1:CB$87,Formula!F108,5)),IF(INDEX(Properties!A$1:CB$87,Formula!H108,5)&lt;&gt;"",INDEX(Properties!A$1:CB$87,Formula!H108,5)),IF(INDEX(Properties!A$1:CB$87,Formula!J108,5)&lt;&gt;"",INDEX(Properties!A$1:CB$87,Formula!J108,5)))</f>
        <v>6.24</v>
      </c>
      <c r="Q108" s="89">
        <f>MAX(INDEX(Properties!A$1:CB$87,Formula!B108,5),INDEX(Properties!A$1:CB$87,Formula!D108,5),INDEX(Properties!A$1:CB$87,Formula!F108,5),INDEX(Properties!A$1:CB$87,Formula!H108,5),INDEX(Properties!A$1:CB$87,Formula!J108,5))</f>
        <v>6</v>
      </c>
      <c r="R108" s="89">
        <f>MIN(IF(INDEX(Properties!A$1:CB$87,Formula!B108,5)=0,10^6,INDEX(Properties!A$1:CB$87,Formula!B108,5)),IF(INDEX(Properties!A$1:CB$87,Formula!D108,5)=0,10^6,INDEX(Properties!A$1:CB$87,Formula!D108,5)),IF(INDEX(Properties!A$1:CB$87,Formula!F108,5)=0,10^6,INDEX(Properties!A$1:CB$87,Formula!F108,5)),IF(INDEX(Properties!A$1:CB$87,Formula!H108,5)=0,10^6,INDEX(Properties!A$1:CB$87,Formula!H108,5)),IF(INDEX(Properties!A$1:CB$87,Formula!J108,5)=0,10^6,INDEX(Properties!A$1:CB$87,Formula!J108,5)))</f>
        <v>2</v>
      </c>
      <c r="S108" s="89">
        <f t="shared" si="34"/>
        <v>4</v>
      </c>
      <c r="T108" s="60">
        <f>((Formula!C108)/(Formula!C108+Formula!E108+Formula!G108+Formula!I108+Formula!K108))*(INDEX(Properties!A$1:CB$87,Formula!B108,6))+((Formula!E108)/(Formula!C108+Formula!E108+Formula!G108+Formula!I108+Formula!K108))*(INDEX(Properties!A$1:CB$87,Formula!D108,6))+((Formula!G108)/(Formula!C108+Formula!E108+Formula!G108+Formula!I108+Formula!K108))*(INDEX(Properties!A$1:CB$87,Formula!F108,6))+((Formula!I108)/(Formula!C108+Formula!E108+Formula!G108+Formula!I108+Formula!K108))*(INDEX(Properties!A$1:CB$87,Formula!H108,6))+((Formula!K108)/(Formula!C108+Formula!E108+Formula!G108+Formula!I108+Formula!K108))*(INDEX(Properties!A$1:CB$87,Formula!J108,6))</f>
        <v>8.5714285714285712</v>
      </c>
      <c r="U108" s="60">
        <f>Formula!C108*(INDEX(Properties!A$1:CB$87,Formula!B108,6))+Formula!E108*(INDEX(Properties!A$1:CB$87,Formula!D108,6))+Formula!G108*(INDEX(Properties!A$1:CB$87,Formula!F108,6))+Formula!I108*(INDEX(Properties!A$1:CB$87,Formula!H108,6))+Formula!K108*(INDEX(Properties!A$1:CB$87,Formula!J108,6))</f>
        <v>60</v>
      </c>
      <c r="V108" s="89">
        <f>VARP(IF(INDEX(Properties!A$1:CB$87,Formula!B108,6)&lt;&gt;"",INDEX(Properties!A$1:CB$87,Formula!B108,6)),IF(INDEX(Properties!A$1:CB$87,Formula!D108,6)&lt;&gt;"",INDEX(Properties!A$1:CB$87,Formula!D108,6)),IF(INDEX(Properties!A$1:CB$87,Formula!F108,6)&lt;&gt;"",INDEX(Properties!A$1:CB$87,Formula!F108,6)),IF(INDEX(Properties!A$1:CB$87,Formula!H108,6)&lt;&gt;"",INDEX(Properties!A$1:CB$87,Formula!H108,6)),IF(INDEX(Properties!A$1:CB$87,Formula!J108,6)&lt;&gt;"",INDEX(Properties!A$1:CB$87,Formula!J108,6)))</f>
        <v>35.44</v>
      </c>
      <c r="W108" s="60">
        <f>MAX(INDEX(Properties!A$1:CB$87,Formula!B108,6),INDEX(Properties!A$1:CB$87,Formula!D108,6),INDEX(Properties!A$1:CB$87,Formula!F108,6),INDEX(Properties!A$1:CB$87,Formula!H108,4),INDEX(Properties!A$1:CB$87,Formula!J108,6))</f>
        <v>16</v>
      </c>
      <c r="X108" s="60">
        <f>MIN(IF(INDEX(Properties!A$1:CB$87,Formula!B108,6)=0,10^6,INDEX(Properties!A$1:CB$87,Formula!B108,6)),IF(INDEX(Properties!A$1:CB$87,Formula!D108,6)=0,10^6,INDEX(Properties!A$1:CB$87,Formula!D108,6)),IF(INDEX(Properties!A$1:CB$87,Formula!F108,6)=0,10^6,INDEX(Properties!A$1:CB$87,Formula!F108,6)),IF(INDEX(Properties!A$1:CB$87,Formula!H108,6)=0,10^6,INDEX(Properties!A$1:CB$87,Formula!H108,6)),IF(INDEX(Properties!A$1:CB$87,Formula!J108,6)=0,10^6,INDEX(Properties!A$1:CB$87,Formula!J108,6)))</f>
        <v>3</v>
      </c>
      <c r="Y108" s="60">
        <f t="shared" si="35"/>
        <v>13</v>
      </c>
      <c r="Z108" s="72">
        <f>((Formula!C108)/(Formula!C108+Formula!E108+Formula!G108+Formula!I108+Formula!K108))*(INDEX(Properties!A$1:CB$87,Formula!B108,9))+((Formula!E108)/(Formula!C108+Formula!E108+Formula!G108+Formula!I108+Formula!K108))*(INDEX(Properties!A$1:CB$87,Formula!D108,9))+((Formula!G108)/(Formula!C108+Formula!E108+Formula!G108+Formula!I108+Formula!K108))*(INDEX(Properties!A$1:CB$87,Formula!F108,9))+((Formula!I108)/(Formula!C108+Formula!E108+Formula!G108+Formula!I108+Formula!K108))*(INDEX(Properties!A$1:CB$87,Formula!H108,9))+((Formula!K108)/(Formula!C108+Formula!E108+Formula!G108+Formula!I108+Formula!K108))*(INDEX(Properties!A$1:CB$87,Formula!J108,9))</f>
        <v>48.428571428571431</v>
      </c>
      <c r="AA108" s="72">
        <f>Formula!C108*(INDEX(Properties!A$1:CB$87,Formula!B108,9))+Formula!E108*(INDEX(Properties!A$1:CB$87,Formula!D108,9))+Formula!G108*(INDEX(Properties!A$1:CB$87,Formula!F108,9))+Formula!I108*(INDEX(Properties!A$1:CB$87,Formula!H108,9))+Formula!K108*(INDEX(Properties!A$1:CB$87,Formula!J108,9))</f>
        <v>339</v>
      </c>
      <c r="AB108" s="72">
        <f>VARP(IF(INDEX(Properties!A$1:CB$87,Formula!B108,9)&lt;&gt;"",INDEX(Properties!A$1:CB$87,Formula!B108,9)),IF(INDEX(Properties!A$1:CB$87,Formula!D108,9)&lt;&gt;"",INDEX(Properties!A$1:CB$87,Formula!D108,9)),IF(INDEX(Properties!A$1:CB$87,Formula!F108,9)&lt;&gt;"",INDEX(Properties!A$1:CB$87,Formula!F108,9)),IF(INDEX(Properties!A$1:CB$87,Formula!H108,9)&lt;&gt;"",INDEX(Properties!A$1:CB$87,Formula!H108,9)),IF(INDEX(Properties!A$1:CB$87,Formula!J108,9)&lt;&gt;"",INDEX(Properties!A$1:CB$87,Formula!J108,9)))</f>
        <v>1053.3599999999999</v>
      </c>
      <c r="AC108" s="72">
        <f>MAX(INDEX(Properties!A$1:CB$87,Formula!B108,9),INDEX(Properties!A$1:CB$87,Formula!D108,9),INDEX(Properties!A$1:CB$87,Formula!F108,9),INDEX(Properties!A$1:CB$87,Formula!H108,9),INDEX(Properties!A$1:CB$87,Formula!J108,9))</f>
        <v>87</v>
      </c>
      <c r="AD108" s="72">
        <f>MIN(IF(INDEX(Properties!A$1:CB$87,Formula!B108,9)=0,10^6,INDEX(Properties!A$1:CB$87,Formula!B108,9)),IF(INDEX(Properties!A$1:CB$87,Formula!D108,9)=0,10^6,INDEX(Properties!A$1:CB$87,Formula!D108,9)),IF(INDEX(Properties!A$1:CB$87,Formula!F108,9)=0,10^6,INDEX(Properties!A$1:CB$87,Formula!F108,9)),IF(INDEX(Properties!A$1:CB$87,Formula!H108,9)=0,10^6,INDEX(Properties!A$1:CB$87,Formula!H108,9)),IF(INDEX(Properties!A$1:CB$87,Formula!J108,9)=0,10^6,INDEX(Properties!A$1:CB$87,Formula!J108,9)))</f>
        <v>12</v>
      </c>
      <c r="AE108" s="72">
        <f t="shared" si="36"/>
        <v>75</v>
      </c>
      <c r="AF108" s="51">
        <f>((Formula!C108)/(Formula!C108+Formula!E108+Formula!G108+Formula!I108+Formula!K108))*(INDEX(Properties!A$1:CB$87,Formula!B108,10))+((Formula!E108)/(Formula!C108+Formula!E108+Formula!G108+Formula!I108+Formula!K108))*(INDEX(Properties!A$1:CB$87,Formula!D108,10))+((Formula!G108)/(Formula!C108+Formula!E108+Formula!G108+Formula!I108+Formula!K108))*(INDEX(Properties!A$1:CB$87,Formula!F108,10))+((Formula!I108)/(Formula!C108+Formula!E108+Formula!G108+Formula!I108+Formula!K108))*(INDEX(Properties!A$1:CB$87,Formula!H108,10))+((Formula!K108)/(Formula!C108+Formula!E108+Formula!G108+Formula!I108+Formula!K108))*(INDEX(Properties!A$1:CB$87,Formula!J108,10))</f>
        <v>4.7142857142857144</v>
      </c>
      <c r="AG108" s="51">
        <f>Formula!C108*(INDEX(Properties!A$1:CB$87,Formula!B108,10))+Formula!E108*(INDEX(Properties!A$1:CB$87,Formula!D108,10))+Formula!G108*(INDEX(Properties!A$1:CB$87,Formula!F108,10))+Formula!I108*(INDEX(Properties!A$1:CB$87,Formula!H108,10))+Formula!K108*(INDEX(Properties!A$1:CB$87,Formula!J108,10))</f>
        <v>33</v>
      </c>
      <c r="AH108" s="51">
        <f>VARP(IF(INDEX(Properties!A$1:CB$87,Formula!B108,10)&lt;&gt;"",INDEX(Properties!A$1:CB$87,Formula!B108,10)),IF(INDEX(Properties!A$1:CB$87,Formula!D108,10)&lt;&gt;"",INDEX(Properties!A$1:CB$87,Formula!D108,10)),IF(INDEX(Properties!A$1:CB$87,Formula!F108,10)&lt;&gt;"",INDEX(Properties!A$1:CB$87,Formula!F108,10)),IF(INDEX(Properties!A$1:CB$87,Formula!H108,10)&lt;&gt;"",INDEX(Properties!A$1:CB$87,Formula!H108,10)),IF(INDEX(Properties!A$1:CB$87,Formula!J108,10)&lt;&gt;"",INDEX(Properties!A$1:CB$87,Formula!J108,10)))</f>
        <v>6.64</v>
      </c>
      <c r="AI108" s="51">
        <f>MAX(INDEX(Properties!A$1:CB$87,Formula!B108,10),INDEX(Properties!A$1:CB$87,Formula!D108,10),INDEX(Properties!A$1:CB$87,Formula!F108,10),INDEX(Properties!A$1:CB$87,Formula!H108,10),INDEX(Properties!A$1:CB$87,Formula!J108,10))</f>
        <v>7</v>
      </c>
      <c r="AJ108" s="51">
        <f>MIN(IF(INDEX(Properties!A$1:CB$87,Formula!B108,10)=0,10^6,INDEX(Properties!A$1:CB$87,Formula!B108,10)),IF(INDEX(Properties!A$1:CB$87,Formula!D108,10)=0,10^6,INDEX(Properties!A$1:CB$87,Formula!D108,10)),IF(INDEX(Properties!A$1:CB$87,Formula!F108,10)=0,10^6,INDEX(Properties!A$1:CB$87,Formula!F108,10)),IF(INDEX(Properties!A$1:CB$87,Formula!H108,10)=0,10^6,INDEX(Properties!A$1:CB$87,Formula!H108,10)),IF(INDEX(Properties!A$1:CB$87,Formula!J108,10)=0,10^6,INDEX(Properties!A$1:CB$87,Formula!J108,10)))</f>
        <v>3</v>
      </c>
      <c r="AK108" s="51">
        <f t="shared" si="37"/>
        <v>4</v>
      </c>
      <c r="AL108" s="57">
        <f>((Formula!C108)/(Formula!C108+Formula!E108+Formula!G108+Formula!I108+Formula!K108))*(INDEX(Properties!A$1:CB$87,Formula!B108,11))+((Formula!E108)/(Formula!C108+Formula!E108+Formula!G108+Formula!I108+Formula!K108))*(INDEX(Properties!A$1:CB$87,Formula!D108,11))+((Formula!G108)/(Formula!C108+Formula!E108+Formula!G108+Formula!I108+Formula!K108))*(INDEX(Properties!A$1:CB$87,Formula!F108,11))+((Formula!I108)/(Formula!C108+Formula!E108+Formula!G108+Formula!I108+Formula!K108))*(INDEX(Properties!A$1:CB$87,Formula!H108,11))+((Formula!K108)/(Formula!C108+Formula!E108+Formula!G108+Formula!I108+Formula!K108))*(INDEX(Properties!A$1:CB$87,Formula!J108,11))</f>
        <v>2</v>
      </c>
      <c r="AM108" s="57">
        <f>Formula!C108*(INDEX(Properties!A$1:CB$87,Formula!B108,11))+Formula!E108*(INDEX(Properties!A$1:CB$87,Formula!D108,11))+Formula!G108*(INDEX(Properties!A$1:CB$87,Formula!F108,11))+Formula!I108*(INDEX(Properties!A$1:CB$87,Formula!H108,11))+Formula!K108*(INDEX(Properties!A$1:CB$87,Formula!J108,11))</f>
        <v>14</v>
      </c>
      <c r="AN108" s="57">
        <f>VARP(IF(INDEX(Properties!A$1:CB$87,Formula!B108,11)&lt;&gt;"",INDEX(Properties!A$1:CB$87,Formula!B108,11)),IF(INDEX(Properties!A$1:CB$87,Formula!D108,11)&lt;&gt;"",INDEX(Properties!A$1:CB$87,Formula!D108,11)),IF(INDEX(Properties!A$1:CB$87,Formula!F108,11)&lt;&gt;"",INDEX(Properties!A$1:CB$87,Formula!F108,11)),IF(INDEX(Properties!A$1:CB$87,Formula!H108,11)&lt;&gt;"",INDEX(Properties!A$1:CB$87,Formula!H108,11)),IF(INDEX(Properties!A$1:CB$87,Formula!J108,11)&lt;&gt;"",INDEX(Properties!A$1:CB$87,Formula!J108,11)))</f>
        <v>0.96</v>
      </c>
      <c r="AO108" s="57">
        <f>MAX(INDEX(Properties!A$1:CB$87,Formula!B108,11),INDEX(Properties!A$1:CB$87,Formula!D108,11),INDEX(Properties!A$1:CB$87,Formula!F108,11),INDEX(Properties!A$1:CB$87,Formula!H108,11),INDEX(Properties!A$1:CB$87,Formula!J108,11))</f>
        <v>2</v>
      </c>
      <c r="AP108" s="57">
        <f>MIN(IF(Formula!B108=87,10^6,INDEX(Properties!A$1:CB$87,Formula!B108,11)),IF((Formula!D108)=87,10^6,INDEX(Properties!A$1:CB$87,Formula!D108,11)),IF((Formula!F108)=87,10^6,INDEX(Properties!A$1:CB$87,Formula!F108,11)),IF((Formula!H108)=87,10^6,INDEX(Properties!A$1:CB$87,Formula!H108,11)),IF(Formula!J108=87,10^6,INDEX(Properties!A$1:CB$87,Formula!J108,11)))</f>
        <v>2</v>
      </c>
      <c r="AQ108" s="57">
        <f t="shared" si="38"/>
        <v>0</v>
      </c>
      <c r="AR108" s="78">
        <f>((Formula!C108)/(Formula!C108+Formula!E108+Formula!G108+Formula!I108+Formula!K108))*(INDEX(Properties!A$1:CB$87,Formula!B108,12))+((Formula!E108)/(Formula!C108+Formula!E108+Formula!G108+Formula!I108+Formula!K108))*(INDEX(Properties!A$1:CB$87,Formula!D108,12))+((Formula!G108)/(Formula!C108+Formula!E108+Formula!G108+Formula!I108+Formula!K108))*(INDEX(Properties!A$1:CB$87,Formula!F108,12))+((Formula!I108)/(Formula!C108+Formula!E108+Formula!G108+Formula!I108+Formula!K108))*(INDEX(Properties!A$1:CB$87,Formula!H108,12))+((Formula!K108)/(Formula!C108+Formula!E108+Formula!G108+Formula!I108+Formula!K108))*(INDEX(Properties!A$1:CB$87,Formula!J108,12))</f>
        <v>1.7142857142857142</v>
      </c>
      <c r="AS108" s="78">
        <f>Formula!C108*(INDEX(Properties!A$1:CB$87,Formula!B108,12))+Formula!E108*(INDEX(Properties!A$1:CB$87,Formula!D108,12))+Formula!G108*(INDEX(Properties!A$1:CB$87,Formula!F108,12))+Formula!I108*(INDEX(Properties!A$1:CB$87,Formula!H108,12))+Formula!K108*(INDEX(Properties!A$1:CB$87,Formula!J108,12))</f>
        <v>12</v>
      </c>
      <c r="AT108" s="78">
        <f>VARP(IF(INDEX(Properties!A$1:CB$87,Formula!B108,12)&lt;&gt;"",INDEX(Properties!A$1:CB$87,Formula!B108,12)),IF(INDEX(Properties!A$1:CB$87,Formula!D108,12)&lt;&gt;"",INDEX(Properties!A$1:CB$87,Formula!D108,12)),IF(INDEX(Properties!A$1:CB$87,Formula!F108,12)&lt;&gt;"",INDEX(Properties!A$1:CB$87,Formula!F108,12)),IF(INDEX(Properties!A$1:CB$87,Formula!H108,12)&lt;&gt;"",INDEX(Properties!A$1:CB$87,Formula!H108,12)),IF(INDEX(Properties!A$1:CB$87,Formula!J108,12)&lt;&gt;"",INDEX(Properties!A$1:CB$87,Formula!J108,12)))</f>
        <v>2.56</v>
      </c>
      <c r="AU108" s="78">
        <f>MAX(INDEX(Properties!A$1:CB$87,Formula!B108,12),INDEX(Properties!A$1:CB$87,Formula!D108,12),INDEX(Properties!A$1:CB$87,Formula!F108,12),INDEX(Properties!A$1:CB$87,Formula!H108,12),INDEX(Properties!A$1:CB$87,Formula!J108,12))</f>
        <v>4</v>
      </c>
      <c r="AV108" s="78">
        <f>MIN(IF(Formula!B108=87,10^6,INDEX(Properties!A$1:CB$87,Formula!B108,12)),IF((Formula!D108)=87,10^6,INDEX(Properties!A$1:CB$87,Formula!D108,12)),IF((Formula!F108)=87,10^6,INDEX(Properties!A$1:CB$87,Formula!F108,12)),IF((Formula!H108)=87,10^6,INDEX(Properties!A$1:CB$87,Formula!H108,12)),IF(Formula!J108=87,10^6,INDEX(Properties!A$1:CB$87,Formula!J108,12)))</f>
        <v>0</v>
      </c>
      <c r="AW108" s="78">
        <f t="shared" si="39"/>
        <v>4</v>
      </c>
      <c r="AX108" s="45">
        <f>((Formula!C108)/(Formula!C108+Formula!E108+Formula!G108+Formula!I108+Formula!K108))*(INDEX(Properties!A$1:CB$87,Formula!B108,13))+((Formula!E108)/(Formula!C108+Formula!E108+Formula!G108+Formula!I108+Formula!K108))*(INDEX(Properties!A$1:CB$87,Formula!D108,13))+((Formula!G108)/(Formula!C108+Formula!E108+Formula!G108+Formula!I108+Formula!K108))*(INDEX(Properties!A$1:CB$87,Formula!F108,13))+((Formula!I108)/(Formula!C108+Formula!E108+Formula!G108+Formula!I108+Formula!K108))*(INDEX(Properties!A$1:CB$87,Formula!H108,13))+((Formula!K108)/(Formula!C108+Formula!E108+Formula!G108+Formula!I108+Formula!K108))*(INDEX(Properties!A$1:CB$87,Formula!J108,13))</f>
        <v>0.5714285714285714</v>
      </c>
      <c r="AY108" s="45">
        <f>Formula!C108*(INDEX(Properties!A$1:CB$87,Formula!B108,13))+Formula!E108*(INDEX(Properties!A$1:CB$87,Formula!D108,13))+Formula!G108*(INDEX(Properties!A$1:CB$87,Formula!F108,13))+Formula!I108*(INDEX(Properties!A$1:CB$87,Formula!H108,13))+Formula!K108*(INDEX(Properties!A$1:CB$87,Formula!J108,13))</f>
        <v>4</v>
      </c>
      <c r="AZ108" s="45">
        <f>VARP(IF(INDEX(Properties!A$1:CB$87,Formula!B108,13)&lt;&gt;"",INDEX(Properties!A$1:CB$87,Formula!B108,13)),IF(INDEX(Properties!A$1:CB$87,Formula!D108,13)&lt;&gt;"",INDEX(Properties!A$1:CB$87,Formula!D108,13)),IF(INDEX(Properties!A$1:CB$87,Formula!F108,13)&lt;&gt;"",INDEX(Properties!A$1:CB$87,Formula!F108,13)),IF(INDEX(Properties!A$1:CB$87,Formula!H108,13)&lt;&gt;"",INDEX(Properties!A$1:CB$87,Formula!H108,13)),IF(INDEX(Properties!A$1:CB$87,Formula!J108,13)&lt;&gt;"",INDEX(Properties!A$1:CB$87,Formula!J108,13)))</f>
        <v>0.24</v>
      </c>
      <c r="BA108" s="45">
        <f>MAX(INDEX(Properties!A$1:CB$87,Formula!B108,13),INDEX(Properties!A$1:CB$87,Formula!D108,13),INDEX(Properties!A$1:CB$87,Formula!F108,13),INDEX(Properties!A$1:CB$87,Formula!H108,13),INDEX(Properties!A$1:CB$87,Formula!J108,13))</f>
        <v>1</v>
      </c>
      <c r="BB108" s="45">
        <f>MIN(IF(Formula!B108=87,10^6,INDEX(Properties!A$1:CB$87,Formula!B108,13)),IF((Formula!D108)=87,10^6,INDEX(Properties!A$1:CB$87,Formula!D108,13)),IF((Formula!F108)=87,10^6,INDEX(Properties!A$1:CB$87,Formula!F108,13)),IF((Formula!H108)=87,10^6,INDEX(Properties!A$1:CB$87,Formula!H108,13)),IF(Formula!J108=87,10^6,INDEX(Properties!A$1:CB$87,Formula!J108,13)))</f>
        <v>0</v>
      </c>
      <c r="BC108" s="45">
        <f t="shared" si="40"/>
        <v>1</v>
      </c>
      <c r="BD108" s="63">
        <f>((Formula!C108)/(Formula!C108+Formula!E108+Formula!G108+Formula!I108+Formula!K108))*(INDEX(Properties!A$1:CB$87,Formula!B108,14))+((Formula!E108)/(Formula!C108+Formula!E108+Formula!G108+Formula!I108+Formula!K108))*(INDEX(Properties!A$1:CB$87,Formula!D108,14))+((Formula!G108)/(Formula!C108+Formula!E108+Formula!G108+Formula!I108+Formula!K108))*(INDEX(Properties!A$1:CB$87,Formula!F108,14))+((Formula!I108)/(Formula!C108+Formula!E108+Formula!G108+Formula!I108+Formula!K108))*(INDEX(Properties!A$1:CB$87,Formula!H108,14))+((Formula!K108)/(Formula!C108+Formula!E108+Formula!G108+Formula!I108+Formula!K108))*(INDEX(Properties!A$1:CB$87,Formula!J108,14))</f>
        <v>2</v>
      </c>
      <c r="BE108" s="63">
        <f>Formula!C108*(INDEX(Properties!A$1:CB$87,Formula!B108,14))+Formula!E108*(INDEX(Properties!A$1:CB$87,Formula!D108,14))+Formula!G108*(INDEX(Properties!A$1:CB$87,Formula!F108,14))+Formula!I108*(INDEX(Properties!A$1:CB$87,Formula!H108,14))+Formula!K108*(INDEX(Properties!A$1:CB$87,Formula!J108,14))</f>
        <v>14</v>
      </c>
      <c r="BF108" s="63">
        <f>VARP(IF(INDEX(Properties!A$1:CB$87,Formula!B108,14)&lt;&gt;"",INDEX(Properties!A$1:CB$87,Formula!B108,14)),IF(INDEX(Properties!A$1:CB$87,Formula!D108,14)&lt;&gt;"",INDEX(Properties!A$1:CB$87,Formula!D108,14)),IF(INDEX(Properties!A$1:CB$87,Formula!F108,14)&lt;&gt;"",INDEX(Properties!A$1:CB$87,Formula!F108,14)),IF(INDEX(Properties!A$1:CB$87,Formula!H108,14)&lt;&gt;"",INDEX(Properties!A$1:CB$87,Formula!H108,14)),IF(INDEX(Properties!A$1:CB$87,Formula!J108,14)&lt;&gt;"",INDEX(Properties!A$1:CB$87,Formula!J108,14)))</f>
        <v>7.84</v>
      </c>
      <c r="BG108" s="63">
        <f>MAX(INDEX(Properties!A$1:CB$87,Formula!B108,14),INDEX(Properties!A$1:CB$87,Formula!D108,14),INDEX(Properties!A$1:CB$87,Formula!F108,14),INDEX(Properties!A$1:CB$87,Formula!H108,14),INDEX(Properties!A$1:CB$87,Formula!J108,14))</f>
        <v>7</v>
      </c>
      <c r="BH108" s="63">
        <f>MIN(IF(Formula!B108=87,10^6,INDEX(Properties!A$1:CB$87,Formula!B108,14)),IF((Formula!D108)=87,10^6,INDEX(Properties!A$1:CB$87,Formula!D108,14)),IF((Formula!F108)=87,10^6,INDEX(Properties!A$1:CB$87,Formula!F108,14)),IF((Formula!H108)=87,10^6,INDEX(Properties!A$1:CB$87,Formula!H108,14)),IF(Formula!J108=87,10^6,INDEX(Properties!A$1:CB$87,Formula!J108,14)))</f>
        <v>0</v>
      </c>
      <c r="BI108" s="63">
        <f t="shared" si="41"/>
        <v>7</v>
      </c>
      <c r="BJ108" s="75">
        <f>((Formula!C108)/(Formula!C108+Formula!E108+Formula!G108+Formula!I108+Formula!K108))*(INDEX(Properties!A$1:CB$87,Formula!B108,19))+((Formula!E108)/(Formula!C108+Formula!E108+Formula!G108+Formula!I108+Formula!K108))*(INDEX(Properties!A$1:CB$87,Formula!D108,19))+((Formula!G108)/(Formula!C108+Formula!E108+Formula!G108+Formula!I108+Formula!K108))*(INDEX(Properties!A$1:CB$87,Formula!F108,19))+((Formula!I108)/(Formula!C108+Formula!E108+Formula!G108+Formula!I108+Formula!K108))*(INDEX(Properties!A$1:CB$87,Formula!H108,19))+((Formula!K108)/(Formula!C108+Formula!E108+Formula!G108+Formula!I108+Formula!K108))*(INDEX(Properties!A$1:CB$87,Formula!J108,19))</f>
        <v>6.2857142857142847</v>
      </c>
      <c r="BK108" s="75">
        <f>Formula!C108*(INDEX(Properties!A$1:CB$87,Formula!B108,19))+Formula!E108*(INDEX(Properties!A$1:CB$87,Formula!D108,19))+Formula!G108*(INDEX(Properties!A$1:CB$87,Formula!F108,19))+Formula!I108*(INDEX(Properties!A$1:CB$87,Formula!H108,19))+Formula!K108*(INDEX(Properties!A$1:CB$87,Formula!J108,19))</f>
        <v>44</v>
      </c>
      <c r="BL108" s="75">
        <f>VARP(IF(INDEX(Properties!A$1:CB$87,Formula!B108,19)&lt;&gt;"",INDEX(Properties!A$1:CB$87,Formula!B108,19)),IF(INDEX(Properties!A$1:CB$87,Formula!D108,19)&lt;&gt;"",INDEX(Properties!A$1:CB$87,Formula!D108,19)),IF(INDEX(Properties!A$1:CB$87,Formula!F108,19)&lt;&gt;"",INDEX(Properties!A$1:CB$87,Formula!F108,19)),IF(INDEX(Properties!A$1:CB$87,Formula!H108,19)&lt;&gt;"",INDEX(Properties!A$1:CB$87,Formula!H108,19)),IF(INDEX(Properties!A$1:CB$87,Formula!J108,19)&lt;&gt;"",INDEX(Properties!A$1:CB$87,Formula!J108,19)))</f>
        <v>14.56</v>
      </c>
      <c r="BM108" s="75">
        <f>MAX(INDEX(Properties!A$1:CB$87,Formula!B108,19),INDEX(Properties!A$1:CB$87,Formula!D108,19),INDEX(Properties!A$1:CB$87,Formula!F108,19),INDEX(Properties!A$1:CB$87,Formula!H108,19),INDEX(Properties!A$1:CB$87,Formula!J108,19))</f>
        <v>10</v>
      </c>
      <c r="BN108" s="75">
        <f>MIN(IF(INDEX(Properties!A$1:CB$87,Formula!B108,19)=0,10^6,INDEX(Properties!A$1:CB$87,Formula!B108,19)),IF(INDEX(Properties!A$1:CB$87,Formula!D108,19)=0,10^6,INDEX(Properties!A$1:CB$87,Formula!D108,19)),IF(INDEX(Properties!A$1:CB$87,Formula!F108,19)=0,10^6,INDEX(Properties!A$1:CB$87,Formula!F108,19)),IF(INDEX(Properties!A$1:CB$87,Formula!H108,19)=0,10^6,INDEX(Properties!A$1:CB$87,Formula!H108,19)),IF(INDEX(Properties!A$1:CB$87,Formula!J108,19)=0,10^6,INDEX(Properties!A$1:CB$87,Formula!J108,19)))</f>
        <v>3</v>
      </c>
      <c r="BO108" s="75">
        <f t="shared" si="42"/>
        <v>7</v>
      </c>
      <c r="BP108" s="48">
        <f>((Formula!C108)/(Formula!C108+Formula!E108+Formula!G108+Formula!I108+Formula!K108))*(INDEX(Properties!A$1:CB$87,Formula!B108,20))+((Formula!E108)/(Formula!C108+Formula!E108+Formula!G108+Formula!I108+Formula!K108))*(INDEX(Properties!A$1:CB$87,Formula!D108,20))+((Formula!G108)/(Formula!C108+Formula!E108+Formula!G108+Formula!I108+Formula!K108))*(INDEX(Properties!A$1:CB$87,Formula!F108,20))+((Formula!I108)/(Formula!C108+Formula!E108+Formula!G108+Formula!I108+Formula!K108))*(INDEX(Properties!A$1:CB$87,Formula!H108,20))+((Formula!K108)/(Formula!C108+Formula!E108+Formula!G108+Formula!I108+Formula!K108))*(INDEX(Properties!A$1:CB$87,Formula!J108,20))</f>
        <v>3.714285714285714</v>
      </c>
      <c r="BQ108" s="48">
        <f>Formula!C108*(INDEX(Properties!A$1:CB$87,Formula!B108,20))+Formula!E108*(INDEX(Properties!A$1:CB$87,Formula!D108,20))+Formula!G108*(INDEX(Properties!A$1:CB$87,Formula!F108,20))+Formula!I108*(INDEX(Properties!A$1:CB$87,Formula!H108,20))+Formula!K108*(INDEX(Properties!A$1:CB$87,Formula!J108,20))</f>
        <v>26</v>
      </c>
      <c r="BR108" s="48">
        <f>VARP(IF(INDEX(Properties!A$1:CB$87,Formula!B108,20)&lt;&gt;"",INDEX(Properties!A$1:CB$87,Formula!B108,20)),IF(INDEX(Properties!A$1:CB$87,Formula!D108,20)&lt;&gt;"",INDEX(Properties!A$1:CB$87,Formula!D108,20)),IF(INDEX(Properties!A$1:CB$87,Formula!F108,20)&lt;&gt;"",INDEX(Properties!A$1:CB$87,Formula!F108,20)),IF(INDEX(Properties!A$1:CB$87,Formula!H108,20)&lt;&gt;"",INDEX(Properties!A$1:CB$87,Formula!H108,20)),IF(INDEX(Properties!A$1:CB$87,Formula!J108,20)&lt;&gt;"",INDEX(Properties!A$1:CB$87,Formula!J108,20)))</f>
        <v>4.8</v>
      </c>
      <c r="BS108" s="48">
        <f>MAX(INDEX(Properties!A$1:CB$87,Formula!B108,20),INDEX(Properties!A$1:CB$87,Formula!D108,20),INDEX(Properties!A$1:CB$87,Formula!F108,20),INDEX(Properties!A$1:CB$87,Formula!H108,20),INDEX(Properties!A$1:CB$87,Formula!J108,20))</f>
        <v>6</v>
      </c>
      <c r="BT108" s="48">
        <f>MIN(IF(INDEX(Properties!A$1:CB$87,Formula!B108,20)=0,10^6,INDEX(Properties!A$1:CB$87,Formula!B108,20)),IF(INDEX(Properties!A$1:CB$87,Formula!D108,20)=0,10^6,INDEX(Properties!A$1:CB$87,Formula!D108,20)),IF(INDEX(Properties!A$1:CB$87,Formula!F108,20)=0,10^6,INDEX(Properties!A$1:CB$87,Formula!F108,20)),IF(INDEX(Properties!A$1:CB$87,Formula!H108,20)=0,10^6,INDEX(Properties!A$1:CB$87,Formula!H108,20)),IF(INDEX(Properties!A$1:CB$87,Formula!J108,20)=0,10^6,INDEX(Properties!A$1:CB$87,Formula!J108,20)))</f>
        <v>2</v>
      </c>
      <c r="BU108" s="48">
        <f t="shared" si="43"/>
        <v>4</v>
      </c>
      <c r="BV108" s="66">
        <f>((Formula!C108)/(Formula!C108+Formula!E108+Formula!G108+Formula!I108+Formula!K108))*(INDEX(Properties!A$1:CB$87,Formula!B108,21))+((Formula!E108)/(Formula!C108+Formula!E108+Formula!G108+Formula!I108+Formula!K108))*(INDEX(Properties!A$1:CB$87,Formula!D108,21))+((Formula!G108)/(Formula!C108+Formula!E108+Formula!G108+Formula!I108+Formula!K108))*(INDEX(Properties!A$1:CB$87,Formula!F108,21))+((Formula!I108)/(Formula!C108+Formula!E108+Formula!G108+Formula!I108+Formula!K108))*(INDEX(Properties!A$1:CB$87,Formula!H108,21))+((Formula!K108)/(Formula!C108+Formula!E108+Formula!G108+Formula!I108+Formula!K108))*(INDEX(Properties!A$1:CB$87,Formula!J108,21))</f>
        <v>3.714285714285714</v>
      </c>
      <c r="BW108" s="66">
        <f>Formula!C108*(INDEX(Properties!A$1:CB$87,Formula!B108,21))+Formula!E108*(INDEX(Properties!A$1:CB$87,Formula!D108,21))+Formula!G108*(INDEX(Properties!A$1:CB$87,Formula!F108,21))+Formula!I108*(INDEX(Properties!A$1:CB$87,Formula!H108,21))+Formula!K108*(INDEX(Properties!A$1:CB$87,Formula!J108,21))</f>
        <v>26</v>
      </c>
      <c r="BX108" s="66">
        <f>VARP(IF(INDEX(Properties!A$1:CB$87,Formula!B108,21)&lt;&gt;"",INDEX(Properties!A$1:CB$87,Formula!B108,21)),IF(INDEX(Properties!A$1:CB$87,Formula!D108,21)&lt;&gt;"",INDEX(Properties!A$1:CB$87,Formula!D108,21)),IF(INDEX(Properties!A$1:CB$87,Formula!F108,21)&lt;&gt;"",INDEX(Properties!A$1:CB$87,Formula!F108,21)),IF(INDEX(Properties!A$1:CB$87,Formula!H108,21)&lt;&gt;"",INDEX(Properties!A$1:CB$87,Formula!H108,21)),IF(INDEX(Properties!A$1:CB$87,Formula!J108,21)&lt;&gt;"",INDEX(Properties!A$1:CB$87,Formula!J108,21)))</f>
        <v>5.2</v>
      </c>
      <c r="BY108" s="66">
        <f>MAX(INDEX(Properties!A$1:CB$87,Formula!B108,21),INDEX(Properties!A$1:CB$87,Formula!D108,21),INDEX(Properties!A$1:CB$87,Formula!F108,21),INDEX(Properties!A$1:CB$87,Formula!H108,21),INDEX(Properties!A$1:CB$87,Formula!J108,21))</f>
        <v>6</v>
      </c>
      <c r="BZ108" s="66">
        <f>MIN(IF(INDEX(Properties!A$1:CB$87,Formula!B108,21)=0,10^6,INDEX(Properties!A$1:CB$87,Formula!B108,21)),IF(INDEX(Properties!A$1:CB$87,Formula!D108,21)=0,10^6,INDEX(Properties!A$1:CB$87,Formula!D108,21)),IF(INDEX(Properties!A$1:CB$87,Formula!F108,21)=0,10^6,INDEX(Properties!A$1:CB$87,Formula!F108,21)),IF(INDEX(Properties!A$1:CB$87,Formula!H108,21)=0,10^6,INDEX(Properties!A$1:CB$87,Formula!H108,21)),IF(INDEX(Properties!A$1:CB$87,Formula!J108,21)=0,10^6,INDEX(Properties!A$1:CB$87,Formula!J108,21)))</f>
        <v>1</v>
      </c>
      <c r="CA108" s="66">
        <f t="shared" si="44"/>
        <v>5</v>
      </c>
      <c r="CB108" s="81">
        <f>((Formula!C108)/(Formula!C108+Formula!E108+Formula!G108+Formula!I108+Formula!K108))*(INDEX(Properties!A$1:CB$87,Formula!B108,23))+((Formula!E108)/(Formula!C108+Formula!E108+Formula!G108+Formula!I108+Formula!K108))*(INDEX(Properties!A$1:CB$87,Formula!D108,23))+((Formula!G108)/(Formula!C108+Formula!E108+Formula!G108+Formula!I108+Formula!K108))*(INDEX(Properties!A$1:CB$87,Formula!F108,23))+((Formula!I108)/(Formula!C108+Formula!E108+Formula!G108+Formula!I108+Formula!K108))*(INDEX(Properties!A$1:CB$87,Formula!H108,23))+((Formula!K108)/(Formula!C108+Formula!E108+Formula!G108+Formula!I108+Formula!K108))*(INDEX(Properties!A$1:CB$87,Formula!J108,23))</f>
        <v>1.7142857142857142</v>
      </c>
      <c r="CC108" s="81">
        <f>Formula!C108*(INDEX(Properties!A$1:CB$87,Formula!B108,23))+Formula!E108*(INDEX(Properties!A$1:CB$87,Formula!D108,23))+Formula!G108*(INDEX(Properties!A$1:CB$87,Formula!F108,23))+Formula!I108*(INDEX(Properties!A$1:CB$87,Formula!H108,23))+Formula!K108*(INDEX(Properties!A$1:CB$87,Formula!J108,23))</f>
        <v>12</v>
      </c>
      <c r="CD108" s="81">
        <f>VARP(IF(INDEX(Properties!A$1:CB$87,Formula!B108,23)&lt;&gt;"",INDEX(Properties!A$1:CB$87,Formula!B108,23)),IF(INDEX(Properties!A$1:CB$87,Formula!D108,23)&lt;&gt;"",INDEX(Properties!A$1:CB$87,Formula!D108,23)),IF(INDEX(Properties!A$1:CB$87,Formula!F108,23)&lt;&gt;"",INDEX(Properties!A$1:CB$87,Formula!F108,23)),IF(INDEX(Properties!A$1:CB$87,Formula!H108,23)&lt;&gt;"",INDEX(Properties!A$1:CB$87,Formula!H108,23)),IF(INDEX(Properties!A$1:CB$87,Formula!J108,23)&lt;&gt;"",INDEX(Properties!A$1:CB$87,Formula!J108,23)))</f>
        <v>2.16</v>
      </c>
      <c r="CE108" s="81">
        <f>MAX(INDEX(Properties!A$1:CB$87,Formula!B108,23),INDEX(Properties!A$1:CB$87,Formula!D108,23),INDEX(Properties!A$1:CB$87,Formula!F108,23),INDEX(Properties!A$1:CB$87,Formula!H108,23),INDEX(Properties!A$1:CB$87,Formula!J108,23))</f>
        <v>3</v>
      </c>
      <c r="CF108" s="81">
        <f>MIN(IF(Formula!B108=87,10^6,INDEX(Properties!A$1:CB$87,Formula!B108,23)),IF((Formula!D108)=87,10^6,INDEX(Properties!A$1:CB$87,Formula!D108,23)),IF((Formula!F108)=87,10^6,INDEX(Properties!A$1:CB$87,Formula!F108,23)),IF((Formula!H108)=87,10^6,INDEX(Properties!A$1:CB$87,Formula!H108,23)),IF(Formula!J108=87,10^6,INDEX(Properties!A$1:CB$87,Formula!J108,23)))</f>
        <v>0</v>
      </c>
      <c r="CG108" s="81">
        <f t="shared" si="45"/>
        <v>3</v>
      </c>
      <c r="CH108" s="39">
        <f>((Formula!C108)/(Formula!C108+Formula!E108+Formula!G108+Formula!I108+Formula!K108))*(INDEX(Properties!A$1:CB$87,Formula!B108,26))+((Formula!E108)/(Formula!C108+Formula!E108+Formula!G108+Formula!I108+Formula!K108))*(INDEX(Properties!A$1:CB$87,Formula!D108,26))+((Formula!G108)/(Formula!C108+Formula!E108+Formula!G108+Formula!I108+Formula!K108))*(INDEX(Properties!A$1:CB$87,Formula!F108,26))+((Formula!I108)/(Formula!C108+Formula!E108+Formula!G108+Formula!I108+Formula!K108))*(INDEX(Properties!A$1:CB$87,Formula!H108,26))+((Formula!K108)/(Formula!C108+Formula!E108+Formula!G108+Formula!I108+Formula!K108))*(INDEX(Properties!A$1:CB$87,Formula!J108,26))</f>
        <v>9.3697857142857135</v>
      </c>
      <c r="CI108" s="39">
        <f>Formula!C108*(INDEX(Properties!A$1:CB$87,Formula!B108,26))+Formula!E108*(INDEX(Properties!A$1:CB$87,Formula!D108,26))+Formula!G108*(INDEX(Properties!A$1:CB$87,Formula!F108,26))+Formula!I108*(INDEX(Properties!A$1:CB$87,Formula!H108,26))+Formula!K108*(INDEX(Properties!A$1:CB$87,Formula!J108,26))</f>
        <v>65.58850000000001</v>
      </c>
      <c r="CJ108" s="39">
        <f>VARP(IF(INDEX(Properties!A$1:CB$87,Formula!B108,26)&lt;&gt;"",INDEX(Properties!A$1:CB$87,Formula!B108,26)),IF(INDEX(Properties!A$1:CB$87,Formula!D108,26)&lt;&gt;"",INDEX(Properties!A$1:CB$87,Formula!D108,26)),IF(INDEX(Properties!A$1:CB$87,Formula!F108,26)&lt;&gt;"",INDEX(Properties!A$1:CB$87,Formula!F108,26)),IF(INDEX(Properties!A$1:CB$87,Formula!H108,26)&lt;&gt;"",INDEX(Properties!A$1:CB$87,Formula!H108,26)),IF(INDEX(Properties!A$1:CB$87,Formula!J108,26)&lt;&gt;"",INDEX(Properties!A$1:CB$87,Formula!J108,26)))</f>
        <v>25.376276626400003</v>
      </c>
      <c r="CK108" s="39">
        <f>MAX(INDEX(Properties!A$1:CB$87,Formula!B108,26),INDEX(Properties!A$1:CB$87,Formula!D108,26),INDEX(Properties!A$1:CB$87,Formula!F108,26),INDEX(Properties!A$1:CB$87,Formula!H108,26),INDEX(Properties!A$1:CB$87,Formula!J108,26))</f>
        <v>13.6181</v>
      </c>
      <c r="CL108" s="39">
        <f>MIN(IF(INDEX(Properties!A$1:CB$87,Formula!B108,26)=0,10^6,INDEX(Properties!A$1:CB$87,Formula!B108,26)),IF(INDEX(Properties!A$1:CB$87,Formula!D108,26)=0,10^6,INDEX(Properties!A$1:CB$87,Formula!D108,26)),IF(INDEX(Properties!A$1:CB$87,Formula!F108,26)=0,10^6,INDEX(Properties!A$1:CB$87,Formula!F108,26)),IF(INDEX(Properties!A$1:CB$87,Formula!H108,26)=0,10^6,INDEX(Properties!A$1:CB$87,Formula!H108,26)),IF(INDEX(Properties!A$1:CB$87,Formula!J108,26)=0,10^6,INDEX(Properties!A$1:CB$87,Formula!J108,26)))</f>
        <v>6.1497999999999999</v>
      </c>
      <c r="CM108" s="39">
        <f t="shared" si="46"/>
        <v>7.4683000000000002</v>
      </c>
      <c r="CN108" s="54">
        <f>((Formula!C108)/(Formula!C108+Formula!E108+Formula!G108+Formula!I108+Formula!K108))*(INDEX(Properties!A$1:CB$87,Formula!B108,30))+((Formula!E108)/(Formula!C108+Formula!E108+Formula!G108+Formula!I108+Formula!K108))*(INDEX(Properties!A$1:CB$87,Formula!D108,30))+((Formula!G108)/(Formula!C108+Formula!E108+Formula!G108+Formula!I108+Formula!K108))*(INDEX(Properties!A$1:CB$87,Formula!F108,30))+((Formula!I108)/(Formula!C108+Formula!E108+Formula!G108+Formula!I108+Formula!K108))*(INDEX(Properties!A$1:CB$87,Formula!H108,30))+((Formula!K108)/(Formula!C108+Formula!E108+Formula!G108+Formula!I108+Formula!K108))*(INDEX(Properties!A$1:CB$87,Formula!J108,30))</f>
        <v>2.1657142857142855</v>
      </c>
      <c r="CO108" s="54">
        <f>Formula!C108*(INDEX(Properties!A$1:CB$87,Formula!B108,30))+Formula!E108*(INDEX(Properties!A$1:CB$87,Formula!D108,30))+Formula!G108*(INDEX(Properties!A$1:CB$87,Formula!F108,30))+Formula!I108*(INDEX(Properties!A$1:CB$87,Formula!H108,30))+Formula!K108*(INDEX(Properties!A$1:CB$87,Formula!J108,30))</f>
        <v>15.16</v>
      </c>
      <c r="CP108" s="54">
        <f>VARP(IF(INDEX(Properties!A$1:CB$87,Formula!B108,30)&lt;&gt;"",INDEX(Properties!A$1:CB$87,Formula!B108,30)),IF(INDEX(Properties!A$1:CB$87,Formula!D108,30)&lt;&gt;"",INDEX(Properties!A$1:CB$87,Formula!D108,30)),IF(INDEX(Properties!A$1:CB$87,Formula!F108,30)&lt;&gt;"",INDEX(Properties!A$1:CB$87,Formula!F108,30)),IF(INDEX(Properties!A$1:CB$87,Formula!H108,30)&lt;&gt;"",INDEX(Properties!A$1:CB$87,Formula!H108,30)),IF(INDEX(Properties!A$1:CB$87,Formula!J108,30)&lt;&gt;"",INDEX(Properties!A$1:CB$87,Formula!J108,30)))</f>
        <v>1.578816</v>
      </c>
      <c r="CQ108" s="54">
        <f>MAX(INDEX(Properties!A$1:CB$87,Formula!B108,30),INDEX(Properties!A$1:CB$87,Formula!D108,30),INDEX(Properties!A$1:CB$87,Formula!F108,30),INDEX(Properties!A$1:CB$87,Formula!H108,30),INDEX(Properties!A$1:CB$87,Formula!J108,30))</f>
        <v>3.44</v>
      </c>
      <c r="CR108" s="54">
        <f>MIN(IF(INDEX(Properties!A$1:CB$87,Formula!B108,30)=0,10^6,INDEX(Properties!A$1:CB$87,Formula!B108,30)),IF(INDEX(Properties!A$1:CB$87,Formula!D108,30)=0,10^6,INDEX(Properties!A$1:CB$87,Formula!D108,30)),IF(INDEX(Properties!A$1:CB$87,Formula!F108,30)=0,10^6,INDEX(Properties!A$1:CB$87,Formula!F108,30)),IF(INDEX(Properties!A$1:CB$87,Formula!H108,30)=0,10^6,INDEX(Properties!A$1:CB$87,Formula!H108,30)),IF(INDEX(Properties!A$1:CB$87,Formula!J108,30)=0,10^6,INDEX(Properties!A$1:CB$87,Formula!J108,30)))</f>
        <v>1.2</v>
      </c>
      <c r="CS108" s="54">
        <f t="shared" si="47"/>
        <v>2.2400000000000002</v>
      </c>
      <c r="CT108" s="69">
        <f>((Formula!C108)/(Formula!C108+Formula!E108+Formula!G108+Formula!I108+Formula!K108))*(INDEX(Properties!A$1:CB$87,Formula!B108,31))+((Formula!E108)/(Formula!C108+Formula!E108+Formula!G108+Formula!I108+Formula!K108))*(INDEX(Properties!A$1:CB$87,Formula!D108,31))+((Formula!G108)/(Formula!C108+Formula!E108+Formula!G108+Formula!I108+Formula!K108))*(INDEX(Properties!A$1:CB$87,Formula!F108,31))+((Formula!I108)/(Formula!C108+Formula!E108+Formula!G108+Formula!I108+Formula!K108))*(INDEX(Properties!A$1:CB$87,Formula!H108,31))+((Formula!K108)/(Formula!C108+Formula!E108+Formula!G108+Formula!I108+Formula!K108))*(INDEX(Properties!A$1:CB$87,Formula!J108,31))</f>
        <v>2.1399999999999997</v>
      </c>
      <c r="CU108" s="69">
        <f>Formula!C108*(INDEX(Properties!A$1:CB$87,Formula!B108,31))+Formula!E108*(INDEX(Properties!A$1:CB$87,Formula!D108,31))+Formula!G108*(INDEX(Properties!A$1:CB$87,Formula!F108,31))+Formula!I108*(INDEX(Properties!A$1:CB$87,Formula!H108,31))+Formula!K108*(INDEX(Properties!A$1:CB$87,Formula!J108,31))</f>
        <v>14.979999999999999</v>
      </c>
      <c r="CV108" s="69">
        <f>VARP(IF(INDEX(Properties!A$1:CB$87,Formula!B108,31)&lt;&gt;"",INDEX(Properties!A$1:CB$87,Formula!B108,31)),IF(INDEX(Properties!A$1:CB$87,Formula!D108,31)&lt;&gt;"",INDEX(Properties!A$1:CB$87,Formula!D108,31)),IF(INDEX(Properties!A$1:CB$87,Formula!F108,31)&lt;&gt;"",INDEX(Properties!A$1:CB$87,Formula!F108,31)),IF(INDEX(Properties!A$1:CB$87,Formula!H108,31)&lt;&gt;"",INDEX(Properties!A$1:CB$87,Formula!H108,31)),IF(INDEX(Properties!A$1:CB$87,Formula!J108,31)&lt;&gt;"",INDEX(Properties!A$1:CB$87,Formula!J108,31)))</f>
        <v>1.4845439999999996</v>
      </c>
      <c r="CW108" s="69">
        <f>MAX(INDEX(Properties!A$1:CB$87,Formula!B108,31),INDEX(Properties!A$1:CB$87,Formula!D108,31),INDEX(Properties!A$1:CB$87,Formula!F108,31),INDEX(Properties!A$1:CB$87,Formula!H108,31),INDEX(Properties!A$1:CB$87,Formula!J108,31))</f>
        <v>3.32</v>
      </c>
      <c r="CX108" s="69">
        <f>MIN(IF(INDEX(Properties!A$1:CB$87,Formula!B108,31)=0,10^6,INDEX(Properties!A$1:CB$87,Formula!B108,31)),IF(INDEX(Properties!A$1:CB$87,Formula!D108,31)=0,10^6,INDEX(Properties!A$1:CB$87,Formula!D108,31)),IF(INDEX(Properties!A$1:CB$87,Formula!F108,31)=0,10^6,INDEX(Properties!A$1:CB$87,Formula!F108,31)),IF(INDEX(Properties!A$1:CB$87,Formula!H108,31)=0,10^6,INDEX(Properties!A$1:CB$87,Formula!H108,31)),IF(INDEX(Properties!A$1:CB$87,Formula!J108,31)=0,10^6,INDEX(Properties!A$1:CB$87,Formula!J108,31)))</f>
        <v>1.1000000000000001</v>
      </c>
      <c r="CY108" s="69">
        <f t="shared" si="48"/>
        <v>2.2199999999999998</v>
      </c>
      <c r="CZ108" s="42">
        <f>((Formula!C108)/(Formula!C108+Formula!E108+Formula!G108+Formula!I108+Formula!K108))*(INDEX(Properties!A$1:CB$87,Formula!B108,32))+((Formula!E108)/(Formula!C108+Formula!E108+Formula!G108+Formula!I108+Formula!K108))*(INDEX(Properties!A$1:CB$87,Formula!D108,32))+((Formula!G108)/(Formula!C108+Formula!E108+Formula!G108+Formula!I108+Formula!K108))*(INDEX(Properties!A$1:CB$87,Formula!F108,32))+((Formula!I108)/(Formula!C108+Formula!E108+Formula!G108+Formula!I108+Formula!K108))*(INDEX(Properties!A$1:CB$87,Formula!H108,32))+((Formula!K108)/(Formula!C108+Formula!E108+Formula!G108+Formula!I108+Formula!K108))*(INDEX(Properties!A$1:CB$87,Formula!J108,32))</f>
        <v>5.0285714285714285</v>
      </c>
      <c r="DA108" s="42">
        <f>Formula!C108*(INDEX(Properties!A$1:CB$87,Formula!B108,32))+Formula!E108*(INDEX(Properties!A$1:CB$87,Formula!D108,32))+Formula!G108*(INDEX(Properties!A$1:CB$87,Formula!F108,32))+Formula!I108*(INDEX(Properties!A$1:CB$87,Formula!H108,32))+Formula!K108*(INDEX(Properties!A$1:CB$87,Formula!J108,32))</f>
        <v>35.200000000000003</v>
      </c>
      <c r="DB108" s="42">
        <f>VARP(IF(INDEX(Properties!A$1:CB$87,Formula!B108,32)&lt;&gt;"",INDEX(Properties!A$1:CB$87,Formula!B108,32)),IF(INDEX(Properties!A$1:CB$87,Formula!D108,32)&lt;&gt;"",INDEX(Properties!A$1:CB$87,Formula!D108,32)),IF(INDEX(Properties!A$1:CB$87,Formula!F108,32)&lt;&gt;"",INDEX(Properties!A$1:CB$87,Formula!F108,32)),IF(INDEX(Properties!A$1:CB$87,Formula!H108,32)&lt;&gt;"",INDEX(Properties!A$1:CB$87,Formula!H108,32)),IF(INDEX(Properties!A$1:CB$87,Formula!J108,32)&lt;&gt;"",INDEX(Properties!A$1:CB$87,Formula!J108,32)))</f>
        <v>7.6767839999999987</v>
      </c>
      <c r="DC108" s="42">
        <f>MAX(INDEX(Properties!A$1:CB$87,Formula!B108,32),INDEX(Properties!A$1:CB$87,Formula!D108,32),INDEX(Properties!A$1:CB$87,Formula!F108,32),INDEX(Properties!A$1:CB$87,Formula!H108,32),INDEX(Properties!A$1:CB$87,Formula!J108,32))</f>
        <v>7.54</v>
      </c>
      <c r="DD108" s="42">
        <f>MIN(IF(INDEX(Properties!A$1:CB$87,Formula!B108,32)=0,10^6,INDEX(Properties!A$1:CB$87,Formula!B108,32)),IF(INDEX(Properties!A$1:CB$87,Formula!D108,32)=0,10^6,INDEX(Properties!A$1:CB$87,Formula!D108,32)),IF(INDEX(Properties!A$1:CB$87,Formula!F108,32)=0,10^6,INDEX(Properties!A$1:CB$87,Formula!F108,32)),IF(INDEX(Properties!A$1:CB$87,Formula!H108,32)=0,10^6,INDEX(Properties!A$1:CB$87,Formula!H108,32)),IF(INDEX(Properties!A$1:CB$87,Formula!J108,32)=0,10^6,INDEX(Properties!A$1:CB$87,Formula!J108,32)))</f>
        <v>3.1</v>
      </c>
      <c r="DE108" s="42">
        <f t="shared" si="49"/>
        <v>4.4399999999999995</v>
      </c>
      <c r="DF108" s="60">
        <f>((Formula!C108)/(Formula!C108+Formula!E108+Formula!G108+Formula!I108+Formula!K108))*(INDEX(Properties!A$1:CB$87,Formula!B108,34))+((Formula!E108)/(Formula!C108+Formula!E108+Formula!G108+Formula!I108+Formula!K108))*(INDEX(Properties!A$1:CB$87,Formula!D108,34))+((Formula!G108)/(Formula!C108+Formula!E108+Formula!G108+Formula!I108+Formula!K108))*(INDEX(Properties!A$1:CB$87,Formula!F108,34))+((Formula!I108)/(Formula!C108+Formula!E108+Formula!G108+Formula!I108+Formula!K108))*(INDEX(Properties!A$1:CB$87,Formula!H108,34))+((Formula!K108)/(Formula!C108+Formula!E108+Formula!G108+Formula!I108+Formula!K108))*(INDEX(Properties!A$1:CB$87,Formula!J108,34))</f>
        <v>2.1785714285714284</v>
      </c>
      <c r="DG108" s="60">
        <f>Formula!C108*(INDEX(Properties!A$1:CB$87,Formula!B108,34))+Formula!E108*(INDEX(Properties!A$1:CB$87,Formula!D108,34))+Formula!G108*(INDEX(Properties!A$1:CB$87,Formula!F108,34))+Formula!I108*(INDEX(Properties!A$1:CB$87,Formula!H108,34))+Formula!K108*(INDEX(Properties!A$1:CB$87,Formula!J108,34))</f>
        <v>15.25</v>
      </c>
      <c r="DH108" s="60">
        <f>VARP(IF(INDEX(Properties!A$1:CB$87,Formula!B108,34)&lt;&gt;"",INDEX(Properties!A$1:CB$87,Formula!B108,34)),IF(INDEX(Properties!A$1:CB$87,Formula!D108,34)&lt;&gt;"",INDEX(Properties!A$1:CB$87,Formula!D108,34)),IF(INDEX(Properties!A$1:CB$87,Formula!F108,34)&lt;&gt;"",INDEX(Properties!A$1:CB$87,Formula!F108,34)),IF(INDEX(Properties!A$1:CB$87,Formula!H108,34)&lt;&gt;"",INDEX(Properties!A$1:CB$87,Formula!H108,34)),IF(INDEX(Properties!A$1:CB$87,Formula!J108,34)&lt;&gt;"",INDEX(Properties!A$1:CB$87,Formula!J108,34)))</f>
        <v>1.740024</v>
      </c>
      <c r="DI108" s="60">
        <f>MAX(INDEX(Properties!A$1:CB$87,Formula!B108,34),INDEX(Properties!A$1:CB$87,Formula!D108,34),INDEX(Properties!A$1:CB$87,Formula!F108,34),INDEX(Properties!A$1:CB$87,Formula!H108,34),INDEX(Properties!A$1:CB$87,Formula!J108,34))</f>
        <v>3.61</v>
      </c>
      <c r="DJ108" s="60">
        <f>MIN(IF(INDEX(Properties!A$1:CB$87,Formula!B108,34)=0,10^6,INDEX(Properties!A$1:CB$87,Formula!B108,34)),IF(INDEX(Properties!A$1:CB$87,Formula!D108,34)=0,10^6,INDEX(Properties!A$1:CB$87,Formula!D108,34)),IF(INDEX(Properties!A$1:CB$87,Formula!F108,34)=0,10^6,INDEX(Properties!A$1:CB$87,Formula!F108,34)),IF(INDEX(Properties!A$1:CB$87,Formula!H108,34)=0,10^6,INDEX(Properties!A$1:CB$87,Formula!H108,34)),IF(INDEX(Properties!A$1:CB$87,Formula!J108,34)=0,10^6,INDEX(Properties!A$1:CB$87,Formula!J108,34)))</f>
        <v>1.0900000000000001</v>
      </c>
      <c r="DK108" s="60">
        <f t="shared" si="50"/>
        <v>2.5199999999999996</v>
      </c>
      <c r="DL108" s="45">
        <f>((Formula!C108)/(Formula!C108+Formula!E108+Formula!G108+Formula!I108+Formula!K108))*(INDEX(Properties!A$1:CB$87,Formula!B108,39))+((Formula!E108)/(Formula!C108+Formula!E108+Formula!G108+Formula!I108+Formula!K108))*(INDEX(Properties!A$1:CB$87,Formula!D108,39))+((Formula!G108)/(Formula!C108+Formula!E108+Formula!G108+Formula!I108+Formula!K108))*(INDEX(Properties!A$1:CB$87,Formula!F108,39))+((Formula!I108)/(Formula!C108+Formula!E108+Formula!G108+Formula!I108+Formula!K108))*(INDEX(Properties!A$1:CB$87,Formula!H108,39))+((Formula!K108)/(Formula!C108+Formula!E108+Formula!G108+Formula!I108+Formula!K108))*(INDEX(Properties!A$1:CB$87,Formula!J108,39))</f>
        <v>1.4771428571428571</v>
      </c>
      <c r="DM108" s="45">
        <f>Formula!C108*(INDEX(Properties!A$1:CB$87,Formula!B108,39))+Formula!E108*(INDEX(Properties!A$1:CB$87,Formula!D108,39))+Formula!G108*(INDEX(Properties!A$1:CB$87,Formula!F108,39))+Formula!I108*(INDEX(Properties!A$1:CB$87,Formula!H108,39))+Formula!K108*(INDEX(Properties!A$1:CB$87,Formula!J108,39))</f>
        <v>10.34</v>
      </c>
      <c r="DN108" s="45">
        <f>VARP(IF(INDEX(Properties!A$1:CB$87,Formula!B108,39)&lt;&gt;"",INDEX(Properties!A$1:CB$87,Formula!B108,39)),IF(INDEX(Properties!A$1:CB$87,Formula!D108,39)&lt;&gt;"",INDEX(Properties!A$1:CB$87,Formula!D108,39)),IF(INDEX(Properties!A$1:CB$87,Formula!F108,39)&lt;&gt;"",INDEX(Properties!A$1:CB$87,Formula!F108,39)),IF(INDEX(Properties!A$1:CB$87,Formula!H108,39)&lt;&gt;"",INDEX(Properties!A$1:CB$87,Formula!H108,39)),IF(INDEX(Properties!A$1:CB$87,Formula!J108,39)&lt;&gt;"",INDEX(Properties!A$1:CB$87,Formula!J108,39)))</f>
        <v>1.0585440000000004</v>
      </c>
      <c r="DO108" s="45">
        <f>MAX(INDEX(Properties!A$1:CB$87,Formula!B108,39),INDEX(Properties!A$1:CB$87,Formula!D108,39),INDEX(Properties!A$1:CB$87,Formula!F108,39),INDEX(Properties!A$1:CB$87,Formula!H108,39),INDEX(Properties!A$1:CB$87,Formula!J108,39))</f>
        <v>2.33</v>
      </c>
      <c r="DP108" s="45">
        <f>MIN(IF(INDEX(Properties!A$1:CB$87,Formula!B108,39)=0,10^6,INDEX(Properties!A$1:CB$87,Formula!B108,39)),IF(INDEX(Properties!A$1:CB$87,Formula!D108,39)=0,10^6,INDEX(Properties!A$1:CB$87,Formula!D108,39)),IF(INDEX(Properties!A$1:CB$87,Formula!F108,39)=0,10^6,INDEX(Properties!A$1:CB$87,Formula!F108,39)),IF(INDEX(Properties!A$1:CB$87,Formula!H108,39)=0,10^6,INDEX(Properties!A$1:CB$87,Formula!H108,39)),IF(INDEX(Properties!A$1:CB$87,Formula!J108,39)=0,10^6,INDEX(Properties!A$1:CB$87,Formula!J108,39)))</f>
        <v>0.48</v>
      </c>
      <c r="DQ108" s="45">
        <f t="shared" si="51"/>
        <v>1.85</v>
      </c>
      <c r="DR108" s="63">
        <f>((Formula!C108)/(Formula!C108+Formula!E108+Formula!G108+Formula!I108+Formula!K108))*(INDEX(Properties!A$1:CB$87,Formula!B108,40))+((Formula!E108)/(Formula!C108+Formula!E108+Formula!G108+Formula!I108+Formula!K108))*(INDEX(Properties!A$1:CB$87,Formula!D108,40))+((Formula!G108)/(Formula!C108+Formula!E108+Formula!G108+Formula!I108+Formula!K108))*(INDEX(Properties!A$1:CB$87,Formula!F108,40))+((Formula!I108)/(Formula!C108+Formula!E108+Formula!G108+Formula!I108+Formula!K108))*(INDEX(Properties!A$1:CB$87,Formula!H108,40))+((Formula!K108)/(Formula!C108+Formula!E108+Formula!G108+Formula!I108+Formula!K108))*(INDEX(Properties!A$1:CB$87,Formula!J108,40))</f>
        <v>1.2357142857142858</v>
      </c>
      <c r="DS108" s="63">
        <f>Formula!C108*(INDEX(Properties!A$1:CB$87,Formula!B108,40))+Formula!E108*(INDEX(Properties!A$1:CB$87,Formula!D108,40))+Formula!G108*(INDEX(Properties!A$1:CB$87,Formula!F108,40))+Formula!I108*(INDEX(Properties!A$1:CB$87,Formula!H108,40))+Formula!K108*(INDEX(Properties!A$1:CB$87,Formula!J108,40))</f>
        <v>8.65</v>
      </c>
      <c r="DT108" s="63">
        <f>VARP(IF(INDEX(Properties!A$1:CB$87,Formula!B108,40)&lt;&gt;"",INDEX(Properties!A$1:CB$87,Formula!B108,40)),IF(INDEX(Properties!A$1:CB$87,Formula!D108,40)&lt;&gt;"",INDEX(Properties!A$1:CB$87,Formula!D108,40)),IF(INDEX(Properties!A$1:CB$87,Formula!F108,40)&lt;&gt;"",INDEX(Properties!A$1:CB$87,Formula!F108,40)),IF(INDEX(Properties!A$1:CB$87,Formula!H108,40)&lt;&gt;"",INDEX(Properties!A$1:CB$87,Formula!H108,40)),IF(INDEX(Properties!A$1:CB$87,Formula!J108,40)&lt;&gt;"",INDEX(Properties!A$1:CB$87,Formula!J108,40)))</f>
        <v>0.52261599999999997</v>
      </c>
      <c r="DU108" s="63">
        <f>MAX(INDEX(Properties!A$1:CB$87,Formula!B108,40),INDEX(Properties!A$1:CB$87,Formula!D108,40),INDEX(Properties!A$1:CB$87,Formula!F108,40),INDEX(Properties!A$1:CB$87,Formula!H108,40),INDEX(Properties!A$1:CB$87,Formula!J108,40))</f>
        <v>1.62</v>
      </c>
      <c r="DV108" s="63">
        <f>MIN(IF(INDEX(Properties!A$1:CB$87,Formula!B108,40)=0,10^6,INDEX(Properties!A$1:CB$87,Formula!B108,40)),IF(INDEX(Properties!A$1:CB$87,Formula!D108,40)=0,10^6,INDEX(Properties!A$1:CB$87,Formula!D108,40)),IF(INDEX(Properties!A$1:CB$87,Formula!F108,40)=0,10^6,INDEX(Properties!A$1:CB$87,Formula!F108,40)),IF(INDEX(Properties!A$1:CB$87,Formula!H108,40)=0,10^6,INDEX(Properties!A$1:CB$87,Formula!H108,40)),IF(INDEX(Properties!A$1:CB$87,Formula!J108,40)=0,10^6,INDEX(Properties!A$1:CB$87,Formula!J108,40)))</f>
        <v>0.73</v>
      </c>
      <c r="DW108" s="63">
        <f t="shared" si="52"/>
        <v>0.89000000000000012</v>
      </c>
      <c r="DX108" s="75">
        <f>((Formula!C108)/(Formula!C108+Formula!E108+Formula!G108+Formula!I108+Formula!K108))*(INDEX(Properties!A$1:CB$87,Formula!B108,41))+((Formula!E108)/(Formula!C108+Formula!E108+Formula!G108+Formula!I108+Formula!K108))*(INDEX(Properties!A$1:CB$87,Formula!D108,41))+((Formula!G108)/(Formula!C108+Formula!E108+Formula!G108+Formula!I108+Formula!K108))*(INDEX(Properties!A$1:CB$87,Formula!F108,41))+((Formula!I108)/(Formula!C108+Formula!E108+Formula!G108+Formula!I108+Formula!K108))*(INDEX(Properties!A$1:CB$87,Formula!H108,41))+((Formula!K108)/(Formula!C108+Formula!E108+Formula!G108+Formula!I108+Formula!K108))*(INDEX(Properties!A$1:CB$87,Formula!J108,41))</f>
        <v>1.1457142857142855</v>
      </c>
      <c r="DY108" s="75">
        <f>Formula!C108*(INDEX(Properties!A$1:CB$87,Formula!B108,41))+Formula!E108*(INDEX(Properties!A$1:CB$87,Formula!D108,41))+Formula!G108*(INDEX(Properties!A$1:CB$87,Formula!F108,41))+Formula!I108*(INDEX(Properties!A$1:CB$87,Formula!H108,41))+Formula!K108*(INDEX(Properties!A$1:CB$87,Formula!J108,41))</f>
        <v>8.02</v>
      </c>
      <c r="DZ108" s="75">
        <f>VARP(IF(INDEX(Properties!A$1:CB$87,Formula!B108,41)&lt;&gt;"",INDEX(Properties!A$1:CB$87,Formula!B108,41)),IF(INDEX(Properties!A$1:CB$87,Formula!D108,41)&lt;&gt;"",INDEX(Properties!A$1:CB$87,Formula!D108,41)),IF(INDEX(Properties!A$1:CB$87,Formula!F108,41)&lt;&gt;"",INDEX(Properties!A$1:CB$87,Formula!F108,41)),IF(INDEX(Properties!A$1:CB$87,Formula!H108,41)&lt;&gt;"",INDEX(Properties!A$1:CB$87,Formula!H108,41)),IF(INDEX(Properties!A$1:CB$87,Formula!J108,41)&lt;&gt;"",INDEX(Properties!A$1:CB$87,Formula!J108,41)))</f>
        <v>0.31014400000000009</v>
      </c>
      <c r="EA108" s="75">
        <f>MAX(INDEX(Properties!A$1:CB$87,Formula!B108,41),INDEX(Properties!A$1:CB$87,Formula!D108,41),INDEX(Properties!A$1:CB$87,Formula!F108,41),INDEX(Properties!A$1:CB$87,Formula!H108,41),INDEX(Properties!A$1:CB$87,Formula!J108,41))</f>
        <v>1.26</v>
      </c>
      <c r="EB108" s="75">
        <f>MIN(IF(INDEX(Properties!A$1:CB$87,Formula!B108,41)=0,10^6,INDEX(Properties!A$1:CB$87,Formula!B108,41)),IF(INDEX(Properties!A$1:CB$87,Formula!D108,41)=0,10^6,INDEX(Properties!A$1:CB$87,Formula!D108,41)),IF(INDEX(Properties!A$1:CB$87,Formula!F108,41)=0,10^6,INDEX(Properties!A$1:CB$87,Formula!F108,41)),IF(INDEX(Properties!A$1:CB$87,Formula!H108,41)=0,10^6,INDEX(Properties!A$1:CB$87,Formula!H108,41)),IF(INDEX(Properties!A$1:CB$87,Formula!J108,41)=0,10^6,INDEX(Properties!A$1:CB$87,Formula!J108,41)))</f>
        <v>1.04</v>
      </c>
      <c r="EC108" s="75">
        <f t="shared" si="53"/>
        <v>0.21999999999999997</v>
      </c>
      <c r="ED108" s="48">
        <f>((Formula!C108)/(Formula!C108+Formula!E108+Formula!G108+Formula!I108+Formula!K108))*(INDEX(Properties!A$1:CB$87,Formula!B108,45))+((Formula!E108)/(Formula!C108+Formula!E108+Formula!G108+Formula!I108+Formula!K108))*(INDEX(Properties!A$1:CB$87,Formula!D108,45))+((Formula!G108)/(Formula!C108+Formula!E108+Formula!G108+Formula!I108+Formula!K108))*(INDEX(Properties!A$1:CB$87,Formula!F108,45))+((Formula!I108)/(Formula!C108+Formula!E108+Formula!G108+Formula!I108+Formula!K108))*(INDEX(Properties!A$1:CB$87,Formula!H108,45))+((Formula!K108)/(Formula!C108+Formula!E108+Formula!G108+Formula!I108+Formula!K108))*(INDEX(Properties!A$1:CB$87,Formula!J108,45))</f>
        <v>2.1585714285714288</v>
      </c>
      <c r="EE108" s="48">
        <f>Formula!C108*(INDEX(Properties!A$1:CB$87,Formula!B108,45))+Formula!E108*(INDEX(Properties!A$1:CB$87,Formula!D108,45))+Formula!G108*(INDEX(Properties!A$1:CB$87,Formula!F108,45))+Formula!I108*(INDEX(Properties!A$1:CB$87,Formula!H108,45))+Formula!K108*(INDEX(Properties!A$1:CB$87,Formula!J108,45))</f>
        <v>15.11</v>
      </c>
      <c r="EF108" s="48">
        <f>VARP(IF(INDEX(Properties!A$1:CB$87,Formula!B108,45)&lt;&gt;"",INDEX(Properties!A$1:CB$87,Formula!B108,45)),IF(INDEX(Properties!A$1:CB$87,Formula!D108,45)&lt;&gt;"",INDEX(Properties!A$1:CB$87,Formula!D108,45)),IF(INDEX(Properties!A$1:CB$87,Formula!F108,45)&lt;&gt;"",INDEX(Properties!A$1:CB$87,Formula!F108,45)),IF(INDEX(Properties!A$1:CB$87,Formula!H108,45)&lt;&gt;"",INDEX(Properties!A$1:CB$87,Formula!H108,45)),IF(INDEX(Properties!A$1:CB$87,Formula!J108,45)&lt;&gt;"",INDEX(Properties!A$1:CB$87,Formula!J108,45)))</f>
        <v>2.6872240000000005</v>
      </c>
      <c r="EG108" s="48">
        <f>MAX(INDEX(Properties!A$1:CB$87,Formula!B108,45),INDEX(Properties!A$1:CB$87,Formula!D108,45),INDEX(Properties!A$1:CB$87,Formula!F108,45),INDEX(Properties!A$1:CB$87,Formula!H108,45),INDEX(Properties!A$1:CB$87,Formula!J108,45))</f>
        <v>3.91</v>
      </c>
      <c r="EH108" s="48">
        <f>MIN(IF(INDEX(Properties!A$1:CB$87,Formula!B108,45)=0,10^6,INDEX(Properties!A$1:CB$87,Formula!B108,45)),IF(INDEX(Properties!A$1:CB$87,Formula!D108,45)=0,10^6,INDEX(Properties!A$1:CB$87,Formula!D108,45)),IF(INDEX(Properties!A$1:CB$87,Formula!F108,45)=0,10^6,INDEX(Properties!A$1:CB$87,Formula!F108,45)),IF(INDEX(Properties!A$1:CB$87,Formula!H108,45)=0,10^6,INDEX(Properties!A$1:CB$87,Formula!H108,45)),IF(INDEX(Properties!A$1:CB$87,Formula!J108,45)=0,10^6,INDEX(Properties!A$1:CB$87,Formula!J108,45)))</f>
        <v>0.47</v>
      </c>
      <c r="EI108" s="48">
        <f t="shared" si="54"/>
        <v>3.4400000000000004</v>
      </c>
      <c r="EJ108" s="66">
        <f>((Formula!C108)/(Formula!C108+Formula!E108+Formula!G108+Formula!I108+Formula!K108))*(INDEX(Properties!A$1:CB$87,Formula!B108,46))+((Formula!E108)/(Formula!C108+Formula!E108+Formula!G108+Formula!I108+Formula!K108))*(INDEX(Properties!A$1:CB$87,Formula!D108,46))+((Formula!G108)/(Formula!C108+Formula!E108+Formula!G108+Formula!I108+Formula!K108))*(INDEX(Properties!A$1:CB$87,Formula!F108,46))+((Formula!I108)/(Formula!C108+Formula!E108+Formula!G108+Formula!I108+Formula!K108))*(INDEX(Properties!A$1:CB$87,Formula!H108,46))+((Formula!K108)/(Formula!C108+Formula!E108+Formula!G108+Formula!I108+Formula!K108))*(INDEX(Properties!A$1:CB$87,Formula!J108,46))</f>
        <v>1.1242857142857141</v>
      </c>
      <c r="EK108" s="66">
        <f>Formula!C108*(INDEX(Properties!A$1:CB$87,Formula!B108,46))+Formula!E108*(INDEX(Properties!A$1:CB$87,Formula!D108,46))+Formula!G108*(INDEX(Properties!A$1:CB$87,Formula!F108,46))+Formula!I108*(INDEX(Properties!A$1:CB$87,Formula!H108,46))+Formula!K108*(INDEX(Properties!A$1:CB$87,Formula!J108,46))</f>
        <v>7.87</v>
      </c>
      <c r="EL108" s="66">
        <f>VARP(IF(INDEX(Properties!A$1:CB$87,Formula!B108,46)&lt;&gt;"",INDEX(Properties!A$1:CB$87,Formula!B108,46)),IF(INDEX(Properties!A$1:CB$87,Formula!D108,46)&lt;&gt;"",INDEX(Properties!A$1:CB$87,Formula!D108,46)),IF(INDEX(Properties!A$1:CB$87,Formula!F108,46)&lt;&gt;"",INDEX(Properties!A$1:CB$87,Formula!F108,46)),IF(INDEX(Properties!A$1:CB$87,Formula!H108,46)&lt;&gt;"",INDEX(Properties!A$1:CB$87,Formula!H108,46)),IF(INDEX(Properties!A$1:CB$87,Formula!J108,46)&lt;&gt;"",INDEX(Properties!A$1:CB$87,Formula!J108,46)))</f>
        <v>0.29886400000000002</v>
      </c>
      <c r="EM108" s="66">
        <f>MAX(INDEX(Properties!A$1:CB$87,Formula!B108,46),INDEX(Properties!A$1:CB$87,Formula!D108,46),INDEX(Properties!A$1:CB$87,Formula!F108,46),INDEX(Properties!A$1:CB$87,Formula!H108,46),INDEX(Properties!A$1:CB$87,Formula!J108,46))</f>
        <v>1.21</v>
      </c>
      <c r="EN108" s="66">
        <f>MIN(IF(INDEX(Properties!A$1:CB$87,Formula!B108,46)=0,10^6,INDEX(Properties!A$1:CB$87,Formula!B108,46)),IF(INDEX(Properties!A$1:CB$87,Formula!D108,46)=0,10^6,INDEX(Properties!A$1:CB$87,Formula!D108,46)),IF(INDEX(Properties!A$1:CB$87,Formula!F108,46)=0,10^6,INDEX(Properties!A$1:CB$87,Formula!F108,46)),IF(INDEX(Properties!A$1:CB$87,Formula!H108,46)=0,10^6,INDEX(Properties!A$1:CB$87,Formula!H108,46)),IF(INDEX(Properties!A$1:CB$87,Formula!J108,46)=0,10^6,INDEX(Properties!A$1:CB$87,Formula!J108,46)))</f>
        <v>1.04</v>
      </c>
      <c r="EO108" s="66">
        <f t="shared" si="55"/>
        <v>0.16999999999999993</v>
      </c>
      <c r="EP108" s="81">
        <f>((Formula!C108)/(Formula!C108+Formula!E108+Formula!G108+Formula!I108+Formula!K108))*(INDEX(Properties!A$1:CB$87,Formula!B108,52))+((Formula!E108)/(Formula!C108+Formula!E108+Formula!G108+Formula!I108+Formula!K108))*(INDEX(Properties!A$1:CB$87,Formula!D108,52))+((Formula!G108)/(Formula!C108+Formula!E108+Formula!G108+Formula!I108+Formula!K108))*(INDEX(Properties!A$1:CB$87,Formula!F108,52))+((Formula!I108)/(Formula!C108+Formula!E108+Formula!G108+Formula!I108+Formula!K108))*(INDEX(Properties!A$1:CB$87,Formula!H108,52))+((Formula!K108)/(Formula!C108+Formula!E108+Formula!G108+Formula!I108+Formula!K108))*(INDEX(Properties!A$1:CB$87,Formula!J108,52))</f>
        <v>13.539857142857143</v>
      </c>
      <c r="EQ108" s="81">
        <f>Formula!C108*(INDEX(Properties!A$1:CB$87,Formula!B108,52))+Formula!E108*(INDEX(Properties!A$1:CB$87,Formula!D108,52))+Formula!G108*(INDEX(Properties!A$1:CB$87,Formula!F108,52))+Formula!I108*(INDEX(Properties!A$1:CB$87,Formula!H108,52))+Formula!K108*(INDEX(Properties!A$1:CB$87,Formula!J108,52))</f>
        <v>94.779000000000011</v>
      </c>
      <c r="ER108" s="81">
        <f>VARP(IF(INDEX(Properties!A$1:CB$87,Formula!B108,52)&lt;&gt;"",INDEX(Properties!A$1:CB$87,Formula!B108,52)),IF(INDEX(Properties!A$1:CB$87,Formula!D108,52)&lt;&gt;"",INDEX(Properties!A$1:CB$87,Formula!D108,52)),IF(INDEX(Properties!A$1:CB$87,Formula!F108,52)&lt;&gt;"",INDEX(Properties!A$1:CB$87,Formula!F108,52)),IF(INDEX(Properties!A$1:CB$87,Formula!H108,52)&lt;&gt;"",INDEX(Properties!A$1:CB$87,Formula!H108,52)),IF(INDEX(Properties!A$1:CB$87,Formula!J108,52)&lt;&gt;"",INDEX(Properties!A$1:CB$87,Formula!J108,52)))</f>
        <v>125.30008783999996</v>
      </c>
      <c r="ES108" s="81">
        <f>MAX(INDEX(Properties!A$1:CB$87,Formula!B108,52),INDEX(Properties!A$1:CB$87,Formula!D108,52),INDEX(Properties!A$1:CB$87,Formula!F108,52),INDEX(Properties!A$1:CB$87,Formula!H108,52),INDEX(Properties!A$1:CB$87,Formula!J108,52))</f>
        <v>23.5</v>
      </c>
      <c r="ET108" s="81">
        <f>MIN(IF(INDEX(Properties!A$1:CB$87,Formula!B108,52)=0,10^6,INDEX(Properties!A$1:CB$87,Formula!B108,52)),IF(INDEX(Properties!A$1:CB$87,Formula!D108,52)=0,10^6,INDEX(Properties!A$1:CB$87,Formula!D108,52)),IF(INDEX(Properties!A$1:CB$87,Formula!F108,52)=0,10^6,INDEX(Properties!A$1:CB$87,Formula!F108,52)),IF(INDEX(Properties!A$1:CB$87,Formula!H108,52)=0,10^6,INDEX(Properties!A$1:CB$87,Formula!H108,52)),IF(INDEX(Properties!A$1:CB$87,Formula!J108,52)=0,10^6,INDEX(Properties!A$1:CB$87,Formula!J108,52)))</f>
        <v>0.79300000000000004</v>
      </c>
      <c r="EU108" s="81">
        <f t="shared" si="56"/>
        <v>22.707000000000001</v>
      </c>
      <c r="EV108" s="39">
        <f>((Formula!C108)/(Formula!C108+Formula!E108+Formula!G108+Formula!I108+Formula!K108))*(INDEX(Properties!A$1:CB$87,Formula!B108,53))+((Formula!E108)/(Formula!C108+Formula!E108+Formula!G108+Formula!I108+Formula!K108))*(INDEX(Properties!A$1:CB$87,Formula!D108,53))+((Formula!G108)/(Formula!C108+Formula!E108+Formula!G108+Formula!I108+Formula!K108))*(INDEX(Properties!A$1:CB$87,Formula!F108,53))+((Formula!I108)/(Formula!C108+Formula!E108+Formula!G108+Formula!I108+Formula!K108))*(INDEX(Properties!A$1:CB$87,Formula!H108,53))+((Formula!K108)/(Formula!C108+Formula!E108+Formula!G108+Formula!I108+Formula!K108))*(INDEX(Properties!A$1:CB$87,Formula!J108,53))</f>
        <v>989.83571428571429</v>
      </c>
      <c r="EW108" s="39">
        <f>Formula!C108*(INDEX(Properties!A$1:CB$87,Formula!B108,53))+Formula!E108*(INDEX(Properties!A$1:CB$87,Formula!D108,53))+Formula!G108*(INDEX(Properties!A$1:CB$87,Formula!F108,53))+Formula!I108*(INDEX(Properties!A$1:CB$87,Formula!H108,53))+Formula!K108*(INDEX(Properties!A$1:CB$87,Formula!J108,53))</f>
        <v>6928.85</v>
      </c>
      <c r="EX108" s="39">
        <f>VARP(IF(INDEX(Properties!A$1:CB$87,Formula!B108,53)&lt;&gt;"",INDEX(Properties!A$1:CB$87,Formula!B108,53)),IF(INDEX(Properties!A$1:CB$87,Formula!D108,53)&lt;&gt;"",INDEX(Properties!A$1:CB$87,Formula!D108,53)),IF(INDEX(Properties!A$1:CB$87,Formula!F108,53)&lt;&gt;"",INDEX(Properties!A$1:CB$87,Formula!F108,53)),IF(INDEX(Properties!A$1:CB$87,Formula!H108,53)&lt;&gt;"",INDEX(Properties!A$1:CB$87,Formula!H108,53)),IF(INDEX(Properties!A$1:CB$87,Formula!J108,53)&lt;&gt;"",INDEX(Properties!A$1:CB$87,Formula!J108,53)))</f>
        <v>676472.3334</v>
      </c>
      <c r="EY108" s="39">
        <f>MAX(INDEX(Properties!A$1:CB$87,Formula!B108,53),INDEX(Properties!A$1:CB$87,Formula!D108,53),INDEX(Properties!A$1:CB$87,Formula!F108,53),INDEX(Properties!A$1:CB$87,Formula!H108,53),INDEX(Properties!A$1:CB$87,Formula!J108,53))</f>
        <v>1796.15</v>
      </c>
      <c r="EZ108" s="39">
        <f>MIN(IF(INDEX(Properties!A$1:CB$87,Formula!B108,53)=0,10^6,INDEX(Properties!A$1:CB$87,Formula!B108,53)),IF(INDEX(Properties!A$1:CB$87,Formula!D108,53)=0,10^6,INDEX(Properties!A$1:CB$87,Formula!D108,53)),IF(INDEX(Properties!A$1:CB$87,Formula!F108,53)=0,10^6,INDEX(Properties!A$1:CB$87,Formula!F108,53)),IF(INDEX(Properties!A$1:CB$87,Formula!H108,53)=0,10^6,INDEX(Properties!A$1:CB$87,Formula!H108,53)),IF(INDEX(Properties!A$1:CB$87,Formula!J108,53)=0,10^6,INDEX(Properties!A$1:CB$87,Formula!J108,53)))</f>
        <v>54.749999999999972</v>
      </c>
      <c r="FA108" s="39">
        <f t="shared" si="57"/>
        <v>1741.4</v>
      </c>
      <c r="FB108" s="54">
        <f>((Formula!C108)/(Formula!C108+Formula!E108+Formula!G108+Formula!I108+Formula!K108))*(INDEX(Properties!A$1:CB$87,Formula!B108,54))+((Formula!E108)/(Formula!C108+Formula!E108+Formula!G108+Formula!I108+Formula!K108))*(INDEX(Properties!A$1:CB$87,Formula!D108,54))+((Formula!G108)/(Formula!C108+Formula!E108+Formula!G108+Formula!I108+Formula!K108))*(INDEX(Properties!A$1:CB$87,Formula!F108,54))+((Formula!I108)/(Formula!C108+Formula!E108+Formula!G108+Formula!I108+Formula!K108))*(INDEX(Properties!A$1:CB$87,Formula!H108,54))+((Formula!K108)/(Formula!C108+Formula!E108+Formula!G108+Formula!I108+Formula!K108))*(INDEX(Properties!A$1:CB$87,Formula!J108,54))</f>
        <v>2083.292857142857</v>
      </c>
      <c r="FC108" s="54">
        <f>Formula!C108*(INDEX(Properties!A$1:CB$87,Formula!B108,54))+Formula!E108*(INDEX(Properties!A$1:CB$87,Formula!D108,54))+Formula!G108*(INDEX(Properties!A$1:CB$87,Formula!F108,54))+Formula!I108*(INDEX(Properties!A$1:CB$87,Formula!H108,54))+Formula!K108*(INDEX(Properties!A$1:CB$87,Formula!J108,54))</f>
        <v>14583.050000000001</v>
      </c>
      <c r="FD108" s="54">
        <f>VARP(IF(INDEX(Properties!A$1:CB$87,Formula!B108,54)&lt;&gt;"",INDEX(Properties!A$1:CB$87,Formula!B108,54)),IF(INDEX(Properties!A$1:CB$87,Formula!D108,54)&lt;&gt;"",INDEX(Properties!A$1:CB$87,Formula!D108,54)),IF(INDEX(Properties!A$1:CB$87,Formula!F108,54)&lt;&gt;"",INDEX(Properties!A$1:CB$87,Formula!F108,54)),IF(INDEX(Properties!A$1:CB$87,Formula!H108,54)&lt;&gt;"",INDEX(Properties!A$1:CB$87,Formula!H108,54)),IF(INDEX(Properties!A$1:CB$87,Formula!J108,54)&lt;&gt;"",INDEX(Properties!A$1:CB$87,Formula!J108,54)))</f>
        <v>3022856.4694000008</v>
      </c>
      <c r="FE108" s="54">
        <f>MAX(INDEX(Properties!A$1:CB$87,Formula!B108,54),INDEX(Properties!A$1:CB$87,Formula!D108,54),INDEX(Properties!A$1:CB$87,Formula!F108,54),INDEX(Properties!A$1:CB$87,Formula!H108,54),INDEX(Properties!A$1:CB$87,Formula!J108,54))</f>
        <v>3610.15</v>
      </c>
      <c r="FF108" s="54">
        <f>MIN(IF(INDEX(Properties!A$1:CB$87,Formula!B108,54)=0,10^6,INDEX(Properties!A$1:CB$87,Formula!B108,54)),IF(INDEX(Properties!A$1:CB$87,Formula!D108,54)=0,10^6,INDEX(Properties!A$1:CB$87,Formula!D108,54)),IF(INDEX(Properties!A$1:CB$87,Formula!F108,54)=0,10^6,INDEX(Properties!A$1:CB$87,Formula!F108,54)),IF(INDEX(Properties!A$1:CB$87,Formula!H108,54)=0,10^6,INDEX(Properties!A$1:CB$87,Formula!H108,54)),IF(INDEX(Properties!A$1:CB$87,Formula!J108,54)=0,10^6,INDEX(Properties!A$1:CB$87,Formula!J108,54)))</f>
        <v>90.149999999999977</v>
      </c>
      <c r="FG108" s="54">
        <f t="shared" si="58"/>
        <v>3520</v>
      </c>
      <c r="FH108" s="69">
        <f>((Formula!C108)/(Formula!C108+Formula!E108+Formula!G108+Formula!I108+Formula!K108))*(INDEX(Properties!A$1:CB$87,Formula!B108,55))+((Formula!E108)/(Formula!C108+Formula!E108+Formula!G108+Formula!I108+Formula!K108))*(INDEX(Properties!A$1:CB$87,Formula!D108,55))+((Formula!G108)/(Formula!C108+Formula!E108+Formula!G108+Formula!I108+Formula!K108))*(INDEX(Properties!A$1:CB$87,Formula!F108,55))+((Formula!I108)/(Formula!C108+Formula!E108+Formula!G108+Formula!I108+Formula!K108))*(INDEX(Properties!A$1:CB$87,Formula!H108,55))+((Formula!K108)/(Formula!C108+Formula!E108+Formula!G108+Formula!I108+Formula!K108))*(INDEX(Properties!A$1:CB$87,Formula!J108,55))</f>
        <v>3.5348985714285708</v>
      </c>
      <c r="FI108" s="69">
        <f>Formula!C108*(INDEX(Properties!A$1:CB$87,Formula!B108,55))+Formula!E108*(INDEX(Properties!A$1:CB$87,Formula!D108,54))+Formula!G108*(INDEX(Properties!A$1:CB$87,Formula!F108,55))+Formula!I108*(INDEX(Properties!A$1:CB$87,Formula!H108,55))+Formula!K108*(INDEX(Properties!A$1:CB$87,Formula!J108,55))</f>
        <v>7101.2442899999996</v>
      </c>
      <c r="FJ108" s="69">
        <f>VARP(IF(INDEX(Properties!A$1:CB$87,Formula!B108,55)&lt;&gt;"",INDEX(Properties!A$1:CB$87,Formula!B108,55)),IF(INDEX(Properties!A$1:CB$87,Formula!D108,55)&lt;&gt;"",INDEX(Properties!A$1:CB$87,Formula!D108,55)),IF(INDEX(Properties!A$1:CB$87,Formula!F108,55)&lt;&gt;"",INDEX(Properties!A$1:CB$87,Formula!F108,55)),IF(INDEX(Properties!A$1:CB$87,Formula!H108,55)&lt;&gt;"",INDEX(Properties!A$1:CB$87,Formula!H108,55)),IF(INDEX(Properties!A$1:CB$87,Formula!J108,55)&lt;&gt;"",INDEX(Properties!A$1:CB$87,Formula!J108,55)))</f>
        <v>10.356089199184003</v>
      </c>
      <c r="FK108" s="69">
        <f>MAX(INDEX(Properties!A$1:CB$87,Formula!B108,55),INDEX(Properties!A$1:CB$87,Formula!D108,55),INDEX(Properties!A$1:CB$87,Formula!F108,55),INDEX(Properties!A$1:CB$87,Formula!H108,55),INDEX(Properties!A$1:CB$87,Formula!J108,55))</f>
        <v>7.9</v>
      </c>
      <c r="FL108" s="69">
        <f>MIN(IF(INDEX(Properties!A$1:CB$87,Formula!B108,55)=0,10^6,INDEX(Properties!A$1:CB$87,Formula!B108,55)),IF(INDEX(Properties!A$1:CB$87,Formula!D108,55)=0,10^6,INDEX(Properties!A$1:CB$87,Formula!D108,55)),IF(INDEX(Properties!A$1:CB$87,Formula!F108,55)=0,10^6,INDEX(Properties!A$1:CB$87,Formula!F108,55)),IF(INDEX(Properties!A$1:CB$87,Formula!H108,55)=0,10^6,INDEX(Properties!A$1:CB$87,Formula!H108,55)),IF(INDEX(Properties!A$1:CB$87,Formula!J108,55)=0,10^6,INDEX(Properties!A$1:CB$87,Formula!J108,55)))</f>
        <v>1.4300000000000001E-3</v>
      </c>
      <c r="FM108" s="69">
        <f t="shared" si="59"/>
        <v>7.8985700000000003</v>
      </c>
      <c r="FN108" s="42">
        <f>((Formula!C108)/(Formula!C108+Formula!E108+Formula!G108+Formula!I108+Formula!K108))*(INDEX(Properties!A$1:CB$87,Formula!B108,56))+((Formula!E108)/(Formula!C108+Formula!E108+Formula!G108+Formula!I108+Formula!K108))*(INDEX(Properties!A$1:CB$87,Formula!D108,56))+((Formula!G108)/(Formula!C108+Formula!E108+Formula!G108+Formula!I108+Formula!K108))*(INDEX(Properties!A$1:CB$87,Formula!F108,56))+((Formula!I108)/(Formula!C108+Formula!E108+Formula!G108+Formula!I108+Formula!K108))*(INDEX(Properties!A$1:CB$87,Formula!H108,56))+((Formula!K108)/(Formula!C108+Formula!E108+Formula!G108+Formula!I108+Formula!K108))*(INDEX(Properties!A$1:CB$87,Formula!J108,56))</f>
        <v>0.54571428571428571</v>
      </c>
      <c r="FO108" s="42">
        <f>Formula!C108*(INDEX(Properties!A$1:CB$87,Formula!B108,56))+Formula!E108*(INDEX(Properties!A$1:CB$87,Formula!D108,56))+Formula!G108*(INDEX(Properties!A$1:CB$87,Formula!F108,56))+Formula!I108*(INDEX(Properties!A$1:CB$87,Formula!H108,56))+Formula!K108*(INDEX(Properties!A$1:CB$87,Formula!J108,56))</f>
        <v>3.8200000000000003</v>
      </c>
      <c r="FP108" s="42">
        <f>VARP(IF(INDEX(Properties!A$1:CB$87,Formula!B108,56)&lt;&gt;"",INDEX(Properties!A$1:CB$87,Formula!B108,56)),IF(INDEX(Properties!A$1:CB$87,Formula!D108,56)&lt;&gt;"",INDEX(Properties!A$1:CB$87,Formula!D108,56)),IF(INDEX(Properties!A$1:CB$87,Formula!F108,56)&lt;&gt;"",INDEX(Properties!A$1:CB$87,Formula!F108,56)),IF(INDEX(Properties!A$1:CB$87,Formula!H108,56)&lt;&gt;"",INDEX(Properties!A$1:CB$87,Formula!H108,56)),IF(INDEX(Properties!A$1:CB$87,Formula!J108,56)&lt;&gt;"",INDEX(Properties!A$1:CB$87,Formula!J108,56)))</f>
        <v>0.11376</v>
      </c>
      <c r="FQ108" s="42">
        <f>MAX(INDEX(Properties!A$1:CB$87,Formula!B108,56),INDEX(Properties!A$1:CB$87,Formula!D108,56),INDEX(Properties!A$1:CB$87,Formula!F108,56),INDEX(Properties!A$1:CB$87,Formula!H108,56),INDEX(Properties!A$1:CB$87,Formula!J108,56))</f>
        <v>0.92</v>
      </c>
      <c r="FR108" s="42">
        <f>MIN(IF(INDEX(Properties!A$1:CB$87,Formula!B108,56)=0,10^6,INDEX(Properties!A$1:CB$87,Formula!B108,56)),IF(INDEX(Properties!A$1:CB$87,Formula!D108,56)=0,10^6,INDEX(Properties!A$1:CB$87,Formula!D108,56)),IF(INDEX(Properties!A$1:CB$87,Formula!F108,56)=0,10^6,INDEX(Properties!A$1:CB$87,Formula!F108,56)),IF(INDEX(Properties!A$1:CB$87,Formula!H108,56)=0,10^6,INDEX(Properties!A$1:CB$87,Formula!H108,56)),IF(INDEX(Properties!A$1:CB$87,Formula!J108,56)=0,10^6,INDEX(Properties!A$1:CB$87,Formula!J108,56)))</f>
        <v>0.23</v>
      </c>
      <c r="FS108" s="42">
        <f t="shared" si="60"/>
        <v>0.69000000000000006</v>
      </c>
      <c r="FT108" s="60">
        <f>((Formula!C108)/(Formula!C108+Formula!E108+Formula!G108+Formula!I108+Formula!K108))*(INDEX(Properties!A$1:CB$87,Formula!B108,57))+((Formula!E108)/(Formula!C108+Formula!E108+Formula!G108+Formula!I108+Formula!K108))*(INDEX(Properties!A$1:CB$87,Formula!D108,57))+((Formula!G108)/(Formula!C108+Formula!E108+Formula!G108+Formula!I108+Formula!K108))*(INDEX(Properties!A$1:CB$87,Formula!F108,57))+((Formula!I108)/(Formula!C108+Formula!E108+Formula!G108+Formula!I108+Formula!K108))*(INDEX(Properties!A$1:CB$87,Formula!H108,57))+((Formula!K108)/(Formula!C108+Formula!E108+Formula!G108+Formula!I108+Formula!K108))*(INDEX(Properties!A$1:CB$87,Formula!J108,57))</f>
        <v>6.2239671428571421</v>
      </c>
      <c r="FU108" s="60">
        <f>Formula!C108*(INDEX(Properties!A$1:CB$87,Formula!B108,57))+Formula!E108*(INDEX(Properties!A$1:CB$87,Formula!D108,57))+Formula!G108*(INDEX(Properties!A$1:CB$87,Formula!F108,57))+Formula!I108*(INDEX(Properties!A$1:CB$87,Formula!H108,57))+Formula!K108*(INDEX(Properties!A$1:CB$87,Formula!J108,57))</f>
        <v>43.567770000000003</v>
      </c>
      <c r="FV108" s="60">
        <f>VARP(IF(INDEX(Properties!A$1:CB$87,Formula!B108,57)&lt;&gt;"",INDEX(Properties!A$1:CB$87,Formula!B108,57)),IF(INDEX(Properties!A$1:CB$87,Formula!D108,57)&lt;&gt;"",INDEX(Properties!A$1:CB$87,Formula!D108,57)),IF(INDEX(Properties!A$1:CB$87,Formula!F108,57)&lt;&gt;"",INDEX(Properties!A$1:CB$87,Formula!F108,57)),IF(INDEX(Properties!A$1:CB$87,Formula!H108,57)&lt;&gt;"",INDEX(Properties!A$1:CB$87,Formula!H108,57)),IF(INDEX(Properties!A$1:CB$87,Formula!J108,57)&lt;&gt;"",INDEX(Properties!A$1:CB$87,Formula!J108,57)))</f>
        <v>27.414362969295997</v>
      </c>
      <c r="FW108" s="60">
        <f>MAX(INDEX(Properties!A$1:CB$87,Formula!B108,57),INDEX(Properties!A$1:CB$87,Formula!D108,57),INDEX(Properties!A$1:CB$87,Formula!F108,57),INDEX(Properties!A$1:CB$87,Formula!H108,57),INDEX(Properties!A$1:CB$87,Formula!J108,57))</f>
        <v>11.4</v>
      </c>
      <c r="FX108" s="60">
        <f>MIN(IF(INDEX(Properties!A$1:CB$87,Formula!B108,57)=0,10^6,INDEX(Properties!A$1:CB$87,Formula!B108,57)),IF(INDEX(Properties!A$1:CB$87,Formula!D108,57)=0,10^6,INDEX(Properties!A$1:CB$87,Formula!D108,57)),IF(INDEX(Properties!A$1:CB$87,Formula!F108,57)=0,10^6,INDEX(Properties!A$1:CB$87,Formula!F108,57)),IF(INDEX(Properties!A$1:CB$87,Formula!H108,57)=0,10^6,INDEX(Properties!A$1:CB$87,Formula!H108,57)),IF(INDEX(Properties!A$1:CB$87,Formula!J108,57)=0,10^6,INDEX(Properties!A$1:CB$87,Formula!J108,57)))</f>
        <v>0.22259000000000001</v>
      </c>
      <c r="FY108" s="60">
        <f t="shared" si="61"/>
        <v>11.17741</v>
      </c>
      <c r="FZ108" s="72">
        <f>((Formula!C108)/(Formula!C108+Formula!E108+Formula!G108+Formula!I108+Formula!K108))*(INDEX(Properties!A$1:CB$87,Formula!B108,60))+((Formula!E108)/(Formula!C108+Formula!E108+Formula!G108+Formula!I108+Formula!K108))*(INDEX(Properties!A$1:CB$87,Formula!D108,60))+((Formula!G108)/(Formula!C108+Formula!E108+Formula!G108+Formula!I108+Formula!K108))*(INDEX(Properties!A$1:CB$87,Formula!F108,60))+((Formula!I108)/(Formula!C108+Formula!E108+Formula!G108+Formula!I108+Formula!K108))*(INDEX(Properties!A$1:CB$87,Formula!H108,60))+((Formula!K108)/(Formula!C108+Formula!E108+Formula!G108+Formula!I108+Formula!K108))*(INDEX(Properties!A$1:CB$87,Formula!J108,60))</f>
        <v>7.9543171428571418</v>
      </c>
      <c r="GA108" s="72">
        <f>Formula!C108*(INDEX(Properties!A$1:CB$87,Formula!B108,60))+Formula!E108*(INDEX(Properties!A$1:CB$87,Formula!D108,60))+Formula!G108*(INDEX(Properties!A$1:CB$87,Formula!F108,60))+Formula!I108*(INDEX(Properties!A$1:CB$87,Formula!H108,60))+Formula!K108*(INDEX(Properties!A$1:CB$87,Formula!J108,60))</f>
        <v>55.680219999999991</v>
      </c>
      <c r="GB108" s="72">
        <f>VARP(IF(INDEX(Properties!A$1:CB$87,Formula!B108,60)&lt;&gt;"",INDEX(Properties!A$1:CB$87,Formula!B108,60)),IF(INDEX(Properties!A$1:CB$87,Formula!D108,60)&lt;&gt;"",INDEX(Properties!A$1:CB$87,Formula!D108,60)),IF(INDEX(Properties!A$1:CB$87,Formula!F108,60)&lt;&gt;"",INDEX(Properties!A$1:CB$87,Formula!F108,60)),IF(INDEX(Properties!A$1:CB$87,Formula!H108,60)&lt;&gt;"",INDEX(Properties!A$1:CB$87,Formula!H108,60)),IF(INDEX(Properties!A$1:CB$87,Formula!J108,60)&lt;&gt;"",INDEX(Properties!A$1:CB$87,Formula!J108,60)))</f>
        <v>50.667044644416002</v>
      </c>
      <c r="GC108" s="72">
        <f>MAX(INDEX(Properties!A$1:CB$87,Formula!B108,60),INDEX(Properties!A$1:CB$87,Formula!D108,60),INDEX(Properties!A$1:CB$87,Formula!F108,60),INDEX(Properties!A$1:CB$87,Formula!H108,60),INDEX(Properties!A$1:CB$87,Formula!J108,60))</f>
        <v>17.2</v>
      </c>
      <c r="GD108" s="72">
        <f>MIN(IF(INDEX(Properties!A$1:CB$87,Formula!B108,60)=0,10^6,INDEX(Properties!A$1:CB$87,Formula!B108,60)),IF(INDEX(Properties!A$1:CB$87,Formula!D108,60)=0,10^6,INDEX(Properties!A$1:CB$87,Formula!D108,60)),IF(INDEX(Properties!A$1:CB$87,Formula!F108,60)=0,10^6,INDEX(Properties!A$1:CB$87,Formula!F108,60)),IF(INDEX(Properties!A$1:CB$87,Formula!H108,60)=0,10^6,INDEX(Properties!A$1:CB$87,Formula!H108,60)),IF(INDEX(Properties!A$1:CB$87,Formula!J108,60)=0,10^6,INDEX(Properties!A$1:CB$87,Formula!J108,60)))</f>
        <v>2.674E-2</v>
      </c>
      <c r="GE108" s="72">
        <f t="shared" si="62"/>
        <v>17.173259999999999</v>
      </c>
      <c r="GF108" s="51">
        <f>((Formula!C108)/(Formula!C108+Formula!E108+Formula!G108+Formula!I108+Formula!K108))*(INDEX(Properties!A$1:CB$87,Formula!B108,62))+((Formula!E108)/(Formula!C108+Formula!E108+Formula!G108+Formula!I108+Formula!K108))*(INDEX(Properties!A$1:CB$87,Formula!D108,62))+((Formula!G108)/(Formula!C108+Formula!E108+Formula!G108+Formula!I108+Formula!K108))*(INDEX(Properties!A$1:CB$87,Formula!F108,62))+((Formula!I108)/(Formula!C108+Formula!E108+Formula!G108+Formula!I108+Formula!K108))*(INDEX(Properties!A$1:CB$87,Formula!H108,62))+((Formula!K108)/(Formula!C108+Formula!E108+Formula!G108+Formula!I108+Formula!K108))*(INDEX(Properties!A$1:CB$87,Formula!J108,62))</f>
        <v>3.5542857142857138</v>
      </c>
      <c r="GG108" s="51">
        <f>Formula!C108*(INDEX(Properties!A$1:CB$87,Formula!B108,62))+Formula!E108*(INDEX(Properties!A$1:CB$87,Formula!D108,62))+Formula!G108*(INDEX(Properties!A$1:CB$87,Formula!F108,62))+Formula!I108*(INDEX(Properties!A$1:CB$87,Formula!H108,62))+Formula!K108*(INDEX(Properties!A$1:CB$87,Formula!J108,62))</f>
        <v>24.88</v>
      </c>
      <c r="GH108" s="51">
        <f>VARP(IF(INDEX(Properties!A$1:CB$87,Formula!B108,62)&lt;&gt;"",INDEX(Properties!A$1:CB$87,Formula!B108,62)),IF(INDEX(Properties!A$1:CB$87,Formula!D108,62)&lt;&gt;"",INDEX(Properties!A$1:CB$87,Formula!D108,62)),IF(INDEX(Properties!A$1:CB$87,Formula!F108,62)&lt;&gt;"",INDEX(Properties!A$1:CB$87,Formula!F108,62)),IF(INDEX(Properties!A$1:CB$87,Formula!H108,62)&lt;&gt;"",INDEX(Properties!A$1:CB$87,Formula!H108,62)),IF(INDEX(Properties!A$1:CB$87,Formula!J108,62)&lt;&gt;"",INDEX(Properties!A$1:CB$87,Formula!J108,62)))</f>
        <v>3.6651040000000012</v>
      </c>
      <c r="GI108" s="51">
        <f>MAX(INDEX(Properties!A$1:CB$87,Formula!B108,62),INDEX(Properties!A$1:CB$87,Formula!D108,62),INDEX(Properties!A$1:CB$87,Formula!F108,62),INDEX(Properties!A$1:CB$87,Formula!H108,62),INDEX(Properties!A$1:CB$87,Formula!J108,62))</f>
        <v>4.37</v>
      </c>
      <c r="GJ108" s="51">
        <f>MIN(IF(INDEX(Properties!A$1:CB$87,Formula!B108,62)=0,10^6,INDEX(Properties!A$1:CB$87,Formula!B108,62)),IF(INDEX(Properties!A$1:CB$87,Formula!D108,62)=0,10^6,INDEX(Properties!A$1:CB$87,Formula!D108,62)),IF(INDEX(Properties!A$1:CB$87,Formula!F108,62)=0,10^6,INDEX(Properties!A$1:CB$87,Formula!F108,62)),IF(INDEX(Properties!A$1:CB$87,Formula!H108,62)=0,10^6,INDEX(Properties!A$1:CB$87,Formula!H108,62)),IF(INDEX(Properties!A$1:CB$87,Formula!J108,62)=0,10^6,INDEX(Properties!A$1:CB$87,Formula!J108,62)))</f>
        <v>2.62</v>
      </c>
      <c r="GK108" s="51">
        <f t="shared" si="63"/>
        <v>1.75</v>
      </c>
      <c r="GL108" s="51">
        <f>Formula!P108</f>
        <v>199</v>
      </c>
      <c r="GM108" s="57">
        <f>Formula!O108</f>
        <v>7</v>
      </c>
      <c r="GN108" s="51">
        <f>Formula!N108</f>
        <v>7.0000000000000007E-2</v>
      </c>
    </row>
    <row r="109" spans="1:196" x14ac:dyDescent="0.3">
      <c r="A109" s="84" t="str">
        <f>Formula!A109</f>
        <v>Lu2Sn2O7</v>
      </c>
      <c r="B109" s="89">
        <f>((Formula!C109)/(Formula!C109+Formula!E109+Formula!G109+Formula!I109+Formula!K109))*(INDEX(Properties!A$1:CB$87,Formula!B109,3))+((Formula!E109)/(Formula!C109+Formula!E109+Formula!G109+Formula!I109+Formula!K109))*(INDEX(Properties!A$1:CB$87,Formula!D109,3))+((Formula!G109)/(Formula!C109+Formula!E109+Formula!G109+Formula!I109+Formula!K109))*(INDEX(Properties!A$1:CB$87,Formula!F109,3))+((Formula!I109)/(Formula!C109+Formula!E109+Formula!G109+Formula!I109+Formula!K109))*(INDEX(Properties!A$1:CB$87,Formula!H109,3))+((Formula!K109)/(Formula!C109+Formula!E109+Formula!G109+Formula!I109+Formula!K109))*(INDEX(Properties!A$1:CB$87,Formula!J109,3))</f>
        <v>63.577254545454551</v>
      </c>
      <c r="C109" s="85">
        <f>Formula!C109*(INDEX(Properties!A$1:CB$87,Formula!B109,3))+Formula!E109*(INDEX(Properties!A$1:CB$87,Formula!D109,3))+Formula!G109*(INDEX(Properties!A$1:CB$87,Formula!F109,3))+Formula!I109*(INDEX(Properties!A$1:CB$87,Formula!H109,3))+Formula!K109*(INDEX(Properties!A$1:CB$87,Formula!J109,3))</f>
        <v>699.34980000000007</v>
      </c>
      <c r="D109" s="85">
        <f>VARP(IF(INDEX(Properties!A$1:CB$87,Formula!B109,3)&lt;&gt;"",INDEX(Properties!A$1:CB$87,Formula!B109,3)),IF(INDEX(Properties!A$1:CB$87,Formula!D109,3)&lt;&gt;"",INDEX(Properties!A$1:CB$87,Formula!D109,3)),IF(INDEX(Properties!A$1:CB$87,Formula!F109,3)&lt;&gt;"",INDEX(Properties!A$1:CB$87,Formula!F109,3)),IF(INDEX(Properties!A$1:CB$87,Formula!H109,3)&lt;&gt;"",INDEX(Properties!A$1:CB$87,Formula!H109,3)),IF(INDEX(Properties!A$1:CB$87,Formula!J109,3)&lt;&gt;"",INDEX(Properties!A$1:CB$87,Formula!J109,3)))</f>
        <v>5156.3202891936007</v>
      </c>
      <c r="E109" s="85">
        <f>MAX(INDEX(Properties!A$1:CB$87,Formula!B109,3),INDEX(Properties!A$1:CB$87,Formula!D109,3),INDEX(Properties!A$1:CB$87,Formula!F109,3),INDEX(Properties!A$1:CB$87,Formula!H109,3),INDEX(Properties!A$1:CB$87,Formula!J109,3))</f>
        <v>174.96700000000001</v>
      </c>
      <c r="F109" s="85">
        <f>MIN(IF(INDEX(Properties!A$1:CB$87,Formula!B109,3)=0,10^6,INDEX(Properties!A$1:CB$87,Formula!B109,3)),IF(INDEX(Properties!A$1:CB$87,Formula!D109,3)=0,10^6,INDEX(Properties!A$1:CB$87,Formula!D109,3)),IF(INDEX(Properties!A$1:CB$87,Formula!F109,3)=0,10^6,INDEX(Properties!A$1:CB$87,Formula!F109,3)),IF(INDEX(Properties!A$1:CB$87,Formula!H109,3)=0,10^6,INDEX(Properties!A$1:CB$87,Formula!H109,3)),IF(INDEX(Properties!A$1:CB$87,Formula!J109,3)=0,10^6,INDEX(Properties!A$1:CB$87,Formula!J109,3)))</f>
        <v>15.9994</v>
      </c>
      <c r="G109" s="85">
        <f t="shared" si="32"/>
        <v>158.9676</v>
      </c>
      <c r="H109" s="87">
        <f>((Formula!C109)/(Formula!C109+Formula!E109+Formula!G109+Formula!I109+Formula!K109))*(INDEX(Properties!A$1:CB$87,Formula!B109,4))+((Formula!E109)/(Formula!C109+Formula!E109+Formula!G109+Formula!I109+Formula!K109))*(INDEX(Properties!A$1:CB$87,Formula!D109,4))+((Formula!G109)/(Formula!C109+Formula!E109+Formula!G109+Formula!I109+Formula!K109))*(INDEX(Properties!A$1:CB$87,Formula!F109,4))+((Formula!I109)/(Formula!C109+Formula!E109+Formula!G109+Formula!I109+Formula!K109))*(INDEX(Properties!A$1:CB$87,Formula!H109,4))+((Formula!K109)/(Formula!C109+Formula!E109+Formula!G109+Formula!I109+Formula!K109))*(INDEX(Properties!A$1:CB$87,Formula!J109,4))</f>
        <v>27.09090909090909</v>
      </c>
      <c r="I109" s="87">
        <f>Formula!C109*(INDEX(Properties!A$1:CB$87,Formula!B109,4))+Formula!E109*(INDEX(Properties!A$1:CB$87,Formula!D109,4))+Formula!G109*(INDEX(Properties!A$1:CB$87,Formula!F109,4))+Formula!I109*(INDEX(Properties!A$1:CB$87,Formula!H109,4))+Formula!K109*(INDEX(Properties!A$1:CB$87,Formula!J109,4))</f>
        <v>298</v>
      </c>
      <c r="J109" s="87">
        <f>VARP(IF(INDEX(Properties!A$1:CB$87,Formula!B109,4)&lt;&gt;"",INDEX(Properties!A$1:CB$87,Formula!B109,4)),IF(INDEX(Properties!A$1:CB$87,Formula!D109,4)&lt;&gt;"",INDEX(Properties!A$1:CB$87,Formula!D109,4)),IF(INDEX(Properties!A$1:CB$87,Formula!F109,4)&lt;&gt;"",INDEX(Properties!A$1:CB$87,Formula!F109,4)),IF(INDEX(Properties!A$1:CB$87,Formula!H109,4)&lt;&gt;"",INDEX(Properties!A$1:CB$87,Formula!H109,4)),IF(INDEX(Properties!A$1:CB$87,Formula!J109,4)&lt;&gt;"",INDEX(Properties!A$1:CB$87,Formula!J109,4)))</f>
        <v>855.36</v>
      </c>
      <c r="K109" s="87">
        <f>MAX(INDEX(Properties!A$1:CB$87,Formula!B109,4),INDEX(Properties!A$1:CB$87,Formula!D109,4),INDEX(Properties!A$1:CB$87,Formula!F109,4),INDEX(Properties!A$1:CB$87,Formula!H109,4),INDEX(Properties!A$1:CB$87,Formula!J109,4))</f>
        <v>71</v>
      </c>
      <c r="L109" s="87">
        <f>MIN(IF(INDEX(Properties!A$1:CB$87,Formula!B109,4)=0,10^6,INDEX(Properties!A$1:CB$87,Formula!B109,4)),IF(INDEX(Properties!A$1:CB$87,Formula!D109,4)=0,10^6,INDEX(Properties!A$1:CB$87,Formula!D109,4)),IF(INDEX(Properties!A$1:CB$87,Formula!F109,4)=0,10^6,INDEX(Properties!A$1:CB$87,Formula!F109,4)),IF(INDEX(Properties!A$1:CB$87,Formula!H109,4)=0,10^6,INDEX(Properties!A$1:CB$87,Formula!H109,4)),IF(INDEX(Properties!A$1:CB$87,Formula!J109,4)=0,10^6,INDEX(Properties!A$1:CB$87,Formula!J109,4)))</f>
        <v>8</v>
      </c>
      <c r="M109" s="87">
        <f t="shared" si="33"/>
        <v>63</v>
      </c>
      <c r="N109" s="89">
        <f>((Formula!C109)/(Formula!C109+Formula!E109+Formula!G109+Formula!I109+Formula!K109))*(INDEX(Properties!A$1:CB$87,Formula!B109,5))+((Formula!E109)/(Formula!C109+Formula!E109+Formula!G109+Formula!I109+Formula!K109))*(INDEX(Properties!A$1:CB$87,Formula!D109,5))+((Formula!G109)/(Formula!C109+Formula!E109+Formula!G109+Formula!I109+Formula!K109))*(INDEX(Properties!A$1:CB$87,Formula!F109,5))+((Formula!I109)/(Formula!C109+Formula!E109+Formula!G109+Formula!I109+Formula!K109))*(INDEX(Properties!A$1:CB$87,Formula!H109,5))+((Formula!K109)/(Formula!C109+Formula!E109+Formula!G109+Formula!I109+Formula!K109))*(INDEX(Properties!A$1:CB$87,Formula!J109,5))</f>
        <v>3.2727272727272725</v>
      </c>
      <c r="O109" s="89">
        <f>Formula!C109*(INDEX(Properties!A$1:CB$87,Formula!B109,5))+Formula!E109*(INDEX(Properties!A$1:CB$87,Formula!D109,5))+Formula!G109*(INDEX(Properties!A$1:CB$87,Formula!F109,5))+Formula!I109*(INDEX(Properties!A$1:CB$87,Formula!H109,5))+Formula!K109*(INDEX(Properties!A$1:CB$87,Formula!J109,5))</f>
        <v>36</v>
      </c>
      <c r="P109" s="89">
        <f>VARP(IF(INDEX(Properties!A$1:CB$87,Formula!B109,5)&lt;&gt;"",INDEX(Properties!A$1:CB$87,Formula!B109,5)),IF(INDEX(Properties!A$1:CB$87,Formula!D109,5)&lt;&gt;"",INDEX(Properties!A$1:CB$87,Formula!D109,5)),IF(INDEX(Properties!A$1:CB$87,Formula!F109,5)&lt;&gt;"",INDEX(Properties!A$1:CB$87,Formula!F109,5)),IF(INDEX(Properties!A$1:CB$87,Formula!H109,5)&lt;&gt;"",INDEX(Properties!A$1:CB$87,Formula!H109,5)),IF(INDEX(Properties!A$1:CB$87,Formula!J109,5)&lt;&gt;"",INDEX(Properties!A$1:CB$87,Formula!J109,5)))</f>
        <v>6.24</v>
      </c>
      <c r="Q109" s="89">
        <f>MAX(INDEX(Properties!A$1:CB$87,Formula!B109,5),INDEX(Properties!A$1:CB$87,Formula!D109,5),INDEX(Properties!A$1:CB$87,Formula!F109,5),INDEX(Properties!A$1:CB$87,Formula!H109,5),INDEX(Properties!A$1:CB$87,Formula!J109,5))</f>
        <v>6</v>
      </c>
      <c r="R109" s="89">
        <f>MIN(IF(INDEX(Properties!A$1:CB$87,Formula!B109,5)=0,10^6,INDEX(Properties!A$1:CB$87,Formula!B109,5)),IF(INDEX(Properties!A$1:CB$87,Formula!D109,5)=0,10^6,INDEX(Properties!A$1:CB$87,Formula!D109,5)),IF(INDEX(Properties!A$1:CB$87,Formula!F109,5)=0,10^6,INDEX(Properties!A$1:CB$87,Formula!F109,5)),IF(INDEX(Properties!A$1:CB$87,Formula!H109,5)=0,10^6,INDEX(Properties!A$1:CB$87,Formula!H109,5)),IF(INDEX(Properties!A$1:CB$87,Formula!J109,5)=0,10^6,INDEX(Properties!A$1:CB$87,Formula!J109,5)))</f>
        <v>2</v>
      </c>
      <c r="S109" s="89">
        <f t="shared" si="34"/>
        <v>4</v>
      </c>
      <c r="T109" s="60">
        <f>((Formula!C109)/(Formula!C109+Formula!E109+Formula!G109+Formula!I109+Formula!K109))*(INDEX(Properties!A$1:CB$87,Formula!B109,6))+((Formula!E109)/(Formula!C109+Formula!E109+Formula!G109+Formula!I109+Formula!K109))*(INDEX(Properties!A$1:CB$87,Formula!D109,6))+((Formula!G109)/(Formula!C109+Formula!E109+Formula!G109+Formula!I109+Formula!K109))*(INDEX(Properties!A$1:CB$87,Formula!F109,6))+((Formula!I109)/(Formula!C109+Formula!E109+Formula!G109+Formula!I109+Formula!K109))*(INDEX(Properties!A$1:CB$87,Formula!H109,6))+((Formula!K109)/(Formula!C109+Formula!E109+Formula!G109+Formula!I109+Formula!K109))*(INDEX(Properties!A$1:CB$87,Formula!J109,6))</f>
        <v>13.272727272727273</v>
      </c>
      <c r="U109" s="60">
        <f>Formula!C109*(INDEX(Properties!A$1:CB$87,Formula!B109,6))+Formula!E109*(INDEX(Properties!A$1:CB$87,Formula!D109,6))+Formula!G109*(INDEX(Properties!A$1:CB$87,Formula!F109,6))+Formula!I109*(INDEX(Properties!A$1:CB$87,Formula!H109,6))+Formula!K109*(INDEX(Properties!A$1:CB$87,Formula!J109,6))</f>
        <v>146</v>
      </c>
      <c r="V109" s="89">
        <f>VARP(IF(INDEX(Properties!A$1:CB$87,Formula!B109,6)&lt;&gt;"",INDEX(Properties!A$1:CB$87,Formula!B109,6)),IF(INDEX(Properties!A$1:CB$87,Formula!D109,6)&lt;&gt;"",INDEX(Properties!A$1:CB$87,Formula!D109,6)),IF(INDEX(Properties!A$1:CB$87,Formula!F109,6)&lt;&gt;"",INDEX(Properties!A$1:CB$87,Formula!F109,6)),IF(INDEX(Properties!A$1:CB$87,Formula!H109,6)&lt;&gt;"",INDEX(Properties!A$1:CB$87,Formula!H109,6)),IF(INDEX(Properties!A$1:CB$87,Formula!J109,6)&lt;&gt;"",INDEX(Properties!A$1:CB$87,Formula!J109,6)))</f>
        <v>48.64</v>
      </c>
      <c r="W109" s="60">
        <f>MAX(INDEX(Properties!A$1:CB$87,Formula!B109,6),INDEX(Properties!A$1:CB$87,Formula!D109,6),INDEX(Properties!A$1:CB$87,Formula!F109,6),INDEX(Properties!A$1:CB$87,Formula!H109,4),INDEX(Properties!A$1:CB$87,Formula!J109,6))</f>
        <v>16</v>
      </c>
      <c r="X109" s="60">
        <f>MIN(IF(INDEX(Properties!A$1:CB$87,Formula!B109,6)=0,10^6,INDEX(Properties!A$1:CB$87,Formula!B109,6)),IF(INDEX(Properties!A$1:CB$87,Formula!D109,6)=0,10^6,INDEX(Properties!A$1:CB$87,Formula!D109,6)),IF(INDEX(Properties!A$1:CB$87,Formula!F109,6)=0,10^6,INDEX(Properties!A$1:CB$87,Formula!F109,6)),IF(INDEX(Properties!A$1:CB$87,Formula!H109,6)=0,10^6,INDEX(Properties!A$1:CB$87,Formula!H109,6)),IF(INDEX(Properties!A$1:CB$87,Formula!J109,6)=0,10^6,INDEX(Properties!A$1:CB$87,Formula!J109,6)))</f>
        <v>3</v>
      </c>
      <c r="Y109" s="60">
        <f t="shared" si="35"/>
        <v>13</v>
      </c>
      <c r="Z109" s="72">
        <f>((Formula!C109)/(Formula!C109+Formula!E109+Formula!G109+Formula!I109+Formula!K109))*(INDEX(Properties!A$1:CB$87,Formula!B109,9))+((Formula!E109)/(Formula!C109+Formula!E109+Formula!G109+Formula!I109+Formula!K109))*(INDEX(Properties!A$1:CB$87,Formula!D109,9))+((Formula!G109)/(Formula!C109+Formula!E109+Formula!G109+Formula!I109+Formula!K109))*(INDEX(Properties!A$1:CB$87,Formula!F109,9))+((Formula!I109)/(Formula!C109+Formula!E109+Formula!G109+Formula!I109+Formula!K109))*(INDEX(Properties!A$1:CB$87,Formula!H109,9))+((Formula!K109)/(Formula!C109+Formula!E109+Formula!G109+Formula!I109+Formula!K109))*(INDEX(Properties!A$1:CB$87,Formula!J109,9))</f>
        <v>77.36363636363636</v>
      </c>
      <c r="AA109" s="72">
        <f>Formula!C109*(INDEX(Properties!A$1:CB$87,Formula!B109,9))+Formula!E109*(INDEX(Properties!A$1:CB$87,Formula!D109,9))+Formula!G109*(INDEX(Properties!A$1:CB$87,Formula!F109,9))+Formula!I109*(INDEX(Properties!A$1:CB$87,Formula!H109,9))+Formula!K109*(INDEX(Properties!A$1:CB$87,Formula!J109,9))</f>
        <v>851</v>
      </c>
      <c r="AB109" s="72">
        <f>VARP(IF(INDEX(Properties!A$1:CB$87,Formula!B109,9)&lt;&gt;"",INDEX(Properties!A$1:CB$87,Formula!B109,9)),IF(INDEX(Properties!A$1:CB$87,Formula!D109,9)&lt;&gt;"",INDEX(Properties!A$1:CB$87,Formula!D109,9)),IF(INDEX(Properties!A$1:CB$87,Formula!F109,9)&lt;&gt;"",INDEX(Properties!A$1:CB$87,Formula!F109,9)),IF(INDEX(Properties!A$1:CB$87,Formula!H109,9)&lt;&gt;"",INDEX(Properties!A$1:CB$87,Formula!H109,9)),IF(INDEX(Properties!A$1:CB$87,Formula!J109,9)&lt;&gt;"",INDEX(Properties!A$1:CB$87,Formula!J109,9)))</f>
        <v>1399.44</v>
      </c>
      <c r="AC109" s="72">
        <f>MAX(INDEX(Properties!A$1:CB$87,Formula!B109,9),INDEX(Properties!A$1:CB$87,Formula!D109,9),INDEX(Properties!A$1:CB$87,Formula!F109,9),INDEX(Properties!A$1:CB$87,Formula!H109,9),INDEX(Properties!A$1:CB$87,Formula!J109,9))</f>
        <v>87</v>
      </c>
      <c r="AD109" s="72">
        <f>MIN(IF(INDEX(Properties!A$1:CB$87,Formula!B109,9)=0,10^6,INDEX(Properties!A$1:CB$87,Formula!B109,9)),IF(INDEX(Properties!A$1:CB$87,Formula!D109,9)=0,10^6,INDEX(Properties!A$1:CB$87,Formula!D109,9)),IF(INDEX(Properties!A$1:CB$87,Formula!F109,9)=0,10^6,INDEX(Properties!A$1:CB$87,Formula!F109,9)),IF(INDEX(Properties!A$1:CB$87,Formula!H109,9)=0,10^6,INDEX(Properties!A$1:CB$87,Formula!H109,9)),IF(INDEX(Properties!A$1:CB$87,Formula!J109,9)=0,10^6,INDEX(Properties!A$1:CB$87,Formula!J109,9)))</f>
        <v>41</v>
      </c>
      <c r="AE109" s="72">
        <f t="shared" si="36"/>
        <v>46</v>
      </c>
      <c r="AF109" s="51">
        <f>((Formula!C109)/(Formula!C109+Formula!E109+Formula!G109+Formula!I109+Formula!K109))*(INDEX(Properties!A$1:CB$87,Formula!B109,10))+((Formula!E109)/(Formula!C109+Formula!E109+Formula!G109+Formula!I109+Formula!K109))*(INDEX(Properties!A$1:CB$87,Formula!D109,10))+((Formula!G109)/(Formula!C109+Formula!E109+Formula!G109+Formula!I109+Formula!K109))*(INDEX(Properties!A$1:CB$87,Formula!F109,10))+((Formula!I109)/(Formula!C109+Formula!E109+Formula!G109+Formula!I109+Formula!K109))*(INDEX(Properties!A$1:CB$87,Formula!H109,10))+((Formula!K109)/(Formula!C109+Formula!E109+Formula!G109+Formula!I109+Formula!K109))*(INDEX(Properties!A$1:CB$87,Formula!J109,10))</f>
        <v>5.9090909090909083</v>
      </c>
      <c r="AG109" s="51">
        <f>Formula!C109*(INDEX(Properties!A$1:CB$87,Formula!B109,10))+Formula!E109*(INDEX(Properties!A$1:CB$87,Formula!D109,10))+Formula!G109*(INDEX(Properties!A$1:CB$87,Formula!F109,10))+Formula!I109*(INDEX(Properties!A$1:CB$87,Formula!H109,10))+Formula!K109*(INDEX(Properties!A$1:CB$87,Formula!J109,10))</f>
        <v>65</v>
      </c>
      <c r="AH109" s="51">
        <f>VARP(IF(INDEX(Properties!A$1:CB$87,Formula!B109,10)&lt;&gt;"",INDEX(Properties!A$1:CB$87,Formula!B109,10)),IF(INDEX(Properties!A$1:CB$87,Formula!D109,10)&lt;&gt;"",INDEX(Properties!A$1:CB$87,Formula!D109,10)),IF(INDEX(Properties!A$1:CB$87,Formula!F109,10)&lt;&gt;"",INDEX(Properties!A$1:CB$87,Formula!F109,10)),IF(INDEX(Properties!A$1:CB$87,Formula!H109,10)&lt;&gt;"",INDEX(Properties!A$1:CB$87,Formula!H109,10)),IF(INDEX(Properties!A$1:CB$87,Formula!J109,10)&lt;&gt;"",INDEX(Properties!A$1:CB$87,Formula!J109,10)))</f>
        <v>7.6</v>
      </c>
      <c r="AI109" s="51">
        <f>MAX(INDEX(Properties!A$1:CB$87,Formula!B109,10),INDEX(Properties!A$1:CB$87,Formula!D109,10),INDEX(Properties!A$1:CB$87,Formula!F109,10),INDEX(Properties!A$1:CB$87,Formula!H109,10),INDEX(Properties!A$1:CB$87,Formula!J109,10))</f>
        <v>7</v>
      </c>
      <c r="AJ109" s="51">
        <f>MIN(IF(INDEX(Properties!A$1:CB$87,Formula!B109,10)=0,10^6,INDEX(Properties!A$1:CB$87,Formula!B109,10)),IF(INDEX(Properties!A$1:CB$87,Formula!D109,10)=0,10^6,INDEX(Properties!A$1:CB$87,Formula!D109,10)),IF(INDEX(Properties!A$1:CB$87,Formula!F109,10)=0,10^6,INDEX(Properties!A$1:CB$87,Formula!F109,10)),IF(INDEX(Properties!A$1:CB$87,Formula!H109,10)=0,10^6,INDEX(Properties!A$1:CB$87,Formula!H109,10)),IF(INDEX(Properties!A$1:CB$87,Formula!J109,10)=0,10^6,INDEX(Properties!A$1:CB$87,Formula!J109,10)))</f>
        <v>3</v>
      </c>
      <c r="AK109" s="51">
        <f t="shared" si="37"/>
        <v>4</v>
      </c>
      <c r="AL109" s="57">
        <f>((Formula!C109)/(Formula!C109+Formula!E109+Formula!G109+Formula!I109+Formula!K109))*(INDEX(Properties!A$1:CB$87,Formula!B109,11))+((Formula!E109)/(Formula!C109+Formula!E109+Formula!G109+Formula!I109+Formula!K109))*(INDEX(Properties!A$1:CB$87,Formula!D109,11))+((Formula!G109)/(Formula!C109+Formula!E109+Formula!G109+Formula!I109+Formula!K109))*(INDEX(Properties!A$1:CB$87,Formula!F109,11))+((Formula!I109)/(Formula!C109+Formula!E109+Formula!G109+Formula!I109+Formula!K109))*(INDEX(Properties!A$1:CB$87,Formula!H109,11))+((Formula!K109)/(Formula!C109+Formula!E109+Formula!G109+Formula!I109+Formula!K109))*(INDEX(Properties!A$1:CB$87,Formula!J109,11))</f>
        <v>2</v>
      </c>
      <c r="AM109" s="57">
        <f>Formula!C109*(INDEX(Properties!A$1:CB$87,Formula!B109,11))+Formula!E109*(INDEX(Properties!A$1:CB$87,Formula!D109,11))+Formula!G109*(INDEX(Properties!A$1:CB$87,Formula!F109,11))+Formula!I109*(INDEX(Properties!A$1:CB$87,Formula!H109,11))+Formula!K109*(INDEX(Properties!A$1:CB$87,Formula!J109,11))</f>
        <v>22</v>
      </c>
      <c r="AN109" s="57">
        <f>VARP(IF(INDEX(Properties!A$1:CB$87,Formula!B109,11)&lt;&gt;"",INDEX(Properties!A$1:CB$87,Formula!B109,11)),IF(INDEX(Properties!A$1:CB$87,Formula!D109,11)&lt;&gt;"",INDEX(Properties!A$1:CB$87,Formula!D109,11)),IF(INDEX(Properties!A$1:CB$87,Formula!F109,11)&lt;&gt;"",INDEX(Properties!A$1:CB$87,Formula!F109,11)),IF(INDEX(Properties!A$1:CB$87,Formula!H109,11)&lt;&gt;"",INDEX(Properties!A$1:CB$87,Formula!H109,11)),IF(INDEX(Properties!A$1:CB$87,Formula!J109,11)&lt;&gt;"",INDEX(Properties!A$1:CB$87,Formula!J109,11)))</f>
        <v>0.96</v>
      </c>
      <c r="AO109" s="57">
        <f>MAX(INDEX(Properties!A$1:CB$87,Formula!B109,11),INDEX(Properties!A$1:CB$87,Formula!D109,11),INDEX(Properties!A$1:CB$87,Formula!F109,11),INDEX(Properties!A$1:CB$87,Formula!H109,11),INDEX(Properties!A$1:CB$87,Formula!J109,11))</f>
        <v>2</v>
      </c>
      <c r="AP109" s="57">
        <f>MIN(IF(Formula!B109=87,10^6,INDEX(Properties!A$1:CB$87,Formula!B109,11)),IF((Formula!D109)=87,10^6,INDEX(Properties!A$1:CB$87,Formula!D109,11)),IF((Formula!F109)=87,10^6,INDEX(Properties!A$1:CB$87,Formula!F109,11)),IF((Formula!H109)=87,10^6,INDEX(Properties!A$1:CB$87,Formula!H109,11)),IF(Formula!J109=87,10^6,INDEX(Properties!A$1:CB$87,Formula!J109,11)))</f>
        <v>2</v>
      </c>
      <c r="AQ109" s="57">
        <f t="shared" si="38"/>
        <v>0</v>
      </c>
      <c r="AR109" s="78">
        <f>((Formula!C109)/(Formula!C109+Formula!E109+Formula!G109+Formula!I109+Formula!K109))*(INDEX(Properties!A$1:CB$87,Formula!B109,12))+((Formula!E109)/(Formula!C109+Formula!E109+Formula!G109+Formula!I109+Formula!K109))*(INDEX(Properties!A$1:CB$87,Formula!D109,12))+((Formula!G109)/(Formula!C109+Formula!E109+Formula!G109+Formula!I109+Formula!K109))*(INDEX(Properties!A$1:CB$87,Formula!F109,12))+((Formula!I109)/(Formula!C109+Formula!E109+Formula!G109+Formula!I109+Formula!K109))*(INDEX(Properties!A$1:CB$87,Formula!H109,12))+((Formula!K109)/(Formula!C109+Formula!E109+Formula!G109+Formula!I109+Formula!K109))*(INDEX(Properties!A$1:CB$87,Formula!J109,12))</f>
        <v>2.9090909090909092</v>
      </c>
      <c r="AS109" s="78">
        <f>Formula!C109*(INDEX(Properties!A$1:CB$87,Formula!B109,12))+Formula!E109*(INDEX(Properties!A$1:CB$87,Formula!D109,12))+Formula!G109*(INDEX(Properties!A$1:CB$87,Formula!F109,12))+Formula!I109*(INDEX(Properties!A$1:CB$87,Formula!H109,12))+Formula!K109*(INDEX(Properties!A$1:CB$87,Formula!J109,12))</f>
        <v>32</v>
      </c>
      <c r="AT109" s="78">
        <f>VARP(IF(INDEX(Properties!A$1:CB$87,Formula!B109,12)&lt;&gt;"",INDEX(Properties!A$1:CB$87,Formula!B109,12)),IF(INDEX(Properties!A$1:CB$87,Formula!D109,12)&lt;&gt;"",INDEX(Properties!A$1:CB$87,Formula!D109,12)),IF(INDEX(Properties!A$1:CB$87,Formula!F109,12)&lt;&gt;"",INDEX(Properties!A$1:CB$87,Formula!F109,12)),IF(INDEX(Properties!A$1:CB$87,Formula!H109,12)&lt;&gt;"",INDEX(Properties!A$1:CB$87,Formula!H109,12)),IF(INDEX(Properties!A$1:CB$87,Formula!J109,12)&lt;&gt;"",INDEX(Properties!A$1:CB$87,Formula!J109,12)))</f>
        <v>2.56</v>
      </c>
      <c r="AU109" s="78">
        <f>MAX(INDEX(Properties!A$1:CB$87,Formula!B109,12),INDEX(Properties!A$1:CB$87,Formula!D109,12),INDEX(Properties!A$1:CB$87,Formula!F109,12),INDEX(Properties!A$1:CB$87,Formula!H109,12),INDEX(Properties!A$1:CB$87,Formula!J109,12))</f>
        <v>4</v>
      </c>
      <c r="AV109" s="78">
        <f>MIN(IF(Formula!B109=87,10^6,INDEX(Properties!A$1:CB$87,Formula!B109,12)),IF((Formula!D109)=87,10^6,INDEX(Properties!A$1:CB$87,Formula!D109,12)),IF((Formula!F109)=87,10^6,INDEX(Properties!A$1:CB$87,Formula!F109,12)),IF((Formula!H109)=87,10^6,INDEX(Properties!A$1:CB$87,Formula!H109,12)),IF(Formula!J109=87,10^6,INDEX(Properties!A$1:CB$87,Formula!J109,12)))</f>
        <v>0</v>
      </c>
      <c r="AW109" s="78">
        <f t="shared" si="39"/>
        <v>4</v>
      </c>
      <c r="AX109" s="45">
        <f>((Formula!C109)/(Formula!C109+Formula!E109+Formula!G109+Formula!I109+Formula!K109))*(INDEX(Properties!A$1:CB$87,Formula!B109,13))+((Formula!E109)/(Formula!C109+Formula!E109+Formula!G109+Formula!I109+Formula!K109))*(INDEX(Properties!A$1:CB$87,Formula!D109,13))+((Formula!G109)/(Formula!C109+Formula!E109+Formula!G109+Formula!I109+Formula!K109))*(INDEX(Properties!A$1:CB$87,Formula!F109,13))+((Formula!I109)/(Formula!C109+Formula!E109+Formula!G109+Formula!I109+Formula!K109))*(INDEX(Properties!A$1:CB$87,Formula!H109,13))+((Formula!K109)/(Formula!C109+Formula!E109+Formula!G109+Formula!I109+Formula!K109))*(INDEX(Properties!A$1:CB$87,Formula!J109,13))</f>
        <v>2</v>
      </c>
      <c r="AY109" s="45">
        <f>Formula!C109*(INDEX(Properties!A$1:CB$87,Formula!B109,13))+Formula!E109*(INDEX(Properties!A$1:CB$87,Formula!D109,13))+Formula!G109*(INDEX(Properties!A$1:CB$87,Formula!F109,13))+Formula!I109*(INDEX(Properties!A$1:CB$87,Formula!H109,13))+Formula!K109*(INDEX(Properties!A$1:CB$87,Formula!J109,13))</f>
        <v>22</v>
      </c>
      <c r="AZ109" s="45">
        <f>VARP(IF(INDEX(Properties!A$1:CB$87,Formula!B109,13)&lt;&gt;"",INDEX(Properties!A$1:CB$87,Formula!B109,13)),IF(INDEX(Properties!A$1:CB$87,Formula!D109,13)&lt;&gt;"",INDEX(Properties!A$1:CB$87,Formula!D109,13)),IF(INDEX(Properties!A$1:CB$87,Formula!F109,13)&lt;&gt;"",INDEX(Properties!A$1:CB$87,Formula!F109,13)),IF(INDEX(Properties!A$1:CB$87,Formula!H109,13)&lt;&gt;"",INDEX(Properties!A$1:CB$87,Formula!H109,13)),IF(INDEX(Properties!A$1:CB$87,Formula!J109,13)&lt;&gt;"",INDEX(Properties!A$1:CB$87,Formula!J109,13)))</f>
        <v>15.36</v>
      </c>
      <c r="BA109" s="45">
        <f>MAX(INDEX(Properties!A$1:CB$87,Formula!B109,13),INDEX(Properties!A$1:CB$87,Formula!D109,13),INDEX(Properties!A$1:CB$87,Formula!F109,13),INDEX(Properties!A$1:CB$87,Formula!H109,13),INDEX(Properties!A$1:CB$87,Formula!J109,13))</f>
        <v>10</v>
      </c>
      <c r="BB109" s="45">
        <f>MIN(IF(Formula!B109=87,10^6,INDEX(Properties!A$1:CB$87,Formula!B109,13)),IF((Formula!D109)=87,10^6,INDEX(Properties!A$1:CB$87,Formula!D109,13)),IF((Formula!F109)=87,10^6,INDEX(Properties!A$1:CB$87,Formula!F109,13)),IF((Formula!H109)=87,10^6,INDEX(Properties!A$1:CB$87,Formula!H109,13)),IF(Formula!J109=87,10^6,INDEX(Properties!A$1:CB$87,Formula!J109,13)))</f>
        <v>0</v>
      </c>
      <c r="BC109" s="45">
        <f t="shared" si="40"/>
        <v>10</v>
      </c>
      <c r="BD109" s="63">
        <f>((Formula!C109)/(Formula!C109+Formula!E109+Formula!G109+Formula!I109+Formula!K109))*(INDEX(Properties!A$1:CB$87,Formula!B109,14))+((Formula!E109)/(Formula!C109+Formula!E109+Formula!G109+Formula!I109+Formula!K109))*(INDEX(Properties!A$1:CB$87,Formula!D109,14))+((Formula!G109)/(Formula!C109+Formula!E109+Formula!G109+Formula!I109+Formula!K109))*(INDEX(Properties!A$1:CB$87,Formula!F109,14))+((Formula!I109)/(Formula!C109+Formula!E109+Formula!G109+Formula!I109+Formula!K109))*(INDEX(Properties!A$1:CB$87,Formula!H109,14))+((Formula!K109)/(Formula!C109+Formula!E109+Formula!G109+Formula!I109+Formula!K109))*(INDEX(Properties!A$1:CB$87,Formula!J109,14))</f>
        <v>2.5454545454545454</v>
      </c>
      <c r="BE109" s="63">
        <f>Formula!C109*(INDEX(Properties!A$1:CB$87,Formula!B109,14))+Formula!E109*(INDEX(Properties!A$1:CB$87,Formula!D109,14))+Formula!G109*(INDEX(Properties!A$1:CB$87,Formula!F109,14))+Formula!I109*(INDEX(Properties!A$1:CB$87,Formula!H109,14))+Formula!K109*(INDEX(Properties!A$1:CB$87,Formula!J109,14))</f>
        <v>28</v>
      </c>
      <c r="BF109" s="63">
        <f>VARP(IF(INDEX(Properties!A$1:CB$87,Formula!B109,14)&lt;&gt;"",INDEX(Properties!A$1:CB$87,Formula!B109,14)),IF(INDEX(Properties!A$1:CB$87,Formula!D109,14)&lt;&gt;"",INDEX(Properties!A$1:CB$87,Formula!D109,14)),IF(INDEX(Properties!A$1:CB$87,Formula!F109,14)&lt;&gt;"",INDEX(Properties!A$1:CB$87,Formula!F109,14)),IF(INDEX(Properties!A$1:CB$87,Formula!H109,14)&lt;&gt;"",INDEX(Properties!A$1:CB$87,Formula!H109,14)),IF(INDEX(Properties!A$1:CB$87,Formula!J109,14)&lt;&gt;"",INDEX(Properties!A$1:CB$87,Formula!J109,14)))</f>
        <v>31.36</v>
      </c>
      <c r="BG109" s="63">
        <f>MAX(INDEX(Properties!A$1:CB$87,Formula!B109,14),INDEX(Properties!A$1:CB$87,Formula!D109,14),INDEX(Properties!A$1:CB$87,Formula!F109,14),INDEX(Properties!A$1:CB$87,Formula!H109,14),INDEX(Properties!A$1:CB$87,Formula!J109,14))</f>
        <v>14</v>
      </c>
      <c r="BH109" s="63">
        <f>MIN(IF(Formula!B109=87,10^6,INDEX(Properties!A$1:CB$87,Formula!B109,14)),IF((Formula!D109)=87,10^6,INDEX(Properties!A$1:CB$87,Formula!D109,14)),IF((Formula!F109)=87,10^6,INDEX(Properties!A$1:CB$87,Formula!F109,14)),IF((Formula!H109)=87,10^6,INDEX(Properties!A$1:CB$87,Formula!H109,14)),IF(Formula!J109=87,10^6,INDEX(Properties!A$1:CB$87,Formula!J109,14)))</f>
        <v>0</v>
      </c>
      <c r="BI109" s="63">
        <f t="shared" si="41"/>
        <v>14</v>
      </c>
      <c r="BJ109" s="75">
        <f>((Formula!C109)/(Formula!C109+Formula!E109+Formula!G109+Formula!I109+Formula!K109))*(INDEX(Properties!A$1:CB$87,Formula!B109,19))+((Formula!E109)/(Formula!C109+Formula!E109+Formula!G109+Formula!I109+Formula!K109))*(INDEX(Properties!A$1:CB$87,Formula!D109,19))+((Formula!G109)/(Formula!C109+Formula!E109+Formula!G109+Formula!I109+Formula!K109))*(INDEX(Properties!A$1:CB$87,Formula!F109,19))+((Formula!I109)/(Formula!C109+Formula!E109+Formula!G109+Formula!I109+Formula!K109))*(INDEX(Properties!A$1:CB$87,Formula!H109,19))+((Formula!K109)/(Formula!C109+Formula!E109+Formula!G109+Formula!I109+Formula!K109))*(INDEX(Properties!A$1:CB$87,Formula!J109,19))</f>
        <v>9.454545454545455</v>
      </c>
      <c r="BK109" s="75">
        <f>Formula!C109*(INDEX(Properties!A$1:CB$87,Formula!B109,19))+Formula!E109*(INDEX(Properties!A$1:CB$87,Formula!D109,19))+Formula!G109*(INDEX(Properties!A$1:CB$87,Formula!F109,19))+Formula!I109*(INDEX(Properties!A$1:CB$87,Formula!H109,19))+Formula!K109*(INDEX(Properties!A$1:CB$87,Formula!J109,19))</f>
        <v>104</v>
      </c>
      <c r="BL109" s="75">
        <f>VARP(IF(INDEX(Properties!A$1:CB$87,Formula!B109,19)&lt;&gt;"",INDEX(Properties!A$1:CB$87,Formula!B109,19)),IF(INDEX(Properties!A$1:CB$87,Formula!D109,19)&lt;&gt;"",INDEX(Properties!A$1:CB$87,Formula!D109,19)),IF(INDEX(Properties!A$1:CB$87,Formula!F109,19)&lt;&gt;"",INDEX(Properties!A$1:CB$87,Formula!F109,19)),IF(INDEX(Properties!A$1:CB$87,Formula!H109,19)&lt;&gt;"",INDEX(Properties!A$1:CB$87,Formula!H109,19)),IF(INDEX(Properties!A$1:CB$87,Formula!J109,19)&lt;&gt;"",INDEX(Properties!A$1:CB$87,Formula!J109,19)))</f>
        <v>49.44</v>
      </c>
      <c r="BM109" s="75">
        <f>MAX(INDEX(Properties!A$1:CB$87,Formula!B109,19),INDEX(Properties!A$1:CB$87,Formula!D109,19),INDEX(Properties!A$1:CB$87,Formula!F109,19),INDEX(Properties!A$1:CB$87,Formula!H109,19),INDEX(Properties!A$1:CB$87,Formula!J109,19))</f>
        <v>17</v>
      </c>
      <c r="BN109" s="75">
        <f>MIN(IF(INDEX(Properties!A$1:CB$87,Formula!B109,19)=0,10^6,INDEX(Properties!A$1:CB$87,Formula!B109,19)),IF(INDEX(Properties!A$1:CB$87,Formula!D109,19)=0,10^6,INDEX(Properties!A$1:CB$87,Formula!D109,19)),IF(INDEX(Properties!A$1:CB$87,Formula!F109,19)=0,10^6,INDEX(Properties!A$1:CB$87,Formula!F109,19)),IF(INDEX(Properties!A$1:CB$87,Formula!H109,19)=0,10^6,INDEX(Properties!A$1:CB$87,Formula!H109,19)),IF(INDEX(Properties!A$1:CB$87,Formula!J109,19)=0,10^6,INDEX(Properties!A$1:CB$87,Formula!J109,19)))</f>
        <v>6</v>
      </c>
      <c r="BO109" s="75">
        <f t="shared" si="42"/>
        <v>11</v>
      </c>
      <c r="BP109" s="48">
        <f>((Formula!C109)/(Formula!C109+Formula!E109+Formula!G109+Formula!I109+Formula!K109))*(INDEX(Properties!A$1:CB$87,Formula!B109,20))+((Formula!E109)/(Formula!C109+Formula!E109+Formula!G109+Formula!I109+Formula!K109))*(INDEX(Properties!A$1:CB$87,Formula!D109,20))+((Formula!G109)/(Formula!C109+Formula!E109+Formula!G109+Formula!I109+Formula!K109))*(INDEX(Properties!A$1:CB$87,Formula!F109,20))+((Formula!I109)/(Formula!C109+Formula!E109+Formula!G109+Formula!I109+Formula!K109))*(INDEX(Properties!A$1:CB$87,Formula!H109,20))+((Formula!K109)/(Formula!C109+Formula!E109+Formula!G109+Formula!I109+Formula!K109))*(INDEX(Properties!A$1:CB$87,Formula!J109,20))</f>
        <v>4.9090909090909092</v>
      </c>
      <c r="BQ109" s="48">
        <f>Formula!C109*(INDEX(Properties!A$1:CB$87,Formula!B109,20))+Formula!E109*(INDEX(Properties!A$1:CB$87,Formula!D109,20))+Formula!G109*(INDEX(Properties!A$1:CB$87,Formula!F109,20))+Formula!I109*(INDEX(Properties!A$1:CB$87,Formula!H109,20))+Formula!K109*(INDEX(Properties!A$1:CB$87,Formula!J109,20))</f>
        <v>54</v>
      </c>
      <c r="BR109" s="48">
        <f>VARP(IF(INDEX(Properties!A$1:CB$87,Formula!B109,20)&lt;&gt;"",INDEX(Properties!A$1:CB$87,Formula!B109,20)),IF(INDEX(Properties!A$1:CB$87,Formula!D109,20)&lt;&gt;"",INDEX(Properties!A$1:CB$87,Formula!D109,20)),IF(INDEX(Properties!A$1:CB$87,Formula!F109,20)&lt;&gt;"",INDEX(Properties!A$1:CB$87,Formula!F109,20)),IF(INDEX(Properties!A$1:CB$87,Formula!H109,20)&lt;&gt;"",INDEX(Properties!A$1:CB$87,Formula!H109,20)),IF(INDEX(Properties!A$1:CB$87,Formula!J109,20)&lt;&gt;"",INDEX(Properties!A$1:CB$87,Formula!J109,20)))</f>
        <v>5.44</v>
      </c>
      <c r="BS109" s="48">
        <f>MAX(INDEX(Properties!A$1:CB$87,Formula!B109,20),INDEX(Properties!A$1:CB$87,Formula!D109,20),INDEX(Properties!A$1:CB$87,Formula!F109,20),INDEX(Properties!A$1:CB$87,Formula!H109,20),INDEX(Properties!A$1:CB$87,Formula!J109,20))</f>
        <v>6</v>
      </c>
      <c r="BT109" s="48">
        <f>MIN(IF(INDEX(Properties!A$1:CB$87,Formula!B109,20)=0,10^6,INDEX(Properties!A$1:CB$87,Formula!B109,20)),IF(INDEX(Properties!A$1:CB$87,Formula!D109,20)=0,10^6,INDEX(Properties!A$1:CB$87,Formula!D109,20)),IF(INDEX(Properties!A$1:CB$87,Formula!F109,20)=0,10^6,INDEX(Properties!A$1:CB$87,Formula!F109,20)),IF(INDEX(Properties!A$1:CB$87,Formula!H109,20)=0,10^6,INDEX(Properties!A$1:CB$87,Formula!H109,20)),IF(INDEX(Properties!A$1:CB$87,Formula!J109,20)=0,10^6,INDEX(Properties!A$1:CB$87,Formula!J109,20)))</f>
        <v>2</v>
      </c>
      <c r="BU109" s="48">
        <f t="shared" si="43"/>
        <v>4</v>
      </c>
      <c r="BV109" s="66">
        <f>((Formula!C109)/(Formula!C109+Formula!E109+Formula!G109+Formula!I109+Formula!K109))*(INDEX(Properties!A$1:CB$87,Formula!B109,21))+((Formula!E109)/(Formula!C109+Formula!E109+Formula!G109+Formula!I109+Formula!K109))*(INDEX(Properties!A$1:CB$87,Formula!D109,21))+((Formula!G109)/(Formula!C109+Formula!E109+Formula!G109+Formula!I109+Formula!K109))*(INDEX(Properties!A$1:CB$87,Formula!F109,21))+((Formula!I109)/(Formula!C109+Formula!E109+Formula!G109+Formula!I109+Formula!K109))*(INDEX(Properties!A$1:CB$87,Formula!H109,21))+((Formula!K109)/(Formula!C109+Formula!E109+Formula!G109+Formula!I109+Formula!K109))*(INDEX(Properties!A$1:CB$87,Formula!J109,21))</f>
        <v>4.7272727272727275</v>
      </c>
      <c r="BW109" s="66">
        <f>Formula!C109*(INDEX(Properties!A$1:CB$87,Formula!B109,21))+Formula!E109*(INDEX(Properties!A$1:CB$87,Formula!D109,21))+Formula!G109*(INDEX(Properties!A$1:CB$87,Formula!F109,21))+Formula!I109*(INDEX(Properties!A$1:CB$87,Formula!H109,21))+Formula!K109*(INDEX(Properties!A$1:CB$87,Formula!J109,21))</f>
        <v>52</v>
      </c>
      <c r="BX109" s="66">
        <f>VARP(IF(INDEX(Properties!A$1:CB$87,Formula!B109,21)&lt;&gt;"",INDEX(Properties!A$1:CB$87,Formula!B109,21)),IF(INDEX(Properties!A$1:CB$87,Formula!D109,21)&lt;&gt;"",INDEX(Properties!A$1:CB$87,Formula!D109,21)),IF(INDEX(Properties!A$1:CB$87,Formula!F109,21)&lt;&gt;"",INDEX(Properties!A$1:CB$87,Formula!F109,21)),IF(INDEX(Properties!A$1:CB$87,Formula!H109,21)&lt;&gt;"",INDEX(Properties!A$1:CB$87,Formula!H109,21)),IF(INDEX(Properties!A$1:CB$87,Formula!J109,21)&lt;&gt;"",INDEX(Properties!A$1:CB$87,Formula!J109,21)))</f>
        <v>5.76</v>
      </c>
      <c r="BY109" s="66">
        <f>MAX(INDEX(Properties!A$1:CB$87,Formula!B109,21),INDEX(Properties!A$1:CB$87,Formula!D109,21),INDEX(Properties!A$1:CB$87,Formula!F109,21),INDEX(Properties!A$1:CB$87,Formula!H109,21),INDEX(Properties!A$1:CB$87,Formula!J109,21))</f>
        <v>6</v>
      </c>
      <c r="BZ109" s="66">
        <f>MIN(IF(INDEX(Properties!A$1:CB$87,Formula!B109,21)=0,10^6,INDEX(Properties!A$1:CB$87,Formula!B109,21)),IF(INDEX(Properties!A$1:CB$87,Formula!D109,21)=0,10^6,INDEX(Properties!A$1:CB$87,Formula!D109,21)),IF(INDEX(Properties!A$1:CB$87,Formula!F109,21)=0,10^6,INDEX(Properties!A$1:CB$87,Formula!F109,21)),IF(INDEX(Properties!A$1:CB$87,Formula!H109,21)=0,10^6,INDEX(Properties!A$1:CB$87,Formula!H109,21)),IF(INDEX(Properties!A$1:CB$87,Formula!J109,21)=0,10^6,INDEX(Properties!A$1:CB$87,Formula!J109,21)))</f>
        <v>1</v>
      </c>
      <c r="CA109" s="66">
        <f t="shared" si="44"/>
        <v>5</v>
      </c>
      <c r="CB109" s="81">
        <f>((Formula!C109)/(Formula!C109+Formula!E109+Formula!G109+Formula!I109+Formula!K109))*(INDEX(Properties!A$1:CB$87,Formula!B109,23))+((Formula!E109)/(Formula!C109+Formula!E109+Formula!G109+Formula!I109+Formula!K109))*(INDEX(Properties!A$1:CB$87,Formula!D109,23))+((Formula!G109)/(Formula!C109+Formula!E109+Formula!G109+Formula!I109+Formula!K109))*(INDEX(Properties!A$1:CB$87,Formula!F109,23))+((Formula!I109)/(Formula!C109+Formula!E109+Formula!G109+Formula!I109+Formula!K109))*(INDEX(Properties!A$1:CB$87,Formula!H109,23))+((Formula!K109)/(Formula!C109+Formula!E109+Formula!G109+Formula!I109+Formula!K109))*(INDEX(Properties!A$1:CB$87,Formula!J109,23))</f>
        <v>1.2727272727272727</v>
      </c>
      <c r="CC109" s="81">
        <f>Formula!C109*(INDEX(Properties!A$1:CB$87,Formula!B109,23))+Formula!E109*(INDEX(Properties!A$1:CB$87,Formula!D109,23))+Formula!G109*(INDEX(Properties!A$1:CB$87,Formula!F109,23))+Formula!I109*(INDEX(Properties!A$1:CB$87,Formula!H109,23))+Formula!K109*(INDEX(Properties!A$1:CB$87,Formula!J109,23))</f>
        <v>14</v>
      </c>
      <c r="CD109" s="81">
        <f>VARP(IF(INDEX(Properties!A$1:CB$87,Formula!B109,23)&lt;&gt;"",INDEX(Properties!A$1:CB$87,Formula!B109,23)),IF(INDEX(Properties!A$1:CB$87,Formula!D109,23)&lt;&gt;"",INDEX(Properties!A$1:CB$87,Formula!D109,23)),IF(INDEX(Properties!A$1:CB$87,Formula!F109,23)&lt;&gt;"",INDEX(Properties!A$1:CB$87,Formula!F109,23)),IF(INDEX(Properties!A$1:CB$87,Formula!H109,23)&lt;&gt;"",INDEX(Properties!A$1:CB$87,Formula!H109,23)),IF(INDEX(Properties!A$1:CB$87,Formula!J109,23)&lt;&gt;"",INDEX(Properties!A$1:CB$87,Formula!J109,23)))</f>
        <v>3.04</v>
      </c>
      <c r="CE109" s="81">
        <f>MAX(INDEX(Properties!A$1:CB$87,Formula!B109,23),INDEX(Properties!A$1:CB$87,Formula!D109,23),INDEX(Properties!A$1:CB$87,Formula!F109,23),INDEX(Properties!A$1:CB$87,Formula!H109,23),INDEX(Properties!A$1:CB$87,Formula!J109,23))</f>
        <v>4</v>
      </c>
      <c r="CF109" s="81">
        <f>MIN(IF(Formula!B109=87,10^6,INDEX(Properties!A$1:CB$87,Formula!B109,23)),IF((Formula!D109)=87,10^6,INDEX(Properties!A$1:CB$87,Formula!D109,23)),IF((Formula!F109)=87,10^6,INDEX(Properties!A$1:CB$87,Formula!F109,23)),IF((Formula!H109)=87,10^6,INDEX(Properties!A$1:CB$87,Formula!H109,23)),IF(Formula!J109=87,10^6,INDEX(Properties!A$1:CB$87,Formula!J109,23)))</f>
        <v>0</v>
      </c>
      <c r="CG109" s="81">
        <f t="shared" si="45"/>
        <v>4</v>
      </c>
      <c r="CH109" s="39">
        <f>((Formula!C109)/(Formula!C109+Formula!E109+Formula!G109+Formula!I109+Formula!K109))*(INDEX(Properties!A$1:CB$87,Formula!B109,26))+((Formula!E109)/(Formula!C109+Formula!E109+Formula!G109+Formula!I109+Formula!K109))*(INDEX(Properties!A$1:CB$87,Formula!D109,26))+((Formula!G109)/(Formula!C109+Formula!E109+Formula!G109+Formula!I109+Formula!K109))*(INDEX(Properties!A$1:CB$87,Formula!F109,26))+((Formula!I109)/(Formula!C109+Formula!E109+Formula!G109+Formula!I109+Formula!K109))*(INDEX(Properties!A$1:CB$87,Formula!H109,26))+((Formula!K109)/(Formula!C109+Formula!E109+Formula!G109+Formula!I109+Formula!K109))*(INDEX(Properties!A$1:CB$87,Formula!J109,26))</f>
        <v>10.987845454545456</v>
      </c>
      <c r="CI109" s="39">
        <f>Formula!C109*(INDEX(Properties!A$1:CB$87,Formula!B109,26))+Formula!E109*(INDEX(Properties!A$1:CB$87,Formula!D109,26))+Formula!G109*(INDEX(Properties!A$1:CB$87,Formula!F109,26))+Formula!I109*(INDEX(Properties!A$1:CB$87,Formula!H109,26))+Formula!K109*(INDEX(Properties!A$1:CB$87,Formula!J109,26))</f>
        <v>120.8663</v>
      </c>
      <c r="CJ109" s="39">
        <f>VARP(IF(INDEX(Properties!A$1:CB$87,Formula!B109,26)&lt;&gt;"",INDEX(Properties!A$1:CB$87,Formula!B109,26)),IF(INDEX(Properties!A$1:CB$87,Formula!D109,26)&lt;&gt;"",INDEX(Properties!A$1:CB$87,Formula!D109,26)),IF(INDEX(Properties!A$1:CB$87,Formula!F109,26)&lt;&gt;"",INDEX(Properties!A$1:CB$87,Formula!F109,26)),IF(INDEX(Properties!A$1:CB$87,Formula!H109,26)&lt;&gt;"",INDEX(Properties!A$1:CB$87,Formula!H109,26)),IF(INDEX(Properties!A$1:CB$87,Formula!J109,26)&lt;&gt;"",INDEX(Properties!A$1:CB$87,Formula!J109,26)))</f>
        <v>25.912330469600001</v>
      </c>
      <c r="CK109" s="39">
        <f>MAX(INDEX(Properties!A$1:CB$87,Formula!B109,26),INDEX(Properties!A$1:CB$87,Formula!D109,26),INDEX(Properties!A$1:CB$87,Formula!F109,26),INDEX(Properties!A$1:CB$87,Formula!H109,26),INDEX(Properties!A$1:CB$87,Formula!J109,26))</f>
        <v>13.6181</v>
      </c>
      <c r="CL109" s="39">
        <f>MIN(IF(INDEX(Properties!A$1:CB$87,Formula!B109,26)=0,10^6,INDEX(Properties!A$1:CB$87,Formula!B109,26)),IF(INDEX(Properties!A$1:CB$87,Formula!D109,26)=0,10^6,INDEX(Properties!A$1:CB$87,Formula!D109,26)),IF(INDEX(Properties!A$1:CB$87,Formula!F109,26)=0,10^6,INDEX(Properties!A$1:CB$87,Formula!F109,26)),IF(INDEX(Properties!A$1:CB$87,Formula!H109,26)=0,10^6,INDEX(Properties!A$1:CB$87,Formula!H109,26)),IF(INDEX(Properties!A$1:CB$87,Formula!J109,26)=0,10^6,INDEX(Properties!A$1:CB$87,Formula!J109,26)))</f>
        <v>5.4259000000000004</v>
      </c>
      <c r="CM109" s="39">
        <f t="shared" si="46"/>
        <v>8.1921999999999997</v>
      </c>
      <c r="CN109" s="54">
        <f>((Formula!C109)/(Formula!C109+Formula!E109+Formula!G109+Formula!I109+Formula!K109))*(INDEX(Properties!A$1:CB$87,Formula!B109,30))+((Formula!E109)/(Formula!C109+Formula!E109+Formula!G109+Formula!I109+Formula!K109))*(INDEX(Properties!A$1:CB$87,Formula!D109,30))+((Formula!G109)/(Formula!C109+Formula!E109+Formula!G109+Formula!I109+Formula!K109))*(INDEX(Properties!A$1:CB$87,Formula!F109,30))+((Formula!I109)/(Formula!C109+Formula!E109+Formula!G109+Formula!I109+Formula!K109))*(INDEX(Properties!A$1:CB$87,Formula!H109,30))+((Formula!K109)/(Formula!C109+Formula!E109+Formula!G109+Formula!I109+Formula!K109))*(INDEX(Properties!A$1:CB$87,Formula!J109,30))</f>
        <v>2.7763636363636364</v>
      </c>
      <c r="CO109" s="54">
        <f>Formula!C109*(INDEX(Properties!A$1:CB$87,Formula!B109,30))+Formula!E109*(INDEX(Properties!A$1:CB$87,Formula!D109,30))+Formula!G109*(INDEX(Properties!A$1:CB$87,Formula!F109,30))+Formula!I109*(INDEX(Properties!A$1:CB$87,Formula!H109,30))+Formula!K109*(INDEX(Properties!A$1:CB$87,Formula!J109,30))</f>
        <v>30.54</v>
      </c>
      <c r="CP109" s="54">
        <f>VARP(IF(INDEX(Properties!A$1:CB$87,Formula!B109,30)&lt;&gt;"",INDEX(Properties!A$1:CB$87,Formula!B109,30)),IF(INDEX(Properties!A$1:CB$87,Formula!D109,30)&lt;&gt;"",INDEX(Properties!A$1:CB$87,Formula!D109,30)),IF(INDEX(Properties!A$1:CB$87,Formula!F109,30)&lt;&gt;"",INDEX(Properties!A$1:CB$87,Formula!F109,30)),IF(INDEX(Properties!A$1:CB$87,Formula!H109,30)&lt;&gt;"",INDEX(Properties!A$1:CB$87,Formula!H109,30)),IF(INDEX(Properties!A$1:CB$87,Formula!J109,30)&lt;&gt;"",INDEX(Properties!A$1:CB$87,Formula!J109,30)))</f>
        <v>1.678064</v>
      </c>
      <c r="CQ109" s="54">
        <f>MAX(INDEX(Properties!A$1:CB$87,Formula!B109,30),INDEX(Properties!A$1:CB$87,Formula!D109,30),INDEX(Properties!A$1:CB$87,Formula!F109,30),INDEX(Properties!A$1:CB$87,Formula!H109,30),INDEX(Properties!A$1:CB$87,Formula!J109,30))</f>
        <v>3.44</v>
      </c>
      <c r="CR109" s="54">
        <f>MIN(IF(INDEX(Properties!A$1:CB$87,Formula!B109,30)=0,10^6,INDEX(Properties!A$1:CB$87,Formula!B109,30)),IF(INDEX(Properties!A$1:CB$87,Formula!D109,30)=0,10^6,INDEX(Properties!A$1:CB$87,Formula!D109,30)),IF(INDEX(Properties!A$1:CB$87,Formula!F109,30)=0,10^6,INDEX(Properties!A$1:CB$87,Formula!F109,30)),IF(INDEX(Properties!A$1:CB$87,Formula!H109,30)=0,10^6,INDEX(Properties!A$1:CB$87,Formula!H109,30)),IF(INDEX(Properties!A$1:CB$87,Formula!J109,30)=0,10^6,INDEX(Properties!A$1:CB$87,Formula!J109,30)))</f>
        <v>1.27</v>
      </c>
      <c r="CS109" s="54">
        <f t="shared" si="47"/>
        <v>2.17</v>
      </c>
      <c r="CT109" s="69">
        <f>((Formula!C109)/(Formula!C109+Formula!E109+Formula!G109+Formula!I109+Formula!K109))*(INDEX(Properties!A$1:CB$87,Formula!B109,31))+((Formula!E109)/(Formula!C109+Formula!E109+Formula!G109+Formula!I109+Formula!K109))*(INDEX(Properties!A$1:CB$87,Formula!D109,31))+((Formula!G109)/(Formula!C109+Formula!E109+Formula!G109+Formula!I109+Formula!K109))*(INDEX(Properties!A$1:CB$87,Formula!F109,31))+((Formula!I109)/(Formula!C109+Formula!E109+Formula!G109+Formula!I109+Formula!K109))*(INDEX(Properties!A$1:CB$87,Formula!H109,31))+((Formula!K109)/(Formula!C109+Formula!E109+Formula!G109+Formula!I109+Formula!K109))*(INDEX(Properties!A$1:CB$87,Formula!J109,31))</f>
        <v>2.6727272727272728</v>
      </c>
      <c r="CU109" s="69">
        <f>Formula!C109*(INDEX(Properties!A$1:CB$87,Formula!B109,31))+Formula!E109*(INDEX(Properties!A$1:CB$87,Formula!D109,31))+Formula!G109*(INDEX(Properties!A$1:CB$87,Formula!F109,31))+Formula!I109*(INDEX(Properties!A$1:CB$87,Formula!H109,31))+Formula!K109*(INDEX(Properties!A$1:CB$87,Formula!J109,31))</f>
        <v>29.4</v>
      </c>
      <c r="CV109" s="69">
        <f>VARP(IF(INDEX(Properties!A$1:CB$87,Formula!B109,31)&lt;&gt;"",INDEX(Properties!A$1:CB$87,Formula!B109,31)),IF(INDEX(Properties!A$1:CB$87,Formula!D109,31)&lt;&gt;"",INDEX(Properties!A$1:CB$87,Formula!D109,31)),IF(INDEX(Properties!A$1:CB$87,Formula!F109,31)&lt;&gt;"",INDEX(Properties!A$1:CB$87,Formula!F109,31)),IF(INDEX(Properties!A$1:CB$87,Formula!H109,31)&lt;&gt;"",INDEX(Properties!A$1:CB$87,Formula!H109,31)),IF(INDEX(Properties!A$1:CB$87,Formula!J109,31)&lt;&gt;"",INDEX(Properties!A$1:CB$87,Formula!J109,31)))</f>
        <v>1.5609599999999995</v>
      </c>
      <c r="CW109" s="69">
        <f>MAX(INDEX(Properties!A$1:CB$87,Formula!B109,31),INDEX(Properties!A$1:CB$87,Formula!D109,31),INDEX(Properties!A$1:CB$87,Formula!F109,31),INDEX(Properties!A$1:CB$87,Formula!H109,31),INDEX(Properties!A$1:CB$87,Formula!J109,31))</f>
        <v>3.32</v>
      </c>
      <c r="CX109" s="69">
        <f>MIN(IF(INDEX(Properties!A$1:CB$87,Formula!B109,31)=0,10^6,INDEX(Properties!A$1:CB$87,Formula!B109,31)),IF(INDEX(Properties!A$1:CB$87,Formula!D109,31)=0,10^6,INDEX(Properties!A$1:CB$87,Formula!D109,31)),IF(INDEX(Properties!A$1:CB$87,Formula!F109,31)=0,10^6,INDEX(Properties!A$1:CB$87,Formula!F109,31)),IF(INDEX(Properties!A$1:CB$87,Formula!H109,31)=0,10^6,INDEX(Properties!A$1:CB$87,Formula!H109,31)),IF(INDEX(Properties!A$1:CB$87,Formula!J109,31)=0,10^6,INDEX(Properties!A$1:CB$87,Formula!J109,31)))</f>
        <v>1.2</v>
      </c>
      <c r="CY109" s="69">
        <f t="shared" si="48"/>
        <v>2.12</v>
      </c>
      <c r="CZ109" s="42">
        <f>((Formula!C109)/(Formula!C109+Formula!E109+Formula!G109+Formula!I109+Formula!K109))*(INDEX(Properties!A$1:CB$87,Formula!B109,32))+((Formula!E109)/(Formula!C109+Formula!E109+Formula!G109+Formula!I109+Formula!K109))*(INDEX(Properties!A$1:CB$87,Formula!D109,32))+((Formula!G109)/(Formula!C109+Formula!E109+Formula!G109+Formula!I109+Formula!K109))*(INDEX(Properties!A$1:CB$87,Formula!F109,32))+((Formula!I109)/(Formula!C109+Formula!E109+Formula!G109+Formula!I109+Formula!K109))*(INDEX(Properties!A$1:CB$87,Formula!H109,32))+((Formula!K109)/(Formula!C109+Formula!E109+Formula!G109+Formula!I109+Formula!K109))*(INDEX(Properties!A$1:CB$87,Formula!J109,32))</f>
        <v>6.1436363636363636</v>
      </c>
      <c r="DA109" s="42">
        <f>Formula!C109*(INDEX(Properties!A$1:CB$87,Formula!B109,32))+Formula!E109*(INDEX(Properties!A$1:CB$87,Formula!D109,32))+Formula!G109*(INDEX(Properties!A$1:CB$87,Formula!F109,32))+Formula!I109*(INDEX(Properties!A$1:CB$87,Formula!H109,32))+Formula!K109*(INDEX(Properties!A$1:CB$87,Formula!J109,32))</f>
        <v>67.58</v>
      </c>
      <c r="DB109" s="42">
        <f>VARP(IF(INDEX(Properties!A$1:CB$87,Formula!B109,32)&lt;&gt;"",INDEX(Properties!A$1:CB$87,Formula!B109,32)),IF(INDEX(Properties!A$1:CB$87,Formula!D109,32)&lt;&gt;"",INDEX(Properties!A$1:CB$87,Formula!D109,32)),IF(INDEX(Properties!A$1:CB$87,Formula!F109,32)&lt;&gt;"",INDEX(Properties!A$1:CB$87,Formula!F109,32)),IF(INDEX(Properties!A$1:CB$87,Formula!H109,32)&lt;&gt;"",INDEX(Properties!A$1:CB$87,Formula!H109,32)),IF(INDEX(Properties!A$1:CB$87,Formula!J109,32)&lt;&gt;"",INDEX(Properties!A$1:CB$87,Formula!J109,32)))</f>
        <v>8.0621759999999973</v>
      </c>
      <c r="DC109" s="42">
        <f>MAX(INDEX(Properties!A$1:CB$87,Formula!B109,32),INDEX(Properties!A$1:CB$87,Formula!D109,32),INDEX(Properties!A$1:CB$87,Formula!F109,32),INDEX(Properties!A$1:CB$87,Formula!H109,32),INDEX(Properties!A$1:CB$87,Formula!J109,32))</f>
        <v>7.54</v>
      </c>
      <c r="DD109" s="42">
        <f>MIN(IF(INDEX(Properties!A$1:CB$87,Formula!B109,32)=0,10^6,INDEX(Properties!A$1:CB$87,Formula!B109,32)),IF(INDEX(Properties!A$1:CB$87,Formula!D109,32)=0,10^6,INDEX(Properties!A$1:CB$87,Formula!D109,32)),IF(INDEX(Properties!A$1:CB$87,Formula!F109,32)=0,10^6,INDEX(Properties!A$1:CB$87,Formula!F109,32)),IF(INDEX(Properties!A$1:CB$87,Formula!H109,32)=0,10^6,INDEX(Properties!A$1:CB$87,Formula!H109,32)),IF(INDEX(Properties!A$1:CB$87,Formula!J109,32)=0,10^6,INDEX(Properties!A$1:CB$87,Formula!J109,32)))</f>
        <v>3.1</v>
      </c>
      <c r="DE109" s="42">
        <f t="shared" si="49"/>
        <v>4.4399999999999995</v>
      </c>
      <c r="DF109" s="60">
        <f>((Formula!C109)/(Formula!C109+Formula!E109+Formula!G109+Formula!I109+Formula!K109))*(INDEX(Properties!A$1:CB$87,Formula!B109,34))+((Formula!E109)/(Formula!C109+Formula!E109+Formula!G109+Formula!I109+Formula!K109))*(INDEX(Properties!A$1:CB$87,Formula!D109,34))+((Formula!G109)/(Formula!C109+Formula!E109+Formula!G109+Formula!I109+Formula!K109))*(INDEX(Properties!A$1:CB$87,Formula!F109,34))+((Formula!I109)/(Formula!C109+Formula!E109+Formula!G109+Formula!I109+Formula!K109))*(INDEX(Properties!A$1:CB$87,Formula!H109,34))+((Formula!K109)/(Formula!C109+Formula!E109+Formula!G109+Formula!I109+Formula!K109))*(INDEX(Properties!A$1:CB$87,Formula!J109,34))</f>
        <v>2.8270909090909093</v>
      </c>
      <c r="DG109" s="60">
        <f>Formula!C109*(INDEX(Properties!A$1:CB$87,Formula!B109,34))+Formula!E109*(INDEX(Properties!A$1:CB$87,Formula!D109,34))+Formula!G109*(INDEX(Properties!A$1:CB$87,Formula!F109,34))+Formula!I109*(INDEX(Properties!A$1:CB$87,Formula!H109,34))+Formula!K109*(INDEX(Properties!A$1:CB$87,Formula!J109,34))</f>
        <v>31.097999999999999</v>
      </c>
      <c r="DH109" s="60">
        <f>VARP(IF(INDEX(Properties!A$1:CB$87,Formula!B109,34)&lt;&gt;"",INDEX(Properties!A$1:CB$87,Formula!B109,34)),IF(INDEX(Properties!A$1:CB$87,Formula!D109,34)&lt;&gt;"",INDEX(Properties!A$1:CB$87,Formula!D109,34)),IF(INDEX(Properties!A$1:CB$87,Formula!F109,34)&lt;&gt;"",INDEX(Properties!A$1:CB$87,Formula!F109,34)),IF(INDEX(Properties!A$1:CB$87,Formula!H109,34)&lt;&gt;"",INDEX(Properties!A$1:CB$87,Formula!H109,34)),IF(INDEX(Properties!A$1:CB$87,Formula!J109,34)&lt;&gt;"",INDEX(Properties!A$1:CB$87,Formula!J109,34)))</f>
        <v>1.8069321600000003</v>
      </c>
      <c r="DI109" s="60">
        <f>MAX(INDEX(Properties!A$1:CB$87,Formula!B109,34),INDEX(Properties!A$1:CB$87,Formula!D109,34),INDEX(Properties!A$1:CB$87,Formula!F109,34),INDEX(Properties!A$1:CB$87,Formula!H109,34),INDEX(Properties!A$1:CB$87,Formula!J109,34))</f>
        <v>3.61</v>
      </c>
      <c r="DJ109" s="60">
        <f>MIN(IF(INDEX(Properties!A$1:CB$87,Formula!B109,34)=0,10^6,INDEX(Properties!A$1:CB$87,Formula!B109,34)),IF(INDEX(Properties!A$1:CB$87,Formula!D109,34)=0,10^6,INDEX(Properties!A$1:CB$87,Formula!D109,34)),IF(INDEX(Properties!A$1:CB$87,Formula!F109,34)=0,10^6,INDEX(Properties!A$1:CB$87,Formula!F109,34)),IF(INDEX(Properties!A$1:CB$87,Formula!H109,34)=0,10^6,INDEX(Properties!A$1:CB$87,Formula!H109,34)),IF(INDEX(Properties!A$1:CB$87,Formula!J109,34)=0,10^6,INDEX(Properties!A$1:CB$87,Formula!J109,34)))</f>
        <v>1.0900000000000001</v>
      </c>
      <c r="DK109" s="60">
        <f t="shared" si="50"/>
        <v>2.5199999999999996</v>
      </c>
      <c r="DL109" s="45">
        <f>((Formula!C109)/(Formula!C109+Formula!E109+Formula!G109+Formula!I109+Formula!K109))*(INDEX(Properties!A$1:CB$87,Formula!B109,39))+((Formula!E109)/(Formula!C109+Formula!E109+Formula!G109+Formula!I109+Formula!K109))*(INDEX(Properties!A$1:CB$87,Formula!D109,39))+((Formula!G109)/(Formula!C109+Formula!E109+Formula!G109+Formula!I109+Formula!K109))*(INDEX(Properties!A$1:CB$87,Formula!F109,39))+((Formula!I109)/(Formula!C109+Formula!E109+Formula!G109+Formula!I109+Formula!K109))*(INDEX(Properties!A$1:CB$87,Formula!H109,39))+((Formula!K109)/(Formula!C109+Formula!E109+Formula!G109+Formula!I109+Formula!K109))*(INDEX(Properties!A$1:CB$87,Formula!J109,39))</f>
        <v>0.96363636363636362</v>
      </c>
      <c r="DM109" s="45">
        <f>Formula!C109*(INDEX(Properties!A$1:CB$87,Formula!B109,39))+Formula!E109*(INDEX(Properties!A$1:CB$87,Formula!D109,39))+Formula!G109*(INDEX(Properties!A$1:CB$87,Formula!F109,39))+Formula!I109*(INDEX(Properties!A$1:CB$87,Formula!H109,39))+Formula!K109*(INDEX(Properties!A$1:CB$87,Formula!J109,39))</f>
        <v>10.6</v>
      </c>
      <c r="DN109" s="45">
        <f>VARP(IF(INDEX(Properties!A$1:CB$87,Formula!B109,39)&lt;&gt;"",INDEX(Properties!A$1:CB$87,Formula!B109,39)),IF(INDEX(Properties!A$1:CB$87,Formula!D109,39)&lt;&gt;"",INDEX(Properties!A$1:CB$87,Formula!D109,39)),IF(INDEX(Properties!A$1:CB$87,Formula!F109,39)&lt;&gt;"",INDEX(Properties!A$1:CB$87,Formula!F109,39)),IF(INDEX(Properties!A$1:CB$87,Formula!H109,39)&lt;&gt;"",INDEX(Properties!A$1:CB$87,Formula!H109,39)),IF(INDEX(Properties!A$1:CB$87,Formula!J109,39)&lt;&gt;"",INDEX(Properties!A$1:CB$87,Formula!J109,39)))</f>
        <v>0.73596000000000017</v>
      </c>
      <c r="DO109" s="45">
        <f>MAX(INDEX(Properties!A$1:CB$87,Formula!B109,39),INDEX(Properties!A$1:CB$87,Formula!D109,39),INDEX(Properties!A$1:CB$87,Formula!F109,39),INDEX(Properties!A$1:CB$87,Formula!H109,39),INDEX(Properties!A$1:CB$87,Formula!J109,39))</f>
        <v>2.17</v>
      </c>
      <c r="DP109" s="45">
        <f>MIN(IF(INDEX(Properties!A$1:CB$87,Formula!B109,39)=0,10^6,INDEX(Properties!A$1:CB$87,Formula!B109,39)),IF(INDEX(Properties!A$1:CB$87,Formula!D109,39)=0,10^6,INDEX(Properties!A$1:CB$87,Formula!D109,39)),IF(INDEX(Properties!A$1:CB$87,Formula!F109,39)=0,10^6,INDEX(Properties!A$1:CB$87,Formula!F109,39)),IF(INDEX(Properties!A$1:CB$87,Formula!H109,39)=0,10^6,INDEX(Properties!A$1:CB$87,Formula!H109,39)),IF(INDEX(Properties!A$1:CB$87,Formula!J109,39)=0,10^6,INDEX(Properties!A$1:CB$87,Formula!J109,39)))</f>
        <v>0.48</v>
      </c>
      <c r="DQ109" s="45">
        <f t="shared" si="51"/>
        <v>1.69</v>
      </c>
      <c r="DR109" s="63">
        <f>((Formula!C109)/(Formula!C109+Formula!E109+Formula!G109+Formula!I109+Formula!K109))*(INDEX(Properties!A$1:CB$87,Formula!B109,40))+((Formula!E109)/(Formula!C109+Formula!E109+Formula!G109+Formula!I109+Formula!K109))*(INDEX(Properties!A$1:CB$87,Formula!D109,40))+((Formula!G109)/(Formula!C109+Formula!E109+Formula!G109+Formula!I109+Formula!K109))*(INDEX(Properties!A$1:CB$87,Formula!F109,40))+((Formula!I109)/(Formula!C109+Formula!E109+Formula!G109+Formula!I109+Formula!K109))*(INDEX(Properties!A$1:CB$87,Formula!H109,40))+((Formula!K109)/(Formula!C109+Formula!E109+Formula!G109+Formula!I109+Formula!K109))*(INDEX(Properties!A$1:CB$87,Formula!J109,40))</f>
        <v>1.0118181818181819</v>
      </c>
      <c r="DS109" s="63">
        <f>Formula!C109*(INDEX(Properties!A$1:CB$87,Formula!B109,40))+Formula!E109*(INDEX(Properties!A$1:CB$87,Formula!D109,40))+Formula!G109*(INDEX(Properties!A$1:CB$87,Formula!F109,40))+Formula!I109*(INDEX(Properties!A$1:CB$87,Formula!H109,40))+Formula!K109*(INDEX(Properties!A$1:CB$87,Formula!J109,40))</f>
        <v>11.129999999999999</v>
      </c>
      <c r="DT109" s="63">
        <f>VARP(IF(INDEX(Properties!A$1:CB$87,Formula!B109,40)&lt;&gt;"",INDEX(Properties!A$1:CB$87,Formula!B109,40)),IF(INDEX(Properties!A$1:CB$87,Formula!D109,40)&lt;&gt;"",INDEX(Properties!A$1:CB$87,Formula!D109,40)),IF(INDEX(Properties!A$1:CB$87,Formula!F109,40)&lt;&gt;"",INDEX(Properties!A$1:CB$87,Formula!F109,40)),IF(INDEX(Properties!A$1:CB$87,Formula!H109,40)&lt;&gt;"",INDEX(Properties!A$1:CB$87,Formula!H109,40)),IF(INDEX(Properties!A$1:CB$87,Formula!J109,40)&lt;&gt;"",INDEX(Properties!A$1:CB$87,Formula!J109,40)))</f>
        <v>0.45669599999999994</v>
      </c>
      <c r="DU109" s="63">
        <f>MAX(INDEX(Properties!A$1:CB$87,Formula!B109,40),INDEX(Properties!A$1:CB$87,Formula!D109,40),INDEX(Properties!A$1:CB$87,Formula!F109,40),INDEX(Properties!A$1:CB$87,Formula!H109,40),INDEX(Properties!A$1:CB$87,Formula!J109,40))</f>
        <v>1.6</v>
      </c>
      <c r="DV109" s="63">
        <f>MIN(IF(INDEX(Properties!A$1:CB$87,Formula!B109,40)=0,10^6,INDEX(Properties!A$1:CB$87,Formula!B109,40)),IF(INDEX(Properties!A$1:CB$87,Formula!D109,40)=0,10^6,INDEX(Properties!A$1:CB$87,Formula!D109,40)),IF(INDEX(Properties!A$1:CB$87,Formula!F109,40)=0,10^6,INDEX(Properties!A$1:CB$87,Formula!F109,40)),IF(INDEX(Properties!A$1:CB$87,Formula!H109,40)=0,10^6,INDEX(Properties!A$1:CB$87,Formula!H109,40)),IF(INDEX(Properties!A$1:CB$87,Formula!J109,40)=0,10^6,INDEX(Properties!A$1:CB$87,Formula!J109,40)))</f>
        <v>0.73</v>
      </c>
      <c r="DW109" s="63">
        <f t="shared" si="52"/>
        <v>0.87000000000000011</v>
      </c>
      <c r="DX109" s="75">
        <f>((Formula!C109)/(Formula!C109+Formula!E109+Formula!G109+Formula!I109+Formula!K109))*(INDEX(Properties!A$1:CB$87,Formula!B109,41))+((Formula!E109)/(Formula!C109+Formula!E109+Formula!G109+Formula!I109+Formula!K109))*(INDEX(Properties!A$1:CB$87,Formula!D109,41))+((Formula!G109)/(Formula!C109+Formula!E109+Formula!G109+Formula!I109+Formula!K109))*(INDEX(Properties!A$1:CB$87,Formula!F109,41))+((Formula!I109)/(Formula!C109+Formula!E109+Formula!G109+Formula!I109+Formula!K109))*(INDEX(Properties!A$1:CB$87,Formula!H109,41))+((Formula!K109)/(Formula!C109+Formula!E109+Formula!G109+Formula!I109+Formula!K109))*(INDEX(Properties!A$1:CB$87,Formula!J109,41))</f>
        <v>1.1345454545454545</v>
      </c>
      <c r="DY109" s="75">
        <f>Formula!C109*(INDEX(Properties!A$1:CB$87,Formula!B109,41))+Formula!E109*(INDEX(Properties!A$1:CB$87,Formula!D109,41))+Formula!G109*(INDEX(Properties!A$1:CB$87,Formula!F109,41))+Formula!I109*(INDEX(Properties!A$1:CB$87,Formula!H109,41))+Formula!K109*(INDEX(Properties!A$1:CB$87,Formula!J109,41))</f>
        <v>12.48</v>
      </c>
      <c r="DZ109" s="75">
        <f>VARP(IF(INDEX(Properties!A$1:CB$87,Formula!B109,41)&lt;&gt;"",INDEX(Properties!A$1:CB$87,Formula!B109,41)),IF(INDEX(Properties!A$1:CB$87,Formula!D109,41)&lt;&gt;"",INDEX(Properties!A$1:CB$87,Formula!D109,41)),IF(INDEX(Properties!A$1:CB$87,Formula!F109,41)&lt;&gt;"",INDEX(Properties!A$1:CB$87,Formula!F109,41)),IF(INDEX(Properties!A$1:CB$87,Formula!H109,41)&lt;&gt;"",INDEX(Properties!A$1:CB$87,Formula!H109,41)),IF(INDEX(Properties!A$1:CB$87,Formula!J109,41)&lt;&gt;"",INDEX(Properties!A$1:CB$87,Formula!J109,41)))</f>
        <v>0.27337600000000001</v>
      </c>
      <c r="EA109" s="75">
        <f>MAX(INDEX(Properties!A$1:CB$87,Formula!B109,41),INDEX(Properties!A$1:CB$87,Formula!D109,41),INDEX(Properties!A$1:CB$87,Formula!F109,41),INDEX(Properties!A$1:CB$87,Formula!H109,41),INDEX(Properties!A$1:CB$87,Formula!J109,41))</f>
        <v>1.26</v>
      </c>
      <c r="EB109" s="75">
        <f>MIN(IF(INDEX(Properties!A$1:CB$87,Formula!B109,41)=0,10^6,INDEX(Properties!A$1:CB$87,Formula!B109,41)),IF(INDEX(Properties!A$1:CB$87,Formula!D109,41)=0,10^6,INDEX(Properties!A$1:CB$87,Formula!D109,41)),IF(INDEX(Properties!A$1:CB$87,Formula!F109,41)=0,10^6,INDEX(Properties!A$1:CB$87,Formula!F109,41)),IF(INDEX(Properties!A$1:CB$87,Formula!H109,41)=0,10^6,INDEX(Properties!A$1:CB$87,Formula!H109,41)),IF(INDEX(Properties!A$1:CB$87,Formula!J109,41)=0,10^6,INDEX(Properties!A$1:CB$87,Formula!J109,41)))</f>
        <v>0.83</v>
      </c>
      <c r="EC109" s="75">
        <f t="shared" si="53"/>
        <v>0.43000000000000005</v>
      </c>
      <c r="ED109" s="48">
        <f>((Formula!C109)/(Formula!C109+Formula!E109+Formula!G109+Formula!I109+Formula!K109))*(INDEX(Properties!A$1:CB$87,Formula!B109,45))+((Formula!E109)/(Formula!C109+Formula!E109+Formula!G109+Formula!I109+Formula!K109))*(INDEX(Properties!A$1:CB$87,Formula!D109,45))+((Formula!G109)/(Formula!C109+Formula!E109+Formula!G109+Formula!I109+Formula!K109))*(INDEX(Properties!A$1:CB$87,Formula!F109,45))+((Formula!I109)/(Formula!C109+Formula!E109+Formula!G109+Formula!I109+Formula!K109))*(INDEX(Properties!A$1:CB$87,Formula!H109,45))+((Formula!K109)/(Formula!C109+Formula!E109+Formula!G109+Formula!I109+Formula!K109))*(INDEX(Properties!A$1:CB$87,Formula!J109,45))</f>
        <v>1.2536363636363637</v>
      </c>
      <c r="EE109" s="48">
        <f>Formula!C109*(INDEX(Properties!A$1:CB$87,Formula!B109,45))+Formula!E109*(INDEX(Properties!A$1:CB$87,Formula!D109,45))+Formula!G109*(INDEX(Properties!A$1:CB$87,Formula!F109,45))+Formula!I109*(INDEX(Properties!A$1:CB$87,Formula!H109,45))+Formula!K109*(INDEX(Properties!A$1:CB$87,Formula!J109,45))</f>
        <v>13.79</v>
      </c>
      <c r="EF109" s="48">
        <f>VARP(IF(INDEX(Properties!A$1:CB$87,Formula!B109,45)&lt;&gt;"",INDEX(Properties!A$1:CB$87,Formula!B109,45)),IF(INDEX(Properties!A$1:CB$87,Formula!D109,45)&lt;&gt;"",INDEX(Properties!A$1:CB$87,Formula!D109,45)),IF(INDEX(Properties!A$1:CB$87,Formula!F109,45)&lt;&gt;"",INDEX(Properties!A$1:CB$87,Formula!F109,45)),IF(INDEX(Properties!A$1:CB$87,Formula!H109,45)&lt;&gt;"",INDEX(Properties!A$1:CB$87,Formula!H109,45)),IF(INDEX(Properties!A$1:CB$87,Formula!J109,45)&lt;&gt;"",INDEX(Properties!A$1:CB$87,Formula!J109,45)))</f>
        <v>1.7137040000000006</v>
      </c>
      <c r="EG109" s="48">
        <f>MAX(INDEX(Properties!A$1:CB$87,Formula!B109,45),INDEX(Properties!A$1:CB$87,Formula!D109,45),INDEX(Properties!A$1:CB$87,Formula!F109,45),INDEX(Properties!A$1:CB$87,Formula!H109,45),INDEX(Properties!A$1:CB$87,Formula!J109,45))</f>
        <v>3.37</v>
      </c>
      <c r="EH109" s="48">
        <f>MIN(IF(INDEX(Properties!A$1:CB$87,Formula!B109,45)=0,10^6,INDEX(Properties!A$1:CB$87,Formula!B109,45)),IF(INDEX(Properties!A$1:CB$87,Formula!D109,45)=0,10^6,INDEX(Properties!A$1:CB$87,Formula!D109,45)),IF(INDEX(Properties!A$1:CB$87,Formula!F109,45)=0,10^6,INDEX(Properties!A$1:CB$87,Formula!F109,45)),IF(INDEX(Properties!A$1:CB$87,Formula!H109,45)=0,10^6,INDEX(Properties!A$1:CB$87,Formula!H109,45)),IF(INDEX(Properties!A$1:CB$87,Formula!J109,45)=0,10^6,INDEX(Properties!A$1:CB$87,Formula!J109,45)))</f>
        <v>0.47</v>
      </c>
      <c r="EI109" s="48">
        <f t="shared" si="54"/>
        <v>2.9000000000000004</v>
      </c>
      <c r="EJ109" s="66">
        <f>((Formula!C109)/(Formula!C109+Formula!E109+Formula!G109+Formula!I109+Formula!K109))*(INDEX(Properties!A$1:CB$87,Formula!B109,46))+((Formula!E109)/(Formula!C109+Formula!E109+Formula!G109+Formula!I109+Formula!K109))*(INDEX(Properties!A$1:CB$87,Formula!D109,46))+((Formula!G109)/(Formula!C109+Formula!E109+Formula!G109+Formula!I109+Formula!K109))*(INDEX(Properties!A$1:CB$87,Formula!F109,46))+((Formula!I109)/(Formula!C109+Formula!E109+Formula!G109+Formula!I109+Formula!K109))*(INDEX(Properties!A$1:CB$87,Formula!H109,46))+((Formula!K109)/(Formula!C109+Formula!E109+Formula!G109+Formula!I109+Formula!K109))*(INDEX(Properties!A$1:CB$87,Formula!J109,46))</f>
        <v>1.0772727272727272</v>
      </c>
      <c r="EK109" s="66">
        <f>Formula!C109*(INDEX(Properties!A$1:CB$87,Formula!B109,46))+Formula!E109*(INDEX(Properties!A$1:CB$87,Formula!D109,46))+Formula!G109*(INDEX(Properties!A$1:CB$87,Formula!F109,46))+Formula!I109*(INDEX(Properties!A$1:CB$87,Formula!H109,46))+Formula!K109*(INDEX(Properties!A$1:CB$87,Formula!J109,46))</f>
        <v>11.849999999999998</v>
      </c>
      <c r="EL109" s="66">
        <f>VARP(IF(INDEX(Properties!A$1:CB$87,Formula!B109,46)&lt;&gt;"",INDEX(Properties!A$1:CB$87,Formula!B109,46)),IF(INDEX(Properties!A$1:CB$87,Formula!D109,46)&lt;&gt;"",INDEX(Properties!A$1:CB$87,Formula!D109,46)),IF(INDEX(Properties!A$1:CB$87,Formula!F109,46)&lt;&gt;"",INDEX(Properties!A$1:CB$87,Formula!F109,46)),IF(INDEX(Properties!A$1:CB$87,Formula!H109,46)&lt;&gt;"",INDEX(Properties!A$1:CB$87,Formula!H109,46)),IF(INDEX(Properties!A$1:CB$87,Formula!J109,46)&lt;&gt;"",INDEX(Properties!A$1:CB$87,Formula!J109,46)))</f>
        <v>0.25164000000000003</v>
      </c>
      <c r="EM109" s="66">
        <f>MAX(INDEX(Properties!A$1:CB$87,Formula!B109,46),INDEX(Properties!A$1:CB$87,Formula!D109,46),INDEX(Properties!A$1:CB$87,Formula!F109,46),INDEX(Properties!A$1:CB$87,Formula!H109,46),INDEX(Properties!A$1:CB$87,Formula!J109,46))</f>
        <v>1.21</v>
      </c>
      <c r="EN109" s="66">
        <f>MIN(IF(INDEX(Properties!A$1:CB$87,Formula!B109,46)=0,10^6,INDEX(Properties!A$1:CB$87,Formula!B109,46)),IF(INDEX(Properties!A$1:CB$87,Formula!D109,46)=0,10^6,INDEX(Properties!A$1:CB$87,Formula!D109,46)),IF(INDEX(Properties!A$1:CB$87,Formula!F109,46)=0,10^6,INDEX(Properties!A$1:CB$87,Formula!F109,46)),IF(INDEX(Properties!A$1:CB$87,Formula!H109,46)=0,10^6,INDEX(Properties!A$1:CB$87,Formula!H109,46)),IF(INDEX(Properties!A$1:CB$87,Formula!J109,46)=0,10^6,INDEX(Properties!A$1:CB$87,Formula!J109,46)))</f>
        <v>0.69</v>
      </c>
      <c r="EO109" s="66">
        <f t="shared" si="55"/>
        <v>0.52</v>
      </c>
      <c r="EP109" s="81">
        <f>((Formula!C109)/(Formula!C109+Formula!E109+Formula!G109+Formula!I109+Formula!K109))*(INDEX(Properties!A$1:CB$87,Formula!B109,52))+((Formula!E109)/(Formula!C109+Formula!E109+Formula!G109+Formula!I109+Formula!K109))*(INDEX(Properties!A$1:CB$87,Formula!D109,52))+((Formula!G109)/(Formula!C109+Formula!E109+Formula!G109+Formula!I109+Formula!K109))*(INDEX(Properties!A$1:CB$87,Formula!F109,52))+((Formula!I109)/(Formula!C109+Formula!E109+Formula!G109+Formula!I109+Formula!K109))*(INDEX(Properties!A$1:CB$87,Formula!H109,52))+((Formula!K109)/(Formula!C109+Formula!E109+Formula!G109+Formula!I109+Formula!K109))*(INDEX(Properties!A$1:CB$87,Formula!J109,52))</f>
        <v>5.8864545454545452</v>
      </c>
      <c r="EQ109" s="81">
        <f>Formula!C109*(INDEX(Properties!A$1:CB$87,Formula!B109,52))+Formula!E109*(INDEX(Properties!A$1:CB$87,Formula!D109,52))+Formula!G109*(INDEX(Properties!A$1:CB$87,Formula!F109,52))+Formula!I109*(INDEX(Properties!A$1:CB$87,Formula!H109,52))+Formula!K109*(INDEX(Properties!A$1:CB$87,Formula!J109,52))</f>
        <v>64.750999999999991</v>
      </c>
      <c r="ER109" s="81">
        <f>VARP(IF(INDEX(Properties!A$1:CB$87,Formula!B109,52)&lt;&gt;"",INDEX(Properties!A$1:CB$87,Formula!B109,52)),IF(INDEX(Properties!A$1:CB$87,Formula!D109,52)&lt;&gt;"",INDEX(Properties!A$1:CB$87,Formula!D109,52)),IF(INDEX(Properties!A$1:CB$87,Formula!F109,52)&lt;&gt;"",INDEX(Properties!A$1:CB$87,Formula!F109,52)),IF(INDEX(Properties!A$1:CB$87,Formula!H109,52)&lt;&gt;"",INDEX(Properties!A$1:CB$87,Formula!H109,52)),IF(INDEX(Properties!A$1:CB$87,Formula!J109,52)&lt;&gt;"",INDEX(Properties!A$1:CB$87,Formula!J109,52)))</f>
        <v>70.956391839999981</v>
      </c>
      <c r="ES109" s="81">
        <f>MAX(INDEX(Properties!A$1:CB$87,Formula!B109,52),INDEX(Properties!A$1:CB$87,Formula!D109,52),INDEX(Properties!A$1:CB$87,Formula!F109,52),INDEX(Properties!A$1:CB$87,Formula!H109,52),INDEX(Properties!A$1:CB$87,Formula!J109,52))</f>
        <v>21.9</v>
      </c>
      <c r="ET109" s="81">
        <f>MIN(IF(INDEX(Properties!A$1:CB$87,Formula!B109,52)=0,10^6,INDEX(Properties!A$1:CB$87,Formula!B109,52)),IF(INDEX(Properties!A$1:CB$87,Formula!D109,52)=0,10^6,INDEX(Properties!A$1:CB$87,Formula!D109,52)),IF(INDEX(Properties!A$1:CB$87,Formula!F109,52)=0,10^6,INDEX(Properties!A$1:CB$87,Formula!F109,52)),IF(INDEX(Properties!A$1:CB$87,Formula!H109,52)=0,10^6,INDEX(Properties!A$1:CB$87,Formula!H109,52)),IF(INDEX(Properties!A$1:CB$87,Formula!J109,52)=0,10^6,INDEX(Properties!A$1:CB$87,Formula!J109,52)))</f>
        <v>0.79300000000000004</v>
      </c>
      <c r="EU109" s="81">
        <f t="shared" si="56"/>
        <v>21.106999999999999</v>
      </c>
      <c r="EV109" s="39">
        <f>((Formula!C109)/(Formula!C109+Formula!E109+Formula!G109+Formula!I109+Formula!K109))*(INDEX(Properties!A$1:CB$87,Formula!B109,53))+((Formula!E109)/(Formula!C109+Formula!E109+Formula!G109+Formula!I109+Formula!K109))*(INDEX(Properties!A$1:CB$87,Formula!D109,53))+((Formula!G109)/(Formula!C109+Formula!E109+Formula!G109+Formula!I109+Formula!K109))*(INDEX(Properties!A$1:CB$87,Formula!F109,53))+((Formula!I109)/(Formula!C109+Formula!E109+Formula!G109+Formula!I109+Formula!K109))*(INDEX(Properties!A$1:CB$87,Formula!H109,53))+((Formula!K109)/(Formula!C109+Formula!E109+Formula!G109+Formula!I109+Formula!K109))*(INDEX(Properties!A$1:CB$87,Formula!J109,53))</f>
        <v>478.71363636363634</v>
      </c>
      <c r="EW109" s="39">
        <f>Formula!C109*(INDEX(Properties!A$1:CB$87,Formula!B109,53))+Formula!E109*(INDEX(Properties!A$1:CB$87,Formula!D109,53))+Formula!G109*(INDEX(Properties!A$1:CB$87,Formula!F109,53))+Formula!I109*(INDEX(Properties!A$1:CB$87,Formula!H109,53))+Formula!K109*(INDEX(Properties!A$1:CB$87,Formula!J109,53))</f>
        <v>5265.85</v>
      </c>
      <c r="EX109" s="39">
        <f>VARP(IF(INDEX(Properties!A$1:CB$87,Formula!B109,53)&lt;&gt;"",INDEX(Properties!A$1:CB$87,Formula!B109,53)),IF(INDEX(Properties!A$1:CB$87,Formula!D109,53)&lt;&gt;"",INDEX(Properties!A$1:CB$87,Formula!D109,53)),IF(INDEX(Properties!A$1:CB$87,Formula!F109,53)&lt;&gt;"",INDEX(Properties!A$1:CB$87,Formula!F109,53)),IF(INDEX(Properties!A$1:CB$87,Formula!H109,53)&lt;&gt;"",INDEX(Properties!A$1:CB$87,Formula!H109,53)),IF(INDEX(Properties!A$1:CB$87,Formula!J109,53)&lt;&gt;"",INDEX(Properties!A$1:CB$87,Formula!J109,53)))</f>
        <v>552159.55740000005</v>
      </c>
      <c r="EY109" s="39">
        <f>MAX(INDEX(Properties!A$1:CB$87,Formula!B109,53),INDEX(Properties!A$1:CB$87,Formula!D109,53),INDEX(Properties!A$1:CB$87,Formula!F109,53),INDEX(Properties!A$1:CB$87,Formula!H109,53),INDEX(Properties!A$1:CB$87,Formula!J109,53))</f>
        <v>1936.15</v>
      </c>
      <c r="EZ109" s="39">
        <f>MIN(IF(INDEX(Properties!A$1:CB$87,Formula!B109,53)=0,10^6,INDEX(Properties!A$1:CB$87,Formula!B109,53)),IF(INDEX(Properties!A$1:CB$87,Formula!D109,53)=0,10^6,INDEX(Properties!A$1:CB$87,Formula!D109,53)),IF(INDEX(Properties!A$1:CB$87,Formula!F109,53)=0,10^6,INDEX(Properties!A$1:CB$87,Formula!F109,53)),IF(INDEX(Properties!A$1:CB$87,Formula!H109,53)=0,10^6,INDEX(Properties!A$1:CB$87,Formula!H109,53)),IF(INDEX(Properties!A$1:CB$87,Formula!J109,53)=0,10^6,INDEX(Properties!A$1:CB$87,Formula!J109,53)))</f>
        <v>54.749999999999972</v>
      </c>
      <c r="FA109" s="39">
        <f t="shared" si="57"/>
        <v>1881.4</v>
      </c>
      <c r="FB109" s="54">
        <f>((Formula!C109)/(Formula!C109+Formula!E109+Formula!G109+Formula!I109+Formula!K109))*(INDEX(Properties!A$1:CB$87,Formula!B109,54))+((Formula!E109)/(Formula!C109+Formula!E109+Formula!G109+Formula!I109+Formula!K109))*(INDEX(Properties!A$1:CB$87,Formula!D109,54))+((Formula!G109)/(Formula!C109+Formula!E109+Formula!G109+Formula!I109+Formula!K109))*(INDEX(Properties!A$1:CB$87,Formula!F109,54))+((Formula!I109)/(Formula!C109+Formula!E109+Formula!G109+Formula!I109+Formula!K109))*(INDEX(Properties!A$1:CB$87,Formula!H109,54))+((Formula!K109)/(Formula!C109+Formula!E109+Formula!G109+Formula!I109+Formula!K109))*(INDEX(Properties!A$1:CB$87,Formula!J109,54))</f>
        <v>1187.9681818181818</v>
      </c>
      <c r="FC109" s="54">
        <f>Formula!C109*(INDEX(Properties!A$1:CB$87,Formula!B109,54))+Formula!E109*(INDEX(Properties!A$1:CB$87,Formula!D109,54))+Formula!G109*(INDEX(Properties!A$1:CB$87,Formula!F109,54))+Formula!I109*(INDEX(Properties!A$1:CB$87,Formula!H109,54))+Formula!K109*(INDEX(Properties!A$1:CB$87,Formula!J109,54))</f>
        <v>13067.65</v>
      </c>
      <c r="FD109" s="54">
        <f>VARP(IF(INDEX(Properties!A$1:CB$87,Formula!B109,54)&lt;&gt;"",INDEX(Properties!A$1:CB$87,Formula!B109,54)),IF(INDEX(Properties!A$1:CB$87,Formula!D109,54)&lt;&gt;"",INDEX(Properties!A$1:CB$87,Formula!D109,54)),IF(INDEX(Properties!A$1:CB$87,Formula!F109,54)&lt;&gt;"",INDEX(Properties!A$1:CB$87,Formula!F109,54)),IF(INDEX(Properties!A$1:CB$87,Formula!H109,54)&lt;&gt;"",INDEX(Properties!A$1:CB$87,Formula!H109,54)),IF(INDEX(Properties!A$1:CB$87,Formula!J109,54)&lt;&gt;"",INDEX(Properties!A$1:CB$87,Formula!J109,54)))</f>
        <v>2404631.6374000004</v>
      </c>
      <c r="FE109" s="54">
        <f>MAX(INDEX(Properties!A$1:CB$87,Formula!B109,54),INDEX(Properties!A$1:CB$87,Formula!D109,54),INDEX(Properties!A$1:CB$87,Formula!F109,54),INDEX(Properties!A$1:CB$87,Formula!H109,54),INDEX(Properties!A$1:CB$87,Formula!J109,54))</f>
        <v>3675.15</v>
      </c>
      <c r="FF109" s="54">
        <f>MIN(IF(INDEX(Properties!A$1:CB$87,Formula!B109,54)=0,10^6,INDEX(Properties!A$1:CB$87,Formula!B109,54)),IF(INDEX(Properties!A$1:CB$87,Formula!D109,54)=0,10^6,INDEX(Properties!A$1:CB$87,Formula!D109,54)),IF(INDEX(Properties!A$1:CB$87,Formula!F109,54)=0,10^6,INDEX(Properties!A$1:CB$87,Formula!F109,54)),IF(INDEX(Properties!A$1:CB$87,Formula!H109,54)=0,10^6,INDEX(Properties!A$1:CB$87,Formula!H109,54)),IF(INDEX(Properties!A$1:CB$87,Formula!J109,54)=0,10^6,INDEX(Properties!A$1:CB$87,Formula!J109,54)))</f>
        <v>90.149999999999977</v>
      </c>
      <c r="FG109" s="54">
        <f t="shared" si="58"/>
        <v>3585</v>
      </c>
      <c r="FH109" s="69">
        <f>((Formula!C109)/(Formula!C109+Formula!E109+Formula!G109+Formula!I109+Formula!K109))*(INDEX(Properties!A$1:CB$87,Formula!B109,55))+((Formula!E109)/(Formula!C109+Formula!E109+Formula!G109+Formula!I109+Formula!K109))*(INDEX(Properties!A$1:CB$87,Formula!D109,55))+((Formula!G109)/(Formula!C109+Formula!E109+Formula!G109+Formula!I109+Formula!K109))*(INDEX(Properties!A$1:CB$87,Formula!F109,55))+((Formula!I109)/(Formula!C109+Formula!E109+Formula!G109+Formula!I109+Formula!K109))*(INDEX(Properties!A$1:CB$87,Formula!H109,55))+((Formula!K109)/(Formula!C109+Formula!E109+Formula!G109+Formula!I109+Formula!K109))*(INDEX(Properties!A$1:CB$87,Formula!J109,55))</f>
        <v>3.1190918181818184</v>
      </c>
      <c r="FI109" s="69">
        <f>Formula!C109*(INDEX(Properties!A$1:CB$87,Formula!B109,55))+Formula!E109*(INDEX(Properties!A$1:CB$87,Formula!D109,54))+Formula!G109*(INDEX(Properties!A$1:CB$87,Formula!F109,55))+Formula!I109*(INDEX(Properties!A$1:CB$87,Formula!H109,55))+Formula!K109*(INDEX(Properties!A$1:CB$87,Formula!J109,55))</f>
        <v>5105.9900100000004</v>
      </c>
      <c r="FJ109" s="69">
        <f>VARP(IF(INDEX(Properties!A$1:CB$87,Formula!B109,55)&lt;&gt;"",INDEX(Properties!A$1:CB$87,Formula!B109,55)),IF(INDEX(Properties!A$1:CB$87,Formula!D109,55)&lt;&gt;"",INDEX(Properties!A$1:CB$87,Formula!D109,55)),IF(INDEX(Properties!A$1:CB$87,Formula!F109,55)&lt;&gt;"",INDEX(Properties!A$1:CB$87,Formula!F109,55)),IF(INDEX(Properties!A$1:CB$87,Formula!H109,55)&lt;&gt;"",INDEX(Properties!A$1:CB$87,Formula!H109,55)),IF(INDEX(Properties!A$1:CB$87,Formula!J109,55)&lt;&gt;"",INDEX(Properties!A$1:CB$87,Formula!J109,55)))</f>
        <v>18.285478367183998</v>
      </c>
      <c r="FK109" s="69">
        <f>MAX(INDEX(Properties!A$1:CB$87,Formula!B109,55),INDEX(Properties!A$1:CB$87,Formula!D109,55),INDEX(Properties!A$1:CB$87,Formula!F109,55),INDEX(Properties!A$1:CB$87,Formula!H109,55),INDEX(Properties!A$1:CB$87,Formula!J109,55))</f>
        <v>9.84</v>
      </c>
      <c r="FL109" s="69">
        <f>MIN(IF(INDEX(Properties!A$1:CB$87,Formula!B109,55)=0,10^6,INDEX(Properties!A$1:CB$87,Formula!B109,55)),IF(INDEX(Properties!A$1:CB$87,Formula!D109,55)=0,10^6,INDEX(Properties!A$1:CB$87,Formula!D109,55)),IF(INDEX(Properties!A$1:CB$87,Formula!F109,55)=0,10^6,INDEX(Properties!A$1:CB$87,Formula!F109,55)),IF(INDEX(Properties!A$1:CB$87,Formula!H109,55)=0,10^6,INDEX(Properties!A$1:CB$87,Formula!H109,55)),IF(INDEX(Properties!A$1:CB$87,Formula!J109,55)=0,10^6,INDEX(Properties!A$1:CB$87,Formula!J109,55)))</f>
        <v>1.4300000000000001E-3</v>
      </c>
      <c r="FM109" s="69">
        <f t="shared" si="59"/>
        <v>9.8385700000000007</v>
      </c>
      <c r="FN109" s="42">
        <f>((Formula!C109)/(Formula!C109+Formula!E109+Formula!G109+Formula!I109+Formula!K109))*(INDEX(Properties!A$1:CB$87,Formula!B109,56))+((Formula!E109)/(Formula!C109+Formula!E109+Formula!G109+Formula!I109+Formula!K109))*(INDEX(Properties!A$1:CB$87,Formula!D109,56))+((Formula!G109)/(Formula!C109+Formula!E109+Formula!G109+Formula!I109+Formula!K109))*(INDEX(Properties!A$1:CB$87,Formula!F109,56))+((Formula!I109)/(Formula!C109+Formula!E109+Formula!G109+Formula!I109+Formula!K109))*(INDEX(Properties!A$1:CB$87,Formula!H109,56))+((Formula!K109)/(Formula!C109+Formula!E109+Formula!G109+Formula!I109+Formula!K109))*(INDEX(Properties!A$1:CB$87,Formula!J109,56))</f>
        <v>0.65400000000000003</v>
      </c>
      <c r="FO109" s="42">
        <f>Formula!C109*(INDEX(Properties!A$1:CB$87,Formula!B109,56))+Formula!E109*(INDEX(Properties!A$1:CB$87,Formula!D109,56))+Formula!G109*(INDEX(Properties!A$1:CB$87,Formula!F109,56))+Formula!I109*(INDEX(Properties!A$1:CB$87,Formula!H109,56))+Formula!K109*(INDEX(Properties!A$1:CB$87,Formula!J109,56))</f>
        <v>7.1940000000000008</v>
      </c>
      <c r="FP109" s="42">
        <f>VARP(IF(INDEX(Properties!A$1:CB$87,Formula!B109,56)&lt;&gt;"",INDEX(Properties!A$1:CB$87,Formula!B109,56)),IF(INDEX(Properties!A$1:CB$87,Formula!D109,56)&lt;&gt;"",INDEX(Properties!A$1:CB$87,Formula!D109,56)),IF(INDEX(Properties!A$1:CB$87,Formula!F109,56)&lt;&gt;"",INDEX(Properties!A$1:CB$87,Formula!F109,56)),IF(INDEX(Properties!A$1:CB$87,Formula!H109,56)&lt;&gt;"",INDEX(Properties!A$1:CB$87,Formula!H109,56)),IF(INDEX(Properties!A$1:CB$87,Formula!J109,56)&lt;&gt;"",INDEX(Properties!A$1:CB$87,Formula!J109,56)))</f>
        <v>0.11679743999999999</v>
      </c>
      <c r="FQ109" s="42">
        <f>MAX(INDEX(Properties!A$1:CB$87,Formula!B109,56),INDEX(Properties!A$1:CB$87,Formula!D109,56),INDEX(Properties!A$1:CB$87,Formula!F109,56),INDEX(Properties!A$1:CB$87,Formula!H109,56),INDEX(Properties!A$1:CB$87,Formula!J109,56))</f>
        <v>0.92</v>
      </c>
      <c r="FR109" s="42">
        <f>MIN(IF(INDEX(Properties!A$1:CB$87,Formula!B109,56)=0,10^6,INDEX(Properties!A$1:CB$87,Formula!B109,56)),IF(INDEX(Properties!A$1:CB$87,Formula!D109,56)=0,10^6,INDEX(Properties!A$1:CB$87,Formula!D109,56)),IF(INDEX(Properties!A$1:CB$87,Formula!F109,56)=0,10^6,INDEX(Properties!A$1:CB$87,Formula!F109,56)),IF(INDEX(Properties!A$1:CB$87,Formula!H109,56)=0,10^6,INDEX(Properties!A$1:CB$87,Formula!H109,56)),IF(INDEX(Properties!A$1:CB$87,Formula!J109,56)=0,10^6,INDEX(Properties!A$1:CB$87,Formula!J109,56)))</f>
        <v>0.15</v>
      </c>
      <c r="FS109" s="42">
        <f t="shared" si="60"/>
        <v>0.77</v>
      </c>
      <c r="FT109" s="60">
        <f>((Formula!C109)/(Formula!C109+Formula!E109+Formula!G109+Formula!I109+Formula!K109))*(INDEX(Properties!A$1:CB$87,Formula!B109,57))+((Formula!E109)/(Formula!C109+Formula!E109+Formula!G109+Formula!I109+Formula!K109))*(INDEX(Properties!A$1:CB$87,Formula!D109,57))+((Formula!G109)/(Formula!C109+Formula!E109+Formula!G109+Formula!I109+Formula!K109))*(INDEX(Properties!A$1:CB$87,Formula!F109,57))+((Formula!I109)/(Formula!C109+Formula!E109+Formula!G109+Formula!I109+Formula!K109))*(INDEX(Properties!A$1:CB$87,Formula!H109,57))+((Formula!K109)/(Formula!C109+Formula!E109+Formula!G109+Formula!I109+Formula!K109))*(INDEX(Properties!A$1:CB$87,Formula!J109,57))</f>
        <v>4.8014663636363641</v>
      </c>
      <c r="FU109" s="60">
        <f>Formula!C109*(INDEX(Properties!A$1:CB$87,Formula!B109,57))+Formula!E109*(INDEX(Properties!A$1:CB$87,Formula!D109,57))+Formula!G109*(INDEX(Properties!A$1:CB$87,Formula!F109,57))+Formula!I109*(INDEX(Properties!A$1:CB$87,Formula!H109,57))+Formula!K109*(INDEX(Properties!A$1:CB$87,Formula!J109,57))</f>
        <v>52.816130000000001</v>
      </c>
      <c r="FV109" s="60">
        <f>VARP(IF(INDEX(Properties!A$1:CB$87,Formula!B109,57)&lt;&gt;"",INDEX(Properties!A$1:CB$87,Formula!B109,57)),IF(INDEX(Properties!A$1:CB$87,Formula!D109,57)&lt;&gt;"",INDEX(Properties!A$1:CB$87,Formula!D109,57)),IF(INDEX(Properties!A$1:CB$87,Formula!F109,57)&lt;&gt;"",INDEX(Properties!A$1:CB$87,Formula!F109,57)),IF(INDEX(Properties!A$1:CB$87,Formula!H109,57)&lt;&gt;"",INDEX(Properties!A$1:CB$87,Formula!H109,57)),IF(INDEX(Properties!A$1:CB$87,Formula!J109,57)&lt;&gt;"",INDEX(Properties!A$1:CB$87,Formula!J109,57)))</f>
        <v>52.351089240496002</v>
      </c>
      <c r="FW109" s="60">
        <f>MAX(INDEX(Properties!A$1:CB$87,Formula!B109,57),INDEX(Properties!A$1:CB$87,Formula!D109,57),INDEX(Properties!A$1:CB$87,Formula!F109,57),INDEX(Properties!A$1:CB$87,Formula!H109,57),INDEX(Properties!A$1:CB$87,Formula!J109,57))</f>
        <v>18.600000000000001</v>
      </c>
      <c r="FX109" s="60">
        <f>MIN(IF(INDEX(Properties!A$1:CB$87,Formula!B109,57)=0,10^6,INDEX(Properties!A$1:CB$87,Formula!B109,57)),IF(INDEX(Properties!A$1:CB$87,Formula!D109,57)=0,10^6,INDEX(Properties!A$1:CB$87,Formula!D109,57)),IF(INDEX(Properties!A$1:CB$87,Formula!F109,57)=0,10^6,INDEX(Properties!A$1:CB$87,Formula!F109,57)),IF(INDEX(Properties!A$1:CB$87,Formula!H109,57)=0,10^6,INDEX(Properties!A$1:CB$87,Formula!H109,57)),IF(INDEX(Properties!A$1:CB$87,Formula!J109,57)=0,10^6,INDEX(Properties!A$1:CB$87,Formula!J109,57)))</f>
        <v>0.22259000000000001</v>
      </c>
      <c r="FY109" s="60">
        <f t="shared" si="61"/>
        <v>18.377410000000001</v>
      </c>
      <c r="FZ109" s="72">
        <f>((Formula!C109)/(Formula!C109+Formula!E109+Formula!G109+Formula!I109+Formula!K109))*(INDEX(Properties!A$1:CB$87,Formula!B109,60))+((Formula!E109)/(Formula!C109+Formula!E109+Formula!G109+Formula!I109+Formula!K109))*(INDEX(Properties!A$1:CB$87,Formula!D109,60))+((Formula!G109)/(Formula!C109+Formula!E109+Formula!G109+Formula!I109+Formula!K109))*(INDEX(Properties!A$1:CB$87,Formula!F109,60))+((Formula!I109)/(Formula!C109+Formula!E109+Formula!G109+Formula!I109+Formula!K109))*(INDEX(Properties!A$1:CB$87,Formula!H109,60))+((Formula!K109)/(Formula!C109+Formula!E109+Formula!G109+Formula!I109+Formula!K109))*(INDEX(Properties!A$1:CB$87,Formula!J109,60))</f>
        <v>15.107925454545454</v>
      </c>
      <c r="GA109" s="72">
        <f>Formula!C109*(INDEX(Properties!A$1:CB$87,Formula!B109,60))+Formula!E109*(INDEX(Properties!A$1:CB$87,Formula!D109,60))+Formula!G109*(INDEX(Properties!A$1:CB$87,Formula!F109,60))+Formula!I109*(INDEX(Properties!A$1:CB$87,Formula!H109,60))+Formula!K109*(INDEX(Properties!A$1:CB$87,Formula!J109,60))</f>
        <v>166.18718000000001</v>
      </c>
      <c r="GB109" s="72">
        <f>VARP(IF(INDEX(Properties!A$1:CB$87,Formula!B109,60)&lt;&gt;"",INDEX(Properties!A$1:CB$87,Formula!B109,60)),IF(INDEX(Properties!A$1:CB$87,Formula!D109,60)&lt;&gt;"",INDEX(Properties!A$1:CB$87,Formula!D109,60)),IF(INDEX(Properties!A$1:CB$87,Formula!F109,60)&lt;&gt;"",INDEX(Properties!A$1:CB$87,Formula!F109,60)),IF(INDEX(Properties!A$1:CB$87,Formula!H109,60)&lt;&gt;"",INDEX(Properties!A$1:CB$87,Formula!H109,60)),IF(INDEX(Properties!A$1:CB$87,Formula!J109,60)&lt;&gt;"",INDEX(Properties!A$1:CB$87,Formula!J109,60)))</f>
        <v>665.16656080441578</v>
      </c>
      <c r="GC109" s="72">
        <f>MAX(INDEX(Properties!A$1:CB$87,Formula!B109,60),INDEX(Properties!A$1:CB$87,Formula!D109,60),INDEX(Properties!A$1:CB$87,Formula!F109,60),INDEX(Properties!A$1:CB$87,Formula!H109,60),INDEX(Properties!A$1:CB$87,Formula!J109,60))</f>
        <v>66.599999999999994</v>
      </c>
      <c r="GD109" s="72">
        <f>MIN(IF(INDEX(Properties!A$1:CB$87,Formula!B109,60)=0,10^6,INDEX(Properties!A$1:CB$87,Formula!B109,60)),IF(INDEX(Properties!A$1:CB$87,Formula!D109,60)=0,10^6,INDEX(Properties!A$1:CB$87,Formula!D109,60)),IF(INDEX(Properties!A$1:CB$87,Formula!F109,60)=0,10^6,INDEX(Properties!A$1:CB$87,Formula!F109,60)),IF(INDEX(Properties!A$1:CB$87,Formula!H109,60)=0,10^6,INDEX(Properties!A$1:CB$87,Formula!H109,60)),IF(INDEX(Properties!A$1:CB$87,Formula!J109,60)=0,10^6,INDEX(Properties!A$1:CB$87,Formula!J109,60)))</f>
        <v>2.674E-2</v>
      </c>
      <c r="GE109" s="72">
        <f t="shared" si="62"/>
        <v>66.573259999999991</v>
      </c>
      <c r="GF109" s="51">
        <f>((Formula!C109)/(Formula!C109+Formula!E109+Formula!G109+Formula!I109+Formula!K109))*(INDEX(Properties!A$1:CB$87,Formula!B109,62))+((Formula!E109)/(Formula!C109+Formula!E109+Formula!G109+Formula!I109+Formula!K109))*(INDEX(Properties!A$1:CB$87,Formula!D109,62))+((Formula!G109)/(Formula!C109+Formula!E109+Formula!G109+Formula!I109+Formula!K109))*(INDEX(Properties!A$1:CB$87,Formula!F109,62))+((Formula!I109)/(Formula!C109+Formula!E109+Formula!G109+Formula!I109+Formula!K109))*(INDEX(Properties!A$1:CB$87,Formula!H109,62))+((Formula!K109)/(Formula!C109+Formula!E109+Formula!G109+Formula!I109+Formula!K109))*(INDEX(Properties!A$1:CB$87,Formula!J109,62))</f>
        <v>3.0436363636363639</v>
      </c>
      <c r="GG109" s="51">
        <f>Formula!C109*(INDEX(Properties!A$1:CB$87,Formula!B109,62))+Formula!E109*(INDEX(Properties!A$1:CB$87,Formula!D109,62))+Formula!G109*(INDEX(Properties!A$1:CB$87,Formula!F109,62))+Formula!I109*(INDEX(Properties!A$1:CB$87,Formula!H109,62))+Formula!K109*(INDEX(Properties!A$1:CB$87,Formula!J109,62))</f>
        <v>33.480000000000004</v>
      </c>
      <c r="GH109" s="51">
        <f>VARP(IF(INDEX(Properties!A$1:CB$87,Formula!B109,62)&lt;&gt;"",INDEX(Properties!A$1:CB$87,Formula!B109,62)),IF(INDEX(Properties!A$1:CB$87,Formula!D109,62)&lt;&gt;"",INDEX(Properties!A$1:CB$87,Formula!D109,62)),IF(INDEX(Properties!A$1:CB$87,Formula!F109,62)&lt;&gt;"",INDEX(Properties!A$1:CB$87,Formula!F109,62)),IF(INDEX(Properties!A$1:CB$87,Formula!H109,62)&lt;&gt;"",INDEX(Properties!A$1:CB$87,Formula!H109,62)),IF(INDEX(Properties!A$1:CB$87,Formula!J109,62)&lt;&gt;"",INDEX(Properties!A$1:CB$87,Formula!J109,62)))</f>
        <v>3.1163359999999996</v>
      </c>
      <c r="GI109" s="51">
        <f>MAX(INDEX(Properties!A$1:CB$87,Formula!B109,62),INDEX(Properties!A$1:CB$87,Formula!D109,62),INDEX(Properties!A$1:CB$87,Formula!F109,62),INDEX(Properties!A$1:CB$87,Formula!H109,62),INDEX(Properties!A$1:CB$87,Formula!J109,62))</f>
        <v>4.43</v>
      </c>
      <c r="GJ109" s="51">
        <f>MIN(IF(INDEX(Properties!A$1:CB$87,Formula!B109,62)=0,10^6,INDEX(Properties!A$1:CB$87,Formula!B109,62)),IF(INDEX(Properties!A$1:CB$87,Formula!D109,62)=0,10^6,INDEX(Properties!A$1:CB$87,Formula!D109,62)),IF(INDEX(Properties!A$1:CB$87,Formula!F109,62)=0,10^6,INDEX(Properties!A$1:CB$87,Formula!F109,62)),IF(INDEX(Properties!A$1:CB$87,Formula!H109,62)=0,10^6,INDEX(Properties!A$1:CB$87,Formula!H109,62)),IF(INDEX(Properties!A$1:CB$87,Formula!J109,62)=0,10^6,INDEX(Properties!A$1:CB$87,Formula!J109,62)))</f>
        <v>2.62</v>
      </c>
      <c r="GK109" s="51">
        <f t="shared" si="63"/>
        <v>1.8099999999999996</v>
      </c>
      <c r="GL109" s="51">
        <f>Formula!P109</f>
        <v>227</v>
      </c>
      <c r="GM109" s="57">
        <f>Formula!O109</f>
        <v>7</v>
      </c>
      <c r="GN109" s="51">
        <f>Formula!N109</f>
        <v>0.05</v>
      </c>
    </row>
    <row r="110" spans="1:196" x14ac:dyDescent="0.3">
      <c r="A110" s="84" t="str">
        <f>Formula!A110</f>
        <v>Cd2V2O7</v>
      </c>
      <c r="B110" s="89">
        <f>((Formula!C110)/(Formula!C110+Formula!E110+Formula!G110+Formula!I110+Formula!K110))*(INDEX(Properties!A$1:CB$87,Formula!B110,3))+((Formula!E110)/(Formula!C110+Formula!E110+Formula!G110+Formula!I110+Formula!K110))*(INDEX(Properties!A$1:CB$87,Formula!D110,3))+((Formula!G110)/(Formula!C110+Formula!E110+Formula!G110+Formula!I110+Formula!K110))*(INDEX(Properties!A$1:CB$87,Formula!F110,3))+((Formula!I110)/(Formula!C110+Formula!E110+Formula!G110+Formula!I110+Formula!K110))*(INDEX(Properties!A$1:CB$87,Formula!H110,3))+((Formula!K110)/(Formula!C110+Formula!E110+Formula!G110+Formula!I110+Formula!K110))*(INDEX(Properties!A$1:CB$87,Formula!J110,3))</f>
        <v>39.881890909090913</v>
      </c>
      <c r="C110" s="85">
        <f>Formula!C110*(INDEX(Properties!A$1:CB$87,Formula!B110,3))+Formula!E110*(INDEX(Properties!A$1:CB$87,Formula!D110,3))+Formula!G110*(INDEX(Properties!A$1:CB$87,Formula!F110,3))+Formula!I110*(INDEX(Properties!A$1:CB$87,Formula!H110,3))+Formula!K110*(INDEX(Properties!A$1:CB$87,Formula!J110,3))</f>
        <v>438.70079999999996</v>
      </c>
      <c r="D110" s="85">
        <f>VARP(IF(INDEX(Properties!A$1:CB$87,Formula!B110,3)&lt;&gt;"",INDEX(Properties!A$1:CB$87,Formula!B110,3)),IF(INDEX(Properties!A$1:CB$87,Formula!D110,3)&lt;&gt;"",INDEX(Properties!A$1:CB$87,Formula!D110,3)),IF(INDEX(Properties!A$1:CB$87,Formula!F110,3)&lt;&gt;"",INDEX(Properties!A$1:CB$87,Formula!F110,3)),IF(INDEX(Properties!A$1:CB$87,Formula!H110,3)&lt;&gt;"",INDEX(Properties!A$1:CB$87,Formula!H110,3)),IF(INDEX(Properties!A$1:CB$87,Formula!J110,3)&lt;&gt;"",INDEX(Properties!A$1:CB$87,Formula!J110,3)))</f>
        <v>1810.7658673776</v>
      </c>
      <c r="E110" s="85">
        <f>MAX(INDEX(Properties!A$1:CB$87,Formula!B110,3),INDEX(Properties!A$1:CB$87,Formula!D110,3),INDEX(Properties!A$1:CB$87,Formula!F110,3),INDEX(Properties!A$1:CB$87,Formula!H110,3),INDEX(Properties!A$1:CB$87,Formula!J110,3))</f>
        <v>112.411</v>
      </c>
      <c r="F110" s="85">
        <f>MIN(IF(INDEX(Properties!A$1:CB$87,Formula!B110,3)=0,10^6,INDEX(Properties!A$1:CB$87,Formula!B110,3)),IF(INDEX(Properties!A$1:CB$87,Formula!D110,3)=0,10^6,INDEX(Properties!A$1:CB$87,Formula!D110,3)),IF(INDEX(Properties!A$1:CB$87,Formula!F110,3)=0,10^6,INDEX(Properties!A$1:CB$87,Formula!F110,3)),IF(INDEX(Properties!A$1:CB$87,Formula!H110,3)=0,10^6,INDEX(Properties!A$1:CB$87,Formula!H110,3)),IF(INDEX(Properties!A$1:CB$87,Formula!J110,3)=0,10^6,INDEX(Properties!A$1:CB$87,Formula!J110,3)))</f>
        <v>15.9994</v>
      </c>
      <c r="G110" s="85">
        <f t="shared" si="32"/>
        <v>96.411600000000007</v>
      </c>
      <c r="H110" s="87">
        <f>((Formula!C110)/(Formula!C110+Formula!E110+Formula!G110+Formula!I110+Formula!K110))*(INDEX(Properties!A$1:CB$87,Formula!B110,4))+((Formula!E110)/(Formula!C110+Formula!E110+Formula!G110+Formula!I110+Formula!K110))*(INDEX(Properties!A$1:CB$87,Formula!D110,4))+((Formula!G110)/(Formula!C110+Formula!E110+Formula!G110+Formula!I110+Formula!K110))*(INDEX(Properties!A$1:CB$87,Formula!F110,4))+((Formula!I110)/(Formula!C110+Formula!E110+Formula!G110+Formula!I110+Formula!K110))*(INDEX(Properties!A$1:CB$87,Formula!H110,4))+((Formula!K110)/(Formula!C110+Formula!E110+Formula!G110+Formula!I110+Formula!K110))*(INDEX(Properties!A$1:CB$87,Formula!J110,4))</f>
        <v>18</v>
      </c>
      <c r="I110" s="87">
        <f>Formula!C110*(INDEX(Properties!A$1:CB$87,Formula!B110,4))+Formula!E110*(INDEX(Properties!A$1:CB$87,Formula!D110,4))+Formula!G110*(INDEX(Properties!A$1:CB$87,Formula!F110,4))+Formula!I110*(INDEX(Properties!A$1:CB$87,Formula!H110,4))+Formula!K110*(INDEX(Properties!A$1:CB$87,Formula!J110,4))</f>
        <v>198</v>
      </c>
      <c r="J110" s="87">
        <f>VARP(IF(INDEX(Properties!A$1:CB$87,Formula!B110,4)&lt;&gt;"",INDEX(Properties!A$1:CB$87,Formula!B110,4)),IF(INDEX(Properties!A$1:CB$87,Formula!D110,4)&lt;&gt;"",INDEX(Properties!A$1:CB$87,Formula!D110,4)),IF(INDEX(Properties!A$1:CB$87,Formula!F110,4)&lt;&gt;"",INDEX(Properties!A$1:CB$87,Formula!F110,4)),IF(INDEX(Properties!A$1:CB$87,Formula!H110,4)&lt;&gt;"",INDEX(Properties!A$1:CB$87,Formula!H110,4)),IF(INDEX(Properties!A$1:CB$87,Formula!J110,4)&lt;&gt;"",INDEX(Properties!A$1:CB$87,Formula!J110,4)))</f>
        <v>329.76</v>
      </c>
      <c r="K110" s="87">
        <f>MAX(INDEX(Properties!A$1:CB$87,Formula!B110,4),INDEX(Properties!A$1:CB$87,Formula!D110,4),INDEX(Properties!A$1:CB$87,Formula!F110,4),INDEX(Properties!A$1:CB$87,Formula!H110,4),INDEX(Properties!A$1:CB$87,Formula!J110,4))</f>
        <v>48</v>
      </c>
      <c r="L110" s="87">
        <f>MIN(IF(INDEX(Properties!A$1:CB$87,Formula!B110,4)=0,10^6,INDEX(Properties!A$1:CB$87,Formula!B110,4)),IF(INDEX(Properties!A$1:CB$87,Formula!D110,4)=0,10^6,INDEX(Properties!A$1:CB$87,Formula!D110,4)),IF(INDEX(Properties!A$1:CB$87,Formula!F110,4)=0,10^6,INDEX(Properties!A$1:CB$87,Formula!F110,4)),IF(INDEX(Properties!A$1:CB$87,Formula!H110,4)=0,10^6,INDEX(Properties!A$1:CB$87,Formula!H110,4)),IF(INDEX(Properties!A$1:CB$87,Formula!J110,4)=0,10^6,INDEX(Properties!A$1:CB$87,Formula!J110,4)))</f>
        <v>8</v>
      </c>
      <c r="M110" s="87">
        <f t="shared" si="33"/>
        <v>40</v>
      </c>
      <c r="N110" s="89">
        <f>((Formula!C110)/(Formula!C110+Formula!E110+Formula!G110+Formula!I110+Formula!K110))*(INDEX(Properties!A$1:CB$87,Formula!B110,5))+((Formula!E110)/(Formula!C110+Formula!E110+Formula!G110+Formula!I110+Formula!K110))*(INDEX(Properties!A$1:CB$87,Formula!D110,5))+((Formula!G110)/(Formula!C110+Formula!E110+Formula!G110+Formula!I110+Formula!K110))*(INDEX(Properties!A$1:CB$87,Formula!F110,5))+((Formula!I110)/(Formula!C110+Formula!E110+Formula!G110+Formula!I110+Formula!K110))*(INDEX(Properties!A$1:CB$87,Formula!H110,5))+((Formula!K110)/(Formula!C110+Formula!E110+Formula!G110+Formula!I110+Formula!K110))*(INDEX(Properties!A$1:CB$87,Formula!J110,5))</f>
        <v>2.9090909090909092</v>
      </c>
      <c r="O110" s="89">
        <f>Formula!C110*(INDEX(Properties!A$1:CB$87,Formula!B110,5))+Formula!E110*(INDEX(Properties!A$1:CB$87,Formula!D110,5))+Formula!G110*(INDEX(Properties!A$1:CB$87,Formula!F110,5))+Formula!I110*(INDEX(Properties!A$1:CB$87,Formula!H110,5))+Formula!K110*(INDEX(Properties!A$1:CB$87,Formula!J110,5))</f>
        <v>32</v>
      </c>
      <c r="P110" s="89">
        <f>VARP(IF(INDEX(Properties!A$1:CB$87,Formula!B110,5)&lt;&gt;"",INDEX(Properties!A$1:CB$87,Formula!B110,5)),IF(INDEX(Properties!A$1:CB$87,Formula!D110,5)&lt;&gt;"",INDEX(Properties!A$1:CB$87,Formula!D110,5)),IF(INDEX(Properties!A$1:CB$87,Formula!F110,5)&lt;&gt;"",INDEX(Properties!A$1:CB$87,Formula!F110,5)),IF(INDEX(Properties!A$1:CB$87,Formula!H110,5)&lt;&gt;"",INDEX(Properties!A$1:CB$87,Formula!H110,5)),IF(INDEX(Properties!A$1:CB$87,Formula!J110,5)&lt;&gt;"",INDEX(Properties!A$1:CB$87,Formula!J110,5)))</f>
        <v>4.16</v>
      </c>
      <c r="Q110" s="89">
        <f>MAX(INDEX(Properties!A$1:CB$87,Formula!B110,5),INDEX(Properties!A$1:CB$87,Formula!D110,5),INDEX(Properties!A$1:CB$87,Formula!F110,5),INDEX(Properties!A$1:CB$87,Formula!H110,5),INDEX(Properties!A$1:CB$87,Formula!J110,5))</f>
        <v>5</v>
      </c>
      <c r="R110" s="89">
        <f>MIN(IF(INDEX(Properties!A$1:CB$87,Formula!B110,5)=0,10^6,INDEX(Properties!A$1:CB$87,Formula!B110,5)),IF(INDEX(Properties!A$1:CB$87,Formula!D110,5)=0,10^6,INDEX(Properties!A$1:CB$87,Formula!D110,5)),IF(INDEX(Properties!A$1:CB$87,Formula!F110,5)=0,10^6,INDEX(Properties!A$1:CB$87,Formula!F110,5)),IF(INDEX(Properties!A$1:CB$87,Formula!H110,5)=0,10^6,INDEX(Properties!A$1:CB$87,Formula!H110,5)),IF(INDEX(Properties!A$1:CB$87,Formula!J110,5)=0,10^6,INDEX(Properties!A$1:CB$87,Formula!J110,5)))</f>
        <v>2</v>
      </c>
      <c r="S110" s="89">
        <f t="shared" si="34"/>
        <v>3</v>
      </c>
      <c r="T110" s="60">
        <f>((Formula!C110)/(Formula!C110+Formula!E110+Formula!G110+Formula!I110+Formula!K110))*(INDEX(Properties!A$1:CB$87,Formula!B110,6))+((Formula!E110)/(Formula!C110+Formula!E110+Formula!G110+Formula!I110+Formula!K110))*(INDEX(Properties!A$1:CB$87,Formula!D110,6))+((Formula!G110)/(Formula!C110+Formula!E110+Formula!G110+Formula!I110+Formula!K110))*(INDEX(Properties!A$1:CB$87,Formula!F110,6))+((Formula!I110)/(Formula!C110+Formula!E110+Formula!G110+Formula!I110+Formula!K110))*(INDEX(Properties!A$1:CB$87,Formula!H110,6))+((Formula!K110)/(Formula!C110+Formula!E110+Formula!G110+Formula!I110+Formula!K110))*(INDEX(Properties!A$1:CB$87,Formula!J110,6))</f>
        <v>13.272727272727273</v>
      </c>
      <c r="U110" s="60">
        <f>Formula!C110*(INDEX(Properties!A$1:CB$87,Formula!B110,6))+Formula!E110*(INDEX(Properties!A$1:CB$87,Formula!D110,6))+Formula!G110*(INDEX(Properties!A$1:CB$87,Formula!F110,6))+Formula!I110*(INDEX(Properties!A$1:CB$87,Formula!H110,6))+Formula!K110*(INDEX(Properties!A$1:CB$87,Formula!J110,6))</f>
        <v>146</v>
      </c>
      <c r="V110" s="89">
        <f>VARP(IF(INDEX(Properties!A$1:CB$87,Formula!B110,6)&lt;&gt;"",INDEX(Properties!A$1:CB$87,Formula!B110,6)),IF(INDEX(Properties!A$1:CB$87,Formula!D110,6)&lt;&gt;"",INDEX(Properties!A$1:CB$87,Formula!D110,6)),IF(INDEX(Properties!A$1:CB$87,Formula!F110,6)&lt;&gt;"",INDEX(Properties!A$1:CB$87,Formula!F110,6)),IF(INDEX(Properties!A$1:CB$87,Formula!H110,6)&lt;&gt;"",INDEX(Properties!A$1:CB$87,Formula!H110,6)),IF(INDEX(Properties!A$1:CB$87,Formula!J110,6)&lt;&gt;"",INDEX(Properties!A$1:CB$87,Formula!J110,6)))</f>
        <v>41.44</v>
      </c>
      <c r="W110" s="60">
        <f>MAX(INDEX(Properties!A$1:CB$87,Formula!B110,6),INDEX(Properties!A$1:CB$87,Formula!D110,6),INDEX(Properties!A$1:CB$87,Formula!F110,6),INDEX(Properties!A$1:CB$87,Formula!H110,4),INDEX(Properties!A$1:CB$87,Formula!J110,6))</f>
        <v>16</v>
      </c>
      <c r="X110" s="60">
        <f>MIN(IF(INDEX(Properties!A$1:CB$87,Formula!B110,6)=0,10^6,INDEX(Properties!A$1:CB$87,Formula!B110,6)),IF(INDEX(Properties!A$1:CB$87,Formula!D110,6)=0,10^6,INDEX(Properties!A$1:CB$87,Formula!D110,6)),IF(INDEX(Properties!A$1:CB$87,Formula!F110,6)=0,10^6,INDEX(Properties!A$1:CB$87,Formula!F110,6)),IF(INDEX(Properties!A$1:CB$87,Formula!H110,6)=0,10^6,INDEX(Properties!A$1:CB$87,Formula!H110,6)),IF(INDEX(Properties!A$1:CB$87,Formula!J110,6)=0,10^6,INDEX(Properties!A$1:CB$87,Formula!J110,6)))</f>
        <v>5</v>
      </c>
      <c r="Y110" s="60">
        <f t="shared" si="35"/>
        <v>11</v>
      </c>
      <c r="Z110" s="72">
        <f>((Formula!C110)/(Formula!C110+Formula!E110+Formula!G110+Formula!I110+Formula!K110))*(INDEX(Properties!A$1:CB$87,Formula!B110,9))+((Formula!E110)/(Formula!C110+Formula!E110+Formula!G110+Formula!I110+Formula!K110))*(INDEX(Properties!A$1:CB$87,Formula!D110,9))+((Formula!G110)/(Formula!C110+Formula!E110+Formula!G110+Formula!I110+Formula!K110))*(INDEX(Properties!A$1:CB$87,Formula!F110,9))+((Formula!I110)/(Formula!C110+Formula!E110+Formula!G110+Formula!I110+Formula!K110))*(INDEX(Properties!A$1:CB$87,Formula!H110,9))+((Formula!K110)/(Formula!C110+Formula!E110+Formula!G110+Formula!I110+Formula!K110))*(INDEX(Properties!A$1:CB$87,Formula!J110,9))</f>
        <v>76.454545454545453</v>
      </c>
      <c r="AA110" s="72">
        <f>Formula!C110*(INDEX(Properties!A$1:CB$87,Formula!B110,9))+Formula!E110*(INDEX(Properties!A$1:CB$87,Formula!D110,9))+Formula!G110*(INDEX(Properties!A$1:CB$87,Formula!F110,9))+Formula!I110*(INDEX(Properties!A$1:CB$87,Formula!H110,9))+Formula!K110*(INDEX(Properties!A$1:CB$87,Formula!J110,9))</f>
        <v>841</v>
      </c>
      <c r="AB110" s="72">
        <f>VARP(IF(INDEX(Properties!A$1:CB$87,Formula!B110,9)&lt;&gt;"",INDEX(Properties!A$1:CB$87,Formula!B110,9)),IF(INDEX(Properties!A$1:CB$87,Formula!D110,9)&lt;&gt;"",INDEX(Properties!A$1:CB$87,Formula!D110,9)),IF(INDEX(Properties!A$1:CB$87,Formula!F110,9)&lt;&gt;"",INDEX(Properties!A$1:CB$87,Formula!F110,9)),IF(INDEX(Properties!A$1:CB$87,Formula!H110,9)&lt;&gt;"",INDEX(Properties!A$1:CB$87,Formula!H110,9)),IF(INDEX(Properties!A$1:CB$87,Formula!J110,9)&lt;&gt;"",INDEX(Properties!A$1:CB$87,Formula!J110,9)))</f>
        <v>1268.6400000000001</v>
      </c>
      <c r="AC110" s="72">
        <f>MAX(INDEX(Properties!A$1:CB$87,Formula!B110,9),INDEX(Properties!A$1:CB$87,Formula!D110,9),INDEX(Properties!A$1:CB$87,Formula!F110,9),INDEX(Properties!A$1:CB$87,Formula!H110,9),INDEX(Properties!A$1:CB$87,Formula!J110,9))</f>
        <v>87</v>
      </c>
      <c r="AD110" s="72">
        <f>MIN(IF(INDEX(Properties!A$1:CB$87,Formula!B110,9)=0,10^6,INDEX(Properties!A$1:CB$87,Formula!B110,9)),IF(INDEX(Properties!A$1:CB$87,Formula!D110,9)=0,10^6,INDEX(Properties!A$1:CB$87,Formula!D110,9)),IF(INDEX(Properties!A$1:CB$87,Formula!F110,9)=0,10^6,INDEX(Properties!A$1:CB$87,Formula!F110,9)),IF(INDEX(Properties!A$1:CB$87,Formula!H110,9)=0,10^6,INDEX(Properties!A$1:CB$87,Formula!H110,9)),IF(INDEX(Properties!A$1:CB$87,Formula!J110,9)=0,10^6,INDEX(Properties!A$1:CB$87,Formula!J110,9)))</f>
        <v>46</v>
      </c>
      <c r="AE110" s="72">
        <f t="shared" si="36"/>
        <v>41</v>
      </c>
      <c r="AF110" s="51">
        <f>((Formula!C110)/(Formula!C110+Formula!E110+Formula!G110+Formula!I110+Formula!K110))*(INDEX(Properties!A$1:CB$87,Formula!B110,10))+((Formula!E110)/(Formula!C110+Formula!E110+Formula!G110+Formula!I110+Formula!K110))*(INDEX(Properties!A$1:CB$87,Formula!D110,10))+((Formula!G110)/(Formula!C110+Formula!E110+Formula!G110+Formula!I110+Formula!K110))*(INDEX(Properties!A$1:CB$87,Formula!F110,10))+((Formula!I110)/(Formula!C110+Formula!E110+Formula!G110+Formula!I110+Formula!K110))*(INDEX(Properties!A$1:CB$87,Formula!H110,10))+((Formula!K110)/(Formula!C110+Formula!E110+Formula!G110+Formula!I110+Formula!K110))*(INDEX(Properties!A$1:CB$87,Formula!J110,10))</f>
        <v>5.9090909090909083</v>
      </c>
      <c r="AG110" s="51">
        <f>Formula!C110*(INDEX(Properties!A$1:CB$87,Formula!B110,10))+Formula!E110*(INDEX(Properties!A$1:CB$87,Formula!D110,10))+Formula!G110*(INDEX(Properties!A$1:CB$87,Formula!F110,10))+Formula!I110*(INDEX(Properties!A$1:CB$87,Formula!H110,10))+Formula!K110*(INDEX(Properties!A$1:CB$87,Formula!J110,10))</f>
        <v>65</v>
      </c>
      <c r="AH110" s="51">
        <f>VARP(IF(INDEX(Properties!A$1:CB$87,Formula!B110,10)&lt;&gt;"",INDEX(Properties!A$1:CB$87,Formula!B110,10)),IF(INDEX(Properties!A$1:CB$87,Formula!D110,10)&lt;&gt;"",INDEX(Properties!A$1:CB$87,Formula!D110,10)),IF(INDEX(Properties!A$1:CB$87,Formula!F110,10)&lt;&gt;"",INDEX(Properties!A$1:CB$87,Formula!F110,10)),IF(INDEX(Properties!A$1:CB$87,Formula!H110,10)&lt;&gt;"",INDEX(Properties!A$1:CB$87,Formula!H110,10)),IF(INDEX(Properties!A$1:CB$87,Formula!J110,10)&lt;&gt;"",INDEX(Properties!A$1:CB$87,Formula!J110,10)))</f>
        <v>7.2</v>
      </c>
      <c r="AI110" s="51">
        <f>MAX(INDEX(Properties!A$1:CB$87,Formula!B110,10),INDEX(Properties!A$1:CB$87,Formula!D110,10),INDEX(Properties!A$1:CB$87,Formula!F110,10),INDEX(Properties!A$1:CB$87,Formula!H110,10),INDEX(Properties!A$1:CB$87,Formula!J110,10))</f>
        <v>7</v>
      </c>
      <c r="AJ110" s="51">
        <f>MIN(IF(INDEX(Properties!A$1:CB$87,Formula!B110,10)=0,10^6,INDEX(Properties!A$1:CB$87,Formula!B110,10)),IF(INDEX(Properties!A$1:CB$87,Formula!D110,10)=0,10^6,INDEX(Properties!A$1:CB$87,Formula!D110,10)),IF(INDEX(Properties!A$1:CB$87,Formula!F110,10)=0,10^6,INDEX(Properties!A$1:CB$87,Formula!F110,10)),IF(INDEX(Properties!A$1:CB$87,Formula!H110,10)=0,10^6,INDEX(Properties!A$1:CB$87,Formula!H110,10)),IF(INDEX(Properties!A$1:CB$87,Formula!J110,10)=0,10^6,INDEX(Properties!A$1:CB$87,Formula!J110,10)))</f>
        <v>4</v>
      </c>
      <c r="AK110" s="51">
        <f t="shared" si="37"/>
        <v>3</v>
      </c>
      <c r="AL110" s="57">
        <f>((Formula!C110)/(Formula!C110+Formula!E110+Formula!G110+Formula!I110+Formula!K110))*(INDEX(Properties!A$1:CB$87,Formula!B110,11))+((Formula!E110)/(Formula!C110+Formula!E110+Formula!G110+Formula!I110+Formula!K110))*(INDEX(Properties!A$1:CB$87,Formula!D110,11))+((Formula!G110)/(Formula!C110+Formula!E110+Formula!G110+Formula!I110+Formula!K110))*(INDEX(Properties!A$1:CB$87,Formula!F110,11))+((Formula!I110)/(Formula!C110+Formula!E110+Formula!G110+Formula!I110+Formula!K110))*(INDEX(Properties!A$1:CB$87,Formula!H110,11))+((Formula!K110)/(Formula!C110+Formula!E110+Formula!G110+Formula!I110+Formula!K110))*(INDEX(Properties!A$1:CB$87,Formula!J110,11))</f>
        <v>2</v>
      </c>
      <c r="AM110" s="57">
        <f>Formula!C110*(INDEX(Properties!A$1:CB$87,Formula!B110,11))+Formula!E110*(INDEX(Properties!A$1:CB$87,Formula!D110,11))+Formula!G110*(INDEX(Properties!A$1:CB$87,Formula!F110,11))+Formula!I110*(INDEX(Properties!A$1:CB$87,Formula!H110,11))+Formula!K110*(INDEX(Properties!A$1:CB$87,Formula!J110,11))</f>
        <v>22</v>
      </c>
      <c r="AN110" s="57">
        <f>VARP(IF(INDEX(Properties!A$1:CB$87,Formula!B110,11)&lt;&gt;"",INDEX(Properties!A$1:CB$87,Formula!B110,11)),IF(INDEX(Properties!A$1:CB$87,Formula!D110,11)&lt;&gt;"",INDEX(Properties!A$1:CB$87,Formula!D110,11)),IF(INDEX(Properties!A$1:CB$87,Formula!F110,11)&lt;&gt;"",INDEX(Properties!A$1:CB$87,Formula!F110,11)),IF(INDEX(Properties!A$1:CB$87,Formula!H110,11)&lt;&gt;"",INDEX(Properties!A$1:CB$87,Formula!H110,11)),IF(INDEX(Properties!A$1:CB$87,Formula!J110,11)&lt;&gt;"",INDEX(Properties!A$1:CB$87,Formula!J110,11)))</f>
        <v>0.96</v>
      </c>
      <c r="AO110" s="57">
        <f>MAX(INDEX(Properties!A$1:CB$87,Formula!B110,11),INDEX(Properties!A$1:CB$87,Formula!D110,11),INDEX(Properties!A$1:CB$87,Formula!F110,11),INDEX(Properties!A$1:CB$87,Formula!H110,11),INDEX(Properties!A$1:CB$87,Formula!J110,11))</f>
        <v>2</v>
      </c>
      <c r="AP110" s="57">
        <f>MIN(IF(Formula!B110=87,10^6,INDEX(Properties!A$1:CB$87,Formula!B110,11)),IF((Formula!D110)=87,10^6,INDEX(Properties!A$1:CB$87,Formula!D110,11)),IF((Formula!F110)=87,10^6,INDEX(Properties!A$1:CB$87,Formula!F110,11)),IF((Formula!H110)=87,10^6,INDEX(Properties!A$1:CB$87,Formula!H110,11)),IF(Formula!J110=87,10^6,INDEX(Properties!A$1:CB$87,Formula!J110,11)))</f>
        <v>2</v>
      </c>
      <c r="AQ110" s="57">
        <f t="shared" si="38"/>
        <v>0</v>
      </c>
      <c r="AR110" s="78">
        <f>((Formula!C110)/(Formula!C110+Formula!E110+Formula!G110+Formula!I110+Formula!K110))*(INDEX(Properties!A$1:CB$87,Formula!B110,12))+((Formula!E110)/(Formula!C110+Formula!E110+Formula!G110+Formula!I110+Formula!K110))*(INDEX(Properties!A$1:CB$87,Formula!D110,12))+((Formula!G110)/(Formula!C110+Formula!E110+Formula!G110+Formula!I110+Formula!K110))*(INDEX(Properties!A$1:CB$87,Formula!F110,12))+((Formula!I110)/(Formula!C110+Formula!E110+Formula!G110+Formula!I110+Formula!K110))*(INDEX(Properties!A$1:CB$87,Formula!H110,12))+((Formula!K110)/(Formula!C110+Formula!E110+Formula!G110+Formula!I110+Formula!K110))*(INDEX(Properties!A$1:CB$87,Formula!J110,12))</f>
        <v>2.5454545454545454</v>
      </c>
      <c r="AS110" s="78">
        <f>Formula!C110*(INDEX(Properties!A$1:CB$87,Formula!B110,12))+Formula!E110*(INDEX(Properties!A$1:CB$87,Formula!D110,12))+Formula!G110*(INDEX(Properties!A$1:CB$87,Formula!F110,12))+Formula!I110*(INDEX(Properties!A$1:CB$87,Formula!H110,12))+Formula!K110*(INDEX(Properties!A$1:CB$87,Formula!J110,12))</f>
        <v>28</v>
      </c>
      <c r="AT110" s="78">
        <f>VARP(IF(INDEX(Properties!A$1:CB$87,Formula!B110,12)&lt;&gt;"",INDEX(Properties!A$1:CB$87,Formula!B110,12)),IF(INDEX(Properties!A$1:CB$87,Formula!D110,12)&lt;&gt;"",INDEX(Properties!A$1:CB$87,Formula!D110,12)),IF(INDEX(Properties!A$1:CB$87,Formula!F110,12)&lt;&gt;"",INDEX(Properties!A$1:CB$87,Formula!F110,12)),IF(INDEX(Properties!A$1:CB$87,Formula!H110,12)&lt;&gt;"",INDEX(Properties!A$1:CB$87,Formula!H110,12)),IF(INDEX(Properties!A$1:CB$87,Formula!J110,12)&lt;&gt;"",INDEX(Properties!A$1:CB$87,Formula!J110,12)))</f>
        <v>2.56</v>
      </c>
      <c r="AU110" s="78">
        <f>MAX(INDEX(Properties!A$1:CB$87,Formula!B110,12),INDEX(Properties!A$1:CB$87,Formula!D110,12),INDEX(Properties!A$1:CB$87,Formula!F110,12),INDEX(Properties!A$1:CB$87,Formula!H110,12),INDEX(Properties!A$1:CB$87,Formula!J110,12))</f>
        <v>4</v>
      </c>
      <c r="AV110" s="78">
        <f>MIN(IF(Formula!B110=87,10^6,INDEX(Properties!A$1:CB$87,Formula!B110,12)),IF((Formula!D110)=87,10^6,INDEX(Properties!A$1:CB$87,Formula!D110,12)),IF((Formula!F110)=87,10^6,INDEX(Properties!A$1:CB$87,Formula!F110,12)),IF((Formula!H110)=87,10^6,INDEX(Properties!A$1:CB$87,Formula!H110,12)),IF(Formula!J110=87,10^6,INDEX(Properties!A$1:CB$87,Formula!J110,12)))</f>
        <v>0</v>
      </c>
      <c r="AW110" s="78">
        <f t="shared" si="39"/>
        <v>4</v>
      </c>
      <c r="AX110" s="45">
        <f>((Formula!C110)/(Formula!C110+Formula!E110+Formula!G110+Formula!I110+Formula!K110))*(INDEX(Properties!A$1:CB$87,Formula!B110,13))+((Formula!E110)/(Formula!C110+Formula!E110+Formula!G110+Formula!I110+Formula!K110))*(INDEX(Properties!A$1:CB$87,Formula!D110,13))+((Formula!G110)/(Formula!C110+Formula!E110+Formula!G110+Formula!I110+Formula!K110))*(INDEX(Properties!A$1:CB$87,Formula!F110,13))+((Formula!I110)/(Formula!C110+Formula!E110+Formula!G110+Formula!I110+Formula!K110))*(INDEX(Properties!A$1:CB$87,Formula!H110,13))+((Formula!K110)/(Formula!C110+Formula!E110+Formula!G110+Formula!I110+Formula!K110))*(INDEX(Properties!A$1:CB$87,Formula!J110,13))</f>
        <v>2.3636363636363638</v>
      </c>
      <c r="AY110" s="45">
        <f>Formula!C110*(INDEX(Properties!A$1:CB$87,Formula!B110,13))+Formula!E110*(INDEX(Properties!A$1:CB$87,Formula!D110,13))+Formula!G110*(INDEX(Properties!A$1:CB$87,Formula!F110,13))+Formula!I110*(INDEX(Properties!A$1:CB$87,Formula!H110,13))+Formula!K110*(INDEX(Properties!A$1:CB$87,Formula!J110,13))</f>
        <v>26</v>
      </c>
      <c r="AZ110" s="45">
        <f>VARP(IF(INDEX(Properties!A$1:CB$87,Formula!B110,13)&lt;&gt;"",INDEX(Properties!A$1:CB$87,Formula!B110,13)),IF(INDEX(Properties!A$1:CB$87,Formula!D110,13)&lt;&gt;"",INDEX(Properties!A$1:CB$87,Formula!D110,13)),IF(INDEX(Properties!A$1:CB$87,Formula!F110,13)&lt;&gt;"",INDEX(Properties!A$1:CB$87,Formula!F110,13)),IF(INDEX(Properties!A$1:CB$87,Formula!H110,13)&lt;&gt;"",INDEX(Properties!A$1:CB$87,Formula!H110,13)),IF(INDEX(Properties!A$1:CB$87,Formula!J110,13)&lt;&gt;"",INDEX(Properties!A$1:CB$87,Formula!J110,13)))</f>
        <v>15.04</v>
      </c>
      <c r="BA110" s="45">
        <f>MAX(INDEX(Properties!A$1:CB$87,Formula!B110,13),INDEX(Properties!A$1:CB$87,Formula!D110,13),INDEX(Properties!A$1:CB$87,Formula!F110,13),INDEX(Properties!A$1:CB$87,Formula!H110,13),INDEX(Properties!A$1:CB$87,Formula!J110,13))</f>
        <v>10</v>
      </c>
      <c r="BB110" s="45">
        <f>MIN(IF(Formula!B110=87,10^6,INDEX(Properties!A$1:CB$87,Formula!B110,13)),IF((Formula!D110)=87,10^6,INDEX(Properties!A$1:CB$87,Formula!D110,13)),IF((Formula!F110)=87,10^6,INDEX(Properties!A$1:CB$87,Formula!F110,13)),IF((Formula!H110)=87,10^6,INDEX(Properties!A$1:CB$87,Formula!H110,13)),IF(Formula!J110=87,10^6,INDEX(Properties!A$1:CB$87,Formula!J110,13)))</f>
        <v>0</v>
      </c>
      <c r="BC110" s="45">
        <f t="shared" si="40"/>
        <v>10</v>
      </c>
      <c r="BD110" s="63">
        <f>((Formula!C110)/(Formula!C110+Formula!E110+Formula!G110+Formula!I110+Formula!K110))*(INDEX(Properties!A$1:CB$87,Formula!B110,14))+((Formula!E110)/(Formula!C110+Formula!E110+Formula!G110+Formula!I110+Formula!K110))*(INDEX(Properties!A$1:CB$87,Formula!D110,14))+((Formula!G110)/(Formula!C110+Formula!E110+Formula!G110+Formula!I110+Formula!K110))*(INDEX(Properties!A$1:CB$87,Formula!F110,14))+((Formula!I110)/(Formula!C110+Formula!E110+Formula!G110+Formula!I110+Formula!K110))*(INDEX(Properties!A$1:CB$87,Formula!H110,14))+((Formula!K110)/(Formula!C110+Formula!E110+Formula!G110+Formula!I110+Formula!K110))*(INDEX(Properties!A$1:CB$87,Formula!J110,14))</f>
        <v>0</v>
      </c>
      <c r="BE110" s="63">
        <f>Formula!C110*(INDEX(Properties!A$1:CB$87,Formula!B110,14))+Formula!E110*(INDEX(Properties!A$1:CB$87,Formula!D110,14))+Formula!G110*(INDEX(Properties!A$1:CB$87,Formula!F110,14))+Formula!I110*(INDEX(Properties!A$1:CB$87,Formula!H110,14))+Formula!K110*(INDEX(Properties!A$1:CB$87,Formula!J110,14))</f>
        <v>0</v>
      </c>
      <c r="BF110" s="63">
        <f>VARP(IF(INDEX(Properties!A$1:CB$87,Formula!B110,14)&lt;&gt;"",INDEX(Properties!A$1:CB$87,Formula!B110,14)),IF(INDEX(Properties!A$1:CB$87,Formula!D110,14)&lt;&gt;"",INDEX(Properties!A$1:CB$87,Formula!D110,14)),IF(INDEX(Properties!A$1:CB$87,Formula!F110,14)&lt;&gt;"",INDEX(Properties!A$1:CB$87,Formula!F110,14)),IF(INDEX(Properties!A$1:CB$87,Formula!H110,14)&lt;&gt;"",INDEX(Properties!A$1:CB$87,Formula!H110,14)),IF(INDEX(Properties!A$1:CB$87,Formula!J110,14)&lt;&gt;"",INDEX(Properties!A$1:CB$87,Formula!J110,14)))</f>
        <v>0</v>
      </c>
      <c r="BG110" s="63">
        <f>MAX(INDEX(Properties!A$1:CB$87,Formula!B110,14),INDEX(Properties!A$1:CB$87,Formula!D110,14),INDEX(Properties!A$1:CB$87,Formula!F110,14),INDEX(Properties!A$1:CB$87,Formula!H110,14),INDEX(Properties!A$1:CB$87,Formula!J110,14))</f>
        <v>0</v>
      </c>
      <c r="BH110" s="63">
        <f>MIN(IF(Formula!B110=87,10^6,INDEX(Properties!A$1:CB$87,Formula!B110,14)),IF((Formula!D110)=87,10^6,INDEX(Properties!A$1:CB$87,Formula!D110,14)),IF((Formula!F110)=87,10^6,INDEX(Properties!A$1:CB$87,Formula!F110,14)),IF((Formula!H110)=87,10^6,INDEX(Properties!A$1:CB$87,Formula!H110,14)),IF(Formula!J110=87,10^6,INDEX(Properties!A$1:CB$87,Formula!J110,14)))</f>
        <v>0</v>
      </c>
      <c r="BI110" s="63">
        <f t="shared" si="41"/>
        <v>0</v>
      </c>
      <c r="BJ110" s="75">
        <f>((Formula!C110)/(Formula!C110+Formula!E110+Formula!G110+Formula!I110+Formula!K110))*(INDEX(Properties!A$1:CB$87,Formula!B110,19))+((Formula!E110)/(Formula!C110+Formula!E110+Formula!G110+Formula!I110+Formula!K110))*(INDEX(Properties!A$1:CB$87,Formula!D110,19))+((Formula!G110)/(Formula!C110+Formula!E110+Formula!G110+Formula!I110+Formula!K110))*(INDEX(Properties!A$1:CB$87,Formula!F110,19))+((Formula!I110)/(Formula!C110+Formula!E110+Formula!G110+Formula!I110+Formula!K110))*(INDEX(Properties!A$1:CB$87,Formula!H110,19))+((Formula!K110)/(Formula!C110+Formula!E110+Formula!G110+Formula!I110+Formula!K110))*(INDEX(Properties!A$1:CB$87,Formula!J110,19))</f>
        <v>6.9090909090909092</v>
      </c>
      <c r="BK110" s="75">
        <f>Formula!C110*(INDEX(Properties!A$1:CB$87,Formula!B110,19))+Formula!E110*(INDEX(Properties!A$1:CB$87,Formula!D110,19))+Formula!G110*(INDEX(Properties!A$1:CB$87,Formula!F110,19))+Formula!I110*(INDEX(Properties!A$1:CB$87,Formula!H110,19))+Formula!K110*(INDEX(Properties!A$1:CB$87,Formula!J110,19))</f>
        <v>76</v>
      </c>
      <c r="BL110" s="75">
        <f>VARP(IF(INDEX(Properties!A$1:CB$87,Formula!B110,19)&lt;&gt;"",INDEX(Properties!A$1:CB$87,Formula!B110,19)),IF(INDEX(Properties!A$1:CB$87,Formula!D110,19)&lt;&gt;"",INDEX(Properties!A$1:CB$87,Formula!D110,19)),IF(INDEX(Properties!A$1:CB$87,Formula!F110,19)&lt;&gt;"",INDEX(Properties!A$1:CB$87,Formula!F110,19)),IF(INDEX(Properties!A$1:CB$87,Formula!H110,19)&lt;&gt;"",INDEX(Properties!A$1:CB$87,Formula!H110,19)),IF(INDEX(Properties!A$1:CB$87,Formula!J110,19)&lt;&gt;"",INDEX(Properties!A$1:CB$87,Formula!J110,19)))</f>
        <v>19.84</v>
      </c>
      <c r="BM110" s="75">
        <f>MAX(INDEX(Properties!A$1:CB$87,Formula!B110,19),INDEX(Properties!A$1:CB$87,Formula!D110,19),INDEX(Properties!A$1:CB$87,Formula!F110,19),INDEX(Properties!A$1:CB$87,Formula!H110,19),INDEX(Properties!A$1:CB$87,Formula!J110,19))</f>
        <v>12</v>
      </c>
      <c r="BN110" s="75">
        <f>MIN(IF(INDEX(Properties!A$1:CB$87,Formula!B110,19)=0,10^6,INDEX(Properties!A$1:CB$87,Formula!B110,19)),IF(INDEX(Properties!A$1:CB$87,Formula!D110,19)=0,10^6,INDEX(Properties!A$1:CB$87,Formula!D110,19)),IF(INDEX(Properties!A$1:CB$87,Formula!F110,19)=0,10^6,INDEX(Properties!A$1:CB$87,Formula!F110,19)),IF(INDEX(Properties!A$1:CB$87,Formula!H110,19)=0,10^6,INDEX(Properties!A$1:CB$87,Formula!H110,19)),IF(INDEX(Properties!A$1:CB$87,Formula!J110,19)=0,10^6,INDEX(Properties!A$1:CB$87,Formula!J110,19)))</f>
        <v>5</v>
      </c>
      <c r="BO110" s="75">
        <f t="shared" si="42"/>
        <v>7</v>
      </c>
      <c r="BP110" s="48">
        <f>((Formula!C110)/(Formula!C110+Formula!E110+Formula!G110+Formula!I110+Formula!K110))*(INDEX(Properties!A$1:CB$87,Formula!B110,20))+((Formula!E110)/(Formula!C110+Formula!E110+Formula!G110+Formula!I110+Formula!K110))*(INDEX(Properties!A$1:CB$87,Formula!D110,20))+((Formula!G110)/(Formula!C110+Formula!E110+Formula!G110+Formula!I110+Formula!K110))*(INDEX(Properties!A$1:CB$87,Formula!F110,20))+((Formula!I110)/(Formula!C110+Formula!E110+Formula!G110+Formula!I110+Formula!K110))*(INDEX(Properties!A$1:CB$87,Formula!H110,20))+((Formula!K110)/(Formula!C110+Formula!E110+Formula!G110+Formula!I110+Formula!K110))*(INDEX(Properties!A$1:CB$87,Formula!J110,20))</f>
        <v>4.5454545454545459</v>
      </c>
      <c r="BQ110" s="48">
        <f>Formula!C110*(INDEX(Properties!A$1:CB$87,Formula!B110,20))+Formula!E110*(INDEX(Properties!A$1:CB$87,Formula!D110,20))+Formula!G110*(INDEX(Properties!A$1:CB$87,Formula!F110,20))+Formula!I110*(INDEX(Properties!A$1:CB$87,Formula!H110,20))+Formula!K110*(INDEX(Properties!A$1:CB$87,Formula!J110,20))</f>
        <v>50</v>
      </c>
      <c r="BR110" s="48">
        <f>VARP(IF(INDEX(Properties!A$1:CB$87,Formula!B110,20)&lt;&gt;"",INDEX(Properties!A$1:CB$87,Formula!B110,20)),IF(INDEX(Properties!A$1:CB$87,Formula!D110,20)&lt;&gt;"",INDEX(Properties!A$1:CB$87,Formula!D110,20)),IF(INDEX(Properties!A$1:CB$87,Formula!F110,20)&lt;&gt;"",INDEX(Properties!A$1:CB$87,Formula!F110,20)),IF(INDEX(Properties!A$1:CB$87,Formula!H110,20)&lt;&gt;"",INDEX(Properties!A$1:CB$87,Formula!H110,20)),IF(INDEX(Properties!A$1:CB$87,Formula!J110,20)&lt;&gt;"",INDEX(Properties!A$1:CB$87,Formula!J110,20)))</f>
        <v>4.8</v>
      </c>
      <c r="BS110" s="48">
        <f>MAX(INDEX(Properties!A$1:CB$87,Formula!B110,20),INDEX(Properties!A$1:CB$87,Formula!D110,20),INDEX(Properties!A$1:CB$87,Formula!F110,20),INDEX(Properties!A$1:CB$87,Formula!H110,20),INDEX(Properties!A$1:CB$87,Formula!J110,20))</f>
        <v>6</v>
      </c>
      <c r="BT110" s="48">
        <f>MIN(IF(INDEX(Properties!A$1:CB$87,Formula!B110,20)=0,10^6,INDEX(Properties!A$1:CB$87,Formula!B110,20)),IF(INDEX(Properties!A$1:CB$87,Formula!D110,20)=0,10^6,INDEX(Properties!A$1:CB$87,Formula!D110,20)),IF(INDEX(Properties!A$1:CB$87,Formula!F110,20)=0,10^6,INDEX(Properties!A$1:CB$87,Formula!F110,20)),IF(INDEX(Properties!A$1:CB$87,Formula!H110,20)=0,10^6,INDEX(Properties!A$1:CB$87,Formula!H110,20)),IF(INDEX(Properties!A$1:CB$87,Formula!J110,20)=0,10^6,INDEX(Properties!A$1:CB$87,Formula!J110,20)))</f>
        <v>2</v>
      </c>
      <c r="BU110" s="48">
        <f t="shared" si="43"/>
        <v>4</v>
      </c>
      <c r="BV110" s="66">
        <f>((Formula!C110)/(Formula!C110+Formula!E110+Formula!G110+Formula!I110+Formula!K110))*(INDEX(Properties!A$1:CB$87,Formula!B110,21))+((Formula!E110)/(Formula!C110+Formula!E110+Formula!G110+Formula!I110+Formula!K110))*(INDEX(Properties!A$1:CB$87,Formula!D110,21))+((Formula!G110)/(Formula!C110+Formula!E110+Formula!G110+Formula!I110+Formula!K110))*(INDEX(Properties!A$1:CB$87,Formula!F110,21))+((Formula!I110)/(Formula!C110+Formula!E110+Formula!G110+Formula!I110+Formula!K110))*(INDEX(Properties!A$1:CB$87,Formula!H110,21))+((Formula!K110)/(Formula!C110+Formula!E110+Formula!G110+Formula!I110+Formula!K110))*(INDEX(Properties!A$1:CB$87,Formula!J110,21))</f>
        <v>4.5454545454545459</v>
      </c>
      <c r="BW110" s="66">
        <f>Formula!C110*(INDEX(Properties!A$1:CB$87,Formula!B110,21))+Formula!E110*(INDEX(Properties!A$1:CB$87,Formula!D110,21))+Formula!G110*(INDEX(Properties!A$1:CB$87,Formula!F110,21))+Formula!I110*(INDEX(Properties!A$1:CB$87,Formula!H110,21))+Formula!K110*(INDEX(Properties!A$1:CB$87,Formula!J110,21))</f>
        <v>50</v>
      </c>
      <c r="BX110" s="66">
        <f>VARP(IF(INDEX(Properties!A$1:CB$87,Formula!B110,21)&lt;&gt;"",INDEX(Properties!A$1:CB$87,Formula!B110,21)),IF(INDEX(Properties!A$1:CB$87,Formula!D110,21)&lt;&gt;"",INDEX(Properties!A$1:CB$87,Formula!D110,21)),IF(INDEX(Properties!A$1:CB$87,Formula!F110,21)&lt;&gt;"",INDEX(Properties!A$1:CB$87,Formula!F110,21)),IF(INDEX(Properties!A$1:CB$87,Formula!H110,21)&lt;&gt;"",INDEX(Properties!A$1:CB$87,Formula!H110,21)),IF(INDEX(Properties!A$1:CB$87,Formula!J110,21)&lt;&gt;"",INDEX(Properties!A$1:CB$87,Formula!J110,21)))</f>
        <v>5.2</v>
      </c>
      <c r="BY110" s="66">
        <f>MAX(INDEX(Properties!A$1:CB$87,Formula!B110,21),INDEX(Properties!A$1:CB$87,Formula!D110,21),INDEX(Properties!A$1:CB$87,Formula!F110,21),INDEX(Properties!A$1:CB$87,Formula!H110,21),INDEX(Properties!A$1:CB$87,Formula!J110,21))</f>
        <v>6</v>
      </c>
      <c r="BZ110" s="66">
        <f>MIN(IF(INDEX(Properties!A$1:CB$87,Formula!B110,21)=0,10^6,INDEX(Properties!A$1:CB$87,Formula!B110,21)),IF(INDEX(Properties!A$1:CB$87,Formula!D110,21)=0,10^6,INDEX(Properties!A$1:CB$87,Formula!D110,21)),IF(INDEX(Properties!A$1:CB$87,Formula!F110,21)=0,10^6,INDEX(Properties!A$1:CB$87,Formula!F110,21)),IF(INDEX(Properties!A$1:CB$87,Formula!H110,21)=0,10^6,INDEX(Properties!A$1:CB$87,Formula!H110,21)),IF(INDEX(Properties!A$1:CB$87,Formula!J110,21)=0,10^6,INDEX(Properties!A$1:CB$87,Formula!J110,21)))</f>
        <v>1</v>
      </c>
      <c r="CA110" s="66">
        <f t="shared" si="44"/>
        <v>5</v>
      </c>
      <c r="CB110" s="81">
        <f>((Formula!C110)/(Formula!C110+Formula!E110+Formula!G110+Formula!I110+Formula!K110))*(INDEX(Properties!A$1:CB$87,Formula!B110,23))+((Formula!E110)/(Formula!C110+Formula!E110+Formula!G110+Formula!I110+Formula!K110))*(INDEX(Properties!A$1:CB$87,Formula!D110,23))+((Formula!G110)/(Formula!C110+Formula!E110+Formula!G110+Formula!I110+Formula!K110))*(INDEX(Properties!A$1:CB$87,Formula!F110,23))+((Formula!I110)/(Formula!C110+Formula!E110+Formula!G110+Formula!I110+Formula!K110))*(INDEX(Properties!A$1:CB$87,Formula!H110,23))+((Formula!K110)/(Formula!C110+Formula!E110+Formula!G110+Formula!I110+Formula!K110))*(INDEX(Properties!A$1:CB$87,Formula!J110,23))</f>
        <v>1.7163636363636365</v>
      </c>
      <c r="CC110" s="81">
        <f>Formula!C110*(INDEX(Properties!A$1:CB$87,Formula!B110,23))+Formula!E110*(INDEX(Properties!A$1:CB$87,Formula!D110,23))+Formula!G110*(INDEX(Properties!A$1:CB$87,Formula!F110,23))+Formula!I110*(INDEX(Properties!A$1:CB$87,Formula!H110,23))+Formula!K110*(INDEX(Properties!A$1:CB$87,Formula!J110,23))</f>
        <v>18.880000000000003</v>
      </c>
      <c r="CD110" s="81">
        <f>VARP(IF(INDEX(Properties!A$1:CB$87,Formula!B110,23)&lt;&gt;"",INDEX(Properties!A$1:CB$87,Formula!B110,23)),IF(INDEX(Properties!A$1:CB$87,Formula!D110,23)&lt;&gt;"",INDEX(Properties!A$1:CB$87,Formula!D110,23)),IF(INDEX(Properties!A$1:CB$87,Formula!F110,23)&lt;&gt;"",INDEX(Properties!A$1:CB$87,Formula!F110,23)),IF(INDEX(Properties!A$1:CB$87,Formula!H110,23)&lt;&gt;"",INDEX(Properties!A$1:CB$87,Formula!H110,23)),IF(INDEX(Properties!A$1:CB$87,Formula!J110,23)&lt;&gt;"",INDEX(Properties!A$1:CB$87,Formula!J110,23)))</f>
        <v>5.378175999999999</v>
      </c>
      <c r="CE110" s="81">
        <f>MAX(INDEX(Properties!A$1:CB$87,Formula!B110,23),INDEX(Properties!A$1:CB$87,Formula!D110,23),INDEX(Properties!A$1:CB$87,Formula!F110,23),INDEX(Properties!A$1:CB$87,Formula!H110,23),INDEX(Properties!A$1:CB$87,Formula!J110,23))</f>
        <v>5</v>
      </c>
      <c r="CF110" s="81">
        <f>MIN(IF(Formula!B110=87,10^6,INDEX(Properties!A$1:CB$87,Formula!B110,23)),IF((Formula!D110)=87,10^6,INDEX(Properties!A$1:CB$87,Formula!D110,23)),IF((Formula!F110)=87,10^6,INDEX(Properties!A$1:CB$87,Formula!F110,23)),IF((Formula!H110)=87,10^6,INDEX(Properties!A$1:CB$87,Formula!H110,23)),IF(Formula!J110=87,10^6,INDEX(Properties!A$1:CB$87,Formula!J110,23)))</f>
        <v>0</v>
      </c>
      <c r="CG110" s="81">
        <f t="shared" si="45"/>
        <v>5</v>
      </c>
      <c r="CH110" s="39">
        <f>((Formula!C110)/(Formula!C110+Formula!E110+Formula!G110+Formula!I110+Formula!K110))*(INDEX(Properties!A$1:CB$87,Formula!B110,26))+((Formula!E110)/(Formula!C110+Formula!E110+Formula!G110+Formula!I110+Formula!K110))*(INDEX(Properties!A$1:CB$87,Formula!D110,26))+((Formula!G110)/(Formula!C110+Formula!E110+Formula!G110+Formula!I110+Formula!K110))*(INDEX(Properties!A$1:CB$87,Formula!F110,26))+((Formula!I110)/(Formula!C110+Formula!E110+Formula!G110+Formula!I110+Formula!K110))*(INDEX(Properties!A$1:CB$87,Formula!H110,26))+((Formula!K110)/(Formula!C110+Formula!E110+Formula!G110+Formula!I110+Formula!K110))*(INDEX(Properties!A$1:CB$87,Formula!J110,26))</f>
        <v>11.527881818181818</v>
      </c>
      <c r="CI110" s="39">
        <f>Formula!C110*(INDEX(Properties!A$1:CB$87,Formula!B110,26))+Formula!E110*(INDEX(Properties!A$1:CB$87,Formula!D110,26))+Formula!G110*(INDEX(Properties!A$1:CB$87,Formula!F110,26))+Formula!I110*(INDEX(Properties!A$1:CB$87,Formula!H110,26))+Formula!K110*(INDEX(Properties!A$1:CB$87,Formula!J110,26))</f>
        <v>126.80670000000001</v>
      </c>
      <c r="CJ110" s="39">
        <f>VARP(IF(INDEX(Properties!A$1:CB$87,Formula!B110,26)&lt;&gt;"",INDEX(Properties!A$1:CB$87,Formula!B110,26)),IF(INDEX(Properties!A$1:CB$87,Formula!D110,26)&lt;&gt;"",INDEX(Properties!A$1:CB$87,Formula!D110,26)),IF(INDEX(Properties!A$1:CB$87,Formula!F110,26)&lt;&gt;"",INDEX(Properties!A$1:CB$87,Formula!F110,26)),IF(INDEX(Properties!A$1:CB$87,Formula!H110,26)&lt;&gt;"",INDEX(Properties!A$1:CB$87,Formula!H110,26)),IF(INDEX(Properties!A$1:CB$87,Formula!J110,26)&lt;&gt;"",INDEX(Properties!A$1:CB$87,Formula!J110,26)))</f>
        <v>27.894538673600003</v>
      </c>
      <c r="CK110" s="39">
        <f>MAX(INDEX(Properties!A$1:CB$87,Formula!B110,26),INDEX(Properties!A$1:CB$87,Formula!D110,26),INDEX(Properties!A$1:CB$87,Formula!F110,26),INDEX(Properties!A$1:CB$87,Formula!H110,26),INDEX(Properties!A$1:CB$87,Formula!J110,26))</f>
        <v>13.6181</v>
      </c>
      <c r="CL110" s="39">
        <f>MIN(IF(INDEX(Properties!A$1:CB$87,Formula!B110,26)=0,10^6,INDEX(Properties!A$1:CB$87,Formula!B110,26)),IF(INDEX(Properties!A$1:CB$87,Formula!D110,26)=0,10^6,INDEX(Properties!A$1:CB$87,Formula!D110,26)),IF(INDEX(Properties!A$1:CB$87,Formula!F110,26)=0,10^6,INDEX(Properties!A$1:CB$87,Formula!F110,26)),IF(INDEX(Properties!A$1:CB$87,Formula!H110,26)=0,10^6,INDEX(Properties!A$1:CB$87,Formula!H110,26)),IF(INDEX(Properties!A$1:CB$87,Formula!J110,26)=0,10^6,INDEX(Properties!A$1:CB$87,Formula!J110,26)))</f>
        <v>6.7462</v>
      </c>
      <c r="CM110" s="39">
        <f t="shared" si="46"/>
        <v>6.8719000000000001</v>
      </c>
      <c r="CN110" s="54">
        <f>((Formula!C110)/(Formula!C110+Formula!E110+Formula!G110+Formula!I110+Formula!K110))*(INDEX(Properties!A$1:CB$87,Formula!B110,30))+((Formula!E110)/(Formula!C110+Formula!E110+Formula!G110+Formula!I110+Formula!K110))*(INDEX(Properties!A$1:CB$87,Formula!D110,30))+((Formula!G110)/(Formula!C110+Formula!E110+Formula!G110+Formula!I110+Formula!K110))*(INDEX(Properties!A$1:CB$87,Formula!F110,30))+((Formula!I110)/(Formula!C110+Formula!E110+Formula!G110+Formula!I110+Formula!K110))*(INDEX(Properties!A$1:CB$87,Formula!H110,30))+((Formula!K110)/(Formula!C110+Formula!E110+Formula!G110+Formula!I110+Formula!K110))*(INDEX(Properties!A$1:CB$87,Formula!J110,30))</f>
        <v>2.7927272727272725</v>
      </c>
      <c r="CO110" s="54">
        <f>Formula!C110*(INDEX(Properties!A$1:CB$87,Formula!B110,30))+Formula!E110*(INDEX(Properties!A$1:CB$87,Formula!D110,30))+Formula!G110*(INDEX(Properties!A$1:CB$87,Formula!F110,30))+Formula!I110*(INDEX(Properties!A$1:CB$87,Formula!H110,30))+Formula!K110*(INDEX(Properties!A$1:CB$87,Formula!J110,30))</f>
        <v>30.72</v>
      </c>
      <c r="CP110" s="54">
        <f>VARP(IF(INDEX(Properties!A$1:CB$87,Formula!B110,30)&lt;&gt;"",INDEX(Properties!A$1:CB$87,Formula!B110,30)),IF(INDEX(Properties!A$1:CB$87,Formula!D110,30)&lt;&gt;"",INDEX(Properties!A$1:CB$87,Formula!D110,30)),IF(INDEX(Properties!A$1:CB$87,Formula!F110,30)&lt;&gt;"",INDEX(Properties!A$1:CB$87,Formula!F110,30)),IF(INDEX(Properties!A$1:CB$87,Formula!H110,30)&lt;&gt;"",INDEX(Properties!A$1:CB$87,Formula!H110,30)),IF(INDEX(Properties!A$1:CB$87,Formula!J110,30)&lt;&gt;"",INDEX(Properties!A$1:CB$87,Formula!J110,30)))</f>
        <v>1.6414159999999998</v>
      </c>
      <c r="CQ110" s="54">
        <f>MAX(INDEX(Properties!A$1:CB$87,Formula!B110,30),INDEX(Properties!A$1:CB$87,Formula!D110,30),INDEX(Properties!A$1:CB$87,Formula!F110,30),INDEX(Properties!A$1:CB$87,Formula!H110,30),INDEX(Properties!A$1:CB$87,Formula!J110,30))</f>
        <v>3.44</v>
      </c>
      <c r="CR110" s="54">
        <f>MIN(IF(INDEX(Properties!A$1:CB$87,Formula!B110,30)=0,10^6,INDEX(Properties!A$1:CB$87,Formula!B110,30)),IF(INDEX(Properties!A$1:CB$87,Formula!D110,30)=0,10^6,INDEX(Properties!A$1:CB$87,Formula!D110,30)),IF(INDEX(Properties!A$1:CB$87,Formula!F110,30)=0,10^6,INDEX(Properties!A$1:CB$87,Formula!F110,30)),IF(INDEX(Properties!A$1:CB$87,Formula!H110,30)=0,10^6,INDEX(Properties!A$1:CB$87,Formula!H110,30)),IF(INDEX(Properties!A$1:CB$87,Formula!J110,30)=0,10^6,INDEX(Properties!A$1:CB$87,Formula!J110,30)))</f>
        <v>1.63</v>
      </c>
      <c r="CS110" s="54">
        <f t="shared" si="47"/>
        <v>1.81</v>
      </c>
      <c r="CT110" s="69">
        <f>((Formula!C110)/(Formula!C110+Formula!E110+Formula!G110+Formula!I110+Formula!K110))*(INDEX(Properties!A$1:CB$87,Formula!B110,31))+((Formula!E110)/(Formula!C110+Formula!E110+Formula!G110+Formula!I110+Formula!K110))*(INDEX(Properties!A$1:CB$87,Formula!D110,31))+((Formula!G110)/(Formula!C110+Formula!E110+Formula!G110+Formula!I110+Formula!K110))*(INDEX(Properties!A$1:CB$87,Formula!F110,31))+((Formula!I110)/(Formula!C110+Formula!E110+Formula!G110+Formula!I110+Formula!K110))*(INDEX(Properties!A$1:CB$87,Formula!H110,31))+((Formula!K110)/(Formula!C110+Formula!E110+Formula!G110+Formula!I110+Formula!K110))*(INDEX(Properties!A$1:CB$87,Formula!J110,31))</f>
        <v>2.770909090909091</v>
      </c>
      <c r="CU110" s="69">
        <f>Formula!C110*(INDEX(Properties!A$1:CB$87,Formula!B110,31))+Formula!E110*(INDEX(Properties!A$1:CB$87,Formula!D110,31))+Formula!G110*(INDEX(Properties!A$1:CB$87,Formula!F110,31))+Formula!I110*(INDEX(Properties!A$1:CB$87,Formula!H110,31))+Formula!K110*(INDEX(Properties!A$1:CB$87,Formula!J110,31))</f>
        <v>30.479999999999997</v>
      </c>
      <c r="CV110" s="69">
        <f>VARP(IF(INDEX(Properties!A$1:CB$87,Formula!B110,31)&lt;&gt;"",INDEX(Properties!A$1:CB$87,Formula!B110,31)),IF(INDEX(Properties!A$1:CB$87,Formula!D110,31)&lt;&gt;"",INDEX(Properties!A$1:CB$87,Formula!D110,31)),IF(INDEX(Properties!A$1:CB$87,Formula!F110,31)&lt;&gt;"",INDEX(Properties!A$1:CB$87,Formula!F110,31)),IF(INDEX(Properties!A$1:CB$87,Formula!H110,31)&lt;&gt;"",INDEX(Properties!A$1:CB$87,Formula!H110,31)),IF(INDEX(Properties!A$1:CB$87,Formula!J110,31)&lt;&gt;"",INDEX(Properties!A$1:CB$87,Formula!J110,31)))</f>
        <v>1.6556160000000002</v>
      </c>
      <c r="CW110" s="69">
        <f>MAX(INDEX(Properties!A$1:CB$87,Formula!B110,31),INDEX(Properties!A$1:CB$87,Formula!D110,31),INDEX(Properties!A$1:CB$87,Formula!F110,31),INDEX(Properties!A$1:CB$87,Formula!H110,31),INDEX(Properties!A$1:CB$87,Formula!J110,31))</f>
        <v>3.32</v>
      </c>
      <c r="CX110" s="69">
        <f>MIN(IF(INDEX(Properties!A$1:CB$87,Formula!B110,31)=0,10^6,INDEX(Properties!A$1:CB$87,Formula!B110,31)),IF(INDEX(Properties!A$1:CB$87,Formula!D110,31)=0,10^6,INDEX(Properties!A$1:CB$87,Formula!D110,31)),IF(INDEX(Properties!A$1:CB$87,Formula!F110,31)=0,10^6,INDEX(Properties!A$1:CB$87,Formula!F110,31)),IF(INDEX(Properties!A$1:CB$87,Formula!H110,31)=0,10^6,INDEX(Properties!A$1:CB$87,Formula!H110,31)),IF(INDEX(Properties!A$1:CB$87,Formula!J110,31)=0,10^6,INDEX(Properties!A$1:CB$87,Formula!J110,31)))</f>
        <v>1.4</v>
      </c>
      <c r="CY110" s="69">
        <f t="shared" si="48"/>
        <v>1.92</v>
      </c>
      <c r="CZ110" s="42">
        <f>((Formula!C110)/(Formula!C110+Formula!E110+Formula!G110+Formula!I110+Formula!K110))*(INDEX(Properties!A$1:CB$87,Formula!B110,32))+((Formula!E110)/(Formula!C110+Formula!E110+Formula!G110+Formula!I110+Formula!K110))*(INDEX(Properties!A$1:CB$87,Formula!D110,32))+((Formula!G110)/(Formula!C110+Formula!E110+Formula!G110+Formula!I110+Formula!K110))*(INDEX(Properties!A$1:CB$87,Formula!F110,32))+((Formula!I110)/(Formula!C110+Formula!E110+Formula!G110+Formula!I110+Formula!K110))*(INDEX(Properties!A$1:CB$87,Formula!H110,32))+((Formula!K110)/(Formula!C110+Formula!E110+Formula!G110+Formula!I110+Formula!K110))*(INDEX(Properties!A$1:CB$87,Formula!J110,32))</f>
        <v>6.24</v>
      </c>
      <c r="DA110" s="42">
        <f>Formula!C110*(INDEX(Properties!A$1:CB$87,Formula!B110,32))+Formula!E110*(INDEX(Properties!A$1:CB$87,Formula!D110,32))+Formula!G110*(INDEX(Properties!A$1:CB$87,Formula!F110,32))+Formula!I110*(INDEX(Properties!A$1:CB$87,Formula!H110,32))+Formula!K110*(INDEX(Properties!A$1:CB$87,Formula!J110,32))</f>
        <v>68.64</v>
      </c>
      <c r="DB110" s="42">
        <f>VARP(IF(INDEX(Properties!A$1:CB$87,Formula!B110,32)&lt;&gt;"",INDEX(Properties!A$1:CB$87,Formula!B110,32)),IF(INDEX(Properties!A$1:CB$87,Formula!D110,32)&lt;&gt;"",INDEX(Properties!A$1:CB$87,Formula!D110,32)),IF(INDEX(Properties!A$1:CB$87,Formula!F110,32)&lt;&gt;"",INDEX(Properties!A$1:CB$87,Formula!F110,32)),IF(INDEX(Properties!A$1:CB$87,Formula!H110,32)&lt;&gt;"",INDEX(Properties!A$1:CB$87,Formula!H110,32)),IF(INDEX(Properties!A$1:CB$87,Formula!J110,32)&lt;&gt;"",INDEX(Properties!A$1:CB$87,Formula!J110,32)))</f>
        <v>8.1392639999999989</v>
      </c>
      <c r="DC110" s="42">
        <f>MAX(INDEX(Properties!A$1:CB$87,Formula!B110,32),INDEX(Properties!A$1:CB$87,Formula!D110,32),INDEX(Properties!A$1:CB$87,Formula!F110,32),INDEX(Properties!A$1:CB$87,Formula!H110,32),INDEX(Properties!A$1:CB$87,Formula!J110,32))</f>
        <v>7.54</v>
      </c>
      <c r="DD110" s="42">
        <f>MIN(IF(INDEX(Properties!A$1:CB$87,Formula!B110,32)=0,10^6,INDEX(Properties!A$1:CB$87,Formula!B110,32)),IF(INDEX(Properties!A$1:CB$87,Formula!D110,32)=0,10^6,INDEX(Properties!A$1:CB$87,Formula!D110,32)),IF(INDEX(Properties!A$1:CB$87,Formula!F110,32)=0,10^6,INDEX(Properties!A$1:CB$87,Formula!F110,32)),IF(INDEX(Properties!A$1:CB$87,Formula!H110,32)=0,10^6,INDEX(Properties!A$1:CB$87,Formula!H110,32)),IF(INDEX(Properties!A$1:CB$87,Formula!J110,32)=0,10^6,INDEX(Properties!A$1:CB$87,Formula!J110,32)))</f>
        <v>3.6</v>
      </c>
      <c r="DE110" s="42">
        <f t="shared" si="49"/>
        <v>3.94</v>
      </c>
      <c r="DF110" s="60">
        <f>((Formula!C110)/(Formula!C110+Formula!E110+Formula!G110+Formula!I110+Formula!K110))*(INDEX(Properties!A$1:CB$87,Formula!B110,34))+((Formula!E110)/(Formula!C110+Formula!E110+Formula!G110+Formula!I110+Formula!K110))*(INDEX(Properties!A$1:CB$87,Formula!D110,34))+((Formula!G110)/(Formula!C110+Formula!E110+Formula!G110+Formula!I110+Formula!K110))*(INDEX(Properties!A$1:CB$87,Formula!F110,34))+((Formula!I110)/(Formula!C110+Formula!E110+Formula!G110+Formula!I110+Formula!K110))*(INDEX(Properties!A$1:CB$87,Formula!H110,34))+((Formula!K110)/(Formula!C110+Formula!E110+Formula!G110+Formula!I110+Formula!K110))*(INDEX(Properties!A$1:CB$87,Formula!J110,34))</f>
        <v>2.851818181818182</v>
      </c>
      <c r="DG110" s="60">
        <f>Formula!C110*(INDEX(Properties!A$1:CB$87,Formula!B110,34))+Formula!E110*(INDEX(Properties!A$1:CB$87,Formula!D110,34))+Formula!G110*(INDEX(Properties!A$1:CB$87,Formula!F110,34))+Formula!I110*(INDEX(Properties!A$1:CB$87,Formula!H110,34))+Formula!K110*(INDEX(Properties!A$1:CB$87,Formula!J110,34))</f>
        <v>31.369999999999997</v>
      </c>
      <c r="DH110" s="60">
        <f>VARP(IF(INDEX(Properties!A$1:CB$87,Formula!B110,34)&lt;&gt;"",INDEX(Properties!A$1:CB$87,Formula!B110,34)),IF(INDEX(Properties!A$1:CB$87,Formula!D110,34)&lt;&gt;"",INDEX(Properties!A$1:CB$87,Formula!D110,34)),IF(INDEX(Properties!A$1:CB$87,Formula!F110,34)&lt;&gt;"",INDEX(Properties!A$1:CB$87,Formula!F110,34)),IF(INDEX(Properties!A$1:CB$87,Formula!H110,34)&lt;&gt;"",INDEX(Properties!A$1:CB$87,Formula!H110,34)),IF(INDEX(Properties!A$1:CB$87,Formula!J110,34)&lt;&gt;"",INDEX(Properties!A$1:CB$87,Formula!J110,34)))</f>
        <v>1.762456</v>
      </c>
      <c r="DI110" s="60">
        <f>MAX(INDEX(Properties!A$1:CB$87,Formula!B110,34),INDEX(Properties!A$1:CB$87,Formula!D110,34),INDEX(Properties!A$1:CB$87,Formula!F110,34),INDEX(Properties!A$1:CB$87,Formula!H110,34),INDEX(Properties!A$1:CB$87,Formula!J110,34))</f>
        <v>3.61</v>
      </c>
      <c r="DJ110" s="60">
        <f>MIN(IF(INDEX(Properties!A$1:CB$87,Formula!B110,34)=0,10^6,INDEX(Properties!A$1:CB$87,Formula!B110,34)),IF(INDEX(Properties!A$1:CB$87,Formula!D110,34)=0,10^6,INDEX(Properties!A$1:CB$87,Formula!D110,34)),IF(INDEX(Properties!A$1:CB$87,Formula!F110,34)=0,10^6,INDEX(Properties!A$1:CB$87,Formula!F110,34)),IF(INDEX(Properties!A$1:CB$87,Formula!H110,34)=0,10^6,INDEX(Properties!A$1:CB$87,Formula!H110,34)),IF(INDEX(Properties!A$1:CB$87,Formula!J110,34)=0,10^6,INDEX(Properties!A$1:CB$87,Formula!J110,34)))</f>
        <v>1.52</v>
      </c>
      <c r="DK110" s="60">
        <f t="shared" si="50"/>
        <v>2.09</v>
      </c>
      <c r="DL110" s="45">
        <f>((Formula!C110)/(Formula!C110+Formula!E110+Formula!G110+Formula!I110+Formula!K110))*(INDEX(Properties!A$1:CB$87,Formula!B110,39))+((Formula!E110)/(Formula!C110+Formula!E110+Formula!G110+Formula!I110+Formula!K110))*(INDEX(Properties!A$1:CB$87,Formula!D110,39))+((Formula!G110)/(Formula!C110+Formula!E110+Formula!G110+Formula!I110+Formula!K110))*(INDEX(Properties!A$1:CB$87,Formula!F110,39))+((Formula!I110)/(Formula!C110+Formula!E110+Formula!G110+Formula!I110+Formula!K110))*(INDEX(Properties!A$1:CB$87,Formula!H110,39))+((Formula!K110)/(Formula!C110+Formula!E110+Formula!G110+Formula!I110+Formula!K110))*(INDEX(Properties!A$1:CB$87,Formula!J110,39))</f>
        <v>0.90909090909090917</v>
      </c>
      <c r="DM110" s="45">
        <f>Formula!C110*(INDEX(Properties!A$1:CB$87,Formula!B110,39))+Formula!E110*(INDEX(Properties!A$1:CB$87,Formula!D110,39))+Formula!G110*(INDEX(Properties!A$1:CB$87,Formula!F110,39))+Formula!I110*(INDEX(Properties!A$1:CB$87,Formula!H110,39))+Formula!K110*(INDEX(Properties!A$1:CB$87,Formula!J110,39))</f>
        <v>10</v>
      </c>
      <c r="DN110" s="45">
        <f>VARP(IF(INDEX(Properties!A$1:CB$87,Formula!B110,39)&lt;&gt;"",INDEX(Properties!A$1:CB$87,Formula!B110,39)),IF(INDEX(Properties!A$1:CB$87,Formula!D110,39)&lt;&gt;"",INDEX(Properties!A$1:CB$87,Formula!D110,39)),IF(INDEX(Properties!A$1:CB$87,Formula!F110,39)&lt;&gt;"",INDEX(Properties!A$1:CB$87,Formula!F110,39)),IF(INDEX(Properties!A$1:CB$87,Formula!H110,39)&lt;&gt;"",INDEX(Properties!A$1:CB$87,Formula!H110,39)),IF(INDEX(Properties!A$1:CB$87,Formula!J110,39)&lt;&gt;"",INDEX(Properties!A$1:CB$87,Formula!J110,39)))</f>
        <v>0.57172000000000001</v>
      </c>
      <c r="DO110" s="45">
        <f>MAX(INDEX(Properties!A$1:CB$87,Formula!B110,39),INDEX(Properties!A$1:CB$87,Formula!D110,39),INDEX(Properties!A$1:CB$87,Formula!F110,39),INDEX(Properties!A$1:CB$87,Formula!H110,39),INDEX(Properties!A$1:CB$87,Formula!J110,39))</f>
        <v>1.71</v>
      </c>
      <c r="DP110" s="45">
        <f>MIN(IF(INDEX(Properties!A$1:CB$87,Formula!B110,39)=0,10^6,INDEX(Properties!A$1:CB$87,Formula!B110,39)),IF(INDEX(Properties!A$1:CB$87,Formula!D110,39)=0,10^6,INDEX(Properties!A$1:CB$87,Formula!D110,39)),IF(INDEX(Properties!A$1:CB$87,Formula!F110,39)=0,10^6,INDEX(Properties!A$1:CB$87,Formula!F110,39)),IF(INDEX(Properties!A$1:CB$87,Formula!H110,39)=0,10^6,INDEX(Properties!A$1:CB$87,Formula!H110,39)),IF(INDEX(Properties!A$1:CB$87,Formula!J110,39)=0,10^6,INDEX(Properties!A$1:CB$87,Formula!J110,39)))</f>
        <v>0.48</v>
      </c>
      <c r="DQ110" s="45">
        <f t="shared" si="51"/>
        <v>1.23</v>
      </c>
      <c r="DR110" s="63">
        <f>((Formula!C110)/(Formula!C110+Formula!E110+Formula!G110+Formula!I110+Formula!K110))*(INDEX(Properties!A$1:CB$87,Formula!B110,40))+((Formula!E110)/(Formula!C110+Formula!E110+Formula!G110+Formula!I110+Formula!K110))*(INDEX(Properties!A$1:CB$87,Formula!D110,40))+((Formula!G110)/(Formula!C110+Formula!E110+Formula!G110+Formula!I110+Formula!K110))*(INDEX(Properties!A$1:CB$87,Formula!F110,40))+((Formula!I110)/(Formula!C110+Formula!E110+Formula!G110+Formula!I110+Formula!K110))*(INDEX(Properties!A$1:CB$87,Formula!H110,40))+((Formula!K110)/(Formula!C110+Formula!E110+Formula!G110+Formula!I110+Formula!K110))*(INDEX(Properties!A$1:CB$87,Formula!J110,40))</f>
        <v>0.96090909090909093</v>
      </c>
      <c r="DS110" s="63">
        <f>Formula!C110*(INDEX(Properties!A$1:CB$87,Formula!B110,40))+Formula!E110*(INDEX(Properties!A$1:CB$87,Formula!D110,40))+Formula!G110*(INDEX(Properties!A$1:CB$87,Formula!F110,40))+Formula!I110*(INDEX(Properties!A$1:CB$87,Formula!H110,40))+Formula!K110*(INDEX(Properties!A$1:CB$87,Formula!J110,40))</f>
        <v>10.57</v>
      </c>
      <c r="DT110" s="63">
        <f>VARP(IF(INDEX(Properties!A$1:CB$87,Formula!B110,40)&lt;&gt;"",INDEX(Properties!A$1:CB$87,Formula!B110,40)),IF(INDEX(Properties!A$1:CB$87,Formula!D110,40)&lt;&gt;"",INDEX(Properties!A$1:CB$87,Formula!D110,40)),IF(INDEX(Properties!A$1:CB$87,Formula!F110,40)&lt;&gt;"",INDEX(Properties!A$1:CB$87,Formula!F110,40)),IF(INDEX(Properties!A$1:CB$87,Formula!H110,40)&lt;&gt;"",INDEX(Properties!A$1:CB$87,Formula!H110,40)),IF(INDEX(Properties!A$1:CB$87,Formula!J110,40)&lt;&gt;"",INDEX(Properties!A$1:CB$87,Formula!J110,40)))</f>
        <v>0.37829600000000008</v>
      </c>
      <c r="DU110" s="63">
        <f>MAX(INDEX(Properties!A$1:CB$87,Formula!B110,40),INDEX(Properties!A$1:CB$87,Formula!D110,40),INDEX(Properties!A$1:CB$87,Formula!F110,40),INDEX(Properties!A$1:CB$87,Formula!H110,40),INDEX(Properties!A$1:CB$87,Formula!J110,40))</f>
        <v>1.48</v>
      </c>
      <c r="DV110" s="63">
        <f>MIN(IF(INDEX(Properties!A$1:CB$87,Formula!B110,40)=0,10^6,INDEX(Properties!A$1:CB$87,Formula!B110,40)),IF(INDEX(Properties!A$1:CB$87,Formula!D110,40)=0,10^6,INDEX(Properties!A$1:CB$87,Formula!D110,40)),IF(INDEX(Properties!A$1:CB$87,Formula!F110,40)=0,10^6,INDEX(Properties!A$1:CB$87,Formula!F110,40)),IF(INDEX(Properties!A$1:CB$87,Formula!H110,40)=0,10^6,INDEX(Properties!A$1:CB$87,Formula!H110,40)),IF(INDEX(Properties!A$1:CB$87,Formula!J110,40)=0,10^6,INDEX(Properties!A$1:CB$87,Formula!J110,40)))</f>
        <v>0.73</v>
      </c>
      <c r="DW110" s="63">
        <f t="shared" si="52"/>
        <v>0.75</v>
      </c>
      <c r="DX110" s="75">
        <f>((Formula!C110)/(Formula!C110+Formula!E110+Formula!G110+Formula!I110+Formula!K110))*(INDEX(Properties!A$1:CB$87,Formula!B110,41))+((Formula!E110)/(Formula!C110+Formula!E110+Formula!G110+Formula!I110+Formula!K110))*(INDEX(Properties!A$1:CB$87,Formula!D110,41))+((Formula!G110)/(Formula!C110+Formula!E110+Formula!G110+Formula!I110+Formula!K110))*(INDEX(Properties!A$1:CB$87,Formula!F110,41))+((Formula!I110)/(Formula!C110+Formula!E110+Formula!G110+Formula!I110+Formula!K110))*(INDEX(Properties!A$1:CB$87,Formula!H110,41))+((Formula!K110)/(Formula!C110+Formula!E110+Formula!G110+Formula!I110+Formula!K110))*(INDEX(Properties!A$1:CB$87,Formula!J110,41))</f>
        <v>1.169090909090909</v>
      </c>
      <c r="DY110" s="75">
        <f>Formula!C110*(INDEX(Properties!A$1:CB$87,Formula!B110,41))+Formula!E110*(INDEX(Properties!A$1:CB$87,Formula!D110,41))+Formula!G110*(INDEX(Properties!A$1:CB$87,Formula!F110,41))+Formula!I110*(INDEX(Properties!A$1:CB$87,Formula!H110,41))+Formula!K110*(INDEX(Properties!A$1:CB$87,Formula!J110,41))</f>
        <v>12.86</v>
      </c>
      <c r="DZ110" s="75">
        <f>VARP(IF(INDEX(Properties!A$1:CB$87,Formula!B110,41)&lt;&gt;"",INDEX(Properties!A$1:CB$87,Formula!B110,41)),IF(INDEX(Properties!A$1:CB$87,Formula!D110,41)&lt;&gt;"",INDEX(Properties!A$1:CB$87,Formula!D110,41)),IF(INDEX(Properties!A$1:CB$87,Formula!F110,41)&lt;&gt;"",INDEX(Properties!A$1:CB$87,Formula!F110,41)),IF(INDEX(Properties!A$1:CB$87,Formula!H110,41)&lt;&gt;"",INDEX(Properties!A$1:CB$87,Formula!H110,41)),IF(INDEX(Properties!A$1:CB$87,Formula!J110,41)&lt;&gt;"",INDEX(Properties!A$1:CB$87,Formula!J110,41)))</f>
        <v>0.29778400000000005</v>
      </c>
      <c r="EA110" s="75">
        <f>MAX(INDEX(Properties!A$1:CB$87,Formula!B110,41),INDEX(Properties!A$1:CB$87,Formula!D110,41),INDEX(Properties!A$1:CB$87,Formula!F110,41),INDEX(Properties!A$1:CB$87,Formula!H110,41),INDEX(Properties!A$1:CB$87,Formula!J110,41))</f>
        <v>1.26</v>
      </c>
      <c r="EB110" s="75">
        <f>MIN(IF(INDEX(Properties!A$1:CB$87,Formula!B110,41)=0,10^6,INDEX(Properties!A$1:CB$87,Formula!B110,41)),IF(INDEX(Properties!A$1:CB$87,Formula!D110,41)=0,10^6,INDEX(Properties!A$1:CB$87,Formula!D110,41)),IF(INDEX(Properties!A$1:CB$87,Formula!F110,41)=0,10^6,INDEX(Properties!A$1:CB$87,Formula!F110,41)),IF(INDEX(Properties!A$1:CB$87,Formula!H110,41)=0,10^6,INDEX(Properties!A$1:CB$87,Formula!H110,41)),IF(INDEX(Properties!A$1:CB$87,Formula!J110,41)=0,10^6,INDEX(Properties!A$1:CB$87,Formula!J110,41)))</f>
        <v>0.93</v>
      </c>
      <c r="EC110" s="75">
        <f t="shared" si="53"/>
        <v>0.32999999999999996</v>
      </c>
      <c r="ED110" s="48">
        <f>((Formula!C110)/(Formula!C110+Formula!E110+Formula!G110+Formula!I110+Formula!K110))*(INDEX(Properties!A$1:CB$87,Formula!B110,45))+((Formula!E110)/(Formula!C110+Formula!E110+Formula!G110+Formula!I110+Formula!K110))*(INDEX(Properties!A$1:CB$87,Formula!D110,45))+((Formula!G110)/(Formula!C110+Formula!E110+Formula!G110+Formula!I110+Formula!K110))*(INDEX(Properties!A$1:CB$87,Formula!F110,45))+((Formula!I110)/(Formula!C110+Formula!E110+Formula!G110+Formula!I110+Formula!K110))*(INDEX(Properties!A$1:CB$87,Formula!H110,45))+((Formula!K110)/(Formula!C110+Formula!E110+Formula!G110+Formula!I110+Formula!K110))*(INDEX(Properties!A$1:CB$87,Formula!J110,45))</f>
        <v>1.1445454545454545</v>
      </c>
      <c r="EE110" s="48">
        <f>Formula!C110*(INDEX(Properties!A$1:CB$87,Formula!B110,45))+Formula!E110*(INDEX(Properties!A$1:CB$87,Formula!D110,45))+Formula!G110*(INDEX(Properties!A$1:CB$87,Formula!F110,45))+Formula!I110*(INDEX(Properties!A$1:CB$87,Formula!H110,45))+Formula!K110*(INDEX(Properties!A$1:CB$87,Formula!J110,45))</f>
        <v>12.59</v>
      </c>
      <c r="EF110" s="48">
        <f>VARP(IF(INDEX(Properties!A$1:CB$87,Formula!B110,45)&lt;&gt;"",INDEX(Properties!A$1:CB$87,Formula!B110,45)),IF(INDEX(Properties!A$1:CB$87,Formula!D110,45)&lt;&gt;"",INDEX(Properties!A$1:CB$87,Formula!D110,45)),IF(INDEX(Properties!A$1:CB$87,Formula!F110,45)&lt;&gt;"",INDEX(Properties!A$1:CB$87,Formula!F110,45)),IF(INDEX(Properties!A$1:CB$87,Formula!H110,45)&lt;&gt;"",INDEX(Properties!A$1:CB$87,Formula!H110,45)),IF(INDEX(Properties!A$1:CB$87,Formula!J110,45)&lt;&gt;"",INDEX(Properties!A$1:CB$87,Formula!J110,45)))</f>
        <v>1.1622640000000002</v>
      </c>
      <c r="EG110" s="48">
        <f>MAX(INDEX(Properties!A$1:CB$87,Formula!B110,45),INDEX(Properties!A$1:CB$87,Formula!D110,45),INDEX(Properties!A$1:CB$87,Formula!F110,45),INDEX(Properties!A$1:CB$87,Formula!H110,45),INDEX(Properties!A$1:CB$87,Formula!J110,45))</f>
        <v>2.4300000000000002</v>
      </c>
      <c r="EH110" s="48">
        <f>MIN(IF(INDEX(Properties!A$1:CB$87,Formula!B110,45)=0,10^6,INDEX(Properties!A$1:CB$87,Formula!B110,45)),IF(INDEX(Properties!A$1:CB$87,Formula!D110,45)=0,10^6,INDEX(Properties!A$1:CB$87,Formula!D110,45)),IF(INDEX(Properties!A$1:CB$87,Formula!F110,45)=0,10^6,INDEX(Properties!A$1:CB$87,Formula!F110,45)),IF(INDEX(Properties!A$1:CB$87,Formula!H110,45)=0,10^6,INDEX(Properties!A$1:CB$87,Formula!H110,45)),IF(INDEX(Properties!A$1:CB$87,Formula!J110,45)=0,10^6,INDEX(Properties!A$1:CB$87,Formula!J110,45)))</f>
        <v>0.47</v>
      </c>
      <c r="EI110" s="48">
        <f t="shared" si="54"/>
        <v>1.9600000000000002</v>
      </c>
      <c r="EJ110" s="66">
        <f>((Formula!C110)/(Formula!C110+Formula!E110+Formula!G110+Formula!I110+Formula!K110))*(INDEX(Properties!A$1:CB$87,Formula!B110,46))+((Formula!E110)/(Formula!C110+Formula!E110+Formula!G110+Formula!I110+Formula!K110))*(INDEX(Properties!A$1:CB$87,Formula!D110,46))+((Formula!G110)/(Formula!C110+Formula!E110+Formula!G110+Formula!I110+Formula!K110))*(INDEX(Properties!A$1:CB$87,Formula!F110,46))+((Formula!I110)/(Formula!C110+Formula!E110+Formula!G110+Formula!I110+Formula!K110))*(INDEX(Properties!A$1:CB$87,Formula!H110,46))+((Formula!K110)/(Formula!C110+Formula!E110+Formula!G110+Formula!I110+Formula!K110))*(INDEX(Properties!A$1:CB$87,Formula!J110,46))</f>
        <v>1.060909090909091</v>
      </c>
      <c r="EK110" s="66">
        <f>Formula!C110*(INDEX(Properties!A$1:CB$87,Formula!B110,46))+Formula!E110*(INDEX(Properties!A$1:CB$87,Formula!D110,46))+Formula!G110*(INDEX(Properties!A$1:CB$87,Formula!F110,46))+Formula!I110*(INDEX(Properties!A$1:CB$87,Formula!H110,46))+Formula!K110*(INDEX(Properties!A$1:CB$87,Formula!J110,46))</f>
        <v>11.669999999999998</v>
      </c>
      <c r="EL110" s="66">
        <f>VARP(IF(INDEX(Properties!A$1:CB$87,Formula!B110,46)&lt;&gt;"",INDEX(Properties!A$1:CB$87,Formula!B110,46)),IF(INDEX(Properties!A$1:CB$87,Formula!D110,46)&lt;&gt;"",INDEX(Properties!A$1:CB$87,Formula!D110,46)),IF(INDEX(Properties!A$1:CB$87,Formula!F110,46)&lt;&gt;"",INDEX(Properties!A$1:CB$87,Formula!F110,46)),IF(INDEX(Properties!A$1:CB$87,Formula!H110,46)&lt;&gt;"",INDEX(Properties!A$1:CB$87,Formula!H110,46)),IF(INDEX(Properties!A$1:CB$87,Formula!J110,46)&lt;&gt;"",INDEX(Properties!A$1:CB$87,Formula!J110,46)))</f>
        <v>0.23873599999999995</v>
      </c>
      <c r="EM110" s="66">
        <f>MAX(INDEX(Properties!A$1:CB$87,Formula!B110,46),INDEX(Properties!A$1:CB$87,Formula!D110,46),INDEX(Properties!A$1:CB$87,Formula!F110,46),INDEX(Properties!A$1:CB$87,Formula!H110,46),INDEX(Properties!A$1:CB$87,Formula!J110,46))</f>
        <v>1.21</v>
      </c>
      <c r="EN110" s="66">
        <f>MIN(IF(INDEX(Properties!A$1:CB$87,Formula!B110,46)=0,10^6,INDEX(Properties!A$1:CB$87,Formula!B110,46)),IF(INDEX(Properties!A$1:CB$87,Formula!D110,46)=0,10^6,INDEX(Properties!A$1:CB$87,Formula!D110,46)),IF(INDEX(Properties!A$1:CB$87,Formula!F110,46)=0,10^6,INDEX(Properties!A$1:CB$87,Formula!F110,46)),IF(INDEX(Properties!A$1:CB$87,Formula!H110,46)=0,10^6,INDEX(Properties!A$1:CB$87,Formula!H110,46)),IF(INDEX(Properties!A$1:CB$87,Formula!J110,46)=0,10^6,INDEX(Properties!A$1:CB$87,Formula!J110,46)))</f>
        <v>0.68</v>
      </c>
      <c r="EO110" s="66">
        <f t="shared" si="55"/>
        <v>0.52999999999999992</v>
      </c>
      <c r="EP110" s="81">
        <f>((Formula!C110)/(Formula!C110+Formula!E110+Formula!G110+Formula!I110+Formula!K110))*(INDEX(Properties!A$1:CB$87,Formula!B110,52))+((Formula!E110)/(Formula!C110+Formula!E110+Formula!G110+Formula!I110+Formula!K110))*(INDEX(Properties!A$1:CB$87,Formula!D110,52))+((Formula!G110)/(Formula!C110+Formula!E110+Formula!G110+Formula!I110+Formula!K110))*(INDEX(Properties!A$1:CB$87,Formula!F110,52))+((Formula!I110)/(Formula!C110+Formula!E110+Formula!G110+Formula!I110+Formula!K110))*(INDEX(Properties!A$1:CB$87,Formula!H110,52))+((Formula!K110)/(Formula!C110+Formula!E110+Formula!G110+Formula!I110+Formula!K110))*(INDEX(Properties!A$1:CB$87,Formula!J110,52))</f>
        <v>4.0682727272727277</v>
      </c>
      <c r="EQ110" s="81">
        <f>Formula!C110*(INDEX(Properties!A$1:CB$87,Formula!B110,52))+Formula!E110*(INDEX(Properties!A$1:CB$87,Formula!D110,52))+Formula!G110*(INDEX(Properties!A$1:CB$87,Formula!F110,52))+Formula!I110*(INDEX(Properties!A$1:CB$87,Formula!H110,52))+Formula!K110*(INDEX(Properties!A$1:CB$87,Formula!J110,52))</f>
        <v>44.751000000000005</v>
      </c>
      <c r="ER110" s="81">
        <f>VARP(IF(INDEX(Properties!A$1:CB$87,Formula!B110,52)&lt;&gt;"",INDEX(Properties!A$1:CB$87,Formula!B110,52)),IF(INDEX(Properties!A$1:CB$87,Formula!D110,52)&lt;&gt;"",INDEX(Properties!A$1:CB$87,Formula!D110,52)),IF(INDEX(Properties!A$1:CB$87,Formula!F110,52)&lt;&gt;"",INDEX(Properties!A$1:CB$87,Formula!F110,52)),IF(INDEX(Properties!A$1:CB$87,Formula!H110,52)&lt;&gt;"",INDEX(Properties!A$1:CB$87,Formula!H110,52)),IF(INDEX(Properties!A$1:CB$87,Formula!J110,52)&lt;&gt;"",INDEX(Properties!A$1:CB$87,Formula!J110,52)))</f>
        <v>24.610791840000005</v>
      </c>
      <c r="ES110" s="81">
        <f>MAX(INDEX(Properties!A$1:CB$87,Formula!B110,52),INDEX(Properties!A$1:CB$87,Formula!D110,52),INDEX(Properties!A$1:CB$87,Formula!F110,52),INDEX(Properties!A$1:CB$87,Formula!H110,52),INDEX(Properties!A$1:CB$87,Formula!J110,52))</f>
        <v>12.4</v>
      </c>
      <c r="ET110" s="81">
        <f>MIN(IF(INDEX(Properties!A$1:CB$87,Formula!B110,52)=0,10^6,INDEX(Properties!A$1:CB$87,Formula!B110,52)),IF(INDEX(Properties!A$1:CB$87,Formula!D110,52)=0,10^6,INDEX(Properties!A$1:CB$87,Formula!D110,52)),IF(INDEX(Properties!A$1:CB$87,Formula!F110,52)=0,10^6,INDEX(Properties!A$1:CB$87,Formula!F110,52)),IF(INDEX(Properties!A$1:CB$87,Formula!H110,52)=0,10^6,INDEX(Properties!A$1:CB$87,Formula!H110,52)),IF(INDEX(Properties!A$1:CB$87,Formula!J110,52)=0,10^6,INDEX(Properties!A$1:CB$87,Formula!J110,52)))</f>
        <v>0.79300000000000004</v>
      </c>
      <c r="EU110" s="81">
        <f t="shared" si="56"/>
        <v>11.607000000000001</v>
      </c>
      <c r="EV110" s="39">
        <f>((Formula!C110)/(Formula!C110+Formula!E110+Formula!G110+Formula!I110+Formula!K110))*(INDEX(Properties!A$1:CB$87,Formula!B110,53))+((Formula!E110)/(Formula!C110+Formula!E110+Formula!G110+Formula!I110+Formula!K110))*(INDEX(Properties!A$1:CB$87,Formula!D110,53))+((Formula!G110)/(Formula!C110+Formula!E110+Formula!G110+Formula!I110+Formula!K110))*(INDEX(Properties!A$1:CB$87,Formula!F110,53))+((Formula!I110)/(Formula!C110+Formula!E110+Formula!G110+Formula!I110+Formula!K110))*(INDEX(Properties!A$1:CB$87,Formula!H110,53))+((Formula!K110)/(Formula!C110+Formula!E110+Formula!G110+Formula!I110+Formula!K110))*(INDEX(Properties!A$1:CB$87,Formula!J110,53))</f>
        <v>536.15</v>
      </c>
      <c r="EW110" s="39">
        <f>Formula!C110*(INDEX(Properties!A$1:CB$87,Formula!B110,53))+Formula!E110*(INDEX(Properties!A$1:CB$87,Formula!D110,53))+Formula!G110*(INDEX(Properties!A$1:CB$87,Formula!F110,53))+Formula!I110*(INDEX(Properties!A$1:CB$87,Formula!H110,53))+Formula!K110*(INDEX(Properties!A$1:CB$87,Formula!J110,53))</f>
        <v>5897.65</v>
      </c>
      <c r="EX110" s="39">
        <f>VARP(IF(INDEX(Properties!A$1:CB$87,Formula!B110,53)&lt;&gt;"",INDEX(Properties!A$1:CB$87,Formula!B110,53)),IF(INDEX(Properties!A$1:CB$87,Formula!D110,53)&lt;&gt;"",INDEX(Properties!A$1:CB$87,Formula!D110,53)),IF(INDEX(Properties!A$1:CB$87,Formula!F110,53)&lt;&gt;"",INDEX(Properties!A$1:CB$87,Formula!F110,53)),IF(INDEX(Properties!A$1:CB$87,Formula!H110,53)&lt;&gt;"",INDEX(Properties!A$1:CB$87,Formula!H110,53)),IF(INDEX(Properties!A$1:CB$87,Formula!J110,53)&lt;&gt;"",INDEX(Properties!A$1:CB$87,Formula!J110,53)))</f>
        <v>690739.66540000006</v>
      </c>
      <c r="EY110" s="39">
        <f>MAX(INDEX(Properties!A$1:CB$87,Formula!B110,53),INDEX(Properties!A$1:CB$87,Formula!D110,53),INDEX(Properties!A$1:CB$87,Formula!F110,53),INDEX(Properties!A$1:CB$87,Formula!H110,53),INDEX(Properties!A$1:CB$87,Formula!J110,53))</f>
        <v>2163.15</v>
      </c>
      <c r="EZ110" s="39">
        <f>MIN(IF(INDEX(Properties!A$1:CB$87,Formula!B110,53)=0,10^6,INDEX(Properties!A$1:CB$87,Formula!B110,53)),IF(INDEX(Properties!A$1:CB$87,Formula!D110,53)=0,10^6,INDEX(Properties!A$1:CB$87,Formula!D110,53)),IF(INDEX(Properties!A$1:CB$87,Formula!F110,53)=0,10^6,INDEX(Properties!A$1:CB$87,Formula!F110,53)),IF(INDEX(Properties!A$1:CB$87,Formula!H110,53)=0,10^6,INDEX(Properties!A$1:CB$87,Formula!H110,53)),IF(INDEX(Properties!A$1:CB$87,Formula!J110,53)=0,10^6,INDEX(Properties!A$1:CB$87,Formula!J110,53)))</f>
        <v>54.749999999999972</v>
      </c>
      <c r="FA110" s="39">
        <f t="shared" si="57"/>
        <v>2108.4</v>
      </c>
      <c r="FB110" s="54">
        <f>((Formula!C110)/(Formula!C110+Formula!E110+Formula!G110+Formula!I110+Formula!K110))*(INDEX(Properties!A$1:CB$87,Formula!B110,54))+((Formula!E110)/(Formula!C110+Formula!E110+Formula!G110+Formula!I110+Formula!K110))*(INDEX(Properties!A$1:CB$87,Formula!D110,54))+((Formula!G110)/(Formula!C110+Formula!E110+Formula!G110+Formula!I110+Formula!K110))*(INDEX(Properties!A$1:CB$87,Formula!F110,54))+((Formula!I110)/(Formula!C110+Formula!E110+Formula!G110+Formula!I110+Formula!K110))*(INDEX(Properties!A$1:CB$87,Formula!H110,54))+((Formula!K110)/(Formula!C110+Formula!E110+Formula!G110+Formula!I110+Formula!K110))*(INDEX(Properties!A$1:CB$87,Formula!J110,54))</f>
        <v>910.33181818181822</v>
      </c>
      <c r="FC110" s="54">
        <f>Formula!C110*(INDEX(Properties!A$1:CB$87,Formula!B110,54))+Formula!E110*(INDEX(Properties!A$1:CB$87,Formula!D110,54))+Formula!G110*(INDEX(Properties!A$1:CB$87,Formula!F110,54))+Formula!I110*(INDEX(Properties!A$1:CB$87,Formula!H110,54))+Formula!K110*(INDEX(Properties!A$1:CB$87,Formula!J110,54))</f>
        <v>10013.65</v>
      </c>
      <c r="FD110" s="54">
        <f>VARP(IF(INDEX(Properties!A$1:CB$87,Formula!B110,54)&lt;&gt;"",INDEX(Properties!A$1:CB$87,Formula!B110,54)),IF(INDEX(Properties!A$1:CB$87,Formula!D110,54)&lt;&gt;"",INDEX(Properties!A$1:CB$87,Formula!D110,54)),IF(INDEX(Properties!A$1:CB$87,Formula!F110,54)&lt;&gt;"",INDEX(Properties!A$1:CB$87,Formula!F110,54)),IF(INDEX(Properties!A$1:CB$87,Formula!H110,54)&lt;&gt;"",INDEX(Properties!A$1:CB$87,Formula!H110,54)),IF(INDEX(Properties!A$1:CB$87,Formula!J110,54)&lt;&gt;"",INDEX(Properties!A$1:CB$87,Formula!J110,54)))</f>
        <v>1971786.9094000002</v>
      </c>
      <c r="FE110" s="54">
        <f>MAX(INDEX(Properties!A$1:CB$87,Formula!B110,54),INDEX(Properties!A$1:CB$87,Formula!D110,54),INDEX(Properties!A$1:CB$87,Formula!F110,54),INDEX(Properties!A$1:CB$87,Formula!H110,54),INDEX(Properties!A$1:CB$87,Formula!J110,54))</f>
        <v>3653.15</v>
      </c>
      <c r="FF110" s="54">
        <f>MIN(IF(INDEX(Properties!A$1:CB$87,Formula!B110,54)=0,10^6,INDEX(Properties!A$1:CB$87,Formula!B110,54)),IF(INDEX(Properties!A$1:CB$87,Formula!D110,54)=0,10^6,INDEX(Properties!A$1:CB$87,Formula!D110,54)),IF(INDEX(Properties!A$1:CB$87,Formula!F110,54)=0,10^6,INDEX(Properties!A$1:CB$87,Formula!F110,54)),IF(INDEX(Properties!A$1:CB$87,Formula!H110,54)=0,10^6,INDEX(Properties!A$1:CB$87,Formula!H110,54)),IF(INDEX(Properties!A$1:CB$87,Formula!J110,54)=0,10^6,INDEX(Properties!A$1:CB$87,Formula!J110,54)))</f>
        <v>90.149999999999977</v>
      </c>
      <c r="FG110" s="54">
        <f t="shared" si="58"/>
        <v>3563</v>
      </c>
      <c r="FH110" s="69">
        <f>((Formula!C110)/(Formula!C110+Formula!E110+Formula!G110+Formula!I110+Formula!K110))*(INDEX(Properties!A$1:CB$87,Formula!B110,55))+((Formula!E110)/(Formula!C110+Formula!E110+Formula!G110+Formula!I110+Formula!K110))*(INDEX(Properties!A$1:CB$87,Formula!D110,55))+((Formula!G110)/(Formula!C110+Formula!E110+Formula!G110+Formula!I110+Formula!K110))*(INDEX(Properties!A$1:CB$87,Formula!F110,55))+((Formula!I110)/(Formula!C110+Formula!E110+Formula!G110+Formula!I110+Formula!K110))*(INDEX(Properties!A$1:CB$87,Formula!H110,55))+((Formula!K110)/(Formula!C110+Formula!E110+Formula!G110+Formula!I110+Formula!K110))*(INDEX(Properties!A$1:CB$87,Formula!J110,55))</f>
        <v>2.6845463636363638</v>
      </c>
      <c r="FI110" s="69">
        <f>Formula!C110*(INDEX(Properties!A$1:CB$87,Formula!B110,55))+Formula!E110*(INDEX(Properties!A$1:CB$87,Formula!D110,54))+Formula!G110*(INDEX(Properties!A$1:CB$87,Formula!F110,55))+Formula!I110*(INDEX(Properties!A$1:CB$87,Formula!H110,55))+Formula!K110*(INDEX(Properties!A$1:CB$87,Formula!J110,55))</f>
        <v>7323.6100100000003</v>
      </c>
      <c r="FJ110" s="69">
        <f>VARP(IF(INDEX(Properties!A$1:CB$87,Formula!B110,55)&lt;&gt;"",INDEX(Properties!A$1:CB$87,Formula!B110,55)),IF(INDEX(Properties!A$1:CB$87,Formula!D110,55)&lt;&gt;"",INDEX(Properties!A$1:CB$87,Formula!D110,55)),IF(INDEX(Properties!A$1:CB$87,Formula!F110,55)&lt;&gt;"",INDEX(Properties!A$1:CB$87,Formula!F110,55)),IF(INDEX(Properties!A$1:CB$87,Formula!H110,55)&lt;&gt;"",INDEX(Properties!A$1:CB$87,Formula!H110,55)),IF(INDEX(Properties!A$1:CB$87,Formula!J110,55)&lt;&gt;"",INDEX(Properties!A$1:CB$87,Formula!J110,55)))</f>
        <v>13.714927783184002</v>
      </c>
      <c r="FK110" s="69">
        <f>MAX(INDEX(Properties!A$1:CB$87,Formula!B110,55),INDEX(Properties!A$1:CB$87,Formula!D110,55),INDEX(Properties!A$1:CB$87,Formula!F110,55),INDEX(Properties!A$1:CB$87,Formula!H110,55),INDEX(Properties!A$1:CB$87,Formula!J110,55))</f>
        <v>8.65</v>
      </c>
      <c r="FL110" s="69">
        <f>MIN(IF(INDEX(Properties!A$1:CB$87,Formula!B110,55)=0,10^6,INDEX(Properties!A$1:CB$87,Formula!B110,55)),IF(INDEX(Properties!A$1:CB$87,Formula!D110,55)=0,10^6,INDEX(Properties!A$1:CB$87,Formula!D110,55)),IF(INDEX(Properties!A$1:CB$87,Formula!F110,55)=0,10^6,INDEX(Properties!A$1:CB$87,Formula!F110,55)),IF(INDEX(Properties!A$1:CB$87,Formula!H110,55)=0,10^6,INDEX(Properties!A$1:CB$87,Formula!H110,55)),IF(INDEX(Properties!A$1:CB$87,Formula!J110,55)=0,10^6,INDEX(Properties!A$1:CB$87,Formula!J110,55)))</f>
        <v>1.4300000000000001E-3</v>
      </c>
      <c r="FM110" s="69">
        <f t="shared" si="59"/>
        <v>8.6485700000000012</v>
      </c>
      <c r="FN110" s="42">
        <f>((Formula!C110)/(Formula!C110+Formula!E110+Formula!G110+Formula!I110+Formula!K110))*(INDEX(Properties!A$1:CB$87,Formula!B110,56))+((Formula!E110)/(Formula!C110+Formula!E110+Formula!G110+Formula!I110+Formula!K110))*(INDEX(Properties!A$1:CB$87,Formula!D110,56))+((Formula!G110)/(Formula!C110+Formula!E110+Formula!G110+Formula!I110+Formula!K110))*(INDEX(Properties!A$1:CB$87,Formula!F110,56))+((Formula!I110)/(Formula!C110+Formula!E110+Formula!G110+Formula!I110+Formula!K110))*(INDEX(Properties!A$1:CB$87,Formula!H110,56))+((Formula!K110)/(Formula!C110+Formula!E110+Formula!G110+Formula!I110+Formula!K110))*(INDEX(Properties!A$1:CB$87,Formula!J110,56))</f>
        <v>0.71636363636363631</v>
      </c>
      <c r="FO110" s="42">
        <f>Formula!C110*(INDEX(Properties!A$1:CB$87,Formula!B110,56))+Formula!E110*(INDEX(Properties!A$1:CB$87,Formula!D110,56))+Formula!G110*(INDEX(Properties!A$1:CB$87,Formula!F110,56))+Formula!I110*(INDEX(Properties!A$1:CB$87,Formula!H110,56))+Formula!K110*(INDEX(Properties!A$1:CB$87,Formula!J110,56))</f>
        <v>7.8800000000000008</v>
      </c>
      <c r="FP110" s="42">
        <f>VARP(IF(INDEX(Properties!A$1:CB$87,Formula!B110,56)&lt;&gt;"",INDEX(Properties!A$1:CB$87,Formula!B110,56)),IF(INDEX(Properties!A$1:CB$87,Formula!D110,56)&lt;&gt;"",INDEX(Properties!A$1:CB$87,Formula!D110,56)),IF(INDEX(Properties!A$1:CB$87,Formula!F110,56)&lt;&gt;"",INDEX(Properties!A$1:CB$87,Formula!F110,56)),IF(INDEX(Properties!A$1:CB$87,Formula!H110,56)&lt;&gt;"",INDEX(Properties!A$1:CB$87,Formula!H110,56)),IF(INDEX(Properties!A$1:CB$87,Formula!J110,56)&lt;&gt;"",INDEX(Properties!A$1:CB$87,Formula!J110,56)))</f>
        <v>0.12029599999999999</v>
      </c>
      <c r="FQ110" s="42">
        <f>MAX(INDEX(Properties!A$1:CB$87,Formula!B110,56),INDEX(Properties!A$1:CB$87,Formula!D110,56),INDEX(Properties!A$1:CB$87,Formula!F110,56),INDEX(Properties!A$1:CB$87,Formula!H110,56),INDEX(Properties!A$1:CB$87,Formula!J110,56))</f>
        <v>0.92</v>
      </c>
      <c r="FR110" s="42">
        <f>MIN(IF(INDEX(Properties!A$1:CB$87,Formula!B110,56)=0,10^6,INDEX(Properties!A$1:CB$87,Formula!B110,56)),IF(INDEX(Properties!A$1:CB$87,Formula!D110,56)=0,10^6,INDEX(Properties!A$1:CB$87,Formula!D110,56)),IF(INDEX(Properties!A$1:CB$87,Formula!F110,56)=0,10^6,INDEX(Properties!A$1:CB$87,Formula!F110,56)),IF(INDEX(Properties!A$1:CB$87,Formula!H110,56)=0,10^6,INDEX(Properties!A$1:CB$87,Formula!H110,56)),IF(INDEX(Properties!A$1:CB$87,Formula!J110,56)=0,10^6,INDEX(Properties!A$1:CB$87,Formula!J110,56)))</f>
        <v>0.23</v>
      </c>
      <c r="FS110" s="42">
        <f t="shared" si="60"/>
        <v>0.69000000000000006</v>
      </c>
      <c r="FT110" s="60">
        <f>((Formula!C110)/(Formula!C110+Formula!E110+Formula!G110+Formula!I110+Formula!K110))*(INDEX(Properties!A$1:CB$87,Formula!B110,57))+((Formula!E110)/(Formula!C110+Formula!E110+Formula!G110+Formula!I110+Formula!K110))*(INDEX(Properties!A$1:CB$87,Formula!D110,57))+((Formula!G110)/(Formula!C110+Formula!E110+Formula!G110+Formula!I110+Formula!K110))*(INDEX(Properties!A$1:CB$87,Formula!F110,57))+((Formula!I110)/(Formula!C110+Formula!E110+Formula!G110+Formula!I110+Formula!K110))*(INDEX(Properties!A$1:CB$87,Formula!H110,57))+((Formula!K110)/(Formula!C110+Formula!E110+Formula!G110+Formula!I110+Formula!K110))*(INDEX(Properties!A$1:CB$87,Formula!J110,57))</f>
        <v>5.0674663636363633</v>
      </c>
      <c r="FU110" s="60">
        <f>Formula!C110*(INDEX(Properties!A$1:CB$87,Formula!B110,57))+Formula!E110*(INDEX(Properties!A$1:CB$87,Formula!D110,57))+Formula!G110*(INDEX(Properties!A$1:CB$87,Formula!F110,57))+Formula!I110*(INDEX(Properties!A$1:CB$87,Formula!H110,57))+Formula!K110*(INDEX(Properties!A$1:CB$87,Formula!J110,57))</f>
        <v>55.742129999999996</v>
      </c>
      <c r="FV110" s="60">
        <f>VARP(IF(INDEX(Properties!A$1:CB$87,Formula!B110,57)&lt;&gt;"",INDEX(Properties!A$1:CB$87,Formula!B110,57)),IF(INDEX(Properties!A$1:CB$87,Formula!D110,57)&lt;&gt;"",INDEX(Properties!A$1:CB$87,Formula!D110,57)),IF(INDEX(Properties!A$1:CB$87,Formula!F110,57)&lt;&gt;"",INDEX(Properties!A$1:CB$87,Formula!F110,57)),IF(INDEX(Properties!A$1:CB$87,Formula!H110,57)&lt;&gt;"",INDEX(Properties!A$1:CB$87,Formula!H110,57)),IF(INDEX(Properties!A$1:CB$87,Formula!J110,57)&lt;&gt;"",INDEX(Properties!A$1:CB$87,Formula!J110,57)))</f>
        <v>65.196608986895995</v>
      </c>
      <c r="FW110" s="60">
        <f>MAX(INDEX(Properties!A$1:CB$87,Formula!B110,57),INDEX(Properties!A$1:CB$87,Formula!D110,57),INDEX(Properties!A$1:CB$87,Formula!F110,57),INDEX(Properties!A$1:CB$87,Formula!H110,57),INDEX(Properties!A$1:CB$87,Formula!J110,57))</f>
        <v>20.9</v>
      </c>
      <c r="FX110" s="60">
        <f>MIN(IF(INDEX(Properties!A$1:CB$87,Formula!B110,57)=0,10^6,INDEX(Properties!A$1:CB$87,Formula!B110,57)),IF(INDEX(Properties!A$1:CB$87,Formula!D110,57)=0,10^6,INDEX(Properties!A$1:CB$87,Formula!D110,57)),IF(INDEX(Properties!A$1:CB$87,Formula!F110,57)=0,10^6,INDEX(Properties!A$1:CB$87,Formula!F110,57)),IF(INDEX(Properties!A$1:CB$87,Formula!H110,57)=0,10^6,INDEX(Properties!A$1:CB$87,Formula!H110,57)),IF(INDEX(Properties!A$1:CB$87,Formula!J110,57)=0,10^6,INDEX(Properties!A$1:CB$87,Formula!J110,57)))</f>
        <v>0.22259000000000001</v>
      </c>
      <c r="FY110" s="60">
        <f t="shared" si="61"/>
        <v>20.677409999999998</v>
      </c>
      <c r="FZ110" s="72">
        <f>((Formula!C110)/(Formula!C110+Formula!E110+Formula!G110+Formula!I110+Formula!K110))*(INDEX(Properties!A$1:CB$87,Formula!B110,60))+((Formula!E110)/(Formula!C110+Formula!E110+Formula!G110+Formula!I110+Formula!K110))*(INDEX(Properties!A$1:CB$87,Formula!D110,60))+((Formula!G110)/(Formula!C110+Formula!E110+Formula!G110+Formula!I110+Formula!K110))*(INDEX(Properties!A$1:CB$87,Formula!F110,60))+((Formula!I110)/(Formula!C110+Formula!E110+Formula!G110+Formula!I110+Formula!K110))*(INDEX(Properties!A$1:CB$87,Formula!H110,60))+((Formula!K110)/(Formula!C110+Formula!E110+Formula!G110+Formula!I110+Formula!K110))*(INDEX(Properties!A$1:CB$87,Formula!J110,60))</f>
        <v>23.198834545454549</v>
      </c>
      <c r="GA110" s="72">
        <f>Formula!C110*(INDEX(Properties!A$1:CB$87,Formula!B110,60))+Formula!E110*(INDEX(Properties!A$1:CB$87,Formula!D110,60))+Formula!G110*(INDEX(Properties!A$1:CB$87,Formula!F110,60))+Formula!I110*(INDEX(Properties!A$1:CB$87,Formula!H110,60))+Formula!K110*(INDEX(Properties!A$1:CB$87,Formula!J110,60))</f>
        <v>255.18718000000001</v>
      </c>
      <c r="GB110" s="72">
        <f>VARP(IF(INDEX(Properties!A$1:CB$87,Formula!B110,60)&lt;&gt;"",INDEX(Properties!A$1:CB$87,Formula!B110,60)),IF(INDEX(Properties!A$1:CB$87,Formula!D110,60)&lt;&gt;"",INDEX(Properties!A$1:CB$87,Formula!D110,60)),IF(INDEX(Properties!A$1:CB$87,Formula!F110,60)&lt;&gt;"",INDEX(Properties!A$1:CB$87,Formula!F110,60)),IF(INDEX(Properties!A$1:CB$87,Formula!H110,60)&lt;&gt;"",INDEX(Properties!A$1:CB$87,Formula!H110,60)),IF(INDEX(Properties!A$1:CB$87,Formula!J110,60)&lt;&gt;"",INDEX(Properties!A$1:CB$87,Formula!J110,60)))</f>
        <v>1412.0233664044158</v>
      </c>
      <c r="GC110" s="72">
        <f>MAX(INDEX(Properties!A$1:CB$87,Formula!B110,60),INDEX(Properties!A$1:CB$87,Formula!D110,60),INDEX(Properties!A$1:CB$87,Formula!F110,60),INDEX(Properties!A$1:CB$87,Formula!H110,60),INDEX(Properties!A$1:CB$87,Formula!J110,60))</f>
        <v>96.8</v>
      </c>
      <c r="GD110" s="72">
        <f>MIN(IF(INDEX(Properties!A$1:CB$87,Formula!B110,60)=0,10^6,INDEX(Properties!A$1:CB$87,Formula!B110,60)),IF(INDEX(Properties!A$1:CB$87,Formula!D110,60)=0,10^6,INDEX(Properties!A$1:CB$87,Formula!D110,60)),IF(INDEX(Properties!A$1:CB$87,Formula!F110,60)=0,10^6,INDEX(Properties!A$1:CB$87,Formula!F110,60)),IF(INDEX(Properties!A$1:CB$87,Formula!H110,60)=0,10^6,INDEX(Properties!A$1:CB$87,Formula!H110,60)),IF(INDEX(Properties!A$1:CB$87,Formula!J110,60)=0,10^6,INDEX(Properties!A$1:CB$87,Formula!J110,60)))</f>
        <v>2.674E-2</v>
      </c>
      <c r="GE110" s="72">
        <f t="shared" si="62"/>
        <v>96.773259999999993</v>
      </c>
      <c r="GF110" s="51">
        <f>((Formula!C110)/(Formula!C110+Formula!E110+Formula!G110+Formula!I110+Formula!K110))*(INDEX(Properties!A$1:CB$87,Formula!B110,62))+((Formula!E110)/(Formula!C110+Formula!E110+Formula!G110+Formula!I110+Formula!K110))*(INDEX(Properties!A$1:CB$87,Formula!D110,62))+((Formula!G110)/(Formula!C110+Formula!E110+Formula!G110+Formula!I110+Formula!K110))*(INDEX(Properties!A$1:CB$87,Formula!F110,62))+((Formula!I110)/(Formula!C110+Formula!E110+Formula!G110+Formula!I110+Formula!K110))*(INDEX(Properties!A$1:CB$87,Formula!H110,62))+((Formula!K110)/(Formula!C110+Formula!E110+Formula!G110+Formula!I110+Formula!K110))*(INDEX(Properties!A$1:CB$87,Formula!J110,62))</f>
        <v>2.8436363636363637</v>
      </c>
      <c r="GG110" s="51">
        <f>Formula!C110*(INDEX(Properties!A$1:CB$87,Formula!B110,62))+Formula!E110*(INDEX(Properties!A$1:CB$87,Formula!D110,62))+Formula!G110*(INDEX(Properties!A$1:CB$87,Formula!F110,62))+Formula!I110*(INDEX(Properties!A$1:CB$87,Formula!H110,62))+Formula!K110*(INDEX(Properties!A$1:CB$87,Formula!J110,62))</f>
        <v>31.28</v>
      </c>
      <c r="GH110" s="51">
        <f>VARP(IF(INDEX(Properties!A$1:CB$87,Formula!B110,62)&lt;&gt;"",INDEX(Properties!A$1:CB$87,Formula!B110,62)),IF(INDEX(Properties!A$1:CB$87,Formula!D110,62)&lt;&gt;"",INDEX(Properties!A$1:CB$87,Formula!D110,62)),IF(INDEX(Properties!A$1:CB$87,Formula!F110,62)&lt;&gt;"",INDEX(Properties!A$1:CB$87,Formula!F110,62)),IF(INDEX(Properties!A$1:CB$87,Formula!H110,62)&lt;&gt;"",INDEX(Properties!A$1:CB$87,Formula!H110,62)),IF(INDEX(Properties!A$1:CB$87,Formula!J110,62)&lt;&gt;"",INDEX(Properties!A$1:CB$87,Formula!J110,62)))</f>
        <v>3.9760959999999983</v>
      </c>
      <c r="GI110" s="51">
        <f>MAX(INDEX(Properties!A$1:CB$87,Formula!B110,62),INDEX(Properties!A$1:CB$87,Formula!D110,62),INDEX(Properties!A$1:CB$87,Formula!F110,62),INDEX(Properties!A$1:CB$87,Formula!H110,62),INDEX(Properties!A$1:CB$87,Formula!J110,62))</f>
        <v>5.31</v>
      </c>
      <c r="GJ110" s="51">
        <f>MIN(IF(INDEX(Properties!A$1:CB$87,Formula!B110,62)=0,10^6,INDEX(Properties!A$1:CB$87,Formula!B110,62)),IF(INDEX(Properties!A$1:CB$87,Formula!D110,62)=0,10^6,INDEX(Properties!A$1:CB$87,Formula!D110,62)),IF(INDEX(Properties!A$1:CB$87,Formula!F110,62)=0,10^6,INDEX(Properties!A$1:CB$87,Formula!F110,62)),IF(INDEX(Properties!A$1:CB$87,Formula!H110,62)=0,10^6,INDEX(Properties!A$1:CB$87,Formula!H110,62)),IF(INDEX(Properties!A$1:CB$87,Formula!J110,62)=0,10^6,INDEX(Properties!A$1:CB$87,Formula!J110,62)))</f>
        <v>1.1599999999999999</v>
      </c>
      <c r="GK110" s="51">
        <f t="shared" si="63"/>
        <v>4.1499999999999995</v>
      </c>
      <c r="GL110" s="51">
        <f>Formula!P110</f>
        <v>12</v>
      </c>
      <c r="GM110" s="57">
        <f>Formula!O110</f>
        <v>2</v>
      </c>
      <c r="GN110" s="51">
        <f>Formula!N110</f>
        <v>0.02</v>
      </c>
    </row>
    <row r="111" spans="1:196" x14ac:dyDescent="0.3">
      <c r="A111" s="84" t="str">
        <f>Formula!A111</f>
        <v>Sr3Gd(PO4)3</v>
      </c>
      <c r="B111" s="89">
        <f>((Formula!C111)/(Formula!C111+Formula!E111+Formula!G111+Formula!I111+Formula!K111))*(INDEX(Properties!A$1:CB$87,Formula!B111,3))+((Formula!E111)/(Formula!C111+Formula!E111+Formula!G111+Formula!I111+Formula!K111))*(INDEX(Properties!A$1:CB$87,Formula!D111,3))+((Formula!G111)/(Formula!C111+Formula!E111+Formula!G111+Formula!I111+Formula!K111))*(INDEX(Properties!A$1:CB$87,Formula!F111,3))+((Formula!I111)/(Formula!C111+Formula!E111+Formula!G111+Formula!I111+Formula!K111))*(INDEX(Properties!A$1:CB$87,Formula!H111,3))+((Formula!K111)/(Formula!C111+Formula!E111+Formula!G111+Formula!I111+Formula!K111))*(INDEX(Properties!A$1:CB$87,Formula!J111,3))</f>
        <v>36.65048947368421</v>
      </c>
      <c r="C111" s="85">
        <f>Formula!C111*(INDEX(Properties!A$1:CB$87,Formula!B111,3))+Formula!E111*(INDEX(Properties!A$1:CB$87,Formula!D111,3))+Formula!G111*(INDEX(Properties!A$1:CB$87,Formula!F111,3))+Formula!I111*(INDEX(Properties!A$1:CB$87,Formula!H111,3))+Formula!K111*(INDEX(Properties!A$1:CB$87,Formula!J111,3))</f>
        <v>696.35930000000008</v>
      </c>
      <c r="D111" s="85">
        <f>VARP(IF(INDEX(Properties!A$1:CB$87,Formula!B111,3)&lt;&gt;"",INDEX(Properties!A$1:CB$87,Formula!B111,3)),IF(INDEX(Properties!A$1:CB$87,Formula!D111,3)&lt;&gt;"",INDEX(Properties!A$1:CB$87,Formula!D111,3)),IF(INDEX(Properties!A$1:CB$87,Formula!F111,3)&lt;&gt;"",INDEX(Properties!A$1:CB$87,Formula!F111,3)),IF(INDEX(Properties!A$1:CB$87,Formula!H111,3)&lt;&gt;"",INDEX(Properties!A$1:CB$87,Formula!H111,3)),IF(INDEX(Properties!A$1:CB$87,Formula!J111,3)&lt;&gt;"",INDEX(Properties!A$1:CB$87,Formula!J111,3)))</f>
        <v>3350.1232327615999</v>
      </c>
      <c r="E111" s="85">
        <f>MAX(INDEX(Properties!A$1:CB$87,Formula!B111,3),INDEX(Properties!A$1:CB$87,Formula!D111,3),INDEX(Properties!A$1:CB$87,Formula!F111,3),INDEX(Properties!A$1:CB$87,Formula!H111,3),INDEX(Properties!A$1:CB$87,Formula!J111,3))</f>
        <v>157.25</v>
      </c>
      <c r="F111" s="85">
        <f>MIN(IF(INDEX(Properties!A$1:CB$87,Formula!B111,3)=0,10^6,INDEX(Properties!A$1:CB$87,Formula!B111,3)),IF(INDEX(Properties!A$1:CB$87,Formula!D111,3)=0,10^6,INDEX(Properties!A$1:CB$87,Formula!D111,3)),IF(INDEX(Properties!A$1:CB$87,Formula!F111,3)=0,10^6,INDEX(Properties!A$1:CB$87,Formula!F111,3)),IF(INDEX(Properties!A$1:CB$87,Formula!H111,3)=0,10^6,INDEX(Properties!A$1:CB$87,Formula!H111,3)),IF(INDEX(Properties!A$1:CB$87,Formula!J111,3)=0,10^6,INDEX(Properties!A$1:CB$87,Formula!J111,3)))</f>
        <v>15.9994</v>
      </c>
      <c r="G111" s="85">
        <f t="shared" si="32"/>
        <v>141.25059999999999</v>
      </c>
      <c r="H111" s="87">
        <f>((Formula!C111)/(Formula!C111+Formula!E111+Formula!G111+Formula!I111+Formula!K111))*(INDEX(Properties!A$1:CB$87,Formula!B111,4))+((Formula!E111)/(Formula!C111+Formula!E111+Formula!G111+Formula!I111+Formula!K111))*(INDEX(Properties!A$1:CB$87,Formula!D111,4))+((Formula!G111)/(Formula!C111+Formula!E111+Formula!G111+Formula!I111+Formula!K111))*(INDEX(Properties!A$1:CB$87,Formula!F111,4))+((Formula!I111)/(Formula!C111+Formula!E111+Formula!G111+Formula!I111+Formula!K111))*(INDEX(Properties!A$1:CB$87,Formula!H111,4))+((Formula!K111)/(Formula!C111+Formula!E111+Formula!G111+Formula!I111+Formula!K111))*(INDEX(Properties!A$1:CB$87,Formula!J111,4))</f>
        <v>16.631578947368418</v>
      </c>
      <c r="I111" s="87">
        <f>Formula!C111*(INDEX(Properties!A$1:CB$87,Formula!B111,4))+Formula!E111*(INDEX(Properties!A$1:CB$87,Formula!D111,4))+Formula!G111*(INDEX(Properties!A$1:CB$87,Formula!F111,4))+Formula!I111*(INDEX(Properties!A$1:CB$87,Formula!H111,4))+Formula!K111*(INDEX(Properties!A$1:CB$87,Formula!J111,4))</f>
        <v>316</v>
      </c>
      <c r="J111" s="87">
        <f>VARP(IF(INDEX(Properties!A$1:CB$87,Formula!B111,4)&lt;&gt;"",INDEX(Properties!A$1:CB$87,Formula!B111,4)),IF(INDEX(Properties!A$1:CB$87,Formula!D111,4)&lt;&gt;"",INDEX(Properties!A$1:CB$87,Formula!D111,4)),IF(INDEX(Properties!A$1:CB$87,Formula!F111,4)&lt;&gt;"",INDEX(Properties!A$1:CB$87,Formula!F111,4)),IF(INDEX(Properties!A$1:CB$87,Formula!H111,4)&lt;&gt;"",INDEX(Properties!A$1:CB$87,Formula!H111,4)),IF(INDEX(Properties!A$1:CB$87,Formula!J111,4)&lt;&gt;"",INDEX(Properties!A$1:CB$87,Formula!J111,4)))</f>
        <v>544.96</v>
      </c>
      <c r="K111" s="87">
        <f>MAX(INDEX(Properties!A$1:CB$87,Formula!B111,4),INDEX(Properties!A$1:CB$87,Formula!D111,4),INDEX(Properties!A$1:CB$87,Formula!F111,4),INDEX(Properties!A$1:CB$87,Formula!H111,4),INDEX(Properties!A$1:CB$87,Formula!J111,4))</f>
        <v>64</v>
      </c>
      <c r="L111" s="87">
        <f>MIN(IF(INDEX(Properties!A$1:CB$87,Formula!B111,4)=0,10^6,INDEX(Properties!A$1:CB$87,Formula!B111,4)),IF(INDEX(Properties!A$1:CB$87,Formula!D111,4)=0,10^6,INDEX(Properties!A$1:CB$87,Formula!D111,4)),IF(INDEX(Properties!A$1:CB$87,Formula!F111,4)=0,10^6,INDEX(Properties!A$1:CB$87,Formula!F111,4)),IF(INDEX(Properties!A$1:CB$87,Formula!H111,4)=0,10^6,INDEX(Properties!A$1:CB$87,Formula!H111,4)),IF(INDEX(Properties!A$1:CB$87,Formula!J111,4)=0,10^6,INDEX(Properties!A$1:CB$87,Formula!J111,4)))</f>
        <v>8</v>
      </c>
      <c r="M111" s="87">
        <f t="shared" si="33"/>
        <v>56</v>
      </c>
      <c r="N111" s="89">
        <f>((Formula!C111)/(Formula!C111+Formula!E111+Formula!G111+Formula!I111+Formula!K111))*(INDEX(Properties!A$1:CB$87,Formula!B111,5))+((Formula!E111)/(Formula!C111+Formula!E111+Formula!G111+Formula!I111+Formula!K111))*(INDEX(Properties!A$1:CB$87,Formula!D111,5))+((Formula!G111)/(Formula!C111+Formula!E111+Formula!G111+Formula!I111+Formula!K111))*(INDEX(Properties!A$1:CB$87,Formula!F111,5))+((Formula!I111)/(Formula!C111+Formula!E111+Formula!G111+Formula!I111+Formula!K111))*(INDEX(Properties!A$1:CB$87,Formula!H111,5))+((Formula!K111)/(Formula!C111+Formula!E111+Formula!G111+Formula!I111+Formula!K111))*(INDEX(Properties!A$1:CB$87,Formula!J111,5))</f>
        <v>2.8421052631578947</v>
      </c>
      <c r="O111" s="89">
        <f>Formula!C111*(INDEX(Properties!A$1:CB$87,Formula!B111,5))+Formula!E111*(INDEX(Properties!A$1:CB$87,Formula!D111,5))+Formula!G111*(INDEX(Properties!A$1:CB$87,Formula!F111,5))+Formula!I111*(INDEX(Properties!A$1:CB$87,Formula!H111,5))+Formula!K111*(INDEX(Properties!A$1:CB$87,Formula!J111,5))</f>
        <v>54</v>
      </c>
      <c r="P111" s="89">
        <f>VARP(IF(INDEX(Properties!A$1:CB$87,Formula!B111,5)&lt;&gt;"",INDEX(Properties!A$1:CB$87,Formula!B111,5)),IF(INDEX(Properties!A$1:CB$87,Formula!D111,5)&lt;&gt;"",INDEX(Properties!A$1:CB$87,Formula!D111,5)),IF(INDEX(Properties!A$1:CB$87,Formula!F111,5)&lt;&gt;"",INDEX(Properties!A$1:CB$87,Formula!F111,5)),IF(INDEX(Properties!A$1:CB$87,Formula!H111,5)&lt;&gt;"",INDEX(Properties!A$1:CB$87,Formula!H111,5)),IF(INDEX(Properties!A$1:CB$87,Formula!J111,5)&lt;&gt;"",INDEX(Properties!A$1:CB$87,Formula!J111,5)))</f>
        <v>4.5599999999999996</v>
      </c>
      <c r="Q111" s="89">
        <f>MAX(INDEX(Properties!A$1:CB$87,Formula!B111,5),INDEX(Properties!A$1:CB$87,Formula!D111,5),INDEX(Properties!A$1:CB$87,Formula!F111,5),INDEX(Properties!A$1:CB$87,Formula!H111,5),INDEX(Properties!A$1:CB$87,Formula!J111,5))</f>
        <v>6</v>
      </c>
      <c r="R111" s="89">
        <f>MIN(IF(INDEX(Properties!A$1:CB$87,Formula!B111,5)=0,10^6,INDEX(Properties!A$1:CB$87,Formula!B111,5)),IF(INDEX(Properties!A$1:CB$87,Formula!D111,5)=0,10^6,INDEX(Properties!A$1:CB$87,Formula!D111,5)),IF(INDEX(Properties!A$1:CB$87,Formula!F111,5)=0,10^6,INDEX(Properties!A$1:CB$87,Formula!F111,5)),IF(INDEX(Properties!A$1:CB$87,Formula!H111,5)=0,10^6,INDEX(Properties!A$1:CB$87,Formula!H111,5)),IF(INDEX(Properties!A$1:CB$87,Formula!J111,5)=0,10^6,INDEX(Properties!A$1:CB$87,Formula!J111,5)))</f>
        <v>2</v>
      </c>
      <c r="S111" s="89">
        <f t="shared" si="34"/>
        <v>4</v>
      </c>
      <c r="T111" s="60">
        <f>((Formula!C111)/(Formula!C111+Formula!E111+Formula!G111+Formula!I111+Formula!K111))*(INDEX(Properties!A$1:CB$87,Formula!B111,6))+((Formula!E111)/(Formula!C111+Formula!E111+Formula!G111+Formula!I111+Formula!K111))*(INDEX(Properties!A$1:CB$87,Formula!D111,6))+((Formula!G111)/(Formula!C111+Formula!E111+Formula!G111+Formula!I111+Formula!K111))*(INDEX(Properties!A$1:CB$87,Formula!F111,6))+((Formula!I111)/(Formula!C111+Formula!E111+Formula!G111+Formula!I111+Formula!K111))*(INDEX(Properties!A$1:CB$87,Formula!H111,6))+((Formula!K111)/(Formula!C111+Formula!E111+Formula!G111+Formula!I111+Formula!K111))*(INDEX(Properties!A$1:CB$87,Formula!J111,6))</f>
        <v>12.789473684210526</v>
      </c>
      <c r="U111" s="60">
        <f>Formula!C111*(INDEX(Properties!A$1:CB$87,Formula!B111,6))+Formula!E111*(INDEX(Properties!A$1:CB$87,Formula!D111,6))+Formula!G111*(INDEX(Properties!A$1:CB$87,Formula!F111,6))+Formula!I111*(INDEX(Properties!A$1:CB$87,Formula!H111,6))+Formula!K111*(INDEX(Properties!A$1:CB$87,Formula!J111,6))</f>
        <v>243</v>
      </c>
      <c r="V111" s="89">
        <f>VARP(IF(INDEX(Properties!A$1:CB$87,Formula!B111,6)&lt;&gt;"",INDEX(Properties!A$1:CB$87,Formula!B111,6)),IF(INDEX(Properties!A$1:CB$87,Formula!D111,6)&lt;&gt;"",INDEX(Properties!A$1:CB$87,Formula!D111,6)),IF(INDEX(Properties!A$1:CB$87,Formula!F111,6)&lt;&gt;"",INDEX(Properties!A$1:CB$87,Formula!F111,6)),IF(INDEX(Properties!A$1:CB$87,Formula!H111,6)&lt;&gt;"",INDEX(Properties!A$1:CB$87,Formula!H111,6)),IF(INDEX(Properties!A$1:CB$87,Formula!J111,6)&lt;&gt;"",INDEX(Properties!A$1:CB$87,Formula!J111,6)))</f>
        <v>44</v>
      </c>
      <c r="W111" s="60">
        <f>MAX(INDEX(Properties!A$1:CB$87,Formula!B111,6),INDEX(Properties!A$1:CB$87,Formula!D111,6),INDEX(Properties!A$1:CB$87,Formula!F111,6),INDEX(Properties!A$1:CB$87,Formula!H111,4),INDEX(Properties!A$1:CB$87,Formula!J111,6))</f>
        <v>14</v>
      </c>
      <c r="X111" s="60">
        <f>MIN(IF(INDEX(Properties!A$1:CB$87,Formula!B111,6)=0,10^6,INDEX(Properties!A$1:CB$87,Formula!B111,6)),IF(INDEX(Properties!A$1:CB$87,Formula!D111,6)=0,10^6,INDEX(Properties!A$1:CB$87,Formula!D111,6)),IF(INDEX(Properties!A$1:CB$87,Formula!F111,6)=0,10^6,INDEX(Properties!A$1:CB$87,Formula!F111,6)),IF(INDEX(Properties!A$1:CB$87,Formula!H111,6)=0,10^6,INDEX(Properties!A$1:CB$87,Formula!H111,6)),IF(INDEX(Properties!A$1:CB$87,Formula!J111,6)=0,10^6,INDEX(Properties!A$1:CB$87,Formula!J111,6)))</f>
        <v>2</v>
      </c>
      <c r="Y111" s="60">
        <f t="shared" si="35"/>
        <v>12</v>
      </c>
      <c r="Z111" s="72">
        <f>((Formula!C111)/(Formula!C111+Formula!E111+Formula!G111+Formula!I111+Formula!K111))*(INDEX(Properties!A$1:CB$87,Formula!B111,9))+((Formula!E111)/(Formula!C111+Formula!E111+Formula!G111+Formula!I111+Formula!K111))*(INDEX(Properties!A$1:CB$87,Formula!D111,9))+((Formula!G111)/(Formula!C111+Formula!E111+Formula!G111+Formula!I111+Formula!K111))*(INDEX(Properties!A$1:CB$87,Formula!F111,9))+((Formula!I111)/(Formula!C111+Formula!E111+Formula!G111+Formula!I111+Formula!K111))*(INDEX(Properties!A$1:CB$87,Formula!H111,9))+((Formula!K111)/(Formula!C111+Formula!E111+Formula!G111+Formula!I111+Formula!K111))*(INDEX(Properties!A$1:CB$87,Formula!J111,9))</f>
        <v>69.94736842105263</v>
      </c>
      <c r="AA111" s="72">
        <f>Formula!C111*(INDEX(Properties!A$1:CB$87,Formula!B111,9))+Formula!E111*(INDEX(Properties!A$1:CB$87,Formula!D111,9))+Formula!G111*(INDEX(Properties!A$1:CB$87,Formula!F111,9))+Formula!I111*(INDEX(Properties!A$1:CB$87,Formula!H111,9))+Formula!K111*(INDEX(Properties!A$1:CB$87,Formula!J111,9))</f>
        <v>1329</v>
      </c>
      <c r="AB111" s="72">
        <f>VARP(IF(INDEX(Properties!A$1:CB$87,Formula!B111,9)&lt;&gt;"",INDEX(Properties!A$1:CB$87,Formula!B111,9)),IF(INDEX(Properties!A$1:CB$87,Formula!D111,9)&lt;&gt;"",INDEX(Properties!A$1:CB$87,Formula!D111,9)),IF(INDEX(Properties!A$1:CB$87,Formula!F111,9)&lt;&gt;"",INDEX(Properties!A$1:CB$87,Formula!F111,9)),IF(INDEX(Properties!A$1:CB$87,Formula!H111,9)&lt;&gt;"",INDEX(Properties!A$1:CB$87,Formula!H111,9)),IF(INDEX(Properties!A$1:CB$87,Formula!J111,9)&lt;&gt;"",INDEX(Properties!A$1:CB$87,Formula!J111,9)))</f>
        <v>1289.2</v>
      </c>
      <c r="AC111" s="72">
        <f>MAX(INDEX(Properties!A$1:CB$87,Formula!B111,9),INDEX(Properties!A$1:CB$87,Formula!D111,9),INDEX(Properties!A$1:CB$87,Formula!F111,9),INDEX(Properties!A$1:CB$87,Formula!H111,9),INDEX(Properties!A$1:CB$87,Formula!J111,9))</f>
        <v>87</v>
      </c>
      <c r="AD111" s="72">
        <f>MIN(IF(INDEX(Properties!A$1:CB$87,Formula!B111,9)=0,10^6,INDEX(Properties!A$1:CB$87,Formula!B111,9)),IF(INDEX(Properties!A$1:CB$87,Formula!D111,9)=0,10^6,INDEX(Properties!A$1:CB$87,Formula!D111,9)),IF(INDEX(Properties!A$1:CB$87,Formula!F111,9)=0,10^6,INDEX(Properties!A$1:CB$87,Formula!F111,9)),IF(INDEX(Properties!A$1:CB$87,Formula!H111,9)=0,10^6,INDEX(Properties!A$1:CB$87,Formula!H111,9)),IF(INDEX(Properties!A$1:CB$87,Formula!J111,9)=0,10^6,INDEX(Properties!A$1:CB$87,Formula!J111,9)))</f>
        <v>8</v>
      </c>
      <c r="AE111" s="72">
        <f t="shared" si="36"/>
        <v>79</v>
      </c>
      <c r="AF111" s="51">
        <f>((Formula!C111)/(Formula!C111+Formula!E111+Formula!G111+Formula!I111+Formula!K111))*(INDEX(Properties!A$1:CB$87,Formula!B111,10))+((Formula!E111)/(Formula!C111+Formula!E111+Formula!G111+Formula!I111+Formula!K111))*(INDEX(Properties!A$1:CB$87,Formula!D111,10))+((Formula!G111)/(Formula!C111+Formula!E111+Formula!G111+Formula!I111+Formula!K111))*(INDEX(Properties!A$1:CB$87,Formula!F111,10))+((Formula!I111)/(Formula!C111+Formula!E111+Formula!G111+Formula!I111+Formula!K111))*(INDEX(Properties!A$1:CB$87,Formula!H111,10))+((Formula!K111)/(Formula!C111+Formula!E111+Formula!G111+Formula!I111+Formula!K111))*(INDEX(Properties!A$1:CB$87,Formula!J111,10))</f>
        <v>5.8421052631578938</v>
      </c>
      <c r="AG111" s="51">
        <f>Formula!C111*(INDEX(Properties!A$1:CB$87,Formula!B111,10))+Formula!E111*(INDEX(Properties!A$1:CB$87,Formula!D111,10))+Formula!G111*(INDEX(Properties!A$1:CB$87,Formula!F111,10))+Formula!I111*(INDEX(Properties!A$1:CB$87,Formula!H111,10))+Formula!K111*(INDEX(Properties!A$1:CB$87,Formula!J111,10))</f>
        <v>111</v>
      </c>
      <c r="AH111" s="51">
        <f>VARP(IF(INDEX(Properties!A$1:CB$87,Formula!B111,10)&lt;&gt;"",INDEX(Properties!A$1:CB$87,Formula!B111,10)),IF(INDEX(Properties!A$1:CB$87,Formula!D111,10)&lt;&gt;"",INDEX(Properties!A$1:CB$87,Formula!D111,10)),IF(INDEX(Properties!A$1:CB$87,Formula!F111,10)&lt;&gt;"",INDEX(Properties!A$1:CB$87,Formula!F111,10)),IF(INDEX(Properties!A$1:CB$87,Formula!H111,10)&lt;&gt;"",INDEX(Properties!A$1:CB$87,Formula!H111,10)),IF(INDEX(Properties!A$1:CB$87,Formula!J111,10)&lt;&gt;"",INDEX(Properties!A$1:CB$87,Formula!J111,10)))</f>
        <v>6.64</v>
      </c>
      <c r="AI111" s="51">
        <f>MAX(INDEX(Properties!A$1:CB$87,Formula!B111,10),INDEX(Properties!A$1:CB$87,Formula!D111,10),INDEX(Properties!A$1:CB$87,Formula!F111,10),INDEX(Properties!A$1:CB$87,Formula!H111,10),INDEX(Properties!A$1:CB$87,Formula!J111,10))</f>
        <v>7</v>
      </c>
      <c r="AJ111" s="51">
        <f>MIN(IF(INDEX(Properties!A$1:CB$87,Formula!B111,10)=0,10^6,INDEX(Properties!A$1:CB$87,Formula!B111,10)),IF(INDEX(Properties!A$1:CB$87,Formula!D111,10)=0,10^6,INDEX(Properties!A$1:CB$87,Formula!D111,10)),IF(INDEX(Properties!A$1:CB$87,Formula!F111,10)=0,10^6,INDEX(Properties!A$1:CB$87,Formula!F111,10)),IF(INDEX(Properties!A$1:CB$87,Formula!H111,10)=0,10^6,INDEX(Properties!A$1:CB$87,Formula!H111,10)),IF(INDEX(Properties!A$1:CB$87,Formula!J111,10)=0,10^6,INDEX(Properties!A$1:CB$87,Formula!J111,10)))</f>
        <v>2</v>
      </c>
      <c r="AK111" s="51">
        <f t="shared" si="37"/>
        <v>5</v>
      </c>
      <c r="AL111" s="57">
        <f>((Formula!C111)/(Formula!C111+Formula!E111+Formula!G111+Formula!I111+Formula!K111))*(INDEX(Properties!A$1:CB$87,Formula!B111,11))+((Formula!E111)/(Formula!C111+Formula!E111+Formula!G111+Formula!I111+Formula!K111))*(INDEX(Properties!A$1:CB$87,Formula!D111,11))+((Formula!G111)/(Formula!C111+Formula!E111+Formula!G111+Formula!I111+Formula!K111))*(INDEX(Properties!A$1:CB$87,Formula!F111,11))+((Formula!I111)/(Formula!C111+Formula!E111+Formula!G111+Formula!I111+Formula!K111))*(INDEX(Properties!A$1:CB$87,Formula!H111,11))+((Formula!K111)/(Formula!C111+Formula!E111+Formula!G111+Formula!I111+Formula!K111))*(INDEX(Properties!A$1:CB$87,Formula!J111,11))</f>
        <v>2</v>
      </c>
      <c r="AM111" s="57">
        <f>Formula!C111*(INDEX(Properties!A$1:CB$87,Formula!B111,11))+Formula!E111*(INDEX(Properties!A$1:CB$87,Formula!D111,11))+Formula!G111*(INDEX(Properties!A$1:CB$87,Formula!F111,11))+Formula!I111*(INDEX(Properties!A$1:CB$87,Formula!H111,11))+Formula!K111*(INDEX(Properties!A$1:CB$87,Formula!J111,11))</f>
        <v>38</v>
      </c>
      <c r="AN111" s="57">
        <f>VARP(IF(INDEX(Properties!A$1:CB$87,Formula!B111,11)&lt;&gt;"",INDEX(Properties!A$1:CB$87,Formula!B111,11)),IF(INDEX(Properties!A$1:CB$87,Formula!D111,11)&lt;&gt;"",INDEX(Properties!A$1:CB$87,Formula!D111,11)),IF(INDEX(Properties!A$1:CB$87,Formula!F111,11)&lt;&gt;"",INDEX(Properties!A$1:CB$87,Formula!F111,11)),IF(INDEX(Properties!A$1:CB$87,Formula!H111,11)&lt;&gt;"",INDEX(Properties!A$1:CB$87,Formula!H111,11)),IF(INDEX(Properties!A$1:CB$87,Formula!J111,11)&lt;&gt;"",INDEX(Properties!A$1:CB$87,Formula!J111,11)))</f>
        <v>0.64</v>
      </c>
      <c r="AO111" s="57">
        <f>MAX(INDEX(Properties!A$1:CB$87,Formula!B111,11),INDEX(Properties!A$1:CB$87,Formula!D111,11),INDEX(Properties!A$1:CB$87,Formula!F111,11),INDEX(Properties!A$1:CB$87,Formula!H111,11),INDEX(Properties!A$1:CB$87,Formula!J111,11))</f>
        <v>2</v>
      </c>
      <c r="AP111" s="57">
        <f>MIN(IF(Formula!B111=87,10^6,INDEX(Properties!A$1:CB$87,Formula!B111,11)),IF((Formula!D111)=87,10^6,INDEX(Properties!A$1:CB$87,Formula!D111,11)),IF((Formula!F111)=87,10^6,INDEX(Properties!A$1:CB$87,Formula!F111,11)),IF((Formula!H111)=87,10^6,INDEX(Properties!A$1:CB$87,Formula!H111,11)),IF(Formula!J111=87,10^6,INDEX(Properties!A$1:CB$87,Formula!J111,11)))</f>
        <v>2</v>
      </c>
      <c r="AQ111" s="57">
        <f t="shared" si="38"/>
        <v>0</v>
      </c>
      <c r="AR111" s="78">
        <f>((Formula!C111)/(Formula!C111+Formula!E111+Formula!G111+Formula!I111+Formula!K111))*(INDEX(Properties!A$1:CB$87,Formula!B111,12))+((Formula!E111)/(Formula!C111+Formula!E111+Formula!G111+Formula!I111+Formula!K111))*(INDEX(Properties!A$1:CB$87,Formula!D111,12))+((Formula!G111)/(Formula!C111+Formula!E111+Formula!G111+Formula!I111+Formula!K111))*(INDEX(Properties!A$1:CB$87,Formula!F111,12))+((Formula!I111)/(Formula!C111+Formula!E111+Formula!G111+Formula!I111+Formula!K111))*(INDEX(Properties!A$1:CB$87,Formula!H111,12))+((Formula!K111)/(Formula!C111+Formula!E111+Formula!G111+Formula!I111+Formula!K111))*(INDEX(Properties!A$1:CB$87,Formula!J111,12))</f>
        <v>2.8421052631578947</v>
      </c>
      <c r="AS111" s="78">
        <f>Formula!C111*(INDEX(Properties!A$1:CB$87,Formula!B111,12))+Formula!E111*(INDEX(Properties!A$1:CB$87,Formula!D111,12))+Formula!G111*(INDEX(Properties!A$1:CB$87,Formula!F111,12))+Formula!I111*(INDEX(Properties!A$1:CB$87,Formula!H111,12))+Formula!K111*(INDEX(Properties!A$1:CB$87,Formula!J111,12))</f>
        <v>54</v>
      </c>
      <c r="AT111" s="78">
        <f>VARP(IF(INDEX(Properties!A$1:CB$87,Formula!B111,12)&lt;&gt;"",INDEX(Properties!A$1:CB$87,Formula!B111,12)),IF(INDEX(Properties!A$1:CB$87,Formula!D111,12)&lt;&gt;"",INDEX(Properties!A$1:CB$87,Formula!D111,12)),IF(INDEX(Properties!A$1:CB$87,Formula!F111,12)&lt;&gt;"",INDEX(Properties!A$1:CB$87,Formula!F111,12)),IF(INDEX(Properties!A$1:CB$87,Formula!H111,12)&lt;&gt;"",INDEX(Properties!A$1:CB$87,Formula!H111,12)),IF(INDEX(Properties!A$1:CB$87,Formula!J111,12)&lt;&gt;"",INDEX(Properties!A$1:CB$87,Formula!J111,12)))</f>
        <v>2.56</v>
      </c>
      <c r="AU111" s="78">
        <f>MAX(INDEX(Properties!A$1:CB$87,Formula!B111,12),INDEX(Properties!A$1:CB$87,Formula!D111,12),INDEX(Properties!A$1:CB$87,Formula!F111,12),INDEX(Properties!A$1:CB$87,Formula!H111,12),INDEX(Properties!A$1:CB$87,Formula!J111,12))</f>
        <v>4</v>
      </c>
      <c r="AV111" s="78">
        <f>MIN(IF(Formula!B111=87,10^6,INDEX(Properties!A$1:CB$87,Formula!B111,12)),IF((Formula!D111)=87,10^6,INDEX(Properties!A$1:CB$87,Formula!D111,12)),IF((Formula!F111)=87,10^6,INDEX(Properties!A$1:CB$87,Formula!F111,12)),IF((Formula!H111)=87,10^6,INDEX(Properties!A$1:CB$87,Formula!H111,12)),IF(Formula!J111=87,10^6,INDEX(Properties!A$1:CB$87,Formula!J111,12)))</f>
        <v>0</v>
      </c>
      <c r="AW111" s="78">
        <f t="shared" si="39"/>
        <v>4</v>
      </c>
      <c r="AX111" s="45">
        <f>((Formula!C111)/(Formula!C111+Formula!E111+Formula!G111+Formula!I111+Formula!K111))*(INDEX(Properties!A$1:CB$87,Formula!B111,13))+((Formula!E111)/(Formula!C111+Formula!E111+Formula!G111+Formula!I111+Formula!K111))*(INDEX(Properties!A$1:CB$87,Formula!D111,13))+((Formula!G111)/(Formula!C111+Formula!E111+Formula!G111+Formula!I111+Formula!K111))*(INDEX(Properties!A$1:CB$87,Formula!F111,13))+((Formula!I111)/(Formula!C111+Formula!E111+Formula!G111+Formula!I111+Formula!K111))*(INDEX(Properties!A$1:CB$87,Formula!H111,13))+((Formula!K111)/(Formula!C111+Formula!E111+Formula!G111+Formula!I111+Formula!K111))*(INDEX(Properties!A$1:CB$87,Formula!J111,13))</f>
        <v>5.2631578947368418E-2</v>
      </c>
      <c r="AY111" s="45">
        <f>Formula!C111*(INDEX(Properties!A$1:CB$87,Formula!B111,13))+Formula!E111*(INDEX(Properties!A$1:CB$87,Formula!D111,13))+Formula!G111*(INDEX(Properties!A$1:CB$87,Formula!F111,13))+Formula!I111*(INDEX(Properties!A$1:CB$87,Formula!H111,13))+Formula!K111*(INDEX(Properties!A$1:CB$87,Formula!J111,13))</f>
        <v>1</v>
      </c>
      <c r="AZ111" s="45">
        <f>VARP(IF(INDEX(Properties!A$1:CB$87,Formula!B111,13)&lt;&gt;"",INDEX(Properties!A$1:CB$87,Formula!B111,13)),IF(INDEX(Properties!A$1:CB$87,Formula!D111,13)&lt;&gt;"",INDEX(Properties!A$1:CB$87,Formula!D111,13)),IF(INDEX(Properties!A$1:CB$87,Formula!F111,13)&lt;&gt;"",INDEX(Properties!A$1:CB$87,Formula!F111,13)),IF(INDEX(Properties!A$1:CB$87,Formula!H111,13)&lt;&gt;"",INDEX(Properties!A$1:CB$87,Formula!H111,13)),IF(INDEX(Properties!A$1:CB$87,Formula!J111,13)&lt;&gt;"",INDEX(Properties!A$1:CB$87,Formula!J111,13)))</f>
        <v>0.16</v>
      </c>
      <c r="BA111" s="45">
        <f>MAX(INDEX(Properties!A$1:CB$87,Formula!B111,13),INDEX(Properties!A$1:CB$87,Formula!D111,13),INDEX(Properties!A$1:CB$87,Formula!F111,13),INDEX(Properties!A$1:CB$87,Formula!H111,13),INDEX(Properties!A$1:CB$87,Formula!J111,13))</f>
        <v>1</v>
      </c>
      <c r="BB111" s="45">
        <f>MIN(IF(Formula!B111=87,10^6,INDEX(Properties!A$1:CB$87,Formula!B111,13)),IF((Formula!D111)=87,10^6,INDEX(Properties!A$1:CB$87,Formula!D111,13)),IF((Formula!F111)=87,10^6,INDEX(Properties!A$1:CB$87,Formula!F111,13)),IF((Formula!H111)=87,10^6,INDEX(Properties!A$1:CB$87,Formula!H111,13)),IF(Formula!J111=87,10^6,INDEX(Properties!A$1:CB$87,Formula!J111,13)))</f>
        <v>0</v>
      </c>
      <c r="BC111" s="45">
        <f t="shared" si="40"/>
        <v>1</v>
      </c>
      <c r="BD111" s="63">
        <f>((Formula!C111)/(Formula!C111+Formula!E111+Formula!G111+Formula!I111+Formula!K111))*(INDEX(Properties!A$1:CB$87,Formula!B111,14))+((Formula!E111)/(Formula!C111+Formula!E111+Formula!G111+Formula!I111+Formula!K111))*(INDEX(Properties!A$1:CB$87,Formula!D111,14))+((Formula!G111)/(Formula!C111+Formula!E111+Formula!G111+Formula!I111+Formula!K111))*(INDEX(Properties!A$1:CB$87,Formula!F111,14))+((Formula!I111)/(Formula!C111+Formula!E111+Formula!G111+Formula!I111+Formula!K111))*(INDEX(Properties!A$1:CB$87,Formula!H111,14))+((Formula!K111)/(Formula!C111+Formula!E111+Formula!G111+Formula!I111+Formula!K111))*(INDEX(Properties!A$1:CB$87,Formula!J111,14))</f>
        <v>0.36842105263157893</v>
      </c>
      <c r="BE111" s="63">
        <f>Formula!C111*(INDEX(Properties!A$1:CB$87,Formula!B111,14))+Formula!E111*(INDEX(Properties!A$1:CB$87,Formula!D111,14))+Formula!G111*(INDEX(Properties!A$1:CB$87,Formula!F111,14))+Formula!I111*(INDEX(Properties!A$1:CB$87,Formula!H111,14))+Formula!K111*(INDEX(Properties!A$1:CB$87,Formula!J111,14))</f>
        <v>7</v>
      </c>
      <c r="BF111" s="63">
        <f>VARP(IF(INDEX(Properties!A$1:CB$87,Formula!B111,14)&lt;&gt;"",INDEX(Properties!A$1:CB$87,Formula!B111,14)),IF(INDEX(Properties!A$1:CB$87,Formula!D111,14)&lt;&gt;"",INDEX(Properties!A$1:CB$87,Formula!D111,14)),IF(INDEX(Properties!A$1:CB$87,Formula!F111,14)&lt;&gt;"",INDEX(Properties!A$1:CB$87,Formula!F111,14)),IF(INDEX(Properties!A$1:CB$87,Formula!H111,14)&lt;&gt;"",INDEX(Properties!A$1:CB$87,Formula!H111,14)),IF(INDEX(Properties!A$1:CB$87,Formula!J111,14)&lt;&gt;"",INDEX(Properties!A$1:CB$87,Formula!J111,14)))</f>
        <v>7.84</v>
      </c>
      <c r="BG111" s="63">
        <f>MAX(INDEX(Properties!A$1:CB$87,Formula!B111,14),INDEX(Properties!A$1:CB$87,Formula!D111,14),INDEX(Properties!A$1:CB$87,Formula!F111,14),INDEX(Properties!A$1:CB$87,Formula!H111,14),INDEX(Properties!A$1:CB$87,Formula!J111,14))</f>
        <v>7</v>
      </c>
      <c r="BH111" s="63">
        <f>MIN(IF(Formula!B111=87,10^6,INDEX(Properties!A$1:CB$87,Formula!B111,14)),IF((Formula!D111)=87,10^6,INDEX(Properties!A$1:CB$87,Formula!D111,14)),IF((Formula!F111)=87,10^6,INDEX(Properties!A$1:CB$87,Formula!F111,14)),IF((Formula!H111)=87,10^6,INDEX(Properties!A$1:CB$87,Formula!H111,14)),IF(Formula!J111=87,10^6,INDEX(Properties!A$1:CB$87,Formula!J111,14)))</f>
        <v>0</v>
      </c>
      <c r="BI111" s="63">
        <f t="shared" si="41"/>
        <v>7</v>
      </c>
      <c r="BJ111" s="75">
        <f>((Formula!C111)/(Formula!C111+Formula!E111+Formula!G111+Formula!I111+Formula!K111))*(INDEX(Properties!A$1:CB$87,Formula!B111,19))+((Formula!E111)/(Formula!C111+Formula!E111+Formula!G111+Formula!I111+Formula!K111))*(INDEX(Properties!A$1:CB$87,Formula!D111,19))+((Formula!G111)/(Formula!C111+Formula!E111+Formula!G111+Formula!I111+Formula!K111))*(INDEX(Properties!A$1:CB$87,Formula!F111,19))+((Formula!I111)/(Formula!C111+Formula!E111+Formula!G111+Formula!I111+Formula!K111))*(INDEX(Properties!A$1:CB$87,Formula!H111,19))+((Formula!K111)/(Formula!C111+Formula!E111+Formula!G111+Formula!I111+Formula!K111))*(INDEX(Properties!A$1:CB$87,Formula!J111,19))</f>
        <v>5.2631578947368416</v>
      </c>
      <c r="BK111" s="75">
        <f>Formula!C111*(INDEX(Properties!A$1:CB$87,Formula!B111,19))+Formula!E111*(INDEX(Properties!A$1:CB$87,Formula!D111,19))+Formula!G111*(INDEX(Properties!A$1:CB$87,Formula!F111,19))+Formula!I111*(INDEX(Properties!A$1:CB$87,Formula!H111,19))+Formula!K111*(INDEX(Properties!A$1:CB$87,Formula!J111,19))</f>
        <v>100</v>
      </c>
      <c r="BL111" s="75">
        <f>VARP(IF(INDEX(Properties!A$1:CB$87,Formula!B111,19)&lt;&gt;"",INDEX(Properties!A$1:CB$87,Formula!B111,19)),IF(INDEX(Properties!A$1:CB$87,Formula!D111,19)&lt;&gt;"",INDEX(Properties!A$1:CB$87,Formula!D111,19)),IF(INDEX(Properties!A$1:CB$87,Formula!F111,19)&lt;&gt;"",INDEX(Properties!A$1:CB$87,Formula!F111,19)),IF(INDEX(Properties!A$1:CB$87,Formula!H111,19)&lt;&gt;"",INDEX(Properties!A$1:CB$87,Formula!H111,19)),IF(INDEX(Properties!A$1:CB$87,Formula!J111,19)&lt;&gt;"",INDEX(Properties!A$1:CB$87,Formula!J111,19)))</f>
        <v>11.84</v>
      </c>
      <c r="BM111" s="75">
        <f>MAX(INDEX(Properties!A$1:CB$87,Formula!B111,19),INDEX(Properties!A$1:CB$87,Formula!D111,19),INDEX(Properties!A$1:CB$87,Formula!F111,19),INDEX(Properties!A$1:CB$87,Formula!H111,19),INDEX(Properties!A$1:CB$87,Formula!J111,19))</f>
        <v>10</v>
      </c>
      <c r="BN111" s="75">
        <f>MIN(IF(INDEX(Properties!A$1:CB$87,Formula!B111,19)=0,10^6,INDEX(Properties!A$1:CB$87,Formula!B111,19)),IF(INDEX(Properties!A$1:CB$87,Formula!D111,19)=0,10^6,INDEX(Properties!A$1:CB$87,Formula!D111,19)),IF(INDEX(Properties!A$1:CB$87,Formula!F111,19)=0,10^6,INDEX(Properties!A$1:CB$87,Formula!F111,19)),IF(INDEX(Properties!A$1:CB$87,Formula!H111,19)=0,10^6,INDEX(Properties!A$1:CB$87,Formula!H111,19)),IF(INDEX(Properties!A$1:CB$87,Formula!J111,19)=0,10^6,INDEX(Properties!A$1:CB$87,Formula!J111,19)))</f>
        <v>2</v>
      </c>
      <c r="BO111" s="75">
        <f t="shared" si="42"/>
        <v>8</v>
      </c>
      <c r="BP111" s="48">
        <f>((Formula!C111)/(Formula!C111+Formula!E111+Formula!G111+Formula!I111+Formula!K111))*(INDEX(Properties!A$1:CB$87,Formula!B111,20))+((Formula!E111)/(Formula!C111+Formula!E111+Formula!G111+Formula!I111+Formula!K111))*(INDEX(Properties!A$1:CB$87,Formula!D111,20))+((Formula!G111)/(Formula!C111+Formula!E111+Formula!G111+Formula!I111+Formula!K111))*(INDEX(Properties!A$1:CB$87,Formula!F111,20))+((Formula!I111)/(Formula!C111+Formula!E111+Formula!G111+Formula!I111+Formula!K111))*(INDEX(Properties!A$1:CB$87,Formula!H111,20))+((Formula!K111)/(Formula!C111+Formula!E111+Formula!G111+Formula!I111+Formula!K111))*(INDEX(Properties!A$1:CB$87,Formula!J111,20))</f>
        <v>4.8421052631578947</v>
      </c>
      <c r="BQ111" s="48">
        <f>Formula!C111*(INDEX(Properties!A$1:CB$87,Formula!B111,20))+Formula!E111*(INDEX(Properties!A$1:CB$87,Formula!D111,20))+Formula!G111*(INDEX(Properties!A$1:CB$87,Formula!F111,20))+Formula!I111*(INDEX(Properties!A$1:CB$87,Formula!H111,20))+Formula!K111*(INDEX(Properties!A$1:CB$87,Formula!J111,20))</f>
        <v>92</v>
      </c>
      <c r="BR111" s="48">
        <f>VARP(IF(INDEX(Properties!A$1:CB$87,Formula!B111,20)&lt;&gt;"",INDEX(Properties!A$1:CB$87,Formula!B111,20)),IF(INDEX(Properties!A$1:CB$87,Formula!D111,20)&lt;&gt;"",INDEX(Properties!A$1:CB$87,Formula!D111,20)),IF(INDEX(Properties!A$1:CB$87,Formula!F111,20)&lt;&gt;"",INDEX(Properties!A$1:CB$87,Formula!F111,20)),IF(INDEX(Properties!A$1:CB$87,Formula!H111,20)&lt;&gt;"",INDEX(Properties!A$1:CB$87,Formula!H111,20)),IF(INDEX(Properties!A$1:CB$87,Formula!J111,20)&lt;&gt;"",INDEX(Properties!A$1:CB$87,Formula!J111,20)))</f>
        <v>4.16</v>
      </c>
      <c r="BS111" s="48">
        <f>MAX(INDEX(Properties!A$1:CB$87,Formula!B111,20),INDEX(Properties!A$1:CB$87,Formula!D111,20),INDEX(Properties!A$1:CB$87,Formula!F111,20),INDEX(Properties!A$1:CB$87,Formula!H111,20),INDEX(Properties!A$1:CB$87,Formula!J111,20))</f>
        <v>6</v>
      </c>
      <c r="BT111" s="48">
        <f>MIN(IF(INDEX(Properties!A$1:CB$87,Formula!B111,20)=0,10^6,INDEX(Properties!A$1:CB$87,Formula!B111,20)),IF(INDEX(Properties!A$1:CB$87,Formula!D111,20)=0,10^6,INDEX(Properties!A$1:CB$87,Formula!D111,20)),IF(INDEX(Properties!A$1:CB$87,Formula!F111,20)=0,10^6,INDEX(Properties!A$1:CB$87,Formula!F111,20)),IF(INDEX(Properties!A$1:CB$87,Formula!H111,20)=0,10^6,INDEX(Properties!A$1:CB$87,Formula!H111,20)),IF(INDEX(Properties!A$1:CB$87,Formula!J111,20)=0,10^6,INDEX(Properties!A$1:CB$87,Formula!J111,20)))</f>
        <v>2</v>
      </c>
      <c r="BU111" s="48">
        <f t="shared" si="43"/>
        <v>4</v>
      </c>
      <c r="BV111" s="66">
        <f>((Formula!C111)/(Formula!C111+Formula!E111+Formula!G111+Formula!I111+Formula!K111))*(INDEX(Properties!A$1:CB$87,Formula!B111,21))+((Formula!E111)/(Formula!C111+Formula!E111+Formula!G111+Formula!I111+Formula!K111))*(INDEX(Properties!A$1:CB$87,Formula!D111,21))+((Formula!G111)/(Formula!C111+Formula!E111+Formula!G111+Formula!I111+Formula!K111))*(INDEX(Properties!A$1:CB$87,Formula!F111,21))+((Formula!I111)/(Formula!C111+Formula!E111+Formula!G111+Formula!I111+Formula!K111))*(INDEX(Properties!A$1:CB$87,Formula!H111,21))+((Formula!K111)/(Formula!C111+Formula!E111+Formula!G111+Formula!I111+Formula!K111))*(INDEX(Properties!A$1:CB$87,Formula!J111,21))</f>
        <v>4.8947368421052628</v>
      </c>
      <c r="BW111" s="66">
        <f>Formula!C111*(INDEX(Properties!A$1:CB$87,Formula!B111,21))+Formula!E111*(INDEX(Properties!A$1:CB$87,Formula!D111,21))+Formula!G111*(INDEX(Properties!A$1:CB$87,Formula!F111,21))+Formula!I111*(INDEX(Properties!A$1:CB$87,Formula!H111,21))+Formula!K111*(INDEX(Properties!A$1:CB$87,Formula!J111,21))</f>
        <v>93</v>
      </c>
      <c r="BX111" s="66">
        <f>VARP(IF(INDEX(Properties!A$1:CB$87,Formula!B111,21)&lt;&gt;"",INDEX(Properties!A$1:CB$87,Formula!B111,21)),IF(INDEX(Properties!A$1:CB$87,Formula!D111,21)&lt;&gt;"",INDEX(Properties!A$1:CB$87,Formula!D111,21)),IF(INDEX(Properties!A$1:CB$87,Formula!F111,21)&lt;&gt;"",INDEX(Properties!A$1:CB$87,Formula!F111,21)),IF(INDEX(Properties!A$1:CB$87,Formula!H111,21)&lt;&gt;"",INDEX(Properties!A$1:CB$87,Formula!H111,21)),IF(INDEX(Properties!A$1:CB$87,Formula!J111,21)&lt;&gt;"",INDEX(Properties!A$1:CB$87,Formula!J111,21)))</f>
        <v>4</v>
      </c>
      <c r="BY111" s="66">
        <f>MAX(INDEX(Properties!A$1:CB$87,Formula!B111,21),INDEX(Properties!A$1:CB$87,Formula!D111,21),INDEX(Properties!A$1:CB$87,Formula!F111,21),INDEX(Properties!A$1:CB$87,Formula!H111,21),INDEX(Properties!A$1:CB$87,Formula!J111,21))</f>
        <v>6</v>
      </c>
      <c r="BZ111" s="66">
        <f>MIN(IF(INDEX(Properties!A$1:CB$87,Formula!B111,21)=0,10^6,INDEX(Properties!A$1:CB$87,Formula!B111,21)),IF(INDEX(Properties!A$1:CB$87,Formula!D111,21)=0,10^6,INDEX(Properties!A$1:CB$87,Formula!D111,21)),IF(INDEX(Properties!A$1:CB$87,Formula!F111,21)=0,10^6,INDEX(Properties!A$1:CB$87,Formula!F111,21)),IF(INDEX(Properties!A$1:CB$87,Formula!H111,21)=0,10^6,INDEX(Properties!A$1:CB$87,Formula!H111,21)),IF(INDEX(Properties!A$1:CB$87,Formula!J111,21)=0,10^6,INDEX(Properties!A$1:CB$87,Formula!J111,21)))</f>
        <v>2</v>
      </c>
      <c r="CA111" s="66">
        <f t="shared" si="44"/>
        <v>4</v>
      </c>
      <c r="CB111" s="81">
        <f>((Formula!C111)/(Formula!C111+Formula!E111+Formula!G111+Formula!I111+Formula!K111))*(INDEX(Properties!A$1:CB$87,Formula!B111,23))+((Formula!E111)/(Formula!C111+Formula!E111+Formula!G111+Formula!I111+Formula!K111))*(INDEX(Properties!A$1:CB$87,Formula!D111,23))+((Formula!G111)/(Formula!C111+Formula!E111+Formula!G111+Formula!I111+Formula!K111))*(INDEX(Properties!A$1:CB$87,Formula!F111,23))+((Formula!I111)/(Formula!C111+Formula!E111+Formula!G111+Formula!I111+Formula!K111))*(INDEX(Properties!A$1:CB$87,Formula!H111,23))+((Formula!K111)/(Formula!C111+Formula!E111+Formula!G111+Formula!I111+Formula!K111))*(INDEX(Properties!A$1:CB$87,Formula!J111,23))</f>
        <v>1.1052631578947367</v>
      </c>
      <c r="CC111" s="81">
        <f>Formula!C111*(INDEX(Properties!A$1:CB$87,Formula!B111,23))+Formula!E111*(INDEX(Properties!A$1:CB$87,Formula!D111,23))+Formula!G111*(INDEX(Properties!A$1:CB$87,Formula!F111,23))+Formula!I111*(INDEX(Properties!A$1:CB$87,Formula!H111,23))+Formula!K111*(INDEX(Properties!A$1:CB$87,Formula!J111,23))</f>
        <v>21</v>
      </c>
      <c r="CD111" s="81">
        <f>VARP(IF(INDEX(Properties!A$1:CB$87,Formula!B111,23)&lt;&gt;"",INDEX(Properties!A$1:CB$87,Formula!B111,23)),IF(INDEX(Properties!A$1:CB$87,Formula!D111,23)&lt;&gt;"",INDEX(Properties!A$1:CB$87,Formula!D111,23)),IF(INDEX(Properties!A$1:CB$87,Formula!F111,23)&lt;&gt;"",INDEX(Properties!A$1:CB$87,Formula!F111,23)),IF(INDEX(Properties!A$1:CB$87,Formula!H111,23)&lt;&gt;"",INDEX(Properties!A$1:CB$87,Formula!H111,23)),IF(INDEX(Properties!A$1:CB$87,Formula!J111,23)&lt;&gt;"",INDEX(Properties!A$1:CB$87,Formula!J111,23)))</f>
        <v>2.56</v>
      </c>
      <c r="CE111" s="81">
        <f>MAX(INDEX(Properties!A$1:CB$87,Formula!B111,23),INDEX(Properties!A$1:CB$87,Formula!D111,23),INDEX(Properties!A$1:CB$87,Formula!F111,23),INDEX(Properties!A$1:CB$87,Formula!H111,23),INDEX(Properties!A$1:CB$87,Formula!J111,23))</f>
        <v>4</v>
      </c>
      <c r="CF111" s="81">
        <f>MIN(IF(Formula!B111=87,10^6,INDEX(Properties!A$1:CB$87,Formula!B111,23)),IF((Formula!D111)=87,10^6,INDEX(Properties!A$1:CB$87,Formula!D111,23)),IF((Formula!F111)=87,10^6,INDEX(Properties!A$1:CB$87,Formula!F111,23)),IF((Formula!H111)=87,10^6,INDEX(Properties!A$1:CB$87,Formula!H111,23)),IF(Formula!J111=87,10^6,INDEX(Properties!A$1:CB$87,Formula!J111,23)))</f>
        <v>0</v>
      </c>
      <c r="CG111" s="81">
        <f t="shared" si="45"/>
        <v>4</v>
      </c>
      <c r="CH111" s="39">
        <f>((Formula!C111)/(Formula!C111+Formula!E111+Formula!G111+Formula!I111+Formula!K111))*(INDEX(Properties!A$1:CB$87,Formula!B111,26))+((Formula!E111)/(Formula!C111+Formula!E111+Formula!G111+Formula!I111+Formula!K111))*(INDEX(Properties!A$1:CB$87,Formula!D111,26))+((Formula!G111)/(Formula!C111+Formula!E111+Formula!G111+Formula!I111+Formula!K111))*(INDEX(Properties!A$1:CB$87,Formula!F111,26))+((Formula!I111)/(Formula!C111+Formula!E111+Formula!G111+Formula!I111+Formula!K111))*(INDEX(Properties!A$1:CB$87,Formula!H111,26))+((Formula!K111)/(Formula!C111+Formula!E111+Formula!G111+Formula!I111+Formula!K111))*(INDEX(Properties!A$1:CB$87,Formula!J111,26))</f>
        <v>11.110884210526315</v>
      </c>
      <c r="CI111" s="39">
        <f>Formula!C111*(INDEX(Properties!A$1:CB$87,Formula!B111,26))+Formula!E111*(INDEX(Properties!A$1:CB$87,Formula!D111,26))+Formula!G111*(INDEX(Properties!A$1:CB$87,Formula!F111,26))+Formula!I111*(INDEX(Properties!A$1:CB$87,Formula!H111,26))+Formula!K111*(INDEX(Properties!A$1:CB$87,Formula!J111,26))</f>
        <v>211.10680000000002</v>
      </c>
      <c r="CJ111" s="39">
        <f>VARP(IF(INDEX(Properties!A$1:CB$87,Formula!B111,26)&lt;&gt;"",INDEX(Properties!A$1:CB$87,Formula!B111,26)),IF(INDEX(Properties!A$1:CB$87,Formula!D111,26)&lt;&gt;"",INDEX(Properties!A$1:CB$87,Formula!D111,26)),IF(INDEX(Properties!A$1:CB$87,Formula!F111,26)&lt;&gt;"",INDEX(Properties!A$1:CB$87,Formula!F111,26)),IF(INDEX(Properties!A$1:CB$87,Formula!H111,26)&lt;&gt;"",INDEX(Properties!A$1:CB$87,Formula!H111,26)),IF(INDEX(Properties!A$1:CB$87,Formula!J111,26)&lt;&gt;"",INDEX(Properties!A$1:CB$87,Formula!J111,26)))</f>
        <v>19.233572900000016</v>
      </c>
      <c r="CK111" s="39">
        <f>MAX(INDEX(Properties!A$1:CB$87,Formula!B111,26),INDEX(Properties!A$1:CB$87,Formula!D111,26),INDEX(Properties!A$1:CB$87,Formula!F111,26),INDEX(Properties!A$1:CB$87,Formula!H111,26),INDEX(Properties!A$1:CB$87,Formula!J111,26))</f>
        <v>13.6181</v>
      </c>
      <c r="CL111" s="39">
        <f>MIN(IF(INDEX(Properties!A$1:CB$87,Formula!B111,26)=0,10^6,INDEX(Properties!A$1:CB$87,Formula!B111,26)),IF(INDEX(Properties!A$1:CB$87,Formula!D111,26)=0,10^6,INDEX(Properties!A$1:CB$87,Formula!D111,26)),IF(INDEX(Properties!A$1:CB$87,Formula!F111,26)=0,10^6,INDEX(Properties!A$1:CB$87,Formula!F111,26)),IF(INDEX(Properties!A$1:CB$87,Formula!H111,26)=0,10^6,INDEX(Properties!A$1:CB$87,Formula!H111,26)),IF(INDEX(Properties!A$1:CB$87,Formula!J111,26)=0,10^6,INDEX(Properties!A$1:CB$87,Formula!J111,26)))</f>
        <v>5.6948999999999996</v>
      </c>
      <c r="CM111" s="39">
        <f t="shared" si="46"/>
        <v>7.9232000000000005</v>
      </c>
      <c r="CN111" s="54">
        <f>((Formula!C111)/(Formula!C111+Formula!E111+Formula!G111+Formula!I111+Formula!K111))*(INDEX(Properties!A$1:CB$87,Formula!B111,30))+((Formula!E111)/(Formula!C111+Formula!E111+Formula!G111+Formula!I111+Formula!K111))*(INDEX(Properties!A$1:CB$87,Formula!D111,30))+((Formula!G111)/(Formula!C111+Formula!E111+Formula!G111+Formula!I111+Formula!K111))*(INDEX(Properties!A$1:CB$87,Formula!F111,30))+((Formula!I111)/(Formula!C111+Formula!E111+Formula!G111+Formula!I111+Formula!K111))*(INDEX(Properties!A$1:CB$87,Formula!H111,30))+((Formula!K111)/(Formula!C111+Formula!E111+Formula!G111+Formula!I111+Formula!K111))*(INDEX(Properties!A$1:CB$87,Formula!J111,30))</f>
        <v>2.6857894736842103</v>
      </c>
      <c r="CO111" s="54">
        <f>Formula!C111*(INDEX(Properties!A$1:CB$87,Formula!B111,30))+Formula!E111*(INDEX(Properties!A$1:CB$87,Formula!D111,30))+Formula!G111*(INDEX(Properties!A$1:CB$87,Formula!F111,30))+Formula!I111*(INDEX(Properties!A$1:CB$87,Formula!H111,30))+Formula!K111*(INDEX(Properties!A$1:CB$87,Formula!J111,30))</f>
        <v>51.03</v>
      </c>
      <c r="CP111" s="54">
        <f>VARP(IF(INDEX(Properties!A$1:CB$87,Formula!B111,30)&lt;&gt;"",INDEX(Properties!A$1:CB$87,Formula!B111,30)),IF(INDEX(Properties!A$1:CB$87,Formula!D111,30)&lt;&gt;"",INDEX(Properties!A$1:CB$87,Formula!D111,30)),IF(INDEX(Properties!A$1:CB$87,Formula!F111,30)&lt;&gt;"",INDEX(Properties!A$1:CB$87,Formula!F111,30)),IF(INDEX(Properties!A$1:CB$87,Formula!H111,30)&lt;&gt;"",INDEX(Properties!A$1:CB$87,Formula!H111,30)),IF(INDEX(Properties!A$1:CB$87,Formula!J111,30)&lt;&gt;"",INDEX(Properties!A$1:CB$87,Formula!J111,30)))</f>
        <v>1.3132159999999997</v>
      </c>
      <c r="CQ111" s="54">
        <f>MAX(INDEX(Properties!A$1:CB$87,Formula!B111,30),INDEX(Properties!A$1:CB$87,Formula!D111,30),INDEX(Properties!A$1:CB$87,Formula!F111,30),INDEX(Properties!A$1:CB$87,Formula!H111,30),INDEX(Properties!A$1:CB$87,Formula!J111,30))</f>
        <v>3.44</v>
      </c>
      <c r="CR111" s="54">
        <f>MIN(IF(INDEX(Properties!A$1:CB$87,Formula!B111,30)=0,10^6,INDEX(Properties!A$1:CB$87,Formula!B111,30)),IF(INDEX(Properties!A$1:CB$87,Formula!D111,30)=0,10^6,INDEX(Properties!A$1:CB$87,Formula!D111,30)),IF(INDEX(Properties!A$1:CB$87,Formula!F111,30)=0,10^6,INDEX(Properties!A$1:CB$87,Formula!F111,30)),IF(INDEX(Properties!A$1:CB$87,Formula!H111,30)=0,10^6,INDEX(Properties!A$1:CB$87,Formula!H111,30)),IF(INDEX(Properties!A$1:CB$87,Formula!J111,30)=0,10^6,INDEX(Properties!A$1:CB$87,Formula!J111,30)))</f>
        <v>0.95</v>
      </c>
      <c r="CS111" s="54">
        <f t="shared" si="47"/>
        <v>2.4900000000000002</v>
      </c>
      <c r="CT111" s="69">
        <f>((Formula!C111)/(Formula!C111+Formula!E111+Formula!G111+Formula!I111+Formula!K111))*(INDEX(Properties!A$1:CB$87,Formula!B111,31))+((Formula!E111)/(Formula!C111+Formula!E111+Formula!G111+Formula!I111+Formula!K111))*(INDEX(Properties!A$1:CB$87,Formula!D111,31))+((Formula!G111)/(Formula!C111+Formula!E111+Formula!G111+Formula!I111+Formula!K111))*(INDEX(Properties!A$1:CB$87,Formula!F111,31))+((Formula!I111)/(Formula!C111+Formula!E111+Formula!G111+Formula!I111+Formula!K111))*(INDEX(Properties!A$1:CB$87,Formula!H111,31))+((Formula!K111)/(Formula!C111+Formula!E111+Formula!G111+Formula!I111+Formula!K111))*(INDEX(Properties!A$1:CB$87,Formula!J111,31))</f>
        <v>2.6457894736842107</v>
      </c>
      <c r="CU111" s="69">
        <f>Formula!C111*(INDEX(Properties!A$1:CB$87,Formula!B111,31))+Formula!E111*(INDEX(Properties!A$1:CB$87,Formula!D111,31))+Formula!G111*(INDEX(Properties!A$1:CB$87,Formula!F111,31))+Formula!I111*(INDEX(Properties!A$1:CB$87,Formula!H111,31))+Formula!K111*(INDEX(Properties!A$1:CB$87,Formula!J111,31))</f>
        <v>50.269999999999996</v>
      </c>
      <c r="CV111" s="69">
        <f>VARP(IF(INDEX(Properties!A$1:CB$87,Formula!B111,31)&lt;&gt;"",INDEX(Properties!A$1:CB$87,Formula!B111,31)),IF(INDEX(Properties!A$1:CB$87,Formula!D111,31)&lt;&gt;"",INDEX(Properties!A$1:CB$87,Formula!D111,31)),IF(INDEX(Properties!A$1:CB$87,Formula!F111,31)&lt;&gt;"",INDEX(Properties!A$1:CB$87,Formula!F111,31)),IF(INDEX(Properties!A$1:CB$87,Formula!H111,31)&lt;&gt;"",INDEX(Properties!A$1:CB$87,Formula!H111,31)),IF(INDEX(Properties!A$1:CB$87,Formula!J111,31)&lt;&gt;"",INDEX(Properties!A$1:CB$87,Formula!J111,31)))</f>
        <v>1.2179039999999999</v>
      </c>
      <c r="CW111" s="69">
        <f>MAX(INDEX(Properties!A$1:CB$87,Formula!B111,31),INDEX(Properties!A$1:CB$87,Formula!D111,31),INDEX(Properties!A$1:CB$87,Formula!F111,31),INDEX(Properties!A$1:CB$87,Formula!H111,31),INDEX(Properties!A$1:CB$87,Formula!J111,31))</f>
        <v>3.32</v>
      </c>
      <c r="CX111" s="69">
        <f>MIN(IF(INDEX(Properties!A$1:CB$87,Formula!B111,31)=0,10^6,INDEX(Properties!A$1:CB$87,Formula!B111,31)),IF(INDEX(Properties!A$1:CB$87,Formula!D111,31)=0,10^6,INDEX(Properties!A$1:CB$87,Formula!D111,31)),IF(INDEX(Properties!A$1:CB$87,Formula!F111,31)=0,10^6,INDEX(Properties!A$1:CB$87,Formula!F111,31)),IF(INDEX(Properties!A$1:CB$87,Formula!H111,31)=0,10^6,INDEX(Properties!A$1:CB$87,Formula!H111,31)),IF(INDEX(Properties!A$1:CB$87,Formula!J111,31)=0,10^6,INDEX(Properties!A$1:CB$87,Formula!J111,31)))</f>
        <v>1.1000000000000001</v>
      </c>
      <c r="CY111" s="69">
        <f t="shared" si="48"/>
        <v>2.2199999999999998</v>
      </c>
      <c r="CZ111" s="42">
        <f>((Formula!C111)/(Formula!C111+Formula!E111+Formula!G111+Formula!I111+Formula!K111))*(INDEX(Properties!A$1:CB$87,Formula!B111,32))+((Formula!E111)/(Formula!C111+Formula!E111+Formula!G111+Formula!I111+Formula!K111))*(INDEX(Properties!A$1:CB$87,Formula!D111,32))+((Formula!G111)/(Formula!C111+Formula!E111+Formula!G111+Formula!I111+Formula!K111))*(INDEX(Properties!A$1:CB$87,Formula!F111,32))+((Formula!I111)/(Formula!C111+Formula!E111+Formula!G111+Formula!I111+Formula!K111))*(INDEX(Properties!A$1:CB$87,Formula!H111,32))+((Formula!K111)/(Formula!C111+Formula!E111+Formula!G111+Formula!I111+Formula!K111))*(INDEX(Properties!A$1:CB$87,Formula!J111,32))</f>
        <v>5.994210526315789</v>
      </c>
      <c r="DA111" s="42">
        <f>Formula!C111*(INDEX(Properties!A$1:CB$87,Formula!B111,32))+Formula!E111*(INDEX(Properties!A$1:CB$87,Formula!D111,32))+Formula!G111*(INDEX(Properties!A$1:CB$87,Formula!F111,32))+Formula!I111*(INDEX(Properties!A$1:CB$87,Formula!H111,32))+Formula!K111*(INDEX(Properties!A$1:CB$87,Formula!J111,32))</f>
        <v>113.89</v>
      </c>
      <c r="DB111" s="42">
        <f>VARP(IF(INDEX(Properties!A$1:CB$87,Formula!B111,32)&lt;&gt;"",INDEX(Properties!A$1:CB$87,Formula!B111,32)),IF(INDEX(Properties!A$1:CB$87,Formula!D111,32)&lt;&gt;"",INDEX(Properties!A$1:CB$87,Formula!D111,32)),IF(INDEX(Properties!A$1:CB$87,Formula!F111,32)&lt;&gt;"",INDEX(Properties!A$1:CB$87,Formula!F111,32)),IF(INDEX(Properties!A$1:CB$87,Formula!H111,32)&lt;&gt;"",INDEX(Properties!A$1:CB$87,Formula!H111,32)),IF(INDEX(Properties!A$1:CB$87,Formula!J111,32)&lt;&gt;"",INDEX(Properties!A$1:CB$87,Formula!J111,32)))</f>
        <v>6.5185759999999986</v>
      </c>
      <c r="DC111" s="42">
        <f>MAX(INDEX(Properties!A$1:CB$87,Formula!B111,32),INDEX(Properties!A$1:CB$87,Formula!D111,32),INDEX(Properties!A$1:CB$87,Formula!F111,32),INDEX(Properties!A$1:CB$87,Formula!H111,32),INDEX(Properties!A$1:CB$87,Formula!J111,32))</f>
        <v>7.54</v>
      </c>
      <c r="DD111" s="42">
        <f>MIN(IF(INDEX(Properties!A$1:CB$87,Formula!B111,32)=0,10^6,INDEX(Properties!A$1:CB$87,Formula!B111,32)),IF(INDEX(Properties!A$1:CB$87,Formula!D111,32)=0,10^6,INDEX(Properties!A$1:CB$87,Formula!D111,32)),IF(INDEX(Properties!A$1:CB$87,Formula!F111,32)=0,10^6,INDEX(Properties!A$1:CB$87,Formula!F111,32)),IF(INDEX(Properties!A$1:CB$87,Formula!H111,32)=0,10^6,INDEX(Properties!A$1:CB$87,Formula!H111,32)),IF(INDEX(Properties!A$1:CB$87,Formula!J111,32)=0,10^6,INDEX(Properties!A$1:CB$87,Formula!J111,32)))</f>
        <v>2</v>
      </c>
      <c r="DE111" s="42">
        <f t="shared" si="49"/>
        <v>5.54</v>
      </c>
      <c r="DF111" s="60">
        <f>((Formula!C111)/(Formula!C111+Formula!E111+Formula!G111+Formula!I111+Formula!K111))*(INDEX(Properties!A$1:CB$87,Formula!B111,34))+((Formula!E111)/(Formula!C111+Formula!E111+Formula!G111+Formula!I111+Formula!K111))*(INDEX(Properties!A$1:CB$87,Formula!D111,34))+((Formula!G111)/(Formula!C111+Formula!E111+Formula!G111+Formula!I111+Formula!K111))*(INDEX(Properties!A$1:CB$87,Formula!F111,34))+((Formula!I111)/(Formula!C111+Formula!E111+Formula!G111+Formula!I111+Formula!K111))*(INDEX(Properties!A$1:CB$87,Formula!H111,34))+((Formula!K111)/(Formula!C111+Formula!E111+Formula!G111+Formula!I111+Formula!K111))*(INDEX(Properties!A$1:CB$87,Formula!J111,34))</f>
        <v>2.7919473684210523</v>
      </c>
      <c r="DG111" s="60">
        <f>Formula!C111*(INDEX(Properties!A$1:CB$87,Formula!B111,34))+Formula!E111*(INDEX(Properties!A$1:CB$87,Formula!D111,34))+Formula!G111*(INDEX(Properties!A$1:CB$87,Formula!F111,34))+Formula!I111*(INDEX(Properties!A$1:CB$87,Formula!H111,34))+Formula!K111*(INDEX(Properties!A$1:CB$87,Formula!J111,34))</f>
        <v>53.046999999999997</v>
      </c>
      <c r="DH111" s="60">
        <f>VARP(IF(INDEX(Properties!A$1:CB$87,Formula!B111,34)&lt;&gt;"",INDEX(Properties!A$1:CB$87,Formula!B111,34)),IF(INDEX(Properties!A$1:CB$87,Formula!D111,34)&lt;&gt;"",INDEX(Properties!A$1:CB$87,Formula!D111,34)),IF(INDEX(Properties!A$1:CB$87,Formula!F111,34)&lt;&gt;"",INDEX(Properties!A$1:CB$87,Formula!F111,34)),IF(INDEX(Properties!A$1:CB$87,Formula!H111,34)&lt;&gt;"",INDEX(Properties!A$1:CB$87,Formula!H111,34)),IF(INDEX(Properties!A$1:CB$87,Formula!J111,34)&lt;&gt;"",INDEX(Properties!A$1:CB$87,Formula!J111,34)))</f>
        <v>1.4660753599999996</v>
      </c>
      <c r="DI111" s="60">
        <f>MAX(INDEX(Properties!A$1:CB$87,Formula!B111,34),INDEX(Properties!A$1:CB$87,Formula!D111,34),INDEX(Properties!A$1:CB$87,Formula!F111,34),INDEX(Properties!A$1:CB$87,Formula!H111,34),INDEX(Properties!A$1:CB$87,Formula!J111,34))</f>
        <v>3.61</v>
      </c>
      <c r="DJ111" s="60">
        <f>MIN(IF(INDEX(Properties!A$1:CB$87,Formula!B111,34)=0,10^6,INDEX(Properties!A$1:CB$87,Formula!B111,34)),IF(INDEX(Properties!A$1:CB$87,Formula!D111,34)=0,10^6,INDEX(Properties!A$1:CB$87,Formula!D111,34)),IF(INDEX(Properties!A$1:CB$87,Formula!F111,34)=0,10^6,INDEX(Properties!A$1:CB$87,Formula!F111,34)),IF(INDEX(Properties!A$1:CB$87,Formula!H111,34)=0,10^6,INDEX(Properties!A$1:CB$87,Formula!H111,34)),IF(INDEX(Properties!A$1:CB$87,Formula!J111,34)=0,10^6,INDEX(Properties!A$1:CB$87,Formula!J111,34)))</f>
        <v>0.96299999999999997</v>
      </c>
      <c r="DK111" s="60">
        <f t="shared" si="50"/>
        <v>2.6469999999999998</v>
      </c>
      <c r="DL111" s="45">
        <f>((Formula!C111)/(Formula!C111+Formula!E111+Formula!G111+Formula!I111+Formula!K111))*(INDEX(Properties!A$1:CB$87,Formula!B111,39))+((Formula!E111)/(Formula!C111+Formula!E111+Formula!G111+Formula!I111+Formula!K111))*(INDEX(Properties!A$1:CB$87,Formula!D111,39))+((Formula!G111)/(Formula!C111+Formula!E111+Formula!G111+Formula!I111+Formula!K111))*(INDEX(Properties!A$1:CB$87,Formula!F111,39))+((Formula!I111)/(Formula!C111+Formula!E111+Formula!G111+Formula!I111+Formula!K111))*(INDEX(Properties!A$1:CB$87,Formula!H111,39))+((Formula!K111)/(Formula!C111+Formula!E111+Formula!G111+Formula!I111+Formula!K111))*(INDEX(Properties!A$1:CB$87,Formula!J111,39))</f>
        <v>0.94684210526315782</v>
      </c>
      <c r="DM111" s="45">
        <f>Formula!C111*(INDEX(Properties!A$1:CB$87,Formula!B111,39))+Formula!E111*(INDEX(Properties!A$1:CB$87,Formula!D111,39))+Formula!G111*(INDEX(Properties!A$1:CB$87,Formula!F111,39))+Formula!I111*(INDEX(Properties!A$1:CB$87,Formula!H111,39))+Formula!K111*(INDEX(Properties!A$1:CB$87,Formula!J111,39))</f>
        <v>17.990000000000002</v>
      </c>
      <c r="DN111" s="45">
        <f>VARP(IF(INDEX(Properties!A$1:CB$87,Formula!B111,39)&lt;&gt;"",INDEX(Properties!A$1:CB$87,Formula!B111,39)),IF(INDEX(Properties!A$1:CB$87,Formula!D111,39)&lt;&gt;"",INDEX(Properties!A$1:CB$87,Formula!D111,39)),IF(INDEX(Properties!A$1:CB$87,Formula!F111,39)&lt;&gt;"",INDEX(Properties!A$1:CB$87,Formula!F111,39)),IF(INDEX(Properties!A$1:CB$87,Formula!H111,39)&lt;&gt;"",INDEX(Properties!A$1:CB$87,Formula!H111,39)),IF(INDEX(Properties!A$1:CB$87,Formula!J111,39)&lt;&gt;"",INDEX(Properties!A$1:CB$87,Formula!J111,39)))</f>
        <v>0.84421600000000074</v>
      </c>
      <c r="DO111" s="45">
        <f>MAX(INDEX(Properties!A$1:CB$87,Formula!B111,39),INDEX(Properties!A$1:CB$87,Formula!D111,39),INDEX(Properties!A$1:CB$87,Formula!F111,39),INDEX(Properties!A$1:CB$87,Formula!H111,39),INDEX(Properties!A$1:CB$87,Formula!J111,39))</f>
        <v>2.33</v>
      </c>
      <c r="DP111" s="45">
        <f>MIN(IF(INDEX(Properties!A$1:CB$87,Formula!B111,39)=0,10^6,INDEX(Properties!A$1:CB$87,Formula!B111,39)),IF(INDEX(Properties!A$1:CB$87,Formula!D111,39)=0,10^6,INDEX(Properties!A$1:CB$87,Formula!D111,39)),IF(INDEX(Properties!A$1:CB$87,Formula!F111,39)=0,10^6,INDEX(Properties!A$1:CB$87,Formula!F111,39)),IF(INDEX(Properties!A$1:CB$87,Formula!H111,39)=0,10^6,INDEX(Properties!A$1:CB$87,Formula!H111,39)),IF(INDEX(Properties!A$1:CB$87,Formula!J111,39)=0,10^6,INDEX(Properties!A$1:CB$87,Formula!J111,39)))</f>
        <v>0.48</v>
      </c>
      <c r="DQ111" s="45">
        <f t="shared" si="51"/>
        <v>1.85</v>
      </c>
      <c r="DR111" s="63">
        <f>((Formula!C111)/(Formula!C111+Formula!E111+Formula!G111+Formula!I111+Formula!K111))*(INDEX(Properties!A$1:CB$87,Formula!B111,40))+((Formula!E111)/(Formula!C111+Formula!E111+Formula!G111+Formula!I111+Formula!K111))*(INDEX(Properties!A$1:CB$87,Formula!D111,40))+((Formula!G111)/(Formula!C111+Formula!E111+Formula!G111+Formula!I111+Formula!K111))*(INDEX(Properties!A$1:CB$87,Formula!F111,40))+((Formula!I111)/(Formula!C111+Formula!E111+Formula!G111+Formula!I111+Formula!K111))*(INDEX(Properties!A$1:CB$87,Formula!H111,40))+((Formula!K111)/(Formula!C111+Formula!E111+Formula!G111+Formula!I111+Formula!K111))*(INDEX(Properties!A$1:CB$87,Formula!J111,40))</f>
        <v>1.0242105263157895</v>
      </c>
      <c r="DS111" s="63">
        <f>Formula!C111*(INDEX(Properties!A$1:CB$87,Formula!B111,40))+Formula!E111*(INDEX(Properties!A$1:CB$87,Formula!D111,40))+Formula!G111*(INDEX(Properties!A$1:CB$87,Formula!F111,40))+Formula!I111*(INDEX(Properties!A$1:CB$87,Formula!H111,40))+Formula!K111*(INDEX(Properties!A$1:CB$87,Formula!J111,40))</f>
        <v>19.46</v>
      </c>
      <c r="DT111" s="63">
        <f>VARP(IF(INDEX(Properties!A$1:CB$87,Formula!B111,40)&lt;&gt;"",INDEX(Properties!A$1:CB$87,Formula!B111,40)),IF(INDEX(Properties!A$1:CB$87,Formula!D111,40)&lt;&gt;"",INDEX(Properties!A$1:CB$87,Formula!D111,40)),IF(INDEX(Properties!A$1:CB$87,Formula!F111,40)&lt;&gt;"",INDEX(Properties!A$1:CB$87,Formula!F111,40)),IF(INDEX(Properties!A$1:CB$87,Formula!H111,40)&lt;&gt;"",INDEX(Properties!A$1:CB$87,Formula!H111,40)),IF(INDEX(Properties!A$1:CB$87,Formula!J111,40)&lt;&gt;"",INDEX(Properties!A$1:CB$87,Formula!J111,40)))</f>
        <v>0.45522399999999963</v>
      </c>
      <c r="DU111" s="63">
        <f>MAX(INDEX(Properties!A$1:CB$87,Formula!B111,40),INDEX(Properties!A$1:CB$87,Formula!D111,40),INDEX(Properties!A$1:CB$87,Formula!F111,40),INDEX(Properties!A$1:CB$87,Formula!H111,40),INDEX(Properties!A$1:CB$87,Formula!J111,40))</f>
        <v>1.92</v>
      </c>
      <c r="DV111" s="63">
        <f>MIN(IF(INDEX(Properties!A$1:CB$87,Formula!B111,40)=0,10^6,INDEX(Properties!A$1:CB$87,Formula!B111,40)),IF(INDEX(Properties!A$1:CB$87,Formula!D111,40)=0,10^6,INDEX(Properties!A$1:CB$87,Formula!D111,40)),IF(INDEX(Properties!A$1:CB$87,Formula!F111,40)=0,10^6,INDEX(Properties!A$1:CB$87,Formula!F111,40)),IF(INDEX(Properties!A$1:CB$87,Formula!H111,40)=0,10^6,INDEX(Properties!A$1:CB$87,Formula!H111,40)),IF(INDEX(Properties!A$1:CB$87,Formula!J111,40)=0,10^6,INDEX(Properties!A$1:CB$87,Formula!J111,40)))</f>
        <v>0.73</v>
      </c>
      <c r="DW111" s="63">
        <f t="shared" si="52"/>
        <v>1.19</v>
      </c>
      <c r="DX111" s="75">
        <f>((Formula!C111)/(Formula!C111+Formula!E111+Formula!G111+Formula!I111+Formula!K111))*(INDEX(Properties!A$1:CB$87,Formula!B111,41))+((Formula!E111)/(Formula!C111+Formula!E111+Formula!G111+Formula!I111+Formula!K111))*(INDEX(Properties!A$1:CB$87,Formula!D111,41))+((Formula!G111)/(Formula!C111+Formula!E111+Formula!G111+Formula!I111+Formula!K111))*(INDEX(Properties!A$1:CB$87,Formula!F111,41))+((Formula!I111)/(Formula!C111+Formula!E111+Formula!G111+Formula!I111+Formula!K111))*(INDEX(Properties!A$1:CB$87,Formula!H111,41))+((Formula!K111)/(Formula!C111+Formula!E111+Formula!G111+Formula!I111+Formula!K111))*(INDEX(Properties!A$1:CB$87,Formula!J111,41))</f>
        <v>1.1463157894736842</v>
      </c>
      <c r="DY111" s="75">
        <f>Formula!C111*(INDEX(Properties!A$1:CB$87,Formula!B111,41))+Formula!E111*(INDEX(Properties!A$1:CB$87,Formula!D111,41))+Formula!G111*(INDEX(Properties!A$1:CB$87,Formula!F111,41))+Formula!I111*(INDEX(Properties!A$1:CB$87,Formula!H111,41))+Formula!K111*(INDEX(Properties!A$1:CB$87,Formula!J111,41))</f>
        <v>21.78</v>
      </c>
      <c r="DZ111" s="75">
        <f>VARP(IF(INDEX(Properties!A$1:CB$87,Formula!B111,41)&lt;&gt;"",INDEX(Properties!A$1:CB$87,Formula!B111,41)),IF(INDEX(Properties!A$1:CB$87,Formula!D111,41)&lt;&gt;"",INDEX(Properties!A$1:CB$87,Formula!D111,41)),IF(INDEX(Properties!A$1:CB$87,Formula!F111,41)&lt;&gt;"",INDEX(Properties!A$1:CB$87,Formula!F111,41)),IF(INDEX(Properties!A$1:CB$87,Formula!H111,41)&lt;&gt;"",INDEX(Properties!A$1:CB$87,Formula!H111,41)),IF(INDEX(Properties!A$1:CB$87,Formula!J111,41)&lt;&gt;"",INDEX(Properties!A$1:CB$87,Formula!J111,41)))</f>
        <v>0.252</v>
      </c>
      <c r="EA111" s="75">
        <f>MAX(INDEX(Properties!A$1:CB$87,Formula!B111,41),INDEX(Properties!A$1:CB$87,Formula!D111,41),INDEX(Properties!A$1:CB$87,Formula!F111,41),INDEX(Properties!A$1:CB$87,Formula!H111,41),INDEX(Properties!A$1:CB$87,Formula!J111,41))</f>
        <v>1.32</v>
      </c>
      <c r="EB111" s="75">
        <f>MIN(IF(INDEX(Properties!A$1:CB$87,Formula!B111,41)=0,10^6,INDEX(Properties!A$1:CB$87,Formula!B111,41)),IF(INDEX(Properties!A$1:CB$87,Formula!D111,41)=0,10^6,INDEX(Properties!A$1:CB$87,Formula!D111,41)),IF(INDEX(Properties!A$1:CB$87,Formula!F111,41)=0,10^6,INDEX(Properties!A$1:CB$87,Formula!F111,41)),IF(INDEX(Properties!A$1:CB$87,Formula!H111,41)=0,10^6,INDEX(Properties!A$1:CB$87,Formula!H111,41)),IF(INDEX(Properties!A$1:CB$87,Formula!J111,41)=0,10^6,INDEX(Properties!A$1:CB$87,Formula!J111,41)))</f>
        <v>0.54</v>
      </c>
      <c r="EC111" s="75">
        <f t="shared" si="53"/>
        <v>0.78</v>
      </c>
      <c r="ED111" s="48">
        <f>((Formula!C111)/(Formula!C111+Formula!E111+Formula!G111+Formula!I111+Formula!K111))*(INDEX(Properties!A$1:CB$87,Formula!B111,45))+((Formula!E111)/(Formula!C111+Formula!E111+Formula!G111+Formula!I111+Formula!K111))*(INDEX(Properties!A$1:CB$87,Formula!D111,45))+((Formula!G111)/(Formula!C111+Formula!E111+Formula!G111+Formula!I111+Formula!K111))*(INDEX(Properties!A$1:CB$87,Formula!F111,45))+((Formula!I111)/(Formula!C111+Formula!E111+Formula!G111+Formula!I111+Formula!K111))*(INDEX(Properties!A$1:CB$87,Formula!H111,45))+((Formula!K111)/(Formula!C111+Formula!E111+Formula!G111+Formula!I111+Formula!K111))*(INDEX(Properties!A$1:CB$87,Formula!J111,45))</f>
        <v>1.2336842105263157</v>
      </c>
      <c r="EE111" s="48">
        <f>Formula!C111*(INDEX(Properties!A$1:CB$87,Formula!B111,45))+Formula!E111*(INDEX(Properties!A$1:CB$87,Formula!D111,45))+Formula!G111*(INDEX(Properties!A$1:CB$87,Formula!F111,45))+Formula!I111*(INDEX(Properties!A$1:CB$87,Formula!H111,45))+Formula!K111*(INDEX(Properties!A$1:CB$87,Formula!J111,45))</f>
        <v>23.439999999999998</v>
      </c>
      <c r="EF111" s="48">
        <f>VARP(IF(INDEX(Properties!A$1:CB$87,Formula!B111,45)&lt;&gt;"",INDEX(Properties!A$1:CB$87,Formula!B111,45)),IF(INDEX(Properties!A$1:CB$87,Formula!D111,45)&lt;&gt;"",INDEX(Properties!A$1:CB$87,Formula!D111,45)),IF(INDEX(Properties!A$1:CB$87,Formula!F111,45)&lt;&gt;"",INDEX(Properties!A$1:CB$87,Formula!F111,45)),IF(INDEX(Properties!A$1:CB$87,Formula!H111,45)&lt;&gt;"",INDEX(Properties!A$1:CB$87,Formula!H111,45)),IF(INDEX(Properties!A$1:CB$87,Formula!J111,45)&lt;&gt;"",INDEX(Properties!A$1:CB$87,Formula!J111,45)))</f>
        <v>2.3186960000000005</v>
      </c>
      <c r="EG111" s="48">
        <f>MAX(INDEX(Properties!A$1:CB$87,Formula!B111,45),INDEX(Properties!A$1:CB$87,Formula!D111,45),INDEX(Properties!A$1:CB$87,Formula!F111,45),INDEX(Properties!A$1:CB$87,Formula!H111,45),INDEX(Properties!A$1:CB$87,Formula!J111,45))</f>
        <v>3.91</v>
      </c>
      <c r="EH111" s="48">
        <f>MIN(IF(INDEX(Properties!A$1:CB$87,Formula!B111,45)=0,10^6,INDEX(Properties!A$1:CB$87,Formula!B111,45)),IF(INDEX(Properties!A$1:CB$87,Formula!D111,45)=0,10^6,INDEX(Properties!A$1:CB$87,Formula!D111,45)),IF(INDEX(Properties!A$1:CB$87,Formula!F111,45)=0,10^6,INDEX(Properties!A$1:CB$87,Formula!F111,45)),IF(INDEX(Properties!A$1:CB$87,Formula!H111,45)=0,10^6,INDEX(Properties!A$1:CB$87,Formula!H111,45)),IF(INDEX(Properties!A$1:CB$87,Formula!J111,45)=0,10^6,INDEX(Properties!A$1:CB$87,Formula!J111,45)))</f>
        <v>0.47</v>
      </c>
      <c r="EI111" s="48">
        <f t="shared" si="54"/>
        <v>3.4400000000000004</v>
      </c>
      <c r="EJ111" s="66">
        <f>((Formula!C111)/(Formula!C111+Formula!E111+Formula!G111+Formula!I111+Formula!K111))*(INDEX(Properties!A$1:CB$87,Formula!B111,46))+((Formula!E111)/(Formula!C111+Formula!E111+Formula!G111+Formula!I111+Formula!K111))*(INDEX(Properties!A$1:CB$87,Formula!D111,46))+((Formula!G111)/(Formula!C111+Formula!E111+Formula!G111+Formula!I111+Formula!K111))*(INDEX(Properties!A$1:CB$87,Formula!F111,46))+((Formula!I111)/(Formula!C111+Formula!E111+Formula!G111+Formula!I111+Formula!K111))*(INDEX(Properties!A$1:CB$87,Formula!H111,46))+((Formula!K111)/(Formula!C111+Formula!E111+Formula!G111+Formula!I111+Formula!K111))*(INDEX(Properties!A$1:CB$87,Formula!J111,46))</f>
        <v>1.0926315789473684</v>
      </c>
      <c r="EK111" s="66">
        <f>Formula!C111*(INDEX(Properties!A$1:CB$87,Formula!B111,46))+Formula!E111*(INDEX(Properties!A$1:CB$87,Formula!D111,46))+Formula!G111*(INDEX(Properties!A$1:CB$87,Formula!F111,46))+Formula!I111*(INDEX(Properties!A$1:CB$87,Formula!H111,46))+Formula!K111*(INDEX(Properties!A$1:CB$87,Formula!J111,46))</f>
        <v>20.759999999999998</v>
      </c>
      <c r="EL111" s="66">
        <f>VARP(IF(INDEX(Properties!A$1:CB$87,Formula!B111,46)&lt;&gt;"",INDEX(Properties!A$1:CB$87,Formula!B111,46)),IF(INDEX(Properties!A$1:CB$87,Formula!D111,46)&lt;&gt;"",INDEX(Properties!A$1:CB$87,Formula!D111,46)),IF(INDEX(Properties!A$1:CB$87,Formula!F111,46)&lt;&gt;"",INDEX(Properties!A$1:CB$87,Formula!F111,46)),IF(INDEX(Properties!A$1:CB$87,Formula!H111,46)&lt;&gt;"",INDEX(Properties!A$1:CB$87,Formula!H111,46)),IF(INDEX(Properties!A$1:CB$87,Formula!J111,46)&lt;&gt;"",INDEX(Properties!A$1:CB$87,Formula!J111,46)))</f>
        <v>0.26337600000000022</v>
      </c>
      <c r="EM111" s="66">
        <f>MAX(INDEX(Properties!A$1:CB$87,Formula!B111,46),INDEX(Properties!A$1:CB$87,Formula!D111,46),INDEX(Properties!A$1:CB$87,Formula!F111,46),INDEX(Properties!A$1:CB$87,Formula!H111,46),INDEX(Properties!A$1:CB$87,Formula!J111,46))</f>
        <v>1.32</v>
      </c>
      <c r="EN111" s="66">
        <f>MIN(IF(INDEX(Properties!A$1:CB$87,Formula!B111,46)=0,10^6,INDEX(Properties!A$1:CB$87,Formula!B111,46)),IF(INDEX(Properties!A$1:CB$87,Formula!D111,46)=0,10^6,INDEX(Properties!A$1:CB$87,Formula!D111,46)),IF(INDEX(Properties!A$1:CB$87,Formula!F111,46)=0,10^6,INDEX(Properties!A$1:CB$87,Formula!F111,46)),IF(INDEX(Properties!A$1:CB$87,Formula!H111,46)=0,10^6,INDEX(Properties!A$1:CB$87,Formula!H111,46)),IF(INDEX(Properties!A$1:CB$87,Formula!J111,46)=0,10^6,INDEX(Properties!A$1:CB$87,Formula!J111,46)))</f>
        <v>0.4</v>
      </c>
      <c r="EO111" s="66">
        <f t="shared" si="55"/>
        <v>0.92</v>
      </c>
      <c r="EP111" s="81">
        <f>((Formula!C111)/(Formula!C111+Formula!E111+Formula!G111+Formula!I111+Formula!K111))*(INDEX(Properties!A$1:CB$87,Formula!B111,52))+((Formula!E111)/(Formula!C111+Formula!E111+Formula!G111+Formula!I111+Formula!K111))*(INDEX(Properties!A$1:CB$87,Formula!D111,52))+((Formula!G111)/(Formula!C111+Formula!E111+Formula!G111+Formula!I111+Formula!K111))*(INDEX(Properties!A$1:CB$87,Formula!F111,52))+((Formula!I111)/(Formula!C111+Formula!E111+Formula!G111+Formula!I111+Formula!K111))*(INDEX(Properties!A$1:CB$87,Formula!H111,52))+((Formula!K111)/(Formula!C111+Formula!E111+Formula!G111+Formula!I111+Formula!K111))*(INDEX(Properties!A$1:CB$87,Formula!J111,52))</f>
        <v>6.9482105263157896</v>
      </c>
      <c r="EQ111" s="81">
        <f>Formula!C111*(INDEX(Properties!A$1:CB$87,Formula!B111,52))+Formula!E111*(INDEX(Properties!A$1:CB$87,Formula!D111,52))+Formula!G111*(INDEX(Properties!A$1:CB$87,Formula!F111,52))+Formula!I111*(INDEX(Properties!A$1:CB$87,Formula!H111,52))+Formula!K111*(INDEX(Properties!A$1:CB$87,Formula!J111,52))</f>
        <v>132.01600000000002</v>
      </c>
      <c r="ER111" s="81">
        <f>VARP(IF(INDEX(Properties!A$1:CB$87,Formula!B111,52)&lt;&gt;"",INDEX(Properties!A$1:CB$87,Formula!B111,52)),IF(INDEX(Properties!A$1:CB$87,Formula!D111,52)&lt;&gt;"",INDEX(Properties!A$1:CB$87,Formula!D111,52)),IF(INDEX(Properties!A$1:CB$87,Formula!F111,52)&lt;&gt;"",INDEX(Properties!A$1:CB$87,Formula!F111,52)),IF(INDEX(Properties!A$1:CB$87,Formula!H111,52)&lt;&gt;"",INDEX(Properties!A$1:CB$87,Formula!H111,52)),IF(INDEX(Properties!A$1:CB$87,Formula!J111,52)&lt;&gt;"",INDEX(Properties!A$1:CB$87,Formula!J111,52)))</f>
        <v>137.46025584000006</v>
      </c>
      <c r="ES111" s="81">
        <f>MAX(INDEX(Properties!A$1:CB$87,Formula!B111,52),INDEX(Properties!A$1:CB$87,Formula!D111,52),INDEX(Properties!A$1:CB$87,Formula!F111,52),INDEX(Properties!A$1:CB$87,Formula!H111,52),INDEX(Properties!A$1:CB$87,Formula!J111,52))</f>
        <v>27.6</v>
      </c>
      <c r="ET111" s="81">
        <f>MIN(IF(INDEX(Properties!A$1:CB$87,Formula!B111,52)=0,10^6,INDEX(Properties!A$1:CB$87,Formula!B111,52)),IF(INDEX(Properties!A$1:CB$87,Formula!D111,52)=0,10^6,INDEX(Properties!A$1:CB$87,Formula!D111,52)),IF(INDEX(Properties!A$1:CB$87,Formula!F111,52)=0,10^6,INDEX(Properties!A$1:CB$87,Formula!F111,52)),IF(INDEX(Properties!A$1:CB$87,Formula!H111,52)=0,10^6,INDEX(Properties!A$1:CB$87,Formula!H111,52)),IF(INDEX(Properties!A$1:CB$87,Formula!J111,52)=0,10^6,INDEX(Properties!A$1:CB$87,Formula!J111,52)))</f>
        <v>0.79300000000000004</v>
      </c>
      <c r="EU111" s="81">
        <f t="shared" si="56"/>
        <v>26.807000000000002</v>
      </c>
      <c r="EV111" s="39">
        <f>((Formula!C111)/(Formula!C111+Formula!E111+Formula!G111+Formula!I111+Formula!K111))*(INDEX(Properties!A$1:CB$87,Formula!B111,53))+((Formula!E111)/(Formula!C111+Formula!E111+Formula!G111+Formula!I111+Formula!K111))*(INDEX(Properties!A$1:CB$87,Formula!D111,53))+((Formula!G111)/(Formula!C111+Formula!E111+Formula!G111+Formula!I111+Formula!K111))*(INDEX(Properties!A$1:CB$87,Formula!F111,53))+((Formula!I111)/(Formula!C111+Formula!E111+Formula!G111+Formula!I111+Formula!K111))*(INDEX(Properties!A$1:CB$87,Formula!H111,53))+((Formula!K111)/(Formula!C111+Formula!E111+Formula!G111+Formula!I111+Formula!K111))*(INDEX(Properties!A$1:CB$87,Formula!J111,53))</f>
        <v>548.371052631579</v>
      </c>
      <c r="EW111" s="39">
        <f>Formula!C111*(INDEX(Properties!A$1:CB$87,Formula!B111,53))+Formula!E111*(INDEX(Properties!A$1:CB$87,Formula!D111,53))+Formula!G111*(INDEX(Properties!A$1:CB$87,Formula!F111,53))+Formula!I111*(INDEX(Properties!A$1:CB$87,Formula!H111,53))+Formula!K111*(INDEX(Properties!A$1:CB$87,Formula!J111,53))</f>
        <v>10419.050000000001</v>
      </c>
      <c r="EX111" s="39">
        <f>VARP(IF(INDEX(Properties!A$1:CB$87,Formula!B111,53)&lt;&gt;"",INDEX(Properties!A$1:CB$87,Formula!B111,53)),IF(INDEX(Properties!A$1:CB$87,Formula!D111,53)&lt;&gt;"",INDEX(Properties!A$1:CB$87,Formula!D111,53)),IF(INDEX(Properties!A$1:CB$87,Formula!F111,53)&lt;&gt;"",INDEX(Properties!A$1:CB$87,Formula!F111,53)),IF(INDEX(Properties!A$1:CB$87,Formula!H111,53)&lt;&gt;"",INDEX(Properties!A$1:CB$87,Formula!H111,53)),IF(INDEX(Properties!A$1:CB$87,Formula!J111,53)&lt;&gt;"",INDEX(Properties!A$1:CB$87,Formula!J111,53)))</f>
        <v>525039.88839999994</v>
      </c>
      <c r="EY111" s="39">
        <f>MAX(INDEX(Properties!A$1:CB$87,Formula!B111,53),INDEX(Properties!A$1:CB$87,Formula!D111,53),INDEX(Properties!A$1:CB$87,Formula!F111,53),INDEX(Properties!A$1:CB$87,Formula!H111,53),INDEX(Properties!A$1:CB$87,Formula!J111,53))</f>
        <v>1683.15</v>
      </c>
      <c r="EZ111" s="39">
        <f>MIN(IF(INDEX(Properties!A$1:CB$87,Formula!B111,53)=0,10^6,INDEX(Properties!A$1:CB$87,Formula!B111,53)),IF(INDEX(Properties!A$1:CB$87,Formula!D111,53)=0,10^6,INDEX(Properties!A$1:CB$87,Formula!D111,53)),IF(INDEX(Properties!A$1:CB$87,Formula!F111,53)=0,10^6,INDEX(Properties!A$1:CB$87,Formula!F111,53)),IF(INDEX(Properties!A$1:CB$87,Formula!H111,53)=0,10^6,INDEX(Properties!A$1:CB$87,Formula!H111,53)),IF(INDEX(Properties!A$1:CB$87,Formula!J111,53)=0,10^6,INDEX(Properties!A$1:CB$87,Formula!J111,53)))</f>
        <v>54.749999999999972</v>
      </c>
      <c r="FA111" s="39">
        <f t="shared" si="57"/>
        <v>1628.4</v>
      </c>
      <c r="FB111" s="54">
        <f>((Formula!C111)/(Formula!C111+Formula!E111+Formula!G111+Formula!I111+Formula!K111))*(INDEX(Properties!A$1:CB$87,Formula!B111,54))+((Formula!E111)/(Formula!C111+Formula!E111+Formula!G111+Formula!I111+Formula!K111))*(INDEX(Properties!A$1:CB$87,Formula!D111,54))+((Formula!G111)/(Formula!C111+Formula!E111+Formula!G111+Formula!I111+Formula!K111))*(INDEX(Properties!A$1:CB$87,Formula!F111,54))+((Formula!I111)/(Formula!C111+Formula!E111+Formula!G111+Formula!I111+Formula!K111))*(INDEX(Properties!A$1:CB$87,Formula!H111,54))+((Formula!K111)/(Formula!C111+Formula!E111+Formula!G111+Formula!I111+Formula!K111))*(INDEX(Properties!A$1:CB$87,Formula!J111,54))</f>
        <v>920.20263157894738</v>
      </c>
      <c r="FC111" s="54">
        <f>Formula!C111*(INDEX(Properties!A$1:CB$87,Formula!B111,54))+Formula!E111*(INDEX(Properties!A$1:CB$87,Formula!D111,54))+Formula!G111*(INDEX(Properties!A$1:CB$87,Formula!F111,54))+Formula!I111*(INDEX(Properties!A$1:CB$87,Formula!H111,54))+Formula!K111*(INDEX(Properties!A$1:CB$87,Formula!J111,54))</f>
        <v>17483.850000000002</v>
      </c>
      <c r="FD111" s="54">
        <f>VARP(IF(INDEX(Properties!A$1:CB$87,Formula!B111,54)&lt;&gt;"",INDEX(Properties!A$1:CB$87,Formula!B111,54)),IF(INDEX(Properties!A$1:CB$87,Formula!D111,54)&lt;&gt;"",INDEX(Properties!A$1:CB$87,Formula!D111,54)),IF(INDEX(Properties!A$1:CB$87,Formula!F111,54)&lt;&gt;"",INDEX(Properties!A$1:CB$87,Formula!F111,54)),IF(INDEX(Properties!A$1:CB$87,Formula!H111,54)&lt;&gt;"",INDEX(Properties!A$1:CB$87,Formula!H111,54)),IF(INDEX(Properties!A$1:CB$87,Formula!J111,54)&lt;&gt;"",INDEX(Properties!A$1:CB$87,Formula!J111,54)))</f>
        <v>1937255.2156</v>
      </c>
      <c r="FE111" s="54">
        <f>MAX(INDEX(Properties!A$1:CB$87,Formula!B111,54),INDEX(Properties!A$1:CB$87,Formula!D111,54),INDEX(Properties!A$1:CB$87,Formula!F111,54),INDEX(Properties!A$1:CB$87,Formula!H111,54),INDEX(Properties!A$1:CB$87,Formula!J111,54))</f>
        <v>3546.15</v>
      </c>
      <c r="FF111" s="54">
        <f>MIN(IF(INDEX(Properties!A$1:CB$87,Formula!B111,54)=0,10^6,INDEX(Properties!A$1:CB$87,Formula!B111,54)),IF(INDEX(Properties!A$1:CB$87,Formula!D111,54)=0,10^6,INDEX(Properties!A$1:CB$87,Formula!D111,54)),IF(INDEX(Properties!A$1:CB$87,Formula!F111,54)=0,10^6,INDEX(Properties!A$1:CB$87,Formula!F111,54)),IF(INDEX(Properties!A$1:CB$87,Formula!H111,54)=0,10^6,INDEX(Properties!A$1:CB$87,Formula!H111,54)),IF(INDEX(Properties!A$1:CB$87,Formula!J111,54)=0,10^6,INDEX(Properties!A$1:CB$87,Formula!J111,54)))</f>
        <v>90.149999999999977</v>
      </c>
      <c r="FG111" s="54">
        <f t="shared" si="58"/>
        <v>3456</v>
      </c>
      <c r="FH111" s="69">
        <f>((Formula!C111)/(Formula!C111+Formula!E111+Formula!G111+Formula!I111+Formula!K111))*(INDEX(Properties!A$1:CB$87,Formula!B111,55))+((Formula!E111)/(Formula!C111+Formula!E111+Formula!G111+Formula!I111+Formula!K111))*(INDEX(Properties!A$1:CB$87,Formula!D111,55))+((Formula!G111)/(Formula!C111+Formula!E111+Formula!G111+Formula!I111+Formula!K111))*(INDEX(Properties!A$1:CB$87,Formula!F111,55))+((Formula!I111)/(Formula!C111+Formula!E111+Formula!G111+Formula!I111+Formula!K111))*(INDEX(Properties!A$1:CB$87,Formula!H111,55))+((Formula!K111)/(Formula!C111+Formula!E111+Formula!G111+Formula!I111+Formula!K111))*(INDEX(Properties!A$1:CB$87,Formula!J111,55))</f>
        <v>1.1998505263157895</v>
      </c>
      <c r="FI111" s="69">
        <f>Formula!C111*(INDEX(Properties!A$1:CB$87,Formula!B111,55))+Formula!E111*(INDEX(Properties!A$1:CB$87,Formula!D111,54))+Formula!G111*(INDEX(Properties!A$1:CB$87,Formula!F111,55))+Formula!I111*(INDEX(Properties!A$1:CB$87,Formula!H111,55))+Formula!K111*(INDEX(Properties!A$1:CB$87,Formula!J111,55))</f>
        <v>3561.0471599999996</v>
      </c>
      <c r="FJ111" s="69">
        <f>VARP(IF(INDEX(Properties!A$1:CB$87,Formula!B111,55)&lt;&gt;"",INDEX(Properties!A$1:CB$87,Formula!B111,55)),IF(INDEX(Properties!A$1:CB$87,Formula!D111,55)&lt;&gt;"",INDEX(Properties!A$1:CB$87,Formula!D111,55)),IF(INDEX(Properties!A$1:CB$87,Formula!F111,55)&lt;&gt;"",INDEX(Properties!A$1:CB$87,Formula!F111,55)),IF(INDEX(Properties!A$1:CB$87,Formula!H111,55)&lt;&gt;"",INDEX(Properties!A$1:CB$87,Formula!H111,55)),IF(INDEX(Properties!A$1:CB$87,Formula!J111,55)&lt;&gt;"",INDEX(Properties!A$1:CB$87,Formula!J111,55)))</f>
        <v>8.3345051431840016</v>
      </c>
      <c r="FK111" s="69">
        <f>MAX(INDEX(Properties!A$1:CB$87,Formula!B111,55),INDEX(Properties!A$1:CB$87,Formula!D111,55),INDEX(Properties!A$1:CB$87,Formula!F111,55),INDEX(Properties!A$1:CB$87,Formula!H111,55),INDEX(Properties!A$1:CB$87,Formula!J111,55))</f>
        <v>7.9</v>
      </c>
      <c r="FL111" s="69">
        <f>MIN(IF(INDEX(Properties!A$1:CB$87,Formula!B111,55)=0,10^6,INDEX(Properties!A$1:CB$87,Formula!B111,55)),IF(INDEX(Properties!A$1:CB$87,Formula!D111,55)=0,10^6,INDEX(Properties!A$1:CB$87,Formula!D111,55)),IF(INDEX(Properties!A$1:CB$87,Formula!F111,55)=0,10^6,INDEX(Properties!A$1:CB$87,Formula!F111,55)),IF(INDEX(Properties!A$1:CB$87,Formula!H111,55)=0,10^6,INDEX(Properties!A$1:CB$87,Formula!H111,55)),IF(INDEX(Properties!A$1:CB$87,Formula!J111,55)=0,10^6,INDEX(Properties!A$1:CB$87,Formula!J111,55)))</f>
        <v>1.4300000000000001E-3</v>
      </c>
      <c r="FM111" s="69">
        <f t="shared" si="59"/>
        <v>7.8985700000000003</v>
      </c>
      <c r="FN111" s="42">
        <f>((Formula!C111)/(Formula!C111+Formula!E111+Formula!G111+Formula!I111+Formula!K111))*(INDEX(Properties!A$1:CB$87,Formula!B111,56))+((Formula!E111)/(Formula!C111+Formula!E111+Formula!G111+Formula!I111+Formula!K111))*(INDEX(Properties!A$1:CB$87,Formula!D111,56))+((Formula!G111)/(Formula!C111+Formula!E111+Formula!G111+Formula!I111+Formula!K111))*(INDEX(Properties!A$1:CB$87,Formula!F111,56))+((Formula!I111)/(Formula!C111+Formula!E111+Formula!G111+Formula!I111+Formula!K111))*(INDEX(Properties!A$1:CB$87,Formula!H111,56))+((Formula!K111)/(Formula!C111+Formula!E111+Formula!G111+Formula!I111+Formula!K111))*(INDEX(Properties!A$1:CB$87,Formula!J111,56))</f>
        <v>0.75263157894736843</v>
      </c>
      <c r="FO111" s="42">
        <f>Formula!C111*(INDEX(Properties!A$1:CB$87,Formula!B111,56))+Formula!E111*(INDEX(Properties!A$1:CB$87,Formula!D111,56))+Formula!G111*(INDEX(Properties!A$1:CB$87,Formula!F111,56))+Formula!I111*(INDEX(Properties!A$1:CB$87,Formula!H111,56))+Formula!K111*(INDEX(Properties!A$1:CB$87,Formula!J111,56))</f>
        <v>14.3</v>
      </c>
      <c r="FP111" s="42">
        <f>VARP(IF(INDEX(Properties!A$1:CB$87,Formula!B111,56)&lt;&gt;"",INDEX(Properties!A$1:CB$87,Formula!B111,56)),IF(INDEX(Properties!A$1:CB$87,Formula!D111,56)&lt;&gt;"",INDEX(Properties!A$1:CB$87,Formula!D111,56)),IF(INDEX(Properties!A$1:CB$87,Formula!F111,56)&lt;&gt;"",INDEX(Properties!A$1:CB$87,Formula!F111,56)),IF(INDEX(Properties!A$1:CB$87,Formula!H111,56)&lt;&gt;"",INDEX(Properties!A$1:CB$87,Formula!H111,56)),IF(INDEX(Properties!A$1:CB$87,Formula!J111,56)&lt;&gt;"",INDEX(Properties!A$1:CB$87,Formula!J111,56)))</f>
        <v>0.112056</v>
      </c>
      <c r="FQ111" s="42">
        <f>MAX(INDEX(Properties!A$1:CB$87,Formula!B111,56),INDEX(Properties!A$1:CB$87,Formula!D111,56),INDEX(Properties!A$1:CB$87,Formula!F111,56),INDEX(Properties!A$1:CB$87,Formula!H111,56),INDEX(Properties!A$1:CB$87,Formula!J111,56))</f>
        <v>0.92</v>
      </c>
      <c r="FR111" s="42">
        <f>MIN(IF(INDEX(Properties!A$1:CB$87,Formula!B111,56)=0,10^6,INDEX(Properties!A$1:CB$87,Formula!B111,56)),IF(INDEX(Properties!A$1:CB$87,Formula!D111,56)=0,10^6,INDEX(Properties!A$1:CB$87,Formula!D111,56)),IF(INDEX(Properties!A$1:CB$87,Formula!F111,56)=0,10^6,INDEX(Properties!A$1:CB$87,Formula!F111,56)),IF(INDEX(Properties!A$1:CB$87,Formula!H111,56)=0,10^6,INDEX(Properties!A$1:CB$87,Formula!H111,56)),IF(INDEX(Properties!A$1:CB$87,Formula!J111,56)=0,10^6,INDEX(Properties!A$1:CB$87,Formula!J111,56)))</f>
        <v>0.23</v>
      </c>
      <c r="FS111" s="42">
        <f t="shared" si="60"/>
        <v>0.69000000000000006</v>
      </c>
      <c r="FT111" s="60">
        <f>((Formula!C111)/(Formula!C111+Formula!E111+Formula!G111+Formula!I111+Formula!K111))*(INDEX(Properties!A$1:CB$87,Formula!B111,57))+((Formula!E111)/(Formula!C111+Formula!E111+Formula!G111+Formula!I111+Formula!K111))*(INDEX(Properties!A$1:CB$87,Formula!D111,57))+((Formula!G111)/(Formula!C111+Formula!E111+Formula!G111+Formula!I111+Formula!K111))*(INDEX(Properties!A$1:CB$87,Formula!F111,57))+((Formula!I111)/(Formula!C111+Formula!E111+Formula!G111+Formula!I111+Formula!K111))*(INDEX(Properties!A$1:CB$87,Formula!H111,57))+((Formula!K111)/(Formula!C111+Formula!E111+Formula!G111+Formula!I111+Formula!K111))*(INDEX(Properties!A$1:CB$87,Formula!J111,57))</f>
        <v>9.961635789473684</v>
      </c>
      <c r="FU111" s="60">
        <f>Formula!C111*(INDEX(Properties!A$1:CB$87,Formula!B111,57))+Formula!E111*(INDEX(Properties!A$1:CB$87,Formula!D111,57))+Formula!G111*(INDEX(Properties!A$1:CB$87,Formula!F111,57))+Formula!I111*(INDEX(Properties!A$1:CB$87,Formula!H111,57))+Formula!K111*(INDEX(Properties!A$1:CB$87,Formula!J111,57))</f>
        <v>189.27107999999996</v>
      </c>
      <c r="FV111" s="60">
        <f>VARP(IF(INDEX(Properties!A$1:CB$87,Formula!B111,57)&lt;&gt;"",INDEX(Properties!A$1:CB$87,Formula!B111,57)),IF(INDEX(Properties!A$1:CB$87,Formula!D111,57)&lt;&gt;"",INDEX(Properties!A$1:CB$87,Formula!D111,57)),IF(INDEX(Properties!A$1:CB$87,Formula!F111,57)&lt;&gt;"",INDEX(Properties!A$1:CB$87,Formula!F111,57)),IF(INDEX(Properties!A$1:CB$87,Formula!H111,57)&lt;&gt;"",INDEX(Properties!A$1:CB$87,Formula!H111,57)),IF(INDEX(Properties!A$1:CB$87,Formula!J111,57)&lt;&gt;"",INDEX(Properties!A$1:CB$87,Formula!J111,57)))</f>
        <v>353.931611329296</v>
      </c>
      <c r="FW111" s="60">
        <f>MAX(INDEX(Properties!A$1:CB$87,Formula!B111,57),INDEX(Properties!A$1:CB$87,Formula!D111,57),INDEX(Properties!A$1:CB$87,Formula!F111,57),INDEX(Properties!A$1:CB$87,Formula!H111,57),INDEX(Properties!A$1:CB$87,Formula!J111,57))</f>
        <v>50.55</v>
      </c>
      <c r="FX111" s="60">
        <f>MIN(IF(INDEX(Properties!A$1:CB$87,Formula!B111,57)=0,10^6,INDEX(Properties!A$1:CB$87,Formula!B111,57)),IF(INDEX(Properties!A$1:CB$87,Formula!D111,57)=0,10^6,INDEX(Properties!A$1:CB$87,Formula!D111,57)),IF(INDEX(Properties!A$1:CB$87,Formula!F111,57)=0,10^6,INDEX(Properties!A$1:CB$87,Formula!F111,57)),IF(INDEX(Properties!A$1:CB$87,Formula!H111,57)=0,10^6,INDEX(Properties!A$1:CB$87,Formula!H111,57)),IF(INDEX(Properties!A$1:CB$87,Formula!J111,57)=0,10^6,INDEX(Properties!A$1:CB$87,Formula!J111,57)))</f>
        <v>0.22259000000000001</v>
      </c>
      <c r="FY111" s="60">
        <f t="shared" si="61"/>
        <v>50.32741</v>
      </c>
      <c r="FZ111" s="72">
        <f>((Formula!C111)/(Formula!C111+Formula!E111+Formula!G111+Formula!I111+Formula!K111))*(INDEX(Properties!A$1:CB$87,Formula!B111,60))+((Formula!E111)/(Formula!C111+Formula!E111+Formula!G111+Formula!I111+Formula!K111))*(INDEX(Properties!A$1:CB$87,Formula!D111,60))+((Formula!G111)/(Formula!C111+Formula!E111+Formula!G111+Formula!I111+Formula!K111))*(INDEX(Properties!A$1:CB$87,Formula!F111,60))+((Formula!I111)/(Formula!C111+Formula!E111+Formula!G111+Formula!I111+Formula!K111))*(INDEX(Properties!A$1:CB$87,Formula!H111,60))+((Formula!K111)/(Formula!C111+Formula!E111+Formula!G111+Formula!I111+Formula!K111))*(INDEX(Properties!A$1:CB$87,Formula!J111,60))</f>
        <v>29.516888421052631</v>
      </c>
      <c r="GA111" s="72">
        <f>Formula!C111*(INDEX(Properties!A$1:CB$87,Formula!B111,60))+Formula!E111*(INDEX(Properties!A$1:CB$87,Formula!D111,60))+Formula!G111*(INDEX(Properties!A$1:CB$87,Formula!F111,60))+Formula!I111*(INDEX(Properties!A$1:CB$87,Formula!H111,60))+Formula!K111*(INDEX(Properties!A$1:CB$87,Formula!J111,60))</f>
        <v>560.82087999999999</v>
      </c>
      <c r="GB111" s="72">
        <f>VARP(IF(INDEX(Properties!A$1:CB$87,Formula!B111,60)&lt;&gt;"",INDEX(Properties!A$1:CB$87,Formula!B111,60)),IF(INDEX(Properties!A$1:CB$87,Formula!D111,60)&lt;&gt;"",INDEX(Properties!A$1:CB$87,Formula!D111,60)),IF(INDEX(Properties!A$1:CB$87,Formula!F111,60)&lt;&gt;"",INDEX(Properties!A$1:CB$87,Formula!F111,60)),IF(INDEX(Properties!A$1:CB$87,Formula!H111,60)&lt;&gt;"",INDEX(Properties!A$1:CB$87,Formula!H111,60)),IF(INDEX(Properties!A$1:CB$87,Formula!J111,60)&lt;&gt;"",INDEX(Properties!A$1:CB$87,Formula!J111,60)))</f>
        <v>3148.1869235244162</v>
      </c>
      <c r="GC111" s="72">
        <f>MAX(INDEX(Properties!A$1:CB$87,Formula!B111,60),INDEX(Properties!A$1:CB$87,Formula!D111,60),INDEX(Properties!A$1:CB$87,Formula!F111,60),INDEX(Properties!A$1:CB$87,Formula!H111,60),INDEX(Properties!A$1:CB$87,Formula!J111,60))</f>
        <v>148</v>
      </c>
      <c r="GD111" s="72">
        <f>MIN(IF(INDEX(Properties!A$1:CB$87,Formula!B111,60)=0,10^6,INDEX(Properties!A$1:CB$87,Formula!B111,60)),IF(INDEX(Properties!A$1:CB$87,Formula!D111,60)=0,10^6,INDEX(Properties!A$1:CB$87,Formula!D111,60)),IF(INDEX(Properties!A$1:CB$87,Formula!F111,60)=0,10^6,INDEX(Properties!A$1:CB$87,Formula!F111,60)),IF(INDEX(Properties!A$1:CB$87,Formula!H111,60)=0,10^6,INDEX(Properties!A$1:CB$87,Formula!H111,60)),IF(INDEX(Properties!A$1:CB$87,Formula!J111,60)=0,10^6,INDEX(Properties!A$1:CB$87,Formula!J111,60)))</f>
        <v>2.674E-2</v>
      </c>
      <c r="GE111" s="72">
        <f t="shared" si="62"/>
        <v>147.97326000000001</v>
      </c>
      <c r="GF111" s="51">
        <f>((Formula!C111)/(Formula!C111+Formula!E111+Formula!G111+Formula!I111+Formula!K111))*(INDEX(Properties!A$1:CB$87,Formula!B111,62))+((Formula!E111)/(Formula!C111+Formula!E111+Formula!G111+Formula!I111+Formula!K111))*(INDEX(Properties!A$1:CB$87,Formula!D111,62))+((Formula!G111)/(Formula!C111+Formula!E111+Formula!G111+Formula!I111+Formula!K111))*(INDEX(Properties!A$1:CB$87,Formula!F111,62))+((Formula!I111)/(Formula!C111+Formula!E111+Formula!G111+Formula!I111+Formula!K111))*(INDEX(Properties!A$1:CB$87,Formula!H111,62))+((Formula!K111)/(Formula!C111+Formula!E111+Formula!G111+Formula!I111+Formula!K111))*(INDEX(Properties!A$1:CB$87,Formula!J111,62))</f>
        <v>2.8752631578947367</v>
      </c>
      <c r="GG111" s="51">
        <f>Formula!C111*(INDEX(Properties!A$1:CB$87,Formula!B111,62))+Formula!E111*(INDEX(Properties!A$1:CB$87,Formula!D111,62))+Formula!G111*(INDEX(Properties!A$1:CB$87,Formula!F111,62))+Formula!I111*(INDEX(Properties!A$1:CB$87,Formula!H111,62))+Formula!K111*(INDEX(Properties!A$1:CB$87,Formula!J111,62))</f>
        <v>54.63</v>
      </c>
      <c r="GH111" s="51">
        <f>VARP(IF(INDEX(Properties!A$1:CB$87,Formula!B111,62)&lt;&gt;"",INDEX(Properties!A$1:CB$87,Formula!B111,62)),IF(INDEX(Properties!A$1:CB$87,Formula!D111,62)&lt;&gt;"",INDEX(Properties!A$1:CB$87,Formula!D111,62)),IF(INDEX(Properties!A$1:CB$87,Formula!F111,62)&lt;&gt;"",INDEX(Properties!A$1:CB$87,Formula!F111,62)),IF(INDEX(Properties!A$1:CB$87,Formula!H111,62)&lt;&gt;"",INDEX(Properties!A$1:CB$87,Formula!H111,62)),IF(INDEX(Properties!A$1:CB$87,Formula!J111,62)&lt;&gt;"",INDEX(Properties!A$1:CB$87,Formula!J111,62)))</f>
        <v>2.804975999999999</v>
      </c>
      <c r="GI111" s="51">
        <f>MAX(INDEX(Properties!A$1:CB$87,Formula!B111,62),INDEX(Properties!A$1:CB$87,Formula!D111,62),INDEX(Properties!A$1:CB$87,Formula!F111,62),INDEX(Properties!A$1:CB$87,Formula!H111,62),INDEX(Properties!A$1:CB$87,Formula!J111,62))</f>
        <v>4.63</v>
      </c>
      <c r="GJ111" s="51">
        <f>MIN(IF(INDEX(Properties!A$1:CB$87,Formula!B111,62)=0,10^6,INDEX(Properties!A$1:CB$87,Formula!B111,62)),IF(INDEX(Properties!A$1:CB$87,Formula!D111,62)=0,10^6,INDEX(Properties!A$1:CB$87,Formula!D111,62)),IF(INDEX(Properties!A$1:CB$87,Formula!F111,62)=0,10^6,INDEX(Properties!A$1:CB$87,Formula!F111,62)),IF(INDEX(Properties!A$1:CB$87,Formula!H111,62)=0,10^6,INDEX(Properties!A$1:CB$87,Formula!H111,62)),IF(INDEX(Properties!A$1:CB$87,Formula!J111,62)=0,10^6,INDEX(Properties!A$1:CB$87,Formula!J111,62)))</f>
        <v>1.72</v>
      </c>
      <c r="GK111" s="51">
        <f t="shared" si="63"/>
        <v>2.91</v>
      </c>
      <c r="GL111" s="51">
        <f>Formula!P111</f>
        <v>220</v>
      </c>
      <c r="GM111" s="57">
        <f>Formula!O111</f>
        <v>7</v>
      </c>
      <c r="GN111" s="51">
        <f>Formula!N111</f>
        <v>0.02</v>
      </c>
    </row>
    <row r="112" spans="1:196" x14ac:dyDescent="0.3">
      <c r="A112" s="84" t="str">
        <f>Formula!A112</f>
        <v>Li3Ba2Gd3(WO4)8</v>
      </c>
      <c r="B112" s="89">
        <f>((Formula!C112)/(Formula!C112+Formula!E112+Formula!G112+Formula!I112+Formula!K112))*(INDEX(Properties!A$1:CB$87,Formula!B112,3))+((Formula!E112)/(Formula!C112+Formula!E112+Formula!G112+Formula!I112+Formula!K112))*(INDEX(Properties!A$1:CB$87,Formula!D112,3))+((Formula!G112)/(Formula!C112+Formula!E112+Formula!G112+Formula!I112+Formula!K112))*(INDEX(Properties!A$1:CB$87,Formula!F112,3))+((Formula!I112)/(Formula!C112+Formula!E112+Formula!G112+Formula!I112+Formula!K112))*(INDEX(Properties!A$1:CB$87,Formula!H112,3))+((Formula!K112)/(Formula!C112+Formula!E112+Formula!G112+Formula!I112+Formula!K112))*(INDEX(Properties!A$1:CB$87,Formula!J112,3))</f>
        <v>57.290162500000001</v>
      </c>
      <c r="C112" s="85">
        <f>Formula!C112*(INDEX(Properties!A$1:CB$87,Formula!B112,3))+Formula!E112*(INDEX(Properties!A$1:CB$87,Formula!D112,3))+Formula!G112*(INDEX(Properties!A$1:CB$87,Formula!F112,3))+Formula!I112*(INDEX(Properties!A$1:CB$87,Formula!H112,3))+Formula!K112*(INDEX(Properties!A$1:CB$87,Formula!J112,3))</f>
        <v>2749.9277999999999</v>
      </c>
      <c r="D112" s="85">
        <f>VARP(IF(INDEX(Properties!A$1:CB$87,Formula!B112,3)&lt;&gt;"",INDEX(Properties!A$1:CB$87,Formula!B112,3)),IF(INDEX(Properties!A$1:CB$87,Formula!D112,3)&lt;&gt;"",INDEX(Properties!A$1:CB$87,Formula!D112,3)),IF(INDEX(Properties!A$1:CB$87,Formula!F112,3)&lt;&gt;"",INDEX(Properties!A$1:CB$87,Formula!F112,3)),IF(INDEX(Properties!A$1:CB$87,Formula!H112,3)&lt;&gt;"",INDEX(Properties!A$1:CB$87,Formula!H112,3)),IF(INDEX(Properties!A$1:CB$87,Formula!J112,3)&lt;&gt;"",INDEX(Properties!A$1:CB$87,Formula!J112,3)))</f>
        <v>5483.1445606816005</v>
      </c>
      <c r="E112" s="85">
        <f>MAX(INDEX(Properties!A$1:CB$87,Formula!B112,3),INDEX(Properties!A$1:CB$87,Formula!D112,3),INDEX(Properties!A$1:CB$87,Formula!F112,3),INDEX(Properties!A$1:CB$87,Formula!H112,3),INDEX(Properties!A$1:CB$87,Formula!J112,3))</f>
        <v>183.84</v>
      </c>
      <c r="F112" s="85">
        <f>MIN(IF(INDEX(Properties!A$1:CB$87,Formula!B112,3)=0,10^6,INDEX(Properties!A$1:CB$87,Formula!B112,3)),IF(INDEX(Properties!A$1:CB$87,Formula!D112,3)=0,10^6,INDEX(Properties!A$1:CB$87,Formula!D112,3)),IF(INDEX(Properties!A$1:CB$87,Formula!F112,3)=0,10^6,INDEX(Properties!A$1:CB$87,Formula!F112,3)),IF(INDEX(Properties!A$1:CB$87,Formula!H112,3)=0,10^6,INDEX(Properties!A$1:CB$87,Formula!H112,3)),IF(INDEX(Properties!A$1:CB$87,Formula!J112,3)=0,10^6,INDEX(Properties!A$1:CB$87,Formula!J112,3)))</f>
        <v>6.9409999999999998</v>
      </c>
      <c r="G112" s="85">
        <f t="shared" si="32"/>
        <v>176.899</v>
      </c>
      <c r="H112" s="87">
        <f>((Formula!C112)/(Formula!C112+Formula!E112+Formula!G112+Formula!I112+Formula!K112))*(INDEX(Properties!A$1:CB$87,Formula!B112,4))+((Formula!E112)/(Formula!C112+Formula!E112+Formula!G112+Formula!I112+Formula!K112))*(INDEX(Properties!A$1:CB$87,Formula!D112,4))+((Formula!G112)/(Formula!C112+Formula!E112+Formula!G112+Formula!I112+Formula!K112))*(INDEX(Properties!A$1:CB$87,Formula!F112,4))+((Formula!I112)/(Formula!C112+Formula!E112+Formula!G112+Formula!I112+Formula!K112))*(INDEX(Properties!A$1:CB$87,Formula!H112,4))+((Formula!K112)/(Formula!C112+Formula!E112+Formula!G112+Formula!I112+Formula!K112))*(INDEX(Properties!A$1:CB$87,Formula!J112,4))</f>
        <v>24.187499999999996</v>
      </c>
      <c r="I112" s="87">
        <f>Formula!C112*(INDEX(Properties!A$1:CB$87,Formula!B112,4))+Formula!E112*(INDEX(Properties!A$1:CB$87,Formula!D112,4))+Formula!G112*(INDEX(Properties!A$1:CB$87,Formula!F112,4))+Formula!I112*(INDEX(Properties!A$1:CB$87,Formula!H112,4))+Formula!K112*(INDEX(Properties!A$1:CB$87,Formula!J112,4))</f>
        <v>1161</v>
      </c>
      <c r="J112" s="87">
        <f>VARP(IF(INDEX(Properties!A$1:CB$87,Formula!B112,4)&lt;&gt;"",INDEX(Properties!A$1:CB$87,Formula!B112,4)),IF(INDEX(Properties!A$1:CB$87,Formula!D112,4)&lt;&gt;"",INDEX(Properties!A$1:CB$87,Formula!D112,4)),IF(INDEX(Properties!A$1:CB$87,Formula!F112,4)&lt;&gt;"",INDEX(Properties!A$1:CB$87,Formula!F112,4)),IF(INDEX(Properties!A$1:CB$87,Formula!H112,4)&lt;&gt;"",INDEX(Properties!A$1:CB$87,Formula!H112,4)),IF(INDEX(Properties!A$1:CB$87,Formula!J112,4)&lt;&gt;"",INDEX(Properties!A$1:CB$87,Formula!J112,4)))</f>
        <v>875.2</v>
      </c>
      <c r="K112" s="87">
        <f>MAX(INDEX(Properties!A$1:CB$87,Formula!B112,4),INDEX(Properties!A$1:CB$87,Formula!D112,4),INDEX(Properties!A$1:CB$87,Formula!F112,4),INDEX(Properties!A$1:CB$87,Formula!H112,4),INDEX(Properties!A$1:CB$87,Formula!J112,4))</f>
        <v>74</v>
      </c>
      <c r="L112" s="87">
        <f>MIN(IF(INDEX(Properties!A$1:CB$87,Formula!B112,4)=0,10^6,INDEX(Properties!A$1:CB$87,Formula!B112,4)),IF(INDEX(Properties!A$1:CB$87,Formula!D112,4)=0,10^6,INDEX(Properties!A$1:CB$87,Formula!D112,4)),IF(INDEX(Properties!A$1:CB$87,Formula!F112,4)=0,10^6,INDEX(Properties!A$1:CB$87,Formula!F112,4)),IF(INDEX(Properties!A$1:CB$87,Formula!H112,4)=0,10^6,INDEX(Properties!A$1:CB$87,Formula!H112,4)),IF(INDEX(Properties!A$1:CB$87,Formula!J112,4)=0,10^6,INDEX(Properties!A$1:CB$87,Formula!J112,4)))</f>
        <v>3</v>
      </c>
      <c r="M112" s="87">
        <f t="shared" si="33"/>
        <v>71</v>
      </c>
      <c r="N112" s="89">
        <f>((Formula!C112)/(Formula!C112+Formula!E112+Formula!G112+Formula!I112+Formula!K112))*(INDEX(Properties!A$1:CB$87,Formula!B112,5))+((Formula!E112)/(Formula!C112+Formula!E112+Formula!G112+Formula!I112+Formula!K112))*(INDEX(Properties!A$1:CB$87,Formula!D112,5))+((Formula!G112)/(Formula!C112+Formula!E112+Formula!G112+Formula!I112+Formula!K112))*(INDEX(Properties!A$1:CB$87,Formula!F112,5))+((Formula!I112)/(Formula!C112+Formula!E112+Formula!G112+Formula!I112+Formula!K112))*(INDEX(Properties!A$1:CB$87,Formula!H112,5))+((Formula!K112)/(Formula!C112+Formula!E112+Formula!G112+Formula!I112+Formula!K112))*(INDEX(Properties!A$1:CB$87,Formula!J112,5))</f>
        <v>3.083333333333333</v>
      </c>
      <c r="O112" s="89">
        <f>Formula!C112*(INDEX(Properties!A$1:CB$87,Formula!B112,5))+Formula!E112*(INDEX(Properties!A$1:CB$87,Formula!D112,5))+Formula!G112*(INDEX(Properties!A$1:CB$87,Formula!F112,5))+Formula!I112*(INDEX(Properties!A$1:CB$87,Formula!H112,5))+Formula!K112*(INDEX(Properties!A$1:CB$87,Formula!J112,5))</f>
        <v>148</v>
      </c>
      <c r="P112" s="89">
        <f>VARP(IF(INDEX(Properties!A$1:CB$87,Formula!B112,5)&lt;&gt;"",INDEX(Properties!A$1:CB$87,Formula!B112,5)),IF(INDEX(Properties!A$1:CB$87,Formula!D112,5)&lt;&gt;"",INDEX(Properties!A$1:CB$87,Formula!D112,5)),IF(INDEX(Properties!A$1:CB$87,Formula!F112,5)&lt;&gt;"",INDEX(Properties!A$1:CB$87,Formula!F112,5)),IF(INDEX(Properties!A$1:CB$87,Formula!H112,5)&lt;&gt;"",INDEX(Properties!A$1:CB$87,Formula!H112,5)),IF(INDEX(Properties!A$1:CB$87,Formula!J112,5)&lt;&gt;"",INDEX(Properties!A$1:CB$87,Formula!J112,5)))</f>
        <v>3.84</v>
      </c>
      <c r="Q112" s="89">
        <f>MAX(INDEX(Properties!A$1:CB$87,Formula!B112,5),INDEX(Properties!A$1:CB$87,Formula!D112,5),INDEX(Properties!A$1:CB$87,Formula!F112,5),INDEX(Properties!A$1:CB$87,Formula!H112,5),INDEX(Properties!A$1:CB$87,Formula!J112,5))</f>
        <v>6</v>
      </c>
      <c r="R112" s="89">
        <f>MIN(IF(INDEX(Properties!A$1:CB$87,Formula!B112,5)=0,10^6,INDEX(Properties!A$1:CB$87,Formula!B112,5)),IF(INDEX(Properties!A$1:CB$87,Formula!D112,5)=0,10^6,INDEX(Properties!A$1:CB$87,Formula!D112,5)),IF(INDEX(Properties!A$1:CB$87,Formula!F112,5)=0,10^6,INDEX(Properties!A$1:CB$87,Formula!F112,5)),IF(INDEX(Properties!A$1:CB$87,Formula!H112,5)=0,10^6,INDEX(Properties!A$1:CB$87,Formula!H112,5)),IF(INDEX(Properties!A$1:CB$87,Formula!J112,5)=0,10^6,INDEX(Properties!A$1:CB$87,Formula!J112,5)))</f>
        <v>2</v>
      </c>
      <c r="S112" s="89">
        <f t="shared" si="34"/>
        <v>4</v>
      </c>
      <c r="T112" s="60">
        <f>((Formula!C112)/(Formula!C112+Formula!E112+Formula!G112+Formula!I112+Formula!K112))*(INDEX(Properties!A$1:CB$87,Formula!B112,6))+((Formula!E112)/(Formula!C112+Formula!E112+Formula!G112+Formula!I112+Formula!K112))*(INDEX(Properties!A$1:CB$87,Formula!D112,6))+((Formula!G112)/(Formula!C112+Formula!E112+Formula!G112+Formula!I112+Formula!K112))*(INDEX(Properties!A$1:CB$87,Formula!F112,6))+((Formula!I112)/(Formula!C112+Formula!E112+Formula!G112+Formula!I112+Formula!K112))*(INDEX(Properties!A$1:CB$87,Formula!H112,6))+((Formula!K112)/(Formula!C112+Formula!E112+Formula!G112+Formula!I112+Formula!K112))*(INDEX(Properties!A$1:CB$87,Formula!J112,6))</f>
        <v>12</v>
      </c>
      <c r="U112" s="60">
        <f>Formula!C112*(INDEX(Properties!A$1:CB$87,Formula!B112,6))+Formula!E112*(INDEX(Properties!A$1:CB$87,Formula!D112,6))+Formula!G112*(INDEX(Properties!A$1:CB$87,Formula!F112,6))+Formula!I112*(INDEX(Properties!A$1:CB$87,Formula!H112,6))+Formula!K112*(INDEX(Properties!A$1:CB$87,Formula!J112,6))</f>
        <v>576</v>
      </c>
      <c r="V112" s="89">
        <f>VARP(IF(INDEX(Properties!A$1:CB$87,Formula!B112,6)&lt;&gt;"",INDEX(Properties!A$1:CB$87,Formula!B112,6)),IF(INDEX(Properties!A$1:CB$87,Formula!D112,6)&lt;&gt;"",INDEX(Properties!A$1:CB$87,Formula!D112,6)),IF(INDEX(Properties!A$1:CB$87,Formula!F112,6)&lt;&gt;"",INDEX(Properties!A$1:CB$87,Formula!F112,6)),IF(INDEX(Properties!A$1:CB$87,Formula!H112,6)&lt;&gt;"",INDEX(Properties!A$1:CB$87,Formula!H112,6)),IF(INDEX(Properties!A$1:CB$87,Formula!J112,6)&lt;&gt;"",INDEX(Properties!A$1:CB$87,Formula!J112,6)))</f>
        <v>29.84</v>
      </c>
      <c r="W112" s="60">
        <f>MAX(INDEX(Properties!A$1:CB$87,Formula!B112,6),INDEX(Properties!A$1:CB$87,Formula!D112,6),INDEX(Properties!A$1:CB$87,Formula!F112,6),INDEX(Properties!A$1:CB$87,Formula!H112,4),INDEX(Properties!A$1:CB$87,Formula!J112,6))</f>
        <v>74</v>
      </c>
      <c r="X112" s="60">
        <f>MIN(IF(INDEX(Properties!A$1:CB$87,Formula!B112,6)=0,10^6,INDEX(Properties!A$1:CB$87,Formula!B112,6)),IF(INDEX(Properties!A$1:CB$87,Formula!D112,6)=0,10^6,INDEX(Properties!A$1:CB$87,Formula!D112,6)),IF(INDEX(Properties!A$1:CB$87,Formula!F112,6)=0,10^6,INDEX(Properties!A$1:CB$87,Formula!F112,6)),IF(INDEX(Properties!A$1:CB$87,Formula!H112,6)=0,10^6,INDEX(Properties!A$1:CB$87,Formula!H112,6)),IF(INDEX(Properties!A$1:CB$87,Formula!J112,6)=0,10^6,INDEX(Properties!A$1:CB$87,Formula!J112,6)))</f>
        <v>1</v>
      </c>
      <c r="Y112" s="60">
        <f t="shared" si="35"/>
        <v>73</v>
      </c>
      <c r="Z112" s="72">
        <f>((Formula!C112)/(Formula!C112+Formula!E112+Formula!G112+Formula!I112+Formula!K112))*(INDEX(Properties!A$1:CB$87,Formula!B112,9))+((Formula!E112)/(Formula!C112+Formula!E112+Formula!G112+Formula!I112+Formula!K112))*(INDEX(Properties!A$1:CB$87,Formula!D112,9))+((Formula!G112)/(Formula!C112+Formula!E112+Formula!G112+Formula!I112+Formula!K112))*(INDEX(Properties!A$1:CB$87,Formula!F112,9))+((Formula!I112)/(Formula!C112+Formula!E112+Formula!G112+Formula!I112+Formula!K112))*(INDEX(Properties!A$1:CB$87,Formula!H112,9))+((Formula!K112)/(Formula!C112+Formula!E112+Formula!G112+Formula!I112+Formula!K112))*(INDEX(Properties!A$1:CB$87,Formula!J112,9))</f>
        <v>68.625</v>
      </c>
      <c r="AA112" s="72">
        <f>Formula!C112*(INDEX(Properties!A$1:CB$87,Formula!B112,9))+Formula!E112*(INDEX(Properties!A$1:CB$87,Formula!D112,9))+Formula!G112*(INDEX(Properties!A$1:CB$87,Formula!F112,9))+Formula!I112*(INDEX(Properties!A$1:CB$87,Formula!H112,9))+Formula!K112*(INDEX(Properties!A$1:CB$87,Formula!J112,9))</f>
        <v>3294</v>
      </c>
      <c r="AB112" s="72">
        <f>VARP(IF(INDEX(Properties!A$1:CB$87,Formula!B112,9)&lt;&gt;"",INDEX(Properties!A$1:CB$87,Formula!B112,9)),IF(INDEX(Properties!A$1:CB$87,Formula!D112,9)&lt;&gt;"",INDEX(Properties!A$1:CB$87,Formula!D112,9)),IF(INDEX(Properties!A$1:CB$87,Formula!F112,9)&lt;&gt;"",INDEX(Properties!A$1:CB$87,Formula!F112,9)),IF(INDEX(Properties!A$1:CB$87,Formula!H112,9)&lt;&gt;"",INDEX(Properties!A$1:CB$87,Formula!H112,9)),IF(INDEX(Properties!A$1:CB$87,Formula!J112,9)&lt;&gt;"",INDEX(Properties!A$1:CB$87,Formula!J112,9)))</f>
        <v>971.2</v>
      </c>
      <c r="AC112" s="72">
        <f>MAX(INDEX(Properties!A$1:CB$87,Formula!B112,9),INDEX(Properties!A$1:CB$87,Formula!D112,9),INDEX(Properties!A$1:CB$87,Formula!F112,9),INDEX(Properties!A$1:CB$87,Formula!H112,9),INDEX(Properties!A$1:CB$87,Formula!J112,9))</f>
        <v>87</v>
      </c>
      <c r="AD112" s="72">
        <f>MIN(IF(INDEX(Properties!A$1:CB$87,Formula!B112,9)=0,10^6,INDEX(Properties!A$1:CB$87,Formula!B112,9)),IF(INDEX(Properties!A$1:CB$87,Formula!D112,9)=0,10^6,INDEX(Properties!A$1:CB$87,Formula!D112,9)),IF(INDEX(Properties!A$1:CB$87,Formula!F112,9)=0,10^6,INDEX(Properties!A$1:CB$87,Formula!F112,9)),IF(INDEX(Properties!A$1:CB$87,Formula!H112,9)=0,10^6,INDEX(Properties!A$1:CB$87,Formula!H112,9)),IF(INDEX(Properties!A$1:CB$87,Formula!J112,9)=0,10^6,INDEX(Properties!A$1:CB$87,Formula!J112,9)))</f>
        <v>1</v>
      </c>
      <c r="AE112" s="72">
        <f t="shared" si="36"/>
        <v>86</v>
      </c>
      <c r="AF112" s="51">
        <f>((Formula!C112)/(Formula!C112+Formula!E112+Formula!G112+Formula!I112+Formula!K112))*(INDEX(Properties!A$1:CB$87,Formula!B112,10))+((Formula!E112)/(Formula!C112+Formula!E112+Formula!G112+Formula!I112+Formula!K112))*(INDEX(Properties!A$1:CB$87,Formula!D112,10))+((Formula!G112)/(Formula!C112+Formula!E112+Formula!G112+Formula!I112+Formula!K112))*(INDEX(Properties!A$1:CB$87,Formula!F112,10))+((Formula!I112)/(Formula!C112+Formula!E112+Formula!G112+Formula!I112+Formula!K112))*(INDEX(Properties!A$1:CB$87,Formula!H112,10))+((Formula!K112)/(Formula!C112+Formula!E112+Formula!G112+Formula!I112+Formula!K112))*(INDEX(Properties!A$1:CB$87,Formula!J112,10))</f>
        <v>5.6666666666666661</v>
      </c>
      <c r="AG112" s="51">
        <f>Formula!C112*(INDEX(Properties!A$1:CB$87,Formula!B112,10))+Formula!E112*(INDEX(Properties!A$1:CB$87,Formula!D112,10))+Formula!G112*(INDEX(Properties!A$1:CB$87,Formula!F112,10))+Formula!I112*(INDEX(Properties!A$1:CB$87,Formula!H112,10))+Formula!K112*(INDEX(Properties!A$1:CB$87,Formula!J112,10))</f>
        <v>272</v>
      </c>
      <c r="AH112" s="51">
        <f>VARP(IF(INDEX(Properties!A$1:CB$87,Formula!B112,10)&lt;&gt;"",INDEX(Properties!A$1:CB$87,Formula!B112,10)),IF(INDEX(Properties!A$1:CB$87,Formula!D112,10)&lt;&gt;"",INDEX(Properties!A$1:CB$87,Formula!D112,10)),IF(INDEX(Properties!A$1:CB$87,Formula!F112,10)&lt;&gt;"",INDEX(Properties!A$1:CB$87,Formula!F112,10)),IF(INDEX(Properties!A$1:CB$87,Formula!H112,10)&lt;&gt;"",INDEX(Properties!A$1:CB$87,Formula!H112,10)),IF(INDEX(Properties!A$1:CB$87,Formula!J112,10)&lt;&gt;"",INDEX(Properties!A$1:CB$87,Formula!J112,10)))</f>
        <v>4.24</v>
      </c>
      <c r="AI112" s="51">
        <f>MAX(INDEX(Properties!A$1:CB$87,Formula!B112,10),INDEX(Properties!A$1:CB$87,Formula!D112,10),INDEX(Properties!A$1:CB$87,Formula!F112,10),INDEX(Properties!A$1:CB$87,Formula!H112,10),INDEX(Properties!A$1:CB$87,Formula!J112,10))</f>
        <v>7</v>
      </c>
      <c r="AJ112" s="51">
        <f>MIN(IF(INDEX(Properties!A$1:CB$87,Formula!B112,10)=0,10^6,INDEX(Properties!A$1:CB$87,Formula!B112,10)),IF(INDEX(Properties!A$1:CB$87,Formula!D112,10)=0,10^6,INDEX(Properties!A$1:CB$87,Formula!D112,10)),IF(INDEX(Properties!A$1:CB$87,Formula!F112,10)=0,10^6,INDEX(Properties!A$1:CB$87,Formula!F112,10)),IF(INDEX(Properties!A$1:CB$87,Formula!H112,10)=0,10^6,INDEX(Properties!A$1:CB$87,Formula!H112,10)),IF(INDEX(Properties!A$1:CB$87,Formula!J112,10)=0,10^6,INDEX(Properties!A$1:CB$87,Formula!J112,10)))</f>
        <v>1</v>
      </c>
      <c r="AK112" s="51">
        <f t="shared" si="37"/>
        <v>6</v>
      </c>
      <c r="AL112" s="57">
        <f>((Formula!C112)/(Formula!C112+Formula!E112+Formula!G112+Formula!I112+Formula!K112))*(INDEX(Properties!A$1:CB$87,Formula!B112,11))+((Formula!E112)/(Formula!C112+Formula!E112+Formula!G112+Formula!I112+Formula!K112))*(INDEX(Properties!A$1:CB$87,Formula!D112,11))+((Formula!G112)/(Formula!C112+Formula!E112+Formula!G112+Formula!I112+Formula!K112))*(INDEX(Properties!A$1:CB$87,Formula!F112,11))+((Formula!I112)/(Formula!C112+Formula!E112+Formula!G112+Formula!I112+Formula!K112))*(INDEX(Properties!A$1:CB$87,Formula!H112,11))+((Formula!K112)/(Formula!C112+Formula!E112+Formula!G112+Formula!I112+Formula!K112))*(INDEX(Properties!A$1:CB$87,Formula!J112,11))</f>
        <v>1.9375</v>
      </c>
      <c r="AM112" s="57">
        <f>Formula!C112*(INDEX(Properties!A$1:CB$87,Formula!B112,11))+Formula!E112*(INDEX(Properties!A$1:CB$87,Formula!D112,11))+Formula!G112*(INDEX(Properties!A$1:CB$87,Formula!F112,11))+Formula!I112*(INDEX(Properties!A$1:CB$87,Formula!H112,11))+Formula!K112*(INDEX(Properties!A$1:CB$87,Formula!J112,11))</f>
        <v>93</v>
      </c>
      <c r="AN112" s="57">
        <f>VARP(IF(INDEX(Properties!A$1:CB$87,Formula!B112,11)&lt;&gt;"",INDEX(Properties!A$1:CB$87,Formula!B112,11)),IF(INDEX(Properties!A$1:CB$87,Formula!D112,11)&lt;&gt;"",INDEX(Properties!A$1:CB$87,Formula!D112,11)),IF(INDEX(Properties!A$1:CB$87,Formula!F112,11)&lt;&gt;"",INDEX(Properties!A$1:CB$87,Formula!F112,11)),IF(INDEX(Properties!A$1:CB$87,Formula!H112,11)&lt;&gt;"",INDEX(Properties!A$1:CB$87,Formula!H112,11)),IF(INDEX(Properties!A$1:CB$87,Formula!J112,11)&lt;&gt;"",INDEX(Properties!A$1:CB$87,Formula!J112,11)))</f>
        <v>0.16</v>
      </c>
      <c r="AO112" s="57">
        <f>MAX(INDEX(Properties!A$1:CB$87,Formula!B112,11),INDEX(Properties!A$1:CB$87,Formula!D112,11),INDEX(Properties!A$1:CB$87,Formula!F112,11),INDEX(Properties!A$1:CB$87,Formula!H112,11),INDEX(Properties!A$1:CB$87,Formula!J112,11))</f>
        <v>2</v>
      </c>
      <c r="AP112" s="57">
        <f>MIN(IF(Formula!B112=87,10^6,INDEX(Properties!A$1:CB$87,Formula!B112,11)),IF((Formula!D112)=87,10^6,INDEX(Properties!A$1:CB$87,Formula!D112,11)),IF((Formula!F112)=87,10^6,INDEX(Properties!A$1:CB$87,Formula!F112,11)),IF((Formula!H112)=87,10^6,INDEX(Properties!A$1:CB$87,Formula!H112,11)),IF(Formula!J112=87,10^6,INDEX(Properties!A$1:CB$87,Formula!J112,11)))</f>
        <v>1</v>
      </c>
      <c r="AQ112" s="57">
        <f t="shared" si="38"/>
        <v>1</v>
      </c>
      <c r="AR112" s="78">
        <f>((Formula!C112)/(Formula!C112+Formula!E112+Formula!G112+Formula!I112+Formula!K112))*(INDEX(Properties!A$1:CB$87,Formula!B112,12))+((Formula!E112)/(Formula!C112+Formula!E112+Formula!G112+Formula!I112+Formula!K112))*(INDEX(Properties!A$1:CB$87,Formula!D112,12))+((Formula!G112)/(Formula!C112+Formula!E112+Formula!G112+Formula!I112+Formula!K112))*(INDEX(Properties!A$1:CB$87,Formula!F112,12))+((Formula!I112)/(Formula!C112+Formula!E112+Formula!G112+Formula!I112+Formula!K112))*(INDEX(Properties!A$1:CB$87,Formula!H112,12))+((Formula!K112)/(Formula!C112+Formula!E112+Formula!G112+Formula!I112+Formula!K112))*(INDEX(Properties!A$1:CB$87,Formula!J112,12))</f>
        <v>2.6666666666666665</v>
      </c>
      <c r="AS112" s="78">
        <f>Formula!C112*(INDEX(Properties!A$1:CB$87,Formula!B112,12))+Formula!E112*(INDEX(Properties!A$1:CB$87,Formula!D112,12))+Formula!G112*(INDEX(Properties!A$1:CB$87,Formula!F112,12))+Formula!I112*(INDEX(Properties!A$1:CB$87,Formula!H112,12))+Formula!K112*(INDEX(Properties!A$1:CB$87,Formula!J112,12))</f>
        <v>128</v>
      </c>
      <c r="AT112" s="78">
        <f>VARP(IF(INDEX(Properties!A$1:CB$87,Formula!B112,12)&lt;&gt;"",INDEX(Properties!A$1:CB$87,Formula!B112,12)),IF(INDEX(Properties!A$1:CB$87,Formula!D112,12)&lt;&gt;"",INDEX(Properties!A$1:CB$87,Formula!D112,12)),IF(INDEX(Properties!A$1:CB$87,Formula!F112,12)&lt;&gt;"",INDEX(Properties!A$1:CB$87,Formula!F112,12)),IF(INDEX(Properties!A$1:CB$87,Formula!H112,12)&lt;&gt;"",INDEX(Properties!A$1:CB$87,Formula!H112,12)),IF(INDEX(Properties!A$1:CB$87,Formula!J112,12)&lt;&gt;"",INDEX(Properties!A$1:CB$87,Formula!J112,12)))</f>
        <v>2.56</v>
      </c>
      <c r="AU112" s="78">
        <f>MAX(INDEX(Properties!A$1:CB$87,Formula!B112,12),INDEX(Properties!A$1:CB$87,Formula!D112,12),INDEX(Properties!A$1:CB$87,Formula!F112,12),INDEX(Properties!A$1:CB$87,Formula!H112,12),INDEX(Properties!A$1:CB$87,Formula!J112,12))</f>
        <v>4</v>
      </c>
      <c r="AV112" s="78">
        <f>MIN(IF(Formula!B112=87,10^6,INDEX(Properties!A$1:CB$87,Formula!B112,12)),IF((Formula!D112)=87,10^6,INDEX(Properties!A$1:CB$87,Formula!D112,12)),IF((Formula!F112)=87,10^6,INDEX(Properties!A$1:CB$87,Formula!F112,12)),IF((Formula!H112)=87,10^6,INDEX(Properties!A$1:CB$87,Formula!H112,12)),IF(Formula!J112=87,10^6,INDEX(Properties!A$1:CB$87,Formula!J112,12)))</f>
        <v>0</v>
      </c>
      <c r="AW112" s="78">
        <f t="shared" si="39"/>
        <v>4</v>
      </c>
      <c r="AX112" s="45">
        <f>((Formula!C112)/(Formula!C112+Formula!E112+Formula!G112+Formula!I112+Formula!K112))*(INDEX(Properties!A$1:CB$87,Formula!B112,13))+((Formula!E112)/(Formula!C112+Formula!E112+Formula!G112+Formula!I112+Formula!K112))*(INDEX(Properties!A$1:CB$87,Formula!D112,13))+((Formula!G112)/(Formula!C112+Formula!E112+Formula!G112+Formula!I112+Formula!K112))*(INDEX(Properties!A$1:CB$87,Formula!F112,13))+((Formula!I112)/(Formula!C112+Formula!E112+Formula!G112+Formula!I112+Formula!K112))*(INDEX(Properties!A$1:CB$87,Formula!H112,13))+((Formula!K112)/(Formula!C112+Formula!E112+Formula!G112+Formula!I112+Formula!K112))*(INDEX(Properties!A$1:CB$87,Formula!J112,13))</f>
        <v>0.72916666666666663</v>
      </c>
      <c r="AY112" s="45">
        <f>Formula!C112*(INDEX(Properties!A$1:CB$87,Formula!B112,13))+Formula!E112*(INDEX(Properties!A$1:CB$87,Formula!D112,13))+Formula!G112*(INDEX(Properties!A$1:CB$87,Formula!F112,13))+Formula!I112*(INDEX(Properties!A$1:CB$87,Formula!H112,13))+Formula!K112*(INDEX(Properties!A$1:CB$87,Formula!J112,13))</f>
        <v>35</v>
      </c>
      <c r="AZ112" s="45">
        <f>VARP(IF(INDEX(Properties!A$1:CB$87,Formula!B112,13)&lt;&gt;"",INDEX(Properties!A$1:CB$87,Formula!B112,13)),IF(INDEX(Properties!A$1:CB$87,Formula!D112,13)&lt;&gt;"",INDEX(Properties!A$1:CB$87,Formula!D112,13)),IF(INDEX(Properties!A$1:CB$87,Formula!F112,13)&lt;&gt;"",INDEX(Properties!A$1:CB$87,Formula!F112,13)),IF(INDEX(Properties!A$1:CB$87,Formula!H112,13)&lt;&gt;"",INDEX(Properties!A$1:CB$87,Formula!H112,13)),IF(INDEX(Properties!A$1:CB$87,Formula!J112,13)&lt;&gt;"",INDEX(Properties!A$1:CB$87,Formula!J112,13)))</f>
        <v>2.4</v>
      </c>
      <c r="BA112" s="45">
        <f>MAX(INDEX(Properties!A$1:CB$87,Formula!B112,13),INDEX(Properties!A$1:CB$87,Formula!D112,13),INDEX(Properties!A$1:CB$87,Formula!F112,13),INDEX(Properties!A$1:CB$87,Formula!H112,13),INDEX(Properties!A$1:CB$87,Formula!J112,13))</f>
        <v>4</v>
      </c>
      <c r="BB112" s="45">
        <f>MIN(IF(Formula!B112=87,10^6,INDEX(Properties!A$1:CB$87,Formula!B112,13)),IF((Formula!D112)=87,10^6,INDEX(Properties!A$1:CB$87,Formula!D112,13)),IF((Formula!F112)=87,10^6,INDEX(Properties!A$1:CB$87,Formula!F112,13)),IF((Formula!H112)=87,10^6,INDEX(Properties!A$1:CB$87,Formula!H112,13)),IF(Formula!J112=87,10^6,INDEX(Properties!A$1:CB$87,Formula!J112,13)))</f>
        <v>0</v>
      </c>
      <c r="BC112" s="45">
        <f t="shared" si="40"/>
        <v>4</v>
      </c>
      <c r="BD112" s="63">
        <f>((Formula!C112)/(Formula!C112+Formula!E112+Formula!G112+Formula!I112+Formula!K112))*(INDEX(Properties!A$1:CB$87,Formula!B112,14))+((Formula!E112)/(Formula!C112+Formula!E112+Formula!G112+Formula!I112+Formula!K112))*(INDEX(Properties!A$1:CB$87,Formula!D112,14))+((Formula!G112)/(Formula!C112+Formula!E112+Formula!G112+Formula!I112+Formula!K112))*(INDEX(Properties!A$1:CB$87,Formula!F112,14))+((Formula!I112)/(Formula!C112+Formula!E112+Formula!G112+Formula!I112+Formula!K112))*(INDEX(Properties!A$1:CB$87,Formula!H112,14))+((Formula!K112)/(Formula!C112+Formula!E112+Formula!G112+Formula!I112+Formula!K112))*(INDEX(Properties!A$1:CB$87,Formula!J112,14))</f>
        <v>2.770833333333333</v>
      </c>
      <c r="BE112" s="63">
        <f>Formula!C112*(INDEX(Properties!A$1:CB$87,Formula!B112,14))+Formula!E112*(INDEX(Properties!A$1:CB$87,Formula!D112,14))+Formula!G112*(INDEX(Properties!A$1:CB$87,Formula!F112,14))+Formula!I112*(INDEX(Properties!A$1:CB$87,Formula!H112,14))+Formula!K112*(INDEX(Properties!A$1:CB$87,Formula!J112,14))</f>
        <v>133</v>
      </c>
      <c r="BF112" s="63">
        <f>VARP(IF(INDEX(Properties!A$1:CB$87,Formula!B112,14)&lt;&gt;"",INDEX(Properties!A$1:CB$87,Formula!B112,14)),IF(INDEX(Properties!A$1:CB$87,Formula!D112,14)&lt;&gt;"",INDEX(Properties!A$1:CB$87,Formula!D112,14)),IF(INDEX(Properties!A$1:CB$87,Formula!F112,14)&lt;&gt;"",INDEX(Properties!A$1:CB$87,Formula!F112,14)),IF(INDEX(Properties!A$1:CB$87,Formula!H112,14)&lt;&gt;"",INDEX(Properties!A$1:CB$87,Formula!H112,14)),IF(INDEX(Properties!A$1:CB$87,Formula!J112,14)&lt;&gt;"",INDEX(Properties!A$1:CB$87,Formula!J112,14)))</f>
        <v>31.36</v>
      </c>
      <c r="BG112" s="63">
        <f>MAX(INDEX(Properties!A$1:CB$87,Formula!B112,14),INDEX(Properties!A$1:CB$87,Formula!D112,14),INDEX(Properties!A$1:CB$87,Formula!F112,14),INDEX(Properties!A$1:CB$87,Formula!H112,14),INDEX(Properties!A$1:CB$87,Formula!J112,14))</f>
        <v>14</v>
      </c>
      <c r="BH112" s="63">
        <f>MIN(IF(Formula!B112=87,10^6,INDEX(Properties!A$1:CB$87,Formula!B112,14)),IF((Formula!D112)=87,10^6,INDEX(Properties!A$1:CB$87,Formula!D112,14)),IF((Formula!F112)=87,10^6,INDEX(Properties!A$1:CB$87,Formula!F112,14)),IF((Formula!H112)=87,10^6,INDEX(Properties!A$1:CB$87,Formula!H112,14)),IF(Formula!J112=87,10^6,INDEX(Properties!A$1:CB$87,Formula!J112,14)))</f>
        <v>0</v>
      </c>
      <c r="BI112" s="63">
        <f t="shared" si="41"/>
        <v>14</v>
      </c>
      <c r="BJ112" s="75">
        <f>((Formula!C112)/(Formula!C112+Formula!E112+Formula!G112+Formula!I112+Formula!K112))*(INDEX(Properties!A$1:CB$87,Formula!B112,19))+((Formula!E112)/(Formula!C112+Formula!E112+Formula!G112+Formula!I112+Formula!K112))*(INDEX(Properties!A$1:CB$87,Formula!D112,19))+((Formula!G112)/(Formula!C112+Formula!E112+Formula!G112+Formula!I112+Formula!K112))*(INDEX(Properties!A$1:CB$87,Formula!F112,19))+((Formula!I112)/(Formula!C112+Formula!E112+Formula!G112+Formula!I112+Formula!K112))*(INDEX(Properties!A$1:CB$87,Formula!H112,19))+((Formula!K112)/(Formula!C112+Formula!E112+Formula!G112+Formula!I112+Formula!K112))*(INDEX(Properties!A$1:CB$87,Formula!J112,19))</f>
        <v>8.1041666666666661</v>
      </c>
      <c r="BK112" s="75">
        <f>Formula!C112*(INDEX(Properties!A$1:CB$87,Formula!B112,19))+Formula!E112*(INDEX(Properties!A$1:CB$87,Formula!D112,19))+Formula!G112*(INDEX(Properties!A$1:CB$87,Formula!F112,19))+Formula!I112*(INDEX(Properties!A$1:CB$87,Formula!H112,19))+Formula!K112*(INDEX(Properties!A$1:CB$87,Formula!J112,19))</f>
        <v>389</v>
      </c>
      <c r="BL112" s="75">
        <f>VARP(IF(INDEX(Properties!A$1:CB$87,Formula!B112,19)&lt;&gt;"",INDEX(Properties!A$1:CB$87,Formula!B112,19)),IF(INDEX(Properties!A$1:CB$87,Formula!D112,19)&lt;&gt;"",INDEX(Properties!A$1:CB$87,Formula!D112,19)),IF(INDEX(Properties!A$1:CB$87,Formula!F112,19)&lt;&gt;"",INDEX(Properties!A$1:CB$87,Formula!F112,19)),IF(INDEX(Properties!A$1:CB$87,Formula!H112,19)&lt;&gt;"",INDEX(Properties!A$1:CB$87,Formula!H112,19)),IF(INDEX(Properties!A$1:CB$87,Formula!J112,19)&lt;&gt;"",INDEX(Properties!A$1:CB$87,Formula!J112,19)))</f>
        <v>47.36</v>
      </c>
      <c r="BM112" s="75">
        <f>MAX(INDEX(Properties!A$1:CB$87,Formula!B112,19),INDEX(Properties!A$1:CB$87,Formula!D112,19),INDEX(Properties!A$1:CB$87,Formula!F112,19),INDEX(Properties!A$1:CB$87,Formula!H112,19),INDEX(Properties!A$1:CB$87,Formula!J112,19))</f>
        <v>20</v>
      </c>
      <c r="BN112" s="75">
        <f>MIN(IF(INDEX(Properties!A$1:CB$87,Formula!B112,19)=0,10^6,INDEX(Properties!A$1:CB$87,Formula!B112,19)),IF(INDEX(Properties!A$1:CB$87,Formula!D112,19)=0,10^6,INDEX(Properties!A$1:CB$87,Formula!D112,19)),IF(INDEX(Properties!A$1:CB$87,Formula!F112,19)=0,10^6,INDEX(Properties!A$1:CB$87,Formula!F112,19)),IF(INDEX(Properties!A$1:CB$87,Formula!H112,19)=0,10^6,INDEX(Properties!A$1:CB$87,Formula!H112,19)),IF(INDEX(Properties!A$1:CB$87,Formula!J112,19)=0,10^6,INDEX(Properties!A$1:CB$87,Formula!J112,19)))</f>
        <v>1</v>
      </c>
      <c r="BO112" s="75">
        <f t="shared" si="42"/>
        <v>19</v>
      </c>
      <c r="BP112" s="48">
        <f>((Formula!C112)/(Formula!C112+Formula!E112+Formula!G112+Formula!I112+Formula!K112))*(INDEX(Properties!A$1:CB$87,Formula!B112,20))+((Formula!E112)/(Formula!C112+Formula!E112+Formula!G112+Formula!I112+Formula!K112))*(INDEX(Properties!A$1:CB$87,Formula!D112,20))+((Formula!G112)/(Formula!C112+Formula!E112+Formula!G112+Formula!I112+Formula!K112))*(INDEX(Properties!A$1:CB$87,Formula!F112,20))+((Formula!I112)/(Formula!C112+Formula!E112+Formula!G112+Formula!I112+Formula!K112))*(INDEX(Properties!A$1:CB$87,Formula!H112,20))+((Formula!K112)/(Formula!C112+Formula!E112+Formula!G112+Formula!I112+Formula!K112))*(INDEX(Properties!A$1:CB$87,Formula!J112,20))</f>
        <v>4.604166666666667</v>
      </c>
      <c r="BQ112" s="48">
        <f>Formula!C112*(INDEX(Properties!A$1:CB$87,Formula!B112,20))+Formula!E112*(INDEX(Properties!A$1:CB$87,Formula!D112,20))+Formula!G112*(INDEX(Properties!A$1:CB$87,Formula!F112,20))+Formula!I112*(INDEX(Properties!A$1:CB$87,Formula!H112,20))+Formula!K112*(INDEX(Properties!A$1:CB$87,Formula!J112,20))</f>
        <v>221</v>
      </c>
      <c r="BR112" s="48">
        <f>VARP(IF(INDEX(Properties!A$1:CB$87,Formula!B112,20)&lt;&gt;"",INDEX(Properties!A$1:CB$87,Formula!B112,20)),IF(INDEX(Properties!A$1:CB$87,Formula!D112,20)&lt;&gt;"",INDEX(Properties!A$1:CB$87,Formula!D112,20)),IF(INDEX(Properties!A$1:CB$87,Formula!F112,20)&lt;&gt;"",INDEX(Properties!A$1:CB$87,Formula!F112,20)),IF(INDEX(Properties!A$1:CB$87,Formula!H112,20)&lt;&gt;"",INDEX(Properties!A$1:CB$87,Formula!H112,20)),IF(INDEX(Properties!A$1:CB$87,Formula!J112,20)&lt;&gt;"",INDEX(Properties!A$1:CB$87,Formula!J112,20)))</f>
        <v>3.04</v>
      </c>
      <c r="BS112" s="48">
        <f>MAX(INDEX(Properties!A$1:CB$87,Formula!B112,20),INDEX(Properties!A$1:CB$87,Formula!D112,20),INDEX(Properties!A$1:CB$87,Formula!F112,20),INDEX(Properties!A$1:CB$87,Formula!H112,20),INDEX(Properties!A$1:CB$87,Formula!J112,20))</f>
        <v>6</v>
      </c>
      <c r="BT112" s="48">
        <f>MIN(IF(INDEX(Properties!A$1:CB$87,Formula!B112,20)=0,10^6,INDEX(Properties!A$1:CB$87,Formula!B112,20)),IF(INDEX(Properties!A$1:CB$87,Formula!D112,20)=0,10^6,INDEX(Properties!A$1:CB$87,Formula!D112,20)),IF(INDEX(Properties!A$1:CB$87,Formula!F112,20)=0,10^6,INDEX(Properties!A$1:CB$87,Formula!F112,20)),IF(INDEX(Properties!A$1:CB$87,Formula!H112,20)=0,10^6,INDEX(Properties!A$1:CB$87,Formula!H112,20)),IF(INDEX(Properties!A$1:CB$87,Formula!J112,20)=0,10^6,INDEX(Properties!A$1:CB$87,Formula!J112,20)))</f>
        <v>1</v>
      </c>
      <c r="BU112" s="48">
        <f t="shared" si="43"/>
        <v>5</v>
      </c>
      <c r="BV112" s="66">
        <f>((Formula!C112)/(Formula!C112+Formula!E112+Formula!G112+Formula!I112+Formula!K112))*(INDEX(Properties!A$1:CB$87,Formula!B112,21))+((Formula!E112)/(Formula!C112+Formula!E112+Formula!G112+Formula!I112+Formula!K112))*(INDEX(Properties!A$1:CB$87,Formula!D112,21))+((Formula!G112)/(Formula!C112+Formula!E112+Formula!G112+Formula!I112+Formula!K112))*(INDEX(Properties!A$1:CB$87,Formula!F112,21))+((Formula!I112)/(Formula!C112+Formula!E112+Formula!G112+Formula!I112+Formula!K112))*(INDEX(Properties!A$1:CB$87,Formula!H112,21))+((Formula!K112)/(Formula!C112+Formula!E112+Formula!G112+Formula!I112+Formula!K112))*(INDEX(Properties!A$1:CB$87,Formula!J112,21))</f>
        <v>5</v>
      </c>
      <c r="BW112" s="66">
        <f>Formula!C112*(INDEX(Properties!A$1:CB$87,Formula!B112,21))+Formula!E112*(INDEX(Properties!A$1:CB$87,Formula!D112,21))+Formula!G112*(INDEX(Properties!A$1:CB$87,Formula!F112,21))+Formula!I112*(INDEX(Properties!A$1:CB$87,Formula!H112,21))+Formula!K112*(INDEX(Properties!A$1:CB$87,Formula!J112,21))</f>
        <v>240</v>
      </c>
      <c r="BX112" s="66">
        <f>VARP(IF(INDEX(Properties!A$1:CB$87,Formula!B112,21)&lt;&gt;"",INDEX(Properties!A$1:CB$87,Formula!B112,21)),IF(INDEX(Properties!A$1:CB$87,Formula!D112,21)&lt;&gt;"",INDEX(Properties!A$1:CB$87,Formula!D112,21)),IF(INDEX(Properties!A$1:CB$87,Formula!F112,21)&lt;&gt;"",INDEX(Properties!A$1:CB$87,Formula!F112,21)),IF(INDEX(Properties!A$1:CB$87,Formula!H112,21)&lt;&gt;"",INDEX(Properties!A$1:CB$87,Formula!H112,21)),IF(INDEX(Properties!A$1:CB$87,Formula!J112,21)&lt;&gt;"",INDEX(Properties!A$1:CB$87,Formula!J112,21)))</f>
        <v>2.96</v>
      </c>
      <c r="BY112" s="66">
        <f>MAX(INDEX(Properties!A$1:CB$87,Formula!B112,21),INDEX(Properties!A$1:CB$87,Formula!D112,21),INDEX(Properties!A$1:CB$87,Formula!F112,21),INDEX(Properties!A$1:CB$87,Formula!H112,21),INDEX(Properties!A$1:CB$87,Formula!J112,21))</f>
        <v>6</v>
      </c>
      <c r="BZ112" s="66">
        <f>MIN(IF(INDEX(Properties!A$1:CB$87,Formula!B112,21)=0,10^6,INDEX(Properties!A$1:CB$87,Formula!B112,21)),IF(INDEX(Properties!A$1:CB$87,Formula!D112,21)=0,10^6,INDEX(Properties!A$1:CB$87,Formula!D112,21)),IF(INDEX(Properties!A$1:CB$87,Formula!F112,21)=0,10^6,INDEX(Properties!A$1:CB$87,Formula!F112,21)),IF(INDEX(Properties!A$1:CB$87,Formula!H112,21)=0,10^6,INDEX(Properties!A$1:CB$87,Formula!H112,21)),IF(INDEX(Properties!A$1:CB$87,Formula!J112,21)=0,10^6,INDEX(Properties!A$1:CB$87,Formula!J112,21)))</f>
        <v>1</v>
      </c>
      <c r="CA112" s="66">
        <f t="shared" si="44"/>
        <v>5</v>
      </c>
      <c r="CB112" s="81">
        <f>((Formula!C112)/(Formula!C112+Formula!E112+Formula!G112+Formula!I112+Formula!K112))*(INDEX(Properties!A$1:CB$87,Formula!B112,23))+((Formula!E112)/(Formula!C112+Formula!E112+Formula!G112+Formula!I112+Formula!K112))*(INDEX(Properties!A$1:CB$87,Formula!D112,23))+((Formula!G112)/(Formula!C112+Formula!E112+Formula!G112+Formula!I112+Formula!K112))*(INDEX(Properties!A$1:CB$87,Formula!F112,23))+((Formula!I112)/(Formula!C112+Formula!E112+Formula!G112+Formula!I112+Formula!K112))*(INDEX(Properties!A$1:CB$87,Formula!H112,23))+((Formula!K112)/(Formula!C112+Formula!E112+Formula!G112+Formula!I112+Formula!K112))*(INDEX(Properties!A$1:CB$87,Formula!J112,23))</f>
        <v>1.2966666666666666</v>
      </c>
      <c r="CC112" s="81">
        <f>Formula!C112*(INDEX(Properties!A$1:CB$87,Formula!B112,23))+Formula!E112*(INDEX(Properties!A$1:CB$87,Formula!D112,23))+Formula!G112*(INDEX(Properties!A$1:CB$87,Formula!F112,23))+Formula!I112*(INDEX(Properties!A$1:CB$87,Formula!H112,23))+Formula!K112*(INDEX(Properties!A$1:CB$87,Formula!J112,23))</f>
        <v>62.24</v>
      </c>
      <c r="CD112" s="81">
        <f>VARP(IF(INDEX(Properties!A$1:CB$87,Formula!B112,23)&lt;&gt;"",INDEX(Properties!A$1:CB$87,Formula!B112,23)),IF(INDEX(Properties!A$1:CB$87,Formula!D112,23)&lt;&gt;"",INDEX(Properties!A$1:CB$87,Formula!D112,23)),IF(INDEX(Properties!A$1:CB$87,Formula!F112,23)&lt;&gt;"",INDEX(Properties!A$1:CB$87,Formula!F112,23)),IF(INDEX(Properties!A$1:CB$87,Formula!H112,23)&lt;&gt;"",INDEX(Properties!A$1:CB$87,Formula!H112,23)),IF(INDEX(Properties!A$1:CB$87,Formula!J112,23)&lt;&gt;"",INDEX(Properties!A$1:CB$87,Formula!J112,23)))</f>
        <v>3.9309439999999993</v>
      </c>
      <c r="CE112" s="81">
        <f>MAX(INDEX(Properties!A$1:CB$87,Formula!B112,23),INDEX(Properties!A$1:CB$87,Formula!D112,23),INDEX(Properties!A$1:CB$87,Formula!F112,23),INDEX(Properties!A$1:CB$87,Formula!H112,23),INDEX(Properties!A$1:CB$87,Formula!J112,23))</f>
        <v>5.78</v>
      </c>
      <c r="CF112" s="81">
        <f>MIN(IF(Formula!B112=87,10^6,INDEX(Properties!A$1:CB$87,Formula!B112,23)),IF((Formula!D112)=87,10^6,INDEX(Properties!A$1:CB$87,Formula!D112,23)),IF((Formula!F112)=87,10^6,INDEX(Properties!A$1:CB$87,Formula!F112,23)),IF((Formula!H112)=87,10^6,INDEX(Properties!A$1:CB$87,Formula!H112,23)),IF(Formula!J112=87,10^6,INDEX(Properties!A$1:CB$87,Formula!J112,23)))</f>
        <v>0</v>
      </c>
      <c r="CG112" s="81">
        <f t="shared" si="45"/>
        <v>5.78</v>
      </c>
      <c r="CH112" s="39">
        <f>((Formula!C112)/(Formula!C112+Formula!E112+Formula!G112+Formula!I112+Formula!K112))*(INDEX(Properties!A$1:CB$87,Formula!B112,26))+((Formula!E112)/(Formula!C112+Formula!E112+Formula!G112+Formula!I112+Formula!K112))*(INDEX(Properties!A$1:CB$87,Formula!D112,26))+((Formula!G112)/(Formula!C112+Formula!E112+Formula!G112+Formula!I112+Formula!K112))*(INDEX(Properties!A$1:CB$87,Formula!F112,26))+((Formula!I112)/(Formula!C112+Formula!E112+Formula!G112+Formula!I112+Formula!K112))*(INDEX(Properties!A$1:CB$87,Formula!H112,26))+((Formula!K112)/(Formula!C112+Formula!E112+Formula!G112+Formula!I112+Formula!K112))*(INDEX(Properties!A$1:CB$87,Formula!J112,26))</f>
        <v>11.327897916666664</v>
      </c>
      <c r="CI112" s="39">
        <f>Formula!C112*(INDEX(Properties!A$1:CB$87,Formula!B112,26))+Formula!E112*(INDEX(Properties!A$1:CB$87,Formula!D112,26))+Formula!G112*(INDEX(Properties!A$1:CB$87,Formula!F112,26))+Formula!I112*(INDEX(Properties!A$1:CB$87,Formula!H112,26))+Formula!K112*(INDEX(Properties!A$1:CB$87,Formula!J112,26))</f>
        <v>543.73910000000001</v>
      </c>
      <c r="CJ112" s="39">
        <f>VARP(IF(INDEX(Properties!A$1:CB$87,Formula!B112,26)&lt;&gt;"",INDEX(Properties!A$1:CB$87,Formula!B112,26)),IF(INDEX(Properties!A$1:CB$87,Formula!D112,26)&lt;&gt;"",INDEX(Properties!A$1:CB$87,Formula!D112,26)),IF(INDEX(Properties!A$1:CB$87,Formula!F112,26)&lt;&gt;"",INDEX(Properties!A$1:CB$87,Formula!F112,26)),IF(INDEX(Properties!A$1:CB$87,Formula!H112,26)&lt;&gt;"",INDEX(Properties!A$1:CB$87,Formula!H112,26)),IF(INDEX(Properties!A$1:CB$87,Formula!J112,26)&lt;&gt;"",INDEX(Properties!A$1:CB$87,Formula!J112,26)))</f>
        <v>9.791959242399999</v>
      </c>
      <c r="CK112" s="39">
        <f>MAX(INDEX(Properties!A$1:CB$87,Formula!B112,26),INDEX(Properties!A$1:CB$87,Formula!D112,26),INDEX(Properties!A$1:CB$87,Formula!F112,26),INDEX(Properties!A$1:CB$87,Formula!H112,26),INDEX(Properties!A$1:CB$87,Formula!J112,26))</f>
        <v>13.6181</v>
      </c>
      <c r="CL112" s="39">
        <f>MIN(IF(INDEX(Properties!A$1:CB$87,Formula!B112,26)=0,10^6,INDEX(Properties!A$1:CB$87,Formula!B112,26)),IF(INDEX(Properties!A$1:CB$87,Formula!D112,26)=0,10^6,INDEX(Properties!A$1:CB$87,Formula!D112,26)),IF(INDEX(Properties!A$1:CB$87,Formula!F112,26)=0,10^6,INDEX(Properties!A$1:CB$87,Formula!F112,26)),IF(INDEX(Properties!A$1:CB$87,Formula!H112,26)=0,10^6,INDEX(Properties!A$1:CB$87,Formula!H112,26)),IF(INDEX(Properties!A$1:CB$87,Formula!J112,26)=0,10^6,INDEX(Properties!A$1:CB$87,Formula!J112,26)))</f>
        <v>5.2117000000000004</v>
      </c>
      <c r="CM112" s="39">
        <f t="shared" si="46"/>
        <v>8.4063999999999997</v>
      </c>
      <c r="CN112" s="54">
        <f>((Formula!C112)/(Formula!C112+Formula!E112+Formula!G112+Formula!I112+Formula!K112))*(INDEX(Properties!A$1:CB$87,Formula!B112,30))+((Formula!E112)/(Formula!C112+Formula!E112+Formula!G112+Formula!I112+Formula!K112))*(INDEX(Properties!A$1:CB$87,Formula!D112,30))+((Formula!G112)/(Formula!C112+Formula!E112+Formula!G112+Formula!I112+Formula!K112))*(INDEX(Properties!A$1:CB$87,Formula!F112,30))+((Formula!I112)/(Formula!C112+Formula!E112+Formula!G112+Formula!I112+Formula!K112))*(INDEX(Properties!A$1:CB$87,Formula!H112,30))+((Formula!K112)/(Formula!C112+Formula!E112+Formula!G112+Formula!I112+Formula!K112))*(INDEX(Properties!A$1:CB$87,Formula!J112,30))</f>
        <v>2.8599999999999994</v>
      </c>
      <c r="CO112" s="54">
        <f>Formula!C112*(INDEX(Properties!A$1:CB$87,Formula!B112,30))+Formula!E112*(INDEX(Properties!A$1:CB$87,Formula!D112,30))+Formula!G112*(INDEX(Properties!A$1:CB$87,Formula!F112,30))+Formula!I112*(INDEX(Properties!A$1:CB$87,Formula!H112,30))+Formula!K112*(INDEX(Properties!A$1:CB$87,Formula!J112,30))</f>
        <v>137.28</v>
      </c>
      <c r="CP112" s="54">
        <f>VARP(IF(INDEX(Properties!A$1:CB$87,Formula!B112,30)&lt;&gt;"",INDEX(Properties!A$1:CB$87,Formula!B112,30)),IF(INDEX(Properties!A$1:CB$87,Formula!D112,30)&lt;&gt;"",INDEX(Properties!A$1:CB$87,Formula!D112,30)),IF(INDEX(Properties!A$1:CB$87,Formula!F112,30)&lt;&gt;"",INDEX(Properties!A$1:CB$87,Formula!F112,30)),IF(INDEX(Properties!A$1:CB$87,Formula!H112,30)&lt;&gt;"",INDEX(Properties!A$1:CB$87,Formula!H112,30)),IF(INDEX(Properties!A$1:CB$87,Formula!J112,30)&lt;&gt;"",INDEX(Properties!A$1:CB$87,Formula!J112,30)))</f>
        <v>0.97206400000000026</v>
      </c>
      <c r="CQ112" s="54">
        <f>MAX(INDEX(Properties!A$1:CB$87,Formula!B112,30),INDEX(Properties!A$1:CB$87,Formula!D112,30),INDEX(Properties!A$1:CB$87,Formula!F112,30),INDEX(Properties!A$1:CB$87,Formula!H112,30),INDEX(Properties!A$1:CB$87,Formula!J112,30))</f>
        <v>3.44</v>
      </c>
      <c r="CR112" s="54">
        <f>MIN(IF(INDEX(Properties!A$1:CB$87,Formula!B112,30)=0,10^6,INDEX(Properties!A$1:CB$87,Formula!B112,30)),IF(INDEX(Properties!A$1:CB$87,Formula!D112,30)=0,10^6,INDEX(Properties!A$1:CB$87,Formula!D112,30)),IF(INDEX(Properties!A$1:CB$87,Formula!F112,30)=0,10^6,INDEX(Properties!A$1:CB$87,Formula!F112,30)),IF(INDEX(Properties!A$1:CB$87,Formula!H112,30)=0,10^6,INDEX(Properties!A$1:CB$87,Formula!H112,30)),IF(INDEX(Properties!A$1:CB$87,Formula!J112,30)=0,10^6,INDEX(Properties!A$1:CB$87,Formula!J112,30)))</f>
        <v>0.89</v>
      </c>
      <c r="CS112" s="54">
        <f t="shared" si="47"/>
        <v>2.5499999999999998</v>
      </c>
      <c r="CT112" s="69">
        <f>((Formula!C112)/(Formula!C112+Formula!E112+Formula!G112+Formula!I112+Formula!K112))*(INDEX(Properties!A$1:CB$87,Formula!B112,31))+((Formula!E112)/(Formula!C112+Formula!E112+Formula!G112+Formula!I112+Formula!K112))*(INDEX(Properties!A$1:CB$87,Formula!D112,31))+((Formula!G112)/(Formula!C112+Formula!E112+Formula!G112+Formula!I112+Formula!K112))*(INDEX(Properties!A$1:CB$87,Formula!F112,31))+((Formula!I112)/(Formula!C112+Formula!E112+Formula!G112+Formula!I112+Formula!K112))*(INDEX(Properties!A$1:CB$87,Formula!H112,31))+((Formula!K112)/(Formula!C112+Formula!E112+Formula!G112+Formula!I112+Formula!K112))*(INDEX(Properties!A$1:CB$87,Formula!J112,31))</f>
        <v>2.6816666666666662</v>
      </c>
      <c r="CU112" s="69">
        <f>Formula!C112*(INDEX(Properties!A$1:CB$87,Formula!B112,31))+Formula!E112*(INDEX(Properties!A$1:CB$87,Formula!D112,31))+Formula!G112*(INDEX(Properties!A$1:CB$87,Formula!F112,31))+Formula!I112*(INDEX(Properties!A$1:CB$87,Formula!H112,31))+Formula!K112*(INDEX(Properties!A$1:CB$87,Formula!J112,31))</f>
        <v>128.72</v>
      </c>
      <c r="CV112" s="69">
        <f>VARP(IF(INDEX(Properties!A$1:CB$87,Formula!B112,31)&lt;&gt;"",INDEX(Properties!A$1:CB$87,Formula!B112,31)),IF(INDEX(Properties!A$1:CB$87,Formula!D112,31)&lt;&gt;"",INDEX(Properties!A$1:CB$87,Formula!D112,31)),IF(INDEX(Properties!A$1:CB$87,Formula!F112,31)&lt;&gt;"",INDEX(Properties!A$1:CB$87,Formula!F112,31)),IF(INDEX(Properties!A$1:CB$87,Formula!H112,31)&lt;&gt;"",INDEX(Properties!A$1:CB$87,Formula!H112,31)),IF(INDEX(Properties!A$1:CB$87,Formula!J112,31)&lt;&gt;"",INDEX(Properties!A$1:CB$87,Formula!J112,31)))</f>
        <v>0.79953600000000047</v>
      </c>
      <c r="CW112" s="69">
        <f>MAX(INDEX(Properties!A$1:CB$87,Formula!B112,31),INDEX(Properties!A$1:CB$87,Formula!D112,31),INDEX(Properties!A$1:CB$87,Formula!F112,31),INDEX(Properties!A$1:CB$87,Formula!H112,31),INDEX(Properties!A$1:CB$87,Formula!J112,31))</f>
        <v>3.32</v>
      </c>
      <c r="CX112" s="69">
        <f>MIN(IF(INDEX(Properties!A$1:CB$87,Formula!B112,31)=0,10^6,INDEX(Properties!A$1:CB$87,Formula!B112,31)),IF(INDEX(Properties!A$1:CB$87,Formula!D112,31)=0,10^6,INDEX(Properties!A$1:CB$87,Formula!D112,31)),IF(INDEX(Properties!A$1:CB$87,Formula!F112,31)=0,10^6,INDEX(Properties!A$1:CB$87,Formula!F112,31)),IF(INDEX(Properties!A$1:CB$87,Formula!H112,31)=0,10^6,INDEX(Properties!A$1:CB$87,Formula!H112,31)),IF(INDEX(Properties!A$1:CB$87,Formula!J112,31)=0,10^6,INDEX(Properties!A$1:CB$87,Formula!J112,31)))</f>
        <v>0.9</v>
      </c>
      <c r="CY112" s="69">
        <f t="shared" si="48"/>
        <v>2.42</v>
      </c>
      <c r="CZ112" s="42">
        <f>((Formula!C112)/(Formula!C112+Formula!E112+Formula!G112+Formula!I112+Formula!K112))*(INDEX(Properties!A$1:CB$87,Formula!B112,32))+((Formula!E112)/(Formula!C112+Formula!E112+Formula!G112+Formula!I112+Formula!K112))*(INDEX(Properties!A$1:CB$87,Formula!D112,32))+((Formula!G112)/(Formula!C112+Formula!E112+Formula!G112+Formula!I112+Formula!K112))*(INDEX(Properties!A$1:CB$87,Formula!F112,32))+((Formula!I112)/(Formula!C112+Formula!E112+Formula!G112+Formula!I112+Formula!K112))*(INDEX(Properties!A$1:CB$87,Formula!H112,32))+((Formula!K112)/(Formula!C112+Formula!E112+Formula!G112+Formula!I112+Formula!K112))*(INDEX(Properties!A$1:CB$87,Formula!J112,32))</f>
        <v>6.2418750000000003</v>
      </c>
      <c r="DA112" s="42">
        <f>Formula!C112*(INDEX(Properties!A$1:CB$87,Formula!B112,32))+Formula!E112*(INDEX(Properties!A$1:CB$87,Formula!D112,32))+Formula!G112*(INDEX(Properties!A$1:CB$87,Formula!F112,32))+Formula!I112*(INDEX(Properties!A$1:CB$87,Formula!H112,32))+Formula!K112*(INDEX(Properties!A$1:CB$87,Formula!J112,32))</f>
        <v>299.61</v>
      </c>
      <c r="DB112" s="42">
        <f>VARP(IF(INDEX(Properties!A$1:CB$87,Formula!B112,32)&lt;&gt;"",INDEX(Properties!A$1:CB$87,Formula!B112,32)),IF(INDEX(Properties!A$1:CB$87,Formula!D112,32)&lt;&gt;"",INDEX(Properties!A$1:CB$87,Formula!D112,32)),IF(INDEX(Properties!A$1:CB$87,Formula!F112,32)&lt;&gt;"",INDEX(Properties!A$1:CB$87,Formula!F112,32)),IF(INDEX(Properties!A$1:CB$87,Formula!H112,32)&lt;&gt;"",INDEX(Properties!A$1:CB$87,Formula!H112,32)),IF(INDEX(Properties!A$1:CB$87,Formula!J112,32)&lt;&gt;"",INDEX(Properties!A$1:CB$87,Formula!J112,32)))</f>
        <v>3.400240000000001</v>
      </c>
      <c r="DC112" s="42">
        <f>MAX(INDEX(Properties!A$1:CB$87,Formula!B112,32),INDEX(Properties!A$1:CB$87,Formula!D112,32),INDEX(Properties!A$1:CB$87,Formula!F112,32),INDEX(Properties!A$1:CB$87,Formula!H112,32),INDEX(Properties!A$1:CB$87,Formula!J112,32))</f>
        <v>7.54</v>
      </c>
      <c r="DD112" s="42">
        <f>MIN(IF(INDEX(Properties!A$1:CB$87,Formula!B112,32)=0,10^6,INDEX(Properties!A$1:CB$87,Formula!B112,32)),IF(INDEX(Properties!A$1:CB$87,Formula!D112,32)=0,10^6,INDEX(Properties!A$1:CB$87,Formula!D112,32)),IF(INDEX(Properties!A$1:CB$87,Formula!F112,32)=0,10^6,INDEX(Properties!A$1:CB$87,Formula!F112,32)),IF(INDEX(Properties!A$1:CB$87,Formula!H112,32)=0,10^6,INDEX(Properties!A$1:CB$87,Formula!H112,32)),IF(INDEX(Properties!A$1:CB$87,Formula!J112,32)=0,10^6,INDEX(Properties!A$1:CB$87,Formula!J112,32)))</f>
        <v>2.4</v>
      </c>
      <c r="DE112" s="42">
        <f t="shared" si="49"/>
        <v>5.1400000000000006</v>
      </c>
      <c r="DF112" s="60">
        <f>((Formula!C112)/(Formula!C112+Formula!E112+Formula!G112+Formula!I112+Formula!K112))*(INDEX(Properties!A$1:CB$87,Formula!B112,34))+((Formula!E112)/(Formula!C112+Formula!E112+Formula!G112+Formula!I112+Formula!K112))*(INDEX(Properties!A$1:CB$87,Formula!D112,34))+((Formula!G112)/(Formula!C112+Formula!E112+Formula!G112+Formula!I112+Formula!K112))*(INDEX(Properties!A$1:CB$87,Formula!F112,34))+((Formula!I112)/(Formula!C112+Formula!E112+Formula!G112+Formula!I112+Formula!K112))*(INDEX(Properties!A$1:CB$87,Formula!H112,34))+((Formula!K112)/(Formula!C112+Formula!E112+Formula!G112+Formula!I112+Formula!K112))*(INDEX(Properties!A$1:CB$87,Formula!J112,34))</f>
        <v>2.8134999999999994</v>
      </c>
      <c r="DG112" s="60">
        <f>Formula!C112*(INDEX(Properties!A$1:CB$87,Formula!B112,34))+Formula!E112*(INDEX(Properties!A$1:CB$87,Formula!D112,34))+Formula!G112*(INDEX(Properties!A$1:CB$87,Formula!F112,34))+Formula!I112*(INDEX(Properties!A$1:CB$87,Formula!H112,34))+Formula!K112*(INDEX(Properties!A$1:CB$87,Formula!J112,34))</f>
        <v>135.048</v>
      </c>
      <c r="DH112" s="60">
        <f>VARP(IF(INDEX(Properties!A$1:CB$87,Formula!B112,34)&lt;&gt;"",INDEX(Properties!A$1:CB$87,Formula!B112,34)),IF(INDEX(Properties!A$1:CB$87,Formula!D112,34)&lt;&gt;"",INDEX(Properties!A$1:CB$87,Formula!D112,34)),IF(INDEX(Properties!A$1:CB$87,Formula!F112,34)&lt;&gt;"",INDEX(Properties!A$1:CB$87,Formula!F112,34)),IF(INDEX(Properties!A$1:CB$87,Formula!H112,34)&lt;&gt;"",INDEX(Properties!A$1:CB$87,Formula!H112,34)),IF(INDEX(Properties!A$1:CB$87,Formula!J112,34)&lt;&gt;"",INDEX(Properties!A$1:CB$87,Formula!J112,34)))</f>
        <v>1.0614262400000001</v>
      </c>
      <c r="DI112" s="60">
        <f>MAX(INDEX(Properties!A$1:CB$87,Formula!B112,34),INDEX(Properties!A$1:CB$87,Formula!D112,34),INDEX(Properties!A$1:CB$87,Formula!F112,34),INDEX(Properties!A$1:CB$87,Formula!H112,34),INDEX(Properties!A$1:CB$87,Formula!J112,34))</f>
        <v>3.61</v>
      </c>
      <c r="DJ112" s="60">
        <f>MIN(IF(INDEX(Properties!A$1:CB$87,Formula!B112,34)=0,10^6,INDEX(Properties!A$1:CB$87,Formula!B112,34)),IF(INDEX(Properties!A$1:CB$87,Formula!D112,34)=0,10^6,INDEX(Properties!A$1:CB$87,Formula!D112,34)),IF(INDEX(Properties!A$1:CB$87,Formula!F112,34)=0,10^6,INDEX(Properties!A$1:CB$87,Formula!F112,34)),IF(INDEX(Properties!A$1:CB$87,Formula!H112,34)=0,10^6,INDEX(Properties!A$1:CB$87,Formula!H112,34)),IF(INDEX(Properties!A$1:CB$87,Formula!J112,34)=0,10^6,INDEX(Properties!A$1:CB$87,Formula!J112,34)))</f>
        <v>0.88100000000000001</v>
      </c>
      <c r="DK112" s="60">
        <f t="shared" si="50"/>
        <v>2.7290000000000001</v>
      </c>
      <c r="DL112" s="45">
        <f>((Formula!C112)/(Formula!C112+Formula!E112+Formula!G112+Formula!I112+Formula!K112))*(INDEX(Properties!A$1:CB$87,Formula!B112,39))+((Formula!E112)/(Formula!C112+Formula!E112+Formula!G112+Formula!I112+Formula!K112))*(INDEX(Properties!A$1:CB$87,Formula!D112,39))+((Formula!G112)/(Formula!C112+Formula!E112+Formula!G112+Formula!I112+Formula!K112))*(INDEX(Properties!A$1:CB$87,Formula!F112,39))+((Formula!I112)/(Formula!C112+Formula!E112+Formula!G112+Formula!I112+Formula!K112))*(INDEX(Properties!A$1:CB$87,Formula!H112,39))+((Formula!K112)/(Formula!C112+Formula!E112+Formula!G112+Formula!I112+Formula!K112))*(INDEX(Properties!A$1:CB$87,Formula!J112,39))</f>
        <v>0.99708333333333321</v>
      </c>
      <c r="DM112" s="45">
        <f>Formula!C112*(INDEX(Properties!A$1:CB$87,Formula!B112,39))+Formula!E112*(INDEX(Properties!A$1:CB$87,Formula!D112,39))+Formula!G112*(INDEX(Properties!A$1:CB$87,Formula!F112,39))+Formula!I112*(INDEX(Properties!A$1:CB$87,Formula!H112,39))+Formula!K112*(INDEX(Properties!A$1:CB$87,Formula!J112,39))</f>
        <v>47.86</v>
      </c>
      <c r="DN112" s="45">
        <f>VARP(IF(INDEX(Properties!A$1:CB$87,Formula!B112,39)&lt;&gt;"",INDEX(Properties!A$1:CB$87,Formula!B112,39)),IF(INDEX(Properties!A$1:CB$87,Formula!D112,39)&lt;&gt;"",INDEX(Properties!A$1:CB$87,Formula!D112,39)),IF(INDEX(Properties!A$1:CB$87,Formula!F112,39)&lt;&gt;"",INDEX(Properties!A$1:CB$87,Formula!F112,39)),IF(INDEX(Properties!A$1:CB$87,Formula!H112,39)&lt;&gt;"",INDEX(Properties!A$1:CB$87,Formula!H112,39)),IF(INDEX(Properties!A$1:CB$87,Formula!J112,39)&lt;&gt;"",INDEX(Properties!A$1:CB$87,Formula!J112,39)))</f>
        <v>0.51785599999999987</v>
      </c>
      <c r="DO112" s="45">
        <f>MAX(INDEX(Properties!A$1:CB$87,Formula!B112,39),INDEX(Properties!A$1:CB$87,Formula!D112,39),INDEX(Properties!A$1:CB$87,Formula!F112,39),INDEX(Properties!A$1:CB$87,Formula!H112,39),INDEX(Properties!A$1:CB$87,Formula!J112,39))</f>
        <v>2.5299999999999998</v>
      </c>
      <c r="DP112" s="45">
        <f>MIN(IF(INDEX(Properties!A$1:CB$87,Formula!B112,39)=0,10^6,INDEX(Properties!A$1:CB$87,Formula!B112,39)),IF(INDEX(Properties!A$1:CB$87,Formula!D112,39)=0,10^6,INDEX(Properties!A$1:CB$87,Formula!D112,39)),IF(INDEX(Properties!A$1:CB$87,Formula!F112,39)=0,10^6,INDEX(Properties!A$1:CB$87,Formula!F112,39)),IF(INDEX(Properties!A$1:CB$87,Formula!H112,39)=0,10^6,INDEX(Properties!A$1:CB$87,Formula!H112,39)),IF(INDEX(Properties!A$1:CB$87,Formula!J112,39)=0,10^6,INDEX(Properties!A$1:CB$87,Formula!J112,39)))</f>
        <v>0.48</v>
      </c>
      <c r="DQ112" s="45">
        <f t="shared" si="51"/>
        <v>2.0499999999999998</v>
      </c>
      <c r="DR112" s="63">
        <f>((Formula!C112)/(Formula!C112+Formula!E112+Formula!G112+Formula!I112+Formula!K112))*(INDEX(Properties!A$1:CB$87,Formula!B112,40))+((Formula!E112)/(Formula!C112+Formula!E112+Formula!G112+Formula!I112+Formula!K112))*(INDEX(Properties!A$1:CB$87,Formula!D112,40))+((Formula!G112)/(Formula!C112+Formula!E112+Formula!G112+Formula!I112+Formula!K112))*(INDEX(Properties!A$1:CB$87,Formula!F112,40))+((Formula!I112)/(Formula!C112+Formula!E112+Formula!G112+Formula!I112+Formula!K112))*(INDEX(Properties!A$1:CB$87,Formula!H112,40))+((Formula!K112)/(Formula!C112+Formula!E112+Formula!G112+Formula!I112+Formula!K112))*(INDEX(Properties!A$1:CB$87,Formula!J112,40))</f>
        <v>0.99687499999999996</v>
      </c>
      <c r="DS112" s="63">
        <f>Formula!C112*(INDEX(Properties!A$1:CB$87,Formula!B112,40))+Formula!E112*(INDEX(Properties!A$1:CB$87,Formula!D112,40))+Formula!G112*(INDEX(Properties!A$1:CB$87,Formula!F112,40))+Formula!I112*(INDEX(Properties!A$1:CB$87,Formula!H112,40))+Formula!K112*(INDEX(Properties!A$1:CB$87,Formula!J112,40))</f>
        <v>47.85</v>
      </c>
      <c r="DT112" s="63">
        <f>VARP(IF(INDEX(Properties!A$1:CB$87,Formula!B112,40)&lt;&gt;"",INDEX(Properties!A$1:CB$87,Formula!B112,40)),IF(INDEX(Properties!A$1:CB$87,Formula!D112,40)&lt;&gt;"",INDEX(Properties!A$1:CB$87,Formula!D112,40)),IF(INDEX(Properties!A$1:CB$87,Formula!F112,40)&lt;&gt;"",INDEX(Properties!A$1:CB$87,Formula!F112,40)),IF(INDEX(Properties!A$1:CB$87,Formula!H112,40)&lt;&gt;"",INDEX(Properties!A$1:CB$87,Formula!H112,40)),IF(INDEX(Properties!A$1:CB$87,Formula!J112,40)&lt;&gt;"",INDEX(Properties!A$1:CB$87,Formula!J112,40)))</f>
        <v>0.16674399999999906</v>
      </c>
      <c r="DU112" s="63">
        <f>MAX(INDEX(Properties!A$1:CB$87,Formula!B112,40),INDEX(Properties!A$1:CB$87,Formula!D112,40),INDEX(Properties!A$1:CB$87,Formula!F112,40),INDEX(Properties!A$1:CB$87,Formula!H112,40),INDEX(Properties!A$1:CB$87,Formula!J112,40))</f>
        <v>1.98</v>
      </c>
      <c r="DV112" s="63">
        <f>MIN(IF(INDEX(Properties!A$1:CB$87,Formula!B112,40)=0,10^6,INDEX(Properties!A$1:CB$87,Formula!B112,40)),IF(INDEX(Properties!A$1:CB$87,Formula!D112,40)=0,10^6,INDEX(Properties!A$1:CB$87,Formula!D112,40)),IF(INDEX(Properties!A$1:CB$87,Formula!F112,40)=0,10^6,INDEX(Properties!A$1:CB$87,Formula!F112,40)),IF(INDEX(Properties!A$1:CB$87,Formula!H112,40)=0,10^6,INDEX(Properties!A$1:CB$87,Formula!H112,40)),IF(INDEX(Properties!A$1:CB$87,Formula!J112,40)=0,10^6,INDEX(Properties!A$1:CB$87,Formula!J112,40)))</f>
        <v>0.73</v>
      </c>
      <c r="DW112" s="63">
        <f t="shared" si="52"/>
        <v>1.25</v>
      </c>
      <c r="DX112" s="75">
        <f>((Formula!C112)/(Formula!C112+Formula!E112+Formula!G112+Formula!I112+Formula!K112))*(INDEX(Properties!A$1:CB$87,Formula!B112,41))+((Formula!E112)/(Formula!C112+Formula!E112+Formula!G112+Formula!I112+Formula!K112))*(INDEX(Properties!A$1:CB$87,Formula!D112,41))+((Formula!G112)/(Formula!C112+Formula!E112+Formula!G112+Formula!I112+Formula!K112))*(INDEX(Properties!A$1:CB$87,Formula!F112,41))+((Formula!I112)/(Formula!C112+Formula!E112+Formula!G112+Formula!I112+Formula!K112))*(INDEX(Properties!A$1:CB$87,Formula!H112,41))+((Formula!K112)/(Formula!C112+Formula!E112+Formula!G112+Formula!I112+Formula!K112))*(INDEX(Properties!A$1:CB$87,Formula!J112,41))</f>
        <v>1.1591666666666667</v>
      </c>
      <c r="DY112" s="75">
        <f>Formula!C112*(INDEX(Properties!A$1:CB$87,Formula!B112,41))+Formula!E112*(INDEX(Properties!A$1:CB$87,Formula!D112,41))+Formula!G112*(INDEX(Properties!A$1:CB$87,Formula!F112,41))+Formula!I112*(INDEX(Properties!A$1:CB$87,Formula!H112,41))+Formula!K112*(INDEX(Properties!A$1:CB$87,Formula!J112,41))</f>
        <v>55.64</v>
      </c>
      <c r="DZ112" s="75">
        <f>VARP(IF(INDEX(Properties!A$1:CB$87,Formula!B112,41)&lt;&gt;"",INDEX(Properties!A$1:CB$87,Formula!B112,41)),IF(INDEX(Properties!A$1:CB$87,Formula!D112,41)&lt;&gt;"",INDEX(Properties!A$1:CB$87,Formula!D112,41)),IF(INDEX(Properties!A$1:CB$87,Formula!F112,41)&lt;&gt;"",INDEX(Properties!A$1:CB$87,Formula!F112,41)),IF(INDEX(Properties!A$1:CB$87,Formula!H112,41)&lt;&gt;"",INDEX(Properties!A$1:CB$87,Formula!H112,41)),IF(INDEX(Properties!A$1:CB$87,Formula!J112,41)&lt;&gt;"",INDEX(Properties!A$1:CB$87,Formula!J112,41)))</f>
        <v>6.1584000000000146E-2</v>
      </c>
      <c r="EA112" s="75">
        <f>MAX(INDEX(Properties!A$1:CB$87,Formula!B112,41),INDEX(Properties!A$1:CB$87,Formula!D112,41),INDEX(Properties!A$1:CB$87,Formula!F112,41),INDEX(Properties!A$1:CB$87,Formula!H112,41),INDEX(Properties!A$1:CB$87,Formula!J112,41))</f>
        <v>1.49</v>
      </c>
      <c r="EB112" s="75">
        <f>MIN(IF(INDEX(Properties!A$1:CB$87,Formula!B112,41)=0,10^6,INDEX(Properties!A$1:CB$87,Formula!B112,41)),IF(INDEX(Properties!A$1:CB$87,Formula!D112,41)=0,10^6,INDEX(Properties!A$1:CB$87,Formula!D112,41)),IF(INDEX(Properties!A$1:CB$87,Formula!F112,41)=0,10^6,INDEX(Properties!A$1:CB$87,Formula!F112,41)),IF(INDEX(Properties!A$1:CB$87,Formula!H112,41)=0,10^6,INDEX(Properties!A$1:CB$87,Formula!H112,41)),IF(INDEX(Properties!A$1:CB$87,Formula!J112,41)=0,10^6,INDEX(Properties!A$1:CB$87,Formula!J112,41)))</f>
        <v>0.8</v>
      </c>
      <c r="EC112" s="75">
        <f t="shared" si="53"/>
        <v>0.69</v>
      </c>
      <c r="ED112" s="48">
        <f>((Formula!C112)/(Formula!C112+Formula!E112+Formula!G112+Formula!I112+Formula!K112))*(INDEX(Properties!A$1:CB$87,Formula!B112,45))+((Formula!E112)/(Formula!C112+Formula!E112+Formula!G112+Formula!I112+Formula!K112))*(INDEX(Properties!A$1:CB$87,Formula!D112,45))+((Formula!G112)/(Formula!C112+Formula!E112+Formula!G112+Formula!I112+Formula!K112))*(INDEX(Properties!A$1:CB$87,Formula!F112,45))+((Formula!I112)/(Formula!C112+Formula!E112+Formula!G112+Formula!I112+Formula!K112))*(INDEX(Properties!A$1:CB$87,Formula!H112,45))+((Formula!K112)/(Formula!C112+Formula!E112+Formula!G112+Formula!I112+Formula!K112))*(INDEX(Properties!A$1:CB$87,Formula!J112,45))</f>
        <v>1.2566666666666666</v>
      </c>
      <c r="EE112" s="48">
        <f>Formula!C112*(INDEX(Properties!A$1:CB$87,Formula!B112,45))+Formula!E112*(INDEX(Properties!A$1:CB$87,Formula!D112,45))+Formula!G112*(INDEX(Properties!A$1:CB$87,Formula!F112,45))+Formula!I112*(INDEX(Properties!A$1:CB$87,Formula!H112,45))+Formula!K112*(INDEX(Properties!A$1:CB$87,Formula!J112,45))</f>
        <v>60.32</v>
      </c>
      <c r="EF112" s="48">
        <f>VARP(IF(INDEX(Properties!A$1:CB$87,Formula!B112,45)&lt;&gt;"",INDEX(Properties!A$1:CB$87,Formula!B112,45)),IF(INDEX(Properties!A$1:CB$87,Formula!D112,45)&lt;&gt;"",INDEX(Properties!A$1:CB$87,Formula!D112,45)),IF(INDEX(Properties!A$1:CB$87,Formula!F112,45)&lt;&gt;"",INDEX(Properties!A$1:CB$87,Formula!F112,45)),IF(INDEX(Properties!A$1:CB$87,Formula!H112,45)&lt;&gt;"",INDEX(Properties!A$1:CB$87,Formula!H112,45)),IF(INDEX(Properties!A$1:CB$87,Formula!J112,45)&lt;&gt;"",INDEX(Properties!A$1:CB$87,Formula!J112,45)))</f>
        <v>1.5482639999999992</v>
      </c>
      <c r="EG112" s="48">
        <f>MAX(INDEX(Properties!A$1:CB$87,Formula!B112,45),INDEX(Properties!A$1:CB$87,Formula!D112,45),INDEX(Properties!A$1:CB$87,Formula!F112,45),INDEX(Properties!A$1:CB$87,Formula!H112,45),INDEX(Properties!A$1:CB$87,Formula!J112,45))</f>
        <v>3.91</v>
      </c>
      <c r="EH112" s="48">
        <f>MIN(IF(INDEX(Properties!A$1:CB$87,Formula!B112,45)=0,10^6,INDEX(Properties!A$1:CB$87,Formula!B112,45)),IF(INDEX(Properties!A$1:CB$87,Formula!D112,45)=0,10^6,INDEX(Properties!A$1:CB$87,Formula!D112,45)),IF(INDEX(Properties!A$1:CB$87,Formula!F112,45)=0,10^6,INDEX(Properties!A$1:CB$87,Formula!F112,45)),IF(INDEX(Properties!A$1:CB$87,Formula!H112,45)=0,10^6,INDEX(Properties!A$1:CB$87,Formula!H112,45)),IF(INDEX(Properties!A$1:CB$87,Formula!J112,45)=0,10^6,INDEX(Properties!A$1:CB$87,Formula!J112,45)))</f>
        <v>0.47</v>
      </c>
      <c r="EI112" s="48">
        <f t="shared" si="54"/>
        <v>3.4400000000000004</v>
      </c>
      <c r="EJ112" s="66">
        <f>((Formula!C112)/(Formula!C112+Formula!E112+Formula!G112+Formula!I112+Formula!K112))*(INDEX(Properties!A$1:CB$87,Formula!B112,46))+((Formula!E112)/(Formula!C112+Formula!E112+Formula!G112+Formula!I112+Formula!K112))*(INDEX(Properties!A$1:CB$87,Formula!D112,46))+((Formula!G112)/(Formula!C112+Formula!E112+Formula!G112+Formula!I112+Formula!K112))*(INDEX(Properties!A$1:CB$87,Formula!F112,46))+((Formula!I112)/(Formula!C112+Formula!E112+Formula!G112+Formula!I112+Formula!K112))*(INDEX(Properties!A$1:CB$87,Formula!H112,46))+((Formula!K112)/(Formula!C112+Formula!E112+Formula!G112+Formula!I112+Formula!K112))*(INDEX(Properties!A$1:CB$87,Formula!J112,46))</f>
        <v>1.1158333333333332</v>
      </c>
      <c r="EK112" s="66">
        <f>Formula!C112*(INDEX(Properties!A$1:CB$87,Formula!B112,46))+Formula!E112*(INDEX(Properties!A$1:CB$87,Formula!D112,46))+Formula!G112*(INDEX(Properties!A$1:CB$87,Formula!F112,46))+Formula!I112*(INDEX(Properties!A$1:CB$87,Formula!H112,46))+Formula!K112*(INDEX(Properties!A$1:CB$87,Formula!J112,46))</f>
        <v>53.56</v>
      </c>
      <c r="EL112" s="66">
        <f>VARP(IF(INDEX(Properties!A$1:CB$87,Formula!B112,46)&lt;&gt;"",INDEX(Properties!A$1:CB$87,Formula!B112,46)),IF(INDEX(Properties!A$1:CB$87,Formula!D112,46)&lt;&gt;"",INDEX(Properties!A$1:CB$87,Formula!D112,46)),IF(INDEX(Properties!A$1:CB$87,Formula!F112,46)&lt;&gt;"",INDEX(Properties!A$1:CB$87,Formula!F112,46)),IF(INDEX(Properties!A$1:CB$87,Formula!H112,46)&lt;&gt;"",INDEX(Properties!A$1:CB$87,Formula!H112,46)),IF(INDEX(Properties!A$1:CB$87,Formula!J112,46)&lt;&gt;"",INDEX(Properties!A$1:CB$87,Formula!J112,46)))</f>
        <v>6.6584000000000143E-2</v>
      </c>
      <c r="EM112" s="66">
        <f>MAX(INDEX(Properties!A$1:CB$87,Formula!B112,46),INDEX(Properties!A$1:CB$87,Formula!D112,46),INDEX(Properties!A$1:CB$87,Formula!F112,46),INDEX(Properties!A$1:CB$87,Formula!H112,46),INDEX(Properties!A$1:CB$87,Formula!J112,46))</f>
        <v>1.49</v>
      </c>
      <c r="EN112" s="66">
        <f>MIN(IF(INDEX(Properties!A$1:CB$87,Formula!B112,46)=0,10^6,INDEX(Properties!A$1:CB$87,Formula!B112,46)),IF(INDEX(Properties!A$1:CB$87,Formula!D112,46)=0,10^6,INDEX(Properties!A$1:CB$87,Formula!D112,46)),IF(INDEX(Properties!A$1:CB$87,Formula!F112,46)=0,10^6,INDEX(Properties!A$1:CB$87,Formula!F112,46)),IF(INDEX(Properties!A$1:CB$87,Formula!H112,46)=0,10^6,INDEX(Properties!A$1:CB$87,Formula!H112,46)),IF(INDEX(Properties!A$1:CB$87,Formula!J112,46)=0,10^6,INDEX(Properties!A$1:CB$87,Formula!J112,46)))</f>
        <v>0.74</v>
      </c>
      <c r="EO112" s="66">
        <f t="shared" si="55"/>
        <v>0.75</v>
      </c>
      <c r="EP112" s="81">
        <f>((Formula!C112)/(Formula!C112+Formula!E112+Formula!G112+Formula!I112+Formula!K112))*(INDEX(Properties!A$1:CB$87,Formula!B112,52))+((Formula!E112)/(Formula!C112+Formula!E112+Formula!G112+Formula!I112+Formula!K112))*(INDEX(Properties!A$1:CB$87,Formula!D112,52))+((Formula!G112)/(Formula!C112+Formula!E112+Formula!G112+Formula!I112+Formula!K112))*(INDEX(Properties!A$1:CB$87,Formula!F112,52))+((Formula!I112)/(Formula!C112+Formula!E112+Formula!G112+Formula!I112+Formula!K112))*(INDEX(Properties!A$1:CB$87,Formula!H112,52))+((Formula!K112)/(Formula!C112+Formula!E112+Formula!G112+Formula!I112+Formula!K112))*(INDEX(Properties!A$1:CB$87,Formula!J112,52))</f>
        <v>7.0203333333333333</v>
      </c>
      <c r="EQ112" s="81">
        <f>Formula!C112*(INDEX(Properties!A$1:CB$87,Formula!B112,52))+Formula!E112*(INDEX(Properties!A$1:CB$87,Formula!D112,52))+Formula!G112*(INDEX(Properties!A$1:CB$87,Formula!F112,52))+Formula!I112*(INDEX(Properties!A$1:CB$87,Formula!H112,52))+Formula!K112*(INDEX(Properties!A$1:CB$87,Formula!J112,52))</f>
        <v>336.976</v>
      </c>
      <c r="ER112" s="81">
        <f>VARP(IF(INDEX(Properties!A$1:CB$87,Formula!B112,52)&lt;&gt;"",INDEX(Properties!A$1:CB$87,Formula!B112,52)),IF(INDEX(Properties!A$1:CB$87,Formula!D112,52)&lt;&gt;"",INDEX(Properties!A$1:CB$87,Formula!D112,52)),IF(INDEX(Properties!A$1:CB$87,Formula!F112,52)&lt;&gt;"",INDEX(Properties!A$1:CB$87,Formula!F112,52)),IF(INDEX(Properties!A$1:CB$87,Formula!H112,52)&lt;&gt;"",INDEX(Properties!A$1:CB$87,Formula!H112,52)),IF(INDEX(Properties!A$1:CB$87,Formula!J112,52)&lt;&gt;"",INDEX(Properties!A$1:CB$87,Formula!J112,52)))</f>
        <v>173.37503184000002</v>
      </c>
      <c r="ES112" s="81">
        <f>MAX(INDEX(Properties!A$1:CB$87,Formula!B112,52),INDEX(Properties!A$1:CB$87,Formula!D112,52),INDEX(Properties!A$1:CB$87,Formula!F112,52),INDEX(Properties!A$1:CB$87,Formula!H112,52),INDEX(Properties!A$1:CB$87,Formula!J112,52))</f>
        <v>39.700000000000003</v>
      </c>
      <c r="ET112" s="81">
        <f>MIN(IF(INDEX(Properties!A$1:CB$87,Formula!B112,52)=0,10^6,INDEX(Properties!A$1:CB$87,Formula!B112,52)),IF(INDEX(Properties!A$1:CB$87,Formula!D112,52)=0,10^6,INDEX(Properties!A$1:CB$87,Formula!D112,52)),IF(INDEX(Properties!A$1:CB$87,Formula!F112,52)=0,10^6,INDEX(Properties!A$1:CB$87,Formula!F112,52)),IF(INDEX(Properties!A$1:CB$87,Formula!H112,52)=0,10^6,INDEX(Properties!A$1:CB$87,Formula!H112,52)),IF(INDEX(Properties!A$1:CB$87,Formula!J112,52)=0,10^6,INDEX(Properties!A$1:CB$87,Formula!J112,52)))</f>
        <v>0.79300000000000004</v>
      </c>
      <c r="EU112" s="81">
        <f t="shared" si="56"/>
        <v>38.907000000000004</v>
      </c>
      <c r="EV112" s="39">
        <f>((Formula!C112)/(Formula!C112+Formula!E112+Formula!G112+Formula!I112+Formula!K112))*(INDEX(Properties!A$1:CB$87,Formula!B112,53))+((Formula!E112)/(Formula!C112+Formula!E112+Formula!G112+Formula!I112+Formula!K112))*(INDEX(Properties!A$1:CB$87,Formula!D112,53))+((Formula!G112)/(Formula!C112+Formula!E112+Formula!G112+Formula!I112+Formula!K112))*(INDEX(Properties!A$1:CB$87,Formula!F112,53))+((Formula!I112)/(Formula!C112+Formula!E112+Formula!G112+Formula!I112+Formula!K112))*(INDEX(Properties!A$1:CB$87,Formula!H112,53))+((Formula!K112)/(Formula!C112+Formula!E112+Formula!G112+Formula!I112+Formula!K112))*(INDEX(Properties!A$1:CB$87,Formula!J112,53))</f>
        <v>819.4354166666667</v>
      </c>
      <c r="EW112" s="39">
        <f>Formula!C112*(INDEX(Properties!A$1:CB$87,Formula!B112,53))+Formula!E112*(INDEX(Properties!A$1:CB$87,Formula!D112,53))+Formula!G112*(INDEX(Properties!A$1:CB$87,Formula!F112,53))+Formula!I112*(INDEX(Properties!A$1:CB$87,Formula!H112,53))+Formula!K112*(INDEX(Properties!A$1:CB$87,Formula!J112,53))</f>
        <v>39332.9</v>
      </c>
      <c r="EX112" s="39">
        <f>VARP(IF(INDEX(Properties!A$1:CB$87,Formula!B112,53)&lt;&gt;"",INDEX(Properties!A$1:CB$87,Formula!B112,53)),IF(INDEX(Properties!A$1:CB$87,Formula!D112,53)&lt;&gt;"",INDEX(Properties!A$1:CB$87,Formula!D112,53)),IF(INDEX(Properties!A$1:CB$87,Formula!F112,53)&lt;&gt;"",INDEX(Properties!A$1:CB$87,Formula!F112,53)),IF(INDEX(Properties!A$1:CB$87,Formula!H112,53)&lt;&gt;"",INDEX(Properties!A$1:CB$87,Formula!H112,53)),IF(INDEX(Properties!A$1:CB$87,Formula!J112,53)&lt;&gt;"",INDEX(Properties!A$1:CB$87,Formula!J112,53)))</f>
        <v>1620827.2816000006</v>
      </c>
      <c r="EY112" s="39">
        <f>MAX(INDEX(Properties!A$1:CB$87,Formula!B112,53),INDEX(Properties!A$1:CB$87,Formula!D112,53),INDEX(Properties!A$1:CB$87,Formula!F112,53),INDEX(Properties!A$1:CB$87,Formula!H112,53),INDEX(Properties!A$1:CB$87,Formula!J112,53))</f>
        <v>3683.15</v>
      </c>
      <c r="EZ112" s="39">
        <f>MIN(IF(INDEX(Properties!A$1:CB$87,Formula!B112,53)=0,10^6,INDEX(Properties!A$1:CB$87,Formula!B112,53)),IF(INDEX(Properties!A$1:CB$87,Formula!D112,53)=0,10^6,INDEX(Properties!A$1:CB$87,Formula!D112,53)),IF(INDEX(Properties!A$1:CB$87,Formula!F112,53)=0,10^6,INDEX(Properties!A$1:CB$87,Formula!F112,53)),IF(INDEX(Properties!A$1:CB$87,Formula!H112,53)=0,10^6,INDEX(Properties!A$1:CB$87,Formula!H112,53)),IF(INDEX(Properties!A$1:CB$87,Formula!J112,53)=0,10^6,INDEX(Properties!A$1:CB$87,Formula!J112,53)))</f>
        <v>54.749999999999972</v>
      </c>
      <c r="FA112" s="39">
        <f t="shared" si="57"/>
        <v>3628.4</v>
      </c>
      <c r="FB112" s="54">
        <f>((Formula!C112)/(Formula!C112+Formula!E112+Formula!G112+Formula!I112+Formula!K112))*(INDEX(Properties!A$1:CB$87,Formula!B112,54))+((Formula!E112)/(Formula!C112+Formula!E112+Formula!G112+Formula!I112+Formula!K112))*(INDEX(Properties!A$1:CB$87,Formula!D112,54))+((Formula!G112)/(Formula!C112+Formula!E112+Formula!G112+Formula!I112+Formula!K112))*(INDEX(Properties!A$1:CB$87,Formula!F112,54))+((Formula!I112)/(Formula!C112+Formula!E112+Formula!G112+Formula!I112+Formula!K112))*(INDEX(Properties!A$1:CB$87,Formula!H112,54))+((Formula!K112)/(Formula!C112+Formula!E112+Formula!G112+Formula!I112+Formula!K112))*(INDEX(Properties!A$1:CB$87,Formula!J112,54))</f>
        <v>1451.2541666666666</v>
      </c>
      <c r="FC112" s="54">
        <f>Formula!C112*(INDEX(Properties!A$1:CB$87,Formula!B112,54))+Formula!E112*(INDEX(Properties!A$1:CB$87,Formula!D112,54))+Formula!G112*(INDEX(Properties!A$1:CB$87,Formula!F112,54))+Formula!I112*(INDEX(Properties!A$1:CB$87,Formula!H112,54))+Formula!K112*(INDEX(Properties!A$1:CB$87,Formula!J112,54))</f>
        <v>69660.2</v>
      </c>
      <c r="FD112" s="54">
        <f>VARP(IF(INDEX(Properties!A$1:CB$87,Formula!B112,54)&lt;&gt;"",INDEX(Properties!A$1:CB$87,Formula!B112,54)),IF(INDEX(Properties!A$1:CB$87,Formula!D112,54)&lt;&gt;"",INDEX(Properties!A$1:CB$87,Formula!D112,54)),IF(INDEX(Properties!A$1:CB$87,Formula!F112,54)&lt;&gt;"",INDEX(Properties!A$1:CB$87,Formula!F112,54)),IF(INDEX(Properties!A$1:CB$87,Formula!H112,54)&lt;&gt;"",INDEX(Properties!A$1:CB$87,Formula!H112,54)),IF(INDEX(Properties!A$1:CB$87,Formula!J112,54)&lt;&gt;"",INDEX(Properties!A$1:CB$87,Formula!J112,54)))</f>
        <v>3948843.44</v>
      </c>
      <c r="FE112" s="54">
        <f>MAX(INDEX(Properties!A$1:CB$87,Formula!B112,54),INDEX(Properties!A$1:CB$87,Formula!D112,54),INDEX(Properties!A$1:CB$87,Formula!F112,54),INDEX(Properties!A$1:CB$87,Formula!H112,54),INDEX(Properties!A$1:CB$87,Formula!J112,54))</f>
        <v>5933.15</v>
      </c>
      <c r="FF112" s="54">
        <f>MIN(IF(INDEX(Properties!A$1:CB$87,Formula!B112,54)=0,10^6,INDEX(Properties!A$1:CB$87,Formula!B112,54)),IF(INDEX(Properties!A$1:CB$87,Formula!D112,54)=0,10^6,INDEX(Properties!A$1:CB$87,Formula!D112,54)),IF(INDEX(Properties!A$1:CB$87,Formula!F112,54)=0,10^6,INDEX(Properties!A$1:CB$87,Formula!F112,54)),IF(INDEX(Properties!A$1:CB$87,Formula!H112,54)=0,10^6,INDEX(Properties!A$1:CB$87,Formula!H112,54)),IF(INDEX(Properties!A$1:CB$87,Formula!J112,54)=0,10^6,INDEX(Properties!A$1:CB$87,Formula!J112,54)))</f>
        <v>90.149999999999977</v>
      </c>
      <c r="FG112" s="54">
        <f t="shared" si="58"/>
        <v>5843</v>
      </c>
      <c r="FH112" s="69">
        <f>((Formula!C112)/(Formula!C112+Formula!E112+Formula!G112+Formula!I112+Formula!K112))*(INDEX(Properties!A$1:CB$87,Formula!B112,55))+((Formula!E112)/(Formula!C112+Formula!E112+Formula!G112+Formula!I112+Formula!K112))*(INDEX(Properties!A$1:CB$87,Formula!D112,55))+((Formula!G112)/(Formula!C112+Formula!E112+Formula!G112+Formula!I112+Formula!K112))*(INDEX(Properties!A$1:CB$87,Formula!F112,55))+((Formula!I112)/(Formula!C112+Formula!E112+Formula!G112+Formula!I112+Formula!K112))*(INDEX(Properties!A$1:CB$87,Formula!H112,55))+((Formula!K112)/(Formula!C112+Formula!E112+Formula!G112+Formula!I112+Formula!K112))*(INDEX(Properties!A$1:CB$87,Formula!J112,55))</f>
        <v>3.8906408333333333</v>
      </c>
      <c r="FI112" s="69">
        <f>Formula!C112*(INDEX(Properties!A$1:CB$87,Formula!B112,55))+Formula!E112*(INDEX(Properties!A$1:CB$87,Formula!D112,54))+Formula!G112*(INDEX(Properties!A$1:CB$87,Formula!F112,55))+Formula!I112*(INDEX(Properties!A$1:CB$87,Formula!H112,55))+Formula!K112*(INDEX(Properties!A$1:CB$87,Formula!J112,55))</f>
        <v>4006.0507600000001</v>
      </c>
      <c r="FJ112" s="69">
        <f>VARP(IF(INDEX(Properties!A$1:CB$87,Formula!B112,55)&lt;&gt;"",INDEX(Properties!A$1:CB$87,Formula!B112,55)),IF(INDEX(Properties!A$1:CB$87,Formula!D112,55)&lt;&gt;"",INDEX(Properties!A$1:CB$87,Formula!D112,55)),IF(INDEX(Properties!A$1:CB$87,Formula!F112,55)&lt;&gt;"",INDEX(Properties!A$1:CB$87,Formula!F112,55)),IF(INDEX(Properties!A$1:CB$87,Formula!H112,55)&lt;&gt;"",INDEX(Properties!A$1:CB$87,Formula!H112,55)),IF(INDEX(Properties!A$1:CB$87,Formula!J112,55)&lt;&gt;"",INDEX(Properties!A$1:CB$87,Formula!J112,55)))</f>
        <v>50.458663043184004</v>
      </c>
      <c r="FK112" s="69">
        <f>MAX(INDEX(Properties!A$1:CB$87,Formula!B112,55),INDEX(Properties!A$1:CB$87,Formula!D112,55),INDEX(Properties!A$1:CB$87,Formula!F112,55),INDEX(Properties!A$1:CB$87,Formula!H112,55),INDEX(Properties!A$1:CB$87,Formula!J112,55))</f>
        <v>19.3</v>
      </c>
      <c r="FL112" s="69">
        <f>MIN(IF(INDEX(Properties!A$1:CB$87,Formula!B112,55)=0,10^6,INDEX(Properties!A$1:CB$87,Formula!B112,55)),IF(INDEX(Properties!A$1:CB$87,Formula!D112,55)=0,10^6,INDEX(Properties!A$1:CB$87,Formula!D112,55)),IF(INDEX(Properties!A$1:CB$87,Formula!F112,55)=0,10^6,INDEX(Properties!A$1:CB$87,Formula!F112,55)),IF(INDEX(Properties!A$1:CB$87,Formula!H112,55)=0,10^6,INDEX(Properties!A$1:CB$87,Formula!H112,55)),IF(INDEX(Properties!A$1:CB$87,Formula!J112,55)=0,10^6,INDEX(Properties!A$1:CB$87,Formula!J112,55)))</f>
        <v>1.4300000000000001E-3</v>
      </c>
      <c r="FM112" s="69">
        <f t="shared" si="59"/>
        <v>19.298570000000002</v>
      </c>
      <c r="FN112" s="42">
        <f>((Formula!C112)/(Formula!C112+Formula!E112+Formula!G112+Formula!I112+Formula!K112))*(INDEX(Properties!A$1:CB$87,Formula!B112,56))+((Formula!E112)/(Formula!C112+Formula!E112+Formula!G112+Formula!I112+Formula!K112))*(INDEX(Properties!A$1:CB$87,Formula!D112,56))+((Formula!G112)/(Formula!C112+Formula!E112+Formula!G112+Formula!I112+Formula!K112))*(INDEX(Properties!A$1:CB$87,Formula!F112,56))+((Formula!I112)/(Formula!C112+Formula!E112+Formula!G112+Formula!I112+Formula!K112))*(INDEX(Properties!A$1:CB$87,Formula!H112,56))+((Formula!K112)/(Formula!C112+Formula!E112+Formula!G112+Formula!I112+Formula!K112))*(INDEX(Properties!A$1:CB$87,Formula!J112,56))</f>
        <v>0.88287499999999997</v>
      </c>
      <c r="FO112" s="42">
        <f>Formula!C112*(INDEX(Properties!A$1:CB$87,Formula!B112,56))+Formula!E112*(INDEX(Properties!A$1:CB$87,Formula!D112,56))+Formula!G112*(INDEX(Properties!A$1:CB$87,Formula!F112,56))+Formula!I112*(INDEX(Properties!A$1:CB$87,Formula!H112,56))+Formula!K112*(INDEX(Properties!A$1:CB$87,Formula!J112,56))</f>
        <v>42.378</v>
      </c>
      <c r="FP112" s="42">
        <f>VARP(IF(INDEX(Properties!A$1:CB$87,Formula!B112,56)&lt;&gt;"",INDEX(Properties!A$1:CB$87,Formula!B112,56)),IF(INDEX(Properties!A$1:CB$87,Formula!D112,56)&lt;&gt;"",INDEX(Properties!A$1:CB$87,Formula!D112,56)),IF(INDEX(Properties!A$1:CB$87,Formula!F112,56)&lt;&gt;"",INDEX(Properties!A$1:CB$87,Formula!F112,56)),IF(INDEX(Properties!A$1:CB$87,Formula!H112,56)&lt;&gt;"",INDEX(Properties!A$1:CB$87,Formula!H112,56)),IF(INDEX(Properties!A$1:CB$87,Formula!J112,56)&lt;&gt;"",INDEX(Properties!A$1:CB$87,Formula!J112,56)))</f>
        <v>1.7496809599999994</v>
      </c>
      <c r="FQ112" s="42">
        <f>MAX(INDEX(Properties!A$1:CB$87,Formula!B112,56),INDEX(Properties!A$1:CB$87,Formula!D112,56),INDEX(Properties!A$1:CB$87,Formula!F112,56),INDEX(Properties!A$1:CB$87,Formula!H112,56),INDEX(Properties!A$1:CB$87,Formula!J112,56))</f>
        <v>3.6</v>
      </c>
      <c r="FR112" s="42">
        <f>MIN(IF(INDEX(Properties!A$1:CB$87,Formula!B112,56)=0,10^6,INDEX(Properties!A$1:CB$87,Formula!B112,56)),IF(INDEX(Properties!A$1:CB$87,Formula!D112,56)=0,10^6,INDEX(Properties!A$1:CB$87,Formula!D112,56)),IF(INDEX(Properties!A$1:CB$87,Formula!F112,56)=0,10^6,INDEX(Properties!A$1:CB$87,Formula!F112,56)),IF(INDEX(Properties!A$1:CB$87,Formula!H112,56)=0,10^6,INDEX(Properties!A$1:CB$87,Formula!H112,56)),IF(INDEX(Properties!A$1:CB$87,Formula!J112,56)=0,10^6,INDEX(Properties!A$1:CB$87,Formula!J112,56)))</f>
        <v>0.13</v>
      </c>
      <c r="FS112" s="42">
        <f t="shared" si="60"/>
        <v>3.47</v>
      </c>
      <c r="FT112" s="60">
        <f>((Formula!C112)/(Formula!C112+Formula!E112+Formula!G112+Formula!I112+Formula!K112))*(INDEX(Properties!A$1:CB$87,Formula!B112,57))+((Formula!E112)/(Formula!C112+Formula!E112+Formula!G112+Formula!I112+Formula!K112))*(INDEX(Properties!A$1:CB$87,Formula!D112,57))+((Formula!G112)/(Formula!C112+Formula!E112+Formula!G112+Formula!I112+Formula!K112))*(INDEX(Properties!A$1:CB$87,Formula!F112,57))+((Formula!I112)/(Formula!C112+Formula!E112+Formula!G112+Formula!I112+Formula!K112))*(INDEX(Properties!A$1:CB$87,Formula!H112,57))+((Formula!K112)/(Formula!C112+Formula!E112+Formula!G112+Formula!I112+Formula!K112))*(INDEX(Properties!A$1:CB$87,Formula!J112,57))</f>
        <v>7.1869349999999992</v>
      </c>
      <c r="FU112" s="60">
        <f>Formula!C112*(INDEX(Properties!A$1:CB$87,Formula!B112,57))+Formula!E112*(INDEX(Properties!A$1:CB$87,Formula!D112,57))+Formula!G112*(INDEX(Properties!A$1:CB$87,Formula!F112,57))+Formula!I112*(INDEX(Properties!A$1:CB$87,Formula!H112,57))+Formula!K112*(INDEX(Properties!A$1:CB$87,Formula!J112,57))</f>
        <v>344.97288000000003</v>
      </c>
      <c r="FV112" s="60">
        <f>VARP(IF(INDEX(Properties!A$1:CB$87,Formula!B112,57)&lt;&gt;"",INDEX(Properties!A$1:CB$87,Formula!B112,57)),IF(INDEX(Properties!A$1:CB$87,Formula!D112,57)&lt;&gt;"",INDEX(Properties!A$1:CB$87,Formula!D112,57)),IF(INDEX(Properties!A$1:CB$87,Formula!F112,57)&lt;&gt;"",INDEX(Properties!A$1:CB$87,Formula!F112,57)),IF(INDEX(Properties!A$1:CB$87,Formula!H112,57)&lt;&gt;"",INDEX(Properties!A$1:CB$87,Formula!H112,57)),IF(INDEX(Properties!A$1:CB$87,Formula!J112,57)&lt;&gt;"",INDEX(Properties!A$1:CB$87,Formula!J112,57)))</f>
        <v>157.31456276929597</v>
      </c>
      <c r="FW112" s="60">
        <f>MAX(INDEX(Properties!A$1:CB$87,Formula!B112,57),INDEX(Properties!A$1:CB$87,Formula!D112,57),INDEX(Properties!A$1:CB$87,Formula!F112,57),INDEX(Properties!A$1:CB$87,Formula!H112,57),INDEX(Properties!A$1:CB$87,Formula!J112,57))</f>
        <v>35.4</v>
      </c>
      <c r="FX112" s="60">
        <f>MIN(IF(INDEX(Properties!A$1:CB$87,Formula!B112,57)=0,10^6,INDEX(Properties!A$1:CB$87,Formula!B112,57)),IF(INDEX(Properties!A$1:CB$87,Formula!D112,57)=0,10^6,INDEX(Properties!A$1:CB$87,Formula!D112,57)),IF(INDEX(Properties!A$1:CB$87,Formula!F112,57)=0,10^6,INDEX(Properties!A$1:CB$87,Formula!F112,57)),IF(INDEX(Properties!A$1:CB$87,Formula!H112,57)=0,10^6,INDEX(Properties!A$1:CB$87,Formula!H112,57)),IF(INDEX(Properties!A$1:CB$87,Formula!J112,57)=0,10^6,INDEX(Properties!A$1:CB$87,Formula!J112,57)))</f>
        <v>0.22259000000000001</v>
      </c>
      <c r="FY112" s="60">
        <f t="shared" si="61"/>
        <v>35.177410000000002</v>
      </c>
      <c r="FZ112" s="72">
        <f>((Formula!C112)/(Formula!C112+Formula!E112+Formula!G112+Formula!I112+Formula!K112))*(INDEX(Properties!A$1:CB$87,Formula!B112,60))+((Formula!E112)/(Formula!C112+Formula!E112+Formula!G112+Formula!I112+Formula!K112))*(INDEX(Properties!A$1:CB$87,Formula!D112,60))+((Formula!G112)/(Formula!C112+Formula!E112+Formula!G112+Formula!I112+Formula!K112))*(INDEX(Properties!A$1:CB$87,Formula!F112,60))+((Formula!I112)/(Formula!C112+Formula!E112+Formula!G112+Formula!I112+Formula!K112))*(INDEX(Properties!A$1:CB$87,Formula!H112,60))+((Formula!K112)/(Formula!C112+Formula!E112+Formula!G112+Formula!I112+Formula!K112))*(INDEX(Properties!A$1:CB$87,Formula!J112,60))</f>
        <v>35.740743333333327</v>
      </c>
      <c r="GA112" s="72">
        <f>Formula!C112*(INDEX(Properties!A$1:CB$87,Formula!B112,60))+Formula!E112*(INDEX(Properties!A$1:CB$87,Formula!D112,60))+Formula!G112*(INDEX(Properties!A$1:CB$87,Formula!F112,60))+Formula!I112*(INDEX(Properties!A$1:CB$87,Formula!H112,60))+Formula!K112*(INDEX(Properties!A$1:CB$87,Formula!J112,60))</f>
        <v>1715.5556799999999</v>
      </c>
      <c r="GB112" s="72">
        <f>VARP(IF(INDEX(Properties!A$1:CB$87,Formula!B112,60)&lt;&gt;"",INDEX(Properties!A$1:CB$87,Formula!B112,60)),IF(INDEX(Properties!A$1:CB$87,Formula!D112,60)&lt;&gt;"",INDEX(Properties!A$1:CB$87,Formula!D112,60)),IF(INDEX(Properties!A$1:CB$87,Formula!F112,60)&lt;&gt;"",INDEX(Properties!A$1:CB$87,Formula!F112,60)),IF(INDEX(Properties!A$1:CB$87,Formula!H112,60)&lt;&gt;"",INDEX(Properties!A$1:CB$87,Formula!H112,60)),IF(INDEX(Properties!A$1:CB$87,Formula!J112,60)&lt;&gt;"",INDEX(Properties!A$1:CB$87,Formula!J112,60)))</f>
        <v>4268.7350665644162</v>
      </c>
      <c r="GC112" s="72">
        <f>MAX(INDEX(Properties!A$1:CB$87,Formula!B112,60),INDEX(Properties!A$1:CB$87,Formula!D112,60),INDEX(Properties!A$1:CB$87,Formula!F112,60),INDEX(Properties!A$1:CB$87,Formula!H112,60),INDEX(Properties!A$1:CB$87,Formula!J112,60))</f>
        <v>174</v>
      </c>
      <c r="GD112" s="72">
        <f>MIN(IF(INDEX(Properties!A$1:CB$87,Formula!B112,60)=0,10^6,INDEX(Properties!A$1:CB$87,Formula!B112,60)),IF(INDEX(Properties!A$1:CB$87,Formula!D112,60)=0,10^6,INDEX(Properties!A$1:CB$87,Formula!D112,60)),IF(INDEX(Properties!A$1:CB$87,Formula!F112,60)=0,10^6,INDEX(Properties!A$1:CB$87,Formula!F112,60)),IF(INDEX(Properties!A$1:CB$87,Formula!H112,60)=0,10^6,INDEX(Properties!A$1:CB$87,Formula!H112,60)),IF(INDEX(Properties!A$1:CB$87,Formula!J112,60)=0,10^6,INDEX(Properties!A$1:CB$87,Formula!J112,60)))</f>
        <v>2.674E-2</v>
      </c>
      <c r="GE112" s="72">
        <f t="shared" si="62"/>
        <v>173.97326000000001</v>
      </c>
      <c r="GF112" s="51">
        <f>((Formula!C112)/(Formula!C112+Formula!E112+Formula!G112+Formula!I112+Formula!K112))*(INDEX(Properties!A$1:CB$87,Formula!B112,62))+((Formula!E112)/(Formula!C112+Formula!E112+Formula!G112+Formula!I112+Formula!K112))*(INDEX(Properties!A$1:CB$87,Formula!D112,62))+((Formula!G112)/(Formula!C112+Formula!E112+Formula!G112+Formula!I112+Formula!K112))*(INDEX(Properties!A$1:CB$87,Formula!F112,62))+((Formula!I112)/(Formula!C112+Formula!E112+Formula!G112+Formula!I112+Formula!K112))*(INDEX(Properties!A$1:CB$87,Formula!H112,62))+((Formula!K112)/(Formula!C112+Formula!E112+Formula!G112+Formula!I112+Formula!K112))*(INDEX(Properties!A$1:CB$87,Formula!J112,62))</f>
        <v>3.6697916666666668</v>
      </c>
      <c r="GG112" s="51">
        <f>Formula!C112*(INDEX(Properties!A$1:CB$87,Formula!B112,62))+Formula!E112*(INDEX(Properties!A$1:CB$87,Formula!D112,62))+Formula!G112*(INDEX(Properties!A$1:CB$87,Formula!F112,62))+Formula!I112*(INDEX(Properties!A$1:CB$87,Formula!H112,62))+Formula!K112*(INDEX(Properties!A$1:CB$87,Formula!J112,62))</f>
        <v>176.15</v>
      </c>
      <c r="GH112" s="51">
        <f>VARP(IF(INDEX(Properties!A$1:CB$87,Formula!B112,62)&lt;&gt;"",INDEX(Properties!A$1:CB$87,Formula!B112,62)),IF(INDEX(Properties!A$1:CB$87,Formula!D112,62)&lt;&gt;"",INDEX(Properties!A$1:CB$87,Formula!D112,62)),IF(INDEX(Properties!A$1:CB$87,Formula!F112,62)&lt;&gt;"",INDEX(Properties!A$1:CB$87,Formula!F112,62)),IF(INDEX(Properties!A$1:CB$87,Formula!H112,62)&lt;&gt;"",INDEX(Properties!A$1:CB$87,Formula!H112,62)),IF(INDEX(Properties!A$1:CB$87,Formula!J112,62)&lt;&gt;"",INDEX(Properties!A$1:CB$87,Formula!J112,62)))</f>
        <v>7.1659359999999968</v>
      </c>
      <c r="GI112" s="51">
        <f>MAX(INDEX(Properties!A$1:CB$87,Formula!B112,62),INDEX(Properties!A$1:CB$87,Formula!D112,62),INDEX(Properties!A$1:CB$87,Formula!F112,62),INDEX(Properties!A$1:CB$87,Formula!H112,62),INDEX(Properties!A$1:CB$87,Formula!J112,62))</f>
        <v>8.9</v>
      </c>
      <c r="GJ112" s="51">
        <f>MIN(IF(INDEX(Properties!A$1:CB$87,Formula!B112,62)=0,10^6,INDEX(Properties!A$1:CB$87,Formula!B112,62)),IF(INDEX(Properties!A$1:CB$87,Formula!D112,62)=0,10^6,INDEX(Properties!A$1:CB$87,Formula!D112,62)),IF(INDEX(Properties!A$1:CB$87,Formula!F112,62)=0,10^6,INDEX(Properties!A$1:CB$87,Formula!F112,62)),IF(INDEX(Properties!A$1:CB$87,Formula!H112,62)=0,10^6,INDEX(Properties!A$1:CB$87,Formula!H112,62)),IF(INDEX(Properties!A$1:CB$87,Formula!J112,62)=0,10^6,INDEX(Properties!A$1:CB$87,Formula!J112,62)))</f>
        <v>1.63</v>
      </c>
      <c r="GK112" s="51">
        <f t="shared" si="63"/>
        <v>7.2700000000000005</v>
      </c>
      <c r="GL112" s="51">
        <f>Formula!P112</f>
        <v>15</v>
      </c>
      <c r="GM112" s="57">
        <f>Formula!O112</f>
        <v>2</v>
      </c>
      <c r="GN112" s="51">
        <f>Formula!N112</f>
        <v>0.03</v>
      </c>
    </row>
    <row r="113" spans="1:196" x14ac:dyDescent="0.3">
      <c r="A113" s="84" t="str">
        <f>Formula!A113</f>
        <v>Ba6Gd2W3O18</v>
      </c>
      <c r="B113" s="89">
        <f>((Formula!C113)/(Formula!C113+Formula!E113+Formula!G113+Formula!I113+Formula!K113))*(INDEX(Properties!A$1:CB$87,Formula!B113,3))+((Formula!E113)/(Formula!C113+Formula!E113+Formula!G113+Formula!I113+Formula!K113))*(INDEX(Properties!A$1:CB$87,Formula!D113,3))+((Formula!G113)/(Formula!C113+Formula!E113+Formula!G113+Formula!I113+Formula!K113))*(INDEX(Properties!A$1:CB$87,Formula!F113,3))+((Formula!I113)/(Formula!C113+Formula!E113+Formula!G113+Formula!I113+Formula!K113))*(INDEX(Properties!A$1:CB$87,Formula!H113,3))+((Formula!K113)/(Formula!C113+Formula!E113+Formula!G113+Formula!I113+Formula!K113))*(INDEX(Properties!A$1:CB$87,Formula!J113,3))</f>
        <v>68.205903448275862</v>
      </c>
      <c r="C113" s="85">
        <f>Formula!C113*(INDEX(Properties!A$1:CB$87,Formula!B113,3))+Formula!E113*(INDEX(Properties!A$1:CB$87,Formula!D113,3))+Formula!G113*(INDEX(Properties!A$1:CB$87,Formula!F113,3))+Formula!I113*(INDEX(Properties!A$1:CB$87,Formula!H113,3))+Formula!K113*(INDEX(Properties!A$1:CB$87,Formula!J113,3))</f>
        <v>1977.9712</v>
      </c>
      <c r="D113" s="85">
        <f>VARP(IF(INDEX(Properties!A$1:CB$87,Formula!B113,3)&lt;&gt;"",INDEX(Properties!A$1:CB$87,Formula!B113,3)),IF(INDEX(Properties!A$1:CB$87,Formula!D113,3)&lt;&gt;"",INDEX(Properties!A$1:CB$87,Formula!D113,3)),IF(INDEX(Properties!A$1:CB$87,Formula!F113,3)&lt;&gt;"",INDEX(Properties!A$1:CB$87,Formula!F113,3)),IF(INDEX(Properties!A$1:CB$87,Formula!H113,3)&lt;&gt;"",INDEX(Properties!A$1:CB$87,Formula!H113,3)),IF(INDEX(Properties!A$1:CB$87,Formula!J113,3)&lt;&gt;"",INDEX(Properties!A$1:CB$87,Formula!J113,3)))</f>
        <v>5749.9757023136017</v>
      </c>
      <c r="E113" s="85">
        <f>MAX(INDEX(Properties!A$1:CB$87,Formula!B113,3),INDEX(Properties!A$1:CB$87,Formula!D113,3),INDEX(Properties!A$1:CB$87,Formula!F113,3),INDEX(Properties!A$1:CB$87,Formula!H113,3),INDEX(Properties!A$1:CB$87,Formula!J113,3))</f>
        <v>183.84</v>
      </c>
      <c r="F113" s="85">
        <f>MIN(IF(INDEX(Properties!A$1:CB$87,Formula!B113,3)=0,10^6,INDEX(Properties!A$1:CB$87,Formula!B113,3)),IF(INDEX(Properties!A$1:CB$87,Formula!D113,3)=0,10^6,INDEX(Properties!A$1:CB$87,Formula!D113,3)),IF(INDEX(Properties!A$1:CB$87,Formula!F113,3)=0,10^6,INDEX(Properties!A$1:CB$87,Formula!F113,3)),IF(INDEX(Properties!A$1:CB$87,Formula!H113,3)=0,10^6,INDEX(Properties!A$1:CB$87,Formula!H113,3)),IF(INDEX(Properties!A$1:CB$87,Formula!J113,3)=0,10^6,INDEX(Properties!A$1:CB$87,Formula!J113,3)))</f>
        <v>15.9994</v>
      </c>
      <c r="G113" s="85">
        <f t="shared" si="32"/>
        <v>167.84059999999999</v>
      </c>
      <c r="H113" s="87">
        <f>((Formula!C113)/(Formula!C113+Formula!E113+Formula!G113+Formula!I113+Formula!K113))*(INDEX(Properties!A$1:CB$87,Formula!B113,4))+((Formula!E113)/(Formula!C113+Formula!E113+Formula!G113+Formula!I113+Formula!K113))*(INDEX(Properties!A$1:CB$87,Formula!D113,4))+((Formula!G113)/(Formula!C113+Formula!E113+Formula!G113+Formula!I113+Formula!K113))*(INDEX(Properties!A$1:CB$87,Formula!F113,4))+((Formula!I113)/(Formula!C113+Formula!E113+Formula!G113+Formula!I113+Formula!K113))*(INDEX(Properties!A$1:CB$87,Formula!H113,4))+((Formula!K113)/(Formula!C113+Formula!E113+Formula!G113+Formula!I113+Formula!K113))*(INDEX(Properties!A$1:CB$87,Formula!J113,4))</f>
        <v>28.620689655172413</v>
      </c>
      <c r="I113" s="87">
        <f>Formula!C113*(INDEX(Properties!A$1:CB$87,Formula!B113,4))+Formula!E113*(INDEX(Properties!A$1:CB$87,Formula!D113,4))+Formula!G113*(INDEX(Properties!A$1:CB$87,Formula!F113,4))+Formula!I113*(INDEX(Properties!A$1:CB$87,Formula!H113,4))+Formula!K113*(INDEX(Properties!A$1:CB$87,Formula!J113,4))</f>
        <v>830</v>
      </c>
      <c r="J113" s="87">
        <f>VARP(IF(INDEX(Properties!A$1:CB$87,Formula!B113,4)&lt;&gt;"",INDEX(Properties!A$1:CB$87,Formula!B113,4)),IF(INDEX(Properties!A$1:CB$87,Formula!D113,4)&lt;&gt;"",INDEX(Properties!A$1:CB$87,Formula!D113,4)),IF(INDEX(Properties!A$1:CB$87,Formula!F113,4)&lt;&gt;"",INDEX(Properties!A$1:CB$87,Formula!F113,4)),IF(INDEX(Properties!A$1:CB$87,Formula!H113,4)&lt;&gt;"",INDEX(Properties!A$1:CB$87,Formula!H113,4)),IF(INDEX(Properties!A$1:CB$87,Formula!J113,4)&lt;&gt;"",INDEX(Properties!A$1:CB$87,Formula!J113,4)))</f>
        <v>922.24</v>
      </c>
      <c r="K113" s="87">
        <f>MAX(INDEX(Properties!A$1:CB$87,Formula!B113,4),INDEX(Properties!A$1:CB$87,Formula!D113,4),INDEX(Properties!A$1:CB$87,Formula!F113,4),INDEX(Properties!A$1:CB$87,Formula!H113,4),INDEX(Properties!A$1:CB$87,Formula!J113,4))</f>
        <v>74</v>
      </c>
      <c r="L113" s="87">
        <f>MIN(IF(INDEX(Properties!A$1:CB$87,Formula!B113,4)=0,10^6,INDEX(Properties!A$1:CB$87,Formula!B113,4)),IF(INDEX(Properties!A$1:CB$87,Formula!D113,4)=0,10^6,INDEX(Properties!A$1:CB$87,Formula!D113,4)),IF(INDEX(Properties!A$1:CB$87,Formula!F113,4)=0,10^6,INDEX(Properties!A$1:CB$87,Formula!F113,4)),IF(INDEX(Properties!A$1:CB$87,Formula!H113,4)=0,10^6,INDEX(Properties!A$1:CB$87,Formula!H113,4)),IF(INDEX(Properties!A$1:CB$87,Formula!J113,4)=0,10^6,INDEX(Properties!A$1:CB$87,Formula!J113,4)))</f>
        <v>8</v>
      </c>
      <c r="M113" s="87">
        <f t="shared" si="33"/>
        <v>66</v>
      </c>
      <c r="N113" s="89">
        <f>((Formula!C113)/(Formula!C113+Formula!E113+Formula!G113+Formula!I113+Formula!K113))*(INDEX(Properties!A$1:CB$87,Formula!B113,5))+((Formula!E113)/(Formula!C113+Formula!E113+Formula!G113+Formula!I113+Formula!K113))*(INDEX(Properties!A$1:CB$87,Formula!D113,5))+((Formula!G113)/(Formula!C113+Formula!E113+Formula!G113+Formula!I113+Formula!K113))*(INDEX(Properties!A$1:CB$87,Formula!F113,5))+((Formula!I113)/(Formula!C113+Formula!E113+Formula!G113+Formula!I113+Formula!K113))*(INDEX(Properties!A$1:CB$87,Formula!H113,5))+((Formula!K113)/(Formula!C113+Formula!E113+Formula!G113+Formula!I113+Formula!K113))*(INDEX(Properties!A$1:CB$87,Formula!J113,5))</f>
        <v>3.5172413793103452</v>
      </c>
      <c r="O113" s="89">
        <f>Formula!C113*(INDEX(Properties!A$1:CB$87,Formula!B113,5))+Formula!E113*(INDEX(Properties!A$1:CB$87,Formula!D113,5))+Formula!G113*(INDEX(Properties!A$1:CB$87,Formula!F113,5))+Formula!I113*(INDEX(Properties!A$1:CB$87,Formula!H113,5))+Formula!K113*(INDEX(Properties!A$1:CB$87,Formula!J113,5))</f>
        <v>102</v>
      </c>
      <c r="P113" s="89">
        <f>VARP(IF(INDEX(Properties!A$1:CB$87,Formula!B113,5)&lt;&gt;"",INDEX(Properties!A$1:CB$87,Formula!B113,5)),IF(INDEX(Properties!A$1:CB$87,Formula!D113,5)&lt;&gt;"",INDEX(Properties!A$1:CB$87,Formula!D113,5)),IF(INDEX(Properties!A$1:CB$87,Formula!F113,5)&lt;&gt;"",INDEX(Properties!A$1:CB$87,Formula!F113,5)),IF(INDEX(Properties!A$1:CB$87,Formula!H113,5)&lt;&gt;"",INDEX(Properties!A$1:CB$87,Formula!H113,5)),IF(INDEX(Properties!A$1:CB$87,Formula!J113,5)&lt;&gt;"",INDEX(Properties!A$1:CB$87,Formula!J113,5)))</f>
        <v>6.4</v>
      </c>
      <c r="Q113" s="89">
        <f>MAX(INDEX(Properties!A$1:CB$87,Formula!B113,5),INDEX(Properties!A$1:CB$87,Formula!D113,5),INDEX(Properties!A$1:CB$87,Formula!F113,5),INDEX(Properties!A$1:CB$87,Formula!H113,5),INDEX(Properties!A$1:CB$87,Formula!J113,5))</f>
        <v>6</v>
      </c>
      <c r="R113" s="89">
        <f>MIN(IF(INDEX(Properties!A$1:CB$87,Formula!B113,5)=0,10^6,INDEX(Properties!A$1:CB$87,Formula!B113,5)),IF(INDEX(Properties!A$1:CB$87,Formula!D113,5)=0,10^6,INDEX(Properties!A$1:CB$87,Formula!D113,5)),IF(INDEX(Properties!A$1:CB$87,Formula!F113,5)=0,10^6,INDEX(Properties!A$1:CB$87,Formula!F113,5)),IF(INDEX(Properties!A$1:CB$87,Formula!H113,5)=0,10^6,INDEX(Properties!A$1:CB$87,Formula!H113,5)),IF(INDEX(Properties!A$1:CB$87,Formula!J113,5)=0,10^6,INDEX(Properties!A$1:CB$87,Formula!J113,5)))</f>
        <v>2</v>
      </c>
      <c r="S113" s="89">
        <f t="shared" si="34"/>
        <v>4</v>
      </c>
      <c r="T113" s="60">
        <f>((Formula!C113)/(Formula!C113+Formula!E113+Formula!G113+Formula!I113+Formula!K113))*(INDEX(Properties!A$1:CB$87,Formula!B113,6))+((Formula!E113)/(Formula!C113+Formula!E113+Formula!G113+Formula!I113+Formula!K113))*(INDEX(Properties!A$1:CB$87,Formula!D113,6))+((Formula!G113)/(Formula!C113+Formula!E113+Formula!G113+Formula!I113+Formula!K113))*(INDEX(Properties!A$1:CB$87,Formula!F113,6))+((Formula!I113)/(Formula!C113+Formula!E113+Formula!G113+Formula!I113+Formula!K113))*(INDEX(Properties!A$1:CB$87,Formula!H113,6))+((Formula!K113)/(Formula!C113+Formula!E113+Formula!G113+Formula!I113+Formula!K113))*(INDEX(Properties!A$1:CB$87,Formula!J113,6))</f>
        <v>11.172413793103448</v>
      </c>
      <c r="U113" s="60">
        <f>Formula!C113*(INDEX(Properties!A$1:CB$87,Formula!B113,6))+Formula!E113*(INDEX(Properties!A$1:CB$87,Formula!D113,6))+Formula!G113*(INDEX(Properties!A$1:CB$87,Formula!F113,6))+Formula!I113*(INDEX(Properties!A$1:CB$87,Formula!H113,6))+Formula!K113*(INDEX(Properties!A$1:CB$87,Formula!J113,6))</f>
        <v>324</v>
      </c>
      <c r="V113" s="89">
        <f>VARP(IF(INDEX(Properties!A$1:CB$87,Formula!B113,6)&lt;&gt;"",INDEX(Properties!A$1:CB$87,Formula!B113,6)),IF(INDEX(Properties!A$1:CB$87,Formula!D113,6)&lt;&gt;"",INDEX(Properties!A$1:CB$87,Formula!D113,6)),IF(INDEX(Properties!A$1:CB$87,Formula!F113,6)&lt;&gt;"",INDEX(Properties!A$1:CB$87,Formula!F113,6)),IF(INDEX(Properties!A$1:CB$87,Formula!H113,6)&lt;&gt;"",INDEX(Properties!A$1:CB$87,Formula!H113,6)),IF(INDEX(Properties!A$1:CB$87,Formula!J113,6)&lt;&gt;"",INDEX(Properties!A$1:CB$87,Formula!J113,6)))</f>
        <v>31.84</v>
      </c>
      <c r="W113" s="60">
        <f>MAX(INDEX(Properties!A$1:CB$87,Formula!B113,6),INDEX(Properties!A$1:CB$87,Formula!D113,6),INDEX(Properties!A$1:CB$87,Formula!F113,6),INDEX(Properties!A$1:CB$87,Formula!H113,4),INDEX(Properties!A$1:CB$87,Formula!J113,6))</f>
        <v>8</v>
      </c>
      <c r="X113" s="60">
        <f>MIN(IF(INDEX(Properties!A$1:CB$87,Formula!B113,6)=0,10^6,INDEX(Properties!A$1:CB$87,Formula!B113,6)),IF(INDEX(Properties!A$1:CB$87,Formula!D113,6)=0,10^6,INDEX(Properties!A$1:CB$87,Formula!D113,6)),IF(INDEX(Properties!A$1:CB$87,Formula!F113,6)=0,10^6,INDEX(Properties!A$1:CB$87,Formula!F113,6)),IF(INDEX(Properties!A$1:CB$87,Formula!H113,6)=0,10^6,INDEX(Properties!A$1:CB$87,Formula!H113,6)),IF(INDEX(Properties!A$1:CB$87,Formula!J113,6)=0,10^6,INDEX(Properties!A$1:CB$87,Formula!J113,6)))</f>
        <v>2</v>
      </c>
      <c r="Y113" s="60">
        <f t="shared" si="35"/>
        <v>6</v>
      </c>
      <c r="Z113" s="72">
        <f>((Formula!C113)/(Formula!C113+Formula!E113+Formula!G113+Formula!I113+Formula!K113))*(INDEX(Properties!A$1:CB$87,Formula!B113,9))+((Formula!E113)/(Formula!C113+Formula!E113+Formula!G113+Formula!I113+Formula!K113))*(INDEX(Properties!A$1:CB$87,Formula!D113,9))+((Formula!G113)/(Formula!C113+Formula!E113+Formula!G113+Formula!I113+Formula!K113))*(INDEX(Properties!A$1:CB$87,Formula!F113,9))+((Formula!I113)/(Formula!C113+Formula!E113+Formula!G113+Formula!I113+Formula!K113))*(INDEX(Properties!A$1:CB$87,Formula!H113,9))+((Formula!K113)/(Formula!C113+Formula!E113+Formula!G113+Formula!I113+Formula!K113))*(INDEX(Properties!A$1:CB$87,Formula!J113,9))</f>
        <v>63</v>
      </c>
      <c r="AA113" s="72">
        <f>Formula!C113*(INDEX(Properties!A$1:CB$87,Formula!B113,9))+Formula!E113*(INDEX(Properties!A$1:CB$87,Formula!D113,9))+Formula!G113*(INDEX(Properties!A$1:CB$87,Formula!F113,9))+Formula!I113*(INDEX(Properties!A$1:CB$87,Formula!H113,9))+Formula!K113*(INDEX(Properties!A$1:CB$87,Formula!J113,9))</f>
        <v>1827</v>
      </c>
      <c r="AB113" s="72">
        <f>VARP(IF(INDEX(Properties!A$1:CB$87,Formula!B113,9)&lt;&gt;"",INDEX(Properties!A$1:CB$87,Formula!B113,9)),IF(INDEX(Properties!A$1:CB$87,Formula!D113,9)&lt;&gt;"",INDEX(Properties!A$1:CB$87,Formula!D113,9)),IF(INDEX(Properties!A$1:CB$87,Formula!F113,9)&lt;&gt;"",INDEX(Properties!A$1:CB$87,Formula!F113,9)),IF(INDEX(Properties!A$1:CB$87,Formula!H113,9)&lt;&gt;"",INDEX(Properties!A$1:CB$87,Formula!H113,9)),IF(INDEX(Properties!A$1:CB$87,Formula!J113,9)&lt;&gt;"",INDEX(Properties!A$1:CB$87,Formula!J113,9)))</f>
        <v>984.96</v>
      </c>
      <c r="AC113" s="72">
        <f>MAX(INDEX(Properties!A$1:CB$87,Formula!B113,9),INDEX(Properties!A$1:CB$87,Formula!D113,9),INDEX(Properties!A$1:CB$87,Formula!F113,9),INDEX(Properties!A$1:CB$87,Formula!H113,9),INDEX(Properties!A$1:CB$87,Formula!J113,9))</f>
        <v>87</v>
      </c>
      <c r="AD113" s="72">
        <f>MIN(IF(INDEX(Properties!A$1:CB$87,Formula!B113,9)=0,10^6,INDEX(Properties!A$1:CB$87,Formula!B113,9)),IF(INDEX(Properties!A$1:CB$87,Formula!D113,9)=0,10^6,INDEX(Properties!A$1:CB$87,Formula!D113,9)),IF(INDEX(Properties!A$1:CB$87,Formula!F113,9)=0,10^6,INDEX(Properties!A$1:CB$87,Formula!F113,9)),IF(INDEX(Properties!A$1:CB$87,Formula!H113,9)=0,10^6,INDEX(Properties!A$1:CB$87,Formula!H113,9)),IF(INDEX(Properties!A$1:CB$87,Formula!J113,9)=0,10^6,INDEX(Properties!A$1:CB$87,Formula!J113,9)))</f>
        <v>9</v>
      </c>
      <c r="AE113" s="72">
        <f t="shared" si="36"/>
        <v>78</v>
      </c>
      <c r="AF113" s="51">
        <f>((Formula!C113)/(Formula!C113+Formula!E113+Formula!G113+Formula!I113+Formula!K113))*(INDEX(Properties!A$1:CB$87,Formula!B113,10))+((Formula!E113)/(Formula!C113+Formula!E113+Formula!G113+Formula!I113+Formula!K113))*(INDEX(Properties!A$1:CB$87,Formula!D113,10))+((Formula!G113)/(Formula!C113+Formula!E113+Formula!G113+Formula!I113+Formula!K113))*(INDEX(Properties!A$1:CB$87,Formula!F113,10))+((Formula!I113)/(Formula!C113+Formula!E113+Formula!G113+Formula!I113+Formula!K113))*(INDEX(Properties!A$1:CB$87,Formula!H113,10))+((Formula!K113)/(Formula!C113+Formula!E113+Formula!G113+Formula!I113+Formula!K113))*(INDEX(Properties!A$1:CB$87,Formula!J113,10))</f>
        <v>5.3793103448275863</v>
      </c>
      <c r="AG113" s="51">
        <f>Formula!C113*(INDEX(Properties!A$1:CB$87,Formula!B113,10))+Formula!E113*(INDEX(Properties!A$1:CB$87,Formula!D113,10))+Formula!G113*(INDEX(Properties!A$1:CB$87,Formula!F113,10))+Formula!I113*(INDEX(Properties!A$1:CB$87,Formula!H113,10))+Formula!K113*(INDEX(Properties!A$1:CB$87,Formula!J113,10))</f>
        <v>156</v>
      </c>
      <c r="AH113" s="51">
        <f>VARP(IF(INDEX(Properties!A$1:CB$87,Formula!B113,10)&lt;&gt;"",INDEX(Properties!A$1:CB$87,Formula!B113,10)),IF(INDEX(Properties!A$1:CB$87,Formula!D113,10)&lt;&gt;"",INDEX(Properties!A$1:CB$87,Formula!D113,10)),IF(INDEX(Properties!A$1:CB$87,Formula!F113,10)&lt;&gt;"",INDEX(Properties!A$1:CB$87,Formula!F113,10)),IF(INDEX(Properties!A$1:CB$87,Formula!H113,10)&lt;&gt;"",INDEX(Properties!A$1:CB$87,Formula!H113,10)),IF(INDEX(Properties!A$1:CB$87,Formula!J113,10)&lt;&gt;"",INDEX(Properties!A$1:CB$87,Formula!J113,10)))</f>
        <v>5.36</v>
      </c>
      <c r="AI113" s="51">
        <f>MAX(INDEX(Properties!A$1:CB$87,Formula!B113,10),INDEX(Properties!A$1:CB$87,Formula!D113,10),INDEX(Properties!A$1:CB$87,Formula!F113,10),INDEX(Properties!A$1:CB$87,Formula!H113,10),INDEX(Properties!A$1:CB$87,Formula!J113,10))</f>
        <v>7</v>
      </c>
      <c r="AJ113" s="51">
        <f>MIN(IF(INDEX(Properties!A$1:CB$87,Formula!B113,10)=0,10^6,INDEX(Properties!A$1:CB$87,Formula!B113,10)),IF(INDEX(Properties!A$1:CB$87,Formula!D113,10)=0,10^6,INDEX(Properties!A$1:CB$87,Formula!D113,10)),IF(INDEX(Properties!A$1:CB$87,Formula!F113,10)=0,10^6,INDEX(Properties!A$1:CB$87,Formula!F113,10)),IF(INDEX(Properties!A$1:CB$87,Formula!H113,10)=0,10^6,INDEX(Properties!A$1:CB$87,Formula!H113,10)),IF(INDEX(Properties!A$1:CB$87,Formula!J113,10)=0,10^6,INDEX(Properties!A$1:CB$87,Formula!J113,10)))</f>
        <v>2</v>
      </c>
      <c r="AK113" s="51">
        <f t="shared" si="37"/>
        <v>5</v>
      </c>
      <c r="AL113" s="57">
        <f>((Formula!C113)/(Formula!C113+Formula!E113+Formula!G113+Formula!I113+Formula!K113))*(INDEX(Properties!A$1:CB$87,Formula!B113,11))+((Formula!E113)/(Formula!C113+Formula!E113+Formula!G113+Formula!I113+Formula!K113))*(INDEX(Properties!A$1:CB$87,Formula!D113,11))+((Formula!G113)/(Formula!C113+Formula!E113+Formula!G113+Formula!I113+Formula!K113))*(INDEX(Properties!A$1:CB$87,Formula!F113,11))+((Formula!I113)/(Formula!C113+Formula!E113+Formula!G113+Formula!I113+Formula!K113))*(INDEX(Properties!A$1:CB$87,Formula!H113,11))+((Formula!K113)/(Formula!C113+Formula!E113+Formula!G113+Formula!I113+Formula!K113))*(INDEX(Properties!A$1:CB$87,Formula!J113,11))</f>
        <v>2</v>
      </c>
      <c r="AM113" s="57">
        <f>Formula!C113*(INDEX(Properties!A$1:CB$87,Formula!B113,11))+Formula!E113*(INDEX(Properties!A$1:CB$87,Formula!D113,11))+Formula!G113*(INDEX(Properties!A$1:CB$87,Formula!F113,11))+Formula!I113*(INDEX(Properties!A$1:CB$87,Formula!H113,11))+Formula!K113*(INDEX(Properties!A$1:CB$87,Formula!J113,11))</f>
        <v>58</v>
      </c>
      <c r="AN113" s="57">
        <f>VARP(IF(INDEX(Properties!A$1:CB$87,Formula!B113,11)&lt;&gt;"",INDEX(Properties!A$1:CB$87,Formula!B113,11)),IF(INDEX(Properties!A$1:CB$87,Formula!D113,11)&lt;&gt;"",INDEX(Properties!A$1:CB$87,Formula!D113,11)),IF(INDEX(Properties!A$1:CB$87,Formula!F113,11)&lt;&gt;"",INDEX(Properties!A$1:CB$87,Formula!F113,11)),IF(INDEX(Properties!A$1:CB$87,Formula!H113,11)&lt;&gt;"",INDEX(Properties!A$1:CB$87,Formula!H113,11)),IF(INDEX(Properties!A$1:CB$87,Formula!J113,11)&lt;&gt;"",INDEX(Properties!A$1:CB$87,Formula!J113,11)))</f>
        <v>0.64</v>
      </c>
      <c r="AO113" s="57">
        <f>MAX(INDEX(Properties!A$1:CB$87,Formula!B113,11),INDEX(Properties!A$1:CB$87,Formula!D113,11),INDEX(Properties!A$1:CB$87,Formula!F113,11),INDEX(Properties!A$1:CB$87,Formula!H113,11),INDEX(Properties!A$1:CB$87,Formula!J113,11))</f>
        <v>2</v>
      </c>
      <c r="AP113" s="57">
        <f>MIN(IF(Formula!B113=87,10^6,INDEX(Properties!A$1:CB$87,Formula!B113,11)),IF((Formula!D113)=87,10^6,INDEX(Properties!A$1:CB$87,Formula!D113,11)),IF((Formula!F113)=87,10^6,INDEX(Properties!A$1:CB$87,Formula!F113,11)),IF((Formula!H113)=87,10^6,INDEX(Properties!A$1:CB$87,Formula!H113,11)),IF(Formula!J113=87,10^6,INDEX(Properties!A$1:CB$87,Formula!J113,11)))</f>
        <v>2</v>
      </c>
      <c r="AQ113" s="57">
        <f t="shared" si="38"/>
        <v>0</v>
      </c>
      <c r="AR113" s="78">
        <f>((Formula!C113)/(Formula!C113+Formula!E113+Formula!G113+Formula!I113+Formula!K113))*(INDEX(Properties!A$1:CB$87,Formula!B113,12))+((Formula!E113)/(Formula!C113+Formula!E113+Formula!G113+Formula!I113+Formula!K113))*(INDEX(Properties!A$1:CB$87,Formula!D113,12))+((Formula!G113)/(Formula!C113+Formula!E113+Formula!G113+Formula!I113+Formula!K113))*(INDEX(Properties!A$1:CB$87,Formula!F113,12))+((Formula!I113)/(Formula!C113+Formula!E113+Formula!G113+Formula!I113+Formula!K113))*(INDEX(Properties!A$1:CB$87,Formula!H113,12))+((Formula!K113)/(Formula!C113+Formula!E113+Formula!G113+Formula!I113+Formula!K113))*(INDEX(Properties!A$1:CB$87,Formula!J113,12))</f>
        <v>2.4827586206896552</v>
      </c>
      <c r="AS113" s="78">
        <f>Formula!C113*(INDEX(Properties!A$1:CB$87,Formula!B113,12))+Formula!E113*(INDEX(Properties!A$1:CB$87,Formula!D113,12))+Formula!G113*(INDEX(Properties!A$1:CB$87,Formula!F113,12))+Formula!I113*(INDEX(Properties!A$1:CB$87,Formula!H113,12))+Formula!K113*(INDEX(Properties!A$1:CB$87,Formula!J113,12))</f>
        <v>72</v>
      </c>
      <c r="AT113" s="78">
        <f>VARP(IF(INDEX(Properties!A$1:CB$87,Formula!B113,12)&lt;&gt;"",INDEX(Properties!A$1:CB$87,Formula!B113,12)),IF(INDEX(Properties!A$1:CB$87,Formula!D113,12)&lt;&gt;"",INDEX(Properties!A$1:CB$87,Formula!D113,12)),IF(INDEX(Properties!A$1:CB$87,Formula!F113,12)&lt;&gt;"",INDEX(Properties!A$1:CB$87,Formula!F113,12)),IF(INDEX(Properties!A$1:CB$87,Formula!H113,12)&lt;&gt;"",INDEX(Properties!A$1:CB$87,Formula!H113,12)),IF(INDEX(Properties!A$1:CB$87,Formula!J113,12)&lt;&gt;"",INDEX(Properties!A$1:CB$87,Formula!J113,12)))</f>
        <v>2.56</v>
      </c>
      <c r="AU113" s="78">
        <f>MAX(INDEX(Properties!A$1:CB$87,Formula!B113,12),INDEX(Properties!A$1:CB$87,Formula!D113,12),INDEX(Properties!A$1:CB$87,Formula!F113,12),INDEX(Properties!A$1:CB$87,Formula!H113,12),INDEX(Properties!A$1:CB$87,Formula!J113,12))</f>
        <v>4</v>
      </c>
      <c r="AV113" s="78">
        <f>MIN(IF(Formula!B113=87,10^6,INDEX(Properties!A$1:CB$87,Formula!B113,12)),IF((Formula!D113)=87,10^6,INDEX(Properties!A$1:CB$87,Formula!D113,12)),IF((Formula!F113)=87,10^6,INDEX(Properties!A$1:CB$87,Formula!F113,12)),IF((Formula!H113)=87,10^6,INDEX(Properties!A$1:CB$87,Formula!H113,12)),IF(Formula!J113=87,10^6,INDEX(Properties!A$1:CB$87,Formula!J113,12)))</f>
        <v>0</v>
      </c>
      <c r="AW113" s="78">
        <f t="shared" si="39"/>
        <v>4</v>
      </c>
      <c r="AX113" s="45">
        <f>((Formula!C113)/(Formula!C113+Formula!E113+Formula!G113+Formula!I113+Formula!K113))*(INDEX(Properties!A$1:CB$87,Formula!B113,13))+((Formula!E113)/(Formula!C113+Formula!E113+Formula!G113+Formula!I113+Formula!K113))*(INDEX(Properties!A$1:CB$87,Formula!D113,13))+((Formula!G113)/(Formula!C113+Formula!E113+Formula!G113+Formula!I113+Formula!K113))*(INDEX(Properties!A$1:CB$87,Formula!F113,13))+((Formula!I113)/(Formula!C113+Formula!E113+Formula!G113+Formula!I113+Formula!K113))*(INDEX(Properties!A$1:CB$87,Formula!H113,13))+((Formula!K113)/(Formula!C113+Formula!E113+Formula!G113+Formula!I113+Formula!K113))*(INDEX(Properties!A$1:CB$87,Formula!J113,13))</f>
        <v>0.48275862068965514</v>
      </c>
      <c r="AY113" s="45">
        <f>Formula!C113*(INDEX(Properties!A$1:CB$87,Formula!B113,13))+Formula!E113*(INDEX(Properties!A$1:CB$87,Formula!D113,13))+Formula!G113*(INDEX(Properties!A$1:CB$87,Formula!F113,13))+Formula!I113*(INDEX(Properties!A$1:CB$87,Formula!H113,13))+Formula!K113*(INDEX(Properties!A$1:CB$87,Formula!J113,13))</f>
        <v>14</v>
      </c>
      <c r="AZ113" s="45">
        <f>VARP(IF(INDEX(Properties!A$1:CB$87,Formula!B113,13)&lt;&gt;"",INDEX(Properties!A$1:CB$87,Formula!B113,13)),IF(INDEX(Properties!A$1:CB$87,Formula!D113,13)&lt;&gt;"",INDEX(Properties!A$1:CB$87,Formula!D113,13)),IF(INDEX(Properties!A$1:CB$87,Formula!F113,13)&lt;&gt;"",INDEX(Properties!A$1:CB$87,Formula!F113,13)),IF(INDEX(Properties!A$1:CB$87,Formula!H113,13)&lt;&gt;"",INDEX(Properties!A$1:CB$87,Formula!H113,13)),IF(INDEX(Properties!A$1:CB$87,Formula!J113,13)&lt;&gt;"",INDEX(Properties!A$1:CB$87,Formula!J113,13)))</f>
        <v>2.4</v>
      </c>
      <c r="BA113" s="45">
        <f>MAX(INDEX(Properties!A$1:CB$87,Formula!B113,13),INDEX(Properties!A$1:CB$87,Formula!D113,13),INDEX(Properties!A$1:CB$87,Formula!F113,13),INDEX(Properties!A$1:CB$87,Formula!H113,13),INDEX(Properties!A$1:CB$87,Formula!J113,13))</f>
        <v>4</v>
      </c>
      <c r="BB113" s="45">
        <f>MIN(IF(Formula!B113=87,10^6,INDEX(Properties!A$1:CB$87,Formula!B113,13)),IF((Formula!D113)=87,10^6,INDEX(Properties!A$1:CB$87,Formula!D113,13)),IF((Formula!F113)=87,10^6,INDEX(Properties!A$1:CB$87,Formula!F113,13)),IF((Formula!H113)=87,10^6,INDEX(Properties!A$1:CB$87,Formula!H113,13)),IF(Formula!J113=87,10^6,INDEX(Properties!A$1:CB$87,Formula!J113,13)))</f>
        <v>0</v>
      </c>
      <c r="BC113" s="45">
        <f t="shared" si="40"/>
        <v>4</v>
      </c>
      <c r="BD113" s="63">
        <f>((Formula!C113)/(Formula!C113+Formula!E113+Formula!G113+Formula!I113+Formula!K113))*(INDEX(Properties!A$1:CB$87,Formula!B113,14))+((Formula!E113)/(Formula!C113+Formula!E113+Formula!G113+Formula!I113+Formula!K113))*(INDEX(Properties!A$1:CB$87,Formula!D113,14))+((Formula!G113)/(Formula!C113+Formula!E113+Formula!G113+Formula!I113+Formula!K113))*(INDEX(Properties!A$1:CB$87,Formula!F113,14))+((Formula!I113)/(Formula!C113+Formula!E113+Formula!G113+Formula!I113+Formula!K113))*(INDEX(Properties!A$1:CB$87,Formula!H113,14))+((Formula!K113)/(Formula!C113+Formula!E113+Formula!G113+Formula!I113+Formula!K113))*(INDEX(Properties!A$1:CB$87,Formula!J113,14))</f>
        <v>1.9310344827586206</v>
      </c>
      <c r="BE113" s="63">
        <f>Formula!C113*(INDEX(Properties!A$1:CB$87,Formula!B113,14))+Formula!E113*(INDEX(Properties!A$1:CB$87,Formula!D113,14))+Formula!G113*(INDEX(Properties!A$1:CB$87,Formula!F113,14))+Formula!I113*(INDEX(Properties!A$1:CB$87,Formula!H113,14))+Formula!K113*(INDEX(Properties!A$1:CB$87,Formula!J113,14))</f>
        <v>56</v>
      </c>
      <c r="BF113" s="63">
        <f>VARP(IF(INDEX(Properties!A$1:CB$87,Formula!B113,14)&lt;&gt;"",INDEX(Properties!A$1:CB$87,Formula!B113,14)),IF(INDEX(Properties!A$1:CB$87,Formula!D113,14)&lt;&gt;"",INDEX(Properties!A$1:CB$87,Formula!D113,14)),IF(INDEX(Properties!A$1:CB$87,Formula!F113,14)&lt;&gt;"",INDEX(Properties!A$1:CB$87,Formula!F113,14)),IF(INDEX(Properties!A$1:CB$87,Formula!H113,14)&lt;&gt;"",INDEX(Properties!A$1:CB$87,Formula!H113,14)),IF(INDEX(Properties!A$1:CB$87,Formula!J113,14)&lt;&gt;"",INDEX(Properties!A$1:CB$87,Formula!J113,14)))</f>
        <v>31.36</v>
      </c>
      <c r="BG113" s="63">
        <f>MAX(INDEX(Properties!A$1:CB$87,Formula!B113,14),INDEX(Properties!A$1:CB$87,Formula!D113,14),INDEX(Properties!A$1:CB$87,Formula!F113,14),INDEX(Properties!A$1:CB$87,Formula!H113,14),INDEX(Properties!A$1:CB$87,Formula!J113,14))</f>
        <v>14</v>
      </c>
      <c r="BH113" s="63">
        <f>MIN(IF(Formula!B113=87,10^6,INDEX(Properties!A$1:CB$87,Formula!B113,14)),IF((Formula!D113)=87,10^6,INDEX(Properties!A$1:CB$87,Formula!D113,14)),IF((Formula!F113)=87,10^6,INDEX(Properties!A$1:CB$87,Formula!F113,14)),IF((Formula!H113)=87,10^6,INDEX(Properties!A$1:CB$87,Formula!H113,14)),IF(Formula!J113=87,10^6,INDEX(Properties!A$1:CB$87,Formula!J113,14)))</f>
        <v>0</v>
      </c>
      <c r="BI113" s="63">
        <f t="shared" si="41"/>
        <v>14</v>
      </c>
      <c r="BJ113" s="75">
        <f>((Formula!C113)/(Formula!C113+Formula!E113+Formula!G113+Formula!I113+Formula!K113))*(INDEX(Properties!A$1:CB$87,Formula!B113,19))+((Formula!E113)/(Formula!C113+Formula!E113+Formula!G113+Formula!I113+Formula!K113))*(INDEX(Properties!A$1:CB$87,Formula!D113,19))+((Formula!G113)/(Formula!C113+Formula!E113+Formula!G113+Formula!I113+Formula!K113))*(INDEX(Properties!A$1:CB$87,Formula!F113,19))+((Formula!I113)/(Formula!C113+Formula!E113+Formula!G113+Formula!I113+Formula!K113))*(INDEX(Properties!A$1:CB$87,Formula!H113,19))+((Formula!K113)/(Formula!C113+Formula!E113+Formula!G113+Formula!I113+Formula!K113))*(INDEX(Properties!A$1:CB$87,Formula!J113,19))</f>
        <v>6.8965517241379315</v>
      </c>
      <c r="BK113" s="75">
        <f>Formula!C113*(INDEX(Properties!A$1:CB$87,Formula!B113,19))+Formula!E113*(INDEX(Properties!A$1:CB$87,Formula!D113,19))+Formula!G113*(INDEX(Properties!A$1:CB$87,Formula!F113,19))+Formula!I113*(INDEX(Properties!A$1:CB$87,Formula!H113,19))+Formula!K113*(INDEX(Properties!A$1:CB$87,Formula!J113,19))</f>
        <v>200</v>
      </c>
      <c r="BL113" s="75">
        <f>VARP(IF(INDEX(Properties!A$1:CB$87,Formula!B113,19)&lt;&gt;"",INDEX(Properties!A$1:CB$87,Formula!B113,19)),IF(INDEX(Properties!A$1:CB$87,Formula!D113,19)&lt;&gt;"",INDEX(Properties!A$1:CB$87,Formula!D113,19)),IF(INDEX(Properties!A$1:CB$87,Formula!F113,19)&lt;&gt;"",INDEX(Properties!A$1:CB$87,Formula!F113,19)),IF(INDEX(Properties!A$1:CB$87,Formula!H113,19)&lt;&gt;"",INDEX(Properties!A$1:CB$87,Formula!H113,19)),IF(INDEX(Properties!A$1:CB$87,Formula!J113,19)&lt;&gt;"",INDEX(Properties!A$1:CB$87,Formula!J113,19)))</f>
        <v>50.24</v>
      </c>
      <c r="BM113" s="75">
        <f>MAX(INDEX(Properties!A$1:CB$87,Formula!B113,19),INDEX(Properties!A$1:CB$87,Formula!D113,19),INDEX(Properties!A$1:CB$87,Formula!F113,19),INDEX(Properties!A$1:CB$87,Formula!H113,19),INDEX(Properties!A$1:CB$87,Formula!J113,19))</f>
        <v>20</v>
      </c>
      <c r="BN113" s="75">
        <f>MIN(IF(INDEX(Properties!A$1:CB$87,Formula!B113,19)=0,10^6,INDEX(Properties!A$1:CB$87,Formula!B113,19)),IF(INDEX(Properties!A$1:CB$87,Formula!D113,19)=0,10^6,INDEX(Properties!A$1:CB$87,Formula!D113,19)),IF(INDEX(Properties!A$1:CB$87,Formula!F113,19)=0,10^6,INDEX(Properties!A$1:CB$87,Formula!F113,19)),IF(INDEX(Properties!A$1:CB$87,Formula!H113,19)=0,10^6,INDEX(Properties!A$1:CB$87,Formula!H113,19)),IF(INDEX(Properties!A$1:CB$87,Formula!J113,19)=0,10^6,INDEX(Properties!A$1:CB$87,Formula!J113,19)))</f>
        <v>2</v>
      </c>
      <c r="BO113" s="75">
        <f t="shared" si="42"/>
        <v>18</v>
      </c>
      <c r="BP113" s="48">
        <f>((Formula!C113)/(Formula!C113+Formula!E113+Formula!G113+Formula!I113+Formula!K113))*(INDEX(Properties!A$1:CB$87,Formula!B113,20))+((Formula!E113)/(Formula!C113+Formula!E113+Formula!G113+Formula!I113+Formula!K113))*(INDEX(Properties!A$1:CB$87,Formula!D113,20))+((Formula!G113)/(Formula!C113+Formula!E113+Formula!G113+Formula!I113+Formula!K113))*(INDEX(Properties!A$1:CB$87,Formula!F113,20))+((Formula!I113)/(Formula!C113+Formula!E113+Formula!G113+Formula!I113+Formula!K113))*(INDEX(Properties!A$1:CB$87,Formula!H113,20))+((Formula!K113)/(Formula!C113+Formula!E113+Formula!G113+Formula!I113+Formula!K113))*(INDEX(Properties!A$1:CB$87,Formula!J113,20))</f>
        <v>4.4827586206896557</v>
      </c>
      <c r="BQ113" s="48">
        <f>Formula!C113*(INDEX(Properties!A$1:CB$87,Formula!B113,20))+Formula!E113*(INDEX(Properties!A$1:CB$87,Formula!D113,20))+Formula!G113*(INDEX(Properties!A$1:CB$87,Formula!F113,20))+Formula!I113*(INDEX(Properties!A$1:CB$87,Formula!H113,20))+Formula!K113*(INDEX(Properties!A$1:CB$87,Formula!J113,20))</f>
        <v>130</v>
      </c>
      <c r="BR113" s="48">
        <f>VARP(IF(INDEX(Properties!A$1:CB$87,Formula!B113,20)&lt;&gt;"",INDEX(Properties!A$1:CB$87,Formula!B113,20)),IF(INDEX(Properties!A$1:CB$87,Formula!D113,20)&lt;&gt;"",INDEX(Properties!A$1:CB$87,Formula!D113,20)),IF(INDEX(Properties!A$1:CB$87,Formula!F113,20)&lt;&gt;"",INDEX(Properties!A$1:CB$87,Formula!F113,20)),IF(INDEX(Properties!A$1:CB$87,Formula!H113,20)&lt;&gt;"",INDEX(Properties!A$1:CB$87,Formula!H113,20)),IF(INDEX(Properties!A$1:CB$87,Formula!J113,20)&lt;&gt;"",INDEX(Properties!A$1:CB$87,Formula!J113,20)))</f>
        <v>3.84</v>
      </c>
      <c r="BS113" s="48">
        <f>MAX(INDEX(Properties!A$1:CB$87,Formula!B113,20),INDEX(Properties!A$1:CB$87,Formula!D113,20),INDEX(Properties!A$1:CB$87,Formula!F113,20),INDEX(Properties!A$1:CB$87,Formula!H113,20),INDEX(Properties!A$1:CB$87,Formula!J113,20))</f>
        <v>6</v>
      </c>
      <c r="BT113" s="48">
        <f>MIN(IF(INDEX(Properties!A$1:CB$87,Formula!B113,20)=0,10^6,INDEX(Properties!A$1:CB$87,Formula!B113,20)),IF(INDEX(Properties!A$1:CB$87,Formula!D113,20)=0,10^6,INDEX(Properties!A$1:CB$87,Formula!D113,20)),IF(INDEX(Properties!A$1:CB$87,Formula!F113,20)=0,10^6,INDEX(Properties!A$1:CB$87,Formula!F113,20)),IF(INDEX(Properties!A$1:CB$87,Formula!H113,20)=0,10^6,INDEX(Properties!A$1:CB$87,Formula!H113,20)),IF(INDEX(Properties!A$1:CB$87,Formula!J113,20)=0,10^6,INDEX(Properties!A$1:CB$87,Formula!J113,20)))</f>
        <v>2</v>
      </c>
      <c r="BU113" s="48">
        <f t="shared" si="43"/>
        <v>4</v>
      </c>
      <c r="BV113" s="66">
        <f>((Formula!C113)/(Formula!C113+Formula!E113+Formula!G113+Formula!I113+Formula!K113))*(INDEX(Properties!A$1:CB$87,Formula!B113,21))+((Formula!E113)/(Formula!C113+Formula!E113+Formula!G113+Formula!I113+Formula!K113))*(INDEX(Properties!A$1:CB$87,Formula!D113,21))+((Formula!G113)/(Formula!C113+Formula!E113+Formula!G113+Formula!I113+Formula!K113))*(INDEX(Properties!A$1:CB$87,Formula!F113,21))+((Formula!I113)/(Formula!C113+Formula!E113+Formula!G113+Formula!I113+Formula!K113))*(INDEX(Properties!A$1:CB$87,Formula!H113,21))+((Formula!K113)/(Formula!C113+Formula!E113+Formula!G113+Formula!I113+Formula!K113))*(INDEX(Properties!A$1:CB$87,Formula!J113,21))</f>
        <v>4.7586206896551726</v>
      </c>
      <c r="BW113" s="66">
        <f>Formula!C113*(INDEX(Properties!A$1:CB$87,Formula!B113,21))+Formula!E113*(INDEX(Properties!A$1:CB$87,Formula!D113,21))+Formula!G113*(INDEX(Properties!A$1:CB$87,Formula!F113,21))+Formula!I113*(INDEX(Properties!A$1:CB$87,Formula!H113,21))+Formula!K113*(INDEX(Properties!A$1:CB$87,Formula!J113,21))</f>
        <v>138</v>
      </c>
      <c r="BX113" s="66">
        <f>VARP(IF(INDEX(Properties!A$1:CB$87,Formula!B113,21)&lt;&gt;"",INDEX(Properties!A$1:CB$87,Formula!B113,21)),IF(INDEX(Properties!A$1:CB$87,Formula!D113,21)&lt;&gt;"",INDEX(Properties!A$1:CB$87,Formula!D113,21)),IF(INDEX(Properties!A$1:CB$87,Formula!F113,21)&lt;&gt;"",INDEX(Properties!A$1:CB$87,Formula!F113,21)),IF(INDEX(Properties!A$1:CB$87,Formula!H113,21)&lt;&gt;"",INDEX(Properties!A$1:CB$87,Formula!H113,21)),IF(INDEX(Properties!A$1:CB$87,Formula!J113,21)&lt;&gt;"",INDEX(Properties!A$1:CB$87,Formula!J113,21)))</f>
        <v>4</v>
      </c>
      <c r="BY113" s="66">
        <f>MAX(INDEX(Properties!A$1:CB$87,Formula!B113,21),INDEX(Properties!A$1:CB$87,Formula!D113,21),INDEX(Properties!A$1:CB$87,Formula!F113,21),INDEX(Properties!A$1:CB$87,Formula!H113,21),INDEX(Properties!A$1:CB$87,Formula!J113,21))</f>
        <v>6</v>
      </c>
      <c r="BZ113" s="66">
        <f>MIN(IF(INDEX(Properties!A$1:CB$87,Formula!B113,21)=0,10^6,INDEX(Properties!A$1:CB$87,Formula!B113,21)),IF(INDEX(Properties!A$1:CB$87,Formula!D113,21)=0,10^6,INDEX(Properties!A$1:CB$87,Formula!D113,21)),IF(INDEX(Properties!A$1:CB$87,Formula!F113,21)=0,10^6,INDEX(Properties!A$1:CB$87,Formula!F113,21)),IF(INDEX(Properties!A$1:CB$87,Formula!H113,21)=0,10^6,INDEX(Properties!A$1:CB$87,Formula!H113,21)),IF(INDEX(Properties!A$1:CB$87,Formula!J113,21)=0,10^6,INDEX(Properties!A$1:CB$87,Formula!J113,21)))</f>
        <v>2</v>
      </c>
      <c r="CA113" s="66">
        <f t="shared" si="44"/>
        <v>4</v>
      </c>
      <c r="CB113" s="81">
        <f>((Formula!C113)/(Formula!C113+Formula!E113+Formula!G113+Formula!I113+Formula!K113))*(INDEX(Properties!A$1:CB$87,Formula!B113,23))+((Formula!E113)/(Formula!C113+Formula!E113+Formula!G113+Formula!I113+Formula!K113))*(INDEX(Properties!A$1:CB$87,Formula!D113,23))+((Formula!G113)/(Formula!C113+Formula!E113+Formula!G113+Formula!I113+Formula!K113))*(INDEX(Properties!A$1:CB$87,Formula!F113,23))+((Formula!I113)/(Formula!C113+Formula!E113+Formula!G113+Formula!I113+Formula!K113))*(INDEX(Properties!A$1:CB$87,Formula!H113,23))+((Formula!K113)/(Formula!C113+Formula!E113+Formula!G113+Formula!I113+Formula!K113))*(INDEX(Properties!A$1:CB$87,Formula!J113,23))</f>
        <v>1.2186206896551726</v>
      </c>
      <c r="CC113" s="81">
        <f>Formula!C113*(INDEX(Properties!A$1:CB$87,Formula!B113,23))+Formula!E113*(INDEX(Properties!A$1:CB$87,Formula!D113,23))+Formula!G113*(INDEX(Properties!A$1:CB$87,Formula!F113,23))+Formula!I113*(INDEX(Properties!A$1:CB$87,Formula!H113,23))+Formula!K113*(INDEX(Properties!A$1:CB$87,Formula!J113,23))</f>
        <v>35.340000000000003</v>
      </c>
      <c r="CD113" s="81">
        <f>VARP(IF(INDEX(Properties!A$1:CB$87,Formula!B113,23)&lt;&gt;"",INDEX(Properties!A$1:CB$87,Formula!B113,23)),IF(INDEX(Properties!A$1:CB$87,Formula!D113,23)&lt;&gt;"",INDEX(Properties!A$1:CB$87,Formula!D113,23)),IF(INDEX(Properties!A$1:CB$87,Formula!F113,23)&lt;&gt;"",INDEX(Properties!A$1:CB$87,Formula!F113,23)),IF(INDEX(Properties!A$1:CB$87,Formula!H113,23)&lt;&gt;"",INDEX(Properties!A$1:CB$87,Formula!H113,23)),IF(INDEX(Properties!A$1:CB$87,Formula!J113,23)&lt;&gt;"",INDEX(Properties!A$1:CB$87,Formula!J113,23)))</f>
        <v>4.6333439999999992</v>
      </c>
      <c r="CE113" s="81">
        <f>MAX(INDEX(Properties!A$1:CB$87,Formula!B113,23),INDEX(Properties!A$1:CB$87,Formula!D113,23),INDEX(Properties!A$1:CB$87,Formula!F113,23),INDEX(Properties!A$1:CB$87,Formula!H113,23),INDEX(Properties!A$1:CB$87,Formula!J113,23))</f>
        <v>5.78</v>
      </c>
      <c r="CF113" s="81">
        <f>MIN(IF(Formula!B113=87,10^6,INDEX(Properties!A$1:CB$87,Formula!B113,23)),IF((Formula!D113)=87,10^6,INDEX(Properties!A$1:CB$87,Formula!D113,23)),IF((Formula!F113)=87,10^6,INDEX(Properties!A$1:CB$87,Formula!F113,23)),IF((Formula!H113)=87,10^6,INDEX(Properties!A$1:CB$87,Formula!H113,23)),IF(Formula!J113=87,10^6,INDEX(Properties!A$1:CB$87,Formula!J113,23)))</f>
        <v>0</v>
      </c>
      <c r="CG113" s="81">
        <f t="shared" si="45"/>
        <v>5.78</v>
      </c>
      <c r="CH113" s="39">
        <f>((Formula!C113)/(Formula!C113+Formula!E113+Formula!G113+Formula!I113+Formula!K113))*(INDEX(Properties!A$1:CB$87,Formula!B113,26))+((Formula!E113)/(Formula!C113+Formula!E113+Formula!G113+Formula!I113+Formula!K113))*(INDEX(Properties!A$1:CB$87,Formula!D113,26))+((Formula!G113)/(Formula!C113+Formula!E113+Formula!G113+Formula!I113+Formula!K113))*(INDEX(Properties!A$1:CB$87,Formula!F113,26))+((Formula!I113)/(Formula!C113+Formula!E113+Formula!G113+Formula!I113+Formula!K113))*(INDEX(Properties!A$1:CB$87,Formula!H113,26))+((Formula!K113)/(Formula!C113+Formula!E113+Formula!G113+Formula!I113+Formula!K113))*(INDEX(Properties!A$1:CB$87,Formula!J113,26))</f>
        <v>10.768537931034484</v>
      </c>
      <c r="CI113" s="39">
        <f>Formula!C113*(INDEX(Properties!A$1:CB$87,Formula!B113,26))+Formula!E113*(INDEX(Properties!A$1:CB$87,Formula!D113,26))+Formula!G113*(INDEX(Properties!A$1:CB$87,Formula!F113,26))+Formula!I113*(INDEX(Properties!A$1:CB$87,Formula!H113,26))+Formula!K113*(INDEX(Properties!A$1:CB$87,Formula!J113,26))</f>
        <v>312.2876</v>
      </c>
      <c r="CJ113" s="39">
        <f>VARP(IF(INDEX(Properties!A$1:CB$87,Formula!B113,26)&lt;&gt;"",INDEX(Properties!A$1:CB$87,Formula!B113,26)),IF(INDEX(Properties!A$1:CB$87,Formula!D113,26)&lt;&gt;"",INDEX(Properties!A$1:CB$87,Formula!D113,26)),IF(INDEX(Properties!A$1:CB$87,Formula!F113,26)&lt;&gt;"",INDEX(Properties!A$1:CB$87,Formula!F113,26)),IF(INDEX(Properties!A$1:CB$87,Formula!H113,26)&lt;&gt;"",INDEX(Properties!A$1:CB$87,Formula!H113,26)),IF(INDEX(Properties!A$1:CB$87,Formula!J113,26)&lt;&gt;"",INDEX(Properties!A$1:CB$87,Formula!J113,26)))</f>
        <v>19.307317669599996</v>
      </c>
      <c r="CK113" s="39">
        <f>MAX(INDEX(Properties!A$1:CB$87,Formula!B113,26),INDEX(Properties!A$1:CB$87,Formula!D113,26),INDEX(Properties!A$1:CB$87,Formula!F113,26),INDEX(Properties!A$1:CB$87,Formula!H113,26),INDEX(Properties!A$1:CB$87,Formula!J113,26))</f>
        <v>13.6181</v>
      </c>
      <c r="CL113" s="39">
        <f>MIN(IF(INDEX(Properties!A$1:CB$87,Formula!B113,26)=0,10^6,INDEX(Properties!A$1:CB$87,Formula!B113,26)),IF(INDEX(Properties!A$1:CB$87,Formula!D113,26)=0,10^6,INDEX(Properties!A$1:CB$87,Formula!D113,26)),IF(INDEX(Properties!A$1:CB$87,Formula!F113,26)=0,10^6,INDEX(Properties!A$1:CB$87,Formula!F113,26)),IF(INDEX(Properties!A$1:CB$87,Formula!H113,26)=0,10^6,INDEX(Properties!A$1:CB$87,Formula!H113,26)),IF(INDEX(Properties!A$1:CB$87,Formula!J113,26)=0,10^6,INDEX(Properties!A$1:CB$87,Formula!J113,26)))</f>
        <v>5.2117000000000004</v>
      </c>
      <c r="CM113" s="39">
        <f t="shared" si="46"/>
        <v>8.4063999999999997</v>
      </c>
      <c r="CN113" s="54">
        <f>((Formula!C113)/(Formula!C113+Formula!E113+Formula!G113+Formula!I113+Formula!K113))*(INDEX(Properties!A$1:CB$87,Formula!B113,30))+((Formula!E113)/(Formula!C113+Formula!E113+Formula!G113+Formula!I113+Formula!K113))*(INDEX(Properties!A$1:CB$87,Formula!D113,30))+((Formula!G113)/(Formula!C113+Formula!E113+Formula!G113+Formula!I113+Formula!K113))*(INDEX(Properties!A$1:CB$87,Formula!F113,30))+((Formula!I113)/(Formula!C113+Formula!E113+Formula!G113+Formula!I113+Formula!K113))*(INDEX(Properties!A$1:CB$87,Formula!H113,30))+((Formula!K113)/(Formula!C113+Formula!E113+Formula!G113+Formula!I113+Formula!K113))*(INDEX(Properties!A$1:CB$87,Formula!J113,30))</f>
        <v>2.6462068965517243</v>
      </c>
      <c r="CO113" s="54">
        <f>Formula!C113*(INDEX(Properties!A$1:CB$87,Formula!B113,30))+Formula!E113*(INDEX(Properties!A$1:CB$87,Formula!D113,30))+Formula!G113*(INDEX(Properties!A$1:CB$87,Formula!F113,30))+Formula!I113*(INDEX(Properties!A$1:CB$87,Formula!H113,30))+Formula!K113*(INDEX(Properties!A$1:CB$87,Formula!J113,30))</f>
        <v>76.740000000000009</v>
      </c>
      <c r="CP113" s="54">
        <f>VARP(IF(INDEX(Properties!A$1:CB$87,Formula!B113,30)&lt;&gt;"",INDEX(Properties!A$1:CB$87,Formula!B113,30)),IF(INDEX(Properties!A$1:CB$87,Formula!D113,30)&lt;&gt;"",INDEX(Properties!A$1:CB$87,Formula!D113,30)),IF(INDEX(Properties!A$1:CB$87,Formula!F113,30)&lt;&gt;"",INDEX(Properties!A$1:CB$87,Formula!F113,30)),IF(INDEX(Properties!A$1:CB$87,Formula!H113,30)&lt;&gt;"",INDEX(Properties!A$1:CB$87,Formula!H113,30)),IF(INDEX(Properties!A$1:CB$87,Formula!J113,30)&lt;&gt;"",INDEX(Properties!A$1:CB$87,Formula!J113,30)))</f>
        <v>1.4369760000000003</v>
      </c>
      <c r="CQ113" s="54">
        <f>MAX(INDEX(Properties!A$1:CB$87,Formula!B113,30),INDEX(Properties!A$1:CB$87,Formula!D113,30),INDEX(Properties!A$1:CB$87,Formula!F113,30),INDEX(Properties!A$1:CB$87,Formula!H113,30),INDEX(Properties!A$1:CB$87,Formula!J113,30))</f>
        <v>3.44</v>
      </c>
      <c r="CR113" s="54">
        <f>MIN(IF(INDEX(Properties!A$1:CB$87,Formula!B113,30)=0,10^6,INDEX(Properties!A$1:CB$87,Formula!B113,30)),IF(INDEX(Properties!A$1:CB$87,Formula!D113,30)=0,10^6,INDEX(Properties!A$1:CB$87,Formula!D113,30)),IF(INDEX(Properties!A$1:CB$87,Formula!F113,30)=0,10^6,INDEX(Properties!A$1:CB$87,Formula!F113,30)),IF(INDEX(Properties!A$1:CB$87,Formula!H113,30)=0,10^6,INDEX(Properties!A$1:CB$87,Formula!H113,30)),IF(INDEX(Properties!A$1:CB$87,Formula!J113,30)=0,10^6,INDEX(Properties!A$1:CB$87,Formula!J113,30)))</f>
        <v>0.89</v>
      </c>
      <c r="CS113" s="54">
        <f t="shared" si="47"/>
        <v>2.5499999999999998</v>
      </c>
      <c r="CT113" s="69">
        <f>((Formula!C113)/(Formula!C113+Formula!E113+Formula!G113+Formula!I113+Formula!K113))*(INDEX(Properties!A$1:CB$87,Formula!B113,31))+((Formula!E113)/(Formula!C113+Formula!E113+Formula!G113+Formula!I113+Formula!K113))*(INDEX(Properties!A$1:CB$87,Formula!D113,31))+((Formula!G113)/(Formula!C113+Formula!E113+Formula!G113+Formula!I113+Formula!K113))*(INDEX(Properties!A$1:CB$87,Formula!F113,31))+((Formula!I113)/(Formula!C113+Formula!E113+Formula!G113+Formula!I113+Formula!K113))*(INDEX(Properties!A$1:CB$87,Formula!H113,31))+((Formula!K113)/(Formula!C113+Formula!E113+Formula!G113+Formula!I113+Formula!K113))*(INDEX(Properties!A$1:CB$87,Formula!J113,31))</f>
        <v>2.5451724137931033</v>
      </c>
      <c r="CU113" s="69">
        <f>Formula!C113*(INDEX(Properties!A$1:CB$87,Formula!B113,31))+Formula!E113*(INDEX(Properties!A$1:CB$87,Formula!D113,31))+Formula!G113*(INDEX(Properties!A$1:CB$87,Formula!F113,31))+Formula!I113*(INDEX(Properties!A$1:CB$87,Formula!H113,31))+Formula!K113*(INDEX(Properties!A$1:CB$87,Formula!J113,31))</f>
        <v>73.81</v>
      </c>
      <c r="CV113" s="69">
        <f>VARP(IF(INDEX(Properties!A$1:CB$87,Formula!B113,31)&lt;&gt;"",INDEX(Properties!A$1:CB$87,Formula!B113,31)),IF(INDEX(Properties!A$1:CB$87,Formula!D113,31)&lt;&gt;"",INDEX(Properties!A$1:CB$87,Formula!D113,31)),IF(INDEX(Properties!A$1:CB$87,Formula!F113,31)&lt;&gt;"",INDEX(Properties!A$1:CB$87,Formula!F113,31)),IF(INDEX(Properties!A$1:CB$87,Formula!H113,31)&lt;&gt;"",INDEX(Properties!A$1:CB$87,Formula!H113,31)),IF(INDEX(Properties!A$1:CB$87,Formula!J113,31)&lt;&gt;"",INDEX(Properties!A$1:CB$87,Formula!J113,31)))</f>
        <v>1.1948159999999999</v>
      </c>
      <c r="CW113" s="69">
        <f>MAX(INDEX(Properties!A$1:CB$87,Formula!B113,31),INDEX(Properties!A$1:CB$87,Formula!D113,31),INDEX(Properties!A$1:CB$87,Formula!F113,31),INDEX(Properties!A$1:CB$87,Formula!H113,31),INDEX(Properties!A$1:CB$87,Formula!J113,31))</f>
        <v>3.32</v>
      </c>
      <c r="CX113" s="69">
        <f>MIN(IF(INDEX(Properties!A$1:CB$87,Formula!B113,31)=0,10^6,INDEX(Properties!A$1:CB$87,Formula!B113,31)),IF(INDEX(Properties!A$1:CB$87,Formula!D113,31)=0,10^6,INDEX(Properties!A$1:CB$87,Formula!D113,31)),IF(INDEX(Properties!A$1:CB$87,Formula!F113,31)=0,10^6,INDEX(Properties!A$1:CB$87,Formula!F113,31)),IF(INDEX(Properties!A$1:CB$87,Formula!H113,31)=0,10^6,INDEX(Properties!A$1:CB$87,Formula!H113,31)),IF(INDEX(Properties!A$1:CB$87,Formula!J113,31)=0,10^6,INDEX(Properties!A$1:CB$87,Formula!J113,31)))</f>
        <v>1.08</v>
      </c>
      <c r="CY113" s="69">
        <f t="shared" si="48"/>
        <v>2.2399999999999998</v>
      </c>
      <c r="CZ113" s="42">
        <f>((Formula!C113)/(Formula!C113+Formula!E113+Formula!G113+Formula!I113+Formula!K113))*(INDEX(Properties!A$1:CB$87,Formula!B113,32))+((Formula!E113)/(Formula!C113+Formula!E113+Formula!G113+Formula!I113+Formula!K113))*(INDEX(Properties!A$1:CB$87,Formula!D113,32))+((Formula!G113)/(Formula!C113+Formula!E113+Formula!G113+Formula!I113+Formula!K113))*(INDEX(Properties!A$1:CB$87,Formula!F113,32))+((Formula!I113)/(Formula!C113+Formula!E113+Formula!G113+Formula!I113+Formula!K113))*(INDEX(Properties!A$1:CB$87,Formula!H113,32))+((Formula!K113)/(Formula!C113+Formula!E113+Formula!G113+Formula!I113+Formula!K113))*(INDEX(Properties!A$1:CB$87,Formula!J113,32))</f>
        <v>5.8455172413793104</v>
      </c>
      <c r="DA113" s="42">
        <f>Formula!C113*(INDEX(Properties!A$1:CB$87,Formula!B113,32))+Formula!E113*(INDEX(Properties!A$1:CB$87,Formula!D113,32))+Formula!G113*(INDEX(Properties!A$1:CB$87,Formula!F113,32))+Formula!I113*(INDEX(Properties!A$1:CB$87,Formula!H113,32))+Formula!K113*(INDEX(Properties!A$1:CB$87,Formula!J113,32))</f>
        <v>169.51999999999998</v>
      </c>
      <c r="DB113" s="42">
        <f>VARP(IF(INDEX(Properties!A$1:CB$87,Formula!B113,32)&lt;&gt;"",INDEX(Properties!A$1:CB$87,Formula!B113,32)),IF(INDEX(Properties!A$1:CB$87,Formula!D113,32)&lt;&gt;"",INDEX(Properties!A$1:CB$87,Formula!D113,32)),IF(INDEX(Properties!A$1:CB$87,Formula!F113,32)&lt;&gt;"",INDEX(Properties!A$1:CB$87,Formula!F113,32)),IF(INDEX(Properties!A$1:CB$87,Formula!H113,32)&lt;&gt;"",INDEX(Properties!A$1:CB$87,Formula!H113,32)),IF(INDEX(Properties!A$1:CB$87,Formula!J113,32)&lt;&gt;"",INDEX(Properties!A$1:CB$87,Formula!J113,32)))</f>
        <v>6.1501759999999992</v>
      </c>
      <c r="DC113" s="42">
        <f>MAX(INDEX(Properties!A$1:CB$87,Formula!B113,32),INDEX(Properties!A$1:CB$87,Formula!D113,32),INDEX(Properties!A$1:CB$87,Formula!F113,32),INDEX(Properties!A$1:CB$87,Formula!H113,32),INDEX(Properties!A$1:CB$87,Formula!J113,32))</f>
        <v>7.54</v>
      </c>
      <c r="DD113" s="42">
        <f>MIN(IF(INDEX(Properties!A$1:CB$87,Formula!B113,32)=0,10^6,INDEX(Properties!A$1:CB$87,Formula!B113,32)),IF(INDEX(Properties!A$1:CB$87,Formula!D113,32)=0,10^6,INDEX(Properties!A$1:CB$87,Formula!D113,32)),IF(INDEX(Properties!A$1:CB$87,Formula!F113,32)=0,10^6,INDEX(Properties!A$1:CB$87,Formula!F113,32)),IF(INDEX(Properties!A$1:CB$87,Formula!H113,32)=0,10^6,INDEX(Properties!A$1:CB$87,Formula!H113,32)),IF(INDEX(Properties!A$1:CB$87,Formula!J113,32)=0,10^6,INDEX(Properties!A$1:CB$87,Formula!J113,32)))</f>
        <v>2.4</v>
      </c>
      <c r="DE113" s="42">
        <f t="shared" si="49"/>
        <v>5.1400000000000006</v>
      </c>
      <c r="DF113" s="60">
        <f>((Formula!C113)/(Formula!C113+Formula!E113+Formula!G113+Formula!I113+Formula!K113))*(INDEX(Properties!A$1:CB$87,Formula!B113,34))+((Formula!E113)/(Formula!C113+Formula!E113+Formula!G113+Formula!I113+Formula!K113))*(INDEX(Properties!A$1:CB$87,Formula!D113,34))+((Formula!G113)/(Formula!C113+Formula!E113+Formula!G113+Formula!I113+Formula!K113))*(INDEX(Properties!A$1:CB$87,Formula!F113,34))+((Formula!I113)/(Formula!C113+Formula!E113+Formula!G113+Formula!I113+Formula!K113))*(INDEX(Properties!A$1:CB$87,Formula!H113,34))+((Formula!K113)/(Formula!C113+Formula!E113+Formula!G113+Formula!I113+Formula!K113))*(INDEX(Properties!A$1:CB$87,Formula!J113,34))</f>
        <v>2.6502068965517243</v>
      </c>
      <c r="DG113" s="60">
        <f>Formula!C113*(INDEX(Properties!A$1:CB$87,Formula!B113,34))+Formula!E113*(INDEX(Properties!A$1:CB$87,Formula!D113,34))+Formula!G113*(INDEX(Properties!A$1:CB$87,Formula!F113,34))+Formula!I113*(INDEX(Properties!A$1:CB$87,Formula!H113,34))+Formula!K113*(INDEX(Properties!A$1:CB$87,Formula!J113,34))</f>
        <v>76.856000000000009</v>
      </c>
      <c r="DH113" s="60">
        <f>VARP(IF(INDEX(Properties!A$1:CB$87,Formula!B113,34)&lt;&gt;"",INDEX(Properties!A$1:CB$87,Formula!B113,34)),IF(INDEX(Properties!A$1:CB$87,Formula!D113,34)&lt;&gt;"",INDEX(Properties!A$1:CB$87,Formula!D113,34)),IF(INDEX(Properties!A$1:CB$87,Formula!F113,34)&lt;&gt;"",INDEX(Properties!A$1:CB$87,Formula!F113,34)),IF(INDEX(Properties!A$1:CB$87,Formula!H113,34)&lt;&gt;"",INDEX(Properties!A$1:CB$87,Formula!H113,34)),IF(INDEX(Properties!A$1:CB$87,Formula!J113,34)&lt;&gt;"",INDEX(Properties!A$1:CB$87,Formula!J113,34)))</f>
        <v>1.4427881599999999</v>
      </c>
      <c r="DI113" s="60">
        <f>MAX(INDEX(Properties!A$1:CB$87,Formula!B113,34),INDEX(Properties!A$1:CB$87,Formula!D113,34),INDEX(Properties!A$1:CB$87,Formula!F113,34),INDEX(Properties!A$1:CB$87,Formula!H113,34),INDEX(Properties!A$1:CB$87,Formula!J113,34))</f>
        <v>3.61</v>
      </c>
      <c r="DJ113" s="60">
        <f>MIN(IF(INDEX(Properties!A$1:CB$87,Formula!B113,34)=0,10^6,INDEX(Properties!A$1:CB$87,Formula!B113,34)),IF(INDEX(Properties!A$1:CB$87,Formula!D113,34)=0,10^6,INDEX(Properties!A$1:CB$87,Formula!D113,34)),IF(INDEX(Properties!A$1:CB$87,Formula!F113,34)=0,10^6,INDEX(Properties!A$1:CB$87,Formula!F113,34)),IF(INDEX(Properties!A$1:CB$87,Formula!H113,34)=0,10^6,INDEX(Properties!A$1:CB$87,Formula!H113,34)),IF(INDEX(Properties!A$1:CB$87,Formula!J113,34)=0,10^6,INDEX(Properties!A$1:CB$87,Formula!J113,34)))</f>
        <v>0.88100000000000001</v>
      </c>
      <c r="DK113" s="60">
        <f t="shared" si="50"/>
        <v>2.7290000000000001</v>
      </c>
      <c r="DL113" s="45">
        <f>((Formula!C113)/(Formula!C113+Formula!E113+Formula!G113+Formula!I113+Formula!K113))*(INDEX(Properties!A$1:CB$87,Formula!B113,39))+((Formula!E113)/(Formula!C113+Formula!E113+Formula!G113+Formula!I113+Formula!K113))*(INDEX(Properties!A$1:CB$87,Formula!D113,39))+((Formula!G113)/(Formula!C113+Formula!E113+Formula!G113+Formula!I113+Formula!K113))*(INDEX(Properties!A$1:CB$87,Formula!F113,39))+((Formula!I113)/(Formula!C113+Formula!E113+Formula!G113+Formula!I113+Formula!K113))*(INDEX(Properties!A$1:CB$87,Formula!H113,39))+((Formula!K113)/(Formula!C113+Formula!E113+Formula!G113+Formula!I113+Formula!K113))*(INDEX(Properties!A$1:CB$87,Formula!J113,39))</f>
        <v>1.1817241379310344</v>
      </c>
      <c r="DM113" s="45">
        <f>Formula!C113*(INDEX(Properties!A$1:CB$87,Formula!B113,39))+Formula!E113*(INDEX(Properties!A$1:CB$87,Formula!D113,39))+Formula!G113*(INDEX(Properties!A$1:CB$87,Formula!F113,39))+Formula!I113*(INDEX(Properties!A$1:CB$87,Formula!H113,39))+Formula!K113*(INDEX(Properties!A$1:CB$87,Formula!J113,39))</f>
        <v>34.269999999999996</v>
      </c>
      <c r="DN113" s="45">
        <f>VARP(IF(INDEX(Properties!A$1:CB$87,Formula!B113,39)&lt;&gt;"",INDEX(Properties!A$1:CB$87,Formula!B113,39)),IF(INDEX(Properties!A$1:CB$87,Formula!D113,39)&lt;&gt;"",INDEX(Properties!A$1:CB$87,Formula!D113,39)),IF(INDEX(Properties!A$1:CB$87,Formula!F113,39)&lt;&gt;"",INDEX(Properties!A$1:CB$87,Formula!F113,39)),IF(INDEX(Properties!A$1:CB$87,Formula!H113,39)&lt;&gt;"",INDEX(Properties!A$1:CB$87,Formula!H113,39)),IF(INDEX(Properties!A$1:CB$87,Formula!J113,39)&lt;&gt;"",INDEX(Properties!A$1:CB$87,Formula!J113,39)))</f>
        <v>1.0429039999999998</v>
      </c>
      <c r="DO113" s="45">
        <f>MAX(INDEX(Properties!A$1:CB$87,Formula!B113,39),INDEX(Properties!A$1:CB$87,Formula!D113,39),INDEX(Properties!A$1:CB$87,Formula!F113,39),INDEX(Properties!A$1:CB$87,Formula!H113,39),INDEX(Properties!A$1:CB$87,Formula!J113,39))</f>
        <v>2.5299999999999998</v>
      </c>
      <c r="DP113" s="45">
        <f>MIN(IF(INDEX(Properties!A$1:CB$87,Formula!B113,39)=0,10^6,INDEX(Properties!A$1:CB$87,Formula!B113,39)),IF(INDEX(Properties!A$1:CB$87,Formula!D113,39)=0,10^6,INDEX(Properties!A$1:CB$87,Formula!D113,39)),IF(INDEX(Properties!A$1:CB$87,Formula!F113,39)=0,10^6,INDEX(Properties!A$1:CB$87,Formula!F113,39)),IF(INDEX(Properties!A$1:CB$87,Formula!H113,39)=0,10^6,INDEX(Properties!A$1:CB$87,Formula!H113,39)),IF(INDEX(Properties!A$1:CB$87,Formula!J113,39)=0,10^6,INDEX(Properties!A$1:CB$87,Formula!J113,39)))</f>
        <v>0.48</v>
      </c>
      <c r="DQ113" s="45">
        <f t="shared" si="51"/>
        <v>2.0499999999999998</v>
      </c>
      <c r="DR113" s="63">
        <f>((Formula!C113)/(Formula!C113+Formula!E113+Formula!G113+Formula!I113+Formula!K113))*(INDEX(Properties!A$1:CB$87,Formula!B113,40))+((Formula!E113)/(Formula!C113+Formula!E113+Formula!G113+Formula!I113+Formula!K113))*(INDEX(Properties!A$1:CB$87,Formula!D113,40))+((Formula!G113)/(Formula!C113+Formula!E113+Formula!G113+Formula!I113+Formula!K113))*(INDEX(Properties!A$1:CB$87,Formula!F113,40))+((Formula!I113)/(Formula!C113+Formula!E113+Formula!G113+Formula!I113+Formula!K113))*(INDEX(Properties!A$1:CB$87,Formula!H113,40))+((Formula!K113)/(Formula!C113+Formula!E113+Formula!G113+Formula!I113+Formula!K113))*(INDEX(Properties!A$1:CB$87,Formula!J113,40))</f>
        <v>1.1248275862068964</v>
      </c>
      <c r="DS113" s="63">
        <f>Formula!C113*(INDEX(Properties!A$1:CB$87,Formula!B113,40))+Formula!E113*(INDEX(Properties!A$1:CB$87,Formula!D113,40))+Formula!G113*(INDEX(Properties!A$1:CB$87,Formula!F113,40))+Formula!I113*(INDEX(Properties!A$1:CB$87,Formula!H113,40))+Formula!K113*(INDEX(Properties!A$1:CB$87,Formula!J113,40))</f>
        <v>32.620000000000005</v>
      </c>
      <c r="DT113" s="63">
        <f>VARP(IF(INDEX(Properties!A$1:CB$87,Formula!B113,40)&lt;&gt;"",INDEX(Properties!A$1:CB$87,Formula!B113,40)),IF(INDEX(Properties!A$1:CB$87,Formula!D113,40)&lt;&gt;"",INDEX(Properties!A$1:CB$87,Formula!D113,40)),IF(INDEX(Properties!A$1:CB$87,Formula!F113,40)&lt;&gt;"",INDEX(Properties!A$1:CB$87,Formula!F113,40)),IF(INDEX(Properties!A$1:CB$87,Formula!H113,40)&lt;&gt;"",INDEX(Properties!A$1:CB$87,Formula!H113,40)),IF(INDEX(Properties!A$1:CB$87,Formula!J113,40)&lt;&gt;"",INDEX(Properties!A$1:CB$87,Formula!J113,40)))</f>
        <v>0.49906400000000017</v>
      </c>
      <c r="DU113" s="63">
        <f>MAX(INDEX(Properties!A$1:CB$87,Formula!B113,40),INDEX(Properties!A$1:CB$87,Formula!D113,40),INDEX(Properties!A$1:CB$87,Formula!F113,40),INDEX(Properties!A$1:CB$87,Formula!H113,40),INDEX(Properties!A$1:CB$87,Formula!J113,40))</f>
        <v>1.98</v>
      </c>
      <c r="DV113" s="63">
        <f>MIN(IF(INDEX(Properties!A$1:CB$87,Formula!B113,40)=0,10^6,INDEX(Properties!A$1:CB$87,Formula!B113,40)),IF(INDEX(Properties!A$1:CB$87,Formula!D113,40)=0,10^6,INDEX(Properties!A$1:CB$87,Formula!D113,40)),IF(INDEX(Properties!A$1:CB$87,Formula!F113,40)=0,10^6,INDEX(Properties!A$1:CB$87,Formula!F113,40)),IF(INDEX(Properties!A$1:CB$87,Formula!H113,40)=0,10^6,INDEX(Properties!A$1:CB$87,Formula!H113,40)),IF(INDEX(Properties!A$1:CB$87,Formula!J113,40)=0,10^6,INDEX(Properties!A$1:CB$87,Formula!J113,40)))</f>
        <v>0.73</v>
      </c>
      <c r="DW113" s="63">
        <f t="shared" si="52"/>
        <v>1.25</v>
      </c>
      <c r="DX113" s="75">
        <f>((Formula!C113)/(Formula!C113+Formula!E113+Formula!G113+Formula!I113+Formula!K113))*(INDEX(Properties!A$1:CB$87,Formula!B113,41))+((Formula!E113)/(Formula!C113+Formula!E113+Formula!G113+Formula!I113+Formula!K113))*(INDEX(Properties!A$1:CB$87,Formula!D113,41))+((Formula!G113)/(Formula!C113+Formula!E113+Formula!G113+Formula!I113+Formula!K113))*(INDEX(Properties!A$1:CB$87,Formula!F113,41))+((Formula!I113)/(Formula!C113+Formula!E113+Formula!G113+Formula!I113+Formula!K113))*(INDEX(Properties!A$1:CB$87,Formula!H113,41))+((Formula!K113)/(Formula!C113+Formula!E113+Formula!G113+Formula!I113+Formula!K113))*(INDEX(Properties!A$1:CB$87,Formula!J113,41))</f>
        <v>1.2475862068965518</v>
      </c>
      <c r="DY113" s="75">
        <f>Formula!C113*(INDEX(Properties!A$1:CB$87,Formula!B113,41))+Formula!E113*(INDEX(Properties!A$1:CB$87,Formula!D113,41))+Formula!G113*(INDEX(Properties!A$1:CB$87,Formula!F113,41))+Formula!I113*(INDEX(Properties!A$1:CB$87,Formula!H113,41))+Formula!K113*(INDEX(Properties!A$1:CB$87,Formula!J113,41))</f>
        <v>36.18</v>
      </c>
      <c r="DZ113" s="75">
        <f>VARP(IF(INDEX(Properties!A$1:CB$87,Formula!B113,41)&lt;&gt;"",INDEX(Properties!A$1:CB$87,Formula!B113,41)),IF(INDEX(Properties!A$1:CB$87,Formula!D113,41)&lt;&gt;"",INDEX(Properties!A$1:CB$87,Formula!D113,41)),IF(INDEX(Properties!A$1:CB$87,Formula!F113,41)&lt;&gt;"",INDEX(Properties!A$1:CB$87,Formula!F113,41)),IF(INDEX(Properties!A$1:CB$87,Formula!H113,41)&lt;&gt;"",INDEX(Properties!A$1:CB$87,Formula!H113,41)),IF(INDEX(Properties!A$1:CB$87,Formula!J113,41)&lt;&gt;"",INDEX(Properties!A$1:CB$87,Formula!J113,41)))</f>
        <v>0.26534400000000019</v>
      </c>
      <c r="EA113" s="75">
        <f>MAX(INDEX(Properties!A$1:CB$87,Formula!B113,41),INDEX(Properties!A$1:CB$87,Formula!D113,41),INDEX(Properties!A$1:CB$87,Formula!F113,41),INDEX(Properties!A$1:CB$87,Formula!H113,41),INDEX(Properties!A$1:CB$87,Formula!J113,41))</f>
        <v>1.49</v>
      </c>
      <c r="EB113" s="75">
        <f>MIN(IF(INDEX(Properties!A$1:CB$87,Formula!B113,41)=0,10^6,INDEX(Properties!A$1:CB$87,Formula!B113,41)),IF(INDEX(Properties!A$1:CB$87,Formula!D113,41)=0,10^6,INDEX(Properties!A$1:CB$87,Formula!D113,41)),IF(INDEX(Properties!A$1:CB$87,Formula!F113,41)=0,10^6,INDEX(Properties!A$1:CB$87,Formula!F113,41)),IF(INDEX(Properties!A$1:CB$87,Formula!H113,41)=0,10^6,INDEX(Properties!A$1:CB$87,Formula!H113,41)),IF(INDEX(Properties!A$1:CB$87,Formula!J113,41)=0,10^6,INDEX(Properties!A$1:CB$87,Formula!J113,41)))</f>
        <v>0.8</v>
      </c>
      <c r="EC113" s="75">
        <f t="shared" si="53"/>
        <v>0.69</v>
      </c>
      <c r="ED113" s="48">
        <f>((Formula!C113)/(Formula!C113+Formula!E113+Formula!G113+Formula!I113+Formula!K113))*(INDEX(Properties!A$1:CB$87,Formula!B113,45))+((Formula!E113)/(Formula!C113+Formula!E113+Formula!G113+Formula!I113+Formula!K113))*(INDEX(Properties!A$1:CB$87,Formula!D113,45))+((Formula!G113)/(Formula!C113+Formula!E113+Formula!G113+Formula!I113+Formula!K113))*(INDEX(Properties!A$1:CB$87,Formula!F113,45))+((Formula!I113)/(Formula!C113+Formula!E113+Formula!G113+Formula!I113+Formula!K113))*(INDEX(Properties!A$1:CB$87,Formula!H113,45))+((Formula!K113)/(Formula!C113+Formula!E113+Formula!G113+Formula!I113+Formula!K113))*(INDEX(Properties!A$1:CB$87,Formula!J113,45))</f>
        <v>1.5482758620689654</v>
      </c>
      <c r="EE113" s="48">
        <f>Formula!C113*(INDEX(Properties!A$1:CB$87,Formula!B113,45))+Formula!E113*(INDEX(Properties!A$1:CB$87,Formula!D113,45))+Formula!G113*(INDEX(Properties!A$1:CB$87,Formula!F113,45))+Formula!I113*(INDEX(Properties!A$1:CB$87,Formula!H113,45))+Formula!K113*(INDEX(Properties!A$1:CB$87,Formula!J113,45))</f>
        <v>44.9</v>
      </c>
      <c r="EF113" s="48">
        <f>VARP(IF(INDEX(Properties!A$1:CB$87,Formula!B113,45)&lt;&gt;"",INDEX(Properties!A$1:CB$87,Formula!B113,45)),IF(INDEX(Properties!A$1:CB$87,Formula!D113,45)&lt;&gt;"",INDEX(Properties!A$1:CB$87,Formula!D113,45)),IF(INDEX(Properties!A$1:CB$87,Formula!F113,45)&lt;&gt;"",INDEX(Properties!A$1:CB$87,Formula!F113,45)),IF(INDEX(Properties!A$1:CB$87,Formula!H113,45)&lt;&gt;"",INDEX(Properties!A$1:CB$87,Formula!H113,45)),IF(INDEX(Properties!A$1:CB$87,Formula!J113,45)&lt;&gt;"",INDEX(Properties!A$1:CB$87,Formula!J113,45)))</f>
        <v>2.4885040000000003</v>
      </c>
      <c r="EG113" s="48">
        <f>MAX(INDEX(Properties!A$1:CB$87,Formula!B113,45),INDEX(Properties!A$1:CB$87,Formula!D113,45),INDEX(Properties!A$1:CB$87,Formula!F113,45),INDEX(Properties!A$1:CB$87,Formula!H113,45),INDEX(Properties!A$1:CB$87,Formula!J113,45))</f>
        <v>3.91</v>
      </c>
      <c r="EH113" s="48">
        <f>MIN(IF(INDEX(Properties!A$1:CB$87,Formula!B113,45)=0,10^6,INDEX(Properties!A$1:CB$87,Formula!B113,45)),IF(INDEX(Properties!A$1:CB$87,Formula!D113,45)=0,10^6,INDEX(Properties!A$1:CB$87,Formula!D113,45)),IF(INDEX(Properties!A$1:CB$87,Formula!F113,45)=0,10^6,INDEX(Properties!A$1:CB$87,Formula!F113,45)),IF(INDEX(Properties!A$1:CB$87,Formula!H113,45)=0,10^6,INDEX(Properties!A$1:CB$87,Formula!H113,45)),IF(INDEX(Properties!A$1:CB$87,Formula!J113,45)=0,10^6,INDEX(Properties!A$1:CB$87,Formula!J113,45)))</f>
        <v>0.47</v>
      </c>
      <c r="EI113" s="48">
        <f t="shared" si="54"/>
        <v>3.4400000000000004</v>
      </c>
      <c r="EJ113" s="66">
        <f>((Formula!C113)/(Formula!C113+Formula!E113+Formula!G113+Formula!I113+Formula!K113))*(INDEX(Properties!A$1:CB$87,Formula!B113,46))+((Formula!E113)/(Formula!C113+Formula!E113+Formula!G113+Formula!I113+Formula!K113))*(INDEX(Properties!A$1:CB$87,Formula!D113,46))+((Formula!G113)/(Formula!C113+Formula!E113+Formula!G113+Formula!I113+Formula!K113))*(INDEX(Properties!A$1:CB$87,Formula!F113,46))+((Formula!I113)/(Formula!C113+Formula!E113+Formula!G113+Formula!I113+Formula!K113))*(INDEX(Properties!A$1:CB$87,Formula!H113,46))+((Formula!K113)/(Formula!C113+Formula!E113+Formula!G113+Formula!I113+Formula!K113))*(INDEX(Properties!A$1:CB$87,Formula!J113,46))</f>
        <v>1.210344827586207</v>
      </c>
      <c r="EK113" s="66">
        <f>Formula!C113*(INDEX(Properties!A$1:CB$87,Formula!B113,46))+Formula!E113*(INDEX(Properties!A$1:CB$87,Formula!D113,46))+Formula!G113*(INDEX(Properties!A$1:CB$87,Formula!F113,46))+Formula!I113*(INDEX(Properties!A$1:CB$87,Formula!H113,46))+Formula!K113*(INDEX(Properties!A$1:CB$87,Formula!J113,46))</f>
        <v>35.1</v>
      </c>
      <c r="EL113" s="66">
        <f>VARP(IF(INDEX(Properties!A$1:CB$87,Formula!B113,46)&lt;&gt;"",INDEX(Properties!A$1:CB$87,Formula!B113,46)),IF(INDEX(Properties!A$1:CB$87,Formula!D113,46)&lt;&gt;"",INDEX(Properties!A$1:CB$87,Formula!D113,46)),IF(INDEX(Properties!A$1:CB$87,Formula!F113,46)&lt;&gt;"",INDEX(Properties!A$1:CB$87,Formula!F113,46)),IF(INDEX(Properties!A$1:CB$87,Formula!H113,46)&lt;&gt;"",INDEX(Properties!A$1:CB$87,Formula!H113,46)),IF(INDEX(Properties!A$1:CB$87,Formula!J113,46)&lt;&gt;"",INDEX(Properties!A$1:CB$87,Formula!J113,46)))</f>
        <v>0.26242399999999977</v>
      </c>
      <c r="EM113" s="66">
        <f>MAX(INDEX(Properties!A$1:CB$87,Formula!B113,46),INDEX(Properties!A$1:CB$87,Formula!D113,46),INDEX(Properties!A$1:CB$87,Formula!F113,46),INDEX(Properties!A$1:CB$87,Formula!H113,46),INDEX(Properties!A$1:CB$87,Formula!J113,46))</f>
        <v>1.49</v>
      </c>
      <c r="EN113" s="66">
        <f>MIN(IF(INDEX(Properties!A$1:CB$87,Formula!B113,46)=0,10^6,INDEX(Properties!A$1:CB$87,Formula!B113,46)),IF(INDEX(Properties!A$1:CB$87,Formula!D113,46)=0,10^6,INDEX(Properties!A$1:CB$87,Formula!D113,46)),IF(INDEX(Properties!A$1:CB$87,Formula!F113,46)=0,10^6,INDEX(Properties!A$1:CB$87,Formula!F113,46)),IF(INDEX(Properties!A$1:CB$87,Formula!H113,46)=0,10^6,INDEX(Properties!A$1:CB$87,Formula!H113,46)),IF(INDEX(Properties!A$1:CB$87,Formula!J113,46)=0,10^6,INDEX(Properties!A$1:CB$87,Formula!J113,46)))</f>
        <v>0.74</v>
      </c>
      <c r="EO113" s="66">
        <f t="shared" si="55"/>
        <v>0.75</v>
      </c>
      <c r="EP113" s="81">
        <f>((Formula!C113)/(Formula!C113+Formula!E113+Formula!G113+Formula!I113+Formula!K113))*(INDEX(Properties!A$1:CB$87,Formula!B113,52))+((Formula!E113)/(Formula!C113+Formula!E113+Formula!G113+Formula!I113+Formula!K113))*(INDEX(Properties!A$1:CB$87,Formula!D113,52))+((Formula!G113)/(Formula!C113+Formula!E113+Formula!G113+Formula!I113+Formula!K113))*(INDEX(Properties!A$1:CB$87,Formula!F113,52))+((Formula!I113)/(Formula!C113+Formula!E113+Formula!G113+Formula!I113+Formula!K113))*(INDEX(Properties!A$1:CB$87,Formula!H113,52))+((Formula!K113)/(Formula!C113+Formula!E113+Formula!G113+Formula!I113+Formula!K113))*(INDEX(Properties!A$1:CB$87,Formula!J113,52))</f>
        <v>11.474965517241381</v>
      </c>
      <c r="EQ113" s="81">
        <f>Formula!C113*(INDEX(Properties!A$1:CB$87,Formula!B113,52))+Formula!E113*(INDEX(Properties!A$1:CB$87,Formula!D113,52))+Formula!G113*(INDEX(Properties!A$1:CB$87,Formula!F113,52))+Formula!I113*(INDEX(Properties!A$1:CB$87,Formula!H113,52))+Formula!K113*(INDEX(Properties!A$1:CB$87,Formula!J113,52))</f>
        <v>332.77400000000006</v>
      </c>
      <c r="ER113" s="81">
        <f>VARP(IF(INDEX(Properties!A$1:CB$87,Formula!B113,52)&lt;&gt;"",INDEX(Properties!A$1:CB$87,Formula!B113,52)),IF(INDEX(Properties!A$1:CB$87,Formula!D113,52)&lt;&gt;"",INDEX(Properties!A$1:CB$87,Formula!D113,52)),IF(INDEX(Properties!A$1:CB$87,Formula!F113,52)&lt;&gt;"",INDEX(Properties!A$1:CB$87,Formula!F113,52)),IF(INDEX(Properties!A$1:CB$87,Formula!H113,52)&lt;&gt;"",INDEX(Properties!A$1:CB$87,Formula!H113,52)),IF(INDEX(Properties!A$1:CB$87,Formula!J113,52)&lt;&gt;"",INDEX(Properties!A$1:CB$87,Formula!J113,52)))</f>
        <v>224.87742384000003</v>
      </c>
      <c r="ES113" s="81">
        <f>MAX(INDEX(Properties!A$1:CB$87,Formula!B113,52),INDEX(Properties!A$1:CB$87,Formula!D113,52),INDEX(Properties!A$1:CB$87,Formula!F113,52),INDEX(Properties!A$1:CB$87,Formula!H113,52),INDEX(Properties!A$1:CB$87,Formula!J113,52))</f>
        <v>39.700000000000003</v>
      </c>
      <c r="ET113" s="81">
        <f>MIN(IF(INDEX(Properties!A$1:CB$87,Formula!B113,52)=0,10^6,INDEX(Properties!A$1:CB$87,Formula!B113,52)),IF(INDEX(Properties!A$1:CB$87,Formula!D113,52)=0,10^6,INDEX(Properties!A$1:CB$87,Formula!D113,52)),IF(INDEX(Properties!A$1:CB$87,Formula!F113,52)=0,10^6,INDEX(Properties!A$1:CB$87,Formula!F113,52)),IF(INDEX(Properties!A$1:CB$87,Formula!H113,52)=0,10^6,INDEX(Properties!A$1:CB$87,Formula!H113,52)),IF(INDEX(Properties!A$1:CB$87,Formula!J113,52)=0,10^6,INDEX(Properties!A$1:CB$87,Formula!J113,52)))</f>
        <v>0.79300000000000004</v>
      </c>
      <c r="EU113" s="81">
        <f t="shared" si="56"/>
        <v>38.907000000000004</v>
      </c>
      <c r="EV113" s="39">
        <f>((Formula!C113)/(Formula!C113+Formula!E113+Formula!G113+Formula!I113+Formula!K113))*(INDEX(Properties!A$1:CB$87,Formula!B113,53))+((Formula!E113)/(Formula!C113+Formula!E113+Formula!G113+Formula!I113+Formula!K113))*(INDEX(Properties!A$1:CB$87,Formula!D113,53))+((Formula!G113)/(Formula!C113+Formula!E113+Formula!G113+Formula!I113+Formula!K113))*(INDEX(Properties!A$1:CB$87,Formula!F113,53))+((Formula!I113)/(Formula!C113+Formula!E113+Formula!G113+Formula!I113+Formula!K113))*(INDEX(Properties!A$1:CB$87,Formula!H113,53))+((Formula!K113)/(Formula!C113+Formula!E113+Formula!G113+Formula!I113+Formula!K113))*(INDEX(Properties!A$1:CB$87,Formula!J113,53))</f>
        <v>730.90172413793096</v>
      </c>
      <c r="EW113" s="39">
        <f>Formula!C113*(INDEX(Properties!A$1:CB$87,Formula!B113,53))+Formula!E113*(INDEX(Properties!A$1:CB$87,Formula!D113,53))+Formula!G113*(INDEX(Properties!A$1:CB$87,Formula!F113,53))+Formula!I113*(INDEX(Properties!A$1:CB$87,Formula!H113,53))+Formula!K113*(INDEX(Properties!A$1:CB$87,Formula!J113,53))</f>
        <v>21196.15</v>
      </c>
      <c r="EX113" s="39">
        <f>VARP(IF(INDEX(Properties!A$1:CB$87,Formula!B113,53)&lt;&gt;"",INDEX(Properties!A$1:CB$87,Formula!B113,53)),IF(INDEX(Properties!A$1:CB$87,Formula!D113,53)&lt;&gt;"",INDEX(Properties!A$1:CB$87,Formula!D113,53)),IF(INDEX(Properties!A$1:CB$87,Formula!F113,53)&lt;&gt;"",INDEX(Properties!A$1:CB$87,Formula!F113,53)),IF(INDEX(Properties!A$1:CB$87,Formula!H113,53)&lt;&gt;"",INDEX(Properties!A$1:CB$87,Formula!H113,53)),IF(INDEX(Properties!A$1:CB$87,Formula!J113,53)&lt;&gt;"",INDEX(Properties!A$1:CB$87,Formula!J113,53)))</f>
        <v>1817344.8323999997</v>
      </c>
      <c r="EY113" s="39">
        <f>MAX(INDEX(Properties!A$1:CB$87,Formula!B113,53),INDEX(Properties!A$1:CB$87,Formula!D113,53),INDEX(Properties!A$1:CB$87,Formula!F113,53),INDEX(Properties!A$1:CB$87,Formula!H113,53),INDEX(Properties!A$1:CB$87,Formula!J113,53))</f>
        <v>3683.15</v>
      </c>
      <c r="EZ113" s="39">
        <f>MIN(IF(INDEX(Properties!A$1:CB$87,Formula!B113,53)=0,10^6,INDEX(Properties!A$1:CB$87,Formula!B113,53)),IF(INDEX(Properties!A$1:CB$87,Formula!D113,53)=0,10^6,INDEX(Properties!A$1:CB$87,Formula!D113,53)),IF(INDEX(Properties!A$1:CB$87,Formula!F113,53)=0,10^6,INDEX(Properties!A$1:CB$87,Formula!F113,53)),IF(INDEX(Properties!A$1:CB$87,Formula!H113,53)=0,10^6,INDEX(Properties!A$1:CB$87,Formula!H113,53)),IF(INDEX(Properties!A$1:CB$87,Formula!J113,53)=0,10^6,INDEX(Properties!A$1:CB$87,Formula!J113,53)))</f>
        <v>54.749999999999972</v>
      </c>
      <c r="FA113" s="39">
        <f t="shared" si="57"/>
        <v>3628.4</v>
      </c>
      <c r="FB113" s="54">
        <f>((Formula!C113)/(Formula!C113+Formula!E113+Formula!G113+Formula!I113+Formula!K113))*(INDEX(Properties!A$1:CB$87,Formula!B113,54))+((Formula!E113)/(Formula!C113+Formula!E113+Formula!G113+Formula!I113+Formula!K113))*(INDEX(Properties!A$1:CB$87,Formula!D113,54))+((Formula!G113)/(Formula!C113+Formula!E113+Formula!G113+Formula!I113+Formula!K113))*(INDEX(Properties!A$1:CB$87,Formula!F113,54))+((Formula!I113)/(Formula!C113+Formula!E113+Formula!G113+Formula!I113+Formula!K113))*(INDEX(Properties!A$1:CB$87,Formula!H113,54))+((Formula!K113)/(Formula!C113+Formula!E113+Formula!G113+Formula!I113+Formula!K113))*(INDEX(Properties!A$1:CB$87,Formula!J113,54))</f>
        <v>1310.1155172413796</v>
      </c>
      <c r="FC113" s="54">
        <f>Formula!C113*(INDEX(Properties!A$1:CB$87,Formula!B113,54))+Formula!E113*(INDEX(Properties!A$1:CB$87,Formula!D113,54))+Formula!G113*(INDEX(Properties!A$1:CB$87,Formula!F113,54))+Formula!I113*(INDEX(Properties!A$1:CB$87,Formula!H113,54))+Formula!K113*(INDEX(Properties!A$1:CB$87,Formula!J113,54))</f>
        <v>37993.349999999991</v>
      </c>
      <c r="FD113" s="54">
        <f>VARP(IF(INDEX(Properties!A$1:CB$87,Formula!B113,54)&lt;&gt;"",INDEX(Properties!A$1:CB$87,Formula!B113,54)),IF(INDEX(Properties!A$1:CB$87,Formula!D113,54)&lt;&gt;"",INDEX(Properties!A$1:CB$87,Formula!D113,54)),IF(INDEX(Properties!A$1:CB$87,Formula!F113,54)&lt;&gt;"",INDEX(Properties!A$1:CB$87,Formula!F113,54)),IF(INDEX(Properties!A$1:CB$87,Formula!H113,54)&lt;&gt;"",INDEX(Properties!A$1:CB$87,Formula!H113,54)),IF(INDEX(Properties!A$1:CB$87,Formula!J113,54)&lt;&gt;"",INDEX(Properties!A$1:CB$87,Formula!J113,54)))</f>
        <v>5015139.6276000002</v>
      </c>
      <c r="FE113" s="54">
        <f>MAX(INDEX(Properties!A$1:CB$87,Formula!B113,54),INDEX(Properties!A$1:CB$87,Formula!D113,54),INDEX(Properties!A$1:CB$87,Formula!F113,54),INDEX(Properties!A$1:CB$87,Formula!H113,54),INDEX(Properties!A$1:CB$87,Formula!J113,54))</f>
        <v>5933.15</v>
      </c>
      <c r="FF113" s="54">
        <f>MIN(IF(INDEX(Properties!A$1:CB$87,Formula!B113,54)=0,10^6,INDEX(Properties!A$1:CB$87,Formula!B113,54)),IF(INDEX(Properties!A$1:CB$87,Formula!D113,54)=0,10^6,INDEX(Properties!A$1:CB$87,Formula!D113,54)),IF(INDEX(Properties!A$1:CB$87,Formula!F113,54)=0,10^6,INDEX(Properties!A$1:CB$87,Formula!F113,54)),IF(INDEX(Properties!A$1:CB$87,Formula!H113,54)=0,10^6,INDEX(Properties!A$1:CB$87,Formula!H113,54)),IF(INDEX(Properties!A$1:CB$87,Formula!J113,54)=0,10^6,INDEX(Properties!A$1:CB$87,Formula!J113,54)))</f>
        <v>90.149999999999977</v>
      </c>
      <c r="FG113" s="54">
        <f t="shared" si="58"/>
        <v>5843</v>
      </c>
      <c r="FH113" s="69">
        <f>((Formula!C113)/(Formula!C113+Formula!E113+Formula!G113+Formula!I113+Formula!K113))*(INDEX(Properties!A$1:CB$87,Formula!B113,55))+((Formula!E113)/(Formula!C113+Formula!E113+Formula!G113+Formula!I113+Formula!K113))*(INDEX(Properties!A$1:CB$87,Formula!D113,55))+((Formula!G113)/(Formula!C113+Formula!E113+Formula!G113+Formula!I113+Formula!K113))*(INDEX(Properties!A$1:CB$87,Formula!F113,55))+((Formula!I113)/(Formula!C113+Formula!E113+Formula!G113+Formula!I113+Formula!K113))*(INDEX(Properties!A$1:CB$87,Formula!H113,55))+((Formula!K113)/(Formula!C113+Formula!E113+Formula!G113+Formula!I113+Formula!K113))*(INDEX(Properties!A$1:CB$87,Formula!J113,55))</f>
        <v>3.2664048275862068</v>
      </c>
      <c r="FI113" s="69">
        <f>Formula!C113*(INDEX(Properties!A$1:CB$87,Formula!B113,55))+Formula!E113*(INDEX(Properties!A$1:CB$87,Formula!D113,54))+Formula!G113*(INDEX(Properties!A$1:CB$87,Formula!F113,55))+Formula!I113*(INDEX(Properties!A$1:CB$87,Formula!H113,55))+Formula!K113*(INDEX(Properties!A$1:CB$87,Formula!J113,55))</f>
        <v>7171.2257399999999</v>
      </c>
      <c r="FJ113" s="69">
        <f>VARP(IF(INDEX(Properties!A$1:CB$87,Formula!B113,55)&lt;&gt;"",INDEX(Properties!A$1:CB$87,Formula!B113,55)),IF(INDEX(Properties!A$1:CB$87,Formula!D113,55)&lt;&gt;"",INDEX(Properties!A$1:CB$87,Formula!D113,55)),IF(INDEX(Properties!A$1:CB$87,Formula!F113,55)&lt;&gt;"",INDEX(Properties!A$1:CB$87,Formula!F113,55)),IF(INDEX(Properties!A$1:CB$87,Formula!H113,55)&lt;&gt;"",INDEX(Properties!A$1:CB$87,Formula!H113,55)),IF(INDEX(Properties!A$1:CB$87,Formula!J113,55)&lt;&gt;"",INDEX(Properties!A$1:CB$87,Formula!J113,55)))</f>
        <v>51.726888247183986</v>
      </c>
      <c r="FK113" s="69">
        <f>MAX(INDEX(Properties!A$1:CB$87,Formula!B113,55),INDEX(Properties!A$1:CB$87,Formula!D113,55),INDEX(Properties!A$1:CB$87,Formula!F113,55),INDEX(Properties!A$1:CB$87,Formula!H113,55),INDEX(Properties!A$1:CB$87,Formula!J113,55))</f>
        <v>19.3</v>
      </c>
      <c r="FL113" s="69">
        <f>MIN(IF(INDEX(Properties!A$1:CB$87,Formula!B113,55)=0,10^6,INDEX(Properties!A$1:CB$87,Formula!B113,55)),IF(INDEX(Properties!A$1:CB$87,Formula!D113,55)=0,10^6,INDEX(Properties!A$1:CB$87,Formula!D113,55)),IF(INDEX(Properties!A$1:CB$87,Formula!F113,55)=0,10^6,INDEX(Properties!A$1:CB$87,Formula!F113,55)),IF(INDEX(Properties!A$1:CB$87,Formula!H113,55)=0,10^6,INDEX(Properties!A$1:CB$87,Formula!H113,55)),IF(INDEX(Properties!A$1:CB$87,Formula!J113,55)=0,10^6,INDEX(Properties!A$1:CB$87,Formula!J113,55)))</f>
        <v>1.4300000000000001E-3</v>
      </c>
      <c r="FM113" s="69">
        <f t="shared" si="59"/>
        <v>19.298570000000002</v>
      </c>
      <c r="FN113" s="42">
        <f>((Formula!C113)/(Formula!C113+Formula!E113+Formula!G113+Formula!I113+Formula!K113))*(INDEX(Properties!A$1:CB$87,Formula!B113,56))+((Formula!E113)/(Formula!C113+Formula!E113+Formula!G113+Formula!I113+Formula!K113))*(INDEX(Properties!A$1:CB$87,Formula!D113,56))+((Formula!G113)/(Formula!C113+Formula!E113+Formula!G113+Formula!I113+Formula!K113))*(INDEX(Properties!A$1:CB$87,Formula!F113,56))+((Formula!I113)/(Formula!C113+Formula!E113+Formula!G113+Formula!I113+Formula!K113))*(INDEX(Properties!A$1:CB$87,Formula!H113,56))+((Formula!K113)/(Formula!C113+Formula!E113+Formula!G113+Formula!I113+Formula!K113))*(INDEX(Properties!A$1:CB$87,Formula!J113,56))</f>
        <v>0.64255172413793116</v>
      </c>
      <c r="FO113" s="42">
        <f>Formula!C113*(INDEX(Properties!A$1:CB$87,Formula!B113,56))+Formula!E113*(INDEX(Properties!A$1:CB$87,Formula!D113,56))+Formula!G113*(INDEX(Properties!A$1:CB$87,Formula!F113,56))+Formula!I113*(INDEX(Properties!A$1:CB$87,Formula!H113,56))+Formula!K113*(INDEX(Properties!A$1:CB$87,Formula!J113,56))</f>
        <v>18.634</v>
      </c>
      <c r="FP113" s="42">
        <f>VARP(IF(INDEX(Properties!A$1:CB$87,Formula!B113,56)&lt;&gt;"",INDEX(Properties!A$1:CB$87,Formula!B113,56)),IF(INDEX(Properties!A$1:CB$87,Formula!D113,56)&lt;&gt;"",INDEX(Properties!A$1:CB$87,Formula!D113,56)),IF(INDEX(Properties!A$1:CB$87,Formula!F113,56)&lt;&gt;"",INDEX(Properties!A$1:CB$87,Formula!F113,56)),IF(INDEX(Properties!A$1:CB$87,Formula!H113,56)&lt;&gt;"",INDEX(Properties!A$1:CB$87,Formula!H113,56)),IF(INDEX(Properties!A$1:CB$87,Formula!J113,56)&lt;&gt;"",INDEX(Properties!A$1:CB$87,Formula!J113,56)))</f>
        <v>0.10347296000000002</v>
      </c>
      <c r="FQ113" s="42">
        <f>MAX(INDEX(Properties!A$1:CB$87,Formula!B113,56),INDEX(Properties!A$1:CB$87,Formula!D113,56),INDEX(Properties!A$1:CB$87,Formula!F113,56),INDEX(Properties!A$1:CB$87,Formula!H113,56),INDEX(Properties!A$1:CB$87,Formula!J113,56))</f>
        <v>0.92</v>
      </c>
      <c r="FR113" s="42">
        <f>MIN(IF(INDEX(Properties!A$1:CB$87,Formula!B113,56)=0,10^6,INDEX(Properties!A$1:CB$87,Formula!B113,56)),IF(INDEX(Properties!A$1:CB$87,Formula!D113,56)=0,10^6,INDEX(Properties!A$1:CB$87,Formula!D113,56)),IF(INDEX(Properties!A$1:CB$87,Formula!F113,56)=0,10^6,INDEX(Properties!A$1:CB$87,Formula!F113,56)),IF(INDEX(Properties!A$1:CB$87,Formula!H113,56)=0,10^6,INDEX(Properties!A$1:CB$87,Formula!H113,56)),IF(INDEX(Properties!A$1:CB$87,Formula!J113,56)=0,10^6,INDEX(Properties!A$1:CB$87,Formula!J113,56)))</f>
        <v>0.13</v>
      </c>
      <c r="FS113" s="42">
        <f t="shared" si="60"/>
        <v>0.79</v>
      </c>
      <c r="FT113" s="60">
        <f>((Formula!C113)/(Formula!C113+Formula!E113+Formula!G113+Formula!I113+Formula!K113))*(INDEX(Properties!A$1:CB$87,Formula!B113,57))+((Formula!E113)/(Formula!C113+Formula!E113+Formula!G113+Formula!I113+Formula!K113))*(INDEX(Properties!A$1:CB$87,Formula!D113,57))+((Formula!G113)/(Formula!C113+Formula!E113+Formula!G113+Formula!I113+Formula!K113))*(INDEX(Properties!A$1:CB$87,Formula!F113,57))+((Formula!I113)/(Formula!C113+Formula!E113+Formula!G113+Formula!I113+Formula!K113))*(INDEX(Properties!A$1:CB$87,Formula!H113,57))+((Formula!K113)/(Formula!C113+Formula!E113+Formula!G113+Formula!I113+Formula!K113))*(INDEX(Properties!A$1:CB$87,Formula!J113,57))</f>
        <v>6.0967799999999999</v>
      </c>
      <c r="FU113" s="60">
        <f>Formula!C113*(INDEX(Properties!A$1:CB$87,Formula!B113,57))+Formula!E113*(INDEX(Properties!A$1:CB$87,Formula!D113,57))+Formula!G113*(INDEX(Properties!A$1:CB$87,Formula!F113,57))+Formula!I113*(INDEX(Properties!A$1:CB$87,Formula!H113,57))+Formula!K113*(INDEX(Properties!A$1:CB$87,Formula!J113,57))</f>
        <v>176.80661999999998</v>
      </c>
      <c r="FV113" s="60">
        <f>VARP(IF(INDEX(Properties!A$1:CB$87,Formula!B113,57)&lt;&gt;"",INDEX(Properties!A$1:CB$87,Formula!B113,57)),IF(INDEX(Properties!A$1:CB$87,Formula!D113,57)&lt;&gt;"",INDEX(Properties!A$1:CB$87,Formula!D113,57)),IF(INDEX(Properties!A$1:CB$87,Formula!F113,57)&lt;&gt;"",INDEX(Properties!A$1:CB$87,Formula!F113,57)),IF(INDEX(Properties!A$1:CB$87,Formula!H113,57)&lt;&gt;"",INDEX(Properties!A$1:CB$87,Formula!H113,57)),IF(INDEX(Properties!A$1:CB$87,Formula!J113,57)&lt;&gt;"",INDEX(Properties!A$1:CB$87,Formula!J113,57)))</f>
        <v>168.69598436929599</v>
      </c>
      <c r="FW113" s="60">
        <f>MAX(INDEX(Properties!A$1:CB$87,Formula!B113,57),INDEX(Properties!A$1:CB$87,Formula!D113,57),INDEX(Properties!A$1:CB$87,Formula!F113,57),INDEX(Properties!A$1:CB$87,Formula!H113,57),INDEX(Properties!A$1:CB$87,Formula!J113,57))</f>
        <v>35.4</v>
      </c>
      <c r="FX113" s="60">
        <f>MIN(IF(INDEX(Properties!A$1:CB$87,Formula!B113,57)=0,10^6,INDEX(Properties!A$1:CB$87,Formula!B113,57)),IF(INDEX(Properties!A$1:CB$87,Formula!D113,57)=0,10^6,INDEX(Properties!A$1:CB$87,Formula!D113,57)),IF(INDEX(Properties!A$1:CB$87,Formula!F113,57)=0,10^6,INDEX(Properties!A$1:CB$87,Formula!F113,57)),IF(INDEX(Properties!A$1:CB$87,Formula!H113,57)=0,10^6,INDEX(Properties!A$1:CB$87,Formula!H113,57)),IF(INDEX(Properties!A$1:CB$87,Formula!J113,57)=0,10^6,INDEX(Properties!A$1:CB$87,Formula!J113,57)))</f>
        <v>0.22259000000000001</v>
      </c>
      <c r="FY113" s="60">
        <f t="shared" si="61"/>
        <v>35.177410000000002</v>
      </c>
      <c r="FZ113" s="72">
        <f>((Formula!C113)/(Formula!C113+Formula!E113+Formula!G113+Formula!I113+Formula!K113))*(INDEX(Properties!A$1:CB$87,Formula!B113,60))+((Formula!E113)/(Formula!C113+Formula!E113+Formula!G113+Formula!I113+Formula!K113))*(INDEX(Properties!A$1:CB$87,Formula!D113,60))+((Formula!G113)/(Formula!C113+Formula!E113+Formula!G113+Formula!I113+Formula!K113))*(INDEX(Properties!A$1:CB$87,Formula!F113,60))+((Formula!I113)/(Formula!C113+Formula!E113+Formula!G113+Formula!I113+Formula!K113))*(INDEX(Properties!A$1:CB$87,Formula!H113,60))+((Formula!K113)/(Formula!C113+Formula!E113+Formula!G113+Formula!I113+Formula!K113))*(INDEX(Properties!A$1:CB$87,Formula!J113,60))</f>
        <v>22.554528275862072</v>
      </c>
      <c r="GA113" s="72">
        <f>Formula!C113*(INDEX(Properties!A$1:CB$87,Formula!B113,60))+Formula!E113*(INDEX(Properties!A$1:CB$87,Formula!D113,60))+Formula!G113*(INDEX(Properties!A$1:CB$87,Formula!F113,60))+Formula!I113*(INDEX(Properties!A$1:CB$87,Formula!H113,60))+Formula!K113*(INDEX(Properties!A$1:CB$87,Formula!J113,60))</f>
        <v>654.08132000000001</v>
      </c>
      <c r="GB113" s="72">
        <f>VARP(IF(INDEX(Properties!A$1:CB$87,Formula!B113,60)&lt;&gt;"",INDEX(Properties!A$1:CB$87,Formula!B113,60)),IF(INDEX(Properties!A$1:CB$87,Formula!D113,60)&lt;&gt;"",INDEX(Properties!A$1:CB$87,Formula!D113,60)),IF(INDEX(Properties!A$1:CB$87,Formula!F113,60)&lt;&gt;"",INDEX(Properties!A$1:CB$87,Formula!F113,60)),IF(INDEX(Properties!A$1:CB$87,Formula!H113,60)&lt;&gt;"",INDEX(Properties!A$1:CB$87,Formula!H113,60)),IF(INDEX(Properties!A$1:CB$87,Formula!J113,60)&lt;&gt;"",INDEX(Properties!A$1:CB$87,Formula!J113,60)))</f>
        <v>4496.5898568044158</v>
      </c>
      <c r="GC113" s="72">
        <f>MAX(INDEX(Properties!A$1:CB$87,Formula!B113,60),INDEX(Properties!A$1:CB$87,Formula!D113,60),INDEX(Properties!A$1:CB$87,Formula!F113,60),INDEX(Properties!A$1:CB$87,Formula!H113,60),INDEX(Properties!A$1:CB$87,Formula!J113,60))</f>
        <v>174</v>
      </c>
      <c r="GD113" s="72">
        <f>MIN(IF(INDEX(Properties!A$1:CB$87,Formula!B113,60)=0,10^6,INDEX(Properties!A$1:CB$87,Formula!B113,60)),IF(INDEX(Properties!A$1:CB$87,Formula!D113,60)=0,10^6,INDEX(Properties!A$1:CB$87,Formula!D113,60)),IF(INDEX(Properties!A$1:CB$87,Formula!F113,60)=0,10^6,INDEX(Properties!A$1:CB$87,Formula!F113,60)),IF(INDEX(Properties!A$1:CB$87,Formula!H113,60)=0,10^6,INDEX(Properties!A$1:CB$87,Formula!H113,60)),IF(INDEX(Properties!A$1:CB$87,Formula!J113,60)=0,10^6,INDEX(Properties!A$1:CB$87,Formula!J113,60)))</f>
        <v>2.674E-2</v>
      </c>
      <c r="GE113" s="72">
        <f t="shared" si="62"/>
        <v>173.97326000000001</v>
      </c>
      <c r="GF113" s="51">
        <f>((Formula!C113)/(Formula!C113+Formula!E113+Formula!G113+Formula!I113+Formula!K113))*(INDEX(Properties!A$1:CB$87,Formula!B113,62))+((Formula!E113)/(Formula!C113+Formula!E113+Formula!G113+Formula!I113+Formula!K113))*(INDEX(Properties!A$1:CB$87,Formula!D113,62))+((Formula!G113)/(Formula!C113+Formula!E113+Formula!G113+Formula!I113+Formula!K113))*(INDEX(Properties!A$1:CB$87,Formula!F113,62))+((Formula!I113)/(Formula!C113+Formula!E113+Formula!G113+Formula!I113+Formula!K113))*(INDEX(Properties!A$1:CB$87,Formula!H113,62))+((Formula!K113)/(Formula!C113+Formula!E113+Formula!G113+Formula!I113+Formula!K113))*(INDEX(Properties!A$1:CB$87,Formula!J113,62))</f>
        <v>3.2255172413793103</v>
      </c>
      <c r="GG113" s="51">
        <f>Formula!C113*(INDEX(Properties!A$1:CB$87,Formula!B113,62))+Formula!E113*(INDEX(Properties!A$1:CB$87,Formula!D113,62))+Formula!G113*(INDEX(Properties!A$1:CB$87,Formula!F113,62))+Formula!I113*(INDEX(Properties!A$1:CB$87,Formula!H113,62))+Formula!K113*(INDEX(Properties!A$1:CB$87,Formula!J113,62))</f>
        <v>93.54</v>
      </c>
      <c r="GH113" s="51">
        <f>VARP(IF(INDEX(Properties!A$1:CB$87,Formula!B113,62)&lt;&gt;"",INDEX(Properties!A$1:CB$87,Formula!B113,62)),IF(INDEX(Properties!A$1:CB$87,Formula!D113,62)&lt;&gt;"",INDEX(Properties!A$1:CB$87,Formula!D113,62)),IF(INDEX(Properties!A$1:CB$87,Formula!F113,62)&lt;&gt;"",INDEX(Properties!A$1:CB$87,Formula!F113,62)),IF(INDEX(Properties!A$1:CB$87,Formula!H113,62)&lt;&gt;"",INDEX(Properties!A$1:CB$87,Formula!H113,62)),IF(INDEX(Properties!A$1:CB$87,Formula!J113,62)&lt;&gt;"",INDEX(Properties!A$1:CB$87,Formula!J113,62)))</f>
        <v>9.0306560000000058</v>
      </c>
      <c r="GI113" s="51">
        <f>MAX(INDEX(Properties!A$1:CB$87,Formula!B113,62),INDEX(Properties!A$1:CB$87,Formula!D113,62),INDEX(Properties!A$1:CB$87,Formula!F113,62),INDEX(Properties!A$1:CB$87,Formula!H113,62),INDEX(Properties!A$1:CB$87,Formula!J113,62))</f>
        <v>8.9</v>
      </c>
      <c r="GJ113" s="51">
        <f>MIN(IF(INDEX(Properties!A$1:CB$87,Formula!B113,62)=0,10^6,INDEX(Properties!A$1:CB$87,Formula!B113,62)),IF(INDEX(Properties!A$1:CB$87,Formula!D113,62)=0,10^6,INDEX(Properties!A$1:CB$87,Formula!D113,62)),IF(INDEX(Properties!A$1:CB$87,Formula!F113,62)=0,10^6,INDEX(Properties!A$1:CB$87,Formula!F113,62)),IF(INDEX(Properties!A$1:CB$87,Formula!H113,62)=0,10^6,INDEX(Properties!A$1:CB$87,Formula!H113,62)),IF(INDEX(Properties!A$1:CB$87,Formula!J113,62)=0,10^6,INDEX(Properties!A$1:CB$87,Formula!J113,62)))</f>
        <v>1.9</v>
      </c>
      <c r="GK113" s="51">
        <f t="shared" si="63"/>
        <v>7</v>
      </c>
      <c r="GL113" s="51">
        <f>Formula!P113</f>
        <v>225</v>
      </c>
      <c r="GM113" s="57">
        <f>Formula!O113</f>
        <v>7</v>
      </c>
      <c r="GN113" s="51">
        <f>Formula!N113</f>
        <v>0.1</v>
      </c>
    </row>
    <row r="114" spans="1:196" x14ac:dyDescent="0.3">
      <c r="A114" s="84" t="str">
        <f>Formula!A114</f>
        <v>KCaPO4</v>
      </c>
      <c r="B114" s="89">
        <f>((Formula!C114)/(Formula!C114+Formula!E114+Formula!G114+Formula!I114+Formula!K114))*(INDEX(Properties!A$1:CB$87,Formula!B114,3))+((Formula!E114)/(Formula!C114+Formula!E114+Formula!G114+Formula!I114+Formula!K114))*(INDEX(Properties!A$1:CB$87,Formula!D114,3))+((Formula!G114)/(Formula!C114+Formula!E114+Formula!G114+Formula!I114+Formula!K114))*(INDEX(Properties!A$1:CB$87,Formula!F114,3))+((Formula!I114)/(Formula!C114+Formula!E114+Formula!G114+Formula!I114+Formula!K114))*(INDEX(Properties!A$1:CB$87,Formula!H114,3))+((Formula!K114)/(Formula!C114+Formula!E114+Formula!G114+Formula!I114+Formula!K114))*(INDEX(Properties!A$1:CB$87,Formula!J114,3))</f>
        <v>24.878237428571428</v>
      </c>
      <c r="C114" s="85">
        <f>Formula!C114*(INDEX(Properties!A$1:CB$87,Formula!B114,3))+Formula!E114*(INDEX(Properties!A$1:CB$87,Formula!D114,3))+Formula!G114*(INDEX(Properties!A$1:CB$87,Formula!F114,3))+Formula!I114*(INDEX(Properties!A$1:CB$87,Formula!H114,3))+Formula!K114*(INDEX(Properties!A$1:CB$87,Formula!J114,3))</f>
        <v>174.147662</v>
      </c>
      <c r="D114" s="85">
        <f>VARP(IF(INDEX(Properties!A$1:CB$87,Formula!B114,3)&lt;&gt;"",INDEX(Properties!A$1:CB$87,Formula!B114,3)),IF(INDEX(Properties!A$1:CB$87,Formula!D114,3)&lt;&gt;"",INDEX(Properties!A$1:CB$87,Formula!D114,3)),IF(INDEX(Properties!A$1:CB$87,Formula!F114,3)&lt;&gt;"",INDEX(Properties!A$1:CB$87,Formula!F114,3)),IF(INDEX(Properties!A$1:CB$87,Formula!H114,3)&lt;&gt;"",INDEX(Properties!A$1:CB$87,Formula!H114,3)),IF(INDEX(Properties!A$1:CB$87,Formula!J114,3)&lt;&gt;"",INDEX(Properties!A$1:CB$87,Formula!J114,3)))</f>
        <v>233.50810542095147</v>
      </c>
      <c r="E114" s="85">
        <f>MAX(INDEX(Properties!A$1:CB$87,Formula!B114,3),INDEX(Properties!A$1:CB$87,Formula!D114,3),INDEX(Properties!A$1:CB$87,Formula!F114,3),INDEX(Properties!A$1:CB$87,Formula!H114,3),INDEX(Properties!A$1:CB$87,Formula!J114,3))</f>
        <v>40.078000000000003</v>
      </c>
      <c r="F114" s="85">
        <f>MIN(IF(INDEX(Properties!A$1:CB$87,Formula!B114,3)=0,10^6,INDEX(Properties!A$1:CB$87,Formula!B114,3)),IF(INDEX(Properties!A$1:CB$87,Formula!D114,3)=0,10^6,INDEX(Properties!A$1:CB$87,Formula!D114,3)),IF(INDEX(Properties!A$1:CB$87,Formula!F114,3)=0,10^6,INDEX(Properties!A$1:CB$87,Formula!F114,3)),IF(INDEX(Properties!A$1:CB$87,Formula!H114,3)=0,10^6,INDEX(Properties!A$1:CB$87,Formula!H114,3)),IF(INDEX(Properties!A$1:CB$87,Formula!J114,3)=0,10^6,INDEX(Properties!A$1:CB$87,Formula!J114,3)))</f>
        <v>15.9994</v>
      </c>
      <c r="G114" s="85">
        <f t="shared" si="32"/>
        <v>24.078600000000002</v>
      </c>
      <c r="H114" s="87">
        <f>((Formula!C114)/(Formula!C114+Formula!E114+Formula!G114+Formula!I114+Formula!K114))*(INDEX(Properties!A$1:CB$87,Formula!B114,4))+((Formula!E114)/(Formula!C114+Formula!E114+Formula!G114+Formula!I114+Formula!K114))*(INDEX(Properties!A$1:CB$87,Formula!D114,4))+((Formula!G114)/(Formula!C114+Formula!E114+Formula!G114+Formula!I114+Formula!K114))*(INDEX(Properties!A$1:CB$87,Formula!F114,4))+((Formula!I114)/(Formula!C114+Formula!E114+Formula!G114+Formula!I114+Formula!K114))*(INDEX(Properties!A$1:CB$87,Formula!H114,4))+((Formula!K114)/(Formula!C114+Formula!E114+Formula!G114+Formula!I114+Formula!K114))*(INDEX(Properties!A$1:CB$87,Formula!J114,4))</f>
        <v>12.285714285714285</v>
      </c>
      <c r="I114" s="87">
        <f>Formula!C114*(INDEX(Properties!A$1:CB$87,Formula!B114,4))+Formula!E114*(INDEX(Properties!A$1:CB$87,Formula!D114,4))+Formula!G114*(INDEX(Properties!A$1:CB$87,Formula!F114,4))+Formula!I114*(INDEX(Properties!A$1:CB$87,Formula!H114,4))+Formula!K114*(INDEX(Properties!A$1:CB$87,Formula!J114,4))</f>
        <v>86</v>
      </c>
      <c r="J114" s="87">
        <f>VARP(IF(INDEX(Properties!A$1:CB$87,Formula!B114,4)&lt;&gt;"",INDEX(Properties!A$1:CB$87,Formula!B114,4)),IF(INDEX(Properties!A$1:CB$87,Formula!D114,4)&lt;&gt;"",INDEX(Properties!A$1:CB$87,Formula!D114,4)),IF(INDEX(Properties!A$1:CB$87,Formula!F114,4)&lt;&gt;"",INDEX(Properties!A$1:CB$87,Formula!F114,4)),IF(INDEX(Properties!A$1:CB$87,Formula!H114,4)&lt;&gt;"",INDEX(Properties!A$1:CB$87,Formula!H114,4)),IF(INDEX(Properties!A$1:CB$87,Formula!J114,4)&lt;&gt;"",INDEX(Properties!A$1:CB$87,Formula!J114,4)))</f>
        <v>56.24</v>
      </c>
      <c r="K114" s="87">
        <f>MAX(INDEX(Properties!A$1:CB$87,Formula!B114,4),INDEX(Properties!A$1:CB$87,Formula!D114,4),INDEX(Properties!A$1:CB$87,Formula!F114,4),INDEX(Properties!A$1:CB$87,Formula!H114,4),INDEX(Properties!A$1:CB$87,Formula!J114,4))</f>
        <v>20</v>
      </c>
      <c r="L114" s="87">
        <f>MIN(IF(INDEX(Properties!A$1:CB$87,Formula!B114,4)=0,10^6,INDEX(Properties!A$1:CB$87,Formula!B114,4)),IF(INDEX(Properties!A$1:CB$87,Formula!D114,4)=0,10^6,INDEX(Properties!A$1:CB$87,Formula!D114,4)),IF(INDEX(Properties!A$1:CB$87,Formula!F114,4)=0,10^6,INDEX(Properties!A$1:CB$87,Formula!F114,4)),IF(INDEX(Properties!A$1:CB$87,Formula!H114,4)=0,10^6,INDEX(Properties!A$1:CB$87,Formula!H114,4)),IF(INDEX(Properties!A$1:CB$87,Formula!J114,4)=0,10^6,INDEX(Properties!A$1:CB$87,Formula!J114,4)))</f>
        <v>8</v>
      </c>
      <c r="M114" s="87">
        <f t="shared" si="33"/>
        <v>12</v>
      </c>
      <c r="N114" s="89">
        <f>((Formula!C114)/(Formula!C114+Formula!E114+Formula!G114+Formula!I114+Formula!K114))*(INDEX(Properties!A$1:CB$87,Formula!B114,5))+((Formula!E114)/(Formula!C114+Formula!E114+Formula!G114+Formula!I114+Formula!K114))*(INDEX(Properties!A$1:CB$87,Formula!D114,5))+((Formula!G114)/(Formula!C114+Formula!E114+Formula!G114+Formula!I114+Formula!K114))*(INDEX(Properties!A$1:CB$87,Formula!F114,5))+((Formula!I114)/(Formula!C114+Formula!E114+Formula!G114+Formula!I114+Formula!K114))*(INDEX(Properties!A$1:CB$87,Formula!H114,5))+((Formula!K114)/(Formula!C114+Formula!E114+Formula!G114+Formula!I114+Formula!K114))*(INDEX(Properties!A$1:CB$87,Formula!J114,5))</f>
        <v>2.7142857142857144</v>
      </c>
      <c r="O114" s="89">
        <f>Formula!C114*(INDEX(Properties!A$1:CB$87,Formula!B114,5))+Formula!E114*(INDEX(Properties!A$1:CB$87,Formula!D114,5))+Formula!G114*(INDEX(Properties!A$1:CB$87,Formula!F114,5))+Formula!I114*(INDEX(Properties!A$1:CB$87,Formula!H114,5))+Formula!K114*(INDEX(Properties!A$1:CB$87,Formula!J114,5))</f>
        <v>19</v>
      </c>
      <c r="P114" s="89">
        <f>VARP(IF(INDEX(Properties!A$1:CB$87,Formula!B114,5)&lt;&gt;"",INDEX(Properties!A$1:CB$87,Formula!B114,5)),IF(INDEX(Properties!A$1:CB$87,Formula!D114,5)&lt;&gt;"",INDEX(Properties!A$1:CB$87,Formula!D114,5)),IF(INDEX(Properties!A$1:CB$87,Formula!F114,5)&lt;&gt;"",INDEX(Properties!A$1:CB$87,Formula!F114,5)),IF(INDEX(Properties!A$1:CB$87,Formula!H114,5)&lt;&gt;"",INDEX(Properties!A$1:CB$87,Formula!H114,5)),IF(INDEX(Properties!A$1:CB$87,Formula!J114,5)&lt;&gt;"",INDEX(Properties!A$1:CB$87,Formula!J114,5)))</f>
        <v>2.2400000000000002</v>
      </c>
      <c r="Q114" s="89">
        <f>MAX(INDEX(Properties!A$1:CB$87,Formula!B114,5),INDEX(Properties!A$1:CB$87,Formula!D114,5),INDEX(Properties!A$1:CB$87,Formula!F114,5),INDEX(Properties!A$1:CB$87,Formula!H114,5),INDEX(Properties!A$1:CB$87,Formula!J114,5))</f>
        <v>4</v>
      </c>
      <c r="R114" s="89">
        <f>MIN(IF(INDEX(Properties!A$1:CB$87,Formula!B114,5)=0,10^6,INDEX(Properties!A$1:CB$87,Formula!B114,5)),IF(INDEX(Properties!A$1:CB$87,Formula!D114,5)=0,10^6,INDEX(Properties!A$1:CB$87,Formula!D114,5)),IF(INDEX(Properties!A$1:CB$87,Formula!F114,5)=0,10^6,INDEX(Properties!A$1:CB$87,Formula!F114,5)),IF(INDEX(Properties!A$1:CB$87,Formula!H114,5)=0,10^6,INDEX(Properties!A$1:CB$87,Formula!H114,5)),IF(INDEX(Properties!A$1:CB$87,Formula!J114,5)=0,10^6,INDEX(Properties!A$1:CB$87,Formula!J114,5)))</f>
        <v>2</v>
      </c>
      <c r="S114" s="89">
        <f t="shared" si="34"/>
        <v>2</v>
      </c>
      <c r="T114" s="60">
        <f>((Formula!C114)/(Formula!C114+Formula!E114+Formula!G114+Formula!I114+Formula!K114))*(INDEX(Properties!A$1:CB$87,Formula!B114,6))+((Formula!E114)/(Formula!C114+Formula!E114+Formula!G114+Formula!I114+Formula!K114))*(INDEX(Properties!A$1:CB$87,Formula!D114,6))+((Formula!G114)/(Formula!C114+Formula!E114+Formula!G114+Formula!I114+Formula!K114))*(INDEX(Properties!A$1:CB$87,Formula!F114,6))+((Formula!I114)/(Formula!C114+Formula!E114+Formula!G114+Formula!I114+Formula!K114))*(INDEX(Properties!A$1:CB$87,Formula!H114,6))+((Formula!K114)/(Formula!C114+Formula!E114+Formula!G114+Formula!I114+Formula!K114))*(INDEX(Properties!A$1:CB$87,Formula!J114,6))</f>
        <v>11.714285714285714</v>
      </c>
      <c r="U114" s="60">
        <f>Formula!C114*(INDEX(Properties!A$1:CB$87,Formula!B114,6))+Formula!E114*(INDEX(Properties!A$1:CB$87,Formula!D114,6))+Formula!G114*(INDEX(Properties!A$1:CB$87,Formula!F114,6))+Formula!I114*(INDEX(Properties!A$1:CB$87,Formula!H114,6))+Formula!K114*(INDEX(Properties!A$1:CB$87,Formula!J114,6))</f>
        <v>82</v>
      </c>
      <c r="V114" s="89">
        <f>VARP(IF(INDEX(Properties!A$1:CB$87,Formula!B114,6)&lt;&gt;"",INDEX(Properties!A$1:CB$87,Formula!B114,6)),IF(INDEX(Properties!A$1:CB$87,Formula!D114,6)&lt;&gt;"",INDEX(Properties!A$1:CB$87,Formula!D114,6)),IF(INDEX(Properties!A$1:CB$87,Formula!F114,6)&lt;&gt;"",INDEX(Properties!A$1:CB$87,Formula!F114,6)),IF(INDEX(Properties!A$1:CB$87,Formula!H114,6)&lt;&gt;"",INDEX(Properties!A$1:CB$87,Formula!H114,6)),IF(INDEX(Properties!A$1:CB$87,Formula!J114,6)&lt;&gt;"",INDEX(Properties!A$1:CB$87,Formula!J114,6)))</f>
        <v>50.96</v>
      </c>
      <c r="W114" s="60">
        <f>MAX(INDEX(Properties!A$1:CB$87,Formula!B114,6),INDEX(Properties!A$1:CB$87,Formula!D114,6),INDEX(Properties!A$1:CB$87,Formula!F114,6),INDEX(Properties!A$1:CB$87,Formula!H114,4),INDEX(Properties!A$1:CB$87,Formula!J114,6))</f>
        <v>15</v>
      </c>
      <c r="X114" s="60">
        <f>MIN(IF(INDEX(Properties!A$1:CB$87,Formula!B114,6)=0,10^6,INDEX(Properties!A$1:CB$87,Formula!B114,6)),IF(INDEX(Properties!A$1:CB$87,Formula!D114,6)=0,10^6,INDEX(Properties!A$1:CB$87,Formula!D114,6)),IF(INDEX(Properties!A$1:CB$87,Formula!F114,6)=0,10^6,INDEX(Properties!A$1:CB$87,Formula!F114,6)),IF(INDEX(Properties!A$1:CB$87,Formula!H114,6)=0,10^6,INDEX(Properties!A$1:CB$87,Formula!H114,6)),IF(INDEX(Properties!A$1:CB$87,Formula!J114,6)=0,10^6,INDEX(Properties!A$1:CB$87,Formula!J114,6)))</f>
        <v>1</v>
      </c>
      <c r="Y114" s="60">
        <f t="shared" si="35"/>
        <v>14</v>
      </c>
      <c r="Z114" s="72">
        <f>((Formula!C114)/(Formula!C114+Formula!E114+Formula!G114+Formula!I114+Formula!K114))*(INDEX(Properties!A$1:CB$87,Formula!B114,9))+((Formula!E114)/(Formula!C114+Formula!E114+Formula!G114+Formula!I114+Formula!K114))*(INDEX(Properties!A$1:CB$87,Formula!D114,9))+((Formula!G114)/(Formula!C114+Formula!E114+Formula!G114+Formula!I114+Formula!K114))*(INDEX(Properties!A$1:CB$87,Formula!F114,9))+((Formula!I114)/(Formula!C114+Formula!E114+Formula!G114+Formula!I114+Formula!K114))*(INDEX(Properties!A$1:CB$87,Formula!H114,9))+((Formula!K114)/(Formula!C114+Formula!E114+Formula!G114+Formula!I114+Formula!K114))*(INDEX(Properties!A$1:CB$87,Formula!J114,9))</f>
        <v>62.999999999999993</v>
      </c>
      <c r="AA114" s="72">
        <f>Formula!C114*(INDEX(Properties!A$1:CB$87,Formula!B114,9))+Formula!E114*(INDEX(Properties!A$1:CB$87,Formula!D114,9))+Formula!G114*(INDEX(Properties!A$1:CB$87,Formula!F114,9))+Formula!I114*(INDEX(Properties!A$1:CB$87,Formula!H114,9))+Formula!K114*(INDEX(Properties!A$1:CB$87,Formula!J114,9))</f>
        <v>441</v>
      </c>
      <c r="AB114" s="72">
        <f>VARP(IF(INDEX(Properties!A$1:CB$87,Formula!B114,9)&lt;&gt;"",INDEX(Properties!A$1:CB$87,Formula!B114,9)),IF(INDEX(Properties!A$1:CB$87,Formula!D114,9)&lt;&gt;"",INDEX(Properties!A$1:CB$87,Formula!D114,9)),IF(INDEX(Properties!A$1:CB$87,Formula!F114,9)&lt;&gt;"",INDEX(Properties!A$1:CB$87,Formula!F114,9)),IF(INDEX(Properties!A$1:CB$87,Formula!H114,9)&lt;&gt;"",INDEX(Properties!A$1:CB$87,Formula!H114,9)),IF(INDEX(Properties!A$1:CB$87,Formula!J114,9)&lt;&gt;"",INDEX(Properties!A$1:CB$87,Formula!J114,9)))</f>
        <v>1607.2</v>
      </c>
      <c r="AC114" s="72">
        <f>MAX(INDEX(Properties!A$1:CB$87,Formula!B114,9),INDEX(Properties!A$1:CB$87,Formula!D114,9),INDEX(Properties!A$1:CB$87,Formula!F114,9),INDEX(Properties!A$1:CB$87,Formula!H114,9),INDEX(Properties!A$1:CB$87,Formula!J114,9))</f>
        <v>87</v>
      </c>
      <c r="AD114" s="72">
        <f>MIN(IF(INDEX(Properties!A$1:CB$87,Formula!B114,9)=0,10^6,INDEX(Properties!A$1:CB$87,Formula!B114,9)),IF(INDEX(Properties!A$1:CB$87,Formula!D114,9)=0,10^6,INDEX(Properties!A$1:CB$87,Formula!D114,9)),IF(INDEX(Properties!A$1:CB$87,Formula!F114,9)=0,10^6,INDEX(Properties!A$1:CB$87,Formula!F114,9)),IF(INDEX(Properties!A$1:CB$87,Formula!H114,9)=0,10^6,INDEX(Properties!A$1:CB$87,Formula!H114,9)),IF(INDEX(Properties!A$1:CB$87,Formula!J114,9)=0,10^6,INDEX(Properties!A$1:CB$87,Formula!J114,9)))</f>
        <v>3</v>
      </c>
      <c r="AE114" s="72">
        <f t="shared" si="36"/>
        <v>84</v>
      </c>
      <c r="AF114" s="51">
        <f>((Formula!C114)/(Formula!C114+Formula!E114+Formula!G114+Formula!I114+Formula!K114))*(INDEX(Properties!A$1:CB$87,Formula!B114,10))+((Formula!E114)/(Formula!C114+Formula!E114+Formula!G114+Formula!I114+Formula!K114))*(INDEX(Properties!A$1:CB$87,Formula!D114,10))+((Formula!G114)/(Formula!C114+Formula!E114+Formula!G114+Formula!I114+Formula!K114))*(INDEX(Properties!A$1:CB$87,Formula!F114,10))+((Formula!I114)/(Formula!C114+Formula!E114+Formula!G114+Formula!I114+Formula!K114))*(INDEX(Properties!A$1:CB$87,Formula!H114,10))+((Formula!K114)/(Formula!C114+Formula!E114+Formula!G114+Formula!I114+Formula!K114))*(INDEX(Properties!A$1:CB$87,Formula!J114,10))</f>
        <v>5.4285714285714288</v>
      </c>
      <c r="AG114" s="51">
        <f>Formula!C114*(INDEX(Properties!A$1:CB$87,Formula!B114,10))+Formula!E114*(INDEX(Properties!A$1:CB$87,Formula!D114,10))+Formula!G114*(INDEX(Properties!A$1:CB$87,Formula!F114,10))+Formula!I114*(INDEX(Properties!A$1:CB$87,Formula!H114,10))+Formula!K114*(INDEX(Properties!A$1:CB$87,Formula!J114,10))</f>
        <v>38</v>
      </c>
      <c r="AH114" s="51">
        <f>VARP(IF(INDEX(Properties!A$1:CB$87,Formula!B114,10)&lt;&gt;"",INDEX(Properties!A$1:CB$87,Formula!B114,10)),IF(INDEX(Properties!A$1:CB$87,Formula!D114,10)&lt;&gt;"",INDEX(Properties!A$1:CB$87,Formula!D114,10)),IF(INDEX(Properties!A$1:CB$87,Formula!F114,10)&lt;&gt;"",INDEX(Properties!A$1:CB$87,Formula!F114,10)),IF(INDEX(Properties!A$1:CB$87,Formula!H114,10)&lt;&gt;"",INDEX(Properties!A$1:CB$87,Formula!H114,10)),IF(INDEX(Properties!A$1:CB$87,Formula!J114,10)&lt;&gt;"",INDEX(Properties!A$1:CB$87,Formula!J114,10)))</f>
        <v>9.0399999999999991</v>
      </c>
      <c r="AI114" s="51">
        <f>MAX(INDEX(Properties!A$1:CB$87,Formula!B114,10),INDEX(Properties!A$1:CB$87,Formula!D114,10),INDEX(Properties!A$1:CB$87,Formula!F114,10),INDEX(Properties!A$1:CB$87,Formula!H114,10),INDEX(Properties!A$1:CB$87,Formula!J114,10))</f>
        <v>7</v>
      </c>
      <c r="AJ114" s="51">
        <f>MIN(IF(INDEX(Properties!A$1:CB$87,Formula!B114,10)=0,10^6,INDEX(Properties!A$1:CB$87,Formula!B114,10)),IF(INDEX(Properties!A$1:CB$87,Formula!D114,10)=0,10^6,INDEX(Properties!A$1:CB$87,Formula!D114,10)),IF(INDEX(Properties!A$1:CB$87,Formula!F114,10)=0,10^6,INDEX(Properties!A$1:CB$87,Formula!F114,10)),IF(INDEX(Properties!A$1:CB$87,Formula!H114,10)=0,10^6,INDEX(Properties!A$1:CB$87,Formula!H114,10)),IF(INDEX(Properties!A$1:CB$87,Formula!J114,10)=0,10^6,INDEX(Properties!A$1:CB$87,Formula!J114,10)))</f>
        <v>1</v>
      </c>
      <c r="AK114" s="51">
        <f t="shared" si="37"/>
        <v>6</v>
      </c>
      <c r="AL114" s="57">
        <f>((Formula!C114)/(Formula!C114+Formula!E114+Formula!G114+Formula!I114+Formula!K114))*(INDEX(Properties!A$1:CB$87,Formula!B114,11))+((Formula!E114)/(Formula!C114+Formula!E114+Formula!G114+Formula!I114+Formula!K114))*(INDEX(Properties!A$1:CB$87,Formula!D114,11))+((Formula!G114)/(Formula!C114+Formula!E114+Formula!G114+Formula!I114+Formula!K114))*(INDEX(Properties!A$1:CB$87,Formula!F114,11))+((Formula!I114)/(Formula!C114+Formula!E114+Formula!G114+Formula!I114+Formula!K114))*(INDEX(Properties!A$1:CB$87,Formula!H114,11))+((Formula!K114)/(Formula!C114+Formula!E114+Formula!G114+Formula!I114+Formula!K114))*(INDEX(Properties!A$1:CB$87,Formula!J114,11))</f>
        <v>1.857142857142857</v>
      </c>
      <c r="AM114" s="57">
        <f>Formula!C114*(INDEX(Properties!A$1:CB$87,Formula!B114,11))+Formula!E114*(INDEX(Properties!A$1:CB$87,Formula!D114,11))+Formula!G114*(INDEX(Properties!A$1:CB$87,Formula!F114,11))+Formula!I114*(INDEX(Properties!A$1:CB$87,Formula!H114,11))+Formula!K114*(INDEX(Properties!A$1:CB$87,Formula!J114,11))</f>
        <v>13</v>
      </c>
      <c r="AN114" s="57">
        <f>VARP(IF(INDEX(Properties!A$1:CB$87,Formula!B114,11)&lt;&gt;"",INDEX(Properties!A$1:CB$87,Formula!B114,11)),IF(INDEX(Properties!A$1:CB$87,Formula!D114,11)&lt;&gt;"",INDEX(Properties!A$1:CB$87,Formula!D114,11)),IF(INDEX(Properties!A$1:CB$87,Formula!F114,11)&lt;&gt;"",INDEX(Properties!A$1:CB$87,Formula!F114,11)),IF(INDEX(Properties!A$1:CB$87,Formula!H114,11)&lt;&gt;"",INDEX(Properties!A$1:CB$87,Formula!H114,11)),IF(INDEX(Properties!A$1:CB$87,Formula!J114,11)&lt;&gt;"",INDEX(Properties!A$1:CB$87,Formula!J114,11)))</f>
        <v>0.64</v>
      </c>
      <c r="AO114" s="57">
        <f>MAX(INDEX(Properties!A$1:CB$87,Formula!B114,11),INDEX(Properties!A$1:CB$87,Formula!D114,11),INDEX(Properties!A$1:CB$87,Formula!F114,11),INDEX(Properties!A$1:CB$87,Formula!H114,11),INDEX(Properties!A$1:CB$87,Formula!J114,11))</f>
        <v>2</v>
      </c>
      <c r="AP114" s="57">
        <f>MIN(IF(Formula!B114=87,10^6,INDEX(Properties!A$1:CB$87,Formula!B114,11)),IF((Formula!D114)=87,10^6,INDEX(Properties!A$1:CB$87,Formula!D114,11)),IF((Formula!F114)=87,10^6,INDEX(Properties!A$1:CB$87,Formula!F114,11)),IF((Formula!H114)=87,10^6,INDEX(Properties!A$1:CB$87,Formula!H114,11)),IF(Formula!J114=87,10^6,INDEX(Properties!A$1:CB$87,Formula!J114,11)))</f>
        <v>1</v>
      </c>
      <c r="AQ114" s="57">
        <f t="shared" si="38"/>
        <v>1</v>
      </c>
      <c r="AR114" s="78">
        <f>((Formula!C114)/(Formula!C114+Formula!E114+Formula!G114+Formula!I114+Formula!K114))*(INDEX(Properties!A$1:CB$87,Formula!B114,12))+((Formula!E114)/(Formula!C114+Formula!E114+Formula!G114+Formula!I114+Formula!K114))*(INDEX(Properties!A$1:CB$87,Formula!D114,12))+((Formula!G114)/(Formula!C114+Formula!E114+Formula!G114+Formula!I114+Formula!K114))*(INDEX(Properties!A$1:CB$87,Formula!F114,12))+((Formula!I114)/(Formula!C114+Formula!E114+Formula!G114+Formula!I114+Formula!K114))*(INDEX(Properties!A$1:CB$87,Formula!H114,12))+((Formula!K114)/(Formula!C114+Formula!E114+Formula!G114+Formula!I114+Formula!K114))*(INDEX(Properties!A$1:CB$87,Formula!J114,12))</f>
        <v>2.714285714285714</v>
      </c>
      <c r="AS114" s="78">
        <f>Formula!C114*(INDEX(Properties!A$1:CB$87,Formula!B114,12))+Formula!E114*(INDEX(Properties!A$1:CB$87,Formula!D114,12))+Formula!G114*(INDEX(Properties!A$1:CB$87,Formula!F114,12))+Formula!I114*(INDEX(Properties!A$1:CB$87,Formula!H114,12))+Formula!K114*(INDEX(Properties!A$1:CB$87,Formula!J114,12))</f>
        <v>19</v>
      </c>
      <c r="AT114" s="78">
        <f>VARP(IF(INDEX(Properties!A$1:CB$87,Formula!B114,12)&lt;&gt;"",INDEX(Properties!A$1:CB$87,Formula!B114,12)),IF(INDEX(Properties!A$1:CB$87,Formula!D114,12)&lt;&gt;"",INDEX(Properties!A$1:CB$87,Formula!D114,12)),IF(INDEX(Properties!A$1:CB$87,Formula!F114,12)&lt;&gt;"",INDEX(Properties!A$1:CB$87,Formula!F114,12)),IF(INDEX(Properties!A$1:CB$87,Formula!H114,12)&lt;&gt;"",INDEX(Properties!A$1:CB$87,Formula!H114,12)),IF(INDEX(Properties!A$1:CB$87,Formula!J114,12)&lt;&gt;"",INDEX(Properties!A$1:CB$87,Formula!J114,12)))</f>
        <v>3.04</v>
      </c>
      <c r="AU114" s="78">
        <f>MAX(INDEX(Properties!A$1:CB$87,Formula!B114,12),INDEX(Properties!A$1:CB$87,Formula!D114,12),INDEX(Properties!A$1:CB$87,Formula!F114,12),INDEX(Properties!A$1:CB$87,Formula!H114,12),INDEX(Properties!A$1:CB$87,Formula!J114,12))</f>
        <v>4</v>
      </c>
      <c r="AV114" s="78">
        <f>MIN(IF(Formula!B114=87,10^6,INDEX(Properties!A$1:CB$87,Formula!B114,12)),IF((Formula!D114)=87,10^6,INDEX(Properties!A$1:CB$87,Formula!D114,12)),IF((Formula!F114)=87,10^6,INDEX(Properties!A$1:CB$87,Formula!F114,12)),IF((Formula!H114)=87,10^6,INDEX(Properties!A$1:CB$87,Formula!H114,12)),IF(Formula!J114=87,10^6,INDEX(Properties!A$1:CB$87,Formula!J114,12)))</f>
        <v>0</v>
      </c>
      <c r="AW114" s="78">
        <f t="shared" si="39"/>
        <v>4</v>
      </c>
      <c r="AX114" s="45">
        <f>((Formula!C114)/(Formula!C114+Formula!E114+Formula!G114+Formula!I114+Formula!K114))*(INDEX(Properties!A$1:CB$87,Formula!B114,13))+((Formula!E114)/(Formula!C114+Formula!E114+Formula!G114+Formula!I114+Formula!K114))*(INDEX(Properties!A$1:CB$87,Formula!D114,13))+((Formula!G114)/(Formula!C114+Formula!E114+Formula!G114+Formula!I114+Formula!K114))*(INDEX(Properties!A$1:CB$87,Formula!F114,13))+((Formula!I114)/(Formula!C114+Formula!E114+Formula!G114+Formula!I114+Formula!K114))*(INDEX(Properties!A$1:CB$87,Formula!H114,13))+((Formula!K114)/(Formula!C114+Formula!E114+Formula!G114+Formula!I114+Formula!K114))*(INDEX(Properties!A$1:CB$87,Formula!J114,13))</f>
        <v>0</v>
      </c>
      <c r="AY114" s="45">
        <f>Formula!C114*(INDEX(Properties!A$1:CB$87,Formula!B114,13))+Formula!E114*(INDEX(Properties!A$1:CB$87,Formula!D114,13))+Formula!G114*(INDEX(Properties!A$1:CB$87,Formula!F114,13))+Formula!I114*(INDEX(Properties!A$1:CB$87,Formula!H114,13))+Formula!K114*(INDEX(Properties!A$1:CB$87,Formula!J114,13))</f>
        <v>0</v>
      </c>
      <c r="AZ114" s="45">
        <f>VARP(IF(INDEX(Properties!A$1:CB$87,Formula!B114,13)&lt;&gt;"",INDEX(Properties!A$1:CB$87,Formula!B114,13)),IF(INDEX(Properties!A$1:CB$87,Formula!D114,13)&lt;&gt;"",INDEX(Properties!A$1:CB$87,Formula!D114,13)),IF(INDEX(Properties!A$1:CB$87,Formula!F114,13)&lt;&gt;"",INDEX(Properties!A$1:CB$87,Formula!F114,13)),IF(INDEX(Properties!A$1:CB$87,Formula!H114,13)&lt;&gt;"",INDEX(Properties!A$1:CB$87,Formula!H114,13)),IF(INDEX(Properties!A$1:CB$87,Formula!J114,13)&lt;&gt;"",INDEX(Properties!A$1:CB$87,Formula!J114,13)))</f>
        <v>0</v>
      </c>
      <c r="BA114" s="45">
        <f>MAX(INDEX(Properties!A$1:CB$87,Formula!B114,13),INDEX(Properties!A$1:CB$87,Formula!D114,13),INDEX(Properties!A$1:CB$87,Formula!F114,13),INDEX(Properties!A$1:CB$87,Formula!H114,13),INDEX(Properties!A$1:CB$87,Formula!J114,13))</f>
        <v>0</v>
      </c>
      <c r="BB114" s="45">
        <f>MIN(IF(Formula!B114=87,10^6,INDEX(Properties!A$1:CB$87,Formula!B114,13)),IF((Formula!D114)=87,10^6,INDEX(Properties!A$1:CB$87,Formula!D114,13)),IF((Formula!F114)=87,10^6,INDEX(Properties!A$1:CB$87,Formula!F114,13)),IF((Formula!H114)=87,10^6,INDEX(Properties!A$1:CB$87,Formula!H114,13)),IF(Formula!J114=87,10^6,INDEX(Properties!A$1:CB$87,Formula!J114,13)))</f>
        <v>0</v>
      </c>
      <c r="BC114" s="45">
        <f t="shared" si="40"/>
        <v>0</v>
      </c>
      <c r="BD114" s="63">
        <f>((Formula!C114)/(Formula!C114+Formula!E114+Formula!G114+Formula!I114+Formula!K114))*(INDEX(Properties!A$1:CB$87,Formula!B114,14))+((Formula!E114)/(Formula!C114+Formula!E114+Formula!G114+Formula!I114+Formula!K114))*(INDEX(Properties!A$1:CB$87,Formula!D114,14))+((Formula!G114)/(Formula!C114+Formula!E114+Formula!G114+Formula!I114+Formula!K114))*(INDEX(Properties!A$1:CB$87,Formula!F114,14))+((Formula!I114)/(Formula!C114+Formula!E114+Formula!G114+Formula!I114+Formula!K114))*(INDEX(Properties!A$1:CB$87,Formula!H114,14))+((Formula!K114)/(Formula!C114+Formula!E114+Formula!G114+Formula!I114+Formula!K114))*(INDEX(Properties!A$1:CB$87,Formula!J114,14))</f>
        <v>0</v>
      </c>
      <c r="BE114" s="63">
        <f>Formula!C114*(INDEX(Properties!A$1:CB$87,Formula!B114,14))+Formula!E114*(INDEX(Properties!A$1:CB$87,Formula!D114,14))+Formula!G114*(INDEX(Properties!A$1:CB$87,Formula!F114,14))+Formula!I114*(INDEX(Properties!A$1:CB$87,Formula!H114,14))+Formula!K114*(INDEX(Properties!A$1:CB$87,Formula!J114,14))</f>
        <v>0</v>
      </c>
      <c r="BF114" s="63">
        <f>VARP(IF(INDEX(Properties!A$1:CB$87,Formula!B114,14)&lt;&gt;"",INDEX(Properties!A$1:CB$87,Formula!B114,14)),IF(INDEX(Properties!A$1:CB$87,Formula!D114,14)&lt;&gt;"",INDEX(Properties!A$1:CB$87,Formula!D114,14)),IF(INDEX(Properties!A$1:CB$87,Formula!F114,14)&lt;&gt;"",INDEX(Properties!A$1:CB$87,Formula!F114,14)),IF(INDEX(Properties!A$1:CB$87,Formula!H114,14)&lt;&gt;"",INDEX(Properties!A$1:CB$87,Formula!H114,14)),IF(INDEX(Properties!A$1:CB$87,Formula!J114,14)&lt;&gt;"",INDEX(Properties!A$1:CB$87,Formula!J114,14)))</f>
        <v>0</v>
      </c>
      <c r="BG114" s="63">
        <f>MAX(INDEX(Properties!A$1:CB$87,Formula!B114,14),INDEX(Properties!A$1:CB$87,Formula!D114,14),INDEX(Properties!A$1:CB$87,Formula!F114,14),INDEX(Properties!A$1:CB$87,Formula!H114,14),INDEX(Properties!A$1:CB$87,Formula!J114,14))</f>
        <v>0</v>
      </c>
      <c r="BH114" s="63">
        <f>MIN(IF(Formula!B114=87,10^6,INDEX(Properties!A$1:CB$87,Formula!B114,14)),IF((Formula!D114)=87,10^6,INDEX(Properties!A$1:CB$87,Formula!D114,14)),IF((Formula!F114)=87,10^6,INDEX(Properties!A$1:CB$87,Formula!F114,14)),IF((Formula!H114)=87,10^6,INDEX(Properties!A$1:CB$87,Formula!H114,14)),IF(Formula!J114=87,10^6,INDEX(Properties!A$1:CB$87,Formula!J114,14)))</f>
        <v>0</v>
      </c>
      <c r="BI114" s="63">
        <f t="shared" si="41"/>
        <v>0</v>
      </c>
      <c r="BJ114" s="75">
        <f>((Formula!C114)/(Formula!C114+Formula!E114+Formula!G114+Formula!I114+Formula!K114))*(INDEX(Properties!A$1:CB$87,Formula!B114,19))+((Formula!E114)/(Formula!C114+Formula!E114+Formula!G114+Formula!I114+Formula!K114))*(INDEX(Properties!A$1:CB$87,Formula!D114,19))+((Formula!G114)/(Formula!C114+Formula!E114+Formula!G114+Formula!I114+Formula!K114))*(INDEX(Properties!A$1:CB$87,Formula!F114,19))+((Formula!I114)/(Formula!C114+Formula!E114+Formula!G114+Formula!I114+Formula!K114))*(INDEX(Properties!A$1:CB$87,Formula!H114,19))+((Formula!K114)/(Formula!C114+Formula!E114+Formula!G114+Formula!I114+Formula!K114))*(INDEX(Properties!A$1:CB$87,Formula!J114,19))</f>
        <v>4.5714285714285712</v>
      </c>
      <c r="BK114" s="75">
        <f>Formula!C114*(INDEX(Properties!A$1:CB$87,Formula!B114,19))+Formula!E114*(INDEX(Properties!A$1:CB$87,Formula!D114,19))+Formula!G114*(INDEX(Properties!A$1:CB$87,Formula!F114,19))+Formula!I114*(INDEX(Properties!A$1:CB$87,Formula!H114,19))+Formula!K114*(INDEX(Properties!A$1:CB$87,Formula!J114,19))</f>
        <v>32</v>
      </c>
      <c r="BL114" s="75">
        <f>VARP(IF(INDEX(Properties!A$1:CB$87,Formula!B114,19)&lt;&gt;"",INDEX(Properties!A$1:CB$87,Formula!B114,19)),IF(INDEX(Properties!A$1:CB$87,Formula!D114,19)&lt;&gt;"",INDEX(Properties!A$1:CB$87,Formula!D114,19)),IF(INDEX(Properties!A$1:CB$87,Formula!F114,19)&lt;&gt;"",INDEX(Properties!A$1:CB$87,Formula!F114,19)),IF(INDEX(Properties!A$1:CB$87,Formula!H114,19)&lt;&gt;"",INDEX(Properties!A$1:CB$87,Formula!H114,19)),IF(INDEX(Properties!A$1:CB$87,Formula!J114,19)&lt;&gt;"",INDEX(Properties!A$1:CB$87,Formula!J114,19)))</f>
        <v>5.36</v>
      </c>
      <c r="BM114" s="75">
        <f>MAX(INDEX(Properties!A$1:CB$87,Formula!B114,19),INDEX(Properties!A$1:CB$87,Formula!D114,19),INDEX(Properties!A$1:CB$87,Formula!F114,19),INDEX(Properties!A$1:CB$87,Formula!H114,19),INDEX(Properties!A$1:CB$87,Formula!J114,19))</f>
        <v>6</v>
      </c>
      <c r="BN114" s="75">
        <f>MIN(IF(INDEX(Properties!A$1:CB$87,Formula!B114,19)=0,10^6,INDEX(Properties!A$1:CB$87,Formula!B114,19)),IF(INDEX(Properties!A$1:CB$87,Formula!D114,19)=0,10^6,INDEX(Properties!A$1:CB$87,Formula!D114,19)),IF(INDEX(Properties!A$1:CB$87,Formula!F114,19)=0,10^6,INDEX(Properties!A$1:CB$87,Formula!F114,19)),IF(INDEX(Properties!A$1:CB$87,Formula!H114,19)=0,10^6,INDEX(Properties!A$1:CB$87,Formula!H114,19)),IF(INDEX(Properties!A$1:CB$87,Formula!J114,19)=0,10^6,INDEX(Properties!A$1:CB$87,Formula!J114,19)))</f>
        <v>1</v>
      </c>
      <c r="BO114" s="75">
        <f t="shared" si="42"/>
        <v>5</v>
      </c>
      <c r="BP114" s="48">
        <f>((Formula!C114)/(Formula!C114+Formula!E114+Formula!G114+Formula!I114+Formula!K114))*(INDEX(Properties!A$1:CB$87,Formula!B114,20))+((Formula!E114)/(Formula!C114+Formula!E114+Formula!G114+Formula!I114+Formula!K114))*(INDEX(Properties!A$1:CB$87,Formula!D114,20))+((Formula!G114)/(Formula!C114+Formula!E114+Formula!G114+Formula!I114+Formula!K114))*(INDEX(Properties!A$1:CB$87,Formula!F114,20))+((Formula!I114)/(Formula!C114+Formula!E114+Formula!G114+Formula!I114+Formula!K114))*(INDEX(Properties!A$1:CB$87,Formula!H114,20))+((Formula!K114)/(Formula!C114+Formula!E114+Formula!G114+Formula!I114+Formula!K114))*(INDEX(Properties!A$1:CB$87,Formula!J114,20))</f>
        <v>4.5714285714285712</v>
      </c>
      <c r="BQ114" s="48">
        <f>Formula!C114*(INDEX(Properties!A$1:CB$87,Formula!B114,20))+Formula!E114*(INDEX(Properties!A$1:CB$87,Formula!D114,20))+Formula!G114*(INDEX(Properties!A$1:CB$87,Formula!F114,20))+Formula!I114*(INDEX(Properties!A$1:CB$87,Formula!H114,20))+Formula!K114*(INDEX(Properties!A$1:CB$87,Formula!J114,20))</f>
        <v>32</v>
      </c>
      <c r="BR114" s="48">
        <f>VARP(IF(INDEX(Properties!A$1:CB$87,Formula!B114,20)&lt;&gt;"",INDEX(Properties!A$1:CB$87,Formula!B114,20)),IF(INDEX(Properties!A$1:CB$87,Formula!D114,20)&lt;&gt;"",INDEX(Properties!A$1:CB$87,Formula!D114,20)),IF(INDEX(Properties!A$1:CB$87,Formula!F114,20)&lt;&gt;"",INDEX(Properties!A$1:CB$87,Formula!F114,20)),IF(INDEX(Properties!A$1:CB$87,Formula!H114,20)&lt;&gt;"",INDEX(Properties!A$1:CB$87,Formula!H114,20)),IF(INDEX(Properties!A$1:CB$87,Formula!J114,20)&lt;&gt;"",INDEX(Properties!A$1:CB$87,Formula!J114,20)))</f>
        <v>5.36</v>
      </c>
      <c r="BS114" s="48">
        <f>MAX(INDEX(Properties!A$1:CB$87,Formula!B114,20),INDEX(Properties!A$1:CB$87,Formula!D114,20),INDEX(Properties!A$1:CB$87,Formula!F114,20),INDEX(Properties!A$1:CB$87,Formula!H114,20),INDEX(Properties!A$1:CB$87,Formula!J114,20))</f>
        <v>6</v>
      </c>
      <c r="BT114" s="48">
        <f>MIN(IF(INDEX(Properties!A$1:CB$87,Formula!B114,20)=0,10^6,INDEX(Properties!A$1:CB$87,Formula!B114,20)),IF(INDEX(Properties!A$1:CB$87,Formula!D114,20)=0,10^6,INDEX(Properties!A$1:CB$87,Formula!D114,20)),IF(INDEX(Properties!A$1:CB$87,Formula!F114,20)=0,10^6,INDEX(Properties!A$1:CB$87,Formula!F114,20)),IF(INDEX(Properties!A$1:CB$87,Formula!H114,20)=0,10^6,INDEX(Properties!A$1:CB$87,Formula!H114,20)),IF(INDEX(Properties!A$1:CB$87,Formula!J114,20)=0,10^6,INDEX(Properties!A$1:CB$87,Formula!J114,20)))</f>
        <v>1</v>
      </c>
      <c r="BU114" s="48">
        <f t="shared" si="43"/>
        <v>5</v>
      </c>
      <c r="BV114" s="66">
        <f>((Formula!C114)/(Formula!C114+Formula!E114+Formula!G114+Formula!I114+Formula!K114))*(INDEX(Properties!A$1:CB$87,Formula!B114,21))+((Formula!E114)/(Formula!C114+Formula!E114+Formula!G114+Formula!I114+Formula!K114))*(INDEX(Properties!A$1:CB$87,Formula!D114,21))+((Formula!G114)/(Formula!C114+Formula!E114+Formula!G114+Formula!I114+Formula!K114))*(INDEX(Properties!A$1:CB$87,Formula!F114,21))+((Formula!I114)/(Formula!C114+Formula!E114+Formula!G114+Formula!I114+Formula!K114))*(INDEX(Properties!A$1:CB$87,Formula!H114,21))+((Formula!K114)/(Formula!C114+Formula!E114+Formula!G114+Formula!I114+Formula!K114))*(INDEX(Properties!A$1:CB$87,Formula!J114,21))</f>
        <v>4.5714285714285712</v>
      </c>
      <c r="BW114" s="66">
        <f>Formula!C114*(INDEX(Properties!A$1:CB$87,Formula!B114,21))+Formula!E114*(INDEX(Properties!A$1:CB$87,Formula!D114,21))+Formula!G114*(INDEX(Properties!A$1:CB$87,Formula!F114,21))+Formula!I114*(INDEX(Properties!A$1:CB$87,Formula!H114,21))+Formula!K114*(INDEX(Properties!A$1:CB$87,Formula!J114,21))</f>
        <v>32</v>
      </c>
      <c r="BX114" s="66">
        <f>VARP(IF(INDEX(Properties!A$1:CB$87,Formula!B114,21)&lt;&gt;"",INDEX(Properties!A$1:CB$87,Formula!B114,21)),IF(INDEX(Properties!A$1:CB$87,Formula!D114,21)&lt;&gt;"",INDEX(Properties!A$1:CB$87,Formula!D114,21)),IF(INDEX(Properties!A$1:CB$87,Formula!F114,21)&lt;&gt;"",INDEX(Properties!A$1:CB$87,Formula!F114,21)),IF(INDEX(Properties!A$1:CB$87,Formula!H114,21)&lt;&gt;"",INDEX(Properties!A$1:CB$87,Formula!H114,21)),IF(INDEX(Properties!A$1:CB$87,Formula!J114,21)&lt;&gt;"",INDEX(Properties!A$1:CB$87,Formula!J114,21)))</f>
        <v>5.36</v>
      </c>
      <c r="BY114" s="66">
        <f>MAX(INDEX(Properties!A$1:CB$87,Formula!B114,21),INDEX(Properties!A$1:CB$87,Formula!D114,21),INDEX(Properties!A$1:CB$87,Formula!F114,21),INDEX(Properties!A$1:CB$87,Formula!H114,21),INDEX(Properties!A$1:CB$87,Formula!J114,21))</f>
        <v>6</v>
      </c>
      <c r="BZ114" s="66">
        <f>MIN(IF(INDEX(Properties!A$1:CB$87,Formula!B114,21)=0,10^6,INDEX(Properties!A$1:CB$87,Formula!B114,21)),IF(INDEX(Properties!A$1:CB$87,Formula!D114,21)=0,10^6,INDEX(Properties!A$1:CB$87,Formula!D114,21)),IF(INDEX(Properties!A$1:CB$87,Formula!F114,21)=0,10^6,INDEX(Properties!A$1:CB$87,Formula!F114,21)),IF(INDEX(Properties!A$1:CB$87,Formula!H114,21)=0,10^6,INDEX(Properties!A$1:CB$87,Formula!H114,21)),IF(INDEX(Properties!A$1:CB$87,Formula!J114,21)=0,10^6,INDEX(Properties!A$1:CB$87,Formula!J114,21)))</f>
        <v>1</v>
      </c>
      <c r="CA114" s="66">
        <f t="shared" si="44"/>
        <v>5</v>
      </c>
      <c r="CB114" s="81">
        <f>((Formula!C114)/(Formula!C114+Formula!E114+Formula!G114+Formula!I114+Formula!K114))*(INDEX(Properties!A$1:CB$87,Formula!B114,23))+((Formula!E114)/(Formula!C114+Formula!E114+Formula!G114+Formula!I114+Formula!K114))*(INDEX(Properties!A$1:CB$87,Formula!D114,23))+((Formula!G114)/(Formula!C114+Formula!E114+Formula!G114+Formula!I114+Formula!K114))*(INDEX(Properties!A$1:CB$87,Formula!F114,23))+((Formula!I114)/(Formula!C114+Formula!E114+Formula!G114+Formula!I114+Formula!K114))*(INDEX(Properties!A$1:CB$87,Formula!H114,23))+((Formula!K114)/(Formula!C114+Formula!E114+Formula!G114+Formula!I114+Formula!K114))*(INDEX(Properties!A$1:CB$87,Formula!J114,23))</f>
        <v>0.8571428571428571</v>
      </c>
      <c r="CC114" s="81">
        <f>Formula!C114*(INDEX(Properties!A$1:CB$87,Formula!B114,23))+Formula!E114*(INDEX(Properties!A$1:CB$87,Formula!D114,23))+Formula!G114*(INDEX(Properties!A$1:CB$87,Formula!F114,23))+Formula!I114*(INDEX(Properties!A$1:CB$87,Formula!H114,23))+Formula!K114*(INDEX(Properties!A$1:CB$87,Formula!J114,23))</f>
        <v>6</v>
      </c>
      <c r="CD114" s="81">
        <f>VARP(IF(INDEX(Properties!A$1:CB$87,Formula!B114,23)&lt;&gt;"",INDEX(Properties!A$1:CB$87,Formula!B114,23)),IF(INDEX(Properties!A$1:CB$87,Formula!D114,23)&lt;&gt;"",INDEX(Properties!A$1:CB$87,Formula!D114,23)),IF(INDEX(Properties!A$1:CB$87,Formula!F114,23)&lt;&gt;"",INDEX(Properties!A$1:CB$87,Formula!F114,23)),IF(INDEX(Properties!A$1:CB$87,Formula!H114,23)&lt;&gt;"",INDEX(Properties!A$1:CB$87,Formula!H114,23)),IF(INDEX(Properties!A$1:CB$87,Formula!J114,23)&lt;&gt;"",INDEX(Properties!A$1:CB$87,Formula!J114,23)))</f>
        <v>1.36</v>
      </c>
      <c r="CE114" s="81">
        <f>MAX(INDEX(Properties!A$1:CB$87,Formula!B114,23),INDEX(Properties!A$1:CB$87,Formula!D114,23),INDEX(Properties!A$1:CB$87,Formula!F114,23),INDEX(Properties!A$1:CB$87,Formula!H114,23),INDEX(Properties!A$1:CB$87,Formula!J114,23))</f>
        <v>3</v>
      </c>
      <c r="CF114" s="81">
        <f>MIN(IF(Formula!B114=87,10^6,INDEX(Properties!A$1:CB$87,Formula!B114,23)),IF((Formula!D114)=87,10^6,INDEX(Properties!A$1:CB$87,Formula!D114,23)),IF((Formula!F114)=87,10^6,INDEX(Properties!A$1:CB$87,Formula!F114,23)),IF((Formula!H114)=87,10^6,INDEX(Properties!A$1:CB$87,Formula!H114,23)),IF(Formula!J114=87,10^6,INDEX(Properties!A$1:CB$87,Formula!J114,23)))</f>
        <v>0</v>
      </c>
      <c r="CG114" s="81">
        <f t="shared" si="45"/>
        <v>3</v>
      </c>
      <c r="CH114" s="39">
        <f>((Formula!C114)/(Formula!C114+Formula!E114+Formula!G114+Formula!I114+Formula!K114))*(INDEX(Properties!A$1:CB$87,Formula!B114,26))+((Formula!E114)/(Formula!C114+Formula!E114+Formula!G114+Formula!I114+Formula!K114))*(INDEX(Properties!A$1:CB$87,Formula!D114,26))+((Formula!G114)/(Formula!C114+Formula!E114+Formula!G114+Formula!I114+Formula!K114))*(INDEX(Properties!A$1:CB$87,Formula!F114,26))+((Formula!I114)/(Formula!C114+Formula!E114+Formula!G114+Formula!I114+Formula!K114))*(INDEX(Properties!A$1:CB$87,Formula!H114,26))+((Formula!K114)/(Formula!C114+Formula!E114+Formula!G114+Formula!I114+Formula!K114))*(INDEX(Properties!A$1:CB$87,Formula!J114,26))</f>
        <v>10.773285714285713</v>
      </c>
      <c r="CI114" s="39">
        <f>Formula!C114*(INDEX(Properties!A$1:CB$87,Formula!B114,26))+Formula!E114*(INDEX(Properties!A$1:CB$87,Formula!D114,26))+Formula!G114*(INDEX(Properties!A$1:CB$87,Formula!F114,26))+Formula!I114*(INDEX(Properties!A$1:CB$87,Formula!H114,26))+Formula!K114*(INDEX(Properties!A$1:CB$87,Formula!J114,26))</f>
        <v>75.413000000000011</v>
      </c>
      <c r="CJ114" s="39">
        <f>VARP(IF(INDEX(Properties!A$1:CB$87,Formula!B114,26)&lt;&gt;"",INDEX(Properties!A$1:CB$87,Formula!B114,26)),IF(INDEX(Properties!A$1:CB$87,Formula!D114,26)&lt;&gt;"",INDEX(Properties!A$1:CB$87,Formula!D114,26)),IF(INDEX(Properties!A$1:CB$87,Formula!F114,26)&lt;&gt;"",INDEX(Properties!A$1:CB$87,Formula!F114,26)),IF(INDEX(Properties!A$1:CB$87,Formula!H114,26)&lt;&gt;"",INDEX(Properties!A$1:CB$87,Formula!H114,26)),IF(INDEX(Properties!A$1:CB$87,Formula!J114,26)&lt;&gt;"",INDEX(Properties!A$1:CB$87,Formula!J114,26)))</f>
        <v>22.555133218399998</v>
      </c>
      <c r="CK114" s="39">
        <f>MAX(INDEX(Properties!A$1:CB$87,Formula!B114,26),INDEX(Properties!A$1:CB$87,Formula!D114,26),INDEX(Properties!A$1:CB$87,Formula!F114,26),INDEX(Properties!A$1:CB$87,Formula!H114,26),INDEX(Properties!A$1:CB$87,Formula!J114,26))</f>
        <v>13.6181</v>
      </c>
      <c r="CL114" s="39">
        <f>MIN(IF(INDEX(Properties!A$1:CB$87,Formula!B114,26)=0,10^6,INDEX(Properties!A$1:CB$87,Formula!B114,26)),IF(INDEX(Properties!A$1:CB$87,Formula!D114,26)=0,10^6,INDEX(Properties!A$1:CB$87,Formula!D114,26)),IF(INDEX(Properties!A$1:CB$87,Formula!F114,26)=0,10^6,INDEX(Properties!A$1:CB$87,Formula!F114,26)),IF(INDEX(Properties!A$1:CB$87,Formula!H114,26)=0,10^6,INDEX(Properties!A$1:CB$87,Formula!H114,26)),IF(INDEX(Properties!A$1:CB$87,Formula!J114,26)=0,10^6,INDEX(Properties!A$1:CB$87,Formula!J114,26)))</f>
        <v>4.3407</v>
      </c>
      <c r="CM114" s="39">
        <f t="shared" si="46"/>
        <v>9.2774000000000001</v>
      </c>
      <c r="CN114" s="54">
        <f>((Formula!C114)/(Formula!C114+Formula!E114+Formula!G114+Formula!I114+Formula!K114))*(INDEX(Properties!A$1:CB$87,Formula!B114,30))+((Formula!E114)/(Formula!C114+Formula!E114+Formula!G114+Formula!I114+Formula!K114))*(INDEX(Properties!A$1:CB$87,Formula!D114,30))+((Formula!G114)/(Formula!C114+Formula!E114+Formula!G114+Formula!I114+Formula!K114))*(INDEX(Properties!A$1:CB$87,Formula!F114,30))+((Formula!I114)/(Formula!C114+Formula!E114+Formula!G114+Formula!I114+Formula!K114))*(INDEX(Properties!A$1:CB$87,Formula!H114,30))+((Formula!K114)/(Formula!C114+Formula!E114+Formula!G114+Formula!I114+Formula!K114))*(INDEX(Properties!A$1:CB$87,Formula!J114,30))</f>
        <v>2.5385714285714283</v>
      </c>
      <c r="CO114" s="54">
        <f>Formula!C114*(INDEX(Properties!A$1:CB$87,Formula!B114,30))+Formula!E114*(INDEX(Properties!A$1:CB$87,Formula!D114,30))+Formula!G114*(INDEX(Properties!A$1:CB$87,Formula!F114,30))+Formula!I114*(INDEX(Properties!A$1:CB$87,Formula!H114,30))+Formula!K114*(INDEX(Properties!A$1:CB$87,Formula!J114,30))</f>
        <v>17.77</v>
      </c>
      <c r="CP114" s="54">
        <f>VARP(IF(INDEX(Properties!A$1:CB$87,Formula!B114,30)&lt;&gt;"",INDEX(Properties!A$1:CB$87,Formula!B114,30)),IF(INDEX(Properties!A$1:CB$87,Formula!D114,30)&lt;&gt;"",INDEX(Properties!A$1:CB$87,Formula!D114,30)),IF(INDEX(Properties!A$1:CB$87,Formula!F114,30)&lt;&gt;"",INDEX(Properties!A$1:CB$87,Formula!F114,30)),IF(INDEX(Properties!A$1:CB$87,Formula!H114,30)&lt;&gt;"",INDEX(Properties!A$1:CB$87,Formula!H114,30)),IF(INDEX(Properties!A$1:CB$87,Formula!J114,30)&lt;&gt;"",INDEX(Properties!A$1:CB$87,Formula!J114,30)))</f>
        <v>1.44032</v>
      </c>
      <c r="CQ114" s="54">
        <f>MAX(INDEX(Properties!A$1:CB$87,Formula!B114,30),INDEX(Properties!A$1:CB$87,Formula!D114,30),INDEX(Properties!A$1:CB$87,Formula!F114,30),INDEX(Properties!A$1:CB$87,Formula!H114,30),INDEX(Properties!A$1:CB$87,Formula!J114,30))</f>
        <v>3.44</v>
      </c>
      <c r="CR114" s="54">
        <f>MIN(IF(INDEX(Properties!A$1:CB$87,Formula!B114,30)=0,10^6,INDEX(Properties!A$1:CB$87,Formula!B114,30)),IF(INDEX(Properties!A$1:CB$87,Formula!D114,30)=0,10^6,INDEX(Properties!A$1:CB$87,Formula!D114,30)),IF(INDEX(Properties!A$1:CB$87,Formula!F114,30)=0,10^6,INDEX(Properties!A$1:CB$87,Formula!F114,30)),IF(INDEX(Properties!A$1:CB$87,Formula!H114,30)=0,10^6,INDEX(Properties!A$1:CB$87,Formula!H114,30)),IF(INDEX(Properties!A$1:CB$87,Formula!J114,30)=0,10^6,INDEX(Properties!A$1:CB$87,Formula!J114,30)))</f>
        <v>0.82</v>
      </c>
      <c r="CS114" s="54">
        <f t="shared" si="47"/>
        <v>2.62</v>
      </c>
      <c r="CT114" s="69">
        <f>((Formula!C114)/(Formula!C114+Formula!E114+Formula!G114+Formula!I114+Formula!K114))*(INDEX(Properties!A$1:CB$87,Formula!B114,31))+((Formula!E114)/(Formula!C114+Formula!E114+Formula!G114+Formula!I114+Formula!K114))*(INDEX(Properties!A$1:CB$87,Formula!D114,31))+((Formula!G114)/(Formula!C114+Formula!E114+Formula!G114+Formula!I114+Formula!K114))*(INDEX(Properties!A$1:CB$87,Formula!F114,31))+((Formula!I114)/(Formula!C114+Formula!E114+Formula!G114+Formula!I114+Formula!K114))*(INDEX(Properties!A$1:CB$87,Formula!H114,31))+((Formula!K114)/(Formula!C114+Formula!E114+Formula!G114+Formula!I114+Formula!K114))*(INDEX(Properties!A$1:CB$87,Formula!J114,31))</f>
        <v>2.5099999999999998</v>
      </c>
      <c r="CU114" s="69">
        <f>Formula!C114*(INDEX(Properties!A$1:CB$87,Formula!B114,31))+Formula!E114*(INDEX(Properties!A$1:CB$87,Formula!D114,31))+Formula!G114*(INDEX(Properties!A$1:CB$87,Formula!F114,31))+Formula!I114*(INDEX(Properties!A$1:CB$87,Formula!H114,31))+Formula!K114*(INDEX(Properties!A$1:CB$87,Formula!J114,31))</f>
        <v>17.57</v>
      </c>
      <c r="CV114" s="69">
        <f>VARP(IF(INDEX(Properties!A$1:CB$87,Formula!B114,31)&lt;&gt;"",INDEX(Properties!A$1:CB$87,Formula!B114,31)),IF(INDEX(Properties!A$1:CB$87,Formula!D114,31)&lt;&gt;"",INDEX(Properties!A$1:CB$87,Formula!D114,31)),IF(INDEX(Properties!A$1:CB$87,Formula!F114,31)&lt;&gt;"",INDEX(Properties!A$1:CB$87,Formula!F114,31)),IF(INDEX(Properties!A$1:CB$87,Formula!H114,31)&lt;&gt;"",INDEX(Properties!A$1:CB$87,Formula!H114,31)),IF(INDEX(Properties!A$1:CB$87,Formula!J114,31)&lt;&gt;"",INDEX(Properties!A$1:CB$87,Formula!J114,31)))</f>
        <v>1.3662560000000006</v>
      </c>
      <c r="CW114" s="69">
        <f>MAX(INDEX(Properties!A$1:CB$87,Formula!B114,31),INDEX(Properties!A$1:CB$87,Formula!D114,31),INDEX(Properties!A$1:CB$87,Formula!F114,31),INDEX(Properties!A$1:CB$87,Formula!H114,31),INDEX(Properties!A$1:CB$87,Formula!J114,31))</f>
        <v>3.32</v>
      </c>
      <c r="CX114" s="69">
        <f>MIN(IF(INDEX(Properties!A$1:CB$87,Formula!B114,31)=0,10^6,INDEX(Properties!A$1:CB$87,Formula!B114,31)),IF(INDEX(Properties!A$1:CB$87,Formula!D114,31)=0,10^6,INDEX(Properties!A$1:CB$87,Formula!D114,31)),IF(INDEX(Properties!A$1:CB$87,Formula!F114,31)=0,10^6,INDEX(Properties!A$1:CB$87,Formula!F114,31)),IF(INDEX(Properties!A$1:CB$87,Formula!H114,31)=0,10^6,INDEX(Properties!A$1:CB$87,Formula!H114,31)),IF(INDEX(Properties!A$1:CB$87,Formula!J114,31)=0,10^6,INDEX(Properties!A$1:CB$87,Formula!J114,31)))</f>
        <v>0.8</v>
      </c>
      <c r="CY114" s="69">
        <f t="shared" si="48"/>
        <v>2.5199999999999996</v>
      </c>
      <c r="CZ114" s="42">
        <f>((Formula!C114)/(Formula!C114+Formula!E114+Formula!G114+Formula!I114+Formula!K114))*(INDEX(Properties!A$1:CB$87,Formula!B114,32))+((Formula!E114)/(Formula!C114+Formula!E114+Formula!G114+Formula!I114+Formula!K114))*(INDEX(Properties!A$1:CB$87,Formula!D114,32))+((Formula!G114)/(Formula!C114+Formula!E114+Formula!G114+Formula!I114+Formula!K114))*(INDEX(Properties!A$1:CB$87,Formula!F114,32))+((Formula!I114)/(Formula!C114+Formula!E114+Formula!G114+Formula!I114+Formula!K114))*(INDEX(Properties!A$1:CB$87,Formula!H114,32))+((Formula!K114)/(Formula!C114+Formula!E114+Formula!G114+Formula!I114+Formula!K114))*(INDEX(Properties!A$1:CB$87,Formula!J114,32))</f>
        <v>5.7714285714285714</v>
      </c>
      <c r="DA114" s="42">
        <f>Formula!C114*(INDEX(Properties!A$1:CB$87,Formula!B114,32))+Formula!E114*(INDEX(Properties!A$1:CB$87,Formula!D114,32))+Formula!G114*(INDEX(Properties!A$1:CB$87,Formula!F114,32))+Formula!I114*(INDEX(Properties!A$1:CB$87,Formula!H114,32))+Formula!K114*(INDEX(Properties!A$1:CB$87,Formula!J114,32))</f>
        <v>40.4</v>
      </c>
      <c r="DB114" s="42">
        <f>VARP(IF(INDEX(Properties!A$1:CB$87,Formula!B114,32)&lt;&gt;"",INDEX(Properties!A$1:CB$87,Formula!B114,32)),IF(INDEX(Properties!A$1:CB$87,Formula!D114,32)&lt;&gt;"",INDEX(Properties!A$1:CB$87,Formula!D114,32)),IF(INDEX(Properties!A$1:CB$87,Formula!F114,32)&lt;&gt;"",INDEX(Properties!A$1:CB$87,Formula!F114,32)),IF(INDEX(Properties!A$1:CB$87,Formula!H114,32)&lt;&gt;"",INDEX(Properties!A$1:CB$87,Formula!H114,32)),IF(INDEX(Properties!A$1:CB$87,Formula!J114,32)&lt;&gt;"",INDEX(Properties!A$1:CB$87,Formula!J114,32)))</f>
        <v>7.1813439999999948</v>
      </c>
      <c r="DC114" s="42">
        <f>MAX(INDEX(Properties!A$1:CB$87,Formula!B114,32),INDEX(Properties!A$1:CB$87,Formula!D114,32),INDEX(Properties!A$1:CB$87,Formula!F114,32),INDEX(Properties!A$1:CB$87,Formula!H114,32),INDEX(Properties!A$1:CB$87,Formula!J114,32))</f>
        <v>7.54</v>
      </c>
      <c r="DD114" s="42">
        <f>MIN(IF(INDEX(Properties!A$1:CB$87,Formula!B114,32)=0,10^6,INDEX(Properties!A$1:CB$87,Formula!B114,32)),IF(INDEX(Properties!A$1:CB$87,Formula!D114,32)=0,10^6,INDEX(Properties!A$1:CB$87,Formula!D114,32)),IF(INDEX(Properties!A$1:CB$87,Formula!F114,32)=0,10^6,INDEX(Properties!A$1:CB$87,Formula!F114,32)),IF(INDEX(Properties!A$1:CB$87,Formula!H114,32)=0,10^6,INDEX(Properties!A$1:CB$87,Formula!H114,32)),IF(INDEX(Properties!A$1:CB$87,Formula!J114,32)=0,10^6,INDEX(Properties!A$1:CB$87,Formula!J114,32)))</f>
        <v>2.2000000000000002</v>
      </c>
      <c r="DE114" s="42">
        <f t="shared" si="49"/>
        <v>5.34</v>
      </c>
      <c r="DF114" s="60">
        <f>((Formula!C114)/(Formula!C114+Formula!E114+Formula!G114+Formula!I114+Formula!K114))*(INDEX(Properties!A$1:CB$87,Formula!B114,34))+((Formula!E114)/(Formula!C114+Formula!E114+Formula!G114+Formula!I114+Formula!K114))*(INDEX(Properties!A$1:CB$87,Formula!D114,34))+((Formula!G114)/(Formula!C114+Formula!E114+Formula!G114+Formula!I114+Formula!K114))*(INDEX(Properties!A$1:CB$87,Formula!F114,34))+((Formula!I114)/(Formula!C114+Formula!E114+Formula!G114+Formula!I114+Formula!K114))*(INDEX(Properties!A$1:CB$87,Formula!H114,34))+((Formula!K114)/(Formula!C114+Formula!E114+Formula!G114+Formula!I114+Formula!K114))*(INDEX(Properties!A$1:CB$87,Formula!J114,34))</f>
        <v>2.637285714285714</v>
      </c>
      <c r="DG114" s="60">
        <f>Formula!C114*(INDEX(Properties!A$1:CB$87,Formula!B114,34))+Formula!E114*(INDEX(Properties!A$1:CB$87,Formula!D114,34))+Formula!G114*(INDEX(Properties!A$1:CB$87,Formula!F114,34))+Formula!I114*(INDEX(Properties!A$1:CB$87,Formula!H114,34))+Formula!K114*(INDEX(Properties!A$1:CB$87,Formula!J114,34))</f>
        <v>18.460999999999999</v>
      </c>
      <c r="DH114" s="60">
        <f>VARP(IF(INDEX(Properties!A$1:CB$87,Formula!B114,34)&lt;&gt;"",INDEX(Properties!A$1:CB$87,Formula!B114,34)),IF(INDEX(Properties!A$1:CB$87,Formula!D114,34)&lt;&gt;"",INDEX(Properties!A$1:CB$87,Formula!D114,34)),IF(INDEX(Properties!A$1:CB$87,Formula!F114,34)&lt;&gt;"",INDEX(Properties!A$1:CB$87,Formula!F114,34)),IF(INDEX(Properties!A$1:CB$87,Formula!H114,34)&lt;&gt;"",INDEX(Properties!A$1:CB$87,Formula!H114,34)),IF(INDEX(Properties!A$1:CB$87,Formula!J114,34)&lt;&gt;"",INDEX(Properties!A$1:CB$87,Formula!J114,34)))</f>
        <v>1.6139177599999999</v>
      </c>
      <c r="DI114" s="60">
        <f>MAX(INDEX(Properties!A$1:CB$87,Formula!B114,34),INDEX(Properties!A$1:CB$87,Formula!D114,34),INDEX(Properties!A$1:CB$87,Formula!F114,34),INDEX(Properties!A$1:CB$87,Formula!H114,34),INDEX(Properties!A$1:CB$87,Formula!J114,34))</f>
        <v>3.61</v>
      </c>
      <c r="DJ114" s="60">
        <f>MIN(IF(INDEX(Properties!A$1:CB$87,Formula!B114,34)=0,10^6,INDEX(Properties!A$1:CB$87,Formula!B114,34)),IF(INDEX(Properties!A$1:CB$87,Formula!D114,34)=0,10^6,INDEX(Properties!A$1:CB$87,Formula!D114,34)),IF(INDEX(Properties!A$1:CB$87,Formula!F114,34)=0,10^6,INDEX(Properties!A$1:CB$87,Formula!F114,34)),IF(INDEX(Properties!A$1:CB$87,Formula!H114,34)=0,10^6,INDEX(Properties!A$1:CB$87,Formula!H114,34)),IF(INDEX(Properties!A$1:CB$87,Formula!J114,34)=0,10^6,INDEX(Properties!A$1:CB$87,Formula!J114,34)))</f>
        <v>0.73399999999999999</v>
      </c>
      <c r="DK114" s="60">
        <f t="shared" si="50"/>
        <v>2.8759999999999999</v>
      </c>
      <c r="DL114" s="45">
        <f>((Formula!C114)/(Formula!C114+Formula!E114+Formula!G114+Formula!I114+Formula!K114))*(INDEX(Properties!A$1:CB$87,Formula!B114,39))+((Formula!E114)/(Formula!C114+Formula!E114+Formula!G114+Formula!I114+Formula!K114))*(INDEX(Properties!A$1:CB$87,Formula!D114,39))+((Formula!G114)/(Formula!C114+Formula!E114+Formula!G114+Formula!I114+Formula!K114))*(INDEX(Properties!A$1:CB$87,Formula!F114,39))+((Formula!I114)/(Formula!C114+Formula!E114+Formula!G114+Formula!I114+Formula!K114))*(INDEX(Properties!A$1:CB$87,Formula!H114,39))+((Formula!K114)/(Formula!C114+Formula!E114+Formula!G114+Formula!I114+Formula!K114))*(INDEX(Properties!A$1:CB$87,Formula!J114,39))</f>
        <v>1.0385714285714287</v>
      </c>
      <c r="DM114" s="45">
        <f>Formula!C114*(INDEX(Properties!A$1:CB$87,Formula!B114,39))+Formula!E114*(INDEX(Properties!A$1:CB$87,Formula!D114,39))+Formula!G114*(INDEX(Properties!A$1:CB$87,Formula!F114,39))+Formula!I114*(INDEX(Properties!A$1:CB$87,Formula!H114,39))+Formula!K114*(INDEX(Properties!A$1:CB$87,Formula!J114,39))</f>
        <v>7.27</v>
      </c>
      <c r="DN114" s="45">
        <f>VARP(IF(INDEX(Properties!A$1:CB$87,Formula!B114,39)&lt;&gt;"",INDEX(Properties!A$1:CB$87,Formula!B114,39)),IF(INDEX(Properties!A$1:CB$87,Formula!D114,39)&lt;&gt;"",INDEX(Properties!A$1:CB$87,Formula!D114,39)),IF(INDEX(Properties!A$1:CB$87,Formula!F114,39)&lt;&gt;"",INDEX(Properties!A$1:CB$87,Formula!F114,39)),IF(INDEX(Properties!A$1:CB$87,Formula!H114,39)&lt;&gt;"",INDEX(Properties!A$1:CB$87,Formula!H114,39)),IF(INDEX(Properties!A$1:CB$87,Formula!J114,39)&lt;&gt;"",INDEX(Properties!A$1:CB$87,Formula!J114,39)))</f>
        <v>0.81230399999999969</v>
      </c>
      <c r="DO114" s="45">
        <f>MAX(INDEX(Properties!A$1:CB$87,Formula!B114,39),INDEX(Properties!A$1:CB$87,Formula!D114,39),INDEX(Properties!A$1:CB$87,Formula!F114,39),INDEX(Properties!A$1:CB$87,Formula!H114,39),INDEX(Properties!A$1:CB$87,Formula!J114,39))</f>
        <v>2.4300000000000002</v>
      </c>
      <c r="DP114" s="45">
        <f>MIN(IF(INDEX(Properties!A$1:CB$87,Formula!B114,39)=0,10^6,INDEX(Properties!A$1:CB$87,Formula!B114,39)),IF(INDEX(Properties!A$1:CB$87,Formula!D114,39)=0,10^6,INDEX(Properties!A$1:CB$87,Formula!D114,39)),IF(INDEX(Properties!A$1:CB$87,Formula!F114,39)=0,10^6,INDEX(Properties!A$1:CB$87,Formula!F114,39)),IF(INDEX(Properties!A$1:CB$87,Formula!H114,39)=0,10^6,INDEX(Properties!A$1:CB$87,Formula!H114,39)),IF(INDEX(Properties!A$1:CB$87,Formula!J114,39)=0,10^6,INDEX(Properties!A$1:CB$87,Formula!J114,39)))</f>
        <v>0.48</v>
      </c>
      <c r="DQ114" s="45">
        <f t="shared" si="51"/>
        <v>1.9500000000000002</v>
      </c>
      <c r="DR114" s="63">
        <f>((Formula!C114)/(Formula!C114+Formula!E114+Formula!G114+Formula!I114+Formula!K114))*(INDEX(Properties!A$1:CB$87,Formula!B114,40))+((Formula!E114)/(Formula!C114+Formula!E114+Formula!G114+Formula!I114+Formula!K114))*(INDEX(Properties!A$1:CB$87,Formula!D114,40))+((Formula!G114)/(Formula!C114+Formula!E114+Formula!G114+Formula!I114+Formula!K114))*(INDEX(Properties!A$1:CB$87,Formula!F114,40))+((Formula!I114)/(Formula!C114+Formula!E114+Formula!G114+Formula!I114+Formula!K114))*(INDEX(Properties!A$1:CB$87,Formula!H114,40))+((Formula!K114)/(Formula!C114+Formula!E114+Formula!G114+Formula!I114+Formula!K114))*(INDEX(Properties!A$1:CB$87,Formula!J114,40))</f>
        <v>1.097142857142857</v>
      </c>
      <c r="DS114" s="63">
        <f>Formula!C114*(INDEX(Properties!A$1:CB$87,Formula!B114,40))+Formula!E114*(INDEX(Properties!A$1:CB$87,Formula!D114,40))+Formula!G114*(INDEX(Properties!A$1:CB$87,Formula!F114,40))+Formula!I114*(INDEX(Properties!A$1:CB$87,Formula!H114,40))+Formula!K114*(INDEX(Properties!A$1:CB$87,Formula!J114,40))</f>
        <v>7.68</v>
      </c>
      <c r="DT114" s="63">
        <f>VARP(IF(INDEX(Properties!A$1:CB$87,Formula!B114,40)&lt;&gt;"",INDEX(Properties!A$1:CB$87,Formula!B114,40)),IF(INDEX(Properties!A$1:CB$87,Formula!D114,40)&lt;&gt;"",INDEX(Properties!A$1:CB$87,Formula!D114,40)),IF(INDEX(Properties!A$1:CB$87,Formula!F114,40)&lt;&gt;"",INDEX(Properties!A$1:CB$87,Formula!F114,40)),IF(INDEX(Properties!A$1:CB$87,Formula!H114,40)&lt;&gt;"",INDEX(Properties!A$1:CB$87,Formula!H114,40)),IF(INDEX(Properties!A$1:CB$87,Formula!J114,40)&lt;&gt;"",INDEX(Properties!A$1:CB$87,Formula!J114,40)))</f>
        <v>0.49953599999999965</v>
      </c>
      <c r="DU114" s="63">
        <f>MAX(INDEX(Properties!A$1:CB$87,Formula!B114,40),INDEX(Properties!A$1:CB$87,Formula!D114,40),INDEX(Properties!A$1:CB$87,Formula!F114,40),INDEX(Properties!A$1:CB$87,Formula!H114,40),INDEX(Properties!A$1:CB$87,Formula!J114,40))</f>
        <v>1.96</v>
      </c>
      <c r="DV114" s="63">
        <f>MIN(IF(INDEX(Properties!A$1:CB$87,Formula!B114,40)=0,10^6,INDEX(Properties!A$1:CB$87,Formula!B114,40)),IF(INDEX(Properties!A$1:CB$87,Formula!D114,40)=0,10^6,INDEX(Properties!A$1:CB$87,Formula!D114,40)),IF(INDEX(Properties!A$1:CB$87,Formula!F114,40)=0,10^6,INDEX(Properties!A$1:CB$87,Formula!F114,40)),IF(INDEX(Properties!A$1:CB$87,Formula!H114,40)=0,10^6,INDEX(Properties!A$1:CB$87,Formula!H114,40)),IF(INDEX(Properties!A$1:CB$87,Formula!J114,40)=0,10^6,INDEX(Properties!A$1:CB$87,Formula!J114,40)))</f>
        <v>0.73</v>
      </c>
      <c r="DW114" s="63">
        <f t="shared" si="52"/>
        <v>1.23</v>
      </c>
      <c r="DX114" s="75">
        <f>((Formula!C114)/(Formula!C114+Formula!E114+Formula!G114+Formula!I114+Formula!K114))*(INDEX(Properties!A$1:CB$87,Formula!B114,41))+((Formula!E114)/(Formula!C114+Formula!E114+Formula!G114+Formula!I114+Formula!K114))*(INDEX(Properties!A$1:CB$87,Formula!D114,41))+((Formula!G114)/(Formula!C114+Formula!E114+Formula!G114+Formula!I114+Formula!K114))*(INDEX(Properties!A$1:CB$87,Formula!F114,41))+((Formula!I114)/(Formula!C114+Formula!E114+Formula!G114+Formula!I114+Formula!K114))*(INDEX(Properties!A$1:CB$87,Formula!H114,41))+((Formula!K114)/(Formula!C114+Formula!E114+Formula!G114+Formula!I114+Formula!K114))*(INDEX(Properties!A$1:CB$87,Formula!J114,41))</f>
        <v>1.1828571428571428</v>
      </c>
      <c r="DY114" s="75">
        <f>Formula!C114*(INDEX(Properties!A$1:CB$87,Formula!B114,41))+Formula!E114*(INDEX(Properties!A$1:CB$87,Formula!D114,41))+Formula!G114*(INDEX(Properties!A$1:CB$87,Formula!F114,41))+Formula!I114*(INDEX(Properties!A$1:CB$87,Formula!H114,41))+Formula!K114*(INDEX(Properties!A$1:CB$87,Formula!J114,41))</f>
        <v>8.2800000000000011</v>
      </c>
      <c r="DZ114" s="75">
        <f>VARP(IF(INDEX(Properties!A$1:CB$87,Formula!B114,41)&lt;&gt;"",INDEX(Properties!A$1:CB$87,Formula!B114,41)),IF(INDEX(Properties!A$1:CB$87,Formula!D114,41)&lt;&gt;"",INDEX(Properties!A$1:CB$87,Formula!D114,41)),IF(INDEX(Properties!A$1:CB$87,Formula!F114,41)&lt;&gt;"",INDEX(Properties!A$1:CB$87,Formula!F114,41)),IF(INDEX(Properties!A$1:CB$87,Formula!H114,41)&lt;&gt;"",INDEX(Properties!A$1:CB$87,Formula!H114,41)),IF(INDEX(Properties!A$1:CB$87,Formula!J114,41)&lt;&gt;"",INDEX(Properties!A$1:CB$87,Formula!J114,41)))</f>
        <v>0.29679999999999995</v>
      </c>
      <c r="EA114" s="75">
        <f>MAX(INDEX(Properties!A$1:CB$87,Formula!B114,41),INDEX(Properties!A$1:CB$87,Formula!D114,41),INDEX(Properties!A$1:CB$87,Formula!F114,41),INDEX(Properties!A$1:CB$87,Formula!H114,41),INDEX(Properties!A$1:CB$87,Formula!J114,41))</f>
        <v>1.52</v>
      </c>
      <c r="EB114" s="75">
        <f>MIN(IF(INDEX(Properties!A$1:CB$87,Formula!B114,41)=0,10^6,INDEX(Properties!A$1:CB$87,Formula!B114,41)),IF(INDEX(Properties!A$1:CB$87,Formula!D114,41)=0,10^6,INDEX(Properties!A$1:CB$87,Formula!D114,41)),IF(INDEX(Properties!A$1:CB$87,Formula!F114,41)=0,10^6,INDEX(Properties!A$1:CB$87,Formula!F114,41)),IF(INDEX(Properties!A$1:CB$87,Formula!H114,41)=0,10^6,INDEX(Properties!A$1:CB$87,Formula!H114,41)),IF(INDEX(Properties!A$1:CB$87,Formula!J114,41)=0,10^6,INDEX(Properties!A$1:CB$87,Formula!J114,41)))</f>
        <v>0.57999999999999996</v>
      </c>
      <c r="EC114" s="75">
        <f t="shared" si="53"/>
        <v>0.94000000000000006</v>
      </c>
      <c r="ED114" s="48">
        <f>((Formula!C114)/(Formula!C114+Formula!E114+Formula!G114+Formula!I114+Formula!K114))*(INDEX(Properties!A$1:CB$87,Formula!B114,45))+((Formula!E114)/(Formula!C114+Formula!E114+Formula!G114+Formula!I114+Formula!K114))*(INDEX(Properties!A$1:CB$87,Formula!D114,45))+((Formula!G114)/(Formula!C114+Formula!E114+Formula!G114+Formula!I114+Formula!K114))*(INDEX(Properties!A$1:CB$87,Formula!F114,45))+((Formula!I114)/(Formula!C114+Formula!E114+Formula!G114+Formula!I114+Formula!K114))*(INDEX(Properties!A$1:CB$87,Formula!H114,45))+((Formula!K114)/(Formula!C114+Formula!E114+Formula!G114+Formula!I114+Formula!K114))*(INDEX(Properties!A$1:CB$87,Formula!J114,45))</f>
        <v>1.4014285714285712</v>
      </c>
      <c r="EE114" s="48">
        <f>Formula!C114*(INDEX(Properties!A$1:CB$87,Formula!B114,45))+Formula!E114*(INDEX(Properties!A$1:CB$87,Formula!D114,45))+Formula!G114*(INDEX(Properties!A$1:CB$87,Formula!F114,45))+Formula!I114*(INDEX(Properties!A$1:CB$87,Formula!H114,45))+Formula!K114*(INDEX(Properties!A$1:CB$87,Formula!J114,45))</f>
        <v>9.8099999999999987</v>
      </c>
      <c r="EF114" s="48">
        <f>VARP(IF(INDEX(Properties!A$1:CB$87,Formula!B114,45)&lt;&gt;"",INDEX(Properties!A$1:CB$87,Formula!B114,45)),IF(INDEX(Properties!A$1:CB$87,Formula!D114,45)&lt;&gt;"",INDEX(Properties!A$1:CB$87,Formula!D114,45)),IF(INDEX(Properties!A$1:CB$87,Formula!F114,45)&lt;&gt;"",INDEX(Properties!A$1:CB$87,Formula!F114,45)),IF(INDEX(Properties!A$1:CB$87,Formula!H114,45)&lt;&gt;"",INDEX(Properties!A$1:CB$87,Formula!H114,45)),IF(INDEX(Properties!A$1:CB$87,Formula!J114,45)&lt;&gt;"",INDEX(Properties!A$1:CB$87,Formula!J114,45)))</f>
        <v>2.0525199999999999</v>
      </c>
      <c r="EG114" s="48">
        <f>MAX(INDEX(Properties!A$1:CB$87,Formula!B114,45),INDEX(Properties!A$1:CB$87,Formula!D114,45),INDEX(Properties!A$1:CB$87,Formula!F114,45),INDEX(Properties!A$1:CB$87,Formula!H114,45),INDEX(Properties!A$1:CB$87,Formula!J114,45))</f>
        <v>3.69</v>
      </c>
      <c r="EH114" s="48">
        <f>MIN(IF(INDEX(Properties!A$1:CB$87,Formula!B114,45)=0,10^6,INDEX(Properties!A$1:CB$87,Formula!B114,45)),IF(INDEX(Properties!A$1:CB$87,Formula!D114,45)=0,10^6,INDEX(Properties!A$1:CB$87,Formula!D114,45)),IF(INDEX(Properties!A$1:CB$87,Formula!F114,45)=0,10^6,INDEX(Properties!A$1:CB$87,Formula!F114,45)),IF(INDEX(Properties!A$1:CB$87,Formula!H114,45)=0,10^6,INDEX(Properties!A$1:CB$87,Formula!H114,45)),IF(INDEX(Properties!A$1:CB$87,Formula!J114,45)=0,10^6,INDEX(Properties!A$1:CB$87,Formula!J114,45)))</f>
        <v>0.47</v>
      </c>
      <c r="EI114" s="48">
        <f t="shared" si="54"/>
        <v>3.2199999999999998</v>
      </c>
      <c r="EJ114" s="66">
        <f>((Formula!C114)/(Formula!C114+Formula!E114+Formula!G114+Formula!I114+Formula!K114))*(INDEX(Properties!A$1:CB$87,Formula!B114,46))+((Formula!E114)/(Formula!C114+Formula!E114+Formula!G114+Formula!I114+Formula!K114))*(INDEX(Properties!A$1:CB$87,Formula!D114,46))+((Formula!G114)/(Formula!C114+Formula!E114+Formula!G114+Formula!I114+Formula!K114))*(INDEX(Properties!A$1:CB$87,Formula!F114,46))+((Formula!I114)/(Formula!C114+Formula!E114+Formula!G114+Formula!I114+Formula!K114))*(INDEX(Properties!A$1:CB$87,Formula!H114,46))+((Formula!K114)/(Formula!C114+Formula!E114+Formula!G114+Formula!I114+Formula!K114))*(INDEX(Properties!A$1:CB$87,Formula!J114,46))</f>
        <v>1.1157142857142857</v>
      </c>
      <c r="EK114" s="66">
        <f>Formula!C114*(INDEX(Properties!A$1:CB$87,Formula!B114,46))+Formula!E114*(INDEX(Properties!A$1:CB$87,Formula!D114,46))+Formula!G114*(INDEX(Properties!A$1:CB$87,Formula!F114,46))+Formula!I114*(INDEX(Properties!A$1:CB$87,Formula!H114,46))+Formula!K114*(INDEX(Properties!A$1:CB$87,Formula!J114,46))</f>
        <v>7.8100000000000005</v>
      </c>
      <c r="EL114" s="66">
        <f>VARP(IF(INDEX(Properties!A$1:CB$87,Formula!B114,46)&lt;&gt;"",INDEX(Properties!A$1:CB$87,Formula!B114,46)),IF(INDEX(Properties!A$1:CB$87,Formula!D114,46)&lt;&gt;"",INDEX(Properties!A$1:CB$87,Formula!D114,46)),IF(INDEX(Properties!A$1:CB$87,Formula!F114,46)&lt;&gt;"",INDEX(Properties!A$1:CB$87,Formula!F114,46)),IF(INDEX(Properties!A$1:CB$87,Formula!H114,46)&lt;&gt;"",INDEX(Properties!A$1:CB$87,Formula!H114,46)),IF(INDEX(Properties!A$1:CB$87,Formula!J114,46)&lt;&gt;"",INDEX(Properties!A$1:CB$87,Formula!J114,46)))</f>
        <v>0.33514400000000011</v>
      </c>
      <c r="EM114" s="66">
        <f>MAX(INDEX(Properties!A$1:CB$87,Formula!B114,46),INDEX(Properties!A$1:CB$87,Formula!D114,46),INDEX(Properties!A$1:CB$87,Formula!F114,46),INDEX(Properties!A$1:CB$87,Formula!H114,46),INDEX(Properties!A$1:CB$87,Formula!J114,46))</f>
        <v>1.52</v>
      </c>
      <c r="EN114" s="66">
        <f>MIN(IF(INDEX(Properties!A$1:CB$87,Formula!B114,46)=0,10^6,INDEX(Properties!A$1:CB$87,Formula!B114,46)),IF(INDEX(Properties!A$1:CB$87,Formula!D114,46)=0,10^6,INDEX(Properties!A$1:CB$87,Formula!D114,46)),IF(INDEX(Properties!A$1:CB$87,Formula!F114,46)=0,10^6,INDEX(Properties!A$1:CB$87,Formula!F114,46)),IF(INDEX(Properties!A$1:CB$87,Formula!H114,46)=0,10^6,INDEX(Properties!A$1:CB$87,Formula!H114,46)),IF(INDEX(Properties!A$1:CB$87,Formula!J114,46)=0,10^6,INDEX(Properties!A$1:CB$87,Formula!J114,46)))</f>
        <v>0.31</v>
      </c>
      <c r="EO114" s="66">
        <f t="shared" si="55"/>
        <v>1.21</v>
      </c>
      <c r="EP114" s="81">
        <f>((Formula!C114)/(Formula!C114+Formula!E114+Formula!G114+Formula!I114+Formula!K114))*(INDEX(Properties!A$1:CB$87,Formula!B114,52))+((Formula!E114)/(Formula!C114+Formula!E114+Formula!G114+Formula!I114+Formula!K114))*(INDEX(Properties!A$1:CB$87,Formula!D114,52))+((Formula!G114)/(Formula!C114+Formula!E114+Formula!G114+Formula!I114+Formula!K114))*(INDEX(Properties!A$1:CB$87,Formula!F114,52))+((Formula!I114)/(Formula!C114+Formula!E114+Formula!G114+Formula!I114+Formula!K114))*(INDEX(Properties!A$1:CB$87,Formula!H114,52))+((Formula!K114)/(Formula!C114+Formula!E114+Formula!G114+Formula!I114+Formula!K114))*(INDEX(Properties!A$1:CB$87,Formula!J114,52))</f>
        <v>10.424571428571427</v>
      </c>
      <c r="EQ114" s="81">
        <f>Formula!C114*(INDEX(Properties!A$1:CB$87,Formula!B114,52))+Formula!E114*(INDEX(Properties!A$1:CB$87,Formula!D114,52))+Formula!G114*(INDEX(Properties!A$1:CB$87,Formula!F114,52))+Formula!I114*(INDEX(Properties!A$1:CB$87,Formula!H114,52))+Formula!K114*(INDEX(Properties!A$1:CB$87,Formula!J114,52))</f>
        <v>72.971999999999994</v>
      </c>
      <c r="ER114" s="81">
        <f>VARP(IF(INDEX(Properties!A$1:CB$87,Formula!B114,52)&lt;&gt;"",INDEX(Properties!A$1:CB$87,Formula!B114,52)),IF(INDEX(Properties!A$1:CB$87,Formula!D114,52)&lt;&gt;"",INDEX(Properties!A$1:CB$87,Formula!D114,52)),IF(INDEX(Properties!A$1:CB$87,Formula!F114,52)&lt;&gt;"",INDEX(Properties!A$1:CB$87,Formula!F114,52)),IF(INDEX(Properties!A$1:CB$87,Formula!H114,52)&lt;&gt;"",INDEX(Properties!A$1:CB$87,Formula!H114,52)),IF(INDEX(Properties!A$1:CB$87,Formula!J114,52)&lt;&gt;"",INDEX(Properties!A$1:CB$87,Formula!J114,52)))</f>
        <v>284.06290384000005</v>
      </c>
      <c r="ES114" s="81">
        <f>MAX(INDEX(Properties!A$1:CB$87,Formula!B114,52),INDEX(Properties!A$1:CB$87,Formula!D114,52),INDEX(Properties!A$1:CB$87,Formula!F114,52),INDEX(Properties!A$1:CB$87,Formula!H114,52),INDEX(Properties!A$1:CB$87,Formula!J114,52))</f>
        <v>43.4</v>
      </c>
      <c r="ET114" s="81">
        <f>MIN(IF(INDEX(Properties!A$1:CB$87,Formula!B114,52)=0,10^6,INDEX(Properties!A$1:CB$87,Formula!B114,52)),IF(INDEX(Properties!A$1:CB$87,Formula!D114,52)=0,10^6,INDEX(Properties!A$1:CB$87,Formula!D114,52)),IF(INDEX(Properties!A$1:CB$87,Formula!F114,52)=0,10^6,INDEX(Properties!A$1:CB$87,Formula!F114,52)),IF(INDEX(Properties!A$1:CB$87,Formula!H114,52)=0,10^6,INDEX(Properties!A$1:CB$87,Formula!H114,52)),IF(INDEX(Properties!A$1:CB$87,Formula!J114,52)=0,10^6,INDEX(Properties!A$1:CB$87,Formula!J114,52)))</f>
        <v>0.79300000000000004</v>
      </c>
      <c r="EU114" s="81">
        <f t="shared" si="56"/>
        <v>42.606999999999999</v>
      </c>
      <c r="EV114" s="39">
        <f>((Formula!C114)/(Formula!C114+Formula!E114+Formula!G114+Formula!I114+Formula!K114))*(INDEX(Properties!A$1:CB$87,Formula!B114,53))+((Formula!E114)/(Formula!C114+Formula!E114+Formula!G114+Formula!I114+Formula!K114))*(INDEX(Properties!A$1:CB$87,Formula!D114,53))+((Formula!G114)/(Formula!C114+Formula!E114+Formula!G114+Formula!I114+Formula!K114))*(INDEX(Properties!A$1:CB$87,Formula!F114,53))+((Formula!I114)/(Formula!C114+Formula!E114+Formula!G114+Formula!I114+Formula!K114))*(INDEX(Properties!A$1:CB$87,Formula!H114,53))+((Formula!K114)/(Formula!C114+Formula!E114+Formula!G114+Formula!I114+Formula!K114))*(INDEX(Properties!A$1:CB$87,Formula!J114,53))</f>
        <v>283.54285714285714</v>
      </c>
      <c r="EW114" s="39">
        <f>Formula!C114*(INDEX(Properties!A$1:CB$87,Formula!B114,53))+Formula!E114*(INDEX(Properties!A$1:CB$87,Formula!D114,53))+Formula!G114*(INDEX(Properties!A$1:CB$87,Formula!F114,53))+Formula!I114*(INDEX(Properties!A$1:CB$87,Formula!H114,53))+Formula!K114*(INDEX(Properties!A$1:CB$87,Formula!J114,53))</f>
        <v>1984.8000000000002</v>
      </c>
      <c r="EX114" s="39">
        <f>VARP(IF(INDEX(Properties!A$1:CB$87,Formula!B114,53)&lt;&gt;"",INDEX(Properties!A$1:CB$87,Formula!B114,53)),IF(INDEX(Properties!A$1:CB$87,Formula!D114,53)&lt;&gt;"",INDEX(Properties!A$1:CB$87,Formula!D114,53)),IF(INDEX(Properties!A$1:CB$87,Formula!F114,53)&lt;&gt;"",INDEX(Properties!A$1:CB$87,Formula!F114,53)),IF(INDEX(Properties!A$1:CB$87,Formula!H114,53)&lt;&gt;"",INDEX(Properties!A$1:CB$87,Formula!H114,53)),IF(INDEX(Properties!A$1:CB$87,Formula!J114,53)&lt;&gt;"",INDEX(Properties!A$1:CB$87,Formula!J114,53)))</f>
        <v>158161.44940000004</v>
      </c>
      <c r="EY114" s="39">
        <f>MAX(INDEX(Properties!A$1:CB$87,Formula!B114,53),INDEX(Properties!A$1:CB$87,Formula!D114,53),INDEX(Properties!A$1:CB$87,Formula!F114,53),INDEX(Properties!A$1:CB$87,Formula!H114,53),INDEX(Properties!A$1:CB$87,Formula!J114,53))</f>
        <v>1112.1500000000001</v>
      </c>
      <c r="EZ114" s="39">
        <f>MIN(IF(INDEX(Properties!A$1:CB$87,Formula!B114,53)=0,10^6,INDEX(Properties!A$1:CB$87,Formula!B114,53)),IF(INDEX(Properties!A$1:CB$87,Formula!D114,53)=0,10^6,INDEX(Properties!A$1:CB$87,Formula!D114,53)),IF(INDEX(Properties!A$1:CB$87,Formula!F114,53)=0,10^6,INDEX(Properties!A$1:CB$87,Formula!F114,53)),IF(INDEX(Properties!A$1:CB$87,Formula!H114,53)=0,10^6,INDEX(Properties!A$1:CB$87,Formula!H114,53)),IF(INDEX(Properties!A$1:CB$87,Formula!J114,53)=0,10^6,INDEX(Properties!A$1:CB$87,Formula!J114,53)))</f>
        <v>54.749999999999972</v>
      </c>
      <c r="FA114" s="39">
        <f t="shared" si="57"/>
        <v>1057.4000000000001</v>
      </c>
      <c r="FB114" s="54">
        <f>((Formula!C114)/(Formula!C114+Formula!E114+Formula!G114+Formula!I114+Formula!K114))*(INDEX(Properties!A$1:CB$87,Formula!B114,54))+((Formula!E114)/(Formula!C114+Formula!E114+Formula!G114+Formula!I114+Formula!K114))*(INDEX(Properties!A$1:CB$87,Formula!D114,54))+((Formula!G114)/(Formula!C114+Formula!E114+Formula!G114+Formula!I114+Formula!K114))*(INDEX(Properties!A$1:CB$87,Formula!F114,54))+((Formula!I114)/(Formula!C114+Formula!E114+Formula!G114+Formula!I114+Formula!K114))*(INDEX(Properties!A$1:CB$87,Formula!H114,54))+((Formula!K114)/(Formula!C114+Formula!E114+Formula!G114+Formula!I114+Formula!K114))*(INDEX(Properties!A$1:CB$87,Formula!J114,54))</f>
        <v>529.15</v>
      </c>
      <c r="FC114" s="54">
        <f>Formula!C114*(INDEX(Properties!A$1:CB$87,Formula!B114,54))+Formula!E114*(INDEX(Properties!A$1:CB$87,Formula!D114,54))+Formula!G114*(INDEX(Properties!A$1:CB$87,Formula!F114,54))+Formula!I114*(INDEX(Properties!A$1:CB$87,Formula!H114,54))+Formula!K114*(INDEX(Properties!A$1:CB$87,Formula!J114,54))</f>
        <v>3704.05</v>
      </c>
      <c r="FD114" s="54">
        <f>VARP(IF(INDEX(Properties!A$1:CB$87,Formula!B114,54)&lt;&gt;"",INDEX(Properties!A$1:CB$87,Formula!B114,54)),IF(INDEX(Properties!A$1:CB$87,Formula!D114,54)&lt;&gt;"",INDEX(Properties!A$1:CB$87,Formula!D114,54)),IF(INDEX(Properties!A$1:CB$87,Formula!F114,54)&lt;&gt;"",INDEX(Properties!A$1:CB$87,Formula!F114,54)),IF(INDEX(Properties!A$1:CB$87,Formula!H114,54)&lt;&gt;"",INDEX(Properties!A$1:CB$87,Formula!H114,54)),IF(INDEX(Properties!A$1:CB$87,Formula!J114,54)&lt;&gt;"",INDEX(Properties!A$1:CB$87,Formula!J114,54)))</f>
        <v>422231.03960000013</v>
      </c>
      <c r="FE114" s="54">
        <f>MAX(INDEX(Properties!A$1:CB$87,Formula!B114,54),INDEX(Properties!A$1:CB$87,Formula!D114,54),INDEX(Properties!A$1:CB$87,Formula!F114,54),INDEX(Properties!A$1:CB$87,Formula!H114,54),INDEX(Properties!A$1:CB$87,Formula!J114,54))</f>
        <v>1757.15</v>
      </c>
      <c r="FF114" s="54">
        <f>MIN(IF(INDEX(Properties!A$1:CB$87,Formula!B114,54)=0,10^6,INDEX(Properties!A$1:CB$87,Formula!B114,54)),IF(INDEX(Properties!A$1:CB$87,Formula!D114,54)=0,10^6,INDEX(Properties!A$1:CB$87,Formula!D114,54)),IF(INDEX(Properties!A$1:CB$87,Formula!F114,54)=0,10^6,INDEX(Properties!A$1:CB$87,Formula!F114,54)),IF(INDEX(Properties!A$1:CB$87,Formula!H114,54)=0,10^6,INDEX(Properties!A$1:CB$87,Formula!H114,54)),IF(INDEX(Properties!A$1:CB$87,Formula!J114,54)=0,10^6,INDEX(Properties!A$1:CB$87,Formula!J114,54)))</f>
        <v>90.149999999999977</v>
      </c>
      <c r="FG114" s="54">
        <f t="shared" si="58"/>
        <v>1667</v>
      </c>
      <c r="FH114" s="69">
        <f>((Formula!C114)/(Formula!C114+Formula!E114+Formula!G114+Formula!I114+Formula!K114))*(INDEX(Properties!A$1:CB$87,Formula!B114,55))+((Formula!E114)/(Formula!C114+Formula!E114+Formula!G114+Formula!I114+Formula!K114))*(INDEX(Properties!A$1:CB$87,Formula!D114,55))+((Formula!G114)/(Formula!C114+Formula!E114+Formula!G114+Formula!I114+Formula!K114))*(INDEX(Properties!A$1:CB$87,Formula!F114,55))+((Formula!I114)/(Formula!C114+Formula!E114+Formula!G114+Formula!I114+Formula!K114))*(INDEX(Properties!A$1:CB$87,Formula!H114,55))+((Formula!K114)/(Formula!C114+Formula!E114+Formula!G114+Formula!I114+Formula!K114))*(INDEX(Properties!A$1:CB$87,Formula!J114,55))</f>
        <v>0.60510285714285716</v>
      </c>
      <c r="FI114" s="69">
        <f>Formula!C114*(INDEX(Properties!A$1:CB$87,Formula!B114,55))+Formula!E114*(INDEX(Properties!A$1:CB$87,Formula!D114,54))+Formula!G114*(INDEX(Properties!A$1:CB$87,Formula!F114,55))+Formula!I114*(INDEX(Properties!A$1:CB$87,Formula!H114,55))+Formula!K114*(INDEX(Properties!A$1:CB$87,Formula!J114,55))</f>
        <v>1759.83572</v>
      </c>
      <c r="FJ114" s="69">
        <f>VARP(IF(INDEX(Properties!A$1:CB$87,Formula!B114,55)&lt;&gt;"",INDEX(Properties!A$1:CB$87,Formula!B114,55)),IF(INDEX(Properties!A$1:CB$87,Formula!D114,55)&lt;&gt;"",INDEX(Properties!A$1:CB$87,Formula!D114,55)),IF(INDEX(Properties!A$1:CB$87,Formula!F114,55)&lt;&gt;"",INDEX(Properties!A$1:CB$87,Formula!F114,55)),IF(INDEX(Properties!A$1:CB$87,Formula!H114,55)&lt;&gt;"",INDEX(Properties!A$1:CB$87,Formula!H114,55)),IF(INDEX(Properties!A$1:CB$87,Formula!J114,55)&lt;&gt;"",INDEX(Properties!A$1:CB$87,Formula!J114,55)))</f>
        <v>0.57470041518399995</v>
      </c>
      <c r="FK114" s="69">
        <f>MAX(INDEX(Properties!A$1:CB$87,Formula!B114,55),INDEX(Properties!A$1:CB$87,Formula!D114,55),INDEX(Properties!A$1:CB$87,Formula!F114,55),INDEX(Properties!A$1:CB$87,Formula!H114,55),INDEX(Properties!A$1:CB$87,Formula!J114,55))</f>
        <v>1.82</v>
      </c>
      <c r="FL114" s="69">
        <f>MIN(IF(INDEX(Properties!A$1:CB$87,Formula!B114,55)=0,10^6,INDEX(Properties!A$1:CB$87,Formula!B114,55)),IF(INDEX(Properties!A$1:CB$87,Formula!D114,55)=0,10^6,INDEX(Properties!A$1:CB$87,Formula!D114,55)),IF(INDEX(Properties!A$1:CB$87,Formula!F114,55)=0,10^6,INDEX(Properties!A$1:CB$87,Formula!F114,55)),IF(INDEX(Properties!A$1:CB$87,Formula!H114,55)=0,10^6,INDEX(Properties!A$1:CB$87,Formula!H114,55)),IF(INDEX(Properties!A$1:CB$87,Formula!J114,55)=0,10^6,INDEX(Properties!A$1:CB$87,Formula!J114,55)))</f>
        <v>1.4300000000000001E-3</v>
      </c>
      <c r="FM114" s="69">
        <f t="shared" si="59"/>
        <v>1.81857</v>
      </c>
      <c r="FN114" s="42">
        <f>((Formula!C114)/(Formula!C114+Formula!E114+Formula!G114+Formula!I114+Formula!K114))*(INDEX(Properties!A$1:CB$87,Formula!B114,56))+((Formula!E114)/(Formula!C114+Formula!E114+Formula!G114+Formula!I114+Formula!K114))*(INDEX(Properties!A$1:CB$87,Formula!D114,56))+((Formula!G114)/(Formula!C114+Formula!E114+Formula!G114+Formula!I114+Formula!K114))*(INDEX(Properties!A$1:CB$87,Formula!F114,56))+((Formula!I114)/(Formula!C114+Formula!E114+Formula!G114+Formula!I114+Formula!K114))*(INDEX(Properties!A$1:CB$87,Formula!H114,56))+((Formula!K114)/(Formula!C114+Formula!E114+Formula!G114+Formula!I114+Formula!K114))*(INDEX(Properties!A$1:CB$87,Formula!J114,56))</f>
        <v>0.83285714285714274</v>
      </c>
      <c r="FO114" s="42">
        <f>Formula!C114*(INDEX(Properties!A$1:CB$87,Formula!B114,56))+Formula!E114*(INDEX(Properties!A$1:CB$87,Formula!D114,56))+Formula!G114*(INDEX(Properties!A$1:CB$87,Formula!F114,56))+Formula!I114*(INDEX(Properties!A$1:CB$87,Formula!H114,56))+Formula!K114*(INDEX(Properties!A$1:CB$87,Formula!J114,56))</f>
        <v>5.83</v>
      </c>
      <c r="FP114" s="42">
        <f>VARP(IF(INDEX(Properties!A$1:CB$87,Formula!B114,56)&lt;&gt;"",INDEX(Properties!A$1:CB$87,Formula!B114,56)),IF(INDEX(Properties!A$1:CB$87,Formula!D114,56)&lt;&gt;"",INDEX(Properties!A$1:CB$87,Formula!D114,56)),IF(INDEX(Properties!A$1:CB$87,Formula!F114,56)&lt;&gt;"",INDEX(Properties!A$1:CB$87,Formula!F114,56)),IF(INDEX(Properties!A$1:CB$87,Formula!H114,56)&lt;&gt;"",INDEX(Properties!A$1:CB$87,Formula!H114,56)),IF(INDEX(Properties!A$1:CB$87,Formula!J114,56)&lt;&gt;"",INDEX(Properties!A$1:CB$87,Formula!J114,56)))</f>
        <v>0.102744</v>
      </c>
      <c r="FQ114" s="42">
        <f>MAX(INDEX(Properties!A$1:CB$87,Formula!B114,56),INDEX(Properties!A$1:CB$87,Formula!D114,56),INDEX(Properties!A$1:CB$87,Formula!F114,56),INDEX(Properties!A$1:CB$87,Formula!H114,56),INDEX(Properties!A$1:CB$87,Formula!J114,56))</f>
        <v>0.92</v>
      </c>
      <c r="FR114" s="42">
        <f>MIN(IF(INDEX(Properties!A$1:CB$87,Formula!B114,56)=0,10^6,INDEX(Properties!A$1:CB$87,Formula!B114,56)),IF(INDEX(Properties!A$1:CB$87,Formula!D114,56)=0,10^6,INDEX(Properties!A$1:CB$87,Formula!D114,56)),IF(INDEX(Properties!A$1:CB$87,Formula!F114,56)=0,10^6,INDEX(Properties!A$1:CB$87,Formula!F114,56)),IF(INDEX(Properties!A$1:CB$87,Formula!H114,56)=0,10^6,INDEX(Properties!A$1:CB$87,Formula!H114,56)),IF(INDEX(Properties!A$1:CB$87,Formula!J114,56)=0,10^6,INDEX(Properties!A$1:CB$87,Formula!J114,56)))</f>
        <v>0.63</v>
      </c>
      <c r="FS114" s="42">
        <f t="shared" si="60"/>
        <v>0.29000000000000004</v>
      </c>
      <c r="FT114" s="60">
        <f>((Formula!C114)/(Formula!C114+Formula!E114+Formula!G114+Formula!I114+Formula!K114))*(INDEX(Properties!A$1:CB$87,Formula!B114,57))+((Formula!E114)/(Formula!C114+Formula!E114+Formula!G114+Formula!I114+Formula!K114))*(INDEX(Properties!A$1:CB$87,Formula!D114,57))+((Formula!G114)/(Formula!C114+Formula!E114+Formula!G114+Formula!I114+Formula!K114))*(INDEX(Properties!A$1:CB$87,Formula!F114,57))+((Formula!I114)/(Formula!C114+Formula!E114+Formula!G114+Formula!I114+Formula!K114))*(INDEX(Properties!A$1:CB$87,Formula!H114,57))+((Formula!K114)/(Formula!C114+Formula!E114+Formula!G114+Formula!I114+Formula!K114))*(INDEX(Properties!A$1:CB$87,Formula!J114,57))</f>
        <v>1.7744799999999996</v>
      </c>
      <c r="FU114" s="60">
        <f>Formula!C114*(INDEX(Properties!A$1:CB$87,Formula!B114,57))+Formula!E114*(INDEX(Properties!A$1:CB$87,Formula!D114,57))+Formula!G114*(INDEX(Properties!A$1:CB$87,Formula!F114,57))+Formula!I114*(INDEX(Properties!A$1:CB$87,Formula!H114,57))+Formula!K114*(INDEX(Properties!A$1:CB$87,Formula!J114,57))</f>
        <v>12.421359999999998</v>
      </c>
      <c r="FV114" s="60">
        <f>VARP(IF(INDEX(Properties!A$1:CB$87,Formula!B114,57)&lt;&gt;"",INDEX(Properties!A$1:CB$87,Formula!B114,57)),IF(INDEX(Properties!A$1:CB$87,Formula!D114,57)&lt;&gt;"",INDEX(Properties!A$1:CB$87,Formula!D114,57)),IF(INDEX(Properties!A$1:CB$87,Formula!F114,57)&lt;&gt;"",INDEX(Properties!A$1:CB$87,Formula!F114,57)),IF(INDEX(Properties!A$1:CB$87,Formula!H114,57)&lt;&gt;"",INDEX(Properties!A$1:CB$87,Formula!H114,57)),IF(INDEX(Properties!A$1:CB$87,Formula!J114,57)&lt;&gt;"",INDEX(Properties!A$1:CB$87,Formula!J114,57)))</f>
        <v>10.246195146096001</v>
      </c>
      <c r="FW114" s="60">
        <f>MAX(INDEX(Properties!A$1:CB$87,Formula!B114,57),INDEX(Properties!A$1:CB$87,Formula!D114,57),INDEX(Properties!A$1:CB$87,Formula!F114,57),INDEX(Properties!A$1:CB$87,Formula!H114,57),INDEX(Properties!A$1:CB$87,Formula!J114,57))</f>
        <v>8.5399999999999991</v>
      </c>
      <c r="FX114" s="60">
        <f>MIN(IF(INDEX(Properties!A$1:CB$87,Formula!B114,57)=0,10^6,INDEX(Properties!A$1:CB$87,Formula!B114,57)),IF(INDEX(Properties!A$1:CB$87,Formula!D114,57)=0,10^6,INDEX(Properties!A$1:CB$87,Formula!D114,57)),IF(INDEX(Properties!A$1:CB$87,Formula!F114,57)=0,10^6,INDEX(Properties!A$1:CB$87,Formula!F114,57)),IF(INDEX(Properties!A$1:CB$87,Formula!H114,57)=0,10^6,INDEX(Properties!A$1:CB$87,Formula!H114,57)),IF(INDEX(Properties!A$1:CB$87,Formula!J114,57)=0,10^6,INDEX(Properties!A$1:CB$87,Formula!J114,57)))</f>
        <v>0.22259000000000001</v>
      </c>
      <c r="FY114" s="60">
        <f t="shared" si="61"/>
        <v>8.3174099999999989</v>
      </c>
      <c r="FZ114" s="72">
        <f>((Formula!C114)/(Formula!C114+Formula!E114+Formula!G114+Formula!I114+Formula!K114))*(INDEX(Properties!A$1:CB$87,Formula!B114,60))+((Formula!E114)/(Formula!C114+Formula!E114+Formula!G114+Formula!I114+Formula!K114))*(INDEX(Properties!A$1:CB$87,Formula!D114,60))+((Formula!G114)/(Formula!C114+Formula!E114+Formula!G114+Formula!I114+Formula!K114))*(INDEX(Properties!A$1:CB$87,Formula!F114,60))+((Formula!I114)/(Formula!C114+Formula!E114+Formula!G114+Formula!I114+Formula!K114))*(INDEX(Properties!A$1:CB$87,Formula!H114,60))+((Formula!K114)/(Formula!C114+Formula!E114+Formula!G114+Formula!I114+Formula!K114))*(INDEX(Properties!A$1:CB$87,Formula!J114,60))</f>
        <v>43.24885142857142</v>
      </c>
      <c r="GA114" s="72">
        <f>Formula!C114*(INDEX(Properties!A$1:CB$87,Formula!B114,60))+Formula!E114*(INDEX(Properties!A$1:CB$87,Formula!D114,60))+Formula!G114*(INDEX(Properties!A$1:CB$87,Formula!F114,60))+Formula!I114*(INDEX(Properties!A$1:CB$87,Formula!H114,60))+Formula!K114*(INDEX(Properties!A$1:CB$87,Formula!J114,60))</f>
        <v>302.74196000000001</v>
      </c>
      <c r="GB114" s="72">
        <f>VARP(IF(INDEX(Properties!A$1:CB$87,Formula!B114,60)&lt;&gt;"",INDEX(Properties!A$1:CB$87,Formula!B114,60)),IF(INDEX(Properties!A$1:CB$87,Formula!D114,60)&lt;&gt;"",INDEX(Properties!A$1:CB$87,Formula!D114,60)),IF(INDEX(Properties!A$1:CB$87,Formula!F114,60)&lt;&gt;"",INDEX(Properties!A$1:CB$87,Formula!F114,60)),IF(INDEX(Properties!A$1:CB$87,Formula!H114,60)&lt;&gt;"",INDEX(Properties!A$1:CB$87,Formula!H114,60)),IF(INDEX(Properties!A$1:CB$87,Formula!J114,60)&lt;&gt;"",INDEX(Properties!A$1:CB$87,Formula!J114,60)))</f>
        <v>6432.9980336124145</v>
      </c>
      <c r="GC114" s="72">
        <f>MAX(INDEX(Properties!A$1:CB$87,Formula!B114,60),INDEX(Properties!A$1:CB$87,Formula!D114,60),INDEX(Properties!A$1:CB$87,Formula!F114,60),INDEX(Properties!A$1:CB$87,Formula!H114,60),INDEX(Properties!A$1:CB$87,Formula!J114,60))</f>
        <v>200</v>
      </c>
      <c r="GD114" s="72">
        <f>MIN(IF(INDEX(Properties!A$1:CB$87,Formula!B114,60)=0,10^6,INDEX(Properties!A$1:CB$87,Formula!B114,60)),IF(INDEX(Properties!A$1:CB$87,Formula!D114,60)=0,10^6,INDEX(Properties!A$1:CB$87,Formula!D114,60)),IF(INDEX(Properties!A$1:CB$87,Formula!F114,60)=0,10^6,INDEX(Properties!A$1:CB$87,Formula!F114,60)),IF(INDEX(Properties!A$1:CB$87,Formula!H114,60)=0,10^6,INDEX(Properties!A$1:CB$87,Formula!H114,60)),IF(INDEX(Properties!A$1:CB$87,Formula!J114,60)=0,10^6,INDEX(Properties!A$1:CB$87,Formula!J114,60)))</f>
        <v>2.674E-2</v>
      </c>
      <c r="GE114" s="72">
        <f t="shared" si="62"/>
        <v>199.97326000000001</v>
      </c>
      <c r="GF114" s="51">
        <f>((Formula!C114)/(Formula!C114+Formula!E114+Formula!G114+Formula!I114+Formula!K114))*(INDEX(Properties!A$1:CB$87,Formula!B114,62))+((Formula!E114)/(Formula!C114+Formula!E114+Formula!G114+Formula!I114+Formula!K114))*(INDEX(Properties!A$1:CB$87,Formula!D114,62))+((Formula!G114)/(Formula!C114+Formula!E114+Formula!G114+Formula!I114+Formula!K114))*(INDEX(Properties!A$1:CB$87,Formula!F114,62))+((Formula!I114)/(Formula!C114+Formula!E114+Formula!G114+Formula!I114+Formula!K114))*(INDEX(Properties!A$1:CB$87,Formula!H114,62))+((Formula!K114)/(Formula!C114+Formula!E114+Formula!G114+Formula!I114+Formula!K114))*(INDEX(Properties!A$1:CB$87,Formula!J114,62))</f>
        <v>2.3834285714285715</v>
      </c>
      <c r="GG114" s="51">
        <f>Formula!C114*(INDEX(Properties!A$1:CB$87,Formula!B114,62))+Formula!E114*(INDEX(Properties!A$1:CB$87,Formula!D114,62))+Formula!G114*(INDEX(Properties!A$1:CB$87,Formula!F114,62))+Formula!I114*(INDEX(Properties!A$1:CB$87,Formula!H114,62))+Formula!K114*(INDEX(Properties!A$1:CB$87,Formula!J114,62))</f>
        <v>16.684000000000001</v>
      </c>
      <c r="GH114" s="51">
        <f>VARP(IF(INDEX(Properties!A$1:CB$87,Formula!B114,62)&lt;&gt;"",INDEX(Properties!A$1:CB$87,Formula!B114,62)),IF(INDEX(Properties!A$1:CB$87,Formula!D114,62)&lt;&gt;"",INDEX(Properties!A$1:CB$87,Formula!D114,62)),IF(INDEX(Properties!A$1:CB$87,Formula!F114,62)&lt;&gt;"",INDEX(Properties!A$1:CB$87,Formula!F114,62)),IF(INDEX(Properties!A$1:CB$87,Formula!H114,62)&lt;&gt;"",INDEX(Properties!A$1:CB$87,Formula!H114,62)),IF(INDEX(Properties!A$1:CB$87,Formula!J114,62)&lt;&gt;"",INDEX(Properties!A$1:CB$87,Formula!J114,62)))</f>
        <v>1.4629321599999991</v>
      </c>
      <c r="GI114" s="51">
        <f>MAX(INDEX(Properties!A$1:CB$87,Formula!B114,62),INDEX(Properties!A$1:CB$87,Formula!D114,62),INDEX(Properties!A$1:CB$87,Formula!F114,62),INDEX(Properties!A$1:CB$87,Formula!H114,62),INDEX(Properties!A$1:CB$87,Formula!J114,62))</f>
        <v>3.43</v>
      </c>
      <c r="GJ114" s="51">
        <f>MIN(IF(INDEX(Properties!A$1:CB$87,Formula!B114,62)=0,10^6,INDEX(Properties!A$1:CB$87,Formula!B114,62)),IF(INDEX(Properties!A$1:CB$87,Formula!D114,62)=0,10^6,INDEX(Properties!A$1:CB$87,Formula!D114,62)),IF(INDEX(Properties!A$1:CB$87,Formula!F114,62)=0,10^6,INDEX(Properties!A$1:CB$87,Formula!F114,62)),IF(INDEX(Properties!A$1:CB$87,Formula!H114,62)=0,10^6,INDEX(Properties!A$1:CB$87,Formula!H114,62)),IF(INDEX(Properties!A$1:CB$87,Formula!J114,62)=0,10^6,INDEX(Properties!A$1:CB$87,Formula!J114,62)))</f>
        <v>0.93400000000000005</v>
      </c>
      <c r="GK114" s="51">
        <f t="shared" si="63"/>
        <v>2.496</v>
      </c>
      <c r="GL114" s="51">
        <f>Formula!P114</f>
        <v>164</v>
      </c>
      <c r="GM114" s="57">
        <f>Formula!O114</f>
        <v>5</v>
      </c>
      <c r="GN114" s="51">
        <f>Formula!N114</f>
        <v>5.0000000000000001E-3</v>
      </c>
    </row>
    <row r="115" spans="1:196" x14ac:dyDescent="0.3">
      <c r="A115" s="84" t="str">
        <f>Formula!A115</f>
        <v>LiAl4O8</v>
      </c>
      <c r="B115" s="89">
        <f>((Formula!C115)/(Formula!C115+Formula!E115+Formula!G115+Formula!I115+Formula!K115))*(INDEX(Properties!A$1:CB$87,Formula!B115,3))+((Formula!E115)/(Formula!C115+Formula!E115+Formula!G115+Formula!I115+Formula!K115))*(INDEX(Properties!A$1:CB$87,Formula!D115,3))+((Formula!G115)/(Formula!C115+Formula!E115+Formula!G115+Formula!I115+Formula!K115))*(INDEX(Properties!A$1:CB$87,Formula!F115,3))+((Formula!I115)/(Formula!C115+Formula!E115+Formula!G115+Formula!I115+Formula!K115))*(INDEX(Properties!A$1:CB$87,Formula!H115,3))+((Formula!K115)/(Formula!C115+Formula!E115+Formula!G115+Formula!I115+Formula!K115))*(INDEX(Properties!A$1:CB$87,Formula!J115,3))</f>
        <v>18.681719692307695</v>
      </c>
      <c r="C115" s="85">
        <f>Formula!C115*(INDEX(Properties!A$1:CB$87,Formula!B115,3))+Formula!E115*(INDEX(Properties!A$1:CB$87,Formula!D115,3))+Formula!G115*(INDEX(Properties!A$1:CB$87,Formula!F115,3))+Formula!I115*(INDEX(Properties!A$1:CB$87,Formula!H115,3))+Formula!K115*(INDEX(Properties!A$1:CB$87,Formula!J115,3))</f>
        <v>242.86235600000001</v>
      </c>
      <c r="D115" s="85">
        <f>VARP(IF(INDEX(Properties!A$1:CB$87,Formula!B115,3)&lt;&gt;"",INDEX(Properties!A$1:CB$87,Formula!B115,3)),IF(INDEX(Properties!A$1:CB$87,Formula!D115,3)&lt;&gt;"",INDEX(Properties!A$1:CB$87,Formula!D115,3)),IF(INDEX(Properties!A$1:CB$87,Formula!F115,3)&lt;&gt;"",INDEX(Properties!A$1:CB$87,Formula!F115,3)),IF(INDEX(Properties!A$1:CB$87,Formula!H115,3)&lt;&gt;"",INDEX(Properties!A$1:CB$87,Formula!H115,3)),IF(INDEX(Properties!A$1:CB$87,Formula!J115,3)&lt;&gt;"",INDEX(Properties!A$1:CB$87,Formula!J115,3)))</f>
        <v>106.74434589291539</v>
      </c>
      <c r="E115" s="85">
        <f>MAX(INDEX(Properties!A$1:CB$87,Formula!B115,3),INDEX(Properties!A$1:CB$87,Formula!D115,3),INDEX(Properties!A$1:CB$87,Formula!F115,3),INDEX(Properties!A$1:CB$87,Formula!H115,3),INDEX(Properties!A$1:CB$87,Formula!J115,3))</f>
        <v>26.981539000000001</v>
      </c>
      <c r="F115" s="85">
        <f>MIN(IF(INDEX(Properties!A$1:CB$87,Formula!B115,3)=0,10^6,INDEX(Properties!A$1:CB$87,Formula!B115,3)),IF(INDEX(Properties!A$1:CB$87,Formula!D115,3)=0,10^6,INDEX(Properties!A$1:CB$87,Formula!D115,3)),IF(INDEX(Properties!A$1:CB$87,Formula!F115,3)=0,10^6,INDEX(Properties!A$1:CB$87,Formula!F115,3)),IF(INDEX(Properties!A$1:CB$87,Formula!H115,3)=0,10^6,INDEX(Properties!A$1:CB$87,Formula!H115,3)),IF(INDEX(Properties!A$1:CB$87,Formula!J115,3)=0,10^6,INDEX(Properties!A$1:CB$87,Formula!J115,3)))</f>
        <v>6.9409999999999998</v>
      </c>
      <c r="G115" s="85">
        <f t="shared" si="32"/>
        <v>20.040539000000003</v>
      </c>
      <c r="H115" s="87">
        <f>((Formula!C115)/(Formula!C115+Formula!E115+Formula!G115+Formula!I115+Formula!K115))*(INDEX(Properties!A$1:CB$87,Formula!B115,4))+((Formula!E115)/(Formula!C115+Formula!E115+Formula!G115+Formula!I115+Formula!K115))*(INDEX(Properties!A$1:CB$87,Formula!D115,4))+((Formula!G115)/(Formula!C115+Formula!E115+Formula!G115+Formula!I115+Formula!K115))*(INDEX(Properties!A$1:CB$87,Formula!F115,4))+((Formula!I115)/(Formula!C115+Formula!E115+Formula!G115+Formula!I115+Formula!K115))*(INDEX(Properties!A$1:CB$87,Formula!H115,4))+((Formula!K115)/(Formula!C115+Formula!E115+Formula!G115+Formula!I115+Formula!K115))*(INDEX(Properties!A$1:CB$87,Formula!J115,4))</f>
        <v>9.1538461538461533</v>
      </c>
      <c r="I115" s="87">
        <f>Formula!C115*(INDEX(Properties!A$1:CB$87,Formula!B115,4))+Formula!E115*(INDEX(Properties!A$1:CB$87,Formula!D115,4))+Formula!G115*(INDEX(Properties!A$1:CB$87,Formula!F115,4))+Formula!I115*(INDEX(Properties!A$1:CB$87,Formula!H115,4))+Formula!K115*(INDEX(Properties!A$1:CB$87,Formula!J115,4))</f>
        <v>119</v>
      </c>
      <c r="J115" s="87">
        <f>VARP(IF(INDEX(Properties!A$1:CB$87,Formula!B115,4)&lt;&gt;"",INDEX(Properties!A$1:CB$87,Formula!B115,4)),IF(INDEX(Properties!A$1:CB$87,Formula!D115,4)&lt;&gt;"",INDEX(Properties!A$1:CB$87,Formula!D115,4)),IF(INDEX(Properties!A$1:CB$87,Formula!F115,4)&lt;&gt;"",INDEX(Properties!A$1:CB$87,Formula!F115,4)),IF(INDEX(Properties!A$1:CB$87,Formula!H115,4)&lt;&gt;"",INDEX(Properties!A$1:CB$87,Formula!H115,4)),IF(INDEX(Properties!A$1:CB$87,Formula!J115,4)&lt;&gt;"",INDEX(Properties!A$1:CB$87,Formula!J115,4)))</f>
        <v>25.36</v>
      </c>
      <c r="K115" s="87">
        <f>MAX(INDEX(Properties!A$1:CB$87,Formula!B115,4),INDEX(Properties!A$1:CB$87,Formula!D115,4),INDEX(Properties!A$1:CB$87,Formula!F115,4),INDEX(Properties!A$1:CB$87,Formula!H115,4),INDEX(Properties!A$1:CB$87,Formula!J115,4))</f>
        <v>13</v>
      </c>
      <c r="L115" s="87">
        <f>MIN(IF(INDEX(Properties!A$1:CB$87,Formula!B115,4)=0,10^6,INDEX(Properties!A$1:CB$87,Formula!B115,4)),IF(INDEX(Properties!A$1:CB$87,Formula!D115,4)=0,10^6,INDEX(Properties!A$1:CB$87,Formula!D115,4)),IF(INDEX(Properties!A$1:CB$87,Formula!F115,4)=0,10^6,INDEX(Properties!A$1:CB$87,Formula!F115,4)),IF(INDEX(Properties!A$1:CB$87,Formula!H115,4)=0,10^6,INDEX(Properties!A$1:CB$87,Formula!H115,4)),IF(INDEX(Properties!A$1:CB$87,Formula!J115,4)=0,10^6,INDEX(Properties!A$1:CB$87,Formula!J115,4)))</f>
        <v>3</v>
      </c>
      <c r="M115" s="87">
        <f t="shared" si="33"/>
        <v>10</v>
      </c>
      <c r="N115" s="89">
        <f>((Formula!C115)/(Formula!C115+Formula!E115+Formula!G115+Formula!I115+Formula!K115))*(INDEX(Properties!A$1:CB$87,Formula!B115,5))+((Formula!E115)/(Formula!C115+Formula!E115+Formula!G115+Formula!I115+Formula!K115))*(INDEX(Properties!A$1:CB$87,Formula!D115,5))+((Formula!G115)/(Formula!C115+Formula!E115+Formula!G115+Formula!I115+Formula!K115))*(INDEX(Properties!A$1:CB$87,Formula!F115,5))+((Formula!I115)/(Formula!C115+Formula!E115+Formula!G115+Formula!I115+Formula!K115))*(INDEX(Properties!A$1:CB$87,Formula!H115,5))+((Formula!K115)/(Formula!C115+Formula!E115+Formula!G115+Formula!I115+Formula!K115))*(INDEX(Properties!A$1:CB$87,Formula!J115,5))</f>
        <v>2.3076923076923079</v>
      </c>
      <c r="O115" s="89">
        <f>Formula!C115*(INDEX(Properties!A$1:CB$87,Formula!B115,5))+Formula!E115*(INDEX(Properties!A$1:CB$87,Formula!D115,5))+Formula!G115*(INDEX(Properties!A$1:CB$87,Formula!F115,5))+Formula!I115*(INDEX(Properties!A$1:CB$87,Formula!H115,5))+Formula!K115*(INDEX(Properties!A$1:CB$87,Formula!J115,5))</f>
        <v>30</v>
      </c>
      <c r="P115" s="89">
        <f>VARP(IF(INDEX(Properties!A$1:CB$87,Formula!B115,5)&lt;&gt;"",INDEX(Properties!A$1:CB$87,Formula!B115,5)),IF(INDEX(Properties!A$1:CB$87,Formula!D115,5)&lt;&gt;"",INDEX(Properties!A$1:CB$87,Formula!D115,5)),IF(INDEX(Properties!A$1:CB$87,Formula!F115,5)&lt;&gt;"",INDEX(Properties!A$1:CB$87,Formula!F115,5)),IF(INDEX(Properties!A$1:CB$87,Formula!H115,5)&lt;&gt;"",INDEX(Properties!A$1:CB$87,Formula!H115,5)),IF(INDEX(Properties!A$1:CB$87,Formula!J115,5)&lt;&gt;"",INDEX(Properties!A$1:CB$87,Formula!J115,5)))</f>
        <v>1.44</v>
      </c>
      <c r="Q115" s="89">
        <f>MAX(INDEX(Properties!A$1:CB$87,Formula!B115,5),INDEX(Properties!A$1:CB$87,Formula!D115,5),INDEX(Properties!A$1:CB$87,Formula!F115,5),INDEX(Properties!A$1:CB$87,Formula!H115,5),INDEX(Properties!A$1:CB$87,Formula!J115,5))</f>
        <v>3</v>
      </c>
      <c r="R115" s="89">
        <f>MIN(IF(INDEX(Properties!A$1:CB$87,Formula!B115,5)=0,10^6,INDEX(Properties!A$1:CB$87,Formula!B115,5)),IF(INDEX(Properties!A$1:CB$87,Formula!D115,5)=0,10^6,INDEX(Properties!A$1:CB$87,Formula!D115,5)),IF(INDEX(Properties!A$1:CB$87,Formula!F115,5)=0,10^6,INDEX(Properties!A$1:CB$87,Formula!F115,5)),IF(INDEX(Properties!A$1:CB$87,Formula!H115,5)=0,10^6,INDEX(Properties!A$1:CB$87,Formula!H115,5)),IF(INDEX(Properties!A$1:CB$87,Formula!J115,5)=0,10^6,INDEX(Properties!A$1:CB$87,Formula!J115,5)))</f>
        <v>2</v>
      </c>
      <c r="S115" s="89">
        <f t="shared" si="34"/>
        <v>1</v>
      </c>
      <c r="T115" s="60">
        <f>((Formula!C115)/(Formula!C115+Formula!E115+Formula!G115+Formula!I115+Formula!K115))*(INDEX(Properties!A$1:CB$87,Formula!B115,6))+((Formula!E115)/(Formula!C115+Formula!E115+Formula!G115+Formula!I115+Formula!K115))*(INDEX(Properties!A$1:CB$87,Formula!D115,6))+((Formula!G115)/(Formula!C115+Formula!E115+Formula!G115+Formula!I115+Formula!K115))*(INDEX(Properties!A$1:CB$87,Formula!F115,6))+((Formula!I115)/(Formula!C115+Formula!E115+Formula!G115+Formula!I115+Formula!K115))*(INDEX(Properties!A$1:CB$87,Formula!H115,6))+((Formula!K115)/(Formula!C115+Formula!E115+Formula!G115+Formula!I115+Formula!K115))*(INDEX(Properties!A$1:CB$87,Formula!J115,6))</f>
        <v>13.923076923076923</v>
      </c>
      <c r="U115" s="60">
        <f>Formula!C115*(INDEX(Properties!A$1:CB$87,Formula!B115,6))+Formula!E115*(INDEX(Properties!A$1:CB$87,Formula!D115,6))+Formula!G115*(INDEX(Properties!A$1:CB$87,Formula!F115,6))+Formula!I115*(INDEX(Properties!A$1:CB$87,Formula!H115,6))+Formula!K115*(INDEX(Properties!A$1:CB$87,Formula!J115,6))</f>
        <v>181</v>
      </c>
      <c r="V115" s="89">
        <f>VARP(IF(INDEX(Properties!A$1:CB$87,Formula!B115,6)&lt;&gt;"",INDEX(Properties!A$1:CB$87,Formula!B115,6)),IF(INDEX(Properties!A$1:CB$87,Formula!D115,6)&lt;&gt;"",INDEX(Properties!A$1:CB$87,Formula!D115,6)),IF(INDEX(Properties!A$1:CB$87,Formula!F115,6)&lt;&gt;"",INDEX(Properties!A$1:CB$87,Formula!F115,6)),IF(INDEX(Properties!A$1:CB$87,Formula!H115,6)&lt;&gt;"",INDEX(Properties!A$1:CB$87,Formula!H115,6)),IF(INDEX(Properties!A$1:CB$87,Formula!J115,6)&lt;&gt;"",INDEX(Properties!A$1:CB$87,Formula!J115,6)))</f>
        <v>49.2</v>
      </c>
      <c r="W115" s="60">
        <f>MAX(INDEX(Properties!A$1:CB$87,Formula!B115,6),INDEX(Properties!A$1:CB$87,Formula!D115,6),INDEX(Properties!A$1:CB$87,Formula!F115,6),INDEX(Properties!A$1:CB$87,Formula!H115,4),INDEX(Properties!A$1:CB$87,Formula!J115,6))</f>
        <v>16</v>
      </c>
      <c r="X115" s="60">
        <f>MIN(IF(INDEX(Properties!A$1:CB$87,Formula!B115,6)=0,10^6,INDEX(Properties!A$1:CB$87,Formula!B115,6)),IF(INDEX(Properties!A$1:CB$87,Formula!D115,6)=0,10^6,INDEX(Properties!A$1:CB$87,Formula!D115,6)),IF(INDEX(Properties!A$1:CB$87,Formula!F115,6)=0,10^6,INDEX(Properties!A$1:CB$87,Formula!F115,6)),IF(INDEX(Properties!A$1:CB$87,Formula!H115,6)=0,10^6,INDEX(Properties!A$1:CB$87,Formula!H115,6)),IF(INDEX(Properties!A$1:CB$87,Formula!J115,6)=0,10^6,INDEX(Properties!A$1:CB$87,Formula!J115,6)))</f>
        <v>1</v>
      </c>
      <c r="Y115" s="60">
        <f t="shared" si="35"/>
        <v>15</v>
      </c>
      <c r="Z115" s="72">
        <f>((Formula!C115)/(Formula!C115+Formula!E115+Formula!G115+Formula!I115+Formula!K115))*(INDEX(Properties!A$1:CB$87,Formula!B115,9))+((Formula!E115)/(Formula!C115+Formula!E115+Formula!G115+Formula!I115+Formula!K115))*(INDEX(Properties!A$1:CB$87,Formula!D115,9))+((Formula!G115)/(Formula!C115+Formula!E115+Formula!G115+Formula!I115+Formula!K115))*(INDEX(Properties!A$1:CB$87,Formula!F115,9))+((Formula!I115)/(Formula!C115+Formula!E115+Formula!G115+Formula!I115+Formula!K115))*(INDEX(Properties!A$1:CB$87,Formula!H115,9))+((Formula!K115)/(Formula!C115+Formula!E115+Formula!G115+Formula!I115+Formula!K115))*(INDEX(Properties!A$1:CB$87,Formula!J115,9))</f>
        <v>76.07692307692308</v>
      </c>
      <c r="AA115" s="72">
        <f>Formula!C115*(INDEX(Properties!A$1:CB$87,Formula!B115,9))+Formula!E115*(INDEX(Properties!A$1:CB$87,Formula!D115,9))+Formula!G115*(INDEX(Properties!A$1:CB$87,Formula!F115,9))+Formula!I115*(INDEX(Properties!A$1:CB$87,Formula!H115,9))+Formula!K115*(INDEX(Properties!A$1:CB$87,Formula!J115,9))</f>
        <v>989</v>
      </c>
      <c r="AB115" s="72">
        <f>VARP(IF(INDEX(Properties!A$1:CB$87,Formula!B115,9)&lt;&gt;"",INDEX(Properties!A$1:CB$87,Formula!B115,9)),IF(INDEX(Properties!A$1:CB$87,Formula!D115,9)&lt;&gt;"",INDEX(Properties!A$1:CB$87,Formula!D115,9)),IF(INDEX(Properties!A$1:CB$87,Formula!F115,9)&lt;&gt;"",INDEX(Properties!A$1:CB$87,Formula!F115,9)),IF(INDEX(Properties!A$1:CB$87,Formula!H115,9)&lt;&gt;"",INDEX(Properties!A$1:CB$87,Formula!H115,9)),IF(INDEX(Properties!A$1:CB$87,Formula!J115,9)&lt;&gt;"",INDEX(Properties!A$1:CB$87,Formula!J115,9)))</f>
        <v>1542.96</v>
      </c>
      <c r="AC115" s="72">
        <f>MAX(INDEX(Properties!A$1:CB$87,Formula!B115,9),INDEX(Properties!A$1:CB$87,Formula!D115,9),INDEX(Properties!A$1:CB$87,Formula!F115,9),INDEX(Properties!A$1:CB$87,Formula!H115,9),INDEX(Properties!A$1:CB$87,Formula!J115,9))</f>
        <v>87</v>
      </c>
      <c r="AD115" s="72">
        <f>MIN(IF(INDEX(Properties!A$1:CB$87,Formula!B115,9)=0,10^6,INDEX(Properties!A$1:CB$87,Formula!B115,9)),IF(INDEX(Properties!A$1:CB$87,Formula!D115,9)=0,10^6,INDEX(Properties!A$1:CB$87,Formula!D115,9)),IF(INDEX(Properties!A$1:CB$87,Formula!F115,9)=0,10^6,INDEX(Properties!A$1:CB$87,Formula!F115,9)),IF(INDEX(Properties!A$1:CB$87,Formula!H115,9)=0,10^6,INDEX(Properties!A$1:CB$87,Formula!H115,9)),IF(INDEX(Properties!A$1:CB$87,Formula!J115,9)=0,10^6,INDEX(Properties!A$1:CB$87,Formula!J115,9)))</f>
        <v>1</v>
      </c>
      <c r="AE115" s="72">
        <f t="shared" si="36"/>
        <v>86</v>
      </c>
      <c r="AF115" s="51">
        <f>((Formula!C115)/(Formula!C115+Formula!E115+Formula!G115+Formula!I115+Formula!K115))*(INDEX(Properties!A$1:CB$87,Formula!B115,10))+((Formula!E115)/(Formula!C115+Formula!E115+Formula!G115+Formula!I115+Formula!K115))*(INDEX(Properties!A$1:CB$87,Formula!D115,10))+((Formula!G115)/(Formula!C115+Formula!E115+Formula!G115+Formula!I115+Formula!K115))*(INDEX(Properties!A$1:CB$87,Formula!F115,10))+((Formula!I115)/(Formula!C115+Formula!E115+Formula!G115+Formula!I115+Formula!K115))*(INDEX(Properties!A$1:CB$87,Formula!H115,10))+((Formula!K115)/(Formula!C115+Formula!E115+Formula!G115+Formula!I115+Formula!K115))*(INDEX(Properties!A$1:CB$87,Formula!J115,10))</f>
        <v>5.9230769230769234</v>
      </c>
      <c r="AG115" s="51">
        <f>Formula!C115*(INDEX(Properties!A$1:CB$87,Formula!B115,10))+Formula!E115*(INDEX(Properties!A$1:CB$87,Formula!D115,10))+Formula!G115*(INDEX(Properties!A$1:CB$87,Formula!F115,10))+Formula!I115*(INDEX(Properties!A$1:CB$87,Formula!H115,10))+Formula!K115*(INDEX(Properties!A$1:CB$87,Formula!J115,10))</f>
        <v>77</v>
      </c>
      <c r="AH115" s="51">
        <f>VARP(IF(INDEX(Properties!A$1:CB$87,Formula!B115,10)&lt;&gt;"",INDEX(Properties!A$1:CB$87,Formula!B115,10)),IF(INDEX(Properties!A$1:CB$87,Formula!D115,10)&lt;&gt;"",INDEX(Properties!A$1:CB$87,Formula!D115,10)),IF(INDEX(Properties!A$1:CB$87,Formula!F115,10)&lt;&gt;"",INDEX(Properties!A$1:CB$87,Formula!F115,10)),IF(INDEX(Properties!A$1:CB$87,Formula!H115,10)&lt;&gt;"",INDEX(Properties!A$1:CB$87,Formula!H115,10)),IF(INDEX(Properties!A$1:CB$87,Formula!J115,10)&lt;&gt;"",INDEX(Properties!A$1:CB$87,Formula!J115,10)))</f>
        <v>8.24</v>
      </c>
      <c r="AI115" s="51">
        <f>MAX(INDEX(Properties!A$1:CB$87,Formula!B115,10),INDEX(Properties!A$1:CB$87,Formula!D115,10),INDEX(Properties!A$1:CB$87,Formula!F115,10),INDEX(Properties!A$1:CB$87,Formula!H115,10),INDEX(Properties!A$1:CB$87,Formula!J115,10))</f>
        <v>7</v>
      </c>
      <c r="AJ115" s="51">
        <f>MIN(IF(INDEX(Properties!A$1:CB$87,Formula!B115,10)=0,10^6,INDEX(Properties!A$1:CB$87,Formula!B115,10)),IF(INDEX(Properties!A$1:CB$87,Formula!D115,10)=0,10^6,INDEX(Properties!A$1:CB$87,Formula!D115,10)),IF(INDEX(Properties!A$1:CB$87,Formula!F115,10)=0,10^6,INDEX(Properties!A$1:CB$87,Formula!F115,10)),IF(INDEX(Properties!A$1:CB$87,Formula!H115,10)=0,10^6,INDEX(Properties!A$1:CB$87,Formula!H115,10)),IF(INDEX(Properties!A$1:CB$87,Formula!J115,10)=0,10^6,INDEX(Properties!A$1:CB$87,Formula!J115,10)))</f>
        <v>1</v>
      </c>
      <c r="AK115" s="51">
        <f t="shared" si="37"/>
        <v>6</v>
      </c>
      <c r="AL115" s="57">
        <f>((Formula!C115)/(Formula!C115+Formula!E115+Formula!G115+Formula!I115+Formula!K115))*(INDEX(Properties!A$1:CB$87,Formula!B115,11))+((Formula!E115)/(Formula!C115+Formula!E115+Formula!G115+Formula!I115+Formula!K115))*(INDEX(Properties!A$1:CB$87,Formula!D115,11))+((Formula!G115)/(Formula!C115+Formula!E115+Formula!G115+Formula!I115+Formula!K115))*(INDEX(Properties!A$1:CB$87,Formula!F115,11))+((Formula!I115)/(Formula!C115+Formula!E115+Formula!G115+Formula!I115+Formula!K115))*(INDEX(Properties!A$1:CB$87,Formula!H115,11))+((Formula!K115)/(Formula!C115+Formula!E115+Formula!G115+Formula!I115+Formula!K115))*(INDEX(Properties!A$1:CB$87,Formula!J115,11))</f>
        <v>1.9230769230769231</v>
      </c>
      <c r="AM115" s="57">
        <f>Formula!C115*(INDEX(Properties!A$1:CB$87,Formula!B115,11))+Formula!E115*(INDEX(Properties!A$1:CB$87,Formula!D115,11))+Formula!G115*(INDEX(Properties!A$1:CB$87,Formula!F115,11))+Formula!I115*(INDEX(Properties!A$1:CB$87,Formula!H115,11))+Formula!K115*(INDEX(Properties!A$1:CB$87,Formula!J115,11))</f>
        <v>25</v>
      </c>
      <c r="AN115" s="57">
        <f>VARP(IF(INDEX(Properties!A$1:CB$87,Formula!B115,11)&lt;&gt;"",INDEX(Properties!A$1:CB$87,Formula!B115,11)),IF(INDEX(Properties!A$1:CB$87,Formula!D115,11)&lt;&gt;"",INDEX(Properties!A$1:CB$87,Formula!D115,11)),IF(INDEX(Properties!A$1:CB$87,Formula!F115,11)&lt;&gt;"",INDEX(Properties!A$1:CB$87,Formula!F115,11)),IF(INDEX(Properties!A$1:CB$87,Formula!H115,11)&lt;&gt;"",INDEX(Properties!A$1:CB$87,Formula!H115,11)),IF(INDEX(Properties!A$1:CB$87,Formula!J115,11)&lt;&gt;"",INDEX(Properties!A$1:CB$87,Formula!J115,11)))</f>
        <v>0.8</v>
      </c>
      <c r="AO115" s="57">
        <f>MAX(INDEX(Properties!A$1:CB$87,Formula!B115,11),INDEX(Properties!A$1:CB$87,Formula!D115,11),INDEX(Properties!A$1:CB$87,Formula!F115,11),INDEX(Properties!A$1:CB$87,Formula!H115,11),INDEX(Properties!A$1:CB$87,Formula!J115,11))</f>
        <v>2</v>
      </c>
      <c r="AP115" s="57">
        <f>MIN(IF(Formula!B115=87,10^6,INDEX(Properties!A$1:CB$87,Formula!B115,11)),IF((Formula!D115)=87,10^6,INDEX(Properties!A$1:CB$87,Formula!D115,11)),IF((Formula!F115)=87,10^6,INDEX(Properties!A$1:CB$87,Formula!F115,11)),IF((Formula!H115)=87,10^6,INDEX(Properties!A$1:CB$87,Formula!H115,11)),IF(Formula!J115=87,10^6,INDEX(Properties!A$1:CB$87,Formula!J115,11)))</f>
        <v>1</v>
      </c>
      <c r="AQ115" s="57">
        <f t="shared" si="38"/>
        <v>1</v>
      </c>
      <c r="AR115" s="78">
        <f>((Formula!C115)/(Formula!C115+Formula!E115+Formula!G115+Formula!I115+Formula!K115))*(INDEX(Properties!A$1:CB$87,Formula!B115,12))+((Formula!E115)/(Formula!C115+Formula!E115+Formula!G115+Formula!I115+Formula!K115))*(INDEX(Properties!A$1:CB$87,Formula!D115,12))+((Formula!G115)/(Formula!C115+Formula!E115+Formula!G115+Formula!I115+Formula!K115))*(INDEX(Properties!A$1:CB$87,Formula!F115,12))+((Formula!I115)/(Formula!C115+Formula!E115+Formula!G115+Formula!I115+Formula!K115))*(INDEX(Properties!A$1:CB$87,Formula!H115,12))+((Formula!K115)/(Formula!C115+Formula!E115+Formula!G115+Formula!I115+Formula!K115))*(INDEX(Properties!A$1:CB$87,Formula!J115,12))</f>
        <v>2.7692307692307692</v>
      </c>
      <c r="AS115" s="78">
        <f>Formula!C115*(INDEX(Properties!A$1:CB$87,Formula!B115,12))+Formula!E115*(INDEX(Properties!A$1:CB$87,Formula!D115,12))+Formula!G115*(INDEX(Properties!A$1:CB$87,Formula!F115,12))+Formula!I115*(INDEX(Properties!A$1:CB$87,Formula!H115,12))+Formula!K115*(INDEX(Properties!A$1:CB$87,Formula!J115,12))</f>
        <v>36</v>
      </c>
      <c r="AT115" s="78">
        <f>VARP(IF(INDEX(Properties!A$1:CB$87,Formula!B115,12)&lt;&gt;"",INDEX(Properties!A$1:CB$87,Formula!B115,12)),IF(INDEX(Properties!A$1:CB$87,Formula!D115,12)&lt;&gt;"",INDEX(Properties!A$1:CB$87,Formula!D115,12)),IF(INDEX(Properties!A$1:CB$87,Formula!F115,12)&lt;&gt;"",INDEX(Properties!A$1:CB$87,Formula!F115,12)),IF(INDEX(Properties!A$1:CB$87,Formula!H115,12)&lt;&gt;"",INDEX(Properties!A$1:CB$87,Formula!H115,12)),IF(INDEX(Properties!A$1:CB$87,Formula!J115,12)&lt;&gt;"",INDEX(Properties!A$1:CB$87,Formula!J115,12)))</f>
        <v>2.4</v>
      </c>
      <c r="AU115" s="78">
        <f>MAX(INDEX(Properties!A$1:CB$87,Formula!B115,12),INDEX(Properties!A$1:CB$87,Formula!D115,12),INDEX(Properties!A$1:CB$87,Formula!F115,12),INDEX(Properties!A$1:CB$87,Formula!H115,12),INDEX(Properties!A$1:CB$87,Formula!J115,12))</f>
        <v>4</v>
      </c>
      <c r="AV115" s="78">
        <f>MIN(IF(Formula!B115=87,10^6,INDEX(Properties!A$1:CB$87,Formula!B115,12)),IF((Formula!D115)=87,10^6,INDEX(Properties!A$1:CB$87,Formula!D115,12)),IF((Formula!F115)=87,10^6,INDEX(Properties!A$1:CB$87,Formula!F115,12)),IF((Formula!H115)=87,10^6,INDEX(Properties!A$1:CB$87,Formula!H115,12)),IF(Formula!J115=87,10^6,INDEX(Properties!A$1:CB$87,Formula!J115,12)))</f>
        <v>0</v>
      </c>
      <c r="AW115" s="78">
        <f t="shared" si="39"/>
        <v>4</v>
      </c>
      <c r="AX115" s="45">
        <f>((Formula!C115)/(Formula!C115+Formula!E115+Formula!G115+Formula!I115+Formula!K115))*(INDEX(Properties!A$1:CB$87,Formula!B115,13))+((Formula!E115)/(Formula!C115+Formula!E115+Formula!G115+Formula!I115+Formula!K115))*(INDEX(Properties!A$1:CB$87,Formula!D115,13))+((Formula!G115)/(Formula!C115+Formula!E115+Formula!G115+Formula!I115+Formula!K115))*(INDEX(Properties!A$1:CB$87,Formula!F115,13))+((Formula!I115)/(Formula!C115+Formula!E115+Formula!G115+Formula!I115+Formula!K115))*(INDEX(Properties!A$1:CB$87,Formula!H115,13))+((Formula!K115)/(Formula!C115+Formula!E115+Formula!G115+Formula!I115+Formula!K115))*(INDEX(Properties!A$1:CB$87,Formula!J115,13))</f>
        <v>0</v>
      </c>
      <c r="AY115" s="45">
        <f>Formula!C115*(INDEX(Properties!A$1:CB$87,Formula!B115,13))+Formula!E115*(INDEX(Properties!A$1:CB$87,Formula!D115,13))+Formula!G115*(INDEX(Properties!A$1:CB$87,Formula!F115,13))+Formula!I115*(INDEX(Properties!A$1:CB$87,Formula!H115,13))+Formula!K115*(INDEX(Properties!A$1:CB$87,Formula!J115,13))</f>
        <v>0</v>
      </c>
      <c r="AZ115" s="45">
        <f>VARP(IF(INDEX(Properties!A$1:CB$87,Formula!B115,13)&lt;&gt;"",INDEX(Properties!A$1:CB$87,Formula!B115,13)),IF(INDEX(Properties!A$1:CB$87,Formula!D115,13)&lt;&gt;"",INDEX(Properties!A$1:CB$87,Formula!D115,13)),IF(INDEX(Properties!A$1:CB$87,Formula!F115,13)&lt;&gt;"",INDEX(Properties!A$1:CB$87,Formula!F115,13)),IF(INDEX(Properties!A$1:CB$87,Formula!H115,13)&lt;&gt;"",INDEX(Properties!A$1:CB$87,Formula!H115,13)),IF(INDEX(Properties!A$1:CB$87,Formula!J115,13)&lt;&gt;"",INDEX(Properties!A$1:CB$87,Formula!J115,13)))</f>
        <v>0</v>
      </c>
      <c r="BA115" s="45">
        <f>MAX(INDEX(Properties!A$1:CB$87,Formula!B115,13),INDEX(Properties!A$1:CB$87,Formula!D115,13),INDEX(Properties!A$1:CB$87,Formula!F115,13),INDEX(Properties!A$1:CB$87,Formula!H115,13),INDEX(Properties!A$1:CB$87,Formula!J115,13))</f>
        <v>0</v>
      </c>
      <c r="BB115" s="45">
        <f>MIN(IF(Formula!B115=87,10^6,INDEX(Properties!A$1:CB$87,Formula!B115,13)),IF((Formula!D115)=87,10^6,INDEX(Properties!A$1:CB$87,Formula!D115,13)),IF((Formula!F115)=87,10^6,INDEX(Properties!A$1:CB$87,Formula!F115,13)),IF((Formula!H115)=87,10^6,INDEX(Properties!A$1:CB$87,Formula!H115,13)),IF(Formula!J115=87,10^6,INDEX(Properties!A$1:CB$87,Formula!J115,13)))</f>
        <v>0</v>
      </c>
      <c r="BC115" s="45">
        <f t="shared" si="40"/>
        <v>0</v>
      </c>
      <c r="BD115" s="63">
        <f>((Formula!C115)/(Formula!C115+Formula!E115+Formula!G115+Formula!I115+Formula!K115))*(INDEX(Properties!A$1:CB$87,Formula!B115,14))+((Formula!E115)/(Formula!C115+Formula!E115+Formula!G115+Formula!I115+Formula!K115))*(INDEX(Properties!A$1:CB$87,Formula!D115,14))+((Formula!G115)/(Formula!C115+Formula!E115+Formula!G115+Formula!I115+Formula!K115))*(INDEX(Properties!A$1:CB$87,Formula!F115,14))+((Formula!I115)/(Formula!C115+Formula!E115+Formula!G115+Formula!I115+Formula!K115))*(INDEX(Properties!A$1:CB$87,Formula!H115,14))+((Formula!K115)/(Formula!C115+Formula!E115+Formula!G115+Formula!I115+Formula!K115))*(INDEX(Properties!A$1:CB$87,Formula!J115,14))</f>
        <v>0</v>
      </c>
      <c r="BE115" s="63">
        <f>Formula!C115*(INDEX(Properties!A$1:CB$87,Formula!B115,14))+Formula!E115*(INDEX(Properties!A$1:CB$87,Formula!D115,14))+Formula!G115*(INDEX(Properties!A$1:CB$87,Formula!F115,14))+Formula!I115*(INDEX(Properties!A$1:CB$87,Formula!H115,14))+Formula!K115*(INDEX(Properties!A$1:CB$87,Formula!J115,14))</f>
        <v>0</v>
      </c>
      <c r="BF115" s="63">
        <f>VARP(IF(INDEX(Properties!A$1:CB$87,Formula!B115,14)&lt;&gt;"",INDEX(Properties!A$1:CB$87,Formula!B115,14)),IF(INDEX(Properties!A$1:CB$87,Formula!D115,14)&lt;&gt;"",INDEX(Properties!A$1:CB$87,Formula!D115,14)),IF(INDEX(Properties!A$1:CB$87,Formula!F115,14)&lt;&gt;"",INDEX(Properties!A$1:CB$87,Formula!F115,14)),IF(INDEX(Properties!A$1:CB$87,Formula!H115,14)&lt;&gt;"",INDEX(Properties!A$1:CB$87,Formula!H115,14)),IF(INDEX(Properties!A$1:CB$87,Formula!J115,14)&lt;&gt;"",INDEX(Properties!A$1:CB$87,Formula!J115,14)))</f>
        <v>0</v>
      </c>
      <c r="BG115" s="63">
        <f>MAX(INDEX(Properties!A$1:CB$87,Formula!B115,14),INDEX(Properties!A$1:CB$87,Formula!D115,14),INDEX(Properties!A$1:CB$87,Formula!F115,14),INDEX(Properties!A$1:CB$87,Formula!H115,14),INDEX(Properties!A$1:CB$87,Formula!J115,14))</f>
        <v>0</v>
      </c>
      <c r="BH115" s="63">
        <f>MIN(IF(Formula!B115=87,10^6,INDEX(Properties!A$1:CB$87,Formula!B115,14)),IF((Formula!D115)=87,10^6,INDEX(Properties!A$1:CB$87,Formula!D115,14)),IF((Formula!F115)=87,10^6,INDEX(Properties!A$1:CB$87,Formula!F115,14)),IF((Formula!H115)=87,10^6,INDEX(Properties!A$1:CB$87,Formula!H115,14)),IF(Formula!J115=87,10^6,INDEX(Properties!A$1:CB$87,Formula!J115,14)))</f>
        <v>0</v>
      </c>
      <c r="BI115" s="63">
        <f t="shared" si="41"/>
        <v>0</v>
      </c>
      <c r="BJ115" s="75">
        <f>((Formula!C115)/(Formula!C115+Formula!E115+Formula!G115+Formula!I115+Formula!K115))*(INDEX(Properties!A$1:CB$87,Formula!B115,19))+((Formula!E115)/(Formula!C115+Formula!E115+Formula!G115+Formula!I115+Formula!K115))*(INDEX(Properties!A$1:CB$87,Formula!D115,19))+((Formula!G115)/(Formula!C115+Formula!E115+Formula!G115+Formula!I115+Formula!K115))*(INDEX(Properties!A$1:CB$87,Formula!F115,19))+((Formula!I115)/(Formula!C115+Formula!E115+Formula!G115+Formula!I115+Formula!K115))*(INDEX(Properties!A$1:CB$87,Formula!H115,19))+((Formula!K115)/(Formula!C115+Formula!E115+Formula!G115+Formula!I115+Formula!K115))*(INDEX(Properties!A$1:CB$87,Formula!J115,19))</f>
        <v>4.6923076923076925</v>
      </c>
      <c r="BK115" s="75">
        <f>Formula!C115*(INDEX(Properties!A$1:CB$87,Formula!B115,19))+Formula!E115*(INDEX(Properties!A$1:CB$87,Formula!D115,19))+Formula!G115*(INDEX(Properties!A$1:CB$87,Formula!F115,19))+Formula!I115*(INDEX(Properties!A$1:CB$87,Formula!H115,19))+Formula!K115*(INDEX(Properties!A$1:CB$87,Formula!J115,19))</f>
        <v>61</v>
      </c>
      <c r="BL115" s="75">
        <f>VARP(IF(INDEX(Properties!A$1:CB$87,Formula!B115,19)&lt;&gt;"",INDEX(Properties!A$1:CB$87,Formula!B115,19)),IF(INDEX(Properties!A$1:CB$87,Formula!D115,19)&lt;&gt;"",INDEX(Properties!A$1:CB$87,Formula!D115,19)),IF(INDEX(Properties!A$1:CB$87,Formula!F115,19)&lt;&gt;"",INDEX(Properties!A$1:CB$87,Formula!F115,19)),IF(INDEX(Properties!A$1:CB$87,Formula!H115,19)&lt;&gt;"",INDEX(Properties!A$1:CB$87,Formula!H115,19)),IF(INDEX(Properties!A$1:CB$87,Formula!J115,19)&lt;&gt;"",INDEX(Properties!A$1:CB$87,Formula!J115,19)))</f>
        <v>5.2</v>
      </c>
      <c r="BM115" s="75">
        <f>MAX(INDEX(Properties!A$1:CB$87,Formula!B115,19),INDEX(Properties!A$1:CB$87,Formula!D115,19),INDEX(Properties!A$1:CB$87,Formula!F115,19),INDEX(Properties!A$1:CB$87,Formula!H115,19),INDEX(Properties!A$1:CB$87,Formula!J115,19))</f>
        <v>6</v>
      </c>
      <c r="BN115" s="75">
        <f>MIN(IF(INDEX(Properties!A$1:CB$87,Formula!B115,19)=0,10^6,INDEX(Properties!A$1:CB$87,Formula!B115,19)),IF(INDEX(Properties!A$1:CB$87,Formula!D115,19)=0,10^6,INDEX(Properties!A$1:CB$87,Formula!D115,19)),IF(INDEX(Properties!A$1:CB$87,Formula!F115,19)=0,10^6,INDEX(Properties!A$1:CB$87,Formula!F115,19)),IF(INDEX(Properties!A$1:CB$87,Formula!H115,19)=0,10^6,INDEX(Properties!A$1:CB$87,Formula!H115,19)),IF(INDEX(Properties!A$1:CB$87,Formula!J115,19)=0,10^6,INDEX(Properties!A$1:CB$87,Formula!J115,19)))</f>
        <v>1</v>
      </c>
      <c r="BO115" s="75">
        <f t="shared" si="42"/>
        <v>5</v>
      </c>
      <c r="BP115" s="48">
        <f>((Formula!C115)/(Formula!C115+Formula!E115+Formula!G115+Formula!I115+Formula!K115))*(INDEX(Properties!A$1:CB$87,Formula!B115,20))+((Formula!E115)/(Formula!C115+Formula!E115+Formula!G115+Formula!I115+Formula!K115))*(INDEX(Properties!A$1:CB$87,Formula!D115,20))+((Formula!G115)/(Formula!C115+Formula!E115+Formula!G115+Formula!I115+Formula!K115))*(INDEX(Properties!A$1:CB$87,Formula!F115,20))+((Formula!I115)/(Formula!C115+Formula!E115+Formula!G115+Formula!I115+Formula!K115))*(INDEX(Properties!A$1:CB$87,Formula!H115,20))+((Formula!K115)/(Formula!C115+Formula!E115+Formula!G115+Formula!I115+Formula!K115))*(INDEX(Properties!A$1:CB$87,Formula!J115,20))</f>
        <v>4.6923076923076925</v>
      </c>
      <c r="BQ115" s="48">
        <f>Formula!C115*(INDEX(Properties!A$1:CB$87,Formula!B115,20))+Formula!E115*(INDEX(Properties!A$1:CB$87,Formula!D115,20))+Formula!G115*(INDEX(Properties!A$1:CB$87,Formula!F115,20))+Formula!I115*(INDEX(Properties!A$1:CB$87,Formula!H115,20))+Formula!K115*(INDEX(Properties!A$1:CB$87,Formula!J115,20))</f>
        <v>61</v>
      </c>
      <c r="BR115" s="48">
        <f>VARP(IF(INDEX(Properties!A$1:CB$87,Formula!B115,20)&lt;&gt;"",INDEX(Properties!A$1:CB$87,Formula!B115,20)),IF(INDEX(Properties!A$1:CB$87,Formula!D115,20)&lt;&gt;"",INDEX(Properties!A$1:CB$87,Formula!D115,20)),IF(INDEX(Properties!A$1:CB$87,Formula!F115,20)&lt;&gt;"",INDEX(Properties!A$1:CB$87,Formula!F115,20)),IF(INDEX(Properties!A$1:CB$87,Formula!H115,20)&lt;&gt;"",INDEX(Properties!A$1:CB$87,Formula!H115,20)),IF(INDEX(Properties!A$1:CB$87,Formula!J115,20)&lt;&gt;"",INDEX(Properties!A$1:CB$87,Formula!J115,20)))</f>
        <v>5.2</v>
      </c>
      <c r="BS115" s="48">
        <f>MAX(INDEX(Properties!A$1:CB$87,Formula!B115,20),INDEX(Properties!A$1:CB$87,Formula!D115,20),INDEX(Properties!A$1:CB$87,Formula!F115,20),INDEX(Properties!A$1:CB$87,Formula!H115,20),INDEX(Properties!A$1:CB$87,Formula!J115,20))</f>
        <v>6</v>
      </c>
      <c r="BT115" s="48">
        <f>MIN(IF(INDEX(Properties!A$1:CB$87,Formula!B115,20)=0,10^6,INDEX(Properties!A$1:CB$87,Formula!B115,20)),IF(INDEX(Properties!A$1:CB$87,Formula!D115,20)=0,10^6,INDEX(Properties!A$1:CB$87,Formula!D115,20)),IF(INDEX(Properties!A$1:CB$87,Formula!F115,20)=0,10^6,INDEX(Properties!A$1:CB$87,Formula!F115,20)),IF(INDEX(Properties!A$1:CB$87,Formula!H115,20)=0,10^6,INDEX(Properties!A$1:CB$87,Formula!H115,20)),IF(INDEX(Properties!A$1:CB$87,Formula!J115,20)=0,10^6,INDEX(Properties!A$1:CB$87,Formula!J115,20)))</f>
        <v>1</v>
      </c>
      <c r="BU115" s="48">
        <f t="shared" si="43"/>
        <v>5</v>
      </c>
      <c r="BV115" s="66">
        <f>((Formula!C115)/(Formula!C115+Formula!E115+Formula!G115+Formula!I115+Formula!K115))*(INDEX(Properties!A$1:CB$87,Formula!B115,21))+((Formula!E115)/(Formula!C115+Formula!E115+Formula!G115+Formula!I115+Formula!K115))*(INDEX(Properties!A$1:CB$87,Formula!D115,21))+((Formula!G115)/(Formula!C115+Formula!E115+Formula!G115+Formula!I115+Formula!K115))*(INDEX(Properties!A$1:CB$87,Formula!F115,21))+((Formula!I115)/(Formula!C115+Formula!E115+Formula!G115+Formula!I115+Formula!K115))*(INDEX(Properties!A$1:CB$87,Formula!H115,21))+((Formula!K115)/(Formula!C115+Formula!E115+Formula!G115+Formula!I115+Formula!K115))*(INDEX(Properties!A$1:CB$87,Formula!J115,21))</f>
        <v>4.6923076923076925</v>
      </c>
      <c r="BW115" s="66">
        <f>Formula!C115*(INDEX(Properties!A$1:CB$87,Formula!B115,21))+Formula!E115*(INDEX(Properties!A$1:CB$87,Formula!D115,21))+Formula!G115*(INDEX(Properties!A$1:CB$87,Formula!F115,21))+Formula!I115*(INDEX(Properties!A$1:CB$87,Formula!H115,21))+Formula!K115*(INDEX(Properties!A$1:CB$87,Formula!J115,21))</f>
        <v>61</v>
      </c>
      <c r="BX115" s="66">
        <f>VARP(IF(INDEX(Properties!A$1:CB$87,Formula!B115,21)&lt;&gt;"",INDEX(Properties!A$1:CB$87,Formula!B115,21)),IF(INDEX(Properties!A$1:CB$87,Formula!D115,21)&lt;&gt;"",INDEX(Properties!A$1:CB$87,Formula!D115,21)),IF(INDEX(Properties!A$1:CB$87,Formula!F115,21)&lt;&gt;"",INDEX(Properties!A$1:CB$87,Formula!F115,21)),IF(INDEX(Properties!A$1:CB$87,Formula!H115,21)&lt;&gt;"",INDEX(Properties!A$1:CB$87,Formula!H115,21)),IF(INDEX(Properties!A$1:CB$87,Formula!J115,21)&lt;&gt;"",INDEX(Properties!A$1:CB$87,Formula!J115,21)))</f>
        <v>5.2</v>
      </c>
      <c r="BY115" s="66">
        <f>MAX(INDEX(Properties!A$1:CB$87,Formula!B115,21),INDEX(Properties!A$1:CB$87,Formula!D115,21),INDEX(Properties!A$1:CB$87,Formula!F115,21),INDEX(Properties!A$1:CB$87,Formula!H115,21),INDEX(Properties!A$1:CB$87,Formula!J115,21))</f>
        <v>6</v>
      </c>
      <c r="BZ115" s="66">
        <f>MIN(IF(INDEX(Properties!A$1:CB$87,Formula!B115,21)=0,10^6,INDEX(Properties!A$1:CB$87,Formula!B115,21)),IF(INDEX(Properties!A$1:CB$87,Formula!D115,21)=0,10^6,INDEX(Properties!A$1:CB$87,Formula!D115,21)),IF(INDEX(Properties!A$1:CB$87,Formula!F115,21)=0,10^6,INDEX(Properties!A$1:CB$87,Formula!F115,21)),IF(INDEX(Properties!A$1:CB$87,Formula!H115,21)=0,10^6,INDEX(Properties!A$1:CB$87,Formula!H115,21)),IF(INDEX(Properties!A$1:CB$87,Formula!J115,21)=0,10^6,INDEX(Properties!A$1:CB$87,Formula!J115,21)))</f>
        <v>1</v>
      </c>
      <c r="CA115" s="66">
        <f t="shared" si="44"/>
        <v>5</v>
      </c>
      <c r="CB115" s="81">
        <f>((Formula!C115)/(Formula!C115+Formula!E115+Formula!G115+Formula!I115+Formula!K115))*(INDEX(Properties!A$1:CB$87,Formula!B115,23))+((Formula!E115)/(Formula!C115+Formula!E115+Formula!G115+Formula!I115+Formula!K115))*(INDEX(Properties!A$1:CB$87,Formula!D115,23))+((Formula!G115)/(Formula!C115+Formula!E115+Formula!G115+Formula!I115+Formula!K115))*(INDEX(Properties!A$1:CB$87,Formula!F115,23))+((Formula!I115)/(Formula!C115+Formula!E115+Formula!G115+Formula!I115+Formula!K115))*(INDEX(Properties!A$1:CB$87,Formula!H115,23))+((Formula!K115)/(Formula!C115+Formula!E115+Formula!G115+Formula!I115+Formula!K115))*(INDEX(Properties!A$1:CB$87,Formula!J115,23))</f>
        <v>1</v>
      </c>
      <c r="CC115" s="81">
        <f>Formula!C115*(INDEX(Properties!A$1:CB$87,Formula!B115,23))+Formula!E115*(INDEX(Properties!A$1:CB$87,Formula!D115,23))+Formula!G115*(INDEX(Properties!A$1:CB$87,Formula!F115,23))+Formula!I115*(INDEX(Properties!A$1:CB$87,Formula!H115,23))+Formula!K115*(INDEX(Properties!A$1:CB$87,Formula!J115,23))</f>
        <v>13</v>
      </c>
      <c r="CD115" s="81">
        <f>VARP(IF(INDEX(Properties!A$1:CB$87,Formula!B115,23)&lt;&gt;"",INDEX(Properties!A$1:CB$87,Formula!B115,23)),IF(INDEX(Properties!A$1:CB$87,Formula!D115,23)&lt;&gt;"",INDEX(Properties!A$1:CB$87,Formula!D115,23)),IF(INDEX(Properties!A$1:CB$87,Formula!F115,23)&lt;&gt;"",INDEX(Properties!A$1:CB$87,Formula!F115,23)),IF(INDEX(Properties!A$1:CB$87,Formula!H115,23)&lt;&gt;"",INDEX(Properties!A$1:CB$87,Formula!H115,23)),IF(INDEX(Properties!A$1:CB$87,Formula!J115,23)&lt;&gt;"",INDEX(Properties!A$1:CB$87,Formula!J115,23)))</f>
        <v>1.36</v>
      </c>
      <c r="CE115" s="81">
        <f>MAX(INDEX(Properties!A$1:CB$87,Formula!B115,23),INDEX(Properties!A$1:CB$87,Formula!D115,23),INDEX(Properties!A$1:CB$87,Formula!F115,23),INDEX(Properties!A$1:CB$87,Formula!H115,23),INDEX(Properties!A$1:CB$87,Formula!J115,23))</f>
        <v>3</v>
      </c>
      <c r="CF115" s="81">
        <f>MIN(IF(Formula!B115=87,10^6,INDEX(Properties!A$1:CB$87,Formula!B115,23)),IF((Formula!D115)=87,10^6,INDEX(Properties!A$1:CB$87,Formula!D115,23)),IF((Formula!F115)=87,10^6,INDEX(Properties!A$1:CB$87,Formula!F115,23)),IF((Formula!H115)=87,10^6,INDEX(Properties!A$1:CB$87,Formula!H115,23)),IF(Formula!J115=87,10^6,INDEX(Properties!A$1:CB$87,Formula!J115,23)))</f>
        <v>0</v>
      </c>
      <c r="CG115" s="81">
        <f t="shared" si="45"/>
        <v>3</v>
      </c>
      <c r="CH115" s="39">
        <f>((Formula!C115)/(Formula!C115+Formula!E115+Formula!G115+Formula!I115+Formula!K115))*(INDEX(Properties!A$1:CB$87,Formula!B115,26))+((Formula!E115)/(Formula!C115+Formula!E115+Formula!G115+Formula!I115+Formula!K115))*(INDEX(Properties!A$1:CB$87,Formula!D115,26))+((Formula!G115)/(Formula!C115+Formula!E115+Formula!G115+Formula!I115+Formula!K115))*(INDEX(Properties!A$1:CB$87,Formula!F115,26))+((Formula!I115)/(Formula!C115+Formula!E115+Formula!G115+Formula!I115+Formula!K115))*(INDEX(Properties!A$1:CB$87,Formula!H115,26))+((Formula!K115)/(Formula!C115+Formula!E115+Formula!G115+Formula!I115+Formula!K115))*(INDEX(Properties!A$1:CB$87,Formula!J115,26))</f>
        <v>10.636900000000001</v>
      </c>
      <c r="CI115" s="39">
        <f>Formula!C115*(INDEX(Properties!A$1:CB$87,Formula!B115,26))+Formula!E115*(INDEX(Properties!A$1:CB$87,Formula!D115,26))+Formula!G115*(INDEX(Properties!A$1:CB$87,Formula!F115,26))+Formula!I115*(INDEX(Properties!A$1:CB$87,Formula!H115,26))+Formula!K115*(INDEX(Properties!A$1:CB$87,Formula!J115,26))</f>
        <v>138.27969999999999</v>
      </c>
      <c r="CJ115" s="39">
        <f>VARP(IF(INDEX(Properties!A$1:CB$87,Formula!B115,26)&lt;&gt;"",INDEX(Properties!A$1:CB$87,Formula!B115,26)),IF(INDEX(Properties!A$1:CB$87,Formula!D115,26)&lt;&gt;"",INDEX(Properties!A$1:CB$87,Formula!D115,26)),IF(INDEX(Properties!A$1:CB$87,Formula!F115,26)&lt;&gt;"",INDEX(Properties!A$1:CB$87,Formula!F115,26)),IF(INDEX(Properties!A$1:CB$87,Formula!H115,26)&lt;&gt;"",INDEX(Properties!A$1:CB$87,Formula!H115,26)),IF(INDEX(Properties!A$1:CB$87,Formula!J115,26)&lt;&gt;"",INDEX(Properties!A$1:CB$87,Formula!J115,26)))</f>
        <v>25.079374853599997</v>
      </c>
      <c r="CK115" s="39">
        <f>MAX(INDEX(Properties!A$1:CB$87,Formula!B115,26),INDEX(Properties!A$1:CB$87,Formula!D115,26),INDEX(Properties!A$1:CB$87,Formula!F115,26),INDEX(Properties!A$1:CB$87,Formula!H115,26),INDEX(Properties!A$1:CB$87,Formula!J115,26))</f>
        <v>13.6181</v>
      </c>
      <c r="CL115" s="39">
        <f>MIN(IF(INDEX(Properties!A$1:CB$87,Formula!B115,26)=0,10^6,INDEX(Properties!A$1:CB$87,Formula!B115,26)),IF(INDEX(Properties!A$1:CB$87,Formula!D115,26)=0,10^6,INDEX(Properties!A$1:CB$87,Formula!D115,26)),IF(INDEX(Properties!A$1:CB$87,Formula!F115,26)=0,10^6,INDEX(Properties!A$1:CB$87,Formula!F115,26)),IF(INDEX(Properties!A$1:CB$87,Formula!H115,26)=0,10^6,INDEX(Properties!A$1:CB$87,Formula!H115,26)),IF(INDEX(Properties!A$1:CB$87,Formula!J115,26)=0,10^6,INDEX(Properties!A$1:CB$87,Formula!J115,26)))</f>
        <v>5.3917000000000002</v>
      </c>
      <c r="CM115" s="39">
        <f t="shared" si="46"/>
        <v>8.2263999999999999</v>
      </c>
      <c r="CN115" s="54">
        <f>((Formula!C115)/(Formula!C115+Formula!E115+Formula!G115+Formula!I115+Formula!K115))*(INDEX(Properties!A$1:CB$87,Formula!B115,30))+((Formula!E115)/(Formula!C115+Formula!E115+Formula!G115+Formula!I115+Formula!K115))*(INDEX(Properties!A$1:CB$87,Formula!D115,30))+((Formula!G115)/(Formula!C115+Formula!E115+Formula!G115+Formula!I115+Formula!K115))*(INDEX(Properties!A$1:CB$87,Formula!F115,30))+((Formula!I115)/(Formula!C115+Formula!E115+Formula!G115+Formula!I115+Formula!K115))*(INDEX(Properties!A$1:CB$87,Formula!H115,30))+((Formula!K115)/(Formula!C115+Formula!E115+Formula!G115+Formula!I115+Formula!K115))*(INDEX(Properties!A$1:CB$87,Formula!J115,30))</f>
        <v>2.6876923076923078</v>
      </c>
      <c r="CO115" s="54">
        <f>Formula!C115*(INDEX(Properties!A$1:CB$87,Formula!B115,30))+Formula!E115*(INDEX(Properties!A$1:CB$87,Formula!D115,30))+Formula!G115*(INDEX(Properties!A$1:CB$87,Formula!F115,30))+Formula!I115*(INDEX(Properties!A$1:CB$87,Formula!H115,30))+Formula!K115*(INDEX(Properties!A$1:CB$87,Formula!J115,30))</f>
        <v>34.94</v>
      </c>
      <c r="CP115" s="54">
        <f>VARP(IF(INDEX(Properties!A$1:CB$87,Formula!B115,30)&lt;&gt;"",INDEX(Properties!A$1:CB$87,Formula!B115,30)),IF(INDEX(Properties!A$1:CB$87,Formula!D115,30)&lt;&gt;"",INDEX(Properties!A$1:CB$87,Formula!D115,30)),IF(INDEX(Properties!A$1:CB$87,Formula!F115,30)&lt;&gt;"",INDEX(Properties!A$1:CB$87,Formula!F115,30)),IF(INDEX(Properties!A$1:CB$87,Formula!H115,30)&lt;&gt;"",INDEX(Properties!A$1:CB$87,Formula!H115,30)),IF(INDEX(Properties!A$1:CB$87,Formula!J115,30)&lt;&gt;"",INDEX(Properties!A$1:CB$87,Formula!J115,30)))</f>
        <v>1.622784</v>
      </c>
      <c r="CQ115" s="54">
        <f>MAX(INDEX(Properties!A$1:CB$87,Formula!B115,30),INDEX(Properties!A$1:CB$87,Formula!D115,30),INDEX(Properties!A$1:CB$87,Formula!F115,30),INDEX(Properties!A$1:CB$87,Formula!H115,30),INDEX(Properties!A$1:CB$87,Formula!J115,30))</f>
        <v>3.44</v>
      </c>
      <c r="CR115" s="54">
        <f>MIN(IF(INDEX(Properties!A$1:CB$87,Formula!B115,30)=0,10^6,INDEX(Properties!A$1:CB$87,Formula!B115,30)),IF(INDEX(Properties!A$1:CB$87,Formula!D115,30)=0,10^6,INDEX(Properties!A$1:CB$87,Formula!D115,30)),IF(INDEX(Properties!A$1:CB$87,Formula!F115,30)=0,10^6,INDEX(Properties!A$1:CB$87,Formula!F115,30)),IF(INDEX(Properties!A$1:CB$87,Formula!H115,30)=0,10^6,INDEX(Properties!A$1:CB$87,Formula!H115,30)),IF(INDEX(Properties!A$1:CB$87,Formula!J115,30)=0,10^6,INDEX(Properties!A$1:CB$87,Formula!J115,30)))</f>
        <v>0.98</v>
      </c>
      <c r="CS115" s="54">
        <f t="shared" si="47"/>
        <v>2.46</v>
      </c>
      <c r="CT115" s="69">
        <f>((Formula!C115)/(Formula!C115+Formula!E115+Formula!G115+Formula!I115+Formula!K115))*(INDEX(Properties!A$1:CB$87,Formula!B115,31))+((Formula!E115)/(Formula!C115+Formula!E115+Formula!G115+Formula!I115+Formula!K115))*(INDEX(Properties!A$1:CB$87,Formula!D115,31))+((Formula!G115)/(Formula!C115+Formula!E115+Formula!G115+Formula!I115+Formula!K115))*(INDEX(Properties!A$1:CB$87,Formula!F115,31))+((Formula!I115)/(Formula!C115+Formula!E115+Formula!G115+Formula!I115+Formula!K115))*(INDEX(Properties!A$1:CB$87,Formula!H115,31))+((Formula!K115)/(Formula!C115+Formula!E115+Formula!G115+Formula!I115+Formula!K115))*(INDEX(Properties!A$1:CB$87,Formula!J115,31))</f>
        <v>2.6169230769230767</v>
      </c>
      <c r="CU115" s="69">
        <f>Formula!C115*(INDEX(Properties!A$1:CB$87,Formula!B115,31))+Formula!E115*(INDEX(Properties!A$1:CB$87,Formula!D115,31))+Formula!G115*(INDEX(Properties!A$1:CB$87,Formula!F115,31))+Formula!I115*(INDEX(Properties!A$1:CB$87,Formula!H115,31))+Formula!K115*(INDEX(Properties!A$1:CB$87,Formula!J115,31))</f>
        <v>34.019999999999996</v>
      </c>
      <c r="CV115" s="69">
        <f>VARP(IF(INDEX(Properties!A$1:CB$87,Formula!B115,31)&lt;&gt;"",INDEX(Properties!A$1:CB$87,Formula!B115,31)),IF(INDEX(Properties!A$1:CB$87,Formula!D115,31)&lt;&gt;"",INDEX(Properties!A$1:CB$87,Formula!D115,31)),IF(INDEX(Properties!A$1:CB$87,Formula!F115,31)&lt;&gt;"",INDEX(Properties!A$1:CB$87,Formula!F115,31)),IF(INDEX(Properties!A$1:CB$87,Formula!H115,31)&lt;&gt;"",INDEX(Properties!A$1:CB$87,Formula!H115,31)),IF(INDEX(Properties!A$1:CB$87,Formula!J115,31)&lt;&gt;"",INDEX(Properties!A$1:CB$87,Formula!J115,31)))</f>
        <v>1.5308159999999997</v>
      </c>
      <c r="CW115" s="69">
        <f>MAX(INDEX(Properties!A$1:CB$87,Formula!B115,31),INDEX(Properties!A$1:CB$87,Formula!D115,31),INDEX(Properties!A$1:CB$87,Formula!F115,31),INDEX(Properties!A$1:CB$87,Formula!H115,31),INDEX(Properties!A$1:CB$87,Formula!J115,31))</f>
        <v>3.32</v>
      </c>
      <c r="CX115" s="69">
        <f>MIN(IF(INDEX(Properties!A$1:CB$87,Formula!B115,31)=0,10^6,INDEX(Properties!A$1:CB$87,Formula!B115,31)),IF(INDEX(Properties!A$1:CB$87,Formula!D115,31)=0,10^6,INDEX(Properties!A$1:CB$87,Formula!D115,31)),IF(INDEX(Properties!A$1:CB$87,Formula!F115,31)=0,10^6,INDEX(Properties!A$1:CB$87,Formula!F115,31)),IF(INDEX(Properties!A$1:CB$87,Formula!H115,31)=0,10^6,INDEX(Properties!A$1:CB$87,Formula!H115,31)),IF(INDEX(Properties!A$1:CB$87,Formula!J115,31)=0,10^6,INDEX(Properties!A$1:CB$87,Formula!J115,31)))</f>
        <v>0.9</v>
      </c>
      <c r="CY115" s="69">
        <f t="shared" si="48"/>
        <v>2.42</v>
      </c>
      <c r="CZ115" s="42">
        <f>((Formula!C115)/(Formula!C115+Formula!E115+Formula!G115+Formula!I115+Formula!K115))*(INDEX(Properties!A$1:CB$87,Formula!B115,32))+((Formula!E115)/(Formula!C115+Formula!E115+Formula!G115+Formula!I115+Formula!K115))*(INDEX(Properties!A$1:CB$87,Formula!D115,32))+((Formula!G115)/(Formula!C115+Formula!E115+Formula!G115+Formula!I115+Formula!K115))*(INDEX(Properties!A$1:CB$87,Formula!F115,32))+((Formula!I115)/(Formula!C115+Formula!E115+Formula!G115+Formula!I115+Formula!K115))*(INDEX(Properties!A$1:CB$87,Formula!H115,32))+((Formula!K115)/(Formula!C115+Formula!E115+Formula!G115+Formula!I115+Formula!K115))*(INDEX(Properties!A$1:CB$87,Formula!J115,32))</f>
        <v>5.8653846153846159</v>
      </c>
      <c r="DA115" s="42">
        <f>Formula!C115*(INDEX(Properties!A$1:CB$87,Formula!B115,32))+Formula!E115*(INDEX(Properties!A$1:CB$87,Formula!D115,32))+Formula!G115*(INDEX(Properties!A$1:CB$87,Formula!F115,32))+Formula!I115*(INDEX(Properties!A$1:CB$87,Formula!H115,32))+Formula!K115*(INDEX(Properties!A$1:CB$87,Formula!J115,32))</f>
        <v>76.25</v>
      </c>
      <c r="DB115" s="42">
        <f>VARP(IF(INDEX(Properties!A$1:CB$87,Formula!B115,32)&lt;&gt;"",INDEX(Properties!A$1:CB$87,Formula!B115,32)),IF(INDEX(Properties!A$1:CB$87,Formula!D115,32)&lt;&gt;"",INDEX(Properties!A$1:CB$87,Formula!D115,32)),IF(INDEX(Properties!A$1:CB$87,Formula!F115,32)&lt;&gt;"",INDEX(Properties!A$1:CB$87,Formula!F115,32)),IF(INDEX(Properties!A$1:CB$87,Formula!H115,32)&lt;&gt;"",INDEX(Properties!A$1:CB$87,Formula!H115,32)),IF(INDEX(Properties!A$1:CB$87,Formula!J115,32)&lt;&gt;"",INDEX(Properties!A$1:CB$87,Formula!J115,32)))</f>
        <v>7.6733839999999995</v>
      </c>
      <c r="DC115" s="42">
        <f>MAX(INDEX(Properties!A$1:CB$87,Formula!B115,32),INDEX(Properties!A$1:CB$87,Formula!D115,32),INDEX(Properties!A$1:CB$87,Formula!F115,32),INDEX(Properties!A$1:CB$87,Formula!H115,32),INDEX(Properties!A$1:CB$87,Formula!J115,32))</f>
        <v>7.54</v>
      </c>
      <c r="DD115" s="42">
        <f>MIN(IF(INDEX(Properties!A$1:CB$87,Formula!B115,32)=0,10^6,INDEX(Properties!A$1:CB$87,Formula!B115,32)),IF(INDEX(Properties!A$1:CB$87,Formula!D115,32)=0,10^6,INDEX(Properties!A$1:CB$87,Formula!D115,32)),IF(INDEX(Properties!A$1:CB$87,Formula!F115,32)=0,10^6,INDEX(Properties!A$1:CB$87,Formula!F115,32)),IF(INDEX(Properties!A$1:CB$87,Formula!H115,32)=0,10^6,INDEX(Properties!A$1:CB$87,Formula!H115,32)),IF(INDEX(Properties!A$1:CB$87,Formula!J115,32)=0,10^6,INDEX(Properties!A$1:CB$87,Formula!J115,32)))</f>
        <v>3.01</v>
      </c>
      <c r="DE115" s="42">
        <f t="shared" si="49"/>
        <v>4.53</v>
      </c>
      <c r="DF115" s="60">
        <f>((Formula!C115)/(Formula!C115+Formula!E115+Formula!G115+Formula!I115+Formula!K115))*(INDEX(Properties!A$1:CB$87,Formula!B115,34))+((Formula!E115)/(Formula!C115+Formula!E115+Formula!G115+Formula!I115+Formula!K115))*(INDEX(Properties!A$1:CB$87,Formula!D115,34))+((Formula!G115)/(Formula!C115+Formula!E115+Formula!G115+Formula!I115+Formula!K115))*(INDEX(Properties!A$1:CB$87,Formula!F115,34))+((Formula!I115)/(Formula!C115+Formula!E115+Formula!G115+Formula!I115+Formula!K115))*(INDEX(Properties!A$1:CB$87,Formula!H115,34))+((Formula!K115)/(Formula!C115+Formula!E115+Formula!G115+Formula!I115+Formula!K115))*(INDEX(Properties!A$1:CB$87,Formula!J115,34))</f>
        <v>2.7879999999999998</v>
      </c>
      <c r="DG115" s="60">
        <f>Formula!C115*(INDEX(Properties!A$1:CB$87,Formula!B115,34))+Formula!E115*(INDEX(Properties!A$1:CB$87,Formula!D115,34))+Formula!G115*(INDEX(Properties!A$1:CB$87,Formula!F115,34))+Formula!I115*(INDEX(Properties!A$1:CB$87,Formula!H115,34))+Formula!K115*(INDEX(Properties!A$1:CB$87,Formula!J115,34))</f>
        <v>36.244</v>
      </c>
      <c r="DH115" s="60">
        <f>VARP(IF(INDEX(Properties!A$1:CB$87,Formula!B115,34)&lt;&gt;"",INDEX(Properties!A$1:CB$87,Formula!B115,34)),IF(INDEX(Properties!A$1:CB$87,Formula!D115,34)&lt;&gt;"",INDEX(Properties!A$1:CB$87,Formula!D115,34)),IF(INDEX(Properties!A$1:CB$87,Formula!F115,34)&lt;&gt;"",INDEX(Properties!A$1:CB$87,Formula!F115,34)),IF(INDEX(Properties!A$1:CB$87,Formula!H115,34)&lt;&gt;"",INDEX(Properties!A$1:CB$87,Formula!H115,34)),IF(INDEX(Properties!A$1:CB$87,Formula!J115,34)&lt;&gt;"",INDEX(Properties!A$1:CB$87,Formula!J115,34)))</f>
        <v>1.7875936000000003</v>
      </c>
      <c r="DI115" s="60">
        <f>MAX(INDEX(Properties!A$1:CB$87,Formula!B115,34),INDEX(Properties!A$1:CB$87,Formula!D115,34),INDEX(Properties!A$1:CB$87,Formula!F115,34),INDEX(Properties!A$1:CB$87,Formula!H115,34),INDEX(Properties!A$1:CB$87,Formula!J115,34))</f>
        <v>3.61</v>
      </c>
      <c r="DJ115" s="60">
        <f>MIN(IF(INDEX(Properties!A$1:CB$87,Formula!B115,34)=0,10^6,INDEX(Properties!A$1:CB$87,Formula!B115,34)),IF(INDEX(Properties!A$1:CB$87,Formula!D115,34)=0,10^6,INDEX(Properties!A$1:CB$87,Formula!D115,34)),IF(INDEX(Properties!A$1:CB$87,Formula!F115,34)=0,10^6,INDEX(Properties!A$1:CB$87,Formula!F115,34)),IF(INDEX(Properties!A$1:CB$87,Formula!H115,34)=0,10^6,INDEX(Properties!A$1:CB$87,Formula!H115,34)),IF(INDEX(Properties!A$1:CB$87,Formula!J115,34)=0,10^6,INDEX(Properties!A$1:CB$87,Formula!J115,34)))</f>
        <v>0.91200000000000003</v>
      </c>
      <c r="DK115" s="60">
        <f t="shared" si="50"/>
        <v>2.698</v>
      </c>
      <c r="DL115" s="45">
        <f>((Formula!C115)/(Formula!C115+Formula!E115+Formula!G115+Formula!I115+Formula!K115))*(INDEX(Properties!A$1:CB$87,Formula!B115,39))+((Formula!E115)/(Formula!C115+Formula!E115+Formula!G115+Formula!I115+Formula!K115))*(INDEX(Properties!A$1:CB$87,Formula!D115,39))+((Formula!G115)/(Formula!C115+Formula!E115+Formula!G115+Formula!I115+Formula!K115))*(INDEX(Properties!A$1:CB$87,Formula!F115,39))+((Formula!I115)/(Formula!C115+Formula!E115+Formula!G115+Formula!I115+Formula!K115))*(INDEX(Properties!A$1:CB$87,Formula!H115,39))+((Formula!K115)/(Formula!C115+Formula!E115+Formula!G115+Formula!I115+Formula!K115))*(INDEX(Properties!A$1:CB$87,Formula!J115,39))</f>
        <v>0.78692307692307695</v>
      </c>
      <c r="DM115" s="45">
        <f>Formula!C115*(INDEX(Properties!A$1:CB$87,Formula!B115,39))+Formula!E115*(INDEX(Properties!A$1:CB$87,Formula!D115,39))+Formula!G115*(INDEX(Properties!A$1:CB$87,Formula!F115,39))+Formula!I115*(INDEX(Properties!A$1:CB$87,Formula!H115,39))+Formula!K115*(INDEX(Properties!A$1:CB$87,Formula!J115,39))</f>
        <v>10.23</v>
      </c>
      <c r="DN115" s="45">
        <f>VARP(IF(INDEX(Properties!A$1:CB$87,Formula!B115,39)&lt;&gt;"",INDEX(Properties!A$1:CB$87,Formula!B115,39)),IF(INDEX(Properties!A$1:CB$87,Formula!D115,39)&lt;&gt;"",INDEX(Properties!A$1:CB$87,Formula!D115,39)),IF(INDEX(Properties!A$1:CB$87,Formula!F115,39)&lt;&gt;"",INDEX(Properties!A$1:CB$87,Formula!F115,39)),IF(INDEX(Properties!A$1:CB$87,Formula!H115,39)&lt;&gt;"",INDEX(Properties!A$1:CB$87,Formula!H115,39)),IF(INDEX(Properties!A$1:CB$87,Formula!J115,39)&lt;&gt;"",INDEX(Properties!A$1:CB$87,Formula!J115,39)))</f>
        <v>0.43878400000000023</v>
      </c>
      <c r="DO115" s="45">
        <f>MAX(INDEX(Properties!A$1:CB$87,Formula!B115,39),INDEX(Properties!A$1:CB$87,Formula!D115,39),INDEX(Properties!A$1:CB$87,Formula!F115,39),INDEX(Properties!A$1:CB$87,Formula!H115,39),INDEX(Properties!A$1:CB$87,Formula!J115,39))</f>
        <v>1.67</v>
      </c>
      <c r="DP115" s="45">
        <f>MIN(IF(INDEX(Properties!A$1:CB$87,Formula!B115,39)=0,10^6,INDEX(Properties!A$1:CB$87,Formula!B115,39)),IF(INDEX(Properties!A$1:CB$87,Formula!D115,39)=0,10^6,INDEX(Properties!A$1:CB$87,Formula!D115,39)),IF(INDEX(Properties!A$1:CB$87,Formula!F115,39)=0,10^6,INDEX(Properties!A$1:CB$87,Formula!F115,39)),IF(INDEX(Properties!A$1:CB$87,Formula!H115,39)=0,10^6,INDEX(Properties!A$1:CB$87,Formula!H115,39)),IF(INDEX(Properties!A$1:CB$87,Formula!J115,39)=0,10^6,INDEX(Properties!A$1:CB$87,Formula!J115,39)))</f>
        <v>0.48</v>
      </c>
      <c r="DQ115" s="45">
        <f t="shared" si="51"/>
        <v>1.19</v>
      </c>
      <c r="DR115" s="63">
        <f>((Formula!C115)/(Formula!C115+Formula!E115+Formula!G115+Formula!I115+Formula!K115))*(INDEX(Properties!A$1:CB$87,Formula!B115,40))+((Formula!E115)/(Formula!C115+Formula!E115+Formula!G115+Formula!I115+Formula!K115))*(INDEX(Properties!A$1:CB$87,Formula!D115,40))+((Formula!G115)/(Formula!C115+Formula!E115+Formula!G115+Formula!I115+Formula!K115))*(INDEX(Properties!A$1:CB$87,Formula!F115,40))+((Formula!I115)/(Formula!C115+Formula!E115+Formula!G115+Formula!I115+Formula!K115))*(INDEX(Properties!A$1:CB$87,Formula!H115,40))+((Formula!K115)/(Formula!C115+Formula!E115+Formula!G115+Formula!I115+Formula!K115))*(INDEX(Properties!A$1:CB$87,Formula!J115,40))</f>
        <v>0.91538461538461546</v>
      </c>
      <c r="DS115" s="63">
        <f>Formula!C115*(INDEX(Properties!A$1:CB$87,Formula!B115,40))+Formula!E115*(INDEX(Properties!A$1:CB$87,Formula!D115,40))+Formula!G115*(INDEX(Properties!A$1:CB$87,Formula!F115,40))+Formula!I115*(INDEX(Properties!A$1:CB$87,Formula!H115,40))+Formula!K115*(INDEX(Properties!A$1:CB$87,Formula!J115,40))</f>
        <v>11.899999999999999</v>
      </c>
      <c r="DT115" s="63">
        <f>VARP(IF(INDEX(Properties!A$1:CB$87,Formula!B115,40)&lt;&gt;"",INDEX(Properties!A$1:CB$87,Formula!B115,40)),IF(INDEX(Properties!A$1:CB$87,Formula!D115,40)&lt;&gt;"",INDEX(Properties!A$1:CB$87,Formula!D115,40)),IF(INDEX(Properties!A$1:CB$87,Formula!F115,40)&lt;&gt;"",INDEX(Properties!A$1:CB$87,Formula!F115,40)),IF(INDEX(Properties!A$1:CB$87,Formula!H115,40)&lt;&gt;"",INDEX(Properties!A$1:CB$87,Formula!H115,40)),IF(INDEX(Properties!A$1:CB$87,Formula!J115,40)&lt;&gt;"",INDEX(Properties!A$1:CB$87,Formula!J115,40)))</f>
        <v>0.32168000000000008</v>
      </c>
      <c r="DU115" s="63">
        <f>MAX(INDEX(Properties!A$1:CB$87,Formula!B115,40),INDEX(Properties!A$1:CB$87,Formula!D115,40),INDEX(Properties!A$1:CB$87,Formula!F115,40),INDEX(Properties!A$1:CB$87,Formula!H115,40),INDEX(Properties!A$1:CB$87,Formula!J115,40))</f>
        <v>1.34</v>
      </c>
      <c r="DV115" s="63">
        <f>MIN(IF(INDEX(Properties!A$1:CB$87,Formula!B115,40)=0,10^6,INDEX(Properties!A$1:CB$87,Formula!B115,40)),IF(INDEX(Properties!A$1:CB$87,Formula!D115,40)=0,10^6,INDEX(Properties!A$1:CB$87,Formula!D115,40)),IF(INDEX(Properties!A$1:CB$87,Formula!F115,40)=0,10^6,INDEX(Properties!A$1:CB$87,Formula!F115,40)),IF(INDEX(Properties!A$1:CB$87,Formula!H115,40)=0,10^6,INDEX(Properties!A$1:CB$87,Formula!H115,40)),IF(INDEX(Properties!A$1:CB$87,Formula!J115,40)=0,10^6,INDEX(Properties!A$1:CB$87,Formula!J115,40)))</f>
        <v>0.73</v>
      </c>
      <c r="DW115" s="63">
        <f t="shared" si="52"/>
        <v>0.6100000000000001</v>
      </c>
      <c r="DX115" s="75">
        <f>((Formula!C115)/(Formula!C115+Formula!E115+Formula!G115+Formula!I115+Formula!K115))*(INDEX(Properties!A$1:CB$87,Formula!B115,41))+((Formula!E115)/(Formula!C115+Formula!E115+Formula!G115+Formula!I115+Formula!K115))*(INDEX(Properties!A$1:CB$87,Formula!D115,41))+((Formula!G115)/(Formula!C115+Formula!E115+Formula!G115+Formula!I115+Formula!K115))*(INDEX(Properties!A$1:CB$87,Formula!F115,41))+((Formula!I115)/(Formula!C115+Formula!E115+Formula!G115+Formula!I115+Formula!K115))*(INDEX(Properties!A$1:CB$87,Formula!H115,41))+((Formula!K115)/(Formula!C115+Formula!E115+Formula!G115+Formula!I115+Formula!K115))*(INDEX(Properties!A$1:CB$87,Formula!J115,41))</f>
        <v>1.0538461538461539</v>
      </c>
      <c r="DY115" s="75">
        <f>Formula!C115*(INDEX(Properties!A$1:CB$87,Formula!B115,41))+Formula!E115*(INDEX(Properties!A$1:CB$87,Formula!D115,41))+Formula!G115*(INDEX(Properties!A$1:CB$87,Formula!F115,41))+Formula!I115*(INDEX(Properties!A$1:CB$87,Formula!H115,41))+Formula!K115*(INDEX(Properties!A$1:CB$87,Formula!J115,41))</f>
        <v>13.7</v>
      </c>
      <c r="DZ115" s="75">
        <f>VARP(IF(INDEX(Properties!A$1:CB$87,Formula!B115,41)&lt;&gt;"",INDEX(Properties!A$1:CB$87,Formula!B115,41)),IF(INDEX(Properties!A$1:CB$87,Formula!D115,41)&lt;&gt;"",INDEX(Properties!A$1:CB$87,Formula!D115,41)),IF(INDEX(Properties!A$1:CB$87,Formula!F115,41)&lt;&gt;"",INDEX(Properties!A$1:CB$87,Formula!F115,41)),IF(INDEX(Properties!A$1:CB$87,Formula!H115,41)&lt;&gt;"",INDEX(Properties!A$1:CB$87,Formula!H115,41)),IF(INDEX(Properties!A$1:CB$87,Formula!J115,41)&lt;&gt;"",INDEX(Properties!A$1:CB$87,Formula!J115,41)))</f>
        <v>0.24937600000000004</v>
      </c>
      <c r="EA115" s="75">
        <f>MAX(INDEX(Properties!A$1:CB$87,Formula!B115,41),INDEX(Properties!A$1:CB$87,Formula!D115,41),INDEX(Properties!A$1:CB$87,Formula!F115,41),INDEX(Properties!A$1:CB$87,Formula!H115,41),INDEX(Properties!A$1:CB$87,Formula!J115,41))</f>
        <v>1.26</v>
      </c>
      <c r="EB115" s="75">
        <f>MIN(IF(INDEX(Properties!A$1:CB$87,Formula!B115,41)=0,10^6,INDEX(Properties!A$1:CB$87,Formula!B115,41)),IF(INDEX(Properties!A$1:CB$87,Formula!D115,41)=0,10^6,INDEX(Properties!A$1:CB$87,Formula!D115,41)),IF(INDEX(Properties!A$1:CB$87,Formula!F115,41)=0,10^6,INDEX(Properties!A$1:CB$87,Formula!F115,41)),IF(INDEX(Properties!A$1:CB$87,Formula!H115,41)=0,10^6,INDEX(Properties!A$1:CB$87,Formula!H115,41)),IF(INDEX(Properties!A$1:CB$87,Formula!J115,41)=0,10^6,INDEX(Properties!A$1:CB$87,Formula!J115,41)))</f>
        <v>0.68</v>
      </c>
      <c r="EC115" s="75">
        <f t="shared" si="53"/>
        <v>0.57999999999999996</v>
      </c>
      <c r="ED115" s="48">
        <f>((Formula!C115)/(Formula!C115+Formula!E115+Formula!G115+Formula!I115+Formula!K115))*(INDEX(Properties!A$1:CB$87,Formula!B115,45))+((Formula!E115)/(Formula!C115+Formula!E115+Formula!G115+Formula!I115+Formula!K115))*(INDEX(Properties!A$1:CB$87,Formula!D115,45))+((Formula!G115)/(Formula!C115+Formula!E115+Formula!G115+Formula!I115+Formula!K115))*(INDEX(Properties!A$1:CB$87,Formula!F115,45))+((Formula!I115)/(Formula!C115+Formula!E115+Formula!G115+Formula!I115+Formula!K115))*(INDEX(Properties!A$1:CB$87,Formula!H115,45))+((Formula!K115)/(Formula!C115+Formula!E115+Formula!G115+Formula!I115+Formula!K115))*(INDEX(Properties!A$1:CB$87,Formula!J115,45))</f>
        <v>0.92999999999999994</v>
      </c>
      <c r="EE115" s="48">
        <f>Formula!C115*(INDEX(Properties!A$1:CB$87,Formula!B115,45))+Formula!E115*(INDEX(Properties!A$1:CB$87,Formula!D115,45))+Formula!G115*(INDEX(Properties!A$1:CB$87,Formula!F115,45))+Formula!I115*(INDEX(Properties!A$1:CB$87,Formula!H115,45))+Formula!K115*(INDEX(Properties!A$1:CB$87,Formula!J115,45))</f>
        <v>12.09</v>
      </c>
      <c r="EF115" s="48">
        <f>VARP(IF(INDEX(Properties!A$1:CB$87,Formula!B115,45)&lt;&gt;"",INDEX(Properties!A$1:CB$87,Formula!B115,45)),IF(INDEX(Properties!A$1:CB$87,Formula!D115,45)&lt;&gt;"",INDEX(Properties!A$1:CB$87,Formula!D115,45)),IF(INDEX(Properties!A$1:CB$87,Formula!F115,45)&lt;&gt;"",INDEX(Properties!A$1:CB$87,Formula!F115,45)),IF(INDEX(Properties!A$1:CB$87,Formula!H115,45)&lt;&gt;"",INDEX(Properties!A$1:CB$87,Formula!H115,45)),IF(INDEX(Properties!A$1:CB$87,Formula!J115,45)&lt;&gt;"",INDEX(Properties!A$1:CB$87,Formula!J115,45)))</f>
        <v>0.56157600000000019</v>
      </c>
      <c r="EG115" s="48">
        <f>MAX(INDEX(Properties!A$1:CB$87,Formula!B115,45),INDEX(Properties!A$1:CB$87,Formula!D115,45),INDEX(Properties!A$1:CB$87,Formula!F115,45),INDEX(Properties!A$1:CB$87,Formula!H115,45),INDEX(Properties!A$1:CB$87,Formula!J115,45))</f>
        <v>1.68</v>
      </c>
      <c r="EH115" s="48">
        <f>MIN(IF(INDEX(Properties!A$1:CB$87,Formula!B115,45)=0,10^6,INDEX(Properties!A$1:CB$87,Formula!B115,45)),IF(INDEX(Properties!A$1:CB$87,Formula!D115,45)=0,10^6,INDEX(Properties!A$1:CB$87,Formula!D115,45)),IF(INDEX(Properties!A$1:CB$87,Formula!F115,45)=0,10^6,INDEX(Properties!A$1:CB$87,Formula!F115,45)),IF(INDEX(Properties!A$1:CB$87,Formula!H115,45)=0,10^6,INDEX(Properties!A$1:CB$87,Formula!H115,45)),IF(INDEX(Properties!A$1:CB$87,Formula!J115,45)=0,10^6,INDEX(Properties!A$1:CB$87,Formula!J115,45)))</f>
        <v>0.47</v>
      </c>
      <c r="EI115" s="48">
        <f t="shared" si="54"/>
        <v>1.21</v>
      </c>
      <c r="EJ115" s="66">
        <f>((Formula!C115)/(Formula!C115+Formula!E115+Formula!G115+Formula!I115+Formula!K115))*(INDEX(Properties!A$1:CB$87,Formula!B115,46))+((Formula!E115)/(Formula!C115+Formula!E115+Formula!G115+Formula!I115+Formula!K115))*(INDEX(Properties!A$1:CB$87,Formula!D115,46))+((Formula!G115)/(Formula!C115+Formula!E115+Formula!G115+Formula!I115+Formula!K115))*(INDEX(Properties!A$1:CB$87,Formula!F115,46))+((Formula!I115)/(Formula!C115+Formula!E115+Formula!G115+Formula!I115+Formula!K115))*(INDEX(Properties!A$1:CB$87,Formula!H115,46))+((Formula!K115)/(Formula!C115+Formula!E115+Formula!G115+Formula!I115+Formula!K115))*(INDEX(Properties!A$1:CB$87,Formula!J115,46))</f>
        <v>0.97692307692307701</v>
      </c>
      <c r="EK115" s="66">
        <f>Formula!C115*(INDEX(Properties!A$1:CB$87,Formula!B115,46))+Formula!E115*(INDEX(Properties!A$1:CB$87,Formula!D115,46))+Formula!G115*(INDEX(Properties!A$1:CB$87,Formula!F115,46))+Formula!I115*(INDEX(Properties!A$1:CB$87,Formula!H115,46))+Formula!K115*(INDEX(Properties!A$1:CB$87,Formula!J115,46))</f>
        <v>12.7</v>
      </c>
      <c r="EL115" s="66">
        <f>VARP(IF(INDEX(Properties!A$1:CB$87,Formula!B115,46)&lt;&gt;"",INDEX(Properties!A$1:CB$87,Formula!B115,46)),IF(INDEX(Properties!A$1:CB$87,Formula!D115,46)&lt;&gt;"",INDEX(Properties!A$1:CB$87,Formula!D115,46)),IF(INDEX(Properties!A$1:CB$87,Formula!F115,46)&lt;&gt;"",INDEX(Properties!A$1:CB$87,Formula!F115,46)),IF(INDEX(Properties!A$1:CB$87,Formula!H115,46)&lt;&gt;"",INDEX(Properties!A$1:CB$87,Formula!H115,46)),IF(INDEX(Properties!A$1:CB$87,Formula!J115,46)&lt;&gt;"",INDEX(Properties!A$1:CB$87,Formula!J115,46)))</f>
        <v>0.23221599999999992</v>
      </c>
      <c r="EM115" s="66">
        <f>MAX(INDEX(Properties!A$1:CB$87,Formula!B115,46),INDEX(Properties!A$1:CB$87,Formula!D115,46),INDEX(Properties!A$1:CB$87,Formula!F115,46),INDEX(Properties!A$1:CB$87,Formula!H115,46),INDEX(Properties!A$1:CB$87,Formula!J115,46))</f>
        <v>1.21</v>
      </c>
      <c r="EN115" s="66">
        <f>MIN(IF(INDEX(Properties!A$1:CB$87,Formula!B115,46)=0,10^6,INDEX(Properties!A$1:CB$87,Formula!B115,46)),IF(INDEX(Properties!A$1:CB$87,Formula!D115,46)=0,10^6,INDEX(Properties!A$1:CB$87,Formula!D115,46)),IF(INDEX(Properties!A$1:CB$87,Formula!F115,46)=0,10^6,INDEX(Properties!A$1:CB$87,Formula!F115,46)),IF(INDEX(Properties!A$1:CB$87,Formula!H115,46)=0,10^6,INDEX(Properties!A$1:CB$87,Formula!H115,46)),IF(INDEX(Properties!A$1:CB$87,Formula!J115,46)=0,10^6,INDEX(Properties!A$1:CB$87,Formula!J115,46)))</f>
        <v>0.53</v>
      </c>
      <c r="EO115" s="66">
        <f t="shared" si="55"/>
        <v>0.67999999999999994</v>
      </c>
      <c r="EP115" s="81">
        <f>((Formula!C115)/(Formula!C115+Formula!E115+Formula!G115+Formula!I115+Formula!K115))*(INDEX(Properties!A$1:CB$87,Formula!B115,52))+((Formula!E115)/(Formula!C115+Formula!E115+Formula!G115+Formula!I115+Formula!K115))*(INDEX(Properties!A$1:CB$87,Formula!D115,52))+((Formula!G115)/(Formula!C115+Formula!E115+Formula!G115+Formula!I115+Formula!K115))*(INDEX(Properties!A$1:CB$87,Formula!F115,52))+((Formula!I115)/(Formula!C115+Formula!E115+Formula!G115+Formula!I115+Formula!K115))*(INDEX(Properties!A$1:CB$87,Formula!H115,52))+((Formula!K115)/(Formula!C115+Formula!E115+Formula!G115+Formula!I115+Formula!K115))*(INDEX(Properties!A$1:CB$87,Formula!J115,52))</f>
        <v>4.9110769230769238</v>
      </c>
      <c r="EQ115" s="81">
        <f>Formula!C115*(INDEX(Properties!A$1:CB$87,Formula!B115,52))+Formula!E115*(INDEX(Properties!A$1:CB$87,Formula!D115,52))+Formula!G115*(INDEX(Properties!A$1:CB$87,Formula!F115,52))+Formula!I115*(INDEX(Properties!A$1:CB$87,Formula!H115,52))+Formula!K115*(INDEX(Properties!A$1:CB$87,Formula!J115,52))</f>
        <v>63.844000000000001</v>
      </c>
      <c r="ER115" s="81">
        <f>VARP(IF(INDEX(Properties!A$1:CB$87,Formula!B115,52)&lt;&gt;"",INDEX(Properties!A$1:CB$87,Formula!B115,52)),IF(INDEX(Properties!A$1:CB$87,Formula!D115,52)&lt;&gt;"",INDEX(Properties!A$1:CB$87,Formula!D115,52)),IF(INDEX(Properties!A$1:CB$87,Formula!F115,52)&lt;&gt;"",INDEX(Properties!A$1:CB$87,Formula!F115,52)),IF(INDEX(Properties!A$1:CB$87,Formula!H115,52)&lt;&gt;"",INDEX(Properties!A$1:CB$87,Formula!H115,52)),IF(INDEX(Properties!A$1:CB$87,Formula!J115,52)&lt;&gt;"",INDEX(Properties!A$1:CB$87,Formula!J115,52)))</f>
        <v>87.398071839999972</v>
      </c>
      <c r="ES115" s="81">
        <f>MAX(INDEX(Properties!A$1:CB$87,Formula!B115,52),INDEX(Properties!A$1:CB$87,Formula!D115,52),INDEX(Properties!A$1:CB$87,Formula!F115,52),INDEX(Properties!A$1:CB$87,Formula!H115,52),INDEX(Properties!A$1:CB$87,Formula!J115,52))</f>
        <v>24.3</v>
      </c>
      <c r="ET115" s="81">
        <f>MIN(IF(INDEX(Properties!A$1:CB$87,Formula!B115,52)=0,10^6,INDEX(Properties!A$1:CB$87,Formula!B115,52)),IF(INDEX(Properties!A$1:CB$87,Formula!D115,52)=0,10^6,INDEX(Properties!A$1:CB$87,Formula!D115,52)),IF(INDEX(Properties!A$1:CB$87,Formula!F115,52)=0,10^6,INDEX(Properties!A$1:CB$87,Formula!F115,52)),IF(INDEX(Properties!A$1:CB$87,Formula!H115,52)=0,10^6,INDEX(Properties!A$1:CB$87,Formula!H115,52)),IF(INDEX(Properties!A$1:CB$87,Formula!J115,52)=0,10^6,INDEX(Properties!A$1:CB$87,Formula!J115,52)))</f>
        <v>0.79300000000000004</v>
      </c>
      <c r="EU115" s="81">
        <f t="shared" si="56"/>
        <v>23.507000000000001</v>
      </c>
      <c r="EV115" s="39">
        <f>((Formula!C115)/(Formula!C115+Formula!E115+Formula!G115+Formula!I115+Formula!K115))*(INDEX(Properties!A$1:CB$87,Formula!B115,53))+((Formula!E115)/(Formula!C115+Formula!E115+Formula!G115+Formula!I115+Formula!K115))*(INDEX(Properties!A$1:CB$87,Formula!D115,53))+((Formula!G115)/(Formula!C115+Formula!E115+Formula!G115+Formula!I115+Formula!K115))*(INDEX(Properties!A$1:CB$87,Formula!F115,53))+((Formula!I115)/(Formula!C115+Formula!E115+Formula!G115+Formula!I115+Formula!K115))*(INDEX(Properties!A$1:CB$87,Formula!H115,53))+((Formula!K115)/(Formula!C115+Formula!E115+Formula!G115+Formula!I115+Formula!K115))*(INDEX(Properties!A$1:CB$87,Formula!J115,53))</f>
        <v>355.71153846153845</v>
      </c>
      <c r="EW115" s="39">
        <f>Formula!C115*(INDEX(Properties!A$1:CB$87,Formula!B115,53))+Formula!E115*(INDEX(Properties!A$1:CB$87,Formula!D115,53))+Formula!G115*(INDEX(Properties!A$1:CB$87,Formula!F115,53))+Formula!I115*(INDEX(Properties!A$1:CB$87,Formula!H115,53))+Formula!K115*(INDEX(Properties!A$1:CB$87,Formula!J115,53))</f>
        <v>4624.25</v>
      </c>
      <c r="EX115" s="39">
        <f>VARP(IF(INDEX(Properties!A$1:CB$87,Formula!B115,53)&lt;&gt;"",INDEX(Properties!A$1:CB$87,Formula!B115,53)),IF(INDEX(Properties!A$1:CB$87,Formula!D115,53)&lt;&gt;"",INDEX(Properties!A$1:CB$87,Formula!D115,53)),IF(INDEX(Properties!A$1:CB$87,Formula!F115,53)&lt;&gt;"",INDEX(Properties!A$1:CB$87,Formula!F115,53)),IF(INDEX(Properties!A$1:CB$87,Formula!H115,53)&lt;&gt;"",INDEX(Properties!A$1:CB$87,Formula!H115,53)),IF(INDEX(Properties!A$1:CB$87,Formula!J115,53)&lt;&gt;"",INDEX(Properties!A$1:CB$87,Formula!J115,53)))</f>
        <v>132790.30539999998</v>
      </c>
      <c r="EY115" s="39">
        <f>MAX(INDEX(Properties!A$1:CB$87,Formula!B115,53),INDEX(Properties!A$1:CB$87,Formula!D115,53),INDEX(Properties!A$1:CB$87,Formula!F115,53),INDEX(Properties!A$1:CB$87,Formula!H115,53),INDEX(Properties!A$1:CB$87,Formula!J115,53))</f>
        <v>933.15</v>
      </c>
      <c r="EZ115" s="39">
        <f>MIN(IF(INDEX(Properties!A$1:CB$87,Formula!B115,53)=0,10^6,INDEX(Properties!A$1:CB$87,Formula!B115,53)),IF(INDEX(Properties!A$1:CB$87,Formula!D115,53)=0,10^6,INDEX(Properties!A$1:CB$87,Formula!D115,53)),IF(INDEX(Properties!A$1:CB$87,Formula!F115,53)=0,10^6,INDEX(Properties!A$1:CB$87,Formula!F115,53)),IF(INDEX(Properties!A$1:CB$87,Formula!H115,53)=0,10^6,INDEX(Properties!A$1:CB$87,Formula!H115,53)),IF(INDEX(Properties!A$1:CB$87,Formula!J115,53)=0,10^6,INDEX(Properties!A$1:CB$87,Formula!J115,53)))</f>
        <v>54.749999999999972</v>
      </c>
      <c r="FA115" s="39">
        <f t="shared" si="57"/>
        <v>878.4</v>
      </c>
      <c r="FB115" s="54">
        <f>((Formula!C115)/(Formula!C115+Formula!E115+Formula!G115+Formula!I115+Formula!K115))*(INDEX(Properties!A$1:CB$87,Formula!B115,54))+((Formula!E115)/(Formula!C115+Formula!E115+Formula!G115+Formula!I115+Formula!K115))*(INDEX(Properties!A$1:CB$87,Formula!D115,54))+((Formula!G115)/(Formula!C115+Formula!E115+Formula!G115+Formula!I115+Formula!K115))*(INDEX(Properties!A$1:CB$87,Formula!F115,54))+((Formula!I115)/(Formula!C115+Formula!E115+Formula!G115+Formula!I115+Formula!K115))*(INDEX(Properties!A$1:CB$87,Formula!H115,54))+((Formula!K115)/(Formula!C115+Formula!E115+Formula!G115+Formula!I115+Formula!K115))*(INDEX(Properties!A$1:CB$87,Formula!J115,54))</f>
        <v>1022.8423076923077</v>
      </c>
      <c r="FC115" s="54">
        <f>Formula!C115*(INDEX(Properties!A$1:CB$87,Formula!B115,54))+Formula!E115*(INDEX(Properties!A$1:CB$87,Formula!D115,54))+Formula!G115*(INDEX(Properties!A$1:CB$87,Formula!F115,54))+Formula!I115*(INDEX(Properties!A$1:CB$87,Formula!H115,54))+Formula!K115*(INDEX(Properties!A$1:CB$87,Formula!J115,54))</f>
        <v>13296.95</v>
      </c>
      <c r="FD115" s="54">
        <f>VARP(IF(INDEX(Properties!A$1:CB$87,Formula!B115,54)&lt;&gt;"",INDEX(Properties!A$1:CB$87,Formula!B115,54)),IF(INDEX(Properties!A$1:CB$87,Formula!D115,54)&lt;&gt;"",INDEX(Properties!A$1:CB$87,Formula!D115,54)),IF(INDEX(Properties!A$1:CB$87,Formula!F115,54)&lt;&gt;"",INDEX(Properties!A$1:CB$87,Formula!F115,54)),IF(INDEX(Properties!A$1:CB$87,Formula!H115,54)&lt;&gt;"",INDEX(Properties!A$1:CB$87,Formula!H115,54)),IF(INDEX(Properties!A$1:CB$87,Formula!J115,54)&lt;&gt;"",INDEX(Properties!A$1:CB$87,Formula!J115,54)))</f>
        <v>1234570.6854000008</v>
      </c>
      <c r="FE115" s="54">
        <f>MAX(INDEX(Properties!A$1:CB$87,Formula!B115,54),INDEX(Properties!A$1:CB$87,Formula!D115,54),INDEX(Properties!A$1:CB$87,Formula!F115,54),INDEX(Properties!A$1:CB$87,Formula!H115,54),INDEX(Properties!A$1:CB$87,Formula!J115,54))</f>
        <v>2740.15</v>
      </c>
      <c r="FF115" s="54">
        <f>MIN(IF(INDEX(Properties!A$1:CB$87,Formula!B115,54)=0,10^6,INDEX(Properties!A$1:CB$87,Formula!B115,54)),IF(INDEX(Properties!A$1:CB$87,Formula!D115,54)=0,10^6,INDEX(Properties!A$1:CB$87,Formula!D115,54)),IF(INDEX(Properties!A$1:CB$87,Formula!F115,54)=0,10^6,INDEX(Properties!A$1:CB$87,Formula!F115,54)),IF(INDEX(Properties!A$1:CB$87,Formula!H115,54)=0,10^6,INDEX(Properties!A$1:CB$87,Formula!H115,54)),IF(INDEX(Properties!A$1:CB$87,Formula!J115,54)=0,10^6,INDEX(Properties!A$1:CB$87,Formula!J115,54)))</f>
        <v>90.149999999999977</v>
      </c>
      <c r="FG115" s="54">
        <f t="shared" si="58"/>
        <v>2650</v>
      </c>
      <c r="FH115" s="69">
        <f>((Formula!C115)/(Formula!C115+Formula!E115+Formula!G115+Formula!I115+Formula!K115))*(INDEX(Properties!A$1:CB$87,Formula!B115,55))+((Formula!E115)/(Formula!C115+Formula!E115+Formula!G115+Formula!I115+Formula!K115))*(INDEX(Properties!A$1:CB$87,Formula!D115,55))+((Formula!G115)/(Formula!C115+Formula!E115+Formula!G115+Formula!I115+Formula!K115))*(INDEX(Properties!A$1:CB$87,Formula!F115,55))+((Formula!I115)/(Formula!C115+Formula!E115+Formula!G115+Formula!I115+Formula!K115))*(INDEX(Properties!A$1:CB$87,Formula!H115,55))+((Formula!K115)/(Formula!C115+Formula!E115+Formula!G115+Formula!I115+Formula!K115))*(INDEX(Properties!A$1:CB$87,Formula!J115,55))</f>
        <v>0.87280307692307701</v>
      </c>
      <c r="FI115" s="69">
        <f>Formula!C115*(INDEX(Properties!A$1:CB$87,Formula!B115,55))+Formula!E115*(INDEX(Properties!A$1:CB$87,Formula!D115,54))+Formula!G115*(INDEX(Properties!A$1:CB$87,Formula!F115,55))+Formula!I115*(INDEX(Properties!A$1:CB$87,Formula!H115,55))+Formula!K115*(INDEX(Properties!A$1:CB$87,Formula!J115,55))</f>
        <v>10961.14644</v>
      </c>
      <c r="FJ115" s="69">
        <f>VARP(IF(INDEX(Properties!A$1:CB$87,Formula!B115,55)&lt;&gt;"",INDEX(Properties!A$1:CB$87,Formula!B115,55)),IF(INDEX(Properties!A$1:CB$87,Formula!D115,55)&lt;&gt;"",INDEX(Properties!A$1:CB$87,Formula!D115,55)),IF(INDEX(Properties!A$1:CB$87,Formula!F115,55)&lt;&gt;"",INDEX(Properties!A$1:CB$87,Formula!F115,55)),IF(INDEX(Properties!A$1:CB$87,Formula!H115,55)&lt;&gt;"",INDEX(Properties!A$1:CB$87,Formula!H115,55)),IF(INDEX(Properties!A$1:CB$87,Formula!J115,55)&lt;&gt;"",INDEX(Properties!A$1:CB$87,Formula!J115,55)))</f>
        <v>1.0962662431840002</v>
      </c>
      <c r="FK115" s="69">
        <f>MAX(INDEX(Properties!A$1:CB$87,Formula!B115,55),INDEX(Properties!A$1:CB$87,Formula!D115,55),INDEX(Properties!A$1:CB$87,Formula!F115,55),INDEX(Properties!A$1:CB$87,Formula!H115,55),INDEX(Properties!A$1:CB$87,Formula!J115,55))</f>
        <v>2.7</v>
      </c>
      <c r="FL115" s="69">
        <f>MIN(IF(INDEX(Properties!A$1:CB$87,Formula!B115,55)=0,10^6,INDEX(Properties!A$1:CB$87,Formula!B115,55)),IF(INDEX(Properties!A$1:CB$87,Formula!D115,55)=0,10^6,INDEX(Properties!A$1:CB$87,Formula!D115,55)),IF(INDEX(Properties!A$1:CB$87,Formula!F115,55)=0,10^6,INDEX(Properties!A$1:CB$87,Formula!F115,55)),IF(INDEX(Properties!A$1:CB$87,Formula!H115,55)=0,10^6,INDEX(Properties!A$1:CB$87,Formula!H115,55)),IF(INDEX(Properties!A$1:CB$87,Formula!J115,55)=0,10^6,INDEX(Properties!A$1:CB$87,Formula!J115,55)))</f>
        <v>1.4300000000000001E-3</v>
      </c>
      <c r="FM115" s="69">
        <f t="shared" si="59"/>
        <v>2.6985700000000001</v>
      </c>
      <c r="FN115" s="42">
        <f>((Formula!C115)/(Formula!C115+Formula!E115+Formula!G115+Formula!I115+Formula!K115))*(INDEX(Properties!A$1:CB$87,Formula!B115,56))+((Formula!E115)/(Formula!C115+Formula!E115+Formula!G115+Formula!I115+Formula!K115))*(INDEX(Properties!A$1:CB$87,Formula!D115,56))+((Formula!G115)/(Formula!C115+Formula!E115+Formula!G115+Formula!I115+Formula!K115))*(INDEX(Properties!A$1:CB$87,Formula!F115,56))+((Formula!I115)/(Formula!C115+Formula!E115+Formula!G115+Formula!I115+Formula!K115))*(INDEX(Properties!A$1:CB$87,Formula!H115,56))+((Formula!K115)/(Formula!C115+Formula!E115+Formula!G115+Formula!I115+Formula!K115))*(INDEX(Properties!A$1:CB$87,Formula!J115,56))</f>
        <v>1.1200000000000001</v>
      </c>
      <c r="FO115" s="42">
        <f>Formula!C115*(INDEX(Properties!A$1:CB$87,Formula!B115,56))+Formula!E115*(INDEX(Properties!A$1:CB$87,Formula!D115,56))+Formula!G115*(INDEX(Properties!A$1:CB$87,Formula!F115,56))+Formula!I115*(INDEX(Properties!A$1:CB$87,Formula!H115,56))+Formula!K115*(INDEX(Properties!A$1:CB$87,Formula!J115,56))</f>
        <v>14.56</v>
      </c>
      <c r="FP115" s="42">
        <f>VARP(IF(INDEX(Properties!A$1:CB$87,Formula!B115,56)&lt;&gt;"",INDEX(Properties!A$1:CB$87,Formula!B115,56)),IF(INDEX(Properties!A$1:CB$87,Formula!D115,56)&lt;&gt;"",INDEX(Properties!A$1:CB$87,Formula!D115,56)),IF(INDEX(Properties!A$1:CB$87,Formula!F115,56)&lt;&gt;"",INDEX(Properties!A$1:CB$87,Formula!F115,56)),IF(INDEX(Properties!A$1:CB$87,Formula!H115,56)&lt;&gt;"",INDEX(Properties!A$1:CB$87,Formula!H115,56)),IF(INDEX(Properties!A$1:CB$87,Formula!J115,56)&lt;&gt;"",INDEX(Properties!A$1:CB$87,Formula!J115,56)))</f>
        <v>1.7482240000000002</v>
      </c>
      <c r="FQ115" s="42">
        <f>MAX(INDEX(Properties!A$1:CB$87,Formula!B115,56),INDEX(Properties!A$1:CB$87,Formula!D115,56),INDEX(Properties!A$1:CB$87,Formula!F115,56),INDEX(Properties!A$1:CB$87,Formula!H115,56),INDEX(Properties!A$1:CB$87,Formula!J115,56))</f>
        <v>3.6</v>
      </c>
      <c r="FR115" s="42">
        <f>MIN(IF(INDEX(Properties!A$1:CB$87,Formula!B115,56)=0,10^6,INDEX(Properties!A$1:CB$87,Formula!B115,56)),IF(INDEX(Properties!A$1:CB$87,Formula!D115,56)=0,10^6,INDEX(Properties!A$1:CB$87,Formula!D115,56)),IF(INDEX(Properties!A$1:CB$87,Formula!F115,56)=0,10^6,INDEX(Properties!A$1:CB$87,Formula!F115,56)),IF(INDEX(Properties!A$1:CB$87,Formula!H115,56)=0,10^6,INDEX(Properties!A$1:CB$87,Formula!H115,56)),IF(INDEX(Properties!A$1:CB$87,Formula!J115,56)=0,10^6,INDEX(Properties!A$1:CB$87,Formula!J115,56)))</f>
        <v>0.9</v>
      </c>
      <c r="FS115" s="42">
        <f t="shared" si="60"/>
        <v>2.7</v>
      </c>
      <c r="FT115" s="60">
        <f>((Formula!C115)/(Formula!C115+Formula!E115+Formula!G115+Formula!I115+Formula!K115))*(INDEX(Properties!A$1:CB$87,Formula!B115,57))+((Formula!E115)/(Formula!C115+Formula!E115+Formula!G115+Formula!I115+Formula!K115))*(INDEX(Properties!A$1:CB$87,Formula!D115,57))+((Formula!G115)/(Formula!C115+Formula!E115+Formula!G115+Formula!I115+Formula!K115))*(INDEX(Properties!A$1:CB$87,Formula!F115,57))+((Formula!I115)/(Formula!C115+Formula!E115+Formula!G115+Formula!I115+Formula!K115))*(INDEX(Properties!A$1:CB$87,Formula!H115,57))+((Formula!K115)/(Formula!C115+Formula!E115+Formula!G115+Formula!I115+Formula!K115))*(INDEX(Properties!A$1:CB$87,Formula!J115,57))</f>
        <v>3.6877476923076924</v>
      </c>
      <c r="FU115" s="60">
        <f>Formula!C115*(INDEX(Properties!A$1:CB$87,Formula!B115,57))+Formula!E115*(INDEX(Properties!A$1:CB$87,Formula!D115,57))+Formula!G115*(INDEX(Properties!A$1:CB$87,Formula!F115,57))+Formula!I115*(INDEX(Properties!A$1:CB$87,Formula!H115,57))+Formula!K115*(INDEX(Properties!A$1:CB$87,Formula!J115,57))</f>
        <v>47.940719999999999</v>
      </c>
      <c r="FV115" s="60">
        <f>VARP(IF(INDEX(Properties!A$1:CB$87,Formula!B115,57)&lt;&gt;"",INDEX(Properties!A$1:CB$87,Formula!B115,57)),IF(INDEX(Properties!A$1:CB$87,Formula!D115,57)&lt;&gt;"",INDEX(Properties!A$1:CB$87,Formula!D115,57)),IF(INDEX(Properties!A$1:CB$87,Formula!F115,57)&lt;&gt;"",INDEX(Properties!A$1:CB$87,Formula!F115,57)),IF(INDEX(Properties!A$1:CB$87,Formula!H115,57)&lt;&gt;"",INDEX(Properties!A$1:CB$87,Formula!H115,57)),IF(INDEX(Properties!A$1:CB$87,Formula!J115,57)&lt;&gt;"",INDEX(Properties!A$1:CB$87,Formula!J115,57)))</f>
        <v>17.240622121295996</v>
      </c>
      <c r="FW115" s="60">
        <f>MAX(INDEX(Properties!A$1:CB$87,Formula!B115,57),INDEX(Properties!A$1:CB$87,Formula!D115,57),INDEX(Properties!A$1:CB$87,Formula!F115,57),INDEX(Properties!A$1:CB$87,Formula!H115,57),INDEX(Properties!A$1:CB$87,Formula!J115,57))</f>
        <v>10.79</v>
      </c>
      <c r="FX115" s="60">
        <f>MIN(IF(INDEX(Properties!A$1:CB$87,Formula!B115,57)=0,10^6,INDEX(Properties!A$1:CB$87,Formula!B115,57)),IF(INDEX(Properties!A$1:CB$87,Formula!D115,57)=0,10^6,INDEX(Properties!A$1:CB$87,Formula!D115,57)),IF(INDEX(Properties!A$1:CB$87,Formula!F115,57)=0,10^6,INDEX(Properties!A$1:CB$87,Formula!F115,57)),IF(INDEX(Properties!A$1:CB$87,Formula!H115,57)=0,10^6,INDEX(Properties!A$1:CB$87,Formula!H115,57)),IF(INDEX(Properties!A$1:CB$87,Formula!J115,57)=0,10^6,INDEX(Properties!A$1:CB$87,Formula!J115,57)))</f>
        <v>0.22259000000000001</v>
      </c>
      <c r="FY115" s="60">
        <f t="shared" si="61"/>
        <v>10.567409999999999</v>
      </c>
      <c r="FZ115" s="72">
        <f>((Formula!C115)/(Formula!C115+Formula!E115+Formula!G115+Formula!I115+Formula!K115))*(INDEX(Properties!A$1:CB$87,Formula!B115,60))+((Formula!E115)/(Formula!C115+Formula!E115+Formula!G115+Formula!I115+Formula!K115))*(INDEX(Properties!A$1:CB$87,Formula!D115,60))+((Formula!G115)/(Formula!C115+Formula!E115+Formula!G115+Formula!I115+Formula!K115))*(INDEX(Properties!A$1:CB$87,Formula!F115,60))+((Formula!I115)/(Formula!C115+Formula!E115+Formula!G115+Formula!I115+Formula!K115))*(INDEX(Properties!A$1:CB$87,Formula!H115,60))+((Formula!K115)/(Formula!C115+Formula!E115+Formula!G115+Formula!I115+Formula!K115))*(INDEX(Properties!A$1:CB$87,Formula!J115,60))</f>
        <v>79.454916923076937</v>
      </c>
      <c r="GA115" s="72">
        <f>Formula!C115*(INDEX(Properties!A$1:CB$87,Formula!B115,60))+Formula!E115*(INDEX(Properties!A$1:CB$87,Formula!D115,60))+Formula!G115*(INDEX(Properties!A$1:CB$87,Formula!F115,60))+Formula!I115*(INDEX(Properties!A$1:CB$87,Formula!H115,60))+Formula!K115*(INDEX(Properties!A$1:CB$87,Formula!J115,60))</f>
        <v>1032.91392</v>
      </c>
      <c r="GB115" s="72">
        <f>VARP(IF(INDEX(Properties!A$1:CB$87,Formula!B115,60)&lt;&gt;"",INDEX(Properties!A$1:CB$87,Formula!B115,60)),IF(INDEX(Properties!A$1:CB$87,Formula!D115,60)&lt;&gt;"",INDEX(Properties!A$1:CB$87,Formula!D115,60)),IF(INDEX(Properties!A$1:CB$87,Formula!F115,60)&lt;&gt;"",INDEX(Properties!A$1:CB$87,Formula!F115,60)),IF(INDEX(Properties!A$1:CB$87,Formula!H115,60)&lt;&gt;"",INDEX(Properties!A$1:CB$87,Formula!H115,60)),IF(INDEX(Properties!A$1:CB$87,Formula!J115,60)&lt;&gt;"",INDEX(Properties!A$1:CB$87,Formula!J115,60)))</f>
        <v>8528.2943337644156</v>
      </c>
      <c r="GC115" s="72">
        <f>MAX(INDEX(Properties!A$1:CB$87,Formula!B115,60),INDEX(Properties!A$1:CB$87,Formula!D115,60),INDEX(Properties!A$1:CB$87,Formula!F115,60),INDEX(Properties!A$1:CB$87,Formula!H115,60),INDEX(Properties!A$1:CB$87,Formula!J115,60))</f>
        <v>237</v>
      </c>
      <c r="GD115" s="72">
        <f>MIN(IF(INDEX(Properties!A$1:CB$87,Formula!B115,60)=0,10^6,INDEX(Properties!A$1:CB$87,Formula!B115,60)),IF(INDEX(Properties!A$1:CB$87,Formula!D115,60)=0,10^6,INDEX(Properties!A$1:CB$87,Formula!D115,60)),IF(INDEX(Properties!A$1:CB$87,Formula!F115,60)=0,10^6,INDEX(Properties!A$1:CB$87,Formula!F115,60)),IF(INDEX(Properties!A$1:CB$87,Formula!H115,60)=0,10^6,INDEX(Properties!A$1:CB$87,Formula!H115,60)),IF(INDEX(Properties!A$1:CB$87,Formula!J115,60)=0,10^6,INDEX(Properties!A$1:CB$87,Formula!J115,60)))</f>
        <v>2.674E-2</v>
      </c>
      <c r="GE115" s="72">
        <f t="shared" si="62"/>
        <v>236.97326000000001</v>
      </c>
      <c r="GF115" s="51">
        <f>((Formula!C115)/(Formula!C115+Formula!E115+Formula!G115+Formula!I115+Formula!K115))*(INDEX(Properties!A$1:CB$87,Formula!B115,62))+((Formula!E115)/(Formula!C115+Formula!E115+Formula!G115+Formula!I115+Formula!K115))*(INDEX(Properties!A$1:CB$87,Formula!D115,62))+((Formula!G115)/(Formula!C115+Formula!E115+Formula!G115+Formula!I115+Formula!K115))*(INDEX(Properties!A$1:CB$87,Formula!F115,62))+((Formula!I115)/(Formula!C115+Formula!E115+Formula!G115+Formula!I115+Formula!K115))*(INDEX(Properties!A$1:CB$87,Formula!H115,62))+((Formula!K115)/(Formula!C115+Formula!E115+Formula!G115+Formula!I115+Formula!K115))*(INDEX(Properties!A$1:CB$87,Formula!J115,62))</f>
        <v>2.7807692307692311</v>
      </c>
      <c r="GG115" s="51">
        <f>Formula!C115*(INDEX(Properties!A$1:CB$87,Formula!B115,62))+Formula!E115*(INDEX(Properties!A$1:CB$87,Formula!D115,62))+Formula!G115*(INDEX(Properties!A$1:CB$87,Formula!F115,62))+Formula!I115*(INDEX(Properties!A$1:CB$87,Formula!H115,62))+Formula!K115*(INDEX(Properties!A$1:CB$87,Formula!J115,62))</f>
        <v>36.150000000000006</v>
      </c>
      <c r="GH115" s="51">
        <f>VARP(IF(INDEX(Properties!A$1:CB$87,Formula!B115,62)&lt;&gt;"",INDEX(Properties!A$1:CB$87,Formula!B115,62)),IF(INDEX(Properties!A$1:CB$87,Formula!D115,62)&lt;&gt;"",INDEX(Properties!A$1:CB$87,Formula!D115,62)),IF(INDEX(Properties!A$1:CB$87,Formula!F115,62)&lt;&gt;"",INDEX(Properties!A$1:CB$87,Formula!F115,62)),IF(INDEX(Properties!A$1:CB$87,Formula!H115,62)&lt;&gt;"",INDEX(Properties!A$1:CB$87,Formula!H115,62)),IF(INDEX(Properties!A$1:CB$87,Formula!J115,62)&lt;&gt;"",INDEX(Properties!A$1:CB$87,Formula!J115,62)))</f>
        <v>1.8678960000000004</v>
      </c>
      <c r="GI115" s="51">
        <f>MAX(INDEX(Properties!A$1:CB$87,Formula!B115,62),INDEX(Properties!A$1:CB$87,Formula!D115,62),INDEX(Properties!A$1:CB$87,Formula!F115,62),INDEX(Properties!A$1:CB$87,Formula!H115,62),INDEX(Properties!A$1:CB$87,Formula!J115,62))</f>
        <v>3.39</v>
      </c>
      <c r="GJ115" s="51">
        <f>MIN(IF(INDEX(Properties!A$1:CB$87,Formula!B115,62)=0,10^6,INDEX(Properties!A$1:CB$87,Formula!B115,62)),IF(INDEX(Properties!A$1:CB$87,Formula!D115,62)=0,10^6,INDEX(Properties!A$1:CB$87,Formula!D115,62)),IF(INDEX(Properties!A$1:CB$87,Formula!F115,62)=0,10^6,INDEX(Properties!A$1:CB$87,Formula!F115,62)),IF(INDEX(Properties!A$1:CB$87,Formula!H115,62)=0,10^6,INDEX(Properties!A$1:CB$87,Formula!H115,62)),IF(INDEX(Properties!A$1:CB$87,Formula!J115,62)=0,10^6,INDEX(Properties!A$1:CB$87,Formula!J115,62)))</f>
        <v>1.63</v>
      </c>
      <c r="GK115" s="51">
        <f t="shared" si="63"/>
        <v>1.7600000000000002</v>
      </c>
      <c r="GL115" s="51">
        <f>Formula!P115</f>
        <v>62</v>
      </c>
      <c r="GM115" s="57">
        <f>Formula!O115</f>
        <v>3</v>
      </c>
      <c r="GN115" s="51">
        <f>Formula!N115</f>
        <v>0.03</v>
      </c>
    </row>
    <row r="116" spans="1:196" x14ac:dyDescent="0.3">
      <c r="A116" s="84" t="str">
        <f>Formula!A116</f>
        <v>Ba2MgSi2O7</v>
      </c>
      <c r="B116" s="89">
        <f>((Formula!C116)/(Formula!C116+Formula!E116+Formula!G116+Formula!I116+Formula!K116))*(INDEX(Properties!A$1:CB$87,Formula!B116,3))+((Formula!E116)/(Formula!C116+Formula!E116+Formula!G116+Formula!I116+Formula!K116))*(INDEX(Properties!A$1:CB$87,Formula!D116,3))+((Formula!G116)/(Formula!C116+Formula!E116+Formula!G116+Formula!I116+Formula!K116))*(INDEX(Properties!A$1:CB$87,Formula!F116,3))+((Formula!I116)/(Formula!C116+Formula!E116+Formula!G116+Formula!I116+Formula!K116))*(INDEX(Properties!A$1:CB$87,Formula!H116,3))+((Formula!K116)/(Formula!C116+Formula!E116+Formula!G116+Formula!I116+Formula!K116))*(INDEX(Properties!A$1:CB$87,Formula!J116,3))</f>
        <v>38.927149999999997</v>
      </c>
      <c r="C116" s="85">
        <f>Formula!C116*(INDEX(Properties!A$1:CB$87,Formula!B116,3))+Formula!E116*(INDEX(Properties!A$1:CB$87,Formula!D116,3))+Formula!G116*(INDEX(Properties!A$1:CB$87,Formula!F116,3))+Formula!I116*(INDEX(Properties!A$1:CB$87,Formula!H116,3))+Formula!K116*(INDEX(Properties!A$1:CB$87,Formula!J116,3))</f>
        <v>467.12580000000003</v>
      </c>
      <c r="D116" s="85">
        <f>VARP(IF(INDEX(Properties!A$1:CB$87,Formula!B116,3)&lt;&gt;"",INDEX(Properties!A$1:CB$87,Formula!B116,3)),IF(INDEX(Properties!A$1:CB$87,Formula!D116,3)&lt;&gt;"",INDEX(Properties!A$1:CB$87,Formula!D116,3)),IF(INDEX(Properties!A$1:CB$87,Formula!F116,3)&lt;&gt;"",INDEX(Properties!A$1:CB$87,Formula!F116,3)),IF(INDEX(Properties!A$1:CB$87,Formula!H116,3)&lt;&gt;"",INDEX(Properties!A$1:CB$87,Formula!H116,3)),IF(INDEX(Properties!A$1:CB$87,Formula!J116,3)&lt;&gt;"",INDEX(Properties!A$1:CB$87,Formula!J116,3)))</f>
        <v>2406.0650950976001</v>
      </c>
      <c r="E116" s="85">
        <f>MAX(INDEX(Properties!A$1:CB$87,Formula!B116,3),INDEX(Properties!A$1:CB$87,Formula!D116,3),INDEX(Properties!A$1:CB$87,Formula!F116,3),INDEX(Properties!A$1:CB$87,Formula!H116,3),INDEX(Properties!A$1:CB$87,Formula!J116,3))</f>
        <v>137.327</v>
      </c>
      <c r="F116" s="85">
        <f>MIN(IF(INDEX(Properties!A$1:CB$87,Formula!B116,3)=0,10^6,INDEX(Properties!A$1:CB$87,Formula!B116,3)),IF(INDEX(Properties!A$1:CB$87,Formula!D116,3)=0,10^6,INDEX(Properties!A$1:CB$87,Formula!D116,3)),IF(INDEX(Properties!A$1:CB$87,Formula!F116,3)=0,10^6,INDEX(Properties!A$1:CB$87,Formula!F116,3)),IF(INDEX(Properties!A$1:CB$87,Formula!H116,3)=0,10^6,INDEX(Properties!A$1:CB$87,Formula!H116,3)),IF(INDEX(Properties!A$1:CB$87,Formula!J116,3)=0,10^6,INDEX(Properties!A$1:CB$87,Formula!J116,3)))</f>
        <v>15.9994</v>
      </c>
      <c r="G116" s="85">
        <f t="shared" si="32"/>
        <v>121.3276</v>
      </c>
      <c r="H116" s="87">
        <f>((Formula!C116)/(Formula!C116+Formula!E116+Formula!G116+Formula!I116+Formula!K116))*(INDEX(Properties!A$1:CB$87,Formula!B116,4))+((Formula!E116)/(Formula!C116+Formula!E116+Formula!G116+Formula!I116+Formula!K116))*(INDEX(Properties!A$1:CB$87,Formula!D116,4))+((Formula!G116)/(Formula!C116+Formula!E116+Formula!G116+Formula!I116+Formula!K116))*(INDEX(Properties!A$1:CB$87,Formula!F116,4))+((Formula!I116)/(Formula!C116+Formula!E116+Formula!G116+Formula!I116+Formula!K116))*(INDEX(Properties!A$1:CB$87,Formula!H116,4))+((Formula!K116)/(Formula!C116+Formula!E116+Formula!G116+Formula!I116+Formula!K116))*(INDEX(Properties!A$1:CB$87,Formula!J116,4))</f>
        <v>17.333333333333332</v>
      </c>
      <c r="I116" s="87">
        <f>Formula!C116*(INDEX(Properties!A$1:CB$87,Formula!B116,4))+Formula!E116*(INDEX(Properties!A$1:CB$87,Formula!D116,4))+Formula!G116*(INDEX(Properties!A$1:CB$87,Formula!F116,4))+Formula!I116*(INDEX(Properties!A$1:CB$87,Formula!H116,4))+Formula!K116*(INDEX(Properties!A$1:CB$87,Formula!J116,4))</f>
        <v>208</v>
      </c>
      <c r="J116" s="87">
        <f>VARP(IF(INDEX(Properties!A$1:CB$87,Formula!B116,4)&lt;&gt;"",INDEX(Properties!A$1:CB$87,Formula!B116,4)),IF(INDEX(Properties!A$1:CB$87,Formula!D116,4)&lt;&gt;"",INDEX(Properties!A$1:CB$87,Formula!D116,4)),IF(INDEX(Properties!A$1:CB$87,Formula!F116,4)&lt;&gt;"",INDEX(Properties!A$1:CB$87,Formula!F116,4)),IF(INDEX(Properties!A$1:CB$87,Formula!H116,4)&lt;&gt;"",INDEX(Properties!A$1:CB$87,Formula!H116,4)),IF(INDEX(Properties!A$1:CB$87,Formula!J116,4)&lt;&gt;"",INDEX(Properties!A$1:CB$87,Formula!J116,4)))</f>
        <v>384</v>
      </c>
      <c r="K116" s="87">
        <f>MAX(INDEX(Properties!A$1:CB$87,Formula!B116,4),INDEX(Properties!A$1:CB$87,Formula!D116,4),INDEX(Properties!A$1:CB$87,Formula!F116,4),INDEX(Properties!A$1:CB$87,Formula!H116,4),INDEX(Properties!A$1:CB$87,Formula!J116,4))</f>
        <v>56</v>
      </c>
      <c r="L116" s="87">
        <f>MIN(IF(INDEX(Properties!A$1:CB$87,Formula!B116,4)=0,10^6,INDEX(Properties!A$1:CB$87,Formula!B116,4)),IF(INDEX(Properties!A$1:CB$87,Formula!D116,4)=0,10^6,INDEX(Properties!A$1:CB$87,Formula!D116,4)),IF(INDEX(Properties!A$1:CB$87,Formula!F116,4)=0,10^6,INDEX(Properties!A$1:CB$87,Formula!F116,4)),IF(INDEX(Properties!A$1:CB$87,Formula!H116,4)=0,10^6,INDEX(Properties!A$1:CB$87,Formula!H116,4)),IF(INDEX(Properties!A$1:CB$87,Formula!J116,4)=0,10^6,INDEX(Properties!A$1:CB$87,Formula!J116,4)))</f>
        <v>8</v>
      </c>
      <c r="M116" s="87">
        <f t="shared" si="33"/>
        <v>48</v>
      </c>
      <c r="N116" s="89">
        <f>((Formula!C116)/(Formula!C116+Formula!E116+Formula!G116+Formula!I116+Formula!K116))*(INDEX(Properties!A$1:CB$87,Formula!B116,5))+((Formula!E116)/(Formula!C116+Formula!E116+Formula!G116+Formula!I116+Formula!K116))*(INDEX(Properties!A$1:CB$87,Formula!D116,5))+((Formula!G116)/(Formula!C116+Formula!E116+Formula!G116+Formula!I116+Formula!K116))*(INDEX(Properties!A$1:CB$87,Formula!F116,5))+((Formula!I116)/(Formula!C116+Formula!E116+Formula!G116+Formula!I116+Formula!K116))*(INDEX(Properties!A$1:CB$87,Formula!H116,5))+((Formula!K116)/(Formula!C116+Formula!E116+Formula!G116+Formula!I116+Formula!K116))*(INDEX(Properties!A$1:CB$87,Formula!J116,5))</f>
        <v>2.916666666666667</v>
      </c>
      <c r="O116" s="89">
        <f>Formula!C116*(INDEX(Properties!A$1:CB$87,Formula!B116,5))+Formula!E116*(INDEX(Properties!A$1:CB$87,Formula!D116,5))+Formula!G116*(INDEX(Properties!A$1:CB$87,Formula!F116,5))+Formula!I116*(INDEX(Properties!A$1:CB$87,Formula!H116,5))+Formula!K116*(INDEX(Properties!A$1:CB$87,Formula!J116,5))</f>
        <v>35</v>
      </c>
      <c r="P116" s="89">
        <f>VARP(IF(INDEX(Properties!A$1:CB$87,Formula!B116,5)&lt;&gt;"",INDEX(Properties!A$1:CB$87,Formula!B116,5)),IF(INDEX(Properties!A$1:CB$87,Formula!D116,5)&lt;&gt;"",INDEX(Properties!A$1:CB$87,Formula!D116,5)),IF(INDEX(Properties!A$1:CB$87,Formula!F116,5)&lt;&gt;"",INDEX(Properties!A$1:CB$87,Formula!F116,5)),IF(INDEX(Properties!A$1:CB$87,Formula!H116,5)&lt;&gt;"",INDEX(Properties!A$1:CB$87,Formula!H116,5)),IF(INDEX(Properties!A$1:CB$87,Formula!J116,5)&lt;&gt;"",INDEX(Properties!A$1:CB$87,Formula!J116,5)))</f>
        <v>3.76</v>
      </c>
      <c r="Q116" s="89">
        <f>MAX(INDEX(Properties!A$1:CB$87,Formula!B116,5),INDEX(Properties!A$1:CB$87,Formula!D116,5),INDEX(Properties!A$1:CB$87,Formula!F116,5),INDEX(Properties!A$1:CB$87,Formula!H116,5),INDEX(Properties!A$1:CB$87,Formula!J116,5))</f>
        <v>6</v>
      </c>
      <c r="R116" s="89">
        <f>MIN(IF(INDEX(Properties!A$1:CB$87,Formula!B116,5)=0,10^6,INDEX(Properties!A$1:CB$87,Formula!B116,5)),IF(INDEX(Properties!A$1:CB$87,Formula!D116,5)=0,10^6,INDEX(Properties!A$1:CB$87,Formula!D116,5)),IF(INDEX(Properties!A$1:CB$87,Formula!F116,5)=0,10^6,INDEX(Properties!A$1:CB$87,Formula!F116,5)),IF(INDEX(Properties!A$1:CB$87,Formula!H116,5)=0,10^6,INDEX(Properties!A$1:CB$87,Formula!H116,5)),IF(INDEX(Properties!A$1:CB$87,Formula!J116,5)=0,10^6,INDEX(Properties!A$1:CB$87,Formula!J116,5)))</f>
        <v>2</v>
      </c>
      <c r="S116" s="89">
        <f t="shared" si="34"/>
        <v>4</v>
      </c>
      <c r="T116" s="60">
        <f>((Formula!C116)/(Formula!C116+Formula!E116+Formula!G116+Formula!I116+Formula!K116))*(INDEX(Properties!A$1:CB$87,Formula!B116,6))+((Formula!E116)/(Formula!C116+Formula!E116+Formula!G116+Formula!I116+Formula!K116))*(INDEX(Properties!A$1:CB$87,Formula!D116,6))+((Formula!G116)/(Formula!C116+Formula!E116+Formula!G116+Formula!I116+Formula!K116))*(INDEX(Properties!A$1:CB$87,Formula!F116,6))+((Formula!I116)/(Formula!C116+Formula!E116+Formula!G116+Formula!I116+Formula!K116))*(INDEX(Properties!A$1:CB$87,Formula!H116,6))+((Formula!K116)/(Formula!C116+Formula!E116+Formula!G116+Formula!I116+Formula!K116))*(INDEX(Properties!A$1:CB$87,Formula!J116,6))</f>
        <v>12.166666666666668</v>
      </c>
      <c r="U116" s="60">
        <f>Formula!C116*(INDEX(Properties!A$1:CB$87,Formula!B116,6))+Formula!E116*(INDEX(Properties!A$1:CB$87,Formula!D116,6))+Formula!G116*(INDEX(Properties!A$1:CB$87,Formula!F116,6))+Formula!I116*(INDEX(Properties!A$1:CB$87,Formula!H116,6))+Formula!K116*(INDEX(Properties!A$1:CB$87,Formula!J116,6))</f>
        <v>146</v>
      </c>
      <c r="V116" s="89">
        <f>VARP(IF(INDEX(Properties!A$1:CB$87,Formula!B116,6)&lt;&gt;"",INDEX(Properties!A$1:CB$87,Formula!B116,6)),IF(INDEX(Properties!A$1:CB$87,Formula!D116,6)&lt;&gt;"",INDEX(Properties!A$1:CB$87,Formula!D116,6)),IF(INDEX(Properties!A$1:CB$87,Formula!F116,6)&lt;&gt;"",INDEX(Properties!A$1:CB$87,Formula!F116,6)),IF(INDEX(Properties!A$1:CB$87,Formula!H116,6)&lt;&gt;"",INDEX(Properties!A$1:CB$87,Formula!H116,6)),IF(INDEX(Properties!A$1:CB$87,Formula!J116,6)&lt;&gt;"",INDEX(Properties!A$1:CB$87,Formula!J116,6)))</f>
        <v>45.76</v>
      </c>
      <c r="W116" s="60">
        <f>MAX(INDEX(Properties!A$1:CB$87,Formula!B116,6),INDEX(Properties!A$1:CB$87,Formula!D116,6),INDEX(Properties!A$1:CB$87,Formula!F116,6),INDEX(Properties!A$1:CB$87,Formula!H116,4),INDEX(Properties!A$1:CB$87,Formula!J116,6))</f>
        <v>14</v>
      </c>
      <c r="X116" s="60">
        <f>MIN(IF(INDEX(Properties!A$1:CB$87,Formula!B116,6)=0,10^6,INDEX(Properties!A$1:CB$87,Formula!B116,6)),IF(INDEX(Properties!A$1:CB$87,Formula!D116,6)=0,10^6,INDEX(Properties!A$1:CB$87,Formula!D116,6)),IF(INDEX(Properties!A$1:CB$87,Formula!F116,6)=0,10^6,INDEX(Properties!A$1:CB$87,Formula!F116,6)),IF(INDEX(Properties!A$1:CB$87,Formula!H116,6)=0,10^6,INDEX(Properties!A$1:CB$87,Formula!H116,6)),IF(INDEX(Properties!A$1:CB$87,Formula!J116,6)=0,10^6,INDEX(Properties!A$1:CB$87,Formula!J116,6)))</f>
        <v>2</v>
      </c>
      <c r="Y116" s="60">
        <f t="shared" si="35"/>
        <v>12</v>
      </c>
      <c r="Z116" s="72">
        <f>((Formula!C116)/(Formula!C116+Formula!E116+Formula!G116+Formula!I116+Formula!K116))*(INDEX(Properties!A$1:CB$87,Formula!B116,9))+((Formula!E116)/(Formula!C116+Formula!E116+Formula!G116+Formula!I116+Formula!K116))*(INDEX(Properties!A$1:CB$87,Formula!D116,9))+((Formula!G116)/(Formula!C116+Formula!E116+Formula!G116+Formula!I116+Formula!K116))*(INDEX(Properties!A$1:CB$87,Formula!F116,9))+((Formula!I116)/(Formula!C116+Formula!E116+Formula!G116+Formula!I116+Formula!K116))*(INDEX(Properties!A$1:CB$87,Formula!H116,9))+((Formula!K116)/(Formula!C116+Formula!E116+Formula!G116+Formula!I116+Formula!K116))*(INDEX(Properties!A$1:CB$87,Formula!J116,9))</f>
        <v>70.916666666666657</v>
      </c>
      <c r="AA116" s="72">
        <f>Formula!C116*(INDEX(Properties!A$1:CB$87,Formula!B116,9))+Formula!E116*(INDEX(Properties!A$1:CB$87,Formula!D116,9))+Formula!G116*(INDEX(Properties!A$1:CB$87,Formula!F116,9))+Formula!I116*(INDEX(Properties!A$1:CB$87,Formula!H116,9))+Formula!K116*(INDEX(Properties!A$1:CB$87,Formula!J116,9))</f>
        <v>851</v>
      </c>
      <c r="AB116" s="72">
        <f>VARP(IF(INDEX(Properties!A$1:CB$87,Formula!B116,9)&lt;&gt;"",INDEX(Properties!A$1:CB$87,Formula!B116,9)),IF(INDEX(Properties!A$1:CB$87,Formula!D116,9)&lt;&gt;"",INDEX(Properties!A$1:CB$87,Formula!D116,9)),IF(INDEX(Properties!A$1:CB$87,Formula!F116,9)&lt;&gt;"",INDEX(Properties!A$1:CB$87,Formula!F116,9)),IF(INDEX(Properties!A$1:CB$87,Formula!H116,9)&lt;&gt;"",INDEX(Properties!A$1:CB$87,Formula!H116,9)),IF(INDEX(Properties!A$1:CB$87,Formula!J116,9)&lt;&gt;"",INDEX(Properties!A$1:CB$87,Formula!J116,9)))</f>
        <v>1329.04</v>
      </c>
      <c r="AC116" s="72">
        <f>MAX(INDEX(Properties!A$1:CB$87,Formula!B116,9),INDEX(Properties!A$1:CB$87,Formula!D116,9),INDEX(Properties!A$1:CB$87,Formula!F116,9),INDEX(Properties!A$1:CB$87,Formula!H116,9),INDEX(Properties!A$1:CB$87,Formula!J116,9))</f>
        <v>87</v>
      </c>
      <c r="AD116" s="72">
        <f>MIN(IF(INDEX(Properties!A$1:CB$87,Formula!B116,9)=0,10^6,INDEX(Properties!A$1:CB$87,Formula!B116,9)),IF(INDEX(Properties!A$1:CB$87,Formula!D116,9)=0,10^6,INDEX(Properties!A$1:CB$87,Formula!D116,9)),IF(INDEX(Properties!A$1:CB$87,Formula!F116,9)=0,10^6,INDEX(Properties!A$1:CB$87,Formula!F116,9)),IF(INDEX(Properties!A$1:CB$87,Formula!H116,9)=0,10^6,INDEX(Properties!A$1:CB$87,Formula!H116,9)),IF(INDEX(Properties!A$1:CB$87,Formula!J116,9)=0,10^6,INDEX(Properties!A$1:CB$87,Formula!J116,9)))</f>
        <v>9</v>
      </c>
      <c r="AE116" s="72">
        <f t="shared" si="36"/>
        <v>78</v>
      </c>
      <c r="AF116" s="51">
        <f>((Formula!C116)/(Formula!C116+Formula!E116+Formula!G116+Formula!I116+Formula!K116))*(INDEX(Properties!A$1:CB$87,Formula!B116,10))+((Formula!E116)/(Formula!C116+Formula!E116+Formula!G116+Formula!I116+Formula!K116))*(INDEX(Properties!A$1:CB$87,Formula!D116,10))+((Formula!G116)/(Formula!C116+Formula!E116+Formula!G116+Formula!I116+Formula!K116))*(INDEX(Properties!A$1:CB$87,Formula!F116,10))+((Formula!I116)/(Formula!C116+Formula!E116+Formula!G116+Formula!I116+Formula!K116))*(INDEX(Properties!A$1:CB$87,Formula!H116,10))+((Formula!K116)/(Formula!C116+Formula!E116+Formula!G116+Formula!I116+Formula!K116))*(INDEX(Properties!A$1:CB$87,Formula!J116,10))</f>
        <v>5.5833333333333339</v>
      </c>
      <c r="AG116" s="51">
        <f>Formula!C116*(INDEX(Properties!A$1:CB$87,Formula!B116,10))+Formula!E116*(INDEX(Properties!A$1:CB$87,Formula!D116,10))+Formula!G116*(INDEX(Properties!A$1:CB$87,Formula!F116,10))+Formula!I116*(INDEX(Properties!A$1:CB$87,Formula!H116,10))+Formula!K116*(INDEX(Properties!A$1:CB$87,Formula!J116,10))</f>
        <v>67</v>
      </c>
      <c r="AH116" s="51">
        <f>VARP(IF(INDEX(Properties!A$1:CB$87,Formula!B116,10)&lt;&gt;"",INDEX(Properties!A$1:CB$87,Formula!B116,10)),IF(INDEX(Properties!A$1:CB$87,Formula!D116,10)&lt;&gt;"",INDEX(Properties!A$1:CB$87,Formula!D116,10)),IF(INDEX(Properties!A$1:CB$87,Formula!F116,10)&lt;&gt;"",INDEX(Properties!A$1:CB$87,Formula!F116,10)),IF(INDEX(Properties!A$1:CB$87,Formula!H116,10)&lt;&gt;"",INDEX(Properties!A$1:CB$87,Formula!H116,10)),IF(INDEX(Properties!A$1:CB$87,Formula!J116,10)&lt;&gt;"",INDEX(Properties!A$1:CB$87,Formula!J116,10)))</f>
        <v>7.04</v>
      </c>
      <c r="AI116" s="51">
        <f>MAX(INDEX(Properties!A$1:CB$87,Formula!B116,10),INDEX(Properties!A$1:CB$87,Formula!D116,10),INDEX(Properties!A$1:CB$87,Formula!F116,10),INDEX(Properties!A$1:CB$87,Formula!H116,10),INDEX(Properties!A$1:CB$87,Formula!J116,10))</f>
        <v>7</v>
      </c>
      <c r="AJ116" s="51">
        <f>MIN(IF(INDEX(Properties!A$1:CB$87,Formula!B116,10)=0,10^6,INDEX(Properties!A$1:CB$87,Formula!B116,10)),IF(INDEX(Properties!A$1:CB$87,Formula!D116,10)=0,10^6,INDEX(Properties!A$1:CB$87,Formula!D116,10)),IF(INDEX(Properties!A$1:CB$87,Formula!F116,10)=0,10^6,INDEX(Properties!A$1:CB$87,Formula!F116,10)),IF(INDEX(Properties!A$1:CB$87,Formula!H116,10)=0,10^6,INDEX(Properties!A$1:CB$87,Formula!H116,10)),IF(INDEX(Properties!A$1:CB$87,Formula!J116,10)=0,10^6,INDEX(Properties!A$1:CB$87,Formula!J116,10)))</f>
        <v>2</v>
      </c>
      <c r="AK116" s="51">
        <f t="shared" si="37"/>
        <v>5</v>
      </c>
      <c r="AL116" s="57">
        <f>((Formula!C116)/(Formula!C116+Formula!E116+Formula!G116+Formula!I116+Formula!K116))*(INDEX(Properties!A$1:CB$87,Formula!B116,11))+((Formula!E116)/(Formula!C116+Formula!E116+Formula!G116+Formula!I116+Formula!K116))*(INDEX(Properties!A$1:CB$87,Formula!D116,11))+((Formula!G116)/(Formula!C116+Formula!E116+Formula!G116+Formula!I116+Formula!K116))*(INDEX(Properties!A$1:CB$87,Formula!F116,11))+((Formula!I116)/(Formula!C116+Formula!E116+Formula!G116+Formula!I116+Formula!K116))*(INDEX(Properties!A$1:CB$87,Formula!H116,11))+((Formula!K116)/(Formula!C116+Formula!E116+Formula!G116+Formula!I116+Formula!K116))*(INDEX(Properties!A$1:CB$87,Formula!J116,11))</f>
        <v>2</v>
      </c>
      <c r="AM116" s="57">
        <f>Formula!C116*(INDEX(Properties!A$1:CB$87,Formula!B116,11))+Formula!E116*(INDEX(Properties!A$1:CB$87,Formula!D116,11))+Formula!G116*(INDEX(Properties!A$1:CB$87,Formula!F116,11))+Formula!I116*(INDEX(Properties!A$1:CB$87,Formula!H116,11))+Formula!K116*(INDEX(Properties!A$1:CB$87,Formula!J116,11))</f>
        <v>24</v>
      </c>
      <c r="AN116" s="57">
        <f>VARP(IF(INDEX(Properties!A$1:CB$87,Formula!B116,11)&lt;&gt;"",INDEX(Properties!A$1:CB$87,Formula!B116,11)),IF(INDEX(Properties!A$1:CB$87,Formula!D116,11)&lt;&gt;"",INDEX(Properties!A$1:CB$87,Formula!D116,11)),IF(INDEX(Properties!A$1:CB$87,Formula!F116,11)&lt;&gt;"",INDEX(Properties!A$1:CB$87,Formula!F116,11)),IF(INDEX(Properties!A$1:CB$87,Formula!H116,11)&lt;&gt;"",INDEX(Properties!A$1:CB$87,Formula!H116,11)),IF(INDEX(Properties!A$1:CB$87,Formula!J116,11)&lt;&gt;"",INDEX(Properties!A$1:CB$87,Formula!J116,11)))</f>
        <v>0.64</v>
      </c>
      <c r="AO116" s="57">
        <f>MAX(INDEX(Properties!A$1:CB$87,Formula!B116,11),INDEX(Properties!A$1:CB$87,Formula!D116,11),INDEX(Properties!A$1:CB$87,Formula!F116,11),INDEX(Properties!A$1:CB$87,Formula!H116,11),INDEX(Properties!A$1:CB$87,Formula!J116,11))</f>
        <v>2</v>
      </c>
      <c r="AP116" s="57">
        <f>MIN(IF(Formula!B116=87,10^6,INDEX(Properties!A$1:CB$87,Formula!B116,11)),IF((Formula!D116)=87,10^6,INDEX(Properties!A$1:CB$87,Formula!D116,11)),IF((Formula!F116)=87,10^6,INDEX(Properties!A$1:CB$87,Formula!F116,11)),IF((Formula!H116)=87,10^6,INDEX(Properties!A$1:CB$87,Formula!H116,11)),IF(Formula!J116=87,10^6,INDEX(Properties!A$1:CB$87,Formula!J116,11)))</f>
        <v>2</v>
      </c>
      <c r="AQ116" s="57">
        <f t="shared" si="38"/>
        <v>0</v>
      </c>
      <c r="AR116" s="78">
        <f>((Formula!C116)/(Formula!C116+Formula!E116+Formula!G116+Formula!I116+Formula!K116))*(INDEX(Properties!A$1:CB$87,Formula!B116,12))+((Formula!E116)/(Formula!C116+Formula!E116+Formula!G116+Formula!I116+Formula!K116))*(INDEX(Properties!A$1:CB$87,Formula!D116,12))+((Formula!G116)/(Formula!C116+Formula!E116+Formula!G116+Formula!I116+Formula!K116))*(INDEX(Properties!A$1:CB$87,Formula!F116,12))+((Formula!I116)/(Formula!C116+Formula!E116+Formula!G116+Formula!I116+Formula!K116))*(INDEX(Properties!A$1:CB$87,Formula!H116,12))+((Formula!K116)/(Formula!C116+Formula!E116+Formula!G116+Formula!I116+Formula!K116))*(INDEX(Properties!A$1:CB$87,Formula!J116,12))</f>
        <v>2.666666666666667</v>
      </c>
      <c r="AS116" s="78">
        <f>Formula!C116*(INDEX(Properties!A$1:CB$87,Formula!B116,12))+Formula!E116*(INDEX(Properties!A$1:CB$87,Formula!D116,12))+Formula!G116*(INDEX(Properties!A$1:CB$87,Formula!F116,12))+Formula!I116*(INDEX(Properties!A$1:CB$87,Formula!H116,12))+Formula!K116*(INDEX(Properties!A$1:CB$87,Formula!J116,12))</f>
        <v>32</v>
      </c>
      <c r="AT116" s="78">
        <f>VARP(IF(INDEX(Properties!A$1:CB$87,Formula!B116,12)&lt;&gt;"",INDEX(Properties!A$1:CB$87,Formula!B116,12)),IF(INDEX(Properties!A$1:CB$87,Formula!D116,12)&lt;&gt;"",INDEX(Properties!A$1:CB$87,Formula!D116,12)),IF(INDEX(Properties!A$1:CB$87,Formula!F116,12)&lt;&gt;"",INDEX(Properties!A$1:CB$87,Formula!F116,12)),IF(INDEX(Properties!A$1:CB$87,Formula!H116,12)&lt;&gt;"",INDEX(Properties!A$1:CB$87,Formula!H116,12)),IF(INDEX(Properties!A$1:CB$87,Formula!J116,12)&lt;&gt;"",INDEX(Properties!A$1:CB$87,Formula!J116,12)))</f>
        <v>2.56</v>
      </c>
      <c r="AU116" s="78">
        <f>MAX(INDEX(Properties!A$1:CB$87,Formula!B116,12),INDEX(Properties!A$1:CB$87,Formula!D116,12),INDEX(Properties!A$1:CB$87,Formula!F116,12),INDEX(Properties!A$1:CB$87,Formula!H116,12),INDEX(Properties!A$1:CB$87,Formula!J116,12))</f>
        <v>4</v>
      </c>
      <c r="AV116" s="78">
        <f>MIN(IF(Formula!B116=87,10^6,INDEX(Properties!A$1:CB$87,Formula!B116,12)),IF((Formula!D116)=87,10^6,INDEX(Properties!A$1:CB$87,Formula!D116,12)),IF((Formula!F116)=87,10^6,INDEX(Properties!A$1:CB$87,Formula!F116,12)),IF((Formula!H116)=87,10^6,INDEX(Properties!A$1:CB$87,Formula!H116,12)),IF(Formula!J116=87,10^6,INDEX(Properties!A$1:CB$87,Formula!J116,12)))</f>
        <v>0</v>
      </c>
      <c r="AW116" s="78">
        <f t="shared" si="39"/>
        <v>4</v>
      </c>
      <c r="AX116" s="45">
        <f>((Formula!C116)/(Formula!C116+Formula!E116+Formula!G116+Formula!I116+Formula!K116))*(INDEX(Properties!A$1:CB$87,Formula!B116,13))+((Formula!E116)/(Formula!C116+Formula!E116+Formula!G116+Formula!I116+Formula!K116))*(INDEX(Properties!A$1:CB$87,Formula!D116,13))+((Formula!G116)/(Formula!C116+Formula!E116+Formula!G116+Formula!I116+Formula!K116))*(INDEX(Properties!A$1:CB$87,Formula!F116,13))+((Formula!I116)/(Formula!C116+Formula!E116+Formula!G116+Formula!I116+Formula!K116))*(INDEX(Properties!A$1:CB$87,Formula!H116,13))+((Formula!K116)/(Formula!C116+Formula!E116+Formula!G116+Formula!I116+Formula!K116))*(INDEX(Properties!A$1:CB$87,Formula!J116,13))</f>
        <v>0</v>
      </c>
      <c r="AY116" s="45">
        <f>Formula!C116*(INDEX(Properties!A$1:CB$87,Formula!B116,13))+Formula!E116*(INDEX(Properties!A$1:CB$87,Formula!D116,13))+Formula!G116*(INDEX(Properties!A$1:CB$87,Formula!F116,13))+Formula!I116*(INDEX(Properties!A$1:CB$87,Formula!H116,13))+Formula!K116*(INDEX(Properties!A$1:CB$87,Formula!J116,13))</f>
        <v>0</v>
      </c>
      <c r="AZ116" s="45">
        <f>VARP(IF(INDEX(Properties!A$1:CB$87,Formula!B116,13)&lt;&gt;"",INDEX(Properties!A$1:CB$87,Formula!B116,13)),IF(INDEX(Properties!A$1:CB$87,Formula!D116,13)&lt;&gt;"",INDEX(Properties!A$1:CB$87,Formula!D116,13)),IF(INDEX(Properties!A$1:CB$87,Formula!F116,13)&lt;&gt;"",INDEX(Properties!A$1:CB$87,Formula!F116,13)),IF(INDEX(Properties!A$1:CB$87,Formula!H116,13)&lt;&gt;"",INDEX(Properties!A$1:CB$87,Formula!H116,13)),IF(INDEX(Properties!A$1:CB$87,Formula!J116,13)&lt;&gt;"",INDEX(Properties!A$1:CB$87,Formula!J116,13)))</f>
        <v>0</v>
      </c>
      <c r="BA116" s="45">
        <f>MAX(INDEX(Properties!A$1:CB$87,Formula!B116,13),INDEX(Properties!A$1:CB$87,Formula!D116,13),INDEX(Properties!A$1:CB$87,Formula!F116,13),INDEX(Properties!A$1:CB$87,Formula!H116,13),INDEX(Properties!A$1:CB$87,Formula!J116,13))</f>
        <v>0</v>
      </c>
      <c r="BB116" s="45">
        <f>MIN(IF(Formula!B116=87,10^6,INDEX(Properties!A$1:CB$87,Formula!B116,13)),IF((Formula!D116)=87,10^6,INDEX(Properties!A$1:CB$87,Formula!D116,13)),IF((Formula!F116)=87,10^6,INDEX(Properties!A$1:CB$87,Formula!F116,13)),IF((Formula!H116)=87,10^6,INDEX(Properties!A$1:CB$87,Formula!H116,13)),IF(Formula!J116=87,10^6,INDEX(Properties!A$1:CB$87,Formula!J116,13)))</f>
        <v>0</v>
      </c>
      <c r="BC116" s="45">
        <f t="shared" si="40"/>
        <v>0</v>
      </c>
      <c r="BD116" s="63">
        <f>((Formula!C116)/(Formula!C116+Formula!E116+Formula!G116+Formula!I116+Formula!K116))*(INDEX(Properties!A$1:CB$87,Formula!B116,14))+((Formula!E116)/(Formula!C116+Formula!E116+Formula!G116+Formula!I116+Formula!K116))*(INDEX(Properties!A$1:CB$87,Formula!D116,14))+((Formula!G116)/(Formula!C116+Formula!E116+Formula!G116+Formula!I116+Formula!K116))*(INDEX(Properties!A$1:CB$87,Formula!F116,14))+((Formula!I116)/(Formula!C116+Formula!E116+Formula!G116+Formula!I116+Formula!K116))*(INDEX(Properties!A$1:CB$87,Formula!H116,14))+((Formula!K116)/(Formula!C116+Formula!E116+Formula!G116+Formula!I116+Formula!K116))*(INDEX(Properties!A$1:CB$87,Formula!J116,14))</f>
        <v>0</v>
      </c>
      <c r="BE116" s="63">
        <f>Formula!C116*(INDEX(Properties!A$1:CB$87,Formula!B116,14))+Formula!E116*(INDEX(Properties!A$1:CB$87,Formula!D116,14))+Formula!G116*(INDEX(Properties!A$1:CB$87,Formula!F116,14))+Formula!I116*(INDEX(Properties!A$1:CB$87,Formula!H116,14))+Formula!K116*(INDEX(Properties!A$1:CB$87,Formula!J116,14))</f>
        <v>0</v>
      </c>
      <c r="BF116" s="63">
        <f>VARP(IF(INDEX(Properties!A$1:CB$87,Formula!B116,14)&lt;&gt;"",INDEX(Properties!A$1:CB$87,Formula!B116,14)),IF(INDEX(Properties!A$1:CB$87,Formula!D116,14)&lt;&gt;"",INDEX(Properties!A$1:CB$87,Formula!D116,14)),IF(INDEX(Properties!A$1:CB$87,Formula!F116,14)&lt;&gt;"",INDEX(Properties!A$1:CB$87,Formula!F116,14)),IF(INDEX(Properties!A$1:CB$87,Formula!H116,14)&lt;&gt;"",INDEX(Properties!A$1:CB$87,Formula!H116,14)),IF(INDEX(Properties!A$1:CB$87,Formula!J116,14)&lt;&gt;"",INDEX(Properties!A$1:CB$87,Formula!J116,14)))</f>
        <v>0</v>
      </c>
      <c r="BG116" s="63">
        <f>MAX(INDEX(Properties!A$1:CB$87,Formula!B116,14),INDEX(Properties!A$1:CB$87,Formula!D116,14),INDEX(Properties!A$1:CB$87,Formula!F116,14),INDEX(Properties!A$1:CB$87,Formula!H116,14),INDEX(Properties!A$1:CB$87,Formula!J116,14))</f>
        <v>0</v>
      </c>
      <c r="BH116" s="63">
        <f>MIN(IF(Formula!B116=87,10^6,INDEX(Properties!A$1:CB$87,Formula!B116,14)),IF((Formula!D116)=87,10^6,INDEX(Properties!A$1:CB$87,Formula!D116,14)),IF((Formula!F116)=87,10^6,INDEX(Properties!A$1:CB$87,Formula!F116,14)),IF((Formula!H116)=87,10^6,INDEX(Properties!A$1:CB$87,Formula!H116,14)),IF(Formula!J116=87,10^6,INDEX(Properties!A$1:CB$87,Formula!J116,14)))</f>
        <v>0</v>
      </c>
      <c r="BI116" s="63">
        <f t="shared" si="41"/>
        <v>0</v>
      </c>
      <c r="BJ116" s="75">
        <f>((Formula!C116)/(Formula!C116+Formula!E116+Formula!G116+Formula!I116+Formula!K116))*(INDEX(Properties!A$1:CB$87,Formula!B116,19))+((Formula!E116)/(Formula!C116+Formula!E116+Formula!G116+Formula!I116+Formula!K116))*(INDEX(Properties!A$1:CB$87,Formula!D116,19))+((Formula!G116)/(Formula!C116+Formula!E116+Formula!G116+Formula!I116+Formula!K116))*(INDEX(Properties!A$1:CB$87,Formula!F116,19))+((Formula!I116)/(Formula!C116+Formula!E116+Formula!G116+Formula!I116+Formula!K116))*(INDEX(Properties!A$1:CB$87,Formula!H116,19))+((Formula!K116)/(Formula!C116+Formula!E116+Formula!G116+Formula!I116+Formula!K116))*(INDEX(Properties!A$1:CB$87,Formula!J116,19))</f>
        <v>4.6666666666666661</v>
      </c>
      <c r="BK116" s="75">
        <f>Formula!C116*(INDEX(Properties!A$1:CB$87,Formula!B116,19))+Formula!E116*(INDEX(Properties!A$1:CB$87,Formula!D116,19))+Formula!G116*(INDEX(Properties!A$1:CB$87,Formula!F116,19))+Formula!I116*(INDEX(Properties!A$1:CB$87,Formula!H116,19))+Formula!K116*(INDEX(Properties!A$1:CB$87,Formula!J116,19))</f>
        <v>56</v>
      </c>
      <c r="BL116" s="75">
        <f>VARP(IF(INDEX(Properties!A$1:CB$87,Formula!B116,19)&lt;&gt;"",INDEX(Properties!A$1:CB$87,Formula!B116,19)),IF(INDEX(Properties!A$1:CB$87,Formula!D116,19)&lt;&gt;"",INDEX(Properties!A$1:CB$87,Formula!D116,19)),IF(INDEX(Properties!A$1:CB$87,Formula!F116,19)&lt;&gt;"",INDEX(Properties!A$1:CB$87,Formula!F116,19)),IF(INDEX(Properties!A$1:CB$87,Formula!H116,19)&lt;&gt;"",INDEX(Properties!A$1:CB$87,Formula!H116,19)),IF(INDEX(Properties!A$1:CB$87,Formula!J116,19)&lt;&gt;"",INDEX(Properties!A$1:CB$87,Formula!J116,19)))</f>
        <v>4.16</v>
      </c>
      <c r="BM116" s="75">
        <f>MAX(INDEX(Properties!A$1:CB$87,Formula!B116,19),INDEX(Properties!A$1:CB$87,Formula!D116,19),INDEX(Properties!A$1:CB$87,Formula!F116,19),INDEX(Properties!A$1:CB$87,Formula!H116,19),INDEX(Properties!A$1:CB$87,Formula!J116,19))</f>
        <v>6</v>
      </c>
      <c r="BN116" s="75">
        <f>MIN(IF(INDEX(Properties!A$1:CB$87,Formula!B116,19)=0,10^6,INDEX(Properties!A$1:CB$87,Formula!B116,19)),IF(INDEX(Properties!A$1:CB$87,Formula!D116,19)=0,10^6,INDEX(Properties!A$1:CB$87,Formula!D116,19)),IF(INDEX(Properties!A$1:CB$87,Formula!F116,19)=0,10^6,INDEX(Properties!A$1:CB$87,Formula!F116,19)),IF(INDEX(Properties!A$1:CB$87,Formula!H116,19)=0,10^6,INDEX(Properties!A$1:CB$87,Formula!H116,19)),IF(INDEX(Properties!A$1:CB$87,Formula!J116,19)=0,10^6,INDEX(Properties!A$1:CB$87,Formula!J116,19)))</f>
        <v>2</v>
      </c>
      <c r="BO116" s="75">
        <f t="shared" si="42"/>
        <v>4</v>
      </c>
      <c r="BP116" s="48">
        <f>((Formula!C116)/(Formula!C116+Formula!E116+Formula!G116+Formula!I116+Formula!K116))*(INDEX(Properties!A$1:CB$87,Formula!B116,20))+((Formula!E116)/(Formula!C116+Formula!E116+Formula!G116+Formula!I116+Formula!K116))*(INDEX(Properties!A$1:CB$87,Formula!D116,20))+((Formula!G116)/(Formula!C116+Formula!E116+Formula!G116+Formula!I116+Formula!K116))*(INDEX(Properties!A$1:CB$87,Formula!F116,20))+((Formula!I116)/(Formula!C116+Formula!E116+Formula!G116+Formula!I116+Formula!K116))*(INDEX(Properties!A$1:CB$87,Formula!H116,20))+((Formula!K116)/(Formula!C116+Formula!E116+Formula!G116+Formula!I116+Formula!K116))*(INDEX(Properties!A$1:CB$87,Formula!J116,20))</f>
        <v>4.6666666666666661</v>
      </c>
      <c r="BQ116" s="48">
        <f>Formula!C116*(INDEX(Properties!A$1:CB$87,Formula!B116,20))+Formula!E116*(INDEX(Properties!A$1:CB$87,Formula!D116,20))+Formula!G116*(INDEX(Properties!A$1:CB$87,Formula!F116,20))+Formula!I116*(INDEX(Properties!A$1:CB$87,Formula!H116,20))+Formula!K116*(INDEX(Properties!A$1:CB$87,Formula!J116,20))</f>
        <v>56</v>
      </c>
      <c r="BR116" s="48">
        <f>VARP(IF(INDEX(Properties!A$1:CB$87,Formula!B116,20)&lt;&gt;"",INDEX(Properties!A$1:CB$87,Formula!B116,20)),IF(INDEX(Properties!A$1:CB$87,Formula!D116,20)&lt;&gt;"",INDEX(Properties!A$1:CB$87,Formula!D116,20)),IF(INDEX(Properties!A$1:CB$87,Formula!F116,20)&lt;&gt;"",INDEX(Properties!A$1:CB$87,Formula!F116,20)),IF(INDEX(Properties!A$1:CB$87,Formula!H116,20)&lt;&gt;"",INDEX(Properties!A$1:CB$87,Formula!H116,20)),IF(INDEX(Properties!A$1:CB$87,Formula!J116,20)&lt;&gt;"",INDEX(Properties!A$1:CB$87,Formula!J116,20)))</f>
        <v>4.16</v>
      </c>
      <c r="BS116" s="48">
        <f>MAX(INDEX(Properties!A$1:CB$87,Formula!B116,20),INDEX(Properties!A$1:CB$87,Formula!D116,20),INDEX(Properties!A$1:CB$87,Formula!F116,20),INDEX(Properties!A$1:CB$87,Formula!H116,20),INDEX(Properties!A$1:CB$87,Formula!J116,20))</f>
        <v>6</v>
      </c>
      <c r="BT116" s="48">
        <f>MIN(IF(INDEX(Properties!A$1:CB$87,Formula!B116,20)=0,10^6,INDEX(Properties!A$1:CB$87,Formula!B116,20)),IF(INDEX(Properties!A$1:CB$87,Formula!D116,20)=0,10^6,INDEX(Properties!A$1:CB$87,Formula!D116,20)),IF(INDEX(Properties!A$1:CB$87,Formula!F116,20)=0,10^6,INDEX(Properties!A$1:CB$87,Formula!F116,20)),IF(INDEX(Properties!A$1:CB$87,Formula!H116,20)=0,10^6,INDEX(Properties!A$1:CB$87,Formula!H116,20)),IF(INDEX(Properties!A$1:CB$87,Formula!J116,20)=0,10^6,INDEX(Properties!A$1:CB$87,Formula!J116,20)))</f>
        <v>2</v>
      </c>
      <c r="BU116" s="48">
        <f t="shared" si="43"/>
        <v>4</v>
      </c>
      <c r="BV116" s="66">
        <f>((Formula!C116)/(Formula!C116+Formula!E116+Formula!G116+Formula!I116+Formula!K116))*(INDEX(Properties!A$1:CB$87,Formula!B116,21))+((Formula!E116)/(Formula!C116+Formula!E116+Formula!G116+Formula!I116+Formula!K116))*(INDEX(Properties!A$1:CB$87,Formula!D116,21))+((Formula!G116)/(Formula!C116+Formula!E116+Formula!G116+Formula!I116+Formula!K116))*(INDEX(Properties!A$1:CB$87,Formula!F116,21))+((Formula!I116)/(Formula!C116+Formula!E116+Formula!G116+Formula!I116+Formula!K116))*(INDEX(Properties!A$1:CB$87,Formula!H116,21))+((Formula!K116)/(Formula!C116+Formula!E116+Formula!G116+Formula!I116+Formula!K116))*(INDEX(Properties!A$1:CB$87,Formula!J116,21))</f>
        <v>4.6666666666666661</v>
      </c>
      <c r="BW116" s="66">
        <f>Formula!C116*(INDEX(Properties!A$1:CB$87,Formula!B116,21))+Formula!E116*(INDEX(Properties!A$1:CB$87,Formula!D116,21))+Formula!G116*(INDEX(Properties!A$1:CB$87,Formula!F116,21))+Formula!I116*(INDEX(Properties!A$1:CB$87,Formula!H116,21))+Formula!K116*(INDEX(Properties!A$1:CB$87,Formula!J116,21))</f>
        <v>56</v>
      </c>
      <c r="BX116" s="66">
        <f>VARP(IF(INDEX(Properties!A$1:CB$87,Formula!B116,21)&lt;&gt;"",INDEX(Properties!A$1:CB$87,Formula!B116,21)),IF(INDEX(Properties!A$1:CB$87,Formula!D116,21)&lt;&gt;"",INDEX(Properties!A$1:CB$87,Formula!D116,21)),IF(INDEX(Properties!A$1:CB$87,Formula!F116,21)&lt;&gt;"",INDEX(Properties!A$1:CB$87,Formula!F116,21)),IF(INDEX(Properties!A$1:CB$87,Formula!H116,21)&lt;&gt;"",INDEX(Properties!A$1:CB$87,Formula!H116,21)),IF(INDEX(Properties!A$1:CB$87,Formula!J116,21)&lt;&gt;"",INDEX(Properties!A$1:CB$87,Formula!J116,21)))</f>
        <v>4.16</v>
      </c>
      <c r="BY116" s="66">
        <f>MAX(INDEX(Properties!A$1:CB$87,Formula!B116,21),INDEX(Properties!A$1:CB$87,Formula!D116,21),INDEX(Properties!A$1:CB$87,Formula!F116,21),INDEX(Properties!A$1:CB$87,Formula!H116,21),INDEX(Properties!A$1:CB$87,Formula!J116,21))</f>
        <v>6</v>
      </c>
      <c r="BZ116" s="66">
        <f>MIN(IF(INDEX(Properties!A$1:CB$87,Formula!B116,21)=0,10^6,INDEX(Properties!A$1:CB$87,Formula!B116,21)),IF(INDEX(Properties!A$1:CB$87,Formula!D116,21)=0,10^6,INDEX(Properties!A$1:CB$87,Formula!D116,21)),IF(INDEX(Properties!A$1:CB$87,Formula!F116,21)=0,10^6,INDEX(Properties!A$1:CB$87,Formula!F116,21)),IF(INDEX(Properties!A$1:CB$87,Formula!H116,21)=0,10^6,INDEX(Properties!A$1:CB$87,Formula!H116,21)),IF(INDEX(Properties!A$1:CB$87,Formula!J116,21)=0,10^6,INDEX(Properties!A$1:CB$87,Formula!J116,21)))</f>
        <v>2</v>
      </c>
      <c r="CA116" s="66">
        <f t="shared" si="44"/>
        <v>4</v>
      </c>
      <c r="CB116" s="81">
        <f>((Formula!C116)/(Formula!C116+Formula!E116+Formula!G116+Formula!I116+Formula!K116))*(INDEX(Properties!A$1:CB$87,Formula!B116,23))+((Formula!E116)/(Formula!C116+Formula!E116+Formula!G116+Formula!I116+Formula!K116))*(INDEX(Properties!A$1:CB$87,Formula!D116,23))+((Formula!G116)/(Formula!C116+Formula!E116+Formula!G116+Formula!I116+Formula!K116))*(INDEX(Properties!A$1:CB$87,Formula!F116,23))+((Formula!I116)/(Formula!C116+Formula!E116+Formula!G116+Formula!I116+Formula!K116))*(INDEX(Properties!A$1:CB$87,Formula!H116,23))+((Formula!K116)/(Formula!C116+Formula!E116+Formula!G116+Formula!I116+Formula!K116))*(INDEX(Properties!A$1:CB$87,Formula!J116,23))</f>
        <v>1.1666666666666665</v>
      </c>
      <c r="CC116" s="81">
        <f>Formula!C116*(INDEX(Properties!A$1:CB$87,Formula!B116,23))+Formula!E116*(INDEX(Properties!A$1:CB$87,Formula!D116,23))+Formula!G116*(INDEX(Properties!A$1:CB$87,Formula!F116,23))+Formula!I116*(INDEX(Properties!A$1:CB$87,Formula!H116,23))+Formula!K116*(INDEX(Properties!A$1:CB$87,Formula!J116,23))</f>
        <v>14</v>
      </c>
      <c r="CD116" s="81">
        <f>VARP(IF(INDEX(Properties!A$1:CB$87,Formula!B116,23)&lt;&gt;"",INDEX(Properties!A$1:CB$87,Formula!B116,23)),IF(INDEX(Properties!A$1:CB$87,Formula!D116,23)&lt;&gt;"",INDEX(Properties!A$1:CB$87,Formula!D116,23)),IF(INDEX(Properties!A$1:CB$87,Formula!F116,23)&lt;&gt;"",INDEX(Properties!A$1:CB$87,Formula!F116,23)),IF(INDEX(Properties!A$1:CB$87,Formula!H116,23)&lt;&gt;"",INDEX(Properties!A$1:CB$87,Formula!H116,23)),IF(INDEX(Properties!A$1:CB$87,Formula!J116,23)&lt;&gt;"",INDEX(Properties!A$1:CB$87,Formula!J116,23)))</f>
        <v>2.2400000000000002</v>
      </c>
      <c r="CE116" s="81">
        <f>MAX(INDEX(Properties!A$1:CB$87,Formula!B116,23),INDEX(Properties!A$1:CB$87,Formula!D116,23),INDEX(Properties!A$1:CB$87,Formula!F116,23),INDEX(Properties!A$1:CB$87,Formula!H116,23),INDEX(Properties!A$1:CB$87,Formula!J116,23))</f>
        <v>4</v>
      </c>
      <c r="CF116" s="81">
        <f>MIN(IF(Formula!B116=87,10^6,INDEX(Properties!A$1:CB$87,Formula!B116,23)),IF((Formula!D116)=87,10^6,INDEX(Properties!A$1:CB$87,Formula!D116,23)),IF((Formula!F116)=87,10^6,INDEX(Properties!A$1:CB$87,Formula!F116,23)),IF((Formula!H116)=87,10^6,INDEX(Properties!A$1:CB$87,Formula!H116,23)),IF(Formula!J116=87,10^6,INDEX(Properties!A$1:CB$87,Formula!J116,23)))</f>
        <v>0</v>
      </c>
      <c r="CG116" s="81">
        <f t="shared" si="45"/>
        <v>4</v>
      </c>
      <c r="CH116" s="39">
        <f>((Formula!C116)/(Formula!C116+Formula!E116+Formula!G116+Formula!I116+Formula!K116))*(INDEX(Properties!A$1:CB$87,Formula!B116,26))+((Formula!E116)/(Formula!C116+Formula!E116+Formula!G116+Formula!I116+Formula!K116))*(INDEX(Properties!A$1:CB$87,Formula!D116,26))+((Formula!G116)/(Formula!C116+Formula!E116+Formula!G116+Formula!I116+Formula!K116))*(INDEX(Properties!A$1:CB$87,Formula!F116,26))+((Formula!I116)/(Formula!C116+Formula!E116+Formula!G116+Formula!I116+Formula!K116))*(INDEX(Properties!A$1:CB$87,Formula!H116,26))+((Formula!K116)/(Formula!C116+Formula!E116+Formula!G116+Formula!I116+Formula!K116))*(INDEX(Properties!A$1:CB$87,Formula!J116,26))</f>
        <v>10.808308333333335</v>
      </c>
      <c r="CI116" s="39">
        <f>Formula!C116*(INDEX(Properties!A$1:CB$87,Formula!B116,26))+Formula!E116*(INDEX(Properties!A$1:CB$87,Formula!D116,26))+Formula!G116*(INDEX(Properties!A$1:CB$87,Formula!F116,26))+Formula!I116*(INDEX(Properties!A$1:CB$87,Formula!H116,26))+Formula!K116*(INDEX(Properties!A$1:CB$87,Formula!J116,26))</f>
        <v>129.69970000000001</v>
      </c>
      <c r="CJ116" s="39">
        <f>VARP(IF(INDEX(Properties!A$1:CB$87,Formula!B116,26)&lt;&gt;"",INDEX(Properties!A$1:CB$87,Formula!B116,26)),IF(INDEX(Properties!A$1:CB$87,Formula!D116,26)&lt;&gt;"",INDEX(Properties!A$1:CB$87,Formula!D116,26)),IF(INDEX(Properties!A$1:CB$87,Formula!F116,26)&lt;&gt;"",INDEX(Properties!A$1:CB$87,Formula!F116,26)),IF(INDEX(Properties!A$1:CB$87,Formula!H116,26)&lt;&gt;"",INDEX(Properties!A$1:CB$87,Formula!H116,26)),IF(INDEX(Properties!A$1:CB$87,Formula!J116,26)&lt;&gt;"",INDEX(Properties!A$1:CB$87,Formula!J116,26)))</f>
        <v>19.542706074400019</v>
      </c>
      <c r="CK116" s="39">
        <f>MAX(INDEX(Properties!A$1:CB$87,Formula!B116,26),INDEX(Properties!A$1:CB$87,Formula!D116,26),INDEX(Properties!A$1:CB$87,Formula!F116,26),INDEX(Properties!A$1:CB$87,Formula!H116,26),INDEX(Properties!A$1:CB$87,Formula!J116,26))</f>
        <v>13.6181</v>
      </c>
      <c r="CL116" s="39">
        <f>MIN(IF(INDEX(Properties!A$1:CB$87,Formula!B116,26)=0,10^6,INDEX(Properties!A$1:CB$87,Formula!B116,26)),IF(INDEX(Properties!A$1:CB$87,Formula!D116,26)=0,10^6,INDEX(Properties!A$1:CB$87,Formula!D116,26)),IF(INDEX(Properties!A$1:CB$87,Formula!F116,26)=0,10^6,INDEX(Properties!A$1:CB$87,Formula!F116,26)),IF(INDEX(Properties!A$1:CB$87,Formula!H116,26)=0,10^6,INDEX(Properties!A$1:CB$87,Formula!H116,26)),IF(INDEX(Properties!A$1:CB$87,Formula!J116,26)=0,10^6,INDEX(Properties!A$1:CB$87,Formula!J116,26)))</f>
        <v>5.2117000000000004</v>
      </c>
      <c r="CM116" s="39">
        <f t="shared" si="46"/>
        <v>8.4063999999999997</v>
      </c>
      <c r="CN116" s="54">
        <f>((Formula!C116)/(Formula!C116+Formula!E116+Formula!G116+Formula!I116+Formula!K116))*(INDEX(Properties!A$1:CB$87,Formula!B116,30))+((Formula!E116)/(Formula!C116+Formula!E116+Formula!G116+Formula!I116+Formula!K116))*(INDEX(Properties!A$1:CB$87,Formula!D116,30))+((Formula!G116)/(Formula!C116+Formula!E116+Formula!G116+Formula!I116+Formula!K116))*(INDEX(Properties!A$1:CB$87,Formula!F116,30))+((Formula!I116)/(Formula!C116+Formula!E116+Formula!G116+Formula!I116+Formula!K116))*(INDEX(Properties!A$1:CB$87,Formula!H116,30))+((Formula!K116)/(Formula!C116+Formula!E116+Formula!G116+Formula!I116+Formula!K116))*(INDEX(Properties!A$1:CB$87,Formula!J116,30))</f>
        <v>2.5808333333333335</v>
      </c>
      <c r="CO116" s="54">
        <f>Formula!C116*(INDEX(Properties!A$1:CB$87,Formula!B116,30))+Formula!E116*(INDEX(Properties!A$1:CB$87,Formula!D116,30))+Formula!G116*(INDEX(Properties!A$1:CB$87,Formula!F116,30))+Formula!I116*(INDEX(Properties!A$1:CB$87,Formula!H116,30))+Formula!K116*(INDEX(Properties!A$1:CB$87,Formula!J116,30))</f>
        <v>30.97</v>
      </c>
      <c r="CP116" s="54">
        <f>VARP(IF(INDEX(Properties!A$1:CB$87,Formula!B116,30)&lt;&gt;"",INDEX(Properties!A$1:CB$87,Formula!B116,30)),IF(INDEX(Properties!A$1:CB$87,Formula!D116,30)&lt;&gt;"",INDEX(Properties!A$1:CB$87,Formula!D116,30)),IF(INDEX(Properties!A$1:CB$87,Formula!F116,30)&lt;&gt;"",INDEX(Properties!A$1:CB$87,Formula!F116,30)),IF(INDEX(Properties!A$1:CB$87,Formula!H116,30)&lt;&gt;"",INDEX(Properties!A$1:CB$87,Formula!H116,30)),IF(INDEX(Properties!A$1:CB$87,Formula!J116,30)&lt;&gt;"",INDEX(Properties!A$1:CB$87,Formula!J116,30)))</f>
        <v>1.3162959999999999</v>
      </c>
      <c r="CQ116" s="54">
        <f>MAX(INDEX(Properties!A$1:CB$87,Formula!B116,30),INDEX(Properties!A$1:CB$87,Formula!D116,30),INDEX(Properties!A$1:CB$87,Formula!F116,30),INDEX(Properties!A$1:CB$87,Formula!H116,30),INDEX(Properties!A$1:CB$87,Formula!J116,30))</f>
        <v>3.44</v>
      </c>
      <c r="CR116" s="54">
        <f>MIN(IF(INDEX(Properties!A$1:CB$87,Formula!B116,30)=0,10^6,INDEX(Properties!A$1:CB$87,Formula!B116,30)),IF(INDEX(Properties!A$1:CB$87,Formula!D116,30)=0,10^6,INDEX(Properties!A$1:CB$87,Formula!D116,30)),IF(INDEX(Properties!A$1:CB$87,Formula!F116,30)=0,10^6,INDEX(Properties!A$1:CB$87,Formula!F116,30)),IF(INDEX(Properties!A$1:CB$87,Formula!H116,30)=0,10^6,INDEX(Properties!A$1:CB$87,Formula!H116,30)),IF(INDEX(Properties!A$1:CB$87,Formula!J116,30)=0,10^6,INDEX(Properties!A$1:CB$87,Formula!J116,30)))</f>
        <v>0.89</v>
      </c>
      <c r="CS116" s="54">
        <f t="shared" si="47"/>
        <v>2.5499999999999998</v>
      </c>
      <c r="CT116" s="69">
        <f>((Formula!C116)/(Formula!C116+Formula!E116+Formula!G116+Formula!I116+Formula!K116))*(INDEX(Properties!A$1:CB$87,Formula!B116,31))+((Formula!E116)/(Formula!C116+Formula!E116+Formula!G116+Formula!I116+Formula!K116))*(INDEX(Properties!A$1:CB$87,Formula!D116,31))+((Formula!G116)/(Formula!C116+Formula!E116+Formula!G116+Formula!I116+Formula!K116))*(INDEX(Properties!A$1:CB$87,Formula!F116,31))+((Formula!I116)/(Formula!C116+Formula!E116+Formula!G116+Formula!I116+Formula!K116))*(INDEX(Properties!A$1:CB$87,Formula!H116,31))+((Formula!K116)/(Formula!C116+Formula!E116+Formula!G116+Formula!I116+Formula!K116))*(INDEX(Properties!A$1:CB$87,Formula!J116,31))</f>
        <v>2.5558333333333332</v>
      </c>
      <c r="CU116" s="69">
        <f>Formula!C116*(INDEX(Properties!A$1:CB$87,Formula!B116,31))+Formula!E116*(INDEX(Properties!A$1:CB$87,Formula!D116,31))+Formula!G116*(INDEX(Properties!A$1:CB$87,Formula!F116,31))+Formula!I116*(INDEX(Properties!A$1:CB$87,Formula!H116,31))+Formula!K116*(INDEX(Properties!A$1:CB$87,Formula!J116,31))</f>
        <v>30.669999999999998</v>
      </c>
      <c r="CV116" s="69">
        <f>VARP(IF(INDEX(Properties!A$1:CB$87,Formula!B116,31)&lt;&gt;"",INDEX(Properties!A$1:CB$87,Formula!B116,31)),IF(INDEX(Properties!A$1:CB$87,Formula!D116,31)&lt;&gt;"",INDEX(Properties!A$1:CB$87,Formula!D116,31)),IF(INDEX(Properties!A$1:CB$87,Formula!F116,31)&lt;&gt;"",INDEX(Properties!A$1:CB$87,Formula!F116,31)),IF(INDEX(Properties!A$1:CB$87,Formula!H116,31)&lt;&gt;"",INDEX(Properties!A$1:CB$87,Formula!H116,31)),IF(INDEX(Properties!A$1:CB$87,Formula!J116,31)&lt;&gt;"",INDEX(Properties!A$1:CB$87,Formula!J116,31)))</f>
        <v>1.199616</v>
      </c>
      <c r="CW116" s="69">
        <f>MAX(INDEX(Properties!A$1:CB$87,Formula!B116,31),INDEX(Properties!A$1:CB$87,Formula!D116,31),INDEX(Properties!A$1:CB$87,Formula!F116,31),INDEX(Properties!A$1:CB$87,Formula!H116,31),INDEX(Properties!A$1:CB$87,Formula!J116,31))</f>
        <v>3.32</v>
      </c>
      <c r="CX116" s="69">
        <f>MIN(IF(INDEX(Properties!A$1:CB$87,Formula!B116,31)=0,10^6,INDEX(Properties!A$1:CB$87,Formula!B116,31)),IF(INDEX(Properties!A$1:CB$87,Formula!D116,31)=0,10^6,INDEX(Properties!A$1:CB$87,Formula!D116,31)),IF(INDEX(Properties!A$1:CB$87,Formula!F116,31)=0,10^6,INDEX(Properties!A$1:CB$87,Formula!F116,31)),IF(INDEX(Properties!A$1:CB$87,Formula!H116,31)=0,10^6,INDEX(Properties!A$1:CB$87,Formula!H116,31)),IF(INDEX(Properties!A$1:CB$87,Formula!J116,31)=0,10^6,INDEX(Properties!A$1:CB$87,Formula!J116,31)))</f>
        <v>1.08</v>
      </c>
      <c r="CY116" s="69">
        <f t="shared" si="48"/>
        <v>2.2399999999999998</v>
      </c>
      <c r="CZ116" s="42">
        <f>((Formula!C116)/(Formula!C116+Formula!E116+Formula!G116+Formula!I116+Formula!K116))*(INDEX(Properties!A$1:CB$87,Formula!B116,32))+((Formula!E116)/(Formula!C116+Formula!E116+Formula!G116+Formula!I116+Formula!K116))*(INDEX(Properties!A$1:CB$87,Formula!D116,32))+((Formula!G116)/(Formula!C116+Formula!E116+Formula!G116+Formula!I116+Formula!K116))*(INDEX(Properties!A$1:CB$87,Formula!F116,32))+((Formula!I116)/(Formula!C116+Formula!E116+Formula!G116+Formula!I116+Formula!K116))*(INDEX(Properties!A$1:CB$87,Formula!H116,32))+((Formula!K116)/(Formula!C116+Formula!E116+Formula!G116+Formula!I116+Formula!K116))*(INDEX(Properties!A$1:CB$87,Formula!J116,32))</f>
        <v>5.9058333333333337</v>
      </c>
      <c r="DA116" s="42">
        <f>Formula!C116*(INDEX(Properties!A$1:CB$87,Formula!B116,32))+Formula!E116*(INDEX(Properties!A$1:CB$87,Formula!D116,32))+Formula!G116*(INDEX(Properties!A$1:CB$87,Formula!F116,32))+Formula!I116*(INDEX(Properties!A$1:CB$87,Formula!H116,32))+Formula!K116*(INDEX(Properties!A$1:CB$87,Formula!J116,32))</f>
        <v>70.87</v>
      </c>
      <c r="DB116" s="42">
        <f>VARP(IF(INDEX(Properties!A$1:CB$87,Formula!B116,32)&lt;&gt;"",INDEX(Properties!A$1:CB$87,Formula!B116,32)),IF(INDEX(Properties!A$1:CB$87,Formula!D116,32)&lt;&gt;"",INDEX(Properties!A$1:CB$87,Formula!D116,32)),IF(INDEX(Properties!A$1:CB$87,Formula!F116,32)&lt;&gt;"",INDEX(Properties!A$1:CB$87,Formula!F116,32)),IF(INDEX(Properties!A$1:CB$87,Formula!H116,32)&lt;&gt;"",INDEX(Properties!A$1:CB$87,Formula!H116,32)),IF(INDEX(Properties!A$1:CB$87,Formula!J116,32)&lt;&gt;"",INDEX(Properties!A$1:CB$87,Formula!J116,32)))</f>
        <v>6.2545359999999981</v>
      </c>
      <c r="DC116" s="42">
        <f>MAX(INDEX(Properties!A$1:CB$87,Formula!B116,32),INDEX(Properties!A$1:CB$87,Formula!D116,32),INDEX(Properties!A$1:CB$87,Formula!F116,32),INDEX(Properties!A$1:CB$87,Formula!H116,32),INDEX(Properties!A$1:CB$87,Formula!J116,32))</f>
        <v>7.54</v>
      </c>
      <c r="DD116" s="42">
        <f>MIN(IF(INDEX(Properties!A$1:CB$87,Formula!B116,32)=0,10^6,INDEX(Properties!A$1:CB$87,Formula!B116,32)),IF(INDEX(Properties!A$1:CB$87,Formula!D116,32)=0,10^6,INDEX(Properties!A$1:CB$87,Formula!D116,32)),IF(INDEX(Properties!A$1:CB$87,Formula!F116,32)=0,10^6,INDEX(Properties!A$1:CB$87,Formula!F116,32)),IF(INDEX(Properties!A$1:CB$87,Formula!H116,32)=0,10^6,INDEX(Properties!A$1:CB$87,Formula!H116,32)),IF(INDEX(Properties!A$1:CB$87,Formula!J116,32)=0,10^6,INDEX(Properties!A$1:CB$87,Formula!J116,32)))</f>
        <v>2.4</v>
      </c>
      <c r="DE116" s="42">
        <f t="shared" si="49"/>
        <v>5.1400000000000006</v>
      </c>
      <c r="DF116" s="60">
        <f>((Formula!C116)/(Formula!C116+Formula!E116+Formula!G116+Formula!I116+Formula!K116))*(INDEX(Properties!A$1:CB$87,Formula!B116,34))+((Formula!E116)/(Formula!C116+Formula!E116+Formula!G116+Formula!I116+Formula!K116))*(INDEX(Properties!A$1:CB$87,Formula!D116,34))+((Formula!G116)/(Formula!C116+Formula!E116+Formula!G116+Formula!I116+Formula!K116))*(INDEX(Properties!A$1:CB$87,Formula!F116,34))+((Formula!I116)/(Formula!C116+Formula!E116+Formula!G116+Formula!I116+Formula!K116))*(INDEX(Properties!A$1:CB$87,Formula!H116,34))+((Formula!K116)/(Formula!C116+Formula!E116+Formula!G116+Formula!I116+Formula!K116))*(INDEX(Properties!A$1:CB$87,Formula!J116,34))</f>
        <v>2.6797500000000003</v>
      </c>
      <c r="DG116" s="60">
        <f>Formula!C116*(INDEX(Properties!A$1:CB$87,Formula!B116,34))+Formula!E116*(INDEX(Properties!A$1:CB$87,Formula!D116,34))+Formula!G116*(INDEX(Properties!A$1:CB$87,Formula!F116,34))+Formula!I116*(INDEX(Properties!A$1:CB$87,Formula!H116,34))+Formula!K116*(INDEX(Properties!A$1:CB$87,Formula!J116,34))</f>
        <v>32.156999999999996</v>
      </c>
      <c r="DH116" s="60">
        <f>VARP(IF(INDEX(Properties!A$1:CB$87,Formula!B116,34)&lt;&gt;"",INDEX(Properties!A$1:CB$87,Formula!B116,34)),IF(INDEX(Properties!A$1:CB$87,Formula!D116,34)&lt;&gt;"",INDEX(Properties!A$1:CB$87,Formula!D116,34)),IF(INDEX(Properties!A$1:CB$87,Formula!F116,34)&lt;&gt;"",INDEX(Properties!A$1:CB$87,Formula!F116,34)),IF(INDEX(Properties!A$1:CB$87,Formula!H116,34)&lt;&gt;"",INDEX(Properties!A$1:CB$87,Formula!H116,34)),IF(INDEX(Properties!A$1:CB$87,Formula!J116,34)&lt;&gt;"",INDEX(Properties!A$1:CB$87,Formula!J116,34)))</f>
        <v>1.4586332000000004</v>
      </c>
      <c r="DI116" s="60">
        <f>MAX(INDEX(Properties!A$1:CB$87,Formula!B116,34),INDEX(Properties!A$1:CB$87,Formula!D116,34),INDEX(Properties!A$1:CB$87,Formula!F116,34),INDEX(Properties!A$1:CB$87,Formula!H116,34),INDEX(Properties!A$1:CB$87,Formula!J116,34))</f>
        <v>3.61</v>
      </c>
      <c r="DJ116" s="60">
        <f>MIN(IF(INDEX(Properties!A$1:CB$87,Formula!B116,34)=0,10^6,INDEX(Properties!A$1:CB$87,Formula!B116,34)),IF(INDEX(Properties!A$1:CB$87,Formula!D116,34)=0,10^6,INDEX(Properties!A$1:CB$87,Formula!D116,34)),IF(INDEX(Properties!A$1:CB$87,Formula!F116,34)=0,10^6,INDEX(Properties!A$1:CB$87,Formula!F116,34)),IF(INDEX(Properties!A$1:CB$87,Formula!H116,34)=0,10^6,INDEX(Properties!A$1:CB$87,Formula!H116,34)),IF(INDEX(Properties!A$1:CB$87,Formula!J116,34)=0,10^6,INDEX(Properties!A$1:CB$87,Formula!J116,34)))</f>
        <v>0.88100000000000001</v>
      </c>
      <c r="DK116" s="60">
        <f t="shared" si="50"/>
        <v>2.7290000000000001</v>
      </c>
      <c r="DL116" s="45">
        <f>((Formula!C116)/(Formula!C116+Formula!E116+Formula!G116+Formula!I116+Formula!K116))*(INDEX(Properties!A$1:CB$87,Formula!B116,39))+((Formula!E116)/(Formula!C116+Formula!E116+Formula!G116+Formula!I116+Formula!K116))*(INDEX(Properties!A$1:CB$87,Formula!D116,39))+((Formula!G116)/(Formula!C116+Formula!E116+Formula!G116+Formula!I116+Formula!K116))*(INDEX(Properties!A$1:CB$87,Formula!F116,39))+((Formula!I116)/(Formula!C116+Formula!E116+Formula!G116+Formula!I116+Formula!K116))*(INDEX(Properties!A$1:CB$87,Formula!H116,39))+((Formula!K116)/(Formula!C116+Formula!E116+Formula!G116+Formula!I116+Formula!K116))*(INDEX(Properties!A$1:CB$87,Formula!J116,39))</f>
        <v>1.0075000000000001</v>
      </c>
      <c r="DM116" s="45">
        <f>Formula!C116*(INDEX(Properties!A$1:CB$87,Formula!B116,39))+Formula!E116*(INDEX(Properties!A$1:CB$87,Formula!D116,39))+Formula!G116*(INDEX(Properties!A$1:CB$87,Formula!F116,39))+Formula!I116*(INDEX(Properties!A$1:CB$87,Formula!H116,39))+Formula!K116*(INDEX(Properties!A$1:CB$87,Formula!J116,39))</f>
        <v>12.09</v>
      </c>
      <c r="DN116" s="45">
        <f>VARP(IF(INDEX(Properties!A$1:CB$87,Formula!B116,39)&lt;&gt;"",INDEX(Properties!A$1:CB$87,Formula!B116,39)),IF(INDEX(Properties!A$1:CB$87,Formula!D116,39)&lt;&gt;"",INDEX(Properties!A$1:CB$87,Formula!D116,39)),IF(INDEX(Properties!A$1:CB$87,Formula!F116,39)&lt;&gt;"",INDEX(Properties!A$1:CB$87,Formula!F116,39)),IF(INDEX(Properties!A$1:CB$87,Formula!H116,39)&lt;&gt;"",INDEX(Properties!A$1:CB$87,Formula!H116,39)),IF(INDEX(Properties!A$1:CB$87,Formula!J116,39)&lt;&gt;"",INDEX(Properties!A$1:CB$87,Formula!J116,39)))</f>
        <v>0.75218399999999974</v>
      </c>
      <c r="DO116" s="45">
        <f>MAX(INDEX(Properties!A$1:CB$87,Formula!B116,39),INDEX(Properties!A$1:CB$87,Formula!D116,39),INDEX(Properties!A$1:CB$87,Formula!F116,39),INDEX(Properties!A$1:CB$87,Formula!H116,39),INDEX(Properties!A$1:CB$87,Formula!J116,39))</f>
        <v>2.5299999999999998</v>
      </c>
      <c r="DP116" s="45">
        <f>MIN(IF(INDEX(Properties!A$1:CB$87,Formula!B116,39)=0,10^6,INDEX(Properties!A$1:CB$87,Formula!B116,39)),IF(INDEX(Properties!A$1:CB$87,Formula!D116,39)=0,10^6,INDEX(Properties!A$1:CB$87,Formula!D116,39)),IF(INDEX(Properties!A$1:CB$87,Formula!F116,39)=0,10^6,INDEX(Properties!A$1:CB$87,Formula!F116,39)),IF(INDEX(Properties!A$1:CB$87,Formula!H116,39)=0,10^6,INDEX(Properties!A$1:CB$87,Formula!H116,39)),IF(INDEX(Properties!A$1:CB$87,Formula!J116,39)=0,10^6,INDEX(Properties!A$1:CB$87,Formula!J116,39)))</f>
        <v>0.48</v>
      </c>
      <c r="DQ116" s="45">
        <f t="shared" si="51"/>
        <v>2.0499999999999998</v>
      </c>
      <c r="DR116" s="63">
        <f>((Formula!C116)/(Formula!C116+Formula!E116+Formula!G116+Formula!I116+Formula!K116))*(INDEX(Properties!A$1:CB$87,Formula!B116,40))+((Formula!E116)/(Formula!C116+Formula!E116+Formula!G116+Formula!I116+Formula!K116))*(INDEX(Properties!A$1:CB$87,Formula!D116,40))+((Formula!G116)/(Formula!C116+Formula!E116+Formula!G116+Formula!I116+Formula!K116))*(INDEX(Properties!A$1:CB$87,Formula!F116,40))+((Formula!I116)/(Formula!C116+Formula!E116+Formula!G116+Formula!I116+Formula!K116))*(INDEX(Properties!A$1:CB$87,Formula!H116,40))+((Formula!K116)/(Formula!C116+Formula!E116+Formula!G116+Formula!I116+Formula!K116))*(INDEX(Properties!A$1:CB$87,Formula!J116,40))</f>
        <v>1.0491666666666666</v>
      </c>
      <c r="DS116" s="63">
        <f>Formula!C116*(INDEX(Properties!A$1:CB$87,Formula!B116,40))+Formula!E116*(INDEX(Properties!A$1:CB$87,Formula!D116,40))+Formula!G116*(INDEX(Properties!A$1:CB$87,Formula!F116,40))+Formula!I116*(INDEX(Properties!A$1:CB$87,Formula!H116,40))+Formula!K116*(INDEX(Properties!A$1:CB$87,Formula!J116,40))</f>
        <v>12.59</v>
      </c>
      <c r="DT116" s="63">
        <f>VARP(IF(INDEX(Properties!A$1:CB$87,Formula!B116,40)&lt;&gt;"",INDEX(Properties!A$1:CB$87,Formula!B116,40)),IF(INDEX(Properties!A$1:CB$87,Formula!D116,40)&lt;&gt;"",INDEX(Properties!A$1:CB$87,Formula!D116,40)),IF(INDEX(Properties!A$1:CB$87,Formula!F116,40)&lt;&gt;"",INDEX(Properties!A$1:CB$87,Formula!F116,40)),IF(INDEX(Properties!A$1:CB$87,Formula!H116,40)&lt;&gt;"",INDEX(Properties!A$1:CB$87,Formula!H116,40)),IF(INDEX(Properties!A$1:CB$87,Formula!J116,40)&lt;&gt;"",INDEX(Properties!A$1:CB$87,Formula!J116,40)))</f>
        <v>0.42650399999999961</v>
      </c>
      <c r="DU116" s="63">
        <f>MAX(INDEX(Properties!A$1:CB$87,Formula!B116,40),INDEX(Properties!A$1:CB$87,Formula!D116,40),INDEX(Properties!A$1:CB$87,Formula!F116,40),INDEX(Properties!A$1:CB$87,Formula!H116,40),INDEX(Properties!A$1:CB$87,Formula!J116,40))</f>
        <v>1.98</v>
      </c>
      <c r="DV116" s="63">
        <f>MIN(IF(INDEX(Properties!A$1:CB$87,Formula!B116,40)=0,10^6,INDEX(Properties!A$1:CB$87,Formula!B116,40)),IF(INDEX(Properties!A$1:CB$87,Formula!D116,40)=0,10^6,INDEX(Properties!A$1:CB$87,Formula!D116,40)),IF(INDEX(Properties!A$1:CB$87,Formula!F116,40)=0,10^6,INDEX(Properties!A$1:CB$87,Formula!F116,40)),IF(INDEX(Properties!A$1:CB$87,Formula!H116,40)=0,10^6,INDEX(Properties!A$1:CB$87,Formula!H116,40)),IF(INDEX(Properties!A$1:CB$87,Formula!J116,40)=0,10^6,INDEX(Properties!A$1:CB$87,Formula!J116,40)))</f>
        <v>0.73</v>
      </c>
      <c r="DW116" s="63">
        <f t="shared" si="52"/>
        <v>1.25</v>
      </c>
      <c r="DX116" s="75">
        <f>((Formula!C116)/(Formula!C116+Formula!E116+Formula!G116+Formula!I116+Formula!K116))*(INDEX(Properties!A$1:CB$87,Formula!B116,41))+((Formula!E116)/(Formula!C116+Formula!E116+Formula!G116+Formula!I116+Formula!K116))*(INDEX(Properties!A$1:CB$87,Formula!D116,41))+((Formula!G116)/(Formula!C116+Formula!E116+Formula!G116+Formula!I116+Formula!K116))*(INDEX(Properties!A$1:CB$87,Formula!F116,41))+((Formula!I116)/(Formula!C116+Formula!E116+Formula!G116+Formula!I116+Formula!K116))*(INDEX(Properties!A$1:CB$87,Formula!H116,41))+((Formula!K116)/(Formula!C116+Formula!E116+Formula!G116+Formula!I116+Formula!K116))*(INDEX(Properties!A$1:CB$87,Formula!J116,41))</f>
        <v>1.145</v>
      </c>
      <c r="DY116" s="75">
        <f>Formula!C116*(INDEX(Properties!A$1:CB$87,Formula!B116,41))+Formula!E116*(INDEX(Properties!A$1:CB$87,Formula!D116,41))+Formula!G116*(INDEX(Properties!A$1:CB$87,Formula!F116,41))+Formula!I116*(INDEX(Properties!A$1:CB$87,Formula!H116,41))+Formula!K116*(INDEX(Properties!A$1:CB$87,Formula!J116,41))</f>
        <v>13.74</v>
      </c>
      <c r="DZ116" s="75">
        <f>VARP(IF(INDEX(Properties!A$1:CB$87,Formula!B116,41)&lt;&gt;"",INDEX(Properties!A$1:CB$87,Formula!B116,41)),IF(INDEX(Properties!A$1:CB$87,Formula!D116,41)&lt;&gt;"",INDEX(Properties!A$1:CB$87,Formula!D116,41)),IF(INDEX(Properties!A$1:CB$87,Formula!F116,41)&lt;&gt;"",INDEX(Properties!A$1:CB$87,Formula!F116,41)),IF(INDEX(Properties!A$1:CB$87,Formula!H116,41)&lt;&gt;"",INDEX(Properties!A$1:CB$87,Formula!H116,41)),IF(INDEX(Properties!A$1:CB$87,Formula!J116,41)&lt;&gt;"",INDEX(Properties!A$1:CB$87,Formula!J116,41)))</f>
        <v>0.27887999999999979</v>
      </c>
      <c r="EA116" s="75">
        <f>MAX(INDEX(Properties!A$1:CB$87,Formula!B116,41),INDEX(Properties!A$1:CB$87,Formula!D116,41),INDEX(Properties!A$1:CB$87,Formula!F116,41),INDEX(Properties!A$1:CB$87,Formula!H116,41),INDEX(Properties!A$1:CB$87,Formula!J116,41))</f>
        <v>1.49</v>
      </c>
      <c r="EB116" s="75">
        <f>MIN(IF(INDEX(Properties!A$1:CB$87,Formula!B116,41)=0,10^6,INDEX(Properties!A$1:CB$87,Formula!B116,41)),IF(INDEX(Properties!A$1:CB$87,Formula!D116,41)=0,10^6,INDEX(Properties!A$1:CB$87,Formula!D116,41)),IF(INDEX(Properties!A$1:CB$87,Formula!F116,41)=0,10^6,INDEX(Properties!A$1:CB$87,Formula!F116,41)),IF(INDEX(Properties!A$1:CB$87,Formula!H116,41)=0,10^6,INDEX(Properties!A$1:CB$87,Formula!H116,41)),IF(INDEX(Properties!A$1:CB$87,Formula!J116,41)=0,10^6,INDEX(Properties!A$1:CB$87,Formula!J116,41)))</f>
        <v>0.54</v>
      </c>
      <c r="EC116" s="75">
        <f t="shared" si="53"/>
        <v>0.95</v>
      </c>
      <c r="ED116" s="48">
        <f>((Formula!C116)/(Formula!C116+Formula!E116+Formula!G116+Formula!I116+Formula!K116))*(INDEX(Properties!A$1:CB$87,Formula!B116,45))+((Formula!E116)/(Formula!C116+Formula!E116+Formula!G116+Formula!I116+Formula!K116))*(INDEX(Properties!A$1:CB$87,Formula!D116,45))+((Formula!G116)/(Formula!C116+Formula!E116+Formula!G116+Formula!I116+Formula!K116))*(INDEX(Properties!A$1:CB$87,Formula!F116,45))+((Formula!I116)/(Formula!C116+Formula!E116+Formula!G116+Formula!I116+Formula!K116))*(INDEX(Properties!A$1:CB$87,Formula!H116,45))+((Formula!K116)/(Formula!C116+Formula!E116+Formula!G116+Formula!I116+Formula!K116))*(INDEX(Properties!A$1:CB$87,Formula!J116,45))</f>
        <v>1.2466666666666666</v>
      </c>
      <c r="EE116" s="48">
        <f>Formula!C116*(INDEX(Properties!A$1:CB$87,Formula!B116,45))+Formula!E116*(INDEX(Properties!A$1:CB$87,Formula!D116,45))+Formula!G116*(INDEX(Properties!A$1:CB$87,Formula!F116,45))+Formula!I116*(INDEX(Properties!A$1:CB$87,Formula!H116,45))+Formula!K116*(INDEX(Properties!A$1:CB$87,Formula!J116,45))</f>
        <v>14.96</v>
      </c>
      <c r="EF116" s="48">
        <f>VARP(IF(INDEX(Properties!A$1:CB$87,Formula!B116,45)&lt;&gt;"",INDEX(Properties!A$1:CB$87,Formula!B116,45)),IF(INDEX(Properties!A$1:CB$87,Formula!D116,45)&lt;&gt;"",INDEX(Properties!A$1:CB$87,Formula!D116,45)),IF(INDEX(Properties!A$1:CB$87,Formula!F116,45)&lt;&gt;"",INDEX(Properties!A$1:CB$87,Formula!F116,45)),IF(INDEX(Properties!A$1:CB$87,Formula!H116,45)&lt;&gt;"",INDEX(Properties!A$1:CB$87,Formula!H116,45)),IF(INDEX(Properties!A$1:CB$87,Formula!J116,45)&lt;&gt;"",INDEX(Properties!A$1:CB$87,Formula!J116,45)))</f>
        <v>1.4403440000000001</v>
      </c>
      <c r="EG116" s="48">
        <f>MAX(INDEX(Properties!A$1:CB$87,Formula!B116,45),INDEX(Properties!A$1:CB$87,Formula!D116,45),INDEX(Properties!A$1:CB$87,Formula!F116,45),INDEX(Properties!A$1:CB$87,Formula!H116,45),INDEX(Properties!A$1:CB$87,Formula!J116,45))</f>
        <v>3.4</v>
      </c>
      <c r="EH116" s="48">
        <f>MIN(IF(INDEX(Properties!A$1:CB$87,Formula!B116,45)=0,10^6,INDEX(Properties!A$1:CB$87,Formula!B116,45)),IF(INDEX(Properties!A$1:CB$87,Formula!D116,45)=0,10^6,INDEX(Properties!A$1:CB$87,Formula!D116,45)),IF(INDEX(Properties!A$1:CB$87,Formula!F116,45)=0,10^6,INDEX(Properties!A$1:CB$87,Formula!F116,45)),IF(INDEX(Properties!A$1:CB$87,Formula!H116,45)=0,10^6,INDEX(Properties!A$1:CB$87,Formula!H116,45)),IF(INDEX(Properties!A$1:CB$87,Formula!J116,45)=0,10^6,INDEX(Properties!A$1:CB$87,Formula!J116,45)))</f>
        <v>0.47</v>
      </c>
      <c r="EI116" s="48">
        <f t="shared" si="54"/>
        <v>2.9299999999999997</v>
      </c>
      <c r="EJ116" s="66">
        <f>((Formula!C116)/(Formula!C116+Formula!E116+Formula!G116+Formula!I116+Formula!K116))*(INDEX(Properties!A$1:CB$87,Formula!B116,46))+((Formula!E116)/(Formula!C116+Formula!E116+Formula!G116+Formula!I116+Formula!K116))*(INDEX(Properties!A$1:CB$87,Formula!D116,46))+((Formula!G116)/(Formula!C116+Formula!E116+Formula!G116+Formula!I116+Formula!K116))*(INDEX(Properties!A$1:CB$87,Formula!F116,46))+((Formula!I116)/(Formula!C116+Formula!E116+Formula!G116+Formula!I116+Formula!K116))*(INDEX(Properties!A$1:CB$87,Formula!H116,46))+((Formula!K116)/(Formula!C116+Formula!E116+Formula!G116+Formula!I116+Formula!K116))*(INDEX(Properties!A$1:CB$87,Formula!J116,46))</f>
        <v>1.0924999999999998</v>
      </c>
      <c r="EK116" s="66">
        <f>Formula!C116*(INDEX(Properties!A$1:CB$87,Formula!B116,46))+Formula!E116*(INDEX(Properties!A$1:CB$87,Formula!D116,46))+Formula!G116*(INDEX(Properties!A$1:CB$87,Formula!F116,46))+Formula!I116*(INDEX(Properties!A$1:CB$87,Formula!H116,46))+Formula!K116*(INDEX(Properties!A$1:CB$87,Formula!J116,46))</f>
        <v>13.11</v>
      </c>
      <c r="EL116" s="66">
        <f>VARP(IF(INDEX(Properties!A$1:CB$87,Formula!B116,46)&lt;&gt;"",INDEX(Properties!A$1:CB$87,Formula!B116,46)),IF(INDEX(Properties!A$1:CB$87,Formula!D116,46)&lt;&gt;"",INDEX(Properties!A$1:CB$87,Formula!D116,46)),IF(INDEX(Properties!A$1:CB$87,Formula!F116,46)&lt;&gt;"",INDEX(Properties!A$1:CB$87,Formula!F116,46)),IF(INDEX(Properties!A$1:CB$87,Formula!H116,46)&lt;&gt;"",INDEX(Properties!A$1:CB$87,Formula!H116,46)),IF(INDEX(Properties!A$1:CB$87,Formula!J116,46)&lt;&gt;"",INDEX(Properties!A$1:CB$87,Formula!J116,46)))</f>
        <v>0.28949600000000003</v>
      </c>
      <c r="EM116" s="66">
        <f>MAX(INDEX(Properties!A$1:CB$87,Formula!B116,46),INDEX(Properties!A$1:CB$87,Formula!D116,46),INDEX(Properties!A$1:CB$87,Formula!F116,46),INDEX(Properties!A$1:CB$87,Formula!H116,46),INDEX(Properties!A$1:CB$87,Formula!J116,46))</f>
        <v>1.49</v>
      </c>
      <c r="EN116" s="66">
        <f>MIN(IF(INDEX(Properties!A$1:CB$87,Formula!B116,46)=0,10^6,INDEX(Properties!A$1:CB$87,Formula!B116,46)),IF(INDEX(Properties!A$1:CB$87,Formula!D116,46)=0,10^6,INDEX(Properties!A$1:CB$87,Formula!D116,46)),IF(INDEX(Properties!A$1:CB$87,Formula!F116,46)=0,10^6,INDEX(Properties!A$1:CB$87,Formula!F116,46)),IF(INDEX(Properties!A$1:CB$87,Formula!H116,46)=0,10^6,INDEX(Properties!A$1:CB$87,Formula!H116,46)),IF(INDEX(Properties!A$1:CB$87,Formula!J116,46)=0,10^6,INDEX(Properties!A$1:CB$87,Formula!J116,46)))</f>
        <v>0.4</v>
      </c>
      <c r="EO116" s="66">
        <f t="shared" si="55"/>
        <v>1.0899999999999999</v>
      </c>
      <c r="EP116" s="81">
        <f>((Formula!C116)/(Formula!C116+Formula!E116+Formula!G116+Formula!I116+Formula!K116))*(INDEX(Properties!A$1:CB$87,Formula!B116,52))+((Formula!E116)/(Formula!C116+Formula!E116+Formula!G116+Formula!I116+Formula!K116))*(INDEX(Properties!A$1:CB$87,Formula!D116,52))+((Formula!G116)/(Formula!C116+Formula!E116+Formula!G116+Formula!I116+Formula!K116))*(INDEX(Properties!A$1:CB$87,Formula!F116,52))+((Formula!I116)/(Formula!C116+Formula!E116+Formula!G116+Formula!I116+Formula!K116))*(INDEX(Properties!A$1:CB$87,Formula!H116,52))+((Formula!K116)/(Formula!C116+Formula!E116+Formula!G116+Formula!I116+Formula!K116))*(INDEX(Properties!A$1:CB$87,Formula!J116,52))</f>
        <v>8.8625833333333333</v>
      </c>
      <c r="EQ116" s="81">
        <f>Formula!C116*(INDEX(Properties!A$1:CB$87,Formula!B116,52))+Formula!E116*(INDEX(Properties!A$1:CB$87,Formula!D116,52))+Formula!G116*(INDEX(Properties!A$1:CB$87,Formula!F116,52))+Formula!I116*(INDEX(Properties!A$1:CB$87,Formula!H116,52))+Formula!K116*(INDEX(Properties!A$1:CB$87,Formula!J116,52))</f>
        <v>106.351</v>
      </c>
      <c r="ER116" s="81">
        <f>VARP(IF(INDEX(Properties!A$1:CB$87,Formula!B116,52)&lt;&gt;"",INDEX(Properties!A$1:CB$87,Formula!B116,52)),IF(INDEX(Properties!A$1:CB$87,Formula!D116,52)&lt;&gt;"",INDEX(Properties!A$1:CB$87,Formula!D116,52)),IF(INDEX(Properties!A$1:CB$87,Formula!F116,52)&lt;&gt;"",INDEX(Properties!A$1:CB$87,Formula!F116,52)),IF(INDEX(Properties!A$1:CB$87,Formula!H116,52)&lt;&gt;"",INDEX(Properties!A$1:CB$87,Formula!H116,52)),IF(INDEX(Properties!A$1:CB$87,Formula!J116,52)&lt;&gt;"",INDEX(Properties!A$1:CB$87,Formula!J116,52)))</f>
        <v>215.98940784000001</v>
      </c>
      <c r="ES116" s="81">
        <f>MAX(INDEX(Properties!A$1:CB$87,Formula!B116,52),INDEX(Properties!A$1:CB$87,Formula!D116,52),INDEX(Properties!A$1:CB$87,Formula!F116,52),INDEX(Properties!A$1:CB$87,Formula!H116,52),INDEX(Properties!A$1:CB$87,Formula!J116,52))</f>
        <v>39.700000000000003</v>
      </c>
      <c r="ET116" s="81">
        <f>MIN(IF(INDEX(Properties!A$1:CB$87,Formula!B116,52)=0,10^6,INDEX(Properties!A$1:CB$87,Formula!B116,52)),IF(INDEX(Properties!A$1:CB$87,Formula!D116,52)=0,10^6,INDEX(Properties!A$1:CB$87,Formula!D116,52)),IF(INDEX(Properties!A$1:CB$87,Formula!F116,52)=0,10^6,INDEX(Properties!A$1:CB$87,Formula!F116,52)),IF(INDEX(Properties!A$1:CB$87,Formula!H116,52)=0,10^6,INDEX(Properties!A$1:CB$87,Formula!H116,52)),IF(INDEX(Properties!A$1:CB$87,Formula!J116,52)=0,10^6,INDEX(Properties!A$1:CB$87,Formula!J116,52)))</f>
        <v>0.79300000000000004</v>
      </c>
      <c r="EU116" s="81">
        <f t="shared" si="56"/>
        <v>38.907000000000004</v>
      </c>
      <c r="EV116" s="39">
        <f>((Formula!C116)/(Formula!C116+Formula!E116+Formula!G116+Formula!I116+Formula!K116))*(INDEX(Properties!A$1:CB$87,Formula!B116,53))+((Formula!E116)/(Formula!C116+Formula!E116+Formula!G116+Formula!I116+Formula!K116))*(INDEX(Properties!A$1:CB$87,Formula!D116,53))+((Formula!G116)/(Formula!C116+Formula!E116+Formula!G116+Formula!I116+Formula!K116))*(INDEX(Properties!A$1:CB$87,Formula!F116,53))+((Formula!I116)/(Formula!C116+Formula!E116+Formula!G116+Formula!I116+Formula!K116))*(INDEX(Properties!A$1:CB$87,Formula!H116,53))+((Formula!K116)/(Formula!C116+Formula!E116+Formula!G116+Formula!I116+Formula!K116))*(INDEX(Properties!A$1:CB$87,Formula!J116,53))</f>
        <v>555.66666666666663</v>
      </c>
      <c r="EW116" s="39">
        <f>Formula!C116*(INDEX(Properties!A$1:CB$87,Formula!B116,53))+Formula!E116*(INDEX(Properties!A$1:CB$87,Formula!D116,53))+Formula!G116*(INDEX(Properties!A$1:CB$87,Formula!F116,53))+Formula!I116*(INDEX(Properties!A$1:CB$87,Formula!H116,53))+Formula!K116*(INDEX(Properties!A$1:CB$87,Formula!J116,53))</f>
        <v>6668</v>
      </c>
      <c r="EX116" s="39">
        <f>VARP(IF(INDEX(Properties!A$1:CB$87,Formula!B116,53)&lt;&gt;"",INDEX(Properties!A$1:CB$87,Formula!B116,53)),IF(INDEX(Properties!A$1:CB$87,Formula!D116,53)&lt;&gt;"",INDEX(Properties!A$1:CB$87,Formula!D116,53)),IF(INDEX(Properties!A$1:CB$87,Formula!F116,53)&lt;&gt;"",INDEX(Properties!A$1:CB$87,Formula!F116,53)),IF(INDEX(Properties!A$1:CB$87,Formula!H116,53)&lt;&gt;"",INDEX(Properties!A$1:CB$87,Formula!H116,53)),IF(INDEX(Properties!A$1:CB$87,Formula!J116,53)&lt;&gt;"",INDEX(Properties!A$1:CB$87,Formula!J116,53)))</f>
        <v>401234.01640000014</v>
      </c>
      <c r="EY116" s="39">
        <f>MAX(INDEX(Properties!A$1:CB$87,Formula!B116,53),INDEX(Properties!A$1:CB$87,Formula!D116,53),INDEX(Properties!A$1:CB$87,Formula!F116,53),INDEX(Properties!A$1:CB$87,Formula!H116,53),INDEX(Properties!A$1:CB$87,Formula!J116,53))</f>
        <v>1683.15</v>
      </c>
      <c r="EZ116" s="39">
        <f>MIN(IF(INDEX(Properties!A$1:CB$87,Formula!B116,53)=0,10^6,INDEX(Properties!A$1:CB$87,Formula!B116,53)),IF(INDEX(Properties!A$1:CB$87,Formula!D116,53)=0,10^6,INDEX(Properties!A$1:CB$87,Formula!D116,53)),IF(INDEX(Properties!A$1:CB$87,Formula!F116,53)=0,10^6,INDEX(Properties!A$1:CB$87,Formula!F116,53)),IF(INDEX(Properties!A$1:CB$87,Formula!H116,53)=0,10^6,INDEX(Properties!A$1:CB$87,Formula!H116,53)),IF(INDEX(Properties!A$1:CB$87,Formula!J116,53)=0,10^6,INDEX(Properties!A$1:CB$87,Formula!J116,53)))</f>
        <v>54.749999999999972</v>
      </c>
      <c r="FA116" s="39">
        <f t="shared" si="57"/>
        <v>1628.4</v>
      </c>
      <c r="FB116" s="54">
        <f>((Formula!C116)/(Formula!C116+Formula!E116+Formula!G116+Formula!I116+Formula!K116))*(INDEX(Properties!A$1:CB$87,Formula!B116,54))+((Formula!E116)/(Formula!C116+Formula!E116+Formula!G116+Formula!I116+Formula!K116))*(INDEX(Properties!A$1:CB$87,Formula!D116,54))+((Formula!G116)/(Formula!C116+Formula!E116+Formula!G116+Formula!I116+Formula!K116))*(INDEX(Properties!A$1:CB$87,Formula!F116,54))+((Formula!I116)/(Formula!C116+Formula!E116+Formula!G116+Formula!I116+Formula!K116))*(INDEX(Properties!A$1:CB$87,Formula!H116,54))+((Formula!K116)/(Formula!C116+Formula!E116+Formula!G116+Formula!I116+Formula!K116))*(INDEX(Properties!A$1:CB$87,Formula!J116,54))</f>
        <v>923.06666666666661</v>
      </c>
      <c r="FC116" s="54">
        <f>Formula!C116*(INDEX(Properties!A$1:CB$87,Formula!B116,54))+Formula!E116*(INDEX(Properties!A$1:CB$87,Formula!D116,54))+Formula!G116*(INDEX(Properties!A$1:CB$87,Formula!F116,54))+Formula!I116*(INDEX(Properties!A$1:CB$87,Formula!H116,54))+Formula!K116*(INDEX(Properties!A$1:CB$87,Formula!J116,54))</f>
        <v>11076.8</v>
      </c>
      <c r="FD116" s="54">
        <f>VARP(IF(INDEX(Properties!A$1:CB$87,Formula!B116,54)&lt;&gt;"",INDEX(Properties!A$1:CB$87,Formula!B116,54)),IF(INDEX(Properties!A$1:CB$87,Formula!D116,54)&lt;&gt;"",INDEX(Properties!A$1:CB$87,Formula!D116,54)),IF(INDEX(Properties!A$1:CB$87,Formula!F116,54)&lt;&gt;"",INDEX(Properties!A$1:CB$87,Formula!F116,54)),IF(INDEX(Properties!A$1:CB$87,Formula!H116,54)&lt;&gt;"",INDEX(Properties!A$1:CB$87,Formula!H116,54)),IF(INDEX(Properties!A$1:CB$87,Formula!J116,54)&lt;&gt;"",INDEX(Properties!A$1:CB$87,Formula!J116,54)))</f>
        <v>1049314.8916000007</v>
      </c>
      <c r="FE116" s="54">
        <f>MAX(INDEX(Properties!A$1:CB$87,Formula!B116,54),INDEX(Properties!A$1:CB$87,Formula!D116,54),INDEX(Properties!A$1:CB$87,Formula!F116,54),INDEX(Properties!A$1:CB$87,Formula!H116,54),INDEX(Properties!A$1:CB$87,Formula!J116,54))</f>
        <v>2628.15</v>
      </c>
      <c r="FF116" s="54">
        <f>MIN(IF(INDEX(Properties!A$1:CB$87,Formula!B116,54)=0,10^6,INDEX(Properties!A$1:CB$87,Formula!B116,54)),IF(INDEX(Properties!A$1:CB$87,Formula!D116,54)=0,10^6,INDEX(Properties!A$1:CB$87,Formula!D116,54)),IF(INDEX(Properties!A$1:CB$87,Formula!F116,54)=0,10^6,INDEX(Properties!A$1:CB$87,Formula!F116,54)),IF(INDEX(Properties!A$1:CB$87,Formula!H116,54)=0,10^6,INDEX(Properties!A$1:CB$87,Formula!H116,54)),IF(INDEX(Properties!A$1:CB$87,Formula!J116,54)=0,10^6,INDEX(Properties!A$1:CB$87,Formula!J116,54)))</f>
        <v>90.149999999999977</v>
      </c>
      <c r="FG116" s="54">
        <f t="shared" si="58"/>
        <v>2538</v>
      </c>
      <c r="FH116" s="69">
        <f>((Formula!C116)/(Formula!C116+Formula!E116+Formula!G116+Formula!I116+Formula!K116))*(INDEX(Properties!A$1:CB$87,Formula!B116,55))+((Formula!E116)/(Formula!C116+Formula!E116+Formula!G116+Formula!I116+Formula!K116))*(INDEX(Properties!A$1:CB$87,Formula!D116,55))+((Formula!G116)/(Formula!C116+Formula!E116+Formula!G116+Formula!I116+Formula!K116))*(INDEX(Properties!A$1:CB$87,Formula!F116,55))+((Formula!I116)/(Formula!C116+Formula!E116+Formula!G116+Formula!I116+Formula!K116))*(INDEX(Properties!A$1:CB$87,Formula!H116,55))+((Formula!K116)/(Formula!C116+Formula!E116+Formula!G116+Formula!I116+Formula!K116))*(INDEX(Properties!A$1:CB$87,Formula!J116,55))</f>
        <v>1.1175008333333334</v>
      </c>
      <c r="FI116" s="69">
        <f>Formula!C116*(INDEX(Properties!A$1:CB$87,Formula!B116,55))+Formula!E116*(INDEX(Properties!A$1:CB$87,Formula!D116,54))+Formula!G116*(INDEX(Properties!A$1:CB$87,Formula!F116,55))+Formula!I116*(INDEX(Properties!A$1:CB$87,Formula!H116,55))+Formula!K116*(INDEX(Properties!A$1:CB$87,Formula!J116,55))</f>
        <v>1374.8200100000001</v>
      </c>
      <c r="FJ116" s="69">
        <f>VARP(IF(INDEX(Properties!A$1:CB$87,Formula!B116,55)&lt;&gt;"",INDEX(Properties!A$1:CB$87,Formula!B116,55)),IF(INDEX(Properties!A$1:CB$87,Formula!D116,55)&lt;&gt;"",INDEX(Properties!A$1:CB$87,Formula!D116,55)),IF(INDEX(Properties!A$1:CB$87,Formula!F116,55)&lt;&gt;"",INDEX(Properties!A$1:CB$87,Formula!F116,55)),IF(INDEX(Properties!A$1:CB$87,Formula!H116,55)&lt;&gt;"",INDEX(Properties!A$1:CB$87,Formula!H116,55)),IF(INDEX(Properties!A$1:CB$87,Formula!J116,55)&lt;&gt;"",INDEX(Properties!A$1:CB$87,Formula!J116,55)))</f>
        <v>1.8482383191839993</v>
      </c>
      <c r="FK116" s="69">
        <f>MAX(INDEX(Properties!A$1:CB$87,Formula!B116,55),INDEX(Properties!A$1:CB$87,Formula!D116,55),INDEX(Properties!A$1:CB$87,Formula!F116,55),INDEX(Properties!A$1:CB$87,Formula!H116,55),INDEX(Properties!A$1:CB$87,Formula!J116,55))</f>
        <v>3.5</v>
      </c>
      <c r="FL116" s="69">
        <f>MIN(IF(INDEX(Properties!A$1:CB$87,Formula!B116,55)=0,10^6,INDEX(Properties!A$1:CB$87,Formula!B116,55)),IF(INDEX(Properties!A$1:CB$87,Formula!D116,55)=0,10^6,INDEX(Properties!A$1:CB$87,Formula!D116,55)),IF(INDEX(Properties!A$1:CB$87,Formula!F116,55)=0,10^6,INDEX(Properties!A$1:CB$87,Formula!F116,55)),IF(INDEX(Properties!A$1:CB$87,Formula!H116,55)=0,10^6,INDEX(Properties!A$1:CB$87,Formula!H116,55)),IF(INDEX(Properties!A$1:CB$87,Formula!J116,55)=0,10^6,INDEX(Properties!A$1:CB$87,Formula!J116,55)))</f>
        <v>1.4300000000000001E-3</v>
      </c>
      <c r="FM116" s="69">
        <f t="shared" si="59"/>
        <v>3.49857</v>
      </c>
      <c r="FN116" s="42">
        <f>((Formula!C116)/(Formula!C116+Formula!E116+Formula!G116+Formula!I116+Formula!K116))*(INDEX(Properties!A$1:CB$87,Formula!B116,56))+((Formula!E116)/(Formula!C116+Formula!E116+Formula!G116+Formula!I116+Formula!K116))*(INDEX(Properties!A$1:CB$87,Formula!D116,56))+((Formula!G116)/(Formula!C116+Formula!E116+Formula!G116+Formula!I116+Formula!K116))*(INDEX(Properties!A$1:CB$87,Formula!F116,56))+((Formula!I116)/(Formula!C116+Formula!E116+Formula!G116+Formula!I116+Formula!K116))*(INDEX(Properties!A$1:CB$87,Formula!H116,56))+((Formula!K116)/(Formula!C116+Formula!E116+Formula!G116+Formula!I116+Formula!K116))*(INDEX(Properties!A$1:CB$87,Formula!J116,56))</f>
        <v>0.77400000000000002</v>
      </c>
      <c r="FO116" s="42">
        <f>Formula!C116*(INDEX(Properties!A$1:CB$87,Formula!B116,56))+Formula!E116*(INDEX(Properties!A$1:CB$87,Formula!D116,56))+Formula!G116*(INDEX(Properties!A$1:CB$87,Formula!F116,56))+Formula!I116*(INDEX(Properties!A$1:CB$87,Formula!H116,56))+Formula!K116*(INDEX(Properties!A$1:CB$87,Formula!J116,56))</f>
        <v>9.2880000000000003</v>
      </c>
      <c r="FP116" s="42">
        <f>VARP(IF(INDEX(Properties!A$1:CB$87,Formula!B116,56)&lt;&gt;"",INDEX(Properties!A$1:CB$87,Formula!B116,56)),IF(INDEX(Properties!A$1:CB$87,Formula!D116,56)&lt;&gt;"",INDEX(Properties!A$1:CB$87,Formula!D116,56)),IF(INDEX(Properties!A$1:CB$87,Formula!F116,56)&lt;&gt;"",INDEX(Properties!A$1:CB$87,Formula!F116,56)),IF(INDEX(Properties!A$1:CB$87,Formula!H116,56)&lt;&gt;"",INDEX(Properties!A$1:CB$87,Formula!H116,56)),IF(INDEX(Properties!A$1:CB$87,Formula!J116,56)&lt;&gt;"",INDEX(Properties!A$1:CB$87,Formula!J116,56)))</f>
        <v>0.16069055999999995</v>
      </c>
      <c r="FQ116" s="42">
        <f>MAX(INDEX(Properties!A$1:CB$87,Formula!B116,56),INDEX(Properties!A$1:CB$87,Formula!D116,56),INDEX(Properties!A$1:CB$87,Formula!F116,56),INDEX(Properties!A$1:CB$87,Formula!H116,56),INDEX(Properties!A$1:CB$87,Formula!J116,56))</f>
        <v>1.02</v>
      </c>
      <c r="FR116" s="42">
        <f>MIN(IF(INDEX(Properties!A$1:CB$87,Formula!B116,56)=0,10^6,INDEX(Properties!A$1:CB$87,Formula!B116,56)),IF(INDEX(Properties!A$1:CB$87,Formula!D116,56)=0,10^6,INDEX(Properties!A$1:CB$87,Formula!D116,56)),IF(INDEX(Properties!A$1:CB$87,Formula!F116,56)=0,10^6,INDEX(Properties!A$1:CB$87,Formula!F116,56)),IF(INDEX(Properties!A$1:CB$87,Formula!H116,56)=0,10^6,INDEX(Properties!A$1:CB$87,Formula!H116,56)),IF(INDEX(Properties!A$1:CB$87,Formula!J116,56)=0,10^6,INDEX(Properties!A$1:CB$87,Formula!J116,56)))</f>
        <v>0.20399999999999999</v>
      </c>
      <c r="FS116" s="42">
        <f t="shared" si="60"/>
        <v>0.81600000000000006</v>
      </c>
      <c r="FT116" s="60">
        <f>((Formula!C116)/(Formula!C116+Formula!E116+Formula!G116+Formula!I116+Formula!K116))*(INDEX(Properties!A$1:CB$87,Formula!B116,57))+((Formula!E116)/(Formula!C116+Formula!E116+Formula!G116+Formula!I116+Formula!K116))*(INDEX(Properties!A$1:CB$87,Formula!D116,57))+((Formula!G116)/(Formula!C116+Formula!E116+Formula!G116+Formula!I116+Formula!K116))*(INDEX(Properties!A$1:CB$87,Formula!F116,57))+((Formula!I116)/(Formula!C116+Formula!E116+Formula!G116+Formula!I116+Formula!K116))*(INDEX(Properties!A$1:CB$87,Formula!H116,57))+((Formula!K116)/(Formula!C116+Formula!E116+Formula!G116+Formula!I116+Formula!K116))*(INDEX(Properties!A$1:CB$87,Formula!J116,57))</f>
        <v>10.592677499999999</v>
      </c>
      <c r="FU116" s="60">
        <f>Formula!C116*(INDEX(Properties!A$1:CB$87,Formula!B116,57))+Formula!E116*(INDEX(Properties!A$1:CB$87,Formula!D116,57))+Formula!G116*(INDEX(Properties!A$1:CB$87,Formula!F116,57))+Formula!I116*(INDEX(Properties!A$1:CB$87,Formula!H116,57))+Formula!K116*(INDEX(Properties!A$1:CB$87,Formula!J116,57))</f>
        <v>127.11213000000001</v>
      </c>
      <c r="FV116" s="60">
        <f>VARP(IF(INDEX(Properties!A$1:CB$87,Formula!B116,57)&lt;&gt;"",INDEX(Properties!A$1:CB$87,Formula!B116,57)),IF(INDEX(Properties!A$1:CB$87,Formula!D116,57)&lt;&gt;"",INDEX(Properties!A$1:CB$87,Formula!D116,57)),IF(INDEX(Properties!A$1:CB$87,Formula!F116,57)&lt;&gt;"",INDEX(Properties!A$1:CB$87,Formula!F116,57)),IF(INDEX(Properties!A$1:CB$87,Formula!H116,57)&lt;&gt;"",INDEX(Properties!A$1:CB$87,Formula!H116,57)),IF(INDEX(Properties!A$1:CB$87,Formula!J116,57)&lt;&gt;"",INDEX(Properties!A$1:CB$87,Formula!J116,57)))</f>
        <v>356.9941245404961</v>
      </c>
      <c r="FW116" s="60">
        <f>MAX(INDEX(Properties!A$1:CB$87,Formula!B116,57),INDEX(Properties!A$1:CB$87,Formula!D116,57),INDEX(Properties!A$1:CB$87,Formula!F116,57),INDEX(Properties!A$1:CB$87,Formula!H116,57),INDEX(Properties!A$1:CB$87,Formula!J116,57))</f>
        <v>50.55</v>
      </c>
      <c r="FX116" s="60">
        <f>MIN(IF(INDEX(Properties!A$1:CB$87,Formula!B116,57)=0,10^6,INDEX(Properties!A$1:CB$87,Formula!B116,57)),IF(INDEX(Properties!A$1:CB$87,Formula!D116,57)=0,10^6,INDEX(Properties!A$1:CB$87,Formula!D116,57)),IF(INDEX(Properties!A$1:CB$87,Formula!F116,57)=0,10^6,INDEX(Properties!A$1:CB$87,Formula!F116,57)),IF(INDEX(Properties!A$1:CB$87,Formula!H116,57)=0,10^6,INDEX(Properties!A$1:CB$87,Formula!H116,57)),IF(INDEX(Properties!A$1:CB$87,Formula!J116,57)=0,10^6,INDEX(Properties!A$1:CB$87,Formula!J116,57)))</f>
        <v>0.22259000000000001</v>
      </c>
      <c r="FY116" s="60">
        <f t="shared" si="61"/>
        <v>50.32741</v>
      </c>
      <c r="FZ116" s="72">
        <f>((Formula!C116)/(Formula!C116+Formula!E116+Formula!G116+Formula!I116+Formula!K116))*(INDEX(Properties!A$1:CB$87,Formula!B116,60))+((Formula!E116)/(Formula!C116+Formula!E116+Formula!G116+Formula!I116+Formula!K116))*(INDEX(Properties!A$1:CB$87,Formula!D116,60))+((Formula!G116)/(Formula!C116+Formula!E116+Formula!G116+Formula!I116+Formula!K116))*(INDEX(Properties!A$1:CB$87,Formula!F116,60))+((Formula!I116)/(Formula!C116+Formula!E116+Formula!G116+Formula!I116+Formula!K116))*(INDEX(Properties!A$1:CB$87,Formula!H116,60))+((Formula!K116)/(Formula!C116+Formula!E116+Formula!G116+Formula!I116+Formula!K116))*(INDEX(Properties!A$1:CB$87,Formula!J116,60))</f>
        <v>40.748931666666671</v>
      </c>
      <c r="GA116" s="72">
        <f>Formula!C116*(INDEX(Properties!A$1:CB$87,Formula!B116,60))+Formula!E116*(INDEX(Properties!A$1:CB$87,Formula!D116,60))+Formula!G116*(INDEX(Properties!A$1:CB$87,Formula!F116,60))+Formula!I116*(INDEX(Properties!A$1:CB$87,Formula!H116,60))+Formula!K116*(INDEX(Properties!A$1:CB$87,Formula!J116,60))</f>
        <v>488.98718000000002</v>
      </c>
      <c r="GB116" s="72">
        <f>VARP(IF(INDEX(Properties!A$1:CB$87,Formula!B116,60)&lt;&gt;"",INDEX(Properties!A$1:CB$87,Formula!B116,60)),IF(INDEX(Properties!A$1:CB$87,Formula!D116,60)&lt;&gt;"",INDEX(Properties!A$1:CB$87,Formula!D116,60)),IF(INDEX(Properties!A$1:CB$87,Formula!F116,60)&lt;&gt;"",INDEX(Properties!A$1:CB$87,Formula!F116,60)),IF(INDEX(Properties!A$1:CB$87,Formula!H116,60)&lt;&gt;"",INDEX(Properties!A$1:CB$87,Formula!H116,60)),IF(INDEX(Properties!A$1:CB$87,Formula!J116,60)&lt;&gt;"",INDEX(Properties!A$1:CB$87,Formula!J116,60)))</f>
        <v>5157.3520363244152</v>
      </c>
      <c r="GC116" s="72">
        <f>MAX(INDEX(Properties!A$1:CB$87,Formula!B116,60),INDEX(Properties!A$1:CB$87,Formula!D116,60),INDEX(Properties!A$1:CB$87,Formula!F116,60),INDEX(Properties!A$1:CB$87,Formula!H116,60),INDEX(Properties!A$1:CB$87,Formula!J116,60))</f>
        <v>156</v>
      </c>
      <c r="GD116" s="72">
        <f>MIN(IF(INDEX(Properties!A$1:CB$87,Formula!B116,60)=0,10^6,INDEX(Properties!A$1:CB$87,Formula!B116,60)),IF(INDEX(Properties!A$1:CB$87,Formula!D116,60)=0,10^6,INDEX(Properties!A$1:CB$87,Formula!D116,60)),IF(INDEX(Properties!A$1:CB$87,Formula!F116,60)=0,10^6,INDEX(Properties!A$1:CB$87,Formula!F116,60)),IF(INDEX(Properties!A$1:CB$87,Formula!H116,60)=0,10^6,INDEX(Properties!A$1:CB$87,Formula!H116,60)),IF(INDEX(Properties!A$1:CB$87,Formula!J116,60)=0,10^6,INDEX(Properties!A$1:CB$87,Formula!J116,60)))</f>
        <v>2.674E-2</v>
      </c>
      <c r="GE116" s="72">
        <f t="shared" si="62"/>
        <v>155.97326000000001</v>
      </c>
      <c r="GF116" s="51">
        <f>((Formula!C116)/(Formula!C116+Formula!E116+Formula!G116+Formula!I116+Formula!K116))*(INDEX(Properties!A$1:CB$87,Formula!B116,62))+((Formula!E116)/(Formula!C116+Formula!E116+Formula!G116+Formula!I116+Formula!K116))*(INDEX(Properties!A$1:CB$87,Formula!D116,62))+((Formula!G116)/(Formula!C116+Formula!E116+Formula!G116+Formula!I116+Formula!K116))*(INDEX(Properties!A$1:CB$87,Formula!F116,62))+((Formula!I116)/(Formula!C116+Formula!E116+Formula!G116+Formula!I116+Formula!K116))*(INDEX(Properties!A$1:CB$87,Formula!H116,62))+((Formula!K116)/(Formula!C116+Formula!E116+Formula!G116+Formula!I116+Formula!K116))*(INDEX(Properties!A$1:CB$87,Formula!J116,62))</f>
        <v>2.7425000000000002</v>
      </c>
      <c r="GG116" s="51">
        <f>Formula!C116*(INDEX(Properties!A$1:CB$87,Formula!B116,62))+Formula!E116*(INDEX(Properties!A$1:CB$87,Formula!D116,62))+Formula!G116*(INDEX(Properties!A$1:CB$87,Formula!F116,62))+Formula!I116*(INDEX(Properties!A$1:CB$87,Formula!H116,62))+Formula!K116*(INDEX(Properties!A$1:CB$87,Formula!J116,62))</f>
        <v>32.909999999999997</v>
      </c>
      <c r="GH116" s="51">
        <f>VARP(IF(INDEX(Properties!A$1:CB$87,Formula!B116,62)&lt;&gt;"",INDEX(Properties!A$1:CB$87,Formula!B116,62)),IF(INDEX(Properties!A$1:CB$87,Formula!D116,62)&lt;&gt;"",INDEX(Properties!A$1:CB$87,Formula!D116,62)),IF(INDEX(Properties!A$1:CB$87,Formula!F116,62)&lt;&gt;"",INDEX(Properties!A$1:CB$87,Formula!F116,62)),IF(INDEX(Properties!A$1:CB$87,Formula!H116,62)&lt;&gt;"",INDEX(Properties!A$1:CB$87,Formula!H116,62)),IF(INDEX(Properties!A$1:CB$87,Formula!J116,62)&lt;&gt;"",INDEX(Properties!A$1:CB$87,Formula!J116,62)))</f>
        <v>2.292856</v>
      </c>
      <c r="GI116" s="51">
        <f>MAX(INDEX(Properties!A$1:CB$87,Formula!B116,62),INDEX(Properties!A$1:CB$87,Formula!D116,62),INDEX(Properties!A$1:CB$87,Formula!F116,62),INDEX(Properties!A$1:CB$87,Formula!H116,62),INDEX(Properties!A$1:CB$87,Formula!J116,62))</f>
        <v>4.63</v>
      </c>
      <c r="GJ116" s="51">
        <f>MIN(IF(INDEX(Properties!A$1:CB$87,Formula!B116,62)=0,10^6,INDEX(Properties!A$1:CB$87,Formula!B116,62)),IF(INDEX(Properties!A$1:CB$87,Formula!D116,62)=0,10^6,INDEX(Properties!A$1:CB$87,Formula!D116,62)),IF(INDEX(Properties!A$1:CB$87,Formula!F116,62)=0,10^6,INDEX(Properties!A$1:CB$87,Formula!F116,62)),IF(INDEX(Properties!A$1:CB$87,Formula!H116,62)=0,10^6,INDEX(Properties!A$1:CB$87,Formula!H116,62)),IF(INDEX(Properties!A$1:CB$87,Formula!J116,62)=0,10^6,INDEX(Properties!A$1:CB$87,Formula!J116,62)))</f>
        <v>1.51</v>
      </c>
      <c r="GK116" s="51">
        <f t="shared" si="63"/>
        <v>3.12</v>
      </c>
      <c r="GL116" s="51">
        <f>Formula!P116</f>
        <v>15</v>
      </c>
      <c r="GM116" s="57">
        <f>Formula!O116</f>
        <v>2</v>
      </c>
      <c r="GN116" s="51">
        <f>Formula!N116</f>
        <v>0.05</v>
      </c>
    </row>
    <row r="117" spans="1:196" x14ac:dyDescent="0.3">
      <c r="A117" s="84" t="str">
        <f>Formula!A117</f>
        <v>SrGd2O4</v>
      </c>
      <c r="B117" s="89">
        <f>((Formula!C117)/(Formula!C117+Formula!E117+Formula!G117+Formula!I117+Formula!K117))*(INDEX(Properties!A$1:CB$87,Formula!B117,3))+((Formula!E117)/(Formula!C117+Formula!E117+Formula!G117+Formula!I117+Formula!K117))*(INDEX(Properties!A$1:CB$87,Formula!D117,3))+((Formula!G117)/(Formula!C117+Formula!E117+Formula!G117+Formula!I117+Formula!K117))*(INDEX(Properties!A$1:CB$87,Formula!F117,3))+((Formula!I117)/(Formula!C117+Formula!E117+Formula!G117+Formula!I117+Formula!K117))*(INDEX(Properties!A$1:CB$87,Formula!H117,3))+((Formula!K117)/(Formula!C117+Formula!E117+Formula!G117+Formula!I117+Formula!K117))*(INDEX(Properties!A$1:CB$87,Formula!J117,3))</f>
        <v>66.588228571428573</v>
      </c>
      <c r="C117" s="85">
        <f>Formula!C117*(INDEX(Properties!A$1:CB$87,Formula!B117,3))+Formula!E117*(INDEX(Properties!A$1:CB$87,Formula!D117,3))+Formula!G117*(INDEX(Properties!A$1:CB$87,Formula!F117,3))+Formula!I117*(INDEX(Properties!A$1:CB$87,Formula!H117,3))+Formula!K117*(INDEX(Properties!A$1:CB$87,Formula!J117,3))</f>
        <v>466.11759999999998</v>
      </c>
      <c r="D117" s="85">
        <f>VARP(IF(INDEX(Properties!A$1:CB$87,Formula!B117,3)&lt;&gt;"",INDEX(Properties!A$1:CB$87,Formula!B117,3)),IF(INDEX(Properties!A$1:CB$87,Formula!D117,3)&lt;&gt;"",INDEX(Properties!A$1:CB$87,Formula!D117,3)),IF(INDEX(Properties!A$1:CB$87,Formula!F117,3)&lt;&gt;"",INDEX(Properties!A$1:CB$87,Formula!F117,3)),IF(INDEX(Properties!A$1:CB$87,Formula!H117,3)&lt;&gt;"",INDEX(Properties!A$1:CB$87,Formula!H117,3)),IF(INDEX(Properties!A$1:CB$87,Formula!J117,3)&lt;&gt;"",INDEX(Properties!A$1:CB$87,Formula!J117,3)))</f>
        <v>3810.0477858176005</v>
      </c>
      <c r="E117" s="85">
        <f>MAX(INDEX(Properties!A$1:CB$87,Formula!B117,3),INDEX(Properties!A$1:CB$87,Formula!D117,3),INDEX(Properties!A$1:CB$87,Formula!F117,3),INDEX(Properties!A$1:CB$87,Formula!H117,3),INDEX(Properties!A$1:CB$87,Formula!J117,3))</f>
        <v>157.25</v>
      </c>
      <c r="F117" s="85">
        <f>MIN(IF(INDEX(Properties!A$1:CB$87,Formula!B117,3)=0,10^6,INDEX(Properties!A$1:CB$87,Formula!B117,3)),IF(INDEX(Properties!A$1:CB$87,Formula!D117,3)=0,10^6,INDEX(Properties!A$1:CB$87,Formula!D117,3)),IF(INDEX(Properties!A$1:CB$87,Formula!F117,3)=0,10^6,INDEX(Properties!A$1:CB$87,Formula!F117,3)),IF(INDEX(Properties!A$1:CB$87,Formula!H117,3)=0,10^6,INDEX(Properties!A$1:CB$87,Formula!H117,3)),IF(INDEX(Properties!A$1:CB$87,Formula!J117,3)=0,10^6,INDEX(Properties!A$1:CB$87,Formula!J117,3)))</f>
        <v>15.9994</v>
      </c>
      <c r="G117" s="85">
        <f t="shared" si="32"/>
        <v>141.25059999999999</v>
      </c>
      <c r="H117" s="87">
        <f>((Formula!C117)/(Formula!C117+Formula!E117+Formula!G117+Formula!I117+Formula!K117))*(INDEX(Properties!A$1:CB$87,Formula!B117,4))+((Formula!E117)/(Formula!C117+Formula!E117+Formula!G117+Formula!I117+Formula!K117))*(INDEX(Properties!A$1:CB$87,Formula!D117,4))+((Formula!G117)/(Formula!C117+Formula!E117+Formula!G117+Formula!I117+Formula!K117))*(INDEX(Properties!A$1:CB$87,Formula!F117,4))+((Formula!I117)/(Formula!C117+Formula!E117+Formula!G117+Formula!I117+Formula!K117))*(INDEX(Properties!A$1:CB$87,Formula!H117,4))+((Formula!K117)/(Formula!C117+Formula!E117+Formula!G117+Formula!I117+Formula!K117))*(INDEX(Properties!A$1:CB$87,Formula!J117,4))</f>
        <v>28.285714285714285</v>
      </c>
      <c r="I117" s="87">
        <f>Formula!C117*(INDEX(Properties!A$1:CB$87,Formula!B117,4))+Formula!E117*(INDEX(Properties!A$1:CB$87,Formula!D117,4))+Formula!G117*(INDEX(Properties!A$1:CB$87,Formula!F117,4))+Formula!I117*(INDEX(Properties!A$1:CB$87,Formula!H117,4))+Formula!K117*(INDEX(Properties!A$1:CB$87,Formula!J117,4))</f>
        <v>198</v>
      </c>
      <c r="J117" s="87">
        <f>VARP(IF(INDEX(Properties!A$1:CB$87,Formula!B117,4)&lt;&gt;"",INDEX(Properties!A$1:CB$87,Formula!B117,4)),IF(INDEX(Properties!A$1:CB$87,Formula!D117,4)&lt;&gt;"",INDEX(Properties!A$1:CB$87,Formula!D117,4)),IF(INDEX(Properties!A$1:CB$87,Formula!F117,4)&lt;&gt;"",INDEX(Properties!A$1:CB$87,Formula!F117,4)),IF(INDEX(Properties!A$1:CB$87,Formula!H117,4)&lt;&gt;"",INDEX(Properties!A$1:CB$87,Formula!H117,4)),IF(INDEX(Properties!A$1:CB$87,Formula!J117,4)&lt;&gt;"",INDEX(Properties!A$1:CB$87,Formula!J117,4)))</f>
        <v>636.79999999999995</v>
      </c>
      <c r="K117" s="87">
        <f>MAX(INDEX(Properties!A$1:CB$87,Formula!B117,4),INDEX(Properties!A$1:CB$87,Formula!D117,4),INDEX(Properties!A$1:CB$87,Formula!F117,4),INDEX(Properties!A$1:CB$87,Formula!H117,4),INDEX(Properties!A$1:CB$87,Formula!J117,4))</f>
        <v>64</v>
      </c>
      <c r="L117" s="87">
        <f>MIN(IF(INDEX(Properties!A$1:CB$87,Formula!B117,4)=0,10^6,INDEX(Properties!A$1:CB$87,Formula!B117,4)),IF(INDEX(Properties!A$1:CB$87,Formula!D117,4)=0,10^6,INDEX(Properties!A$1:CB$87,Formula!D117,4)),IF(INDEX(Properties!A$1:CB$87,Formula!F117,4)=0,10^6,INDEX(Properties!A$1:CB$87,Formula!F117,4)),IF(INDEX(Properties!A$1:CB$87,Formula!H117,4)=0,10^6,INDEX(Properties!A$1:CB$87,Formula!H117,4)),IF(INDEX(Properties!A$1:CB$87,Formula!J117,4)=0,10^6,INDEX(Properties!A$1:CB$87,Formula!J117,4)))</f>
        <v>8</v>
      </c>
      <c r="M117" s="87">
        <f t="shared" si="33"/>
        <v>56</v>
      </c>
      <c r="N117" s="89">
        <f>((Formula!C117)/(Formula!C117+Formula!E117+Formula!G117+Formula!I117+Formula!K117))*(INDEX(Properties!A$1:CB$87,Formula!B117,5))+((Formula!E117)/(Formula!C117+Formula!E117+Formula!G117+Formula!I117+Formula!K117))*(INDEX(Properties!A$1:CB$87,Formula!D117,5))+((Formula!G117)/(Formula!C117+Formula!E117+Formula!G117+Formula!I117+Formula!K117))*(INDEX(Properties!A$1:CB$87,Formula!F117,5))+((Formula!I117)/(Formula!C117+Formula!E117+Formula!G117+Formula!I117+Formula!K117))*(INDEX(Properties!A$1:CB$87,Formula!H117,5))+((Formula!K117)/(Formula!C117+Formula!E117+Formula!G117+Formula!I117+Formula!K117))*(INDEX(Properties!A$1:CB$87,Formula!J117,5))</f>
        <v>3.5714285714285712</v>
      </c>
      <c r="O117" s="89">
        <f>Formula!C117*(INDEX(Properties!A$1:CB$87,Formula!B117,5))+Formula!E117*(INDEX(Properties!A$1:CB$87,Formula!D117,5))+Formula!G117*(INDEX(Properties!A$1:CB$87,Formula!F117,5))+Formula!I117*(INDEX(Properties!A$1:CB$87,Formula!H117,5))+Formula!K117*(INDEX(Properties!A$1:CB$87,Formula!J117,5))</f>
        <v>25</v>
      </c>
      <c r="P117" s="89">
        <f>VARP(IF(INDEX(Properties!A$1:CB$87,Formula!B117,5)&lt;&gt;"",INDEX(Properties!A$1:CB$87,Formula!B117,5)),IF(INDEX(Properties!A$1:CB$87,Formula!D117,5)&lt;&gt;"",INDEX(Properties!A$1:CB$87,Formula!D117,5)),IF(INDEX(Properties!A$1:CB$87,Formula!F117,5)&lt;&gt;"",INDEX(Properties!A$1:CB$87,Formula!F117,5)),IF(INDEX(Properties!A$1:CB$87,Formula!H117,5)&lt;&gt;"",INDEX(Properties!A$1:CB$87,Formula!H117,5)),IF(INDEX(Properties!A$1:CB$87,Formula!J117,5)&lt;&gt;"",INDEX(Properties!A$1:CB$87,Formula!J117,5)))</f>
        <v>6.24</v>
      </c>
      <c r="Q117" s="89">
        <f>MAX(INDEX(Properties!A$1:CB$87,Formula!B117,5),INDEX(Properties!A$1:CB$87,Formula!D117,5),INDEX(Properties!A$1:CB$87,Formula!F117,5),INDEX(Properties!A$1:CB$87,Formula!H117,5),INDEX(Properties!A$1:CB$87,Formula!J117,5))</f>
        <v>6</v>
      </c>
      <c r="R117" s="89">
        <f>MIN(IF(INDEX(Properties!A$1:CB$87,Formula!B117,5)=0,10^6,INDEX(Properties!A$1:CB$87,Formula!B117,5)),IF(INDEX(Properties!A$1:CB$87,Formula!D117,5)=0,10^6,INDEX(Properties!A$1:CB$87,Formula!D117,5)),IF(INDEX(Properties!A$1:CB$87,Formula!F117,5)=0,10^6,INDEX(Properties!A$1:CB$87,Formula!F117,5)),IF(INDEX(Properties!A$1:CB$87,Formula!H117,5)=0,10^6,INDEX(Properties!A$1:CB$87,Formula!H117,5)),IF(INDEX(Properties!A$1:CB$87,Formula!J117,5)=0,10^6,INDEX(Properties!A$1:CB$87,Formula!J117,5)))</f>
        <v>2</v>
      </c>
      <c r="S117" s="89">
        <f t="shared" si="34"/>
        <v>4</v>
      </c>
      <c r="T117" s="60">
        <f>((Formula!C117)/(Formula!C117+Formula!E117+Formula!G117+Formula!I117+Formula!K117))*(INDEX(Properties!A$1:CB$87,Formula!B117,6))+((Formula!E117)/(Formula!C117+Formula!E117+Formula!G117+Formula!I117+Formula!K117))*(INDEX(Properties!A$1:CB$87,Formula!D117,6))+((Formula!G117)/(Formula!C117+Formula!E117+Formula!G117+Formula!I117+Formula!K117))*(INDEX(Properties!A$1:CB$87,Formula!F117,6))+((Formula!I117)/(Formula!C117+Formula!E117+Formula!G117+Formula!I117+Formula!K117))*(INDEX(Properties!A$1:CB$87,Formula!H117,6))+((Formula!K117)/(Formula!C117+Formula!E117+Formula!G117+Formula!I117+Formula!K117))*(INDEX(Properties!A$1:CB$87,Formula!J117,6))</f>
        <v>10.285714285714285</v>
      </c>
      <c r="U117" s="60">
        <f>Formula!C117*(INDEX(Properties!A$1:CB$87,Formula!B117,6))+Formula!E117*(INDEX(Properties!A$1:CB$87,Formula!D117,6))+Formula!G117*(INDEX(Properties!A$1:CB$87,Formula!F117,6))+Formula!I117*(INDEX(Properties!A$1:CB$87,Formula!H117,6))+Formula!K117*(INDEX(Properties!A$1:CB$87,Formula!J117,6))</f>
        <v>72</v>
      </c>
      <c r="V117" s="89">
        <f>VARP(IF(INDEX(Properties!A$1:CB$87,Formula!B117,6)&lt;&gt;"",INDEX(Properties!A$1:CB$87,Formula!B117,6)),IF(INDEX(Properties!A$1:CB$87,Formula!D117,6)&lt;&gt;"",INDEX(Properties!A$1:CB$87,Formula!D117,6)),IF(INDEX(Properties!A$1:CB$87,Formula!F117,6)&lt;&gt;"",INDEX(Properties!A$1:CB$87,Formula!F117,6)),IF(INDEX(Properties!A$1:CB$87,Formula!H117,6)&lt;&gt;"",INDEX(Properties!A$1:CB$87,Formula!H117,6)),IF(INDEX(Properties!A$1:CB$87,Formula!J117,6)&lt;&gt;"",INDEX(Properties!A$1:CB$87,Formula!J117,6)))</f>
        <v>36.159999999999997</v>
      </c>
      <c r="W117" s="60">
        <f>MAX(INDEX(Properties!A$1:CB$87,Formula!B117,6),INDEX(Properties!A$1:CB$87,Formula!D117,6),INDEX(Properties!A$1:CB$87,Formula!F117,6),INDEX(Properties!A$1:CB$87,Formula!H117,4),INDEX(Properties!A$1:CB$87,Formula!J117,6))</f>
        <v>16</v>
      </c>
      <c r="X117" s="60">
        <f>MIN(IF(INDEX(Properties!A$1:CB$87,Formula!B117,6)=0,10^6,INDEX(Properties!A$1:CB$87,Formula!B117,6)),IF(INDEX(Properties!A$1:CB$87,Formula!D117,6)=0,10^6,INDEX(Properties!A$1:CB$87,Formula!D117,6)),IF(INDEX(Properties!A$1:CB$87,Formula!F117,6)=0,10^6,INDEX(Properties!A$1:CB$87,Formula!F117,6)),IF(INDEX(Properties!A$1:CB$87,Formula!H117,6)=0,10^6,INDEX(Properties!A$1:CB$87,Formula!H117,6)),IF(INDEX(Properties!A$1:CB$87,Formula!J117,6)=0,10^6,INDEX(Properties!A$1:CB$87,Formula!J117,6)))</f>
        <v>2</v>
      </c>
      <c r="Y117" s="60">
        <f t="shared" si="35"/>
        <v>14</v>
      </c>
      <c r="Z117" s="72">
        <f>((Formula!C117)/(Formula!C117+Formula!E117+Formula!G117+Formula!I117+Formula!K117))*(INDEX(Properties!A$1:CB$87,Formula!B117,9))+((Formula!E117)/(Formula!C117+Formula!E117+Formula!G117+Formula!I117+Formula!K117))*(INDEX(Properties!A$1:CB$87,Formula!D117,9))+((Formula!G117)/(Formula!C117+Formula!E117+Formula!G117+Formula!I117+Formula!K117))*(INDEX(Properties!A$1:CB$87,Formula!F117,9))+((Formula!I117)/(Formula!C117+Formula!E117+Formula!G117+Formula!I117+Formula!K117))*(INDEX(Properties!A$1:CB$87,Formula!H117,9))+((Formula!K117)/(Formula!C117+Formula!E117+Formula!G117+Formula!I117+Formula!K117))*(INDEX(Properties!A$1:CB$87,Formula!J117,9))</f>
        <v>58.571428571428562</v>
      </c>
      <c r="AA117" s="72">
        <f>Formula!C117*(INDEX(Properties!A$1:CB$87,Formula!B117,9))+Formula!E117*(INDEX(Properties!A$1:CB$87,Formula!D117,9))+Formula!G117*(INDEX(Properties!A$1:CB$87,Formula!F117,9))+Formula!I117*(INDEX(Properties!A$1:CB$87,Formula!H117,9))+Formula!K117*(INDEX(Properties!A$1:CB$87,Formula!J117,9))</f>
        <v>410</v>
      </c>
      <c r="AB117" s="72">
        <f>VARP(IF(INDEX(Properties!A$1:CB$87,Formula!B117,9)&lt;&gt;"",INDEX(Properties!A$1:CB$87,Formula!B117,9)),IF(INDEX(Properties!A$1:CB$87,Formula!D117,9)&lt;&gt;"",INDEX(Properties!A$1:CB$87,Formula!D117,9)),IF(INDEX(Properties!A$1:CB$87,Formula!F117,9)&lt;&gt;"",INDEX(Properties!A$1:CB$87,Formula!F117,9)),IF(INDEX(Properties!A$1:CB$87,Formula!H117,9)&lt;&gt;"",INDEX(Properties!A$1:CB$87,Formula!H117,9)),IF(INDEX(Properties!A$1:CB$87,Formula!J117,9)&lt;&gt;"",INDEX(Properties!A$1:CB$87,Formula!J117,9)))</f>
        <v>1077.04</v>
      </c>
      <c r="AC117" s="72">
        <f>MAX(INDEX(Properties!A$1:CB$87,Formula!B117,9),INDEX(Properties!A$1:CB$87,Formula!D117,9),INDEX(Properties!A$1:CB$87,Formula!F117,9),INDEX(Properties!A$1:CB$87,Formula!H117,9),INDEX(Properties!A$1:CB$87,Formula!J117,9))</f>
        <v>87</v>
      </c>
      <c r="AD117" s="72">
        <f>MIN(IF(INDEX(Properties!A$1:CB$87,Formula!B117,9)=0,10^6,INDEX(Properties!A$1:CB$87,Formula!B117,9)),IF(INDEX(Properties!A$1:CB$87,Formula!D117,9)=0,10^6,INDEX(Properties!A$1:CB$87,Formula!D117,9)),IF(INDEX(Properties!A$1:CB$87,Formula!F117,9)=0,10^6,INDEX(Properties!A$1:CB$87,Formula!F117,9)),IF(INDEX(Properties!A$1:CB$87,Formula!H117,9)=0,10^6,INDEX(Properties!A$1:CB$87,Formula!H117,9)),IF(INDEX(Properties!A$1:CB$87,Formula!J117,9)=0,10^6,INDEX(Properties!A$1:CB$87,Formula!J117,9)))</f>
        <v>8</v>
      </c>
      <c r="AE117" s="72">
        <f t="shared" si="36"/>
        <v>79</v>
      </c>
      <c r="AF117" s="51">
        <f>((Formula!C117)/(Formula!C117+Formula!E117+Formula!G117+Formula!I117+Formula!K117))*(INDEX(Properties!A$1:CB$87,Formula!B117,10))+((Formula!E117)/(Formula!C117+Formula!E117+Formula!G117+Formula!I117+Formula!K117))*(INDEX(Properties!A$1:CB$87,Formula!D117,10))+((Formula!G117)/(Formula!C117+Formula!E117+Formula!G117+Formula!I117+Formula!K117))*(INDEX(Properties!A$1:CB$87,Formula!F117,10))+((Formula!I117)/(Formula!C117+Formula!E117+Formula!G117+Formula!I117+Formula!K117))*(INDEX(Properties!A$1:CB$87,Formula!H117,10))+((Formula!K117)/(Formula!C117+Formula!E117+Formula!G117+Formula!I117+Formula!K117))*(INDEX(Properties!A$1:CB$87,Formula!J117,10))</f>
        <v>5.1428571428571423</v>
      </c>
      <c r="AG117" s="51">
        <f>Formula!C117*(INDEX(Properties!A$1:CB$87,Formula!B117,10))+Formula!E117*(INDEX(Properties!A$1:CB$87,Formula!D117,10))+Formula!G117*(INDEX(Properties!A$1:CB$87,Formula!F117,10))+Formula!I117*(INDEX(Properties!A$1:CB$87,Formula!H117,10))+Formula!K117*(INDEX(Properties!A$1:CB$87,Formula!J117,10))</f>
        <v>36</v>
      </c>
      <c r="AH117" s="51">
        <f>VARP(IF(INDEX(Properties!A$1:CB$87,Formula!B117,10)&lt;&gt;"",INDEX(Properties!A$1:CB$87,Formula!B117,10)),IF(INDEX(Properties!A$1:CB$87,Formula!D117,10)&lt;&gt;"",INDEX(Properties!A$1:CB$87,Formula!D117,10)),IF(INDEX(Properties!A$1:CB$87,Formula!F117,10)&lt;&gt;"",INDEX(Properties!A$1:CB$87,Formula!F117,10)),IF(INDEX(Properties!A$1:CB$87,Formula!H117,10)&lt;&gt;"",INDEX(Properties!A$1:CB$87,Formula!H117,10)),IF(INDEX(Properties!A$1:CB$87,Formula!J117,10)&lt;&gt;"",INDEX(Properties!A$1:CB$87,Formula!J117,10)))</f>
        <v>6.64</v>
      </c>
      <c r="AI117" s="51">
        <f>MAX(INDEX(Properties!A$1:CB$87,Formula!B117,10),INDEX(Properties!A$1:CB$87,Formula!D117,10),INDEX(Properties!A$1:CB$87,Formula!F117,10),INDEX(Properties!A$1:CB$87,Formula!H117,10),INDEX(Properties!A$1:CB$87,Formula!J117,10))</f>
        <v>7</v>
      </c>
      <c r="AJ117" s="51">
        <f>MIN(IF(INDEX(Properties!A$1:CB$87,Formula!B117,10)=0,10^6,INDEX(Properties!A$1:CB$87,Formula!B117,10)),IF(INDEX(Properties!A$1:CB$87,Formula!D117,10)=0,10^6,INDEX(Properties!A$1:CB$87,Formula!D117,10)),IF(INDEX(Properties!A$1:CB$87,Formula!F117,10)=0,10^6,INDEX(Properties!A$1:CB$87,Formula!F117,10)),IF(INDEX(Properties!A$1:CB$87,Formula!H117,10)=0,10^6,INDEX(Properties!A$1:CB$87,Formula!H117,10)),IF(INDEX(Properties!A$1:CB$87,Formula!J117,10)=0,10^6,INDEX(Properties!A$1:CB$87,Formula!J117,10)))</f>
        <v>2</v>
      </c>
      <c r="AK117" s="51">
        <f t="shared" si="37"/>
        <v>5</v>
      </c>
      <c r="AL117" s="57">
        <f>((Formula!C117)/(Formula!C117+Formula!E117+Formula!G117+Formula!I117+Formula!K117))*(INDEX(Properties!A$1:CB$87,Formula!B117,11))+((Formula!E117)/(Formula!C117+Formula!E117+Formula!G117+Formula!I117+Formula!K117))*(INDEX(Properties!A$1:CB$87,Formula!D117,11))+((Formula!G117)/(Formula!C117+Formula!E117+Formula!G117+Formula!I117+Formula!K117))*(INDEX(Properties!A$1:CB$87,Formula!F117,11))+((Formula!I117)/(Formula!C117+Formula!E117+Formula!G117+Formula!I117+Formula!K117))*(INDEX(Properties!A$1:CB$87,Formula!H117,11))+((Formula!K117)/(Formula!C117+Formula!E117+Formula!G117+Formula!I117+Formula!K117))*(INDEX(Properties!A$1:CB$87,Formula!J117,11))</f>
        <v>2</v>
      </c>
      <c r="AM117" s="57">
        <f>Formula!C117*(INDEX(Properties!A$1:CB$87,Formula!B117,11))+Formula!E117*(INDEX(Properties!A$1:CB$87,Formula!D117,11))+Formula!G117*(INDEX(Properties!A$1:CB$87,Formula!F117,11))+Formula!I117*(INDEX(Properties!A$1:CB$87,Formula!H117,11))+Formula!K117*(INDEX(Properties!A$1:CB$87,Formula!J117,11))</f>
        <v>14</v>
      </c>
      <c r="AN117" s="57">
        <f>VARP(IF(INDEX(Properties!A$1:CB$87,Formula!B117,11)&lt;&gt;"",INDEX(Properties!A$1:CB$87,Formula!B117,11)),IF(INDEX(Properties!A$1:CB$87,Formula!D117,11)&lt;&gt;"",INDEX(Properties!A$1:CB$87,Formula!D117,11)),IF(INDEX(Properties!A$1:CB$87,Formula!F117,11)&lt;&gt;"",INDEX(Properties!A$1:CB$87,Formula!F117,11)),IF(INDEX(Properties!A$1:CB$87,Formula!H117,11)&lt;&gt;"",INDEX(Properties!A$1:CB$87,Formula!H117,11)),IF(INDEX(Properties!A$1:CB$87,Formula!J117,11)&lt;&gt;"",INDEX(Properties!A$1:CB$87,Formula!J117,11)))</f>
        <v>0.96</v>
      </c>
      <c r="AO117" s="57">
        <f>MAX(INDEX(Properties!A$1:CB$87,Formula!B117,11),INDEX(Properties!A$1:CB$87,Formula!D117,11),INDEX(Properties!A$1:CB$87,Formula!F117,11),INDEX(Properties!A$1:CB$87,Formula!H117,11),INDEX(Properties!A$1:CB$87,Formula!J117,11))</f>
        <v>2</v>
      </c>
      <c r="AP117" s="57">
        <f>MIN(IF(Formula!B117=87,10^6,INDEX(Properties!A$1:CB$87,Formula!B117,11)),IF((Formula!D117)=87,10^6,INDEX(Properties!A$1:CB$87,Formula!D117,11)),IF((Formula!F117)=87,10^6,INDEX(Properties!A$1:CB$87,Formula!F117,11)),IF((Formula!H117)=87,10^6,INDEX(Properties!A$1:CB$87,Formula!H117,11)),IF(Formula!J117=87,10^6,INDEX(Properties!A$1:CB$87,Formula!J117,11)))</f>
        <v>2</v>
      </c>
      <c r="AQ117" s="57">
        <f t="shared" si="38"/>
        <v>0</v>
      </c>
      <c r="AR117" s="78">
        <f>((Formula!C117)/(Formula!C117+Formula!E117+Formula!G117+Formula!I117+Formula!K117))*(INDEX(Properties!A$1:CB$87,Formula!B117,12))+((Formula!E117)/(Formula!C117+Formula!E117+Formula!G117+Formula!I117+Formula!K117))*(INDEX(Properties!A$1:CB$87,Formula!D117,12))+((Formula!G117)/(Formula!C117+Formula!E117+Formula!G117+Formula!I117+Formula!K117))*(INDEX(Properties!A$1:CB$87,Formula!F117,12))+((Formula!I117)/(Formula!C117+Formula!E117+Formula!G117+Formula!I117+Formula!K117))*(INDEX(Properties!A$1:CB$87,Formula!H117,12))+((Formula!K117)/(Formula!C117+Formula!E117+Formula!G117+Formula!I117+Formula!K117))*(INDEX(Properties!A$1:CB$87,Formula!J117,12))</f>
        <v>2.2857142857142856</v>
      </c>
      <c r="AS117" s="78">
        <f>Formula!C117*(INDEX(Properties!A$1:CB$87,Formula!B117,12))+Formula!E117*(INDEX(Properties!A$1:CB$87,Formula!D117,12))+Formula!G117*(INDEX(Properties!A$1:CB$87,Formula!F117,12))+Formula!I117*(INDEX(Properties!A$1:CB$87,Formula!H117,12))+Formula!K117*(INDEX(Properties!A$1:CB$87,Formula!J117,12))</f>
        <v>16</v>
      </c>
      <c r="AT117" s="78">
        <f>VARP(IF(INDEX(Properties!A$1:CB$87,Formula!B117,12)&lt;&gt;"",INDEX(Properties!A$1:CB$87,Formula!B117,12)),IF(INDEX(Properties!A$1:CB$87,Formula!D117,12)&lt;&gt;"",INDEX(Properties!A$1:CB$87,Formula!D117,12)),IF(INDEX(Properties!A$1:CB$87,Formula!F117,12)&lt;&gt;"",INDEX(Properties!A$1:CB$87,Formula!F117,12)),IF(INDEX(Properties!A$1:CB$87,Formula!H117,12)&lt;&gt;"",INDEX(Properties!A$1:CB$87,Formula!H117,12)),IF(INDEX(Properties!A$1:CB$87,Formula!J117,12)&lt;&gt;"",INDEX(Properties!A$1:CB$87,Formula!J117,12)))</f>
        <v>2.56</v>
      </c>
      <c r="AU117" s="78">
        <f>MAX(INDEX(Properties!A$1:CB$87,Formula!B117,12),INDEX(Properties!A$1:CB$87,Formula!D117,12),INDEX(Properties!A$1:CB$87,Formula!F117,12),INDEX(Properties!A$1:CB$87,Formula!H117,12),INDEX(Properties!A$1:CB$87,Formula!J117,12))</f>
        <v>4</v>
      </c>
      <c r="AV117" s="78">
        <f>MIN(IF(Formula!B117=87,10^6,INDEX(Properties!A$1:CB$87,Formula!B117,12)),IF((Formula!D117)=87,10^6,INDEX(Properties!A$1:CB$87,Formula!D117,12)),IF((Formula!F117)=87,10^6,INDEX(Properties!A$1:CB$87,Formula!F117,12)),IF((Formula!H117)=87,10^6,INDEX(Properties!A$1:CB$87,Formula!H117,12)),IF(Formula!J117=87,10^6,INDEX(Properties!A$1:CB$87,Formula!J117,12)))</f>
        <v>0</v>
      </c>
      <c r="AW117" s="78">
        <f t="shared" si="39"/>
        <v>4</v>
      </c>
      <c r="AX117" s="45">
        <f>((Formula!C117)/(Formula!C117+Formula!E117+Formula!G117+Formula!I117+Formula!K117))*(INDEX(Properties!A$1:CB$87,Formula!B117,13))+((Formula!E117)/(Formula!C117+Formula!E117+Formula!G117+Formula!I117+Formula!K117))*(INDEX(Properties!A$1:CB$87,Formula!D117,13))+((Formula!G117)/(Formula!C117+Formula!E117+Formula!G117+Formula!I117+Formula!K117))*(INDEX(Properties!A$1:CB$87,Formula!F117,13))+((Formula!I117)/(Formula!C117+Formula!E117+Formula!G117+Formula!I117+Formula!K117))*(INDEX(Properties!A$1:CB$87,Formula!H117,13))+((Formula!K117)/(Formula!C117+Formula!E117+Formula!G117+Formula!I117+Formula!K117))*(INDEX(Properties!A$1:CB$87,Formula!J117,13))</f>
        <v>0.2857142857142857</v>
      </c>
      <c r="AY117" s="45">
        <f>Formula!C117*(INDEX(Properties!A$1:CB$87,Formula!B117,13))+Formula!E117*(INDEX(Properties!A$1:CB$87,Formula!D117,13))+Formula!G117*(INDEX(Properties!A$1:CB$87,Formula!F117,13))+Formula!I117*(INDEX(Properties!A$1:CB$87,Formula!H117,13))+Formula!K117*(INDEX(Properties!A$1:CB$87,Formula!J117,13))</f>
        <v>2</v>
      </c>
      <c r="AZ117" s="45">
        <f>VARP(IF(INDEX(Properties!A$1:CB$87,Formula!B117,13)&lt;&gt;"",INDEX(Properties!A$1:CB$87,Formula!B117,13)),IF(INDEX(Properties!A$1:CB$87,Formula!D117,13)&lt;&gt;"",INDEX(Properties!A$1:CB$87,Formula!D117,13)),IF(INDEX(Properties!A$1:CB$87,Formula!F117,13)&lt;&gt;"",INDEX(Properties!A$1:CB$87,Formula!F117,13)),IF(INDEX(Properties!A$1:CB$87,Formula!H117,13)&lt;&gt;"",INDEX(Properties!A$1:CB$87,Formula!H117,13)),IF(INDEX(Properties!A$1:CB$87,Formula!J117,13)&lt;&gt;"",INDEX(Properties!A$1:CB$87,Formula!J117,13)))</f>
        <v>0.16</v>
      </c>
      <c r="BA117" s="45">
        <f>MAX(INDEX(Properties!A$1:CB$87,Formula!B117,13),INDEX(Properties!A$1:CB$87,Formula!D117,13),INDEX(Properties!A$1:CB$87,Formula!F117,13),INDEX(Properties!A$1:CB$87,Formula!H117,13),INDEX(Properties!A$1:CB$87,Formula!J117,13))</f>
        <v>1</v>
      </c>
      <c r="BB117" s="45">
        <f>MIN(IF(Formula!B117=87,10^6,INDEX(Properties!A$1:CB$87,Formula!B117,13)),IF((Formula!D117)=87,10^6,INDEX(Properties!A$1:CB$87,Formula!D117,13)),IF((Formula!F117)=87,10^6,INDEX(Properties!A$1:CB$87,Formula!F117,13)),IF((Formula!H117)=87,10^6,INDEX(Properties!A$1:CB$87,Formula!H117,13)),IF(Formula!J117=87,10^6,INDEX(Properties!A$1:CB$87,Formula!J117,13)))</f>
        <v>0</v>
      </c>
      <c r="BC117" s="45">
        <f t="shared" si="40"/>
        <v>1</v>
      </c>
      <c r="BD117" s="63">
        <f>((Formula!C117)/(Formula!C117+Formula!E117+Formula!G117+Formula!I117+Formula!K117))*(INDEX(Properties!A$1:CB$87,Formula!B117,14))+((Formula!E117)/(Formula!C117+Formula!E117+Formula!G117+Formula!I117+Formula!K117))*(INDEX(Properties!A$1:CB$87,Formula!D117,14))+((Formula!G117)/(Formula!C117+Formula!E117+Formula!G117+Formula!I117+Formula!K117))*(INDEX(Properties!A$1:CB$87,Formula!F117,14))+((Formula!I117)/(Formula!C117+Formula!E117+Formula!G117+Formula!I117+Formula!K117))*(INDEX(Properties!A$1:CB$87,Formula!H117,14))+((Formula!K117)/(Formula!C117+Formula!E117+Formula!G117+Formula!I117+Formula!K117))*(INDEX(Properties!A$1:CB$87,Formula!J117,14))</f>
        <v>2</v>
      </c>
      <c r="BE117" s="63">
        <f>Formula!C117*(INDEX(Properties!A$1:CB$87,Formula!B117,14))+Formula!E117*(INDEX(Properties!A$1:CB$87,Formula!D117,14))+Formula!G117*(INDEX(Properties!A$1:CB$87,Formula!F117,14))+Formula!I117*(INDEX(Properties!A$1:CB$87,Formula!H117,14))+Formula!K117*(INDEX(Properties!A$1:CB$87,Formula!J117,14))</f>
        <v>14</v>
      </c>
      <c r="BF117" s="63">
        <f>VARP(IF(INDEX(Properties!A$1:CB$87,Formula!B117,14)&lt;&gt;"",INDEX(Properties!A$1:CB$87,Formula!B117,14)),IF(INDEX(Properties!A$1:CB$87,Formula!D117,14)&lt;&gt;"",INDEX(Properties!A$1:CB$87,Formula!D117,14)),IF(INDEX(Properties!A$1:CB$87,Formula!F117,14)&lt;&gt;"",INDEX(Properties!A$1:CB$87,Formula!F117,14)),IF(INDEX(Properties!A$1:CB$87,Formula!H117,14)&lt;&gt;"",INDEX(Properties!A$1:CB$87,Formula!H117,14)),IF(INDEX(Properties!A$1:CB$87,Formula!J117,14)&lt;&gt;"",INDEX(Properties!A$1:CB$87,Formula!J117,14)))</f>
        <v>7.84</v>
      </c>
      <c r="BG117" s="63">
        <f>MAX(INDEX(Properties!A$1:CB$87,Formula!B117,14),INDEX(Properties!A$1:CB$87,Formula!D117,14),INDEX(Properties!A$1:CB$87,Formula!F117,14),INDEX(Properties!A$1:CB$87,Formula!H117,14),INDEX(Properties!A$1:CB$87,Formula!J117,14))</f>
        <v>7</v>
      </c>
      <c r="BH117" s="63">
        <f>MIN(IF(Formula!B117=87,10^6,INDEX(Properties!A$1:CB$87,Formula!B117,14)),IF((Formula!D117)=87,10^6,INDEX(Properties!A$1:CB$87,Formula!D117,14)),IF((Formula!F117)=87,10^6,INDEX(Properties!A$1:CB$87,Formula!F117,14)),IF((Formula!H117)=87,10^6,INDEX(Properties!A$1:CB$87,Formula!H117,14)),IF(Formula!J117=87,10^6,INDEX(Properties!A$1:CB$87,Formula!J117,14)))</f>
        <v>0</v>
      </c>
      <c r="BI117" s="63">
        <f t="shared" si="41"/>
        <v>7</v>
      </c>
      <c r="BJ117" s="75">
        <f>((Formula!C117)/(Formula!C117+Formula!E117+Formula!G117+Formula!I117+Formula!K117))*(INDEX(Properties!A$1:CB$87,Formula!B117,19))+((Formula!E117)/(Formula!C117+Formula!E117+Formula!G117+Formula!I117+Formula!K117))*(INDEX(Properties!A$1:CB$87,Formula!D117,19))+((Formula!G117)/(Formula!C117+Formula!E117+Formula!G117+Formula!I117+Formula!K117))*(INDEX(Properties!A$1:CB$87,Formula!F117,19))+((Formula!I117)/(Formula!C117+Formula!E117+Formula!G117+Formula!I117+Formula!K117))*(INDEX(Properties!A$1:CB$87,Formula!H117,19))+((Formula!K117)/(Formula!C117+Formula!E117+Formula!G117+Formula!I117+Formula!K117))*(INDEX(Properties!A$1:CB$87,Formula!J117,19))</f>
        <v>6.5714285714285712</v>
      </c>
      <c r="BK117" s="75">
        <f>Formula!C117*(INDEX(Properties!A$1:CB$87,Formula!B117,19))+Formula!E117*(INDEX(Properties!A$1:CB$87,Formula!D117,19))+Formula!G117*(INDEX(Properties!A$1:CB$87,Formula!F117,19))+Formula!I117*(INDEX(Properties!A$1:CB$87,Formula!H117,19))+Formula!K117*(INDEX(Properties!A$1:CB$87,Formula!J117,19))</f>
        <v>46</v>
      </c>
      <c r="BL117" s="75">
        <f>VARP(IF(INDEX(Properties!A$1:CB$87,Formula!B117,19)&lt;&gt;"",INDEX(Properties!A$1:CB$87,Formula!B117,19)),IF(INDEX(Properties!A$1:CB$87,Formula!D117,19)&lt;&gt;"",INDEX(Properties!A$1:CB$87,Formula!D117,19)),IF(INDEX(Properties!A$1:CB$87,Formula!F117,19)&lt;&gt;"",INDEX(Properties!A$1:CB$87,Formula!F117,19)),IF(INDEX(Properties!A$1:CB$87,Formula!H117,19)&lt;&gt;"",INDEX(Properties!A$1:CB$87,Formula!H117,19)),IF(INDEX(Properties!A$1:CB$87,Formula!J117,19)&lt;&gt;"",INDEX(Properties!A$1:CB$87,Formula!J117,19)))</f>
        <v>15.04</v>
      </c>
      <c r="BM117" s="75">
        <f>MAX(INDEX(Properties!A$1:CB$87,Formula!B117,19),INDEX(Properties!A$1:CB$87,Formula!D117,19),INDEX(Properties!A$1:CB$87,Formula!F117,19),INDEX(Properties!A$1:CB$87,Formula!H117,19),INDEX(Properties!A$1:CB$87,Formula!J117,19))</f>
        <v>10</v>
      </c>
      <c r="BN117" s="75">
        <f>MIN(IF(INDEX(Properties!A$1:CB$87,Formula!B117,19)=0,10^6,INDEX(Properties!A$1:CB$87,Formula!B117,19)),IF(INDEX(Properties!A$1:CB$87,Formula!D117,19)=0,10^6,INDEX(Properties!A$1:CB$87,Formula!D117,19)),IF(INDEX(Properties!A$1:CB$87,Formula!F117,19)=0,10^6,INDEX(Properties!A$1:CB$87,Formula!F117,19)),IF(INDEX(Properties!A$1:CB$87,Formula!H117,19)=0,10^6,INDEX(Properties!A$1:CB$87,Formula!H117,19)),IF(INDEX(Properties!A$1:CB$87,Formula!J117,19)=0,10^6,INDEX(Properties!A$1:CB$87,Formula!J117,19)))</f>
        <v>2</v>
      </c>
      <c r="BO117" s="75">
        <f t="shared" si="42"/>
        <v>8</v>
      </c>
      <c r="BP117" s="48">
        <f>((Formula!C117)/(Formula!C117+Formula!E117+Formula!G117+Formula!I117+Formula!K117))*(INDEX(Properties!A$1:CB$87,Formula!B117,20))+((Formula!E117)/(Formula!C117+Formula!E117+Formula!G117+Formula!I117+Formula!K117))*(INDEX(Properties!A$1:CB$87,Formula!D117,20))+((Formula!G117)/(Formula!C117+Formula!E117+Formula!G117+Formula!I117+Formula!K117))*(INDEX(Properties!A$1:CB$87,Formula!F117,20))+((Formula!I117)/(Formula!C117+Formula!E117+Formula!G117+Formula!I117+Formula!K117))*(INDEX(Properties!A$1:CB$87,Formula!H117,20))+((Formula!K117)/(Formula!C117+Formula!E117+Formula!G117+Formula!I117+Formula!K117))*(INDEX(Properties!A$1:CB$87,Formula!J117,20))</f>
        <v>4.2857142857142856</v>
      </c>
      <c r="BQ117" s="48">
        <f>Formula!C117*(INDEX(Properties!A$1:CB$87,Formula!B117,20))+Formula!E117*(INDEX(Properties!A$1:CB$87,Formula!D117,20))+Formula!G117*(INDEX(Properties!A$1:CB$87,Formula!F117,20))+Formula!I117*(INDEX(Properties!A$1:CB$87,Formula!H117,20))+Formula!K117*(INDEX(Properties!A$1:CB$87,Formula!J117,20))</f>
        <v>30</v>
      </c>
      <c r="BR117" s="48">
        <f>VARP(IF(INDEX(Properties!A$1:CB$87,Formula!B117,20)&lt;&gt;"",INDEX(Properties!A$1:CB$87,Formula!B117,20)),IF(INDEX(Properties!A$1:CB$87,Formula!D117,20)&lt;&gt;"",INDEX(Properties!A$1:CB$87,Formula!D117,20)),IF(INDEX(Properties!A$1:CB$87,Formula!F117,20)&lt;&gt;"",INDEX(Properties!A$1:CB$87,Formula!F117,20)),IF(INDEX(Properties!A$1:CB$87,Formula!H117,20)&lt;&gt;"",INDEX(Properties!A$1:CB$87,Formula!H117,20)),IF(INDEX(Properties!A$1:CB$87,Formula!J117,20)&lt;&gt;"",INDEX(Properties!A$1:CB$87,Formula!J117,20)))</f>
        <v>4.8</v>
      </c>
      <c r="BS117" s="48">
        <f>MAX(INDEX(Properties!A$1:CB$87,Formula!B117,20),INDEX(Properties!A$1:CB$87,Formula!D117,20),INDEX(Properties!A$1:CB$87,Formula!F117,20),INDEX(Properties!A$1:CB$87,Formula!H117,20),INDEX(Properties!A$1:CB$87,Formula!J117,20))</f>
        <v>6</v>
      </c>
      <c r="BT117" s="48">
        <f>MIN(IF(INDEX(Properties!A$1:CB$87,Formula!B117,20)=0,10^6,INDEX(Properties!A$1:CB$87,Formula!B117,20)),IF(INDEX(Properties!A$1:CB$87,Formula!D117,20)=0,10^6,INDEX(Properties!A$1:CB$87,Formula!D117,20)),IF(INDEX(Properties!A$1:CB$87,Formula!F117,20)=0,10^6,INDEX(Properties!A$1:CB$87,Formula!F117,20)),IF(INDEX(Properties!A$1:CB$87,Formula!H117,20)=0,10^6,INDEX(Properties!A$1:CB$87,Formula!H117,20)),IF(INDEX(Properties!A$1:CB$87,Formula!J117,20)=0,10^6,INDEX(Properties!A$1:CB$87,Formula!J117,20)))</f>
        <v>2</v>
      </c>
      <c r="BU117" s="48">
        <f t="shared" si="43"/>
        <v>4</v>
      </c>
      <c r="BV117" s="66">
        <f>((Formula!C117)/(Formula!C117+Formula!E117+Formula!G117+Formula!I117+Formula!K117))*(INDEX(Properties!A$1:CB$87,Formula!B117,21))+((Formula!E117)/(Formula!C117+Formula!E117+Formula!G117+Formula!I117+Formula!K117))*(INDEX(Properties!A$1:CB$87,Formula!D117,21))+((Formula!G117)/(Formula!C117+Formula!E117+Formula!G117+Formula!I117+Formula!K117))*(INDEX(Properties!A$1:CB$87,Formula!F117,21))+((Formula!I117)/(Formula!C117+Formula!E117+Formula!G117+Formula!I117+Formula!K117))*(INDEX(Properties!A$1:CB$87,Formula!H117,21))+((Formula!K117)/(Formula!C117+Formula!E117+Formula!G117+Formula!I117+Formula!K117))*(INDEX(Properties!A$1:CB$87,Formula!J117,21))</f>
        <v>4.5714285714285712</v>
      </c>
      <c r="BW117" s="66">
        <f>Formula!C117*(INDEX(Properties!A$1:CB$87,Formula!B117,21))+Formula!E117*(INDEX(Properties!A$1:CB$87,Formula!D117,21))+Formula!G117*(INDEX(Properties!A$1:CB$87,Formula!F117,21))+Formula!I117*(INDEX(Properties!A$1:CB$87,Formula!H117,21))+Formula!K117*(INDEX(Properties!A$1:CB$87,Formula!J117,21))</f>
        <v>32</v>
      </c>
      <c r="BX117" s="66">
        <f>VARP(IF(INDEX(Properties!A$1:CB$87,Formula!B117,21)&lt;&gt;"",INDEX(Properties!A$1:CB$87,Formula!B117,21)),IF(INDEX(Properties!A$1:CB$87,Formula!D117,21)&lt;&gt;"",INDEX(Properties!A$1:CB$87,Formula!D117,21)),IF(INDEX(Properties!A$1:CB$87,Formula!F117,21)&lt;&gt;"",INDEX(Properties!A$1:CB$87,Formula!F117,21)),IF(INDEX(Properties!A$1:CB$87,Formula!H117,21)&lt;&gt;"",INDEX(Properties!A$1:CB$87,Formula!H117,21)),IF(INDEX(Properties!A$1:CB$87,Formula!J117,21)&lt;&gt;"",INDEX(Properties!A$1:CB$87,Formula!J117,21)))</f>
        <v>4.96</v>
      </c>
      <c r="BY117" s="66">
        <f>MAX(INDEX(Properties!A$1:CB$87,Formula!B117,21),INDEX(Properties!A$1:CB$87,Formula!D117,21),INDEX(Properties!A$1:CB$87,Formula!F117,21),INDEX(Properties!A$1:CB$87,Formula!H117,21),INDEX(Properties!A$1:CB$87,Formula!J117,21))</f>
        <v>6</v>
      </c>
      <c r="BZ117" s="66">
        <f>MIN(IF(INDEX(Properties!A$1:CB$87,Formula!B117,21)=0,10^6,INDEX(Properties!A$1:CB$87,Formula!B117,21)),IF(INDEX(Properties!A$1:CB$87,Formula!D117,21)=0,10^6,INDEX(Properties!A$1:CB$87,Formula!D117,21)),IF(INDEX(Properties!A$1:CB$87,Formula!F117,21)=0,10^6,INDEX(Properties!A$1:CB$87,Formula!F117,21)),IF(INDEX(Properties!A$1:CB$87,Formula!H117,21)=0,10^6,INDEX(Properties!A$1:CB$87,Formula!H117,21)),IF(INDEX(Properties!A$1:CB$87,Formula!J117,21)=0,10^6,INDEX(Properties!A$1:CB$87,Formula!J117,21)))</f>
        <v>2</v>
      </c>
      <c r="CA117" s="66">
        <f t="shared" si="44"/>
        <v>4</v>
      </c>
      <c r="CB117" s="81">
        <f>((Formula!C117)/(Formula!C117+Formula!E117+Formula!G117+Formula!I117+Formula!K117))*(INDEX(Properties!A$1:CB$87,Formula!B117,23))+((Formula!E117)/(Formula!C117+Formula!E117+Formula!G117+Formula!I117+Formula!K117))*(INDEX(Properties!A$1:CB$87,Formula!D117,23))+((Formula!G117)/(Formula!C117+Formula!E117+Formula!G117+Formula!I117+Formula!K117))*(INDEX(Properties!A$1:CB$87,Formula!F117,23))+((Formula!I117)/(Formula!C117+Formula!E117+Formula!G117+Formula!I117+Formula!K117))*(INDEX(Properties!A$1:CB$87,Formula!H117,23))+((Formula!K117)/(Formula!C117+Formula!E117+Formula!G117+Formula!I117+Formula!K117))*(INDEX(Properties!A$1:CB$87,Formula!J117,23))</f>
        <v>1.1428571428571428</v>
      </c>
      <c r="CC117" s="81">
        <f>Formula!C117*(INDEX(Properties!A$1:CB$87,Formula!B117,23))+Formula!E117*(INDEX(Properties!A$1:CB$87,Formula!D117,23))+Formula!G117*(INDEX(Properties!A$1:CB$87,Formula!F117,23))+Formula!I117*(INDEX(Properties!A$1:CB$87,Formula!H117,23))+Formula!K117*(INDEX(Properties!A$1:CB$87,Formula!J117,23))</f>
        <v>8</v>
      </c>
      <c r="CD117" s="81">
        <f>VARP(IF(INDEX(Properties!A$1:CB$87,Formula!B117,23)&lt;&gt;"",INDEX(Properties!A$1:CB$87,Formula!B117,23)),IF(INDEX(Properties!A$1:CB$87,Formula!D117,23)&lt;&gt;"",INDEX(Properties!A$1:CB$87,Formula!D117,23)),IF(INDEX(Properties!A$1:CB$87,Formula!F117,23)&lt;&gt;"",INDEX(Properties!A$1:CB$87,Formula!F117,23)),IF(INDEX(Properties!A$1:CB$87,Formula!H117,23)&lt;&gt;"",INDEX(Properties!A$1:CB$87,Formula!H117,23)),IF(INDEX(Properties!A$1:CB$87,Formula!J117,23)&lt;&gt;"",INDEX(Properties!A$1:CB$87,Formula!J117,23)))</f>
        <v>1.6</v>
      </c>
      <c r="CE117" s="81">
        <f>MAX(INDEX(Properties!A$1:CB$87,Formula!B117,23),INDEX(Properties!A$1:CB$87,Formula!D117,23),INDEX(Properties!A$1:CB$87,Formula!F117,23),INDEX(Properties!A$1:CB$87,Formula!H117,23),INDEX(Properties!A$1:CB$87,Formula!J117,23))</f>
        <v>3</v>
      </c>
      <c r="CF117" s="81">
        <f>MIN(IF(Formula!B117=87,10^6,INDEX(Properties!A$1:CB$87,Formula!B117,23)),IF((Formula!D117)=87,10^6,INDEX(Properties!A$1:CB$87,Formula!D117,23)),IF((Formula!F117)=87,10^6,INDEX(Properties!A$1:CB$87,Formula!F117,23)),IF((Formula!H117)=87,10^6,INDEX(Properties!A$1:CB$87,Formula!H117,23)),IF(Formula!J117=87,10^6,INDEX(Properties!A$1:CB$87,Formula!J117,23)))</f>
        <v>0</v>
      </c>
      <c r="CG117" s="81">
        <f t="shared" si="45"/>
        <v>3</v>
      </c>
      <c r="CH117" s="39">
        <f>((Formula!C117)/(Formula!C117+Formula!E117+Formula!G117+Formula!I117+Formula!K117))*(INDEX(Properties!A$1:CB$87,Formula!B117,26))+((Formula!E117)/(Formula!C117+Formula!E117+Formula!G117+Formula!I117+Formula!K117))*(INDEX(Properties!A$1:CB$87,Formula!D117,26))+((Formula!G117)/(Formula!C117+Formula!E117+Formula!G117+Formula!I117+Formula!K117))*(INDEX(Properties!A$1:CB$87,Formula!F117,26))+((Formula!I117)/(Formula!C117+Formula!E117+Formula!G117+Formula!I117+Formula!K117))*(INDEX(Properties!A$1:CB$87,Formula!H117,26))+((Formula!K117)/(Formula!C117+Formula!E117+Formula!G117+Formula!I117+Formula!K117))*(INDEX(Properties!A$1:CB$87,Formula!J117,26))</f>
        <v>10.352414285714286</v>
      </c>
      <c r="CI117" s="39">
        <f>Formula!C117*(INDEX(Properties!A$1:CB$87,Formula!B117,26))+Formula!E117*(INDEX(Properties!A$1:CB$87,Formula!D117,26))+Formula!G117*(INDEX(Properties!A$1:CB$87,Formula!F117,26))+Formula!I117*(INDEX(Properties!A$1:CB$87,Formula!H117,26))+Formula!K117*(INDEX(Properties!A$1:CB$87,Formula!J117,26))</f>
        <v>72.466899999999995</v>
      </c>
      <c r="CJ117" s="39">
        <f>VARP(IF(INDEX(Properties!A$1:CB$87,Formula!B117,26)&lt;&gt;"",INDEX(Properties!A$1:CB$87,Formula!B117,26)),IF(INDEX(Properties!A$1:CB$87,Formula!D117,26)&lt;&gt;"",INDEX(Properties!A$1:CB$87,Formula!D117,26)),IF(INDEX(Properties!A$1:CB$87,Formula!F117,26)&lt;&gt;"",INDEX(Properties!A$1:CB$87,Formula!F117,26)),IF(INDEX(Properties!A$1:CB$87,Formula!H117,26)&lt;&gt;"",INDEX(Properties!A$1:CB$87,Formula!H117,26)),IF(INDEX(Properties!A$1:CB$87,Formula!J117,26)&lt;&gt;"",INDEX(Properties!A$1:CB$87,Formula!J117,26)))</f>
        <v>25.206747378399999</v>
      </c>
      <c r="CK117" s="39">
        <f>MAX(INDEX(Properties!A$1:CB$87,Formula!B117,26),INDEX(Properties!A$1:CB$87,Formula!D117,26),INDEX(Properties!A$1:CB$87,Formula!F117,26),INDEX(Properties!A$1:CB$87,Formula!H117,26),INDEX(Properties!A$1:CB$87,Formula!J117,26))</f>
        <v>13.6181</v>
      </c>
      <c r="CL117" s="39">
        <f>MIN(IF(INDEX(Properties!A$1:CB$87,Formula!B117,26)=0,10^6,INDEX(Properties!A$1:CB$87,Formula!B117,26)),IF(INDEX(Properties!A$1:CB$87,Formula!D117,26)=0,10^6,INDEX(Properties!A$1:CB$87,Formula!D117,26)),IF(INDEX(Properties!A$1:CB$87,Formula!F117,26)=0,10^6,INDEX(Properties!A$1:CB$87,Formula!F117,26)),IF(INDEX(Properties!A$1:CB$87,Formula!H117,26)=0,10^6,INDEX(Properties!A$1:CB$87,Formula!H117,26)),IF(INDEX(Properties!A$1:CB$87,Formula!J117,26)=0,10^6,INDEX(Properties!A$1:CB$87,Formula!J117,26)))</f>
        <v>5.6948999999999996</v>
      </c>
      <c r="CM117" s="39">
        <f t="shared" si="46"/>
        <v>7.9232000000000005</v>
      </c>
      <c r="CN117" s="54">
        <f>((Formula!C117)/(Formula!C117+Formula!E117+Formula!G117+Formula!I117+Formula!K117))*(INDEX(Properties!A$1:CB$87,Formula!B117,30))+((Formula!E117)/(Formula!C117+Formula!E117+Formula!G117+Formula!I117+Formula!K117))*(INDEX(Properties!A$1:CB$87,Formula!D117,30))+((Formula!G117)/(Formula!C117+Formula!E117+Formula!G117+Formula!I117+Formula!K117))*(INDEX(Properties!A$1:CB$87,Formula!F117,30))+((Formula!I117)/(Formula!C117+Formula!E117+Formula!G117+Formula!I117+Formula!K117))*(INDEX(Properties!A$1:CB$87,Formula!H117,30))+((Formula!K117)/(Formula!C117+Formula!E117+Formula!G117+Formula!I117+Formula!K117))*(INDEX(Properties!A$1:CB$87,Formula!J117,30))</f>
        <v>2.444285714285714</v>
      </c>
      <c r="CO117" s="54">
        <f>Formula!C117*(INDEX(Properties!A$1:CB$87,Formula!B117,30))+Formula!E117*(INDEX(Properties!A$1:CB$87,Formula!D117,30))+Formula!G117*(INDEX(Properties!A$1:CB$87,Formula!F117,30))+Formula!I117*(INDEX(Properties!A$1:CB$87,Formula!H117,30))+Formula!K117*(INDEX(Properties!A$1:CB$87,Formula!J117,30))</f>
        <v>17.11</v>
      </c>
      <c r="CP117" s="54">
        <f>VARP(IF(INDEX(Properties!A$1:CB$87,Formula!B117,30)&lt;&gt;"",INDEX(Properties!A$1:CB$87,Formula!B117,30)),IF(INDEX(Properties!A$1:CB$87,Formula!D117,30)&lt;&gt;"",INDEX(Properties!A$1:CB$87,Formula!D117,30)),IF(INDEX(Properties!A$1:CB$87,Formula!F117,30)&lt;&gt;"",INDEX(Properties!A$1:CB$87,Formula!F117,30)),IF(INDEX(Properties!A$1:CB$87,Formula!H117,30)&lt;&gt;"",INDEX(Properties!A$1:CB$87,Formula!H117,30)),IF(INDEX(Properties!A$1:CB$87,Formula!J117,30)&lt;&gt;"",INDEX(Properties!A$1:CB$87,Formula!J117,30)))</f>
        <v>1.5852959999999996</v>
      </c>
      <c r="CQ117" s="54">
        <f>MAX(INDEX(Properties!A$1:CB$87,Formula!B117,30),INDEX(Properties!A$1:CB$87,Formula!D117,30),INDEX(Properties!A$1:CB$87,Formula!F117,30),INDEX(Properties!A$1:CB$87,Formula!H117,30),INDEX(Properties!A$1:CB$87,Formula!J117,30))</f>
        <v>3.44</v>
      </c>
      <c r="CR117" s="54">
        <f>MIN(IF(INDEX(Properties!A$1:CB$87,Formula!B117,30)=0,10^6,INDEX(Properties!A$1:CB$87,Formula!B117,30)),IF(INDEX(Properties!A$1:CB$87,Formula!D117,30)=0,10^6,INDEX(Properties!A$1:CB$87,Formula!D117,30)),IF(INDEX(Properties!A$1:CB$87,Formula!F117,30)=0,10^6,INDEX(Properties!A$1:CB$87,Formula!F117,30)),IF(INDEX(Properties!A$1:CB$87,Formula!H117,30)=0,10^6,INDEX(Properties!A$1:CB$87,Formula!H117,30)),IF(INDEX(Properties!A$1:CB$87,Formula!J117,30)=0,10^6,INDEX(Properties!A$1:CB$87,Formula!J117,30)))</f>
        <v>0.95</v>
      </c>
      <c r="CS117" s="54">
        <f t="shared" si="47"/>
        <v>2.4900000000000002</v>
      </c>
      <c r="CT117" s="69">
        <f>((Formula!C117)/(Formula!C117+Formula!E117+Formula!G117+Formula!I117+Formula!K117))*(INDEX(Properties!A$1:CB$87,Formula!B117,31))+((Formula!E117)/(Formula!C117+Formula!E117+Formula!G117+Formula!I117+Formula!K117))*(INDEX(Properties!A$1:CB$87,Formula!D117,31))+((Formula!G117)/(Formula!C117+Formula!E117+Formula!G117+Formula!I117+Formula!K117))*(INDEX(Properties!A$1:CB$87,Formula!F117,31))+((Formula!I117)/(Formula!C117+Formula!E117+Formula!G117+Formula!I117+Formula!K117))*(INDEX(Properties!A$1:CB$87,Formula!H117,31))+((Formula!K117)/(Formula!C117+Formula!E117+Formula!G117+Formula!I117+Formula!K117))*(INDEX(Properties!A$1:CB$87,Formula!J117,31))</f>
        <v>2.3728571428571428</v>
      </c>
      <c r="CU117" s="69">
        <f>Formula!C117*(INDEX(Properties!A$1:CB$87,Formula!B117,31))+Formula!E117*(INDEX(Properties!A$1:CB$87,Formula!D117,31))+Formula!G117*(INDEX(Properties!A$1:CB$87,Formula!F117,31))+Formula!I117*(INDEX(Properties!A$1:CB$87,Formula!H117,31))+Formula!K117*(INDEX(Properties!A$1:CB$87,Formula!J117,31))</f>
        <v>16.61</v>
      </c>
      <c r="CV117" s="69">
        <f>VARP(IF(INDEX(Properties!A$1:CB$87,Formula!B117,31)&lt;&gt;"",INDEX(Properties!A$1:CB$87,Formula!B117,31)),IF(INDEX(Properties!A$1:CB$87,Formula!D117,31)&lt;&gt;"",INDEX(Properties!A$1:CB$87,Formula!D117,31)),IF(INDEX(Properties!A$1:CB$87,Formula!F117,31)&lt;&gt;"",INDEX(Properties!A$1:CB$87,Formula!F117,31)),IF(INDEX(Properties!A$1:CB$87,Formula!H117,31)&lt;&gt;"",INDEX(Properties!A$1:CB$87,Formula!H117,31)),IF(INDEX(Properties!A$1:CB$87,Formula!J117,31)&lt;&gt;"",INDEX(Properties!A$1:CB$87,Formula!J117,31)))</f>
        <v>1.46976</v>
      </c>
      <c r="CW117" s="69">
        <f>MAX(INDEX(Properties!A$1:CB$87,Formula!B117,31),INDEX(Properties!A$1:CB$87,Formula!D117,31),INDEX(Properties!A$1:CB$87,Formula!F117,31),INDEX(Properties!A$1:CB$87,Formula!H117,31),INDEX(Properties!A$1:CB$87,Formula!J117,31))</f>
        <v>3.32</v>
      </c>
      <c r="CX117" s="69">
        <f>MIN(IF(INDEX(Properties!A$1:CB$87,Formula!B117,31)=0,10^6,INDEX(Properties!A$1:CB$87,Formula!B117,31)),IF(INDEX(Properties!A$1:CB$87,Formula!D117,31)=0,10^6,INDEX(Properties!A$1:CB$87,Formula!D117,31)),IF(INDEX(Properties!A$1:CB$87,Formula!F117,31)=0,10^6,INDEX(Properties!A$1:CB$87,Formula!F117,31)),IF(INDEX(Properties!A$1:CB$87,Formula!H117,31)=0,10^6,INDEX(Properties!A$1:CB$87,Formula!H117,31)),IF(INDEX(Properties!A$1:CB$87,Formula!J117,31)=0,10^6,INDEX(Properties!A$1:CB$87,Formula!J117,31)))</f>
        <v>1.1000000000000001</v>
      </c>
      <c r="CY117" s="69">
        <f t="shared" si="48"/>
        <v>2.2199999999999998</v>
      </c>
      <c r="CZ117" s="42">
        <f>((Formula!C117)/(Formula!C117+Formula!E117+Formula!G117+Formula!I117+Formula!K117))*(INDEX(Properties!A$1:CB$87,Formula!B117,32))+((Formula!E117)/(Formula!C117+Formula!E117+Formula!G117+Formula!I117+Formula!K117))*(INDEX(Properties!A$1:CB$87,Formula!D117,32))+((Formula!G117)/(Formula!C117+Formula!E117+Formula!G117+Formula!I117+Formula!K117))*(INDEX(Properties!A$1:CB$87,Formula!F117,32))+((Formula!I117)/(Formula!C117+Formula!E117+Formula!G117+Formula!I117+Formula!K117))*(INDEX(Properties!A$1:CB$87,Formula!H117,32))+((Formula!K117)/(Formula!C117+Formula!E117+Formula!G117+Formula!I117+Formula!K117))*(INDEX(Properties!A$1:CB$87,Formula!J117,32))</f>
        <v>5.48</v>
      </c>
      <c r="DA117" s="42">
        <f>Formula!C117*(INDEX(Properties!A$1:CB$87,Formula!B117,32))+Formula!E117*(INDEX(Properties!A$1:CB$87,Formula!D117,32))+Formula!G117*(INDEX(Properties!A$1:CB$87,Formula!F117,32))+Formula!I117*(INDEX(Properties!A$1:CB$87,Formula!H117,32))+Formula!K117*(INDEX(Properties!A$1:CB$87,Formula!J117,32))</f>
        <v>38.36</v>
      </c>
      <c r="DB117" s="42">
        <f>VARP(IF(INDEX(Properties!A$1:CB$87,Formula!B117,32)&lt;&gt;"",INDEX(Properties!A$1:CB$87,Formula!B117,32)),IF(INDEX(Properties!A$1:CB$87,Formula!D117,32)&lt;&gt;"",INDEX(Properties!A$1:CB$87,Formula!D117,32)),IF(INDEX(Properties!A$1:CB$87,Formula!F117,32)&lt;&gt;"",INDEX(Properties!A$1:CB$87,Formula!F117,32)),IF(INDEX(Properties!A$1:CB$87,Formula!H117,32)&lt;&gt;"",INDEX(Properties!A$1:CB$87,Formula!H117,32)),IF(INDEX(Properties!A$1:CB$87,Formula!J117,32)&lt;&gt;"",INDEX(Properties!A$1:CB$87,Formula!J117,32)))</f>
        <v>7.701535999999999</v>
      </c>
      <c r="DC117" s="42">
        <f>MAX(INDEX(Properties!A$1:CB$87,Formula!B117,32),INDEX(Properties!A$1:CB$87,Formula!D117,32),INDEX(Properties!A$1:CB$87,Formula!F117,32),INDEX(Properties!A$1:CB$87,Formula!H117,32),INDEX(Properties!A$1:CB$87,Formula!J117,32))</f>
        <v>7.54</v>
      </c>
      <c r="DD117" s="42">
        <f>MIN(IF(INDEX(Properties!A$1:CB$87,Formula!B117,32)=0,10^6,INDEX(Properties!A$1:CB$87,Formula!B117,32)),IF(INDEX(Properties!A$1:CB$87,Formula!D117,32)=0,10^6,INDEX(Properties!A$1:CB$87,Formula!D117,32)),IF(INDEX(Properties!A$1:CB$87,Formula!F117,32)=0,10^6,INDEX(Properties!A$1:CB$87,Formula!F117,32)),IF(INDEX(Properties!A$1:CB$87,Formula!H117,32)=0,10^6,INDEX(Properties!A$1:CB$87,Formula!H117,32)),IF(INDEX(Properties!A$1:CB$87,Formula!J117,32)=0,10^6,INDEX(Properties!A$1:CB$87,Formula!J117,32)))</f>
        <v>2</v>
      </c>
      <c r="DE117" s="42">
        <f t="shared" si="49"/>
        <v>5.54</v>
      </c>
      <c r="DF117" s="60">
        <f>((Formula!C117)/(Formula!C117+Formula!E117+Formula!G117+Formula!I117+Formula!K117))*(INDEX(Properties!A$1:CB$87,Formula!B117,34))+((Formula!E117)/(Formula!C117+Formula!E117+Formula!G117+Formula!I117+Formula!K117))*(INDEX(Properties!A$1:CB$87,Formula!D117,34))+((Formula!G117)/(Formula!C117+Formula!E117+Formula!G117+Formula!I117+Formula!K117))*(INDEX(Properties!A$1:CB$87,Formula!F117,34))+((Formula!I117)/(Formula!C117+Formula!E117+Formula!G117+Formula!I117+Formula!K117))*(INDEX(Properties!A$1:CB$87,Formula!H117,34))+((Formula!K117)/(Formula!C117+Formula!E117+Formula!G117+Formula!I117+Formula!K117))*(INDEX(Properties!A$1:CB$87,Formula!J117,34))</f>
        <v>2.5118571428571426</v>
      </c>
      <c r="DG117" s="60">
        <f>Formula!C117*(INDEX(Properties!A$1:CB$87,Formula!B117,34))+Formula!E117*(INDEX(Properties!A$1:CB$87,Formula!D117,34))+Formula!G117*(INDEX(Properties!A$1:CB$87,Formula!F117,34))+Formula!I117*(INDEX(Properties!A$1:CB$87,Formula!H117,34))+Formula!K117*(INDEX(Properties!A$1:CB$87,Formula!J117,34))</f>
        <v>17.582999999999998</v>
      </c>
      <c r="DH117" s="60">
        <f>VARP(IF(INDEX(Properties!A$1:CB$87,Formula!B117,34)&lt;&gt;"",INDEX(Properties!A$1:CB$87,Formula!B117,34)),IF(INDEX(Properties!A$1:CB$87,Formula!D117,34)&lt;&gt;"",INDEX(Properties!A$1:CB$87,Formula!D117,34)),IF(INDEX(Properties!A$1:CB$87,Formula!F117,34)&lt;&gt;"",INDEX(Properties!A$1:CB$87,Formula!F117,34)),IF(INDEX(Properties!A$1:CB$87,Formula!H117,34)&lt;&gt;"",INDEX(Properties!A$1:CB$87,Formula!H117,34)),IF(INDEX(Properties!A$1:CB$87,Formula!J117,34)&lt;&gt;"",INDEX(Properties!A$1:CB$87,Formula!J117,34)))</f>
        <v>1.7467310400000002</v>
      </c>
      <c r="DI117" s="60">
        <f>MAX(INDEX(Properties!A$1:CB$87,Formula!B117,34),INDEX(Properties!A$1:CB$87,Formula!D117,34),INDEX(Properties!A$1:CB$87,Formula!F117,34),INDEX(Properties!A$1:CB$87,Formula!H117,34),INDEX(Properties!A$1:CB$87,Formula!J117,34))</f>
        <v>3.61</v>
      </c>
      <c r="DJ117" s="60">
        <f>MIN(IF(INDEX(Properties!A$1:CB$87,Formula!B117,34)=0,10^6,INDEX(Properties!A$1:CB$87,Formula!B117,34)),IF(INDEX(Properties!A$1:CB$87,Formula!D117,34)=0,10^6,INDEX(Properties!A$1:CB$87,Formula!D117,34)),IF(INDEX(Properties!A$1:CB$87,Formula!F117,34)=0,10^6,INDEX(Properties!A$1:CB$87,Formula!F117,34)),IF(INDEX(Properties!A$1:CB$87,Formula!H117,34)=0,10^6,INDEX(Properties!A$1:CB$87,Formula!H117,34)),IF(INDEX(Properties!A$1:CB$87,Formula!J117,34)=0,10^6,INDEX(Properties!A$1:CB$87,Formula!J117,34)))</f>
        <v>0.96299999999999997</v>
      </c>
      <c r="DK117" s="60">
        <f t="shared" si="50"/>
        <v>2.6469999999999998</v>
      </c>
      <c r="DL117" s="45">
        <f>((Formula!C117)/(Formula!C117+Formula!E117+Formula!G117+Formula!I117+Formula!K117))*(INDEX(Properties!A$1:CB$87,Formula!B117,39))+((Formula!E117)/(Formula!C117+Formula!E117+Formula!G117+Formula!I117+Formula!K117))*(INDEX(Properties!A$1:CB$87,Formula!D117,39))+((Formula!G117)/(Formula!C117+Formula!E117+Formula!G117+Formula!I117+Formula!K117))*(INDEX(Properties!A$1:CB$87,Formula!F117,39))+((Formula!I117)/(Formula!C117+Formula!E117+Formula!G117+Formula!I117+Formula!K117))*(INDEX(Properties!A$1:CB$87,Formula!H117,39))+((Formula!K117)/(Formula!C117+Formula!E117+Formula!G117+Formula!I117+Formula!K117))*(INDEX(Properties!A$1:CB$87,Formula!J117,39))</f>
        <v>1.2528571428571427</v>
      </c>
      <c r="DM117" s="45">
        <f>Formula!C117*(INDEX(Properties!A$1:CB$87,Formula!B117,39))+Formula!E117*(INDEX(Properties!A$1:CB$87,Formula!D117,39))+Formula!G117*(INDEX(Properties!A$1:CB$87,Formula!F117,39))+Formula!I117*(INDEX(Properties!A$1:CB$87,Formula!H117,39))+Formula!K117*(INDEX(Properties!A$1:CB$87,Formula!J117,39))</f>
        <v>8.77</v>
      </c>
      <c r="DN117" s="45">
        <f>VARP(IF(INDEX(Properties!A$1:CB$87,Formula!B117,39)&lt;&gt;"",INDEX(Properties!A$1:CB$87,Formula!B117,39)),IF(INDEX(Properties!A$1:CB$87,Formula!D117,39)&lt;&gt;"",INDEX(Properties!A$1:CB$87,Formula!D117,39)),IF(INDEX(Properties!A$1:CB$87,Formula!F117,39)&lt;&gt;"",INDEX(Properties!A$1:CB$87,Formula!F117,39)),IF(INDEX(Properties!A$1:CB$87,Formula!H117,39)&lt;&gt;"",INDEX(Properties!A$1:CB$87,Formula!H117,39)),IF(INDEX(Properties!A$1:CB$87,Formula!J117,39)&lt;&gt;"",INDEX(Properties!A$1:CB$87,Formula!J117,39)))</f>
        <v>1.09108</v>
      </c>
      <c r="DO117" s="45">
        <f>MAX(INDEX(Properties!A$1:CB$87,Formula!B117,39),INDEX(Properties!A$1:CB$87,Formula!D117,39),INDEX(Properties!A$1:CB$87,Formula!F117,39),INDEX(Properties!A$1:CB$87,Formula!H117,39),INDEX(Properties!A$1:CB$87,Formula!J117,39))</f>
        <v>2.33</v>
      </c>
      <c r="DP117" s="45">
        <f>MIN(IF(INDEX(Properties!A$1:CB$87,Formula!B117,39)=0,10^6,INDEX(Properties!A$1:CB$87,Formula!B117,39)),IF(INDEX(Properties!A$1:CB$87,Formula!D117,39)=0,10^6,INDEX(Properties!A$1:CB$87,Formula!D117,39)),IF(INDEX(Properties!A$1:CB$87,Formula!F117,39)=0,10^6,INDEX(Properties!A$1:CB$87,Formula!F117,39)),IF(INDEX(Properties!A$1:CB$87,Formula!H117,39)=0,10^6,INDEX(Properties!A$1:CB$87,Formula!H117,39)),IF(INDEX(Properties!A$1:CB$87,Formula!J117,39)=0,10^6,INDEX(Properties!A$1:CB$87,Formula!J117,39)))</f>
        <v>0.48</v>
      </c>
      <c r="DQ117" s="45">
        <f t="shared" si="51"/>
        <v>1.85</v>
      </c>
      <c r="DR117" s="63">
        <f>((Formula!C117)/(Formula!C117+Formula!E117+Formula!G117+Formula!I117+Formula!K117))*(INDEX(Properties!A$1:CB$87,Formula!B117,40))+((Formula!E117)/(Formula!C117+Formula!E117+Formula!G117+Formula!I117+Formula!K117))*(INDEX(Properties!A$1:CB$87,Formula!D117,40))+((Formula!G117)/(Formula!C117+Formula!E117+Formula!G117+Formula!I117+Formula!K117))*(INDEX(Properties!A$1:CB$87,Formula!F117,40))+((Formula!I117)/(Formula!C117+Formula!E117+Formula!G117+Formula!I117+Formula!K117))*(INDEX(Properties!A$1:CB$87,Formula!H117,40))+((Formula!K117)/(Formula!C117+Formula!E117+Formula!G117+Formula!I117+Formula!K117))*(INDEX(Properties!A$1:CB$87,Formula!J117,40))</f>
        <v>1.1514285714285712</v>
      </c>
      <c r="DS117" s="63">
        <f>Formula!C117*(INDEX(Properties!A$1:CB$87,Formula!B117,40))+Formula!E117*(INDEX(Properties!A$1:CB$87,Formula!D117,40))+Formula!G117*(INDEX(Properties!A$1:CB$87,Formula!F117,40))+Formula!I117*(INDEX(Properties!A$1:CB$87,Formula!H117,40))+Formula!K117*(INDEX(Properties!A$1:CB$87,Formula!J117,40))</f>
        <v>8.06</v>
      </c>
      <c r="DT117" s="63">
        <f>VARP(IF(INDEX(Properties!A$1:CB$87,Formula!B117,40)&lt;&gt;"",INDEX(Properties!A$1:CB$87,Formula!B117,40)),IF(INDEX(Properties!A$1:CB$87,Formula!D117,40)&lt;&gt;"",INDEX(Properties!A$1:CB$87,Formula!D117,40)),IF(INDEX(Properties!A$1:CB$87,Formula!F117,40)&lt;&gt;"",INDEX(Properties!A$1:CB$87,Formula!F117,40)),IF(INDEX(Properties!A$1:CB$87,Formula!H117,40)&lt;&gt;"",INDEX(Properties!A$1:CB$87,Formula!H117,40)),IF(INDEX(Properties!A$1:CB$87,Formula!J117,40)&lt;&gt;"",INDEX(Properties!A$1:CB$87,Formula!J117,40)))</f>
        <v>0.63637600000000016</v>
      </c>
      <c r="DU117" s="63">
        <f>MAX(INDEX(Properties!A$1:CB$87,Formula!B117,40),INDEX(Properties!A$1:CB$87,Formula!D117,40),INDEX(Properties!A$1:CB$87,Formula!F117,40),INDEX(Properties!A$1:CB$87,Formula!H117,40),INDEX(Properties!A$1:CB$87,Formula!J117,40))</f>
        <v>1.92</v>
      </c>
      <c r="DV117" s="63">
        <f>MIN(IF(INDEX(Properties!A$1:CB$87,Formula!B117,40)=0,10^6,INDEX(Properties!A$1:CB$87,Formula!B117,40)),IF(INDEX(Properties!A$1:CB$87,Formula!D117,40)=0,10^6,INDEX(Properties!A$1:CB$87,Formula!D117,40)),IF(INDEX(Properties!A$1:CB$87,Formula!F117,40)=0,10^6,INDEX(Properties!A$1:CB$87,Formula!F117,40)),IF(INDEX(Properties!A$1:CB$87,Formula!H117,40)=0,10^6,INDEX(Properties!A$1:CB$87,Formula!H117,40)),IF(INDEX(Properties!A$1:CB$87,Formula!J117,40)=0,10^6,INDEX(Properties!A$1:CB$87,Formula!J117,40)))</f>
        <v>0.73</v>
      </c>
      <c r="DW117" s="63">
        <f t="shared" si="52"/>
        <v>1.19</v>
      </c>
      <c r="DX117" s="75">
        <f>((Formula!C117)/(Formula!C117+Formula!E117+Formula!G117+Formula!I117+Formula!K117))*(INDEX(Properties!A$1:CB$87,Formula!B117,41))+((Formula!E117)/(Formula!C117+Formula!E117+Formula!G117+Formula!I117+Formula!K117))*(INDEX(Properties!A$1:CB$87,Formula!D117,41))+((Formula!G117)/(Formula!C117+Formula!E117+Formula!G117+Formula!I117+Formula!K117))*(INDEX(Properties!A$1:CB$87,Formula!F117,41))+((Formula!I117)/(Formula!C117+Formula!E117+Formula!G117+Formula!I117+Formula!K117))*(INDEX(Properties!A$1:CB$87,Formula!H117,41))+((Formula!K117)/(Formula!C117+Formula!E117+Formula!G117+Formula!I117+Formula!K117))*(INDEX(Properties!A$1:CB$87,Formula!J117,41))</f>
        <v>1.2171428571428571</v>
      </c>
      <c r="DY117" s="75">
        <f>Formula!C117*(INDEX(Properties!A$1:CB$87,Formula!B117,41))+Formula!E117*(INDEX(Properties!A$1:CB$87,Formula!D117,41))+Formula!G117*(INDEX(Properties!A$1:CB$87,Formula!F117,41))+Formula!I117*(INDEX(Properties!A$1:CB$87,Formula!H117,41))+Formula!K117*(INDEX(Properties!A$1:CB$87,Formula!J117,41))</f>
        <v>8.52</v>
      </c>
      <c r="DZ117" s="75">
        <f>VARP(IF(INDEX(Properties!A$1:CB$87,Formula!B117,41)&lt;&gt;"",INDEX(Properties!A$1:CB$87,Formula!B117,41)),IF(INDEX(Properties!A$1:CB$87,Formula!D117,41)&lt;&gt;"",INDEX(Properties!A$1:CB$87,Formula!D117,41)),IF(INDEX(Properties!A$1:CB$87,Formula!F117,41)&lt;&gt;"",INDEX(Properties!A$1:CB$87,Formula!F117,41)),IF(INDEX(Properties!A$1:CB$87,Formula!H117,41)&lt;&gt;"",INDEX(Properties!A$1:CB$87,Formula!H117,41)),IF(INDEX(Properties!A$1:CB$87,Formula!J117,41)&lt;&gt;"",INDEX(Properties!A$1:CB$87,Formula!J117,41)))</f>
        <v>0.36345600000000006</v>
      </c>
      <c r="EA117" s="75">
        <f>MAX(INDEX(Properties!A$1:CB$87,Formula!B117,41),INDEX(Properties!A$1:CB$87,Formula!D117,41),INDEX(Properties!A$1:CB$87,Formula!F117,41),INDEX(Properties!A$1:CB$87,Formula!H117,41),INDEX(Properties!A$1:CB$87,Formula!J117,41))</f>
        <v>1.32</v>
      </c>
      <c r="EB117" s="75">
        <f>MIN(IF(INDEX(Properties!A$1:CB$87,Formula!B117,41)=0,10^6,INDEX(Properties!A$1:CB$87,Formula!B117,41)),IF(INDEX(Properties!A$1:CB$87,Formula!D117,41)=0,10^6,INDEX(Properties!A$1:CB$87,Formula!D117,41)),IF(INDEX(Properties!A$1:CB$87,Formula!F117,41)=0,10^6,INDEX(Properties!A$1:CB$87,Formula!F117,41)),IF(INDEX(Properties!A$1:CB$87,Formula!H117,41)=0,10^6,INDEX(Properties!A$1:CB$87,Formula!H117,41)),IF(INDEX(Properties!A$1:CB$87,Formula!J117,41)=0,10^6,INDEX(Properties!A$1:CB$87,Formula!J117,41)))</f>
        <v>1.08</v>
      </c>
      <c r="EC117" s="75">
        <f t="shared" si="53"/>
        <v>0.24</v>
      </c>
      <c r="ED117" s="48">
        <f>((Formula!C117)/(Formula!C117+Formula!E117+Formula!G117+Formula!I117+Formula!K117))*(INDEX(Properties!A$1:CB$87,Formula!B117,45))+((Formula!E117)/(Formula!C117+Formula!E117+Formula!G117+Formula!I117+Formula!K117))*(INDEX(Properties!A$1:CB$87,Formula!D117,45))+((Formula!G117)/(Formula!C117+Formula!E117+Formula!G117+Formula!I117+Formula!K117))*(INDEX(Properties!A$1:CB$87,Formula!F117,45))+((Formula!I117)/(Formula!C117+Formula!E117+Formula!G117+Formula!I117+Formula!K117))*(INDEX(Properties!A$1:CB$87,Formula!H117,45))+((Formula!K117)/(Formula!C117+Formula!E117+Formula!G117+Formula!I117+Formula!K117))*(INDEX(Properties!A$1:CB$87,Formula!J117,45))</f>
        <v>1.8442857142857141</v>
      </c>
      <c r="EE117" s="48">
        <f>Formula!C117*(INDEX(Properties!A$1:CB$87,Formula!B117,45))+Formula!E117*(INDEX(Properties!A$1:CB$87,Formula!D117,45))+Formula!G117*(INDEX(Properties!A$1:CB$87,Formula!F117,45))+Formula!I117*(INDEX(Properties!A$1:CB$87,Formula!H117,45))+Formula!K117*(INDEX(Properties!A$1:CB$87,Formula!J117,45))</f>
        <v>12.91</v>
      </c>
      <c r="EF117" s="48">
        <f>VARP(IF(INDEX(Properties!A$1:CB$87,Formula!B117,45)&lt;&gt;"",INDEX(Properties!A$1:CB$87,Formula!B117,45)),IF(INDEX(Properties!A$1:CB$87,Formula!D117,45)&lt;&gt;"",INDEX(Properties!A$1:CB$87,Formula!D117,45)),IF(INDEX(Properties!A$1:CB$87,Formula!F117,45)&lt;&gt;"",INDEX(Properties!A$1:CB$87,Formula!F117,45)),IF(INDEX(Properties!A$1:CB$87,Formula!H117,45)&lt;&gt;"",INDEX(Properties!A$1:CB$87,Formula!H117,45)),IF(INDEX(Properties!A$1:CB$87,Formula!J117,45)&lt;&gt;"",INDEX(Properties!A$1:CB$87,Formula!J117,45)))</f>
        <v>2.8582960000000002</v>
      </c>
      <c r="EG117" s="48">
        <f>MAX(INDEX(Properties!A$1:CB$87,Formula!B117,45),INDEX(Properties!A$1:CB$87,Formula!D117,45),INDEX(Properties!A$1:CB$87,Formula!F117,45),INDEX(Properties!A$1:CB$87,Formula!H117,45),INDEX(Properties!A$1:CB$87,Formula!J117,45))</f>
        <v>3.91</v>
      </c>
      <c r="EH117" s="48">
        <f>MIN(IF(INDEX(Properties!A$1:CB$87,Formula!B117,45)=0,10^6,INDEX(Properties!A$1:CB$87,Formula!B117,45)),IF(INDEX(Properties!A$1:CB$87,Formula!D117,45)=0,10^6,INDEX(Properties!A$1:CB$87,Formula!D117,45)),IF(INDEX(Properties!A$1:CB$87,Formula!F117,45)=0,10^6,INDEX(Properties!A$1:CB$87,Formula!F117,45)),IF(INDEX(Properties!A$1:CB$87,Formula!H117,45)=0,10^6,INDEX(Properties!A$1:CB$87,Formula!H117,45)),IF(INDEX(Properties!A$1:CB$87,Formula!J117,45)=0,10^6,INDEX(Properties!A$1:CB$87,Formula!J117,45)))</f>
        <v>0.47</v>
      </c>
      <c r="EI117" s="48">
        <f t="shared" si="54"/>
        <v>3.4400000000000004</v>
      </c>
      <c r="EJ117" s="66">
        <f>((Formula!C117)/(Formula!C117+Formula!E117+Formula!G117+Formula!I117+Formula!K117))*(INDEX(Properties!A$1:CB$87,Formula!B117,46))+((Formula!E117)/(Formula!C117+Formula!E117+Formula!G117+Formula!I117+Formula!K117))*(INDEX(Properties!A$1:CB$87,Formula!D117,46))+((Formula!G117)/(Formula!C117+Formula!E117+Formula!G117+Formula!I117+Formula!K117))*(INDEX(Properties!A$1:CB$87,Formula!F117,46))+((Formula!I117)/(Formula!C117+Formula!E117+Formula!G117+Formula!I117+Formula!K117))*(INDEX(Properties!A$1:CB$87,Formula!H117,46))+((Formula!K117)/(Formula!C117+Formula!E117+Formula!G117+Formula!I117+Formula!K117))*(INDEX(Properties!A$1:CB$87,Formula!J117,46))</f>
        <v>1.1885714285714286</v>
      </c>
      <c r="EK117" s="66">
        <f>Formula!C117*(INDEX(Properties!A$1:CB$87,Formula!B117,46))+Formula!E117*(INDEX(Properties!A$1:CB$87,Formula!D117,46))+Formula!G117*(INDEX(Properties!A$1:CB$87,Formula!F117,46))+Formula!I117*(INDEX(Properties!A$1:CB$87,Formula!H117,46))+Formula!K117*(INDEX(Properties!A$1:CB$87,Formula!J117,46))</f>
        <v>8.32</v>
      </c>
      <c r="EL117" s="66">
        <f>VARP(IF(INDEX(Properties!A$1:CB$87,Formula!B117,46)&lt;&gt;"",INDEX(Properties!A$1:CB$87,Formula!B117,46)),IF(INDEX(Properties!A$1:CB$87,Formula!D117,46)&lt;&gt;"",INDEX(Properties!A$1:CB$87,Formula!D117,46)),IF(INDEX(Properties!A$1:CB$87,Formula!F117,46)&lt;&gt;"",INDEX(Properties!A$1:CB$87,Formula!F117,46)),IF(INDEX(Properties!A$1:CB$87,Formula!H117,46)&lt;&gt;"",INDEX(Properties!A$1:CB$87,Formula!H117,46)),IF(INDEX(Properties!A$1:CB$87,Formula!J117,46)&lt;&gt;"",INDEX(Properties!A$1:CB$87,Formula!J117,46)))</f>
        <v>0.35329600000000005</v>
      </c>
      <c r="EM117" s="66">
        <f>MAX(INDEX(Properties!A$1:CB$87,Formula!B117,46),INDEX(Properties!A$1:CB$87,Formula!D117,46),INDEX(Properties!A$1:CB$87,Formula!F117,46),INDEX(Properties!A$1:CB$87,Formula!H117,46),INDEX(Properties!A$1:CB$87,Formula!J117,46))</f>
        <v>1.32</v>
      </c>
      <c r="EN117" s="66">
        <f>MIN(IF(INDEX(Properties!A$1:CB$87,Formula!B117,46)=0,10^6,INDEX(Properties!A$1:CB$87,Formula!B117,46)),IF(INDEX(Properties!A$1:CB$87,Formula!D117,46)=0,10^6,INDEX(Properties!A$1:CB$87,Formula!D117,46)),IF(INDEX(Properties!A$1:CB$87,Formula!F117,46)=0,10^6,INDEX(Properties!A$1:CB$87,Formula!F117,46)),IF(INDEX(Properties!A$1:CB$87,Formula!H117,46)=0,10^6,INDEX(Properties!A$1:CB$87,Formula!H117,46)),IF(INDEX(Properties!A$1:CB$87,Formula!J117,46)=0,10^6,INDEX(Properties!A$1:CB$87,Formula!J117,46)))</f>
        <v>1.08</v>
      </c>
      <c r="EO117" s="66">
        <f t="shared" si="55"/>
        <v>0.24</v>
      </c>
      <c r="EP117" s="81">
        <f>((Formula!C117)/(Formula!C117+Formula!E117+Formula!G117+Formula!I117+Formula!K117))*(INDEX(Properties!A$1:CB$87,Formula!B117,52))+((Formula!E117)/(Formula!C117+Formula!E117+Formula!G117+Formula!I117+Formula!K117))*(INDEX(Properties!A$1:CB$87,Formula!D117,52))+((Formula!G117)/(Formula!C117+Formula!E117+Formula!G117+Formula!I117+Formula!K117))*(INDEX(Properties!A$1:CB$87,Formula!F117,52))+((Formula!I117)/(Formula!C117+Formula!E117+Formula!G117+Formula!I117+Formula!K117))*(INDEX(Properties!A$1:CB$87,Formula!H117,52))+((Formula!K117)/(Formula!C117+Formula!E117+Formula!G117+Formula!I117+Formula!K117))*(INDEX(Properties!A$1:CB$87,Formula!J117,52))</f>
        <v>11.110285714285714</v>
      </c>
      <c r="EQ117" s="81">
        <f>Formula!C117*(INDEX(Properties!A$1:CB$87,Formula!B117,52))+Formula!E117*(INDEX(Properties!A$1:CB$87,Formula!D117,52))+Formula!G117*(INDEX(Properties!A$1:CB$87,Formula!F117,52))+Formula!I117*(INDEX(Properties!A$1:CB$87,Formula!H117,52))+Formula!K117*(INDEX(Properties!A$1:CB$87,Formula!J117,52))</f>
        <v>77.771999999999991</v>
      </c>
      <c r="ER117" s="81">
        <f>VARP(IF(INDEX(Properties!A$1:CB$87,Formula!B117,52)&lt;&gt;"",INDEX(Properties!A$1:CB$87,Formula!B117,52)),IF(INDEX(Properties!A$1:CB$87,Formula!D117,52)&lt;&gt;"",INDEX(Properties!A$1:CB$87,Formula!D117,52)),IF(INDEX(Properties!A$1:CB$87,Formula!F117,52)&lt;&gt;"",INDEX(Properties!A$1:CB$87,Formula!F117,52)),IF(INDEX(Properties!A$1:CB$87,Formula!H117,52)&lt;&gt;"",INDEX(Properties!A$1:CB$87,Formula!H117,52)),IF(INDEX(Properties!A$1:CB$87,Formula!J117,52)&lt;&gt;"",INDEX(Properties!A$1:CB$87,Formula!J117,52)))</f>
        <v>155.21243184000002</v>
      </c>
      <c r="ES117" s="81">
        <f>MAX(INDEX(Properties!A$1:CB$87,Formula!B117,52),INDEX(Properties!A$1:CB$87,Formula!D117,52),INDEX(Properties!A$1:CB$87,Formula!F117,52),INDEX(Properties!A$1:CB$87,Formula!H117,52),INDEX(Properties!A$1:CB$87,Formula!J117,52))</f>
        <v>27.6</v>
      </c>
      <c r="ET117" s="81">
        <f>MIN(IF(INDEX(Properties!A$1:CB$87,Formula!B117,52)=0,10^6,INDEX(Properties!A$1:CB$87,Formula!B117,52)),IF(INDEX(Properties!A$1:CB$87,Formula!D117,52)=0,10^6,INDEX(Properties!A$1:CB$87,Formula!D117,52)),IF(INDEX(Properties!A$1:CB$87,Formula!F117,52)=0,10^6,INDEX(Properties!A$1:CB$87,Formula!F117,52)),IF(INDEX(Properties!A$1:CB$87,Formula!H117,52)=0,10^6,INDEX(Properties!A$1:CB$87,Formula!H117,52)),IF(INDEX(Properties!A$1:CB$87,Formula!J117,52)=0,10^6,INDEX(Properties!A$1:CB$87,Formula!J117,52)))</f>
        <v>0.79300000000000004</v>
      </c>
      <c r="EU117" s="81">
        <f t="shared" si="56"/>
        <v>26.807000000000002</v>
      </c>
      <c r="EV117" s="39">
        <f>((Formula!C117)/(Formula!C117+Formula!E117+Formula!G117+Formula!I117+Formula!K117))*(INDEX(Properties!A$1:CB$87,Formula!B117,53))+((Formula!E117)/(Formula!C117+Formula!E117+Formula!G117+Formula!I117+Formula!K117))*(INDEX(Properties!A$1:CB$87,Formula!D117,53))+((Formula!G117)/(Formula!C117+Formula!E117+Formula!G117+Formula!I117+Formula!K117))*(INDEX(Properties!A$1:CB$87,Formula!F117,53))+((Formula!I117)/(Formula!C117+Formula!E117+Formula!G117+Formula!I117+Formula!K117))*(INDEX(Properties!A$1:CB$87,Formula!H117,53))+((Formula!K117)/(Formula!C117+Formula!E117+Formula!G117+Formula!I117+Formula!K117))*(INDEX(Properties!A$1:CB$87,Formula!J117,53))</f>
        <v>633.34999999999991</v>
      </c>
      <c r="EW117" s="39">
        <f>Formula!C117*(INDEX(Properties!A$1:CB$87,Formula!B117,53))+Formula!E117*(INDEX(Properties!A$1:CB$87,Formula!D117,53))+Formula!G117*(INDEX(Properties!A$1:CB$87,Formula!F117,53))+Formula!I117*(INDEX(Properties!A$1:CB$87,Formula!H117,53))+Formula!K117*(INDEX(Properties!A$1:CB$87,Formula!J117,53))</f>
        <v>4433.4500000000007</v>
      </c>
      <c r="EX117" s="39">
        <f>VARP(IF(INDEX(Properties!A$1:CB$87,Formula!B117,53)&lt;&gt;"",INDEX(Properties!A$1:CB$87,Formula!B117,53)),IF(INDEX(Properties!A$1:CB$87,Formula!D117,53)&lt;&gt;"",INDEX(Properties!A$1:CB$87,Formula!D117,53)),IF(INDEX(Properties!A$1:CB$87,Formula!F117,53)&lt;&gt;"",INDEX(Properties!A$1:CB$87,Formula!F117,53)),IF(INDEX(Properties!A$1:CB$87,Formula!H117,53)&lt;&gt;"",INDEX(Properties!A$1:CB$87,Formula!H117,53)),IF(INDEX(Properties!A$1:CB$87,Formula!J117,53)&lt;&gt;"",INDEX(Properties!A$1:CB$87,Formula!J117,53)))</f>
        <v>433038.9094</v>
      </c>
      <c r="EY117" s="39">
        <f>MAX(INDEX(Properties!A$1:CB$87,Formula!B117,53),INDEX(Properties!A$1:CB$87,Formula!D117,53),INDEX(Properties!A$1:CB$87,Formula!F117,53),INDEX(Properties!A$1:CB$87,Formula!H117,53),INDEX(Properties!A$1:CB$87,Formula!J117,53))</f>
        <v>1586.15</v>
      </c>
      <c r="EZ117" s="39">
        <f>MIN(IF(INDEX(Properties!A$1:CB$87,Formula!B117,53)=0,10^6,INDEX(Properties!A$1:CB$87,Formula!B117,53)),IF(INDEX(Properties!A$1:CB$87,Formula!D117,53)=0,10^6,INDEX(Properties!A$1:CB$87,Formula!D117,53)),IF(INDEX(Properties!A$1:CB$87,Formula!F117,53)=0,10^6,INDEX(Properties!A$1:CB$87,Formula!F117,53)),IF(INDEX(Properties!A$1:CB$87,Formula!H117,53)=0,10^6,INDEX(Properties!A$1:CB$87,Formula!H117,53)),IF(INDEX(Properties!A$1:CB$87,Formula!J117,53)=0,10^6,INDEX(Properties!A$1:CB$87,Formula!J117,53)))</f>
        <v>54.749999999999972</v>
      </c>
      <c r="FA117" s="39">
        <f t="shared" si="57"/>
        <v>1531.4</v>
      </c>
      <c r="FB117" s="54">
        <f>((Formula!C117)/(Formula!C117+Formula!E117+Formula!G117+Formula!I117+Formula!K117))*(INDEX(Properties!A$1:CB$87,Formula!B117,54))+((Formula!E117)/(Formula!C117+Formula!E117+Formula!G117+Formula!I117+Formula!K117))*(INDEX(Properties!A$1:CB$87,Formula!D117,54))+((Formula!G117)/(Formula!C117+Formula!E117+Formula!G117+Formula!I117+Formula!K117))*(INDEX(Properties!A$1:CB$87,Formula!F117,54))+((Formula!I117)/(Formula!C117+Formula!E117+Formula!G117+Formula!I117+Formula!K117))*(INDEX(Properties!A$1:CB$87,Formula!H117,54))+((Formula!K117)/(Formula!C117+Formula!E117+Formula!G117+Formula!I117+Formula!K117))*(INDEX(Properties!A$1:CB$87,Formula!J117,54))</f>
        <v>1301.4357142857143</v>
      </c>
      <c r="FC117" s="54">
        <f>Formula!C117*(INDEX(Properties!A$1:CB$87,Formula!B117,54))+Formula!E117*(INDEX(Properties!A$1:CB$87,Formula!D117,54))+Formula!G117*(INDEX(Properties!A$1:CB$87,Formula!F117,54))+Formula!I117*(INDEX(Properties!A$1:CB$87,Formula!H117,54))+Formula!K117*(INDEX(Properties!A$1:CB$87,Formula!J117,54))</f>
        <v>9110.0500000000011</v>
      </c>
      <c r="FD117" s="54">
        <f>VARP(IF(INDEX(Properties!A$1:CB$87,Formula!B117,54)&lt;&gt;"",INDEX(Properties!A$1:CB$87,Formula!B117,54)),IF(INDEX(Properties!A$1:CB$87,Formula!D117,54)&lt;&gt;"",INDEX(Properties!A$1:CB$87,Formula!D117,54)),IF(INDEX(Properties!A$1:CB$87,Formula!F117,54)&lt;&gt;"",INDEX(Properties!A$1:CB$87,Formula!F117,54)),IF(INDEX(Properties!A$1:CB$87,Formula!H117,54)&lt;&gt;"",INDEX(Properties!A$1:CB$87,Formula!H117,54)),IF(INDEX(Properties!A$1:CB$87,Formula!J117,54)&lt;&gt;"",INDEX(Properties!A$1:CB$87,Formula!J117,54)))</f>
        <v>1945066.0774000001</v>
      </c>
      <c r="FE117" s="54">
        <f>MAX(INDEX(Properties!A$1:CB$87,Formula!B117,54),INDEX(Properties!A$1:CB$87,Formula!D117,54),INDEX(Properties!A$1:CB$87,Formula!F117,54),INDEX(Properties!A$1:CB$87,Formula!H117,54),INDEX(Properties!A$1:CB$87,Formula!J117,54))</f>
        <v>3546.15</v>
      </c>
      <c r="FF117" s="54">
        <f>MIN(IF(INDEX(Properties!A$1:CB$87,Formula!B117,54)=0,10^6,INDEX(Properties!A$1:CB$87,Formula!B117,54)),IF(INDEX(Properties!A$1:CB$87,Formula!D117,54)=0,10^6,INDEX(Properties!A$1:CB$87,Formula!D117,54)),IF(INDEX(Properties!A$1:CB$87,Formula!F117,54)=0,10^6,INDEX(Properties!A$1:CB$87,Formula!F117,54)),IF(INDEX(Properties!A$1:CB$87,Formula!H117,54)=0,10^6,INDEX(Properties!A$1:CB$87,Formula!H117,54)),IF(INDEX(Properties!A$1:CB$87,Formula!J117,54)=0,10^6,INDEX(Properties!A$1:CB$87,Formula!J117,54)))</f>
        <v>90.149999999999977</v>
      </c>
      <c r="FG117" s="54">
        <f t="shared" si="58"/>
        <v>3456</v>
      </c>
      <c r="FH117" s="69">
        <f>((Formula!C117)/(Formula!C117+Formula!E117+Formula!G117+Formula!I117+Formula!K117))*(INDEX(Properties!A$1:CB$87,Formula!B117,55))+((Formula!E117)/(Formula!C117+Formula!E117+Formula!G117+Formula!I117+Formula!K117))*(INDEX(Properties!A$1:CB$87,Formula!D117,55))+((Formula!G117)/(Formula!C117+Formula!E117+Formula!G117+Formula!I117+Formula!K117))*(INDEX(Properties!A$1:CB$87,Formula!F117,55))+((Formula!I117)/(Formula!C117+Formula!E117+Formula!G117+Formula!I117+Formula!K117))*(INDEX(Properties!A$1:CB$87,Formula!H117,55))+((Formula!K117)/(Formula!C117+Formula!E117+Formula!G117+Formula!I117+Formula!K117))*(INDEX(Properties!A$1:CB$87,Formula!J117,55))</f>
        <v>2.6336742857142856</v>
      </c>
      <c r="FI117" s="69">
        <f>Formula!C117*(INDEX(Properties!A$1:CB$87,Formula!B117,55))+Formula!E117*(INDEX(Properties!A$1:CB$87,Formula!D117,54))+Formula!G117*(INDEX(Properties!A$1:CB$87,Formula!F117,55))+Formula!I117*(INDEX(Properties!A$1:CB$87,Formula!H117,55))+Formula!K117*(INDEX(Properties!A$1:CB$87,Formula!J117,55))</f>
        <v>7094.9357200000004</v>
      </c>
      <c r="FJ117" s="69">
        <f>VARP(IF(INDEX(Properties!A$1:CB$87,Formula!B117,55)&lt;&gt;"",INDEX(Properties!A$1:CB$87,Formula!B117,55)),IF(INDEX(Properties!A$1:CB$87,Formula!D117,55)&lt;&gt;"",INDEX(Properties!A$1:CB$87,Formula!D117,55)),IF(INDEX(Properties!A$1:CB$87,Formula!F117,55)&lt;&gt;"",INDEX(Properties!A$1:CB$87,Formula!F117,55)),IF(INDEX(Properties!A$1:CB$87,Formula!H117,55)&lt;&gt;"",INDEX(Properties!A$1:CB$87,Formula!H117,55)),IF(INDEX(Properties!A$1:CB$87,Formula!J117,55)&lt;&gt;"",INDEX(Properties!A$1:CB$87,Formula!J117,55)))</f>
        <v>9.4289396951840008</v>
      </c>
      <c r="FK117" s="69">
        <f>MAX(INDEX(Properties!A$1:CB$87,Formula!B117,55),INDEX(Properties!A$1:CB$87,Formula!D117,55),INDEX(Properties!A$1:CB$87,Formula!F117,55),INDEX(Properties!A$1:CB$87,Formula!H117,55),INDEX(Properties!A$1:CB$87,Formula!J117,55))</f>
        <v>7.9</v>
      </c>
      <c r="FL117" s="69">
        <f>MIN(IF(INDEX(Properties!A$1:CB$87,Formula!B117,55)=0,10^6,INDEX(Properties!A$1:CB$87,Formula!B117,55)),IF(INDEX(Properties!A$1:CB$87,Formula!D117,55)=0,10^6,INDEX(Properties!A$1:CB$87,Formula!D117,55)),IF(INDEX(Properties!A$1:CB$87,Formula!F117,55)=0,10^6,INDEX(Properties!A$1:CB$87,Formula!F117,55)),IF(INDEX(Properties!A$1:CB$87,Formula!H117,55)=0,10^6,INDEX(Properties!A$1:CB$87,Formula!H117,55)),IF(INDEX(Properties!A$1:CB$87,Formula!J117,55)=0,10^6,INDEX(Properties!A$1:CB$87,Formula!J117,55)))</f>
        <v>1.4300000000000001E-3</v>
      </c>
      <c r="FM117" s="69">
        <f t="shared" si="59"/>
        <v>7.8985700000000003</v>
      </c>
      <c r="FN117" s="42">
        <f>((Formula!C117)/(Formula!C117+Formula!E117+Formula!G117+Formula!I117+Formula!K117))*(INDEX(Properties!A$1:CB$87,Formula!B117,56))+((Formula!E117)/(Formula!C117+Formula!E117+Formula!G117+Formula!I117+Formula!K117))*(INDEX(Properties!A$1:CB$87,Formula!D117,56))+((Formula!G117)/(Formula!C117+Formula!E117+Formula!G117+Formula!I117+Formula!K117))*(INDEX(Properties!A$1:CB$87,Formula!F117,56))+((Formula!I117)/(Formula!C117+Formula!E117+Formula!G117+Formula!I117+Formula!K117))*(INDEX(Properties!A$1:CB$87,Formula!H117,56))+((Formula!K117)/(Formula!C117+Formula!E117+Formula!G117+Formula!I117+Formula!K117))*(INDEX(Properties!A$1:CB$87,Formula!J117,56))</f>
        <v>0.63428571428571423</v>
      </c>
      <c r="FO117" s="42">
        <f>Formula!C117*(INDEX(Properties!A$1:CB$87,Formula!B117,56))+Formula!E117*(INDEX(Properties!A$1:CB$87,Formula!D117,56))+Formula!G117*(INDEX(Properties!A$1:CB$87,Formula!F117,56))+Formula!I117*(INDEX(Properties!A$1:CB$87,Formula!H117,56))+Formula!K117*(INDEX(Properties!A$1:CB$87,Formula!J117,56))</f>
        <v>4.4400000000000004</v>
      </c>
      <c r="FP117" s="42">
        <f>VARP(IF(INDEX(Properties!A$1:CB$87,Formula!B117,56)&lt;&gt;"",INDEX(Properties!A$1:CB$87,Formula!B117,56)),IF(INDEX(Properties!A$1:CB$87,Formula!D117,56)&lt;&gt;"",INDEX(Properties!A$1:CB$87,Formula!D117,56)),IF(INDEX(Properties!A$1:CB$87,Formula!F117,56)&lt;&gt;"",INDEX(Properties!A$1:CB$87,Formula!F117,56)),IF(INDEX(Properties!A$1:CB$87,Formula!H117,56)&lt;&gt;"",INDEX(Properties!A$1:CB$87,Formula!H117,56)),IF(INDEX(Properties!A$1:CB$87,Formula!J117,56)&lt;&gt;"",INDEX(Properties!A$1:CB$87,Formula!J117,56)))</f>
        <v>0.11376</v>
      </c>
      <c r="FQ117" s="42">
        <f>MAX(INDEX(Properties!A$1:CB$87,Formula!B117,56),INDEX(Properties!A$1:CB$87,Formula!D117,56),INDEX(Properties!A$1:CB$87,Formula!F117,56),INDEX(Properties!A$1:CB$87,Formula!H117,56),INDEX(Properties!A$1:CB$87,Formula!J117,56))</f>
        <v>0.92</v>
      </c>
      <c r="FR117" s="42">
        <f>MIN(IF(INDEX(Properties!A$1:CB$87,Formula!B117,56)=0,10^6,INDEX(Properties!A$1:CB$87,Formula!B117,56)),IF(INDEX(Properties!A$1:CB$87,Formula!D117,56)=0,10^6,INDEX(Properties!A$1:CB$87,Formula!D117,56)),IF(INDEX(Properties!A$1:CB$87,Formula!F117,56)=0,10^6,INDEX(Properties!A$1:CB$87,Formula!F117,56)),IF(INDEX(Properties!A$1:CB$87,Formula!H117,56)=0,10^6,INDEX(Properties!A$1:CB$87,Formula!H117,56)),IF(INDEX(Properties!A$1:CB$87,Formula!J117,56)=0,10^6,INDEX(Properties!A$1:CB$87,Formula!J117,56)))</f>
        <v>0.23</v>
      </c>
      <c r="FS117" s="42">
        <f t="shared" si="60"/>
        <v>0.69000000000000006</v>
      </c>
      <c r="FT117" s="60">
        <f>((Formula!C117)/(Formula!C117+Formula!E117+Formula!G117+Formula!I117+Formula!K117))*(INDEX(Properties!A$1:CB$87,Formula!B117,57))+((Formula!E117)/(Formula!C117+Formula!E117+Formula!G117+Formula!I117+Formula!K117))*(INDEX(Properties!A$1:CB$87,Formula!D117,57))+((Formula!G117)/(Formula!C117+Formula!E117+Formula!G117+Formula!I117+Formula!K117))*(INDEX(Properties!A$1:CB$87,Formula!F117,57))+((Formula!I117)/(Formula!C117+Formula!E117+Formula!G117+Formula!I117+Formula!K117))*(INDEX(Properties!A$1:CB$87,Formula!H117,57))+((Formula!K117)/(Formula!C117+Formula!E117+Formula!G117+Formula!I117+Formula!K117))*(INDEX(Properties!A$1:CB$87,Formula!J117,57))</f>
        <v>4.1843371428571423</v>
      </c>
      <c r="FU117" s="60">
        <f>Formula!C117*(INDEX(Properties!A$1:CB$87,Formula!B117,57))+Formula!E117*(INDEX(Properties!A$1:CB$87,Formula!D117,57))+Formula!G117*(INDEX(Properties!A$1:CB$87,Formula!F117,57))+Formula!I117*(INDEX(Properties!A$1:CB$87,Formula!H117,57))+Formula!K117*(INDEX(Properties!A$1:CB$87,Formula!J117,57))</f>
        <v>29.290360000000003</v>
      </c>
      <c r="FV117" s="60">
        <f>VARP(IF(INDEX(Properties!A$1:CB$87,Formula!B117,57)&lt;&gt;"",INDEX(Properties!A$1:CB$87,Formula!B117,57)),IF(INDEX(Properties!A$1:CB$87,Formula!D117,57)&lt;&gt;"",INDEX(Properties!A$1:CB$87,Formula!D117,57)),IF(INDEX(Properties!A$1:CB$87,Formula!F117,57)&lt;&gt;"",INDEX(Properties!A$1:CB$87,Formula!F117,57)),IF(INDEX(Properties!A$1:CB$87,Formula!H117,57)&lt;&gt;"",INDEX(Properties!A$1:CB$87,Formula!H117,57)),IF(INDEX(Properties!A$1:CB$87,Formula!J117,57)&lt;&gt;"",INDEX(Properties!A$1:CB$87,Formula!J117,57)))</f>
        <v>20.190765289296007</v>
      </c>
      <c r="FW117" s="60">
        <f>MAX(INDEX(Properties!A$1:CB$87,Formula!B117,57),INDEX(Properties!A$1:CB$87,Formula!D117,57),INDEX(Properties!A$1:CB$87,Formula!F117,57),INDEX(Properties!A$1:CB$87,Formula!H117,57),INDEX(Properties!A$1:CB$87,Formula!J117,57))</f>
        <v>10.050000000000001</v>
      </c>
      <c r="FX117" s="60">
        <f>MIN(IF(INDEX(Properties!A$1:CB$87,Formula!B117,57)=0,10^6,INDEX(Properties!A$1:CB$87,Formula!B117,57)),IF(INDEX(Properties!A$1:CB$87,Formula!D117,57)=0,10^6,INDEX(Properties!A$1:CB$87,Formula!D117,57)),IF(INDEX(Properties!A$1:CB$87,Formula!F117,57)=0,10^6,INDEX(Properties!A$1:CB$87,Formula!F117,57)),IF(INDEX(Properties!A$1:CB$87,Formula!H117,57)=0,10^6,INDEX(Properties!A$1:CB$87,Formula!H117,57)),IF(INDEX(Properties!A$1:CB$87,Formula!J117,57)=0,10^6,INDEX(Properties!A$1:CB$87,Formula!J117,57)))</f>
        <v>0.22259000000000001</v>
      </c>
      <c r="FY117" s="60">
        <f t="shared" si="61"/>
        <v>9.8274100000000004</v>
      </c>
      <c r="FZ117" s="72">
        <f>((Formula!C117)/(Formula!C117+Formula!E117+Formula!G117+Formula!I117+Formula!K117))*(INDEX(Properties!A$1:CB$87,Formula!B117,60))+((Formula!E117)/(Formula!C117+Formula!E117+Formula!G117+Formula!I117+Formula!K117))*(INDEX(Properties!A$1:CB$87,Formula!D117,60))+((Formula!G117)/(Formula!C117+Formula!E117+Formula!G117+Formula!I117+Formula!K117))*(INDEX(Properties!A$1:CB$87,Formula!F117,60))+((Formula!I117)/(Formula!C117+Formula!E117+Formula!G117+Formula!I117+Formula!K117))*(INDEX(Properties!A$1:CB$87,Formula!H117,60))+((Formula!K117)/(Formula!C117+Formula!E117+Formula!G117+Formula!I117+Formula!K117))*(INDEX(Properties!A$1:CB$87,Formula!J117,60))</f>
        <v>8.08670857142857</v>
      </c>
      <c r="GA117" s="72">
        <f>Formula!C117*(INDEX(Properties!A$1:CB$87,Formula!B117,60))+Formula!E117*(INDEX(Properties!A$1:CB$87,Formula!D117,60))+Formula!G117*(INDEX(Properties!A$1:CB$87,Formula!F117,60))+Formula!I117*(INDEX(Properties!A$1:CB$87,Formula!H117,60))+Formula!K117*(INDEX(Properties!A$1:CB$87,Formula!J117,60))</f>
        <v>56.606960000000001</v>
      </c>
      <c r="GB117" s="72">
        <f>VARP(IF(INDEX(Properties!A$1:CB$87,Formula!B117,60)&lt;&gt;"",INDEX(Properties!A$1:CB$87,Formula!B117,60)),IF(INDEX(Properties!A$1:CB$87,Formula!D117,60)&lt;&gt;"",INDEX(Properties!A$1:CB$87,Formula!D117,60)),IF(INDEX(Properties!A$1:CB$87,Formula!F117,60)&lt;&gt;"",INDEX(Properties!A$1:CB$87,Formula!F117,60)),IF(INDEX(Properties!A$1:CB$87,Formula!H117,60)&lt;&gt;"",INDEX(Properties!A$1:CB$87,Formula!H117,60)),IF(INDEX(Properties!A$1:CB$87,Formula!J117,60)&lt;&gt;"",INDEX(Properties!A$1:CB$87,Formula!J117,60)))</f>
        <v>187.31952512441595</v>
      </c>
      <c r="GC117" s="72">
        <f>MAX(INDEX(Properties!A$1:CB$87,Formula!B117,60),INDEX(Properties!A$1:CB$87,Formula!D117,60),INDEX(Properties!A$1:CB$87,Formula!F117,60),INDEX(Properties!A$1:CB$87,Formula!H117,60),INDEX(Properties!A$1:CB$87,Formula!J117,60))</f>
        <v>35.299999999999997</v>
      </c>
      <c r="GD117" s="72">
        <f>MIN(IF(INDEX(Properties!A$1:CB$87,Formula!B117,60)=0,10^6,INDEX(Properties!A$1:CB$87,Formula!B117,60)),IF(INDEX(Properties!A$1:CB$87,Formula!D117,60)=0,10^6,INDEX(Properties!A$1:CB$87,Formula!D117,60)),IF(INDEX(Properties!A$1:CB$87,Formula!F117,60)=0,10^6,INDEX(Properties!A$1:CB$87,Formula!F117,60)),IF(INDEX(Properties!A$1:CB$87,Formula!H117,60)=0,10^6,INDEX(Properties!A$1:CB$87,Formula!H117,60)),IF(INDEX(Properties!A$1:CB$87,Formula!J117,60)=0,10^6,INDEX(Properties!A$1:CB$87,Formula!J117,60)))</f>
        <v>2.674E-2</v>
      </c>
      <c r="GE117" s="72">
        <f t="shared" si="62"/>
        <v>35.273260000000001</v>
      </c>
      <c r="GF117" s="51">
        <f>((Formula!C117)/(Formula!C117+Formula!E117+Formula!G117+Formula!I117+Formula!K117))*(INDEX(Properties!A$1:CB$87,Formula!B117,62))+((Formula!E117)/(Formula!C117+Formula!E117+Formula!G117+Formula!I117+Formula!K117))*(INDEX(Properties!A$1:CB$87,Formula!D117,62))+((Formula!G117)/(Formula!C117+Formula!E117+Formula!G117+Formula!I117+Formula!K117))*(INDEX(Properties!A$1:CB$87,Formula!F117,62))+((Formula!I117)/(Formula!C117+Formula!E117+Formula!G117+Formula!I117+Formula!K117))*(INDEX(Properties!A$1:CB$87,Formula!H117,62))+((Formula!K117)/(Formula!C117+Formula!E117+Formula!G117+Formula!I117+Formula!K117))*(INDEX(Properties!A$1:CB$87,Formula!J117,62))</f>
        <v>2.9257142857142853</v>
      </c>
      <c r="GG117" s="51">
        <f>Formula!C117*(INDEX(Properties!A$1:CB$87,Formula!B117,62))+Formula!E117*(INDEX(Properties!A$1:CB$87,Formula!D117,62))+Formula!G117*(INDEX(Properties!A$1:CB$87,Formula!F117,62))+Formula!I117*(INDEX(Properties!A$1:CB$87,Formula!H117,62))+Formula!K117*(INDEX(Properties!A$1:CB$87,Formula!J117,62))</f>
        <v>20.48</v>
      </c>
      <c r="GH117" s="51">
        <f>VARP(IF(INDEX(Properties!A$1:CB$87,Formula!B117,62)&lt;&gt;"",INDEX(Properties!A$1:CB$87,Formula!B117,62)),IF(INDEX(Properties!A$1:CB$87,Formula!D117,62)&lt;&gt;"",INDEX(Properties!A$1:CB$87,Formula!D117,62)),IF(INDEX(Properties!A$1:CB$87,Formula!F117,62)&lt;&gt;"",INDEX(Properties!A$1:CB$87,Formula!F117,62)),IF(INDEX(Properties!A$1:CB$87,Formula!H117,62)&lt;&gt;"",INDEX(Properties!A$1:CB$87,Formula!H117,62)),IF(INDEX(Properties!A$1:CB$87,Formula!J117,62)&lt;&gt;"",INDEX(Properties!A$1:CB$87,Formula!J117,62)))</f>
        <v>2.5160639999999987</v>
      </c>
      <c r="GI117" s="51">
        <f>MAX(INDEX(Properties!A$1:CB$87,Formula!B117,62),INDEX(Properties!A$1:CB$87,Formula!D117,62),INDEX(Properties!A$1:CB$87,Formula!F117,62),INDEX(Properties!A$1:CB$87,Formula!H117,62),INDEX(Properties!A$1:CB$87,Formula!J117,62))</f>
        <v>4.1399999999999997</v>
      </c>
      <c r="GJ117" s="51">
        <f>MIN(IF(INDEX(Properties!A$1:CB$87,Formula!B117,62)=0,10^6,INDEX(Properties!A$1:CB$87,Formula!B117,62)),IF(INDEX(Properties!A$1:CB$87,Formula!D117,62)=0,10^6,INDEX(Properties!A$1:CB$87,Formula!D117,62)),IF(INDEX(Properties!A$1:CB$87,Formula!F117,62)=0,10^6,INDEX(Properties!A$1:CB$87,Formula!F117,62)),IF(INDEX(Properties!A$1:CB$87,Formula!H117,62)=0,10^6,INDEX(Properties!A$1:CB$87,Formula!H117,62)),IF(INDEX(Properties!A$1:CB$87,Formula!J117,62)=0,10^6,INDEX(Properties!A$1:CB$87,Formula!J117,62)))</f>
        <v>1.72</v>
      </c>
      <c r="GK117" s="51">
        <f t="shared" si="63"/>
        <v>2.42</v>
      </c>
      <c r="GL117" s="51">
        <f>Formula!P117</f>
        <v>62</v>
      </c>
      <c r="GM117" s="57">
        <f>Formula!O117</f>
        <v>3</v>
      </c>
      <c r="GN117" s="51">
        <f>Formula!N117</f>
        <v>0.04</v>
      </c>
    </row>
    <row r="118" spans="1:196" x14ac:dyDescent="0.3">
      <c r="A118" s="84" t="str">
        <f>Formula!A118</f>
        <v>NaSr(BO3)2</v>
      </c>
      <c r="B118" s="89">
        <f>((Formula!C118)/(Formula!C118+Formula!E118+Formula!G118+Formula!I118+Formula!K118))*(INDEX(Properties!A$1:CB$87,Formula!B118,3))+((Formula!E118)/(Formula!C118+Formula!E118+Formula!G118+Formula!I118+Formula!K118))*(INDEX(Properties!A$1:CB$87,Formula!D118,3))+((Formula!G118)/(Formula!C118+Formula!E118+Formula!G118+Formula!I118+Formula!K118))*(INDEX(Properties!A$1:CB$87,Formula!F118,3))+((Formula!I118)/(Formula!C118+Formula!E118+Formula!G118+Formula!I118+Formula!K118))*(INDEX(Properties!A$1:CB$87,Formula!H118,3))+((Formula!K118)/(Formula!C118+Formula!E118+Formula!G118+Formula!I118+Formula!K118))*(INDEX(Properties!A$1:CB$87,Formula!J118,3))</f>
        <v>22.822816799999998</v>
      </c>
      <c r="C118" s="85">
        <f>Formula!C118*(INDEX(Properties!A$1:CB$87,Formula!B118,3))+Formula!E118*(INDEX(Properties!A$1:CB$87,Formula!D118,3))+Formula!G118*(INDEX(Properties!A$1:CB$87,Formula!F118,3))+Formula!I118*(INDEX(Properties!A$1:CB$87,Formula!H118,3))+Formula!K118*(INDEX(Properties!A$1:CB$87,Formula!J118,3))</f>
        <v>228.22816799999998</v>
      </c>
      <c r="D118" s="85">
        <f>VARP(IF(INDEX(Properties!A$1:CB$87,Formula!B118,3)&lt;&gt;"",INDEX(Properties!A$1:CB$87,Formula!B118,3)),IF(INDEX(Properties!A$1:CB$87,Formula!D118,3)&lt;&gt;"",INDEX(Properties!A$1:CB$87,Formula!D118,3)),IF(INDEX(Properties!A$1:CB$87,Formula!F118,3)&lt;&gt;"",INDEX(Properties!A$1:CB$87,Formula!F118,3)),IF(INDEX(Properties!A$1:CB$87,Formula!H118,3)&lt;&gt;"",INDEX(Properties!A$1:CB$87,Formula!H118,3)),IF(INDEX(Properties!A$1:CB$87,Formula!J118,3)&lt;&gt;"",INDEX(Properties!A$1:CB$87,Formula!J118,3)))</f>
        <v>960.35836788483584</v>
      </c>
      <c r="E118" s="85">
        <f>MAX(INDEX(Properties!A$1:CB$87,Formula!B118,3),INDEX(Properties!A$1:CB$87,Formula!D118,3),INDEX(Properties!A$1:CB$87,Formula!F118,3),INDEX(Properties!A$1:CB$87,Formula!H118,3),INDEX(Properties!A$1:CB$87,Formula!J118,3))</f>
        <v>87.62</v>
      </c>
      <c r="F118" s="85">
        <f>MIN(IF(INDEX(Properties!A$1:CB$87,Formula!B118,3)=0,10^6,INDEX(Properties!A$1:CB$87,Formula!B118,3)),IF(INDEX(Properties!A$1:CB$87,Formula!D118,3)=0,10^6,INDEX(Properties!A$1:CB$87,Formula!D118,3)),IF(INDEX(Properties!A$1:CB$87,Formula!F118,3)=0,10^6,INDEX(Properties!A$1:CB$87,Formula!F118,3)),IF(INDEX(Properties!A$1:CB$87,Formula!H118,3)=0,10^6,INDEX(Properties!A$1:CB$87,Formula!H118,3)),IF(INDEX(Properties!A$1:CB$87,Formula!J118,3)=0,10^6,INDEX(Properties!A$1:CB$87,Formula!J118,3)))</f>
        <v>10.811</v>
      </c>
      <c r="G118" s="85">
        <f t="shared" si="32"/>
        <v>76.808999999999997</v>
      </c>
      <c r="H118" s="87">
        <f>((Formula!C118)/(Formula!C118+Formula!E118+Formula!G118+Formula!I118+Formula!K118))*(INDEX(Properties!A$1:CB$87,Formula!B118,4))+((Formula!E118)/(Formula!C118+Formula!E118+Formula!G118+Formula!I118+Formula!K118))*(INDEX(Properties!A$1:CB$87,Formula!D118,4))+((Formula!G118)/(Formula!C118+Formula!E118+Formula!G118+Formula!I118+Formula!K118))*(INDEX(Properties!A$1:CB$87,Formula!F118,4))+((Formula!I118)/(Formula!C118+Formula!E118+Formula!G118+Formula!I118+Formula!K118))*(INDEX(Properties!A$1:CB$87,Formula!H118,4))+((Formula!K118)/(Formula!C118+Formula!E118+Formula!G118+Formula!I118+Formula!K118))*(INDEX(Properties!A$1:CB$87,Formula!J118,4))</f>
        <v>10.7</v>
      </c>
      <c r="I118" s="87">
        <f>Formula!C118*(INDEX(Properties!A$1:CB$87,Formula!B118,4))+Formula!E118*(INDEX(Properties!A$1:CB$87,Formula!D118,4))+Formula!G118*(INDEX(Properties!A$1:CB$87,Formula!F118,4))+Formula!I118*(INDEX(Properties!A$1:CB$87,Formula!H118,4))+Formula!K118*(INDEX(Properties!A$1:CB$87,Formula!J118,4))</f>
        <v>107</v>
      </c>
      <c r="J118" s="87">
        <f>VARP(IF(INDEX(Properties!A$1:CB$87,Formula!B118,4)&lt;&gt;"",INDEX(Properties!A$1:CB$87,Formula!B118,4)),IF(INDEX(Properties!A$1:CB$87,Formula!D118,4)&lt;&gt;"",INDEX(Properties!A$1:CB$87,Formula!D118,4)),IF(INDEX(Properties!A$1:CB$87,Formula!F118,4)&lt;&gt;"",INDEX(Properties!A$1:CB$87,Formula!F118,4)),IF(INDEX(Properties!A$1:CB$87,Formula!H118,4)&lt;&gt;"",INDEX(Properties!A$1:CB$87,Formula!H118,4)),IF(INDEX(Properties!A$1:CB$87,Formula!J118,4)&lt;&gt;"",INDEX(Properties!A$1:CB$87,Formula!J118,4)))</f>
        <v>177.04</v>
      </c>
      <c r="K118" s="87">
        <f>MAX(INDEX(Properties!A$1:CB$87,Formula!B118,4),INDEX(Properties!A$1:CB$87,Formula!D118,4),INDEX(Properties!A$1:CB$87,Formula!F118,4),INDEX(Properties!A$1:CB$87,Formula!H118,4),INDEX(Properties!A$1:CB$87,Formula!J118,4))</f>
        <v>38</v>
      </c>
      <c r="L118" s="87">
        <f>MIN(IF(INDEX(Properties!A$1:CB$87,Formula!B118,4)=0,10^6,INDEX(Properties!A$1:CB$87,Formula!B118,4)),IF(INDEX(Properties!A$1:CB$87,Formula!D118,4)=0,10^6,INDEX(Properties!A$1:CB$87,Formula!D118,4)),IF(INDEX(Properties!A$1:CB$87,Formula!F118,4)=0,10^6,INDEX(Properties!A$1:CB$87,Formula!F118,4)),IF(INDEX(Properties!A$1:CB$87,Formula!H118,4)=0,10^6,INDEX(Properties!A$1:CB$87,Formula!H118,4)),IF(INDEX(Properties!A$1:CB$87,Formula!J118,4)=0,10^6,INDEX(Properties!A$1:CB$87,Formula!J118,4)))</f>
        <v>5</v>
      </c>
      <c r="M118" s="87">
        <f t="shared" si="33"/>
        <v>33</v>
      </c>
      <c r="N118" s="89">
        <f>((Formula!C118)/(Formula!C118+Formula!E118+Formula!G118+Formula!I118+Formula!K118))*(INDEX(Properties!A$1:CB$87,Formula!B118,5))+((Formula!E118)/(Formula!C118+Formula!E118+Formula!G118+Formula!I118+Formula!K118))*(INDEX(Properties!A$1:CB$87,Formula!D118,5))+((Formula!G118)/(Formula!C118+Formula!E118+Formula!G118+Formula!I118+Formula!K118))*(INDEX(Properties!A$1:CB$87,Formula!F118,5))+((Formula!I118)/(Formula!C118+Formula!E118+Formula!G118+Formula!I118+Formula!K118))*(INDEX(Properties!A$1:CB$87,Formula!H118,5))+((Formula!K118)/(Formula!C118+Formula!E118+Formula!G118+Formula!I118+Formula!K118))*(INDEX(Properties!A$1:CB$87,Formula!J118,5))</f>
        <v>2.4000000000000004</v>
      </c>
      <c r="O118" s="89">
        <f>Formula!C118*(INDEX(Properties!A$1:CB$87,Formula!B118,5))+Formula!E118*(INDEX(Properties!A$1:CB$87,Formula!D118,5))+Formula!G118*(INDEX(Properties!A$1:CB$87,Formula!F118,5))+Formula!I118*(INDEX(Properties!A$1:CB$87,Formula!H118,5))+Formula!K118*(INDEX(Properties!A$1:CB$87,Formula!J118,5))</f>
        <v>24</v>
      </c>
      <c r="P118" s="89">
        <f>VARP(IF(INDEX(Properties!A$1:CB$87,Formula!B118,5)&lt;&gt;"",INDEX(Properties!A$1:CB$87,Formula!B118,5)),IF(INDEX(Properties!A$1:CB$87,Formula!D118,5)&lt;&gt;"",INDEX(Properties!A$1:CB$87,Formula!D118,5)),IF(INDEX(Properties!A$1:CB$87,Formula!F118,5)&lt;&gt;"",INDEX(Properties!A$1:CB$87,Formula!F118,5)),IF(INDEX(Properties!A$1:CB$87,Formula!H118,5)&lt;&gt;"",INDEX(Properties!A$1:CB$87,Formula!H118,5)),IF(INDEX(Properties!A$1:CB$87,Formula!J118,5)&lt;&gt;"",INDEX(Properties!A$1:CB$87,Formula!J118,5)))</f>
        <v>2.64</v>
      </c>
      <c r="Q118" s="89">
        <f>MAX(INDEX(Properties!A$1:CB$87,Formula!B118,5),INDEX(Properties!A$1:CB$87,Formula!D118,5),INDEX(Properties!A$1:CB$87,Formula!F118,5),INDEX(Properties!A$1:CB$87,Formula!H118,5),INDEX(Properties!A$1:CB$87,Formula!J118,5))</f>
        <v>5</v>
      </c>
      <c r="R118" s="89">
        <f>MIN(IF(INDEX(Properties!A$1:CB$87,Formula!B118,5)=0,10^6,INDEX(Properties!A$1:CB$87,Formula!B118,5)),IF(INDEX(Properties!A$1:CB$87,Formula!D118,5)=0,10^6,INDEX(Properties!A$1:CB$87,Formula!D118,5)),IF(INDEX(Properties!A$1:CB$87,Formula!F118,5)=0,10^6,INDEX(Properties!A$1:CB$87,Formula!F118,5)),IF(INDEX(Properties!A$1:CB$87,Formula!H118,5)=0,10^6,INDEX(Properties!A$1:CB$87,Formula!H118,5)),IF(INDEX(Properties!A$1:CB$87,Formula!J118,5)=0,10^6,INDEX(Properties!A$1:CB$87,Formula!J118,5)))</f>
        <v>2</v>
      </c>
      <c r="S118" s="89">
        <f t="shared" si="34"/>
        <v>3</v>
      </c>
      <c r="T118" s="60">
        <f>((Formula!C118)/(Formula!C118+Formula!E118+Formula!G118+Formula!I118+Formula!K118))*(INDEX(Properties!A$1:CB$87,Formula!B118,6))+((Formula!E118)/(Formula!C118+Formula!E118+Formula!G118+Formula!I118+Formula!K118))*(INDEX(Properties!A$1:CB$87,Formula!D118,6))+((Formula!G118)/(Formula!C118+Formula!E118+Formula!G118+Formula!I118+Formula!K118))*(INDEX(Properties!A$1:CB$87,Formula!F118,6))+((Formula!I118)/(Formula!C118+Formula!E118+Formula!G118+Formula!I118+Formula!K118))*(INDEX(Properties!A$1:CB$87,Formula!H118,6))+((Formula!K118)/(Formula!C118+Formula!E118+Formula!G118+Formula!I118+Formula!K118))*(INDEX(Properties!A$1:CB$87,Formula!J118,6))</f>
        <v>12.5</v>
      </c>
      <c r="U118" s="60">
        <f>Formula!C118*(INDEX(Properties!A$1:CB$87,Formula!B118,6))+Formula!E118*(INDEX(Properties!A$1:CB$87,Formula!D118,6))+Formula!G118*(INDEX(Properties!A$1:CB$87,Formula!F118,6))+Formula!I118*(INDEX(Properties!A$1:CB$87,Formula!H118,6))+Formula!K118*(INDEX(Properties!A$1:CB$87,Formula!J118,6))</f>
        <v>125</v>
      </c>
      <c r="V118" s="89">
        <f>VARP(IF(INDEX(Properties!A$1:CB$87,Formula!B118,6)&lt;&gt;"",INDEX(Properties!A$1:CB$87,Formula!B118,6)),IF(INDEX(Properties!A$1:CB$87,Formula!D118,6)&lt;&gt;"",INDEX(Properties!A$1:CB$87,Formula!D118,6)),IF(INDEX(Properties!A$1:CB$87,Formula!F118,6)&lt;&gt;"",INDEX(Properties!A$1:CB$87,Formula!F118,6)),IF(INDEX(Properties!A$1:CB$87,Formula!H118,6)&lt;&gt;"",INDEX(Properties!A$1:CB$87,Formula!H118,6)),IF(INDEX(Properties!A$1:CB$87,Formula!J118,6)&lt;&gt;"",INDEX(Properties!A$1:CB$87,Formula!J118,6)))</f>
        <v>45.04</v>
      </c>
      <c r="W118" s="60">
        <f>MAX(INDEX(Properties!A$1:CB$87,Formula!B118,6),INDEX(Properties!A$1:CB$87,Formula!D118,6),INDEX(Properties!A$1:CB$87,Formula!F118,6),INDEX(Properties!A$1:CB$87,Formula!H118,4),INDEX(Properties!A$1:CB$87,Formula!J118,6))</f>
        <v>13</v>
      </c>
      <c r="X118" s="60">
        <f>MIN(IF(INDEX(Properties!A$1:CB$87,Formula!B118,6)=0,10^6,INDEX(Properties!A$1:CB$87,Formula!B118,6)),IF(INDEX(Properties!A$1:CB$87,Formula!D118,6)=0,10^6,INDEX(Properties!A$1:CB$87,Formula!D118,6)),IF(INDEX(Properties!A$1:CB$87,Formula!F118,6)=0,10^6,INDEX(Properties!A$1:CB$87,Formula!F118,6)),IF(INDEX(Properties!A$1:CB$87,Formula!H118,6)=0,10^6,INDEX(Properties!A$1:CB$87,Formula!H118,6)),IF(INDEX(Properties!A$1:CB$87,Formula!J118,6)=0,10^6,INDEX(Properties!A$1:CB$87,Formula!J118,6)))</f>
        <v>1</v>
      </c>
      <c r="Y118" s="60">
        <f t="shared" si="35"/>
        <v>12</v>
      </c>
      <c r="Z118" s="72">
        <f>((Formula!C118)/(Formula!C118+Formula!E118+Formula!G118+Formula!I118+Formula!K118))*(INDEX(Properties!A$1:CB$87,Formula!B118,9))+((Formula!E118)/(Formula!C118+Formula!E118+Formula!G118+Formula!I118+Formula!K118))*(INDEX(Properties!A$1:CB$87,Formula!D118,9))+((Formula!G118)/(Formula!C118+Formula!E118+Formula!G118+Formula!I118+Formula!K118))*(INDEX(Properties!A$1:CB$87,Formula!F118,9))+((Formula!I118)/(Formula!C118+Formula!E118+Formula!G118+Formula!I118+Formula!K118))*(INDEX(Properties!A$1:CB$87,Formula!H118,9))+((Formula!K118)/(Formula!C118+Formula!E118+Formula!G118+Formula!I118+Formula!K118))*(INDEX(Properties!A$1:CB$87,Formula!J118,9))</f>
        <v>67.599999999999994</v>
      </c>
      <c r="AA118" s="72">
        <f>Formula!C118*(INDEX(Properties!A$1:CB$87,Formula!B118,9))+Formula!E118*(INDEX(Properties!A$1:CB$87,Formula!D118,9))+Formula!G118*(INDEX(Properties!A$1:CB$87,Formula!F118,9))+Formula!I118*(INDEX(Properties!A$1:CB$87,Formula!H118,9))+Formula!K118*(INDEX(Properties!A$1:CB$87,Formula!J118,9))</f>
        <v>676</v>
      </c>
      <c r="AB118" s="72">
        <f>VARP(IF(INDEX(Properties!A$1:CB$87,Formula!B118,9)&lt;&gt;"",INDEX(Properties!A$1:CB$87,Formula!B118,9)),IF(INDEX(Properties!A$1:CB$87,Formula!D118,9)&lt;&gt;"",INDEX(Properties!A$1:CB$87,Formula!D118,9)),IF(INDEX(Properties!A$1:CB$87,Formula!F118,9)&lt;&gt;"",INDEX(Properties!A$1:CB$87,Formula!F118,9)),IF(INDEX(Properties!A$1:CB$87,Formula!H118,9)&lt;&gt;"",INDEX(Properties!A$1:CB$87,Formula!H118,9)),IF(INDEX(Properties!A$1:CB$87,Formula!J118,9)&lt;&gt;"",INDEX(Properties!A$1:CB$87,Formula!J118,9)))</f>
        <v>1421.76</v>
      </c>
      <c r="AC118" s="72">
        <f>MAX(INDEX(Properties!A$1:CB$87,Formula!B118,9),INDEX(Properties!A$1:CB$87,Formula!D118,9),INDEX(Properties!A$1:CB$87,Formula!F118,9),INDEX(Properties!A$1:CB$87,Formula!H118,9),INDEX(Properties!A$1:CB$87,Formula!J118,9))</f>
        <v>87</v>
      </c>
      <c r="AD118" s="72">
        <f>MIN(IF(INDEX(Properties!A$1:CB$87,Formula!B118,9)=0,10^6,INDEX(Properties!A$1:CB$87,Formula!B118,9)),IF(INDEX(Properties!A$1:CB$87,Formula!D118,9)=0,10^6,INDEX(Properties!A$1:CB$87,Formula!D118,9)),IF(INDEX(Properties!A$1:CB$87,Formula!F118,9)=0,10^6,INDEX(Properties!A$1:CB$87,Formula!F118,9)),IF(INDEX(Properties!A$1:CB$87,Formula!H118,9)=0,10^6,INDEX(Properties!A$1:CB$87,Formula!H118,9)),IF(INDEX(Properties!A$1:CB$87,Formula!J118,9)=0,10^6,INDEX(Properties!A$1:CB$87,Formula!J118,9)))</f>
        <v>2</v>
      </c>
      <c r="AE118" s="72">
        <f t="shared" si="36"/>
        <v>85</v>
      </c>
      <c r="AF118" s="51">
        <f>((Formula!C118)/(Formula!C118+Formula!E118+Formula!G118+Formula!I118+Formula!K118))*(INDEX(Properties!A$1:CB$87,Formula!B118,10))+((Formula!E118)/(Formula!C118+Formula!E118+Formula!G118+Formula!I118+Formula!K118))*(INDEX(Properties!A$1:CB$87,Formula!D118,10))+((Formula!G118)/(Formula!C118+Formula!E118+Formula!G118+Formula!I118+Formula!K118))*(INDEX(Properties!A$1:CB$87,Formula!F118,10))+((Formula!I118)/(Formula!C118+Formula!E118+Formula!G118+Formula!I118+Formula!K118))*(INDEX(Properties!A$1:CB$87,Formula!H118,10))+((Formula!K118)/(Formula!C118+Formula!E118+Formula!G118+Formula!I118+Formula!K118))*(INDEX(Properties!A$1:CB$87,Formula!J118,10))</f>
        <v>5.7</v>
      </c>
      <c r="AG118" s="51">
        <f>Formula!C118*(INDEX(Properties!A$1:CB$87,Formula!B118,10))+Formula!E118*(INDEX(Properties!A$1:CB$87,Formula!D118,10))+Formula!G118*(INDEX(Properties!A$1:CB$87,Formula!F118,10))+Formula!I118*(INDEX(Properties!A$1:CB$87,Formula!H118,10))+Formula!K118*(INDEX(Properties!A$1:CB$87,Formula!J118,10))</f>
        <v>57</v>
      </c>
      <c r="AH118" s="51">
        <f>VARP(IF(INDEX(Properties!A$1:CB$87,Formula!B118,10)&lt;&gt;"",INDEX(Properties!A$1:CB$87,Formula!B118,10)),IF(INDEX(Properties!A$1:CB$87,Formula!D118,10)&lt;&gt;"",INDEX(Properties!A$1:CB$87,Formula!D118,10)),IF(INDEX(Properties!A$1:CB$87,Formula!F118,10)&lt;&gt;"",INDEX(Properties!A$1:CB$87,Formula!F118,10)),IF(INDEX(Properties!A$1:CB$87,Formula!H118,10)&lt;&gt;"",INDEX(Properties!A$1:CB$87,Formula!H118,10)),IF(INDEX(Properties!A$1:CB$87,Formula!J118,10)&lt;&gt;"",INDEX(Properties!A$1:CB$87,Formula!J118,10)))</f>
        <v>7.76</v>
      </c>
      <c r="AI118" s="51">
        <f>MAX(INDEX(Properties!A$1:CB$87,Formula!B118,10),INDEX(Properties!A$1:CB$87,Formula!D118,10),INDEX(Properties!A$1:CB$87,Formula!F118,10),INDEX(Properties!A$1:CB$87,Formula!H118,10),INDEX(Properties!A$1:CB$87,Formula!J118,10))</f>
        <v>7</v>
      </c>
      <c r="AJ118" s="51">
        <f>MIN(IF(INDEX(Properties!A$1:CB$87,Formula!B118,10)=0,10^6,INDEX(Properties!A$1:CB$87,Formula!B118,10)),IF(INDEX(Properties!A$1:CB$87,Formula!D118,10)=0,10^6,INDEX(Properties!A$1:CB$87,Formula!D118,10)),IF(INDEX(Properties!A$1:CB$87,Formula!F118,10)=0,10^6,INDEX(Properties!A$1:CB$87,Formula!F118,10)),IF(INDEX(Properties!A$1:CB$87,Formula!H118,10)=0,10^6,INDEX(Properties!A$1:CB$87,Formula!H118,10)),IF(INDEX(Properties!A$1:CB$87,Formula!J118,10)=0,10^6,INDEX(Properties!A$1:CB$87,Formula!J118,10)))</f>
        <v>1</v>
      </c>
      <c r="AK118" s="51">
        <f t="shared" si="37"/>
        <v>6</v>
      </c>
      <c r="AL118" s="57">
        <f>((Formula!C118)/(Formula!C118+Formula!E118+Formula!G118+Formula!I118+Formula!K118))*(INDEX(Properties!A$1:CB$87,Formula!B118,11))+((Formula!E118)/(Formula!C118+Formula!E118+Formula!G118+Formula!I118+Formula!K118))*(INDEX(Properties!A$1:CB$87,Formula!D118,11))+((Formula!G118)/(Formula!C118+Formula!E118+Formula!G118+Formula!I118+Formula!K118))*(INDEX(Properties!A$1:CB$87,Formula!F118,11))+((Formula!I118)/(Formula!C118+Formula!E118+Formula!G118+Formula!I118+Formula!K118))*(INDEX(Properties!A$1:CB$87,Formula!H118,11))+((Formula!K118)/(Formula!C118+Formula!E118+Formula!G118+Formula!I118+Formula!K118))*(INDEX(Properties!A$1:CB$87,Formula!J118,11))</f>
        <v>1.9</v>
      </c>
      <c r="AM118" s="57">
        <f>Formula!C118*(INDEX(Properties!A$1:CB$87,Formula!B118,11))+Formula!E118*(INDEX(Properties!A$1:CB$87,Formula!D118,11))+Formula!G118*(INDEX(Properties!A$1:CB$87,Formula!F118,11))+Formula!I118*(INDEX(Properties!A$1:CB$87,Formula!H118,11))+Formula!K118*(INDEX(Properties!A$1:CB$87,Formula!J118,11))</f>
        <v>19</v>
      </c>
      <c r="AN118" s="57">
        <f>VARP(IF(INDEX(Properties!A$1:CB$87,Formula!B118,11)&lt;&gt;"",INDEX(Properties!A$1:CB$87,Formula!B118,11)),IF(INDEX(Properties!A$1:CB$87,Formula!D118,11)&lt;&gt;"",INDEX(Properties!A$1:CB$87,Formula!D118,11)),IF(INDEX(Properties!A$1:CB$87,Formula!F118,11)&lt;&gt;"",INDEX(Properties!A$1:CB$87,Formula!F118,11)),IF(INDEX(Properties!A$1:CB$87,Formula!H118,11)&lt;&gt;"",INDEX(Properties!A$1:CB$87,Formula!H118,11)),IF(INDEX(Properties!A$1:CB$87,Formula!J118,11)&lt;&gt;"",INDEX(Properties!A$1:CB$87,Formula!J118,11)))</f>
        <v>0.64</v>
      </c>
      <c r="AO118" s="57">
        <f>MAX(INDEX(Properties!A$1:CB$87,Formula!B118,11),INDEX(Properties!A$1:CB$87,Formula!D118,11),INDEX(Properties!A$1:CB$87,Formula!F118,11),INDEX(Properties!A$1:CB$87,Formula!H118,11),INDEX(Properties!A$1:CB$87,Formula!J118,11))</f>
        <v>2</v>
      </c>
      <c r="AP118" s="57">
        <f>MIN(IF(Formula!B118=87,10^6,INDEX(Properties!A$1:CB$87,Formula!B118,11)),IF((Formula!D118)=87,10^6,INDEX(Properties!A$1:CB$87,Formula!D118,11)),IF((Formula!F118)=87,10^6,INDEX(Properties!A$1:CB$87,Formula!F118,11)),IF((Formula!H118)=87,10^6,INDEX(Properties!A$1:CB$87,Formula!H118,11)),IF(Formula!J118=87,10^6,INDEX(Properties!A$1:CB$87,Formula!J118,11)))</f>
        <v>1</v>
      </c>
      <c r="AQ118" s="57">
        <f t="shared" si="38"/>
        <v>1</v>
      </c>
      <c r="AR118" s="78">
        <f>((Formula!C118)/(Formula!C118+Formula!E118+Formula!G118+Formula!I118+Formula!K118))*(INDEX(Properties!A$1:CB$87,Formula!B118,12))+((Formula!E118)/(Formula!C118+Formula!E118+Formula!G118+Formula!I118+Formula!K118))*(INDEX(Properties!A$1:CB$87,Formula!D118,12))+((Formula!G118)/(Formula!C118+Formula!E118+Formula!G118+Formula!I118+Formula!K118))*(INDEX(Properties!A$1:CB$87,Formula!F118,12))+((Formula!I118)/(Formula!C118+Formula!E118+Formula!G118+Formula!I118+Formula!K118))*(INDEX(Properties!A$1:CB$87,Formula!H118,12))+((Formula!K118)/(Formula!C118+Formula!E118+Formula!G118+Formula!I118+Formula!K118))*(INDEX(Properties!A$1:CB$87,Formula!J118,12))</f>
        <v>2.6</v>
      </c>
      <c r="AS118" s="78">
        <f>Formula!C118*(INDEX(Properties!A$1:CB$87,Formula!B118,12))+Formula!E118*(INDEX(Properties!A$1:CB$87,Formula!D118,12))+Formula!G118*(INDEX(Properties!A$1:CB$87,Formula!F118,12))+Formula!I118*(INDEX(Properties!A$1:CB$87,Formula!H118,12))+Formula!K118*(INDEX(Properties!A$1:CB$87,Formula!J118,12))</f>
        <v>26</v>
      </c>
      <c r="AT118" s="78">
        <f>VARP(IF(INDEX(Properties!A$1:CB$87,Formula!B118,12)&lt;&gt;"",INDEX(Properties!A$1:CB$87,Formula!B118,12)),IF(INDEX(Properties!A$1:CB$87,Formula!D118,12)&lt;&gt;"",INDEX(Properties!A$1:CB$87,Formula!D118,12)),IF(INDEX(Properties!A$1:CB$87,Formula!F118,12)&lt;&gt;"",INDEX(Properties!A$1:CB$87,Formula!F118,12)),IF(INDEX(Properties!A$1:CB$87,Formula!H118,12)&lt;&gt;"",INDEX(Properties!A$1:CB$87,Formula!H118,12)),IF(INDEX(Properties!A$1:CB$87,Formula!J118,12)&lt;&gt;"",INDEX(Properties!A$1:CB$87,Formula!J118,12)))</f>
        <v>2.4</v>
      </c>
      <c r="AU118" s="78">
        <f>MAX(INDEX(Properties!A$1:CB$87,Formula!B118,12),INDEX(Properties!A$1:CB$87,Formula!D118,12),INDEX(Properties!A$1:CB$87,Formula!F118,12),INDEX(Properties!A$1:CB$87,Formula!H118,12),INDEX(Properties!A$1:CB$87,Formula!J118,12))</f>
        <v>4</v>
      </c>
      <c r="AV118" s="78">
        <f>MIN(IF(Formula!B118=87,10^6,INDEX(Properties!A$1:CB$87,Formula!B118,12)),IF((Formula!D118)=87,10^6,INDEX(Properties!A$1:CB$87,Formula!D118,12)),IF((Formula!F118)=87,10^6,INDEX(Properties!A$1:CB$87,Formula!F118,12)),IF((Formula!H118)=87,10^6,INDEX(Properties!A$1:CB$87,Formula!H118,12)),IF(Formula!J118=87,10^6,INDEX(Properties!A$1:CB$87,Formula!J118,12)))</f>
        <v>0</v>
      </c>
      <c r="AW118" s="78">
        <f t="shared" si="39"/>
        <v>4</v>
      </c>
      <c r="AX118" s="45">
        <f>((Formula!C118)/(Formula!C118+Formula!E118+Formula!G118+Formula!I118+Formula!K118))*(INDEX(Properties!A$1:CB$87,Formula!B118,13))+((Formula!E118)/(Formula!C118+Formula!E118+Formula!G118+Formula!I118+Formula!K118))*(INDEX(Properties!A$1:CB$87,Formula!D118,13))+((Formula!G118)/(Formula!C118+Formula!E118+Formula!G118+Formula!I118+Formula!K118))*(INDEX(Properties!A$1:CB$87,Formula!F118,13))+((Formula!I118)/(Formula!C118+Formula!E118+Formula!G118+Formula!I118+Formula!K118))*(INDEX(Properties!A$1:CB$87,Formula!H118,13))+((Formula!K118)/(Formula!C118+Formula!E118+Formula!G118+Formula!I118+Formula!K118))*(INDEX(Properties!A$1:CB$87,Formula!J118,13))</f>
        <v>0</v>
      </c>
      <c r="AY118" s="45">
        <f>Formula!C118*(INDEX(Properties!A$1:CB$87,Formula!B118,13))+Formula!E118*(INDEX(Properties!A$1:CB$87,Formula!D118,13))+Formula!G118*(INDEX(Properties!A$1:CB$87,Formula!F118,13))+Formula!I118*(INDEX(Properties!A$1:CB$87,Formula!H118,13))+Formula!K118*(INDEX(Properties!A$1:CB$87,Formula!J118,13))</f>
        <v>0</v>
      </c>
      <c r="AZ118" s="45">
        <f>VARP(IF(INDEX(Properties!A$1:CB$87,Formula!B118,13)&lt;&gt;"",INDEX(Properties!A$1:CB$87,Formula!B118,13)),IF(INDEX(Properties!A$1:CB$87,Formula!D118,13)&lt;&gt;"",INDEX(Properties!A$1:CB$87,Formula!D118,13)),IF(INDEX(Properties!A$1:CB$87,Formula!F118,13)&lt;&gt;"",INDEX(Properties!A$1:CB$87,Formula!F118,13)),IF(INDEX(Properties!A$1:CB$87,Formula!H118,13)&lt;&gt;"",INDEX(Properties!A$1:CB$87,Formula!H118,13)),IF(INDEX(Properties!A$1:CB$87,Formula!J118,13)&lt;&gt;"",INDEX(Properties!A$1:CB$87,Formula!J118,13)))</f>
        <v>0</v>
      </c>
      <c r="BA118" s="45">
        <f>MAX(INDEX(Properties!A$1:CB$87,Formula!B118,13),INDEX(Properties!A$1:CB$87,Formula!D118,13),INDEX(Properties!A$1:CB$87,Formula!F118,13),INDEX(Properties!A$1:CB$87,Formula!H118,13),INDEX(Properties!A$1:CB$87,Formula!J118,13))</f>
        <v>0</v>
      </c>
      <c r="BB118" s="45">
        <f>MIN(IF(Formula!B118=87,10^6,INDEX(Properties!A$1:CB$87,Formula!B118,13)),IF((Formula!D118)=87,10^6,INDEX(Properties!A$1:CB$87,Formula!D118,13)),IF((Formula!F118)=87,10^6,INDEX(Properties!A$1:CB$87,Formula!F118,13)),IF((Formula!H118)=87,10^6,INDEX(Properties!A$1:CB$87,Formula!H118,13)),IF(Formula!J118=87,10^6,INDEX(Properties!A$1:CB$87,Formula!J118,13)))</f>
        <v>0</v>
      </c>
      <c r="BC118" s="45">
        <f t="shared" si="40"/>
        <v>0</v>
      </c>
      <c r="BD118" s="63">
        <f>((Formula!C118)/(Formula!C118+Formula!E118+Formula!G118+Formula!I118+Formula!K118))*(INDEX(Properties!A$1:CB$87,Formula!B118,14))+((Formula!E118)/(Formula!C118+Formula!E118+Formula!G118+Formula!I118+Formula!K118))*(INDEX(Properties!A$1:CB$87,Formula!D118,14))+((Formula!G118)/(Formula!C118+Formula!E118+Formula!G118+Formula!I118+Formula!K118))*(INDEX(Properties!A$1:CB$87,Formula!F118,14))+((Formula!I118)/(Formula!C118+Formula!E118+Formula!G118+Formula!I118+Formula!K118))*(INDEX(Properties!A$1:CB$87,Formula!H118,14))+((Formula!K118)/(Formula!C118+Formula!E118+Formula!G118+Formula!I118+Formula!K118))*(INDEX(Properties!A$1:CB$87,Formula!J118,14))</f>
        <v>0</v>
      </c>
      <c r="BE118" s="63">
        <f>Formula!C118*(INDEX(Properties!A$1:CB$87,Formula!B118,14))+Formula!E118*(INDEX(Properties!A$1:CB$87,Formula!D118,14))+Formula!G118*(INDEX(Properties!A$1:CB$87,Formula!F118,14))+Formula!I118*(INDEX(Properties!A$1:CB$87,Formula!H118,14))+Formula!K118*(INDEX(Properties!A$1:CB$87,Formula!J118,14))</f>
        <v>0</v>
      </c>
      <c r="BF118" s="63">
        <f>VARP(IF(INDEX(Properties!A$1:CB$87,Formula!B118,14)&lt;&gt;"",INDEX(Properties!A$1:CB$87,Formula!B118,14)),IF(INDEX(Properties!A$1:CB$87,Formula!D118,14)&lt;&gt;"",INDEX(Properties!A$1:CB$87,Formula!D118,14)),IF(INDEX(Properties!A$1:CB$87,Formula!F118,14)&lt;&gt;"",INDEX(Properties!A$1:CB$87,Formula!F118,14)),IF(INDEX(Properties!A$1:CB$87,Formula!H118,14)&lt;&gt;"",INDEX(Properties!A$1:CB$87,Formula!H118,14)),IF(INDEX(Properties!A$1:CB$87,Formula!J118,14)&lt;&gt;"",INDEX(Properties!A$1:CB$87,Formula!J118,14)))</f>
        <v>0</v>
      </c>
      <c r="BG118" s="63">
        <f>MAX(INDEX(Properties!A$1:CB$87,Formula!B118,14),INDEX(Properties!A$1:CB$87,Formula!D118,14),INDEX(Properties!A$1:CB$87,Formula!F118,14),INDEX(Properties!A$1:CB$87,Formula!H118,14),INDEX(Properties!A$1:CB$87,Formula!J118,14))</f>
        <v>0</v>
      </c>
      <c r="BH118" s="63">
        <f>MIN(IF(Formula!B118=87,10^6,INDEX(Properties!A$1:CB$87,Formula!B118,14)),IF((Formula!D118)=87,10^6,INDEX(Properties!A$1:CB$87,Formula!D118,14)),IF((Formula!F118)=87,10^6,INDEX(Properties!A$1:CB$87,Formula!F118,14)),IF((Formula!H118)=87,10^6,INDEX(Properties!A$1:CB$87,Formula!H118,14)),IF(Formula!J118=87,10^6,INDEX(Properties!A$1:CB$87,Formula!J118,14)))</f>
        <v>0</v>
      </c>
      <c r="BI118" s="63">
        <f t="shared" si="41"/>
        <v>0</v>
      </c>
      <c r="BJ118" s="75">
        <f>((Formula!C118)/(Formula!C118+Formula!E118+Formula!G118+Formula!I118+Formula!K118))*(INDEX(Properties!A$1:CB$87,Formula!B118,19))+((Formula!E118)/(Formula!C118+Formula!E118+Formula!G118+Formula!I118+Formula!K118))*(INDEX(Properties!A$1:CB$87,Formula!D118,19))+((Formula!G118)/(Formula!C118+Formula!E118+Formula!G118+Formula!I118+Formula!K118))*(INDEX(Properties!A$1:CB$87,Formula!F118,19))+((Formula!I118)/(Formula!C118+Formula!E118+Formula!G118+Formula!I118+Formula!K118))*(INDEX(Properties!A$1:CB$87,Formula!H118,19))+((Formula!K118)/(Formula!C118+Formula!E118+Formula!G118+Formula!I118+Formula!K118))*(INDEX(Properties!A$1:CB$87,Formula!J118,19))</f>
        <v>4.5</v>
      </c>
      <c r="BK118" s="75">
        <f>Formula!C118*(INDEX(Properties!A$1:CB$87,Formula!B118,19))+Formula!E118*(INDEX(Properties!A$1:CB$87,Formula!D118,19))+Formula!G118*(INDEX(Properties!A$1:CB$87,Formula!F118,19))+Formula!I118*(INDEX(Properties!A$1:CB$87,Formula!H118,19))+Formula!K118*(INDEX(Properties!A$1:CB$87,Formula!J118,19))</f>
        <v>45</v>
      </c>
      <c r="BL118" s="75">
        <f>VARP(IF(INDEX(Properties!A$1:CB$87,Formula!B118,19)&lt;&gt;"",INDEX(Properties!A$1:CB$87,Formula!B118,19)),IF(INDEX(Properties!A$1:CB$87,Formula!D118,19)&lt;&gt;"",INDEX(Properties!A$1:CB$87,Formula!D118,19)),IF(INDEX(Properties!A$1:CB$87,Formula!F118,19)&lt;&gt;"",INDEX(Properties!A$1:CB$87,Formula!F118,19)),IF(INDEX(Properties!A$1:CB$87,Formula!H118,19)&lt;&gt;"",INDEX(Properties!A$1:CB$87,Formula!H118,19)),IF(INDEX(Properties!A$1:CB$87,Formula!J118,19)&lt;&gt;"",INDEX(Properties!A$1:CB$87,Formula!J118,19)))</f>
        <v>4.24</v>
      </c>
      <c r="BM118" s="75">
        <f>MAX(INDEX(Properties!A$1:CB$87,Formula!B118,19),INDEX(Properties!A$1:CB$87,Formula!D118,19),INDEX(Properties!A$1:CB$87,Formula!F118,19),INDEX(Properties!A$1:CB$87,Formula!H118,19),INDEX(Properties!A$1:CB$87,Formula!J118,19))</f>
        <v>6</v>
      </c>
      <c r="BN118" s="75">
        <f>MIN(IF(INDEX(Properties!A$1:CB$87,Formula!B118,19)=0,10^6,INDEX(Properties!A$1:CB$87,Formula!B118,19)),IF(INDEX(Properties!A$1:CB$87,Formula!D118,19)=0,10^6,INDEX(Properties!A$1:CB$87,Formula!D118,19)),IF(INDEX(Properties!A$1:CB$87,Formula!F118,19)=0,10^6,INDEX(Properties!A$1:CB$87,Formula!F118,19)),IF(INDEX(Properties!A$1:CB$87,Formula!H118,19)=0,10^6,INDEX(Properties!A$1:CB$87,Formula!H118,19)),IF(INDEX(Properties!A$1:CB$87,Formula!J118,19)=0,10^6,INDEX(Properties!A$1:CB$87,Formula!J118,19)))</f>
        <v>1</v>
      </c>
      <c r="BO118" s="75">
        <f t="shared" si="42"/>
        <v>5</v>
      </c>
      <c r="BP118" s="48">
        <f>((Formula!C118)/(Formula!C118+Formula!E118+Formula!G118+Formula!I118+Formula!K118))*(INDEX(Properties!A$1:CB$87,Formula!B118,20))+((Formula!E118)/(Formula!C118+Formula!E118+Formula!G118+Formula!I118+Formula!K118))*(INDEX(Properties!A$1:CB$87,Formula!D118,20))+((Formula!G118)/(Formula!C118+Formula!E118+Formula!G118+Formula!I118+Formula!K118))*(INDEX(Properties!A$1:CB$87,Formula!F118,20))+((Formula!I118)/(Formula!C118+Formula!E118+Formula!G118+Formula!I118+Formula!K118))*(INDEX(Properties!A$1:CB$87,Formula!H118,20))+((Formula!K118)/(Formula!C118+Formula!E118+Formula!G118+Formula!I118+Formula!K118))*(INDEX(Properties!A$1:CB$87,Formula!J118,20))</f>
        <v>4.5</v>
      </c>
      <c r="BQ118" s="48">
        <f>Formula!C118*(INDEX(Properties!A$1:CB$87,Formula!B118,20))+Formula!E118*(INDEX(Properties!A$1:CB$87,Formula!D118,20))+Formula!G118*(INDEX(Properties!A$1:CB$87,Formula!F118,20))+Formula!I118*(INDEX(Properties!A$1:CB$87,Formula!H118,20))+Formula!K118*(INDEX(Properties!A$1:CB$87,Formula!J118,20))</f>
        <v>45</v>
      </c>
      <c r="BR118" s="48">
        <f>VARP(IF(INDEX(Properties!A$1:CB$87,Formula!B118,20)&lt;&gt;"",INDEX(Properties!A$1:CB$87,Formula!B118,20)),IF(INDEX(Properties!A$1:CB$87,Formula!D118,20)&lt;&gt;"",INDEX(Properties!A$1:CB$87,Formula!D118,20)),IF(INDEX(Properties!A$1:CB$87,Formula!F118,20)&lt;&gt;"",INDEX(Properties!A$1:CB$87,Formula!F118,20)),IF(INDEX(Properties!A$1:CB$87,Formula!H118,20)&lt;&gt;"",INDEX(Properties!A$1:CB$87,Formula!H118,20)),IF(INDEX(Properties!A$1:CB$87,Formula!J118,20)&lt;&gt;"",INDEX(Properties!A$1:CB$87,Formula!J118,20)))</f>
        <v>4.24</v>
      </c>
      <c r="BS118" s="48">
        <f>MAX(INDEX(Properties!A$1:CB$87,Formula!B118,20),INDEX(Properties!A$1:CB$87,Formula!D118,20),INDEX(Properties!A$1:CB$87,Formula!F118,20),INDEX(Properties!A$1:CB$87,Formula!H118,20),INDEX(Properties!A$1:CB$87,Formula!J118,20))</f>
        <v>6</v>
      </c>
      <c r="BT118" s="48">
        <f>MIN(IF(INDEX(Properties!A$1:CB$87,Formula!B118,20)=0,10^6,INDEX(Properties!A$1:CB$87,Formula!B118,20)),IF(INDEX(Properties!A$1:CB$87,Formula!D118,20)=0,10^6,INDEX(Properties!A$1:CB$87,Formula!D118,20)),IF(INDEX(Properties!A$1:CB$87,Formula!F118,20)=0,10^6,INDEX(Properties!A$1:CB$87,Formula!F118,20)),IF(INDEX(Properties!A$1:CB$87,Formula!H118,20)=0,10^6,INDEX(Properties!A$1:CB$87,Formula!H118,20)),IF(INDEX(Properties!A$1:CB$87,Formula!J118,20)=0,10^6,INDEX(Properties!A$1:CB$87,Formula!J118,20)))</f>
        <v>1</v>
      </c>
      <c r="BU118" s="48">
        <f t="shared" si="43"/>
        <v>5</v>
      </c>
      <c r="BV118" s="66">
        <f>((Formula!C118)/(Formula!C118+Formula!E118+Formula!G118+Formula!I118+Formula!K118))*(INDEX(Properties!A$1:CB$87,Formula!B118,21))+((Formula!E118)/(Formula!C118+Formula!E118+Formula!G118+Formula!I118+Formula!K118))*(INDEX(Properties!A$1:CB$87,Formula!D118,21))+((Formula!G118)/(Formula!C118+Formula!E118+Formula!G118+Formula!I118+Formula!K118))*(INDEX(Properties!A$1:CB$87,Formula!F118,21))+((Formula!I118)/(Formula!C118+Formula!E118+Formula!G118+Formula!I118+Formula!K118))*(INDEX(Properties!A$1:CB$87,Formula!H118,21))+((Formula!K118)/(Formula!C118+Formula!E118+Formula!G118+Formula!I118+Formula!K118))*(INDEX(Properties!A$1:CB$87,Formula!J118,21))</f>
        <v>4.5</v>
      </c>
      <c r="BW118" s="66">
        <f>Formula!C118*(INDEX(Properties!A$1:CB$87,Formula!B118,21))+Formula!E118*(INDEX(Properties!A$1:CB$87,Formula!D118,21))+Formula!G118*(INDEX(Properties!A$1:CB$87,Formula!F118,21))+Formula!I118*(INDEX(Properties!A$1:CB$87,Formula!H118,21))+Formula!K118*(INDEX(Properties!A$1:CB$87,Formula!J118,21))</f>
        <v>45</v>
      </c>
      <c r="BX118" s="66">
        <f>VARP(IF(INDEX(Properties!A$1:CB$87,Formula!B118,21)&lt;&gt;"",INDEX(Properties!A$1:CB$87,Formula!B118,21)),IF(INDEX(Properties!A$1:CB$87,Formula!D118,21)&lt;&gt;"",INDEX(Properties!A$1:CB$87,Formula!D118,21)),IF(INDEX(Properties!A$1:CB$87,Formula!F118,21)&lt;&gt;"",INDEX(Properties!A$1:CB$87,Formula!F118,21)),IF(INDEX(Properties!A$1:CB$87,Formula!H118,21)&lt;&gt;"",INDEX(Properties!A$1:CB$87,Formula!H118,21)),IF(INDEX(Properties!A$1:CB$87,Formula!J118,21)&lt;&gt;"",INDEX(Properties!A$1:CB$87,Formula!J118,21)))</f>
        <v>4.24</v>
      </c>
      <c r="BY118" s="66">
        <f>MAX(INDEX(Properties!A$1:CB$87,Formula!B118,21),INDEX(Properties!A$1:CB$87,Formula!D118,21),INDEX(Properties!A$1:CB$87,Formula!F118,21),INDEX(Properties!A$1:CB$87,Formula!H118,21),INDEX(Properties!A$1:CB$87,Formula!J118,21))</f>
        <v>6</v>
      </c>
      <c r="BZ118" s="66">
        <f>MIN(IF(INDEX(Properties!A$1:CB$87,Formula!B118,21)=0,10^6,INDEX(Properties!A$1:CB$87,Formula!B118,21)),IF(INDEX(Properties!A$1:CB$87,Formula!D118,21)=0,10^6,INDEX(Properties!A$1:CB$87,Formula!D118,21)),IF(INDEX(Properties!A$1:CB$87,Formula!F118,21)=0,10^6,INDEX(Properties!A$1:CB$87,Formula!F118,21)),IF(INDEX(Properties!A$1:CB$87,Formula!H118,21)=0,10^6,INDEX(Properties!A$1:CB$87,Formula!H118,21)),IF(INDEX(Properties!A$1:CB$87,Formula!J118,21)=0,10^6,INDEX(Properties!A$1:CB$87,Formula!J118,21)))</f>
        <v>1</v>
      </c>
      <c r="CA118" s="66">
        <f t="shared" si="44"/>
        <v>5</v>
      </c>
      <c r="CB118" s="81">
        <f>((Formula!C118)/(Formula!C118+Formula!E118+Formula!G118+Formula!I118+Formula!K118))*(INDEX(Properties!A$1:CB$87,Formula!B118,23))+((Formula!E118)/(Formula!C118+Formula!E118+Formula!G118+Formula!I118+Formula!K118))*(INDEX(Properties!A$1:CB$87,Formula!D118,23))+((Formula!G118)/(Formula!C118+Formula!E118+Formula!G118+Formula!I118+Formula!K118))*(INDEX(Properties!A$1:CB$87,Formula!F118,23))+((Formula!I118)/(Formula!C118+Formula!E118+Formula!G118+Formula!I118+Formula!K118))*(INDEX(Properties!A$1:CB$87,Formula!H118,23))+((Formula!K118)/(Formula!C118+Formula!E118+Formula!G118+Formula!I118+Formula!K118))*(INDEX(Properties!A$1:CB$87,Formula!J118,23))</f>
        <v>0.90000000000000013</v>
      </c>
      <c r="CC118" s="81">
        <f>Formula!C118*(INDEX(Properties!A$1:CB$87,Formula!B118,23))+Formula!E118*(INDEX(Properties!A$1:CB$87,Formula!D118,23))+Formula!G118*(INDEX(Properties!A$1:CB$87,Formula!F118,23))+Formula!I118*(INDEX(Properties!A$1:CB$87,Formula!H118,23))+Formula!K118*(INDEX(Properties!A$1:CB$87,Formula!J118,23))</f>
        <v>9</v>
      </c>
      <c r="CD118" s="81">
        <f>VARP(IF(INDEX(Properties!A$1:CB$87,Formula!B118,23)&lt;&gt;"",INDEX(Properties!A$1:CB$87,Formula!B118,23)),IF(INDEX(Properties!A$1:CB$87,Formula!D118,23)&lt;&gt;"",INDEX(Properties!A$1:CB$87,Formula!D118,23)),IF(INDEX(Properties!A$1:CB$87,Formula!F118,23)&lt;&gt;"",INDEX(Properties!A$1:CB$87,Formula!F118,23)),IF(INDEX(Properties!A$1:CB$87,Formula!H118,23)&lt;&gt;"",INDEX(Properties!A$1:CB$87,Formula!H118,23)),IF(INDEX(Properties!A$1:CB$87,Formula!J118,23)&lt;&gt;"",INDEX(Properties!A$1:CB$87,Formula!J118,23)))</f>
        <v>1.36</v>
      </c>
      <c r="CE118" s="81">
        <f>MAX(INDEX(Properties!A$1:CB$87,Formula!B118,23),INDEX(Properties!A$1:CB$87,Formula!D118,23),INDEX(Properties!A$1:CB$87,Formula!F118,23),INDEX(Properties!A$1:CB$87,Formula!H118,23),INDEX(Properties!A$1:CB$87,Formula!J118,23))</f>
        <v>3</v>
      </c>
      <c r="CF118" s="81">
        <f>MIN(IF(Formula!B118=87,10^6,INDEX(Properties!A$1:CB$87,Formula!B118,23)),IF((Formula!D118)=87,10^6,INDEX(Properties!A$1:CB$87,Formula!D118,23)),IF((Formula!F118)=87,10^6,INDEX(Properties!A$1:CB$87,Formula!F118,23)),IF((Formula!H118)=87,10^6,INDEX(Properties!A$1:CB$87,Formula!H118,23)),IF(Formula!J118=87,10^6,INDEX(Properties!A$1:CB$87,Formula!J118,23)))</f>
        <v>0</v>
      </c>
      <c r="CG118" s="81">
        <f t="shared" si="45"/>
        <v>3</v>
      </c>
      <c r="CH118" s="39">
        <f>((Formula!C118)/(Formula!C118+Formula!E118+Formula!G118+Formula!I118+Formula!K118))*(INDEX(Properties!A$1:CB$87,Formula!B118,26))+((Formula!E118)/(Formula!C118+Formula!E118+Formula!G118+Formula!I118+Formula!K118))*(INDEX(Properties!A$1:CB$87,Formula!D118,26))+((Formula!G118)/(Formula!C118+Formula!E118+Formula!G118+Formula!I118+Formula!K118))*(INDEX(Properties!A$1:CB$87,Formula!F118,26))+((Formula!I118)/(Formula!C118+Formula!E118+Formula!G118+Formula!I118+Formula!K118))*(INDEX(Properties!A$1:CB$87,Formula!H118,26))+((Formula!K118)/(Formula!C118+Formula!E118+Formula!G118+Formula!I118+Formula!K118))*(INDEX(Properties!A$1:CB$87,Formula!J118,26))</f>
        <v>10.91386</v>
      </c>
      <c r="CI118" s="39">
        <f>Formula!C118*(INDEX(Properties!A$1:CB$87,Formula!B118,26))+Formula!E118*(INDEX(Properties!A$1:CB$87,Formula!D118,26))+Formula!G118*(INDEX(Properties!A$1:CB$87,Formula!F118,26))+Formula!I118*(INDEX(Properties!A$1:CB$87,Formula!H118,26))+Formula!K118*(INDEX(Properties!A$1:CB$87,Formula!J118,26))</f>
        <v>109.1386</v>
      </c>
      <c r="CJ118" s="39">
        <f>VARP(IF(INDEX(Properties!A$1:CB$87,Formula!B118,26)&lt;&gt;"",INDEX(Properties!A$1:CB$87,Formula!B118,26)),IF(INDEX(Properties!A$1:CB$87,Formula!D118,26)&lt;&gt;"",INDEX(Properties!A$1:CB$87,Formula!D118,26)),IF(INDEX(Properties!A$1:CB$87,Formula!F118,26)&lt;&gt;"",INDEX(Properties!A$1:CB$87,Formula!F118,26)),IF(INDEX(Properties!A$1:CB$87,Formula!H118,26)&lt;&gt;"",INDEX(Properties!A$1:CB$87,Formula!H118,26)),IF(INDEX(Properties!A$1:CB$87,Formula!J118,26)&lt;&gt;"",INDEX(Properties!A$1:CB$87,Formula!J118,26)))</f>
        <v>19.727575285600004</v>
      </c>
      <c r="CK118" s="39">
        <f>MAX(INDEX(Properties!A$1:CB$87,Formula!B118,26),INDEX(Properties!A$1:CB$87,Formula!D118,26),INDEX(Properties!A$1:CB$87,Formula!F118,26),INDEX(Properties!A$1:CB$87,Formula!H118,26),INDEX(Properties!A$1:CB$87,Formula!J118,26))</f>
        <v>13.6181</v>
      </c>
      <c r="CL118" s="39">
        <f>MIN(IF(INDEX(Properties!A$1:CB$87,Formula!B118,26)=0,10^6,INDEX(Properties!A$1:CB$87,Formula!B118,26)),IF(INDEX(Properties!A$1:CB$87,Formula!D118,26)=0,10^6,INDEX(Properties!A$1:CB$87,Formula!D118,26)),IF(INDEX(Properties!A$1:CB$87,Formula!F118,26)=0,10^6,INDEX(Properties!A$1:CB$87,Formula!F118,26)),IF(INDEX(Properties!A$1:CB$87,Formula!H118,26)=0,10^6,INDEX(Properties!A$1:CB$87,Formula!H118,26)),IF(INDEX(Properties!A$1:CB$87,Formula!J118,26)=0,10^6,INDEX(Properties!A$1:CB$87,Formula!J118,26)))</f>
        <v>5.1391</v>
      </c>
      <c r="CM118" s="39">
        <f t="shared" si="46"/>
        <v>8.4789999999999992</v>
      </c>
      <c r="CN118" s="54">
        <f>((Formula!C118)/(Formula!C118+Formula!E118+Formula!G118+Formula!I118+Formula!K118))*(INDEX(Properties!A$1:CB$87,Formula!B118,30))+((Formula!E118)/(Formula!C118+Formula!E118+Formula!G118+Formula!I118+Formula!K118))*(INDEX(Properties!A$1:CB$87,Formula!D118,30))+((Formula!G118)/(Formula!C118+Formula!E118+Formula!G118+Formula!I118+Formula!K118))*(INDEX(Properties!A$1:CB$87,Formula!F118,30))+((Formula!I118)/(Formula!C118+Formula!E118+Formula!G118+Formula!I118+Formula!K118))*(INDEX(Properties!A$1:CB$87,Formula!H118,30))+((Formula!K118)/(Formula!C118+Formula!E118+Formula!G118+Formula!I118+Formula!K118))*(INDEX(Properties!A$1:CB$87,Formula!J118,30))</f>
        <v>2.66</v>
      </c>
      <c r="CO118" s="54">
        <f>Formula!C118*(INDEX(Properties!A$1:CB$87,Formula!B118,30))+Formula!E118*(INDEX(Properties!A$1:CB$87,Formula!D118,30))+Formula!G118*(INDEX(Properties!A$1:CB$87,Formula!F118,30))+Formula!I118*(INDEX(Properties!A$1:CB$87,Formula!H118,30))+Formula!K118*(INDEX(Properties!A$1:CB$87,Formula!J118,30))</f>
        <v>26.6</v>
      </c>
      <c r="CP118" s="54">
        <f>VARP(IF(INDEX(Properties!A$1:CB$87,Formula!B118,30)&lt;&gt;"",INDEX(Properties!A$1:CB$87,Formula!B118,30)),IF(INDEX(Properties!A$1:CB$87,Formula!D118,30)&lt;&gt;"",INDEX(Properties!A$1:CB$87,Formula!D118,30)),IF(INDEX(Properties!A$1:CB$87,Formula!F118,30)&lt;&gt;"",INDEX(Properties!A$1:CB$87,Formula!F118,30)),IF(INDEX(Properties!A$1:CB$87,Formula!H118,30)&lt;&gt;"",INDEX(Properties!A$1:CB$87,Formula!H118,30)),IF(INDEX(Properties!A$1:CB$87,Formula!J118,30)&lt;&gt;"",INDEX(Properties!A$1:CB$87,Formula!J118,30)))</f>
        <v>1.3857360000000001</v>
      </c>
      <c r="CQ118" s="54">
        <f>MAX(INDEX(Properties!A$1:CB$87,Formula!B118,30),INDEX(Properties!A$1:CB$87,Formula!D118,30),INDEX(Properties!A$1:CB$87,Formula!F118,30),INDEX(Properties!A$1:CB$87,Formula!H118,30),INDEX(Properties!A$1:CB$87,Formula!J118,30))</f>
        <v>3.44</v>
      </c>
      <c r="CR118" s="54">
        <f>MIN(IF(INDEX(Properties!A$1:CB$87,Formula!B118,30)=0,10^6,INDEX(Properties!A$1:CB$87,Formula!B118,30)),IF(INDEX(Properties!A$1:CB$87,Formula!D118,30)=0,10^6,INDEX(Properties!A$1:CB$87,Formula!D118,30)),IF(INDEX(Properties!A$1:CB$87,Formula!F118,30)=0,10^6,INDEX(Properties!A$1:CB$87,Formula!F118,30)),IF(INDEX(Properties!A$1:CB$87,Formula!H118,30)=0,10^6,INDEX(Properties!A$1:CB$87,Formula!H118,30)),IF(INDEX(Properties!A$1:CB$87,Formula!J118,30)=0,10^6,INDEX(Properties!A$1:CB$87,Formula!J118,30)))</f>
        <v>0.93</v>
      </c>
      <c r="CS118" s="54">
        <f t="shared" si="47"/>
        <v>2.5099999999999998</v>
      </c>
      <c r="CT118" s="69">
        <f>((Formula!C118)/(Formula!C118+Formula!E118+Formula!G118+Formula!I118+Formula!K118))*(INDEX(Properties!A$1:CB$87,Formula!B118,31))+((Formula!E118)/(Formula!C118+Formula!E118+Formula!G118+Formula!I118+Formula!K118))*(INDEX(Properties!A$1:CB$87,Formula!D118,31))+((Formula!G118)/(Formula!C118+Formula!E118+Formula!G118+Formula!I118+Formula!K118))*(INDEX(Properties!A$1:CB$87,Formula!F118,31))+((Formula!I118)/(Formula!C118+Formula!E118+Formula!G118+Formula!I118+Formula!K118))*(INDEX(Properties!A$1:CB$87,Formula!H118,31))+((Formula!K118)/(Formula!C118+Formula!E118+Formula!G118+Formula!I118+Formula!K118))*(INDEX(Properties!A$1:CB$87,Formula!J118,31))</f>
        <v>2.5739999999999998</v>
      </c>
      <c r="CU118" s="69">
        <f>Formula!C118*(INDEX(Properties!A$1:CB$87,Formula!B118,31))+Formula!E118*(INDEX(Properties!A$1:CB$87,Formula!D118,31))+Formula!G118*(INDEX(Properties!A$1:CB$87,Formula!F118,31))+Formula!I118*(INDEX(Properties!A$1:CB$87,Formula!H118,31))+Formula!K118*(INDEX(Properties!A$1:CB$87,Formula!J118,31))</f>
        <v>25.74</v>
      </c>
      <c r="CV118" s="69">
        <f>VARP(IF(INDEX(Properties!A$1:CB$87,Formula!B118,31)&lt;&gt;"",INDEX(Properties!A$1:CB$87,Formula!B118,31)),IF(INDEX(Properties!A$1:CB$87,Formula!D118,31)&lt;&gt;"",INDEX(Properties!A$1:CB$87,Formula!D118,31)),IF(INDEX(Properties!A$1:CB$87,Formula!F118,31)&lt;&gt;"",INDEX(Properties!A$1:CB$87,Formula!F118,31)),IF(INDEX(Properties!A$1:CB$87,Formula!H118,31)&lt;&gt;"",INDEX(Properties!A$1:CB$87,Formula!H118,31)),IF(INDEX(Properties!A$1:CB$87,Formula!J118,31)&lt;&gt;"",INDEX(Properties!A$1:CB$87,Formula!J118,31)))</f>
        <v>1.2435760000000002</v>
      </c>
      <c r="CW118" s="69">
        <f>MAX(INDEX(Properties!A$1:CB$87,Formula!B118,31),INDEX(Properties!A$1:CB$87,Formula!D118,31),INDEX(Properties!A$1:CB$87,Formula!F118,31),INDEX(Properties!A$1:CB$87,Formula!H118,31),INDEX(Properties!A$1:CB$87,Formula!J118,31))</f>
        <v>3.32</v>
      </c>
      <c r="CX118" s="69">
        <f>MIN(IF(INDEX(Properties!A$1:CB$87,Formula!B118,31)=0,10^6,INDEX(Properties!A$1:CB$87,Formula!B118,31)),IF(INDEX(Properties!A$1:CB$87,Formula!D118,31)=0,10^6,INDEX(Properties!A$1:CB$87,Formula!D118,31)),IF(INDEX(Properties!A$1:CB$87,Formula!F118,31)=0,10^6,INDEX(Properties!A$1:CB$87,Formula!F118,31)),IF(INDEX(Properties!A$1:CB$87,Formula!H118,31)=0,10^6,INDEX(Properties!A$1:CB$87,Formula!H118,31)),IF(INDEX(Properties!A$1:CB$87,Formula!J118,31)=0,10^6,INDEX(Properties!A$1:CB$87,Formula!J118,31)))</f>
        <v>0.89</v>
      </c>
      <c r="CY118" s="69">
        <f t="shared" si="48"/>
        <v>2.4299999999999997</v>
      </c>
      <c r="CZ118" s="42">
        <f>((Formula!C118)/(Formula!C118+Formula!E118+Formula!G118+Formula!I118+Formula!K118))*(INDEX(Properties!A$1:CB$87,Formula!B118,32))+((Formula!E118)/(Formula!C118+Formula!E118+Formula!G118+Formula!I118+Formula!K118))*(INDEX(Properties!A$1:CB$87,Formula!D118,32))+((Formula!G118)/(Formula!C118+Formula!E118+Formula!G118+Formula!I118+Formula!K118))*(INDEX(Properties!A$1:CB$87,Formula!F118,32))+((Formula!I118)/(Formula!C118+Formula!E118+Formula!G118+Formula!I118+Formula!K118))*(INDEX(Properties!A$1:CB$87,Formula!H118,32))+((Formula!K118)/(Formula!C118+Formula!E118+Formula!G118+Formula!I118+Formula!K118))*(INDEX(Properties!A$1:CB$87,Formula!J118,32))</f>
        <v>5.867</v>
      </c>
      <c r="DA118" s="42">
        <f>Formula!C118*(INDEX(Properties!A$1:CB$87,Formula!B118,32))+Formula!E118*(INDEX(Properties!A$1:CB$87,Formula!D118,32))+Formula!G118*(INDEX(Properties!A$1:CB$87,Formula!F118,32))+Formula!I118*(INDEX(Properties!A$1:CB$87,Formula!H118,32))+Formula!K118*(INDEX(Properties!A$1:CB$87,Formula!J118,32))</f>
        <v>58.67</v>
      </c>
      <c r="DB118" s="42">
        <f>VARP(IF(INDEX(Properties!A$1:CB$87,Formula!B118,32)&lt;&gt;"",INDEX(Properties!A$1:CB$87,Formula!B118,32)),IF(INDEX(Properties!A$1:CB$87,Formula!D118,32)&lt;&gt;"",INDEX(Properties!A$1:CB$87,Formula!D118,32)),IF(INDEX(Properties!A$1:CB$87,Formula!F118,32)&lt;&gt;"",INDEX(Properties!A$1:CB$87,Formula!F118,32)),IF(INDEX(Properties!A$1:CB$87,Formula!H118,32)&lt;&gt;"",INDEX(Properties!A$1:CB$87,Formula!H118,32)),IF(INDEX(Properties!A$1:CB$87,Formula!J118,32)&lt;&gt;"",INDEX(Properties!A$1:CB$87,Formula!J118,32)))</f>
        <v>6.3467439999999984</v>
      </c>
      <c r="DC118" s="42">
        <f>MAX(INDEX(Properties!A$1:CB$87,Formula!B118,32),INDEX(Properties!A$1:CB$87,Formula!D118,32),INDEX(Properties!A$1:CB$87,Formula!F118,32),INDEX(Properties!A$1:CB$87,Formula!H118,32),INDEX(Properties!A$1:CB$87,Formula!J118,32))</f>
        <v>7.54</v>
      </c>
      <c r="DD118" s="42">
        <f>MIN(IF(INDEX(Properties!A$1:CB$87,Formula!B118,32)=0,10^6,INDEX(Properties!A$1:CB$87,Formula!B118,32)),IF(INDEX(Properties!A$1:CB$87,Formula!D118,32)=0,10^6,INDEX(Properties!A$1:CB$87,Formula!D118,32)),IF(INDEX(Properties!A$1:CB$87,Formula!F118,32)=0,10^6,INDEX(Properties!A$1:CB$87,Formula!F118,32)),IF(INDEX(Properties!A$1:CB$87,Formula!H118,32)=0,10^6,INDEX(Properties!A$1:CB$87,Formula!H118,32)),IF(INDEX(Properties!A$1:CB$87,Formula!J118,32)=0,10^6,INDEX(Properties!A$1:CB$87,Formula!J118,32)))</f>
        <v>2</v>
      </c>
      <c r="DE118" s="42">
        <f t="shared" si="49"/>
        <v>5.54</v>
      </c>
      <c r="DF118" s="60">
        <f>((Formula!C118)/(Formula!C118+Formula!E118+Formula!G118+Formula!I118+Formula!K118))*(INDEX(Properties!A$1:CB$87,Formula!B118,34))+((Formula!E118)/(Formula!C118+Formula!E118+Formula!G118+Formula!I118+Formula!K118))*(INDEX(Properties!A$1:CB$87,Formula!D118,34))+((Formula!G118)/(Formula!C118+Formula!E118+Formula!G118+Formula!I118+Formula!K118))*(INDEX(Properties!A$1:CB$87,Formula!F118,34))+((Formula!I118)/(Formula!C118+Formula!E118+Formula!G118+Formula!I118+Formula!K118))*(INDEX(Properties!A$1:CB$87,Formula!H118,34))+((Formula!K118)/(Formula!C118+Formula!E118+Formula!G118+Formula!I118+Formula!K118))*(INDEX(Properties!A$1:CB$87,Formula!J118,34))</f>
        <v>2.7593999999999999</v>
      </c>
      <c r="DG118" s="60">
        <f>Formula!C118*(INDEX(Properties!A$1:CB$87,Formula!B118,34))+Formula!E118*(INDEX(Properties!A$1:CB$87,Formula!D118,34))+Formula!G118*(INDEX(Properties!A$1:CB$87,Formula!F118,34))+Formula!I118*(INDEX(Properties!A$1:CB$87,Formula!H118,34))+Formula!K118*(INDEX(Properties!A$1:CB$87,Formula!J118,34))</f>
        <v>27.594000000000001</v>
      </c>
      <c r="DH118" s="60">
        <f>VARP(IF(INDEX(Properties!A$1:CB$87,Formula!B118,34)&lt;&gt;"",INDEX(Properties!A$1:CB$87,Formula!B118,34)),IF(INDEX(Properties!A$1:CB$87,Formula!D118,34)&lt;&gt;"",INDEX(Properties!A$1:CB$87,Formula!D118,34)),IF(INDEX(Properties!A$1:CB$87,Formula!F118,34)&lt;&gt;"",INDEX(Properties!A$1:CB$87,Formula!F118,34)),IF(INDEX(Properties!A$1:CB$87,Formula!H118,34)&lt;&gt;"",INDEX(Properties!A$1:CB$87,Formula!H118,34)),IF(INDEX(Properties!A$1:CB$87,Formula!J118,34)&lt;&gt;"",INDEX(Properties!A$1:CB$87,Formula!J118,34)))</f>
        <v>1.5384442399999998</v>
      </c>
      <c r="DI118" s="60">
        <f>MAX(INDEX(Properties!A$1:CB$87,Formula!B118,34),INDEX(Properties!A$1:CB$87,Formula!D118,34),INDEX(Properties!A$1:CB$87,Formula!F118,34),INDEX(Properties!A$1:CB$87,Formula!H118,34),INDEX(Properties!A$1:CB$87,Formula!J118,34))</f>
        <v>3.61</v>
      </c>
      <c r="DJ118" s="60">
        <f>MIN(IF(INDEX(Properties!A$1:CB$87,Formula!B118,34)=0,10^6,INDEX(Properties!A$1:CB$87,Formula!B118,34)),IF(INDEX(Properties!A$1:CB$87,Formula!D118,34)=0,10^6,INDEX(Properties!A$1:CB$87,Formula!D118,34)),IF(INDEX(Properties!A$1:CB$87,Formula!F118,34)=0,10^6,INDEX(Properties!A$1:CB$87,Formula!F118,34)),IF(INDEX(Properties!A$1:CB$87,Formula!H118,34)=0,10^6,INDEX(Properties!A$1:CB$87,Formula!H118,34)),IF(INDEX(Properties!A$1:CB$87,Formula!J118,34)=0,10^6,INDEX(Properties!A$1:CB$87,Formula!J118,34)))</f>
        <v>0.86899999999999999</v>
      </c>
      <c r="DK118" s="60">
        <f t="shared" si="50"/>
        <v>2.7409999999999997</v>
      </c>
      <c r="DL118" s="45">
        <f>((Formula!C118)/(Formula!C118+Formula!E118+Formula!G118+Formula!I118+Formula!K118))*(INDEX(Properties!A$1:CB$87,Formula!B118,39))+((Formula!E118)/(Formula!C118+Formula!E118+Formula!G118+Formula!I118+Formula!K118))*(INDEX(Properties!A$1:CB$87,Formula!D118,39))+((Formula!G118)/(Formula!C118+Formula!E118+Formula!G118+Formula!I118+Formula!K118))*(INDEX(Properties!A$1:CB$87,Formula!F118,39))+((Formula!I118)/(Formula!C118+Formula!E118+Formula!G118+Formula!I118+Formula!K118))*(INDEX(Properties!A$1:CB$87,Formula!H118,39))+((Formula!K118)/(Formula!C118+Formula!E118+Formula!G118+Formula!I118+Formula!K118))*(INDEX(Properties!A$1:CB$87,Formula!J118,39))</f>
        <v>0.871</v>
      </c>
      <c r="DM118" s="45">
        <f>Formula!C118*(INDEX(Properties!A$1:CB$87,Formula!B118,39))+Formula!E118*(INDEX(Properties!A$1:CB$87,Formula!D118,39))+Formula!G118*(INDEX(Properties!A$1:CB$87,Formula!F118,39))+Formula!I118*(INDEX(Properties!A$1:CB$87,Formula!H118,39))+Formula!K118*(INDEX(Properties!A$1:CB$87,Formula!J118,39))</f>
        <v>8.7100000000000009</v>
      </c>
      <c r="DN118" s="45">
        <f>VARP(IF(INDEX(Properties!A$1:CB$87,Formula!B118,39)&lt;&gt;"",INDEX(Properties!A$1:CB$87,Formula!B118,39)),IF(INDEX(Properties!A$1:CB$87,Formula!D118,39)&lt;&gt;"",INDEX(Properties!A$1:CB$87,Formula!D118,39)),IF(INDEX(Properties!A$1:CB$87,Formula!F118,39)&lt;&gt;"",INDEX(Properties!A$1:CB$87,Formula!F118,39)),IF(INDEX(Properties!A$1:CB$87,Formula!H118,39)&lt;&gt;"",INDEX(Properties!A$1:CB$87,Formula!H118,39)),IF(INDEX(Properties!A$1:CB$87,Formula!J118,39)&lt;&gt;"",INDEX(Properties!A$1:CB$87,Formula!J118,39)))</f>
        <v>0.69493600000000011</v>
      </c>
      <c r="DO118" s="45">
        <f>MAX(INDEX(Properties!A$1:CB$87,Formula!B118,39),INDEX(Properties!A$1:CB$87,Formula!D118,39),INDEX(Properties!A$1:CB$87,Formula!F118,39),INDEX(Properties!A$1:CB$87,Formula!H118,39),INDEX(Properties!A$1:CB$87,Formula!J118,39))</f>
        <v>2.19</v>
      </c>
      <c r="DP118" s="45">
        <f>MIN(IF(INDEX(Properties!A$1:CB$87,Formula!B118,39)=0,10^6,INDEX(Properties!A$1:CB$87,Formula!B118,39)),IF(INDEX(Properties!A$1:CB$87,Formula!D118,39)=0,10^6,INDEX(Properties!A$1:CB$87,Formula!D118,39)),IF(INDEX(Properties!A$1:CB$87,Formula!F118,39)=0,10^6,INDEX(Properties!A$1:CB$87,Formula!F118,39)),IF(INDEX(Properties!A$1:CB$87,Formula!H118,39)=0,10^6,INDEX(Properties!A$1:CB$87,Formula!H118,39)),IF(INDEX(Properties!A$1:CB$87,Formula!J118,39)=0,10^6,INDEX(Properties!A$1:CB$87,Formula!J118,39)))</f>
        <v>0.48</v>
      </c>
      <c r="DQ118" s="45">
        <f t="shared" si="51"/>
        <v>1.71</v>
      </c>
      <c r="DR118" s="63">
        <f>((Formula!C118)/(Formula!C118+Formula!E118+Formula!G118+Formula!I118+Formula!K118))*(INDEX(Properties!A$1:CB$87,Formula!B118,40))+((Formula!E118)/(Formula!C118+Formula!E118+Formula!G118+Formula!I118+Formula!K118))*(INDEX(Properties!A$1:CB$87,Formula!D118,40))+((Formula!G118)/(Formula!C118+Formula!E118+Formula!G118+Formula!I118+Formula!K118))*(INDEX(Properties!A$1:CB$87,Formula!F118,40))+((Formula!I118)/(Formula!C118+Formula!E118+Formula!G118+Formula!I118+Formula!K118))*(INDEX(Properties!A$1:CB$87,Formula!H118,40))+((Formula!K118)/(Formula!C118+Formula!E118+Formula!G118+Formula!I118+Formula!K118))*(INDEX(Properties!A$1:CB$87,Formula!J118,40))</f>
        <v>0.94799999999999995</v>
      </c>
      <c r="DS118" s="63">
        <f>Formula!C118*(INDEX(Properties!A$1:CB$87,Formula!B118,40))+Formula!E118*(INDEX(Properties!A$1:CB$87,Formula!D118,40))+Formula!G118*(INDEX(Properties!A$1:CB$87,Formula!F118,40))+Formula!I118*(INDEX(Properties!A$1:CB$87,Formula!H118,40))+Formula!K118*(INDEX(Properties!A$1:CB$87,Formula!J118,40))</f>
        <v>9.48</v>
      </c>
      <c r="DT118" s="63">
        <f>VARP(IF(INDEX(Properties!A$1:CB$87,Formula!B118,40)&lt;&gt;"",INDEX(Properties!A$1:CB$87,Formula!B118,40)),IF(INDEX(Properties!A$1:CB$87,Formula!D118,40)&lt;&gt;"",INDEX(Properties!A$1:CB$87,Formula!D118,40)),IF(INDEX(Properties!A$1:CB$87,Formula!F118,40)&lt;&gt;"",INDEX(Properties!A$1:CB$87,Formula!F118,40)),IF(INDEX(Properties!A$1:CB$87,Formula!H118,40)&lt;&gt;"",INDEX(Properties!A$1:CB$87,Formula!H118,40)),IF(INDEX(Properties!A$1:CB$87,Formula!J118,40)&lt;&gt;"",INDEX(Properties!A$1:CB$87,Formula!J118,40)))</f>
        <v>0.448656</v>
      </c>
      <c r="DU118" s="63">
        <f>MAX(INDEX(Properties!A$1:CB$87,Formula!B118,40),INDEX(Properties!A$1:CB$87,Formula!D118,40),INDEX(Properties!A$1:CB$87,Formula!F118,40),INDEX(Properties!A$1:CB$87,Formula!H118,40),INDEX(Properties!A$1:CB$87,Formula!J118,40))</f>
        <v>1.92</v>
      </c>
      <c r="DV118" s="63">
        <f>MIN(IF(INDEX(Properties!A$1:CB$87,Formula!B118,40)=0,10^6,INDEX(Properties!A$1:CB$87,Formula!B118,40)),IF(INDEX(Properties!A$1:CB$87,Formula!D118,40)=0,10^6,INDEX(Properties!A$1:CB$87,Formula!D118,40)),IF(INDEX(Properties!A$1:CB$87,Formula!F118,40)=0,10^6,INDEX(Properties!A$1:CB$87,Formula!F118,40)),IF(INDEX(Properties!A$1:CB$87,Formula!H118,40)=0,10^6,INDEX(Properties!A$1:CB$87,Formula!H118,40)),IF(INDEX(Properties!A$1:CB$87,Formula!J118,40)=0,10^6,INDEX(Properties!A$1:CB$87,Formula!J118,40)))</f>
        <v>0.73</v>
      </c>
      <c r="DW118" s="63">
        <f t="shared" si="52"/>
        <v>1.19</v>
      </c>
      <c r="DX118" s="75">
        <f>((Formula!C118)/(Formula!C118+Formula!E118+Formula!G118+Formula!I118+Formula!K118))*(INDEX(Properties!A$1:CB$87,Formula!B118,41))+((Formula!E118)/(Formula!C118+Formula!E118+Formula!G118+Formula!I118+Formula!K118))*(INDEX(Properties!A$1:CB$87,Formula!D118,41))+((Formula!G118)/(Formula!C118+Formula!E118+Formula!G118+Formula!I118+Formula!K118))*(INDEX(Properties!A$1:CB$87,Formula!F118,41))+((Formula!I118)/(Formula!C118+Formula!E118+Formula!G118+Formula!I118+Formula!K118))*(INDEX(Properties!A$1:CB$87,Formula!H118,41))+((Formula!K118)/(Formula!C118+Formula!E118+Formula!G118+Formula!I118+Formula!K118))*(INDEX(Properties!A$1:CB$87,Formula!J118,41))</f>
        <v>1.0860000000000001</v>
      </c>
      <c r="DY118" s="75">
        <f>Formula!C118*(INDEX(Properties!A$1:CB$87,Formula!B118,41))+Formula!E118*(INDEX(Properties!A$1:CB$87,Formula!D118,41))+Formula!G118*(INDEX(Properties!A$1:CB$87,Formula!F118,41))+Formula!I118*(INDEX(Properties!A$1:CB$87,Formula!H118,41))+Formula!K118*(INDEX(Properties!A$1:CB$87,Formula!J118,41))</f>
        <v>10.86</v>
      </c>
      <c r="DZ118" s="75">
        <f>VARP(IF(INDEX(Properties!A$1:CB$87,Formula!B118,41)&lt;&gt;"",INDEX(Properties!A$1:CB$87,Formula!B118,41)),IF(INDEX(Properties!A$1:CB$87,Formula!D118,41)&lt;&gt;"",INDEX(Properties!A$1:CB$87,Formula!D118,41)),IF(INDEX(Properties!A$1:CB$87,Formula!F118,41)&lt;&gt;"",INDEX(Properties!A$1:CB$87,Formula!F118,41)),IF(INDEX(Properties!A$1:CB$87,Formula!H118,41)&lt;&gt;"",INDEX(Properties!A$1:CB$87,Formula!H118,41)),IF(INDEX(Properties!A$1:CB$87,Formula!J118,41)&lt;&gt;"",INDEX(Properties!A$1:CB$87,Formula!J118,41)))</f>
        <v>0.27983999999999981</v>
      </c>
      <c r="EA118" s="75">
        <f>MAX(INDEX(Properties!A$1:CB$87,Formula!B118,41),INDEX(Properties!A$1:CB$87,Formula!D118,41),INDEX(Properties!A$1:CB$87,Formula!F118,41),INDEX(Properties!A$1:CB$87,Formula!H118,41),INDEX(Properties!A$1:CB$87,Formula!J118,41))</f>
        <v>1.32</v>
      </c>
      <c r="EB118" s="75">
        <f>MIN(IF(INDEX(Properties!A$1:CB$87,Formula!B118,41)=0,10^6,INDEX(Properties!A$1:CB$87,Formula!B118,41)),IF(INDEX(Properties!A$1:CB$87,Formula!D118,41)=0,10^6,INDEX(Properties!A$1:CB$87,Formula!D118,41)),IF(INDEX(Properties!A$1:CB$87,Formula!F118,41)=0,10^6,INDEX(Properties!A$1:CB$87,Formula!F118,41)),IF(INDEX(Properties!A$1:CB$87,Formula!H118,41)=0,10^6,INDEX(Properties!A$1:CB$87,Formula!H118,41)),IF(INDEX(Properties!A$1:CB$87,Formula!J118,41)=0,10^6,INDEX(Properties!A$1:CB$87,Formula!J118,41)))</f>
        <v>0.41</v>
      </c>
      <c r="EC118" s="75">
        <f t="shared" si="53"/>
        <v>0.91000000000000014</v>
      </c>
      <c r="ED118" s="48">
        <f>((Formula!C118)/(Formula!C118+Formula!E118+Formula!G118+Formula!I118+Formula!K118))*(INDEX(Properties!A$1:CB$87,Formula!B118,45))+((Formula!E118)/(Formula!C118+Formula!E118+Formula!G118+Formula!I118+Formula!K118))*(INDEX(Properties!A$1:CB$87,Formula!D118,45))+((Formula!G118)/(Formula!C118+Formula!E118+Formula!G118+Formula!I118+Formula!K118))*(INDEX(Properties!A$1:CB$87,Formula!F118,45))+((Formula!I118)/(Formula!C118+Formula!E118+Formula!G118+Formula!I118+Formula!K118))*(INDEX(Properties!A$1:CB$87,Formula!H118,45))+((Formula!K118)/(Formula!C118+Formula!E118+Formula!G118+Formula!I118+Formula!K118))*(INDEX(Properties!A$1:CB$87,Formula!J118,45))</f>
        <v>1.028</v>
      </c>
      <c r="EE118" s="48">
        <f>Formula!C118*(INDEX(Properties!A$1:CB$87,Formula!B118,45))+Formula!E118*(INDEX(Properties!A$1:CB$87,Formula!D118,45))+Formula!G118*(INDEX(Properties!A$1:CB$87,Formula!F118,45))+Formula!I118*(INDEX(Properties!A$1:CB$87,Formula!H118,45))+Formula!K118*(INDEX(Properties!A$1:CB$87,Formula!J118,45))</f>
        <v>10.28</v>
      </c>
      <c r="EF118" s="48">
        <f>VARP(IF(INDEX(Properties!A$1:CB$87,Formula!B118,45)&lt;&gt;"",INDEX(Properties!A$1:CB$87,Formula!B118,45)),IF(INDEX(Properties!A$1:CB$87,Formula!D118,45)&lt;&gt;"",INDEX(Properties!A$1:CB$87,Formula!D118,45)),IF(INDEX(Properties!A$1:CB$87,Formula!F118,45)&lt;&gt;"",INDEX(Properties!A$1:CB$87,Formula!F118,45)),IF(INDEX(Properties!A$1:CB$87,Formula!H118,45)&lt;&gt;"",INDEX(Properties!A$1:CB$87,Formula!H118,45)),IF(INDEX(Properties!A$1:CB$87,Formula!J118,45)&lt;&gt;"",INDEX(Properties!A$1:CB$87,Formula!J118,45)))</f>
        <v>1.6040240000000006</v>
      </c>
      <c r="EG118" s="48">
        <f>MAX(INDEX(Properties!A$1:CB$87,Formula!B118,45),INDEX(Properties!A$1:CB$87,Formula!D118,45),INDEX(Properties!A$1:CB$87,Formula!F118,45),INDEX(Properties!A$1:CB$87,Formula!H118,45),INDEX(Properties!A$1:CB$87,Formula!J118,45))</f>
        <v>3.21</v>
      </c>
      <c r="EH118" s="48">
        <f>MIN(IF(INDEX(Properties!A$1:CB$87,Formula!B118,45)=0,10^6,INDEX(Properties!A$1:CB$87,Formula!B118,45)),IF(INDEX(Properties!A$1:CB$87,Formula!D118,45)=0,10^6,INDEX(Properties!A$1:CB$87,Formula!D118,45)),IF(INDEX(Properties!A$1:CB$87,Formula!F118,45)=0,10^6,INDEX(Properties!A$1:CB$87,Formula!F118,45)),IF(INDEX(Properties!A$1:CB$87,Formula!H118,45)=0,10^6,INDEX(Properties!A$1:CB$87,Formula!H118,45)),IF(INDEX(Properties!A$1:CB$87,Formula!J118,45)=0,10^6,INDEX(Properties!A$1:CB$87,Formula!J118,45)))</f>
        <v>0.47</v>
      </c>
      <c r="EI118" s="48">
        <f t="shared" si="54"/>
        <v>2.74</v>
      </c>
      <c r="EJ118" s="66">
        <f>((Formula!C118)/(Formula!C118+Formula!E118+Formula!G118+Formula!I118+Formula!K118))*(INDEX(Properties!A$1:CB$87,Formula!B118,46))+((Formula!E118)/(Formula!C118+Formula!E118+Formula!G118+Formula!I118+Formula!K118))*(INDEX(Properties!A$1:CB$87,Formula!D118,46))+((Formula!G118)/(Formula!C118+Formula!E118+Formula!G118+Formula!I118+Formula!K118))*(INDEX(Properties!A$1:CB$87,Formula!F118,46))+((Formula!I118)/(Formula!C118+Formula!E118+Formula!G118+Formula!I118+Formula!K118))*(INDEX(Properties!A$1:CB$87,Formula!H118,46))+((Formula!K118)/(Formula!C118+Formula!E118+Formula!G118+Formula!I118+Formula!K118))*(INDEX(Properties!A$1:CB$87,Formula!J118,46))</f>
        <v>1.024</v>
      </c>
      <c r="EK118" s="66">
        <f>Formula!C118*(INDEX(Properties!A$1:CB$87,Formula!B118,46))+Formula!E118*(INDEX(Properties!A$1:CB$87,Formula!D118,46))+Formula!G118*(INDEX(Properties!A$1:CB$87,Formula!F118,46))+Formula!I118*(INDEX(Properties!A$1:CB$87,Formula!H118,46))+Formula!K118*(INDEX(Properties!A$1:CB$87,Formula!J118,46))</f>
        <v>10.24</v>
      </c>
      <c r="EL118" s="66">
        <f>VARP(IF(INDEX(Properties!A$1:CB$87,Formula!B118,46)&lt;&gt;"",INDEX(Properties!A$1:CB$87,Formula!B118,46)),IF(INDEX(Properties!A$1:CB$87,Formula!D118,46)&lt;&gt;"",INDEX(Properties!A$1:CB$87,Formula!D118,46)),IF(INDEX(Properties!A$1:CB$87,Formula!F118,46)&lt;&gt;"",INDEX(Properties!A$1:CB$87,Formula!F118,46)),IF(INDEX(Properties!A$1:CB$87,Formula!H118,46)&lt;&gt;"",INDEX(Properties!A$1:CB$87,Formula!H118,46)),IF(INDEX(Properties!A$1:CB$87,Formula!J118,46)&lt;&gt;"",INDEX(Properties!A$1:CB$87,Formula!J118,46)))</f>
        <v>0.30197600000000002</v>
      </c>
      <c r="EM118" s="66">
        <f>MAX(INDEX(Properties!A$1:CB$87,Formula!B118,46),INDEX(Properties!A$1:CB$87,Formula!D118,46),INDEX(Properties!A$1:CB$87,Formula!F118,46),INDEX(Properties!A$1:CB$87,Formula!H118,46),INDEX(Properties!A$1:CB$87,Formula!J118,46))</f>
        <v>1.32</v>
      </c>
      <c r="EN118" s="66">
        <f>MIN(IF(INDEX(Properties!A$1:CB$87,Formula!B118,46)=0,10^6,INDEX(Properties!A$1:CB$87,Formula!B118,46)),IF(INDEX(Properties!A$1:CB$87,Formula!D118,46)=0,10^6,INDEX(Properties!A$1:CB$87,Formula!D118,46)),IF(INDEX(Properties!A$1:CB$87,Formula!F118,46)=0,10^6,INDEX(Properties!A$1:CB$87,Formula!F118,46)),IF(INDEX(Properties!A$1:CB$87,Formula!H118,46)=0,10^6,INDEX(Properties!A$1:CB$87,Formula!H118,46)),IF(INDEX(Properties!A$1:CB$87,Formula!J118,46)=0,10^6,INDEX(Properties!A$1:CB$87,Formula!J118,46)))</f>
        <v>0.25</v>
      </c>
      <c r="EO118" s="66">
        <f t="shared" si="55"/>
        <v>1.07</v>
      </c>
      <c r="EP118" s="81">
        <f>((Formula!C118)/(Formula!C118+Formula!E118+Formula!G118+Formula!I118+Formula!K118))*(INDEX(Properties!A$1:CB$87,Formula!B118,52))+((Formula!E118)/(Formula!C118+Formula!E118+Formula!G118+Formula!I118+Formula!K118))*(INDEX(Properties!A$1:CB$87,Formula!D118,52))+((Formula!G118)/(Formula!C118+Formula!E118+Formula!G118+Formula!I118+Formula!K118))*(INDEX(Properties!A$1:CB$87,Formula!F118,52))+((Formula!I118)/(Formula!C118+Formula!E118+Formula!G118+Formula!I118+Formula!K118))*(INDEX(Properties!A$1:CB$87,Formula!H118,52))+((Formula!K118)/(Formula!C118+Formula!E118+Formula!G118+Formula!I118+Formula!K118))*(INDEX(Properties!A$1:CB$87,Formula!J118,52))</f>
        <v>6.1958000000000002</v>
      </c>
      <c r="EQ118" s="81">
        <f>Formula!C118*(INDEX(Properties!A$1:CB$87,Formula!B118,52))+Formula!E118*(INDEX(Properties!A$1:CB$87,Formula!D118,52))+Formula!G118*(INDEX(Properties!A$1:CB$87,Formula!F118,52))+Formula!I118*(INDEX(Properties!A$1:CB$87,Formula!H118,52))+Formula!K118*(INDEX(Properties!A$1:CB$87,Formula!J118,52))</f>
        <v>61.958000000000006</v>
      </c>
      <c r="ER118" s="81">
        <f>VARP(IF(INDEX(Properties!A$1:CB$87,Formula!B118,52)&lt;&gt;"",INDEX(Properties!A$1:CB$87,Formula!B118,52)),IF(INDEX(Properties!A$1:CB$87,Formula!D118,52)&lt;&gt;"",INDEX(Properties!A$1:CB$87,Formula!D118,52)),IF(INDEX(Properties!A$1:CB$87,Formula!F118,52)&lt;&gt;"",INDEX(Properties!A$1:CB$87,Formula!F118,52)),IF(INDEX(Properties!A$1:CB$87,Formula!H118,52)&lt;&gt;"",INDEX(Properties!A$1:CB$87,Formula!H118,52)),IF(INDEX(Properties!A$1:CB$87,Formula!J118,52)&lt;&gt;"",INDEX(Properties!A$1:CB$87,Formula!J118,52)))</f>
        <v>144.70056784000002</v>
      </c>
      <c r="ES118" s="81">
        <f>MAX(INDEX(Properties!A$1:CB$87,Formula!B118,52),INDEX(Properties!A$1:CB$87,Formula!D118,52),INDEX(Properties!A$1:CB$87,Formula!F118,52),INDEX(Properties!A$1:CB$87,Formula!H118,52),INDEX(Properties!A$1:CB$87,Formula!J118,52))</f>
        <v>27.6</v>
      </c>
      <c r="ET118" s="81">
        <f>MIN(IF(INDEX(Properties!A$1:CB$87,Formula!B118,52)=0,10^6,INDEX(Properties!A$1:CB$87,Formula!B118,52)),IF(INDEX(Properties!A$1:CB$87,Formula!D118,52)=0,10^6,INDEX(Properties!A$1:CB$87,Formula!D118,52)),IF(INDEX(Properties!A$1:CB$87,Formula!F118,52)=0,10^6,INDEX(Properties!A$1:CB$87,Formula!F118,52)),IF(INDEX(Properties!A$1:CB$87,Formula!H118,52)=0,10^6,INDEX(Properties!A$1:CB$87,Formula!H118,52)),IF(INDEX(Properties!A$1:CB$87,Formula!J118,52)=0,10^6,INDEX(Properties!A$1:CB$87,Formula!J118,52)))</f>
        <v>0.79300000000000004</v>
      </c>
      <c r="EU118" s="81">
        <f t="shared" si="56"/>
        <v>26.807000000000002</v>
      </c>
      <c r="EV118" s="39">
        <f>((Formula!C118)/(Formula!C118+Formula!E118+Formula!G118+Formula!I118+Formula!K118))*(INDEX(Properties!A$1:CB$87,Formula!B118,53))+((Formula!E118)/(Formula!C118+Formula!E118+Formula!G118+Formula!I118+Formula!K118))*(INDEX(Properties!A$1:CB$87,Formula!D118,53))+((Formula!G118)/(Formula!C118+Formula!E118+Formula!G118+Formula!I118+Formula!K118))*(INDEX(Properties!A$1:CB$87,Formula!F118,53))+((Formula!I118)/(Formula!C118+Formula!E118+Formula!G118+Formula!I118+Formula!K118))*(INDEX(Properties!A$1:CB$87,Formula!H118,53))+((Formula!K118)/(Formula!C118+Formula!E118+Formula!G118+Formula!I118+Formula!K118))*(INDEX(Properties!A$1:CB$87,Formula!J118,53))</f>
        <v>644.59</v>
      </c>
      <c r="EW118" s="39">
        <f>Formula!C118*(INDEX(Properties!A$1:CB$87,Formula!B118,53))+Formula!E118*(INDEX(Properties!A$1:CB$87,Formula!D118,53))+Formula!G118*(INDEX(Properties!A$1:CB$87,Formula!F118,53))+Formula!I118*(INDEX(Properties!A$1:CB$87,Formula!H118,53))+Formula!K118*(INDEX(Properties!A$1:CB$87,Formula!J118,53))</f>
        <v>6445.9000000000005</v>
      </c>
      <c r="EX118" s="39">
        <f>VARP(IF(INDEX(Properties!A$1:CB$87,Formula!B118,53)&lt;&gt;"",INDEX(Properties!A$1:CB$87,Formula!B118,53)),IF(INDEX(Properties!A$1:CB$87,Formula!D118,53)&lt;&gt;"",INDEX(Properties!A$1:CB$87,Formula!D118,53)),IF(INDEX(Properties!A$1:CB$87,Formula!F118,53)&lt;&gt;"",INDEX(Properties!A$1:CB$87,Formula!F118,53)),IF(INDEX(Properties!A$1:CB$87,Formula!H118,53)&lt;&gt;"",INDEX(Properties!A$1:CB$87,Formula!H118,53)),IF(INDEX(Properties!A$1:CB$87,Formula!J118,53)&lt;&gt;"",INDEX(Properties!A$1:CB$87,Formula!J118,53)))</f>
        <v>768161.54200000013</v>
      </c>
      <c r="EY118" s="39">
        <f>MAX(INDEX(Properties!A$1:CB$87,Formula!B118,53),INDEX(Properties!A$1:CB$87,Formula!D118,53),INDEX(Properties!A$1:CB$87,Formula!F118,53),INDEX(Properties!A$1:CB$87,Formula!H118,53),INDEX(Properties!A$1:CB$87,Formula!J118,53))</f>
        <v>2352.15</v>
      </c>
      <c r="EZ118" s="39">
        <f>MIN(IF(INDEX(Properties!A$1:CB$87,Formula!B118,53)=0,10^6,INDEX(Properties!A$1:CB$87,Formula!B118,53)),IF(INDEX(Properties!A$1:CB$87,Formula!D118,53)=0,10^6,INDEX(Properties!A$1:CB$87,Formula!D118,53)),IF(INDEX(Properties!A$1:CB$87,Formula!F118,53)=0,10^6,INDEX(Properties!A$1:CB$87,Formula!F118,53)),IF(INDEX(Properties!A$1:CB$87,Formula!H118,53)=0,10^6,INDEX(Properties!A$1:CB$87,Formula!H118,53)),IF(INDEX(Properties!A$1:CB$87,Formula!J118,53)=0,10^6,INDEX(Properties!A$1:CB$87,Formula!J118,53)))</f>
        <v>54.749999999999972</v>
      </c>
      <c r="FA118" s="39">
        <f t="shared" si="57"/>
        <v>2297.4</v>
      </c>
      <c r="FB118" s="54">
        <f>((Formula!C118)/(Formula!C118+Formula!E118+Formula!G118+Formula!I118+Formula!K118))*(INDEX(Properties!A$1:CB$87,Formula!B118,54))+((Formula!E118)/(Formula!C118+Formula!E118+Formula!G118+Formula!I118+Formula!K118))*(INDEX(Properties!A$1:CB$87,Formula!D118,54))+((Formula!G118)/(Formula!C118+Formula!E118+Formula!G118+Formula!I118+Formula!K118))*(INDEX(Properties!A$1:CB$87,Formula!F118,54))+((Formula!I118)/(Formula!C118+Formula!E118+Formula!G118+Formula!I118+Formula!K118))*(INDEX(Properties!A$1:CB$87,Formula!H118,54))+((Formula!K118)/(Formula!C118+Formula!E118+Formula!G118+Formula!I118+Formula!K118))*(INDEX(Properties!A$1:CB$87,Formula!J118,54))</f>
        <v>1190.4199999999998</v>
      </c>
      <c r="FC118" s="54">
        <f>Formula!C118*(INDEX(Properties!A$1:CB$87,Formula!B118,54))+Formula!E118*(INDEX(Properties!A$1:CB$87,Formula!D118,54))+Formula!G118*(INDEX(Properties!A$1:CB$87,Formula!F118,54))+Formula!I118*(INDEX(Properties!A$1:CB$87,Formula!H118,54))+Formula!K118*(INDEX(Properties!A$1:CB$87,Formula!J118,54))</f>
        <v>11904.199999999999</v>
      </c>
      <c r="FD118" s="54">
        <f>VARP(IF(INDEX(Properties!A$1:CB$87,Formula!B118,54)&lt;&gt;"",INDEX(Properties!A$1:CB$87,Formula!B118,54)),IF(INDEX(Properties!A$1:CB$87,Formula!D118,54)&lt;&gt;"",INDEX(Properties!A$1:CB$87,Formula!D118,54)),IF(INDEX(Properties!A$1:CB$87,Formula!F118,54)&lt;&gt;"",INDEX(Properties!A$1:CB$87,Formula!F118,54)),IF(INDEX(Properties!A$1:CB$87,Formula!H118,54)&lt;&gt;"",INDEX(Properties!A$1:CB$87,Formula!H118,54)),IF(INDEX(Properties!A$1:CB$87,Formula!J118,54)&lt;&gt;"",INDEX(Properties!A$1:CB$87,Formula!J118,54)))</f>
        <v>2412110.4174000006</v>
      </c>
      <c r="FE118" s="54">
        <f>MAX(INDEX(Properties!A$1:CB$87,Formula!B118,54),INDEX(Properties!A$1:CB$87,Formula!D118,54),INDEX(Properties!A$1:CB$87,Formula!F118,54),INDEX(Properties!A$1:CB$87,Formula!H118,54),INDEX(Properties!A$1:CB$87,Formula!J118,54))</f>
        <v>4275</v>
      </c>
      <c r="FF118" s="54">
        <f>MIN(IF(INDEX(Properties!A$1:CB$87,Formula!B118,54)=0,10^6,INDEX(Properties!A$1:CB$87,Formula!B118,54)),IF(INDEX(Properties!A$1:CB$87,Formula!D118,54)=0,10^6,INDEX(Properties!A$1:CB$87,Formula!D118,54)),IF(INDEX(Properties!A$1:CB$87,Formula!F118,54)=0,10^6,INDEX(Properties!A$1:CB$87,Formula!F118,54)),IF(INDEX(Properties!A$1:CB$87,Formula!H118,54)=0,10^6,INDEX(Properties!A$1:CB$87,Formula!H118,54)),IF(INDEX(Properties!A$1:CB$87,Formula!J118,54)=0,10^6,INDEX(Properties!A$1:CB$87,Formula!J118,54)))</f>
        <v>90.149999999999977</v>
      </c>
      <c r="FG118" s="54">
        <f t="shared" si="58"/>
        <v>4184.8500000000004</v>
      </c>
      <c r="FH118" s="69">
        <f>((Formula!C118)/(Formula!C118+Formula!E118+Formula!G118+Formula!I118+Formula!K118))*(INDEX(Properties!A$1:CB$87,Formula!B118,55))+((Formula!E118)/(Formula!C118+Formula!E118+Formula!G118+Formula!I118+Formula!K118))*(INDEX(Properties!A$1:CB$87,Formula!D118,55))+((Formula!G118)/(Formula!C118+Formula!E118+Formula!G118+Formula!I118+Formula!K118))*(INDEX(Properties!A$1:CB$87,Formula!F118,55))+((Formula!I118)/(Formula!C118+Formula!E118+Formula!G118+Formula!I118+Formula!K118))*(INDEX(Properties!A$1:CB$87,Formula!H118,55))+((Formula!K118)/(Formula!C118+Formula!E118+Formula!G118+Formula!I118+Formula!K118))*(INDEX(Properties!A$1:CB$87,Formula!J118,55))</f>
        <v>0.82895800000000008</v>
      </c>
      <c r="FI118" s="69">
        <f>Formula!C118*(INDEX(Properties!A$1:CB$87,Formula!B118,55))+Formula!E118*(INDEX(Properties!A$1:CB$87,Formula!D118,54))+Formula!G118*(INDEX(Properties!A$1:CB$87,Formula!F118,55))+Formula!I118*(INDEX(Properties!A$1:CB$87,Formula!H118,55))+Formula!K118*(INDEX(Properties!A$1:CB$87,Formula!J118,55))</f>
        <v>1662.8095800000001</v>
      </c>
      <c r="FJ118" s="69">
        <f>VARP(IF(INDEX(Properties!A$1:CB$87,Formula!B118,55)&lt;&gt;"",INDEX(Properties!A$1:CB$87,Formula!B118,55)),IF(INDEX(Properties!A$1:CB$87,Formula!D118,55)&lt;&gt;"",INDEX(Properties!A$1:CB$87,Formula!D118,55)),IF(INDEX(Properties!A$1:CB$87,Formula!F118,55)&lt;&gt;"",INDEX(Properties!A$1:CB$87,Formula!F118,55)),IF(INDEX(Properties!A$1:CB$87,Formula!H118,55)&lt;&gt;"",INDEX(Properties!A$1:CB$87,Formula!H118,55)),IF(INDEX(Properties!A$1:CB$87,Formula!J118,55)&lt;&gt;"",INDEX(Properties!A$1:CB$87,Formula!J118,55)))</f>
        <v>1.2545696367839994</v>
      </c>
      <c r="FK118" s="69">
        <f>MAX(INDEX(Properties!A$1:CB$87,Formula!B118,55),INDEX(Properties!A$1:CB$87,Formula!D118,55),INDEX(Properties!A$1:CB$87,Formula!F118,55),INDEX(Properties!A$1:CB$87,Formula!H118,55),INDEX(Properties!A$1:CB$87,Formula!J118,55))</f>
        <v>2.63</v>
      </c>
      <c r="FL118" s="69">
        <f>MIN(IF(INDEX(Properties!A$1:CB$87,Formula!B118,55)=0,10^6,INDEX(Properties!A$1:CB$87,Formula!B118,55)),IF(INDEX(Properties!A$1:CB$87,Formula!D118,55)=0,10^6,INDEX(Properties!A$1:CB$87,Formula!D118,55)),IF(INDEX(Properties!A$1:CB$87,Formula!F118,55)=0,10^6,INDEX(Properties!A$1:CB$87,Formula!F118,55)),IF(INDEX(Properties!A$1:CB$87,Formula!H118,55)=0,10^6,INDEX(Properties!A$1:CB$87,Formula!H118,55)),IF(INDEX(Properties!A$1:CB$87,Formula!J118,55)=0,10^6,INDEX(Properties!A$1:CB$87,Formula!J118,55)))</f>
        <v>1.4300000000000001E-3</v>
      </c>
      <c r="FM118" s="69">
        <f t="shared" si="59"/>
        <v>2.6285699999999999</v>
      </c>
      <c r="FN118" s="42">
        <f>((Formula!C118)/(Formula!C118+Formula!E118+Formula!G118+Formula!I118+Formula!K118))*(INDEX(Properties!A$1:CB$87,Formula!B118,56))+((Formula!E118)/(Formula!C118+Formula!E118+Formula!G118+Formula!I118+Formula!K118))*(INDEX(Properties!A$1:CB$87,Formula!D118,56))+((Formula!G118)/(Formula!C118+Formula!E118+Formula!G118+Formula!I118+Formula!K118))*(INDEX(Properties!A$1:CB$87,Formula!F118,56))+((Formula!I118)/(Formula!C118+Formula!E118+Formula!G118+Formula!I118+Formula!K118))*(INDEX(Properties!A$1:CB$87,Formula!H118,56))+((Formula!K118)/(Formula!C118+Formula!E118+Formula!G118+Formula!I118+Formula!K118))*(INDEX(Properties!A$1:CB$87,Formula!J118,56))</f>
        <v>0.90900000000000003</v>
      </c>
      <c r="FO118" s="42">
        <f>Formula!C118*(INDEX(Properties!A$1:CB$87,Formula!B118,56))+Formula!E118*(INDEX(Properties!A$1:CB$87,Formula!D118,56))+Formula!G118*(INDEX(Properties!A$1:CB$87,Formula!F118,56))+Formula!I118*(INDEX(Properties!A$1:CB$87,Formula!H118,56))+Formula!K118*(INDEX(Properties!A$1:CB$87,Formula!J118,56))</f>
        <v>9.09</v>
      </c>
      <c r="FP118" s="42">
        <f>VARP(IF(INDEX(Properties!A$1:CB$87,Formula!B118,56)&lt;&gt;"",INDEX(Properties!A$1:CB$87,Formula!B118,56)),IF(INDEX(Properties!A$1:CB$87,Formula!D118,56)&lt;&gt;"",INDEX(Properties!A$1:CB$87,Formula!D118,56)),IF(INDEX(Properties!A$1:CB$87,Formula!F118,56)&lt;&gt;"",INDEX(Properties!A$1:CB$87,Formula!F118,56)),IF(INDEX(Properties!A$1:CB$87,Formula!H118,56)&lt;&gt;"",INDEX(Properties!A$1:CB$87,Formula!H118,56)),IF(INDEX(Properties!A$1:CB$87,Formula!J118,56)&lt;&gt;"",INDEX(Properties!A$1:CB$87,Formula!J118,56)))</f>
        <v>0.21630400000000002</v>
      </c>
      <c r="FQ118" s="42">
        <f>MAX(INDEX(Properties!A$1:CB$87,Formula!B118,56),INDEX(Properties!A$1:CB$87,Formula!D118,56),INDEX(Properties!A$1:CB$87,Formula!F118,56),INDEX(Properties!A$1:CB$87,Formula!H118,56),INDEX(Properties!A$1:CB$87,Formula!J118,56))</f>
        <v>1.23</v>
      </c>
      <c r="FR118" s="42">
        <f>MIN(IF(INDEX(Properties!A$1:CB$87,Formula!B118,56)=0,10^6,INDEX(Properties!A$1:CB$87,Formula!B118,56)),IF(INDEX(Properties!A$1:CB$87,Formula!D118,56)=0,10^6,INDEX(Properties!A$1:CB$87,Formula!D118,56)),IF(INDEX(Properties!A$1:CB$87,Formula!F118,56)=0,10^6,INDEX(Properties!A$1:CB$87,Formula!F118,56)),IF(INDEX(Properties!A$1:CB$87,Formula!H118,56)=0,10^6,INDEX(Properties!A$1:CB$87,Formula!H118,56)),IF(INDEX(Properties!A$1:CB$87,Formula!J118,56)=0,10^6,INDEX(Properties!A$1:CB$87,Formula!J118,56)))</f>
        <v>0.3</v>
      </c>
      <c r="FS118" s="42">
        <f t="shared" si="60"/>
        <v>0.92999999999999994</v>
      </c>
      <c r="FT118" s="60">
        <f>((Formula!C118)/(Formula!C118+Formula!E118+Formula!G118+Formula!I118+Formula!K118))*(INDEX(Properties!A$1:CB$87,Formula!B118,57))+((Formula!E118)/(Formula!C118+Formula!E118+Formula!G118+Formula!I118+Formula!K118))*(INDEX(Properties!A$1:CB$87,Formula!D118,57))+((Formula!G118)/(Formula!C118+Formula!E118+Formula!G118+Formula!I118+Formula!K118))*(INDEX(Properties!A$1:CB$87,Formula!F118,57))+((Formula!I118)/(Formula!C118+Formula!E118+Formula!G118+Formula!I118+Formula!K118))*(INDEX(Properties!A$1:CB$87,Formula!H118,57))+((Formula!K118)/(Formula!C118+Formula!E118+Formula!G118+Formula!I118+Formula!K118))*(INDEX(Properties!A$1:CB$87,Formula!J118,57))</f>
        <v>11.263354000000001</v>
      </c>
      <c r="FU118" s="60">
        <f>Formula!C118*(INDEX(Properties!A$1:CB$87,Formula!B118,57))+Formula!E118*(INDEX(Properties!A$1:CB$87,Formula!D118,57))+Formula!G118*(INDEX(Properties!A$1:CB$87,Formula!F118,57))+Formula!I118*(INDEX(Properties!A$1:CB$87,Formula!H118,57))+Formula!K118*(INDEX(Properties!A$1:CB$87,Formula!J118,57))</f>
        <v>112.63354</v>
      </c>
      <c r="FV118" s="60">
        <f>VARP(IF(INDEX(Properties!A$1:CB$87,Formula!B118,57)&lt;&gt;"",INDEX(Properties!A$1:CB$87,Formula!B118,57)),IF(INDEX(Properties!A$1:CB$87,Formula!D118,57)&lt;&gt;"",INDEX(Properties!A$1:CB$87,Formula!D118,57)),IF(INDEX(Properties!A$1:CB$87,Formula!F118,57)&lt;&gt;"",INDEX(Properties!A$1:CB$87,Formula!F118,57)),IF(INDEX(Properties!A$1:CB$87,Formula!H118,57)&lt;&gt;"",INDEX(Properties!A$1:CB$87,Formula!H118,57)),IF(INDEX(Properties!A$1:CB$87,Formula!J118,57)&lt;&gt;"",INDEX(Properties!A$1:CB$87,Formula!J118,57)))</f>
        <v>368.73723974369614</v>
      </c>
      <c r="FW118" s="60">
        <f>MAX(INDEX(Properties!A$1:CB$87,Formula!B118,57),INDEX(Properties!A$1:CB$87,Formula!D118,57),INDEX(Properties!A$1:CB$87,Formula!F118,57),INDEX(Properties!A$1:CB$87,Formula!H118,57),INDEX(Properties!A$1:CB$87,Formula!J118,57))</f>
        <v>50.2</v>
      </c>
      <c r="FX118" s="60">
        <f>MIN(IF(INDEX(Properties!A$1:CB$87,Formula!B118,57)=0,10^6,INDEX(Properties!A$1:CB$87,Formula!B118,57)),IF(INDEX(Properties!A$1:CB$87,Formula!D118,57)=0,10^6,INDEX(Properties!A$1:CB$87,Formula!D118,57)),IF(INDEX(Properties!A$1:CB$87,Formula!F118,57)=0,10^6,INDEX(Properties!A$1:CB$87,Formula!F118,57)),IF(INDEX(Properties!A$1:CB$87,Formula!H118,57)=0,10^6,INDEX(Properties!A$1:CB$87,Formula!H118,57)),IF(INDEX(Properties!A$1:CB$87,Formula!J118,57)=0,10^6,INDEX(Properties!A$1:CB$87,Formula!J118,57)))</f>
        <v>0.22259000000000001</v>
      </c>
      <c r="FY118" s="60">
        <f t="shared" si="61"/>
        <v>49.977410000000006</v>
      </c>
      <c r="FZ118" s="72">
        <f>((Formula!C118)/(Formula!C118+Formula!E118+Formula!G118+Formula!I118+Formula!K118))*(INDEX(Properties!A$1:CB$87,Formula!B118,60))+((Formula!E118)/(Formula!C118+Formula!E118+Formula!G118+Formula!I118+Formula!K118))*(INDEX(Properties!A$1:CB$87,Formula!D118,60))+((Formula!G118)/(Formula!C118+Formula!E118+Formula!G118+Formula!I118+Formula!K118))*(INDEX(Properties!A$1:CB$87,Formula!F118,60))+((Formula!I118)/(Formula!C118+Formula!E118+Formula!G118+Formula!I118+Formula!K118))*(INDEX(Properties!A$1:CB$87,Formula!H118,60))+((Formula!K118)/(Formula!C118+Formula!E118+Formula!G118+Formula!I118+Formula!K118))*(INDEX(Properties!A$1:CB$87,Formula!J118,60))</f>
        <v>23.046044000000002</v>
      </c>
      <c r="GA118" s="72">
        <f>Formula!C118*(INDEX(Properties!A$1:CB$87,Formula!B118,60))+Formula!E118*(INDEX(Properties!A$1:CB$87,Formula!D118,60))+Formula!G118*(INDEX(Properties!A$1:CB$87,Formula!F118,60))+Formula!I118*(INDEX(Properties!A$1:CB$87,Formula!H118,60))+Formula!K118*(INDEX(Properties!A$1:CB$87,Formula!J118,60))</f>
        <v>230.46044000000001</v>
      </c>
      <c r="GB118" s="72">
        <f>VARP(IF(INDEX(Properties!A$1:CB$87,Formula!B118,60)&lt;&gt;"",INDEX(Properties!A$1:CB$87,Formula!B118,60)),IF(INDEX(Properties!A$1:CB$87,Formula!D118,60)&lt;&gt;"",INDEX(Properties!A$1:CB$87,Formula!D118,60)),IF(INDEX(Properties!A$1:CB$87,Formula!F118,60)&lt;&gt;"",INDEX(Properties!A$1:CB$87,Formula!F118,60)),IF(INDEX(Properties!A$1:CB$87,Formula!H118,60)&lt;&gt;"",INDEX(Properties!A$1:CB$87,Formula!H118,60)),IF(INDEX(Properties!A$1:CB$87,Formula!J118,60)&lt;&gt;"",INDEX(Properties!A$1:CB$87,Formula!J118,60)))</f>
        <v>2717.547615044416</v>
      </c>
      <c r="GC118" s="72">
        <f>MAX(INDEX(Properties!A$1:CB$87,Formula!B118,60),INDEX(Properties!A$1:CB$87,Formula!D118,60),INDEX(Properties!A$1:CB$87,Formula!F118,60),INDEX(Properties!A$1:CB$87,Formula!H118,60),INDEX(Properties!A$1:CB$87,Formula!J118,60))</f>
        <v>141</v>
      </c>
      <c r="GD118" s="72">
        <f>MIN(IF(INDEX(Properties!A$1:CB$87,Formula!B118,60)=0,10^6,INDEX(Properties!A$1:CB$87,Formula!B118,60)),IF(INDEX(Properties!A$1:CB$87,Formula!D118,60)=0,10^6,INDEX(Properties!A$1:CB$87,Formula!D118,60)),IF(INDEX(Properties!A$1:CB$87,Formula!F118,60)=0,10^6,INDEX(Properties!A$1:CB$87,Formula!F118,60)),IF(INDEX(Properties!A$1:CB$87,Formula!H118,60)=0,10^6,INDEX(Properties!A$1:CB$87,Formula!H118,60)),IF(INDEX(Properties!A$1:CB$87,Formula!J118,60)=0,10^6,INDEX(Properties!A$1:CB$87,Formula!J118,60)))</f>
        <v>2.674E-2</v>
      </c>
      <c r="GE118" s="72">
        <f t="shared" si="62"/>
        <v>140.97326000000001</v>
      </c>
      <c r="GF118" s="51">
        <f>((Formula!C118)/(Formula!C118+Formula!E118+Formula!G118+Formula!I118+Formula!K118))*(INDEX(Properties!A$1:CB$87,Formula!B118,62))+((Formula!E118)/(Formula!C118+Formula!E118+Formula!G118+Formula!I118+Formula!K118))*(INDEX(Properties!A$1:CB$87,Formula!D118,62))+((Formula!G118)/(Formula!C118+Formula!E118+Formula!G118+Formula!I118+Formula!K118))*(INDEX(Properties!A$1:CB$87,Formula!F118,62))+((Formula!I118)/(Formula!C118+Formula!E118+Formula!G118+Formula!I118+Formula!K118))*(INDEX(Properties!A$1:CB$87,Formula!H118,62))+((Formula!K118)/(Formula!C118+Formula!E118+Formula!G118+Formula!I118+Formula!K118))*(INDEX(Properties!A$1:CB$87,Formula!J118,62))</f>
        <v>3.0173000000000001</v>
      </c>
      <c r="GG118" s="51">
        <f>Formula!C118*(INDEX(Properties!A$1:CB$87,Formula!B118,62))+Formula!E118*(INDEX(Properties!A$1:CB$87,Formula!D118,62))+Formula!G118*(INDEX(Properties!A$1:CB$87,Formula!F118,62))+Formula!I118*(INDEX(Properties!A$1:CB$87,Formula!H118,62))+Formula!K118*(INDEX(Properties!A$1:CB$87,Formula!J118,62))</f>
        <v>30.173000000000002</v>
      </c>
      <c r="GH118" s="51">
        <f>VARP(IF(INDEX(Properties!A$1:CB$87,Formula!B118,62)&lt;&gt;"",INDEX(Properties!A$1:CB$87,Formula!B118,62)),IF(INDEX(Properties!A$1:CB$87,Formula!D118,62)&lt;&gt;"",INDEX(Properties!A$1:CB$87,Formula!D118,62)),IF(INDEX(Properties!A$1:CB$87,Formula!F118,62)&lt;&gt;"",INDEX(Properties!A$1:CB$87,Formula!F118,62)),IF(INDEX(Properties!A$1:CB$87,Formula!H118,62)&lt;&gt;"",INDEX(Properties!A$1:CB$87,Formula!H118,62)),IF(INDEX(Properties!A$1:CB$87,Formula!J118,62)&lt;&gt;"",INDEX(Properties!A$1:CB$87,Formula!J118,62)))</f>
        <v>3.8893270399999991</v>
      </c>
      <c r="GI118" s="51">
        <f>MAX(INDEX(Properties!A$1:CB$87,Formula!B118,62),INDEX(Properties!A$1:CB$87,Formula!D118,62),INDEX(Properties!A$1:CB$87,Formula!F118,62),INDEX(Properties!A$1:CB$87,Formula!H118,62),INDEX(Properties!A$1:CB$87,Formula!J118,62))</f>
        <v>5.81</v>
      </c>
      <c r="GJ118" s="51">
        <f>MIN(IF(INDEX(Properties!A$1:CB$87,Formula!B118,62)=0,10^6,INDEX(Properties!A$1:CB$87,Formula!B118,62)),IF(INDEX(Properties!A$1:CB$87,Formula!D118,62)=0,10^6,INDEX(Properties!A$1:CB$87,Formula!D118,62)),IF(INDEX(Properties!A$1:CB$87,Formula!F118,62)=0,10^6,INDEX(Properties!A$1:CB$87,Formula!F118,62)),IF(INDEX(Properties!A$1:CB$87,Formula!H118,62)=0,10^6,INDEX(Properties!A$1:CB$87,Formula!H118,62)),IF(INDEX(Properties!A$1:CB$87,Formula!J118,62)=0,10^6,INDEX(Properties!A$1:CB$87,Formula!J118,62)))</f>
        <v>1.113</v>
      </c>
      <c r="GK118" s="51">
        <f t="shared" si="63"/>
        <v>4.6969999999999992</v>
      </c>
      <c r="GL118" s="51">
        <f>Formula!P118</f>
        <v>1</v>
      </c>
      <c r="GM118" s="57">
        <f>Formula!O118</f>
        <v>1</v>
      </c>
      <c r="GN118" s="51">
        <f>Formula!N118</f>
        <v>5.0000000000000001E-3</v>
      </c>
    </row>
    <row r="119" spans="1:196" x14ac:dyDescent="0.3">
      <c r="A119" s="84" t="str">
        <f>Formula!A119</f>
        <v>SrCaSiO4</v>
      </c>
      <c r="B119" s="89">
        <f>((Formula!C119)/(Formula!C119+Formula!E119+Formula!G119+Formula!I119+Formula!K119))*(INDEX(Properties!A$1:CB$87,Formula!B119,3))+((Formula!E119)/(Formula!C119+Formula!E119+Formula!G119+Formula!I119+Formula!K119))*(INDEX(Properties!A$1:CB$87,Formula!D119,3))+((Formula!G119)/(Formula!C119+Formula!E119+Formula!G119+Formula!I119+Formula!K119))*(INDEX(Properties!A$1:CB$87,Formula!F119,3))+((Formula!I119)/(Formula!C119+Formula!E119+Formula!G119+Formula!I119+Formula!K119))*(INDEX(Properties!A$1:CB$87,Formula!H119,3))+((Formula!K119)/(Formula!C119+Formula!E119+Formula!G119+Formula!I119+Formula!K119))*(INDEX(Properties!A$1:CB$87,Formula!J119,3))</f>
        <v>31.397300000000001</v>
      </c>
      <c r="C119" s="85">
        <f>Formula!C119*(INDEX(Properties!A$1:CB$87,Formula!B119,3))+Formula!E119*(INDEX(Properties!A$1:CB$87,Formula!D119,3))+Formula!G119*(INDEX(Properties!A$1:CB$87,Formula!F119,3))+Formula!I119*(INDEX(Properties!A$1:CB$87,Formula!H119,3))+Formula!K119*(INDEX(Properties!A$1:CB$87,Formula!J119,3))</f>
        <v>219.78110000000001</v>
      </c>
      <c r="D119" s="85">
        <f>VARP(IF(INDEX(Properties!A$1:CB$87,Formula!B119,3)&lt;&gt;"",INDEX(Properties!A$1:CB$87,Formula!B119,3)),IF(INDEX(Properties!A$1:CB$87,Formula!D119,3)&lt;&gt;"",INDEX(Properties!A$1:CB$87,Formula!D119,3)),IF(INDEX(Properties!A$1:CB$87,Formula!F119,3)&lt;&gt;"",INDEX(Properties!A$1:CB$87,Formula!F119,3)),IF(INDEX(Properties!A$1:CB$87,Formula!H119,3)&lt;&gt;"",INDEX(Properties!A$1:CB$87,Formula!H119,3)),IF(INDEX(Properties!A$1:CB$87,Formula!J119,3)&lt;&gt;"",INDEX(Properties!A$1:CB$87,Formula!J119,3)))</f>
        <v>885.28272962559993</v>
      </c>
      <c r="E119" s="85">
        <f>MAX(INDEX(Properties!A$1:CB$87,Formula!B119,3),INDEX(Properties!A$1:CB$87,Formula!D119,3),INDEX(Properties!A$1:CB$87,Formula!F119,3),INDEX(Properties!A$1:CB$87,Formula!H119,3),INDEX(Properties!A$1:CB$87,Formula!J119,3))</f>
        <v>87.62</v>
      </c>
      <c r="F119" s="85">
        <f>MIN(IF(INDEX(Properties!A$1:CB$87,Formula!B119,3)=0,10^6,INDEX(Properties!A$1:CB$87,Formula!B119,3)),IF(INDEX(Properties!A$1:CB$87,Formula!D119,3)=0,10^6,INDEX(Properties!A$1:CB$87,Formula!D119,3)),IF(INDEX(Properties!A$1:CB$87,Formula!F119,3)=0,10^6,INDEX(Properties!A$1:CB$87,Formula!F119,3)),IF(INDEX(Properties!A$1:CB$87,Formula!H119,3)=0,10^6,INDEX(Properties!A$1:CB$87,Formula!H119,3)),IF(INDEX(Properties!A$1:CB$87,Formula!J119,3)=0,10^6,INDEX(Properties!A$1:CB$87,Formula!J119,3)))</f>
        <v>15.9994</v>
      </c>
      <c r="G119" s="85">
        <f t="shared" si="32"/>
        <v>71.62060000000001</v>
      </c>
      <c r="H119" s="87">
        <f>((Formula!C119)/(Formula!C119+Formula!E119+Formula!G119+Formula!I119+Formula!K119))*(INDEX(Properties!A$1:CB$87,Formula!B119,4))+((Formula!E119)/(Formula!C119+Formula!E119+Formula!G119+Formula!I119+Formula!K119))*(INDEX(Properties!A$1:CB$87,Formula!D119,4))+((Formula!G119)/(Formula!C119+Formula!E119+Formula!G119+Formula!I119+Formula!K119))*(INDEX(Properties!A$1:CB$87,Formula!F119,4))+((Formula!I119)/(Formula!C119+Formula!E119+Formula!G119+Formula!I119+Formula!K119))*(INDEX(Properties!A$1:CB$87,Formula!H119,4))+((Formula!K119)/(Formula!C119+Formula!E119+Formula!G119+Formula!I119+Formula!K119))*(INDEX(Properties!A$1:CB$87,Formula!J119,4))</f>
        <v>14.857142857142856</v>
      </c>
      <c r="I119" s="87">
        <f>Formula!C119*(INDEX(Properties!A$1:CB$87,Formula!B119,4))+Formula!E119*(INDEX(Properties!A$1:CB$87,Formula!D119,4))+Formula!G119*(INDEX(Properties!A$1:CB$87,Formula!F119,4))+Formula!I119*(INDEX(Properties!A$1:CB$87,Formula!H119,4))+Formula!K119*(INDEX(Properties!A$1:CB$87,Formula!J119,4))</f>
        <v>104</v>
      </c>
      <c r="J119" s="87">
        <f>VARP(IF(INDEX(Properties!A$1:CB$87,Formula!B119,4)&lt;&gt;"",INDEX(Properties!A$1:CB$87,Formula!B119,4)),IF(INDEX(Properties!A$1:CB$87,Formula!D119,4)&lt;&gt;"",INDEX(Properties!A$1:CB$87,Formula!D119,4)),IF(INDEX(Properties!A$1:CB$87,Formula!F119,4)&lt;&gt;"",INDEX(Properties!A$1:CB$87,Formula!F119,4)),IF(INDEX(Properties!A$1:CB$87,Formula!H119,4)&lt;&gt;"",INDEX(Properties!A$1:CB$87,Formula!H119,4)),IF(INDEX(Properties!A$1:CB$87,Formula!J119,4)&lt;&gt;"",INDEX(Properties!A$1:CB$87,Formula!J119,4)))</f>
        <v>164.8</v>
      </c>
      <c r="K119" s="87">
        <f>MAX(INDEX(Properties!A$1:CB$87,Formula!B119,4),INDEX(Properties!A$1:CB$87,Formula!D119,4),INDEX(Properties!A$1:CB$87,Formula!F119,4),INDEX(Properties!A$1:CB$87,Formula!H119,4),INDEX(Properties!A$1:CB$87,Formula!J119,4))</f>
        <v>38</v>
      </c>
      <c r="L119" s="87">
        <f>MIN(IF(INDEX(Properties!A$1:CB$87,Formula!B119,4)=0,10^6,INDEX(Properties!A$1:CB$87,Formula!B119,4)),IF(INDEX(Properties!A$1:CB$87,Formula!D119,4)=0,10^6,INDEX(Properties!A$1:CB$87,Formula!D119,4)),IF(INDEX(Properties!A$1:CB$87,Formula!F119,4)=0,10^6,INDEX(Properties!A$1:CB$87,Formula!F119,4)),IF(INDEX(Properties!A$1:CB$87,Formula!H119,4)=0,10^6,INDEX(Properties!A$1:CB$87,Formula!H119,4)),IF(INDEX(Properties!A$1:CB$87,Formula!J119,4)=0,10^6,INDEX(Properties!A$1:CB$87,Formula!J119,4)))</f>
        <v>8</v>
      </c>
      <c r="M119" s="87">
        <f t="shared" si="33"/>
        <v>30</v>
      </c>
      <c r="N119" s="89">
        <f>((Formula!C119)/(Formula!C119+Formula!E119+Formula!G119+Formula!I119+Formula!K119))*(INDEX(Properties!A$1:CB$87,Formula!B119,5))+((Formula!E119)/(Formula!C119+Formula!E119+Formula!G119+Formula!I119+Formula!K119))*(INDEX(Properties!A$1:CB$87,Formula!D119,5))+((Formula!G119)/(Formula!C119+Formula!E119+Formula!G119+Formula!I119+Formula!K119))*(INDEX(Properties!A$1:CB$87,Formula!F119,5))+((Formula!I119)/(Formula!C119+Formula!E119+Formula!G119+Formula!I119+Formula!K119))*(INDEX(Properties!A$1:CB$87,Formula!H119,5))+((Formula!K119)/(Formula!C119+Formula!E119+Formula!G119+Formula!I119+Formula!K119))*(INDEX(Properties!A$1:CB$87,Formula!J119,5))</f>
        <v>2.8571428571428568</v>
      </c>
      <c r="O119" s="89">
        <f>Formula!C119*(INDEX(Properties!A$1:CB$87,Formula!B119,5))+Formula!E119*(INDEX(Properties!A$1:CB$87,Formula!D119,5))+Formula!G119*(INDEX(Properties!A$1:CB$87,Formula!F119,5))+Formula!I119*(INDEX(Properties!A$1:CB$87,Formula!H119,5))+Formula!K119*(INDEX(Properties!A$1:CB$87,Formula!J119,5))</f>
        <v>20</v>
      </c>
      <c r="P119" s="89">
        <f>VARP(IF(INDEX(Properties!A$1:CB$87,Formula!B119,5)&lt;&gt;"",INDEX(Properties!A$1:CB$87,Formula!B119,5)),IF(INDEX(Properties!A$1:CB$87,Formula!D119,5)&lt;&gt;"",INDEX(Properties!A$1:CB$87,Formula!D119,5)),IF(INDEX(Properties!A$1:CB$87,Formula!F119,5)&lt;&gt;"",INDEX(Properties!A$1:CB$87,Formula!F119,5)),IF(INDEX(Properties!A$1:CB$87,Formula!H119,5)&lt;&gt;"",INDEX(Properties!A$1:CB$87,Formula!H119,5)),IF(INDEX(Properties!A$1:CB$87,Formula!J119,5)&lt;&gt;"",INDEX(Properties!A$1:CB$87,Formula!J119,5)))</f>
        <v>2.96</v>
      </c>
      <c r="Q119" s="89">
        <f>MAX(INDEX(Properties!A$1:CB$87,Formula!B119,5),INDEX(Properties!A$1:CB$87,Formula!D119,5),INDEX(Properties!A$1:CB$87,Formula!F119,5),INDEX(Properties!A$1:CB$87,Formula!H119,5),INDEX(Properties!A$1:CB$87,Formula!J119,5))</f>
        <v>5</v>
      </c>
      <c r="R119" s="89">
        <f>MIN(IF(INDEX(Properties!A$1:CB$87,Formula!B119,5)=0,10^6,INDEX(Properties!A$1:CB$87,Formula!B119,5)),IF(INDEX(Properties!A$1:CB$87,Formula!D119,5)=0,10^6,INDEX(Properties!A$1:CB$87,Formula!D119,5)),IF(INDEX(Properties!A$1:CB$87,Formula!F119,5)=0,10^6,INDEX(Properties!A$1:CB$87,Formula!F119,5)),IF(INDEX(Properties!A$1:CB$87,Formula!H119,5)=0,10^6,INDEX(Properties!A$1:CB$87,Formula!H119,5)),IF(INDEX(Properties!A$1:CB$87,Formula!J119,5)=0,10^6,INDEX(Properties!A$1:CB$87,Formula!J119,5)))</f>
        <v>2</v>
      </c>
      <c r="S119" s="89">
        <f t="shared" si="34"/>
        <v>3</v>
      </c>
      <c r="T119" s="60">
        <f>((Formula!C119)/(Formula!C119+Formula!E119+Formula!G119+Formula!I119+Formula!K119))*(INDEX(Properties!A$1:CB$87,Formula!B119,6))+((Formula!E119)/(Formula!C119+Formula!E119+Formula!G119+Formula!I119+Formula!K119))*(INDEX(Properties!A$1:CB$87,Formula!D119,6))+((Formula!G119)/(Formula!C119+Formula!E119+Formula!G119+Formula!I119+Formula!K119))*(INDEX(Properties!A$1:CB$87,Formula!F119,6))+((Formula!I119)/(Formula!C119+Formula!E119+Formula!G119+Formula!I119+Formula!K119))*(INDEX(Properties!A$1:CB$87,Formula!H119,6))+((Formula!K119)/(Formula!C119+Formula!E119+Formula!G119+Formula!I119+Formula!K119))*(INDEX(Properties!A$1:CB$87,Formula!J119,6))</f>
        <v>11.714285714285714</v>
      </c>
      <c r="U119" s="60">
        <f>Formula!C119*(INDEX(Properties!A$1:CB$87,Formula!B119,6))+Formula!E119*(INDEX(Properties!A$1:CB$87,Formula!D119,6))+Formula!G119*(INDEX(Properties!A$1:CB$87,Formula!F119,6))+Formula!I119*(INDEX(Properties!A$1:CB$87,Formula!H119,6))+Formula!K119*(INDEX(Properties!A$1:CB$87,Formula!J119,6))</f>
        <v>82</v>
      </c>
      <c r="V119" s="89">
        <f>VARP(IF(INDEX(Properties!A$1:CB$87,Formula!B119,6)&lt;&gt;"",INDEX(Properties!A$1:CB$87,Formula!B119,6)),IF(INDEX(Properties!A$1:CB$87,Formula!D119,6)&lt;&gt;"",INDEX(Properties!A$1:CB$87,Formula!D119,6)),IF(INDEX(Properties!A$1:CB$87,Formula!F119,6)&lt;&gt;"",INDEX(Properties!A$1:CB$87,Formula!F119,6)),IF(INDEX(Properties!A$1:CB$87,Formula!H119,6)&lt;&gt;"",INDEX(Properties!A$1:CB$87,Formula!H119,6)),IF(INDEX(Properties!A$1:CB$87,Formula!J119,6)&lt;&gt;"",INDEX(Properties!A$1:CB$87,Formula!J119,6)))</f>
        <v>45.76</v>
      </c>
      <c r="W119" s="60">
        <f>MAX(INDEX(Properties!A$1:CB$87,Formula!B119,6),INDEX(Properties!A$1:CB$87,Formula!D119,6),INDEX(Properties!A$1:CB$87,Formula!F119,6),INDEX(Properties!A$1:CB$87,Formula!H119,4),INDEX(Properties!A$1:CB$87,Formula!J119,6))</f>
        <v>14</v>
      </c>
      <c r="X119" s="60">
        <f>MIN(IF(INDEX(Properties!A$1:CB$87,Formula!B119,6)=0,10^6,INDEX(Properties!A$1:CB$87,Formula!B119,6)),IF(INDEX(Properties!A$1:CB$87,Formula!D119,6)=0,10^6,INDEX(Properties!A$1:CB$87,Formula!D119,6)),IF(INDEX(Properties!A$1:CB$87,Formula!F119,6)=0,10^6,INDEX(Properties!A$1:CB$87,Formula!F119,6)),IF(INDEX(Properties!A$1:CB$87,Formula!H119,6)=0,10^6,INDEX(Properties!A$1:CB$87,Formula!H119,6)),IF(INDEX(Properties!A$1:CB$87,Formula!J119,6)=0,10^6,INDEX(Properties!A$1:CB$87,Formula!J119,6)))</f>
        <v>2</v>
      </c>
      <c r="Y119" s="60">
        <f t="shared" si="35"/>
        <v>12</v>
      </c>
      <c r="Z119" s="72">
        <f>((Formula!C119)/(Formula!C119+Formula!E119+Formula!G119+Formula!I119+Formula!K119))*(INDEX(Properties!A$1:CB$87,Formula!B119,9))+((Formula!E119)/(Formula!C119+Formula!E119+Formula!G119+Formula!I119+Formula!K119))*(INDEX(Properties!A$1:CB$87,Formula!D119,9))+((Formula!G119)/(Formula!C119+Formula!E119+Formula!G119+Formula!I119+Formula!K119))*(INDEX(Properties!A$1:CB$87,Formula!F119,9))+((Formula!I119)/(Formula!C119+Formula!E119+Formula!G119+Formula!I119+Formula!K119))*(INDEX(Properties!A$1:CB$87,Formula!H119,9))+((Formula!K119)/(Formula!C119+Formula!E119+Formula!G119+Formula!I119+Formula!K119))*(INDEX(Properties!A$1:CB$87,Formula!J119,9))</f>
        <v>62.999999999999993</v>
      </c>
      <c r="AA119" s="72">
        <f>Formula!C119*(INDEX(Properties!A$1:CB$87,Formula!B119,9))+Formula!E119*(INDEX(Properties!A$1:CB$87,Formula!D119,9))+Formula!G119*(INDEX(Properties!A$1:CB$87,Formula!F119,9))+Formula!I119*(INDEX(Properties!A$1:CB$87,Formula!H119,9))+Formula!K119*(INDEX(Properties!A$1:CB$87,Formula!J119,9))</f>
        <v>441</v>
      </c>
      <c r="AB119" s="72">
        <f>VARP(IF(INDEX(Properties!A$1:CB$87,Formula!B119,9)&lt;&gt;"",INDEX(Properties!A$1:CB$87,Formula!B119,9)),IF(INDEX(Properties!A$1:CB$87,Formula!D119,9)&lt;&gt;"",INDEX(Properties!A$1:CB$87,Formula!D119,9)),IF(INDEX(Properties!A$1:CB$87,Formula!F119,9)&lt;&gt;"",INDEX(Properties!A$1:CB$87,Formula!F119,9)),IF(INDEX(Properties!A$1:CB$87,Formula!H119,9)&lt;&gt;"",INDEX(Properties!A$1:CB$87,Formula!H119,9)),IF(INDEX(Properties!A$1:CB$87,Formula!J119,9)&lt;&gt;"",INDEX(Properties!A$1:CB$87,Formula!J119,9)))</f>
        <v>1457.2</v>
      </c>
      <c r="AC119" s="72">
        <f>MAX(INDEX(Properties!A$1:CB$87,Formula!B119,9),INDEX(Properties!A$1:CB$87,Formula!D119,9),INDEX(Properties!A$1:CB$87,Formula!F119,9),INDEX(Properties!A$1:CB$87,Formula!H119,9),INDEX(Properties!A$1:CB$87,Formula!J119,9))</f>
        <v>87</v>
      </c>
      <c r="AD119" s="72">
        <f>MIN(IF(INDEX(Properties!A$1:CB$87,Formula!B119,9)=0,10^6,INDEX(Properties!A$1:CB$87,Formula!B119,9)),IF(INDEX(Properties!A$1:CB$87,Formula!D119,9)=0,10^6,INDEX(Properties!A$1:CB$87,Formula!D119,9)),IF(INDEX(Properties!A$1:CB$87,Formula!F119,9)=0,10^6,INDEX(Properties!A$1:CB$87,Formula!F119,9)),IF(INDEX(Properties!A$1:CB$87,Formula!H119,9)=0,10^6,INDEX(Properties!A$1:CB$87,Formula!H119,9)),IF(INDEX(Properties!A$1:CB$87,Formula!J119,9)=0,10^6,INDEX(Properties!A$1:CB$87,Formula!J119,9)))</f>
        <v>7</v>
      </c>
      <c r="AE119" s="72">
        <f t="shared" si="36"/>
        <v>80</v>
      </c>
      <c r="AF119" s="51">
        <f>((Formula!C119)/(Formula!C119+Formula!E119+Formula!G119+Formula!I119+Formula!K119))*(INDEX(Properties!A$1:CB$87,Formula!B119,10))+((Formula!E119)/(Formula!C119+Formula!E119+Formula!G119+Formula!I119+Formula!K119))*(INDEX(Properties!A$1:CB$87,Formula!D119,10))+((Formula!G119)/(Formula!C119+Formula!E119+Formula!G119+Formula!I119+Formula!K119))*(INDEX(Properties!A$1:CB$87,Formula!F119,10))+((Formula!I119)/(Formula!C119+Formula!E119+Formula!G119+Formula!I119+Formula!K119))*(INDEX(Properties!A$1:CB$87,Formula!H119,10))+((Formula!K119)/(Formula!C119+Formula!E119+Formula!G119+Formula!I119+Formula!K119))*(INDEX(Properties!A$1:CB$87,Formula!J119,10))</f>
        <v>5.4285714285714288</v>
      </c>
      <c r="AG119" s="51">
        <f>Formula!C119*(INDEX(Properties!A$1:CB$87,Formula!B119,10))+Formula!E119*(INDEX(Properties!A$1:CB$87,Formula!D119,10))+Formula!G119*(INDEX(Properties!A$1:CB$87,Formula!F119,10))+Formula!I119*(INDEX(Properties!A$1:CB$87,Formula!H119,10))+Formula!K119*(INDEX(Properties!A$1:CB$87,Formula!J119,10))</f>
        <v>38</v>
      </c>
      <c r="AH119" s="51">
        <f>VARP(IF(INDEX(Properties!A$1:CB$87,Formula!B119,10)&lt;&gt;"",INDEX(Properties!A$1:CB$87,Formula!B119,10)),IF(INDEX(Properties!A$1:CB$87,Formula!D119,10)&lt;&gt;"",INDEX(Properties!A$1:CB$87,Formula!D119,10)),IF(INDEX(Properties!A$1:CB$87,Formula!F119,10)&lt;&gt;"",INDEX(Properties!A$1:CB$87,Formula!F119,10)),IF(INDEX(Properties!A$1:CB$87,Formula!H119,10)&lt;&gt;"",INDEX(Properties!A$1:CB$87,Formula!H119,10)),IF(INDEX(Properties!A$1:CB$87,Formula!J119,10)&lt;&gt;"",INDEX(Properties!A$1:CB$87,Formula!J119,10)))</f>
        <v>7.04</v>
      </c>
      <c r="AI119" s="51">
        <f>MAX(INDEX(Properties!A$1:CB$87,Formula!B119,10),INDEX(Properties!A$1:CB$87,Formula!D119,10),INDEX(Properties!A$1:CB$87,Formula!F119,10),INDEX(Properties!A$1:CB$87,Formula!H119,10),INDEX(Properties!A$1:CB$87,Formula!J119,10))</f>
        <v>7</v>
      </c>
      <c r="AJ119" s="51">
        <f>MIN(IF(INDEX(Properties!A$1:CB$87,Formula!B119,10)=0,10^6,INDEX(Properties!A$1:CB$87,Formula!B119,10)),IF(INDEX(Properties!A$1:CB$87,Formula!D119,10)=0,10^6,INDEX(Properties!A$1:CB$87,Formula!D119,10)),IF(INDEX(Properties!A$1:CB$87,Formula!F119,10)=0,10^6,INDEX(Properties!A$1:CB$87,Formula!F119,10)),IF(INDEX(Properties!A$1:CB$87,Formula!H119,10)=0,10^6,INDEX(Properties!A$1:CB$87,Formula!H119,10)),IF(INDEX(Properties!A$1:CB$87,Formula!J119,10)=0,10^6,INDEX(Properties!A$1:CB$87,Formula!J119,10)))</f>
        <v>2</v>
      </c>
      <c r="AK119" s="51">
        <f t="shared" si="37"/>
        <v>5</v>
      </c>
      <c r="AL119" s="57">
        <f>((Formula!C119)/(Formula!C119+Formula!E119+Formula!G119+Formula!I119+Formula!K119))*(INDEX(Properties!A$1:CB$87,Formula!B119,11))+((Formula!E119)/(Formula!C119+Formula!E119+Formula!G119+Formula!I119+Formula!K119))*(INDEX(Properties!A$1:CB$87,Formula!D119,11))+((Formula!G119)/(Formula!C119+Formula!E119+Formula!G119+Formula!I119+Formula!K119))*(INDEX(Properties!A$1:CB$87,Formula!F119,11))+((Formula!I119)/(Formula!C119+Formula!E119+Formula!G119+Formula!I119+Formula!K119))*(INDEX(Properties!A$1:CB$87,Formula!H119,11))+((Formula!K119)/(Formula!C119+Formula!E119+Formula!G119+Formula!I119+Formula!K119))*(INDEX(Properties!A$1:CB$87,Formula!J119,11))</f>
        <v>2</v>
      </c>
      <c r="AM119" s="57">
        <f>Formula!C119*(INDEX(Properties!A$1:CB$87,Formula!B119,11))+Formula!E119*(INDEX(Properties!A$1:CB$87,Formula!D119,11))+Formula!G119*(INDEX(Properties!A$1:CB$87,Formula!F119,11))+Formula!I119*(INDEX(Properties!A$1:CB$87,Formula!H119,11))+Formula!K119*(INDEX(Properties!A$1:CB$87,Formula!J119,11))</f>
        <v>14</v>
      </c>
      <c r="AN119" s="57">
        <f>VARP(IF(INDEX(Properties!A$1:CB$87,Formula!B119,11)&lt;&gt;"",INDEX(Properties!A$1:CB$87,Formula!B119,11)),IF(INDEX(Properties!A$1:CB$87,Formula!D119,11)&lt;&gt;"",INDEX(Properties!A$1:CB$87,Formula!D119,11)),IF(INDEX(Properties!A$1:CB$87,Formula!F119,11)&lt;&gt;"",INDEX(Properties!A$1:CB$87,Formula!F119,11)),IF(INDEX(Properties!A$1:CB$87,Formula!H119,11)&lt;&gt;"",INDEX(Properties!A$1:CB$87,Formula!H119,11)),IF(INDEX(Properties!A$1:CB$87,Formula!J119,11)&lt;&gt;"",INDEX(Properties!A$1:CB$87,Formula!J119,11)))</f>
        <v>0.64</v>
      </c>
      <c r="AO119" s="57">
        <f>MAX(INDEX(Properties!A$1:CB$87,Formula!B119,11),INDEX(Properties!A$1:CB$87,Formula!D119,11),INDEX(Properties!A$1:CB$87,Formula!F119,11),INDEX(Properties!A$1:CB$87,Formula!H119,11),INDEX(Properties!A$1:CB$87,Formula!J119,11))</f>
        <v>2</v>
      </c>
      <c r="AP119" s="57">
        <f>MIN(IF(Formula!B119=87,10^6,INDEX(Properties!A$1:CB$87,Formula!B119,11)),IF((Formula!D119)=87,10^6,INDEX(Properties!A$1:CB$87,Formula!D119,11)),IF((Formula!F119)=87,10^6,INDEX(Properties!A$1:CB$87,Formula!F119,11)),IF((Formula!H119)=87,10^6,INDEX(Properties!A$1:CB$87,Formula!H119,11)),IF(Formula!J119=87,10^6,INDEX(Properties!A$1:CB$87,Formula!J119,11)))</f>
        <v>2</v>
      </c>
      <c r="AQ119" s="57">
        <f t="shared" si="38"/>
        <v>0</v>
      </c>
      <c r="AR119" s="78">
        <f>((Formula!C119)/(Formula!C119+Formula!E119+Formula!G119+Formula!I119+Formula!K119))*(INDEX(Properties!A$1:CB$87,Formula!B119,12))+((Formula!E119)/(Formula!C119+Formula!E119+Formula!G119+Formula!I119+Formula!K119))*(INDEX(Properties!A$1:CB$87,Formula!D119,12))+((Formula!G119)/(Formula!C119+Formula!E119+Formula!G119+Formula!I119+Formula!K119))*(INDEX(Properties!A$1:CB$87,Formula!F119,12))+((Formula!I119)/(Formula!C119+Formula!E119+Formula!G119+Formula!I119+Formula!K119))*(INDEX(Properties!A$1:CB$87,Formula!H119,12))+((Formula!K119)/(Formula!C119+Formula!E119+Formula!G119+Formula!I119+Formula!K119))*(INDEX(Properties!A$1:CB$87,Formula!J119,12))</f>
        <v>2.5714285714285712</v>
      </c>
      <c r="AS119" s="78">
        <f>Formula!C119*(INDEX(Properties!A$1:CB$87,Formula!B119,12))+Formula!E119*(INDEX(Properties!A$1:CB$87,Formula!D119,12))+Formula!G119*(INDEX(Properties!A$1:CB$87,Formula!F119,12))+Formula!I119*(INDEX(Properties!A$1:CB$87,Formula!H119,12))+Formula!K119*(INDEX(Properties!A$1:CB$87,Formula!J119,12))</f>
        <v>18</v>
      </c>
      <c r="AT119" s="78">
        <f>VARP(IF(INDEX(Properties!A$1:CB$87,Formula!B119,12)&lt;&gt;"",INDEX(Properties!A$1:CB$87,Formula!B119,12)),IF(INDEX(Properties!A$1:CB$87,Formula!D119,12)&lt;&gt;"",INDEX(Properties!A$1:CB$87,Formula!D119,12)),IF(INDEX(Properties!A$1:CB$87,Formula!F119,12)&lt;&gt;"",INDEX(Properties!A$1:CB$87,Formula!F119,12)),IF(INDEX(Properties!A$1:CB$87,Formula!H119,12)&lt;&gt;"",INDEX(Properties!A$1:CB$87,Formula!H119,12)),IF(INDEX(Properties!A$1:CB$87,Formula!J119,12)&lt;&gt;"",INDEX(Properties!A$1:CB$87,Formula!J119,12)))</f>
        <v>2.56</v>
      </c>
      <c r="AU119" s="78">
        <f>MAX(INDEX(Properties!A$1:CB$87,Formula!B119,12),INDEX(Properties!A$1:CB$87,Formula!D119,12),INDEX(Properties!A$1:CB$87,Formula!F119,12),INDEX(Properties!A$1:CB$87,Formula!H119,12),INDEX(Properties!A$1:CB$87,Formula!J119,12))</f>
        <v>4</v>
      </c>
      <c r="AV119" s="78">
        <f>MIN(IF(Formula!B119=87,10^6,INDEX(Properties!A$1:CB$87,Formula!B119,12)),IF((Formula!D119)=87,10^6,INDEX(Properties!A$1:CB$87,Formula!D119,12)),IF((Formula!F119)=87,10^6,INDEX(Properties!A$1:CB$87,Formula!F119,12)),IF((Formula!H119)=87,10^6,INDEX(Properties!A$1:CB$87,Formula!H119,12)),IF(Formula!J119=87,10^6,INDEX(Properties!A$1:CB$87,Formula!J119,12)))</f>
        <v>0</v>
      </c>
      <c r="AW119" s="78">
        <f t="shared" si="39"/>
        <v>4</v>
      </c>
      <c r="AX119" s="45">
        <f>((Formula!C119)/(Formula!C119+Formula!E119+Formula!G119+Formula!I119+Formula!K119))*(INDEX(Properties!A$1:CB$87,Formula!B119,13))+((Formula!E119)/(Formula!C119+Formula!E119+Formula!G119+Formula!I119+Formula!K119))*(INDEX(Properties!A$1:CB$87,Formula!D119,13))+((Formula!G119)/(Formula!C119+Formula!E119+Formula!G119+Formula!I119+Formula!K119))*(INDEX(Properties!A$1:CB$87,Formula!F119,13))+((Formula!I119)/(Formula!C119+Formula!E119+Formula!G119+Formula!I119+Formula!K119))*(INDEX(Properties!A$1:CB$87,Formula!H119,13))+((Formula!K119)/(Formula!C119+Formula!E119+Formula!G119+Formula!I119+Formula!K119))*(INDEX(Properties!A$1:CB$87,Formula!J119,13))</f>
        <v>0</v>
      </c>
      <c r="AY119" s="45">
        <f>Formula!C119*(INDEX(Properties!A$1:CB$87,Formula!B119,13))+Formula!E119*(INDEX(Properties!A$1:CB$87,Formula!D119,13))+Formula!G119*(INDEX(Properties!A$1:CB$87,Formula!F119,13))+Formula!I119*(INDEX(Properties!A$1:CB$87,Formula!H119,13))+Formula!K119*(INDEX(Properties!A$1:CB$87,Formula!J119,13))</f>
        <v>0</v>
      </c>
      <c r="AZ119" s="45">
        <f>VARP(IF(INDEX(Properties!A$1:CB$87,Formula!B119,13)&lt;&gt;"",INDEX(Properties!A$1:CB$87,Formula!B119,13)),IF(INDEX(Properties!A$1:CB$87,Formula!D119,13)&lt;&gt;"",INDEX(Properties!A$1:CB$87,Formula!D119,13)),IF(INDEX(Properties!A$1:CB$87,Formula!F119,13)&lt;&gt;"",INDEX(Properties!A$1:CB$87,Formula!F119,13)),IF(INDEX(Properties!A$1:CB$87,Formula!H119,13)&lt;&gt;"",INDEX(Properties!A$1:CB$87,Formula!H119,13)),IF(INDEX(Properties!A$1:CB$87,Formula!J119,13)&lt;&gt;"",INDEX(Properties!A$1:CB$87,Formula!J119,13)))</f>
        <v>0</v>
      </c>
      <c r="BA119" s="45">
        <f>MAX(INDEX(Properties!A$1:CB$87,Formula!B119,13),INDEX(Properties!A$1:CB$87,Formula!D119,13),INDEX(Properties!A$1:CB$87,Formula!F119,13),INDEX(Properties!A$1:CB$87,Formula!H119,13),INDEX(Properties!A$1:CB$87,Formula!J119,13))</f>
        <v>0</v>
      </c>
      <c r="BB119" s="45">
        <f>MIN(IF(Formula!B119=87,10^6,INDEX(Properties!A$1:CB$87,Formula!B119,13)),IF((Formula!D119)=87,10^6,INDEX(Properties!A$1:CB$87,Formula!D119,13)),IF((Formula!F119)=87,10^6,INDEX(Properties!A$1:CB$87,Formula!F119,13)),IF((Formula!H119)=87,10^6,INDEX(Properties!A$1:CB$87,Formula!H119,13)),IF(Formula!J119=87,10^6,INDEX(Properties!A$1:CB$87,Formula!J119,13)))</f>
        <v>0</v>
      </c>
      <c r="BC119" s="45">
        <f t="shared" si="40"/>
        <v>0</v>
      </c>
      <c r="BD119" s="63">
        <f>((Formula!C119)/(Formula!C119+Formula!E119+Formula!G119+Formula!I119+Formula!K119))*(INDEX(Properties!A$1:CB$87,Formula!B119,14))+((Formula!E119)/(Formula!C119+Formula!E119+Formula!G119+Formula!I119+Formula!K119))*(INDEX(Properties!A$1:CB$87,Formula!D119,14))+((Formula!G119)/(Formula!C119+Formula!E119+Formula!G119+Formula!I119+Formula!K119))*(INDEX(Properties!A$1:CB$87,Formula!F119,14))+((Formula!I119)/(Formula!C119+Formula!E119+Formula!G119+Formula!I119+Formula!K119))*(INDEX(Properties!A$1:CB$87,Formula!H119,14))+((Formula!K119)/(Formula!C119+Formula!E119+Formula!G119+Formula!I119+Formula!K119))*(INDEX(Properties!A$1:CB$87,Formula!J119,14))</f>
        <v>0</v>
      </c>
      <c r="BE119" s="63">
        <f>Formula!C119*(INDEX(Properties!A$1:CB$87,Formula!B119,14))+Formula!E119*(INDEX(Properties!A$1:CB$87,Formula!D119,14))+Formula!G119*(INDEX(Properties!A$1:CB$87,Formula!F119,14))+Formula!I119*(INDEX(Properties!A$1:CB$87,Formula!H119,14))+Formula!K119*(INDEX(Properties!A$1:CB$87,Formula!J119,14))</f>
        <v>0</v>
      </c>
      <c r="BF119" s="63">
        <f>VARP(IF(INDEX(Properties!A$1:CB$87,Formula!B119,14)&lt;&gt;"",INDEX(Properties!A$1:CB$87,Formula!B119,14)),IF(INDEX(Properties!A$1:CB$87,Formula!D119,14)&lt;&gt;"",INDEX(Properties!A$1:CB$87,Formula!D119,14)),IF(INDEX(Properties!A$1:CB$87,Formula!F119,14)&lt;&gt;"",INDEX(Properties!A$1:CB$87,Formula!F119,14)),IF(INDEX(Properties!A$1:CB$87,Formula!H119,14)&lt;&gt;"",INDEX(Properties!A$1:CB$87,Formula!H119,14)),IF(INDEX(Properties!A$1:CB$87,Formula!J119,14)&lt;&gt;"",INDEX(Properties!A$1:CB$87,Formula!J119,14)))</f>
        <v>0</v>
      </c>
      <c r="BG119" s="63">
        <f>MAX(INDEX(Properties!A$1:CB$87,Formula!B119,14),INDEX(Properties!A$1:CB$87,Formula!D119,14),INDEX(Properties!A$1:CB$87,Formula!F119,14),INDEX(Properties!A$1:CB$87,Formula!H119,14),INDEX(Properties!A$1:CB$87,Formula!J119,14))</f>
        <v>0</v>
      </c>
      <c r="BH119" s="63">
        <f>MIN(IF(Formula!B119=87,10^6,INDEX(Properties!A$1:CB$87,Formula!B119,14)),IF((Formula!D119)=87,10^6,INDEX(Properties!A$1:CB$87,Formula!D119,14)),IF((Formula!F119)=87,10^6,INDEX(Properties!A$1:CB$87,Formula!F119,14)),IF((Formula!H119)=87,10^6,INDEX(Properties!A$1:CB$87,Formula!H119,14)),IF(Formula!J119=87,10^6,INDEX(Properties!A$1:CB$87,Formula!J119,14)))</f>
        <v>0</v>
      </c>
      <c r="BI119" s="63">
        <f t="shared" si="41"/>
        <v>0</v>
      </c>
      <c r="BJ119" s="75">
        <f>((Formula!C119)/(Formula!C119+Formula!E119+Formula!G119+Formula!I119+Formula!K119))*(INDEX(Properties!A$1:CB$87,Formula!B119,19))+((Formula!E119)/(Formula!C119+Formula!E119+Formula!G119+Formula!I119+Formula!K119))*(INDEX(Properties!A$1:CB$87,Formula!D119,19))+((Formula!G119)/(Formula!C119+Formula!E119+Formula!G119+Formula!I119+Formula!K119))*(INDEX(Properties!A$1:CB$87,Formula!F119,19))+((Formula!I119)/(Formula!C119+Formula!E119+Formula!G119+Formula!I119+Formula!K119))*(INDEX(Properties!A$1:CB$87,Formula!H119,19))+((Formula!K119)/(Formula!C119+Formula!E119+Formula!G119+Formula!I119+Formula!K119))*(INDEX(Properties!A$1:CB$87,Formula!J119,19))</f>
        <v>4.5714285714285712</v>
      </c>
      <c r="BK119" s="75">
        <f>Formula!C119*(INDEX(Properties!A$1:CB$87,Formula!B119,19))+Formula!E119*(INDEX(Properties!A$1:CB$87,Formula!D119,19))+Formula!G119*(INDEX(Properties!A$1:CB$87,Formula!F119,19))+Formula!I119*(INDEX(Properties!A$1:CB$87,Formula!H119,19))+Formula!K119*(INDEX(Properties!A$1:CB$87,Formula!J119,19))</f>
        <v>32</v>
      </c>
      <c r="BL119" s="75">
        <f>VARP(IF(INDEX(Properties!A$1:CB$87,Formula!B119,19)&lt;&gt;"",INDEX(Properties!A$1:CB$87,Formula!B119,19)),IF(INDEX(Properties!A$1:CB$87,Formula!D119,19)&lt;&gt;"",INDEX(Properties!A$1:CB$87,Formula!D119,19)),IF(INDEX(Properties!A$1:CB$87,Formula!F119,19)&lt;&gt;"",INDEX(Properties!A$1:CB$87,Formula!F119,19)),IF(INDEX(Properties!A$1:CB$87,Formula!H119,19)&lt;&gt;"",INDEX(Properties!A$1:CB$87,Formula!H119,19)),IF(INDEX(Properties!A$1:CB$87,Formula!J119,19)&lt;&gt;"",INDEX(Properties!A$1:CB$87,Formula!J119,19)))</f>
        <v>4.16</v>
      </c>
      <c r="BM119" s="75">
        <f>MAX(INDEX(Properties!A$1:CB$87,Formula!B119,19),INDEX(Properties!A$1:CB$87,Formula!D119,19),INDEX(Properties!A$1:CB$87,Formula!F119,19),INDEX(Properties!A$1:CB$87,Formula!H119,19),INDEX(Properties!A$1:CB$87,Formula!J119,19))</f>
        <v>6</v>
      </c>
      <c r="BN119" s="75">
        <f>MIN(IF(INDEX(Properties!A$1:CB$87,Formula!B119,19)=0,10^6,INDEX(Properties!A$1:CB$87,Formula!B119,19)),IF(INDEX(Properties!A$1:CB$87,Formula!D119,19)=0,10^6,INDEX(Properties!A$1:CB$87,Formula!D119,19)),IF(INDEX(Properties!A$1:CB$87,Formula!F119,19)=0,10^6,INDEX(Properties!A$1:CB$87,Formula!F119,19)),IF(INDEX(Properties!A$1:CB$87,Formula!H119,19)=0,10^6,INDEX(Properties!A$1:CB$87,Formula!H119,19)),IF(INDEX(Properties!A$1:CB$87,Formula!J119,19)=0,10^6,INDEX(Properties!A$1:CB$87,Formula!J119,19)))</f>
        <v>2</v>
      </c>
      <c r="BO119" s="75">
        <f t="shared" si="42"/>
        <v>4</v>
      </c>
      <c r="BP119" s="48">
        <f>((Formula!C119)/(Formula!C119+Formula!E119+Formula!G119+Formula!I119+Formula!K119))*(INDEX(Properties!A$1:CB$87,Formula!B119,20))+((Formula!E119)/(Formula!C119+Formula!E119+Formula!G119+Formula!I119+Formula!K119))*(INDEX(Properties!A$1:CB$87,Formula!D119,20))+((Formula!G119)/(Formula!C119+Formula!E119+Formula!G119+Formula!I119+Formula!K119))*(INDEX(Properties!A$1:CB$87,Formula!F119,20))+((Formula!I119)/(Formula!C119+Formula!E119+Formula!G119+Formula!I119+Formula!K119))*(INDEX(Properties!A$1:CB$87,Formula!H119,20))+((Formula!K119)/(Formula!C119+Formula!E119+Formula!G119+Formula!I119+Formula!K119))*(INDEX(Properties!A$1:CB$87,Formula!J119,20))</f>
        <v>4.5714285714285712</v>
      </c>
      <c r="BQ119" s="48">
        <f>Formula!C119*(INDEX(Properties!A$1:CB$87,Formula!B119,20))+Formula!E119*(INDEX(Properties!A$1:CB$87,Formula!D119,20))+Formula!G119*(INDEX(Properties!A$1:CB$87,Formula!F119,20))+Formula!I119*(INDEX(Properties!A$1:CB$87,Formula!H119,20))+Formula!K119*(INDEX(Properties!A$1:CB$87,Formula!J119,20))</f>
        <v>32</v>
      </c>
      <c r="BR119" s="48">
        <f>VARP(IF(INDEX(Properties!A$1:CB$87,Formula!B119,20)&lt;&gt;"",INDEX(Properties!A$1:CB$87,Formula!B119,20)),IF(INDEX(Properties!A$1:CB$87,Formula!D119,20)&lt;&gt;"",INDEX(Properties!A$1:CB$87,Formula!D119,20)),IF(INDEX(Properties!A$1:CB$87,Formula!F119,20)&lt;&gt;"",INDEX(Properties!A$1:CB$87,Formula!F119,20)),IF(INDEX(Properties!A$1:CB$87,Formula!H119,20)&lt;&gt;"",INDEX(Properties!A$1:CB$87,Formula!H119,20)),IF(INDEX(Properties!A$1:CB$87,Formula!J119,20)&lt;&gt;"",INDEX(Properties!A$1:CB$87,Formula!J119,20)))</f>
        <v>4.16</v>
      </c>
      <c r="BS119" s="48">
        <f>MAX(INDEX(Properties!A$1:CB$87,Formula!B119,20),INDEX(Properties!A$1:CB$87,Formula!D119,20),INDEX(Properties!A$1:CB$87,Formula!F119,20),INDEX(Properties!A$1:CB$87,Formula!H119,20),INDEX(Properties!A$1:CB$87,Formula!J119,20))</f>
        <v>6</v>
      </c>
      <c r="BT119" s="48">
        <f>MIN(IF(INDEX(Properties!A$1:CB$87,Formula!B119,20)=0,10^6,INDEX(Properties!A$1:CB$87,Formula!B119,20)),IF(INDEX(Properties!A$1:CB$87,Formula!D119,20)=0,10^6,INDEX(Properties!A$1:CB$87,Formula!D119,20)),IF(INDEX(Properties!A$1:CB$87,Formula!F119,20)=0,10^6,INDEX(Properties!A$1:CB$87,Formula!F119,20)),IF(INDEX(Properties!A$1:CB$87,Formula!H119,20)=0,10^6,INDEX(Properties!A$1:CB$87,Formula!H119,20)),IF(INDEX(Properties!A$1:CB$87,Formula!J119,20)=0,10^6,INDEX(Properties!A$1:CB$87,Formula!J119,20)))</f>
        <v>2</v>
      </c>
      <c r="BU119" s="48">
        <f t="shared" si="43"/>
        <v>4</v>
      </c>
      <c r="BV119" s="66">
        <f>((Formula!C119)/(Formula!C119+Formula!E119+Formula!G119+Formula!I119+Formula!K119))*(INDEX(Properties!A$1:CB$87,Formula!B119,21))+((Formula!E119)/(Formula!C119+Formula!E119+Formula!G119+Formula!I119+Formula!K119))*(INDEX(Properties!A$1:CB$87,Formula!D119,21))+((Formula!G119)/(Formula!C119+Formula!E119+Formula!G119+Formula!I119+Formula!K119))*(INDEX(Properties!A$1:CB$87,Formula!F119,21))+((Formula!I119)/(Formula!C119+Formula!E119+Formula!G119+Formula!I119+Formula!K119))*(INDEX(Properties!A$1:CB$87,Formula!H119,21))+((Formula!K119)/(Formula!C119+Formula!E119+Formula!G119+Formula!I119+Formula!K119))*(INDEX(Properties!A$1:CB$87,Formula!J119,21))</f>
        <v>4.5714285714285712</v>
      </c>
      <c r="BW119" s="66">
        <f>Formula!C119*(INDEX(Properties!A$1:CB$87,Formula!B119,21))+Formula!E119*(INDEX(Properties!A$1:CB$87,Formula!D119,21))+Formula!G119*(INDEX(Properties!A$1:CB$87,Formula!F119,21))+Formula!I119*(INDEX(Properties!A$1:CB$87,Formula!H119,21))+Formula!K119*(INDEX(Properties!A$1:CB$87,Formula!J119,21))</f>
        <v>32</v>
      </c>
      <c r="BX119" s="66">
        <f>VARP(IF(INDEX(Properties!A$1:CB$87,Formula!B119,21)&lt;&gt;"",INDEX(Properties!A$1:CB$87,Formula!B119,21)),IF(INDEX(Properties!A$1:CB$87,Formula!D119,21)&lt;&gt;"",INDEX(Properties!A$1:CB$87,Formula!D119,21)),IF(INDEX(Properties!A$1:CB$87,Formula!F119,21)&lt;&gt;"",INDEX(Properties!A$1:CB$87,Formula!F119,21)),IF(INDEX(Properties!A$1:CB$87,Formula!H119,21)&lt;&gt;"",INDEX(Properties!A$1:CB$87,Formula!H119,21)),IF(INDEX(Properties!A$1:CB$87,Formula!J119,21)&lt;&gt;"",INDEX(Properties!A$1:CB$87,Formula!J119,21)))</f>
        <v>4.16</v>
      </c>
      <c r="BY119" s="66">
        <f>MAX(INDEX(Properties!A$1:CB$87,Formula!B119,21),INDEX(Properties!A$1:CB$87,Formula!D119,21),INDEX(Properties!A$1:CB$87,Formula!F119,21),INDEX(Properties!A$1:CB$87,Formula!H119,21),INDEX(Properties!A$1:CB$87,Formula!J119,21))</f>
        <v>6</v>
      </c>
      <c r="BZ119" s="66">
        <f>MIN(IF(INDEX(Properties!A$1:CB$87,Formula!B119,21)=0,10^6,INDEX(Properties!A$1:CB$87,Formula!B119,21)),IF(INDEX(Properties!A$1:CB$87,Formula!D119,21)=0,10^6,INDEX(Properties!A$1:CB$87,Formula!D119,21)),IF(INDEX(Properties!A$1:CB$87,Formula!F119,21)=0,10^6,INDEX(Properties!A$1:CB$87,Formula!F119,21)),IF(INDEX(Properties!A$1:CB$87,Formula!H119,21)=0,10^6,INDEX(Properties!A$1:CB$87,Formula!H119,21)),IF(INDEX(Properties!A$1:CB$87,Formula!J119,21)=0,10^6,INDEX(Properties!A$1:CB$87,Formula!J119,21)))</f>
        <v>2</v>
      </c>
      <c r="CA119" s="66">
        <f t="shared" si="44"/>
        <v>4</v>
      </c>
      <c r="CB119" s="81">
        <f>((Formula!C119)/(Formula!C119+Formula!E119+Formula!G119+Formula!I119+Formula!K119))*(INDEX(Properties!A$1:CB$87,Formula!B119,23))+((Formula!E119)/(Formula!C119+Formula!E119+Formula!G119+Formula!I119+Formula!K119))*(INDEX(Properties!A$1:CB$87,Formula!D119,23))+((Formula!G119)/(Formula!C119+Formula!E119+Formula!G119+Formula!I119+Formula!K119))*(INDEX(Properties!A$1:CB$87,Formula!F119,23))+((Formula!I119)/(Formula!C119+Formula!E119+Formula!G119+Formula!I119+Formula!K119))*(INDEX(Properties!A$1:CB$87,Formula!H119,23))+((Formula!K119)/(Formula!C119+Formula!E119+Formula!G119+Formula!I119+Formula!K119))*(INDEX(Properties!A$1:CB$87,Formula!J119,23))</f>
        <v>1.1428571428571428</v>
      </c>
      <c r="CC119" s="81">
        <f>Formula!C119*(INDEX(Properties!A$1:CB$87,Formula!B119,23))+Formula!E119*(INDEX(Properties!A$1:CB$87,Formula!D119,23))+Formula!G119*(INDEX(Properties!A$1:CB$87,Formula!F119,23))+Formula!I119*(INDEX(Properties!A$1:CB$87,Formula!H119,23))+Formula!K119*(INDEX(Properties!A$1:CB$87,Formula!J119,23))</f>
        <v>8</v>
      </c>
      <c r="CD119" s="81">
        <f>VARP(IF(INDEX(Properties!A$1:CB$87,Formula!B119,23)&lt;&gt;"",INDEX(Properties!A$1:CB$87,Formula!B119,23)),IF(INDEX(Properties!A$1:CB$87,Formula!D119,23)&lt;&gt;"",INDEX(Properties!A$1:CB$87,Formula!D119,23)),IF(INDEX(Properties!A$1:CB$87,Formula!F119,23)&lt;&gt;"",INDEX(Properties!A$1:CB$87,Formula!F119,23)),IF(INDEX(Properties!A$1:CB$87,Formula!H119,23)&lt;&gt;"",INDEX(Properties!A$1:CB$87,Formula!H119,23)),IF(INDEX(Properties!A$1:CB$87,Formula!J119,23)&lt;&gt;"",INDEX(Properties!A$1:CB$87,Formula!J119,23)))</f>
        <v>2.2400000000000002</v>
      </c>
      <c r="CE119" s="81">
        <f>MAX(INDEX(Properties!A$1:CB$87,Formula!B119,23),INDEX(Properties!A$1:CB$87,Formula!D119,23),INDEX(Properties!A$1:CB$87,Formula!F119,23),INDEX(Properties!A$1:CB$87,Formula!H119,23),INDEX(Properties!A$1:CB$87,Formula!J119,23))</f>
        <v>4</v>
      </c>
      <c r="CF119" s="81">
        <f>MIN(IF(Formula!B119=87,10^6,INDEX(Properties!A$1:CB$87,Formula!B119,23)),IF((Formula!D119)=87,10^6,INDEX(Properties!A$1:CB$87,Formula!D119,23)),IF((Formula!F119)=87,10^6,INDEX(Properties!A$1:CB$87,Formula!F119,23)),IF((Formula!H119)=87,10^6,INDEX(Properties!A$1:CB$87,Formula!H119,23)),IF(Formula!J119=87,10^6,INDEX(Properties!A$1:CB$87,Formula!J119,23)))</f>
        <v>0</v>
      </c>
      <c r="CG119" s="81">
        <f t="shared" si="45"/>
        <v>4</v>
      </c>
      <c r="CH119" s="39">
        <f>((Formula!C119)/(Formula!C119+Formula!E119+Formula!G119+Formula!I119+Formula!K119))*(INDEX(Properties!A$1:CB$87,Formula!B119,26))+((Formula!E119)/(Formula!C119+Formula!E119+Formula!G119+Formula!I119+Formula!K119))*(INDEX(Properties!A$1:CB$87,Formula!D119,26))+((Formula!G119)/(Formula!C119+Formula!E119+Formula!G119+Formula!I119+Formula!K119))*(INDEX(Properties!A$1:CB$87,Formula!F119,26))+((Formula!I119)/(Formula!C119+Formula!E119+Formula!G119+Formula!I119+Formula!K119))*(INDEX(Properties!A$1:CB$87,Formula!H119,26))+((Formula!K119)/(Formula!C119+Formula!E119+Formula!G119+Formula!I119+Formula!K119))*(INDEX(Properties!A$1:CB$87,Formula!J119,26))</f>
        <v>10.633171428571428</v>
      </c>
      <c r="CI119" s="39">
        <f>Formula!C119*(INDEX(Properties!A$1:CB$87,Formula!B119,26))+Formula!E119*(INDEX(Properties!A$1:CB$87,Formula!D119,26))+Formula!G119*(INDEX(Properties!A$1:CB$87,Formula!F119,26))+Formula!I119*(INDEX(Properties!A$1:CB$87,Formula!H119,26))+Formula!K119*(INDEX(Properties!A$1:CB$87,Formula!J119,26))</f>
        <v>74.432199999999995</v>
      </c>
      <c r="CJ119" s="39">
        <f>VARP(IF(INDEX(Properties!A$1:CB$87,Formula!B119,26)&lt;&gt;"",INDEX(Properties!A$1:CB$87,Formula!B119,26)),IF(INDEX(Properties!A$1:CB$87,Formula!D119,26)&lt;&gt;"",INDEX(Properties!A$1:CB$87,Formula!D119,26)),IF(INDEX(Properties!A$1:CB$87,Formula!F119,26)&lt;&gt;"",INDEX(Properties!A$1:CB$87,Formula!F119,26)),IF(INDEX(Properties!A$1:CB$87,Formula!H119,26)&lt;&gt;"",INDEX(Properties!A$1:CB$87,Formula!H119,26)),IF(INDEX(Properties!A$1:CB$87,Formula!J119,26)&lt;&gt;"",INDEX(Properties!A$1:CB$87,Formula!J119,26)))</f>
        <v>19.242177413600011</v>
      </c>
      <c r="CK119" s="39">
        <f>MAX(INDEX(Properties!A$1:CB$87,Formula!B119,26),INDEX(Properties!A$1:CB$87,Formula!D119,26),INDEX(Properties!A$1:CB$87,Formula!F119,26),INDEX(Properties!A$1:CB$87,Formula!H119,26),INDEX(Properties!A$1:CB$87,Formula!J119,26))</f>
        <v>13.6181</v>
      </c>
      <c r="CL119" s="39">
        <f>MIN(IF(INDEX(Properties!A$1:CB$87,Formula!B119,26)=0,10^6,INDEX(Properties!A$1:CB$87,Formula!B119,26)),IF(INDEX(Properties!A$1:CB$87,Formula!D119,26)=0,10^6,INDEX(Properties!A$1:CB$87,Formula!D119,26)),IF(INDEX(Properties!A$1:CB$87,Formula!F119,26)=0,10^6,INDEX(Properties!A$1:CB$87,Formula!F119,26)),IF(INDEX(Properties!A$1:CB$87,Formula!H119,26)=0,10^6,INDEX(Properties!A$1:CB$87,Formula!H119,26)),IF(INDEX(Properties!A$1:CB$87,Formula!J119,26)=0,10^6,INDEX(Properties!A$1:CB$87,Formula!J119,26)))</f>
        <v>5.6948999999999996</v>
      </c>
      <c r="CM119" s="39">
        <f t="shared" si="46"/>
        <v>7.9232000000000005</v>
      </c>
      <c r="CN119" s="54">
        <f>((Formula!C119)/(Formula!C119+Formula!E119+Formula!G119+Formula!I119+Formula!K119))*(INDEX(Properties!A$1:CB$87,Formula!B119,30))+((Formula!E119)/(Formula!C119+Formula!E119+Formula!G119+Formula!I119+Formula!K119))*(INDEX(Properties!A$1:CB$87,Formula!D119,30))+((Formula!G119)/(Formula!C119+Formula!E119+Formula!G119+Formula!I119+Formula!K119))*(INDEX(Properties!A$1:CB$87,Formula!F119,30))+((Formula!I119)/(Formula!C119+Formula!E119+Formula!G119+Formula!I119+Formula!K119))*(INDEX(Properties!A$1:CB$87,Formula!H119,30))+((Formula!K119)/(Formula!C119+Formula!E119+Formula!G119+Formula!I119+Formula!K119))*(INDEX(Properties!A$1:CB$87,Formula!J119,30))</f>
        <v>2.5157142857142856</v>
      </c>
      <c r="CO119" s="54">
        <f>Formula!C119*(INDEX(Properties!A$1:CB$87,Formula!B119,30))+Formula!E119*(INDEX(Properties!A$1:CB$87,Formula!D119,30))+Formula!G119*(INDEX(Properties!A$1:CB$87,Formula!F119,30))+Formula!I119*(INDEX(Properties!A$1:CB$87,Formula!H119,30))+Formula!K119*(INDEX(Properties!A$1:CB$87,Formula!J119,30))</f>
        <v>17.61</v>
      </c>
      <c r="CP119" s="54">
        <f>VARP(IF(INDEX(Properties!A$1:CB$87,Formula!B119,30)&lt;&gt;"",INDEX(Properties!A$1:CB$87,Formula!B119,30)),IF(INDEX(Properties!A$1:CB$87,Formula!D119,30)&lt;&gt;"",INDEX(Properties!A$1:CB$87,Formula!D119,30)),IF(INDEX(Properties!A$1:CB$87,Formula!F119,30)&lt;&gt;"",INDEX(Properties!A$1:CB$87,Formula!F119,30)),IF(INDEX(Properties!A$1:CB$87,Formula!H119,30)&lt;&gt;"",INDEX(Properties!A$1:CB$87,Formula!H119,30)),IF(INDEX(Properties!A$1:CB$87,Formula!J119,30)&lt;&gt;"",INDEX(Properties!A$1:CB$87,Formula!J119,30)))</f>
        <v>1.3434560000000006</v>
      </c>
      <c r="CQ119" s="54">
        <f>MAX(INDEX(Properties!A$1:CB$87,Formula!B119,30),INDEX(Properties!A$1:CB$87,Formula!D119,30),INDEX(Properties!A$1:CB$87,Formula!F119,30),INDEX(Properties!A$1:CB$87,Formula!H119,30),INDEX(Properties!A$1:CB$87,Formula!J119,30))</f>
        <v>3.44</v>
      </c>
      <c r="CR119" s="54">
        <f>MIN(IF(INDEX(Properties!A$1:CB$87,Formula!B119,30)=0,10^6,INDEX(Properties!A$1:CB$87,Formula!B119,30)),IF(INDEX(Properties!A$1:CB$87,Formula!D119,30)=0,10^6,INDEX(Properties!A$1:CB$87,Formula!D119,30)),IF(INDEX(Properties!A$1:CB$87,Formula!F119,30)=0,10^6,INDEX(Properties!A$1:CB$87,Formula!F119,30)),IF(INDEX(Properties!A$1:CB$87,Formula!H119,30)=0,10^6,INDEX(Properties!A$1:CB$87,Formula!H119,30)),IF(INDEX(Properties!A$1:CB$87,Formula!J119,30)=0,10^6,INDEX(Properties!A$1:CB$87,Formula!J119,30)))</f>
        <v>0.95</v>
      </c>
      <c r="CS119" s="54">
        <f t="shared" si="47"/>
        <v>2.4900000000000002</v>
      </c>
      <c r="CT119" s="69">
        <f>((Formula!C119)/(Formula!C119+Formula!E119+Formula!G119+Formula!I119+Formula!K119))*(INDEX(Properties!A$1:CB$87,Formula!B119,31))+((Formula!E119)/(Formula!C119+Formula!E119+Formula!G119+Formula!I119+Formula!K119))*(INDEX(Properties!A$1:CB$87,Formula!D119,31))+((Formula!G119)/(Formula!C119+Formula!E119+Formula!G119+Formula!I119+Formula!K119))*(INDEX(Properties!A$1:CB$87,Formula!F119,31))+((Formula!I119)/(Formula!C119+Formula!E119+Formula!G119+Formula!I119+Formula!K119))*(INDEX(Properties!A$1:CB$87,Formula!H119,31))+((Formula!K119)/(Formula!C119+Formula!E119+Formula!G119+Formula!I119+Formula!K119))*(INDEX(Properties!A$1:CB$87,Formula!J119,31))</f>
        <v>2.5085714285714285</v>
      </c>
      <c r="CU119" s="69">
        <f>Formula!C119*(INDEX(Properties!A$1:CB$87,Formula!B119,31))+Formula!E119*(INDEX(Properties!A$1:CB$87,Formula!D119,31))+Formula!G119*(INDEX(Properties!A$1:CB$87,Formula!F119,31))+Formula!I119*(INDEX(Properties!A$1:CB$87,Formula!H119,31))+Formula!K119*(INDEX(Properties!A$1:CB$87,Formula!J119,31))</f>
        <v>17.559999999999999</v>
      </c>
      <c r="CV119" s="69">
        <f>VARP(IF(INDEX(Properties!A$1:CB$87,Formula!B119,31)&lt;&gt;"",INDEX(Properties!A$1:CB$87,Formula!B119,31)),IF(INDEX(Properties!A$1:CB$87,Formula!D119,31)&lt;&gt;"",INDEX(Properties!A$1:CB$87,Formula!D119,31)),IF(INDEX(Properties!A$1:CB$87,Formula!F119,31)&lt;&gt;"",INDEX(Properties!A$1:CB$87,Formula!F119,31)),IF(INDEX(Properties!A$1:CB$87,Formula!H119,31)&lt;&gt;"",INDEX(Properties!A$1:CB$87,Formula!H119,31)),IF(INDEX(Properties!A$1:CB$87,Formula!J119,31)&lt;&gt;"",INDEX(Properties!A$1:CB$87,Formula!J119,31)))</f>
        <v>1.2073199999999999</v>
      </c>
      <c r="CW119" s="69">
        <f>MAX(INDEX(Properties!A$1:CB$87,Formula!B119,31),INDEX(Properties!A$1:CB$87,Formula!D119,31),INDEX(Properties!A$1:CB$87,Formula!F119,31),INDEX(Properties!A$1:CB$87,Formula!H119,31),INDEX(Properties!A$1:CB$87,Formula!J119,31))</f>
        <v>3.32</v>
      </c>
      <c r="CX119" s="69">
        <f>MIN(IF(INDEX(Properties!A$1:CB$87,Formula!B119,31)=0,10^6,INDEX(Properties!A$1:CB$87,Formula!B119,31)),IF(INDEX(Properties!A$1:CB$87,Formula!D119,31)=0,10^6,INDEX(Properties!A$1:CB$87,Formula!D119,31)),IF(INDEX(Properties!A$1:CB$87,Formula!F119,31)=0,10^6,INDEX(Properties!A$1:CB$87,Formula!F119,31)),IF(INDEX(Properties!A$1:CB$87,Formula!H119,31)=0,10^6,INDEX(Properties!A$1:CB$87,Formula!H119,31)),IF(INDEX(Properties!A$1:CB$87,Formula!J119,31)=0,10^6,INDEX(Properties!A$1:CB$87,Formula!J119,31)))</f>
        <v>1.1299999999999999</v>
      </c>
      <c r="CY119" s="69">
        <f t="shared" si="48"/>
        <v>2.19</v>
      </c>
      <c r="CZ119" s="42">
        <f>((Formula!C119)/(Formula!C119+Formula!E119+Formula!G119+Formula!I119+Formula!K119))*(INDEX(Properties!A$1:CB$87,Formula!B119,32))+((Formula!E119)/(Formula!C119+Formula!E119+Formula!G119+Formula!I119+Formula!K119))*(INDEX(Properties!A$1:CB$87,Formula!D119,32))+((Formula!G119)/(Formula!C119+Formula!E119+Formula!G119+Formula!I119+Formula!K119))*(INDEX(Properties!A$1:CB$87,Formula!F119,32))+((Formula!I119)/(Formula!C119+Formula!E119+Formula!G119+Formula!I119+Formula!K119))*(INDEX(Properties!A$1:CB$87,Formula!H119,32))+((Formula!K119)/(Formula!C119+Formula!E119+Formula!G119+Formula!I119+Formula!K119))*(INDEX(Properties!A$1:CB$87,Formula!J119,32))</f>
        <v>5.59</v>
      </c>
      <c r="DA119" s="42">
        <f>Formula!C119*(INDEX(Properties!A$1:CB$87,Formula!B119,32))+Formula!E119*(INDEX(Properties!A$1:CB$87,Formula!D119,32))+Formula!G119*(INDEX(Properties!A$1:CB$87,Formula!F119,32))+Formula!I119*(INDEX(Properties!A$1:CB$87,Formula!H119,32))+Formula!K119*(INDEX(Properties!A$1:CB$87,Formula!J119,32))</f>
        <v>39.129999999999995</v>
      </c>
      <c r="DB119" s="42">
        <f>VARP(IF(INDEX(Properties!A$1:CB$87,Formula!B119,32)&lt;&gt;"",INDEX(Properties!A$1:CB$87,Formula!B119,32)),IF(INDEX(Properties!A$1:CB$87,Formula!D119,32)&lt;&gt;"",INDEX(Properties!A$1:CB$87,Formula!D119,32)),IF(INDEX(Properties!A$1:CB$87,Formula!F119,32)&lt;&gt;"",INDEX(Properties!A$1:CB$87,Formula!F119,32)),IF(INDEX(Properties!A$1:CB$87,Formula!H119,32)&lt;&gt;"",INDEX(Properties!A$1:CB$87,Formula!H119,32)),IF(INDEX(Properties!A$1:CB$87,Formula!J119,32)&lt;&gt;"",INDEX(Properties!A$1:CB$87,Formula!J119,32)))</f>
        <v>6.7856960000000006</v>
      </c>
      <c r="DC119" s="42">
        <f>MAX(INDEX(Properties!A$1:CB$87,Formula!B119,32),INDEX(Properties!A$1:CB$87,Formula!D119,32),INDEX(Properties!A$1:CB$87,Formula!F119,32),INDEX(Properties!A$1:CB$87,Formula!H119,32),INDEX(Properties!A$1:CB$87,Formula!J119,32))</f>
        <v>7.54</v>
      </c>
      <c r="DD119" s="42">
        <f>MIN(IF(INDEX(Properties!A$1:CB$87,Formula!B119,32)=0,10^6,INDEX(Properties!A$1:CB$87,Formula!B119,32)),IF(INDEX(Properties!A$1:CB$87,Formula!D119,32)=0,10^6,INDEX(Properties!A$1:CB$87,Formula!D119,32)),IF(INDEX(Properties!A$1:CB$87,Formula!F119,32)=0,10^6,INDEX(Properties!A$1:CB$87,Formula!F119,32)),IF(INDEX(Properties!A$1:CB$87,Formula!H119,32)=0,10^6,INDEX(Properties!A$1:CB$87,Formula!H119,32)),IF(INDEX(Properties!A$1:CB$87,Formula!J119,32)=0,10^6,INDEX(Properties!A$1:CB$87,Formula!J119,32)))</f>
        <v>2</v>
      </c>
      <c r="DE119" s="42">
        <f t="shared" si="49"/>
        <v>5.54</v>
      </c>
      <c r="DF119" s="60">
        <f>((Formula!C119)/(Formula!C119+Formula!E119+Formula!G119+Formula!I119+Formula!K119))*(INDEX(Properties!A$1:CB$87,Formula!B119,34))+((Formula!E119)/(Formula!C119+Formula!E119+Formula!G119+Formula!I119+Formula!K119))*(INDEX(Properties!A$1:CB$87,Formula!D119,34))+((Formula!G119)/(Formula!C119+Formula!E119+Formula!G119+Formula!I119+Formula!K119))*(INDEX(Properties!A$1:CB$87,Formula!F119,34))+((Formula!I119)/(Formula!C119+Formula!E119+Formula!G119+Formula!I119+Formula!K119))*(INDEX(Properties!A$1:CB$87,Formula!H119,34))+((Formula!K119)/(Formula!C119+Formula!E119+Formula!G119+Formula!I119+Formula!K119))*(INDEX(Properties!A$1:CB$87,Formula!J119,34))</f>
        <v>2.6218571428571424</v>
      </c>
      <c r="DG119" s="60">
        <f>Formula!C119*(INDEX(Properties!A$1:CB$87,Formula!B119,34))+Formula!E119*(INDEX(Properties!A$1:CB$87,Formula!D119,34))+Formula!G119*(INDEX(Properties!A$1:CB$87,Formula!F119,34))+Formula!I119*(INDEX(Properties!A$1:CB$87,Formula!H119,34))+Formula!K119*(INDEX(Properties!A$1:CB$87,Formula!J119,34))</f>
        <v>18.352999999999998</v>
      </c>
      <c r="DH119" s="60">
        <f>VARP(IF(INDEX(Properties!A$1:CB$87,Formula!B119,34)&lt;&gt;"",INDEX(Properties!A$1:CB$87,Formula!B119,34)),IF(INDEX(Properties!A$1:CB$87,Formula!D119,34)&lt;&gt;"",INDEX(Properties!A$1:CB$87,Formula!D119,34)),IF(INDEX(Properties!A$1:CB$87,Formula!F119,34)&lt;&gt;"",INDEX(Properties!A$1:CB$87,Formula!F119,34)),IF(INDEX(Properties!A$1:CB$87,Formula!H119,34)&lt;&gt;"",INDEX(Properties!A$1:CB$87,Formula!H119,34)),IF(INDEX(Properties!A$1:CB$87,Formula!J119,34)&lt;&gt;"",INDEX(Properties!A$1:CB$87,Formula!J119,34)))</f>
        <v>1.47611504</v>
      </c>
      <c r="DI119" s="60">
        <f>MAX(INDEX(Properties!A$1:CB$87,Formula!B119,34),INDEX(Properties!A$1:CB$87,Formula!D119,34),INDEX(Properties!A$1:CB$87,Formula!F119,34),INDEX(Properties!A$1:CB$87,Formula!H119,34),INDEX(Properties!A$1:CB$87,Formula!J119,34))</f>
        <v>3.61</v>
      </c>
      <c r="DJ119" s="60">
        <f>MIN(IF(INDEX(Properties!A$1:CB$87,Formula!B119,34)=0,10^6,INDEX(Properties!A$1:CB$87,Formula!B119,34)),IF(INDEX(Properties!A$1:CB$87,Formula!D119,34)=0,10^6,INDEX(Properties!A$1:CB$87,Formula!D119,34)),IF(INDEX(Properties!A$1:CB$87,Formula!F119,34)=0,10^6,INDEX(Properties!A$1:CB$87,Formula!F119,34)),IF(INDEX(Properties!A$1:CB$87,Formula!H119,34)=0,10^6,INDEX(Properties!A$1:CB$87,Formula!H119,34)),IF(INDEX(Properties!A$1:CB$87,Formula!J119,34)=0,10^6,INDEX(Properties!A$1:CB$87,Formula!J119,34)))</f>
        <v>0.96299999999999997</v>
      </c>
      <c r="DK119" s="60">
        <f t="shared" si="50"/>
        <v>2.6469999999999998</v>
      </c>
      <c r="DL119" s="45">
        <f>((Formula!C119)/(Formula!C119+Formula!E119+Formula!G119+Formula!I119+Formula!K119))*(INDEX(Properties!A$1:CB$87,Formula!B119,39))+((Formula!E119)/(Formula!C119+Formula!E119+Formula!G119+Formula!I119+Formula!K119))*(INDEX(Properties!A$1:CB$87,Formula!D119,39))+((Formula!G119)/(Formula!C119+Formula!E119+Formula!G119+Formula!I119+Formula!K119))*(INDEX(Properties!A$1:CB$87,Formula!F119,39))+((Formula!I119)/(Formula!C119+Formula!E119+Formula!G119+Formula!I119+Formula!K119))*(INDEX(Properties!A$1:CB$87,Formula!H119,39))+((Formula!K119)/(Formula!C119+Formula!E119+Formula!G119+Formula!I119+Formula!K119))*(INDEX(Properties!A$1:CB$87,Formula!J119,39))</f>
        <v>1.0228571428571427</v>
      </c>
      <c r="DM119" s="45">
        <f>Formula!C119*(INDEX(Properties!A$1:CB$87,Formula!B119,39))+Formula!E119*(INDEX(Properties!A$1:CB$87,Formula!D119,39))+Formula!G119*(INDEX(Properties!A$1:CB$87,Formula!F119,39))+Formula!I119*(INDEX(Properties!A$1:CB$87,Formula!H119,39))+Formula!K119*(INDEX(Properties!A$1:CB$87,Formula!J119,39))</f>
        <v>7.16</v>
      </c>
      <c r="DN119" s="45">
        <f>VARP(IF(INDEX(Properties!A$1:CB$87,Formula!B119,39)&lt;&gt;"",INDEX(Properties!A$1:CB$87,Formula!B119,39)),IF(INDEX(Properties!A$1:CB$87,Formula!D119,39)&lt;&gt;"",INDEX(Properties!A$1:CB$87,Formula!D119,39)),IF(INDEX(Properties!A$1:CB$87,Formula!F119,39)&lt;&gt;"",INDEX(Properties!A$1:CB$87,Formula!F119,39)),IF(INDEX(Properties!A$1:CB$87,Formula!H119,39)&lt;&gt;"",INDEX(Properties!A$1:CB$87,Formula!H119,39)),IF(INDEX(Properties!A$1:CB$87,Formula!J119,39)&lt;&gt;"",INDEX(Properties!A$1:CB$87,Formula!J119,39)))</f>
        <v>0.69570399999999954</v>
      </c>
      <c r="DO119" s="45">
        <f>MAX(INDEX(Properties!A$1:CB$87,Formula!B119,39),INDEX(Properties!A$1:CB$87,Formula!D119,39),INDEX(Properties!A$1:CB$87,Formula!F119,39),INDEX(Properties!A$1:CB$87,Formula!H119,39),INDEX(Properties!A$1:CB$87,Formula!J119,39))</f>
        <v>2.19</v>
      </c>
      <c r="DP119" s="45">
        <f>MIN(IF(INDEX(Properties!A$1:CB$87,Formula!B119,39)=0,10^6,INDEX(Properties!A$1:CB$87,Formula!B119,39)),IF(INDEX(Properties!A$1:CB$87,Formula!D119,39)=0,10^6,INDEX(Properties!A$1:CB$87,Formula!D119,39)),IF(INDEX(Properties!A$1:CB$87,Formula!F119,39)=0,10^6,INDEX(Properties!A$1:CB$87,Formula!F119,39)),IF(INDEX(Properties!A$1:CB$87,Formula!H119,39)=0,10^6,INDEX(Properties!A$1:CB$87,Formula!H119,39)),IF(INDEX(Properties!A$1:CB$87,Formula!J119,39)=0,10^6,INDEX(Properties!A$1:CB$87,Formula!J119,39)))</f>
        <v>0.48</v>
      </c>
      <c r="DQ119" s="45">
        <f t="shared" si="51"/>
        <v>1.71</v>
      </c>
      <c r="DR119" s="63">
        <f>((Formula!C119)/(Formula!C119+Formula!E119+Formula!G119+Formula!I119+Formula!K119))*(INDEX(Properties!A$1:CB$87,Formula!B119,40))+((Formula!E119)/(Formula!C119+Formula!E119+Formula!G119+Formula!I119+Formula!K119))*(INDEX(Properties!A$1:CB$87,Formula!D119,40))+((Formula!G119)/(Formula!C119+Formula!E119+Formula!G119+Formula!I119+Formula!K119))*(INDEX(Properties!A$1:CB$87,Formula!F119,40))+((Formula!I119)/(Formula!C119+Formula!E119+Formula!G119+Formula!I119+Formula!K119))*(INDEX(Properties!A$1:CB$87,Formula!H119,40))+((Formula!K119)/(Formula!C119+Formula!E119+Formula!G119+Formula!I119+Formula!K119))*(INDEX(Properties!A$1:CB$87,Formula!J119,40))</f>
        <v>1.0985714285714285</v>
      </c>
      <c r="DS119" s="63">
        <f>Formula!C119*(INDEX(Properties!A$1:CB$87,Formula!B119,40))+Formula!E119*(INDEX(Properties!A$1:CB$87,Formula!D119,40))+Formula!G119*(INDEX(Properties!A$1:CB$87,Formula!F119,40))+Formula!I119*(INDEX(Properties!A$1:CB$87,Formula!H119,40))+Formula!K119*(INDEX(Properties!A$1:CB$87,Formula!J119,40))</f>
        <v>7.69</v>
      </c>
      <c r="DT119" s="63">
        <f>VARP(IF(INDEX(Properties!A$1:CB$87,Formula!B119,40)&lt;&gt;"",INDEX(Properties!A$1:CB$87,Formula!B119,40)),IF(INDEX(Properties!A$1:CB$87,Formula!D119,40)&lt;&gt;"",INDEX(Properties!A$1:CB$87,Formula!D119,40)),IF(INDEX(Properties!A$1:CB$87,Formula!F119,40)&lt;&gt;"",INDEX(Properties!A$1:CB$87,Formula!F119,40)),IF(INDEX(Properties!A$1:CB$87,Formula!H119,40)&lt;&gt;"",INDEX(Properties!A$1:CB$87,Formula!H119,40)),IF(INDEX(Properties!A$1:CB$87,Formula!J119,40)&lt;&gt;"",INDEX(Properties!A$1:CB$87,Formula!J119,40)))</f>
        <v>0.48580000000000012</v>
      </c>
      <c r="DU119" s="63">
        <f>MAX(INDEX(Properties!A$1:CB$87,Formula!B119,40),INDEX(Properties!A$1:CB$87,Formula!D119,40),INDEX(Properties!A$1:CB$87,Formula!F119,40),INDEX(Properties!A$1:CB$87,Formula!H119,40),INDEX(Properties!A$1:CB$87,Formula!J119,40))</f>
        <v>1.92</v>
      </c>
      <c r="DV119" s="63">
        <f>MIN(IF(INDEX(Properties!A$1:CB$87,Formula!B119,40)=0,10^6,INDEX(Properties!A$1:CB$87,Formula!B119,40)),IF(INDEX(Properties!A$1:CB$87,Formula!D119,40)=0,10^6,INDEX(Properties!A$1:CB$87,Formula!D119,40)),IF(INDEX(Properties!A$1:CB$87,Formula!F119,40)=0,10^6,INDEX(Properties!A$1:CB$87,Formula!F119,40)),IF(INDEX(Properties!A$1:CB$87,Formula!H119,40)=0,10^6,INDEX(Properties!A$1:CB$87,Formula!H119,40)),IF(INDEX(Properties!A$1:CB$87,Formula!J119,40)=0,10^6,INDEX(Properties!A$1:CB$87,Formula!J119,40)))</f>
        <v>0.73</v>
      </c>
      <c r="DW119" s="63">
        <f t="shared" si="52"/>
        <v>1.19</v>
      </c>
      <c r="DX119" s="75">
        <f>((Formula!C119)/(Formula!C119+Formula!E119+Formula!G119+Formula!I119+Formula!K119))*(INDEX(Properties!A$1:CB$87,Formula!B119,41))+((Formula!E119)/(Formula!C119+Formula!E119+Formula!G119+Formula!I119+Formula!K119))*(INDEX(Properties!A$1:CB$87,Formula!D119,41))+((Formula!G119)/(Formula!C119+Formula!E119+Formula!G119+Formula!I119+Formula!K119))*(INDEX(Properties!A$1:CB$87,Formula!F119,41))+((Formula!I119)/(Formula!C119+Formula!E119+Formula!G119+Formula!I119+Formula!K119))*(INDEX(Properties!A$1:CB$87,Formula!H119,41))+((Formula!K119)/(Formula!C119+Formula!E119+Formula!G119+Formula!I119+Formula!K119))*(INDEX(Properties!A$1:CB$87,Formula!J119,41))</f>
        <v>1.1485714285714286</v>
      </c>
      <c r="DY119" s="75">
        <f>Formula!C119*(INDEX(Properties!A$1:CB$87,Formula!B119,41))+Formula!E119*(INDEX(Properties!A$1:CB$87,Formula!D119,41))+Formula!G119*(INDEX(Properties!A$1:CB$87,Formula!F119,41))+Formula!I119*(INDEX(Properties!A$1:CB$87,Formula!H119,41))+Formula!K119*(INDEX(Properties!A$1:CB$87,Formula!J119,41))</f>
        <v>8.0399999999999991</v>
      </c>
      <c r="DZ119" s="75">
        <f>VARP(IF(INDEX(Properties!A$1:CB$87,Formula!B119,41)&lt;&gt;"",INDEX(Properties!A$1:CB$87,Formula!B119,41)),IF(INDEX(Properties!A$1:CB$87,Formula!D119,41)&lt;&gt;"",INDEX(Properties!A$1:CB$87,Formula!D119,41)),IF(INDEX(Properties!A$1:CB$87,Formula!F119,41)&lt;&gt;"",INDEX(Properties!A$1:CB$87,Formula!F119,41)),IF(INDEX(Properties!A$1:CB$87,Formula!H119,41)&lt;&gt;"",INDEX(Properties!A$1:CB$87,Formula!H119,41)),IF(INDEX(Properties!A$1:CB$87,Formula!J119,41)&lt;&gt;"",INDEX(Properties!A$1:CB$87,Formula!J119,41)))</f>
        <v>0.25833600000000007</v>
      </c>
      <c r="EA119" s="75">
        <f>MAX(INDEX(Properties!A$1:CB$87,Formula!B119,41),INDEX(Properties!A$1:CB$87,Formula!D119,41),INDEX(Properties!A$1:CB$87,Formula!F119,41),INDEX(Properties!A$1:CB$87,Formula!H119,41),INDEX(Properties!A$1:CB$87,Formula!J119,41))</f>
        <v>1.32</v>
      </c>
      <c r="EB119" s="75">
        <f>MIN(IF(INDEX(Properties!A$1:CB$87,Formula!B119,41)=0,10^6,INDEX(Properties!A$1:CB$87,Formula!B119,41)),IF(INDEX(Properties!A$1:CB$87,Formula!D119,41)=0,10^6,INDEX(Properties!A$1:CB$87,Formula!D119,41)),IF(INDEX(Properties!A$1:CB$87,Formula!F119,41)=0,10^6,INDEX(Properties!A$1:CB$87,Formula!F119,41)),IF(INDEX(Properties!A$1:CB$87,Formula!H119,41)=0,10^6,INDEX(Properties!A$1:CB$87,Formula!H119,41)),IF(INDEX(Properties!A$1:CB$87,Formula!J119,41)=0,10^6,INDEX(Properties!A$1:CB$87,Formula!J119,41)))</f>
        <v>0.54</v>
      </c>
      <c r="EC119" s="75">
        <f t="shared" si="53"/>
        <v>0.78</v>
      </c>
      <c r="ED119" s="48">
        <f>((Formula!C119)/(Formula!C119+Formula!E119+Formula!G119+Formula!I119+Formula!K119))*(INDEX(Properties!A$1:CB$87,Formula!B119,45))+((Formula!E119)/(Formula!C119+Formula!E119+Formula!G119+Formula!I119+Formula!K119))*(INDEX(Properties!A$1:CB$87,Formula!D119,45))+((Formula!G119)/(Formula!C119+Formula!E119+Formula!G119+Formula!I119+Formula!K119))*(INDEX(Properties!A$1:CB$87,Formula!F119,45))+((Formula!I119)/(Formula!C119+Formula!E119+Formula!G119+Formula!I119+Formula!K119))*(INDEX(Properties!A$1:CB$87,Formula!H119,45))+((Formula!K119)/(Formula!C119+Formula!E119+Formula!G119+Formula!I119+Formula!K119))*(INDEX(Properties!A$1:CB$87,Formula!J119,45))</f>
        <v>1.3585714285714283</v>
      </c>
      <c r="EE119" s="48">
        <f>Formula!C119*(INDEX(Properties!A$1:CB$87,Formula!B119,45))+Formula!E119*(INDEX(Properties!A$1:CB$87,Formula!D119,45))+Formula!G119*(INDEX(Properties!A$1:CB$87,Formula!F119,45))+Formula!I119*(INDEX(Properties!A$1:CB$87,Formula!H119,45))+Formula!K119*(INDEX(Properties!A$1:CB$87,Formula!J119,45))</f>
        <v>9.51</v>
      </c>
      <c r="EF119" s="48">
        <f>VARP(IF(INDEX(Properties!A$1:CB$87,Formula!B119,45)&lt;&gt;"",INDEX(Properties!A$1:CB$87,Formula!B119,45)),IF(INDEX(Properties!A$1:CB$87,Formula!D119,45)&lt;&gt;"",INDEX(Properties!A$1:CB$87,Formula!D119,45)),IF(INDEX(Properties!A$1:CB$87,Formula!F119,45)&lt;&gt;"",INDEX(Properties!A$1:CB$87,Formula!F119,45)),IF(INDEX(Properties!A$1:CB$87,Formula!H119,45)&lt;&gt;"",INDEX(Properties!A$1:CB$87,Formula!H119,45)),IF(INDEX(Properties!A$1:CB$87,Formula!J119,45)&lt;&gt;"",INDEX(Properties!A$1:CB$87,Formula!J119,45)))</f>
        <v>1.6838799999999998</v>
      </c>
      <c r="EG119" s="48">
        <f>MAX(INDEX(Properties!A$1:CB$87,Formula!B119,45),INDEX(Properties!A$1:CB$87,Formula!D119,45),INDEX(Properties!A$1:CB$87,Formula!F119,45),INDEX(Properties!A$1:CB$87,Formula!H119,45),INDEX(Properties!A$1:CB$87,Formula!J119,45))</f>
        <v>3.21</v>
      </c>
      <c r="EH119" s="48">
        <f>MIN(IF(INDEX(Properties!A$1:CB$87,Formula!B119,45)=0,10^6,INDEX(Properties!A$1:CB$87,Formula!B119,45)),IF(INDEX(Properties!A$1:CB$87,Formula!D119,45)=0,10^6,INDEX(Properties!A$1:CB$87,Formula!D119,45)),IF(INDEX(Properties!A$1:CB$87,Formula!F119,45)=0,10^6,INDEX(Properties!A$1:CB$87,Formula!F119,45)),IF(INDEX(Properties!A$1:CB$87,Formula!H119,45)=0,10^6,INDEX(Properties!A$1:CB$87,Formula!H119,45)),IF(INDEX(Properties!A$1:CB$87,Formula!J119,45)=0,10^6,INDEX(Properties!A$1:CB$87,Formula!J119,45)))</f>
        <v>0.47</v>
      </c>
      <c r="EI119" s="48">
        <f t="shared" si="54"/>
        <v>2.74</v>
      </c>
      <c r="EJ119" s="66">
        <f>((Formula!C119)/(Formula!C119+Formula!E119+Formula!G119+Formula!I119+Formula!K119))*(INDEX(Properties!A$1:CB$87,Formula!B119,46))+((Formula!E119)/(Formula!C119+Formula!E119+Formula!G119+Formula!I119+Formula!K119))*(INDEX(Properties!A$1:CB$87,Formula!D119,46))+((Formula!G119)/(Formula!C119+Formula!E119+Formula!G119+Formula!I119+Formula!K119))*(INDEX(Properties!A$1:CB$87,Formula!F119,46))+((Formula!I119)/(Formula!C119+Formula!E119+Formula!G119+Formula!I119+Formula!K119))*(INDEX(Properties!A$1:CB$87,Formula!H119,46))+((Formula!K119)/(Formula!C119+Formula!E119+Formula!G119+Formula!I119+Formula!K119))*(INDEX(Properties!A$1:CB$87,Formula!J119,46))</f>
        <v>1.1000000000000001</v>
      </c>
      <c r="EK119" s="66">
        <f>Formula!C119*(INDEX(Properties!A$1:CB$87,Formula!B119,46))+Formula!E119*(INDEX(Properties!A$1:CB$87,Formula!D119,46))+Formula!G119*(INDEX(Properties!A$1:CB$87,Formula!F119,46))+Formula!I119*(INDEX(Properties!A$1:CB$87,Formula!H119,46))+Formula!K119*(INDEX(Properties!A$1:CB$87,Formula!J119,46))</f>
        <v>7.6999999999999993</v>
      </c>
      <c r="EL119" s="66">
        <f>VARP(IF(INDEX(Properties!A$1:CB$87,Formula!B119,46)&lt;&gt;"",INDEX(Properties!A$1:CB$87,Formula!B119,46)),IF(INDEX(Properties!A$1:CB$87,Formula!D119,46)&lt;&gt;"",INDEX(Properties!A$1:CB$87,Formula!D119,46)),IF(INDEX(Properties!A$1:CB$87,Formula!F119,46)&lt;&gt;"",INDEX(Properties!A$1:CB$87,Formula!F119,46)),IF(INDEX(Properties!A$1:CB$87,Formula!H119,46)&lt;&gt;"",INDEX(Properties!A$1:CB$87,Formula!H119,46)),IF(INDEX(Properties!A$1:CB$87,Formula!J119,46)&lt;&gt;"",INDEX(Properties!A$1:CB$87,Formula!J119,46)))</f>
        <v>0.27062399999999998</v>
      </c>
      <c r="EM119" s="66">
        <f>MAX(INDEX(Properties!A$1:CB$87,Formula!B119,46),INDEX(Properties!A$1:CB$87,Formula!D119,46),INDEX(Properties!A$1:CB$87,Formula!F119,46),INDEX(Properties!A$1:CB$87,Formula!H119,46),INDEX(Properties!A$1:CB$87,Formula!J119,46))</f>
        <v>1.32</v>
      </c>
      <c r="EN119" s="66">
        <f>MIN(IF(INDEX(Properties!A$1:CB$87,Formula!B119,46)=0,10^6,INDEX(Properties!A$1:CB$87,Formula!B119,46)),IF(INDEX(Properties!A$1:CB$87,Formula!D119,46)=0,10^6,INDEX(Properties!A$1:CB$87,Formula!D119,46)),IF(INDEX(Properties!A$1:CB$87,Formula!F119,46)=0,10^6,INDEX(Properties!A$1:CB$87,Formula!F119,46)),IF(INDEX(Properties!A$1:CB$87,Formula!H119,46)=0,10^6,INDEX(Properties!A$1:CB$87,Formula!H119,46)),IF(INDEX(Properties!A$1:CB$87,Formula!J119,46)=0,10^6,INDEX(Properties!A$1:CB$87,Formula!J119,46)))</f>
        <v>0.4</v>
      </c>
      <c r="EO119" s="66">
        <f t="shared" si="55"/>
        <v>0.92</v>
      </c>
      <c r="EP119" s="81">
        <f>((Formula!C119)/(Formula!C119+Formula!E119+Formula!G119+Formula!I119+Formula!K119))*(INDEX(Properties!A$1:CB$87,Formula!B119,52))+((Formula!E119)/(Formula!C119+Formula!E119+Formula!G119+Formula!I119+Formula!K119))*(INDEX(Properties!A$1:CB$87,Formula!D119,52))+((Formula!G119)/(Formula!C119+Formula!E119+Formula!G119+Formula!I119+Formula!K119))*(INDEX(Properties!A$1:CB$87,Formula!F119,52))+((Formula!I119)/(Formula!C119+Formula!E119+Formula!G119+Formula!I119+Formula!K119))*(INDEX(Properties!A$1:CB$87,Formula!H119,52))+((Formula!K119)/(Formula!C119+Formula!E119+Formula!G119+Formula!I119+Formula!K119))*(INDEX(Properties!A$1:CB$87,Formula!J119,52))</f>
        <v>8.4245714285714293</v>
      </c>
      <c r="EQ119" s="81">
        <f>Formula!C119*(INDEX(Properties!A$1:CB$87,Formula!B119,52))+Formula!E119*(INDEX(Properties!A$1:CB$87,Formula!D119,52))+Formula!G119*(INDEX(Properties!A$1:CB$87,Formula!F119,52))+Formula!I119*(INDEX(Properties!A$1:CB$87,Formula!H119,52))+Formula!K119*(INDEX(Properties!A$1:CB$87,Formula!J119,52))</f>
        <v>58.972000000000001</v>
      </c>
      <c r="ER119" s="81">
        <f>VARP(IF(INDEX(Properties!A$1:CB$87,Formula!B119,52)&lt;&gt;"",INDEX(Properties!A$1:CB$87,Formula!B119,52)),IF(INDEX(Properties!A$1:CB$87,Formula!D119,52)&lt;&gt;"",INDEX(Properties!A$1:CB$87,Formula!D119,52)),IF(INDEX(Properties!A$1:CB$87,Formula!F119,52)&lt;&gt;"",INDEX(Properties!A$1:CB$87,Formula!F119,52)),IF(INDEX(Properties!A$1:CB$87,Formula!H119,52)&lt;&gt;"",INDEX(Properties!A$1:CB$87,Formula!H119,52)),IF(INDEX(Properties!A$1:CB$87,Formula!J119,52)&lt;&gt;"",INDEX(Properties!A$1:CB$87,Formula!J119,52)))</f>
        <v>134.16706384</v>
      </c>
      <c r="ES119" s="81">
        <f>MAX(INDEX(Properties!A$1:CB$87,Formula!B119,52),INDEX(Properties!A$1:CB$87,Formula!D119,52),INDEX(Properties!A$1:CB$87,Formula!F119,52),INDEX(Properties!A$1:CB$87,Formula!H119,52),INDEX(Properties!A$1:CB$87,Formula!J119,52))</f>
        <v>27.6</v>
      </c>
      <c r="ET119" s="81">
        <f>MIN(IF(INDEX(Properties!A$1:CB$87,Formula!B119,52)=0,10^6,INDEX(Properties!A$1:CB$87,Formula!B119,52)),IF(INDEX(Properties!A$1:CB$87,Formula!D119,52)=0,10^6,INDEX(Properties!A$1:CB$87,Formula!D119,52)),IF(INDEX(Properties!A$1:CB$87,Formula!F119,52)=0,10^6,INDEX(Properties!A$1:CB$87,Formula!F119,52)),IF(INDEX(Properties!A$1:CB$87,Formula!H119,52)=0,10^6,INDEX(Properties!A$1:CB$87,Formula!H119,52)),IF(INDEX(Properties!A$1:CB$87,Formula!J119,52)=0,10^6,INDEX(Properties!A$1:CB$87,Formula!J119,52)))</f>
        <v>0.79300000000000004</v>
      </c>
      <c r="EU119" s="81">
        <f t="shared" si="56"/>
        <v>26.807000000000002</v>
      </c>
      <c r="EV119" s="39">
        <f>((Formula!C119)/(Formula!C119+Formula!E119+Formula!G119+Formula!I119+Formula!K119))*(INDEX(Properties!A$1:CB$87,Formula!B119,53))+((Formula!E119)/(Formula!C119+Formula!E119+Formula!G119+Formula!I119+Formula!K119))*(INDEX(Properties!A$1:CB$87,Formula!D119,53))+((Formula!G119)/(Formula!C119+Formula!E119+Formula!G119+Formula!I119+Formula!K119))*(INDEX(Properties!A$1:CB$87,Formula!F119,53))+((Formula!I119)/(Formula!C119+Formula!E119+Formula!G119+Formula!I119+Formula!K119))*(INDEX(Properties!A$1:CB$87,Formula!H119,53))+((Formula!K119)/(Formula!C119+Formula!E119+Formula!G119+Formula!I119+Formula!K119))*(INDEX(Properties!A$1:CB$87,Formula!J119,53))</f>
        <v>579.49285714285702</v>
      </c>
      <c r="EW119" s="39">
        <f>Formula!C119*(INDEX(Properties!A$1:CB$87,Formula!B119,53))+Formula!E119*(INDEX(Properties!A$1:CB$87,Formula!D119,53))+Formula!G119*(INDEX(Properties!A$1:CB$87,Formula!F119,53))+Formula!I119*(INDEX(Properties!A$1:CB$87,Formula!H119,53))+Formula!K119*(INDEX(Properties!A$1:CB$87,Formula!J119,53))</f>
        <v>4056.4500000000003</v>
      </c>
      <c r="EX119" s="39">
        <f>VARP(IF(INDEX(Properties!A$1:CB$87,Formula!B119,53)&lt;&gt;"",INDEX(Properties!A$1:CB$87,Formula!B119,53)),IF(INDEX(Properties!A$1:CB$87,Formula!D119,53)&lt;&gt;"",INDEX(Properties!A$1:CB$87,Formula!D119,53)),IF(INDEX(Properties!A$1:CB$87,Formula!F119,53)&lt;&gt;"",INDEX(Properties!A$1:CB$87,Formula!F119,53)),IF(INDEX(Properties!A$1:CB$87,Formula!H119,53)&lt;&gt;"",INDEX(Properties!A$1:CB$87,Formula!H119,53)),IF(INDEX(Properties!A$1:CB$87,Formula!J119,53)&lt;&gt;"",INDEX(Properties!A$1:CB$87,Formula!J119,53)))</f>
        <v>425820.3124</v>
      </c>
      <c r="EY119" s="39">
        <f>MAX(INDEX(Properties!A$1:CB$87,Formula!B119,53),INDEX(Properties!A$1:CB$87,Formula!D119,53),INDEX(Properties!A$1:CB$87,Formula!F119,53),INDEX(Properties!A$1:CB$87,Formula!H119,53),INDEX(Properties!A$1:CB$87,Formula!J119,53))</f>
        <v>1683.15</v>
      </c>
      <c r="EZ119" s="39">
        <f>MIN(IF(INDEX(Properties!A$1:CB$87,Formula!B119,53)=0,10^6,INDEX(Properties!A$1:CB$87,Formula!B119,53)),IF(INDEX(Properties!A$1:CB$87,Formula!D119,53)=0,10^6,INDEX(Properties!A$1:CB$87,Formula!D119,53)),IF(INDEX(Properties!A$1:CB$87,Formula!F119,53)=0,10^6,INDEX(Properties!A$1:CB$87,Formula!F119,53)),IF(INDEX(Properties!A$1:CB$87,Formula!H119,53)=0,10^6,INDEX(Properties!A$1:CB$87,Formula!H119,53)),IF(INDEX(Properties!A$1:CB$87,Formula!J119,53)=0,10^6,INDEX(Properties!A$1:CB$87,Formula!J119,53)))</f>
        <v>54.749999999999972</v>
      </c>
      <c r="FA119" s="39">
        <f t="shared" si="57"/>
        <v>1628.4</v>
      </c>
      <c r="FB119" s="54">
        <f>((Formula!C119)/(Formula!C119+Formula!E119+Formula!G119+Formula!I119+Formula!K119))*(INDEX(Properties!A$1:CB$87,Formula!B119,54))+((Formula!E119)/(Formula!C119+Formula!E119+Formula!G119+Formula!I119+Formula!K119))*(INDEX(Properties!A$1:CB$87,Formula!D119,54))+((Formula!G119)/(Formula!C119+Formula!E119+Formula!G119+Formula!I119+Formula!K119))*(INDEX(Properties!A$1:CB$87,Formula!F119,54))+((Formula!I119)/(Formula!C119+Formula!E119+Formula!G119+Formula!I119+Formula!K119))*(INDEX(Properties!A$1:CB$87,Formula!H119,54))+((Formula!K119)/(Formula!C119+Formula!E119+Formula!G119+Formula!I119+Formula!K119))*(INDEX(Properties!A$1:CB$87,Formula!J119,54))</f>
        <v>914.72142857142853</v>
      </c>
      <c r="FC119" s="54">
        <f>Formula!C119*(INDEX(Properties!A$1:CB$87,Formula!B119,54))+Formula!E119*(INDEX(Properties!A$1:CB$87,Formula!D119,54))+Formula!G119*(INDEX(Properties!A$1:CB$87,Formula!F119,54))+Formula!I119*(INDEX(Properties!A$1:CB$87,Formula!H119,54))+Formula!K119*(INDEX(Properties!A$1:CB$87,Formula!J119,54))</f>
        <v>6403.0500000000011</v>
      </c>
      <c r="FD119" s="54">
        <f>VARP(IF(INDEX(Properties!A$1:CB$87,Formula!B119,54)&lt;&gt;"",INDEX(Properties!A$1:CB$87,Formula!B119,54)),IF(INDEX(Properties!A$1:CB$87,Formula!D119,54)&lt;&gt;"",INDEX(Properties!A$1:CB$87,Formula!D119,54)),IF(INDEX(Properties!A$1:CB$87,Formula!F119,54)&lt;&gt;"",INDEX(Properties!A$1:CB$87,Formula!F119,54)),IF(INDEX(Properties!A$1:CB$87,Formula!H119,54)&lt;&gt;"",INDEX(Properties!A$1:CB$87,Formula!H119,54)),IF(INDEX(Properties!A$1:CB$87,Formula!J119,54)&lt;&gt;"",INDEX(Properties!A$1:CB$87,Formula!J119,54)))</f>
        <v>1045453.0275999999</v>
      </c>
      <c r="FE119" s="54">
        <f>MAX(INDEX(Properties!A$1:CB$87,Formula!B119,54),INDEX(Properties!A$1:CB$87,Formula!D119,54),INDEX(Properties!A$1:CB$87,Formula!F119,54),INDEX(Properties!A$1:CB$87,Formula!H119,54),INDEX(Properties!A$1:CB$87,Formula!J119,54))</f>
        <v>2628.15</v>
      </c>
      <c r="FF119" s="54">
        <f>MIN(IF(INDEX(Properties!A$1:CB$87,Formula!B119,54)=0,10^6,INDEX(Properties!A$1:CB$87,Formula!B119,54)),IF(INDEX(Properties!A$1:CB$87,Formula!D119,54)=0,10^6,INDEX(Properties!A$1:CB$87,Formula!D119,54)),IF(INDEX(Properties!A$1:CB$87,Formula!F119,54)=0,10^6,INDEX(Properties!A$1:CB$87,Formula!F119,54)),IF(INDEX(Properties!A$1:CB$87,Formula!H119,54)=0,10^6,INDEX(Properties!A$1:CB$87,Formula!H119,54)),IF(INDEX(Properties!A$1:CB$87,Formula!J119,54)=0,10^6,INDEX(Properties!A$1:CB$87,Formula!J119,54)))</f>
        <v>90.149999999999977</v>
      </c>
      <c r="FG119" s="54">
        <f t="shared" si="58"/>
        <v>2538</v>
      </c>
      <c r="FH119" s="69">
        <f>((Formula!C119)/(Formula!C119+Formula!E119+Formula!G119+Formula!I119+Formula!K119))*(INDEX(Properties!A$1:CB$87,Formula!B119,55))+((Formula!E119)/(Formula!C119+Formula!E119+Formula!G119+Formula!I119+Formula!K119))*(INDEX(Properties!A$1:CB$87,Formula!D119,55))+((Formula!G119)/(Formula!C119+Formula!E119+Formula!G119+Formula!I119+Formula!K119))*(INDEX(Properties!A$1:CB$87,Formula!F119,55))+((Formula!I119)/(Formula!C119+Formula!E119+Formula!G119+Formula!I119+Formula!K119))*(INDEX(Properties!A$1:CB$87,Formula!H119,55))+((Formula!K119)/(Formula!C119+Formula!E119+Formula!G119+Formula!I119+Formula!K119))*(INDEX(Properties!A$1:CB$87,Formula!J119,55))</f>
        <v>0.93081714285714279</v>
      </c>
      <c r="FI119" s="69">
        <f>Formula!C119*(INDEX(Properties!A$1:CB$87,Formula!B119,55))+Formula!E119*(INDEX(Properties!A$1:CB$87,Formula!D119,54))+Formula!G119*(INDEX(Properties!A$1:CB$87,Formula!F119,55))+Formula!I119*(INDEX(Properties!A$1:CB$87,Formula!H119,55))+Formula!K119*(INDEX(Properties!A$1:CB$87,Formula!J119,55))</f>
        <v>1762.1157200000002</v>
      </c>
      <c r="FJ119" s="69">
        <f>VARP(IF(INDEX(Properties!A$1:CB$87,Formula!B119,55)&lt;&gt;"",INDEX(Properties!A$1:CB$87,Formula!B119,55)),IF(INDEX(Properties!A$1:CB$87,Formula!D119,55)&lt;&gt;"",INDEX(Properties!A$1:CB$87,Formula!D119,55)),IF(INDEX(Properties!A$1:CB$87,Formula!F119,55)&lt;&gt;"",INDEX(Properties!A$1:CB$87,Formula!F119,55)),IF(INDEX(Properties!A$1:CB$87,Formula!H119,55)&lt;&gt;"",INDEX(Properties!A$1:CB$87,Formula!H119,55)),IF(INDEX(Properties!A$1:CB$87,Formula!J119,55)&lt;&gt;"",INDEX(Properties!A$1:CB$87,Formula!J119,55)))</f>
        <v>1.2537115831840004</v>
      </c>
      <c r="FK119" s="69">
        <f>MAX(INDEX(Properties!A$1:CB$87,Formula!B119,55),INDEX(Properties!A$1:CB$87,Formula!D119,55),INDEX(Properties!A$1:CB$87,Formula!F119,55),INDEX(Properties!A$1:CB$87,Formula!H119,55),INDEX(Properties!A$1:CB$87,Formula!J119,55))</f>
        <v>2.63</v>
      </c>
      <c r="FL119" s="69">
        <f>MIN(IF(INDEX(Properties!A$1:CB$87,Formula!B119,55)=0,10^6,INDEX(Properties!A$1:CB$87,Formula!B119,55)),IF(INDEX(Properties!A$1:CB$87,Formula!D119,55)=0,10^6,INDEX(Properties!A$1:CB$87,Formula!D119,55)),IF(INDEX(Properties!A$1:CB$87,Formula!F119,55)=0,10^6,INDEX(Properties!A$1:CB$87,Formula!F119,55)),IF(INDEX(Properties!A$1:CB$87,Formula!H119,55)=0,10^6,INDEX(Properties!A$1:CB$87,Formula!H119,55)),IF(INDEX(Properties!A$1:CB$87,Formula!J119,55)=0,10^6,INDEX(Properties!A$1:CB$87,Formula!J119,55)))</f>
        <v>1.4300000000000001E-3</v>
      </c>
      <c r="FM119" s="69">
        <f t="shared" si="59"/>
        <v>2.6285699999999999</v>
      </c>
      <c r="FN119" s="42">
        <f>((Formula!C119)/(Formula!C119+Formula!E119+Formula!G119+Formula!I119+Formula!K119))*(INDEX(Properties!A$1:CB$87,Formula!B119,56))+((Formula!E119)/(Formula!C119+Formula!E119+Formula!G119+Formula!I119+Formula!K119))*(INDEX(Properties!A$1:CB$87,Formula!D119,56))+((Formula!G119)/(Formula!C119+Formula!E119+Formula!G119+Formula!I119+Formula!K119))*(INDEX(Properties!A$1:CB$87,Formula!F119,56))+((Formula!I119)/(Formula!C119+Formula!E119+Formula!G119+Formula!I119+Formula!K119))*(INDEX(Properties!A$1:CB$87,Formula!H119,56))+((Formula!K119)/(Formula!C119+Formula!E119+Formula!G119+Formula!I119+Formula!K119))*(INDEX(Properties!A$1:CB$87,Formula!J119,56))</f>
        <v>0.76</v>
      </c>
      <c r="FO119" s="42">
        <f>Formula!C119*(INDEX(Properties!A$1:CB$87,Formula!B119,56))+Formula!E119*(INDEX(Properties!A$1:CB$87,Formula!D119,56))+Formula!G119*(INDEX(Properties!A$1:CB$87,Formula!F119,56))+Formula!I119*(INDEX(Properties!A$1:CB$87,Formula!H119,56))+Formula!K119*(INDEX(Properties!A$1:CB$87,Formula!J119,56))</f>
        <v>5.32</v>
      </c>
      <c r="FP119" s="42">
        <f>VARP(IF(INDEX(Properties!A$1:CB$87,Formula!B119,56)&lt;&gt;"",INDEX(Properties!A$1:CB$87,Formula!B119,56)),IF(INDEX(Properties!A$1:CB$87,Formula!D119,56)&lt;&gt;"",INDEX(Properties!A$1:CB$87,Formula!D119,56)),IF(INDEX(Properties!A$1:CB$87,Formula!F119,56)&lt;&gt;"",INDEX(Properties!A$1:CB$87,Formula!F119,56)),IF(INDEX(Properties!A$1:CB$87,Formula!H119,56)&lt;&gt;"",INDEX(Properties!A$1:CB$87,Formula!H119,56)),IF(INDEX(Properties!A$1:CB$87,Formula!J119,56)&lt;&gt;"",INDEX(Properties!A$1:CB$87,Formula!J119,56)))</f>
        <v>0.10533600000000004</v>
      </c>
      <c r="FQ119" s="42">
        <f>MAX(INDEX(Properties!A$1:CB$87,Formula!B119,56),INDEX(Properties!A$1:CB$87,Formula!D119,56),INDEX(Properties!A$1:CB$87,Formula!F119,56),INDEX(Properties!A$1:CB$87,Formula!H119,56),INDEX(Properties!A$1:CB$87,Formula!J119,56))</f>
        <v>0.92</v>
      </c>
      <c r="FR119" s="42">
        <f>MIN(IF(INDEX(Properties!A$1:CB$87,Formula!B119,56)=0,10^6,INDEX(Properties!A$1:CB$87,Formula!B119,56)),IF(INDEX(Properties!A$1:CB$87,Formula!D119,56)=0,10^6,INDEX(Properties!A$1:CB$87,Formula!D119,56)),IF(INDEX(Properties!A$1:CB$87,Formula!F119,56)=0,10^6,INDEX(Properties!A$1:CB$87,Formula!F119,56)),IF(INDEX(Properties!A$1:CB$87,Formula!H119,56)=0,10^6,INDEX(Properties!A$1:CB$87,Formula!H119,56)),IF(INDEX(Properties!A$1:CB$87,Formula!J119,56)=0,10^6,INDEX(Properties!A$1:CB$87,Formula!J119,56)))</f>
        <v>0.3</v>
      </c>
      <c r="FS119" s="42">
        <f t="shared" si="60"/>
        <v>0.62000000000000011</v>
      </c>
      <c r="FT119" s="60">
        <f>((Formula!C119)/(Formula!C119+Formula!E119+Formula!G119+Formula!I119+Formula!K119))*(INDEX(Properties!A$1:CB$87,Formula!B119,57))+((Formula!E119)/(Formula!C119+Formula!E119+Formula!G119+Formula!I119+Formula!K119))*(INDEX(Properties!A$1:CB$87,Formula!D119,57))+((Formula!G119)/(Formula!C119+Formula!E119+Formula!G119+Formula!I119+Formula!K119))*(INDEX(Properties!A$1:CB$87,Formula!F119,57))+((Formula!I119)/(Formula!C119+Formula!E119+Formula!G119+Formula!I119+Formula!K119))*(INDEX(Properties!A$1:CB$87,Formula!H119,57))+((Formula!K119)/(Formula!C119+Formula!E119+Formula!G119+Formula!I119+Formula!K119))*(INDEX(Properties!A$1:CB$87,Formula!J119,57))</f>
        <v>9.7543371428571426</v>
      </c>
      <c r="FU119" s="60">
        <f>Formula!C119*(INDEX(Properties!A$1:CB$87,Formula!B119,57))+Formula!E119*(INDEX(Properties!A$1:CB$87,Formula!D119,57))+Formula!G119*(INDEX(Properties!A$1:CB$87,Formula!F119,57))+Formula!I119*(INDEX(Properties!A$1:CB$87,Formula!H119,57))+Formula!K119*(INDEX(Properties!A$1:CB$87,Formula!J119,57))</f>
        <v>68.280360000000002</v>
      </c>
      <c r="FV119" s="60">
        <f>VARP(IF(INDEX(Properties!A$1:CB$87,Formula!B119,57)&lt;&gt;"",INDEX(Properties!A$1:CB$87,Formula!B119,57)),IF(INDEX(Properties!A$1:CB$87,Formula!D119,57)&lt;&gt;"",INDEX(Properties!A$1:CB$87,Formula!D119,57)),IF(INDEX(Properties!A$1:CB$87,Formula!F119,57)&lt;&gt;"",INDEX(Properties!A$1:CB$87,Formula!F119,57)),IF(INDEX(Properties!A$1:CB$87,Formula!H119,57)&lt;&gt;"",INDEX(Properties!A$1:CB$87,Formula!H119,57)),IF(INDEX(Properties!A$1:CB$87,Formula!J119,57)&lt;&gt;"",INDEX(Properties!A$1:CB$87,Formula!J119,57)))</f>
        <v>356.57623620129596</v>
      </c>
      <c r="FW119" s="60">
        <f>MAX(INDEX(Properties!A$1:CB$87,Formula!B119,57),INDEX(Properties!A$1:CB$87,Formula!D119,57),INDEX(Properties!A$1:CB$87,Formula!F119,57),INDEX(Properties!A$1:CB$87,Formula!H119,57),INDEX(Properties!A$1:CB$87,Formula!J119,57))</f>
        <v>50.55</v>
      </c>
      <c r="FX119" s="60">
        <f>MIN(IF(INDEX(Properties!A$1:CB$87,Formula!B119,57)=0,10^6,INDEX(Properties!A$1:CB$87,Formula!B119,57)),IF(INDEX(Properties!A$1:CB$87,Formula!D119,57)=0,10^6,INDEX(Properties!A$1:CB$87,Formula!D119,57)),IF(INDEX(Properties!A$1:CB$87,Formula!F119,57)=0,10^6,INDEX(Properties!A$1:CB$87,Formula!F119,57)),IF(INDEX(Properties!A$1:CB$87,Formula!H119,57)=0,10^6,INDEX(Properties!A$1:CB$87,Formula!H119,57)),IF(INDEX(Properties!A$1:CB$87,Formula!J119,57)=0,10^6,INDEX(Properties!A$1:CB$87,Formula!J119,57)))</f>
        <v>0.22259000000000001</v>
      </c>
      <c r="FY119" s="60">
        <f t="shared" si="61"/>
        <v>50.32741</v>
      </c>
      <c r="FZ119" s="72">
        <f>((Formula!C119)/(Formula!C119+Formula!E119+Formula!G119+Formula!I119+Formula!K119))*(INDEX(Properties!A$1:CB$87,Formula!B119,60))+((Formula!E119)/(Formula!C119+Formula!E119+Formula!G119+Formula!I119+Formula!K119))*(INDEX(Properties!A$1:CB$87,Formula!D119,60))+((Formula!G119)/(Formula!C119+Formula!E119+Formula!G119+Formula!I119+Formula!K119))*(INDEX(Properties!A$1:CB$87,Formula!F119,60))+((Formula!I119)/(Formula!C119+Formula!E119+Formula!G119+Formula!I119+Formula!K119))*(INDEX(Properties!A$1:CB$87,Formula!H119,60))+((Formula!K119)/(Formula!C119+Formula!E119+Formula!G119+Formula!I119+Formula!K119))*(INDEX(Properties!A$1:CB$87,Formula!J119,60))</f>
        <v>54.77242285714285</v>
      </c>
      <c r="GA119" s="72">
        <f>Formula!C119*(INDEX(Properties!A$1:CB$87,Formula!B119,60))+Formula!E119*(INDEX(Properties!A$1:CB$87,Formula!D119,60))+Formula!G119*(INDEX(Properties!A$1:CB$87,Formula!F119,60))+Formula!I119*(INDEX(Properties!A$1:CB$87,Formula!H119,60))+Formula!K119*(INDEX(Properties!A$1:CB$87,Formula!J119,60))</f>
        <v>383.40696000000003</v>
      </c>
      <c r="GB119" s="72">
        <f>VARP(IF(INDEX(Properties!A$1:CB$87,Formula!B119,60)&lt;&gt;"",INDEX(Properties!A$1:CB$87,Formula!B119,60)),IF(INDEX(Properties!A$1:CB$87,Formula!D119,60)&lt;&gt;"",INDEX(Properties!A$1:CB$87,Formula!D119,60)),IF(INDEX(Properties!A$1:CB$87,Formula!F119,60)&lt;&gt;"",INDEX(Properties!A$1:CB$87,Formula!F119,60)),IF(INDEX(Properties!A$1:CB$87,Formula!H119,60)&lt;&gt;"",INDEX(Properties!A$1:CB$87,Formula!H119,60)),IF(INDEX(Properties!A$1:CB$87,Formula!J119,60)&lt;&gt;"",INDEX(Properties!A$1:CB$87,Formula!J119,60)))</f>
        <v>6752.4425590444143</v>
      </c>
      <c r="GC119" s="72">
        <f>MAX(INDEX(Properties!A$1:CB$87,Formula!B119,60),INDEX(Properties!A$1:CB$87,Formula!D119,60),INDEX(Properties!A$1:CB$87,Formula!F119,60),INDEX(Properties!A$1:CB$87,Formula!H119,60),INDEX(Properties!A$1:CB$87,Formula!J119,60))</f>
        <v>200</v>
      </c>
      <c r="GD119" s="72">
        <f>MIN(IF(INDEX(Properties!A$1:CB$87,Formula!B119,60)=0,10^6,INDEX(Properties!A$1:CB$87,Formula!B119,60)),IF(INDEX(Properties!A$1:CB$87,Formula!D119,60)=0,10^6,INDEX(Properties!A$1:CB$87,Formula!D119,60)),IF(INDEX(Properties!A$1:CB$87,Formula!F119,60)=0,10^6,INDEX(Properties!A$1:CB$87,Formula!F119,60)),IF(INDEX(Properties!A$1:CB$87,Formula!H119,60)=0,10^6,INDEX(Properties!A$1:CB$87,Formula!H119,60)),IF(INDEX(Properties!A$1:CB$87,Formula!J119,60)=0,10^6,INDEX(Properties!A$1:CB$87,Formula!J119,60)))</f>
        <v>2.674E-2</v>
      </c>
      <c r="GE119" s="72">
        <f t="shared" si="62"/>
        <v>199.97326000000001</v>
      </c>
      <c r="GF119" s="51">
        <f>((Formula!C119)/(Formula!C119+Formula!E119+Formula!G119+Formula!I119+Formula!K119))*(INDEX(Properties!A$1:CB$87,Formula!B119,62))+((Formula!E119)/(Formula!C119+Formula!E119+Formula!G119+Formula!I119+Formula!K119))*(INDEX(Properties!A$1:CB$87,Formula!D119,62))+((Formula!G119)/(Formula!C119+Formula!E119+Formula!G119+Formula!I119+Formula!K119))*(INDEX(Properties!A$1:CB$87,Formula!F119,62))+((Formula!I119)/(Formula!C119+Formula!E119+Formula!G119+Formula!I119+Formula!K119))*(INDEX(Properties!A$1:CB$87,Formula!H119,62))+((Formula!K119)/(Formula!C119+Formula!E119+Formula!G119+Formula!I119+Formula!K119))*(INDEX(Properties!A$1:CB$87,Formula!J119,62))</f>
        <v>2.6671428571428573</v>
      </c>
      <c r="GG119" s="51">
        <f>Formula!C119*(INDEX(Properties!A$1:CB$87,Formula!B119,62))+Formula!E119*(INDEX(Properties!A$1:CB$87,Formula!D119,62))+Formula!G119*(INDEX(Properties!A$1:CB$87,Formula!F119,62))+Formula!I119*(INDEX(Properties!A$1:CB$87,Formula!H119,62))+Formula!K119*(INDEX(Properties!A$1:CB$87,Formula!J119,62))</f>
        <v>18.670000000000002</v>
      </c>
      <c r="GH119" s="51">
        <f>VARP(IF(INDEX(Properties!A$1:CB$87,Formula!B119,62)&lt;&gt;"",INDEX(Properties!A$1:CB$87,Formula!B119,62)),IF(INDEX(Properties!A$1:CB$87,Formula!D119,62)&lt;&gt;"",INDEX(Properties!A$1:CB$87,Formula!D119,62)),IF(INDEX(Properties!A$1:CB$87,Formula!F119,62)&lt;&gt;"",INDEX(Properties!A$1:CB$87,Formula!F119,62)),IF(INDEX(Properties!A$1:CB$87,Formula!H119,62)&lt;&gt;"",INDEX(Properties!A$1:CB$87,Formula!H119,62)),IF(INDEX(Properties!A$1:CB$87,Formula!J119,62)&lt;&gt;"",INDEX(Properties!A$1:CB$87,Formula!J119,62)))</f>
        <v>2.2548160000000008</v>
      </c>
      <c r="GI119" s="51">
        <f>MAX(INDEX(Properties!A$1:CB$87,Formula!B119,62),INDEX(Properties!A$1:CB$87,Formula!D119,62),INDEX(Properties!A$1:CB$87,Formula!F119,62),INDEX(Properties!A$1:CB$87,Formula!H119,62),INDEX(Properties!A$1:CB$87,Formula!J119,62))</f>
        <v>4.63</v>
      </c>
      <c r="GJ119" s="51">
        <f>MIN(IF(INDEX(Properties!A$1:CB$87,Formula!B119,62)=0,10^6,INDEX(Properties!A$1:CB$87,Formula!B119,62)),IF(INDEX(Properties!A$1:CB$87,Formula!D119,62)=0,10^6,INDEX(Properties!A$1:CB$87,Formula!D119,62)),IF(INDEX(Properties!A$1:CB$87,Formula!F119,62)=0,10^6,INDEX(Properties!A$1:CB$87,Formula!F119,62)),IF(INDEX(Properties!A$1:CB$87,Formula!H119,62)=0,10^6,INDEX(Properties!A$1:CB$87,Formula!H119,62)),IF(INDEX(Properties!A$1:CB$87,Formula!J119,62)=0,10^6,INDEX(Properties!A$1:CB$87,Formula!J119,62)))</f>
        <v>1.72</v>
      </c>
      <c r="GK119" s="51">
        <f t="shared" si="63"/>
        <v>2.91</v>
      </c>
      <c r="GL119" s="51">
        <f>Formula!P119</f>
        <v>62</v>
      </c>
      <c r="GM119" s="57">
        <f>Formula!O119</f>
        <v>3</v>
      </c>
      <c r="GN119" s="51">
        <f>Formula!N119</f>
        <v>0.1</v>
      </c>
    </row>
    <row r="120" spans="1:196" x14ac:dyDescent="0.3">
      <c r="A120" s="84" t="str">
        <f>Formula!A120</f>
        <v>Li2ZnTi3O8</v>
      </c>
      <c r="B120" s="89">
        <f>((Formula!C120)/(Formula!C120+Formula!E120+Formula!G120+Formula!I120+Formula!K120))*(INDEX(Properties!A$1:CB$87,Formula!B120,3))+((Formula!E120)/(Formula!C120+Formula!E120+Formula!G120+Formula!I120+Formula!K120))*(INDEX(Properties!A$1:CB$87,Formula!D120,3))+((Formula!G120)/(Formula!C120+Formula!E120+Formula!G120+Formula!I120+Formula!K120))*(INDEX(Properties!A$1:CB$87,Formula!F120,3))+((Formula!I120)/(Formula!C120+Formula!E120+Formula!G120+Formula!I120+Formula!K120))*(INDEX(Properties!A$1:CB$87,Formula!H120,3))+((Formula!K120)/(Formula!C120+Formula!E120+Formula!G120+Formula!I120+Formula!K120))*(INDEX(Properties!A$1:CB$87,Formula!J120,3))</f>
        <v>25.061299999999996</v>
      </c>
      <c r="C120" s="85">
        <f>Formula!C120*(INDEX(Properties!A$1:CB$87,Formula!B120,3))+Formula!E120*(INDEX(Properties!A$1:CB$87,Formula!D120,3))+Formula!G120*(INDEX(Properties!A$1:CB$87,Formula!F120,3))+Formula!I120*(INDEX(Properties!A$1:CB$87,Formula!H120,3))+Formula!K120*(INDEX(Properties!A$1:CB$87,Formula!J120,3))</f>
        <v>350.85820000000001</v>
      </c>
      <c r="D120" s="85">
        <f>VARP(IF(INDEX(Properties!A$1:CB$87,Formula!B120,3)&lt;&gt;"",INDEX(Properties!A$1:CB$87,Formula!B120,3)),IF(INDEX(Properties!A$1:CB$87,Formula!D120,3)&lt;&gt;"",INDEX(Properties!A$1:CB$87,Formula!D120,3)),IF(INDEX(Properties!A$1:CB$87,Formula!F120,3)&lt;&gt;"",INDEX(Properties!A$1:CB$87,Formula!F120,3)),IF(INDEX(Properties!A$1:CB$87,Formula!H120,3)&lt;&gt;"",INDEX(Properties!A$1:CB$87,Formula!H120,3)),IF(INDEX(Properties!A$1:CB$87,Formula!J120,3)&lt;&gt;"",INDEX(Properties!A$1:CB$87,Formula!J120,3)))</f>
        <v>632.11015732160013</v>
      </c>
      <c r="E120" s="85">
        <f>MAX(INDEX(Properties!A$1:CB$87,Formula!B120,3),INDEX(Properties!A$1:CB$87,Formula!D120,3),INDEX(Properties!A$1:CB$87,Formula!F120,3),INDEX(Properties!A$1:CB$87,Formula!H120,3),INDEX(Properties!A$1:CB$87,Formula!J120,3))</f>
        <v>65.38</v>
      </c>
      <c r="F120" s="85">
        <f>MIN(IF(INDEX(Properties!A$1:CB$87,Formula!B120,3)=0,10^6,INDEX(Properties!A$1:CB$87,Formula!B120,3)),IF(INDEX(Properties!A$1:CB$87,Formula!D120,3)=0,10^6,INDEX(Properties!A$1:CB$87,Formula!D120,3)),IF(INDEX(Properties!A$1:CB$87,Formula!F120,3)=0,10^6,INDEX(Properties!A$1:CB$87,Formula!F120,3)),IF(INDEX(Properties!A$1:CB$87,Formula!H120,3)=0,10^6,INDEX(Properties!A$1:CB$87,Formula!H120,3)),IF(INDEX(Properties!A$1:CB$87,Formula!J120,3)=0,10^6,INDEX(Properties!A$1:CB$87,Formula!J120,3)))</f>
        <v>6.9409999999999998</v>
      </c>
      <c r="G120" s="85">
        <f t="shared" si="32"/>
        <v>58.438999999999993</v>
      </c>
      <c r="H120" s="87">
        <f>((Formula!C120)/(Formula!C120+Formula!E120+Formula!G120+Formula!I120+Formula!K120))*(INDEX(Properties!A$1:CB$87,Formula!B120,4))+((Formula!E120)/(Formula!C120+Formula!E120+Formula!G120+Formula!I120+Formula!K120))*(INDEX(Properties!A$1:CB$87,Formula!D120,4))+((Formula!G120)/(Formula!C120+Formula!E120+Formula!G120+Formula!I120+Formula!K120))*(INDEX(Properties!A$1:CB$87,Formula!F120,4))+((Formula!I120)/(Formula!C120+Formula!E120+Formula!G120+Formula!I120+Formula!K120))*(INDEX(Properties!A$1:CB$87,Formula!H120,4))+((Formula!K120)/(Formula!C120+Formula!E120+Formula!G120+Formula!I120+Formula!K120))*(INDEX(Properties!A$1:CB$87,Formula!J120,4))</f>
        <v>11.857142857142858</v>
      </c>
      <c r="I120" s="87">
        <f>Formula!C120*(INDEX(Properties!A$1:CB$87,Formula!B120,4))+Formula!E120*(INDEX(Properties!A$1:CB$87,Formula!D120,4))+Formula!G120*(INDEX(Properties!A$1:CB$87,Formula!F120,4))+Formula!I120*(INDEX(Properties!A$1:CB$87,Formula!H120,4))+Formula!K120*(INDEX(Properties!A$1:CB$87,Formula!J120,4))</f>
        <v>166</v>
      </c>
      <c r="J120" s="87">
        <f>VARP(IF(INDEX(Properties!A$1:CB$87,Formula!B120,4)&lt;&gt;"",INDEX(Properties!A$1:CB$87,Formula!B120,4)),IF(INDEX(Properties!A$1:CB$87,Formula!D120,4)&lt;&gt;"",INDEX(Properties!A$1:CB$87,Formula!D120,4)),IF(INDEX(Properties!A$1:CB$87,Formula!F120,4)&lt;&gt;"",INDEX(Properties!A$1:CB$87,Formula!F120,4)),IF(INDEX(Properties!A$1:CB$87,Formula!H120,4)&lt;&gt;"",INDEX(Properties!A$1:CB$87,Formula!H120,4)),IF(INDEX(Properties!A$1:CB$87,Formula!J120,4)&lt;&gt;"",INDEX(Properties!A$1:CB$87,Formula!J120,4)))</f>
        <v>132.63999999999999</v>
      </c>
      <c r="K120" s="87">
        <f>MAX(INDEX(Properties!A$1:CB$87,Formula!B120,4),INDEX(Properties!A$1:CB$87,Formula!D120,4),INDEX(Properties!A$1:CB$87,Formula!F120,4),INDEX(Properties!A$1:CB$87,Formula!H120,4),INDEX(Properties!A$1:CB$87,Formula!J120,4))</f>
        <v>30</v>
      </c>
      <c r="L120" s="87">
        <f>MIN(IF(INDEX(Properties!A$1:CB$87,Formula!B120,4)=0,10^6,INDEX(Properties!A$1:CB$87,Formula!B120,4)),IF(INDEX(Properties!A$1:CB$87,Formula!D120,4)=0,10^6,INDEX(Properties!A$1:CB$87,Formula!D120,4)),IF(INDEX(Properties!A$1:CB$87,Formula!F120,4)=0,10^6,INDEX(Properties!A$1:CB$87,Formula!F120,4)),IF(INDEX(Properties!A$1:CB$87,Formula!H120,4)=0,10^6,INDEX(Properties!A$1:CB$87,Formula!H120,4)),IF(INDEX(Properties!A$1:CB$87,Formula!J120,4)=0,10^6,INDEX(Properties!A$1:CB$87,Formula!J120,4)))</f>
        <v>3</v>
      </c>
      <c r="M120" s="87">
        <f t="shared" si="33"/>
        <v>27</v>
      </c>
      <c r="N120" s="89">
        <f>((Formula!C120)/(Formula!C120+Formula!E120+Formula!G120+Formula!I120+Formula!K120))*(INDEX(Properties!A$1:CB$87,Formula!B120,5))+((Formula!E120)/(Formula!C120+Formula!E120+Formula!G120+Formula!I120+Formula!K120))*(INDEX(Properties!A$1:CB$87,Formula!D120,5))+((Formula!G120)/(Formula!C120+Formula!E120+Formula!G120+Formula!I120+Formula!K120))*(INDEX(Properties!A$1:CB$87,Formula!F120,5))+((Formula!I120)/(Formula!C120+Formula!E120+Formula!G120+Formula!I120+Formula!K120))*(INDEX(Properties!A$1:CB$87,Formula!H120,5))+((Formula!K120)/(Formula!C120+Formula!E120+Formula!G120+Formula!I120+Formula!K120))*(INDEX(Properties!A$1:CB$87,Formula!J120,5))</f>
        <v>2.5714285714285712</v>
      </c>
      <c r="O120" s="89">
        <f>Formula!C120*(INDEX(Properties!A$1:CB$87,Formula!B120,5))+Formula!E120*(INDEX(Properties!A$1:CB$87,Formula!D120,5))+Formula!G120*(INDEX(Properties!A$1:CB$87,Formula!F120,5))+Formula!I120*(INDEX(Properties!A$1:CB$87,Formula!H120,5))+Formula!K120*(INDEX(Properties!A$1:CB$87,Formula!J120,5))</f>
        <v>36</v>
      </c>
      <c r="P120" s="89">
        <f>VARP(IF(INDEX(Properties!A$1:CB$87,Formula!B120,5)&lt;&gt;"",INDEX(Properties!A$1:CB$87,Formula!B120,5)),IF(INDEX(Properties!A$1:CB$87,Formula!D120,5)&lt;&gt;"",INDEX(Properties!A$1:CB$87,Formula!D120,5)),IF(INDEX(Properties!A$1:CB$87,Formula!F120,5)&lt;&gt;"",INDEX(Properties!A$1:CB$87,Formula!F120,5)),IF(INDEX(Properties!A$1:CB$87,Formula!H120,5)&lt;&gt;"",INDEX(Properties!A$1:CB$87,Formula!H120,5)),IF(INDEX(Properties!A$1:CB$87,Formula!J120,5)&lt;&gt;"",INDEX(Properties!A$1:CB$87,Formula!J120,5)))</f>
        <v>2.2400000000000002</v>
      </c>
      <c r="Q120" s="89">
        <f>MAX(INDEX(Properties!A$1:CB$87,Formula!B120,5),INDEX(Properties!A$1:CB$87,Formula!D120,5),INDEX(Properties!A$1:CB$87,Formula!F120,5),INDEX(Properties!A$1:CB$87,Formula!H120,5),INDEX(Properties!A$1:CB$87,Formula!J120,5))</f>
        <v>4</v>
      </c>
      <c r="R120" s="89">
        <f>MIN(IF(INDEX(Properties!A$1:CB$87,Formula!B120,5)=0,10^6,INDEX(Properties!A$1:CB$87,Formula!B120,5)),IF(INDEX(Properties!A$1:CB$87,Formula!D120,5)=0,10^6,INDEX(Properties!A$1:CB$87,Formula!D120,5)),IF(INDEX(Properties!A$1:CB$87,Formula!F120,5)=0,10^6,INDEX(Properties!A$1:CB$87,Formula!F120,5)),IF(INDEX(Properties!A$1:CB$87,Formula!H120,5)=0,10^6,INDEX(Properties!A$1:CB$87,Formula!H120,5)),IF(INDEX(Properties!A$1:CB$87,Formula!J120,5)=0,10^6,INDEX(Properties!A$1:CB$87,Formula!J120,5)))</f>
        <v>2</v>
      </c>
      <c r="S120" s="89">
        <f t="shared" si="34"/>
        <v>2</v>
      </c>
      <c r="T120" s="60">
        <f>((Formula!C120)/(Formula!C120+Formula!E120+Formula!G120+Formula!I120+Formula!K120))*(INDEX(Properties!A$1:CB$87,Formula!B120,6))+((Formula!E120)/(Formula!C120+Formula!E120+Formula!G120+Formula!I120+Formula!K120))*(INDEX(Properties!A$1:CB$87,Formula!D120,6))+((Formula!G120)/(Formula!C120+Formula!E120+Formula!G120+Formula!I120+Formula!K120))*(INDEX(Properties!A$1:CB$87,Formula!F120,6))+((Formula!I120)/(Formula!C120+Formula!E120+Formula!G120+Formula!I120+Formula!K120))*(INDEX(Properties!A$1:CB$87,Formula!H120,6))+((Formula!K120)/(Formula!C120+Formula!E120+Formula!G120+Formula!I120+Formula!K120))*(INDEX(Properties!A$1:CB$87,Formula!J120,6))</f>
        <v>11</v>
      </c>
      <c r="U120" s="60">
        <f>Formula!C120*(INDEX(Properties!A$1:CB$87,Formula!B120,6))+Formula!E120*(INDEX(Properties!A$1:CB$87,Formula!D120,6))+Formula!G120*(INDEX(Properties!A$1:CB$87,Formula!F120,6))+Formula!I120*(INDEX(Properties!A$1:CB$87,Formula!H120,6))+Formula!K120*(INDEX(Properties!A$1:CB$87,Formula!J120,6))</f>
        <v>154</v>
      </c>
      <c r="V120" s="89">
        <f>VARP(IF(INDEX(Properties!A$1:CB$87,Formula!B120,6)&lt;&gt;"",INDEX(Properties!A$1:CB$87,Formula!B120,6)),IF(INDEX(Properties!A$1:CB$87,Formula!D120,6)&lt;&gt;"",INDEX(Properties!A$1:CB$87,Formula!D120,6)),IF(INDEX(Properties!A$1:CB$87,Formula!F120,6)&lt;&gt;"",INDEX(Properties!A$1:CB$87,Formula!F120,6)),IF(INDEX(Properties!A$1:CB$87,Formula!H120,6)&lt;&gt;"",INDEX(Properties!A$1:CB$87,Formula!H120,6)),IF(INDEX(Properties!A$1:CB$87,Formula!J120,6)&lt;&gt;"",INDEX(Properties!A$1:CB$87,Formula!J120,6)))</f>
        <v>39.840000000000003</v>
      </c>
      <c r="W120" s="60">
        <f>MAX(INDEX(Properties!A$1:CB$87,Formula!B120,6),INDEX(Properties!A$1:CB$87,Formula!D120,6),INDEX(Properties!A$1:CB$87,Formula!F120,6),INDEX(Properties!A$1:CB$87,Formula!H120,4),INDEX(Properties!A$1:CB$87,Formula!J120,6))</f>
        <v>12</v>
      </c>
      <c r="X120" s="60">
        <f>MIN(IF(INDEX(Properties!A$1:CB$87,Formula!B120,6)=0,10^6,INDEX(Properties!A$1:CB$87,Formula!B120,6)),IF(INDEX(Properties!A$1:CB$87,Formula!D120,6)=0,10^6,INDEX(Properties!A$1:CB$87,Formula!D120,6)),IF(INDEX(Properties!A$1:CB$87,Formula!F120,6)=0,10^6,INDEX(Properties!A$1:CB$87,Formula!F120,6)),IF(INDEX(Properties!A$1:CB$87,Formula!H120,6)=0,10^6,INDEX(Properties!A$1:CB$87,Formula!H120,6)),IF(INDEX(Properties!A$1:CB$87,Formula!J120,6)=0,10^6,INDEX(Properties!A$1:CB$87,Formula!J120,6)))</f>
        <v>1</v>
      </c>
      <c r="Y120" s="60">
        <f t="shared" si="35"/>
        <v>11</v>
      </c>
      <c r="Z120" s="72">
        <f>((Formula!C120)/(Formula!C120+Formula!E120+Formula!G120+Formula!I120+Formula!K120))*(INDEX(Properties!A$1:CB$87,Formula!B120,9))+((Formula!E120)/(Formula!C120+Formula!E120+Formula!G120+Formula!I120+Formula!K120))*(INDEX(Properties!A$1:CB$87,Formula!D120,9))+((Formula!G120)/(Formula!C120+Formula!E120+Formula!G120+Formula!I120+Formula!K120))*(INDEX(Properties!A$1:CB$87,Formula!F120,9))+((Formula!I120)/(Formula!C120+Formula!E120+Formula!G120+Formula!I120+Formula!K120))*(INDEX(Properties!A$1:CB$87,Formula!H120,9))+((Formula!K120)/(Formula!C120+Formula!E120+Formula!G120+Formula!I120+Formula!K120))*(INDEX(Properties!A$1:CB$87,Formula!J120,9))</f>
        <v>63.999999999999993</v>
      </c>
      <c r="AA120" s="72">
        <f>Formula!C120*(INDEX(Properties!A$1:CB$87,Formula!B120,9))+Formula!E120*(INDEX(Properties!A$1:CB$87,Formula!D120,9))+Formula!G120*(INDEX(Properties!A$1:CB$87,Formula!F120,9))+Formula!I120*(INDEX(Properties!A$1:CB$87,Formula!H120,9))+Formula!K120*(INDEX(Properties!A$1:CB$87,Formula!J120,9))</f>
        <v>896</v>
      </c>
      <c r="AB120" s="72">
        <f>VARP(IF(INDEX(Properties!A$1:CB$87,Formula!B120,9)&lt;&gt;"",INDEX(Properties!A$1:CB$87,Formula!B120,9)),IF(INDEX(Properties!A$1:CB$87,Formula!D120,9)&lt;&gt;"",INDEX(Properties!A$1:CB$87,Formula!D120,9)),IF(INDEX(Properties!A$1:CB$87,Formula!F120,9)&lt;&gt;"",INDEX(Properties!A$1:CB$87,Formula!F120,9)),IF(INDEX(Properties!A$1:CB$87,Formula!H120,9)&lt;&gt;"",INDEX(Properties!A$1:CB$87,Formula!H120,9)),IF(INDEX(Properties!A$1:CB$87,Formula!J120,9)&lt;&gt;"",INDEX(Properties!A$1:CB$87,Formula!J120,9)))</f>
        <v>1236</v>
      </c>
      <c r="AC120" s="72">
        <f>MAX(INDEX(Properties!A$1:CB$87,Formula!B120,9),INDEX(Properties!A$1:CB$87,Formula!D120,9),INDEX(Properties!A$1:CB$87,Formula!F120,9),INDEX(Properties!A$1:CB$87,Formula!H120,9),INDEX(Properties!A$1:CB$87,Formula!J120,9))</f>
        <v>87</v>
      </c>
      <c r="AD120" s="72">
        <f>MIN(IF(INDEX(Properties!A$1:CB$87,Formula!B120,9)=0,10^6,INDEX(Properties!A$1:CB$87,Formula!B120,9)),IF(INDEX(Properties!A$1:CB$87,Formula!D120,9)=0,10^6,INDEX(Properties!A$1:CB$87,Formula!D120,9)),IF(INDEX(Properties!A$1:CB$87,Formula!F120,9)=0,10^6,INDEX(Properties!A$1:CB$87,Formula!F120,9)),IF(INDEX(Properties!A$1:CB$87,Formula!H120,9)=0,10^6,INDEX(Properties!A$1:CB$87,Formula!H120,9)),IF(INDEX(Properties!A$1:CB$87,Formula!J120,9)=0,10^6,INDEX(Properties!A$1:CB$87,Formula!J120,9)))</f>
        <v>1</v>
      </c>
      <c r="AE120" s="72">
        <f t="shared" si="36"/>
        <v>86</v>
      </c>
      <c r="AF120" s="51">
        <f>((Formula!C120)/(Formula!C120+Formula!E120+Formula!G120+Formula!I120+Formula!K120))*(INDEX(Properties!A$1:CB$87,Formula!B120,10))+((Formula!E120)/(Formula!C120+Formula!E120+Formula!G120+Formula!I120+Formula!K120))*(INDEX(Properties!A$1:CB$87,Formula!D120,10))+((Formula!G120)/(Formula!C120+Formula!E120+Formula!G120+Formula!I120+Formula!K120))*(INDEX(Properties!A$1:CB$87,Formula!F120,10))+((Formula!I120)/(Formula!C120+Formula!E120+Formula!G120+Formula!I120+Formula!K120))*(INDEX(Properties!A$1:CB$87,Formula!H120,10))+((Formula!K120)/(Formula!C120+Formula!E120+Formula!G120+Formula!I120+Formula!K120))*(INDEX(Properties!A$1:CB$87,Formula!J120,10))</f>
        <v>5.2857142857142856</v>
      </c>
      <c r="AG120" s="51">
        <f>Formula!C120*(INDEX(Properties!A$1:CB$87,Formula!B120,10))+Formula!E120*(INDEX(Properties!A$1:CB$87,Formula!D120,10))+Formula!G120*(INDEX(Properties!A$1:CB$87,Formula!F120,10))+Formula!I120*(INDEX(Properties!A$1:CB$87,Formula!H120,10))+Formula!K120*(INDEX(Properties!A$1:CB$87,Formula!J120,10))</f>
        <v>74</v>
      </c>
      <c r="AH120" s="51">
        <f>VARP(IF(INDEX(Properties!A$1:CB$87,Formula!B120,10)&lt;&gt;"",INDEX(Properties!A$1:CB$87,Formula!B120,10)),IF(INDEX(Properties!A$1:CB$87,Formula!D120,10)&lt;&gt;"",INDEX(Properties!A$1:CB$87,Formula!D120,10)),IF(INDEX(Properties!A$1:CB$87,Formula!F120,10)&lt;&gt;"",INDEX(Properties!A$1:CB$87,Formula!F120,10)),IF(INDEX(Properties!A$1:CB$87,Formula!H120,10)&lt;&gt;"",INDEX(Properties!A$1:CB$87,Formula!H120,10)),IF(INDEX(Properties!A$1:CB$87,Formula!J120,10)&lt;&gt;"",INDEX(Properties!A$1:CB$87,Formula!J120,10)))</f>
        <v>6.16</v>
      </c>
      <c r="AI120" s="51">
        <f>MAX(INDEX(Properties!A$1:CB$87,Formula!B120,10),INDEX(Properties!A$1:CB$87,Formula!D120,10),INDEX(Properties!A$1:CB$87,Formula!F120,10),INDEX(Properties!A$1:CB$87,Formula!H120,10),INDEX(Properties!A$1:CB$87,Formula!J120,10))</f>
        <v>7</v>
      </c>
      <c r="AJ120" s="51">
        <f>MIN(IF(INDEX(Properties!A$1:CB$87,Formula!B120,10)=0,10^6,INDEX(Properties!A$1:CB$87,Formula!B120,10)),IF(INDEX(Properties!A$1:CB$87,Formula!D120,10)=0,10^6,INDEX(Properties!A$1:CB$87,Formula!D120,10)),IF(INDEX(Properties!A$1:CB$87,Formula!F120,10)=0,10^6,INDEX(Properties!A$1:CB$87,Formula!F120,10)),IF(INDEX(Properties!A$1:CB$87,Formula!H120,10)=0,10^6,INDEX(Properties!A$1:CB$87,Formula!H120,10)),IF(INDEX(Properties!A$1:CB$87,Formula!J120,10)=0,10^6,INDEX(Properties!A$1:CB$87,Formula!J120,10)))</f>
        <v>1</v>
      </c>
      <c r="AK120" s="51">
        <f t="shared" si="37"/>
        <v>6</v>
      </c>
      <c r="AL120" s="57">
        <f>((Formula!C120)/(Formula!C120+Formula!E120+Formula!G120+Formula!I120+Formula!K120))*(INDEX(Properties!A$1:CB$87,Formula!B120,11))+((Formula!E120)/(Formula!C120+Formula!E120+Formula!G120+Formula!I120+Formula!K120))*(INDEX(Properties!A$1:CB$87,Formula!D120,11))+((Formula!G120)/(Formula!C120+Formula!E120+Formula!G120+Formula!I120+Formula!K120))*(INDEX(Properties!A$1:CB$87,Formula!F120,11))+((Formula!I120)/(Formula!C120+Formula!E120+Formula!G120+Formula!I120+Formula!K120))*(INDEX(Properties!A$1:CB$87,Formula!H120,11))+((Formula!K120)/(Formula!C120+Formula!E120+Formula!G120+Formula!I120+Formula!K120))*(INDEX(Properties!A$1:CB$87,Formula!J120,11))</f>
        <v>1.857142857142857</v>
      </c>
      <c r="AM120" s="57">
        <f>Formula!C120*(INDEX(Properties!A$1:CB$87,Formula!B120,11))+Formula!E120*(INDEX(Properties!A$1:CB$87,Formula!D120,11))+Formula!G120*(INDEX(Properties!A$1:CB$87,Formula!F120,11))+Formula!I120*(INDEX(Properties!A$1:CB$87,Formula!H120,11))+Formula!K120*(INDEX(Properties!A$1:CB$87,Formula!J120,11))</f>
        <v>26</v>
      </c>
      <c r="AN120" s="57">
        <f>VARP(IF(INDEX(Properties!A$1:CB$87,Formula!B120,11)&lt;&gt;"",INDEX(Properties!A$1:CB$87,Formula!B120,11)),IF(INDEX(Properties!A$1:CB$87,Formula!D120,11)&lt;&gt;"",INDEX(Properties!A$1:CB$87,Formula!D120,11)),IF(INDEX(Properties!A$1:CB$87,Formula!F120,11)&lt;&gt;"",INDEX(Properties!A$1:CB$87,Formula!F120,11)),IF(INDEX(Properties!A$1:CB$87,Formula!H120,11)&lt;&gt;"",INDEX(Properties!A$1:CB$87,Formula!H120,11)),IF(INDEX(Properties!A$1:CB$87,Formula!J120,11)&lt;&gt;"",INDEX(Properties!A$1:CB$87,Formula!J120,11)))</f>
        <v>0.64</v>
      </c>
      <c r="AO120" s="57">
        <f>MAX(INDEX(Properties!A$1:CB$87,Formula!B120,11),INDEX(Properties!A$1:CB$87,Formula!D120,11),INDEX(Properties!A$1:CB$87,Formula!F120,11),INDEX(Properties!A$1:CB$87,Formula!H120,11),INDEX(Properties!A$1:CB$87,Formula!J120,11))</f>
        <v>2</v>
      </c>
      <c r="AP120" s="57">
        <f>MIN(IF(Formula!B120=87,10^6,INDEX(Properties!A$1:CB$87,Formula!B120,11)),IF((Formula!D120)=87,10^6,INDEX(Properties!A$1:CB$87,Formula!D120,11)),IF((Formula!F120)=87,10^6,INDEX(Properties!A$1:CB$87,Formula!F120,11)),IF((Formula!H120)=87,10^6,INDEX(Properties!A$1:CB$87,Formula!H120,11)),IF(Formula!J120=87,10^6,INDEX(Properties!A$1:CB$87,Formula!J120,11)))</f>
        <v>1</v>
      </c>
      <c r="AQ120" s="57">
        <f t="shared" si="38"/>
        <v>1</v>
      </c>
      <c r="AR120" s="78">
        <f>((Formula!C120)/(Formula!C120+Formula!E120+Formula!G120+Formula!I120+Formula!K120))*(INDEX(Properties!A$1:CB$87,Formula!B120,12))+((Formula!E120)/(Formula!C120+Formula!E120+Formula!G120+Formula!I120+Formula!K120))*(INDEX(Properties!A$1:CB$87,Formula!D120,12))+((Formula!G120)/(Formula!C120+Formula!E120+Formula!G120+Formula!I120+Formula!K120))*(INDEX(Properties!A$1:CB$87,Formula!F120,12))+((Formula!I120)/(Formula!C120+Formula!E120+Formula!G120+Formula!I120+Formula!K120))*(INDEX(Properties!A$1:CB$87,Formula!H120,12))+((Formula!K120)/(Formula!C120+Formula!E120+Formula!G120+Formula!I120+Formula!K120))*(INDEX(Properties!A$1:CB$87,Formula!J120,12))</f>
        <v>2.2857142857142856</v>
      </c>
      <c r="AS120" s="78">
        <f>Formula!C120*(INDEX(Properties!A$1:CB$87,Formula!B120,12))+Formula!E120*(INDEX(Properties!A$1:CB$87,Formula!D120,12))+Formula!G120*(INDEX(Properties!A$1:CB$87,Formula!F120,12))+Formula!I120*(INDEX(Properties!A$1:CB$87,Formula!H120,12))+Formula!K120*(INDEX(Properties!A$1:CB$87,Formula!J120,12))</f>
        <v>32</v>
      </c>
      <c r="AT120" s="78">
        <f>VARP(IF(INDEX(Properties!A$1:CB$87,Formula!B120,12)&lt;&gt;"",INDEX(Properties!A$1:CB$87,Formula!B120,12)),IF(INDEX(Properties!A$1:CB$87,Formula!D120,12)&lt;&gt;"",INDEX(Properties!A$1:CB$87,Formula!D120,12)),IF(INDEX(Properties!A$1:CB$87,Formula!F120,12)&lt;&gt;"",INDEX(Properties!A$1:CB$87,Formula!F120,12)),IF(INDEX(Properties!A$1:CB$87,Formula!H120,12)&lt;&gt;"",INDEX(Properties!A$1:CB$87,Formula!H120,12)),IF(INDEX(Properties!A$1:CB$87,Formula!J120,12)&lt;&gt;"",INDEX(Properties!A$1:CB$87,Formula!J120,12)))</f>
        <v>2.56</v>
      </c>
      <c r="AU120" s="78">
        <f>MAX(INDEX(Properties!A$1:CB$87,Formula!B120,12),INDEX(Properties!A$1:CB$87,Formula!D120,12),INDEX(Properties!A$1:CB$87,Formula!F120,12),INDEX(Properties!A$1:CB$87,Formula!H120,12),INDEX(Properties!A$1:CB$87,Formula!J120,12))</f>
        <v>4</v>
      </c>
      <c r="AV120" s="78">
        <f>MIN(IF(Formula!B120=87,10^6,INDEX(Properties!A$1:CB$87,Formula!B120,12)),IF((Formula!D120)=87,10^6,INDEX(Properties!A$1:CB$87,Formula!D120,12)),IF((Formula!F120)=87,10^6,INDEX(Properties!A$1:CB$87,Formula!F120,12)),IF((Formula!H120)=87,10^6,INDEX(Properties!A$1:CB$87,Formula!H120,12)),IF(Formula!J120=87,10^6,INDEX(Properties!A$1:CB$87,Formula!J120,12)))</f>
        <v>0</v>
      </c>
      <c r="AW120" s="78">
        <f t="shared" si="39"/>
        <v>4</v>
      </c>
      <c r="AX120" s="45">
        <f>((Formula!C120)/(Formula!C120+Formula!E120+Formula!G120+Formula!I120+Formula!K120))*(INDEX(Properties!A$1:CB$87,Formula!B120,13))+((Formula!E120)/(Formula!C120+Formula!E120+Formula!G120+Formula!I120+Formula!K120))*(INDEX(Properties!A$1:CB$87,Formula!D120,13))+((Formula!G120)/(Formula!C120+Formula!E120+Formula!G120+Formula!I120+Formula!K120))*(INDEX(Properties!A$1:CB$87,Formula!F120,13))+((Formula!I120)/(Formula!C120+Formula!E120+Formula!G120+Formula!I120+Formula!K120))*(INDEX(Properties!A$1:CB$87,Formula!H120,13))+((Formula!K120)/(Formula!C120+Formula!E120+Formula!G120+Formula!I120+Formula!K120))*(INDEX(Properties!A$1:CB$87,Formula!J120,13))</f>
        <v>1.1428571428571428</v>
      </c>
      <c r="AY120" s="45">
        <f>Formula!C120*(INDEX(Properties!A$1:CB$87,Formula!B120,13))+Formula!E120*(INDEX(Properties!A$1:CB$87,Formula!D120,13))+Formula!G120*(INDEX(Properties!A$1:CB$87,Formula!F120,13))+Formula!I120*(INDEX(Properties!A$1:CB$87,Formula!H120,13))+Formula!K120*(INDEX(Properties!A$1:CB$87,Formula!J120,13))</f>
        <v>16</v>
      </c>
      <c r="AZ120" s="45">
        <f>VARP(IF(INDEX(Properties!A$1:CB$87,Formula!B120,13)&lt;&gt;"",INDEX(Properties!A$1:CB$87,Formula!B120,13)),IF(INDEX(Properties!A$1:CB$87,Formula!D120,13)&lt;&gt;"",INDEX(Properties!A$1:CB$87,Formula!D120,13)),IF(INDEX(Properties!A$1:CB$87,Formula!F120,13)&lt;&gt;"",INDEX(Properties!A$1:CB$87,Formula!F120,13)),IF(INDEX(Properties!A$1:CB$87,Formula!H120,13)&lt;&gt;"",INDEX(Properties!A$1:CB$87,Formula!H120,13)),IF(INDEX(Properties!A$1:CB$87,Formula!J120,13)&lt;&gt;"",INDEX(Properties!A$1:CB$87,Formula!J120,13)))</f>
        <v>15.04</v>
      </c>
      <c r="BA120" s="45">
        <f>MAX(INDEX(Properties!A$1:CB$87,Formula!B120,13),INDEX(Properties!A$1:CB$87,Formula!D120,13),INDEX(Properties!A$1:CB$87,Formula!F120,13),INDEX(Properties!A$1:CB$87,Formula!H120,13),INDEX(Properties!A$1:CB$87,Formula!J120,13))</f>
        <v>10</v>
      </c>
      <c r="BB120" s="45">
        <f>MIN(IF(Formula!B120=87,10^6,INDEX(Properties!A$1:CB$87,Formula!B120,13)),IF((Formula!D120)=87,10^6,INDEX(Properties!A$1:CB$87,Formula!D120,13)),IF((Formula!F120)=87,10^6,INDEX(Properties!A$1:CB$87,Formula!F120,13)),IF((Formula!H120)=87,10^6,INDEX(Properties!A$1:CB$87,Formula!H120,13)),IF(Formula!J120=87,10^6,INDEX(Properties!A$1:CB$87,Formula!J120,13)))</f>
        <v>0</v>
      </c>
      <c r="BC120" s="45">
        <f t="shared" si="40"/>
        <v>10</v>
      </c>
      <c r="BD120" s="63">
        <f>((Formula!C120)/(Formula!C120+Formula!E120+Formula!G120+Formula!I120+Formula!K120))*(INDEX(Properties!A$1:CB$87,Formula!B120,14))+((Formula!E120)/(Formula!C120+Formula!E120+Formula!G120+Formula!I120+Formula!K120))*(INDEX(Properties!A$1:CB$87,Formula!D120,14))+((Formula!G120)/(Formula!C120+Formula!E120+Formula!G120+Formula!I120+Formula!K120))*(INDEX(Properties!A$1:CB$87,Formula!F120,14))+((Formula!I120)/(Formula!C120+Formula!E120+Formula!G120+Formula!I120+Formula!K120))*(INDEX(Properties!A$1:CB$87,Formula!H120,14))+((Formula!K120)/(Formula!C120+Formula!E120+Formula!G120+Formula!I120+Formula!K120))*(INDEX(Properties!A$1:CB$87,Formula!J120,14))</f>
        <v>0</v>
      </c>
      <c r="BE120" s="63">
        <f>Formula!C120*(INDEX(Properties!A$1:CB$87,Formula!B120,14))+Formula!E120*(INDEX(Properties!A$1:CB$87,Formula!D120,14))+Formula!G120*(INDEX(Properties!A$1:CB$87,Formula!F120,14))+Formula!I120*(INDEX(Properties!A$1:CB$87,Formula!H120,14))+Formula!K120*(INDEX(Properties!A$1:CB$87,Formula!J120,14))</f>
        <v>0</v>
      </c>
      <c r="BF120" s="63">
        <f>VARP(IF(INDEX(Properties!A$1:CB$87,Formula!B120,14)&lt;&gt;"",INDEX(Properties!A$1:CB$87,Formula!B120,14)),IF(INDEX(Properties!A$1:CB$87,Formula!D120,14)&lt;&gt;"",INDEX(Properties!A$1:CB$87,Formula!D120,14)),IF(INDEX(Properties!A$1:CB$87,Formula!F120,14)&lt;&gt;"",INDEX(Properties!A$1:CB$87,Formula!F120,14)),IF(INDEX(Properties!A$1:CB$87,Formula!H120,14)&lt;&gt;"",INDEX(Properties!A$1:CB$87,Formula!H120,14)),IF(INDEX(Properties!A$1:CB$87,Formula!J120,14)&lt;&gt;"",INDEX(Properties!A$1:CB$87,Formula!J120,14)))</f>
        <v>0</v>
      </c>
      <c r="BG120" s="63">
        <f>MAX(INDEX(Properties!A$1:CB$87,Formula!B120,14),INDEX(Properties!A$1:CB$87,Formula!D120,14),INDEX(Properties!A$1:CB$87,Formula!F120,14),INDEX(Properties!A$1:CB$87,Formula!H120,14),INDEX(Properties!A$1:CB$87,Formula!J120,14))</f>
        <v>0</v>
      </c>
      <c r="BH120" s="63">
        <f>MIN(IF(Formula!B120=87,10^6,INDEX(Properties!A$1:CB$87,Formula!B120,14)),IF((Formula!D120)=87,10^6,INDEX(Properties!A$1:CB$87,Formula!D120,14)),IF((Formula!F120)=87,10^6,INDEX(Properties!A$1:CB$87,Formula!F120,14)),IF((Formula!H120)=87,10^6,INDEX(Properties!A$1:CB$87,Formula!H120,14)),IF(Formula!J120=87,10^6,INDEX(Properties!A$1:CB$87,Formula!J120,14)))</f>
        <v>0</v>
      </c>
      <c r="BI120" s="63">
        <f t="shared" si="41"/>
        <v>0</v>
      </c>
      <c r="BJ120" s="75">
        <f>((Formula!C120)/(Formula!C120+Formula!E120+Formula!G120+Formula!I120+Formula!K120))*(INDEX(Properties!A$1:CB$87,Formula!B120,19))+((Formula!E120)/(Formula!C120+Formula!E120+Formula!G120+Formula!I120+Formula!K120))*(INDEX(Properties!A$1:CB$87,Formula!D120,19))+((Formula!G120)/(Formula!C120+Formula!E120+Formula!G120+Formula!I120+Formula!K120))*(INDEX(Properties!A$1:CB$87,Formula!F120,19))+((Formula!I120)/(Formula!C120+Formula!E120+Formula!G120+Formula!I120+Formula!K120))*(INDEX(Properties!A$1:CB$87,Formula!H120,19))+((Formula!K120)/(Formula!C120+Formula!E120+Formula!G120+Formula!I120+Formula!K120))*(INDEX(Properties!A$1:CB$87,Formula!J120,19))</f>
        <v>5.2857142857142856</v>
      </c>
      <c r="BK120" s="75">
        <f>Formula!C120*(INDEX(Properties!A$1:CB$87,Formula!B120,19))+Formula!E120*(INDEX(Properties!A$1:CB$87,Formula!D120,19))+Formula!G120*(INDEX(Properties!A$1:CB$87,Formula!F120,19))+Formula!I120*(INDEX(Properties!A$1:CB$87,Formula!H120,19))+Formula!K120*(INDEX(Properties!A$1:CB$87,Formula!J120,19))</f>
        <v>74</v>
      </c>
      <c r="BL120" s="75">
        <f>VARP(IF(INDEX(Properties!A$1:CB$87,Formula!B120,19)&lt;&gt;"",INDEX(Properties!A$1:CB$87,Formula!B120,19)),IF(INDEX(Properties!A$1:CB$87,Formula!D120,19)&lt;&gt;"",INDEX(Properties!A$1:CB$87,Formula!D120,19)),IF(INDEX(Properties!A$1:CB$87,Formula!F120,19)&lt;&gt;"",INDEX(Properties!A$1:CB$87,Formula!F120,19)),IF(INDEX(Properties!A$1:CB$87,Formula!H120,19)&lt;&gt;"",INDEX(Properties!A$1:CB$87,Formula!H120,19)),IF(INDEX(Properties!A$1:CB$87,Formula!J120,19)&lt;&gt;"",INDEX(Properties!A$1:CB$87,Formula!J120,19)))</f>
        <v>18.239999999999998</v>
      </c>
      <c r="BM120" s="75">
        <f>MAX(INDEX(Properties!A$1:CB$87,Formula!B120,19),INDEX(Properties!A$1:CB$87,Formula!D120,19),INDEX(Properties!A$1:CB$87,Formula!F120,19),INDEX(Properties!A$1:CB$87,Formula!H120,19),INDEX(Properties!A$1:CB$87,Formula!J120,19))</f>
        <v>12</v>
      </c>
      <c r="BN120" s="75">
        <f>MIN(IF(INDEX(Properties!A$1:CB$87,Formula!B120,19)=0,10^6,INDEX(Properties!A$1:CB$87,Formula!B120,19)),IF(INDEX(Properties!A$1:CB$87,Formula!D120,19)=0,10^6,INDEX(Properties!A$1:CB$87,Formula!D120,19)),IF(INDEX(Properties!A$1:CB$87,Formula!F120,19)=0,10^6,INDEX(Properties!A$1:CB$87,Formula!F120,19)),IF(INDEX(Properties!A$1:CB$87,Formula!H120,19)=0,10^6,INDEX(Properties!A$1:CB$87,Formula!H120,19)),IF(INDEX(Properties!A$1:CB$87,Formula!J120,19)=0,10^6,INDEX(Properties!A$1:CB$87,Formula!J120,19)))</f>
        <v>1</v>
      </c>
      <c r="BO120" s="75">
        <f t="shared" si="42"/>
        <v>11</v>
      </c>
      <c r="BP120" s="48">
        <f>((Formula!C120)/(Formula!C120+Formula!E120+Formula!G120+Formula!I120+Formula!K120))*(INDEX(Properties!A$1:CB$87,Formula!B120,20))+((Formula!E120)/(Formula!C120+Formula!E120+Formula!G120+Formula!I120+Formula!K120))*(INDEX(Properties!A$1:CB$87,Formula!D120,20))+((Formula!G120)/(Formula!C120+Formula!E120+Formula!G120+Formula!I120+Formula!K120))*(INDEX(Properties!A$1:CB$87,Formula!F120,20))+((Formula!I120)/(Formula!C120+Formula!E120+Formula!G120+Formula!I120+Formula!K120))*(INDEX(Properties!A$1:CB$87,Formula!H120,20))+((Formula!K120)/(Formula!C120+Formula!E120+Formula!G120+Formula!I120+Formula!K120))*(INDEX(Properties!A$1:CB$87,Formula!J120,20))</f>
        <v>4.1428571428571423</v>
      </c>
      <c r="BQ120" s="48">
        <f>Formula!C120*(INDEX(Properties!A$1:CB$87,Formula!B120,20))+Formula!E120*(INDEX(Properties!A$1:CB$87,Formula!D120,20))+Formula!G120*(INDEX(Properties!A$1:CB$87,Formula!F120,20))+Formula!I120*(INDEX(Properties!A$1:CB$87,Formula!H120,20))+Formula!K120*(INDEX(Properties!A$1:CB$87,Formula!J120,20))</f>
        <v>58</v>
      </c>
      <c r="BR120" s="48">
        <f>VARP(IF(INDEX(Properties!A$1:CB$87,Formula!B120,20)&lt;&gt;"",INDEX(Properties!A$1:CB$87,Formula!B120,20)),IF(INDEX(Properties!A$1:CB$87,Formula!D120,20)&lt;&gt;"",INDEX(Properties!A$1:CB$87,Formula!D120,20)),IF(INDEX(Properties!A$1:CB$87,Formula!F120,20)&lt;&gt;"",INDEX(Properties!A$1:CB$87,Formula!F120,20)),IF(INDEX(Properties!A$1:CB$87,Formula!H120,20)&lt;&gt;"",INDEX(Properties!A$1:CB$87,Formula!H120,20)),IF(INDEX(Properties!A$1:CB$87,Formula!J120,20)&lt;&gt;"",INDEX(Properties!A$1:CB$87,Formula!J120,20)))</f>
        <v>4.16</v>
      </c>
      <c r="BS120" s="48">
        <f>MAX(INDEX(Properties!A$1:CB$87,Formula!B120,20),INDEX(Properties!A$1:CB$87,Formula!D120,20),INDEX(Properties!A$1:CB$87,Formula!F120,20),INDEX(Properties!A$1:CB$87,Formula!H120,20),INDEX(Properties!A$1:CB$87,Formula!J120,20))</f>
        <v>6</v>
      </c>
      <c r="BT120" s="48">
        <f>MIN(IF(INDEX(Properties!A$1:CB$87,Formula!B120,20)=0,10^6,INDEX(Properties!A$1:CB$87,Formula!B120,20)),IF(INDEX(Properties!A$1:CB$87,Formula!D120,20)=0,10^6,INDEX(Properties!A$1:CB$87,Formula!D120,20)),IF(INDEX(Properties!A$1:CB$87,Formula!F120,20)=0,10^6,INDEX(Properties!A$1:CB$87,Formula!F120,20)),IF(INDEX(Properties!A$1:CB$87,Formula!H120,20)=0,10^6,INDEX(Properties!A$1:CB$87,Formula!H120,20)),IF(INDEX(Properties!A$1:CB$87,Formula!J120,20)=0,10^6,INDEX(Properties!A$1:CB$87,Formula!J120,20)))</f>
        <v>1</v>
      </c>
      <c r="BU120" s="48">
        <f t="shared" si="43"/>
        <v>5</v>
      </c>
      <c r="BV120" s="66">
        <f>((Formula!C120)/(Formula!C120+Formula!E120+Formula!G120+Formula!I120+Formula!K120))*(INDEX(Properties!A$1:CB$87,Formula!B120,21))+((Formula!E120)/(Formula!C120+Formula!E120+Formula!G120+Formula!I120+Formula!K120))*(INDEX(Properties!A$1:CB$87,Formula!D120,21))+((Formula!G120)/(Formula!C120+Formula!E120+Formula!G120+Formula!I120+Formula!K120))*(INDEX(Properties!A$1:CB$87,Formula!F120,21))+((Formula!I120)/(Formula!C120+Formula!E120+Formula!G120+Formula!I120+Formula!K120))*(INDEX(Properties!A$1:CB$87,Formula!H120,21))+((Formula!K120)/(Formula!C120+Formula!E120+Formula!G120+Formula!I120+Formula!K120))*(INDEX(Properties!A$1:CB$87,Formula!J120,21))</f>
        <v>4.0714285714285712</v>
      </c>
      <c r="BW120" s="66">
        <f>Formula!C120*(INDEX(Properties!A$1:CB$87,Formula!B120,21))+Formula!E120*(INDEX(Properties!A$1:CB$87,Formula!D120,21))+Formula!G120*(INDEX(Properties!A$1:CB$87,Formula!F120,21))+Formula!I120*(INDEX(Properties!A$1:CB$87,Formula!H120,21))+Formula!K120*(INDEX(Properties!A$1:CB$87,Formula!J120,21))</f>
        <v>57</v>
      </c>
      <c r="BX120" s="66">
        <f>VARP(IF(INDEX(Properties!A$1:CB$87,Formula!B120,21)&lt;&gt;"",INDEX(Properties!A$1:CB$87,Formula!B120,21)),IF(INDEX(Properties!A$1:CB$87,Formula!D120,21)&lt;&gt;"",INDEX(Properties!A$1:CB$87,Formula!D120,21)),IF(INDEX(Properties!A$1:CB$87,Formula!F120,21)&lt;&gt;"",INDEX(Properties!A$1:CB$87,Formula!F120,21)),IF(INDEX(Properties!A$1:CB$87,Formula!H120,21)&lt;&gt;"",INDEX(Properties!A$1:CB$87,Formula!H120,21)),IF(INDEX(Properties!A$1:CB$87,Formula!J120,21)&lt;&gt;"",INDEX(Properties!A$1:CB$87,Formula!J120,21)))</f>
        <v>4.4000000000000004</v>
      </c>
      <c r="BY120" s="66">
        <f>MAX(INDEX(Properties!A$1:CB$87,Formula!B120,21),INDEX(Properties!A$1:CB$87,Formula!D120,21),INDEX(Properties!A$1:CB$87,Formula!F120,21),INDEX(Properties!A$1:CB$87,Formula!H120,21),INDEX(Properties!A$1:CB$87,Formula!J120,21))</f>
        <v>6</v>
      </c>
      <c r="BZ120" s="66">
        <f>MIN(IF(INDEX(Properties!A$1:CB$87,Formula!B120,21)=0,10^6,INDEX(Properties!A$1:CB$87,Formula!B120,21)),IF(INDEX(Properties!A$1:CB$87,Formula!D120,21)=0,10^6,INDEX(Properties!A$1:CB$87,Formula!D120,21)),IF(INDEX(Properties!A$1:CB$87,Formula!F120,21)=0,10^6,INDEX(Properties!A$1:CB$87,Formula!F120,21)),IF(INDEX(Properties!A$1:CB$87,Formula!H120,21)=0,10^6,INDEX(Properties!A$1:CB$87,Formula!H120,21)),IF(INDEX(Properties!A$1:CB$87,Formula!J120,21)=0,10^6,INDEX(Properties!A$1:CB$87,Formula!J120,21)))</f>
        <v>1</v>
      </c>
      <c r="CA120" s="66">
        <f t="shared" si="44"/>
        <v>5</v>
      </c>
      <c r="CB120" s="81">
        <f>((Formula!C120)/(Formula!C120+Formula!E120+Formula!G120+Formula!I120+Formula!K120))*(INDEX(Properties!A$1:CB$87,Formula!B120,23))+((Formula!E120)/(Formula!C120+Formula!E120+Formula!G120+Formula!I120+Formula!K120))*(INDEX(Properties!A$1:CB$87,Formula!D120,23))+((Formula!G120)/(Formula!C120+Formula!E120+Formula!G120+Formula!I120+Formula!K120))*(INDEX(Properties!A$1:CB$87,Formula!F120,23))+((Formula!I120)/(Formula!C120+Formula!E120+Formula!G120+Formula!I120+Formula!K120))*(INDEX(Properties!A$1:CB$87,Formula!H120,23))+((Formula!K120)/(Formula!C120+Formula!E120+Formula!G120+Formula!I120+Formula!K120))*(INDEX(Properties!A$1:CB$87,Formula!J120,23))</f>
        <v>1.3171428571428572</v>
      </c>
      <c r="CC120" s="81">
        <f>Formula!C120*(INDEX(Properties!A$1:CB$87,Formula!B120,23))+Formula!E120*(INDEX(Properties!A$1:CB$87,Formula!D120,23))+Formula!G120*(INDEX(Properties!A$1:CB$87,Formula!F120,23))+Formula!I120*(INDEX(Properties!A$1:CB$87,Formula!H120,23))+Formula!K120*(INDEX(Properties!A$1:CB$87,Formula!J120,23))</f>
        <v>18.440000000000001</v>
      </c>
      <c r="CD120" s="81">
        <f>VARP(IF(INDEX(Properties!A$1:CB$87,Formula!B120,23)&lt;&gt;"",INDEX(Properties!A$1:CB$87,Formula!B120,23)),IF(INDEX(Properties!A$1:CB$87,Formula!D120,23)&lt;&gt;"",INDEX(Properties!A$1:CB$87,Formula!D120,23)),IF(INDEX(Properties!A$1:CB$87,Formula!F120,23)&lt;&gt;"",INDEX(Properties!A$1:CB$87,Formula!F120,23)),IF(INDEX(Properties!A$1:CB$87,Formula!H120,23)&lt;&gt;"",INDEX(Properties!A$1:CB$87,Formula!H120,23)),IF(INDEX(Properties!A$1:CB$87,Formula!J120,23)&lt;&gt;"",INDEX(Properties!A$1:CB$87,Formula!J120,23)))</f>
        <v>3.7781759999999984</v>
      </c>
      <c r="CE120" s="81">
        <f>MAX(INDEX(Properties!A$1:CB$87,Formula!B120,23),INDEX(Properties!A$1:CB$87,Formula!D120,23),INDEX(Properties!A$1:CB$87,Formula!F120,23),INDEX(Properties!A$1:CB$87,Formula!H120,23),INDEX(Properties!A$1:CB$87,Formula!J120,23))</f>
        <v>4.4400000000000004</v>
      </c>
      <c r="CF120" s="81">
        <f>MIN(IF(Formula!B120=87,10^6,INDEX(Properties!A$1:CB$87,Formula!B120,23)),IF((Formula!D120)=87,10^6,INDEX(Properties!A$1:CB$87,Formula!D120,23)),IF((Formula!F120)=87,10^6,INDEX(Properties!A$1:CB$87,Formula!F120,23)),IF((Formula!H120)=87,10^6,INDEX(Properties!A$1:CB$87,Formula!H120,23)),IF(Formula!J120=87,10^6,INDEX(Properties!A$1:CB$87,Formula!J120,23)))</f>
        <v>0</v>
      </c>
      <c r="CG120" s="81">
        <f t="shared" si="45"/>
        <v>4.4400000000000004</v>
      </c>
      <c r="CH120" s="39">
        <f>((Formula!C120)/(Formula!C120+Formula!E120+Formula!G120+Formula!I120+Formula!K120))*(INDEX(Properties!A$1:CB$87,Formula!B120,26))+((Formula!E120)/(Formula!C120+Formula!E120+Formula!G120+Formula!I120+Formula!K120))*(INDEX(Properties!A$1:CB$87,Formula!D120,26))+((Formula!G120)/(Formula!C120+Formula!E120+Formula!G120+Formula!I120+Formula!K120))*(INDEX(Properties!A$1:CB$87,Formula!F120,26))+((Formula!I120)/(Formula!C120+Formula!E120+Formula!G120+Formula!I120+Formula!K120))*(INDEX(Properties!A$1:CB$87,Formula!H120,26))+((Formula!K120)/(Formula!C120+Formula!E120+Formula!G120+Formula!I120+Formula!K120))*(INDEX(Properties!A$1:CB$87,Formula!J120,26))</f>
        <v>10.686192857142856</v>
      </c>
      <c r="CI120" s="39">
        <f>Formula!C120*(INDEX(Properties!A$1:CB$87,Formula!B120,26))+Formula!E120*(INDEX(Properties!A$1:CB$87,Formula!D120,26))+Formula!G120*(INDEX(Properties!A$1:CB$87,Formula!F120,26))+Formula!I120*(INDEX(Properties!A$1:CB$87,Formula!H120,26))+Formula!K120*(INDEX(Properties!A$1:CB$87,Formula!J120,26))</f>
        <v>149.60669999999999</v>
      </c>
      <c r="CJ120" s="39">
        <f>VARP(IF(INDEX(Properties!A$1:CB$87,Formula!B120,26)&lt;&gt;"",INDEX(Properties!A$1:CB$87,Formula!B120,26)),IF(INDEX(Properties!A$1:CB$87,Formula!D120,26)&lt;&gt;"",INDEX(Properties!A$1:CB$87,Formula!D120,26)),IF(INDEX(Properties!A$1:CB$87,Formula!F120,26)&lt;&gt;"",INDEX(Properties!A$1:CB$87,Formula!F120,26)),IF(INDEX(Properties!A$1:CB$87,Formula!H120,26)&lt;&gt;"",INDEX(Properties!A$1:CB$87,Formula!H120,26)),IF(INDEX(Properties!A$1:CB$87,Formula!J120,26)&lt;&gt;"",INDEX(Properties!A$1:CB$87,Formula!J120,26)))</f>
        <v>20.227369133599996</v>
      </c>
      <c r="CK120" s="39">
        <f>MAX(INDEX(Properties!A$1:CB$87,Formula!B120,26),INDEX(Properties!A$1:CB$87,Formula!D120,26),INDEX(Properties!A$1:CB$87,Formula!F120,26),INDEX(Properties!A$1:CB$87,Formula!H120,26),INDEX(Properties!A$1:CB$87,Formula!J120,26))</f>
        <v>13.6181</v>
      </c>
      <c r="CL120" s="39">
        <f>MIN(IF(INDEX(Properties!A$1:CB$87,Formula!B120,26)=0,10^6,INDEX(Properties!A$1:CB$87,Formula!B120,26)),IF(INDEX(Properties!A$1:CB$87,Formula!D120,26)=0,10^6,INDEX(Properties!A$1:CB$87,Formula!D120,26)),IF(INDEX(Properties!A$1:CB$87,Formula!F120,26)=0,10^6,INDEX(Properties!A$1:CB$87,Formula!F120,26)),IF(INDEX(Properties!A$1:CB$87,Formula!H120,26)=0,10^6,INDEX(Properties!A$1:CB$87,Formula!H120,26)),IF(INDEX(Properties!A$1:CB$87,Formula!J120,26)=0,10^6,INDEX(Properties!A$1:CB$87,Formula!J120,26)))</f>
        <v>5.3917000000000002</v>
      </c>
      <c r="CM120" s="39">
        <f t="shared" si="46"/>
        <v>8.2263999999999999</v>
      </c>
      <c r="CN120" s="54">
        <f>((Formula!C120)/(Formula!C120+Formula!E120+Formula!G120+Formula!I120+Formula!K120))*(INDEX(Properties!A$1:CB$87,Formula!B120,30))+((Formula!E120)/(Formula!C120+Formula!E120+Formula!G120+Formula!I120+Formula!K120))*(INDEX(Properties!A$1:CB$87,Formula!D120,30))+((Formula!G120)/(Formula!C120+Formula!E120+Formula!G120+Formula!I120+Formula!K120))*(INDEX(Properties!A$1:CB$87,Formula!F120,30))+((Formula!I120)/(Formula!C120+Formula!E120+Formula!G120+Formula!I120+Formula!K120))*(INDEX(Properties!A$1:CB$87,Formula!H120,30))+((Formula!K120)/(Formula!C120+Formula!E120+Formula!G120+Formula!I120+Formula!K120))*(INDEX(Properties!A$1:CB$87,Formula!J120,30))</f>
        <v>2.5535714285714284</v>
      </c>
      <c r="CO120" s="54">
        <f>Formula!C120*(INDEX(Properties!A$1:CB$87,Formula!B120,30))+Formula!E120*(INDEX(Properties!A$1:CB$87,Formula!D120,30))+Formula!G120*(INDEX(Properties!A$1:CB$87,Formula!F120,30))+Formula!I120*(INDEX(Properties!A$1:CB$87,Formula!H120,30))+Formula!K120*(INDEX(Properties!A$1:CB$87,Formula!J120,30))</f>
        <v>35.75</v>
      </c>
      <c r="CP120" s="54">
        <f>VARP(IF(INDEX(Properties!A$1:CB$87,Formula!B120,30)&lt;&gt;"",INDEX(Properties!A$1:CB$87,Formula!B120,30)),IF(INDEX(Properties!A$1:CB$87,Formula!D120,30)&lt;&gt;"",INDEX(Properties!A$1:CB$87,Formula!D120,30)),IF(INDEX(Properties!A$1:CB$87,Formula!F120,30)&lt;&gt;"",INDEX(Properties!A$1:CB$87,Formula!F120,30)),IF(INDEX(Properties!A$1:CB$87,Formula!H120,30)&lt;&gt;"",INDEX(Properties!A$1:CB$87,Formula!H120,30)),IF(INDEX(Properties!A$1:CB$87,Formula!J120,30)&lt;&gt;"",INDEX(Properties!A$1:CB$87,Formula!J120,30)))</f>
        <v>1.2611359999999998</v>
      </c>
      <c r="CQ120" s="54">
        <f>MAX(INDEX(Properties!A$1:CB$87,Formula!B120,30),INDEX(Properties!A$1:CB$87,Formula!D120,30),INDEX(Properties!A$1:CB$87,Formula!F120,30),INDEX(Properties!A$1:CB$87,Formula!H120,30),INDEX(Properties!A$1:CB$87,Formula!J120,30))</f>
        <v>3.44</v>
      </c>
      <c r="CR120" s="54">
        <f>MIN(IF(INDEX(Properties!A$1:CB$87,Formula!B120,30)=0,10^6,INDEX(Properties!A$1:CB$87,Formula!B120,30)),IF(INDEX(Properties!A$1:CB$87,Formula!D120,30)=0,10^6,INDEX(Properties!A$1:CB$87,Formula!D120,30)),IF(INDEX(Properties!A$1:CB$87,Formula!F120,30)=0,10^6,INDEX(Properties!A$1:CB$87,Formula!F120,30)),IF(INDEX(Properties!A$1:CB$87,Formula!H120,30)=0,10^6,INDEX(Properties!A$1:CB$87,Formula!H120,30)),IF(INDEX(Properties!A$1:CB$87,Formula!J120,30)=0,10^6,INDEX(Properties!A$1:CB$87,Formula!J120,30)))</f>
        <v>0.98</v>
      </c>
      <c r="CS120" s="54">
        <f t="shared" si="47"/>
        <v>2.46</v>
      </c>
      <c r="CT120" s="69">
        <f>((Formula!C120)/(Formula!C120+Formula!E120+Formula!G120+Formula!I120+Formula!K120))*(INDEX(Properties!A$1:CB$87,Formula!B120,31))+((Formula!E120)/(Formula!C120+Formula!E120+Formula!G120+Formula!I120+Formula!K120))*(INDEX(Properties!A$1:CB$87,Formula!D120,31))+((Formula!G120)/(Formula!C120+Formula!E120+Formula!G120+Formula!I120+Formula!K120))*(INDEX(Properties!A$1:CB$87,Formula!F120,31))+((Formula!I120)/(Formula!C120+Formula!E120+Formula!G120+Formula!I120+Formula!K120))*(INDEX(Properties!A$1:CB$87,Formula!H120,31))+((Formula!K120)/(Formula!C120+Formula!E120+Formula!G120+Formula!I120+Formula!K120))*(INDEX(Properties!A$1:CB$87,Formula!J120,31))</f>
        <v>2.5271428571428571</v>
      </c>
      <c r="CU120" s="69">
        <f>Formula!C120*(INDEX(Properties!A$1:CB$87,Formula!B120,31))+Formula!E120*(INDEX(Properties!A$1:CB$87,Formula!D120,31))+Formula!G120*(INDEX(Properties!A$1:CB$87,Formula!F120,31))+Formula!I120*(INDEX(Properties!A$1:CB$87,Formula!H120,31))+Formula!K120*(INDEX(Properties!A$1:CB$87,Formula!J120,31))</f>
        <v>35.379999999999995</v>
      </c>
      <c r="CV120" s="69">
        <f>VARP(IF(INDEX(Properties!A$1:CB$87,Formula!B120,31)&lt;&gt;"",INDEX(Properties!A$1:CB$87,Formula!B120,31)),IF(INDEX(Properties!A$1:CB$87,Formula!D120,31)&lt;&gt;"",INDEX(Properties!A$1:CB$87,Formula!D120,31)),IF(INDEX(Properties!A$1:CB$87,Formula!F120,31)&lt;&gt;"",INDEX(Properties!A$1:CB$87,Formula!F120,31)),IF(INDEX(Properties!A$1:CB$87,Formula!H120,31)&lt;&gt;"",INDEX(Properties!A$1:CB$87,Formula!H120,31)),IF(INDEX(Properties!A$1:CB$87,Formula!J120,31)&lt;&gt;"",INDEX(Properties!A$1:CB$87,Formula!J120,31)))</f>
        <v>1.2111040000000002</v>
      </c>
      <c r="CW120" s="69">
        <f>MAX(INDEX(Properties!A$1:CB$87,Formula!B120,31),INDEX(Properties!A$1:CB$87,Formula!D120,31),INDEX(Properties!A$1:CB$87,Formula!F120,31),INDEX(Properties!A$1:CB$87,Formula!H120,31),INDEX(Properties!A$1:CB$87,Formula!J120,31))</f>
        <v>3.32</v>
      </c>
      <c r="CX120" s="69">
        <f>MIN(IF(INDEX(Properties!A$1:CB$87,Formula!B120,31)=0,10^6,INDEX(Properties!A$1:CB$87,Formula!B120,31)),IF(INDEX(Properties!A$1:CB$87,Formula!D120,31)=0,10^6,INDEX(Properties!A$1:CB$87,Formula!D120,31)),IF(INDEX(Properties!A$1:CB$87,Formula!F120,31)=0,10^6,INDEX(Properties!A$1:CB$87,Formula!F120,31)),IF(INDEX(Properties!A$1:CB$87,Formula!H120,31)=0,10^6,INDEX(Properties!A$1:CB$87,Formula!H120,31)),IF(INDEX(Properties!A$1:CB$87,Formula!J120,31)=0,10^6,INDEX(Properties!A$1:CB$87,Formula!J120,31)))</f>
        <v>0.9</v>
      </c>
      <c r="CY120" s="69">
        <f t="shared" si="48"/>
        <v>2.42</v>
      </c>
      <c r="CZ120" s="42">
        <f>((Formula!C120)/(Formula!C120+Formula!E120+Formula!G120+Formula!I120+Formula!K120))*(INDEX(Properties!A$1:CB$87,Formula!B120,32))+((Formula!E120)/(Formula!C120+Formula!E120+Formula!G120+Formula!I120+Formula!K120))*(INDEX(Properties!A$1:CB$87,Formula!D120,32))+((Formula!G120)/(Formula!C120+Formula!E120+Formula!G120+Formula!I120+Formula!K120))*(INDEX(Properties!A$1:CB$87,Formula!F120,32))+((Formula!I120)/(Formula!C120+Formula!E120+Formula!G120+Formula!I120+Formula!K120))*(INDEX(Properties!A$1:CB$87,Formula!H120,32))+((Formula!K120)/(Formula!C120+Formula!E120+Formula!G120+Formula!I120+Formula!K120))*(INDEX(Properties!A$1:CB$87,Formula!J120,32))</f>
        <v>5.7957142857142863</v>
      </c>
      <c r="DA120" s="42">
        <f>Formula!C120*(INDEX(Properties!A$1:CB$87,Formula!B120,32))+Formula!E120*(INDEX(Properties!A$1:CB$87,Formula!D120,32))+Formula!G120*(INDEX(Properties!A$1:CB$87,Formula!F120,32))+Formula!I120*(INDEX(Properties!A$1:CB$87,Formula!H120,32))+Formula!K120*(INDEX(Properties!A$1:CB$87,Formula!J120,32))</f>
        <v>81.14</v>
      </c>
      <c r="DB120" s="42">
        <f>VARP(IF(INDEX(Properties!A$1:CB$87,Formula!B120,32)&lt;&gt;"",INDEX(Properties!A$1:CB$87,Formula!B120,32)),IF(INDEX(Properties!A$1:CB$87,Formula!D120,32)&lt;&gt;"",INDEX(Properties!A$1:CB$87,Formula!D120,32)),IF(INDEX(Properties!A$1:CB$87,Formula!F120,32)&lt;&gt;"",INDEX(Properties!A$1:CB$87,Formula!F120,32)),IF(INDEX(Properties!A$1:CB$87,Formula!H120,32)&lt;&gt;"",INDEX(Properties!A$1:CB$87,Formula!H120,32)),IF(INDEX(Properties!A$1:CB$87,Formula!J120,32)&lt;&gt;"",INDEX(Properties!A$1:CB$87,Formula!J120,32)))</f>
        <v>5.9072400000000043</v>
      </c>
      <c r="DC120" s="42">
        <f>MAX(INDEX(Properties!A$1:CB$87,Formula!B120,32),INDEX(Properties!A$1:CB$87,Formula!D120,32),INDEX(Properties!A$1:CB$87,Formula!F120,32),INDEX(Properties!A$1:CB$87,Formula!H120,32),INDEX(Properties!A$1:CB$87,Formula!J120,32))</f>
        <v>7.54</v>
      </c>
      <c r="DD120" s="42">
        <f>MIN(IF(INDEX(Properties!A$1:CB$87,Formula!B120,32)=0,10^6,INDEX(Properties!A$1:CB$87,Formula!B120,32)),IF(INDEX(Properties!A$1:CB$87,Formula!D120,32)=0,10^6,INDEX(Properties!A$1:CB$87,Formula!D120,32)),IF(INDEX(Properties!A$1:CB$87,Formula!F120,32)=0,10^6,INDEX(Properties!A$1:CB$87,Formula!F120,32)),IF(INDEX(Properties!A$1:CB$87,Formula!H120,32)=0,10^6,INDEX(Properties!A$1:CB$87,Formula!H120,32)),IF(INDEX(Properties!A$1:CB$87,Formula!J120,32)=0,10^6,INDEX(Properties!A$1:CB$87,Formula!J120,32)))</f>
        <v>3.01</v>
      </c>
      <c r="DE120" s="42">
        <f t="shared" si="49"/>
        <v>4.53</v>
      </c>
      <c r="DF120" s="60">
        <f>((Formula!C120)/(Formula!C120+Formula!E120+Formula!G120+Formula!I120+Formula!K120))*(INDEX(Properties!A$1:CB$87,Formula!B120,34))+((Formula!E120)/(Formula!C120+Formula!E120+Formula!G120+Formula!I120+Formula!K120))*(INDEX(Properties!A$1:CB$87,Formula!D120,34))+((Formula!G120)/(Formula!C120+Formula!E120+Formula!G120+Formula!I120+Formula!K120))*(INDEX(Properties!A$1:CB$87,Formula!F120,34))+((Formula!I120)/(Formula!C120+Formula!E120+Formula!G120+Formula!I120+Formula!K120))*(INDEX(Properties!A$1:CB$87,Formula!H120,34))+((Formula!K120)/(Formula!C120+Formula!E120+Formula!G120+Formula!I120+Formula!K120))*(INDEX(Properties!A$1:CB$87,Formula!J120,34))</f>
        <v>2.6024285714285713</v>
      </c>
      <c r="DG120" s="60">
        <f>Formula!C120*(INDEX(Properties!A$1:CB$87,Formula!B120,34))+Formula!E120*(INDEX(Properties!A$1:CB$87,Formula!D120,34))+Formula!G120*(INDEX(Properties!A$1:CB$87,Formula!F120,34))+Formula!I120*(INDEX(Properties!A$1:CB$87,Formula!H120,34))+Formula!K120*(INDEX(Properties!A$1:CB$87,Formula!J120,34))</f>
        <v>36.433999999999997</v>
      </c>
      <c r="DH120" s="60">
        <f>VARP(IF(INDEX(Properties!A$1:CB$87,Formula!B120,34)&lt;&gt;"",INDEX(Properties!A$1:CB$87,Formula!B120,34)),IF(INDEX(Properties!A$1:CB$87,Formula!D120,34)&lt;&gt;"",INDEX(Properties!A$1:CB$87,Formula!D120,34)),IF(INDEX(Properties!A$1:CB$87,Formula!F120,34)&lt;&gt;"",INDEX(Properties!A$1:CB$87,Formula!F120,34)),IF(INDEX(Properties!A$1:CB$87,Formula!H120,34)&lt;&gt;"",INDEX(Properties!A$1:CB$87,Formula!H120,34)),IF(INDEX(Properties!A$1:CB$87,Formula!J120,34)&lt;&gt;"",INDEX(Properties!A$1:CB$87,Formula!J120,34)))</f>
        <v>1.4140662399999999</v>
      </c>
      <c r="DI120" s="60">
        <f>MAX(INDEX(Properties!A$1:CB$87,Formula!B120,34),INDEX(Properties!A$1:CB$87,Formula!D120,34),INDEX(Properties!A$1:CB$87,Formula!F120,34),INDEX(Properties!A$1:CB$87,Formula!H120,34),INDEX(Properties!A$1:CB$87,Formula!J120,34))</f>
        <v>3.61</v>
      </c>
      <c r="DJ120" s="60">
        <f>MIN(IF(INDEX(Properties!A$1:CB$87,Formula!B120,34)=0,10^6,INDEX(Properties!A$1:CB$87,Formula!B120,34)),IF(INDEX(Properties!A$1:CB$87,Formula!D120,34)=0,10^6,INDEX(Properties!A$1:CB$87,Formula!D120,34)),IF(INDEX(Properties!A$1:CB$87,Formula!F120,34)=0,10^6,INDEX(Properties!A$1:CB$87,Formula!F120,34)),IF(INDEX(Properties!A$1:CB$87,Formula!H120,34)=0,10^6,INDEX(Properties!A$1:CB$87,Formula!H120,34)),IF(INDEX(Properties!A$1:CB$87,Formula!J120,34)=0,10^6,INDEX(Properties!A$1:CB$87,Formula!J120,34)))</f>
        <v>0.91200000000000003</v>
      </c>
      <c r="DK120" s="60">
        <f t="shared" si="50"/>
        <v>2.698</v>
      </c>
      <c r="DL120" s="45">
        <f>((Formula!C120)/(Formula!C120+Formula!E120+Formula!G120+Formula!I120+Formula!K120))*(INDEX(Properties!A$1:CB$87,Formula!B120,39))+((Formula!E120)/(Formula!C120+Formula!E120+Formula!G120+Formula!I120+Formula!K120))*(INDEX(Properties!A$1:CB$87,Formula!D120,39))+((Formula!G120)/(Formula!C120+Formula!E120+Formula!G120+Formula!I120+Formula!K120))*(INDEX(Properties!A$1:CB$87,Formula!F120,39))+((Formula!I120)/(Formula!C120+Formula!E120+Formula!G120+Formula!I120+Formula!K120))*(INDEX(Properties!A$1:CB$87,Formula!H120,39))+((Formula!K120)/(Formula!C120+Formula!E120+Formula!G120+Formula!I120+Formula!K120))*(INDEX(Properties!A$1:CB$87,Formula!J120,39))</f>
        <v>0.99142857142857133</v>
      </c>
      <c r="DM120" s="45">
        <f>Formula!C120*(INDEX(Properties!A$1:CB$87,Formula!B120,39))+Formula!E120*(INDEX(Properties!A$1:CB$87,Formula!D120,39))+Formula!G120*(INDEX(Properties!A$1:CB$87,Formula!F120,39))+Formula!I120*(INDEX(Properties!A$1:CB$87,Formula!H120,39))+Formula!K120*(INDEX(Properties!A$1:CB$87,Formula!J120,39))</f>
        <v>13.879999999999999</v>
      </c>
      <c r="DN120" s="45">
        <f>VARP(IF(INDEX(Properties!A$1:CB$87,Formula!B120,39)&lt;&gt;"",INDEX(Properties!A$1:CB$87,Formula!B120,39)),IF(INDEX(Properties!A$1:CB$87,Formula!D120,39)&lt;&gt;"",INDEX(Properties!A$1:CB$87,Formula!D120,39)),IF(INDEX(Properties!A$1:CB$87,Formula!F120,39)&lt;&gt;"",INDEX(Properties!A$1:CB$87,Formula!F120,39)),IF(INDEX(Properties!A$1:CB$87,Formula!H120,39)&lt;&gt;"",INDEX(Properties!A$1:CB$87,Formula!H120,39)),IF(INDEX(Properties!A$1:CB$87,Formula!J120,39)&lt;&gt;"",INDEX(Properties!A$1:CB$87,Formula!J120,39)))</f>
        <v>0.49030400000000002</v>
      </c>
      <c r="DO120" s="45">
        <f>MAX(INDEX(Properties!A$1:CB$87,Formula!B120,39),INDEX(Properties!A$1:CB$87,Formula!D120,39),INDEX(Properties!A$1:CB$87,Formula!F120,39),INDEX(Properties!A$1:CB$87,Formula!H120,39),INDEX(Properties!A$1:CB$87,Formula!J120,39))</f>
        <v>1.76</v>
      </c>
      <c r="DP120" s="45">
        <f>MIN(IF(INDEX(Properties!A$1:CB$87,Formula!B120,39)=0,10^6,INDEX(Properties!A$1:CB$87,Formula!B120,39)),IF(INDEX(Properties!A$1:CB$87,Formula!D120,39)=0,10^6,INDEX(Properties!A$1:CB$87,Formula!D120,39)),IF(INDEX(Properties!A$1:CB$87,Formula!F120,39)=0,10^6,INDEX(Properties!A$1:CB$87,Formula!F120,39)),IF(INDEX(Properties!A$1:CB$87,Formula!H120,39)=0,10^6,INDEX(Properties!A$1:CB$87,Formula!H120,39)),IF(INDEX(Properties!A$1:CB$87,Formula!J120,39)=0,10^6,INDEX(Properties!A$1:CB$87,Formula!J120,39)))</f>
        <v>0.48</v>
      </c>
      <c r="DQ120" s="45">
        <f t="shared" si="51"/>
        <v>1.28</v>
      </c>
      <c r="DR120" s="63">
        <f>((Formula!C120)/(Formula!C120+Formula!E120+Formula!G120+Formula!I120+Formula!K120))*(INDEX(Properties!A$1:CB$87,Formula!B120,40))+((Formula!E120)/(Formula!C120+Formula!E120+Formula!G120+Formula!I120+Formula!K120))*(INDEX(Properties!A$1:CB$87,Formula!D120,40))+((Formula!G120)/(Formula!C120+Formula!E120+Formula!G120+Formula!I120+Formula!K120))*(INDEX(Properties!A$1:CB$87,Formula!F120,40))+((Formula!I120)/(Formula!C120+Formula!E120+Formula!G120+Formula!I120+Formula!K120))*(INDEX(Properties!A$1:CB$87,Formula!H120,40))+((Formula!K120)/(Formula!C120+Formula!E120+Formula!G120+Formula!I120+Formula!K120))*(INDEX(Properties!A$1:CB$87,Formula!J120,40))</f>
        <v>0.99357142857142855</v>
      </c>
      <c r="DS120" s="63">
        <f>Formula!C120*(INDEX(Properties!A$1:CB$87,Formula!B120,40))+Formula!E120*(INDEX(Properties!A$1:CB$87,Formula!D120,40))+Formula!G120*(INDEX(Properties!A$1:CB$87,Formula!F120,40))+Formula!I120*(INDEX(Properties!A$1:CB$87,Formula!H120,40))+Formula!K120*(INDEX(Properties!A$1:CB$87,Formula!J120,40))</f>
        <v>13.91</v>
      </c>
      <c r="DT120" s="63">
        <f>VARP(IF(INDEX(Properties!A$1:CB$87,Formula!B120,40)&lt;&gt;"",INDEX(Properties!A$1:CB$87,Formula!B120,40)),IF(INDEX(Properties!A$1:CB$87,Formula!D120,40)&lt;&gt;"",INDEX(Properties!A$1:CB$87,Formula!D120,40)),IF(INDEX(Properties!A$1:CB$87,Formula!F120,40)&lt;&gt;"",INDEX(Properties!A$1:CB$87,Formula!F120,40)),IF(INDEX(Properties!A$1:CB$87,Formula!H120,40)&lt;&gt;"",INDEX(Properties!A$1:CB$87,Formula!H120,40)),IF(INDEX(Properties!A$1:CB$87,Formula!J120,40)&lt;&gt;"",INDEX(Properties!A$1:CB$87,Formula!J120,40)))</f>
        <v>0.28013600000000011</v>
      </c>
      <c r="DU120" s="63">
        <f>MAX(INDEX(Properties!A$1:CB$87,Formula!B120,40),INDEX(Properties!A$1:CB$87,Formula!D120,40),INDEX(Properties!A$1:CB$87,Formula!F120,40),INDEX(Properties!A$1:CB$87,Formula!H120,40),INDEX(Properties!A$1:CB$87,Formula!J120,40))</f>
        <v>1.36</v>
      </c>
      <c r="DV120" s="63">
        <f>MIN(IF(INDEX(Properties!A$1:CB$87,Formula!B120,40)=0,10^6,INDEX(Properties!A$1:CB$87,Formula!B120,40)),IF(INDEX(Properties!A$1:CB$87,Formula!D120,40)=0,10^6,INDEX(Properties!A$1:CB$87,Formula!D120,40)),IF(INDEX(Properties!A$1:CB$87,Formula!F120,40)=0,10^6,INDEX(Properties!A$1:CB$87,Formula!F120,40)),IF(INDEX(Properties!A$1:CB$87,Formula!H120,40)=0,10^6,INDEX(Properties!A$1:CB$87,Formula!H120,40)),IF(INDEX(Properties!A$1:CB$87,Formula!J120,40)=0,10^6,INDEX(Properties!A$1:CB$87,Formula!J120,40)))</f>
        <v>0.73</v>
      </c>
      <c r="DW120" s="63">
        <f t="shared" si="52"/>
        <v>0.63000000000000012</v>
      </c>
      <c r="DX120" s="75">
        <f>((Formula!C120)/(Formula!C120+Formula!E120+Formula!G120+Formula!I120+Formula!K120))*(INDEX(Properties!A$1:CB$87,Formula!B120,41))+((Formula!E120)/(Formula!C120+Formula!E120+Formula!G120+Formula!I120+Formula!K120))*(INDEX(Properties!A$1:CB$87,Formula!D120,41))+((Formula!G120)/(Formula!C120+Formula!E120+Formula!G120+Formula!I120+Formula!K120))*(INDEX(Properties!A$1:CB$87,Formula!F120,41))+((Formula!I120)/(Formula!C120+Formula!E120+Formula!G120+Formula!I120+Formula!K120))*(INDEX(Properties!A$1:CB$87,Formula!H120,41))+((Formula!K120)/(Formula!C120+Formula!E120+Formula!G120+Formula!I120+Formula!K120))*(INDEX(Properties!A$1:CB$87,Formula!J120,41))</f>
        <v>1.1257142857142857</v>
      </c>
      <c r="DY120" s="75">
        <f>Formula!C120*(INDEX(Properties!A$1:CB$87,Formula!B120,41))+Formula!E120*(INDEX(Properties!A$1:CB$87,Formula!D120,41))+Formula!G120*(INDEX(Properties!A$1:CB$87,Formula!F120,41))+Formula!I120*(INDEX(Properties!A$1:CB$87,Formula!H120,41))+Formula!K120*(INDEX(Properties!A$1:CB$87,Formula!J120,41))</f>
        <v>15.76</v>
      </c>
      <c r="DZ120" s="75">
        <f>VARP(IF(INDEX(Properties!A$1:CB$87,Formula!B120,41)&lt;&gt;"",INDEX(Properties!A$1:CB$87,Formula!B120,41)),IF(INDEX(Properties!A$1:CB$87,Formula!D120,41)&lt;&gt;"",INDEX(Properties!A$1:CB$87,Formula!D120,41)),IF(INDEX(Properties!A$1:CB$87,Formula!F120,41)&lt;&gt;"",INDEX(Properties!A$1:CB$87,Formula!F120,41)),IF(INDEX(Properties!A$1:CB$87,Formula!H120,41)&lt;&gt;"",INDEX(Properties!A$1:CB$87,Formula!H120,41)),IF(INDEX(Properties!A$1:CB$87,Formula!J120,41)&lt;&gt;"",INDEX(Properties!A$1:CB$87,Formula!J120,41)))</f>
        <v>0.18153600000000011</v>
      </c>
      <c r="EA120" s="75">
        <f>MAX(INDEX(Properties!A$1:CB$87,Formula!B120,41),INDEX(Properties!A$1:CB$87,Formula!D120,41),INDEX(Properties!A$1:CB$87,Formula!F120,41),INDEX(Properties!A$1:CB$87,Formula!H120,41),INDEX(Properties!A$1:CB$87,Formula!J120,41))</f>
        <v>1.26</v>
      </c>
      <c r="EB120" s="75">
        <f>MIN(IF(INDEX(Properties!A$1:CB$87,Formula!B120,41)=0,10^6,INDEX(Properties!A$1:CB$87,Formula!B120,41)),IF(INDEX(Properties!A$1:CB$87,Formula!D120,41)=0,10^6,INDEX(Properties!A$1:CB$87,Formula!D120,41)),IF(INDEX(Properties!A$1:CB$87,Formula!F120,41)=0,10^6,INDEX(Properties!A$1:CB$87,Formula!F120,41)),IF(INDEX(Properties!A$1:CB$87,Formula!H120,41)=0,10^6,INDEX(Properties!A$1:CB$87,Formula!H120,41)),IF(INDEX(Properties!A$1:CB$87,Formula!J120,41)=0,10^6,INDEX(Properties!A$1:CB$87,Formula!J120,41)))</f>
        <v>0.88</v>
      </c>
      <c r="EC120" s="75">
        <f t="shared" si="53"/>
        <v>0.38</v>
      </c>
      <c r="ED120" s="48">
        <f>((Formula!C120)/(Formula!C120+Formula!E120+Formula!G120+Formula!I120+Formula!K120))*(INDEX(Properties!A$1:CB$87,Formula!B120,45))+((Formula!E120)/(Formula!C120+Formula!E120+Formula!G120+Formula!I120+Formula!K120))*(INDEX(Properties!A$1:CB$87,Formula!D120,45))+((Formula!G120)/(Formula!C120+Formula!E120+Formula!G120+Formula!I120+Formula!K120))*(INDEX(Properties!A$1:CB$87,Formula!F120,45))+((Formula!I120)/(Formula!C120+Formula!E120+Formula!G120+Formula!I120+Formula!K120))*(INDEX(Properties!A$1:CB$87,Formula!H120,45))+((Formula!K120)/(Formula!C120+Formula!E120+Formula!G120+Formula!I120+Formula!K120))*(INDEX(Properties!A$1:CB$87,Formula!J120,45))</f>
        <v>1.1857142857142855</v>
      </c>
      <c r="EE120" s="48">
        <f>Formula!C120*(INDEX(Properties!A$1:CB$87,Formula!B120,45))+Formula!E120*(INDEX(Properties!A$1:CB$87,Formula!D120,45))+Formula!G120*(INDEX(Properties!A$1:CB$87,Formula!F120,45))+Formula!I120*(INDEX(Properties!A$1:CB$87,Formula!H120,45))+Formula!K120*(INDEX(Properties!A$1:CB$87,Formula!J120,45))</f>
        <v>16.600000000000001</v>
      </c>
      <c r="EF120" s="48">
        <f>VARP(IF(INDEX(Properties!A$1:CB$87,Formula!B120,45)&lt;&gt;"",INDEX(Properties!A$1:CB$87,Formula!B120,45)),IF(INDEX(Properties!A$1:CB$87,Formula!D120,45)&lt;&gt;"",INDEX(Properties!A$1:CB$87,Formula!D120,45)),IF(INDEX(Properties!A$1:CB$87,Formula!F120,45)&lt;&gt;"",INDEX(Properties!A$1:CB$87,Formula!F120,45)),IF(INDEX(Properties!A$1:CB$87,Formula!H120,45)&lt;&gt;"",INDEX(Properties!A$1:CB$87,Formula!H120,45)),IF(INDEX(Properties!A$1:CB$87,Formula!J120,45)&lt;&gt;"",INDEX(Properties!A$1:CB$87,Formula!J120,45)))</f>
        <v>0.88989600000000024</v>
      </c>
      <c r="EG120" s="48">
        <f>MAX(INDEX(Properties!A$1:CB$87,Formula!B120,45),INDEX(Properties!A$1:CB$87,Formula!D120,45),INDEX(Properties!A$1:CB$87,Formula!F120,45),INDEX(Properties!A$1:CB$87,Formula!H120,45),INDEX(Properties!A$1:CB$87,Formula!J120,45))</f>
        <v>2.58</v>
      </c>
      <c r="EH120" s="48">
        <f>MIN(IF(INDEX(Properties!A$1:CB$87,Formula!B120,45)=0,10^6,INDEX(Properties!A$1:CB$87,Formula!B120,45)),IF(INDEX(Properties!A$1:CB$87,Formula!D120,45)=0,10^6,INDEX(Properties!A$1:CB$87,Formula!D120,45)),IF(INDEX(Properties!A$1:CB$87,Formula!F120,45)=0,10^6,INDEX(Properties!A$1:CB$87,Formula!F120,45)),IF(INDEX(Properties!A$1:CB$87,Formula!H120,45)=0,10^6,INDEX(Properties!A$1:CB$87,Formula!H120,45)),IF(INDEX(Properties!A$1:CB$87,Formula!J120,45)=0,10^6,INDEX(Properties!A$1:CB$87,Formula!J120,45)))</f>
        <v>0.47</v>
      </c>
      <c r="EI120" s="48">
        <f t="shared" si="54"/>
        <v>2.1100000000000003</v>
      </c>
      <c r="EJ120" s="66">
        <f>((Formula!C120)/(Formula!C120+Formula!E120+Formula!G120+Formula!I120+Formula!K120))*(INDEX(Properties!A$1:CB$87,Formula!B120,46))+((Formula!E120)/(Formula!C120+Formula!E120+Formula!G120+Formula!I120+Formula!K120))*(INDEX(Properties!A$1:CB$87,Formula!D120,46))+((Formula!G120)/(Formula!C120+Formula!E120+Formula!G120+Formula!I120+Formula!K120))*(INDEX(Properties!A$1:CB$87,Formula!F120,46))+((Formula!I120)/(Formula!C120+Formula!E120+Formula!G120+Formula!I120+Formula!K120))*(INDEX(Properties!A$1:CB$87,Formula!H120,46))+((Formula!K120)/(Formula!C120+Formula!E120+Formula!G120+Formula!I120+Formula!K120))*(INDEX(Properties!A$1:CB$87,Formula!J120,46))</f>
        <v>1.0335714285714284</v>
      </c>
      <c r="EK120" s="66">
        <f>Formula!C120*(INDEX(Properties!A$1:CB$87,Formula!B120,46))+Formula!E120*(INDEX(Properties!A$1:CB$87,Formula!D120,46))+Formula!G120*(INDEX(Properties!A$1:CB$87,Formula!F120,46))+Formula!I120*(INDEX(Properties!A$1:CB$87,Formula!H120,46))+Formula!K120*(INDEX(Properties!A$1:CB$87,Formula!J120,46))</f>
        <v>14.469999999999999</v>
      </c>
      <c r="EL120" s="66">
        <f>VARP(IF(INDEX(Properties!A$1:CB$87,Formula!B120,46)&lt;&gt;"",INDEX(Properties!A$1:CB$87,Formula!B120,46)),IF(INDEX(Properties!A$1:CB$87,Formula!D120,46)&lt;&gt;"",INDEX(Properties!A$1:CB$87,Formula!D120,46)),IF(INDEX(Properties!A$1:CB$87,Formula!F120,46)&lt;&gt;"",INDEX(Properties!A$1:CB$87,Formula!F120,46)),IF(INDEX(Properties!A$1:CB$87,Formula!H120,46)&lt;&gt;"",INDEX(Properties!A$1:CB$87,Formula!H120,46)),IF(INDEX(Properties!A$1:CB$87,Formula!J120,46)&lt;&gt;"",INDEX(Properties!A$1:CB$87,Formula!J120,46)))</f>
        <v>0.15843999999999994</v>
      </c>
      <c r="EM120" s="66">
        <f>MAX(INDEX(Properties!A$1:CB$87,Formula!B120,46),INDEX(Properties!A$1:CB$87,Formula!D120,46),INDEX(Properties!A$1:CB$87,Formula!F120,46),INDEX(Properties!A$1:CB$87,Formula!H120,46),INDEX(Properties!A$1:CB$87,Formula!J120,46))</f>
        <v>1.21</v>
      </c>
      <c r="EN120" s="66">
        <f>MIN(IF(INDEX(Properties!A$1:CB$87,Formula!B120,46)=0,10^6,INDEX(Properties!A$1:CB$87,Formula!B120,46)),IF(INDEX(Properties!A$1:CB$87,Formula!D120,46)=0,10^6,INDEX(Properties!A$1:CB$87,Formula!D120,46)),IF(INDEX(Properties!A$1:CB$87,Formula!F120,46)=0,10^6,INDEX(Properties!A$1:CB$87,Formula!F120,46)),IF(INDEX(Properties!A$1:CB$87,Formula!H120,46)=0,10^6,INDEX(Properties!A$1:CB$87,Formula!H120,46)),IF(INDEX(Properties!A$1:CB$87,Formula!J120,46)=0,10^6,INDEX(Properties!A$1:CB$87,Formula!J120,46)))</f>
        <v>0.74</v>
      </c>
      <c r="EO120" s="66">
        <f t="shared" si="55"/>
        <v>0.47</v>
      </c>
      <c r="EP120" s="81">
        <f>((Formula!C120)/(Formula!C120+Formula!E120+Formula!G120+Formula!I120+Formula!K120))*(INDEX(Properties!A$1:CB$87,Formula!B120,52))+((Formula!E120)/(Formula!C120+Formula!E120+Formula!G120+Formula!I120+Formula!K120))*(INDEX(Properties!A$1:CB$87,Formula!D120,52))+((Formula!G120)/(Formula!C120+Formula!E120+Formula!G120+Formula!I120+Formula!K120))*(INDEX(Properties!A$1:CB$87,Formula!F120,52))+((Formula!I120)/(Formula!C120+Formula!E120+Formula!G120+Formula!I120+Formula!K120))*(INDEX(Properties!A$1:CB$87,Formula!H120,52))+((Formula!K120)/(Formula!C120+Formula!E120+Formula!G120+Formula!I120+Formula!K120))*(INDEX(Properties!A$1:CB$87,Formula!J120,52))</f>
        <v>7.5102857142857138</v>
      </c>
      <c r="EQ120" s="81">
        <f>Formula!C120*(INDEX(Properties!A$1:CB$87,Formula!B120,52))+Formula!E120*(INDEX(Properties!A$1:CB$87,Formula!D120,52))+Formula!G120*(INDEX(Properties!A$1:CB$87,Formula!F120,52))+Formula!I120*(INDEX(Properties!A$1:CB$87,Formula!H120,52))+Formula!K120*(INDEX(Properties!A$1:CB$87,Formula!J120,52))</f>
        <v>105.14399999999999</v>
      </c>
      <c r="ER120" s="81">
        <f>VARP(IF(INDEX(Properties!A$1:CB$87,Formula!B120,52)&lt;&gt;"",INDEX(Properties!A$1:CB$87,Formula!B120,52)),IF(INDEX(Properties!A$1:CB$87,Formula!D120,52)&lt;&gt;"",INDEX(Properties!A$1:CB$87,Formula!D120,52)),IF(INDEX(Properties!A$1:CB$87,Formula!F120,52)&lt;&gt;"",INDEX(Properties!A$1:CB$87,Formula!F120,52)),IF(INDEX(Properties!A$1:CB$87,Formula!H120,52)&lt;&gt;"",INDEX(Properties!A$1:CB$87,Formula!H120,52)),IF(INDEX(Properties!A$1:CB$87,Formula!J120,52)&lt;&gt;"",INDEX(Properties!A$1:CB$87,Formula!J120,52)))</f>
        <v>84.065183839999975</v>
      </c>
      <c r="ES120" s="81">
        <f>MAX(INDEX(Properties!A$1:CB$87,Formula!B120,52),INDEX(Properties!A$1:CB$87,Formula!D120,52),INDEX(Properties!A$1:CB$87,Formula!F120,52),INDEX(Properties!A$1:CB$87,Formula!H120,52),INDEX(Properties!A$1:CB$87,Formula!J120,52))</f>
        <v>24.3</v>
      </c>
      <c r="ET120" s="81">
        <f>MIN(IF(INDEX(Properties!A$1:CB$87,Formula!B120,52)=0,10^6,INDEX(Properties!A$1:CB$87,Formula!B120,52)),IF(INDEX(Properties!A$1:CB$87,Formula!D120,52)=0,10^6,INDEX(Properties!A$1:CB$87,Formula!D120,52)),IF(INDEX(Properties!A$1:CB$87,Formula!F120,52)=0,10^6,INDEX(Properties!A$1:CB$87,Formula!F120,52)),IF(INDEX(Properties!A$1:CB$87,Formula!H120,52)=0,10^6,INDEX(Properties!A$1:CB$87,Formula!H120,52)),IF(INDEX(Properties!A$1:CB$87,Formula!J120,52)=0,10^6,INDEX(Properties!A$1:CB$87,Formula!J120,52)))</f>
        <v>0.79300000000000004</v>
      </c>
      <c r="EU120" s="81">
        <f t="shared" si="56"/>
        <v>23.507000000000001</v>
      </c>
      <c r="EV120" s="39">
        <f>((Formula!C120)/(Formula!C120+Formula!E120+Formula!G120+Formula!I120+Formula!K120))*(INDEX(Properties!A$1:CB$87,Formula!B120,53))+((Formula!E120)/(Formula!C120+Formula!E120+Formula!G120+Formula!I120+Formula!K120))*(INDEX(Properties!A$1:CB$87,Formula!D120,53))+((Formula!G120)/(Formula!C120+Formula!E120+Formula!G120+Formula!I120+Formula!K120))*(INDEX(Properties!A$1:CB$87,Formula!F120,53))+((Formula!I120)/(Formula!C120+Formula!E120+Formula!G120+Formula!I120+Formula!K120))*(INDEX(Properties!A$1:CB$87,Formula!H120,53))+((Formula!K120)/(Formula!C120+Formula!E120+Formula!G120+Formula!I120+Formula!K120))*(INDEX(Properties!A$1:CB$87,Formula!J120,53))</f>
        <v>559.82142857142844</v>
      </c>
      <c r="EW120" s="39">
        <f>Formula!C120*(INDEX(Properties!A$1:CB$87,Formula!B120,53))+Formula!E120*(INDEX(Properties!A$1:CB$87,Formula!D120,53))+Formula!G120*(INDEX(Properties!A$1:CB$87,Formula!F120,53))+Formula!I120*(INDEX(Properties!A$1:CB$87,Formula!H120,53))+Formula!K120*(INDEX(Properties!A$1:CB$87,Formula!J120,53))</f>
        <v>7837.5000000000009</v>
      </c>
      <c r="EX120" s="39">
        <f>VARP(IF(INDEX(Properties!A$1:CB$87,Formula!B120,53)&lt;&gt;"",INDEX(Properties!A$1:CB$87,Formula!B120,53)),IF(INDEX(Properties!A$1:CB$87,Formula!D120,53)&lt;&gt;"",INDEX(Properties!A$1:CB$87,Formula!D120,53)),IF(INDEX(Properties!A$1:CB$87,Formula!F120,53)&lt;&gt;"",INDEX(Properties!A$1:CB$87,Formula!F120,53)),IF(INDEX(Properties!A$1:CB$87,Formula!H120,53)&lt;&gt;"",INDEX(Properties!A$1:CB$87,Formula!H120,53)),IF(INDEX(Properties!A$1:CB$87,Formula!J120,53)&lt;&gt;"",INDEX(Properties!A$1:CB$87,Formula!J120,53)))</f>
        <v>492200.01440000004</v>
      </c>
      <c r="EY120" s="39">
        <f>MAX(INDEX(Properties!A$1:CB$87,Formula!B120,53),INDEX(Properties!A$1:CB$87,Formula!D120,53),INDEX(Properties!A$1:CB$87,Formula!F120,53),INDEX(Properties!A$1:CB$87,Formula!H120,53),INDEX(Properties!A$1:CB$87,Formula!J120,53))</f>
        <v>1933.15</v>
      </c>
      <c r="EZ120" s="39">
        <f>MIN(IF(INDEX(Properties!A$1:CB$87,Formula!B120,53)=0,10^6,INDEX(Properties!A$1:CB$87,Formula!B120,53)),IF(INDEX(Properties!A$1:CB$87,Formula!D120,53)=0,10^6,INDEX(Properties!A$1:CB$87,Formula!D120,53)),IF(INDEX(Properties!A$1:CB$87,Formula!F120,53)=0,10^6,INDEX(Properties!A$1:CB$87,Formula!F120,53)),IF(INDEX(Properties!A$1:CB$87,Formula!H120,53)=0,10^6,INDEX(Properties!A$1:CB$87,Formula!H120,53)),IF(INDEX(Properties!A$1:CB$87,Formula!J120,53)=0,10^6,INDEX(Properties!A$1:CB$87,Formula!J120,53)))</f>
        <v>54.749999999999972</v>
      </c>
      <c r="FA120" s="39">
        <f t="shared" si="57"/>
        <v>1878.4</v>
      </c>
      <c r="FB120" s="54">
        <f>((Formula!C120)/(Formula!C120+Formula!E120+Formula!G120+Formula!I120+Formula!K120))*(INDEX(Properties!A$1:CB$87,Formula!B120,54))+((Formula!E120)/(Formula!C120+Formula!E120+Formula!G120+Formula!I120+Formula!K120))*(INDEX(Properties!A$1:CB$87,Formula!D120,54))+((Formula!G120)/(Formula!C120+Formula!E120+Formula!G120+Formula!I120+Formula!K120))*(INDEX(Properties!A$1:CB$87,Formula!F120,54))+((Formula!I120)/(Formula!C120+Formula!E120+Formula!G120+Formula!I120+Formula!K120))*(INDEX(Properties!A$1:CB$87,Formula!H120,54))+((Formula!K120)/(Formula!C120+Formula!E120+Formula!G120+Formula!I120+Formula!K120))*(INDEX(Properties!A$1:CB$87,Formula!J120,54))</f>
        <v>1129.3642857142856</v>
      </c>
      <c r="FC120" s="54">
        <f>Formula!C120*(INDEX(Properties!A$1:CB$87,Formula!B120,54))+Formula!E120*(INDEX(Properties!A$1:CB$87,Formula!D120,54))+Formula!G120*(INDEX(Properties!A$1:CB$87,Formula!F120,54))+Formula!I120*(INDEX(Properties!A$1:CB$87,Formula!H120,54))+Formula!K120*(INDEX(Properties!A$1:CB$87,Formula!J120,54))</f>
        <v>15811.100000000002</v>
      </c>
      <c r="FD120" s="54">
        <f>VARP(IF(INDEX(Properties!A$1:CB$87,Formula!B120,54)&lt;&gt;"",INDEX(Properties!A$1:CB$87,Formula!B120,54)),IF(INDEX(Properties!A$1:CB$87,Formula!D120,54)&lt;&gt;"",INDEX(Properties!A$1:CB$87,Formula!D120,54)),IF(INDEX(Properties!A$1:CB$87,Formula!F120,54)&lt;&gt;"",INDEX(Properties!A$1:CB$87,Formula!F120,54)),IF(INDEX(Properties!A$1:CB$87,Formula!H120,54)&lt;&gt;"",INDEX(Properties!A$1:CB$87,Formula!H120,54)),IF(INDEX(Properties!A$1:CB$87,Formula!J120,54)&lt;&gt;"",INDEX(Properties!A$1:CB$87,Formula!J120,54)))</f>
        <v>1675065.0916000006</v>
      </c>
      <c r="FE120" s="54">
        <f>MAX(INDEX(Properties!A$1:CB$87,Formula!B120,54),INDEX(Properties!A$1:CB$87,Formula!D120,54),INDEX(Properties!A$1:CB$87,Formula!F120,54),INDEX(Properties!A$1:CB$87,Formula!H120,54),INDEX(Properties!A$1:CB$87,Formula!J120,54))</f>
        <v>3560.15</v>
      </c>
      <c r="FF120" s="54">
        <f>MIN(IF(INDEX(Properties!A$1:CB$87,Formula!B120,54)=0,10^6,INDEX(Properties!A$1:CB$87,Formula!B120,54)),IF(INDEX(Properties!A$1:CB$87,Formula!D120,54)=0,10^6,INDEX(Properties!A$1:CB$87,Formula!D120,54)),IF(INDEX(Properties!A$1:CB$87,Formula!F120,54)=0,10^6,INDEX(Properties!A$1:CB$87,Formula!F120,54)),IF(INDEX(Properties!A$1:CB$87,Formula!H120,54)=0,10^6,INDEX(Properties!A$1:CB$87,Formula!H120,54)),IF(INDEX(Properties!A$1:CB$87,Formula!J120,54)=0,10^6,INDEX(Properties!A$1:CB$87,Formula!J120,54)))</f>
        <v>90.149999999999977</v>
      </c>
      <c r="FG120" s="54">
        <f t="shared" si="58"/>
        <v>3470</v>
      </c>
      <c r="FH120" s="69">
        <f>((Formula!C120)/(Formula!C120+Formula!E120+Formula!G120+Formula!I120+Formula!K120))*(INDEX(Properties!A$1:CB$87,Formula!B120,55))+((Formula!E120)/(Formula!C120+Formula!E120+Formula!G120+Formula!I120+Formula!K120))*(INDEX(Properties!A$1:CB$87,Formula!D120,55))+((Formula!G120)/(Formula!C120+Formula!E120+Formula!G120+Formula!I120+Formula!K120))*(INDEX(Properties!A$1:CB$87,Formula!F120,55))+((Formula!I120)/(Formula!C120+Formula!E120+Formula!G120+Formula!I120+Formula!K120))*(INDEX(Properties!A$1:CB$87,Formula!H120,55))+((Formula!K120)/(Formula!C120+Formula!E120+Formula!G120+Formula!I120+Formula!K120))*(INDEX(Properties!A$1:CB$87,Formula!J120,55))</f>
        <v>1.5593885714285713</v>
      </c>
      <c r="FI120" s="69">
        <f>Formula!C120*(INDEX(Properties!A$1:CB$87,Formula!B120,55))+Formula!E120*(INDEX(Properties!A$1:CB$87,Formula!D120,54))+Formula!G120*(INDEX(Properties!A$1:CB$87,Formula!F120,55))+Formula!I120*(INDEX(Properties!A$1:CB$87,Formula!H120,55))+Formula!K120*(INDEX(Properties!A$1:CB$87,Formula!J120,55))</f>
        <v>1193.8514399999999</v>
      </c>
      <c r="FJ120" s="69">
        <f>VARP(IF(INDEX(Properties!A$1:CB$87,Formula!B120,55)&lt;&gt;"",INDEX(Properties!A$1:CB$87,Formula!B120,55)),IF(INDEX(Properties!A$1:CB$87,Formula!D120,55)&lt;&gt;"",INDEX(Properties!A$1:CB$87,Formula!D120,55)),IF(INDEX(Properties!A$1:CB$87,Formula!F120,55)&lt;&gt;"",INDEX(Properties!A$1:CB$87,Formula!F120,55)),IF(INDEX(Properties!A$1:CB$87,Formula!H120,55)&lt;&gt;"",INDEX(Properties!A$1:CB$87,Formula!H120,55)),IF(INDEX(Properties!A$1:CB$87,Formula!J120,55)&lt;&gt;"",INDEX(Properties!A$1:CB$87,Formula!J120,55)))</f>
        <v>8.3870680751840005</v>
      </c>
      <c r="FK120" s="69">
        <f>MAX(INDEX(Properties!A$1:CB$87,Formula!B120,55),INDEX(Properties!A$1:CB$87,Formula!D120,55),INDEX(Properties!A$1:CB$87,Formula!F120,55),INDEX(Properties!A$1:CB$87,Formula!H120,55),INDEX(Properties!A$1:CB$87,Formula!J120,55))</f>
        <v>7.13</v>
      </c>
      <c r="FL120" s="69">
        <f>MIN(IF(INDEX(Properties!A$1:CB$87,Formula!B120,55)=0,10^6,INDEX(Properties!A$1:CB$87,Formula!B120,55)),IF(INDEX(Properties!A$1:CB$87,Formula!D120,55)=0,10^6,INDEX(Properties!A$1:CB$87,Formula!D120,55)),IF(INDEX(Properties!A$1:CB$87,Formula!F120,55)=0,10^6,INDEX(Properties!A$1:CB$87,Formula!F120,55)),IF(INDEX(Properties!A$1:CB$87,Formula!H120,55)=0,10^6,INDEX(Properties!A$1:CB$87,Formula!H120,55)),IF(INDEX(Properties!A$1:CB$87,Formula!J120,55)=0,10^6,INDEX(Properties!A$1:CB$87,Formula!J120,55)))</f>
        <v>1.4300000000000001E-3</v>
      </c>
      <c r="FM120" s="69">
        <f t="shared" si="59"/>
        <v>7.1285699999999999</v>
      </c>
      <c r="FN120" s="42">
        <f>((Formula!C120)/(Formula!C120+Formula!E120+Formula!G120+Formula!I120+Formula!K120))*(INDEX(Properties!A$1:CB$87,Formula!B120,56))+((Formula!E120)/(Formula!C120+Formula!E120+Formula!G120+Formula!I120+Formula!K120))*(INDEX(Properties!A$1:CB$87,Formula!D120,56))+((Formula!G120)/(Formula!C120+Formula!E120+Formula!G120+Formula!I120+Formula!K120))*(INDEX(Properties!A$1:CB$87,Formula!F120,56))+((Formula!I120)/(Formula!C120+Formula!E120+Formula!G120+Formula!I120+Formula!K120))*(INDEX(Properties!A$1:CB$87,Formula!H120,56))+((Formula!K120)/(Formula!C120+Formula!E120+Formula!G120+Formula!I120+Formula!K120))*(INDEX(Properties!A$1:CB$87,Formula!J120,56))</f>
        <v>1.1792857142857143</v>
      </c>
      <c r="FO120" s="42">
        <f>Formula!C120*(INDEX(Properties!A$1:CB$87,Formula!B120,56))+Formula!E120*(INDEX(Properties!A$1:CB$87,Formula!D120,56))+Formula!G120*(INDEX(Properties!A$1:CB$87,Formula!F120,56))+Formula!I120*(INDEX(Properties!A$1:CB$87,Formula!H120,56))+Formula!K120*(INDEX(Properties!A$1:CB$87,Formula!J120,56))</f>
        <v>16.510000000000002</v>
      </c>
      <c r="FP120" s="42">
        <f>VARP(IF(INDEX(Properties!A$1:CB$87,Formula!B120,56)&lt;&gt;"",INDEX(Properties!A$1:CB$87,Formula!B120,56)),IF(INDEX(Properties!A$1:CB$87,Formula!D120,56)&lt;&gt;"",INDEX(Properties!A$1:CB$87,Formula!D120,56)),IF(INDEX(Properties!A$1:CB$87,Formula!F120,56)&lt;&gt;"",INDEX(Properties!A$1:CB$87,Formula!F120,56)),IF(INDEX(Properties!A$1:CB$87,Formula!H120,56)&lt;&gt;"",INDEX(Properties!A$1:CB$87,Formula!H120,56)),IF(INDEX(Properties!A$1:CB$87,Formula!J120,56)&lt;&gt;"",INDEX(Properties!A$1:CB$87,Formula!J120,56)))</f>
        <v>1.666384000000001</v>
      </c>
      <c r="FQ120" s="42">
        <f>MAX(INDEX(Properties!A$1:CB$87,Formula!B120,56),INDEX(Properties!A$1:CB$87,Formula!D120,56),INDEX(Properties!A$1:CB$87,Formula!F120,56),INDEX(Properties!A$1:CB$87,Formula!H120,56),INDEX(Properties!A$1:CB$87,Formula!J120,56))</f>
        <v>3.6</v>
      </c>
      <c r="FR120" s="42">
        <f>MIN(IF(INDEX(Properties!A$1:CB$87,Formula!B120,56)=0,10^6,INDEX(Properties!A$1:CB$87,Formula!B120,56)),IF(INDEX(Properties!A$1:CB$87,Formula!D120,56)=0,10^6,INDEX(Properties!A$1:CB$87,Formula!D120,56)),IF(INDEX(Properties!A$1:CB$87,Formula!F120,56)=0,10^6,INDEX(Properties!A$1:CB$87,Formula!F120,56)),IF(INDEX(Properties!A$1:CB$87,Formula!H120,56)=0,10^6,INDEX(Properties!A$1:CB$87,Formula!H120,56)),IF(INDEX(Properties!A$1:CB$87,Formula!J120,56)=0,10^6,INDEX(Properties!A$1:CB$87,Formula!J120,56)))</f>
        <v>0.39</v>
      </c>
      <c r="FS120" s="42">
        <f t="shared" si="60"/>
        <v>3.21</v>
      </c>
      <c r="FT120" s="60">
        <f>((Formula!C120)/(Formula!C120+Formula!E120+Formula!G120+Formula!I120+Formula!K120))*(INDEX(Properties!A$1:CB$87,Formula!B120,57))+((Formula!E120)/(Formula!C120+Formula!E120+Formula!G120+Formula!I120+Formula!K120))*(INDEX(Properties!A$1:CB$87,Formula!D120,57))+((Formula!G120)/(Formula!C120+Formula!E120+Formula!G120+Formula!I120+Formula!K120))*(INDEX(Properties!A$1:CB$87,Formula!F120,57))+((Formula!I120)/(Formula!C120+Formula!E120+Formula!G120+Formula!I120+Formula!K120))*(INDEX(Properties!A$1:CB$87,Formula!H120,57))+((Formula!K120)/(Formula!C120+Formula!E120+Formula!G120+Formula!I120+Formula!K120))*(INDEX(Properties!A$1:CB$87,Formula!J120,57))</f>
        <v>4.3894799999999989</v>
      </c>
      <c r="FU120" s="60">
        <f>Formula!C120*(INDEX(Properties!A$1:CB$87,Formula!B120,57))+Formula!E120*(INDEX(Properties!A$1:CB$87,Formula!D120,57))+Formula!G120*(INDEX(Properties!A$1:CB$87,Formula!F120,57))+Formula!I120*(INDEX(Properties!A$1:CB$87,Formula!H120,57))+Formula!K120*(INDEX(Properties!A$1:CB$87,Formula!J120,57))</f>
        <v>61.452719999999999</v>
      </c>
      <c r="FV120" s="60">
        <f>VARP(IF(INDEX(Properties!A$1:CB$87,Formula!B120,57)&lt;&gt;"",INDEX(Properties!A$1:CB$87,Formula!B120,57)),IF(INDEX(Properties!A$1:CB$87,Formula!D120,57)&lt;&gt;"",INDEX(Properties!A$1:CB$87,Formula!D120,57)),IF(INDEX(Properties!A$1:CB$87,Formula!F120,57)&lt;&gt;"",INDEX(Properties!A$1:CB$87,Formula!F120,57)),IF(INDEX(Properties!A$1:CB$87,Formula!H120,57)&lt;&gt;"",INDEX(Properties!A$1:CB$87,Formula!H120,57)),IF(INDEX(Properties!A$1:CB$87,Formula!J120,57)&lt;&gt;"",INDEX(Properties!A$1:CB$87,Formula!J120,57)))</f>
        <v>33.243997690896002</v>
      </c>
      <c r="FW120" s="60">
        <f>MAX(INDEX(Properties!A$1:CB$87,Formula!B120,57),INDEX(Properties!A$1:CB$87,Formula!D120,57),INDEX(Properties!A$1:CB$87,Formula!F120,57),INDEX(Properties!A$1:CB$87,Formula!H120,57),INDEX(Properties!A$1:CB$87,Formula!J120,57))</f>
        <v>15.45</v>
      </c>
      <c r="FX120" s="60">
        <f>MIN(IF(INDEX(Properties!A$1:CB$87,Formula!B120,57)=0,10^6,INDEX(Properties!A$1:CB$87,Formula!B120,57)),IF(INDEX(Properties!A$1:CB$87,Formula!D120,57)=0,10^6,INDEX(Properties!A$1:CB$87,Formula!D120,57)),IF(INDEX(Properties!A$1:CB$87,Formula!F120,57)=0,10^6,INDEX(Properties!A$1:CB$87,Formula!F120,57)),IF(INDEX(Properties!A$1:CB$87,Formula!H120,57)=0,10^6,INDEX(Properties!A$1:CB$87,Formula!H120,57)),IF(INDEX(Properties!A$1:CB$87,Formula!J120,57)=0,10^6,INDEX(Properties!A$1:CB$87,Formula!J120,57)))</f>
        <v>0.22259000000000001</v>
      </c>
      <c r="FY120" s="60">
        <f t="shared" si="61"/>
        <v>15.227409999999999</v>
      </c>
      <c r="FZ120" s="72">
        <f>((Formula!C120)/(Formula!C120+Formula!E120+Formula!G120+Formula!I120+Formula!K120))*(INDEX(Properties!A$1:CB$87,Formula!B120,60))+((Formula!E120)/(Formula!C120+Formula!E120+Formula!G120+Formula!I120+Formula!K120))*(INDEX(Properties!A$1:CB$87,Formula!D120,60))+((Formula!G120)/(Formula!C120+Formula!E120+Formula!G120+Formula!I120+Formula!K120))*(INDEX(Properties!A$1:CB$87,Formula!F120,60))+((Formula!I120)/(Formula!C120+Formula!E120+Formula!G120+Formula!I120+Formula!K120))*(INDEX(Properties!A$1:CB$87,Formula!H120,60))+((Formula!K120)/(Formula!C120+Formula!E120+Formula!G120+Formula!I120+Formula!K120))*(INDEX(Properties!A$1:CB$87,Formula!J120,60))</f>
        <v>25.09385142857143</v>
      </c>
      <c r="GA120" s="72">
        <f>Formula!C120*(INDEX(Properties!A$1:CB$87,Formula!B120,60))+Formula!E120*(INDEX(Properties!A$1:CB$87,Formula!D120,60))+Formula!G120*(INDEX(Properties!A$1:CB$87,Formula!F120,60))+Formula!I120*(INDEX(Properties!A$1:CB$87,Formula!H120,60))+Formula!K120*(INDEX(Properties!A$1:CB$87,Formula!J120,60))</f>
        <v>351.31391999999994</v>
      </c>
      <c r="GB120" s="72">
        <f>VARP(IF(INDEX(Properties!A$1:CB$87,Formula!B120,60)&lt;&gt;"",INDEX(Properties!A$1:CB$87,Formula!B120,60)),IF(INDEX(Properties!A$1:CB$87,Formula!D120,60)&lt;&gt;"",INDEX(Properties!A$1:CB$87,Formula!D120,60)),IF(INDEX(Properties!A$1:CB$87,Formula!F120,60)&lt;&gt;"",INDEX(Properties!A$1:CB$87,Formula!F120,60)),IF(INDEX(Properties!A$1:CB$87,Formula!H120,60)&lt;&gt;"",INDEX(Properties!A$1:CB$87,Formula!H120,60)),IF(INDEX(Properties!A$1:CB$87,Formula!J120,60)&lt;&gt;"",INDEX(Properties!A$1:CB$87,Formula!J120,60)))</f>
        <v>2239.4335284844165</v>
      </c>
      <c r="GC120" s="72">
        <f>MAX(INDEX(Properties!A$1:CB$87,Formula!B120,60),INDEX(Properties!A$1:CB$87,Formula!D120,60),INDEX(Properties!A$1:CB$87,Formula!F120,60),INDEX(Properties!A$1:CB$87,Formula!H120,60),INDEX(Properties!A$1:CB$87,Formula!J120,60))</f>
        <v>116</v>
      </c>
      <c r="GD120" s="72">
        <f>MIN(IF(INDEX(Properties!A$1:CB$87,Formula!B120,60)=0,10^6,INDEX(Properties!A$1:CB$87,Formula!B120,60)),IF(INDEX(Properties!A$1:CB$87,Formula!D120,60)=0,10^6,INDEX(Properties!A$1:CB$87,Formula!D120,60)),IF(INDEX(Properties!A$1:CB$87,Formula!F120,60)=0,10^6,INDEX(Properties!A$1:CB$87,Formula!F120,60)),IF(INDEX(Properties!A$1:CB$87,Formula!H120,60)=0,10^6,INDEX(Properties!A$1:CB$87,Formula!H120,60)),IF(INDEX(Properties!A$1:CB$87,Formula!J120,60)=0,10^6,INDEX(Properties!A$1:CB$87,Formula!J120,60)))</f>
        <v>2.674E-2</v>
      </c>
      <c r="GE120" s="72">
        <f t="shared" si="62"/>
        <v>115.97326</v>
      </c>
      <c r="GF120" s="51">
        <f>((Formula!C120)/(Formula!C120+Formula!E120+Formula!G120+Formula!I120+Formula!K120))*(INDEX(Properties!A$1:CB$87,Formula!B120,62))+((Formula!E120)/(Formula!C120+Formula!E120+Formula!G120+Formula!I120+Formula!K120))*(INDEX(Properties!A$1:CB$87,Formula!D120,62))+((Formula!G120)/(Formula!C120+Formula!E120+Formula!G120+Formula!I120+Formula!K120))*(INDEX(Properties!A$1:CB$87,Formula!F120,62))+((Formula!I120)/(Formula!C120+Formula!E120+Formula!G120+Formula!I120+Formula!K120))*(INDEX(Properties!A$1:CB$87,Formula!H120,62))+((Formula!K120)/(Formula!C120+Formula!E120+Formula!G120+Formula!I120+Formula!K120))*(INDEX(Properties!A$1:CB$87,Formula!J120,62))</f>
        <v>2.8657142857142857</v>
      </c>
      <c r="GG120" s="51">
        <f>Formula!C120*(INDEX(Properties!A$1:CB$87,Formula!B120,62))+Formula!E120*(INDEX(Properties!A$1:CB$87,Formula!D120,62))+Formula!G120*(INDEX(Properties!A$1:CB$87,Formula!F120,62))+Formula!I120*(INDEX(Properties!A$1:CB$87,Formula!H120,62))+Formula!K120*(INDEX(Properties!A$1:CB$87,Formula!J120,62))</f>
        <v>40.119999999999997</v>
      </c>
      <c r="GH120" s="51">
        <f>VARP(IF(INDEX(Properties!A$1:CB$87,Formula!B120,62)&lt;&gt;"",INDEX(Properties!A$1:CB$87,Formula!B120,62)),IF(INDEX(Properties!A$1:CB$87,Formula!D120,62)&lt;&gt;"",INDEX(Properties!A$1:CB$87,Formula!D120,62)),IF(INDEX(Properties!A$1:CB$87,Formula!F120,62)&lt;&gt;"",INDEX(Properties!A$1:CB$87,Formula!F120,62)),IF(INDEX(Properties!A$1:CB$87,Formula!H120,62)&lt;&gt;"",INDEX(Properties!A$1:CB$87,Formula!H120,62)),IF(INDEX(Properties!A$1:CB$87,Formula!J120,62)&lt;&gt;"",INDEX(Properties!A$1:CB$87,Formula!J120,62)))</f>
        <v>2.6051600000000006</v>
      </c>
      <c r="GI120" s="51">
        <f>MAX(INDEX(Properties!A$1:CB$87,Formula!B120,62),INDEX(Properties!A$1:CB$87,Formula!D120,62),INDEX(Properties!A$1:CB$87,Formula!F120,62),INDEX(Properties!A$1:CB$87,Formula!H120,62),INDEX(Properties!A$1:CB$87,Formula!J120,62))</f>
        <v>4.8499999999999996</v>
      </c>
      <c r="GJ120" s="51">
        <f>MIN(IF(INDEX(Properties!A$1:CB$87,Formula!B120,62)=0,10^6,INDEX(Properties!A$1:CB$87,Formula!B120,62)),IF(INDEX(Properties!A$1:CB$87,Formula!D120,62)=0,10^6,INDEX(Properties!A$1:CB$87,Formula!D120,62)),IF(INDEX(Properties!A$1:CB$87,Formula!F120,62)=0,10^6,INDEX(Properties!A$1:CB$87,Formula!F120,62)),IF(INDEX(Properties!A$1:CB$87,Formula!H120,62)=0,10^6,INDEX(Properties!A$1:CB$87,Formula!H120,62)),IF(INDEX(Properties!A$1:CB$87,Formula!J120,62)=0,10^6,INDEX(Properties!A$1:CB$87,Formula!J120,62)))</f>
        <v>1.35</v>
      </c>
      <c r="GK120" s="51">
        <f t="shared" si="63"/>
        <v>3.4999999999999996</v>
      </c>
      <c r="GL120" s="51">
        <f>Formula!P120</f>
        <v>212</v>
      </c>
      <c r="GM120" s="57">
        <f>Formula!O120</f>
        <v>7</v>
      </c>
      <c r="GN120" s="51">
        <f>Formula!N120</f>
        <v>0.08</v>
      </c>
    </row>
    <row r="121" spans="1:196" x14ac:dyDescent="0.3">
      <c r="A121" s="84" t="str">
        <f>Formula!A121</f>
        <v>PbMoO4</v>
      </c>
      <c r="B121" s="89">
        <f>((Formula!C121)/(Formula!C121+Formula!E121+Formula!G121+Formula!I121+Formula!K121))*(INDEX(Properties!A$1:CB$87,Formula!B121,3))+((Formula!E121)/(Formula!C121+Formula!E121+Formula!G121+Formula!I121+Formula!K121))*(INDEX(Properties!A$1:CB$87,Formula!D121,3))+((Formula!G121)/(Formula!C121+Formula!E121+Formula!G121+Formula!I121+Formula!K121))*(INDEX(Properties!A$1:CB$87,Formula!F121,3))+((Formula!I121)/(Formula!C121+Formula!E121+Formula!G121+Formula!I121+Formula!K121))*(INDEX(Properties!A$1:CB$87,Formula!H121,3))+((Formula!K121)/(Formula!C121+Formula!E121+Formula!G121+Formula!I121+Formula!K121))*(INDEX(Properties!A$1:CB$87,Formula!J121,3))</f>
        <v>61.191266666666664</v>
      </c>
      <c r="C121" s="85">
        <f>Formula!C121*(INDEX(Properties!A$1:CB$87,Formula!B121,3))+Formula!E121*(INDEX(Properties!A$1:CB$87,Formula!D121,3))+Formula!G121*(INDEX(Properties!A$1:CB$87,Formula!F121,3))+Formula!I121*(INDEX(Properties!A$1:CB$87,Formula!H121,3))+Formula!K121*(INDEX(Properties!A$1:CB$87,Formula!J121,3))</f>
        <v>367.14759999999995</v>
      </c>
      <c r="D121" s="85">
        <f>VARP(IF(INDEX(Properties!A$1:CB$87,Formula!B121,3)&lt;&gt;"",INDEX(Properties!A$1:CB$87,Formula!B121,3)),IF(INDEX(Properties!A$1:CB$87,Formula!D121,3)&lt;&gt;"",INDEX(Properties!A$1:CB$87,Formula!D121,3)),IF(INDEX(Properties!A$1:CB$87,Formula!F121,3)&lt;&gt;"",INDEX(Properties!A$1:CB$87,Formula!F121,3)),IF(INDEX(Properties!A$1:CB$87,Formula!H121,3)&lt;&gt;"",INDEX(Properties!A$1:CB$87,Formula!H121,3)),IF(INDEX(Properties!A$1:CB$87,Formula!J121,3)&lt;&gt;"",INDEX(Properties!A$1:CB$87,Formula!J121,3)))</f>
        <v>6404.5910792575987</v>
      </c>
      <c r="E121" s="85">
        <f>MAX(INDEX(Properties!A$1:CB$87,Formula!B121,3),INDEX(Properties!A$1:CB$87,Formula!D121,3),INDEX(Properties!A$1:CB$87,Formula!F121,3),INDEX(Properties!A$1:CB$87,Formula!H121,3),INDEX(Properties!A$1:CB$87,Formula!J121,3))</f>
        <v>207.2</v>
      </c>
      <c r="F121" s="85">
        <f>MIN(IF(INDEX(Properties!A$1:CB$87,Formula!B121,3)=0,10^6,INDEX(Properties!A$1:CB$87,Formula!B121,3)),IF(INDEX(Properties!A$1:CB$87,Formula!D121,3)=0,10^6,INDEX(Properties!A$1:CB$87,Formula!D121,3)),IF(INDEX(Properties!A$1:CB$87,Formula!F121,3)=0,10^6,INDEX(Properties!A$1:CB$87,Formula!F121,3)),IF(INDEX(Properties!A$1:CB$87,Formula!H121,3)=0,10^6,INDEX(Properties!A$1:CB$87,Formula!H121,3)),IF(INDEX(Properties!A$1:CB$87,Formula!J121,3)=0,10^6,INDEX(Properties!A$1:CB$87,Formula!J121,3)))</f>
        <v>15.9994</v>
      </c>
      <c r="G121" s="85">
        <f t="shared" si="32"/>
        <v>191.20059999999998</v>
      </c>
      <c r="H121" s="87">
        <f>((Formula!C121)/(Formula!C121+Formula!E121+Formula!G121+Formula!I121+Formula!K121))*(INDEX(Properties!A$1:CB$87,Formula!B121,4))+((Formula!E121)/(Formula!C121+Formula!E121+Formula!G121+Formula!I121+Formula!K121))*(INDEX(Properties!A$1:CB$87,Formula!D121,4))+((Formula!G121)/(Formula!C121+Formula!E121+Formula!G121+Formula!I121+Formula!K121))*(INDEX(Properties!A$1:CB$87,Formula!F121,4))+((Formula!I121)/(Formula!C121+Formula!E121+Formula!G121+Formula!I121+Formula!K121))*(INDEX(Properties!A$1:CB$87,Formula!H121,4))+((Formula!K121)/(Formula!C121+Formula!E121+Formula!G121+Formula!I121+Formula!K121))*(INDEX(Properties!A$1:CB$87,Formula!J121,4))</f>
        <v>25.999999999999996</v>
      </c>
      <c r="I121" s="87">
        <f>Formula!C121*(INDEX(Properties!A$1:CB$87,Formula!B121,4))+Formula!E121*(INDEX(Properties!A$1:CB$87,Formula!D121,4))+Formula!G121*(INDEX(Properties!A$1:CB$87,Formula!F121,4))+Formula!I121*(INDEX(Properties!A$1:CB$87,Formula!H121,4))+Formula!K121*(INDEX(Properties!A$1:CB$87,Formula!J121,4))</f>
        <v>156</v>
      </c>
      <c r="J121" s="87">
        <f>VARP(IF(INDEX(Properties!A$1:CB$87,Formula!B121,4)&lt;&gt;"",INDEX(Properties!A$1:CB$87,Formula!B121,4)),IF(INDEX(Properties!A$1:CB$87,Formula!D121,4)&lt;&gt;"",INDEX(Properties!A$1:CB$87,Formula!D121,4)),IF(INDEX(Properties!A$1:CB$87,Formula!F121,4)&lt;&gt;"",INDEX(Properties!A$1:CB$87,Formula!F121,4)),IF(INDEX(Properties!A$1:CB$87,Formula!H121,4)&lt;&gt;"",INDEX(Properties!A$1:CB$87,Formula!H121,4)),IF(INDEX(Properties!A$1:CB$87,Formula!J121,4)&lt;&gt;"",INDEX(Properties!A$1:CB$87,Formula!J121,4)))</f>
        <v>1013.44</v>
      </c>
      <c r="K121" s="87">
        <f>MAX(INDEX(Properties!A$1:CB$87,Formula!B121,4),INDEX(Properties!A$1:CB$87,Formula!D121,4),INDEX(Properties!A$1:CB$87,Formula!F121,4),INDEX(Properties!A$1:CB$87,Formula!H121,4),INDEX(Properties!A$1:CB$87,Formula!J121,4))</f>
        <v>82</v>
      </c>
      <c r="L121" s="87">
        <f>MIN(IF(INDEX(Properties!A$1:CB$87,Formula!B121,4)=0,10^6,INDEX(Properties!A$1:CB$87,Formula!B121,4)),IF(INDEX(Properties!A$1:CB$87,Formula!D121,4)=0,10^6,INDEX(Properties!A$1:CB$87,Formula!D121,4)),IF(INDEX(Properties!A$1:CB$87,Formula!F121,4)=0,10^6,INDEX(Properties!A$1:CB$87,Formula!F121,4)),IF(INDEX(Properties!A$1:CB$87,Formula!H121,4)=0,10^6,INDEX(Properties!A$1:CB$87,Formula!H121,4)),IF(INDEX(Properties!A$1:CB$87,Formula!J121,4)=0,10^6,INDEX(Properties!A$1:CB$87,Formula!J121,4)))</f>
        <v>8</v>
      </c>
      <c r="M121" s="87">
        <f t="shared" si="33"/>
        <v>74</v>
      </c>
      <c r="N121" s="89">
        <f>((Formula!C121)/(Formula!C121+Formula!E121+Formula!G121+Formula!I121+Formula!K121))*(INDEX(Properties!A$1:CB$87,Formula!B121,5))+((Formula!E121)/(Formula!C121+Formula!E121+Formula!G121+Formula!I121+Formula!K121))*(INDEX(Properties!A$1:CB$87,Formula!D121,5))+((Formula!G121)/(Formula!C121+Formula!E121+Formula!G121+Formula!I121+Formula!K121))*(INDEX(Properties!A$1:CB$87,Formula!F121,5))+((Formula!I121)/(Formula!C121+Formula!E121+Formula!G121+Formula!I121+Formula!K121))*(INDEX(Properties!A$1:CB$87,Formula!H121,5))+((Formula!K121)/(Formula!C121+Formula!E121+Formula!G121+Formula!I121+Formula!K121))*(INDEX(Properties!A$1:CB$87,Formula!J121,5))</f>
        <v>3.1666666666666665</v>
      </c>
      <c r="O121" s="89">
        <f>Formula!C121*(INDEX(Properties!A$1:CB$87,Formula!B121,5))+Formula!E121*(INDEX(Properties!A$1:CB$87,Formula!D121,5))+Formula!G121*(INDEX(Properties!A$1:CB$87,Formula!F121,5))+Formula!I121*(INDEX(Properties!A$1:CB$87,Formula!H121,5))+Formula!K121*(INDEX(Properties!A$1:CB$87,Formula!J121,5))</f>
        <v>19</v>
      </c>
      <c r="P121" s="89">
        <f>VARP(IF(INDEX(Properties!A$1:CB$87,Formula!B121,5)&lt;&gt;"",INDEX(Properties!A$1:CB$87,Formula!B121,5)),IF(INDEX(Properties!A$1:CB$87,Formula!D121,5)&lt;&gt;"",INDEX(Properties!A$1:CB$87,Formula!D121,5)),IF(INDEX(Properties!A$1:CB$87,Formula!F121,5)&lt;&gt;"",INDEX(Properties!A$1:CB$87,Formula!F121,5)),IF(INDEX(Properties!A$1:CB$87,Formula!H121,5)&lt;&gt;"",INDEX(Properties!A$1:CB$87,Formula!H121,5)),IF(INDEX(Properties!A$1:CB$87,Formula!J121,5)&lt;&gt;"",INDEX(Properties!A$1:CB$87,Formula!J121,5)))</f>
        <v>6.24</v>
      </c>
      <c r="Q121" s="89">
        <f>MAX(INDEX(Properties!A$1:CB$87,Formula!B121,5),INDEX(Properties!A$1:CB$87,Formula!D121,5),INDEX(Properties!A$1:CB$87,Formula!F121,5),INDEX(Properties!A$1:CB$87,Formula!H121,5),INDEX(Properties!A$1:CB$87,Formula!J121,5))</f>
        <v>6</v>
      </c>
      <c r="R121" s="89">
        <f>MIN(IF(INDEX(Properties!A$1:CB$87,Formula!B121,5)=0,10^6,INDEX(Properties!A$1:CB$87,Formula!B121,5)),IF(INDEX(Properties!A$1:CB$87,Formula!D121,5)=0,10^6,INDEX(Properties!A$1:CB$87,Formula!D121,5)),IF(INDEX(Properties!A$1:CB$87,Formula!F121,5)=0,10^6,INDEX(Properties!A$1:CB$87,Formula!F121,5)),IF(INDEX(Properties!A$1:CB$87,Formula!H121,5)=0,10^6,INDEX(Properties!A$1:CB$87,Formula!H121,5)),IF(INDEX(Properties!A$1:CB$87,Formula!J121,5)=0,10^6,INDEX(Properties!A$1:CB$87,Formula!J121,5)))</f>
        <v>2</v>
      </c>
      <c r="S121" s="89">
        <f t="shared" si="34"/>
        <v>4</v>
      </c>
      <c r="T121" s="60">
        <f>((Formula!C121)/(Formula!C121+Formula!E121+Formula!G121+Formula!I121+Formula!K121))*(INDEX(Properties!A$1:CB$87,Formula!B121,6))+((Formula!E121)/(Formula!C121+Formula!E121+Formula!G121+Formula!I121+Formula!K121))*(INDEX(Properties!A$1:CB$87,Formula!D121,6))+((Formula!G121)/(Formula!C121+Formula!E121+Formula!G121+Formula!I121+Formula!K121))*(INDEX(Properties!A$1:CB$87,Formula!F121,6))+((Formula!I121)/(Formula!C121+Formula!E121+Formula!G121+Formula!I121+Formula!K121))*(INDEX(Properties!A$1:CB$87,Formula!H121,6))+((Formula!K121)/(Formula!C121+Formula!E121+Formula!G121+Formula!I121+Formula!K121))*(INDEX(Properties!A$1:CB$87,Formula!J121,6))</f>
        <v>14</v>
      </c>
      <c r="U121" s="60">
        <f>Formula!C121*(INDEX(Properties!A$1:CB$87,Formula!B121,6))+Formula!E121*(INDEX(Properties!A$1:CB$87,Formula!D121,6))+Formula!G121*(INDEX(Properties!A$1:CB$87,Formula!F121,6))+Formula!I121*(INDEX(Properties!A$1:CB$87,Formula!H121,6))+Formula!K121*(INDEX(Properties!A$1:CB$87,Formula!J121,6))</f>
        <v>84</v>
      </c>
      <c r="V121" s="89">
        <f>VARP(IF(INDEX(Properties!A$1:CB$87,Formula!B121,6)&lt;&gt;"",INDEX(Properties!A$1:CB$87,Formula!B121,6)),IF(INDEX(Properties!A$1:CB$87,Formula!D121,6)&lt;&gt;"",INDEX(Properties!A$1:CB$87,Formula!D121,6)),IF(INDEX(Properties!A$1:CB$87,Formula!F121,6)&lt;&gt;"",INDEX(Properties!A$1:CB$87,Formula!F121,6)),IF(INDEX(Properties!A$1:CB$87,Formula!H121,6)&lt;&gt;"",INDEX(Properties!A$1:CB$87,Formula!H121,6)),IF(INDEX(Properties!A$1:CB$87,Formula!J121,6)&lt;&gt;"",INDEX(Properties!A$1:CB$87,Formula!J121,6)))</f>
        <v>45.76</v>
      </c>
      <c r="W121" s="60">
        <f>MAX(INDEX(Properties!A$1:CB$87,Formula!B121,6),INDEX(Properties!A$1:CB$87,Formula!D121,6),INDEX(Properties!A$1:CB$87,Formula!F121,6),INDEX(Properties!A$1:CB$87,Formula!H121,4),INDEX(Properties!A$1:CB$87,Formula!J121,6))</f>
        <v>16</v>
      </c>
      <c r="X121" s="60">
        <f>MIN(IF(INDEX(Properties!A$1:CB$87,Formula!B121,6)=0,10^6,INDEX(Properties!A$1:CB$87,Formula!B121,6)),IF(INDEX(Properties!A$1:CB$87,Formula!D121,6)=0,10^6,INDEX(Properties!A$1:CB$87,Formula!D121,6)),IF(INDEX(Properties!A$1:CB$87,Formula!F121,6)=0,10^6,INDEX(Properties!A$1:CB$87,Formula!F121,6)),IF(INDEX(Properties!A$1:CB$87,Formula!H121,6)=0,10^6,INDEX(Properties!A$1:CB$87,Formula!H121,6)),IF(INDEX(Properties!A$1:CB$87,Formula!J121,6)=0,10^6,INDEX(Properties!A$1:CB$87,Formula!J121,6)))</f>
        <v>6</v>
      </c>
      <c r="Y121" s="60">
        <f t="shared" si="35"/>
        <v>10</v>
      </c>
      <c r="Z121" s="72">
        <f>((Formula!C121)/(Formula!C121+Formula!E121+Formula!G121+Formula!I121+Formula!K121))*(INDEX(Properties!A$1:CB$87,Formula!B121,9))+((Formula!E121)/(Formula!C121+Formula!E121+Formula!G121+Formula!I121+Formula!K121))*(INDEX(Properties!A$1:CB$87,Formula!D121,9))+((Formula!G121)/(Formula!C121+Formula!E121+Formula!G121+Formula!I121+Formula!K121))*(INDEX(Properties!A$1:CB$87,Formula!F121,9))+((Formula!I121)/(Formula!C121+Formula!E121+Formula!G121+Formula!I121+Formula!K121))*(INDEX(Properties!A$1:CB$87,Formula!H121,9))+((Formula!K121)/(Formula!C121+Formula!E121+Formula!G121+Formula!I121+Formula!K121))*(INDEX(Properties!A$1:CB$87,Formula!J121,9))</f>
        <v>79.833333333333329</v>
      </c>
      <c r="AA121" s="72">
        <f>Formula!C121*(INDEX(Properties!A$1:CB$87,Formula!B121,9))+Formula!E121*(INDEX(Properties!A$1:CB$87,Formula!D121,9))+Formula!G121*(INDEX(Properties!A$1:CB$87,Formula!F121,9))+Formula!I121*(INDEX(Properties!A$1:CB$87,Formula!H121,9))+Formula!K121*(INDEX(Properties!A$1:CB$87,Formula!J121,9))</f>
        <v>479</v>
      </c>
      <c r="AB121" s="72">
        <f>VARP(IF(INDEX(Properties!A$1:CB$87,Formula!B121,9)&lt;&gt;"",INDEX(Properties!A$1:CB$87,Formula!B121,9)),IF(INDEX(Properties!A$1:CB$87,Formula!D121,9)&lt;&gt;"",INDEX(Properties!A$1:CB$87,Formula!D121,9)),IF(INDEX(Properties!A$1:CB$87,Formula!F121,9)&lt;&gt;"",INDEX(Properties!A$1:CB$87,Formula!F121,9)),IF(INDEX(Properties!A$1:CB$87,Formula!H121,9)&lt;&gt;"",INDEX(Properties!A$1:CB$87,Formula!H121,9)),IF(INDEX(Properties!A$1:CB$87,Formula!J121,9)&lt;&gt;"",INDEX(Properties!A$1:CB$87,Formula!J121,9)))</f>
        <v>1425.04</v>
      </c>
      <c r="AC121" s="72">
        <f>MAX(INDEX(Properties!A$1:CB$87,Formula!B121,9),INDEX(Properties!A$1:CB$87,Formula!D121,9),INDEX(Properties!A$1:CB$87,Formula!F121,9),INDEX(Properties!A$1:CB$87,Formula!H121,9),INDEX(Properties!A$1:CB$87,Formula!J121,9))</f>
        <v>87</v>
      </c>
      <c r="AD121" s="72">
        <f>MIN(IF(INDEX(Properties!A$1:CB$87,Formula!B121,9)=0,10^6,INDEX(Properties!A$1:CB$87,Formula!B121,9)),IF(INDEX(Properties!A$1:CB$87,Formula!D121,9)=0,10^6,INDEX(Properties!A$1:CB$87,Formula!D121,9)),IF(INDEX(Properties!A$1:CB$87,Formula!F121,9)=0,10^6,INDEX(Properties!A$1:CB$87,Formula!F121,9)),IF(INDEX(Properties!A$1:CB$87,Formula!H121,9)=0,10^6,INDEX(Properties!A$1:CB$87,Formula!H121,9)),IF(INDEX(Properties!A$1:CB$87,Formula!J121,9)=0,10^6,INDEX(Properties!A$1:CB$87,Formula!J121,9)))</f>
        <v>50</v>
      </c>
      <c r="AE121" s="72">
        <f t="shared" si="36"/>
        <v>37</v>
      </c>
      <c r="AF121" s="51">
        <f>((Formula!C121)/(Formula!C121+Formula!E121+Formula!G121+Formula!I121+Formula!K121))*(INDEX(Properties!A$1:CB$87,Formula!B121,10))+((Formula!E121)/(Formula!C121+Formula!E121+Formula!G121+Formula!I121+Formula!K121))*(INDEX(Properties!A$1:CB$87,Formula!D121,10))+((Formula!G121)/(Formula!C121+Formula!E121+Formula!G121+Formula!I121+Formula!K121))*(INDEX(Properties!A$1:CB$87,Formula!F121,10))+((Formula!I121)/(Formula!C121+Formula!E121+Formula!G121+Formula!I121+Formula!K121))*(INDEX(Properties!A$1:CB$87,Formula!H121,10))+((Formula!K121)/(Formula!C121+Formula!E121+Formula!G121+Formula!I121+Formula!K121))*(INDEX(Properties!A$1:CB$87,Formula!J121,10))</f>
        <v>6.1666666666666661</v>
      </c>
      <c r="AG121" s="51">
        <f>Formula!C121*(INDEX(Properties!A$1:CB$87,Formula!B121,10))+Formula!E121*(INDEX(Properties!A$1:CB$87,Formula!D121,10))+Formula!G121*(INDEX(Properties!A$1:CB$87,Formula!F121,10))+Formula!I121*(INDEX(Properties!A$1:CB$87,Formula!H121,10))+Formula!K121*(INDEX(Properties!A$1:CB$87,Formula!J121,10))</f>
        <v>37</v>
      </c>
      <c r="AH121" s="51">
        <f>VARP(IF(INDEX(Properties!A$1:CB$87,Formula!B121,10)&lt;&gt;"",INDEX(Properties!A$1:CB$87,Formula!B121,10)),IF(INDEX(Properties!A$1:CB$87,Formula!D121,10)&lt;&gt;"",INDEX(Properties!A$1:CB$87,Formula!D121,10)),IF(INDEX(Properties!A$1:CB$87,Formula!F121,10)&lt;&gt;"",INDEX(Properties!A$1:CB$87,Formula!F121,10)),IF(INDEX(Properties!A$1:CB$87,Formula!H121,10)&lt;&gt;"",INDEX(Properties!A$1:CB$87,Formula!H121,10)),IF(INDEX(Properties!A$1:CB$87,Formula!J121,10)&lt;&gt;"",INDEX(Properties!A$1:CB$87,Formula!J121,10)))</f>
        <v>7.76</v>
      </c>
      <c r="AI121" s="51">
        <f>MAX(INDEX(Properties!A$1:CB$87,Formula!B121,10),INDEX(Properties!A$1:CB$87,Formula!D121,10),INDEX(Properties!A$1:CB$87,Formula!F121,10),INDEX(Properties!A$1:CB$87,Formula!H121,10),INDEX(Properties!A$1:CB$87,Formula!J121,10))</f>
        <v>7</v>
      </c>
      <c r="AJ121" s="51">
        <f>MIN(IF(INDEX(Properties!A$1:CB$87,Formula!B121,10)=0,10^6,INDEX(Properties!A$1:CB$87,Formula!B121,10)),IF(INDEX(Properties!A$1:CB$87,Formula!D121,10)=0,10^6,INDEX(Properties!A$1:CB$87,Formula!D121,10)),IF(INDEX(Properties!A$1:CB$87,Formula!F121,10)=0,10^6,INDEX(Properties!A$1:CB$87,Formula!F121,10)),IF(INDEX(Properties!A$1:CB$87,Formula!H121,10)=0,10^6,INDEX(Properties!A$1:CB$87,Formula!H121,10)),IF(INDEX(Properties!A$1:CB$87,Formula!J121,10)=0,10^6,INDEX(Properties!A$1:CB$87,Formula!J121,10)))</f>
        <v>4</v>
      </c>
      <c r="AK121" s="51">
        <f t="shared" si="37"/>
        <v>3</v>
      </c>
      <c r="AL121" s="57">
        <f>((Formula!C121)/(Formula!C121+Formula!E121+Formula!G121+Formula!I121+Formula!K121))*(INDEX(Properties!A$1:CB$87,Formula!B121,11))+((Formula!E121)/(Formula!C121+Formula!E121+Formula!G121+Formula!I121+Formula!K121))*(INDEX(Properties!A$1:CB$87,Formula!D121,11))+((Formula!G121)/(Formula!C121+Formula!E121+Formula!G121+Formula!I121+Formula!K121))*(INDEX(Properties!A$1:CB$87,Formula!F121,11))+((Formula!I121)/(Formula!C121+Formula!E121+Formula!G121+Formula!I121+Formula!K121))*(INDEX(Properties!A$1:CB$87,Formula!H121,11))+((Formula!K121)/(Formula!C121+Formula!E121+Formula!G121+Formula!I121+Formula!K121))*(INDEX(Properties!A$1:CB$87,Formula!J121,11))</f>
        <v>1.8333333333333333</v>
      </c>
      <c r="AM121" s="57">
        <f>Formula!C121*(INDEX(Properties!A$1:CB$87,Formula!B121,11))+Formula!E121*(INDEX(Properties!A$1:CB$87,Formula!D121,11))+Formula!G121*(INDEX(Properties!A$1:CB$87,Formula!F121,11))+Formula!I121*(INDEX(Properties!A$1:CB$87,Formula!H121,11))+Formula!K121*(INDEX(Properties!A$1:CB$87,Formula!J121,11))</f>
        <v>11</v>
      </c>
      <c r="AN121" s="57">
        <f>VARP(IF(INDEX(Properties!A$1:CB$87,Formula!B121,11)&lt;&gt;"",INDEX(Properties!A$1:CB$87,Formula!B121,11)),IF(INDEX(Properties!A$1:CB$87,Formula!D121,11)&lt;&gt;"",INDEX(Properties!A$1:CB$87,Formula!D121,11)),IF(INDEX(Properties!A$1:CB$87,Formula!F121,11)&lt;&gt;"",INDEX(Properties!A$1:CB$87,Formula!F121,11)),IF(INDEX(Properties!A$1:CB$87,Formula!H121,11)&lt;&gt;"",INDEX(Properties!A$1:CB$87,Formula!H121,11)),IF(INDEX(Properties!A$1:CB$87,Formula!J121,11)&lt;&gt;"",INDEX(Properties!A$1:CB$87,Formula!J121,11)))</f>
        <v>0.8</v>
      </c>
      <c r="AO121" s="57">
        <f>MAX(INDEX(Properties!A$1:CB$87,Formula!B121,11),INDEX(Properties!A$1:CB$87,Formula!D121,11),INDEX(Properties!A$1:CB$87,Formula!F121,11),INDEX(Properties!A$1:CB$87,Formula!H121,11),INDEX(Properties!A$1:CB$87,Formula!J121,11))</f>
        <v>2</v>
      </c>
      <c r="AP121" s="57">
        <f>MIN(IF(Formula!B121=87,10^6,INDEX(Properties!A$1:CB$87,Formula!B121,11)),IF((Formula!D121)=87,10^6,INDEX(Properties!A$1:CB$87,Formula!D121,11)),IF((Formula!F121)=87,10^6,INDEX(Properties!A$1:CB$87,Formula!F121,11)),IF((Formula!H121)=87,10^6,INDEX(Properties!A$1:CB$87,Formula!H121,11)),IF(Formula!J121=87,10^6,INDEX(Properties!A$1:CB$87,Formula!J121,11)))</f>
        <v>1</v>
      </c>
      <c r="AQ121" s="57">
        <f t="shared" si="38"/>
        <v>1</v>
      </c>
      <c r="AR121" s="78">
        <f>((Formula!C121)/(Formula!C121+Formula!E121+Formula!G121+Formula!I121+Formula!K121))*(INDEX(Properties!A$1:CB$87,Formula!B121,12))+((Formula!E121)/(Formula!C121+Formula!E121+Formula!G121+Formula!I121+Formula!K121))*(INDEX(Properties!A$1:CB$87,Formula!D121,12))+((Formula!G121)/(Formula!C121+Formula!E121+Formula!G121+Formula!I121+Formula!K121))*(INDEX(Properties!A$1:CB$87,Formula!F121,12))+((Formula!I121)/(Formula!C121+Formula!E121+Formula!G121+Formula!I121+Formula!K121))*(INDEX(Properties!A$1:CB$87,Formula!H121,12))+((Formula!K121)/(Formula!C121+Formula!E121+Formula!G121+Formula!I121+Formula!K121))*(INDEX(Properties!A$1:CB$87,Formula!J121,12))</f>
        <v>3</v>
      </c>
      <c r="AS121" s="78">
        <f>Formula!C121*(INDEX(Properties!A$1:CB$87,Formula!B121,12))+Formula!E121*(INDEX(Properties!A$1:CB$87,Formula!D121,12))+Formula!G121*(INDEX(Properties!A$1:CB$87,Formula!F121,12))+Formula!I121*(INDEX(Properties!A$1:CB$87,Formula!H121,12))+Formula!K121*(INDEX(Properties!A$1:CB$87,Formula!J121,12))</f>
        <v>18</v>
      </c>
      <c r="AT121" s="78">
        <f>VARP(IF(INDEX(Properties!A$1:CB$87,Formula!B121,12)&lt;&gt;"",INDEX(Properties!A$1:CB$87,Formula!B121,12)),IF(INDEX(Properties!A$1:CB$87,Formula!D121,12)&lt;&gt;"",INDEX(Properties!A$1:CB$87,Formula!D121,12)),IF(INDEX(Properties!A$1:CB$87,Formula!F121,12)&lt;&gt;"",INDEX(Properties!A$1:CB$87,Formula!F121,12)),IF(INDEX(Properties!A$1:CB$87,Formula!H121,12)&lt;&gt;"",INDEX(Properties!A$1:CB$87,Formula!H121,12)),IF(INDEX(Properties!A$1:CB$87,Formula!J121,12)&lt;&gt;"",INDEX(Properties!A$1:CB$87,Formula!J121,12)))</f>
        <v>2.56</v>
      </c>
      <c r="AU121" s="78">
        <f>MAX(INDEX(Properties!A$1:CB$87,Formula!B121,12),INDEX(Properties!A$1:CB$87,Formula!D121,12),INDEX(Properties!A$1:CB$87,Formula!F121,12),INDEX(Properties!A$1:CB$87,Formula!H121,12),INDEX(Properties!A$1:CB$87,Formula!J121,12))</f>
        <v>4</v>
      </c>
      <c r="AV121" s="78">
        <f>MIN(IF(Formula!B121=87,10^6,INDEX(Properties!A$1:CB$87,Formula!B121,12)),IF((Formula!D121)=87,10^6,INDEX(Properties!A$1:CB$87,Formula!D121,12)),IF((Formula!F121)=87,10^6,INDEX(Properties!A$1:CB$87,Formula!F121,12)),IF((Formula!H121)=87,10^6,INDEX(Properties!A$1:CB$87,Formula!H121,12)),IF(Formula!J121=87,10^6,INDEX(Properties!A$1:CB$87,Formula!J121,12)))</f>
        <v>0</v>
      </c>
      <c r="AW121" s="78">
        <f t="shared" si="39"/>
        <v>4</v>
      </c>
      <c r="AX121" s="45">
        <f>((Formula!C121)/(Formula!C121+Formula!E121+Formula!G121+Formula!I121+Formula!K121))*(INDEX(Properties!A$1:CB$87,Formula!B121,13))+((Formula!E121)/(Formula!C121+Formula!E121+Formula!G121+Formula!I121+Formula!K121))*(INDEX(Properties!A$1:CB$87,Formula!D121,13))+((Formula!G121)/(Formula!C121+Formula!E121+Formula!G121+Formula!I121+Formula!K121))*(INDEX(Properties!A$1:CB$87,Formula!F121,13))+((Formula!I121)/(Formula!C121+Formula!E121+Formula!G121+Formula!I121+Formula!K121))*(INDEX(Properties!A$1:CB$87,Formula!H121,13))+((Formula!K121)/(Formula!C121+Formula!E121+Formula!G121+Formula!I121+Formula!K121))*(INDEX(Properties!A$1:CB$87,Formula!J121,13))</f>
        <v>2.5</v>
      </c>
      <c r="AY121" s="45">
        <f>Formula!C121*(INDEX(Properties!A$1:CB$87,Formula!B121,13))+Formula!E121*(INDEX(Properties!A$1:CB$87,Formula!D121,13))+Formula!G121*(INDEX(Properties!A$1:CB$87,Formula!F121,13))+Formula!I121*(INDEX(Properties!A$1:CB$87,Formula!H121,13))+Formula!K121*(INDEX(Properties!A$1:CB$87,Formula!J121,13))</f>
        <v>15</v>
      </c>
      <c r="AZ121" s="45">
        <f>VARP(IF(INDEX(Properties!A$1:CB$87,Formula!B121,13)&lt;&gt;"",INDEX(Properties!A$1:CB$87,Formula!B121,13)),IF(INDEX(Properties!A$1:CB$87,Formula!D121,13)&lt;&gt;"",INDEX(Properties!A$1:CB$87,Formula!D121,13)),IF(INDEX(Properties!A$1:CB$87,Formula!F121,13)&lt;&gt;"",INDEX(Properties!A$1:CB$87,Formula!F121,13)),IF(INDEX(Properties!A$1:CB$87,Formula!H121,13)&lt;&gt;"",INDEX(Properties!A$1:CB$87,Formula!H121,13)),IF(INDEX(Properties!A$1:CB$87,Formula!J121,13)&lt;&gt;"",INDEX(Properties!A$1:CB$87,Formula!J121,13)))</f>
        <v>16</v>
      </c>
      <c r="BA121" s="45">
        <f>MAX(INDEX(Properties!A$1:CB$87,Formula!B121,13),INDEX(Properties!A$1:CB$87,Formula!D121,13),INDEX(Properties!A$1:CB$87,Formula!F121,13),INDEX(Properties!A$1:CB$87,Formula!H121,13),INDEX(Properties!A$1:CB$87,Formula!J121,13))</f>
        <v>10</v>
      </c>
      <c r="BB121" s="45">
        <f>MIN(IF(Formula!B121=87,10^6,INDEX(Properties!A$1:CB$87,Formula!B121,13)),IF((Formula!D121)=87,10^6,INDEX(Properties!A$1:CB$87,Formula!D121,13)),IF((Formula!F121)=87,10^6,INDEX(Properties!A$1:CB$87,Formula!F121,13)),IF((Formula!H121)=87,10^6,INDEX(Properties!A$1:CB$87,Formula!H121,13)),IF(Formula!J121=87,10^6,INDEX(Properties!A$1:CB$87,Formula!J121,13)))</f>
        <v>0</v>
      </c>
      <c r="BC121" s="45">
        <f t="shared" si="40"/>
        <v>10</v>
      </c>
      <c r="BD121" s="63">
        <f>((Formula!C121)/(Formula!C121+Formula!E121+Formula!G121+Formula!I121+Formula!K121))*(INDEX(Properties!A$1:CB$87,Formula!B121,14))+((Formula!E121)/(Formula!C121+Formula!E121+Formula!G121+Formula!I121+Formula!K121))*(INDEX(Properties!A$1:CB$87,Formula!D121,14))+((Formula!G121)/(Formula!C121+Formula!E121+Formula!G121+Formula!I121+Formula!K121))*(INDEX(Properties!A$1:CB$87,Formula!F121,14))+((Formula!I121)/(Formula!C121+Formula!E121+Formula!G121+Formula!I121+Formula!K121))*(INDEX(Properties!A$1:CB$87,Formula!H121,14))+((Formula!K121)/(Formula!C121+Formula!E121+Formula!G121+Formula!I121+Formula!K121))*(INDEX(Properties!A$1:CB$87,Formula!J121,14))</f>
        <v>2.333333333333333</v>
      </c>
      <c r="BE121" s="63">
        <f>Formula!C121*(INDEX(Properties!A$1:CB$87,Formula!B121,14))+Formula!E121*(INDEX(Properties!A$1:CB$87,Formula!D121,14))+Formula!G121*(INDEX(Properties!A$1:CB$87,Formula!F121,14))+Formula!I121*(INDEX(Properties!A$1:CB$87,Formula!H121,14))+Formula!K121*(INDEX(Properties!A$1:CB$87,Formula!J121,14))</f>
        <v>14</v>
      </c>
      <c r="BF121" s="63">
        <f>VARP(IF(INDEX(Properties!A$1:CB$87,Formula!B121,14)&lt;&gt;"",INDEX(Properties!A$1:CB$87,Formula!B121,14)),IF(INDEX(Properties!A$1:CB$87,Formula!D121,14)&lt;&gt;"",INDEX(Properties!A$1:CB$87,Formula!D121,14)),IF(INDEX(Properties!A$1:CB$87,Formula!F121,14)&lt;&gt;"",INDEX(Properties!A$1:CB$87,Formula!F121,14)),IF(INDEX(Properties!A$1:CB$87,Formula!H121,14)&lt;&gt;"",INDEX(Properties!A$1:CB$87,Formula!H121,14)),IF(INDEX(Properties!A$1:CB$87,Formula!J121,14)&lt;&gt;"",INDEX(Properties!A$1:CB$87,Formula!J121,14)))</f>
        <v>31.36</v>
      </c>
      <c r="BG121" s="63">
        <f>MAX(INDEX(Properties!A$1:CB$87,Formula!B121,14),INDEX(Properties!A$1:CB$87,Formula!D121,14),INDEX(Properties!A$1:CB$87,Formula!F121,14),INDEX(Properties!A$1:CB$87,Formula!H121,14),INDEX(Properties!A$1:CB$87,Formula!J121,14))</f>
        <v>14</v>
      </c>
      <c r="BH121" s="63">
        <f>MIN(IF(Formula!B121=87,10^6,INDEX(Properties!A$1:CB$87,Formula!B121,14)),IF((Formula!D121)=87,10^6,INDEX(Properties!A$1:CB$87,Formula!D121,14)),IF((Formula!F121)=87,10^6,INDEX(Properties!A$1:CB$87,Formula!F121,14)),IF((Formula!H121)=87,10^6,INDEX(Properties!A$1:CB$87,Formula!H121,14)),IF(Formula!J121=87,10^6,INDEX(Properties!A$1:CB$87,Formula!J121,14)))</f>
        <v>0</v>
      </c>
      <c r="BI121" s="63">
        <f t="shared" si="41"/>
        <v>14</v>
      </c>
      <c r="BJ121" s="75">
        <f>((Formula!C121)/(Formula!C121+Formula!E121+Formula!G121+Formula!I121+Formula!K121))*(INDEX(Properties!A$1:CB$87,Formula!B121,19))+((Formula!E121)/(Formula!C121+Formula!E121+Formula!G121+Formula!I121+Formula!K121))*(INDEX(Properties!A$1:CB$87,Formula!D121,19))+((Formula!G121)/(Formula!C121+Formula!E121+Formula!G121+Formula!I121+Formula!K121))*(INDEX(Properties!A$1:CB$87,Formula!F121,19))+((Formula!I121)/(Formula!C121+Formula!E121+Formula!G121+Formula!I121+Formula!K121))*(INDEX(Properties!A$1:CB$87,Formula!H121,19))+((Formula!K121)/(Formula!C121+Formula!E121+Formula!G121+Formula!I121+Formula!K121))*(INDEX(Properties!A$1:CB$87,Formula!J121,19))</f>
        <v>9.6666666666666661</v>
      </c>
      <c r="BK121" s="75">
        <f>Formula!C121*(INDEX(Properties!A$1:CB$87,Formula!B121,19))+Formula!E121*(INDEX(Properties!A$1:CB$87,Formula!D121,19))+Formula!G121*(INDEX(Properties!A$1:CB$87,Formula!F121,19))+Formula!I121*(INDEX(Properties!A$1:CB$87,Formula!H121,19))+Formula!K121*(INDEX(Properties!A$1:CB$87,Formula!J121,19))</f>
        <v>58</v>
      </c>
      <c r="BL121" s="75">
        <f>VARP(IF(INDEX(Properties!A$1:CB$87,Formula!B121,19)&lt;&gt;"",INDEX(Properties!A$1:CB$87,Formula!B121,19)),IF(INDEX(Properties!A$1:CB$87,Formula!D121,19)&lt;&gt;"",INDEX(Properties!A$1:CB$87,Formula!D121,19)),IF(INDEX(Properties!A$1:CB$87,Formula!F121,19)&lt;&gt;"",INDEX(Properties!A$1:CB$87,Formula!F121,19)),IF(INDEX(Properties!A$1:CB$87,Formula!H121,19)&lt;&gt;"",INDEX(Properties!A$1:CB$87,Formula!H121,19)),IF(INDEX(Properties!A$1:CB$87,Formula!J121,19)&lt;&gt;"",INDEX(Properties!A$1:CB$87,Formula!J121,19)))</f>
        <v>107.2</v>
      </c>
      <c r="BM121" s="75">
        <f>MAX(INDEX(Properties!A$1:CB$87,Formula!B121,19),INDEX(Properties!A$1:CB$87,Formula!D121,19),INDEX(Properties!A$1:CB$87,Formula!F121,19),INDEX(Properties!A$1:CB$87,Formula!H121,19),INDEX(Properties!A$1:CB$87,Formula!J121,19))</f>
        <v>28</v>
      </c>
      <c r="BN121" s="75">
        <f>MIN(IF(INDEX(Properties!A$1:CB$87,Formula!B121,19)=0,10^6,INDEX(Properties!A$1:CB$87,Formula!B121,19)),IF(INDEX(Properties!A$1:CB$87,Formula!D121,19)=0,10^6,INDEX(Properties!A$1:CB$87,Formula!D121,19)),IF(INDEX(Properties!A$1:CB$87,Formula!F121,19)=0,10^6,INDEX(Properties!A$1:CB$87,Formula!F121,19)),IF(INDEX(Properties!A$1:CB$87,Formula!H121,19)=0,10^6,INDEX(Properties!A$1:CB$87,Formula!H121,19)),IF(INDEX(Properties!A$1:CB$87,Formula!J121,19)=0,10^6,INDEX(Properties!A$1:CB$87,Formula!J121,19)))</f>
        <v>6</v>
      </c>
      <c r="BO121" s="75">
        <f t="shared" si="42"/>
        <v>22</v>
      </c>
      <c r="BP121" s="48">
        <f>((Formula!C121)/(Formula!C121+Formula!E121+Formula!G121+Formula!I121+Formula!K121))*(INDEX(Properties!A$1:CB$87,Formula!B121,20))+((Formula!E121)/(Formula!C121+Formula!E121+Formula!G121+Formula!I121+Formula!K121))*(INDEX(Properties!A$1:CB$87,Formula!D121,20))+((Formula!G121)/(Formula!C121+Formula!E121+Formula!G121+Formula!I121+Formula!K121))*(INDEX(Properties!A$1:CB$87,Formula!F121,20))+((Formula!I121)/(Formula!C121+Formula!E121+Formula!G121+Formula!I121+Formula!K121))*(INDEX(Properties!A$1:CB$87,Formula!H121,20))+((Formula!K121)/(Formula!C121+Formula!E121+Formula!G121+Formula!I121+Formula!K121))*(INDEX(Properties!A$1:CB$87,Formula!J121,20))</f>
        <v>4.833333333333333</v>
      </c>
      <c r="BQ121" s="48">
        <f>Formula!C121*(INDEX(Properties!A$1:CB$87,Formula!B121,20))+Formula!E121*(INDEX(Properties!A$1:CB$87,Formula!D121,20))+Formula!G121*(INDEX(Properties!A$1:CB$87,Formula!F121,20))+Formula!I121*(INDEX(Properties!A$1:CB$87,Formula!H121,20))+Formula!K121*(INDEX(Properties!A$1:CB$87,Formula!J121,20))</f>
        <v>29</v>
      </c>
      <c r="BR121" s="48">
        <f>VARP(IF(INDEX(Properties!A$1:CB$87,Formula!B121,20)&lt;&gt;"",INDEX(Properties!A$1:CB$87,Formula!B121,20)),IF(INDEX(Properties!A$1:CB$87,Formula!D121,20)&lt;&gt;"",INDEX(Properties!A$1:CB$87,Formula!D121,20)),IF(INDEX(Properties!A$1:CB$87,Formula!F121,20)&lt;&gt;"",INDEX(Properties!A$1:CB$87,Formula!F121,20)),IF(INDEX(Properties!A$1:CB$87,Formula!H121,20)&lt;&gt;"",INDEX(Properties!A$1:CB$87,Formula!H121,20)),IF(INDEX(Properties!A$1:CB$87,Formula!J121,20)&lt;&gt;"",INDEX(Properties!A$1:CB$87,Formula!J121,20)))</f>
        <v>5.76</v>
      </c>
      <c r="BS121" s="48">
        <f>MAX(INDEX(Properties!A$1:CB$87,Formula!B121,20),INDEX(Properties!A$1:CB$87,Formula!D121,20),INDEX(Properties!A$1:CB$87,Formula!F121,20),INDEX(Properties!A$1:CB$87,Formula!H121,20),INDEX(Properties!A$1:CB$87,Formula!J121,20))</f>
        <v>6</v>
      </c>
      <c r="BT121" s="48">
        <f>MIN(IF(INDEX(Properties!A$1:CB$87,Formula!B121,20)=0,10^6,INDEX(Properties!A$1:CB$87,Formula!B121,20)),IF(INDEX(Properties!A$1:CB$87,Formula!D121,20)=0,10^6,INDEX(Properties!A$1:CB$87,Formula!D121,20)),IF(INDEX(Properties!A$1:CB$87,Formula!F121,20)=0,10^6,INDEX(Properties!A$1:CB$87,Formula!F121,20)),IF(INDEX(Properties!A$1:CB$87,Formula!H121,20)=0,10^6,INDEX(Properties!A$1:CB$87,Formula!H121,20)),IF(INDEX(Properties!A$1:CB$87,Formula!J121,20)=0,10^6,INDEX(Properties!A$1:CB$87,Formula!J121,20)))</f>
        <v>1</v>
      </c>
      <c r="BU121" s="48">
        <f t="shared" si="43"/>
        <v>5</v>
      </c>
      <c r="BV121" s="66">
        <f>((Formula!C121)/(Formula!C121+Formula!E121+Formula!G121+Formula!I121+Formula!K121))*(INDEX(Properties!A$1:CB$87,Formula!B121,21))+((Formula!E121)/(Formula!C121+Formula!E121+Formula!G121+Formula!I121+Formula!K121))*(INDEX(Properties!A$1:CB$87,Formula!D121,21))+((Formula!G121)/(Formula!C121+Formula!E121+Formula!G121+Formula!I121+Formula!K121))*(INDEX(Properties!A$1:CB$87,Formula!F121,21))+((Formula!I121)/(Formula!C121+Formula!E121+Formula!G121+Formula!I121+Formula!K121))*(INDEX(Properties!A$1:CB$87,Formula!H121,21))+((Formula!K121)/(Formula!C121+Formula!E121+Formula!G121+Formula!I121+Formula!K121))*(INDEX(Properties!A$1:CB$87,Formula!J121,21))</f>
        <v>5.333333333333333</v>
      </c>
      <c r="BW121" s="66">
        <f>Formula!C121*(INDEX(Properties!A$1:CB$87,Formula!B121,21))+Formula!E121*(INDEX(Properties!A$1:CB$87,Formula!D121,21))+Formula!G121*(INDEX(Properties!A$1:CB$87,Formula!F121,21))+Formula!I121*(INDEX(Properties!A$1:CB$87,Formula!H121,21))+Formula!K121*(INDEX(Properties!A$1:CB$87,Formula!J121,21))</f>
        <v>32</v>
      </c>
      <c r="BX121" s="66">
        <f>VARP(IF(INDEX(Properties!A$1:CB$87,Formula!B121,21)&lt;&gt;"",INDEX(Properties!A$1:CB$87,Formula!B121,21)),IF(INDEX(Properties!A$1:CB$87,Formula!D121,21)&lt;&gt;"",INDEX(Properties!A$1:CB$87,Formula!D121,21)),IF(INDEX(Properties!A$1:CB$87,Formula!F121,21)&lt;&gt;"",INDEX(Properties!A$1:CB$87,Formula!F121,21)),IF(INDEX(Properties!A$1:CB$87,Formula!H121,21)&lt;&gt;"",INDEX(Properties!A$1:CB$87,Formula!H121,21)),IF(INDEX(Properties!A$1:CB$87,Formula!J121,21)&lt;&gt;"",INDEX(Properties!A$1:CB$87,Formula!J121,21)))</f>
        <v>5.76</v>
      </c>
      <c r="BY121" s="66">
        <f>MAX(INDEX(Properties!A$1:CB$87,Formula!B121,21),INDEX(Properties!A$1:CB$87,Formula!D121,21),INDEX(Properties!A$1:CB$87,Formula!F121,21),INDEX(Properties!A$1:CB$87,Formula!H121,21),INDEX(Properties!A$1:CB$87,Formula!J121,21))</f>
        <v>6</v>
      </c>
      <c r="BZ121" s="66">
        <f>MIN(IF(INDEX(Properties!A$1:CB$87,Formula!B121,21)=0,10^6,INDEX(Properties!A$1:CB$87,Formula!B121,21)),IF(INDEX(Properties!A$1:CB$87,Formula!D121,21)=0,10^6,INDEX(Properties!A$1:CB$87,Formula!D121,21)),IF(INDEX(Properties!A$1:CB$87,Formula!F121,21)=0,10^6,INDEX(Properties!A$1:CB$87,Formula!F121,21)),IF(INDEX(Properties!A$1:CB$87,Formula!H121,21)=0,10^6,INDEX(Properties!A$1:CB$87,Formula!H121,21)),IF(INDEX(Properties!A$1:CB$87,Formula!J121,21)=0,10^6,INDEX(Properties!A$1:CB$87,Formula!J121,21)))</f>
        <v>4</v>
      </c>
      <c r="CA121" s="66">
        <f t="shared" si="44"/>
        <v>2</v>
      </c>
      <c r="CB121" s="81">
        <f>((Formula!C121)/(Formula!C121+Formula!E121+Formula!G121+Formula!I121+Formula!K121))*(INDEX(Properties!A$1:CB$87,Formula!B121,23))+((Formula!E121)/(Formula!C121+Formula!E121+Formula!G121+Formula!I121+Formula!K121))*(INDEX(Properties!A$1:CB$87,Formula!D121,23))+((Formula!G121)/(Formula!C121+Formula!E121+Formula!G121+Formula!I121+Formula!K121))*(INDEX(Properties!A$1:CB$87,Formula!F121,23))+((Formula!I121)/(Formula!C121+Formula!E121+Formula!G121+Formula!I121+Formula!K121))*(INDEX(Properties!A$1:CB$87,Formula!H121,23))+((Formula!K121)/(Formula!C121+Formula!E121+Formula!G121+Formula!I121+Formula!K121))*(INDEX(Properties!A$1:CB$87,Formula!J121,23))</f>
        <v>1.37</v>
      </c>
      <c r="CC121" s="81">
        <f>Formula!C121*(INDEX(Properties!A$1:CB$87,Formula!B121,23))+Formula!E121*(INDEX(Properties!A$1:CB$87,Formula!D121,23))+Formula!G121*(INDEX(Properties!A$1:CB$87,Formula!F121,23))+Formula!I121*(INDEX(Properties!A$1:CB$87,Formula!H121,23))+Formula!K121*(INDEX(Properties!A$1:CB$87,Formula!J121,23))</f>
        <v>8.2200000000000006</v>
      </c>
      <c r="CD121" s="81">
        <f>VARP(IF(INDEX(Properties!A$1:CB$87,Formula!B121,23)&lt;&gt;"",INDEX(Properties!A$1:CB$87,Formula!B121,23)),IF(INDEX(Properties!A$1:CB$87,Formula!D121,23)&lt;&gt;"",INDEX(Properties!A$1:CB$87,Formula!D121,23)),IF(INDEX(Properties!A$1:CB$87,Formula!F121,23)&lt;&gt;"",INDEX(Properties!A$1:CB$87,Formula!F121,23)),IF(INDEX(Properties!A$1:CB$87,Formula!H121,23)&lt;&gt;"",INDEX(Properties!A$1:CB$87,Formula!H121,23)),IF(INDEX(Properties!A$1:CB$87,Formula!J121,23)&lt;&gt;"",INDEX(Properties!A$1:CB$87,Formula!J121,23)))</f>
        <v>5.169664</v>
      </c>
      <c r="CE121" s="81">
        <f>MAX(INDEX(Properties!A$1:CB$87,Formula!B121,23),INDEX(Properties!A$1:CB$87,Formula!D121,23),INDEX(Properties!A$1:CB$87,Formula!F121,23),INDEX(Properties!A$1:CB$87,Formula!H121,23),INDEX(Properties!A$1:CB$87,Formula!J121,23))</f>
        <v>5.78</v>
      </c>
      <c r="CF121" s="81">
        <f>MIN(IF(Formula!B121=87,10^6,INDEX(Properties!A$1:CB$87,Formula!B121,23)),IF((Formula!D121)=87,10^6,INDEX(Properties!A$1:CB$87,Formula!D121,23)),IF((Formula!F121)=87,10^6,INDEX(Properties!A$1:CB$87,Formula!F121,23)),IF((Formula!H121)=87,10^6,INDEX(Properties!A$1:CB$87,Formula!H121,23)),IF(Formula!J121=87,10^6,INDEX(Properties!A$1:CB$87,Formula!J121,23)))</f>
        <v>0</v>
      </c>
      <c r="CG121" s="81">
        <f t="shared" si="45"/>
        <v>5.78</v>
      </c>
      <c r="CH121" s="39">
        <f>((Formula!C121)/(Formula!C121+Formula!E121+Formula!G121+Formula!I121+Formula!K121))*(INDEX(Properties!A$1:CB$87,Formula!B121,26))+((Formula!E121)/(Formula!C121+Formula!E121+Formula!G121+Formula!I121+Formula!K121))*(INDEX(Properties!A$1:CB$87,Formula!D121,26))+((Formula!G121)/(Formula!C121+Formula!E121+Formula!G121+Formula!I121+Formula!K121))*(INDEX(Properties!A$1:CB$87,Formula!F121,26))+((Formula!I121)/(Formula!C121+Formula!E121+Formula!G121+Formula!I121+Formula!K121))*(INDEX(Properties!A$1:CB$87,Formula!H121,26))+((Formula!K121)/(Formula!C121+Formula!E121+Formula!G121+Formula!I121+Formula!K121))*(INDEX(Properties!A$1:CB$87,Formula!J121,26))</f>
        <v>11.496916666666666</v>
      </c>
      <c r="CI121" s="39">
        <f>Formula!C121*(INDEX(Properties!A$1:CB$87,Formula!B121,26))+Formula!E121*(INDEX(Properties!A$1:CB$87,Formula!D121,26))+Formula!G121*(INDEX(Properties!A$1:CB$87,Formula!F121,26))+Formula!I121*(INDEX(Properties!A$1:CB$87,Formula!H121,26))+Formula!K121*(INDEX(Properties!A$1:CB$87,Formula!J121,26))</f>
        <v>68.981499999999997</v>
      </c>
      <c r="CJ121" s="39">
        <f>VARP(IF(INDEX(Properties!A$1:CB$87,Formula!B121,26)&lt;&gt;"",INDEX(Properties!A$1:CB$87,Formula!B121,26)),IF(INDEX(Properties!A$1:CB$87,Formula!D121,26)&lt;&gt;"",INDEX(Properties!A$1:CB$87,Formula!D121,26)),IF(INDEX(Properties!A$1:CB$87,Formula!F121,26)&lt;&gt;"",INDEX(Properties!A$1:CB$87,Formula!F121,26)),IF(INDEX(Properties!A$1:CB$87,Formula!H121,26)&lt;&gt;"",INDEX(Properties!A$1:CB$87,Formula!H121,26)),IF(INDEX(Properties!A$1:CB$87,Formula!J121,26)&lt;&gt;"",INDEX(Properties!A$1:CB$87,Formula!J121,26)))</f>
        <v>26.506869658400007</v>
      </c>
      <c r="CK121" s="39">
        <f>MAX(INDEX(Properties!A$1:CB$87,Formula!B121,26),INDEX(Properties!A$1:CB$87,Formula!D121,26),INDEX(Properties!A$1:CB$87,Formula!F121,26),INDEX(Properties!A$1:CB$87,Formula!H121,26),INDEX(Properties!A$1:CB$87,Formula!J121,26))</f>
        <v>13.6181</v>
      </c>
      <c r="CL121" s="39">
        <f>MIN(IF(INDEX(Properties!A$1:CB$87,Formula!B121,26)=0,10^6,INDEX(Properties!A$1:CB$87,Formula!B121,26)),IF(INDEX(Properties!A$1:CB$87,Formula!D121,26)=0,10^6,INDEX(Properties!A$1:CB$87,Formula!D121,26)),IF(INDEX(Properties!A$1:CB$87,Formula!F121,26)=0,10^6,INDEX(Properties!A$1:CB$87,Formula!F121,26)),IF(INDEX(Properties!A$1:CB$87,Formula!H121,26)=0,10^6,INDEX(Properties!A$1:CB$87,Formula!H121,26)),IF(INDEX(Properties!A$1:CB$87,Formula!J121,26)=0,10^6,INDEX(Properties!A$1:CB$87,Formula!J121,26)))</f>
        <v>7.0923999999999996</v>
      </c>
      <c r="CM121" s="39">
        <f t="shared" si="46"/>
        <v>6.5257000000000005</v>
      </c>
      <c r="CN121" s="54">
        <f>((Formula!C121)/(Formula!C121+Formula!E121+Formula!G121+Formula!I121+Formula!K121))*(INDEX(Properties!A$1:CB$87,Formula!B121,30))+((Formula!E121)/(Formula!C121+Formula!E121+Formula!G121+Formula!I121+Formula!K121))*(INDEX(Properties!A$1:CB$87,Formula!D121,30))+((Formula!G121)/(Formula!C121+Formula!E121+Formula!G121+Formula!I121+Formula!K121))*(INDEX(Properties!A$1:CB$87,Formula!F121,30))+((Formula!I121)/(Formula!C121+Formula!E121+Formula!G121+Formula!I121+Formula!K121))*(INDEX(Properties!A$1:CB$87,Formula!H121,30))+((Formula!K121)/(Formula!C121+Formula!E121+Formula!G121+Formula!I121+Formula!K121))*(INDEX(Properties!A$1:CB$87,Formula!J121,30))</f>
        <v>2.9649999999999999</v>
      </c>
      <c r="CO121" s="54">
        <f>Formula!C121*(INDEX(Properties!A$1:CB$87,Formula!B121,30))+Formula!E121*(INDEX(Properties!A$1:CB$87,Formula!D121,30))+Formula!G121*(INDEX(Properties!A$1:CB$87,Formula!F121,30))+Formula!I121*(INDEX(Properties!A$1:CB$87,Formula!H121,30))+Formula!K121*(INDEX(Properties!A$1:CB$87,Formula!J121,30))</f>
        <v>17.79</v>
      </c>
      <c r="CP121" s="54">
        <f>VARP(IF(INDEX(Properties!A$1:CB$87,Formula!B121,30)&lt;&gt;"",INDEX(Properties!A$1:CB$87,Formula!B121,30)),IF(INDEX(Properties!A$1:CB$87,Formula!D121,30)&lt;&gt;"",INDEX(Properties!A$1:CB$87,Formula!D121,30)),IF(INDEX(Properties!A$1:CB$87,Formula!F121,30)&lt;&gt;"",INDEX(Properties!A$1:CB$87,Formula!F121,30)),IF(INDEX(Properties!A$1:CB$87,Formula!H121,30)&lt;&gt;"",INDEX(Properties!A$1:CB$87,Formula!H121,30)),IF(INDEX(Properties!A$1:CB$87,Formula!J121,30)&lt;&gt;"",INDEX(Properties!A$1:CB$87,Formula!J121,30)))</f>
        <v>1.7671839999999992</v>
      </c>
      <c r="CQ121" s="54">
        <f>MAX(INDEX(Properties!A$1:CB$87,Formula!B121,30),INDEX(Properties!A$1:CB$87,Formula!D121,30),INDEX(Properties!A$1:CB$87,Formula!F121,30),INDEX(Properties!A$1:CB$87,Formula!H121,30),INDEX(Properties!A$1:CB$87,Formula!J121,30))</f>
        <v>3.44</v>
      </c>
      <c r="CR121" s="54">
        <f>MIN(IF(INDEX(Properties!A$1:CB$87,Formula!B121,30)=0,10^6,INDEX(Properties!A$1:CB$87,Formula!B121,30)),IF(INDEX(Properties!A$1:CB$87,Formula!D121,30)=0,10^6,INDEX(Properties!A$1:CB$87,Formula!D121,30)),IF(INDEX(Properties!A$1:CB$87,Formula!F121,30)=0,10^6,INDEX(Properties!A$1:CB$87,Formula!F121,30)),IF(INDEX(Properties!A$1:CB$87,Formula!H121,30)=0,10^6,INDEX(Properties!A$1:CB$87,Formula!H121,30)),IF(INDEX(Properties!A$1:CB$87,Formula!J121,30)=0,10^6,INDEX(Properties!A$1:CB$87,Formula!J121,30)))</f>
        <v>1.87</v>
      </c>
      <c r="CS121" s="54">
        <f t="shared" si="47"/>
        <v>1.5699999999999998</v>
      </c>
      <c r="CT121" s="69">
        <f>((Formula!C121)/(Formula!C121+Formula!E121+Formula!G121+Formula!I121+Formula!K121))*(INDEX(Properties!A$1:CB$87,Formula!B121,31))+((Formula!E121)/(Formula!C121+Formula!E121+Formula!G121+Formula!I121+Formula!K121))*(INDEX(Properties!A$1:CB$87,Formula!D121,31))+((Formula!G121)/(Formula!C121+Formula!E121+Formula!G121+Formula!I121+Formula!K121))*(INDEX(Properties!A$1:CB$87,Formula!F121,31))+((Formula!I121)/(Formula!C121+Formula!E121+Formula!G121+Formula!I121+Formula!K121))*(INDEX(Properties!A$1:CB$87,Formula!H121,31))+((Formula!K121)/(Formula!C121+Formula!E121+Formula!G121+Formula!I121+Formula!K121))*(INDEX(Properties!A$1:CB$87,Formula!J121,31))</f>
        <v>2.8566666666666665</v>
      </c>
      <c r="CU121" s="69">
        <f>Formula!C121*(INDEX(Properties!A$1:CB$87,Formula!B121,31))+Formula!E121*(INDEX(Properties!A$1:CB$87,Formula!D121,31))+Formula!G121*(INDEX(Properties!A$1:CB$87,Formula!F121,31))+Formula!I121*(INDEX(Properties!A$1:CB$87,Formula!H121,31))+Formula!K121*(INDEX(Properties!A$1:CB$87,Formula!J121,31))</f>
        <v>17.14</v>
      </c>
      <c r="CV121" s="69">
        <f>VARP(IF(INDEX(Properties!A$1:CB$87,Formula!B121,31)&lt;&gt;"",INDEX(Properties!A$1:CB$87,Formula!B121,31)),IF(INDEX(Properties!A$1:CB$87,Formula!D121,31)&lt;&gt;"",INDEX(Properties!A$1:CB$87,Formula!D121,31)),IF(INDEX(Properties!A$1:CB$87,Formula!F121,31)&lt;&gt;"",INDEX(Properties!A$1:CB$87,Formula!F121,31)),IF(INDEX(Properties!A$1:CB$87,Formula!H121,31)&lt;&gt;"",INDEX(Properties!A$1:CB$87,Formula!H121,31)),IF(INDEX(Properties!A$1:CB$87,Formula!J121,31)&lt;&gt;"",INDEX(Properties!A$1:CB$87,Formula!J121,31)))</f>
        <v>1.6323839999999998</v>
      </c>
      <c r="CW121" s="69">
        <f>MAX(INDEX(Properties!A$1:CB$87,Formula!B121,31),INDEX(Properties!A$1:CB$87,Formula!D121,31),INDEX(Properties!A$1:CB$87,Formula!F121,31),INDEX(Properties!A$1:CB$87,Formula!H121,31),INDEX(Properties!A$1:CB$87,Formula!J121,31))</f>
        <v>3.32</v>
      </c>
      <c r="CX121" s="69">
        <f>MIN(IF(INDEX(Properties!A$1:CB$87,Formula!B121,31)=0,10^6,INDEX(Properties!A$1:CB$87,Formula!B121,31)),IF(INDEX(Properties!A$1:CB$87,Formula!D121,31)=0,10^6,INDEX(Properties!A$1:CB$87,Formula!D121,31)),IF(INDEX(Properties!A$1:CB$87,Formula!F121,31)=0,10^6,INDEX(Properties!A$1:CB$87,Formula!F121,31)),IF(INDEX(Properties!A$1:CB$87,Formula!H121,31)=0,10^6,INDEX(Properties!A$1:CB$87,Formula!H121,31)),IF(INDEX(Properties!A$1:CB$87,Formula!J121,31)=0,10^6,INDEX(Properties!A$1:CB$87,Formula!J121,31)))</f>
        <v>1.92</v>
      </c>
      <c r="CY121" s="69">
        <f t="shared" si="48"/>
        <v>1.4</v>
      </c>
      <c r="CZ121" s="42">
        <f>((Formula!C121)/(Formula!C121+Formula!E121+Formula!G121+Formula!I121+Formula!K121))*(INDEX(Properties!A$1:CB$87,Formula!B121,32))+((Formula!E121)/(Formula!C121+Formula!E121+Formula!G121+Formula!I121+Formula!K121))*(INDEX(Properties!A$1:CB$87,Formula!D121,32))+((Formula!G121)/(Formula!C121+Formula!E121+Formula!G121+Formula!I121+Formula!K121))*(INDEX(Properties!A$1:CB$87,Formula!F121,32))+((Formula!I121)/(Formula!C121+Formula!E121+Formula!G121+Formula!I121+Formula!K121))*(INDEX(Properties!A$1:CB$87,Formula!H121,32))+((Formula!K121)/(Formula!C121+Formula!E121+Formula!G121+Formula!I121+Formula!K121))*(INDEX(Properties!A$1:CB$87,Formula!J121,32))</f>
        <v>6.3266666666666662</v>
      </c>
      <c r="DA121" s="42">
        <f>Formula!C121*(INDEX(Properties!A$1:CB$87,Formula!B121,32))+Formula!E121*(INDEX(Properties!A$1:CB$87,Formula!D121,32))+Formula!G121*(INDEX(Properties!A$1:CB$87,Formula!F121,32))+Formula!I121*(INDEX(Properties!A$1:CB$87,Formula!H121,32))+Formula!K121*(INDEX(Properties!A$1:CB$87,Formula!J121,32))</f>
        <v>37.96</v>
      </c>
      <c r="DB121" s="42">
        <f>VARP(IF(INDEX(Properties!A$1:CB$87,Formula!B121,32)&lt;&gt;"",INDEX(Properties!A$1:CB$87,Formula!B121,32)),IF(INDEX(Properties!A$1:CB$87,Formula!D121,32)&lt;&gt;"",INDEX(Properties!A$1:CB$87,Formula!D121,32)),IF(INDEX(Properties!A$1:CB$87,Formula!F121,32)&lt;&gt;"",INDEX(Properties!A$1:CB$87,Formula!F121,32)),IF(INDEX(Properties!A$1:CB$87,Formula!H121,32)&lt;&gt;"",INDEX(Properties!A$1:CB$87,Formula!H121,32)),IF(INDEX(Properties!A$1:CB$87,Formula!J121,32)&lt;&gt;"",INDEX(Properties!A$1:CB$87,Formula!J121,32)))</f>
        <v>8.0416959999999982</v>
      </c>
      <c r="DC121" s="42">
        <f>MAX(INDEX(Properties!A$1:CB$87,Formula!B121,32),INDEX(Properties!A$1:CB$87,Formula!D121,32),INDEX(Properties!A$1:CB$87,Formula!F121,32),INDEX(Properties!A$1:CB$87,Formula!H121,32),INDEX(Properties!A$1:CB$87,Formula!J121,32))</f>
        <v>7.54</v>
      </c>
      <c r="DD121" s="42">
        <f>MIN(IF(INDEX(Properties!A$1:CB$87,Formula!B121,32)=0,10^6,INDEX(Properties!A$1:CB$87,Formula!B121,32)),IF(INDEX(Properties!A$1:CB$87,Formula!D121,32)=0,10^6,INDEX(Properties!A$1:CB$87,Formula!D121,32)),IF(INDEX(Properties!A$1:CB$87,Formula!F121,32)=0,10^6,INDEX(Properties!A$1:CB$87,Formula!F121,32)),IF(INDEX(Properties!A$1:CB$87,Formula!H121,32)=0,10^6,INDEX(Properties!A$1:CB$87,Formula!H121,32)),IF(INDEX(Properties!A$1:CB$87,Formula!J121,32)=0,10^6,INDEX(Properties!A$1:CB$87,Formula!J121,32)))</f>
        <v>3.9</v>
      </c>
      <c r="DE121" s="42">
        <f t="shared" si="49"/>
        <v>3.64</v>
      </c>
      <c r="DF121" s="60">
        <f>((Formula!C121)/(Formula!C121+Formula!E121+Formula!G121+Formula!I121+Formula!K121))*(INDEX(Properties!A$1:CB$87,Formula!B121,34))+((Formula!E121)/(Formula!C121+Formula!E121+Formula!G121+Formula!I121+Formula!K121))*(INDEX(Properties!A$1:CB$87,Formula!D121,34))+((Formula!G121)/(Formula!C121+Formula!E121+Formula!G121+Formula!I121+Formula!K121))*(INDEX(Properties!A$1:CB$87,Formula!F121,34))+((Formula!I121)/(Formula!C121+Formula!E121+Formula!G121+Formula!I121+Formula!K121))*(INDEX(Properties!A$1:CB$87,Formula!H121,34))+((Formula!K121)/(Formula!C121+Formula!E121+Formula!G121+Formula!I121+Formula!K121))*(INDEX(Properties!A$1:CB$87,Formula!J121,34))</f>
        <v>2.9606666666666666</v>
      </c>
      <c r="DG121" s="60">
        <f>Formula!C121*(INDEX(Properties!A$1:CB$87,Formula!B121,34))+Formula!E121*(INDEX(Properties!A$1:CB$87,Formula!D121,34))+Formula!G121*(INDEX(Properties!A$1:CB$87,Formula!F121,34))+Formula!I121*(INDEX(Properties!A$1:CB$87,Formula!H121,34))+Formula!K121*(INDEX(Properties!A$1:CB$87,Formula!J121,34))</f>
        <v>17.763999999999999</v>
      </c>
      <c r="DH121" s="60">
        <f>VARP(IF(INDEX(Properties!A$1:CB$87,Formula!B121,34)&lt;&gt;"",INDEX(Properties!A$1:CB$87,Formula!B121,34)),IF(INDEX(Properties!A$1:CB$87,Formula!D121,34)&lt;&gt;"",INDEX(Properties!A$1:CB$87,Formula!D121,34)),IF(INDEX(Properties!A$1:CB$87,Formula!F121,34)&lt;&gt;"",INDEX(Properties!A$1:CB$87,Formula!F121,34)),IF(INDEX(Properties!A$1:CB$87,Formula!H121,34)&lt;&gt;"",INDEX(Properties!A$1:CB$87,Formula!H121,34)),IF(INDEX(Properties!A$1:CB$87,Formula!J121,34)&lt;&gt;"",INDEX(Properties!A$1:CB$87,Formula!J121,34)))</f>
        <v>1.8028489600000004</v>
      </c>
      <c r="DI121" s="60">
        <f>MAX(INDEX(Properties!A$1:CB$87,Formula!B121,34),INDEX(Properties!A$1:CB$87,Formula!D121,34),INDEX(Properties!A$1:CB$87,Formula!F121,34),INDEX(Properties!A$1:CB$87,Formula!H121,34),INDEX(Properties!A$1:CB$87,Formula!J121,34))</f>
        <v>3.61</v>
      </c>
      <c r="DJ121" s="60">
        <f>MIN(IF(INDEX(Properties!A$1:CB$87,Formula!B121,34)=0,10^6,INDEX(Properties!A$1:CB$87,Formula!B121,34)),IF(INDEX(Properties!A$1:CB$87,Formula!D121,34)=0,10^6,INDEX(Properties!A$1:CB$87,Formula!D121,34)),IF(INDEX(Properties!A$1:CB$87,Formula!F121,34)=0,10^6,INDEX(Properties!A$1:CB$87,Formula!F121,34)),IF(INDEX(Properties!A$1:CB$87,Formula!H121,34)=0,10^6,INDEX(Properties!A$1:CB$87,Formula!H121,34)),IF(INDEX(Properties!A$1:CB$87,Formula!J121,34)=0,10^6,INDEX(Properties!A$1:CB$87,Formula!J121,34)))</f>
        <v>1.47</v>
      </c>
      <c r="DK121" s="60">
        <f t="shared" si="50"/>
        <v>2.1399999999999997</v>
      </c>
      <c r="DL121" s="45">
        <f>((Formula!C121)/(Formula!C121+Formula!E121+Formula!G121+Formula!I121+Formula!K121))*(INDEX(Properties!A$1:CB$87,Formula!B121,39))+((Formula!E121)/(Formula!C121+Formula!E121+Formula!G121+Formula!I121+Formula!K121))*(INDEX(Properties!A$1:CB$87,Formula!D121,39))+((Formula!G121)/(Formula!C121+Formula!E121+Formula!G121+Formula!I121+Formula!K121))*(INDEX(Properties!A$1:CB$87,Formula!F121,39))+((Formula!I121)/(Formula!C121+Formula!E121+Formula!G121+Formula!I121+Formula!K121))*(INDEX(Properties!A$1:CB$87,Formula!H121,39))+((Formula!K121)/(Formula!C121+Formula!E121+Formula!G121+Formula!I121+Formula!K121))*(INDEX(Properties!A$1:CB$87,Formula!J121,39))</f>
        <v>0.8933333333333332</v>
      </c>
      <c r="DM121" s="45">
        <f>Formula!C121*(INDEX(Properties!A$1:CB$87,Formula!B121,39))+Formula!E121*(INDEX(Properties!A$1:CB$87,Formula!D121,39))+Formula!G121*(INDEX(Properties!A$1:CB$87,Formula!F121,39))+Formula!I121*(INDEX(Properties!A$1:CB$87,Formula!H121,39))+Formula!K121*(INDEX(Properties!A$1:CB$87,Formula!J121,39))</f>
        <v>5.3599999999999994</v>
      </c>
      <c r="DN121" s="45">
        <f>VARP(IF(INDEX(Properties!A$1:CB$87,Formula!B121,39)&lt;&gt;"",INDEX(Properties!A$1:CB$87,Formula!B121,39)),IF(INDEX(Properties!A$1:CB$87,Formula!D121,39)&lt;&gt;"",INDEX(Properties!A$1:CB$87,Formula!D121,39)),IF(INDEX(Properties!A$1:CB$87,Formula!F121,39)&lt;&gt;"",INDEX(Properties!A$1:CB$87,Formula!F121,39)),IF(INDEX(Properties!A$1:CB$87,Formula!H121,39)&lt;&gt;"",INDEX(Properties!A$1:CB$87,Formula!H121,39)),IF(INDEX(Properties!A$1:CB$87,Formula!J121,39)&lt;&gt;"",INDEX(Properties!A$1:CB$87,Formula!J121,39)))</f>
        <v>0.62774400000000019</v>
      </c>
      <c r="DO121" s="45">
        <f>MAX(INDEX(Properties!A$1:CB$87,Formula!B121,39),INDEX(Properties!A$1:CB$87,Formula!D121,39),INDEX(Properties!A$1:CB$87,Formula!F121,39),INDEX(Properties!A$1:CB$87,Formula!H121,39),INDEX(Properties!A$1:CB$87,Formula!J121,39))</f>
        <v>1.9</v>
      </c>
      <c r="DP121" s="45">
        <f>MIN(IF(INDEX(Properties!A$1:CB$87,Formula!B121,39)=0,10^6,INDEX(Properties!A$1:CB$87,Formula!B121,39)),IF(INDEX(Properties!A$1:CB$87,Formula!D121,39)=0,10^6,INDEX(Properties!A$1:CB$87,Formula!D121,39)),IF(INDEX(Properties!A$1:CB$87,Formula!F121,39)=0,10^6,INDEX(Properties!A$1:CB$87,Formula!F121,39)),IF(INDEX(Properties!A$1:CB$87,Formula!H121,39)=0,10^6,INDEX(Properties!A$1:CB$87,Formula!H121,39)),IF(INDEX(Properties!A$1:CB$87,Formula!J121,39)=0,10^6,INDEX(Properties!A$1:CB$87,Formula!J121,39)))</f>
        <v>0.48</v>
      </c>
      <c r="DQ121" s="45">
        <f t="shared" si="51"/>
        <v>1.42</v>
      </c>
      <c r="DR121" s="63">
        <f>((Formula!C121)/(Formula!C121+Formula!E121+Formula!G121+Formula!I121+Formula!K121))*(INDEX(Properties!A$1:CB$87,Formula!B121,40))+((Formula!E121)/(Formula!C121+Formula!E121+Formula!G121+Formula!I121+Formula!K121))*(INDEX(Properties!A$1:CB$87,Formula!D121,40))+((Formula!G121)/(Formula!C121+Formula!E121+Formula!G121+Formula!I121+Formula!K121))*(INDEX(Properties!A$1:CB$87,Formula!F121,40))+((Formula!I121)/(Formula!C121+Formula!E121+Formula!G121+Formula!I121+Formula!K121))*(INDEX(Properties!A$1:CB$87,Formula!H121,40))+((Formula!K121)/(Formula!C121+Formula!E121+Formula!G121+Formula!I121+Formula!K121))*(INDEX(Properties!A$1:CB$87,Formula!J121,40))</f>
        <v>0.97333333333333327</v>
      </c>
      <c r="DS121" s="63">
        <f>Formula!C121*(INDEX(Properties!A$1:CB$87,Formula!B121,40))+Formula!E121*(INDEX(Properties!A$1:CB$87,Formula!D121,40))+Formula!G121*(INDEX(Properties!A$1:CB$87,Formula!F121,40))+Formula!I121*(INDEX(Properties!A$1:CB$87,Formula!H121,40))+Formula!K121*(INDEX(Properties!A$1:CB$87,Formula!J121,40))</f>
        <v>5.84</v>
      </c>
      <c r="DT121" s="63">
        <f>VARP(IF(INDEX(Properties!A$1:CB$87,Formula!B121,40)&lt;&gt;"",INDEX(Properties!A$1:CB$87,Formula!B121,40)),IF(INDEX(Properties!A$1:CB$87,Formula!D121,40)&lt;&gt;"",INDEX(Properties!A$1:CB$87,Formula!D121,40)),IF(INDEX(Properties!A$1:CB$87,Formula!F121,40)&lt;&gt;"",INDEX(Properties!A$1:CB$87,Formula!F121,40)),IF(INDEX(Properties!A$1:CB$87,Formula!H121,40)&lt;&gt;"",INDEX(Properties!A$1:CB$87,Formula!H121,40)),IF(INDEX(Properties!A$1:CB$87,Formula!J121,40)&lt;&gt;"",INDEX(Properties!A$1:CB$87,Formula!J121,40)))</f>
        <v>0.42635999999999991</v>
      </c>
      <c r="DU121" s="63">
        <f>MAX(INDEX(Properties!A$1:CB$87,Formula!B121,40),INDEX(Properties!A$1:CB$87,Formula!D121,40),INDEX(Properties!A$1:CB$87,Formula!F121,40),INDEX(Properties!A$1:CB$87,Formula!H121,40),INDEX(Properties!A$1:CB$87,Formula!J121,40))</f>
        <v>1.47</v>
      </c>
      <c r="DV121" s="63">
        <f>MIN(IF(INDEX(Properties!A$1:CB$87,Formula!B121,40)=0,10^6,INDEX(Properties!A$1:CB$87,Formula!B121,40)),IF(INDEX(Properties!A$1:CB$87,Formula!D121,40)=0,10^6,INDEX(Properties!A$1:CB$87,Formula!D121,40)),IF(INDEX(Properties!A$1:CB$87,Formula!F121,40)=0,10^6,INDEX(Properties!A$1:CB$87,Formula!F121,40)),IF(INDEX(Properties!A$1:CB$87,Formula!H121,40)=0,10^6,INDEX(Properties!A$1:CB$87,Formula!H121,40)),IF(INDEX(Properties!A$1:CB$87,Formula!J121,40)=0,10^6,INDEX(Properties!A$1:CB$87,Formula!J121,40)))</f>
        <v>0.73</v>
      </c>
      <c r="DW121" s="63">
        <f t="shared" si="52"/>
        <v>0.74</v>
      </c>
      <c r="DX121" s="75">
        <f>((Formula!C121)/(Formula!C121+Formula!E121+Formula!G121+Formula!I121+Formula!K121))*(INDEX(Properties!A$1:CB$87,Formula!B121,41))+((Formula!E121)/(Formula!C121+Formula!E121+Formula!G121+Formula!I121+Formula!K121))*(INDEX(Properties!A$1:CB$87,Formula!D121,41))+((Formula!G121)/(Formula!C121+Formula!E121+Formula!G121+Formula!I121+Formula!K121))*(INDEX(Properties!A$1:CB$87,Formula!F121,41))+((Formula!I121)/(Formula!C121+Formula!E121+Formula!G121+Formula!I121+Formula!K121))*(INDEX(Properties!A$1:CB$87,Formula!H121,41))+((Formula!K121)/(Formula!C121+Formula!E121+Formula!G121+Formula!I121+Formula!K121))*(INDEX(Properties!A$1:CB$87,Formula!J121,41))</f>
        <v>1.2</v>
      </c>
      <c r="DY121" s="75">
        <f>Formula!C121*(INDEX(Properties!A$1:CB$87,Formula!B121,41))+Formula!E121*(INDEX(Properties!A$1:CB$87,Formula!D121,41))+Formula!G121*(INDEX(Properties!A$1:CB$87,Formula!F121,41))+Formula!I121*(INDEX(Properties!A$1:CB$87,Formula!H121,41))+Formula!K121*(INDEX(Properties!A$1:CB$87,Formula!J121,41))</f>
        <v>7.2</v>
      </c>
      <c r="DZ121" s="75">
        <f>VARP(IF(INDEX(Properties!A$1:CB$87,Formula!B121,41)&lt;&gt;"",INDEX(Properties!A$1:CB$87,Formula!B121,41)),IF(INDEX(Properties!A$1:CB$87,Formula!D121,41)&lt;&gt;"",INDEX(Properties!A$1:CB$87,Formula!D121,41)),IF(INDEX(Properties!A$1:CB$87,Formula!F121,41)&lt;&gt;"",INDEX(Properties!A$1:CB$87,Formula!F121,41)),IF(INDEX(Properties!A$1:CB$87,Formula!H121,41)&lt;&gt;"",INDEX(Properties!A$1:CB$87,Formula!H121,41)),IF(INDEX(Properties!A$1:CB$87,Formula!J121,41)&lt;&gt;"",INDEX(Properties!A$1:CB$87,Formula!J121,41)))</f>
        <v>0.34122400000000019</v>
      </c>
      <c r="EA121" s="75">
        <f>MAX(INDEX(Properties!A$1:CB$87,Formula!B121,41),INDEX(Properties!A$1:CB$87,Formula!D121,41),INDEX(Properties!A$1:CB$87,Formula!F121,41),INDEX(Properties!A$1:CB$87,Formula!H121,41),INDEX(Properties!A$1:CB$87,Formula!J121,41))</f>
        <v>1.33</v>
      </c>
      <c r="EB121" s="75">
        <f>MIN(IF(INDEX(Properties!A$1:CB$87,Formula!B121,41)=0,10^6,INDEX(Properties!A$1:CB$87,Formula!B121,41)),IF(INDEX(Properties!A$1:CB$87,Formula!D121,41)=0,10^6,INDEX(Properties!A$1:CB$87,Formula!D121,41)),IF(INDEX(Properties!A$1:CB$87,Formula!F121,41)=0,10^6,INDEX(Properties!A$1:CB$87,Formula!F121,41)),IF(INDEX(Properties!A$1:CB$87,Formula!H121,41)=0,10^6,INDEX(Properties!A$1:CB$87,Formula!H121,41)),IF(INDEX(Properties!A$1:CB$87,Formula!J121,41)=0,10^6,INDEX(Properties!A$1:CB$87,Formula!J121,41)))</f>
        <v>0.83</v>
      </c>
      <c r="EC121" s="75">
        <f t="shared" si="53"/>
        <v>0.50000000000000011</v>
      </c>
      <c r="ED121" s="48">
        <f>((Formula!C121)/(Formula!C121+Formula!E121+Formula!G121+Formula!I121+Formula!K121))*(INDEX(Properties!A$1:CB$87,Formula!B121,45))+((Formula!E121)/(Formula!C121+Formula!E121+Formula!G121+Formula!I121+Formula!K121))*(INDEX(Properties!A$1:CB$87,Formula!D121,45))+((Formula!G121)/(Formula!C121+Formula!E121+Formula!G121+Formula!I121+Formula!K121))*(INDEX(Properties!A$1:CB$87,Formula!F121,45))+((Formula!I121)/(Formula!C121+Formula!E121+Formula!G121+Formula!I121+Formula!K121))*(INDEX(Properties!A$1:CB$87,Formula!H121,45))+((Formula!K121)/(Formula!C121+Formula!E121+Formula!G121+Formula!I121+Formula!K121))*(INDEX(Properties!A$1:CB$87,Formula!J121,45))</f>
        <v>1.115</v>
      </c>
      <c r="EE121" s="48">
        <f>Formula!C121*(INDEX(Properties!A$1:CB$87,Formula!B121,45))+Formula!E121*(INDEX(Properties!A$1:CB$87,Formula!D121,45))+Formula!G121*(INDEX(Properties!A$1:CB$87,Formula!F121,45))+Formula!I121*(INDEX(Properties!A$1:CB$87,Formula!H121,45))+Formula!K121*(INDEX(Properties!A$1:CB$87,Formula!J121,45))</f>
        <v>6.69</v>
      </c>
      <c r="EF121" s="48">
        <f>VARP(IF(INDEX(Properties!A$1:CB$87,Formula!B121,45)&lt;&gt;"",INDEX(Properties!A$1:CB$87,Formula!B121,45)),IF(INDEX(Properties!A$1:CB$87,Formula!D121,45)&lt;&gt;"",INDEX(Properties!A$1:CB$87,Formula!D121,45)),IF(INDEX(Properties!A$1:CB$87,Formula!F121,45)&lt;&gt;"",INDEX(Properties!A$1:CB$87,Formula!F121,45)),IF(INDEX(Properties!A$1:CB$87,Formula!H121,45)&lt;&gt;"",INDEX(Properties!A$1:CB$87,Formula!H121,45)),IF(INDEX(Properties!A$1:CB$87,Formula!J121,45)&lt;&gt;"",INDEX(Properties!A$1:CB$87,Formula!J121,45)))</f>
        <v>1.2823439999999999</v>
      </c>
      <c r="EG121" s="48">
        <f>MAX(INDEX(Properties!A$1:CB$87,Formula!B121,45),INDEX(Properties!A$1:CB$87,Formula!D121,45),INDEX(Properties!A$1:CB$87,Formula!F121,45),INDEX(Properties!A$1:CB$87,Formula!H121,45),INDEX(Properties!A$1:CB$87,Formula!J121,45))</f>
        <v>2.72</v>
      </c>
      <c r="EH121" s="48">
        <f>MIN(IF(INDEX(Properties!A$1:CB$87,Formula!B121,45)=0,10^6,INDEX(Properties!A$1:CB$87,Formula!B121,45)),IF(INDEX(Properties!A$1:CB$87,Formula!D121,45)=0,10^6,INDEX(Properties!A$1:CB$87,Formula!D121,45)),IF(INDEX(Properties!A$1:CB$87,Formula!F121,45)=0,10^6,INDEX(Properties!A$1:CB$87,Formula!F121,45)),IF(INDEX(Properties!A$1:CB$87,Formula!H121,45)=0,10^6,INDEX(Properties!A$1:CB$87,Formula!H121,45)),IF(INDEX(Properties!A$1:CB$87,Formula!J121,45)=0,10^6,INDEX(Properties!A$1:CB$87,Formula!J121,45)))</f>
        <v>0.47</v>
      </c>
      <c r="EI121" s="48">
        <f t="shared" si="54"/>
        <v>2.25</v>
      </c>
      <c r="EJ121" s="66">
        <f>((Formula!C121)/(Formula!C121+Formula!E121+Formula!G121+Formula!I121+Formula!K121))*(INDEX(Properties!A$1:CB$87,Formula!B121,46))+((Formula!E121)/(Formula!C121+Formula!E121+Formula!G121+Formula!I121+Formula!K121))*(INDEX(Properties!A$1:CB$87,Formula!D121,46))+((Formula!G121)/(Formula!C121+Formula!E121+Formula!G121+Formula!I121+Formula!K121))*(INDEX(Properties!A$1:CB$87,Formula!F121,46))+((Formula!I121)/(Formula!C121+Formula!E121+Formula!G121+Formula!I121+Formula!K121))*(INDEX(Properties!A$1:CB$87,Formula!H121,46))+((Formula!K121)/(Formula!C121+Formula!E121+Formula!G121+Formula!I121+Formula!K121))*(INDEX(Properties!A$1:CB$87,Formula!J121,46))</f>
        <v>1.1866666666666665</v>
      </c>
      <c r="EK121" s="66">
        <f>Formula!C121*(INDEX(Properties!A$1:CB$87,Formula!B121,46))+Formula!E121*(INDEX(Properties!A$1:CB$87,Formula!D121,46))+Formula!G121*(INDEX(Properties!A$1:CB$87,Formula!F121,46))+Formula!I121*(INDEX(Properties!A$1:CB$87,Formula!H121,46))+Formula!K121*(INDEX(Properties!A$1:CB$87,Formula!J121,46))</f>
        <v>7.12</v>
      </c>
      <c r="EL121" s="66">
        <f>VARP(IF(INDEX(Properties!A$1:CB$87,Formula!B121,46)&lt;&gt;"",INDEX(Properties!A$1:CB$87,Formula!B121,46)),IF(INDEX(Properties!A$1:CB$87,Formula!D121,46)&lt;&gt;"",INDEX(Properties!A$1:CB$87,Formula!D121,46)),IF(INDEX(Properties!A$1:CB$87,Formula!F121,46)&lt;&gt;"",INDEX(Properties!A$1:CB$87,Formula!F121,46)),IF(INDEX(Properties!A$1:CB$87,Formula!H121,46)&lt;&gt;"",INDEX(Properties!A$1:CB$87,Formula!H121,46)),IF(INDEX(Properties!A$1:CB$87,Formula!J121,46)&lt;&gt;"",INDEX(Properties!A$1:CB$87,Formula!J121,46)))</f>
        <v>0.3744559999999999</v>
      </c>
      <c r="EM121" s="66">
        <f>MAX(INDEX(Properties!A$1:CB$87,Formula!B121,46),INDEX(Properties!A$1:CB$87,Formula!D121,46),INDEX(Properties!A$1:CB$87,Formula!F121,46),INDEX(Properties!A$1:CB$87,Formula!H121,46),INDEX(Properties!A$1:CB$87,Formula!J121,46))</f>
        <v>1.49</v>
      </c>
      <c r="EN121" s="66">
        <f>MIN(IF(INDEX(Properties!A$1:CB$87,Formula!B121,46)=0,10^6,INDEX(Properties!A$1:CB$87,Formula!B121,46)),IF(INDEX(Properties!A$1:CB$87,Formula!D121,46)=0,10^6,INDEX(Properties!A$1:CB$87,Formula!D121,46)),IF(INDEX(Properties!A$1:CB$87,Formula!F121,46)=0,10^6,INDEX(Properties!A$1:CB$87,Formula!F121,46)),IF(INDEX(Properties!A$1:CB$87,Formula!H121,46)=0,10^6,INDEX(Properties!A$1:CB$87,Formula!H121,46)),IF(INDEX(Properties!A$1:CB$87,Formula!J121,46)=0,10^6,INDEX(Properties!A$1:CB$87,Formula!J121,46)))</f>
        <v>0.79</v>
      </c>
      <c r="EO121" s="66">
        <f t="shared" si="55"/>
        <v>0.7</v>
      </c>
      <c r="EP121" s="81">
        <f>((Formula!C121)/(Formula!C121+Formula!E121+Formula!G121+Formula!I121+Formula!K121))*(INDEX(Properties!A$1:CB$87,Formula!B121,52))+((Formula!E121)/(Formula!C121+Formula!E121+Formula!G121+Formula!I121+Formula!K121))*(INDEX(Properties!A$1:CB$87,Formula!D121,52))+((Formula!G121)/(Formula!C121+Formula!E121+Formula!G121+Formula!I121+Formula!K121))*(INDEX(Properties!A$1:CB$87,Formula!F121,52))+((Formula!I121)/(Formula!C121+Formula!E121+Formula!G121+Formula!I121+Formula!K121))*(INDEX(Properties!A$1:CB$87,Formula!H121,52))+((Formula!K121)/(Formula!C121+Formula!E121+Formula!G121+Formula!I121+Formula!K121))*(INDEX(Properties!A$1:CB$87,Formula!J121,52))</f>
        <v>3.7953333333333332</v>
      </c>
      <c r="EQ121" s="81">
        <f>Formula!C121*(INDEX(Properties!A$1:CB$87,Formula!B121,52))+Formula!E121*(INDEX(Properties!A$1:CB$87,Formula!D121,52))+Formula!G121*(INDEX(Properties!A$1:CB$87,Formula!F121,52))+Formula!I121*(INDEX(Properties!A$1:CB$87,Formula!H121,52))+Formula!K121*(INDEX(Properties!A$1:CB$87,Formula!J121,52))</f>
        <v>22.772000000000002</v>
      </c>
      <c r="ER121" s="81">
        <f>VARP(IF(INDEX(Properties!A$1:CB$87,Formula!B121,52)&lt;&gt;"",INDEX(Properties!A$1:CB$87,Formula!B121,52)),IF(INDEX(Properties!A$1:CB$87,Formula!D121,52)&lt;&gt;"",INDEX(Properties!A$1:CB$87,Formula!D121,52)),IF(INDEX(Properties!A$1:CB$87,Formula!F121,52)&lt;&gt;"",INDEX(Properties!A$1:CB$87,Formula!F121,52)),IF(INDEX(Properties!A$1:CB$87,Formula!H121,52)&lt;&gt;"",INDEX(Properties!A$1:CB$87,Formula!H121,52)),IF(INDEX(Properties!A$1:CB$87,Formula!J121,52)&lt;&gt;"",INDEX(Properties!A$1:CB$87,Formula!J121,52)))</f>
        <v>25.506791840000009</v>
      </c>
      <c r="ES121" s="81">
        <f>MAX(INDEX(Properties!A$1:CB$87,Formula!B121,52),INDEX(Properties!A$1:CB$87,Formula!D121,52),INDEX(Properties!A$1:CB$87,Formula!F121,52),INDEX(Properties!A$1:CB$87,Formula!H121,52),INDEX(Properties!A$1:CB$87,Formula!J121,52))</f>
        <v>12.8</v>
      </c>
      <c r="ET121" s="81">
        <f>MIN(IF(INDEX(Properties!A$1:CB$87,Formula!B121,52)=0,10^6,INDEX(Properties!A$1:CB$87,Formula!B121,52)),IF(INDEX(Properties!A$1:CB$87,Formula!D121,52)=0,10^6,INDEX(Properties!A$1:CB$87,Formula!D121,52)),IF(INDEX(Properties!A$1:CB$87,Formula!F121,52)=0,10^6,INDEX(Properties!A$1:CB$87,Formula!F121,52)),IF(INDEX(Properties!A$1:CB$87,Formula!H121,52)=0,10^6,INDEX(Properties!A$1:CB$87,Formula!H121,52)),IF(INDEX(Properties!A$1:CB$87,Formula!J121,52)=0,10^6,INDEX(Properties!A$1:CB$87,Formula!J121,52)))</f>
        <v>0.79300000000000004</v>
      </c>
      <c r="EU121" s="81">
        <f t="shared" si="56"/>
        <v>12.007000000000001</v>
      </c>
      <c r="EV121" s="39">
        <f>((Formula!C121)/(Formula!C121+Formula!E121+Formula!G121+Formula!I121+Formula!K121))*(INDEX(Properties!A$1:CB$87,Formula!B121,53))+((Formula!E121)/(Formula!C121+Formula!E121+Formula!G121+Formula!I121+Formula!K121))*(INDEX(Properties!A$1:CB$87,Formula!D121,53))+((Formula!G121)/(Formula!C121+Formula!E121+Formula!G121+Formula!I121+Formula!K121))*(INDEX(Properties!A$1:CB$87,Formula!F121,53))+((Formula!I121)/(Formula!C121+Formula!E121+Formula!G121+Formula!I121+Formula!K121))*(INDEX(Properties!A$1:CB$87,Formula!H121,53))+((Formula!K121)/(Formula!C121+Formula!E121+Formula!G121+Formula!I121+Formula!K121))*(INDEX(Properties!A$1:CB$87,Formula!J121,53))</f>
        <v>618.29999999999995</v>
      </c>
      <c r="EW121" s="39">
        <f>Formula!C121*(INDEX(Properties!A$1:CB$87,Formula!B121,53))+Formula!E121*(INDEX(Properties!A$1:CB$87,Formula!D121,53))+Formula!G121*(INDEX(Properties!A$1:CB$87,Formula!F121,53))+Formula!I121*(INDEX(Properties!A$1:CB$87,Formula!H121,53))+Formula!K121*(INDEX(Properties!A$1:CB$87,Formula!J121,53))</f>
        <v>3709.8</v>
      </c>
      <c r="EX121" s="39">
        <f>VARP(IF(INDEX(Properties!A$1:CB$87,Formula!B121,53)&lt;&gt;"",INDEX(Properties!A$1:CB$87,Formula!B121,53)),IF(INDEX(Properties!A$1:CB$87,Formula!D121,53)&lt;&gt;"",INDEX(Properties!A$1:CB$87,Formula!D121,53)),IF(INDEX(Properties!A$1:CB$87,Formula!F121,53)&lt;&gt;"",INDEX(Properties!A$1:CB$87,Formula!F121,53)),IF(INDEX(Properties!A$1:CB$87,Formula!H121,53)&lt;&gt;"",INDEX(Properties!A$1:CB$87,Formula!H121,53)),IF(INDEX(Properties!A$1:CB$87,Formula!J121,53)&lt;&gt;"",INDEX(Properties!A$1:CB$87,Formula!J121,53)))</f>
        <v>1240512.0093999999</v>
      </c>
      <c r="EY121" s="39">
        <f>MAX(INDEX(Properties!A$1:CB$87,Formula!B121,53),INDEX(Properties!A$1:CB$87,Formula!D121,53),INDEX(Properties!A$1:CB$87,Formula!F121,53),INDEX(Properties!A$1:CB$87,Formula!H121,53),INDEX(Properties!A$1:CB$87,Formula!J121,53))</f>
        <v>2890.15</v>
      </c>
      <c r="EZ121" s="39">
        <f>MIN(IF(INDEX(Properties!A$1:CB$87,Formula!B121,53)=0,10^6,INDEX(Properties!A$1:CB$87,Formula!B121,53)),IF(INDEX(Properties!A$1:CB$87,Formula!D121,53)=0,10^6,INDEX(Properties!A$1:CB$87,Formula!D121,53)),IF(INDEX(Properties!A$1:CB$87,Formula!F121,53)=0,10^6,INDEX(Properties!A$1:CB$87,Formula!F121,53)),IF(INDEX(Properties!A$1:CB$87,Formula!H121,53)=0,10^6,INDEX(Properties!A$1:CB$87,Formula!H121,53)),IF(INDEX(Properties!A$1:CB$87,Formula!J121,53)=0,10^6,INDEX(Properties!A$1:CB$87,Formula!J121,53)))</f>
        <v>54.749999999999972</v>
      </c>
      <c r="FA121" s="39">
        <f t="shared" si="57"/>
        <v>2835.4</v>
      </c>
      <c r="FB121" s="54">
        <f>((Formula!C121)/(Formula!C121+Formula!E121+Formula!G121+Formula!I121+Formula!K121))*(INDEX(Properties!A$1:CB$87,Formula!B121,54))+((Formula!E121)/(Formula!C121+Formula!E121+Formula!G121+Formula!I121+Formula!K121))*(INDEX(Properties!A$1:CB$87,Formula!D121,54))+((Formula!G121)/(Formula!C121+Formula!E121+Formula!G121+Formula!I121+Formula!K121))*(INDEX(Properties!A$1:CB$87,Formula!F121,54))+((Formula!I121)/(Formula!C121+Formula!E121+Formula!G121+Formula!I121+Formula!K121))*(INDEX(Properties!A$1:CB$87,Formula!H121,54))+((Formula!K121)/(Formula!C121+Formula!E121+Formula!G121+Formula!I121+Formula!K121))*(INDEX(Properties!A$1:CB$87,Formula!J121,54))</f>
        <v>1209.8166666666666</v>
      </c>
      <c r="FC121" s="54">
        <f>Formula!C121*(INDEX(Properties!A$1:CB$87,Formula!B121,54))+Formula!E121*(INDEX(Properties!A$1:CB$87,Formula!D121,54))+Formula!G121*(INDEX(Properties!A$1:CB$87,Formula!F121,54))+Formula!I121*(INDEX(Properties!A$1:CB$87,Formula!H121,54))+Formula!K121*(INDEX(Properties!A$1:CB$87,Formula!J121,54))</f>
        <v>7258.9</v>
      </c>
      <c r="FD121" s="54">
        <f>VARP(IF(INDEX(Properties!A$1:CB$87,Formula!B121,54)&lt;&gt;"",INDEX(Properties!A$1:CB$87,Formula!B121,54)),IF(INDEX(Properties!A$1:CB$87,Formula!D121,54)&lt;&gt;"",INDEX(Properties!A$1:CB$87,Formula!D121,54)),IF(INDEX(Properties!A$1:CB$87,Formula!F121,54)&lt;&gt;"",INDEX(Properties!A$1:CB$87,Formula!F121,54)),IF(INDEX(Properties!A$1:CB$87,Formula!H121,54)&lt;&gt;"",INDEX(Properties!A$1:CB$87,Formula!H121,54)),IF(INDEX(Properties!A$1:CB$87,Formula!J121,54)&lt;&gt;"",INDEX(Properties!A$1:CB$87,Formula!J121,54)))</f>
        <v>3631580.7574</v>
      </c>
      <c r="FE121" s="54">
        <f>MAX(INDEX(Properties!A$1:CB$87,Formula!B121,54),INDEX(Properties!A$1:CB$87,Formula!D121,54),INDEX(Properties!A$1:CB$87,Formula!F121,54),INDEX(Properties!A$1:CB$87,Formula!H121,54),INDEX(Properties!A$1:CB$87,Formula!J121,54))</f>
        <v>4885.1499999999996</v>
      </c>
      <c r="FF121" s="54">
        <f>MIN(IF(INDEX(Properties!A$1:CB$87,Formula!B121,54)=0,10^6,INDEX(Properties!A$1:CB$87,Formula!B121,54)),IF(INDEX(Properties!A$1:CB$87,Formula!D121,54)=0,10^6,INDEX(Properties!A$1:CB$87,Formula!D121,54)),IF(INDEX(Properties!A$1:CB$87,Formula!F121,54)=0,10^6,INDEX(Properties!A$1:CB$87,Formula!F121,54)),IF(INDEX(Properties!A$1:CB$87,Formula!H121,54)=0,10^6,INDEX(Properties!A$1:CB$87,Formula!H121,54)),IF(INDEX(Properties!A$1:CB$87,Formula!J121,54)=0,10^6,INDEX(Properties!A$1:CB$87,Formula!J121,54)))</f>
        <v>90.149999999999977</v>
      </c>
      <c r="FG121" s="54">
        <f t="shared" si="58"/>
        <v>4795</v>
      </c>
      <c r="FH121" s="69">
        <f>((Formula!C121)/(Formula!C121+Formula!E121+Formula!G121+Formula!I121+Formula!K121))*(INDEX(Properties!A$1:CB$87,Formula!B121,55))+((Formula!E121)/(Formula!C121+Formula!E121+Formula!G121+Formula!I121+Formula!K121))*(INDEX(Properties!A$1:CB$87,Formula!D121,55))+((Formula!G121)/(Formula!C121+Formula!E121+Formula!G121+Formula!I121+Formula!K121))*(INDEX(Properties!A$1:CB$87,Formula!F121,55))+((Formula!I121)/(Formula!C121+Formula!E121+Formula!G121+Formula!I121+Formula!K121))*(INDEX(Properties!A$1:CB$87,Formula!H121,55))+((Formula!K121)/(Formula!C121+Formula!E121+Formula!G121+Formula!I121+Formula!K121))*(INDEX(Properties!A$1:CB$87,Formula!J121,55))</f>
        <v>3.600953333333333</v>
      </c>
      <c r="FI121" s="69">
        <f>Formula!C121*(INDEX(Properties!A$1:CB$87,Formula!B121,55))+Formula!E121*(INDEX(Properties!A$1:CB$87,Formula!D121,54))+Formula!G121*(INDEX(Properties!A$1:CB$87,Formula!F121,55))+Formula!I121*(INDEX(Properties!A$1:CB$87,Formula!H121,55))+Formula!K121*(INDEX(Properties!A$1:CB$87,Formula!J121,55))</f>
        <v>4896.5557199999994</v>
      </c>
      <c r="FJ121" s="69">
        <f>VARP(IF(INDEX(Properties!A$1:CB$87,Formula!B121,55)&lt;&gt;"",INDEX(Properties!A$1:CB$87,Formula!B121,55)),IF(INDEX(Properties!A$1:CB$87,Formula!D121,55)&lt;&gt;"",INDEX(Properties!A$1:CB$87,Formula!D121,55)),IF(INDEX(Properties!A$1:CB$87,Formula!F121,55)&lt;&gt;"",INDEX(Properties!A$1:CB$87,Formula!F121,55)),IF(INDEX(Properties!A$1:CB$87,Formula!H121,55)&lt;&gt;"",INDEX(Properties!A$1:CB$87,Formula!H121,55)),IF(INDEX(Properties!A$1:CB$87,Formula!J121,55)&lt;&gt;"",INDEX(Properties!A$1:CB$87,Formula!J121,55)))</f>
        <v>28.135129287183997</v>
      </c>
      <c r="FK121" s="69">
        <f>MAX(INDEX(Properties!A$1:CB$87,Formula!B121,55),INDEX(Properties!A$1:CB$87,Formula!D121,55),INDEX(Properties!A$1:CB$87,Formula!F121,55),INDEX(Properties!A$1:CB$87,Formula!H121,55),INDEX(Properties!A$1:CB$87,Formula!J121,55))</f>
        <v>11.4</v>
      </c>
      <c r="FL121" s="69">
        <f>MIN(IF(INDEX(Properties!A$1:CB$87,Formula!B121,55)=0,10^6,INDEX(Properties!A$1:CB$87,Formula!B121,55)),IF(INDEX(Properties!A$1:CB$87,Formula!D121,55)=0,10^6,INDEX(Properties!A$1:CB$87,Formula!D121,55)),IF(INDEX(Properties!A$1:CB$87,Formula!F121,55)=0,10^6,INDEX(Properties!A$1:CB$87,Formula!F121,55)),IF(INDEX(Properties!A$1:CB$87,Formula!H121,55)=0,10^6,INDEX(Properties!A$1:CB$87,Formula!H121,55)),IF(INDEX(Properties!A$1:CB$87,Formula!J121,55)=0,10^6,INDEX(Properties!A$1:CB$87,Formula!J121,55)))</f>
        <v>1.4300000000000001E-3</v>
      </c>
      <c r="FM121" s="69">
        <f t="shared" si="59"/>
        <v>11.398570000000001</v>
      </c>
      <c r="FN121" s="42">
        <f>((Formula!C121)/(Formula!C121+Formula!E121+Formula!G121+Formula!I121+Formula!K121))*(INDEX(Properties!A$1:CB$87,Formula!B121,56))+((Formula!E121)/(Formula!C121+Formula!E121+Formula!G121+Formula!I121+Formula!K121))*(INDEX(Properties!A$1:CB$87,Formula!D121,56))+((Formula!G121)/(Formula!C121+Formula!E121+Formula!G121+Formula!I121+Formula!K121))*(INDEX(Properties!A$1:CB$87,Formula!F121,56))+((Formula!I121)/(Formula!C121+Formula!E121+Formula!G121+Formula!I121+Formula!K121))*(INDEX(Properties!A$1:CB$87,Formula!H121,56))+((Formula!K121)/(Formula!C121+Formula!E121+Formula!G121+Formula!I121+Formula!K121))*(INDEX(Properties!A$1:CB$87,Formula!J121,56))</f>
        <v>0.67666666666666664</v>
      </c>
      <c r="FO121" s="42">
        <f>Formula!C121*(INDEX(Properties!A$1:CB$87,Formula!B121,56))+Formula!E121*(INDEX(Properties!A$1:CB$87,Formula!D121,56))+Formula!G121*(INDEX(Properties!A$1:CB$87,Formula!F121,56))+Formula!I121*(INDEX(Properties!A$1:CB$87,Formula!H121,56))+Formula!K121*(INDEX(Properties!A$1:CB$87,Formula!J121,56))</f>
        <v>4.0600000000000005</v>
      </c>
      <c r="FP121" s="42">
        <f>VARP(IF(INDEX(Properties!A$1:CB$87,Formula!B121,56)&lt;&gt;"",INDEX(Properties!A$1:CB$87,Formula!B121,56)),IF(INDEX(Properties!A$1:CB$87,Formula!D121,56)&lt;&gt;"",INDEX(Properties!A$1:CB$87,Formula!D121,56)),IF(INDEX(Properties!A$1:CB$87,Formula!F121,56)&lt;&gt;"",INDEX(Properties!A$1:CB$87,Formula!F121,56)),IF(INDEX(Properties!A$1:CB$87,Formula!H121,56)&lt;&gt;"",INDEX(Properties!A$1:CB$87,Formula!H121,56)),IF(INDEX(Properties!A$1:CB$87,Formula!J121,56)&lt;&gt;"",INDEX(Properties!A$1:CB$87,Formula!J121,56)))</f>
        <v>0.11756</v>
      </c>
      <c r="FQ121" s="42">
        <f>MAX(INDEX(Properties!A$1:CB$87,Formula!B121,56),INDEX(Properties!A$1:CB$87,Formula!D121,56),INDEX(Properties!A$1:CB$87,Formula!F121,56),INDEX(Properties!A$1:CB$87,Formula!H121,56),INDEX(Properties!A$1:CB$87,Formula!J121,56))</f>
        <v>0.92</v>
      </c>
      <c r="FR121" s="42">
        <f>MIN(IF(INDEX(Properties!A$1:CB$87,Formula!B121,56)=0,10^6,INDEX(Properties!A$1:CB$87,Formula!B121,56)),IF(INDEX(Properties!A$1:CB$87,Formula!D121,56)=0,10^6,INDEX(Properties!A$1:CB$87,Formula!D121,56)),IF(INDEX(Properties!A$1:CB$87,Formula!F121,56)=0,10^6,INDEX(Properties!A$1:CB$87,Formula!F121,56)),IF(INDEX(Properties!A$1:CB$87,Formula!H121,56)=0,10^6,INDEX(Properties!A$1:CB$87,Formula!H121,56)),IF(INDEX(Properties!A$1:CB$87,Formula!J121,56)=0,10^6,INDEX(Properties!A$1:CB$87,Formula!J121,56)))</f>
        <v>0.13</v>
      </c>
      <c r="FS121" s="42">
        <f t="shared" si="60"/>
        <v>0.79</v>
      </c>
      <c r="FT121" s="60">
        <f>((Formula!C121)/(Formula!C121+Formula!E121+Formula!G121+Formula!I121+Formula!K121))*(INDEX(Properties!A$1:CB$87,Formula!B121,57))+((Formula!E121)/(Formula!C121+Formula!E121+Formula!G121+Formula!I121+Formula!K121))*(INDEX(Properties!A$1:CB$87,Formula!D121,57))+((Formula!G121)/(Formula!C121+Formula!E121+Formula!G121+Formula!I121+Formula!K121))*(INDEX(Properties!A$1:CB$87,Formula!F121,57))+((Formula!I121)/(Formula!C121+Formula!E121+Formula!G121+Formula!I121+Formula!K121))*(INDEX(Properties!A$1:CB$87,Formula!H121,57))+((Formula!K121)/(Formula!C121+Formula!E121+Formula!G121+Formula!I121+Formula!K121))*(INDEX(Properties!A$1:CB$87,Formula!J121,57))</f>
        <v>6.2815599999999989</v>
      </c>
      <c r="FU121" s="60">
        <f>Formula!C121*(INDEX(Properties!A$1:CB$87,Formula!B121,57))+Formula!E121*(INDEX(Properties!A$1:CB$87,Formula!D121,57))+Formula!G121*(INDEX(Properties!A$1:CB$87,Formula!F121,57))+Formula!I121*(INDEX(Properties!A$1:CB$87,Formula!H121,57))+Formula!K121*(INDEX(Properties!A$1:CB$87,Formula!J121,57))</f>
        <v>37.689360000000001</v>
      </c>
      <c r="FV121" s="60">
        <f>VARP(IF(INDEX(Properties!A$1:CB$87,Formula!B121,57)&lt;&gt;"",INDEX(Properties!A$1:CB$87,Formula!B121,57)),IF(INDEX(Properties!A$1:CB$87,Formula!D121,57)&lt;&gt;"",INDEX(Properties!A$1:CB$87,Formula!D121,57)),IF(INDEX(Properties!A$1:CB$87,Formula!F121,57)&lt;&gt;"",INDEX(Properties!A$1:CB$87,Formula!F121,57)),IF(INDEX(Properties!A$1:CB$87,Formula!H121,57)&lt;&gt;"",INDEX(Properties!A$1:CB$87,Formula!H121,57)),IF(INDEX(Properties!A$1:CB$87,Formula!J121,57)&lt;&gt;"",INDEX(Properties!A$1:CB$87,Formula!J121,57)))</f>
        <v>154.59206441649599</v>
      </c>
      <c r="FW121" s="60">
        <f>MAX(INDEX(Properties!A$1:CB$87,Formula!B121,57),INDEX(Properties!A$1:CB$87,Formula!D121,57),INDEX(Properties!A$1:CB$87,Formula!F121,57),INDEX(Properties!A$1:CB$87,Formula!H121,57),INDEX(Properties!A$1:CB$87,Formula!J121,57))</f>
        <v>32</v>
      </c>
      <c r="FX121" s="60">
        <f>MIN(IF(INDEX(Properties!A$1:CB$87,Formula!B121,57)=0,10^6,INDEX(Properties!A$1:CB$87,Formula!B121,57)),IF(INDEX(Properties!A$1:CB$87,Formula!D121,57)=0,10^6,INDEX(Properties!A$1:CB$87,Formula!D121,57)),IF(INDEX(Properties!A$1:CB$87,Formula!F121,57)=0,10^6,INDEX(Properties!A$1:CB$87,Formula!F121,57)),IF(INDEX(Properties!A$1:CB$87,Formula!H121,57)=0,10^6,INDEX(Properties!A$1:CB$87,Formula!H121,57)),IF(INDEX(Properties!A$1:CB$87,Formula!J121,57)=0,10^6,INDEX(Properties!A$1:CB$87,Formula!J121,57)))</f>
        <v>0.22259000000000001</v>
      </c>
      <c r="FY121" s="60">
        <f t="shared" si="61"/>
        <v>31.77741</v>
      </c>
      <c r="FZ121" s="72">
        <f>((Formula!C121)/(Formula!C121+Formula!E121+Formula!G121+Formula!I121+Formula!K121))*(INDEX(Properties!A$1:CB$87,Formula!B121,60))+((Formula!E121)/(Formula!C121+Formula!E121+Formula!G121+Formula!I121+Formula!K121))*(INDEX(Properties!A$1:CB$87,Formula!D121,60))+((Formula!G121)/(Formula!C121+Formula!E121+Formula!G121+Formula!I121+Formula!K121))*(INDEX(Properties!A$1:CB$87,Formula!F121,60))+((Formula!I121)/(Formula!C121+Formula!E121+Formula!G121+Formula!I121+Formula!K121))*(INDEX(Properties!A$1:CB$87,Formula!H121,60))+((Formula!K121)/(Formula!C121+Formula!E121+Formula!G121+Formula!I121+Formula!K121))*(INDEX(Properties!A$1:CB$87,Formula!J121,60))</f>
        <v>28.901160000000001</v>
      </c>
      <c r="GA121" s="72">
        <f>Formula!C121*(INDEX(Properties!A$1:CB$87,Formula!B121,60))+Formula!E121*(INDEX(Properties!A$1:CB$87,Formula!D121,60))+Formula!G121*(INDEX(Properties!A$1:CB$87,Formula!F121,60))+Formula!I121*(INDEX(Properties!A$1:CB$87,Formula!H121,60))+Formula!K121*(INDEX(Properties!A$1:CB$87,Formula!J121,60))</f>
        <v>173.40696</v>
      </c>
      <c r="GB121" s="72">
        <f>VARP(IF(INDEX(Properties!A$1:CB$87,Formula!B121,60)&lt;&gt;"",INDEX(Properties!A$1:CB$87,Formula!B121,60)),IF(INDEX(Properties!A$1:CB$87,Formula!D121,60)&lt;&gt;"",INDEX(Properties!A$1:CB$87,Formula!D121,60)),IF(INDEX(Properties!A$1:CB$87,Formula!F121,60)&lt;&gt;"",INDEX(Properties!A$1:CB$87,Formula!F121,60)),IF(INDEX(Properties!A$1:CB$87,Formula!H121,60)&lt;&gt;"",INDEX(Properties!A$1:CB$87,Formula!H121,60)),IF(INDEX(Properties!A$1:CB$87,Formula!J121,60)&lt;&gt;"",INDEX(Properties!A$1:CB$87,Formula!J121,60)))</f>
        <v>2856.3317910444161</v>
      </c>
      <c r="GC121" s="72">
        <f>MAX(INDEX(Properties!A$1:CB$87,Formula!B121,60),INDEX(Properties!A$1:CB$87,Formula!D121,60),INDEX(Properties!A$1:CB$87,Formula!F121,60),INDEX(Properties!A$1:CB$87,Formula!H121,60),INDEX(Properties!A$1:CB$87,Formula!J121,60))</f>
        <v>138</v>
      </c>
      <c r="GD121" s="72">
        <f>MIN(IF(INDEX(Properties!A$1:CB$87,Formula!B121,60)=0,10^6,INDEX(Properties!A$1:CB$87,Formula!B121,60)),IF(INDEX(Properties!A$1:CB$87,Formula!D121,60)=0,10^6,INDEX(Properties!A$1:CB$87,Formula!D121,60)),IF(INDEX(Properties!A$1:CB$87,Formula!F121,60)=0,10^6,INDEX(Properties!A$1:CB$87,Formula!F121,60)),IF(INDEX(Properties!A$1:CB$87,Formula!H121,60)=0,10^6,INDEX(Properties!A$1:CB$87,Formula!H121,60)),IF(INDEX(Properties!A$1:CB$87,Formula!J121,60)=0,10^6,INDEX(Properties!A$1:CB$87,Formula!J121,60)))</f>
        <v>2.674E-2</v>
      </c>
      <c r="GE121" s="72">
        <f t="shared" si="62"/>
        <v>137.97326000000001</v>
      </c>
      <c r="GF121" s="51">
        <f>((Formula!C121)/(Formula!C121+Formula!E121+Formula!G121+Formula!I121+Formula!K121))*(INDEX(Properties!A$1:CB$87,Formula!B121,62))+((Formula!E121)/(Formula!C121+Formula!E121+Formula!G121+Formula!I121+Formula!K121))*(INDEX(Properties!A$1:CB$87,Formula!D121,62))+((Formula!G121)/(Formula!C121+Formula!E121+Formula!G121+Formula!I121+Formula!K121))*(INDEX(Properties!A$1:CB$87,Formula!F121,62))+((Formula!I121)/(Formula!C121+Formula!E121+Formula!G121+Formula!I121+Formula!K121))*(INDEX(Properties!A$1:CB$87,Formula!H121,62))+((Formula!K121)/(Formula!C121+Formula!E121+Formula!G121+Formula!I121+Formula!K121))*(INDEX(Properties!A$1:CB$87,Formula!J121,62))</f>
        <v>3.2216666666666667</v>
      </c>
      <c r="GG121" s="51">
        <f>Formula!C121*(INDEX(Properties!A$1:CB$87,Formula!B121,62))+Formula!E121*(INDEX(Properties!A$1:CB$87,Formula!D121,62))+Formula!G121*(INDEX(Properties!A$1:CB$87,Formula!F121,62))+Formula!I121*(INDEX(Properties!A$1:CB$87,Formula!H121,62))+Formula!K121*(INDEX(Properties!A$1:CB$87,Formula!J121,62))</f>
        <v>19.329999999999998</v>
      </c>
      <c r="GH121" s="51">
        <f>VARP(IF(INDEX(Properties!A$1:CB$87,Formula!B121,62)&lt;&gt;"",INDEX(Properties!A$1:CB$87,Formula!B121,62)),IF(INDEX(Properties!A$1:CB$87,Formula!D121,62)&lt;&gt;"",INDEX(Properties!A$1:CB$87,Formula!D121,62)),IF(INDEX(Properties!A$1:CB$87,Formula!F121,62)&lt;&gt;"",INDEX(Properties!A$1:CB$87,Formula!F121,62)),IF(INDEX(Properties!A$1:CB$87,Formula!H121,62)&lt;&gt;"",INDEX(Properties!A$1:CB$87,Formula!H121,62)),IF(INDEX(Properties!A$1:CB$87,Formula!J121,62)&lt;&gt;"",INDEX(Properties!A$1:CB$87,Formula!J121,62)))</f>
        <v>6.2371040000000031</v>
      </c>
      <c r="GI121" s="51">
        <f>MAX(INDEX(Properties!A$1:CB$87,Formula!B121,62),INDEX(Properties!A$1:CB$87,Formula!D121,62),INDEX(Properties!A$1:CB$87,Formula!F121,62),INDEX(Properties!A$1:CB$87,Formula!H121,62),INDEX(Properties!A$1:CB$87,Formula!J121,62))</f>
        <v>6.82</v>
      </c>
      <c r="GJ121" s="51">
        <f>MIN(IF(INDEX(Properties!A$1:CB$87,Formula!B121,62)=0,10^6,INDEX(Properties!A$1:CB$87,Formula!B121,62)),IF(INDEX(Properties!A$1:CB$87,Formula!D121,62)=0,10^6,INDEX(Properties!A$1:CB$87,Formula!D121,62)),IF(INDEX(Properties!A$1:CB$87,Formula!F121,62)=0,10^6,INDEX(Properties!A$1:CB$87,Formula!F121,62)),IF(INDEX(Properties!A$1:CB$87,Formula!H121,62)=0,10^6,INDEX(Properties!A$1:CB$87,Formula!H121,62)),IF(INDEX(Properties!A$1:CB$87,Formula!J121,62)=0,10^6,INDEX(Properties!A$1:CB$87,Formula!J121,62)))</f>
        <v>2.0299999999999998</v>
      </c>
      <c r="GK121" s="51">
        <f t="shared" si="63"/>
        <v>4.7900000000000009</v>
      </c>
      <c r="GL121" s="51">
        <f>Formula!P121</f>
        <v>88</v>
      </c>
      <c r="GM121" s="57">
        <f>Formula!O121</f>
        <v>4</v>
      </c>
      <c r="GN121" s="51">
        <f>Formula!N121</f>
        <v>0.05</v>
      </c>
    </row>
  </sheetData>
  <phoneticPr fontId="8" type="noConversion"/>
  <pageMargins left="0.511811024" right="0.511811024" top="0.78740157499999996" bottom="0.78740157499999996" header="0.31496062000000002" footer="0.31496062000000002"/>
  <pageSetup paperSize="9" scale="50"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Formula</vt:lpstr>
      <vt:lpstr>Properties</vt:lpstr>
      <vt:lpstr>Features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 Oliynyk</dc:creator>
  <cp:lastModifiedBy>Joao Paulo da Silva Afonso</cp:lastModifiedBy>
  <dcterms:created xsi:type="dcterms:W3CDTF">2022-08-18T23:35:58Z</dcterms:created>
  <dcterms:modified xsi:type="dcterms:W3CDTF">2026-10-06T17:50:35Z</dcterms:modified>
</cp:coreProperties>
</file>